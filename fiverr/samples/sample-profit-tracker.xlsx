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rofit by Product" sheetId="2" state="visible" r:id="rId2"/>
    <sheet xmlns:r="http://schemas.openxmlformats.org/officeDocument/2006/relationships" name="Price Calculator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Etsy Import" sheetId="6" state="visible" r:id="rId6"/>
    <sheet xmlns:r="http://schemas.openxmlformats.org/officeDocument/2006/relationships" name="Shopify Import" sheetId="7" state="visible" r:id="rId7"/>
    <sheet xmlns:r="http://schemas.openxmlformats.org/officeDocument/2006/relationships" name="Manual Sales" sheetId="8" state="visible" r:id="rId8"/>
    <sheet xmlns:r="http://schemas.openxmlformats.org/officeDocument/2006/relationships" name="Etsy Calc" sheetId="9" state="visible" r:id="rId9"/>
    <sheet xmlns:r="http://schemas.openxmlformats.org/officeDocument/2006/relationships" name="Shopify Cal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;[Red]-&quot;$&quot;#,##0.00"/>
  </numFmts>
  <fonts count="6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i val="1"/>
      <color rgb="00666666"/>
    </font>
    <font>
      <b val="1"/>
      <color rgb="00FFFFFF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7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165" fontId="0" fillId="0" borderId="0" pivotButton="0" quotePrefix="0" xfId="0"/>
    <xf numFmtId="164" fontId="0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4" fillId="2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Seller Profit Sheet</t>
        </is>
      </c>
    </row>
    <row r="2">
      <c r="A2" s="2" t="inlineStr">
        <is>
          <t>Find out which products actually make you money after every fee, shipping label, return and ad dollar.</t>
        </is>
      </c>
    </row>
    <row r="3">
      <c r="A3" s="3" t="inlineStr"/>
    </row>
    <row r="4">
      <c r="A4" s="2" t="inlineStr">
        <is>
          <t>SETUP (about 10 minutes, once)</t>
        </is>
      </c>
    </row>
    <row r="5">
      <c r="A5" s="3" t="inlineStr">
        <is>
          <t>1. Settings tab: check the fee rates for the platforms you sell on (they are pre-filled with US rates as of Oct 2026, edit if yours differ). Enter your labor rate, monthly overhead and monthly ad spend.</t>
        </is>
      </c>
    </row>
    <row r="6">
      <c r="A6" s="3" t="inlineStr">
        <is>
          <t>2. Products tab: one row per product. Name must match the listing title exactly as it appears in your sales export (or fill in SKU, which is matched first).</t>
        </is>
      </c>
    </row>
    <row r="7">
      <c r="A7" s="3" t="inlineStr">
        <is>
          <t xml:space="preserve">   Enter material, packaging, labor minutes and what you pay for the shipping label. Yellow cells are yours to fill; grey cells calculate themselves.</t>
        </is>
      </c>
    </row>
    <row r="8">
      <c r="A8" s="3" t="inlineStr"/>
    </row>
    <row r="9">
      <c r="A9" s="2" t="inlineStr">
        <is>
          <t>EACH MONTH (about 2 minutes)</t>
        </is>
      </c>
    </row>
    <row r="10">
      <c r="A10" s="3" t="inlineStr">
        <is>
          <t>Etsy: Shop Manager &gt; Settings &gt; Options &gt; Download Data &gt; 'Order Items' CSV for the month. Open it, select all, copy, and paste into cell A1 of the 'Etsy Import' tab (replace what was there).</t>
        </is>
      </c>
    </row>
    <row r="11">
      <c r="A11" s="3" t="inlineStr">
        <is>
          <t>Shopify: Orders &gt; Export &gt; 'Current page' or a date range, 'CSV for Excel'. Paste into cell A1 of the 'Shopify Import' tab.</t>
        </is>
      </c>
    </row>
    <row r="12">
      <c r="A12" s="3" t="inlineStr">
        <is>
          <t>Amazon, eBay, markets, anything else: type sales into the 'Manual Sales' tab, one row per product sold.</t>
        </is>
      </c>
    </row>
    <row r="13">
      <c r="A13" s="3" t="inlineStr">
        <is>
          <t>Then open 'Profit by Product'. Products marked LOSING MONEY cost you more than they bring in. 'Price Calculator' tells you what to charge to hit the margin you want.</t>
        </is>
      </c>
    </row>
    <row r="14">
      <c r="A14" s="3" t="inlineStr"/>
    </row>
    <row r="15">
      <c r="A15" s="2" t="inlineStr">
        <is>
          <t>IF SOMETHING LOOKS WRONG</t>
        </is>
      </c>
    </row>
    <row r="16">
      <c r="A16" s="3" t="inlineStr">
        <is>
          <t>'⚠ not in Products' on Profit by Product means some sales could not be matched to a product: copy the exact title from the import tab into Products.</t>
        </is>
      </c>
    </row>
    <row r="17">
      <c r="A17" s="3" t="inlineStr">
        <is>
          <t>If a whole import shows zeros, the platform may have renamed a column. Settings &gt; 'Import column names' lists the header each field is read from; a red 'not found' tells you which one to fix.</t>
        </is>
      </c>
    </row>
    <row r="18">
      <c r="A18" s="3" t="inlineStr">
        <is>
          <t>Return allowance = sales x your return rate, treated as lost revenue. Ad spend is shared across products by revenue.</t>
        </is>
      </c>
    </row>
    <row r="19">
      <c r="A19" s="3" t="inlineStr"/>
    </row>
    <row r="20">
      <c r="A20" s="4" t="inlineStr">
        <is>
          <t>Google Sheets: File &gt; Import &gt; Upload this file &gt; 'Replace spreadsheet'. Everything works the same.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8761D"/>
    <outlinePr summaryBelow="1" summaryRight="1"/>
    <pageSetUpPr/>
  </sheetPr>
  <dimension ref="A1:K210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3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  <col width="10" customWidth="1" min="10" max="10"/>
    <col width="16" customWidth="1" min="11" max="11"/>
  </cols>
  <sheetData>
    <row r="1">
      <c r="A1" s="5" t="inlineStr">
        <is>
          <t>Profit by Product</t>
        </is>
      </c>
    </row>
    <row r="2">
      <c r="A2" s="6" t="inlineStr">
        <is>
          <t>For whatever period you pasted in. Sorted the same way as Products.</t>
        </is>
      </c>
    </row>
    <row r="4">
      <c r="A4" s="7" t="inlineStr">
        <is>
          <t>Gross sales (matched products)</t>
        </is>
      </c>
      <c r="B4" s="8">
        <f>SUM(C11:C210)</f>
        <v/>
      </c>
    </row>
    <row r="5">
      <c r="A5" s="7" t="inlineStr">
        <is>
          <t>Net profit from products</t>
        </is>
      </c>
      <c r="B5" s="8">
        <f>SUM(H11:H210)</f>
        <v/>
      </c>
    </row>
    <row r="6">
      <c r="A6" s="7" t="inlineStr">
        <is>
          <t>Monthly overhead</t>
        </is>
      </c>
      <c r="B6" s="8">
        <f>-Settings!$B$13</f>
        <v/>
      </c>
    </row>
    <row r="7">
      <c r="A7" s="7" t="inlineStr">
        <is>
          <t>Store profit</t>
        </is>
      </c>
      <c r="B7" s="8">
        <f>B5+B6</f>
        <v/>
      </c>
    </row>
    <row r="8">
      <c r="A8" s="7" t="inlineStr">
        <is>
          <t>Sales not matched to a product</t>
        </is>
      </c>
      <c r="B8" s="8">
        <f>SUMIFS('Etsy Calc'!$J$2:$J$1501,'Etsy Calc'!$L$2:$L$1501,"⚠ not in Products")+SUMIFS('Shopify Calc'!$J$2:$J$1501,'Shopify Calc'!$L$2:$L$1501,"⚠ not in Products")+SUMIFS('Manual Sales'!$S$2:$S$1501,'Manual Sales'!$U$2:$U$1501,"⚠ not in Products")</f>
        <v/>
      </c>
      <c r="C8" s="9">
        <f>IF(B8&gt;0,"⚠ Some sales have no costs entered, so profit above is overstated. See Start Here.","")</f>
        <v/>
      </c>
    </row>
    <row r="10" ht="32" customHeight="1">
      <c r="A10" s="10" t="inlineStr">
        <is>
          <t>Product</t>
        </is>
      </c>
      <c r="B10" s="10" t="inlineStr">
        <is>
          <t>Units sold</t>
        </is>
      </c>
      <c r="C10" s="10" t="inlineStr">
        <is>
          <t>Gross sales</t>
        </is>
      </c>
      <c r="D10" s="10" t="inlineStr">
        <is>
          <t>Platform fees</t>
        </is>
      </c>
      <c r="E10" s="10" t="inlineStr">
        <is>
          <t>Product costs
(materials, labor, label)</t>
        </is>
      </c>
      <c r="F10" s="10" t="inlineStr">
        <is>
          <t>Return allowance</t>
        </is>
      </c>
      <c r="G10" s="10" t="inlineStr">
        <is>
          <t>Ad spend share</t>
        </is>
      </c>
      <c r="H10" s="10" t="inlineStr">
        <is>
          <t>Net profit</t>
        </is>
      </c>
      <c r="I10" s="10" t="inlineStr">
        <is>
          <t>Profit per unit</t>
        </is>
      </c>
      <c r="J10" s="10" t="inlineStr">
        <is>
          <t>Margin</t>
        </is>
      </c>
      <c r="K10" s="10" t="inlineStr">
        <is>
          <t>Verdict</t>
        </is>
      </c>
    </row>
    <row r="11">
      <c r="A11">
        <f>IF(Products!A5="","",Products!A5)</f>
        <v/>
      </c>
      <c r="B11">
        <f>IF(A11="","",SUMIFS('Etsy Calc'!$D$2:$D$1501,'Etsy Calc'!$L$2:$L$1501,A11)+SUMIFS('Shopify Calc'!$D$2:$D$1501,'Shopify Calc'!$L$2:$L$1501,A11)+SUMIFS('Manual Sales'!$M$2:$M$1501,'Manual Sales'!$U$2:$U$1501,A11))</f>
        <v/>
      </c>
      <c r="C11" s="11">
        <f>IF(A11="","",SUMIFS('Etsy Calc'!$J$2:$J$1501,'Etsy Calc'!$L$2:$L$1501,A11)+SUMIFS('Shopify Calc'!$J$2:$J$1501,'Shopify Calc'!$L$2:$L$1501,A11)+SUMIFS('Manual Sales'!$S$2:$S$1501,'Manual Sales'!$U$2:$U$1501,A11))</f>
        <v/>
      </c>
      <c r="D11" s="11">
        <f>IF(A11="","",SUMIFS('Etsy Calc'!$M$2:$M$1501,'Etsy Calc'!$L$2:$L$1501,A11)+SUMIFS('Shopify Calc'!$M$2:$M$1501,'Shopify Calc'!$L$2:$L$1501,A11)+SUMIFS('Manual Sales'!$V$2:$V$1501,'Manual Sales'!$U$2:$U$1501,A11))</f>
        <v/>
      </c>
      <c r="E11" s="11">
        <f>IF(A11="","",SUMIFS('Etsy Calc'!$N$2:$N$1501,'Etsy Calc'!$L$2:$L$1501,A11)+SUMIFS('Shopify Calc'!$N$2:$N$1501,'Shopify Calc'!$L$2:$L$1501,A11)+SUMIFS('Manual Sales'!$W$2:$W$1501,'Manual Sales'!$U$2:$U$1501,A11))</f>
        <v/>
      </c>
      <c r="F11" s="11">
        <f>IF(A11="","",SUMIFS('Etsy Calc'!$O$2:$O$1501,'Etsy Calc'!$L$2:$L$1501,A11)+SUMIFS('Shopify Calc'!$O$2:$O$1501,'Shopify Calc'!$L$2:$L$1501,A11)+SUMIFS('Manual Sales'!$X$2:$X$1501,'Manual Sales'!$U$2:$U$1501,A11))</f>
        <v/>
      </c>
      <c r="G11" s="11">
        <f>IF(A11="","",IF($B$4=0,0,Settings!$B$14*C11/$B$4))</f>
        <v/>
      </c>
      <c r="H11" s="11">
        <f>IF(A11="","",C11-D11-E11-F11-G11)</f>
        <v/>
      </c>
      <c r="I11" s="11">
        <f>IF(OR(A11="",N(B11)=0),"",H11/B11)</f>
        <v/>
      </c>
      <c r="J11" s="12">
        <f>IF(OR(A11="",N(C11)=0),"",H11/C11)</f>
        <v/>
      </c>
      <c r="K11">
        <f>IF(A11="","",IF(N(B11)=0,"No sales",IF(H11&lt;0,"LOSING MONEY",IF(J11&lt;0.15,"Thin margin","Healthy"))))</f>
        <v/>
      </c>
    </row>
    <row r="12">
      <c r="A12">
        <f>IF(Products!A6="","",Products!A6)</f>
        <v/>
      </c>
      <c r="B12">
        <f>IF(A12="","",SUMIFS('Etsy Calc'!$D$2:$D$1501,'Etsy Calc'!$L$2:$L$1501,A12)+SUMIFS('Shopify Calc'!$D$2:$D$1501,'Shopify Calc'!$L$2:$L$1501,A12)+SUMIFS('Manual Sales'!$M$2:$M$1501,'Manual Sales'!$U$2:$U$1501,A12))</f>
        <v/>
      </c>
      <c r="C12" s="11">
        <f>IF(A12="","",SUMIFS('Etsy Calc'!$J$2:$J$1501,'Etsy Calc'!$L$2:$L$1501,A12)+SUMIFS('Shopify Calc'!$J$2:$J$1501,'Shopify Calc'!$L$2:$L$1501,A12)+SUMIFS('Manual Sales'!$S$2:$S$1501,'Manual Sales'!$U$2:$U$1501,A12))</f>
        <v/>
      </c>
      <c r="D12" s="11">
        <f>IF(A12="","",SUMIFS('Etsy Calc'!$M$2:$M$1501,'Etsy Calc'!$L$2:$L$1501,A12)+SUMIFS('Shopify Calc'!$M$2:$M$1501,'Shopify Calc'!$L$2:$L$1501,A12)+SUMIFS('Manual Sales'!$V$2:$V$1501,'Manual Sales'!$U$2:$U$1501,A12))</f>
        <v/>
      </c>
      <c r="E12" s="11">
        <f>IF(A12="","",SUMIFS('Etsy Calc'!$N$2:$N$1501,'Etsy Calc'!$L$2:$L$1501,A12)+SUMIFS('Shopify Calc'!$N$2:$N$1501,'Shopify Calc'!$L$2:$L$1501,A12)+SUMIFS('Manual Sales'!$W$2:$W$1501,'Manual Sales'!$U$2:$U$1501,A12))</f>
        <v/>
      </c>
      <c r="F12" s="11">
        <f>IF(A12="","",SUMIFS('Etsy Calc'!$O$2:$O$1501,'Etsy Calc'!$L$2:$L$1501,A12)+SUMIFS('Shopify Calc'!$O$2:$O$1501,'Shopify Calc'!$L$2:$L$1501,A12)+SUMIFS('Manual Sales'!$X$2:$X$1501,'Manual Sales'!$U$2:$U$1501,A12))</f>
        <v/>
      </c>
      <c r="G12" s="11">
        <f>IF(A12="","",IF($B$4=0,0,Settings!$B$14*C12/$B$4))</f>
        <v/>
      </c>
      <c r="H12" s="11">
        <f>IF(A12="","",C12-D12-E12-F12-G12)</f>
        <v/>
      </c>
      <c r="I12" s="11">
        <f>IF(OR(A12="",N(B12)=0),"",H12/B12)</f>
        <v/>
      </c>
      <c r="J12" s="12">
        <f>IF(OR(A12="",N(C12)=0),"",H12/C12)</f>
        <v/>
      </c>
      <c r="K12">
        <f>IF(A12="","",IF(N(B12)=0,"No sales",IF(H12&lt;0,"LOSING MONEY",IF(J12&lt;0.15,"Thin margin","Healthy"))))</f>
        <v/>
      </c>
    </row>
    <row r="13">
      <c r="A13">
        <f>IF(Products!A7="","",Products!A7)</f>
        <v/>
      </c>
      <c r="B13">
        <f>IF(A13="","",SUMIFS('Etsy Calc'!$D$2:$D$1501,'Etsy Calc'!$L$2:$L$1501,A13)+SUMIFS('Shopify Calc'!$D$2:$D$1501,'Shopify Calc'!$L$2:$L$1501,A13)+SUMIFS('Manual Sales'!$M$2:$M$1501,'Manual Sales'!$U$2:$U$1501,A13))</f>
        <v/>
      </c>
      <c r="C13" s="11">
        <f>IF(A13="","",SUMIFS('Etsy Calc'!$J$2:$J$1501,'Etsy Calc'!$L$2:$L$1501,A13)+SUMIFS('Shopify Calc'!$J$2:$J$1501,'Shopify Calc'!$L$2:$L$1501,A13)+SUMIFS('Manual Sales'!$S$2:$S$1501,'Manual Sales'!$U$2:$U$1501,A13))</f>
        <v/>
      </c>
      <c r="D13" s="11">
        <f>IF(A13="","",SUMIFS('Etsy Calc'!$M$2:$M$1501,'Etsy Calc'!$L$2:$L$1501,A13)+SUMIFS('Shopify Calc'!$M$2:$M$1501,'Shopify Calc'!$L$2:$L$1501,A13)+SUMIFS('Manual Sales'!$V$2:$V$1501,'Manual Sales'!$U$2:$U$1501,A13))</f>
        <v/>
      </c>
      <c r="E13" s="11">
        <f>IF(A13="","",SUMIFS('Etsy Calc'!$N$2:$N$1501,'Etsy Calc'!$L$2:$L$1501,A13)+SUMIFS('Shopify Calc'!$N$2:$N$1501,'Shopify Calc'!$L$2:$L$1501,A13)+SUMIFS('Manual Sales'!$W$2:$W$1501,'Manual Sales'!$U$2:$U$1501,A13))</f>
        <v/>
      </c>
      <c r="F13" s="11">
        <f>IF(A13="","",SUMIFS('Etsy Calc'!$O$2:$O$1501,'Etsy Calc'!$L$2:$L$1501,A13)+SUMIFS('Shopify Calc'!$O$2:$O$1501,'Shopify Calc'!$L$2:$L$1501,A13)+SUMIFS('Manual Sales'!$X$2:$X$1501,'Manual Sales'!$U$2:$U$1501,A13))</f>
        <v/>
      </c>
      <c r="G13" s="11">
        <f>IF(A13="","",IF($B$4=0,0,Settings!$B$14*C13/$B$4))</f>
        <v/>
      </c>
      <c r="H13" s="11">
        <f>IF(A13="","",C13-D13-E13-F13-G13)</f>
        <v/>
      </c>
      <c r="I13" s="11">
        <f>IF(OR(A13="",N(B13)=0),"",H13/B13)</f>
        <v/>
      </c>
      <c r="J13" s="12">
        <f>IF(OR(A13="",N(C13)=0),"",H13/C13)</f>
        <v/>
      </c>
      <c r="K13">
        <f>IF(A13="","",IF(N(B13)=0,"No sales",IF(H13&lt;0,"LOSING MONEY",IF(J13&lt;0.15,"Thin margin","Healthy"))))</f>
        <v/>
      </c>
    </row>
    <row r="14">
      <c r="A14">
        <f>IF(Products!A8="","",Products!A8)</f>
        <v/>
      </c>
      <c r="B14">
        <f>IF(A14="","",SUMIFS('Etsy Calc'!$D$2:$D$1501,'Etsy Calc'!$L$2:$L$1501,A14)+SUMIFS('Shopify Calc'!$D$2:$D$1501,'Shopify Calc'!$L$2:$L$1501,A14)+SUMIFS('Manual Sales'!$M$2:$M$1501,'Manual Sales'!$U$2:$U$1501,A14))</f>
        <v/>
      </c>
      <c r="C14" s="11">
        <f>IF(A14="","",SUMIFS('Etsy Calc'!$J$2:$J$1501,'Etsy Calc'!$L$2:$L$1501,A14)+SUMIFS('Shopify Calc'!$J$2:$J$1501,'Shopify Calc'!$L$2:$L$1501,A14)+SUMIFS('Manual Sales'!$S$2:$S$1501,'Manual Sales'!$U$2:$U$1501,A14))</f>
        <v/>
      </c>
      <c r="D14" s="11">
        <f>IF(A14="","",SUMIFS('Etsy Calc'!$M$2:$M$1501,'Etsy Calc'!$L$2:$L$1501,A14)+SUMIFS('Shopify Calc'!$M$2:$M$1501,'Shopify Calc'!$L$2:$L$1501,A14)+SUMIFS('Manual Sales'!$V$2:$V$1501,'Manual Sales'!$U$2:$U$1501,A14))</f>
        <v/>
      </c>
      <c r="E14" s="11">
        <f>IF(A14="","",SUMIFS('Etsy Calc'!$N$2:$N$1501,'Etsy Calc'!$L$2:$L$1501,A14)+SUMIFS('Shopify Calc'!$N$2:$N$1501,'Shopify Calc'!$L$2:$L$1501,A14)+SUMIFS('Manual Sales'!$W$2:$W$1501,'Manual Sales'!$U$2:$U$1501,A14))</f>
        <v/>
      </c>
      <c r="F14" s="11">
        <f>IF(A14="","",SUMIFS('Etsy Calc'!$O$2:$O$1501,'Etsy Calc'!$L$2:$L$1501,A14)+SUMIFS('Shopify Calc'!$O$2:$O$1501,'Shopify Calc'!$L$2:$L$1501,A14)+SUMIFS('Manual Sales'!$X$2:$X$1501,'Manual Sales'!$U$2:$U$1501,A14))</f>
        <v/>
      </c>
      <c r="G14" s="11">
        <f>IF(A14="","",IF($B$4=0,0,Settings!$B$14*C14/$B$4))</f>
        <v/>
      </c>
      <c r="H14" s="11">
        <f>IF(A14="","",C14-D14-E14-F14-G14)</f>
        <v/>
      </c>
      <c r="I14" s="11">
        <f>IF(OR(A14="",N(B14)=0),"",H14/B14)</f>
        <v/>
      </c>
      <c r="J14" s="12">
        <f>IF(OR(A14="",N(C14)=0),"",H14/C14)</f>
        <v/>
      </c>
      <c r="K14">
        <f>IF(A14="","",IF(N(B14)=0,"No sales",IF(H14&lt;0,"LOSING MONEY",IF(J14&lt;0.15,"Thin margin","Healthy"))))</f>
        <v/>
      </c>
    </row>
    <row r="15">
      <c r="A15">
        <f>IF(Products!A9="","",Products!A9)</f>
        <v/>
      </c>
      <c r="B15">
        <f>IF(A15="","",SUMIFS('Etsy Calc'!$D$2:$D$1501,'Etsy Calc'!$L$2:$L$1501,A15)+SUMIFS('Shopify Calc'!$D$2:$D$1501,'Shopify Calc'!$L$2:$L$1501,A15)+SUMIFS('Manual Sales'!$M$2:$M$1501,'Manual Sales'!$U$2:$U$1501,A15))</f>
        <v/>
      </c>
      <c r="C15" s="11">
        <f>IF(A15="","",SUMIFS('Etsy Calc'!$J$2:$J$1501,'Etsy Calc'!$L$2:$L$1501,A15)+SUMIFS('Shopify Calc'!$J$2:$J$1501,'Shopify Calc'!$L$2:$L$1501,A15)+SUMIFS('Manual Sales'!$S$2:$S$1501,'Manual Sales'!$U$2:$U$1501,A15))</f>
        <v/>
      </c>
      <c r="D15" s="11">
        <f>IF(A15="","",SUMIFS('Etsy Calc'!$M$2:$M$1501,'Etsy Calc'!$L$2:$L$1501,A15)+SUMIFS('Shopify Calc'!$M$2:$M$1501,'Shopify Calc'!$L$2:$L$1501,A15)+SUMIFS('Manual Sales'!$V$2:$V$1501,'Manual Sales'!$U$2:$U$1501,A15))</f>
        <v/>
      </c>
      <c r="E15" s="11">
        <f>IF(A15="","",SUMIFS('Etsy Calc'!$N$2:$N$1501,'Etsy Calc'!$L$2:$L$1501,A15)+SUMIFS('Shopify Calc'!$N$2:$N$1501,'Shopify Calc'!$L$2:$L$1501,A15)+SUMIFS('Manual Sales'!$W$2:$W$1501,'Manual Sales'!$U$2:$U$1501,A15))</f>
        <v/>
      </c>
      <c r="F15" s="11">
        <f>IF(A15="","",SUMIFS('Etsy Calc'!$O$2:$O$1501,'Etsy Calc'!$L$2:$L$1501,A15)+SUMIFS('Shopify Calc'!$O$2:$O$1501,'Shopify Calc'!$L$2:$L$1501,A15)+SUMIFS('Manual Sales'!$X$2:$X$1501,'Manual Sales'!$U$2:$U$1501,A15))</f>
        <v/>
      </c>
      <c r="G15" s="11">
        <f>IF(A15="","",IF($B$4=0,0,Settings!$B$14*C15/$B$4))</f>
        <v/>
      </c>
      <c r="H15" s="11">
        <f>IF(A15="","",C15-D15-E15-F15-G15)</f>
        <v/>
      </c>
      <c r="I15" s="11">
        <f>IF(OR(A15="",N(B15)=0),"",H15/B15)</f>
        <v/>
      </c>
      <c r="J15" s="12">
        <f>IF(OR(A15="",N(C15)=0),"",H15/C15)</f>
        <v/>
      </c>
      <c r="K15">
        <f>IF(A15="","",IF(N(B15)=0,"No sales",IF(H15&lt;0,"LOSING MONEY",IF(J15&lt;0.15,"Thin margin","Healthy"))))</f>
        <v/>
      </c>
    </row>
    <row r="16">
      <c r="A16">
        <f>IF(Products!A10="","",Products!A10)</f>
        <v/>
      </c>
      <c r="B16">
        <f>IF(A16="","",SUMIFS('Etsy Calc'!$D$2:$D$1501,'Etsy Calc'!$L$2:$L$1501,A16)+SUMIFS('Shopify Calc'!$D$2:$D$1501,'Shopify Calc'!$L$2:$L$1501,A16)+SUMIFS('Manual Sales'!$M$2:$M$1501,'Manual Sales'!$U$2:$U$1501,A16))</f>
        <v/>
      </c>
      <c r="C16" s="11">
        <f>IF(A16="","",SUMIFS('Etsy Calc'!$J$2:$J$1501,'Etsy Calc'!$L$2:$L$1501,A16)+SUMIFS('Shopify Calc'!$J$2:$J$1501,'Shopify Calc'!$L$2:$L$1501,A16)+SUMIFS('Manual Sales'!$S$2:$S$1501,'Manual Sales'!$U$2:$U$1501,A16))</f>
        <v/>
      </c>
      <c r="D16" s="11">
        <f>IF(A16="","",SUMIFS('Etsy Calc'!$M$2:$M$1501,'Etsy Calc'!$L$2:$L$1501,A16)+SUMIFS('Shopify Calc'!$M$2:$M$1501,'Shopify Calc'!$L$2:$L$1501,A16)+SUMIFS('Manual Sales'!$V$2:$V$1501,'Manual Sales'!$U$2:$U$1501,A16))</f>
        <v/>
      </c>
      <c r="E16" s="11">
        <f>IF(A16="","",SUMIFS('Etsy Calc'!$N$2:$N$1501,'Etsy Calc'!$L$2:$L$1501,A16)+SUMIFS('Shopify Calc'!$N$2:$N$1501,'Shopify Calc'!$L$2:$L$1501,A16)+SUMIFS('Manual Sales'!$W$2:$W$1501,'Manual Sales'!$U$2:$U$1501,A16))</f>
        <v/>
      </c>
      <c r="F16" s="11">
        <f>IF(A16="","",SUMIFS('Etsy Calc'!$O$2:$O$1501,'Etsy Calc'!$L$2:$L$1501,A16)+SUMIFS('Shopify Calc'!$O$2:$O$1501,'Shopify Calc'!$L$2:$L$1501,A16)+SUMIFS('Manual Sales'!$X$2:$X$1501,'Manual Sales'!$U$2:$U$1501,A16))</f>
        <v/>
      </c>
      <c r="G16" s="11">
        <f>IF(A16="","",IF($B$4=0,0,Settings!$B$14*C16/$B$4))</f>
        <v/>
      </c>
      <c r="H16" s="11">
        <f>IF(A16="","",C16-D16-E16-F16-G16)</f>
        <v/>
      </c>
      <c r="I16" s="11">
        <f>IF(OR(A16="",N(B16)=0),"",H16/B16)</f>
        <v/>
      </c>
      <c r="J16" s="12">
        <f>IF(OR(A16="",N(C16)=0),"",H16/C16)</f>
        <v/>
      </c>
      <c r="K16">
        <f>IF(A16="","",IF(N(B16)=0,"No sales",IF(H16&lt;0,"LOSING MONEY",IF(J16&lt;0.15,"Thin margin","Healthy"))))</f>
        <v/>
      </c>
    </row>
    <row r="17">
      <c r="A17">
        <f>IF(Products!A11="","",Products!A11)</f>
        <v/>
      </c>
      <c r="B17">
        <f>IF(A17="","",SUMIFS('Etsy Calc'!$D$2:$D$1501,'Etsy Calc'!$L$2:$L$1501,A17)+SUMIFS('Shopify Calc'!$D$2:$D$1501,'Shopify Calc'!$L$2:$L$1501,A17)+SUMIFS('Manual Sales'!$M$2:$M$1501,'Manual Sales'!$U$2:$U$1501,A17))</f>
        <v/>
      </c>
      <c r="C17" s="11">
        <f>IF(A17="","",SUMIFS('Etsy Calc'!$J$2:$J$1501,'Etsy Calc'!$L$2:$L$1501,A17)+SUMIFS('Shopify Calc'!$J$2:$J$1501,'Shopify Calc'!$L$2:$L$1501,A17)+SUMIFS('Manual Sales'!$S$2:$S$1501,'Manual Sales'!$U$2:$U$1501,A17))</f>
        <v/>
      </c>
      <c r="D17" s="11">
        <f>IF(A17="","",SUMIFS('Etsy Calc'!$M$2:$M$1501,'Etsy Calc'!$L$2:$L$1501,A17)+SUMIFS('Shopify Calc'!$M$2:$M$1501,'Shopify Calc'!$L$2:$L$1501,A17)+SUMIFS('Manual Sales'!$V$2:$V$1501,'Manual Sales'!$U$2:$U$1501,A17))</f>
        <v/>
      </c>
      <c r="E17" s="11">
        <f>IF(A17="","",SUMIFS('Etsy Calc'!$N$2:$N$1501,'Etsy Calc'!$L$2:$L$1501,A17)+SUMIFS('Shopify Calc'!$N$2:$N$1501,'Shopify Calc'!$L$2:$L$1501,A17)+SUMIFS('Manual Sales'!$W$2:$W$1501,'Manual Sales'!$U$2:$U$1501,A17))</f>
        <v/>
      </c>
      <c r="F17" s="11">
        <f>IF(A17="","",SUMIFS('Etsy Calc'!$O$2:$O$1501,'Etsy Calc'!$L$2:$L$1501,A17)+SUMIFS('Shopify Calc'!$O$2:$O$1501,'Shopify Calc'!$L$2:$L$1501,A17)+SUMIFS('Manual Sales'!$X$2:$X$1501,'Manual Sales'!$U$2:$U$1501,A17))</f>
        <v/>
      </c>
      <c r="G17" s="11">
        <f>IF(A17="","",IF($B$4=0,0,Settings!$B$14*C17/$B$4))</f>
        <v/>
      </c>
      <c r="H17" s="11">
        <f>IF(A17="","",C17-D17-E17-F17-G17)</f>
        <v/>
      </c>
      <c r="I17" s="11">
        <f>IF(OR(A17="",N(B17)=0),"",H17/B17)</f>
        <v/>
      </c>
      <c r="J17" s="12">
        <f>IF(OR(A17="",N(C17)=0),"",H17/C17)</f>
        <v/>
      </c>
      <c r="K17">
        <f>IF(A17="","",IF(N(B17)=0,"No sales",IF(H17&lt;0,"LOSING MONEY",IF(J17&lt;0.15,"Thin margin","Healthy"))))</f>
        <v/>
      </c>
    </row>
    <row r="18">
      <c r="A18">
        <f>IF(Products!A12="","",Products!A12)</f>
        <v/>
      </c>
      <c r="B18">
        <f>IF(A18="","",SUMIFS('Etsy Calc'!$D$2:$D$1501,'Etsy Calc'!$L$2:$L$1501,A18)+SUMIFS('Shopify Calc'!$D$2:$D$1501,'Shopify Calc'!$L$2:$L$1501,A18)+SUMIFS('Manual Sales'!$M$2:$M$1501,'Manual Sales'!$U$2:$U$1501,A18))</f>
        <v/>
      </c>
      <c r="C18" s="11">
        <f>IF(A18="","",SUMIFS('Etsy Calc'!$J$2:$J$1501,'Etsy Calc'!$L$2:$L$1501,A18)+SUMIFS('Shopify Calc'!$J$2:$J$1501,'Shopify Calc'!$L$2:$L$1501,A18)+SUMIFS('Manual Sales'!$S$2:$S$1501,'Manual Sales'!$U$2:$U$1501,A18))</f>
        <v/>
      </c>
      <c r="D18" s="11">
        <f>IF(A18="","",SUMIFS('Etsy Calc'!$M$2:$M$1501,'Etsy Calc'!$L$2:$L$1501,A18)+SUMIFS('Shopify Calc'!$M$2:$M$1501,'Shopify Calc'!$L$2:$L$1501,A18)+SUMIFS('Manual Sales'!$V$2:$V$1501,'Manual Sales'!$U$2:$U$1501,A18))</f>
        <v/>
      </c>
      <c r="E18" s="11">
        <f>IF(A18="","",SUMIFS('Etsy Calc'!$N$2:$N$1501,'Etsy Calc'!$L$2:$L$1501,A18)+SUMIFS('Shopify Calc'!$N$2:$N$1501,'Shopify Calc'!$L$2:$L$1501,A18)+SUMIFS('Manual Sales'!$W$2:$W$1501,'Manual Sales'!$U$2:$U$1501,A18))</f>
        <v/>
      </c>
      <c r="F18" s="11">
        <f>IF(A18="","",SUMIFS('Etsy Calc'!$O$2:$O$1501,'Etsy Calc'!$L$2:$L$1501,A18)+SUMIFS('Shopify Calc'!$O$2:$O$1501,'Shopify Calc'!$L$2:$L$1501,A18)+SUMIFS('Manual Sales'!$X$2:$X$1501,'Manual Sales'!$U$2:$U$1501,A18))</f>
        <v/>
      </c>
      <c r="G18" s="11">
        <f>IF(A18="","",IF($B$4=0,0,Settings!$B$14*C18/$B$4))</f>
        <v/>
      </c>
      <c r="H18" s="11">
        <f>IF(A18="","",C18-D18-E18-F18-G18)</f>
        <v/>
      </c>
      <c r="I18" s="11">
        <f>IF(OR(A18="",N(B18)=0),"",H18/B18)</f>
        <v/>
      </c>
      <c r="J18" s="12">
        <f>IF(OR(A18="",N(C18)=0),"",H18/C18)</f>
        <v/>
      </c>
      <c r="K18">
        <f>IF(A18="","",IF(N(B18)=0,"No sales",IF(H18&lt;0,"LOSING MONEY",IF(J18&lt;0.15,"Thin margin","Healthy"))))</f>
        <v/>
      </c>
    </row>
    <row r="19">
      <c r="A19">
        <f>IF(Products!A13="","",Products!A13)</f>
        <v/>
      </c>
      <c r="B19">
        <f>IF(A19="","",SUMIFS('Etsy Calc'!$D$2:$D$1501,'Etsy Calc'!$L$2:$L$1501,A19)+SUMIFS('Shopify Calc'!$D$2:$D$1501,'Shopify Calc'!$L$2:$L$1501,A19)+SUMIFS('Manual Sales'!$M$2:$M$1501,'Manual Sales'!$U$2:$U$1501,A19))</f>
        <v/>
      </c>
      <c r="C19" s="11">
        <f>IF(A19="","",SUMIFS('Etsy Calc'!$J$2:$J$1501,'Etsy Calc'!$L$2:$L$1501,A19)+SUMIFS('Shopify Calc'!$J$2:$J$1501,'Shopify Calc'!$L$2:$L$1501,A19)+SUMIFS('Manual Sales'!$S$2:$S$1501,'Manual Sales'!$U$2:$U$1501,A19))</f>
        <v/>
      </c>
      <c r="D19" s="11">
        <f>IF(A19="","",SUMIFS('Etsy Calc'!$M$2:$M$1501,'Etsy Calc'!$L$2:$L$1501,A19)+SUMIFS('Shopify Calc'!$M$2:$M$1501,'Shopify Calc'!$L$2:$L$1501,A19)+SUMIFS('Manual Sales'!$V$2:$V$1501,'Manual Sales'!$U$2:$U$1501,A19))</f>
        <v/>
      </c>
      <c r="E19" s="11">
        <f>IF(A19="","",SUMIFS('Etsy Calc'!$N$2:$N$1501,'Etsy Calc'!$L$2:$L$1501,A19)+SUMIFS('Shopify Calc'!$N$2:$N$1501,'Shopify Calc'!$L$2:$L$1501,A19)+SUMIFS('Manual Sales'!$W$2:$W$1501,'Manual Sales'!$U$2:$U$1501,A19))</f>
        <v/>
      </c>
      <c r="F19" s="11">
        <f>IF(A19="","",SUMIFS('Etsy Calc'!$O$2:$O$1501,'Etsy Calc'!$L$2:$L$1501,A19)+SUMIFS('Shopify Calc'!$O$2:$O$1501,'Shopify Calc'!$L$2:$L$1501,A19)+SUMIFS('Manual Sales'!$X$2:$X$1501,'Manual Sales'!$U$2:$U$1501,A19))</f>
        <v/>
      </c>
      <c r="G19" s="11">
        <f>IF(A19="","",IF($B$4=0,0,Settings!$B$14*C19/$B$4))</f>
        <v/>
      </c>
      <c r="H19" s="11">
        <f>IF(A19="","",C19-D19-E19-F19-G19)</f>
        <v/>
      </c>
      <c r="I19" s="11">
        <f>IF(OR(A19="",N(B19)=0),"",H19/B19)</f>
        <v/>
      </c>
      <c r="J19" s="12">
        <f>IF(OR(A19="",N(C19)=0),"",H19/C19)</f>
        <v/>
      </c>
      <c r="K19">
        <f>IF(A19="","",IF(N(B19)=0,"No sales",IF(H19&lt;0,"LOSING MONEY",IF(J19&lt;0.15,"Thin margin","Healthy"))))</f>
        <v/>
      </c>
    </row>
    <row r="20">
      <c r="A20">
        <f>IF(Products!A14="","",Products!A14)</f>
        <v/>
      </c>
      <c r="B20">
        <f>IF(A20="","",SUMIFS('Etsy Calc'!$D$2:$D$1501,'Etsy Calc'!$L$2:$L$1501,A20)+SUMIFS('Shopify Calc'!$D$2:$D$1501,'Shopify Calc'!$L$2:$L$1501,A20)+SUMIFS('Manual Sales'!$M$2:$M$1501,'Manual Sales'!$U$2:$U$1501,A20))</f>
        <v/>
      </c>
      <c r="C20" s="11">
        <f>IF(A20="","",SUMIFS('Etsy Calc'!$J$2:$J$1501,'Etsy Calc'!$L$2:$L$1501,A20)+SUMIFS('Shopify Calc'!$J$2:$J$1501,'Shopify Calc'!$L$2:$L$1501,A20)+SUMIFS('Manual Sales'!$S$2:$S$1501,'Manual Sales'!$U$2:$U$1501,A20))</f>
        <v/>
      </c>
      <c r="D20" s="11">
        <f>IF(A20="","",SUMIFS('Etsy Calc'!$M$2:$M$1501,'Etsy Calc'!$L$2:$L$1501,A20)+SUMIFS('Shopify Calc'!$M$2:$M$1501,'Shopify Calc'!$L$2:$L$1501,A20)+SUMIFS('Manual Sales'!$V$2:$V$1501,'Manual Sales'!$U$2:$U$1501,A20))</f>
        <v/>
      </c>
      <c r="E20" s="11">
        <f>IF(A20="","",SUMIFS('Etsy Calc'!$N$2:$N$1501,'Etsy Calc'!$L$2:$L$1501,A20)+SUMIFS('Shopify Calc'!$N$2:$N$1501,'Shopify Calc'!$L$2:$L$1501,A20)+SUMIFS('Manual Sales'!$W$2:$W$1501,'Manual Sales'!$U$2:$U$1501,A20))</f>
        <v/>
      </c>
      <c r="F20" s="11">
        <f>IF(A20="","",SUMIFS('Etsy Calc'!$O$2:$O$1501,'Etsy Calc'!$L$2:$L$1501,A20)+SUMIFS('Shopify Calc'!$O$2:$O$1501,'Shopify Calc'!$L$2:$L$1501,A20)+SUMIFS('Manual Sales'!$X$2:$X$1501,'Manual Sales'!$U$2:$U$1501,A20))</f>
        <v/>
      </c>
      <c r="G20" s="11">
        <f>IF(A20="","",IF($B$4=0,0,Settings!$B$14*C20/$B$4))</f>
        <v/>
      </c>
      <c r="H20" s="11">
        <f>IF(A20="","",C20-D20-E20-F20-G20)</f>
        <v/>
      </c>
      <c r="I20" s="11">
        <f>IF(OR(A20="",N(B20)=0),"",H20/B20)</f>
        <v/>
      </c>
      <c r="J20" s="12">
        <f>IF(OR(A20="",N(C20)=0),"",H20/C20)</f>
        <v/>
      </c>
      <c r="K20">
        <f>IF(A20="","",IF(N(B20)=0,"No sales",IF(H20&lt;0,"LOSING MONEY",IF(J20&lt;0.15,"Thin margin","Healthy"))))</f>
        <v/>
      </c>
    </row>
    <row r="21">
      <c r="A21">
        <f>IF(Products!A15="","",Products!A15)</f>
        <v/>
      </c>
      <c r="B21">
        <f>IF(A21="","",SUMIFS('Etsy Calc'!$D$2:$D$1501,'Etsy Calc'!$L$2:$L$1501,A21)+SUMIFS('Shopify Calc'!$D$2:$D$1501,'Shopify Calc'!$L$2:$L$1501,A21)+SUMIFS('Manual Sales'!$M$2:$M$1501,'Manual Sales'!$U$2:$U$1501,A21))</f>
        <v/>
      </c>
      <c r="C21" s="11">
        <f>IF(A21="","",SUMIFS('Etsy Calc'!$J$2:$J$1501,'Etsy Calc'!$L$2:$L$1501,A21)+SUMIFS('Shopify Calc'!$J$2:$J$1501,'Shopify Calc'!$L$2:$L$1501,A21)+SUMIFS('Manual Sales'!$S$2:$S$1501,'Manual Sales'!$U$2:$U$1501,A21))</f>
        <v/>
      </c>
      <c r="D21" s="11">
        <f>IF(A21="","",SUMIFS('Etsy Calc'!$M$2:$M$1501,'Etsy Calc'!$L$2:$L$1501,A21)+SUMIFS('Shopify Calc'!$M$2:$M$1501,'Shopify Calc'!$L$2:$L$1501,A21)+SUMIFS('Manual Sales'!$V$2:$V$1501,'Manual Sales'!$U$2:$U$1501,A21))</f>
        <v/>
      </c>
      <c r="E21" s="11">
        <f>IF(A21="","",SUMIFS('Etsy Calc'!$N$2:$N$1501,'Etsy Calc'!$L$2:$L$1501,A21)+SUMIFS('Shopify Calc'!$N$2:$N$1501,'Shopify Calc'!$L$2:$L$1501,A21)+SUMIFS('Manual Sales'!$W$2:$W$1501,'Manual Sales'!$U$2:$U$1501,A21))</f>
        <v/>
      </c>
      <c r="F21" s="11">
        <f>IF(A21="","",SUMIFS('Etsy Calc'!$O$2:$O$1501,'Etsy Calc'!$L$2:$L$1501,A21)+SUMIFS('Shopify Calc'!$O$2:$O$1501,'Shopify Calc'!$L$2:$L$1501,A21)+SUMIFS('Manual Sales'!$X$2:$X$1501,'Manual Sales'!$U$2:$U$1501,A21))</f>
        <v/>
      </c>
      <c r="G21" s="11">
        <f>IF(A21="","",IF($B$4=0,0,Settings!$B$14*C21/$B$4))</f>
        <v/>
      </c>
      <c r="H21" s="11">
        <f>IF(A21="","",C21-D21-E21-F21-G21)</f>
        <v/>
      </c>
      <c r="I21" s="11">
        <f>IF(OR(A21="",N(B21)=0),"",H21/B21)</f>
        <v/>
      </c>
      <c r="J21" s="12">
        <f>IF(OR(A21="",N(C21)=0),"",H21/C21)</f>
        <v/>
      </c>
      <c r="K21">
        <f>IF(A21="","",IF(N(B21)=0,"No sales",IF(H21&lt;0,"LOSING MONEY",IF(J21&lt;0.15,"Thin margin","Healthy"))))</f>
        <v/>
      </c>
    </row>
    <row r="22">
      <c r="A22">
        <f>IF(Products!A16="","",Products!A16)</f>
        <v/>
      </c>
      <c r="B22">
        <f>IF(A22="","",SUMIFS('Etsy Calc'!$D$2:$D$1501,'Etsy Calc'!$L$2:$L$1501,A22)+SUMIFS('Shopify Calc'!$D$2:$D$1501,'Shopify Calc'!$L$2:$L$1501,A22)+SUMIFS('Manual Sales'!$M$2:$M$1501,'Manual Sales'!$U$2:$U$1501,A22))</f>
        <v/>
      </c>
      <c r="C22" s="11">
        <f>IF(A22="","",SUMIFS('Etsy Calc'!$J$2:$J$1501,'Etsy Calc'!$L$2:$L$1501,A22)+SUMIFS('Shopify Calc'!$J$2:$J$1501,'Shopify Calc'!$L$2:$L$1501,A22)+SUMIFS('Manual Sales'!$S$2:$S$1501,'Manual Sales'!$U$2:$U$1501,A22))</f>
        <v/>
      </c>
      <c r="D22" s="11">
        <f>IF(A22="","",SUMIFS('Etsy Calc'!$M$2:$M$1501,'Etsy Calc'!$L$2:$L$1501,A22)+SUMIFS('Shopify Calc'!$M$2:$M$1501,'Shopify Calc'!$L$2:$L$1501,A22)+SUMIFS('Manual Sales'!$V$2:$V$1501,'Manual Sales'!$U$2:$U$1501,A22))</f>
        <v/>
      </c>
      <c r="E22" s="11">
        <f>IF(A22="","",SUMIFS('Etsy Calc'!$N$2:$N$1501,'Etsy Calc'!$L$2:$L$1501,A22)+SUMIFS('Shopify Calc'!$N$2:$N$1501,'Shopify Calc'!$L$2:$L$1501,A22)+SUMIFS('Manual Sales'!$W$2:$W$1501,'Manual Sales'!$U$2:$U$1501,A22))</f>
        <v/>
      </c>
      <c r="F22" s="11">
        <f>IF(A22="","",SUMIFS('Etsy Calc'!$O$2:$O$1501,'Etsy Calc'!$L$2:$L$1501,A22)+SUMIFS('Shopify Calc'!$O$2:$O$1501,'Shopify Calc'!$L$2:$L$1501,A22)+SUMIFS('Manual Sales'!$X$2:$X$1501,'Manual Sales'!$U$2:$U$1501,A22))</f>
        <v/>
      </c>
      <c r="G22" s="11">
        <f>IF(A22="","",IF($B$4=0,0,Settings!$B$14*C22/$B$4))</f>
        <v/>
      </c>
      <c r="H22" s="11">
        <f>IF(A22="","",C22-D22-E22-F22-G22)</f>
        <v/>
      </c>
      <c r="I22" s="11">
        <f>IF(OR(A22="",N(B22)=0),"",H22/B22)</f>
        <v/>
      </c>
      <c r="J22" s="12">
        <f>IF(OR(A22="",N(C22)=0),"",H22/C22)</f>
        <v/>
      </c>
      <c r="K22">
        <f>IF(A22="","",IF(N(B22)=0,"No sales",IF(H22&lt;0,"LOSING MONEY",IF(J22&lt;0.15,"Thin margin","Healthy"))))</f>
        <v/>
      </c>
    </row>
    <row r="23">
      <c r="A23">
        <f>IF(Products!A17="","",Products!A17)</f>
        <v/>
      </c>
      <c r="B23">
        <f>IF(A23="","",SUMIFS('Etsy Calc'!$D$2:$D$1501,'Etsy Calc'!$L$2:$L$1501,A23)+SUMIFS('Shopify Calc'!$D$2:$D$1501,'Shopify Calc'!$L$2:$L$1501,A23)+SUMIFS('Manual Sales'!$M$2:$M$1501,'Manual Sales'!$U$2:$U$1501,A23))</f>
        <v/>
      </c>
      <c r="C23" s="11">
        <f>IF(A23="","",SUMIFS('Etsy Calc'!$J$2:$J$1501,'Etsy Calc'!$L$2:$L$1501,A23)+SUMIFS('Shopify Calc'!$J$2:$J$1501,'Shopify Calc'!$L$2:$L$1501,A23)+SUMIFS('Manual Sales'!$S$2:$S$1501,'Manual Sales'!$U$2:$U$1501,A23))</f>
        <v/>
      </c>
      <c r="D23" s="11">
        <f>IF(A23="","",SUMIFS('Etsy Calc'!$M$2:$M$1501,'Etsy Calc'!$L$2:$L$1501,A23)+SUMIFS('Shopify Calc'!$M$2:$M$1501,'Shopify Calc'!$L$2:$L$1501,A23)+SUMIFS('Manual Sales'!$V$2:$V$1501,'Manual Sales'!$U$2:$U$1501,A23))</f>
        <v/>
      </c>
      <c r="E23" s="11">
        <f>IF(A23="","",SUMIFS('Etsy Calc'!$N$2:$N$1501,'Etsy Calc'!$L$2:$L$1501,A23)+SUMIFS('Shopify Calc'!$N$2:$N$1501,'Shopify Calc'!$L$2:$L$1501,A23)+SUMIFS('Manual Sales'!$W$2:$W$1501,'Manual Sales'!$U$2:$U$1501,A23))</f>
        <v/>
      </c>
      <c r="F23" s="11">
        <f>IF(A23="","",SUMIFS('Etsy Calc'!$O$2:$O$1501,'Etsy Calc'!$L$2:$L$1501,A23)+SUMIFS('Shopify Calc'!$O$2:$O$1501,'Shopify Calc'!$L$2:$L$1501,A23)+SUMIFS('Manual Sales'!$X$2:$X$1501,'Manual Sales'!$U$2:$U$1501,A23))</f>
        <v/>
      </c>
      <c r="G23" s="11">
        <f>IF(A23="","",IF($B$4=0,0,Settings!$B$14*C23/$B$4))</f>
        <v/>
      </c>
      <c r="H23" s="11">
        <f>IF(A23="","",C23-D23-E23-F23-G23)</f>
        <v/>
      </c>
      <c r="I23" s="11">
        <f>IF(OR(A23="",N(B23)=0),"",H23/B23)</f>
        <v/>
      </c>
      <c r="J23" s="12">
        <f>IF(OR(A23="",N(C23)=0),"",H23/C23)</f>
        <v/>
      </c>
      <c r="K23">
        <f>IF(A23="","",IF(N(B23)=0,"No sales",IF(H23&lt;0,"LOSING MONEY",IF(J23&lt;0.15,"Thin margin","Healthy"))))</f>
        <v/>
      </c>
    </row>
    <row r="24">
      <c r="A24">
        <f>IF(Products!A18="","",Products!A18)</f>
        <v/>
      </c>
      <c r="B24">
        <f>IF(A24="","",SUMIFS('Etsy Calc'!$D$2:$D$1501,'Etsy Calc'!$L$2:$L$1501,A24)+SUMIFS('Shopify Calc'!$D$2:$D$1501,'Shopify Calc'!$L$2:$L$1501,A24)+SUMIFS('Manual Sales'!$M$2:$M$1501,'Manual Sales'!$U$2:$U$1501,A24))</f>
        <v/>
      </c>
      <c r="C24" s="11">
        <f>IF(A24="","",SUMIFS('Etsy Calc'!$J$2:$J$1501,'Etsy Calc'!$L$2:$L$1501,A24)+SUMIFS('Shopify Calc'!$J$2:$J$1501,'Shopify Calc'!$L$2:$L$1501,A24)+SUMIFS('Manual Sales'!$S$2:$S$1501,'Manual Sales'!$U$2:$U$1501,A24))</f>
        <v/>
      </c>
      <c r="D24" s="11">
        <f>IF(A24="","",SUMIFS('Etsy Calc'!$M$2:$M$1501,'Etsy Calc'!$L$2:$L$1501,A24)+SUMIFS('Shopify Calc'!$M$2:$M$1501,'Shopify Calc'!$L$2:$L$1501,A24)+SUMIFS('Manual Sales'!$V$2:$V$1501,'Manual Sales'!$U$2:$U$1501,A24))</f>
        <v/>
      </c>
      <c r="E24" s="11">
        <f>IF(A24="","",SUMIFS('Etsy Calc'!$N$2:$N$1501,'Etsy Calc'!$L$2:$L$1501,A24)+SUMIFS('Shopify Calc'!$N$2:$N$1501,'Shopify Calc'!$L$2:$L$1501,A24)+SUMIFS('Manual Sales'!$W$2:$W$1501,'Manual Sales'!$U$2:$U$1501,A24))</f>
        <v/>
      </c>
      <c r="F24" s="11">
        <f>IF(A24="","",SUMIFS('Etsy Calc'!$O$2:$O$1501,'Etsy Calc'!$L$2:$L$1501,A24)+SUMIFS('Shopify Calc'!$O$2:$O$1501,'Shopify Calc'!$L$2:$L$1501,A24)+SUMIFS('Manual Sales'!$X$2:$X$1501,'Manual Sales'!$U$2:$U$1501,A24))</f>
        <v/>
      </c>
      <c r="G24" s="11">
        <f>IF(A24="","",IF($B$4=0,0,Settings!$B$14*C24/$B$4))</f>
        <v/>
      </c>
      <c r="H24" s="11">
        <f>IF(A24="","",C24-D24-E24-F24-G24)</f>
        <v/>
      </c>
      <c r="I24" s="11">
        <f>IF(OR(A24="",N(B24)=0),"",H24/B24)</f>
        <v/>
      </c>
      <c r="J24" s="12">
        <f>IF(OR(A24="",N(C24)=0),"",H24/C24)</f>
        <v/>
      </c>
      <c r="K24">
        <f>IF(A24="","",IF(N(B24)=0,"No sales",IF(H24&lt;0,"LOSING MONEY",IF(J24&lt;0.15,"Thin margin","Healthy"))))</f>
        <v/>
      </c>
    </row>
    <row r="25">
      <c r="A25">
        <f>IF(Products!A19="","",Products!A19)</f>
        <v/>
      </c>
      <c r="B25">
        <f>IF(A25="","",SUMIFS('Etsy Calc'!$D$2:$D$1501,'Etsy Calc'!$L$2:$L$1501,A25)+SUMIFS('Shopify Calc'!$D$2:$D$1501,'Shopify Calc'!$L$2:$L$1501,A25)+SUMIFS('Manual Sales'!$M$2:$M$1501,'Manual Sales'!$U$2:$U$1501,A25))</f>
        <v/>
      </c>
      <c r="C25" s="11">
        <f>IF(A25="","",SUMIFS('Etsy Calc'!$J$2:$J$1501,'Etsy Calc'!$L$2:$L$1501,A25)+SUMIFS('Shopify Calc'!$J$2:$J$1501,'Shopify Calc'!$L$2:$L$1501,A25)+SUMIFS('Manual Sales'!$S$2:$S$1501,'Manual Sales'!$U$2:$U$1501,A25))</f>
        <v/>
      </c>
      <c r="D25" s="11">
        <f>IF(A25="","",SUMIFS('Etsy Calc'!$M$2:$M$1501,'Etsy Calc'!$L$2:$L$1501,A25)+SUMIFS('Shopify Calc'!$M$2:$M$1501,'Shopify Calc'!$L$2:$L$1501,A25)+SUMIFS('Manual Sales'!$V$2:$V$1501,'Manual Sales'!$U$2:$U$1501,A25))</f>
        <v/>
      </c>
      <c r="E25" s="11">
        <f>IF(A25="","",SUMIFS('Etsy Calc'!$N$2:$N$1501,'Etsy Calc'!$L$2:$L$1501,A25)+SUMIFS('Shopify Calc'!$N$2:$N$1501,'Shopify Calc'!$L$2:$L$1501,A25)+SUMIFS('Manual Sales'!$W$2:$W$1501,'Manual Sales'!$U$2:$U$1501,A25))</f>
        <v/>
      </c>
      <c r="F25" s="11">
        <f>IF(A25="","",SUMIFS('Etsy Calc'!$O$2:$O$1501,'Etsy Calc'!$L$2:$L$1501,A25)+SUMIFS('Shopify Calc'!$O$2:$O$1501,'Shopify Calc'!$L$2:$L$1501,A25)+SUMIFS('Manual Sales'!$X$2:$X$1501,'Manual Sales'!$U$2:$U$1501,A25))</f>
        <v/>
      </c>
      <c r="G25" s="11">
        <f>IF(A25="","",IF($B$4=0,0,Settings!$B$14*C25/$B$4))</f>
        <v/>
      </c>
      <c r="H25" s="11">
        <f>IF(A25="","",C25-D25-E25-F25-G25)</f>
        <v/>
      </c>
      <c r="I25" s="11">
        <f>IF(OR(A25="",N(B25)=0),"",H25/B25)</f>
        <v/>
      </c>
      <c r="J25" s="12">
        <f>IF(OR(A25="",N(C25)=0),"",H25/C25)</f>
        <v/>
      </c>
      <c r="K25">
        <f>IF(A25="","",IF(N(B25)=0,"No sales",IF(H25&lt;0,"LOSING MONEY",IF(J25&lt;0.15,"Thin margin","Healthy"))))</f>
        <v/>
      </c>
    </row>
    <row r="26">
      <c r="A26">
        <f>IF(Products!A20="","",Products!A20)</f>
        <v/>
      </c>
      <c r="B26">
        <f>IF(A26="","",SUMIFS('Etsy Calc'!$D$2:$D$1501,'Etsy Calc'!$L$2:$L$1501,A26)+SUMIFS('Shopify Calc'!$D$2:$D$1501,'Shopify Calc'!$L$2:$L$1501,A26)+SUMIFS('Manual Sales'!$M$2:$M$1501,'Manual Sales'!$U$2:$U$1501,A26))</f>
        <v/>
      </c>
      <c r="C26" s="11">
        <f>IF(A26="","",SUMIFS('Etsy Calc'!$J$2:$J$1501,'Etsy Calc'!$L$2:$L$1501,A26)+SUMIFS('Shopify Calc'!$J$2:$J$1501,'Shopify Calc'!$L$2:$L$1501,A26)+SUMIFS('Manual Sales'!$S$2:$S$1501,'Manual Sales'!$U$2:$U$1501,A26))</f>
        <v/>
      </c>
      <c r="D26" s="11">
        <f>IF(A26="","",SUMIFS('Etsy Calc'!$M$2:$M$1501,'Etsy Calc'!$L$2:$L$1501,A26)+SUMIFS('Shopify Calc'!$M$2:$M$1501,'Shopify Calc'!$L$2:$L$1501,A26)+SUMIFS('Manual Sales'!$V$2:$V$1501,'Manual Sales'!$U$2:$U$1501,A26))</f>
        <v/>
      </c>
      <c r="E26" s="11">
        <f>IF(A26="","",SUMIFS('Etsy Calc'!$N$2:$N$1501,'Etsy Calc'!$L$2:$L$1501,A26)+SUMIFS('Shopify Calc'!$N$2:$N$1501,'Shopify Calc'!$L$2:$L$1501,A26)+SUMIFS('Manual Sales'!$W$2:$W$1501,'Manual Sales'!$U$2:$U$1501,A26))</f>
        <v/>
      </c>
      <c r="F26" s="11">
        <f>IF(A26="","",SUMIFS('Etsy Calc'!$O$2:$O$1501,'Etsy Calc'!$L$2:$L$1501,A26)+SUMIFS('Shopify Calc'!$O$2:$O$1501,'Shopify Calc'!$L$2:$L$1501,A26)+SUMIFS('Manual Sales'!$X$2:$X$1501,'Manual Sales'!$U$2:$U$1501,A26))</f>
        <v/>
      </c>
      <c r="G26" s="11">
        <f>IF(A26="","",IF($B$4=0,0,Settings!$B$14*C26/$B$4))</f>
        <v/>
      </c>
      <c r="H26" s="11">
        <f>IF(A26="","",C26-D26-E26-F26-G26)</f>
        <v/>
      </c>
      <c r="I26" s="11">
        <f>IF(OR(A26="",N(B26)=0),"",H26/B26)</f>
        <v/>
      </c>
      <c r="J26" s="12">
        <f>IF(OR(A26="",N(C26)=0),"",H26/C26)</f>
        <v/>
      </c>
      <c r="K26">
        <f>IF(A26="","",IF(N(B26)=0,"No sales",IF(H26&lt;0,"LOSING MONEY",IF(J26&lt;0.15,"Thin margin","Healthy"))))</f>
        <v/>
      </c>
    </row>
    <row r="27">
      <c r="A27">
        <f>IF(Products!A21="","",Products!A21)</f>
        <v/>
      </c>
      <c r="B27">
        <f>IF(A27="","",SUMIFS('Etsy Calc'!$D$2:$D$1501,'Etsy Calc'!$L$2:$L$1501,A27)+SUMIFS('Shopify Calc'!$D$2:$D$1501,'Shopify Calc'!$L$2:$L$1501,A27)+SUMIFS('Manual Sales'!$M$2:$M$1501,'Manual Sales'!$U$2:$U$1501,A27))</f>
        <v/>
      </c>
      <c r="C27" s="11">
        <f>IF(A27="","",SUMIFS('Etsy Calc'!$J$2:$J$1501,'Etsy Calc'!$L$2:$L$1501,A27)+SUMIFS('Shopify Calc'!$J$2:$J$1501,'Shopify Calc'!$L$2:$L$1501,A27)+SUMIFS('Manual Sales'!$S$2:$S$1501,'Manual Sales'!$U$2:$U$1501,A27))</f>
        <v/>
      </c>
      <c r="D27" s="11">
        <f>IF(A27="","",SUMIFS('Etsy Calc'!$M$2:$M$1501,'Etsy Calc'!$L$2:$L$1501,A27)+SUMIFS('Shopify Calc'!$M$2:$M$1501,'Shopify Calc'!$L$2:$L$1501,A27)+SUMIFS('Manual Sales'!$V$2:$V$1501,'Manual Sales'!$U$2:$U$1501,A27))</f>
        <v/>
      </c>
      <c r="E27" s="11">
        <f>IF(A27="","",SUMIFS('Etsy Calc'!$N$2:$N$1501,'Etsy Calc'!$L$2:$L$1501,A27)+SUMIFS('Shopify Calc'!$N$2:$N$1501,'Shopify Calc'!$L$2:$L$1501,A27)+SUMIFS('Manual Sales'!$W$2:$W$1501,'Manual Sales'!$U$2:$U$1501,A27))</f>
        <v/>
      </c>
      <c r="F27" s="11">
        <f>IF(A27="","",SUMIFS('Etsy Calc'!$O$2:$O$1501,'Etsy Calc'!$L$2:$L$1501,A27)+SUMIFS('Shopify Calc'!$O$2:$O$1501,'Shopify Calc'!$L$2:$L$1501,A27)+SUMIFS('Manual Sales'!$X$2:$X$1501,'Manual Sales'!$U$2:$U$1501,A27))</f>
        <v/>
      </c>
      <c r="G27" s="11">
        <f>IF(A27="","",IF($B$4=0,0,Settings!$B$14*C27/$B$4))</f>
        <v/>
      </c>
      <c r="H27" s="11">
        <f>IF(A27="","",C27-D27-E27-F27-G27)</f>
        <v/>
      </c>
      <c r="I27" s="11">
        <f>IF(OR(A27="",N(B27)=0),"",H27/B27)</f>
        <v/>
      </c>
      <c r="J27" s="12">
        <f>IF(OR(A27="",N(C27)=0),"",H27/C27)</f>
        <v/>
      </c>
      <c r="K27">
        <f>IF(A27="","",IF(N(B27)=0,"No sales",IF(H27&lt;0,"LOSING MONEY",IF(J27&lt;0.15,"Thin margin","Healthy"))))</f>
        <v/>
      </c>
    </row>
    <row r="28">
      <c r="A28">
        <f>IF(Products!A22="","",Products!A22)</f>
        <v/>
      </c>
      <c r="B28">
        <f>IF(A28="","",SUMIFS('Etsy Calc'!$D$2:$D$1501,'Etsy Calc'!$L$2:$L$1501,A28)+SUMIFS('Shopify Calc'!$D$2:$D$1501,'Shopify Calc'!$L$2:$L$1501,A28)+SUMIFS('Manual Sales'!$M$2:$M$1501,'Manual Sales'!$U$2:$U$1501,A28))</f>
        <v/>
      </c>
      <c r="C28" s="11">
        <f>IF(A28="","",SUMIFS('Etsy Calc'!$J$2:$J$1501,'Etsy Calc'!$L$2:$L$1501,A28)+SUMIFS('Shopify Calc'!$J$2:$J$1501,'Shopify Calc'!$L$2:$L$1501,A28)+SUMIFS('Manual Sales'!$S$2:$S$1501,'Manual Sales'!$U$2:$U$1501,A28))</f>
        <v/>
      </c>
      <c r="D28" s="11">
        <f>IF(A28="","",SUMIFS('Etsy Calc'!$M$2:$M$1501,'Etsy Calc'!$L$2:$L$1501,A28)+SUMIFS('Shopify Calc'!$M$2:$M$1501,'Shopify Calc'!$L$2:$L$1501,A28)+SUMIFS('Manual Sales'!$V$2:$V$1501,'Manual Sales'!$U$2:$U$1501,A28))</f>
        <v/>
      </c>
      <c r="E28" s="11">
        <f>IF(A28="","",SUMIFS('Etsy Calc'!$N$2:$N$1501,'Etsy Calc'!$L$2:$L$1501,A28)+SUMIFS('Shopify Calc'!$N$2:$N$1501,'Shopify Calc'!$L$2:$L$1501,A28)+SUMIFS('Manual Sales'!$W$2:$W$1501,'Manual Sales'!$U$2:$U$1501,A28))</f>
        <v/>
      </c>
      <c r="F28" s="11">
        <f>IF(A28="","",SUMIFS('Etsy Calc'!$O$2:$O$1501,'Etsy Calc'!$L$2:$L$1501,A28)+SUMIFS('Shopify Calc'!$O$2:$O$1501,'Shopify Calc'!$L$2:$L$1501,A28)+SUMIFS('Manual Sales'!$X$2:$X$1501,'Manual Sales'!$U$2:$U$1501,A28))</f>
        <v/>
      </c>
      <c r="G28" s="11">
        <f>IF(A28="","",IF($B$4=0,0,Settings!$B$14*C28/$B$4))</f>
        <v/>
      </c>
      <c r="H28" s="11">
        <f>IF(A28="","",C28-D28-E28-F28-G28)</f>
        <v/>
      </c>
      <c r="I28" s="11">
        <f>IF(OR(A28="",N(B28)=0),"",H28/B28)</f>
        <v/>
      </c>
      <c r="J28" s="12">
        <f>IF(OR(A28="",N(C28)=0),"",H28/C28)</f>
        <v/>
      </c>
      <c r="K28">
        <f>IF(A28="","",IF(N(B28)=0,"No sales",IF(H28&lt;0,"LOSING MONEY",IF(J28&lt;0.15,"Thin margin","Healthy"))))</f>
        <v/>
      </c>
    </row>
    <row r="29">
      <c r="A29">
        <f>IF(Products!A23="","",Products!A23)</f>
        <v/>
      </c>
      <c r="B29">
        <f>IF(A29="","",SUMIFS('Etsy Calc'!$D$2:$D$1501,'Etsy Calc'!$L$2:$L$1501,A29)+SUMIFS('Shopify Calc'!$D$2:$D$1501,'Shopify Calc'!$L$2:$L$1501,A29)+SUMIFS('Manual Sales'!$M$2:$M$1501,'Manual Sales'!$U$2:$U$1501,A29))</f>
        <v/>
      </c>
      <c r="C29" s="11">
        <f>IF(A29="","",SUMIFS('Etsy Calc'!$J$2:$J$1501,'Etsy Calc'!$L$2:$L$1501,A29)+SUMIFS('Shopify Calc'!$J$2:$J$1501,'Shopify Calc'!$L$2:$L$1501,A29)+SUMIFS('Manual Sales'!$S$2:$S$1501,'Manual Sales'!$U$2:$U$1501,A29))</f>
        <v/>
      </c>
      <c r="D29" s="11">
        <f>IF(A29="","",SUMIFS('Etsy Calc'!$M$2:$M$1501,'Etsy Calc'!$L$2:$L$1501,A29)+SUMIFS('Shopify Calc'!$M$2:$M$1501,'Shopify Calc'!$L$2:$L$1501,A29)+SUMIFS('Manual Sales'!$V$2:$V$1501,'Manual Sales'!$U$2:$U$1501,A29))</f>
        <v/>
      </c>
      <c r="E29" s="11">
        <f>IF(A29="","",SUMIFS('Etsy Calc'!$N$2:$N$1501,'Etsy Calc'!$L$2:$L$1501,A29)+SUMIFS('Shopify Calc'!$N$2:$N$1501,'Shopify Calc'!$L$2:$L$1501,A29)+SUMIFS('Manual Sales'!$W$2:$W$1501,'Manual Sales'!$U$2:$U$1501,A29))</f>
        <v/>
      </c>
      <c r="F29" s="11">
        <f>IF(A29="","",SUMIFS('Etsy Calc'!$O$2:$O$1501,'Etsy Calc'!$L$2:$L$1501,A29)+SUMIFS('Shopify Calc'!$O$2:$O$1501,'Shopify Calc'!$L$2:$L$1501,A29)+SUMIFS('Manual Sales'!$X$2:$X$1501,'Manual Sales'!$U$2:$U$1501,A29))</f>
        <v/>
      </c>
      <c r="G29" s="11">
        <f>IF(A29="","",IF($B$4=0,0,Settings!$B$14*C29/$B$4))</f>
        <v/>
      </c>
      <c r="H29" s="11">
        <f>IF(A29="","",C29-D29-E29-F29-G29)</f>
        <v/>
      </c>
      <c r="I29" s="11">
        <f>IF(OR(A29="",N(B29)=0),"",H29/B29)</f>
        <v/>
      </c>
      <c r="J29" s="12">
        <f>IF(OR(A29="",N(C29)=0),"",H29/C29)</f>
        <v/>
      </c>
      <c r="K29">
        <f>IF(A29="","",IF(N(B29)=0,"No sales",IF(H29&lt;0,"LOSING MONEY",IF(J29&lt;0.15,"Thin margin","Healthy"))))</f>
        <v/>
      </c>
    </row>
    <row r="30">
      <c r="A30">
        <f>IF(Products!A24="","",Products!A24)</f>
        <v/>
      </c>
      <c r="B30">
        <f>IF(A30="","",SUMIFS('Etsy Calc'!$D$2:$D$1501,'Etsy Calc'!$L$2:$L$1501,A30)+SUMIFS('Shopify Calc'!$D$2:$D$1501,'Shopify Calc'!$L$2:$L$1501,A30)+SUMIFS('Manual Sales'!$M$2:$M$1501,'Manual Sales'!$U$2:$U$1501,A30))</f>
        <v/>
      </c>
      <c r="C30" s="11">
        <f>IF(A30="","",SUMIFS('Etsy Calc'!$J$2:$J$1501,'Etsy Calc'!$L$2:$L$1501,A30)+SUMIFS('Shopify Calc'!$J$2:$J$1501,'Shopify Calc'!$L$2:$L$1501,A30)+SUMIFS('Manual Sales'!$S$2:$S$1501,'Manual Sales'!$U$2:$U$1501,A30))</f>
        <v/>
      </c>
      <c r="D30" s="11">
        <f>IF(A30="","",SUMIFS('Etsy Calc'!$M$2:$M$1501,'Etsy Calc'!$L$2:$L$1501,A30)+SUMIFS('Shopify Calc'!$M$2:$M$1501,'Shopify Calc'!$L$2:$L$1501,A30)+SUMIFS('Manual Sales'!$V$2:$V$1501,'Manual Sales'!$U$2:$U$1501,A30))</f>
        <v/>
      </c>
      <c r="E30" s="11">
        <f>IF(A30="","",SUMIFS('Etsy Calc'!$N$2:$N$1501,'Etsy Calc'!$L$2:$L$1501,A30)+SUMIFS('Shopify Calc'!$N$2:$N$1501,'Shopify Calc'!$L$2:$L$1501,A30)+SUMIFS('Manual Sales'!$W$2:$W$1501,'Manual Sales'!$U$2:$U$1501,A30))</f>
        <v/>
      </c>
      <c r="F30" s="11">
        <f>IF(A30="","",SUMIFS('Etsy Calc'!$O$2:$O$1501,'Etsy Calc'!$L$2:$L$1501,A30)+SUMIFS('Shopify Calc'!$O$2:$O$1501,'Shopify Calc'!$L$2:$L$1501,A30)+SUMIFS('Manual Sales'!$X$2:$X$1501,'Manual Sales'!$U$2:$U$1501,A30))</f>
        <v/>
      </c>
      <c r="G30" s="11">
        <f>IF(A30="","",IF($B$4=0,0,Settings!$B$14*C30/$B$4))</f>
        <v/>
      </c>
      <c r="H30" s="11">
        <f>IF(A30="","",C30-D30-E30-F30-G30)</f>
        <v/>
      </c>
      <c r="I30" s="11">
        <f>IF(OR(A30="",N(B30)=0),"",H30/B30)</f>
        <v/>
      </c>
      <c r="J30" s="12">
        <f>IF(OR(A30="",N(C30)=0),"",H30/C30)</f>
        <v/>
      </c>
      <c r="K30">
        <f>IF(A30="","",IF(N(B30)=0,"No sales",IF(H30&lt;0,"LOSING MONEY",IF(J30&lt;0.15,"Thin margin","Healthy"))))</f>
        <v/>
      </c>
    </row>
    <row r="31">
      <c r="A31">
        <f>IF(Products!A25="","",Products!A25)</f>
        <v/>
      </c>
      <c r="B31">
        <f>IF(A31="","",SUMIFS('Etsy Calc'!$D$2:$D$1501,'Etsy Calc'!$L$2:$L$1501,A31)+SUMIFS('Shopify Calc'!$D$2:$D$1501,'Shopify Calc'!$L$2:$L$1501,A31)+SUMIFS('Manual Sales'!$M$2:$M$1501,'Manual Sales'!$U$2:$U$1501,A31))</f>
        <v/>
      </c>
      <c r="C31" s="11">
        <f>IF(A31="","",SUMIFS('Etsy Calc'!$J$2:$J$1501,'Etsy Calc'!$L$2:$L$1501,A31)+SUMIFS('Shopify Calc'!$J$2:$J$1501,'Shopify Calc'!$L$2:$L$1501,A31)+SUMIFS('Manual Sales'!$S$2:$S$1501,'Manual Sales'!$U$2:$U$1501,A31))</f>
        <v/>
      </c>
      <c r="D31" s="11">
        <f>IF(A31="","",SUMIFS('Etsy Calc'!$M$2:$M$1501,'Etsy Calc'!$L$2:$L$1501,A31)+SUMIFS('Shopify Calc'!$M$2:$M$1501,'Shopify Calc'!$L$2:$L$1501,A31)+SUMIFS('Manual Sales'!$V$2:$V$1501,'Manual Sales'!$U$2:$U$1501,A31))</f>
        <v/>
      </c>
      <c r="E31" s="11">
        <f>IF(A31="","",SUMIFS('Etsy Calc'!$N$2:$N$1501,'Etsy Calc'!$L$2:$L$1501,A31)+SUMIFS('Shopify Calc'!$N$2:$N$1501,'Shopify Calc'!$L$2:$L$1501,A31)+SUMIFS('Manual Sales'!$W$2:$W$1501,'Manual Sales'!$U$2:$U$1501,A31))</f>
        <v/>
      </c>
      <c r="F31" s="11">
        <f>IF(A31="","",SUMIFS('Etsy Calc'!$O$2:$O$1501,'Etsy Calc'!$L$2:$L$1501,A31)+SUMIFS('Shopify Calc'!$O$2:$O$1501,'Shopify Calc'!$L$2:$L$1501,A31)+SUMIFS('Manual Sales'!$X$2:$X$1501,'Manual Sales'!$U$2:$U$1501,A31))</f>
        <v/>
      </c>
      <c r="G31" s="11">
        <f>IF(A31="","",IF($B$4=0,0,Settings!$B$14*C31/$B$4))</f>
        <v/>
      </c>
      <c r="H31" s="11">
        <f>IF(A31="","",C31-D31-E31-F31-G31)</f>
        <v/>
      </c>
      <c r="I31" s="11">
        <f>IF(OR(A31="",N(B31)=0),"",H31/B31)</f>
        <v/>
      </c>
      <c r="J31" s="12">
        <f>IF(OR(A31="",N(C31)=0),"",H31/C31)</f>
        <v/>
      </c>
      <c r="K31">
        <f>IF(A31="","",IF(N(B31)=0,"No sales",IF(H31&lt;0,"LOSING MONEY",IF(J31&lt;0.15,"Thin margin","Healthy"))))</f>
        <v/>
      </c>
    </row>
    <row r="32">
      <c r="A32">
        <f>IF(Products!A26="","",Products!A26)</f>
        <v/>
      </c>
      <c r="B32">
        <f>IF(A32="","",SUMIFS('Etsy Calc'!$D$2:$D$1501,'Etsy Calc'!$L$2:$L$1501,A32)+SUMIFS('Shopify Calc'!$D$2:$D$1501,'Shopify Calc'!$L$2:$L$1501,A32)+SUMIFS('Manual Sales'!$M$2:$M$1501,'Manual Sales'!$U$2:$U$1501,A32))</f>
        <v/>
      </c>
      <c r="C32" s="11">
        <f>IF(A32="","",SUMIFS('Etsy Calc'!$J$2:$J$1501,'Etsy Calc'!$L$2:$L$1501,A32)+SUMIFS('Shopify Calc'!$J$2:$J$1501,'Shopify Calc'!$L$2:$L$1501,A32)+SUMIFS('Manual Sales'!$S$2:$S$1501,'Manual Sales'!$U$2:$U$1501,A32))</f>
        <v/>
      </c>
      <c r="D32" s="11">
        <f>IF(A32="","",SUMIFS('Etsy Calc'!$M$2:$M$1501,'Etsy Calc'!$L$2:$L$1501,A32)+SUMIFS('Shopify Calc'!$M$2:$M$1501,'Shopify Calc'!$L$2:$L$1501,A32)+SUMIFS('Manual Sales'!$V$2:$V$1501,'Manual Sales'!$U$2:$U$1501,A32))</f>
        <v/>
      </c>
      <c r="E32" s="11">
        <f>IF(A32="","",SUMIFS('Etsy Calc'!$N$2:$N$1501,'Etsy Calc'!$L$2:$L$1501,A32)+SUMIFS('Shopify Calc'!$N$2:$N$1501,'Shopify Calc'!$L$2:$L$1501,A32)+SUMIFS('Manual Sales'!$W$2:$W$1501,'Manual Sales'!$U$2:$U$1501,A32))</f>
        <v/>
      </c>
      <c r="F32" s="11">
        <f>IF(A32="","",SUMIFS('Etsy Calc'!$O$2:$O$1501,'Etsy Calc'!$L$2:$L$1501,A32)+SUMIFS('Shopify Calc'!$O$2:$O$1501,'Shopify Calc'!$L$2:$L$1501,A32)+SUMIFS('Manual Sales'!$X$2:$X$1501,'Manual Sales'!$U$2:$U$1501,A32))</f>
        <v/>
      </c>
      <c r="G32" s="11">
        <f>IF(A32="","",IF($B$4=0,0,Settings!$B$14*C32/$B$4))</f>
        <v/>
      </c>
      <c r="H32" s="11">
        <f>IF(A32="","",C32-D32-E32-F32-G32)</f>
        <v/>
      </c>
      <c r="I32" s="11">
        <f>IF(OR(A32="",N(B32)=0),"",H32/B32)</f>
        <v/>
      </c>
      <c r="J32" s="12">
        <f>IF(OR(A32="",N(C32)=0),"",H32/C32)</f>
        <v/>
      </c>
      <c r="K32">
        <f>IF(A32="","",IF(N(B32)=0,"No sales",IF(H32&lt;0,"LOSING MONEY",IF(J32&lt;0.15,"Thin margin","Healthy"))))</f>
        <v/>
      </c>
    </row>
    <row r="33">
      <c r="A33">
        <f>IF(Products!A27="","",Products!A27)</f>
        <v/>
      </c>
      <c r="B33">
        <f>IF(A33="","",SUMIFS('Etsy Calc'!$D$2:$D$1501,'Etsy Calc'!$L$2:$L$1501,A33)+SUMIFS('Shopify Calc'!$D$2:$D$1501,'Shopify Calc'!$L$2:$L$1501,A33)+SUMIFS('Manual Sales'!$M$2:$M$1501,'Manual Sales'!$U$2:$U$1501,A33))</f>
        <v/>
      </c>
      <c r="C33" s="11">
        <f>IF(A33="","",SUMIFS('Etsy Calc'!$J$2:$J$1501,'Etsy Calc'!$L$2:$L$1501,A33)+SUMIFS('Shopify Calc'!$J$2:$J$1501,'Shopify Calc'!$L$2:$L$1501,A33)+SUMIFS('Manual Sales'!$S$2:$S$1501,'Manual Sales'!$U$2:$U$1501,A33))</f>
        <v/>
      </c>
      <c r="D33" s="11">
        <f>IF(A33="","",SUMIFS('Etsy Calc'!$M$2:$M$1501,'Etsy Calc'!$L$2:$L$1501,A33)+SUMIFS('Shopify Calc'!$M$2:$M$1501,'Shopify Calc'!$L$2:$L$1501,A33)+SUMIFS('Manual Sales'!$V$2:$V$1501,'Manual Sales'!$U$2:$U$1501,A33))</f>
        <v/>
      </c>
      <c r="E33" s="11">
        <f>IF(A33="","",SUMIFS('Etsy Calc'!$N$2:$N$1501,'Etsy Calc'!$L$2:$L$1501,A33)+SUMIFS('Shopify Calc'!$N$2:$N$1501,'Shopify Calc'!$L$2:$L$1501,A33)+SUMIFS('Manual Sales'!$W$2:$W$1501,'Manual Sales'!$U$2:$U$1501,A33))</f>
        <v/>
      </c>
      <c r="F33" s="11">
        <f>IF(A33="","",SUMIFS('Etsy Calc'!$O$2:$O$1501,'Etsy Calc'!$L$2:$L$1501,A33)+SUMIFS('Shopify Calc'!$O$2:$O$1501,'Shopify Calc'!$L$2:$L$1501,A33)+SUMIFS('Manual Sales'!$X$2:$X$1501,'Manual Sales'!$U$2:$U$1501,A33))</f>
        <v/>
      </c>
      <c r="G33" s="11">
        <f>IF(A33="","",IF($B$4=0,0,Settings!$B$14*C33/$B$4))</f>
        <v/>
      </c>
      <c r="H33" s="11">
        <f>IF(A33="","",C33-D33-E33-F33-G33)</f>
        <v/>
      </c>
      <c r="I33" s="11">
        <f>IF(OR(A33="",N(B33)=0),"",H33/B33)</f>
        <v/>
      </c>
      <c r="J33" s="12">
        <f>IF(OR(A33="",N(C33)=0),"",H33/C33)</f>
        <v/>
      </c>
      <c r="K33">
        <f>IF(A33="","",IF(N(B33)=0,"No sales",IF(H33&lt;0,"LOSING MONEY",IF(J33&lt;0.15,"Thin margin","Healthy"))))</f>
        <v/>
      </c>
    </row>
    <row r="34">
      <c r="A34">
        <f>IF(Products!A28="","",Products!A28)</f>
        <v/>
      </c>
      <c r="B34">
        <f>IF(A34="","",SUMIFS('Etsy Calc'!$D$2:$D$1501,'Etsy Calc'!$L$2:$L$1501,A34)+SUMIFS('Shopify Calc'!$D$2:$D$1501,'Shopify Calc'!$L$2:$L$1501,A34)+SUMIFS('Manual Sales'!$M$2:$M$1501,'Manual Sales'!$U$2:$U$1501,A34))</f>
        <v/>
      </c>
      <c r="C34" s="11">
        <f>IF(A34="","",SUMIFS('Etsy Calc'!$J$2:$J$1501,'Etsy Calc'!$L$2:$L$1501,A34)+SUMIFS('Shopify Calc'!$J$2:$J$1501,'Shopify Calc'!$L$2:$L$1501,A34)+SUMIFS('Manual Sales'!$S$2:$S$1501,'Manual Sales'!$U$2:$U$1501,A34))</f>
        <v/>
      </c>
      <c r="D34" s="11">
        <f>IF(A34="","",SUMIFS('Etsy Calc'!$M$2:$M$1501,'Etsy Calc'!$L$2:$L$1501,A34)+SUMIFS('Shopify Calc'!$M$2:$M$1501,'Shopify Calc'!$L$2:$L$1501,A34)+SUMIFS('Manual Sales'!$V$2:$V$1501,'Manual Sales'!$U$2:$U$1501,A34))</f>
        <v/>
      </c>
      <c r="E34" s="11">
        <f>IF(A34="","",SUMIFS('Etsy Calc'!$N$2:$N$1501,'Etsy Calc'!$L$2:$L$1501,A34)+SUMIFS('Shopify Calc'!$N$2:$N$1501,'Shopify Calc'!$L$2:$L$1501,A34)+SUMIFS('Manual Sales'!$W$2:$W$1501,'Manual Sales'!$U$2:$U$1501,A34))</f>
        <v/>
      </c>
      <c r="F34" s="11">
        <f>IF(A34="","",SUMIFS('Etsy Calc'!$O$2:$O$1501,'Etsy Calc'!$L$2:$L$1501,A34)+SUMIFS('Shopify Calc'!$O$2:$O$1501,'Shopify Calc'!$L$2:$L$1501,A34)+SUMIFS('Manual Sales'!$X$2:$X$1501,'Manual Sales'!$U$2:$U$1501,A34))</f>
        <v/>
      </c>
      <c r="G34" s="11">
        <f>IF(A34="","",IF($B$4=0,0,Settings!$B$14*C34/$B$4))</f>
        <v/>
      </c>
      <c r="H34" s="11">
        <f>IF(A34="","",C34-D34-E34-F34-G34)</f>
        <v/>
      </c>
      <c r="I34" s="11">
        <f>IF(OR(A34="",N(B34)=0),"",H34/B34)</f>
        <v/>
      </c>
      <c r="J34" s="12">
        <f>IF(OR(A34="",N(C34)=0),"",H34/C34)</f>
        <v/>
      </c>
      <c r="K34">
        <f>IF(A34="","",IF(N(B34)=0,"No sales",IF(H34&lt;0,"LOSING MONEY",IF(J34&lt;0.15,"Thin margin","Healthy"))))</f>
        <v/>
      </c>
    </row>
    <row r="35">
      <c r="A35">
        <f>IF(Products!A29="","",Products!A29)</f>
        <v/>
      </c>
      <c r="B35">
        <f>IF(A35="","",SUMIFS('Etsy Calc'!$D$2:$D$1501,'Etsy Calc'!$L$2:$L$1501,A35)+SUMIFS('Shopify Calc'!$D$2:$D$1501,'Shopify Calc'!$L$2:$L$1501,A35)+SUMIFS('Manual Sales'!$M$2:$M$1501,'Manual Sales'!$U$2:$U$1501,A35))</f>
        <v/>
      </c>
      <c r="C35" s="11">
        <f>IF(A35="","",SUMIFS('Etsy Calc'!$J$2:$J$1501,'Etsy Calc'!$L$2:$L$1501,A35)+SUMIFS('Shopify Calc'!$J$2:$J$1501,'Shopify Calc'!$L$2:$L$1501,A35)+SUMIFS('Manual Sales'!$S$2:$S$1501,'Manual Sales'!$U$2:$U$1501,A35))</f>
        <v/>
      </c>
      <c r="D35" s="11">
        <f>IF(A35="","",SUMIFS('Etsy Calc'!$M$2:$M$1501,'Etsy Calc'!$L$2:$L$1501,A35)+SUMIFS('Shopify Calc'!$M$2:$M$1501,'Shopify Calc'!$L$2:$L$1501,A35)+SUMIFS('Manual Sales'!$V$2:$V$1501,'Manual Sales'!$U$2:$U$1501,A35))</f>
        <v/>
      </c>
      <c r="E35" s="11">
        <f>IF(A35="","",SUMIFS('Etsy Calc'!$N$2:$N$1501,'Etsy Calc'!$L$2:$L$1501,A35)+SUMIFS('Shopify Calc'!$N$2:$N$1501,'Shopify Calc'!$L$2:$L$1501,A35)+SUMIFS('Manual Sales'!$W$2:$W$1501,'Manual Sales'!$U$2:$U$1501,A35))</f>
        <v/>
      </c>
      <c r="F35" s="11">
        <f>IF(A35="","",SUMIFS('Etsy Calc'!$O$2:$O$1501,'Etsy Calc'!$L$2:$L$1501,A35)+SUMIFS('Shopify Calc'!$O$2:$O$1501,'Shopify Calc'!$L$2:$L$1501,A35)+SUMIFS('Manual Sales'!$X$2:$X$1501,'Manual Sales'!$U$2:$U$1501,A35))</f>
        <v/>
      </c>
      <c r="G35" s="11">
        <f>IF(A35="","",IF($B$4=0,0,Settings!$B$14*C35/$B$4))</f>
        <v/>
      </c>
      <c r="H35" s="11">
        <f>IF(A35="","",C35-D35-E35-F35-G35)</f>
        <v/>
      </c>
      <c r="I35" s="11">
        <f>IF(OR(A35="",N(B35)=0),"",H35/B35)</f>
        <v/>
      </c>
      <c r="J35" s="12">
        <f>IF(OR(A35="",N(C35)=0),"",H35/C35)</f>
        <v/>
      </c>
      <c r="K35">
        <f>IF(A35="","",IF(N(B35)=0,"No sales",IF(H35&lt;0,"LOSING MONEY",IF(J35&lt;0.15,"Thin margin","Healthy"))))</f>
        <v/>
      </c>
    </row>
    <row r="36">
      <c r="A36">
        <f>IF(Products!A30="","",Products!A30)</f>
        <v/>
      </c>
      <c r="B36">
        <f>IF(A36="","",SUMIFS('Etsy Calc'!$D$2:$D$1501,'Etsy Calc'!$L$2:$L$1501,A36)+SUMIFS('Shopify Calc'!$D$2:$D$1501,'Shopify Calc'!$L$2:$L$1501,A36)+SUMIFS('Manual Sales'!$M$2:$M$1501,'Manual Sales'!$U$2:$U$1501,A36))</f>
        <v/>
      </c>
      <c r="C36" s="11">
        <f>IF(A36="","",SUMIFS('Etsy Calc'!$J$2:$J$1501,'Etsy Calc'!$L$2:$L$1501,A36)+SUMIFS('Shopify Calc'!$J$2:$J$1501,'Shopify Calc'!$L$2:$L$1501,A36)+SUMIFS('Manual Sales'!$S$2:$S$1501,'Manual Sales'!$U$2:$U$1501,A36))</f>
        <v/>
      </c>
      <c r="D36" s="11">
        <f>IF(A36="","",SUMIFS('Etsy Calc'!$M$2:$M$1501,'Etsy Calc'!$L$2:$L$1501,A36)+SUMIFS('Shopify Calc'!$M$2:$M$1501,'Shopify Calc'!$L$2:$L$1501,A36)+SUMIFS('Manual Sales'!$V$2:$V$1501,'Manual Sales'!$U$2:$U$1501,A36))</f>
        <v/>
      </c>
      <c r="E36" s="11">
        <f>IF(A36="","",SUMIFS('Etsy Calc'!$N$2:$N$1501,'Etsy Calc'!$L$2:$L$1501,A36)+SUMIFS('Shopify Calc'!$N$2:$N$1501,'Shopify Calc'!$L$2:$L$1501,A36)+SUMIFS('Manual Sales'!$W$2:$W$1501,'Manual Sales'!$U$2:$U$1501,A36))</f>
        <v/>
      </c>
      <c r="F36" s="11">
        <f>IF(A36="","",SUMIFS('Etsy Calc'!$O$2:$O$1501,'Etsy Calc'!$L$2:$L$1501,A36)+SUMIFS('Shopify Calc'!$O$2:$O$1501,'Shopify Calc'!$L$2:$L$1501,A36)+SUMIFS('Manual Sales'!$X$2:$X$1501,'Manual Sales'!$U$2:$U$1501,A36))</f>
        <v/>
      </c>
      <c r="G36" s="11">
        <f>IF(A36="","",IF($B$4=0,0,Settings!$B$14*C36/$B$4))</f>
        <v/>
      </c>
      <c r="H36" s="11">
        <f>IF(A36="","",C36-D36-E36-F36-G36)</f>
        <v/>
      </c>
      <c r="I36" s="11">
        <f>IF(OR(A36="",N(B36)=0),"",H36/B36)</f>
        <v/>
      </c>
      <c r="J36" s="12">
        <f>IF(OR(A36="",N(C36)=0),"",H36/C36)</f>
        <v/>
      </c>
      <c r="K36">
        <f>IF(A36="","",IF(N(B36)=0,"No sales",IF(H36&lt;0,"LOSING MONEY",IF(J36&lt;0.15,"Thin margin","Healthy"))))</f>
        <v/>
      </c>
    </row>
    <row r="37">
      <c r="A37">
        <f>IF(Products!A31="","",Products!A31)</f>
        <v/>
      </c>
      <c r="B37">
        <f>IF(A37="","",SUMIFS('Etsy Calc'!$D$2:$D$1501,'Etsy Calc'!$L$2:$L$1501,A37)+SUMIFS('Shopify Calc'!$D$2:$D$1501,'Shopify Calc'!$L$2:$L$1501,A37)+SUMIFS('Manual Sales'!$M$2:$M$1501,'Manual Sales'!$U$2:$U$1501,A37))</f>
        <v/>
      </c>
      <c r="C37" s="11">
        <f>IF(A37="","",SUMIFS('Etsy Calc'!$J$2:$J$1501,'Etsy Calc'!$L$2:$L$1501,A37)+SUMIFS('Shopify Calc'!$J$2:$J$1501,'Shopify Calc'!$L$2:$L$1501,A37)+SUMIFS('Manual Sales'!$S$2:$S$1501,'Manual Sales'!$U$2:$U$1501,A37))</f>
        <v/>
      </c>
      <c r="D37" s="11">
        <f>IF(A37="","",SUMIFS('Etsy Calc'!$M$2:$M$1501,'Etsy Calc'!$L$2:$L$1501,A37)+SUMIFS('Shopify Calc'!$M$2:$M$1501,'Shopify Calc'!$L$2:$L$1501,A37)+SUMIFS('Manual Sales'!$V$2:$V$1501,'Manual Sales'!$U$2:$U$1501,A37))</f>
        <v/>
      </c>
      <c r="E37" s="11">
        <f>IF(A37="","",SUMIFS('Etsy Calc'!$N$2:$N$1501,'Etsy Calc'!$L$2:$L$1501,A37)+SUMIFS('Shopify Calc'!$N$2:$N$1501,'Shopify Calc'!$L$2:$L$1501,A37)+SUMIFS('Manual Sales'!$W$2:$W$1501,'Manual Sales'!$U$2:$U$1501,A37))</f>
        <v/>
      </c>
      <c r="F37" s="11">
        <f>IF(A37="","",SUMIFS('Etsy Calc'!$O$2:$O$1501,'Etsy Calc'!$L$2:$L$1501,A37)+SUMIFS('Shopify Calc'!$O$2:$O$1501,'Shopify Calc'!$L$2:$L$1501,A37)+SUMIFS('Manual Sales'!$X$2:$X$1501,'Manual Sales'!$U$2:$U$1501,A37))</f>
        <v/>
      </c>
      <c r="G37" s="11">
        <f>IF(A37="","",IF($B$4=0,0,Settings!$B$14*C37/$B$4))</f>
        <v/>
      </c>
      <c r="H37" s="11">
        <f>IF(A37="","",C37-D37-E37-F37-G37)</f>
        <v/>
      </c>
      <c r="I37" s="11">
        <f>IF(OR(A37="",N(B37)=0),"",H37/B37)</f>
        <v/>
      </c>
      <c r="J37" s="12">
        <f>IF(OR(A37="",N(C37)=0),"",H37/C37)</f>
        <v/>
      </c>
      <c r="K37">
        <f>IF(A37="","",IF(N(B37)=0,"No sales",IF(H37&lt;0,"LOSING MONEY",IF(J37&lt;0.15,"Thin margin","Healthy"))))</f>
        <v/>
      </c>
    </row>
    <row r="38">
      <c r="A38">
        <f>IF(Products!A32="","",Products!A32)</f>
        <v/>
      </c>
      <c r="B38">
        <f>IF(A38="","",SUMIFS('Etsy Calc'!$D$2:$D$1501,'Etsy Calc'!$L$2:$L$1501,A38)+SUMIFS('Shopify Calc'!$D$2:$D$1501,'Shopify Calc'!$L$2:$L$1501,A38)+SUMIFS('Manual Sales'!$M$2:$M$1501,'Manual Sales'!$U$2:$U$1501,A38))</f>
        <v/>
      </c>
      <c r="C38" s="11">
        <f>IF(A38="","",SUMIFS('Etsy Calc'!$J$2:$J$1501,'Etsy Calc'!$L$2:$L$1501,A38)+SUMIFS('Shopify Calc'!$J$2:$J$1501,'Shopify Calc'!$L$2:$L$1501,A38)+SUMIFS('Manual Sales'!$S$2:$S$1501,'Manual Sales'!$U$2:$U$1501,A38))</f>
        <v/>
      </c>
      <c r="D38" s="11">
        <f>IF(A38="","",SUMIFS('Etsy Calc'!$M$2:$M$1501,'Etsy Calc'!$L$2:$L$1501,A38)+SUMIFS('Shopify Calc'!$M$2:$M$1501,'Shopify Calc'!$L$2:$L$1501,A38)+SUMIFS('Manual Sales'!$V$2:$V$1501,'Manual Sales'!$U$2:$U$1501,A38))</f>
        <v/>
      </c>
      <c r="E38" s="11">
        <f>IF(A38="","",SUMIFS('Etsy Calc'!$N$2:$N$1501,'Etsy Calc'!$L$2:$L$1501,A38)+SUMIFS('Shopify Calc'!$N$2:$N$1501,'Shopify Calc'!$L$2:$L$1501,A38)+SUMIFS('Manual Sales'!$W$2:$W$1501,'Manual Sales'!$U$2:$U$1501,A38))</f>
        <v/>
      </c>
      <c r="F38" s="11">
        <f>IF(A38="","",SUMIFS('Etsy Calc'!$O$2:$O$1501,'Etsy Calc'!$L$2:$L$1501,A38)+SUMIFS('Shopify Calc'!$O$2:$O$1501,'Shopify Calc'!$L$2:$L$1501,A38)+SUMIFS('Manual Sales'!$X$2:$X$1501,'Manual Sales'!$U$2:$U$1501,A38))</f>
        <v/>
      </c>
      <c r="G38" s="11">
        <f>IF(A38="","",IF($B$4=0,0,Settings!$B$14*C38/$B$4))</f>
        <v/>
      </c>
      <c r="H38" s="11">
        <f>IF(A38="","",C38-D38-E38-F38-G38)</f>
        <v/>
      </c>
      <c r="I38" s="11">
        <f>IF(OR(A38="",N(B38)=0),"",H38/B38)</f>
        <v/>
      </c>
      <c r="J38" s="12">
        <f>IF(OR(A38="",N(C38)=0),"",H38/C38)</f>
        <v/>
      </c>
      <c r="K38">
        <f>IF(A38="","",IF(N(B38)=0,"No sales",IF(H38&lt;0,"LOSING MONEY",IF(J38&lt;0.15,"Thin margin","Healthy"))))</f>
        <v/>
      </c>
    </row>
    <row r="39">
      <c r="A39">
        <f>IF(Products!A33="","",Products!A33)</f>
        <v/>
      </c>
      <c r="B39">
        <f>IF(A39="","",SUMIFS('Etsy Calc'!$D$2:$D$1501,'Etsy Calc'!$L$2:$L$1501,A39)+SUMIFS('Shopify Calc'!$D$2:$D$1501,'Shopify Calc'!$L$2:$L$1501,A39)+SUMIFS('Manual Sales'!$M$2:$M$1501,'Manual Sales'!$U$2:$U$1501,A39))</f>
        <v/>
      </c>
      <c r="C39" s="11">
        <f>IF(A39="","",SUMIFS('Etsy Calc'!$J$2:$J$1501,'Etsy Calc'!$L$2:$L$1501,A39)+SUMIFS('Shopify Calc'!$J$2:$J$1501,'Shopify Calc'!$L$2:$L$1501,A39)+SUMIFS('Manual Sales'!$S$2:$S$1501,'Manual Sales'!$U$2:$U$1501,A39))</f>
        <v/>
      </c>
      <c r="D39" s="11">
        <f>IF(A39="","",SUMIFS('Etsy Calc'!$M$2:$M$1501,'Etsy Calc'!$L$2:$L$1501,A39)+SUMIFS('Shopify Calc'!$M$2:$M$1501,'Shopify Calc'!$L$2:$L$1501,A39)+SUMIFS('Manual Sales'!$V$2:$V$1501,'Manual Sales'!$U$2:$U$1501,A39))</f>
        <v/>
      </c>
      <c r="E39" s="11">
        <f>IF(A39="","",SUMIFS('Etsy Calc'!$N$2:$N$1501,'Etsy Calc'!$L$2:$L$1501,A39)+SUMIFS('Shopify Calc'!$N$2:$N$1501,'Shopify Calc'!$L$2:$L$1501,A39)+SUMIFS('Manual Sales'!$W$2:$W$1501,'Manual Sales'!$U$2:$U$1501,A39))</f>
        <v/>
      </c>
      <c r="F39" s="11">
        <f>IF(A39="","",SUMIFS('Etsy Calc'!$O$2:$O$1501,'Etsy Calc'!$L$2:$L$1501,A39)+SUMIFS('Shopify Calc'!$O$2:$O$1501,'Shopify Calc'!$L$2:$L$1501,A39)+SUMIFS('Manual Sales'!$X$2:$X$1501,'Manual Sales'!$U$2:$U$1501,A39))</f>
        <v/>
      </c>
      <c r="G39" s="11">
        <f>IF(A39="","",IF($B$4=0,0,Settings!$B$14*C39/$B$4))</f>
        <v/>
      </c>
      <c r="H39" s="11">
        <f>IF(A39="","",C39-D39-E39-F39-G39)</f>
        <v/>
      </c>
      <c r="I39" s="11">
        <f>IF(OR(A39="",N(B39)=0),"",H39/B39)</f>
        <v/>
      </c>
      <c r="J39" s="12">
        <f>IF(OR(A39="",N(C39)=0),"",H39/C39)</f>
        <v/>
      </c>
      <c r="K39">
        <f>IF(A39="","",IF(N(B39)=0,"No sales",IF(H39&lt;0,"LOSING MONEY",IF(J39&lt;0.15,"Thin margin","Healthy"))))</f>
        <v/>
      </c>
    </row>
    <row r="40">
      <c r="A40">
        <f>IF(Products!A34="","",Products!A34)</f>
        <v/>
      </c>
      <c r="B40">
        <f>IF(A40="","",SUMIFS('Etsy Calc'!$D$2:$D$1501,'Etsy Calc'!$L$2:$L$1501,A40)+SUMIFS('Shopify Calc'!$D$2:$D$1501,'Shopify Calc'!$L$2:$L$1501,A40)+SUMIFS('Manual Sales'!$M$2:$M$1501,'Manual Sales'!$U$2:$U$1501,A40))</f>
        <v/>
      </c>
      <c r="C40" s="11">
        <f>IF(A40="","",SUMIFS('Etsy Calc'!$J$2:$J$1501,'Etsy Calc'!$L$2:$L$1501,A40)+SUMIFS('Shopify Calc'!$J$2:$J$1501,'Shopify Calc'!$L$2:$L$1501,A40)+SUMIFS('Manual Sales'!$S$2:$S$1501,'Manual Sales'!$U$2:$U$1501,A40))</f>
        <v/>
      </c>
      <c r="D40" s="11">
        <f>IF(A40="","",SUMIFS('Etsy Calc'!$M$2:$M$1501,'Etsy Calc'!$L$2:$L$1501,A40)+SUMIFS('Shopify Calc'!$M$2:$M$1501,'Shopify Calc'!$L$2:$L$1501,A40)+SUMIFS('Manual Sales'!$V$2:$V$1501,'Manual Sales'!$U$2:$U$1501,A40))</f>
        <v/>
      </c>
      <c r="E40" s="11">
        <f>IF(A40="","",SUMIFS('Etsy Calc'!$N$2:$N$1501,'Etsy Calc'!$L$2:$L$1501,A40)+SUMIFS('Shopify Calc'!$N$2:$N$1501,'Shopify Calc'!$L$2:$L$1501,A40)+SUMIFS('Manual Sales'!$W$2:$W$1501,'Manual Sales'!$U$2:$U$1501,A40))</f>
        <v/>
      </c>
      <c r="F40" s="11">
        <f>IF(A40="","",SUMIFS('Etsy Calc'!$O$2:$O$1501,'Etsy Calc'!$L$2:$L$1501,A40)+SUMIFS('Shopify Calc'!$O$2:$O$1501,'Shopify Calc'!$L$2:$L$1501,A40)+SUMIFS('Manual Sales'!$X$2:$X$1501,'Manual Sales'!$U$2:$U$1501,A40))</f>
        <v/>
      </c>
      <c r="G40" s="11">
        <f>IF(A40="","",IF($B$4=0,0,Settings!$B$14*C40/$B$4))</f>
        <v/>
      </c>
      <c r="H40" s="11">
        <f>IF(A40="","",C40-D40-E40-F40-G40)</f>
        <v/>
      </c>
      <c r="I40" s="11">
        <f>IF(OR(A40="",N(B40)=0),"",H40/B40)</f>
        <v/>
      </c>
      <c r="J40" s="12">
        <f>IF(OR(A40="",N(C40)=0),"",H40/C40)</f>
        <v/>
      </c>
      <c r="K40">
        <f>IF(A40="","",IF(N(B40)=0,"No sales",IF(H40&lt;0,"LOSING MONEY",IF(J40&lt;0.15,"Thin margin","Healthy"))))</f>
        <v/>
      </c>
    </row>
    <row r="41">
      <c r="A41">
        <f>IF(Products!A35="","",Products!A35)</f>
        <v/>
      </c>
      <c r="B41">
        <f>IF(A41="","",SUMIFS('Etsy Calc'!$D$2:$D$1501,'Etsy Calc'!$L$2:$L$1501,A41)+SUMIFS('Shopify Calc'!$D$2:$D$1501,'Shopify Calc'!$L$2:$L$1501,A41)+SUMIFS('Manual Sales'!$M$2:$M$1501,'Manual Sales'!$U$2:$U$1501,A41))</f>
        <v/>
      </c>
      <c r="C41" s="11">
        <f>IF(A41="","",SUMIFS('Etsy Calc'!$J$2:$J$1501,'Etsy Calc'!$L$2:$L$1501,A41)+SUMIFS('Shopify Calc'!$J$2:$J$1501,'Shopify Calc'!$L$2:$L$1501,A41)+SUMIFS('Manual Sales'!$S$2:$S$1501,'Manual Sales'!$U$2:$U$1501,A41))</f>
        <v/>
      </c>
      <c r="D41" s="11">
        <f>IF(A41="","",SUMIFS('Etsy Calc'!$M$2:$M$1501,'Etsy Calc'!$L$2:$L$1501,A41)+SUMIFS('Shopify Calc'!$M$2:$M$1501,'Shopify Calc'!$L$2:$L$1501,A41)+SUMIFS('Manual Sales'!$V$2:$V$1501,'Manual Sales'!$U$2:$U$1501,A41))</f>
        <v/>
      </c>
      <c r="E41" s="11">
        <f>IF(A41="","",SUMIFS('Etsy Calc'!$N$2:$N$1501,'Etsy Calc'!$L$2:$L$1501,A41)+SUMIFS('Shopify Calc'!$N$2:$N$1501,'Shopify Calc'!$L$2:$L$1501,A41)+SUMIFS('Manual Sales'!$W$2:$W$1501,'Manual Sales'!$U$2:$U$1501,A41))</f>
        <v/>
      </c>
      <c r="F41" s="11">
        <f>IF(A41="","",SUMIFS('Etsy Calc'!$O$2:$O$1501,'Etsy Calc'!$L$2:$L$1501,A41)+SUMIFS('Shopify Calc'!$O$2:$O$1501,'Shopify Calc'!$L$2:$L$1501,A41)+SUMIFS('Manual Sales'!$X$2:$X$1501,'Manual Sales'!$U$2:$U$1501,A41))</f>
        <v/>
      </c>
      <c r="G41" s="11">
        <f>IF(A41="","",IF($B$4=0,0,Settings!$B$14*C41/$B$4))</f>
        <v/>
      </c>
      <c r="H41" s="11">
        <f>IF(A41="","",C41-D41-E41-F41-G41)</f>
        <v/>
      </c>
      <c r="I41" s="11">
        <f>IF(OR(A41="",N(B41)=0),"",H41/B41)</f>
        <v/>
      </c>
      <c r="J41" s="12">
        <f>IF(OR(A41="",N(C41)=0),"",H41/C41)</f>
        <v/>
      </c>
      <c r="K41">
        <f>IF(A41="","",IF(N(B41)=0,"No sales",IF(H41&lt;0,"LOSING MONEY",IF(J41&lt;0.15,"Thin margin","Healthy"))))</f>
        <v/>
      </c>
    </row>
    <row r="42">
      <c r="A42">
        <f>IF(Products!A36="","",Products!A36)</f>
        <v/>
      </c>
      <c r="B42">
        <f>IF(A42="","",SUMIFS('Etsy Calc'!$D$2:$D$1501,'Etsy Calc'!$L$2:$L$1501,A42)+SUMIFS('Shopify Calc'!$D$2:$D$1501,'Shopify Calc'!$L$2:$L$1501,A42)+SUMIFS('Manual Sales'!$M$2:$M$1501,'Manual Sales'!$U$2:$U$1501,A42))</f>
        <v/>
      </c>
      <c r="C42" s="11">
        <f>IF(A42="","",SUMIFS('Etsy Calc'!$J$2:$J$1501,'Etsy Calc'!$L$2:$L$1501,A42)+SUMIFS('Shopify Calc'!$J$2:$J$1501,'Shopify Calc'!$L$2:$L$1501,A42)+SUMIFS('Manual Sales'!$S$2:$S$1501,'Manual Sales'!$U$2:$U$1501,A42))</f>
        <v/>
      </c>
      <c r="D42" s="11">
        <f>IF(A42="","",SUMIFS('Etsy Calc'!$M$2:$M$1501,'Etsy Calc'!$L$2:$L$1501,A42)+SUMIFS('Shopify Calc'!$M$2:$M$1501,'Shopify Calc'!$L$2:$L$1501,A42)+SUMIFS('Manual Sales'!$V$2:$V$1501,'Manual Sales'!$U$2:$U$1501,A42))</f>
        <v/>
      </c>
      <c r="E42" s="11">
        <f>IF(A42="","",SUMIFS('Etsy Calc'!$N$2:$N$1501,'Etsy Calc'!$L$2:$L$1501,A42)+SUMIFS('Shopify Calc'!$N$2:$N$1501,'Shopify Calc'!$L$2:$L$1501,A42)+SUMIFS('Manual Sales'!$W$2:$W$1501,'Manual Sales'!$U$2:$U$1501,A42))</f>
        <v/>
      </c>
      <c r="F42" s="11">
        <f>IF(A42="","",SUMIFS('Etsy Calc'!$O$2:$O$1501,'Etsy Calc'!$L$2:$L$1501,A42)+SUMIFS('Shopify Calc'!$O$2:$O$1501,'Shopify Calc'!$L$2:$L$1501,A42)+SUMIFS('Manual Sales'!$X$2:$X$1501,'Manual Sales'!$U$2:$U$1501,A42))</f>
        <v/>
      </c>
      <c r="G42" s="11">
        <f>IF(A42="","",IF($B$4=0,0,Settings!$B$14*C42/$B$4))</f>
        <v/>
      </c>
      <c r="H42" s="11">
        <f>IF(A42="","",C42-D42-E42-F42-G42)</f>
        <v/>
      </c>
      <c r="I42" s="11">
        <f>IF(OR(A42="",N(B42)=0),"",H42/B42)</f>
        <v/>
      </c>
      <c r="J42" s="12">
        <f>IF(OR(A42="",N(C42)=0),"",H42/C42)</f>
        <v/>
      </c>
      <c r="K42">
        <f>IF(A42="","",IF(N(B42)=0,"No sales",IF(H42&lt;0,"LOSING MONEY",IF(J42&lt;0.15,"Thin margin","Healthy"))))</f>
        <v/>
      </c>
    </row>
    <row r="43">
      <c r="A43">
        <f>IF(Products!A37="","",Products!A37)</f>
        <v/>
      </c>
      <c r="B43">
        <f>IF(A43="","",SUMIFS('Etsy Calc'!$D$2:$D$1501,'Etsy Calc'!$L$2:$L$1501,A43)+SUMIFS('Shopify Calc'!$D$2:$D$1501,'Shopify Calc'!$L$2:$L$1501,A43)+SUMIFS('Manual Sales'!$M$2:$M$1501,'Manual Sales'!$U$2:$U$1501,A43))</f>
        <v/>
      </c>
      <c r="C43" s="11">
        <f>IF(A43="","",SUMIFS('Etsy Calc'!$J$2:$J$1501,'Etsy Calc'!$L$2:$L$1501,A43)+SUMIFS('Shopify Calc'!$J$2:$J$1501,'Shopify Calc'!$L$2:$L$1501,A43)+SUMIFS('Manual Sales'!$S$2:$S$1501,'Manual Sales'!$U$2:$U$1501,A43))</f>
        <v/>
      </c>
      <c r="D43" s="11">
        <f>IF(A43="","",SUMIFS('Etsy Calc'!$M$2:$M$1501,'Etsy Calc'!$L$2:$L$1501,A43)+SUMIFS('Shopify Calc'!$M$2:$M$1501,'Shopify Calc'!$L$2:$L$1501,A43)+SUMIFS('Manual Sales'!$V$2:$V$1501,'Manual Sales'!$U$2:$U$1501,A43))</f>
        <v/>
      </c>
      <c r="E43" s="11">
        <f>IF(A43="","",SUMIFS('Etsy Calc'!$N$2:$N$1501,'Etsy Calc'!$L$2:$L$1501,A43)+SUMIFS('Shopify Calc'!$N$2:$N$1501,'Shopify Calc'!$L$2:$L$1501,A43)+SUMIFS('Manual Sales'!$W$2:$W$1501,'Manual Sales'!$U$2:$U$1501,A43))</f>
        <v/>
      </c>
      <c r="F43" s="11">
        <f>IF(A43="","",SUMIFS('Etsy Calc'!$O$2:$O$1501,'Etsy Calc'!$L$2:$L$1501,A43)+SUMIFS('Shopify Calc'!$O$2:$O$1501,'Shopify Calc'!$L$2:$L$1501,A43)+SUMIFS('Manual Sales'!$X$2:$X$1501,'Manual Sales'!$U$2:$U$1501,A43))</f>
        <v/>
      </c>
      <c r="G43" s="11">
        <f>IF(A43="","",IF($B$4=0,0,Settings!$B$14*C43/$B$4))</f>
        <v/>
      </c>
      <c r="H43" s="11">
        <f>IF(A43="","",C43-D43-E43-F43-G43)</f>
        <v/>
      </c>
      <c r="I43" s="11">
        <f>IF(OR(A43="",N(B43)=0),"",H43/B43)</f>
        <v/>
      </c>
      <c r="J43" s="12">
        <f>IF(OR(A43="",N(C43)=0),"",H43/C43)</f>
        <v/>
      </c>
      <c r="K43">
        <f>IF(A43="","",IF(N(B43)=0,"No sales",IF(H43&lt;0,"LOSING MONEY",IF(J43&lt;0.15,"Thin margin","Healthy"))))</f>
        <v/>
      </c>
    </row>
    <row r="44">
      <c r="A44">
        <f>IF(Products!A38="","",Products!A38)</f>
        <v/>
      </c>
      <c r="B44">
        <f>IF(A44="","",SUMIFS('Etsy Calc'!$D$2:$D$1501,'Etsy Calc'!$L$2:$L$1501,A44)+SUMIFS('Shopify Calc'!$D$2:$D$1501,'Shopify Calc'!$L$2:$L$1501,A44)+SUMIFS('Manual Sales'!$M$2:$M$1501,'Manual Sales'!$U$2:$U$1501,A44))</f>
        <v/>
      </c>
      <c r="C44" s="11">
        <f>IF(A44="","",SUMIFS('Etsy Calc'!$J$2:$J$1501,'Etsy Calc'!$L$2:$L$1501,A44)+SUMIFS('Shopify Calc'!$J$2:$J$1501,'Shopify Calc'!$L$2:$L$1501,A44)+SUMIFS('Manual Sales'!$S$2:$S$1501,'Manual Sales'!$U$2:$U$1501,A44))</f>
        <v/>
      </c>
      <c r="D44" s="11">
        <f>IF(A44="","",SUMIFS('Etsy Calc'!$M$2:$M$1501,'Etsy Calc'!$L$2:$L$1501,A44)+SUMIFS('Shopify Calc'!$M$2:$M$1501,'Shopify Calc'!$L$2:$L$1501,A44)+SUMIFS('Manual Sales'!$V$2:$V$1501,'Manual Sales'!$U$2:$U$1501,A44))</f>
        <v/>
      </c>
      <c r="E44" s="11">
        <f>IF(A44="","",SUMIFS('Etsy Calc'!$N$2:$N$1501,'Etsy Calc'!$L$2:$L$1501,A44)+SUMIFS('Shopify Calc'!$N$2:$N$1501,'Shopify Calc'!$L$2:$L$1501,A44)+SUMIFS('Manual Sales'!$W$2:$W$1501,'Manual Sales'!$U$2:$U$1501,A44))</f>
        <v/>
      </c>
      <c r="F44" s="11">
        <f>IF(A44="","",SUMIFS('Etsy Calc'!$O$2:$O$1501,'Etsy Calc'!$L$2:$L$1501,A44)+SUMIFS('Shopify Calc'!$O$2:$O$1501,'Shopify Calc'!$L$2:$L$1501,A44)+SUMIFS('Manual Sales'!$X$2:$X$1501,'Manual Sales'!$U$2:$U$1501,A44))</f>
        <v/>
      </c>
      <c r="G44" s="11">
        <f>IF(A44="","",IF($B$4=0,0,Settings!$B$14*C44/$B$4))</f>
        <v/>
      </c>
      <c r="H44" s="11">
        <f>IF(A44="","",C44-D44-E44-F44-G44)</f>
        <v/>
      </c>
      <c r="I44" s="11">
        <f>IF(OR(A44="",N(B44)=0),"",H44/B44)</f>
        <v/>
      </c>
      <c r="J44" s="12">
        <f>IF(OR(A44="",N(C44)=0),"",H44/C44)</f>
        <v/>
      </c>
      <c r="K44">
        <f>IF(A44="","",IF(N(B44)=0,"No sales",IF(H44&lt;0,"LOSING MONEY",IF(J44&lt;0.15,"Thin margin","Healthy"))))</f>
        <v/>
      </c>
    </row>
    <row r="45">
      <c r="A45">
        <f>IF(Products!A39="","",Products!A39)</f>
        <v/>
      </c>
      <c r="B45">
        <f>IF(A45="","",SUMIFS('Etsy Calc'!$D$2:$D$1501,'Etsy Calc'!$L$2:$L$1501,A45)+SUMIFS('Shopify Calc'!$D$2:$D$1501,'Shopify Calc'!$L$2:$L$1501,A45)+SUMIFS('Manual Sales'!$M$2:$M$1501,'Manual Sales'!$U$2:$U$1501,A45))</f>
        <v/>
      </c>
      <c r="C45" s="11">
        <f>IF(A45="","",SUMIFS('Etsy Calc'!$J$2:$J$1501,'Etsy Calc'!$L$2:$L$1501,A45)+SUMIFS('Shopify Calc'!$J$2:$J$1501,'Shopify Calc'!$L$2:$L$1501,A45)+SUMIFS('Manual Sales'!$S$2:$S$1501,'Manual Sales'!$U$2:$U$1501,A45))</f>
        <v/>
      </c>
      <c r="D45" s="11">
        <f>IF(A45="","",SUMIFS('Etsy Calc'!$M$2:$M$1501,'Etsy Calc'!$L$2:$L$1501,A45)+SUMIFS('Shopify Calc'!$M$2:$M$1501,'Shopify Calc'!$L$2:$L$1501,A45)+SUMIFS('Manual Sales'!$V$2:$V$1501,'Manual Sales'!$U$2:$U$1501,A45))</f>
        <v/>
      </c>
      <c r="E45" s="11">
        <f>IF(A45="","",SUMIFS('Etsy Calc'!$N$2:$N$1501,'Etsy Calc'!$L$2:$L$1501,A45)+SUMIFS('Shopify Calc'!$N$2:$N$1501,'Shopify Calc'!$L$2:$L$1501,A45)+SUMIFS('Manual Sales'!$W$2:$W$1501,'Manual Sales'!$U$2:$U$1501,A45))</f>
        <v/>
      </c>
      <c r="F45" s="11">
        <f>IF(A45="","",SUMIFS('Etsy Calc'!$O$2:$O$1501,'Etsy Calc'!$L$2:$L$1501,A45)+SUMIFS('Shopify Calc'!$O$2:$O$1501,'Shopify Calc'!$L$2:$L$1501,A45)+SUMIFS('Manual Sales'!$X$2:$X$1501,'Manual Sales'!$U$2:$U$1501,A45))</f>
        <v/>
      </c>
      <c r="G45" s="11">
        <f>IF(A45="","",IF($B$4=0,0,Settings!$B$14*C45/$B$4))</f>
        <v/>
      </c>
      <c r="H45" s="11">
        <f>IF(A45="","",C45-D45-E45-F45-G45)</f>
        <v/>
      </c>
      <c r="I45" s="11">
        <f>IF(OR(A45="",N(B45)=0),"",H45/B45)</f>
        <v/>
      </c>
      <c r="J45" s="12">
        <f>IF(OR(A45="",N(C45)=0),"",H45/C45)</f>
        <v/>
      </c>
      <c r="K45">
        <f>IF(A45="","",IF(N(B45)=0,"No sales",IF(H45&lt;0,"LOSING MONEY",IF(J45&lt;0.15,"Thin margin","Healthy"))))</f>
        <v/>
      </c>
    </row>
    <row r="46">
      <c r="A46">
        <f>IF(Products!A40="","",Products!A40)</f>
        <v/>
      </c>
      <c r="B46">
        <f>IF(A46="","",SUMIFS('Etsy Calc'!$D$2:$D$1501,'Etsy Calc'!$L$2:$L$1501,A46)+SUMIFS('Shopify Calc'!$D$2:$D$1501,'Shopify Calc'!$L$2:$L$1501,A46)+SUMIFS('Manual Sales'!$M$2:$M$1501,'Manual Sales'!$U$2:$U$1501,A46))</f>
        <v/>
      </c>
      <c r="C46" s="11">
        <f>IF(A46="","",SUMIFS('Etsy Calc'!$J$2:$J$1501,'Etsy Calc'!$L$2:$L$1501,A46)+SUMIFS('Shopify Calc'!$J$2:$J$1501,'Shopify Calc'!$L$2:$L$1501,A46)+SUMIFS('Manual Sales'!$S$2:$S$1501,'Manual Sales'!$U$2:$U$1501,A46))</f>
        <v/>
      </c>
      <c r="D46" s="11">
        <f>IF(A46="","",SUMIFS('Etsy Calc'!$M$2:$M$1501,'Etsy Calc'!$L$2:$L$1501,A46)+SUMIFS('Shopify Calc'!$M$2:$M$1501,'Shopify Calc'!$L$2:$L$1501,A46)+SUMIFS('Manual Sales'!$V$2:$V$1501,'Manual Sales'!$U$2:$U$1501,A46))</f>
        <v/>
      </c>
      <c r="E46" s="11">
        <f>IF(A46="","",SUMIFS('Etsy Calc'!$N$2:$N$1501,'Etsy Calc'!$L$2:$L$1501,A46)+SUMIFS('Shopify Calc'!$N$2:$N$1501,'Shopify Calc'!$L$2:$L$1501,A46)+SUMIFS('Manual Sales'!$W$2:$W$1501,'Manual Sales'!$U$2:$U$1501,A46))</f>
        <v/>
      </c>
      <c r="F46" s="11">
        <f>IF(A46="","",SUMIFS('Etsy Calc'!$O$2:$O$1501,'Etsy Calc'!$L$2:$L$1501,A46)+SUMIFS('Shopify Calc'!$O$2:$O$1501,'Shopify Calc'!$L$2:$L$1501,A46)+SUMIFS('Manual Sales'!$X$2:$X$1501,'Manual Sales'!$U$2:$U$1501,A46))</f>
        <v/>
      </c>
      <c r="G46" s="11">
        <f>IF(A46="","",IF($B$4=0,0,Settings!$B$14*C46/$B$4))</f>
        <v/>
      </c>
      <c r="H46" s="11">
        <f>IF(A46="","",C46-D46-E46-F46-G46)</f>
        <v/>
      </c>
      <c r="I46" s="11">
        <f>IF(OR(A46="",N(B46)=0),"",H46/B46)</f>
        <v/>
      </c>
      <c r="J46" s="12">
        <f>IF(OR(A46="",N(C46)=0),"",H46/C46)</f>
        <v/>
      </c>
      <c r="K46">
        <f>IF(A46="","",IF(N(B46)=0,"No sales",IF(H46&lt;0,"LOSING MONEY",IF(J46&lt;0.15,"Thin margin","Healthy"))))</f>
        <v/>
      </c>
    </row>
    <row r="47">
      <c r="A47">
        <f>IF(Products!A41="","",Products!A41)</f>
        <v/>
      </c>
      <c r="B47">
        <f>IF(A47="","",SUMIFS('Etsy Calc'!$D$2:$D$1501,'Etsy Calc'!$L$2:$L$1501,A47)+SUMIFS('Shopify Calc'!$D$2:$D$1501,'Shopify Calc'!$L$2:$L$1501,A47)+SUMIFS('Manual Sales'!$M$2:$M$1501,'Manual Sales'!$U$2:$U$1501,A47))</f>
        <v/>
      </c>
      <c r="C47" s="11">
        <f>IF(A47="","",SUMIFS('Etsy Calc'!$J$2:$J$1501,'Etsy Calc'!$L$2:$L$1501,A47)+SUMIFS('Shopify Calc'!$J$2:$J$1501,'Shopify Calc'!$L$2:$L$1501,A47)+SUMIFS('Manual Sales'!$S$2:$S$1501,'Manual Sales'!$U$2:$U$1501,A47))</f>
        <v/>
      </c>
      <c r="D47" s="11">
        <f>IF(A47="","",SUMIFS('Etsy Calc'!$M$2:$M$1501,'Etsy Calc'!$L$2:$L$1501,A47)+SUMIFS('Shopify Calc'!$M$2:$M$1501,'Shopify Calc'!$L$2:$L$1501,A47)+SUMIFS('Manual Sales'!$V$2:$V$1501,'Manual Sales'!$U$2:$U$1501,A47))</f>
        <v/>
      </c>
      <c r="E47" s="11">
        <f>IF(A47="","",SUMIFS('Etsy Calc'!$N$2:$N$1501,'Etsy Calc'!$L$2:$L$1501,A47)+SUMIFS('Shopify Calc'!$N$2:$N$1501,'Shopify Calc'!$L$2:$L$1501,A47)+SUMIFS('Manual Sales'!$W$2:$W$1501,'Manual Sales'!$U$2:$U$1501,A47))</f>
        <v/>
      </c>
      <c r="F47" s="11">
        <f>IF(A47="","",SUMIFS('Etsy Calc'!$O$2:$O$1501,'Etsy Calc'!$L$2:$L$1501,A47)+SUMIFS('Shopify Calc'!$O$2:$O$1501,'Shopify Calc'!$L$2:$L$1501,A47)+SUMIFS('Manual Sales'!$X$2:$X$1501,'Manual Sales'!$U$2:$U$1501,A47))</f>
        <v/>
      </c>
      <c r="G47" s="11">
        <f>IF(A47="","",IF($B$4=0,0,Settings!$B$14*C47/$B$4))</f>
        <v/>
      </c>
      <c r="H47" s="11">
        <f>IF(A47="","",C47-D47-E47-F47-G47)</f>
        <v/>
      </c>
      <c r="I47" s="11">
        <f>IF(OR(A47="",N(B47)=0),"",H47/B47)</f>
        <v/>
      </c>
      <c r="J47" s="12">
        <f>IF(OR(A47="",N(C47)=0),"",H47/C47)</f>
        <v/>
      </c>
      <c r="K47">
        <f>IF(A47="","",IF(N(B47)=0,"No sales",IF(H47&lt;0,"LOSING MONEY",IF(J47&lt;0.15,"Thin margin","Healthy"))))</f>
        <v/>
      </c>
    </row>
    <row r="48">
      <c r="A48">
        <f>IF(Products!A42="","",Products!A42)</f>
        <v/>
      </c>
      <c r="B48">
        <f>IF(A48="","",SUMIFS('Etsy Calc'!$D$2:$D$1501,'Etsy Calc'!$L$2:$L$1501,A48)+SUMIFS('Shopify Calc'!$D$2:$D$1501,'Shopify Calc'!$L$2:$L$1501,A48)+SUMIFS('Manual Sales'!$M$2:$M$1501,'Manual Sales'!$U$2:$U$1501,A48))</f>
        <v/>
      </c>
      <c r="C48" s="11">
        <f>IF(A48="","",SUMIFS('Etsy Calc'!$J$2:$J$1501,'Etsy Calc'!$L$2:$L$1501,A48)+SUMIFS('Shopify Calc'!$J$2:$J$1501,'Shopify Calc'!$L$2:$L$1501,A48)+SUMIFS('Manual Sales'!$S$2:$S$1501,'Manual Sales'!$U$2:$U$1501,A48))</f>
        <v/>
      </c>
      <c r="D48" s="11">
        <f>IF(A48="","",SUMIFS('Etsy Calc'!$M$2:$M$1501,'Etsy Calc'!$L$2:$L$1501,A48)+SUMIFS('Shopify Calc'!$M$2:$M$1501,'Shopify Calc'!$L$2:$L$1501,A48)+SUMIFS('Manual Sales'!$V$2:$V$1501,'Manual Sales'!$U$2:$U$1501,A48))</f>
        <v/>
      </c>
      <c r="E48" s="11">
        <f>IF(A48="","",SUMIFS('Etsy Calc'!$N$2:$N$1501,'Etsy Calc'!$L$2:$L$1501,A48)+SUMIFS('Shopify Calc'!$N$2:$N$1501,'Shopify Calc'!$L$2:$L$1501,A48)+SUMIFS('Manual Sales'!$W$2:$W$1501,'Manual Sales'!$U$2:$U$1501,A48))</f>
        <v/>
      </c>
      <c r="F48" s="11">
        <f>IF(A48="","",SUMIFS('Etsy Calc'!$O$2:$O$1501,'Etsy Calc'!$L$2:$L$1501,A48)+SUMIFS('Shopify Calc'!$O$2:$O$1501,'Shopify Calc'!$L$2:$L$1501,A48)+SUMIFS('Manual Sales'!$X$2:$X$1501,'Manual Sales'!$U$2:$U$1501,A48))</f>
        <v/>
      </c>
      <c r="G48" s="11">
        <f>IF(A48="","",IF($B$4=0,0,Settings!$B$14*C48/$B$4))</f>
        <v/>
      </c>
      <c r="H48" s="11">
        <f>IF(A48="","",C48-D48-E48-F48-G48)</f>
        <v/>
      </c>
      <c r="I48" s="11">
        <f>IF(OR(A48="",N(B48)=0),"",H48/B48)</f>
        <v/>
      </c>
      <c r="J48" s="12">
        <f>IF(OR(A48="",N(C48)=0),"",H48/C48)</f>
        <v/>
      </c>
      <c r="K48">
        <f>IF(A48="","",IF(N(B48)=0,"No sales",IF(H48&lt;0,"LOSING MONEY",IF(J48&lt;0.15,"Thin margin","Healthy"))))</f>
        <v/>
      </c>
    </row>
    <row r="49">
      <c r="A49">
        <f>IF(Products!A43="","",Products!A43)</f>
        <v/>
      </c>
      <c r="B49">
        <f>IF(A49="","",SUMIFS('Etsy Calc'!$D$2:$D$1501,'Etsy Calc'!$L$2:$L$1501,A49)+SUMIFS('Shopify Calc'!$D$2:$D$1501,'Shopify Calc'!$L$2:$L$1501,A49)+SUMIFS('Manual Sales'!$M$2:$M$1501,'Manual Sales'!$U$2:$U$1501,A49))</f>
        <v/>
      </c>
      <c r="C49" s="11">
        <f>IF(A49="","",SUMIFS('Etsy Calc'!$J$2:$J$1501,'Etsy Calc'!$L$2:$L$1501,A49)+SUMIFS('Shopify Calc'!$J$2:$J$1501,'Shopify Calc'!$L$2:$L$1501,A49)+SUMIFS('Manual Sales'!$S$2:$S$1501,'Manual Sales'!$U$2:$U$1501,A49))</f>
        <v/>
      </c>
      <c r="D49" s="11">
        <f>IF(A49="","",SUMIFS('Etsy Calc'!$M$2:$M$1501,'Etsy Calc'!$L$2:$L$1501,A49)+SUMIFS('Shopify Calc'!$M$2:$M$1501,'Shopify Calc'!$L$2:$L$1501,A49)+SUMIFS('Manual Sales'!$V$2:$V$1501,'Manual Sales'!$U$2:$U$1501,A49))</f>
        <v/>
      </c>
      <c r="E49" s="11">
        <f>IF(A49="","",SUMIFS('Etsy Calc'!$N$2:$N$1501,'Etsy Calc'!$L$2:$L$1501,A49)+SUMIFS('Shopify Calc'!$N$2:$N$1501,'Shopify Calc'!$L$2:$L$1501,A49)+SUMIFS('Manual Sales'!$W$2:$W$1501,'Manual Sales'!$U$2:$U$1501,A49))</f>
        <v/>
      </c>
      <c r="F49" s="11">
        <f>IF(A49="","",SUMIFS('Etsy Calc'!$O$2:$O$1501,'Etsy Calc'!$L$2:$L$1501,A49)+SUMIFS('Shopify Calc'!$O$2:$O$1501,'Shopify Calc'!$L$2:$L$1501,A49)+SUMIFS('Manual Sales'!$X$2:$X$1501,'Manual Sales'!$U$2:$U$1501,A49))</f>
        <v/>
      </c>
      <c r="G49" s="11">
        <f>IF(A49="","",IF($B$4=0,0,Settings!$B$14*C49/$B$4))</f>
        <v/>
      </c>
      <c r="H49" s="11">
        <f>IF(A49="","",C49-D49-E49-F49-G49)</f>
        <v/>
      </c>
      <c r="I49" s="11">
        <f>IF(OR(A49="",N(B49)=0),"",H49/B49)</f>
        <v/>
      </c>
      <c r="J49" s="12">
        <f>IF(OR(A49="",N(C49)=0),"",H49/C49)</f>
        <v/>
      </c>
      <c r="K49">
        <f>IF(A49="","",IF(N(B49)=0,"No sales",IF(H49&lt;0,"LOSING MONEY",IF(J49&lt;0.15,"Thin margin","Healthy"))))</f>
        <v/>
      </c>
    </row>
    <row r="50">
      <c r="A50">
        <f>IF(Products!A44="","",Products!A44)</f>
        <v/>
      </c>
      <c r="B50">
        <f>IF(A50="","",SUMIFS('Etsy Calc'!$D$2:$D$1501,'Etsy Calc'!$L$2:$L$1501,A50)+SUMIFS('Shopify Calc'!$D$2:$D$1501,'Shopify Calc'!$L$2:$L$1501,A50)+SUMIFS('Manual Sales'!$M$2:$M$1501,'Manual Sales'!$U$2:$U$1501,A50))</f>
        <v/>
      </c>
      <c r="C50" s="11">
        <f>IF(A50="","",SUMIFS('Etsy Calc'!$J$2:$J$1501,'Etsy Calc'!$L$2:$L$1501,A50)+SUMIFS('Shopify Calc'!$J$2:$J$1501,'Shopify Calc'!$L$2:$L$1501,A50)+SUMIFS('Manual Sales'!$S$2:$S$1501,'Manual Sales'!$U$2:$U$1501,A50))</f>
        <v/>
      </c>
      <c r="D50" s="11">
        <f>IF(A50="","",SUMIFS('Etsy Calc'!$M$2:$M$1501,'Etsy Calc'!$L$2:$L$1501,A50)+SUMIFS('Shopify Calc'!$M$2:$M$1501,'Shopify Calc'!$L$2:$L$1501,A50)+SUMIFS('Manual Sales'!$V$2:$V$1501,'Manual Sales'!$U$2:$U$1501,A50))</f>
        <v/>
      </c>
      <c r="E50" s="11">
        <f>IF(A50="","",SUMIFS('Etsy Calc'!$N$2:$N$1501,'Etsy Calc'!$L$2:$L$1501,A50)+SUMIFS('Shopify Calc'!$N$2:$N$1501,'Shopify Calc'!$L$2:$L$1501,A50)+SUMIFS('Manual Sales'!$W$2:$W$1501,'Manual Sales'!$U$2:$U$1501,A50))</f>
        <v/>
      </c>
      <c r="F50" s="11">
        <f>IF(A50="","",SUMIFS('Etsy Calc'!$O$2:$O$1501,'Etsy Calc'!$L$2:$L$1501,A50)+SUMIFS('Shopify Calc'!$O$2:$O$1501,'Shopify Calc'!$L$2:$L$1501,A50)+SUMIFS('Manual Sales'!$X$2:$X$1501,'Manual Sales'!$U$2:$U$1501,A50))</f>
        <v/>
      </c>
      <c r="G50" s="11">
        <f>IF(A50="","",IF($B$4=0,0,Settings!$B$14*C50/$B$4))</f>
        <v/>
      </c>
      <c r="H50" s="11">
        <f>IF(A50="","",C50-D50-E50-F50-G50)</f>
        <v/>
      </c>
      <c r="I50" s="11">
        <f>IF(OR(A50="",N(B50)=0),"",H50/B50)</f>
        <v/>
      </c>
      <c r="J50" s="12">
        <f>IF(OR(A50="",N(C50)=0),"",H50/C50)</f>
        <v/>
      </c>
      <c r="K50">
        <f>IF(A50="","",IF(N(B50)=0,"No sales",IF(H50&lt;0,"LOSING MONEY",IF(J50&lt;0.15,"Thin margin","Healthy"))))</f>
        <v/>
      </c>
    </row>
    <row r="51">
      <c r="A51">
        <f>IF(Products!A45="","",Products!A45)</f>
        <v/>
      </c>
      <c r="B51">
        <f>IF(A51="","",SUMIFS('Etsy Calc'!$D$2:$D$1501,'Etsy Calc'!$L$2:$L$1501,A51)+SUMIFS('Shopify Calc'!$D$2:$D$1501,'Shopify Calc'!$L$2:$L$1501,A51)+SUMIFS('Manual Sales'!$M$2:$M$1501,'Manual Sales'!$U$2:$U$1501,A51))</f>
        <v/>
      </c>
      <c r="C51" s="11">
        <f>IF(A51="","",SUMIFS('Etsy Calc'!$J$2:$J$1501,'Etsy Calc'!$L$2:$L$1501,A51)+SUMIFS('Shopify Calc'!$J$2:$J$1501,'Shopify Calc'!$L$2:$L$1501,A51)+SUMIFS('Manual Sales'!$S$2:$S$1501,'Manual Sales'!$U$2:$U$1501,A51))</f>
        <v/>
      </c>
      <c r="D51" s="11">
        <f>IF(A51="","",SUMIFS('Etsy Calc'!$M$2:$M$1501,'Etsy Calc'!$L$2:$L$1501,A51)+SUMIFS('Shopify Calc'!$M$2:$M$1501,'Shopify Calc'!$L$2:$L$1501,A51)+SUMIFS('Manual Sales'!$V$2:$V$1501,'Manual Sales'!$U$2:$U$1501,A51))</f>
        <v/>
      </c>
      <c r="E51" s="11">
        <f>IF(A51="","",SUMIFS('Etsy Calc'!$N$2:$N$1501,'Etsy Calc'!$L$2:$L$1501,A51)+SUMIFS('Shopify Calc'!$N$2:$N$1501,'Shopify Calc'!$L$2:$L$1501,A51)+SUMIFS('Manual Sales'!$W$2:$W$1501,'Manual Sales'!$U$2:$U$1501,A51))</f>
        <v/>
      </c>
      <c r="F51" s="11">
        <f>IF(A51="","",SUMIFS('Etsy Calc'!$O$2:$O$1501,'Etsy Calc'!$L$2:$L$1501,A51)+SUMIFS('Shopify Calc'!$O$2:$O$1501,'Shopify Calc'!$L$2:$L$1501,A51)+SUMIFS('Manual Sales'!$X$2:$X$1501,'Manual Sales'!$U$2:$U$1501,A51))</f>
        <v/>
      </c>
      <c r="G51" s="11">
        <f>IF(A51="","",IF($B$4=0,0,Settings!$B$14*C51/$B$4))</f>
        <v/>
      </c>
      <c r="H51" s="11">
        <f>IF(A51="","",C51-D51-E51-F51-G51)</f>
        <v/>
      </c>
      <c r="I51" s="11">
        <f>IF(OR(A51="",N(B51)=0),"",H51/B51)</f>
        <v/>
      </c>
      <c r="J51" s="12">
        <f>IF(OR(A51="",N(C51)=0),"",H51/C51)</f>
        <v/>
      </c>
      <c r="K51">
        <f>IF(A51="","",IF(N(B51)=0,"No sales",IF(H51&lt;0,"LOSING MONEY",IF(J51&lt;0.15,"Thin margin","Healthy"))))</f>
        <v/>
      </c>
    </row>
    <row r="52">
      <c r="A52">
        <f>IF(Products!A46="","",Products!A46)</f>
        <v/>
      </c>
      <c r="B52">
        <f>IF(A52="","",SUMIFS('Etsy Calc'!$D$2:$D$1501,'Etsy Calc'!$L$2:$L$1501,A52)+SUMIFS('Shopify Calc'!$D$2:$D$1501,'Shopify Calc'!$L$2:$L$1501,A52)+SUMIFS('Manual Sales'!$M$2:$M$1501,'Manual Sales'!$U$2:$U$1501,A52))</f>
        <v/>
      </c>
      <c r="C52" s="11">
        <f>IF(A52="","",SUMIFS('Etsy Calc'!$J$2:$J$1501,'Etsy Calc'!$L$2:$L$1501,A52)+SUMIFS('Shopify Calc'!$J$2:$J$1501,'Shopify Calc'!$L$2:$L$1501,A52)+SUMIFS('Manual Sales'!$S$2:$S$1501,'Manual Sales'!$U$2:$U$1501,A52))</f>
        <v/>
      </c>
      <c r="D52" s="11">
        <f>IF(A52="","",SUMIFS('Etsy Calc'!$M$2:$M$1501,'Etsy Calc'!$L$2:$L$1501,A52)+SUMIFS('Shopify Calc'!$M$2:$M$1501,'Shopify Calc'!$L$2:$L$1501,A52)+SUMIFS('Manual Sales'!$V$2:$V$1501,'Manual Sales'!$U$2:$U$1501,A52))</f>
        <v/>
      </c>
      <c r="E52" s="11">
        <f>IF(A52="","",SUMIFS('Etsy Calc'!$N$2:$N$1501,'Etsy Calc'!$L$2:$L$1501,A52)+SUMIFS('Shopify Calc'!$N$2:$N$1501,'Shopify Calc'!$L$2:$L$1501,A52)+SUMIFS('Manual Sales'!$W$2:$W$1501,'Manual Sales'!$U$2:$U$1501,A52))</f>
        <v/>
      </c>
      <c r="F52" s="11">
        <f>IF(A52="","",SUMIFS('Etsy Calc'!$O$2:$O$1501,'Etsy Calc'!$L$2:$L$1501,A52)+SUMIFS('Shopify Calc'!$O$2:$O$1501,'Shopify Calc'!$L$2:$L$1501,A52)+SUMIFS('Manual Sales'!$X$2:$X$1501,'Manual Sales'!$U$2:$U$1501,A52))</f>
        <v/>
      </c>
      <c r="G52" s="11">
        <f>IF(A52="","",IF($B$4=0,0,Settings!$B$14*C52/$B$4))</f>
        <v/>
      </c>
      <c r="H52" s="11">
        <f>IF(A52="","",C52-D52-E52-F52-G52)</f>
        <v/>
      </c>
      <c r="I52" s="11">
        <f>IF(OR(A52="",N(B52)=0),"",H52/B52)</f>
        <v/>
      </c>
      <c r="J52" s="12">
        <f>IF(OR(A52="",N(C52)=0),"",H52/C52)</f>
        <v/>
      </c>
      <c r="K52">
        <f>IF(A52="","",IF(N(B52)=0,"No sales",IF(H52&lt;0,"LOSING MONEY",IF(J52&lt;0.15,"Thin margin","Healthy"))))</f>
        <v/>
      </c>
    </row>
    <row r="53">
      <c r="A53">
        <f>IF(Products!A47="","",Products!A47)</f>
        <v/>
      </c>
      <c r="B53">
        <f>IF(A53="","",SUMIFS('Etsy Calc'!$D$2:$D$1501,'Etsy Calc'!$L$2:$L$1501,A53)+SUMIFS('Shopify Calc'!$D$2:$D$1501,'Shopify Calc'!$L$2:$L$1501,A53)+SUMIFS('Manual Sales'!$M$2:$M$1501,'Manual Sales'!$U$2:$U$1501,A53))</f>
        <v/>
      </c>
      <c r="C53" s="11">
        <f>IF(A53="","",SUMIFS('Etsy Calc'!$J$2:$J$1501,'Etsy Calc'!$L$2:$L$1501,A53)+SUMIFS('Shopify Calc'!$J$2:$J$1501,'Shopify Calc'!$L$2:$L$1501,A53)+SUMIFS('Manual Sales'!$S$2:$S$1501,'Manual Sales'!$U$2:$U$1501,A53))</f>
        <v/>
      </c>
      <c r="D53" s="11">
        <f>IF(A53="","",SUMIFS('Etsy Calc'!$M$2:$M$1501,'Etsy Calc'!$L$2:$L$1501,A53)+SUMIFS('Shopify Calc'!$M$2:$M$1501,'Shopify Calc'!$L$2:$L$1501,A53)+SUMIFS('Manual Sales'!$V$2:$V$1501,'Manual Sales'!$U$2:$U$1501,A53))</f>
        <v/>
      </c>
      <c r="E53" s="11">
        <f>IF(A53="","",SUMIFS('Etsy Calc'!$N$2:$N$1501,'Etsy Calc'!$L$2:$L$1501,A53)+SUMIFS('Shopify Calc'!$N$2:$N$1501,'Shopify Calc'!$L$2:$L$1501,A53)+SUMIFS('Manual Sales'!$W$2:$W$1501,'Manual Sales'!$U$2:$U$1501,A53))</f>
        <v/>
      </c>
      <c r="F53" s="11">
        <f>IF(A53="","",SUMIFS('Etsy Calc'!$O$2:$O$1501,'Etsy Calc'!$L$2:$L$1501,A53)+SUMIFS('Shopify Calc'!$O$2:$O$1501,'Shopify Calc'!$L$2:$L$1501,A53)+SUMIFS('Manual Sales'!$X$2:$X$1501,'Manual Sales'!$U$2:$U$1501,A53))</f>
        <v/>
      </c>
      <c r="G53" s="11">
        <f>IF(A53="","",IF($B$4=0,0,Settings!$B$14*C53/$B$4))</f>
        <v/>
      </c>
      <c r="H53" s="11">
        <f>IF(A53="","",C53-D53-E53-F53-G53)</f>
        <v/>
      </c>
      <c r="I53" s="11">
        <f>IF(OR(A53="",N(B53)=0),"",H53/B53)</f>
        <v/>
      </c>
      <c r="J53" s="12">
        <f>IF(OR(A53="",N(C53)=0),"",H53/C53)</f>
        <v/>
      </c>
      <c r="K53">
        <f>IF(A53="","",IF(N(B53)=0,"No sales",IF(H53&lt;0,"LOSING MONEY",IF(J53&lt;0.15,"Thin margin","Healthy"))))</f>
        <v/>
      </c>
    </row>
    <row r="54">
      <c r="A54">
        <f>IF(Products!A48="","",Products!A48)</f>
        <v/>
      </c>
      <c r="B54">
        <f>IF(A54="","",SUMIFS('Etsy Calc'!$D$2:$D$1501,'Etsy Calc'!$L$2:$L$1501,A54)+SUMIFS('Shopify Calc'!$D$2:$D$1501,'Shopify Calc'!$L$2:$L$1501,A54)+SUMIFS('Manual Sales'!$M$2:$M$1501,'Manual Sales'!$U$2:$U$1501,A54))</f>
        <v/>
      </c>
      <c r="C54" s="11">
        <f>IF(A54="","",SUMIFS('Etsy Calc'!$J$2:$J$1501,'Etsy Calc'!$L$2:$L$1501,A54)+SUMIFS('Shopify Calc'!$J$2:$J$1501,'Shopify Calc'!$L$2:$L$1501,A54)+SUMIFS('Manual Sales'!$S$2:$S$1501,'Manual Sales'!$U$2:$U$1501,A54))</f>
        <v/>
      </c>
      <c r="D54" s="11">
        <f>IF(A54="","",SUMIFS('Etsy Calc'!$M$2:$M$1501,'Etsy Calc'!$L$2:$L$1501,A54)+SUMIFS('Shopify Calc'!$M$2:$M$1501,'Shopify Calc'!$L$2:$L$1501,A54)+SUMIFS('Manual Sales'!$V$2:$V$1501,'Manual Sales'!$U$2:$U$1501,A54))</f>
        <v/>
      </c>
      <c r="E54" s="11">
        <f>IF(A54="","",SUMIFS('Etsy Calc'!$N$2:$N$1501,'Etsy Calc'!$L$2:$L$1501,A54)+SUMIFS('Shopify Calc'!$N$2:$N$1501,'Shopify Calc'!$L$2:$L$1501,A54)+SUMIFS('Manual Sales'!$W$2:$W$1501,'Manual Sales'!$U$2:$U$1501,A54))</f>
        <v/>
      </c>
      <c r="F54" s="11">
        <f>IF(A54="","",SUMIFS('Etsy Calc'!$O$2:$O$1501,'Etsy Calc'!$L$2:$L$1501,A54)+SUMIFS('Shopify Calc'!$O$2:$O$1501,'Shopify Calc'!$L$2:$L$1501,A54)+SUMIFS('Manual Sales'!$X$2:$X$1501,'Manual Sales'!$U$2:$U$1501,A54))</f>
        <v/>
      </c>
      <c r="G54" s="11">
        <f>IF(A54="","",IF($B$4=0,0,Settings!$B$14*C54/$B$4))</f>
        <v/>
      </c>
      <c r="H54" s="11">
        <f>IF(A54="","",C54-D54-E54-F54-G54)</f>
        <v/>
      </c>
      <c r="I54" s="11">
        <f>IF(OR(A54="",N(B54)=0),"",H54/B54)</f>
        <v/>
      </c>
      <c r="J54" s="12">
        <f>IF(OR(A54="",N(C54)=0),"",H54/C54)</f>
        <v/>
      </c>
      <c r="K54">
        <f>IF(A54="","",IF(N(B54)=0,"No sales",IF(H54&lt;0,"LOSING MONEY",IF(J54&lt;0.15,"Thin margin","Healthy"))))</f>
        <v/>
      </c>
    </row>
    <row r="55">
      <c r="A55">
        <f>IF(Products!A49="","",Products!A49)</f>
        <v/>
      </c>
      <c r="B55">
        <f>IF(A55="","",SUMIFS('Etsy Calc'!$D$2:$D$1501,'Etsy Calc'!$L$2:$L$1501,A55)+SUMIFS('Shopify Calc'!$D$2:$D$1501,'Shopify Calc'!$L$2:$L$1501,A55)+SUMIFS('Manual Sales'!$M$2:$M$1501,'Manual Sales'!$U$2:$U$1501,A55))</f>
        <v/>
      </c>
      <c r="C55" s="11">
        <f>IF(A55="","",SUMIFS('Etsy Calc'!$J$2:$J$1501,'Etsy Calc'!$L$2:$L$1501,A55)+SUMIFS('Shopify Calc'!$J$2:$J$1501,'Shopify Calc'!$L$2:$L$1501,A55)+SUMIFS('Manual Sales'!$S$2:$S$1501,'Manual Sales'!$U$2:$U$1501,A55))</f>
        <v/>
      </c>
      <c r="D55" s="11">
        <f>IF(A55="","",SUMIFS('Etsy Calc'!$M$2:$M$1501,'Etsy Calc'!$L$2:$L$1501,A55)+SUMIFS('Shopify Calc'!$M$2:$M$1501,'Shopify Calc'!$L$2:$L$1501,A55)+SUMIFS('Manual Sales'!$V$2:$V$1501,'Manual Sales'!$U$2:$U$1501,A55))</f>
        <v/>
      </c>
      <c r="E55" s="11">
        <f>IF(A55="","",SUMIFS('Etsy Calc'!$N$2:$N$1501,'Etsy Calc'!$L$2:$L$1501,A55)+SUMIFS('Shopify Calc'!$N$2:$N$1501,'Shopify Calc'!$L$2:$L$1501,A55)+SUMIFS('Manual Sales'!$W$2:$W$1501,'Manual Sales'!$U$2:$U$1501,A55))</f>
        <v/>
      </c>
      <c r="F55" s="11">
        <f>IF(A55="","",SUMIFS('Etsy Calc'!$O$2:$O$1501,'Etsy Calc'!$L$2:$L$1501,A55)+SUMIFS('Shopify Calc'!$O$2:$O$1501,'Shopify Calc'!$L$2:$L$1501,A55)+SUMIFS('Manual Sales'!$X$2:$X$1501,'Manual Sales'!$U$2:$U$1501,A55))</f>
        <v/>
      </c>
      <c r="G55" s="11">
        <f>IF(A55="","",IF($B$4=0,0,Settings!$B$14*C55/$B$4))</f>
        <v/>
      </c>
      <c r="H55" s="11">
        <f>IF(A55="","",C55-D55-E55-F55-G55)</f>
        <v/>
      </c>
      <c r="I55" s="11">
        <f>IF(OR(A55="",N(B55)=0),"",H55/B55)</f>
        <v/>
      </c>
      <c r="J55" s="12">
        <f>IF(OR(A55="",N(C55)=0),"",H55/C55)</f>
        <v/>
      </c>
      <c r="K55">
        <f>IF(A55="","",IF(N(B55)=0,"No sales",IF(H55&lt;0,"LOSING MONEY",IF(J55&lt;0.15,"Thin margin","Healthy"))))</f>
        <v/>
      </c>
    </row>
    <row r="56">
      <c r="A56">
        <f>IF(Products!A50="","",Products!A50)</f>
        <v/>
      </c>
      <c r="B56">
        <f>IF(A56="","",SUMIFS('Etsy Calc'!$D$2:$D$1501,'Etsy Calc'!$L$2:$L$1501,A56)+SUMIFS('Shopify Calc'!$D$2:$D$1501,'Shopify Calc'!$L$2:$L$1501,A56)+SUMIFS('Manual Sales'!$M$2:$M$1501,'Manual Sales'!$U$2:$U$1501,A56))</f>
        <v/>
      </c>
      <c r="C56" s="11">
        <f>IF(A56="","",SUMIFS('Etsy Calc'!$J$2:$J$1501,'Etsy Calc'!$L$2:$L$1501,A56)+SUMIFS('Shopify Calc'!$J$2:$J$1501,'Shopify Calc'!$L$2:$L$1501,A56)+SUMIFS('Manual Sales'!$S$2:$S$1501,'Manual Sales'!$U$2:$U$1501,A56))</f>
        <v/>
      </c>
      <c r="D56" s="11">
        <f>IF(A56="","",SUMIFS('Etsy Calc'!$M$2:$M$1501,'Etsy Calc'!$L$2:$L$1501,A56)+SUMIFS('Shopify Calc'!$M$2:$M$1501,'Shopify Calc'!$L$2:$L$1501,A56)+SUMIFS('Manual Sales'!$V$2:$V$1501,'Manual Sales'!$U$2:$U$1501,A56))</f>
        <v/>
      </c>
      <c r="E56" s="11">
        <f>IF(A56="","",SUMIFS('Etsy Calc'!$N$2:$N$1501,'Etsy Calc'!$L$2:$L$1501,A56)+SUMIFS('Shopify Calc'!$N$2:$N$1501,'Shopify Calc'!$L$2:$L$1501,A56)+SUMIFS('Manual Sales'!$W$2:$W$1501,'Manual Sales'!$U$2:$U$1501,A56))</f>
        <v/>
      </c>
      <c r="F56" s="11">
        <f>IF(A56="","",SUMIFS('Etsy Calc'!$O$2:$O$1501,'Etsy Calc'!$L$2:$L$1501,A56)+SUMIFS('Shopify Calc'!$O$2:$O$1501,'Shopify Calc'!$L$2:$L$1501,A56)+SUMIFS('Manual Sales'!$X$2:$X$1501,'Manual Sales'!$U$2:$U$1501,A56))</f>
        <v/>
      </c>
      <c r="G56" s="11">
        <f>IF(A56="","",IF($B$4=0,0,Settings!$B$14*C56/$B$4))</f>
        <v/>
      </c>
      <c r="H56" s="11">
        <f>IF(A56="","",C56-D56-E56-F56-G56)</f>
        <v/>
      </c>
      <c r="I56" s="11">
        <f>IF(OR(A56="",N(B56)=0),"",H56/B56)</f>
        <v/>
      </c>
      <c r="J56" s="12">
        <f>IF(OR(A56="",N(C56)=0),"",H56/C56)</f>
        <v/>
      </c>
      <c r="K56">
        <f>IF(A56="","",IF(N(B56)=0,"No sales",IF(H56&lt;0,"LOSING MONEY",IF(J56&lt;0.15,"Thin margin","Healthy"))))</f>
        <v/>
      </c>
    </row>
    <row r="57">
      <c r="A57">
        <f>IF(Products!A51="","",Products!A51)</f>
        <v/>
      </c>
      <c r="B57">
        <f>IF(A57="","",SUMIFS('Etsy Calc'!$D$2:$D$1501,'Etsy Calc'!$L$2:$L$1501,A57)+SUMIFS('Shopify Calc'!$D$2:$D$1501,'Shopify Calc'!$L$2:$L$1501,A57)+SUMIFS('Manual Sales'!$M$2:$M$1501,'Manual Sales'!$U$2:$U$1501,A57))</f>
        <v/>
      </c>
      <c r="C57" s="11">
        <f>IF(A57="","",SUMIFS('Etsy Calc'!$J$2:$J$1501,'Etsy Calc'!$L$2:$L$1501,A57)+SUMIFS('Shopify Calc'!$J$2:$J$1501,'Shopify Calc'!$L$2:$L$1501,A57)+SUMIFS('Manual Sales'!$S$2:$S$1501,'Manual Sales'!$U$2:$U$1501,A57))</f>
        <v/>
      </c>
      <c r="D57" s="11">
        <f>IF(A57="","",SUMIFS('Etsy Calc'!$M$2:$M$1501,'Etsy Calc'!$L$2:$L$1501,A57)+SUMIFS('Shopify Calc'!$M$2:$M$1501,'Shopify Calc'!$L$2:$L$1501,A57)+SUMIFS('Manual Sales'!$V$2:$V$1501,'Manual Sales'!$U$2:$U$1501,A57))</f>
        <v/>
      </c>
      <c r="E57" s="11">
        <f>IF(A57="","",SUMIFS('Etsy Calc'!$N$2:$N$1501,'Etsy Calc'!$L$2:$L$1501,A57)+SUMIFS('Shopify Calc'!$N$2:$N$1501,'Shopify Calc'!$L$2:$L$1501,A57)+SUMIFS('Manual Sales'!$W$2:$W$1501,'Manual Sales'!$U$2:$U$1501,A57))</f>
        <v/>
      </c>
      <c r="F57" s="11">
        <f>IF(A57="","",SUMIFS('Etsy Calc'!$O$2:$O$1501,'Etsy Calc'!$L$2:$L$1501,A57)+SUMIFS('Shopify Calc'!$O$2:$O$1501,'Shopify Calc'!$L$2:$L$1501,A57)+SUMIFS('Manual Sales'!$X$2:$X$1501,'Manual Sales'!$U$2:$U$1501,A57))</f>
        <v/>
      </c>
      <c r="G57" s="11">
        <f>IF(A57="","",IF($B$4=0,0,Settings!$B$14*C57/$B$4))</f>
        <v/>
      </c>
      <c r="H57" s="11">
        <f>IF(A57="","",C57-D57-E57-F57-G57)</f>
        <v/>
      </c>
      <c r="I57" s="11">
        <f>IF(OR(A57="",N(B57)=0),"",H57/B57)</f>
        <v/>
      </c>
      <c r="J57" s="12">
        <f>IF(OR(A57="",N(C57)=0),"",H57/C57)</f>
        <v/>
      </c>
      <c r="K57">
        <f>IF(A57="","",IF(N(B57)=0,"No sales",IF(H57&lt;0,"LOSING MONEY",IF(J57&lt;0.15,"Thin margin","Healthy"))))</f>
        <v/>
      </c>
    </row>
    <row r="58">
      <c r="A58">
        <f>IF(Products!A52="","",Products!A52)</f>
        <v/>
      </c>
      <c r="B58">
        <f>IF(A58="","",SUMIFS('Etsy Calc'!$D$2:$D$1501,'Etsy Calc'!$L$2:$L$1501,A58)+SUMIFS('Shopify Calc'!$D$2:$D$1501,'Shopify Calc'!$L$2:$L$1501,A58)+SUMIFS('Manual Sales'!$M$2:$M$1501,'Manual Sales'!$U$2:$U$1501,A58))</f>
        <v/>
      </c>
      <c r="C58" s="11">
        <f>IF(A58="","",SUMIFS('Etsy Calc'!$J$2:$J$1501,'Etsy Calc'!$L$2:$L$1501,A58)+SUMIFS('Shopify Calc'!$J$2:$J$1501,'Shopify Calc'!$L$2:$L$1501,A58)+SUMIFS('Manual Sales'!$S$2:$S$1501,'Manual Sales'!$U$2:$U$1501,A58))</f>
        <v/>
      </c>
      <c r="D58" s="11">
        <f>IF(A58="","",SUMIFS('Etsy Calc'!$M$2:$M$1501,'Etsy Calc'!$L$2:$L$1501,A58)+SUMIFS('Shopify Calc'!$M$2:$M$1501,'Shopify Calc'!$L$2:$L$1501,A58)+SUMIFS('Manual Sales'!$V$2:$V$1501,'Manual Sales'!$U$2:$U$1501,A58))</f>
        <v/>
      </c>
      <c r="E58" s="11">
        <f>IF(A58="","",SUMIFS('Etsy Calc'!$N$2:$N$1501,'Etsy Calc'!$L$2:$L$1501,A58)+SUMIFS('Shopify Calc'!$N$2:$N$1501,'Shopify Calc'!$L$2:$L$1501,A58)+SUMIFS('Manual Sales'!$W$2:$W$1501,'Manual Sales'!$U$2:$U$1501,A58))</f>
        <v/>
      </c>
      <c r="F58" s="11">
        <f>IF(A58="","",SUMIFS('Etsy Calc'!$O$2:$O$1501,'Etsy Calc'!$L$2:$L$1501,A58)+SUMIFS('Shopify Calc'!$O$2:$O$1501,'Shopify Calc'!$L$2:$L$1501,A58)+SUMIFS('Manual Sales'!$X$2:$X$1501,'Manual Sales'!$U$2:$U$1501,A58))</f>
        <v/>
      </c>
      <c r="G58" s="11">
        <f>IF(A58="","",IF($B$4=0,0,Settings!$B$14*C58/$B$4))</f>
        <v/>
      </c>
      <c r="H58" s="11">
        <f>IF(A58="","",C58-D58-E58-F58-G58)</f>
        <v/>
      </c>
      <c r="I58" s="11">
        <f>IF(OR(A58="",N(B58)=0),"",H58/B58)</f>
        <v/>
      </c>
      <c r="J58" s="12">
        <f>IF(OR(A58="",N(C58)=0),"",H58/C58)</f>
        <v/>
      </c>
      <c r="K58">
        <f>IF(A58="","",IF(N(B58)=0,"No sales",IF(H58&lt;0,"LOSING MONEY",IF(J58&lt;0.15,"Thin margin","Healthy"))))</f>
        <v/>
      </c>
    </row>
    <row r="59">
      <c r="A59">
        <f>IF(Products!A53="","",Products!A53)</f>
        <v/>
      </c>
      <c r="B59">
        <f>IF(A59="","",SUMIFS('Etsy Calc'!$D$2:$D$1501,'Etsy Calc'!$L$2:$L$1501,A59)+SUMIFS('Shopify Calc'!$D$2:$D$1501,'Shopify Calc'!$L$2:$L$1501,A59)+SUMIFS('Manual Sales'!$M$2:$M$1501,'Manual Sales'!$U$2:$U$1501,A59))</f>
        <v/>
      </c>
      <c r="C59" s="11">
        <f>IF(A59="","",SUMIFS('Etsy Calc'!$J$2:$J$1501,'Etsy Calc'!$L$2:$L$1501,A59)+SUMIFS('Shopify Calc'!$J$2:$J$1501,'Shopify Calc'!$L$2:$L$1501,A59)+SUMIFS('Manual Sales'!$S$2:$S$1501,'Manual Sales'!$U$2:$U$1501,A59))</f>
        <v/>
      </c>
      <c r="D59" s="11">
        <f>IF(A59="","",SUMIFS('Etsy Calc'!$M$2:$M$1501,'Etsy Calc'!$L$2:$L$1501,A59)+SUMIFS('Shopify Calc'!$M$2:$M$1501,'Shopify Calc'!$L$2:$L$1501,A59)+SUMIFS('Manual Sales'!$V$2:$V$1501,'Manual Sales'!$U$2:$U$1501,A59))</f>
        <v/>
      </c>
      <c r="E59" s="11">
        <f>IF(A59="","",SUMIFS('Etsy Calc'!$N$2:$N$1501,'Etsy Calc'!$L$2:$L$1501,A59)+SUMIFS('Shopify Calc'!$N$2:$N$1501,'Shopify Calc'!$L$2:$L$1501,A59)+SUMIFS('Manual Sales'!$W$2:$W$1501,'Manual Sales'!$U$2:$U$1501,A59))</f>
        <v/>
      </c>
      <c r="F59" s="11">
        <f>IF(A59="","",SUMIFS('Etsy Calc'!$O$2:$O$1501,'Etsy Calc'!$L$2:$L$1501,A59)+SUMIFS('Shopify Calc'!$O$2:$O$1501,'Shopify Calc'!$L$2:$L$1501,A59)+SUMIFS('Manual Sales'!$X$2:$X$1501,'Manual Sales'!$U$2:$U$1501,A59))</f>
        <v/>
      </c>
      <c r="G59" s="11">
        <f>IF(A59="","",IF($B$4=0,0,Settings!$B$14*C59/$B$4))</f>
        <v/>
      </c>
      <c r="H59" s="11">
        <f>IF(A59="","",C59-D59-E59-F59-G59)</f>
        <v/>
      </c>
      <c r="I59" s="11">
        <f>IF(OR(A59="",N(B59)=0),"",H59/B59)</f>
        <v/>
      </c>
      <c r="J59" s="12">
        <f>IF(OR(A59="",N(C59)=0),"",H59/C59)</f>
        <v/>
      </c>
      <c r="K59">
        <f>IF(A59="","",IF(N(B59)=0,"No sales",IF(H59&lt;0,"LOSING MONEY",IF(J59&lt;0.15,"Thin margin","Healthy"))))</f>
        <v/>
      </c>
    </row>
    <row r="60">
      <c r="A60">
        <f>IF(Products!A54="","",Products!A54)</f>
        <v/>
      </c>
      <c r="B60">
        <f>IF(A60="","",SUMIFS('Etsy Calc'!$D$2:$D$1501,'Etsy Calc'!$L$2:$L$1501,A60)+SUMIFS('Shopify Calc'!$D$2:$D$1501,'Shopify Calc'!$L$2:$L$1501,A60)+SUMIFS('Manual Sales'!$M$2:$M$1501,'Manual Sales'!$U$2:$U$1501,A60))</f>
        <v/>
      </c>
      <c r="C60" s="11">
        <f>IF(A60="","",SUMIFS('Etsy Calc'!$J$2:$J$1501,'Etsy Calc'!$L$2:$L$1501,A60)+SUMIFS('Shopify Calc'!$J$2:$J$1501,'Shopify Calc'!$L$2:$L$1501,A60)+SUMIFS('Manual Sales'!$S$2:$S$1501,'Manual Sales'!$U$2:$U$1501,A60))</f>
        <v/>
      </c>
      <c r="D60" s="11">
        <f>IF(A60="","",SUMIFS('Etsy Calc'!$M$2:$M$1501,'Etsy Calc'!$L$2:$L$1501,A60)+SUMIFS('Shopify Calc'!$M$2:$M$1501,'Shopify Calc'!$L$2:$L$1501,A60)+SUMIFS('Manual Sales'!$V$2:$V$1501,'Manual Sales'!$U$2:$U$1501,A60))</f>
        <v/>
      </c>
      <c r="E60" s="11">
        <f>IF(A60="","",SUMIFS('Etsy Calc'!$N$2:$N$1501,'Etsy Calc'!$L$2:$L$1501,A60)+SUMIFS('Shopify Calc'!$N$2:$N$1501,'Shopify Calc'!$L$2:$L$1501,A60)+SUMIFS('Manual Sales'!$W$2:$W$1501,'Manual Sales'!$U$2:$U$1501,A60))</f>
        <v/>
      </c>
      <c r="F60" s="11">
        <f>IF(A60="","",SUMIFS('Etsy Calc'!$O$2:$O$1501,'Etsy Calc'!$L$2:$L$1501,A60)+SUMIFS('Shopify Calc'!$O$2:$O$1501,'Shopify Calc'!$L$2:$L$1501,A60)+SUMIFS('Manual Sales'!$X$2:$X$1501,'Manual Sales'!$U$2:$U$1501,A60))</f>
        <v/>
      </c>
      <c r="G60" s="11">
        <f>IF(A60="","",IF($B$4=0,0,Settings!$B$14*C60/$B$4))</f>
        <v/>
      </c>
      <c r="H60" s="11">
        <f>IF(A60="","",C60-D60-E60-F60-G60)</f>
        <v/>
      </c>
      <c r="I60" s="11">
        <f>IF(OR(A60="",N(B60)=0),"",H60/B60)</f>
        <v/>
      </c>
      <c r="J60" s="12">
        <f>IF(OR(A60="",N(C60)=0),"",H60/C60)</f>
        <v/>
      </c>
      <c r="K60">
        <f>IF(A60="","",IF(N(B60)=0,"No sales",IF(H60&lt;0,"LOSING MONEY",IF(J60&lt;0.15,"Thin margin","Healthy"))))</f>
        <v/>
      </c>
    </row>
    <row r="61">
      <c r="A61">
        <f>IF(Products!A55="","",Products!A55)</f>
        <v/>
      </c>
      <c r="B61">
        <f>IF(A61="","",SUMIFS('Etsy Calc'!$D$2:$D$1501,'Etsy Calc'!$L$2:$L$1501,A61)+SUMIFS('Shopify Calc'!$D$2:$D$1501,'Shopify Calc'!$L$2:$L$1501,A61)+SUMIFS('Manual Sales'!$M$2:$M$1501,'Manual Sales'!$U$2:$U$1501,A61))</f>
        <v/>
      </c>
      <c r="C61" s="11">
        <f>IF(A61="","",SUMIFS('Etsy Calc'!$J$2:$J$1501,'Etsy Calc'!$L$2:$L$1501,A61)+SUMIFS('Shopify Calc'!$J$2:$J$1501,'Shopify Calc'!$L$2:$L$1501,A61)+SUMIFS('Manual Sales'!$S$2:$S$1501,'Manual Sales'!$U$2:$U$1501,A61))</f>
        <v/>
      </c>
      <c r="D61" s="11">
        <f>IF(A61="","",SUMIFS('Etsy Calc'!$M$2:$M$1501,'Etsy Calc'!$L$2:$L$1501,A61)+SUMIFS('Shopify Calc'!$M$2:$M$1501,'Shopify Calc'!$L$2:$L$1501,A61)+SUMIFS('Manual Sales'!$V$2:$V$1501,'Manual Sales'!$U$2:$U$1501,A61))</f>
        <v/>
      </c>
      <c r="E61" s="11">
        <f>IF(A61="","",SUMIFS('Etsy Calc'!$N$2:$N$1501,'Etsy Calc'!$L$2:$L$1501,A61)+SUMIFS('Shopify Calc'!$N$2:$N$1501,'Shopify Calc'!$L$2:$L$1501,A61)+SUMIFS('Manual Sales'!$W$2:$W$1501,'Manual Sales'!$U$2:$U$1501,A61))</f>
        <v/>
      </c>
      <c r="F61" s="11">
        <f>IF(A61="","",SUMIFS('Etsy Calc'!$O$2:$O$1501,'Etsy Calc'!$L$2:$L$1501,A61)+SUMIFS('Shopify Calc'!$O$2:$O$1501,'Shopify Calc'!$L$2:$L$1501,A61)+SUMIFS('Manual Sales'!$X$2:$X$1501,'Manual Sales'!$U$2:$U$1501,A61))</f>
        <v/>
      </c>
      <c r="G61" s="11">
        <f>IF(A61="","",IF($B$4=0,0,Settings!$B$14*C61/$B$4))</f>
        <v/>
      </c>
      <c r="H61" s="11">
        <f>IF(A61="","",C61-D61-E61-F61-G61)</f>
        <v/>
      </c>
      <c r="I61" s="11">
        <f>IF(OR(A61="",N(B61)=0),"",H61/B61)</f>
        <v/>
      </c>
      <c r="J61" s="12">
        <f>IF(OR(A61="",N(C61)=0),"",H61/C61)</f>
        <v/>
      </c>
      <c r="K61">
        <f>IF(A61="","",IF(N(B61)=0,"No sales",IF(H61&lt;0,"LOSING MONEY",IF(J61&lt;0.15,"Thin margin","Healthy"))))</f>
        <v/>
      </c>
    </row>
    <row r="62">
      <c r="A62">
        <f>IF(Products!A56="","",Products!A56)</f>
        <v/>
      </c>
      <c r="B62">
        <f>IF(A62="","",SUMIFS('Etsy Calc'!$D$2:$D$1501,'Etsy Calc'!$L$2:$L$1501,A62)+SUMIFS('Shopify Calc'!$D$2:$D$1501,'Shopify Calc'!$L$2:$L$1501,A62)+SUMIFS('Manual Sales'!$M$2:$M$1501,'Manual Sales'!$U$2:$U$1501,A62))</f>
        <v/>
      </c>
      <c r="C62" s="11">
        <f>IF(A62="","",SUMIFS('Etsy Calc'!$J$2:$J$1501,'Etsy Calc'!$L$2:$L$1501,A62)+SUMIFS('Shopify Calc'!$J$2:$J$1501,'Shopify Calc'!$L$2:$L$1501,A62)+SUMIFS('Manual Sales'!$S$2:$S$1501,'Manual Sales'!$U$2:$U$1501,A62))</f>
        <v/>
      </c>
      <c r="D62" s="11">
        <f>IF(A62="","",SUMIFS('Etsy Calc'!$M$2:$M$1501,'Etsy Calc'!$L$2:$L$1501,A62)+SUMIFS('Shopify Calc'!$M$2:$M$1501,'Shopify Calc'!$L$2:$L$1501,A62)+SUMIFS('Manual Sales'!$V$2:$V$1501,'Manual Sales'!$U$2:$U$1501,A62))</f>
        <v/>
      </c>
      <c r="E62" s="11">
        <f>IF(A62="","",SUMIFS('Etsy Calc'!$N$2:$N$1501,'Etsy Calc'!$L$2:$L$1501,A62)+SUMIFS('Shopify Calc'!$N$2:$N$1501,'Shopify Calc'!$L$2:$L$1501,A62)+SUMIFS('Manual Sales'!$W$2:$W$1501,'Manual Sales'!$U$2:$U$1501,A62))</f>
        <v/>
      </c>
      <c r="F62" s="11">
        <f>IF(A62="","",SUMIFS('Etsy Calc'!$O$2:$O$1501,'Etsy Calc'!$L$2:$L$1501,A62)+SUMIFS('Shopify Calc'!$O$2:$O$1501,'Shopify Calc'!$L$2:$L$1501,A62)+SUMIFS('Manual Sales'!$X$2:$X$1501,'Manual Sales'!$U$2:$U$1501,A62))</f>
        <v/>
      </c>
      <c r="G62" s="11">
        <f>IF(A62="","",IF($B$4=0,0,Settings!$B$14*C62/$B$4))</f>
        <v/>
      </c>
      <c r="H62" s="11">
        <f>IF(A62="","",C62-D62-E62-F62-G62)</f>
        <v/>
      </c>
      <c r="I62" s="11">
        <f>IF(OR(A62="",N(B62)=0),"",H62/B62)</f>
        <v/>
      </c>
      <c r="J62" s="12">
        <f>IF(OR(A62="",N(C62)=0),"",H62/C62)</f>
        <v/>
      </c>
      <c r="K62">
        <f>IF(A62="","",IF(N(B62)=0,"No sales",IF(H62&lt;0,"LOSING MONEY",IF(J62&lt;0.15,"Thin margin","Healthy"))))</f>
        <v/>
      </c>
    </row>
    <row r="63">
      <c r="A63">
        <f>IF(Products!A57="","",Products!A57)</f>
        <v/>
      </c>
      <c r="B63">
        <f>IF(A63="","",SUMIFS('Etsy Calc'!$D$2:$D$1501,'Etsy Calc'!$L$2:$L$1501,A63)+SUMIFS('Shopify Calc'!$D$2:$D$1501,'Shopify Calc'!$L$2:$L$1501,A63)+SUMIFS('Manual Sales'!$M$2:$M$1501,'Manual Sales'!$U$2:$U$1501,A63))</f>
        <v/>
      </c>
      <c r="C63" s="11">
        <f>IF(A63="","",SUMIFS('Etsy Calc'!$J$2:$J$1501,'Etsy Calc'!$L$2:$L$1501,A63)+SUMIFS('Shopify Calc'!$J$2:$J$1501,'Shopify Calc'!$L$2:$L$1501,A63)+SUMIFS('Manual Sales'!$S$2:$S$1501,'Manual Sales'!$U$2:$U$1501,A63))</f>
        <v/>
      </c>
      <c r="D63" s="11">
        <f>IF(A63="","",SUMIFS('Etsy Calc'!$M$2:$M$1501,'Etsy Calc'!$L$2:$L$1501,A63)+SUMIFS('Shopify Calc'!$M$2:$M$1501,'Shopify Calc'!$L$2:$L$1501,A63)+SUMIFS('Manual Sales'!$V$2:$V$1501,'Manual Sales'!$U$2:$U$1501,A63))</f>
        <v/>
      </c>
      <c r="E63" s="11">
        <f>IF(A63="","",SUMIFS('Etsy Calc'!$N$2:$N$1501,'Etsy Calc'!$L$2:$L$1501,A63)+SUMIFS('Shopify Calc'!$N$2:$N$1501,'Shopify Calc'!$L$2:$L$1501,A63)+SUMIFS('Manual Sales'!$W$2:$W$1501,'Manual Sales'!$U$2:$U$1501,A63))</f>
        <v/>
      </c>
      <c r="F63" s="11">
        <f>IF(A63="","",SUMIFS('Etsy Calc'!$O$2:$O$1501,'Etsy Calc'!$L$2:$L$1501,A63)+SUMIFS('Shopify Calc'!$O$2:$O$1501,'Shopify Calc'!$L$2:$L$1501,A63)+SUMIFS('Manual Sales'!$X$2:$X$1501,'Manual Sales'!$U$2:$U$1501,A63))</f>
        <v/>
      </c>
      <c r="G63" s="11">
        <f>IF(A63="","",IF($B$4=0,0,Settings!$B$14*C63/$B$4))</f>
        <v/>
      </c>
      <c r="H63" s="11">
        <f>IF(A63="","",C63-D63-E63-F63-G63)</f>
        <v/>
      </c>
      <c r="I63" s="11">
        <f>IF(OR(A63="",N(B63)=0),"",H63/B63)</f>
        <v/>
      </c>
      <c r="J63" s="12">
        <f>IF(OR(A63="",N(C63)=0),"",H63/C63)</f>
        <v/>
      </c>
      <c r="K63">
        <f>IF(A63="","",IF(N(B63)=0,"No sales",IF(H63&lt;0,"LOSING MONEY",IF(J63&lt;0.15,"Thin margin","Healthy"))))</f>
        <v/>
      </c>
    </row>
    <row r="64">
      <c r="A64">
        <f>IF(Products!A58="","",Products!A58)</f>
        <v/>
      </c>
      <c r="B64">
        <f>IF(A64="","",SUMIFS('Etsy Calc'!$D$2:$D$1501,'Etsy Calc'!$L$2:$L$1501,A64)+SUMIFS('Shopify Calc'!$D$2:$D$1501,'Shopify Calc'!$L$2:$L$1501,A64)+SUMIFS('Manual Sales'!$M$2:$M$1501,'Manual Sales'!$U$2:$U$1501,A64))</f>
        <v/>
      </c>
      <c r="C64" s="11">
        <f>IF(A64="","",SUMIFS('Etsy Calc'!$J$2:$J$1501,'Etsy Calc'!$L$2:$L$1501,A64)+SUMIFS('Shopify Calc'!$J$2:$J$1501,'Shopify Calc'!$L$2:$L$1501,A64)+SUMIFS('Manual Sales'!$S$2:$S$1501,'Manual Sales'!$U$2:$U$1501,A64))</f>
        <v/>
      </c>
      <c r="D64" s="11">
        <f>IF(A64="","",SUMIFS('Etsy Calc'!$M$2:$M$1501,'Etsy Calc'!$L$2:$L$1501,A64)+SUMIFS('Shopify Calc'!$M$2:$M$1501,'Shopify Calc'!$L$2:$L$1501,A64)+SUMIFS('Manual Sales'!$V$2:$V$1501,'Manual Sales'!$U$2:$U$1501,A64))</f>
        <v/>
      </c>
      <c r="E64" s="11">
        <f>IF(A64="","",SUMIFS('Etsy Calc'!$N$2:$N$1501,'Etsy Calc'!$L$2:$L$1501,A64)+SUMIFS('Shopify Calc'!$N$2:$N$1501,'Shopify Calc'!$L$2:$L$1501,A64)+SUMIFS('Manual Sales'!$W$2:$W$1501,'Manual Sales'!$U$2:$U$1501,A64))</f>
        <v/>
      </c>
      <c r="F64" s="11">
        <f>IF(A64="","",SUMIFS('Etsy Calc'!$O$2:$O$1501,'Etsy Calc'!$L$2:$L$1501,A64)+SUMIFS('Shopify Calc'!$O$2:$O$1501,'Shopify Calc'!$L$2:$L$1501,A64)+SUMIFS('Manual Sales'!$X$2:$X$1501,'Manual Sales'!$U$2:$U$1501,A64))</f>
        <v/>
      </c>
      <c r="G64" s="11">
        <f>IF(A64="","",IF($B$4=0,0,Settings!$B$14*C64/$B$4))</f>
        <v/>
      </c>
      <c r="H64" s="11">
        <f>IF(A64="","",C64-D64-E64-F64-G64)</f>
        <v/>
      </c>
      <c r="I64" s="11">
        <f>IF(OR(A64="",N(B64)=0),"",H64/B64)</f>
        <v/>
      </c>
      <c r="J64" s="12">
        <f>IF(OR(A64="",N(C64)=0),"",H64/C64)</f>
        <v/>
      </c>
      <c r="K64">
        <f>IF(A64="","",IF(N(B64)=0,"No sales",IF(H64&lt;0,"LOSING MONEY",IF(J64&lt;0.15,"Thin margin","Healthy"))))</f>
        <v/>
      </c>
    </row>
    <row r="65">
      <c r="A65">
        <f>IF(Products!A59="","",Products!A59)</f>
        <v/>
      </c>
      <c r="B65">
        <f>IF(A65="","",SUMIFS('Etsy Calc'!$D$2:$D$1501,'Etsy Calc'!$L$2:$L$1501,A65)+SUMIFS('Shopify Calc'!$D$2:$D$1501,'Shopify Calc'!$L$2:$L$1501,A65)+SUMIFS('Manual Sales'!$M$2:$M$1501,'Manual Sales'!$U$2:$U$1501,A65))</f>
        <v/>
      </c>
      <c r="C65" s="11">
        <f>IF(A65="","",SUMIFS('Etsy Calc'!$J$2:$J$1501,'Etsy Calc'!$L$2:$L$1501,A65)+SUMIFS('Shopify Calc'!$J$2:$J$1501,'Shopify Calc'!$L$2:$L$1501,A65)+SUMIFS('Manual Sales'!$S$2:$S$1501,'Manual Sales'!$U$2:$U$1501,A65))</f>
        <v/>
      </c>
      <c r="D65" s="11">
        <f>IF(A65="","",SUMIFS('Etsy Calc'!$M$2:$M$1501,'Etsy Calc'!$L$2:$L$1501,A65)+SUMIFS('Shopify Calc'!$M$2:$M$1501,'Shopify Calc'!$L$2:$L$1501,A65)+SUMIFS('Manual Sales'!$V$2:$V$1501,'Manual Sales'!$U$2:$U$1501,A65))</f>
        <v/>
      </c>
      <c r="E65" s="11">
        <f>IF(A65="","",SUMIFS('Etsy Calc'!$N$2:$N$1501,'Etsy Calc'!$L$2:$L$1501,A65)+SUMIFS('Shopify Calc'!$N$2:$N$1501,'Shopify Calc'!$L$2:$L$1501,A65)+SUMIFS('Manual Sales'!$W$2:$W$1501,'Manual Sales'!$U$2:$U$1501,A65))</f>
        <v/>
      </c>
      <c r="F65" s="11">
        <f>IF(A65="","",SUMIFS('Etsy Calc'!$O$2:$O$1501,'Etsy Calc'!$L$2:$L$1501,A65)+SUMIFS('Shopify Calc'!$O$2:$O$1501,'Shopify Calc'!$L$2:$L$1501,A65)+SUMIFS('Manual Sales'!$X$2:$X$1501,'Manual Sales'!$U$2:$U$1501,A65))</f>
        <v/>
      </c>
      <c r="G65" s="11">
        <f>IF(A65="","",IF($B$4=0,0,Settings!$B$14*C65/$B$4))</f>
        <v/>
      </c>
      <c r="H65" s="11">
        <f>IF(A65="","",C65-D65-E65-F65-G65)</f>
        <v/>
      </c>
      <c r="I65" s="11">
        <f>IF(OR(A65="",N(B65)=0),"",H65/B65)</f>
        <v/>
      </c>
      <c r="J65" s="12">
        <f>IF(OR(A65="",N(C65)=0),"",H65/C65)</f>
        <v/>
      </c>
      <c r="K65">
        <f>IF(A65="","",IF(N(B65)=0,"No sales",IF(H65&lt;0,"LOSING MONEY",IF(J65&lt;0.15,"Thin margin","Healthy"))))</f>
        <v/>
      </c>
    </row>
    <row r="66">
      <c r="A66">
        <f>IF(Products!A60="","",Products!A60)</f>
        <v/>
      </c>
      <c r="B66">
        <f>IF(A66="","",SUMIFS('Etsy Calc'!$D$2:$D$1501,'Etsy Calc'!$L$2:$L$1501,A66)+SUMIFS('Shopify Calc'!$D$2:$D$1501,'Shopify Calc'!$L$2:$L$1501,A66)+SUMIFS('Manual Sales'!$M$2:$M$1501,'Manual Sales'!$U$2:$U$1501,A66))</f>
        <v/>
      </c>
      <c r="C66" s="11">
        <f>IF(A66="","",SUMIFS('Etsy Calc'!$J$2:$J$1501,'Etsy Calc'!$L$2:$L$1501,A66)+SUMIFS('Shopify Calc'!$J$2:$J$1501,'Shopify Calc'!$L$2:$L$1501,A66)+SUMIFS('Manual Sales'!$S$2:$S$1501,'Manual Sales'!$U$2:$U$1501,A66))</f>
        <v/>
      </c>
      <c r="D66" s="11">
        <f>IF(A66="","",SUMIFS('Etsy Calc'!$M$2:$M$1501,'Etsy Calc'!$L$2:$L$1501,A66)+SUMIFS('Shopify Calc'!$M$2:$M$1501,'Shopify Calc'!$L$2:$L$1501,A66)+SUMIFS('Manual Sales'!$V$2:$V$1501,'Manual Sales'!$U$2:$U$1501,A66))</f>
        <v/>
      </c>
      <c r="E66" s="11">
        <f>IF(A66="","",SUMIFS('Etsy Calc'!$N$2:$N$1501,'Etsy Calc'!$L$2:$L$1501,A66)+SUMIFS('Shopify Calc'!$N$2:$N$1501,'Shopify Calc'!$L$2:$L$1501,A66)+SUMIFS('Manual Sales'!$W$2:$W$1501,'Manual Sales'!$U$2:$U$1501,A66))</f>
        <v/>
      </c>
      <c r="F66" s="11">
        <f>IF(A66="","",SUMIFS('Etsy Calc'!$O$2:$O$1501,'Etsy Calc'!$L$2:$L$1501,A66)+SUMIFS('Shopify Calc'!$O$2:$O$1501,'Shopify Calc'!$L$2:$L$1501,A66)+SUMIFS('Manual Sales'!$X$2:$X$1501,'Manual Sales'!$U$2:$U$1501,A66))</f>
        <v/>
      </c>
      <c r="G66" s="11">
        <f>IF(A66="","",IF($B$4=0,0,Settings!$B$14*C66/$B$4))</f>
        <v/>
      </c>
      <c r="H66" s="11">
        <f>IF(A66="","",C66-D66-E66-F66-G66)</f>
        <v/>
      </c>
      <c r="I66" s="11">
        <f>IF(OR(A66="",N(B66)=0),"",H66/B66)</f>
        <v/>
      </c>
      <c r="J66" s="12">
        <f>IF(OR(A66="",N(C66)=0),"",H66/C66)</f>
        <v/>
      </c>
      <c r="K66">
        <f>IF(A66="","",IF(N(B66)=0,"No sales",IF(H66&lt;0,"LOSING MONEY",IF(J66&lt;0.15,"Thin margin","Healthy"))))</f>
        <v/>
      </c>
    </row>
    <row r="67">
      <c r="A67">
        <f>IF(Products!A61="","",Products!A61)</f>
        <v/>
      </c>
      <c r="B67">
        <f>IF(A67="","",SUMIFS('Etsy Calc'!$D$2:$D$1501,'Etsy Calc'!$L$2:$L$1501,A67)+SUMIFS('Shopify Calc'!$D$2:$D$1501,'Shopify Calc'!$L$2:$L$1501,A67)+SUMIFS('Manual Sales'!$M$2:$M$1501,'Manual Sales'!$U$2:$U$1501,A67))</f>
        <v/>
      </c>
      <c r="C67" s="11">
        <f>IF(A67="","",SUMIFS('Etsy Calc'!$J$2:$J$1501,'Etsy Calc'!$L$2:$L$1501,A67)+SUMIFS('Shopify Calc'!$J$2:$J$1501,'Shopify Calc'!$L$2:$L$1501,A67)+SUMIFS('Manual Sales'!$S$2:$S$1501,'Manual Sales'!$U$2:$U$1501,A67))</f>
        <v/>
      </c>
      <c r="D67" s="11">
        <f>IF(A67="","",SUMIFS('Etsy Calc'!$M$2:$M$1501,'Etsy Calc'!$L$2:$L$1501,A67)+SUMIFS('Shopify Calc'!$M$2:$M$1501,'Shopify Calc'!$L$2:$L$1501,A67)+SUMIFS('Manual Sales'!$V$2:$V$1501,'Manual Sales'!$U$2:$U$1501,A67))</f>
        <v/>
      </c>
      <c r="E67" s="11">
        <f>IF(A67="","",SUMIFS('Etsy Calc'!$N$2:$N$1501,'Etsy Calc'!$L$2:$L$1501,A67)+SUMIFS('Shopify Calc'!$N$2:$N$1501,'Shopify Calc'!$L$2:$L$1501,A67)+SUMIFS('Manual Sales'!$W$2:$W$1501,'Manual Sales'!$U$2:$U$1501,A67))</f>
        <v/>
      </c>
      <c r="F67" s="11">
        <f>IF(A67="","",SUMIFS('Etsy Calc'!$O$2:$O$1501,'Etsy Calc'!$L$2:$L$1501,A67)+SUMIFS('Shopify Calc'!$O$2:$O$1501,'Shopify Calc'!$L$2:$L$1501,A67)+SUMIFS('Manual Sales'!$X$2:$X$1501,'Manual Sales'!$U$2:$U$1501,A67))</f>
        <v/>
      </c>
      <c r="G67" s="11">
        <f>IF(A67="","",IF($B$4=0,0,Settings!$B$14*C67/$B$4))</f>
        <v/>
      </c>
      <c r="H67" s="11">
        <f>IF(A67="","",C67-D67-E67-F67-G67)</f>
        <v/>
      </c>
      <c r="I67" s="11">
        <f>IF(OR(A67="",N(B67)=0),"",H67/B67)</f>
        <v/>
      </c>
      <c r="J67" s="12">
        <f>IF(OR(A67="",N(C67)=0),"",H67/C67)</f>
        <v/>
      </c>
      <c r="K67">
        <f>IF(A67="","",IF(N(B67)=0,"No sales",IF(H67&lt;0,"LOSING MONEY",IF(J67&lt;0.15,"Thin margin","Healthy"))))</f>
        <v/>
      </c>
    </row>
    <row r="68">
      <c r="A68">
        <f>IF(Products!A62="","",Products!A62)</f>
        <v/>
      </c>
      <c r="B68">
        <f>IF(A68="","",SUMIFS('Etsy Calc'!$D$2:$D$1501,'Etsy Calc'!$L$2:$L$1501,A68)+SUMIFS('Shopify Calc'!$D$2:$D$1501,'Shopify Calc'!$L$2:$L$1501,A68)+SUMIFS('Manual Sales'!$M$2:$M$1501,'Manual Sales'!$U$2:$U$1501,A68))</f>
        <v/>
      </c>
      <c r="C68" s="11">
        <f>IF(A68="","",SUMIFS('Etsy Calc'!$J$2:$J$1501,'Etsy Calc'!$L$2:$L$1501,A68)+SUMIFS('Shopify Calc'!$J$2:$J$1501,'Shopify Calc'!$L$2:$L$1501,A68)+SUMIFS('Manual Sales'!$S$2:$S$1501,'Manual Sales'!$U$2:$U$1501,A68))</f>
        <v/>
      </c>
      <c r="D68" s="11">
        <f>IF(A68="","",SUMIFS('Etsy Calc'!$M$2:$M$1501,'Etsy Calc'!$L$2:$L$1501,A68)+SUMIFS('Shopify Calc'!$M$2:$M$1501,'Shopify Calc'!$L$2:$L$1501,A68)+SUMIFS('Manual Sales'!$V$2:$V$1501,'Manual Sales'!$U$2:$U$1501,A68))</f>
        <v/>
      </c>
      <c r="E68" s="11">
        <f>IF(A68="","",SUMIFS('Etsy Calc'!$N$2:$N$1501,'Etsy Calc'!$L$2:$L$1501,A68)+SUMIFS('Shopify Calc'!$N$2:$N$1501,'Shopify Calc'!$L$2:$L$1501,A68)+SUMIFS('Manual Sales'!$W$2:$W$1501,'Manual Sales'!$U$2:$U$1501,A68))</f>
        <v/>
      </c>
      <c r="F68" s="11">
        <f>IF(A68="","",SUMIFS('Etsy Calc'!$O$2:$O$1501,'Etsy Calc'!$L$2:$L$1501,A68)+SUMIFS('Shopify Calc'!$O$2:$O$1501,'Shopify Calc'!$L$2:$L$1501,A68)+SUMIFS('Manual Sales'!$X$2:$X$1501,'Manual Sales'!$U$2:$U$1501,A68))</f>
        <v/>
      </c>
      <c r="G68" s="11">
        <f>IF(A68="","",IF($B$4=0,0,Settings!$B$14*C68/$B$4))</f>
        <v/>
      </c>
      <c r="H68" s="11">
        <f>IF(A68="","",C68-D68-E68-F68-G68)</f>
        <v/>
      </c>
      <c r="I68" s="11">
        <f>IF(OR(A68="",N(B68)=0),"",H68/B68)</f>
        <v/>
      </c>
      <c r="J68" s="12">
        <f>IF(OR(A68="",N(C68)=0),"",H68/C68)</f>
        <v/>
      </c>
      <c r="K68">
        <f>IF(A68="","",IF(N(B68)=0,"No sales",IF(H68&lt;0,"LOSING MONEY",IF(J68&lt;0.15,"Thin margin","Healthy"))))</f>
        <v/>
      </c>
    </row>
    <row r="69">
      <c r="A69">
        <f>IF(Products!A63="","",Products!A63)</f>
        <v/>
      </c>
      <c r="B69">
        <f>IF(A69="","",SUMIFS('Etsy Calc'!$D$2:$D$1501,'Etsy Calc'!$L$2:$L$1501,A69)+SUMIFS('Shopify Calc'!$D$2:$D$1501,'Shopify Calc'!$L$2:$L$1501,A69)+SUMIFS('Manual Sales'!$M$2:$M$1501,'Manual Sales'!$U$2:$U$1501,A69))</f>
        <v/>
      </c>
      <c r="C69" s="11">
        <f>IF(A69="","",SUMIFS('Etsy Calc'!$J$2:$J$1501,'Etsy Calc'!$L$2:$L$1501,A69)+SUMIFS('Shopify Calc'!$J$2:$J$1501,'Shopify Calc'!$L$2:$L$1501,A69)+SUMIFS('Manual Sales'!$S$2:$S$1501,'Manual Sales'!$U$2:$U$1501,A69))</f>
        <v/>
      </c>
      <c r="D69" s="11">
        <f>IF(A69="","",SUMIFS('Etsy Calc'!$M$2:$M$1501,'Etsy Calc'!$L$2:$L$1501,A69)+SUMIFS('Shopify Calc'!$M$2:$M$1501,'Shopify Calc'!$L$2:$L$1501,A69)+SUMIFS('Manual Sales'!$V$2:$V$1501,'Manual Sales'!$U$2:$U$1501,A69))</f>
        <v/>
      </c>
      <c r="E69" s="11">
        <f>IF(A69="","",SUMIFS('Etsy Calc'!$N$2:$N$1501,'Etsy Calc'!$L$2:$L$1501,A69)+SUMIFS('Shopify Calc'!$N$2:$N$1501,'Shopify Calc'!$L$2:$L$1501,A69)+SUMIFS('Manual Sales'!$W$2:$W$1501,'Manual Sales'!$U$2:$U$1501,A69))</f>
        <v/>
      </c>
      <c r="F69" s="11">
        <f>IF(A69="","",SUMIFS('Etsy Calc'!$O$2:$O$1501,'Etsy Calc'!$L$2:$L$1501,A69)+SUMIFS('Shopify Calc'!$O$2:$O$1501,'Shopify Calc'!$L$2:$L$1501,A69)+SUMIFS('Manual Sales'!$X$2:$X$1501,'Manual Sales'!$U$2:$U$1501,A69))</f>
        <v/>
      </c>
      <c r="G69" s="11">
        <f>IF(A69="","",IF($B$4=0,0,Settings!$B$14*C69/$B$4))</f>
        <v/>
      </c>
      <c r="H69" s="11">
        <f>IF(A69="","",C69-D69-E69-F69-G69)</f>
        <v/>
      </c>
      <c r="I69" s="11">
        <f>IF(OR(A69="",N(B69)=0),"",H69/B69)</f>
        <v/>
      </c>
      <c r="J69" s="12">
        <f>IF(OR(A69="",N(C69)=0),"",H69/C69)</f>
        <v/>
      </c>
      <c r="K69">
        <f>IF(A69="","",IF(N(B69)=0,"No sales",IF(H69&lt;0,"LOSING MONEY",IF(J69&lt;0.15,"Thin margin","Healthy"))))</f>
        <v/>
      </c>
    </row>
    <row r="70">
      <c r="A70">
        <f>IF(Products!A64="","",Products!A64)</f>
        <v/>
      </c>
      <c r="B70">
        <f>IF(A70="","",SUMIFS('Etsy Calc'!$D$2:$D$1501,'Etsy Calc'!$L$2:$L$1501,A70)+SUMIFS('Shopify Calc'!$D$2:$D$1501,'Shopify Calc'!$L$2:$L$1501,A70)+SUMIFS('Manual Sales'!$M$2:$M$1501,'Manual Sales'!$U$2:$U$1501,A70))</f>
        <v/>
      </c>
      <c r="C70" s="11">
        <f>IF(A70="","",SUMIFS('Etsy Calc'!$J$2:$J$1501,'Etsy Calc'!$L$2:$L$1501,A70)+SUMIFS('Shopify Calc'!$J$2:$J$1501,'Shopify Calc'!$L$2:$L$1501,A70)+SUMIFS('Manual Sales'!$S$2:$S$1501,'Manual Sales'!$U$2:$U$1501,A70))</f>
        <v/>
      </c>
      <c r="D70" s="11">
        <f>IF(A70="","",SUMIFS('Etsy Calc'!$M$2:$M$1501,'Etsy Calc'!$L$2:$L$1501,A70)+SUMIFS('Shopify Calc'!$M$2:$M$1501,'Shopify Calc'!$L$2:$L$1501,A70)+SUMIFS('Manual Sales'!$V$2:$V$1501,'Manual Sales'!$U$2:$U$1501,A70))</f>
        <v/>
      </c>
      <c r="E70" s="11">
        <f>IF(A70="","",SUMIFS('Etsy Calc'!$N$2:$N$1501,'Etsy Calc'!$L$2:$L$1501,A70)+SUMIFS('Shopify Calc'!$N$2:$N$1501,'Shopify Calc'!$L$2:$L$1501,A70)+SUMIFS('Manual Sales'!$W$2:$W$1501,'Manual Sales'!$U$2:$U$1501,A70))</f>
        <v/>
      </c>
      <c r="F70" s="11">
        <f>IF(A70="","",SUMIFS('Etsy Calc'!$O$2:$O$1501,'Etsy Calc'!$L$2:$L$1501,A70)+SUMIFS('Shopify Calc'!$O$2:$O$1501,'Shopify Calc'!$L$2:$L$1501,A70)+SUMIFS('Manual Sales'!$X$2:$X$1501,'Manual Sales'!$U$2:$U$1501,A70))</f>
        <v/>
      </c>
      <c r="G70" s="11">
        <f>IF(A70="","",IF($B$4=0,0,Settings!$B$14*C70/$B$4))</f>
        <v/>
      </c>
      <c r="H70" s="11">
        <f>IF(A70="","",C70-D70-E70-F70-G70)</f>
        <v/>
      </c>
      <c r="I70" s="11">
        <f>IF(OR(A70="",N(B70)=0),"",H70/B70)</f>
        <v/>
      </c>
      <c r="J70" s="12">
        <f>IF(OR(A70="",N(C70)=0),"",H70/C70)</f>
        <v/>
      </c>
      <c r="K70">
        <f>IF(A70="","",IF(N(B70)=0,"No sales",IF(H70&lt;0,"LOSING MONEY",IF(J70&lt;0.15,"Thin margin","Healthy"))))</f>
        <v/>
      </c>
    </row>
    <row r="71">
      <c r="A71">
        <f>IF(Products!A65="","",Products!A65)</f>
        <v/>
      </c>
      <c r="B71">
        <f>IF(A71="","",SUMIFS('Etsy Calc'!$D$2:$D$1501,'Etsy Calc'!$L$2:$L$1501,A71)+SUMIFS('Shopify Calc'!$D$2:$D$1501,'Shopify Calc'!$L$2:$L$1501,A71)+SUMIFS('Manual Sales'!$M$2:$M$1501,'Manual Sales'!$U$2:$U$1501,A71))</f>
        <v/>
      </c>
      <c r="C71" s="11">
        <f>IF(A71="","",SUMIFS('Etsy Calc'!$J$2:$J$1501,'Etsy Calc'!$L$2:$L$1501,A71)+SUMIFS('Shopify Calc'!$J$2:$J$1501,'Shopify Calc'!$L$2:$L$1501,A71)+SUMIFS('Manual Sales'!$S$2:$S$1501,'Manual Sales'!$U$2:$U$1501,A71))</f>
        <v/>
      </c>
      <c r="D71" s="11">
        <f>IF(A71="","",SUMIFS('Etsy Calc'!$M$2:$M$1501,'Etsy Calc'!$L$2:$L$1501,A71)+SUMIFS('Shopify Calc'!$M$2:$M$1501,'Shopify Calc'!$L$2:$L$1501,A71)+SUMIFS('Manual Sales'!$V$2:$V$1501,'Manual Sales'!$U$2:$U$1501,A71))</f>
        <v/>
      </c>
      <c r="E71" s="11">
        <f>IF(A71="","",SUMIFS('Etsy Calc'!$N$2:$N$1501,'Etsy Calc'!$L$2:$L$1501,A71)+SUMIFS('Shopify Calc'!$N$2:$N$1501,'Shopify Calc'!$L$2:$L$1501,A71)+SUMIFS('Manual Sales'!$W$2:$W$1501,'Manual Sales'!$U$2:$U$1501,A71))</f>
        <v/>
      </c>
      <c r="F71" s="11">
        <f>IF(A71="","",SUMIFS('Etsy Calc'!$O$2:$O$1501,'Etsy Calc'!$L$2:$L$1501,A71)+SUMIFS('Shopify Calc'!$O$2:$O$1501,'Shopify Calc'!$L$2:$L$1501,A71)+SUMIFS('Manual Sales'!$X$2:$X$1501,'Manual Sales'!$U$2:$U$1501,A71))</f>
        <v/>
      </c>
      <c r="G71" s="11">
        <f>IF(A71="","",IF($B$4=0,0,Settings!$B$14*C71/$B$4))</f>
        <v/>
      </c>
      <c r="H71" s="11">
        <f>IF(A71="","",C71-D71-E71-F71-G71)</f>
        <v/>
      </c>
      <c r="I71" s="11">
        <f>IF(OR(A71="",N(B71)=0),"",H71/B71)</f>
        <v/>
      </c>
      <c r="J71" s="12">
        <f>IF(OR(A71="",N(C71)=0),"",H71/C71)</f>
        <v/>
      </c>
      <c r="K71">
        <f>IF(A71="","",IF(N(B71)=0,"No sales",IF(H71&lt;0,"LOSING MONEY",IF(J71&lt;0.15,"Thin margin","Healthy"))))</f>
        <v/>
      </c>
    </row>
    <row r="72">
      <c r="A72">
        <f>IF(Products!A66="","",Products!A66)</f>
        <v/>
      </c>
      <c r="B72">
        <f>IF(A72="","",SUMIFS('Etsy Calc'!$D$2:$D$1501,'Etsy Calc'!$L$2:$L$1501,A72)+SUMIFS('Shopify Calc'!$D$2:$D$1501,'Shopify Calc'!$L$2:$L$1501,A72)+SUMIFS('Manual Sales'!$M$2:$M$1501,'Manual Sales'!$U$2:$U$1501,A72))</f>
        <v/>
      </c>
      <c r="C72" s="11">
        <f>IF(A72="","",SUMIFS('Etsy Calc'!$J$2:$J$1501,'Etsy Calc'!$L$2:$L$1501,A72)+SUMIFS('Shopify Calc'!$J$2:$J$1501,'Shopify Calc'!$L$2:$L$1501,A72)+SUMIFS('Manual Sales'!$S$2:$S$1501,'Manual Sales'!$U$2:$U$1501,A72))</f>
        <v/>
      </c>
      <c r="D72" s="11">
        <f>IF(A72="","",SUMIFS('Etsy Calc'!$M$2:$M$1501,'Etsy Calc'!$L$2:$L$1501,A72)+SUMIFS('Shopify Calc'!$M$2:$M$1501,'Shopify Calc'!$L$2:$L$1501,A72)+SUMIFS('Manual Sales'!$V$2:$V$1501,'Manual Sales'!$U$2:$U$1501,A72))</f>
        <v/>
      </c>
      <c r="E72" s="11">
        <f>IF(A72="","",SUMIFS('Etsy Calc'!$N$2:$N$1501,'Etsy Calc'!$L$2:$L$1501,A72)+SUMIFS('Shopify Calc'!$N$2:$N$1501,'Shopify Calc'!$L$2:$L$1501,A72)+SUMIFS('Manual Sales'!$W$2:$W$1501,'Manual Sales'!$U$2:$U$1501,A72))</f>
        <v/>
      </c>
      <c r="F72" s="11">
        <f>IF(A72="","",SUMIFS('Etsy Calc'!$O$2:$O$1501,'Etsy Calc'!$L$2:$L$1501,A72)+SUMIFS('Shopify Calc'!$O$2:$O$1501,'Shopify Calc'!$L$2:$L$1501,A72)+SUMIFS('Manual Sales'!$X$2:$X$1501,'Manual Sales'!$U$2:$U$1501,A72))</f>
        <v/>
      </c>
      <c r="G72" s="11">
        <f>IF(A72="","",IF($B$4=0,0,Settings!$B$14*C72/$B$4))</f>
        <v/>
      </c>
      <c r="H72" s="11">
        <f>IF(A72="","",C72-D72-E72-F72-G72)</f>
        <v/>
      </c>
      <c r="I72" s="11">
        <f>IF(OR(A72="",N(B72)=0),"",H72/B72)</f>
        <v/>
      </c>
      <c r="J72" s="12">
        <f>IF(OR(A72="",N(C72)=0),"",H72/C72)</f>
        <v/>
      </c>
      <c r="K72">
        <f>IF(A72="","",IF(N(B72)=0,"No sales",IF(H72&lt;0,"LOSING MONEY",IF(J72&lt;0.15,"Thin margin","Healthy"))))</f>
        <v/>
      </c>
    </row>
    <row r="73">
      <c r="A73">
        <f>IF(Products!A67="","",Products!A67)</f>
        <v/>
      </c>
      <c r="B73">
        <f>IF(A73="","",SUMIFS('Etsy Calc'!$D$2:$D$1501,'Etsy Calc'!$L$2:$L$1501,A73)+SUMIFS('Shopify Calc'!$D$2:$D$1501,'Shopify Calc'!$L$2:$L$1501,A73)+SUMIFS('Manual Sales'!$M$2:$M$1501,'Manual Sales'!$U$2:$U$1501,A73))</f>
        <v/>
      </c>
      <c r="C73" s="11">
        <f>IF(A73="","",SUMIFS('Etsy Calc'!$J$2:$J$1501,'Etsy Calc'!$L$2:$L$1501,A73)+SUMIFS('Shopify Calc'!$J$2:$J$1501,'Shopify Calc'!$L$2:$L$1501,A73)+SUMIFS('Manual Sales'!$S$2:$S$1501,'Manual Sales'!$U$2:$U$1501,A73))</f>
        <v/>
      </c>
      <c r="D73" s="11">
        <f>IF(A73="","",SUMIFS('Etsy Calc'!$M$2:$M$1501,'Etsy Calc'!$L$2:$L$1501,A73)+SUMIFS('Shopify Calc'!$M$2:$M$1501,'Shopify Calc'!$L$2:$L$1501,A73)+SUMIFS('Manual Sales'!$V$2:$V$1501,'Manual Sales'!$U$2:$U$1501,A73))</f>
        <v/>
      </c>
      <c r="E73" s="11">
        <f>IF(A73="","",SUMIFS('Etsy Calc'!$N$2:$N$1501,'Etsy Calc'!$L$2:$L$1501,A73)+SUMIFS('Shopify Calc'!$N$2:$N$1501,'Shopify Calc'!$L$2:$L$1501,A73)+SUMIFS('Manual Sales'!$W$2:$W$1501,'Manual Sales'!$U$2:$U$1501,A73))</f>
        <v/>
      </c>
      <c r="F73" s="11">
        <f>IF(A73="","",SUMIFS('Etsy Calc'!$O$2:$O$1501,'Etsy Calc'!$L$2:$L$1501,A73)+SUMIFS('Shopify Calc'!$O$2:$O$1501,'Shopify Calc'!$L$2:$L$1501,A73)+SUMIFS('Manual Sales'!$X$2:$X$1501,'Manual Sales'!$U$2:$U$1501,A73))</f>
        <v/>
      </c>
      <c r="G73" s="11">
        <f>IF(A73="","",IF($B$4=0,0,Settings!$B$14*C73/$B$4))</f>
        <v/>
      </c>
      <c r="H73" s="11">
        <f>IF(A73="","",C73-D73-E73-F73-G73)</f>
        <v/>
      </c>
      <c r="I73" s="11">
        <f>IF(OR(A73="",N(B73)=0),"",H73/B73)</f>
        <v/>
      </c>
      <c r="J73" s="12">
        <f>IF(OR(A73="",N(C73)=0),"",H73/C73)</f>
        <v/>
      </c>
      <c r="K73">
        <f>IF(A73="","",IF(N(B73)=0,"No sales",IF(H73&lt;0,"LOSING MONEY",IF(J73&lt;0.15,"Thin margin","Healthy"))))</f>
        <v/>
      </c>
    </row>
    <row r="74">
      <c r="A74">
        <f>IF(Products!A68="","",Products!A68)</f>
        <v/>
      </c>
      <c r="B74">
        <f>IF(A74="","",SUMIFS('Etsy Calc'!$D$2:$D$1501,'Etsy Calc'!$L$2:$L$1501,A74)+SUMIFS('Shopify Calc'!$D$2:$D$1501,'Shopify Calc'!$L$2:$L$1501,A74)+SUMIFS('Manual Sales'!$M$2:$M$1501,'Manual Sales'!$U$2:$U$1501,A74))</f>
        <v/>
      </c>
      <c r="C74" s="11">
        <f>IF(A74="","",SUMIFS('Etsy Calc'!$J$2:$J$1501,'Etsy Calc'!$L$2:$L$1501,A74)+SUMIFS('Shopify Calc'!$J$2:$J$1501,'Shopify Calc'!$L$2:$L$1501,A74)+SUMIFS('Manual Sales'!$S$2:$S$1501,'Manual Sales'!$U$2:$U$1501,A74))</f>
        <v/>
      </c>
      <c r="D74" s="11">
        <f>IF(A74="","",SUMIFS('Etsy Calc'!$M$2:$M$1501,'Etsy Calc'!$L$2:$L$1501,A74)+SUMIFS('Shopify Calc'!$M$2:$M$1501,'Shopify Calc'!$L$2:$L$1501,A74)+SUMIFS('Manual Sales'!$V$2:$V$1501,'Manual Sales'!$U$2:$U$1501,A74))</f>
        <v/>
      </c>
      <c r="E74" s="11">
        <f>IF(A74="","",SUMIFS('Etsy Calc'!$N$2:$N$1501,'Etsy Calc'!$L$2:$L$1501,A74)+SUMIFS('Shopify Calc'!$N$2:$N$1501,'Shopify Calc'!$L$2:$L$1501,A74)+SUMIFS('Manual Sales'!$W$2:$W$1501,'Manual Sales'!$U$2:$U$1501,A74))</f>
        <v/>
      </c>
      <c r="F74" s="11">
        <f>IF(A74="","",SUMIFS('Etsy Calc'!$O$2:$O$1501,'Etsy Calc'!$L$2:$L$1501,A74)+SUMIFS('Shopify Calc'!$O$2:$O$1501,'Shopify Calc'!$L$2:$L$1501,A74)+SUMIFS('Manual Sales'!$X$2:$X$1501,'Manual Sales'!$U$2:$U$1501,A74))</f>
        <v/>
      </c>
      <c r="G74" s="11">
        <f>IF(A74="","",IF($B$4=0,0,Settings!$B$14*C74/$B$4))</f>
        <v/>
      </c>
      <c r="H74" s="11">
        <f>IF(A74="","",C74-D74-E74-F74-G74)</f>
        <v/>
      </c>
      <c r="I74" s="11">
        <f>IF(OR(A74="",N(B74)=0),"",H74/B74)</f>
        <v/>
      </c>
      <c r="J74" s="12">
        <f>IF(OR(A74="",N(C74)=0),"",H74/C74)</f>
        <v/>
      </c>
      <c r="K74">
        <f>IF(A74="","",IF(N(B74)=0,"No sales",IF(H74&lt;0,"LOSING MONEY",IF(J74&lt;0.15,"Thin margin","Healthy"))))</f>
        <v/>
      </c>
    </row>
    <row r="75">
      <c r="A75">
        <f>IF(Products!A69="","",Products!A69)</f>
        <v/>
      </c>
      <c r="B75">
        <f>IF(A75="","",SUMIFS('Etsy Calc'!$D$2:$D$1501,'Etsy Calc'!$L$2:$L$1501,A75)+SUMIFS('Shopify Calc'!$D$2:$D$1501,'Shopify Calc'!$L$2:$L$1501,A75)+SUMIFS('Manual Sales'!$M$2:$M$1501,'Manual Sales'!$U$2:$U$1501,A75))</f>
        <v/>
      </c>
      <c r="C75" s="11">
        <f>IF(A75="","",SUMIFS('Etsy Calc'!$J$2:$J$1501,'Etsy Calc'!$L$2:$L$1501,A75)+SUMIFS('Shopify Calc'!$J$2:$J$1501,'Shopify Calc'!$L$2:$L$1501,A75)+SUMIFS('Manual Sales'!$S$2:$S$1501,'Manual Sales'!$U$2:$U$1501,A75))</f>
        <v/>
      </c>
      <c r="D75" s="11">
        <f>IF(A75="","",SUMIFS('Etsy Calc'!$M$2:$M$1501,'Etsy Calc'!$L$2:$L$1501,A75)+SUMIFS('Shopify Calc'!$M$2:$M$1501,'Shopify Calc'!$L$2:$L$1501,A75)+SUMIFS('Manual Sales'!$V$2:$V$1501,'Manual Sales'!$U$2:$U$1501,A75))</f>
        <v/>
      </c>
      <c r="E75" s="11">
        <f>IF(A75="","",SUMIFS('Etsy Calc'!$N$2:$N$1501,'Etsy Calc'!$L$2:$L$1501,A75)+SUMIFS('Shopify Calc'!$N$2:$N$1501,'Shopify Calc'!$L$2:$L$1501,A75)+SUMIFS('Manual Sales'!$W$2:$W$1501,'Manual Sales'!$U$2:$U$1501,A75))</f>
        <v/>
      </c>
      <c r="F75" s="11">
        <f>IF(A75="","",SUMIFS('Etsy Calc'!$O$2:$O$1501,'Etsy Calc'!$L$2:$L$1501,A75)+SUMIFS('Shopify Calc'!$O$2:$O$1501,'Shopify Calc'!$L$2:$L$1501,A75)+SUMIFS('Manual Sales'!$X$2:$X$1501,'Manual Sales'!$U$2:$U$1501,A75))</f>
        <v/>
      </c>
      <c r="G75" s="11">
        <f>IF(A75="","",IF($B$4=0,0,Settings!$B$14*C75/$B$4))</f>
        <v/>
      </c>
      <c r="H75" s="11">
        <f>IF(A75="","",C75-D75-E75-F75-G75)</f>
        <v/>
      </c>
      <c r="I75" s="11">
        <f>IF(OR(A75="",N(B75)=0),"",H75/B75)</f>
        <v/>
      </c>
      <c r="J75" s="12">
        <f>IF(OR(A75="",N(C75)=0),"",H75/C75)</f>
        <v/>
      </c>
      <c r="K75">
        <f>IF(A75="","",IF(N(B75)=0,"No sales",IF(H75&lt;0,"LOSING MONEY",IF(J75&lt;0.15,"Thin margin","Healthy"))))</f>
        <v/>
      </c>
    </row>
    <row r="76">
      <c r="A76">
        <f>IF(Products!A70="","",Products!A70)</f>
        <v/>
      </c>
      <c r="B76">
        <f>IF(A76="","",SUMIFS('Etsy Calc'!$D$2:$D$1501,'Etsy Calc'!$L$2:$L$1501,A76)+SUMIFS('Shopify Calc'!$D$2:$D$1501,'Shopify Calc'!$L$2:$L$1501,A76)+SUMIFS('Manual Sales'!$M$2:$M$1501,'Manual Sales'!$U$2:$U$1501,A76))</f>
        <v/>
      </c>
      <c r="C76" s="11">
        <f>IF(A76="","",SUMIFS('Etsy Calc'!$J$2:$J$1501,'Etsy Calc'!$L$2:$L$1501,A76)+SUMIFS('Shopify Calc'!$J$2:$J$1501,'Shopify Calc'!$L$2:$L$1501,A76)+SUMIFS('Manual Sales'!$S$2:$S$1501,'Manual Sales'!$U$2:$U$1501,A76))</f>
        <v/>
      </c>
      <c r="D76" s="11">
        <f>IF(A76="","",SUMIFS('Etsy Calc'!$M$2:$M$1501,'Etsy Calc'!$L$2:$L$1501,A76)+SUMIFS('Shopify Calc'!$M$2:$M$1501,'Shopify Calc'!$L$2:$L$1501,A76)+SUMIFS('Manual Sales'!$V$2:$V$1501,'Manual Sales'!$U$2:$U$1501,A76))</f>
        <v/>
      </c>
      <c r="E76" s="11">
        <f>IF(A76="","",SUMIFS('Etsy Calc'!$N$2:$N$1501,'Etsy Calc'!$L$2:$L$1501,A76)+SUMIFS('Shopify Calc'!$N$2:$N$1501,'Shopify Calc'!$L$2:$L$1501,A76)+SUMIFS('Manual Sales'!$W$2:$W$1501,'Manual Sales'!$U$2:$U$1501,A76))</f>
        <v/>
      </c>
      <c r="F76" s="11">
        <f>IF(A76="","",SUMIFS('Etsy Calc'!$O$2:$O$1501,'Etsy Calc'!$L$2:$L$1501,A76)+SUMIFS('Shopify Calc'!$O$2:$O$1501,'Shopify Calc'!$L$2:$L$1501,A76)+SUMIFS('Manual Sales'!$X$2:$X$1501,'Manual Sales'!$U$2:$U$1501,A76))</f>
        <v/>
      </c>
      <c r="G76" s="11">
        <f>IF(A76="","",IF($B$4=0,0,Settings!$B$14*C76/$B$4))</f>
        <v/>
      </c>
      <c r="H76" s="11">
        <f>IF(A76="","",C76-D76-E76-F76-G76)</f>
        <v/>
      </c>
      <c r="I76" s="11">
        <f>IF(OR(A76="",N(B76)=0),"",H76/B76)</f>
        <v/>
      </c>
      <c r="J76" s="12">
        <f>IF(OR(A76="",N(C76)=0),"",H76/C76)</f>
        <v/>
      </c>
      <c r="K76">
        <f>IF(A76="","",IF(N(B76)=0,"No sales",IF(H76&lt;0,"LOSING MONEY",IF(J76&lt;0.15,"Thin margin","Healthy"))))</f>
        <v/>
      </c>
    </row>
    <row r="77">
      <c r="A77">
        <f>IF(Products!A71="","",Products!A71)</f>
        <v/>
      </c>
      <c r="B77">
        <f>IF(A77="","",SUMIFS('Etsy Calc'!$D$2:$D$1501,'Etsy Calc'!$L$2:$L$1501,A77)+SUMIFS('Shopify Calc'!$D$2:$D$1501,'Shopify Calc'!$L$2:$L$1501,A77)+SUMIFS('Manual Sales'!$M$2:$M$1501,'Manual Sales'!$U$2:$U$1501,A77))</f>
        <v/>
      </c>
      <c r="C77" s="11">
        <f>IF(A77="","",SUMIFS('Etsy Calc'!$J$2:$J$1501,'Etsy Calc'!$L$2:$L$1501,A77)+SUMIFS('Shopify Calc'!$J$2:$J$1501,'Shopify Calc'!$L$2:$L$1501,A77)+SUMIFS('Manual Sales'!$S$2:$S$1501,'Manual Sales'!$U$2:$U$1501,A77))</f>
        <v/>
      </c>
      <c r="D77" s="11">
        <f>IF(A77="","",SUMIFS('Etsy Calc'!$M$2:$M$1501,'Etsy Calc'!$L$2:$L$1501,A77)+SUMIFS('Shopify Calc'!$M$2:$M$1501,'Shopify Calc'!$L$2:$L$1501,A77)+SUMIFS('Manual Sales'!$V$2:$V$1501,'Manual Sales'!$U$2:$U$1501,A77))</f>
        <v/>
      </c>
      <c r="E77" s="11">
        <f>IF(A77="","",SUMIFS('Etsy Calc'!$N$2:$N$1501,'Etsy Calc'!$L$2:$L$1501,A77)+SUMIFS('Shopify Calc'!$N$2:$N$1501,'Shopify Calc'!$L$2:$L$1501,A77)+SUMIFS('Manual Sales'!$W$2:$W$1501,'Manual Sales'!$U$2:$U$1501,A77))</f>
        <v/>
      </c>
      <c r="F77" s="11">
        <f>IF(A77="","",SUMIFS('Etsy Calc'!$O$2:$O$1501,'Etsy Calc'!$L$2:$L$1501,A77)+SUMIFS('Shopify Calc'!$O$2:$O$1501,'Shopify Calc'!$L$2:$L$1501,A77)+SUMIFS('Manual Sales'!$X$2:$X$1501,'Manual Sales'!$U$2:$U$1501,A77))</f>
        <v/>
      </c>
      <c r="G77" s="11">
        <f>IF(A77="","",IF($B$4=0,0,Settings!$B$14*C77/$B$4))</f>
        <v/>
      </c>
      <c r="H77" s="11">
        <f>IF(A77="","",C77-D77-E77-F77-G77)</f>
        <v/>
      </c>
      <c r="I77" s="11">
        <f>IF(OR(A77="",N(B77)=0),"",H77/B77)</f>
        <v/>
      </c>
      <c r="J77" s="12">
        <f>IF(OR(A77="",N(C77)=0),"",H77/C77)</f>
        <v/>
      </c>
      <c r="K77">
        <f>IF(A77="","",IF(N(B77)=0,"No sales",IF(H77&lt;0,"LOSING MONEY",IF(J77&lt;0.15,"Thin margin","Healthy"))))</f>
        <v/>
      </c>
    </row>
    <row r="78">
      <c r="A78">
        <f>IF(Products!A72="","",Products!A72)</f>
        <v/>
      </c>
      <c r="B78">
        <f>IF(A78="","",SUMIFS('Etsy Calc'!$D$2:$D$1501,'Etsy Calc'!$L$2:$L$1501,A78)+SUMIFS('Shopify Calc'!$D$2:$D$1501,'Shopify Calc'!$L$2:$L$1501,A78)+SUMIFS('Manual Sales'!$M$2:$M$1501,'Manual Sales'!$U$2:$U$1501,A78))</f>
        <v/>
      </c>
      <c r="C78" s="11">
        <f>IF(A78="","",SUMIFS('Etsy Calc'!$J$2:$J$1501,'Etsy Calc'!$L$2:$L$1501,A78)+SUMIFS('Shopify Calc'!$J$2:$J$1501,'Shopify Calc'!$L$2:$L$1501,A78)+SUMIFS('Manual Sales'!$S$2:$S$1501,'Manual Sales'!$U$2:$U$1501,A78))</f>
        <v/>
      </c>
      <c r="D78" s="11">
        <f>IF(A78="","",SUMIFS('Etsy Calc'!$M$2:$M$1501,'Etsy Calc'!$L$2:$L$1501,A78)+SUMIFS('Shopify Calc'!$M$2:$M$1501,'Shopify Calc'!$L$2:$L$1501,A78)+SUMIFS('Manual Sales'!$V$2:$V$1501,'Manual Sales'!$U$2:$U$1501,A78))</f>
        <v/>
      </c>
      <c r="E78" s="11">
        <f>IF(A78="","",SUMIFS('Etsy Calc'!$N$2:$N$1501,'Etsy Calc'!$L$2:$L$1501,A78)+SUMIFS('Shopify Calc'!$N$2:$N$1501,'Shopify Calc'!$L$2:$L$1501,A78)+SUMIFS('Manual Sales'!$W$2:$W$1501,'Manual Sales'!$U$2:$U$1501,A78))</f>
        <v/>
      </c>
      <c r="F78" s="11">
        <f>IF(A78="","",SUMIFS('Etsy Calc'!$O$2:$O$1501,'Etsy Calc'!$L$2:$L$1501,A78)+SUMIFS('Shopify Calc'!$O$2:$O$1501,'Shopify Calc'!$L$2:$L$1501,A78)+SUMIFS('Manual Sales'!$X$2:$X$1501,'Manual Sales'!$U$2:$U$1501,A78))</f>
        <v/>
      </c>
      <c r="G78" s="11">
        <f>IF(A78="","",IF($B$4=0,0,Settings!$B$14*C78/$B$4))</f>
        <v/>
      </c>
      <c r="H78" s="11">
        <f>IF(A78="","",C78-D78-E78-F78-G78)</f>
        <v/>
      </c>
      <c r="I78" s="11">
        <f>IF(OR(A78="",N(B78)=0),"",H78/B78)</f>
        <v/>
      </c>
      <c r="J78" s="12">
        <f>IF(OR(A78="",N(C78)=0),"",H78/C78)</f>
        <v/>
      </c>
      <c r="K78">
        <f>IF(A78="","",IF(N(B78)=0,"No sales",IF(H78&lt;0,"LOSING MONEY",IF(J78&lt;0.15,"Thin margin","Healthy"))))</f>
        <v/>
      </c>
    </row>
    <row r="79">
      <c r="A79">
        <f>IF(Products!A73="","",Products!A73)</f>
        <v/>
      </c>
      <c r="B79">
        <f>IF(A79="","",SUMIFS('Etsy Calc'!$D$2:$D$1501,'Etsy Calc'!$L$2:$L$1501,A79)+SUMIFS('Shopify Calc'!$D$2:$D$1501,'Shopify Calc'!$L$2:$L$1501,A79)+SUMIFS('Manual Sales'!$M$2:$M$1501,'Manual Sales'!$U$2:$U$1501,A79))</f>
        <v/>
      </c>
      <c r="C79" s="11">
        <f>IF(A79="","",SUMIFS('Etsy Calc'!$J$2:$J$1501,'Etsy Calc'!$L$2:$L$1501,A79)+SUMIFS('Shopify Calc'!$J$2:$J$1501,'Shopify Calc'!$L$2:$L$1501,A79)+SUMIFS('Manual Sales'!$S$2:$S$1501,'Manual Sales'!$U$2:$U$1501,A79))</f>
        <v/>
      </c>
      <c r="D79" s="11">
        <f>IF(A79="","",SUMIFS('Etsy Calc'!$M$2:$M$1501,'Etsy Calc'!$L$2:$L$1501,A79)+SUMIFS('Shopify Calc'!$M$2:$M$1501,'Shopify Calc'!$L$2:$L$1501,A79)+SUMIFS('Manual Sales'!$V$2:$V$1501,'Manual Sales'!$U$2:$U$1501,A79))</f>
        <v/>
      </c>
      <c r="E79" s="11">
        <f>IF(A79="","",SUMIFS('Etsy Calc'!$N$2:$N$1501,'Etsy Calc'!$L$2:$L$1501,A79)+SUMIFS('Shopify Calc'!$N$2:$N$1501,'Shopify Calc'!$L$2:$L$1501,A79)+SUMIFS('Manual Sales'!$W$2:$W$1501,'Manual Sales'!$U$2:$U$1501,A79))</f>
        <v/>
      </c>
      <c r="F79" s="11">
        <f>IF(A79="","",SUMIFS('Etsy Calc'!$O$2:$O$1501,'Etsy Calc'!$L$2:$L$1501,A79)+SUMIFS('Shopify Calc'!$O$2:$O$1501,'Shopify Calc'!$L$2:$L$1501,A79)+SUMIFS('Manual Sales'!$X$2:$X$1501,'Manual Sales'!$U$2:$U$1501,A79))</f>
        <v/>
      </c>
      <c r="G79" s="11">
        <f>IF(A79="","",IF($B$4=0,0,Settings!$B$14*C79/$B$4))</f>
        <v/>
      </c>
      <c r="H79" s="11">
        <f>IF(A79="","",C79-D79-E79-F79-G79)</f>
        <v/>
      </c>
      <c r="I79" s="11">
        <f>IF(OR(A79="",N(B79)=0),"",H79/B79)</f>
        <v/>
      </c>
      <c r="J79" s="12">
        <f>IF(OR(A79="",N(C79)=0),"",H79/C79)</f>
        <v/>
      </c>
      <c r="K79">
        <f>IF(A79="","",IF(N(B79)=0,"No sales",IF(H79&lt;0,"LOSING MONEY",IF(J79&lt;0.15,"Thin margin","Healthy"))))</f>
        <v/>
      </c>
    </row>
    <row r="80">
      <c r="A80">
        <f>IF(Products!A74="","",Products!A74)</f>
        <v/>
      </c>
      <c r="B80">
        <f>IF(A80="","",SUMIFS('Etsy Calc'!$D$2:$D$1501,'Etsy Calc'!$L$2:$L$1501,A80)+SUMIFS('Shopify Calc'!$D$2:$D$1501,'Shopify Calc'!$L$2:$L$1501,A80)+SUMIFS('Manual Sales'!$M$2:$M$1501,'Manual Sales'!$U$2:$U$1501,A80))</f>
        <v/>
      </c>
      <c r="C80" s="11">
        <f>IF(A80="","",SUMIFS('Etsy Calc'!$J$2:$J$1501,'Etsy Calc'!$L$2:$L$1501,A80)+SUMIFS('Shopify Calc'!$J$2:$J$1501,'Shopify Calc'!$L$2:$L$1501,A80)+SUMIFS('Manual Sales'!$S$2:$S$1501,'Manual Sales'!$U$2:$U$1501,A80))</f>
        <v/>
      </c>
      <c r="D80" s="11">
        <f>IF(A80="","",SUMIFS('Etsy Calc'!$M$2:$M$1501,'Etsy Calc'!$L$2:$L$1501,A80)+SUMIFS('Shopify Calc'!$M$2:$M$1501,'Shopify Calc'!$L$2:$L$1501,A80)+SUMIFS('Manual Sales'!$V$2:$V$1501,'Manual Sales'!$U$2:$U$1501,A80))</f>
        <v/>
      </c>
      <c r="E80" s="11">
        <f>IF(A80="","",SUMIFS('Etsy Calc'!$N$2:$N$1501,'Etsy Calc'!$L$2:$L$1501,A80)+SUMIFS('Shopify Calc'!$N$2:$N$1501,'Shopify Calc'!$L$2:$L$1501,A80)+SUMIFS('Manual Sales'!$W$2:$W$1501,'Manual Sales'!$U$2:$U$1501,A80))</f>
        <v/>
      </c>
      <c r="F80" s="11">
        <f>IF(A80="","",SUMIFS('Etsy Calc'!$O$2:$O$1501,'Etsy Calc'!$L$2:$L$1501,A80)+SUMIFS('Shopify Calc'!$O$2:$O$1501,'Shopify Calc'!$L$2:$L$1501,A80)+SUMIFS('Manual Sales'!$X$2:$X$1501,'Manual Sales'!$U$2:$U$1501,A80))</f>
        <v/>
      </c>
      <c r="G80" s="11">
        <f>IF(A80="","",IF($B$4=0,0,Settings!$B$14*C80/$B$4))</f>
        <v/>
      </c>
      <c r="H80" s="11">
        <f>IF(A80="","",C80-D80-E80-F80-G80)</f>
        <v/>
      </c>
      <c r="I80" s="11">
        <f>IF(OR(A80="",N(B80)=0),"",H80/B80)</f>
        <v/>
      </c>
      <c r="J80" s="12">
        <f>IF(OR(A80="",N(C80)=0),"",H80/C80)</f>
        <v/>
      </c>
      <c r="K80">
        <f>IF(A80="","",IF(N(B80)=0,"No sales",IF(H80&lt;0,"LOSING MONEY",IF(J80&lt;0.15,"Thin margin","Healthy"))))</f>
        <v/>
      </c>
    </row>
    <row r="81">
      <c r="A81">
        <f>IF(Products!A75="","",Products!A75)</f>
        <v/>
      </c>
      <c r="B81">
        <f>IF(A81="","",SUMIFS('Etsy Calc'!$D$2:$D$1501,'Etsy Calc'!$L$2:$L$1501,A81)+SUMIFS('Shopify Calc'!$D$2:$D$1501,'Shopify Calc'!$L$2:$L$1501,A81)+SUMIFS('Manual Sales'!$M$2:$M$1501,'Manual Sales'!$U$2:$U$1501,A81))</f>
        <v/>
      </c>
      <c r="C81" s="11">
        <f>IF(A81="","",SUMIFS('Etsy Calc'!$J$2:$J$1501,'Etsy Calc'!$L$2:$L$1501,A81)+SUMIFS('Shopify Calc'!$J$2:$J$1501,'Shopify Calc'!$L$2:$L$1501,A81)+SUMIFS('Manual Sales'!$S$2:$S$1501,'Manual Sales'!$U$2:$U$1501,A81))</f>
        <v/>
      </c>
      <c r="D81" s="11">
        <f>IF(A81="","",SUMIFS('Etsy Calc'!$M$2:$M$1501,'Etsy Calc'!$L$2:$L$1501,A81)+SUMIFS('Shopify Calc'!$M$2:$M$1501,'Shopify Calc'!$L$2:$L$1501,A81)+SUMIFS('Manual Sales'!$V$2:$V$1501,'Manual Sales'!$U$2:$U$1501,A81))</f>
        <v/>
      </c>
      <c r="E81" s="11">
        <f>IF(A81="","",SUMIFS('Etsy Calc'!$N$2:$N$1501,'Etsy Calc'!$L$2:$L$1501,A81)+SUMIFS('Shopify Calc'!$N$2:$N$1501,'Shopify Calc'!$L$2:$L$1501,A81)+SUMIFS('Manual Sales'!$W$2:$W$1501,'Manual Sales'!$U$2:$U$1501,A81))</f>
        <v/>
      </c>
      <c r="F81" s="11">
        <f>IF(A81="","",SUMIFS('Etsy Calc'!$O$2:$O$1501,'Etsy Calc'!$L$2:$L$1501,A81)+SUMIFS('Shopify Calc'!$O$2:$O$1501,'Shopify Calc'!$L$2:$L$1501,A81)+SUMIFS('Manual Sales'!$X$2:$X$1501,'Manual Sales'!$U$2:$U$1501,A81))</f>
        <v/>
      </c>
      <c r="G81" s="11">
        <f>IF(A81="","",IF($B$4=0,0,Settings!$B$14*C81/$B$4))</f>
        <v/>
      </c>
      <c r="H81" s="11">
        <f>IF(A81="","",C81-D81-E81-F81-G81)</f>
        <v/>
      </c>
      <c r="I81" s="11">
        <f>IF(OR(A81="",N(B81)=0),"",H81/B81)</f>
        <v/>
      </c>
      <c r="J81" s="12">
        <f>IF(OR(A81="",N(C81)=0),"",H81/C81)</f>
        <v/>
      </c>
      <c r="K81">
        <f>IF(A81="","",IF(N(B81)=0,"No sales",IF(H81&lt;0,"LOSING MONEY",IF(J81&lt;0.15,"Thin margin","Healthy"))))</f>
        <v/>
      </c>
    </row>
    <row r="82">
      <c r="A82">
        <f>IF(Products!A76="","",Products!A76)</f>
        <v/>
      </c>
      <c r="B82">
        <f>IF(A82="","",SUMIFS('Etsy Calc'!$D$2:$D$1501,'Etsy Calc'!$L$2:$L$1501,A82)+SUMIFS('Shopify Calc'!$D$2:$D$1501,'Shopify Calc'!$L$2:$L$1501,A82)+SUMIFS('Manual Sales'!$M$2:$M$1501,'Manual Sales'!$U$2:$U$1501,A82))</f>
        <v/>
      </c>
      <c r="C82" s="11">
        <f>IF(A82="","",SUMIFS('Etsy Calc'!$J$2:$J$1501,'Etsy Calc'!$L$2:$L$1501,A82)+SUMIFS('Shopify Calc'!$J$2:$J$1501,'Shopify Calc'!$L$2:$L$1501,A82)+SUMIFS('Manual Sales'!$S$2:$S$1501,'Manual Sales'!$U$2:$U$1501,A82))</f>
        <v/>
      </c>
      <c r="D82" s="11">
        <f>IF(A82="","",SUMIFS('Etsy Calc'!$M$2:$M$1501,'Etsy Calc'!$L$2:$L$1501,A82)+SUMIFS('Shopify Calc'!$M$2:$M$1501,'Shopify Calc'!$L$2:$L$1501,A82)+SUMIFS('Manual Sales'!$V$2:$V$1501,'Manual Sales'!$U$2:$U$1501,A82))</f>
        <v/>
      </c>
      <c r="E82" s="11">
        <f>IF(A82="","",SUMIFS('Etsy Calc'!$N$2:$N$1501,'Etsy Calc'!$L$2:$L$1501,A82)+SUMIFS('Shopify Calc'!$N$2:$N$1501,'Shopify Calc'!$L$2:$L$1501,A82)+SUMIFS('Manual Sales'!$W$2:$W$1501,'Manual Sales'!$U$2:$U$1501,A82))</f>
        <v/>
      </c>
      <c r="F82" s="11">
        <f>IF(A82="","",SUMIFS('Etsy Calc'!$O$2:$O$1501,'Etsy Calc'!$L$2:$L$1501,A82)+SUMIFS('Shopify Calc'!$O$2:$O$1501,'Shopify Calc'!$L$2:$L$1501,A82)+SUMIFS('Manual Sales'!$X$2:$X$1501,'Manual Sales'!$U$2:$U$1501,A82))</f>
        <v/>
      </c>
      <c r="G82" s="11">
        <f>IF(A82="","",IF($B$4=0,0,Settings!$B$14*C82/$B$4))</f>
        <v/>
      </c>
      <c r="H82" s="11">
        <f>IF(A82="","",C82-D82-E82-F82-G82)</f>
        <v/>
      </c>
      <c r="I82" s="11">
        <f>IF(OR(A82="",N(B82)=0),"",H82/B82)</f>
        <v/>
      </c>
      <c r="J82" s="12">
        <f>IF(OR(A82="",N(C82)=0),"",H82/C82)</f>
        <v/>
      </c>
      <c r="K82">
        <f>IF(A82="","",IF(N(B82)=0,"No sales",IF(H82&lt;0,"LOSING MONEY",IF(J82&lt;0.15,"Thin margin","Healthy"))))</f>
        <v/>
      </c>
    </row>
    <row r="83">
      <c r="A83">
        <f>IF(Products!A77="","",Products!A77)</f>
        <v/>
      </c>
      <c r="B83">
        <f>IF(A83="","",SUMIFS('Etsy Calc'!$D$2:$D$1501,'Etsy Calc'!$L$2:$L$1501,A83)+SUMIFS('Shopify Calc'!$D$2:$D$1501,'Shopify Calc'!$L$2:$L$1501,A83)+SUMIFS('Manual Sales'!$M$2:$M$1501,'Manual Sales'!$U$2:$U$1501,A83))</f>
        <v/>
      </c>
      <c r="C83" s="11">
        <f>IF(A83="","",SUMIFS('Etsy Calc'!$J$2:$J$1501,'Etsy Calc'!$L$2:$L$1501,A83)+SUMIFS('Shopify Calc'!$J$2:$J$1501,'Shopify Calc'!$L$2:$L$1501,A83)+SUMIFS('Manual Sales'!$S$2:$S$1501,'Manual Sales'!$U$2:$U$1501,A83))</f>
        <v/>
      </c>
      <c r="D83" s="11">
        <f>IF(A83="","",SUMIFS('Etsy Calc'!$M$2:$M$1501,'Etsy Calc'!$L$2:$L$1501,A83)+SUMIFS('Shopify Calc'!$M$2:$M$1501,'Shopify Calc'!$L$2:$L$1501,A83)+SUMIFS('Manual Sales'!$V$2:$V$1501,'Manual Sales'!$U$2:$U$1501,A83))</f>
        <v/>
      </c>
      <c r="E83" s="11">
        <f>IF(A83="","",SUMIFS('Etsy Calc'!$N$2:$N$1501,'Etsy Calc'!$L$2:$L$1501,A83)+SUMIFS('Shopify Calc'!$N$2:$N$1501,'Shopify Calc'!$L$2:$L$1501,A83)+SUMIFS('Manual Sales'!$W$2:$W$1501,'Manual Sales'!$U$2:$U$1501,A83))</f>
        <v/>
      </c>
      <c r="F83" s="11">
        <f>IF(A83="","",SUMIFS('Etsy Calc'!$O$2:$O$1501,'Etsy Calc'!$L$2:$L$1501,A83)+SUMIFS('Shopify Calc'!$O$2:$O$1501,'Shopify Calc'!$L$2:$L$1501,A83)+SUMIFS('Manual Sales'!$X$2:$X$1501,'Manual Sales'!$U$2:$U$1501,A83))</f>
        <v/>
      </c>
      <c r="G83" s="11">
        <f>IF(A83="","",IF($B$4=0,0,Settings!$B$14*C83/$B$4))</f>
        <v/>
      </c>
      <c r="H83" s="11">
        <f>IF(A83="","",C83-D83-E83-F83-G83)</f>
        <v/>
      </c>
      <c r="I83" s="11">
        <f>IF(OR(A83="",N(B83)=0),"",H83/B83)</f>
        <v/>
      </c>
      <c r="J83" s="12">
        <f>IF(OR(A83="",N(C83)=0),"",H83/C83)</f>
        <v/>
      </c>
      <c r="K83">
        <f>IF(A83="","",IF(N(B83)=0,"No sales",IF(H83&lt;0,"LOSING MONEY",IF(J83&lt;0.15,"Thin margin","Healthy"))))</f>
        <v/>
      </c>
    </row>
    <row r="84">
      <c r="A84">
        <f>IF(Products!A78="","",Products!A78)</f>
        <v/>
      </c>
      <c r="B84">
        <f>IF(A84="","",SUMIFS('Etsy Calc'!$D$2:$D$1501,'Etsy Calc'!$L$2:$L$1501,A84)+SUMIFS('Shopify Calc'!$D$2:$D$1501,'Shopify Calc'!$L$2:$L$1501,A84)+SUMIFS('Manual Sales'!$M$2:$M$1501,'Manual Sales'!$U$2:$U$1501,A84))</f>
        <v/>
      </c>
      <c r="C84" s="11">
        <f>IF(A84="","",SUMIFS('Etsy Calc'!$J$2:$J$1501,'Etsy Calc'!$L$2:$L$1501,A84)+SUMIFS('Shopify Calc'!$J$2:$J$1501,'Shopify Calc'!$L$2:$L$1501,A84)+SUMIFS('Manual Sales'!$S$2:$S$1501,'Manual Sales'!$U$2:$U$1501,A84))</f>
        <v/>
      </c>
      <c r="D84" s="11">
        <f>IF(A84="","",SUMIFS('Etsy Calc'!$M$2:$M$1501,'Etsy Calc'!$L$2:$L$1501,A84)+SUMIFS('Shopify Calc'!$M$2:$M$1501,'Shopify Calc'!$L$2:$L$1501,A84)+SUMIFS('Manual Sales'!$V$2:$V$1501,'Manual Sales'!$U$2:$U$1501,A84))</f>
        <v/>
      </c>
      <c r="E84" s="11">
        <f>IF(A84="","",SUMIFS('Etsy Calc'!$N$2:$N$1501,'Etsy Calc'!$L$2:$L$1501,A84)+SUMIFS('Shopify Calc'!$N$2:$N$1501,'Shopify Calc'!$L$2:$L$1501,A84)+SUMIFS('Manual Sales'!$W$2:$W$1501,'Manual Sales'!$U$2:$U$1501,A84))</f>
        <v/>
      </c>
      <c r="F84" s="11">
        <f>IF(A84="","",SUMIFS('Etsy Calc'!$O$2:$O$1501,'Etsy Calc'!$L$2:$L$1501,A84)+SUMIFS('Shopify Calc'!$O$2:$O$1501,'Shopify Calc'!$L$2:$L$1501,A84)+SUMIFS('Manual Sales'!$X$2:$X$1501,'Manual Sales'!$U$2:$U$1501,A84))</f>
        <v/>
      </c>
      <c r="G84" s="11">
        <f>IF(A84="","",IF($B$4=0,0,Settings!$B$14*C84/$B$4))</f>
        <v/>
      </c>
      <c r="H84" s="11">
        <f>IF(A84="","",C84-D84-E84-F84-G84)</f>
        <v/>
      </c>
      <c r="I84" s="11">
        <f>IF(OR(A84="",N(B84)=0),"",H84/B84)</f>
        <v/>
      </c>
      <c r="J84" s="12">
        <f>IF(OR(A84="",N(C84)=0),"",H84/C84)</f>
        <v/>
      </c>
      <c r="K84">
        <f>IF(A84="","",IF(N(B84)=0,"No sales",IF(H84&lt;0,"LOSING MONEY",IF(J84&lt;0.15,"Thin margin","Healthy"))))</f>
        <v/>
      </c>
    </row>
    <row r="85">
      <c r="A85">
        <f>IF(Products!A79="","",Products!A79)</f>
        <v/>
      </c>
      <c r="B85">
        <f>IF(A85="","",SUMIFS('Etsy Calc'!$D$2:$D$1501,'Etsy Calc'!$L$2:$L$1501,A85)+SUMIFS('Shopify Calc'!$D$2:$D$1501,'Shopify Calc'!$L$2:$L$1501,A85)+SUMIFS('Manual Sales'!$M$2:$M$1501,'Manual Sales'!$U$2:$U$1501,A85))</f>
        <v/>
      </c>
      <c r="C85" s="11">
        <f>IF(A85="","",SUMIFS('Etsy Calc'!$J$2:$J$1501,'Etsy Calc'!$L$2:$L$1501,A85)+SUMIFS('Shopify Calc'!$J$2:$J$1501,'Shopify Calc'!$L$2:$L$1501,A85)+SUMIFS('Manual Sales'!$S$2:$S$1501,'Manual Sales'!$U$2:$U$1501,A85))</f>
        <v/>
      </c>
      <c r="D85" s="11">
        <f>IF(A85="","",SUMIFS('Etsy Calc'!$M$2:$M$1501,'Etsy Calc'!$L$2:$L$1501,A85)+SUMIFS('Shopify Calc'!$M$2:$M$1501,'Shopify Calc'!$L$2:$L$1501,A85)+SUMIFS('Manual Sales'!$V$2:$V$1501,'Manual Sales'!$U$2:$U$1501,A85))</f>
        <v/>
      </c>
      <c r="E85" s="11">
        <f>IF(A85="","",SUMIFS('Etsy Calc'!$N$2:$N$1501,'Etsy Calc'!$L$2:$L$1501,A85)+SUMIFS('Shopify Calc'!$N$2:$N$1501,'Shopify Calc'!$L$2:$L$1501,A85)+SUMIFS('Manual Sales'!$W$2:$W$1501,'Manual Sales'!$U$2:$U$1501,A85))</f>
        <v/>
      </c>
      <c r="F85" s="11">
        <f>IF(A85="","",SUMIFS('Etsy Calc'!$O$2:$O$1501,'Etsy Calc'!$L$2:$L$1501,A85)+SUMIFS('Shopify Calc'!$O$2:$O$1501,'Shopify Calc'!$L$2:$L$1501,A85)+SUMIFS('Manual Sales'!$X$2:$X$1501,'Manual Sales'!$U$2:$U$1501,A85))</f>
        <v/>
      </c>
      <c r="G85" s="11">
        <f>IF(A85="","",IF($B$4=0,0,Settings!$B$14*C85/$B$4))</f>
        <v/>
      </c>
      <c r="H85" s="11">
        <f>IF(A85="","",C85-D85-E85-F85-G85)</f>
        <v/>
      </c>
      <c r="I85" s="11">
        <f>IF(OR(A85="",N(B85)=0),"",H85/B85)</f>
        <v/>
      </c>
      <c r="J85" s="12">
        <f>IF(OR(A85="",N(C85)=0),"",H85/C85)</f>
        <v/>
      </c>
      <c r="K85">
        <f>IF(A85="","",IF(N(B85)=0,"No sales",IF(H85&lt;0,"LOSING MONEY",IF(J85&lt;0.15,"Thin margin","Healthy"))))</f>
        <v/>
      </c>
    </row>
    <row r="86">
      <c r="A86">
        <f>IF(Products!A80="","",Products!A80)</f>
        <v/>
      </c>
      <c r="B86">
        <f>IF(A86="","",SUMIFS('Etsy Calc'!$D$2:$D$1501,'Etsy Calc'!$L$2:$L$1501,A86)+SUMIFS('Shopify Calc'!$D$2:$D$1501,'Shopify Calc'!$L$2:$L$1501,A86)+SUMIFS('Manual Sales'!$M$2:$M$1501,'Manual Sales'!$U$2:$U$1501,A86))</f>
        <v/>
      </c>
      <c r="C86" s="11">
        <f>IF(A86="","",SUMIFS('Etsy Calc'!$J$2:$J$1501,'Etsy Calc'!$L$2:$L$1501,A86)+SUMIFS('Shopify Calc'!$J$2:$J$1501,'Shopify Calc'!$L$2:$L$1501,A86)+SUMIFS('Manual Sales'!$S$2:$S$1501,'Manual Sales'!$U$2:$U$1501,A86))</f>
        <v/>
      </c>
      <c r="D86" s="11">
        <f>IF(A86="","",SUMIFS('Etsy Calc'!$M$2:$M$1501,'Etsy Calc'!$L$2:$L$1501,A86)+SUMIFS('Shopify Calc'!$M$2:$M$1501,'Shopify Calc'!$L$2:$L$1501,A86)+SUMIFS('Manual Sales'!$V$2:$V$1501,'Manual Sales'!$U$2:$U$1501,A86))</f>
        <v/>
      </c>
      <c r="E86" s="11">
        <f>IF(A86="","",SUMIFS('Etsy Calc'!$N$2:$N$1501,'Etsy Calc'!$L$2:$L$1501,A86)+SUMIFS('Shopify Calc'!$N$2:$N$1501,'Shopify Calc'!$L$2:$L$1501,A86)+SUMIFS('Manual Sales'!$W$2:$W$1501,'Manual Sales'!$U$2:$U$1501,A86))</f>
        <v/>
      </c>
      <c r="F86" s="11">
        <f>IF(A86="","",SUMIFS('Etsy Calc'!$O$2:$O$1501,'Etsy Calc'!$L$2:$L$1501,A86)+SUMIFS('Shopify Calc'!$O$2:$O$1501,'Shopify Calc'!$L$2:$L$1501,A86)+SUMIFS('Manual Sales'!$X$2:$X$1501,'Manual Sales'!$U$2:$U$1501,A86))</f>
        <v/>
      </c>
      <c r="G86" s="11">
        <f>IF(A86="","",IF($B$4=0,0,Settings!$B$14*C86/$B$4))</f>
        <v/>
      </c>
      <c r="H86" s="11">
        <f>IF(A86="","",C86-D86-E86-F86-G86)</f>
        <v/>
      </c>
      <c r="I86" s="11">
        <f>IF(OR(A86="",N(B86)=0),"",H86/B86)</f>
        <v/>
      </c>
      <c r="J86" s="12">
        <f>IF(OR(A86="",N(C86)=0),"",H86/C86)</f>
        <v/>
      </c>
      <c r="K86">
        <f>IF(A86="","",IF(N(B86)=0,"No sales",IF(H86&lt;0,"LOSING MONEY",IF(J86&lt;0.15,"Thin margin","Healthy"))))</f>
        <v/>
      </c>
    </row>
    <row r="87">
      <c r="A87">
        <f>IF(Products!A81="","",Products!A81)</f>
        <v/>
      </c>
      <c r="B87">
        <f>IF(A87="","",SUMIFS('Etsy Calc'!$D$2:$D$1501,'Etsy Calc'!$L$2:$L$1501,A87)+SUMIFS('Shopify Calc'!$D$2:$D$1501,'Shopify Calc'!$L$2:$L$1501,A87)+SUMIFS('Manual Sales'!$M$2:$M$1501,'Manual Sales'!$U$2:$U$1501,A87))</f>
        <v/>
      </c>
      <c r="C87" s="11">
        <f>IF(A87="","",SUMIFS('Etsy Calc'!$J$2:$J$1501,'Etsy Calc'!$L$2:$L$1501,A87)+SUMIFS('Shopify Calc'!$J$2:$J$1501,'Shopify Calc'!$L$2:$L$1501,A87)+SUMIFS('Manual Sales'!$S$2:$S$1501,'Manual Sales'!$U$2:$U$1501,A87))</f>
        <v/>
      </c>
      <c r="D87" s="11">
        <f>IF(A87="","",SUMIFS('Etsy Calc'!$M$2:$M$1501,'Etsy Calc'!$L$2:$L$1501,A87)+SUMIFS('Shopify Calc'!$M$2:$M$1501,'Shopify Calc'!$L$2:$L$1501,A87)+SUMIFS('Manual Sales'!$V$2:$V$1501,'Manual Sales'!$U$2:$U$1501,A87))</f>
        <v/>
      </c>
      <c r="E87" s="11">
        <f>IF(A87="","",SUMIFS('Etsy Calc'!$N$2:$N$1501,'Etsy Calc'!$L$2:$L$1501,A87)+SUMIFS('Shopify Calc'!$N$2:$N$1501,'Shopify Calc'!$L$2:$L$1501,A87)+SUMIFS('Manual Sales'!$W$2:$W$1501,'Manual Sales'!$U$2:$U$1501,A87))</f>
        <v/>
      </c>
      <c r="F87" s="11">
        <f>IF(A87="","",SUMIFS('Etsy Calc'!$O$2:$O$1501,'Etsy Calc'!$L$2:$L$1501,A87)+SUMIFS('Shopify Calc'!$O$2:$O$1501,'Shopify Calc'!$L$2:$L$1501,A87)+SUMIFS('Manual Sales'!$X$2:$X$1501,'Manual Sales'!$U$2:$U$1501,A87))</f>
        <v/>
      </c>
      <c r="G87" s="11">
        <f>IF(A87="","",IF($B$4=0,0,Settings!$B$14*C87/$B$4))</f>
        <v/>
      </c>
      <c r="H87" s="11">
        <f>IF(A87="","",C87-D87-E87-F87-G87)</f>
        <v/>
      </c>
      <c r="I87" s="11">
        <f>IF(OR(A87="",N(B87)=0),"",H87/B87)</f>
        <v/>
      </c>
      <c r="J87" s="12">
        <f>IF(OR(A87="",N(C87)=0),"",H87/C87)</f>
        <v/>
      </c>
      <c r="K87">
        <f>IF(A87="","",IF(N(B87)=0,"No sales",IF(H87&lt;0,"LOSING MONEY",IF(J87&lt;0.15,"Thin margin","Healthy"))))</f>
        <v/>
      </c>
    </row>
    <row r="88">
      <c r="A88">
        <f>IF(Products!A82="","",Products!A82)</f>
        <v/>
      </c>
      <c r="B88">
        <f>IF(A88="","",SUMIFS('Etsy Calc'!$D$2:$D$1501,'Etsy Calc'!$L$2:$L$1501,A88)+SUMIFS('Shopify Calc'!$D$2:$D$1501,'Shopify Calc'!$L$2:$L$1501,A88)+SUMIFS('Manual Sales'!$M$2:$M$1501,'Manual Sales'!$U$2:$U$1501,A88))</f>
        <v/>
      </c>
      <c r="C88" s="11">
        <f>IF(A88="","",SUMIFS('Etsy Calc'!$J$2:$J$1501,'Etsy Calc'!$L$2:$L$1501,A88)+SUMIFS('Shopify Calc'!$J$2:$J$1501,'Shopify Calc'!$L$2:$L$1501,A88)+SUMIFS('Manual Sales'!$S$2:$S$1501,'Manual Sales'!$U$2:$U$1501,A88))</f>
        <v/>
      </c>
      <c r="D88" s="11">
        <f>IF(A88="","",SUMIFS('Etsy Calc'!$M$2:$M$1501,'Etsy Calc'!$L$2:$L$1501,A88)+SUMIFS('Shopify Calc'!$M$2:$M$1501,'Shopify Calc'!$L$2:$L$1501,A88)+SUMIFS('Manual Sales'!$V$2:$V$1501,'Manual Sales'!$U$2:$U$1501,A88))</f>
        <v/>
      </c>
      <c r="E88" s="11">
        <f>IF(A88="","",SUMIFS('Etsy Calc'!$N$2:$N$1501,'Etsy Calc'!$L$2:$L$1501,A88)+SUMIFS('Shopify Calc'!$N$2:$N$1501,'Shopify Calc'!$L$2:$L$1501,A88)+SUMIFS('Manual Sales'!$W$2:$W$1501,'Manual Sales'!$U$2:$U$1501,A88))</f>
        <v/>
      </c>
      <c r="F88" s="11">
        <f>IF(A88="","",SUMIFS('Etsy Calc'!$O$2:$O$1501,'Etsy Calc'!$L$2:$L$1501,A88)+SUMIFS('Shopify Calc'!$O$2:$O$1501,'Shopify Calc'!$L$2:$L$1501,A88)+SUMIFS('Manual Sales'!$X$2:$X$1501,'Manual Sales'!$U$2:$U$1501,A88))</f>
        <v/>
      </c>
      <c r="G88" s="11">
        <f>IF(A88="","",IF($B$4=0,0,Settings!$B$14*C88/$B$4))</f>
        <v/>
      </c>
      <c r="H88" s="11">
        <f>IF(A88="","",C88-D88-E88-F88-G88)</f>
        <v/>
      </c>
      <c r="I88" s="11">
        <f>IF(OR(A88="",N(B88)=0),"",H88/B88)</f>
        <v/>
      </c>
      <c r="J88" s="12">
        <f>IF(OR(A88="",N(C88)=0),"",H88/C88)</f>
        <v/>
      </c>
      <c r="K88">
        <f>IF(A88="","",IF(N(B88)=0,"No sales",IF(H88&lt;0,"LOSING MONEY",IF(J88&lt;0.15,"Thin margin","Healthy"))))</f>
        <v/>
      </c>
    </row>
    <row r="89">
      <c r="A89">
        <f>IF(Products!A83="","",Products!A83)</f>
        <v/>
      </c>
      <c r="B89">
        <f>IF(A89="","",SUMIFS('Etsy Calc'!$D$2:$D$1501,'Etsy Calc'!$L$2:$L$1501,A89)+SUMIFS('Shopify Calc'!$D$2:$D$1501,'Shopify Calc'!$L$2:$L$1501,A89)+SUMIFS('Manual Sales'!$M$2:$M$1501,'Manual Sales'!$U$2:$U$1501,A89))</f>
        <v/>
      </c>
      <c r="C89" s="11">
        <f>IF(A89="","",SUMIFS('Etsy Calc'!$J$2:$J$1501,'Etsy Calc'!$L$2:$L$1501,A89)+SUMIFS('Shopify Calc'!$J$2:$J$1501,'Shopify Calc'!$L$2:$L$1501,A89)+SUMIFS('Manual Sales'!$S$2:$S$1501,'Manual Sales'!$U$2:$U$1501,A89))</f>
        <v/>
      </c>
      <c r="D89" s="11">
        <f>IF(A89="","",SUMIFS('Etsy Calc'!$M$2:$M$1501,'Etsy Calc'!$L$2:$L$1501,A89)+SUMIFS('Shopify Calc'!$M$2:$M$1501,'Shopify Calc'!$L$2:$L$1501,A89)+SUMIFS('Manual Sales'!$V$2:$V$1501,'Manual Sales'!$U$2:$U$1501,A89))</f>
        <v/>
      </c>
      <c r="E89" s="11">
        <f>IF(A89="","",SUMIFS('Etsy Calc'!$N$2:$N$1501,'Etsy Calc'!$L$2:$L$1501,A89)+SUMIFS('Shopify Calc'!$N$2:$N$1501,'Shopify Calc'!$L$2:$L$1501,A89)+SUMIFS('Manual Sales'!$W$2:$W$1501,'Manual Sales'!$U$2:$U$1501,A89))</f>
        <v/>
      </c>
      <c r="F89" s="11">
        <f>IF(A89="","",SUMIFS('Etsy Calc'!$O$2:$O$1501,'Etsy Calc'!$L$2:$L$1501,A89)+SUMIFS('Shopify Calc'!$O$2:$O$1501,'Shopify Calc'!$L$2:$L$1501,A89)+SUMIFS('Manual Sales'!$X$2:$X$1501,'Manual Sales'!$U$2:$U$1501,A89))</f>
        <v/>
      </c>
      <c r="G89" s="11">
        <f>IF(A89="","",IF($B$4=0,0,Settings!$B$14*C89/$B$4))</f>
        <v/>
      </c>
      <c r="H89" s="11">
        <f>IF(A89="","",C89-D89-E89-F89-G89)</f>
        <v/>
      </c>
      <c r="I89" s="11">
        <f>IF(OR(A89="",N(B89)=0),"",H89/B89)</f>
        <v/>
      </c>
      <c r="J89" s="12">
        <f>IF(OR(A89="",N(C89)=0),"",H89/C89)</f>
        <v/>
      </c>
      <c r="K89">
        <f>IF(A89="","",IF(N(B89)=0,"No sales",IF(H89&lt;0,"LOSING MONEY",IF(J89&lt;0.15,"Thin margin","Healthy"))))</f>
        <v/>
      </c>
    </row>
    <row r="90">
      <c r="A90">
        <f>IF(Products!A84="","",Products!A84)</f>
        <v/>
      </c>
      <c r="B90">
        <f>IF(A90="","",SUMIFS('Etsy Calc'!$D$2:$D$1501,'Etsy Calc'!$L$2:$L$1501,A90)+SUMIFS('Shopify Calc'!$D$2:$D$1501,'Shopify Calc'!$L$2:$L$1501,A90)+SUMIFS('Manual Sales'!$M$2:$M$1501,'Manual Sales'!$U$2:$U$1501,A90))</f>
        <v/>
      </c>
      <c r="C90" s="11">
        <f>IF(A90="","",SUMIFS('Etsy Calc'!$J$2:$J$1501,'Etsy Calc'!$L$2:$L$1501,A90)+SUMIFS('Shopify Calc'!$J$2:$J$1501,'Shopify Calc'!$L$2:$L$1501,A90)+SUMIFS('Manual Sales'!$S$2:$S$1501,'Manual Sales'!$U$2:$U$1501,A90))</f>
        <v/>
      </c>
      <c r="D90" s="11">
        <f>IF(A90="","",SUMIFS('Etsy Calc'!$M$2:$M$1501,'Etsy Calc'!$L$2:$L$1501,A90)+SUMIFS('Shopify Calc'!$M$2:$M$1501,'Shopify Calc'!$L$2:$L$1501,A90)+SUMIFS('Manual Sales'!$V$2:$V$1501,'Manual Sales'!$U$2:$U$1501,A90))</f>
        <v/>
      </c>
      <c r="E90" s="11">
        <f>IF(A90="","",SUMIFS('Etsy Calc'!$N$2:$N$1501,'Etsy Calc'!$L$2:$L$1501,A90)+SUMIFS('Shopify Calc'!$N$2:$N$1501,'Shopify Calc'!$L$2:$L$1501,A90)+SUMIFS('Manual Sales'!$W$2:$W$1501,'Manual Sales'!$U$2:$U$1501,A90))</f>
        <v/>
      </c>
      <c r="F90" s="11">
        <f>IF(A90="","",SUMIFS('Etsy Calc'!$O$2:$O$1501,'Etsy Calc'!$L$2:$L$1501,A90)+SUMIFS('Shopify Calc'!$O$2:$O$1501,'Shopify Calc'!$L$2:$L$1501,A90)+SUMIFS('Manual Sales'!$X$2:$X$1501,'Manual Sales'!$U$2:$U$1501,A90))</f>
        <v/>
      </c>
      <c r="G90" s="11">
        <f>IF(A90="","",IF($B$4=0,0,Settings!$B$14*C90/$B$4))</f>
        <v/>
      </c>
      <c r="H90" s="11">
        <f>IF(A90="","",C90-D90-E90-F90-G90)</f>
        <v/>
      </c>
      <c r="I90" s="11">
        <f>IF(OR(A90="",N(B90)=0),"",H90/B90)</f>
        <v/>
      </c>
      <c r="J90" s="12">
        <f>IF(OR(A90="",N(C90)=0),"",H90/C90)</f>
        <v/>
      </c>
      <c r="K90">
        <f>IF(A90="","",IF(N(B90)=0,"No sales",IF(H90&lt;0,"LOSING MONEY",IF(J90&lt;0.15,"Thin margin","Healthy"))))</f>
        <v/>
      </c>
    </row>
    <row r="91">
      <c r="A91">
        <f>IF(Products!A85="","",Products!A85)</f>
        <v/>
      </c>
      <c r="B91">
        <f>IF(A91="","",SUMIFS('Etsy Calc'!$D$2:$D$1501,'Etsy Calc'!$L$2:$L$1501,A91)+SUMIFS('Shopify Calc'!$D$2:$D$1501,'Shopify Calc'!$L$2:$L$1501,A91)+SUMIFS('Manual Sales'!$M$2:$M$1501,'Manual Sales'!$U$2:$U$1501,A91))</f>
        <v/>
      </c>
      <c r="C91" s="11">
        <f>IF(A91="","",SUMIFS('Etsy Calc'!$J$2:$J$1501,'Etsy Calc'!$L$2:$L$1501,A91)+SUMIFS('Shopify Calc'!$J$2:$J$1501,'Shopify Calc'!$L$2:$L$1501,A91)+SUMIFS('Manual Sales'!$S$2:$S$1501,'Manual Sales'!$U$2:$U$1501,A91))</f>
        <v/>
      </c>
      <c r="D91" s="11">
        <f>IF(A91="","",SUMIFS('Etsy Calc'!$M$2:$M$1501,'Etsy Calc'!$L$2:$L$1501,A91)+SUMIFS('Shopify Calc'!$M$2:$M$1501,'Shopify Calc'!$L$2:$L$1501,A91)+SUMIFS('Manual Sales'!$V$2:$V$1501,'Manual Sales'!$U$2:$U$1501,A91))</f>
        <v/>
      </c>
      <c r="E91" s="11">
        <f>IF(A91="","",SUMIFS('Etsy Calc'!$N$2:$N$1501,'Etsy Calc'!$L$2:$L$1501,A91)+SUMIFS('Shopify Calc'!$N$2:$N$1501,'Shopify Calc'!$L$2:$L$1501,A91)+SUMIFS('Manual Sales'!$W$2:$W$1501,'Manual Sales'!$U$2:$U$1501,A91))</f>
        <v/>
      </c>
      <c r="F91" s="11">
        <f>IF(A91="","",SUMIFS('Etsy Calc'!$O$2:$O$1501,'Etsy Calc'!$L$2:$L$1501,A91)+SUMIFS('Shopify Calc'!$O$2:$O$1501,'Shopify Calc'!$L$2:$L$1501,A91)+SUMIFS('Manual Sales'!$X$2:$X$1501,'Manual Sales'!$U$2:$U$1501,A91))</f>
        <v/>
      </c>
      <c r="G91" s="11">
        <f>IF(A91="","",IF($B$4=0,0,Settings!$B$14*C91/$B$4))</f>
        <v/>
      </c>
      <c r="H91" s="11">
        <f>IF(A91="","",C91-D91-E91-F91-G91)</f>
        <v/>
      </c>
      <c r="I91" s="11">
        <f>IF(OR(A91="",N(B91)=0),"",H91/B91)</f>
        <v/>
      </c>
      <c r="J91" s="12">
        <f>IF(OR(A91="",N(C91)=0),"",H91/C91)</f>
        <v/>
      </c>
      <c r="K91">
        <f>IF(A91="","",IF(N(B91)=0,"No sales",IF(H91&lt;0,"LOSING MONEY",IF(J91&lt;0.15,"Thin margin","Healthy"))))</f>
        <v/>
      </c>
    </row>
    <row r="92">
      <c r="A92">
        <f>IF(Products!A86="","",Products!A86)</f>
        <v/>
      </c>
      <c r="B92">
        <f>IF(A92="","",SUMIFS('Etsy Calc'!$D$2:$D$1501,'Etsy Calc'!$L$2:$L$1501,A92)+SUMIFS('Shopify Calc'!$D$2:$D$1501,'Shopify Calc'!$L$2:$L$1501,A92)+SUMIFS('Manual Sales'!$M$2:$M$1501,'Manual Sales'!$U$2:$U$1501,A92))</f>
        <v/>
      </c>
      <c r="C92" s="11">
        <f>IF(A92="","",SUMIFS('Etsy Calc'!$J$2:$J$1501,'Etsy Calc'!$L$2:$L$1501,A92)+SUMIFS('Shopify Calc'!$J$2:$J$1501,'Shopify Calc'!$L$2:$L$1501,A92)+SUMIFS('Manual Sales'!$S$2:$S$1501,'Manual Sales'!$U$2:$U$1501,A92))</f>
        <v/>
      </c>
      <c r="D92" s="11">
        <f>IF(A92="","",SUMIFS('Etsy Calc'!$M$2:$M$1501,'Etsy Calc'!$L$2:$L$1501,A92)+SUMIFS('Shopify Calc'!$M$2:$M$1501,'Shopify Calc'!$L$2:$L$1501,A92)+SUMIFS('Manual Sales'!$V$2:$V$1501,'Manual Sales'!$U$2:$U$1501,A92))</f>
        <v/>
      </c>
      <c r="E92" s="11">
        <f>IF(A92="","",SUMIFS('Etsy Calc'!$N$2:$N$1501,'Etsy Calc'!$L$2:$L$1501,A92)+SUMIFS('Shopify Calc'!$N$2:$N$1501,'Shopify Calc'!$L$2:$L$1501,A92)+SUMIFS('Manual Sales'!$W$2:$W$1501,'Manual Sales'!$U$2:$U$1501,A92))</f>
        <v/>
      </c>
      <c r="F92" s="11">
        <f>IF(A92="","",SUMIFS('Etsy Calc'!$O$2:$O$1501,'Etsy Calc'!$L$2:$L$1501,A92)+SUMIFS('Shopify Calc'!$O$2:$O$1501,'Shopify Calc'!$L$2:$L$1501,A92)+SUMIFS('Manual Sales'!$X$2:$X$1501,'Manual Sales'!$U$2:$U$1501,A92))</f>
        <v/>
      </c>
      <c r="G92" s="11">
        <f>IF(A92="","",IF($B$4=0,0,Settings!$B$14*C92/$B$4))</f>
        <v/>
      </c>
      <c r="H92" s="11">
        <f>IF(A92="","",C92-D92-E92-F92-G92)</f>
        <v/>
      </c>
      <c r="I92" s="11">
        <f>IF(OR(A92="",N(B92)=0),"",H92/B92)</f>
        <v/>
      </c>
      <c r="J92" s="12">
        <f>IF(OR(A92="",N(C92)=0),"",H92/C92)</f>
        <v/>
      </c>
      <c r="K92">
        <f>IF(A92="","",IF(N(B92)=0,"No sales",IF(H92&lt;0,"LOSING MONEY",IF(J92&lt;0.15,"Thin margin","Healthy"))))</f>
        <v/>
      </c>
    </row>
    <row r="93">
      <c r="A93">
        <f>IF(Products!A87="","",Products!A87)</f>
        <v/>
      </c>
      <c r="B93">
        <f>IF(A93="","",SUMIFS('Etsy Calc'!$D$2:$D$1501,'Etsy Calc'!$L$2:$L$1501,A93)+SUMIFS('Shopify Calc'!$D$2:$D$1501,'Shopify Calc'!$L$2:$L$1501,A93)+SUMIFS('Manual Sales'!$M$2:$M$1501,'Manual Sales'!$U$2:$U$1501,A93))</f>
        <v/>
      </c>
      <c r="C93" s="11">
        <f>IF(A93="","",SUMIFS('Etsy Calc'!$J$2:$J$1501,'Etsy Calc'!$L$2:$L$1501,A93)+SUMIFS('Shopify Calc'!$J$2:$J$1501,'Shopify Calc'!$L$2:$L$1501,A93)+SUMIFS('Manual Sales'!$S$2:$S$1501,'Manual Sales'!$U$2:$U$1501,A93))</f>
        <v/>
      </c>
      <c r="D93" s="11">
        <f>IF(A93="","",SUMIFS('Etsy Calc'!$M$2:$M$1501,'Etsy Calc'!$L$2:$L$1501,A93)+SUMIFS('Shopify Calc'!$M$2:$M$1501,'Shopify Calc'!$L$2:$L$1501,A93)+SUMIFS('Manual Sales'!$V$2:$V$1501,'Manual Sales'!$U$2:$U$1501,A93))</f>
        <v/>
      </c>
      <c r="E93" s="11">
        <f>IF(A93="","",SUMIFS('Etsy Calc'!$N$2:$N$1501,'Etsy Calc'!$L$2:$L$1501,A93)+SUMIFS('Shopify Calc'!$N$2:$N$1501,'Shopify Calc'!$L$2:$L$1501,A93)+SUMIFS('Manual Sales'!$W$2:$W$1501,'Manual Sales'!$U$2:$U$1501,A93))</f>
        <v/>
      </c>
      <c r="F93" s="11">
        <f>IF(A93="","",SUMIFS('Etsy Calc'!$O$2:$O$1501,'Etsy Calc'!$L$2:$L$1501,A93)+SUMIFS('Shopify Calc'!$O$2:$O$1501,'Shopify Calc'!$L$2:$L$1501,A93)+SUMIFS('Manual Sales'!$X$2:$X$1501,'Manual Sales'!$U$2:$U$1501,A93))</f>
        <v/>
      </c>
      <c r="G93" s="11">
        <f>IF(A93="","",IF($B$4=0,0,Settings!$B$14*C93/$B$4))</f>
        <v/>
      </c>
      <c r="H93" s="11">
        <f>IF(A93="","",C93-D93-E93-F93-G93)</f>
        <v/>
      </c>
      <c r="I93" s="11">
        <f>IF(OR(A93="",N(B93)=0),"",H93/B93)</f>
        <v/>
      </c>
      <c r="J93" s="12">
        <f>IF(OR(A93="",N(C93)=0),"",H93/C93)</f>
        <v/>
      </c>
      <c r="K93">
        <f>IF(A93="","",IF(N(B93)=0,"No sales",IF(H93&lt;0,"LOSING MONEY",IF(J93&lt;0.15,"Thin margin","Healthy"))))</f>
        <v/>
      </c>
    </row>
    <row r="94">
      <c r="A94">
        <f>IF(Products!A88="","",Products!A88)</f>
        <v/>
      </c>
      <c r="B94">
        <f>IF(A94="","",SUMIFS('Etsy Calc'!$D$2:$D$1501,'Etsy Calc'!$L$2:$L$1501,A94)+SUMIFS('Shopify Calc'!$D$2:$D$1501,'Shopify Calc'!$L$2:$L$1501,A94)+SUMIFS('Manual Sales'!$M$2:$M$1501,'Manual Sales'!$U$2:$U$1501,A94))</f>
        <v/>
      </c>
      <c r="C94" s="11">
        <f>IF(A94="","",SUMIFS('Etsy Calc'!$J$2:$J$1501,'Etsy Calc'!$L$2:$L$1501,A94)+SUMIFS('Shopify Calc'!$J$2:$J$1501,'Shopify Calc'!$L$2:$L$1501,A94)+SUMIFS('Manual Sales'!$S$2:$S$1501,'Manual Sales'!$U$2:$U$1501,A94))</f>
        <v/>
      </c>
      <c r="D94" s="11">
        <f>IF(A94="","",SUMIFS('Etsy Calc'!$M$2:$M$1501,'Etsy Calc'!$L$2:$L$1501,A94)+SUMIFS('Shopify Calc'!$M$2:$M$1501,'Shopify Calc'!$L$2:$L$1501,A94)+SUMIFS('Manual Sales'!$V$2:$V$1501,'Manual Sales'!$U$2:$U$1501,A94))</f>
        <v/>
      </c>
      <c r="E94" s="11">
        <f>IF(A94="","",SUMIFS('Etsy Calc'!$N$2:$N$1501,'Etsy Calc'!$L$2:$L$1501,A94)+SUMIFS('Shopify Calc'!$N$2:$N$1501,'Shopify Calc'!$L$2:$L$1501,A94)+SUMIFS('Manual Sales'!$W$2:$W$1501,'Manual Sales'!$U$2:$U$1501,A94))</f>
        <v/>
      </c>
      <c r="F94" s="11">
        <f>IF(A94="","",SUMIFS('Etsy Calc'!$O$2:$O$1501,'Etsy Calc'!$L$2:$L$1501,A94)+SUMIFS('Shopify Calc'!$O$2:$O$1501,'Shopify Calc'!$L$2:$L$1501,A94)+SUMIFS('Manual Sales'!$X$2:$X$1501,'Manual Sales'!$U$2:$U$1501,A94))</f>
        <v/>
      </c>
      <c r="G94" s="11">
        <f>IF(A94="","",IF($B$4=0,0,Settings!$B$14*C94/$B$4))</f>
        <v/>
      </c>
      <c r="H94" s="11">
        <f>IF(A94="","",C94-D94-E94-F94-G94)</f>
        <v/>
      </c>
      <c r="I94" s="11">
        <f>IF(OR(A94="",N(B94)=0),"",H94/B94)</f>
        <v/>
      </c>
      <c r="J94" s="12">
        <f>IF(OR(A94="",N(C94)=0),"",H94/C94)</f>
        <v/>
      </c>
      <c r="K94">
        <f>IF(A94="","",IF(N(B94)=0,"No sales",IF(H94&lt;0,"LOSING MONEY",IF(J94&lt;0.15,"Thin margin","Healthy"))))</f>
        <v/>
      </c>
    </row>
    <row r="95">
      <c r="A95">
        <f>IF(Products!A89="","",Products!A89)</f>
        <v/>
      </c>
      <c r="B95">
        <f>IF(A95="","",SUMIFS('Etsy Calc'!$D$2:$D$1501,'Etsy Calc'!$L$2:$L$1501,A95)+SUMIFS('Shopify Calc'!$D$2:$D$1501,'Shopify Calc'!$L$2:$L$1501,A95)+SUMIFS('Manual Sales'!$M$2:$M$1501,'Manual Sales'!$U$2:$U$1501,A95))</f>
        <v/>
      </c>
      <c r="C95" s="11">
        <f>IF(A95="","",SUMIFS('Etsy Calc'!$J$2:$J$1501,'Etsy Calc'!$L$2:$L$1501,A95)+SUMIFS('Shopify Calc'!$J$2:$J$1501,'Shopify Calc'!$L$2:$L$1501,A95)+SUMIFS('Manual Sales'!$S$2:$S$1501,'Manual Sales'!$U$2:$U$1501,A95))</f>
        <v/>
      </c>
      <c r="D95" s="11">
        <f>IF(A95="","",SUMIFS('Etsy Calc'!$M$2:$M$1501,'Etsy Calc'!$L$2:$L$1501,A95)+SUMIFS('Shopify Calc'!$M$2:$M$1501,'Shopify Calc'!$L$2:$L$1501,A95)+SUMIFS('Manual Sales'!$V$2:$V$1501,'Manual Sales'!$U$2:$U$1501,A95))</f>
        <v/>
      </c>
      <c r="E95" s="11">
        <f>IF(A95="","",SUMIFS('Etsy Calc'!$N$2:$N$1501,'Etsy Calc'!$L$2:$L$1501,A95)+SUMIFS('Shopify Calc'!$N$2:$N$1501,'Shopify Calc'!$L$2:$L$1501,A95)+SUMIFS('Manual Sales'!$W$2:$W$1501,'Manual Sales'!$U$2:$U$1501,A95))</f>
        <v/>
      </c>
      <c r="F95" s="11">
        <f>IF(A95="","",SUMIFS('Etsy Calc'!$O$2:$O$1501,'Etsy Calc'!$L$2:$L$1501,A95)+SUMIFS('Shopify Calc'!$O$2:$O$1501,'Shopify Calc'!$L$2:$L$1501,A95)+SUMIFS('Manual Sales'!$X$2:$X$1501,'Manual Sales'!$U$2:$U$1501,A95))</f>
        <v/>
      </c>
      <c r="G95" s="11">
        <f>IF(A95="","",IF($B$4=0,0,Settings!$B$14*C95/$B$4))</f>
        <v/>
      </c>
      <c r="H95" s="11">
        <f>IF(A95="","",C95-D95-E95-F95-G95)</f>
        <v/>
      </c>
      <c r="I95" s="11">
        <f>IF(OR(A95="",N(B95)=0),"",H95/B95)</f>
        <v/>
      </c>
      <c r="J95" s="12">
        <f>IF(OR(A95="",N(C95)=0),"",H95/C95)</f>
        <v/>
      </c>
      <c r="K95">
        <f>IF(A95="","",IF(N(B95)=0,"No sales",IF(H95&lt;0,"LOSING MONEY",IF(J95&lt;0.15,"Thin margin","Healthy"))))</f>
        <v/>
      </c>
    </row>
    <row r="96">
      <c r="A96">
        <f>IF(Products!A90="","",Products!A90)</f>
        <v/>
      </c>
      <c r="B96">
        <f>IF(A96="","",SUMIFS('Etsy Calc'!$D$2:$D$1501,'Etsy Calc'!$L$2:$L$1501,A96)+SUMIFS('Shopify Calc'!$D$2:$D$1501,'Shopify Calc'!$L$2:$L$1501,A96)+SUMIFS('Manual Sales'!$M$2:$M$1501,'Manual Sales'!$U$2:$U$1501,A96))</f>
        <v/>
      </c>
      <c r="C96" s="11">
        <f>IF(A96="","",SUMIFS('Etsy Calc'!$J$2:$J$1501,'Etsy Calc'!$L$2:$L$1501,A96)+SUMIFS('Shopify Calc'!$J$2:$J$1501,'Shopify Calc'!$L$2:$L$1501,A96)+SUMIFS('Manual Sales'!$S$2:$S$1501,'Manual Sales'!$U$2:$U$1501,A96))</f>
        <v/>
      </c>
      <c r="D96" s="11">
        <f>IF(A96="","",SUMIFS('Etsy Calc'!$M$2:$M$1501,'Etsy Calc'!$L$2:$L$1501,A96)+SUMIFS('Shopify Calc'!$M$2:$M$1501,'Shopify Calc'!$L$2:$L$1501,A96)+SUMIFS('Manual Sales'!$V$2:$V$1501,'Manual Sales'!$U$2:$U$1501,A96))</f>
        <v/>
      </c>
      <c r="E96" s="11">
        <f>IF(A96="","",SUMIFS('Etsy Calc'!$N$2:$N$1501,'Etsy Calc'!$L$2:$L$1501,A96)+SUMIFS('Shopify Calc'!$N$2:$N$1501,'Shopify Calc'!$L$2:$L$1501,A96)+SUMIFS('Manual Sales'!$W$2:$W$1501,'Manual Sales'!$U$2:$U$1501,A96))</f>
        <v/>
      </c>
      <c r="F96" s="11">
        <f>IF(A96="","",SUMIFS('Etsy Calc'!$O$2:$O$1501,'Etsy Calc'!$L$2:$L$1501,A96)+SUMIFS('Shopify Calc'!$O$2:$O$1501,'Shopify Calc'!$L$2:$L$1501,A96)+SUMIFS('Manual Sales'!$X$2:$X$1501,'Manual Sales'!$U$2:$U$1501,A96))</f>
        <v/>
      </c>
      <c r="G96" s="11">
        <f>IF(A96="","",IF($B$4=0,0,Settings!$B$14*C96/$B$4))</f>
        <v/>
      </c>
      <c r="H96" s="11">
        <f>IF(A96="","",C96-D96-E96-F96-G96)</f>
        <v/>
      </c>
      <c r="I96" s="11">
        <f>IF(OR(A96="",N(B96)=0),"",H96/B96)</f>
        <v/>
      </c>
      <c r="J96" s="12">
        <f>IF(OR(A96="",N(C96)=0),"",H96/C96)</f>
        <v/>
      </c>
      <c r="K96">
        <f>IF(A96="","",IF(N(B96)=0,"No sales",IF(H96&lt;0,"LOSING MONEY",IF(J96&lt;0.15,"Thin margin","Healthy"))))</f>
        <v/>
      </c>
    </row>
    <row r="97">
      <c r="A97">
        <f>IF(Products!A91="","",Products!A91)</f>
        <v/>
      </c>
      <c r="B97">
        <f>IF(A97="","",SUMIFS('Etsy Calc'!$D$2:$D$1501,'Etsy Calc'!$L$2:$L$1501,A97)+SUMIFS('Shopify Calc'!$D$2:$D$1501,'Shopify Calc'!$L$2:$L$1501,A97)+SUMIFS('Manual Sales'!$M$2:$M$1501,'Manual Sales'!$U$2:$U$1501,A97))</f>
        <v/>
      </c>
      <c r="C97" s="11">
        <f>IF(A97="","",SUMIFS('Etsy Calc'!$J$2:$J$1501,'Etsy Calc'!$L$2:$L$1501,A97)+SUMIFS('Shopify Calc'!$J$2:$J$1501,'Shopify Calc'!$L$2:$L$1501,A97)+SUMIFS('Manual Sales'!$S$2:$S$1501,'Manual Sales'!$U$2:$U$1501,A97))</f>
        <v/>
      </c>
      <c r="D97" s="11">
        <f>IF(A97="","",SUMIFS('Etsy Calc'!$M$2:$M$1501,'Etsy Calc'!$L$2:$L$1501,A97)+SUMIFS('Shopify Calc'!$M$2:$M$1501,'Shopify Calc'!$L$2:$L$1501,A97)+SUMIFS('Manual Sales'!$V$2:$V$1501,'Manual Sales'!$U$2:$U$1501,A97))</f>
        <v/>
      </c>
      <c r="E97" s="11">
        <f>IF(A97="","",SUMIFS('Etsy Calc'!$N$2:$N$1501,'Etsy Calc'!$L$2:$L$1501,A97)+SUMIFS('Shopify Calc'!$N$2:$N$1501,'Shopify Calc'!$L$2:$L$1501,A97)+SUMIFS('Manual Sales'!$W$2:$W$1501,'Manual Sales'!$U$2:$U$1501,A97))</f>
        <v/>
      </c>
      <c r="F97" s="11">
        <f>IF(A97="","",SUMIFS('Etsy Calc'!$O$2:$O$1501,'Etsy Calc'!$L$2:$L$1501,A97)+SUMIFS('Shopify Calc'!$O$2:$O$1501,'Shopify Calc'!$L$2:$L$1501,A97)+SUMIFS('Manual Sales'!$X$2:$X$1501,'Manual Sales'!$U$2:$U$1501,A97))</f>
        <v/>
      </c>
      <c r="G97" s="11">
        <f>IF(A97="","",IF($B$4=0,0,Settings!$B$14*C97/$B$4))</f>
        <v/>
      </c>
      <c r="H97" s="11">
        <f>IF(A97="","",C97-D97-E97-F97-G97)</f>
        <v/>
      </c>
      <c r="I97" s="11">
        <f>IF(OR(A97="",N(B97)=0),"",H97/B97)</f>
        <v/>
      </c>
      <c r="J97" s="12">
        <f>IF(OR(A97="",N(C97)=0),"",H97/C97)</f>
        <v/>
      </c>
      <c r="K97">
        <f>IF(A97="","",IF(N(B97)=0,"No sales",IF(H97&lt;0,"LOSING MONEY",IF(J97&lt;0.15,"Thin margin","Healthy"))))</f>
        <v/>
      </c>
    </row>
    <row r="98">
      <c r="A98">
        <f>IF(Products!A92="","",Products!A92)</f>
        <v/>
      </c>
      <c r="B98">
        <f>IF(A98="","",SUMIFS('Etsy Calc'!$D$2:$D$1501,'Etsy Calc'!$L$2:$L$1501,A98)+SUMIFS('Shopify Calc'!$D$2:$D$1501,'Shopify Calc'!$L$2:$L$1501,A98)+SUMIFS('Manual Sales'!$M$2:$M$1501,'Manual Sales'!$U$2:$U$1501,A98))</f>
        <v/>
      </c>
      <c r="C98" s="11">
        <f>IF(A98="","",SUMIFS('Etsy Calc'!$J$2:$J$1501,'Etsy Calc'!$L$2:$L$1501,A98)+SUMIFS('Shopify Calc'!$J$2:$J$1501,'Shopify Calc'!$L$2:$L$1501,A98)+SUMIFS('Manual Sales'!$S$2:$S$1501,'Manual Sales'!$U$2:$U$1501,A98))</f>
        <v/>
      </c>
      <c r="D98" s="11">
        <f>IF(A98="","",SUMIFS('Etsy Calc'!$M$2:$M$1501,'Etsy Calc'!$L$2:$L$1501,A98)+SUMIFS('Shopify Calc'!$M$2:$M$1501,'Shopify Calc'!$L$2:$L$1501,A98)+SUMIFS('Manual Sales'!$V$2:$V$1501,'Manual Sales'!$U$2:$U$1501,A98))</f>
        <v/>
      </c>
      <c r="E98" s="11">
        <f>IF(A98="","",SUMIFS('Etsy Calc'!$N$2:$N$1501,'Etsy Calc'!$L$2:$L$1501,A98)+SUMIFS('Shopify Calc'!$N$2:$N$1501,'Shopify Calc'!$L$2:$L$1501,A98)+SUMIFS('Manual Sales'!$W$2:$W$1501,'Manual Sales'!$U$2:$U$1501,A98))</f>
        <v/>
      </c>
      <c r="F98" s="11">
        <f>IF(A98="","",SUMIFS('Etsy Calc'!$O$2:$O$1501,'Etsy Calc'!$L$2:$L$1501,A98)+SUMIFS('Shopify Calc'!$O$2:$O$1501,'Shopify Calc'!$L$2:$L$1501,A98)+SUMIFS('Manual Sales'!$X$2:$X$1501,'Manual Sales'!$U$2:$U$1501,A98))</f>
        <v/>
      </c>
      <c r="G98" s="11">
        <f>IF(A98="","",IF($B$4=0,0,Settings!$B$14*C98/$B$4))</f>
        <v/>
      </c>
      <c r="H98" s="11">
        <f>IF(A98="","",C98-D98-E98-F98-G98)</f>
        <v/>
      </c>
      <c r="I98" s="11">
        <f>IF(OR(A98="",N(B98)=0),"",H98/B98)</f>
        <v/>
      </c>
      <c r="J98" s="12">
        <f>IF(OR(A98="",N(C98)=0),"",H98/C98)</f>
        <v/>
      </c>
      <c r="K98">
        <f>IF(A98="","",IF(N(B98)=0,"No sales",IF(H98&lt;0,"LOSING MONEY",IF(J98&lt;0.15,"Thin margin","Healthy"))))</f>
        <v/>
      </c>
    </row>
    <row r="99">
      <c r="A99">
        <f>IF(Products!A93="","",Products!A93)</f>
        <v/>
      </c>
      <c r="B99">
        <f>IF(A99="","",SUMIFS('Etsy Calc'!$D$2:$D$1501,'Etsy Calc'!$L$2:$L$1501,A99)+SUMIFS('Shopify Calc'!$D$2:$D$1501,'Shopify Calc'!$L$2:$L$1501,A99)+SUMIFS('Manual Sales'!$M$2:$M$1501,'Manual Sales'!$U$2:$U$1501,A99))</f>
        <v/>
      </c>
      <c r="C99" s="11">
        <f>IF(A99="","",SUMIFS('Etsy Calc'!$J$2:$J$1501,'Etsy Calc'!$L$2:$L$1501,A99)+SUMIFS('Shopify Calc'!$J$2:$J$1501,'Shopify Calc'!$L$2:$L$1501,A99)+SUMIFS('Manual Sales'!$S$2:$S$1501,'Manual Sales'!$U$2:$U$1501,A99))</f>
        <v/>
      </c>
      <c r="D99" s="11">
        <f>IF(A99="","",SUMIFS('Etsy Calc'!$M$2:$M$1501,'Etsy Calc'!$L$2:$L$1501,A99)+SUMIFS('Shopify Calc'!$M$2:$M$1501,'Shopify Calc'!$L$2:$L$1501,A99)+SUMIFS('Manual Sales'!$V$2:$V$1501,'Manual Sales'!$U$2:$U$1501,A99))</f>
        <v/>
      </c>
      <c r="E99" s="11">
        <f>IF(A99="","",SUMIFS('Etsy Calc'!$N$2:$N$1501,'Etsy Calc'!$L$2:$L$1501,A99)+SUMIFS('Shopify Calc'!$N$2:$N$1501,'Shopify Calc'!$L$2:$L$1501,A99)+SUMIFS('Manual Sales'!$W$2:$W$1501,'Manual Sales'!$U$2:$U$1501,A99))</f>
        <v/>
      </c>
      <c r="F99" s="11">
        <f>IF(A99="","",SUMIFS('Etsy Calc'!$O$2:$O$1501,'Etsy Calc'!$L$2:$L$1501,A99)+SUMIFS('Shopify Calc'!$O$2:$O$1501,'Shopify Calc'!$L$2:$L$1501,A99)+SUMIFS('Manual Sales'!$X$2:$X$1501,'Manual Sales'!$U$2:$U$1501,A99))</f>
        <v/>
      </c>
      <c r="G99" s="11">
        <f>IF(A99="","",IF($B$4=0,0,Settings!$B$14*C99/$B$4))</f>
        <v/>
      </c>
      <c r="H99" s="11">
        <f>IF(A99="","",C99-D99-E99-F99-G99)</f>
        <v/>
      </c>
      <c r="I99" s="11">
        <f>IF(OR(A99="",N(B99)=0),"",H99/B99)</f>
        <v/>
      </c>
      <c r="J99" s="12">
        <f>IF(OR(A99="",N(C99)=0),"",H99/C99)</f>
        <v/>
      </c>
      <c r="K99">
        <f>IF(A99="","",IF(N(B99)=0,"No sales",IF(H99&lt;0,"LOSING MONEY",IF(J99&lt;0.15,"Thin margin","Healthy"))))</f>
        <v/>
      </c>
    </row>
    <row r="100">
      <c r="A100">
        <f>IF(Products!A94="","",Products!A94)</f>
        <v/>
      </c>
      <c r="B100">
        <f>IF(A100="","",SUMIFS('Etsy Calc'!$D$2:$D$1501,'Etsy Calc'!$L$2:$L$1501,A100)+SUMIFS('Shopify Calc'!$D$2:$D$1501,'Shopify Calc'!$L$2:$L$1501,A100)+SUMIFS('Manual Sales'!$M$2:$M$1501,'Manual Sales'!$U$2:$U$1501,A100))</f>
        <v/>
      </c>
      <c r="C100" s="11">
        <f>IF(A100="","",SUMIFS('Etsy Calc'!$J$2:$J$1501,'Etsy Calc'!$L$2:$L$1501,A100)+SUMIFS('Shopify Calc'!$J$2:$J$1501,'Shopify Calc'!$L$2:$L$1501,A100)+SUMIFS('Manual Sales'!$S$2:$S$1501,'Manual Sales'!$U$2:$U$1501,A100))</f>
        <v/>
      </c>
      <c r="D100" s="11">
        <f>IF(A100="","",SUMIFS('Etsy Calc'!$M$2:$M$1501,'Etsy Calc'!$L$2:$L$1501,A100)+SUMIFS('Shopify Calc'!$M$2:$M$1501,'Shopify Calc'!$L$2:$L$1501,A100)+SUMIFS('Manual Sales'!$V$2:$V$1501,'Manual Sales'!$U$2:$U$1501,A100))</f>
        <v/>
      </c>
      <c r="E100" s="11">
        <f>IF(A100="","",SUMIFS('Etsy Calc'!$N$2:$N$1501,'Etsy Calc'!$L$2:$L$1501,A100)+SUMIFS('Shopify Calc'!$N$2:$N$1501,'Shopify Calc'!$L$2:$L$1501,A100)+SUMIFS('Manual Sales'!$W$2:$W$1501,'Manual Sales'!$U$2:$U$1501,A100))</f>
        <v/>
      </c>
      <c r="F100" s="11">
        <f>IF(A100="","",SUMIFS('Etsy Calc'!$O$2:$O$1501,'Etsy Calc'!$L$2:$L$1501,A100)+SUMIFS('Shopify Calc'!$O$2:$O$1501,'Shopify Calc'!$L$2:$L$1501,A100)+SUMIFS('Manual Sales'!$X$2:$X$1501,'Manual Sales'!$U$2:$U$1501,A100))</f>
        <v/>
      </c>
      <c r="G100" s="11">
        <f>IF(A100="","",IF($B$4=0,0,Settings!$B$14*C100/$B$4))</f>
        <v/>
      </c>
      <c r="H100" s="11">
        <f>IF(A100="","",C100-D100-E100-F100-G100)</f>
        <v/>
      </c>
      <c r="I100" s="11">
        <f>IF(OR(A100="",N(B100)=0),"",H100/B100)</f>
        <v/>
      </c>
      <c r="J100" s="12">
        <f>IF(OR(A100="",N(C100)=0),"",H100/C100)</f>
        <v/>
      </c>
      <c r="K100">
        <f>IF(A100="","",IF(N(B100)=0,"No sales",IF(H100&lt;0,"LOSING MONEY",IF(J100&lt;0.15,"Thin margin","Healthy"))))</f>
        <v/>
      </c>
    </row>
    <row r="101">
      <c r="A101">
        <f>IF(Products!A95="","",Products!A95)</f>
        <v/>
      </c>
      <c r="B101">
        <f>IF(A101="","",SUMIFS('Etsy Calc'!$D$2:$D$1501,'Etsy Calc'!$L$2:$L$1501,A101)+SUMIFS('Shopify Calc'!$D$2:$D$1501,'Shopify Calc'!$L$2:$L$1501,A101)+SUMIFS('Manual Sales'!$M$2:$M$1501,'Manual Sales'!$U$2:$U$1501,A101))</f>
        <v/>
      </c>
      <c r="C101" s="11">
        <f>IF(A101="","",SUMIFS('Etsy Calc'!$J$2:$J$1501,'Etsy Calc'!$L$2:$L$1501,A101)+SUMIFS('Shopify Calc'!$J$2:$J$1501,'Shopify Calc'!$L$2:$L$1501,A101)+SUMIFS('Manual Sales'!$S$2:$S$1501,'Manual Sales'!$U$2:$U$1501,A101))</f>
        <v/>
      </c>
      <c r="D101" s="11">
        <f>IF(A101="","",SUMIFS('Etsy Calc'!$M$2:$M$1501,'Etsy Calc'!$L$2:$L$1501,A101)+SUMIFS('Shopify Calc'!$M$2:$M$1501,'Shopify Calc'!$L$2:$L$1501,A101)+SUMIFS('Manual Sales'!$V$2:$V$1501,'Manual Sales'!$U$2:$U$1501,A101))</f>
        <v/>
      </c>
      <c r="E101" s="11">
        <f>IF(A101="","",SUMIFS('Etsy Calc'!$N$2:$N$1501,'Etsy Calc'!$L$2:$L$1501,A101)+SUMIFS('Shopify Calc'!$N$2:$N$1501,'Shopify Calc'!$L$2:$L$1501,A101)+SUMIFS('Manual Sales'!$W$2:$W$1501,'Manual Sales'!$U$2:$U$1501,A101))</f>
        <v/>
      </c>
      <c r="F101" s="11">
        <f>IF(A101="","",SUMIFS('Etsy Calc'!$O$2:$O$1501,'Etsy Calc'!$L$2:$L$1501,A101)+SUMIFS('Shopify Calc'!$O$2:$O$1501,'Shopify Calc'!$L$2:$L$1501,A101)+SUMIFS('Manual Sales'!$X$2:$X$1501,'Manual Sales'!$U$2:$U$1501,A101))</f>
        <v/>
      </c>
      <c r="G101" s="11">
        <f>IF(A101="","",IF($B$4=0,0,Settings!$B$14*C101/$B$4))</f>
        <v/>
      </c>
      <c r="H101" s="11">
        <f>IF(A101="","",C101-D101-E101-F101-G101)</f>
        <v/>
      </c>
      <c r="I101" s="11">
        <f>IF(OR(A101="",N(B101)=0),"",H101/B101)</f>
        <v/>
      </c>
      <c r="J101" s="12">
        <f>IF(OR(A101="",N(C101)=0),"",H101/C101)</f>
        <v/>
      </c>
      <c r="K101">
        <f>IF(A101="","",IF(N(B101)=0,"No sales",IF(H101&lt;0,"LOSING MONEY",IF(J101&lt;0.15,"Thin margin","Healthy"))))</f>
        <v/>
      </c>
    </row>
    <row r="102">
      <c r="A102">
        <f>IF(Products!A96="","",Products!A96)</f>
        <v/>
      </c>
      <c r="B102">
        <f>IF(A102="","",SUMIFS('Etsy Calc'!$D$2:$D$1501,'Etsy Calc'!$L$2:$L$1501,A102)+SUMIFS('Shopify Calc'!$D$2:$D$1501,'Shopify Calc'!$L$2:$L$1501,A102)+SUMIFS('Manual Sales'!$M$2:$M$1501,'Manual Sales'!$U$2:$U$1501,A102))</f>
        <v/>
      </c>
      <c r="C102" s="11">
        <f>IF(A102="","",SUMIFS('Etsy Calc'!$J$2:$J$1501,'Etsy Calc'!$L$2:$L$1501,A102)+SUMIFS('Shopify Calc'!$J$2:$J$1501,'Shopify Calc'!$L$2:$L$1501,A102)+SUMIFS('Manual Sales'!$S$2:$S$1501,'Manual Sales'!$U$2:$U$1501,A102))</f>
        <v/>
      </c>
      <c r="D102" s="11">
        <f>IF(A102="","",SUMIFS('Etsy Calc'!$M$2:$M$1501,'Etsy Calc'!$L$2:$L$1501,A102)+SUMIFS('Shopify Calc'!$M$2:$M$1501,'Shopify Calc'!$L$2:$L$1501,A102)+SUMIFS('Manual Sales'!$V$2:$V$1501,'Manual Sales'!$U$2:$U$1501,A102))</f>
        <v/>
      </c>
      <c r="E102" s="11">
        <f>IF(A102="","",SUMIFS('Etsy Calc'!$N$2:$N$1501,'Etsy Calc'!$L$2:$L$1501,A102)+SUMIFS('Shopify Calc'!$N$2:$N$1501,'Shopify Calc'!$L$2:$L$1501,A102)+SUMIFS('Manual Sales'!$W$2:$W$1501,'Manual Sales'!$U$2:$U$1501,A102))</f>
        <v/>
      </c>
      <c r="F102" s="11">
        <f>IF(A102="","",SUMIFS('Etsy Calc'!$O$2:$O$1501,'Etsy Calc'!$L$2:$L$1501,A102)+SUMIFS('Shopify Calc'!$O$2:$O$1501,'Shopify Calc'!$L$2:$L$1501,A102)+SUMIFS('Manual Sales'!$X$2:$X$1501,'Manual Sales'!$U$2:$U$1501,A102))</f>
        <v/>
      </c>
      <c r="G102" s="11">
        <f>IF(A102="","",IF($B$4=0,0,Settings!$B$14*C102/$B$4))</f>
        <v/>
      </c>
      <c r="H102" s="11">
        <f>IF(A102="","",C102-D102-E102-F102-G102)</f>
        <v/>
      </c>
      <c r="I102" s="11">
        <f>IF(OR(A102="",N(B102)=0),"",H102/B102)</f>
        <v/>
      </c>
      <c r="J102" s="12">
        <f>IF(OR(A102="",N(C102)=0),"",H102/C102)</f>
        <v/>
      </c>
      <c r="K102">
        <f>IF(A102="","",IF(N(B102)=0,"No sales",IF(H102&lt;0,"LOSING MONEY",IF(J102&lt;0.15,"Thin margin","Healthy"))))</f>
        <v/>
      </c>
    </row>
    <row r="103">
      <c r="A103">
        <f>IF(Products!A97="","",Products!A97)</f>
        <v/>
      </c>
      <c r="B103">
        <f>IF(A103="","",SUMIFS('Etsy Calc'!$D$2:$D$1501,'Etsy Calc'!$L$2:$L$1501,A103)+SUMIFS('Shopify Calc'!$D$2:$D$1501,'Shopify Calc'!$L$2:$L$1501,A103)+SUMIFS('Manual Sales'!$M$2:$M$1501,'Manual Sales'!$U$2:$U$1501,A103))</f>
        <v/>
      </c>
      <c r="C103" s="11">
        <f>IF(A103="","",SUMIFS('Etsy Calc'!$J$2:$J$1501,'Etsy Calc'!$L$2:$L$1501,A103)+SUMIFS('Shopify Calc'!$J$2:$J$1501,'Shopify Calc'!$L$2:$L$1501,A103)+SUMIFS('Manual Sales'!$S$2:$S$1501,'Manual Sales'!$U$2:$U$1501,A103))</f>
        <v/>
      </c>
      <c r="D103" s="11">
        <f>IF(A103="","",SUMIFS('Etsy Calc'!$M$2:$M$1501,'Etsy Calc'!$L$2:$L$1501,A103)+SUMIFS('Shopify Calc'!$M$2:$M$1501,'Shopify Calc'!$L$2:$L$1501,A103)+SUMIFS('Manual Sales'!$V$2:$V$1501,'Manual Sales'!$U$2:$U$1501,A103))</f>
        <v/>
      </c>
      <c r="E103" s="11">
        <f>IF(A103="","",SUMIFS('Etsy Calc'!$N$2:$N$1501,'Etsy Calc'!$L$2:$L$1501,A103)+SUMIFS('Shopify Calc'!$N$2:$N$1501,'Shopify Calc'!$L$2:$L$1501,A103)+SUMIFS('Manual Sales'!$W$2:$W$1501,'Manual Sales'!$U$2:$U$1501,A103))</f>
        <v/>
      </c>
      <c r="F103" s="11">
        <f>IF(A103="","",SUMIFS('Etsy Calc'!$O$2:$O$1501,'Etsy Calc'!$L$2:$L$1501,A103)+SUMIFS('Shopify Calc'!$O$2:$O$1501,'Shopify Calc'!$L$2:$L$1501,A103)+SUMIFS('Manual Sales'!$X$2:$X$1501,'Manual Sales'!$U$2:$U$1501,A103))</f>
        <v/>
      </c>
      <c r="G103" s="11">
        <f>IF(A103="","",IF($B$4=0,0,Settings!$B$14*C103/$B$4))</f>
        <v/>
      </c>
      <c r="H103" s="11">
        <f>IF(A103="","",C103-D103-E103-F103-G103)</f>
        <v/>
      </c>
      <c r="I103" s="11">
        <f>IF(OR(A103="",N(B103)=0),"",H103/B103)</f>
        <v/>
      </c>
      <c r="J103" s="12">
        <f>IF(OR(A103="",N(C103)=0),"",H103/C103)</f>
        <v/>
      </c>
      <c r="K103">
        <f>IF(A103="","",IF(N(B103)=0,"No sales",IF(H103&lt;0,"LOSING MONEY",IF(J103&lt;0.15,"Thin margin","Healthy"))))</f>
        <v/>
      </c>
    </row>
    <row r="104">
      <c r="A104">
        <f>IF(Products!A98="","",Products!A98)</f>
        <v/>
      </c>
      <c r="B104">
        <f>IF(A104="","",SUMIFS('Etsy Calc'!$D$2:$D$1501,'Etsy Calc'!$L$2:$L$1501,A104)+SUMIFS('Shopify Calc'!$D$2:$D$1501,'Shopify Calc'!$L$2:$L$1501,A104)+SUMIFS('Manual Sales'!$M$2:$M$1501,'Manual Sales'!$U$2:$U$1501,A104))</f>
        <v/>
      </c>
      <c r="C104" s="11">
        <f>IF(A104="","",SUMIFS('Etsy Calc'!$J$2:$J$1501,'Etsy Calc'!$L$2:$L$1501,A104)+SUMIFS('Shopify Calc'!$J$2:$J$1501,'Shopify Calc'!$L$2:$L$1501,A104)+SUMIFS('Manual Sales'!$S$2:$S$1501,'Manual Sales'!$U$2:$U$1501,A104))</f>
        <v/>
      </c>
      <c r="D104" s="11">
        <f>IF(A104="","",SUMIFS('Etsy Calc'!$M$2:$M$1501,'Etsy Calc'!$L$2:$L$1501,A104)+SUMIFS('Shopify Calc'!$M$2:$M$1501,'Shopify Calc'!$L$2:$L$1501,A104)+SUMIFS('Manual Sales'!$V$2:$V$1501,'Manual Sales'!$U$2:$U$1501,A104))</f>
        <v/>
      </c>
      <c r="E104" s="11">
        <f>IF(A104="","",SUMIFS('Etsy Calc'!$N$2:$N$1501,'Etsy Calc'!$L$2:$L$1501,A104)+SUMIFS('Shopify Calc'!$N$2:$N$1501,'Shopify Calc'!$L$2:$L$1501,A104)+SUMIFS('Manual Sales'!$W$2:$W$1501,'Manual Sales'!$U$2:$U$1501,A104))</f>
        <v/>
      </c>
      <c r="F104" s="11">
        <f>IF(A104="","",SUMIFS('Etsy Calc'!$O$2:$O$1501,'Etsy Calc'!$L$2:$L$1501,A104)+SUMIFS('Shopify Calc'!$O$2:$O$1501,'Shopify Calc'!$L$2:$L$1501,A104)+SUMIFS('Manual Sales'!$X$2:$X$1501,'Manual Sales'!$U$2:$U$1501,A104))</f>
        <v/>
      </c>
      <c r="G104" s="11">
        <f>IF(A104="","",IF($B$4=0,0,Settings!$B$14*C104/$B$4))</f>
        <v/>
      </c>
      <c r="H104" s="11">
        <f>IF(A104="","",C104-D104-E104-F104-G104)</f>
        <v/>
      </c>
      <c r="I104" s="11">
        <f>IF(OR(A104="",N(B104)=0),"",H104/B104)</f>
        <v/>
      </c>
      <c r="J104" s="12">
        <f>IF(OR(A104="",N(C104)=0),"",H104/C104)</f>
        <v/>
      </c>
      <c r="K104">
        <f>IF(A104="","",IF(N(B104)=0,"No sales",IF(H104&lt;0,"LOSING MONEY",IF(J104&lt;0.15,"Thin margin","Healthy"))))</f>
        <v/>
      </c>
    </row>
    <row r="105">
      <c r="A105">
        <f>IF(Products!A99="","",Products!A99)</f>
        <v/>
      </c>
      <c r="B105">
        <f>IF(A105="","",SUMIFS('Etsy Calc'!$D$2:$D$1501,'Etsy Calc'!$L$2:$L$1501,A105)+SUMIFS('Shopify Calc'!$D$2:$D$1501,'Shopify Calc'!$L$2:$L$1501,A105)+SUMIFS('Manual Sales'!$M$2:$M$1501,'Manual Sales'!$U$2:$U$1501,A105))</f>
        <v/>
      </c>
      <c r="C105" s="11">
        <f>IF(A105="","",SUMIFS('Etsy Calc'!$J$2:$J$1501,'Etsy Calc'!$L$2:$L$1501,A105)+SUMIFS('Shopify Calc'!$J$2:$J$1501,'Shopify Calc'!$L$2:$L$1501,A105)+SUMIFS('Manual Sales'!$S$2:$S$1501,'Manual Sales'!$U$2:$U$1501,A105))</f>
        <v/>
      </c>
      <c r="D105" s="11">
        <f>IF(A105="","",SUMIFS('Etsy Calc'!$M$2:$M$1501,'Etsy Calc'!$L$2:$L$1501,A105)+SUMIFS('Shopify Calc'!$M$2:$M$1501,'Shopify Calc'!$L$2:$L$1501,A105)+SUMIFS('Manual Sales'!$V$2:$V$1501,'Manual Sales'!$U$2:$U$1501,A105))</f>
        <v/>
      </c>
      <c r="E105" s="11">
        <f>IF(A105="","",SUMIFS('Etsy Calc'!$N$2:$N$1501,'Etsy Calc'!$L$2:$L$1501,A105)+SUMIFS('Shopify Calc'!$N$2:$N$1501,'Shopify Calc'!$L$2:$L$1501,A105)+SUMIFS('Manual Sales'!$W$2:$W$1501,'Manual Sales'!$U$2:$U$1501,A105))</f>
        <v/>
      </c>
      <c r="F105" s="11">
        <f>IF(A105="","",SUMIFS('Etsy Calc'!$O$2:$O$1501,'Etsy Calc'!$L$2:$L$1501,A105)+SUMIFS('Shopify Calc'!$O$2:$O$1501,'Shopify Calc'!$L$2:$L$1501,A105)+SUMIFS('Manual Sales'!$X$2:$X$1501,'Manual Sales'!$U$2:$U$1501,A105))</f>
        <v/>
      </c>
      <c r="G105" s="11">
        <f>IF(A105="","",IF($B$4=0,0,Settings!$B$14*C105/$B$4))</f>
        <v/>
      </c>
      <c r="H105" s="11">
        <f>IF(A105="","",C105-D105-E105-F105-G105)</f>
        <v/>
      </c>
      <c r="I105" s="11">
        <f>IF(OR(A105="",N(B105)=0),"",H105/B105)</f>
        <v/>
      </c>
      <c r="J105" s="12">
        <f>IF(OR(A105="",N(C105)=0),"",H105/C105)</f>
        <v/>
      </c>
      <c r="K105">
        <f>IF(A105="","",IF(N(B105)=0,"No sales",IF(H105&lt;0,"LOSING MONEY",IF(J105&lt;0.15,"Thin margin","Healthy"))))</f>
        <v/>
      </c>
    </row>
    <row r="106">
      <c r="A106">
        <f>IF(Products!A100="","",Products!A100)</f>
        <v/>
      </c>
      <c r="B106">
        <f>IF(A106="","",SUMIFS('Etsy Calc'!$D$2:$D$1501,'Etsy Calc'!$L$2:$L$1501,A106)+SUMIFS('Shopify Calc'!$D$2:$D$1501,'Shopify Calc'!$L$2:$L$1501,A106)+SUMIFS('Manual Sales'!$M$2:$M$1501,'Manual Sales'!$U$2:$U$1501,A106))</f>
        <v/>
      </c>
      <c r="C106" s="11">
        <f>IF(A106="","",SUMIFS('Etsy Calc'!$J$2:$J$1501,'Etsy Calc'!$L$2:$L$1501,A106)+SUMIFS('Shopify Calc'!$J$2:$J$1501,'Shopify Calc'!$L$2:$L$1501,A106)+SUMIFS('Manual Sales'!$S$2:$S$1501,'Manual Sales'!$U$2:$U$1501,A106))</f>
        <v/>
      </c>
      <c r="D106" s="11">
        <f>IF(A106="","",SUMIFS('Etsy Calc'!$M$2:$M$1501,'Etsy Calc'!$L$2:$L$1501,A106)+SUMIFS('Shopify Calc'!$M$2:$M$1501,'Shopify Calc'!$L$2:$L$1501,A106)+SUMIFS('Manual Sales'!$V$2:$V$1501,'Manual Sales'!$U$2:$U$1501,A106))</f>
        <v/>
      </c>
      <c r="E106" s="11">
        <f>IF(A106="","",SUMIFS('Etsy Calc'!$N$2:$N$1501,'Etsy Calc'!$L$2:$L$1501,A106)+SUMIFS('Shopify Calc'!$N$2:$N$1501,'Shopify Calc'!$L$2:$L$1501,A106)+SUMIFS('Manual Sales'!$W$2:$W$1501,'Manual Sales'!$U$2:$U$1501,A106))</f>
        <v/>
      </c>
      <c r="F106" s="11">
        <f>IF(A106="","",SUMIFS('Etsy Calc'!$O$2:$O$1501,'Etsy Calc'!$L$2:$L$1501,A106)+SUMIFS('Shopify Calc'!$O$2:$O$1501,'Shopify Calc'!$L$2:$L$1501,A106)+SUMIFS('Manual Sales'!$X$2:$X$1501,'Manual Sales'!$U$2:$U$1501,A106))</f>
        <v/>
      </c>
      <c r="G106" s="11">
        <f>IF(A106="","",IF($B$4=0,0,Settings!$B$14*C106/$B$4))</f>
        <v/>
      </c>
      <c r="H106" s="11">
        <f>IF(A106="","",C106-D106-E106-F106-G106)</f>
        <v/>
      </c>
      <c r="I106" s="11">
        <f>IF(OR(A106="",N(B106)=0),"",H106/B106)</f>
        <v/>
      </c>
      <c r="J106" s="12">
        <f>IF(OR(A106="",N(C106)=0),"",H106/C106)</f>
        <v/>
      </c>
      <c r="K106">
        <f>IF(A106="","",IF(N(B106)=0,"No sales",IF(H106&lt;0,"LOSING MONEY",IF(J106&lt;0.15,"Thin margin","Healthy"))))</f>
        <v/>
      </c>
    </row>
    <row r="107">
      <c r="A107">
        <f>IF(Products!A101="","",Products!A101)</f>
        <v/>
      </c>
      <c r="B107">
        <f>IF(A107="","",SUMIFS('Etsy Calc'!$D$2:$D$1501,'Etsy Calc'!$L$2:$L$1501,A107)+SUMIFS('Shopify Calc'!$D$2:$D$1501,'Shopify Calc'!$L$2:$L$1501,A107)+SUMIFS('Manual Sales'!$M$2:$M$1501,'Manual Sales'!$U$2:$U$1501,A107))</f>
        <v/>
      </c>
      <c r="C107" s="11">
        <f>IF(A107="","",SUMIFS('Etsy Calc'!$J$2:$J$1501,'Etsy Calc'!$L$2:$L$1501,A107)+SUMIFS('Shopify Calc'!$J$2:$J$1501,'Shopify Calc'!$L$2:$L$1501,A107)+SUMIFS('Manual Sales'!$S$2:$S$1501,'Manual Sales'!$U$2:$U$1501,A107))</f>
        <v/>
      </c>
      <c r="D107" s="11">
        <f>IF(A107="","",SUMIFS('Etsy Calc'!$M$2:$M$1501,'Etsy Calc'!$L$2:$L$1501,A107)+SUMIFS('Shopify Calc'!$M$2:$M$1501,'Shopify Calc'!$L$2:$L$1501,A107)+SUMIFS('Manual Sales'!$V$2:$V$1501,'Manual Sales'!$U$2:$U$1501,A107))</f>
        <v/>
      </c>
      <c r="E107" s="11">
        <f>IF(A107="","",SUMIFS('Etsy Calc'!$N$2:$N$1501,'Etsy Calc'!$L$2:$L$1501,A107)+SUMIFS('Shopify Calc'!$N$2:$N$1501,'Shopify Calc'!$L$2:$L$1501,A107)+SUMIFS('Manual Sales'!$W$2:$W$1501,'Manual Sales'!$U$2:$U$1501,A107))</f>
        <v/>
      </c>
      <c r="F107" s="11">
        <f>IF(A107="","",SUMIFS('Etsy Calc'!$O$2:$O$1501,'Etsy Calc'!$L$2:$L$1501,A107)+SUMIFS('Shopify Calc'!$O$2:$O$1501,'Shopify Calc'!$L$2:$L$1501,A107)+SUMIFS('Manual Sales'!$X$2:$X$1501,'Manual Sales'!$U$2:$U$1501,A107))</f>
        <v/>
      </c>
      <c r="G107" s="11">
        <f>IF(A107="","",IF($B$4=0,0,Settings!$B$14*C107/$B$4))</f>
        <v/>
      </c>
      <c r="H107" s="11">
        <f>IF(A107="","",C107-D107-E107-F107-G107)</f>
        <v/>
      </c>
      <c r="I107" s="11">
        <f>IF(OR(A107="",N(B107)=0),"",H107/B107)</f>
        <v/>
      </c>
      <c r="J107" s="12">
        <f>IF(OR(A107="",N(C107)=0),"",H107/C107)</f>
        <v/>
      </c>
      <c r="K107">
        <f>IF(A107="","",IF(N(B107)=0,"No sales",IF(H107&lt;0,"LOSING MONEY",IF(J107&lt;0.15,"Thin margin","Healthy"))))</f>
        <v/>
      </c>
    </row>
    <row r="108">
      <c r="A108">
        <f>IF(Products!A102="","",Products!A102)</f>
        <v/>
      </c>
      <c r="B108">
        <f>IF(A108="","",SUMIFS('Etsy Calc'!$D$2:$D$1501,'Etsy Calc'!$L$2:$L$1501,A108)+SUMIFS('Shopify Calc'!$D$2:$D$1501,'Shopify Calc'!$L$2:$L$1501,A108)+SUMIFS('Manual Sales'!$M$2:$M$1501,'Manual Sales'!$U$2:$U$1501,A108))</f>
        <v/>
      </c>
      <c r="C108" s="11">
        <f>IF(A108="","",SUMIFS('Etsy Calc'!$J$2:$J$1501,'Etsy Calc'!$L$2:$L$1501,A108)+SUMIFS('Shopify Calc'!$J$2:$J$1501,'Shopify Calc'!$L$2:$L$1501,A108)+SUMIFS('Manual Sales'!$S$2:$S$1501,'Manual Sales'!$U$2:$U$1501,A108))</f>
        <v/>
      </c>
      <c r="D108" s="11">
        <f>IF(A108="","",SUMIFS('Etsy Calc'!$M$2:$M$1501,'Etsy Calc'!$L$2:$L$1501,A108)+SUMIFS('Shopify Calc'!$M$2:$M$1501,'Shopify Calc'!$L$2:$L$1501,A108)+SUMIFS('Manual Sales'!$V$2:$V$1501,'Manual Sales'!$U$2:$U$1501,A108))</f>
        <v/>
      </c>
      <c r="E108" s="11">
        <f>IF(A108="","",SUMIFS('Etsy Calc'!$N$2:$N$1501,'Etsy Calc'!$L$2:$L$1501,A108)+SUMIFS('Shopify Calc'!$N$2:$N$1501,'Shopify Calc'!$L$2:$L$1501,A108)+SUMIFS('Manual Sales'!$W$2:$W$1501,'Manual Sales'!$U$2:$U$1501,A108))</f>
        <v/>
      </c>
      <c r="F108" s="11">
        <f>IF(A108="","",SUMIFS('Etsy Calc'!$O$2:$O$1501,'Etsy Calc'!$L$2:$L$1501,A108)+SUMIFS('Shopify Calc'!$O$2:$O$1501,'Shopify Calc'!$L$2:$L$1501,A108)+SUMIFS('Manual Sales'!$X$2:$X$1501,'Manual Sales'!$U$2:$U$1501,A108))</f>
        <v/>
      </c>
      <c r="G108" s="11">
        <f>IF(A108="","",IF($B$4=0,0,Settings!$B$14*C108/$B$4))</f>
        <v/>
      </c>
      <c r="H108" s="11">
        <f>IF(A108="","",C108-D108-E108-F108-G108)</f>
        <v/>
      </c>
      <c r="I108" s="11">
        <f>IF(OR(A108="",N(B108)=0),"",H108/B108)</f>
        <v/>
      </c>
      <c r="J108" s="12">
        <f>IF(OR(A108="",N(C108)=0),"",H108/C108)</f>
        <v/>
      </c>
      <c r="K108">
        <f>IF(A108="","",IF(N(B108)=0,"No sales",IF(H108&lt;0,"LOSING MONEY",IF(J108&lt;0.15,"Thin margin","Healthy"))))</f>
        <v/>
      </c>
    </row>
    <row r="109">
      <c r="A109">
        <f>IF(Products!A103="","",Products!A103)</f>
        <v/>
      </c>
      <c r="B109">
        <f>IF(A109="","",SUMIFS('Etsy Calc'!$D$2:$D$1501,'Etsy Calc'!$L$2:$L$1501,A109)+SUMIFS('Shopify Calc'!$D$2:$D$1501,'Shopify Calc'!$L$2:$L$1501,A109)+SUMIFS('Manual Sales'!$M$2:$M$1501,'Manual Sales'!$U$2:$U$1501,A109))</f>
        <v/>
      </c>
      <c r="C109" s="11">
        <f>IF(A109="","",SUMIFS('Etsy Calc'!$J$2:$J$1501,'Etsy Calc'!$L$2:$L$1501,A109)+SUMIFS('Shopify Calc'!$J$2:$J$1501,'Shopify Calc'!$L$2:$L$1501,A109)+SUMIFS('Manual Sales'!$S$2:$S$1501,'Manual Sales'!$U$2:$U$1501,A109))</f>
        <v/>
      </c>
      <c r="D109" s="11">
        <f>IF(A109="","",SUMIFS('Etsy Calc'!$M$2:$M$1501,'Etsy Calc'!$L$2:$L$1501,A109)+SUMIFS('Shopify Calc'!$M$2:$M$1501,'Shopify Calc'!$L$2:$L$1501,A109)+SUMIFS('Manual Sales'!$V$2:$V$1501,'Manual Sales'!$U$2:$U$1501,A109))</f>
        <v/>
      </c>
      <c r="E109" s="11">
        <f>IF(A109="","",SUMIFS('Etsy Calc'!$N$2:$N$1501,'Etsy Calc'!$L$2:$L$1501,A109)+SUMIFS('Shopify Calc'!$N$2:$N$1501,'Shopify Calc'!$L$2:$L$1501,A109)+SUMIFS('Manual Sales'!$W$2:$W$1501,'Manual Sales'!$U$2:$U$1501,A109))</f>
        <v/>
      </c>
      <c r="F109" s="11">
        <f>IF(A109="","",SUMIFS('Etsy Calc'!$O$2:$O$1501,'Etsy Calc'!$L$2:$L$1501,A109)+SUMIFS('Shopify Calc'!$O$2:$O$1501,'Shopify Calc'!$L$2:$L$1501,A109)+SUMIFS('Manual Sales'!$X$2:$X$1501,'Manual Sales'!$U$2:$U$1501,A109))</f>
        <v/>
      </c>
      <c r="G109" s="11">
        <f>IF(A109="","",IF($B$4=0,0,Settings!$B$14*C109/$B$4))</f>
        <v/>
      </c>
      <c r="H109" s="11">
        <f>IF(A109="","",C109-D109-E109-F109-G109)</f>
        <v/>
      </c>
      <c r="I109" s="11">
        <f>IF(OR(A109="",N(B109)=0),"",H109/B109)</f>
        <v/>
      </c>
      <c r="J109" s="12">
        <f>IF(OR(A109="",N(C109)=0),"",H109/C109)</f>
        <v/>
      </c>
      <c r="K109">
        <f>IF(A109="","",IF(N(B109)=0,"No sales",IF(H109&lt;0,"LOSING MONEY",IF(J109&lt;0.15,"Thin margin","Healthy"))))</f>
        <v/>
      </c>
    </row>
    <row r="110">
      <c r="A110">
        <f>IF(Products!A104="","",Products!A104)</f>
        <v/>
      </c>
      <c r="B110">
        <f>IF(A110="","",SUMIFS('Etsy Calc'!$D$2:$D$1501,'Etsy Calc'!$L$2:$L$1501,A110)+SUMIFS('Shopify Calc'!$D$2:$D$1501,'Shopify Calc'!$L$2:$L$1501,A110)+SUMIFS('Manual Sales'!$M$2:$M$1501,'Manual Sales'!$U$2:$U$1501,A110))</f>
        <v/>
      </c>
      <c r="C110" s="11">
        <f>IF(A110="","",SUMIFS('Etsy Calc'!$J$2:$J$1501,'Etsy Calc'!$L$2:$L$1501,A110)+SUMIFS('Shopify Calc'!$J$2:$J$1501,'Shopify Calc'!$L$2:$L$1501,A110)+SUMIFS('Manual Sales'!$S$2:$S$1501,'Manual Sales'!$U$2:$U$1501,A110))</f>
        <v/>
      </c>
      <c r="D110" s="11">
        <f>IF(A110="","",SUMIFS('Etsy Calc'!$M$2:$M$1501,'Etsy Calc'!$L$2:$L$1501,A110)+SUMIFS('Shopify Calc'!$M$2:$M$1501,'Shopify Calc'!$L$2:$L$1501,A110)+SUMIFS('Manual Sales'!$V$2:$V$1501,'Manual Sales'!$U$2:$U$1501,A110))</f>
        <v/>
      </c>
      <c r="E110" s="11">
        <f>IF(A110="","",SUMIFS('Etsy Calc'!$N$2:$N$1501,'Etsy Calc'!$L$2:$L$1501,A110)+SUMIFS('Shopify Calc'!$N$2:$N$1501,'Shopify Calc'!$L$2:$L$1501,A110)+SUMIFS('Manual Sales'!$W$2:$W$1501,'Manual Sales'!$U$2:$U$1501,A110))</f>
        <v/>
      </c>
      <c r="F110" s="11">
        <f>IF(A110="","",SUMIFS('Etsy Calc'!$O$2:$O$1501,'Etsy Calc'!$L$2:$L$1501,A110)+SUMIFS('Shopify Calc'!$O$2:$O$1501,'Shopify Calc'!$L$2:$L$1501,A110)+SUMIFS('Manual Sales'!$X$2:$X$1501,'Manual Sales'!$U$2:$U$1501,A110))</f>
        <v/>
      </c>
      <c r="G110" s="11">
        <f>IF(A110="","",IF($B$4=0,0,Settings!$B$14*C110/$B$4))</f>
        <v/>
      </c>
      <c r="H110" s="11">
        <f>IF(A110="","",C110-D110-E110-F110-G110)</f>
        <v/>
      </c>
      <c r="I110" s="11">
        <f>IF(OR(A110="",N(B110)=0),"",H110/B110)</f>
        <v/>
      </c>
      <c r="J110" s="12">
        <f>IF(OR(A110="",N(C110)=0),"",H110/C110)</f>
        <v/>
      </c>
      <c r="K110">
        <f>IF(A110="","",IF(N(B110)=0,"No sales",IF(H110&lt;0,"LOSING MONEY",IF(J110&lt;0.15,"Thin margin","Healthy"))))</f>
        <v/>
      </c>
    </row>
    <row r="111">
      <c r="A111">
        <f>IF(Products!A105="","",Products!A105)</f>
        <v/>
      </c>
      <c r="B111">
        <f>IF(A111="","",SUMIFS('Etsy Calc'!$D$2:$D$1501,'Etsy Calc'!$L$2:$L$1501,A111)+SUMIFS('Shopify Calc'!$D$2:$D$1501,'Shopify Calc'!$L$2:$L$1501,A111)+SUMIFS('Manual Sales'!$M$2:$M$1501,'Manual Sales'!$U$2:$U$1501,A111))</f>
        <v/>
      </c>
      <c r="C111" s="11">
        <f>IF(A111="","",SUMIFS('Etsy Calc'!$J$2:$J$1501,'Etsy Calc'!$L$2:$L$1501,A111)+SUMIFS('Shopify Calc'!$J$2:$J$1501,'Shopify Calc'!$L$2:$L$1501,A111)+SUMIFS('Manual Sales'!$S$2:$S$1501,'Manual Sales'!$U$2:$U$1501,A111))</f>
        <v/>
      </c>
      <c r="D111" s="11">
        <f>IF(A111="","",SUMIFS('Etsy Calc'!$M$2:$M$1501,'Etsy Calc'!$L$2:$L$1501,A111)+SUMIFS('Shopify Calc'!$M$2:$M$1501,'Shopify Calc'!$L$2:$L$1501,A111)+SUMIFS('Manual Sales'!$V$2:$V$1501,'Manual Sales'!$U$2:$U$1501,A111))</f>
        <v/>
      </c>
      <c r="E111" s="11">
        <f>IF(A111="","",SUMIFS('Etsy Calc'!$N$2:$N$1501,'Etsy Calc'!$L$2:$L$1501,A111)+SUMIFS('Shopify Calc'!$N$2:$N$1501,'Shopify Calc'!$L$2:$L$1501,A111)+SUMIFS('Manual Sales'!$W$2:$W$1501,'Manual Sales'!$U$2:$U$1501,A111))</f>
        <v/>
      </c>
      <c r="F111" s="11">
        <f>IF(A111="","",SUMIFS('Etsy Calc'!$O$2:$O$1501,'Etsy Calc'!$L$2:$L$1501,A111)+SUMIFS('Shopify Calc'!$O$2:$O$1501,'Shopify Calc'!$L$2:$L$1501,A111)+SUMIFS('Manual Sales'!$X$2:$X$1501,'Manual Sales'!$U$2:$U$1501,A111))</f>
        <v/>
      </c>
      <c r="G111" s="11">
        <f>IF(A111="","",IF($B$4=0,0,Settings!$B$14*C111/$B$4))</f>
        <v/>
      </c>
      <c r="H111" s="11">
        <f>IF(A111="","",C111-D111-E111-F111-G111)</f>
        <v/>
      </c>
      <c r="I111" s="11">
        <f>IF(OR(A111="",N(B111)=0),"",H111/B111)</f>
        <v/>
      </c>
      <c r="J111" s="12">
        <f>IF(OR(A111="",N(C111)=0),"",H111/C111)</f>
        <v/>
      </c>
      <c r="K111">
        <f>IF(A111="","",IF(N(B111)=0,"No sales",IF(H111&lt;0,"LOSING MONEY",IF(J111&lt;0.15,"Thin margin","Healthy"))))</f>
        <v/>
      </c>
    </row>
    <row r="112">
      <c r="A112">
        <f>IF(Products!A106="","",Products!A106)</f>
        <v/>
      </c>
      <c r="B112">
        <f>IF(A112="","",SUMIFS('Etsy Calc'!$D$2:$D$1501,'Etsy Calc'!$L$2:$L$1501,A112)+SUMIFS('Shopify Calc'!$D$2:$D$1501,'Shopify Calc'!$L$2:$L$1501,A112)+SUMIFS('Manual Sales'!$M$2:$M$1501,'Manual Sales'!$U$2:$U$1501,A112))</f>
        <v/>
      </c>
      <c r="C112" s="11">
        <f>IF(A112="","",SUMIFS('Etsy Calc'!$J$2:$J$1501,'Etsy Calc'!$L$2:$L$1501,A112)+SUMIFS('Shopify Calc'!$J$2:$J$1501,'Shopify Calc'!$L$2:$L$1501,A112)+SUMIFS('Manual Sales'!$S$2:$S$1501,'Manual Sales'!$U$2:$U$1501,A112))</f>
        <v/>
      </c>
      <c r="D112" s="11">
        <f>IF(A112="","",SUMIFS('Etsy Calc'!$M$2:$M$1501,'Etsy Calc'!$L$2:$L$1501,A112)+SUMIFS('Shopify Calc'!$M$2:$M$1501,'Shopify Calc'!$L$2:$L$1501,A112)+SUMIFS('Manual Sales'!$V$2:$V$1501,'Manual Sales'!$U$2:$U$1501,A112))</f>
        <v/>
      </c>
      <c r="E112" s="11">
        <f>IF(A112="","",SUMIFS('Etsy Calc'!$N$2:$N$1501,'Etsy Calc'!$L$2:$L$1501,A112)+SUMIFS('Shopify Calc'!$N$2:$N$1501,'Shopify Calc'!$L$2:$L$1501,A112)+SUMIFS('Manual Sales'!$W$2:$W$1501,'Manual Sales'!$U$2:$U$1501,A112))</f>
        <v/>
      </c>
      <c r="F112" s="11">
        <f>IF(A112="","",SUMIFS('Etsy Calc'!$O$2:$O$1501,'Etsy Calc'!$L$2:$L$1501,A112)+SUMIFS('Shopify Calc'!$O$2:$O$1501,'Shopify Calc'!$L$2:$L$1501,A112)+SUMIFS('Manual Sales'!$X$2:$X$1501,'Manual Sales'!$U$2:$U$1501,A112))</f>
        <v/>
      </c>
      <c r="G112" s="11">
        <f>IF(A112="","",IF($B$4=0,0,Settings!$B$14*C112/$B$4))</f>
        <v/>
      </c>
      <c r="H112" s="11">
        <f>IF(A112="","",C112-D112-E112-F112-G112)</f>
        <v/>
      </c>
      <c r="I112" s="11">
        <f>IF(OR(A112="",N(B112)=0),"",H112/B112)</f>
        <v/>
      </c>
      <c r="J112" s="12">
        <f>IF(OR(A112="",N(C112)=0),"",H112/C112)</f>
        <v/>
      </c>
      <c r="K112">
        <f>IF(A112="","",IF(N(B112)=0,"No sales",IF(H112&lt;0,"LOSING MONEY",IF(J112&lt;0.15,"Thin margin","Healthy"))))</f>
        <v/>
      </c>
    </row>
    <row r="113">
      <c r="A113">
        <f>IF(Products!A107="","",Products!A107)</f>
        <v/>
      </c>
      <c r="B113">
        <f>IF(A113="","",SUMIFS('Etsy Calc'!$D$2:$D$1501,'Etsy Calc'!$L$2:$L$1501,A113)+SUMIFS('Shopify Calc'!$D$2:$D$1501,'Shopify Calc'!$L$2:$L$1501,A113)+SUMIFS('Manual Sales'!$M$2:$M$1501,'Manual Sales'!$U$2:$U$1501,A113))</f>
        <v/>
      </c>
      <c r="C113" s="11">
        <f>IF(A113="","",SUMIFS('Etsy Calc'!$J$2:$J$1501,'Etsy Calc'!$L$2:$L$1501,A113)+SUMIFS('Shopify Calc'!$J$2:$J$1501,'Shopify Calc'!$L$2:$L$1501,A113)+SUMIFS('Manual Sales'!$S$2:$S$1501,'Manual Sales'!$U$2:$U$1501,A113))</f>
        <v/>
      </c>
      <c r="D113" s="11">
        <f>IF(A113="","",SUMIFS('Etsy Calc'!$M$2:$M$1501,'Etsy Calc'!$L$2:$L$1501,A113)+SUMIFS('Shopify Calc'!$M$2:$M$1501,'Shopify Calc'!$L$2:$L$1501,A113)+SUMIFS('Manual Sales'!$V$2:$V$1501,'Manual Sales'!$U$2:$U$1501,A113))</f>
        <v/>
      </c>
      <c r="E113" s="11">
        <f>IF(A113="","",SUMIFS('Etsy Calc'!$N$2:$N$1501,'Etsy Calc'!$L$2:$L$1501,A113)+SUMIFS('Shopify Calc'!$N$2:$N$1501,'Shopify Calc'!$L$2:$L$1501,A113)+SUMIFS('Manual Sales'!$W$2:$W$1501,'Manual Sales'!$U$2:$U$1501,A113))</f>
        <v/>
      </c>
      <c r="F113" s="11">
        <f>IF(A113="","",SUMIFS('Etsy Calc'!$O$2:$O$1501,'Etsy Calc'!$L$2:$L$1501,A113)+SUMIFS('Shopify Calc'!$O$2:$O$1501,'Shopify Calc'!$L$2:$L$1501,A113)+SUMIFS('Manual Sales'!$X$2:$X$1501,'Manual Sales'!$U$2:$U$1501,A113))</f>
        <v/>
      </c>
      <c r="G113" s="11">
        <f>IF(A113="","",IF($B$4=0,0,Settings!$B$14*C113/$B$4))</f>
        <v/>
      </c>
      <c r="H113" s="11">
        <f>IF(A113="","",C113-D113-E113-F113-G113)</f>
        <v/>
      </c>
      <c r="I113" s="11">
        <f>IF(OR(A113="",N(B113)=0),"",H113/B113)</f>
        <v/>
      </c>
      <c r="J113" s="12">
        <f>IF(OR(A113="",N(C113)=0),"",H113/C113)</f>
        <v/>
      </c>
      <c r="K113">
        <f>IF(A113="","",IF(N(B113)=0,"No sales",IF(H113&lt;0,"LOSING MONEY",IF(J113&lt;0.15,"Thin margin","Healthy"))))</f>
        <v/>
      </c>
    </row>
    <row r="114">
      <c r="A114">
        <f>IF(Products!A108="","",Products!A108)</f>
        <v/>
      </c>
      <c r="B114">
        <f>IF(A114="","",SUMIFS('Etsy Calc'!$D$2:$D$1501,'Etsy Calc'!$L$2:$L$1501,A114)+SUMIFS('Shopify Calc'!$D$2:$D$1501,'Shopify Calc'!$L$2:$L$1501,A114)+SUMIFS('Manual Sales'!$M$2:$M$1501,'Manual Sales'!$U$2:$U$1501,A114))</f>
        <v/>
      </c>
      <c r="C114" s="11">
        <f>IF(A114="","",SUMIFS('Etsy Calc'!$J$2:$J$1501,'Etsy Calc'!$L$2:$L$1501,A114)+SUMIFS('Shopify Calc'!$J$2:$J$1501,'Shopify Calc'!$L$2:$L$1501,A114)+SUMIFS('Manual Sales'!$S$2:$S$1501,'Manual Sales'!$U$2:$U$1501,A114))</f>
        <v/>
      </c>
      <c r="D114" s="11">
        <f>IF(A114="","",SUMIFS('Etsy Calc'!$M$2:$M$1501,'Etsy Calc'!$L$2:$L$1501,A114)+SUMIFS('Shopify Calc'!$M$2:$M$1501,'Shopify Calc'!$L$2:$L$1501,A114)+SUMIFS('Manual Sales'!$V$2:$V$1501,'Manual Sales'!$U$2:$U$1501,A114))</f>
        <v/>
      </c>
      <c r="E114" s="11">
        <f>IF(A114="","",SUMIFS('Etsy Calc'!$N$2:$N$1501,'Etsy Calc'!$L$2:$L$1501,A114)+SUMIFS('Shopify Calc'!$N$2:$N$1501,'Shopify Calc'!$L$2:$L$1501,A114)+SUMIFS('Manual Sales'!$W$2:$W$1501,'Manual Sales'!$U$2:$U$1501,A114))</f>
        <v/>
      </c>
      <c r="F114" s="11">
        <f>IF(A114="","",SUMIFS('Etsy Calc'!$O$2:$O$1501,'Etsy Calc'!$L$2:$L$1501,A114)+SUMIFS('Shopify Calc'!$O$2:$O$1501,'Shopify Calc'!$L$2:$L$1501,A114)+SUMIFS('Manual Sales'!$X$2:$X$1501,'Manual Sales'!$U$2:$U$1501,A114))</f>
        <v/>
      </c>
      <c r="G114" s="11">
        <f>IF(A114="","",IF($B$4=0,0,Settings!$B$14*C114/$B$4))</f>
        <v/>
      </c>
      <c r="H114" s="11">
        <f>IF(A114="","",C114-D114-E114-F114-G114)</f>
        <v/>
      </c>
      <c r="I114" s="11">
        <f>IF(OR(A114="",N(B114)=0),"",H114/B114)</f>
        <v/>
      </c>
      <c r="J114" s="12">
        <f>IF(OR(A114="",N(C114)=0),"",H114/C114)</f>
        <v/>
      </c>
      <c r="K114">
        <f>IF(A114="","",IF(N(B114)=0,"No sales",IF(H114&lt;0,"LOSING MONEY",IF(J114&lt;0.15,"Thin margin","Healthy"))))</f>
        <v/>
      </c>
    </row>
    <row r="115">
      <c r="A115">
        <f>IF(Products!A109="","",Products!A109)</f>
        <v/>
      </c>
      <c r="B115">
        <f>IF(A115="","",SUMIFS('Etsy Calc'!$D$2:$D$1501,'Etsy Calc'!$L$2:$L$1501,A115)+SUMIFS('Shopify Calc'!$D$2:$D$1501,'Shopify Calc'!$L$2:$L$1501,A115)+SUMIFS('Manual Sales'!$M$2:$M$1501,'Manual Sales'!$U$2:$U$1501,A115))</f>
        <v/>
      </c>
      <c r="C115" s="11">
        <f>IF(A115="","",SUMIFS('Etsy Calc'!$J$2:$J$1501,'Etsy Calc'!$L$2:$L$1501,A115)+SUMIFS('Shopify Calc'!$J$2:$J$1501,'Shopify Calc'!$L$2:$L$1501,A115)+SUMIFS('Manual Sales'!$S$2:$S$1501,'Manual Sales'!$U$2:$U$1501,A115))</f>
        <v/>
      </c>
      <c r="D115" s="11">
        <f>IF(A115="","",SUMIFS('Etsy Calc'!$M$2:$M$1501,'Etsy Calc'!$L$2:$L$1501,A115)+SUMIFS('Shopify Calc'!$M$2:$M$1501,'Shopify Calc'!$L$2:$L$1501,A115)+SUMIFS('Manual Sales'!$V$2:$V$1501,'Manual Sales'!$U$2:$U$1501,A115))</f>
        <v/>
      </c>
      <c r="E115" s="11">
        <f>IF(A115="","",SUMIFS('Etsy Calc'!$N$2:$N$1501,'Etsy Calc'!$L$2:$L$1501,A115)+SUMIFS('Shopify Calc'!$N$2:$N$1501,'Shopify Calc'!$L$2:$L$1501,A115)+SUMIFS('Manual Sales'!$W$2:$W$1501,'Manual Sales'!$U$2:$U$1501,A115))</f>
        <v/>
      </c>
      <c r="F115" s="11">
        <f>IF(A115="","",SUMIFS('Etsy Calc'!$O$2:$O$1501,'Etsy Calc'!$L$2:$L$1501,A115)+SUMIFS('Shopify Calc'!$O$2:$O$1501,'Shopify Calc'!$L$2:$L$1501,A115)+SUMIFS('Manual Sales'!$X$2:$X$1501,'Manual Sales'!$U$2:$U$1501,A115))</f>
        <v/>
      </c>
      <c r="G115" s="11">
        <f>IF(A115="","",IF($B$4=0,0,Settings!$B$14*C115/$B$4))</f>
        <v/>
      </c>
      <c r="H115" s="11">
        <f>IF(A115="","",C115-D115-E115-F115-G115)</f>
        <v/>
      </c>
      <c r="I115" s="11">
        <f>IF(OR(A115="",N(B115)=0),"",H115/B115)</f>
        <v/>
      </c>
      <c r="J115" s="12">
        <f>IF(OR(A115="",N(C115)=0),"",H115/C115)</f>
        <v/>
      </c>
      <c r="K115">
        <f>IF(A115="","",IF(N(B115)=0,"No sales",IF(H115&lt;0,"LOSING MONEY",IF(J115&lt;0.15,"Thin margin","Healthy"))))</f>
        <v/>
      </c>
    </row>
    <row r="116">
      <c r="A116">
        <f>IF(Products!A110="","",Products!A110)</f>
        <v/>
      </c>
      <c r="B116">
        <f>IF(A116="","",SUMIFS('Etsy Calc'!$D$2:$D$1501,'Etsy Calc'!$L$2:$L$1501,A116)+SUMIFS('Shopify Calc'!$D$2:$D$1501,'Shopify Calc'!$L$2:$L$1501,A116)+SUMIFS('Manual Sales'!$M$2:$M$1501,'Manual Sales'!$U$2:$U$1501,A116))</f>
        <v/>
      </c>
      <c r="C116" s="11">
        <f>IF(A116="","",SUMIFS('Etsy Calc'!$J$2:$J$1501,'Etsy Calc'!$L$2:$L$1501,A116)+SUMIFS('Shopify Calc'!$J$2:$J$1501,'Shopify Calc'!$L$2:$L$1501,A116)+SUMIFS('Manual Sales'!$S$2:$S$1501,'Manual Sales'!$U$2:$U$1501,A116))</f>
        <v/>
      </c>
      <c r="D116" s="11">
        <f>IF(A116="","",SUMIFS('Etsy Calc'!$M$2:$M$1501,'Etsy Calc'!$L$2:$L$1501,A116)+SUMIFS('Shopify Calc'!$M$2:$M$1501,'Shopify Calc'!$L$2:$L$1501,A116)+SUMIFS('Manual Sales'!$V$2:$V$1501,'Manual Sales'!$U$2:$U$1501,A116))</f>
        <v/>
      </c>
      <c r="E116" s="11">
        <f>IF(A116="","",SUMIFS('Etsy Calc'!$N$2:$N$1501,'Etsy Calc'!$L$2:$L$1501,A116)+SUMIFS('Shopify Calc'!$N$2:$N$1501,'Shopify Calc'!$L$2:$L$1501,A116)+SUMIFS('Manual Sales'!$W$2:$W$1501,'Manual Sales'!$U$2:$U$1501,A116))</f>
        <v/>
      </c>
      <c r="F116" s="11">
        <f>IF(A116="","",SUMIFS('Etsy Calc'!$O$2:$O$1501,'Etsy Calc'!$L$2:$L$1501,A116)+SUMIFS('Shopify Calc'!$O$2:$O$1501,'Shopify Calc'!$L$2:$L$1501,A116)+SUMIFS('Manual Sales'!$X$2:$X$1501,'Manual Sales'!$U$2:$U$1501,A116))</f>
        <v/>
      </c>
      <c r="G116" s="11">
        <f>IF(A116="","",IF($B$4=0,0,Settings!$B$14*C116/$B$4))</f>
        <v/>
      </c>
      <c r="H116" s="11">
        <f>IF(A116="","",C116-D116-E116-F116-G116)</f>
        <v/>
      </c>
      <c r="I116" s="11">
        <f>IF(OR(A116="",N(B116)=0),"",H116/B116)</f>
        <v/>
      </c>
      <c r="J116" s="12">
        <f>IF(OR(A116="",N(C116)=0),"",H116/C116)</f>
        <v/>
      </c>
      <c r="K116">
        <f>IF(A116="","",IF(N(B116)=0,"No sales",IF(H116&lt;0,"LOSING MONEY",IF(J116&lt;0.15,"Thin margin","Healthy"))))</f>
        <v/>
      </c>
    </row>
    <row r="117">
      <c r="A117">
        <f>IF(Products!A111="","",Products!A111)</f>
        <v/>
      </c>
      <c r="B117">
        <f>IF(A117="","",SUMIFS('Etsy Calc'!$D$2:$D$1501,'Etsy Calc'!$L$2:$L$1501,A117)+SUMIFS('Shopify Calc'!$D$2:$D$1501,'Shopify Calc'!$L$2:$L$1501,A117)+SUMIFS('Manual Sales'!$M$2:$M$1501,'Manual Sales'!$U$2:$U$1501,A117))</f>
        <v/>
      </c>
      <c r="C117" s="11">
        <f>IF(A117="","",SUMIFS('Etsy Calc'!$J$2:$J$1501,'Etsy Calc'!$L$2:$L$1501,A117)+SUMIFS('Shopify Calc'!$J$2:$J$1501,'Shopify Calc'!$L$2:$L$1501,A117)+SUMIFS('Manual Sales'!$S$2:$S$1501,'Manual Sales'!$U$2:$U$1501,A117))</f>
        <v/>
      </c>
      <c r="D117" s="11">
        <f>IF(A117="","",SUMIFS('Etsy Calc'!$M$2:$M$1501,'Etsy Calc'!$L$2:$L$1501,A117)+SUMIFS('Shopify Calc'!$M$2:$M$1501,'Shopify Calc'!$L$2:$L$1501,A117)+SUMIFS('Manual Sales'!$V$2:$V$1501,'Manual Sales'!$U$2:$U$1501,A117))</f>
        <v/>
      </c>
      <c r="E117" s="11">
        <f>IF(A117="","",SUMIFS('Etsy Calc'!$N$2:$N$1501,'Etsy Calc'!$L$2:$L$1501,A117)+SUMIFS('Shopify Calc'!$N$2:$N$1501,'Shopify Calc'!$L$2:$L$1501,A117)+SUMIFS('Manual Sales'!$W$2:$W$1501,'Manual Sales'!$U$2:$U$1501,A117))</f>
        <v/>
      </c>
      <c r="F117" s="11">
        <f>IF(A117="","",SUMIFS('Etsy Calc'!$O$2:$O$1501,'Etsy Calc'!$L$2:$L$1501,A117)+SUMIFS('Shopify Calc'!$O$2:$O$1501,'Shopify Calc'!$L$2:$L$1501,A117)+SUMIFS('Manual Sales'!$X$2:$X$1501,'Manual Sales'!$U$2:$U$1501,A117))</f>
        <v/>
      </c>
      <c r="G117" s="11">
        <f>IF(A117="","",IF($B$4=0,0,Settings!$B$14*C117/$B$4))</f>
        <v/>
      </c>
      <c r="H117" s="11">
        <f>IF(A117="","",C117-D117-E117-F117-G117)</f>
        <v/>
      </c>
      <c r="I117" s="11">
        <f>IF(OR(A117="",N(B117)=0),"",H117/B117)</f>
        <v/>
      </c>
      <c r="J117" s="12">
        <f>IF(OR(A117="",N(C117)=0),"",H117/C117)</f>
        <v/>
      </c>
      <c r="K117">
        <f>IF(A117="","",IF(N(B117)=0,"No sales",IF(H117&lt;0,"LOSING MONEY",IF(J117&lt;0.15,"Thin margin","Healthy"))))</f>
        <v/>
      </c>
    </row>
    <row r="118">
      <c r="A118">
        <f>IF(Products!A112="","",Products!A112)</f>
        <v/>
      </c>
      <c r="B118">
        <f>IF(A118="","",SUMIFS('Etsy Calc'!$D$2:$D$1501,'Etsy Calc'!$L$2:$L$1501,A118)+SUMIFS('Shopify Calc'!$D$2:$D$1501,'Shopify Calc'!$L$2:$L$1501,A118)+SUMIFS('Manual Sales'!$M$2:$M$1501,'Manual Sales'!$U$2:$U$1501,A118))</f>
        <v/>
      </c>
      <c r="C118" s="11">
        <f>IF(A118="","",SUMIFS('Etsy Calc'!$J$2:$J$1501,'Etsy Calc'!$L$2:$L$1501,A118)+SUMIFS('Shopify Calc'!$J$2:$J$1501,'Shopify Calc'!$L$2:$L$1501,A118)+SUMIFS('Manual Sales'!$S$2:$S$1501,'Manual Sales'!$U$2:$U$1501,A118))</f>
        <v/>
      </c>
      <c r="D118" s="11">
        <f>IF(A118="","",SUMIFS('Etsy Calc'!$M$2:$M$1501,'Etsy Calc'!$L$2:$L$1501,A118)+SUMIFS('Shopify Calc'!$M$2:$M$1501,'Shopify Calc'!$L$2:$L$1501,A118)+SUMIFS('Manual Sales'!$V$2:$V$1501,'Manual Sales'!$U$2:$U$1501,A118))</f>
        <v/>
      </c>
      <c r="E118" s="11">
        <f>IF(A118="","",SUMIFS('Etsy Calc'!$N$2:$N$1501,'Etsy Calc'!$L$2:$L$1501,A118)+SUMIFS('Shopify Calc'!$N$2:$N$1501,'Shopify Calc'!$L$2:$L$1501,A118)+SUMIFS('Manual Sales'!$W$2:$W$1501,'Manual Sales'!$U$2:$U$1501,A118))</f>
        <v/>
      </c>
      <c r="F118" s="11">
        <f>IF(A118="","",SUMIFS('Etsy Calc'!$O$2:$O$1501,'Etsy Calc'!$L$2:$L$1501,A118)+SUMIFS('Shopify Calc'!$O$2:$O$1501,'Shopify Calc'!$L$2:$L$1501,A118)+SUMIFS('Manual Sales'!$X$2:$X$1501,'Manual Sales'!$U$2:$U$1501,A118))</f>
        <v/>
      </c>
      <c r="G118" s="11">
        <f>IF(A118="","",IF($B$4=0,0,Settings!$B$14*C118/$B$4))</f>
        <v/>
      </c>
      <c r="H118" s="11">
        <f>IF(A118="","",C118-D118-E118-F118-G118)</f>
        <v/>
      </c>
      <c r="I118" s="11">
        <f>IF(OR(A118="",N(B118)=0),"",H118/B118)</f>
        <v/>
      </c>
      <c r="J118" s="12">
        <f>IF(OR(A118="",N(C118)=0),"",H118/C118)</f>
        <v/>
      </c>
      <c r="K118">
        <f>IF(A118="","",IF(N(B118)=0,"No sales",IF(H118&lt;0,"LOSING MONEY",IF(J118&lt;0.15,"Thin margin","Healthy"))))</f>
        <v/>
      </c>
    </row>
    <row r="119">
      <c r="A119">
        <f>IF(Products!A113="","",Products!A113)</f>
        <v/>
      </c>
      <c r="B119">
        <f>IF(A119="","",SUMIFS('Etsy Calc'!$D$2:$D$1501,'Etsy Calc'!$L$2:$L$1501,A119)+SUMIFS('Shopify Calc'!$D$2:$D$1501,'Shopify Calc'!$L$2:$L$1501,A119)+SUMIFS('Manual Sales'!$M$2:$M$1501,'Manual Sales'!$U$2:$U$1501,A119))</f>
        <v/>
      </c>
      <c r="C119" s="11">
        <f>IF(A119="","",SUMIFS('Etsy Calc'!$J$2:$J$1501,'Etsy Calc'!$L$2:$L$1501,A119)+SUMIFS('Shopify Calc'!$J$2:$J$1501,'Shopify Calc'!$L$2:$L$1501,A119)+SUMIFS('Manual Sales'!$S$2:$S$1501,'Manual Sales'!$U$2:$U$1501,A119))</f>
        <v/>
      </c>
      <c r="D119" s="11">
        <f>IF(A119="","",SUMIFS('Etsy Calc'!$M$2:$M$1501,'Etsy Calc'!$L$2:$L$1501,A119)+SUMIFS('Shopify Calc'!$M$2:$M$1501,'Shopify Calc'!$L$2:$L$1501,A119)+SUMIFS('Manual Sales'!$V$2:$V$1501,'Manual Sales'!$U$2:$U$1501,A119))</f>
        <v/>
      </c>
      <c r="E119" s="11">
        <f>IF(A119="","",SUMIFS('Etsy Calc'!$N$2:$N$1501,'Etsy Calc'!$L$2:$L$1501,A119)+SUMIFS('Shopify Calc'!$N$2:$N$1501,'Shopify Calc'!$L$2:$L$1501,A119)+SUMIFS('Manual Sales'!$W$2:$W$1501,'Manual Sales'!$U$2:$U$1501,A119))</f>
        <v/>
      </c>
      <c r="F119" s="11">
        <f>IF(A119="","",SUMIFS('Etsy Calc'!$O$2:$O$1501,'Etsy Calc'!$L$2:$L$1501,A119)+SUMIFS('Shopify Calc'!$O$2:$O$1501,'Shopify Calc'!$L$2:$L$1501,A119)+SUMIFS('Manual Sales'!$X$2:$X$1501,'Manual Sales'!$U$2:$U$1501,A119))</f>
        <v/>
      </c>
      <c r="G119" s="11">
        <f>IF(A119="","",IF($B$4=0,0,Settings!$B$14*C119/$B$4))</f>
        <v/>
      </c>
      <c r="H119" s="11">
        <f>IF(A119="","",C119-D119-E119-F119-G119)</f>
        <v/>
      </c>
      <c r="I119" s="11">
        <f>IF(OR(A119="",N(B119)=0),"",H119/B119)</f>
        <v/>
      </c>
      <c r="J119" s="12">
        <f>IF(OR(A119="",N(C119)=0),"",H119/C119)</f>
        <v/>
      </c>
      <c r="K119">
        <f>IF(A119="","",IF(N(B119)=0,"No sales",IF(H119&lt;0,"LOSING MONEY",IF(J119&lt;0.15,"Thin margin","Healthy"))))</f>
        <v/>
      </c>
    </row>
    <row r="120">
      <c r="A120">
        <f>IF(Products!A114="","",Products!A114)</f>
        <v/>
      </c>
      <c r="B120">
        <f>IF(A120="","",SUMIFS('Etsy Calc'!$D$2:$D$1501,'Etsy Calc'!$L$2:$L$1501,A120)+SUMIFS('Shopify Calc'!$D$2:$D$1501,'Shopify Calc'!$L$2:$L$1501,A120)+SUMIFS('Manual Sales'!$M$2:$M$1501,'Manual Sales'!$U$2:$U$1501,A120))</f>
        <v/>
      </c>
      <c r="C120" s="11">
        <f>IF(A120="","",SUMIFS('Etsy Calc'!$J$2:$J$1501,'Etsy Calc'!$L$2:$L$1501,A120)+SUMIFS('Shopify Calc'!$J$2:$J$1501,'Shopify Calc'!$L$2:$L$1501,A120)+SUMIFS('Manual Sales'!$S$2:$S$1501,'Manual Sales'!$U$2:$U$1501,A120))</f>
        <v/>
      </c>
      <c r="D120" s="11">
        <f>IF(A120="","",SUMIFS('Etsy Calc'!$M$2:$M$1501,'Etsy Calc'!$L$2:$L$1501,A120)+SUMIFS('Shopify Calc'!$M$2:$M$1501,'Shopify Calc'!$L$2:$L$1501,A120)+SUMIFS('Manual Sales'!$V$2:$V$1501,'Manual Sales'!$U$2:$U$1501,A120))</f>
        <v/>
      </c>
      <c r="E120" s="11">
        <f>IF(A120="","",SUMIFS('Etsy Calc'!$N$2:$N$1501,'Etsy Calc'!$L$2:$L$1501,A120)+SUMIFS('Shopify Calc'!$N$2:$N$1501,'Shopify Calc'!$L$2:$L$1501,A120)+SUMIFS('Manual Sales'!$W$2:$W$1501,'Manual Sales'!$U$2:$U$1501,A120))</f>
        <v/>
      </c>
      <c r="F120" s="11">
        <f>IF(A120="","",SUMIFS('Etsy Calc'!$O$2:$O$1501,'Etsy Calc'!$L$2:$L$1501,A120)+SUMIFS('Shopify Calc'!$O$2:$O$1501,'Shopify Calc'!$L$2:$L$1501,A120)+SUMIFS('Manual Sales'!$X$2:$X$1501,'Manual Sales'!$U$2:$U$1501,A120))</f>
        <v/>
      </c>
      <c r="G120" s="11">
        <f>IF(A120="","",IF($B$4=0,0,Settings!$B$14*C120/$B$4))</f>
        <v/>
      </c>
      <c r="H120" s="11">
        <f>IF(A120="","",C120-D120-E120-F120-G120)</f>
        <v/>
      </c>
      <c r="I120" s="11">
        <f>IF(OR(A120="",N(B120)=0),"",H120/B120)</f>
        <v/>
      </c>
      <c r="J120" s="12">
        <f>IF(OR(A120="",N(C120)=0),"",H120/C120)</f>
        <v/>
      </c>
      <c r="K120">
        <f>IF(A120="","",IF(N(B120)=0,"No sales",IF(H120&lt;0,"LOSING MONEY",IF(J120&lt;0.15,"Thin margin","Healthy"))))</f>
        <v/>
      </c>
    </row>
    <row r="121">
      <c r="A121">
        <f>IF(Products!A115="","",Products!A115)</f>
        <v/>
      </c>
      <c r="B121">
        <f>IF(A121="","",SUMIFS('Etsy Calc'!$D$2:$D$1501,'Etsy Calc'!$L$2:$L$1501,A121)+SUMIFS('Shopify Calc'!$D$2:$D$1501,'Shopify Calc'!$L$2:$L$1501,A121)+SUMIFS('Manual Sales'!$M$2:$M$1501,'Manual Sales'!$U$2:$U$1501,A121))</f>
        <v/>
      </c>
      <c r="C121" s="11">
        <f>IF(A121="","",SUMIFS('Etsy Calc'!$J$2:$J$1501,'Etsy Calc'!$L$2:$L$1501,A121)+SUMIFS('Shopify Calc'!$J$2:$J$1501,'Shopify Calc'!$L$2:$L$1501,A121)+SUMIFS('Manual Sales'!$S$2:$S$1501,'Manual Sales'!$U$2:$U$1501,A121))</f>
        <v/>
      </c>
      <c r="D121" s="11">
        <f>IF(A121="","",SUMIFS('Etsy Calc'!$M$2:$M$1501,'Etsy Calc'!$L$2:$L$1501,A121)+SUMIFS('Shopify Calc'!$M$2:$M$1501,'Shopify Calc'!$L$2:$L$1501,A121)+SUMIFS('Manual Sales'!$V$2:$V$1501,'Manual Sales'!$U$2:$U$1501,A121))</f>
        <v/>
      </c>
      <c r="E121" s="11">
        <f>IF(A121="","",SUMIFS('Etsy Calc'!$N$2:$N$1501,'Etsy Calc'!$L$2:$L$1501,A121)+SUMIFS('Shopify Calc'!$N$2:$N$1501,'Shopify Calc'!$L$2:$L$1501,A121)+SUMIFS('Manual Sales'!$W$2:$W$1501,'Manual Sales'!$U$2:$U$1501,A121))</f>
        <v/>
      </c>
      <c r="F121" s="11">
        <f>IF(A121="","",SUMIFS('Etsy Calc'!$O$2:$O$1501,'Etsy Calc'!$L$2:$L$1501,A121)+SUMIFS('Shopify Calc'!$O$2:$O$1501,'Shopify Calc'!$L$2:$L$1501,A121)+SUMIFS('Manual Sales'!$X$2:$X$1501,'Manual Sales'!$U$2:$U$1501,A121))</f>
        <v/>
      </c>
      <c r="G121" s="11">
        <f>IF(A121="","",IF($B$4=0,0,Settings!$B$14*C121/$B$4))</f>
        <v/>
      </c>
      <c r="H121" s="11">
        <f>IF(A121="","",C121-D121-E121-F121-G121)</f>
        <v/>
      </c>
      <c r="I121" s="11">
        <f>IF(OR(A121="",N(B121)=0),"",H121/B121)</f>
        <v/>
      </c>
      <c r="J121" s="12">
        <f>IF(OR(A121="",N(C121)=0),"",H121/C121)</f>
        <v/>
      </c>
      <c r="K121">
        <f>IF(A121="","",IF(N(B121)=0,"No sales",IF(H121&lt;0,"LOSING MONEY",IF(J121&lt;0.15,"Thin margin","Healthy"))))</f>
        <v/>
      </c>
    </row>
    <row r="122">
      <c r="A122">
        <f>IF(Products!A116="","",Products!A116)</f>
        <v/>
      </c>
      <c r="B122">
        <f>IF(A122="","",SUMIFS('Etsy Calc'!$D$2:$D$1501,'Etsy Calc'!$L$2:$L$1501,A122)+SUMIFS('Shopify Calc'!$D$2:$D$1501,'Shopify Calc'!$L$2:$L$1501,A122)+SUMIFS('Manual Sales'!$M$2:$M$1501,'Manual Sales'!$U$2:$U$1501,A122))</f>
        <v/>
      </c>
      <c r="C122" s="11">
        <f>IF(A122="","",SUMIFS('Etsy Calc'!$J$2:$J$1501,'Etsy Calc'!$L$2:$L$1501,A122)+SUMIFS('Shopify Calc'!$J$2:$J$1501,'Shopify Calc'!$L$2:$L$1501,A122)+SUMIFS('Manual Sales'!$S$2:$S$1501,'Manual Sales'!$U$2:$U$1501,A122))</f>
        <v/>
      </c>
      <c r="D122" s="11">
        <f>IF(A122="","",SUMIFS('Etsy Calc'!$M$2:$M$1501,'Etsy Calc'!$L$2:$L$1501,A122)+SUMIFS('Shopify Calc'!$M$2:$M$1501,'Shopify Calc'!$L$2:$L$1501,A122)+SUMIFS('Manual Sales'!$V$2:$V$1501,'Manual Sales'!$U$2:$U$1501,A122))</f>
        <v/>
      </c>
      <c r="E122" s="11">
        <f>IF(A122="","",SUMIFS('Etsy Calc'!$N$2:$N$1501,'Etsy Calc'!$L$2:$L$1501,A122)+SUMIFS('Shopify Calc'!$N$2:$N$1501,'Shopify Calc'!$L$2:$L$1501,A122)+SUMIFS('Manual Sales'!$W$2:$W$1501,'Manual Sales'!$U$2:$U$1501,A122))</f>
        <v/>
      </c>
      <c r="F122" s="11">
        <f>IF(A122="","",SUMIFS('Etsy Calc'!$O$2:$O$1501,'Etsy Calc'!$L$2:$L$1501,A122)+SUMIFS('Shopify Calc'!$O$2:$O$1501,'Shopify Calc'!$L$2:$L$1501,A122)+SUMIFS('Manual Sales'!$X$2:$X$1501,'Manual Sales'!$U$2:$U$1501,A122))</f>
        <v/>
      </c>
      <c r="G122" s="11">
        <f>IF(A122="","",IF($B$4=0,0,Settings!$B$14*C122/$B$4))</f>
        <v/>
      </c>
      <c r="H122" s="11">
        <f>IF(A122="","",C122-D122-E122-F122-G122)</f>
        <v/>
      </c>
      <c r="I122" s="11">
        <f>IF(OR(A122="",N(B122)=0),"",H122/B122)</f>
        <v/>
      </c>
      <c r="J122" s="12">
        <f>IF(OR(A122="",N(C122)=0),"",H122/C122)</f>
        <v/>
      </c>
      <c r="K122">
        <f>IF(A122="","",IF(N(B122)=0,"No sales",IF(H122&lt;0,"LOSING MONEY",IF(J122&lt;0.15,"Thin margin","Healthy"))))</f>
        <v/>
      </c>
    </row>
    <row r="123">
      <c r="A123">
        <f>IF(Products!A117="","",Products!A117)</f>
        <v/>
      </c>
      <c r="B123">
        <f>IF(A123="","",SUMIFS('Etsy Calc'!$D$2:$D$1501,'Etsy Calc'!$L$2:$L$1501,A123)+SUMIFS('Shopify Calc'!$D$2:$D$1501,'Shopify Calc'!$L$2:$L$1501,A123)+SUMIFS('Manual Sales'!$M$2:$M$1501,'Manual Sales'!$U$2:$U$1501,A123))</f>
        <v/>
      </c>
      <c r="C123" s="11">
        <f>IF(A123="","",SUMIFS('Etsy Calc'!$J$2:$J$1501,'Etsy Calc'!$L$2:$L$1501,A123)+SUMIFS('Shopify Calc'!$J$2:$J$1501,'Shopify Calc'!$L$2:$L$1501,A123)+SUMIFS('Manual Sales'!$S$2:$S$1501,'Manual Sales'!$U$2:$U$1501,A123))</f>
        <v/>
      </c>
      <c r="D123" s="11">
        <f>IF(A123="","",SUMIFS('Etsy Calc'!$M$2:$M$1501,'Etsy Calc'!$L$2:$L$1501,A123)+SUMIFS('Shopify Calc'!$M$2:$M$1501,'Shopify Calc'!$L$2:$L$1501,A123)+SUMIFS('Manual Sales'!$V$2:$V$1501,'Manual Sales'!$U$2:$U$1501,A123))</f>
        <v/>
      </c>
      <c r="E123" s="11">
        <f>IF(A123="","",SUMIFS('Etsy Calc'!$N$2:$N$1501,'Etsy Calc'!$L$2:$L$1501,A123)+SUMIFS('Shopify Calc'!$N$2:$N$1501,'Shopify Calc'!$L$2:$L$1501,A123)+SUMIFS('Manual Sales'!$W$2:$W$1501,'Manual Sales'!$U$2:$U$1501,A123))</f>
        <v/>
      </c>
      <c r="F123" s="11">
        <f>IF(A123="","",SUMIFS('Etsy Calc'!$O$2:$O$1501,'Etsy Calc'!$L$2:$L$1501,A123)+SUMIFS('Shopify Calc'!$O$2:$O$1501,'Shopify Calc'!$L$2:$L$1501,A123)+SUMIFS('Manual Sales'!$X$2:$X$1501,'Manual Sales'!$U$2:$U$1501,A123))</f>
        <v/>
      </c>
      <c r="G123" s="11">
        <f>IF(A123="","",IF($B$4=0,0,Settings!$B$14*C123/$B$4))</f>
        <v/>
      </c>
      <c r="H123" s="11">
        <f>IF(A123="","",C123-D123-E123-F123-G123)</f>
        <v/>
      </c>
      <c r="I123" s="11">
        <f>IF(OR(A123="",N(B123)=0),"",H123/B123)</f>
        <v/>
      </c>
      <c r="J123" s="12">
        <f>IF(OR(A123="",N(C123)=0),"",H123/C123)</f>
        <v/>
      </c>
      <c r="K123">
        <f>IF(A123="","",IF(N(B123)=0,"No sales",IF(H123&lt;0,"LOSING MONEY",IF(J123&lt;0.15,"Thin margin","Healthy"))))</f>
        <v/>
      </c>
    </row>
    <row r="124">
      <c r="A124">
        <f>IF(Products!A118="","",Products!A118)</f>
        <v/>
      </c>
      <c r="B124">
        <f>IF(A124="","",SUMIFS('Etsy Calc'!$D$2:$D$1501,'Etsy Calc'!$L$2:$L$1501,A124)+SUMIFS('Shopify Calc'!$D$2:$D$1501,'Shopify Calc'!$L$2:$L$1501,A124)+SUMIFS('Manual Sales'!$M$2:$M$1501,'Manual Sales'!$U$2:$U$1501,A124))</f>
        <v/>
      </c>
      <c r="C124" s="11">
        <f>IF(A124="","",SUMIFS('Etsy Calc'!$J$2:$J$1501,'Etsy Calc'!$L$2:$L$1501,A124)+SUMIFS('Shopify Calc'!$J$2:$J$1501,'Shopify Calc'!$L$2:$L$1501,A124)+SUMIFS('Manual Sales'!$S$2:$S$1501,'Manual Sales'!$U$2:$U$1501,A124))</f>
        <v/>
      </c>
      <c r="D124" s="11">
        <f>IF(A124="","",SUMIFS('Etsy Calc'!$M$2:$M$1501,'Etsy Calc'!$L$2:$L$1501,A124)+SUMIFS('Shopify Calc'!$M$2:$M$1501,'Shopify Calc'!$L$2:$L$1501,A124)+SUMIFS('Manual Sales'!$V$2:$V$1501,'Manual Sales'!$U$2:$U$1501,A124))</f>
        <v/>
      </c>
      <c r="E124" s="11">
        <f>IF(A124="","",SUMIFS('Etsy Calc'!$N$2:$N$1501,'Etsy Calc'!$L$2:$L$1501,A124)+SUMIFS('Shopify Calc'!$N$2:$N$1501,'Shopify Calc'!$L$2:$L$1501,A124)+SUMIFS('Manual Sales'!$W$2:$W$1501,'Manual Sales'!$U$2:$U$1501,A124))</f>
        <v/>
      </c>
      <c r="F124" s="11">
        <f>IF(A124="","",SUMIFS('Etsy Calc'!$O$2:$O$1501,'Etsy Calc'!$L$2:$L$1501,A124)+SUMIFS('Shopify Calc'!$O$2:$O$1501,'Shopify Calc'!$L$2:$L$1501,A124)+SUMIFS('Manual Sales'!$X$2:$X$1501,'Manual Sales'!$U$2:$U$1501,A124))</f>
        <v/>
      </c>
      <c r="G124" s="11">
        <f>IF(A124="","",IF($B$4=0,0,Settings!$B$14*C124/$B$4))</f>
        <v/>
      </c>
      <c r="H124" s="11">
        <f>IF(A124="","",C124-D124-E124-F124-G124)</f>
        <v/>
      </c>
      <c r="I124" s="11">
        <f>IF(OR(A124="",N(B124)=0),"",H124/B124)</f>
        <v/>
      </c>
      <c r="J124" s="12">
        <f>IF(OR(A124="",N(C124)=0),"",H124/C124)</f>
        <v/>
      </c>
      <c r="K124">
        <f>IF(A124="","",IF(N(B124)=0,"No sales",IF(H124&lt;0,"LOSING MONEY",IF(J124&lt;0.15,"Thin margin","Healthy"))))</f>
        <v/>
      </c>
    </row>
    <row r="125">
      <c r="A125">
        <f>IF(Products!A119="","",Products!A119)</f>
        <v/>
      </c>
      <c r="B125">
        <f>IF(A125="","",SUMIFS('Etsy Calc'!$D$2:$D$1501,'Etsy Calc'!$L$2:$L$1501,A125)+SUMIFS('Shopify Calc'!$D$2:$D$1501,'Shopify Calc'!$L$2:$L$1501,A125)+SUMIFS('Manual Sales'!$M$2:$M$1501,'Manual Sales'!$U$2:$U$1501,A125))</f>
        <v/>
      </c>
      <c r="C125" s="11">
        <f>IF(A125="","",SUMIFS('Etsy Calc'!$J$2:$J$1501,'Etsy Calc'!$L$2:$L$1501,A125)+SUMIFS('Shopify Calc'!$J$2:$J$1501,'Shopify Calc'!$L$2:$L$1501,A125)+SUMIFS('Manual Sales'!$S$2:$S$1501,'Manual Sales'!$U$2:$U$1501,A125))</f>
        <v/>
      </c>
      <c r="D125" s="11">
        <f>IF(A125="","",SUMIFS('Etsy Calc'!$M$2:$M$1501,'Etsy Calc'!$L$2:$L$1501,A125)+SUMIFS('Shopify Calc'!$M$2:$M$1501,'Shopify Calc'!$L$2:$L$1501,A125)+SUMIFS('Manual Sales'!$V$2:$V$1501,'Manual Sales'!$U$2:$U$1501,A125))</f>
        <v/>
      </c>
      <c r="E125" s="11">
        <f>IF(A125="","",SUMIFS('Etsy Calc'!$N$2:$N$1501,'Etsy Calc'!$L$2:$L$1501,A125)+SUMIFS('Shopify Calc'!$N$2:$N$1501,'Shopify Calc'!$L$2:$L$1501,A125)+SUMIFS('Manual Sales'!$W$2:$W$1501,'Manual Sales'!$U$2:$U$1501,A125))</f>
        <v/>
      </c>
      <c r="F125" s="11">
        <f>IF(A125="","",SUMIFS('Etsy Calc'!$O$2:$O$1501,'Etsy Calc'!$L$2:$L$1501,A125)+SUMIFS('Shopify Calc'!$O$2:$O$1501,'Shopify Calc'!$L$2:$L$1501,A125)+SUMIFS('Manual Sales'!$X$2:$X$1501,'Manual Sales'!$U$2:$U$1501,A125))</f>
        <v/>
      </c>
      <c r="G125" s="11">
        <f>IF(A125="","",IF($B$4=0,0,Settings!$B$14*C125/$B$4))</f>
        <v/>
      </c>
      <c r="H125" s="11">
        <f>IF(A125="","",C125-D125-E125-F125-G125)</f>
        <v/>
      </c>
      <c r="I125" s="11">
        <f>IF(OR(A125="",N(B125)=0),"",H125/B125)</f>
        <v/>
      </c>
      <c r="J125" s="12">
        <f>IF(OR(A125="",N(C125)=0),"",H125/C125)</f>
        <v/>
      </c>
      <c r="K125">
        <f>IF(A125="","",IF(N(B125)=0,"No sales",IF(H125&lt;0,"LOSING MONEY",IF(J125&lt;0.15,"Thin margin","Healthy"))))</f>
        <v/>
      </c>
    </row>
    <row r="126">
      <c r="A126">
        <f>IF(Products!A120="","",Products!A120)</f>
        <v/>
      </c>
      <c r="B126">
        <f>IF(A126="","",SUMIFS('Etsy Calc'!$D$2:$D$1501,'Etsy Calc'!$L$2:$L$1501,A126)+SUMIFS('Shopify Calc'!$D$2:$D$1501,'Shopify Calc'!$L$2:$L$1501,A126)+SUMIFS('Manual Sales'!$M$2:$M$1501,'Manual Sales'!$U$2:$U$1501,A126))</f>
        <v/>
      </c>
      <c r="C126" s="11">
        <f>IF(A126="","",SUMIFS('Etsy Calc'!$J$2:$J$1501,'Etsy Calc'!$L$2:$L$1501,A126)+SUMIFS('Shopify Calc'!$J$2:$J$1501,'Shopify Calc'!$L$2:$L$1501,A126)+SUMIFS('Manual Sales'!$S$2:$S$1501,'Manual Sales'!$U$2:$U$1501,A126))</f>
        <v/>
      </c>
      <c r="D126" s="11">
        <f>IF(A126="","",SUMIFS('Etsy Calc'!$M$2:$M$1501,'Etsy Calc'!$L$2:$L$1501,A126)+SUMIFS('Shopify Calc'!$M$2:$M$1501,'Shopify Calc'!$L$2:$L$1501,A126)+SUMIFS('Manual Sales'!$V$2:$V$1501,'Manual Sales'!$U$2:$U$1501,A126))</f>
        <v/>
      </c>
      <c r="E126" s="11">
        <f>IF(A126="","",SUMIFS('Etsy Calc'!$N$2:$N$1501,'Etsy Calc'!$L$2:$L$1501,A126)+SUMIFS('Shopify Calc'!$N$2:$N$1501,'Shopify Calc'!$L$2:$L$1501,A126)+SUMIFS('Manual Sales'!$W$2:$W$1501,'Manual Sales'!$U$2:$U$1501,A126))</f>
        <v/>
      </c>
      <c r="F126" s="11">
        <f>IF(A126="","",SUMIFS('Etsy Calc'!$O$2:$O$1501,'Etsy Calc'!$L$2:$L$1501,A126)+SUMIFS('Shopify Calc'!$O$2:$O$1501,'Shopify Calc'!$L$2:$L$1501,A126)+SUMIFS('Manual Sales'!$X$2:$X$1501,'Manual Sales'!$U$2:$U$1501,A126))</f>
        <v/>
      </c>
      <c r="G126" s="11">
        <f>IF(A126="","",IF($B$4=0,0,Settings!$B$14*C126/$B$4))</f>
        <v/>
      </c>
      <c r="H126" s="11">
        <f>IF(A126="","",C126-D126-E126-F126-G126)</f>
        <v/>
      </c>
      <c r="I126" s="11">
        <f>IF(OR(A126="",N(B126)=0),"",H126/B126)</f>
        <v/>
      </c>
      <c r="J126" s="12">
        <f>IF(OR(A126="",N(C126)=0),"",H126/C126)</f>
        <v/>
      </c>
      <c r="K126">
        <f>IF(A126="","",IF(N(B126)=0,"No sales",IF(H126&lt;0,"LOSING MONEY",IF(J126&lt;0.15,"Thin margin","Healthy"))))</f>
        <v/>
      </c>
    </row>
    <row r="127">
      <c r="A127">
        <f>IF(Products!A121="","",Products!A121)</f>
        <v/>
      </c>
      <c r="B127">
        <f>IF(A127="","",SUMIFS('Etsy Calc'!$D$2:$D$1501,'Etsy Calc'!$L$2:$L$1501,A127)+SUMIFS('Shopify Calc'!$D$2:$D$1501,'Shopify Calc'!$L$2:$L$1501,A127)+SUMIFS('Manual Sales'!$M$2:$M$1501,'Manual Sales'!$U$2:$U$1501,A127))</f>
        <v/>
      </c>
      <c r="C127" s="11">
        <f>IF(A127="","",SUMIFS('Etsy Calc'!$J$2:$J$1501,'Etsy Calc'!$L$2:$L$1501,A127)+SUMIFS('Shopify Calc'!$J$2:$J$1501,'Shopify Calc'!$L$2:$L$1501,A127)+SUMIFS('Manual Sales'!$S$2:$S$1501,'Manual Sales'!$U$2:$U$1501,A127))</f>
        <v/>
      </c>
      <c r="D127" s="11">
        <f>IF(A127="","",SUMIFS('Etsy Calc'!$M$2:$M$1501,'Etsy Calc'!$L$2:$L$1501,A127)+SUMIFS('Shopify Calc'!$M$2:$M$1501,'Shopify Calc'!$L$2:$L$1501,A127)+SUMIFS('Manual Sales'!$V$2:$V$1501,'Manual Sales'!$U$2:$U$1501,A127))</f>
        <v/>
      </c>
      <c r="E127" s="11">
        <f>IF(A127="","",SUMIFS('Etsy Calc'!$N$2:$N$1501,'Etsy Calc'!$L$2:$L$1501,A127)+SUMIFS('Shopify Calc'!$N$2:$N$1501,'Shopify Calc'!$L$2:$L$1501,A127)+SUMIFS('Manual Sales'!$W$2:$W$1501,'Manual Sales'!$U$2:$U$1501,A127))</f>
        <v/>
      </c>
      <c r="F127" s="11">
        <f>IF(A127="","",SUMIFS('Etsy Calc'!$O$2:$O$1501,'Etsy Calc'!$L$2:$L$1501,A127)+SUMIFS('Shopify Calc'!$O$2:$O$1501,'Shopify Calc'!$L$2:$L$1501,A127)+SUMIFS('Manual Sales'!$X$2:$X$1501,'Manual Sales'!$U$2:$U$1501,A127))</f>
        <v/>
      </c>
      <c r="G127" s="11">
        <f>IF(A127="","",IF($B$4=0,0,Settings!$B$14*C127/$B$4))</f>
        <v/>
      </c>
      <c r="H127" s="11">
        <f>IF(A127="","",C127-D127-E127-F127-G127)</f>
        <v/>
      </c>
      <c r="I127" s="11">
        <f>IF(OR(A127="",N(B127)=0),"",H127/B127)</f>
        <v/>
      </c>
      <c r="J127" s="12">
        <f>IF(OR(A127="",N(C127)=0),"",H127/C127)</f>
        <v/>
      </c>
      <c r="K127">
        <f>IF(A127="","",IF(N(B127)=0,"No sales",IF(H127&lt;0,"LOSING MONEY",IF(J127&lt;0.15,"Thin margin","Healthy"))))</f>
        <v/>
      </c>
    </row>
    <row r="128">
      <c r="A128">
        <f>IF(Products!A122="","",Products!A122)</f>
        <v/>
      </c>
      <c r="B128">
        <f>IF(A128="","",SUMIFS('Etsy Calc'!$D$2:$D$1501,'Etsy Calc'!$L$2:$L$1501,A128)+SUMIFS('Shopify Calc'!$D$2:$D$1501,'Shopify Calc'!$L$2:$L$1501,A128)+SUMIFS('Manual Sales'!$M$2:$M$1501,'Manual Sales'!$U$2:$U$1501,A128))</f>
        <v/>
      </c>
      <c r="C128" s="11">
        <f>IF(A128="","",SUMIFS('Etsy Calc'!$J$2:$J$1501,'Etsy Calc'!$L$2:$L$1501,A128)+SUMIFS('Shopify Calc'!$J$2:$J$1501,'Shopify Calc'!$L$2:$L$1501,A128)+SUMIFS('Manual Sales'!$S$2:$S$1501,'Manual Sales'!$U$2:$U$1501,A128))</f>
        <v/>
      </c>
      <c r="D128" s="11">
        <f>IF(A128="","",SUMIFS('Etsy Calc'!$M$2:$M$1501,'Etsy Calc'!$L$2:$L$1501,A128)+SUMIFS('Shopify Calc'!$M$2:$M$1501,'Shopify Calc'!$L$2:$L$1501,A128)+SUMIFS('Manual Sales'!$V$2:$V$1501,'Manual Sales'!$U$2:$U$1501,A128))</f>
        <v/>
      </c>
      <c r="E128" s="11">
        <f>IF(A128="","",SUMIFS('Etsy Calc'!$N$2:$N$1501,'Etsy Calc'!$L$2:$L$1501,A128)+SUMIFS('Shopify Calc'!$N$2:$N$1501,'Shopify Calc'!$L$2:$L$1501,A128)+SUMIFS('Manual Sales'!$W$2:$W$1501,'Manual Sales'!$U$2:$U$1501,A128))</f>
        <v/>
      </c>
      <c r="F128" s="11">
        <f>IF(A128="","",SUMIFS('Etsy Calc'!$O$2:$O$1501,'Etsy Calc'!$L$2:$L$1501,A128)+SUMIFS('Shopify Calc'!$O$2:$O$1501,'Shopify Calc'!$L$2:$L$1501,A128)+SUMIFS('Manual Sales'!$X$2:$X$1501,'Manual Sales'!$U$2:$U$1501,A128))</f>
        <v/>
      </c>
      <c r="G128" s="11">
        <f>IF(A128="","",IF($B$4=0,0,Settings!$B$14*C128/$B$4))</f>
        <v/>
      </c>
      <c r="H128" s="11">
        <f>IF(A128="","",C128-D128-E128-F128-G128)</f>
        <v/>
      </c>
      <c r="I128" s="11">
        <f>IF(OR(A128="",N(B128)=0),"",H128/B128)</f>
        <v/>
      </c>
      <c r="J128" s="12">
        <f>IF(OR(A128="",N(C128)=0),"",H128/C128)</f>
        <v/>
      </c>
      <c r="K128">
        <f>IF(A128="","",IF(N(B128)=0,"No sales",IF(H128&lt;0,"LOSING MONEY",IF(J128&lt;0.15,"Thin margin","Healthy"))))</f>
        <v/>
      </c>
    </row>
    <row r="129">
      <c r="A129">
        <f>IF(Products!A123="","",Products!A123)</f>
        <v/>
      </c>
      <c r="B129">
        <f>IF(A129="","",SUMIFS('Etsy Calc'!$D$2:$D$1501,'Etsy Calc'!$L$2:$L$1501,A129)+SUMIFS('Shopify Calc'!$D$2:$D$1501,'Shopify Calc'!$L$2:$L$1501,A129)+SUMIFS('Manual Sales'!$M$2:$M$1501,'Manual Sales'!$U$2:$U$1501,A129))</f>
        <v/>
      </c>
      <c r="C129" s="11">
        <f>IF(A129="","",SUMIFS('Etsy Calc'!$J$2:$J$1501,'Etsy Calc'!$L$2:$L$1501,A129)+SUMIFS('Shopify Calc'!$J$2:$J$1501,'Shopify Calc'!$L$2:$L$1501,A129)+SUMIFS('Manual Sales'!$S$2:$S$1501,'Manual Sales'!$U$2:$U$1501,A129))</f>
        <v/>
      </c>
      <c r="D129" s="11">
        <f>IF(A129="","",SUMIFS('Etsy Calc'!$M$2:$M$1501,'Etsy Calc'!$L$2:$L$1501,A129)+SUMIFS('Shopify Calc'!$M$2:$M$1501,'Shopify Calc'!$L$2:$L$1501,A129)+SUMIFS('Manual Sales'!$V$2:$V$1501,'Manual Sales'!$U$2:$U$1501,A129))</f>
        <v/>
      </c>
      <c r="E129" s="11">
        <f>IF(A129="","",SUMIFS('Etsy Calc'!$N$2:$N$1501,'Etsy Calc'!$L$2:$L$1501,A129)+SUMIFS('Shopify Calc'!$N$2:$N$1501,'Shopify Calc'!$L$2:$L$1501,A129)+SUMIFS('Manual Sales'!$W$2:$W$1501,'Manual Sales'!$U$2:$U$1501,A129))</f>
        <v/>
      </c>
      <c r="F129" s="11">
        <f>IF(A129="","",SUMIFS('Etsy Calc'!$O$2:$O$1501,'Etsy Calc'!$L$2:$L$1501,A129)+SUMIFS('Shopify Calc'!$O$2:$O$1501,'Shopify Calc'!$L$2:$L$1501,A129)+SUMIFS('Manual Sales'!$X$2:$X$1501,'Manual Sales'!$U$2:$U$1501,A129))</f>
        <v/>
      </c>
      <c r="G129" s="11">
        <f>IF(A129="","",IF($B$4=0,0,Settings!$B$14*C129/$B$4))</f>
        <v/>
      </c>
      <c r="H129" s="11">
        <f>IF(A129="","",C129-D129-E129-F129-G129)</f>
        <v/>
      </c>
      <c r="I129" s="11">
        <f>IF(OR(A129="",N(B129)=0),"",H129/B129)</f>
        <v/>
      </c>
      <c r="J129" s="12">
        <f>IF(OR(A129="",N(C129)=0),"",H129/C129)</f>
        <v/>
      </c>
      <c r="K129">
        <f>IF(A129="","",IF(N(B129)=0,"No sales",IF(H129&lt;0,"LOSING MONEY",IF(J129&lt;0.15,"Thin margin","Healthy"))))</f>
        <v/>
      </c>
    </row>
    <row r="130">
      <c r="A130">
        <f>IF(Products!A124="","",Products!A124)</f>
        <v/>
      </c>
      <c r="B130">
        <f>IF(A130="","",SUMIFS('Etsy Calc'!$D$2:$D$1501,'Etsy Calc'!$L$2:$L$1501,A130)+SUMIFS('Shopify Calc'!$D$2:$D$1501,'Shopify Calc'!$L$2:$L$1501,A130)+SUMIFS('Manual Sales'!$M$2:$M$1501,'Manual Sales'!$U$2:$U$1501,A130))</f>
        <v/>
      </c>
      <c r="C130" s="11">
        <f>IF(A130="","",SUMIFS('Etsy Calc'!$J$2:$J$1501,'Etsy Calc'!$L$2:$L$1501,A130)+SUMIFS('Shopify Calc'!$J$2:$J$1501,'Shopify Calc'!$L$2:$L$1501,A130)+SUMIFS('Manual Sales'!$S$2:$S$1501,'Manual Sales'!$U$2:$U$1501,A130))</f>
        <v/>
      </c>
      <c r="D130" s="11">
        <f>IF(A130="","",SUMIFS('Etsy Calc'!$M$2:$M$1501,'Etsy Calc'!$L$2:$L$1501,A130)+SUMIFS('Shopify Calc'!$M$2:$M$1501,'Shopify Calc'!$L$2:$L$1501,A130)+SUMIFS('Manual Sales'!$V$2:$V$1501,'Manual Sales'!$U$2:$U$1501,A130))</f>
        <v/>
      </c>
      <c r="E130" s="11">
        <f>IF(A130="","",SUMIFS('Etsy Calc'!$N$2:$N$1501,'Etsy Calc'!$L$2:$L$1501,A130)+SUMIFS('Shopify Calc'!$N$2:$N$1501,'Shopify Calc'!$L$2:$L$1501,A130)+SUMIFS('Manual Sales'!$W$2:$W$1501,'Manual Sales'!$U$2:$U$1501,A130))</f>
        <v/>
      </c>
      <c r="F130" s="11">
        <f>IF(A130="","",SUMIFS('Etsy Calc'!$O$2:$O$1501,'Etsy Calc'!$L$2:$L$1501,A130)+SUMIFS('Shopify Calc'!$O$2:$O$1501,'Shopify Calc'!$L$2:$L$1501,A130)+SUMIFS('Manual Sales'!$X$2:$X$1501,'Manual Sales'!$U$2:$U$1501,A130))</f>
        <v/>
      </c>
      <c r="G130" s="11">
        <f>IF(A130="","",IF($B$4=0,0,Settings!$B$14*C130/$B$4))</f>
        <v/>
      </c>
      <c r="H130" s="11">
        <f>IF(A130="","",C130-D130-E130-F130-G130)</f>
        <v/>
      </c>
      <c r="I130" s="11">
        <f>IF(OR(A130="",N(B130)=0),"",H130/B130)</f>
        <v/>
      </c>
      <c r="J130" s="12">
        <f>IF(OR(A130="",N(C130)=0),"",H130/C130)</f>
        <v/>
      </c>
      <c r="K130">
        <f>IF(A130="","",IF(N(B130)=0,"No sales",IF(H130&lt;0,"LOSING MONEY",IF(J130&lt;0.15,"Thin margin","Healthy"))))</f>
        <v/>
      </c>
    </row>
    <row r="131">
      <c r="A131">
        <f>IF(Products!A125="","",Products!A125)</f>
        <v/>
      </c>
      <c r="B131">
        <f>IF(A131="","",SUMIFS('Etsy Calc'!$D$2:$D$1501,'Etsy Calc'!$L$2:$L$1501,A131)+SUMIFS('Shopify Calc'!$D$2:$D$1501,'Shopify Calc'!$L$2:$L$1501,A131)+SUMIFS('Manual Sales'!$M$2:$M$1501,'Manual Sales'!$U$2:$U$1501,A131))</f>
        <v/>
      </c>
      <c r="C131" s="11">
        <f>IF(A131="","",SUMIFS('Etsy Calc'!$J$2:$J$1501,'Etsy Calc'!$L$2:$L$1501,A131)+SUMIFS('Shopify Calc'!$J$2:$J$1501,'Shopify Calc'!$L$2:$L$1501,A131)+SUMIFS('Manual Sales'!$S$2:$S$1501,'Manual Sales'!$U$2:$U$1501,A131))</f>
        <v/>
      </c>
      <c r="D131" s="11">
        <f>IF(A131="","",SUMIFS('Etsy Calc'!$M$2:$M$1501,'Etsy Calc'!$L$2:$L$1501,A131)+SUMIFS('Shopify Calc'!$M$2:$M$1501,'Shopify Calc'!$L$2:$L$1501,A131)+SUMIFS('Manual Sales'!$V$2:$V$1501,'Manual Sales'!$U$2:$U$1501,A131))</f>
        <v/>
      </c>
      <c r="E131" s="11">
        <f>IF(A131="","",SUMIFS('Etsy Calc'!$N$2:$N$1501,'Etsy Calc'!$L$2:$L$1501,A131)+SUMIFS('Shopify Calc'!$N$2:$N$1501,'Shopify Calc'!$L$2:$L$1501,A131)+SUMIFS('Manual Sales'!$W$2:$W$1501,'Manual Sales'!$U$2:$U$1501,A131))</f>
        <v/>
      </c>
      <c r="F131" s="11">
        <f>IF(A131="","",SUMIFS('Etsy Calc'!$O$2:$O$1501,'Etsy Calc'!$L$2:$L$1501,A131)+SUMIFS('Shopify Calc'!$O$2:$O$1501,'Shopify Calc'!$L$2:$L$1501,A131)+SUMIFS('Manual Sales'!$X$2:$X$1501,'Manual Sales'!$U$2:$U$1501,A131))</f>
        <v/>
      </c>
      <c r="G131" s="11">
        <f>IF(A131="","",IF($B$4=0,0,Settings!$B$14*C131/$B$4))</f>
        <v/>
      </c>
      <c r="H131" s="11">
        <f>IF(A131="","",C131-D131-E131-F131-G131)</f>
        <v/>
      </c>
      <c r="I131" s="11">
        <f>IF(OR(A131="",N(B131)=0),"",H131/B131)</f>
        <v/>
      </c>
      <c r="J131" s="12">
        <f>IF(OR(A131="",N(C131)=0),"",H131/C131)</f>
        <v/>
      </c>
      <c r="K131">
        <f>IF(A131="","",IF(N(B131)=0,"No sales",IF(H131&lt;0,"LOSING MONEY",IF(J131&lt;0.15,"Thin margin","Healthy"))))</f>
        <v/>
      </c>
    </row>
    <row r="132">
      <c r="A132">
        <f>IF(Products!A126="","",Products!A126)</f>
        <v/>
      </c>
      <c r="B132">
        <f>IF(A132="","",SUMIFS('Etsy Calc'!$D$2:$D$1501,'Etsy Calc'!$L$2:$L$1501,A132)+SUMIFS('Shopify Calc'!$D$2:$D$1501,'Shopify Calc'!$L$2:$L$1501,A132)+SUMIFS('Manual Sales'!$M$2:$M$1501,'Manual Sales'!$U$2:$U$1501,A132))</f>
        <v/>
      </c>
      <c r="C132" s="11">
        <f>IF(A132="","",SUMIFS('Etsy Calc'!$J$2:$J$1501,'Etsy Calc'!$L$2:$L$1501,A132)+SUMIFS('Shopify Calc'!$J$2:$J$1501,'Shopify Calc'!$L$2:$L$1501,A132)+SUMIFS('Manual Sales'!$S$2:$S$1501,'Manual Sales'!$U$2:$U$1501,A132))</f>
        <v/>
      </c>
      <c r="D132" s="11">
        <f>IF(A132="","",SUMIFS('Etsy Calc'!$M$2:$M$1501,'Etsy Calc'!$L$2:$L$1501,A132)+SUMIFS('Shopify Calc'!$M$2:$M$1501,'Shopify Calc'!$L$2:$L$1501,A132)+SUMIFS('Manual Sales'!$V$2:$V$1501,'Manual Sales'!$U$2:$U$1501,A132))</f>
        <v/>
      </c>
      <c r="E132" s="11">
        <f>IF(A132="","",SUMIFS('Etsy Calc'!$N$2:$N$1501,'Etsy Calc'!$L$2:$L$1501,A132)+SUMIFS('Shopify Calc'!$N$2:$N$1501,'Shopify Calc'!$L$2:$L$1501,A132)+SUMIFS('Manual Sales'!$W$2:$W$1501,'Manual Sales'!$U$2:$U$1501,A132))</f>
        <v/>
      </c>
      <c r="F132" s="11">
        <f>IF(A132="","",SUMIFS('Etsy Calc'!$O$2:$O$1501,'Etsy Calc'!$L$2:$L$1501,A132)+SUMIFS('Shopify Calc'!$O$2:$O$1501,'Shopify Calc'!$L$2:$L$1501,A132)+SUMIFS('Manual Sales'!$X$2:$X$1501,'Manual Sales'!$U$2:$U$1501,A132))</f>
        <v/>
      </c>
      <c r="G132" s="11">
        <f>IF(A132="","",IF($B$4=0,0,Settings!$B$14*C132/$B$4))</f>
        <v/>
      </c>
      <c r="H132" s="11">
        <f>IF(A132="","",C132-D132-E132-F132-G132)</f>
        <v/>
      </c>
      <c r="I132" s="11">
        <f>IF(OR(A132="",N(B132)=0),"",H132/B132)</f>
        <v/>
      </c>
      <c r="J132" s="12">
        <f>IF(OR(A132="",N(C132)=0),"",H132/C132)</f>
        <v/>
      </c>
      <c r="K132">
        <f>IF(A132="","",IF(N(B132)=0,"No sales",IF(H132&lt;0,"LOSING MONEY",IF(J132&lt;0.15,"Thin margin","Healthy"))))</f>
        <v/>
      </c>
    </row>
    <row r="133">
      <c r="A133">
        <f>IF(Products!A127="","",Products!A127)</f>
        <v/>
      </c>
      <c r="B133">
        <f>IF(A133="","",SUMIFS('Etsy Calc'!$D$2:$D$1501,'Etsy Calc'!$L$2:$L$1501,A133)+SUMIFS('Shopify Calc'!$D$2:$D$1501,'Shopify Calc'!$L$2:$L$1501,A133)+SUMIFS('Manual Sales'!$M$2:$M$1501,'Manual Sales'!$U$2:$U$1501,A133))</f>
        <v/>
      </c>
      <c r="C133" s="11">
        <f>IF(A133="","",SUMIFS('Etsy Calc'!$J$2:$J$1501,'Etsy Calc'!$L$2:$L$1501,A133)+SUMIFS('Shopify Calc'!$J$2:$J$1501,'Shopify Calc'!$L$2:$L$1501,A133)+SUMIFS('Manual Sales'!$S$2:$S$1501,'Manual Sales'!$U$2:$U$1501,A133))</f>
        <v/>
      </c>
      <c r="D133" s="11">
        <f>IF(A133="","",SUMIFS('Etsy Calc'!$M$2:$M$1501,'Etsy Calc'!$L$2:$L$1501,A133)+SUMIFS('Shopify Calc'!$M$2:$M$1501,'Shopify Calc'!$L$2:$L$1501,A133)+SUMIFS('Manual Sales'!$V$2:$V$1501,'Manual Sales'!$U$2:$U$1501,A133))</f>
        <v/>
      </c>
      <c r="E133" s="11">
        <f>IF(A133="","",SUMIFS('Etsy Calc'!$N$2:$N$1501,'Etsy Calc'!$L$2:$L$1501,A133)+SUMIFS('Shopify Calc'!$N$2:$N$1501,'Shopify Calc'!$L$2:$L$1501,A133)+SUMIFS('Manual Sales'!$W$2:$W$1501,'Manual Sales'!$U$2:$U$1501,A133))</f>
        <v/>
      </c>
      <c r="F133" s="11">
        <f>IF(A133="","",SUMIFS('Etsy Calc'!$O$2:$O$1501,'Etsy Calc'!$L$2:$L$1501,A133)+SUMIFS('Shopify Calc'!$O$2:$O$1501,'Shopify Calc'!$L$2:$L$1501,A133)+SUMIFS('Manual Sales'!$X$2:$X$1501,'Manual Sales'!$U$2:$U$1501,A133))</f>
        <v/>
      </c>
      <c r="G133" s="11">
        <f>IF(A133="","",IF($B$4=0,0,Settings!$B$14*C133/$B$4))</f>
        <v/>
      </c>
      <c r="H133" s="11">
        <f>IF(A133="","",C133-D133-E133-F133-G133)</f>
        <v/>
      </c>
      <c r="I133" s="11">
        <f>IF(OR(A133="",N(B133)=0),"",H133/B133)</f>
        <v/>
      </c>
      <c r="J133" s="12">
        <f>IF(OR(A133="",N(C133)=0),"",H133/C133)</f>
        <v/>
      </c>
      <c r="K133">
        <f>IF(A133="","",IF(N(B133)=0,"No sales",IF(H133&lt;0,"LOSING MONEY",IF(J133&lt;0.15,"Thin margin","Healthy"))))</f>
        <v/>
      </c>
    </row>
    <row r="134">
      <c r="A134">
        <f>IF(Products!A128="","",Products!A128)</f>
        <v/>
      </c>
      <c r="B134">
        <f>IF(A134="","",SUMIFS('Etsy Calc'!$D$2:$D$1501,'Etsy Calc'!$L$2:$L$1501,A134)+SUMIFS('Shopify Calc'!$D$2:$D$1501,'Shopify Calc'!$L$2:$L$1501,A134)+SUMIFS('Manual Sales'!$M$2:$M$1501,'Manual Sales'!$U$2:$U$1501,A134))</f>
        <v/>
      </c>
      <c r="C134" s="11">
        <f>IF(A134="","",SUMIFS('Etsy Calc'!$J$2:$J$1501,'Etsy Calc'!$L$2:$L$1501,A134)+SUMIFS('Shopify Calc'!$J$2:$J$1501,'Shopify Calc'!$L$2:$L$1501,A134)+SUMIFS('Manual Sales'!$S$2:$S$1501,'Manual Sales'!$U$2:$U$1501,A134))</f>
        <v/>
      </c>
      <c r="D134" s="11">
        <f>IF(A134="","",SUMIFS('Etsy Calc'!$M$2:$M$1501,'Etsy Calc'!$L$2:$L$1501,A134)+SUMIFS('Shopify Calc'!$M$2:$M$1501,'Shopify Calc'!$L$2:$L$1501,A134)+SUMIFS('Manual Sales'!$V$2:$V$1501,'Manual Sales'!$U$2:$U$1501,A134))</f>
        <v/>
      </c>
      <c r="E134" s="11">
        <f>IF(A134="","",SUMIFS('Etsy Calc'!$N$2:$N$1501,'Etsy Calc'!$L$2:$L$1501,A134)+SUMIFS('Shopify Calc'!$N$2:$N$1501,'Shopify Calc'!$L$2:$L$1501,A134)+SUMIFS('Manual Sales'!$W$2:$W$1501,'Manual Sales'!$U$2:$U$1501,A134))</f>
        <v/>
      </c>
      <c r="F134" s="11">
        <f>IF(A134="","",SUMIFS('Etsy Calc'!$O$2:$O$1501,'Etsy Calc'!$L$2:$L$1501,A134)+SUMIFS('Shopify Calc'!$O$2:$O$1501,'Shopify Calc'!$L$2:$L$1501,A134)+SUMIFS('Manual Sales'!$X$2:$X$1501,'Manual Sales'!$U$2:$U$1501,A134))</f>
        <v/>
      </c>
      <c r="G134" s="11">
        <f>IF(A134="","",IF($B$4=0,0,Settings!$B$14*C134/$B$4))</f>
        <v/>
      </c>
      <c r="H134" s="11">
        <f>IF(A134="","",C134-D134-E134-F134-G134)</f>
        <v/>
      </c>
      <c r="I134" s="11">
        <f>IF(OR(A134="",N(B134)=0),"",H134/B134)</f>
        <v/>
      </c>
      <c r="J134" s="12">
        <f>IF(OR(A134="",N(C134)=0),"",H134/C134)</f>
        <v/>
      </c>
      <c r="K134">
        <f>IF(A134="","",IF(N(B134)=0,"No sales",IF(H134&lt;0,"LOSING MONEY",IF(J134&lt;0.15,"Thin margin","Healthy"))))</f>
        <v/>
      </c>
    </row>
    <row r="135">
      <c r="A135">
        <f>IF(Products!A129="","",Products!A129)</f>
        <v/>
      </c>
      <c r="B135">
        <f>IF(A135="","",SUMIFS('Etsy Calc'!$D$2:$D$1501,'Etsy Calc'!$L$2:$L$1501,A135)+SUMIFS('Shopify Calc'!$D$2:$D$1501,'Shopify Calc'!$L$2:$L$1501,A135)+SUMIFS('Manual Sales'!$M$2:$M$1501,'Manual Sales'!$U$2:$U$1501,A135))</f>
        <v/>
      </c>
      <c r="C135" s="11">
        <f>IF(A135="","",SUMIFS('Etsy Calc'!$J$2:$J$1501,'Etsy Calc'!$L$2:$L$1501,A135)+SUMIFS('Shopify Calc'!$J$2:$J$1501,'Shopify Calc'!$L$2:$L$1501,A135)+SUMIFS('Manual Sales'!$S$2:$S$1501,'Manual Sales'!$U$2:$U$1501,A135))</f>
        <v/>
      </c>
      <c r="D135" s="11">
        <f>IF(A135="","",SUMIFS('Etsy Calc'!$M$2:$M$1501,'Etsy Calc'!$L$2:$L$1501,A135)+SUMIFS('Shopify Calc'!$M$2:$M$1501,'Shopify Calc'!$L$2:$L$1501,A135)+SUMIFS('Manual Sales'!$V$2:$V$1501,'Manual Sales'!$U$2:$U$1501,A135))</f>
        <v/>
      </c>
      <c r="E135" s="11">
        <f>IF(A135="","",SUMIFS('Etsy Calc'!$N$2:$N$1501,'Etsy Calc'!$L$2:$L$1501,A135)+SUMIFS('Shopify Calc'!$N$2:$N$1501,'Shopify Calc'!$L$2:$L$1501,A135)+SUMIFS('Manual Sales'!$W$2:$W$1501,'Manual Sales'!$U$2:$U$1501,A135))</f>
        <v/>
      </c>
      <c r="F135" s="11">
        <f>IF(A135="","",SUMIFS('Etsy Calc'!$O$2:$O$1501,'Etsy Calc'!$L$2:$L$1501,A135)+SUMIFS('Shopify Calc'!$O$2:$O$1501,'Shopify Calc'!$L$2:$L$1501,A135)+SUMIFS('Manual Sales'!$X$2:$X$1501,'Manual Sales'!$U$2:$U$1501,A135))</f>
        <v/>
      </c>
      <c r="G135" s="11">
        <f>IF(A135="","",IF($B$4=0,0,Settings!$B$14*C135/$B$4))</f>
        <v/>
      </c>
      <c r="H135" s="11">
        <f>IF(A135="","",C135-D135-E135-F135-G135)</f>
        <v/>
      </c>
      <c r="I135" s="11">
        <f>IF(OR(A135="",N(B135)=0),"",H135/B135)</f>
        <v/>
      </c>
      <c r="J135" s="12">
        <f>IF(OR(A135="",N(C135)=0),"",H135/C135)</f>
        <v/>
      </c>
      <c r="K135">
        <f>IF(A135="","",IF(N(B135)=0,"No sales",IF(H135&lt;0,"LOSING MONEY",IF(J135&lt;0.15,"Thin margin","Healthy"))))</f>
        <v/>
      </c>
    </row>
    <row r="136">
      <c r="A136">
        <f>IF(Products!A130="","",Products!A130)</f>
        <v/>
      </c>
      <c r="B136">
        <f>IF(A136="","",SUMIFS('Etsy Calc'!$D$2:$D$1501,'Etsy Calc'!$L$2:$L$1501,A136)+SUMIFS('Shopify Calc'!$D$2:$D$1501,'Shopify Calc'!$L$2:$L$1501,A136)+SUMIFS('Manual Sales'!$M$2:$M$1501,'Manual Sales'!$U$2:$U$1501,A136))</f>
        <v/>
      </c>
      <c r="C136" s="11">
        <f>IF(A136="","",SUMIFS('Etsy Calc'!$J$2:$J$1501,'Etsy Calc'!$L$2:$L$1501,A136)+SUMIFS('Shopify Calc'!$J$2:$J$1501,'Shopify Calc'!$L$2:$L$1501,A136)+SUMIFS('Manual Sales'!$S$2:$S$1501,'Manual Sales'!$U$2:$U$1501,A136))</f>
        <v/>
      </c>
      <c r="D136" s="11">
        <f>IF(A136="","",SUMIFS('Etsy Calc'!$M$2:$M$1501,'Etsy Calc'!$L$2:$L$1501,A136)+SUMIFS('Shopify Calc'!$M$2:$M$1501,'Shopify Calc'!$L$2:$L$1501,A136)+SUMIFS('Manual Sales'!$V$2:$V$1501,'Manual Sales'!$U$2:$U$1501,A136))</f>
        <v/>
      </c>
      <c r="E136" s="11">
        <f>IF(A136="","",SUMIFS('Etsy Calc'!$N$2:$N$1501,'Etsy Calc'!$L$2:$L$1501,A136)+SUMIFS('Shopify Calc'!$N$2:$N$1501,'Shopify Calc'!$L$2:$L$1501,A136)+SUMIFS('Manual Sales'!$W$2:$W$1501,'Manual Sales'!$U$2:$U$1501,A136))</f>
        <v/>
      </c>
      <c r="F136" s="11">
        <f>IF(A136="","",SUMIFS('Etsy Calc'!$O$2:$O$1501,'Etsy Calc'!$L$2:$L$1501,A136)+SUMIFS('Shopify Calc'!$O$2:$O$1501,'Shopify Calc'!$L$2:$L$1501,A136)+SUMIFS('Manual Sales'!$X$2:$X$1501,'Manual Sales'!$U$2:$U$1501,A136))</f>
        <v/>
      </c>
      <c r="G136" s="11">
        <f>IF(A136="","",IF($B$4=0,0,Settings!$B$14*C136/$B$4))</f>
        <v/>
      </c>
      <c r="H136" s="11">
        <f>IF(A136="","",C136-D136-E136-F136-G136)</f>
        <v/>
      </c>
      <c r="I136" s="11">
        <f>IF(OR(A136="",N(B136)=0),"",H136/B136)</f>
        <v/>
      </c>
      <c r="J136" s="12">
        <f>IF(OR(A136="",N(C136)=0),"",H136/C136)</f>
        <v/>
      </c>
      <c r="K136">
        <f>IF(A136="","",IF(N(B136)=0,"No sales",IF(H136&lt;0,"LOSING MONEY",IF(J136&lt;0.15,"Thin margin","Healthy"))))</f>
        <v/>
      </c>
    </row>
    <row r="137">
      <c r="A137">
        <f>IF(Products!A131="","",Products!A131)</f>
        <v/>
      </c>
      <c r="B137">
        <f>IF(A137="","",SUMIFS('Etsy Calc'!$D$2:$D$1501,'Etsy Calc'!$L$2:$L$1501,A137)+SUMIFS('Shopify Calc'!$D$2:$D$1501,'Shopify Calc'!$L$2:$L$1501,A137)+SUMIFS('Manual Sales'!$M$2:$M$1501,'Manual Sales'!$U$2:$U$1501,A137))</f>
        <v/>
      </c>
      <c r="C137" s="11">
        <f>IF(A137="","",SUMIFS('Etsy Calc'!$J$2:$J$1501,'Etsy Calc'!$L$2:$L$1501,A137)+SUMIFS('Shopify Calc'!$J$2:$J$1501,'Shopify Calc'!$L$2:$L$1501,A137)+SUMIFS('Manual Sales'!$S$2:$S$1501,'Manual Sales'!$U$2:$U$1501,A137))</f>
        <v/>
      </c>
      <c r="D137" s="11">
        <f>IF(A137="","",SUMIFS('Etsy Calc'!$M$2:$M$1501,'Etsy Calc'!$L$2:$L$1501,A137)+SUMIFS('Shopify Calc'!$M$2:$M$1501,'Shopify Calc'!$L$2:$L$1501,A137)+SUMIFS('Manual Sales'!$V$2:$V$1501,'Manual Sales'!$U$2:$U$1501,A137))</f>
        <v/>
      </c>
      <c r="E137" s="11">
        <f>IF(A137="","",SUMIFS('Etsy Calc'!$N$2:$N$1501,'Etsy Calc'!$L$2:$L$1501,A137)+SUMIFS('Shopify Calc'!$N$2:$N$1501,'Shopify Calc'!$L$2:$L$1501,A137)+SUMIFS('Manual Sales'!$W$2:$W$1501,'Manual Sales'!$U$2:$U$1501,A137))</f>
        <v/>
      </c>
      <c r="F137" s="11">
        <f>IF(A137="","",SUMIFS('Etsy Calc'!$O$2:$O$1501,'Etsy Calc'!$L$2:$L$1501,A137)+SUMIFS('Shopify Calc'!$O$2:$O$1501,'Shopify Calc'!$L$2:$L$1501,A137)+SUMIFS('Manual Sales'!$X$2:$X$1501,'Manual Sales'!$U$2:$U$1501,A137))</f>
        <v/>
      </c>
      <c r="G137" s="11">
        <f>IF(A137="","",IF($B$4=0,0,Settings!$B$14*C137/$B$4))</f>
        <v/>
      </c>
      <c r="H137" s="11">
        <f>IF(A137="","",C137-D137-E137-F137-G137)</f>
        <v/>
      </c>
      <c r="I137" s="11">
        <f>IF(OR(A137="",N(B137)=0),"",H137/B137)</f>
        <v/>
      </c>
      <c r="J137" s="12">
        <f>IF(OR(A137="",N(C137)=0),"",H137/C137)</f>
        <v/>
      </c>
      <c r="K137">
        <f>IF(A137="","",IF(N(B137)=0,"No sales",IF(H137&lt;0,"LOSING MONEY",IF(J137&lt;0.15,"Thin margin","Healthy"))))</f>
        <v/>
      </c>
    </row>
    <row r="138">
      <c r="A138">
        <f>IF(Products!A132="","",Products!A132)</f>
        <v/>
      </c>
      <c r="B138">
        <f>IF(A138="","",SUMIFS('Etsy Calc'!$D$2:$D$1501,'Etsy Calc'!$L$2:$L$1501,A138)+SUMIFS('Shopify Calc'!$D$2:$D$1501,'Shopify Calc'!$L$2:$L$1501,A138)+SUMIFS('Manual Sales'!$M$2:$M$1501,'Manual Sales'!$U$2:$U$1501,A138))</f>
        <v/>
      </c>
      <c r="C138" s="11">
        <f>IF(A138="","",SUMIFS('Etsy Calc'!$J$2:$J$1501,'Etsy Calc'!$L$2:$L$1501,A138)+SUMIFS('Shopify Calc'!$J$2:$J$1501,'Shopify Calc'!$L$2:$L$1501,A138)+SUMIFS('Manual Sales'!$S$2:$S$1501,'Manual Sales'!$U$2:$U$1501,A138))</f>
        <v/>
      </c>
      <c r="D138" s="11">
        <f>IF(A138="","",SUMIFS('Etsy Calc'!$M$2:$M$1501,'Etsy Calc'!$L$2:$L$1501,A138)+SUMIFS('Shopify Calc'!$M$2:$M$1501,'Shopify Calc'!$L$2:$L$1501,A138)+SUMIFS('Manual Sales'!$V$2:$V$1501,'Manual Sales'!$U$2:$U$1501,A138))</f>
        <v/>
      </c>
      <c r="E138" s="11">
        <f>IF(A138="","",SUMIFS('Etsy Calc'!$N$2:$N$1501,'Etsy Calc'!$L$2:$L$1501,A138)+SUMIFS('Shopify Calc'!$N$2:$N$1501,'Shopify Calc'!$L$2:$L$1501,A138)+SUMIFS('Manual Sales'!$W$2:$W$1501,'Manual Sales'!$U$2:$U$1501,A138))</f>
        <v/>
      </c>
      <c r="F138" s="11">
        <f>IF(A138="","",SUMIFS('Etsy Calc'!$O$2:$O$1501,'Etsy Calc'!$L$2:$L$1501,A138)+SUMIFS('Shopify Calc'!$O$2:$O$1501,'Shopify Calc'!$L$2:$L$1501,A138)+SUMIFS('Manual Sales'!$X$2:$X$1501,'Manual Sales'!$U$2:$U$1501,A138))</f>
        <v/>
      </c>
      <c r="G138" s="11">
        <f>IF(A138="","",IF($B$4=0,0,Settings!$B$14*C138/$B$4))</f>
        <v/>
      </c>
      <c r="H138" s="11">
        <f>IF(A138="","",C138-D138-E138-F138-G138)</f>
        <v/>
      </c>
      <c r="I138" s="11">
        <f>IF(OR(A138="",N(B138)=0),"",H138/B138)</f>
        <v/>
      </c>
      <c r="J138" s="12">
        <f>IF(OR(A138="",N(C138)=0),"",H138/C138)</f>
        <v/>
      </c>
      <c r="K138">
        <f>IF(A138="","",IF(N(B138)=0,"No sales",IF(H138&lt;0,"LOSING MONEY",IF(J138&lt;0.15,"Thin margin","Healthy"))))</f>
        <v/>
      </c>
    </row>
    <row r="139">
      <c r="A139">
        <f>IF(Products!A133="","",Products!A133)</f>
        <v/>
      </c>
      <c r="B139">
        <f>IF(A139="","",SUMIFS('Etsy Calc'!$D$2:$D$1501,'Etsy Calc'!$L$2:$L$1501,A139)+SUMIFS('Shopify Calc'!$D$2:$D$1501,'Shopify Calc'!$L$2:$L$1501,A139)+SUMIFS('Manual Sales'!$M$2:$M$1501,'Manual Sales'!$U$2:$U$1501,A139))</f>
        <v/>
      </c>
      <c r="C139" s="11">
        <f>IF(A139="","",SUMIFS('Etsy Calc'!$J$2:$J$1501,'Etsy Calc'!$L$2:$L$1501,A139)+SUMIFS('Shopify Calc'!$J$2:$J$1501,'Shopify Calc'!$L$2:$L$1501,A139)+SUMIFS('Manual Sales'!$S$2:$S$1501,'Manual Sales'!$U$2:$U$1501,A139))</f>
        <v/>
      </c>
      <c r="D139" s="11">
        <f>IF(A139="","",SUMIFS('Etsy Calc'!$M$2:$M$1501,'Etsy Calc'!$L$2:$L$1501,A139)+SUMIFS('Shopify Calc'!$M$2:$M$1501,'Shopify Calc'!$L$2:$L$1501,A139)+SUMIFS('Manual Sales'!$V$2:$V$1501,'Manual Sales'!$U$2:$U$1501,A139))</f>
        <v/>
      </c>
      <c r="E139" s="11">
        <f>IF(A139="","",SUMIFS('Etsy Calc'!$N$2:$N$1501,'Etsy Calc'!$L$2:$L$1501,A139)+SUMIFS('Shopify Calc'!$N$2:$N$1501,'Shopify Calc'!$L$2:$L$1501,A139)+SUMIFS('Manual Sales'!$W$2:$W$1501,'Manual Sales'!$U$2:$U$1501,A139))</f>
        <v/>
      </c>
      <c r="F139" s="11">
        <f>IF(A139="","",SUMIFS('Etsy Calc'!$O$2:$O$1501,'Etsy Calc'!$L$2:$L$1501,A139)+SUMIFS('Shopify Calc'!$O$2:$O$1501,'Shopify Calc'!$L$2:$L$1501,A139)+SUMIFS('Manual Sales'!$X$2:$X$1501,'Manual Sales'!$U$2:$U$1501,A139))</f>
        <v/>
      </c>
      <c r="G139" s="11">
        <f>IF(A139="","",IF($B$4=0,0,Settings!$B$14*C139/$B$4))</f>
        <v/>
      </c>
      <c r="H139" s="11">
        <f>IF(A139="","",C139-D139-E139-F139-G139)</f>
        <v/>
      </c>
      <c r="I139" s="11">
        <f>IF(OR(A139="",N(B139)=0),"",H139/B139)</f>
        <v/>
      </c>
      <c r="J139" s="12">
        <f>IF(OR(A139="",N(C139)=0),"",H139/C139)</f>
        <v/>
      </c>
      <c r="K139">
        <f>IF(A139="","",IF(N(B139)=0,"No sales",IF(H139&lt;0,"LOSING MONEY",IF(J139&lt;0.15,"Thin margin","Healthy"))))</f>
        <v/>
      </c>
    </row>
    <row r="140">
      <c r="A140">
        <f>IF(Products!A134="","",Products!A134)</f>
        <v/>
      </c>
      <c r="B140">
        <f>IF(A140="","",SUMIFS('Etsy Calc'!$D$2:$D$1501,'Etsy Calc'!$L$2:$L$1501,A140)+SUMIFS('Shopify Calc'!$D$2:$D$1501,'Shopify Calc'!$L$2:$L$1501,A140)+SUMIFS('Manual Sales'!$M$2:$M$1501,'Manual Sales'!$U$2:$U$1501,A140))</f>
        <v/>
      </c>
      <c r="C140" s="11">
        <f>IF(A140="","",SUMIFS('Etsy Calc'!$J$2:$J$1501,'Etsy Calc'!$L$2:$L$1501,A140)+SUMIFS('Shopify Calc'!$J$2:$J$1501,'Shopify Calc'!$L$2:$L$1501,A140)+SUMIFS('Manual Sales'!$S$2:$S$1501,'Manual Sales'!$U$2:$U$1501,A140))</f>
        <v/>
      </c>
      <c r="D140" s="11">
        <f>IF(A140="","",SUMIFS('Etsy Calc'!$M$2:$M$1501,'Etsy Calc'!$L$2:$L$1501,A140)+SUMIFS('Shopify Calc'!$M$2:$M$1501,'Shopify Calc'!$L$2:$L$1501,A140)+SUMIFS('Manual Sales'!$V$2:$V$1501,'Manual Sales'!$U$2:$U$1501,A140))</f>
        <v/>
      </c>
      <c r="E140" s="11">
        <f>IF(A140="","",SUMIFS('Etsy Calc'!$N$2:$N$1501,'Etsy Calc'!$L$2:$L$1501,A140)+SUMIFS('Shopify Calc'!$N$2:$N$1501,'Shopify Calc'!$L$2:$L$1501,A140)+SUMIFS('Manual Sales'!$W$2:$W$1501,'Manual Sales'!$U$2:$U$1501,A140))</f>
        <v/>
      </c>
      <c r="F140" s="11">
        <f>IF(A140="","",SUMIFS('Etsy Calc'!$O$2:$O$1501,'Etsy Calc'!$L$2:$L$1501,A140)+SUMIFS('Shopify Calc'!$O$2:$O$1501,'Shopify Calc'!$L$2:$L$1501,A140)+SUMIFS('Manual Sales'!$X$2:$X$1501,'Manual Sales'!$U$2:$U$1501,A140))</f>
        <v/>
      </c>
      <c r="G140" s="11">
        <f>IF(A140="","",IF($B$4=0,0,Settings!$B$14*C140/$B$4))</f>
        <v/>
      </c>
      <c r="H140" s="11">
        <f>IF(A140="","",C140-D140-E140-F140-G140)</f>
        <v/>
      </c>
      <c r="I140" s="11">
        <f>IF(OR(A140="",N(B140)=0),"",H140/B140)</f>
        <v/>
      </c>
      <c r="J140" s="12">
        <f>IF(OR(A140="",N(C140)=0),"",H140/C140)</f>
        <v/>
      </c>
      <c r="K140">
        <f>IF(A140="","",IF(N(B140)=0,"No sales",IF(H140&lt;0,"LOSING MONEY",IF(J140&lt;0.15,"Thin margin","Healthy"))))</f>
        <v/>
      </c>
    </row>
    <row r="141">
      <c r="A141">
        <f>IF(Products!A135="","",Products!A135)</f>
        <v/>
      </c>
      <c r="B141">
        <f>IF(A141="","",SUMIFS('Etsy Calc'!$D$2:$D$1501,'Etsy Calc'!$L$2:$L$1501,A141)+SUMIFS('Shopify Calc'!$D$2:$D$1501,'Shopify Calc'!$L$2:$L$1501,A141)+SUMIFS('Manual Sales'!$M$2:$M$1501,'Manual Sales'!$U$2:$U$1501,A141))</f>
        <v/>
      </c>
      <c r="C141" s="11">
        <f>IF(A141="","",SUMIFS('Etsy Calc'!$J$2:$J$1501,'Etsy Calc'!$L$2:$L$1501,A141)+SUMIFS('Shopify Calc'!$J$2:$J$1501,'Shopify Calc'!$L$2:$L$1501,A141)+SUMIFS('Manual Sales'!$S$2:$S$1501,'Manual Sales'!$U$2:$U$1501,A141))</f>
        <v/>
      </c>
      <c r="D141" s="11">
        <f>IF(A141="","",SUMIFS('Etsy Calc'!$M$2:$M$1501,'Etsy Calc'!$L$2:$L$1501,A141)+SUMIFS('Shopify Calc'!$M$2:$M$1501,'Shopify Calc'!$L$2:$L$1501,A141)+SUMIFS('Manual Sales'!$V$2:$V$1501,'Manual Sales'!$U$2:$U$1501,A141))</f>
        <v/>
      </c>
      <c r="E141" s="11">
        <f>IF(A141="","",SUMIFS('Etsy Calc'!$N$2:$N$1501,'Etsy Calc'!$L$2:$L$1501,A141)+SUMIFS('Shopify Calc'!$N$2:$N$1501,'Shopify Calc'!$L$2:$L$1501,A141)+SUMIFS('Manual Sales'!$W$2:$W$1501,'Manual Sales'!$U$2:$U$1501,A141))</f>
        <v/>
      </c>
      <c r="F141" s="11">
        <f>IF(A141="","",SUMIFS('Etsy Calc'!$O$2:$O$1501,'Etsy Calc'!$L$2:$L$1501,A141)+SUMIFS('Shopify Calc'!$O$2:$O$1501,'Shopify Calc'!$L$2:$L$1501,A141)+SUMIFS('Manual Sales'!$X$2:$X$1501,'Manual Sales'!$U$2:$U$1501,A141))</f>
        <v/>
      </c>
      <c r="G141" s="11">
        <f>IF(A141="","",IF($B$4=0,0,Settings!$B$14*C141/$B$4))</f>
        <v/>
      </c>
      <c r="H141" s="11">
        <f>IF(A141="","",C141-D141-E141-F141-G141)</f>
        <v/>
      </c>
      <c r="I141" s="11">
        <f>IF(OR(A141="",N(B141)=0),"",H141/B141)</f>
        <v/>
      </c>
      <c r="J141" s="12">
        <f>IF(OR(A141="",N(C141)=0),"",H141/C141)</f>
        <v/>
      </c>
      <c r="K141">
        <f>IF(A141="","",IF(N(B141)=0,"No sales",IF(H141&lt;0,"LOSING MONEY",IF(J141&lt;0.15,"Thin margin","Healthy"))))</f>
        <v/>
      </c>
    </row>
    <row r="142">
      <c r="A142">
        <f>IF(Products!A136="","",Products!A136)</f>
        <v/>
      </c>
      <c r="B142">
        <f>IF(A142="","",SUMIFS('Etsy Calc'!$D$2:$D$1501,'Etsy Calc'!$L$2:$L$1501,A142)+SUMIFS('Shopify Calc'!$D$2:$D$1501,'Shopify Calc'!$L$2:$L$1501,A142)+SUMIFS('Manual Sales'!$M$2:$M$1501,'Manual Sales'!$U$2:$U$1501,A142))</f>
        <v/>
      </c>
      <c r="C142" s="11">
        <f>IF(A142="","",SUMIFS('Etsy Calc'!$J$2:$J$1501,'Etsy Calc'!$L$2:$L$1501,A142)+SUMIFS('Shopify Calc'!$J$2:$J$1501,'Shopify Calc'!$L$2:$L$1501,A142)+SUMIFS('Manual Sales'!$S$2:$S$1501,'Manual Sales'!$U$2:$U$1501,A142))</f>
        <v/>
      </c>
      <c r="D142" s="11">
        <f>IF(A142="","",SUMIFS('Etsy Calc'!$M$2:$M$1501,'Etsy Calc'!$L$2:$L$1501,A142)+SUMIFS('Shopify Calc'!$M$2:$M$1501,'Shopify Calc'!$L$2:$L$1501,A142)+SUMIFS('Manual Sales'!$V$2:$V$1501,'Manual Sales'!$U$2:$U$1501,A142))</f>
        <v/>
      </c>
      <c r="E142" s="11">
        <f>IF(A142="","",SUMIFS('Etsy Calc'!$N$2:$N$1501,'Etsy Calc'!$L$2:$L$1501,A142)+SUMIFS('Shopify Calc'!$N$2:$N$1501,'Shopify Calc'!$L$2:$L$1501,A142)+SUMIFS('Manual Sales'!$W$2:$W$1501,'Manual Sales'!$U$2:$U$1501,A142))</f>
        <v/>
      </c>
      <c r="F142" s="11">
        <f>IF(A142="","",SUMIFS('Etsy Calc'!$O$2:$O$1501,'Etsy Calc'!$L$2:$L$1501,A142)+SUMIFS('Shopify Calc'!$O$2:$O$1501,'Shopify Calc'!$L$2:$L$1501,A142)+SUMIFS('Manual Sales'!$X$2:$X$1501,'Manual Sales'!$U$2:$U$1501,A142))</f>
        <v/>
      </c>
      <c r="G142" s="11">
        <f>IF(A142="","",IF($B$4=0,0,Settings!$B$14*C142/$B$4))</f>
        <v/>
      </c>
      <c r="H142" s="11">
        <f>IF(A142="","",C142-D142-E142-F142-G142)</f>
        <v/>
      </c>
      <c r="I142" s="11">
        <f>IF(OR(A142="",N(B142)=0),"",H142/B142)</f>
        <v/>
      </c>
      <c r="J142" s="12">
        <f>IF(OR(A142="",N(C142)=0),"",H142/C142)</f>
        <v/>
      </c>
      <c r="K142">
        <f>IF(A142="","",IF(N(B142)=0,"No sales",IF(H142&lt;0,"LOSING MONEY",IF(J142&lt;0.15,"Thin margin","Healthy"))))</f>
        <v/>
      </c>
    </row>
    <row r="143">
      <c r="A143">
        <f>IF(Products!A137="","",Products!A137)</f>
        <v/>
      </c>
      <c r="B143">
        <f>IF(A143="","",SUMIFS('Etsy Calc'!$D$2:$D$1501,'Etsy Calc'!$L$2:$L$1501,A143)+SUMIFS('Shopify Calc'!$D$2:$D$1501,'Shopify Calc'!$L$2:$L$1501,A143)+SUMIFS('Manual Sales'!$M$2:$M$1501,'Manual Sales'!$U$2:$U$1501,A143))</f>
        <v/>
      </c>
      <c r="C143" s="11">
        <f>IF(A143="","",SUMIFS('Etsy Calc'!$J$2:$J$1501,'Etsy Calc'!$L$2:$L$1501,A143)+SUMIFS('Shopify Calc'!$J$2:$J$1501,'Shopify Calc'!$L$2:$L$1501,A143)+SUMIFS('Manual Sales'!$S$2:$S$1501,'Manual Sales'!$U$2:$U$1501,A143))</f>
        <v/>
      </c>
      <c r="D143" s="11">
        <f>IF(A143="","",SUMIFS('Etsy Calc'!$M$2:$M$1501,'Etsy Calc'!$L$2:$L$1501,A143)+SUMIFS('Shopify Calc'!$M$2:$M$1501,'Shopify Calc'!$L$2:$L$1501,A143)+SUMIFS('Manual Sales'!$V$2:$V$1501,'Manual Sales'!$U$2:$U$1501,A143))</f>
        <v/>
      </c>
      <c r="E143" s="11">
        <f>IF(A143="","",SUMIFS('Etsy Calc'!$N$2:$N$1501,'Etsy Calc'!$L$2:$L$1501,A143)+SUMIFS('Shopify Calc'!$N$2:$N$1501,'Shopify Calc'!$L$2:$L$1501,A143)+SUMIFS('Manual Sales'!$W$2:$W$1501,'Manual Sales'!$U$2:$U$1501,A143))</f>
        <v/>
      </c>
      <c r="F143" s="11">
        <f>IF(A143="","",SUMIFS('Etsy Calc'!$O$2:$O$1501,'Etsy Calc'!$L$2:$L$1501,A143)+SUMIFS('Shopify Calc'!$O$2:$O$1501,'Shopify Calc'!$L$2:$L$1501,A143)+SUMIFS('Manual Sales'!$X$2:$X$1501,'Manual Sales'!$U$2:$U$1501,A143))</f>
        <v/>
      </c>
      <c r="G143" s="11">
        <f>IF(A143="","",IF($B$4=0,0,Settings!$B$14*C143/$B$4))</f>
        <v/>
      </c>
      <c r="H143" s="11">
        <f>IF(A143="","",C143-D143-E143-F143-G143)</f>
        <v/>
      </c>
      <c r="I143" s="11">
        <f>IF(OR(A143="",N(B143)=0),"",H143/B143)</f>
        <v/>
      </c>
      <c r="J143" s="12">
        <f>IF(OR(A143="",N(C143)=0),"",H143/C143)</f>
        <v/>
      </c>
      <c r="K143">
        <f>IF(A143="","",IF(N(B143)=0,"No sales",IF(H143&lt;0,"LOSING MONEY",IF(J143&lt;0.15,"Thin margin","Healthy"))))</f>
        <v/>
      </c>
    </row>
    <row r="144">
      <c r="A144">
        <f>IF(Products!A138="","",Products!A138)</f>
        <v/>
      </c>
      <c r="B144">
        <f>IF(A144="","",SUMIFS('Etsy Calc'!$D$2:$D$1501,'Etsy Calc'!$L$2:$L$1501,A144)+SUMIFS('Shopify Calc'!$D$2:$D$1501,'Shopify Calc'!$L$2:$L$1501,A144)+SUMIFS('Manual Sales'!$M$2:$M$1501,'Manual Sales'!$U$2:$U$1501,A144))</f>
        <v/>
      </c>
      <c r="C144" s="11">
        <f>IF(A144="","",SUMIFS('Etsy Calc'!$J$2:$J$1501,'Etsy Calc'!$L$2:$L$1501,A144)+SUMIFS('Shopify Calc'!$J$2:$J$1501,'Shopify Calc'!$L$2:$L$1501,A144)+SUMIFS('Manual Sales'!$S$2:$S$1501,'Manual Sales'!$U$2:$U$1501,A144))</f>
        <v/>
      </c>
      <c r="D144" s="11">
        <f>IF(A144="","",SUMIFS('Etsy Calc'!$M$2:$M$1501,'Etsy Calc'!$L$2:$L$1501,A144)+SUMIFS('Shopify Calc'!$M$2:$M$1501,'Shopify Calc'!$L$2:$L$1501,A144)+SUMIFS('Manual Sales'!$V$2:$V$1501,'Manual Sales'!$U$2:$U$1501,A144))</f>
        <v/>
      </c>
      <c r="E144" s="11">
        <f>IF(A144="","",SUMIFS('Etsy Calc'!$N$2:$N$1501,'Etsy Calc'!$L$2:$L$1501,A144)+SUMIFS('Shopify Calc'!$N$2:$N$1501,'Shopify Calc'!$L$2:$L$1501,A144)+SUMIFS('Manual Sales'!$W$2:$W$1501,'Manual Sales'!$U$2:$U$1501,A144))</f>
        <v/>
      </c>
      <c r="F144" s="11">
        <f>IF(A144="","",SUMIFS('Etsy Calc'!$O$2:$O$1501,'Etsy Calc'!$L$2:$L$1501,A144)+SUMIFS('Shopify Calc'!$O$2:$O$1501,'Shopify Calc'!$L$2:$L$1501,A144)+SUMIFS('Manual Sales'!$X$2:$X$1501,'Manual Sales'!$U$2:$U$1501,A144))</f>
        <v/>
      </c>
      <c r="G144" s="11">
        <f>IF(A144="","",IF($B$4=0,0,Settings!$B$14*C144/$B$4))</f>
        <v/>
      </c>
      <c r="H144" s="11">
        <f>IF(A144="","",C144-D144-E144-F144-G144)</f>
        <v/>
      </c>
      <c r="I144" s="11">
        <f>IF(OR(A144="",N(B144)=0),"",H144/B144)</f>
        <v/>
      </c>
      <c r="J144" s="12">
        <f>IF(OR(A144="",N(C144)=0),"",H144/C144)</f>
        <v/>
      </c>
      <c r="K144">
        <f>IF(A144="","",IF(N(B144)=0,"No sales",IF(H144&lt;0,"LOSING MONEY",IF(J144&lt;0.15,"Thin margin","Healthy"))))</f>
        <v/>
      </c>
    </row>
    <row r="145">
      <c r="A145">
        <f>IF(Products!A139="","",Products!A139)</f>
        <v/>
      </c>
      <c r="B145">
        <f>IF(A145="","",SUMIFS('Etsy Calc'!$D$2:$D$1501,'Etsy Calc'!$L$2:$L$1501,A145)+SUMIFS('Shopify Calc'!$D$2:$D$1501,'Shopify Calc'!$L$2:$L$1501,A145)+SUMIFS('Manual Sales'!$M$2:$M$1501,'Manual Sales'!$U$2:$U$1501,A145))</f>
        <v/>
      </c>
      <c r="C145" s="11">
        <f>IF(A145="","",SUMIFS('Etsy Calc'!$J$2:$J$1501,'Etsy Calc'!$L$2:$L$1501,A145)+SUMIFS('Shopify Calc'!$J$2:$J$1501,'Shopify Calc'!$L$2:$L$1501,A145)+SUMIFS('Manual Sales'!$S$2:$S$1501,'Manual Sales'!$U$2:$U$1501,A145))</f>
        <v/>
      </c>
      <c r="D145" s="11">
        <f>IF(A145="","",SUMIFS('Etsy Calc'!$M$2:$M$1501,'Etsy Calc'!$L$2:$L$1501,A145)+SUMIFS('Shopify Calc'!$M$2:$M$1501,'Shopify Calc'!$L$2:$L$1501,A145)+SUMIFS('Manual Sales'!$V$2:$V$1501,'Manual Sales'!$U$2:$U$1501,A145))</f>
        <v/>
      </c>
      <c r="E145" s="11">
        <f>IF(A145="","",SUMIFS('Etsy Calc'!$N$2:$N$1501,'Etsy Calc'!$L$2:$L$1501,A145)+SUMIFS('Shopify Calc'!$N$2:$N$1501,'Shopify Calc'!$L$2:$L$1501,A145)+SUMIFS('Manual Sales'!$W$2:$W$1501,'Manual Sales'!$U$2:$U$1501,A145))</f>
        <v/>
      </c>
      <c r="F145" s="11">
        <f>IF(A145="","",SUMIFS('Etsy Calc'!$O$2:$O$1501,'Etsy Calc'!$L$2:$L$1501,A145)+SUMIFS('Shopify Calc'!$O$2:$O$1501,'Shopify Calc'!$L$2:$L$1501,A145)+SUMIFS('Manual Sales'!$X$2:$X$1501,'Manual Sales'!$U$2:$U$1501,A145))</f>
        <v/>
      </c>
      <c r="G145" s="11">
        <f>IF(A145="","",IF($B$4=0,0,Settings!$B$14*C145/$B$4))</f>
        <v/>
      </c>
      <c r="H145" s="11">
        <f>IF(A145="","",C145-D145-E145-F145-G145)</f>
        <v/>
      </c>
      <c r="I145" s="11">
        <f>IF(OR(A145="",N(B145)=0),"",H145/B145)</f>
        <v/>
      </c>
      <c r="J145" s="12">
        <f>IF(OR(A145="",N(C145)=0),"",H145/C145)</f>
        <v/>
      </c>
      <c r="K145">
        <f>IF(A145="","",IF(N(B145)=0,"No sales",IF(H145&lt;0,"LOSING MONEY",IF(J145&lt;0.15,"Thin margin","Healthy"))))</f>
        <v/>
      </c>
    </row>
    <row r="146">
      <c r="A146">
        <f>IF(Products!A140="","",Products!A140)</f>
        <v/>
      </c>
      <c r="B146">
        <f>IF(A146="","",SUMIFS('Etsy Calc'!$D$2:$D$1501,'Etsy Calc'!$L$2:$L$1501,A146)+SUMIFS('Shopify Calc'!$D$2:$D$1501,'Shopify Calc'!$L$2:$L$1501,A146)+SUMIFS('Manual Sales'!$M$2:$M$1501,'Manual Sales'!$U$2:$U$1501,A146))</f>
        <v/>
      </c>
      <c r="C146" s="11">
        <f>IF(A146="","",SUMIFS('Etsy Calc'!$J$2:$J$1501,'Etsy Calc'!$L$2:$L$1501,A146)+SUMIFS('Shopify Calc'!$J$2:$J$1501,'Shopify Calc'!$L$2:$L$1501,A146)+SUMIFS('Manual Sales'!$S$2:$S$1501,'Manual Sales'!$U$2:$U$1501,A146))</f>
        <v/>
      </c>
      <c r="D146" s="11">
        <f>IF(A146="","",SUMIFS('Etsy Calc'!$M$2:$M$1501,'Etsy Calc'!$L$2:$L$1501,A146)+SUMIFS('Shopify Calc'!$M$2:$M$1501,'Shopify Calc'!$L$2:$L$1501,A146)+SUMIFS('Manual Sales'!$V$2:$V$1501,'Manual Sales'!$U$2:$U$1501,A146))</f>
        <v/>
      </c>
      <c r="E146" s="11">
        <f>IF(A146="","",SUMIFS('Etsy Calc'!$N$2:$N$1501,'Etsy Calc'!$L$2:$L$1501,A146)+SUMIFS('Shopify Calc'!$N$2:$N$1501,'Shopify Calc'!$L$2:$L$1501,A146)+SUMIFS('Manual Sales'!$W$2:$W$1501,'Manual Sales'!$U$2:$U$1501,A146))</f>
        <v/>
      </c>
      <c r="F146" s="11">
        <f>IF(A146="","",SUMIFS('Etsy Calc'!$O$2:$O$1501,'Etsy Calc'!$L$2:$L$1501,A146)+SUMIFS('Shopify Calc'!$O$2:$O$1501,'Shopify Calc'!$L$2:$L$1501,A146)+SUMIFS('Manual Sales'!$X$2:$X$1501,'Manual Sales'!$U$2:$U$1501,A146))</f>
        <v/>
      </c>
      <c r="G146" s="11">
        <f>IF(A146="","",IF($B$4=0,0,Settings!$B$14*C146/$B$4))</f>
        <v/>
      </c>
      <c r="H146" s="11">
        <f>IF(A146="","",C146-D146-E146-F146-G146)</f>
        <v/>
      </c>
      <c r="I146" s="11">
        <f>IF(OR(A146="",N(B146)=0),"",H146/B146)</f>
        <v/>
      </c>
      <c r="J146" s="12">
        <f>IF(OR(A146="",N(C146)=0),"",H146/C146)</f>
        <v/>
      </c>
      <c r="K146">
        <f>IF(A146="","",IF(N(B146)=0,"No sales",IF(H146&lt;0,"LOSING MONEY",IF(J146&lt;0.15,"Thin margin","Healthy"))))</f>
        <v/>
      </c>
    </row>
    <row r="147">
      <c r="A147">
        <f>IF(Products!A141="","",Products!A141)</f>
        <v/>
      </c>
      <c r="B147">
        <f>IF(A147="","",SUMIFS('Etsy Calc'!$D$2:$D$1501,'Etsy Calc'!$L$2:$L$1501,A147)+SUMIFS('Shopify Calc'!$D$2:$D$1501,'Shopify Calc'!$L$2:$L$1501,A147)+SUMIFS('Manual Sales'!$M$2:$M$1501,'Manual Sales'!$U$2:$U$1501,A147))</f>
        <v/>
      </c>
      <c r="C147" s="11">
        <f>IF(A147="","",SUMIFS('Etsy Calc'!$J$2:$J$1501,'Etsy Calc'!$L$2:$L$1501,A147)+SUMIFS('Shopify Calc'!$J$2:$J$1501,'Shopify Calc'!$L$2:$L$1501,A147)+SUMIFS('Manual Sales'!$S$2:$S$1501,'Manual Sales'!$U$2:$U$1501,A147))</f>
        <v/>
      </c>
      <c r="D147" s="11">
        <f>IF(A147="","",SUMIFS('Etsy Calc'!$M$2:$M$1501,'Etsy Calc'!$L$2:$L$1501,A147)+SUMIFS('Shopify Calc'!$M$2:$M$1501,'Shopify Calc'!$L$2:$L$1501,A147)+SUMIFS('Manual Sales'!$V$2:$V$1501,'Manual Sales'!$U$2:$U$1501,A147))</f>
        <v/>
      </c>
      <c r="E147" s="11">
        <f>IF(A147="","",SUMIFS('Etsy Calc'!$N$2:$N$1501,'Etsy Calc'!$L$2:$L$1501,A147)+SUMIFS('Shopify Calc'!$N$2:$N$1501,'Shopify Calc'!$L$2:$L$1501,A147)+SUMIFS('Manual Sales'!$W$2:$W$1501,'Manual Sales'!$U$2:$U$1501,A147))</f>
        <v/>
      </c>
      <c r="F147" s="11">
        <f>IF(A147="","",SUMIFS('Etsy Calc'!$O$2:$O$1501,'Etsy Calc'!$L$2:$L$1501,A147)+SUMIFS('Shopify Calc'!$O$2:$O$1501,'Shopify Calc'!$L$2:$L$1501,A147)+SUMIFS('Manual Sales'!$X$2:$X$1501,'Manual Sales'!$U$2:$U$1501,A147))</f>
        <v/>
      </c>
      <c r="G147" s="11">
        <f>IF(A147="","",IF($B$4=0,0,Settings!$B$14*C147/$B$4))</f>
        <v/>
      </c>
      <c r="H147" s="11">
        <f>IF(A147="","",C147-D147-E147-F147-G147)</f>
        <v/>
      </c>
      <c r="I147" s="11">
        <f>IF(OR(A147="",N(B147)=0),"",H147/B147)</f>
        <v/>
      </c>
      <c r="J147" s="12">
        <f>IF(OR(A147="",N(C147)=0),"",H147/C147)</f>
        <v/>
      </c>
      <c r="K147">
        <f>IF(A147="","",IF(N(B147)=0,"No sales",IF(H147&lt;0,"LOSING MONEY",IF(J147&lt;0.15,"Thin margin","Healthy"))))</f>
        <v/>
      </c>
    </row>
    <row r="148">
      <c r="A148">
        <f>IF(Products!A142="","",Products!A142)</f>
        <v/>
      </c>
      <c r="B148">
        <f>IF(A148="","",SUMIFS('Etsy Calc'!$D$2:$D$1501,'Etsy Calc'!$L$2:$L$1501,A148)+SUMIFS('Shopify Calc'!$D$2:$D$1501,'Shopify Calc'!$L$2:$L$1501,A148)+SUMIFS('Manual Sales'!$M$2:$M$1501,'Manual Sales'!$U$2:$U$1501,A148))</f>
        <v/>
      </c>
      <c r="C148" s="11">
        <f>IF(A148="","",SUMIFS('Etsy Calc'!$J$2:$J$1501,'Etsy Calc'!$L$2:$L$1501,A148)+SUMIFS('Shopify Calc'!$J$2:$J$1501,'Shopify Calc'!$L$2:$L$1501,A148)+SUMIFS('Manual Sales'!$S$2:$S$1501,'Manual Sales'!$U$2:$U$1501,A148))</f>
        <v/>
      </c>
      <c r="D148" s="11">
        <f>IF(A148="","",SUMIFS('Etsy Calc'!$M$2:$M$1501,'Etsy Calc'!$L$2:$L$1501,A148)+SUMIFS('Shopify Calc'!$M$2:$M$1501,'Shopify Calc'!$L$2:$L$1501,A148)+SUMIFS('Manual Sales'!$V$2:$V$1501,'Manual Sales'!$U$2:$U$1501,A148))</f>
        <v/>
      </c>
      <c r="E148" s="11">
        <f>IF(A148="","",SUMIFS('Etsy Calc'!$N$2:$N$1501,'Etsy Calc'!$L$2:$L$1501,A148)+SUMIFS('Shopify Calc'!$N$2:$N$1501,'Shopify Calc'!$L$2:$L$1501,A148)+SUMIFS('Manual Sales'!$W$2:$W$1501,'Manual Sales'!$U$2:$U$1501,A148))</f>
        <v/>
      </c>
      <c r="F148" s="11">
        <f>IF(A148="","",SUMIFS('Etsy Calc'!$O$2:$O$1501,'Etsy Calc'!$L$2:$L$1501,A148)+SUMIFS('Shopify Calc'!$O$2:$O$1501,'Shopify Calc'!$L$2:$L$1501,A148)+SUMIFS('Manual Sales'!$X$2:$X$1501,'Manual Sales'!$U$2:$U$1501,A148))</f>
        <v/>
      </c>
      <c r="G148" s="11">
        <f>IF(A148="","",IF($B$4=0,0,Settings!$B$14*C148/$B$4))</f>
        <v/>
      </c>
      <c r="H148" s="11">
        <f>IF(A148="","",C148-D148-E148-F148-G148)</f>
        <v/>
      </c>
      <c r="I148" s="11">
        <f>IF(OR(A148="",N(B148)=0),"",H148/B148)</f>
        <v/>
      </c>
      <c r="J148" s="12">
        <f>IF(OR(A148="",N(C148)=0),"",H148/C148)</f>
        <v/>
      </c>
      <c r="K148">
        <f>IF(A148="","",IF(N(B148)=0,"No sales",IF(H148&lt;0,"LOSING MONEY",IF(J148&lt;0.15,"Thin margin","Healthy"))))</f>
        <v/>
      </c>
    </row>
    <row r="149">
      <c r="A149">
        <f>IF(Products!A143="","",Products!A143)</f>
        <v/>
      </c>
      <c r="B149">
        <f>IF(A149="","",SUMIFS('Etsy Calc'!$D$2:$D$1501,'Etsy Calc'!$L$2:$L$1501,A149)+SUMIFS('Shopify Calc'!$D$2:$D$1501,'Shopify Calc'!$L$2:$L$1501,A149)+SUMIFS('Manual Sales'!$M$2:$M$1501,'Manual Sales'!$U$2:$U$1501,A149))</f>
        <v/>
      </c>
      <c r="C149" s="11">
        <f>IF(A149="","",SUMIFS('Etsy Calc'!$J$2:$J$1501,'Etsy Calc'!$L$2:$L$1501,A149)+SUMIFS('Shopify Calc'!$J$2:$J$1501,'Shopify Calc'!$L$2:$L$1501,A149)+SUMIFS('Manual Sales'!$S$2:$S$1501,'Manual Sales'!$U$2:$U$1501,A149))</f>
        <v/>
      </c>
      <c r="D149" s="11">
        <f>IF(A149="","",SUMIFS('Etsy Calc'!$M$2:$M$1501,'Etsy Calc'!$L$2:$L$1501,A149)+SUMIFS('Shopify Calc'!$M$2:$M$1501,'Shopify Calc'!$L$2:$L$1501,A149)+SUMIFS('Manual Sales'!$V$2:$V$1501,'Manual Sales'!$U$2:$U$1501,A149))</f>
        <v/>
      </c>
      <c r="E149" s="11">
        <f>IF(A149="","",SUMIFS('Etsy Calc'!$N$2:$N$1501,'Etsy Calc'!$L$2:$L$1501,A149)+SUMIFS('Shopify Calc'!$N$2:$N$1501,'Shopify Calc'!$L$2:$L$1501,A149)+SUMIFS('Manual Sales'!$W$2:$W$1501,'Manual Sales'!$U$2:$U$1501,A149))</f>
        <v/>
      </c>
      <c r="F149" s="11">
        <f>IF(A149="","",SUMIFS('Etsy Calc'!$O$2:$O$1501,'Etsy Calc'!$L$2:$L$1501,A149)+SUMIFS('Shopify Calc'!$O$2:$O$1501,'Shopify Calc'!$L$2:$L$1501,A149)+SUMIFS('Manual Sales'!$X$2:$X$1501,'Manual Sales'!$U$2:$U$1501,A149))</f>
        <v/>
      </c>
      <c r="G149" s="11">
        <f>IF(A149="","",IF($B$4=0,0,Settings!$B$14*C149/$B$4))</f>
        <v/>
      </c>
      <c r="H149" s="11">
        <f>IF(A149="","",C149-D149-E149-F149-G149)</f>
        <v/>
      </c>
      <c r="I149" s="11">
        <f>IF(OR(A149="",N(B149)=0),"",H149/B149)</f>
        <v/>
      </c>
      <c r="J149" s="12">
        <f>IF(OR(A149="",N(C149)=0),"",H149/C149)</f>
        <v/>
      </c>
      <c r="K149">
        <f>IF(A149="","",IF(N(B149)=0,"No sales",IF(H149&lt;0,"LOSING MONEY",IF(J149&lt;0.15,"Thin margin","Healthy"))))</f>
        <v/>
      </c>
    </row>
    <row r="150">
      <c r="A150">
        <f>IF(Products!A144="","",Products!A144)</f>
        <v/>
      </c>
      <c r="B150">
        <f>IF(A150="","",SUMIFS('Etsy Calc'!$D$2:$D$1501,'Etsy Calc'!$L$2:$L$1501,A150)+SUMIFS('Shopify Calc'!$D$2:$D$1501,'Shopify Calc'!$L$2:$L$1501,A150)+SUMIFS('Manual Sales'!$M$2:$M$1501,'Manual Sales'!$U$2:$U$1501,A150))</f>
        <v/>
      </c>
      <c r="C150" s="11">
        <f>IF(A150="","",SUMIFS('Etsy Calc'!$J$2:$J$1501,'Etsy Calc'!$L$2:$L$1501,A150)+SUMIFS('Shopify Calc'!$J$2:$J$1501,'Shopify Calc'!$L$2:$L$1501,A150)+SUMIFS('Manual Sales'!$S$2:$S$1501,'Manual Sales'!$U$2:$U$1501,A150))</f>
        <v/>
      </c>
      <c r="D150" s="11">
        <f>IF(A150="","",SUMIFS('Etsy Calc'!$M$2:$M$1501,'Etsy Calc'!$L$2:$L$1501,A150)+SUMIFS('Shopify Calc'!$M$2:$M$1501,'Shopify Calc'!$L$2:$L$1501,A150)+SUMIFS('Manual Sales'!$V$2:$V$1501,'Manual Sales'!$U$2:$U$1501,A150))</f>
        <v/>
      </c>
      <c r="E150" s="11">
        <f>IF(A150="","",SUMIFS('Etsy Calc'!$N$2:$N$1501,'Etsy Calc'!$L$2:$L$1501,A150)+SUMIFS('Shopify Calc'!$N$2:$N$1501,'Shopify Calc'!$L$2:$L$1501,A150)+SUMIFS('Manual Sales'!$W$2:$W$1501,'Manual Sales'!$U$2:$U$1501,A150))</f>
        <v/>
      </c>
      <c r="F150" s="11">
        <f>IF(A150="","",SUMIFS('Etsy Calc'!$O$2:$O$1501,'Etsy Calc'!$L$2:$L$1501,A150)+SUMIFS('Shopify Calc'!$O$2:$O$1501,'Shopify Calc'!$L$2:$L$1501,A150)+SUMIFS('Manual Sales'!$X$2:$X$1501,'Manual Sales'!$U$2:$U$1501,A150))</f>
        <v/>
      </c>
      <c r="G150" s="11">
        <f>IF(A150="","",IF($B$4=0,0,Settings!$B$14*C150/$B$4))</f>
        <v/>
      </c>
      <c r="H150" s="11">
        <f>IF(A150="","",C150-D150-E150-F150-G150)</f>
        <v/>
      </c>
      <c r="I150" s="11">
        <f>IF(OR(A150="",N(B150)=0),"",H150/B150)</f>
        <v/>
      </c>
      <c r="J150" s="12">
        <f>IF(OR(A150="",N(C150)=0),"",H150/C150)</f>
        <v/>
      </c>
      <c r="K150">
        <f>IF(A150="","",IF(N(B150)=0,"No sales",IF(H150&lt;0,"LOSING MONEY",IF(J150&lt;0.15,"Thin margin","Healthy"))))</f>
        <v/>
      </c>
    </row>
    <row r="151">
      <c r="A151">
        <f>IF(Products!A145="","",Products!A145)</f>
        <v/>
      </c>
      <c r="B151">
        <f>IF(A151="","",SUMIFS('Etsy Calc'!$D$2:$D$1501,'Etsy Calc'!$L$2:$L$1501,A151)+SUMIFS('Shopify Calc'!$D$2:$D$1501,'Shopify Calc'!$L$2:$L$1501,A151)+SUMIFS('Manual Sales'!$M$2:$M$1501,'Manual Sales'!$U$2:$U$1501,A151))</f>
        <v/>
      </c>
      <c r="C151" s="11">
        <f>IF(A151="","",SUMIFS('Etsy Calc'!$J$2:$J$1501,'Etsy Calc'!$L$2:$L$1501,A151)+SUMIFS('Shopify Calc'!$J$2:$J$1501,'Shopify Calc'!$L$2:$L$1501,A151)+SUMIFS('Manual Sales'!$S$2:$S$1501,'Manual Sales'!$U$2:$U$1501,A151))</f>
        <v/>
      </c>
      <c r="D151" s="11">
        <f>IF(A151="","",SUMIFS('Etsy Calc'!$M$2:$M$1501,'Etsy Calc'!$L$2:$L$1501,A151)+SUMIFS('Shopify Calc'!$M$2:$M$1501,'Shopify Calc'!$L$2:$L$1501,A151)+SUMIFS('Manual Sales'!$V$2:$V$1501,'Manual Sales'!$U$2:$U$1501,A151))</f>
        <v/>
      </c>
      <c r="E151" s="11">
        <f>IF(A151="","",SUMIFS('Etsy Calc'!$N$2:$N$1501,'Etsy Calc'!$L$2:$L$1501,A151)+SUMIFS('Shopify Calc'!$N$2:$N$1501,'Shopify Calc'!$L$2:$L$1501,A151)+SUMIFS('Manual Sales'!$W$2:$W$1501,'Manual Sales'!$U$2:$U$1501,A151))</f>
        <v/>
      </c>
      <c r="F151" s="11">
        <f>IF(A151="","",SUMIFS('Etsy Calc'!$O$2:$O$1501,'Etsy Calc'!$L$2:$L$1501,A151)+SUMIFS('Shopify Calc'!$O$2:$O$1501,'Shopify Calc'!$L$2:$L$1501,A151)+SUMIFS('Manual Sales'!$X$2:$X$1501,'Manual Sales'!$U$2:$U$1501,A151))</f>
        <v/>
      </c>
      <c r="G151" s="11">
        <f>IF(A151="","",IF($B$4=0,0,Settings!$B$14*C151/$B$4))</f>
        <v/>
      </c>
      <c r="H151" s="11">
        <f>IF(A151="","",C151-D151-E151-F151-G151)</f>
        <v/>
      </c>
      <c r="I151" s="11">
        <f>IF(OR(A151="",N(B151)=0),"",H151/B151)</f>
        <v/>
      </c>
      <c r="J151" s="12">
        <f>IF(OR(A151="",N(C151)=0),"",H151/C151)</f>
        <v/>
      </c>
      <c r="K151">
        <f>IF(A151="","",IF(N(B151)=0,"No sales",IF(H151&lt;0,"LOSING MONEY",IF(J151&lt;0.15,"Thin margin","Healthy"))))</f>
        <v/>
      </c>
    </row>
    <row r="152">
      <c r="A152">
        <f>IF(Products!A146="","",Products!A146)</f>
        <v/>
      </c>
      <c r="B152">
        <f>IF(A152="","",SUMIFS('Etsy Calc'!$D$2:$D$1501,'Etsy Calc'!$L$2:$L$1501,A152)+SUMIFS('Shopify Calc'!$D$2:$D$1501,'Shopify Calc'!$L$2:$L$1501,A152)+SUMIFS('Manual Sales'!$M$2:$M$1501,'Manual Sales'!$U$2:$U$1501,A152))</f>
        <v/>
      </c>
      <c r="C152" s="11">
        <f>IF(A152="","",SUMIFS('Etsy Calc'!$J$2:$J$1501,'Etsy Calc'!$L$2:$L$1501,A152)+SUMIFS('Shopify Calc'!$J$2:$J$1501,'Shopify Calc'!$L$2:$L$1501,A152)+SUMIFS('Manual Sales'!$S$2:$S$1501,'Manual Sales'!$U$2:$U$1501,A152))</f>
        <v/>
      </c>
      <c r="D152" s="11">
        <f>IF(A152="","",SUMIFS('Etsy Calc'!$M$2:$M$1501,'Etsy Calc'!$L$2:$L$1501,A152)+SUMIFS('Shopify Calc'!$M$2:$M$1501,'Shopify Calc'!$L$2:$L$1501,A152)+SUMIFS('Manual Sales'!$V$2:$V$1501,'Manual Sales'!$U$2:$U$1501,A152))</f>
        <v/>
      </c>
      <c r="E152" s="11">
        <f>IF(A152="","",SUMIFS('Etsy Calc'!$N$2:$N$1501,'Etsy Calc'!$L$2:$L$1501,A152)+SUMIFS('Shopify Calc'!$N$2:$N$1501,'Shopify Calc'!$L$2:$L$1501,A152)+SUMIFS('Manual Sales'!$W$2:$W$1501,'Manual Sales'!$U$2:$U$1501,A152))</f>
        <v/>
      </c>
      <c r="F152" s="11">
        <f>IF(A152="","",SUMIFS('Etsy Calc'!$O$2:$O$1501,'Etsy Calc'!$L$2:$L$1501,A152)+SUMIFS('Shopify Calc'!$O$2:$O$1501,'Shopify Calc'!$L$2:$L$1501,A152)+SUMIFS('Manual Sales'!$X$2:$X$1501,'Manual Sales'!$U$2:$U$1501,A152))</f>
        <v/>
      </c>
      <c r="G152" s="11">
        <f>IF(A152="","",IF($B$4=0,0,Settings!$B$14*C152/$B$4))</f>
        <v/>
      </c>
      <c r="H152" s="11">
        <f>IF(A152="","",C152-D152-E152-F152-G152)</f>
        <v/>
      </c>
      <c r="I152" s="11">
        <f>IF(OR(A152="",N(B152)=0),"",H152/B152)</f>
        <v/>
      </c>
      <c r="J152" s="12">
        <f>IF(OR(A152="",N(C152)=0),"",H152/C152)</f>
        <v/>
      </c>
      <c r="K152">
        <f>IF(A152="","",IF(N(B152)=0,"No sales",IF(H152&lt;0,"LOSING MONEY",IF(J152&lt;0.15,"Thin margin","Healthy"))))</f>
        <v/>
      </c>
    </row>
    <row r="153">
      <c r="A153">
        <f>IF(Products!A147="","",Products!A147)</f>
        <v/>
      </c>
      <c r="B153">
        <f>IF(A153="","",SUMIFS('Etsy Calc'!$D$2:$D$1501,'Etsy Calc'!$L$2:$L$1501,A153)+SUMIFS('Shopify Calc'!$D$2:$D$1501,'Shopify Calc'!$L$2:$L$1501,A153)+SUMIFS('Manual Sales'!$M$2:$M$1501,'Manual Sales'!$U$2:$U$1501,A153))</f>
        <v/>
      </c>
      <c r="C153" s="11">
        <f>IF(A153="","",SUMIFS('Etsy Calc'!$J$2:$J$1501,'Etsy Calc'!$L$2:$L$1501,A153)+SUMIFS('Shopify Calc'!$J$2:$J$1501,'Shopify Calc'!$L$2:$L$1501,A153)+SUMIFS('Manual Sales'!$S$2:$S$1501,'Manual Sales'!$U$2:$U$1501,A153))</f>
        <v/>
      </c>
      <c r="D153" s="11">
        <f>IF(A153="","",SUMIFS('Etsy Calc'!$M$2:$M$1501,'Etsy Calc'!$L$2:$L$1501,A153)+SUMIFS('Shopify Calc'!$M$2:$M$1501,'Shopify Calc'!$L$2:$L$1501,A153)+SUMIFS('Manual Sales'!$V$2:$V$1501,'Manual Sales'!$U$2:$U$1501,A153))</f>
        <v/>
      </c>
      <c r="E153" s="11">
        <f>IF(A153="","",SUMIFS('Etsy Calc'!$N$2:$N$1501,'Etsy Calc'!$L$2:$L$1501,A153)+SUMIFS('Shopify Calc'!$N$2:$N$1501,'Shopify Calc'!$L$2:$L$1501,A153)+SUMIFS('Manual Sales'!$W$2:$W$1501,'Manual Sales'!$U$2:$U$1501,A153))</f>
        <v/>
      </c>
      <c r="F153" s="11">
        <f>IF(A153="","",SUMIFS('Etsy Calc'!$O$2:$O$1501,'Etsy Calc'!$L$2:$L$1501,A153)+SUMIFS('Shopify Calc'!$O$2:$O$1501,'Shopify Calc'!$L$2:$L$1501,A153)+SUMIFS('Manual Sales'!$X$2:$X$1501,'Manual Sales'!$U$2:$U$1501,A153))</f>
        <v/>
      </c>
      <c r="G153" s="11">
        <f>IF(A153="","",IF($B$4=0,0,Settings!$B$14*C153/$B$4))</f>
        <v/>
      </c>
      <c r="H153" s="11">
        <f>IF(A153="","",C153-D153-E153-F153-G153)</f>
        <v/>
      </c>
      <c r="I153" s="11">
        <f>IF(OR(A153="",N(B153)=0),"",H153/B153)</f>
        <v/>
      </c>
      <c r="J153" s="12">
        <f>IF(OR(A153="",N(C153)=0),"",H153/C153)</f>
        <v/>
      </c>
      <c r="K153">
        <f>IF(A153="","",IF(N(B153)=0,"No sales",IF(H153&lt;0,"LOSING MONEY",IF(J153&lt;0.15,"Thin margin","Healthy"))))</f>
        <v/>
      </c>
    </row>
    <row r="154">
      <c r="A154">
        <f>IF(Products!A148="","",Products!A148)</f>
        <v/>
      </c>
      <c r="B154">
        <f>IF(A154="","",SUMIFS('Etsy Calc'!$D$2:$D$1501,'Etsy Calc'!$L$2:$L$1501,A154)+SUMIFS('Shopify Calc'!$D$2:$D$1501,'Shopify Calc'!$L$2:$L$1501,A154)+SUMIFS('Manual Sales'!$M$2:$M$1501,'Manual Sales'!$U$2:$U$1501,A154))</f>
        <v/>
      </c>
      <c r="C154" s="11">
        <f>IF(A154="","",SUMIFS('Etsy Calc'!$J$2:$J$1501,'Etsy Calc'!$L$2:$L$1501,A154)+SUMIFS('Shopify Calc'!$J$2:$J$1501,'Shopify Calc'!$L$2:$L$1501,A154)+SUMIFS('Manual Sales'!$S$2:$S$1501,'Manual Sales'!$U$2:$U$1501,A154))</f>
        <v/>
      </c>
      <c r="D154" s="11">
        <f>IF(A154="","",SUMIFS('Etsy Calc'!$M$2:$M$1501,'Etsy Calc'!$L$2:$L$1501,A154)+SUMIFS('Shopify Calc'!$M$2:$M$1501,'Shopify Calc'!$L$2:$L$1501,A154)+SUMIFS('Manual Sales'!$V$2:$V$1501,'Manual Sales'!$U$2:$U$1501,A154))</f>
        <v/>
      </c>
      <c r="E154" s="11">
        <f>IF(A154="","",SUMIFS('Etsy Calc'!$N$2:$N$1501,'Etsy Calc'!$L$2:$L$1501,A154)+SUMIFS('Shopify Calc'!$N$2:$N$1501,'Shopify Calc'!$L$2:$L$1501,A154)+SUMIFS('Manual Sales'!$W$2:$W$1501,'Manual Sales'!$U$2:$U$1501,A154))</f>
        <v/>
      </c>
      <c r="F154" s="11">
        <f>IF(A154="","",SUMIFS('Etsy Calc'!$O$2:$O$1501,'Etsy Calc'!$L$2:$L$1501,A154)+SUMIFS('Shopify Calc'!$O$2:$O$1501,'Shopify Calc'!$L$2:$L$1501,A154)+SUMIFS('Manual Sales'!$X$2:$X$1501,'Manual Sales'!$U$2:$U$1501,A154))</f>
        <v/>
      </c>
      <c r="G154" s="11">
        <f>IF(A154="","",IF($B$4=0,0,Settings!$B$14*C154/$B$4))</f>
        <v/>
      </c>
      <c r="H154" s="11">
        <f>IF(A154="","",C154-D154-E154-F154-G154)</f>
        <v/>
      </c>
      <c r="I154" s="11">
        <f>IF(OR(A154="",N(B154)=0),"",H154/B154)</f>
        <v/>
      </c>
      <c r="J154" s="12">
        <f>IF(OR(A154="",N(C154)=0),"",H154/C154)</f>
        <v/>
      </c>
      <c r="K154">
        <f>IF(A154="","",IF(N(B154)=0,"No sales",IF(H154&lt;0,"LOSING MONEY",IF(J154&lt;0.15,"Thin margin","Healthy"))))</f>
        <v/>
      </c>
    </row>
    <row r="155">
      <c r="A155">
        <f>IF(Products!A149="","",Products!A149)</f>
        <v/>
      </c>
      <c r="B155">
        <f>IF(A155="","",SUMIFS('Etsy Calc'!$D$2:$D$1501,'Etsy Calc'!$L$2:$L$1501,A155)+SUMIFS('Shopify Calc'!$D$2:$D$1501,'Shopify Calc'!$L$2:$L$1501,A155)+SUMIFS('Manual Sales'!$M$2:$M$1501,'Manual Sales'!$U$2:$U$1501,A155))</f>
        <v/>
      </c>
      <c r="C155" s="11">
        <f>IF(A155="","",SUMIFS('Etsy Calc'!$J$2:$J$1501,'Etsy Calc'!$L$2:$L$1501,A155)+SUMIFS('Shopify Calc'!$J$2:$J$1501,'Shopify Calc'!$L$2:$L$1501,A155)+SUMIFS('Manual Sales'!$S$2:$S$1501,'Manual Sales'!$U$2:$U$1501,A155))</f>
        <v/>
      </c>
      <c r="D155" s="11">
        <f>IF(A155="","",SUMIFS('Etsy Calc'!$M$2:$M$1501,'Etsy Calc'!$L$2:$L$1501,A155)+SUMIFS('Shopify Calc'!$M$2:$M$1501,'Shopify Calc'!$L$2:$L$1501,A155)+SUMIFS('Manual Sales'!$V$2:$V$1501,'Manual Sales'!$U$2:$U$1501,A155))</f>
        <v/>
      </c>
      <c r="E155" s="11">
        <f>IF(A155="","",SUMIFS('Etsy Calc'!$N$2:$N$1501,'Etsy Calc'!$L$2:$L$1501,A155)+SUMIFS('Shopify Calc'!$N$2:$N$1501,'Shopify Calc'!$L$2:$L$1501,A155)+SUMIFS('Manual Sales'!$W$2:$W$1501,'Manual Sales'!$U$2:$U$1501,A155))</f>
        <v/>
      </c>
      <c r="F155" s="11">
        <f>IF(A155="","",SUMIFS('Etsy Calc'!$O$2:$O$1501,'Etsy Calc'!$L$2:$L$1501,A155)+SUMIFS('Shopify Calc'!$O$2:$O$1501,'Shopify Calc'!$L$2:$L$1501,A155)+SUMIFS('Manual Sales'!$X$2:$X$1501,'Manual Sales'!$U$2:$U$1501,A155))</f>
        <v/>
      </c>
      <c r="G155" s="11">
        <f>IF(A155="","",IF($B$4=0,0,Settings!$B$14*C155/$B$4))</f>
        <v/>
      </c>
      <c r="H155" s="11">
        <f>IF(A155="","",C155-D155-E155-F155-G155)</f>
        <v/>
      </c>
      <c r="I155" s="11">
        <f>IF(OR(A155="",N(B155)=0),"",H155/B155)</f>
        <v/>
      </c>
      <c r="J155" s="12">
        <f>IF(OR(A155="",N(C155)=0),"",H155/C155)</f>
        <v/>
      </c>
      <c r="K155">
        <f>IF(A155="","",IF(N(B155)=0,"No sales",IF(H155&lt;0,"LOSING MONEY",IF(J155&lt;0.15,"Thin margin","Healthy"))))</f>
        <v/>
      </c>
    </row>
    <row r="156">
      <c r="A156">
        <f>IF(Products!A150="","",Products!A150)</f>
        <v/>
      </c>
      <c r="B156">
        <f>IF(A156="","",SUMIFS('Etsy Calc'!$D$2:$D$1501,'Etsy Calc'!$L$2:$L$1501,A156)+SUMIFS('Shopify Calc'!$D$2:$D$1501,'Shopify Calc'!$L$2:$L$1501,A156)+SUMIFS('Manual Sales'!$M$2:$M$1501,'Manual Sales'!$U$2:$U$1501,A156))</f>
        <v/>
      </c>
      <c r="C156" s="11">
        <f>IF(A156="","",SUMIFS('Etsy Calc'!$J$2:$J$1501,'Etsy Calc'!$L$2:$L$1501,A156)+SUMIFS('Shopify Calc'!$J$2:$J$1501,'Shopify Calc'!$L$2:$L$1501,A156)+SUMIFS('Manual Sales'!$S$2:$S$1501,'Manual Sales'!$U$2:$U$1501,A156))</f>
        <v/>
      </c>
      <c r="D156" s="11">
        <f>IF(A156="","",SUMIFS('Etsy Calc'!$M$2:$M$1501,'Etsy Calc'!$L$2:$L$1501,A156)+SUMIFS('Shopify Calc'!$M$2:$M$1501,'Shopify Calc'!$L$2:$L$1501,A156)+SUMIFS('Manual Sales'!$V$2:$V$1501,'Manual Sales'!$U$2:$U$1501,A156))</f>
        <v/>
      </c>
      <c r="E156" s="11">
        <f>IF(A156="","",SUMIFS('Etsy Calc'!$N$2:$N$1501,'Etsy Calc'!$L$2:$L$1501,A156)+SUMIFS('Shopify Calc'!$N$2:$N$1501,'Shopify Calc'!$L$2:$L$1501,A156)+SUMIFS('Manual Sales'!$W$2:$W$1501,'Manual Sales'!$U$2:$U$1501,A156))</f>
        <v/>
      </c>
      <c r="F156" s="11">
        <f>IF(A156="","",SUMIFS('Etsy Calc'!$O$2:$O$1501,'Etsy Calc'!$L$2:$L$1501,A156)+SUMIFS('Shopify Calc'!$O$2:$O$1501,'Shopify Calc'!$L$2:$L$1501,A156)+SUMIFS('Manual Sales'!$X$2:$X$1501,'Manual Sales'!$U$2:$U$1501,A156))</f>
        <v/>
      </c>
      <c r="G156" s="11">
        <f>IF(A156="","",IF($B$4=0,0,Settings!$B$14*C156/$B$4))</f>
        <v/>
      </c>
      <c r="H156" s="11">
        <f>IF(A156="","",C156-D156-E156-F156-G156)</f>
        <v/>
      </c>
      <c r="I156" s="11">
        <f>IF(OR(A156="",N(B156)=0),"",H156/B156)</f>
        <v/>
      </c>
      <c r="J156" s="12">
        <f>IF(OR(A156="",N(C156)=0),"",H156/C156)</f>
        <v/>
      </c>
      <c r="K156">
        <f>IF(A156="","",IF(N(B156)=0,"No sales",IF(H156&lt;0,"LOSING MONEY",IF(J156&lt;0.15,"Thin margin","Healthy"))))</f>
        <v/>
      </c>
    </row>
    <row r="157">
      <c r="A157">
        <f>IF(Products!A151="","",Products!A151)</f>
        <v/>
      </c>
      <c r="B157">
        <f>IF(A157="","",SUMIFS('Etsy Calc'!$D$2:$D$1501,'Etsy Calc'!$L$2:$L$1501,A157)+SUMIFS('Shopify Calc'!$D$2:$D$1501,'Shopify Calc'!$L$2:$L$1501,A157)+SUMIFS('Manual Sales'!$M$2:$M$1501,'Manual Sales'!$U$2:$U$1501,A157))</f>
        <v/>
      </c>
      <c r="C157" s="11">
        <f>IF(A157="","",SUMIFS('Etsy Calc'!$J$2:$J$1501,'Etsy Calc'!$L$2:$L$1501,A157)+SUMIFS('Shopify Calc'!$J$2:$J$1501,'Shopify Calc'!$L$2:$L$1501,A157)+SUMIFS('Manual Sales'!$S$2:$S$1501,'Manual Sales'!$U$2:$U$1501,A157))</f>
        <v/>
      </c>
      <c r="D157" s="11">
        <f>IF(A157="","",SUMIFS('Etsy Calc'!$M$2:$M$1501,'Etsy Calc'!$L$2:$L$1501,A157)+SUMIFS('Shopify Calc'!$M$2:$M$1501,'Shopify Calc'!$L$2:$L$1501,A157)+SUMIFS('Manual Sales'!$V$2:$V$1501,'Manual Sales'!$U$2:$U$1501,A157))</f>
        <v/>
      </c>
      <c r="E157" s="11">
        <f>IF(A157="","",SUMIFS('Etsy Calc'!$N$2:$N$1501,'Etsy Calc'!$L$2:$L$1501,A157)+SUMIFS('Shopify Calc'!$N$2:$N$1501,'Shopify Calc'!$L$2:$L$1501,A157)+SUMIFS('Manual Sales'!$W$2:$W$1501,'Manual Sales'!$U$2:$U$1501,A157))</f>
        <v/>
      </c>
      <c r="F157" s="11">
        <f>IF(A157="","",SUMIFS('Etsy Calc'!$O$2:$O$1501,'Etsy Calc'!$L$2:$L$1501,A157)+SUMIFS('Shopify Calc'!$O$2:$O$1501,'Shopify Calc'!$L$2:$L$1501,A157)+SUMIFS('Manual Sales'!$X$2:$X$1501,'Manual Sales'!$U$2:$U$1501,A157))</f>
        <v/>
      </c>
      <c r="G157" s="11">
        <f>IF(A157="","",IF($B$4=0,0,Settings!$B$14*C157/$B$4))</f>
        <v/>
      </c>
      <c r="H157" s="11">
        <f>IF(A157="","",C157-D157-E157-F157-G157)</f>
        <v/>
      </c>
      <c r="I157" s="11">
        <f>IF(OR(A157="",N(B157)=0),"",H157/B157)</f>
        <v/>
      </c>
      <c r="J157" s="12">
        <f>IF(OR(A157="",N(C157)=0),"",H157/C157)</f>
        <v/>
      </c>
      <c r="K157">
        <f>IF(A157="","",IF(N(B157)=0,"No sales",IF(H157&lt;0,"LOSING MONEY",IF(J157&lt;0.15,"Thin margin","Healthy"))))</f>
        <v/>
      </c>
    </row>
    <row r="158">
      <c r="A158">
        <f>IF(Products!A152="","",Products!A152)</f>
        <v/>
      </c>
      <c r="B158">
        <f>IF(A158="","",SUMIFS('Etsy Calc'!$D$2:$D$1501,'Etsy Calc'!$L$2:$L$1501,A158)+SUMIFS('Shopify Calc'!$D$2:$D$1501,'Shopify Calc'!$L$2:$L$1501,A158)+SUMIFS('Manual Sales'!$M$2:$M$1501,'Manual Sales'!$U$2:$U$1501,A158))</f>
        <v/>
      </c>
      <c r="C158" s="11">
        <f>IF(A158="","",SUMIFS('Etsy Calc'!$J$2:$J$1501,'Etsy Calc'!$L$2:$L$1501,A158)+SUMIFS('Shopify Calc'!$J$2:$J$1501,'Shopify Calc'!$L$2:$L$1501,A158)+SUMIFS('Manual Sales'!$S$2:$S$1501,'Manual Sales'!$U$2:$U$1501,A158))</f>
        <v/>
      </c>
      <c r="D158" s="11">
        <f>IF(A158="","",SUMIFS('Etsy Calc'!$M$2:$M$1501,'Etsy Calc'!$L$2:$L$1501,A158)+SUMIFS('Shopify Calc'!$M$2:$M$1501,'Shopify Calc'!$L$2:$L$1501,A158)+SUMIFS('Manual Sales'!$V$2:$V$1501,'Manual Sales'!$U$2:$U$1501,A158))</f>
        <v/>
      </c>
      <c r="E158" s="11">
        <f>IF(A158="","",SUMIFS('Etsy Calc'!$N$2:$N$1501,'Etsy Calc'!$L$2:$L$1501,A158)+SUMIFS('Shopify Calc'!$N$2:$N$1501,'Shopify Calc'!$L$2:$L$1501,A158)+SUMIFS('Manual Sales'!$W$2:$W$1501,'Manual Sales'!$U$2:$U$1501,A158))</f>
        <v/>
      </c>
      <c r="F158" s="11">
        <f>IF(A158="","",SUMIFS('Etsy Calc'!$O$2:$O$1501,'Etsy Calc'!$L$2:$L$1501,A158)+SUMIFS('Shopify Calc'!$O$2:$O$1501,'Shopify Calc'!$L$2:$L$1501,A158)+SUMIFS('Manual Sales'!$X$2:$X$1501,'Manual Sales'!$U$2:$U$1501,A158))</f>
        <v/>
      </c>
      <c r="G158" s="11">
        <f>IF(A158="","",IF($B$4=0,0,Settings!$B$14*C158/$B$4))</f>
        <v/>
      </c>
      <c r="H158" s="11">
        <f>IF(A158="","",C158-D158-E158-F158-G158)</f>
        <v/>
      </c>
      <c r="I158" s="11">
        <f>IF(OR(A158="",N(B158)=0),"",H158/B158)</f>
        <v/>
      </c>
      <c r="J158" s="12">
        <f>IF(OR(A158="",N(C158)=0),"",H158/C158)</f>
        <v/>
      </c>
      <c r="K158">
        <f>IF(A158="","",IF(N(B158)=0,"No sales",IF(H158&lt;0,"LOSING MONEY",IF(J158&lt;0.15,"Thin margin","Healthy"))))</f>
        <v/>
      </c>
    </row>
    <row r="159">
      <c r="A159">
        <f>IF(Products!A153="","",Products!A153)</f>
        <v/>
      </c>
      <c r="B159">
        <f>IF(A159="","",SUMIFS('Etsy Calc'!$D$2:$D$1501,'Etsy Calc'!$L$2:$L$1501,A159)+SUMIFS('Shopify Calc'!$D$2:$D$1501,'Shopify Calc'!$L$2:$L$1501,A159)+SUMIFS('Manual Sales'!$M$2:$M$1501,'Manual Sales'!$U$2:$U$1501,A159))</f>
        <v/>
      </c>
      <c r="C159" s="11">
        <f>IF(A159="","",SUMIFS('Etsy Calc'!$J$2:$J$1501,'Etsy Calc'!$L$2:$L$1501,A159)+SUMIFS('Shopify Calc'!$J$2:$J$1501,'Shopify Calc'!$L$2:$L$1501,A159)+SUMIFS('Manual Sales'!$S$2:$S$1501,'Manual Sales'!$U$2:$U$1501,A159))</f>
        <v/>
      </c>
      <c r="D159" s="11">
        <f>IF(A159="","",SUMIFS('Etsy Calc'!$M$2:$M$1501,'Etsy Calc'!$L$2:$L$1501,A159)+SUMIFS('Shopify Calc'!$M$2:$M$1501,'Shopify Calc'!$L$2:$L$1501,A159)+SUMIFS('Manual Sales'!$V$2:$V$1501,'Manual Sales'!$U$2:$U$1501,A159))</f>
        <v/>
      </c>
      <c r="E159" s="11">
        <f>IF(A159="","",SUMIFS('Etsy Calc'!$N$2:$N$1501,'Etsy Calc'!$L$2:$L$1501,A159)+SUMIFS('Shopify Calc'!$N$2:$N$1501,'Shopify Calc'!$L$2:$L$1501,A159)+SUMIFS('Manual Sales'!$W$2:$W$1501,'Manual Sales'!$U$2:$U$1501,A159))</f>
        <v/>
      </c>
      <c r="F159" s="11">
        <f>IF(A159="","",SUMIFS('Etsy Calc'!$O$2:$O$1501,'Etsy Calc'!$L$2:$L$1501,A159)+SUMIFS('Shopify Calc'!$O$2:$O$1501,'Shopify Calc'!$L$2:$L$1501,A159)+SUMIFS('Manual Sales'!$X$2:$X$1501,'Manual Sales'!$U$2:$U$1501,A159))</f>
        <v/>
      </c>
      <c r="G159" s="11">
        <f>IF(A159="","",IF($B$4=0,0,Settings!$B$14*C159/$B$4))</f>
        <v/>
      </c>
      <c r="H159" s="11">
        <f>IF(A159="","",C159-D159-E159-F159-G159)</f>
        <v/>
      </c>
      <c r="I159" s="11">
        <f>IF(OR(A159="",N(B159)=0),"",H159/B159)</f>
        <v/>
      </c>
      <c r="J159" s="12">
        <f>IF(OR(A159="",N(C159)=0),"",H159/C159)</f>
        <v/>
      </c>
      <c r="K159">
        <f>IF(A159="","",IF(N(B159)=0,"No sales",IF(H159&lt;0,"LOSING MONEY",IF(J159&lt;0.15,"Thin margin","Healthy"))))</f>
        <v/>
      </c>
    </row>
    <row r="160">
      <c r="A160">
        <f>IF(Products!A154="","",Products!A154)</f>
        <v/>
      </c>
      <c r="B160">
        <f>IF(A160="","",SUMIFS('Etsy Calc'!$D$2:$D$1501,'Etsy Calc'!$L$2:$L$1501,A160)+SUMIFS('Shopify Calc'!$D$2:$D$1501,'Shopify Calc'!$L$2:$L$1501,A160)+SUMIFS('Manual Sales'!$M$2:$M$1501,'Manual Sales'!$U$2:$U$1501,A160))</f>
        <v/>
      </c>
      <c r="C160" s="11">
        <f>IF(A160="","",SUMIFS('Etsy Calc'!$J$2:$J$1501,'Etsy Calc'!$L$2:$L$1501,A160)+SUMIFS('Shopify Calc'!$J$2:$J$1501,'Shopify Calc'!$L$2:$L$1501,A160)+SUMIFS('Manual Sales'!$S$2:$S$1501,'Manual Sales'!$U$2:$U$1501,A160))</f>
        <v/>
      </c>
      <c r="D160" s="11">
        <f>IF(A160="","",SUMIFS('Etsy Calc'!$M$2:$M$1501,'Etsy Calc'!$L$2:$L$1501,A160)+SUMIFS('Shopify Calc'!$M$2:$M$1501,'Shopify Calc'!$L$2:$L$1501,A160)+SUMIFS('Manual Sales'!$V$2:$V$1501,'Manual Sales'!$U$2:$U$1501,A160))</f>
        <v/>
      </c>
      <c r="E160" s="11">
        <f>IF(A160="","",SUMIFS('Etsy Calc'!$N$2:$N$1501,'Etsy Calc'!$L$2:$L$1501,A160)+SUMIFS('Shopify Calc'!$N$2:$N$1501,'Shopify Calc'!$L$2:$L$1501,A160)+SUMIFS('Manual Sales'!$W$2:$W$1501,'Manual Sales'!$U$2:$U$1501,A160))</f>
        <v/>
      </c>
      <c r="F160" s="11">
        <f>IF(A160="","",SUMIFS('Etsy Calc'!$O$2:$O$1501,'Etsy Calc'!$L$2:$L$1501,A160)+SUMIFS('Shopify Calc'!$O$2:$O$1501,'Shopify Calc'!$L$2:$L$1501,A160)+SUMIFS('Manual Sales'!$X$2:$X$1501,'Manual Sales'!$U$2:$U$1501,A160))</f>
        <v/>
      </c>
      <c r="G160" s="11">
        <f>IF(A160="","",IF($B$4=0,0,Settings!$B$14*C160/$B$4))</f>
        <v/>
      </c>
      <c r="H160" s="11">
        <f>IF(A160="","",C160-D160-E160-F160-G160)</f>
        <v/>
      </c>
      <c r="I160" s="11">
        <f>IF(OR(A160="",N(B160)=0),"",H160/B160)</f>
        <v/>
      </c>
      <c r="J160" s="12">
        <f>IF(OR(A160="",N(C160)=0),"",H160/C160)</f>
        <v/>
      </c>
      <c r="K160">
        <f>IF(A160="","",IF(N(B160)=0,"No sales",IF(H160&lt;0,"LOSING MONEY",IF(J160&lt;0.15,"Thin margin","Healthy"))))</f>
        <v/>
      </c>
    </row>
    <row r="161">
      <c r="A161">
        <f>IF(Products!A155="","",Products!A155)</f>
        <v/>
      </c>
      <c r="B161">
        <f>IF(A161="","",SUMIFS('Etsy Calc'!$D$2:$D$1501,'Etsy Calc'!$L$2:$L$1501,A161)+SUMIFS('Shopify Calc'!$D$2:$D$1501,'Shopify Calc'!$L$2:$L$1501,A161)+SUMIFS('Manual Sales'!$M$2:$M$1501,'Manual Sales'!$U$2:$U$1501,A161))</f>
        <v/>
      </c>
      <c r="C161" s="11">
        <f>IF(A161="","",SUMIFS('Etsy Calc'!$J$2:$J$1501,'Etsy Calc'!$L$2:$L$1501,A161)+SUMIFS('Shopify Calc'!$J$2:$J$1501,'Shopify Calc'!$L$2:$L$1501,A161)+SUMIFS('Manual Sales'!$S$2:$S$1501,'Manual Sales'!$U$2:$U$1501,A161))</f>
        <v/>
      </c>
      <c r="D161" s="11">
        <f>IF(A161="","",SUMIFS('Etsy Calc'!$M$2:$M$1501,'Etsy Calc'!$L$2:$L$1501,A161)+SUMIFS('Shopify Calc'!$M$2:$M$1501,'Shopify Calc'!$L$2:$L$1501,A161)+SUMIFS('Manual Sales'!$V$2:$V$1501,'Manual Sales'!$U$2:$U$1501,A161))</f>
        <v/>
      </c>
      <c r="E161" s="11">
        <f>IF(A161="","",SUMIFS('Etsy Calc'!$N$2:$N$1501,'Etsy Calc'!$L$2:$L$1501,A161)+SUMIFS('Shopify Calc'!$N$2:$N$1501,'Shopify Calc'!$L$2:$L$1501,A161)+SUMIFS('Manual Sales'!$W$2:$W$1501,'Manual Sales'!$U$2:$U$1501,A161))</f>
        <v/>
      </c>
      <c r="F161" s="11">
        <f>IF(A161="","",SUMIFS('Etsy Calc'!$O$2:$O$1501,'Etsy Calc'!$L$2:$L$1501,A161)+SUMIFS('Shopify Calc'!$O$2:$O$1501,'Shopify Calc'!$L$2:$L$1501,A161)+SUMIFS('Manual Sales'!$X$2:$X$1501,'Manual Sales'!$U$2:$U$1501,A161))</f>
        <v/>
      </c>
      <c r="G161" s="11">
        <f>IF(A161="","",IF($B$4=0,0,Settings!$B$14*C161/$B$4))</f>
        <v/>
      </c>
      <c r="H161" s="11">
        <f>IF(A161="","",C161-D161-E161-F161-G161)</f>
        <v/>
      </c>
      <c r="I161" s="11">
        <f>IF(OR(A161="",N(B161)=0),"",H161/B161)</f>
        <v/>
      </c>
      <c r="J161" s="12">
        <f>IF(OR(A161="",N(C161)=0),"",H161/C161)</f>
        <v/>
      </c>
      <c r="K161">
        <f>IF(A161="","",IF(N(B161)=0,"No sales",IF(H161&lt;0,"LOSING MONEY",IF(J161&lt;0.15,"Thin margin","Healthy"))))</f>
        <v/>
      </c>
    </row>
    <row r="162">
      <c r="A162">
        <f>IF(Products!A156="","",Products!A156)</f>
        <v/>
      </c>
      <c r="B162">
        <f>IF(A162="","",SUMIFS('Etsy Calc'!$D$2:$D$1501,'Etsy Calc'!$L$2:$L$1501,A162)+SUMIFS('Shopify Calc'!$D$2:$D$1501,'Shopify Calc'!$L$2:$L$1501,A162)+SUMIFS('Manual Sales'!$M$2:$M$1501,'Manual Sales'!$U$2:$U$1501,A162))</f>
        <v/>
      </c>
      <c r="C162" s="11">
        <f>IF(A162="","",SUMIFS('Etsy Calc'!$J$2:$J$1501,'Etsy Calc'!$L$2:$L$1501,A162)+SUMIFS('Shopify Calc'!$J$2:$J$1501,'Shopify Calc'!$L$2:$L$1501,A162)+SUMIFS('Manual Sales'!$S$2:$S$1501,'Manual Sales'!$U$2:$U$1501,A162))</f>
        <v/>
      </c>
      <c r="D162" s="11">
        <f>IF(A162="","",SUMIFS('Etsy Calc'!$M$2:$M$1501,'Etsy Calc'!$L$2:$L$1501,A162)+SUMIFS('Shopify Calc'!$M$2:$M$1501,'Shopify Calc'!$L$2:$L$1501,A162)+SUMIFS('Manual Sales'!$V$2:$V$1501,'Manual Sales'!$U$2:$U$1501,A162))</f>
        <v/>
      </c>
      <c r="E162" s="11">
        <f>IF(A162="","",SUMIFS('Etsy Calc'!$N$2:$N$1501,'Etsy Calc'!$L$2:$L$1501,A162)+SUMIFS('Shopify Calc'!$N$2:$N$1501,'Shopify Calc'!$L$2:$L$1501,A162)+SUMIFS('Manual Sales'!$W$2:$W$1501,'Manual Sales'!$U$2:$U$1501,A162))</f>
        <v/>
      </c>
      <c r="F162" s="11">
        <f>IF(A162="","",SUMIFS('Etsy Calc'!$O$2:$O$1501,'Etsy Calc'!$L$2:$L$1501,A162)+SUMIFS('Shopify Calc'!$O$2:$O$1501,'Shopify Calc'!$L$2:$L$1501,A162)+SUMIFS('Manual Sales'!$X$2:$X$1501,'Manual Sales'!$U$2:$U$1501,A162))</f>
        <v/>
      </c>
      <c r="G162" s="11">
        <f>IF(A162="","",IF($B$4=0,0,Settings!$B$14*C162/$B$4))</f>
        <v/>
      </c>
      <c r="H162" s="11">
        <f>IF(A162="","",C162-D162-E162-F162-G162)</f>
        <v/>
      </c>
      <c r="I162" s="11">
        <f>IF(OR(A162="",N(B162)=0),"",H162/B162)</f>
        <v/>
      </c>
      <c r="J162" s="12">
        <f>IF(OR(A162="",N(C162)=0),"",H162/C162)</f>
        <v/>
      </c>
      <c r="K162">
        <f>IF(A162="","",IF(N(B162)=0,"No sales",IF(H162&lt;0,"LOSING MONEY",IF(J162&lt;0.15,"Thin margin","Healthy"))))</f>
        <v/>
      </c>
    </row>
    <row r="163">
      <c r="A163">
        <f>IF(Products!A157="","",Products!A157)</f>
        <v/>
      </c>
      <c r="B163">
        <f>IF(A163="","",SUMIFS('Etsy Calc'!$D$2:$D$1501,'Etsy Calc'!$L$2:$L$1501,A163)+SUMIFS('Shopify Calc'!$D$2:$D$1501,'Shopify Calc'!$L$2:$L$1501,A163)+SUMIFS('Manual Sales'!$M$2:$M$1501,'Manual Sales'!$U$2:$U$1501,A163))</f>
        <v/>
      </c>
      <c r="C163" s="11">
        <f>IF(A163="","",SUMIFS('Etsy Calc'!$J$2:$J$1501,'Etsy Calc'!$L$2:$L$1501,A163)+SUMIFS('Shopify Calc'!$J$2:$J$1501,'Shopify Calc'!$L$2:$L$1501,A163)+SUMIFS('Manual Sales'!$S$2:$S$1501,'Manual Sales'!$U$2:$U$1501,A163))</f>
        <v/>
      </c>
      <c r="D163" s="11">
        <f>IF(A163="","",SUMIFS('Etsy Calc'!$M$2:$M$1501,'Etsy Calc'!$L$2:$L$1501,A163)+SUMIFS('Shopify Calc'!$M$2:$M$1501,'Shopify Calc'!$L$2:$L$1501,A163)+SUMIFS('Manual Sales'!$V$2:$V$1501,'Manual Sales'!$U$2:$U$1501,A163))</f>
        <v/>
      </c>
      <c r="E163" s="11">
        <f>IF(A163="","",SUMIFS('Etsy Calc'!$N$2:$N$1501,'Etsy Calc'!$L$2:$L$1501,A163)+SUMIFS('Shopify Calc'!$N$2:$N$1501,'Shopify Calc'!$L$2:$L$1501,A163)+SUMIFS('Manual Sales'!$W$2:$W$1501,'Manual Sales'!$U$2:$U$1501,A163))</f>
        <v/>
      </c>
      <c r="F163" s="11">
        <f>IF(A163="","",SUMIFS('Etsy Calc'!$O$2:$O$1501,'Etsy Calc'!$L$2:$L$1501,A163)+SUMIFS('Shopify Calc'!$O$2:$O$1501,'Shopify Calc'!$L$2:$L$1501,A163)+SUMIFS('Manual Sales'!$X$2:$X$1501,'Manual Sales'!$U$2:$U$1501,A163))</f>
        <v/>
      </c>
      <c r="G163" s="11">
        <f>IF(A163="","",IF($B$4=0,0,Settings!$B$14*C163/$B$4))</f>
        <v/>
      </c>
      <c r="H163" s="11">
        <f>IF(A163="","",C163-D163-E163-F163-G163)</f>
        <v/>
      </c>
      <c r="I163" s="11">
        <f>IF(OR(A163="",N(B163)=0),"",H163/B163)</f>
        <v/>
      </c>
      <c r="J163" s="12">
        <f>IF(OR(A163="",N(C163)=0),"",H163/C163)</f>
        <v/>
      </c>
      <c r="K163">
        <f>IF(A163="","",IF(N(B163)=0,"No sales",IF(H163&lt;0,"LOSING MONEY",IF(J163&lt;0.15,"Thin margin","Healthy"))))</f>
        <v/>
      </c>
    </row>
    <row r="164">
      <c r="A164">
        <f>IF(Products!A158="","",Products!A158)</f>
        <v/>
      </c>
      <c r="B164">
        <f>IF(A164="","",SUMIFS('Etsy Calc'!$D$2:$D$1501,'Etsy Calc'!$L$2:$L$1501,A164)+SUMIFS('Shopify Calc'!$D$2:$D$1501,'Shopify Calc'!$L$2:$L$1501,A164)+SUMIFS('Manual Sales'!$M$2:$M$1501,'Manual Sales'!$U$2:$U$1501,A164))</f>
        <v/>
      </c>
      <c r="C164" s="11">
        <f>IF(A164="","",SUMIFS('Etsy Calc'!$J$2:$J$1501,'Etsy Calc'!$L$2:$L$1501,A164)+SUMIFS('Shopify Calc'!$J$2:$J$1501,'Shopify Calc'!$L$2:$L$1501,A164)+SUMIFS('Manual Sales'!$S$2:$S$1501,'Manual Sales'!$U$2:$U$1501,A164))</f>
        <v/>
      </c>
      <c r="D164" s="11">
        <f>IF(A164="","",SUMIFS('Etsy Calc'!$M$2:$M$1501,'Etsy Calc'!$L$2:$L$1501,A164)+SUMIFS('Shopify Calc'!$M$2:$M$1501,'Shopify Calc'!$L$2:$L$1501,A164)+SUMIFS('Manual Sales'!$V$2:$V$1501,'Manual Sales'!$U$2:$U$1501,A164))</f>
        <v/>
      </c>
      <c r="E164" s="11">
        <f>IF(A164="","",SUMIFS('Etsy Calc'!$N$2:$N$1501,'Etsy Calc'!$L$2:$L$1501,A164)+SUMIFS('Shopify Calc'!$N$2:$N$1501,'Shopify Calc'!$L$2:$L$1501,A164)+SUMIFS('Manual Sales'!$W$2:$W$1501,'Manual Sales'!$U$2:$U$1501,A164))</f>
        <v/>
      </c>
      <c r="F164" s="11">
        <f>IF(A164="","",SUMIFS('Etsy Calc'!$O$2:$O$1501,'Etsy Calc'!$L$2:$L$1501,A164)+SUMIFS('Shopify Calc'!$O$2:$O$1501,'Shopify Calc'!$L$2:$L$1501,A164)+SUMIFS('Manual Sales'!$X$2:$X$1501,'Manual Sales'!$U$2:$U$1501,A164))</f>
        <v/>
      </c>
      <c r="G164" s="11">
        <f>IF(A164="","",IF($B$4=0,0,Settings!$B$14*C164/$B$4))</f>
        <v/>
      </c>
      <c r="H164" s="11">
        <f>IF(A164="","",C164-D164-E164-F164-G164)</f>
        <v/>
      </c>
      <c r="I164" s="11">
        <f>IF(OR(A164="",N(B164)=0),"",H164/B164)</f>
        <v/>
      </c>
      <c r="J164" s="12">
        <f>IF(OR(A164="",N(C164)=0),"",H164/C164)</f>
        <v/>
      </c>
      <c r="K164">
        <f>IF(A164="","",IF(N(B164)=0,"No sales",IF(H164&lt;0,"LOSING MONEY",IF(J164&lt;0.15,"Thin margin","Healthy"))))</f>
        <v/>
      </c>
    </row>
    <row r="165">
      <c r="A165">
        <f>IF(Products!A159="","",Products!A159)</f>
        <v/>
      </c>
      <c r="B165">
        <f>IF(A165="","",SUMIFS('Etsy Calc'!$D$2:$D$1501,'Etsy Calc'!$L$2:$L$1501,A165)+SUMIFS('Shopify Calc'!$D$2:$D$1501,'Shopify Calc'!$L$2:$L$1501,A165)+SUMIFS('Manual Sales'!$M$2:$M$1501,'Manual Sales'!$U$2:$U$1501,A165))</f>
        <v/>
      </c>
      <c r="C165" s="11">
        <f>IF(A165="","",SUMIFS('Etsy Calc'!$J$2:$J$1501,'Etsy Calc'!$L$2:$L$1501,A165)+SUMIFS('Shopify Calc'!$J$2:$J$1501,'Shopify Calc'!$L$2:$L$1501,A165)+SUMIFS('Manual Sales'!$S$2:$S$1501,'Manual Sales'!$U$2:$U$1501,A165))</f>
        <v/>
      </c>
      <c r="D165" s="11">
        <f>IF(A165="","",SUMIFS('Etsy Calc'!$M$2:$M$1501,'Etsy Calc'!$L$2:$L$1501,A165)+SUMIFS('Shopify Calc'!$M$2:$M$1501,'Shopify Calc'!$L$2:$L$1501,A165)+SUMIFS('Manual Sales'!$V$2:$V$1501,'Manual Sales'!$U$2:$U$1501,A165))</f>
        <v/>
      </c>
      <c r="E165" s="11">
        <f>IF(A165="","",SUMIFS('Etsy Calc'!$N$2:$N$1501,'Etsy Calc'!$L$2:$L$1501,A165)+SUMIFS('Shopify Calc'!$N$2:$N$1501,'Shopify Calc'!$L$2:$L$1501,A165)+SUMIFS('Manual Sales'!$W$2:$W$1501,'Manual Sales'!$U$2:$U$1501,A165))</f>
        <v/>
      </c>
      <c r="F165" s="11">
        <f>IF(A165="","",SUMIFS('Etsy Calc'!$O$2:$O$1501,'Etsy Calc'!$L$2:$L$1501,A165)+SUMIFS('Shopify Calc'!$O$2:$O$1501,'Shopify Calc'!$L$2:$L$1501,A165)+SUMIFS('Manual Sales'!$X$2:$X$1501,'Manual Sales'!$U$2:$U$1501,A165))</f>
        <v/>
      </c>
      <c r="G165" s="11">
        <f>IF(A165="","",IF($B$4=0,0,Settings!$B$14*C165/$B$4))</f>
        <v/>
      </c>
      <c r="H165" s="11">
        <f>IF(A165="","",C165-D165-E165-F165-G165)</f>
        <v/>
      </c>
      <c r="I165" s="11">
        <f>IF(OR(A165="",N(B165)=0),"",H165/B165)</f>
        <v/>
      </c>
      <c r="J165" s="12">
        <f>IF(OR(A165="",N(C165)=0),"",H165/C165)</f>
        <v/>
      </c>
      <c r="K165">
        <f>IF(A165="","",IF(N(B165)=0,"No sales",IF(H165&lt;0,"LOSING MONEY",IF(J165&lt;0.15,"Thin margin","Healthy"))))</f>
        <v/>
      </c>
    </row>
    <row r="166">
      <c r="A166">
        <f>IF(Products!A160="","",Products!A160)</f>
        <v/>
      </c>
      <c r="B166">
        <f>IF(A166="","",SUMIFS('Etsy Calc'!$D$2:$D$1501,'Etsy Calc'!$L$2:$L$1501,A166)+SUMIFS('Shopify Calc'!$D$2:$D$1501,'Shopify Calc'!$L$2:$L$1501,A166)+SUMIFS('Manual Sales'!$M$2:$M$1501,'Manual Sales'!$U$2:$U$1501,A166))</f>
        <v/>
      </c>
      <c r="C166" s="11">
        <f>IF(A166="","",SUMIFS('Etsy Calc'!$J$2:$J$1501,'Etsy Calc'!$L$2:$L$1501,A166)+SUMIFS('Shopify Calc'!$J$2:$J$1501,'Shopify Calc'!$L$2:$L$1501,A166)+SUMIFS('Manual Sales'!$S$2:$S$1501,'Manual Sales'!$U$2:$U$1501,A166))</f>
        <v/>
      </c>
      <c r="D166" s="11">
        <f>IF(A166="","",SUMIFS('Etsy Calc'!$M$2:$M$1501,'Etsy Calc'!$L$2:$L$1501,A166)+SUMIFS('Shopify Calc'!$M$2:$M$1501,'Shopify Calc'!$L$2:$L$1501,A166)+SUMIFS('Manual Sales'!$V$2:$V$1501,'Manual Sales'!$U$2:$U$1501,A166))</f>
        <v/>
      </c>
      <c r="E166" s="11">
        <f>IF(A166="","",SUMIFS('Etsy Calc'!$N$2:$N$1501,'Etsy Calc'!$L$2:$L$1501,A166)+SUMIFS('Shopify Calc'!$N$2:$N$1501,'Shopify Calc'!$L$2:$L$1501,A166)+SUMIFS('Manual Sales'!$W$2:$W$1501,'Manual Sales'!$U$2:$U$1501,A166))</f>
        <v/>
      </c>
      <c r="F166" s="11">
        <f>IF(A166="","",SUMIFS('Etsy Calc'!$O$2:$O$1501,'Etsy Calc'!$L$2:$L$1501,A166)+SUMIFS('Shopify Calc'!$O$2:$O$1501,'Shopify Calc'!$L$2:$L$1501,A166)+SUMIFS('Manual Sales'!$X$2:$X$1501,'Manual Sales'!$U$2:$U$1501,A166))</f>
        <v/>
      </c>
      <c r="G166" s="11">
        <f>IF(A166="","",IF($B$4=0,0,Settings!$B$14*C166/$B$4))</f>
        <v/>
      </c>
      <c r="H166" s="11">
        <f>IF(A166="","",C166-D166-E166-F166-G166)</f>
        <v/>
      </c>
      <c r="I166" s="11">
        <f>IF(OR(A166="",N(B166)=0),"",H166/B166)</f>
        <v/>
      </c>
      <c r="J166" s="12">
        <f>IF(OR(A166="",N(C166)=0),"",H166/C166)</f>
        <v/>
      </c>
      <c r="K166">
        <f>IF(A166="","",IF(N(B166)=0,"No sales",IF(H166&lt;0,"LOSING MONEY",IF(J166&lt;0.15,"Thin margin","Healthy"))))</f>
        <v/>
      </c>
    </row>
    <row r="167">
      <c r="A167">
        <f>IF(Products!A161="","",Products!A161)</f>
        <v/>
      </c>
      <c r="B167">
        <f>IF(A167="","",SUMIFS('Etsy Calc'!$D$2:$D$1501,'Etsy Calc'!$L$2:$L$1501,A167)+SUMIFS('Shopify Calc'!$D$2:$D$1501,'Shopify Calc'!$L$2:$L$1501,A167)+SUMIFS('Manual Sales'!$M$2:$M$1501,'Manual Sales'!$U$2:$U$1501,A167))</f>
        <v/>
      </c>
      <c r="C167" s="11">
        <f>IF(A167="","",SUMIFS('Etsy Calc'!$J$2:$J$1501,'Etsy Calc'!$L$2:$L$1501,A167)+SUMIFS('Shopify Calc'!$J$2:$J$1501,'Shopify Calc'!$L$2:$L$1501,A167)+SUMIFS('Manual Sales'!$S$2:$S$1501,'Manual Sales'!$U$2:$U$1501,A167))</f>
        <v/>
      </c>
      <c r="D167" s="11">
        <f>IF(A167="","",SUMIFS('Etsy Calc'!$M$2:$M$1501,'Etsy Calc'!$L$2:$L$1501,A167)+SUMIFS('Shopify Calc'!$M$2:$M$1501,'Shopify Calc'!$L$2:$L$1501,A167)+SUMIFS('Manual Sales'!$V$2:$V$1501,'Manual Sales'!$U$2:$U$1501,A167))</f>
        <v/>
      </c>
      <c r="E167" s="11">
        <f>IF(A167="","",SUMIFS('Etsy Calc'!$N$2:$N$1501,'Etsy Calc'!$L$2:$L$1501,A167)+SUMIFS('Shopify Calc'!$N$2:$N$1501,'Shopify Calc'!$L$2:$L$1501,A167)+SUMIFS('Manual Sales'!$W$2:$W$1501,'Manual Sales'!$U$2:$U$1501,A167))</f>
        <v/>
      </c>
      <c r="F167" s="11">
        <f>IF(A167="","",SUMIFS('Etsy Calc'!$O$2:$O$1501,'Etsy Calc'!$L$2:$L$1501,A167)+SUMIFS('Shopify Calc'!$O$2:$O$1501,'Shopify Calc'!$L$2:$L$1501,A167)+SUMIFS('Manual Sales'!$X$2:$X$1501,'Manual Sales'!$U$2:$U$1501,A167))</f>
        <v/>
      </c>
      <c r="G167" s="11">
        <f>IF(A167="","",IF($B$4=0,0,Settings!$B$14*C167/$B$4))</f>
        <v/>
      </c>
      <c r="H167" s="11">
        <f>IF(A167="","",C167-D167-E167-F167-G167)</f>
        <v/>
      </c>
      <c r="I167" s="11">
        <f>IF(OR(A167="",N(B167)=0),"",H167/B167)</f>
        <v/>
      </c>
      <c r="J167" s="12">
        <f>IF(OR(A167="",N(C167)=0),"",H167/C167)</f>
        <v/>
      </c>
      <c r="K167">
        <f>IF(A167="","",IF(N(B167)=0,"No sales",IF(H167&lt;0,"LOSING MONEY",IF(J167&lt;0.15,"Thin margin","Healthy"))))</f>
        <v/>
      </c>
    </row>
    <row r="168">
      <c r="A168">
        <f>IF(Products!A162="","",Products!A162)</f>
        <v/>
      </c>
      <c r="B168">
        <f>IF(A168="","",SUMIFS('Etsy Calc'!$D$2:$D$1501,'Etsy Calc'!$L$2:$L$1501,A168)+SUMIFS('Shopify Calc'!$D$2:$D$1501,'Shopify Calc'!$L$2:$L$1501,A168)+SUMIFS('Manual Sales'!$M$2:$M$1501,'Manual Sales'!$U$2:$U$1501,A168))</f>
        <v/>
      </c>
      <c r="C168" s="11">
        <f>IF(A168="","",SUMIFS('Etsy Calc'!$J$2:$J$1501,'Etsy Calc'!$L$2:$L$1501,A168)+SUMIFS('Shopify Calc'!$J$2:$J$1501,'Shopify Calc'!$L$2:$L$1501,A168)+SUMIFS('Manual Sales'!$S$2:$S$1501,'Manual Sales'!$U$2:$U$1501,A168))</f>
        <v/>
      </c>
      <c r="D168" s="11">
        <f>IF(A168="","",SUMIFS('Etsy Calc'!$M$2:$M$1501,'Etsy Calc'!$L$2:$L$1501,A168)+SUMIFS('Shopify Calc'!$M$2:$M$1501,'Shopify Calc'!$L$2:$L$1501,A168)+SUMIFS('Manual Sales'!$V$2:$V$1501,'Manual Sales'!$U$2:$U$1501,A168))</f>
        <v/>
      </c>
      <c r="E168" s="11">
        <f>IF(A168="","",SUMIFS('Etsy Calc'!$N$2:$N$1501,'Etsy Calc'!$L$2:$L$1501,A168)+SUMIFS('Shopify Calc'!$N$2:$N$1501,'Shopify Calc'!$L$2:$L$1501,A168)+SUMIFS('Manual Sales'!$W$2:$W$1501,'Manual Sales'!$U$2:$U$1501,A168))</f>
        <v/>
      </c>
      <c r="F168" s="11">
        <f>IF(A168="","",SUMIFS('Etsy Calc'!$O$2:$O$1501,'Etsy Calc'!$L$2:$L$1501,A168)+SUMIFS('Shopify Calc'!$O$2:$O$1501,'Shopify Calc'!$L$2:$L$1501,A168)+SUMIFS('Manual Sales'!$X$2:$X$1501,'Manual Sales'!$U$2:$U$1501,A168))</f>
        <v/>
      </c>
      <c r="G168" s="11">
        <f>IF(A168="","",IF($B$4=0,0,Settings!$B$14*C168/$B$4))</f>
        <v/>
      </c>
      <c r="H168" s="11">
        <f>IF(A168="","",C168-D168-E168-F168-G168)</f>
        <v/>
      </c>
      <c r="I168" s="11">
        <f>IF(OR(A168="",N(B168)=0),"",H168/B168)</f>
        <v/>
      </c>
      <c r="J168" s="12">
        <f>IF(OR(A168="",N(C168)=0),"",H168/C168)</f>
        <v/>
      </c>
      <c r="K168">
        <f>IF(A168="","",IF(N(B168)=0,"No sales",IF(H168&lt;0,"LOSING MONEY",IF(J168&lt;0.15,"Thin margin","Healthy"))))</f>
        <v/>
      </c>
    </row>
    <row r="169">
      <c r="A169">
        <f>IF(Products!A163="","",Products!A163)</f>
        <v/>
      </c>
      <c r="B169">
        <f>IF(A169="","",SUMIFS('Etsy Calc'!$D$2:$D$1501,'Etsy Calc'!$L$2:$L$1501,A169)+SUMIFS('Shopify Calc'!$D$2:$D$1501,'Shopify Calc'!$L$2:$L$1501,A169)+SUMIFS('Manual Sales'!$M$2:$M$1501,'Manual Sales'!$U$2:$U$1501,A169))</f>
        <v/>
      </c>
      <c r="C169" s="11">
        <f>IF(A169="","",SUMIFS('Etsy Calc'!$J$2:$J$1501,'Etsy Calc'!$L$2:$L$1501,A169)+SUMIFS('Shopify Calc'!$J$2:$J$1501,'Shopify Calc'!$L$2:$L$1501,A169)+SUMIFS('Manual Sales'!$S$2:$S$1501,'Manual Sales'!$U$2:$U$1501,A169))</f>
        <v/>
      </c>
      <c r="D169" s="11">
        <f>IF(A169="","",SUMIFS('Etsy Calc'!$M$2:$M$1501,'Etsy Calc'!$L$2:$L$1501,A169)+SUMIFS('Shopify Calc'!$M$2:$M$1501,'Shopify Calc'!$L$2:$L$1501,A169)+SUMIFS('Manual Sales'!$V$2:$V$1501,'Manual Sales'!$U$2:$U$1501,A169))</f>
        <v/>
      </c>
      <c r="E169" s="11">
        <f>IF(A169="","",SUMIFS('Etsy Calc'!$N$2:$N$1501,'Etsy Calc'!$L$2:$L$1501,A169)+SUMIFS('Shopify Calc'!$N$2:$N$1501,'Shopify Calc'!$L$2:$L$1501,A169)+SUMIFS('Manual Sales'!$W$2:$W$1501,'Manual Sales'!$U$2:$U$1501,A169))</f>
        <v/>
      </c>
      <c r="F169" s="11">
        <f>IF(A169="","",SUMIFS('Etsy Calc'!$O$2:$O$1501,'Etsy Calc'!$L$2:$L$1501,A169)+SUMIFS('Shopify Calc'!$O$2:$O$1501,'Shopify Calc'!$L$2:$L$1501,A169)+SUMIFS('Manual Sales'!$X$2:$X$1501,'Manual Sales'!$U$2:$U$1501,A169))</f>
        <v/>
      </c>
      <c r="G169" s="11">
        <f>IF(A169="","",IF($B$4=0,0,Settings!$B$14*C169/$B$4))</f>
        <v/>
      </c>
      <c r="H169" s="11">
        <f>IF(A169="","",C169-D169-E169-F169-G169)</f>
        <v/>
      </c>
      <c r="I169" s="11">
        <f>IF(OR(A169="",N(B169)=0),"",H169/B169)</f>
        <v/>
      </c>
      <c r="J169" s="12">
        <f>IF(OR(A169="",N(C169)=0),"",H169/C169)</f>
        <v/>
      </c>
      <c r="K169">
        <f>IF(A169="","",IF(N(B169)=0,"No sales",IF(H169&lt;0,"LOSING MONEY",IF(J169&lt;0.15,"Thin margin","Healthy"))))</f>
        <v/>
      </c>
    </row>
    <row r="170">
      <c r="A170">
        <f>IF(Products!A164="","",Products!A164)</f>
        <v/>
      </c>
      <c r="B170">
        <f>IF(A170="","",SUMIFS('Etsy Calc'!$D$2:$D$1501,'Etsy Calc'!$L$2:$L$1501,A170)+SUMIFS('Shopify Calc'!$D$2:$D$1501,'Shopify Calc'!$L$2:$L$1501,A170)+SUMIFS('Manual Sales'!$M$2:$M$1501,'Manual Sales'!$U$2:$U$1501,A170))</f>
        <v/>
      </c>
      <c r="C170" s="11">
        <f>IF(A170="","",SUMIFS('Etsy Calc'!$J$2:$J$1501,'Etsy Calc'!$L$2:$L$1501,A170)+SUMIFS('Shopify Calc'!$J$2:$J$1501,'Shopify Calc'!$L$2:$L$1501,A170)+SUMIFS('Manual Sales'!$S$2:$S$1501,'Manual Sales'!$U$2:$U$1501,A170))</f>
        <v/>
      </c>
      <c r="D170" s="11">
        <f>IF(A170="","",SUMIFS('Etsy Calc'!$M$2:$M$1501,'Etsy Calc'!$L$2:$L$1501,A170)+SUMIFS('Shopify Calc'!$M$2:$M$1501,'Shopify Calc'!$L$2:$L$1501,A170)+SUMIFS('Manual Sales'!$V$2:$V$1501,'Manual Sales'!$U$2:$U$1501,A170))</f>
        <v/>
      </c>
      <c r="E170" s="11">
        <f>IF(A170="","",SUMIFS('Etsy Calc'!$N$2:$N$1501,'Etsy Calc'!$L$2:$L$1501,A170)+SUMIFS('Shopify Calc'!$N$2:$N$1501,'Shopify Calc'!$L$2:$L$1501,A170)+SUMIFS('Manual Sales'!$W$2:$W$1501,'Manual Sales'!$U$2:$U$1501,A170))</f>
        <v/>
      </c>
      <c r="F170" s="11">
        <f>IF(A170="","",SUMIFS('Etsy Calc'!$O$2:$O$1501,'Etsy Calc'!$L$2:$L$1501,A170)+SUMIFS('Shopify Calc'!$O$2:$O$1501,'Shopify Calc'!$L$2:$L$1501,A170)+SUMIFS('Manual Sales'!$X$2:$X$1501,'Manual Sales'!$U$2:$U$1501,A170))</f>
        <v/>
      </c>
      <c r="G170" s="11">
        <f>IF(A170="","",IF($B$4=0,0,Settings!$B$14*C170/$B$4))</f>
        <v/>
      </c>
      <c r="H170" s="11">
        <f>IF(A170="","",C170-D170-E170-F170-G170)</f>
        <v/>
      </c>
      <c r="I170" s="11">
        <f>IF(OR(A170="",N(B170)=0),"",H170/B170)</f>
        <v/>
      </c>
      <c r="J170" s="12">
        <f>IF(OR(A170="",N(C170)=0),"",H170/C170)</f>
        <v/>
      </c>
      <c r="K170">
        <f>IF(A170="","",IF(N(B170)=0,"No sales",IF(H170&lt;0,"LOSING MONEY",IF(J170&lt;0.15,"Thin margin","Healthy"))))</f>
        <v/>
      </c>
    </row>
    <row r="171">
      <c r="A171">
        <f>IF(Products!A165="","",Products!A165)</f>
        <v/>
      </c>
      <c r="B171">
        <f>IF(A171="","",SUMIFS('Etsy Calc'!$D$2:$D$1501,'Etsy Calc'!$L$2:$L$1501,A171)+SUMIFS('Shopify Calc'!$D$2:$D$1501,'Shopify Calc'!$L$2:$L$1501,A171)+SUMIFS('Manual Sales'!$M$2:$M$1501,'Manual Sales'!$U$2:$U$1501,A171))</f>
        <v/>
      </c>
      <c r="C171" s="11">
        <f>IF(A171="","",SUMIFS('Etsy Calc'!$J$2:$J$1501,'Etsy Calc'!$L$2:$L$1501,A171)+SUMIFS('Shopify Calc'!$J$2:$J$1501,'Shopify Calc'!$L$2:$L$1501,A171)+SUMIFS('Manual Sales'!$S$2:$S$1501,'Manual Sales'!$U$2:$U$1501,A171))</f>
        <v/>
      </c>
      <c r="D171" s="11">
        <f>IF(A171="","",SUMIFS('Etsy Calc'!$M$2:$M$1501,'Etsy Calc'!$L$2:$L$1501,A171)+SUMIFS('Shopify Calc'!$M$2:$M$1501,'Shopify Calc'!$L$2:$L$1501,A171)+SUMIFS('Manual Sales'!$V$2:$V$1501,'Manual Sales'!$U$2:$U$1501,A171))</f>
        <v/>
      </c>
      <c r="E171" s="11">
        <f>IF(A171="","",SUMIFS('Etsy Calc'!$N$2:$N$1501,'Etsy Calc'!$L$2:$L$1501,A171)+SUMIFS('Shopify Calc'!$N$2:$N$1501,'Shopify Calc'!$L$2:$L$1501,A171)+SUMIFS('Manual Sales'!$W$2:$W$1501,'Manual Sales'!$U$2:$U$1501,A171))</f>
        <v/>
      </c>
      <c r="F171" s="11">
        <f>IF(A171="","",SUMIFS('Etsy Calc'!$O$2:$O$1501,'Etsy Calc'!$L$2:$L$1501,A171)+SUMIFS('Shopify Calc'!$O$2:$O$1501,'Shopify Calc'!$L$2:$L$1501,A171)+SUMIFS('Manual Sales'!$X$2:$X$1501,'Manual Sales'!$U$2:$U$1501,A171))</f>
        <v/>
      </c>
      <c r="G171" s="11">
        <f>IF(A171="","",IF($B$4=0,0,Settings!$B$14*C171/$B$4))</f>
        <v/>
      </c>
      <c r="H171" s="11">
        <f>IF(A171="","",C171-D171-E171-F171-G171)</f>
        <v/>
      </c>
      <c r="I171" s="11">
        <f>IF(OR(A171="",N(B171)=0),"",H171/B171)</f>
        <v/>
      </c>
      <c r="J171" s="12">
        <f>IF(OR(A171="",N(C171)=0),"",H171/C171)</f>
        <v/>
      </c>
      <c r="K171">
        <f>IF(A171="","",IF(N(B171)=0,"No sales",IF(H171&lt;0,"LOSING MONEY",IF(J171&lt;0.15,"Thin margin","Healthy"))))</f>
        <v/>
      </c>
    </row>
    <row r="172">
      <c r="A172">
        <f>IF(Products!A166="","",Products!A166)</f>
        <v/>
      </c>
      <c r="B172">
        <f>IF(A172="","",SUMIFS('Etsy Calc'!$D$2:$D$1501,'Etsy Calc'!$L$2:$L$1501,A172)+SUMIFS('Shopify Calc'!$D$2:$D$1501,'Shopify Calc'!$L$2:$L$1501,A172)+SUMIFS('Manual Sales'!$M$2:$M$1501,'Manual Sales'!$U$2:$U$1501,A172))</f>
        <v/>
      </c>
      <c r="C172" s="11">
        <f>IF(A172="","",SUMIFS('Etsy Calc'!$J$2:$J$1501,'Etsy Calc'!$L$2:$L$1501,A172)+SUMIFS('Shopify Calc'!$J$2:$J$1501,'Shopify Calc'!$L$2:$L$1501,A172)+SUMIFS('Manual Sales'!$S$2:$S$1501,'Manual Sales'!$U$2:$U$1501,A172))</f>
        <v/>
      </c>
      <c r="D172" s="11">
        <f>IF(A172="","",SUMIFS('Etsy Calc'!$M$2:$M$1501,'Etsy Calc'!$L$2:$L$1501,A172)+SUMIFS('Shopify Calc'!$M$2:$M$1501,'Shopify Calc'!$L$2:$L$1501,A172)+SUMIFS('Manual Sales'!$V$2:$V$1501,'Manual Sales'!$U$2:$U$1501,A172))</f>
        <v/>
      </c>
      <c r="E172" s="11">
        <f>IF(A172="","",SUMIFS('Etsy Calc'!$N$2:$N$1501,'Etsy Calc'!$L$2:$L$1501,A172)+SUMIFS('Shopify Calc'!$N$2:$N$1501,'Shopify Calc'!$L$2:$L$1501,A172)+SUMIFS('Manual Sales'!$W$2:$W$1501,'Manual Sales'!$U$2:$U$1501,A172))</f>
        <v/>
      </c>
      <c r="F172" s="11">
        <f>IF(A172="","",SUMIFS('Etsy Calc'!$O$2:$O$1501,'Etsy Calc'!$L$2:$L$1501,A172)+SUMIFS('Shopify Calc'!$O$2:$O$1501,'Shopify Calc'!$L$2:$L$1501,A172)+SUMIFS('Manual Sales'!$X$2:$X$1501,'Manual Sales'!$U$2:$U$1501,A172))</f>
        <v/>
      </c>
      <c r="G172" s="11">
        <f>IF(A172="","",IF($B$4=0,0,Settings!$B$14*C172/$B$4))</f>
        <v/>
      </c>
      <c r="H172" s="11">
        <f>IF(A172="","",C172-D172-E172-F172-G172)</f>
        <v/>
      </c>
      <c r="I172" s="11">
        <f>IF(OR(A172="",N(B172)=0),"",H172/B172)</f>
        <v/>
      </c>
      <c r="J172" s="12">
        <f>IF(OR(A172="",N(C172)=0),"",H172/C172)</f>
        <v/>
      </c>
      <c r="K172">
        <f>IF(A172="","",IF(N(B172)=0,"No sales",IF(H172&lt;0,"LOSING MONEY",IF(J172&lt;0.15,"Thin margin","Healthy"))))</f>
        <v/>
      </c>
    </row>
    <row r="173">
      <c r="A173">
        <f>IF(Products!A167="","",Products!A167)</f>
        <v/>
      </c>
      <c r="B173">
        <f>IF(A173="","",SUMIFS('Etsy Calc'!$D$2:$D$1501,'Etsy Calc'!$L$2:$L$1501,A173)+SUMIFS('Shopify Calc'!$D$2:$D$1501,'Shopify Calc'!$L$2:$L$1501,A173)+SUMIFS('Manual Sales'!$M$2:$M$1501,'Manual Sales'!$U$2:$U$1501,A173))</f>
        <v/>
      </c>
      <c r="C173" s="11">
        <f>IF(A173="","",SUMIFS('Etsy Calc'!$J$2:$J$1501,'Etsy Calc'!$L$2:$L$1501,A173)+SUMIFS('Shopify Calc'!$J$2:$J$1501,'Shopify Calc'!$L$2:$L$1501,A173)+SUMIFS('Manual Sales'!$S$2:$S$1501,'Manual Sales'!$U$2:$U$1501,A173))</f>
        <v/>
      </c>
      <c r="D173" s="11">
        <f>IF(A173="","",SUMIFS('Etsy Calc'!$M$2:$M$1501,'Etsy Calc'!$L$2:$L$1501,A173)+SUMIFS('Shopify Calc'!$M$2:$M$1501,'Shopify Calc'!$L$2:$L$1501,A173)+SUMIFS('Manual Sales'!$V$2:$V$1501,'Manual Sales'!$U$2:$U$1501,A173))</f>
        <v/>
      </c>
      <c r="E173" s="11">
        <f>IF(A173="","",SUMIFS('Etsy Calc'!$N$2:$N$1501,'Etsy Calc'!$L$2:$L$1501,A173)+SUMIFS('Shopify Calc'!$N$2:$N$1501,'Shopify Calc'!$L$2:$L$1501,A173)+SUMIFS('Manual Sales'!$W$2:$W$1501,'Manual Sales'!$U$2:$U$1501,A173))</f>
        <v/>
      </c>
      <c r="F173" s="11">
        <f>IF(A173="","",SUMIFS('Etsy Calc'!$O$2:$O$1501,'Etsy Calc'!$L$2:$L$1501,A173)+SUMIFS('Shopify Calc'!$O$2:$O$1501,'Shopify Calc'!$L$2:$L$1501,A173)+SUMIFS('Manual Sales'!$X$2:$X$1501,'Manual Sales'!$U$2:$U$1501,A173))</f>
        <v/>
      </c>
      <c r="G173" s="11">
        <f>IF(A173="","",IF($B$4=0,0,Settings!$B$14*C173/$B$4))</f>
        <v/>
      </c>
      <c r="H173" s="11">
        <f>IF(A173="","",C173-D173-E173-F173-G173)</f>
        <v/>
      </c>
      <c r="I173" s="11">
        <f>IF(OR(A173="",N(B173)=0),"",H173/B173)</f>
        <v/>
      </c>
      <c r="J173" s="12">
        <f>IF(OR(A173="",N(C173)=0),"",H173/C173)</f>
        <v/>
      </c>
      <c r="K173">
        <f>IF(A173="","",IF(N(B173)=0,"No sales",IF(H173&lt;0,"LOSING MONEY",IF(J173&lt;0.15,"Thin margin","Healthy"))))</f>
        <v/>
      </c>
    </row>
    <row r="174">
      <c r="A174">
        <f>IF(Products!A168="","",Products!A168)</f>
        <v/>
      </c>
      <c r="B174">
        <f>IF(A174="","",SUMIFS('Etsy Calc'!$D$2:$D$1501,'Etsy Calc'!$L$2:$L$1501,A174)+SUMIFS('Shopify Calc'!$D$2:$D$1501,'Shopify Calc'!$L$2:$L$1501,A174)+SUMIFS('Manual Sales'!$M$2:$M$1501,'Manual Sales'!$U$2:$U$1501,A174))</f>
        <v/>
      </c>
      <c r="C174" s="11">
        <f>IF(A174="","",SUMIFS('Etsy Calc'!$J$2:$J$1501,'Etsy Calc'!$L$2:$L$1501,A174)+SUMIFS('Shopify Calc'!$J$2:$J$1501,'Shopify Calc'!$L$2:$L$1501,A174)+SUMIFS('Manual Sales'!$S$2:$S$1501,'Manual Sales'!$U$2:$U$1501,A174))</f>
        <v/>
      </c>
      <c r="D174" s="11">
        <f>IF(A174="","",SUMIFS('Etsy Calc'!$M$2:$M$1501,'Etsy Calc'!$L$2:$L$1501,A174)+SUMIFS('Shopify Calc'!$M$2:$M$1501,'Shopify Calc'!$L$2:$L$1501,A174)+SUMIFS('Manual Sales'!$V$2:$V$1501,'Manual Sales'!$U$2:$U$1501,A174))</f>
        <v/>
      </c>
      <c r="E174" s="11">
        <f>IF(A174="","",SUMIFS('Etsy Calc'!$N$2:$N$1501,'Etsy Calc'!$L$2:$L$1501,A174)+SUMIFS('Shopify Calc'!$N$2:$N$1501,'Shopify Calc'!$L$2:$L$1501,A174)+SUMIFS('Manual Sales'!$W$2:$W$1501,'Manual Sales'!$U$2:$U$1501,A174))</f>
        <v/>
      </c>
      <c r="F174" s="11">
        <f>IF(A174="","",SUMIFS('Etsy Calc'!$O$2:$O$1501,'Etsy Calc'!$L$2:$L$1501,A174)+SUMIFS('Shopify Calc'!$O$2:$O$1501,'Shopify Calc'!$L$2:$L$1501,A174)+SUMIFS('Manual Sales'!$X$2:$X$1501,'Manual Sales'!$U$2:$U$1501,A174))</f>
        <v/>
      </c>
      <c r="G174" s="11">
        <f>IF(A174="","",IF($B$4=0,0,Settings!$B$14*C174/$B$4))</f>
        <v/>
      </c>
      <c r="H174" s="11">
        <f>IF(A174="","",C174-D174-E174-F174-G174)</f>
        <v/>
      </c>
      <c r="I174" s="11">
        <f>IF(OR(A174="",N(B174)=0),"",H174/B174)</f>
        <v/>
      </c>
      <c r="J174" s="12">
        <f>IF(OR(A174="",N(C174)=0),"",H174/C174)</f>
        <v/>
      </c>
      <c r="K174">
        <f>IF(A174="","",IF(N(B174)=0,"No sales",IF(H174&lt;0,"LOSING MONEY",IF(J174&lt;0.15,"Thin margin","Healthy"))))</f>
        <v/>
      </c>
    </row>
    <row r="175">
      <c r="A175">
        <f>IF(Products!A169="","",Products!A169)</f>
        <v/>
      </c>
      <c r="B175">
        <f>IF(A175="","",SUMIFS('Etsy Calc'!$D$2:$D$1501,'Etsy Calc'!$L$2:$L$1501,A175)+SUMIFS('Shopify Calc'!$D$2:$D$1501,'Shopify Calc'!$L$2:$L$1501,A175)+SUMIFS('Manual Sales'!$M$2:$M$1501,'Manual Sales'!$U$2:$U$1501,A175))</f>
        <v/>
      </c>
      <c r="C175" s="11">
        <f>IF(A175="","",SUMIFS('Etsy Calc'!$J$2:$J$1501,'Etsy Calc'!$L$2:$L$1501,A175)+SUMIFS('Shopify Calc'!$J$2:$J$1501,'Shopify Calc'!$L$2:$L$1501,A175)+SUMIFS('Manual Sales'!$S$2:$S$1501,'Manual Sales'!$U$2:$U$1501,A175))</f>
        <v/>
      </c>
      <c r="D175" s="11">
        <f>IF(A175="","",SUMIFS('Etsy Calc'!$M$2:$M$1501,'Etsy Calc'!$L$2:$L$1501,A175)+SUMIFS('Shopify Calc'!$M$2:$M$1501,'Shopify Calc'!$L$2:$L$1501,A175)+SUMIFS('Manual Sales'!$V$2:$V$1501,'Manual Sales'!$U$2:$U$1501,A175))</f>
        <v/>
      </c>
      <c r="E175" s="11">
        <f>IF(A175="","",SUMIFS('Etsy Calc'!$N$2:$N$1501,'Etsy Calc'!$L$2:$L$1501,A175)+SUMIFS('Shopify Calc'!$N$2:$N$1501,'Shopify Calc'!$L$2:$L$1501,A175)+SUMIFS('Manual Sales'!$W$2:$W$1501,'Manual Sales'!$U$2:$U$1501,A175))</f>
        <v/>
      </c>
      <c r="F175" s="11">
        <f>IF(A175="","",SUMIFS('Etsy Calc'!$O$2:$O$1501,'Etsy Calc'!$L$2:$L$1501,A175)+SUMIFS('Shopify Calc'!$O$2:$O$1501,'Shopify Calc'!$L$2:$L$1501,A175)+SUMIFS('Manual Sales'!$X$2:$X$1501,'Manual Sales'!$U$2:$U$1501,A175))</f>
        <v/>
      </c>
      <c r="G175" s="11">
        <f>IF(A175="","",IF($B$4=0,0,Settings!$B$14*C175/$B$4))</f>
        <v/>
      </c>
      <c r="H175" s="11">
        <f>IF(A175="","",C175-D175-E175-F175-G175)</f>
        <v/>
      </c>
      <c r="I175" s="11">
        <f>IF(OR(A175="",N(B175)=0),"",H175/B175)</f>
        <v/>
      </c>
      <c r="J175" s="12">
        <f>IF(OR(A175="",N(C175)=0),"",H175/C175)</f>
        <v/>
      </c>
      <c r="K175">
        <f>IF(A175="","",IF(N(B175)=0,"No sales",IF(H175&lt;0,"LOSING MONEY",IF(J175&lt;0.15,"Thin margin","Healthy"))))</f>
        <v/>
      </c>
    </row>
    <row r="176">
      <c r="A176">
        <f>IF(Products!A170="","",Products!A170)</f>
        <v/>
      </c>
      <c r="B176">
        <f>IF(A176="","",SUMIFS('Etsy Calc'!$D$2:$D$1501,'Etsy Calc'!$L$2:$L$1501,A176)+SUMIFS('Shopify Calc'!$D$2:$D$1501,'Shopify Calc'!$L$2:$L$1501,A176)+SUMIFS('Manual Sales'!$M$2:$M$1501,'Manual Sales'!$U$2:$U$1501,A176))</f>
        <v/>
      </c>
      <c r="C176" s="11">
        <f>IF(A176="","",SUMIFS('Etsy Calc'!$J$2:$J$1501,'Etsy Calc'!$L$2:$L$1501,A176)+SUMIFS('Shopify Calc'!$J$2:$J$1501,'Shopify Calc'!$L$2:$L$1501,A176)+SUMIFS('Manual Sales'!$S$2:$S$1501,'Manual Sales'!$U$2:$U$1501,A176))</f>
        <v/>
      </c>
      <c r="D176" s="11">
        <f>IF(A176="","",SUMIFS('Etsy Calc'!$M$2:$M$1501,'Etsy Calc'!$L$2:$L$1501,A176)+SUMIFS('Shopify Calc'!$M$2:$M$1501,'Shopify Calc'!$L$2:$L$1501,A176)+SUMIFS('Manual Sales'!$V$2:$V$1501,'Manual Sales'!$U$2:$U$1501,A176))</f>
        <v/>
      </c>
      <c r="E176" s="11">
        <f>IF(A176="","",SUMIFS('Etsy Calc'!$N$2:$N$1501,'Etsy Calc'!$L$2:$L$1501,A176)+SUMIFS('Shopify Calc'!$N$2:$N$1501,'Shopify Calc'!$L$2:$L$1501,A176)+SUMIFS('Manual Sales'!$W$2:$W$1501,'Manual Sales'!$U$2:$U$1501,A176))</f>
        <v/>
      </c>
      <c r="F176" s="11">
        <f>IF(A176="","",SUMIFS('Etsy Calc'!$O$2:$O$1501,'Etsy Calc'!$L$2:$L$1501,A176)+SUMIFS('Shopify Calc'!$O$2:$O$1501,'Shopify Calc'!$L$2:$L$1501,A176)+SUMIFS('Manual Sales'!$X$2:$X$1501,'Manual Sales'!$U$2:$U$1501,A176))</f>
        <v/>
      </c>
      <c r="G176" s="11">
        <f>IF(A176="","",IF($B$4=0,0,Settings!$B$14*C176/$B$4))</f>
        <v/>
      </c>
      <c r="H176" s="11">
        <f>IF(A176="","",C176-D176-E176-F176-G176)</f>
        <v/>
      </c>
      <c r="I176" s="11">
        <f>IF(OR(A176="",N(B176)=0),"",H176/B176)</f>
        <v/>
      </c>
      <c r="J176" s="12">
        <f>IF(OR(A176="",N(C176)=0),"",H176/C176)</f>
        <v/>
      </c>
      <c r="K176">
        <f>IF(A176="","",IF(N(B176)=0,"No sales",IF(H176&lt;0,"LOSING MONEY",IF(J176&lt;0.15,"Thin margin","Healthy"))))</f>
        <v/>
      </c>
    </row>
    <row r="177">
      <c r="A177">
        <f>IF(Products!A171="","",Products!A171)</f>
        <v/>
      </c>
      <c r="B177">
        <f>IF(A177="","",SUMIFS('Etsy Calc'!$D$2:$D$1501,'Etsy Calc'!$L$2:$L$1501,A177)+SUMIFS('Shopify Calc'!$D$2:$D$1501,'Shopify Calc'!$L$2:$L$1501,A177)+SUMIFS('Manual Sales'!$M$2:$M$1501,'Manual Sales'!$U$2:$U$1501,A177))</f>
        <v/>
      </c>
      <c r="C177" s="11">
        <f>IF(A177="","",SUMIFS('Etsy Calc'!$J$2:$J$1501,'Etsy Calc'!$L$2:$L$1501,A177)+SUMIFS('Shopify Calc'!$J$2:$J$1501,'Shopify Calc'!$L$2:$L$1501,A177)+SUMIFS('Manual Sales'!$S$2:$S$1501,'Manual Sales'!$U$2:$U$1501,A177))</f>
        <v/>
      </c>
      <c r="D177" s="11">
        <f>IF(A177="","",SUMIFS('Etsy Calc'!$M$2:$M$1501,'Etsy Calc'!$L$2:$L$1501,A177)+SUMIFS('Shopify Calc'!$M$2:$M$1501,'Shopify Calc'!$L$2:$L$1501,A177)+SUMIFS('Manual Sales'!$V$2:$V$1501,'Manual Sales'!$U$2:$U$1501,A177))</f>
        <v/>
      </c>
      <c r="E177" s="11">
        <f>IF(A177="","",SUMIFS('Etsy Calc'!$N$2:$N$1501,'Etsy Calc'!$L$2:$L$1501,A177)+SUMIFS('Shopify Calc'!$N$2:$N$1501,'Shopify Calc'!$L$2:$L$1501,A177)+SUMIFS('Manual Sales'!$W$2:$W$1501,'Manual Sales'!$U$2:$U$1501,A177))</f>
        <v/>
      </c>
      <c r="F177" s="11">
        <f>IF(A177="","",SUMIFS('Etsy Calc'!$O$2:$O$1501,'Etsy Calc'!$L$2:$L$1501,A177)+SUMIFS('Shopify Calc'!$O$2:$O$1501,'Shopify Calc'!$L$2:$L$1501,A177)+SUMIFS('Manual Sales'!$X$2:$X$1501,'Manual Sales'!$U$2:$U$1501,A177))</f>
        <v/>
      </c>
      <c r="G177" s="11">
        <f>IF(A177="","",IF($B$4=0,0,Settings!$B$14*C177/$B$4))</f>
        <v/>
      </c>
      <c r="H177" s="11">
        <f>IF(A177="","",C177-D177-E177-F177-G177)</f>
        <v/>
      </c>
      <c r="I177" s="11">
        <f>IF(OR(A177="",N(B177)=0),"",H177/B177)</f>
        <v/>
      </c>
      <c r="J177" s="12">
        <f>IF(OR(A177="",N(C177)=0),"",H177/C177)</f>
        <v/>
      </c>
      <c r="K177">
        <f>IF(A177="","",IF(N(B177)=0,"No sales",IF(H177&lt;0,"LOSING MONEY",IF(J177&lt;0.15,"Thin margin","Healthy"))))</f>
        <v/>
      </c>
    </row>
    <row r="178">
      <c r="A178">
        <f>IF(Products!A172="","",Products!A172)</f>
        <v/>
      </c>
      <c r="B178">
        <f>IF(A178="","",SUMIFS('Etsy Calc'!$D$2:$D$1501,'Etsy Calc'!$L$2:$L$1501,A178)+SUMIFS('Shopify Calc'!$D$2:$D$1501,'Shopify Calc'!$L$2:$L$1501,A178)+SUMIFS('Manual Sales'!$M$2:$M$1501,'Manual Sales'!$U$2:$U$1501,A178))</f>
        <v/>
      </c>
      <c r="C178" s="11">
        <f>IF(A178="","",SUMIFS('Etsy Calc'!$J$2:$J$1501,'Etsy Calc'!$L$2:$L$1501,A178)+SUMIFS('Shopify Calc'!$J$2:$J$1501,'Shopify Calc'!$L$2:$L$1501,A178)+SUMIFS('Manual Sales'!$S$2:$S$1501,'Manual Sales'!$U$2:$U$1501,A178))</f>
        <v/>
      </c>
      <c r="D178" s="11">
        <f>IF(A178="","",SUMIFS('Etsy Calc'!$M$2:$M$1501,'Etsy Calc'!$L$2:$L$1501,A178)+SUMIFS('Shopify Calc'!$M$2:$M$1501,'Shopify Calc'!$L$2:$L$1501,A178)+SUMIFS('Manual Sales'!$V$2:$V$1501,'Manual Sales'!$U$2:$U$1501,A178))</f>
        <v/>
      </c>
      <c r="E178" s="11">
        <f>IF(A178="","",SUMIFS('Etsy Calc'!$N$2:$N$1501,'Etsy Calc'!$L$2:$L$1501,A178)+SUMIFS('Shopify Calc'!$N$2:$N$1501,'Shopify Calc'!$L$2:$L$1501,A178)+SUMIFS('Manual Sales'!$W$2:$W$1501,'Manual Sales'!$U$2:$U$1501,A178))</f>
        <v/>
      </c>
      <c r="F178" s="11">
        <f>IF(A178="","",SUMIFS('Etsy Calc'!$O$2:$O$1501,'Etsy Calc'!$L$2:$L$1501,A178)+SUMIFS('Shopify Calc'!$O$2:$O$1501,'Shopify Calc'!$L$2:$L$1501,A178)+SUMIFS('Manual Sales'!$X$2:$X$1501,'Manual Sales'!$U$2:$U$1501,A178))</f>
        <v/>
      </c>
      <c r="G178" s="11">
        <f>IF(A178="","",IF($B$4=0,0,Settings!$B$14*C178/$B$4))</f>
        <v/>
      </c>
      <c r="H178" s="11">
        <f>IF(A178="","",C178-D178-E178-F178-G178)</f>
        <v/>
      </c>
      <c r="I178" s="11">
        <f>IF(OR(A178="",N(B178)=0),"",H178/B178)</f>
        <v/>
      </c>
      <c r="J178" s="12">
        <f>IF(OR(A178="",N(C178)=0),"",H178/C178)</f>
        <v/>
      </c>
      <c r="K178">
        <f>IF(A178="","",IF(N(B178)=0,"No sales",IF(H178&lt;0,"LOSING MONEY",IF(J178&lt;0.15,"Thin margin","Healthy"))))</f>
        <v/>
      </c>
    </row>
    <row r="179">
      <c r="A179">
        <f>IF(Products!A173="","",Products!A173)</f>
        <v/>
      </c>
      <c r="B179">
        <f>IF(A179="","",SUMIFS('Etsy Calc'!$D$2:$D$1501,'Etsy Calc'!$L$2:$L$1501,A179)+SUMIFS('Shopify Calc'!$D$2:$D$1501,'Shopify Calc'!$L$2:$L$1501,A179)+SUMIFS('Manual Sales'!$M$2:$M$1501,'Manual Sales'!$U$2:$U$1501,A179))</f>
        <v/>
      </c>
      <c r="C179" s="11">
        <f>IF(A179="","",SUMIFS('Etsy Calc'!$J$2:$J$1501,'Etsy Calc'!$L$2:$L$1501,A179)+SUMIFS('Shopify Calc'!$J$2:$J$1501,'Shopify Calc'!$L$2:$L$1501,A179)+SUMIFS('Manual Sales'!$S$2:$S$1501,'Manual Sales'!$U$2:$U$1501,A179))</f>
        <v/>
      </c>
      <c r="D179" s="11">
        <f>IF(A179="","",SUMIFS('Etsy Calc'!$M$2:$M$1501,'Etsy Calc'!$L$2:$L$1501,A179)+SUMIFS('Shopify Calc'!$M$2:$M$1501,'Shopify Calc'!$L$2:$L$1501,A179)+SUMIFS('Manual Sales'!$V$2:$V$1501,'Manual Sales'!$U$2:$U$1501,A179))</f>
        <v/>
      </c>
      <c r="E179" s="11">
        <f>IF(A179="","",SUMIFS('Etsy Calc'!$N$2:$N$1501,'Etsy Calc'!$L$2:$L$1501,A179)+SUMIFS('Shopify Calc'!$N$2:$N$1501,'Shopify Calc'!$L$2:$L$1501,A179)+SUMIFS('Manual Sales'!$W$2:$W$1501,'Manual Sales'!$U$2:$U$1501,A179))</f>
        <v/>
      </c>
      <c r="F179" s="11">
        <f>IF(A179="","",SUMIFS('Etsy Calc'!$O$2:$O$1501,'Etsy Calc'!$L$2:$L$1501,A179)+SUMIFS('Shopify Calc'!$O$2:$O$1501,'Shopify Calc'!$L$2:$L$1501,A179)+SUMIFS('Manual Sales'!$X$2:$X$1501,'Manual Sales'!$U$2:$U$1501,A179))</f>
        <v/>
      </c>
      <c r="G179" s="11">
        <f>IF(A179="","",IF($B$4=0,0,Settings!$B$14*C179/$B$4))</f>
        <v/>
      </c>
      <c r="H179" s="11">
        <f>IF(A179="","",C179-D179-E179-F179-G179)</f>
        <v/>
      </c>
      <c r="I179" s="11">
        <f>IF(OR(A179="",N(B179)=0),"",H179/B179)</f>
        <v/>
      </c>
      <c r="J179" s="12">
        <f>IF(OR(A179="",N(C179)=0),"",H179/C179)</f>
        <v/>
      </c>
      <c r="K179">
        <f>IF(A179="","",IF(N(B179)=0,"No sales",IF(H179&lt;0,"LOSING MONEY",IF(J179&lt;0.15,"Thin margin","Healthy"))))</f>
        <v/>
      </c>
    </row>
    <row r="180">
      <c r="A180">
        <f>IF(Products!A174="","",Products!A174)</f>
        <v/>
      </c>
      <c r="B180">
        <f>IF(A180="","",SUMIFS('Etsy Calc'!$D$2:$D$1501,'Etsy Calc'!$L$2:$L$1501,A180)+SUMIFS('Shopify Calc'!$D$2:$D$1501,'Shopify Calc'!$L$2:$L$1501,A180)+SUMIFS('Manual Sales'!$M$2:$M$1501,'Manual Sales'!$U$2:$U$1501,A180))</f>
        <v/>
      </c>
      <c r="C180" s="11">
        <f>IF(A180="","",SUMIFS('Etsy Calc'!$J$2:$J$1501,'Etsy Calc'!$L$2:$L$1501,A180)+SUMIFS('Shopify Calc'!$J$2:$J$1501,'Shopify Calc'!$L$2:$L$1501,A180)+SUMIFS('Manual Sales'!$S$2:$S$1501,'Manual Sales'!$U$2:$U$1501,A180))</f>
        <v/>
      </c>
      <c r="D180" s="11">
        <f>IF(A180="","",SUMIFS('Etsy Calc'!$M$2:$M$1501,'Etsy Calc'!$L$2:$L$1501,A180)+SUMIFS('Shopify Calc'!$M$2:$M$1501,'Shopify Calc'!$L$2:$L$1501,A180)+SUMIFS('Manual Sales'!$V$2:$V$1501,'Manual Sales'!$U$2:$U$1501,A180))</f>
        <v/>
      </c>
      <c r="E180" s="11">
        <f>IF(A180="","",SUMIFS('Etsy Calc'!$N$2:$N$1501,'Etsy Calc'!$L$2:$L$1501,A180)+SUMIFS('Shopify Calc'!$N$2:$N$1501,'Shopify Calc'!$L$2:$L$1501,A180)+SUMIFS('Manual Sales'!$W$2:$W$1501,'Manual Sales'!$U$2:$U$1501,A180))</f>
        <v/>
      </c>
      <c r="F180" s="11">
        <f>IF(A180="","",SUMIFS('Etsy Calc'!$O$2:$O$1501,'Etsy Calc'!$L$2:$L$1501,A180)+SUMIFS('Shopify Calc'!$O$2:$O$1501,'Shopify Calc'!$L$2:$L$1501,A180)+SUMIFS('Manual Sales'!$X$2:$X$1501,'Manual Sales'!$U$2:$U$1501,A180))</f>
        <v/>
      </c>
      <c r="G180" s="11">
        <f>IF(A180="","",IF($B$4=0,0,Settings!$B$14*C180/$B$4))</f>
        <v/>
      </c>
      <c r="H180" s="11">
        <f>IF(A180="","",C180-D180-E180-F180-G180)</f>
        <v/>
      </c>
      <c r="I180" s="11">
        <f>IF(OR(A180="",N(B180)=0),"",H180/B180)</f>
        <v/>
      </c>
      <c r="J180" s="12">
        <f>IF(OR(A180="",N(C180)=0),"",H180/C180)</f>
        <v/>
      </c>
      <c r="K180">
        <f>IF(A180="","",IF(N(B180)=0,"No sales",IF(H180&lt;0,"LOSING MONEY",IF(J180&lt;0.15,"Thin margin","Healthy"))))</f>
        <v/>
      </c>
    </row>
    <row r="181">
      <c r="A181">
        <f>IF(Products!A175="","",Products!A175)</f>
        <v/>
      </c>
      <c r="B181">
        <f>IF(A181="","",SUMIFS('Etsy Calc'!$D$2:$D$1501,'Etsy Calc'!$L$2:$L$1501,A181)+SUMIFS('Shopify Calc'!$D$2:$D$1501,'Shopify Calc'!$L$2:$L$1501,A181)+SUMIFS('Manual Sales'!$M$2:$M$1501,'Manual Sales'!$U$2:$U$1501,A181))</f>
        <v/>
      </c>
      <c r="C181" s="11">
        <f>IF(A181="","",SUMIFS('Etsy Calc'!$J$2:$J$1501,'Etsy Calc'!$L$2:$L$1501,A181)+SUMIFS('Shopify Calc'!$J$2:$J$1501,'Shopify Calc'!$L$2:$L$1501,A181)+SUMIFS('Manual Sales'!$S$2:$S$1501,'Manual Sales'!$U$2:$U$1501,A181))</f>
        <v/>
      </c>
      <c r="D181" s="11">
        <f>IF(A181="","",SUMIFS('Etsy Calc'!$M$2:$M$1501,'Etsy Calc'!$L$2:$L$1501,A181)+SUMIFS('Shopify Calc'!$M$2:$M$1501,'Shopify Calc'!$L$2:$L$1501,A181)+SUMIFS('Manual Sales'!$V$2:$V$1501,'Manual Sales'!$U$2:$U$1501,A181))</f>
        <v/>
      </c>
      <c r="E181" s="11">
        <f>IF(A181="","",SUMIFS('Etsy Calc'!$N$2:$N$1501,'Etsy Calc'!$L$2:$L$1501,A181)+SUMIFS('Shopify Calc'!$N$2:$N$1501,'Shopify Calc'!$L$2:$L$1501,A181)+SUMIFS('Manual Sales'!$W$2:$W$1501,'Manual Sales'!$U$2:$U$1501,A181))</f>
        <v/>
      </c>
      <c r="F181" s="11">
        <f>IF(A181="","",SUMIFS('Etsy Calc'!$O$2:$O$1501,'Etsy Calc'!$L$2:$L$1501,A181)+SUMIFS('Shopify Calc'!$O$2:$O$1501,'Shopify Calc'!$L$2:$L$1501,A181)+SUMIFS('Manual Sales'!$X$2:$X$1501,'Manual Sales'!$U$2:$U$1501,A181))</f>
        <v/>
      </c>
      <c r="G181" s="11">
        <f>IF(A181="","",IF($B$4=0,0,Settings!$B$14*C181/$B$4))</f>
        <v/>
      </c>
      <c r="H181" s="11">
        <f>IF(A181="","",C181-D181-E181-F181-G181)</f>
        <v/>
      </c>
      <c r="I181" s="11">
        <f>IF(OR(A181="",N(B181)=0),"",H181/B181)</f>
        <v/>
      </c>
      <c r="J181" s="12">
        <f>IF(OR(A181="",N(C181)=0),"",H181/C181)</f>
        <v/>
      </c>
      <c r="K181">
        <f>IF(A181="","",IF(N(B181)=0,"No sales",IF(H181&lt;0,"LOSING MONEY",IF(J181&lt;0.15,"Thin margin","Healthy"))))</f>
        <v/>
      </c>
    </row>
    <row r="182">
      <c r="A182">
        <f>IF(Products!A176="","",Products!A176)</f>
        <v/>
      </c>
      <c r="B182">
        <f>IF(A182="","",SUMIFS('Etsy Calc'!$D$2:$D$1501,'Etsy Calc'!$L$2:$L$1501,A182)+SUMIFS('Shopify Calc'!$D$2:$D$1501,'Shopify Calc'!$L$2:$L$1501,A182)+SUMIFS('Manual Sales'!$M$2:$M$1501,'Manual Sales'!$U$2:$U$1501,A182))</f>
        <v/>
      </c>
      <c r="C182" s="11">
        <f>IF(A182="","",SUMIFS('Etsy Calc'!$J$2:$J$1501,'Etsy Calc'!$L$2:$L$1501,A182)+SUMIFS('Shopify Calc'!$J$2:$J$1501,'Shopify Calc'!$L$2:$L$1501,A182)+SUMIFS('Manual Sales'!$S$2:$S$1501,'Manual Sales'!$U$2:$U$1501,A182))</f>
        <v/>
      </c>
      <c r="D182" s="11">
        <f>IF(A182="","",SUMIFS('Etsy Calc'!$M$2:$M$1501,'Etsy Calc'!$L$2:$L$1501,A182)+SUMIFS('Shopify Calc'!$M$2:$M$1501,'Shopify Calc'!$L$2:$L$1501,A182)+SUMIFS('Manual Sales'!$V$2:$V$1501,'Manual Sales'!$U$2:$U$1501,A182))</f>
        <v/>
      </c>
      <c r="E182" s="11">
        <f>IF(A182="","",SUMIFS('Etsy Calc'!$N$2:$N$1501,'Etsy Calc'!$L$2:$L$1501,A182)+SUMIFS('Shopify Calc'!$N$2:$N$1501,'Shopify Calc'!$L$2:$L$1501,A182)+SUMIFS('Manual Sales'!$W$2:$W$1501,'Manual Sales'!$U$2:$U$1501,A182))</f>
        <v/>
      </c>
      <c r="F182" s="11">
        <f>IF(A182="","",SUMIFS('Etsy Calc'!$O$2:$O$1501,'Etsy Calc'!$L$2:$L$1501,A182)+SUMIFS('Shopify Calc'!$O$2:$O$1501,'Shopify Calc'!$L$2:$L$1501,A182)+SUMIFS('Manual Sales'!$X$2:$X$1501,'Manual Sales'!$U$2:$U$1501,A182))</f>
        <v/>
      </c>
      <c r="G182" s="11">
        <f>IF(A182="","",IF($B$4=0,0,Settings!$B$14*C182/$B$4))</f>
        <v/>
      </c>
      <c r="H182" s="11">
        <f>IF(A182="","",C182-D182-E182-F182-G182)</f>
        <v/>
      </c>
      <c r="I182" s="11">
        <f>IF(OR(A182="",N(B182)=0),"",H182/B182)</f>
        <v/>
      </c>
      <c r="J182" s="12">
        <f>IF(OR(A182="",N(C182)=0),"",H182/C182)</f>
        <v/>
      </c>
      <c r="K182">
        <f>IF(A182="","",IF(N(B182)=0,"No sales",IF(H182&lt;0,"LOSING MONEY",IF(J182&lt;0.15,"Thin margin","Healthy"))))</f>
        <v/>
      </c>
    </row>
    <row r="183">
      <c r="A183">
        <f>IF(Products!A177="","",Products!A177)</f>
        <v/>
      </c>
      <c r="B183">
        <f>IF(A183="","",SUMIFS('Etsy Calc'!$D$2:$D$1501,'Etsy Calc'!$L$2:$L$1501,A183)+SUMIFS('Shopify Calc'!$D$2:$D$1501,'Shopify Calc'!$L$2:$L$1501,A183)+SUMIFS('Manual Sales'!$M$2:$M$1501,'Manual Sales'!$U$2:$U$1501,A183))</f>
        <v/>
      </c>
      <c r="C183" s="11">
        <f>IF(A183="","",SUMIFS('Etsy Calc'!$J$2:$J$1501,'Etsy Calc'!$L$2:$L$1501,A183)+SUMIFS('Shopify Calc'!$J$2:$J$1501,'Shopify Calc'!$L$2:$L$1501,A183)+SUMIFS('Manual Sales'!$S$2:$S$1501,'Manual Sales'!$U$2:$U$1501,A183))</f>
        <v/>
      </c>
      <c r="D183" s="11">
        <f>IF(A183="","",SUMIFS('Etsy Calc'!$M$2:$M$1501,'Etsy Calc'!$L$2:$L$1501,A183)+SUMIFS('Shopify Calc'!$M$2:$M$1501,'Shopify Calc'!$L$2:$L$1501,A183)+SUMIFS('Manual Sales'!$V$2:$V$1501,'Manual Sales'!$U$2:$U$1501,A183))</f>
        <v/>
      </c>
      <c r="E183" s="11">
        <f>IF(A183="","",SUMIFS('Etsy Calc'!$N$2:$N$1501,'Etsy Calc'!$L$2:$L$1501,A183)+SUMIFS('Shopify Calc'!$N$2:$N$1501,'Shopify Calc'!$L$2:$L$1501,A183)+SUMIFS('Manual Sales'!$W$2:$W$1501,'Manual Sales'!$U$2:$U$1501,A183))</f>
        <v/>
      </c>
      <c r="F183" s="11">
        <f>IF(A183="","",SUMIFS('Etsy Calc'!$O$2:$O$1501,'Etsy Calc'!$L$2:$L$1501,A183)+SUMIFS('Shopify Calc'!$O$2:$O$1501,'Shopify Calc'!$L$2:$L$1501,A183)+SUMIFS('Manual Sales'!$X$2:$X$1501,'Manual Sales'!$U$2:$U$1501,A183))</f>
        <v/>
      </c>
      <c r="G183" s="11">
        <f>IF(A183="","",IF($B$4=0,0,Settings!$B$14*C183/$B$4))</f>
        <v/>
      </c>
      <c r="H183" s="11">
        <f>IF(A183="","",C183-D183-E183-F183-G183)</f>
        <v/>
      </c>
      <c r="I183" s="11">
        <f>IF(OR(A183="",N(B183)=0),"",H183/B183)</f>
        <v/>
      </c>
      <c r="J183" s="12">
        <f>IF(OR(A183="",N(C183)=0),"",H183/C183)</f>
        <v/>
      </c>
      <c r="K183">
        <f>IF(A183="","",IF(N(B183)=0,"No sales",IF(H183&lt;0,"LOSING MONEY",IF(J183&lt;0.15,"Thin margin","Healthy"))))</f>
        <v/>
      </c>
    </row>
    <row r="184">
      <c r="A184">
        <f>IF(Products!A178="","",Products!A178)</f>
        <v/>
      </c>
      <c r="B184">
        <f>IF(A184="","",SUMIFS('Etsy Calc'!$D$2:$D$1501,'Etsy Calc'!$L$2:$L$1501,A184)+SUMIFS('Shopify Calc'!$D$2:$D$1501,'Shopify Calc'!$L$2:$L$1501,A184)+SUMIFS('Manual Sales'!$M$2:$M$1501,'Manual Sales'!$U$2:$U$1501,A184))</f>
        <v/>
      </c>
      <c r="C184" s="11">
        <f>IF(A184="","",SUMIFS('Etsy Calc'!$J$2:$J$1501,'Etsy Calc'!$L$2:$L$1501,A184)+SUMIFS('Shopify Calc'!$J$2:$J$1501,'Shopify Calc'!$L$2:$L$1501,A184)+SUMIFS('Manual Sales'!$S$2:$S$1501,'Manual Sales'!$U$2:$U$1501,A184))</f>
        <v/>
      </c>
      <c r="D184" s="11">
        <f>IF(A184="","",SUMIFS('Etsy Calc'!$M$2:$M$1501,'Etsy Calc'!$L$2:$L$1501,A184)+SUMIFS('Shopify Calc'!$M$2:$M$1501,'Shopify Calc'!$L$2:$L$1501,A184)+SUMIFS('Manual Sales'!$V$2:$V$1501,'Manual Sales'!$U$2:$U$1501,A184))</f>
        <v/>
      </c>
      <c r="E184" s="11">
        <f>IF(A184="","",SUMIFS('Etsy Calc'!$N$2:$N$1501,'Etsy Calc'!$L$2:$L$1501,A184)+SUMIFS('Shopify Calc'!$N$2:$N$1501,'Shopify Calc'!$L$2:$L$1501,A184)+SUMIFS('Manual Sales'!$W$2:$W$1501,'Manual Sales'!$U$2:$U$1501,A184))</f>
        <v/>
      </c>
      <c r="F184" s="11">
        <f>IF(A184="","",SUMIFS('Etsy Calc'!$O$2:$O$1501,'Etsy Calc'!$L$2:$L$1501,A184)+SUMIFS('Shopify Calc'!$O$2:$O$1501,'Shopify Calc'!$L$2:$L$1501,A184)+SUMIFS('Manual Sales'!$X$2:$X$1501,'Manual Sales'!$U$2:$U$1501,A184))</f>
        <v/>
      </c>
      <c r="G184" s="11">
        <f>IF(A184="","",IF($B$4=0,0,Settings!$B$14*C184/$B$4))</f>
        <v/>
      </c>
      <c r="H184" s="11">
        <f>IF(A184="","",C184-D184-E184-F184-G184)</f>
        <v/>
      </c>
      <c r="I184" s="11">
        <f>IF(OR(A184="",N(B184)=0),"",H184/B184)</f>
        <v/>
      </c>
      <c r="J184" s="12">
        <f>IF(OR(A184="",N(C184)=0),"",H184/C184)</f>
        <v/>
      </c>
      <c r="K184">
        <f>IF(A184="","",IF(N(B184)=0,"No sales",IF(H184&lt;0,"LOSING MONEY",IF(J184&lt;0.15,"Thin margin","Healthy"))))</f>
        <v/>
      </c>
    </row>
    <row r="185">
      <c r="A185">
        <f>IF(Products!A179="","",Products!A179)</f>
        <v/>
      </c>
      <c r="B185">
        <f>IF(A185="","",SUMIFS('Etsy Calc'!$D$2:$D$1501,'Etsy Calc'!$L$2:$L$1501,A185)+SUMIFS('Shopify Calc'!$D$2:$D$1501,'Shopify Calc'!$L$2:$L$1501,A185)+SUMIFS('Manual Sales'!$M$2:$M$1501,'Manual Sales'!$U$2:$U$1501,A185))</f>
        <v/>
      </c>
      <c r="C185" s="11">
        <f>IF(A185="","",SUMIFS('Etsy Calc'!$J$2:$J$1501,'Etsy Calc'!$L$2:$L$1501,A185)+SUMIFS('Shopify Calc'!$J$2:$J$1501,'Shopify Calc'!$L$2:$L$1501,A185)+SUMIFS('Manual Sales'!$S$2:$S$1501,'Manual Sales'!$U$2:$U$1501,A185))</f>
        <v/>
      </c>
      <c r="D185" s="11">
        <f>IF(A185="","",SUMIFS('Etsy Calc'!$M$2:$M$1501,'Etsy Calc'!$L$2:$L$1501,A185)+SUMIFS('Shopify Calc'!$M$2:$M$1501,'Shopify Calc'!$L$2:$L$1501,A185)+SUMIFS('Manual Sales'!$V$2:$V$1501,'Manual Sales'!$U$2:$U$1501,A185))</f>
        <v/>
      </c>
      <c r="E185" s="11">
        <f>IF(A185="","",SUMIFS('Etsy Calc'!$N$2:$N$1501,'Etsy Calc'!$L$2:$L$1501,A185)+SUMIFS('Shopify Calc'!$N$2:$N$1501,'Shopify Calc'!$L$2:$L$1501,A185)+SUMIFS('Manual Sales'!$W$2:$W$1501,'Manual Sales'!$U$2:$U$1501,A185))</f>
        <v/>
      </c>
      <c r="F185" s="11">
        <f>IF(A185="","",SUMIFS('Etsy Calc'!$O$2:$O$1501,'Etsy Calc'!$L$2:$L$1501,A185)+SUMIFS('Shopify Calc'!$O$2:$O$1501,'Shopify Calc'!$L$2:$L$1501,A185)+SUMIFS('Manual Sales'!$X$2:$X$1501,'Manual Sales'!$U$2:$U$1501,A185))</f>
        <v/>
      </c>
      <c r="G185" s="11">
        <f>IF(A185="","",IF($B$4=0,0,Settings!$B$14*C185/$B$4))</f>
        <v/>
      </c>
      <c r="H185" s="11">
        <f>IF(A185="","",C185-D185-E185-F185-G185)</f>
        <v/>
      </c>
      <c r="I185" s="11">
        <f>IF(OR(A185="",N(B185)=0),"",H185/B185)</f>
        <v/>
      </c>
      <c r="J185" s="12">
        <f>IF(OR(A185="",N(C185)=0),"",H185/C185)</f>
        <v/>
      </c>
      <c r="K185">
        <f>IF(A185="","",IF(N(B185)=0,"No sales",IF(H185&lt;0,"LOSING MONEY",IF(J185&lt;0.15,"Thin margin","Healthy"))))</f>
        <v/>
      </c>
    </row>
    <row r="186">
      <c r="A186">
        <f>IF(Products!A180="","",Products!A180)</f>
        <v/>
      </c>
      <c r="B186">
        <f>IF(A186="","",SUMIFS('Etsy Calc'!$D$2:$D$1501,'Etsy Calc'!$L$2:$L$1501,A186)+SUMIFS('Shopify Calc'!$D$2:$D$1501,'Shopify Calc'!$L$2:$L$1501,A186)+SUMIFS('Manual Sales'!$M$2:$M$1501,'Manual Sales'!$U$2:$U$1501,A186))</f>
        <v/>
      </c>
      <c r="C186" s="11">
        <f>IF(A186="","",SUMIFS('Etsy Calc'!$J$2:$J$1501,'Etsy Calc'!$L$2:$L$1501,A186)+SUMIFS('Shopify Calc'!$J$2:$J$1501,'Shopify Calc'!$L$2:$L$1501,A186)+SUMIFS('Manual Sales'!$S$2:$S$1501,'Manual Sales'!$U$2:$U$1501,A186))</f>
        <v/>
      </c>
      <c r="D186" s="11">
        <f>IF(A186="","",SUMIFS('Etsy Calc'!$M$2:$M$1501,'Etsy Calc'!$L$2:$L$1501,A186)+SUMIFS('Shopify Calc'!$M$2:$M$1501,'Shopify Calc'!$L$2:$L$1501,A186)+SUMIFS('Manual Sales'!$V$2:$V$1501,'Manual Sales'!$U$2:$U$1501,A186))</f>
        <v/>
      </c>
      <c r="E186" s="11">
        <f>IF(A186="","",SUMIFS('Etsy Calc'!$N$2:$N$1501,'Etsy Calc'!$L$2:$L$1501,A186)+SUMIFS('Shopify Calc'!$N$2:$N$1501,'Shopify Calc'!$L$2:$L$1501,A186)+SUMIFS('Manual Sales'!$W$2:$W$1501,'Manual Sales'!$U$2:$U$1501,A186))</f>
        <v/>
      </c>
      <c r="F186" s="11">
        <f>IF(A186="","",SUMIFS('Etsy Calc'!$O$2:$O$1501,'Etsy Calc'!$L$2:$L$1501,A186)+SUMIFS('Shopify Calc'!$O$2:$O$1501,'Shopify Calc'!$L$2:$L$1501,A186)+SUMIFS('Manual Sales'!$X$2:$X$1501,'Manual Sales'!$U$2:$U$1501,A186))</f>
        <v/>
      </c>
      <c r="G186" s="11">
        <f>IF(A186="","",IF($B$4=0,0,Settings!$B$14*C186/$B$4))</f>
        <v/>
      </c>
      <c r="H186" s="11">
        <f>IF(A186="","",C186-D186-E186-F186-G186)</f>
        <v/>
      </c>
      <c r="I186" s="11">
        <f>IF(OR(A186="",N(B186)=0),"",H186/B186)</f>
        <v/>
      </c>
      <c r="J186" s="12">
        <f>IF(OR(A186="",N(C186)=0),"",H186/C186)</f>
        <v/>
      </c>
      <c r="K186">
        <f>IF(A186="","",IF(N(B186)=0,"No sales",IF(H186&lt;0,"LOSING MONEY",IF(J186&lt;0.15,"Thin margin","Healthy"))))</f>
        <v/>
      </c>
    </row>
    <row r="187">
      <c r="A187">
        <f>IF(Products!A181="","",Products!A181)</f>
        <v/>
      </c>
      <c r="B187">
        <f>IF(A187="","",SUMIFS('Etsy Calc'!$D$2:$D$1501,'Etsy Calc'!$L$2:$L$1501,A187)+SUMIFS('Shopify Calc'!$D$2:$D$1501,'Shopify Calc'!$L$2:$L$1501,A187)+SUMIFS('Manual Sales'!$M$2:$M$1501,'Manual Sales'!$U$2:$U$1501,A187))</f>
        <v/>
      </c>
      <c r="C187" s="11">
        <f>IF(A187="","",SUMIFS('Etsy Calc'!$J$2:$J$1501,'Etsy Calc'!$L$2:$L$1501,A187)+SUMIFS('Shopify Calc'!$J$2:$J$1501,'Shopify Calc'!$L$2:$L$1501,A187)+SUMIFS('Manual Sales'!$S$2:$S$1501,'Manual Sales'!$U$2:$U$1501,A187))</f>
        <v/>
      </c>
      <c r="D187" s="11">
        <f>IF(A187="","",SUMIFS('Etsy Calc'!$M$2:$M$1501,'Etsy Calc'!$L$2:$L$1501,A187)+SUMIFS('Shopify Calc'!$M$2:$M$1501,'Shopify Calc'!$L$2:$L$1501,A187)+SUMIFS('Manual Sales'!$V$2:$V$1501,'Manual Sales'!$U$2:$U$1501,A187))</f>
        <v/>
      </c>
      <c r="E187" s="11">
        <f>IF(A187="","",SUMIFS('Etsy Calc'!$N$2:$N$1501,'Etsy Calc'!$L$2:$L$1501,A187)+SUMIFS('Shopify Calc'!$N$2:$N$1501,'Shopify Calc'!$L$2:$L$1501,A187)+SUMIFS('Manual Sales'!$W$2:$W$1501,'Manual Sales'!$U$2:$U$1501,A187))</f>
        <v/>
      </c>
      <c r="F187" s="11">
        <f>IF(A187="","",SUMIFS('Etsy Calc'!$O$2:$O$1501,'Etsy Calc'!$L$2:$L$1501,A187)+SUMIFS('Shopify Calc'!$O$2:$O$1501,'Shopify Calc'!$L$2:$L$1501,A187)+SUMIFS('Manual Sales'!$X$2:$X$1501,'Manual Sales'!$U$2:$U$1501,A187))</f>
        <v/>
      </c>
      <c r="G187" s="11">
        <f>IF(A187="","",IF($B$4=0,0,Settings!$B$14*C187/$B$4))</f>
        <v/>
      </c>
      <c r="H187" s="11">
        <f>IF(A187="","",C187-D187-E187-F187-G187)</f>
        <v/>
      </c>
      <c r="I187" s="11">
        <f>IF(OR(A187="",N(B187)=0),"",H187/B187)</f>
        <v/>
      </c>
      <c r="J187" s="12">
        <f>IF(OR(A187="",N(C187)=0),"",H187/C187)</f>
        <v/>
      </c>
      <c r="K187">
        <f>IF(A187="","",IF(N(B187)=0,"No sales",IF(H187&lt;0,"LOSING MONEY",IF(J187&lt;0.15,"Thin margin","Healthy"))))</f>
        <v/>
      </c>
    </row>
    <row r="188">
      <c r="A188">
        <f>IF(Products!A182="","",Products!A182)</f>
        <v/>
      </c>
      <c r="B188">
        <f>IF(A188="","",SUMIFS('Etsy Calc'!$D$2:$D$1501,'Etsy Calc'!$L$2:$L$1501,A188)+SUMIFS('Shopify Calc'!$D$2:$D$1501,'Shopify Calc'!$L$2:$L$1501,A188)+SUMIFS('Manual Sales'!$M$2:$M$1501,'Manual Sales'!$U$2:$U$1501,A188))</f>
        <v/>
      </c>
      <c r="C188" s="11">
        <f>IF(A188="","",SUMIFS('Etsy Calc'!$J$2:$J$1501,'Etsy Calc'!$L$2:$L$1501,A188)+SUMIFS('Shopify Calc'!$J$2:$J$1501,'Shopify Calc'!$L$2:$L$1501,A188)+SUMIFS('Manual Sales'!$S$2:$S$1501,'Manual Sales'!$U$2:$U$1501,A188))</f>
        <v/>
      </c>
      <c r="D188" s="11">
        <f>IF(A188="","",SUMIFS('Etsy Calc'!$M$2:$M$1501,'Etsy Calc'!$L$2:$L$1501,A188)+SUMIFS('Shopify Calc'!$M$2:$M$1501,'Shopify Calc'!$L$2:$L$1501,A188)+SUMIFS('Manual Sales'!$V$2:$V$1501,'Manual Sales'!$U$2:$U$1501,A188))</f>
        <v/>
      </c>
      <c r="E188" s="11">
        <f>IF(A188="","",SUMIFS('Etsy Calc'!$N$2:$N$1501,'Etsy Calc'!$L$2:$L$1501,A188)+SUMIFS('Shopify Calc'!$N$2:$N$1501,'Shopify Calc'!$L$2:$L$1501,A188)+SUMIFS('Manual Sales'!$W$2:$W$1501,'Manual Sales'!$U$2:$U$1501,A188))</f>
        <v/>
      </c>
      <c r="F188" s="11">
        <f>IF(A188="","",SUMIFS('Etsy Calc'!$O$2:$O$1501,'Etsy Calc'!$L$2:$L$1501,A188)+SUMIFS('Shopify Calc'!$O$2:$O$1501,'Shopify Calc'!$L$2:$L$1501,A188)+SUMIFS('Manual Sales'!$X$2:$X$1501,'Manual Sales'!$U$2:$U$1501,A188))</f>
        <v/>
      </c>
      <c r="G188" s="11">
        <f>IF(A188="","",IF($B$4=0,0,Settings!$B$14*C188/$B$4))</f>
        <v/>
      </c>
      <c r="H188" s="11">
        <f>IF(A188="","",C188-D188-E188-F188-G188)</f>
        <v/>
      </c>
      <c r="I188" s="11">
        <f>IF(OR(A188="",N(B188)=0),"",H188/B188)</f>
        <v/>
      </c>
      <c r="J188" s="12">
        <f>IF(OR(A188="",N(C188)=0),"",H188/C188)</f>
        <v/>
      </c>
      <c r="K188">
        <f>IF(A188="","",IF(N(B188)=0,"No sales",IF(H188&lt;0,"LOSING MONEY",IF(J188&lt;0.15,"Thin margin","Healthy"))))</f>
        <v/>
      </c>
    </row>
    <row r="189">
      <c r="A189">
        <f>IF(Products!A183="","",Products!A183)</f>
        <v/>
      </c>
      <c r="B189">
        <f>IF(A189="","",SUMIFS('Etsy Calc'!$D$2:$D$1501,'Etsy Calc'!$L$2:$L$1501,A189)+SUMIFS('Shopify Calc'!$D$2:$D$1501,'Shopify Calc'!$L$2:$L$1501,A189)+SUMIFS('Manual Sales'!$M$2:$M$1501,'Manual Sales'!$U$2:$U$1501,A189))</f>
        <v/>
      </c>
      <c r="C189" s="11">
        <f>IF(A189="","",SUMIFS('Etsy Calc'!$J$2:$J$1501,'Etsy Calc'!$L$2:$L$1501,A189)+SUMIFS('Shopify Calc'!$J$2:$J$1501,'Shopify Calc'!$L$2:$L$1501,A189)+SUMIFS('Manual Sales'!$S$2:$S$1501,'Manual Sales'!$U$2:$U$1501,A189))</f>
        <v/>
      </c>
      <c r="D189" s="11">
        <f>IF(A189="","",SUMIFS('Etsy Calc'!$M$2:$M$1501,'Etsy Calc'!$L$2:$L$1501,A189)+SUMIFS('Shopify Calc'!$M$2:$M$1501,'Shopify Calc'!$L$2:$L$1501,A189)+SUMIFS('Manual Sales'!$V$2:$V$1501,'Manual Sales'!$U$2:$U$1501,A189))</f>
        <v/>
      </c>
      <c r="E189" s="11">
        <f>IF(A189="","",SUMIFS('Etsy Calc'!$N$2:$N$1501,'Etsy Calc'!$L$2:$L$1501,A189)+SUMIFS('Shopify Calc'!$N$2:$N$1501,'Shopify Calc'!$L$2:$L$1501,A189)+SUMIFS('Manual Sales'!$W$2:$W$1501,'Manual Sales'!$U$2:$U$1501,A189))</f>
        <v/>
      </c>
      <c r="F189" s="11">
        <f>IF(A189="","",SUMIFS('Etsy Calc'!$O$2:$O$1501,'Etsy Calc'!$L$2:$L$1501,A189)+SUMIFS('Shopify Calc'!$O$2:$O$1501,'Shopify Calc'!$L$2:$L$1501,A189)+SUMIFS('Manual Sales'!$X$2:$X$1501,'Manual Sales'!$U$2:$U$1501,A189))</f>
        <v/>
      </c>
      <c r="G189" s="11">
        <f>IF(A189="","",IF($B$4=0,0,Settings!$B$14*C189/$B$4))</f>
        <v/>
      </c>
      <c r="H189" s="11">
        <f>IF(A189="","",C189-D189-E189-F189-G189)</f>
        <v/>
      </c>
      <c r="I189" s="11">
        <f>IF(OR(A189="",N(B189)=0),"",H189/B189)</f>
        <v/>
      </c>
      <c r="J189" s="12">
        <f>IF(OR(A189="",N(C189)=0),"",H189/C189)</f>
        <v/>
      </c>
      <c r="K189">
        <f>IF(A189="","",IF(N(B189)=0,"No sales",IF(H189&lt;0,"LOSING MONEY",IF(J189&lt;0.15,"Thin margin","Healthy"))))</f>
        <v/>
      </c>
    </row>
    <row r="190">
      <c r="A190">
        <f>IF(Products!A184="","",Products!A184)</f>
        <v/>
      </c>
      <c r="B190">
        <f>IF(A190="","",SUMIFS('Etsy Calc'!$D$2:$D$1501,'Etsy Calc'!$L$2:$L$1501,A190)+SUMIFS('Shopify Calc'!$D$2:$D$1501,'Shopify Calc'!$L$2:$L$1501,A190)+SUMIFS('Manual Sales'!$M$2:$M$1501,'Manual Sales'!$U$2:$U$1501,A190))</f>
        <v/>
      </c>
      <c r="C190" s="11">
        <f>IF(A190="","",SUMIFS('Etsy Calc'!$J$2:$J$1501,'Etsy Calc'!$L$2:$L$1501,A190)+SUMIFS('Shopify Calc'!$J$2:$J$1501,'Shopify Calc'!$L$2:$L$1501,A190)+SUMIFS('Manual Sales'!$S$2:$S$1501,'Manual Sales'!$U$2:$U$1501,A190))</f>
        <v/>
      </c>
      <c r="D190" s="11">
        <f>IF(A190="","",SUMIFS('Etsy Calc'!$M$2:$M$1501,'Etsy Calc'!$L$2:$L$1501,A190)+SUMIFS('Shopify Calc'!$M$2:$M$1501,'Shopify Calc'!$L$2:$L$1501,A190)+SUMIFS('Manual Sales'!$V$2:$V$1501,'Manual Sales'!$U$2:$U$1501,A190))</f>
        <v/>
      </c>
      <c r="E190" s="11">
        <f>IF(A190="","",SUMIFS('Etsy Calc'!$N$2:$N$1501,'Etsy Calc'!$L$2:$L$1501,A190)+SUMIFS('Shopify Calc'!$N$2:$N$1501,'Shopify Calc'!$L$2:$L$1501,A190)+SUMIFS('Manual Sales'!$W$2:$W$1501,'Manual Sales'!$U$2:$U$1501,A190))</f>
        <v/>
      </c>
      <c r="F190" s="11">
        <f>IF(A190="","",SUMIFS('Etsy Calc'!$O$2:$O$1501,'Etsy Calc'!$L$2:$L$1501,A190)+SUMIFS('Shopify Calc'!$O$2:$O$1501,'Shopify Calc'!$L$2:$L$1501,A190)+SUMIFS('Manual Sales'!$X$2:$X$1501,'Manual Sales'!$U$2:$U$1501,A190))</f>
        <v/>
      </c>
      <c r="G190" s="11">
        <f>IF(A190="","",IF($B$4=0,0,Settings!$B$14*C190/$B$4))</f>
        <v/>
      </c>
      <c r="H190" s="11">
        <f>IF(A190="","",C190-D190-E190-F190-G190)</f>
        <v/>
      </c>
      <c r="I190" s="11">
        <f>IF(OR(A190="",N(B190)=0),"",H190/B190)</f>
        <v/>
      </c>
      <c r="J190" s="12">
        <f>IF(OR(A190="",N(C190)=0),"",H190/C190)</f>
        <v/>
      </c>
      <c r="K190">
        <f>IF(A190="","",IF(N(B190)=0,"No sales",IF(H190&lt;0,"LOSING MONEY",IF(J190&lt;0.15,"Thin margin","Healthy"))))</f>
        <v/>
      </c>
    </row>
    <row r="191">
      <c r="A191">
        <f>IF(Products!A185="","",Products!A185)</f>
        <v/>
      </c>
      <c r="B191">
        <f>IF(A191="","",SUMIFS('Etsy Calc'!$D$2:$D$1501,'Etsy Calc'!$L$2:$L$1501,A191)+SUMIFS('Shopify Calc'!$D$2:$D$1501,'Shopify Calc'!$L$2:$L$1501,A191)+SUMIFS('Manual Sales'!$M$2:$M$1501,'Manual Sales'!$U$2:$U$1501,A191))</f>
        <v/>
      </c>
      <c r="C191" s="11">
        <f>IF(A191="","",SUMIFS('Etsy Calc'!$J$2:$J$1501,'Etsy Calc'!$L$2:$L$1501,A191)+SUMIFS('Shopify Calc'!$J$2:$J$1501,'Shopify Calc'!$L$2:$L$1501,A191)+SUMIFS('Manual Sales'!$S$2:$S$1501,'Manual Sales'!$U$2:$U$1501,A191))</f>
        <v/>
      </c>
      <c r="D191" s="11">
        <f>IF(A191="","",SUMIFS('Etsy Calc'!$M$2:$M$1501,'Etsy Calc'!$L$2:$L$1501,A191)+SUMIFS('Shopify Calc'!$M$2:$M$1501,'Shopify Calc'!$L$2:$L$1501,A191)+SUMIFS('Manual Sales'!$V$2:$V$1501,'Manual Sales'!$U$2:$U$1501,A191))</f>
        <v/>
      </c>
      <c r="E191" s="11">
        <f>IF(A191="","",SUMIFS('Etsy Calc'!$N$2:$N$1501,'Etsy Calc'!$L$2:$L$1501,A191)+SUMIFS('Shopify Calc'!$N$2:$N$1501,'Shopify Calc'!$L$2:$L$1501,A191)+SUMIFS('Manual Sales'!$W$2:$W$1501,'Manual Sales'!$U$2:$U$1501,A191))</f>
        <v/>
      </c>
      <c r="F191" s="11">
        <f>IF(A191="","",SUMIFS('Etsy Calc'!$O$2:$O$1501,'Etsy Calc'!$L$2:$L$1501,A191)+SUMIFS('Shopify Calc'!$O$2:$O$1501,'Shopify Calc'!$L$2:$L$1501,A191)+SUMIFS('Manual Sales'!$X$2:$X$1501,'Manual Sales'!$U$2:$U$1501,A191))</f>
        <v/>
      </c>
      <c r="G191" s="11">
        <f>IF(A191="","",IF($B$4=0,0,Settings!$B$14*C191/$B$4))</f>
        <v/>
      </c>
      <c r="H191" s="11">
        <f>IF(A191="","",C191-D191-E191-F191-G191)</f>
        <v/>
      </c>
      <c r="I191" s="11">
        <f>IF(OR(A191="",N(B191)=0),"",H191/B191)</f>
        <v/>
      </c>
      <c r="J191" s="12">
        <f>IF(OR(A191="",N(C191)=0),"",H191/C191)</f>
        <v/>
      </c>
      <c r="K191">
        <f>IF(A191="","",IF(N(B191)=0,"No sales",IF(H191&lt;0,"LOSING MONEY",IF(J191&lt;0.15,"Thin margin","Healthy"))))</f>
        <v/>
      </c>
    </row>
    <row r="192">
      <c r="A192">
        <f>IF(Products!A186="","",Products!A186)</f>
        <v/>
      </c>
      <c r="B192">
        <f>IF(A192="","",SUMIFS('Etsy Calc'!$D$2:$D$1501,'Etsy Calc'!$L$2:$L$1501,A192)+SUMIFS('Shopify Calc'!$D$2:$D$1501,'Shopify Calc'!$L$2:$L$1501,A192)+SUMIFS('Manual Sales'!$M$2:$M$1501,'Manual Sales'!$U$2:$U$1501,A192))</f>
        <v/>
      </c>
      <c r="C192" s="11">
        <f>IF(A192="","",SUMIFS('Etsy Calc'!$J$2:$J$1501,'Etsy Calc'!$L$2:$L$1501,A192)+SUMIFS('Shopify Calc'!$J$2:$J$1501,'Shopify Calc'!$L$2:$L$1501,A192)+SUMIFS('Manual Sales'!$S$2:$S$1501,'Manual Sales'!$U$2:$U$1501,A192))</f>
        <v/>
      </c>
      <c r="D192" s="11">
        <f>IF(A192="","",SUMIFS('Etsy Calc'!$M$2:$M$1501,'Etsy Calc'!$L$2:$L$1501,A192)+SUMIFS('Shopify Calc'!$M$2:$M$1501,'Shopify Calc'!$L$2:$L$1501,A192)+SUMIFS('Manual Sales'!$V$2:$V$1501,'Manual Sales'!$U$2:$U$1501,A192))</f>
        <v/>
      </c>
      <c r="E192" s="11">
        <f>IF(A192="","",SUMIFS('Etsy Calc'!$N$2:$N$1501,'Etsy Calc'!$L$2:$L$1501,A192)+SUMIFS('Shopify Calc'!$N$2:$N$1501,'Shopify Calc'!$L$2:$L$1501,A192)+SUMIFS('Manual Sales'!$W$2:$W$1501,'Manual Sales'!$U$2:$U$1501,A192))</f>
        <v/>
      </c>
      <c r="F192" s="11">
        <f>IF(A192="","",SUMIFS('Etsy Calc'!$O$2:$O$1501,'Etsy Calc'!$L$2:$L$1501,A192)+SUMIFS('Shopify Calc'!$O$2:$O$1501,'Shopify Calc'!$L$2:$L$1501,A192)+SUMIFS('Manual Sales'!$X$2:$X$1501,'Manual Sales'!$U$2:$U$1501,A192))</f>
        <v/>
      </c>
      <c r="G192" s="11">
        <f>IF(A192="","",IF($B$4=0,0,Settings!$B$14*C192/$B$4))</f>
        <v/>
      </c>
      <c r="H192" s="11">
        <f>IF(A192="","",C192-D192-E192-F192-G192)</f>
        <v/>
      </c>
      <c r="I192" s="11">
        <f>IF(OR(A192="",N(B192)=0),"",H192/B192)</f>
        <v/>
      </c>
      <c r="J192" s="12">
        <f>IF(OR(A192="",N(C192)=0),"",H192/C192)</f>
        <v/>
      </c>
      <c r="K192">
        <f>IF(A192="","",IF(N(B192)=0,"No sales",IF(H192&lt;0,"LOSING MONEY",IF(J192&lt;0.15,"Thin margin","Healthy"))))</f>
        <v/>
      </c>
    </row>
    <row r="193">
      <c r="A193">
        <f>IF(Products!A187="","",Products!A187)</f>
        <v/>
      </c>
      <c r="B193">
        <f>IF(A193="","",SUMIFS('Etsy Calc'!$D$2:$D$1501,'Etsy Calc'!$L$2:$L$1501,A193)+SUMIFS('Shopify Calc'!$D$2:$D$1501,'Shopify Calc'!$L$2:$L$1501,A193)+SUMIFS('Manual Sales'!$M$2:$M$1501,'Manual Sales'!$U$2:$U$1501,A193))</f>
        <v/>
      </c>
      <c r="C193" s="11">
        <f>IF(A193="","",SUMIFS('Etsy Calc'!$J$2:$J$1501,'Etsy Calc'!$L$2:$L$1501,A193)+SUMIFS('Shopify Calc'!$J$2:$J$1501,'Shopify Calc'!$L$2:$L$1501,A193)+SUMIFS('Manual Sales'!$S$2:$S$1501,'Manual Sales'!$U$2:$U$1501,A193))</f>
        <v/>
      </c>
      <c r="D193" s="11">
        <f>IF(A193="","",SUMIFS('Etsy Calc'!$M$2:$M$1501,'Etsy Calc'!$L$2:$L$1501,A193)+SUMIFS('Shopify Calc'!$M$2:$M$1501,'Shopify Calc'!$L$2:$L$1501,A193)+SUMIFS('Manual Sales'!$V$2:$V$1501,'Manual Sales'!$U$2:$U$1501,A193))</f>
        <v/>
      </c>
      <c r="E193" s="11">
        <f>IF(A193="","",SUMIFS('Etsy Calc'!$N$2:$N$1501,'Etsy Calc'!$L$2:$L$1501,A193)+SUMIFS('Shopify Calc'!$N$2:$N$1501,'Shopify Calc'!$L$2:$L$1501,A193)+SUMIFS('Manual Sales'!$W$2:$W$1501,'Manual Sales'!$U$2:$U$1501,A193))</f>
        <v/>
      </c>
      <c r="F193" s="11">
        <f>IF(A193="","",SUMIFS('Etsy Calc'!$O$2:$O$1501,'Etsy Calc'!$L$2:$L$1501,A193)+SUMIFS('Shopify Calc'!$O$2:$O$1501,'Shopify Calc'!$L$2:$L$1501,A193)+SUMIFS('Manual Sales'!$X$2:$X$1501,'Manual Sales'!$U$2:$U$1501,A193))</f>
        <v/>
      </c>
      <c r="G193" s="11">
        <f>IF(A193="","",IF($B$4=0,0,Settings!$B$14*C193/$B$4))</f>
        <v/>
      </c>
      <c r="H193" s="11">
        <f>IF(A193="","",C193-D193-E193-F193-G193)</f>
        <v/>
      </c>
      <c r="I193" s="11">
        <f>IF(OR(A193="",N(B193)=0),"",H193/B193)</f>
        <v/>
      </c>
      <c r="J193" s="12">
        <f>IF(OR(A193="",N(C193)=0),"",H193/C193)</f>
        <v/>
      </c>
      <c r="K193">
        <f>IF(A193="","",IF(N(B193)=0,"No sales",IF(H193&lt;0,"LOSING MONEY",IF(J193&lt;0.15,"Thin margin","Healthy"))))</f>
        <v/>
      </c>
    </row>
    <row r="194">
      <c r="A194">
        <f>IF(Products!A188="","",Products!A188)</f>
        <v/>
      </c>
      <c r="B194">
        <f>IF(A194="","",SUMIFS('Etsy Calc'!$D$2:$D$1501,'Etsy Calc'!$L$2:$L$1501,A194)+SUMIFS('Shopify Calc'!$D$2:$D$1501,'Shopify Calc'!$L$2:$L$1501,A194)+SUMIFS('Manual Sales'!$M$2:$M$1501,'Manual Sales'!$U$2:$U$1501,A194))</f>
        <v/>
      </c>
      <c r="C194" s="11">
        <f>IF(A194="","",SUMIFS('Etsy Calc'!$J$2:$J$1501,'Etsy Calc'!$L$2:$L$1501,A194)+SUMIFS('Shopify Calc'!$J$2:$J$1501,'Shopify Calc'!$L$2:$L$1501,A194)+SUMIFS('Manual Sales'!$S$2:$S$1501,'Manual Sales'!$U$2:$U$1501,A194))</f>
        <v/>
      </c>
      <c r="D194" s="11">
        <f>IF(A194="","",SUMIFS('Etsy Calc'!$M$2:$M$1501,'Etsy Calc'!$L$2:$L$1501,A194)+SUMIFS('Shopify Calc'!$M$2:$M$1501,'Shopify Calc'!$L$2:$L$1501,A194)+SUMIFS('Manual Sales'!$V$2:$V$1501,'Manual Sales'!$U$2:$U$1501,A194))</f>
        <v/>
      </c>
      <c r="E194" s="11">
        <f>IF(A194="","",SUMIFS('Etsy Calc'!$N$2:$N$1501,'Etsy Calc'!$L$2:$L$1501,A194)+SUMIFS('Shopify Calc'!$N$2:$N$1501,'Shopify Calc'!$L$2:$L$1501,A194)+SUMIFS('Manual Sales'!$W$2:$W$1501,'Manual Sales'!$U$2:$U$1501,A194))</f>
        <v/>
      </c>
      <c r="F194" s="11">
        <f>IF(A194="","",SUMIFS('Etsy Calc'!$O$2:$O$1501,'Etsy Calc'!$L$2:$L$1501,A194)+SUMIFS('Shopify Calc'!$O$2:$O$1501,'Shopify Calc'!$L$2:$L$1501,A194)+SUMIFS('Manual Sales'!$X$2:$X$1501,'Manual Sales'!$U$2:$U$1501,A194))</f>
        <v/>
      </c>
      <c r="G194" s="11">
        <f>IF(A194="","",IF($B$4=0,0,Settings!$B$14*C194/$B$4))</f>
        <v/>
      </c>
      <c r="H194" s="11">
        <f>IF(A194="","",C194-D194-E194-F194-G194)</f>
        <v/>
      </c>
      <c r="I194" s="11">
        <f>IF(OR(A194="",N(B194)=0),"",H194/B194)</f>
        <v/>
      </c>
      <c r="J194" s="12">
        <f>IF(OR(A194="",N(C194)=0),"",H194/C194)</f>
        <v/>
      </c>
      <c r="K194">
        <f>IF(A194="","",IF(N(B194)=0,"No sales",IF(H194&lt;0,"LOSING MONEY",IF(J194&lt;0.15,"Thin margin","Healthy"))))</f>
        <v/>
      </c>
    </row>
    <row r="195">
      <c r="A195">
        <f>IF(Products!A189="","",Products!A189)</f>
        <v/>
      </c>
      <c r="B195">
        <f>IF(A195="","",SUMIFS('Etsy Calc'!$D$2:$D$1501,'Etsy Calc'!$L$2:$L$1501,A195)+SUMIFS('Shopify Calc'!$D$2:$D$1501,'Shopify Calc'!$L$2:$L$1501,A195)+SUMIFS('Manual Sales'!$M$2:$M$1501,'Manual Sales'!$U$2:$U$1501,A195))</f>
        <v/>
      </c>
      <c r="C195" s="11">
        <f>IF(A195="","",SUMIFS('Etsy Calc'!$J$2:$J$1501,'Etsy Calc'!$L$2:$L$1501,A195)+SUMIFS('Shopify Calc'!$J$2:$J$1501,'Shopify Calc'!$L$2:$L$1501,A195)+SUMIFS('Manual Sales'!$S$2:$S$1501,'Manual Sales'!$U$2:$U$1501,A195))</f>
        <v/>
      </c>
      <c r="D195" s="11">
        <f>IF(A195="","",SUMIFS('Etsy Calc'!$M$2:$M$1501,'Etsy Calc'!$L$2:$L$1501,A195)+SUMIFS('Shopify Calc'!$M$2:$M$1501,'Shopify Calc'!$L$2:$L$1501,A195)+SUMIFS('Manual Sales'!$V$2:$V$1501,'Manual Sales'!$U$2:$U$1501,A195))</f>
        <v/>
      </c>
      <c r="E195" s="11">
        <f>IF(A195="","",SUMIFS('Etsy Calc'!$N$2:$N$1501,'Etsy Calc'!$L$2:$L$1501,A195)+SUMIFS('Shopify Calc'!$N$2:$N$1501,'Shopify Calc'!$L$2:$L$1501,A195)+SUMIFS('Manual Sales'!$W$2:$W$1501,'Manual Sales'!$U$2:$U$1501,A195))</f>
        <v/>
      </c>
      <c r="F195" s="11">
        <f>IF(A195="","",SUMIFS('Etsy Calc'!$O$2:$O$1501,'Etsy Calc'!$L$2:$L$1501,A195)+SUMIFS('Shopify Calc'!$O$2:$O$1501,'Shopify Calc'!$L$2:$L$1501,A195)+SUMIFS('Manual Sales'!$X$2:$X$1501,'Manual Sales'!$U$2:$U$1501,A195))</f>
        <v/>
      </c>
      <c r="G195" s="11">
        <f>IF(A195="","",IF($B$4=0,0,Settings!$B$14*C195/$B$4))</f>
        <v/>
      </c>
      <c r="H195" s="11">
        <f>IF(A195="","",C195-D195-E195-F195-G195)</f>
        <v/>
      </c>
      <c r="I195" s="11">
        <f>IF(OR(A195="",N(B195)=0),"",H195/B195)</f>
        <v/>
      </c>
      <c r="J195" s="12">
        <f>IF(OR(A195="",N(C195)=0),"",H195/C195)</f>
        <v/>
      </c>
      <c r="K195">
        <f>IF(A195="","",IF(N(B195)=0,"No sales",IF(H195&lt;0,"LOSING MONEY",IF(J195&lt;0.15,"Thin margin","Healthy"))))</f>
        <v/>
      </c>
    </row>
    <row r="196">
      <c r="A196">
        <f>IF(Products!A190="","",Products!A190)</f>
        <v/>
      </c>
      <c r="B196">
        <f>IF(A196="","",SUMIFS('Etsy Calc'!$D$2:$D$1501,'Etsy Calc'!$L$2:$L$1501,A196)+SUMIFS('Shopify Calc'!$D$2:$D$1501,'Shopify Calc'!$L$2:$L$1501,A196)+SUMIFS('Manual Sales'!$M$2:$M$1501,'Manual Sales'!$U$2:$U$1501,A196))</f>
        <v/>
      </c>
      <c r="C196" s="11">
        <f>IF(A196="","",SUMIFS('Etsy Calc'!$J$2:$J$1501,'Etsy Calc'!$L$2:$L$1501,A196)+SUMIFS('Shopify Calc'!$J$2:$J$1501,'Shopify Calc'!$L$2:$L$1501,A196)+SUMIFS('Manual Sales'!$S$2:$S$1501,'Manual Sales'!$U$2:$U$1501,A196))</f>
        <v/>
      </c>
      <c r="D196" s="11">
        <f>IF(A196="","",SUMIFS('Etsy Calc'!$M$2:$M$1501,'Etsy Calc'!$L$2:$L$1501,A196)+SUMIFS('Shopify Calc'!$M$2:$M$1501,'Shopify Calc'!$L$2:$L$1501,A196)+SUMIFS('Manual Sales'!$V$2:$V$1501,'Manual Sales'!$U$2:$U$1501,A196))</f>
        <v/>
      </c>
      <c r="E196" s="11">
        <f>IF(A196="","",SUMIFS('Etsy Calc'!$N$2:$N$1501,'Etsy Calc'!$L$2:$L$1501,A196)+SUMIFS('Shopify Calc'!$N$2:$N$1501,'Shopify Calc'!$L$2:$L$1501,A196)+SUMIFS('Manual Sales'!$W$2:$W$1501,'Manual Sales'!$U$2:$U$1501,A196))</f>
        <v/>
      </c>
      <c r="F196" s="11">
        <f>IF(A196="","",SUMIFS('Etsy Calc'!$O$2:$O$1501,'Etsy Calc'!$L$2:$L$1501,A196)+SUMIFS('Shopify Calc'!$O$2:$O$1501,'Shopify Calc'!$L$2:$L$1501,A196)+SUMIFS('Manual Sales'!$X$2:$X$1501,'Manual Sales'!$U$2:$U$1501,A196))</f>
        <v/>
      </c>
      <c r="G196" s="11">
        <f>IF(A196="","",IF($B$4=0,0,Settings!$B$14*C196/$B$4))</f>
        <v/>
      </c>
      <c r="H196" s="11">
        <f>IF(A196="","",C196-D196-E196-F196-G196)</f>
        <v/>
      </c>
      <c r="I196" s="11">
        <f>IF(OR(A196="",N(B196)=0),"",H196/B196)</f>
        <v/>
      </c>
      <c r="J196" s="12">
        <f>IF(OR(A196="",N(C196)=0),"",H196/C196)</f>
        <v/>
      </c>
      <c r="K196">
        <f>IF(A196="","",IF(N(B196)=0,"No sales",IF(H196&lt;0,"LOSING MONEY",IF(J196&lt;0.15,"Thin margin","Healthy"))))</f>
        <v/>
      </c>
    </row>
    <row r="197">
      <c r="A197">
        <f>IF(Products!A191="","",Products!A191)</f>
        <v/>
      </c>
      <c r="B197">
        <f>IF(A197="","",SUMIFS('Etsy Calc'!$D$2:$D$1501,'Etsy Calc'!$L$2:$L$1501,A197)+SUMIFS('Shopify Calc'!$D$2:$D$1501,'Shopify Calc'!$L$2:$L$1501,A197)+SUMIFS('Manual Sales'!$M$2:$M$1501,'Manual Sales'!$U$2:$U$1501,A197))</f>
        <v/>
      </c>
      <c r="C197" s="11">
        <f>IF(A197="","",SUMIFS('Etsy Calc'!$J$2:$J$1501,'Etsy Calc'!$L$2:$L$1501,A197)+SUMIFS('Shopify Calc'!$J$2:$J$1501,'Shopify Calc'!$L$2:$L$1501,A197)+SUMIFS('Manual Sales'!$S$2:$S$1501,'Manual Sales'!$U$2:$U$1501,A197))</f>
        <v/>
      </c>
      <c r="D197" s="11">
        <f>IF(A197="","",SUMIFS('Etsy Calc'!$M$2:$M$1501,'Etsy Calc'!$L$2:$L$1501,A197)+SUMIFS('Shopify Calc'!$M$2:$M$1501,'Shopify Calc'!$L$2:$L$1501,A197)+SUMIFS('Manual Sales'!$V$2:$V$1501,'Manual Sales'!$U$2:$U$1501,A197))</f>
        <v/>
      </c>
      <c r="E197" s="11">
        <f>IF(A197="","",SUMIFS('Etsy Calc'!$N$2:$N$1501,'Etsy Calc'!$L$2:$L$1501,A197)+SUMIFS('Shopify Calc'!$N$2:$N$1501,'Shopify Calc'!$L$2:$L$1501,A197)+SUMIFS('Manual Sales'!$W$2:$W$1501,'Manual Sales'!$U$2:$U$1501,A197))</f>
        <v/>
      </c>
      <c r="F197" s="11">
        <f>IF(A197="","",SUMIFS('Etsy Calc'!$O$2:$O$1501,'Etsy Calc'!$L$2:$L$1501,A197)+SUMIFS('Shopify Calc'!$O$2:$O$1501,'Shopify Calc'!$L$2:$L$1501,A197)+SUMIFS('Manual Sales'!$X$2:$X$1501,'Manual Sales'!$U$2:$U$1501,A197))</f>
        <v/>
      </c>
      <c r="G197" s="11">
        <f>IF(A197="","",IF($B$4=0,0,Settings!$B$14*C197/$B$4))</f>
        <v/>
      </c>
      <c r="H197" s="11">
        <f>IF(A197="","",C197-D197-E197-F197-G197)</f>
        <v/>
      </c>
      <c r="I197" s="11">
        <f>IF(OR(A197="",N(B197)=0),"",H197/B197)</f>
        <v/>
      </c>
      <c r="J197" s="12">
        <f>IF(OR(A197="",N(C197)=0),"",H197/C197)</f>
        <v/>
      </c>
      <c r="K197">
        <f>IF(A197="","",IF(N(B197)=0,"No sales",IF(H197&lt;0,"LOSING MONEY",IF(J197&lt;0.15,"Thin margin","Healthy"))))</f>
        <v/>
      </c>
    </row>
    <row r="198">
      <c r="A198">
        <f>IF(Products!A192="","",Products!A192)</f>
        <v/>
      </c>
      <c r="B198">
        <f>IF(A198="","",SUMIFS('Etsy Calc'!$D$2:$D$1501,'Etsy Calc'!$L$2:$L$1501,A198)+SUMIFS('Shopify Calc'!$D$2:$D$1501,'Shopify Calc'!$L$2:$L$1501,A198)+SUMIFS('Manual Sales'!$M$2:$M$1501,'Manual Sales'!$U$2:$U$1501,A198))</f>
        <v/>
      </c>
      <c r="C198" s="11">
        <f>IF(A198="","",SUMIFS('Etsy Calc'!$J$2:$J$1501,'Etsy Calc'!$L$2:$L$1501,A198)+SUMIFS('Shopify Calc'!$J$2:$J$1501,'Shopify Calc'!$L$2:$L$1501,A198)+SUMIFS('Manual Sales'!$S$2:$S$1501,'Manual Sales'!$U$2:$U$1501,A198))</f>
        <v/>
      </c>
      <c r="D198" s="11">
        <f>IF(A198="","",SUMIFS('Etsy Calc'!$M$2:$M$1501,'Etsy Calc'!$L$2:$L$1501,A198)+SUMIFS('Shopify Calc'!$M$2:$M$1501,'Shopify Calc'!$L$2:$L$1501,A198)+SUMIFS('Manual Sales'!$V$2:$V$1501,'Manual Sales'!$U$2:$U$1501,A198))</f>
        <v/>
      </c>
      <c r="E198" s="11">
        <f>IF(A198="","",SUMIFS('Etsy Calc'!$N$2:$N$1501,'Etsy Calc'!$L$2:$L$1501,A198)+SUMIFS('Shopify Calc'!$N$2:$N$1501,'Shopify Calc'!$L$2:$L$1501,A198)+SUMIFS('Manual Sales'!$W$2:$W$1501,'Manual Sales'!$U$2:$U$1501,A198))</f>
        <v/>
      </c>
      <c r="F198" s="11">
        <f>IF(A198="","",SUMIFS('Etsy Calc'!$O$2:$O$1501,'Etsy Calc'!$L$2:$L$1501,A198)+SUMIFS('Shopify Calc'!$O$2:$O$1501,'Shopify Calc'!$L$2:$L$1501,A198)+SUMIFS('Manual Sales'!$X$2:$X$1501,'Manual Sales'!$U$2:$U$1501,A198))</f>
        <v/>
      </c>
      <c r="G198" s="11">
        <f>IF(A198="","",IF($B$4=0,0,Settings!$B$14*C198/$B$4))</f>
        <v/>
      </c>
      <c r="H198" s="11">
        <f>IF(A198="","",C198-D198-E198-F198-G198)</f>
        <v/>
      </c>
      <c r="I198" s="11">
        <f>IF(OR(A198="",N(B198)=0),"",H198/B198)</f>
        <v/>
      </c>
      <c r="J198" s="12">
        <f>IF(OR(A198="",N(C198)=0),"",H198/C198)</f>
        <v/>
      </c>
      <c r="K198">
        <f>IF(A198="","",IF(N(B198)=0,"No sales",IF(H198&lt;0,"LOSING MONEY",IF(J198&lt;0.15,"Thin margin","Healthy"))))</f>
        <v/>
      </c>
    </row>
    <row r="199">
      <c r="A199">
        <f>IF(Products!A193="","",Products!A193)</f>
        <v/>
      </c>
      <c r="B199">
        <f>IF(A199="","",SUMIFS('Etsy Calc'!$D$2:$D$1501,'Etsy Calc'!$L$2:$L$1501,A199)+SUMIFS('Shopify Calc'!$D$2:$D$1501,'Shopify Calc'!$L$2:$L$1501,A199)+SUMIFS('Manual Sales'!$M$2:$M$1501,'Manual Sales'!$U$2:$U$1501,A199))</f>
        <v/>
      </c>
      <c r="C199" s="11">
        <f>IF(A199="","",SUMIFS('Etsy Calc'!$J$2:$J$1501,'Etsy Calc'!$L$2:$L$1501,A199)+SUMIFS('Shopify Calc'!$J$2:$J$1501,'Shopify Calc'!$L$2:$L$1501,A199)+SUMIFS('Manual Sales'!$S$2:$S$1501,'Manual Sales'!$U$2:$U$1501,A199))</f>
        <v/>
      </c>
      <c r="D199" s="11">
        <f>IF(A199="","",SUMIFS('Etsy Calc'!$M$2:$M$1501,'Etsy Calc'!$L$2:$L$1501,A199)+SUMIFS('Shopify Calc'!$M$2:$M$1501,'Shopify Calc'!$L$2:$L$1501,A199)+SUMIFS('Manual Sales'!$V$2:$V$1501,'Manual Sales'!$U$2:$U$1501,A199))</f>
        <v/>
      </c>
      <c r="E199" s="11">
        <f>IF(A199="","",SUMIFS('Etsy Calc'!$N$2:$N$1501,'Etsy Calc'!$L$2:$L$1501,A199)+SUMIFS('Shopify Calc'!$N$2:$N$1501,'Shopify Calc'!$L$2:$L$1501,A199)+SUMIFS('Manual Sales'!$W$2:$W$1501,'Manual Sales'!$U$2:$U$1501,A199))</f>
        <v/>
      </c>
      <c r="F199" s="11">
        <f>IF(A199="","",SUMIFS('Etsy Calc'!$O$2:$O$1501,'Etsy Calc'!$L$2:$L$1501,A199)+SUMIFS('Shopify Calc'!$O$2:$O$1501,'Shopify Calc'!$L$2:$L$1501,A199)+SUMIFS('Manual Sales'!$X$2:$X$1501,'Manual Sales'!$U$2:$U$1501,A199))</f>
        <v/>
      </c>
      <c r="G199" s="11">
        <f>IF(A199="","",IF($B$4=0,0,Settings!$B$14*C199/$B$4))</f>
        <v/>
      </c>
      <c r="H199" s="11">
        <f>IF(A199="","",C199-D199-E199-F199-G199)</f>
        <v/>
      </c>
      <c r="I199" s="11">
        <f>IF(OR(A199="",N(B199)=0),"",H199/B199)</f>
        <v/>
      </c>
      <c r="J199" s="12">
        <f>IF(OR(A199="",N(C199)=0),"",H199/C199)</f>
        <v/>
      </c>
      <c r="K199">
        <f>IF(A199="","",IF(N(B199)=0,"No sales",IF(H199&lt;0,"LOSING MONEY",IF(J199&lt;0.15,"Thin margin","Healthy"))))</f>
        <v/>
      </c>
    </row>
    <row r="200">
      <c r="A200">
        <f>IF(Products!A194="","",Products!A194)</f>
        <v/>
      </c>
      <c r="B200">
        <f>IF(A200="","",SUMIFS('Etsy Calc'!$D$2:$D$1501,'Etsy Calc'!$L$2:$L$1501,A200)+SUMIFS('Shopify Calc'!$D$2:$D$1501,'Shopify Calc'!$L$2:$L$1501,A200)+SUMIFS('Manual Sales'!$M$2:$M$1501,'Manual Sales'!$U$2:$U$1501,A200))</f>
        <v/>
      </c>
      <c r="C200" s="11">
        <f>IF(A200="","",SUMIFS('Etsy Calc'!$J$2:$J$1501,'Etsy Calc'!$L$2:$L$1501,A200)+SUMIFS('Shopify Calc'!$J$2:$J$1501,'Shopify Calc'!$L$2:$L$1501,A200)+SUMIFS('Manual Sales'!$S$2:$S$1501,'Manual Sales'!$U$2:$U$1501,A200))</f>
        <v/>
      </c>
      <c r="D200" s="11">
        <f>IF(A200="","",SUMIFS('Etsy Calc'!$M$2:$M$1501,'Etsy Calc'!$L$2:$L$1501,A200)+SUMIFS('Shopify Calc'!$M$2:$M$1501,'Shopify Calc'!$L$2:$L$1501,A200)+SUMIFS('Manual Sales'!$V$2:$V$1501,'Manual Sales'!$U$2:$U$1501,A200))</f>
        <v/>
      </c>
      <c r="E200" s="11">
        <f>IF(A200="","",SUMIFS('Etsy Calc'!$N$2:$N$1501,'Etsy Calc'!$L$2:$L$1501,A200)+SUMIFS('Shopify Calc'!$N$2:$N$1501,'Shopify Calc'!$L$2:$L$1501,A200)+SUMIFS('Manual Sales'!$W$2:$W$1501,'Manual Sales'!$U$2:$U$1501,A200))</f>
        <v/>
      </c>
      <c r="F200" s="11">
        <f>IF(A200="","",SUMIFS('Etsy Calc'!$O$2:$O$1501,'Etsy Calc'!$L$2:$L$1501,A200)+SUMIFS('Shopify Calc'!$O$2:$O$1501,'Shopify Calc'!$L$2:$L$1501,A200)+SUMIFS('Manual Sales'!$X$2:$X$1501,'Manual Sales'!$U$2:$U$1501,A200))</f>
        <v/>
      </c>
      <c r="G200" s="11">
        <f>IF(A200="","",IF($B$4=0,0,Settings!$B$14*C200/$B$4))</f>
        <v/>
      </c>
      <c r="H200" s="11">
        <f>IF(A200="","",C200-D200-E200-F200-G200)</f>
        <v/>
      </c>
      <c r="I200" s="11">
        <f>IF(OR(A200="",N(B200)=0),"",H200/B200)</f>
        <v/>
      </c>
      <c r="J200" s="12">
        <f>IF(OR(A200="",N(C200)=0),"",H200/C200)</f>
        <v/>
      </c>
      <c r="K200">
        <f>IF(A200="","",IF(N(B200)=0,"No sales",IF(H200&lt;0,"LOSING MONEY",IF(J200&lt;0.15,"Thin margin","Healthy"))))</f>
        <v/>
      </c>
    </row>
    <row r="201">
      <c r="A201">
        <f>IF(Products!A195="","",Products!A195)</f>
        <v/>
      </c>
      <c r="B201">
        <f>IF(A201="","",SUMIFS('Etsy Calc'!$D$2:$D$1501,'Etsy Calc'!$L$2:$L$1501,A201)+SUMIFS('Shopify Calc'!$D$2:$D$1501,'Shopify Calc'!$L$2:$L$1501,A201)+SUMIFS('Manual Sales'!$M$2:$M$1501,'Manual Sales'!$U$2:$U$1501,A201))</f>
        <v/>
      </c>
      <c r="C201" s="11">
        <f>IF(A201="","",SUMIFS('Etsy Calc'!$J$2:$J$1501,'Etsy Calc'!$L$2:$L$1501,A201)+SUMIFS('Shopify Calc'!$J$2:$J$1501,'Shopify Calc'!$L$2:$L$1501,A201)+SUMIFS('Manual Sales'!$S$2:$S$1501,'Manual Sales'!$U$2:$U$1501,A201))</f>
        <v/>
      </c>
      <c r="D201" s="11">
        <f>IF(A201="","",SUMIFS('Etsy Calc'!$M$2:$M$1501,'Etsy Calc'!$L$2:$L$1501,A201)+SUMIFS('Shopify Calc'!$M$2:$M$1501,'Shopify Calc'!$L$2:$L$1501,A201)+SUMIFS('Manual Sales'!$V$2:$V$1501,'Manual Sales'!$U$2:$U$1501,A201))</f>
        <v/>
      </c>
      <c r="E201" s="11">
        <f>IF(A201="","",SUMIFS('Etsy Calc'!$N$2:$N$1501,'Etsy Calc'!$L$2:$L$1501,A201)+SUMIFS('Shopify Calc'!$N$2:$N$1501,'Shopify Calc'!$L$2:$L$1501,A201)+SUMIFS('Manual Sales'!$W$2:$W$1501,'Manual Sales'!$U$2:$U$1501,A201))</f>
        <v/>
      </c>
      <c r="F201" s="11">
        <f>IF(A201="","",SUMIFS('Etsy Calc'!$O$2:$O$1501,'Etsy Calc'!$L$2:$L$1501,A201)+SUMIFS('Shopify Calc'!$O$2:$O$1501,'Shopify Calc'!$L$2:$L$1501,A201)+SUMIFS('Manual Sales'!$X$2:$X$1501,'Manual Sales'!$U$2:$U$1501,A201))</f>
        <v/>
      </c>
      <c r="G201" s="11">
        <f>IF(A201="","",IF($B$4=0,0,Settings!$B$14*C201/$B$4))</f>
        <v/>
      </c>
      <c r="H201" s="11">
        <f>IF(A201="","",C201-D201-E201-F201-G201)</f>
        <v/>
      </c>
      <c r="I201" s="11">
        <f>IF(OR(A201="",N(B201)=0),"",H201/B201)</f>
        <v/>
      </c>
      <c r="J201" s="12">
        <f>IF(OR(A201="",N(C201)=0),"",H201/C201)</f>
        <v/>
      </c>
      <c r="K201">
        <f>IF(A201="","",IF(N(B201)=0,"No sales",IF(H201&lt;0,"LOSING MONEY",IF(J201&lt;0.15,"Thin margin","Healthy"))))</f>
        <v/>
      </c>
    </row>
    <row r="202">
      <c r="A202">
        <f>IF(Products!A196="","",Products!A196)</f>
        <v/>
      </c>
      <c r="B202">
        <f>IF(A202="","",SUMIFS('Etsy Calc'!$D$2:$D$1501,'Etsy Calc'!$L$2:$L$1501,A202)+SUMIFS('Shopify Calc'!$D$2:$D$1501,'Shopify Calc'!$L$2:$L$1501,A202)+SUMIFS('Manual Sales'!$M$2:$M$1501,'Manual Sales'!$U$2:$U$1501,A202))</f>
        <v/>
      </c>
      <c r="C202" s="11">
        <f>IF(A202="","",SUMIFS('Etsy Calc'!$J$2:$J$1501,'Etsy Calc'!$L$2:$L$1501,A202)+SUMIFS('Shopify Calc'!$J$2:$J$1501,'Shopify Calc'!$L$2:$L$1501,A202)+SUMIFS('Manual Sales'!$S$2:$S$1501,'Manual Sales'!$U$2:$U$1501,A202))</f>
        <v/>
      </c>
      <c r="D202" s="11">
        <f>IF(A202="","",SUMIFS('Etsy Calc'!$M$2:$M$1501,'Etsy Calc'!$L$2:$L$1501,A202)+SUMIFS('Shopify Calc'!$M$2:$M$1501,'Shopify Calc'!$L$2:$L$1501,A202)+SUMIFS('Manual Sales'!$V$2:$V$1501,'Manual Sales'!$U$2:$U$1501,A202))</f>
        <v/>
      </c>
      <c r="E202" s="11">
        <f>IF(A202="","",SUMIFS('Etsy Calc'!$N$2:$N$1501,'Etsy Calc'!$L$2:$L$1501,A202)+SUMIFS('Shopify Calc'!$N$2:$N$1501,'Shopify Calc'!$L$2:$L$1501,A202)+SUMIFS('Manual Sales'!$W$2:$W$1501,'Manual Sales'!$U$2:$U$1501,A202))</f>
        <v/>
      </c>
      <c r="F202" s="11">
        <f>IF(A202="","",SUMIFS('Etsy Calc'!$O$2:$O$1501,'Etsy Calc'!$L$2:$L$1501,A202)+SUMIFS('Shopify Calc'!$O$2:$O$1501,'Shopify Calc'!$L$2:$L$1501,A202)+SUMIFS('Manual Sales'!$X$2:$X$1501,'Manual Sales'!$U$2:$U$1501,A202))</f>
        <v/>
      </c>
      <c r="G202" s="11">
        <f>IF(A202="","",IF($B$4=0,0,Settings!$B$14*C202/$B$4))</f>
        <v/>
      </c>
      <c r="H202" s="11">
        <f>IF(A202="","",C202-D202-E202-F202-G202)</f>
        <v/>
      </c>
      <c r="I202" s="11">
        <f>IF(OR(A202="",N(B202)=0),"",H202/B202)</f>
        <v/>
      </c>
      <c r="J202" s="12">
        <f>IF(OR(A202="",N(C202)=0),"",H202/C202)</f>
        <v/>
      </c>
      <c r="K202">
        <f>IF(A202="","",IF(N(B202)=0,"No sales",IF(H202&lt;0,"LOSING MONEY",IF(J202&lt;0.15,"Thin margin","Healthy"))))</f>
        <v/>
      </c>
    </row>
    <row r="203">
      <c r="A203">
        <f>IF(Products!A197="","",Products!A197)</f>
        <v/>
      </c>
      <c r="B203">
        <f>IF(A203="","",SUMIFS('Etsy Calc'!$D$2:$D$1501,'Etsy Calc'!$L$2:$L$1501,A203)+SUMIFS('Shopify Calc'!$D$2:$D$1501,'Shopify Calc'!$L$2:$L$1501,A203)+SUMIFS('Manual Sales'!$M$2:$M$1501,'Manual Sales'!$U$2:$U$1501,A203))</f>
        <v/>
      </c>
      <c r="C203" s="11">
        <f>IF(A203="","",SUMIFS('Etsy Calc'!$J$2:$J$1501,'Etsy Calc'!$L$2:$L$1501,A203)+SUMIFS('Shopify Calc'!$J$2:$J$1501,'Shopify Calc'!$L$2:$L$1501,A203)+SUMIFS('Manual Sales'!$S$2:$S$1501,'Manual Sales'!$U$2:$U$1501,A203))</f>
        <v/>
      </c>
      <c r="D203" s="11">
        <f>IF(A203="","",SUMIFS('Etsy Calc'!$M$2:$M$1501,'Etsy Calc'!$L$2:$L$1501,A203)+SUMIFS('Shopify Calc'!$M$2:$M$1501,'Shopify Calc'!$L$2:$L$1501,A203)+SUMIFS('Manual Sales'!$V$2:$V$1501,'Manual Sales'!$U$2:$U$1501,A203))</f>
        <v/>
      </c>
      <c r="E203" s="11">
        <f>IF(A203="","",SUMIFS('Etsy Calc'!$N$2:$N$1501,'Etsy Calc'!$L$2:$L$1501,A203)+SUMIFS('Shopify Calc'!$N$2:$N$1501,'Shopify Calc'!$L$2:$L$1501,A203)+SUMIFS('Manual Sales'!$W$2:$W$1501,'Manual Sales'!$U$2:$U$1501,A203))</f>
        <v/>
      </c>
      <c r="F203" s="11">
        <f>IF(A203="","",SUMIFS('Etsy Calc'!$O$2:$O$1501,'Etsy Calc'!$L$2:$L$1501,A203)+SUMIFS('Shopify Calc'!$O$2:$O$1501,'Shopify Calc'!$L$2:$L$1501,A203)+SUMIFS('Manual Sales'!$X$2:$X$1501,'Manual Sales'!$U$2:$U$1501,A203))</f>
        <v/>
      </c>
      <c r="G203" s="11">
        <f>IF(A203="","",IF($B$4=0,0,Settings!$B$14*C203/$B$4))</f>
        <v/>
      </c>
      <c r="H203" s="11">
        <f>IF(A203="","",C203-D203-E203-F203-G203)</f>
        <v/>
      </c>
      <c r="I203" s="11">
        <f>IF(OR(A203="",N(B203)=0),"",H203/B203)</f>
        <v/>
      </c>
      <c r="J203" s="12">
        <f>IF(OR(A203="",N(C203)=0),"",H203/C203)</f>
        <v/>
      </c>
      <c r="K203">
        <f>IF(A203="","",IF(N(B203)=0,"No sales",IF(H203&lt;0,"LOSING MONEY",IF(J203&lt;0.15,"Thin margin","Healthy"))))</f>
        <v/>
      </c>
    </row>
    <row r="204">
      <c r="A204">
        <f>IF(Products!A198="","",Products!A198)</f>
        <v/>
      </c>
      <c r="B204">
        <f>IF(A204="","",SUMIFS('Etsy Calc'!$D$2:$D$1501,'Etsy Calc'!$L$2:$L$1501,A204)+SUMIFS('Shopify Calc'!$D$2:$D$1501,'Shopify Calc'!$L$2:$L$1501,A204)+SUMIFS('Manual Sales'!$M$2:$M$1501,'Manual Sales'!$U$2:$U$1501,A204))</f>
        <v/>
      </c>
      <c r="C204" s="11">
        <f>IF(A204="","",SUMIFS('Etsy Calc'!$J$2:$J$1501,'Etsy Calc'!$L$2:$L$1501,A204)+SUMIFS('Shopify Calc'!$J$2:$J$1501,'Shopify Calc'!$L$2:$L$1501,A204)+SUMIFS('Manual Sales'!$S$2:$S$1501,'Manual Sales'!$U$2:$U$1501,A204))</f>
        <v/>
      </c>
      <c r="D204" s="11">
        <f>IF(A204="","",SUMIFS('Etsy Calc'!$M$2:$M$1501,'Etsy Calc'!$L$2:$L$1501,A204)+SUMIFS('Shopify Calc'!$M$2:$M$1501,'Shopify Calc'!$L$2:$L$1501,A204)+SUMIFS('Manual Sales'!$V$2:$V$1501,'Manual Sales'!$U$2:$U$1501,A204))</f>
        <v/>
      </c>
      <c r="E204" s="11">
        <f>IF(A204="","",SUMIFS('Etsy Calc'!$N$2:$N$1501,'Etsy Calc'!$L$2:$L$1501,A204)+SUMIFS('Shopify Calc'!$N$2:$N$1501,'Shopify Calc'!$L$2:$L$1501,A204)+SUMIFS('Manual Sales'!$W$2:$W$1501,'Manual Sales'!$U$2:$U$1501,A204))</f>
        <v/>
      </c>
      <c r="F204" s="11">
        <f>IF(A204="","",SUMIFS('Etsy Calc'!$O$2:$O$1501,'Etsy Calc'!$L$2:$L$1501,A204)+SUMIFS('Shopify Calc'!$O$2:$O$1501,'Shopify Calc'!$L$2:$L$1501,A204)+SUMIFS('Manual Sales'!$X$2:$X$1501,'Manual Sales'!$U$2:$U$1501,A204))</f>
        <v/>
      </c>
      <c r="G204" s="11">
        <f>IF(A204="","",IF($B$4=0,0,Settings!$B$14*C204/$B$4))</f>
        <v/>
      </c>
      <c r="H204" s="11">
        <f>IF(A204="","",C204-D204-E204-F204-G204)</f>
        <v/>
      </c>
      <c r="I204" s="11">
        <f>IF(OR(A204="",N(B204)=0),"",H204/B204)</f>
        <v/>
      </c>
      <c r="J204" s="12">
        <f>IF(OR(A204="",N(C204)=0),"",H204/C204)</f>
        <v/>
      </c>
      <c r="K204">
        <f>IF(A204="","",IF(N(B204)=0,"No sales",IF(H204&lt;0,"LOSING MONEY",IF(J204&lt;0.15,"Thin margin","Healthy"))))</f>
        <v/>
      </c>
    </row>
    <row r="205">
      <c r="A205">
        <f>IF(Products!A199="","",Products!A199)</f>
        <v/>
      </c>
      <c r="B205">
        <f>IF(A205="","",SUMIFS('Etsy Calc'!$D$2:$D$1501,'Etsy Calc'!$L$2:$L$1501,A205)+SUMIFS('Shopify Calc'!$D$2:$D$1501,'Shopify Calc'!$L$2:$L$1501,A205)+SUMIFS('Manual Sales'!$M$2:$M$1501,'Manual Sales'!$U$2:$U$1501,A205))</f>
        <v/>
      </c>
      <c r="C205" s="11">
        <f>IF(A205="","",SUMIFS('Etsy Calc'!$J$2:$J$1501,'Etsy Calc'!$L$2:$L$1501,A205)+SUMIFS('Shopify Calc'!$J$2:$J$1501,'Shopify Calc'!$L$2:$L$1501,A205)+SUMIFS('Manual Sales'!$S$2:$S$1501,'Manual Sales'!$U$2:$U$1501,A205))</f>
        <v/>
      </c>
      <c r="D205" s="11">
        <f>IF(A205="","",SUMIFS('Etsy Calc'!$M$2:$M$1501,'Etsy Calc'!$L$2:$L$1501,A205)+SUMIFS('Shopify Calc'!$M$2:$M$1501,'Shopify Calc'!$L$2:$L$1501,A205)+SUMIFS('Manual Sales'!$V$2:$V$1501,'Manual Sales'!$U$2:$U$1501,A205))</f>
        <v/>
      </c>
      <c r="E205" s="11">
        <f>IF(A205="","",SUMIFS('Etsy Calc'!$N$2:$N$1501,'Etsy Calc'!$L$2:$L$1501,A205)+SUMIFS('Shopify Calc'!$N$2:$N$1501,'Shopify Calc'!$L$2:$L$1501,A205)+SUMIFS('Manual Sales'!$W$2:$W$1501,'Manual Sales'!$U$2:$U$1501,A205))</f>
        <v/>
      </c>
      <c r="F205" s="11">
        <f>IF(A205="","",SUMIFS('Etsy Calc'!$O$2:$O$1501,'Etsy Calc'!$L$2:$L$1501,A205)+SUMIFS('Shopify Calc'!$O$2:$O$1501,'Shopify Calc'!$L$2:$L$1501,A205)+SUMIFS('Manual Sales'!$X$2:$X$1501,'Manual Sales'!$U$2:$U$1501,A205))</f>
        <v/>
      </c>
      <c r="G205" s="11">
        <f>IF(A205="","",IF($B$4=0,0,Settings!$B$14*C205/$B$4))</f>
        <v/>
      </c>
      <c r="H205" s="11">
        <f>IF(A205="","",C205-D205-E205-F205-G205)</f>
        <v/>
      </c>
      <c r="I205" s="11">
        <f>IF(OR(A205="",N(B205)=0),"",H205/B205)</f>
        <v/>
      </c>
      <c r="J205" s="12">
        <f>IF(OR(A205="",N(C205)=0),"",H205/C205)</f>
        <v/>
      </c>
      <c r="K205">
        <f>IF(A205="","",IF(N(B205)=0,"No sales",IF(H205&lt;0,"LOSING MONEY",IF(J205&lt;0.15,"Thin margin","Healthy"))))</f>
        <v/>
      </c>
    </row>
    <row r="206">
      <c r="A206">
        <f>IF(Products!A200="","",Products!A200)</f>
        <v/>
      </c>
      <c r="B206">
        <f>IF(A206="","",SUMIFS('Etsy Calc'!$D$2:$D$1501,'Etsy Calc'!$L$2:$L$1501,A206)+SUMIFS('Shopify Calc'!$D$2:$D$1501,'Shopify Calc'!$L$2:$L$1501,A206)+SUMIFS('Manual Sales'!$M$2:$M$1501,'Manual Sales'!$U$2:$U$1501,A206))</f>
        <v/>
      </c>
      <c r="C206" s="11">
        <f>IF(A206="","",SUMIFS('Etsy Calc'!$J$2:$J$1501,'Etsy Calc'!$L$2:$L$1501,A206)+SUMIFS('Shopify Calc'!$J$2:$J$1501,'Shopify Calc'!$L$2:$L$1501,A206)+SUMIFS('Manual Sales'!$S$2:$S$1501,'Manual Sales'!$U$2:$U$1501,A206))</f>
        <v/>
      </c>
      <c r="D206" s="11">
        <f>IF(A206="","",SUMIFS('Etsy Calc'!$M$2:$M$1501,'Etsy Calc'!$L$2:$L$1501,A206)+SUMIFS('Shopify Calc'!$M$2:$M$1501,'Shopify Calc'!$L$2:$L$1501,A206)+SUMIFS('Manual Sales'!$V$2:$V$1501,'Manual Sales'!$U$2:$U$1501,A206))</f>
        <v/>
      </c>
      <c r="E206" s="11">
        <f>IF(A206="","",SUMIFS('Etsy Calc'!$N$2:$N$1501,'Etsy Calc'!$L$2:$L$1501,A206)+SUMIFS('Shopify Calc'!$N$2:$N$1501,'Shopify Calc'!$L$2:$L$1501,A206)+SUMIFS('Manual Sales'!$W$2:$W$1501,'Manual Sales'!$U$2:$U$1501,A206))</f>
        <v/>
      </c>
      <c r="F206" s="11">
        <f>IF(A206="","",SUMIFS('Etsy Calc'!$O$2:$O$1501,'Etsy Calc'!$L$2:$L$1501,A206)+SUMIFS('Shopify Calc'!$O$2:$O$1501,'Shopify Calc'!$L$2:$L$1501,A206)+SUMIFS('Manual Sales'!$X$2:$X$1501,'Manual Sales'!$U$2:$U$1501,A206))</f>
        <v/>
      </c>
      <c r="G206" s="11">
        <f>IF(A206="","",IF($B$4=0,0,Settings!$B$14*C206/$B$4))</f>
        <v/>
      </c>
      <c r="H206" s="11">
        <f>IF(A206="","",C206-D206-E206-F206-G206)</f>
        <v/>
      </c>
      <c r="I206" s="11">
        <f>IF(OR(A206="",N(B206)=0),"",H206/B206)</f>
        <v/>
      </c>
      <c r="J206" s="12">
        <f>IF(OR(A206="",N(C206)=0),"",H206/C206)</f>
        <v/>
      </c>
      <c r="K206">
        <f>IF(A206="","",IF(N(B206)=0,"No sales",IF(H206&lt;0,"LOSING MONEY",IF(J206&lt;0.15,"Thin margin","Healthy"))))</f>
        <v/>
      </c>
    </row>
    <row r="207">
      <c r="A207">
        <f>IF(Products!A201="","",Products!A201)</f>
        <v/>
      </c>
      <c r="B207">
        <f>IF(A207="","",SUMIFS('Etsy Calc'!$D$2:$D$1501,'Etsy Calc'!$L$2:$L$1501,A207)+SUMIFS('Shopify Calc'!$D$2:$D$1501,'Shopify Calc'!$L$2:$L$1501,A207)+SUMIFS('Manual Sales'!$M$2:$M$1501,'Manual Sales'!$U$2:$U$1501,A207))</f>
        <v/>
      </c>
      <c r="C207" s="11">
        <f>IF(A207="","",SUMIFS('Etsy Calc'!$J$2:$J$1501,'Etsy Calc'!$L$2:$L$1501,A207)+SUMIFS('Shopify Calc'!$J$2:$J$1501,'Shopify Calc'!$L$2:$L$1501,A207)+SUMIFS('Manual Sales'!$S$2:$S$1501,'Manual Sales'!$U$2:$U$1501,A207))</f>
        <v/>
      </c>
      <c r="D207" s="11">
        <f>IF(A207="","",SUMIFS('Etsy Calc'!$M$2:$M$1501,'Etsy Calc'!$L$2:$L$1501,A207)+SUMIFS('Shopify Calc'!$M$2:$M$1501,'Shopify Calc'!$L$2:$L$1501,A207)+SUMIFS('Manual Sales'!$V$2:$V$1501,'Manual Sales'!$U$2:$U$1501,A207))</f>
        <v/>
      </c>
      <c r="E207" s="11">
        <f>IF(A207="","",SUMIFS('Etsy Calc'!$N$2:$N$1501,'Etsy Calc'!$L$2:$L$1501,A207)+SUMIFS('Shopify Calc'!$N$2:$N$1501,'Shopify Calc'!$L$2:$L$1501,A207)+SUMIFS('Manual Sales'!$W$2:$W$1501,'Manual Sales'!$U$2:$U$1501,A207))</f>
        <v/>
      </c>
      <c r="F207" s="11">
        <f>IF(A207="","",SUMIFS('Etsy Calc'!$O$2:$O$1501,'Etsy Calc'!$L$2:$L$1501,A207)+SUMIFS('Shopify Calc'!$O$2:$O$1501,'Shopify Calc'!$L$2:$L$1501,A207)+SUMIFS('Manual Sales'!$X$2:$X$1501,'Manual Sales'!$U$2:$U$1501,A207))</f>
        <v/>
      </c>
      <c r="G207" s="11">
        <f>IF(A207="","",IF($B$4=0,0,Settings!$B$14*C207/$B$4))</f>
        <v/>
      </c>
      <c r="H207" s="11">
        <f>IF(A207="","",C207-D207-E207-F207-G207)</f>
        <v/>
      </c>
      <c r="I207" s="11">
        <f>IF(OR(A207="",N(B207)=0),"",H207/B207)</f>
        <v/>
      </c>
      <c r="J207" s="12">
        <f>IF(OR(A207="",N(C207)=0),"",H207/C207)</f>
        <v/>
      </c>
      <c r="K207">
        <f>IF(A207="","",IF(N(B207)=0,"No sales",IF(H207&lt;0,"LOSING MONEY",IF(J207&lt;0.15,"Thin margin","Healthy"))))</f>
        <v/>
      </c>
    </row>
    <row r="208">
      <c r="A208">
        <f>IF(Products!A202="","",Products!A202)</f>
        <v/>
      </c>
      <c r="B208">
        <f>IF(A208="","",SUMIFS('Etsy Calc'!$D$2:$D$1501,'Etsy Calc'!$L$2:$L$1501,A208)+SUMIFS('Shopify Calc'!$D$2:$D$1501,'Shopify Calc'!$L$2:$L$1501,A208)+SUMIFS('Manual Sales'!$M$2:$M$1501,'Manual Sales'!$U$2:$U$1501,A208))</f>
        <v/>
      </c>
      <c r="C208" s="11">
        <f>IF(A208="","",SUMIFS('Etsy Calc'!$J$2:$J$1501,'Etsy Calc'!$L$2:$L$1501,A208)+SUMIFS('Shopify Calc'!$J$2:$J$1501,'Shopify Calc'!$L$2:$L$1501,A208)+SUMIFS('Manual Sales'!$S$2:$S$1501,'Manual Sales'!$U$2:$U$1501,A208))</f>
        <v/>
      </c>
      <c r="D208" s="11">
        <f>IF(A208="","",SUMIFS('Etsy Calc'!$M$2:$M$1501,'Etsy Calc'!$L$2:$L$1501,A208)+SUMIFS('Shopify Calc'!$M$2:$M$1501,'Shopify Calc'!$L$2:$L$1501,A208)+SUMIFS('Manual Sales'!$V$2:$V$1501,'Manual Sales'!$U$2:$U$1501,A208))</f>
        <v/>
      </c>
      <c r="E208" s="11">
        <f>IF(A208="","",SUMIFS('Etsy Calc'!$N$2:$N$1501,'Etsy Calc'!$L$2:$L$1501,A208)+SUMIFS('Shopify Calc'!$N$2:$N$1501,'Shopify Calc'!$L$2:$L$1501,A208)+SUMIFS('Manual Sales'!$W$2:$W$1501,'Manual Sales'!$U$2:$U$1501,A208))</f>
        <v/>
      </c>
      <c r="F208" s="11">
        <f>IF(A208="","",SUMIFS('Etsy Calc'!$O$2:$O$1501,'Etsy Calc'!$L$2:$L$1501,A208)+SUMIFS('Shopify Calc'!$O$2:$O$1501,'Shopify Calc'!$L$2:$L$1501,A208)+SUMIFS('Manual Sales'!$X$2:$X$1501,'Manual Sales'!$U$2:$U$1501,A208))</f>
        <v/>
      </c>
      <c r="G208" s="11">
        <f>IF(A208="","",IF($B$4=0,0,Settings!$B$14*C208/$B$4))</f>
        <v/>
      </c>
      <c r="H208" s="11">
        <f>IF(A208="","",C208-D208-E208-F208-G208)</f>
        <v/>
      </c>
      <c r="I208" s="11">
        <f>IF(OR(A208="",N(B208)=0),"",H208/B208)</f>
        <v/>
      </c>
      <c r="J208" s="12">
        <f>IF(OR(A208="",N(C208)=0),"",H208/C208)</f>
        <v/>
      </c>
      <c r="K208">
        <f>IF(A208="","",IF(N(B208)=0,"No sales",IF(H208&lt;0,"LOSING MONEY",IF(J208&lt;0.15,"Thin margin","Healthy"))))</f>
        <v/>
      </c>
    </row>
    <row r="209">
      <c r="A209">
        <f>IF(Products!A203="","",Products!A203)</f>
        <v/>
      </c>
      <c r="B209">
        <f>IF(A209="","",SUMIFS('Etsy Calc'!$D$2:$D$1501,'Etsy Calc'!$L$2:$L$1501,A209)+SUMIFS('Shopify Calc'!$D$2:$D$1501,'Shopify Calc'!$L$2:$L$1501,A209)+SUMIFS('Manual Sales'!$M$2:$M$1501,'Manual Sales'!$U$2:$U$1501,A209))</f>
        <v/>
      </c>
      <c r="C209" s="11">
        <f>IF(A209="","",SUMIFS('Etsy Calc'!$J$2:$J$1501,'Etsy Calc'!$L$2:$L$1501,A209)+SUMIFS('Shopify Calc'!$J$2:$J$1501,'Shopify Calc'!$L$2:$L$1501,A209)+SUMIFS('Manual Sales'!$S$2:$S$1501,'Manual Sales'!$U$2:$U$1501,A209))</f>
        <v/>
      </c>
      <c r="D209" s="11">
        <f>IF(A209="","",SUMIFS('Etsy Calc'!$M$2:$M$1501,'Etsy Calc'!$L$2:$L$1501,A209)+SUMIFS('Shopify Calc'!$M$2:$M$1501,'Shopify Calc'!$L$2:$L$1501,A209)+SUMIFS('Manual Sales'!$V$2:$V$1501,'Manual Sales'!$U$2:$U$1501,A209))</f>
        <v/>
      </c>
      <c r="E209" s="11">
        <f>IF(A209="","",SUMIFS('Etsy Calc'!$N$2:$N$1501,'Etsy Calc'!$L$2:$L$1501,A209)+SUMIFS('Shopify Calc'!$N$2:$N$1501,'Shopify Calc'!$L$2:$L$1501,A209)+SUMIFS('Manual Sales'!$W$2:$W$1501,'Manual Sales'!$U$2:$U$1501,A209))</f>
        <v/>
      </c>
      <c r="F209" s="11">
        <f>IF(A209="","",SUMIFS('Etsy Calc'!$O$2:$O$1501,'Etsy Calc'!$L$2:$L$1501,A209)+SUMIFS('Shopify Calc'!$O$2:$O$1501,'Shopify Calc'!$L$2:$L$1501,A209)+SUMIFS('Manual Sales'!$X$2:$X$1501,'Manual Sales'!$U$2:$U$1501,A209))</f>
        <v/>
      </c>
      <c r="G209" s="11">
        <f>IF(A209="","",IF($B$4=0,0,Settings!$B$14*C209/$B$4))</f>
        <v/>
      </c>
      <c r="H209" s="11">
        <f>IF(A209="","",C209-D209-E209-F209-G209)</f>
        <v/>
      </c>
      <c r="I209" s="11">
        <f>IF(OR(A209="",N(B209)=0),"",H209/B209)</f>
        <v/>
      </c>
      <c r="J209" s="12">
        <f>IF(OR(A209="",N(C209)=0),"",H209/C209)</f>
        <v/>
      </c>
      <c r="K209">
        <f>IF(A209="","",IF(N(B209)=0,"No sales",IF(H209&lt;0,"LOSING MONEY",IF(J209&lt;0.15,"Thin margin","Healthy"))))</f>
        <v/>
      </c>
    </row>
    <row r="210">
      <c r="A210">
        <f>IF(Products!A204="","",Products!A204)</f>
        <v/>
      </c>
      <c r="B210">
        <f>IF(A210="","",SUMIFS('Etsy Calc'!$D$2:$D$1501,'Etsy Calc'!$L$2:$L$1501,A210)+SUMIFS('Shopify Calc'!$D$2:$D$1501,'Shopify Calc'!$L$2:$L$1501,A210)+SUMIFS('Manual Sales'!$M$2:$M$1501,'Manual Sales'!$U$2:$U$1501,A210))</f>
        <v/>
      </c>
      <c r="C210" s="11">
        <f>IF(A210="","",SUMIFS('Etsy Calc'!$J$2:$J$1501,'Etsy Calc'!$L$2:$L$1501,A210)+SUMIFS('Shopify Calc'!$J$2:$J$1501,'Shopify Calc'!$L$2:$L$1501,A210)+SUMIFS('Manual Sales'!$S$2:$S$1501,'Manual Sales'!$U$2:$U$1501,A210))</f>
        <v/>
      </c>
      <c r="D210" s="11">
        <f>IF(A210="","",SUMIFS('Etsy Calc'!$M$2:$M$1501,'Etsy Calc'!$L$2:$L$1501,A210)+SUMIFS('Shopify Calc'!$M$2:$M$1501,'Shopify Calc'!$L$2:$L$1501,A210)+SUMIFS('Manual Sales'!$V$2:$V$1501,'Manual Sales'!$U$2:$U$1501,A210))</f>
        <v/>
      </c>
      <c r="E210" s="11">
        <f>IF(A210="","",SUMIFS('Etsy Calc'!$N$2:$N$1501,'Etsy Calc'!$L$2:$L$1501,A210)+SUMIFS('Shopify Calc'!$N$2:$N$1501,'Shopify Calc'!$L$2:$L$1501,A210)+SUMIFS('Manual Sales'!$W$2:$W$1501,'Manual Sales'!$U$2:$U$1501,A210))</f>
        <v/>
      </c>
      <c r="F210" s="11">
        <f>IF(A210="","",SUMIFS('Etsy Calc'!$O$2:$O$1501,'Etsy Calc'!$L$2:$L$1501,A210)+SUMIFS('Shopify Calc'!$O$2:$O$1501,'Shopify Calc'!$L$2:$L$1501,A210)+SUMIFS('Manual Sales'!$X$2:$X$1501,'Manual Sales'!$U$2:$U$1501,A210))</f>
        <v/>
      </c>
      <c r="G210" s="11">
        <f>IF(A210="","",IF($B$4=0,0,Settings!$B$14*C210/$B$4))</f>
        <v/>
      </c>
      <c r="H210" s="11">
        <f>IF(A210="","",C210-D210-E210-F210-G210)</f>
        <v/>
      </c>
      <c r="I210" s="11">
        <f>IF(OR(A210="",N(B210)=0),"",H210/B210)</f>
        <v/>
      </c>
      <c r="J210" s="12">
        <f>IF(OR(A210="",N(C210)=0),"",H210/C210)</f>
        <v/>
      </c>
      <c r="K210">
        <f>IF(A210="","",IF(N(B210)=0,"No sales",IF(H210&lt;0,"LOSING MONEY",IF(J210&lt;0.15,"Thin margin","Healthy"))))</f>
        <v/>
      </c>
    </row>
  </sheetData>
  <conditionalFormatting sqref="B7">
    <cfRule type="expression" priority="1" dxfId="0">
      <formula>B7&lt;0</formula>
    </cfRule>
  </conditionalFormatting>
  <conditionalFormatting sqref="A11:K210">
    <cfRule type="expression" priority="2" dxfId="0">
      <formula>$K11="LOSING MONEY"</formula>
    </cfRule>
    <cfRule type="expression" priority="3" dxfId="1">
      <formula>$K11="Thin margin"</formula>
    </cfRule>
    <cfRule type="expression" priority="4" dxfId="2">
      <formula>$K11="Healthy"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85C6"/>
    <outlinePr summaryBelow="1" summaryRight="1"/>
    <pageSetUpPr/>
  </sheetPr>
  <dimension ref="A1:I2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12" customWidth="1" min="4" max="4"/>
    <col width="14" customWidth="1" min="5" max="5"/>
    <col width="15" customWidth="1" min="6" max="6"/>
    <col width="15" customWidth="1" min="7" max="7"/>
    <col width="12" customWidth="1" min="8" max="8"/>
    <col width="30" customWidth="1" min="9" max="9"/>
  </cols>
  <sheetData>
    <row r="1">
      <c r="A1" s="5" t="inlineStr">
        <is>
          <t>Price Calculator</t>
        </is>
      </c>
    </row>
    <row r="2">
      <c r="A2" s="6" t="inlineStr">
        <is>
          <t>Price = (cost + fixed fees) / (1 - fee % - return rate - target margin). Fees are a % of the sale price, not of your cost, which is why 'cost x 2' often loses money.</t>
        </is>
      </c>
    </row>
    <row r="4" ht="32" customHeight="1">
      <c r="A4" s="10" t="inlineStr">
        <is>
          <t>Product</t>
        </is>
      </c>
      <c r="B4" s="10" t="inlineStr">
        <is>
          <t>Platform</t>
        </is>
      </c>
      <c r="C4" s="10" t="inlineStr">
        <is>
          <t>Total cost
per unit</t>
        </is>
      </c>
      <c r="D4" s="10" t="inlineStr">
        <is>
          <t>Target margin</t>
        </is>
      </c>
      <c r="E4" s="10" t="inlineStr">
        <is>
          <t>Your current price</t>
        </is>
      </c>
      <c r="F4" s="10" t="inlineStr">
        <is>
          <t>Price to hit target</t>
        </is>
      </c>
      <c r="G4" s="10" t="inlineStr">
        <is>
          <t>Profit per unit
at current price</t>
        </is>
      </c>
      <c r="H4" s="10" t="inlineStr">
        <is>
          <t>Margin at
current price</t>
        </is>
      </c>
      <c r="I4" s="10" t="inlineStr">
        <is>
          <t>Check</t>
        </is>
      </c>
    </row>
    <row r="5">
      <c r="A5">
        <f>IF(Products!A5="","",Products!A5)</f>
        <v/>
      </c>
      <c r="B5" s="13" t="inlineStr">
        <is>
          <t>Etsy</t>
        </is>
      </c>
      <c r="C5" s="11">
        <f>IF(A5="","",Products!I5)</f>
        <v/>
      </c>
      <c r="D5" s="14" t="n">
        <v>0.3</v>
      </c>
      <c r="E5" s="15" t="n">
        <v>18</v>
      </c>
      <c r="F5" s="11">
        <f>IF(A5="","",IF(1-(IFERROR(INDEX(Settings!$B$5:$B$9,MATCH(B5,Settings!$A$5:$A$9,0)),0)+IFERROR(INDEX(Settings!$E$5:$E$9,MATCH(B5,Settings!$A$5:$A$9,0)),0)+IFERROR(INDEX(Settings!$G$5:$G$9,MATCH(B5,Settings!$A$5:$A$9,0)),0)+N(Products!H5))-D5&lt;=0,"margin too high",(C5+(IFERROR(INDEX(Settings!$C$5:$C$9,MATCH(B5,Settings!$A$5:$A$9,0)),0)+IFERROR(INDEX(Settings!$D$5:$D$9,MATCH(B5,Settings!$A$5:$A$9,0)),0)+IFERROR(INDEX(Settings!$F$5:$F$9,MATCH(B5,Settings!$A$5:$A$9,0)),0)))/(1-(IFERROR(INDEX(Settings!$B$5:$B$9,MATCH(B5,Settings!$A$5:$A$9,0)),0)+IFERROR(INDEX(Settings!$E$5:$E$9,MATCH(B5,Settings!$A$5:$A$9,0)),0)+IFERROR(INDEX(Settings!$G$5:$G$9,MATCH(B5,Settings!$A$5:$A$9,0)),0)+N(Products!H5))-D5)))</f>
        <v/>
      </c>
      <c r="G5" s="11">
        <f>IF(OR(A5="",N(E5)=0),"",E5*(1-(IFERROR(INDEX(Settings!$B$5:$B$9,MATCH(B5,Settings!$A$5:$A$9,0)),0)+IFERROR(INDEX(Settings!$E$5:$E$9,MATCH(B5,Settings!$A$5:$A$9,0)),0)+IFERROR(INDEX(Settings!$G$5:$G$9,MATCH(B5,Settings!$A$5:$A$9,0)),0)+N(Products!H5)))-(IFERROR(INDEX(Settings!$C$5:$C$9,MATCH(B5,Settings!$A$5:$A$9,0)),0)+IFERROR(INDEX(Settings!$D$5:$D$9,MATCH(B5,Settings!$A$5:$A$9,0)),0)+IFERROR(INDEX(Settings!$F$5:$F$9,MATCH(B5,Settings!$A$5:$A$9,0)),0))-C5)</f>
        <v/>
      </c>
      <c r="H5" s="12">
        <f>IF(OR(A5="",N(E5)=0),"",G5/E5)</f>
        <v/>
      </c>
      <c r="I5">
        <f>IF(OR(A5="",N(E5)=0),"",IF(G5&lt;0,"Loses money at this price",IF(E5&lt;F5,"Below target: raise to "&amp;TEXT(F5,"$0.00"),"On target")))</f>
        <v/>
      </c>
    </row>
    <row r="6">
      <c r="A6">
        <f>IF(Products!A6="","",Products!A6)</f>
        <v/>
      </c>
      <c r="B6" s="13" t="inlineStr">
        <is>
          <t>Etsy</t>
        </is>
      </c>
      <c r="C6" s="11">
        <f>IF(A6="","",Products!I6)</f>
        <v/>
      </c>
      <c r="D6" s="14" t="n">
        <v>0.3</v>
      </c>
      <c r="E6" s="15" t="n">
        <v>28</v>
      </c>
      <c r="F6" s="11">
        <f>IF(A6="","",IF(1-(IFERROR(INDEX(Settings!$B$5:$B$9,MATCH(B6,Settings!$A$5:$A$9,0)),0)+IFERROR(INDEX(Settings!$E$5:$E$9,MATCH(B6,Settings!$A$5:$A$9,0)),0)+IFERROR(INDEX(Settings!$G$5:$G$9,MATCH(B6,Settings!$A$5:$A$9,0)),0)+N(Products!H6))-D6&lt;=0,"margin too high",(C6+(IFERROR(INDEX(Settings!$C$5:$C$9,MATCH(B6,Settings!$A$5:$A$9,0)),0)+IFERROR(INDEX(Settings!$D$5:$D$9,MATCH(B6,Settings!$A$5:$A$9,0)),0)+IFERROR(INDEX(Settings!$F$5:$F$9,MATCH(B6,Settings!$A$5:$A$9,0)),0)))/(1-(IFERROR(INDEX(Settings!$B$5:$B$9,MATCH(B6,Settings!$A$5:$A$9,0)),0)+IFERROR(INDEX(Settings!$E$5:$E$9,MATCH(B6,Settings!$A$5:$A$9,0)),0)+IFERROR(INDEX(Settings!$G$5:$G$9,MATCH(B6,Settings!$A$5:$A$9,0)),0)+N(Products!H6))-D6)))</f>
        <v/>
      </c>
      <c r="G6" s="11">
        <f>IF(OR(A6="",N(E6)=0),"",E6*(1-(IFERROR(INDEX(Settings!$B$5:$B$9,MATCH(B6,Settings!$A$5:$A$9,0)),0)+IFERROR(INDEX(Settings!$E$5:$E$9,MATCH(B6,Settings!$A$5:$A$9,0)),0)+IFERROR(INDEX(Settings!$G$5:$G$9,MATCH(B6,Settings!$A$5:$A$9,0)),0)+N(Products!H6)))-(IFERROR(INDEX(Settings!$C$5:$C$9,MATCH(B6,Settings!$A$5:$A$9,0)),0)+IFERROR(INDEX(Settings!$D$5:$D$9,MATCH(B6,Settings!$A$5:$A$9,0)),0)+IFERROR(INDEX(Settings!$F$5:$F$9,MATCH(B6,Settings!$A$5:$A$9,0)),0))-C6)</f>
        <v/>
      </c>
      <c r="H6" s="12">
        <f>IF(OR(A6="",N(E6)=0),"",G6/E6)</f>
        <v/>
      </c>
      <c r="I6">
        <f>IF(OR(A6="",N(E6)=0),"",IF(G6&lt;0,"Loses money at this price",IF(E6&lt;F6,"Below target: raise to "&amp;TEXT(F6,"$0.00"),"On target")))</f>
        <v/>
      </c>
    </row>
    <row r="7">
      <c r="A7">
        <f>IF(Products!A7="","",Products!A7)</f>
        <v/>
      </c>
      <c r="B7" s="13" t="inlineStr">
        <is>
          <t>Etsy</t>
        </is>
      </c>
      <c r="C7" s="11">
        <f>IF(A7="","",Products!I7)</f>
        <v/>
      </c>
      <c r="D7" s="14" t="n">
        <v>0.3</v>
      </c>
      <c r="E7" s="15" t="n">
        <v>6</v>
      </c>
      <c r="F7" s="11">
        <f>IF(A7="","",IF(1-(IFERROR(INDEX(Settings!$B$5:$B$9,MATCH(B7,Settings!$A$5:$A$9,0)),0)+IFERROR(INDEX(Settings!$E$5:$E$9,MATCH(B7,Settings!$A$5:$A$9,0)),0)+IFERROR(INDEX(Settings!$G$5:$G$9,MATCH(B7,Settings!$A$5:$A$9,0)),0)+N(Products!H7))-D7&lt;=0,"margin too high",(C7+(IFERROR(INDEX(Settings!$C$5:$C$9,MATCH(B7,Settings!$A$5:$A$9,0)),0)+IFERROR(INDEX(Settings!$D$5:$D$9,MATCH(B7,Settings!$A$5:$A$9,0)),0)+IFERROR(INDEX(Settings!$F$5:$F$9,MATCH(B7,Settings!$A$5:$A$9,0)),0)))/(1-(IFERROR(INDEX(Settings!$B$5:$B$9,MATCH(B7,Settings!$A$5:$A$9,0)),0)+IFERROR(INDEX(Settings!$E$5:$E$9,MATCH(B7,Settings!$A$5:$A$9,0)),0)+IFERROR(INDEX(Settings!$G$5:$G$9,MATCH(B7,Settings!$A$5:$A$9,0)),0)+N(Products!H7))-D7)))</f>
        <v/>
      </c>
      <c r="G7" s="11">
        <f>IF(OR(A7="",N(E7)=0),"",E7*(1-(IFERROR(INDEX(Settings!$B$5:$B$9,MATCH(B7,Settings!$A$5:$A$9,0)),0)+IFERROR(INDEX(Settings!$E$5:$E$9,MATCH(B7,Settings!$A$5:$A$9,0)),0)+IFERROR(INDEX(Settings!$G$5:$G$9,MATCH(B7,Settings!$A$5:$A$9,0)),0)+N(Products!H7)))-(IFERROR(INDEX(Settings!$C$5:$C$9,MATCH(B7,Settings!$A$5:$A$9,0)),0)+IFERROR(INDEX(Settings!$D$5:$D$9,MATCH(B7,Settings!$A$5:$A$9,0)),0)+IFERROR(INDEX(Settings!$F$5:$F$9,MATCH(B7,Settings!$A$5:$A$9,0)),0))-C7)</f>
        <v/>
      </c>
      <c r="H7" s="12">
        <f>IF(OR(A7="",N(E7)=0),"",G7/E7)</f>
        <v/>
      </c>
      <c r="I7">
        <f>IF(OR(A7="",N(E7)=0),"",IF(G7&lt;0,"Loses money at this price",IF(E7&lt;F7,"Below target: raise to "&amp;TEXT(F7,"$0.00"),"On target")))</f>
        <v/>
      </c>
    </row>
    <row r="8">
      <c r="A8">
        <f>IF(Products!A8="","",Products!A8)</f>
        <v/>
      </c>
      <c r="B8" s="13" t="inlineStr">
        <is>
          <t>Amazon</t>
        </is>
      </c>
      <c r="C8" s="11">
        <f>IF(A8="","",Products!I8)</f>
        <v/>
      </c>
      <c r="D8" s="14" t="n">
        <v>0.3</v>
      </c>
      <c r="E8" s="15" t="n">
        <v>24</v>
      </c>
      <c r="F8" s="11">
        <f>IF(A8="","",IF(1-(IFERROR(INDEX(Settings!$B$5:$B$9,MATCH(B8,Settings!$A$5:$A$9,0)),0)+IFERROR(INDEX(Settings!$E$5:$E$9,MATCH(B8,Settings!$A$5:$A$9,0)),0)+IFERROR(INDEX(Settings!$G$5:$G$9,MATCH(B8,Settings!$A$5:$A$9,0)),0)+N(Products!H8))-D8&lt;=0,"margin too high",(C8+(IFERROR(INDEX(Settings!$C$5:$C$9,MATCH(B8,Settings!$A$5:$A$9,0)),0)+IFERROR(INDEX(Settings!$D$5:$D$9,MATCH(B8,Settings!$A$5:$A$9,0)),0)+IFERROR(INDEX(Settings!$F$5:$F$9,MATCH(B8,Settings!$A$5:$A$9,0)),0)))/(1-(IFERROR(INDEX(Settings!$B$5:$B$9,MATCH(B8,Settings!$A$5:$A$9,0)),0)+IFERROR(INDEX(Settings!$E$5:$E$9,MATCH(B8,Settings!$A$5:$A$9,0)),0)+IFERROR(INDEX(Settings!$G$5:$G$9,MATCH(B8,Settings!$A$5:$A$9,0)),0)+N(Products!H8))-D8)))</f>
        <v/>
      </c>
      <c r="G8" s="11">
        <f>IF(OR(A8="",N(E8)=0),"",E8*(1-(IFERROR(INDEX(Settings!$B$5:$B$9,MATCH(B8,Settings!$A$5:$A$9,0)),0)+IFERROR(INDEX(Settings!$E$5:$E$9,MATCH(B8,Settings!$A$5:$A$9,0)),0)+IFERROR(INDEX(Settings!$G$5:$G$9,MATCH(B8,Settings!$A$5:$A$9,0)),0)+N(Products!H8)))-(IFERROR(INDEX(Settings!$C$5:$C$9,MATCH(B8,Settings!$A$5:$A$9,0)),0)+IFERROR(INDEX(Settings!$D$5:$D$9,MATCH(B8,Settings!$A$5:$A$9,0)),0)+IFERROR(INDEX(Settings!$F$5:$F$9,MATCH(B8,Settings!$A$5:$A$9,0)),0))-C8)</f>
        <v/>
      </c>
      <c r="H8" s="12">
        <f>IF(OR(A8="",N(E8)=0),"",G8/E8)</f>
        <v/>
      </c>
      <c r="I8">
        <f>IF(OR(A8="",N(E8)=0),"",IF(G8&lt;0,"Loses money at this price",IF(E8&lt;F8,"Below target: raise to "&amp;TEXT(F8,"$0.00"),"On target")))</f>
        <v/>
      </c>
    </row>
    <row r="9">
      <c r="A9">
        <f>IF(Products!A9="","",Products!A9)</f>
        <v/>
      </c>
      <c r="B9" s="13" t="inlineStr">
        <is>
          <t>Etsy</t>
        </is>
      </c>
      <c r="C9" s="11">
        <f>IF(A9="","",Products!I9)</f>
        <v/>
      </c>
      <c r="D9" s="14" t="n">
        <v>0.3</v>
      </c>
      <c r="E9" s="15" t="n"/>
      <c r="F9" s="11">
        <f>IF(A9="","",IF(1-(IFERROR(INDEX(Settings!$B$5:$B$9,MATCH(B9,Settings!$A$5:$A$9,0)),0)+IFERROR(INDEX(Settings!$E$5:$E$9,MATCH(B9,Settings!$A$5:$A$9,0)),0)+IFERROR(INDEX(Settings!$G$5:$G$9,MATCH(B9,Settings!$A$5:$A$9,0)),0)+N(Products!H9))-D9&lt;=0,"margin too high",(C9+(IFERROR(INDEX(Settings!$C$5:$C$9,MATCH(B9,Settings!$A$5:$A$9,0)),0)+IFERROR(INDEX(Settings!$D$5:$D$9,MATCH(B9,Settings!$A$5:$A$9,0)),0)+IFERROR(INDEX(Settings!$F$5:$F$9,MATCH(B9,Settings!$A$5:$A$9,0)),0)))/(1-(IFERROR(INDEX(Settings!$B$5:$B$9,MATCH(B9,Settings!$A$5:$A$9,0)),0)+IFERROR(INDEX(Settings!$E$5:$E$9,MATCH(B9,Settings!$A$5:$A$9,0)),0)+IFERROR(INDEX(Settings!$G$5:$G$9,MATCH(B9,Settings!$A$5:$A$9,0)),0)+N(Products!H9))-D9)))</f>
        <v/>
      </c>
      <c r="G9" s="11">
        <f>IF(OR(A9="",N(E9)=0),"",E9*(1-(IFERROR(INDEX(Settings!$B$5:$B$9,MATCH(B9,Settings!$A$5:$A$9,0)),0)+IFERROR(INDEX(Settings!$E$5:$E$9,MATCH(B9,Settings!$A$5:$A$9,0)),0)+IFERROR(INDEX(Settings!$G$5:$G$9,MATCH(B9,Settings!$A$5:$A$9,0)),0)+N(Products!H9)))-(IFERROR(INDEX(Settings!$C$5:$C$9,MATCH(B9,Settings!$A$5:$A$9,0)),0)+IFERROR(INDEX(Settings!$D$5:$D$9,MATCH(B9,Settings!$A$5:$A$9,0)),0)+IFERROR(INDEX(Settings!$F$5:$F$9,MATCH(B9,Settings!$A$5:$A$9,0)),0))-C9)</f>
        <v/>
      </c>
      <c r="H9" s="12">
        <f>IF(OR(A9="",N(E9)=0),"",G9/E9)</f>
        <v/>
      </c>
      <c r="I9">
        <f>IF(OR(A9="",N(E9)=0),"",IF(G9&lt;0,"Loses money at this price",IF(E9&lt;F9,"Below target: raise to "&amp;TEXT(F9,"$0.00"),"On target")))</f>
        <v/>
      </c>
    </row>
    <row r="10">
      <c r="A10">
        <f>IF(Products!A10="","",Products!A10)</f>
        <v/>
      </c>
      <c r="B10" s="13" t="inlineStr">
        <is>
          <t>Etsy</t>
        </is>
      </c>
      <c r="C10" s="11">
        <f>IF(A10="","",Products!I10)</f>
        <v/>
      </c>
      <c r="D10" s="14" t="n">
        <v>0.3</v>
      </c>
      <c r="E10" s="15" t="n"/>
      <c r="F10" s="11">
        <f>IF(A10="","",IF(1-(IFERROR(INDEX(Settings!$B$5:$B$9,MATCH(B10,Settings!$A$5:$A$9,0)),0)+IFERROR(INDEX(Settings!$E$5:$E$9,MATCH(B10,Settings!$A$5:$A$9,0)),0)+IFERROR(INDEX(Settings!$G$5:$G$9,MATCH(B10,Settings!$A$5:$A$9,0)),0)+N(Products!H10))-D10&lt;=0,"margin too high",(C10+(IFERROR(INDEX(Settings!$C$5:$C$9,MATCH(B10,Settings!$A$5:$A$9,0)),0)+IFERROR(INDEX(Settings!$D$5:$D$9,MATCH(B10,Settings!$A$5:$A$9,0)),0)+IFERROR(INDEX(Settings!$F$5:$F$9,MATCH(B10,Settings!$A$5:$A$9,0)),0)))/(1-(IFERROR(INDEX(Settings!$B$5:$B$9,MATCH(B10,Settings!$A$5:$A$9,0)),0)+IFERROR(INDEX(Settings!$E$5:$E$9,MATCH(B10,Settings!$A$5:$A$9,0)),0)+IFERROR(INDEX(Settings!$G$5:$G$9,MATCH(B10,Settings!$A$5:$A$9,0)),0)+N(Products!H10))-D10)))</f>
        <v/>
      </c>
      <c r="G10" s="11">
        <f>IF(OR(A10="",N(E10)=0),"",E10*(1-(IFERROR(INDEX(Settings!$B$5:$B$9,MATCH(B10,Settings!$A$5:$A$9,0)),0)+IFERROR(INDEX(Settings!$E$5:$E$9,MATCH(B10,Settings!$A$5:$A$9,0)),0)+IFERROR(INDEX(Settings!$G$5:$G$9,MATCH(B10,Settings!$A$5:$A$9,0)),0)+N(Products!H10)))-(IFERROR(INDEX(Settings!$C$5:$C$9,MATCH(B10,Settings!$A$5:$A$9,0)),0)+IFERROR(INDEX(Settings!$D$5:$D$9,MATCH(B10,Settings!$A$5:$A$9,0)),0)+IFERROR(INDEX(Settings!$F$5:$F$9,MATCH(B10,Settings!$A$5:$A$9,0)),0))-C10)</f>
        <v/>
      </c>
      <c r="H10" s="12">
        <f>IF(OR(A10="",N(E10)=0),"",G10/E10)</f>
        <v/>
      </c>
      <c r="I10">
        <f>IF(OR(A10="",N(E10)=0),"",IF(G10&lt;0,"Loses money at this price",IF(E10&lt;F10,"Below target: raise to "&amp;TEXT(F10,"$0.00"),"On target")))</f>
        <v/>
      </c>
    </row>
    <row r="11">
      <c r="A11">
        <f>IF(Products!A11="","",Products!A11)</f>
        <v/>
      </c>
      <c r="B11" s="13" t="inlineStr">
        <is>
          <t>Etsy</t>
        </is>
      </c>
      <c r="C11" s="11">
        <f>IF(A11="","",Products!I11)</f>
        <v/>
      </c>
      <c r="D11" s="14" t="n">
        <v>0.3</v>
      </c>
      <c r="E11" s="15" t="n"/>
      <c r="F11" s="11">
        <f>IF(A11="","",IF(1-(IFERROR(INDEX(Settings!$B$5:$B$9,MATCH(B11,Settings!$A$5:$A$9,0)),0)+IFERROR(INDEX(Settings!$E$5:$E$9,MATCH(B11,Settings!$A$5:$A$9,0)),0)+IFERROR(INDEX(Settings!$G$5:$G$9,MATCH(B11,Settings!$A$5:$A$9,0)),0)+N(Products!H11))-D11&lt;=0,"margin too high",(C11+(IFERROR(INDEX(Settings!$C$5:$C$9,MATCH(B11,Settings!$A$5:$A$9,0)),0)+IFERROR(INDEX(Settings!$D$5:$D$9,MATCH(B11,Settings!$A$5:$A$9,0)),0)+IFERROR(INDEX(Settings!$F$5:$F$9,MATCH(B11,Settings!$A$5:$A$9,0)),0)))/(1-(IFERROR(INDEX(Settings!$B$5:$B$9,MATCH(B11,Settings!$A$5:$A$9,0)),0)+IFERROR(INDEX(Settings!$E$5:$E$9,MATCH(B11,Settings!$A$5:$A$9,0)),0)+IFERROR(INDEX(Settings!$G$5:$G$9,MATCH(B11,Settings!$A$5:$A$9,0)),0)+N(Products!H11))-D11)))</f>
        <v/>
      </c>
      <c r="G11" s="11">
        <f>IF(OR(A11="",N(E11)=0),"",E11*(1-(IFERROR(INDEX(Settings!$B$5:$B$9,MATCH(B11,Settings!$A$5:$A$9,0)),0)+IFERROR(INDEX(Settings!$E$5:$E$9,MATCH(B11,Settings!$A$5:$A$9,0)),0)+IFERROR(INDEX(Settings!$G$5:$G$9,MATCH(B11,Settings!$A$5:$A$9,0)),0)+N(Products!H11)))-(IFERROR(INDEX(Settings!$C$5:$C$9,MATCH(B11,Settings!$A$5:$A$9,0)),0)+IFERROR(INDEX(Settings!$D$5:$D$9,MATCH(B11,Settings!$A$5:$A$9,0)),0)+IFERROR(INDEX(Settings!$F$5:$F$9,MATCH(B11,Settings!$A$5:$A$9,0)),0))-C11)</f>
        <v/>
      </c>
      <c r="H11" s="12">
        <f>IF(OR(A11="",N(E11)=0),"",G11/E11)</f>
        <v/>
      </c>
      <c r="I11">
        <f>IF(OR(A11="",N(E11)=0),"",IF(G11&lt;0,"Loses money at this price",IF(E11&lt;F11,"Below target: raise to "&amp;TEXT(F11,"$0.00"),"On target")))</f>
        <v/>
      </c>
    </row>
    <row r="12">
      <c r="A12">
        <f>IF(Products!A12="","",Products!A12)</f>
        <v/>
      </c>
      <c r="B12" s="13" t="inlineStr">
        <is>
          <t>Etsy</t>
        </is>
      </c>
      <c r="C12" s="11">
        <f>IF(A12="","",Products!I12)</f>
        <v/>
      </c>
      <c r="D12" s="14" t="n">
        <v>0.3</v>
      </c>
      <c r="E12" s="15" t="n"/>
      <c r="F12" s="11">
        <f>IF(A12="","",IF(1-(IFERROR(INDEX(Settings!$B$5:$B$9,MATCH(B12,Settings!$A$5:$A$9,0)),0)+IFERROR(INDEX(Settings!$E$5:$E$9,MATCH(B12,Settings!$A$5:$A$9,0)),0)+IFERROR(INDEX(Settings!$G$5:$G$9,MATCH(B12,Settings!$A$5:$A$9,0)),0)+N(Products!H12))-D12&lt;=0,"margin too high",(C12+(IFERROR(INDEX(Settings!$C$5:$C$9,MATCH(B12,Settings!$A$5:$A$9,0)),0)+IFERROR(INDEX(Settings!$D$5:$D$9,MATCH(B12,Settings!$A$5:$A$9,0)),0)+IFERROR(INDEX(Settings!$F$5:$F$9,MATCH(B12,Settings!$A$5:$A$9,0)),0)))/(1-(IFERROR(INDEX(Settings!$B$5:$B$9,MATCH(B12,Settings!$A$5:$A$9,0)),0)+IFERROR(INDEX(Settings!$E$5:$E$9,MATCH(B12,Settings!$A$5:$A$9,0)),0)+IFERROR(INDEX(Settings!$G$5:$G$9,MATCH(B12,Settings!$A$5:$A$9,0)),0)+N(Products!H12))-D12)))</f>
        <v/>
      </c>
      <c r="G12" s="11">
        <f>IF(OR(A12="",N(E12)=0),"",E12*(1-(IFERROR(INDEX(Settings!$B$5:$B$9,MATCH(B12,Settings!$A$5:$A$9,0)),0)+IFERROR(INDEX(Settings!$E$5:$E$9,MATCH(B12,Settings!$A$5:$A$9,0)),0)+IFERROR(INDEX(Settings!$G$5:$G$9,MATCH(B12,Settings!$A$5:$A$9,0)),0)+N(Products!H12)))-(IFERROR(INDEX(Settings!$C$5:$C$9,MATCH(B12,Settings!$A$5:$A$9,0)),0)+IFERROR(INDEX(Settings!$D$5:$D$9,MATCH(B12,Settings!$A$5:$A$9,0)),0)+IFERROR(INDEX(Settings!$F$5:$F$9,MATCH(B12,Settings!$A$5:$A$9,0)),0))-C12)</f>
        <v/>
      </c>
      <c r="H12" s="12">
        <f>IF(OR(A12="",N(E12)=0),"",G12/E12)</f>
        <v/>
      </c>
      <c r="I12">
        <f>IF(OR(A12="",N(E12)=0),"",IF(G12&lt;0,"Loses money at this price",IF(E12&lt;F12,"Below target: raise to "&amp;TEXT(F12,"$0.00"),"On target")))</f>
        <v/>
      </c>
    </row>
    <row r="13">
      <c r="A13">
        <f>IF(Products!A13="","",Products!A13)</f>
        <v/>
      </c>
      <c r="B13" s="13" t="inlineStr">
        <is>
          <t>Etsy</t>
        </is>
      </c>
      <c r="C13" s="11">
        <f>IF(A13="","",Products!I13)</f>
        <v/>
      </c>
      <c r="D13" s="14" t="n">
        <v>0.3</v>
      </c>
      <c r="E13" s="15" t="n"/>
      <c r="F13" s="11">
        <f>IF(A13="","",IF(1-(IFERROR(INDEX(Settings!$B$5:$B$9,MATCH(B13,Settings!$A$5:$A$9,0)),0)+IFERROR(INDEX(Settings!$E$5:$E$9,MATCH(B13,Settings!$A$5:$A$9,0)),0)+IFERROR(INDEX(Settings!$G$5:$G$9,MATCH(B13,Settings!$A$5:$A$9,0)),0)+N(Products!H13))-D13&lt;=0,"margin too high",(C13+(IFERROR(INDEX(Settings!$C$5:$C$9,MATCH(B13,Settings!$A$5:$A$9,0)),0)+IFERROR(INDEX(Settings!$D$5:$D$9,MATCH(B13,Settings!$A$5:$A$9,0)),0)+IFERROR(INDEX(Settings!$F$5:$F$9,MATCH(B13,Settings!$A$5:$A$9,0)),0)))/(1-(IFERROR(INDEX(Settings!$B$5:$B$9,MATCH(B13,Settings!$A$5:$A$9,0)),0)+IFERROR(INDEX(Settings!$E$5:$E$9,MATCH(B13,Settings!$A$5:$A$9,0)),0)+IFERROR(INDEX(Settings!$G$5:$G$9,MATCH(B13,Settings!$A$5:$A$9,0)),0)+N(Products!H13))-D13)))</f>
        <v/>
      </c>
      <c r="G13" s="11">
        <f>IF(OR(A13="",N(E13)=0),"",E13*(1-(IFERROR(INDEX(Settings!$B$5:$B$9,MATCH(B13,Settings!$A$5:$A$9,0)),0)+IFERROR(INDEX(Settings!$E$5:$E$9,MATCH(B13,Settings!$A$5:$A$9,0)),0)+IFERROR(INDEX(Settings!$G$5:$G$9,MATCH(B13,Settings!$A$5:$A$9,0)),0)+N(Products!H13)))-(IFERROR(INDEX(Settings!$C$5:$C$9,MATCH(B13,Settings!$A$5:$A$9,0)),0)+IFERROR(INDEX(Settings!$D$5:$D$9,MATCH(B13,Settings!$A$5:$A$9,0)),0)+IFERROR(INDEX(Settings!$F$5:$F$9,MATCH(B13,Settings!$A$5:$A$9,0)),0))-C13)</f>
        <v/>
      </c>
      <c r="H13" s="12">
        <f>IF(OR(A13="",N(E13)=0),"",G13/E13)</f>
        <v/>
      </c>
      <c r="I13">
        <f>IF(OR(A13="",N(E13)=0),"",IF(G13&lt;0,"Loses money at this price",IF(E13&lt;F13,"Below target: raise to "&amp;TEXT(F13,"$0.00"),"On target")))</f>
        <v/>
      </c>
    </row>
    <row r="14">
      <c r="A14">
        <f>IF(Products!A14="","",Products!A14)</f>
        <v/>
      </c>
      <c r="B14" s="13" t="inlineStr">
        <is>
          <t>Etsy</t>
        </is>
      </c>
      <c r="C14" s="11">
        <f>IF(A14="","",Products!I14)</f>
        <v/>
      </c>
      <c r="D14" s="14" t="n">
        <v>0.3</v>
      </c>
      <c r="E14" s="15" t="n"/>
      <c r="F14" s="11">
        <f>IF(A14="","",IF(1-(IFERROR(INDEX(Settings!$B$5:$B$9,MATCH(B14,Settings!$A$5:$A$9,0)),0)+IFERROR(INDEX(Settings!$E$5:$E$9,MATCH(B14,Settings!$A$5:$A$9,0)),0)+IFERROR(INDEX(Settings!$G$5:$G$9,MATCH(B14,Settings!$A$5:$A$9,0)),0)+N(Products!H14))-D14&lt;=0,"margin too high",(C14+(IFERROR(INDEX(Settings!$C$5:$C$9,MATCH(B14,Settings!$A$5:$A$9,0)),0)+IFERROR(INDEX(Settings!$D$5:$D$9,MATCH(B14,Settings!$A$5:$A$9,0)),0)+IFERROR(INDEX(Settings!$F$5:$F$9,MATCH(B14,Settings!$A$5:$A$9,0)),0)))/(1-(IFERROR(INDEX(Settings!$B$5:$B$9,MATCH(B14,Settings!$A$5:$A$9,0)),0)+IFERROR(INDEX(Settings!$E$5:$E$9,MATCH(B14,Settings!$A$5:$A$9,0)),0)+IFERROR(INDEX(Settings!$G$5:$G$9,MATCH(B14,Settings!$A$5:$A$9,0)),0)+N(Products!H14))-D14)))</f>
        <v/>
      </c>
      <c r="G14" s="11">
        <f>IF(OR(A14="",N(E14)=0),"",E14*(1-(IFERROR(INDEX(Settings!$B$5:$B$9,MATCH(B14,Settings!$A$5:$A$9,0)),0)+IFERROR(INDEX(Settings!$E$5:$E$9,MATCH(B14,Settings!$A$5:$A$9,0)),0)+IFERROR(INDEX(Settings!$G$5:$G$9,MATCH(B14,Settings!$A$5:$A$9,0)),0)+N(Products!H14)))-(IFERROR(INDEX(Settings!$C$5:$C$9,MATCH(B14,Settings!$A$5:$A$9,0)),0)+IFERROR(INDEX(Settings!$D$5:$D$9,MATCH(B14,Settings!$A$5:$A$9,0)),0)+IFERROR(INDEX(Settings!$F$5:$F$9,MATCH(B14,Settings!$A$5:$A$9,0)),0))-C14)</f>
        <v/>
      </c>
      <c r="H14" s="12">
        <f>IF(OR(A14="",N(E14)=0),"",G14/E14)</f>
        <v/>
      </c>
      <c r="I14">
        <f>IF(OR(A14="",N(E14)=0),"",IF(G14&lt;0,"Loses money at this price",IF(E14&lt;F14,"Below target: raise to "&amp;TEXT(F14,"$0.00"),"On target")))</f>
        <v/>
      </c>
    </row>
    <row r="15">
      <c r="A15">
        <f>IF(Products!A15="","",Products!A15)</f>
        <v/>
      </c>
      <c r="B15" s="13" t="inlineStr">
        <is>
          <t>Etsy</t>
        </is>
      </c>
      <c r="C15" s="11">
        <f>IF(A15="","",Products!I15)</f>
        <v/>
      </c>
      <c r="D15" s="14" t="n">
        <v>0.3</v>
      </c>
      <c r="E15" s="15" t="n"/>
      <c r="F15" s="11">
        <f>IF(A15="","",IF(1-(IFERROR(INDEX(Settings!$B$5:$B$9,MATCH(B15,Settings!$A$5:$A$9,0)),0)+IFERROR(INDEX(Settings!$E$5:$E$9,MATCH(B15,Settings!$A$5:$A$9,0)),0)+IFERROR(INDEX(Settings!$G$5:$G$9,MATCH(B15,Settings!$A$5:$A$9,0)),0)+N(Products!H15))-D15&lt;=0,"margin too high",(C15+(IFERROR(INDEX(Settings!$C$5:$C$9,MATCH(B15,Settings!$A$5:$A$9,0)),0)+IFERROR(INDEX(Settings!$D$5:$D$9,MATCH(B15,Settings!$A$5:$A$9,0)),0)+IFERROR(INDEX(Settings!$F$5:$F$9,MATCH(B15,Settings!$A$5:$A$9,0)),0)))/(1-(IFERROR(INDEX(Settings!$B$5:$B$9,MATCH(B15,Settings!$A$5:$A$9,0)),0)+IFERROR(INDEX(Settings!$E$5:$E$9,MATCH(B15,Settings!$A$5:$A$9,0)),0)+IFERROR(INDEX(Settings!$G$5:$G$9,MATCH(B15,Settings!$A$5:$A$9,0)),0)+N(Products!H15))-D15)))</f>
        <v/>
      </c>
      <c r="G15" s="11">
        <f>IF(OR(A15="",N(E15)=0),"",E15*(1-(IFERROR(INDEX(Settings!$B$5:$B$9,MATCH(B15,Settings!$A$5:$A$9,0)),0)+IFERROR(INDEX(Settings!$E$5:$E$9,MATCH(B15,Settings!$A$5:$A$9,0)),0)+IFERROR(INDEX(Settings!$G$5:$G$9,MATCH(B15,Settings!$A$5:$A$9,0)),0)+N(Products!H15)))-(IFERROR(INDEX(Settings!$C$5:$C$9,MATCH(B15,Settings!$A$5:$A$9,0)),0)+IFERROR(INDEX(Settings!$D$5:$D$9,MATCH(B15,Settings!$A$5:$A$9,0)),0)+IFERROR(INDEX(Settings!$F$5:$F$9,MATCH(B15,Settings!$A$5:$A$9,0)),0))-C15)</f>
        <v/>
      </c>
      <c r="H15" s="12">
        <f>IF(OR(A15="",N(E15)=0),"",G15/E15)</f>
        <v/>
      </c>
      <c r="I15">
        <f>IF(OR(A15="",N(E15)=0),"",IF(G15&lt;0,"Loses money at this price",IF(E15&lt;F15,"Below target: raise to "&amp;TEXT(F15,"$0.00"),"On target")))</f>
        <v/>
      </c>
    </row>
    <row r="16">
      <c r="A16">
        <f>IF(Products!A16="","",Products!A16)</f>
        <v/>
      </c>
      <c r="B16" s="13" t="inlineStr">
        <is>
          <t>Etsy</t>
        </is>
      </c>
      <c r="C16" s="11">
        <f>IF(A16="","",Products!I16)</f>
        <v/>
      </c>
      <c r="D16" s="14" t="n">
        <v>0.3</v>
      </c>
      <c r="E16" s="15" t="n"/>
      <c r="F16" s="11">
        <f>IF(A16="","",IF(1-(IFERROR(INDEX(Settings!$B$5:$B$9,MATCH(B16,Settings!$A$5:$A$9,0)),0)+IFERROR(INDEX(Settings!$E$5:$E$9,MATCH(B16,Settings!$A$5:$A$9,0)),0)+IFERROR(INDEX(Settings!$G$5:$G$9,MATCH(B16,Settings!$A$5:$A$9,0)),0)+N(Products!H16))-D16&lt;=0,"margin too high",(C16+(IFERROR(INDEX(Settings!$C$5:$C$9,MATCH(B16,Settings!$A$5:$A$9,0)),0)+IFERROR(INDEX(Settings!$D$5:$D$9,MATCH(B16,Settings!$A$5:$A$9,0)),0)+IFERROR(INDEX(Settings!$F$5:$F$9,MATCH(B16,Settings!$A$5:$A$9,0)),0)))/(1-(IFERROR(INDEX(Settings!$B$5:$B$9,MATCH(B16,Settings!$A$5:$A$9,0)),0)+IFERROR(INDEX(Settings!$E$5:$E$9,MATCH(B16,Settings!$A$5:$A$9,0)),0)+IFERROR(INDEX(Settings!$G$5:$G$9,MATCH(B16,Settings!$A$5:$A$9,0)),0)+N(Products!H16))-D16)))</f>
        <v/>
      </c>
      <c r="G16" s="11">
        <f>IF(OR(A16="",N(E16)=0),"",E16*(1-(IFERROR(INDEX(Settings!$B$5:$B$9,MATCH(B16,Settings!$A$5:$A$9,0)),0)+IFERROR(INDEX(Settings!$E$5:$E$9,MATCH(B16,Settings!$A$5:$A$9,0)),0)+IFERROR(INDEX(Settings!$G$5:$G$9,MATCH(B16,Settings!$A$5:$A$9,0)),0)+N(Products!H16)))-(IFERROR(INDEX(Settings!$C$5:$C$9,MATCH(B16,Settings!$A$5:$A$9,0)),0)+IFERROR(INDEX(Settings!$D$5:$D$9,MATCH(B16,Settings!$A$5:$A$9,0)),0)+IFERROR(INDEX(Settings!$F$5:$F$9,MATCH(B16,Settings!$A$5:$A$9,0)),0))-C16)</f>
        <v/>
      </c>
      <c r="H16" s="12">
        <f>IF(OR(A16="",N(E16)=0),"",G16/E16)</f>
        <v/>
      </c>
      <c r="I16">
        <f>IF(OR(A16="",N(E16)=0),"",IF(G16&lt;0,"Loses money at this price",IF(E16&lt;F16,"Below target: raise to "&amp;TEXT(F16,"$0.00"),"On target")))</f>
        <v/>
      </c>
    </row>
    <row r="17">
      <c r="A17">
        <f>IF(Products!A17="","",Products!A17)</f>
        <v/>
      </c>
      <c r="B17" s="13" t="inlineStr">
        <is>
          <t>Etsy</t>
        </is>
      </c>
      <c r="C17" s="11">
        <f>IF(A17="","",Products!I17)</f>
        <v/>
      </c>
      <c r="D17" s="14" t="n">
        <v>0.3</v>
      </c>
      <c r="E17" s="15" t="n"/>
      <c r="F17" s="11">
        <f>IF(A17="","",IF(1-(IFERROR(INDEX(Settings!$B$5:$B$9,MATCH(B17,Settings!$A$5:$A$9,0)),0)+IFERROR(INDEX(Settings!$E$5:$E$9,MATCH(B17,Settings!$A$5:$A$9,0)),0)+IFERROR(INDEX(Settings!$G$5:$G$9,MATCH(B17,Settings!$A$5:$A$9,0)),0)+N(Products!H17))-D17&lt;=0,"margin too high",(C17+(IFERROR(INDEX(Settings!$C$5:$C$9,MATCH(B17,Settings!$A$5:$A$9,0)),0)+IFERROR(INDEX(Settings!$D$5:$D$9,MATCH(B17,Settings!$A$5:$A$9,0)),0)+IFERROR(INDEX(Settings!$F$5:$F$9,MATCH(B17,Settings!$A$5:$A$9,0)),0)))/(1-(IFERROR(INDEX(Settings!$B$5:$B$9,MATCH(B17,Settings!$A$5:$A$9,0)),0)+IFERROR(INDEX(Settings!$E$5:$E$9,MATCH(B17,Settings!$A$5:$A$9,0)),0)+IFERROR(INDEX(Settings!$G$5:$G$9,MATCH(B17,Settings!$A$5:$A$9,0)),0)+N(Products!H17))-D17)))</f>
        <v/>
      </c>
      <c r="G17" s="11">
        <f>IF(OR(A17="",N(E17)=0),"",E17*(1-(IFERROR(INDEX(Settings!$B$5:$B$9,MATCH(B17,Settings!$A$5:$A$9,0)),0)+IFERROR(INDEX(Settings!$E$5:$E$9,MATCH(B17,Settings!$A$5:$A$9,0)),0)+IFERROR(INDEX(Settings!$G$5:$G$9,MATCH(B17,Settings!$A$5:$A$9,0)),0)+N(Products!H17)))-(IFERROR(INDEX(Settings!$C$5:$C$9,MATCH(B17,Settings!$A$5:$A$9,0)),0)+IFERROR(INDEX(Settings!$D$5:$D$9,MATCH(B17,Settings!$A$5:$A$9,0)),0)+IFERROR(INDEX(Settings!$F$5:$F$9,MATCH(B17,Settings!$A$5:$A$9,0)),0))-C17)</f>
        <v/>
      </c>
      <c r="H17" s="12">
        <f>IF(OR(A17="",N(E17)=0),"",G17/E17)</f>
        <v/>
      </c>
      <c r="I17">
        <f>IF(OR(A17="",N(E17)=0),"",IF(G17&lt;0,"Loses money at this price",IF(E17&lt;F17,"Below target: raise to "&amp;TEXT(F17,"$0.00"),"On target")))</f>
        <v/>
      </c>
    </row>
    <row r="18">
      <c r="A18">
        <f>IF(Products!A18="","",Products!A18)</f>
        <v/>
      </c>
      <c r="B18" s="13" t="inlineStr">
        <is>
          <t>Etsy</t>
        </is>
      </c>
      <c r="C18" s="11">
        <f>IF(A18="","",Products!I18)</f>
        <v/>
      </c>
      <c r="D18" s="14" t="n">
        <v>0.3</v>
      </c>
      <c r="E18" s="15" t="n"/>
      <c r="F18" s="11">
        <f>IF(A18="","",IF(1-(IFERROR(INDEX(Settings!$B$5:$B$9,MATCH(B18,Settings!$A$5:$A$9,0)),0)+IFERROR(INDEX(Settings!$E$5:$E$9,MATCH(B18,Settings!$A$5:$A$9,0)),0)+IFERROR(INDEX(Settings!$G$5:$G$9,MATCH(B18,Settings!$A$5:$A$9,0)),0)+N(Products!H18))-D18&lt;=0,"margin too high",(C18+(IFERROR(INDEX(Settings!$C$5:$C$9,MATCH(B18,Settings!$A$5:$A$9,0)),0)+IFERROR(INDEX(Settings!$D$5:$D$9,MATCH(B18,Settings!$A$5:$A$9,0)),0)+IFERROR(INDEX(Settings!$F$5:$F$9,MATCH(B18,Settings!$A$5:$A$9,0)),0)))/(1-(IFERROR(INDEX(Settings!$B$5:$B$9,MATCH(B18,Settings!$A$5:$A$9,0)),0)+IFERROR(INDEX(Settings!$E$5:$E$9,MATCH(B18,Settings!$A$5:$A$9,0)),0)+IFERROR(INDEX(Settings!$G$5:$G$9,MATCH(B18,Settings!$A$5:$A$9,0)),0)+N(Products!H18))-D18)))</f>
        <v/>
      </c>
      <c r="G18" s="11">
        <f>IF(OR(A18="",N(E18)=0),"",E18*(1-(IFERROR(INDEX(Settings!$B$5:$B$9,MATCH(B18,Settings!$A$5:$A$9,0)),0)+IFERROR(INDEX(Settings!$E$5:$E$9,MATCH(B18,Settings!$A$5:$A$9,0)),0)+IFERROR(INDEX(Settings!$G$5:$G$9,MATCH(B18,Settings!$A$5:$A$9,0)),0)+N(Products!H18)))-(IFERROR(INDEX(Settings!$C$5:$C$9,MATCH(B18,Settings!$A$5:$A$9,0)),0)+IFERROR(INDEX(Settings!$D$5:$D$9,MATCH(B18,Settings!$A$5:$A$9,0)),0)+IFERROR(INDEX(Settings!$F$5:$F$9,MATCH(B18,Settings!$A$5:$A$9,0)),0))-C18)</f>
        <v/>
      </c>
      <c r="H18" s="12">
        <f>IF(OR(A18="",N(E18)=0),"",G18/E18)</f>
        <v/>
      </c>
      <c r="I18">
        <f>IF(OR(A18="",N(E18)=0),"",IF(G18&lt;0,"Loses money at this price",IF(E18&lt;F18,"Below target: raise to "&amp;TEXT(F18,"$0.00"),"On target")))</f>
        <v/>
      </c>
    </row>
    <row r="19">
      <c r="A19">
        <f>IF(Products!A19="","",Products!A19)</f>
        <v/>
      </c>
      <c r="B19" s="13" t="inlineStr">
        <is>
          <t>Etsy</t>
        </is>
      </c>
      <c r="C19" s="11">
        <f>IF(A19="","",Products!I19)</f>
        <v/>
      </c>
      <c r="D19" s="14" t="n">
        <v>0.3</v>
      </c>
      <c r="E19" s="15" t="n"/>
      <c r="F19" s="11">
        <f>IF(A19="","",IF(1-(IFERROR(INDEX(Settings!$B$5:$B$9,MATCH(B19,Settings!$A$5:$A$9,0)),0)+IFERROR(INDEX(Settings!$E$5:$E$9,MATCH(B19,Settings!$A$5:$A$9,0)),0)+IFERROR(INDEX(Settings!$G$5:$G$9,MATCH(B19,Settings!$A$5:$A$9,0)),0)+N(Products!H19))-D19&lt;=0,"margin too high",(C19+(IFERROR(INDEX(Settings!$C$5:$C$9,MATCH(B19,Settings!$A$5:$A$9,0)),0)+IFERROR(INDEX(Settings!$D$5:$D$9,MATCH(B19,Settings!$A$5:$A$9,0)),0)+IFERROR(INDEX(Settings!$F$5:$F$9,MATCH(B19,Settings!$A$5:$A$9,0)),0)))/(1-(IFERROR(INDEX(Settings!$B$5:$B$9,MATCH(B19,Settings!$A$5:$A$9,0)),0)+IFERROR(INDEX(Settings!$E$5:$E$9,MATCH(B19,Settings!$A$5:$A$9,0)),0)+IFERROR(INDEX(Settings!$G$5:$G$9,MATCH(B19,Settings!$A$5:$A$9,0)),0)+N(Products!H19))-D19)))</f>
        <v/>
      </c>
      <c r="G19" s="11">
        <f>IF(OR(A19="",N(E19)=0),"",E19*(1-(IFERROR(INDEX(Settings!$B$5:$B$9,MATCH(B19,Settings!$A$5:$A$9,0)),0)+IFERROR(INDEX(Settings!$E$5:$E$9,MATCH(B19,Settings!$A$5:$A$9,0)),0)+IFERROR(INDEX(Settings!$G$5:$G$9,MATCH(B19,Settings!$A$5:$A$9,0)),0)+N(Products!H19)))-(IFERROR(INDEX(Settings!$C$5:$C$9,MATCH(B19,Settings!$A$5:$A$9,0)),0)+IFERROR(INDEX(Settings!$D$5:$D$9,MATCH(B19,Settings!$A$5:$A$9,0)),0)+IFERROR(INDEX(Settings!$F$5:$F$9,MATCH(B19,Settings!$A$5:$A$9,0)),0))-C19)</f>
        <v/>
      </c>
      <c r="H19" s="12">
        <f>IF(OR(A19="",N(E19)=0),"",G19/E19)</f>
        <v/>
      </c>
      <c r="I19">
        <f>IF(OR(A19="",N(E19)=0),"",IF(G19&lt;0,"Loses money at this price",IF(E19&lt;F19,"Below target: raise to "&amp;TEXT(F19,"$0.00"),"On target")))</f>
        <v/>
      </c>
    </row>
    <row r="20">
      <c r="A20">
        <f>IF(Products!A20="","",Products!A20)</f>
        <v/>
      </c>
      <c r="B20" s="13" t="inlineStr">
        <is>
          <t>Etsy</t>
        </is>
      </c>
      <c r="C20" s="11">
        <f>IF(A20="","",Products!I20)</f>
        <v/>
      </c>
      <c r="D20" s="14" t="n">
        <v>0.3</v>
      </c>
      <c r="E20" s="15" t="n"/>
      <c r="F20" s="11">
        <f>IF(A20="","",IF(1-(IFERROR(INDEX(Settings!$B$5:$B$9,MATCH(B20,Settings!$A$5:$A$9,0)),0)+IFERROR(INDEX(Settings!$E$5:$E$9,MATCH(B20,Settings!$A$5:$A$9,0)),0)+IFERROR(INDEX(Settings!$G$5:$G$9,MATCH(B20,Settings!$A$5:$A$9,0)),0)+N(Products!H20))-D20&lt;=0,"margin too high",(C20+(IFERROR(INDEX(Settings!$C$5:$C$9,MATCH(B20,Settings!$A$5:$A$9,0)),0)+IFERROR(INDEX(Settings!$D$5:$D$9,MATCH(B20,Settings!$A$5:$A$9,0)),0)+IFERROR(INDEX(Settings!$F$5:$F$9,MATCH(B20,Settings!$A$5:$A$9,0)),0)))/(1-(IFERROR(INDEX(Settings!$B$5:$B$9,MATCH(B20,Settings!$A$5:$A$9,0)),0)+IFERROR(INDEX(Settings!$E$5:$E$9,MATCH(B20,Settings!$A$5:$A$9,0)),0)+IFERROR(INDEX(Settings!$G$5:$G$9,MATCH(B20,Settings!$A$5:$A$9,0)),0)+N(Products!H20))-D20)))</f>
        <v/>
      </c>
      <c r="G20" s="11">
        <f>IF(OR(A20="",N(E20)=0),"",E20*(1-(IFERROR(INDEX(Settings!$B$5:$B$9,MATCH(B20,Settings!$A$5:$A$9,0)),0)+IFERROR(INDEX(Settings!$E$5:$E$9,MATCH(B20,Settings!$A$5:$A$9,0)),0)+IFERROR(INDEX(Settings!$G$5:$G$9,MATCH(B20,Settings!$A$5:$A$9,0)),0)+N(Products!H20)))-(IFERROR(INDEX(Settings!$C$5:$C$9,MATCH(B20,Settings!$A$5:$A$9,0)),0)+IFERROR(INDEX(Settings!$D$5:$D$9,MATCH(B20,Settings!$A$5:$A$9,0)),0)+IFERROR(INDEX(Settings!$F$5:$F$9,MATCH(B20,Settings!$A$5:$A$9,0)),0))-C20)</f>
        <v/>
      </c>
      <c r="H20" s="12">
        <f>IF(OR(A20="",N(E20)=0),"",G20/E20)</f>
        <v/>
      </c>
      <c r="I20">
        <f>IF(OR(A20="",N(E20)=0),"",IF(G20&lt;0,"Loses money at this price",IF(E20&lt;F20,"Below target: raise to "&amp;TEXT(F20,"$0.00"),"On target")))</f>
        <v/>
      </c>
    </row>
    <row r="21">
      <c r="A21">
        <f>IF(Products!A21="","",Products!A21)</f>
        <v/>
      </c>
      <c r="B21" s="13" t="inlineStr">
        <is>
          <t>Etsy</t>
        </is>
      </c>
      <c r="C21" s="11">
        <f>IF(A21="","",Products!I21)</f>
        <v/>
      </c>
      <c r="D21" s="14" t="n">
        <v>0.3</v>
      </c>
      <c r="E21" s="15" t="n"/>
      <c r="F21" s="11">
        <f>IF(A21="","",IF(1-(IFERROR(INDEX(Settings!$B$5:$B$9,MATCH(B21,Settings!$A$5:$A$9,0)),0)+IFERROR(INDEX(Settings!$E$5:$E$9,MATCH(B21,Settings!$A$5:$A$9,0)),0)+IFERROR(INDEX(Settings!$G$5:$G$9,MATCH(B21,Settings!$A$5:$A$9,0)),0)+N(Products!H21))-D21&lt;=0,"margin too high",(C21+(IFERROR(INDEX(Settings!$C$5:$C$9,MATCH(B21,Settings!$A$5:$A$9,0)),0)+IFERROR(INDEX(Settings!$D$5:$D$9,MATCH(B21,Settings!$A$5:$A$9,0)),0)+IFERROR(INDEX(Settings!$F$5:$F$9,MATCH(B21,Settings!$A$5:$A$9,0)),0)))/(1-(IFERROR(INDEX(Settings!$B$5:$B$9,MATCH(B21,Settings!$A$5:$A$9,0)),0)+IFERROR(INDEX(Settings!$E$5:$E$9,MATCH(B21,Settings!$A$5:$A$9,0)),0)+IFERROR(INDEX(Settings!$G$5:$G$9,MATCH(B21,Settings!$A$5:$A$9,0)),0)+N(Products!H21))-D21)))</f>
        <v/>
      </c>
      <c r="G21" s="11">
        <f>IF(OR(A21="",N(E21)=0),"",E21*(1-(IFERROR(INDEX(Settings!$B$5:$B$9,MATCH(B21,Settings!$A$5:$A$9,0)),0)+IFERROR(INDEX(Settings!$E$5:$E$9,MATCH(B21,Settings!$A$5:$A$9,0)),0)+IFERROR(INDEX(Settings!$G$5:$G$9,MATCH(B21,Settings!$A$5:$A$9,0)),0)+N(Products!H21)))-(IFERROR(INDEX(Settings!$C$5:$C$9,MATCH(B21,Settings!$A$5:$A$9,0)),0)+IFERROR(INDEX(Settings!$D$5:$D$9,MATCH(B21,Settings!$A$5:$A$9,0)),0)+IFERROR(INDEX(Settings!$F$5:$F$9,MATCH(B21,Settings!$A$5:$A$9,0)),0))-C21)</f>
        <v/>
      </c>
      <c r="H21" s="12">
        <f>IF(OR(A21="",N(E21)=0),"",G21/E21)</f>
        <v/>
      </c>
      <c r="I21">
        <f>IF(OR(A21="",N(E21)=0),"",IF(G21&lt;0,"Loses money at this price",IF(E21&lt;F21,"Below target: raise to "&amp;TEXT(F21,"$0.00"),"On target")))</f>
        <v/>
      </c>
    </row>
    <row r="22">
      <c r="A22">
        <f>IF(Products!A22="","",Products!A22)</f>
        <v/>
      </c>
      <c r="B22" s="13" t="inlineStr">
        <is>
          <t>Etsy</t>
        </is>
      </c>
      <c r="C22" s="11">
        <f>IF(A22="","",Products!I22)</f>
        <v/>
      </c>
      <c r="D22" s="14" t="n">
        <v>0.3</v>
      </c>
      <c r="E22" s="15" t="n"/>
      <c r="F22" s="11">
        <f>IF(A22="","",IF(1-(IFERROR(INDEX(Settings!$B$5:$B$9,MATCH(B22,Settings!$A$5:$A$9,0)),0)+IFERROR(INDEX(Settings!$E$5:$E$9,MATCH(B22,Settings!$A$5:$A$9,0)),0)+IFERROR(INDEX(Settings!$G$5:$G$9,MATCH(B22,Settings!$A$5:$A$9,0)),0)+N(Products!H22))-D22&lt;=0,"margin too high",(C22+(IFERROR(INDEX(Settings!$C$5:$C$9,MATCH(B22,Settings!$A$5:$A$9,0)),0)+IFERROR(INDEX(Settings!$D$5:$D$9,MATCH(B22,Settings!$A$5:$A$9,0)),0)+IFERROR(INDEX(Settings!$F$5:$F$9,MATCH(B22,Settings!$A$5:$A$9,0)),0)))/(1-(IFERROR(INDEX(Settings!$B$5:$B$9,MATCH(B22,Settings!$A$5:$A$9,0)),0)+IFERROR(INDEX(Settings!$E$5:$E$9,MATCH(B22,Settings!$A$5:$A$9,0)),0)+IFERROR(INDEX(Settings!$G$5:$G$9,MATCH(B22,Settings!$A$5:$A$9,0)),0)+N(Products!H22))-D22)))</f>
        <v/>
      </c>
      <c r="G22" s="11">
        <f>IF(OR(A22="",N(E22)=0),"",E22*(1-(IFERROR(INDEX(Settings!$B$5:$B$9,MATCH(B22,Settings!$A$5:$A$9,0)),0)+IFERROR(INDEX(Settings!$E$5:$E$9,MATCH(B22,Settings!$A$5:$A$9,0)),0)+IFERROR(INDEX(Settings!$G$5:$G$9,MATCH(B22,Settings!$A$5:$A$9,0)),0)+N(Products!H22)))-(IFERROR(INDEX(Settings!$C$5:$C$9,MATCH(B22,Settings!$A$5:$A$9,0)),0)+IFERROR(INDEX(Settings!$D$5:$D$9,MATCH(B22,Settings!$A$5:$A$9,0)),0)+IFERROR(INDEX(Settings!$F$5:$F$9,MATCH(B22,Settings!$A$5:$A$9,0)),0))-C22)</f>
        <v/>
      </c>
      <c r="H22" s="12">
        <f>IF(OR(A22="",N(E22)=0),"",G22/E22)</f>
        <v/>
      </c>
      <c r="I22">
        <f>IF(OR(A22="",N(E22)=0),"",IF(G22&lt;0,"Loses money at this price",IF(E22&lt;F22,"Below target: raise to "&amp;TEXT(F22,"$0.00"),"On target")))</f>
        <v/>
      </c>
    </row>
    <row r="23">
      <c r="A23">
        <f>IF(Products!A23="","",Products!A23)</f>
        <v/>
      </c>
      <c r="B23" s="13" t="inlineStr">
        <is>
          <t>Etsy</t>
        </is>
      </c>
      <c r="C23" s="11">
        <f>IF(A23="","",Products!I23)</f>
        <v/>
      </c>
      <c r="D23" s="14" t="n">
        <v>0.3</v>
      </c>
      <c r="E23" s="15" t="n"/>
      <c r="F23" s="11">
        <f>IF(A23="","",IF(1-(IFERROR(INDEX(Settings!$B$5:$B$9,MATCH(B23,Settings!$A$5:$A$9,0)),0)+IFERROR(INDEX(Settings!$E$5:$E$9,MATCH(B23,Settings!$A$5:$A$9,0)),0)+IFERROR(INDEX(Settings!$G$5:$G$9,MATCH(B23,Settings!$A$5:$A$9,0)),0)+N(Products!H23))-D23&lt;=0,"margin too high",(C23+(IFERROR(INDEX(Settings!$C$5:$C$9,MATCH(B23,Settings!$A$5:$A$9,0)),0)+IFERROR(INDEX(Settings!$D$5:$D$9,MATCH(B23,Settings!$A$5:$A$9,0)),0)+IFERROR(INDEX(Settings!$F$5:$F$9,MATCH(B23,Settings!$A$5:$A$9,0)),0)))/(1-(IFERROR(INDEX(Settings!$B$5:$B$9,MATCH(B23,Settings!$A$5:$A$9,0)),0)+IFERROR(INDEX(Settings!$E$5:$E$9,MATCH(B23,Settings!$A$5:$A$9,0)),0)+IFERROR(INDEX(Settings!$G$5:$G$9,MATCH(B23,Settings!$A$5:$A$9,0)),0)+N(Products!H23))-D23)))</f>
        <v/>
      </c>
      <c r="G23" s="11">
        <f>IF(OR(A23="",N(E23)=0),"",E23*(1-(IFERROR(INDEX(Settings!$B$5:$B$9,MATCH(B23,Settings!$A$5:$A$9,0)),0)+IFERROR(INDEX(Settings!$E$5:$E$9,MATCH(B23,Settings!$A$5:$A$9,0)),0)+IFERROR(INDEX(Settings!$G$5:$G$9,MATCH(B23,Settings!$A$5:$A$9,0)),0)+N(Products!H23)))-(IFERROR(INDEX(Settings!$C$5:$C$9,MATCH(B23,Settings!$A$5:$A$9,0)),0)+IFERROR(INDEX(Settings!$D$5:$D$9,MATCH(B23,Settings!$A$5:$A$9,0)),0)+IFERROR(INDEX(Settings!$F$5:$F$9,MATCH(B23,Settings!$A$5:$A$9,0)),0))-C23)</f>
        <v/>
      </c>
      <c r="H23" s="12">
        <f>IF(OR(A23="",N(E23)=0),"",G23/E23)</f>
        <v/>
      </c>
      <c r="I23">
        <f>IF(OR(A23="",N(E23)=0),"",IF(G23&lt;0,"Loses money at this price",IF(E23&lt;F23,"Below target: raise to "&amp;TEXT(F23,"$0.00"),"On target")))</f>
        <v/>
      </c>
    </row>
    <row r="24">
      <c r="A24">
        <f>IF(Products!A24="","",Products!A24)</f>
        <v/>
      </c>
      <c r="B24" s="13" t="inlineStr">
        <is>
          <t>Etsy</t>
        </is>
      </c>
      <c r="C24" s="11">
        <f>IF(A24="","",Products!I24)</f>
        <v/>
      </c>
      <c r="D24" s="14" t="n">
        <v>0.3</v>
      </c>
      <c r="E24" s="15" t="n"/>
      <c r="F24" s="11">
        <f>IF(A24="","",IF(1-(IFERROR(INDEX(Settings!$B$5:$B$9,MATCH(B24,Settings!$A$5:$A$9,0)),0)+IFERROR(INDEX(Settings!$E$5:$E$9,MATCH(B24,Settings!$A$5:$A$9,0)),0)+IFERROR(INDEX(Settings!$G$5:$G$9,MATCH(B24,Settings!$A$5:$A$9,0)),0)+N(Products!H24))-D24&lt;=0,"margin too high",(C24+(IFERROR(INDEX(Settings!$C$5:$C$9,MATCH(B24,Settings!$A$5:$A$9,0)),0)+IFERROR(INDEX(Settings!$D$5:$D$9,MATCH(B24,Settings!$A$5:$A$9,0)),0)+IFERROR(INDEX(Settings!$F$5:$F$9,MATCH(B24,Settings!$A$5:$A$9,0)),0)))/(1-(IFERROR(INDEX(Settings!$B$5:$B$9,MATCH(B24,Settings!$A$5:$A$9,0)),0)+IFERROR(INDEX(Settings!$E$5:$E$9,MATCH(B24,Settings!$A$5:$A$9,0)),0)+IFERROR(INDEX(Settings!$G$5:$G$9,MATCH(B24,Settings!$A$5:$A$9,0)),0)+N(Products!H24))-D24)))</f>
        <v/>
      </c>
      <c r="G24" s="11">
        <f>IF(OR(A24="",N(E24)=0),"",E24*(1-(IFERROR(INDEX(Settings!$B$5:$B$9,MATCH(B24,Settings!$A$5:$A$9,0)),0)+IFERROR(INDEX(Settings!$E$5:$E$9,MATCH(B24,Settings!$A$5:$A$9,0)),0)+IFERROR(INDEX(Settings!$G$5:$G$9,MATCH(B24,Settings!$A$5:$A$9,0)),0)+N(Products!H24)))-(IFERROR(INDEX(Settings!$C$5:$C$9,MATCH(B24,Settings!$A$5:$A$9,0)),0)+IFERROR(INDEX(Settings!$D$5:$D$9,MATCH(B24,Settings!$A$5:$A$9,0)),0)+IFERROR(INDEX(Settings!$F$5:$F$9,MATCH(B24,Settings!$A$5:$A$9,0)),0))-C24)</f>
        <v/>
      </c>
      <c r="H24" s="12">
        <f>IF(OR(A24="",N(E24)=0),"",G24/E24)</f>
        <v/>
      </c>
      <c r="I24">
        <f>IF(OR(A24="",N(E24)=0),"",IF(G24&lt;0,"Loses money at this price",IF(E24&lt;F24,"Below target: raise to "&amp;TEXT(F24,"$0.00"),"On target")))</f>
        <v/>
      </c>
    </row>
    <row r="25">
      <c r="A25">
        <f>IF(Products!A25="","",Products!A25)</f>
        <v/>
      </c>
      <c r="B25" s="13" t="inlineStr">
        <is>
          <t>Etsy</t>
        </is>
      </c>
      <c r="C25" s="11">
        <f>IF(A25="","",Products!I25)</f>
        <v/>
      </c>
      <c r="D25" s="14" t="n">
        <v>0.3</v>
      </c>
      <c r="E25" s="15" t="n"/>
      <c r="F25" s="11">
        <f>IF(A25="","",IF(1-(IFERROR(INDEX(Settings!$B$5:$B$9,MATCH(B25,Settings!$A$5:$A$9,0)),0)+IFERROR(INDEX(Settings!$E$5:$E$9,MATCH(B25,Settings!$A$5:$A$9,0)),0)+IFERROR(INDEX(Settings!$G$5:$G$9,MATCH(B25,Settings!$A$5:$A$9,0)),0)+N(Products!H25))-D25&lt;=0,"margin too high",(C25+(IFERROR(INDEX(Settings!$C$5:$C$9,MATCH(B25,Settings!$A$5:$A$9,0)),0)+IFERROR(INDEX(Settings!$D$5:$D$9,MATCH(B25,Settings!$A$5:$A$9,0)),0)+IFERROR(INDEX(Settings!$F$5:$F$9,MATCH(B25,Settings!$A$5:$A$9,0)),0)))/(1-(IFERROR(INDEX(Settings!$B$5:$B$9,MATCH(B25,Settings!$A$5:$A$9,0)),0)+IFERROR(INDEX(Settings!$E$5:$E$9,MATCH(B25,Settings!$A$5:$A$9,0)),0)+IFERROR(INDEX(Settings!$G$5:$G$9,MATCH(B25,Settings!$A$5:$A$9,0)),0)+N(Products!H25))-D25)))</f>
        <v/>
      </c>
      <c r="G25" s="11">
        <f>IF(OR(A25="",N(E25)=0),"",E25*(1-(IFERROR(INDEX(Settings!$B$5:$B$9,MATCH(B25,Settings!$A$5:$A$9,0)),0)+IFERROR(INDEX(Settings!$E$5:$E$9,MATCH(B25,Settings!$A$5:$A$9,0)),0)+IFERROR(INDEX(Settings!$G$5:$G$9,MATCH(B25,Settings!$A$5:$A$9,0)),0)+N(Products!H25)))-(IFERROR(INDEX(Settings!$C$5:$C$9,MATCH(B25,Settings!$A$5:$A$9,0)),0)+IFERROR(INDEX(Settings!$D$5:$D$9,MATCH(B25,Settings!$A$5:$A$9,0)),0)+IFERROR(INDEX(Settings!$F$5:$F$9,MATCH(B25,Settings!$A$5:$A$9,0)),0))-C25)</f>
        <v/>
      </c>
      <c r="H25" s="12">
        <f>IF(OR(A25="",N(E25)=0),"",G25/E25)</f>
        <v/>
      </c>
      <c r="I25">
        <f>IF(OR(A25="",N(E25)=0),"",IF(G25&lt;0,"Loses money at this price",IF(E25&lt;F25,"Below target: raise to "&amp;TEXT(F25,"$0.00"),"On target")))</f>
        <v/>
      </c>
    </row>
    <row r="26">
      <c r="A26">
        <f>IF(Products!A26="","",Products!A26)</f>
        <v/>
      </c>
      <c r="B26" s="13" t="inlineStr">
        <is>
          <t>Etsy</t>
        </is>
      </c>
      <c r="C26" s="11">
        <f>IF(A26="","",Products!I26)</f>
        <v/>
      </c>
      <c r="D26" s="14" t="n">
        <v>0.3</v>
      </c>
      <c r="E26" s="15" t="n"/>
      <c r="F26" s="11">
        <f>IF(A26="","",IF(1-(IFERROR(INDEX(Settings!$B$5:$B$9,MATCH(B26,Settings!$A$5:$A$9,0)),0)+IFERROR(INDEX(Settings!$E$5:$E$9,MATCH(B26,Settings!$A$5:$A$9,0)),0)+IFERROR(INDEX(Settings!$G$5:$G$9,MATCH(B26,Settings!$A$5:$A$9,0)),0)+N(Products!H26))-D26&lt;=0,"margin too high",(C26+(IFERROR(INDEX(Settings!$C$5:$C$9,MATCH(B26,Settings!$A$5:$A$9,0)),0)+IFERROR(INDEX(Settings!$D$5:$D$9,MATCH(B26,Settings!$A$5:$A$9,0)),0)+IFERROR(INDEX(Settings!$F$5:$F$9,MATCH(B26,Settings!$A$5:$A$9,0)),0)))/(1-(IFERROR(INDEX(Settings!$B$5:$B$9,MATCH(B26,Settings!$A$5:$A$9,0)),0)+IFERROR(INDEX(Settings!$E$5:$E$9,MATCH(B26,Settings!$A$5:$A$9,0)),0)+IFERROR(INDEX(Settings!$G$5:$G$9,MATCH(B26,Settings!$A$5:$A$9,0)),0)+N(Products!H26))-D26)))</f>
        <v/>
      </c>
      <c r="G26" s="11">
        <f>IF(OR(A26="",N(E26)=0),"",E26*(1-(IFERROR(INDEX(Settings!$B$5:$B$9,MATCH(B26,Settings!$A$5:$A$9,0)),0)+IFERROR(INDEX(Settings!$E$5:$E$9,MATCH(B26,Settings!$A$5:$A$9,0)),0)+IFERROR(INDEX(Settings!$G$5:$G$9,MATCH(B26,Settings!$A$5:$A$9,0)),0)+N(Products!H26)))-(IFERROR(INDEX(Settings!$C$5:$C$9,MATCH(B26,Settings!$A$5:$A$9,0)),0)+IFERROR(INDEX(Settings!$D$5:$D$9,MATCH(B26,Settings!$A$5:$A$9,0)),0)+IFERROR(INDEX(Settings!$F$5:$F$9,MATCH(B26,Settings!$A$5:$A$9,0)),0))-C26)</f>
        <v/>
      </c>
      <c r="H26" s="12">
        <f>IF(OR(A26="",N(E26)=0),"",G26/E26)</f>
        <v/>
      </c>
      <c r="I26">
        <f>IF(OR(A26="",N(E26)=0),"",IF(G26&lt;0,"Loses money at this price",IF(E26&lt;F26,"Below target: raise to "&amp;TEXT(F26,"$0.00"),"On target")))</f>
        <v/>
      </c>
    </row>
    <row r="27">
      <c r="A27">
        <f>IF(Products!A27="","",Products!A27)</f>
        <v/>
      </c>
      <c r="B27" s="13" t="inlineStr">
        <is>
          <t>Etsy</t>
        </is>
      </c>
      <c r="C27" s="11">
        <f>IF(A27="","",Products!I27)</f>
        <v/>
      </c>
      <c r="D27" s="14" t="n">
        <v>0.3</v>
      </c>
      <c r="E27" s="15" t="n"/>
      <c r="F27" s="11">
        <f>IF(A27="","",IF(1-(IFERROR(INDEX(Settings!$B$5:$B$9,MATCH(B27,Settings!$A$5:$A$9,0)),0)+IFERROR(INDEX(Settings!$E$5:$E$9,MATCH(B27,Settings!$A$5:$A$9,0)),0)+IFERROR(INDEX(Settings!$G$5:$G$9,MATCH(B27,Settings!$A$5:$A$9,0)),0)+N(Products!H27))-D27&lt;=0,"margin too high",(C27+(IFERROR(INDEX(Settings!$C$5:$C$9,MATCH(B27,Settings!$A$5:$A$9,0)),0)+IFERROR(INDEX(Settings!$D$5:$D$9,MATCH(B27,Settings!$A$5:$A$9,0)),0)+IFERROR(INDEX(Settings!$F$5:$F$9,MATCH(B27,Settings!$A$5:$A$9,0)),0)))/(1-(IFERROR(INDEX(Settings!$B$5:$B$9,MATCH(B27,Settings!$A$5:$A$9,0)),0)+IFERROR(INDEX(Settings!$E$5:$E$9,MATCH(B27,Settings!$A$5:$A$9,0)),0)+IFERROR(INDEX(Settings!$G$5:$G$9,MATCH(B27,Settings!$A$5:$A$9,0)),0)+N(Products!H27))-D27)))</f>
        <v/>
      </c>
      <c r="G27" s="11">
        <f>IF(OR(A27="",N(E27)=0),"",E27*(1-(IFERROR(INDEX(Settings!$B$5:$B$9,MATCH(B27,Settings!$A$5:$A$9,0)),0)+IFERROR(INDEX(Settings!$E$5:$E$9,MATCH(B27,Settings!$A$5:$A$9,0)),0)+IFERROR(INDEX(Settings!$G$5:$G$9,MATCH(B27,Settings!$A$5:$A$9,0)),0)+N(Products!H27)))-(IFERROR(INDEX(Settings!$C$5:$C$9,MATCH(B27,Settings!$A$5:$A$9,0)),0)+IFERROR(INDEX(Settings!$D$5:$D$9,MATCH(B27,Settings!$A$5:$A$9,0)),0)+IFERROR(INDEX(Settings!$F$5:$F$9,MATCH(B27,Settings!$A$5:$A$9,0)),0))-C27)</f>
        <v/>
      </c>
      <c r="H27" s="12">
        <f>IF(OR(A27="",N(E27)=0),"",G27/E27)</f>
        <v/>
      </c>
      <c r="I27">
        <f>IF(OR(A27="",N(E27)=0),"",IF(G27&lt;0,"Loses money at this price",IF(E27&lt;F27,"Below target: raise to "&amp;TEXT(F27,"$0.00"),"On target")))</f>
        <v/>
      </c>
    </row>
    <row r="28">
      <c r="A28">
        <f>IF(Products!A28="","",Products!A28)</f>
        <v/>
      </c>
      <c r="B28" s="13" t="inlineStr">
        <is>
          <t>Etsy</t>
        </is>
      </c>
      <c r="C28" s="11">
        <f>IF(A28="","",Products!I28)</f>
        <v/>
      </c>
      <c r="D28" s="14" t="n">
        <v>0.3</v>
      </c>
      <c r="E28" s="15" t="n"/>
      <c r="F28" s="11">
        <f>IF(A28="","",IF(1-(IFERROR(INDEX(Settings!$B$5:$B$9,MATCH(B28,Settings!$A$5:$A$9,0)),0)+IFERROR(INDEX(Settings!$E$5:$E$9,MATCH(B28,Settings!$A$5:$A$9,0)),0)+IFERROR(INDEX(Settings!$G$5:$G$9,MATCH(B28,Settings!$A$5:$A$9,0)),0)+N(Products!H28))-D28&lt;=0,"margin too high",(C28+(IFERROR(INDEX(Settings!$C$5:$C$9,MATCH(B28,Settings!$A$5:$A$9,0)),0)+IFERROR(INDEX(Settings!$D$5:$D$9,MATCH(B28,Settings!$A$5:$A$9,0)),0)+IFERROR(INDEX(Settings!$F$5:$F$9,MATCH(B28,Settings!$A$5:$A$9,0)),0)))/(1-(IFERROR(INDEX(Settings!$B$5:$B$9,MATCH(B28,Settings!$A$5:$A$9,0)),0)+IFERROR(INDEX(Settings!$E$5:$E$9,MATCH(B28,Settings!$A$5:$A$9,0)),0)+IFERROR(INDEX(Settings!$G$5:$G$9,MATCH(B28,Settings!$A$5:$A$9,0)),0)+N(Products!H28))-D28)))</f>
        <v/>
      </c>
      <c r="G28" s="11">
        <f>IF(OR(A28="",N(E28)=0),"",E28*(1-(IFERROR(INDEX(Settings!$B$5:$B$9,MATCH(B28,Settings!$A$5:$A$9,0)),0)+IFERROR(INDEX(Settings!$E$5:$E$9,MATCH(B28,Settings!$A$5:$A$9,0)),0)+IFERROR(INDEX(Settings!$G$5:$G$9,MATCH(B28,Settings!$A$5:$A$9,0)),0)+N(Products!H28)))-(IFERROR(INDEX(Settings!$C$5:$C$9,MATCH(B28,Settings!$A$5:$A$9,0)),0)+IFERROR(INDEX(Settings!$D$5:$D$9,MATCH(B28,Settings!$A$5:$A$9,0)),0)+IFERROR(INDEX(Settings!$F$5:$F$9,MATCH(B28,Settings!$A$5:$A$9,0)),0))-C28)</f>
        <v/>
      </c>
      <c r="H28" s="12">
        <f>IF(OR(A28="",N(E28)=0),"",G28/E28)</f>
        <v/>
      </c>
      <c r="I28">
        <f>IF(OR(A28="",N(E28)=0),"",IF(G28&lt;0,"Loses money at this price",IF(E28&lt;F28,"Below target: raise to "&amp;TEXT(F28,"$0.00"),"On target")))</f>
        <v/>
      </c>
    </row>
    <row r="29">
      <c r="A29">
        <f>IF(Products!A29="","",Products!A29)</f>
        <v/>
      </c>
      <c r="B29" s="13" t="inlineStr">
        <is>
          <t>Etsy</t>
        </is>
      </c>
      <c r="C29" s="11">
        <f>IF(A29="","",Products!I29)</f>
        <v/>
      </c>
      <c r="D29" s="14" t="n">
        <v>0.3</v>
      </c>
      <c r="E29" s="15" t="n"/>
      <c r="F29" s="11">
        <f>IF(A29="","",IF(1-(IFERROR(INDEX(Settings!$B$5:$B$9,MATCH(B29,Settings!$A$5:$A$9,0)),0)+IFERROR(INDEX(Settings!$E$5:$E$9,MATCH(B29,Settings!$A$5:$A$9,0)),0)+IFERROR(INDEX(Settings!$G$5:$G$9,MATCH(B29,Settings!$A$5:$A$9,0)),0)+N(Products!H29))-D29&lt;=0,"margin too high",(C29+(IFERROR(INDEX(Settings!$C$5:$C$9,MATCH(B29,Settings!$A$5:$A$9,0)),0)+IFERROR(INDEX(Settings!$D$5:$D$9,MATCH(B29,Settings!$A$5:$A$9,0)),0)+IFERROR(INDEX(Settings!$F$5:$F$9,MATCH(B29,Settings!$A$5:$A$9,0)),0)))/(1-(IFERROR(INDEX(Settings!$B$5:$B$9,MATCH(B29,Settings!$A$5:$A$9,0)),0)+IFERROR(INDEX(Settings!$E$5:$E$9,MATCH(B29,Settings!$A$5:$A$9,0)),0)+IFERROR(INDEX(Settings!$G$5:$G$9,MATCH(B29,Settings!$A$5:$A$9,0)),0)+N(Products!H29))-D29)))</f>
        <v/>
      </c>
      <c r="G29" s="11">
        <f>IF(OR(A29="",N(E29)=0),"",E29*(1-(IFERROR(INDEX(Settings!$B$5:$B$9,MATCH(B29,Settings!$A$5:$A$9,0)),0)+IFERROR(INDEX(Settings!$E$5:$E$9,MATCH(B29,Settings!$A$5:$A$9,0)),0)+IFERROR(INDEX(Settings!$G$5:$G$9,MATCH(B29,Settings!$A$5:$A$9,0)),0)+N(Products!H29)))-(IFERROR(INDEX(Settings!$C$5:$C$9,MATCH(B29,Settings!$A$5:$A$9,0)),0)+IFERROR(INDEX(Settings!$D$5:$D$9,MATCH(B29,Settings!$A$5:$A$9,0)),0)+IFERROR(INDEX(Settings!$F$5:$F$9,MATCH(B29,Settings!$A$5:$A$9,0)),0))-C29)</f>
        <v/>
      </c>
      <c r="H29" s="12">
        <f>IF(OR(A29="",N(E29)=0),"",G29/E29)</f>
        <v/>
      </c>
      <c r="I29">
        <f>IF(OR(A29="",N(E29)=0),"",IF(G29&lt;0,"Loses money at this price",IF(E29&lt;F29,"Below target: raise to "&amp;TEXT(F29,"$0.00"),"On target")))</f>
        <v/>
      </c>
    </row>
    <row r="30">
      <c r="A30">
        <f>IF(Products!A30="","",Products!A30)</f>
        <v/>
      </c>
      <c r="B30" s="13" t="inlineStr">
        <is>
          <t>Etsy</t>
        </is>
      </c>
      <c r="C30" s="11">
        <f>IF(A30="","",Products!I30)</f>
        <v/>
      </c>
      <c r="D30" s="14" t="n">
        <v>0.3</v>
      </c>
      <c r="E30" s="15" t="n"/>
      <c r="F30" s="11">
        <f>IF(A30="","",IF(1-(IFERROR(INDEX(Settings!$B$5:$B$9,MATCH(B30,Settings!$A$5:$A$9,0)),0)+IFERROR(INDEX(Settings!$E$5:$E$9,MATCH(B30,Settings!$A$5:$A$9,0)),0)+IFERROR(INDEX(Settings!$G$5:$G$9,MATCH(B30,Settings!$A$5:$A$9,0)),0)+N(Products!H30))-D30&lt;=0,"margin too high",(C30+(IFERROR(INDEX(Settings!$C$5:$C$9,MATCH(B30,Settings!$A$5:$A$9,0)),0)+IFERROR(INDEX(Settings!$D$5:$D$9,MATCH(B30,Settings!$A$5:$A$9,0)),0)+IFERROR(INDEX(Settings!$F$5:$F$9,MATCH(B30,Settings!$A$5:$A$9,0)),0)))/(1-(IFERROR(INDEX(Settings!$B$5:$B$9,MATCH(B30,Settings!$A$5:$A$9,0)),0)+IFERROR(INDEX(Settings!$E$5:$E$9,MATCH(B30,Settings!$A$5:$A$9,0)),0)+IFERROR(INDEX(Settings!$G$5:$G$9,MATCH(B30,Settings!$A$5:$A$9,0)),0)+N(Products!H30))-D30)))</f>
        <v/>
      </c>
      <c r="G30" s="11">
        <f>IF(OR(A30="",N(E30)=0),"",E30*(1-(IFERROR(INDEX(Settings!$B$5:$B$9,MATCH(B30,Settings!$A$5:$A$9,0)),0)+IFERROR(INDEX(Settings!$E$5:$E$9,MATCH(B30,Settings!$A$5:$A$9,0)),0)+IFERROR(INDEX(Settings!$G$5:$G$9,MATCH(B30,Settings!$A$5:$A$9,0)),0)+N(Products!H30)))-(IFERROR(INDEX(Settings!$C$5:$C$9,MATCH(B30,Settings!$A$5:$A$9,0)),0)+IFERROR(INDEX(Settings!$D$5:$D$9,MATCH(B30,Settings!$A$5:$A$9,0)),0)+IFERROR(INDEX(Settings!$F$5:$F$9,MATCH(B30,Settings!$A$5:$A$9,0)),0))-C30)</f>
        <v/>
      </c>
      <c r="H30" s="12">
        <f>IF(OR(A30="",N(E30)=0),"",G30/E30)</f>
        <v/>
      </c>
      <c r="I30">
        <f>IF(OR(A30="",N(E30)=0),"",IF(G30&lt;0,"Loses money at this price",IF(E30&lt;F30,"Below target: raise to "&amp;TEXT(F30,"$0.00"),"On target")))</f>
        <v/>
      </c>
    </row>
    <row r="31">
      <c r="A31">
        <f>IF(Products!A31="","",Products!A31)</f>
        <v/>
      </c>
      <c r="B31" s="13" t="inlineStr">
        <is>
          <t>Etsy</t>
        </is>
      </c>
      <c r="C31" s="11">
        <f>IF(A31="","",Products!I31)</f>
        <v/>
      </c>
      <c r="D31" s="14" t="n">
        <v>0.3</v>
      </c>
      <c r="E31" s="15" t="n"/>
      <c r="F31" s="11">
        <f>IF(A31="","",IF(1-(IFERROR(INDEX(Settings!$B$5:$B$9,MATCH(B31,Settings!$A$5:$A$9,0)),0)+IFERROR(INDEX(Settings!$E$5:$E$9,MATCH(B31,Settings!$A$5:$A$9,0)),0)+IFERROR(INDEX(Settings!$G$5:$G$9,MATCH(B31,Settings!$A$5:$A$9,0)),0)+N(Products!H31))-D31&lt;=0,"margin too high",(C31+(IFERROR(INDEX(Settings!$C$5:$C$9,MATCH(B31,Settings!$A$5:$A$9,0)),0)+IFERROR(INDEX(Settings!$D$5:$D$9,MATCH(B31,Settings!$A$5:$A$9,0)),0)+IFERROR(INDEX(Settings!$F$5:$F$9,MATCH(B31,Settings!$A$5:$A$9,0)),0)))/(1-(IFERROR(INDEX(Settings!$B$5:$B$9,MATCH(B31,Settings!$A$5:$A$9,0)),0)+IFERROR(INDEX(Settings!$E$5:$E$9,MATCH(B31,Settings!$A$5:$A$9,0)),0)+IFERROR(INDEX(Settings!$G$5:$G$9,MATCH(B31,Settings!$A$5:$A$9,0)),0)+N(Products!H31))-D31)))</f>
        <v/>
      </c>
      <c r="G31" s="11">
        <f>IF(OR(A31="",N(E31)=0),"",E31*(1-(IFERROR(INDEX(Settings!$B$5:$B$9,MATCH(B31,Settings!$A$5:$A$9,0)),0)+IFERROR(INDEX(Settings!$E$5:$E$9,MATCH(B31,Settings!$A$5:$A$9,0)),0)+IFERROR(INDEX(Settings!$G$5:$G$9,MATCH(B31,Settings!$A$5:$A$9,0)),0)+N(Products!H31)))-(IFERROR(INDEX(Settings!$C$5:$C$9,MATCH(B31,Settings!$A$5:$A$9,0)),0)+IFERROR(INDEX(Settings!$D$5:$D$9,MATCH(B31,Settings!$A$5:$A$9,0)),0)+IFERROR(INDEX(Settings!$F$5:$F$9,MATCH(B31,Settings!$A$5:$A$9,0)),0))-C31)</f>
        <v/>
      </c>
      <c r="H31" s="12">
        <f>IF(OR(A31="",N(E31)=0),"",G31/E31)</f>
        <v/>
      </c>
      <c r="I31">
        <f>IF(OR(A31="",N(E31)=0),"",IF(G31&lt;0,"Loses money at this price",IF(E31&lt;F31,"Below target: raise to "&amp;TEXT(F31,"$0.00"),"On target")))</f>
        <v/>
      </c>
    </row>
    <row r="32">
      <c r="A32">
        <f>IF(Products!A32="","",Products!A32)</f>
        <v/>
      </c>
      <c r="B32" s="13" t="inlineStr">
        <is>
          <t>Etsy</t>
        </is>
      </c>
      <c r="C32" s="11">
        <f>IF(A32="","",Products!I32)</f>
        <v/>
      </c>
      <c r="D32" s="14" t="n">
        <v>0.3</v>
      </c>
      <c r="E32" s="15" t="n"/>
      <c r="F32" s="11">
        <f>IF(A32="","",IF(1-(IFERROR(INDEX(Settings!$B$5:$B$9,MATCH(B32,Settings!$A$5:$A$9,0)),0)+IFERROR(INDEX(Settings!$E$5:$E$9,MATCH(B32,Settings!$A$5:$A$9,0)),0)+IFERROR(INDEX(Settings!$G$5:$G$9,MATCH(B32,Settings!$A$5:$A$9,0)),0)+N(Products!H32))-D32&lt;=0,"margin too high",(C32+(IFERROR(INDEX(Settings!$C$5:$C$9,MATCH(B32,Settings!$A$5:$A$9,0)),0)+IFERROR(INDEX(Settings!$D$5:$D$9,MATCH(B32,Settings!$A$5:$A$9,0)),0)+IFERROR(INDEX(Settings!$F$5:$F$9,MATCH(B32,Settings!$A$5:$A$9,0)),0)))/(1-(IFERROR(INDEX(Settings!$B$5:$B$9,MATCH(B32,Settings!$A$5:$A$9,0)),0)+IFERROR(INDEX(Settings!$E$5:$E$9,MATCH(B32,Settings!$A$5:$A$9,0)),0)+IFERROR(INDEX(Settings!$G$5:$G$9,MATCH(B32,Settings!$A$5:$A$9,0)),0)+N(Products!H32))-D32)))</f>
        <v/>
      </c>
      <c r="G32" s="11">
        <f>IF(OR(A32="",N(E32)=0),"",E32*(1-(IFERROR(INDEX(Settings!$B$5:$B$9,MATCH(B32,Settings!$A$5:$A$9,0)),0)+IFERROR(INDEX(Settings!$E$5:$E$9,MATCH(B32,Settings!$A$5:$A$9,0)),0)+IFERROR(INDEX(Settings!$G$5:$G$9,MATCH(B32,Settings!$A$5:$A$9,0)),0)+N(Products!H32)))-(IFERROR(INDEX(Settings!$C$5:$C$9,MATCH(B32,Settings!$A$5:$A$9,0)),0)+IFERROR(INDEX(Settings!$D$5:$D$9,MATCH(B32,Settings!$A$5:$A$9,0)),0)+IFERROR(INDEX(Settings!$F$5:$F$9,MATCH(B32,Settings!$A$5:$A$9,0)),0))-C32)</f>
        <v/>
      </c>
      <c r="H32" s="12">
        <f>IF(OR(A32="",N(E32)=0),"",G32/E32)</f>
        <v/>
      </c>
      <c r="I32">
        <f>IF(OR(A32="",N(E32)=0),"",IF(G32&lt;0,"Loses money at this price",IF(E32&lt;F32,"Below target: raise to "&amp;TEXT(F32,"$0.00"),"On target")))</f>
        <v/>
      </c>
    </row>
    <row r="33">
      <c r="A33">
        <f>IF(Products!A33="","",Products!A33)</f>
        <v/>
      </c>
      <c r="B33" s="13" t="inlineStr">
        <is>
          <t>Etsy</t>
        </is>
      </c>
      <c r="C33" s="11">
        <f>IF(A33="","",Products!I33)</f>
        <v/>
      </c>
      <c r="D33" s="14" t="n">
        <v>0.3</v>
      </c>
      <c r="E33" s="15" t="n"/>
      <c r="F33" s="11">
        <f>IF(A33="","",IF(1-(IFERROR(INDEX(Settings!$B$5:$B$9,MATCH(B33,Settings!$A$5:$A$9,0)),0)+IFERROR(INDEX(Settings!$E$5:$E$9,MATCH(B33,Settings!$A$5:$A$9,0)),0)+IFERROR(INDEX(Settings!$G$5:$G$9,MATCH(B33,Settings!$A$5:$A$9,0)),0)+N(Products!H33))-D33&lt;=0,"margin too high",(C33+(IFERROR(INDEX(Settings!$C$5:$C$9,MATCH(B33,Settings!$A$5:$A$9,0)),0)+IFERROR(INDEX(Settings!$D$5:$D$9,MATCH(B33,Settings!$A$5:$A$9,0)),0)+IFERROR(INDEX(Settings!$F$5:$F$9,MATCH(B33,Settings!$A$5:$A$9,0)),0)))/(1-(IFERROR(INDEX(Settings!$B$5:$B$9,MATCH(B33,Settings!$A$5:$A$9,0)),0)+IFERROR(INDEX(Settings!$E$5:$E$9,MATCH(B33,Settings!$A$5:$A$9,0)),0)+IFERROR(INDEX(Settings!$G$5:$G$9,MATCH(B33,Settings!$A$5:$A$9,0)),0)+N(Products!H33))-D33)))</f>
        <v/>
      </c>
      <c r="G33" s="11">
        <f>IF(OR(A33="",N(E33)=0),"",E33*(1-(IFERROR(INDEX(Settings!$B$5:$B$9,MATCH(B33,Settings!$A$5:$A$9,0)),0)+IFERROR(INDEX(Settings!$E$5:$E$9,MATCH(B33,Settings!$A$5:$A$9,0)),0)+IFERROR(INDEX(Settings!$G$5:$G$9,MATCH(B33,Settings!$A$5:$A$9,0)),0)+N(Products!H33)))-(IFERROR(INDEX(Settings!$C$5:$C$9,MATCH(B33,Settings!$A$5:$A$9,0)),0)+IFERROR(INDEX(Settings!$D$5:$D$9,MATCH(B33,Settings!$A$5:$A$9,0)),0)+IFERROR(INDEX(Settings!$F$5:$F$9,MATCH(B33,Settings!$A$5:$A$9,0)),0))-C33)</f>
        <v/>
      </c>
      <c r="H33" s="12">
        <f>IF(OR(A33="",N(E33)=0),"",G33/E33)</f>
        <v/>
      </c>
      <c r="I33">
        <f>IF(OR(A33="",N(E33)=0),"",IF(G33&lt;0,"Loses money at this price",IF(E33&lt;F33,"Below target: raise to "&amp;TEXT(F33,"$0.00"),"On target")))</f>
        <v/>
      </c>
    </row>
    <row r="34">
      <c r="A34">
        <f>IF(Products!A34="","",Products!A34)</f>
        <v/>
      </c>
      <c r="B34" s="13" t="inlineStr">
        <is>
          <t>Etsy</t>
        </is>
      </c>
      <c r="C34" s="11">
        <f>IF(A34="","",Products!I34)</f>
        <v/>
      </c>
      <c r="D34" s="14" t="n">
        <v>0.3</v>
      </c>
      <c r="E34" s="15" t="n"/>
      <c r="F34" s="11">
        <f>IF(A34="","",IF(1-(IFERROR(INDEX(Settings!$B$5:$B$9,MATCH(B34,Settings!$A$5:$A$9,0)),0)+IFERROR(INDEX(Settings!$E$5:$E$9,MATCH(B34,Settings!$A$5:$A$9,0)),0)+IFERROR(INDEX(Settings!$G$5:$G$9,MATCH(B34,Settings!$A$5:$A$9,0)),0)+N(Products!H34))-D34&lt;=0,"margin too high",(C34+(IFERROR(INDEX(Settings!$C$5:$C$9,MATCH(B34,Settings!$A$5:$A$9,0)),0)+IFERROR(INDEX(Settings!$D$5:$D$9,MATCH(B34,Settings!$A$5:$A$9,0)),0)+IFERROR(INDEX(Settings!$F$5:$F$9,MATCH(B34,Settings!$A$5:$A$9,0)),0)))/(1-(IFERROR(INDEX(Settings!$B$5:$B$9,MATCH(B34,Settings!$A$5:$A$9,0)),0)+IFERROR(INDEX(Settings!$E$5:$E$9,MATCH(B34,Settings!$A$5:$A$9,0)),0)+IFERROR(INDEX(Settings!$G$5:$G$9,MATCH(B34,Settings!$A$5:$A$9,0)),0)+N(Products!H34))-D34)))</f>
        <v/>
      </c>
      <c r="G34" s="11">
        <f>IF(OR(A34="",N(E34)=0),"",E34*(1-(IFERROR(INDEX(Settings!$B$5:$B$9,MATCH(B34,Settings!$A$5:$A$9,0)),0)+IFERROR(INDEX(Settings!$E$5:$E$9,MATCH(B34,Settings!$A$5:$A$9,0)),0)+IFERROR(INDEX(Settings!$G$5:$G$9,MATCH(B34,Settings!$A$5:$A$9,0)),0)+N(Products!H34)))-(IFERROR(INDEX(Settings!$C$5:$C$9,MATCH(B34,Settings!$A$5:$A$9,0)),0)+IFERROR(INDEX(Settings!$D$5:$D$9,MATCH(B34,Settings!$A$5:$A$9,0)),0)+IFERROR(INDEX(Settings!$F$5:$F$9,MATCH(B34,Settings!$A$5:$A$9,0)),0))-C34)</f>
        <v/>
      </c>
      <c r="H34" s="12">
        <f>IF(OR(A34="",N(E34)=0),"",G34/E34)</f>
        <v/>
      </c>
      <c r="I34">
        <f>IF(OR(A34="",N(E34)=0),"",IF(G34&lt;0,"Loses money at this price",IF(E34&lt;F34,"Below target: raise to "&amp;TEXT(F34,"$0.00"),"On target")))</f>
        <v/>
      </c>
    </row>
    <row r="35">
      <c r="A35">
        <f>IF(Products!A35="","",Products!A35)</f>
        <v/>
      </c>
      <c r="B35" s="13" t="inlineStr">
        <is>
          <t>Etsy</t>
        </is>
      </c>
      <c r="C35" s="11">
        <f>IF(A35="","",Products!I35)</f>
        <v/>
      </c>
      <c r="D35" s="14" t="n">
        <v>0.3</v>
      </c>
      <c r="E35" s="15" t="n"/>
      <c r="F35" s="11">
        <f>IF(A35="","",IF(1-(IFERROR(INDEX(Settings!$B$5:$B$9,MATCH(B35,Settings!$A$5:$A$9,0)),0)+IFERROR(INDEX(Settings!$E$5:$E$9,MATCH(B35,Settings!$A$5:$A$9,0)),0)+IFERROR(INDEX(Settings!$G$5:$G$9,MATCH(B35,Settings!$A$5:$A$9,0)),0)+N(Products!H35))-D35&lt;=0,"margin too high",(C35+(IFERROR(INDEX(Settings!$C$5:$C$9,MATCH(B35,Settings!$A$5:$A$9,0)),0)+IFERROR(INDEX(Settings!$D$5:$D$9,MATCH(B35,Settings!$A$5:$A$9,0)),0)+IFERROR(INDEX(Settings!$F$5:$F$9,MATCH(B35,Settings!$A$5:$A$9,0)),0)))/(1-(IFERROR(INDEX(Settings!$B$5:$B$9,MATCH(B35,Settings!$A$5:$A$9,0)),0)+IFERROR(INDEX(Settings!$E$5:$E$9,MATCH(B35,Settings!$A$5:$A$9,0)),0)+IFERROR(INDEX(Settings!$G$5:$G$9,MATCH(B35,Settings!$A$5:$A$9,0)),0)+N(Products!H35))-D35)))</f>
        <v/>
      </c>
      <c r="G35" s="11">
        <f>IF(OR(A35="",N(E35)=0),"",E35*(1-(IFERROR(INDEX(Settings!$B$5:$B$9,MATCH(B35,Settings!$A$5:$A$9,0)),0)+IFERROR(INDEX(Settings!$E$5:$E$9,MATCH(B35,Settings!$A$5:$A$9,0)),0)+IFERROR(INDEX(Settings!$G$5:$G$9,MATCH(B35,Settings!$A$5:$A$9,0)),0)+N(Products!H35)))-(IFERROR(INDEX(Settings!$C$5:$C$9,MATCH(B35,Settings!$A$5:$A$9,0)),0)+IFERROR(INDEX(Settings!$D$5:$D$9,MATCH(B35,Settings!$A$5:$A$9,0)),0)+IFERROR(INDEX(Settings!$F$5:$F$9,MATCH(B35,Settings!$A$5:$A$9,0)),0))-C35)</f>
        <v/>
      </c>
      <c r="H35" s="12">
        <f>IF(OR(A35="",N(E35)=0),"",G35/E35)</f>
        <v/>
      </c>
      <c r="I35">
        <f>IF(OR(A35="",N(E35)=0),"",IF(G35&lt;0,"Loses money at this price",IF(E35&lt;F35,"Below target: raise to "&amp;TEXT(F35,"$0.00"),"On target")))</f>
        <v/>
      </c>
    </row>
    <row r="36">
      <c r="A36">
        <f>IF(Products!A36="","",Products!A36)</f>
        <v/>
      </c>
      <c r="B36" s="13" t="inlineStr">
        <is>
          <t>Etsy</t>
        </is>
      </c>
      <c r="C36" s="11">
        <f>IF(A36="","",Products!I36)</f>
        <v/>
      </c>
      <c r="D36" s="14" t="n">
        <v>0.3</v>
      </c>
      <c r="E36" s="15" t="n"/>
      <c r="F36" s="11">
        <f>IF(A36="","",IF(1-(IFERROR(INDEX(Settings!$B$5:$B$9,MATCH(B36,Settings!$A$5:$A$9,0)),0)+IFERROR(INDEX(Settings!$E$5:$E$9,MATCH(B36,Settings!$A$5:$A$9,0)),0)+IFERROR(INDEX(Settings!$G$5:$G$9,MATCH(B36,Settings!$A$5:$A$9,0)),0)+N(Products!H36))-D36&lt;=0,"margin too high",(C36+(IFERROR(INDEX(Settings!$C$5:$C$9,MATCH(B36,Settings!$A$5:$A$9,0)),0)+IFERROR(INDEX(Settings!$D$5:$D$9,MATCH(B36,Settings!$A$5:$A$9,0)),0)+IFERROR(INDEX(Settings!$F$5:$F$9,MATCH(B36,Settings!$A$5:$A$9,0)),0)))/(1-(IFERROR(INDEX(Settings!$B$5:$B$9,MATCH(B36,Settings!$A$5:$A$9,0)),0)+IFERROR(INDEX(Settings!$E$5:$E$9,MATCH(B36,Settings!$A$5:$A$9,0)),0)+IFERROR(INDEX(Settings!$G$5:$G$9,MATCH(B36,Settings!$A$5:$A$9,0)),0)+N(Products!H36))-D36)))</f>
        <v/>
      </c>
      <c r="G36" s="11">
        <f>IF(OR(A36="",N(E36)=0),"",E36*(1-(IFERROR(INDEX(Settings!$B$5:$B$9,MATCH(B36,Settings!$A$5:$A$9,0)),0)+IFERROR(INDEX(Settings!$E$5:$E$9,MATCH(B36,Settings!$A$5:$A$9,0)),0)+IFERROR(INDEX(Settings!$G$5:$G$9,MATCH(B36,Settings!$A$5:$A$9,0)),0)+N(Products!H36)))-(IFERROR(INDEX(Settings!$C$5:$C$9,MATCH(B36,Settings!$A$5:$A$9,0)),0)+IFERROR(INDEX(Settings!$D$5:$D$9,MATCH(B36,Settings!$A$5:$A$9,0)),0)+IFERROR(INDEX(Settings!$F$5:$F$9,MATCH(B36,Settings!$A$5:$A$9,0)),0))-C36)</f>
        <v/>
      </c>
      <c r="H36" s="12">
        <f>IF(OR(A36="",N(E36)=0),"",G36/E36)</f>
        <v/>
      </c>
      <c r="I36">
        <f>IF(OR(A36="",N(E36)=0),"",IF(G36&lt;0,"Loses money at this price",IF(E36&lt;F36,"Below target: raise to "&amp;TEXT(F36,"$0.00"),"On target")))</f>
        <v/>
      </c>
    </row>
    <row r="37">
      <c r="A37">
        <f>IF(Products!A37="","",Products!A37)</f>
        <v/>
      </c>
      <c r="B37" s="13" t="inlineStr">
        <is>
          <t>Etsy</t>
        </is>
      </c>
      <c r="C37" s="11">
        <f>IF(A37="","",Products!I37)</f>
        <v/>
      </c>
      <c r="D37" s="14" t="n">
        <v>0.3</v>
      </c>
      <c r="E37" s="15" t="n"/>
      <c r="F37" s="11">
        <f>IF(A37="","",IF(1-(IFERROR(INDEX(Settings!$B$5:$B$9,MATCH(B37,Settings!$A$5:$A$9,0)),0)+IFERROR(INDEX(Settings!$E$5:$E$9,MATCH(B37,Settings!$A$5:$A$9,0)),0)+IFERROR(INDEX(Settings!$G$5:$G$9,MATCH(B37,Settings!$A$5:$A$9,0)),0)+N(Products!H37))-D37&lt;=0,"margin too high",(C37+(IFERROR(INDEX(Settings!$C$5:$C$9,MATCH(B37,Settings!$A$5:$A$9,0)),0)+IFERROR(INDEX(Settings!$D$5:$D$9,MATCH(B37,Settings!$A$5:$A$9,0)),0)+IFERROR(INDEX(Settings!$F$5:$F$9,MATCH(B37,Settings!$A$5:$A$9,0)),0)))/(1-(IFERROR(INDEX(Settings!$B$5:$B$9,MATCH(B37,Settings!$A$5:$A$9,0)),0)+IFERROR(INDEX(Settings!$E$5:$E$9,MATCH(B37,Settings!$A$5:$A$9,0)),0)+IFERROR(INDEX(Settings!$G$5:$G$9,MATCH(B37,Settings!$A$5:$A$9,0)),0)+N(Products!H37))-D37)))</f>
        <v/>
      </c>
      <c r="G37" s="11">
        <f>IF(OR(A37="",N(E37)=0),"",E37*(1-(IFERROR(INDEX(Settings!$B$5:$B$9,MATCH(B37,Settings!$A$5:$A$9,0)),0)+IFERROR(INDEX(Settings!$E$5:$E$9,MATCH(B37,Settings!$A$5:$A$9,0)),0)+IFERROR(INDEX(Settings!$G$5:$G$9,MATCH(B37,Settings!$A$5:$A$9,0)),0)+N(Products!H37)))-(IFERROR(INDEX(Settings!$C$5:$C$9,MATCH(B37,Settings!$A$5:$A$9,0)),0)+IFERROR(INDEX(Settings!$D$5:$D$9,MATCH(B37,Settings!$A$5:$A$9,0)),0)+IFERROR(INDEX(Settings!$F$5:$F$9,MATCH(B37,Settings!$A$5:$A$9,0)),0))-C37)</f>
        <v/>
      </c>
      <c r="H37" s="12">
        <f>IF(OR(A37="",N(E37)=0),"",G37/E37)</f>
        <v/>
      </c>
      <c r="I37">
        <f>IF(OR(A37="",N(E37)=0),"",IF(G37&lt;0,"Loses money at this price",IF(E37&lt;F37,"Below target: raise to "&amp;TEXT(F37,"$0.00"),"On target")))</f>
        <v/>
      </c>
    </row>
    <row r="38">
      <c r="A38">
        <f>IF(Products!A38="","",Products!A38)</f>
        <v/>
      </c>
      <c r="B38" s="13" t="inlineStr">
        <is>
          <t>Etsy</t>
        </is>
      </c>
      <c r="C38" s="11">
        <f>IF(A38="","",Products!I38)</f>
        <v/>
      </c>
      <c r="D38" s="14" t="n">
        <v>0.3</v>
      </c>
      <c r="E38" s="15" t="n"/>
      <c r="F38" s="11">
        <f>IF(A38="","",IF(1-(IFERROR(INDEX(Settings!$B$5:$B$9,MATCH(B38,Settings!$A$5:$A$9,0)),0)+IFERROR(INDEX(Settings!$E$5:$E$9,MATCH(B38,Settings!$A$5:$A$9,0)),0)+IFERROR(INDEX(Settings!$G$5:$G$9,MATCH(B38,Settings!$A$5:$A$9,0)),0)+N(Products!H38))-D38&lt;=0,"margin too high",(C38+(IFERROR(INDEX(Settings!$C$5:$C$9,MATCH(B38,Settings!$A$5:$A$9,0)),0)+IFERROR(INDEX(Settings!$D$5:$D$9,MATCH(B38,Settings!$A$5:$A$9,0)),0)+IFERROR(INDEX(Settings!$F$5:$F$9,MATCH(B38,Settings!$A$5:$A$9,0)),0)))/(1-(IFERROR(INDEX(Settings!$B$5:$B$9,MATCH(B38,Settings!$A$5:$A$9,0)),0)+IFERROR(INDEX(Settings!$E$5:$E$9,MATCH(B38,Settings!$A$5:$A$9,0)),0)+IFERROR(INDEX(Settings!$G$5:$G$9,MATCH(B38,Settings!$A$5:$A$9,0)),0)+N(Products!H38))-D38)))</f>
        <v/>
      </c>
      <c r="G38" s="11">
        <f>IF(OR(A38="",N(E38)=0),"",E38*(1-(IFERROR(INDEX(Settings!$B$5:$B$9,MATCH(B38,Settings!$A$5:$A$9,0)),0)+IFERROR(INDEX(Settings!$E$5:$E$9,MATCH(B38,Settings!$A$5:$A$9,0)),0)+IFERROR(INDEX(Settings!$G$5:$G$9,MATCH(B38,Settings!$A$5:$A$9,0)),0)+N(Products!H38)))-(IFERROR(INDEX(Settings!$C$5:$C$9,MATCH(B38,Settings!$A$5:$A$9,0)),0)+IFERROR(INDEX(Settings!$D$5:$D$9,MATCH(B38,Settings!$A$5:$A$9,0)),0)+IFERROR(INDEX(Settings!$F$5:$F$9,MATCH(B38,Settings!$A$5:$A$9,0)),0))-C38)</f>
        <v/>
      </c>
      <c r="H38" s="12">
        <f>IF(OR(A38="",N(E38)=0),"",G38/E38)</f>
        <v/>
      </c>
      <c r="I38">
        <f>IF(OR(A38="",N(E38)=0),"",IF(G38&lt;0,"Loses money at this price",IF(E38&lt;F38,"Below target: raise to "&amp;TEXT(F38,"$0.00"),"On target")))</f>
        <v/>
      </c>
    </row>
    <row r="39">
      <c r="A39">
        <f>IF(Products!A39="","",Products!A39)</f>
        <v/>
      </c>
      <c r="B39" s="13" t="inlineStr">
        <is>
          <t>Etsy</t>
        </is>
      </c>
      <c r="C39" s="11">
        <f>IF(A39="","",Products!I39)</f>
        <v/>
      </c>
      <c r="D39" s="14" t="n">
        <v>0.3</v>
      </c>
      <c r="E39" s="15" t="n"/>
      <c r="F39" s="11">
        <f>IF(A39="","",IF(1-(IFERROR(INDEX(Settings!$B$5:$B$9,MATCH(B39,Settings!$A$5:$A$9,0)),0)+IFERROR(INDEX(Settings!$E$5:$E$9,MATCH(B39,Settings!$A$5:$A$9,0)),0)+IFERROR(INDEX(Settings!$G$5:$G$9,MATCH(B39,Settings!$A$5:$A$9,0)),0)+N(Products!H39))-D39&lt;=0,"margin too high",(C39+(IFERROR(INDEX(Settings!$C$5:$C$9,MATCH(B39,Settings!$A$5:$A$9,0)),0)+IFERROR(INDEX(Settings!$D$5:$D$9,MATCH(B39,Settings!$A$5:$A$9,0)),0)+IFERROR(INDEX(Settings!$F$5:$F$9,MATCH(B39,Settings!$A$5:$A$9,0)),0)))/(1-(IFERROR(INDEX(Settings!$B$5:$B$9,MATCH(B39,Settings!$A$5:$A$9,0)),0)+IFERROR(INDEX(Settings!$E$5:$E$9,MATCH(B39,Settings!$A$5:$A$9,0)),0)+IFERROR(INDEX(Settings!$G$5:$G$9,MATCH(B39,Settings!$A$5:$A$9,0)),0)+N(Products!H39))-D39)))</f>
        <v/>
      </c>
      <c r="G39" s="11">
        <f>IF(OR(A39="",N(E39)=0),"",E39*(1-(IFERROR(INDEX(Settings!$B$5:$B$9,MATCH(B39,Settings!$A$5:$A$9,0)),0)+IFERROR(INDEX(Settings!$E$5:$E$9,MATCH(B39,Settings!$A$5:$A$9,0)),0)+IFERROR(INDEX(Settings!$G$5:$G$9,MATCH(B39,Settings!$A$5:$A$9,0)),0)+N(Products!H39)))-(IFERROR(INDEX(Settings!$C$5:$C$9,MATCH(B39,Settings!$A$5:$A$9,0)),0)+IFERROR(INDEX(Settings!$D$5:$D$9,MATCH(B39,Settings!$A$5:$A$9,0)),0)+IFERROR(INDEX(Settings!$F$5:$F$9,MATCH(B39,Settings!$A$5:$A$9,0)),0))-C39)</f>
        <v/>
      </c>
      <c r="H39" s="12">
        <f>IF(OR(A39="",N(E39)=0),"",G39/E39)</f>
        <v/>
      </c>
      <c r="I39">
        <f>IF(OR(A39="",N(E39)=0),"",IF(G39&lt;0,"Loses money at this price",IF(E39&lt;F39,"Below target: raise to "&amp;TEXT(F39,"$0.00"),"On target")))</f>
        <v/>
      </c>
    </row>
    <row r="40">
      <c r="A40">
        <f>IF(Products!A40="","",Products!A40)</f>
        <v/>
      </c>
      <c r="B40" s="13" t="inlineStr">
        <is>
          <t>Etsy</t>
        </is>
      </c>
      <c r="C40" s="11">
        <f>IF(A40="","",Products!I40)</f>
        <v/>
      </c>
      <c r="D40" s="14" t="n">
        <v>0.3</v>
      </c>
      <c r="E40" s="15" t="n"/>
      <c r="F40" s="11">
        <f>IF(A40="","",IF(1-(IFERROR(INDEX(Settings!$B$5:$B$9,MATCH(B40,Settings!$A$5:$A$9,0)),0)+IFERROR(INDEX(Settings!$E$5:$E$9,MATCH(B40,Settings!$A$5:$A$9,0)),0)+IFERROR(INDEX(Settings!$G$5:$G$9,MATCH(B40,Settings!$A$5:$A$9,0)),0)+N(Products!H40))-D40&lt;=0,"margin too high",(C40+(IFERROR(INDEX(Settings!$C$5:$C$9,MATCH(B40,Settings!$A$5:$A$9,0)),0)+IFERROR(INDEX(Settings!$D$5:$D$9,MATCH(B40,Settings!$A$5:$A$9,0)),0)+IFERROR(INDEX(Settings!$F$5:$F$9,MATCH(B40,Settings!$A$5:$A$9,0)),0)))/(1-(IFERROR(INDEX(Settings!$B$5:$B$9,MATCH(B40,Settings!$A$5:$A$9,0)),0)+IFERROR(INDEX(Settings!$E$5:$E$9,MATCH(B40,Settings!$A$5:$A$9,0)),0)+IFERROR(INDEX(Settings!$G$5:$G$9,MATCH(B40,Settings!$A$5:$A$9,0)),0)+N(Products!H40))-D40)))</f>
        <v/>
      </c>
      <c r="G40" s="11">
        <f>IF(OR(A40="",N(E40)=0),"",E40*(1-(IFERROR(INDEX(Settings!$B$5:$B$9,MATCH(B40,Settings!$A$5:$A$9,0)),0)+IFERROR(INDEX(Settings!$E$5:$E$9,MATCH(B40,Settings!$A$5:$A$9,0)),0)+IFERROR(INDEX(Settings!$G$5:$G$9,MATCH(B40,Settings!$A$5:$A$9,0)),0)+N(Products!H40)))-(IFERROR(INDEX(Settings!$C$5:$C$9,MATCH(B40,Settings!$A$5:$A$9,0)),0)+IFERROR(INDEX(Settings!$D$5:$D$9,MATCH(B40,Settings!$A$5:$A$9,0)),0)+IFERROR(INDEX(Settings!$F$5:$F$9,MATCH(B40,Settings!$A$5:$A$9,0)),0))-C40)</f>
        <v/>
      </c>
      <c r="H40" s="12">
        <f>IF(OR(A40="",N(E40)=0),"",G40/E40)</f>
        <v/>
      </c>
      <c r="I40">
        <f>IF(OR(A40="",N(E40)=0),"",IF(G40&lt;0,"Loses money at this price",IF(E40&lt;F40,"Below target: raise to "&amp;TEXT(F40,"$0.00"),"On target")))</f>
        <v/>
      </c>
    </row>
    <row r="41">
      <c r="A41">
        <f>IF(Products!A41="","",Products!A41)</f>
        <v/>
      </c>
      <c r="B41" s="13" t="inlineStr">
        <is>
          <t>Etsy</t>
        </is>
      </c>
      <c r="C41" s="11">
        <f>IF(A41="","",Products!I41)</f>
        <v/>
      </c>
      <c r="D41" s="14" t="n">
        <v>0.3</v>
      </c>
      <c r="E41" s="15" t="n"/>
      <c r="F41" s="11">
        <f>IF(A41="","",IF(1-(IFERROR(INDEX(Settings!$B$5:$B$9,MATCH(B41,Settings!$A$5:$A$9,0)),0)+IFERROR(INDEX(Settings!$E$5:$E$9,MATCH(B41,Settings!$A$5:$A$9,0)),0)+IFERROR(INDEX(Settings!$G$5:$G$9,MATCH(B41,Settings!$A$5:$A$9,0)),0)+N(Products!H41))-D41&lt;=0,"margin too high",(C41+(IFERROR(INDEX(Settings!$C$5:$C$9,MATCH(B41,Settings!$A$5:$A$9,0)),0)+IFERROR(INDEX(Settings!$D$5:$D$9,MATCH(B41,Settings!$A$5:$A$9,0)),0)+IFERROR(INDEX(Settings!$F$5:$F$9,MATCH(B41,Settings!$A$5:$A$9,0)),0)))/(1-(IFERROR(INDEX(Settings!$B$5:$B$9,MATCH(B41,Settings!$A$5:$A$9,0)),0)+IFERROR(INDEX(Settings!$E$5:$E$9,MATCH(B41,Settings!$A$5:$A$9,0)),0)+IFERROR(INDEX(Settings!$G$5:$G$9,MATCH(B41,Settings!$A$5:$A$9,0)),0)+N(Products!H41))-D41)))</f>
        <v/>
      </c>
      <c r="G41" s="11">
        <f>IF(OR(A41="",N(E41)=0),"",E41*(1-(IFERROR(INDEX(Settings!$B$5:$B$9,MATCH(B41,Settings!$A$5:$A$9,0)),0)+IFERROR(INDEX(Settings!$E$5:$E$9,MATCH(B41,Settings!$A$5:$A$9,0)),0)+IFERROR(INDEX(Settings!$G$5:$G$9,MATCH(B41,Settings!$A$5:$A$9,0)),0)+N(Products!H41)))-(IFERROR(INDEX(Settings!$C$5:$C$9,MATCH(B41,Settings!$A$5:$A$9,0)),0)+IFERROR(INDEX(Settings!$D$5:$D$9,MATCH(B41,Settings!$A$5:$A$9,0)),0)+IFERROR(INDEX(Settings!$F$5:$F$9,MATCH(B41,Settings!$A$5:$A$9,0)),0))-C41)</f>
        <v/>
      </c>
      <c r="H41" s="12">
        <f>IF(OR(A41="",N(E41)=0),"",G41/E41)</f>
        <v/>
      </c>
      <c r="I41">
        <f>IF(OR(A41="",N(E41)=0),"",IF(G41&lt;0,"Loses money at this price",IF(E41&lt;F41,"Below target: raise to "&amp;TEXT(F41,"$0.00"),"On target")))</f>
        <v/>
      </c>
    </row>
    <row r="42">
      <c r="A42">
        <f>IF(Products!A42="","",Products!A42)</f>
        <v/>
      </c>
      <c r="B42" s="13" t="inlineStr">
        <is>
          <t>Etsy</t>
        </is>
      </c>
      <c r="C42" s="11">
        <f>IF(A42="","",Products!I42)</f>
        <v/>
      </c>
      <c r="D42" s="14" t="n">
        <v>0.3</v>
      </c>
      <c r="E42" s="15" t="n"/>
      <c r="F42" s="11">
        <f>IF(A42="","",IF(1-(IFERROR(INDEX(Settings!$B$5:$B$9,MATCH(B42,Settings!$A$5:$A$9,0)),0)+IFERROR(INDEX(Settings!$E$5:$E$9,MATCH(B42,Settings!$A$5:$A$9,0)),0)+IFERROR(INDEX(Settings!$G$5:$G$9,MATCH(B42,Settings!$A$5:$A$9,0)),0)+N(Products!H42))-D42&lt;=0,"margin too high",(C42+(IFERROR(INDEX(Settings!$C$5:$C$9,MATCH(B42,Settings!$A$5:$A$9,0)),0)+IFERROR(INDEX(Settings!$D$5:$D$9,MATCH(B42,Settings!$A$5:$A$9,0)),0)+IFERROR(INDEX(Settings!$F$5:$F$9,MATCH(B42,Settings!$A$5:$A$9,0)),0)))/(1-(IFERROR(INDEX(Settings!$B$5:$B$9,MATCH(B42,Settings!$A$5:$A$9,0)),0)+IFERROR(INDEX(Settings!$E$5:$E$9,MATCH(B42,Settings!$A$5:$A$9,0)),0)+IFERROR(INDEX(Settings!$G$5:$G$9,MATCH(B42,Settings!$A$5:$A$9,0)),0)+N(Products!H42))-D42)))</f>
        <v/>
      </c>
      <c r="G42" s="11">
        <f>IF(OR(A42="",N(E42)=0),"",E42*(1-(IFERROR(INDEX(Settings!$B$5:$B$9,MATCH(B42,Settings!$A$5:$A$9,0)),0)+IFERROR(INDEX(Settings!$E$5:$E$9,MATCH(B42,Settings!$A$5:$A$9,0)),0)+IFERROR(INDEX(Settings!$G$5:$G$9,MATCH(B42,Settings!$A$5:$A$9,0)),0)+N(Products!H42)))-(IFERROR(INDEX(Settings!$C$5:$C$9,MATCH(B42,Settings!$A$5:$A$9,0)),0)+IFERROR(INDEX(Settings!$D$5:$D$9,MATCH(B42,Settings!$A$5:$A$9,0)),0)+IFERROR(INDEX(Settings!$F$5:$F$9,MATCH(B42,Settings!$A$5:$A$9,0)),0))-C42)</f>
        <v/>
      </c>
      <c r="H42" s="12">
        <f>IF(OR(A42="",N(E42)=0),"",G42/E42)</f>
        <v/>
      </c>
      <c r="I42">
        <f>IF(OR(A42="",N(E42)=0),"",IF(G42&lt;0,"Loses money at this price",IF(E42&lt;F42,"Below target: raise to "&amp;TEXT(F42,"$0.00"),"On target")))</f>
        <v/>
      </c>
    </row>
    <row r="43">
      <c r="A43">
        <f>IF(Products!A43="","",Products!A43)</f>
        <v/>
      </c>
      <c r="B43" s="13" t="inlineStr">
        <is>
          <t>Etsy</t>
        </is>
      </c>
      <c r="C43" s="11">
        <f>IF(A43="","",Products!I43)</f>
        <v/>
      </c>
      <c r="D43" s="14" t="n">
        <v>0.3</v>
      </c>
      <c r="E43" s="15" t="n"/>
      <c r="F43" s="11">
        <f>IF(A43="","",IF(1-(IFERROR(INDEX(Settings!$B$5:$B$9,MATCH(B43,Settings!$A$5:$A$9,0)),0)+IFERROR(INDEX(Settings!$E$5:$E$9,MATCH(B43,Settings!$A$5:$A$9,0)),0)+IFERROR(INDEX(Settings!$G$5:$G$9,MATCH(B43,Settings!$A$5:$A$9,0)),0)+N(Products!H43))-D43&lt;=0,"margin too high",(C43+(IFERROR(INDEX(Settings!$C$5:$C$9,MATCH(B43,Settings!$A$5:$A$9,0)),0)+IFERROR(INDEX(Settings!$D$5:$D$9,MATCH(B43,Settings!$A$5:$A$9,0)),0)+IFERROR(INDEX(Settings!$F$5:$F$9,MATCH(B43,Settings!$A$5:$A$9,0)),0)))/(1-(IFERROR(INDEX(Settings!$B$5:$B$9,MATCH(B43,Settings!$A$5:$A$9,0)),0)+IFERROR(INDEX(Settings!$E$5:$E$9,MATCH(B43,Settings!$A$5:$A$9,0)),0)+IFERROR(INDEX(Settings!$G$5:$G$9,MATCH(B43,Settings!$A$5:$A$9,0)),0)+N(Products!H43))-D43)))</f>
        <v/>
      </c>
      <c r="G43" s="11">
        <f>IF(OR(A43="",N(E43)=0),"",E43*(1-(IFERROR(INDEX(Settings!$B$5:$B$9,MATCH(B43,Settings!$A$5:$A$9,0)),0)+IFERROR(INDEX(Settings!$E$5:$E$9,MATCH(B43,Settings!$A$5:$A$9,0)),0)+IFERROR(INDEX(Settings!$G$5:$G$9,MATCH(B43,Settings!$A$5:$A$9,0)),0)+N(Products!H43)))-(IFERROR(INDEX(Settings!$C$5:$C$9,MATCH(B43,Settings!$A$5:$A$9,0)),0)+IFERROR(INDEX(Settings!$D$5:$D$9,MATCH(B43,Settings!$A$5:$A$9,0)),0)+IFERROR(INDEX(Settings!$F$5:$F$9,MATCH(B43,Settings!$A$5:$A$9,0)),0))-C43)</f>
        <v/>
      </c>
      <c r="H43" s="12">
        <f>IF(OR(A43="",N(E43)=0),"",G43/E43)</f>
        <v/>
      </c>
      <c r="I43">
        <f>IF(OR(A43="",N(E43)=0),"",IF(G43&lt;0,"Loses money at this price",IF(E43&lt;F43,"Below target: raise to "&amp;TEXT(F43,"$0.00"),"On target")))</f>
        <v/>
      </c>
    </row>
    <row r="44">
      <c r="A44">
        <f>IF(Products!A44="","",Products!A44)</f>
        <v/>
      </c>
      <c r="B44" s="13" t="inlineStr">
        <is>
          <t>Etsy</t>
        </is>
      </c>
      <c r="C44" s="11">
        <f>IF(A44="","",Products!I44)</f>
        <v/>
      </c>
      <c r="D44" s="14" t="n">
        <v>0.3</v>
      </c>
      <c r="E44" s="15" t="n"/>
      <c r="F44" s="11">
        <f>IF(A44="","",IF(1-(IFERROR(INDEX(Settings!$B$5:$B$9,MATCH(B44,Settings!$A$5:$A$9,0)),0)+IFERROR(INDEX(Settings!$E$5:$E$9,MATCH(B44,Settings!$A$5:$A$9,0)),0)+IFERROR(INDEX(Settings!$G$5:$G$9,MATCH(B44,Settings!$A$5:$A$9,0)),0)+N(Products!H44))-D44&lt;=0,"margin too high",(C44+(IFERROR(INDEX(Settings!$C$5:$C$9,MATCH(B44,Settings!$A$5:$A$9,0)),0)+IFERROR(INDEX(Settings!$D$5:$D$9,MATCH(B44,Settings!$A$5:$A$9,0)),0)+IFERROR(INDEX(Settings!$F$5:$F$9,MATCH(B44,Settings!$A$5:$A$9,0)),0)))/(1-(IFERROR(INDEX(Settings!$B$5:$B$9,MATCH(B44,Settings!$A$5:$A$9,0)),0)+IFERROR(INDEX(Settings!$E$5:$E$9,MATCH(B44,Settings!$A$5:$A$9,0)),0)+IFERROR(INDEX(Settings!$G$5:$G$9,MATCH(B44,Settings!$A$5:$A$9,0)),0)+N(Products!H44))-D44)))</f>
        <v/>
      </c>
      <c r="G44" s="11">
        <f>IF(OR(A44="",N(E44)=0),"",E44*(1-(IFERROR(INDEX(Settings!$B$5:$B$9,MATCH(B44,Settings!$A$5:$A$9,0)),0)+IFERROR(INDEX(Settings!$E$5:$E$9,MATCH(B44,Settings!$A$5:$A$9,0)),0)+IFERROR(INDEX(Settings!$G$5:$G$9,MATCH(B44,Settings!$A$5:$A$9,0)),0)+N(Products!H44)))-(IFERROR(INDEX(Settings!$C$5:$C$9,MATCH(B44,Settings!$A$5:$A$9,0)),0)+IFERROR(INDEX(Settings!$D$5:$D$9,MATCH(B44,Settings!$A$5:$A$9,0)),0)+IFERROR(INDEX(Settings!$F$5:$F$9,MATCH(B44,Settings!$A$5:$A$9,0)),0))-C44)</f>
        <v/>
      </c>
      <c r="H44" s="12">
        <f>IF(OR(A44="",N(E44)=0),"",G44/E44)</f>
        <v/>
      </c>
      <c r="I44">
        <f>IF(OR(A44="",N(E44)=0),"",IF(G44&lt;0,"Loses money at this price",IF(E44&lt;F44,"Below target: raise to "&amp;TEXT(F44,"$0.00"),"On target")))</f>
        <v/>
      </c>
    </row>
    <row r="45">
      <c r="A45">
        <f>IF(Products!A45="","",Products!A45)</f>
        <v/>
      </c>
      <c r="B45" s="13" t="inlineStr">
        <is>
          <t>Etsy</t>
        </is>
      </c>
      <c r="C45" s="11">
        <f>IF(A45="","",Products!I45)</f>
        <v/>
      </c>
      <c r="D45" s="14" t="n">
        <v>0.3</v>
      </c>
      <c r="E45" s="15" t="n"/>
      <c r="F45" s="11">
        <f>IF(A45="","",IF(1-(IFERROR(INDEX(Settings!$B$5:$B$9,MATCH(B45,Settings!$A$5:$A$9,0)),0)+IFERROR(INDEX(Settings!$E$5:$E$9,MATCH(B45,Settings!$A$5:$A$9,0)),0)+IFERROR(INDEX(Settings!$G$5:$G$9,MATCH(B45,Settings!$A$5:$A$9,0)),0)+N(Products!H45))-D45&lt;=0,"margin too high",(C45+(IFERROR(INDEX(Settings!$C$5:$C$9,MATCH(B45,Settings!$A$5:$A$9,0)),0)+IFERROR(INDEX(Settings!$D$5:$D$9,MATCH(B45,Settings!$A$5:$A$9,0)),0)+IFERROR(INDEX(Settings!$F$5:$F$9,MATCH(B45,Settings!$A$5:$A$9,0)),0)))/(1-(IFERROR(INDEX(Settings!$B$5:$B$9,MATCH(B45,Settings!$A$5:$A$9,0)),0)+IFERROR(INDEX(Settings!$E$5:$E$9,MATCH(B45,Settings!$A$5:$A$9,0)),0)+IFERROR(INDEX(Settings!$G$5:$G$9,MATCH(B45,Settings!$A$5:$A$9,0)),0)+N(Products!H45))-D45)))</f>
        <v/>
      </c>
      <c r="G45" s="11">
        <f>IF(OR(A45="",N(E45)=0),"",E45*(1-(IFERROR(INDEX(Settings!$B$5:$B$9,MATCH(B45,Settings!$A$5:$A$9,0)),0)+IFERROR(INDEX(Settings!$E$5:$E$9,MATCH(B45,Settings!$A$5:$A$9,0)),0)+IFERROR(INDEX(Settings!$G$5:$G$9,MATCH(B45,Settings!$A$5:$A$9,0)),0)+N(Products!H45)))-(IFERROR(INDEX(Settings!$C$5:$C$9,MATCH(B45,Settings!$A$5:$A$9,0)),0)+IFERROR(INDEX(Settings!$D$5:$D$9,MATCH(B45,Settings!$A$5:$A$9,0)),0)+IFERROR(INDEX(Settings!$F$5:$F$9,MATCH(B45,Settings!$A$5:$A$9,0)),0))-C45)</f>
        <v/>
      </c>
      <c r="H45" s="12">
        <f>IF(OR(A45="",N(E45)=0),"",G45/E45)</f>
        <v/>
      </c>
      <c r="I45">
        <f>IF(OR(A45="",N(E45)=0),"",IF(G45&lt;0,"Loses money at this price",IF(E45&lt;F45,"Below target: raise to "&amp;TEXT(F45,"$0.00"),"On target")))</f>
        <v/>
      </c>
    </row>
    <row r="46">
      <c r="A46">
        <f>IF(Products!A46="","",Products!A46)</f>
        <v/>
      </c>
      <c r="B46" s="13" t="inlineStr">
        <is>
          <t>Etsy</t>
        </is>
      </c>
      <c r="C46" s="11">
        <f>IF(A46="","",Products!I46)</f>
        <v/>
      </c>
      <c r="D46" s="14" t="n">
        <v>0.3</v>
      </c>
      <c r="E46" s="15" t="n"/>
      <c r="F46" s="11">
        <f>IF(A46="","",IF(1-(IFERROR(INDEX(Settings!$B$5:$B$9,MATCH(B46,Settings!$A$5:$A$9,0)),0)+IFERROR(INDEX(Settings!$E$5:$E$9,MATCH(B46,Settings!$A$5:$A$9,0)),0)+IFERROR(INDEX(Settings!$G$5:$G$9,MATCH(B46,Settings!$A$5:$A$9,0)),0)+N(Products!H46))-D46&lt;=0,"margin too high",(C46+(IFERROR(INDEX(Settings!$C$5:$C$9,MATCH(B46,Settings!$A$5:$A$9,0)),0)+IFERROR(INDEX(Settings!$D$5:$D$9,MATCH(B46,Settings!$A$5:$A$9,0)),0)+IFERROR(INDEX(Settings!$F$5:$F$9,MATCH(B46,Settings!$A$5:$A$9,0)),0)))/(1-(IFERROR(INDEX(Settings!$B$5:$B$9,MATCH(B46,Settings!$A$5:$A$9,0)),0)+IFERROR(INDEX(Settings!$E$5:$E$9,MATCH(B46,Settings!$A$5:$A$9,0)),0)+IFERROR(INDEX(Settings!$G$5:$G$9,MATCH(B46,Settings!$A$5:$A$9,0)),0)+N(Products!H46))-D46)))</f>
        <v/>
      </c>
      <c r="G46" s="11">
        <f>IF(OR(A46="",N(E46)=0),"",E46*(1-(IFERROR(INDEX(Settings!$B$5:$B$9,MATCH(B46,Settings!$A$5:$A$9,0)),0)+IFERROR(INDEX(Settings!$E$5:$E$9,MATCH(B46,Settings!$A$5:$A$9,0)),0)+IFERROR(INDEX(Settings!$G$5:$G$9,MATCH(B46,Settings!$A$5:$A$9,0)),0)+N(Products!H46)))-(IFERROR(INDEX(Settings!$C$5:$C$9,MATCH(B46,Settings!$A$5:$A$9,0)),0)+IFERROR(INDEX(Settings!$D$5:$D$9,MATCH(B46,Settings!$A$5:$A$9,0)),0)+IFERROR(INDEX(Settings!$F$5:$F$9,MATCH(B46,Settings!$A$5:$A$9,0)),0))-C46)</f>
        <v/>
      </c>
      <c r="H46" s="12">
        <f>IF(OR(A46="",N(E46)=0),"",G46/E46)</f>
        <v/>
      </c>
      <c r="I46">
        <f>IF(OR(A46="",N(E46)=0),"",IF(G46&lt;0,"Loses money at this price",IF(E46&lt;F46,"Below target: raise to "&amp;TEXT(F46,"$0.00"),"On target")))</f>
        <v/>
      </c>
    </row>
    <row r="47">
      <c r="A47">
        <f>IF(Products!A47="","",Products!A47)</f>
        <v/>
      </c>
      <c r="B47" s="13" t="inlineStr">
        <is>
          <t>Etsy</t>
        </is>
      </c>
      <c r="C47" s="11">
        <f>IF(A47="","",Products!I47)</f>
        <v/>
      </c>
      <c r="D47" s="14" t="n">
        <v>0.3</v>
      </c>
      <c r="E47" s="15" t="n"/>
      <c r="F47" s="11">
        <f>IF(A47="","",IF(1-(IFERROR(INDEX(Settings!$B$5:$B$9,MATCH(B47,Settings!$A$5:$A$9,0)),0)+IFERROR(INDEX(Settings!$E$5:$E$9,MATCH(B47,Settings!$A$5:$A$9,0)),0)+IFERROR(INDEX(Settings!$G$5:$G$9,MATCH(B47,Settings!$A$5:$A$9,0)),0)+N(Products!H47))-D47&lt;=0,"margin too high",(C47+(IFERROR(INDEX(Settings!$C$5:$C$9,MATCH(B47,Settings!$A$5:$A$9,0)),0)+IFERROR(INDEX(Settings!$D$5:$D$9,MATCH(B47,Settings!$A$5:$A$9,0)),0)+IFERROR(INDEX(Settings!$F$5:$F$9,MATCH(B47,Settings!$A$5:$A$9,0)),0)))/(1-(IFERROR(INDEX(Settings!$B$5:$B$9,MATCH(B47,Settings!$A$5:$A$9,0)),0)+IFERROR(INDEX(Settings!$E$5:$E$9,MATCH(B47,Settings!$A$5:$A$9,0)),0)+IFERROR(INDEX(Settings!$G$5:$G$9,MATCH(B47,Settings!$A$5:$A$9,0)),0)+N(Products!H47))-D47)))</f>
        <v/>
      </c>
      <c r="G47" s="11">
        <f>IF(OR(A47="",N(E47)=0),"",E47*(1-(IFERROR(INDEX(Settings!$B$5:$B$9,MATCH(B47,Settings!$A$5:$A$9,0)),0)+IFERROR(INDEX(Settings!$E$5:$E$9,MATCH(B47,Settings!$A$5:$A$9,0)),0)+IFERROR(INDEX(Settings!$G$5:$G$9,MATCH(B47,Settings!$A$5:$A$9,0)),0)+N(Products!H47)))-(IFERROR(INDEX(Settings!$C$5:$C$9,MATCH(B47,Settings!$A$5:$A$9,0)),0)+IFERROR(INDEX(Settings!$D$5:$D$9,MATCH(B47,Settings!$A$5:$A$9,0)),0)+IFERROR(INDEX(Settings!$F$5:$F$9,MATCH(B47,Settings!$A$5:$A$9,0)),0))-C47)</f>
        <v/>
      </c>
      <c r="H47" s="12">
        <f>IF(OR(A47="",N(E47)=0),"",G47/E47)</f>
        <v/>
      </c>
      <c r="I47">
        <f>IF(OR(A47="",N(E47)=0),"",IF(G47&lt;0,"Loses money at this price",IF(E47&lt;F47,"Below target: raise to "&amp;TEXT(F47,"$0.00"),"On target")))</f>
        <v/>
      </c>
    </row>
    <row r="48">
      <c r="A48">
        <f>IF(Products!A48="","",Products!A48)</f>
        <v/>
      </c>
      <c r="B48" s="13" t="inlineStr">
        <is>
          <t>Etsy</t>
        </is>
      </c>
      <c r="C48" s="11">
        <f>IF(A48="","",Products!I48)</f>
        <v/>
      </c>
      <c r="D48" s="14" t="n">
        <v>0.3</v>
      </c>
      <c r="E48" s="15" t="n"/>
      <c r="F48" s="11">
        <f>IF(A48="","",IF(1-(IFERROR(INDEX(Settings!$B$5:$B$9,MATCH(B48,Settings!$A$5:$A$9,0)),0)+IFERROR(INDEX(Settings!$E$5:$E$9,MATCH(B48,Settings!$A$5:$A$9,0)),0)+IFERROR(INDEX(Settings!$G$5:$G$9,MATCH(B48,Settings!$A$5:$A$9,0)),0)+N(Products!H48))-D48&lt;=0,"margin too high",(C48+(IFERROR(INDEX(Settings!$C$5:$C$9,MATCH(B48,Settings!$A$5:$A$9,0)),0)+IFERROR(INDEX(Settings!$D$5:$D$9,MATCH(B48,Settings!$A$5:$A$9,0)),0)+IFERROR(INDEX(Settings!$F$5:$F$9,MATCH(B48,Settings!$A$5:$A$9,0)),0)))/(1-(IFERROR(INDEX(Settings!$B$5:$B$9,MATCH(B48,Settings!$A$5:$A$9,0)),0)+IFERROR(INDEX(Settings!$E$5:$E$9,MATCH(B48,Settings!$A$5:$A$9,0)),0)+IFERROR(INDEX(Settings!$G$5:$G$9,MATCH(B48,Settings!$A$5:$A$9,0)),0)+N(Products!H48))-D48)))</f>
        <v/>
      </c>
      <c r="G48" s="11">
        <f>IF(OR(A48="",N(E48)=0),"",E48*(1-(IFERROR(INDEX(Settings!$B$5:$B$9,MATCH(B48,Settings!$A$5:$A$9,0)),0)+IFERROR(INDEX(Settings!$E$5:$E$9,MATCH(B48,Settings!$A$5:$A$9,0)),0)+IFERROR(INDEX(Settings!$G$5:$G$9,MATCH(B48,Settings!$A$5:$A$9,0)),0)+N(Products!H48)))-(IFERROR(INDEX(Settings!$C$5:$C$9,MATCH(B48,Settings!$A$5:$A$9,0)),0)+IFERROR(INDEX(Settings!$D$5:$D$9,MATCH(B48,Settings!$A$5:$A$9,0)),0)+IFERROR(INDEX(Settings!$F$5:$F$9,MATCH(B48,Settings!$A$5:$A$9,0)),0))-C48)</f>
        <v/>
      </c>
      <c r="H48" s="12">
        <f>IF(OR(A48="",N(E48)=0),"",G48/E48)</f>
        <v/>
      </c>
      <c r="I48">
        <f>IF(OR(A48="",N(E48)=0),"",IF(G48&lt;0,"Loses money at this price",IF(E48&lt;F48,"Below target: raise to "&amp;TEXT(F48,"$0.00"),"On target")))</f>
        <v/>
      </c>
    </row>
    <row r="49">
      <c r="A49">
        <f>IF(Products!A49="","",Products!A49)</f>
        <v/>
      </c>
      <c r="B49" s="13" t="inlineStr">
        <is>
          <t>Etsy</t>
        </is>
      </c>
      <c r="C49" s="11">
        <f>IF(A49="","",Products!I49)</f>
        <v/>
      </c>
      <c r="D49" s="14" t="n">
        <v>0.3</v>
      </c>
      <c r="E49" s="15" t="n"/>
      <c r="F49" s="11">
        <f>IF(A49="","",IF(1-(IFERROR(INDEX(Settings!$B$5:$B$9,MATCH(B49,Settings!$A$5:$A$9,0)),0)+IFERROR(INDEX(Settings!$E$5:$E$9,MATCH(B49,Settings!$A$5:$A$9,0)),0)+IFERROR(INDEX(Settings!$G$5:$G$9,MATCH(B49,Settings!$A$5:$A$9,0)),0)+N(Products!H49))-D49&lt;=0,"margin too high",(C49+(IFERROR(INDEX(Settings!$C$5:$C$9,MATCH(B49,Settings!$A$5:$A$9,0)),0)+IFERROR(INDEX(Settings!$D$5:$D$9,MATCH(B49,Settings!$A$5:$A$9,0)),0)+IFERROR(INDEX(Settings!$F$5:$F$9,MATCH(B49,Settings!$A$5:$A$9,0)),0)))/(1-(IFERROR(INDEX(Settings!$B$5:$B$9,MATCH(B49,Settings!$A$5:$A$9,0)),0)+IFERROR(INDEX(Settings!$E$5:$E$9,MATCH(B49,Settings!$A$5:$A$9,0)),0)+IFERROR(INDEX(Settings!$G$5:$G$9,MATCH(B49,Settings!$A$5:$A$9,0)),0)+N(Products!H49))-D49)))</f>
        <v/>
      </c>
      <c r="G49" s="11">
        <f>IF(OR(A49="",N(E49)=0),"",E49*(1-(IFERROR(INDEX(Settings!$B$5:$B$9,MATCH(B49,Settings!$A$5:$A$9,0)),0)+IFERROR(INDEX(Settings!$E$5:$E$9,MATCH(B49,Settings!$A$5:$A$9,0)),0)+IFERROR(INDEX(Settings!$G$5:$G$9,MATCH(B49,Settings!$A$5:$A$9,0)),0)+N(Products!H49)))-(IFERROR(INDEX(Settings!$C$5:$C$9,MATCH(B49,Settings!$A$5:$A$9,0)),0)+IFERROR(INDEX(Settings!$D$5:$D$9,MATCH(B49,Settings!$A$5:$A$9,0)),0)+IFERROR(INDEX(Settings!$F$5:$F$9,MATCH(B49,Settings!$A$5:$A$9,0)),0))-C49)</f>
        <v/>
      </c>
      <c r="H49" s="12">
        <f>IF(OR(A49="",N(E49)=0),"",G49/E49)</f>
        <v/>
      </c>
      <c r="I49">
        <f>IF(OR(A49="",N(E49)=0),"",IF(G49&lt;0,"Loses money at this price",IF(E49&lt;F49,"Below target: raise to "&amp;TEXT(F49,"$0.00"),"On target")))</f>
        <v/>
      </c>
    </row>
    <row r="50">
      <c r="A50">
        <f>IF(Products!A50="","",Products!A50)</f>
        <v/>
      </c>
      <c r="B50" s="13" t="inlineStr">
        <is>
          <t>Etsy</t>
        </is>
      </c>
      <c r="C50" s="11">
        <f>IF(A50="","",Products!I50)</f>
        <v/>
      </c>
      <c r="D50" s="14" t="n">
        <v>0.3</v>
      </c>
      <c r="E50" s="15" t="n"/>
      <c r="F50" s="11">
        <f>IF(A50="","",IF(1-(IFERROR(INDEX(Settings!$B$5:$B$9,MATCH(B50,Settings!$A$5:$A$9,0)),0)+IFERROR(INDEX(Settings!$E$5:$E$9,MATCH(B50,Settings!$A$5:$A$9,0)),0)+IFERROR(INDEX(Settings!$G$5:$G$9,MATCH(B50,Settings!$A$5:$A$9,0)),0)+N(Products!H50))-D50&lt;=0,"margin too high",(C50+(IFERROR(INDEX(Settings!$C$5:$C$9,MATCH(B50,Settings!$A$5:$A$9,0)),0)+IFERROR(INDEX(Settings!$D$5:$D$9,MATCH(B50,Settings!$A$5:$A$9,0)),0)+IFERROR(INDEX(Settings!$F$5:$F$9,MATCH(B50,Settings!$A$5:$A$9,0)),0)))/(1-(IFERROR(INDEX(Settings!$B$5:$B$9,MATCH(B50,Settings!$A$5:$A$9,0)),0)+IFERROR(INDEX(Settings!$E$5:$E$9,MATCH(B50,Settings!$A$5:$A$9,0)),0)+IFERROR(INDEX(Settings!$G$5:$G$9,MATCH(B50,Settings!$A$5:$A$9,0)),0)+N(Products!H50))-D50)))</f>
        <v/>
      </c>
      <c r="G50" s="11">
        <f>IF(OR(A50="",N(E50)=0),"",E50*(1-(IFERROR(INDEX(Settings!$B$5:$B$9,MATCH(B50,Settings!$A$5:$A$9,0)),0)+IFERROR(INDEX(Settings!$E$5:$E$9,MATCH(B50,Settings!$A$5:$A$9,0)),0)+IFERROR(INDEX(Settings!$G$5:$G$9,MATCH(B50,Settings!$A$5:$A$9,0)),0)+N(Products!H50)))-(IFERROR(INDEX(Settings!$C$5:$C$9,MATCH(B50,Settings!$A$5:$A$9,0)),0)+IFERROR(INDEX(Settings!$D$5:$D$9,MATCH(B50,Settings!$A$5:$A$9,0)),0)+IFERROR(INDEX(Settings!$F$5:$F$9,MATCH(B50,Settings!$A$5:$A$9,0)),0))-C50)</f>
        <v/>
      </c>
      <c r="H50" s="12">
        <f>IF(OR(A50="",N(E50)=0),"",G50/E50)</f>
        <v/>
      </c>
      <c r="I50">
        <f>IF(OR(A50="",N(E50)=0),"",IF(G50&lt;0,"Loses money at this price",IF(E50&lt;F50,"Below target: raise to "&amp;TEXT(F50,"$0.00"),"On target")))</f>
        <v/>
      </c>
    </row>
    <row r="51">
      <c r="A51">
        <f>IF(Products!A51="","",Products!A51)</f>
        <v/>
      </c>
      <c r="B51" s="13" t="inlineStr">
        <is>
          <t>Etsy</t>
        </is>
      </c>
      <c r="C51" s="11">
        <f>IF(A51="","",Products!I51)</f>
        <v/>
      </c>
      <c r="D51" s="14" t="n">
        <v>0.3</v>
      </c>
      <c r="E51" s="15" t="n"/>
      <c r="F51" s="11">
        <f>IF(A51="","",IF(1-(IFERROR(INDEX(Settings!$B$5:$B$9,MATCH(B51,Settings!$A$5:$A$9,0)),0)+IFERROR(INDEX(Settings!$E$5:$E$9,MATCH(B51,Settings!$A$5:$A$9,0)),0)+IFERROR(INDEX(Settings!$G$5:$G$9,MATCH(B51,Settings!$A$5:$A$9,0)),0)+N(Products!H51))-D51&lt;=0,"margin too high",(C51+(IFERROR(INDEX(Settings!$C$5:$C$9,MATCH(B51,Settings!$A$5:$A$9,0)),0)+IFERROR(INDEX(Settings!$D$5:$D$9,MATCH(B51,Settings!$A$5:$A$9,0)),0)+IFERROR(INDEX(Settings!$F$5:$F$9,MATCH(B51,Settings!$A$5:$A$9,0)),0)))/(1-(IFERROR(INDEX(Settings!$B$5:$B$9,MATCH(B51,Settings!$A$5:$A$9,0)),0)+IFERROR(INDEX(Settings!$E$5:$E$9,MATCH(B51,Settings!$A$5:$A$9,0)),0)+IFERROR(INDEX(Settings!$G$5:$G$9,MATCH(B51,Settings!$A$5:$A$9,0)),0)+N(Products!H51))-D51)))</f>
        <v/>
      </c>
      <c r="G51" s="11">
        <f>IF(OR(A51="",N(E51)=0),"",E51*(1-(IFERROR(INDEX(Settings!$B$5:$B$9,MATCH(B51,Settings!$A$5:$A$9,0)),0)+IFERROR(INDEX(Settings!$E$5:$E$9,MATCH(B51,Settings!$A$5:$A$9,0)),0)+IFERROR(INDEX(Settings!$G$5:$G$9,MATCH(B51,Settings!$A$5:$A$9,0)),0)+N(Products!H51)))-(IFERROR(INDEX(Settings!$C$5:$C$9,MATCH(B51,Settings!$A$5:$A$9,0)),0)+IFERROR(INDEX(Settings!$D$5:$D$9,MATCH(B51,Settings!$A$5:$A$9,0)),0)+IFERROR(INDEX(Settings!$F$5:$F$9,MATCH(B51,Settings!$A$5:$A$9,0)),0))-C51)</f>
        <v/>
      </c>
      <c r="H51" s="12">
        <f>IF(OR(A51="",N(E51)=0),"",G51/E51)</f>
        <v/>
      </c>
      <c r="I51">
        <f>IF(OR(A51="",N(E51)=0),"",IF(G51&lt;0,"Loses money at this price",IF(E51&lt;F51,"Below target: raise to "&amp;TEXT(F51,"$0.00"),"On target")))</f>
        <v/>
      </c>
    </row>
    <row r="52">
      <c r="A52">
        <f>IF(Products!A52="","",Products!A52)</f>
        <v/>
      </c>
      <c r="B52" s="13" t="inlineStr">
        <is>
          <t>Etsy</t>
        </is>
      </c>
      <c r="C52" s="11">
        <f>IF(A52="","",Products!I52)</f>
        <v/>
      </c>
      <c r="D52" s="14" t="n">
        <v>0.3</v>
      </c>
      <c r="E52" s="15" t="n"/>
      <c r="F52" s="11">
        <f>IF(A52="","",IF(1-(IFERROR(INDEX(Settings!$B$5:$B$9,MATCH(B52,Settings!$A$5:$A$9,0)),0)+IFERROR(INDEX(Settings!$E$5:$E$9,MATCH(B52,Settings!$A$5:$A$9,0)),0)+IFERROR(INDEX(Settings!$G$5:$G$9,MATCH(B52,Settings!$A$5:$A$9,0)),0)+N(Products!H52))-D52&lt;=0,"margin too high",(C52+(IFERROR(INDEX(Settings!$C$5:$C$9,MATCH(B52,Settings!$A$5:$A$9,0)),0)+IFERROR(INDEX(Settings!$D$5:$D$9,MATCH(B52,Settings!$A$5:$A$9,0)),0)+IFERROR(INDEX(Settings!$F$5:$F$9,MATCH(B52,Settings!$A$5:$A$9,0)),0)))/(1-(IFERROR(INDEX(Settings!$B$5:$B$9,MATCH(B52,Settings!$A$5:$A$9,0)),0)+IFERROR(INDEX(Settings!$E$5:$E$9,MATCH(B52,Settings!$A$5:$A$9,0)),0)+IFERROR(INDEX(Settings!$G$5:$G$9,MATCH(B52,Settings!$A$5:$A$9,0)),0)+N(Products!H52))-D52)))</f>
        <v/>
      </c>
      <c r="G52" s="11">
        <f>IF(OR(A52="",N(E52)=0),"",E52*(1-(IFERROR(INDEX(Settings!$B$5:$B$9,MATCH(B52,Settings!$A$5:$A$9,0)),0)+IFERROR(INDEX(Settings!$E$5:$E$9,MATCH(B52,Settings!$A$5:$A$9,0)),0)+IFERROR(INDEX(Settings!$G$5:$G$9,MATCH(B52,Settings!$A$5:$A$9,0)),0)+N(Products!H52)))-(IFERROR(INDEX(Settings!$C$5:$C$9,MATCH(B52,Settings!$A$5:$A$9,0)),0)+IFERROR(INDEX(Settings!$D$5:$D$9,MATCH(B52,Settings!$A$5:$A$9,0)),0)+IFERROR(INDEX(Settings!$F$5:$F$9,MATCH(B52,Settings!$A$5:$A$9,0)),0))-C52)</f>
        <v/>
      </c>
      <c r="H52" s="12">
        <f>IF(OR(A52="",N(E52)=0),"",G52/E52)</f>
        <v/>
      </c>
      <c r="I52">
        <f>IF(OR(A52="",N(E52)=0),"",IF(G52&lt;0,"Loses money at this price",IF(E52&lt;F52,"Below target: raise to "&amp;TEXT(F52,"$0.00"),"On target")))</f>
        <v/>
      </c>
    </row>
    <row r="53">
      <c r="A53">
        <f>IF(Products!A53="","",Products!A53)</f>
        <v/>
      </c>
      <c r="B53" s="13" t="inlineStr">
        <is>
          <t>Etsy</t>
        </is>
      </c>
      <c r="C53" s="11">
        <f>IF(A53="","",Products!I53)</f>
        <v/>
      </c>
      <c r="D53" s="14" t="n">
        <v>0.3</v>
      </c>
      <c r="E53" s="15" t="n"/>
      <c r="F53" s="11">
        <f>IF(A53="","",IF(1-(IFERROR(INDEX(Settings!$B$5:$B$9,MATCH(B53,Settings!$A$5:$A$9,0)),0)+IFERROR(INDEX(Settings!$E$5:$E$9,MATCH(B53,Settings!$A$5:$A$9,0)),0)+IFERROR(INDEX(Settings!$G$5:$G$9,MATCH(B53,Settings!$A$5:$A$9,0)),0)+N(Products!H53))-D53&lt;=0,"margin too high",(C53+(IFERROR(INDEX(Settings!$C$5:$C$9,MATCH(B53,Settings!$A$5:$A$9,0)),0)+IFERROR(INDEX(Settings!$D$5:$D$9,MATCH(B53,Settings!$A$5:$A$9,0)),0)+IFERROR(INDEX(Settings!$F$5:$F$9,MATCH(B53,Settings!$A$5:$A$9,0)),0)))/(1-(IFERROR(INDEX(Settings!$B$5:$B$9,MATCH(B53,Settings!$A$5:$A$9,0)),0)+IFERROR(INDEX(Settings!$E$5:$E$9,MATCH(B53,Settings!$A$5:$A$9,0)),0)+IFERROR(INDEX(Settings!$G$5:$G$9,MATCH(B53,Settings!$A$5:$A$9,0)),0)+N(Products!H53))-D53)))</f>
        <v/>
      </c>
      <c r="G53" s="11">
        <f>IF(OR(A53="",N(E53)=0),"",E53*(1-(IFERROR(INDEX(Settings!$B$5:$B$9,MATCH(B53,Settings!$A$5:$A$9,0)),0)+IFERROR(INDEX(Settings!$E$5:$E$9,MATCH(B53,Settings!$A$5:$A$9,0)),0)+IFERROR(INDEX(Settings!$G$5:$G$9,MATCH(B53,Settings!$A$5:$A$9,0)),0)+N(Products!H53)))-(IFERROR(INDEX(Settings!$C$5:$C$9,MATCH(B53,Settings!$A$5:$A$9,0)),0)+IFERROR(INDEX(Settings!$D$5:$D$9,MATCH(B53,Settings!$A$5:$A$9,0)),0)+IFERROR(INDEX(Settings!$F$5:$F$9,MATCH(B53,Settings!$A$5:$A$9,0)),0))-C53)</f>
        <v/>
      </c>
      <c r="H53" s="12">
        <f>IF(OR(A53="",N(E53)=0),"",G53/E53)</f>
        <v/>
      </c>
      <c r="I53">
        <f>IF(OR(A53="",N(E53)=0),"",IF(G53&lt;0,"Loses money at this price",IF(E53&lt;F53,"Below target: raise to "&amp;TEXT(F53,"$0.00"),"On target")))</f>
        <v/>
      </c>
    </row>
    <row r="54">
      <c r="A54">
        <f>IF(Products!A54="","",Products!A54)</f>
        <v/>
      </c>
      <c r="B54" s="13" t="inlineStr">
        <is>
          <t>Etsy</t>
        </is>
      </c>
      <c r="C54" s="11">
        <f>IF(A54="","",Products!I54)</f>
        <v/>
      </c>
      <c r="D54" s="14" t="n">
        <v>0.3</v>
      </c>
      <c r="E54" s="15" t="n"/>
      <c r="F54" s="11">
        <f>IF(A54="","",IF(1-(IFERROR(INDEX(Settings!$B$5:$B$9,MATCH(B54,Settings!$A$5:$A$9,0)),0)+IFERROR(INDEX(Settings!$E$5:$E$9,MATCH(B54,Settings!$A$5:$A$9,0)),0)+IFERROR(INDEX(Settings!$G$5:$G$9,MATCH(B54,Settings!$A$5:$A$9,0)),0)+N(Products!H54))-D54&lt;=0,"margin too high",(C54+(IFERROR(INDEX(Settings!$C$5:$C$9,MATCH(B54,Settings!$A$5:$A$9,0)),0)+IFERROR(INDEX(Settings!$D$5:$D$9,MATCH(B54,Settings!$A$5:$A$9,0)),0)+IFERROR(INDEX(Settings!$F$5:$F$9,MATCH(B54,Settings!$A$5:$A$9,0)),0)))/(1-(IFERROR(INDEX(Settings!$B$5:$B$9,MATCH(B54,Settings!$A$5:$A$9,0)),0)+IFERROR(INDEX(Settings!$E$5:$E$9,MATCH(B54,Settings!$A$5:$A$9,0)),0)+IFERROR(INDEX(Settings!$G$5:$G$9,MATCH(B54,Settings!$A$5:$A$9,0)),0)+N(Products!H54))-D54)))</f>
        <v/>
      </c>
      <c r="G54" s="11">
        <f>IF(OR(A54="",N(E54)=0),"",E54*(1-(IFERROR(INDEX(Settings!$B$5:$B$9,MATCH(B54,Settings!$A$5:$A$9,0)),0)+IFERROR(INDEX(Settings!$E$5:$E$9,MATCH(B54,Settings!$A$5:$A$9,0)),0)+IFERROR(INDEX(Settings!$G$5:$G$9,MATCH(B54,Settings!$A$5:$A$9,0)),0)+N(Products!H54)))-(IFERROR(INDEX(Settings!$C$5:$C$9,MATCH(B54,Settings!$A$5:$A$9,0)),0)+IFERROR(INDEX(Settings!$D$5:$D$9,MATCH(B54,Settings!$A$5:$A$9,0)),0)+IFERROR(INDEX(Settings!$F$5:$F$9,MATCH(B54,Settings!$A$5:$A$9,0)),0))-C54)</f>
        <v/>
      </c>
      <c r="H54" s="12">
        <f>IF(OR(A54="",N(E54)=0),"",G54/E54)</f>
        <v/>
      </c>
      <c r="I54">
        <f>IF(OR(A54="",N(E54)=0),"",IF(G54&lt;0,"Loses money at this price",IF(E54&lt;F54,"Below target: raise to "&amp;TEXT(F54,"$0.00"),"On target")))</f>
        <v/>
      </c>
    </row>
    <row r="55">
      <c r="A55">
        <f>IF(Products!A55="","",Products!A55)</f>
        <v/>
      </c>
      <c r="B55" s="13" t="inlineStr">
        <is>
          <t>Etsy</t>
        </is>
      </c>
      <c r="C55" s="11">
        <f>IF(A55="","",Products!I55)</f>
        <v/>
      </c>
      <c r="D55" s="14" t="n">
        <v>0.3</v>
      </c>
      <c r="E55" s="15" t="n"/>
      <c r="F55" s="11">
        <f>IF(A55="","",IF(1-(IFERROR(INDEX(Settings!$B$5:$B$9,MATCH(B55,Settings!$A$5:$A$9,0)),0)+IFERROR(INDEX(Settings!$E$5:$E$9,MATCH(B55,Settings!$A$5:$A$9,0)),0)+IFERROR(INDEX(Settings!$G$5:$G$9,MATCH(B55,Settings!$A$5:$A$9,0)),0)+N(Products!H55))-D55&lt;=0,"margin too high",(C55+(IFERROR(INDEX(Settings!$C$5:$C$9,MATCH(B55,Settings!$A$5:$A$9,0)),0)+IFERROR(INDEX(Settings!$D$5:$D$9,MATCH(B55,Settings!$A$5:$A$9,0)),0)+IFERROR(INDEX(Settings!$F$5:$F$9,MATCH(B55,Settings!$A$5:$A$9,0)),0)))/(1-(IFERROR(INDEX(Settings!$B$5:$B$9,MATCH(B55,Settings!$A$5:$A$9,0)),0)+IFERROR(INDEX(Settings!$E$5:$E$9,MATCH(B55,Settings!$A$5:$A$9,0)),0)+IFERROR(INDEX(Settings!$G$5:$G$9,MATCH(B55,Settings!$A$5:$A$9,0)),0)+N(Products!H55))-D55)))</f>
        <v/>
      </c>
      <c r="G55" s="11">
        <f>IF(OR(A55="",N(E55)=0),"",E55*(1-(IFERROR(INDEX(Settings!$B$5:$B$9,MATCH(B55,Settings!$A$5:$A$9,0)),0)+IFERROR(INDEX(Settings!$E$5:$E$9,MATCH(B55,Settings!$A$5:$A$9,0)),0)+IFERROR(INDEX(Settings!$G$5:$G$9,MATCH(B55,Settings!$A$5:$A$9,0)),0)+N(Products!H55)))-(IFERROR(INDEX(Settings!$C$5:$C$9,MATCH(B55,Settings!$A$5:$A$9,0)),0)+IFERROR(INDEX(Settings!$D$5:$D$9,MATCH(B55,Settings!$A$5:$A$9,0)),0)+IFERROR(INDEX(Settings!$F$5:$F$9,MATCH(B55,Settings!$A$5:$A$9,0)),0))-C55)</f>
        <v/>
      </c>
      <c r="H55" s="12">
        <f>IF(OR(A55="",N(E55)=0),"",G55/E55)</f>
        <v/>
      </c>
      <c r="I55">
        <f>IF(OR(A55="",N(E55)=0),"",IF(G55&lt;0,"Loses money at this price",IF(E55&lt;F55,"Below target: raise to "&amp;TEXT(F55,"$0.00"),"On target")))</f>
        <v/>
      </c>
    </row>
    <row r="56">
      <c r="A56">
        <f>IF(Products!A56="","",Products!A56)</f>
        <v/>
      </c>
      <c r="B56" s="13" t="inlineStr">
        <is>
          <t>Etsy</t>
        </is>
      </c>
      <c r="C56" s="11">
        <f>IF(A56="","",Products!I56)</f>
        <v/>
      </c>
      <c r="D56" s="14" t="n">
        <v>0.3</v>
      </c>
      <c r="E56" s="15" t="n"/>
      <c r="F56" s="11">
        <f>IF(A56="","",IF(1-(IFERROR(INDEX(Settings!$B$5:$B$9,MATCH(B56,Settings!$A$5:$A$9,0)),0)+IFERROR(INDEX(Settings!$E$5:$E$9,MATCH(B56,Settings!$A$5:$A$9,0)),0)+IFERROR(INDEX(Settings!$G$5:$G$9,MATCH(B56,Settings!$A$5:$A$9,0)),0)+N(Products!H56))-D56&lt;=0,"margin too high",(C56+(IFERROR(INDEX(Settings!$C$5:$C$9,MATCH(B56,Settings!$A$5:$A$9,0)),0)+IFERROR(INDEX(Settings!$D$5:$D$9,MATCH(B56,Settings!$A$5:$A$9,0)),0)+IFERROR(INDEX(Settings!$F$5:$F$9,MATCH(B56,Settings!$A$5:$A$9,0)),0)))/(1-(IFERROR(INDEX(Settings!$B$5:$B$9,MATCH(B56,Settings!$A$5:$A$9,0)),0)+IFERROR(INDEX(Settings!$E$5:$E$9,MATCH(B56,Settings!$A$5:$A$9,0)),0)+IFERROR(INDEX(Settings!$G$5:$G$9,MATCH(B56,Settings!$A$5:$A$9,0)),0)+N(Products!H56))-D56)))</f>
        <v/>
      </c>
      <c r="G56" s="11">
        <f>IF(OR(A56="",N(E56)=0),"",E56*(1-(IFERROR(INDEX(Settings!$B$5:$B$9,MATCH(B56,Settings!$A$5:$A$9,0)),0)+IFERROR(INDEX(Settings!$E$5:$E$9,MATCH(B56,Settings!$A$5:$A$9,0)),0)+IFERROR(INDEX(Settings!$G$5:$G$9,MATCH(B56,Settings!$A$5:$A$9,0)),0)+N(Products!H56)))-(IFERROR(INDEX(Settings!$C$5:$C$9,MATCH(B56,Settings!$A$5:$A$9,0)),0)+IFERROR(INDEX(Settings!$D$5:$D$9,MATCH(B56,Settings!$A$5:$A$9,0)),0)+IFERROR(INDEX(Settings!$F$5:$F$9,MATCH(B56,Settings!$A$5:$A$9,0)),0))-C56)</f>
        <v/>
      </c>
      <c r="H56" s="12">
        <f>IF(OR(A56="",N(E56)=0),"",G56/E56)</f>
        <v/>
      </c>
      <c r="I56">
        <f>IF(OR(A56="",N(E56)=0),"",IF(G56&lt;0,"Loses money at this price",IF(E56&lt;F56,"Below target: raise to "&amp;TEXT(F56,"$0.00"),"On target")))</f>
        <v/>
      </c>
    </row>
    <row r="57">
      <c r="A57">
        <f>IF(Products!A57="","",Products!A57)</f>
        <v/>
      </c>
      <c r="B57" s="13" t="inlineStr">
        <is>
          <t>Etsy</t>
        </is>
      </c>
      <c r="C57" s="11">
        <f>IF(A57="","",Products!I57)</f>
        <v/>
      </c>
      <c r="D57" s="14" t="n">
        <v>0.3</v>
      </c>
      <c r="E57" s="15" t="n"/>
      <c r="F57" s="11">
        <f>IF(A57="","",IF(1-(IFERROR(INDEX(Settings!$B$5:$B$9,MATCH(B57,Settings!$A$5:$A$9,0)),0)+IFERROR(INDEX(Settings!$E$5:$E$9,MATCH(B57,Settings!$A$5:$A$9,0)),0)+IFERROR(INDEX(Settings!$G$5:$G$9,MATCH(B57,Settings!$A$5:$A$9,0)),0)+N(Products!H57))-D57&lt;=0,"margin too high",(C57+(IFERROR(INDEX(Settings!$C$5:$C$9,MATCH(B57,Settings!$A$5:$A$9,0)),0)+IFERROR(INDEX(Settings!$D$5:$D$9,MATCH(B57,Settings!$A$5:$A$9,0)),0)+IFERROR(INDEX(Settings!$F$5:$F$9,MATCH(B57,Settings!$A$5:$A$9,0)),0)))/(1-(IFERROR(INDEX(Settings!$B$5:$B$9,MATCH(B57,Settings!$A$5:$A$9,0)),0)+IFERROR(INDEX(Settings!$E$5:$E$9,MATCH(B57,Settings!$A$5:$A$9,0)),0)+IFERROR(INDEX(Settings!$G$5:$G$9,MATCH(B57,Settings!$A$5:$A$9,0)),0)+N(Products!H57))-D57)))</f>
        <v/>
      </c>
      <c r="G57" s="11">
        <f>IF(OR(A57="",N(E57)=0),"",E57*(1-(IFERROR(INDEX(Settings!$B$5:$B$9,MATCH(B57,Settings!$A$5:$A$9,0)),0)+IFERROR(INDEX(Settings!$E$5:$E$9,MATCH(B57,Settings!$A$5:$A$9,0)),0)+IFERROR(INDEX(Settings!$G$5:$G$9,MATCH(B57,Settings!$A$5:$A$9,0)),0)+N(Products!H57)))-(IFERROR(INDEX(Settings!$C$5:$C$9,MATCH(B57,Settings!$A$5:$A$9,0)),0)+IFERROR(INDEX(Settings!$D$5:$D$9,MATCH(B57,Settings!$A$5:$A$9,0)),0)+IFERROR(INDEX(Settings!$F$5:$F$9,MATCH(B57,Settings!$A$5:$A$9,0)),0))-C57)</f>
        <v/>
      </c>
      <c r="H57" s="12">
        <f>IF(OR(A57="",N(E57)=0),"",G57/E57)</f>
        <v/>
      </c>
      <c r="I57">
        <f>IF(OR(A57="",N(E57)=0),"",IF(G57&lt;0,"Loses money at this price",IF(E57&lt;F57,"Below target: raise to "&amp;TEXT(F57,"$0.00"),"On target")))</f>
        <v/>
      </c>
    </row>
    <row r="58">
      <c r="A58">
        <f>IF(Products!A58="","",Products!A58)</f>
        <v/>
      </c>
      <c r="B58" s="13" t="inlineStr">
        <is>
          <t>Etsy</t>
        </is>
      </c>
      <c r="C58" s="11">
        <f>IF(A58="","",Products!I58)</f>
        <v/>
      </c>
      <c r="D58" s="14" t="n">
        <v>0.3</v>
      </c>
      <c r="E58" s="15" t="n"/>
      <c r="F58" s="11">
        <f>IF(A58="","",IF(1-(IFERROR(INDEX(Settings!$B$5:$B$9,MATCH(B58,Settings!$A$5:$A$9,0)),0)+IFERROR(INDEX(Settings!$E$5:$E$9,MATCH(B58,Settings!$A$5:$A$9,0)),0)+IFERROR(INDEX(Settings!$G$5:$G$9,MATCH(B58,Settings!$A$5:$A$9,0)),0)+N(Products!H58))-D58&lt;=0,"margin too high",(C58+(IFERROR(INDEX(Settings!$C$5:$C$9,MATCH(B58,Settings!$A$5:$A$9,0)),0)+IFERROR(INDEX(Settings!$D$5:$D$9,MATCH(B58,Settings!$A$5:$A$9,0)),0)+IFERROR(INDEX(Settings!$F$5:$F$9,MATCH(B58,Settings!$A$5:$A$9,0)),0)))/(1-(IFERROR(INDEX(Settings!$B$5:$B$9,MATCH(B58,Settings!$A$5:$A$9,0)),0)+IFERROR(INDEX(Settings!$E$5:$E$9,MATCH(B58,Settings!$A$5:$A$9,0)),0)+IFERROR(INDEX(Settings!$G$5:$G$9,MATCH(B58,Settings!$A$5:$A$9,0)),0)+N(Products!H58))-D58)))</f>
        <v/>
      </c>
      <c r="G58" s="11">
        <f>IF(OR(A58="",N(E58)=0),"",E58*(1-(IFERROR(INDEX(Settings!$B$5:$B$9,MATCH(B58,Settings!$A$5:$A$9,0)),0)+IFERROR(INDEX(Settings!$E$5:$E$9,MATCH(B58,Settings!$A$5:$A$9,0)),0)+IFERROR(INDEX(Settings!$G$5:$G$9,MATCH(B58,Settings!$A$5:$A$9,0)),0)+N(Products!H58)))-(IFERROR(INDEX(Settings!$C$5:$C$9,MATCH(B58,Settings!$A$5:$A$9,0)),0)+IFERROR(INDEX(Settings!$D$5:$D$9,MATCH(B58,Settings!$A$5:$A$9,0)),0)+IFERROR(INDEX(Settings!$F$5:$F$9,MATCH(B58,Settings!$A$5:$A$9,0)),0))-C58)</f>
        <v/>
      </c>
      <c r="H58" s="12">
        <f>IF(OR(A58="",N(E58)=0),"",G58/E58)</f>
        <v/>
      </c>
      <c r="I58">
        <f>IF(OR(A58="",N(E58)=0),"",IF(G58&lt;0,"Loses money at this price",IF(E58&lt;F58,"Below target: raise to "&amp;TEXT(F58,"$0.00"),"On target")))</f>
        <v/>
      </c>
    </row>
    <row r="59">
      <c r="A59">
        <f>IF(Products!A59="","",Products!A59)</f>
        <v/>
      </c>
      <c r="B59" s="13" t="inlineStr">
        <is>
          <t>Etsy</t>
        </is>
      </c>
      <c r="C59" s="11">
        <f>IF(A59="","",Products!I59)</f>
        <v/>
      </c>
      <c r="D59" s="14" t="n">
        <v>0.3</v>
      </c>
      <c r="E59" s="15" t="n"/>
      <c r="F59" s="11">
        <f>IF(A59="","",IF(1-(IFERROR(INDEX(Settings!$B$5:$B$9,MATCH(B59,Settings!$A$5:$A$9,0)),0)+IFERROR(INDEX(Settings!$E$5:$E$9,MATCH(B59,Settings!$A$5:$A$9,0)),0)+IFERROR(INDEX(Settings!$G$5:$G$9,MATCH(B59,Settings!$A$5:$A$9,0)),0)+N(Products!H59))-D59&lt;=0,"margin too high",(C59+(IFERROR(INDEX(Settings!$C$5:$C$9,MATCH(B59,Settings!$A$5:$A$9,0)),0)+IFERROR(INDEX(Settings!$D$5:$D$9,MATCH(B59,Settings!$A$5:$A$9,0)),0)+IFERROR(INDEX(Settings!$F$5:$F$9,MATCH(B59,Settings!$A$5:$A$9,0)),0)))/(1-(IFERROR(INDEX(Settings!$B$5:$B$9,MATCH(B59,Settings!$A$5:$A$9,0)),0)+IFERROR(INDEX(Settings!$E$5:$E$9,MATCH(B59,Settings!$A$5:$A$9,0)),0)+IFERROR(INDEX(Settings!$G$5:$G$9,MATCH(B59,Settings!$A$5:$A$9,0)),0)+N(Products!H59))-D59)))</f>
        <v/>
      </c>
      <c r="G59" s="11">
        <f>IF(OR(A59="",N(E59)=0),"",E59*(1-(IFERROR(INDEX(Settings!$B$5:$B$9,MATCH(B59,Settings!$A$5:$A$9,0)),0)+IFERROR(INDEX(Settings!$E$5:$E$9,MATCH(B59,Settings!$A$5:$A$9,0)),0)+IFERROR(INDEX(Settings!$G$5:$G$9,MATCH(B59,Settings!$A$5:$A$9,0)),0)+N(Products!H59)))-(IFERROR(INDEX(Settings!$C$5:$C$9,MATCH(B59,Settings!$A$5:$A$9,0)),0)+IFERROR(INDEX(Settings!$D$5:$D$9,MATCH(B59,Settings!$A$5:$A$9,0)),0)+IFERROR(INDEX(Settings!$F$5:$F$9,MATCH(B59,Settings!$A$5:$A$9,0)),0))-C59)</f>
        <v/>
      </c>
      <c r="H59" s="12">
        <f>IF(OR(A59="",N(E59)=0),"",G59/E59)</f>
        <v/>
      </c>
      <c r="I59">
        <f>IF(OR(A59="",N(E59)=0),"",IF(G59&lt;0,"Loses money at this price",IF(E59&lt;F59,"Below target: raise to "&amp;TEXT(F59,"$0.00"),"On target")))</f>
        <v/>
      </c>
    </row>
    <row r="60">
      <c r="A60">
        <f>IF(Products!A60="","",Products!A60)</f>
        <v/>
      </c>
      <c r="B60" s="13" t="inlineStr">
        <is>
          <t>Etsy</t>
        </is>
      </c>
      <c r="C60" s="11">
        <f>IF(A60="","",Products!I60)</f>
        <v/>
      </c>
      <c r="D60" s="14" t="n">
        <v>0.3</v>
      </c>
      <c r="E60" s="15" t="n"/>
      <c r="F60" s="11">
        <f>IF(A60="","",IF(1-(IFERROR(INDEX(Settings!$B$5:$B$9,MATCH(B60,Settings!$A$5:$A$9,0)),0)+IFERROR(INDEX(Settings!$E$5:$E$9,MATCH(B60,Settings!$A$5:$A$9,0)),0)+IFERROR(INDEX(Settings!$G$5:$G$9,MATCH(B60,Settings!$A$5:$A$9,0)),0)+N(Products!H60))-D60&lt;=0,"margin too high",(C60+(IFERROR(INDEX(Settings!$C$5:$C$9,MATCH(B60,Settings!$A$5:$A$9,0)),0)+IFERROR(INDEX(Settings!$D$5:$D$9,MATCH(B60,Settings!$A$5:$A$9,0)),0)+IFERROR(INDEX(Settings!$F$5:$F$9,MATCH(B60,Settings!$A$5:$A$9,0)),0)))/(1-(IFERROR(INDEX(Settings!$B$5:$B$9,MATCH(B60,Settings!$A$5:$A$9,0)),0)+IFERROR(INDEX(Settings!$E$5:$E$9,MATCH(B60,Settings!$A$5:$A$9,0)),0)+IFERROR(INDEX(Settings!$G$5:$G$9,MATCH(B60,Settings!$A$5:$A$9,0)),0)+N(Products!H60))-D60)))</f>
        <v/>
      </c>
      <c r="G60" s="11">
        <f>IF(OR(A60="",N(E60)=0),"",E60*(1-(IFERROR(INDEX(Settings!$B$5:$B$9,MATCH(B60,Settings!$A$5:$A$9,0)),0)+IFERROR(INDEX(Settings!$E$5:$E$9,MATCH(B60,Settings!$A$5:$A$9,0)),0)+IFERROR(INDEX(Settings!$G$5:$G$9,MATCH(B60,Settings!$A$5:$A$9,0)),0)+N(Products!H60)))-(IFERROR(INDEX(Settings!$C$5:$C$9,MATCH(B60,Settings!$A$5:$A$9,0)),0)+IFERROR(INDEX(Settings!$D$5:$D$9,MATCH(B60,Settings!$A$5:$A$9,0)),0)+IFERROR(INDEX(Settings!$F$5:$F$9,MATCH(B60,Settings!$A$5:$A$9,0)),0))-C60)</f>
        <v/>
      </c>
      <c r="H60" s="12">
        <f>IF(OR(A60="",N(E60)=0),"",G60/E60)</f>
        <v/>
      </c>
      <c r="I60">
        <f>IF(OR(A60="",N(E60)=0),"",IF(G60&lt;0,"Loses money at this price",IF(E60&lt;F60,"Below target: raise to "&amp;TEXT(F60,"$0.00"),"On target")))</f>
        <v/>
      </c>
    </row>
    <row r="61">
      <c r="A61">
        <f>IF(Products!A61="","",Products!A61)</f>
        <v/>
      </c>
      <c r="B61" s="13" t="inlineStr">
        <is>
          <t>Etsy</t>
        </is>
      </c>
      <c r="C61" s="11">
        <f>IF(A61="","",Products!I61)</f>
        <v/>
      </c>
      <c r="D61" s="14" t="n">
        <v>0.3</v>
      </c>
      <c r="E61" s="15" t="n"/>
      <c r="F61" s="11">
        <f>IF(A61="","",IF(1-(IFERROR(INDEX(Settings!$B$5:$B$9,MATCH(B61,Settings!$A$5:$A$9,0)),0)+IFERROR(INDEX(Settings!$E$5:$E$9,MATCH(B61,Settings!$A$5:$A$9,0)),0)+IFERROR(INDEX(Settings!$G$5:$G$9,MATCH(B61,Settings!$A$5:$A$9,0)),0)+N(Products!H61))-D61&lt;=0,"margin too high",(C61+(IFERROR(INDEX(Settings!$C$5:$C$9,MATCH(B61,Settings!$A$5:$A$9,0)),0)+IFERROR(INDEX(Settings!$D$5:$D$9,MATCH(B61,Settings!$A$5:$A$9,0)),0)+IFERROR(INDEX(Settings!$F$5:$F$9,MATCH(B61,Settings!$A$5:$A$9,0)),0)))/(1-(IFERROR(INDEX(Settings!$B$5:$B$9,MATCH(B61,Settings!$A$5:$A$9,0)),0)+IFERROR(INDEX(Settings!$E$5:$E$9,MATCH(B61,Settings!$A$5:$A$9,0)),0)+IFERROR(INDEX(Settings!$G$5:$G$9,MATCH(B61,Settings!$A$5:$A$9,0)),0)+N(Products!H61))-D61)))</f>
        <v/>
      </c>
      <c r="G61" s="11">
        <f>IF(OR(A61="",N(E61)=0),"",E61*(1-(IFERROR(INDEX(Settings!$B$5:$B$9,MATCH(B61,Settings!$A$5:$A$9,0)),0)+IFERROR(INDEX(Settings!$E$5:$E$9,MATCH(B61,Settings!$A$5:$A$9,0)),0)+IFERROR(INDEX(Settings!$G$5:$G$9,MATCH(B61,Settings!$A$5:$A$9,0)),0)+N(Products!H61)))-(IFERROR(INDEX(Settings!$C$5:$C$9,MATCH(B61,Settings!$A$5:$A$9,0)),0)+IFERROR(INDEX(Settings!$D$5:$D$9,MATCH(B61,Settings!$A$5:$A$9,0)),0)+IFERROR(INDEX(Settings!$F$5:$F$9,MATCH(B61,Settings!$A$5:$A$9,0)),0))-C61)</f>
        <v/>
      </c>
      <c r="H61" s="12">
        <f>IF(OR(A61="",N(E61)=0),"",G61/E61)</f>
        <v/>
      </c>
      <c r="I61">
        <f>IF(OR(A61="",N(E61)=0),"",IF(G61&lt;0,"Loses money at this price",IF(E61&lt;F61,"Below target: raise to "&amp;TEXT(F61,"$0.00"),"On target")))</f>
        <v/>
      </c>
    </row>
    <row r="62">
      <c r="A62">
        <f>IF(Products!A62="","",Products!A62)</f>
        <v/>
      </c>
      <c r="B62" s="13" t="inlineStr">
        <is>
          <t>Etsy</t>
        </is>
      </c>
      <c r="C62" s="11">
        <f>IF(A62="","",Products!I62)</f>
        <v/>
      </c>
      <c r="D62" s="14" t="n">
        <v>0.3</v>
      </c>
      <c r="E62" s="15" t="n"/>
      <c r="F62" s="11">
        <f>IF(A62="","",IF(1-(IFERROR(INDEX(Settings!$B$5:$B$9,MATCH(B62,Settings!$A$5:$A$9,0)),0)+IFERROR(INDEX(Settings!$E$5:$E$9,MATCH(B62,Settings!$A$5:$A$9,0)),0)+IFERROR(INDEX(Settings!$G$5:$G$9,MATCH(B62,Settings!$A$5:$A$9,0)),0)+N(Products!H62))-D62&lt;=0,"margin too high",(C62+(IFERROR(INDEX(Settings!$C$5:$C$9,MATCH(B62,Settings!$A$5:$A$9,0)),0)+IFERROR(INDEX(Settings!$D$5:$D$9,MATCH(B62,Settings!$A$5:$A$9,0)),0)+IFERROR(INDEX(Settings!$F$5:$F$9,MATCH(B62,Settings!$A$5:$A$9,0)),0)))/(1-(IFERROR(INDEX(Settings!$B$5:$B$9,MATCH(B62,Settings!$A$5:$A$9,0)),0)+IFERROR(INDEX(Settings!$E$5:$E$9,MATCH(B62,Settings!$A$5:$A$9,0)),0)+IFERROR(INDEX(Settings!$G$5:$G$9,MATCH(B62,Settings!$A$5:$A$9,0)),0)+N(Products!H62))-D62)))</f>
        <v/>
      </c>
      <c r="G62" s="11">
        <f>IF(OR(A62="",N(E62)=0),"",E62*(1-(IFERROR(INDEX(Settings!$B$5:$B$9,MATCH(B62,Settings!$A$5:$A$9,0)),0)+IFERROR(INDEX(Settings!$E$5:$E$9,MATCH(B62,Settings!$A$5:$A$9,0)),0)+IFERROR(INDEX(Settings!$G$5:$G$9,MATCH(B62,Settings!$A$5:$A$9,0)),0)+N(Products!H62)))-(IFERROR(INDEX(Settings!$C$5:$C$9,MATCH(B62,Settings!$A$5:$A$9,0)),0)+IFERROR(INDEX(Settings!$D$5:$D$9,MATCH(B62,Settings!$A$5:$A$9,0)),0)+IFERROR(INDEX(Settings!$F$5:$F$9,MATCH(B62,Settings!$A$5:$A$9,0)),0))-C62)</f>
        <v/>
      </c>
      <c r="H62" s="12">
        <f>IF(OR(A62="",N(E62)=0),"",G62/E62)</f>
        <v/>
      </c>
      <c r="I62">
        <f>IF(OR(A62="",N(E62)=0),"",IF(G62&lt;0,"Loses money at this price",IF(E62&lt;F62,"Below target: raise to "&amp;TEXT(F62,"$0.00"),"On target")))</f>
        <v/>
      </c>
    </row>
    <row r="63">
      <c r="A63">
        <f>IF(Products!A63="","",Products!A63)</f>
        <v/>
      </c>
      <c r="B63" s="13" t="inlineStr">
        <is>
          <t>Etsy</t>
        </is>
      </c>
      <c r="C63" s="11">
        <f>IF(A63="","",Products!I63)</f>
        <v/>
      </c>
      <c r="D63" s="14" t="n">
        <v>0.3</v>
      </c>
      <c r="E63" s="15" t="n"/>
      <c r="F63" s="11">
        <f>IF(A63="","",IF(1-(IFERROR(INDEX(Settings!$B$5:$B$9,MATCH(B63,Settings!$A$5:$A$9,0)),0)+IFERROR(INDEX(Settings!$E$5:$E$9,MATCH(B63,Settings!$A$5:$A$9,0)),0)+IFERROR(INDEX(Settings!$G$5:$G$9,MATCH(B63,Settings!$A$5:$A$9,0)),0)+N(Products!H63))-D63&lt;=0,"margin too high",(C63+(IFERROR(INDEX(Settings!$C$5:$C$9,MATCH(B63,Settings!$A$5:$A$9,0)),0)+IFERROR(INDEX(Settings!$D$5:$D$9,MATCH(B63,Settings!$A$5:$A$9,0)),0)+IFERROR(INDEX(Settings!$F$5:$F$9,MATCH(B63,Settings!$A$5:$A$9,0)),0)))/(1-(IFERROR(INDEX(Settings!$B$5:$B$9,MATCH(B63,Settings!$A$5:$A$9,0)),0)+IFERROR(INDEX(Settings!$E$5:$E$9,MATCH(B63,Settings!$A$5:$A$9,0)),0)+IFERROR(INDEX(Settings!$G$5:$G$9,MATCH(B63,Settings!$A$5:$A$9,0)),0)+N(Products!H63))-D63)))</f>
        <v/>
      </c>
      <c r="G63" s="11">
        <f>IF(OR(A63="",N(E63)=0),"",E63*(1-(IFERROR(INDEX(Settings!$B$5:$B$9,MATCH(B63,Settings!$A$5:$A$9,0)),0)+IFERROR(INDEX(Settings!$E$5:$E$9,MATCH(B63,Settings!$A$5:$A$9,0)),0)+IFERROR(INDEX(Settings!$G$5:$G$9,MATCH(B63,Settings!$A$5:$A$9,0)),0)+N(Products!H63)))-(IFERROR(INDEX(Settings!$C$5:$C$9,MATCH(B63,Settings!$A$5:$A$9,0)),0)+IFERROR(INDEX(Settings!$D$5:$D$9,MATCH(B63,Settings!$A$5:$A$9,0)),0)+IFERROR(INDEX(Settings!$F$5:$F$9,MATCH(B63,Settings!$A$5:$A$9,0)),0))-C63)</f>
        <v/>
      </c>
      <c r="H63" s="12">
        <f>IF(OR(A63="",N(E63)=0),"",G63/E63)</f>
        <v/>
      </c>
      <c r="I63">
        <f>IF(OR(A63="",N(E63)=0),"",IF(G63&lt;0,"Loses money at this price",IF(E63&lt;F63,"Below target: raise to "&amp;TEXT(F63,"$0.00"),"On target")))</f>
        <v/>
      </c>
    </row>
    <row r="64">
      <c r="A64">
        <f>IF(Products!A64="","",Products!A64)</f>
        <v/>
      </c>
      <c r="B64" s="13" t="inlineStr">
        <is>
          <t>Etsy</t>
        </is>
      </c>
      <c r="C64" s="11">
        <f>IF(A64="","",Products!I64)</f>
        <v/>
      </c>
      <c r="D64" s="14" t="n">
        <v>0.3</v>
      </c>
      <c r="E64" s="15" t="n"/>
      <c r="F64" s="11">
        <f>IF(A64="","",IF(1-(IFERROR(INDEX(Settings!$B$5:$B$9,MATCH(B64,Settings!$A$5:$A$9,0)),0)+IFERROR(INDEX(Settings!$E$5:$E$9,MATCH(B64,Settings!$A$5:$A$9,0)),0)+IFERROR(INDEX(Settings!$G$5:$G$9,MATCH(B64,Settings!$A$5:$A$9,0)),0)+N(Products!H64))-D64&lt;=0,"margin too high",(C64+(IFERROR(INDEX(Settings!$C$5:$C$9,MATCH(B64,Settings!$A$5:$A$9,0)),0)+IFERROR(INDEX(Settings!$D$5:$D$9,MATCH(B64,Settings!$A$5:$A$9,0)),0)+IFERROR(INDEX(Settings!$F$5:$F$9,MATCH(B64,Settings!$A$5:$A$9,0)),0)))/(1-(IFERROR(INDEX(Settings!$B$5:$B$9,MATCH(B64,Settings!$A$5:$A$9,0)),0)+IFERROR(INDEX(Settings!$E$5:$E$9,MATCH(B64,Settings!$A$5:$A$9,0)),0)+IFERROR(INDEX(Settings!$G$5:$G$9,MATCH(B64,Settings!$A$5:$A$9,0)),0)+N(Products!H64))-D64)))</f>
        <v/>
      </c>
      <c r="G64" s="11">
        <f>IF(OR(A64="",N(E64)=0),"",E64*(1-(IFERROR(INDEX(Settings!$B$5:$B$9,MATCH(B64,Settings!$A$5:$A$9,0)),0)+IFERROR(INDEX(Settings!$E$5:$E$9,MATCH(B64,Settings!$A$5:$A$9,0)),0)+IFERROR(INDEX(Settings!$G$5:$G$9,MATCH(B64,Settings!$A$5:$A$9,0)),0)+N(Products!H64)))-(IFERROR(INDEX(Settings!$C$5:$C$9,MATCH(B64,Settings!$A$5:$A$9,0)),0)+IFERROR(INDEX(Settings!$D$5:$D$9,MATCH(B64,Settings!$A$5:$A$9,0)),0)+IFERROR(INDEX(Settings!$F$5:$F$9,MATCH(B64,Settings!$A$5:$A$9,0)),0))-C64)</f>
        <v/>
      </c>
      <c r="H64" s="12">
        <f>IF(OR(A64="",N(E64)=0),"",G64/E64)</f>
        <v/>
      </c>
      <c r="I64">
        <f>IF(OR(A64="",N(E64)=0),"",IF(G64&lt;0,"Loses money at this price",IF(E64&lt;F64,"Below target: raise to "&amp;TEXT(F64,"$0.00"),"On target")))</f>
        <v/>
      </c>
    </row>
    <row r="65">
      <c r="A65">
        <f>IF(Products!A65="","",Products!A65)</f>
        <v/>
      </c>
      <c r="B65" s="13" t="inlineStr">
        <is>
          <t>Etsy</t>
        </is>
      </c>
      <c r="C65" s="11">
        <f>IF(A65="","",Products!I65)</f>
        <v/>
      </c>
      <c r="D65" s="14" t="n">
        <v>0.3</v>
      </c>
      <c r="E65" s="15" t="n"/>
      <c r="F65" s="11">
        <f>IF(A65="","",IF(1-(IFERROR(INDEX(Settings!$B$5:$B$9,MATCH(B65,Settings!$A$5:$A$9,0)),0)+IFERROR(INDEX(Settings!$E$5:$E$9,MATCH(B65,Settings!$A$5:$A$9,0)),0)+IFERROR(INDEX(Settings!$G$5:$G$9,MATCH(B65,Settings!$A$5:$A$9,0)),0)+N(Products!H65))-D65&lt;=0,"margin too high",(C65+(IFERROR(INDEX(Settings!$C$5:$C$9,MATCH(B65,Settings!$A$5:$A$9,0)),0)+IFERROR(INDEX(Settings!$D$5:$D$9,MATCH(B65,Settings!$A$5:$A$9,0)),0)+IFERROR(INDEX(Settings!$F$5:$F$9,MATCH(B65,Settings!$A$5:$A$9,0)),0)))/(1-(IFERROR(INDEX(Settings!$B$5:$B$9,MATCH(B65,Settings!$A$5:$A$9,0)),0)+IFERROR(INDEX(Settings!$E$5:$E$9,MATCH(B65,Settings!$A$5:$A$9,0)),0)+IFERROR(INDEX(Settings!$G$5:$G$9,MATCH(B65,Settings!$A$5:$A$9,0)),0)+N(Products!H65))-D65)))</f>
        <v/>
      </c>
      <c r="G65" s="11">
        <f>IF(OR(A65="",N(E65)=0),"",E65*(1-(IFERROR(INDEX(Settings!$B$5:$B$9,MATCH(B65,Settings!$A$5:$A$9,0)),0)+IFERROR(INDEX(Settings!$E$5:$E$9,MATCH(B65,Settings!$A$5:$A$9,0)),0)+IFERROR(INDEX(Settings!$G$5:$G$9,MATCH(B65,Settings!$A$5:$A$9,0)),0)+N(Products!H65)))-(IFERROR(INDEX(Settings!$C$5:$C$9,MATCH(B65,Settings!$A$5:$A$9,0)),0)+IFERROR(INDEX(Settings!$D$5:$D$9,MATCH(B65,Settings!$A$5:$A$9,0)),0)+IFERROR(INDEX(Settings!$F$5:$F$9,MATCH(B65,Settings!$A$5:$A$9,0)),0))-C65)</f>
        <v/>
      </c>
      <c r="H65" s="12">
        <f>IF(OR(A65="",N(E65)=0),"",G65/E65)</f>
        <v/>
      </c>
      <c r="I65">
        <f>IF(OR(A65="",N(E65)=0),"",IF(G65&lt;0,"Loses money at this price",IF(E65&lt;F65,"Below target: raise to "&amp;TEXT(F65,"$0.00"),"On target")))</f>
        <v/>
      </c>
    </row>
    <row r="66">
      <c r="A66">
        <f>IF(Products!A66="","",Products!A66)</f>
        <v/>
      </c>
      <c r="B66" s="13" t="inlineStr">
        <is>
          <t>Etsy</t>
        </is>
      </c>
      <c r="C66" s="11">
        <f>IF(A66="","",Products!I66)</f>
        <v/>
      </c>
      <c r="D66" s="14" t="n">
        <v>0.3</v>
      </c>
      <c r="E66" s="15" t="n"/>
      <c r="F66" s="11">
        <f>IF(A66="","",IF(1-(IFERROR(INDEX(Settings!$B$5:$B$9,MATCH(B66,Settings!$A$5:$A$9,0)),0)+IFERROR(INDEX(Settings!$E$5:$E$9,MATCH(B66,Settings!$A$5:$A$9,0)),0)+IFERROR(INDEX(Settings!$G$5:$G$9,MATCH(B66,Settings!$A$5:$A$9,0)),0)+N(Products!H66))-D66&lt;=0,"margin too high",(C66+(IFERROR(INDEX(Settings!$C$5:$C$9,MATCH(B66,Settings!$A$5:$A$9,0)),0)+IFERROR(INDEX(Settings!$D$5:$D$9,MATCH(B66,Settings!$A$5:$A$9,0)),0)+IFERROR(INDEX(Settings!$F$5:$F$9,MATCH(B66,Settings!$A$5:$A$9,0)),0)))/(1-(IFERROR(INDEX(Settings!$B$5:$B$9,MATCH(B66,Settings!$A$5:$A$9,0)),0)+IFERROR(INDEX(Settings!$E$5:$E$9,MATCH(B66,Settings!$A$5:$A$9,0)),0)+IFERROR(INDEX(Settings!$G$5:$G$9,MATCH(B66,Settings!$A$5:$A$9,0)),0)+N(Products!H66))-D66)))</f>
        <v/>
      </c>
      <c r="G66" s="11">
        <f>IF(OR(A66="",N(E66)=0),"",E66*(1-(IFERROR(INDEX(Settings!$B$5:$B$9,MATCH(B66,Settings!$A$5:$A$9,0)),0)+IFERROR(INDEX(Settings!$E$5:$E$9,MATCH(B66,Settings!$A$5:$A$9,0)),0)+IFERROR(INDEX(Settings!$G$5:$G$9,MATCH(B66,Settings!$A$5:$A$9,0)),0)+N(Products!H66)))-(IFERROR(INDEX(Settings!$C$5:$C$9,MATCH(B66,Settings!$A$5:$A$9,0)),0)+IFERROR(INDEX(Settings!$D$5:$D$9,MATCH(B66,Settings!$A$5:$A$9,0)),0)+IFERROR(INDEX(Settings!$F$5:$F$9,MATCH(B66,Settings!$A$5:$A$9,0)),0))-C66)</f>
        <v/>
      </c>
      <c r="H66" s="12">
        <f>IF(OR(A66="",N(E66)=0),"",G66/E66)</f>
        <v/>
      </c>
      <c r="I66">
        <f>IF(OR(A66="",N(E66)=0),"",IF(G66&lt;0,"Loses money at this price",IF(E66&lt;F66,"Below target: raise to "&amp;TEXT(F66,"$0.00"),"On target")))</f>
        <v/>
      </c>
    </row>
    <row r="67">
      <c r="A67">
        <f>IF(Products!A67="","",Products!A67)</f>
        <v/>
      </c>
      <c r="B67" s="13" t="inlineStr">
        <is>
          <t>Etsy</t>
        </is>
      </c>
      <c r="C67" s="11">
        <f>IF(A67="","",Products!I67)</f>
        <v/>
      </c>
      <c r="D67" s="14" t="n">
        <v>0.3</v>
      </c>
      <c r="E67" s="15" t="n"/>
      <c r="F67" s="11">
        <f>IF(A67="","",IF(1-(IFERROR(INDEX(Settings!$B$5:$B$9,MATCH(B67,Settings!$A$5:$A$9,0)),0)+IFERROR(INDEX(Settings!$E$5:$E$9,MATCH(B67,Settings!$A$5:$A$9,0)),0)+IFERROR(INDEX(Settings!$G$5:$G$9,MATCH(B67,Settings!$A$5:$A$9,0)),0)+N(Products!H67))-D67&lt;=0,"margin too high",(C67+(IFERROR(INDEX(Settings!$C$5:$C$9,MATCH(B67,Settings!$A$5:$A$9,0)),0)+IFERROR(INDEX(Settings!$D$5:$D$9,MATCH(B67,Settings!$A$5:$A$9,0)),0)+IFERROR(INDEX(Settings!$F$5:$F$9,MATCH(B67,Settings!$A$5:$A$9,0)),0)))/(1-(IFERROR(INDEX(Settings!$B$5:$B$9,MATCH(B67,Settings!$A$5:$A$9,0)),0)+IFERROR(INDEX(Settings!$E$5:$E$9,MATCH(B67,Settings!$A$5:$A$9,0)),0)+IFERROR(INDEX(Settings!$G$5:$G$9,MATCH(B67,Settings!$A$5:$A$9,0)),0)+N(Products!H67))-D67)))</f>
        <v/>
      </c>
      <c r="G67" s="11">
        <f>IF(OR(A67="",N(E67)=0),"",E67*(1-(IFERROR(INDEX(Settings!$B$5:$B$9,MATCH(B67,Settings!$A$5:$A$9,0)),0)+IFERROR(INDEX(Settings!$E$5:$E$9,MATCH(B67,Settings!$A$5:$A$9,0)),0)+IFERROR(INDEX(Settings!$G$5:$G$9,MATCH(B67,Settings!$A$5:$A$9,0)),0)+N(Products!H67)))-(IFERROR(INDEX(Settings!$C$5:$C$9,MATCH(B67,Settings!$A$5:$A$9,0)),0)+IFERROR(INDEX(Settings!$D$5:$D$9,MATCH(B67,Settings!$A$5:$A$9,0)),0)+IFERROR(INDEX(Settings!$F$5:$F$9,MATCH(B67,Settings!$A$5:$A$9,0)),0))-C67)</f>
        <v/>
      </c>
      <c r="H67" s="12">
        <f>IF(OR(A67="",N(E67)=0),"",G67/E67)</f>
        <v/>
      </c>
      <c r="I67">
        <f>IF(OR(A67="",N(E67)=0),"",IF(G67&lt;0,"Loses money at this price",IF(E67&lt;F67,"Below target: raise to "&amp;TEXT(F67,"$0.00"),"On target")))</f>
        <v/>
      </c>
    </row>
    <row r="68">
      <c r="A68">
        <f>IF(Products!A68="","",Products!A68)</f>
        <v/>
      </c>
      <c r="B68" s="13" t="inlineStr">
        <is>
          <t>Etsy</t>
        </is>
      </c>
      <c r="C68" s="11">
        <f>IF(A68="","",Products!I68)</f>
        <v/>
      </c>
      <c r="D68" s="14" t="n">
        <v>0.3</v>
      </c>
      <c r="E68" s="15" t="n"/>
      <c r="F68" s="11">
        <f>IF(A68="","",IF(1-(IFERROR(INDEX(Settings!$B$5:$B$9,MATCH(B68,Settings!$A$5:$A$9,0)),0)+IFERROR(INDEX(Settings!$E$5:$E$9,MATCH(B68,Settings!$A$5:$A$9,0)),0)+IFERROR(INDEX(Settings!$G$5:$G$9,MATCH(B68,Settings!$A$5:$A$9,0)),0)+N(Products!H68))-D68&lt;=0,"margin too high",(C68+(IFERROR(INDEX(Settings!$C$5:$C$9,MATCH(B68,Settings!$A$5:$A$9,0)),0)+IFERROR(INDEX(Settings!$D$5:$D$9,MATCH(B68,Settings!$A$5:$A$9,0)),0)+IFERROR(INDEX(Settings!$F$5:$F$9,MATCH(B68,Settings!$A$5:$A$9,0)),0)))/(1-(IFERROR(INDEX(Settings!$B$5:$B$9,MATCH(B68,Settings!$A$5:$A$9,0)),0)+IFERROR(INDEX(Settings!$E$5:$E$9,MATCH(B68,Settings!$A$5:$A$9,0)),0)+IFERROR(INDEX(Settings!$G$5:$G$9,MATCH(B68,Settings!$A$5:$A$9,0)),0)+N(Products!H68))-D68)))</f>
        <v/>
      </c>
      <c r="G68" s="11">
        <f>IF(OR(A68="",N(E68)=0),"",E68*(1-(IFERROR(INDEX(Settings!$B$5:$B$9,MATCH(B68,Settings!$A$5:$A$9,0)),0)+IFERROR(INDEX(Settings!$E$5:$E$9,MATCH(B68,Settings!$A$5:$A$9,0)),0)+IFERROR(INDEX(Settings!$G$5:$G$9,MATCH(B68,Settings!$A$5:$A$9,0)),0)+N(Products!H68)))-(IFERROR(INDEX(Settings!$C$5:$C$9,MATCH(B68,Settings!$A$5:$A$9,0)),0)+IFERROR(INDEX(Settings!$D$5:$D$9,MATCH(B68,Settings!$A$5:$A$9,0)),0)+IFERROR(INDEX(Settings!$F$5:$F$9,MATCH(B68,Settings!$A$5:$A$9,0)),0))-C68)</f>
        <v/>
      </c>
      <c r="H68" s="12">
        <f>IF(OR(A68="",N(E68)=0),"",G68/E68)</f>
        <v/>
      </c>
      <c r="I68">
        <f>IF(OR(A68="",N(E68)=0),"",IF(G68&lt;0,"Loses money at this price",IF(E68&lt;F68,"Below target: raise to "&amp;TEXT(F68,"$0.00"),"On target")))</f>
        <v/>
      </c>
    </row>
    <row r="69">
      <c r="A69">
        <f>IF(Products!A69="","",Products!A69)</f>
        <v/>
      </c>
      <c r="B69" s="13" t="inlineStr">
        <is>
          <t>Etsy</t>
        </is>
      </c>
      <c r="C69" s="11">
        <f>IF(A69="","",Products!I69)</f>
        <v/>
      </c>
      <c r="D69" s="14" t="n">
        <v>0.3</v>
      </c>
      <c r="E69" s="15" t="n"/>
      <c r="F69" s="11">
        <f>IF(A69="","",IF(1-(IFERROR(INDEX(Settings!$B$5:$B$9,MATCH(B69,Settings!$A$5:$A$9,0)),0)+IFERROR(INDEX(Settings!$E$5:$E$9,MATCH(B69,Settings!$A$5:$A$9,0)),0)+IFERROR(INDEX(Settings!$G$5:$G$9,MATCH(B69,Settings!$A$5:$A$9,0)),0)+N(Products!H69))-D69&lt;=0,"margin too high",(C69+(IFERROR(INDEX(Settings!$C$5:$C$9,MATCH(B69,Settings!$A$5:$A$9,0)),0)+IFERROR(INDEX(Settings!$D$5:$D$9,MATCH(B69,Settings!$A$5:$A$9,0)),0)+IFERROR(INDEX(Settings!$F$5:$F$9,MATCH(B69,Settings!$A$5:$A$9,0)),0)))/(1-(IFERROR(INDEX(Settings!$B$5:$B$9,MATCH(B69,Settings!$A$5:$A$9,0)),0)+IFERROR(INDEX(Settings!$E$5:$E$9,MATCH(B69,Settings!$A$5:$A$9,0)),0)+IFERROR(INDEX(Settings!$G$5:$G$9,MATCH(B69,Settings!$A$5:$A$9,0)),0)+N(Products!H69))-D69)))</f>
        <v/>
      </c>
      <c r="G69" s="11">
        <f>IF(OR(A69="",N(E69)=0),"",E69*(1-(IFERROR(INDEX(Settings!$B$5:$B$9,MATCH(B69,Settings!$A$5:$A$9,0)),0)+IFERROR(INDEX(Settings!$E$5:$E$9,MATCH(B69,Settings!$A$5:$A$9,0)),0)+IFERROR(INDEX(Settings!$G$5:$G$9,MATCH(B69,Settings!$A$5:$A$9,0)),0)+N(Products!H69)))-(IFERROR(INDEX(Settings!$C$5:$C$9,MATCH(B69,Settings!$A$5:$A$9,0)),0)+IFERROR(INDEX(Settings!$D$5:$D$9,MATCH(B69,Settings!$A$5:$A$9,0)),0)+IFERROR(INDEX(Settings!$F$5:$F$9,MATCH(B69,Settings!$A$5:$A$9,0)),0))-C69)</f>
        <v/>
      </c>
      <c r="H69" s="12">
        <f>IF(OR(A69="",N(E69)=0),"",G69/E69)</f>
        <v/>
      </c>
      <c r="I69">
        <f>IF(OR(A69="",N(E69)=0),"",IF(G69&lt;0,"Loses money at this price",IF(E69&lt;F69,"Below target: raise to "&amp;TEXT(F69,"$0.00"),"On target")))</f>
        <v/>
      </c>
    </row>
    <row r="70">
      <c r="A70">
        <f>IF(Products!A70="","",Products!A70)</f>
        <v/>
      </c>
      <c r="B70" s="13" t="inlineStr">
        <is>
          <t>Etsy</t>
        </is>
      </c>
      <c r="C70" s="11">
        <f>IF(A70="","",Products!I70)</f>
        <v/>
      </c>
      <c r="D70" s="14" t="n">
        <v>0.3</v>
      </c>
      <c r="E70" s="15" t="n"/>
      <c r="F70" s="11">
        <f>IF(A70="","",IF(1-(IFERROR(INDEX(Settings!$B$5:$B$9,MATCH(B70,Settings!$A$5:$A$9,0)),0)+IFERROR(INDEX(Settings!$E$5:$E$9,MATCH(B70,Settings!$A$5:$A$9,0)),0)+IFERROR(INDEX(Settings!$G$5:$G$9,MATCH(B70,Settings!$A$5:$A$9,0)),0)+N(Products!H70))-D70&lt;=0,"margin too high",(C70+(IFERROR(INDEX(Settings!$C$5:$C$9,MATCH(B70,Settings!$A$5:$A$9,0)),0)+IFERROR(INDEX(Settings!$D$5:$D$9,MATCH(B70,Settings!$A$5:$A$9,0)),0)+IFERROR(INDEX(Settings!$F$5:$F$9,MATCH(B70,Settings!$A$5:$A$9,0)),0)))/(1-(IFERROR(INDEX(Settings!$B$5:$B$9,MATCH(B70,Settings!$A$5:$A$9,0)),0)+IFERROR(INDEX(Settings!$E$5:$E$9,MATCH(B70,Settings!$A$5:$A$9,0)),0)+IFERROR(INDEX(Settings!$G$5:$G$9,MATCH(B70,Settings!$A$5:$A$9,0)),0)+N(Products!H70))-D70)))</f>
        <v/>
      </c>
      <c r="G70" s="11">
        <f>IF(OR(A70="",N(E70)=0),"",E70*(1-(IFERROR(INDEX(Settings!$B$5:$B$9,MATCH(B70,Settings!$A$5:$A$9,0)),0)+IFERROR(INDEX(Settings!$E$5:$E$9,MATCH(B70,Settings!$A$5:$A$9,0)),0)+IFERROR(INDEX(Settings!$G$5:$G$9,MATCH(B70,Settings!$A$5:$A$9,0)),0)+N(Products!H70)))-(IFERROR(INDEX(Settings!$C$5:$C$9,MATCH(B70,Settings!$A$5:$A$9,0)),0)+IFERROR(INDEX(Settings!$D$5:$D$9,MATCH(B70,Settings!$A$5:$A$9,0)),0)+IFERROR(INDEX(Settings!$F$5:$F$9,MATCH(B70,Settings!$A$5:$A$9,0)),0))-C70)</f>
        <v/>
      </c>
      <c r="H70" s="12">
        <f>IF(OR(A70="",N(E70)=0),"",G70/E70)</f>
        <v/>
      </c>
      <c r="I70">
        <f>IF(OR(A70="",N(E70)=0),"",IF(G70&lt;0,"Loses money at this price",IF(E70&lt;F70,"Below target: raise to "&amp;TEXT(F70,"$0.00"),"On target")))</f>
        <v/>
      </c>
    </row>
    <row r="71">
      <c r="A71">
        <f>IF(Products!A71="","",Products!A71)</f>
        <v/>
      </c>
      <c r="B71" s="13" t="inlineStr">
        <is>
          <t>Etsy</t>
        </is>
      </c>
      <c r="C71" s="11">
        <f>IF(A71="","",Products!I71)</f>
        <v/>
      </c>
      <c r="D71" s="14" t="n">
        <v>0.3</v>
      </c>
      <c r="E71" s="15" t="n"/>
      <c r="F71" s="11">
        <f>IF(A71="","",IF(1-(IFERROR(INDEX(Settings!$B$5:$B$9,MATCH(B71,Settings!$A$5:$A$9,0)),0)+IFERROR(INDEX(Settings!$E$5:$E$9,MATCH(B71,Settings!$A$5:$A$9,0)),0)+IFERROR(INDEX(Settings!$G$5:$G$9,MATCH(B71,Settings!$A$5:$A$9,0)),0)+N(Products!H71))-D71&lt;=0,"margin too high",(C71+(IFERROR(INDEX(Settings!$C$5:$C$9,MATCH(B71,Settings!$A$5:$A$9,0)),0)+IFERROR(INDEX(Settings!$D$5:$D$9,MATCH(B71,Settings!$A$5:$A$9,0)),0)+IFERROR(INDEX(Settings!$F$5:$F$9,MATCH(B71,Settings!$A$5:$A$9,0)),0)))/(1-(IFERROR(INDEX(Settings!$B$5:$B$9,MATCH(B71,Settings!$A$5:$A$9,0)),0)+IFERROR(INDEX(Settings!$E$5:$E$9,MATCH(B71,Settings!$A$5:$A$9,0)),0)+IFERROR(INDEX(Settings!$G$5:$G$9,MATCH(B71,Settings!$A$5:$A$9,0)),0)+N(Products!H71))-D71)))</f>
        <v/>
      </c>
      <c r="G71" s="11">
        <f>IF(OR(A71="",N(E71)=0),"",E71*(1-(IFERROR(INDEX(Settings!$B$5:$B$9,MATCH(B71,Settings!$A$5:$A$9,0)),0)+IFERROR(INDEX(Settings!$E$5:$E$9,MATCH(B71,Settings!$A$5:$A$9,0)),0)+IFERROR(INDEX(Settings!$G$5:$G$9,MATCH(B71,Settings!$A$5:$A$9,0)),0)+N(Products!H71)))-(IFERROR(INDEX(Settings!$C$5:$C$9,MATCH(B71,Settings!$A$5:$A$9,0)),0)+IFERROR(INDEX(Settings!$D$5:$D$9,MATCH(B71,Settings!$A$5:$A$9,0)),0)+IFERROR(INDEX(Settings!$F$5:$F$9,MATCH(B71,Settings!$A$5:$A$9,0)),0))-C71)</f>
        <v/>
      </c>
      <c r="H71" s="12">
        <f>IF(OR(A71="",N(E71)=0),"",G71/E71)</f>
        <v/>
      </c>
      <c r="I71">
        <f>IF(OR(A71="",N(E71)=0),"",IF(G71&lt;0,"Loses money at this price",IF(E71&lt;F71,"Below target: raise to "&amp;TEXT(F71,"$0.00"),"On target")))</f>
        <v/>
      </c>
    </row>
    <row r="72">
      <c r="A72">
        <f>IF(Products!A72="","",Products!A72)</f>
        <v/>
      </c>
      <c r="B72" s="13" t="inlineStr">
        <is>
          <t>Etsy</t>
        </is>
      </c>
      <c r="C72" s="11">
        <f>IF(A72="","",Products!I72)</f>
        <v/>
      </c>
      <c r="D72" s="14" t="n">
        <v>0.3</v>
      </c>
      <c r="E72" s="15" t="n"/>
      <c r="F72" s="11">
        <f>IF(A72="","",IF(1-(IFERROR(INDEX(Settings!$B$5:$B$9,MATCH(B72,Settings!$A$5:$A$9,0)),0)+IFERROR(INDEX(Settings!$E$5:$E$9,MATCH(B72,Settings!$A$5:$A$9,0)),0)+IFERROR(INDEX(Settings!$G$5:$G$9,MATCH(B72,Settings!$A$5:$A$9,0)),0)+N(Products!H72))-D72&lt;=0,"margin too high",(C72+(IFERROR(INDEX(Settings!$C$5:$C$9,MATCH(B72,Settings!$A$5:$A$9,0)),0)+IFERROR(INDEX(Settings!$D$5:$D$9,MATCH(B72,Settings!$A$5:$A$9,0)),0)+IFERROR(INDEX(Settings!$F$5:$F$9,MATCH(B72,Settings!$A$5:$A$9,0)),0)))/(1-(IFERROR(INDEX(Settings!$B$5:$B$9,MATCH(B72,Settings!$A$5:$A$9,0)),0)+IFERROR(INDEX(Settings!$E$5:$E$9,MATCH(B72,Settings!$A$5:$A$9,0)),0)+IFERROR(INDEX(Settings!$G$5:$G$9,MATCH(B72,Settings!$A$5:$A$9,0)),0)+N(Products!H72))-D72)))</f>
        <v/>
      </c>
      <c r="G72" s="11">
        <f>IF(OR(A72="",N(E72)=0),"",E72*(1-(IFERROR(INDEX(Settings!$B$5:$B$9,MATCH(B72,Settings!$A$5:$A$9,0)),0)+IFERROR(INDEX(Settings!$E$5:$E$9,MATCH(B72,Settings!$A$5:$A$9,0)),0)+IFERROR(INDEX(Settings!$G$5:$G$9,MATCH(B72,Settings!$A$5:$A$9,0)),0)+N(Products!H72)))-(IFERROR(INDEX(Settings!$C$5:$C$9,MATCH(B72,Settings!$A$5:$A$9,0)),0)+IFERROR(INDEX(Settings!$D$5:$D$9,MATCH(B72,Settings!$A$5:$A$9,0)),0)+IFERROR(INDEX(Settings!$F$5:$F$9,MATCH(B72,Settings!$A$5:$A$9,0)),0))-C72)</f>
        <v/>
      </c>
      <c r="H72" s="12">
        <f>IF(OR(A72="",N(E72)=0),"",G72/E72)</f>
        <v/>
      </c>
      <c r="I72">
        <f>IF(OR(A72="",N(E72)=0),"",IF(G72&lt;0,"Loses money at this price",IF(E72&lt;F72,"Below target: raise to "&amp;TEXT(F72,"$0.00"),"On target")))</f>
        <v/>
      </c>
    </row>
    <row r="73">
      <c r="A73">
        <f>IF(Products!A73="","",Products!A73)</f>
        <v/>
      </c>
      <c r="B73" s="13" t="inlineStr">
        <is>
          <t>Etsy</t>
        </is>
      </c>
      <c r="C73" s="11">
        <f>IF(A73="","",Products!I73)</f>
        <v/>
      </c>
      <c r="D73" s="14" t="n">
        <v>0.3</v>
      </c>
      <c r="E73" s="15" t="n"/>
      <c r="F73" s="11">
        <f>IF(A73="","",IF(1-(IFERROR(INDEX(Settings!$B$5:$B$9,MATCH(B73,Settings!$A$5:$A$9,0)),0)+IFERROR(INDEX(Settings!$E$5:$E$9,MATCH(B73,Settings!$A$5:$A$9,0)),0)+IFERROR(INDEX(Settings!$G$5:$G$9,MATCH(B73,Settings!$A$5:$A$9,0)),0)+N(Products!H73))-D73&lt;=0,"margin too high",(C73+(IFERROR(INDEX(Settings!$C$5:$C$9,MATCH(B73,Settings!$A$5:$A$9,0)),0)+IFERROR(INDEX(Settings!$D$5:$D$9,MATCH(B73,Settings!$A$5:$A$9,0)),0)+IFERROR(INDEX(Settings!$F$5:$F$9,MATCH(B73,Settings!$A$5:$A$9,0)),0)))/(1-(IFERROR(INDEX(Settings!$B$5:$B$9,MATCH(B73,Settings!$A$5:$A$9,0)),0)+IFERROR(INDEX(Settings!$E$5:$E$9,MATCH(B73,Settings!$A$5:$A$9,0)),0)+IFERROR(INDEX(Settings!$G$5:$G$9,MATCH(B73,Settings!$A$5:$A$9,0)),0)+N(Products!H73))-D73)))</f>
        <v/>
      </c>
      <c r="G73" s="11">
        <f>IF(OR(A73="",N(E73)=0),"",E73*(1-(IFERROR(INDEX(Settings!$B$5:$B$9,MATCH(B73,Settings!$A$5:$A$9,0)),0)+IFERROR(INDEX(Settings!$E$5:$E$9,MATCH(B73,Settings!$A$5:$A$9,0)),0)+IFERROR(INDEX(Settings!$G$5:$G$9,MATCH(B73,Settings!$A$5:$A$9,0)),0)+N(Products!H73)))-(IFERROR(INDEX(Settings!$C$5:$C$9,MATCH(B73,Settings!$A$5:$A$9,0)),0)+IFERROR(INDEX(Settings!$D$5:$D$9,MATCH(B73,Settings!$A$5:$A$9,0)),0)+IFERROR(INDEX(Settings!$F$5:$F$9,MATCH(B73,Settings!$A$5:$A$9,0)),0))-C73)</f>
        <v/>
      </c>
      <c r="H73" s="12">
        <f>IF(OR(A73="",N(E73)=0),"",G73/E73)</f>
        <v/>
      </c>
      <c r="I73">
        <f>IF(OR(A73="",N(E73)=0),"",IF(G73&lt;0,"Loses money at this price",IF(E73&lt;F73,"Below target: raise to "&amp;TEXT(F73,"$0.00"),"On target")))</f>
        <v/>
      </c>
    </row>
    <row r="74">
      <c r="A74">
        <f>IF(Products!A74="","",Products!A74)</f>
        <v/>
      </c>
      <c r="B74" s="13" t="inlineStr">
        <is>
          <t>Etsy</t>
        </is>
      </c>
      <c r="C74" s="11">
        <f>IF(A74="","",Products!I74)</f>
        <v/>
      </c>
      <c r="D74" s="14" t="n">
        <v>0.3</v>
      </c>
      <c r="E74" s="15" t="n"/>
      <c r="F74" s="11">
        <f>IF(A74="","",IF(1-(IFERROR(INDEX(Settings!$B$5:$B$9,MATCH(B74,Settings!$A$5:$A$9,0)),0)+IFERROR(INDEX(Settings!$E$5:$E$9,MATCH(B74,Settings!$A$5:$A$9,0)),0)+IFERROR(INDEX(Settings!$G$5:$G$9,MATCH(B74,Settings!$A$5:$A$9,0)),0)+N(Products!H74))-D74&lt;=0,"margin too high",(C74+(IFERROR(INDEX(Settings!$C$5:$C$9,MATCH(B74,Settings!$A$5:$A$9,0)),0)+IFERROR(INDEX(Settings!$D$5:$D$9,MATCH(B74,Settings!$A$5:$A$9,0)),0)+IFERROR(INDEX(Settings!$F$5:$F$9,MATCH(B74,Settings!$A$5:$A$9,0)),0)))/(1-(IFERROR(INDEX(Settings!$B$5:$B$9,MATCH(B74,Settings!$A$5:$A$9,0)),0)+IFERROR(INDEX(Settings!$E$5:$E$9,MATCH(B74,Settings!$A$5:$A$9,0)),0)+IFERROR(INDEX(Settings!$G$5:$G$9,MATCH(B74,Settings!$A$5:$A$9,0)),0)+N(Products!H74))-D74)))</f>
        <v/>
      </c>
      <c r="G74" s="11">
        <f>IF(OR(A74="",N(E74)=0),"",E74*(1-(IFERROR(INDEX(Settings!$B$5:$B$9,MATCH(B74,Settings!$A$5:$A$9,0)),0)+IFERROR(INDEX(Settings!$E$5:$E$9,MATCH(B74,Settings!$A$5:$A$9,0)),0)+IFERROR(INDEX(Settings!$G$5:$G$9,MATCH(B74,Settings!$A$5:$A$9,0)),0)+N(Products!H74)))-(IFERROR(INDEX(Settings!$C$5:$C$9,MATCH(B74,Settings!$A$5:$A$9,0)),0)+IFERROR(INDEX(Settings!$D$5:$D$9,MATCH(B74,Settings!$A$5:$A$9,0)),0)+IFERROR(INDEX(Settings!$F$5:$F$9,MATCH(B74,Settings!$A$5:$A$9,0)),0))-C74)</f>
        <v/>
      </c>
      <c r="H74" s="12">
        <f>IF(OR(A74="",N(E74)=0),"",G74/E74)</f>
        <v/>
      </c>
      <c r="I74">
        <f>IF(OR(A74="",N(E74)=0),"",IF(G74&lt;0,"Loses money at this price",IF(E74&lt;F74,"Below target: raise to "&amp;TEXT(F74,"$0.00"),"On target")))</f>
        <v/>
      </c>
    </row>
    <row r="75">
      <c r="A75">
        <f>IF(Products!A75="","",Products!A75)</f>
        <v/>
      </c>
      <c r="B75" s="13" t="inlineStr">
        <is>
          <t>Etsy</t>
        </is>
      </c>
      <c r="C75" s="11">
        <f>IF(A75="","",Products!I75)</f>
        <v/>
      </c>
      <c r="D75" s="14" t="n">
        <v>0.3</v>
      </c>
      <c r="E75" s="15" t="n"/>
      <c r="F75" s="11">
        <f>IF(A75="","",IF(1-(IFERROR(INDEX(Settings!$B$5:$B$9,MATCH(B75,Settings!$A$5:$A$9,0)),0)+IFERROR(INDEX(Settings!$E$5:$E$9,MATCH(B75,Settings!$A$5:$A$9,0)),0)+IFERROR(INDEX(Settings!$G$5:$G$9,MATCH(B75,Settings!$A$5:$A$9,0)),0)+N(Products!H75))-D75&lt;=0,"margin too high",(C75+(IFERROR(INDEX(Settings!$C$5:$C$9,MATCH(B75,Settings!$A$5:$A$9,0)),0)+IFERROR(INDEX(Settings!$D$5:$D$9,MATCH(B75,Settings!$A$5:$A$9,0)),0)+IFERROR(INDEX(Settings!$F$5:$F$9,MATCH(B75,Settings!$A$5:$A$9,0)),0)))/(1-(IFERROR(INDEX(Settings!$B$5:$B$9,MATCH(B75,Settings!$A$5:$A$9,0)),0)+IFERROR(INDEX(Settings!$E$5:$E$9,MATCH(B75,Settings!$A$5:$A$9,0)),0)+IFERROR(INDEX(Settings!$G$5:$G$9,MATCH(B75,Settings!$A$5:$A$9,0)),0)+N(Products!H75))-D75)))</f>
        <v/>
      </c>
      <c r="G75" s="11">
        <f>IF(OR(A75="",N(E75)=0),"",E75*(1-(IFERROR(INDEX(Settings!$B$5:$B$9,MATCH(B75,Settings!$A$5:$A$9,0)),0)+IFERROR(INDEX(Settings!$E$5:$E$9,MATCH(B75,Settings!$A$5:$A$9,0)),0)+IFERROR(INDEX(Settings!$G$5:$G$9,MATCH(B75,Settings!$A$5:$A$9,0)),0)+N(Products!H75)))-(IFERROR(INDEX(Settings!$C$5:$C$9,MATCH(B75,Settings!$A$5:$A$9,0)),0)+IFERROR(INDEX(Settings!$D$5:$D$9,MATCH(B75,Settings!$A$5:$A$9,0)),0)+IFERROR(INDEX(Settings!$F$5:$F$9,MATCH(B75,Settings!$A$5:$A$9,0)),0))-C75)</f>
        <v/>
      </c>
      <c r="H75" s="12">
        <f>IF(OR(A75="",N(E75)=0),"",G75/E75)</f>
        <v/>
      </c>
      <c r="I75">
        <f>IF(OR(A75="",N(E75)=0),"",IF(G75&lt;0,"Loses money at this price",IF(E75&lt;F75,"Below target: raise to "&amp;TEXT(F75,"$0.00"),"On target")))</f>
        <v/>
      </c>
    </row>
    <row r="76">
      <c r="A76">
        <f>IF(Products!A76="","",Products!A76)</f>
        <v/>
      </c>
      <c r="B76" s="13" t="inlineStr">
        <is>
          <t>Etsy</t>
        </is>
      </c>
      <c r="C76" s="11">
        <f>IF(A76="","",Products!I76)</f>
        <v/>
      </c>
      <c r="D76" s="14" t="n">
        <v>0.3</v>
      </c>
      <c r="E76" s="15" t="n"/>
      <c r="F76" s="11">
        <f>IF(A76="","",IF(1-(IFERROR(INDEX(Settings!$B$5:$B$9,MATCH(B76,Settings!$A$5:$A$9,0)),0)+IFERROR(INDEX(Settings!$E$5:$E$9,MATCH(B76,Settings!$A$5:$A$9,0)),0)+IFERROR(INDEX(Settings!$G$5:$G$9,MATCH(B76,Settings!$A$5:$A$9,0)),0)+N(Products!H76))-D76&lt;=0,"margin too high",(C76+(IFERROR(INDEX(Settings!$C$5:$C$9,MATCH(B76,Settings!$A$5:$A$9,0)),0)+IFERROR(INDEX(Settings!$D$5:$D$9,MATCH(B76,Settings!$A$5:$A$9,0)),0)+IFERROR(INDEX(Settings!$F$5:$F$9,MATCH(B76,Settings!$A$5:$A$9,0)),0)))/(1-(IFERROR(INDEX(Settings!$B$5:$B$9,MATCH(B76,Settings!$A$5:$A$9,0)),0)+IFERROR(INDEX(Settings!$E$5:$E$9,MATCH(B76,Settings!$A$5:$A$9,0)),0)+IFERROR(INDEX(Settings!$G$5:$G$9,MATCH(B76,Settings!$A$5:$A$9,0)),0)+N(Products!H76))-D76)))</f>
        <v/>
      </c>
      <c r="G76" s="11">
        <f>IF(OR(A76="",N(E76)=0),"",E76*(1-(IFERROR(INDEX(Settings!$B$5:$B$9,MATCH(B76,Settings!$A$5:$A$9,0)),0)+IFERROR(INDEX(Settings!$E$5:$E$9,MATCH(B76,Settings!$A$5:$A$9,0)),0)+IFERROR(INDEX(Settings!$G$5:$G$9,MATCH(B76,Settings!$A$5:$A$9,0)),0)+N(Products!H76)))-(IFERROR(INDEX(Settings!$C$5:$C$9,MATCH(B76,Settings!$A$5:$A$9,0)),0)+IFERROR(INDEX(Settings!$D$5:$D$9,MATCH(B76,Settings!$A$5:$A$9,0)),0)+IFERROR(INDEX(Settings!$F$5:$F$9,MATCH(B76,Settings!$A$5:$A$9,0)),0))-C76)</f>
        <v/>
      </c>
      <c r="H76" s="12">
        <f>IF(OR(A76="",N(E76)=0),"",G76/E76)</f>
        <v/>
      </c>
      <c r="I76">
        <f>IF(OR(A76="",N(E76)=0),"",IF(G76&lt;0,"Loses money at this price",IF(E76&lt;F76,"Below target: raise to "&amp;TEXT(F76,"$0.00"),"On target")))</f>
        <v/>
      </c>
    </row>
    <row r="77">
      <c r="A77">
        <f>IF(Products!A77="","",Products!A77)</f>
        <v/>
      </c>
      <c r="B77" s="13" t="inlineStr">
        <is>
          <t>Etsy</t>
        </is>
      </c>
      <c r="C77" s="11">
        <f>IF(A77="","",Products!I77)</f>
        <v/>
      </c>
      <c r="D77" s="14" t="n">
        <v>0.3</v>
      </c>
      <c r="E77" s="15" t="n"/>
      <c r="F77" s="11">
        <f>IF(A77="","",IF(1-(IFERROR(INDEX(Settings!$B$5:$B$9,MATCH(B77,Settings!$A$5:$A$9,0)),0)+IFERROR(INDEX(Settings!$E$5:$E$9,MATCH(B77,Settings!$A$5:$A$9,0)),0)+IFERROR(INDEX(Settings!$G$5:$G$9,MATCH(B77,Settings!$A$5:$A$9,0)),0)+N(Products!H77))-D77&lt;=0,"margin too high",(C77+(IFERROR(INDEX(Settings!$C$5:$C$9,MATCH(B77,Settings!$A$5:$A$9,0)),0)+IFERROR(INDEX(Settings!$D$5:$D$9,MATCH(B77,Settings!$A$5:$A$9,0)),0)+IFERROR(INDEX(Settings!$F$5:$F$9,MATCH(B77,Settings!$A$5:$A$9,0)),0)))/(1-(IFERROR(INDEX(Settings!$B$5:$B$9,MATCH(B77,Settings!$A$5:$A$9,0)),0)+IFERROR(INDEX(Settings!$E$5:$E$9,MATCH(B77,Settings!$A$5:$A$9,0)),0)+IFERROR(INDEX(Settings!$G$5:$G$9,MATCH(B77,Settings!$A$5:$A$9,0)),0)+N(Products!H77))-D77)))</f>
        <v/>
      </c>
      <c r="G77" s="11">
        <f>IF(OR(A77="",N(E77)=0),"",E77*(1-(IFERROR(INDEX(Settings!$B$5:$B$9,MATCH(B77,Settings!$A$5:$A$9,0)),0)+IFERROR(INDEX(Settings!$E$5:$E$9,MATCH(B77,Settings!$A$5:$A$9,0)),0)+IFERROR(INDEX(Settings!$G$5:$G$9,MATCH(B77,Settings!$A$5:$A$9,0)),0)+N(Products!H77)))-(IFERROR(INDEX(Settings!$C$5:$C$9,MATCH(B77,Settings!$A$5:$A$9,0)),0)+IFERROR(INDEX(Settings!$D$5:$D$9,MATCH(B77,Settings!$A$5:$A$9,0)),0)+IFERROR(INDEX(Settings!$F$5:$F$9,MATCH(B77,Settings!$A$5:$A$9,0)),0))-C77)</f>
        <v/>
      </c>
      <c r="H77" s="12">
        <f>IF(OR(A77="",N(E77)=0),"",G77/E77)</f>
        <v/>
      </c>
      <c r="I77">
        <f>IF(OR(A77="",N(E77)=0),"",IF(G77&lt;0,"Loses money at this price",IF(E77&lt;F77,"Below target: raise to "&amp;TEXT(F77,"$0.00"),"On target")))</f>
        <v/>
      </c>
    </row>
    <row r="78">
      <c r="A78">
        <f>IF(Products!A78="","",Products!A78)</f>
        <v/>
      </c>
      <c r="B78" s="13" t="inlineStr">
        <is>
          <t>Etsy</t>
        </is>
      </c>
      <c r="C78" s="11">
        <f>IF(A78="","",Products!I78)</f>
        <v/>
      </c>
      <c r="D78" s="14" t="n">
        <v>0.3</v>
      </c>
      <c r="E78" s="15" t="n"/>
      <c r="F78" s="11">
        <f>IF(A78="","",IF(1-(IFERROR(INDEX(Settings!$B$5:$B$9,MATCH(B78,Settings!$A$5:$A$9,0)),0)+IFERROR(INDEX(Settings!$E$5:$E$9,MATCH(B78,Settings!$A$5:$A$9,0)),0)+IFERROR(INDEX(Settings!$G$5:$G$9,MATCH(B78,Settings!$A$5:$A$9,0)),0)+N(Products!H78))-D78&lt;=0,"margin too high",(C78+(IFERROR(INDEX(Settings!$C$5:$C$9,MATCH(B78,Settings!$A$5:$A$9,0)),0)+IFERROR(INDEX(Settings!$D$5:$D$9,MATCH(B78,Settings!$A$5:$A$9,0)),0)+IFERROR(INDEX(Settings!$F$5:$F$9,MATCH(B78,Settings!$A$5:$A$9,0)),0)))/(1-(IFERROR(INDEX(Settings!$B$5:$B$9,MATCH(B78,Settings!$A$5:$A$9,0)),0)+IFERROR(INDEX(Settings!$E$5:$E$9,MATCH(B78,Settings!$A$5:$A$9,0)),0)+IFERROR(INDEX(Settings!$G$5:$G$9,MATCH(B78,Settings!$A$5:$A$9,0)),0)+N(Products!H78))-D78)))</f>
        <v/>
      </c>
      <c r="G78" s="11">
        <f>IF(OR(A78="",N(E78)=0),"",E78*(1-(IFERROR(INDEX(Settings!$B$5:$B$9,MATCH(B78,Settings!$A$5:$A$9,0)),0)+IFERROR(INDEX(Settings!$E$5:$E$9,MATCH(B78,Settings!$A$5:$A$9,0)),0)+IFERROR(INDEX(Settings!$G$5:$G$9,MATCH(B78,Settings!$A$5:$A$9,0)),0)+N(Products!H78)))-(IFERROR(INDEX(Settings!$C$5:$C$9,MATCH(B78,Settings!$A$5:$A$9,0)),0)+IFERROR(INDEX(Settings!$D$5:$D$9,MATCH(B78,Settings!$A$5:$A$9,0)),0)+IFERROR(INDEX(Settings!$F$5:$F$9,MATCH(B78,Settings!$A$5:$A$9,0)),0))-C78)</f>
        <v/>
      </c>
      <c r="H78" s="12">
        <f>IF(OR(A78="",N(E78)=0),"",G78/E78)</f>
        <v/>
      </c>
      <c r="I78">
        <f>IF(OR(A78="",N(E78)=0),"",IF(G78&lt;0,"Loses money at this price",IF(E78&lt;F78,"Below target: raise to "&amp;TEXT(F78,"$0.00"),"On target")))</f>
        <v/>
      </c>
    </row>
    <row r="79">
      <c r="A79">
        <f>IF(Products!A79="","",Products!A79)</f>
        <v/>
      </c>
      <c r="B79" s="13" t="inlineStr">
        <is>
          <t>Etsy</t>
        </is>
      </c>
      <c r="C79" s="11">
        <f>IF(A79="","",Products!I79)</f>
        <v/>
      </c>
      <c r="D79" s="14" t="n">
        <v>0.3</v>
      </c>
      <c r="E79" s="15" t="n"/>
      <c r="F79" s="11">
        <f>IF(A79="","",IF(1-(IFERROR(INDEX(Settings!$B$5:$B$9,MATCH(B79,Settings!$A$5:$A$9,0)),0)+IFERROR(INDEX(Settings!$E$5:$E$9,MATCH(B79,Settings!$A$5:$A$9,0)),0)+IFERROR(INDEX(Settings!$G$5:$G$9,MATCH(B79,Settings!$A$5:$A$9,0)),0)+N(Products!H79))-D79&lt;=0,"margin too high",(C79+(IFERROR(INDEX(Settings!$C$5:$C$9,MATCH(B79,Settings!$A$5:$A$9,0)),0)+IFERROR(INDEX(Settings!$D$5:$D$9,MATCH(B79,Settings!$A$5:$A$9,0)),0)+IFERROR(INDEX(Settings!$F$5:$F$9,MATCH(B79,Settings!$A$5:$A$9,0)),0)))/(1-(IFERROR(INDEX(Settings!$B$5:$B$9,MATCH(B79,Settings!$A$5:$A$9,0)),0)+IFERROR(INDEX(Settings!$E$5:$E$9,MATCH(B79,Settings!$A$5:$A$9,0)),0)+IFERROR(INDEX(Settings!$G$5:$G$9,MATCH(B79,Settings!$A$5:$A$9,0)),0)+N(Products!H79))-D79)))</f>
        <v/>
      </c>
      <c r="G79" s="11">
        <f>IF(OR(A79="",N(E79)=0),"",E79*(1-(IFERROR(INDEX(Settings!$B$5:$B$9,MATCH(B79,Settings!$A$5:$A$9,0)),0)+IFERROR(INDEX(Settings!$E$5:$E$9,MATCH(B79,Settings!$A$5:$A$9,0)),0)+IFERROR(INDEX(Settings!$G$5:$G$9,MATCH(B79,Settings!$A$5:$A$9,0)),0)+N(Products!H79)))-(IFERROR(INDEX(Settings!$C$5:$C$9,MATCH(B79,Settings!$A$5:$A$9,0)),0)+IFERROR(INDEX(Settings!$D$5:$D$9,MATCH(B79,Settings!$A$5:$A$9,0)),0)+IFERROR(INDEX(Settings!$F$5:$F$9,MATCH(B79,Settings!$A$5:$A$9,0)),0))-C79)</f>
        <v/>
      </c>
      <c r="H79" s="12">
        <f>IF(OR(A79="",N(E79)=0),"",G79/E79)</f>
        <v/>
      </c>
      <c r="I79">
        <f>IF(OR(A79="",N(E79)=0),"",IF(G79&lt;0,"Loses money at this price",IF(E79&lt;F79,"Below target: raise to "&amp;TEXT(F79,"$0.00"),"On target")))</f>
        <v/>
      </c>
    </row>
    <row r="80">
      <c r="A80">
        <f>IF(Products!A80="","",Products!A80)</f>
        <v/>
      </c>
      <c r="B80" s="13" t="inlineStr">
        <is>
          <t>Etsy</t>
        </is>
      </c>
      <c r="C80" s="11">
        <f>IF(A80="","",Products!I80)</f>
        <v/>
      </c>
      <c r="D80" s="14" t="n">
        <v>0.3</v>
      </c>
      <c r="E80" s="15" t="n"/>
      <c r="F80" s="11">
        <f>IF(A80="","",IF(1-(IFERROR(INDEX(Settings!$B$5:$B$9,MATCH(B80,Settings!$A$5:$A$9,0)),0)+IFERROR(INDEX(Settings!$E$5:$E$9,MATCH(B80,Settings!$A$5:$A$9,0)),0)+IFERROR(INDEX(Settings!$G$5:$G$9,MATCH(B80,Settings!$A$5:$A$9,0)),0)+N(Products!H80))-D80&lt;=0,"margin too high",(C80+(IFERROR(INDEX(Settings!$C$5:$C$9,MATCH(B80,Settings!$A$5:$A$9,0)),0)+IFERROR(INDEX(Settings!$D$5:$D$9,MATCH(B80,Settings!$A$5:$A$9,0)),0)+IFERROR(INDEX(Settings!$F$5:$F$9,MATCH(B80,Settings!$A$5:$A$9,0)),0)))/(1-(IFERROR(INDEX(Settings!$B$5:$B$9,MATCH(B80,Settings!$A$5:$A$9,0)),0)+IFERROR(INDEX(Settings!$E$5:$E$9,MATCH(B80,Settings!$A$5:$A$9,0)),0)+IFERROR(INDEX(Settings!$G$5:$G$9,MATCH(B80,Settings!$A$5:$A$9,0)),0)+N(Products!H80))-D80)))</f>
        <v/>
      </c>
      <c r="G80" s="11">
        <f>IF(OR(A80="",N(E80)=0),"",E80*(1-(IFERROR(INDEX(Settings!$B$5:$B$9,MATCH(B80,Settings!$A$5:$A$9,0)),0)+IFERROR(INDEX(Settings!$E$5:$E$9,MATCH(B80,Settings!$A$5:$A$9,0)),0)+IFERROR(INDEX(Settings!$G$5:$G$9,MATCH(B80,Settings!$A$5:$A$9,0)),0)+N(Products!H80)))-(IFERROR(INDEX(Settings!$C$5:$C$9,MATCH(B80,Settings!$A$5:$A$9,0)),0)+IFERROR(INDEX(Settings!$D$5:$D$9,MATCH(B80,Settings!$A$5:$A$9,0)),0)+IFERROR(INDEX(Settings!$F$5:$F$9,MATCH(B80,Settings!$A$5:$A$9,0)),0))-C80)</f>
        <v/>
      </c>
      <c r="H80" s="12">
        <f>IF(OR(A80="",N(E80)=0),"",G80/E80)</f>
        <v/>
      </c>
      <c r="I80">
        <f>IF(OR(A80="",N(E80)=0),"",IF(G80&lt;0,"Loses money at this price",IF(E80&lt;F80,"Below target: raise to "&amp;TEXT(F80,"$0.00"),"On target")))</f>
        <v/>
      </c>
    </row>
    <row r="81">
      <c r="A81">
        <f>IF(Products!A81="","",Products!A81)</f>
        <v/>
      </c>
      <c r="B81" s="13" t="inlineStr">
        <is>
          <t>Etsy</t>
        </is>
      </c>
      <c r="C81" s="11">
        <f>IF(A81="","",Products!I81)</f>
        <v/>
      </c>
      <c r="D81" s="14" t="n">
        <v>0.3</v>
      </c>
      <c r="E81" s="15" t="n"/>
      <c r="F81" s="11">
        <f>IF(A81="","",IF(1-(IFERROR(INDEX(Settings!$B$5:$B$9,MATCH(B81,Settings!$A$5:$A$9,0)),0)+IFERROR(INDEX(Settings!$E$5:$E$9,MATCH(B81,Settings!$A$5:$A$9,0)),0)+IFERROR(INDEX(Settings!$G$5:$G$9,MATCH(B81,Settings!$A$5:$A$9,0)),0)+N(Products!H81))-D81&lt;=0,"margin too high",(C81+(IFERROR(INDEX(Settings!$C$5:$C$9,MATCH(B81,Settings!$A$5:$A$9,0)),0)+IFERROR(INDEX(Settings!$D$5:$D$9,MATCH(B81,Settings!$A$5:$A$9,0)),0)+IFERROR(INDEX(Settings!$F$5:$F$9,MATCH(B81,Settings!$A$5:$A$9,0)),0)))/(1-(IFERROR(INDEX(Settings!$B$5:$B$9,MATCH(B81,Settings!$A$5:$A$9,0)),0)+IFERROR(INDEX(Settings!$E$5:$E$9,MATCH(B81,Settings!$A$5:$A$9,0)),0)+IFERROR(INDEX(Settings!$G$5:$G$9,MATCH(B81,Settings!$A$5:$A$9,0)),0)+N(Products!H81))-D81)))</f>
        <v/>
      </c>
      <c r="G81" s="11">
        <f>IF(OR(A81="",N(E81)=0),"",E81*(1-(IFERROR(INDEX(Settings!$B$5:$B$9,MATCH(B81,Settings!$A$5:$A$9,0)),0)+IFERROR(INDEX(Settings!$E$5:$E$9,MATCH(B81,Settings!$A$5:$A$9,0)),0)+IFERROR(INDEX(Settings!$G$5:$G$9,MATCH(B81,Settings!$A$5:$A$9,0)),0)+N(Products!H81)))-(IFERROR(INDEX(Settings!$C$5:$C$9,MATCH(B81,Settings!$A$5:$A$9,0)),0)+IFERROR(INDEX(Settings!$D$5:$D$9,MATCH(B81,Settings!$A$5:$A$9,0)),0)+IFERROR(INDEX(Settings!$F$5:$F$9,MATCH(B81,Settings!$A$5:$A$9,0)),0))-C81)</f>
        <v/>
      </c>
      <c r="H81" s="12">
        <f>IF(OR(A81="",N(E81)=0),"",G81/E81)</f>
        <v/>
      </c>
      <c r="I81">
        <f>IF(OR(A81="",N(E81)=0),"",IF(G81&lt;0,"Loses money at this price",IF(E81&lt;F81,"Below target: raise to "&amp;TEXT(F81,"$0.00"),"On target")))</f>
        <v/>
      </c>
    </row>
    <row r="82">
      <c r="A82">
        <f>IF(Products!A82="","",Products!A82)</f>
        <v/>
      </c>
      <c r="B82" s="13" t="inlineStr">
        <is>
          <t>Etsy</t>
        </is>
      </c>
      <c r="C82" s="11">
        <f>IF(A82="","",Products!I82)</f>
        <v/>
      </c>
      <c r="D82" s="14" t="n">
        <v>0.3</v>
      </c>
      <c r="E82" s="15" t="n"/>
      <c r="F82" s="11">
        <f>IF(A82="","",IF(1-(IFERROR(INDEX(Settings!$B$5:$B$9,MATCH(B82,Settings!$A$5:$A$9,0)),0)+IFERROR(INDEX(Settings!$E$5:$E$9,MATCH(B82,Settings!$A$5:$A$9,0)),0)+IFERROR(INDEX(Settings!$G$5:$G$9,MATCH(B82,Settings!$A$5:$A$9,0)),0)+N(Products!H82))-D82&lt;=0,"margin too high",(C82+(IFERROR(INDEX(Settings!$C$5:$C$9,MATCH(B82,Settings!$A$5:$A$9,0)),0)+IFERROR(INDEX(Settings!$D$5:$D$9,MATCH(B82,Settings!$A$5:$A$9,0)),0)+IFERROR(INDEX(Settings!$F$5:$F$9,MATCH(B82,Settings!$A$5:$A$9,0)),0)))/(1-(IFERROR(INDEX(Settings!$B$5:$B$9,MATCH(B82,Settings!$A$5:$A$9,0)),0)+IFERROR(INDEX(Settings!$E$5:$E$9,MATCH(B82,Settings!$A$5:$A$9,0)),0)+IFERROR(INDEX(Settings!$G$5:$G$9,MATCH(B82,Settings!$A$5:$A$9,0)),0)+N(Products!H82))-D82)))</f>
        <v/>
      </c>
      <c r="G82" s="11">
        <f>IF(OR(A82="",N(E82)=0),"",E82*(1-(IFERROR(INDEX(Settings!$B$5:$B$9,MATCH(B82,Settings!$A$5:$A$9,0)),0)+IFERROR(INDEX(Settings!$E$5:$E$9,MATCH(B82,Settings!$A$5:$A$9,0)),0)+IFERROR(INDEX(Settings!$G$5:$G$9,MATCH(B82,Settings!$A$5:$A$9,0)),0)+N(Products!H82)))-(IFERROR(INDEX(Settings!$C$5:$C$9,MATCH(B82,Settings!$A$5:$A$9,0)),0)+IFERROR(INDEX(Settings!$D$5:$D$9,MATCH(B82,Settings!$A$5:$A$9,0)),0)+IFERROR(INDEX(Settings!$F$5:$F$9,MATCH(B82,Settings!$A$5:$A$9,0)),0))-C82)</f>
        <v/>
      </c>
      <c r="H82" s="12">
        <f>IF(OR(A82="",N(E82)=0),"",G82/E82)</f>
        <v/>
      </c>
      <c r="I82">
        <f>IF(OR(A82="",N(E82)=0),"",IF(G82&lt;0,"Loses money at this price",IF(E82&lt;F82,"Below target: raise to "&amp;TEXT(F82,"$0.00"),"On target")))</f>
        <v/>
      </c>
    </row>
    <row r="83">
      <c r="A83">
        <f>IF(Products!A83="","",Products!A83)</f>
        <v/>
      </c>
      <c r="B83" s="13" t="inlineStr">
        <is>
          <t>Etsy</t>
        </is>
      </c>
      <c r="C83" s="11">
        <f>IF(A83="","",Products!I83)</f>
        <v/>
      </c>
      <c r="D83" s="14" t="n">
        <v>0.3</v>
      </c>
      <c r="E83" s="15" t="n"/>
      <c r="F83" s="11">
        <f>IF(A83="","",IF(1-(IFERROR(INDEX(Settings!$B$5:$B$9,MATCH(B83,Settings!$A$5:$A$9,0)),0)+IFERROR(INDEX(Settings!$E$5:$E$9,MATCH(B83,Settings!$A$5:$A$9,0)),0)+IFERROR(INDEX(Settings!$G$5:$G$9,MATCH(B83,Settings!$A$5:$A$9,0)),0)+N(Products!H83))-D83&lt;=0,"margin too high",(C83+(IFERROR(INDEX(Settings!$C$5:$C$9,MATCH(B83,Settings!$A$5:$A$9,0)),0)+IFERROR(INDEX(Settings!$D$5:$D$9,MATCH(B83,Settings!$A$5:$A$9,0)),0)+IFERROR(INDEX(Settings!$F$5:$F$9,MATCH(B83,Settings!$A$5:$A$9,0)),0)))/(1-(IFERROR(INDEX(Settings!$B$5:$B$9,MATCH(B83,Settings!$A$5:$A$9,0)),0)+IFERROR(INDEX(Settings!$E$5:$E$9,MATCH(B83,Settings!$A$5:$A$9,0)),0)+IFERROR(INDEX(Settings!$G$5:$G$9,MATCH(B83,Settings!$A$5:$A$9,0)),0)+N(Products!H83))-D83)))</f>
        <v/>
      </c>
      <c r="G83" s="11">
        <f>IF(OR(A83="",N(E83)=0),"",E83*(1-(IFERROR(INDEX(Settings!$B$5:$B$9,MATCH(B83,Settings!$A$5:$A$9,0)),0)+IFERROR(INDEX(Settings!$E$5:$E$9,MATCH(B83,Settings!$A$5:$A$9,0)),0)+IFERROR(INDEX(Settings!$G$5:$G$9,MATCH(B83,Settings!$A$5:$A$9,0)),0)+N(Products!H83)))-(IFERROR(INDEX(Settings!$C$5:$C$9,MATCH(B83,Settings!$A$5:$A$9,0)),0)+IFERROR(INDEX(Settings!$D$5:$D$9,MATCH(B83,Settings!$A$5:$A$9,0)),0)+IFERROR(INDEX(Settings!$F$5:$F$9,MATCH(B83,Settings!$A$5:$A$9,0)),0))-C83)</f>
        <v/>
      </c>
      <c r="H83" s="12">
        <f>IF(OR(A83="",N(E83)=0),"",G83/E83)</f>
        <v/>
      </c>
      <c r="I83">
        <f>IF(OR(A83="",N(E83)=0),"",IF(G83&lt;0,"Loses money at this price",IF(E83&lt;F83,"Below target: raise to "&amp;TEXT(F83,"$0.00"),"On target")))</f>
        <v/>
      </c>
    </row>
    <row r="84">
      <c r="A84">
        <f>IF(Products!A84="","",Products!A84)</f>
        <v/>
      </c>
      <c r="B84" s="13" t="inlineStr">
        <is>
          <t>Etsy</t>
        </is>
      </c>
      <c r="C84" s="11">
        <f>IF(A84="","",Products!I84)</f>
        <v/>
      </c>
      <c r="D84" s="14" t="n">
        <v>0.3</v>
      </c>
      <c r="E84" s="15" t="n"/>
      <c r="F84" s="11">
        <f>IF(A84="","",IF(1-(IFERROR(INDEX(Settings!$B$5:$B$9,MATCH(B84,Settings!$A$5:$A$9,0)),0)+IFERROR(INDEX(Settings!$E$5:$E$9,MATCH(B84,Settings!$A$5:$A$9,0)),0)+IFERROR(INDEX(Settings!$G$5:$G$9,MATCH(B84,Settings!$A$5:$A$9,0)),0)+N(Products!H84))-D84&lt;=0,"margin too high",(C84+(IFERROR(INDEX(Settings!$C$5:$C$9,MATCH(B84,Settings!$A$5:$A$9,0)),0)+IFERROR(INDEX(Settings!$D$5:$D$9,MATCH(B84,Settings!$A$5:$A$9,0)),0)+IFERROR(INDEX(Settings!$F$5:$F$9,MATCH(B84,Settings!$A$5:$A$9,0)),0)))/(1-(IFERROR(INDEX(Settings!$B$5:$B$9,MATCH(B84,Settings!$A$5:$A$9,0)),0)+IFERROR(INDEX(Settings!$E$5:$E$9,MATCH(B84,Settings!$A$5:$A$9,0)),0)+IFERROR(INDEX(Settings!$G$5:$G$9,MATCH(B84,Settings!$A$5:$A$9,0)),0)+N(Products!H84))-D84)))</f>
        <v/>
      </c>
      <c r="G84" s="11">
        <f>IF(OR(A84="",N(E84)=0),"",E84*(1-(IFERROR(INDEX(Settings!$B$5:$B$9,MATCH(B84,Settings!$A$5:$A$9,0)),0)+IFERROR(INDEX(Settings!$E$5:$E$9,MATCH(B84,Settings!$A$5:$A$9,0)),0)+IFERROR(INDEX(Settings!$G$5:$G$9,MATCH(B84,Settings!$A$5:$A$9,0)),0)+N(Products!H84)))-(IFERROR(INDEX(Settings!$C$5:$C$9,MATCH(B84,Settings!$A$5:$A$9,0)),0)+IFERROR(INDEX(Settings!$D$5:$D$9,MATCH(B84,Settings!$A$5:$A$9,0)),0)+IFERROR(INDEX(Settings!$F$5:$F$9,MATCH(B84,Settings!$A$5:$A$9,0)),0))-C84)</f>
        <v/>
      </c>
      <c r="H84" s="12">
        <f>IF(OR(A84="",N(E84)=0),"",G84/E84)</f>
        <v/>
      </c>
      <c r="I84">
        <f>IF(OR(A84="",N(E84)=0),"",IF(G84&lt;0,"Loses money at this price",IF(E84&lt;F84,"Below target: raise to "&amp;TEXT(F84,"$0.00"),"On target")))</f>
        <v/>
      </c>
    </row>
    <row r="85">
      <c r="A85">
        <f>IF(Products!A85="","",Products!A85)</f>
        <v/>
      </c>
      <c r="B85" s="13" t="inlineStr">
        <is>
          <t>Etsy</t>
        </is>
      </c>
      <c r="C85" s="11">
        <f>IF(A85="","",Products!I85)</f>
        <v/>
      </c>
      <c r="D85" s="14" t="n">
        <v>0.3</v>
      </c>
      <c r="E85" s="15" t="n"/>
      <c r="F85" s="11">
        <f>IF(A85="","",IF(1-(IFERROR(INDEX(Settings!$B$5:$B$9,MATCH(B85,Settings!$A$5:$A$9,0)),0)+IFERROR(INDEX(Settings!$E$5:$E$9,MATCH(B85,Settings!$A$5:$A$9,0)),0)+IFERROR(INDEX(Settings!$G$5:$G$9,MATCH(B85,Settings!$A$5:$A$9,0)),0)+N(Products!H85))-D85&lt;=0,"margin too high",(C85+(IFERROR(INDEX(Settings!$C$5:$C$9,MATCH(B85,Settings!$A$5:$A$9,0)),0)+IFERROR(INDEX(Settings!$D$5:$D$9,MATCH(B85,Settings!$A$5:$A$9,0)),0)+IFERROR(INDEX(Settings!$F$5:$F$9,MATCH(B85,Settings!$A$5:$A$9,0)),0)))/(1-(IFERROR(INDEX(Settings!$B$5:$B$9,MATCH(B85,Settings!$A$5:$A$9,0)),0)+IFERROR(INDEX(Settings!$E$5:$E$9,MATCH(B85,Settings!$A$5:$A$9,0)),0)+IFERROR(INDEX(Settings!$G$5:$G$9,MATCH(B85,Settings!$A$5:$A$9,0)),0)+N(Products!H85))-D85)))</f>
        <v/>
      </c>
      <c r="G85" s="11">
        <f>IF(OR(A85="",N(E85)=0),"",E85*(1-(IFERROR(INDEX(Settings!$B$5:$B$9,MATCH(B85,Settings!$A$5:$A$9,0)),0)+IFERROR(INDEX(Settings!$E$5:$E$9,MATCH(B85,Settings!$A$5:$A$9,0)),0)+IFERROR(INDEX(Settings!$G$5:$G$9,MATCH(B85,Settings!$A$5:$A$9,0)),0)+N(Products!H85)))-(IFERROR(INDEX(Settings!$C$5:$C$9,MATCH(B85,Settings!$A$5:$A$9,0)),0)+IFERROR(INDEX(Settings!$D$5:$D$9,MATCH(B85,Settings!$A$5:$A$9,0)),0)+IFERROR(INDEX(Settings!$F$5:$F$9,MATCH(B85,Settings!$A$5:$A$9,0)),0))-C85)</f>
        <v/>
      </c>
      <c r="H85" s="12">
        <f>IF(OR(A85="",N(E85)=0),"",G85/E85)</f>
        <v/>
      </c>
      <c r="I85">
        <f>IF(OR(A85="",N(E85)=0),"",IF(G85&lt;0,"Loses money at this price",IF(E85&lt;F85,"Below target: raise to "&amp;TEXT(F85,"$0.00"),"On target")))</f>
        <v/>
      </c>
    </row>
    <row r="86">
      <c r="A86">
        <f>IF(Products!A86="","",Products!A86)</f>
        <v/>
      </c>
      <c r="B86" s="13" t="inlineStr">
        <is>
          <t>Etsy</t>
        </is>
      </c>
      <c r="C86" s="11">
        <f>IF(A86="","",Products!I86)</f>
        <v/>
      </c>
      <c r="D86" s="14" t="n">
        <v>0.3</v>
      </c>
      <c r="E86" s="15" t="n"/>
      <c r="F86" s="11">
        <f>IF(A86="","",IF(1-(IFERROR(INDEX(Settings!$B$5:$B$9,MATCH(B86,Settings!$A$5:$A$9,0)),0)+IFERROR(INDEX(Settings!$E$5:$E$9,MATCH(B86,Settings!$A$5:$A$9,0)),0)+IFERROR(INDEX(Settings!$G$5:$G$9,MATCH(B86,Settings!$A$5:$A$9,0)),0)+N(Products!H86))-D86&lt;=0,"margin too high",(C86+(IFERROR(INDEX(Settings!$C$5:$C$9,MATCH(B86,Settings!$A$5:$A$9,0)),0)+IFERROR(INDEX(Settings!$D$5:$D$9,MATCH(B86,Settings!$A$5:$A$9,0)),0)+IFERROR(INDEX(Settings!$F$5:$F$9,MATCH(B86,Settings!$A$5:$A$9,0)),0)))/(1-(IFERROR(INDEX(Settings!$B$5:$B$9,MATCH(B86,Settings!$A$5:$A$9,0)),0)+IFERROR(INDEX(Settings!$E$5:$E$9,MATCH(B86,Settings!$A$5:$A$9,0)),0)+IFERROR(INDEX(Settings!$G$5:$G$9,MATCH(B86,Settings!$A$5:$A$9,0)),0)+N(Products!H86))-D86)))</f>
        <v/>
      </c>
      <c r="G86" s="11">
        <f>IF(OR(A86="",N(E86)=0),"",E86*(1-(IFERROR(INDEX(Settings!$B$5:$B$9,MATCH(B86,Settings!$A$5:$A$9,0)),0)+IFERROR(INDEX(Settings!$E$5:$E$9,MATCH(B86,Settings!$A$5:$A$9,0)),0)+IFERROR(INDEX(Settings!$G$5:$G$9,MATCH(B86,Settings!$A$5:$A$9,0)),0)+N(Products!H86)))-(IFERROR(INDEX(Settings!$C$5:$C$9,MATCH(B86,Settings!$A$5:$A$9,0)),0)+IFERROR(INDEX(Settings!$D$5:$D$9,MATCH(B86,Settings!$A$5:$A$9,0)),0)+IFERROR(INDEX(Settings!$F$5:$F$9,MATCH(B86,Settings!$A$5:$A$9,0)),0))-C86)</f>
        <v/>
      </c>
      <c r="H86" s="12">
        <f>IF(OR(A86="",N(E86)=0),"",G86/E86)</f>
        <v/>
      </c>
      <c r="I86">
        <f>IF(OR(A86="",N(E86)=0),"",IF(G86&lt;0,"Loses money at this price",IF(E86&lt;F86,"Below target: raise to "&amp;TEXT(F86,"$0.00"),"On target")))</f>
        <v/>
      </c>
    </row>
    <row r="87">
      <c r="A87">
        <f>IF(Products!A87="","",Products!A87)</f>
        <v/>
      </c>
      <c r="B87" s="13" t="inlineStr">
        <is>
          <t>Etsy</t>
        </is>
      </c>
      <c r="C87" s="11">
        <f>IF(A87="","",Products!I87)</f>
        <v/>
      </c>
      <c r="D87" s="14" t="n">
        <v>0.3</v>
      </c>
      <c r="E87" s="15" t="n"/>
      <c r="F87" s="11">
        <f>IF(A87="","",IF(1-(IFERROR(INDEX(Settings!$B$5:$B$9,MATCH(B87,Settings!$A$5:$A$9,0)),0)+IFERROR(INDEX(Settings!$E$5:$E$9,MATCH(B87,Settings!$A$5:$A$9,0)),0)+IFERROR(INDEX(Settings!$G$5:$G$9,MATCH(B87,Settings!$A$5:$A$9,0)),0)+N(Products!H87))-D87&lt;=0,"margin too high",(C87+(IFERROR(INDEX(Settings!$C$5:$C$9,MATCH(B87,Settings!$A$5:$A$9,0)),0)+IFERROR(INDEX(Settings!$D$5:$D$9,MATCH(B87,Settings!$A$5:$A$9,0)),0)+IFERROR(INDEX(Settings!$F$5:$F$9,MATCH(B87,Settings!$A$5:$A$9,0)),0)))/(1-(IFERROR(INDEX(Settings!$B$5:$B$9,MATCH(B87,Settings!$A$5:$A$9,0)),0)+IFERROR(INDEX(Settings!$E$5:$E$9,MATCH(B87,Settings!$A$5:$A$9,0)),0)+IFERROR(INDEX(Settings!$G$5:$G$9,MATCH(B87,Settings!$A$5:$A$9,0)),0)+N(Products!H87))-D87)))</f>
        <v/>
      </c>
      <c r="G87" s="11">
        <f>IF(OR(A87="",N(E87)=0),"",E87*(1-(IFERROR(INDEX(Settings!$B$5:$B$9,MATCH(B87,Settings!$A$5:$A$9,0)),0)+IFERROR(INDEX(Settings!$E$5:$E$9,MATCH(B87,Settings!$A$5:$A$9,0)),0)+IFERROR(INDEX(Settings!$G$5:$G$9,MATCH(B87,Settings!$A$5:$A$9,0)),0)+N(Products!H87)))-(IFERROR(INDEX(Settings!$C$5:$C$9,MATCH(B87,Settings!$A$5:$A$9,0)),0)+IFERROR(INDEX(Settings!$D$5:$D$9,MATCH(B87,Settings!$A$5:$A$9,0)),0)+IFERROR(INDEX(Settings!$F$5:$F$9,MATCH(B87,Settings!$A$5:$A$9,0)),0))-C87)</f>
        <v/>
      </c>
      <c r="H87" s="12">
        <f>IF(OR(A87="",N(E87)=0),"",G87/E87)</f>
        <v/>
      </c>
      <c r="I87">
        <f>IF(OR(A87="",N(E87)=0),"",IF(G87&lt;0,"Loses money at this price",IF(E87&lt;F87,"Below target: raise to "&amp;TEXT(F87,"$0.00"),"On target")))</f>
        <v/>
      </c>
    </row>
    <row r="88">
      <c r="A88">
        <f>IF(Products!A88="","",Products!A88)</f>
        <v/>
      </c>
      <c r="B88" s="13" t="inlineStr">
        <is>
          <t>Etsy</t>
        </is>
      </c>
      <c r="C88" s="11">
        <f>IF(A88="","",Products!I88)</f>
        <v/>
      </c>
      <c r="D88" s="14" t="n">
        <v>0.3</v>
      </c>
      <c r="E88" s="15" t="n"/>
      <c r="F88" s="11">
        <f>IF(A88="","",IF(1-(IFERROR(INDEX(Settings!$B$5:$B$9,MATCH(B88,Settings!$A$5:$A$9,0)),0)+IFERROR(INDEX(Settings!$E$5:$E$9,MATCH(B88,Settings!$A$5:$A$9,0)),0)+IFERROR(INDEX(Settings!$G$5:$G$9,MATCH(B88,Settings!$A$5:$A$9,0)),0)+N(Products!H88))-D88&lt;=0,"margin too high",(C88+(IFERROR(INDEX(Settings!$C$5:$C$9,MATCH(B88,Settings!$A$5:$A$9,0)),0)+IFERROR(INDEX(Settings!$D$5:$D$9,MATCH(B88,Settings!$A$5:$A$9,0)),0)+IFERROR(INDEX(Settings!$F$5:$F$9,MATCH(B88,Settings!$A$5:$A$9,0)),0)))/(1-(IFERROR(INDEX(Settings!$B$5:$B$9,MATCH(B88,Settings!$A$5:$A$9,0)),0)+IFERROR(INDEX(Settings!$E$5:$E$9,MATCH(B88,Settings!$A$5:$A$9,0)),0)+IFERROR(INDEX(Settings!$G$5:$G$9,MATCH(B88,Settings!$A$5:$A$9,0)),0)+N(Products!H88))-D88)))</f>
        <v/>
      </c>
      <c r="G88" s="11">
        <f>IF(OR(A88="",N(E88)=0),"",E88*(1-(IFERROR(INDEX(Settings!$B$5:$B$9,MATCH(B88,Settings!$A$5:$A$9,0)),0)+IFERROR(INDEX(Settings!$E$5:$E$9,MATCH(B88,Settings!$A$5:$A$9,0)),0)+IFERROR(INDEX(Settings!$G$5:$G$9,MATCH(B88,Settings!$A$5:$A$9,0)),0)+N(Products!H88)))-(IFERROR(INDEX(Settings!$C$5:$C$9,MATCH(B88,Settings!$A$5:$A$9,0)),0)+IFERROR(INDEX(Settings!$D$5:$D$9,MATCH(B88,Settings!$A$5:$A$9,0)),0)+IFERROR(INDEX(Settings!$F$5:$F$9,MATCH(B88,Settings!$A$5:$A$9,0)),0))-C88)</f>
        <v/>
      </c>
      <c r="H88" s="12">
        <f>IF(OR(A88="",N(E88)=0),"",G88/E88)</f>
        <v/>
      </c>
      <c r="I88">
        <f>IF(OR(A88="",N(E88)=0),"",IF(G88&lt;0,"Loses money at this price",IF(E88&lt;F88,"Below target: raise to "&amp;TEXT(F88,"$0.00"),"On target")))</f>
        <v/>
      </c>
    </row>
    <row r="89">
      <c r="A89">
        <f>IF(Products!A89="","",Products!A89)</f>
        <v/>
      </c>
      <c r="B89" s="13" t="inlineStr">
        <is>
          <t>Etsy</t>
        </is>
      </c>
      <c r="C89" s="11">
        <f>IF(A89="","",Products!I89)</f>
        <v/>
      </c>
      <c r="D89" s="14" t="n">
        <v>0.3</v>
      </c>
      <c r="E89" s="15" t="n"/>
      <c r="F89" s="11">
        <f>IF(A89="","",IF(1-(IFERROR(INDEX(Settings!$B$5:$B$9,MATCH(B89,Settings!$A$5:$A$9,0)),0)+IFERROR(INDEX(Settings!$E$5:$E$9,MATCH(B89,Settings!$A$5:$A$9,0)),0)+IFERROR(INDEX(Settings!$G$5:$G$9,MATCH(B89,Settings!$A$5:$A$9,0)),0)+N(Products!H89))-D89&lt;=0,"margin too high",(C89+(IFERROR(INDEX(Settings!$C$5:$C$9,MATCH(B89,Settings!$A$5:$A$9,0)),0)+IFERROR(INDEX(Settings!$D$5:$D$9,MATCH(B89,Settings!$A$5:$A$9,0)),0)+IFERROR(INDEX(Settings!$F$5:$F$9,MATCH(B89,Settings!$A$5:$A$9,0)),0)))/(1-(IFERROR(INDEX(Settings!$B$5:$B$9,MATCH(B89,Settings!$A$5:$A$9,0)),0)+IFERROR(INDEX(Settings!$E$5:$E$9,MATCH(B89,Settings!$A$5:$A$9,0)),0)+IFERROR(INDEX(Settings!$G$5:$G$9,MATCH(B89,Settings!$A$5:$A$9,0)),0)+N(Products!H89))-D89)))</f>
        <v/>
      </c>
      <c r="G89" s="11">
        <f>IF(OR(A89="",N(E89)=0),"",E89*(1-(IFERROR(INDEX(Settings!$B$5:$B$9,MATCH(B89,Settings!$A$5:$A$9,0)),0)+IFERROR(INDEX(Settings!$E$5:$E$9,MATCH(B89,Settings!$A$5:$A$9,0)),0)+IFERROR(INDEX(Settings!$G$5:$G$9,MATCH(B89,Settings!$A$5:$A$9,0)),0)+N(Products!H89)))-(IFERROR(INDEX(Settings!$C$5:$C$9,MATCH(B89,Settings!$A$5:$A$9,0)),0)+IFERROR(INDEX(Settings!$D$5:$D$9,MATCH(B89,Settings!$A$5:$A$9,0)),0)+IFERROR(INDEX(Settings!$F$5:$F$9,MATCH(B89,Settings!$A$5:$A$9,0)),0))-C89)</f>
        <v/>
      </c>
      <c r="H89" s="12">
        <f>IF(OR(A89="",N(E89)=0),"",G89/E89)</f>
        <v/>
      </c>
      <c r="I89">
        <f>IF(OR(A89="",N(E89)=0),"",IF(G89&lt;0,"Loses money at this price",IF(E89&lt;F89,"Below target: raise to "&amp;TEXT(F89,"$0.00"),"On target")))</f>
        <v/>
      </c>
    </row>
    <row r="90">
      <c r="A90">
        <f>IF(Products!A90="","",Products!A90)</f>
        <v/>
      </c>
      <c r="B90" s="13" t="inlineStr">
        <is>
          <t>Etsy</t>
        </is>
      </c>
      <c r="C90" s="11">
        <f>IF(A90="","",Products!I90)</f>
        <v/>
      </c>
      <c r="D90" s="14" t="n">
        <v>0.3</v>
      </c>
      <c r="E90" s="15" t="n"/>
      <c r="F90" s="11">
        <f>IF(A90="","",IF(1-(IFERROR(INDEX(Settings!$B$5:$B$9,MATCH(B90,Settings!$A$5:$A$9,0)),0)+IFERROR(INDEX(Settings!$E$5:$E$9,MATCH(B90,Settings!$A$5:$A$9,0)),0)+IFERROR(INDEX(Settings!$G$5:$G$9,MATCH(B90,Settings!$A$5:$A$9,0)),0)+N(Products!H90))-D90&lt;=0,"margin too high",(C90+(IFERROR(INDEX(Settings!$C$5:$C$9,MATCH(B90,Settings!$A$5:$A$9,0)),0)+IFERROR(INDEX(Settings!$D$5:$D$9,MATCH(B90,Settings!$A$5:$A$9,0)),0)+IFERROR(INDEX(Settings!$F$5:$F$9,MATCH(B90,Settings!$A$5:$A$9,0)),0)))/(1-(IFERROR(INDEX(Settings!$B$5:$B$9,MATCH(B90,Settings!$A$5:$A$9,0)),0)+IFERROR(INDEX(Settings!$E$5:$E$9,MATCH(B90,Settings!$A$5:$A$9,0)),0)+IFERROR(INDEX(Settings!$G$5:$G$9,MATCH(B90,Settings!$A$5:$A$9,0)),0)+N(Products!H90))-D90)))</f>
        <v/>
      </c>
      <c r="G90" s="11">
        <f>IF(OR(A90="",N(E90)=0),"",E90*(1-(IFERROR(INDEX(Settings!$B$5:$B$9,MATCH(B90,Settings!$A$5:$A$9,0)),0)+IFERROR(INDEX(Settings!$E$5:$E$9,MATCH(B90,Settings!$A$5:$A$9,0)),0)+IFERROR(INDEX(Settings!$G$5:$G$9,MATCH(B90,Settings!$A$5:$A$9,0)),0)+N(Products!H90)))-(IFERROR(INDEX(Settings!$C$5:$C$9,MATCH(B90,Settings!$A$5:$A$9,0)),0)+IFERROR(INDEX(Settings!$D$5:$D$9,MATCH(B90,Settings!$A$5:$A$9,0)),0)+IFERROR(INDEX(Settings!$F$5:$F$9,MATCH(B90,Settings!$A$5:$A$9,0)),0))-C90)</f>
        <v/>
      </c>
      <c r="H90" s="12">
        <f>IF(OR(A90="",N(E90)=0),"",G90/E90)</f>
        <v/>
      </c>
      <c r="I90">
        <f>IF(OR(A90="",N(E90)=0),"",IF(G90&lt;0,"Loses money at this price",IF(E90&lt;F90,"Below target: raise to "&amp;TEXT(F90,"$0.00"),"On target")))</f>
        <v/>
      </c>
    </row>
    <row r="91">
      <c r="A91">
        <f>IF(Products!A91="","",Products!A91)</f>
        <v/>
      </c>
      <c r="B91" s="13" t="inlineStr">
        <is>
          <t>Etsy</t>
        </is>
      </c>
      <c r="C91" s="11">
        <f>IF(A91="","",Products!I91)</f>
        <v/>
      </c>
      <c r="D91" s="14" t="n">
        <v>0.3</v>
      </c>
      <c r="E91" s="15" t="n"/>
      <c r="F91" s="11">
        <f>IF(A91="","",IF(1-(IFERROR(INDEX(Settings!$B$5:$B$9,MATCH(B91,Settings!$A$5:$A$9,0)),0)+IFERROR(INDEX(Settings!$E$5:$E$9,MATCH(B91,Settings!$A$5:$A$9,0)),0)+IFERROR(INDEX(Settings!$G$5:$G$9,MATCH(B91,Settings!$A$5:$A$9,0)),0)+N(Products!H91))-D91&lt;=0,"margin too high",(C91+(IFERROR(INDEX(Settings!$C$5:$C$9,MATCH(B91,Settings!$A$5:$A$9,0)),0)+IFERROR(INDEX(Settings!$D$5:$D$9,MATCH(B91,Settings!$A$5:$A$9,0)),0)+IFERROR(INDEX(Settings!$F$5:$F$9,MATCH(B91,Settings!$A$5:$A$9,0)),0)))/(1-(IFERROR(INDEX(Settings!$B$5:$B$9,MATCH(B91,Settings!$A$5:$A$9,0)),0)+IFERROR(INDEX(Settings!$E$5:$E$9,MATCH(B91,Settings!$A$5:$A$9,0)),0)+IFERROR(INDEX(Settings!$G$5:$G$9,MATCH(B91,Settings!$A$5:$A$9,0)),0)+N(Products!H91))-D91)))</f>
        <v/>
      </c>
      <c r="G91" s="11">
        <f>IF(OR(A91="",N(E91)=0),"",E91*(1-(IFERROR(INDEX(Settings!$B$5:$B$9,MATCH(B91,Settings!$A$5:$A$9,0)),0)+IFERROR(INDEX(Settings!$E$5:$E$9,MATCH(B91,Settings!$A$5:$A$9,0)),0)+IFERROR(INDEX(Settings!$G$5:$G$9,MATCH(B91,Settings!$A$5:$A$9,0)),0)+N(Products!H91)))-(IFERROR(INDEX(Settings!$C$5:$C$9,MATCH(B91,Settings!$A$5:$A$9,0)),0)+IFERROR(INDEX(Settings!$D$5:$D$9,MATCH(B91,Settings!$A$5:$A$9,0)),0)+IFERROR(INDEX(Settings!$F$5:$F$9,MATCH(B91,Settings!$A$5:$A$9,0)),0))-C91)</f>
        <v/>
      </c>
      <c r="H91" s="12">
        <f>IF(OR(A91="",N(E91)=0),"",G91/E91)</f>
        <v/>
      </c>
      <c r="I91">
        <f>IF(OR(A91="",N(E91)=0),"",IF(G91&lt;0,"Loses money at this price",IF(E91&lt;F91,"Below target: raise to "&amp;TEXT(F91,"$0.00"),"On target")))</f>
        <v/>
      </c>
    </row>
    <row r="92">
      <c r="A92">
        <f>IF(Products!A92="","",Products!A92)</f>
        <v/>
      </c>
      <c r="B92" s="13" t="inlineStr">
        <is>
          <t>Etsy</t>
        </is>
      </c>
      <c r="C92" s="11">
        <f>IF(A92="","",Products!I92)</f>
        <v/>
      </c>
      <c r="D92" s="14" t="n">
        <v>0.3</v>
      </c>
      <c r="E92" s="15" t="n"/>
      <c r="F92" s="11">
        <f>IF(A92="","",IF(1-(IFERROR(INDEX(Settings!$B$5:$B$9,MATCH(B92,Settings!$A$5:$A$9,0)),0)+IFERROR(INDEX(Settings!$E$5:$E$9,MATCH(B92,Settings!$A$5:$A$9,0)),0)+IFERROR(INDEX(Settings!$G$5:$G$9,MATCH(B92,Settings!$A$5:$A$9,0)),0)+N(Products!H92))-D92&lt;=0,"margin too high",(C92+(IFERROR(INDEX(Settings!$C$5:$C$9,MATCH(B92,Settings!$A$5:$A$9,0)),0)+IFERROR(INDEX(Settings!$D$5:$D$9,MATCH(B92,Settings!$A$5:$A$9,0)),0)+IFERROR(INDEX(Settings!$F$5:$F$9,MATCH(B92,Settings!$A$5:$A$9,0)),0)))/(1-(IFERROR(INDEX(Settings!$B$5:$B$9,MATCH(B92,Settings!$A$5:$A$9,0)),0)+IFERROR(INDEX(Settings!$E$5:$E$9,MATCH(B92,Settings!$A$5:$A$9,0)),0)+IFERROR(INDEX(Settings!$G$5:$G$9,MATCH(B92,Settings!$A$5:$A$9,0)),0)+N(Products!H92))-D92)))</f>
        <v/>
      </c>
      <c r="G92" s="11">
        <f>IF(OR(A92="",N(E92)=0),"",E92*(1-(IFERROR(INDEX(Settings!$B$5:$B$9,MATCH(B92,Settings!$A$5:$A$9,0)),0)+IFERROR(INDEX(Settings!$E$5:$E$9,MATCH(B92,Settings!$A$5:$A$9,0)),0)+IFERROR(INDEX(Settings!$G$5:$G$9,MATCH(B92,Settings!$A$5:$A$9,0)),0)+N(Products!H92)))-(IFERROR(INDEX(Settings!$C$5:$C$9,MATCH(B92,Settings!$A$5:$A$9,0)),0)+IFERROR(INDEX(Settings!$D$5:$D$9,MATCH(B92,Settings!$A$5:$A$9,0)),0)+IFERROR(INDEX(Settings!$F$5:$F$9,MATCH(B92,Settings!$A$5:$A$9,0)),0))-C92)</f>
        <v/>
      </c>
      <c r="H92" s="12">
        <f>IF(OR(A92="",N(E92)=0),"",G92/E92)</f>
        <v/>
      </c>
      <c r="I92">
        <f>IF(OR(A92="",N(E92)=0),"",IF(G92&lt;0,"Loses money at this price",IF(E92&lt;F92,"Below target: raise to "&amp;TEXT(F92,"$0.00"),"On target")))</f>
        <v/>
      </c>
    </row>
    <row r="93">
      <c r="A93">
        <f>IF(Products!A93="","",Products!A93)</f>
        <v/>
      </c>
      <c r="B93" s="13" t="inlineStr">
        <is>
          <t>Etsy</t>
        </is>
      </c>
      <c r="C93" s="11">
        <f>IF(A93="","",Products!I93)</f>
        <v/>
      </c>
      <c r="D93" s="14" t="n">
        <v>0.3</v>
      </c>
      <c r="E93" s="15" t="n"/>
      <c r="F93" s="11">
        <f>IF(A93="","",IF(1-(IFERROR(INDEX(Settings!$B$5:$B$9,MATCH(B93,Settings!$A$5:$A$9,0)),0)+IFERROR(INDEX(Settings!$E$5:$E$9,MATCH(B93,Settings!$A$5:$A$9,0)),0)+IFERROR(INDEX(Settings!$G$5:$G$9,MATCH(B93,Settings!$A$5:$A$9,0)),0)+N(Products!H93))-D93&lt;=0,"margin too high",(C93+(IFERROR(INDEX(Settings!$C$5:$C$9,MATCH(B93,Settings!$A$5:$A$9,0)),0)+IFERROR(INDEX(Settings!$D$5:$D$9,MATCH(B93,Settings!$A$5:$A$9,0)),0)+IFERROR(INDEX(Settings!$F$5:$F$9,MATCH(B93,Settings!$A$5:$A$9,0)),0)))/(1-(IFERROR(INDEX(Settings!$B$5:$B$9,MATCH(B93,Settings!$A$5:$A$9,0)),0)+IFERROR(INDEX(Settings!$E$5:$E$9,MATCH(B93,Settings!$A$5:$A$9,0)),0)+IFERROR(INDEX(Settings!$G$5:$G$9,MATCH(B93,Settings!$A$5:$A$9,0)),0)+N(Products!H93))-D93)))</f>
        <v/>
      </c>
      <c r="G93" s="11">
        <f>IF(OR(A93="",N(E93)=0),"",E93*(1-(IFERROR(INDEX(Settings!$B$5:$B$9,MATCH(B93,Settings!$A$5:$A$9,0)),0)+IFERROR(INDEX(Settings!$E$5:$E$9,MATCH(B93,Settings!$A$5:$A$9,0)),0)+IFERROR(INDEX(Settings!$G$5:$G$9,MATCH(B93,Settings!$A$5:$A$9,0)),0)+N(Products!H93)))-(IFERROR(INDEX(Settings!$C$5:$C$9,MATCH(B93,Settings!$A$5:$A$9,0)),0)+IFERROR(INDEX(Settings!$D$5:$D$9,MATCH(B93,Settings!$A$5:$A$9,0)),0)+IFERROR(INDEX(Settings!$F$5:$F$9,MATCH(B93,Settings!$A$5:$A$9,0)),0))-C93)</f>
        <v/>
      </c>
      <c r="H93" s="12">
        <f>IF(OR(A93="",N(E93)=0),"",G93/E93)</f>
        <v/>
      </c>
      <c r="I93">
        <f>IF(OR(A93="",N(E93)=0),"",IF(G93&lt;0,"Loses money at this price",IF(E93&lt;F93,"Below target: raise to "&amp;TEXT(F93,"$0.00"),"On target")))</f>
        <v/>
      </c>
    </row>
    <row r="94">
      <c r="A94">
        <f>IF(Products!A94="","",Products!A94)</f>
        <v/>
      </c>
      <c r="B94" s="13" t="inlineStr">
        <is>
          <t>Etsy</t>
        </is>
      </c>
      <c r="C94" s="11">
        <f>IF(A94="","",Products!I94)</f>
        <v/>
      </c>
      <c r="D94" s="14" t="n">
        <v>0.3</v>
      </c>
      <c r="E94" s="15" t="n"/>
      <c r="F94" s="11">
        <f>IF(A94="","",IF(1-(IFERROR(INDEX(Settings!$B$5:$B$9,MATCH(B94,Settings!$A$5:$A$9,0)),0)+IFERROR(INDEX(Settings!$E$5:$E$9,MATCH(B94,Settings!$A$5:$A$9,0)),0)+IFERROR(INDEX(Settings!$G$5:$G$9,MATCH(B94,Settings!$A$5:$A$9,0)),0)+N(Products!H94))-D94&lt;=0,"margin too high",(C94+(IFERROR(INDEX(Settings!$C$5:$C$9,MATCH(B94,Settings!$A$5:$A$9,0)),0)+IFERROR(INDEX(Settings!$D$5:$D$9,MATCH(B94,Settings!$A$5:$A$9,0)),0)+IFERROR(INDEX(Settings!$F$5:$F$9,MATCH(B94,Settings!$A$5:$A$9,0)),0)))/(1-(IFERROR(INDEX(Settings!$B$5:$B$9,MATCH(B94,Settings!$A$5:$A$9,0)),0)+IFERROR(INDEX(Settings!$E$5:$E$9,MATCH(B94,Settings!$A$5:$A$9,0)),0)+IFERROR(INDEX(Settings!$G$5:$G$9,MATCH(B94,Settings!$A$5:$A$9,0)),0)+N(Products!H94))-D94)))</f>
        <v/>
      </c>
      <c r="G94" s="11">
        <f>IF(OR(A94="",N(E94)=0),"",E94*(1-(IFERROR(INDEX(Settings!$B$5:$B$9,MATCH(B94,Settings!$A$5:$A$9,0)),0)+IFERROR(INDEX(Settings!$E$5:$E$9,MATCH(B94,Settings!$A$5:$A$9,0)),0)+IFERROR(INDEX(Settings!$G$5:$G$9,MATCH(B94,Settings!$A$5:$A$9,0)),0)+N(Products!H94)))-(IFERROR(INDEX(Settings!$C$5:$C$9,MATCH(B94,Settings!$A$5:$A$9,0)),0)+IFERROR(INDEX(Settings!$D$5:$D$9,MATCH(B94,Settings!$A$5:$A$9,0)),0)+IFERROR(INDEX(Settings!$F$5:$F$9,MATCH(B94,Settings!$A$5:$A$9,0)),0))-C94)</f>
        <v/>
      </c>
      <c r="H94" s="12">
        <f>IF(OR(A94="",N(E94)=0),"",G94/E94)</f>
        <v/>
      </c>
      <c r="I94">
        <f>IF(OR(A94="",N(E94)=0),"",IF(G94&lt;0,"Loses money at this price",IF(E94&lt;F94,"Below target: raise to "&amp;TEXT(F94,"$0.00"),"On target")))</f>
        <v/>
      </c>
    </row>
    <row r="95">
      <c r="A95">
        <f>IF(Products!A95="","",Products!A95)</f>
        <v/>
      </c>
      <c r="B95" s="13" t="inlineStr">
        <is>
          <t>Etsy</t>
        </is>
      </c>
      <c r="C95" s="11">
        <f>IF(A95="","",Products!I95)</f>
        <v/>
      </c>
      <c r="D95" s="14" t="n">
        <v>0.3</v>
      </c>
      <c r="E95" s="15" t="n"/>
      <c r="F95" s="11">
        <f>IF(A95="","",IF(1-(IFERROR(INDEX(Settings!$B$5:$B$9,MATCH(B95,Settings!$A$5:$A$9,0)),0)+IFERROR(INDEX(Settings!$E$5:$E$9,MATCH(B95,Settings!$A$5:$A$9,0)),0)+IFERROR(INDEX(Settings!$G$5:$G$9,MATCH(B95,Settings!$A$5:$A$9,0)),0)+N(Products!H95))-D95&lt;=0,"margin too high",(C95+(IFERROR(INDEX(Settings!$C$5:$C$9,MATCH(B95,Settings!$A$5:$A$9,0)),0)+IFERROR(INDEX(Settings!$D$5:$D$9,MATCH(B95,Settings!$A$5:$A$9,0)),0)+IFERROR(INDEX(Settings!$F$5:$F$9,MATCH(B95,Settings!$A$5:$A$9,0)),0)))/(1-(IFERROR(INDEX(Settings!$B$5:$B$9,MATCH(B95,Settings!$A$5:$A$9,0)),0)+IFERROR(INDEX(Settings!$E$5:$E$9,MATCH(B95,Settings!$A$5:$A$9,0)),0)+IFERROR(INDEX(Settings!$G$5:$G$9,MATCH(B95,Settings!$A$5:$A$9,0)),0)+N(Products!H95))-D95)))</f>
        <v/>
      </c>
      <c r="G95" s="11">
        <f>IF(OR(A95="",N(E95)=0),"",E95*(1-(IFERROR(INDEX(Settings!$B$5:$B$9,MATCH(B95,Settings!$A$5:$A$9,0)),0)+IFERROR(INDEX(Settings!$E$5:$E$9,MATCH(B95,Settings!$A$5:$A$9,0)),0)+IFERROR(INDEX(Settings!$G$5:$G$9,MATCH(B95,Settings!$A$5:$A$9,0)),0)+N(Products!H95)))-(IFERROR(INDEX(Settings!$C$5:$C$9,MATCH(B95,Settings!$A$5:$A$9,0)),0)+IFERROR(INDEX(Settings!$D$5:$D$9,MATCH(B95,Settings!$A$5:$A$9,0)),0)+IFERROR(INDEX(Settings!$F$5:$F$9,MATCH(B95,Settings!$A$5:$A$9,0)),0))-C95)</f>
        <v/>
      </c>
      <c r="H95" s="12">
        <f>IF(OR(A95="",N(E95)=0),"",G95/E95)</f>
        <v/>
      </c>
      <c r="I95">
        <f>IF(OR(A95="",N(E95)=0),"",IF(G95&lt;0,"Loses money at this price",IF(E95&lt;F95,"Below target: raise to "&amp;TEXT(F95,"$0.00"),"On target")))</f>
        <v/>
      </c>
    </row>
    <row r="96">
      <c r="A96">
        <f>IF(Products!A96="","",Products!A96)</f>
        <v/>
      </c>
      <c r="B96" s="13" t="inlineStr">
        <is>
          <t>Etsy</t>
        </is>
      </c>
      <c r="C96" s="11">
        <f>IF(A96="","",Products!I96)</f>
        <v/>
      </c>
      <c r="D96" s="14" t="n">
        <v>0.3</v>
      </c>
      <c r="E96" s="15" t="n"/>
      <c r="F96" s="11">
        <f>IF(A96="","",IF(1-(IFERROR(INDEX(Settings!$B$5:$B$9,MATCH(B96,Settings!$A$5:$A$9,0)),0)+IFERROR(INDEX(Settings!$E$5:$E$9,MATCH(B96,Settings!$A$5:$A$9,0)),0)+IFERROR(INDEX(Settings!$G$5:$G$9,MATCH(B96,Settings!$A$5:$A$9,0)),0)+N(Products!H96))-D96&lt;=0,"margin too high",(C96+(IFERROR(INDEX(Settings!$C$5:$C$9,MATCH(B96,Settings!$A$5:$A$9,0)),0)+IFERROR(INDEX(Settings!$D$5:$D$9,MATCH(B96,Settings!$A$5:$A$9,0)),0)+IFERROR(INDEX(Settings!$F$5:$F$9,MATCH(B96,Settings!$A$5:$A$9,0)),0)))/(1-(IFERROR(INDEX(Settings!$B$5:$B$9,MATCH(B96,Settings!$A$5:$A$9,0)),0)+IFERROR(INDEX(Settings!$E$5:$E$9,MATCH(B96,Settings!$A$5:$A$9,0)),0)+IFERROR(INDEX(Settings!$G$5:$G$9,MATCH(B96,Settings!$A$5:$A$9,0)),0)+N(Products!H96))-D96)))</f>
        <v/>
      </c>
      <c r="G96" s="11">
        <f>IF(OR(A96="",N(E96)=0),"",E96*(1-(IFERROR(INDEX(Settings!$B$5:$B$9,MATCH(B96,Settings!$A$5:$A$9,0)),0)+IFERROR(INDEX(Settings!$E$5:$E$9,MATCH(B96,Settings!$A$5:$A$9,0)),0)+IFERROR(INDEX(Settings!$G$5:$G$9,MATCH(B96,Settings!$A$5:$A$9,0)),0)+N(Products!H96)))-(IFERROR(INDEX(Settings!$C$5:$C$9,MATCH(B96,Settings!$A$5:$A$9,0)),0)+IFERROR(INDEX(Settings!$D$5:$D$9,MATCH(B96,Settings!$A$5:$A$9,0)),0)+IFERROR(INDEX(Settings!$F$5:$F$9,MATCH(B96,Settings!$A$5:$A$9,0)),0))-C96)</f>
        <v/>
      </c>
      <c r="H96" s="12">
        <f>IF(OR(A96="",N(E96)=0),"",G96/E96)</f>
        <v/>
      </c>
      <c r="I96">
        <f>IF(OR(A96="",N(E96)=0),"",IF(G96&lt;0,"Loses money at this price",IF(E96&lt;F96,"Below target: raise to "&amp;TEXT(F96,"$0.00"),"On target")))</f>
        <v/>
      </c>
    </row>
    <row r="97">
      <c r="A97">
        <f>IF(Products!A97="","",Products!A97)</f>
        <v/>
      </c>
      <c r="B97" s="13" t="inlineStr">
        <is>
          <t>Etsy</t>
        </is>
      </c>
      <c r="C97" s="11">
        <f>IF(A97="","",Products!I97)</f>
        <v/>
      </c>
      <c r="D97" s="14" t="n">
        <v>0.3</v>
      </c>
      <c r="E97" s="15" t="n"/>
      <c r="F97" s="11">
        <f>IF(A97="","",IF(1-(IFERROR(INDEX(Settings!$B$5:$B$9,MATCH(B97,Settings!$A$5:$A$9,0)),0)+IFERROR(INDEX(Settings!$E$5:$E$9,MATCH(B97,Settings!$A$5:$A$9,0)),0)+IFERROR(INDEX(Settings!$G$5:$G$9,MATCH(B97,Settings!$A$5:$A$9,0)),0)+N(Products!H97))-D97&lt;=0,"margin too high",(C97+(IFERROR(INDEX(Settings!$C$5:$C$9,MATCH(B97,Settings!$A$5:$A$9,0)),0)+IFERROR(INDEX(Settings!$D$5:$D$9,MATCH(B97,Settings!$A$5:$A$9,0)),0)+IFERROR(INDEX(Settings!$F$5:$F$9,MATCH(B97,Settings!$A$5:$A$9,0)),0)))/(1-(IFERROR(INDEX(Settings!$B$5:$B$9,MATCH(B97,Settings!$A$5:$A$9,0)),0)+IFERROR(INDEX(Settings!$E$5:$E$9,MATCH(B97,Settings!$A$5:$A$9,0)),0)+IFERROR(INDEX(Settings!$G$5:$G$9,MATCH(B97,Settings!$A$5:$A$9,0)),0)+N(Products!H97))-D97)))</f>
        <v/>
      </c>
      <c r="G97" s="11">
        <f>IF(OR(A97="",N(E97)=0),"",E97*(1-(IFERROR(INDEX(Settings!$B$5:$B$9,MATCH(B97,Settings!$A$5:$A$9,0)),0)+IFERROR(INDEX(Settings!$E$5:$E$9,MATCH(B97,Settings!$A$5:$A$9,0)),0)+IFERROR(INDEX(Settings!$G$5:$G$9,MATCH(B97,Settings!$A$5:$A$9,0)),0)+N(Products!H97)))-(IFERROR(INDEX(Settings!$C$5:$C$9,MATCH(B97,Settings!$A$5:$A$9,0)),0)+IFERROR(INDEX(Settings!$D$5:$D$9,MATCH(B97,Settings!$A$5:$A$9,0)),0)+IFERROR(INDEX(Settings!$F$5:$F$9,MATCH(B97,Settings!$A$5:$A$9,0)),0))-C97)</f>
        <v/>
      </c>
      <c r="H97" s="12">
        <f>IF(OR(A97="",N(E97)=0),"",G97/E97)</f>
        <v/>
      </c>
      <c r="I97">
        <f>IF(OR(A97="",N(E97)=0),"",IF(G97&lt;0,"Loses money at this price",IF(E97&lt;F97,"Below target: raise to "&amp;TEXT(F97,"$0.00"),"On target")))</f>
        <v/>
      </c>
    </row>
    <row r="98">
      <c r="A98">
        <f>IF(Products!A98="","",Products!A98)</f>
        <v/>
      </c>
      <c r="B98" s="13" t="inlineStr">
        <is>
          <t>Etsy</t>
        </is>
      </c>
      <c r="C98" s="11">
        <f>IF(A98="","",Products!I98)</f>
        <v/>
      </c>
      <c r="D98" s="14" t="n">
        <v>0.3</v>
      </c>
      <c r="E98" s="15" t="n"/>
      <c r="F98" s="11">
        <f>IF(A98="","",IF(1-(IFERROR(INDEX(Settings!$B$5:$B$9,MATCH(B98,Settings!$A$5:$A$9,0)),0)+IFERROR(INDEX(Settings!$E$5:$E$9,MATCH(B98,Settings!$A$5:$A$9,0)),0)+IFERROR(INDEX(Settings!$G$5:$G$9,MATCH(B98,Settings!$A$5:$A$9,0)),0)+N(Products!H98))-D98&lt;=0,"margin too high",(C98+(IFERROR(INDEX(Settings!$C$5:$C$9,MATCH(B98,Settings!$A$5:$A$9,0)),0)+IFERROR(INDEX(Settings!$D$5:$D$9,MATCH(B98,Settings!$A$5:$A$9,0)),0)+IFERROR(INDEX(Settings!$F$5:$F$9,MATCH(B98,Settings!$A$5:$A$9,0)),0)))/(1-(IFERROR(INDEX(Settings!$B$5:$B$9,MATCH(B98,Settings!$A$5:$A$9,0)),0)+IFERROR(INDEX(Settings!$E$5:$E$9,MATCH(B98,Settings!$A$5:$A$9,0)),0)+IFERROR(INDEX(Settings!$G$5:$G$9,MATCH(B98,Settings!$A$5:$A$9,0)),0)+N(Products!H98))-D98)))</f>
        <v/>
      </c>
      <c r="G98" s="11">
        <f>IF(OR(A98="",N(E98)=0),"",E98*(1-(IFERROR(INDEX(Settings!$B$5:$B$9,MATCH(B98,Settings!$A$5:$A$9,0)),0)+IFERROR(INDEX(Settings!$E$5:$E$9,MATCH(B98,Settings!$A$5:$A$9,0)),0)+IFERROR(INDEX(Settings!$G$5:$G$9,MATCH(B98,Settings!$A$5:$A$9,0)),0)+N(Products!H98)))-(IFERROR(INDEX(Settings!$C$5:$C$9,MATCH(B98,Settings!$A$5:$A$9,0)),0)+IFERROR(INDEX(Settings!$D$5:$D$9,MATCH(B98,Settings!$A$5:$A$9,0)),0)+IFERROR(INDEX(Settings!$F$5:$F$9,MATCH(B98,Settings!$A$5:$A$9,0)),0))-C98)</f>
        <v/>
      </c>
      <c r="H98" s="12">
        <f>IF(OR(A98="",N(E98)=0),"",G98/E98)</f>
        <v/>
      </c>
      <c r="I98">
        <f>IF(OR(A98="",N(E98)=0),"",IF(G98&lt;0,"Loses money at this price",IF(E98&lt;F98,"Below target: raise to "&amp;TEXT(F98,"$0.00"),"On target")))</f>
        <v/>
      </c>
    </row>
    <row r="99">
      <c r="A99">
        <f>IF(Products!A99="","",Products!A99)</f>
        <v/>
      </c>
      <c r="B99" s="13" t="inlineStr">
        <is>
          <t>Etsy</t>
        </is>
      </c>
      <c r="C99" s="11">
        <f>IF(A99="","",Products!I99)</f>
        <v/>
      </c>
      <c r="D99" s="14" t="n">
        <v>0.3</v>
      </c>
      <c r="E99" s="15" t="n"/>
      <c r="F99" s="11">
        <f>IF(A99="","",IF(1-(IFERROR(INDEX(Settings!$B$5:$B$9,MATCH(B99,Settings!$A$5:$A$9,0)),0)+IFERROR(INDEX(Settings!$E$5:$E$9,MATCH(B99,Settings!$A$5:$A$9,0)),0)+IFERROR(INDEX(Settings!$G$5:$G$9,MATCH(B99,Settings!$A$5:$A$9,0)),0)+N(Products!H99))-D99&lt;=0,"margin too high",(C99+(IFERROR(INDEX(Settings!$C$5:$C$9,MATCH(B99,Settings!$A$5:$A$9,0)),0)+IFERROR(INDEX(Settings!$D$5:$D$9,MATCH(B99,Settings!$A$5:$A$9,0)),0)+IFERROR(INDEX(Settings!$F$5:$F$9,MATCH(B99,Settings!$A$5:$A$9,0)),0)))/(1-(IFERROR(INDEX(Settings!$B$5:$B$9,MATCH(B99,Settings!$A$5:$A$9,0)),0)+IFERROR(INDEX(Settings!$E$5:$E$9,MATCH(B99,Settings!$A$5:$A$9,0)),0)+IFERROR(INDEX(Settings!$G$5:$G$9,MATCH(B99,Settings!$A$5:$A$9,0)),0)+N(Products!H99))-D99)))</f>
        <v/>
      </c>
      <c r="G99" s="11">
        <f>IF(OR(A99="",N(E99)=0),"",E99*(1-(IFERROR(INDEX(Settings!$B$5:$B$9,MATCH(B99,Settings!$A$5:$A$9,0)),0)+IFERROR(INDEX(Settings!$E$5:$E$9,MATCH(B99,Settings!$A$5:$A$9,0)),0)+IFERROR(INDEX(Settings!$G$5:$G$9,MATCH(B99,Settings!$A$5:$A$9,0)),0)+N(Products!H99)))-(IFERROR(INDEX(Settings!$C$5:$C$9,MATCH(B99,Settings!$A$5:$A$9,0)),0)+IFERROR(INDEX(Settings!$D$5:$D$9,MATCH(B99,Settings!$A$5:$A$9,0)),0)+IFERROR(INDEX(Settings!$F$5:$F$9,MATCH(B99,Settings!$A$5:$A$9,0)),0))-C99)</f>
        <v/>
      </c>
      <c r="H99" s="12">
        <f>IF(OR(A99="",N(E99)=0),"",G99/E99)</f>
        <v/>
      </c>
      <c r="I99">
        <f>IF(OR(A99="",N(E99)=0),"",IF(G99&lt;0,"Loses money at this price",IF(E99&lt;F99,"Below target: raise to "&amp;TEXT(F99,"$0.00"),"On target")))</f>
        <v/>
      </c>
    </row>
    <row r="100">
      <c r="A100">
        <f>IF(Products!A100="","",Products!A100)</f>
        <v/>
      </c>
      <c r="B100" s="13" t="inlineStr">
        <is>
          <t>Etsy</t>
        </is>
      </c>
      <c r="C100" s="11">
        <f>IF(A100="","",Products!I100)</f>
        <v/>
      </c>
      <c r="D100" s="14" t="n">
        <v>0.3</v>
      </c>
      <c r="E100" s="15" t="n"/>
      <c r="F100" s="11">
        <f>IF(A100="","",IF(1-(IFERROR(INDEX(Settings!$B$5:$B$9,MATCH(B100,Settings!$A$5:$A$9,0)),0)+IFERROR(INDEX(Settings!$E$5:$E$9,MATCH(B100,Settings!$A$5:$A$9,0)),0)+IFERROR(INDEX(Settings!$G$5:$G$9,MATCH(B100,Settings!$A$5:$A$9,0)),0)+N(Products!H100))-D100&lt;=0,"margin too high",(C100+(IFERROR(INDEX(Settings!$C$5:$C$9,MATCH(B100,Settings!$A$5:$A$9,0)),0)+IFERROR(INDEX(Settings!$D$5:$D$9,MATCH(B100,Settings!$A$5:$A$9,0)),0)+IFERROR(INDEX(Settings!$F$5:$F$9,MATCH(B100,Settings!$A$5:$A$9,0)),0)))/(1-(IFERROR(INDEX(Settings!$B$5:$B$9,MATCH(B100,Settings!$A$5:$A$9,0)),0)+IFERROR(INDEX(Settings!$E$5:$E$9,MATCH(B100,Settings!$A$5:$A$9,0)),0)+IFERROR(INDEX(Settings!$G$5:$G$9,MATCH(B100,Settings!$A$5:$A$9,0)),0)+N(Products!H100))-D100)))</f>
        <v/>
      </c>
      <c r="G100" s="11">
        <f>IF(OR(A100="",N(E100)=0),"",E100*(1-(IFERROR(INDEX(Settings!$B$5:$B$9,MATCH(B100,Settings!$A$5:$A$9,0)),0)+IFERROR(INDEX(Settings!$E$5:$E$9,MATCH(B100,Settings!$A$5:$A$9,0)),0)+IFERROR(INDEX(Settings!$G$5:$G$9,MATCH(B100,Settings!$A$5:$A$9,0)),0)+N(Products!H100)))-(IFERROR(INDEX(Settings!$C$5:$C$9,MATCH(B100,Settings!$A$5:$A$9,0)),0)+IFERROR(INDEX(Settings!$D$5:$D$9,MATCH(B100,Settings!$A$5:$A$9,0)),0)+IFERROR(INDEX(Settings!$F$5:$F$9,MATCH(B100,Settings!$A$5:$A$9,0)),0))-C100)</f>
        <v/>
      </c>
      <c r="H100" s="12">
        <f>IF(OR(A100="",N(E100)=0),"",G100/E100)</f>
        <v/>
      </c>
      <c r="I100">
        <f>IF(OR(A100="",N(E100)=0),"",IF(G100&lt;0,"Loses money at this price",IF(E100&lt;F100,"Below target: raise to "&amp;TEXT(F100,"$0.00"),"On target")))</f>
        <v/>
      </c>
    </row>
    <row r="101">
      <c r="A101">
        <f>IF(Products!A101="","",Products!A101)</f>
        <v/>
      </c>
      <c r="B101" s="13" t="inlineStr">
        <is>
          <t>Etsy</t>
        </is>
      </c>
      <c r="C101" s="11">
        <f>IF(A101="","",Products!I101)</f>
        <v/>
      </c>
      <c r="D101" s="14" t="n">
        <v>0.3</v>
      </c>
      <c r="E101" s="15" t="n"/>
      <c r="F101" s="11">
        <f>IF(A101="","",IF(1-(IFERROR(INDEX(Settings!$B$5:$B$9,MATCH(B101,Settings!$A$5:$A$9,0)),0)+IFERROR(INDEX(Settings!$E$5:$E$9,MATCH(B101,Settings!$A$5:$A$9,0)),0)+IFERROR(INDEX(Settings!$G$5:$G$9,MATCH(B101,Settings!$A$5:$A$9,0)),0)+N(Products!H101))-D101&lt;=0,"margin too high",(C101+(IFERROR(INDEX(Settings!$C$5:$C$9,MATCH(B101,Settings!$A$5:$A$9,0)),0)+IFERROR(INDEX(Settings!$D$5:$D$9,MATCH(B101,Settings!$A$5:$A$9,0)),0)+IFERROR(INDEX(Settings!$F$5:$F$9,MATCH(B101,Settings!$A$5:$A$9,0)),0)))/(1-(IFERROR(INDEX(Settings!$B$5:$B$9,MATCH(B101,Settings!$A$5:$A$9,0)),0)+IFERROR(INDEX(Settings!$E$5:$E$9,MATCH(B101,Settings!$A$5:$A$9,0)),0)+IFERROR(INDEX(Settings!$G$5:$G$9,MATCH(B101,Settings!$A$5:$A$9,0)),0)+N(Products!H101))-D101)))</f>
        <v/>
      </c>
      <c r="G101" s="11">
        <f>IF(OR(A101="",N(E101)=0),"",E101*(1-(IFERROR(INDEX(Settings!$B$5:$B$9,MATCH(B101,Settings!$A$5:$A$9,0)),0)+IFERROR(INDEX(Settings!$E$5:$E$9,MATCH(B101,Settings!$A$5:$A$9,0)),0)+IFERROR(INDEX(Settings!$G$5:$G$9,MATCH(B101,Settings!$A$5:$A$9,0)),0)+N(Products!H101)))-(IFERROR(INDEX(Settings!$C$5:$C$9,MATCH(B101,Settings!$A$5:$A$9,0)),0)+IFERROR(INDEX(Settings!$D$5:$D$9,MATCH(B101,Settings!$A$5:$A$9,0)),0)+IFERROR(INDEX(Settings!$F$5:$F$9,MATCH(B101,Settings!$A$5:$A$9,0)),0))-C101)</f>
        <v/>
      </c>
      <c r="H101" s="12">
        <f>IF(OR(A101="",N(E101)=0),"",G101/E101)</f>
        <v/>
      </c>
      <c r="I101">
        <f>IF(OR(A101="",N(E101)=0),"",IF(G101&lt;0,"Loses money at this price",IF(E101&lt;F101,"Below target: raise to "&amp;TEXT(F101,"$0.00"),"On target")))</f>
        <v/>
      </c>
    </row>
    <row r="102">
      <c r="A102">
        <f>IF(Products!A102="","",Products!A102)</f>
        <v/>
      </c>
      <c r="B102" s="13" t="inlineStr">
        <is>
          <t>Etsy</t>
        </is>
      </c>
      <c r="C102" s="11">
        <f>IF(A102="","",Products!I102)</f>
        <v/>
      </c>
      <c r="D102" s="14" t="n">
        <v>0.3</v>
      </c>
      <c r="E102" s="15" t="n"/>
      <c r="F102" s="11">
        <f>IF(A102="","",IF(1-(IFERROR(INDEX(Settings!$B$5:$B$9,MATCH(B102,Settings!$A$5:$A$9,0)),0)+IFERROR(INDEX(Settings!$E$5:$E$9,MATCH(B102,Settings!$A$5:$A$9,0)),0)+IFERROR(INDEX(Settings!$G$5:$G$9,MATCH(B102,Settings!$A$5:$A$9,0)),0)+N(Products!H102))-D102&lt;=0,"margin too high",(C102+(IFERROR(INDEX(Settings!$C$5:$C$9,MATCH(B102,Settings!$A$5:$A$9,0)),0)+IFERROR(INDEX(Settings!$D$5:$D$9,MATCH(B102,Settings!$A$5:$A$9,0)),0)+IFERROR(INDEX(Settings!$F$5:$F$9,MATCH(B102,Settings!$A$5:$A$9,0)),0)))/(1-(IFERROR(INDEX(Settings!$B$5:$B$9,MATCH(B102,Settings!$A$5:$A$9,0)),0)+IFERROR(INDEX(Settings!$E$5:$E$9,MATCH(B102,Settings!$A$5:$A$9,0)),0)+IFERROR(INDEX(Settings!$G$5:$G$9,MATCH(B102,Settings!$A$5:$A$9,0)),0)+N(Products!H102))-D102)))</f>
        <v/>
      </c>
      <c r="G102" s="11">
        <f>IF(OR(A102="",N(E102)=0),"",E102*(1-(IFERROR(INDEX(Settings!$B$5:$B$9,MATCH(B102,Settings!$A$5:$A$9,0)),0)+IFERROR(INDEX(Settings!$E$5:$E$9,MATCH(B102,Settings!$A$5:$A$9,0)),0)+IFERROR(INDEX(Settings!$G$5:$G$9,MATCH(B102,Settings!$A$5:$A$9,0)),0)+N(Products!H102)))-(IFERROR(INDEX(Settings!$C$5:$C$9,MATCH(B102,Settings!$A$5:$A$9,0)),0)+IFERROR(INDEX(Settings!$D$5:$D$9,MATCH(B102,Settings!$A$5:$A$9,0)),0)+IFERROR(INDEX(Settings!$F$5:$F$9,MATCH(B102,Settings!$A$5:$A$9,0)),0))-C102)</f>
        <v/>
      </c>
      <c r="H102" s="12">
        <f>IF(OR(A102="",N(E102)=0),"",G102/E102)</f>
        <v/>
      </c>
      <c r="I102">
        <f>IF(OR(A102="",N(E102)=0),"",IF(G102&lt;0,"Loses money at this price",IF(E102&lt;F102,"Below target: raise to "&amp;TEXT(F102,"$0.00"),"On target")))</f>
        <v/>
      </c>
    </row>
    <row r="103">
      <c r="A103">
        <f>IF(Products!A103="","",Products!A103)</f>
        <v/>
      </c>
      <c r="B103" s="13" t="inlineStr">
        <is>
          <t>Etsy</t>
        </is>
      </c>
      <c r="C103" s="11">
        <f>IF(A103="","",Products!I103)</f>
        <v/>
      </c>
      <c r="D103" s="14" t="n">
        <v>0.3</v>
      </c>
      <c r="E103" s="15" t="n"/>
      <c r="F103" s="11">
        <f>IF(A103="","",IF(1-(IFERROR(INDEX(Settings!$B$5:$B$9,MATCH(B103,Settings!$A$5:$A$9,0)),0)+IFERROR(INDEX(Settings!$E$5:$E$9,MATCH(B103,Settings!$A$5:$A$9,0)),0)+IFERROR(INDEX(Settings!$G$5:$G$9,MATCH(B103,Settings!$A$5:$A$9,0)),0)+N(Products!H103))-D103&lt;=0,"margin too high",(C103+(IFERROR(INDEX(Settings!$C$5:$C$9,MATCH(B103,Settings!$A$5:$A$9,0)),0)+IFERROR(INDEX(Settings!$D$5:$D$9,MATCH(B103,Settings!$A$5:$A$9,0)),0)+IFERROR(INDEX(Settings!$F$5:$F$9,MATCH(B103,Settings!$A$5:$A$9,0)),0)))/(1-(IFERROR(INDEX(Settings!$B$5:$B$9,MATCH(B103,Settings!$A$5:$A$9,0)),0)+IFERROR(INDEX(Settings!$E$5:$E$9,MATCH(B103,Settings!$A$5:$A$9,0)),0)+IFERROR(INDEX(Settings!$G$5:$G$9,MATCH(B103,Settings!$A$5:$A$9,0)),0)+N(Products!H103))-D103)))</f>
        <v/>
      </c>
      <c r="G103" s="11">
        <f>IF(OR(A103="",N(E103)=0),"",E103*(1-(IFERROR(INDEX(Settings!$B$5:$B$9,MATCH(B103,Settings!$A$5:$A$9,0)),0)+IFERROR(INDEX(Settings!$E$5:$E$9,MATCH(B103,Settings!$A$5:$A$9,0)),0)+IFERROR(INDEX(Settings!$G$5:$G$9,MATCH(B103,Settings!$A$5:$A$9,0)),0)+N(Products!H103)))-(IFERROR(INDEX(Settings!$C$5:$C$9,MATCH(B103,Settings!$A$5:$A$9,0)),0)+IFERROR(INDEX(Settings!$D$5:$D$9,MATCH(B103,Settings!$A$5:$A$9,0)),0)+IFERROR(INDEX(Settings!$F$5:$F$9,MATCH(B103,Settings!$A$5:$A$9,0)),0))-C103)</f>
        <v/>
      </c>
      <c r="H103" s="12">
        <f>IF(OR(A103="",N(E103)=0),"",G103/E103)</f>
        <v/>
      </c>
      <c r="I103">
        <f>IF(OR(A103="",N(E103)=0),"",IF(G103&lt;0,"Loses money at this price",IF(E103&lt;F103,"Below target: raise to "&amp;TEXT(F103,"$0.00"),"On target")))</f>
        <v/>
      </c>
    </row>
    <row r="104">
      <c r="A104">
        <f>IF(Products!A104="","",Products!A104)</f>
        <v/>
      </c>
      <c r="B104" s="13" t="inlineStr">
        <is>
          <t>Etsy</t>
        </is>
      </c>
      <c r="C104" s="11">
        <f>IF(A104="","",Products!I104)</f>
        <v/>
      </c>
      <c r="D104" s="14" t="n">
        <v>0.3</v>
      </c>
      <c r="E104" s="15" t="n"/>
      <c r="F104" s="11">
        <f>IF(A104="","",IF(1-(IFERROR(INDEX(Settings!$B$5:$B$9,MATCH(B104,Settings!$A$5:$A$9,0)),0)+IFERROR(INDEX(Settings!$E$5:$E$9,MATCH(B104,Settings!$A$5:$A$9,0)),0)+IFERROR(INDEX(Settings!$G$5:$G$9,MATCH(B104,Settings!$A$5:$A$9,0)),0)+N(Products!H104))-D104&lt;=0,"margin too high",(C104+(IFERROR(INDEX(Settings!$C$5:$C$9,MATCH(B104,Settings!$A$5:$A$9,0)),0)+IFERROR(INDEX(Settings!$D$5:$D$9,MATCH(B104,Settings!$A$5:$A$9,0)),0)+IFERROR(INDEX(Settings!$F$5:$F$9,MATCH(B104,Settings!$A$5:$A$9,0)),0)))/(1-(IFERROR(INDEX(Settings!$B$5:$B$9,MATCH(B104,Settings!$A$5:$A$9,0)),0)+IFERROR(INDEX(Settings!$E$5:$E$9,MATCH(B104,Settings!$A$5:$A$9,0)),0)+IFERROR(INDEX(Settings!$G$5:$G$9,MATCH(B104,Settings!$A$5:$A$9,0)),0)+N(Products!H104))-D104)))</f>
        <v/>
      </c>
      <c r="G104" s="11">
        <f>IF(OR(A104="",N(E104)=0),"",E104*(1-(IFERROR(INDEX(Settings!$B$5:$B$9,MATCH(B104,Settings!$A$5:$A$9,0)),0)+IFERROR(INDEX(Settings!$E$5:$E$9,MATCH(B104,Settings!$A$5:$A$9,0)),0)+IFERROR(INDEX(Settings!$G$5:$G$9,MATCH(B104,Settings!$A$5:$A$9,0)),0)+N(Products!H104)))-(IFERROR(INDEX(Settings!$C$5:$C$9,MATCH(B104,Settings!$A$5:$A$9,0)),0)+IFERROR(INDEX(Settings!$D$5:$D$9,MATCH(B104,Settings!$A$5:$A$9,0)),0)+IFERROR(INDEX(Settings!$F$5:$F$9,MATCH(B104,Settings!$A$5:$A$9,0)),0))-C104)</f>
        <v/>
      </c>
      <c r="H104" s="12">
        <f>IF(OR(A104="",N(E104)=0),"",G104/E104)</f>
        <v/>
      </c>
      <c r="I104">
        <f>IF(OR(A104="",N(E104)=0),"",IF(G104&lt;0,"Loses money at this price",IF(E104&lt;F104,"Below target: raise to "&amp;TEXT(F104,"$0.00"),"On target")))</f>
        <v/>
      </c>
    </row>
    <row r="105">
      <c r="A105">
        <f>IF(Products!A105="","",Products!A105)</f>
        <v/>
      </c>
      <c r="B105" s="13" t="inlineStr">
        <is>
          <t>Etsy</t>
        </is>
      </c>
      <c r="C105" s="11">
        <f>IF(A105="","",Products!I105)</f>
        <v/>
      </c>
      <c r="D105" s="14" t="n">
        <v>0.3</v>
      </c>
      <c r="E105" s="15" t="n"/>
      <c r="F105" s="11">
        <f>IF(A105="","",IF(1-(IFERROR(INDEX(Settings!$B$5:$B$9,MATCH(B105,Settings!$A$5:$A$9,0)),0)+IFERROR(INDEX(Settings!$E$5:$E$9,MATCH(B105,Settings!$A$5:$A$9,0)),0)+IFERROR(INDEX(Settings!$G$5:$G$9,MATCH(B105,Settings!$A$5:$A$9,0)),0)+N(Products!H105))-D105&lt;=0,"margin too high",(C105+(IFERROR(INDEX(Settings!$C$5:$C$9,MATCH(B105,Settings!$A$5:$A$9,0)),0)+IFERROR(INDEX(Settings!$D$5:$D$9,MATCH(B105,Settings!$A$5:$A$9,0)),0)+IFERROR(INDEX(Settings!$F$5:$F$9,MATCH(B105,Settings!$A$5:$A$9,0)),0)))/(1-(IFERROR(INDEX(Settings!$B$5:$B$9,MATCH(B105,Settings!$A$5:$A$9,0)),0)+IFERROR(INDEX(Settings!$E$5:$E$9,MATCH(B105,Settings!$A$5:$A$9,0)),0)+IFERROR(INDEX(Settings!$G$5:$G$9,MATCH(B105,Settings!$A$5:$A$9,0)),0)+N(Products!H105))-D105)))</f>
        <v/>
      </c>
      <c r="G105" s="11">
        <f>IF(OR(A105="",N(E105)=0),"",E105*(1-(IFERROR(INDEX(Settings!$B$5:$B$9,MATCH(B105,Settings!$A$5:$A$9,0)),0)+IFERROR(INDEX(Settings!$E$5:$E$9,MATCH(B105,Settings!$A$5:$A$9,0)),0)+IFERROR(INDEX(Settings!$G$5:$G$9,MATCH(B105,Settings!$A$5:$A$9,0)),0)+N(Products!H105)))-(IFERROR(INDEX(Settings!$C$5:$C$9,MATCH(B105,Settings!$A$5:$A$9,0)),0)+IFERROR(INDEX(Settings!$D$5:$D$9,MATCH(B105,Settings!$A$5:$A$9,0)),0)+IFERROR(INDEX(Settings!$F$5:$F$9,MATCH(B105,Settings!$A$5:$A$9,0)),0))-C105)</f>
        <v/>
      </c>
      <c r="H105" s="12">
        <f>IF(OR(A105="",N(E105)=0),"",G105/E105)</f>
        <v/>
      </c>
      <c r="I105">
        <f>IF(OR(A105="",N(E105)=0),"",IF(G105&lt;0,"Loses money at this price",IF(E105&lt;F105,"Below target: raise to "&amp;TEXT(F105,"$0.00"),"On target")))</f>
        <v/>
      </c>
    </row>
    <row r="106">
      <c r="A106">
        <f>IF(Products!A106="","",Products!A106)</f>
        <v/>
      </c>
      <c r="B106" s="13" t="inlineStr">
        <is>
          <t>Etsy</t>
        </is>
      </c>
      <c r="C106" s="11">
        <f>IF(A106="","",Products!I106)</f>
        <v/>
      </c>
      <c r="D106" s="14" t="n">
        <v>0.3</v>
      </c>
      <c r="E106" s="15" t="n"/>
      <c r="F106" s="11">
        <f>IF(A106="","",IF(1-(IFERROR(INDEX(Settings!$B$5:$B$9,MATCH(B106,Settings!$A$5:$A$9,0)),0)+IFERROR(INDEX(Settings!$E$5:$E$9,MATCH(B106,Settings!$A$5:$A$9,0)),0)+IFERROR(INDEX(Settings!$G$5:$G$9,MATCH(B106,Settings!$A$5:$A$9,0)),0)+N(Products!H106))-D106&lt;=0,"margin too high",(C106+(IFERROR(INDEX(Settings!$C$5:$C$9,MATCH(B106,Settings!$A$5:$A$9,0)),0)+IFERROR(INDEX(Settings!$D$5:$D$9,MATCH(B106,Settings!$A$5:$A$9,0)),0)+IFERROR(INDEX(Settings!$F$5:$F$9,MATCH(B106,Settings!$A$5:$A$9,0)),0)))/(1-(IFERROR(INDEX(Settings!$B$5:$B$9,MATCH(B106,Settings!$A$5:$A$9,0)),0)+IFERROR(INDEX(Settings!$E$5:$E$9,MATCH(B106,Settings!$A$5:$A$9,0)),0)+IFERROR(INDEX(Settings!$G$5:$G$9,MATCH(B106,Settings!$A$5:$A$9,0)),0)+N(Products!H106))-D106)))</f>
        <v/>
      </c>
      <c r="G106" s="11">
        <f>IF(OR(A106="",N(E106)=0),"",E106*(1-(IFERROR(INDEX(Settings!$B$5:$B$9,MATCH(B106,Settings!$A$5:$A$9,0)),0)+IFERROR(INDEX(Settings!$E$5:$E$9,MATCH(B106,Settings!$A$5:$A$9,0)),0)+IFERROR(INDEX(Settings!$G$5:$G$9,MATCH(B106,Settings!$A$5:$A$9,0)),0)+N(Products!H106)))-(IFERROR(INDEX(Settings!$C$5:$C$9,MATCH(B106,Settings!$A$5:$A$9,0)),0)+IFERROR(INDEX(Settings!$D$5:$D$9,MATCH(B106,Settings!$A$5:$A$9,0)),0)+IFERROR(INDEX(Settings!$F$5:$F$9,MATCH(B106,Settings!$A$5:$A$9,0)),0))-C106)</f>
        <v/>
      </c>
      <c r="H106" s="12">
        <f>IF(OR(A106="",N(E106)=0),"",G106/E106)</f>
        <v/>
      </c>
      <c r="I106">
        <f>IF(OR(A106="",N(E106)=0),"",IF(G106&lt;0,"Loses money at this price",IF(E106&lt;F106,"Below target: raise to "&amp;TEXT(F106,"$0.00"),"On target")))</f>
        <v/>
      </c>
    </row>
    <row r="107">
      <c r="A107">
        <f>IF(Products!A107="","",Products!A107)</f>
        <v/>
      </c>
      <c r="B107" s="13" t="inlineStr">
        <is>
          <t>Etsy</t>
        </is>
      </c>
      <c r="C107" s="11">
        <f>IF(A107="","",Products!I107)</f>
        <v/>
      </c>
      <c r="D107" s="14" t="n">
        <v>0.3</v>
      </c>
      <c r="E107" s="15" t="n"/>
      <c r="F107" s="11">
        <f>IF(A107="","",IF(1-(IFERROR(INDEX(Settings!$B$5:$B$9,MATCH(B107,Settings!$A$5:$A$9,0)),0)+IFERROR(INDEX(Settings!$E$5:$E$9,MATCH(B107,Settings!$A$5:$A$9,0)),0)+IFERROR(INDEX(Settings!$G$5:$G$9,MATCH(B107,Settings!$A$5:$A$9,0)),0)+N(Products!H107))-D107&lt;=0,"margin too high",(C107+(IFERROR(INDEX(Settings!$C$5:$C$9,MATCH(B107,Settings!$A$5:$A$9,0)),0)+IFERROR(INDEX(Settings!$D$5:$D$9,MATCH(B107,Settings!$A$5:$A$9,0)),0)+IFERROR(INDEX(Settings!$F$5:$F$9,MATCH(B107,Settings!$A$5:$A$9,0)),0)))/(1-(IFERROR(INDEX(Settings!$B$5:$B$9,MATCH(B107,Settings!$A$5:$A$9,0)),0)+IFERROR(INDEX(Settings!$E$5:$E$9,MATCH(B107,Settings!$A$5:$A$9,0)),0)+IFERROR(INDEX(Settings!$G$5:$G$9,MATCH(B107,Settings!$A$5:$A$9,0)),0)+N(Products!H107))-D107)))</f>
        <v/>
      </c>
      <c r="G107" s="11">
        <f>IF(OR(A107="",N(E107)=0),"",E107*(1-(IFERROR(INDEX(Settings!$B$5:$B$9,MATCH(B107,Settings!$A$5:$A$9,0)),0)+IFERROR(INDEX(Settings!$E$5:$E$9,MATCH(B107,Settings!$A$5:$A$9,0)),0)+IFERROR(INDEX(Settings!$G$5:$G$9,MATCH(B107,Settings!$A$5:$A$9,0)),0)+N(Products!H107)))-(IFERROR(INDEX(Settings!$C$5:$C$9,MATCH(B107,Settings!$A$5:$A$9,0)),0)+IFERROR(INDEX(Settings!$D$5:$D$9,MATCH(B107,Settings!$A$5:$A$9,0)),0)+IFERROR(INDEX(Settings!$F$5:$F$9,MATCH(B107,Settings!$A$5:$A$9,0)),0))-C107)</f>
        <v/>
      </c>
      <c r="H107" s="12">
        <f>IF(OR(A107="",N(E107)=0),"",G107/E107)</f>
        <v/>
      </c>
      <c r="I107">
        <f>IF(OR(A107="",N(E107)=0),"",IF(G107&lt;0,"Loses money at this price",IF(E107&lt;F107,"Below target: raise to "&amp;TEXT(F107,"$0.00"),"On target")))</f>
        <v/>
      </c>
    </row>
    <row r="108">
      <c r="A108">
        <f>IF(Products!A108="","",Products!A108)</f>
        <v/>
      </c>
      <c r="B108" s="13" t="inlineStr">
        <is>
          <t>Etsy</t>
        </is>
      </c>
      <c r="C108" s="11">
        <f>IF(A108="","",Products!I108)</f>
        <v/>
      </c>
      <c r="D108" s="14" t="n">
        <v>0.3</v>
      </c>
      <c r="E108" s="15" t="n"/>
      <c r="F108" s="11">
        <f>IF(A108="","",IF(1-(IFERROR(INDEX(Settings!$B$5:$B$9,MATCH(B108,Settings!$A$5:$A$9,0)),0)+IFERROR(INDEX(Settings!$E$5:$E$9,MATCH(B108,Settings!$A$5:$A$9,0)),0)+IFERROR(INDEX(Settings!$G$5:$G$9,MATCH(B108,Settings!$A$5:$A$9,0)),0)+N(Products!H108))-D108&lt;=0,"margin too high",(C108+(IFERROR(INDEX(Settings!$C$5:$C$9,MATCH(B108,Settings!$A$5:$A$9,0)),0)+IFERROR(INDEX(Settings!$D$5:$D$9,MATCH(B108,Settings!$A$5:$A$9,0)),0)+IFERROR(INDEX(Settings!$F$5:$F$9,MATCH(B108,Settings!$A$5:$A$9,0)),0)))/(1-(IFERROR(INDEX(Settings!$B$5:$B$9,MATCH(B108,Settings!$A$5:$A$9,0)),0)+IFERROR(INDEX(Settings!$E$5:$E$9,MATCH(B108,Settings!$A$5:$A$9,0)),0)+IFERROR(INDEX(Settings!$G$5:$G$9,MATCH(B108,Settings!$A$5:$A$9,0)),0)+N(Products!H108))-D108)))</f>
        <v/>
      </c>
      <c r="G108" s="11">
        <f>IF(OR(A108="",N(E108)=0),"",E108*(1-(IFERROR(INDEX(Settings!$B$5:$B$9,MATCH(B108,Settings!$A$5:$A$9,0)),0)+IFERROR(INDEX(Settings!$E$5:$E$9,MATCH(B108,Settings!$A$5:$A$9,0)),0)+IFERROR(INDEX(Settings!$G$5:$G$9,MATCH(B108,Settings!$A$5:$A$9,0)),0)+N(Products!H108)))-(IFERROR(INDEX(Settings!$C$5:$C$9,MATCH(B108,Settings!$A$5:$A$9,0)),0)+IFERROR(INDEX(Settings!$D$5:$D$9,MATCH(B108,Settings!$A$5:$A$9,0)),0)+IFERROR(INDEX(Settings!$F$5:$F$9,MATCH(B108,Settings!$A$5:$A$9,0)),0))-C108)</f>
        <v/>
      </c>
      <c r="H108" s="12">
        <f>IF(OR(A108="",N(E108)=0),"",G108/E108)</f>
        <v/>
      </c>
      <c r="I108">
        <f>IF(OR(A108="",N(E108)=0),"",IF(G108&lt;0,"Loses money at this price",IF(E108&lt;F108,"Below target: raise to "&amp;TEXT(F108,"$0.00"),"On target")))</f>
        <v/>
      </c>
    </row>
    <row r="109">
      <c r="A109">
        <f>IF(Products!A109="","",Products!A109)</f>
        <v/>
      </c>
      <c r="B109" s="13" t="inlineStr">
        <is>
          <t>Etsy</t>
        </is>
      </c>
      <c r="C109" s="11">
        <f>IF(A109="","",Products!I109)</f>
        <v/>
      </c>
      <c r="D109" s="14" t="n">
        <v>0.3</v>
      </c>
      <c r="E109" s="15" t="n"/>
      <c r="F109" s="11">
        <f>IF(A109="","",IF(1-(IFERROR(INDEX(Settings!$B$5:$B$9,MATCH(B109,Settings!$A$5:$A$9,0)),0)+IFERROR(INDEX(Settings!$E$5:$E$9,MATCH(B109,Settings!$A$5:$A$9,0)),0)+IFERROR(INDEX(Settings!$G$5:$G$9,MATCH(B109,Settings!$A$5:$A$9,0)),0)+N(Products!H109))-D109&lt;=0,"margin too high",(C109+(IFERROR(INDEX(Settings!$C$5:$C$9,MATCH(B109,Settings!$A$5:$A$9,0)),0)+IFERROR(INDEX(Settings!$D$5:$D$9,MATCH(B109,Settings!$A$5:$A$9,0)),0)+IFERROR(INDEX(Settings!$F$5:$F$9,MATCH(B109,Settings!$A$5:$A$9,0)),0)))/(1-(IFERROR(INDEX(Settings!$B$5:$B$9,MATCH(B109,Settings!$A$5:$A$9,0)),0)+IFERROR(INDEX(Settings!$E$5:$E$9,MATCH(B109,Settings!$A$5:$A$9,0)),0)+IFERROR(INDEX(Settings!$G$5:$G$9,MATCH(B109,Settings!$A$5:$A$9,0)),0)+N(Products!H109))-D109)))</f>
        <v/>
      </c>
      <c r="G109" s="11">
        <f>IF(OR(A109="",N(E109)=0),"",E109*(1-(IFERROR(INDEX(Settings!$B$5:$B$9,MATCH(B109,Settings!$A$5:$A$9,0)),0)+IFERROR(INDEX(Settings!$E$5:$E$9,MATCH(B109,Settings!$A$5:$A$9,0)),0)+IFERROR(INDEX(Settings!$G$5:$G$9,MATCH(B109,Settings!$A$5:$A$9,0)),0)+N(Products!H109)))-(IFERROR(INDEX(Settings!$C$5:$C$9,MATCH(B109,Settings!$A$5:$A$9,0)),0)+IFERROR(INDEX(Settings!$D$5:$D$9,MATCH(B109,Settings!$A$5:$A$9,0)),0)+IFERROR(INDEX(Settings!$F$5:$F$9,MATCH(B109,Settings!$A$5:$A$9,0)),0))-C109)</f>
        <v/>
      </c>
      <c r="H109" s="12">
        <f>IF(OR(A109="",N(E109)=0),"",G109/E109)</f>
        <v/>
      </c>
      <c r="I109">
        <f>IF(OR(A109="",N(E109)=0),"",IF(G109&lt;0,"Loses money at this price",IF(E109&lt;F109,"Below target: raise to "&amp;TEXT(F109,"$0.00"),"On target")))</f>
        <v/>
      </c>
    </row>
    <row r="110">
      <c r="A110">
        <f>IF(Products!A110="","",Products!A110)</f>
        <v/>
      </c>
      <c r="B110" s="13" t="inlineStr">
        <is>
          <t>Etsy</t>
        </is>
      </c>
      <c r="C110" s="11">
        <f>IF(A110="","",Products!I110)</f>
        <v/>
      </c>
      <c r="D110" s="14" t="n">
        <v>0.3</v>
      </c>
      <c r="E110" s="15" t="n"/>
      <c r="F110" s="11">
        <f>IF(A110="","",IF(1-(IFERROR(INDEX(Settings!$B$5:$B$9,MATCH(B110,Settings!$A$5:$A$9,0)),0)+IFERROR(INDEX(Settings!$E$5:$E$9,MATCH(B110,Settings!$A$5:$A$9,0)),0)+IFERROR(INDEX(Settings!$G$5:$G$9,MATCH(B110,Settings!$A$5:$A$9,0)),0)+N(Products!H110))-D110&lt;=0,"margin too high",(C110+(IFERROR(INDEX(Settings!$C$5:$C$9,MATCH(B110,Settings!$A$5:$A$9,0)),0)+IFERROR(INDEX(Settings!$D$5:$D$9,MATCH(B110,Settings!$A$5:$A$9,0)),0)+IFERROR(INDEX(Settings!$F$5:$F$9,MATCH(B110,Settings!$A$5:$A$9,0)),0)))/(1-(IFERROR(INDEX(Settings!$B$5:$B$9,MATCH(B110,Settings!$A$5:$A$9,0)),0)+IFERROR(INDEX(Settings!$E$5:$E$9,MATCH(B110,Settings!$A$5:$A$9,0)),0)+IFERROR(INDEX(Settings!$G$5:$G$9,MATCH(B110,Settings!$A$5:$A$9,0)),0)+N(Products!H110))-D110)))</f>
        <v/>
      </c>
      <c r="G110" s="11">
        <f>IF(OR(A110="",N(E110)=0),"",E110*(1-(IFERROR(INDEX(Settings!$B$5:$B$9,MATCH(B110,Settings!$A$5:$A$9,0)),0)+IFERROR(INDEX(Settings!$E$5:$E$9,MATCH(B110,Settings!$A$5:$A$9,0)),0)+IFERROR(INDEX(Settings!$G$5:$G$9,MATCH(B110,Settings!$A$5:$A$9,0)),0)+N(Products!H110)))-(IFERROR(INDEX(Settings!$C$5:$C$9,MATCH(B110,Settings!$A$5:$A$9,0)),0)+IFERROR(INDEX(Settings!$D$5:$D$9,MATCH(B110,Settings!$A$5:$A$9,0)),0)+IFERROR(INDEX(Settings!$F$5:$F$9,MATCH(B110,Settings!$A$5:$A$9,0)),0))-C110)</f>
        <v/>
      </c>
      <c r="H110" s="12">
        <f>IF(OR(A110="",N(E110)=0),"",G110/E110)</f>
        <v/>
      </c>
      <c r="I110">
        <f>IF(OR(A110="",N(E110)=0),"",IF(G110&lt;0,"Loses money at this price",IF(E110&lt;F110,"Below target: raise to "&amp;TEXT(F110,"$0.00"),"On target")))</f>
        <v/>
      </c>
    </row>
    <row r="111">
      <c r="A111">
        <f>IF(Products!A111="","",Products!A111)</f>
        <v/>
      </c>
      <c r="B111" s="13" t="inlineStr">
        <is>
          <t>Etsy</t>
        </is>
      </c>
      <c r="C111" s="11">
        <f>IF(A111="","",Products!I111)</f>
        <v/>
      </c>
      <c r="D111" s="14" t="n">
        <v>0.3</v>
      </c>
      <c r="E111" s="15" t="n"/>
      <c r="F111" s="11">
        <f>IF(A111="","",IF(1-(IFERROR(INDEX(Settings!$B$5:$B$9,MATCH(B111,Settings!$A$5:$A$9,0)),0)+IFERROR(INDEX(Settings!$E$5:$E$9,MATCH(B111,Settings!$A$5:$A$9,0)),0)+IFERROR(INDEX(Settings!$G$5:$G$9,MATCH(B111,Settings!$A$5:$A$9,0)),0)+N(Products!H111))-D111&lt;=0,"margin too high",(C111+(IFERROR(INDEX(Settings!$C$5:$C$9,MATCH(B111,Settings!$A$5:$A$9,0)),0)+IFERROR(INDEX(Settings!$D$5:$D$9,MATCH(B111,Settings!$A$5:$A$9,0)),0)+IFERROR(INDEX(Settings!$F$5:$F$9,MATCH(B111,Settings!$A$5:$A$9,0)),0)))/(1-(IFERROR(INDEX(Settings!$B$5:$B$9,MATCH(B111,Settings!$A$5:$A$9,0)),0)+IFERROR(INDEX(Settings!$E$5:$E$9,MATCH(B111,Settings!$A$5:$A$9,0)),0)+IFERROR(INDEX(Settings!$G$5:$G$9,MATCH(B111,Settings!$A$5:$A$9,0)),0)+N(Products!H111))-D111)))</f>
        <v/>
      </c>
      <c r="G111" s="11">
        <f>IF(OR(A111="",N(E111)=0),"",E111*(1-(IFERROR(INDEX(Settings!$B$5:$B$9,MATCH(B111,Settings!$A$5:$A$9,0)),0)+IFERROR(INDEX(Settings!$E$5:$E$9,MATCH(B111,Settings!$A$5:$A$9,0)),0)+IFERROR(INDEX(Settings!$G$5:$G$9,MATCH(B111,Settings!$A$5:$A$9,0)),0)+N(Products!H111)))-(IFERROR(INDEX(Settings!$C$5:$C$9,MATCH(B111,Settings!$A$5:$A$9,0)),0)+IFERROR(INDEX(Settings!$D$5:$D$9,MATCH(B111,Settings!$A$5:$A$9,0)),0)+IFERROR(INDEX(Settings!$F$5:$F$9,MATCH(B111,Settings!$A$5:$A$9,0)),0))-C111)</f>
        <v/>
      </c>
      <c r="H111" s="12">
        <f>IF(OR(A111="",N(E111)=0),"",G111/E111)</f>
        <v/>
      </c>
      <c r="I111">
        <f>IF(OR(A111="",N(E111)=0),"",IF(G111&lt;0,"Loses money at this price",IF(E111&lt;F111,"Below target: raise to "&amp;TEXT(F111,"$0.00"),"On target")))</f>
        <v/>
      </c>
    </row>
    <row r="112">
      <c r="A112">
        <f>IF(Products!A112="","",Products!A112)</f>
        <v/>
      </c>
      <c r="B112" s="13" t="inlineStr">
        <is>
          <t>Etsy</t>
        </is>
      </c>
      <c r="C112" s="11">
        <f>IF(A112="","",Products!I112)</f>
        <v/>
      </c>
      <c r="D112" s="14" t="n">
        <v>0.3</v>
      </c>
      <c r="E112" s="15" t="n"/>
      <c r="F112" s="11">
        <f>IF(A112="","",IF(1-(IFERROR(INDEX(Settings!$B$5:$B$9,MATCH(B112,Settings!$A$5:$A$9,0)),0)+IFERROR(INDEX(Settings!$E$5:$E$9,MATCH(B112,Settings!$A$5:$A$9,0)),0)+IFERROR(INDEX(Settings!$G$5:$G$9,MATCH(B112,Settings!$A$5:$A$9,0)),0)+N(Products!H112))-D112&lt;=0,"margin too high",(C112+(IFERROR(INDEX(Settings!$C$5:$C$9,MATCH(B112,Settings!$A$5:$A$9,0)),0)+IFERROR(INDEX(Settings!$D$5:$D$9,MATCH(B112,Settings!$A$5:$A$9,0)),0)+IFERROR(INDEX(Settings!$F$5:$F$9,MATCH(B112,Settings!$A$5:$A$9,0)),0)))/(1-(IFERROR(INDEX(Settings!$B$5:$B$9,MATCH(B112,Settings!$A$5:$A$9,0)),0)+IFERROR(INDEX(Settings!$E$5:$E$9,MATCH(B112,Settings!$A$5:$A$9,0)),0)+IFERROR(INDEX(Settings!$G$5:$G$9,MATCH(B112,Settings!$A$5:$A$9,0)),0)+N(Products!H112))-D112)))</f>
        <v/>
      </c>
      <c r="G112" s="11">
        <f>IF(OR(A112="",N(E112)=0),"",E112*(1-(IFERROR(INDEX(Settings!$B$5:$B$9,MATCH(B112,Settings!$A$5:$A$9,0)),0)+IFERROR(INDEX(Settings!$E$5:$E$9,MATCH(B112,Settings!$A$5:$A$9,0)),0)+IFERROR(INDEX(Settings!$G$5:$G$9,MATCH(B112,Settings!$A$5:$A$9,0)),0)+N(Products!H112)))-(IFERROR(INDEX(Settings!$C$5:$C$9,MATCH(B112,Settings!$A$5:$A$9,0)),0)+IFERROR(INDEX(Settings!$D$5:$D$9,MATCH(B112,Settings!$A$5:$A$9,0)),0)+IFERROR(INDEX(Settings!$F$5:$F$9,MATCH(B112,Settings!$A$5:$A$9,0)),0))-C112)</f>
        <v/>
      </c>
      <c r="H112" s="12">
        <f>IF(OR(A112="",N(E112)=0),"",G112/E112)</f>
        <v/>
      </c>
      <c r="I112">
        <f>IF(OR(A112="",N(E112)=0),"",IF(G112&lt;0,"Loses money at this price",IF(E112&lt;F112,"Below target: raise to "&amp;TEXT(F112,"$0.00"),"On target")))</f>
        <v/>
      </c>
    </row>
    <row r="113">
      <c r="A113">
        <f>IF(Products!A113="","",Products!A113)</f>
        <v/>
      </c>
      <c r="B113" s="13" t="inlineStr">
        <is>
          <t>Etsy</t>
        </is>
      </c>
      <c r="C113" s="11">
        <f>IF(A113="","",Products!I113)</f>
        <v/>
      </c>
      <c r="D113" s="14" t="n">
        <v>0.3</v>
      </c>
      <c r="E113" s="15" t="n"/>
      <c r="F113" s="11">
        <f>IF(A113="","",IF(1-(IFERROR(INDEX(Settings!$B$5:$B$9,MATCH(B113,Settings!$A$5:$A$9,0)),0)+IFERROR(INDEX(Settings!$E$5:$E$9,MATCH(B113,Settings!$A$5:$A$9,0)),0)+IFERROR(INDEX(Settings!$G$5:$G$9,MATCH(B113,Settings!$A$5:$A$9,0)),0)+N(Products!H113))-D113&lt;=0,"margin too high",(C113+(IFERROR(INDEX(Settings!$C$5:$C$9,MATCH(B113,Settings!$A$5:$A$9,0)),0)+IFERROR(INDEX(Settings!$D$5:$D$9,MATCH(B113,Settings!$A$5:$A$9,0)),0)+IFERROR(INDEX(Settings!$F$5:$F$9,MATCH(B113,Settings!$A$5:$A$9,0)),0)))/(1-(IFERROR(INDEX(Settings!$B$5:$B$9,MATCH(B113,Settings!$A$5:$A$9,0)),0)+IFERROR(INDEX(Settings!$E$5:$E$9,MATCH(B113,Settings!$A$5:$A$9,0)),0)+IFERROR(INDEX(Settings!$G$5:$G$9,MATCH(B113,Settings!$A$5:$A$9,0)),0)+N(Products!H113))-D113)))</f>
        <v/>
      </c>
      <c r="G113" s="11">
        <f>IF(OR(A113="",N(E113)=0),"",E113*(1-(IFERROR(INDEX(Settings!$B$5:$B$9,MATCH(B113,Settings!$A$5:$A$9,0)),0)+IFERROR(INDEX(Settings!$E$5:$E$9,MATCH(B113,Settings!$A$5:$A$9,0)),0)+IFERROR(INDEX(Settings!$G$5:$G$9,MATCH(B113,Settings!$A$5:$A$9,0)),0)+N(Products!H113)))-(IFERROR(INDEX(Settings!$C$5:$C$9,MATCH(B113,Settings!$A$5:$A$9,0)),0)+IFERROR(INDEX(Settings!$D$5:$D$9,MATCH(B113,Settings!$A$5:$A$9,0)),0)+IFERROR(INDEX(Settings!$F$5:$F$9,MATCH(B113,Settings!$A$5:$A$9,0)),0))-C113)</f>
        <v/>
      </c>
      <c r="H113" s="12">
        <f>IF(OR(A113="",N(E113)=0),"",G113/E113)</f>
        <v/>
      </c>
      <c r="I113">
        <f>IF(OR(A113="",N(E113)=0),"",IF(G113&lt;0,"Loses money at this price",IF(E113&lt;F113,"Below target: raise to "&amp;TEXT(F113,"$0.00"),"On target")))</f>
        <v/>
      </c>
    </row>
    <row r="114">
      <c r="A114">
        <f>IF(Products!A114="","",Products!A114)</f>
        <v/>
      </c>
      <c r="B114" s="13" t="inlineStr">
        <is>
          <t>Etsy</t>
        </is>
      </c>
      <c r="C114" s="11">
        <f>IF(A114="","",Products!I114)</f>
        <v/>
      </c>
      <c r="D114" s="14" t="n">
        <v>0.3</v>
      </c>
      <c r="E114" s="15" t="n"/>
      <c r="F114" s="11">
        <f>IF(A114="","",IF(1-(IFERROR(INDEX(Settings!$B$5:$B$9,MATCH(B114,Settings!$A$5:$A$9,0)),0)+IFERROR(INDEX(Settings!$E$5:$E$9,MATCH(B114,Settings!$A$5:$A$9,0)),0)+IFERROR(INDEX(Settings!$G$5:$G$9,MATCH(B114,Settings!$A$5:$A$9,0)),0)+N(Products!H114))-D114&lt;=0,"margin too high",(C114+(IFERROR(INDEX(Settings!$C$5:$C$9,MATCH(B114,Settings!$A$5:$A$9,0)),0)+IFERROR(INDEX(Settings!$D$5:$D$9,MATCH(B114,Settings!$A$5:$A$9,0)),0)+IFERROR(INDEX(Settings!$F$5:$F$9,MATCH(B114,Settings!$A$5:$A$9,0)),0)))/(1-(IFERROR(INDEX(Settings!$B$5:$B$9,MATCH(B114,Settings!$A$5:$A$9,0)),0)+IFERROR(INDEX(Settings!$E$5:$E$9,MATCH(B114,Settings!$A$5:$A$9,0)),0)+IFERROR(INDEX(Settings!$G$5:$G$9,MATCH(B114,Settings!$A$5:$A$9,0)),0)+N(Products!H114))-D114)))</f>
        <v/>
      </c>
      <c r="G114" s="11">
        <f>IF(OR(A114="",N(E114)=0),"",E114*(1-(IFERROR(INDEX(Settings!$B$5:$B$9,MATCH(B114,Settings!$A$5:$A$9,0)),0)+IFERROR(INDEX(Settings!$E$5:$E$9,MATCH(B114,Settings!$A$5:$A$9,0)),0)+IFERROR(INDEX(Settings!$G$5:$G$9,MATCH(B114,Settings!$A$5:$A$9,0)),0)+N(Products!H114)))-(IFERROR(INDEX(Settings!$C$5:$C$9,MATCH(B114,Settings!$A$5:$A$9,0)),0)+IFERROR(INDEX(Settings!$D$5:$D$9,MATCH(B114,Settings!$A$5:$A$9,0)),0)+IFERROR(INDEX(Settings!$F$5:$F$9,MATCH(B114,Settings!$A$5:$A$9,0)),0))-C114)</f>
        <v/>
      </c>
      <c r="H114" s="12">
        <f>IF(OR(A114="",N(E114)=0),"",G114/E114)</f>
        <v/>
      </c>
      <c r="I114">
        <f>IF(OR(A114="",N(E114)=0),"",IF(G114&lt;0,"Loses money at this price",IF(E114&lt;F114,"Below target: raise to "&amp;TEXT(F114,"$0.00"),"On target")))</f>
        <v/>
      </c>
    </row>
    <row r="115">
      <c r="A115">
        <f>IF(Products!A115="","",Products!A115)</f>
        <v/>
      </c>
      <c r="B115" s="13" t="inlineStr">
        <is>
          <t>Etsy</t>
        </is>
      </c>
      <c r="C115" s="11">
        <f>IF(A115="","",Products!I115)</f>
        <v/>
      </c>
      <c r="D115" s="14" t="n">
        <v>0.3</v>
      </c>
      <c r="E115" s="15" t="n"/>
      <c r="F115" s="11">
        <f>IF(A115="","",IF(1-(IFERROR(INDEX(Settings!$B$5:$B$9,MATCH(B115,Settings!$A$5:$A$9,0)),0)+IFERROR(INDEX(Settings!$E$5:$E$9,MATCH(B115,Settings!$A$5:$A$9,0)),0)+IFERROR(INDEX(Settings!$G$5:$G$9,MATCH(B115,Settings!$A$5:$A$9,0)),0)+N(Products!H115))-D115&lt;=0,"margin too high",(C115+(IFERROR(INDEX(Settings!$C$5:$C$9,MATCH(B115,Settings!$A$5:$A$9,0)),0)+IFERROR(INDEX(Settings!$D$5:$D$9,MATCH(B115,Settings!$A$5:$A$9,0)),0)+IFERROR(INDEX(Settings!$F$5:$F$9,MATCH(B115,Settings!$A$5:$A$9,0)),0)))/(1-(IFERROR(INDEX(Settings!$B$5:$B$9,MATCH(B115,Settings!$A$5:$A$9,0)),0)+IFERROR(INDEX(Settings!$E$5:$E$9,MATCH(B115,Settings!$A$5:$A$9,0)),0)+IFERROR(INDEX(Settings!$G$5:$G$9,MATCH(B115,Settings!$A$5:$A$9,0)),0)+N(Products!H115))-D115)))</f>
        <v/>
      </c>
      <c r="G115" s="11">
        <f>IF(OR(A115="",N(E115)=0),"",E115*(1-(IFERROR(INDEX(Settings!$B$5:$B$9,MATCH(B115,Settings!$A$5:$A$9,0)),0)+IFERROR(INDEX(Settings!$E$5:$E$9,MATCH(B115,Settings!$A$5:$A$9,0)),0)+IFERROR(INDEX(Settings!$G$5:$G$9,MATCH(B115,Settings!$A$5:$A$9,0)),0)+N(Products!H115)))-(IFERROR(INDEX(Settings!$C$5:$C$9,MATCH(B115,Settings!$A$5:$A$9,0)),0)+IFERROR(INDEX(Settings!$D$5:$D$9,MATCH(B115,Settings!$A$5:$A$9,0)),0)+IFERROR(INDEX(Settings!$F$5:$F$9,MATCH(B115,Settings!$A$5:$A$9,0)),0))-C115)</f>
        <v/>
      </c>
      <c r="H115" s="12">
        <f>IF(OR(A115="",N(E115)=0),"",G115/E115)</f>
        <v/>
      </c>
      <c r="I115">
        <f>IF(OR(A115="",N(E115)=0),"",IF(G115&lt;0,"Loses money at this price",IF(E115&lt;F115,"Below target: raise to "&amp;TEXT(F115,"$0.00"),"On target")))</f>
        <v/>
      </c>
    </row>
    <row r="116">
      <c r="A116">
        <f>IF(Products!A116="","",Products!A116)</f>
        <v/>
      </c>
      <c r="B116" s="13" t="inlineStr">
        <is>
          <t>Etsy</t>
        </is>
      </c>
      <c r="C116" s="11">
        <f>IF(A116="","",Products!I116)</f>
        <v/>
      </c>
      <c r="D116" s="14" t="n">
        <v>0.3</v>
      </c>
      <c r="E116" s="15" t="n"/>
      <c r="F116" s="11">
        <f>IF(A116="","",IF(1-(IFERROR(INDEX(Settings!$B$5:$B$9,MATCH(B116,Settings!$A$5:$A$9,0)),0)+IFERROR(INDEX(Settings!$E$5:$E$9,MATCH(B116,Settings!$A$5:$A$9,0)),0)+IFERROR(INDEX(Settings!$G$5:$G$9,MATCH(B116,Settings!$A$5:$A$9,0)),0)+N(Products!H116))-D116&lt;=0,"margin too high",(C116+(IFERROR(INDEX(Settings!$C$5:$C$9,MATCH(B116,Settings!$A$5:$A$9,0)),0)+IFERROR(INDEX(Settings!$D$5:$D$9,MATCH(B116,Settings!$A$5:$A$9,0)),0)+IFERROR(INDEX(Settings!$F$5:$F$9,MATCH(B116,Settings!$A$5:$A$9,0)),0)))/(1-(IFERROR(INDEX(Settings!$B$5:$B$9,MATCH(B116,Settings!$A$5:$A$9,0)),0)+IFERROR(INDEX(Settings!$E$5:$E$9,MATCH(B116,Settings!$A$5:$A$9,0)),0)+IFERROR(INDEX(Settings!$G$5:$G$9,MATCH(B116,Settings!$A$5:$A$9,0)),0)+N(Products!H116))-D116)))</f>
        <v/>
      </c>
      <c r="G116" s="11">
        <f>IF(OR(A116="",N(E116)=0),"",E116*(1-(IFERROR(INDEX(Settings!$B$5:$B$9,MATCH(B116,Settings!$A$5:$A$9,0)),0)+IFERROR(INDEX(Settings!$E$5:$E$9,MATCH(B116,Settings!$A$5:$A$9,0)),0)+IFERROR(INDEX(Settings!$G$5:$G$9,MATCH(B116,Settings!$A$5:$A$9,0)),0)+N(Products!H116)))-(IFERROR(INDEX(Settings!$C$5:$C$9,MATCH(B116,Settings!$A$5:$A$9,0)),0)+IFERROR(INDEX(Settings!$D$5:$D$9,MATCH(B116,Settings!$A$5:$A$9,0)),0)+IFERROR(INDEX(Settings!$F$5:$F$9,MATCH(B116,Settings!$A$5:$A$9,0)),0))-C116)</f>
        <v/>
      </c>
      <c r="H116" s="12">
        <f>IF(OR(A116="",N(E116)=0),"",G116/E116)</f>
        <v/>
      </c>
      <c r="I116">
        <f>IF(OR(A116="",N(E116)=0),"",IF(G116&lt;0,"Loses money at this price",IF(E116&lt;F116,"Below target: raise to "&amp;TEXT(F116,"$0.00"),"On target")))</f>
        <v/>
      </c>
    </row>
    <row r="117">
      <c r="A117">
        <f>IF(Products!A117="","",Products!A117)</f>
        <v/>
      </c>
      <c r="B117" s="13" t="inlineStr">
        <is>
          <t>Etsy</t>
        </is>
      </c>
      <c r="C117" s="11">
        <f>IF(A117="","",Products!I117)</f>
        <v/>
      </c>
      <c r="D117" s="14" t="n">
        <v>0.3</v>
      </c>
      <c r="E117" s="15" t="n"/>
      <c r="F117" s="11">
        <f>IF(A117="","",IF(1-(IFERROR(INDEX(Settings!$B$5:$B$9,MATCH(B117,Settings!$A$5:$A$9,0)),0)+IFERROR(INDEX(Settings!$E$5:$E$9,MATCH(B117,Settings!$A$5:$A$9,0)),0)+IFERROR(INDEX(Settings!$G$5:$G$9,MATCH(B117,Settings!$A$5:$A$9,0)),0)+N(Products!H117))-D117&lt;=0,"margin too high",(C117+(IFERROR(INDEX(Settings!$C$5:$C$9,MATCH(B117,Settings!$A$5:$A$9,0)),0)+IFERROR(INDEX(Settings!$D$5:$D$9,MATCH(B117,Settings!$A$5:$A$9,0)),0)+IFERROR(INDEX(Settings!$F$5:$F$9,MATCH(B117,Settings!$A$5:$A$9,0)),0)))/(1-(IFERROR(INDEX(Settings!$B$5:$B$9,MATCH(B117,Settings!$A$5:$A$9,0)),0)+IFERROR(INDEX(Settings!$E$5:$E$9,MATCH(B117,Settings!$A$5:$A$9,0)),0)+IFERROR(INDEX(Settings!$G$5:$G$9,MATCH(B117,Settings!$A$5:$A$9,0)),0)+N(Products!H117))-D117)))</f>
        <v/>
      </c>
      <c r="G117" s="11">
        <f>IF(OR(A117="",N(E117)=0),"",E117*(1-(IFERROR(INDEX(Settings!$B$5:$B$9,MATCH(B117,Settings!$A$5:$A$9,0)),0)+IFERROR(INDEX(Settings!$E$5:$E$9,MATCH(B117,Settings!$A$5:$A$9,0)),0)+IFERROR(INDEX(Settings!$G$5:$G$9,MATCH(B117,Settings!$A$5:$A$9,0)),0)+N(Products!H117)))-(IFERROR(INDEX(Settings!$C$5:$C$9,MATCH(B117,Settings!$A$5:$A$9,0)),0)+IFERROR(INDEX(Settings!$D$5:$D$9,MATCH(B117,Settings!$A$5:$A$9,0)),0)+IFERROR(INDEX(Settings!$F$5:$F$9,MATCH(B117,Settings!$A$5:$A$9,0)),0))-C117)</f>
        <v/>
      </c>
      <c r="H117" s="12">
        <f>IF(OR(A117="",N(E117)=0),"",G117/E117)</f>
        <v/>
      </c>
      <c r="I117">
        <f>IF(OR(A117="",N(E117)=0),"",IF(G117&lt;0,"Loses money at this price",IF(E117&lt;F117,"Below target: raise to "&amp;TEXT(F117,"$0.00"),"On target")))</f>
        <v/>
      </c>
    </row>
    <row r="118">
      <c r="A118">
        <f>IF(Products!A118="","",Products!A118)</f>
        <v/>
      </c>
      <c r="B118" s="13" t="inlineStr">
        <is>
          <t>Etsy</t>
        </is>
      </c>
      <c r="C118" s="11">
        <f>IF(A118="","",Products!I118)</f>
        <v/>
      </c>
      <c r="D118" s="14" t="n">
        <v>0.3</v>
      </c>
      <c r="E118" s="15" t="n"/>
      <c r="F118" s="11">
        <f>IF(A118="","",IF(1-(IFERROR(INDEX(Settings!$B$5:$B$9,MATCH(B118,Settings!$A$5:$A$9,0)),0)+IFERROR(INDEX(Settings!$E$5:$E$9,MATCH(B118,Settings!$A$5:$A$9,0)),0)+IFERROR(INDEX(Settings!$G$5:$G$9,MATCH(B118,Settings!$A$5:$A$9,0)),0)+N(Products!H118))-D118&lt;=0,"margin too high",(C118+(IFERROR(INDEX(Settings!$C$5:$C$9,MATCH(B118,Settings!$A$5:$A$9,0)),0)+IFERROR(INDEX(Settings!$D$5:$D$9,MATCH(B118,Settings!$A$5:$A$9,0)),0)+IFERROR(INDEX(Settings!$F$5:$F$9,MATCH(B118,Settings!$A$5:$A$9,0)),0)))/(1-(IFERROR(INDEX(Settings!$B$5:$B$9,MATCH(B118,Settings!$A$5:$A$9,0)),0)+IFERROR(INDEX(Settings!$E$5:$E$9,MATCH(B118,Settings!$A$5:$A$9,0)),0)+IFERROR(INDEX(Settings!$G$5:$G$9,MATCH(B118,Settings!$A$5:$A$9,0)),0)+N(Products!H118))-D118)))</f>
        <v/>
      </c>
      <c r="G118" s="11">
        <f>IF(OR(A118="",N(E118)=0),"",E118*(1-(IFERROR(INDEX(Settings!$B$5:$B$9,MATCH(B118,Settings!$A$5:$A$9,0)),0)+IFERROR(INDEX(Settings!$E$5:$E$9,MATCH(B118,Settings!$A$5:$A$9,0)),0)+IFERROR(INDEX(Settings!$G$5:$G$9,MATCH(B118,Settings!$A$5:$A$9,0)),0)+N(Products!H118)))-(IFERROR(INDEX(Settings!$C$5:$C$9,MATCH(B118,Settings!$A$5:$A$9,0)),0)+IFERROR(INDEX(Settings!$D$5:$D$9,MATCH(B118,Settings!$A$5:$A$9,0)),0)+IFERROR(INDEX(Settings!$F$5:$F$9,MATCH(B118,Settings!$A$5:$A$9,0)),0))-C118)</f>
        <v/>
      </c>
      <c r="H118" s="12">
        <f>IF(OR(A118="",N(E118)=0),"",G118/E118)</f>
        <v/>
      </c>
      <c r="I118">
        <f>IF(OR(A118="",N(E118)=0),"",IF(G118&lt;0,"Loses money at this price",IF(E118&lt;F118,"Below target: raise to "&amp;TEXT(F118,"$0.00"),"On target")))</f>
        <v/>
      </c>
    </row>
    <row r="119">
      <c r="A119">
        <f>IF(Products!A119="","",Products!A119)</f>
        <v/>
      </c>
      <c r="B119" s="13" t="inlineStr">
        <is>
          <t>Etsy</t>
        </is>
      </c>
      <c r="C119" s="11">
        <f>IF(A119="","",Products!I119)</f>
        <v/>
      </c>
      <c r="D119" s="14" t="n">
        <v>0.3</v>
      </c>
      <c r="E119" s="15" t="n"/>
      <c r="F119" s="11">
        <f>IF(A119="","",IF(1-(IFERROR(INDEX(Settings!$B$5:$B$9,MATCH(B119,Settings!$A$5:$A$9,0)),0)+IFERROR(INDEX(Settings!$E$5:$E$9,MATCH(B119,Settings!$A$5:$A$9,0)),0)+IFERROR(INDEX(Settings!$G$5:$G$9,MATCH(B119,Settings!$A$5:$A$9,0)),0)+N(Products!H119))-D119&lt;=0,"margin too high",(C119+(IFERROR(INDEX(Settings!$C$5:$C$9,MATCH(B119,Settings!$A$5:$A$9,0)),0)+IFERROR(INDEX(Settings!$D$5:$D$9,MATCH(B119,Settings!$A$5:$A$9,0)),0)+IFERROR(INDEX(Settings!$F$5:$F$9,MATCH(B119,Settings!$A$5:$A$9,0)),0)))/(1-(IFERROR(INDEX(Settings!$B$5:$B$9,MATCH(B119,Settings!$A$5:$A$9,0)),0)+IFERROR(INDEX(Settings!$E$5:$E$9,MATCH(B119,Settings!$A$5:$A$9,0)),0)+IFERROR(INDEX(Settings!$G$5:$G$9,MATCH(B119,Settings!$A$5:$A$9,0)),0)+N(Products!H119))-D119)))</f>
        <v/>
      </c>
      <c r="G119" s="11">
        <f>IF(OR(A119="",N(E119)=0),"",E119*(1-(IFERROR(INDEX(Settings!$B$5:$B$9,MATCH(B119,Settings!$A$5:$A$9,0)),0)+IFERROR(INDEX(Settings!$E$5:$E$9,MATCH(B119,Settings!$A$5:$A$9,0)),0)+IFERROR(INDEX(Settings!$G$5:$G$9,MATCH(B119,Settings!$A$5:$A$9,0)),0)+N(Products!H119)))-(IFERROR(INDEX(Settings!$C$5:$C$9,MATCH(B119,Settings!$A$5:$A$9,0)),0)+IFERROR(INDEX(Settings!$D$5:$D$9,MATCH(B119,Settings!$A$5:$A$9,0)),0)+IFERROR(INDEX(Settings!$F$5:$F$9,MATCH(B119,Settings!$A$5:$A$9,0)),0))-C119)</f>
        <v/>
      </c>
      <c r="H119" s="12">
        <f>IF(OR(A119="",N(E119)=0),"",G119/E119)</f>
        <v/>
      </c>
      <c r="I119">
        <f>IF(OR(A119="",N(E119)=0),"",IF(G119&lt;0,"Loses money at this price",IF(E119&lt;F119,"Below target: raise to "&amp;TEXT(F119,"$0.00"),"On target")))</f>
        <v/>
      </c>
    </row>
    <row r="120">
      <c r="A120">
        <f>IF(Products!A120="","",Products!A120)</f>
        <v/>
      </c>
      <c r="B120" s="13" t="inlineStr">
        <is>
          <t>Etsy</t>
        </is>
      </c>
      <c r="C120" s="11">
        <f>IF(A120="","",Products!I120)</f>
        <v/>
      </c>
      <c r="D120" s="14" t="n">
        <v>0.3</v>
      </c>
      <c r="E120" s="15" t="n"/>
      <c r="F120" s="11">
        <f>IF(A120="","",IF(1-(IFERROR(INDEX(Settings!$B$5:$B$9,MATCH(B120,Settings!$A$5:$A$9,0)),0)+IFERROR(INDEX(Settings!$E$5:$E$9,MATCH(B120,Settings!$A$5:$A$9,0)),0)+IFERROR(INDEX(Settings!$G$5:$G$9,MATCH(B120,Settings!$A$5:$A$9,0)),0)+N(Products!H120))-D120&lt;=0,"margin too high",(C120+(IFERROR(INDEX(Settings!$C$5:$C$9,MATCH(B120,Settings!$A$5:$A$9,0)),0)+IFERROR(INDEX(Settings!$D$5:$D$9,MATCH(B120,Settings!$A$5:$A$9,0)),0)+IFERROR(INDEX(Settings!$F$5:$F$9,MATCH(B120,Settings!$A$5:$A$9,0)),0)))/(1-(IFERROR(INDEX(Settings!$B$5:$B$9,MATCH(B120,Settings!$A$5:$A$9,0)),0)+IFERROR(INDEX(Settings!$E$5:$E$9,MATCH(B120,Settings!$A$5:$A$9,0)),0)+IFERROR(INDEX(Settings!$G$5:$G$9,MATCH(B120,Settings!$A$5:$A$9,0)),0)+N(Products!H120))-D120)))</f>
        <v/>
      </c>
      <c r="G120" s="11">
        <f>IF(OR(A120="",N(E120)=0),"",E120*(1-(IFERROR(INDEX(Settings!$B$5:$B$9,MATCH(B120,Settings!$A$5:$A$9,0)),0)+IFERROR(INDEX(Settings!$E$5:$E$9,MATCH(B120,Settings!$A$5:$A$9,0)),0)+IFERROR(INDEX(Settings!$G$5:$G$9,MATCH(B120,Settings!$A$5:$A$9,0)),0)+N(Products!H120)))-(IFERROR(INDEX(Settings!$C$5:$C$9,MATCH(B120,Settings!$A$5:$A$9,0)),0)+IFERROR(INDEX(Settings!$D$5:$D$9,MATCH(B120,Settings!$A$5:$A$9,0)),0)+IFERROR(INDEX(Settings!$F$5:$F$9,MATCH(B120,Settings!$A$5:$A$9,0)),0))-C120)</f>
        <v/>
      </c>
      <c r="H120" s="12">
        <f>IF(OR(A120="",N(E120)=0),"",G120/E120)</f>
        <v/>
      </c>
      <c r="I120">
        <f>IF(OR(A120="",N(E120)=0),"",IF(G120&lt;0,"Loses money at this price",IF(E120&lt;F120,"Below target: raise to "&amp;TEXT(F120,"$0.00"),"On target")))</f>
        <v/>
      </c>
    </row>
    <row r="121">
      <c r="A121">
        <f>IF(Products!A121="","",Products!A121)</f>
        <v/>
      </c>
      <c r="B121" s="13" t="inlineStr">
        <is>
          <t>Etsy</t>
        </is>
      </c>
      <c r="C121" s="11">
        <f>IF(A121="","",Products!I121)</f>
        <v/>
      </c>
      <c r="D121" s="14" t="n">
        <v>0.3</v>
      </c>
      <c r="E121" s="15" t="n"/>
      <c r="F121" s="11">
        <f>IF(A121="","",IF(1-(IFERROR(INDEX(Settings!$B$5:$B$9,MATCH(B121,Settings!$A$5:$A$9,0)),0)+IFERROR(INDEX(Settings!$E$5:$E$9,MATCH(B121,Settings!$A$5:$A$9,0)),0)+IFERROR(INDEX(Settings!$G$5:$G$9,MATCH(B121,Settings!$A$5:$A$9,0)),0)+N(Products!H121))-D121&lt;=0,"margin too high",(C121+(IFERROR(INDEX(Settings!$C$5:$C$9,MATCH(B121,Settings!$A$5:$A$9,0)),0)+IFERROR(INDEX(Settings!$D$5:$D$9,MATCH(B121,Settings!$A$5:$A$9,0)),0)+IFERROR(INDEX(Settings!$F$5:$F$9,MATCH(B121,Settings!$A$5:$A$9,0)),0)))/(1-(IFERROR(INDEX(Settings!$B$5:$B$9,MATCH(B121,Settings!$A$5:$A$9,0)),0)+IFERROR(INDEX(Settings!$E$5:$E$9,MATCH(B121,Settings!$A$5:$A$9,0)),0)+IFERROR(INDEX(Settings!$G$5:$G$9,MATCH(B121,Settings!$A$5:$A$9,0)),0)+N(Products!H121))-D121)))</f>
        <v/>
      </c>
      <c r="G121" s="11">
        <f>IF(OR(A121="",N(E121)=0),"",E121*(1-(IFERROR(INDEX(Settings!$B$5:$B$9,MATCH(B121,Settings!$A$5:$A$9,0)),0)+IFERROR(INDEX(Settings!$E$5:$E$9,MATCH(B121,Settings!$A$5:$A$9,0)),0)+IFERROR(INDEX(Settings!$G$5:$G$9,MATCH(B121,Settings!$A$5:$A$9,0)),0)+N(Products!H121)))-(IFERROR(INDEX(Settings!$C$5:$C$9,MATCH(B121,Settings!$A$5:$A$9,0)),0)+IFERROR(INDEX(Settings!$D$5:$D$9,MATCH(B121,Settings!$A$5:$A$9,0)),0)+IFERROR(INDEX(Settings!$F$5:$F$9,MATCH(B121,Settings!$A$5:$A$9,0)),0))-C121)</f>
        <v/>
      </c>
      <c r="H121" s="12">
        <f>IF(OR(A121="",N(E121)=0),"",G121/E121)</f>
        <v/>
      </c>
      <c r="I121">
        <f>IF(OR(A121="",N(E121)=0),"",IF(G121&lt;0,"Loses money at this price",IF(E121&lt;F121,"Below target: raise to "&amp;TEXT(F121,"$0.00"),"On target")))</f>
        <v/>
      </c>
    </row>
    <row r="122">
      <c r="A122">
        <f>IF(Products!A122="","",Products!A122)</f>
        <v/>
      </c>
      <c r="B122" s="13" t="inlineStr">
        <is>
          <t>Etsy</t>
        </is>
      </c>
      <c r="C122" s="11">
        <f>IF(A122="","",Products!I122)</f>
        <v/>
      </c>
      <c r="D122" s="14" t="n">
        <v>0.3</v>
      </c>
      <c r="E122" s="15" t="n"/>
      <c r="F122" s="11">
        <f>IF(A122="","",IF(1-(IFERROR(INDEX(Settings!$B$5:$B$9,MATCH(B122,Settings!$A$5:$A$9,0)),0)+IFERROR(INDEX(Settings!$E$5:$E$9,MATCH(B122,Settings!$A$5:$A$9,0)),0)+IFERROR(INDEX(Settings!$G$5:$G$9,MATCH(B122,Settings!$A$5:$A$9,0)),0)+N(Products!H122))-D122&lt;=0,"margin too high",(C122+(IFERROR(INDEX(Settings!$C$5:$C$9,MATCH(B122,Settings!$A$5:$A$9,0)),0)+IFERROR(INDEX(Settings!$D$5:$D$9,MATCH(B122,Settings!$A$5:$A$9,0)),0)+IFERROR(INDEX(Settings!$F$5:$F$9,MATCH(B122,Settings!$A$5:$A$9,0)),0)))/(1-(IFERROR(INDEX(Settings!$B$5:$B$9,MATCH(B122,Settings!$A$5:$A$9,0)),0)+IFERROR(INDEX(Settings!$E$5:$E$9,MATCH(B122,Settings!$A$5:$A$9,0)),0)+IFERROR(INDEX(Settings!$G$5:$G$9,MATCH(B122,Settings!$A$5:$A$9,0)),0)+N(Products!H122))-D122)))</f>
        <v/>
      </c>
      <c r="G122" s="11">
        <f>IF(OR(A122="",N(E122)=0),"",E122*(1-(IFERROR(INDEX(Settings!$B$5:$B$9,MATCH(B122,Settings!$A$5:$A$9,0)),0)+IFERROR(INDEX(Settings!$E$5:$E$9,MATCH(B122,Settings!$A$5:$A$9,0)),0)+IFERROR(INDEX(Settings!$G$5:$G$9,MATCH(B122,Settings!$A$5:$A$9,0)),0)+N(Products!H122)))-(IFERROR(INDEX(Settings!$C$5:$C$9,MATCH(B122,Settings!$A$5:$A$9,0)),0)+IFERROR(INDEX(Settings!$D$5:$D$9,MATCH(B122,Settings!$A$5:$A$9,0)),0)+IFERROR(INDEX(Settings!$F$5:$F$9,MATCH(B122,Settings!$A$5:$A$9,0)),0))-C122)</f>
        <v/>
      </c>
      <c r="H122" s="12">
        <f>IF(OR(A122="",N(E122)=0),"",G122/E122)</f>
        <v/>
      </c>
      <c r="I122">
        <f>IF(OR(A122="",N(E122)=0),"",IF(G122&lt;0,"Loses money at this price",IF(E122&lt;F122,"Below target: raise to "&amp;TEXT(F122,"$0.00"),"On target")))</f>
        <v/>
      </c>
    </row>
    <row r="123">
      <c r="A123">
        <f>IF(Products!A123="","",Products!A123)</f>
        <v/>
      </c>
      <c r="B123" s="13" t="inlineStr">
        <is>
          <t>Etsy</t>
        </is>
      </c>
      <c r="C123" s="11">
        <f>IF(A123="","",Products!I123)</f>
        <v/>
      </c>
      <c r="D123" s="14" t="n">
        <v>0.3</v>
      </c>
      <c r="E123" s="15" t="n"/>
      <c r="F123" s="11">
        <f>IF(A123="","",IF(1-(IFERROR(INDEX(Settings!$B$5:$B$9,MATCH(B123,Settings!$A$5:$A$9,0)),0)+IFERROR(INDEX(Settings!$E$5:$E$9,MATCH(B123,Settings!$A$5:$A$9,0)),0)+IFERROR(INDEX(Settings!$G$5:$G$9,MATCH(B123,Settings!$A$5:$A$9,0)),0)+N(Products!H123))-D123&lt;=0,"margin too high",(C123+(IFERROR(INDEX(Settings!$C$5:$C$9,MATCH(B123,Settings!$A$5:$A$9,0)),0)+IFERROR(INDEX(Settings!$D$5:$D$9,MATCH(B123,Settings!$A$5:$A$9,0)),0)+IFERROR(INDEX(Settings!$F$5:$F$9,MATCH(B123,Settings!$A$5:$A$9,0)),0)))/(1-(IFERROR(INDEX(Settings!$B$5:$B$9,MATCH(B123,Settings!$A$5:$A$9,0)),0)+IFERROR(INDEX(Settings!$E$5:$E$9,MATCH(B123,Settings!$A$5:$A$9,0)),0)+IFERROR(INDEX(Settings!$G$5:$G$9,MATCH(B123,Settings!$A$5:$A$9,0)),0)+N(Products!H123))-D123)))</f>
        <v/>
      </c>
      <c r="G123" s="11">
        <f>IF(OR(A123="",N(E123)=0),"",E123*(1-(IFERROR(INDEX(Settings!$B$5:$B$9,MATCH(B123,Settings!$A$5:$A$9,0)),0)+IFERROR(INDEX(Settings!$E$5:$E$9,MATCH(B123,Settings!$A$5:$A$9,0)),0)+IFERROR(INDEX(Settings!$G$5:$G$9,MATCH(B123,Settings!$A$5:$A$9,0)),0)+N(Products!H123)))-(IFERROR(INDEX(Settings!$C$5:$C$9,MATCH(B123,Settings!$A$5:$A$9,0)),0)+IFERROR(INDEX(Settings!$D$5:$D$9,MATCH(B123,Settings!$A$5:$A$9,0)),0)+IFERROR(INDEX(Settings!$F$5:$F$9,MATCH(B123,Settings!$A$5:$A$9,0)),0))-C123)</f>
        <v/>
      </c>
      <c r="H123" s="12">
        <f>IF(OR(A123="",N(E123)=0),"",G123/E123)</f>
        <v/>
      </c>
      <c r="I123">
        <f>IF(OR(A123="",N(E123)=0),"",IF(G123&lt;0,"Loses money at this price",IF(E123&lt;F123,"Below target: raise to "&amp;TEXT(F123,"$0.00"),"On target")))</f>
        <v/>
      </c>
    </row>
    <row r="124">
      <c r="A124">
        <f>IF(Products!A124="","",Products!A124)</f>
        <v/>
      </c>
      <c r="B124" s="13" t="inlineStr">
        <is>
          <t>Etsy</t>
        </is>
      </c>
      <c r="C124" s="11">
        <f>IF(A124="","",Products!I124)</f>
        <v/>
      </c>
      <c r="D124" s="14" t="n">
        <v>0.3</v>
      </c>
      <c r="E124" s="15" t="n"/>
      <c r="F124" s="11">
        <f>IF(A124="","",IF(1-(IFERROR(INDEX(Settings!$B$5:$B$9,MATCH(B124,Settings!$A$5:$A$9,0)),0)+IFERROR(INDEX(Settings!$E$5:$E$9,MATCH(B124,Settings!$A$5:$A$9,0)),0)+IFERROR(INDEX(Settings!$G$5:$G$9,MATCH(B124,Settings!$A$5:$A$9,0)),0)+N(Products!H124))-D124&lt;=0,"margin too high",(C124+(IFERROR(INDEX(Settings!$C$5:$C$9,MATCH(B124,Settings!$A$5:$A$9,0)),0)+IFERROR(INDEX(Settings!$D$5:$D$9,MATCH(B124,Settings!$A$5:$A$9,0)),0)+IFERROR(INDEX(Settings!$F$5:$F$9,MATCH(B124,Settings!$A$5:$A$9,0)),0)))/(1-(IFERROR(INDEX(Settings!$B$5:$B$9,MATCH(B124,Settings!$A$5:$A$9,0)),0)+IFERROR(INDEX(Settings!$E$5:$E$9,MATCH(B124,Settings!$A$5:$A$9,0)),0)+IFERROR(INDEX(Settings!$G$5:$G$9,MATCH(B124,Settings!$A$5:$A$9,0)),0)+N(Products!H124))-D124)))</f>
        <v/>
      </c>
      <c r="G124" s="11">
        <f>IF(OR(A124="",N(E124)=0),"",E124*(1-(IFERROR(INDEX(Settings!$B$5:$B$9,MATCH(B124,Settings!$A$5:$A$9,0)),0)+IFERROR(INDEX(Settings!$E$5:$E$9,MATCH(B124,Settings!$A$5:$A$9,0)),0)+IFERROR(INDEX(Settings!$G$5:$G$9,MATCH(B124,Settings!$A$5:$A$9,0)),0)+N(Products!H124)))-(IFERROR(INDEX(Settings!$C$5:$C$9,MATCH(B124,Settings!$A$5:$A$9,0)),0)+IFERROR(INDEX(Settings!$D$5:$D$9,MATCH(B124,Settings!$A$5:$A$9,0)),0)+IFERROR(INDEX(Settings!$F$5:$F$9,MATCH(B124,Settings!$A$5:$A$9,0)),0))-C124)</f>
        <v/>
      </c>
      <c r="H124" s="12">
        <f>IF(OR(A124="",N(E124)=0),"",G124/E124)</f>
        <v/>
      </c>
      <c r="I124">
        <f>IF(OR(A124="",N(E124)=0),"",IF(G124&lt;0,"Loses money at this price",IF(E124&lt;F124,"Below target: raise to "&amp;TEXT(F124,"$0.00"),"On target")))</f>
        <v/>
      </c>
    </row>
    <row r="125">
      <c r="A125">
        <f>IF(Products!A125="","",Products!A125)</f>
        <v/>
      </c>
      <c r="B125" s="13" t="inlineStr">
        <is>
          <t>Etsy</t>
        </is>
      </c>
      <c r="C125" s="11">
        <f>IF(A125="","",Products!I125)</f>
        <v/>
      </c>
      <c r="D125" s="14" t="n">
        <v>0.3</v>
      </c>
      <c r="E125" s="15" t="n"/>
      <c r="F125" s="11">
        <f>IF(A125="","",IF(1-(IFERROR(INDEX(Settings!$B$5:$B$9,MATCH(B125,Settings!$A$5:$A$9,0)),0)+IFERROR(INDEX(Settings!$E$5:$E$9,MATCH(B125,Settings!$A$5:$A$9,0)),0)+IFERROR(INDEX(Settings!$G$5:$G$9,MATCH(B125,Settings!$A$5:$A$9,0)),0)+N(Products!H125))-D125&lt;=0,"margin too high",(C125+(IFERROR(INDEX(Settings!$C$5:$C$9,MATCH(B125,Settings!$A$5:$A$9,0)),0)+IFERROR(INDEX(Settings!$D$5:$D$9,MATCH(B125,Settings!$A$5:$A$9,0)),0)+IFERROR(INDEX(Settings!$F$5:$F$9,MATCH(B125,Settings!$A$5:$A$9,0)),0)))/(1-(IFERROR(INDEX(Settings!$B$5:$B$9,MATCH(B125,Settings!$A$5:$A$9,0)),0)+IFERROR(INDEX(Settings!$E$5:$E$9,MATCH(B125,Settings!$A$5:$A$9,0)),0)+IFERROR(INDEX(Settings!$G$5:$G$9,MATCH(B125,Settings!$A$5:$A$9,0)),0)+N(Products!H125))-D125)))</f>
        <v/>
      </c>
      <c r="G125" s="11">
        <f>IF(OR(A125="",N(E125)=0),"",E125*(1-(IFERROR(INDEX(Settings!$B$5:$B$9,MATCH(B125,Settings!$A$5:$A$9,0)),0)+IFERROR(INDEX(Settings!$E$5:$E$9,MATCH(B125,Settings!$A$5:$A$9,0)),0)+IFERROR(INDEX(Settings!$G$5:$G$9,MATCH(B125,Settings!$A$5:$A$9,0)),0)+N(Products!H125)))-(IFERROR(INDEX(Settings!$C$5:$C$9,MATCH(B125,Settings!$A$5:$A$9,0)),0)+IFERROR(INDEX(Settings!$D$5:$D$9,MATCH(B125,Settings!$A$5:$A$9,0)),0)+IFERROR(INDEX(Settings!$F$5:$F$9,MATCH(B125,Settings!$A$5:$A$9,0)),0))-C125)</f>
        <v/>
      </c>
      <c r="H125" s="12">
        <f>IF(OR(A125="",N(E125)=0),"",G125/E125)</f>
        <v/>
      </c>
      <c r="I125">
        <f>IF(OR(A125="",N(E125)=0),"",IF(G125&lt;0,"Loses money at this price",IF(E125&lt;F125,"Below target: raise to "&amp;TEXT(F125,"$0.00"),"On target")))</f>
        <v/>
      </c>
    </row>
    <row r="126">
      <c r="A126">
        <f>IF(Products!A126="","",Products!A126)</f>
        <v/>
      </c>
      <c r="B126" s="13" t="inlineStr">
        <is>
          <t>Etsy</t>
        </is>
      </c>
      <c r="C126" s="11">
        <f>IF(A126="","",Products!I126)</f>
        <v/>
      </c>
      <c r="D126" s="14" t="n">
        <v>0.3</v>
      </c>
      <c r="E126" s="15" t="n"/>
      <c r="F126" s="11">
        <f>IF(A126="","",IF(1-(IFERROR(INDEX(Settings!$B$5:$B$9,MATCH(B126,Settings!$A$5:$A$9,0)),0)+IFERROR(INDEX(Settings!$E$5:$E$9,MATCH(B126,Settings!$A$5:$A$9,0)),0)+IFERROR(INDEX(Settings!$G$5:$G$9,MATCH(B126,Settings!$A$5:$A$9,0)),0)+N(Products!H126))-D126&lt;=0,"margin too high",(C126+(IFERROR(INDEX(Settings!$C$5:$C$9,MATCH(B126,Settings!$A$5:$A$9,0)),0)+IFERROR(INDEX(Settings!$D$5:$D$9,MATCH(B126,Settings!$A$5:$A$9,0)),0)+IFERROR(INDEX(Settings!$F$5:$F$9,MATCH(B126,Settings!$A$5:$A$9,0)),0)))/(1-(IFERROR(INDEX(Settings!$B$5:$B$9,MATCH(B126,Settings!$A$5:$A$9,0)),0)+IFERROR(INDEX(Settings!$E$5:$E$9,MATCH(B126,Settings!$A$5:$A$9,0)),0)+IFERROR(INDEX(Settings!$G$5:$G$9,MATCH(B126,Settings!$A$5:$A$9,0)),0)+N(Products!H126))-D126)))</f>
        <v/>
      </c>
      <c r="G126" s="11">
        <f>IF(OR(A126="",N(E126)=0),"",E126*(1-(IFERROR(INDEX(Settings!$B$5:$B$9,MATCH(B126,Settings!$A$5:$A$9,0)),0)+IFERROR(INDEX(Settings!$E$5:$E$9,MATCH(B126,Settings!$A$5:$A$9,0)),0)+IFERROR(INDEX(Settings!$G$5:$G$9,MATCH(B126,Settings!$A$5:$A$9,0)),0)+N(Products!H126)))-(IFERROR(INDEX(Settings!$C$5:$C$9,MATCH(B126,Settings!$A$5:$A$9,0)),0)+IFERROR(INDEX(Settings!$D$5:$D$9,MATCH(B126,Settings!$A$5:$A$9,0)),0)+IFERROR(INDEX(Settings!$F$5:$F$9,MATCH(B126,Settings!$A$5:$A$9,0)),0))-C126)</f>
        <v/>
      </c>
      <c r="H126" s="12">
        <f>IF(OR(A126="",N(E126)=0),"",G126/E126)</f>
        <v/>
      </c>
      <c r="I126">
        <f>IF(OR(A126="",N(E126)=0),"",IF(G126&lt;0,"Loses money at this price",IF(E126&lt;F126,"Below target: raise to "&amp;TEXT(F126,"$0.00"),"On target")))</f>
        <v/>
      </c>
    </row>
    <row r="127">
      <c r="A127">
        <f>IF(Products!A127="","",Products!A127)</f>
        <v/>
      </c>
      <c r="B127" s="13" t="inlineStr">
        <is>
          <t>Etsy</t>
        </is>
      </c>
      <c r="C127" s="11">
        <f>IF(A127="","",Products!I127)</f>
        <v/>
      </c>
      <c r="D127" s="14" t="n">
        <v>0.3</v>
      </c>
      <c r="E127" s="15" t="n"/>
      <c r="F127" s="11">
        <f>IF(A127="","",IF(1-(IFERROR(INDEX(Settings!$B$5:$B$9,MATCH(B127,Settings!$A$5:$A$9,0)),0)+IFERROR(INDEX(Settings!$E$5:$E$9,MATCH(B127,Settings!$A$5:$A$9,0)),0)+IFERROR(INDEX(Settings!$G$5:$G$9,MATCH(B127,Settings!$A$5:$A$9,0)),0)+N(Products!H127))-D127&lt;=0,"margin too high",(C127+(IFERROR(INDEX(Settings!$C$5:$C$9,MATCH(B127,Settings!$A$5:$A$9,0)),0)+IFERROR(INDEX(Settings!$D$5:$D$9,MATCH(B127,Settings!$A$5:$A$9,0)),0)+IFERROR(INDEX(Settings!$F$5:$F$9,MATCH(B127,Settings!$A$5:$A$9,0)),0)))/(1-(IFERROR(INDEX(Settings!$B$5:$B$9,MATCH(B127,Settings!$A$5:$A$9,0)),0)+IFERROR(INDEX(Settings!$E$5:$E$9,MATCH(B127,Settings!$A$5:$A$9,0)),0)+IFERROR(INDEX(Settings!$G$5:$G$9,MATCH(B127,Settings!$A$5:$A$9,0)),0)+N(Products!H127))-D127)))</f>
        <v/>
      </c>
      <c r="G127" s="11">
        <f>IF(OR(A127="",N(E127)=0),"",E127*(1-(IFERROR(INDEX(Settings!$B$5:$B$9,MATCH(B127,Settings!$A$5:$A$9,0)),0)+IFERROR(INDEX(Settings!$E$5:$E$9,MATCH(B127,Settings!$A$5:$A$9,0)),0)+IFERROR(INDEX(Settings!$G$5:$G$9,MATCH(B127,Settings!$A$5:$A$9,0)),0)+N(Products!H127)))-(IFERROR(INDEX(Settings!$C$5:$C$9,MATCH(B127,Settings!$A$5:$A$9,0)),0)+IFERROR(INDEX(Settings!$D$5:$D$9,MATCH(B127,Settings!$A$5:$A$9,0)),0)+IFERROR(INDEX(Settings!$F$5:$F$9,MATCH(B127,Settings!$A$5:$A$9,0)),0))-C127)</f>
        <v/>
      </c>
      <c r="H127" s="12">
        <f>IF(OR(A127="",N(E127)=0),"",G127/E127)</f>
        <v/>
      </c>
      <c r="I127">
        <f>IF(OR(A127="",N(E127)=0),"",IF(G127&lt;0,"Loses money at this price",IF(E127&lt;F127,"Below target: raise to "&amp;TEXT(F127,"$0.00"),"On target")))</f>
        <v/>
      </c>
    </row>
    <row r="128">
      <c r="A128">
        <f>IF(Products!A128="","",Products!A128)</f>
        <v/>
      </c>
      <c r="B128" s="13" t="inlineStr">
        <is>
          <t>Etsy</t>
        </is>
      </c>
      <c r="C128" s="11">
        <f>IF(A128="","",Products!I128)</f>
        <v/>
      </c>
      <c r="D128" s="14" t="n">
        <v>0.3</v>
      </c>
      <c r="E128" s="15" t="n"/>
      <c r="F128" s="11">
        <f>IF(A128="","",IF(1-(IFERROR(INDEX(Settings!$B$5:$B$9,MATCH(B128,Settings!$A$5:$A$9,0)),0)+IFERROR(INDEX(Settings!$E$5:$E$9,MATCH(B128,Settings!$A$5:$A$9,0)),0)+IFERROR(INDEX(Settings!$G$5:$G$9,MATCH(B128,Settings!$A$5:$A$9,0)),0)+N(Products!H128))-D128&lt;=0,"margin too high",(C128+(IFERROR(INDEX(Settings!$C$5:$C$9,MATCH(B128,Settings!$A$5:$A$9,0)),0)+IFERROR(INDEX(Settings!$D$5:$D$9,MATCH(B128,Settings!$A$5:$A$9,0)),0)+IFERROR(INDEX(Settings!$F$5:$F$9,MATCH(B128,Settings!$A$5:$A$9,0)),0)))/(1-(IFERROR(INDEX(Settings!$B$5:$B$9,MATCH(B128,Settings!$A$5:$A$9,0)),0)+IFERROR(INDEX(Settings!$E$5:$E$9,MATCH(B128,Settings!$A$5:$A$9,0)),0)+IFERROR(INDEX(Settings!$G$5:$G$9,MATCH(B128,Settings!$A$5:$A$9,0)),0)+N(Products!H128))-D128)))</f>
        <v/>
      </c>
      <c r="G128" s="11">
        <f>IF(OR(A128="",N(E128)=0),"",E128*(1-(IFERROR(INDEX(Settings!$B$5:$B$9,MATCH(B128,Settings!$A$5:$A$9,0)),0)+IFERROR(INDEX(Settings!$E$5:$E$9,MATCH(B128,Settings!$A$5:$A$9,0)),0)+IFERROR(INDEX(Settings!$G$5:$G$9,MATCH(B128,Settings!$A$5:$A$9,0)),0)+N(Products!H128)))-(IFERROR(INDEX(Settings!$C$5:$C$9,MATCH(B128,Settings!$A$5:$A$9,0)),0)+IFERROR(INDEX(Settings!$D$5:$D$9,MATCH(B128,Settings!$A$5:$A$9,0)),0)+IFERROR(INDEX(Settings!$F$5:$F$9,MATCH(B128,Settings!$A$5:$A$9,0)),0))-C128)</f>
        <v/>
      </c>
      <c r="H128" s="12">
        <f>IF(OR(A128="",N(E128)=0),"",G128/E128)</f>
        <v/>
      </c>
      <c r="I128">
        <f>IF(OR(A128="",N(E128)=0),"",IF(G128&lt;0,"Loses money at this price",IF(E128&lt;F128,"Below target: raise to "&amp;TEXT(F128,"$0.00"),"On target")))</f>
        <v/>
      </c>
    </row>
    <row r="129">
      <c r="A129">
        <f>IF(Products!A129="","",Products!A129)</f>
        <v/>
      </c>
      <c r="B129" s="13" t="inlineStr">
        <is>
          <t>Etsy</t>
        </is>
      </c>
      <c r="C129" s="11">
        <f>IF(A129="","",Products!I129)</f>
        <v/>
      </c>
      <c r="D129" s="14" t="n">
        <v>0.3</v>
      </c>
      <c r="E129" s="15" t="n"/>
      <c r="F129" s="11">
        <f>IF(A129="","",IF(1-(IFERROR(INDEX(Settings!$B$5:$B$9,MATCH(B129,Settings!$A$5:$A$9,0)),0)+IFERROR(INDEX(Settings!$E$5:$E$9,MATCH(B129,Settings!$A$5:$A$9,0)),0)+IFERROR(INDEX(Settings!$G$5:$G$9,MATCH(B129,Settings!$A$5:$A$9,0)),0)+N(Products!H129))-D129&lt;=0,"margin too high",(C129+(IFERROR(INDEX(Settings!$C$5:$C$9,MATCH(B129,Settings!$A$5:$A$9,0)),0)+IFERROR(INDEX(Settings!$D$5:$D$9,MATCH(B129,Settings!$A$5:$A$9,0)),0)+IFERROR(INDEX(Settings!$F$5:$F$9,MATCH(B129,Settings!$A$5:$A$9,0)),0)))/(1-(IFERROR(INDEX(Settings!$B$5:$B$9,MATCH(B129,Settings!$A$5:$A$9,0)),0)+IFERROR(INDEX(Settings!$E$5:$E$9,MATCH(B129,Settings!$A$5:$A$9,0)),0)+IFERROR(INDEX(Settings!$G$5:$G$9,MATCH(B129,Settings!$A$5:$A$9,0)),0)+N(Products!H129))-D129)))</f>
        <v/>
      </c>
      <c r="G129" s="11">
        <f>IF(OR(A129="",N(E129)=0),"",E129*(1-(IFERROR(INDEX(Settings!$B$5:$B$9,MATCH(B129,Settings!$A$5:$A$9,0)),0)+IFERROR(INDEX(Settings!$E$5:$E$9,MATCH(B129,Settings!$A$5:$A$9,0)),0)+IFERROR(INDEX(Settings!$G$5:$G$9,MATCH(B129,Settings!$A$5:$A$9,0)),0)+N(Products!H129)))-(IFERROR(INDEX(Settings!$C$5:$C$9,MATCH(B129,Settings!$A$5:$A$9,0)),0)+IFERROR(INDEX(Settings!$D$5:$D$9,MATCH(B129,Settings!$A$5:$A$9,0)),0)+IFERROR(INDEX(Settings!$F$5:$F$9,MATCH(B129,Settings!$A$5:$A$9,0)),0))-C129)</f>
        <v/>
      </c>
      <c r="H129" s="12">
        <f>IF(OR(A129="",N(E129)=0),"",G129/E129)</f>
        <v/>
      </c>
      <c r="I129">
        <f>IF(OR(A129="",N(E129)=0),"",IF(G129&lt;0,"Loses money at this price",IF(E129&lt;F129,"Below target: raise to "&amp;TEXT(F129,"$0.00"),"On target")))</f>
        <v/>
      </c>
    </row>
    <row r="130">
      <c r="A130">
        <f>IF(Products!A130="","",Products!A130)</f>
        <v/>
      </c>
      <c r="B130" s="13" t="inlineStr">
        <is>
          <t>Etsy</t>
        </is>
      </c>
      <c r="C130" s="11">
        <f>IF(A130="","",Products!I130)</f>
        <v/>
      </c>
      <c r="D130" s="14" t="n">
        <v>0.3</v>
      </c>
      <c r="E130" s="15" t="n"/>
      <c r="F130" s="11">
        <f>IF(A130="","",IF(1-(IFERROR(INDEX(Settings!$B$5:$B$9,MATCH(B130,Settings!$A$5:$A$9,0)),0)+IFERROR(INDEX(Settings!$E$5:$E$9,MATCH(B130,Settings!$A$5:$A$9,0)),0)+IFERROR(INDEX(Settings!$G$5:$G$9,MATCH(B130,Settings!$A$5:$A$9,0)),0)+N(Products!H130))-D130&lt;=0,"margin too high",(C130+(IFERROR(INDEX(Settings!$C$5:$C$9,MATCH(B130,Settings!$A$5:$A$9,0)),0)+IFERROR(INDEX(Settings!$D$5:$D$9,MATCH(B130,Settings!$A$5:$A$9,0)),0)+IFERROR(INDEX(Settings!$F$5:$F$9,MATCH(B130,Settings!$A$5:$A$9,0)),0)))/(1-(IFERROR(INDEX(Settings!$B$5:$B$9,MATCH(B130,Settings!$A$5:$A$9,0)),0)+IFERROR(INDEX(Settings!$E$5:$E$9,MATCH(B130,Settings!$A$5:$A$9,0)),0)+IFERROR(INDEX(Settings!$G$5:$G$9,MATCH(B130,Settings!$A$5:$A$9,0)),0)+N(Products!H130))-D130)))</f>
        <v/>
      </c>
      <c r="G130" s="11">
        <f>IF(OR(A130="",N(E130)=0),"",E130*(1-(IFERROR(INDEX(Settings!$B$5:$B$9,MATCH(B130,Settings!$A$5:$A$9,0)),0)+IFERROR(INDEX(Settings!$E$5:$E$9,MATCH(B130,Settings!$A$5:$A$9,0)),0)+IFERROR(INDEX(Settings!$G$5:$G$9,MATCH(B130,Settings!$A$5:$A$9,0)),0)+N(Products!H130)))-(IFERROR(INDEX(Settings!$C$5:$C$9,MATCH(B130,Settings!$A$5:$A$9,0)),0)+IFERROR(INDEX(Settings!$D$5:$D$9,MATCH(B130,Settings!$A$5:$A$9,0)),0)+IFERROR(INDEX(Settings!$F$5:$F$9,MATCH(B130,Settings!$A$5:$A$9,0)),0))-C130)</f>
        <v/>
      </c>
      <c r="H130" s="12">
        <f>IF(OR(A130="",N(E130)=0),"",G130/E130)</f>
        <v/>
      </c>
      <c r="I130">
        <f>IF(OR(A130="",N(E130)=0),"",IF(G130&lt;0,"Loses money at this price",IF(E130&lt;F130,"Below target: raise to "&amp;TEXT(F130,"$0.00"),"On target")))</f>
        <v/>
      </c>
    </row>
    <row r="131">
      <c r="A131">
        <f>IF(Products!A131="","",Products!A131)</f>
        <v/>
      </c>
      <c r="B131" s="13" t="inlineStr">
        <is>
          <t>Etsy</t>
        </is>
      </c>
      <c r="C131" s="11">
        <f>IF(A131="","",Products!I131)</f>
        <v/>
      </c>
      <c r="D131" s="14" t="n">
        <v>0.3</v>
      </c>
      <c r="E131" s="15" t="n"/>
      <c r="F131" s="11">
        <f>IF(A131="","",IF(1-(IFERROR(INDEX(Settings!$B$5:$B$9,MATCH(B131,Settings!$A$5:$A$9,0)),0)+IFERROR(INDEX(Settings!$E$5:$E$9,MATCH(B131,Settings!$A$5:$A$9,0)),0)+IFERROR(INDEX(Settings!$G$5:$G$9,MATCH(B131,Settings!$A$5:$A$9,0)),0)+N(Products!H131))-D131&lt;=0,"margin too high",(C131+(IFERROR(INDEX(Settings!$C$5:$C$9,MATCH(B131,Settings!$A$5:$A$9,0)),0)+IFERROR(INDEX(Settings!$D$5:$D$9,MATCH(B131,Settings!$A$5:$A$9,0)),0)+IFERROR(INDEX(Settings!$F$5:$F$9,MATCH(B131,Settings!$A$5:$A$9,0)),0)))/(1-(IFERROR(INDEX(Settings!$B$5:$B$9,MATCH(B131,Settings!$A$5:$A$9,0)),0)+IFERROR(INDEX(Settings!$E$5:$E$9,MATCH(B131,Settings!$A$5:$A$9,0)),0)+IFERROR(INDEX(Settings!$G$5:$G$9,MATCH(B131,Settings!$A$5:$A$9,0)),0)+N(Products!H131))-D131)))</f>
        <v/>
      </c>
      <c r="G131" s="11">
        <f>IF(OR(A131="",N(E131)=0),"",E131*(1-(IFERROR(INDEX(Settings!$B$5:$B$9,MATCH(B131,Settings!$A$5:$A$9,0)),0)+IFERROR(INDEX(Settings!$E$5:$E$9,MATCH(B131,Settings!$A$5:$A$9,0)),0)+IFERROR(INDEX(Settings!$G$5:$G$9,MATCH(B131,Settings!$A$5:$A$9,0)),0)+N(Products!H131)))-(IFERROR(INDEX(Settings!$C$5:$C$9,MATCH(B131,Settings!$A$5:$A$9,0)),0)+IFERROR(INDEX(Settings!$D$5:$D$9,MATCH(B131,Settings!$A$5:$A$9,0)),0)+IFERROR(INDEX(Settings!$F$5:$F$9,MATCH(B131,Settings!$A$5:$A$9,0)),0))-C131)</f>
        <v/>
      </c>
      <c r="H131" s="12">
        <f>IF(OR(A131="",N(E131)=0),"",G131/E131)</f>
        <v/>
      </c>
      <c r="I131">
        <f>IF(OR(A131="",N(E131)=0),"",IF(G131&lt;0,"Loses money at this price",IF(E131&lt;F131,"Below target: raise to "&amp;TEXT(F131,"$0.00"),"On target")))</f>
        <v/>
      </c>
    </row>
    <row r="132">
      <c r="A132">
        <f>IF(Products!A132="","",Products!A132)</f>
        <v/>
      </c>
      <c r="B132" s="13" t="inlineStr">
        <is>
          <t>Etsy</t>
        </is>
      </c>
      <c r="C132" s="11">
        <f>IF(A132="","",Products!I132)</f>
        <v/>
      </c>
      <c r="D132" s="14" t="n">
        <v>0.3</v>
      </c>
      <c r="E132" s="15" t="n"/>
      <c r="F132" s="11">
        <f>IF(A132="","",IF(1-(IFERROR(INDEX(Settings!$B$5:$B$9,MATCH(B132,Settings!$A$5:$A$9,0)),0)+IFERROR(INDEX(Settings!$E$5:$E$9,MATCH(B132,Settings!$A$5:$A$9,0)),0)+IFERROR(INDEX(Settings!$G$5:$G$9,MATCH(B132,Settings!$A$5:$A$9,0)),0)+N(Products!H132))-D132&lt;=0,"margin too high",(C132+(IFERROR(INDEX(Settings!$C$5:$C$9,MATCH(B132,Settings!$A$5:$A$9,0)),0)+IFERROR(INDEX(Settings!$D$5:$D$9,MATCH(B132,Settings!$A$5:$A$9,0)),0)+IFERROR(INDEX(Settings!$F$5:$F$9,MATCH(B132,Settings!$A$5:$A$9,0)),0)))/(1-(IFERROR(INDEX(Settings!$B$5:$B$9,MATCH(B132,Settings!$A$5:$A$9,0)),0)+IFERROR(INDEX(Settings!$E$5:$E$9,MATCH(B132,Settings!$A$5:$A$9,0)),0)+IFERROR(INDEX(Settings!$G$5:$G$9,MATCH(B132,Settings!$A$5:$A$9,0)),0)+N(Products!H132))-D132)))</f>
        <v/>
      </c>
      <c r="G132" s="11">
        <f>IF(OR(A132="",N(E132)=0),"",E132*(1-(IFERROR(INDEX(Settings!$B$5:$B$9,MATCH(B132,Settings!$A$5:$A$9,0)),0)+IFERROR(INDEX(Settings!$E$5:$E$9,MATCH(B132,Settings!$A$5:$A$9,0)),0)+IFERROR(INDEX(Settings!$G$5:$G$9,MATCH(B132,Settings!$A$5:$A$9,0)),0)+N(Products!H132)))-(IFERROR(INDEX(Settings!$C$5:$C$9,MATCH(B132,Settings!$A$5:$A$9,0)),0)+IFERROR(INDEX(Settings!$D$5:$D$9,MATCH(B132,Settings!$A$5:$A$9,0)),0)+IFERROR(INDEX(Settings!$F$5:$F$9,MATCH(B132,Settings!$A$5:$A$9,0)),0))-C132)</f>
        <v/>
      </c>
      <c r="H132" s="12">
        <f>IF(OR(A132="",N(E132)=0),"",G132/E132)</f>
        <v/>
      </c>
      <c r="I132">
        <f>IF(OR(A132="",N(E132)=0),"",IF(G132&lt;0,"Loses money at this price",IF(E132&lt;F132,"Below target: raise to "&amp;TEXT(F132,"$0.00"),"On target")))</f>
        <v/>
      </c>
    </row>
    <row r="133">
      <c r="A133">
        <f>IF(Products!A133="","",Products!A133)</f>
        <v/>
      </c>
      <c r="B133" s="13" t="inlineStr">
        <is>
          <t>Etsy</t>
        </is>
      </c>
      <c r="C133" s="11">
        <f>IF(A133="","",Products!I133)</f>
        <v/>
      </c>
      <c r="D133" s="14" t="n">
        <v>0.3</v>
      </c>
      <c r="E133" s="15" t="n"/>
      <c r="F133" s="11">
        <f>IF(A133="","",IF(1-(IFERROR(INDEX(Settings!$B$5:$B$9,MATCH(B133,Settings!$A$5:$A$9,0)),0)+IFERROR(INDEX(Settings!$E$5:$E$9,MATCH(B133,Settings!$A$5:$A$9,0)),0)+IFERROR(INDEX(Settings!$G$5:$G$9,MATCH(B133,Settings!$A$5:$A$9,0)),0)+N(Products!H133))-D133&lt;=0,"margin too high",(C133+(IFERROR(INDEX(Settings!$C$5:$C$9,MATCH(B133,Settings!$A$5:$A$9,0)),0)+IFERROR(INDEX(Settings!$D$5:$D$9,MATCH(B133,Settings!$A$5:$A$9,0)),0)+IFERROR(INDEX(Settings!$F$5:$F$9,MATCH(B133,Settings!$A$5:$A$9,0)),0)))/(1-(IFERROR(INDEX(Settings!$B$5:$B$9,MATCH(B133,Settings!$A$5:$A$9,0)),0)+IFERROR(INDEX(Settings!$E$5:$E$9,MATCH(B133,Settings!$A$5:$A$9,0)),0)+IFERROR(INDEX(Settings!$G$5:$G$9,MATCH(B133,Settings!$A$5:$A$9,0)),0)+N(Products!H133))-D133)))</f>
        <v/>
      </c>
      <c r="G133" s="11">
        <f>IF(OR(A133="",N(E133)=0),"",E133*(1-(IFERROR(INDEX(Settings!$B$5:$B$9,MATCH(B133,Settings!$A$5:$A$9,0)),0)+IFERROR(INDEX(Settings!$E$5:$E$9,MATCH(B133,Settings!$A$5:$A$9,0)),0)+IFERROR(INDEX(Settings!$G$5:$G$9,MATCH(B133,Settings!$A$5:$A$9,0)),0)+N(Products!H133)))-(IFERROR(INDEX(Settings!$C$5:$C$9,MATCH(B133,Settings!$A$5:$A$9,0)),0)+IFERROR(INDEX(Settings!$D$5:$D$9,MATCH(B133,Settings!$A$5:$A$9,0)),0)+IFERROR(INDEX(Settings!$F$5:$F$9,MATCH(B133,Settings!$A$5:$A$9,0)),0))-C133)</f>
        <v/>
      </c>
      <c r="H133" s="12">
        <f>IF(OR(A133="",N(E133)=0),"",G133/E133)</f>
        <v/>
      </c>
      <c r="I133">
        <f>IF(OR(A133="",N(E133)=0),"",IF(G133&lt;0,"Loses money at this price",IF(E133&lt;F133,"Below target: raise to "&amp;TEXT(F133,"$0.00"),"On target")))</f>
        <v/>
      </c>
    </row>
    <row r="134">
      <c r="A134">
        <f>IF(Products!A134="","",Products!A134)</f>
        <v/>
      </c>
      <c r="B134" s="13" t="inlineStr">
        <is>
          <t>Etsy</t>
        </is>
      </c>
      <c r="C134" s="11">
        <f>IF(A134="","",Products!I134)</f>
        <v/>
      </c>
      <c r="D134" s="14" t="n">
        <v>0.3</v>
      </c>
      <c r="E134" s="15" t="n"/>
      <c r="F134" s="11">
        <f>IF(A134="","",IF(1-(IFERROR(INDEX(Settings!$B$5:$B$9,MATCH(B134,Settings!$A$5:$A$9,0)),0)+IFERROR(INDEX(Settings!$E$5:$E$9,MATCH(B134,Settings!$A$5:$A$9,0)),0)+IFERROR(INDEX(Settings!$G$5:$G$9,MATCH(B134,Settings!$A$5:$A$9,0)),0)+N(Products!H134))-D134&lt;=0,"margin too high",(C134+(IFERROR(INDEX(Settings!$C$5:$C$9,MATCH(B134,Settings!$A$5:$A$9,0)),0)+IFERROR(INDEX(Settings!$D$5:$D$9,MATCH(B134,Settings!$A$5:$A$9,0)),0)+IFERROR(INDEX(Settings!$F$5:$F$9,MATCH(B134,Settings!$A$5:$A$9,0)),0)))/(1-(IFERROR(INDEX(Settings!$B$5:$B$9,MATCH(B134,Settings!$A$5:$A$9,0)),0)+IFERROR(INDEX(Settings!$E$5:$E$9,MATCH(B134,Settings!$A$5:$A$9,0)),0)+IFERROR(INDEX(Settings!$G$5:$G$9,MATCH(B134,Settings!$A$5:$A$9,0)),0)+N(Products!H134))-D134)))</f>
        <v/>
      </c>
      <c r="G134" s="11">
        <f>IF(OR(A134="",N(E134)=0),"",E134*(1-(IFERROR(INDEX(Settings!$B$5:$B$9,MATCH(B134,Settings!$A$5:$A$9,0)),0)+IFERROR(INDEX(Settings!$E$5:$E$9,MATCH(B134,Settings!$A$5:$A$9,0)),0)+IFERROR(INDEX(Settings!$G$5:$G$9,MATCH(B134,Settings!$A$5:$A$9,0)),0)+N(Products!H134)))-(IFERROR(INDEX(Settings!$C$5:$C$9,MATCH(B134,Settings!$A$5:$A$9,0)),0)+IFERROR(INDEX(Settings!$D$5:$D$9,MATCH(B134,Settings!$A$5:$A$9,0)),0)+IFERROR(INDEX(Settings!$F$5:$F$9,MATCH(B134,Settings!$A$5:$A$9,0)),0))-C134)</f>
        <v/>
      </c>
      <c r="H134" s="12">
        <f>IF(OR(A134="",N(E134)=0),"",G134/E134)</f>
        <v/>
      </c>
      <c r="I134">
        <f>IF(OR(A134="",N(E134)=0),"",IF(G134&lt;0,"Loses money at this price",IF(E134&lt;F134,"Below target: raise to "&amp;TEXT(F134,"$0.00"),"On target")))</f>
        <v/>
      </c>
    </row>
    <row r="135">
      <c r="A135">
        <f>IF(Products!A135="","",Products!A135)</f>
        <v/>
      </c>
      <c r="B135" s="13" t="inlineStr">
        <is>
          <t>Etsy</t>
        </is>
      </c>
      <c r="C135" s="11">
        <f>IF(A135="","",Products!I135)</f>
        <v/>
      </c>
      <c r="D135" s="14" t="n">
        <v>0.3</v>
      </c>
      <c r="E135" s="15" t="n"/>
      <c r="F135" s="11">
        <f>IF(A135="","",IF(1-(IFERROR(INDEX(Settings!$B$5:$B$9,MATCH(B135,Settings!$A$5:$A$9,0)),0)+IFERROR(INDEX(Settings!$E$5:$E$9,MATCH(B135,Settings!$A$5:$A$9,0)),0)+IFERROR(INDEX(Settings!$G$5:$G$9,MATCH(B135,Settings!$A$5:$A$9,0)),0)+N(Products!H135))-D135&lt;=0,"margin too high",(C135+(IFERROR(INDEX(Settings!$C$5:$C$9,MATCH(B135,Settings!$A$5:$A$9,0)),0)+IFERROR(INDEX(Settings!$D$5:$D$9,MATCH(B135,Settings!$A$5:$A$9,0)),0)+IFERROR(INDEX(Settings!$F$5:$F$9,MATCH(B135,Settings!$A$5:$A$9,0)),0)))/(1-(IFERROR(INDEX(Settings!$B$5:$B$9,MATCH(B135,Settings!$A$5:$A$9,0)),0)+IFERROR(INDEX(Settings!$E$5:$E$9,MATCH(B135,Settings!$A$5:$A$9,0)),0)+IFERROR(INDEX(Settings!$G$5:$G$9,MATCH(B135,Settings!$A$5:$A$9,0)),0)+N(Products!H135))-D135)))</f>
        <v/>
      </c>
      <c r="G135" s="11">
        <f>IF(OR(A135="",N(E135)=0),"",E135*(1-(IFERROR(INDEX(Settings!$B$5:$B$9,MATCH(B135,Settings!$A$5:$A$9,0)),0)+IFERROR(INDEX(Settings!$E$5:$E$9,MATCH(B135,Settings!$A$5:$A$9,0)),0)+IFERROR(INDEX(Settings!$G$5:$G$9,MATCH(B135,Settings!$A$5:$A$9,0)),0)+N(Products!H135)))-(IFERROR(INDEX(Settings!$C$5:$C$9,MATCH(B135,Settings!$A$5:$A$9,0)),0)+IFERROR(INDEX(Settings!$D$5:$D$9,MATCH(B135,Settings!$A$5:$A$9,0)),0)+IFERROR(INDEX(Settings!$F$5:$F$9,MATCH(B135,Settings!$A$5:$A$9,0)),0))-C135)</f>
        <v/>
      </c>
      <c r="H135" s="12">
        <f>IF(OR(A135="",N(E135)=0),"",G135/E135)</f>
        <v/>
      </c>
      <c r="I135">
        <f>IF(OR(A135="",N(E135)=0),"",IF(G135&lt;0,"Loses money at this price",IF(E135&lt;F135,"Below target: raise to "&amp;TEXT(F135,"$0.00"),"On target")))</f>
        <v/>
      </c>
    </row>
    <row r="136">
      <c r="A136">
        <f>IF(Products!A136="","",Products!A136)</f>
        <v/>
      </c>
      <c r="B136" s="13" t="inlineStr">
        <is>
          <t>Etsy</t>
        </is>
      </c>
      <c r="C136" s="11">
        <f>IF(A136="","",Products!I136)</f>
        <v/>
      </c>
      <c r="D136" s="14" t="n">
        <v>0.3</v>
      </c>
      <c r="E136" s="15" t="n"/>
      <c r="F136" s="11">
        <f>IF(A136="","",IF(1-(IFERROR(INDEX(Settings!$B$5:$B$9,MATCH(B136,Settings!$A$5:$A$9,0)),0)+IFERROR(INDEX(Settings!$E$5:$E$9,MATCH(B136,Settings!$A$5:$A$9,0)),0)+IFERROR(INDEX(Settings!$G$5:$G$9,MATCH(B136,Settings!$A$5:$A$9,0)),0)+N(Products!H136))-D136&lt;=0,"margin too high",(C136+(IFERROR(INDEX(Settings!$C$5:$C$9,MATCH(B136,Settings!$A$5:$A$9,0)),0)+IFERROR(INDEX(Settings!$D$5:$D$9,MATCH(B136,Settings!$A$5:$A$9,0)),0)+IFERROR(INDEX(Settings!$F$5:$F$9,MATCH(B136,Settings!$A$5:$A$9,0)),0)))/(1-(IFERROR(INDEX(Settings!$B$5:$B$9,MATCH(B136,Settings!$A$5:$A$9,0)),0)+IFERROR(INDEX(Settings!$E$5:$E$9,MATCH(B136,Settings!$A$5:$A$9,0)),0)+IFERROR(INDEX(Settings!$G$5:$G$9,MATCH(B136,Settings!$A$5:$A$9,0)),0)+N(Products!H136))-D136)))</f>
        <v/>
      </c>
      <c r="G136" s="11">
        <f>IF(OR(A136="",N(E136)=0),"",E136*(1-(IFERROR(INDEX(Settings!$B$5:$B$9,MATCH(B136,Settings!$A$5:$A$9,0)),0)+IFERROR(INDEX(Settings!$E$5:$E$9,MATCH(B136,Settings!$A$5:$A$9,0)),0)+IFERROR(INDEX(Settings!$G$5:$G$9,MATCH(B136,Settings!$A$5:$A$9,0)),0)+N(Products!H136)))-(IFERROR(INDEX(Settings!$C$5:$C$9,MATCH(B136,Settings!$A$5:$A$9,0)),0)+IFERROR(INDEX(Settings!$D$5:$D$9,MATCH(B136,Settings!$A$5:$A$9,0)),0)+IFERROR(INDEX(Settings!$F$5:$F$9,MATCH(B136,Settings!$A$5:$A$9,0)),0))-C136)</f>
        <v/>
      </c>
      <c r="H136" s="12">
        <f>IF(OR(A136="",N(E136)=0),"",G136/E136)</f>
        <v/>
      </c>
      <c r="I136">
        <f>IF(OR(A136="",N(E136)=0),"",IF(G136&lt;0,"Loses money at this price",IF(E136&lt;F136,"Below target: raise to "&amp;TEXT(F136,"$0.00"),"On target")))</f>
        <v/>
      </c>
    </row>
    <row r="137">
      <c r="A137">
        <f>IF(Products!A137="","",Products!A137)</f>
        <v/>
      </c>
      <c r="B137" s="13" t="inlineStr">
        <is>
          <t>Etsy</t>
        </is>
      </c>
      <c r="C137" s="11">
        <f>IF(A137="","",Products!I137)</f>
        <v/>
      </c>
      <c r="D137" s="14" t="n">
        <v>0.3</v>
      </c>
      <c r="E137" s="15" t="n"/>
      <c r="F137" s="11">
        <f>IF(A137="","",IF(1-(IFERROR(INDEX(Settings!$B$5:$B$9,MATCH(B137,Settings!$A$5:$A$9,0)),0)+IFERROR(INDEX(Settings!$E$5:$E$9,MATCH(B137,Settings!$A$5:$A$9,0)),0)+IFERROR(INDEX(Settings!$G$5:$G$9,MATCH(B137,Settings!$A$5:$A$9,0)),0)+N(Products!H137))-D137&lt;=0,"margin too high",(C137+(IFERROR(INDEX(Settings!$C$5:$C$9,MATCH(B137,Settings!$A$5:$A$9,0)),0)+IFERROR(INDEX(Settings!$D$5:$D$9,MATCH(B137,Settings!$A$5:$A$9,0)),0)+IFERROR(INDEX(Settings!$F$5:$F$9,MATCH(B137,Settings!$A$5:$A$9,0)),0)))/(1-(IFERROR(INDEX(Settings!$B$5:$B$9,MATCH(B137,Settings!$A$5:$A$9,0)),0)+IFERROR(INDEX(Settings!$E$5:$E$9,MATCH(B137,Settings!$A$5:$A$9,0)),0)+IFERROR(INDEX(Settings!$G$5:$G$9,MATCH(B137,Settings!$A$5:$A$9,0)),0)+N(Products!H137))-D137)))</f>
        <v/>
      </c>
      <c r="G137" s="11">
        <f>IF(OR(A137="",N(E137)=0),"",E137*(1-(IFERROR(INDEX(Settings!$B$5:$B$9,MATCH(B137,Settings!$A$5:$A$9,0)),0)+IFERROR(INDEX(Settings!$E$5:$E$9,MATCH(B137,Settings!$A$5:$A$9,0)),0)+IFERROR(INDEX(Settings!$G$5:$G$9,MATCH(B137,Settings!$A$5:$A$9,0)),0)+N(Products!H137)))-(IFERROR(INDEX(Settings!$C$5:$C$9,MATCH(B137,Settings!$A$5:$A$9,0)),0)+IFERROR(INDEX(Settings!$D$5:$D$9,MATCH(B137,Settings!$A$5:$A$9,0)),0)+IFERROR(INDEX(Settings!$F$5:$F$9,MATCH(B137,Settings!$A$5:$A$9,0)),0))-C137)</f>
        <v/>
      </c>
      <c r="H137" s="12">
        <f>IF(OR(A137="",N(E137)=0),"",G137/E137)</f>
        <v/>
      </c>
      <c r="I137">
        <f>IF(OR(A137="",N(E137)=0),"",IF(G137&lt;0,"Loses money at this price",IF(E137&lt;F137,"Below target: raise to "&amp;TEXT(F137,"$0.00"),"On target")))</f>
        <v/>
      </c>
    </row>
    <row r="138">
      <c r="A138">
        <f>IF(Products!A138="","",Products!A138)</f>
        <v/>
      </c>
      <c r="B138" s="13" t="inlineStr">
        <is>
          <t>Etsy</t>
        </is>
      </c>
      <c r="C138" s="11">
        <f>IF(A138="","",Products!I138)</f>
        <v/>
      </c>
      <c r="D138" s="14" t="n">
        <v>0.3</v>
      </c>
      <c r="E138" s="15" t="n"/>
      <c r="F138" s="11">
        <f>IF(A138="","",IF(1-(IFERROR(INDEX(Settings!$B$5:$B$9,MATCH(B138,Settings!$A$5:$A$9,0)),0)+IFERROR(INDEX(Settings!$E$5:$E$9,MATCH(B138,Settings!$A$5:$A$9,0)),0)+IFERROR(INDEX(Settings!$G$5:$G$9,MATCH(B138,Settings!$A$5:$A$9,0)),0)+N(Products!H138))-D138&lt;=0,"margin too high",(C138+(IFERROR(INDEX(Settings!$C$5:$C$9,MATCH(B138,Settings!$A$5:$A$9,0)),0)+IFERROR(INDEX(Settings!$D$5:$D$9,MATCH(B138,Settings!$A$5:$A$9,0)),0)+IFERROR(INDEX(Settings!$F$5:$F$9,MATCH(B138,Settings!$A$5:$A$9,0)),0)))/(1-(IFERROR(INDEX(Settings!$B$5:$B$9,MATCH(B138,Settings!$A$5:$A$9,0)),0)+IFERROR(INDEX(Settings!$E$5:$E$9,MATCH(B138,Settings!$A$5:$A$9,0)),0)+IFERROR(INDEX(Settings!$G$5:$G$9,MATCH(B138,Settings!$A$5:$A$9,0)),0)+N(Products!H138))-D138)))</f>
        <v/>
      </c>
      <c r="G138" s="11">
        <f>IF(OR(A138="",N(E138)=0),"",E138*(1-(IFERROR(INDEX(Settings!$B$5:$B$9,MATCH(B138,Settings!$A$5:$A$9,0)),0)+IFERROR(INDEX(Settings!$E$5:$E$9,MATCH(B138,Settings!$A$5:$A$9,0)),0)+IFERROR(INDEX(Settings!$G$5:$G$9,MATCH(B138,Settings!$A$5:$A$9,0)),0)+N(Products!H138)))-(IFERROR(INDEX(Settings!$C$5:$C$9,MATCH(B138,Settings!$A$5:$A$9,0)),0)+IFERROR(INDEX(Settings!$D$5:$D$9,MATCH(B138,Settings!$A$5:$A$9,0)),0)+IFERROR(INDEX(Settings!$F$5:$F$9,MATCH(B138,Settings!$A$5:$A$9,0)),0))-C138)</f>
        <v/>
      </c>
      <c r="H138" s="12">
        <f>IF(OR(A138="",N(E138)=0),"",G138/E138)</f>
        <v/>
      </c>
      <c r="I138">
        <f>IF(OR(A138="",N(E138)=0),"",IF(G138&lt;0,"Loses money at this price",IF(E138&lt;F138,"Below target: raise to "&amp;TEXT(F138,"$0.00"),"On target")))</f>
        <v/>
      </c>
    </row>
    <row r="139">
      <c r="A139">
        <f>IF(Products!A139="","",Products!A139)</f>
        <v/>
      </c>
      <c r="B139" s="13" t="inlineStr">
        <is>
          <t>Etsy</t>
        </is>
      </c>
      <c r="C139" s="11">
        <f>IF(A139="","",Products!I139)</f>
        <v/>
      </c>
      <c r="D139" s="14" t="n">
        <v>0.3</v>
      </c>
      <c r="E139" s="15" t="n"/>
      <c r="F139" s="11">
        <f>IF(A139="","",IF(1-(IFERROR(INDEX(Settings!$B$5:$B$9,MATCH(B139,Settings!$A$5:$A$9,0)),0)+IFERROR(INDEX(Settings!$E$5:$E$9,MATCH(B139,Settings!$A$5:$A$9,0)),0)+IFERROR(INDEX(Settings!$G$5:$G$9,MATCH(B139,Settings!$A$5:$A$9,0)),0)+N(Products!H139))-D139&lt;=0,"margin too high",(C139+(IFERROR(INDEX(Settings!$C$5:$C$9,MATCH(B139,Settings!$A$5:$A$9,0)),0)+IFERROR(INDEX(Settings!$D$5:$D$9,MATCH(B139,Settings!$A$5:$A$9,0)),0)+IFERROR(INDEX(Settings!$F$5:$F$9,MATCH(B139,Settings!$A$5:$A$9,0)),0)))/(1-(IFERROR(INDEX(Settings!$B$5:$B$9,MATCH(B139,Settings!$A$5:$A$9,0)),0)+IFERROR(INDEX(Settings!$E$5:$E$9,MATCH(B139,Settings!$A$5:$A$9,0)),0)+IFERROR(INDEX(Settings!$G$5:$G$9,MATCH(B139,Settings!$A$5:$A$9,0)),0)+N(Products!H139))-D139)))</f>
        <v/>
      </c>
      <c r="G139" s="11">
        <f>IF(OR(A139="",N(E139)=0),"",E139*(1-(IFERROR(INDEX(Settings!$B$5:$B$9,MATCH(B139,Settings!$A$5:$A$9,0)),0)+IFERROR(INDEX(Settings!$E$5:$E$9,MATCH(B139,Settings!$A$5:$A$9,0)),0)+IFERROR(INDEX(Settings!$G$5:$G$9,MATCH(B139,Settings!$A$5:$A$9,0)),0)+N(Products!H139)))-(IFERROR(INDEX(Settings!$C$5:$C$9,MATCH(B139,Settings!$A$5:$A$9,0)),0)+IFERROR(INDEX(Settings!$D$5:$D$9,MATCH(B139,Settings!$A$5:$A$9,0)),0)+IFERROR(INDEX(Settings!$F$5:$F$9,MATCH(B139,Settings!$A$5:$A$9,0)),0))-C139)</f>
        <v/>
      </c>
      <c r="H139" s="12">
        <f>IF(OR(A139="",N(E139)=0),"",G139/E139)</f>
        <v/>
      </c>
      <c r="I139">
        <f>IF(OR(A139="",N(E139)=0),"",IF(G139&lt;0,"Loses money at this price",IF(E139&lt;F139,"Below target: raise to "&amp;TEXT(F139,"$0.00"),"On target")))</f>
        <v/>
      </c>
    </row>
    <row r="140">
      <c r="A140">
        <f>IF(Products!A140="","",Products!A140)</f>
        <v/>
      </c>
      <c r="B140" s="13" t="inlineStr">
        <is>
          <t>Etsy</t>
        </is>
      </c>
      <c r="C140" s="11">
        <f>IF(A140="","",Products!I140)</f>
        <v/>
      </c>
      <c r="D140" s="14" t="n">
        <v>0.3</v>
      </c>
      <c r="E140" s="15" t="n"/>
      <c r="F140" s="11">
        <f>IF(A140="","",IF(1-(IFERROR(INDEX(Settings!$B$5:$B$9,MATCH(B140,Settings!$A$5:$A$9,0)),0)+IFERROR(INDEX(Settings!$E$5:$E$9,MATCH(B140,Settings!$A$5:$A$9,0)),0)+IFERROR(INDEX(Settings!$G$5:$G$9,MATCH(B140,Settings!$A$5:$A$9,0)),0)+N(Products!H140))-D140&lt;=0,"margin too high",(C140+(IFERROR(INDEX(Settings!$C$5:$C$9,MATCH(B140,Settings!$A$5:$A$9,0)),0)+IFERROR(INDEX(Settings!$D$5:$D$9,MATCH(B140,Settings!$A$5:$A$9,0)),0)+IFERROR(INDEX(Settings!$F$5:$F$9,MATCH(B140,Settings!$A$5:$A$9,0)),0)))/(1-(IFERROR(INDEX(Settings!$B$5:$B$9,MATCH(B140,Settings!$A$5:$A$9,0)),0)+IFERROR(INDEX(Settings!$E$5:$E$9,MATCH(B140,Settings!$A$5:$A$9,0)),0)+IFERROR(INDEX(Settings!$G$5:$G$9,MATCH(B140,Settings!$A$5:$A$9,0)),0)+N(Products!H140))-D140)))</f>
        <v/>
      </c>
      <c r="G140" s="11">
        <f>IF(OR(A140="",N(E140)=0),"",E140*(1-(IFERROR(INDEX(Settings!$B$5:$B$9,MATCH(B140,Settings!$A$5:$A$9,0)),0)+IFERROR(INDEX(Settings!$E$5:$E$9,MATCH(B140,Settings!$A$5:$A$9,0)),0)+IFERROR(INDEX(Settings!$G$5:$G$9,MATCH(B140,Settings!$A$5:$A$9,0)),0)+N(Products!H140)))-(IFERROR(INDEX(Settings!$C$5:$C$9,MATCH(B140,Settings!$A$5:$A$9,0)),0)+IFERROR(INDEX(Settings!$D$5:$D$9,MATCH(B140,Settings!$A$5:$A$9,0)),0)+IFERROR(INDEX(Settings!$F$5:$F$9,MATCH(B140,Settings!$A$5:$A$9,0)),0))-C140)</f>
        <v/>
      </c>
      <c r="H140" s="12">
        <f>IF(OR(A140="",N(E140)=0),"",G140/E140)</f>
        <v/>
      </c>
      <c r="I140">
        <f>IF(OR(A140="",N(E140)=0),"",IF(G140&lt;0,"Loses money at this price",IF(E140&lt;F140,"Below target: raise to "&amp;TEXT(F140,"$0.00"),"On target")))</f>
        <v/>
      </c>
    </row>
    <row r="141">
      <c r="A141">
        <f>IF(Products!A141="","",Products!A141)</f>
        <v/>
      </c>
      <c r="B141" s="13" t="inlineStr">
        <is>
          <t>Etsy</t>
        </is>
      </c>
      <c r="C141" s="11">
        <f>IF(A141="","",Products!I141)</f>
        <v/>
      </c>
      <c r="D141" s="14" t="n">
        <v>0.3</v>
      </c>
      <c r="E141" s="15" t="n"/>
      <c r="F141" s="11">
        <f>IF(A141="","",IF(1-(IFERROR(INDEX(Settings!$B$5:$B$9,MATCH(B141,Settings!$A$5:$A$9,0)),0)+IFERROR(INDEX(Settings!$E$5:$E$9,MATCH(B141,Settings!$A$5:$A$9,0)),0)+IFERROR(INDEX(Settings!$G$5:$G$9,MATCH(B141,Settings!$A$5:$A$9,0)),0)+N(Products!H141))-D141&lt;=0,"margin too high",(C141+(IFERROR(INDEX(Settings!$C$5:$C$9,MATCH(B141,Settings!$A$5:$A$9,0)),0)+IFERROR(INDEX(Settings!$D$5:$D$9,MATCH(B141,Settings!$A$5:$A$9,0)),0)+IFERROR(INDEX(Settings!$F$5:$F$9,MATCH(B141,Settings!$A$5:$A$9,0)),0)))/(1-(IFERROR(INDEX(Settings!$B$5:$B$9,MATCH(B141,Settings!$A$5:$A$9,0)),0)+IFERROR(INDEX(Settings!$E$5:$E$9,MATCH(B141,Settings!$A$5:$A$9,0)),0)+IFERROR(INDEX(Settings!$G$5:$G$9,MATCH(B141,Settings!$A$5:$A$9,0)),0)+N(Products!H141))-D141)))</f>
        <v/>
      </c>
      <c r="G141" s="11">
        <f>IF(OR(A141="",N(E141)=0),"",E141*(1-(IFERROR(INDEX(Settings!$B$5:$B$9,MATCH(B141,Settings!$A$5:$A$9,0)),0)+IFERROR(INDEX(Settings!$E$5:$E$9,MATCH(B141,Settings!$A$5:$A$9,0)),0)+IFERROR(INDEX(Settings!$G$5:$G$9,MATCH(B141,Settings!$A$5:$A$9,0)),0)+N(Products!H141)))-(IFERROR(INDEX(Settings!$C$5:$C$9,MATCH(B141,Settings!$A$5:$A$9,0)),0)+IFERROR(INDEX(Settings!$D$5:$D$9,MATCH(B141,Settings!$A$5:$A$9,0)),0)+IFERROR(INDEX(Settings!$F$5:$F$9,MATCH(B141,Settings!$A$5:$A$9,0)),0))-C141)</f>
        <v/>
      </c>
      <c r="H141" s="12">
        <f>IF(OR(A141="",N(E141)=0),"",G141/E141)</f>
        <v/>
      </c>
      <c r="I141">
        <f>IF(OR(A141="",N(E141)=0),"",IF(G141&lt;0,"Loses money at this price",IF(E141&lt;F141,"Below target: raise to "&amp;TEXT(F141,"$0.00"),"On target")))</f>
        <v/>
      </c>
    </row>
    <row r="142">
      <c r="A142">
        <f>IF(Products!A142="","",Products!A142)</f>
        <v/>
      </c>
      <c r="B142" s="13" t="inlineStr">
        <is>
          <t>Etsy</t>
        </is>
      </c>
      <c r="C142" s="11">
        <f>IF(A142="","",Products!I142)</f>
        <v/>
      </c>
      <c r="D142" s="14" t="n">
        <v>0.3</v>
      </c>
      <c r="E142" s="15" t="n"/>
      <c r="F142" s="11">
        <f>IF(A142="","",IF(1-(IFERROR(INDEX(Settings!$B$5:$B$9,MATCH(B142,Settings!$A$5:$A$9,0)),0)+IFERROR(INDEX(Settings!$E$5:$E$9,MATCH(B142,Settings!$A$5:$A$9,0)),0)+IFERROR(INDEX(Settings!$G$5:$G$9,MATCH(B142,Settings!$A$5:$A$9,0)),0)+N(Products!H142))-D142&lt;=0,"margin too high",(C142+(IFERROR(INDEX(Settings!$C$5:$C$9,MATCH(B142,Settings!$A$5:$A$9,0)),0)+IFERROR(INDEX(Settings!$D$5:$D$9,MATCH(B142,Settings!$A$5:$A$9,0)),0)+IFERROR(INDEX(Settings!$F$5:$F$9,MATCH(B142,Settings!$A$5:$A$9,0)),0)))/(1-(IFERROR(INDEX(Settings!$B$5:$B$9,MATCH(B142,Settings!$A$5:$A$9,0)),0)+IFERROR(INDEX(Settings!$E$5:$E$9,MATCH(B142,Settings!$A$5:$A$9,0)),0)+IFERROR(INDEX(Settings!$G$5:$G$9,MATCH(B142,Settings!$A$5:$A$9,0)),0)+N(Products!H142))-D142)))</f>
        <v/>
      </c>
      <c r="G142" s="11">
        <f>IF(OR(A142="",N(E142)=0),"",E142*(1-(IFERROR(INDEX(Settings!$B$5:$B$9,MATCH(B142,Settings!$A$5:$A$9,0)),0)+IFERROR(INDEX(Settings!$E$5:$E$9,MATCH(B142,Settings!$A$5:$A$9,0)),0)+IFERROR(INDEX(Settings!$G$5:$G$9,MATCH(B142,Settings!$A$5:$A$9,0)),0)+N(Products!H142)))-(IFERROR(INDEX(Settings!$C$5:$C$9,MATCH(B142,Settings!$A$5:$A$9,0)),0)+IFERROR(INDEX(Settings!$D$5:$D$9,MATCH(B142,Settings!$A$5:$A$9,0)),0)+IFERROR(INDEX(Settings!$F$5:$F$9,MATCH(B142,Settings!$A$5:$A$9,0)),0))-C142)</f>
        <v/>
      </c>
      <c r="H142" s="12">
        <f>IF(OR(A142="",N(E142)=0),"",G142/E142)</f>
        <v/>
      </c>
      <c r="I142">
        <f>IF(OR(A142="",N(E142)=0),"",IF(G142&lt;0,"Loses money at this price",IF(E142&lt;F142,"Below target: raise to "&amp;TEXT(F142,"$0.00"),"On target")))</f>
        <v/>
      </c>
    </row>
    <row r="143">
      <c r="A143">
        <f>IF(Products!A143="","",Products!A143)</f>
        <v/>
      </c>
      <c r="B143" s="13" t="inlineStr">
        <is>
          <t>Etsy</t>
        </is>
      </c>
      <c r="C143" s="11">
        <f>IF(A143="","",Products!I143)</f>
        <v/>
      </c>
      <c r="D143" s="14" t="n">
        <v>0.3</v>
      </c>
      <c r="E143" s="15" t="n"/>
      <c r="F143" s="11">
        <f>IF(A143="","",IF(1-(IFERROR(INDEX(Settings!$B$5:$B$9,MATCH(B143,Settings!$A$5:$A$9,0)),0)+IFERROR(INDEX(Settings!$E$5:$E$9,MATCH(B143,Settings!$A$5:$A$9,0)),0)+IFERROR(INDEX(Settings!$G$5:$G$9,MATCH(B143,Settings!$A$5:$A$9,0)),0)+N(Products!H143))-D143&lt;=0,"margin too high",(C143+(IFERROR(INDEX(Settings!$C$5:$C$9,MATCH(B143,Settings!$A$5:$A$9,0)),0)+IFERROR(INDEX(Settings!$D$5:$D$9,MATCH(B143,Settings!$A$5:$A$9,0)),0)+IFERROR(INDEX(Settings!$F$5:$F$9,MATCH(B143,Settings!$A$5:$A$9,0)),0)))/(1-(IFERROR(INDEX(Settings!$B$5:$B$9,MATCH(B143,Settings!$A$5:$A$9,0)),0)+IFERROR(INDEX(Settings!$E$5:$E$9,MATCH(B143,Settings!$A$5:$A$9,0)),0)+IFERROR(INDEX(Settings!$G$5:$G$9,MATCH(B143,Settings!$A$5:$A$9,0)),0)+N(Products!H143))-D143)))</f>
        <v/>
      </c>
      <c r="G143" s="11">
        <f>IF(OR(A143="",N(E143)=0),"",E143*(1-(IFERROR(INDEX(Settings!$B$5:$B$9,MATCH(B143,Settings!$A$5:$A$9,0)),0)+IFERROR(INDEX(Settings!$E$5:$E$9,MATCH(B143,Settings!$A$5:$A$9,0)),0)+IFERROR(INDEX(Settings!$G$5:$G$9,MATCH(B143,Settings!$A$5:$A$9,0)),0)+N(Products!H143)))-(IFERROR(INDEX(Settings!$C$5:$C$9,MATCH(B143,Settings!$A$5:$A$9,0)),0)+IFERROR(INDEX(Settings!$D$5:$D$9,MATCH(B143,Settings!$A$5:$A$9,0)),0)+IFERROR(INDEX(Settings!$F$5:$F$9,MATCH(B143,Settings!$A$5:$A$9,0)),0))-C143)</f>
        <v/>
      </c>
      <c r="H143" s="12">
        <f>IF(OR(A143="",N(E143)=0),"",G143/E143)</f>
        <v/>
      </c>
      <c r="I143">
        <f>IF(OR(A143="",N(E143)=0),"",IF(G143&lt;0,"Loses money at this price",IF(E143&lt;F143,"Below target: raise to "&amp;TEXT(F143,"$0.00"),"On target")))</f>
        <v/>
      </c>
    </row>
    <row r="144">
      <c r="A144">
        <f>IF(Products!A144="","",Products!A144)</f>
        <v/>
      </c>
      <c r="B144" s="13" t="inlineStr">
        <is>
          <t>Etsy</t>
        </is>
      </c>
      <c r="C144" s="11">
        <f>IF(A144="","",Products!I144)</f>
        <v/>
      </c>
      <c r="D144" s="14" t="n">
        <v>0.3</v>
      </c>
      <c r="E144" s="15" t="n"/>
      <c r="F144" s="11">
        <f>IF(A144="","",IF(1-(IFERROR(INDEX(Settings!$B$5:$B$9,MATCH(B144,Settings!$A$5:$A$9,0)),0)+IFERROR(INDEX(Settings!$E$5:$E$9,MATCH(B144,Settings!$A$5:$A$9,0)),0)+IFERROR(INDEX(Settings!$G$5:$G$9,MATCH(B144,Settings!$A$5:$A$9,0)),0)+N(Products!H144))-D144&lt;=0,"margin too high",(C144+(IFERROR(INDEX(Settings!$C$5:$C$9,MATCH(B144,Settings!$A$5:$A$9,0)),0)+IFERROR(INDEX(Settings!$D$5:$D$9,MATCH(B144,Settings!$A$5:$A$9,0)),0)+IFERROR(INDEX(Settings!$F$5:$F$9,MATCH(B144,Settings!$A$5:$A$9,0)),0)))/(1-(IFERROR(INDEX(Settings!$B$5:$B$9,MATCH(B144,Settings!$A$5:$A$9,0)),0)+IFERROR(INDEX(Settings!$E$5:$E$9,MATCH(B144,Settings!$A$5:$A$9,0)),0)+IFERROR(INDEX(Settings!$G$5:$G$9,MATCH(B144,Settings!$A$5:$A$9,0)),0)+N(Products!H144))-D144)))</f>
        <v/>
      </c>
      <c r="G144" s="11">
        <f>IF(OR(A144="",N(E144)=0),"",E144*(1-(IFERROR(INDEX(Settings!$B$5:$B$9,MATCH(B144,Settings!$A$5:$A$9,0)),0)+IFERROR(INDEX(Settings!$E$5:$E$9,MATCH(B144,Settings!$A$5:$A$9,0)),0)+IFERROR(INDEX(Settings!$G$5:$G$9,MATCH(B144,Settings!$A$5:$A$9,0)),0)+N(Products!H144)))-(IFERROR(INDEX(Settings!$C$5:$C$9,MATCH(B144,Settings!$A$5:$A$9,0)),0)+IFERROR(INDEX(Settings!$D$5:$D$9,MATCH(B144,Settings!$A$5:$A$9,0)),0)+IFERROR(INDEX(Settings!$F$5:$F$9,MATCH(B144,Settings!$A$5:$A$9,0)),0))-C144)</f>
        <v/>
      </c>
      <c r="H144" s="12">
        <f>IF(OR(A144="",N(E144)=0),"",G144/E144)</f>
        <v/>
      </c>
      <c r="I144">
        <f>IF(OR(A144="",N(E144)=0),"",IF(G144&lt;0,"Loses money at this price",IF(E144&lt;F144,"Below target: raise to "&amp;TEXT(F144,"$0.00"),"On target")))</f>
        <v/>
      </c>
    </row>
    <row r="145">
      <c r="A145">
        <f>IF(Products!A145="","",Products!A145)</f>
        <v/>
      </c>
      <c r="B145" s="13" t="inlineStr">
        <is>
          <t>Etsy</t>
        </is>
      </c>
      <c r="C145" s="11">
        <f>IF(A145="","",Products!I145)</f>
        <v/>
      </c>
      <c r="D145" s="14" t="n">
        <v>0.3</v>
      </c>
      <c r="E145" s="15" t="n"/>
      <c r="F145" s="11">
        <f>IF(A145="","",IF(1-(IFERROR(INDEX(Settings!$B$5:$B$9,MATCH(B145,Settings!$A$5:$A$9,0)),0)+IFERROR(INDEX(Settings!$E$5:$E$9,MATCH(B145,Settings!$A$5:$A$9,0)),0)+IFERROR(INDEX(Settings!$G$5:$G$9,MATCH(B145,Settings!$A$5:$A$9,0)),0)+N(Products!H145))-D145&lt;=0,"margin too high",(C145+(IFERROR(INDEX(Settings!$C$5:$C$9,MATCH(B145,Settings!$A$5:$A$9,0)),0)+IFERROR(INDEX(Settings!$D$5:$D$9,MATCH(B145,Settings!$A$5:$A$9,0)),0)+IFERROR(INDEX(Settings!$F$5:$F$9,MATCH(B145,Settings!$A$5:$A$9,0)),0)))/(1-(IFERROR(INDEX(Settings!$B$5:$B$9,MATCH(B145,Settings!$A$5:$A$9,0)),0)+IFERROR(INDEX(Settings!$E$5:$E$9,MATCH(B145,Settings!$A$5:$A$9,0)),0)+IFERROR(INDEX(Settings!$G$5:$G$9,MATCH(B145,Settings!$A$5:$A$9,0)),0)+N(Products!H145))-D145)))</f>
        <v/>
      </c>
      <c r="G145" s="11">
        <f>IF(OR(A145="",N(E145)=0),"",E145*(1-(IFERROR(INDEX(Settings!$B$5:$B$9,MATCH(B145,Settings!$A$5:$A$9,0)),0)+IFERROR(INDEX(Settings!$E$5:$E$9,MATCH(B145,Settings!$A$5:$A$9,0)),0)+IFERROR(INDEX(Settings!$G$5:$G$9,MATCH(B145,Settings!$A$5:$A$9,0)),0)+N(Products!H145)))-(IFERROR(INDEX(Settings!$C$5:$C$9,MATCH(B145,Settings!$A$5:$A$9,0)),0)+IFERROR(INDEX(Settings!$D$5:$D$9,MATCH(B145,Settings!$A$5:$A$9,0)),0)+IFERROR(INDEX(Settings!$F$5:$F$9,MATCH(B145,Settings!$A$5:$A$9,0)),0))-C145)</f>
        <v/>
      </c>
      <c r="H145" s="12">
        <f>IF(OR(A145="",N(E145)=0),"",G145/E145)</f>
        <v/>
      </c>
      <c r="I145">
        <f>IF(OR(A145="",N(E145)=0),"",IF(G145&lt;0,"Loses money at this price",IF(E145&lt;F145,"Below target: raise to "&amp;TEXT(F145,"$0.00"),"On target")))</f>
        <v/>
      </c>
    </row>
    <row r="146">
      <c r="A146">
        <f>IF(Products!A146="","",Products!A146)</f>
        <v/>
      </c>
      <c r="B146" s="13" t="inlineStr">
        <is>
          <t>Etsy</t>
        </is>
      </c>
      <c r="C146" s="11">
        <f>IF(A146="","",Products!I146)</f>
        <v/>
      </c>
      <c r="D146" s="14" t="n">
        <v>0.3</v>
      </c>
      <c r="E146" s="15" t="n"/>
      <c r="F146" s="11">
        <f>IF(A146="","",IF(1-(IFERROR(INDEX(Settings!$B$5:$B$9,MATCH(B146,Settings!$A$5:$A$9,0)),0)+IFERROR(INDEX(Settings!$E$5:$E$9,MATCH(B146,Settings!$A$5:$A$9,0)),0)+IFERROR(INDEX(Settings!$G$5:$G$9,MATCH(B146,Settings!$A$5:$A$9,0)),0)+N(Products!H146))-D146&lt;=0,"margin too high",(C146+(IFERROR(INDEX(Settings!$C$5:$C$9,MATCH(B146,Settings!$A$5:$A$9,0)),0)+IFERROR(INDEX(Settings!$D$5:$D$9,MATCH(B146,Settings!$A$5:$A$9,0)),0)+IFERROR(INDEX(Settings!$F$5:$F$9,MATCH(B146,Settings!$A$5:$A$9,0)),0)))/(1-(IFERROR(INDEX(Settings!$B$5:$B$9,MATCH(B146,Settings!$A$5:$A$9,0)),0)+IFERROR(INDEX(Settings!$E$5:$E$9,MATCH(B146,Settings!$A$5:$A$9,0)),0)+IFERROR(INDEX(Settings!$G$5:$G$9,MATCH(B146,Settings!$A$5:$A$9,0)),0)+N(Products!H146))-D146)))</f>
        <v/>
      </c>
      <c r="G146" s="11">
        <f>IF(OR(A146="",N(E146)=0),"",E146*(1-(IFERROR(INDEX(Settings!$B$5:$B$9,MATCH(B146,Settings!$A$5:$A$9,0)),0)+IFERROR(INDEX(Settings!$E$5:$E$9,MATCH(B146,Settings!$A$5:$A$9,0)),0)+IFERROR(INDEX(Settings!$G$5:$G$9,MATCH(B146,Settings!$A$5:$A$9,0)),0)+N(Products!H146)))-(IFERROR(INDEX(Settings!$C$5:$C$9,MATCH(B146,Settings!$A$5:$A$9,0)),0)+IFERROR(INDEX(Settings!$D$5:$D$9,MATCH(B146,Settings!$A$5:$A$9,0)),0)+IFERROR(INDEX(Settings!$F$5:$F$9,MATCH(B146,Settings!$A$5:$A$9,0)),0))-C146)</f>
        <v/>
      </c>
      <c r="H146" s="12">
        <f>IF(OR(A146="",N(E146)=0),"",G146/E146)</f>
        <v/>
      </c>
      <c r="I146">
        <f>IF(OR(A146="",N(E146)=0),"",IF(G146&lt;0,"Loses money at this price",IF(E146&lt;F146,"Below target: raise to "&amp;TEXT(F146,"$0.00"),"On target")))</f>
        <v/>
      </c>
    </row>
    <row r="147">
      <c r="A147">
        <f>IF(Products!A147="","",Products!A147)</f>
        <v/>
      </c>
      <c r="B147" s="13" t="inlineStr">
        <is>
          <t>Etsy</t>
        </is>
      </c>
      <c r="C147" s="11">
        <f>IF(A147="","",Products!I147)</f>
        <v/>
      </c>
      <c r="D147" s="14" t="n">
        <v>0.3</v>
      </c>
      <c r="E147" s="15" t="n"/>
      <c r="F147" s="11">
        <f>IF(A147="","",IF(1-(IFERROR(INDEX(Settings!$B$5:$B$9,MATCH(B147,Settings!$A$5:$A$9,0)),0)+IFERROR(INDEX(Settings!$E$5:$E$9,MATCH(B147,Settings!$A$5:$A$9,0)),0)+IFERROR(INDEX(Settings!$G$5:$G$9,MATCH(B147,Settings!$A$5:$A$9,0)),0)+N(Products!H147))-D147&lt;=0,"margin too high",(C147+(IFERROR(INDEX(Settings!$C$5:$C$9,MATCH(B147,Settings!$A$5:$A$9,0)),0)+IFERROR(INDEX(Settings!$D$5:$D$9,MATCH(B147,Settings!$A$5:$A$9,0)),0)+IFERROR(INDEX(Settings!$F$5:$F$9,MATCH(B147,Settings!$A$5:$A$9,0)),0)))/(1-(IFERROR(INDEX(Settings!$B$5:$B$9,MATCH(B147,Settings!$A$5:$A$9,0)),0)+IFERROR(INDEX(Settings!$E$5:$E$9,MATCH(B147,Settings!$A$5:$A$9,0)),0)+IFERROR(INDEX(Settings!$G$5:$G$9,MATCH(B147,Settings!$A$5:$A$9,0)),0)+N(Products!H147))-D147)))</f>
        <v/>
      </c>
      <c r="G147" s="11">
        <f>IF(OR(A147="",N(E147)=0),"",E147*(1-(IFERROR(INDEX(Settings!$B$5:$B$9,MATCH(B147,Settings!$A$5:$A$9,0)),0)+IFERROR(INDEX(Settings!$E$5:$E$9,MATCH(B147,Settings!$A$5:$A$9,0)),0)+IFERROR(INDEX(Settings!$G$5:$G$9,MATCH(B147,Settings!$A$5:$A$9,0)),0)+N(Products!H147)))-(IFERROR(INDEX(Settings!$C$5:$C$9,MATCH(B147,Settings!$A$5:$A$9,0)),0)+IFERROR(INDEX(Settings!$D$5:$D$9,MATCH(B147,Settings!$A$5:$A$9,0)),0)+IFERROR(INDEX(Settings!$F$5:$F$9,MATCH(B147,Settings!$A$5:$A$9,0)),0))-C147)</f>
        <v/>
      </c>
      <c r="H147" s="12">
        <f>IF(OR(A147="",N(E147)=0),"",G147/E147)</f>
        <v/>
      </c>
      <c r="I147">
        <f>IF(OR(A147="",N(E147)=0),"",IF(G147&lt;0,"Loses money at this price",IF(E147&lt;F147,"Below target: raise to "&amp;TEXT(F147,"$0.00"),"On target")))</f>
        <v/>
      </c>
    </row>
    <row r="148">
      <c r="A148">
        <f>IF(Products!A148="","",Products!A148)</f>
        <v/>
      </c>
      <c r="B148" s="13" t="inlineStr">
        <is>
          <t>Etsy</t>
        </is>
      </c>
      <c r="C148" s="11">
        <f>IF(A148="","",Products!I148)</f>
        <v/>
      </c>
      <c r="D148" s="14" t="n">
        <v>0.3</v>
      </c>
      <c r="E148" s="15" t="n"/>
      <c r="F148" s="11">
        <f>IF(A148="","",IF(1-(IFERROR(INDEX(Settings!$B$5:$B$9,MATCH(B148,Settings!$A$5:$A$9,0)),0)+IFERROR(INDEX(Settings!$E$5:$E$9,MATCH(B148,Settings!$A$5:$A$9,0)),0)+IFERROR(INDEX(Settings!$G$5:$G$9,MATCH(B148,Settings!$A$5:$A$9,0)),0)+N(Products!H148))-D148&lt;=0,"margin too high",(C148+(IFERROR(INDEX(Settings!$C$5:$C$9,MATCH(B148,Settings!$A$5:$A$9,0)),0)+IFERROR(INDEX(Settings!$D$5:$D$9,MATCH(B148,Settings!$A$5:$A$9,0)),0)+IFERROR(INDEX(Settings!$F$5:$F$9,MATCH(B148,Settings!$A$5:$A$9,0)),0)))/(1-(IFERROR(INDEX(Settings!$B$5:$B$9,MATCH(B148,Settings!$A$5:$A$9,0)),0)+IFERROR(INDEX(Settings!$E$5:$E$9,MATCH(B148,Settings!$A$5:$A$9,0)),0)+IFERROR(INDEX(Settings!$G$5:$G$9,MATCH(B148,Settings!$A$5:$A$9,0)),0)+N(Products!H148))-D148)))</f>
        <v/>
      </c>
      <c r="G148" s="11">
        <f>IF(OR(A148="",N(E148)=0),"",E148*(1-(IFERROR(INDEX(Settings!$B$5:$B$9,MATCH(B148,Settings!$A$5:$A$9,0)),0)+IFERROR(INDEX(Settings!$E$5:$E$9,MATCH(B148,Settings!$A$5:$A$9,0)),0)+IFERROR(INDEX(Settings!$G$5:$G$9,MATCH(B148,Settings!$A$5:$A$9,0)),0)+N(Products!H148)))-(IFERROR(INDEX(Settings!$C$5:$C$9,MATCH(B148,Settings!$A$5:$A$9,0)),0)+IFERROR(INDEX(Settings!$D$5:$D$9,MATCH(B148,Settings!$A$5:$A$9,0)),0)+IFERROR(INDEX(Settings!$F$5:$F$9,MATCH(B148,Settings!$A$5:$A$9,0)),0))-C148)</f>
        <v/>
      </c>
      <c r="H148" s="12">
        <f>IF(OR(A148="",N(E148)=0),"",G148/E148)</f>
        <v/>
      </c>
      <c r="I148">
        <f>IF(OR(A148="",N(E148)=0),"",IF(G148&lt;0,"Loses money at this price",IF(E148&lt;F148,"Below target: raise to "&amp;TEXT(F148,"$0.00"),"On target")))</f>
        <v/>
      </c>
    </row>
    <row r="149">
      <c r="A149">
        <f>IF(Products!A149="","",Products!A149)</f>
        <v/>
      </c>
      <c r="B149" s="13" t="inlineStr">
        <is>
          <t>Etsy</t>
        </is>
      </c>
      <c r="C149" s="11">
        <f>IF(A149="","",Products!I149)</f>
        <v/>
      </c>
      <c r="D149" s="14" t="n">
        <v>0.3</v>
      </c>
      <c r="E149" s="15" t="n"/>
      <c r="F149" s="11">
        <f>IF(A149="","",IF(1-(IFERROR(INDEX(Settings!$B$5:$B$9,MATCH(B149,Settings!$A$5:$A$9,0)),0)+IFERROR(INDEX(Settings!$E$5:$E$9,MATCH(B149,Settings!$A$5:$A$9,0)),0)+IFERROR(INDEX(Settings!$G$5:$G$9,MATCH(B149,Settings!$A$5:$A$9,0)),0)+N(Products!H149))-D149&lt;=0,"margin too high",(C149+(IFERROR(INDEX(Settings!$C$5:$C$9,MATCH(B149,Settings!$A$5:$A$9,0)),0)+IFERROR(INDEX(Settings!$D$5:$D$9,MATCH(B149,Settings!$A$5:$A$9,0)),0)+IFERROR(INDEX(Settings!$F$5:$F$9,MATCH(B149,Settings!$A$5:$A$9,0)),0)))/(1-(IFERROR(INDEX(Settings!$B$5:$B$9,MATCH(B149,Settings!$A$5:$A$9,0)),0)+IFERROR(INDEX(Settings!$E$5:$E$9,MATCH(B149,Settings!$A$5:$A$9,0)),0)+IFERROR(INDEX(Settings!$G$5:$G$9,MATCH(B149,Settings!$A$5:$A$9,0)),0)+N(Products!H149))-D149)))</f>
        <v/>
      </c>
      <c r="G149" s="11">
        <f>IF(OR(A149="",N(E149)=0),"",E149*(1-(IFERROR(INDEX(Settings!$B$5:$B$9,MATCH(B149,Settings!$A$5:$A$9,0)),0)+IFERROR(INDEX(Settings!$E$5:$E$9,MATCH(B149,Settings!$A$5:$A$9,0)),0)+IFERROR(INDEX(Settings!$G$5:$G$9,MATCH(B149,Settings!$A$5:$A$9,0)),0)+N(Products!H149)))-(IFERROR(INDEX(Settings!$C$5:$C$9,MATCH(B149,Settings!$A$5:$A$9,0)),0)+IFERROR(INDEX(Settings!$D$5:$D$9,MATCH(B149,Settings!$A$5:$A$9,0)),0)+IFERROR(INDEX(Settings!$F$5:$F$9,MATCH(B149,Settings!$A$5:$A$9,0)),0))-C149)</f>
        <v/>
      </c>
      <c r="H149" s="12">
        <f>IF(OR(A149="",N(E149)=0),"",G149/E149)</f>
        <v/>
      </c>
      <c r="I149">
        <f>IF(OR(A149="",N(E149)=0),"",IF(G149&lt;0,"Loses money at this price",IF(E149&lt;F149,"Below target: raise to "&amp;TEXT(F149,"$0.00"),"On target")))</f>
        <v/>
      </c>
    </row>
    <row r="150">
      <c r="A150">
        <f>IF(Products!A150="","",Products!A150)</f>
        <v/>
      </c>
      <c r="B150" s="13" t="inlineStr">
        <is>
          <t>Etsy</t>
        </is>
      </c>
      <c r="C150" s="11">
        <f>IF(A150="","",Products!I150)</f>
        <v/>
      </c>
      <c r="D150" s="14" t="n">
        <v>0.3</v>
      </c>
      <c r="E150" s="15" t="n"/>
      <c r="F150" s="11">
        <f>IF(A150="","",IF(1-(IFERROR(INDEX(Settings!$B$5:$B$9,MATCH(B150,Settings!$A$5:$A$9,0)),0)+IFERROR(INDEX(Settings!$E$5:$E$9,MATCH(B150,Settings!$A$5:$A$9,0)),0)+IFERROR(INDEX(Settings!$G$5:$G$9,MATCH(B150,Settings!$A$5:$A$9,0)),0)+N(Products!H150))-D150&lt;=0,"margin too high",(C150+(IFERROR(INDEX(Settings!$C$5:$C$9,MATCH(B150,Settings!$A$5:$A$9,0)),0)+IFERROR(INDEX(Settings!$D$5:$D$9,MATCH(B150,Settings!$A$5:$A$9,0)),0)+IFERROR(INDEX(Settings!$F$5:$F$9,MATCH(B150,Settings!$A$5:$A$9,0)),0)))/(1-(IFERROR(INDEX(Settings!$B$5:$B$9,MATCH(B150,Settings!$A$5:$A$9,0)),0)+IFERROR(INDEX(Settings!$E$5:$E$9,MATCH(B150,Settings!$A$5:$A$9,0)),0)+IFERROR(INDEX(Settings!$G$5:$G$9,MATCH(B150,Settings!$A$5:$A$9,0)),0)+N(Products!H150))-D150)))</f>
        <v/>
      </c>
      <c r="G150" s="11">
        <f>IF(OR(A150="",N(E150)=0),"",E150*(1-(IFERROR(INDEX(Settings!$B$5:$B$9,MATCH(B150,Settings!$A$5:$A$9,0)),0)+IFERROR(INDEX(Settings!$E$5:$E$9,MATCH(B150,Settings!$A$5:$A$9,0)),0)+IFERROR(INDEX(Settings!$G$5:$G$9,MATCH(B150,Settings!$A$5:$A$9,0)),0)+N(Products!H150)))-(IFERROR(INDEX(Settings!$C$5:$C$9,MATCH(B150,Settings!$A$5:$A$9,0)),0)+IFERROR(INDEX(Settings!$D$5:$D$9,MATCH(B150,Settings!$A$5:$A$9,0)),0)+IFERROR(INDEX(Settings!$F$5:$F$9,MATCH(B150,Settings!$A$5:$A$9,0)),0))-C150)</f>
        <v/>
      </c>
      <c r="H150" s="12">
        <f>IF(OR(A150="",N(E150)=0),"",G150/E150)</f>
        <v/>
      </c>
      <c r="I150">
        <f>IF(OR(A150="",N(E150)=0),"",IF(G150&lt;0,"Loses money at this price",IF(E150&lt;F150,"Below target: raise to "&amp;TEXT(F150,"$0.00"),"On target")))</f>
        <v/>
      </c>
    </row>
    <row r="151">
      <c r="A151">
        <f>IF(Products!A151="","",Products!A151)</f>
        <v/>
      </c>
      <c r="B151" s="13" t="inlineStr">
        <is>
          <t>Etsy</t>
        </is>
      </c>
      <c r="C151" s="11">
        <f>IF(A151="","",Products!I151)</f>
        <v/>
      </c>
      <c r="D151" s="14" t="n">
        <v>0.3</v>
      </c>
      <c r="E151" s="15" t="n"/>
      <c r="F151" s="11">
        <f>IF(A151="","",IF(1-(IFERROR(INDEX(Settings!$B$5:$B$9,MATCH(B151,Settings!$A$5:$A$9,0)),0)+IFERROR(INDEX(Settings!$E$5:$E$9,MATCH(B151,Settings!$A$5:$A$9,0)),0)+IFERROR(INDEX(Settings!$G$5:$G$9,MATCH(B151,Settings!$A$5:$A$9,0)),0)+N(Products!H151))-D151&lt;=0,"margin too high",(C151+(IFERROR(INDEX(Settings!$C$5:$C$9,MATCH(B151,Settings!$A$5:$A$9,0)),0)+IFERROR(INDEX(Settings!$D$5:$D$9,MATCH(B151,Settings!$A$5:$A$9,0)),0)+IFERROR(INDEX(Settings!$F$5:$F$9,MATCH(B151,Settings!$A$5:$A$9,0)),0)))/(1-(IFERROR(INDEX(Settings!$B$5:$B$9,MATCH(B151,Settings!$A$5:$A$9,0)),0)+IFERROR(INDEX(Settings!$E$5:$E$9,MATCH(B151,Settings!$A$5:$A$9,0)),0)+IFERROR(INDEX(Settings!$G$5:$G$9,MATCH(B151,Settings!$A$5:$A$9,0)),0)+N(Products!H151))-D151)))</f>
        <v/>
      </c>
      <c r="G151" s="11">
        <f>IF(OR(A151="",N(E151)=0),"",E151*(1-(IFERROR(INDEX(Settings!$B$5:$B$9,MATCH(B151,Settings!$A$5:$A$9,0)),0)+IFERROR(INDEX(Settings!$E$5:$E$9,MATCH(B151,Settings!$A$5:$A$9,0)),0)+IFERROR(INDEX(Settings!$G$5:$G$9,MATCH(B151,Settings!$A$5:$A$9,0)),0)+N(Products!H151)))-(IFERROR(INDEX(Settings!$C$5:$C$9,MATCH(B151,Settings!$A$5:$A$9,0)),0)+IFERROR(INDEX(Settings!$D$5:$D$9,MATCH(B151,Settings!$A$5:$A$9,0)),0)+IFERROR(INDEX(Settings!$F$5:$F$9,MATCH(B151,Settings!$A$5:$A$9,0)),0))-C151)</f>
        <v/>
      </c>
      <c r="H151" s="12">
        <f>IF(OR(A151="",N(E151)=0),"",G151/E151)</f>
        <v/>
      </c>
      <c r="I151">
        <f>IF(OR(A151="",N(E151)=0),"",IF(G151&lt;0,"Loses money at this price",IF(E151&lt;F151,"Below target: raise to "&amp;TEXT(F151,"$0.00"),"On target")))</f>
        <v/>
      </c>
    </row>
    <row r="152">
      <c r="A152">
        <f>IF(Products!A152="","",Products!A152)</f>
        <v/>
      </c>
      <c r="B152" s="13" t="inlineStr">
        <is>
          <t>Etsy</t>
        </is>
      </c>
      <c r="C152" s="11">
        <f>IF(A152="","",Products!I152)</f>
        <v/>
      </c>
      <c r="D152" s="14" t="n">
        <v>0.3</v>
      </c>
      <c r="E152" s="15" t="n"/>
      <c r="F152" s="11">
        <f>IF(A152="","",IF(1-(IFERROR(INDEX(Settings!$B$5:$B$9,MATCH(B152,Settings!$A$5:$A$9,0)),0)+IFERROR(INDEX(Settings!$E$5:$E$9,MATCH(B152,Settings!$A$5:$A$9,0)),0)+IFERROR(INDEX(Settings!$G$5:$G$9,MATCH(B152,Settings!$A$5:$A$9,0)),0)+N(Products!H152))-D152&lt;=0,"margin too high",(C152+(IFERROR(INDEX(Settings!$C$5:$C$9,MATCH(B152,Settings!$A$5:$A$9,0)),0)+IFERROR(INDEX(Settings!$D$5:$D$9,MATCH(B152,Settings!$A$5:$A$9,0)),0)+IFERROR(INDEX(Settings!$F$5:$F$9,MATCH(B152,Settings!$A$5:$A$9,0)),0)))/(1-(IFERROR(INDEX(Settings!$B$5:$B$9,MATCH(B152,Settings!$A$5:$A$9,0)),0)+IFERROR(INDEX(Settings!$E$5:$E$9,MATCH(B152,Settings!$A$5:$A$9,0)),0)+IFERROR(INDEX(Settings!$G$5:$G$9,MATCH(B152,Settings!$A$5:$A$9,0)),0)+N(Products!H152))-D152)))</f>
        <v/>
      </c>
      <c r="G152" s="11">
        <f>IF(OR(A152="",N(E152)=0),"",E152*(1-(IFERROR(INDEX(Settings!$B$5:$B$9,MATCH(B152,Settings!$A$5:$A$9,0)),0)+IFERROR(INDEX(Settings!$E$5:$E$9,MATCH(B152,Settings!$A$5:$A$9,0)),0)+IFERROR(INDEX(Settings!$G$5:$G$9,MATCH(B152,Settings!$A$5:$A$9,0)),0)+N(Products!H152)))-(IFERROR(INDEX(Settings!$C$5:$C$9,MATCH(B152,Settings!$A$5:$A$9,0)),0)+IFERROR(INDEX(Settings!$D$5:$D$9,MATCH(B152,Settings!$A$5:$A$9,0)),0)+IFERROR(INDEX(Settings!$F$5:$F$9,MATCH(B152,Settings!$A$5:$A$9,0)),0))-C152)</f>
        <v/>
      </c>
      <c r="H152" s="12">
        <f>IF(OR(A152="",N(E152)=0),"",G152/E152)</f>
        <v/>
      </c>
      <c r="I152">
        <f>IF(OR(A152="",N(E152)=0),"",IF(G152&lt;0,"Loses money at this price",IF(E152&lt;F152,"Below target: raise to "&amp;TEXT(F152,"$0.00"),"On target")))</f>
        <v/>
      </c>
    </row>
    <row r="153">
      <c r="A153">
        <f>IF(Products!A153="","",Products!A153)</f>
        <v/>
      </c>
      <c r="B153" s="13" t="inlineStr">
        <is>
          <t>Etsy</t>
        </is>
      </c>
      <c r="C153" s="11">
        <f>IF(A153="","",Products!I153)</f>
        <v/>
      </c>
      <c r="D153" s="14" t="n">
        <v>0.3</v>
      </c>
      <c r="E153" s="15" t="n"/>
      <c r="F153" s="11">
        <f>IF(A153="","",IF(1-(IFERROR(INDEX(Settings!$B$5:$B$9,MATCH(B153,Settings!$A$5:$A$9,0)),0)+IFERROR(INDEX(Settings!$E$5:$E$9,MATCH(B153,Settings!$A$5:$A$9,0)),0)+IFERROR(INDEX(Settings!$G$5:$G$9,MATCH(B153,Settings!$A$5:$A$9,0)),0)+N(Products!H153))-D153&lt;=0,"margin too high",(C153+(IFERROR(INDEX(Settings!$C$5:$C$9,MATCH(B153,Settings!$A$5:$A$9,0)),0)+IFERROR(INDEX(Settings!$D$5:$D$9,MATCH(B153,Settings!$A$5:$A$9,0)),0)+IFERROR(INDEX(Settings!$F$5:$F$9,MATCH(B153,Settings!$A$5:$A$9,0)),0)))/(1-(IFERROR(INDEX(Settings!$B$5:$B$9,MATCH(B153,Settings!$A$5:$A$9,0)),0)+IFERROR(INDEX(Settings!$E$5:$E$9,MATCH(B153,Settings!$A$5:$A$9,0)),0)+IFERROR(INDEX(Settings!$G$5:$G$9,MATCH(B153,Settings!$A$5:$A$9,0)),0)+N(Products!H153))-D153)))</f>
        <v/>
      </c>
      <c r="G153" s="11">
        <f>IF(OR(A153="",N(E153)=0),"",E153*(1-(IFERROR(INDEX(Settings!$B$5:$B$9,MATCH(B153,Settings!$A$5:$A$9,0)),0)+IFERROR(INDEX(Settings!$E$5:$E$9,MATCH(B153,Settings!$A$5:$A$9,0)),0)+IFERROR(INDEX(Settings!$G$5:$G$9,MATCH(B153,Settings!$A$5:$A$9,0)),0)+N(Products!H153)))-(IFERROR(INDEX(Settings!$C$5:$C$9,MATCH(B153,Settings!$A$5:$A$9,0)),0)+IFERROR(INDEX(Settings!$D$5:$D$9,MATCH(B153,Settings!$A$5:$A$9,0)),0)+IFERROR(INDEX(Settings!$F$5:$F$9,MATCH(B153,Settings!$A$5:$A$9,0)),0))-C153)</f>
        <v/>
      </c>
      <c r="H153" s="12">
        <f>IF(OR(A153="",N(E153)=0),"",G153/E153)</f>
        <v/>
      </c>
      <c r="I153">
        <f>IF(OR(A153="",N(E153)=0),"",IF(G153&lt;0,"Loses money at this price",IF(E153&lt;F153,"Below target: raise to "&amp;TEXT(F153,"$0.00"),"On target")))</f>
        <v/>
      </c>
    </row>
    <row r="154">
      <c r="A154">
        <f>IF(Products!A154="","",Products!A154)</f>
        <v/>
      </c>
      <c r="B154" s="13" t="inlineStr">
        <is>
          <t>Etsy</t>
        </is>
      </c>
      <c r="C154" s="11">
        <f>IF(A154="","",Products!I154)</f>
        <v/>
      </c>
      <c r="D154" s="14" t="n">
        <v>0.3</v>
      </c>
      <c r="E154" s="15" t="n"/>
      <c r="F154" s="11">
        <f>IF(A154="","",IF(1-(IFERROR(INDEX(Settings!$B$5:$B$9,MATCH(B154,Settings!$A$5:$A$9,0)),0)+IFERROR(INDEX(Settings!$E$5:$E$9,MATCH(B154,Settings!$A$5:$A$9,0)),0)+IFERROR(INDEX(Settings!$G$5:$G$9,MATCH(B154,Settings!$A$5:$A$9,0)),0)+N(Products!H154))-D154&lt;=0,"margin too high",(C154+(IFERROR(INDEX(Settings!$C$5:$C$9,MATCH(B154,Settings!$A$5:$A$9,0)),0)+IFERROR(INDEX(Settings!$D$5:$D$9,MATCH(B154,Settings!$A$5:$A$9,0)),0)+IFERROR(INDEX(Settings!$F$5:$F$9,MATCH(B154,Settings!$A$5:$A$9,0)),0)))/(1-(IFERROR(INDEX(Settings!$B$5:$B$9,MATCH(B154,Settings!$A$5:$A$9,0)),0)+IFERROR(INDEX(Settings!$E$5:$E$9,MATCH(B154,Settings!$A$5:$A$9,0)),0)+IFERROR(INDEX(Settings!$G$5:$G$9,MATCH(B154,Settings!$A$5:$A$9,0)),0)+N(Products!H154))-D154)))</f>
        <v/>
      </c>
      <c r="G154" s="11">
        <f>IF(OR(A154="",N(E154)=0),"",E154*(1-(IFERROR(INDEX(Settings!$B$5:$B$9,MATCH(B154,Settings!$A$5:$A$9,0)),0)+IFERROR(INDEX(Settings!$E$5:$E$9,MATCH(B154,Settings!$A$5:$A$9,0)),0)+IFERROR(INDEX(Settings!$G$5:$G$9,MATCH(B154,Settings!$A$5:$A$9,0)),0)+N(Products!H154)))-(IFERROR(INDEX(Settings!$C$5:$C$9,MATCH(B154,Settings!$A$5:$A$9,0)),0)+IFERROR(INDEX(Settings!$D$5:$D$9,MATCH(B154,Settings!$A$5:$A$9,0)),0)+IFERROR(INDEX(Settings!$F$5:$F$9,MATCH(B154,Settings!$A$5:$A$9,0)),0))-C154)</f>
        <v/>
      </c>
      <c r="H154" s="12">
        <f>IF(OR(A154="",N(E154)=0),"",G154/E154)</f>
        <v/>
      </c>
      <c r="I154">
        <f>IF(OR(A154="",N(E154)=0),"",IF(G154&lt;0,"Loses money at this price",IF(E154&lt;F154,"Below target: raise to "&amp;TEXT(F154,"$0.00"),"On target")))</f>
        <v/>
      </c>
    </row>
    <row r="155">
      <c r="A155">
        <f>IF(Products!A155="","",Products!A155)</f>
        <v/>
      </c>
      <c r="B155" s="13" t="inlineStr">
        <is>
          <t>Etsy</t>
        </is>
      </c>
      <c r="C155" s="11">
        <f>IF(A155="","",Products!I155)</f>
        <v/>
      </c>
      <c r="D155" s="14" t="n">
        <v>0.3</v>
      </c>
      <c r="E155" s="15" t="n"/>
      <c r="F155" s="11">
        <f>IF(A155="","",IF(1-(IFERROR(INDEX(Settings!$B$5:$B$9,MATCH(B155,Settings!$A$5:$A$9,0)),0)+IFERROR(INDEX(Settings!$E$5:$E$9,MATCH(B155,Settings!$A$5:$A$9,0)),0)+IFERROR(INDEX(Settings!$G$5:$G$9,MATCH(B155,Settings!$A$5:$A$9,0)),0)+N(Products!H155))-D155&lt;=0,"margin too high",(C155+(IFERROR(INDEX(Settings!$C$5:$C$9,MATCH(B155,Settings!$A$5:$A$9,0)),0)+IFERROR(INDEX(Settings!$D$5:$D$9,MATCH(B155,Settings!$A$5:$A$9,0)),0)+IFERROR(INDEX(Settings!$F$5:$F$9,MATCH(B155,Settings!$A$5:$A$9,0)),0)))/(1-(IFERROR(INDEX(Settings!$B$5:$B$9,MATCH(B155,Settings!$A$5:$A$9,0)),0)+IFERROR(INDEX(Settings!$E$5:$E$9,MATCH(B155,Settings!$A$5:$A$9,0)),0)+IFERROR(INDEX(Settings!$G$5:$G$9,MATCH(B155,Settings!$A$5:$A$9,0)),0)+N(Products!H155))-D155)))</f>
        <v/>
      </c>
      <c r="G155" s="11">
        <f>IF(OR(A155="",N(E155)=0),"",E155*(1-(IFERROR(INDEX(Settings!$B$5:$B$9,MATCH(B155,Settings!$A$5:$A$9,0)),0)+IFERROR(INDEX(Settings!$E$5:$E$9,MATCH(B155,Settings!$A$5:$A$9,0)),0)+IFERROR(INDEX(Settings!$G$5:$G$9,MATCH(B155,Settings!$A$5:$A$9,0)),0)+N(Products!H155)))-(IFERROR(INDEX(Settings!$C$5:$C$9,MATCH(B155,Settings!$A$5:$A$9,0)),0)+IFERROR(INDEX(Settings!$D$5:$D$9,MATCH(B155,Settings!$A$5:$A$9,0)),0)+IFERROR(INDEX(Settings!$F$5:$F$9,MATCH(B155,Settings!$A$5:$A$9,0)),0))-C155)</f>
        <v/>
      </c>
      <c r="H155" s="12">
        <f>IF(OR(A155="",N(E155)=0),"",G155/E155)</f>
        <v/>
      </c>
      <c r="I155">
        <f>IF(OR(A155="",N(E155)=0),"",IF(G155&lt;0,"Loses money at this price",IF(E155&lt;F155,"Below target: raise to "&amp;TEXT(F155,"$0.00"),"On target")))</f>
        <v/>
      </c>
    </row>
    <row r="156">
      <c r="A156">
        <f>IF(Products!A156="","",Products!A156)</f>
        <v/>
      </c>
      <c r="B156" s="13" t="inlineStr">
        <is>
          <t>Etsy</t>
        </is>
      </c>
      <c r="C156" s="11">
        <f>IF(A156="","",Products!I156)</f>
        <v/>
      </c>
      <c r="D156" s="14" t="n">
        <v>0.3</v>
      </c>
      <c r="E156" s="15" t="n"/>
      <c r="F156" s="11">
        <f>IF(A156="","",IF(1-(IFERROR(INDEX(Settings!$B$5:$B$9,MATCH(B156,Settings!$A$5:$A$9,0)),0)+IFERROR(INDEX(Settings!$E$5:$E$9,MATCH(B156,Settings!$A$5:$A$9,0)),0)+IFERROR(INDEX(Settings!$G$5:$G$9,MATCH(B156,Settings!$A$5:$A$9,0)),0)+N(Products!H156))-D156&lt;=0,"margin too high",(C156+(IFERROR(INDEX(Settings!$C$5:$C$9,MATCH(B156,Settings!$A$5:$A$9,0)),0)+IFERROR(INDEX(Settings!$D$5:$D$9,MATCH(B156,Settings!$A$5:$A$9,0)),0)+IFERROR(INDEX(Settings!$F$5:$F$9,MATCH(B156,Settings!$A$5:$A$9,0)),0)))/(1-(IFERROR(INDEX(Settings!$B$5:$B$9,MATCH(B156,Settings!$A$5:$A$9,0)),0)+IFERROR(INDEX(Settings!$E$5:$E$9,MATCH(B156,Settings!$A$5:$A$9,0)),0)+IFERROR(INDEX(Settings!$G$5:$G$9,MATCH(B156,Settings!$A$5:$A$9,0)),0)+N(Products!H156))-D156)))</f>
        <v/>
      </c>
      <c r="G156" s="11">
        <f>IF(OR(A156="",N(E156)=0),"",E156*(1-(IFERROR(INDEX(Settings!$B$5:$B$9,MATCH(B156,Settings!$A$5:$A$9,0)),0)+IFERROR(INDEX(Settings!$E$5:$E$9,MATCH(B156,Settings!$A$5:$A$9,0)),0)+IFERROR(INDEX(Settings!$G$5:$G$9,MATCH(B156,Settings!$A$5:$A$9,0)),0)+N(Products!H156)))-(IFERROR(INDEX(Settings!$C$5:$C$9,MATCH(B156,Settings!$A$5:$A$9,0)),0)+IFERROR(INDEX(Settings!$D$5:$D$9,MATCH(B156,Settings!$A$5:$A$9,0)),0)+IFERROR(INDEX(Settings!$F$5:$F$9,MATCH(B156,Settings!$A$5:$A$9,0)),0))-C156)</f>
        <v/>
      </c>
      <c r="H156" s="12">
        <f>IF(OR(A156="",N(E156)=0),"",G156/E156)</f>
        <v/>
      </c>
      <c r="I156">
        <f>IF(OR(A156="",N(E156)=0),"",IF(G156&lt;0,"Loses money at this price",IF(E156&lt;F156,"Below target: raise to "&amp;TEXT(F156,"$0.00"),"On target")))</f>
        <v/>
      </c>
    </row>
    <row r="157">
      <c r="A157">
        <f>IF(Products!A157="","",Products!A157)</f>
        <v/>
      </c>
      <c r="B157" s="13" t="inlineStr">
        <is>
          <t>Etsy</t>
        </is>
      </c>
      <c r="C157" s="11">
        <f>IF(A157="","",Products!I157)</f>
        <v/>
      </c>
      <c r="D157" s="14" t="n">
        <v>0.3</v>
      </c>
      <c r="E157" s="15" t="n"/>
      <c r="F157" s="11">
        <f>IF(A157="","",IF(1-(IFERROR(INDEX(Settings!$B$5:$B$9,MATCH(B157,Settings!$A$5:$A$9,0)),0)+IFERROR(INDEX(Settings!$E$5:$E$9,MATCH(B157,Settings!$A$5:$A$9,0)),0)+IFERROR(INDEX(Settings!$G$5:$G$9,MATCH(B157,Settings!$A$5:$A$9,0)),0)+N(Products!H157))-D157&lt;=0,"margin too high",(C157+(IFERROR(INDEX(Settings!$C$5:$C$9,MATCH(B157,Settings!$A$5:$A$9,0)),0)+IFERROR(INDEX(Settings!$D$5:$D$9,MATCH(B157,Settings!$A$5:$A$9,0)),0)+IFERROR(INDEX(Settings!$F$5:$F$9,MATCH(B157,Settings!$A$5:$A$9,0)),0)))/(1-(IFERROR(INDEX(Settings!$B$5:$B$9,MATCH(B157,Settings!$A$5:$A$9,0)),0)+IFERROR(INDEX(Settings!$E$5:$E$9,MATCH(B157,Settings!$A$5:$A$9,0)),0)+IFERROR(INDEX(Settings!$G$5:$G$9,MATCH(B157,Settings!$A$5:$A$9,0)),0)+N(Products!H157))-D157)))</f>
        <v/>
      </c>
      <c r="G157" s="11">
        <f>IF(OR(A157="",N(E157)=0),"",E157*(1-(IFERROR(INDEX(Settings!$B$5:$B$9,MATCH(B157,Settings!$A$5:$A$9,0)),0)+IFERROR(INDEX(Settings!$E$5:$E$9,MATCH(B157,Settings!$A$5:$A$9,0)),0)+IFERROR(INDEX(Settings!$G$5:$G$9,MATCH(B157,Settings!$A$5:$A$9,0)),0)+N(Products!H157)))-(IFERROR(INDEX(Settings!$C$5:$C$9,MATCH(B157,Settings!$A$5:$A$9,0)),0)+IFERROR(INDEX(Settings!$D$5:$D$9,MATCH(B157,Settings!$A$5:$A$9,0)),0)+IFERROR(INDEX(Settings!$F$5:$F$9,MATCH(B157,Settings!$A$5:$A$9,0)),0))-C157)</f>
        <v/>
      </c>
      <c r="H157" s="12">
        <f>IF(OR(A157="",N(E157)=0),"",G157/E157)</f>
        <v/>
      </c>
      <c r="I157">
        <f>IF(OR(A157="",N(E157)=0),"",IF(G157&lt;0,"Loses money at this price",IF(E157&lt;F157,"Below target: raise to "&amp;TEXT(F157,"$0.00"),"On target")))</f>
        <v/>
      </c>
    </row>
    <row r="158">
      <c r="A158">
        <f>IF(Products!A158="","",Products!A158)</f>
        <v/>
      </c>
      <c r="B158" s="13" t="inlineStr">
        <is>
          <t>Etsy</t>
        </is>
      </c>
      <c r="C158" s="11">
        <f>IF(A158="","",Products!I158)</f>
        <v/>
      </c>
      <c r="D158" s="14" t="n">
        <v>0.3</v>
      </c>
      <c r="E158" s="15" t="n"/>
      <c r="F158" s="11">
        <f>IF(A158="","",IF(1-(IFERROR(INDEX(Settings!$B$5:$B$9,MATCH(B158,Settings!$A$5:$A$9,0)),0)+IFERROR(INDEX(Settings!$E$5:$E$9,MATCH(B158,Settings!$A$5:$A$9,0)),0)+IFERROR(INDEX(Settings!$G$5:$G$9,MATCH(B158,Settings!$A$5:$A$9,0)),0)+N(Products!H158))-D158&lt;=0,"margin too high",(C158+(IFERROR(INDEX(Settings!$C$5:$C$9,MATCH(B158,Settings!$A$5:$A$9,0)),0)+IFERROR(INDEX(Settings!$D$5:$D$9,MATCH(B158,Settings!$A$5:$A$9,0)),0)+IFERROR(INDEX(Settings!$F$5:$F$9,MATCH(B158,Settings!$A$5:$A$9,0)),0)))/(1-(IFERROR(INDEX(Settings!$B$5:$B$9,MATCH(B158,Settings!$A$5:$A$9,0)),0)+IFERROR(INDEX(Settings!$E$5:$E$9,MATCH(B158,Settings!$A$5:$A$9,0)),0)+IFERROR(INDEX(Settings!$G$5:$G$9,MATCH(B158,Settings!$A$5:$A$9,0)),0)+N(Products!H158))-D158)))</f>
        <v/>
      </c>
      <c r="G158" s="11">
        <f>IF(OR(A158="",N(E158)=0),"",E158*(1-(IFERROR(INDEX(Settings!$B$5:$B$9,MATCH(B158,Settings!$A$5:$A$9,0)),0)+IFERROR(INDEX(Settings!$E$5:$E$9,MATCH(B158,Settings!$A$5:$A$9,0)),0)+IFERROR(INDEX(Settings!$G$5:$G$9,MATCH(B158,Settings!$A$5:$A$9,0)),0)+N(Products!H158)))-(IFERROR(INDEX(Settings!$C$5:$C$9,MATCH(B158,Settings!$A$5:$A$9,0)),0)+IFERROR(INDEX(Settings!$D$5:$D$9,MATCH(B158,Settings!$A$5:$A$9,0)),0)+IFERROR(INDEX(Settings!$F$5:$F$9,MATCH(B158,Settings!$A$5:$A$9,0)),0))-C158)</f>
        <v/>
      </c>
      <c r="H158" s="12">
        <f>IF(OR(A158="",N(E158)=0),"",G158/E158)</f>
        <v/>
      </c>
      <c r="I158">
        <f>IF(OR(A158="",N(E158)=0),"",IF(G158&lt;0,"Loses money at this price",IF(E158&lt;F158,"Below target: raise to "&amp;TEXT(F158,"$0.00"),"On target")))</f>
        <v/>
      </c>
    </row>
    <row r="159">
      <c r="A159">
        <f>IF(Products!A159="","",Products!A159)</f>
        <v/>
      </c>
      <c r="B159" s="13" t="inlineStr">
        <is>
          <t>Etsy</t>
        </is>
      </c>
      <c r="C159" s="11">
        <f>IF(A159="","",Products!I159)</f>
        <v/>
      </c>
      <c r="D159" s="14" t="n">
        <v>0.3</v>
      </c>
      <c r="E159" s="15" t="n"/>
      <c r="F159" s="11">
        <f>IF(A159="","",IF(1-(IFERROR(INDEX(Settings!$B$5:$B$9,MATCH(B159,Settings!$A$5:$A$9,0)),0)+IFERROR(INDEX(Settings!$E$5:$E$9,MATCH(B159,Settings!$A$5:$A$9,0)),0)+IFERROR(INDEX(Settings!$G$5:$G$9,MATCH(B159,Settings!$A$5:$A$9,0)),0)+N(Products!H159))-D159&lt;=0,"margin too high",(C159+(IFERROR(INDEX(Settings!$C$5:$C$9,MATCH(B159,Settings!$A$5:$A$9,0)),0)+IFERROR(INDEX(Settings!$D$5:$D$9,MATCH(B159,Settings!$A$5:$A$9,0)),0)+IFERROR(INDEX(Settings!$F$5:$F$9,MATCH(B159,Settings!$A$5:$A$9,0)),0)))/(1-(IFERROR(INDEX(Settings!$B$5:$B$9,MATCH(B159,Settings!$A$5:$A$9,0)),0)+IFERROR(INDEX(Settings!$E$5:$E$9,MATCH(B159,Settings!$A$5:$A$9,0)),0)+IFERROR(INDEX(Settings!$G$5:$G$9,MATCH(B159,Settings!$A$5:$A$9,0)),0)+N(Products!H159))-D159)))</f>
        <v/>
      </c>
      <c r="G159" s="11">
        <f>IF(OR(A159="",N(E159)=0),"",E159*(1-(IFERROR(INDEX(Settings!$B$5:$B$9,MATCH(B159,Settings!$A$5:$A$9,0)),0)+IFERROR(INDEX(Settings!$E$5:$E$9,MATCH(B159,Settings!$A$5:$A$9,0)),0)+IFERROR(INDEX(Settings!$G$5:$G$9,MATCH(B159,Settings!$A$5:$A$9,0)),0)+N(Products!H159)))-(IFERROR(INDEX(Settings!$C$5:$C$9,MATCH(B159,Settings!$A$5:$A$9,0)),0)+IFERROR(INDEX(Settings!$D$5:$D$9,MATCH(B159,Settings!$A$5:$A$9,0)),0)+IFERROR(INDEX(Settings!$F$5:$F$9,MATCH(B159,Settings!$A$5:$A$9,0)),0))-C159)</f>
        <v/>
      </c>
      <c r="H159" s="12">
        <f>IF(OR(A159="",N(E159)=0),"",G159/E159)</f>
        <v/>
      </c>
      <c r="I159">
        <f>IF(OR(A159="",N(E159)=0),"",IF(G159&lt;0,"Loses money at this price",IF(E159&lt;F159,"Below target: raise to "&amp;TEXT(F159,"$0.00"),"On target")))</f>
        <v/>
      </c>
    </row>
    <row r="160">
      <c r="A160">
        <f>IF(Products!A160="","",Products!A160)</f>
        <v/>
      </c>
      <c r="B160" s="13" t="inlineStr">
        <is>
          <t>Etsy</t>
        </is>
      </c>
      <c r="C160" s="11">
        <f>IF(A160="","",Products!I160)</f>
        <v/>
      </c>
      <c r="D160" s="14" t="n">
        <v>0.3</v>
      </c>
      <c r="E160" s="15" t="n"/>
      <c r="F160" s="11">
        <f>IF(A160="","",IF(1-(IFERROR(INDEX(Settings!$B$5:$B$9,MATCH(B160,Settings!$A$5:$A$9,0)),0)+IFERROR(INDEX(Settings!$E$5:$E$9,MATCH(B160,Settings!$A$5:$A$9,0)),0)+IFERROR(INDEX(Settings!$G$5:$G$9,MATCH(B160,Settings!$A$5:$A$9,0)),0)+N(Products!H160))-D160&lt;=0,"margin too high",(C160+(IFERROR(INDEX(Settings!$C$5:$C$9,MATCH(B160,Settings!$A$5:$A$9,0)),0)+IFERROR(INDEX(Settings!$D$5:$D$9,MATCH(B160,Settings!$A$5:$A$9,0)),0)+IFERROR(INDEX(Settings!$F$5:$F$9,MATCH(B160,Settings!$A$5:$A$9,0)),0)))/(1-(IFERROR(INDEX(Settings!$B$5:$B$9,MATCH(B160,Settings!$A$5:$A$9,0)),0)+IFERROR(INDEX(Settings!$E$5:$E$9,MATCH(B160,Settings!$A$5:$A$9,0)),0)+IFERROR(INDEX(Settings!$G$5:$G$9,MATCH(B160,Settings!$A$5:$A$9,0)),0)+N(Products!H160))-D160)))</f>
        <v/>
      </c>
      <c r="G160" s="11">
        <f>IF(OR(A160="",N(E160)=0),"",E160*(1-(IFERROR(INDEX(Settings!$B$5:$B$9,MATCH(B160,Settings!$A$5:$A$9,0)),0)+IFERROR(INDEX(Settings!$E$5:$E$9,MATCH(B160,Settings!$A$5:$A$9,0)),0)+IFERROR(INDEX(Settings!$G$5:$G$9,MATCH(B160,Settings!$A$5:$A$9,0)),0)+N(Products!H160)))-(IFERROR(INDEX(Settings!$C$5:$C$9,MATCH(B160,Settings!$A$5:$A$9,0)),0)+IFERROR(INDEX(Settings!$D$5:$D$9,MATCH(B160,Settings!$A$5:$A$9,0)),0)+IFERROR(INDEX(Settings!$F$5:$F$9,MATCH(B160,Settings!$A$5:$A$9,0)),0))-C160)</f>
        <v/>
      </c>
      <c r="H160" s="12">
        <f>IF(OR(A160="",N(E160)=0),"",G160/E160)</f>
        <v/>
      </c>
      <c r="I160">
        <f>IF(OR(A160="",N(E160)=0),"",IF(G160&lt;0,"Loses money at this price",IF(E160&lt;F160,"Below target: raise to "&amp;TEXT(F160,"$0.00"),"On target")))</f>
        <v/>
      </c>
    </row>
    <row r="161">
      <c r="A161">
        <f>IF(Products!A161="","",Products!A161)</f>
        <v/>
      </c>
      <c r="B161" s="13" t="inlineStr">
        <is>
          <t>Etsy</t>
        </is>
      </c>
      <c r="C161" s="11">
        <f>IF(A161="","",Products!I161)</f>
        <v/>
      </c>
      <c r="D161" s="14" t="n">
        <v>0.3</v>
      </c>
      <c r="E161" s="15" t="n"/>
      <c r="F161" s="11">
        <f>IF(A161="","",IF(1-(IFERROR(INDEX(Settings!$B$5:$B$9,MATCH(B161,Settings!$A$5:$A$9,0)),0)+IFERROR(INDEX(Settings!$E$5:$E$9,MATCH(B161,Settings!$A$5:$A$9,0)),0)+IFERROR(INDEX(Settings!$G$5:$G$9,MATCH(B161,Settings!$A$5:$A$9,0)),0)+N(Products!H161))-D161&lt;=0,"margin too high",(C161+(IFERROR(INDEX(Settings!$C$5:$C$9,MATCH(B161,Settings!$A$5:$A$9,0)),0)+IFERROR(INDEX(Settings!$D$5:$D$9,MATCH(B161,Settings!$A$5:$A$9,0)),0)+IFERROR(INDEX(Settings!$F$5:$F$9,MATCH(B161,Settings!$A$5:$A$9,0)),0)))/(1-(IFERROR(INDEX(Settings!$B$5:$B$9,MATCH(B161,Settings!$A$5:$A$9,0)),0)+IFERROR(INDEX(Settings!$E$5:$E$9,MATCH(B161,Settings!$A$5:$A$9,0)),0)+IFERROR(INDEX(Settings!$G$5:$G$9,MATCH(B161,Settings!$A$5:$A$9,0)),0)+N(Products!H161))-D161)))</f>
        <v/>
      </c>
      <c r="G161" s="11">
        <f>IF(OR(A161="",N(E161)=0),"",E161*(1-(IFERROR(INDEX(Settings!$B$5:$B$9,MATCH(B161,Settings!$A$5:$A$9,0)),0)+IFERROR(INDEX(Settings!$E$5:$E$9,MATCH(B161,Settings!$A$5:$A$9,0)),0)+IFERROR(INDEX(Settings!$G$5:$G$9,MATCH(B161,Settings!$A$5:$A$9,0)),0)+N(Products!H161)))-(IFERROR(INDEX(Settings!$C$5:$C$9,MATCH(B161,Settings!$A$5:$A$9,0)),0)+IFERROR(INDEX(Settings!$D$5:$D$9,MATCH(B161,Settings!$A$5:$A$9,0)),0)+IFERROR(INDEX(Settings!$F$5:$F$9,MATCH(B161,Settings!$A$5:$A$9,0)),0))-C161)</f>
        <v/>
      </c>
      <c r="H161" s="12">
        <f>IF(OR(A161="",N(E161)=0),"",G161/E161)</f>
        <v/>
      </c>
      <c r="I161">
        <f>IF(OR(A161="",N(E161)=0),"",IF(G161&lt;0,"Loses money at this price",IF(E161&lt;F161,"Below target: raise to "&amp;TEXT(F161,"$0.00"),"On target")))</f>
        <v/>
      </c>
    </row>
    <row r="162">
      <c r="A162">
        <f>IF(Products!A162="","",Products!A162)</f>
        <v/>
      </c>
      <c r="B162" s="13" t="inlineStr">
        <is>
          <t>Etsy</t>
        </is>
      </c>
      <c r="C162" s="11">
        <f>IF(A162="","",Products!I162)</f>
        <v/>
      </c>
      <c r="D162" s="14" t="n">
        <v>0.3</v>
      </c>
      <c r="E162" s="15" t="n"/>
      <c r="F162" s="11">
        <f>IF(A162="","",IF(1-(IFERROR(INDEX(Settings!$B$5:$B$9,MATCH(B162,Settings!$A$5:$A$9,0)),0)+IFERROR(INDEX(Settings!$E$5:$E$9,MATCH(B162,Settings!$A$5:$A$9,0)),0)+IFERROR(INDEX(Settings!$G$5:$G$9,MATCH(B162,Settings!$A$5:$A$9,0)),0)+N(Products!H162))-D162&lt;=0,"margin too high",(C162+(IFERROR(INDEX(Settings!$C$5:$C$9,MATCH(B162,Settings!$A$5:$A$9,0)),0)+IFERROR(INDEX(Settings!$D$5:$D$9,MATCH(B162,Settings!$A$5:$A$9,0)),0)+IFERROR(INDEX(Settings!$F$5:$F$9,MATCH(B162,Settings!$A$5:$A$9,0)),0)))/(1-(IFERROR(INDEX(Settings!$B$5:$B$9,MATCH(B162,Settings!$A$5:$A$9,0)),0)+IFERROR(INDEX(Settings!$E$5:$E$9,MATCH(B162,Settings!$A$5:$A$9,0)),0)+IFERROR(INDEX(Settings!$G$5:$G$9,MATCH(B162,Settings!$A$5:$A$9,0)),0)+N(Products!H162))-D162)))</f>
        <v/>
      </c>
      <c r="G162" s="11">
        <f>IF(OR(A162="",N(E162)=0),"",E162*(1-(IFERROR(INDEX(Settings!$B$5:$B$9,MATCH(B162,Settings!$A$5:$A$9,0)),0)+IFERROR(INDEX(Settings!$E$5:$E$9,MATCH(B162,Settings!$A$5:$A$9,0)),0)+IFERROR(INDEX(Settings!$G$5:$G$9,MATCH(B162,Settings!$A$5:$A$9,0)),0)+N(Products!H162)))-(IFERROR(INDEX(Settings!$C$5:$C$9,MATCH(B162,Settings!$A$5:$A$9,0)),0)+IFERROR(INDEX(Settings!$D$5:$D$9,MATCH(B162,Settings!$A$5:$A$9,0)),0)+IFERROR(INDEX(Settings!$F$5:$F$9,MATCH(B162,Settings!$A$5:$A$9,0)),0))-C162)</f>
        <v/>
      </c>
      <c r="H162" s="12">
        <f>IF(OR(A162="",N(E162)=0),"",G162/E162)</f>
        <v/>
      </c>
      <c r="I162">
        <f>IF(OR(A162="",N(E162)=0),"",IF(G162&lt;0,"Loses money at this price",IF(E162&lt;F162,"Below target: raise to "&amp;TEXT(F162,"$0.00"),"On target")))</f>
        <v/>
      </c>
    </row>
    <row r="163">
      <c r="A163">
        <f>IF(Products!A163="","",Products!A163)</f>
        <v/>
      </c>
      <c r="B163" s="13" t="inlineStr">
        <is>
          <t>Etsy</t>
        </is>
      </c>
      <c r="C163" s="11">
        <f>IF(A163="","",Products!I163)</f>
        <v/>
      </c>
      <c r="D163" s="14" t="n">
        <v>0.3</v>
      </c>
      <c r="E163" s="15" t="n"/>
      <c r="F163" s="11">
        <f>IF(A163="","",IF(1-(IFERROR(INDEX(Settings!$B$5:$B$9,MATCH(B163,Settings!$A$5:$A$9,0)),0)+IFERROR(INDEX(Settings!$E$5:$E$9,MATCH(B163,Settings!$A$5:$A$9,0)),0)+IFERROR(INDEX(Settings!$G$5:$G$9,MATCH(B163,Settings!$A$5:$A$9,0)),0)+N(Products!H163))-D163&lt;=0,"margin too high",(C163+(IFERROR(INDEX(Settings!$C$5:$C$9,MATCH(B163,Settings!$A$5:$A$9,0)),0)+IFERROR(INDEX(Settings!$D$5:$D$9,MATCH(B163,Settings!$A$5:$A$9,0)),0)+IFERROR(INDEX(Settings!$F$5:$F$9,MATCH(B163,Settings!$A$5:$A$9,0)),0)))/(1-(IFERROR(INDEX(Settings!$B$5:$B$9,MATCH(B163,Settings!$A$5:$A$9,0)),0)+IFERROR(INDEX(Settings!$E$5:$E$9,MATCH(B163,Settings!$A$5:$A$9,0)),0)+IFERROR(INDEX(Settings!$G$5:$G$9,MATCH(B163,Settings!$A$5:$A$9,0)),0)+N(Products!H163))-D163)))</f>
        <v/>
      </c>
      <c r="G163" s="11">
        <f>IF(OR(A163="",N(E163)=0),"",E163*(1-(IFERROR(INDEX(Settings!$B$5:$B$9,MATCH(B163,Settings!$A$5:$A$9,0)),0)+IFERROR(INDEX(Settings!$E$5:$E$9,MATCH(B163,Settings!$A$5:$A$9,0)),0)+IFERROR(INDEX(Settings!$G$5:$G$9,MATCH(B163,Settings!$A$5:$A$9,0)),0)+N(Products!H163)))-(IFERROR(INDEX(Settings!$C$5:$C$9,MATCH(B163,Settings!$A$5:$A$9,0)),0)+IFERROR(INDEX(Settings!$D$5:$D$9,MATCH(B163,Settings!$A$5:$A$9,0)),0)+IFERROR(INDEX(Settings!$F$5:$F$9,MATCH(B163,Settings!$A$5:$A$9,0)),0))-C163)</f>
        <v/>
      </c>
      <c r="H163" s="12">
        <f>IF(OR(A163="",N(E163)=0),"",G163/E163)</f>
        <v/>
      </c>
      <c r="I163">
        <f>IF(OR(A163="",N(E163)=0),"",IF(G163&lt;0,"Loses money at this price",IF(E163&lt;F163,"Below target: raise to "&amp;TEXT(F163,"$0.00"),"On target")))</f>
        <v/>
      </c>
    </row>
    <row r="164">
      <c r="A164">
        <f>IF(Products!A164="","",Products!A164)</f>
        <v/>
      </c>
      <c r="B164" s="13" t="inlineStr">
        <is>
          <t>Etsy</t>
        </is>
      </c>
      <c r="C164" s="11">
        <f>IF(A164="","",Products!I164)</f>
        <v/>
      </c>
      <c r="D164" s="14" t="n">
        <v>0.3</v>
      </c>
      <c r="E164" s="15" t="n"/>
      <c r="F164" s="11">
        <f>IF(A164="","",IF(1-(IFERROR(INDEX(Settings!$B$5:$B$9,MATCH(B164,Settings!$A$5:$A$9,0)),0)+IFERROR(INDEX(Settings!$E$5:$E$9,MATCH(B164,Settings!$A$5:$A$9,0)),0)+IFERROR(INDEX(Settings!$G$5:$G$9,MATCH(B164,Settings!$A$5:$A$9,0)),0)+N(Products!H164))-D164&lt;=0,"margin too high",(C164+(IFERROR(INDEX(Settings!$C$5:$C$9,MATCH(B164,Settings!$A$5:$A$9,0)),0)+IFERROR(INDEX(Settings!$D$5:$D$9,MATCH(B164,Settings!$A$5:$A$9,0)),0)+IFERROR(INDEX(Settings!$F$5:$F$9,MATCH(B164,Settings!$A$5:$A$9,0)),0)))/(1-(IFERROR(INDEX(Settings!$B$5:$B$9,MATCH(B164,Settings!$A$5:$A$9,0)),0)+IFERROR(INDEX(Settings!$E$5:$E$9,MATCH(B164,Settings!$A$5:$A$9,0)),0)+IFERROR(INDEX(Settings!$G$5:$G$9,MATCH(B164,Settings!$A$5:$A$9,0)),0)+N(Products!H164))-D164)))</f>
        <v/>
      </c>
      <c r="G164" s="11">
        <f>IF(OR(A164="",N(E164)=0),"",E164*(1-(IFERROR(INDEX(Settings!$B$5:$B$9,MATCH(B164,Settings!$A$5:$A$9,0)),0)+IFERROR(INDEX(Settings!$E$5:$E$9,MATCH(B164,Settings!$A$5:$A$9,0)),0)+IFERROR(INDEX(Settings!$G$5:$G$9,MATCH(B164,Settings!$A$5:$A$9,0)),0)+N(Products!H164)))-(IFERROR(INDEX(Settings!$C$5:$C$9,MATCH(B164,Settings!$A$5:$A$9,0)),0)+IFERROR(INDEX(Settings!$D$5:$D$9,MATCH(B164,Settings!$A$5:$A$9,0)),0)+IFERROR(INDEX(Settings!$F$5:$F$9,MATCH(B164,Settings!$A$5:$A$9,0)),0))-C164)</f>
        <v/>
      </c>
      <c r="H164" s="12">
        <f>IF(OR(A164="",N(E164)=0),"",G164/E164)</f>
        <v/>
      </c>
      <c r="I164">
        <f>IF(OR(A164="",N(E164)=0),"",IF(G164&lt;0,"Loses money at this price",IF(E164&lt;F164,"Below target: raise to "&amp;TEXT(F164,"$0.00"),"On target")))</f>
        <v/>
      </c>
    </row>
    <row r="165">
      <c r="A165">
        <f>IF(Products!A165="","",Products!A165)</f>
        <v/>
      </c>
      <c r="B165" s="13" t="inlineStr">
        <is>
          <t>Etsy</t>
        </is>
      </c>
      <c r="C165" s="11">
        <f>IF(A165="","",Products!I165)</f>
        <v/>
      </c>
      <c r="D165" s="14" t="n">
        <v>0.3</v>
      </c>
      <c r="E165" s="15" t="n"/>
      <c r="F165" s="11">
        <f>IF(A165="","",IF(1-(IFERROR(INDEX(Settings!$B$5:$B$9,MATCH(B165,Settings!$A$5:$A$9,0)),0)+IFERROR(INDEX(Settings!$E$5:$E$9,MATCH(B165,Settings!$A$5:$A$9,0)),0)+IFERROR(INDEX(Settings!$G$5:$G$9,MATCH(B165,Settings!$A$5:$A$9,0)),0)+N(Products!H165))-D165&lt;=0,"margin too high",(C165+(IFERROR(INDEX(Settings!$C$5:$C$9,MATCH(B165,Settings!$A$5:$A$9,0)),0)+IFERROR(INDEX(Settings!$D$5:$D$9,MATCH(B165,Settings!$A$5:$A$9,0)),0)+IFERROR(INDEX(Settings!$F$5:$F$9,MATCH(B165,Settings!$A$5:$A$9,0)),0)))/(1-(IFERROR(INDEX(Settings!$B$5:$B$9,MATCH(B165,Settings!$A$5:$A$9,0)),0)+IFERROR(INDEX(Settings!$E$5:$E$9,MATCH(B165,Settings!$A$5:$A$9,0)),0)+IFERROR(INDEX(Settings!$G$5:$G$9,MATCH(B165,Settings!$A$5:$A$9,0)),0)+N(Products!H165))-D165)))</f>
        <v/>
      </c>
      <c r="G165" s="11">
        <f>IF(OR(A165="",N(E165)=0),"",E165*(1-(IFERROR(INDEX(Settings!$B$5:$B$9,MATCH(B165,Settings!$A$5:$A$9,0)),0)+IFERROR(INDEX(Settings!$E$5:$E$9,MATCH(B165,Settings!$A$5:$A$9,0)),0)+IFERROR(INDEX(Settings!$G$5:$G$9,MATCH(B165,Settings!$A$5:$A$9,0)),0)+N(Products!H165)))-(IFERROR(INDEX(Settings!$C$5:$C$9,MATCH(B165,Settings!$A$5:$A$9,0)),0)+IFERROR(INDEX(Settings!$D$5:$D$9,MATCH(B165,Settings!$A$5:$A$9,0)),0)+IFERROR(INDEX(Settings!$F$5:$F$9,MATCH(B165,Settings!$A$5:$A$9,0)),0))-C165)</f>
        <v/>
      </c>
      <c r="H165" s="12">
        <f>IF(OR(A165="",N(E165)=0),"",G165/E165)</f>
        <v/>
      </c>
      <c r="I165">
        <f>IF(OR(A165="",N(E165)=0),"",IF(G165&lt;0,"Loses money at this price",IF(E165&lt;F165,"Below target: raise to "&amp;TEXT(F165,"$0.00"),"On target")))</f>
        <v/>
      </c>
    </row>
    <row r="166">
      <c r="A166">
        <f>IF(Products!A166="","",Products!A166)</f>
        <v/>
      </c>
      <c r="B166" s="13" t="inlineStr">
        <is>
          <t>Etsy</t>
        </is>
      </c>
      <c r="C166" s="11">
        <f>IF(A166="","",Products!I166)</f>
        <v/>
      </c>
      <c r="D166" s="14" t="n">
        <v>0.3</v>
      </c>
      <c r="E166" s="15" t="n"/>
      <c r="F166" s="11">
        <f>IF(A166="","",IF(1-(IFERROR(INDEX(Settings!$B$5:$B$9,MATCH(B166,Settings!$A$5:$A$9,0)),0)+IFERROR(INDEX(Settings!$E$5:$E$9,MATCH(B166,Settings!$A$5:$A$9,0)),0)+IFERROR(INDEX(Settings!$G$5:$G$9,MATCH(B166,Settings!$A$5:$A$9,0)),0)+N(Products!H166))-D166&lt;=0,"margin too high",(C166+(IFERROR(INDEX(Settings!$C$5:$C$9,MATCH(B166,Settings!$A$5:$A$9,0)),0)+IFERROR(INDEX(Settings!$D$5:$D$9,MATCH(B166,Settings!$A$5:$A$9,0)),0)+IFERROR(INDEX(Settings!$F$5:$F$9,MATCH(B166,Settings!$A$5:$A$9,0)),0)))/(1-(IFERROR(INDEX(Settings!$B$5:$B$9,MATCH(B166,Settings!$A$5:$A$9,0)),0)+IFERROR(INDEX(Settings!$E$5:$E$9,MATCH(B166,Settings!$A$5:$A$9,0)),0)+IFERROR(INDEX(Settings!$G$5:$G$9,MATCH(B166,Settings!$A$5:$A$9,0)),0)+N(Products!H166))-D166)))</f>
        <v/>
      </c>
      <c r="G166" s="11">
        <f>IF(OR(A166="",N(E166)=0),"",E166*(1-(IFERROR(INDEX(Settings!$B$5:$B$9,MATCH(B166,Settings!$A$5:$A$9,0)),0)+IFERROR(INDEX(Settings!$E$5:$E$9,MATCH(B166,Settings!$A$5:$A$9,0)),0)+IFERROR(INDEX(Settings!$G$5:$G$9,MATCH(B166,Settings!$A$5:$A$9,0)),0)+N(Products!H166)))-(IFERROR(INDEX(Settings!$C$5:$C$9,MATCH(B166,Settings!$A$5:$A$9,0)),0)+IFERROR(INDEX(Settings!$D$5:$D$9,MATCH(B166,Settings!$A$5:$A$9,0)),0)+IFERROR(INDEX(Settings!$F$5:$F$9,MATCH(B166,Settings!$A$5:$A$9,0)),0))-C166)</f>
        <v/>
      </c>
      <c r="H166" s="12">
        <f>IF(OR(A166="",N(E166)=0),"",G166/E166)</f>
        <v/>
      </c>
      <c r="I166">
        <f>IF(OR(A166="",N(E166)=0),"",IF(G166&lt;0,"Loses money at this price",IF(E166&lt;F166,"Below target: raise to "&amp;TEXT(F166,"$0.00"),"On target")))</f>
        <v/>
      </c>
    </row>
    <row r="167">
      <c r="A167">
        <f>IF(Products!A167="","",Products!A167)</f>
        <v/>
      </c>
      <c r="B167" s="13" t="inlineStr">
        <is>
          <t>Etsy</t>
        </is>
      </c>
      <c r="C167" s="11">
        <f>IF(A167="","",Products!I167)</f>
        <v/>
      </c>
      <c r="D167" s="14" t="n">
        <v>0.3</v>
      </c>
      <c r="E167" s="15" t="n"/>
      <c r="F167" s="11">
        <f>IF(A167="","",IF(1-(IFERROR(INDEX(Settings!$B$5:$B$9,MATCH(B167,Settings!$A$5:$A$9,0)),0)+IFERROR(INDEX(Settings!$E$5:$E$9,MATCH(B167,Settings!$A$5:$A$9,0)),0)+IFERROR(INDEX(Settings!$G$5:$G$9,MATCH(B167,Settings!$A$5:$A$9,0)),0)+N(Products!H167))-D167&lt;=0,"margin too high",(C167+(IFERROR(INDEX(Settings!$C$5:$C$9,MATCH(B167,Settings!$A$5:$A$9,0)),0)+IFERROR(INDEX(Settings!$D$5:$D$9,MATCH(B167,Settings!$A$5:$A$9,0)),0)+IFERROR(INDEX(Settings!$F$5:$F$9,MATCH(B167,Settings!$A$5:$A$9,0)),0)))/(1-(IFERROR(INDEX(Settings!$B$5:$B$9,MATCH(B167,Settings!$A$5:$A$9,0)),0)+IFERROR(INDEX(Settings!$E$5:$E$9,MATCH(B167,Settings!$A$5:$A$9,0)),0)+IFERROR(INDEX(Settings!$G$5:$G$9,MATCH(B167,Settings!$A$5:$A$9,0)),0)+N(Products!H167))-D167)))</f>
        <v/>
      </c>
      <c r="G167" s="11">
        <f>IF(OR(A167="",N(E167)=0),"",E167*(1-(IFERROR(INDEX(Settings!$B$5:$B$9,MATCH(B167,Settings!$A$5:$A$9,0)),0)+IFERROR(INDEX(Settings!$E$5:$E$9,MATCH(B167,Settings!$A$5:$A$9,0)),0)+IFERROR(INDEX(Settings!$G$5:$G$9,MATCH(B167,Settings!$A$5:$A$9,0)),0)+N(Products!H167)))-(IFERROR(INDEX(Settings!$C$5:$C$9,MATCH(B167,Settings!$A$5:$A$9,0)),0)+IFERROR(INDEX(Settings!$D$5:$D$9,MATCH(B167,Settings!$A$5:$A$9,0)),0)+IFERROR(INDEX(Settings!$F$5:$F$9,MATCH(B167,Settings!$A$5:$A$9,0)),0))-C167)</f>
        <v/>
      </c>
      <c r="H167" s="12">
        <f>IF(OR(A167="",N(E167)=0),"",G167/E167)</f>
        <v/>
      </c>
      <c r="I167">
        <f>IF(OR(A167="",N(E167)=0),"",IF(G167&lt;0,"Loses money at this price",IF(E167&lt;F167,"Below target: raise to "&amp;TEXT(F167,"$0.00"),"On target")))</f>
        <v/>
      </c>
    </row>
    <row r="168">
      <c r="A168">
        <f>IF(Products!A168="","",Products!A168)</f>
        <v/>
      </c>
      <c r="B168" s="13" t="inlineStr">
        <is>
          <t>Etsy</t>
        </is>
      </c>
      <c r="C168" s="11">
        <f>IF(A168="","",Products!I168)</f>
        <v/>
      </c>
      <c r="D168" s="14" t="n">
        <v>0.3</v>
      </c>
      <c r="E168" s="15" t="n"/>
      <c r="F168" s="11">
        <f>IF(A168="","",IF(1-(IFERROR(INDEX(Settings!$B$5:$B$9,MATCH(B168,Settings!$A$5:$A$9,0)),0)+IFERROR(INDEX(Settings!$E$5:$E$9,MATCH(B168,Settings!$A$5:$A$9,0)),0)+IFERROR(INDEX(Settings!$G$5:$G$9,MATCH(B168,Settings!$A$5:$A$9,0)),0)+N(Products!H168))-D168&lt;=0,"margin too high",(C168+(IFERROR(INDEX(Settings!$C$5:$C$9,MATCH(B168,Settings!$A$5:$A$9,0)),0)+IFERROR(INDEX(Settings!$D$5:$D$9,MATCH(B168,Settings!$A$5:$A$9,0)),0)+IFERROR(INDEX(Settings!$F$5:$F$9,MATCH(B168,Settings!$A$5:$A$9,0)),0)))/(1-(IFERROR(INDEX(Settings!$B$5:$B$9,MATCH(B168,Settings!$A$5:$A$9,0)),0)+IFERROR(INDEX(Settings!$E$5:$E$9,MATCH(B168,Settings!$A$5:$A$9,0)),0)+IFERROR(INDEX(Settings!$G$5:$G$9,MATCH(B168,Settings!$A$5:$A$9,0)),0)+N(Products!H168))-D168)))</f>
        <v/>
      </c>
      <c r="G168" s="11">
        <f>IF(OR(A168="",N(E168)=0),"",E168*(1-(IFERROR(INDEX(Settings!$B$5:$B$9,MATCH(B168,Settings!$A$5:$A$9,0)),0)+IFERROR(INDEX(Settings!$E$5:$E$9,MATCH(B168,Settings!$A$5:$A$9,0)),0)+IFERROR(INDEX(Settings!$G$5:$G$9,MATCH(B168,Settings!$A$5:$A$9,0)),0)+N(Products!H168)))-(IFERROR(INDEX(Settings!$C$5:$C$9,MATCH(B168,Settings!$A$5:$A$9,0)),0)+IFERROR(INDEX(Settings!$D$5:$D$9,MATCH(B168,Settings!$A$5:$A$9,0)),0)+IFERROR(INDEX(Settings!$F$5:$F$9,MATCH(B168,Settings!$A$5:$A$9,0)),0))-C168)</f>
        <v/>
      </c>
      <c r="H168" s="12">
        <f>IF(OR(A168="",N(E168)=0),"",G168/E168)</f>
        <v/>
      </c>
      <c r="I168">
        <f>IF(OR(A168="",N(E168)=0),"",IF(G168&lt;0,"Loses money at this price",IF(E168&lt;F168,"Below target: raise to "&amp;TEXT(F168,"$0.00"),"On target")))</f>
        <v/>
      </c>
    </row>
    <row r="169">
      <c r="A169">
        <f>IF(Products!A169="","",Products!A169)</f>
        <v/>
      </c>
      <c r="B169" s="13" t="inlineStr">
        <is>
          <t>Etsy</t>
        </is>
      </c>
      <c r="C169" s="11">
        <f>IF(A169="","",Products!I169)</f>
        <v/>
      </c>
      <c r="D169" s="14" t="n">
        <v>0.3</v>
      </c>
      <c r="E169" s="15" t="n"/>
      <c r="F169" s="11">
        <f>IF(A169="","",IF(1-(IFERROR(INDEX(Settings!$B$5:$B$9,MATCH(B169,Settings!$A$5:$A$9,0)),0)+IFERROR(INDEX(Settings!$E$5:$E$9,MATCH(B169,Settings!$A$5:$A$9,0)),0)+IFERROR(INDEX(Settings!$G$5:$G$9,MATCH(B169,Settings!$A$5:$A$9,0)),0)+N(Products!H169))-D169&lt;=0,"margin too high",(C169+(IFERROR(INDEX(Settings!$C$5:$C$9,MATCH(B169,Settings!$A$5:$A$9,0)),0)+IFERROR(INDEX(Settings!$D$5:$D$9,MATCH(B169,Settings!$A$5:$A$9,0)),0)+IFERROR(INDEX(Settings!$F$5:$F$9,MATCH(B169,Settings!$A$5:$A$9,0)),0)))/(1-(IFERROR(INDEX(Settings!$B$5:$B$9,MATCH(B169,Settings!$A$5:$A$9,0)),0)+IFERROR(INDEX(Settings!$E$5:$E$9,MATCH(B169,Settings!$A$5:$A$9,0)),0)+IFERROR(INDEX(Settings!$G$5:$G$9,MATCH(B169,Settings!$A$5:$A$9,0)),0)+N(Products!H169))-D169)))</f>
        <v/>
      </c>
      <c r="G169" s="11">
        <f>IF(OR(A169="",N(E169)=0),"",E169*(1-(IFERROR(INDEX(Settings!$B$5:$B$9,MATCH(B169,Settings!$A$5:$A$9,0)),0)+IFERROR(INDEX(Settings!$E$5:$E$9,MATCH(B169,Settings!$A$5:$A$9,0)),0)+IFERROR(INDEX(Settings!$G$5:$G$9,MATCH(B169,Settings!$A$5:$A$9,0)),0)+N(Products!H169)))-(IFERROR(INDEX(Settings!$C$5:$C$9,MATCH(B169,Settings!$A$5:$A$9,0)),0)+IFERROR(INDEX(Settings!$D$5:$D$9,MATCH(B169,Settings!$A$5:$A$9,0)),0)+IFERROR(INDEX(Settings!$F$5:$F$9,MATCH(B169,Settings!$A$5:$A$9,0)),0))-C169)</f>
        <v/>
      </c>
      <c r="H169" s="12">
        <f>IF(OR(A169="",N(E169)=0),"",G169/E169)</f>
        <v/>
      </c>
      <c r="I169">
        <f>IF(OR(A169="",N(E169)=0),"",IF(G169&lt;0,"Loses money at this price",IF(E169&lt;F169,"Below target: raise to "&amp;TEXT(F169,"$0.00"),"On target")))</f>
        <v/>
      </c>
    </row>
    <row r="170">
      <c r="A170">
        <f>IF(Products!A170="","",Products!A170)</f>
        <v/>
      </c>
      <c r="B170" s="13" t="inlineStr">
        <is>
          <t>Etsy</t>
        </is>
      </c>
      <c r="C170" s="11">
        <f>IF(A170="","",Products!I170)</f>
        <v/>
      </c>
      <c r="D170" s="14" t="n">
        <v>0.3</v>
      </c>
      <c r="E170" s="15" t="n"/>
      <c r="F170" s="11">
        <f>IF(A170="","",IF(1-(IFERROR(INDEX(Settings!$B$5:$B$9,MATCH(B170,Settings!$A$5:$A$9,0)),0)+IFERROR(INDEX(Settings!$E$5:$E$9,MATCH(B170,Settings!$A$5:$A$9,0)),0)+IFERROR(INDEX(Settings!$G$5:$G$9,MATCH(B170,Settings!$A$5:$A$9,0)),0)+N(Products!H170))-D170&lt;=0,"margin too high",(C170+(IFERROR(INDEX(Settings!$C$5:$C$9,MATCH(B170,Settings!$A$5:$A$9,0)),0)+IFERROR(INDEX(Settings!$D$5:$D$9,MATCH(B170,Settings!$A$5:$A$9,0)),0)+IFERROR(INDEX(Settings!$F$5:$F$9,MATCH(B170,Settings!$A$5:$A$9,0)),0)))/(1-(IFERROR(INDEX(Settings!$B$5:$B$9,MATCH(B170,Settings!$A$5:$A$9,0)),0)+IFERROR(INDEX(Settings!$E$5:$E$9,MATCH(B170,Settings!$A$5:$A$9,0)),0)+IFERROR(INDEX(Settings!$G$5:$G$9,MATCH(B170,Settings!$A$5:$A$9,0)),0)+N(Products!H170))-D170)))</f>
        <v/>
      </c>
      <c r="G170" s="11">
        <f>IF(OR(A170="",N(E170)=0),"",E170*(1-(IFERROR(INDEX(Settings!$B$5:$B$9,MATCH(B170,Settings!$A$5:$A$9,0)),0)+IFERROR(INDEX(Settings!$E$5:$E$9,MATCH(B170,Settings!$A$5:$A$9,0)),0)+IFERROR(INDEX(Settings!$G$5:$G$9,MATCH(B170,Settings!$A$5:$A$9,0)),0)+N(Products!H170)))-(IFERROR(INDEX(Settings!$C$5:$C$9,MATCH(B170,Settings!$A$5:$A$9,0)),0)+IFERROR(INDEX(Settings!$D$5:$D$9,MATCH(B170,Settings!$A$5:$A$9,0)),0)+IFERROR(INDEX(Settings!$F$5:$F$9,MATCH(B170,Settings!$A$5:$A$9,0)),0))-C170)</f>
        <v/>
      </c>
      <c r="H170" s="12">
        <f>IF(OR(A170="",N(E170)=0),"",G170/E170)</f>
        <v/>
      </c>
      <c r="I170">
        <f>IF(OR(A170="",N(E170)=0),"",IF(G170&lt;0,"Loses money at this price",IF(E170&lt;F170,"Below target: raise to "&amp;TEXT(F170,"$0.00"),"On target")))</f>
        <v/>
      </c>
    </row>
    <row r="171">
      <c r="A171">
        <f>IF(Products!A171="","",Products!A171)</f>
        <v/>
      </c>
      <c r="B171" s="13" t="inlineStr">
        <is>
          <t>Etsy</t>
        </is>
      </c>
      <c r="C171" s="11">
        <f>IF(A171="","",Products!I171)</f>
        <v/>
      </c>
      <c r="D171" s="14" t="n">
        <v>0.3</v>
      </c>
      <c r="E171" s="15" t="n"/>
      <c r="F171" s="11">
        <f>IF(A171="","",IF(1-(IFERROR(INDEX(Settings!$B$5:$B$9,MATCH(B171,Settings!$A$5:$A$9,0)),0)+IFERROR(INDEX(Settings!$E$5:$E$9,MATCH(B171,Settings!$A$5:$A$9,0)),0)+IFERROR(INDEX(Settings!$G$5:$G$9,MATCH(B171,Settings!$A$5:$A$9,0)),0)+N(Products!H171))-D171&lt;=0,"margin too high",(C171+(IFERROR(INDEX(Settings!$C$5:$C$9,MATCH(B171,Settings!$A$5:$A$9,0)),0)+IFERROR(INDEX(Settings!$D$5:$D$9,MATCH(B171,Settings!$A$5:$A$9,0)),0)+IFERROR(INDEX(Settings!$F$5:$F$9,MATCH(B171,Settings!$A$5:$A$9,0)),0)))/(1-(IFERROR(INDEX(Settings!$B$5:$B$9,MATCH(B171,Settings!$A$5:$A$9,0)),0)+IFERROR(INDEX(Settings!$E$5:$E$9,MATCH(B171,Settings!$A$5:$A$9,0)),0)+IFERROR(INDEX(Settings!$G$5:$G$9,MATCH(B171,Settings!$A$5:$A$9,0)),0)+N(Products!H171))-D171)))</f>
        <v/>
      </c>
      <c r="G171" s="11">
        <f>IF(OR(A171="",N(E171)=0),"",E171*(1-(IFERROR(INDEX(Settings!$B$5:$B$9,MATCH(B171,Settings!$A$5:$A$9,0)),0)+IFERROR(INDEX(Settings!$E$5:$E$9,MATCH(B171,Settings!$A$5:$A$9,0)),0)+IFERROR(INDEX(Settings!$G$5:$G$9,MATCH(B171,Settings!$A$5:$A$9,0)),0)+N(Products!H171)))-(IFERROR(INDEX(Settings!$C$5:$C$9,MATCH(B171,Settings!$A$5:$A$9,0)),0)+IFERROR(INDEX(Settings!$D$5:$D$9,MATCH(B171,Settings!$A$5:$A$9,0)),0)+IFERROR(INDEX(Settings!$F$5:$F$9,MATCH(B171,Settings!$A$5:$A$9,0)),0))-C171)</f>
        <v/>
      </c>
      <c r="H171" s="12">
        <f>IF(OR(A171="",N(E171)=0),"",G171/E171)</f>
        <v/>
      </c>
      <c r="I171">
        <f>IF(OR(A171="",N(E171)=0),"",IF(G171&lt;0,"Loses money at this price",IF(E171&lt;F171,"Below target: raise to "&amp;TEXT(F171,"$0.00"),"On target")))</f>
        <v/>
      </c>
    </row>
    <row r="172">
      <c r="A172">
        <f>IF(Products!A172="","",Products!A172)</f>
        <v/>
      </c>
      <c r="B172" s="13" t="inlineStr">
        <is>
          <t>Etsy</t>
        </is>
      </c>
      <c r="C172" s="11">
        <f>IF(A172="","",Products!I172)</f>
        <v/>
      </c>
      <c r="D172" s="14" t="n">
        <v>0.3</v>
      </c>
      <c r="E172" s="15" t="n"/>
      <c r="F172" s="11">
        <f>IF(A172="","",IF(1-(IFERROR(INDEX(Settings!$B$5:$B$9,MATCH(B172,Settings!$A$5:$A$9,0)),0)+IFERROR(INDEX(Settings!$E$5:$E$9,MATCH(B172,Settings!$A$5:$A$9,0)),0)+IFERROR(INDEX(Settings!$G$5:$G$9,MATCH(B172,Settings!$A$5:$A$9,0)),0)+N(Products!H172))-D172&lt;=0,"margin too high",(C172+(IFERROR(INDEX(Settings!$C$5:$C$9,MATCH(B172,Settings!$A$5:$A$9,0)),0)+IFERROR(INDEX(Settings!$D$5:$D$9,MATCH(B172,Settings!$A$5:$A$9,0)),0)+IFERROR(INDEX(Settings!$F$5:$F$9,MATCH(B172,Settings!$A$5:$A$9,0)),0)))/(1-(IFERROR(INDEX(Settings!$B$5:$B$9,MATCH(B172,Settings!$A$5:$A$9,0)),0)+IFERROR(INDEX(Settings!$E$5:$E$9,MATCH(B172,Settings!$A$5:$A$9,0)),0)+IFERROR(INDEX(Settings!$G$5:$G$9,MATCH(B172,Settings!$A$5:$A$9,0)),0)+N(Products!H172))-D172)))</f>
        <v/>
      </c>
      <c r="G172" s="11">
        <f>IF(OR(A172="",N(E172)=0),"",E172*(1-(IFERROR(INDEX(Settings!$B$5:$B$9,MATCH(B172,Settings!$A$5:$A$9,0)),0)+IFERROR(INDEX(Settings!$E$5:$E$9,MATCH(B172,Settings!$A$5:$A$9,0)),0)+IFERROR(INDEX(Settings!$G$5:$G$9,MATCH(B172,Settings!$A$5:$A$9,0)),0)+N(Products!H172)))-(IFERROR(INDEX(Settings!$C$5:$C$9,MATCH(B172,Settings!$A$5:$A$9,0)),0)+IFERROR(INDEX(Settings!$D$5:$D$9,MATCH(B172,Settings!$A$5:$A$9,0)),0)+IFERROR(INDEX(Settings!$F$5:$F$9,MATCH(B172,Settings!$A$5:$A$9,0)),0))-C172)</f>
        <v/>
      </c>
      <c r="H172" s="12">
        <f>IF(OR(A172="",N(E172)=0),"",G172/E172)</f>
        <v/>
      </c>
      <c r="I172">
        <f>IF(OR(A172="",N(E172)=0),"",IF(G172&lt;0,"Loses money at this price",IF(E172&lt;F172,"Below target: raise to "&amp;TEXT(F172,"$0.00"),"On target")))</f>
        <v/>
      </c>
    </row>
    <row r="173">
      <c r="A173">
        <f>IF(Products!A173="","",Products!A173)</f>
        <v/>
      </c>
      <c r="B173" s="13" t="inlineStr">
        <is>
          <t>Etsy</t>
        </is>
      </c>
      <c r="C173" s="11">
        <f>IF(A173="","",Products!I173)</f>
        <v/>
      </c>
      <c r="D173" s="14" t="n">
        <v>0.3</v>
      </c>
      <c r="E173" s="15" t="n"/>
      <c r="F173" s="11">
        <f>IF(A173="","",IF(1-(IFERROR(INDEX(Settings!$B$5:$B$9,MATCH(B173,Settings!$A$5:$A$9,0)),0)+IFERROR(INDEX(Settings!$E$5:$E$9,MATCH(B173,Settings!$A$5:$A$9,0)),0)+IFERROR(INDEX(Settings!$G$5:$G$9,MATCH(B173,Settings!$A$5:$A$9,0)),0)+N(Products!H173))-D173&lt;=0,"margin too high",(C173+(IFERROR(INDEX(Settings!$C$5:$C$9,MATCH(B173,Settings!$A$5:$A$9,0)),0)+IFERROR(INDEX(Settings!$D$5:$D$9,MATCH(B173,Settings!$A$5:$A$9,0)),0)+IFERROR(INDEX(Settings!$F$5:$F$9,MATCH(B173,Settings!$A$5:$A$9,0)),0)))/(1-(IFERROR(INDEX(Settings!$B$5:$B$9,MATCH(B173,Settings!$A$5:$A$9,0)),0)+IFERROR(INDEX(Settings!$E$5:$E$9,MATCH(B173,Settings!$A$5:$A$9,0)),0)+IFERROR(INDEX(Settings!$G$5:$G$9,MATCH(B173,Settings!$A$5:$A$9,0)),0)+N(Products!H173))-D173)))</f>
        <v/>
      </c>
      <c r="G173" s="11">
        <f>IF(OR(A173="",N(E173)=0),"",E173*(1-(IFERROR(INDEX(Settings!$B$5:$B$9,MATCH(B173,Settings!$A$5:$A$9,0)),0)+IFERROR(INDEX(Settings!$E$5:$E$9,MATCH(B173,Settings!$A$5:$A$9,0)),0)+IFERROR(INDEX(Settings!$G$5:$G$9,MATCH(B173,Settings!$A$5:$A$9,0)),0)+N(Products!H173)))-(IFERROR(INDEX(Settings!$C$5:$C$9,MATCH(B173,Settings!$A$5:$A$9,0)),0)+IFERROR(INDEX(Settings!$D$5:$D$9,MATCH(B173,Settings!$A$5:$A$9,0)),0)+IFERROR(INDEX(Settings!$F$5:$F$9,MATCH(B173,Settings!$A$5:$A$9,0)),0))-C173)</f>
        <v/>
      </c>
      <c r="H173" s="12">
        <f>IF(OR(A173="",N(E173)=0),"",G173/E173)</f>
        <v/>
      </c>
      <c r="I173">
        <f>IF(OR(A173="",N(E173)=0),"",IF(G173&lt;0,"Loses money at this price",IF(E173&lt;F173,"Below target: raise to "&amp;TEXT(F173,"$0.00"),"On target")))</f>
        <v/>
      </c>
    </row>
    <row r="174">
      <c r="A174">
        <f>IF(Products!A174="","",Products!A174)</f>
        <v/>
      </c>
      <c r="B174" s="13" t="inlineStr">
        <is>
          <t>Etsy</t>
        </is>
      </c>
      <c r="C174" s="11">
        <f>IF(A174="","",Products!I174)</f>
        <v/>
      </c>
      <c r="D174" s="14" t="n">
        <v>0.3</v>
      </c>
      <c r="E174" s="15" t="n"/>
      <c r="F174" s="11">
        <f>IF(A174="","",IF(1-(IFERROR(INDEX(Settings!$B$5:$B$9,MATCH(B174,Settings!$A$5:$A$9,0)),0)+IFERROR(INDEX(Settings!$E$5:$E$9,MATCH(B174,Settings!$A$5:$A$9,0)),0)+IFERROR(INDEX(Settings!$G$5:$G$9,MATCH(B174,Settings!$A$5:$A$9,0)),0)+N(Products!H174))-D174&lt;=0,"margin too high",(C174+(IFERROR(INDEX(Settings!$C$5:$C$9,MATCH(B174,Settings!$A$5:$A$9,0)),0)+IFERROR(INDEX(Settings!$D$5:$D$9,MATCH(B174,Settings!$A$5:$A$9,0)),0)+IFERROR(INDEX(Settings!$F$5:$F$9,MATCH(B174,Settings!$A$5:$A$9,0)),0)))/(1-(IFERROR(INDEX(Settings!$B$5:$B$9,MATCH(B174,Settings!$A$5:$A$9,0)),0)+IFERROR(INDEX(Settings!$E$5:$E$9,MATCH(B174,Settings!$A$5:$A$9,0)),0)+IFERROR(INDEX(Settings!$G$5:$G$9,MATCH(B174,Settings!$A$5:$A$9,0)),0)+N(Products!H174))-D174)))</f>
        <v/>
      </c>
      <c r="G174" s="11">
        <f>IF(OR(A174="",N(E174)=0),"",E174*(1-(IFERROR(INDEX(Settings!$B$5:$B$9,MATCH(B174,Settings!$A$5:$A$9,0)),0)+IFERROR(INDEX(Settings!$E$5:$E$9,MATCH(B174,Settings!$A$5:$A$9,0)),0)+IFERROR(INDEX(Settings!$G$5:$G$9,MATCH(B174,Settings!$A$5:$A$9,0)),0)+N(Products!H174)))-(IFERROR(INDEX(Settings!$C$5:$C$9,MATCH(B174,Settings!$A$5:$A$9,0)),0)+IFERROR(INDEX(Settings!$D$5:$D$9,MATCH(B174,Settings!$A$5:$A$9,0)),0)+IFERROR(INDEX(Settings!$F$5:$F$9,MATCH(B174,Settings!$A$5:$A$9,0)),0))-C174)</f>
        <v/>
      </c>
      <c r="H174" s="12">
        <f>IF(OR(A174="",N(E174)=0),"",G174/E174)</f>
        <v/>
      </c>
      <c r="I174">
        <f>IF(OR(A174="",N(E174)=0),"",IF(G174&lt;0,"Loses money at this price",IF(E174&lt;F174,"Below target: raise to "&amp;TEXT(F174,"$0.00"),"On target")))</f>
        <v/>
      </c>
    </row>
    <row r="175">
      <c r="A175">
        <f>IF(Products!A175="","",Products!A175)</f>
        <v/>
      </c>
      <c r="B175" s="13" t="inlineStr">
        <is>
          <t>Etsy</t>
        </is>
      </c>
      <c r="C175" s="11">
        <f>IF(A175="","",Products!I175)</f>
        <v/>
      </c>
      <c r="D175" s="14" t="n">
        <v>0.3</v>
      </c>
      <c r="E175" s="15" t="n"/>
      <c r="F175" s="11">
        <f>IF(A175="","",IF(1-(IFERROR(INDEX(Settings!$B$5:$B$9,MATCH(B175,Settings!$A$5:$A$9,0)),0)+IFERROR(INDEX(Settings!$E$5:$E$9,MATCH(B175,Settings!$A$5:$A$9,0)),0)+IFERROR(INDEX(Settings!$G$5:$G$9,MATCH(B175,Settings!$A$5:$A$9,0)),0)+N(Products!H175))-D175&lt;=0,"margin too high",(C175+(IFERROR(INDEX(Settings!$C$5:$C$9,MATCH(B175,Settings!$A$5:$A$9,0)),0)+IFERROR(INDEX(Settings!$D$5:$D$9,MATCH(B175,Settings!$A$5:$A$9,0)),0)+IFERROR(INDEX(Settings!$F$5:$F$9,MATCH(B175,Settings!$A$5:$A$9,0)),0)))/(1-(IFERROR(INDEX(Settings!$B$5:$B$9,MATCH(B175,Settings!$A$5:$A$9,0)),0)+IFERROR(INDEX(Settings!$E$5:$E$9,MATCH(B175,Settings!$A$5:$A$9,0)),0)+IFERROR(INDEX(Settings!$G$5:$G$9,MATCH(B175,Settings!$A$5:$A$9,0)),0)+N(Products!H175))-D175)))</f>
        <v/>
      </c>
      <c r="G175" s="11">
        <f>IF(OR(A175="",N(E175)=0),"",E175*(1-(IFERROR(INDEX(Settings!$B$5:$B$9,MATCH(B175,Settings!$A$5:$A$9,0)),0)+IFERROR(INDEX(Settings!$E$5:$E$9,MATCH(B175,Settings!$A$5:$A$9,0)),0)+IFERROR(INDEX(Settings!$G$5:$G$9,MATCH(B175,Settings!$A$5:$A$9,0)),0)+N(Products!H175)))-(IFERROR(INDEX(Settings!$C$5:$C$9,MATCH(B175,Settings!$A$5:$A$9,0)),0)+IFERROR(INDEX(Settings!$D$5:$D$9,MATCH(B175,Settings!$A$5:$A$9,0)),0)+IFERROR(INDEX(Settings!$F$5:$F$9,MATCH(B175,Settings!$A$5:$A$9,0)),0))-C175)</f>
        <v/>
      </c>
      <c r="H175" s="12">
        <f>IF(OR(A175="",N(E175)=0),"",G175/E175)</f>
        <v/>
      </c>
      <c r="I175">
        <f>IF(OR(A175="",N(E175)=0),"",IF(G175&lt;0,"Loses money at this price",IF(E175&lt;F175,"Below target: raise to "&amp;TEXT(F175,"$0.00"),"On target")))</f>
        <v/>
      </c>
    </row>
    <row r="176">
      <c r="A176">
        <f>IF(Products!A176="","",Products!A176)</f>
        <v/>
      </c>
      <c r="B176" s="13" t="inlineStr">
        <is>
          <t>Etsy</t>
        </is>
      </c>
      <c r="C176" s="11">
        <f>IF(A176="","",Products!I176)</f>
        <v/>
      </c>
      <c r="D176" s="14" t="n">
        <v>0.3</v>
      </c>
      <c r="E176" s="15" t="n"/>
      <c r="F176" s="11">
        <f>IF(A176="","",IF(1-(IFERROR(INDEX(Settings!$B$5:$B$9,MATCH(B176,Settings!$A$5:$A$9,0)),0)+IFERROR(INDEX(Settings!$E$5:$E$9,MATCH(B176,Settings!$A$5:$A$9,0)),0)+IFERROR(INDEX(Settings!$G$5:$G$9,MATCH(B176,Settings!$A$5:$A$9,0)),0)+N(Products!H176))-D176&lt;=0,"margin too high",(C176+(IFERROR(INDEX(Settings!$C$5:$C$9,MATCH(B176,Settings!$A$5:$A$9,0)),0)+IFERROR(INDEX(Settings!$D$5:$D$9,MATCH(B176,Settings!$A$5:$A$9,0)),0)+IFERROR(INDEX(Settings!$F$5:$F$9,MATCH(B176,Settings!$A$5:$A$9,0)),0)))/(1-(IFERROR(INDEX(Settings!$B$5:$B$9,MATCH(B176,Settings!$A$5:$A$9,0)),0)+IFERROR(INDEX(Settings!$E$5:$E$9,MATCH(B176,Settings!$A$5:$A$9,0)),0)+IFERROR(INDEX(Settings!$G$5:$G$9,MATCH(B176,Settings!$A$5:$A$9,0)),0)+N(Products!H176))-D176)))</f>
        <v/>
      </c>
      <c r="G176" s="11">
        <f>IF(OR(A176="",N(E176)=0),"",E176*(1-(IFERROR(INDEX(Settings!$B$5:$B$9,MATCH(B176,Settings!$A$5:$A$9,0)),0)+IFERROR(INDEX(Settings!$E$5:$E$9,MATCH(B176,Settings!$A$5:$A$9,0)),0)+IFERROR(INDEX(Settings!$G$5:$G$9,MATCH(B176,Settings!$A$5:$A$9,0)),0)+N(Products!H176)))-(IFERROR(INDEX(Settings!$C$5:$C$9,MATCH(B176,Settings!$A$5:$A$9,0)),0)+IFERROR(INDEX(Settings!$D$5:$D$9,MATCH(B176,Settings!$A$5:$A$9,0)),0)+IFERROR(INDEX(Settings!$F$5:$F$9,MATCH(B176,Settings!$A$5:$A$9,0)),0))-C176)</f>
        <v/>
      </c>
      <c r="H176" s="12">
        <f>IF(OR(A176="",N(E176)=0),"",G176/E176)</f>
        <v/>
      </c>
      <c r="I176">
        <f>IF(OR(A176="",N(E176)=0),"",IF(G176&lt;0,"Loses money at this price",IF(E176&lt;F176,"Below target: raise to "&amp;TEXT(F176,"$0.00"),"On target")))</f>
        <v/>
      </c>
    </row>
    <row r="177">
      <c r="A177">
        <f>IF(Products!A177="","",Products!A177)</f>
        <v/>
      </c>
      <c r="B177" s="13" t="inlineStr">
        <is>
          <t>Etsy</t>
        </is>
      </c>
      <c r="C177" s="11">
        <f>IF(A177="","",Products!I177)</f>
        <v/>
      </c>
      <c r="D177" s="14" t="n">
        <v>0.3</v>
      </c>
      <c r="E177" s="15" t="n"/>
      <c r="F177" s="11">
        <f>IF(A177="","",IF(1-(IFERROR(INDEX(Settings!$B$5:$B$9,MATCH(B177,Settings!$A$5:$A$9,0)),0)+IFERROR(INDEX(Settings!$E$5:$E$9,MATCH(B177,Settings!$A$5:$A$9,0)),0)+IFERROR(INDEX(Settings!$G$5:$G$9,MATCH(B177,Settings!$A$5:$A$9,0)),0)+N(Products!H177))-D177&lt;=0,"margin too high",(C177+(IFERROR(INDEX(Settings!$C$5:$C$9,MATCH(B177,Settings!$A$5:$A$9,0)),0)+IFERROR(INDEX(Settings!$D$5:$D$9,MATCH(B177,Settings!$A$5:$A$9,0)),0)+IFERROR(INDEX(Settings!$F$5:$F$9,MATCH(B177,Settings!$A$5:$A$9,0)),0)))/(1-(IFERROR(INDEX(Settings!$B$5:$B$9,MATCH(B177,Settings!$A$5:$A$9,0)),0)+IFERROR(INDEX(Settings!$E$5:$E$9,MATCH(B177,Settings!$A$5:$A$9,0)),0)+IFERROR(INDEX(Settings!$G$5:$G$9,MATCH(B177,Settings!$A$5:$A$9,0)),0)+N(Products!H177))-D177)))</f>
        <v/>
      </c>
      <c r="G177" s="11">
        <f>IF(OR(A177="",N(E177)=0),"",E177*(1-(IFERROR(INDEX(Settings!$B$5:$B$9,MATCH(B177,Settings!$A$5:$A$9,0)),0)+IFERROR(INDEX(Settings!$E$5:$E$9,MATCH(B177,Settings!$A$5:$A$9,0)),0)+IFERROR(INDEX(Settings!$G$5:$G$9,MATCH(B177,Settings!$A$5:$A$9,0)),0)+N(Products!H177)))-(IFERROR(INDEX(Settings!$C$5:$C$9,MATCH(B177,Settings!$A$5:$A$9,0)),0)+IFERROR(INDEX(Settings!$D$5:$D$9,MATCH(B177,Settings!$A$5:$A$9,0)),0)+IFERROR(INDEX(Settings!$F$5:$F$9,MATCH(B177,Settings!$A$5:$A$9,0)),0))-C177)</f>
        <v/>
      </c>
      <c r="H177" s="12">
        <f>IF(OR(A177="",N(E177)=0),"",G177/E177)</f>
        <v/>
      </c>
      <c r="I177">
        <f>IF(OR(A177="",N(E177)=0),"",IF(G177&lt;0,"Loses money at this price",IF(E177&lt;F177,"Below target: raise to "&amp;TEXT(F177,"$0.00"),"On target")))</f>
        <v/>
      </c>
    </row>
    <row r="178">
      <c r="A178">
        <f>IF(Products!A178="","",Products!A178)</f>
        <v/>
      </c>
      <c r="B178" s="13" t="inlineStr">
        <is>
          <t>Etsy</t>
        </is>
      </c>
      <c r="C178" s="11">
        <f>IF(A178="","",Products!I178)</f>
        <v/>
      </c>
      <c r="D178" s="14" t="n">
        <v>0.3</v>
      </c>
      <c r="E178" s="15" t="n"/>
      <c r="F178" s="11">
        <f>IF(A178="","",IF(1-(IFERROR(INDEX(Settings!$B$5:$B$9,MATCH(B178,Settings!$A$5:$A$9,0)),0)+IFERROR(INDEX(Settings!$E$5:$E$9,MATCH(B178,Settings!$A$5:$A$9,0)),0)+IFERROR(INDEX(Settings!$G$5:$G$9,MATCH(B178,Settings!$A$5:$A$9,0)),0)+N(Products!H178))-D178&lt;=0,"margin too high",(C178+(IFERROR(INDEX(Settings!$C$5:$C$9,MATCH(B178,Settings!$A$5:$A$9,0)),0)+IFERROR(INDEX(Settings!$D$5:$D$9,MATCH(B178,Settings!$A$5:$A$9,0)),0)+IFERROR(INDEX(Settings!$F$5:$F$9,MATCH(B178,Settings!$A$5:$A$9,0)),0)))/(1-(IFERROR(INDEX(Settings!$B$5:$B$9,MATCH(B178,Settings!$A$5:$A$9,0)),0)+IFERROR(INDEX(Settings!$E$5:$E$9,MATCH(B178,Settings!$A$5:$A$9,0)),0)+IFERROR(INDEX(Settings!$G$5:$G$9,MATCH(B178,Settings!$A$5:$A$9,0)),0)+N(Products!H178))-D178)))</f>
        <v/>
      </c>
      <c r="G178" s="11">
        <f>IF(OR(A178="",N(E178)=0),"",E178*(1-(IFERROR(INDEX(Settings!$B$5:$B$9,MATCH(B178,Settings!$A$5:$A$9,0)),0)+IFERROR(INDEX(Settings!$E$5:$E$9,MATCH(B178,Settings!$A$5:$A$9,0)),0)+IFERROR(INDEX(Settings!$G$5:$G$9,MATCH(B178,Settings!$A$5:$A$9,0)),0)+N(Products!H178)))-(IFERROR(INDEX(Settings!$C$5:$C$9,MATCH(B178,Settings!$A$5:$A$9,0)),0)+IFERROR(INDEX(Settings!$D$5:$D$9,MATCH(B178,Settings!$A$5:$A$9,0)),0)+IFERROR(INDEX(Settings!$F$5:$F$9,MATCH(B178,Settings!$A$5:$A$9,0)),0))-C178)</f>
        <v/>
      </c>
      <c r="H178" s="12">
        <f>IF(OR(A178="",N(E178)=0),"",G178/E178)</f>
        <v/>
      </c>
      <c r="I178">
        <f>IF(OR(A178="",N(E178)=0),"",IF(G178&lt;0,"Loses money at this price",IF(E178&lt;F178,"Below target: raise to "&amp;TEXT(F178,"$0.00"),"On target")))</f>
        <v/>
      </c>
    </row>
    <row r="179">
      <c r="A179">
        <f>IF(Products!A179="","",Products!A179)</f>
        <v/>
      </c>
      <c r="B179" s="13" t="inlineStr">
        <is>
          <t>Etsy</t>
        </is>
      </c>
      <c r="C179" s="11">
        <f>IF(A179="","",Products!I179)</f>
        <v/>
      </c>
      <c r="D179" s="14" t="n">
        <v>0.3</v>
      </c>
      <c r="E179" s="15" t="n"/>
      <c r="F179" s="11">
        <f>IF(A179="","",IF(1-(IFERROR(INDEX(Settings!$B$5:$B$9,MATCH(B179,Settings!$A$5:$A$9,0)),0)+IFERROR(INDEX(Settings!$E$5:$E$9,MATCH(B179,Settings!$A$5:$A$9,0)),0)+IFERROR(INDEX(Settings!$G$5:$G$9,MATCH(B179,Settings!$A$5:$A$9,0)),0)+N(Products!H179))-D179&lt;=0,"margin too high",(C179+(IFERROR(INDEX(Settings!$C$5:$C$9,MATCH(B179,Settings!$A$5:$A$9,0)),0)+IFERROR(INDEX(Settings!$D$5:$D$9,MATCH(B179,Settings!$A$5:$A$9,0)),0)+IFERROR(INDEX(Settings!$F$5:$F$9,MATCH(B179,Settings!$A$5:$A$9,0)),0)))/(1-(IFERROR(INDEX(Settings!$B$5:$B$9,MATCH(B179,Settings!$A$5:$A$9,0)),0)+IFERROR(INDEX(Settings!$E$5:$E$9,MATCH(B179,Settings!$A$5:$A$9,0)),0)+IFERROR(INDEX(Settings!$G$5:$G$9,MATCH(B179,Settings!$A$5:$A$9,0)),0)+N(Products!H179))-D179)))</f>
        <v/>
      </c>
      <c r="G179" s="11">
        <f>IF(OR(A179="",N(E179)=0),"",E179*(1-(IFERROR(INDEX(Settings!$B$5:$B$9,MATCH(B179,Settings!$A$5:$A$9,0)),0)+IFERROR(INDEX(Settings!$E$5:$E$9,MATCH(B179,Settings!$A$5:$A$9,0)),0)+IFERROR(INDEX(Settings!$G$5:$G$9,MATCH(B179,Settings!$A$5:$A$9,0)),0)+N(Products!H179)))-(IFERROR(INDEX(Settings!$C$5:$C$9,MATCH(B179,Settings!$A$5:$A$9,0)),0)+IFERROR(INDEX(Settings!$D$5:$D$9,MATCH(B179,Settings!$A$5:$A$9,0)),0)+IFERROR(INDEX(Settings!$F$5:$F$9,MATCH(B179,Settings!$A$5:$A$9,0)),0))-C179)</f>
        <v/>
      </c>
      <c r="H179" s="12">
        <f>IF(OR(A179="",N(E179)=0),"",G179/E179)</f>
        <v/>
      </c>
      <c r="I179">
        <f>IF(OR(A179="",N(E179)=0),"",IF(G179&lt;0,"Loses money at this price",IF(E179&lt;F179,"Below target: raise to "&amp;TEXT(F179,"$0.00"),"On target")))</f>
        <v/>
      </c>
    </row>
    <row r="180">
      <c r="A180">
        <f>IF(Products!A180="","",Products!A180)</f>
        <v/>
      </c>
      <c r="B180" s="13" t="inlineStr">
        <is>
          <t>Etsy</t>
        </is>
      </c>
      <c r="C180" s="11">
        <f>IF(A180="","",Products!I180)</f>
        <v/>
      </c>
      <c r="D180" s="14" t="n">
        <v>0.3</v>
      </c>
      <c r="E180" s="15" t="n"/>
      <c r="F180" s="11">
        <f>IF(A180="","",IF(1-(IFERROR(INDEX(Settings!$B$5:$B$9,MATCH(B180,Settings!$A$5:$A$9,0)),0)+IFERROR(INDEX(Settings!$E$5:$E$9,MATCH(B180,Settings!$A$5:$A$9,0)),0)+IFERROR(INDEX(Settings!$G$5:$G$9,MATCH(B180,Settings!$A$5:$A$9,0)),0)+N(Products!H180))-D180&lt;=0,"margin too high",(C180+(IFERROR(INDEX(Settings!$C$5:$C$9,MATCH(B180,Settings!$A$5:$A$9,0)),0)+IFERROR(INDEX(Settings!$D$5:$D$9,MATCH(B180,Settings!$A$5:$A$9,0)),0)+IFERROR(INDEX(Settings!$F$5:$F$9,MATCH(B180,Settings!$A$5:$A$9,0)),0)))/(1-(IFERROR(INDEX(Settings!$B$5:$B$9,MATCH(B180,Settings!$A$5:$A$9,0)),0)+IFERROR(INDEX(Settings!$E$5:$E$9,MATCH(B180,Settings!$A$5:$A$9,0)),0)+IFERROR(INDEX(Settings!$G$5:$G$9,MATCH(B180,Settings!$A$5:$A$9,0)),0)+N(Products!H180))-D180)))</f>
        <v/>
      </c>
      <c r="G180" s="11">
        <f>IF(OR(A180="",N(E180)=0),"",E180*(1-(IFERROR(INDEX(Settings!$B$5:$B$9,MATCH(B180,Settings!$A$5:$A$9,0)),0)+IFERROR(INDEX(Settings!$E$5:$E$9,MATCH(B180,Settings!$A$5:$A$9,0)),0)+IFERROR(INDEX(Settings!$G$5:$G$9,MATCH(B180,Settings!$A$5:$A$9,0)),0)+N(Products!H180)))-(IFERROR(INDEX(Settings!$C$5:$C$9,MATCH(B180,Settings!$A$5:$A$9,0)),0)+IFERROR(INDEX(Settings!$D$5:$D$9,MATCH(B180,Settings!$A$5:$A$9,0)),0)+IFERROR(INDEX(Settings!$F$5:$F$9,MATCH(B180,Settings!$A$5:$A$9,0)),0))-C180)</f>
        <v/>
      </c>
      <c r="H180" s="12">
        <f>IF(OR(A180="",N(E180)=0),"",G180/E180)</f>
        <v/>
      </c>
      <c r="I180">
        <f>IF(OR(A180="",N(E180)=0),"",IF(G180&lt;0,"Loses money at this price",IF(E180&lt;F180,"Below target: raise to "&amp;TEXT(F180,"$0.00"),"On target")))</f>
        <v/>
      </c>
    </row>
    <row r="181">
      <c r="A181">
        <f>IF(Products!A181="","",Products!A181)</f>
        <v/>
      </c>
      <c r="B181" s="13" t="inlineStr">
        <is>
          <t>Etsy</t>
        </is>
      </c>
      <c r="C181" s="11">
        <f>IF(A181="","",Products!I181)</f>
        <v/>
      </c>
      <c r="D181" s="14" t="n">
        <v>0.3</v>
      </c>
      <c r="E181" s="15" t="n"/>
      <c r="F181" s="11">
        <f>IF(A181="","",IF(1-(IFERROR(INDEX(Settings!$B$5:$B$9,MATCH(B181,Settings!$A$5:$A$9,0)),0)+IFERROR(INDEX(Settings!$E$5:$E$9,MATCH(B181,Settings!$A$5:$A$9,0)),0)+IFERROR(INDEX(Settings!$G$5:$G$9,MATCH(B181,Settings!$A$5:$A$9,0)),0)+N(Products!H181))-D181&lt;=0,"margin too high",(C181+(IFERROR(INDEX(Settings!$C$5:$C$9,MATCH(B181,Settings!$A$5:$A$9,0)),0)+IFERROR(INDEX(Settings!$D$5:$D$9,MATCH(B181,Settings!$A$5:$A$9,0)),0)+IFERROR(INDEX(Settings!$F$5:$F$9,MATCH(B181,Settings!$A$5:$A$9,0)),0)))/(1-(IFERROR(INDEX(Settings!$B$5:$B$9,MATCH(B181,Settings!$A$5:$A$9,0)),0)+IFERROR(INDEX(Settings!$E$5:$E$9,MATCH(B181,Settings!$A$5:$A$9,0)),0)+IFERROR(INDEX(Settings!$G$5:$G$9,MATCH(B181,Settings!$A$5:$A$9,0)),0)+N(Products!H181))-D181)))</f>
        <v/>
      </c>
      <c r="G181" s="11">
        <f>IF(OR(A181="",N(E181)=0),"",E181*(1-(IFERROR(INDEX(Settings!$B$5:$B$9,MATCH(B181,Settings!$A$5:$A$9,0)),0)+IFERROR(INDEX(Settings!$E$5:$E$9,MATCH(B181,Settings!$A$5:$A$9,0)),0)+IFERROR(INDEX(Settings!$G$5:$G$9,MATCH(B181,Settings!$A$5:$A$9,0)),0)+N(Products!H181)))-(IFERROR(INDEX(Settings!$C$5:$C$9,MATCH(B181,Settings!$A$5:$A$9,0)),0)+IFERROR(INDEX(Settings!$D$5:$D$9,MATCH(B181,Settings!$A$5:$A$9,0)),0)+IFERROR(INDEX(Settings!$F$5:$F$9,MATCH(B181,Settings!$A$5:$A$9,0)),0))-C181)</f>
        <v/>
      </c>
      <c r="H181" s="12">
        <f>IF(OR(A181="",N(E181)=0),"",G181/E181)</f>
        <v/>
      </c>
      <c r="I181">
        <f>IF(OR(A181="",N(E181)=0),"",IF(G181&lt;0,"Loses money at this price",IF(E181&lt;F181,"Below target: raise to "&amp;TEXT(F181,"$0.00"),"On target")))</f>
        <v/>
      </c>
    </row>
    <row r="182">
      <c r="A182">
        <f>IF(Products!A182="","",Products!A182)</f>
        <v/>
      </c>
      <c r="B182" s="13" t="inlineStr">
        <is>
          <t>Etsy</t>
        </is>
      </c>
      <c r="C182" s="11">
        <f>IF(A182="","",Products!I182)</f>
        <v/>
      </c>
      <c r="D182" s="14" t="n">
        <v>0.3</v>
      </c>
      <c r="E182" s="15" t="n"/>
      <c r="F182" s="11">
        <f>IF(A182="","",IF(1-(IFERROR(INDEX(Settings!$B$5:$B$9,MATCH(B182,Settings!$A$5:$A$9,0)),0)+IFERROR(INDEX(Settings!$E$5:$E$9,MATCH(B182,Settings!$A$5:$A$9,0)),0)+IFERROR(INDEX(Settings!$G$5:$G$9,MATCH(B182,Settings!$A$5:$A$9,0)),0)+N(Products!H182))-D182&lt;=0,"margin too high",(C182+(IFERROR(INDEX(Settings!$C$5:$C$9,MATCH(B182,Settings!$A$5:$A$9,0)),0)+IFERROR(INDEX(Settings!$D$5:$D$9,MATCH(B182,Settings!$A$5:$A$9,0)),0)+IFERROR(INDEX(Settings!$F$5:$F$9,MATCH(B182,Settings!$A$5:$A$9,0)),0)))/(1-(IFERROR(INDEX(Settings!$B$5:$B$9,MATCH(B182,Settings!$A$5:$A$9,0)),0)+IFERROR(INDEX(Settings!$E$5:$E$9,MATCH(B182,Settings!$A$5:$A$9,0)),0)+IFERROR(INDEX(Settings!$G$5:$G$9,MATCH(B182,Settings!$A$5:$A$9,0)),0)+N(Products!H182))-D182)))</f>
        <v/>
      </c>
      <c r="G182" s="11">
        <f>IF(OR(A182="",N(E182)=0),"",E182*(1-(IFERROR(INDEX(Settings!$B$5:$B$9,MATCH(B182,Settings!$A$5:$A$9,0)),0)+IFERROR(INDEX(Settings!$E$5:$E$9,MATCH(B182,Settings!$A$5:$A$9,0)),0)+IFERROR(INDEX(Settings!$G$5:$G$9,MATCH(B182,Settings!$A$5:$A$9,0)),0)+N(Products!H182)))-(IFERROR(INDEX(Settings!$C$5:$C$9,MATCH(B182,Settings!$A$5:$A$9,0)),0)+IFERROR(INDEX(Settings!$D$5:$D$9,MATCH(B182,Settings!$A$5:$A$9,0)),0)+IFERROR(INDEX(Settings!$F$5:$F$9,MATCH(B182,Settings!$A$5:$A$9,0)),0))-C182)</f>
        <v/>
      </c>
      <c r="H182" s="12">
        <f>IF(OR(A182="",N(E182)=0),"",G182/E182)</f>
        <v/>
      </c>
      <c r="I182">
        <f>IF(OR(A182="",N(E182)=0),"",IF(G182&lt;0,"Loses money at this price",IF(E182&lt;F182,"Below target: raise to "&amp;TEXT(F182,"$0.00"),"On target")))</f>
        <v/>
      </c>
    </row>
    <row r="183">
      <c r="A183">
        <f>IF(Products!A183="","",Products!A183)</f>
        <v/>
      </c>
      <c r="B183" s="13" t="inlineStr">
        <is>
          <t>Etsy</t>
        </is>
      </c>
      <c r="C183" s="11">
        <f>IF(A183="","",Products!I183)</f>
        <v/>
      </c>
      <c r="D183" s="14" t="n">
        <v>0.3</v>
      </c>
      <c r="E183" s="15" t="n"/>
      <c r="F183" s="11">
        <f>IF(A183="","",IF(1-(IFERROR(INDEX(Settings!$B$5:$B$9,MATCH(B183,Settings!$A$5:$A$9,0)),0)+IFERROR(INDEX(Settings!$E$5:$E$9,MATCH(B183,Settings!$A$5:$A$9,0)),0)+IFERROR(INDEX(Settings!$G$5:$G$9,MATCH(B183,Settings!$A$5:$A$9,0)),0)+N(Products!H183))-D183&lt;=0,"margin too high",(C183+(IFERROR(INDEX(Settings!$C$5:$C$9,MATCH(B183,Settings!$A$5:$A$9,0)),0)+IFERROR(INDEX(Settings!$D$5:$D$9,MATCH(B183,Settings!$A$5:$A$9,0)),0)+IFERROR(INDEX(Settings!$F$5:$F$9,MATCH(B183,Settings!$A$5:$A$9,0)),0)))/(1-(IFERROR(INDEX(Settings!$B$5:$B$9,MATCH(B183,Settings!$A$5:$A$9,0)),0)+IFERROR(INDEX(Settings!$E$5:$E$9,MATCH(B183,Settings!$A$5:$A$9,0)),0)+IFERROR(INDEX(Settings!$G$5:$G$9,MATCH(B183,Settings!$A$5:$A$9,0)),0)+N(Products!H183))-D183)))</f>
        <v/>
      </c>
      <c r="G183" s="11">
        <f>IF(OR(A183="",N(E183)=0),"",E183*(1-(IFERROR(INDEX(Settings!$B$5:$B$9,MATCH(B183,Settings!$A$5:$A$9,0)),0)+IFERROR(INDEX(Settings!$E$5:$E$9,MATCH(B183,Settings!$A$5:$A$9,0)),0)+IFERROR(INDEX(Settings!$G$5:$G$9,MATCH(B183,Settings!$A$5:$A$9,0)),0)+N(Products!H183)))-(IFERROR(INDEX(Settings!$C$5:$C$9,MATCH(B183,Settings!$A$5:$A$9,0)),0)+IFERROR(INDEX(Settings!$D$5:$D$9,MATCH(B183,Settings!$A$5:$A$9,0)),0)+IFERROR(INDEX(Settings!$F$5:$F$9,MATCH(B183,Settings!$A$5:$A$9,0)),0))-C183)</f>
        <v/>
      </c>
      <c r="H183" s="12">
        <f>IF(OR(A183="",N(E183)=0),"",G183/E183)</f>
        <v/>
      </c>
      <c r="I183">
        <f>IF(OR(A183="",N(E183)=0),"",IF(G183&lt;0,"Loses money at this price",IF(E183&lt;F183,"Below target: raise to "&amp;TEXT(F183,"$0.00"),"On target")))</f>
        <v/>
      </c>
    </row>
    <row r="184">
      <c r="A184">
        <f>IF(Products!A184="","",Products!A184)</f>
        <v/>
      </c>
      <c r="B184" s="13" t="inlineStr">
        <is>
          <t>Etsy</t>
        </is>
      </c>
      <c r="C184" s="11">
        <f>IF(A184="","",Products!I184)</f>
        <v/>
      </c>
      <c r="D184" s="14" t="n">
        <v>0.3</v>
      </c>
      <c r="E184" s="15" t="n"/>
      <c r="F184" s="11">
        <f>IF(A184="","",IF(1-(IFERROR(INDEX(Settings!$B$5:$B$9,MATCH(B184,Settings!$A$5:$A$9,0)),0)+IFERROR(INDEX(Settings!$E$5:$E$9,MATCH(B184,Settings!$A$5:$A$9,0)),0)+IFERROR(INDEX(Settings!$G$5:$G$9,MATCH(B184,Settings!$A$5:$A$9,0)),0)+N(Products!H184))-D184&lt;=0,"margin too high",(C184+(IFERROR(INDEX(Settings!$C$5:$C$9,MATCH(B184,Settings!$A$5:$A$9,0)),0)+IFERROR(INDEX(Settings!$D$5:$D$9,MATCH(B184,Settings!$A$5:$A$9,0)),0)+IFERROR(INDEX(Settings!$F$5:$F$9,MATCH(B184,Settings!$A$5:$A$9,0)),0)))/(1-(IFERROR(INDEX(Settings!$B$5:$B$9,MATCH(B184,Settings!$A$5:$A$9,0)),0)+IFERROR(INDEX(Settings!$E$5:$E$9,MATCH(B184,Settings!$A$5:$A$9,0)),0)+IFERROR(INDEX(Settings!$G$5:$G$9,MATCH(B184,Settings!$A$5:$A$9,0)),0)+N(Products!H184))-D184)))</f>
        <v/>
      </c>
      <c r="G184" s="11">
        <f>IF(OR(A184="",N(E184)=0),"",E184*(1-(IFERROR(INDEX(Settings!$B$5:$B$9,MATCH(B184,Settings!$A$5:$A$9,0)),0)+IFERROR(INDEX(Settings!$E$5:$E$9,MATCH(B184,Settings!$A$5:$A$9,0)),0)+IFERROR(INDEX(Settings!$G$5:$G$9,MATCH(B184,Settings!$A$5:$A$9,0)),0)+N(Products!H184)))-(IFERROR(INDEX(Settings!$C$5:$C$9,MATCH(B184,Settings!$A$5:$A$9,0)),0)+IFERROR(INDEX(Settings!$D$5:$D$9,MATCH(B184,Settings!$A$5:$A$9,0)),0)+IFERROR(INDEX(Settings!$F$5:$F$9,MATCH(B184,Settings!$A$5:$A$9,0)),0))-C184)</f>
        <v/>
      </c>
      <c r="H184" s="12">
        <f>IF(OR(A184="",N(E184)=0),"",G184/E184)</f>
        <v/>
      </c>
      <c r="I184">
        <f>IF(OR(A184="",N(E184)=0),"",IF(G184&lt;0,"Loses money at this price",IF(E184&lt;F184,"Below target: raise to "&amp;TEXT(F184,"$0.00"),"On target")))</f>
        <v/>
      </c>
    </row>
    <row r="185">
      <c r="A185">
        <f>IF(Products!A185="","",Products!A185)</f>
        <v/>
      </c>
      <c r="B185" s="13" t="inlineStr">
        <is>
          <t>Etsy</t>
        </is>
      </c>
      <c r="C185" s="11">
        <f>IF(A185="","",Products!I185)</f>
        <v/>
      </c>
      <c r="D185" s="14" t="n">
        <v>0.3</v>
      </c>
      <c r="E185" s="15" t="n"/>
      <c r="F185" s="11">
        <f>IF(A185="","",IF(1-(IFERROR(INDEX(Settings!$B$5:$B$9,MATCH(B185,Settings!$A$5:$A$9,0)),0)+IFERROR(INDEX(Settings!$E$5:$E$9,MATCH(B185,Settings!$A$5:$A$9,0)),0)+IFERROR(INDEX(Settings!$G$5:$G$9,MATCH(B185,Settings!$A$5:$A$9,0)),0)+N(Products!H185))-D185&lt;=0,"margin too high",(C185+(IFERROR(INDEX(Settings!$C$5:$C$9,MATCH(B185,Settings!$A$5:$A$9,0)),0)+IFERROR(INDEX(Settings!$D$5:$D$9,MATCH(B185,Settings!$A$5:$A$9,0)),0)+IFERROR(INDEX(Settings!$F$5:$F$9,MATCH(B185,Settings!$A$5:$A$9,0)),0)))/(1-(IFERROR(INDEX(Settings!$B$5:$B$9,MATCH(B185,Settings!$A$5:$A$9,0)),0)+IFERROR(INDEX(Settings!$E$5:$E$9,MATCH(B185,Settings!$A$5:$A$9,0)),0)+IFERROR(INDEX(Settings!$G$5:$G$9,MATCH(B185,Settings!$A$5:$A$9,0)),0)+N(Products!H185))-D185)))</f>
        <v/>
      </c>
      <c r="G185" s="11">
        <f>IF(OR(A185="",N(E185)=0),"",E185*(1-(IFERROR(INDEX(Settings!$B$5:$B$9,MATCH(B185,Settings!$A$5:$A$9,0)),0)+IFERROR(INDEX(Settings!$E$5:$E$9,MATCH(B185,Settings!$A$5:$A$9,0)),0)+IFERROR(INDEX(Settings!$G$5:$G$9,MATCH(B185,Settings!$A$5:$A$9,0)),0)+N(Products!H185)))-(IFERROR(INDEX(Settings!$C$5:$C$9,MATCH(B185,Settings!$A$5:$A$9,0)),0)+IFERROR(INDEX(Settings!$D$5:$D$9,MATCH(B185,Settings!$A$5:$A$9,0)),0)+IFERROR(INDEX(Settings!$F$5:$F$9,MATCH(B185,Settings!$A$5:$A$9,0)),0))-C185)</f>
        <v/>
      </c>
      <c r="H185" s="12">
        <f>IF(OR(A185="",N(E185)=0),"",G185/E185)</f>
        <v/>
      </c>
      <c r="I185">
        <f>IF(OR(A185="",N(E185)=0),"",IF(G185&lt;0,"Loses money at this price",IF(E185&lt;F185,"Below target: raise to "&amp;TEXT(F185,"$0.00"),"On target")))</f>
        <v/>
      </c>
    </row>
    <row r="186">
      <c r="A186">
        <f>IF(Products!A186="","",Products!A186)</f>
        <v/>
      </c>
      <c r="B186" s="13" t="inlineStr">
        <is>
          <t>Etsy</t>
        </is>
      </c>
      <c r="C186" s="11">
        <f>IF(A186="","",Products!I186)</f>
        <v/>
      </c>
      <c r="D186" s="14" t="n">
        <v>0.3</v>
      </c>
      <c r="E186" s="15" t="n"/>
      <c r="F186" s="11">
        <f>IF(A186="","",IF(1-(IFERROR(INDEX(Settings!$B$5:$B$9,MATCH(B186,Settings!$A$5:$A$9,0)),0)+IFERROR(INDEX(Settings!$E$5:$E$9,MATCH(B186,Settings!$A$5:$A$9,0)),0)+IFERROR(INDEX(Settings!$G$5:$G$9,MATCH(B186,Settings!$A$5:$A$9,0)),0)+N(Products!H186))-D186&lt;=0,"margin too high",(C186+(IFERROR(INDEX(Settings!$C$5:$C$9,MATCH(B186,Settings!$A$5:$A$9,0)),0)+IFERROR(INDEX(Settings!$D$5:$D$9,MATCH(B186,Settings!$A$5:$A$9,0)),0)+IFERROR(INDEX(Settings!$F$5:$F$9,MATCH(B186,Settings!$A$5:$A$9,0)),0)))/(1-(IFERROR(INDEX(Settings!$B$5:$B$9,MATCH(B186,Settings!$A$5:$A$9,0)),0)+IFERROR(INDEX(Settings!$E$5:$E$9,MATCH(B186,Settings!$A$5:$A$9,0)),0)+IFERROR(INDEX(Settings!$G$5:$G$9,MATCH(B186,Settings!$A$5:$A$9,0)),0)+N(Products!H186))-D186)))</f>
        <v/>
      </c>
      <c r="G186" s="11">
        <f>IF(OR(A186="",N(E186)=0),"",E186*(1-(IFERROR(INDEX(Settings!$B$5:$B$9,MATCH(B186,Settings!$A$5:$A$9,0)),0)+IFERROR(INDEX(Settings!$E$5:$E$9,MATCH(B186,Settings!$A$5:$A$9,0)),0)+IFERROR(INDEX(Settings!$G$5:$G$9,MATCH(B186,Settings!$A$5:$A$9,0)),0)+N(Products!H186)))-(IFERROR(INDEX(Settings!$C$5:$C$9,MATCH(B186,Settings!$A$5:$A$9,0)),0)+IFERROR(INDEX(Settings!$D$5:$D$9,MATCH(B186,Settings!$A$5:$A$9,0)),0)+IFERROR(INDEX(Settings!$F$5:$F$9,MATCH(B186,Settings!$A$5:$A$9,0)),0))-C186)</f>
        <v/>
      </c>
      <c r="H186" s="12">
        <f>IF(OR(A186="",N(E186)=0),"",G186/E186)</f>
        <v/>
      </c>
      <c r="I186">
        <f>IF(OR(A186="",N(E186)=0),"",IF(G186&lt;0,"Loses money at this price",IF(E186&lt;F186,"Below target: raise to "&amp;TEXT(F186,"$0.00"),"On target")))</f>
        <v/>
      </c>
    </row>
    <row r="187">
      <c r="A187">
        <f>IF(Products!A187="","",Products!A187)</f>
        <v/>
      </c>
      <c r="B187" s="13" t="inlineStr">
        <is>
          <t>Etsy</t>
        </is>
      </c>
      <c r="C187" s="11">
        <f>IF(A187="","",Products!I187)</f>
        <v/>
      </c>
      <c r="D187" s="14" t="n">
        <v>0.3</v>
      </c>
      <c r="E187" s="15" t="n"/>
      <c r="F187" s="11">
        <f>IF(A187="","",IF(1-(IFERROR(INDEX(Settings!$B$5:$B$9,MATCH(B187,Settings!$A$5:$A$9,0)),0)+IFERROR(INDEX(Settings!$E$5:$E$9,MATCH(B187,Settings!$A$5:$A$9,0)),0)+IFERROR(INDEX(Settings!$G$5:$G$9,MATCH(B187,Settings!$A$5:$A$9,0)),0)+N(Products!H187))-D187&lt;=0,"margin too high",(C187+(IFERROR(INDEX(Settings!$C$5:$C$9,MATCH(B187,Settings!$A$5:$A$9,0)),0)+IFERROR(INDEX(Settings!$D$5:$D$9,MATCH(B187,Settings!$A$5:$A$9,0)),0)+IFERROR(INDEX(Settings!$F$5:$F$9,MATCH(B187,Settings!$A$5:$A$9,0)),0)))/(1-(IFERROR(INDEX(Settings!$B$5:$B$9,MATCH(B187,Settings!$A$5:$A$9,0)),0)+IFERROR(INDEX(Settings!$E$5:$E$9,MATCH(B187,Settings!$A$5:$A$9,0)),0)+IFERROR(INDEX(Settings!$G$5:$G$9,MATCH(B187,Settings!$A$5:$A$9,0)),0)+N(Products!H187))-D187)))</f>
        <v/>
      </c>
      <c r="G187" s="11">
        <f>IF(OR(A187="",N(E187)=0),"",E187*(1-(IFERROR(INDEX(Settings!$B$5:$B$9,MATCH(B187,Settings!$A$5:$A$9,0)),0)+IFERROR(INDEX(Settings!$E$5:$E$9,MATCH(B187,Settings!$A$5:$A$9,0)),0)+IFERROR(INDEX(Settings!$G$5:$G$9,MATCH(B187,Settings!$A$5:$A$9,0)),0)+N(Products!H187)))-(IFERROR(INDEX(Settings!$C$5:$C$9,MATCH(B187,Settings!$A$5:$A$9,0)),0)+IFERROR(INDEX(Settings!$D$5:$D$9,MATCH(B187,Settings!$A$5:$A$9,0)),0)+IFERROR(INDEX(Settings!$F$5:$F$9,MATCH(B187,Settings!$A$5:$A$9,0)),0))-C187)</f>
        <v/>
      </c>
      <c r="H187" s="12">
        <f>IF(OR(A187="",N(E187)=0),"",G187/E187)</f>
        <v/>
      </c>
      <c r="I187">
        <f>IF(OR(A187="",N(E187)=0),"",IF(G187&lt;0,"Loses money at this price",IF(E187&lt;F187,"Below target: raise to "&amp;TEXT(F187,"$0.00"),"On target")))</f>
        <v/>
      </c>
    </row>
    <row r="188">
      <c r="A188">
        <f>IF(Products!A188="","",Products!A188)</f>
        <v/>
      </c>
      <c r="B188" s="13" t="inlineStr">
        <is>
          <t>Etsy</t>
        </is>
      </c>
      <c r="C188" s="11">
        <f>IF(A188="","",Products!I188)</f>
        <v/>
      </c>
      <c r="D188" s="14" t="n">
        <v>0.3</v>
      </c>
      <c r="E188" s="15" t="n"/>
      <c r="F188" s="11">
        <f>IF(A188="","",IF(1-(IFERROR(INDEX(Settings!$B$5:$B$9,MATCH(B188,Settings!$A$5:$A$9,0)),0)+IFERROR(INDEX(Settings!$E$5:$E$9,MATCH(B188,Settings!$A$5:$A$9,0)),0)+IFERROR(INDEX(Settings!$G$5:$G$9,MATCH(B188,Settings!$A$5:$A$9,0)),0)+N(Products!H188))-D188&lt;=0,"margin too high",(C188+(IFERROR(INDEX(Settings!$C$5:$C$9,MATCH(B188,Settings!$A$5:$A$9,0)),0)+IFERROR(INDEX(Settings!$D$5:$D$9,MATCH(B188,Settings!$A$5:$A$9,0)),0)+IFERROR(INDEX(Settings!$F$5:$F$9,MATCH(B188,Settings!$A$5:$A$9,0)),0)))/(1-(IFERROR(INDEX(Settings!$B$5:$B$9,MATCH(B188,Settings!$A$5:$A$9,0)),0)+IFERROR(INDEX(Settings!$E$5:$E$9,MATCH(B188,Settings!$A$5:$A$9,0)),0)+IFERROR(INDEX(Settings!$G$5:$G$9,MATCH(B188,Settings!$A$5:$A$9,0)),0)+N(Products!H188))-D188)))</f>
        <v/>
      </c>
      <c r="G188" s="11">
        <f>IF(OR(A188="",N(E188)=0),"",E188*(1-(IFERROR(INDEX(Settings!$B$5:$B$9,MATCH(B188,Settings!$A$5:$A$9,0)),0)+IFERROR(INDEX(Settings!$E$5:$E$9,MATCH(B188,Settings!$A$5:$A$9,0)),0)+IFERROR(INDEX(Settings!$G$5:$G$9,MATCH(B188,Settings!$A$5:$A$9,0)),0)+N(Products!H188)))-(IFERROR(INDEX(Settings!$C$5:$C$9,MATCH(B188,Settings!$A$5:$A$9,0)),0)+IFERROR(INDEX(Settings!$D$5:$D$9,MATCH(B188,Settings!$A$5:$A$9,0)),0)+IFERROR(INDEX(Settings!$F$5:$F$9,MATCH(B188,Settings!$A$5:$A$9,0)),0))-C188)</f>
        <v/>
      </c>
      <c r="H188" s="12">
        <f>IF(OR(A188="",N(E188)=0),"",G188/E188)</f>
        <v/>
      </c>
      <c r="I188">
        <f>IF(OR(A188="",N(E188)=0),"",IF(G188&lt;0,"Loses money at this price",IF(E188&lt;F188,"Below target: raise to "&amp;TEXT(F188,"$0.00"),"On target")))</f>
        <v/>
      </c>
    </row>
    <row r="189">
      <c r="A189">
        <f>IF(Products!A189="","",Products!A189)</f>
        <v/>
      </c>
      <c r="B189" s="13" t="inlineStr">
        <is>
          <t>Etsy</t>
        </is>
      </c>
      <c r="C189" s="11">
        <f>IF(A189="","",Products!I189)</f>
        <v/>
      </c>
      <c r="D189" s="14" t="n">
        <v>0.3</v>
      </c>
      <c r="E189" s="15" t="n"/>
      <c r="F189" s="11">
        <f>IF(A189="","",IF(1-(IFERROR(INDEX(Settings!$B$5:$B$9,MATCH(B189,Settings!$A$5:$A$9,0)),0)+IFERROR(INDEX(Settings!$E$5:$E$9,MATCH(B189,Settings!$A$5:$A$9,0)),0)+IFERROR(INDEX(Settings!$G$5:$G$9,MATCH(B189,Settings!$A$5:$A$9,0)),0)+N(Products!H189))-D189&lt;=0,"margin too high",(C189+(IFERROR(INDEX(Settings!$C$5:$C$9,MATCH(B189,Settings!$A$5:$A$9,0)),0)+IFERROR(INDEX(Settings!$D$5:$D$9,MATCH(B189,Settings!$A$5:$A$9,0)),0)+IFERROR(INDEX(Settings!$F$5:$F$9,MATCH(B189,Settings!$A$5:$A$9,0)),0)))/(1-(IFERROR(INDEX(Settings!$B$5:$B$9,MATCH(B189,Settings!$A$5:$A$9,0)),0)+IFERROR(INDEX(Settings!$E$5:$E$9,MATCH(B189,Settings!$A$5:$A$9,0)),0)+IFERROR(INDEX(Settings!$G$5:$G$9,MATCH(B189,Settings!$A$5:$A$9,0)),0)+N(Products!H189))-D189)))</f>
        <v/>
      </c>
      <c r="G189" s="11">
        <f>IF(OR(A189="",N(E189)=0),"",E189*(1-(IFERROR(INDEX(Settings!$B$5:$B$9,MATCH(B189,Settings!$A$5:$A$9,0)),0)+IFERROR(INDEX(Settings!$E$5:$E$9,MATCH(B189,Settings!$A$5:$A$9,0)),0)+IFERROR(INDEX(Settings!$G$5:$G$9,MATCH(B189,Settings!$A$5:$A$9,0)),0)+N(Products!H189)))-(IFERROR(INDEX(Settings!$C$5:$C$9,MATCH(B189,Settings!$A$5:$A$9,0)),0)+IFERROR(INDEX(Settings!$D$5:$D$9,MATCH(B189,Settings!$A$5:$A$9,0)),0)+IFERROR(INDEX(Settings!$F$5:$F$9,MATCH(B189,Settings!$A$5:$A$9,0)),0))-C189)</f>
        <v/>
      </c>
      <c r="H189" s="12">
        <f>IF(OR(A189="",N(E189)=0),"",G189/E189)</f>
        <v/>
      </c>
      <c r="I189">
        <f>IF(OR(A189="",N(E189)=0),"",IF(G189&lt;0,"Loses money at this price",IF(E189&lt;F189,"Below target: raise to "&amp;TEXT(F189,"$0.00"),"On target")))</f>
        <v/>
      </c>
    </row>
    <row r="190">
      <c r="A190">
        <f>IF(Products!A190="","",Products!A190)</f>
        <v/>
      </c>
      <c r="B190" s="13" t="inlineStr">
        <is>
          <t>Etsy</t>
        </is>
      </c>
      <c r="C190" s="11">
        <f>IF(A190="","",Products!I190)</f>
        <v/>
      </c>
      <c r="D190" s="14" t="n">
        <v>0.3</v>
      </c>
      <c r="E190" s="15" t="n"/>
      <c r="F190" s="11">
        <f>IF(A190="","",IF(1-(IFERROR(INDEX(Settings!$B$5:$B$9,MATCH(B190,Settings!$A$5:$A$9,0)),0)+IFERROR(INDEX(Settings!$E$5:$E$9,MATCH(B190,Settings!$A$5:$A$9,0)),0)+IFERROR(INDEX(Settings!$G$5:$G$9,MATCH(B190,Settings!$A$5:$A$9,0)),0)+N(Products!H190))-D190&lt;=0,"margin too high",(C190+(IFERROR(INDEX(Settings!$C$5:$C$9,MATCH(B190,Settings!$A$5:$A$9,0)),0)+IFERROR(INDEX(Settings!$D$5:$D$9,MATCH(B190,Settings!$A$5:$A$9,0)),0)+IFERROR(INDEX(Settings!$F$5:$F$9,MATCH(B190,Settings!$A$5:$A$9,0)),0)))/(1-(IFERROR(INDEX(Settings!$B$5:$B$9,MATCH(B190,Settings!$A$5:$A$9,0)),0)+IFERROR(INDEX(Settings!$E$5:$E$9,MATCH(B190,Settings!$A$5:$A$9,0)),0)+IFERROR(INDEX(Settings!$G$5:$G$9,MATCH(B190,Settings!$A$5:$A$9,0)),0)+N(Products!H190))-D190)))</f>
        <v/>
      </c>
      <c r="G190" s="11">
        <f>IF(OR(A190="",N(E190)=0),"",E190*(1-(IFERROR(INDEX(Settings!$B$5:$B$9,MATCH(B190,Settings!$A$5:$A$9,0)),0)+IFERROR(INDEX(Settings!$E$5:$E$9,MATCH(B190,Settings!$A$5:$A$9,0)),0)+IFERROR(INDEX(Settings!$G$5:$G$9,MATCH(B190,Settings!$A$5:$A$9,0)),0)+N(Products!H190)))-(IFERROR(INDEX(Settings!$C$5:$C$9,MATCH(B190,Settings!$A$5:$A$9,0)),0)+IFERROR(INDEX(Settings!$D$5:$D$9,MATCH(B190,Settings!$A$5:$A$9,0)),0)+IFERROR(INDEX(Settings!$F$5:$F$9,MATCH(B190,Settings!$A$5:$A$9,0)),0))-C190)</f>
        <v/>
      </c>
      <c r="H190" s="12">
        <f>IF(OR(A190="",N(E190)=0),"",G190/E190)</f>
        <v/>
      </c>
      <c r="I190">
        <f>IF(OR(A190="",N(E190)=0),"",IF(G190&lt;0,"Loses money at this price",IF(E190&lt;F190,"Below target: raise to "&amp;TEXT(F190,"$0.00"),"On target")))</f>
        <v/>
      </c>
    </row>
    <row r="191">
      <c r="A191">
        <f>IF(Products!A191="","",Products!A191)</f>
        <v/>
      </c>
      <c r="B191" s="13" t="inlineStr">
        <is>
          <t>Etsy</t>
        </is>
      </c>
      <c r="C191" s="11">
        <f>IF(A191="","",Products!I191)</f>
        <v/>
      </c>
      <c r="D191" s="14" t="n">
        <v>0.3</v>
      </c>
      <c r="E191" s="15" t="n"/>
      <c r="F191" s="11">
        <f>IF(A191="","",IF(1-(IFERROR(INDEX(Settings!$B$5:$B$9,MATCH(B191,Settings!$A$5:$A$9,0)),0)+IFERROR(INDEX(Settings!$E$5:$E$9,MATCH(B191,Settings!$A$5:$A$9,0)),0)+IFERROR(INDEX(Settings!$G$5:$G$9,MATCH(B191,Settings!$A$5:$A$9,0)),0)+N(Products!H191))-D191&lt;=0,"margin too high",(C191+(IFERROR(INDEX(Settings!$C$5:$C$9,MATCH(B191,Settings!$A$5:$A$9,0)),0)+IFERROR(INDEX(Settings!$D$5:$D$9,MATCH(B191,Settings!$A$5:$A$9,0)),0)+IFERROR(INDEX(Settings!$F$5:$F$9,MATCH(B191,Settings!$A$5:$A$9,0)),0)))/(1-(IFERROR(INDEX(Settings!$B$5:$B$9,MATCH(B191,Settings!$A$5:$A$9,0)),0)+IFERROR(INDEX(Settings!$E$5:$E$9,MATCH(B191,Settings!$A$5:$A$9,0)),0)+IFERROR(INDEX(Settings!$G$5:$G$9,MATCH(B191,Settings!$A$5:$A$9,0)),0)+N(Products!H191))-D191)))</f>
        <v/>
      </c>
      <c r="G191" s="11">
        <f>IF(OR(A191="",N(E191)=0),"",E191*(1-(IFERROR(INDEX(Settings!$B$5:$B$9,MATCH(B191,Settings!$A$5:$A$9,0)),0)+IFERROR(INDEX(Settings!$E$5:$E$9,MATCH(B191,Settings!$A$5:$A$9,0)),0)+IFERROR(INDEX(Settings!$G$5:$G$9,MATCH(B191,Settings!$A$5:$A$9,0)),0)+N(Products!H191)))-(IFERROR(INDEX(Settings!$C$5:$C$9,MATCH(B191,Settings!$A$5:$A$9,0)),0)+IFERROR(INDEX(Settings!$D$5:$D$9,MATCH(B191,Settings!$A$5:$A$9,0)),0)+IFERROR(INDEX(Settings!$F$5:$F$9,MATCH(B191,Settings!$A$5:$A$9,0)),0))-C191)</f>
        <v/>
      </c>
      <c r="H191" s="12">
        <f>IF(OR(A191="",N(E191)=0),"",G191/E191)</f>
        <v/>
      </c>
      <c r="I191">
        <f>IF(OR(A191="",N(E191)=0),"",IF(G191&lt;0,"Loses money at this price",IF(E191&lt;F191,"Below target: raise to "&amp;TEXT(F191,"$0.00"),"On target")))</f>
        <v/>
      </c>
    </row>
    <row r="192">
      <c r="A192">
        <f>IF(Products!A192="","",Products!A192)</f>
        <v/>
      </c>
      <c r="B192" s="13" t="inlineStr">
        <is>
          <t>Etsy</t>
        </is>
      </c>
      <c r="C192" s="11">
        <f>IF(A192="","",Products!I192)</f>
        <v/>
      </c>
      <c r="D192" s="14" t="n">
        <v>0.3</v>
      </c>
      <c r="E192" s="15" t="n"/>
      <c r="F192" s="11">
        <f>IF(A192="","",IF(1-(IFERROR(INDEX(Settings!$B$5:$B$9,MATCH(B192,Settings!$A$5:$A$9,0)),0)+IFERROR(INDEX(Settings!$E$5:$E$9,MATCH(B192,Settings!$A$5:$A$9,0)),0)+IFERROR(INDEX(Settings!$G$5:$G$9,MATCH(B192,Settings!$A$5:$A$9,0)),0)+N(Products!H192))-D192&lt;=0,"margin too high",(C192+(IFERROR(INDEX(Settings!$C$5:$C$9,MATCH(B192,Settings!$A$5:$A$9,0)),0)+IFERROR(INDEX(Settings!$D$5:$D$9,MATCH(B192,Settings!$A$5:$A$9,0)),0)+IFERROR(INDEX(Settings!$F$5:$F$9,MATCH(B192,Settings!$A$5:$A$9,0)),0)))/(1-(IFERROR(INDEX(Settings!$B$5:$B$9,MATCH(B192,Settings!$A$5:$A$9,0)),0)+IFERROR(INDEX(Settings!$E$5:$E$9,MATCH(B192,Settings!$A$5:$A$9,0)),0)+IFERROR(INDEX(Settings!$G$5:$G$9,MATCH(B192,Settings!$A$5:$A$9,0)),0)+N(Products!H192))-D192)))</f>
        <v/>
      </c>
      <c r="G192" s="11">
        <f>IF(OR(A192="",N(E192)=0),"",E192*(1-(IFERROR(INDEX(Settings!$B$5:$B$9,MATCH(B192,Settings!$A$5:$A$9,0)),0)+IFERROR(INDEX(Settings!$E$5:$E$9,MATCH(B192,Settings!$A$5:$A$9,0)),0)+IFERROR(INDEX(Settings!$G$5:$G$9,MATCH(B192,Settings!$A$5:$A$9,0)),0)+N(Products!H192)))-(IFERROR(INDEX(Settings!$C$5:$C$9,MATCH(B192,Settings!$A$5:$A$9,0)),0)+IFERROR(INDEX(Settings!$D$5:$D$9,MATCH(B192,Settings!$A$5:$A$9,0)),0)+IFERROR(INDEX(Settings!$F$5:$F$9,MATCH(B192,Settings!$A$5:$A$9,0)),0))-C192)</f>
        <v/>
      </c>
      <c r="H192" s="12">
        <f>IF(OR(A192="",N(E192)=0),"",G192/E192)</f>
        <v/>
      </c>
      <c r="I192">
        <f>IF(OR(A192="",N(E192)=0),"",IF(G192&lt;0,"Loses money at this price",IF(E192&lt;F192,"Below target: raise to "&amp;TEXT(F192,"$0.00"),"On target")))</f>
        <v/>
      </c>
    </row>
    <row r="193">
      <c r="A193">
        <f>IF(Products!A193="","",Products!A193)</f>
        <v/>
      </c>
      <c r="B193" s="13" t="inlineStr">
        <is>
          <t>Etsy</t>
        </is>
      </c>
      <c r="C193" s="11">
        <f>IF(A193="","",Products!I193)</f>
        <v/>
      </c>
      <c r="D193" s="14" t="n">
        <v>0.3</v>
      </c>
      <c r="E193" s="15" t="n"/>
      <c r="F193" s="11">
        <f>IF(A193="","",IF(1-(IFERROR(INDEX(Settings!$B$5:$B$9,MATCH(B193,Settings!$A$5:$A$9,0)),0)+IFERROR(INDEX(Settings!$E$5:$E$9,MATCH(B193,Settings!$A$5:$A$9,0)),0)+IFERROR(INDEX(Settings!$G$5:$G$9,MATCH(B193,Settings!$A$5:$A$9,0)),0)+N(Products!H193))-D193&lt;=0,"margin too high",(C193+(IFERROR(INDEX(Settings!$C$5:$C$9,MATCH(B193,Settings!$A$5:$A$9,0)),0)+IFERROR(INDEX(Settings!$D$5:$D$9,MATCH(B193,Settings!$A$5:$A$9,0)),0)+IFERROR(INDEX(Settings!$F$5:$F$9,MATCH(B193,Settings!$A$5:$A$9,0)),0)))/(1-(IFERROR(INDEX(Settings!$B$5:$B$9,MATCH(B193,Settings!$A$5:$A$9,0)),0)+IFERROR(INDEX(Settings!$E$5:$E$9,MATCH(B193,Settings!$A$5:$A$9,0)),0)+IFERROR(INDEX(Settings!$G$5:$G$9,MATCH(B193,Settings!$A$5:$A$9,0)),0)+N(Products!H193))-D193)))</f>
        <v/>
      </c>
      <c r="G193" s="11">
        <f>IF(OR(A193="",N(E193)=0),"",E193*(1-(IFERROR(INDEX(Settings!$B$5:$B$9,MATCH(B193,Settings!$A$5:$A$9,0)),0)+IFERROR(INDEX(Settings!$E$5:$E$9,MATCH(B193,Settings!$A$5:$A$9,0)),0)+IFERROR(INDEX(Settings!$G$5:$G$9,MATCH(B193,Settings!$A$5:$A$9,0)),0)+N(Products!H193)))-(IFERROR(INDEX(Settings!$C$5:$C$9,MATCH(B193,Settings!$A$5:$A$9,0)),0)+IFERROR(INDEX(Settings!$D$5:$D$9,MATCH(B193,Settings!$A$5:$A$9,0)),0)+IFERROR(INDEX(Settings!$F$5:$F$9,MATCH(B193,Settings!$A$5:$A$9,0)),0))-C193)</f>
        <v/>
      </c>
      <c r="H193" s="12">
        <f>IF(OR(A193="",N(E193)=0),"",G193/E193)</f>
        <v/>
      </c>
      <c r="I193">
        <f>IF(OR(A193="",N(E193)=0),"",IF(G193&lt;0,"Loses money at this price",IF(E193&lt;F193,"Below target: raise to "&amp;TEXT(F193,"$0.00"),"On target")))</f>
        <v/>
      </c>
    </row>
    <row r="194">
      <c r="A194">
        <f>IF(Products!A194="","",Products!A194)</f>
        <v/>
      </c>
      <c r="B194" s="13" t="inlineStr">
        <is>
          <t>Etsy</t>
        </is>
      </c>
      <c r="C194" s="11">
        <f>IF(A194="","",Products!I194)</f>
        <v/>
      </c>
      <c r="D194" s="14" t="n">
        <v>0.3</v>
      </c>
      <c r="E194" s="15" t="n"/>
      <c r="F194" s="11">
        <f>IF(A194="","",IF(1-(IFERROR(INDEX(Settings!$B$5:$B$9,MATCH(B194,Settings!$A$5:$A$9,0)),0)+IFERROR(INDEX(Settings!$E$5:$E$9,MATCH(B194,Settings!$A$5:$A$9,0)),0)+IFERROR(INDEX(Settings!$G$5:$G$9,MATCH(B194,Settings!$A$5:$A$9,0)),0)+N(Products!H194))-D194&lt;=0,"margin too high",(C194+(IFERROR(INDEX(Settings!$C$5:$C$9,MATCH(B194,Settings!$A$5:$A$9,0)),0)+IFERROR(INDEX(Settings!$D$5:$D$9,MATCH(B194,Settings!$A$5:$A$9,0)),0)+IFERROR(INDEX(Settings!$F$5:$F$9,MATCH(B194,Settings!$A$5:$A$9,0)),0)))/(1-(IFERROR(INDEX(Settings!$B$5:$B$9,MATCH(B194,Settings!$A$5:$A$9,0)),0)+IFERROR(INDEX(Settings!$E$5:$E$9,MATCH(B194,Settings!$A$5:$A$9,0)),0)+IFERROR(INDEX(Settings!$G$5:$G$9,MATCH(B194,Settings!$A$5:$A$9,0)),0)+N(Products!H194))-D194)))</f>
        <v/>
      </c>
      <c r="G194" s="11">
        <f>IF(OR(A194="",N(E194)=0),"",E194*(1-(IFERROR(INDEX(Settings!$B$5:$B$9,MATCH(B194,Settings!$A$5:$A$9,0)),0)+IFERROR(INDEX(Settings!$E$5:$E$9,MATCH(B194,Settings!$A$5:$A$9,0)),0)+IFERROR(INDEX(Settings!$G$5:$G$9,MATCH(B194,Settings!$A$5:$A$9,0)),0)+N(Products!H194)))-(IFERROR(INDEX(Settings!$C$5:$C$9,MATCH(B194,Settings!$A$5:$A$9,0)),0)+IFERROR(INDEX(Settings!$D$5:$D$9,MATCH(B194,Settings!$A$5:$A$9,0)),0)+IFERROR(INDEX(Settings!$F$5:$F$9,MATCH(B194,Settings!$A$5:$A$9,0)),0))-C194)</f>
        <v/>
      </c>
      <c r="H194" s="12">
        <f>IF(OR(A194="",N(E194)=0),"",G194/E194)</f>
        <v/>
      </c>
      <c r="I194">
        <f>IF(OR(A194="",N(E194)=0),"",IF(G194&lt;0,"Loses money at this price",IF(E194&lt;F194,"Below target: raise to "&amp;TEXT(F194,"$0.00"),"On target")))</f>
        <v/>
      </c>
    </row>
    <row r="195">
      <c r="A195">
        <f>IF(Products!A195="","",Products!A195)</f>
        <v/>
      </c>
      <c r="B195" s="13" t="inlineStr">
        <is>
          <t>Etsy</t>
        </is>
      </c>
      <c r="C195" s="11">
        <f>IF(A195="","",Products!I195)</f>
        <v/>
      </c>
      <c r="D195" s="14" t="n">
        <v>0.3</v>
      </c>
      <c r="E195" s="15" t="n"/>
      <c r="F195" s="11">
        <f>IF(A195="","",IF(1-(IFERROR(INDEX(Settings!$B$5:$B$9,MATCH(B195,Settings!$A$5:$A$9,0)),0)+IFERROR(INDEX(Settings!$E$5:$E$9,MATCH(B195,Settings!$A$5:$A$9,0)),0)+IFERROR(INDEX(Settings!$G$5:$G$9,MATCH(B195,Settings!$A$5:$A$9,0)),0)+N(Products!H195))-D195&lt;=0,"margin too high",(C195+(IFERROR(INDEX(Settings!$C$5:$C$9,MATCH(B195,Settings!$A$5:$A$9,0)),0)+IFERROR(INDEX(Settings!$D$5:$D$9,MATCH(B195,Settings!$A$5:$A$9,0)),0)+IFERROR(INDEX(Settings!$F$5:$F$9,MATCH(B195,Settings!$A$5:$A$9,0)),0)))/(1-(IFERROR(INDEX(Settings!$B$5:$B$9,MATCH(B195,Settings!$A$5:$A$9,0)),0)+IFERROR(INDEX(Settings!$E$5:$E$9,MATCH(B195,Settings!$A$5:$A$9,0)),0)+IFERROR(INDEX(Settings!$G$5:$G$9,MATCH(B195,Settings!$A$5:$A$9,0)),0)+N(Products!H195))-D195)))</f>
        <v/>
      </c>
      <c r="G195" s="11">
        <f>IF(OR(A195="",N(E195)=0),"",E195*(1-(IFERROR(INDEX(Settings!$B$5:$B$9,MATCH(B195,Settings!$A$5:$A$9,0)),0)+IFERROR(INDEX(Settings!$E$5:$E$9,MATCH(B195,Settings!$A$5:$A$9,0)),0)+IFERROR(INDEX(Settings!$G$5:$G$9,MATCH(B195,Settings!$A$5:$A$9,0)),0)+N(Products!H195)))-(IFERROR(INDEX(Settings!$C$5:$C$9,MATCH(B195,Settings!$A$5:$A$9,0)),0)+IFERROR(INDEX(Settings!$D$5:$D$9,MATCH(B195,Settings!$A$5:$A$9,0)),0)+IFERROR(INDEX(Settings!$F$5:$F$9,MATCH(B195,Settings!$A$5:$A$9,0)),0))-C195)</f>
        <v/>
      </c>
      <c r="H195" s="12">
        <f>IF(OR(A195="",N(E195)=0),"",G195/E195)</f>
        <v/>
      </c>
      <c r="I195">
        <f>IF(OR(A195="",N(E195)=0),"",IF(G195&lt;0,"Loses money at this price",IF(E195&lt;F195,"Below target: raise to "&amp;TEXT(F195,"$0.00"),"On target")))</f>
        <v/>
      </c>
    </row>
    <row r="196">
      <c r="A196">
        <f>IF(Products!A196="","",Products!A196)</f>
        <v/>
      </c>
      <c r="B196" s="13" t="inlineStr">
        <is>
          <t>Etsy</t>
        </is>
      </c>
      <c r="C196" s="11">
        <f>IF(A196="","",Products!I196)</f>
        <v/>
      </c>
      <c r="D196" s="14" t="n">
        <v>0.3</v>
      </c>
      <c r="E196" s="15" t="n"/>
      <c r="F196" s="11">
        <f>IF(A196="","",IF(1-(IFERROR(INDEX(Settings!$B$5:$B$9,MATCH(B196,Settings!$A$5:$A$9,0)),0)+IFERROR(INDEX(Settings!$E$5:$E$9,MATCH(B196,Settings!$A$5:$A$9,0)),0)+IFERROR(INDEX(Settings!$G$5:$G$9,MATCH(B196,Settings!$A$5:$A$9,0)),0)+N(Products!H196))-D196&lt;=0,"margin too high",(C196+(IFERROR(INDEX(Settings!$C$5:$C$9,MATCH(B196,Settings!$A$5:$A$9,0)),0)+IFERROR(INDEX(Settings!$D$5:$D$9,MATCH(B196,Settings!$A$5:$A$9,0)),0)+IFERROR(INDEX(Settings!$F$5:$F$9,MATCH(B196,Settings!$A$5:$A$9,0)),0)))/(1-(IFERROR(INDEX(Settings!$B$5:$B$9,MATCH(B196,Settings!$A$5:$A$9,0)),0)+IFERROR(INDEX(Settings!$E$5:$E$9,MATCH(B196,Settings!$A$5:$A$9,0)),0)+IFERROR(INDEX(Settings!$G$5:$G$9,MATCH(B196,Settings!$A$5:$A$9,0)),0)+N(Products!H196))-D196)))</f>
        <v/>
      </c>
      <c r="G196" s="11">
        <f>IF(OR(A196="",N(E196)=0),"",E196*(1-(IFERROR(INDEX(Settings!$B$5:$B$9,MATCH(B196,Settings!$A$5:$A$9,0)),0)+IFERROR(INDEX(Settings!$E$5:$E$9,MATCH(B196,Settings!$A$5:$A$9,0)),0)+IFERROR(INDEX(Settings!$G$5:$G$9,MATCH(B196,Settings!$A$5:$A$9,0)),0)+N(Products!H196)))-(IFERROR(INDEX(Settings!$C$5:$C$9,MATCH(B196,Settings!$A$5:$A$9,0)),0)+IFERROR(INDEX(Settings!$D$5:$D$9,MATCH(B196,Settings!$A$5:$A$9,0)),0)+IFERROR(INDEX(Settings!$F$5:$F$9,MATCH(B196,Settings!$A$5:$A$9,0)),0))-C196)</f>
        <v/>
      </c>
      <c r="H196" s="12">
        <f>IF(OR(A196="",N(E196)=0),"",G196/E196)</f>
        <v/>
      </c>
      <c r="I196">
        <f>IF(OR(A196="",N(E196)=0),"",IF(G196&lt;0,"Loses money at this price",IF(E196&lt;F196,"Below target: raise to "&amp;TEXT(F196,"$0.00"),"On target")))</f>
        <v/>
      </c>
    </row>
    <row r="197">
      <c r="A197">
        <f>IF(Products!A197="","",Products!A197)</f>
        <v/>
      </c>
      <c r="B197" s="13" t="inlineStr">
        <is>
          <t>Etsy</t>
        </is>
      </c>
      <c r="C197" s="11">
        <f>IF(A197="","",Products!I197)</f>
        <v/>
      </c>
      <c r="D197" s="14" t="n">
        <v>0.3</v>
      </c>
      <c r="E197" s="15" t="n"/>
      <c r="F197" s="11">
        <f>IF(A197="","",IF(1-(IFERROR(INDEX(Settings!$B$5:$B$9,MATCH(B197,Settings!$A$5:$A$9,0)),0)+IFERROR(INDEX(Settings!$E$5:$E$9,MATCH(B197,Settings!$A$5:$A$9,0)),0)+IFERROR(INDEX(Settings!$G$5:$G$9,MATCH(B197,Settings!$A$5:$A$9,0)),0)+N(Products!H197))-D197&lt;=0,"margin too high",(C197+(IFERROR(INDEX(Settings!$C$5:$C$9,MATCH(B197,Settings!$A$5:$A$9,0)),0)+IFERROR(INDEX(Settings!$D$5:$D$9,MATCH(B197,Settings!$A$5:$A$9,0)),0)+IFERROR(INDEX(Settings!$F$5:$F$9,MATCH(B197,Settings!$A$5:$A$9,0)),0)))/(1-(IFERROR(INDEX(Settings!$B$5:$B$9,MATCH(B197,Settings!$A$5:$A$9,0)),0)+IFERROR(INDEX(Settings!$E$5:$E$9,MATCH(B197,Settings!$A$5:$A$9,0)),0)+IFERROR(INDEX(Settings!$G$5:$G$9,MATCH(B197,Settings!$A$5:$A$9,0)),0)+N(Products!H197))-D197)))</f>
        <v/>
      </c>
      <c r="G197" s="11">
        <f>IF(OR(A197="",N(E197)=0),"",E197*(1-(IFERROR(INDEX(Settings!$B$5:$B$9,MATCH(B197,Settings!$A$5:$A$9,0)),0)+IFERROR(INDEX(Settings!$E$5:$E$9,MATCH(B197,Settings!$A$5:$A$9,0)),0)+IFERROR(INDEX(Settings!$G$5:$G$9,MATCH(B197,Settings!$A$5:$A$9,0)),0)+N(Products!H197)))-(IFERROR(INDEX(Settings!$C$5:$C$9,MATCH(B197,Settings!$A$5:$A$9,0)),0)+IFERROR(INDEX(Settings!$D$5:$D$9,MATCH(B197,Settings!$A$5:$A$9,0)),0)+IFERROR(INDEX(Settings!$F$5:$F$9,MATCH(B197,Settings!$A$5:$A$9,0)),0))-C197)</f>
        <v/>
      </c>
      <c r="H197" s="12">
        <f>IF(OR(A197="",N(E197)=0),"",G197/E197)</f>
        <v/>
      </c>
      <c r="I197">
        <f>IF(OR(A197="",N(E197)=0),"",IF(G197&lt;0,"Loses money at this price",IF(E197&lt;F197,"Below target: raise to "&amp;TEXT(F197,"$0.00"),"On target")))</f>
        <v/>
      </c>
    </row>
    <row r="198">
      <c r="A198">
        <f>IF(Products!A198="","",Products!A198)</f>
        <v/>
      </c>
      <c r="B198" s="13" t="inlineStr">
        <is>
          <t>Etsy</t>
        </is>
      </c>
      <c r="C198" s="11">
        <f>IF(A198="","",Products!I198)</f>
        <v/>
      </c>
      <c r="D198" s="14" t="n">
        <v>0.3</v>
      </c>
      <c r="E198" s="15" t="n"/>
      <c r="F198" s="11">
        <f>IF(A198="","",IF(1-(IFERROR(INDEX(Settings!$B$5:$B$9,MATCH(B198,Settings!$A$5:$A$9,0)),0)+IFERROR(INDEX(Settings!$E$5:$E$9,MATCH(B198,Settings!$A$5:$A$9,0)),0)+IFERROR(INDEX(Settings!$G$5:$G$9,MATCH(B198,Settings!$A$5:$A$9,0)),0)+N(Products!H198))-D198&lt;=0,"margin too high",(C198+(IFERROR(INDEX(Settings!$C$5:$C$9,MATCH(B198,Settings!$A$5:$A$9,0)),0)+IFERROR(INDEX(Settings!$D$5:$D$9,MATCH(B198,Settings!$A$5:$A$9,0)),0)+IFERROR(INDEX(Settings!$F$5:$F$9,MATCH(B198,Settings!$A$5:$A$9,0)),0)))/(1-(IFERROR(INDEX(Settings!$B$5:$B$9,MATCH(B198,Settings!$A$5:$A$9,0)),0)+IFERROR(INDEX(Settings!$E$5:$E$9,MATCH(B198,Settings!$A$5:$A$9,0)),0)+IFERROR(INDEX(Settings!$G$5:$G$9,MATCH(B198,Settings!$A$5:$A$9,0)),0)+N(Products!H198))-D198)))</f>
        <v/>
      </c>
      <c r="G198" s="11">
        <f>IF(OR(A198="",N(E198)=0),"",E198*(1-(IFERROR(INDEX(Settings!$B$5:$B$9,MATCH(B198,Settings!$A$5:$A$9,0)),0)+IFERROR(INDEX(Settings!$E$5:$E$9,MATCH(B198,Settings!$A$5:$A$9,0)),0)+IFERROR(INDEX(Settings!$G$5:$G$9,MATCH(B198,Settings!$A$5:$A$9,0)),0)+N(Products!H198)))-(IFERROR(INDEX(Settings!$C$5:$C$9,MATCH(B198,Settings!$A$5:$A$9,0)),0)+IFERROR(INDEX(Settings!$D$5:$D$9,MATCH(B198,Settings!$A$5:$A$9,0)),0)+IFERROR(INDEX(Settings!$F$5:$F$9,MATCH(B198,Settings!$A$5:$A$9,0)),0))-C198)</f>
        <v/>
      </c>
      <c r="H198" s="12">
        <f>IF(OR(A198="",N(E198)=0),"",G198/E198)</f>
        <v/>
      </c>
      <c r="I198">
        <f>IF(OR(A198="",N(E198)=0),"",IF(G198&lt;0,"Loses money at this price",IF(E198&lt;F198,"Below target: raise to "&amp;TEXT(F198,"$0.00"),"On target")))</f>
        <v/>
      </c>
    </row>
    <row r="199">
      <c r="A199">
        <f>IF(Products!A199="","",Products!A199)</f>
        <v/>
      </c>
      <c r="B199" s="13" t="inlineStr">
        <is>
          <t>Etsy</t>
        </is>
      </c>
      <c r="C199" s="11">
        <f>IF(A199="","",Products!I199)</f>
        <v/>
      </c>
      <c r="D199" s="14" t="n">
        <v>0.3</v>
      </c>
      <c r="E199" s="15" t="n"/>
      <c r="F199" s="11">
        <f>IF(A199="","",IF(1-(IFERROR(INDEX(Settings!$B$5:$B$9,MATCH(B199,Settings!$A$5:$A$9,0)),0)+IFERROR(INDEX(Settings!$E$5:$E$9,MATCH(B199,Settings!$A$5:$A$9,0)),0)+IFERROR(INDEX(Settings!$G$5:$G$9,MATCH(B199,Settings!$A$5:$A$9,0)),0)+N(Products!H199))-D199&lt;=0,"margin too high",(C199+(IFERROR(INDEX(Settings!$C$5:$C$9,MATCH(B199,Settings!$A$5:$A$9,0)),0)+IFERROR(INDEX(Settings!$D$5:$D$9,MATCH(B199,Settings!$A$5:$A$9,0)),0)+IFERROR(INDEX(Settings!$F$5:$F$9,MATCH(B199,Settings!$A$5:$A$9,0)),0)))/(1-(IFERROR(INDEX(Settings!$B$5:$B$9,MATCH(B199,Settings!$A$5:$A$9,0)),0)+IFERROR(INDEX(Settings!$E$5:$E$9,MATCH(B199,Settings!$A$5:$A$9,0)),0)+IFERROR(INDEX(Settings!$G$5:$G$9,MATCH(B199,Settings!$A$5:$A$9,0)),0)+N(Products!H199))-D199)))</f>
        <v/>
      </c>
      <c r="G199" s="11">
        <f>IF(OR(A199="",N(E199)=0),"",E199*(1-(IFERROR(INDEX(Settings!$B$5:$B$9,MATCH(B199,Settings!$A$5:$A$9,0)),0)+IFERROR(INDEX(Settings!$E$5:$E$9,MATCH(B199,Settings!$A$5:$A$9,0)),0)+IFERROR(INDEX(Settings!$G$5:$G$9,MATCH(B199,Settings!$A$5:$A$9,0)),0)+N(Products!H199)))-(IFERROR(INDEX(Settings!$C$5:$C$9,MATCH(B199,Settings!$A$5:$A$9,0)),0)+IFERROR(INDEX(Settings!$D$5:$D$9,MATCH(B199,Settings!$A$5:$A$9,0)),0)+IFERROR(INDEX(Settings!$F$5:$F$9,MATCH(B199,Settings!$A$5:$A$9,0)),0))-C199)</f>
        <v/>
      </c>
      <c r="H199" s="12">
        <f>IF(OR(A199="",N(E199)=0),"",G199/E199)</f>
        <v/>
      </c>
      <c r="I199">
        <f>IF(OR(A199="",N(E199)=0),"",IF(G199&lt;0,"Loses money at this price",IF(E199&lt;F199,"Below target: raise to "&amp;TEXT(F199,"$0.00"),"On target")))</f>
        <v/>
      </c>
    </row>
    <row r="200">
      <c r="A200">
        <f>IF(Products!A200="","",Products!A200)</f>
        <v/>
      </c>
      <c r="B200" s="13" t="inlineStr">
        <is>
          <t>Etsy</t>
        </is>
      </c>
      <c r="C200" s="11">
        <f>IF(A200="","",Products!I200)</f>
        <v/>
      </c>
      <c r="D200" s="14" t="n">
        <v>0.3</v>
      </c>
      <c r="E200" s="15" t="n"/>
      <c r="F200" s="11">
        <f>IF(A200="","",IF(1-(IFERROR(INDEX(Settings!$B$5:$B$9,MATCH(B200,Settings!$A$5:$A$9,0)),0)+IFERROR(INDEX(Settings!$E$5:$E$9,MATCH(B200,Settings!$A$5:$A$9,0)),0)+IFERROR(INDEX(Settings!$G$5:$G$9,MATCH(B200,Settings!$A$5:$A$9,0)),0)+N(Products!H200))-D200&lt;=0,"margin too high",(C200+(IFERROR(INDEX(Settings!$C$5:$C$9,MATCH(B200,Settings!$A$5:$A$9,0)),0)+IFERROR(INDEX(Settings!$D$5:$D$9,MATCH(B200,Settings!$A$5:$A$9,0)),0)+IFERROR(INDEX(Settings!$F$5:$F$9,MATCH(B200,Settings!$A$5:$A$9,0)),0)))/(1-(IFERROR(INDEX(Settings!$B$5:$B$9,MATCH(B200,Settings!$A$5:$A$9,0)),0)+IFERROR(INDEX(Settings!$E$5:$E$9,MATCH(B200,Settings!$A$5:$A$9,0)),0)+IFERROR(INDEX(Settings!$G$5:$G$9,MATCH(B200,Settings!$A$5:$A$9,0)),0)+N(Products!H200))-D200)))</f>
        <v/>
      </c>
      <c r="G200" s="11">
        <f>IF(OR(A200="",N(E200)=0),"",E200*(1-(IFERROR(INDEX(Settings!$B$5:$B$9,MATCH(B200,Settings!$A$5:$A$9,0)),0)+IFERROR(INDEX(Settings!$E$5:$E$9,MATCH(B200,Settings!$A$5:$A$9,0)),0)+IFERROR(INDEX(Settings!$G$5:$G$9,MATCH(B200,Settings!$A$5:$A$9,0)),0)+N(Products!H200)))-(IFERROR(INDEX(Settings!$C$5:$C$9,MATCH(B200,Settings!$A$5:$A$9,0)),0)+IFERROR(INDEX(Settings!$D$5:$D$9,MATCH(B200,Settings!$A$5:$A$9,0)),0)+IFERROR(INDEX(Settings!$F$5:$F$9,MATCH(B200,Settings!$A$5:$A$9,0)),0))-C200)</f>
        <v/>
      </c>
      <c r="H200" s="12">
        <f>IF(OR(A200="",N(E200)=0),"",G200/E200)</f>
        <v/>
      </c>
      <c r="I200">
        <f>IF(OR(A200="",N(E200)=0),"",IF(G200&lt;0,"Loses money at this price",IF(E200&lt;F200,"Below target: raise to "&amp;TEXT(F200,"$0.00"),"On target")))</f>
        <v/>
      </c>
    </row>
    <row r="201">
      <c r="A201">
        <f>IF(Products!A201="","",Products!A201)</f>
        <v/>
      </c>
      <c r="B201" s="13" t="inlineStr">
        <is>
          <t>Etsy</t>
        </is>
      </c>
      <c r="C201" s="11">
        <f>IF(A201="","",Products!I201)</f>
        <v/>
      </c>
      <c r="D201" s="14" t="n">
        <v>0.3</v>
      </c>
      <c r="E201" s="15" t="n"/>
      <c r="F201" s="11">
        <f>IF(A201="","",IF(1-(IFERROR(INDEX(Settings!$B$5:$B$9,MATCH(B201,Settings!$A$5:$A$9,0)),0)+IFERROR(INDEX(Settings!$E$5:$E$9,MATCH(B201,Settings!$A$5:$A$9,0)),0)+IFERROR(INDEX(Settings!$G$5:$G$9,MATCH(B201,Settings!$A$5:$A$9,0)),0)+N(Products!H201))-D201&lt;=0,"margin too high",(C201+(IFERROR(INDEX(Settings!$C$5:$C$9,MATCH(B201,Settings!$A$5:$A$9,0)),0)+IFERROR(INDEX(Settings!$D$5:$D$9,MATCH(B201,Settings!$A$5:$A$9,0)),0)+IFERROR(INDEX(Settings!$F$5:$F$9,MATCH(B201,Settings!$A$5:$A$9,0)),0)))/(1-(IFERROR(INDEX(Settings!$B$5:$B$9,MATCH(B201,Settings!$A$5:$A$9,0)),0)+IFERROR(INDEX(Settings!$E$5:$E$9,MATCH(B201,Settings!$A$5:$A$9,0)),0)+IFERROR(INDEX(Settings!$G$5:$G$9,MATCH(B201,Settings!$A$5:$A$9,0)),0)+N(Products!H201))-D201)))</f>
        <v/>
      </c>
      <c r="G201" s="11">
        <f>IF(OR(A201="",N(E201)=0),"",E201*(1-(IFERROR(INDEX(Settings!$B$5:$B$9,MATCH(B201,Settings!$A$5:$A$9,0)),0)+IFERROR(INDEX(Settings!$E$5:$E$9,MATCH(B201,Settings!$A$5:$A$9,0)),0)+IFERROR(INDEX(Settings!$G$5:$G$9,MATCH(B201,Settings!$A$5:$A$9,0)),0)+N(Products!H201)))-(IFERROR(INDEX(Settings!$C$5:$C$9,MATCH(B201,Settings!$A$5:$A$9,0)),0)+IFERROR(INDEX(Settings!$D$5:$D$9,MATCH(B201,Settings!$A$5:$A$9,0)),0)+IFERROR(INDEX(Settings!$F$5:$F$9,MATCH(B201,Settings!$A$5:$A$9,0)),0))-C201)</f>
        <v/>
      </c>
      <c r="H201" s="12">
        <f>IF(OR(A201="",N(E201)=0),"",G201/E201)</f>
        <v/>
      </c>
      <c r="I201">
        <f>IF(OR(A201="",N(E201)=0),"",IF(G201&lt;0,"Loses money at this price",IF(E201&lt;F201,"Below target: raise to "&amp;TEXT(F201,"$0.00"),"On target")))</f>
        <v/>
      </c>
    </row>
    <row r="202">
      <c r="A202">
        <f>IF(Products!A202="","",Products!A202)</f>
        <v/>
      </c>
      <c r="B202" s="13" t="inlineStr">
        <is>
          <t>Etsy</t>
        </is>
      </c>
      <c r="C202" s="11">
        <f>IF(A202="","",Products!I202)</f>
        <v/>
      </c>
      <c r="D202" s="14" t="n">
        <v>0.3</v>
      </c>
      <c r="E202" s="15" t="n"/>
      <c r="F202" s="11">
        <f>IF(A202="","",IF(1-(IFERROR(INDEX(Settings!$B$5:$B$9,MATCH(B202,Settings!$A$5:$A$9,0)),0)+IFERROR(INDEX(Settings!$E$5:$E$9,MATCH(B202,Settings!$A$5:$A$9,0)),0)+IFERROR(INDEX(Settings!$G$5:$G$9,MATCH(B202,Settings!$A$5:$A$9,0)),0)+N(Products!H202))-D202&lt;=0,"margin too high",(C202+(IFERROR(INDEX(Settings!$C$5:$C$9,MATCH(B202,Settings!$A$5:$A$9,0)),0)+IFERROR(INDEX(Settings!$D$5:$D$9,MATCH(B202,Settings!$A$5:$A$9,0)),0)+IFERROR(INDEX(Settings!$F$5:$F$9,MATCH(B202,Settings!$A$5:$A$9,0)),0)))/(1-(IFERROR(INDEX(Settings!$B$5:$B$9,MATCH(B202,Settings!$A$5:$A$9,0)),0)+IFERROR(INDEX(Settings!$E$5:$E$9,MATCH(B202,Settings!$A$5:$A$9,0)),0)+IFERROR(INDEX(Settings!$G$5:$G$9,MATCH(B202,Settings!$A$5:$A$9,0)),0)+N(Products!H202))-D202)))</f>
        <v/>
      </c>
      <c r="G202" s="11">
        <f>IF(OR(A202="",N(E202)=0),"",E202*(1-(IFERROR(INDEX(Settings!$B$5:$B$9,MATCH(B202,Settings!$A$5:$A$9,0)),0)+IFERROR(INDEX(Settings!$E$5:$E$9,MATCH(B202,Settings!$A$5:$A$9,0)),0)+IFERROR(INDEX(Settings!$G$5:$G$9,MATCH(B202,Settings!$A$5:$A$9,0)),0)+N(Products!H202)))-(IFERROR(INDEX(Settings!$C$5:$C$9,MATCH(B202,Settings!$A$5:$A$9,0)),0)+IFERROR(INDEX(Settings!$D$5:$D$9,MATCH(B202,Settings!$A$5:$A$9,0)),0)+IFERROR(INDEX(Settings!$F$5:$F$9,MATCH(B202,Settings!$A$5:$A$9,0)),0))-C202)</f>
        <v/>
      </c>
      <c r="H202" s="12">
        <f>IF(OR(A202="",N(E202)=0),"",G202/E202)</f>
        <v/>
      </c>
      <c r="I202">
        <f>IF(OR(A202="",N(E202)=0),"",IF(G202&lt;0,"Loses money at this price",IF(E202&lt;F202,"Below target: raise to "&amp;TEXT(F202,"$0.00"),"On target")))</f>
        <v/>
      </c>
    </row>
    <row r="203">
      <c r="A203">
        <f>IF(Products!A203="","",Products!A203)</f>
        <v/>
      </c>
      <c r="B203" s="13" t="inlineStr">
        <is>
          <t>Etsy</t>
        </is>
      </c>
      <c r="C203" s="11">
        <f>IF(A203="","",Products!I203)</f>
        <v/>
      </c>
      <c r="D203" s="14" t="n">
        <v>0.3</v>
      </c>
      <c r="E203" s="15" t="n"/>
      <c r="F203" s="11">
        <f>IF(A203="","",IF(1-(IFERROR(INDEX(Settings!$B$5:$B$9,MATCH(B203,Settings!$A$5:$A$9,0)),0)+IFERROR(INDEX(Settings!$E$5:$E$9,MATCH(B203,Settings!$A$5:$A$9,0)),0)+IFERROR(INDEX(Settings!$G$5:$G$9,MATCH(B203,Settings!$A$5:$A$9,0)),0)+N(Products!H203))-D203&lt;=0,"margin too high",(C203+(IFERROR(INDEX(Settings!$C$5:$C$9,MATCH(B203,Settings!$A$5:$A$9,0)),0)+IFERROR(INDEX(Settings!$D$5:$D$9,MATCH(B203,Settings!$A$5:$A$9,0)),0)+IFERROR(INDEX(Settings!$F$5:$F$9,MATCH(B203,Settings!$A$5:$A$9,0)),0)))/(1-(IFERROR(INDEX(Settings!$B$5:$B$9,MATCH(B203,Settings!$A$5:$A$9,0)),0)+IFERROR(INDEX(Settings!$E$5:$E$9,MATCH(B203,Settings!$A$5:$A$9,0)),0)+IFERROR(INDEX(Settings!$G$5:$G$9,MATCH(B203,Settings!$A$5:$A$9,0)),0)+N(Products!H203))-D203)))</f>
        <v/>
      </c>
      <c r="G203" s="11">
        <f>IF(OR(A203="",N(E203)=0),"",E203*(1-(IFERROR(INDEX(Settings!$B$5:$B$9,MATCH(B203,Settings!$A$5:$A$9,0)),0)+IFERROR(INDEX(Settings!$E$5:$E$9,MATCH(B203,Settings!$A$5:$A$9,0)),0)+IFERROR(INDEX(Settings!$G$5:$G$9,MATCH(B203,Settings!$A$5:$A$9,0)),0)+N(Products!H203)))-(IFERROR(INDEX(Settings!$C$5:$C$9,MATCH(B203,Settings!$A$5:$A$9,0)),0)+IFERROR(INDEX(Settings!$D$5:$D$9,MATCH(B203,Settings!$A$5:$A$9,0)),0)+IFERROR(INDEX(Settings!$F$5:$F$9,MATCH(B203,Settings!$A$5:$A$9,0)),0))-C203)</f>
        <v/>
      </c>
      <c r="H203" s="12">
        <f>IF(OR(A203="",N(E203)=0),"",G203/E203)</f>
        <v/>
      </c>
      <c r="I203">
        <f>IF(OR(A203="",N(E203)=0),"",IF(G203&lt;0,"Loses money at this price",IF(E203&lt;F203,"Below target: raise to "&amp;TEXT(F203,"$0.00"),"On target")))</f>
        <v/>
      </c>
    </row>
    <row r="204">
      <c r="A204">
        <f>IF(Products!A204="","",Products!A204)</f>
        <v/>
      </c>
      <c r="B204" s="13" t="inlineStr">
        <is>
          <t>Etsy</t>
        </is>
      </c>
      <c r="C204" s="11">
        <f>IF(A204="","",Products!I204)</f>
        <v/>
      </c>
      <c r="D204" s="14" t="n">
        <v>0.3</v>
      </c>
      <c r="E204" s="15" t="n"/>
      <c r="F204" s="11">
        <f>IF(A204="","",IF(1-(IFERROR(INDEX(Settings!$B$5:$B$9,MATCH(B204,Settings!$A$5:$A$9,0)),0)+IFERROR(INDEX(Settings!$E$5:$E$9,MATCH(B204,Settings!$A$5:$A$9,0)),0)+IFERROR(INDEX(Settings!$G$5:$G$9,MATCH(B204,Settings!$A$5:$A$9,0)),0)+N(Products!H204))-D204&lt;=0,"margin too high",(C204+(IFERROR(INDEX(Settings!$C$5:$C$9,MATCH(B204,Settings!$A$5:$A$9,0)),0)+IFERROR(INDEX(Settings!$D$5:$D$9,MATCH(B204,Settings!$A$5:$A$9,0)),0)+IFERROR(INDEX(Settings!$F$5:$F$9,MATCH(B204,Settings!$A$5:$A$9,0)),0)))/(1-(IFERROR(INDEX(Settings!$B$5:$B$9,MATCH(B204,Settings!$A$5:$A$9,0)),0)+IFERROR(INDEX(Settings!$E$5:$E$9,MATCH(B204,Settings!$A$5:$A$9,0)),0)+IFERROR(INDEX(Settings!$G$5:$G$9,MATCH(B204,Settings!$A$5:$A$9,0)),0)+N(Products!H204))-D204)))</f>
        <v/>
      </c>
      <c r="G204" s="11">
        <f>IF(OR(A204="",N(E204)=0),"",E204*(1-(IFERROR(INDEX(Settings!$B$5:$B$9,MATCH(B204,Settings!$A$5:$A$9,0)),0)+IFERROR(INDEX(Settings!$E$5:$E$9,MATCH(B204,Settings!$A$5:$A$9,0)),0)+IFERROR(INDEX(Settings!$G$5:$G$9,MATCH(B204,Settings!$A$5:$A$9,0)),0)+N(Products!H204)))-(IFERROR(INDEX(Settings!$C$5:$C$9,MATCH(B204,Settings!$A$5:$A$9,0)),0)+IFERROR(INDEX(Settings!$D$5:$D$9,MATCH(B204,Settings!$A$5:$A$9,0)),0)+IFERROR(INDEX(Settings!$F$5:$F$9,MATCH(B204,Settings!$A$5:$A$9,0)),0))-C204)</f>
        <v/>
      </c>
      <c r="H204" s="12">
        <f>IF(OR(A204="",N(E204)=0),"",G204/E204)</f>
        <v/>
      </c>
      <c r="I204">
        <f>IF(OR(A204="",N(E204)=0),"",IF(G204&lt;0,"Loses money at this price",IF(E204&lt;F204,"Below target: raise to "&amp;TEXT(F204,"$0.00"),"On target")))</f>
        <v/>
      </c>
    </row>
  </sheetData>
  <dataValidations count="1">
    <dataValidation sqref="B5:B204" showDropDown="0" showInputMessage="0" showErrorMessage="0" allowBlank="1" type="list">
      <formula1>=Settings!$A$5:$A$9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5" t="inlineStr">
        <is>
          <t>Settings</t>
        </is>
      </c>
    </row>
    <row r="3">
      <c r="A3" s="7" t="inlineStr">
        <is>
          <t>Platform fees</t>
        </is>
      </c>
    </row>
    <row r="4" ht="32" customHeight="1">
      <c r="A4" s="10" t="inlineStr">
        <is>
          <t>Platform</t>
        </is>
      </c>
      <c r="B4" s="10" t="inlineStr">
        <is>
          <t>Sale fee %
(of item + shipping)</t>
        </is>
      </c>
      <c r="C4" s="10" t="inlineStr">
        <is>
          <t>Fixed fee
per order</t>
        </is>
      </c>
      <c r="D4" s="10" t="inlineStr">
        <is>
          <t>Fixed fee
per unit</t>
        </is>
      </c>
      <c r="E4" s="10" t="inlineStr">
        <is>
          <t>Payment %</t>
        </is>
      </c>
      <c r="F4" s="10" t="inlineStr">
        <is>
          <t>Payment fixed
per order</t>
        </is>
      </c>
      <c r="G4" s="10" t="inlineStr">
        <is>
          <t>Ads fee %
(e.g. offsite ads)</t>
        </is>
      </c>
      <c r="H4" s="10" t="inlineStr">
        <is>
          <t>Notes</t>
        </is>
      </c>
    </row>
    <row r="5">
      <c r="A5" t="inlineStr">
        <is>
          <t>Etsy</t>
        </is>
      </c>
      <c r="B5" s="14" t="n">
        <v>0.065</v>
      </c>
      <c r="C5" s="15" t="n">
        <v>0</v>
      </c>
      <c r="D5" s="15" t="n">
        <v>0.2</v>
      </c>
      <c r="E5" s="14" t="n">
        <v>0.03</v>
      </c>
      <c r="F5" s="15" t="n">
        <v>0.25</v>
      </c>
      <c r="G5" s="14" t="n">
        <v>0</v>
      </c>
      <c r="H5" s="3" t="inlineStr">
        <is>
          <t>6.5% transaction, $0.20 listing renewal per unit sold, 3% + $0.25 payment (US). Offsite ads: 15% or 12% if you get them.</t>
        </is>
      </c>
    </row>
    <row r="6">
      <c r="A6" t="inlineStr">
        <is>
          <t>Shopify</t>
        </is>
      </c>
      <c r="B6" s="14" t="n">
        <v>0</v>
      </c>
      <c r="C6" s="15" t="n">
        <v>0</v>
      </c>
      <c r="D6" s="15" t="n">
        <v>0</v>
      </c>
      <c r="E6" s="14" t="n">
        <v>0.029</v>
      </c>
      <c r="F6" s="15" t="n">
        <v>0.3</v>
      </c>
      <c r="G6" s="14" t="n">
        <v>0</v>
      </c>
      <c r="H6" s="3" t="inlineStr">
        <is>
          <t>Basic plan, Shopify Payments online rate. Plan fee goes in overhead.</t>
        </is>
      </c>
    </row>
    <row r="7">
      <c r="A7" t="inlineStr">
        <is>
          <t>Amazon</t>
        </is>
      </c>
      <c r="B7" s="14" t="n">
        <v>0.15</v>
      </c>
      <c r="C7" s="15" t="n">
        <v>0</v>
      </c>
      <c r="D7" s="15" t="n">
        <v>0</v>
      </c>
      <c r="E7" s="14" t="n">
        <v>0</v>
      </c>
      <c r="F7" s="15" t="n">
        <v>0</v>
      </c>
      <c r="G7" s="14" t="n">
        <v>0</v>
      </c>
      <c r="H7" s="3" t="inlineStr">
        <is>
          <t>15% referral (most categories). Put FBA fees per unit in Products &gt; 'Other per-unit fees'.</t>
        </is>
      </c>
    </row>
    <row r="8">
      <c r="A8" t="inlineStr">
        <is>
          <t>eBay</t>
        </is>
      </c>
      <c r="B8" s="14" t="n">
        <v>0.136</v>
      </c>
      <c r="C8" s="15" t="n">
        <v>0.4</v>
      </c>
      <c r="D8" s="15" t="n">
        <v>0</v>
      </c>
      <c r="E8" s="14" t="n">
        <v>0</v>
      </c>
      <c r="F8" s="15" t="n">
        <v>0</v>
      </c>
      <c r="G8" s="14" t="n">
        <v>0</v>
      </c>
      <c r="H8" s="3" t="inlineStr">
        <is>
          <t>13.6% final value fee + $0.40 per order (most categories).</t>
        </is>
      </c>
    </row>
    <row r="9">
      <c r="A9" t="inlineStr">
        <is>
          <t>Other</t>
        </is>
      </c>
      <c r="B9" s="14" t="n">
        <v>0</v>
      </c>
      <c r="C9" s="15" t="n">
        <v>0</v>
      </c>
      <c r="D9" s="15" t="n">
        <v>0</v>
      </c>
      <c r="E9" s="14" t="n">
        <v>0.029</v>
      </c>
      <c r="F9" s="15" t="n">
        <v>0.3</v>
      </c>
      <c r="G9" s="14" t="n">
        <v>0</v>
      </c>
      <c r="H9" s="3" t="inlineStr">
        <is>
          <t>Markets, your own site, etc. Edit to match your card reader.</t>
        </is>
      </c>
    </row>
    <row r="11">
      <c r="A11" s="7" t="inlineStr">
        <is>
          <t>Your numbers</t>
        </is>
      </c>
    </row>
    <row r="12">
      <c r="A12" t="inlineStr">
        <is>
          <t>Labor rate ($ per hour)</t>
        </is>
      </c>
      <c r="B12" s="15" t="n">
        <v>15</v>
      </c>
    </row>
    <row r="13">
      <c r="A13" t="inlineStr">
        <is>
          <t>Monthly overhead ($)</t>
        </is>
      </c>
      <c r="B13" s="15" t="n">
        <v>25</v>
      </c>
      <c r="C13" s="6" t="inlineStr">
        <is>
          <t>Software, plan fees, supplies not tied to one product.</t>
        </is>
      </c>
    </row>
    <row r="14">
      <c r="A14" t="inlineStr">
        <is>
          <t>Monthly ad spend, all platforms ($)</t>
        </is>
      </c>
      <c r="B14" s="15" t="n">
        <v>40</v>
      </c>
      <c r="C14" s="6" t="inlineStr">
        <is>
          <t>Etsy Ads, Shopify/Meta ads, Amazon PPC. Shared across products by revenue.</t>
        </is>
      </c>
    </row>
    <row r="17">
      <c r="A17" s="7" t="inlineStr">
        <is>
          <t>Import column names</t>
        </is>
      </c>
    </row>
    <row r="18">
      <c r="A18" s="6" t="inlineStr">
        <is>
          <t>Each field is read from the column with this header. Fix a header here if a platform renames it.</t>
        </is>
      </c>
    </row>
    <row r="19">
      <c r="A19" s="16" t="inlineStr">
        <is>
          <t>Field</t>
        </is>
      </c>
      <c r="B19" s="16" t="inlineStr">
        <is>
          <t>Etsy header</t>
        </is>
      </c>
      <c r="C19" s="16" t="inlineStr">
        <is>
          <t>Etsy col #</t>
        </is>
      </c>
      <c r="D19" s="16" t="inlineStr">
        <is>
          <t>Shopify header</t>
        </is>
      </c>
      <c r="E19" s="16" t="inlineStr">
        <is>
          <t>Shopify col #</t>
        </is>
      </c>
    </row>
    <row r="20">
      <c r="A20" t="inlineStr">
        <is>
          <t>Product name</t>
        </is>
      </c>
      <c r="B20" s="13" t="inlineStr">
        <is>
          <t>Item Name</t>
        </is>
      </c>
      <c r="C20" s="17">
        <f>IFERROR(MATCH(B20,'Etsy Import'!$1:$1,0),"not found")</f>
        <v/>
      </c>
      <c r="D20" s="13" t="inlineStr">
        <is>
          <t>Lineitem name</t>
        </is>
      </c>
      <c r="E20" s="17">
        <f>IFERROR(MATCH(D20,'Shopify Import'!$1:$1,0),"not found")</f>
        <v/>
      </c>
    </row>
    <row r="21">
      <c r="A21" t="inlineStr">
        <is>
          <t>SKU</t>
        </is>
      </c>
      <c r="B21" s="13" t="inlineStr">
        <is>
          <t>SKU</t>
        </is>
      </c>
      <c r="C21" s="17">
        <f>IFERROR(MATCH(B21,'Etsy Import'!$1:$1,0),"not found")</f>
        <v/>
      </c>
      <c r="D21" s="13" t="inlineStr">
        <is>
          <t>Lineitem sku</t>
        </is>
      </c>
      <c r="E21" s="17">
        <f>IFERROR(MATCH(D21,'Shopify Import'!$1:$1,0),"not found")</f>
        <v/>
      </c>
    </row>
    <row r="22">
      <c r="A22" t="inlineStr">
        <is>
          <t>Order ID</t>
        </is>
      </c>
      <c r="B22" s="13" t="inlineStr">
        <is>
          <t>Order ID</t>
        </is>
      </c>
      <c r="C22" s="17">
        <f>IFERROR(MATCH(B22,'Etsy Import'!$1:$1,0),"not found")</f>
        <v/>
      </c>
      <c r="D22" s="13" t="inlineStr">
        <is>
          <t>Name</t>
        </is>
      </c>
      <c r="E22" s="17">
        <f>IFERROR(MATCH(D22,'Shopify Import'!$1:$1,0),"not found")</f>
        <v/>
      </c>
    </row>
    <row r="23">
      <c r="A23" t="inlineStr">
        <is>
          <t>Quantity</t>
        </is>
      </c>
      <c r="B23" s="13" t="inlineStr">
        <is>
          <t>Quantity</t>
        </is>
      </c>
      <c r="C23" s="17">
        <f>IFERROR(MATCH(B23,'Etsy Import'!$1:$1,0),"not found")</f>
        <v/>
      </c>
      <c r="D23" s="13" t="inlineStr">
        <is>
          <t>Lineitem quantity</t>
        </is>
      </c>
      <c r="E23" s="17">
        <f>IFERROR(MATCH(D23,'Shopify Import'!$1:$1,0),"not found")</f>
        <v/>
      </c>
    </row>
    <row r="24">
      <c r="A24" t="inlineStr">
        <is>
          <t>Unit price</t>
        </is>
      </c>
      <c r="B24" s="13" t="inlineStr">
        <is>
          <t>Price</t>
        </is>
      </c>
      <c r="C24" s="17">
        <f>IFERROR(MATCH(B24,'Etsy Import'!$1:$1,0),"not found")</f>
        <v/>
      </c>
      <c r="D24" s="13" t="inlineStr">
        <is>
          <t>Lineitem price</t>
        </is>
      </c>
      <c r="E24" s="17">
        <f>IFERROR(MATCH(D24,'Shopify Import'!$1:$1,0),"not found")</f>
        <v/>
      </c>
    </row>
    <row r="25">
      <c r="A25" t="inlineStr">
        <is>
          <t>Shipping charged</t>
        </is>
      </c>
      <c r="B25" s="13" t="inlineStr">
        <is>
          <t>Order Shipping</t>
        </is>
      </c>
      <c r="C25" s="17">
        <f>IFERROR(MATCH(B25,'Etsy Import'!$1:$1,0),"not found")</f>
        <v/>
      </c>
      <c r="D25" s="13" t="inlineStr">
        <is>
          <t>Shipping</t>
        </is>
      </c>
      <c r="E25" s="17">
        <f>IFERROR(MATCH(D25,'Shopify Import'!$1:$1,0),"not found")</f>
        <v/>
      </c>
    </row>
    <row r="26">
      <c r="A26" t="inlineStr">
        <is>
          <t>Discount</t>
        </is>
      </c>
      <c r="B26" s="13" t="inlineStr">
        <is>
          <t>Discount Amount</t>
        </is>
      </c>
      <c r="C26" s="17">
        <f>IFERROR(MATCH(B26,'Etsy Import'!$1:$1,0),"not found")</f>
        <v/>
      </c>
      <c r="D26" s="13" t="inlineStr">
        <is>
          <t>Discount Amount</t>
        </is>
      </c>
      <c r="E26" s="17">
        <f>IFERROR(MATCH(D26,'Shopify Import'!$1:$1,0),"not found")</f>
        <v/>
      </c>
    </row>
    <row r="27">
      <c r="A27" t="inlineStr">
        <is>
          <t>Order-level amounts repeat on every item row?</t>
        </is>
      </c>
      <c r="B27" s="13" t="inlineStr">
        <is>
          <t>Yes</t>
        </is>
      </c>
      <c r="D27" s="13" t="inlineStr">
        <is>
          <t>No</t>
        </is>
      </c>
    </row>
    <row r="28">
      <c r="A28" s="6" t="inlineStr">
        <is>
          <t>Yes = shipping and discount are split evenly across the items in an order. No = they are counted once, from the row where they appear.</t>
        </is>
      </c>
    </row>
  </sheetData>
  <conditionalFormatting sqref="C20:E26">
    <cfRule type="expression" priority="1" dxfId="3">
      <formula>C20="not found"</formula>
    </cfRule>
  </conditionalFormatting>
  <dataValidations count="1">
    <dataValidation sqref="B27 D2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2" customWidth="1" min="4" max="4"/>
    <col width="13" customWidth="1" min="5" max="5"/>
    <col width="15" customWidth="1" min="6" max="6"/>
    <col width="16" customWidth="1" min="7" max="7"/>
    <col width="11" customWidth="1" min="8" max="8"/>
    <col width="13" customWidth="1" min="9" max="9"/>
  </cols>
  <sheetData>
    <row r="1">
      <c r="A1" s="5" t="inlineStr">
        <is>
          <t>Products</t>
        </is>
      </c>
    </row>
    <row r="2">
      <c r="A2" s="6" t="inlineStr">
        <is>
          <t>One row per product. Yellow = you fill in. Name must match your listing title exactly (or use SKU).</t>
        </is>
      </c>
    </row>
    <row r="4" ht="32" customHeight="1">
      <c r="A4" s="10" t="inlineStr">
        <is>
          <t>Product name (exact listing title)</t>
        </is>
      </c>
      <c r="B4" s="10" t="inlineStr">
        <is>
          <t>SKU (optional)</t>
        </is>
      </c>
      <c r="C4" s="10" t="inlineStr">
        <is>
          <t>Materials
per unit</t>
        </is>
      </c>
      <c r="D4" s="10" t="inlineStr">
        <is>
          <t>Packaging
per unit</t>
        </is>
      </c>
      <c r="E4" s="10" t="inlineStr">
        <is>
          <t>Labor minutes
per unit</t>
        </is>
      </c>
      <c r="F4" s="10" t="inlineStr">
        <is>
          <t>Shipping label
you pay per unit</t>
        </is>
      </c>
      <c r="G4" s="10" t="inlineStr">
        <is>
          <t>Other per-unit fees
(FBA, etc.)</t>
        </is>
      </c>
      <c r="H4" s="10" t="inlineStr">
        <is>
          <t>Return rate %</t>
        </is>
      </c>
      <c r="I4" s="10" t="inlineStr">
        <is>
          <t>Total cost
per unit</t>
        </is>
      </c>
    </row>
    <row r="5">
      <c r="A5" s="13" t="inlineStr">
        <is>
          <t>Lavender Soy Candle 8oz</t>
        </is>
      </c>
      <c r="B5" s="13" t="inlineStr">
        <is>
          <t>CAN-LAV</t>
        </is>
      </c>
      <c r="C5" s="15" t="n">
        <v>3.1</v>
      </c>
      <c r="D5" s="15" t="n">
        <v>0.8</v>
      </c>
      <c r="E5" s="13" t="n">
        <v>10</v>
      </c>
      <c r="F5" s="15" t="n">
        <v>4.5</v>
      </c>
      <c r="G5" s="15" t="n">
        <v>0</v>
      </c>
      <c r="H5" s="14" t="n">
        <v>0.02</v>
      </c>
      <c r="I5" s="18">
        <f>IF(A5="","",C5+D5+E5/60*Settings!$B$12+F5+G5)</f>
        <v/>
      </c>
    </row>
    <row r="6">
      <c r="A6" s="13" t="inlineStr">
        <is>
          <t>Handmade Ceramic Mug - Speckled</t>
        </is>
      </c>
      <c r="B6" s="13" t="inlineStr">
        <is>
          <t>MUG-01</t>
        </is>
      </c>
      <c r="C6" s="15" t="n">
        <v>6</v>
      </c>
      <c r="D6" s="15" t="n">
        <v>1.5</v>
      </c>
      <c r="E6" s="13" t="n">
        <v>45</v>
      </c>
      <c r="F6" s="15" t="n">
        <v>7.8</v>
      </c>
      <c r="G6" s="15" t="n">
        <v>0</v>
      </c>
      <c r="H6" s="14" t="n">
        <v>0.05</v>
      </c>
      <c r="I6" s="18">
        <f>IF(A6="","",C6+D6+E6/60*Settings!$B$12+F6+G6)</f>
        <v/>
      </c>
    </row>
    <row r="7">
      <c r="A7" s="13" t="inlineStr">
        <is>
          <t>Cute Frog Sticker Pack (5)</t>
        </is>
      </c>
      <c r="B7" s="13" t="inlineStr">
        <is>
          <t>STK-5</t>
        </is>
      </c>
      <c r="C7" s="15" t="n">
        <v>0.9</v>
      </c>
      <c r="D7" s="15" t="n">
        <v>0.2</v>
      </c>
      <c r="E7" s="13" t="n">
        <v>2</v>
      </c>
      <c r="F7" s="15" t="n">
        <v>0.73</v>
      </c>
      <c r="G7" s="15" t="n">
        <v>0</v>
      </c>
      <c r="H7" s="14" t="n">
        <v>0.01</v>
      </c>
      <c r="I7" s="18">
        <f>IF(A7="","",C7+D7+E7/60*Settings!$B$12+F7+G7)</f>
        <v/>
      </c>
    </row>
    <row r="8">
      <c r="A8" s="13" t="inlineStr">
        <is>
          <t>Linen Tote Bag</t>
        </is>
      </c>
      <c r="B8" s="13" t="inlineStr">
        <is>
          <t>TOTE-1</t>
        </is>
      </c>
      <c r="C8" s="15" t="n">
        <v>5.2</v>
      </c>
      <c r="D8" s="15" t="n">
        <v>0.6</v>
      </c>
      <c r="E8" s="13" t="n">
        <v>15</v>
      </c>
      <c r="F8" s="15" t="n">
        <v>0</v>
      </c>
      <c r="G8" s="15" t="n">
        <v>3.22</v>
      </c>
      <c r="H8" s="14" t="n">
        <v>0.03</v>
      </c>
      <c r="I8" s="18">
        <f>IF(A8="","",C8+D8+E8/60*Settings!$B$12+F8+G8)</f>
        <v/>
      </c>
    </row>
    <row r="9">
      <c r="A9" s="13" t="n"/>
      <c r="B9" s="13" t="n"/>
      <c r="C9" s="15" t="n"/>
      <c r="D9" s="15" t="n"/>
      <c r="E9" s="13" t="n"/>
      <c r="F9" s="15" t="n"/>
      <c r="G9" s="15" t="n"/>
      <c r="H9" s="14" t="n"/>
      <c r="I9" s="18">
        <f>IF(A9="","",C9+D9+E9/60*Settings!$B$12+F9+G9)</f>
        <v/>
      </c>
    </row>
    <row r="10">
      <c r="A10" s="13" t="n"/>
      <c r="B10" s="13" t="n"/>
      <c r="C10" s="15" t="n"/>
      <c r="D10" s="15" t="n"/>
      <c r="E10" s="13" t="n"/>
      <c r="F10" s="15" t="n"/>
      <c r="G10" s="15" t="n"/>
      <c r="H10" s="14" t="n"/>
      <c r="I10" s="18">
        <f>IF(A10="","",C10+D10+E10/60*Settings!$B$12+F10+G10)</f>
        <v/>
      </c>
    </row>
    <row r="11">
      <c r="A11" s="13" t="n"/>
      <c r="B11" s="13" t="n"/>
      <c r="C11" s="15" t="n"/>
      <c r="D11" s="15" t="n"/>
      <c r="E11" s="13" t="n"/>
      <c r="F11" s="15" t="n"/>
      <c r="G11" s="15" t="n"/>
      <c r="H11" s="14" t="n"/>
      <c r="I11" s="18">
        <f>IF(A11="","",C11+D11+E11/60*Settings!$B$12+F11+G11)</f>
        <v/>
      </c>
    </row>
    <row r="12">
      <c r="A12" s="13" t="n"/>
      <c r="B12" s="13" t="n"/>
      <c r="C12" s="15" t="n"/>
      <c r="D12" s="15" t="n"/>
      <c r="E12" s="13" t="n"/>
      <c r="F12" s="15" t="n"/>
      <c r="G12" s="15" t="n"/>
      <c r="H12" s="14" t="n"/>
      <c r="I12" s="18">
        <f>IF(A12="","",C12+D12+E12/60*Settings!$B$12+F12+G12)</f>
        <v/>
      </c>
    </row>
    <row r="13">
      <c r="A13" s="13" t="n"/>
      <c r="B13" s="13" t="n"/>
      <c r="C13" s="15" t="n"/>
      <c r="D13" s="15" t="n"/>
      <c r="E13" s="13" t="n"/>
      <c r="F13" s="15" t="n"/>
      <c r="G13" s="15" t="n"/>
      <c r="H13" s="14" t="n"/>
      <c r="I13" s="18">
        <f>IF(A13="","",C13+D13+E13/60*Settings!$B$12+F13+G13)</f>
        <v/>
      </c>
    </row>
    <row r="14">
      <c r="A14" s="13" t="n"/>
      <c r="B14" s="13" t="n"/>
      <c r="C14" s="15" t="n"/>
      <c r="D14" s="15" t="n"/>
      <c r="E14" s="13" t="n"/>
      <c r="F14" s="15" t="n"/>
      <c r="G14" s="15" t="n"/>
      <c r="H14" s="14" t="n"/>
      <c r="I14" s="18">
        <f>IF(A14="","",C14+D14+E14/60*Settings!$B$12+F14+G14)</f>
        <v/>
      </c>
    </row>
    <row r="15">
      <c r="A15" s="13" t="n"/>
      <c r="B15" s="13" t="n"/>
      <c r="C15" s="15" t="n"/>
      <c r="D15" s="15" t="n"/>
      <c r="E15" s="13" t="n"/>
      <c r="F15" s="15" t="n"/>
      <c r="G15" s="15" t="n"/>
      <c r="H15" s="14" t="n"/>
      <c r="I15" s="18">
        <f>IF(A15="","",C15+D15+E15/60*Settings!$B$12+F15+G15)</f>
        <v/>
      </c>
    </row>
    <row r="16">
      <c r="A16" s="13" t="n"/>
      <c r="B16" s="13" t="n"/>
      <c r="C16" s="15" t="n"/>
      <c r="D16" s="15" t="n"/>
      <c r="E16" s="13" t="n"/>
      <c r="F16" s="15" t="n"/>
      <c r="G16" s="15" t="n"/>
      <c r="H16" s="14" t="n"/>
      <c r="I16" s="18">
        <f>IF(A16="","",C16+D16+E16/60*Settings!$B$12+F16+G16)</f>
        <v/>
      </c>
    </row>
    <row r="17">
      <c r="A17" s="13" t="n"/>
      <c r="B17" s="13" t="n"/>
      <c r="C17" s="15" t="n"/>
      <c r="D17" s="15" t="n"/>
      <c r="E17" s="13" t="n"/>
      <c r="F17" s="15" t="n"/>
      <c r="G17" s="15" t="n"/>
      <c r="H17" s="14" t="n"/>
      <c r="I17" s="18">
        <f>IF(A17="","",C17+D17+E17/60*Settings!$B$12+F17+G17)</f>
        <v/>
      </c>
    </row>
    <row r="18">
      <c r="A18" s="13" t="n"/>
      <c r="B18" s="13" t="n"/>
      <c r="C18" s="15" t="n"/>
      <c r="D18" s="15" t="n"/>
      <c r="E18" s="13" t="n"/>
      <c r="F18" s="15" t="n"/>
      <c r="G18" s="15" t="n"/>
      <c r="H18" s="14" t="n"/>
      <c r="I18" s="18">
        <f>IF(A18="","",C18+D18+E18/60*Settings!$B$12+F18+G18)</f>
        <v/>
      </c>
    </row>
    <row r="19">
      <c r="A19" s="13" t="n"/>
      <c r="B19" s="13" t="n"/>
      <c r="C19" s="15" t="n"/>
      <c r="D19" s="15" t="n"/>
      <c r="E19" s="13" t="n"/>
      <c r="F19" s="15" t="n"/>
      <c r="G19" s="15" t="n"/>
      <c r="H19" s="14" t="n"/>
      <c r="I19" s="18">
        <f>IF(A19="","",C19+D19+E19/60*Settings!$B$12+F19+G19)</f>
        <v/>
      </c>
    </row>
    <row r="20">
      <c r="A20" s="13" t="n"/>
      <c r="B20" s="13" t="n"/>
      <c r="C20" s="15" t="n"/>
      <c r="D20" s="15" t="n"/>
      <c r="E20" s="13" t="n"/>
      <c r="F20" s="15" t="n"/>
      <c r="G20" s="15" t="n"/>
      <c r="H20" s="14" t="n"/>
      <c r="I20" s="18">
        <f>IF(A20="","",C20+D20+E20/60*Settings!$B$12+F20+G20)</f>
        <v/>
      </c>
    </row>
    <row r="21">
      <c r="A21" s="13" t="n"/>
      <c r="B21" s="13" t="n"/>
      <c r="C21" s="15" t="n"/>
      <c r="D21" s="15" t="n"/>
      <c r="E21" s="13" t="n"/>
      <c r="F21" s="15" t="n"/>
      <c r="G21" s="15" t="n"/>
      <c r="H21" s="14" t="n"/>
      <c r="I21" s="18">
        <f>IF(A21="","",C21+D21+E21/60*Settings!$B$12+F21+G21)</f>
        <v/>
      </c>
    </row>
    <row r="22">
      <c r="A22" s="13" t="n"/>
      <c r="B22" s="13" t="n"/>
      <c r="C22" s="15" t="n"/>
      <c r="D22" s="15" t="n"/>
      <c r="E22" s="13" t="n"/>
      <c r="F22" s="15" t="n"/>
      <c r="G22" s="15" t="n"/>
      <c r="H22" s="14" t="n"/>
      <c r="I22" s="18">
        <f>IF(A22="","",C22+D22+E22/60*Settings!$B$12+F22+G22)</f>
        <v/>
      </c>
    </row>
    <row r="23">
      <c r="A23" s="13" t="n"/>
      <c r="B23" s="13" t="n"/>
      <c r="C23" s="15" t="n"/>
      <c r="D23" s="15" t="n"/>
      <c r="E23" s="13" t="n"/>
      <c r="F23" s="15" t="n"/>
      <c r="G23" s="15" t="n"/>
      <c r="H23" s="14" t="n"/>
      <c r="I23" s="18">
        <f>IF(A23="","",C23+D23+E23/60*Settings!$B$12+F23+G23)</f>
        <v/>
      </c>
    </row>
    <row r="24">
      <c r="A24" s="13" t="n"/>
      <c r="B24" s="13" t="n"/>
      <c r="C24" s="15" t="n"/>
      <c r="D24" s="15" t="n"/>
      <c r="E24" s="13" t="n"/>
      <c r="F24" s="15" t="n"/>
      <c r="G24" s="15" t="n"/>
      <c r="H24" s="14" t="n"/>
      <c r="I24" s="18">
        <f>IF(A24="","",C24+D24+E24/60*Settings!$B$12+F24+G24)</f>
        <v/>
      </c>
    </row>
    <row r="25">
      <c r="A25" s="13" t="n"/>
      <c r="B25" s="13" t="n"/>
      <c r="C25" s="15" t="n"/>
      <c r="D25" s="15" t="n"/>
      <c r="E25" s="13" t="n"/>
      <c r="F25" s="15" t="n"/>
      <c r="G25" s="15" t="n"/>
      <c r="H25" s="14" t="n"/>
      <c r="I25" s="18">
        <f>IF(A25="","",C25+D25+E25/60*Settings!$B$12+F25+G25)</f>
        <v/>
      </c>
    </row>
    <row r="26">
      <c r="A26" s="13" t="n"/>
      <c r="B26" s="13" t="n"/>
      <c r="C26" s="15" t="n"/>
      <c r="D26" s="15" t="n"/>
      <c r="E26" s="13" t="n"/>
      <c r="F26" s="15" t="n"/>
      <c r="G26" s="15" t="n"/>
      <c r="H26" s="14" t="n"/>
      <c r="I26" s="18">
        <f>IF(A26="","",C26+D26+E26/60*Settings!$B$12+F26+G26)</f>
        <v/>
      </c>
    </row>
    <row r="27">
      <c r="A27" s="13" t="n"/>
      <c r="B27" s="13" t="n"/>
      <c r="C27" s="15" t="n"/>
      <c r="D27" s="15" t="n"/>
      <c r="E27" s="13" t="n"/>
      <c r="F27" s="15" t="n"/>
      <c r="G27" s="15" t="n"/>
      <c r="H27" s="14" t="n"/>
      <c r="I27" s="18">
        <f>IF(A27="","",C27+D27+E27/60*Settings!$B$12+F27+G27)</f>
        <v/>
      </c>
    </row>
    <row r="28">
      <c r="A28" s="13" t="n"/>
      <c r="B28" s="13" t="n"/>
      <c r="C28" s="15" t="n"/>
      <c r="D28" s="15" t="n"/>
      <c r="E28" s="13" t="n"/>
      <c r="F28" s="15" t="n"/>
      <c r="G28" s="15" t="n"/>
      <c r="H28" s="14" t="n"/>
      <c r="I28" s="18">
        <f>IF(A28="","",C28+D28+E28/60*Settings!$B$12+F28+G28)</f>
        <v/>
      </c>
    </row>
    <row r="29">
      <c r="A29" s="13" t="n"/>
      <c r="B29" s="13" t="n"/>
      <c r="C29" s="15" t="n"/>
      <c r="D29" s="15" t="n"/>
      <c r="E29" s="13" t="n"/>
      <c r="F29" s="15" t="n"/>
      <c r="G29" s="15" t="n"/>
      <c r="H29" s="14" t="n"/>
      <c r="I29" s="18">
        <f>IF(A29="","",C29+D29+E29/60*Settings!$B$12+F29+G29)</f>
        <v/>
      </c>
    </row>
    <row r="30">
      <c r="A30" s="13" t="n"/>
      <c r="B30" s="13" t="n"/>
      <c r="C30" s="15" t="n"/>
      <c r="D30" s="15" t="n"/>
      <c r="E30" s="13" t="n"/>
      <c r="F30" s="15" t="n"/>
      <c r="G30" s="15" t="n"/>
      <c r="H30" s="14" t="n"/>
      <c r="I30" s="18">
        <f>IF(A30="","",C30+D30+E30/60*Settings!$B$12+F30+G30)</f>
        <v/>
      </c>
    </row>
    <row r="31">
      <c r="A31" s="13" t="n"/>
      <c r="B31" s="13" t="n"/>
      <c r="C31" s="15" t="n"/>
      <c r="D31" s="15" t="n"/>
      <c r="E31" s="13" t="n"/>
      <c r="F31" s="15" t="n"/>
      <c r="G31" s="15" t="n"/>
      <c r="H31" s="14" t="n"/>
      <c r="I31" s="18">
        <f>IF(A31="","",C31+D31+E31/60*Settings!$B$12+F31+G31)</f>
        <v/>
      </c>
    </row>
    <row r="32">
      <c r="A32" s="13" t="n"/>
      <c r="B32" s="13" t="n"/>
      <c r="C32" s="15" t="n"/>
      <c r="D32" s="15" t="n"/>
      <c r="E32" s="13" t="n"/>
      <c r="F32" s="15" t="n"/>
      <c r="G32" s="15" t="n"/>
      <c r="H32" s="14" t="n"/>
      <c r="I32" s="18">
        <f>IF(A32="","",C32+D32+E32/60*Settings!$B$12+F32+G32)</f>
        <v/>
      </c>
    </row>
    <row r="33">
      <c r="A33" s="13" t="n"/>
      <c r="B33" s="13" t="n"/>
      <c r="C33" s="15" t="n"/>
      <c r="D33" s="15" t="n"/>
      <c r="E33" s="13" t="n"/>
      <c r="F33" s="15" t="n"/>
      <c r="G33" s="15" t="n"/>
      <c r="H33" s="14" t="n"/>
      <c r="I33" s="18">
        <f>IF(A33="","",C33+D33+E33/60*Settings!$B$12+F33+G33)</f>
        <v/>
      </c>
    </row>
    <row r="34">
      <c r="A34" s="13" t="n"/>
      <c r="B34" s="13" t="n"/>
      <c r="C34" s="15" t="n"/>
      <c r="D34" s="15" t="n"/>
      <c r="E34" s="13" t="n"/>
      <c r="F34" s="15" t="n"/>
      <c r="G34" s="15" t="n"/>
      <c r="H34" s="14" t="n"/>
      <c r="I34" s="18">
        <f>IF(A34="","",C34+D34+E34/60*Settings!$B$12+F34+G34)</f>
        <v/>
      </c>
    </row>
    <row r="35">
      <c r="A35" s="13" t="n"/>
      <c r="B35" s="13" t="n"/>
      <c r="C35" s="15" t="n"/>
      <c r="D35" s="15" t="n"/>
      <c r="E35" s="13" t="n"/>
      <c r="F35" s="15" t="n"/>
      <c r="G35" s="15" t="n"/>
      <c r="H35" s="14" t="n"/>
      <c r="I35" s="18">
        <f>IF(A35="","",C35+D35+E35/60*Settings!$B$12+F35+G35)</f>
        <v/>
      </c>
    </row>
    <row r="36">
      <c r="A36" s="13" t="n"/>
      <c r="B36" s="13" t="n"/>
      <c r="C36" s="15" t="n"/>
      <c r="D36" s="15" t="n"/>
      <c r="E36" s="13" t="n"/>
      <c r="F36" s="15" t="n"/>
      <c r="G36" s="15" t="n"/>
      <c r="H36" s="14" t="n"/>
      <c r="I36" s="18">
        <f>IF(A36="","",C36+D36+E36/60*Settings!$B$12+F36+G36)</f>
        <v/>
      </c>
    </row>
    <row r="37">
      <c r="A37" s="13" t="n"/>
      <c r="B37" s="13" t="n"/>
      <c r="C37" s="15" t="n"/>
      <c r="D37" s="15" t="n"/>
      <c r="E37" s="13" t="n"/>
      <c r="F37" s="15" t="n"/>
      <c r="G37" s="15" t="n"/>
      <c r="H37" s="14" t="n"/>
      <c r="I37" s="18">
        <f>IF(A37="","",C37+D37+E37/60*Settings!$B$12+F37+G37)</f>
        <v/>
      </c>
    </row>
    <row r="38">
      <c r="A38" s="13" t="n"/>
      <c r="B38" s="13" t="n"/>
      <c r="C38" s="15" t="n"/>
      <c r="D38" s="15" t="n"/>
      <c r="E38" s="13" t="n"/>
      <c r="F38" s="15" t="n"/>
      <c r="G38" s="15" t="n"/>
      <c r="H38" s="14" t="n"/>
      <c r="I38" s="18">
        <f>IF(A38="","",C38+D38+E38/60*Settings!$B$12+F38+G38)</f>
        <v/>
      </c>
    </row>
    <row r="39">
      <c r="A39" s="13" t="n"/>
      <c r="B39" s="13" t="n"/>
      <c r="C39" s="15" t="n"/>
      <c r="D39" s="15" t="n"/>
      <c r="E39" s="13" t="n"/>
      <c r="F39" s="15" t="n"/>
      <c r="G39" s="15" t="n"/>
      <c r="H39" s="14" t="n"/>
      <c r="I39" s="18">
        <f>IF(A39="","",C39+D39+E39/60*Settings!$B$12+F39+G39)</f>
        <v/>
      </c>
    </row>
    <row r="40">
      <c r="A40" s="13" t="n"/>
      <c r="B40" s="13" t="n"/>
      <c r="C40" s="15" t="n"/>
      <c r="D40" s="15" t="n"/>
      <c r="E40" s="13" t="n"/>
      <c r="F40" s="15" t="n"/>
      <c r="G40" s="15" t="n"/>
      <c r="H40" s="14" t="n"/>
      <c r="I40" s="18">
        <f>IF(A40="","",C40+D40+E40/60*Settings!$B$12+F40+G40)</f>
        <v/>
      </c>
    </row>
    <row r="41">
      <c r="A41" s="13" t="n"/>
      <c r="B41" s="13" t="n"/>
      <c r="C41" s="15" t="n"/>
      <c r="D41" s="15" t="n"/>
      <c r="E41" s="13" t="n"/>
      <c r="F41" s="15" t="n"/>
      <c r="G41" s="15" t="n"/>
      <c r="H41" s="14" t="n"/>
      <c r="I41" s="18">
        <f>IF(A41="","",C41+D41+E41/60*Settings!$B$12+F41+G41)</f>
        <v/>
      </c>
    </row>
    <row r="42">
      <c r="A42" s="13" t="n"/>
      <c r="B42" s="13" t="n"/>
      <c r="C42" s="15" t="n"/>
      <c r="D42" s="15" t="n"/>
      <c r="E42" s="13" t="n"/>
      <c r="F42" s="15" t="n"/>
      <c r="G42" s="15" t="n"/>
      <c r="H42" s="14" t="n"/>
      <c r="I42" s="18">
        <f>IF(A42="","",C42+D42+E42/60*Settings!$B$12+F42+G42)</f>
        <v/>
      </c>
    </row>
    <row r="43">
      <c r="A43" s="13" t="n"/>
      <c r="B43" s="13" t="n"/>
      <c r="C43" s="15" t="n"/>
      <c r="D43" s="15" t="n"/>
      <c r="E43" s="13" t="n"/>
      <c r="F43" s="15" t="n"/>
      <c r="G43" s="15" t="n"/>
      <c r="H43" s="14" t="n"/>
      <c r="I43" s="18">
        <f>IF(A43="","",C43+D43+E43/60*Settings!$B$12+F43+G43)</f>
        <v/>
      </c>
    </row>
    <row r="44">
      <c r="A44" s="13" t="n"/>
      <c r="B44" s="13" t="n"/>
      <c r="C44" s="15" t="n"/>
      <c r="D44" s="15" t="n"/>
      <c r="E44" s="13" t="n"/>
      <c r="F44" s="15" t="n"/>
      <c r="G44" s="15" t="n"/>
      <c r="H44" s="14" t="n"/>
      <c r="I44" s="18">
        <f>IF(A44="","",C44+D44+E44/60*Settings!$B$12+F44+G44)</f>
        <v/>
      </c>
    </row>
    <row r="45">
      <c r="A45" s="13" t="n"/>
      <c r="B45" s="13" t="n"/>
      <c r="C45" s="15" t="n"/>
      <c r="D45" s="15" t="n"/>
      <c r="E45" s="13" t="n"/>
      <c r="F45" s="15" t="n"/>
      <c r="G45" s="15" t="n"/>
      <c r="H45" s="14" t="n"/>
      <c r="I45" s="18">
        <f>IF(A45="","",C45+D45+E45/60*Settings!$B$12+F45+G45)</f>
        <v/>
      </c>
    </row>
    <row r="46">
      <c r="A46" s="13" t="n"/>
      <c r="B46" s="13" t="n"/>
      <c r="C46" s="15" t="n"/>
      <c r="D46" s="15" t="n"/>
      <c r="E46" s="13" t="n"/>
      <c r="F46" s="15" t="n"/>
      <c r="G46" s="15" t="n"/>
      <c r="H46" s="14" t="n"/>
      <c r="I46" s="18">
        <f>IF(A46="","",C46+D46+E46/60*Settings!$B$12+F46+G46)</f>
        <v/>
      </c>
    </row>
    <row r="47">
      <c r="A47" s="13" t="n"/>
      <c r="B47" s="13" t="n"/>
      <c r="C47" s="15" t="n"/>
      <c r="D47" s="15" t="n"/>
      <c r="E47" s="13" t="n"/>
      <c r="F47" s="15" t="n"/>
      <c r="G47" s="15" t="n"/>
      <c r="H47" s="14" t="n"/>
      <c r="I47" s="18">
        <f>IF(A47="","",C47+D47+E47/60*Settings!$B$12+F47+G47)</f>
        <v/>
      </c>
    </row>
    <row r="48">
      <c r="A48" s="13" t="n"/>
      <c r="B48" s="13" t="n"/>
      <c r="C48" s="15" t="n"/>
      <c r="D48" s="15" t="n"/>
      <c r="E48" s="13" t="n"/>
      <c r="F48" s="15" t="n"/>
      <c r="G48" s="15" t="n"/>
      <c r="H48" s="14" t="n"/>
      <c r="I48" s="18">
        <f>IF(A48="","",C48+D48+E48/60*Settings!$B$12+F48+G48)</f>
        <v/>
      </c>
    </row>
    <row r="49">
      <c r="A49" s="13" t="n"/>
      <c r="B49" s="13" t="n"/>
      <c r="C49" s="15" t="n"/>
      <c r="D49" s="15" t="n"/>
      <c r="E49" s="13" t="n"/>
      <c r="F49" s="15" t="n"/>
      <c r="G49" s="15" t="n"/>
      <c r="H49" s="14" t="n"/>
      <c r="I49" s="18">
        <f>IF(A49="","",C49+D49+E49/60*Settings!$B$12+F49+G49)</f>
        <v/>
      </c>
    </row>
    <row r="50">
      <c r="A50" s="13" t="n"/>
      <c r="B50" s="13" t="n"/>
      <c r="C50" s="15" t="n"/>
      <c r="D50" s="15" t="n"/>
      <c r="E50" s="13" t="n"/>
      <c r="F50" s="15" t="n"/>
      <c r="G50" s="15" t="n"/>
      <c r="H50" s="14" t="n"/>
      <c r="I50" s="18">
        <f>IF(A50="","",C50+D50+E50/60*Settings!$B$12+F50+G50)</f>
        <v/>
      </c>
    </row>
    <row r="51">
      <c r="A51" s="13" t="n"/>
      <c r="B51" s="13" t="n"/>
      <c r="C51" s="15" t="n"/>
      <c r="D51" s="15" t="n"/>
      <c r="E51" s="13" t="n"/>
      <c r="F51" s="15" t="n"/>
      <c r="G51" s="15" t="n"/>
      <c r="H51" s="14" t="n"/>
      <c r="I51" s="18">
        <f>IF(A51="","",C51+D51+E51/60*Settings!$B$12+F51+G51)</f>
        <v/>
      </c>
    </row>
    <row r="52">
      <c r="A52" s="13" t="n"/>
      <c r="B52" s="13" t="n"/>
      <c r="C52" s="15" t="n"/>
      <c r="D52" s="15" t="n"/>
      <c r="E52" s="13" t="n"/>
      <c r="F52" s="15" t="n"/>
      <c r="G52" s="15" t="n"/>
      <c r="H52" s="14" t="n"/>
      <c r="I52" s="18">
        <f>IF(A52="","",C52+D52+E52/60*Settings!$B$12+F52+G52)</f>
        <v/>
      </c>
    </row>
    <row r="53">
      <c r="A53" s="13" t="n"/>
      <c r="B53" s="13" t="n"/>
      <c r="C53" s="15" t="n"/>
      <c r="D53" s="15" t="n"/>
      <c r="E53" s="13" t="n"/>
      <c r="F53" s="15" t="n"/>
      <c r="G53" s="15" t="n"/>
      <c r="H53" s="14" t="n"/>
      <c r="I53" s="18">
        <f>IF(A53="","",C53+D53+E53/60*Settings!$B$12+F53+G53)</f>
        <v/>
      </c>
    </row>
    <row r="54">
      <c r="A54" s="13" t="n"/>
      <c r="B54" s="13" t="n"/>
      <c r="C54" s="15" t="n"/>
      <c r="D54" s="15" t="n"/>
      <c r="E54" s="13" t="n"/>
      <c r="F54" s="15" t="n"/>
      <c r="G54" s="15" t="n"/>
      <c r="H54" s="14" t="n"/>
      <c r="I54" s="18">
        <f>IF(A54="","",C54+D54+E54/60*Settings!$B$12+F54+G54)</f>
        <v/>
      </c>
    </row>
    <row r="55">
      <c r="A55" s="13" t="n"/>
      <c r="B55" s="13" t="n"/>
      <c r="C55" s="15" t="n"/>
      <c r="D55" s="15" t="n"/>
      <c r="E55" s="13" t="n"/>
      <c r="F55" s="15" t="n"/>
      <c r="G55" s="15" t="n"/>
      <c r="H55" s="14" t="n"/>
      <c r="I55" s="18">
        <f>IF(A55="","",C55+D55+E55/60*Settings!$B$12+F55+G55)</f>
        <v/>
      </c>
    </row>
    <row r="56">
      <c r="A56" s="13" t="n"/>
      <c r="B56" s="13" t="n"/>
      <c r="C56" s="15" t="n"/>
      <c r="D56" s="15" t="n"/>
      <c r="E56" s="13" t="n"/>
      <c r="F56" s="15" t="n"/>
      <c r="G56" s="15" t="n"/>
      <c r="H56" s="14" t="n"/>
      <c r="I56" s="18">
        <f>IF(A56="","",C56+D56+E56/60*Settings!$B$12+F56+G56)</f>
        <v/>
      </c>
    </row>
    <row r="57">
      <c r="A57" s="13" t="n"/>
      <c r="B57" s="13" t="n"/>
      <c r="C57" s="15" t="n"/>
      <c r="D57" s="15" t="n"/>
      <c r="E57" s="13" t="n"/>
      <c r="F57" s="15" t="n"/>
      <c r="G57" s="15" t="n"/>
      <c r="H57" s="14" t="n"/>
      <c r="I57" s="18">
        <f>IF(A57="","",C57+D57+E57/60*Settings!$B$12+F57+G57)</f>
        <v/>
      </c>
    </row>
    <row r="58">
      <c r="A58" s="13" t="n"/>
      <c r="B58" s="13" t="n"/>
      <c r="C58" s="15" t="n"/>
      <c r="D58" s="15" t="n"/>
      <c r="E58" s="13" t="n"/>
      <c r="F58" s="15" t="n"/>
      <c r="G58" s="15" t="n"/>
      <c r="H58" s="14" t="n"/>
      <c r="I58" s="18">
        <f>IF(A58="","",C58+D58+E58/60*Settings!$B$12+F58+G58)</f>
        <v/>
      </c>
    </row>
    <row r="59">
      <c r="A59" s="13" t="n"/>
      <c r="B59" s="13" t="n"/>
      <c r="C59" s="15" t="n"/>
      <c r="D59" s="15" t="n"/>
      <c r="E59" s="13" t="n"/>
      <c r="F59" s="15" t="n"/>
      <c r="G59" s="15" t="n"/>
      <c r="H59" s="14" t="n"/>
      <c r="I59" s="18">
        <f>IF(A59="","",C59+D59+E59/60*Settings!$B$12+F59+G59)</f>
        <v/>
      </c>
    </row>
    <row r="60">
      <c r="A60" s="13" t="n"/>
      <c r="B60" s="13" t="n"/>
      <c r="C60" s="15" t="n"/>
      <c r="D60" s="15" t="n"/>
      <c r="E60" s="13" t="n"/>
      <c r="F60" s="15" t="n"/>
      <c r="G60" s="15" t="n"/>
      <c r="H60" s="14" t="n"/>
      <c r="I60" s="18">
        <f>IF(A60="","",C60+D60+E60/60*Settings!$B$12+F60+G60)</f>
        <v/>
      </c>
    </row>
    <row r="61">
      <c r="A61" s="13" t="n"/>
      <c r="B61" s="13" t="n"/>
      <c r="C61" s="15" t="n"/>
      <c r="D61" s="15" t="n"/>
      <c r="E61" s="13" t="n"/>
      <c r="F61" s="15" t="n"/>
      <c r="G61" s="15" t="n"/>
      <c r="H61" s="14" t="n"/>
      <c r="I61" s="18">
        <f>IF(A61="","",C61+D61+E61/60*Settings!$B$12+F61+G61)</f>
        <v/>
      </c>
    </row>
    <row r="62">
      <c r="A62" s="13" t="n"/>
      <c r="B62" s="13" t="n"/>
      <c r="C62" s="15" t="n"/>
      <c r="D62" s="15" t="n"/>
      <c r="E62" s="13" t="n"/>
      <c r="F62" s="15" t="n"/>
      <c r="G62" s="15" t="n"/>
      <c r="H62" s="14" t="n"/>
      <c r="I62" s="18">
        <f>IF(A62="","",C62+D62+E62/60*Settings!$B$12+F62+G62)</f>
        <v/>
      </c>
    </row>
    <row r="63">
      <c r="A63" s="13" t="n"/>
      <c r="B63" s="13" t="n"/>
      <c r="C63" s="15" t="n"/>
      <c r="D63" s="15" t="n"/>
      <c r="E63" s="13" t="n"/>
      <c r="F63" s="15" t="n"/>
      <c r="G63" s="15" t="n"/>
      <c r="H63" s="14" t="n"/>
      <c r="I63" s="18">
        <f>IF(A63="","",C63+D63+E63/60*Settings!$B$12+F63+G63)</f>
        <v/>
      </c>
    </row>
    <row r="64">
      <c r="A64" s="13" t="n"/>
      <c r="B64" s="13" t="n"/>
      <c r="C64" s="15" t="n"/>
      <c r="D64" s="15" t="n"/>
      <c r="E64" s="13" t="n"/>
      <c r="F64" s="15" t="n"/>
      <c r="G64" s="15" t="n"/>
      <c r="H64" s="14" t="n"/>
      <c r="I64" s="18">
        <f>IF(A64="","",C64+D64+E64/60*Settings!$B$12+F64+G64)</f>
        <v/>
      </c>
    </row>
    <row r="65">
      <c r="A65" s="13" t="n"/>
      <c r="B65" s="13" t="n"/>
      <c r="C65" s="15" t="n"/>
      <c r="D65" s="15" t="n"/>
      <c r="E65" s="13" t="n"/>
      <c r="F65" s="15" t="n"/>
      <c r="G65" s="15" t="n"/>
      <c r="H65" s="14" t="n"/>
      <c r="I65" s="18">
        <f>IF(A65="","",C65+D65+E65/60*Settings!$B$12+F65+G65)</f>
        <v/>
      </c>
    </row>
    <row r="66">
      <c r="A66" s="13" t="n"/>
      <c r="B66" s="13" t="n"/>
      <c r="C66" s="15" t="n"/>
      <c r="D66" s="15" t="n"/>
      <c r="E66" s="13" t="n"/>
      <c r="F66" s="15" t="n"/>
      <c r="G66" s="15" t="n"/>
      <c r="H66" s="14" t="n"/>
      <c r="I66" s="18">
        <f>IF(A66="","",C66+D66+E66/60*Settings!$B$12+F66+G66)</f>
        <v/>
      </c>
    </row>
    <row r="67">
      <c r="A67" s="13" t="n"/>
      <c r="B67" s="13" t="n"/>
      <c r="C67" s="15" t="n"/>
      <c r="D67" s="15" t="n"/>
      <c r="E67" s="13" t="n"/>
      <c r="F67" s="15" t="n"/>
      <c r="G67" s="15" t="n"/>
      <c r="H67" s="14" t="n"/>
      <c r="I67" s="18">
        <f>IF(A67="","",C67+D67+E67/60*Settings!$B$12+F67+G67)</f>
        <v/>
      </c>
    </row>
    <row r="68">
      <c r="A68" s="13" t="n"/>
      <c r="B68" s="13" t="n"/>
      <c r="C68" s="15" t="n"/>
      <c r="D68" s="15" t="n"/>
      <c r="E68" s="13" t="n"/>
      <c r="F68" s="15" t="n"/>
      <c r="G68" s="15" t="n"/>
      <c r="H68" s="14" t="n"/>
      <c r="I68" s="18">
        <f>IF(A68="","",C68+D68+E68/60*Settings!$B$12+F68+G68)</f>
        <v/>
      </c>
    </row>
    <row r="69">
      <c r="A69" s="13" t="n"/>
      <c r="B69" s="13" t="n"/>
      <c r="C69" s="15" t="n"/>
      <c r="D69" s="15" t="n"/>
      <c r="E69" s="13" t="n"/>
      <c r="F69" s="15" t="n"/>
      <c r="G69" s="15" t="n"/>
      <c r="H69" s="14" t="n"/>
      <c r="I69" s="18">
        <f>IF(A69="","",C69+D69+E69/60*Settings!$B$12+F69+G69)</f>
        <v/>
      </c>
    </row>
    <row r="70">
      <c r="A70" s="13" t="n"/>
      <c r="B70" s="13" t="n"/>
      <c r="C70" s="15" t="n"/>
      <c r="D70" s="15" t="n"/>
      <c r="E70" s="13" t="n"/>
      <c r="F70" s="15" t="n"/>
      <c r="G70" s="15" t="n"/>
      <c r="H70" s="14" t="n"/>
      <c r="I70" s="18">
        <f>IF(A70="","",C70+D70+E70/60*Settings!$B$12+F70+G70)</f>
        <v/>
      </c>
    </row>
    <row r="71">
      <c r="A71" s="13" t="n"/>
      <c r="B71" s="13" t="n"/>
      <c r="C71" s="15" t="n"/>
      <c r="D71" s="15" t="n"/>
      <c r="E71" s="13" t="n"/>
      <c r="F71" s="15" t="n"/>
      <c r="G71" s="15" t="n"/>
      <c r="H71" s="14" t="n"/>
      <c r="I71" s="18">
        <f>IF(A71="","",C71+D71+E71/60*Settings!$B$12+F71+G71)</f>
        <v/>
      </c>
    </row>
    <row r="72">
      <c r="A72" s="13" t="n"/>
      <c r="B72" s="13" t="n"/>
      <c r="C72" s="15" t="n"/>
      <c r="D72" s="15" t="n"/>
      <c r="E72" s="13" t="n"/>
      <c r="F72" s="15" t="n"/>
      <c r="G72" s="15" t="n"/>
      <c r="H72" s="14" t="n"/>
      <c r="I72" s="18">
        <f>IF(A72="","",C72+D72+E72/60*Settings!$B$12+F72+G72)</f>
        <v/>
      </c>
    </row>
    <row r="73">
      <c r="A73" s="13" t="n"/>
      <c r="B73" s="13" t="n"/>
      <c r="C73" s="15" t="n"/>
      <c r="D73" s="15" t="n"/>
      <c r="E73" s="13" t="n"/>
      <c r="F73" s="15" t="n"/>
      <c r="G73" s="15" t="n"/>
      <c r="H73" s="14" t="n"/>
      <c r="I73" s="18">
        <f>IF(A73="","",C73+D73+E73/60*Settings!$B$12+F73+G73)</f>
        <v/>
      </c>
    </row>
    <row r="74">
      <c r="A74" s="13" t="n"/>
      <c r="B74" s="13" t="n"/>
      <c r="C74" s="15" t="n"/>
      <c r="D74" s="15" t="n"/>
      <c r="E74" s="13" t="n"/>
      <c r="F74" s="15" t="n"/>
      <c r="G74" s="15" t="n"/>
      <c r="H74" s="14" t="n"/>
      <c r="I74" s="18">
        <f>IF(A74="","",C74+D74+E74/60*Settings!$B$12+F74+G74)</f>
        <v/>
      </c>
    </row>
    <row r="75">
      <c r="A75" s="13" t="n"/>
      <c r="B75" s="13" t="n"/>
      <c r="C75" s="15" t="n"/>
      <c r="D75" s="15" t="n"/>
      <c r="E75" s="13" t="n"/>
      <c r="F75" s="15" t="n"/>
      <c r="G75" s="15" t="n"/>
      <c r="H75" s="14" t="n"/>
      <c r="I75" s="18">
        <f>IF(A75="","",C75+D75+E75/60*Settings!$B$12+F75+G75)</f>
        <v/>
      </c>
    </row>
    <row r="76">
      <c r="A76" s="13" t="n"/>
      <c r="B76" s="13" t="n"/>
      <c r="C76" s="15" t="n"/>
      <c r="D76" s="15" t="n"/>
      <c r="E76" s="13" t="n"/>
      <c r="F76" s="15" t="n"/>
      <c r="G76" s="15" t="n"/>
      <c r="H76" s="14" t="n"/>
      <c r="I76" s="18">
        <f>IF(A76="","",C76+D76+E76/60*Settings!$B$12+F76+G76)</f>
        <v/>
      </c>
    </row>
    <row r="77">
      <c r="A77" s="13" t="n"/>
      <c r="B77" s="13" t="n"/>
      <c r="C77" s="15" t="n"/>
      <c r="D77" s="15" t="n"/>
      <c r="E77" s="13" t="n"/>
      <c r="F77" s="15" t="n"/>
      <c r="G77" s="15" t="n"/>
      <c r="H77" s="14" t="n"/>
      <c r="I77" s="18">
        <f>IF(A77="","",C77+D77+E77/60*Settings!$B$12+F77+G77)</f>
        <v/>
      </c>
    </row>
    <row r="78">
      <c r="A78" s="13" t="n"/>
      <c r="B78" s="13" t="n"/>
      <c r="C78" s="15" t="n"/>
      <c r="D78" s="15" t="n"/>
      <c r="E78" s="13" t="n"/>
      <c r="F78" s="15" t="n"/>
      <c r="G78" s="15" t="n"/>
      <c r="H78" s="14" t="n"/>
      <c r="I78" s="18">
        <f>IF(A78="","",C78+D78+E78/60*Settings!$B$12+F78+G78)</f>
        <v/>
      </c>
    </row>
    <row r="79">
      <c r="A79" s="13" t="n"/>
      <c r="B79" s="13" t="n"/>
      <c r="C79" s="15" t="n"/>
      <c r="D79" s="15" t="n"/>
      <c r="E79" s="13" t="n"/>
      <c r="F79" s="15" t="n"/>
      <c r="G79" s="15" t="n"/>
      <c r="H79" s="14" t="n"/>
      <c r="I79" s="18">
        <f>IF(A79="","",C79+D79+E79/60*Settings!$B$12+F79+G79)</f>
        <v/>
      </c>
    </row>
    <row r="80">
      <c r="A80" s="13" t="n"/>
      <c r="B80" s="13" t="n"/>
      <c r="C80" s="15" t="n"/>
      <c r="D80" s="15" t="n"/>
      <c r="E80" s="13" t="n"/>
      <c r="F80" s="15" t="n"/>
      <c r="G80" s="15" t="n"/>
      <c r="H80" s="14" t="n"/>
      <c r="I80" s="18">
        <f>IF(A80="","",C80+D80+E80/60*Settings!$B$12+F80+G80)</f>
        <v/>
      </c>
    </row>
    <row r="81">
      <c r="A81" s="13" t="n"/>
      <c r="B81" s="13" t="n"/>
      <c r="C81" s="15" t="n"/>
      <c r="D81" s="15" t="n"/>
      <c r="E81" s="13" t="n"/>
      <c r="F81" s="15" t="n"/>
      <c r="G81" s="15" t="n"/>
      <c r="H81" s="14" t="n"/>
      <c r="I81" s="18">
        <f>IF(A81="","",C81+D81+E81/60*Settings!$B$12+F81+G81)</f>
        <v/>
      </c>
    </row>
    <row r="82">
      <c r="A82" s="13" t="n"/>
      <c r="B82" s="13" t="n"/>
      <c r="C82" s="15" t="n"/>
      <c r="D82" s="15" t="n"/>
      <c r="E82" s="13" t="n"/>
      <c r="F82" s="15" t="n"/>
      <c r="G82" s="15" t="n"/>
      <c r="H82" s="14" t="n"/>
      <c r="I82" s="18">
        <f>IF(A82="","",C82+D82+E82/60*Settings!$B$12+F82+G82)</f>
        <v/>
      </c>
    </row>
    <row r="83">
      <c r="A83" s="13" t="n"/>
      <c r="B83" s="13" t="n"/>
      <c r="C83" s="15" t="n"/>
      <c r="D83" s="15" t="n"/>
      <c r="E83" s="13" t="n"/>
      <c r="F83" s="15" t="n"/>
      <c r="G83" s="15" t="n"/>
      <c r="H83" s="14" t="n"/>
      <c r="I83" s="18">
        <f>IF(A83="","",C83+D83+E83/60*Settings!$B$12+F83+G83)</f>
        <v/>
      </c>
    </row>
    <row r="84">
      <c r="A84" s="13" t="n"/>
      <c r="B84" s="13" t="n"/>
      <c r="C84" s="15" t="n"/>
      <c r="D84" s="15" t="n"/>
      <c r="E84" s="13" t="n"/>
      <c r="F84" s="15" t="n"/>
      <c r="G84" s="15" t="n"/>
      <c r="H84" s="14" t="n"/>
      <c r="I84" s="18">
        <f>IF(A84="","",C84+D84+E84/60*Settings!$B$12+F84+G84)</f>
        <v/>
      </c>
    </row>
    <row r="85">
      <c r="A85" s="13" t="n"/>
      <c r="B85" s="13" t="n"/>
      <c r="C85" s="15" t="n"/>
      <c r="D85" s="15" t="n"/>
      <c r="E85" s="13" t="n"/>
      <c r="F85" s="15" t="n"/>
      <c r="G85" s="15" t="n"/>
      <c r="H85" s="14" t="n"/>
      <c r="I85" s="18">
        <f>IF(A85="","",C85+D85+E85/60*Settings!$B$12+F85+G85)</f>
        <v/>
      </c>
    </row>
    <row r="86">
      <c r="A86" s="13" t="n"/>
      <c r="B86" s="13" t="n"/>
      <c r="C86" s="15" t="n"/>
      <c r="D86" s="15" t="n"/>
      <c r="E86" s="13" t="n"/>
      <c r="F86" s="15" t="n"/>
      <c r="G86" s="15" t="n"/>
      <c r="H86" s="14" t="n"/>
      <c r="I86" s="18">
        <f>IF(A86="","",C86+D86+E86/60*Settings!$B$12+F86+G86)</f>
        <v/>
      </c>
    </row>
    <row r="87">
      <c r="A87" s="13" t="n"/>
      <c r="B87" s="13" t="n"/>
      <c r="C87" s="15" t="n"/>
      <c r="D87" s="15" t="n"/>
      <c r="E87" s="13" t="n"/>
      <c r="F87" s="15" t="n"/>
      <c r="G87" s="15" t="n"/>
      <c r="H87" s="14" t="n"/>
      <c r="I87" s="18">
        <f>IF(A87="","",C87+D87+E87/60*Settings!$B$12+F87+G87)</f>
        <v/>
      </c>
    </row>
    <row r="88">
      <c r="A88" s="13" t="n"/>
      <c r="B88" s="13" t="n"/>
      <c r="C88" s="15" t="n"/>
      <c r="D88" s="15" t="n"/>
      <c r="E88" s="13" t="n"/>
      <c r="F88" s="15" t="n"/>
      <c r="G88" s="15" t="n"/>
      <c r="H88" s="14" t="n"/>
      <c r="I88" s="18">
        <f>IF(A88="","",C88+D88+E88/60*Settings!$B$12+F88+G88)</f>
        <v/>
      </c>
    </row>
    <row r="89">
      <c r="A89" s="13" t="n"/>
      <c r="B89" s="13" t="n"/>
      <c r="C89" s="15" t="n"/>
      <c r="D89" s="15" t="n"/>
      <c r="E89" s="13" t="n"/>
      <c r="F89" s="15" t="n"/>
      <c r="G89" s="15" t="n"/>
      <c r="H89" s="14" t="n"/>
      <c r="I89" s="18">
        <f>IF(A89="","",C89+D89+E89/60*Settings!$B$12+F89+G89)</f>
        <v/>
      </c>
    </row>
    <row r="90">
      <c r="A90" s="13" t="n"/>
      <c r="B90" s="13" t="n"/>
      <c r="C90" s="15" t="n"/>
      <c r="D90" s="15" t="n"/>
      <c r="E90" s="13" t="n"/>
      <c r="F90" s="15" t="n"/>
      <c r="G90" s="15" t="n"/>
      <c r="H90" s="14" t="n"/>
      <c r="I90" s="18">
        <f>IF(A90="","",C90+D90+E90/60*Settings!$B$12+F90+G90)</f>
        <v/>
      </c>
    </row>
    <row r="91">
      <c r="A91" s="13" t="n"/>
      <c r="B91" s="13" t="n"/>
      <c r="C91" s="15" t="n"/>
      <c r="D91" s="15" t="n"/>
      <c r="E91" s="13" t="n"/>
      <c r="F91" s="15" t="n"/>
      <c r="G91" s="15" t="n"/>
      <c r="H91" s="14" t="n"/>
      <c r="I91" s="18">
        <f>IF(A91="","",C91+D91+E91/60*Settings!$B$12+F91+G91)</f>
        <v/>
      </c>
    </row>
    <row r="92">
      <c r="A92" s="13" t="n"/>
      <c r="B92" s="13" t="n"/>
      <c r="C92" s="15" t="n"/>
      <c r="D92" s="15" t="n"/>
      <c r="E92" s="13" t="n"/>
      <c r="F92" s="15" t="n"/>
      <c r="G92" s="15" t="n"/>
      <c r="H92" s="14" t="n"/>
      <c r="I92" s="18">
        <f>IF(A92="","",C92+D92+E92/60*Settings!$B$12+F92+G92)</f>
        <v/>
      </c>
    </row>
    <row r="93">
      <c r="A93" s="13" t="n"/>
      <c r="B93" s="13" t="n"/>
      <c r="C93" s="15" t="n"/>
      <c r="D93" s="15" t="n"/>
      <c r="E93" s="13" t="n"/>
      <c r="F93" s="15" t="n"/>
      <c r="G93" s="15" t="n"/>
      <c r="H93" s="14" t="n"/>
      <c r="I93" s="18">
        <f>IF(A93="","",C93+D93+E93/60*Settings!$B$12+F93+G93)</f>
        <v/>
      </c>
    </row>
    <row r="94">
      <c r="A94" s="13" t="n"/>
      <c r="B94" s="13" t="n"/>
      <c r="C94" s="15" t="n"/>
      <c r="D94" s="15" t="n"/>
      <c r="E94" s="13" t="n"/>
      <c r="F94" s="15" t="n"/>
      <c r="G94" s="15" t="n"/>
      <c r="H94" s="14" t="n"/>
      <c r="I94" s="18">
        <f>IF(A94="","",C94+D94+E94/60*Settings!$B$12+F94+G94)</f>
        <v/>
      </c>
    </row>
    <row r="95">
      <c r="A95" s="13" t="n"/>
      <c r="B95" s="13" t="n"/>
      <c r="C95" s="15" t="n"/>
      <c r="D95" s="15" t="n"/>
      <c r="E95" s="13" t="n"/>
      <c r="F95" s="15" t="n"/>
      <c r="G95" s="15" t="n"/>
      <c r="H95" s="14" t="n"/>
      <c r="I95" s="18">
        <f>IF(A95="","",C95+D95+E95/60*Settings!$B$12+F95+G95)</f>
        <v/>
      </c>
    </row>
    <row r="96">
      <c r="A96" s="13" t="n"/>
      <c r="B96" s="13" t="n"/>
      <c r="C96" s="15" t="n"/>
      <c r="D96" s="15" t="n"/>
      <c r="E96" s="13" t="n"/>
      <c r="F96" s="15" t="n"/>
      <c r="G96" s="15" t="n"/>
      <c r="H96" s="14" t="n"/>
      <c r="I96" s="18">
        <f>IF(A96="","",C96+D96+E96/60*Settings!$B$12+F96+G96)</f>
        <v/>
      </c>
    </row>
    <row r="97">
      <c r="A97" s="13" t="n"/>
      <c r="B97" s="13" t="n"/>
      <c r="C97" s="15" t="n"/>
      <c r="D97" s="15" t="n"/>
      <c r="E97" s="13" t="n"/>
      <c r="F97" s="15" t="n"/>
      <c r="G97" s="15" t="n"/>
      <c r="H97" s="14" t="n"/>
      <c r="I97" s="18">
        <f>IF(A97="","",C97+D97+E97/60*Settings!$B$12+F97+G97)</f>
        <v/>
      </c>
    </row>
    <row r="98">
      <c r="A98" s="13" t="n"/>
      <c r="B98" s="13" t="n"/>
      <c r="C98" s="15" t="n"/>
      <c r="D98" s="15" t="n"/>
      <c r="E98" s="13" t="n"/>
      <c r="F98" s="15" t="n"/>
      <c r="G98" s="15" t="n"/>
      <c r="H98" s="14" t="n"/>
      <c r="I98" s="18">
        <f>IF(A98="","",C98+D98+E98/60*Settings!$B$12+F98+G98)</f>
        <v/>
      </c>
    </row>
    <row r="99">
      <c r="A99" s="13" t="n"/>
      <c r="B99" s="13" t="n"/>
      <c r="C99" s="15" t="n"/>
      <c r="D99" s="15" t="n"/>
      <c r="E99" s="13" t="n"/>
      <c r="F99" s="15" t="n"/>
      <c r="G99" s="15" t="n"/>
      <c r="H99" s="14" t="n"/>
      <c r="I99" s="18">
        <f>IF(A99="","",C99+D99+E99/60*Settings!$B$12+F99+G99)</f>
        <v/>
      </c>
    </row>
    <row r="100">
      <c r="A100" s="13" t="n"/>
      <c r="B100" s="13" t="n"/>
      <c r="C100" s="15" t="n"/>
      <c r="D100" s="15" t="n"/>
      <c r="E100" s="13" t="n"/>
      <c r="F100" s="15" t="n"/>
      <c r="G100" s="15" t="n"/>
      <c r="H100" s="14" t="n"/>
      <c r="I100" s="18">
        <f>IF(A100="","",C100+D100+E100/60*Settings!$B$12+F100+G100)</f>
        <v/>
      </c>
    </row>
    <row r="101">
      <c r="A101" s="13" t="n"/>
      <c r="B101" s="13" t="n"/>
      <c r="C101" s="15" t="n"/>
      <c r="D101" s="15" t="n"/>
      <c r="E101" s="13" t="n"/>
      <c r="F101" s="15" t="n"/>
      <c r="G101" s="15" t="n"/>
      <c r="H101" s="14" t="n"/>
      <c r="I101" s="18">
        <f>IF(A101="","",C101+D101+E101/60*Settings!$B$12+F101+G101)</f>
        <v/>
      </c>
    </row>
    <row r="102">
      <c r="A102" s="13" t="n"/>
      <c r="B102" s="13" t="n"/>
      <c r="C102" s="15" t="n"/>
      <c r="D102" s="15" t="n"/>
      <c r="E102" s="13" t="n"/>
      <c r="F102" s="15" t="n"/>
      <c r="G102" s="15" t="n"/>
      <c r="H102" s="14" t="n"/>
      <c r="I102" s="18">
        <f>IF(A102="","",C102+D102+E102/60*Settings!$B$12+F102+G102)</f>
        <v/>
      </c>
    </row>
    <row r="103">
      <c r="A103" s="13" t="n"/>
      <c r="B103" s="13" t="n"/>
      <c r="C103" s="15" t="n"/>
      <c r="D103" s="15" t="n"/>
      <c r="E103" s="13" t="n"/>
      <c r="F103" s="15" t="n"/>
      <c r="G103" s="15" t="n"/>
      <c r="H103" s="14" t="n"/>
      <c r="I103" s="18">
        <f>IF(A103="","",C103+D103+E103/60*Settings!$B$12+F103+G103)</f>
        <v/>
      </c>
    </row>
    <row r="104">
      <c r="A104" s="13" t="n"/>
      <c r="B104" s="13" t="n"/>
      <c r="C104" s="15" t="n"/>
      <c r="D104" s="15" t="n"/>
      <c r="E104" s="13" t="n"/>
      <c r="F104" s="15" t="n"/>
      <c r="G104" s="15" t="n"/>
      <c r="H104" s="14" t="n"/>
      <c r="I104" s="18">
        <f>IF(A104="","",C104+D104+E104/60*Settings!$B$12+F104+G104)</f>
        <v/>
      </c>
    </row>
    <row r="105">
      <c r="A105" s="13" t="n"/>
      <c r="B105" s="13" t="n"/>
      <c r="C105" s="15" t="n"/>
      <c r="D105" s="15" t="n"/>
      <c r="E105" s="13" t="n"/>
      <c r="F105" s="15" t="n"/>
      <c r="G105" s="15" t="n"/>
      <c r="H105" s="14" t="n"/>
      <c r="I105" s="18">
        <f>IF(A105="","",C105+D105+E105/60*Settings!$B$12+F105+G105)</f>
        <v/>
      </c>
    </row>
    <row r="106">
      <c r="A106" s="13" t="n"/>
      <c r="B106" s="13" t="n"/>
      <c r="C106" s="15" t="n"/>
      <c r="D106" s="15" t="n"/>
      <c r="E106" s="13" t="n"/>
      <c r="F106" s="15" t="n"/>
      <c r="G106" s="15" t="n"/>
      <c r="H106" s="14" t="n"/>
      <c r="I106" s="18">
        <f>IF(A106="","",C106+D106+E106/60*Settings!$B$12+F106+G106)</f>
        <v/>
      </c>
    </row>
    <row r="107">
      <c r="A107" s="13" t="n"/>
      <c r="B107" s="13" t="n"/>
      <c r="C107" s="15" t="n"/>
      <c r="D107" s="15" t="n"/>
      <c r="E107" s="13" t="n"/>
      <c r="F107" s="15" t="n"/>
      <c r="G107" s="15" t="n"/>
      <c r="H107" s="14" t="n"/>
      <c r="I107" s="18">
        <f>IF(A107="","",C107+D107+E107/60*Settings!$B$12+F107+G107)</f>
        <v/>
      </c>
    </row>
    <row r="108">
      <c r="A108" s="13" t="n"/>
      <c r="B108" s="13" t="n"/>
      <c r="C108" s="15" t="n"/>
      <c r="D108" s="15" t="n"/>
      <c r="E108" s="13" t="n"/>
      <c r="F108" s="15" t="n"/>
      <c r="G108" s="15" t="n"/>
      <c r="H108" s="14" t="n"/>
      <c r="I108" s="18">
        <f>IF(A108="","",C108+D108+E108/60*Settings!$B$12+F108+G108)</f>
        <v/>
      </c>
    </row>
    <row r="109">
      <c r="A109" s="13" t="n"/>
      <c r="B109" s="13" t="n"/>
      <c r="C109" s="15" t="n"/>
      <c r="D109" s="15" t="n"/>
      <c r="E109" s="13" t="n"/>
      <c r="F109" s="15" t="n"/>
      <c r="G109" s="15" t="n"/>
      <c r="H109" s="14" t="n"/>
      <c r="I109" s="18">
        <f>IF(A109="","",C109+D109+E109/60*Settings!$B$12+F109+G109)</f>
        <v/>
      </c>
    </row>
    <row r="110">
      <c r="A110" s="13" t="n"/>
      <c r="B110" s="13" t="n"/>
      <c r="C110" s="15" t="n"/>
      <c r="D110" s="15" t="n"/>
      <c r="E110" s="13" t="n"/>
      <c r="F110" s="15" t="n"/>
      <c r="G110" s="15" t="n"/>
      <c r="H110" s="14" t="n"/>
      <c r="I110" s="18">
        <f>IF(A110="","",C110+D110+E110/60*Settings!$B$12+F110+G110)</f>
        <v/>
      </c>
    </row>
    <row r="111">
      <c r="A111" s="13" t="n"/>
      <c r="B111" s="13" t="n"/>
      <c r="C111" s="15" t="n"/>
      <c r="D111" s="15" t="n"/>
      <c r="E111" s="13" t="n"/>
      <c r="F111" s="15" t="n"/>
      <c r="G111" s="15" t="n"/>
      <c r="H111" s="14" t="n"/>
      <c r="I111" s="18">
        <f>IF(A111="","",C111+D111+E111/60*Settings!$B$12+F111+G111)</f>
        <v/>
      </c>
    </row>
    <row r="112">
      <c r="A112" s="13" t="n"/>
      <c r="B112" s="13" t="n"/>
      <c r="C112" s="15" t="n"/>
      <c r="D112" s="15" t="n"/>
      <c r="E112" s="13" t="n"/>
      <c r="F112" s="15" t="n"/>
      <c r="G112" s="15" t="n"/>
      <c r="H112" s="14" t="n"/>
      <c r="I112" s="18">
        <f>IF(A112="","",C112+D112+E112/60*Settings!$B$12+F112+G112)</f>
        <v/>
      </c>
    </row>
    <row r="113">
      <c r="A113" s="13" t="n"/>
      <c r="B113" s="13" t="n"/>
      <c r="C113" s="15" t="n"/>
      <c r="D113" s="15" t="n"/>
      <c r="E113" s="13" t="n"/>
      <c r="F113" s="15" t="n"/>
      <c r="G113" s="15" t="n"/>
      <c r="H113" s="14" t="n"/>
      <c r="I113" s="18">
        <f>IF(A113="","",C113+D113+E113/60*Settings!$B$12+F113+G113)</f>
        <v/>
      </c>
    </row>
    <row r="114">
      <c r="A114" s="13" t="n"/>
      <c r="B114" s="13" t="n"/>
      <c r="C114" s="15" t="n"/>
      <c r="D114" s="15" t="n"/>
      <c r="E114" s="13" t="n"/>
      <c r="F114" s="15" t="n"/>
      <c r="G114" s="15" t="n"/>
      <c r="H114" s="14" t="n"/>
      <c r="I114" s="18">
        <f>IF(A114="","",C114+D114+E114/60*Settings!$B$12+F114+G114)</f>
        <v/>
      </c>
    </row>
    <row r="115">
      <c r="A115" s="13" t="n"/>
      <c r="B115" s="13" t="n"/>
      <c r="C115" s="15" t="n"/>
      <c r="D115" s="15" t="n"/>
      <c r="E115" s="13" t="n"/>
      <c r="F115" s="15" t="n"/>
      <c r="G115" s="15" t="n"/>
      <c r="H115" s="14" t="n"/>
      <c r="I115" s="18">
        <f>IF(A115="","",C115+D115+E115/60*Settings!$B$12+F115+G115)</f>
        <v/>
      </c>
    </row>
    <row r="116">
      <c r="A116" s="13" t="n"/>
      <c r="B116" s="13" t="n"/>
      <c r="C116" s="15" t="n"/>
      <c r="D116" s="15" t="n"/>
      <c r="E116" s="13" t="n"/>
      <c r="F116" s="15" t="n"/>
      <c r="G116" s="15" t="n"/>
      <c r="H116" s="14" t="n"/>
      <c r="I116" s="18">
        <f>IF(A116="","",C116+D116+E116/60*Settings!$B$12+F116+G116)</f>
        <v/>
      </c>
    </row>
    <row r="117">
      <c r="A117" s="13" t="n"/>
      <c r="B117" s="13" t="n"/>
      <c r="C117" s="15" t="n"/>
      <c r="D117" s="15" t="n"/>
      <c r="E117" s="13" t="n"/>
      <c r="F117" s="15" t="n"/>
      <c r="G117" s="15" t="n"/>
      <c r="H117" s="14" t="n"/>
      <c r="I117" s="18">
        <f>IF(A117="","",C117+D117+E117/60*Settings!$B$12+F117+G117)</f>
        <v/>
      </c>
    </row>
    <row r="118">
      <c r="A118" s="13" t="n"/>
      <c r="B118" s="13" t="n"/>
      <c r="C118" s="15" t="n"/>
      <c r="D118" s="15" t="n"/>
      <c r="E118" s="13" t="n"/>
      <c r="F118" s="15" t="n"/>
      <c r="G118" s="15" t="n"/>
      <c r="H118" s="14" t="n"/>
      <c r="I118" s="18">
        <f>IF(A118="","",C118+D118+E118/60*Settings!$B$12+F118+G118)</f>
        <v/>
      </c>
    </row>
    <row r="119">
      <c r="A119" s="13" t="n"/>
      <c r="B119" s="13" t="n"/>
      <c r="C119" s="15" t="n"/>
      <c r="D119" s="15" t="n"/>
      <c r="E119" s="13" t="n"/>
      <c r="F119" s="15" t="n"/>
      <c r="G119" s="15" t="n"/>
      <c r="H119" s="14" t="n"/>
      <c r="I119" s="18">
        <f>IF(A119="","",C119+D119+E119/60*Settings!$B$12+F119+G119)</f>
        <v/>
      </c>
    </row>
    <row r="120">
      <c r="A120" s="13" t="n"/>
      <c r="B120" s="13" t="n"/>
      <c r="C120" s="15" t="n"/>
      <c r="D120" s="15" t="n"/>
      <c r="E120" s="13" t="n"/>
      <c r="F120" s="15" t="n"/>
      <c r="G120" s="15" t="n"/>
      <c r="H120" s="14" t="n"/>
      <c r="I120" s="18">
        <f>IF(A120="","",C120+D120+E120/60*Settings!$B$12+F120+G120)</f>
        <v/>
      </c>
    </row>
    <row r="121">
      <c r="A121" s="13" t="n"/>
      <c r="B121" s="13" t="n"/>
      <c r="C121" s="15" t="n"/>
      <c r="D121" s="15" t="n"/>
      <c r="E121" s="13" t="n"/>
      <c r="F121" s="15" t="n"/>
      <c r="G121" s="15" t="n"/>
      <c r="H121" s="14" t="n"/>
      <c r="I121" s="18">
        <f>IF(A121="","",C121+D121+E121/60*Settings!$B$12+F121+G121)</f>
        <v/>
      </c>
    </row>
    <row r="122">
      <c r="A122" s="13" t="n"/>
      <c r="B122" s="13" t="n"/>
      <c r="C122" s="15" t="n"/>
      <c r="D122" s="15" t="n"/>
      <c r="E122" s="13" t="n"/>
      <c r="F122" s="15" t="n"/>
      <c r="G122" s="15" t="n"/>
      <c r="H122" s="14" t="n"/>
      <c r="I122" s="18">
        <f>IF(A122="","",C122+D122+E122/60*Settings!$B$12+F122+G122)</f>
        <v/>
      </c>
    </row>
    <row r="123">
      <c r="A123" s="13" t="n"/>
      <c r="B123" s="13" t="n"/>
      <c r="C123" s="15" t="n"/>
      <c r="D123" s="15" t="n"/>
      <c r="E123" s="13" t="n"/>
      <c r="F123" s="15" t="n"/>
      <c r="G123" s="15" t="n"/>
      <c r="H123" s="14" t="n"/>
      <c r="I123" s="18">
        <f>IF(A123="","",C123+D123+E123/60*Settings!$B$12+F123+G123)</f>
        <v/>
      </c>
    </row>
    <row r="124">
      <c r="A124" s="13" t="n"/>
      <c r="B124" s="13" t="n"/>
      <c r="C124" s="15" t="n"/>
      <c r="D124" s="15" t="n"/>
      <c r="E124" s="13" t="n"/>
      <c r="F124" s="15" t="n"/>
      <c r="G124" s="15" t="n"/>
      <c r="H124" s="14" t="n"/>
      <c r="I124" s="18">
        <f>IF(A124="","",C124+D124+E124/60*Settings!$B$12+F124+G124)</f>
        <v/>
      </c>
    </row>
    <row r="125">
      <c r="A125" s="13" t="n"/>
      <c r="B125" s="13" t="n"/>
      <c r="C125" s="15" t="n"/>
      <c r="D125" s="15" t="n"/>
      <c r="E125" s="13" t="n"/>
      <c r="F125" s="15" t="n"/>
      <c r="G125" s="15" t="n"/>
      <c r="H125" s="14" t="n"/>
      <c r="I125" s="18">
        <f>IF(A125="","",C125+D125+E125/60*Settings!$B$12+F125+G125)</f>
        <v/>
      </c>
    </row>
    <row r="126">
      <c r="A126" s="13" t="n"/>
      <c r="B126" s="13" t="n"/>
      <c r="C126" s="15" t="n"/>
      <c r="D126" s="15" t="n"/>
      <c r="E126" s="13" t="n"/>
      <c r="F126" s="15" t="n"/>
      <c r="G126" s="15" t="n"/>
      <c r="H126" s="14" t="n"/>
      <c r="I126" s="18">
        <f>IF(A126="","",C126+D126+E126/60*Settings!$B$12+F126+G126)</f>
        <v/>
      </c>
    </row>
    <row r="127">
      <c r="A127" s="13" t="n"/>
      <c r="B127" s="13" t="n"/>
      <c r="C127" s="15" t="n"/>
      <c r="D127" s="15" t="n"/>
      <c r="E127" s="13" t="n"/>
      <c r="F127" s="15" t="n"/>
      <c r="G127" s="15" t="n"/>
      <c r="H127" s="14" t="n"/>
      <c r="I127" s="18">
        <f>IF(A127="","",C127+D127+E127/60*Settings!$B$12+F127+G127)</f>
        <v/>
      </c>
    </row>
    <row r="128">
      <c r="A128" s="13" t="n"/>
      <c r="B128" s="13" t="n"/>
      <c r="C128" s="15" t="n"/>
      <c r="D128" s="15" t="n"/>
      <c r="E128" s="13" t="n"/>
      <c r="F128" s="15" t="n"/>
      <c r="G128" s="15" t="n"/>
      <c r="H128" s="14" t="n"/>
      <c r="I128" s="18">
        <f>IF(A128="","",C128+D128+E128/60*Settings!$B$12+F128+G128)</f>
        <v/>
      </c>
    </row>
    <row r="129">
      <c r="A129" s="13" t="n"/>
      <c r="B129" s="13" t="n"/>
      <c r="C129" s="15" t="n"/>
      <c r="D129" s="15" t="n"/>
      <c r="E129" s="13" t="n"/>
      <c r="F129" s="15" t="n"/>
      <c r="G129" s="15" t="n"/>
      <c r="H129" s="14" t="n"/>
      <c r="I129" s="18">
        <f>IF(A129="","",C129+D129+E129/60*Settings!$B$12+F129+G129)</f>
        <v/>
      </c>
    </row>
    <row r="130">
      <c r="A130" s="13" t="n"/>
      <c r="B130" s="13" t="n"/>
      <c r="C130" s="15" t="n"/>
      <c r="D130" s="15" t="n"/>
      <c r="E130" s="13" t="n"/>
      <c r="F130" s="15" t="n"/>
      <c r="G130" s="15" t="n"/>
      <c r="H130" s="14" t="n"/>
      <c r="I130" s="18">
        <f>IF(A130="","",C130+D130+E130/60*Settings!$B$12+F130+G130)</f>
        <v/>
      </c>
    </row>
    <row r="131">
      <c r="A131" s="13" t="n"/>
      <c r="B131" s="13" t="n"/>
      <c r="C131" s="15" t="n"/>
      <c r="D131" s="15" t="n"/>
      <c r="E131" s="13" t="n"/>
      <c r="F131" s="15" t="n"/>
      <c r="G131" s="15" t="n"/>
      <c r="H131" s="14" t="n"/>
      <c r="I131" s="18">
        <f>IF(A131="","",C131+D131+E131/60*Settings!$B$12+F131+G131)</f>
        <v/>
      </c>
    </row>
    <row r="132">
      <c r="A132" s="13" t="n"/>
      <c r="B132" s="13" t="n"/>
      <c r="C132" s="15" t="n"/>
      <c r="D132" s="15" t="n"/>
      <c r="E132" s="13" t="n"/>
      <c r="F132" s="15" t="n"/>
      <c r="G132" s="15" t="n"/>
      <c r="H132" s="14" t="n"/>
      <c r="I132" s="18">
        <f>IF(A132="","",C132+D132+E132/60*Settings!$B$12+F132+G132)</f>
        <v/>
      </c>
    </row>
    <row r="133">
      <c r="A133" s="13" t="n"/>
      <c r="B133" s="13" t="n"/>
      <c r="C133" s="15" t="n"/>
      <c r="D133" s="15" t="n"/>
      <c r="E133" s="13" t="n"/>
      <c r="F133" s="15" t="n"/>
      <c r="G133" s="15" t="n"/>
      <c r="H133" s="14" t="n"/>
      <c r="I133" s="18">
        <f>IF(A133="","",C133+D133+E133/60*Settings!$B$12+F133+G133)</f>
        <v/>
      </c>
    </row>
    <row r="134">
      <c r="A134" s="13" t="n"/>
      <c r="B134" s="13" t="n"/>
      <c r="C134" s="15" t="n"/>
      <c r="D134" s="15" t="n"/>
      <c r="E134" s="13" t="n"/>
      <c r="F134" s="15" t="n"/>
      <c r="G134" s="15" t="n"/>
      <c r="H134" s="14" t="n"/>
      <c r="I134" s="18">
        <f>IF(A134="","",C134+D134+E134/60*Settings!$B$12+F134+G134)</f>
        <v/>
      </c>
    </row>
    <row r="135">
      <c r="A135" s="13" t="n"/>
      <c r="B135" s="13" t="n"/>
      <c r="C135" s="15" t="n"/>
      <c r="D135" s="15" t="n"/>
      <c r="E135" s="13" t="n"/>
      <c r="F135" s="15" t="n"/>
      <c r="G135" s="15" t="n"/>
      <c r="H135" s="14" t="n"/>
      <c r="I135" s="18">
        <f>IF(A135="","",C135+D135+E135/60*Settings!$B$12+F135+G135)</f>
        <v/>
      </c>
    </row>
    <row r="136">
      <c r="A136" s="13" t="n"/>
      <c r="B136" s="13" t="n"/>
      <c r="C136" s="15" t="n"/>
      <c r="D136" s="15" t="n"/>
      <c r="E136" s="13" t="n"/>
      <c r="F136" s="15" t="n"/>
      <c r="G136" s="15" t="n"/>
      <c r="H136" s="14" t="n"/>
      <c r="I136" s="18">
        <f>IF(A136="","",C136+D136+E136/60*Settings!$B$12+F136+G136)</f>
        <v/>
      </c>
    </row>
    <row r="137">
      <c r="A137" s="13" t="n"/>
      <c r="B137" s="13" t="n"/>
      <c r="C137" s="15" t="n"/>
      <c r="D137" s="15" t="n"/>
      <c r="E137" s="13" t="n"/>
      <c r="F137" s="15" t="n"/>
      <c r="G137" s="15" t="n"/>
      <c r="H137" s="14" t="n"/>
      <c r="I137" s="18">
        <f>IF(A137="","",C137+D137+E137/60*Settings!$B$12+F137+G137)</f>
        <v/>
      </c>
    </row>
    <row r="138">
      <c r="A138" s="13" t="n"/>
      <c r="B138" s="13" t="n"/>
      <c r="C138" s="15" t="n"/>
      <c r="D138" s="15" t="n"/>
      <c r="E138" s="13" t="n"/>
      <c r="F138" s="15" t="n"/>
      <c r="G138" s="15" t="n"/>
      <c r="H138" s="14" t="n"/>
      <c r="I138" s="18">
        <f>IF(A138="","",C138+D138+E138/60*Settings!$B$12+F138+G138)</f>
        <v/>
      </c>
    </row>
    <row r="139">
      <c r="A139" s="13" t="n"/>
      <c r="B139" s="13" t="n"/>
      <c r="C139" s="15" t="n"/>
      <c r="D139" s="15" t="n"/>
      <c r="E139" s="13" t="n"/>
      <c r="F139" s="15" t="n"/>
      <c r="G139" s="15" t="n"/>
      <c r="H139" s="14" t="n"/>
      <c r="I139" s="18">
        <f>IF(A139="","",C139+D139+E139/60*Settings!$B$12+F139+G139)</f>
        <v/>
      </c>
    </row>
    <row r="140">
      <c r="A140" s="13" t="n"/>
      <c r="B140" s="13" t="n"/>
      <c r="C140" s="15" t="n"/>
      <c r="D140" s="15" t="n"/>
      <c r="E140" s="13" t="n"/>
      <c r="F140" s="15" t="n"/>
      <c r="G140" s="15" t="n"/>
      <c r="H140" s="14" t="n"/>
      <c r="I140" s="18">
        <f>IF(A140="","",C140+D140+E140/60*Settings!$B$12+F140+G140)</f>
        <v/>
      </c>
    </row>
    <row r="141">
      <c r="A141" s="13" t="n"/>
      <c r="B141" s="13" t="n"/>
      <c r="C141" s="15" t="n"/>
      <c r="D141" s="15" t="n"/>
      <c r="E141" s="13" t="n"/>
      <c r="F141" s="15" t="n"/>
      <c r="G141" s="15" t="n"/>
      <c r="H141" s="14" t="n"/>
      <c r="I141" s="18">
        <f>IF(A141="","",C141+D141+E141/60*Settings!$B$12+F141+G141)</f>
        <v/>
      </c>
    </row>
    <row r="142">
      <c r="A142" s="13" t="n"/>
      <c r="B142" s="13" t="n"/>
      <c r="C142" s="15" t="n"/>
      <c r="D142" s="15" t="n"/>
      <c r="E142" s="13" t="n"/>
      <c r="F142" s="15" t="n"/>
      <c r="G142" s="15" t="n"/>
      <c r="H142" s="14" t="n"/>
      <c r="I142" s="18">
        <f>IF(A142="","",C142+D142+E142/60*Settings!$B$12+F142+G142)</f>
        <v/>
      </c>
    </row>
    <row r="143">
      <c r="A143" s="13" t="n"/>
      <c r="B143" s="13" t="n"/>
      <c r="C143" s="15" t="n"/>
      <c r="D143" s="15" t="n"/>
      <c r="E143" s="13" t="n"/>
      <c r="F143" s="15" t="n"/>
      <c r="G143" s="15" t="n"/>
      <c r="H143" s="14" t="n"/>
      <c r="I143" s="18">
        <f>IF(A143="","",C143+D143+E143/60*Settings!$B$12+F143+G143)</f>
        <v/>
      </c>
    </row>
    <row r="144">
      <c r="A144" s="13" t="n"/>
      <c r="B144" s="13" t="n"/>
      <c r="C144" s="15" t="n"/>
      <c r="D144" s="15" t="n"/>
      <c r="E144" s="13" t="n"/>
      <c r="F144" s="15" t="n"/>
      <c r="G144" s="15" t="n"/>
      <c r="H144" s="14" t="n"/>
      <c r="I144" s="18">
        <f>IF(A144="","",C144+D144+E144/60*Settings!$B$12+F144+G144)</f>
        <v/>
      </c>
    </row>
    <row r="145">
      <c r="A145" s="13" t="n"/>
      <c r="B145" s="13" t="n"/>
      <c r="C145" s="15" t="n"/>
      <c r="D145" s="15" t="n"/>
      <c r="E145" s="13" t="n"/>
      <c r="F145" s="15" t="n"/>
      <c r="G145" s="15" t="n"/>
      <c r="H145" s="14" t="n"/>
      <c r="I145" s="18">
        <f>IF(A145="","",C145+D145+E145/60*Settings!$B$12+F145+G145)</f>
        <v/>
      </c>
    </row>
    <row r="146">
      <c r="A146" s="13" t="n"/>
      <c r="B146" s="13" t="n"/>
      <c r="C146" s="15" t="n"/>
      <c r="D146" s="15" t="n"/>
      <c r="E146" s="13" t="n"/>
      <c r="F146" s="15" t="n"/>
      <c r="G146" s="15" t="n"/>
      <c r="H146" s="14" t="n"/>
      <c r="I146" s="18">
        <f>IF(A146="","",C146+D146+E146/60*Settings!$B$12+F146+G146)</f>
        <v/>
      </c>
    </row>
    <row r="147">
      <c r="A147" s="13" t="n"/>
      <c r="B147" s="13" t="n"/>
      <c r="C147" s="15" t="n"/>
      <c r="D147" s="15" t="n"/>
      <c r="E147" s="13" t="n"/>
      <c r="F147" s="15" t="n"/>
      <c r="G147" s="15" t="n"/>
      <c r="H147" s="14" t="n"/>
      <c r="I147" s="18">
        <f>IF(A147="","",C147+D147+E147/60*Settings!$B$12+F147+G147)</f>
        <v/>
      </c>
    </row>
    <row r="148">
      <c r="A148" s="13" t="n"/>
      <c r="B148" s="13" t="n"/>
      <c r="C148" s="15" t="n"/>
      <c r="D148" s="15" t="n"/>
      <c r="E148" s="13" t="n"/>
      <c r="F148" s="15" t="n"/>
      <c r="G148" s="15" t="n"/>
      <c r="H148" s="14" t="n"/>
      <c r="I148" s="18">
        <f>IF(A148="","",C148+D148+E148/60*Settings!$B$12+F148+G148)</f>
        <v/>
      </c>
    </row>
    <row r="149">
      <c r="A149" s="13" t="n"/>
      <c r="B149" s="13" t="n"/>
      <c r="C149" s="15" t="n"/>
      <c r="D149" s="15" t="n"/>
      <c r="E149" s="13" t="n"/>
      <c r="F149" s="15" t="n"/>
      <c r="G149" s="15" t="n"/>
      <c r="H149" s="14" t="n"/>
      <c r="I149" s="18">
        <f>IF(A149="","",C149+D149+E149/60*Settings!$B$12+F149+G149)</f>
        <v/>
      </c>
    </row>
    <row r="150">
      <c r="A150" s="13" t="n"/>
      <c r="B150" s="13" t="n"/>
      <c r="C150" s="15" t="n"/>
      <c r="D150" s="15" t="n"/>
      <c r="E150" s="13" t="n"/>
      <c r="F150" s="15" t="n"/>
      <c r="G150" s="15" t="n"/>
      <c r="H150" s="14" t="n"/>
      <c r="I150" s="18">
        <f>IF(A150="","",C150+D150+E150/60*Settings!$B$12+F150+G150)</f>
        <v/>
      </c>
    </row>
    <row r="151">
      <c r="A151" s="13" t="n"/>
      <c r="B151" s="13" t="n"/>
      <c r="C151" s="15" t="n"/>
      <c r="D151" s="15" t="n"/>
      <c r="E151" s="13" t="n"/>
      <c r="F151" s="15" t="n"/>
      <c r="G151" s="15" t="n"/>
      <c r="H151" s="14" t="n"/>
      <c r="I151" s="18">
        <f>IF(A151="","",C151+D151+E151/60*Settings!$B$12+F151+G151)</f>
        <v/>
      </c>
    </row>
    <row r="152">
      <c r="A152" s="13" t="n"/>
      <c r="B152" s="13" t="n"/>
      <c r="C152" s="15" t="n"/>
      <c r="D152" s="15" t="n"/>
      <c r="E152" s="13" t="n"/>
      <c r="F152" s="15" t="n"/>
      <c r="G152" s="15" t="n"/>
      <c r="H152" s="14" t="n"/>
      <c r="I152" s="18">
        <f>IF(A152="","",C152+D152+E152/60*Settings!$B$12+F152+G152)</f>
        <v/>
      </c>
    </row>
    <row r="153">
      <c r="A153" s="13" t="n"/>
      <c r="B153" s="13" t="n"/>
      <c r="C153" s="15" t="n"/>
      <c r="D153" s="15" t="n"/>
      <c r="E153" s="13" t="n"/>
      <c r="F153" s="15" t="n"/>
      <c r="G153" s="15" t="n"/>
      <c r="H153" s="14" t="n"/>
      <c r="I153" s="18">
        <f>IF(A153="","",C153+D153+E153/60*Settings!$B$12+F153+G153)</f>
        <v/>
      </c>
    </row>
    <row r="154">
      <c r="A154" s="13" t="n"/>
      <c r="B154" s="13" t="n"/>
      <c r="C154" s="15" t="n"/>
      <c r="D154" s="15" t="n"/>
      <c r="E154" s="13" t="n"/>
      <c r="F154" s="15" t="n"/>
      <c r="G154" s="15" t="n"/>
      <c r="H154" s="14" t="n"/>
      <c r="I154" s="18">
        <f>IF(A154="","",C154+D154+E154/60*Settings!$B$12+F154+G154)</f>
        <v/>
      </c>
    </row>
    <row r="155">
      <c r="A155" s="13" t="n"/>
      <c r="B155" s="13" t="n"/>
      <c r="C155" s="15" t="n"/>
      <c r="D155" s="15" t="n"/>
      <c r="E155" s="13" t="n"/>
      <c r="F155" s="15" t="n"/>
      <c r="G155" s="15" t="n"/>
      <c r="H155" s="14" t="n"/>
      <c r="I155" s="18">
        <f>IF(A155="","",C155+D155+E155/60*Settings!$B$12+F155+G155)</f>
        <v/>
      </c>
    </row>
    <row r="156">
      <c r="A156" s="13" t="n"/>
      <c r="B156" s="13" t="n"/>
      <c r="C156" s="15" t="n"/>
      <c r="D156" s="15" t="n"/>
      <c r="E156" s="13" t="n"/>
      <c r="F156" s="15" t="n"/>
      <c r="G156" s="15" t="n"/>
      <c r="H156" s="14" t="n"/>
      <c r="I156" s="18">
        <f>IF(A156="","",C156+D156+E156/60*Settings!$B$12+F156+G156)</f>
        <v/>
      </c>
    </row>
    <row r="157">
      <c r="A157" s="13" t="n"/>
      <c r="B157" s="13" t="n"/>
      <c r="C157" s="15" t="n"/>
      <c r="D157" s="15" t="n"/>
      <c r="E157" s="13" t="n"/>
      <c r="F157" s="15" t="n"/>
      <c r="G157" s="15" t="n"/>
      <c r="H157" s="14" t="n"/>
      <c r="I157" s="18">
        <f>IF(A157="","",C157+D157+E157/60*Settings!$B$12+F157+G157)</f>
        <v/>
      </c>
    </row>
    <row r="158">
      <c r="A158" s="13" t="n"/>
      <c r="B158" s="13" t="n"/>
      <c r="C158" s="15" t="n"/>
      <c r="D158" s="15" t="n"/>
      <c r="E158" s="13" t="n"/>
      <c r="F158" s="15" t="n"/>
      <c r="G158" s="15" t="n"/>
      <c r="H158" s="14" t="n"/>
      <c r="I158" s="18">
        <f>IF(A158="","",C158+D158+E158/60*Settings!$B$12+F158+G158)</f>
        <v/>
      </c>
    </row>
    <row r="159">
      <c r="A159" s="13" t="n"/>
      <c r="B159" s="13" t="n"/>
      <c r="C159" s="15" t="n"/>
      <c r="D159" s="15" t="n"/>
      <c r="E159" s="13" t="n"/>
      <c r="F159" s="15" t="n"/>
      <c r="G159" s="15" t="n"/>
      <c r="H159" s="14" t="n"/>
      <c r="I159" s="18">
        <f>IF(A159="","",C159+D159+E159/60*Settings!$B$12+F159+G159)</f>
        <v/>
      </c>
    </row>
    <row r="160">
      <c r="A160" s="13" t="n"/>
      <c r="B160" s="13" t="n"/>
      <c r="C160" s="15" t="n"/>
      <c r="D160" s="15" t="n"/>
      <c r="E160" s="13" t="n"/>
      <c r="F160" s="15" t="n"/>
      <c r="G160" s="15" t="n"/>
      <c r="H160" s="14" t="n"/>
      <c r="I160" s="18">
        <f>IF(A160="","",C160+D160+E160/60*Settings!$B$12+F160+G160)</f>
        <v/>
      </c>
    </row>
    <row r="161">
      <c r="A161" s="13" t="n"/>
      <c r="B161" s="13" t="n"/>
      <c r="C161" s="15" t="n"/>
      <c r="D161" s="15" t="n"/>
      <c r="E161" s="13" t="n"/>
      <c r="F161" s="15" t="n"/>
      <c r="G161" s="15" t="n"/>
      <c r="H161" s="14" t="n"/>
      <c r="I161" s="18">
        <f>IF(A161="","",C161+D161+E161/60*Settings!$B$12+F161+G161)</f>
        <v/>
      </c>
    </row>
    <row r="162">
      <c r="A162" s="13" t="n"/>
      <c r="B162" s="13" t="n"/>
      <c r="C162" s="15" t="n"/>
      <c r="D162" s="15" t="n"/>
      <c r="E162" s="13" t="n"/>
      <c r="F162" s="15" t="n"/>
      <c r="G162" s="15" t="n"/>
      <c r="H162" s="14" t="n"/>
      <c r="I162" s="18">
        <f>IF(A162="","",C162+D162+E162/60*Settings!$B$12+F162+G162)</f>
        <v/>
      </c>
    </row>
    <row r="163">
      <c r="A163" s="13" t="n"/>
      <c r="B163" s="13" t="n"/>
      <c r="C163" s="15" t="n"/>
      <c r="D163" s="15" t="n"/>
      <c r="E163" s="13" t="n"/>
      <c r="F163" s="15" t="n"/>
      <c r="G163" s="15" t="n"/>
      <c r="H163" s="14" t="n"/>
      <c r="I163" s="18">
        <f>IF(A163="","",C163+D163+E163/60*Settings!$B$12+F163+G163)</f>
        <v/>
      </c>
    </row>
    <row r="164">
      <c r="A164" s="13" t="n"/>
      <c r="B164" s="13" t="n"/>
      <c r="C164" s="15" t="n"/>
      <c r="D164" s="15" t="n"/>
      <c r="E164" s="13" t="n"/>
      <c r="F164" s="15" t="n"/>
      <c r="G164" s="15" t="n"/>
      <c r="H164" s="14" t="n"/>
      <c r="I164" s="18">
        <f>IF(A164="","",C164+D164+E164/60*Settings!$B$12+F164+G164)</f>
        <v/>
      </c>
    </row>
    <row r="165">
      <c r="A165" s="13" t="n"/>
      <c r="B165" s="13" t="n"/>
      <c r="C165" s="15" t="n"/>
      <c r="D165" s="15" t="n"/>
      <c r="E165" s="13" t="n"/>
      <c r="F165" s="15" t="n"/>
      <c r="G165" s="15" t="n"/>
      <c r="H165" s="14" t="n"/>
      <c r="I165" s="18">
        <f>IF(A165="","",C165+D165+E165/60*Settings!$B$12+F165+G165)</f>
        <v/>
      </c>
    </row>
    <row r="166">
      <c r="A166" s="13" t="n"/>
      <c r="B166" s="13" t="n"/>
      <c r="C166" s="15" t="n"/>
      <c r="D166" s="15" t="n"/>
      <c r="E166" s="13" t="n"/>
      <c r="F166" s="15" t="n"/>
      <c r="G166" s="15" t="n"/>
      <c r="H166" s="14" t="n"/>
      <c r="I166" s="18">
        <f>IF(A166="","",C166+D166+E166/60*Settings!$B$12+F166+G166)</f>
        <v/>
      </c>
    </row>
    <row r="167">
      <c r="A167" s="13" t="n"/>
      <c r="B167" s="13" t="n"/>
      <c r="C167" s="15" t="n"/>
      <c r="D167" s="15" t="n"/>
      <c r="E167" s="13" t="n"/>
      <c r="F167" s="15" t="n"/>
      <c r="G167" s="15" t="n"/>
      <c r="H167" s="14" t="n"/>
      <c r="I167" s="18">
        <f>IF(A167="","",C167+D167+E167/60*Settings!$B$12+F167+G167)</f>
        <v/>
      </c>
    </row>
    <row r="168">
      <c r="A168" s="13" t="n"/>
      <c r="B168" s="13" t="n"/>
      <c r="C168" s="15" t="n"/>
      <c r="D168" s="15" t="n"/>
      <c r="E168" s="13" t="n"/>
      <c r="F168" s="15" t="n"/>
      <c r="G168" s="15" t="n"/>
      <c r="H168" s="14" t="n"/>
      <c r="I168" s="18">
        <f>IF(A168="","",C168+D168+E168/60*Settings!$B$12+F168+G168)</f>
        <v/>
      </c>
    </row>
    <row r="169">
      <c r="A169" s="13" t="n"/>
      <c r="B169" s="13" t="n"/>
      <c r="C169" s="15" t="n"/>
      <c r="D169" s="15" t="n"/>
      <c r="E169" s="13" t="n"/>
      <c r="F169" s="15" t="n"/>
      <c r="G169" s="15" t="n"/>
      <c r="H169" s="14" t="n"/>
      <c r="I169" s="18">
        <f>IF(A169="","",C169+D169+E169/60*Settings!$B$12+F169+G169)</f>
        <v/>
      </c>
    </row>
    <row r="170">
      <c r="A170" s="13" t="n"/>
      <c r="B170" s="13" t="n"/>
      <c r="C170" s="15" t="n"/>
      <c r="D170" s="15" t="n"/>
      <c r="E170" s="13" t="n"/>
      <c r="F170" s="15" t="n"/>
      <c r="G170" s="15" t="n"/>
      <c r="H170" s="14" t="n"/>
      <c r="I170" s="18">
        <f>IF(A170="","",C170+D170+E170/60*Settings!$B$12+F170+G170)</f>
        <v/>
      </c>
    </row>
    <row r="171">
      <c r="A171" s="13" t="n"/>
      <c r="B171" s="13" t="n"/>
      <c r="C171" s="15" t="n"/>
      <c r="D171" s="15" t="n"/>
      <c r="E171" s="13" t="n"/>
      <c r="F171" s="15" t="n"/>
      <c r="G171" s="15" t="n"/>
      <c r="H171" s="14" t="n"/>
      <c r="I171" s="18">
        <f>IF(A171="","",C171+D171+E171/60*Settings!$B$12+F171+G171)</f>
        <v/>
      </c>
    </row>
    <row r="172">
      <c r="A172" s="13" t="n"/>
      <c r="B172" s="13" t="n"/>
      <c r="C172" s="15" t="n"/>
      <c r="D172" s="15" t="n"/>
      <c r="E172" s="13" t="n"/>
      <c r="F172" s="15" t="n"/>
      <c r="G172" s="15" t="n"/>
      <c r="H172" s="14" t="n"/>
      <c r="I172" s="18">
        <f>IF(A172="","",C172+D172+E172/60*Settings!$B$12+F172+G172)</f>
        <v/>
      </c>
    </row>
    <row r="173">
      <c r="A173" s="13" t="n"/>
      <c r="B173" s="13" t="n"/>
      <c r="C173" s="15" t="n"/>
      <c r="D173" s="15" t="n"/>
      <c r="E173" s="13" t="n"/>
      <c r="F173" s="15" t="n"/>
      <c r="G173" s="15" t="n"/>
      <c r="H173" s="14" t="n"/>
      <c r="I173" s="18">
        <f>IF(A173="","",C173+D173+E173/60*Settings!$B$12+F173+G173)</f>
        <v/>
      </c>
    </row>
    <row r="174">
      <c r="A174" s="13" t="n"/>
      <c r="B174" s="13" t="n"/>
      <c r="C174" s="15" t="n"/>
      <c r="D174" s="15" t="n"/>
      <c r="E174" s="13" t="n"/>
      <c r="F174" s="15" t="n"/>
      <c r="G174" s="15" t="n"/>
      <c r="H174" s="14" t="n"/>
      <c r="I174" s="18">
        <f>IF(A174="","",C174+D174+E174/60*Settings!$B$12+F174+G174)</f>
        <v/>
      </c>
    </row>
    <row r="175">
      <c r="A175" s="13" t="n"/>
      <c r="B175" s="13" t="n"/>
      <c r="C175" s="15" t="n"/>
      <c r="D175" s="15" t="n"/>
      <c r="E175" s="13" t="n"/>
      <c r="F175" s="15" t="n"/>
      <c r="G175" s="15" t="n"/>
      <c r="H175" s="14" t="n"/>
      <c r="I175" s="18">
        <f>IF(A175="","",C175+D175+E175/60*Settings!$B$12+F175+G175)</f>
        <v/>
      </c>
    </row>
    <row r="176">
      <c r="A176" s="13" t="n"/>
      <c r="B176" s="13" t="n"/>
      <c r="C176" s="15" t="n"/>
      <c r="D176" s="15" t="n"/>
      <c r="E176" s="13" t="n"/>
      <c r="F176" s="15" t="n"/>
      <c r="G176" s="15" t="n"/>
      <c r="H176" s="14" t="n"/>
      <c r="I176" s="18">
        <f>IF(A176="","",C176+D176+E176/60*Settings!$B$12+F176+G176)</f>
        <v/>
      </c>
    </row>
    <row r="177">
      <c r="A177" s="13" t="n"/>
      <c r="B177" s="13" t="n"/>
      <c r="C177" s="15" t="n"/>
      <c r="D177" s="15" t="n"/>
      <c r="E177" s="13" t="n"/>
      <c r="F177" s="15" t="n"/>
      <c r="G177" s="15" t="n"/>
      <c r="H177" s="14" t="n"/>
      <c r="I177" s="18">
        <f>IF(A177="","",C177+D177+E177/60*Settings!$B$12+F177+G177)</f>
        <v/>
      </c>
    </row>
    <row r="178">
      <c r="A178" s="13" t="n"/>
      <c r="B178" s="13" t="n"/>
      <c r="C178" s="15" t="n"/>
      <c r="D178" s="15" t="n"/>
      <c r="E178" s="13" t="n"/>
      <c r="F178" s="15" t="n"/>
      <c r="G178" s="15" t="n"/>
      <c r="H178" s="14" t="n"/>
      <c r="I178" s="18">
        <f>IF(A178="","",C178+D178+E178/60*Settings!$B$12+F178+G178)</f>
        <v/>
      </c>
    </row>
    <row r="179">
      <c r="A179" s="13" t="n"/>
      <c r="B179" s="13" t="n"/>
      <c r="C179" s="15" t="n"/>
      <c r="D179" s="15" t="n"/>
      <c r="E179" s="13" t="n"/>
      <c r="F179" s="15" t="n"/>
      <c r="G179" s="15" t="n"/>
      <c r="H179" s="14" t="n"/>
      <c r="I179" s="18">
        <f>IF(A179="","",C179+D179+E179/60*Settings!$B$12+F179+G179)</f>
        <v/>
      </c>
    </row>
    <row r="180">
      <c r="A180" s="13" t="n"/>
      <c r="B180" s="13" t="n"/>
      <c r="C180" s="15" t="n"/>
      <c r="D180" s="15" t="n"/>
      <c r="E180" s="13" t="n"/>
      <c r="F180" s="15" t="n"/>
      <c r="G180" s="15" t="n"/>
      <c r="H180" s="14" t="n"/>
      <c r="I180" s="18">
        <f>IF(A180="","",C180+D180+E180/60*Settings!$B$12+F180+G180)</f>
        <v/>
      </c>
    </row>
    <row r="181">
      <c r="A181" s="13" t="n"/>
      <c r="B181" s="13" t="n"/>
      <c r="C181" s="15" t="n"/>
      <c r="D181" s="15" t="n"/>
      <c r="E181" s="13" t="n"/>
      <c r="F181" s="15" t="n"/>
      <c r="G181" s="15" t="n"/>
      <c r="H181" s="14" t="n"/>
      <c r="I181" s="18">
        <f>IF(A181="","",C181+D181+E181/60*Settings!$B$12+F181+G181)</f>
        <v/>
      </c>
    </row>
    <row r="182">
      <c r="A182" s="13" t="n"/>
      <c r="B182" s="13" t="n"/>
      <c r="C182" s="15" t="n"/>
      <c r="D182" s="15" t="n"/>
      <c r="E182" s="13" t="n"/>
      <c r="F182" s="15" t="n"/>
      <c r="G182" s="15" t="n"/>
      <c r="H182" s="14" t="n"/>
      <c r="I182" s="18">
        <f>IF(A182="","",C182+D182+E182/60*Settings!$B$12+F182+G182)</f>
        <v/>
      </c>
    </row>
    <row r="183">
      <c r="A183" s="13" t="n"/>
      <c r="B183" s="13" t="n"/>
      <c r="C183" s="15" t="n"/>
      <c r="D183" s="15" t="n"/>
      <c r="E183" s="13" t="n"/>
      <c r="F183" s="15" t="n"/>
      <c r="G183" s="15" t="n"/>
      <c r="H183" s="14" t="n"/>
      <c r="I183" s="18">
        <f>IF(A183="","",C183+D183+E183/60*Settings!$B$12+F183+G183)</f>
        <v/>
      </c>
    </row>
    <row r="184">
      <c r="A184" s="13" t="n"/>
      <c r="B184" s="13" t="n"/>
      <c r="C184" s="15" t="n"/>
      <c r="D184" s="15" t="n"/>
      <c r="E184" s="13" t="n"/>
      <c r="F184" s="15" t="n"/>
      <c r="G184" s="15" t="n"/>
      <c r="H184" s="14" t="n"/>
      <c r="I184" s="18">
        <f>IF(A184="","",C184+D184+E184/60*Settings!$B$12+F184+G184)</f>
        <v/>
      </c>
    </row>
    <row r="185">
      <c r="A185" s="13" t="n"/>
      <c r="B185" s="13" t="n"/>
      <c r="C185" s="15" t="n"/>
      <c r="D185" s="15" t="n"/>
      <c r="E185" s="13" t="n"/>
      <c r="F185" s="15" t="n"/>
      <c r="G185" s="15" t="n"/>
      <c r="H185" s="14" t="n"/>
      <c r="I185" s="18">
        <f>IF(A185="","",C185+D185+E185/60*Settings!$B$12+F185+G185)</f>
        <v/>
      </c>
    </row>
    <row r="186">
      <c r="A186" s="13" t="n"/>
      <c r="B186" s="13" t="n"/>
      <c r="C186" s="15" t="n"/>
      <c r="D186" s="15" t="n"/>
      <c r="E186" s="13" t="n"/>
      <c r="F186" s="15" t="n"/>
      <c r="G186" s="15" t="n"/>
      <c r="H186" s="14" t="n"/>
      <c r="I186" s="18">
        <f>IF(A186="","",C186+D186+E186/60*Settings!$B$12+F186+G186)</f>
        <v/>
      </c>
    </row>
    <row r="187">
      <c r="A187" s="13" t="n"/>
      <c r="B187" s="13" t="n"/>
      <c r="C187" s="15" t="n"/>
      <c r="D187" s="15" t="n"/>
      <c r="E187" s="13" t="n"/>
      <c r="F187" s="15" t="n"/>
      <c r="G187" s="15" t="n"/>
      <c r="H187" s="14" t="n"/>
      <c r="I187" s="18">
        <f>IF(A187="","",C187+D187+E187/60*Settings!$B$12+F187+G187)</f>
        <v/>
      </c>
    </row>
    <row r="188">
      <c r="A188" s="13" t="n"/>
      <c r="B188" s="13" t="n"/>
      <c r="C188" s="15" t="n"/>
      <c r="D188" s="15" t="n"/>
      <c r="E188" s="13" t="n"/>
      <c r="F188" s="15" t="n"/>
      <c r="G188" s="15" t="n"/>
      <c r="H188" s="14" t="n"/>
      <c r="I188" s="18">
        <f>IF(A188="","",C188+D188+E188/60*Settings!$B$12+F188+G188)</f>
        <v/>
      </c>
    </row>
    <row r="189">
      <c r="A189" s="13" t="n"/>
      <c r="B189" s="13" t="n"/>
      <c r="C189" s="15" t="n"/>
      <c r="D189" s="15" t="n"/>
      <c r="E189" s="13" t="n"/>
      <c r="F189" s="15" t="n"/>
      <c r="G189" s="15" t="n"/>
      <c r="H189" s="14" t="n"/>
      <c r="I189" s="18">
        <f>IF(A189="","",C189+D189+E189/60*Settings!$B$12+F189+G189)</f>
        <v/>
      </c>
    </row>
    <row r="190">
      <c r="A190" s="13" t="n"/>
      <c r="B190" s="13" t="n"/>
      <c r="C190" s="15" t="n"/>
      <c r="D190" s="15" t="n"/>
      <c r="E190" s="13" t="n"/>
      <c r="F190" s="15" t="n"/>
      <c r="G190" s="15" t="n"/>
      <c r="H190" s="14" t="n"/>
      <c r="I190" s="18">
        <f>IF(A190="","",C190+D190+E190/60*Settings!$B$12+F190+G190)</f>
        <v/>
      </c>
    </row>
    <row r="191">
      <c r="A191" s="13" t="n"/>
      <c r="B191" s="13" t="n"/>
      <c r="C191" s="15" t="n"/>
      <c r="D191" s="15" t="n"/>
      <c r="E191" s="13" t="n"/>
      <c r="F191" s="15" t="n"/>
      <c r="G191" s="15" t="n"/>
      <c r="H191" s="14" t="n"/>
      <c r="I191" s="18">
        <f>IF(A191="","",C191+D191+E191/60*Settings!$B$12+F191+G191)</f>
        <v/>
      </c>
    </row>
    <row r="192">
      <c r="A192" s="13" t="n"/>
      <c r="B192" s="13" t="n"/>
      <c r="C192" s="15" t="n"/>
      <c r="D192" s="15" t="n"/>
      <c r="E192" s="13" t="n"/>
      <c r="F192" s="15" t="n"/>
      <c r="G192" s="15" t="n"/>
      <c r="H192" s="14" t="n"/>
      <c r="I192" s="18">
        <f>IF(A192="","",C192+D192+E192/60*Settings!$B$12+F192+G192)</f>
        <v/>
      </c>
    </row>
    <row r="193">
      <c r="A193" s="13" t="n"/>
      <c r="B193" s="13" t="n"/>
      <c r="C193" s="15" t="n"/>
      <c r="D193" s="15" t="n"/>
      <c r="E193" s="13" t="n"/>
      <c r="F193" s="15" t="n"/>
      <c r="G193" s="15" t="n"/>
      <c r="H193" s="14" t="n"/>
      <c r="I193" s="18">
        <f>IF(A193="","",C193+D193+E193/60*Settings!$B$12+F193+G193)</f>
        <v/>
      </c>
    </row>
    <row r="194">
      <c r="A194" s="13" t="n"/>
      <c r="B194" s="13" t="n"/>
      <c r="C194" s="15" t="n"/>
      <c r="D194" s="15" t="n"/>
      <c r="E194" s="13" t="n"/>
      <c r="F194" s="15" t="n"/>
      <c r="G194" s="15" t="n"/>
      <c r="H194" s="14" t="n"/>
      <c r="I194" s="18">
        <f>IF(A194="","",C194+D194+E194/60*Settings!$B$12+F194+G194)</f>
        <v/>
      </c>
    </row>
    <row r="195">
      <c r="A195" s="13" t="n"/>
      <c r="B195" s="13" t="n"/>
      <c r="C195" s="15" t="n"/>
      <c r="D195" s="15" t="n"/>
      <c r="E195" s="13" t="n"/>
      <c r="F195" s="15" t="n"/>
      <c r="G195" s="15" t="n"/>
      <c r="H195" s="14" t="n"/>
      <c r="I195" s="18">
        <f>IF(A195="","",C195+D195+E195/60*Settings!$B$12+F195+G195)</f>
        <v/>
      </c>
    </row>
    <row r="196">
      <c r="A196" s="13" t="n"/>
      <c r="B196" s="13" t="n"/>
      <c r="C196" s="15" t="n"/>
      <c r="D196" s="15" t="n"/>
      <c r="E196" s="13" t="n"/>
      <c r="F196" s="15" t="n"/>
      <c r="G196" s="15" t="n"/>
      <c r="H196" s="14" t="n"/>
      <c r="I196" s="18">
        <f>IF(A196="","",C196+D196+E196/60*Settings!$B$12+F196+G196)</f>
        <v/>
      </c>
    </row>
    <row r="197">
      <c r="A197" s="13" t="n"/>
      <c r="B197" s="13" t="n"/>
      <c r="C197" s="15" t="n"/>
      <c r="D197" s="15" t="n"/>
      <c r="E197" s="13" t="n"/>
      <c r="F197" s="15" t="n"/>
      <c r="G197" s="15" t="n"/>
      <c r="H197" s="14" t="n"/>
      <c r="I197" s="18">
        <f>IF(A197="","",C197+D197+E197/60*Settings!$B$12+F197+G197)</f>
        <v/>
      </c>
    </row>
    <row r="198">
      <c r="A198" s="13" t="n"/>
      <c r="B198" s="13" t="n"/>
      <c r="C198" s="15" t="n"/>
      <c r="D198" s="15" t="n"/>
      <c r="E198" s="13" t="n"/>
      <c r="F198" s="15" t="n"/>
      <c r="G198" s="15" t="n"/>
      <c r="H198" s="14" t="n"/>
      <c r="I198" s="18">
        <f>IF(A198="","",C198+D198+E198/60*Settings!$B$12+F198+G198)</f>
        <v/>
      </c>
    </row>
    <row r="199">
      <c r="A199" s="13" t="n"/>
      <c r="B199" s="13" t="n"/>
      <c r="C199" s="15" t="n"/>
      <c r="D199" s="15" t="n"/>
      <c r="E199" s="13" t="n"/>
      <c r="F199" s="15" t="n"/>
      <c r="G199" s="15" t="n"/>
      <c r="H199" s="14" t="n"/>
      <c r="I199" s="18">
        <f>IF(A199="","",C199+D199+E199/60*Settings!$B$12+F199+G199)</f>
        <v/>
      </c>
    </row>
    <row r="200">
      <c r="A200" s="13" t="n"/>
      <c r="B200" s="13" t="n"/>
      <c r="C200" s="15" t="n"/>
      <c r="D200" s="15" t="n"/>
      <c r="E200" s="13" t="n"/>
      <c r="F200" s="15" t="n"/>
      <c r="G200" s="15" t="n"/>
      <c r="H200" s="14" t="n"/>
      <c r="I200" s="18">
        <f>IF(A200="","",C200+D200+E200/60*Settings!$B$12+F200+G200)</f>
        <v/>
      </c>
    </row>
    <row r="201">
      <c r="A201" s="13" t="n"/>
      <c r="B201" s="13" t="n"/>
      <c r="C201" s="15" t="n"/>
      <c r="D201" s="15" t="n"/>
      <c r="E201" s="13" t="n"/>
      <c r="F201" s="15" t="n"/>
      <c r="G201" s="15" t="n"/>
      <c r="H201" s="14" t="n"/>
      <c r="I201" s="18">
        <f>IF(A201="","",C201+D201+E201/60*Settings!$B$12+F201+G201)</f>
        <v/>
      </c>
    </row>
    <row r="202">
      <c r="A202" s="13" t="n"/>
      <c r="B202" s="13" t="n"/>
      <c r="C202" s="15" t="n"/>
      <c r="D202" s="15" t="n"/>
      <c r="E202" s="13" t="n"/>
      <c r="F202" s="15" t="n"/>
      <c r="G202" s="15" t="n"/>
      <c r="H202" s="14" t="n"/>
      <c r="I202" s="18">
        <f>IF(A202="","",C202+D202+E202/60*Settings!$B$12+F202+G202)</f>
        <v/>
      </c>
    </row>
    <row r="203">
      <c r="A203" s="13" t="n"/>
      <c r="B203" s="13" t="n"/>
      <c r="C203" s="15" t="n"/>
      <c r="D203" s="15" t="n"/>
      <c r="E203" s="13" t="n"/>
      <c r="F203" s="15" t="n"/>
      <c r="G203" s="15" t="n"/>
      <c r="H203" s="14" t="n"/>
      <c r="I203" s="18">
        <f>IF(A203="","",C203+D203+E203/60*Settings!$B$12+F203+G203)</f>
        <v/>
      </c>
    </row>
    <row r="204">
      <c r="A204" s="13" t="n"/>
      <c r="B204" s="13" t="n"/>
      <c r="C204" s="15" t="n"/>
      <c r="D204" s="15" t="n"/>
      <c r="E204" s="13" t="n"/>
      <c r="F204" s="15" t="n"/>
      <c r="G204" s="15" t="n"/>
      <c r="H204" s="14" t="n"/>
      <c r="I204" s="18">
        <f>IF(A204="","",C204+D204+E204/60*Settings!$B$12+F204+G204)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1C232"/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Date</t>
        </is>
      </c>
      <c r="B1" t="inlineStr">
        <is>
          <t>Item Name</t>
        </is>
      </c>
      <c r="C1" t="inlineStr">
        <is>
          <t>Buyer</t>
        </is>
      </c>
      <c r="D1" t="inlineStr">
        <is>
          <t>Quantity</t>
        </is>
      </c>
      <c r="E1" t="inlineStr">
        <is>
          <t>Price</t>
        </is>
      </c>
      <c r="F1" t="inlineStr">
        <is>
          <t>Coupon Code</t>
        </is>
      </c>
      <c r="G1" t="inlineStr">
        <is>
          <t>Coupon Details</t>
        </is>
      </c>
      <c r="H1" t="inlineStr">
        <is>
          <t>Discount Amount</t>
        </is>
      </c>
      <c r="I1" t="inlineStr">
        <is>
          <t>Shipping Discount</t>
        </is>
      </c>
      <c r="J1" t="inlineStr">
        <is>
          <t>Order Shipping</t>
        </is>
      </c>
      <c r="K1" t="inlineStr">
        <is>
          <t>Order Sales Tax</t>
        </is>
      </c>
      <c r="L1" t="inlineStr">
        <is>
          <t>Item Total</t>
        </is>
      </c>
      <c r="M1" t="inlineStr">
        <is>
          <t>Currency</t>
        </is>
      </c>
      <c r="N1" t="inlineStr">
        <is>
          <t>Transaction ID</t>
        </is>
      </c>
      <c r="O1" t="inlineStr">
        <is>
          <t>Listing ID</t>
        </is>
      </c>
      <c r="P1" t="inlineStr">
        <is>
          <t>Order ID</t>
        </is>
      </c>
      <c r="Q1" t="inlineStr">
        <is>
          <t>SKU</t>
        </is>
      </c>
    </row>
    <row r="2">
      <c r="A2" t="inlineStr">
        <is>
          <t>10/01/26</t>
        </is>
      </c>
      <c r="B2" t="inlineStr">
        <is>
          <t>Lavender Soy Candle 8oz</t>
        </is>
      </c>
      <c r="C2" t="inlineStr">
        <is>
          <t>A</t>
        </is>
      </c>
      <c r="D2" t="n">
        <v>2</v>
      </c>
      <c r="E2" t="n">
        <v>18</v>
      </c>
      <c r="F2" t="inlineStr"/>
      <c r="G2" t="inlineStr"/>
      <c r="H2" t="n">
        <v>0</v>
      </c>
      <c r="I2" t="n">
        <v>0</v>
      </c>
      <c r="J2" t="n">
        <v>0</v>
      </c>
      <c r="K2" t="n">
        <v>0</v>
      </c>
      <c r="L2" t="n">
        <v>36</v>
      </c>
      <c r="M2" t="inlineStr">
        <is>
          <t>USD</t>
        </is>
      </c>
      <c r="N2" t="n">
        <v>1</v>
      </c>
      <c r="O2" t="n">
        <v>11</v>
      </c>
      <c r="P2" t="n">
        <v>9001</v>
      </c>
      <c r="Q2" t="inlineStr">
        <is>
          <t>CAN-LAV</t>
        </is>
      </c>
    </row>
    <row r="3">
      <c r="A3" t="inlineStr">
        <is>
          <t>10/02/26</t>
        </is>
      </c>
      <c r="B3" t="inlineStr">
        <is>
          <t>Handmade Ceramic Mug - Speckled</t>
        </is>
      </c>
      <c r="C3" t="inlineStr">
        <is>
          <t>B</t>
        </is>
      </c>
      <c r="D3" t="n">
        <v>1</v>
      </c>
      <c r="E3" t="n">
        <v>28</v>
      </c>
      <c r="F3" t="inlineStr"/>
      <c r="G3" t="inlineStr"/>
      <c r="H3" t="n">
        <v>0</v>
      </c>
      <c r="I3" t="n">
        <v>0</v>
      </c>
      <c r="J3" t="n">
        <v>0</v>
      </c>
      <c r="K3" t="n">
        <v>0</v>
      </c>
      <c r="L3" t="n">
        <v>28</v>
      </c>
      <c r="M3" t="inlineStr">
        <is>
          <t>USD</t>
        </is>
      </c>
      <c r="N3" t="n">
        <v>2</v>
      </c>
      <c r="O3" t="n">
        <v>12</v>
      </c>
      <c r="P3" t="n">
        <v>9002</v>
      </c>
      <c r="Q3" t="inlineStr">
        <is>
          <t>MUG-01</t>
        </is>
      </c>
    </row>
    <row r="4">
      <c r="A4" t="inlineStr">
        <is>
          <t>10/03/26</t>
        </is>
      </c>
      <c r="B4" t="inlineStr">
        <is>
          <t>Cute Frog Sticker Pack (5)</t>
        </is>
      </c>
      <c r="C4" t="inlineStr">
        <is>
          <t>C</t>
        </is>
      </c>
      <c r="D4" t="n">
        <v>3</v>
      </c>
      <c r="E4" t="n">
        <v>6</v>
      </c>
      <c r="F4" t="inlineStr"/>
      <c r="G4" t="inlineStr"/>
      <c r="H4" t="n">
        <v>0</v>
      </c>
      <c r="I4" t="n">
        <v>0</v>
      </c>
      <c r="J4" t="n">
        <v>1.5</v>
      </c>
      <c r="K4" t="n">
        <v>0</v>
      </c>
      <c r="L4" t="n">
        <v>18</v>
      </c>
      <c r="M4" t="inlineStr">
        <is>
          <t>USD</t>
        </is>
      </c>
      <c r="N4" t="n">
        <v>3</v>
      </c>
      <c r="O4" t="n">
        <v>13</v>
      </c>
      <c r="P4" t="n">
        <v>9003</v>
      </c>
      <c r="Q4" t="inlineStr">
        <is>
          <t>STK-5</t>
        </is>
      </c>
    </row>
    <row r="5">
      <c r="A5" t="inlineStr">
        <is>
          <t>10/03/26</t>
        </is>
      </c>
      <c r="B5" t="inlineStr">
        <is>
          <t>Lavender Soy Candle 8oz</t>
        </is>
      </c>
      <c r="C5" t="inlineStr">
        <is>
          <t>C</t>
        </is>
      </c>
      <c r="D5" t="n">
        <v>1</v>
      </c>
      <c r="E5" t="n">
        <v>18</v>
      </c>
      <c r="F5" t="inlineStr">
        <is>
          <t>SAVE10</t>
        </is>
      </c>
      <c r="G5" t="inlineStr"/>
      <c r="H5" t="n">
        <v>2.4</v>
      </c>
      <c r="I5" t="n">
        <v>0</v>
      </c>
      <c r="J5" t="n">
        <v>1.5</v>
      </c>
      <c r="K5" t="n">
        <v>0</v>
      </c>
      <c r="L5" t="n">
        <v>18</v>
      </c>
      <c r="M5" t="inlineStr">
        <is>
          <t>USD</t>
        </is>
      </c>
      <c r="N5" t="n">
        <v>4</v>
      </c>
      <c r="O5" t="n">
        <v>11</v>
      </c>
      <c r="P5" t="n">
        <v>9003</v>
      </c>
      <c r="Q5" t="inlineStr">
        <is>
          <t>CAN-LAV</t>
        </is>
      </c>
    </row>
    <row r="6">
      <c r="A6" t="inlineStr">
        <is>
          <t>10/05/26</t>
        </is>
      </c>
      <c r="B6" t="inlineStr">
        <is>
          <t>Handmade Ceramic Mug - Speckled</t>
        </is>
      </c>
      <c r="C6" t="inlineStr">
        <is>
          <t>D</t>
        </is>
      </c>
      <c r="D6" t="n">
        <v>2</v>
      </c>
      <c r="E6" t="n">
        <v>28</v>
      </c>
      <c r="F6" t="inlineStr"/>
      <c r="G6" t="inlineStr"/>
      <c r="H6" t="n">
        <v>0</v>
      </c>
      <c r="I6" t="n">
        <v>0</v>
      </c>
      <c r="J6" t="n">
        <v>0</v>
      </c>
      <c r="K6" t="n">
        <v>0</v>
      </c>
      <c r="L6" t="n">
        <v>56</v>
      </c>
      <c r="M6" t="inlineStr">
        <is>
          <t>USD</t>
        </is>
      </c>
      <c r="N6" t="n">
        <v>5</v>
      </c>
      <c r="O6" t="n">
        <v>12</v>
      </c>
      <c r="P6" t="n">
        <v>9004</v>
      </c>
      <c r="Q6" t="inlineStr">
        <is>
          <t>MUG-01</t>
        </is>
      </c>
    </row>
    <row r="7">
      <c r="A7" t="inlineStr">
        <is>
          <t>10/06/26</t>
        </is>
      </c>
      <c r="B7" t="inlineStr">
        <is>
          <t>Pressed Flower Bookmark</t>
        </is>
      </c>
      <c r="C7" t="inlineStr">
        <is>
          <t>E</t>
        </is>
      </c>
      <c r="D7" t="n">
        <v>1</v>
      </c>
      <c r="E7" t="n">
        <v>9</v>
      </c>
      <c r="F7" t="inlineStr"/>
      <c r="G7" t="inlineStr"/>
      <c r="H7" t="n">
        <v>0</v>
      </c>
      <c r="I7" t="n">
        <v>0</v>
      </c>
      <c r="J7" t="n">
        <v>0</v>
      </c>
      <c r="K7" t="n">
        <v>0</v>
      </c>
      <c r="L7" t="n">
        <v>9</v>
      </c>
      <c r="M7" t="inlineStr">
        <is>
          <t>USD</t>
        </is>
      </c>
      <c r="N7" t="n">
        <v>6</v>
      </c>
      <c r="O7" t="n">
        <v>14</v>
      </c>
      <c r="P7" t="n">
        <v>9005</v>
      </c>
      <c r="Q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1C232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Financial Status</t>
        </is>
      </c>
      <c r="D1" t="inlineStr">
        <is>
          <t>Paid at</t>
        </is>
      </c>
      <c r="E1" t="inlineStr">
        <is>
          <t>Currency</t>
        </is>
      </c>
      <c r="F1" t="inlineStr">
        <is>
          <t>Subtotal</t>
        </is>
      </c>
      <c r="G1" t="inlineStr">
        <is>
          <t>Shipping</t>
        </is>
      </c>
      <c r="H1" t="inlineStr">
        <is>
          <t>Taxes</t>
        </is>
      </c>
      <c r="I1" t="inlineStr">
        <is>
          <t>Total</t>
        </is>
      </c>
      <c r="J1" t="inlineStr">
        <is>
          <t>Discount Code</t>
        </is>
      </c>
      <c r="K1" t="inlineStr">
        <is>
          <t>Discount Amount</t>
        </is>
      </c>
      <c r="L1" t="inlineStr">
        <is>
          <t>Lineitem quantity</t>
        </is>
      </c>
      <c r="M1" t="inlineStr">
        <is>
          <t>Lineitem name</t>
        </is>
      </c>
      <c r="N1" t="inlineStr">
        <is>
          <t>Lineitem price</t>
        </is>
      </c>
      <c r="O1" t="inlineStr">
        <is>
          <t>Lineitem sku</t>
        </is>
      </c>
    </row>
    <row r="2">
      <c r="A2" t="inlineStr">
        <is>
          <t>#1001</t>
        </is>
      </c>
      <c r="B2" t="inlineStr">
        <is>
          <t>x@y.z</t>
        </is>
      </c>
      <c r="C2" t="inlineStr">
        <is>
          <t>paid</t>
        </is>
      </c>
      <c r="D2" t="inlineStr">
        <is>
          <t>2026-10-02 10:00:00 -0400</t>
        </is>
      </c>
      <c r="E2" t="inlineStr">
        <is>
          <t>USD</t>
        </is>
      </c>
      <c r="F2" t="n">
        <v>48</v>
      </c>
      <c r="G2" t="n">
        <v>5</v>
      </c>
      <c r="H2" t="n">
        <v>0</v>
      </c>
      <c r="I2" t="n">
        <v>53</v>
      </c>
      <c r="J2" t="inlineStr"/>
      <c r="K2" t="n">
        <v>0</v>
      </c>
      <c r="L2" t="n">
        <v>2</v>
      </c>
      <c r="M2" t="inlineStr">
        <is>
          <t>Lavender Soy Candle 8oz</t>
        </is>
      </c>
      <c r="N2" t="n">
        <v>20</v>
      </c>
      <c r="O2" t="inlineStr">
        <is>
          <t>CAN-LAV</t>
        </is>
      </c>
    </row>
    <row r="3">
      <c r="A3" t="inlineStr">
        <is>
          <t>#1001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1</v>
      </c>
      <c r="M3" t="inlineStr">
        <is>
          <t>Cute Frog Sticker Pack (5)</t>
        </is>
      </c>
      <c r="N3" t="n">
        <v>8</v>
      </c>
      <c r="O3" t="inlineStr">
        <is>
          <t>STK-5</t>
        </is>
      </c>
    </row>
    <row r="4">
      <c r="A4" t="inlineStr">
        <is>
          <t>#1002</t>
        </is>
      </c>
      <c r="B4" t="inlineStr">
        <is>
          <t>z@y.x</t>
        </is>
      </c>
      <c r="C4" t="inlineStr">
        <is>
          <t>paid</t>
        </is>
      </c>
      <c r="D4" t="inlineStr">
        <is>
          <t>2026-10-04 12:00:00 -0400</t>
        </is>
      </c>
      <c r="E4" t="inlineStr">
        <is>
          <t>USD</t>
        </is>
      </c>
      <c r="F4" t="n">
        <v>30</v>
      </c>
      <c r="G4" t="n">
        <v>0</v>
      </c>
      <c r="H4" t="n">
        <v>0</v>
      </c>
      <c r="I4" t="n">
        <v>27</v>
      </c>
      <c r="J4" t="inlineStr">
        <is>
          <t>WELCOME</t>
        </is>
      </c>
      <c r="K4" t="n">
        <v>3</v>
      </c>
      <c r="L4" t="n">
        <v>1</v>
      </c>
      <c r="M4" t="inlineStr">
        <is>
          <t>Handmade Ceramic Mug - Speckled</t>
        </is>
      </c>
      <c r="N4" t="n">
        <v>30</v>
      </c>
      <c r="O4" t="inlineStr">
        <is>
          <t>MUG-01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11" customWidth="1" min="4" max="4"/>
    <col width="7" customWidth="1" min="5" max="5"/>
    <col width="11" customWidth="1" min="6" max="6"/>
    <col width="12" customWidth="1" min="7" max="7"/>
    <col width="11" customWidth="1" min="8" max="8"/>
    <col width="11" customWidth="1" min="9" max="9"/>
    <col width="36" customWidth="1" min="10" max="10"/>
    <col width="12" customWidth="1" min="11" max="11"/>
    <col width="12" customWidth="1" min="12" max="12"/>
    <col width="7" customWidth="1" min="13" max="13"/>
    <col width="11" customWidth="1" min="14" max="14"/>
    <col width="12" customWidth="1" min="15" max="15"/>
    <col width="10" customWidth="1" min="16" max="16"/>
    <col width="12" customWidth="1" min="17" max="17"/>
    <col width="11" customWidth="1" min="18" max="18"/>
    <col width="12" customWidth="1" min="19" max="19"/>
    <col width="9" customWidth="1" min="20" max="20"/>
    <col width="34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2" customHeight="1">
      <c r="A1" s="10" t="inlineStr">
        <is>
          <t>Date</t>
        </is>
      </c>
      <c r="B1" s="10" t="inlineStr">
        <is>
          <t>Platform</t>
        </is>
      </c>
      <c r="C1" s="10" t="inlineStr">
        <is>
          <t>Product name</t>
        </is>
      </c>
      <c r="D1" s="10" t="inlineStr">
        <is>
          <t>SKU</t>
        </is>
      </c>
      <c r="E1" s="10" t="inlineStr">
        <is>
          <t>Qty</t>
        </is>
      </c>
      <c r="F1" s="10" t="inlineStr">
        <is>
          <t>Unit price</t>
        </is>
      </c>
      <c r="G1" s="10" t="inlineStr">
        <is>
          <t>Shipping charged</t>
        </is>
      </c>
      <c r="H1" s="10" t="inlineStr">
        <is>
          <t>Discount</t>
        </is>
      </c>
      <c r="I1" s="10" t="inlineStr">
        <is>
          <t>Order ID</t>
        </is>
      </c>
      <c r="J1" s="10" t="inlineStr">
        <is>
          <t>Product (as sold)</t>
        </is>
      </c>
      <c r="K1" s="10" t="inlineStr">
        <is>
          <t>SKU</t>
        </is>
      </c>
      <c r="L1" s="10" t="inlineStr">
        <is>
          <t>Order ID</t>
        </is>
      </c>
      <c r="M1" s="10" t="inlineStr">
        <is>
          <t>Qty</t>
        </is>
      </c>
      <c r="N1" s="10" t="inlineStr">
        <is>
          <t>Unit price</t>
        </is>
      </c>
      <c r="O1" s="10" t="inlineStr">
        <is>
          <t>Item revenue</t>
        </is>
      </c>
      <c r="P1" s="10" t="inlineStr">
        <is>
          <t>Items in order</t>
        </is>
      </c>
      <c r="Q1" s="10" t="inlineStr">
        <is>
          <t>Shipping charged</t>
        </is>
      </c>
      <c r="R1" s="10" t="inlineStr">
        <is>
          <t>Discount</t>
        </is>
      </c>
      <c r="S1" s="10" t="inlineStr">
        <is>
          <t>Gross sales</t>
        </is>
      </c>
      <c r="T1" s="10" t="inlineStr">
        <is>
          <t>Product row</t>
        </is>
      </c>
      <c r="U1" s="10" t="inlineStr">
        <is>
          <t>Matched product</t>
        </is>
      </c>
      <c r="V1" s="10" t="inlineStr">
        <is>
          <t>Platform fees</t>
        </is>
      </c>
      <c r="W1" s="10" t="inlineStr">
        <is>
          <t>Product costs</t>
        </is>
      </c>
      <c r="X1" s="10" t="inlineStr">
        <is>
          <t>Return allowance</t>
        </is>
      </c>
      <c r="Y1" s="10" t="inlineStr">
        <is>
          <t>Net profit</t>
        </is>
      </c>
    </row>
    <row r="2">
      <c r="A2" s="19" t="inlineStr">
        <is>
          <t>10/04/26</t>
        </is>
      </c>
      <c r="B2" s="19" t="inlineStr">
        <is>
          <t>Amazon</t>
        </is>
      </c>
      <c r="C2" s="19" t="inlineStr">
        <is>
          <t>Linen Tote Bag</t>
        </is>
      </c>
      <c r="D2" s="19" t="inlineStr">
        <is>
          <t>TOTE-1</t>
        </is>
      </c>
      <c r="E2" s="19" t="n">
        <v>3</v>
      </c>
      <c r="F2" s="20" t="n">
        <v>24</v>
      </c>
      <c r="G2" s="20" t="n">
        <v>0</v>
      </c>
      <c r="H2" s="20" t="n">
        <v>0</v>
      </c>
      <c r="I2" s="19" t="inlineStr">
        <is>
          <t>AMZ-1</t>
        </is>
      </c>
      <c r="J2">
        <f>IFERROR(IF(C2="","",C2)&amp;"","")</f>
        <v/>
      </c>
      <c r="K2">
        <f>IFERROR(IF(D2="","",D2)&amp;"","")</f>
        <v/>
      </c>
      <c r="L2">
        <f>IFERROR(IF(I2="","",I2)&amp;"","")</f>
        <v/>
      </c>
      <c r="M2">
        <f>IF(J2="","",IFERROR(VALUE(SUBSTITUTE(SUBSTITUTE(IF(E2="","",E2)&amp;"","$",""),",","")),0))</f>
        <v/>
      </c>
      <c r="N2" s="11">
        <f>IF(J2="","",IFERROR(VALUE(SUBSTITUTE(SUBSTITUTE(IF(F2="","",F2)&amp;"","$",""),",","")),0))</f>
        <v/>
      </c>
      <c r="O2" s="11">
        <f>IF(J2="","",M2*N2)</f>
        <v/>
      </c>
      <c r="P2">
        <f>IF(J2="","",IF(L2="",1,COUNTIF($L$2:$L$1501,L2)))</f>
        <v/>
      </c>
      <c r="Q2" s="11">
        <f>IF(J2="","",IFERROR(VALUE(SUBSTITUTE(SUBSTITUTE(IF(G2="","",G2)&amp;"","$",""),",","")),0)/IF("No"="Yes",P2,1))</f>
        <v/>
      </c>
      <c r="R2" s="11">
        <f>IF(J2="","",IFERROR(VALUE(SUBSTITUTE(SUBSTITUTE(IF(H2="","",H2)&amp;"","$",""),",","")),0)/IF("No"="Yes",P2,1))</f>
        <v/>
      </c>
      <c r="S2" s="11">
        <f>IF(J2="","",O2+Q2-R2)</f>
        <v/>
      </c>
      <c r="T2">
        <f>IF(J2="","",IFERROR(IF(K2="",NA(),MATCH(K2,Products!$B$5:$B$204,0)),IFERROR(MATCH(J2,Products!$A$5:$A$204,0),"")))</f>
        <v/>
      </c>
      <c r="U2">
        <f>IF(J2="","",IF(T2="","⚠ not in Products",INDEX(Products!$A$5:$A$204,T2)))</f>
        <v/>
      </c>
      <c r="V2" s="11">
        <f>IF(J2="","",S2*(IFERROR(INDEX(Settings!$B$5:$B$9,MATCH($B2,Settings!$A$5:$A$9,0)),0)+IFERROR(INDEX(Settings!$E$5:$E$9,MATCH($B2,Settings!$A$5:$A$9,0)),0)+IFERROR(INDEX(Settings!$G$5:$G$9,MATCH($B2,Settings!$A$5:$A$9,0)),0))+(IFERROR(INDEX(Settings!$C$5:$C$9,MATCH($B2,Settings!$A$5:$A$9,0)),0)+IFERROR(INDEX(Settings!$F$5:$F$9,MATCH($B2,Settings!$A$5:$A$9,0)),0))/P2+IFERROR(INDEX(Settings!$D$5:$D$9,MATCH($B2,Settings!$A$5:$A$9,0)),0)*M2)</f>
        <v/>
      </c>
      <c r="W2" s="11">
        <f>IF(J2="","",IF(T2="",0,M2*INDEX(Products!$I$5:$I$204,T2)))</f>
        <v/>
      </c>
      <c r="X2" s="11">
        <f>IF(J2="","",IF(T2="",0,S2*INDEX(Products!$H$5:$H$204,T2)))</f>
        <v/>
      </c>
      <c r="Y2" s="11">
        <f>IF(J2="","",S2-V2-W2-X2)</f>
        <v/>
      </c>
    </row>
    <row r="3">
      <c r="A3" s="19" t="inlineStr">
        <is>
          <t>10/05/26</t>
        </is>
      </c>
      <c r="B3" s="19" t="inlineStr">
        <is>
          <t>Other</t>
        </is>
      </c>
      <c r="C3" s="19" t="inlineStr">
        <is>
          <t>Lavender Soy Candle 8oz</t>
        </is>
      </c>
      <c r="D3" s="19" t="inlineStr"/>
      <c r="E3" s="19" t="n">
        <v>4</v>
      </c>
      <c r="F3" s="20" t="n">
        <v>15</v>
      </c>
      <c r="G3" s="20" t="n">
        <v>0</v>
      </c>
      <c r="H3" s="20" t="n">
        <v>0</v>
      </c>
      <c r="I3" s="19" t="inlineStr">
        <is>
          <t>MKT-1</t>
        </is>
      </c>
      <c r="J3">
        <f>IFERROR(IF(C3="","",C3)&amp;"","")</f>
        <v/>
      </c>
      <c r="K3">
        <f>IFERROR(IF(D3="","",D3)&amp;"","")</f>
        <v/>
      </c>
      <c r="L3">
        <f>IFERROR(IF(I3="","",I3)&amp;"","")</f>
        <v/>
      </c>
      <c r="M3">
        <f>IF(J3="","",IFERROR(VALUE(SUBSTITUTE(SUBSTITUTE(IF(E3="","",E3)&amp;"","$",""),",","")),0))</f>
        <v/>
      </c>
      <c r="N3" s="11">
        <f>IF(J3="","",IFERROR(VALUE(SUBSTITUTE(SUBSTITUTE(IF(F3="","",F3)&amp;"","$",""),",","")),0))</f>
        <v/>
      </c>
      <c r="O3" s="11">
        <f>IF(J3="","",M3*N3)</f>
        <v/>
      </c>
      <c r="P3">
        <f>IF(J3="","",IF(L3="",1,COUNTIF($L$2:$L$1501,L3)))</f>
        <v/>
      </c>
      <c r="Q3" s="11">
        <f>IF(J3="","",IFERROR(VALUE(SUBSTITUTE(SUBSTITUTE(IF(G3="","",G3)&amp;"","$",""),",","")),0)/IF("No"="Yes",P3,1))</f>
        <v/>
      </c>
      <c r="R3" s="11">
        <f>IF(J3="","",IFERROR(VALUE(SUBSTITUTE(SUBSTITUTE(IF(H3="","",H3)&amp;"","$",""),",","")),0)/IF("No"="Yes",P3,1))</f>
        <v/>
      </c>
      <c r="S3" s="11">
        <f>IF(J3="","",O3+Q3-R3)</f>
        <v/>
      </c>
      <c r="T3">
        <f>IF(J3="","",IFERROR(IF(K3="",NA(),MATCH(K3,Products!$B$5:$B$204,0)),IFERROR(MATCH(J3,Products!$A$5:$A$204,0),"")))</f>
        <v/>
      </c>
      <c r="U3">
        <f>IF(J3="","",IF(T3="","⚠ not in Products",INDEX(Products!$A$5:$A$204,T3)))</f>
        <v/>
      </c>
      <c r="V3" s="11">
        <f>IF(J3="","",S3*(IFERROR(INDEX(Settings!$B$5:$B$9,MATCH($B3,Settings!$A$5:$A$9,0)),0)+IFERROR(INDEX(Settings!$E$5:$E$9,MATCH($B3,Settings!$A$5:$A$9,0)),0)+IFERROR(INDEX(Settings!$G$5:$G$9,MATCH($B3,Settings!$A$5:$A$9,0)),0))+(IFERROR(INDEX(Settings!$C$5:$C$9,MATCH($B3,Settings!$A$5:$A$9,0)),0)+IFERROR(INDEX(Settings!$F$5:$F$9,MATCH($B3,Settings!$A$5:$A$9,0)),0))/P3+IFERROR(INDEX(Settings!$D$5:$D$9,MATCH($B3,Settings!$A$5:$A$9,0)),0)*M3)</f>
        <v/>
      </c>
      <c r="W3" s="11">
        <f>IF(J3="","",IF(T3="",0,M3*INDEX(Products!$I$5:$I$204,T3)))</f>
        <v/>
      </c>
      <c r="X3" s="11">
        <f>IF(J3="","",IF(T3="",0,S3*INDEX(Products!$H$5:$H$204,T3)))</f>
        <v/>
      </c>
      <c r="Y3" s="11">
        <f>IF(J3="","",S3-V3-W3-X3)</f>
        <v/>
      </c>
    </row>
    <row r="4">
      <c r="A4" s="19" t="n"/>
      <c r="B4" s="19" t="n"/>
      <c r="C4" s="19" t="n"/>
      <c r="D4" s="19" t="n"/>
      <c r="E4" s="19" t="n"/>
      <c r="F4" s="20" t="n"/>
      <c r="G4" s="20" t="n"/>
      <c r="H4" s="20" t="n"/>
      <c r="I4" s="19" t="n"/>
      <c r="J4">
        <f>IFERROR(IF(C4="","",C4)&amp;"","")</f>
        <v/>
      </c>
      <c r="K4">
        <f>IFERROR(IF(D4="","",D4)&amp;"","")</f>
        <v/>
      </c>
      <c r="L4">
        <f>IFERROR(IF(I4="","",I4)&amp;"","")</f>
        <v/>
      </c>
      <c r="M4">
        <f>IF(J4="","",IFERROR(VALUE(SUBSTITUTE(SUBSTITUTE(IF(E4="","",E4)&amp;"","$",""),",","")),0))</f>
        <v/>
      </c>
      <c r="N4" s="11">
        <f>IF(J4="","",IFERROR(VALUE(SUBSTITUTE(SUBSTITUTE(IF(F4="","",F4)&amp;"","$",""),",","")),0))</f>
        <v/>
      </c>
      <c r="O4" s="11">
        <f>IF(J4="","",M4*N4)</f>
        <v/>
      </c>
      <c r="P4">
        <f>IF(J4="","",IF(L4="",1,COUNTIF($L$2:$L$1501,L4)))</f>
        <v/>
      </c>
      <c r="Q4" s="11">
        <f>IF(J4="","",IFERROR(VALUE(SUBSTITUTE(SUBSTITUTE(IF(G4="","",G4)&amp;"","$",""),",","")),0)/IF("No"="Yes",P4,1))</f>
        <v/>
      </c>
      <c r="R4" s="11">
        <f>IF(J4="","",IFERROR(VALUE(SUBSTITUTE(SUBSTITUTE(IF(H4="","",H4)&amp;"","$",""),",","")),0)/IF("No"="Yes",P4,1))</f>
        <v/>
      </c>
      <c r="S4" s="11">
        <f>IF(J4="","",O4+Q4-R4)</f>
        <v/>
      </c>
      <c r="T4">
        <f>IF(J4="","",IFERROR(IF(K4="",NA(),MATCH(K4,Products!$B$5:$B$204,0)),IFERROR(MATCH(J4,Products!$A$5:$A$204,0),"")))</f>
        <v/>
      </c>
      <c r="U4">
        <f>IF(J4="","",IF(T4="","⚠ not in Products",INDEX(Products!$A$5:$A$204,T4)))</f>
        <v/>
      </c>
      <c r="V4" s="11">
        <f>IF(J4="","",S4*(IFERROR(INDEX(Settings!$B$5:$B$9,MATCH($B4,Settings!$A$5:$A$9,0)),0)+IFERROR(INDEX(Settings!$E$5:$E$9,MATCH($B4,Settings!$A$5:$A$9,0)),0)+IFERROR(INDEX(Settings!$G$5:$G$9,MATCH($B4,Settings!$A$5:$A$9,0)),0))+(IFERROR(INDEX(Settings!$C$5:$C$9,MATCH($B4,Settings!$A$5:$A$9,0)),0)+IFERROR(INDEX(Settings!$F$5:$F$9,MATCH($B4,Settings!$A$5:$A$9,0)),0))/P4+IFERROR(INDEX(Settings!$D$5:$D$9,MATCH($B4,Settings!$A$5:$A$9,0)),0)*M4)</f>
        <v/>
      </c>
      <c r="W4" s="11">
        <f>IF(J4="","",IF(T4="",0,M4*INDEX(Products!$I$5:$I$204,T4)))</f>
        <v/>
      </c>
      <c r="X4" s="11">
        <f>IF(J4="","",IF(T4="",0,S4*INDEX(Products!$H$5:$H$204,T4)))</f>
        <v/>
      </c>
      <c r="Y4" s="11">
        <f>IF(J4="","",S4-V4-W4-X4)</f>
        <v/>
      </c>
    </row>
    <row r="5">
      <c r="A5" s="19" t="n"/>
      <c r="B5" s="19" t="n"/>
      <c r="C5" s="19" t="n"/>
      <c r="D5" s="19" t="n"/>
      <c r="E5" s="19" t="n"/>
      <c r="F5" s="20" t="n"/>
      <c r="G5" s="20" t="n"/>
      <c r="H5" s="20" t="n"/>
      <c r="I5" s="19" t="n"/>
      <c r="J5">
        <f>IFERROR(IF(C5="","",C5)&amp;"","")</f>
        <v/>
      </c>
      <c r="K5">
        <f>IFERROR(IF(D5="","",D5)&amp;"","")</f>
        <v/>
      </c>
      <c r="L5">
        <f>IFERROR(IF(I5="","",I5)&amp;"","")</f>
        <v/>
      </c>
      <c r="M5">
        <f>IF(J5="","",IFERROR(VALUE(SUBSTITUTE(SUBSTITUTE(IF(E5="","",E5)&amp;"","$",""),",","")),0))</f>
        <v/>
      </c>
      <c r="N5" s="11">
        <f>IF(J5="","",IFERROR(VALUE(SUBSTITUTE(SUBSTITUTE(IF(F5="","",F5)&amp;"","$",""),",","")),0))</f>
        <v/>
      </c>
      <c r="O5" s="11">
        <f>IF(J5="","",M5*N5)</f>
        <v/>
      </c>
      <c r="P5">
        <f>IF(J5="","",IF(L5="",1,COUNTIF($L$2:$L$1501,L5)))</f>
        <v/>
      </c>
      <c r="Q5" s="11">
        <f>IF(J5="","",IFERROR(VALUE(SUBSTITUTE(SUBSTITUTE(IF(G5="","",G5)&amp;"","$",""),",","")),0)/IF("No"="Yes",P5,1))</f>
        <v/>
      </c>
      <c r="R5" s="11">
        <f>IF(J5="","",IFERROR(VALUE(SUBSTITUTE(SUBSTITUTE(IF(H5="","",H5)&amp;"","$",""),",","")),0)/IF("No"="Yes",P5,1))</f>
        <v/>
      </c>
      <c r="S5" s="11">
        <f>IF(J5="","",O5+Q5-R5)</f>
        <v/>
      </c>
      <c r="T5">
        <f>IF(J5="","",IFERROR(IF(K5="",NA(),MATCH(K5,Products!$B$5:$B$204,0)),IFERROR(MATCH(J5,Products!$A$5:$A$204,0),"")))</f>
        <v/>
      </c>
      <c r="U5">
        <f>IF(J5="","",IF(T5="","⚠ not in Products",INDEX(Products!$A$5:$A$204,T5)))</f>
        <v/>
      </c>
      <c r="V5" s="11">
        <f>IF(J5="","",S5*(IFERROR(INDEX(Settings!$B$5:$B$9,MATCH($B5,Settings!$A$5:$A$9,0)),0)+IFERROR(INDEX(Settings!$E$5:$E$9,MATCH($B5,Settings!$A$5:$A$9,0)),0)+IFERROR(INDEX(Settings!$G$5:$G$9,MATCH($B5,Settings!$A$5:$A$9,0)),0))+(IFERROR(INDEX(Settings!$C$5:$C$9,MATCH($B5,Settings!$A$5:$A$9,0)),0)+IFERROR(INDEX(Settings!$F$5:$F$9,MATCH($B5,Settings!$A$5:$A$9,0)),0))/P5+IFERROR(INDEX(Settings!$D$5:$D$9,MATCH($B5,Settings!$A$5:$A$9,0)),0)*M5)</f>
        <v/>
      </c>
      <c r="W5" s="11">
        <f>IF(J5="","",IF(T5="",0,M5*INDEX(Products!$I$5:$I$204,T5)))</f>
        <v/>
      </c>
      <c r="X5" s="11">
        <f>IF(J5="","",IF(T5="",0,S5*INDEX(Products!$H$5:$H$204,T5)))</f>
        <v/>
      </c>
      <c r="Y5" s="11">
        <f>IF(J5="","",S5-V5-W5-X5)</f>
        <v/>
      </c>
    </row>
    <row r="6">
      <c r="A6" s="19" t="n"/>
      <c r="B6" s="19" t="n"/>
      <c r="C6" s="19" t="n"/>
      <c r="D6" s="19" t="n"/>
      <c r="E6" s="19" t="n"/>
      <c r="F6" s="20" t="n"/>
      <c r="G6" s="20" t="n"/>
      <c r="H6" s="20" t="n"/>
      <c r="I6" s="19" t="n"/>
      <c r="J6">
        <f>IFERROR(IF(C6="","",C6)&amp;"","")</f>
        <v/>
      </c>
      <c r="K6">
        <f>IFERROR(IF(D6="","",D6)&amp;"","")</f>
        <v/>
      </c>
      <c r="L6">
        <f>IFERROR(IF(I6="","",I6)&amp;"","")</f>
        <v/>
      </c>
      <c r="M6">
        <f>IF(J6="","",IFERROR(VALUE(SUBSTITUTE(SUBSTITUTE(IF(E6="","",E6)&amp;"","$",""),",","")),0))</f>
        <v/>
      </c>
      <c r="N6" s="11">
        <f>IF(J6="","",IFERROR(VALUE(SUBSTITUTE(SUBSTITUTE(IF(F6="","",F6)&amp;"","$",""),",","")),0))</f>
        <v/>
      </c>
      <c r="O6" s="11">
        <f>IF(J6="","",M6*N6)</f>
        <v/>
      </c>
      <c r="P6">
        <f>IF(J6="","",IF(L6="",1,COUNTIF($L$2:$L$1501,L6)))</f>
        <v/>
      </c>
      <c r="Q6" s="11">
        <f>IF(J6="","",IFERROR(VALUE(SUBSTITUTE(SUBSTITUTE(IF(G6="","",G6)&amp;"","$",""),",","")),0)/IF("No"="Yes",P6,1))</f>
        <v/>
      </c>
      <c r="R6" s="11">
        <f>IF(J6="","",IFERROR(VALUE(SUBSTITUTE(SUBSTITUTE(IF(H6="","",H6)&amp;"","$",""),",","")),0)/IF("No"="Yes",P6,1))</f>
        <v/>
      </c>
      <c r="S6" s="11">
        <f>IF(J6="","",O6+Q6-R6)</f>
        <v/>
      </c>
      <c r="T6">
        <f>IF(J6="","",IFERROR(IF(K6="",NA(),MATCH(K6,Products!$B$5:$B$204,0)),IFERROR(MATCH(J6,Products!$A$5:$A$204,0),"")))</f>
        <v/>
      </c>
      <c r="U6">
        <f>IF(J6="","",IF(T6="","⚠ not in Products",INDEX(Products!$A$5:$A$204,T6)))</f>
        <v/>
      </c>
      <c r="V6" s="11">
        <f>IF(J6="","",S6*(IFERROR(INDEX(Settings!$B$5:$B$9,MATCH($B6,Settings!$A$5:$A$9,0)),0)+IFERROR(INDEX(Settings!$E$5:$E$9,MATCH($B6,Settings!$A$5:$A$9,0)),0)+IFERROR(INDEX(Settings!$G$5:$G$9,MATCH($B6,Settings!$A$5:$A$9,0)),0))+(IFERROR(INDEX(Settings!$C$5:$C$9,MATCH($B6,Settings!$A$5:$A$9,0)),0)+IFERROR(INDEX(Settings!$F$5:$F$9,MATCH($B6,Settings!$A$5:$A$9,0)),0))/P6+IFERROR(INDEX(Settings!$D$5:$D$9,MATCH($B6,Settings!$A$5:$A$9,0)),0)*M6)</f>
        <v/>
      </c>
      <c r="W6" s="11">
        <f>IF(J6="","",IF(T6="",0,M6*INDEX(Products!$I$5:$I$204,T6)))</f>
        <v/>
      </c>
      <c r="X6" s="11">
        <f>IF(J6="","",IF(T6="",0,S6*INDEX(Products!$H$5:$H$204,T6)))</f>
        <v/>
      </c>
      <c r="Y6" s="11">
        <f>IF(J6="","",S6-V6-W6-X6)</f>
        <v/>
      </c>
    </row>
    <row r="7">
      <c r="A7" s="19" t="n"/>
      <c r="B7" s="19" t="n"/>
      <c r="C7" s="19" t="n"/>
      <c r="D7" s="19" t="n"/>
      <c r="E7" s="19" t="n"/>
      <c r="F7" s="20" t="n"/>
      <c r="G7" s="20" t="n"/>
      <c r="H7" s="20" t="n"/>
      <c r="I7" s="19" t="n"/>
      <c r="J7">
        <f>IFERROR(IF(C7="","",C7)&amp;"","")</f>
        <v/>
      </c>
      <c r="K7">
        <f>IFERROR(IF(D7="","",D7)&amp;"","")</f>
        <v/>
      </c>
      <c r="L7">
        <f>IFERROR(IF(I7="","",I7)&amp;"","")</f>
        <v/>
      </c>
      <c r="M7">
        <f>IF(J7="","",IFERROR(VALUE(SUBSTITUTE(SUBSTITUTE(IF(E7="","",E7)&amp;"","$",""),",","")),0))</f>
        <v/>
      </c>
      <c r="N7" s="11">
        <f>IF(J7="","",IFERROR(VALUE(SUBSTITUTE(SUBSTITUTE(IF(F7="","",F7)&amp;"","$",""),",","")),0))</f>
        <v/>
      </c>
      <c r="O7" s="11">
        <f>IF(J7="","",M7*N7)</f>
        <v/>
      </c>
      <c r="P7">
        <f>IF(J7="","",IF(L7="",1,COUNTIF($L$2:$L$1501,L7)))</f>
        <v/>
      </c>
      <c r="Q7" s="11">
        <f>IF(J7="","",IFERROR(VALUE(SUBSTITUTE(SUBSTITUTE(IF(G7="","",G7)&amp;"","$",""),",","")),0)/IF("No"="Yes",P7,1))</f>
        <v/>
      </c>
      <c r="R7" s="11">
        <f>IF(J7="","",IFERROR(VALUE(SUBSTITUTE(SUBSTITUTE(IF(H7="","",H7)&amp;"","$",""),",","")),0)/IF("No"="Yes",P7,1))</f>
        <v/>
      </c>
      <c r="S7" s="11">
        <f>IF(J7="","",O7+Q7-R7)</f>
        <v/>
      </c>
      <c r="T7">
        <f>IF(J7="","",IFERROR(IF(K7="",NA(),MATCH(K7,Products!$B$5:$B$204,0)),IFERROR(MATCH(J7,Products!$A$5:$A$204,0),"")))</f>
        <v/>
      </c>
      <c r="U7">
        <f>IF(J7="","",IF(T7="","⚠ not in Products",INDEX(Products!$A$5:$A$204,T7)))</f>
        <v/>
      </c>
      <c r="V7" s="11">
        <f>IF(J7="","",S7*(IFERROR(INDEX(Settings!$B$5:$B$9,MATCH($B7,Settings!$A$5:$A$9,0)),0)+IFERROR(INDEX(Settings!$E$5:$E$9,MATCH($B7,Settings!$A$5:$A$9,0)),0)+IFERROR(INDEX(Settings!$G$5:$G$9,MATCH($B7,Settings!$A$5:$A$9,0)),0))+(IFERROR(INDEX(Settings!$C$5:$C$9,MATCH($B7,Settings!$A$5:$A$9,0)),0)+IFERROR(INDEX(Settings!$F$5:$F$9,MATCH($B7,Settings!$A$5:$A$9,0)),0))/P7+IFERROR(INDEX(Settings!$D$5:$D$9,MATCH($B7,Settings!$A$5:$A$9,0)),0)*M7)</f>
        <v/>
      </c>
      <c r="W7" s="11">
        <f>IF(J7="","",IF(T7="",0,M7*INDEX(Products!$I$5:$I$204,T7)))</f>
        <v/>
      </c>
      <c r="X7" s="11">
        <f>IF(J7="","",IF(T7="",0,S7*INDEX(Products!$H$5:$H$204,T7)))</f>
        <v/>
      </c>
      <c r="Y7" s="11">
        <f>IF(J7="","",S7-V7-W7-X7)</f>
        <v/>
      </c>
    </row>
    <row r="8">
      <c r="A8" s="19" t="n"/>
      <c r="B8" s="19" t="n"/>
      <c r="C8" s="19" t="n"/>
      <c r="D8" s="19" t="n"/>
      <c r="E8" s="19" t="n"/>
      <c r="F8" s="20" t="n"/>
      <c r="G8" s="20" t="n"/>
      <c r="H8" s="20" t="n"/>
      <c r="I8" s="19" t="n"/>
      <c r="J8">
        <f>IFERROR(IF(C8="","",C8)&amp;"","")</f>
        <v/>
      </c>
      <c r="K8">
        <f>IFERROR(IF(D8="","",D8)&amp;"","")</f>
        <v/>
      </c>
      <c r="L8">
        <f>IFERROR(IF(I8="","",I8)&amp;"","")</f>
        <v/>
      </c>
      <c r="M8">
        <f>IF(J8="","",IFERROR(VALUE(SUBSTITUTE(SUBSTITUTE(IF(E8="","",E8)&amp;"","$",""),",","")),0))</f>
        <v/>
      </c>
      <c r="N8" s="11">
        <f>IF(J8="","",IFERROR(VALUE(SUBSTITUTE(SUBSTITUTE(IF(F8="","",F8)&amp;"","$",""),",","")),0))</f>
        <v/>
      </c>
      <c r="O8" s="11">
        <f>IF(J8="","",M8*N8)</f>
        <v/>
      </c>
      <c r="P8">
        <f>IF(J8="","",IF(L8="",1,COUNTIF($L$2:$L$1501,L8)))</f>
        <v/>
      </c>
      <c r="Q8" s="11">
        <f>IF(J8="","",IFERROR(VALUE(SUBSTITUTE(SUBSTITUTE(IF(G8="","",G8)&amp;"","$",""),",","")),0)/IF("No"="Yes",P8,1))</f>
        <v/>
      </c>
      <c r="R8" s="11">
        <f>IF(J8="","",IFERROR(VALUE(SUBSTITUTE(SUBSTITUTE(IF(H8="","",H8)&amp;"","$",""),",","")),0)/IF("No"="Yes",P8,1))</f>
        <v/>
      </c>
      <c r="S8" s="11">
        <f>IF(J8="","",O8+Q8-R8)</f>
        <v/>
      </c>
      <c r="T8">
        <f>IF(J8="","",IFERROR(IF(K8="",NA(),MATCH(K8,Products!$B$5:$B$204,0)),IFERROR(MATCH(J8,Products!$A$5:$A$204,0),"")))</f>
        <v/>
      </c>
      <c r="U8">
        <f>IF(J8="","",IF(T8="","⚠ not in Products",INDEX(Products!$A$5:$A$204,T8)))</f>
        <v/>
      </c>
      <c r="V8" s="11">
        <f>IF(J8="","",S8*(IFERROR(INDEX(Settings!$B$5:$B$9,MATCH($B8,Settings!$A$5:$A$9,0)),0)+IFERROR(INDEX(Settings!$E$5:$E$9,MATCH($B8,Settings!$A$5:$A$9,0)),0)+IFERROR(INDEX(Settings!$G$5:$G$9,MATCH($B8,Settings!$A$5:$A$9,0)),0))+(IFERROR(INDEX(Settings!$C$5:$C$9,MATCH($B8,Settings!$A$5:$A$9,0)),0)+IFERROR(INDEX(Settings!$F$5:$F$9,MATCH($B8,Settings!$A$5:$A$9,0)),0))/P8+IFERROR(INDEX(Settings!$D$5:$D$9,MATCH($B8,Settings!$A$5:$A$9,0)),0)*M8)</f>
        <v/>
      </c>
      <c r="W8" s="11">
        <f>IF(J8="","",IF(T8="",0,M8*INDEX(Products!$I$5:$I$204,T8)))</f>
        <v/>
      </c>
      <c r="X8" s="11">
        <f>IF(J8="","",IF(T8="",0,S8*INDEX(Products!$H$5:$H$204,T8)))</f>
        <v/>
      </c>
      <c r="Y8" s="11">
        <f>IF(J8="","",S8-V8-W8-X8)</f>
        <v/>
      </c>
    </row>
    <row r="9">
      <c r="A9" s="19" t="n"/>
      <c r="B9" s="19" t="n"/>
      <c r="C9" s="19" t="n"/>
      <c r="D9" s="19" t="n"/>
      <c r="E9" s="19" t="n"/>
      <c r="F9" s="20" t="n"/>
      <c r="G9" s="20" t="n"/>
      <c r="H9" s="20" t="n"/>
      <c r="I9" s="19" t="n"/>
      <c r="J9">
        <f>IFERROR(IF(C9="","",C9)&amp;"","")</f>
        <v/>
      </c>
      <c r="K9">
        <f>IFERROR(IF(D9="","",D9)&amp;"","")</f>
        <v/>
      </c>
      <c r="L9">
        <f>IFERROR(IF(I9="","",I9)&amp;"","")</f>
        <v/>
      </c>
      <c r="M9">
        <f>IF(J9="","",IFERROR(VALUE(SUBSTITUTE(SUBSTITUTE(IF(E9="","",E9)&amp;"","$",""),",","")),0))</f>
        <v/>
      </c>
      <c r="N9" s="11">
        <f>IF(J9="","",IFERROR(VALUE(SUBSTITUTE(SUBSTITUTE(IF(F9="","",F9)&amp;"","$",""),",","")),0))</f>
        <v/>
      </c>
      <c r="O9" s="11">
        <f>IF(J9="","",M9*N9)</f>
        <v/>
      </c>
      <c r="P9">
        <f>IF(J9="","",IF(L9="",1,COUNTIF($L$2:$L$1501,L9)))</f>
        <v/>
      </c>
      <c r="Q9" s="11">
        <f>IF(J9="","",IFERROR(VALUE(SUBSTITUTE(SUBSTITUTE(IF(G9="","",G9)&amp;"","$",""),",","")),0)/IF("No"="Yes",P9,1))</f>
        <v/>
      </c>
      <c r="R9" s="11">
        <f>IF(J9="","",IFERROR(VALUE(SUBSTITUTE(SUBSTITUTE(IF(H9="","",H9)&amp;"","$",""),",","")),0)/IF("No"="Yes",P9,1))</f>
        <v/>
      </c>
      <c r="S9" s="11">
        <f>IF(J9="","",O9+Q9-R9)</f>
        <v/>
      </c>
      <c r="T9">
        <f>IF(J9="","",IFERROR(IF(K9="",NA(),MATCH(K9,Products!$B$5:$B$204,0)),IFERROR(MATCH(J9,Products!$A$5:$A$204,0),"")))</f>
        <v/>
      </c>
      <c r="U9">
        <f>IF(J9="","",IF(T9="","⚠ not in Products",INDEX(Products!$A$5:$A$204,T9)))</f>
        <v/>
      </c>
      <c r="V9" s="11">
        <f>IF(J9="","",S9*(IFERROR(INDEX(Settings!$B$5:$B$9,MATCH($B9,Settings!$A$5:$A$9,0)),0)+IFERROR(INDEX(Settings!$E$5:$E$9,MATCH($B9,Settings!$A$5:$A$9,0)),0)+IFERROR(INDEX(Settings!$G$5:$G$9,MATCH($B9,Settings!$A$5:$A$9,0)),0))+(IFERROR(INDEX(Settings!$C$5:$C$9,MATCH($B9,Settings!$A$5:$A$9,0)),0)+IFERROR(INDEX(Settings!$F$5:$F$9,MATCH($B9,Settings!$A$5:$A$9,0)),0))/P9+IFERROR(INDEX(Settings!$D$5:$D$9,MATCH($B9,Settings!$A$5:$A$9,0)),0)*M9)</f>
        <v/>
      </c>
      <c r="W9" s="11">
        <f>IF(J9="","",IF(T9="",0,M9*INDEX(Products!$I$5:$I$204,T9)))</f>
        <v/>
      </c>
      <c r="X9" s="11">
        <f>IF(J9="","",IF(T9="",0,S9*INDEX(Products!$H$5:$H$204,T9)))</f>
        <v/>
      </c>
      <c r="Y9" s="11">
        <f>IF(J9="","",S9-V9-W9-X9)</f>
        <v/>
      </c>
    </row>
    <row r="10">
      <c r="A10" s="19" t="n"/>
      <c r="B10" s="19" t="n"/>
      <c r="C10" s="19" t="n"/>
      <c r="D10" s="19" t="n"/>
      <c r="E10" s="19" t="n"/>
      <c r="F10" s="20" t="n"/>
      <c r="G10" s="20" t="n"/>
      <c r="H10" s="20" t="n"/>
      <c r="I10" s="19" t="n"/>
      <c r="J10">
        <f>IFERROR(IF(C10="","",C10)&amp;"","")</f>
        <v/>
      </c>
      <c r="K10">
        <f>IFERROR(IF(D10="","",D10)&amp;"","")</f>
        <v/>
      </c>
      <c r="L10">
        <f>IFERROR(IF(I10="","",I10)&amp;"","")</f>
        <v/>
      </c>
      <c r="M10">
        <f>IF(J10="","",IFERROR(VALUE(SUBSTITUTE(SUBSTITUTE(IF(E10="","",E10)&amp;"","$",""),",","")),0))</f>
        <v/>
      </c>
      <c r="N10" s="11">
        <f>IF(J10="","",IFERROR(VALUE(SUBSTITUTE(SUBSTITUTE(IF(F10="","",F10)&amp;"","$",""),",","")),0))</f>
        <v/>
      </c>
      <c r="O10" s="11">
        <f>IF(J10="","",M10*N10)</f>
        <v/>
      </c>
      <c r="P10">
        <f>IF(J10="","",IF(L10="",1,COUNTIF($L$2:$L$1501,L10)))</f>
        <v/>
      </c>
      <c r="Q10" s="11">
        <f>IF(J10="","",IFERROR(VALUE(SUBSTITUTE(SUBSTITUTE(IF(G10="","",G10)&amp;"","$",""),",","")),0)/IF("No"="Yes",P10,1))</f>
        <v/>
      </c>
      <c r="R10" s="11">
        <f>IF(J10="","",IFERROR(VALUE(SUBSTITUTE(SUBSTITUTE(IF(H10="","",H10)&amp;"","$",""),",","")),0)/IF("No"="Yes",P10,1))</f>
        <v/>
      </c>
      <c r="S10" s="11">
        <f>IF(J10="","",O10+Q10-R10)</f>
        <v/>
      </c>
      <c r="T10">
        <f>IF(J10="","",IFERROR(IF(K10="",NA(),MATCH(K10,Products!$B$5:$B$204,0)),IFERROR(MATCH(J10,Products!$A$5:$A$204,0),"")))</f>
        <v/>
      </c>
      <c r="U10">
        <f>IF(J10="","",IF(T10="","⚠ not in Products",INDEX(Products!$A$5:$A$204,T10)))</f>
        <v/>
      </c>
      <c r="V10" s="11">
        <f>IF(J10="","",S10*(IFERROR(INDEX(Settings!$B$5:$B$9,MATCH($B10,Settings!$A$5:$A$9,0)),0)+IFERROR(INDEX(Settings!$E$5:$E$9,MATCH($B10,Settings!$A$5:$A$9,0)),0)+IFERROR(INDEX(Settings!$G$5:$G$9,MATCH($B10,Settings!$A$5:$A$9,0)),0))+(IFERROR(INDEX(Settings!$C$5:$C$9,MATCH($B10,Settings!$A$5:$A$9,0)),0)+IFERROR(INDEX(Settings!$F$5:$F$9,MATCH($B10,Settings!$A$5:$A$9,0)),0))/P10+IFERROR(INDEX(Settings!$D$5:$D$9,MATCH($B10,Settings!$A$5:$A$9,0)),0)*M10)</f>
        <v/>
      </c>
      <c r="W10" s="11">
        <f>IF(J10="","",IF(T10="",0,M10*INDEX(Products!$I$5:$I$204,T10)))</f>
        <v/>
      </c>
      <c r="X10" s="11">
        <f>IF(J10="","",IF(T10="",0,S10*INDEX(Products!$H$5:$H$204,T10)))</f>
        <v/>
      </c>
      <c r="Y10" s="11">
        <f>IF(J10="","",S10-V10-W10-X10)</f>
        <v/>
      </c>
    </row>
    <row r="11">
      <c r="A11" s="19" t="n"/>
      <c r="B11" s="19" t="n"/>
      <c r="C11" s="19" t="n"/>
      <c r="D11" s="19" t="n"/>
      <c r="E11" s="19" t="n"/>
      <c r="F11" s="20" t="n"/>
      <c r="G11" s="20" t="n"/>
      <c r="H11" s="20" t="n"/>
      <c r="I11" s="19" t="n"/>
      <c r="J11">
        <f>IFERROR(IF(C11="","",C11)&amp;"","")</f>
        <v/>
      </c>
      <c r="K11">
        <f>IFERROR(IF(D11="","",D11)&amp;"","")</f>
        <v/>
      </c>
      <c r="L11">
        <f>IFERROR(IF(I11="","",I11)&amp;"","")</f>
        <v/>
      </c>
      <c r="M11">
        <f>IF(J11="","",IFERROR(VALUE(SUBSTITUTE(SUBSTITUTE(IF(E11="","",E11)&amp;"","$",""),",","")),0))</f>
        <v/>
      </c>
      <c r="N11" s="11">
        <f>IF(J11="","",IFERROR(VALUE(SUBSTITUTE(SUBSTITUTE(IF(F11="","",F11)&amp;"","$",""),",","")),0))</f>
        <v/>
      </c>
      <c r="O11" s="11">
        <f>IF(J11="","",M11*N11)</f>
        <v/>
      </c>
      <c r="P11">
        <f>IF(J11="","",IF(L11="",1,COUNTIF($L$2:$L$1501,L11)))</f>
        <v/>
      </c>
      <c r="Q11" s="11">
        <f>IF(J11="","",IFERROR(VALUE(SUBSTITUTE(SUBSTITUTE(IF(G11="","",G11)&amp;"","$",""),",","")),0)/IF("No"="Yes",P11,1))</f>
        <v/>
      </c>
      <c r="R11" s="11">
        <f>IF(J11="","",IFERROR(VALUE(SUBSTITUTE(SUBSTITUTE(IF(H11="","",H11)&amp;"","$",""),",","")),0)/IF("No"="Yes",P11,1))</f>
        <v/>
      </c>
      <c r="S11" s="11">
        <f>IF(J11="","",O11+Q11-R11)</f>
        <v/>
      </c>
      <c r="T11">
        <f>IF(J11="","",IFERROR(IF(K11="",NA(),MATCH(K11,Products!$B$5:$B$204,0)),IFERROR(MATCH(J11,Products!$A$5:$A$204,0),"")))</f>
        <v/>
      </c>
      <c r="U11">
        <f>IF(J11="","",IF(T11="","⚠ not in Products",INDEX(Products!$A$5:$A$204,T11)))</f>
        <v/>
      </c>
      <c r="V11" s="11">
        <f>IF(J11="","",S11*(IFERROR(INDEX(Settings!$B$5:$B$9,MATCH($B11,Settings!$A$5:$A$9,0)),0)+IFERROR(INDEX(Settings!$E$5:$E$9,MATCH($B11,Settings!$A$5:$A$9,0)),0)+IFERROR(INDEX(Settings!$G$5:$G$9,MATCH($B11,Settings!$A$5:$A$9,0)),0))+(IFERROR(INDEX(Settings!$C$5:$C$9,MATCH($B11,Settings!$A$5:$A$9,0)),0)+IFERROR(INDEX(Settings!$F$5:$F$9,MATCH($B11,Settings!$A$5:$A$9,0)),0))/P11+IFERROR(INDEX(Settings!$D$5:$D$9,MATCH($B11,Settings!$A$5:$A$9,0)),0)*M11)</f>
        <v/>
      </c>
      <c r="W11" s="11">
        <f>IF(J11="","",IF(T11="",0,M11*INDEX(Products!$I$5:$I$204,T11)))</f>
        <v/>
      </c>
      <c r="X11" s="11">
        <f>IF(J11="","",IF(T11="",0,S11*INDEX(Products!$H$5:$H$204,T11)))</f>
        <v/>
      </c>
      <c r="Y11" s="11">
        <f>IF(J11="","",S11-V11-W11-X11)</f>
        <v/>
      </c>
    </row>
    <row r="12">
      <c r="A12" s="19" t="n"/>
      <c r="B12" s="19" t="n"/>
      <c r="C12" s="19" t="n"/>
      <c r="D12" s="19" t="n"/>
      <c r="E12" s="19" t="n"/>
      <c r="F12" s="20" t="n"/>
      <c r="G12" s="20" t="n"/>
      <c r="H12" s="20" t="n"/>
      <c r="I12" s="19" t="n"/>
      <c r="J12">
        <f>IFERROR(IF(C12="","",C12)&amp;"","")</f>
        <v/>
      </c>
      <c r="K12">
        <f>IFERROR(IF(D12="","",D12)&amp;"","")</f>
        <v/>
      </c>
      <c r="L12">
        <f>IFERROR(IF(I12="","",I12)&amp;"","")</f>
        <v/>
      </c>
      <c r="M12">
        <f>IF(J12="","",IFERROR(VALUE(SUBSTITUTE(SUBSTITUTE(IF(E12="","",E12)&amp;"","$",""),",","")),0))</f>
        <v/>
      </c>
      <c r="N12" s="11">
        <f>IF(J12="","",IFERROR(VALUE(SUBSTITUTE(SUBSTITUTE(IF(F12="","",F12)&amp;"","$",""),",","")),0))</f>
        <v/>
      </c>
      <c r="O12" s="11">
        <f>IF(J12="","",M12*N12)</f>
        <v/>
      </c>
      <c r="P12">
        <f>IF(J12="","",IF(L12="",1,COUNTIF($L$2:$L$1501,L12)))</f>
        <v/>
      </c>
      <c r="Q12" s="11">
        <f>IF(J12="","",IFERROR(VALUE(SUBSTITUTE(SUBSTITUTE(IF(G12="","",G12)&amp;"","$",""),",","")),0)/IF("No"="Yes",P12,1))</f>
        <v/>
      </c>
      <c r="R12" s="11">
        <f>IF(J12="","",IFERROR(VALUE(SUBSTITUTE(SUBSTITUTE(IF(H12="","",H12)&amp;"","$",""),",","")),0)/IF("No"="Yes",P12,1))</f>
        <v/>
      </c>
      <c r="S12" s="11">
        <f>IF(J12="","",O12+Q12-R12)</f>
        <v/>
      </c>
      <c r="T12">
        <f>IF(J12="","",IFERROR(IF(K12="",NA(),MATCH(K12,Products!$B$5:$B$204,0)),IFERROR(MATCH(J12,Products!$A$5:$A$204,0),"")))</f>
        <v/>
      </c>
      <c r="U12">
        <f>IF(J12="","",IF(T12="","⚠ not in Products",INDEX(Products!$A$5:$A$204,T12)))</f>
        <v/>
      </c>
      <c r="V12" s="11">
        <f>IF(J12="","",S12*(IFERROR(INDEX(Settings!$B$5:$B$9,MATCH($B12,Settings!$A$5:$A$9,0)),0)+IFERROR(INDEX(Settings!$E$5:$E$9,MATCH($B12,Settings!$A$5:$A$9,0)),0)+IFERROR(INDEX(Settings!$G$5:$G$9,MATCH($B12,Settings!$A$5:$A$9,0)),0))+(IFERROR(INDEX(Settings!$C$5:$C$9,MATCH($B12,Settings!$A$5:$A$9,0)),0)+IFERROR(INDEX(Settings!$F$5:$F$9,MATCH($B12,Settings!$A$5:$A$9,0)),0))/P12+IFERROR(INDEX(Settings!$D$5:$D$9,MATCH($B12,Settings!$A$5:$A$9,0)),0)*M12)</f>
        <v/>
      </c>
      <c r="W12" s="11">
        <f>IF(J12="","",IF(T12="",0,M12*INDEX(Products!$I$5:$I$204,T12)))</f>
        <v/>
      </c>
      <c r="X12" s="11">
        <f>IF(J12="","",IF(T12="",0,S12*INDEX(Products!$H$5:$H$204,T12)))</f>
        <v/>
      </c>
      <c r="Y12" s="11">
        <f>IF(J12="","",S12-V12-W12-X12)</f>
        <v/>
      </c>
    </row>
    <row r="13">
      <c r="A13" s="19" t="n"/>
      <c r="B13" s="19" t="n"/>
      <c r="C13" s="19" t="n"/>
      <c r="D13" s="19" t="n"/>
      <c r="E13" s="19" t="n"/>
      <c r="F13" s="20" t="n"/>
      <c r="G13" s="20" t="n"/>
      <c r="H13" s="20" t="n"/>
      <c r="I13" s="19" t="n"/>
      <c r="J13">
        <f>IFERROR(IF(C13="","",C13)&amp;"","")</f>
        <v/>
      </c>
      <c r="K13">
        <f>IFERROR(IF(D13="","",D13)&amp;"","")</f>
        <v/>
      </c>
      <c r="L13">
        <f>IFERROR(IF(I13="","",I13)&amp;"","")</f>
        <v/>
      </c>
      <c r="M13">
        <f>IF(J13="","",IFERROR(VALUE(SUBSTITUTE(SUBSTITUTE(IF(E13="","",E13)&amp;"","$",""),",","")),0))</f>
        <v/>
      </c>
      <c r="N13" s="11">
        <f>IF(J13="","",IFERROR(VALUE(SUBSTITUTE(SUBSTITUTE(IF(F13="","",F13)&amp;"","$",""),",","")),0))</f>
        <v/>
      </c>
      <c r="O13" s="11">
        <f>IF(J13="","",M13*N13)</f>
        <v/>
      </c>
      <c r="P13">
        <f>IF(J13="","",IF(L13="",1,COUNTIF($L$2:$L$1501,L13)))</f>
        <v/>
      </c>
      <c r="Q13" s="11">
        <f>IF(J13="","",IFERROR(VALUE(SUBSTITUTE(SUBSTITUTE(IF(G13="","",G13)&amp;"","$",""),",","")),0)/IF("No"="Yes",P13,1))</f>
        <v/>
      </c>
      <c r="R13" s="11">
        <f>IF(J13="","",IFERROR(VALUE(SUBSTITUTE(SUBSTITUTE(IF(H13="","",H13)&amp;"","$",""),",","")),0)/IF("No"="Yes",P13,1))</f>
        <v/>
      </c>
      <c r="S13" s="11">
        <f>IF(J13="","",O13+Q13-R13)</f>
        <v/>
      </c>
      <c r="T13">
        <f>IF(J13="","",IFERROR(IF(K13="",NA(),MATCH(K13,Products!$B$5:$B$204,0)),IFERROR(MATCH(J13,Products!$A$5:$A$204,0),"")))</f>
        <v/>
      </c>
      <c r="U13">
        <f>IF(J13="","",IF(T13="","⚠ not in Products",INDEX(Products!$A$5:$A$204,T13)))</f>
        <v/>
      </c>
      <c r="V13" s="11">
        <f>IF(J13="","",S13*(IFERROR(INDEX(Settings!$B$5:$B$9,MATCH($B13,Settings!$A$5:$A$9,0)),0)+IFERROR(INDEX(Settings!$E$5:$E$9,MATCH($B13,Settings!$A$5:$A$9,0)),0)+IFERROR(INDEX(Settings!$G$5:$G$9,MATCH($B13,Settings!$A$5:$A$9,0)),0))+(IFERROR(INDEX(Settings!$C$5:$C$9,MATCH($B13,Settings!$A$5:$A$9,0)),0)+IFERROR(INDEX(Settings!$F$5:$F$9,MATCH($B13,Settings!$A$5:$A$9,0)),0))/P13+IFERROR(INDEX(Settings!$D$5:$D$9,MATCH($B13,Settings!$A$5:$A$9,0)),0)*M13)</f>
        <v/>
      </c>
      <c r="W13" s="11">
        <f>IF(J13="","",IF(T13="",0,M13*INDEX(Products!$I$5:$I$204,T13)))</f>
        <v/>
      </c>
      <c r="X13" s="11">
        <f>IF(J13="","",IF(T13="",0,S13*INDEX(Products!$H$5:$H$204,T13)))</f>
        <v/>
      </c>
      <c r="Y13" s="11">
        <f>IF(J13="","",S13-V13-W13-X13)</f>
        <v/>
      </c>
    </row>
    <row r="14">
      <c r="A14" s="19" t="n"/>
      <c r="B14" s="19" t="n"/>
      <c r="C14" s="19" t="n"/>
      <c r="D14" s="19" t="n"/>
      <c r="E14" s="19" t="n"/>
      <c r="F14" s="20" t="n"/>
      <c r="G14" s="20" t="n"/>
      <c r="H14" s="20" t="n"/>
      <c r="I14" s="19" t="n"/>
      <c r="J14">
        <f>IFERROR(IF(C14="","",C14)&amp;"","")</f>
        <v/>
      </c>
      <c r="K14">
        <f>IFERROR(IF(D14="","",D14)&amp;"","")</f>
        <v/>
      </c>
      <c r="L14">
        <f>IFERROR(IF(I14="","",I14)&amp;"","")</f>
        <v/>
      </c>
      <c r="M14">
        <f>IF(J14="","",IFERROR(VALUE(SUBSTITUTE(SUBSTITUTE(IF(E14="","",E14)&amp;"","$",""),",","")),0))</f>
        <v/>
      </c>
      <c r="N14" s="11">
        <f>IF(J14="","",IFERROR(VALUE(SUBSTITUTE(SUBSTITUTE(IF(F14="","",F14)&amp;"","$",""),",","")),0))</f>
        <v/>
      </c>
      <c r="O14" s="11">
        <f>IF(J14="","",M14*N14)</f>
        <v/>
      </c>
      <c r="P14">
        <f>IF(J14="","",IF(L14="",1,COUNTIF($L$2:$L$1501,L14)))</f>
        <v/>
      </c>
      <c r="Q14" s="11">
        <f>IF(J14="","",IFERROR(VALUE(SUBSTITUTE(SUBSTITUTE(IF(G14="","",G14)&amp;"","$",""),",","")),0)/IF("No"="Yes",P14,1))</f>
        <v/>
      </c>
      <c r="R14" s="11">
        <f>IF(J14="","",IFERROR(VALUE(SUBSTITUTE(SUBSTITUTE(IF(H14="","",H14)&amp;"","$",""),",","")),0)/IF("No"="Yes",P14,1))</f>
        <v/>
      </c>
      <c r="S14" s="11">
        <f>IF(J14="","",O14+Q14-R14)</f>
        <v/>
      </c>
      <c r="T14">
        <f>IF(J14="","",IFERROR(IF(K14="",NA(),MATCH(K14,Products!$B$5:$B$204,0)),IFERROR(MATCH(J14,Products!$A$5:$A$204,0),"")))</f>
        <v/>
      </c>
      <c r="U14">
        <f>IF(J14="","",IF(T14="","⚠ not in Products",INDEX(Products!$A$5:$A$204,T14)))</f>
        <v/>
      </c>
      <c r="V14" s="11">
        <f>IF(J14="","",S14*(IFERROR(INDEX(Settings!$B$5:$B$9,MATCH($B14,Settings!$A$5:$A$9,0)),0)+IFERROR(INDEX(Settings!$E$5:$E$9,MATCH($B14,Settings!$A$5:$A$9,0)),0)+IFERROR(INDEX(Settings!$G$5:$G$9,MATCH($B14,Settings!$A$5:$A$9,0)),0))+(IFERROR(INDEX(Settings!$C$5:$C$9,MATCH($B14,Settings!$A$5:$A$9,0)),0)+IFERROR(INDEX(Settings!$F$5:$F$9,MATCH($B14,Settings!$A$5:$A$9,0)),0))/P14+IFERROR(INDEX(Settings!$D$5:$D$9,MATCH($B14,Settings!$A$5:$A$9,0)),0)*M14)</f>
        <v/>
      </c>
      <c r="W14" s="11">
        <f>IF(J14="","",IF(T14="",0,M14*INDEX(Products!$I$5:$I$204,T14)))</f>
        <v/>
      </c>
      <c r="X14" s="11">
        <f>IF(J14="","",IF(T14="",0,S14*INDEX(Products!$H$5:$H$204,T14)))</f>
        <v/>
      </c>
      <c r="Y14" s="11">
        <f>IF(J14="","",S14-V14-W14-X14)</f>
        <v/>
      </c>
    </row>
    <row r="15">
      <c r="A15" s="19" t="n"/>
      <c r="B15" s="19" t="n"/>
      <c r="C15" s="19" t="n"/>
      <c r="D15" s="19" t="n"/>
      <c r="E15" s="19" t="n"/>
      <c r="F15" s="20" t="n"/>
      <c r="G15" s="20" t="n"/>
      <c r="H15" s="20" t="n"/>
      <c r="I15" s="19" t="n"/>
      <c r="J15">
        <f>IFERROR(IF(C15="","",C15)&amp;"","")</f>
        <v/>
      </c>
      <c r="K15">
        <f>IFERROR(IF(D15="","",D15)&amp;"","")</f>
        <v/>
      </c>
      <c r="L15">
        <f>IFERROR(IF(I15="","",I15)&amp;"","")</f>
        <v/>
      </c>
      <c r="M15">
        <f>IF(J15="","",IFERROR(VALUE(SUBSTITUTE(SUBSTITUTE(IF(E15="","",E15)&amp;"","$",""),",","")),0))</f>
        <v/>
      </c>
      <c r="N15" s="11">
        <f>IF(J15="","",IFERROR(VALUE(SUBSTITUTE(SUBSTITUTE(IF(F15="","",F15)&amp;"","$",""),",","")),0))</f>
        <v/>
      </c>
      <c r="O15" s="11">
        <f>IF(J15="","",M15*N15)</f>
        <v/>
      </c>
      <c r="P15">
        <f>IF(J15="","",IF(L15="",1,COUNTIF($L$2:$L$1501,L15)))</f>
        <v/>
      </c>
      <c r="Q15" s="11">
        <f>IF(J15="","",IFERROR(VALUE(SUBSTITUTE(SUBSTITUTE(IF(G15="","",G15)&amp;"","$",""),",","")),0)/IF("No"="Yes",P15,1))</f>
        <v/>
      </c>
      <c r="R15" s="11">
        <f>IF(J15="","",IFERROR(VALUE(SUBSTITUTE(SUBSTITUTE(IF(H15="","",H15)&amp;"","$",""),",","")),0)/IF("No"="Yes",P15,1))</f>
        <v/>
      </c>
      <c r="S15" s="11">
        <f>IF(J15="","",O15+Q15-R15)</f>
        <v/>
      </c>
      <c r="T15">
        <f>IF(J15="","",IFERROR(IF(K15="",NA(),MATCH(K15,Products!$B$5:$B$204,0)),IFERROR(MATCH(J15,Products!$A$5:$A$204,0),"")))</f>
        <v/>
      </c>
      <c r="U15">
        <f>IF(J15="","",IF(T15="","⚠ not in Products",INDEX(Products!$A$5:$A$204,T15)))</f>
        <v/>
      </c>
      <c r="V15" s="11">
        <f>IF(J15="","",S15*(IFERROR(INDEX(Settings!$B$5:$B$9,MATCH($B15,Settings!$A$5:$A$9,0)),0)+IFERROR(INDEX(Settings!$E$5:$E$9,MATCH($B15,Settings!$A$5:$A$9,0)),0)+IFERROR(INDEX(Settings!$G$5:$G$9,MATCH($B15,Settings!$A$5:$A$9,0)),0))+(IFERROR(INDEX(Settings!$C$5:$C$9,MATCH($B15,Settings!$A$5:$A$9,0)),0)+IFERROR(INDEX(Settings!$F$5:$F$9,MATCH($B15,Settings!$A$5:$A$9,0)),0))/P15+IFERROR(INDEX(Settings!$D$5:$D$9,MATCH($B15,Settings!$A$5:$A$9,0)),0)*M15)</f>
        <v/>
      </c>
      <c r="W15" s="11">
        <f>IF(J15="","",IF(T15="",0,M15*INDEX(Products!$I$5:$I$204,T15)))</f>
        <v/>
      </c>
      <c r="X15" s="11">
        <f>IF(J15="","",IF(T15="",0,S15*INDEX(Products!$H$5:$H$204,T15)))</f>
        <v/>
      </c>
      <c r="Y15" s="11">
        <f>IF(J15="","",S15-V15-W15-X15)</f>
        <v/>
      </c>
    </row>
    <row r="16">
      <c r="A16" s="19" t="n"/>
      <c r="B16" s="19" t="n"/>
      <c r="C16" s="19" t="n"/>
      <c r="D16" s="19" t="n"/>
      <c r="E16" s="19" t="n"/>
      <c r="F16" s="20" t="n"/>
      <c r="G16" s="20" t="n"/>
      <c r="H16" s="20" t="n"/>
      <c r="I16" s="19" t="n"/>
      <c r="J16">
        <f>IFERROR(IF(C16="","",C16)&amp;"","")</f>
        <v/>
      </c>
      <c r="K16">
        <f>IFERROR(IF(D16="","",D16)&amp;"","")</f>
        <v/>
      </c>
      <c r="L16">
        <f>IFERROR(IF(I16="","",I16)&amp;"","")</f>
        <v/>
      </c>
      <c r="M16">
        <f>IF(J16="","",IFERROR(VALUE(SUBSTITUTE(SUBSTITUTE(IF(E16="","",E16)&amp;"","$",""),",","")),0))</f>
        <v/>
      </c>
      <c r="N16" s="11">
        <f>IF(J16="","",IFERROR(VALUE(SUBSTITUTE(SUBSTITUTE(IF(F16="","",F16)&amp;"","$",""),",","")),0))</f>
        <v/>
      </c>
      <c r="O16" s="11">
        <f>IF(J16="","",M16*N16)</f>
        <v/>
      </c>
      <c r="P16">
        <f>IF(J16="","",IF(L16="",1,COUNTIF($L$2:$L$1501,L16)))</f>
        <v/>
      </c>
      <c r="Q16" s="11">
        <f>IF(J16="","",IFERROR(VALUE(SUBSTITUTE(SUBSTITUTE(IF(G16="","",G16)&amp;"","$",""),",","")),0)/IF("No"="Yes",P16,1))</f>
        <v/>
      </c>
      <c r="R16" s="11">
        <f>IF(J16="","",IFERROR(VALUE(SUBSTITUTE(SUBSTITUTE(IF(H16="","",H16)&amp;"","$",""),",","")),0)/IF("No"="Yes",P16,1))</f>
        <v/>
      </c>
      <c r="S16" s="11">
        <f>IF(J16="","",O16+Q16-R16)</f>
        <v/>
      </c>
      <c r="T16">
        <f>IF(J16="","",IFERROR(IF(K16="",NA(),MATCH(K16,Products!$B$5:$B$204,0)),IFERROR(MATCH(J16,Products!$A$5:$A$204,0),"")))</f>
        <v/>
      </c>
      <c r="U16">
        <f>IF(J16="","",IF(T16="","⚠ not in Products",INDEX(Products!$A$5:$A$204,T16)))</f>
        <v/>
      </c>
      <c r="V16" s="11">
        <f>IF(J16="","",S16*(IFERROR(INDEX(Settings!$B$5:$B$9,MATCH($B16,Settings!$A$5:$A$9,0)),0)+IFERROR(INDEX(Settings!$E$5:$E$9,MATCH($B16,Settings!$A$5:$A$9,0)),0)+IFERROR(INDEX(Settings!$G$5:$G$9,MATCH($B16,Settings!$A$5:$A$9,0)),0))+(IFERROR(INDEX(Settings!$C$5:$C$9,MATCH($B16,Settings!$A$5:$A$9,0)),0)+IFERROR(INDEX(Settings!$F$5:$F$9,MATCH($B16,Settings!$A$5:$A$9,0)),0))/P16+IFERROR(INDEX(Settings!$D$5:$D$9,MATCH($B16,Settings!$A$5:$A$9,0)),0)*M16)</f>
        <v/>
      </c>
      <c r="W16" s="11">
        <f>IF(J16="","",IF(T16="",0,M16*INDEX(Products!$I$5:$I$204,T16)))</f>
        <v/>
      </c>
      <c r="X16" s="11">
        <f>IF(J16="","",IF(T16="",0,S16*INDEX(Products!$H$5:$H$204,T16)))</f>
        <v/>
      </c>
      <c r="Y16" s="11">
        <f>IF(J16="","",S16-V16-W16-X16)</f>
        <v/>
      </c>
    </row>
    <row r="17">
      <c r="A17" s="19" t="n"/>
      <c r="B17" s="19" t="n"/>
      <c r="C17" s="19" t="n"/>
      <c r="D17" s="19" t="n"/>
      <c r="E17" s="19" t="n"/>
      <c r="F17" s="20" t="n"/>
      <c r="G17" s="20" t="n"/>
      <c r="H17" s="20" t="n"/>
      <c r="I17" s="19" t="n"/>
      <c r="J17">
        <f>IFERROR(IF(C17="","",C17)&amp;"","")</f>
        <v/>
      </c>
      <c r="K17">
        <f>IFERROR(IF(D17="","",D17)&amp;"","")</f>
        <v/>
      </c>
      <c r="L17">
        <f>IFERROR(IF(I17="","",I17)&amp;"","")</f>
        <v/>
      </c>
      <c r="M17">
        <f>IF(J17="","",IFERROR(VALUE(SUBSTITUTE(SUBSTITUTE(IF(E17="","",E17)&amp;"","$",""),",","")),0))</f>
        <v/>
      </c>
      <c r="N17" s="11">
        <f>IF(J17="","",IFERROR(VALUE(SUBSTITUTE(SUBSTITUTE(IF(F17="","",F17)&amp;"","$",""),",","")),0))</f>
        <v/>
      </c>
      <c r="O17" s="11">
        <f>IF(J17="","",M17*N17)</f>
        <v/>
      </c>
      <c r="P17">
        <f>IF(J17="","",IF(L17="",1,COUNTIF($L$2:$L$1501,L17)))</f>
        <v/>
      </c>
      <c r="Q17" s="11">
        <f>IF(J17="","",IFERROR(VALUE(SUBSTITUTE(SUBSTITUTE(IF(G17="","",G17)&amp;"","$",""),",","")),0)/IF("No"="Yes",P17,1))</f>
        <v/>
      </c>
      <c r="R17" s="11">
        <f>IF(J17="","",IFERROR(VALUE(SUBSTITUTE(SUBSTITUTE(IF(H17="","",H17)&amp;"","$",""),",","")),0)/IF("No"="Yes",P17,1))</f>
        <v/>
      </c>
      <c r="S17" s="11">
        <f>IF(J17="","",O17+Q17-R17)</f>
        <v/>
      </c>
      <c r="T17">
        <f>IF(J17="","",IFERROR(IF(K17="",NA(),MATCH(K17,Products!$B$5:$B$204,0)),IFERROR(MATCH(J17,Products!$A$5:$A$204,0),"")))</f>
        <v/>
      </c>
      <c r="U17">
        <f>IF(J17="","",IF(T17="","⚠ not in Products",INDEX(Products!$A$5:$A$204,T17)))</f>
        <v/>
      </c>
      <c r="V17" s="11">
        <f>IF(J17="","",S17*(IFERROR(INDEX(Settings!$B$5:$B$9,MATCH($B17,Settings!$A$5:$A$9,0)),0)+IFERROR(INDEX(Settings!$E$5:$E$9,MATCH($B17,Settings!$A$5:$A$9,0)),0)+IFERROR(INDEX(Settings!$G$5:$G$9,MATCH($B17,Settings!$A$5:$A$9,0)),0))+(IFERROR(INDEX(Settings!$C$5:$C$9,MATCH($B17,Settings!$A$5:$A$9,0)),0)+IFERROR(INDEX(Settings!$F$5:$F$9,MATCH($B17,Settings!$A$5:$A$9,0)),0))/P17+IFERROR(INDEX(Settings!$D$5:$D$9,MATCH($B17,Settings!$A$5:$A$9,0)),0)*M17)</f>
        <v/>
      </c>
      <c r="W17" s="11">
        <f>IF(J17="","",IF(T17="",0,M17*INDEX(Products!$I$5:$I$204,T17)))</f>
        <v/>
      </c>
      <c r="X17" s="11">
        <f>IF(J17="","",IF(T17="",0,S17*INDEX(Products!$H$5:$H$204,T17)))</f>
        <v/>
      </c>
      <c r="Y17" s="11">
        <f>IF(J17="","",S17-V17-W17-X17)</f>
        <v/>
      </c>
    </row>
    <row r="18">
      <c r="A18" s="19" t="n"/>
      <c r="B18" s="19" t="n"/>
      <c r="C18" s="19" t="n"/>
      <c r="D18" s="19" t="n"/>
      <c r="E18" s="19" t="n"/>
      <c r="F18" s="20" t="n"/>
      <c r="G18" s="20" t="n"/>
      <c r="H18" s="20" t="n"/>
      <c r="I18" s="19" t="n"/>
      <c r="J18">
        <f>IFERROR(IF(C18="","",C18)&amp;"","")</f>
        <v/>
      </c>
      <c r="K18">
        <f>IFERROR(IF(D18="","",D18)&amp;"","")</f>
        <v/>
      </c>
      <c r="L18">
        <f>IFERROR(IF(I18="","",I18)&amp;"","")</f>
        <v/>
      </c>
      <c r="M18">
        <f>IF(J18="","",IFERROR(VALUE(SUBSTITUTE(SUBSTITUTE(IF(E18="","",E18)&amp;"","$",""),",","")),0))</f>
        <v/>
      </c>
      <c r="N18" s="11">
        <f>IF(J18="","",IFERROR(VALUE(SUBSTITUTE(SUBSTITUTE(IF(F18="","",F18)&amp;"","$",""),",","")),0))</f>
        <v/>
      </c>
      <c r="O18" s="11">
        <f>IF(J18="","",M18*N18)</f>
        <v/>
      </c>
      <c r="P18">
        <f>IF(J18="","",IF(L18="",1,COUNTIF($L$2:$L$1501,L18)))</f>
        <v/>
      </c>
      <c r="Q18" s="11">
        <f>IF(J18="","",IFERROR(VALUE(SUBSTITUTE(SUBSTITUTE(IF(G18="","",G18)&amp;"","$",""),",","")),0)/IF("No"="Yes",P18,1))</f>
        <v/>
      </c>
      <c r="R18" s="11">
        <f>IF(J18="","",IFERROR(VALUE(SUBSTITUTE(SUBSTITUTE(IF(H18="","",H18)&amp;"","$",""),",","")),0)/IF("No"="Yes",P18,1))</f>
        <v/>
      </c>
      <c r="S18" s="11">
        <f>IF(J18="","",O18+Q18-R18)</f>
        <v/>
      </c>
      <c r="T18">
        <f>IF(J18="","",IFERROR(IF(K18="",NA(),MATCH(K18,Products!$B$5:$B$204,0)),IFERROR(MATCH(J18,Products!$A$5:$A$204,0),"")))</f>
        <v/>
      </c>
      <c r="U18">
        <f>IF(J18="","",IF(T18="","⚠ not in Products",INDEX(Products!$A$5:$A$204,T18)))</f>
        <v/>
      </c>
      <c r="V18" s="11">
        <f>IF(J18="","",S18*(IFERROR(INDEX(Settings!$B$5:$B$9,MATCH($B18,Settings!$A$5:$A$9,0)),0)+IFERROR(INDEX(Settings!$E$5:$E$9,MATCH($B18,Settings!$A$5:$A$9,0)),0)+IFERROR(INDEX(Settings!$G$5:$G$9,MATCH($B18,Settings!$A$5:$A$9,0)),0))+(IFERROR(INDEX(Settings!$C$5:$C$9,MATCH($B18,Settings!$A$5:$A$9,0)),0)+IFERROR(INDEX(Settings!$F$5:$F$9,MATCH($B18,Settings!$A$5:$A$9,0)),0))/P18+IFERROR(INDEX(Settings!$D$5:$D$9,MATCH($B18,Settings!$A$5:$A$9,0)),0)*M18)</f>
        <v/>
      </c>
      <c r="W18" s="11">
        <f>IF(J18="","",IF(T18="",0,M18*INDEX(Products!$I$5:$I$204,T18)))</f>
        <v/>
      </c>
      <c r="X18" s="11">
        <f>IF(J18="","",IF(T18="",0,S18*INDEX(Products!$H$5:$H$204,T18)))</f>
        <v/>
      </c>
      <c r="Y18" s="11">
        <f>IF(J18="","",S18-V18-W18-X18)</f>
        <v/>
      </c>
    </row>
    <row r="19">
      <c r="A19" s="19" t="n"/>
      <c r="B19" s="19" t="n"/>
      <c r="C19" s="19" t="n"/>
      <c r="D19" s="19" t="n"/>
      <c r="E19" s="19" t="n"/>
      <c r="F19" s="20" t="n"/>
      <c r="G19" s="20" t="n"/>
      <c r="H19" s="20" t="n"/>
      <c r="I19" s="19" t="n"/>
      <c r="J19">
        <f>IFERROR(IF(C19="","",C19)&amp;"","")</f>
        <v/>
      </c>
      <c r="K19">
        <f>IFERROR(IF(D19="","",D19)&amp;"","")</f>
        <v/>
      </c>
      <c r="L19">
        <f>IFERROR(IF(I19="","",I19)&amp;"","")</f>
        <v/>
      </c>
      <c r="M19">
        <f>IF(J19="","",IFERROR(VALUE(SUBSTITUTE(SUBSTITUTE(IF(E19="","",E19)&amp;"","$",""),",","")),0))</f>
        <v/>
      </c>
      <c r="N19" s="11">
        <f>IF(J19="","",IFERROR(VALUE(SUBSTITUTE(SUBSTITUTE(IF(F19="","",F19)&amp;"","$",""),",","")),0))</f>
        <v/>
      </c>
      <c r="O19" s="11">
        <f>IF(J19="","",M19*N19)</f>
        <v/>
      </c>
      <c r="P19">
        <f>IF(J19="","",IF(L19="",1,COUNTIF($L$2:$L$1501,L19)))</f>
        <v/>
      </c>
      <c r="Q19" s="11">
        <f>IF(J19="","",IFERROR(VALUE(SUBSTITUTE(SUBSTITUTE(IF(G19="","",G19)&amp;"","$",""),",","")),0)/IF("No"="Yes",P19,1))</f>
        <v/>
      </c>
      <c r="R19" s="11">
        <f>IF(J19="","",IFERROR(VALUE(SUBSTITUTE(SUBSTITUTE(IF(H19="","",H19)&amp;"","$",""),",","")),0)/IF("No"="Yes",P19,1))</f>
        <v/>
      </c>
      <c r="S19" s="11">
        <f>IF(J19="","",O19+Q19-R19)</f>
        <v/>
      </c>
      <c r="T19">
        <f>IF(J19="","",IFERROR(IF(K19="",NA(),MATCH(K19,Products!$B$5:$B$204,0)),IFERROR(MATCH(J19,Products!$A$5:$A$204,0),"")))</f>
        <v/>
      </c>
      <c r="U19">
        <f>IF(J19="","",IF(T19="","⚠ not in Products",INDEX(Products!$A$5:$A$204,T19)))</f>
        <v/>
      </c>
      <c r="V19" s="11">
        <f>IF(J19="","",S19*(IFERROR(INDEX(Settings!$B$5:$B$9,MATCH($B19,Settings!$A$5:$A$9,0)),0)+IFERROR(INDEX(Settings!$E$5:$E$9,MATCH($B19,Settings!$A$5:$A$9,0)),0)+IFERROR(INDEX(Settings!$G$5:$G$9,MATCH($B19,Settings!$A$5:$A$9,0)),0))+(IFERROR(INDEX(Settings!$C$5:$C$9,MATCH($B19,Settings!$A$5:$A$9,0)),0)+IFERROR(INDEX(Settings!$F$5:$F$9,MATCH($B19,Settings!$A$5:$A$9,0)),0))/P19+IFERROR(INDEX(Settings!$D$5:$D$9,MATCH($B19,Settings!$A$5:$A$9,0)),0)*M19)</f>
        <v/>
      </c>
      <c r="W19" s="11">
        <f>IF(J19="","",IF(T19="",0,M19*INDEX(Products!$I$5:$I$204,T19)))</f>
        <v/>
      </c>
      <c r="X19" s="11">
        <f>IF(J19="","",IF(T19="",0,S19*INDEX(Products!$H$5:$H$204,T19)))</f>
        <v/>
      </c>
      <c r="Y19" s="11">
        <f>IF(J19="","",S19-V19-W19-X19)</f>
        <v/>
      </c>
    </row>
    <row r="20">
      <c r="A20" s="19" t="n"/>
      <c r="B20" s="19" t="n"/>
      <c r="C20" s="19" t="n"/>
      <c r="D20" s="19" t="n"/>
      <c r="E20" s="19" t="n"/>
      <c r="F20" s="20" t="n"/>
      <c r="G20" s="20" t="n"/>
      <c r="H20" s="20" t="n"/>
      <c r="I20" s="19" t="n"/>
      <c r="J20">
        <f>IFERROR(IF(C20="","",C20)&amp;"","")</f>
        <v/>
      </c>
      <c r="K20">
        <f>IFERROR(IF(D20="","",D20)&amp;"","")</f>
        <v/>
      </c>
      <c r="L20">
        <f>IFERROR(IF(I20="","",I20)&amp;"","")</f>
        <v/>
      </c>
      <c r="M20">
        <f>IF(J20="","",IFERROR(VALUE(SUBSTITUTE(SUBSTITUTE(IF(E20="","",E20)&amp;"","$",""),",","")),0))</f>
        <v/>
      </c>
      <c r="N20" s="11">
        <f>IF(J20="","",IFERROR(VALUE(SUBSTITUTE(SUBSTITUTE(IF(F20="","",F20)&amp;"","$",""),",","")),0))</f>
        <v/>
      </c>
      <c r="O20" s="11">
        <f>IF(J20="","",M20*N20)</f>
        <v/>
      </c>
      <c r="P20">
        <f>IF(J20="","",IF(L20="",1,COUNTIF($L$2:$L$1501,L20)))</f>
        <v/>
      </c>
      <c r="Q20" s="11">
        <f>IF(J20="","",IFERROR(VALUE(SUBSTITUTE(SUBSTITUTE(IF(G20="","",G20)&amp;"","$",""),",","")),0)/IF("No"="Yes",P20,1))</f>
        <v/>
      </c>
      <c r="R20" s="11">
        <f>IF(J20="","",IFERROR(VALUE(SUBSTITUTE(SUBSTITUTE(IF(H20="","",H20)&amp;"","$",""),",","")),0)/IF("No"="Yes",P20,1))</f>
        <v/>
      </c>
      <c r="S20" s="11">
        <f>IF(J20="","",O20+Q20-R20)</f>
        <v/>
      </c>
      <c r="T20">
        <f>IF(J20="","",IFERROR(IF(K20="",NA(),MATCH(K20,Products!$B$5:$B$204,0)),IFERROR(MATCH(J20,Products!$A$5:$A$204,0),"")))</f>
        <v/>
      </c>
      <c r="U20">
        <f>IF(J20="","",IF(T20="","⚠ not in Products",INDEX(Products!$A$5:$A$204,T20)))</f>
        <v/>
      </c>
      <c r="V20" s="11">
        <f>IF(J20="","",S20*(IFERROR(INDEX(Settings!$B$5:$B$9,MATCH($B20,Settings!$A$5:$A$9,0)),0)+IFERROR(INDEX(Settings!$E$5:$E$9,MATCH($B20,Settings!$A$5:$A$9,0)),0)+IFERROR(INDEX(Settings!$G$5:$G$9,MATCH($B20,Settings!$A$5:$A$9,0)),0))+(IFERROR(INDEX(Settings!$C$5:$C$9,MATCH($B20,Settings!$A$5:$A$9,0)),0)+IFERROR(INDEX(Settings!$F$5:$F$9,MATCH($B20,Settings!$A$5:$A$9,0)),0))/P20+IFERROR(INDEX(Settings!$D$5:$D$9,MATCH($B20,Settings!$A$5:$A$9,0)),0)*M20)</f>
        <v/>
      </c>
      <c r="W20" s="11">
        <f>IF(J20="","",IF(T20="",0,M20*INDEX(Products!$I$5:$I$204,T20)))</f>
        <v/>
      </c>
      <c r="X20" s="11">
        <f>IF(J20="","",IF(T20="",0,S20*INDEX(Products!$H$5:$H$204,T20)))</f>
        <v/>
      </c>
      <c r="Y20" s="11">
        <f>IF(J20="","",S20-V20-W20-X20)</f>
        <v/>
      </c>
    </row>
    <row r="21">
      <c r="A21" s="19" t="n"/>
      <c r="B21" s="19" t="n"/>
      <c r="C21" s="19" t="n"/>
      <c r="D21" s="19" t="n"/>
      <c r="E21" s="19" t="n"/>
      <c r="F21" s="20" t="n"/>
      <c r="G21" s="20" t="n"/>
      <c r="H21" s="20" t="n"/>
      <c r="I21" s="19" t="n"/>
      <c r="J21">
        <f>IFERROR(IF(C21="","",C21)&amp;"","")</f>
        <v/>
      </c>
      <c r="K21">
        <f>IFERROR(IF(D21="","",D21)&amp;"","")</f>
        <v/>
      </c>
      <c r="L21">
        <f>IFERROR(IF(I21="","",I21)&amp;"","")</f>
        <v/>
      </c>
      <c r="M21">
        <f>IF(J21="","",IFERROR(VALUE(SUBSTITUTE(SUBSTITUTE(IF(E21="","",E21)&amp;"","$",""),",","")),0))</f>
        <v/>
      </c>
      <c r="N21" s="11">
        <f>IF(J21="","",IFERROR(VALUE(SUBSTITUTE(SUBSTITUTE(IF(F21="","",F21)&amp;"","$",""),",","")),0))</f>
        <v/>
      </c>
      <c r="O21" s="11">
        <f>IF(J21="","",M21*N21)</f>
        <v/>
      </c>
      <c r="P21">
        <f>IF(J21="","",IF(L21="",1,COUNTIF($L$2:$L$1501,L21)))</f>
        <v/>
      </c>
      <c r="Q21" s="11">
        <f>IF(J21="","",IFERROR(VALUE(SUBSTITUTE(SUBSTITUTE(IF(G21="","",G21)&amp;"","$",""),",","")),0)/IF("No"="Yes",P21,1))</f>
        <v/>
      </c>
      <c r="R21" s="11">
        <f>IF(J21="","",IFERROR(VALUE(SUBSTITUTE(SUBSTITUTE(IF(H21="","",H21)&amp;"","$",""),",","")),0)/IF("No"="Yes",P21,1))</f>
        <v/>
      </c>
      <c r="S21" s="11">
        <f>IF(J21="","",O21+Q21-R21)</f>
        <v/>
      </c>
      <c r="T21">
        <f>IF(J21="","",IFERROR(IF(K21="",NA(),MATCH(K21,Products!$B$5:$B$204,0)),IFERROR(MATCH(J21,Products!$A$5:$A$204,0),"")))</f>
        <v/>
      </c>
      <c r="U21">
        <f>IF(J21="","",IF(T21="","⚠ not in Products",INDEX(Products!$A$5:$A$204,T21)))</f>
        <v/>
      </c>
      <c r="V21" s="11">
        <f>IF(J21="","",S21*(IFERROR(INDEX(Settings!$B$5:$B$9,MATCH($B21,Settings!$A$5:$A$9,0)),0)+IFERROR(INDEX(Settings!$E$5:$E$9,MATCH($B21,Settings!$A$5:$A$9,0)),0)+IFERROR(INDEX(Settings!$G$5:$G$9,MATCH($B21,Settings!$A$5:$A$9,0)),0))+(IFERROR(INDEX(Settings!$C$5:$C$9,MATCH($B21,Settings!$A$5:$A$9,0)),0)+IFERROR(INDEX(Settings!$F$5:$F$9,MATCH($B21,Settings!$A$5:$A$9,0)),0))/P21+IFERROR(INDEX(Settings!$D$5:$D$9,MATCH($B21,Settings!$A$5:$A$9,0)),0)*M21)</f>
        <v/>
      </c>
      <c r="W21" s="11">
        <f>IF(J21="","",IF(T21="",0,M21*INDEX(Products!$I$5:$I$204,T21)))</f>
        <v/>
      </c>
      <c r="X21" s="11">
        <f>IF(J21="","",IF(T21="",0,S21*INDEX(Products!$H$5:$H$204,T21)))</f>
        <v/>
      </c>
      <c r="Y21" s="11">
        <f>IF(J21="","",S21-V21-W21-X21)</f>
        <v/>
      </c>
    </row>
    <row r="22">
      <c r="A22" s="19" t="n"/>
      <c r="B22" s="19" t="n"/>
      <c r="C22" s="19" t="n"/>
      <c r="D22" s="19" t="n"/>
      <c r="E22" s="19" t="n"/>
      <c r="F22" s="20" t="n"/>
      <c r="G22" s="20" t="n"/>
      <c r="H22" s="20" t="n"/>
      <c r="I22" s="19" t="n"/>
      <c r="J22">
        <f>IFERROR(IF(C22="","",C22)&amp;"","")</f>
        <v/>
      </c>
      <c r="K22">
        <f>IFERROR(IF(D22="","",D22)&amp;"","")</f>
        <v/>
      </c>
      <c r="L22">
        <f>IFERROR(IF(I22="","",I22)&amp;"","")</f>
        <v/>
      </c>
      <c r="M22">
        <f>IF(J22="","",IFERROR(VALUE(SUBSTITUTE(SUBSTITUTE(IF(E22="","",E22)&amp;"","$",""),",","")),0))</f>
        <v/>
      </c>
      <c r="N22" s="11">
        <f>IF(J22="","",IFERROR(VALUE(SUBSTITUTE(SUBSTITUTE(IF(F22="","",F22)&amp;"","$",""),",","")),0))</f>
        <v/>
      </c>
      <c r="O22" s="11">
        <f>IF(J22="","",M22*N22)</f>
        <v/>
      </c>
      <c r="P22">
        <f>IF(J22="","",IF(L22="",1,COUNTIF($L$2:$L$1501,L22)))</f>
        <v/>
      </c>
      <c r="Q22" s="11">
        <f>IF(J22="","",IFERROR(VALUE(SUBSTITUTE(SUBSTITUTE(IF(G22="","",G22)&amp;"","$",""),",","")),0)/IF("No"="Yes",P22,1))</f>
        <v/>
      </c>
      <c r="R22" s="11">
        <f>IF(J22="","",IFERROR(VALUE(SUBSTITUTE(SUBSTITUTE(IF(H22="","",H22)&amp;"","$",""),",","")),0)/IF("No"="Yes",P22,1))</f>
        <v/>
      </c>
      <c r="S22" s="11">
        <f>IF(J22="","",O22+Q22-R22)</f>
        <v/>
      </c>
      <c r="T22">
        <f>IF(J22="","",IFERROR(IF(K22="",NA(),MATCH(K22,Products!$B$5:$B$204,0)),IFERROR(MATCH(J22,Products!$A$5:$A$204,0),"")))</f>
        <v/>
      </c>
      <c r="U22">
        <f>IF(J22="","",IF(T22="","⚠ not in Products",INDEX(Products!$A$5:$A$204,T22)))</f>
        <v/>
      </c>
      <c r="V22" s="11">
        <f>IF(J22="","",S22*(IFERROR(INDEX(Settings!$B$5:$B$9,MATCH($B22,Settings!$A$5:$A$9,0)),0)+IFERROR(INDEX(Settings!$E$5:$E$9,MATCH($B22,Settings!$A$5:$A$9,0)),0)+IFERROR(INDEX(Settings!$G$5:$G$9,MATCH($B22,Settings!$A$5:$A$9,0)),0))+(IFERROR(INDEX(Settings!$C$5:$C$9,MATCH($B22,Settings!$A$5:$A$9,0)),0)+IFERROR(INDEX(Settings!$F$5:$F$9,MATCH($B22,Settings!$A$5:$A$9,0)),0))/P22+IFERROR(INDEX(Settings!$D$5:$D$9,MATCH($B22,Settings!$A$5:$A$9,0)),0)*M22)</f>
        <v/>
      </c>
      <c r="W22" s="11">
        <f>IF(J22="","",IF(T22="",0,M22*INDEX(Products!$I$5:$I$204,T22)))</f>
        <v/>
      </c>
      <c r="X22" s="11">
        <f>IF(J22="","",IF(T22="",0,S22*INDEX(Products!$H$5:$H$204,T22)))</f>
        <v/>
      </c>
      <c r="Y22" s="11">
        <f>IF(J22="","",S22-V22-W22-X22)</f>
        <v/>
      </c>
    </row>
    <row r="23">
      <c r="A23" s="19" t="n"/>
      <c r="B23" s="19" t="n"/>
      <c r="C23" s="19" t="n"/>
      <c r="D23" s="19" t="n"/>
      <c r="E23" s="19" t="n"/>
      <c r="F23" s="20" t="n"/>
      <c r="G23" s="20" t="n"/>
      <c r="H23" s="20" t="n"/>
      <c r="I23" s="19" t="n"/>
      <c r="J23">
        <f>IFERROR(IF(C23="","",C23)&amp;"","")</f>
        <v/>
      </c>
      <c r="K23">
        <f>IFERROR(IF(D23="","",D23)&amp;"","")</f>
        <v/>
      </c>
      <c r="L23">
        <f>IFERROR(IF(I23="","",I23)&amp;"","")</f>
        <v/>
      </c>
      <c r="M23">
        <f>IF(J23="","",IFERROR(VALUE(SUBSTITUTE(SUBSTITUTE(IF(E23="","",E23)&amp;"","$",""),",","")),0))</f>
        <v/>
      </c>
      <c r="N23" s="11">
        <f>IF(J23="","",IFERROR(VALUE(SUBSTITUTE(SUBSTITUTE(IF(F23="","",F23)&amp;"","$",""),",","")),0))</f>
        <v/>
      </c>
      <c r="O23" s="11">
        <f>IF(J23="","",M23*N23)</f>
        <v/>
      </c>
      <c r="P23">
        <f>IF(J23="","",IF(L23="",1,COUNTIF($L$2:$L$1501,L23)))</f>
        <v/>
      </c>
      <c r="Q23" s="11">
        <f>IF(J23="","",IFERROR(VALUE(SUBSTITUTE(SUBSTITUTE(IF(G23="","",G23)&amp;"","$",""),",","")),0)/IF("No"="Yes",P23,1))</f>
        <v/>
      </c>
      <c r="R23" s="11">
        <f>IF(J23="","",IFERROR(VALUE(SUBSTITUTE(SUBSTITUTE(IF(H23="","",H23)&amp;"","$",""),",","")),0)/IF("No"="Yes",P23,1))</f>
        <v/>
      </c>
      <c r="S23" s="11">
        <f>IF(J23="","",O23+Q23-R23)</f>
        <v/>
      </c>
      <c r="T23">
        <f>IF(J23="","",IFERROR(IF(K23="",NA(),MATCH(K23,Products!$B$5:$B$204,0)),IFERROR(MATCH(J23,Products!$A$5:$A$204,0),"")))</f>
        <v/>
      </c>
      <c r="U23">
        <f>IF(J23="","",IF(T23="","⚠ not in Products",INDEX(Products!$A$5:$A$204,T23)))</f>
        <v/>
      </c>
      <c r="V23" s="11">
        <f>IF(J23="","",S23*(IFERROR(INDEX(Settings!$B$5:$B$9,MATCH($B23,Settings!$A$5:$A$9,0)),0)+IFERROR(INDEX(Settings!$E$5:$E$9,MATCH($B23,Settings!$A$5:$A$9,0)),0)+IFERROR(INDEX(Settings!$G$5:$G$9,MATCH($B23,Settings!$A$5:$A$9,0)),0))+(IFERROR(INDEX(Settings!$C$5:$C$9,MATCH($B23,Settings!$A$5:$A$9,0)),0)+IFERROR(INDEX(Settings!$F$5:$F$9,MATCH($B23,Settings!$A$5:$A$9,0)),0))/P23+IFERROR(INDEX(Settings!$D$5:$D$9,MATCH($B23,Settings!$A$5:$A$9,0)),0)*M23)</f>
        <v/>
      </c>
      <c r="W23" s="11">
        <f>IF(J23="","",IF(T23="",0,M23*INDEX(Products!$I$5:$I$204,T23)))</f>
        <v/>
      </c>
      <c r="X23" s="11">
        <f>IF(J23="","",IF(T23="",0,S23*INDEX(Products!$H$5:$H$204,T23)))</f>
        <v/>
      </c>
      <c r="Y23" s="11">
        <f>IF(J23="","",S23-V23-W23-X23)</f>
        <v/>
      </c>
    </row>
    <row r="24">
      <c r="A24" s="19" t="n"/>
      <c r="B24" s="19" t="n"/>
      <c r="C24" s="19" t="n"/>
      <c r="D24" s="19" t="n"/>
      <c r="E24" s="19" t="n"/>
      <c r="F24" s="20" t="n"/>
      <c r="G24" s="20" t="n"/>
      <c r="H24" s="20" t="n"/>
      <c r="I24" s="19" t="n"/>
      <c r="J24">
        <f>IFERROR(IF(C24="","",C24)&amp;"","")</f>
        <v/>
      </c>
      <c r="K24">
        <f>IFERROR(IF(D24="","",D24)&amp;"","")</f>
        <v/>
      </c>
      <c r="L24">
        <f>IFERROR(IF(I24="","",I24)&amp;"","")</f>
        <v/>
      </c>
      <c r="M24">
        <f>IF(J24="","",IFERROR(VALUE(SUBSTITUTE(SUBSTITUTE(IF(E24="","",E24)&amp;"","$",""),",","")),0))</f>
        <v/>
      </c>
      <c r="N24" s="11">
        <f>IF(J24="","",IFERROR(VALUE(SUBSTITUTE(SUBSTITUTE(IF(F24="","",F24)&amp;"","$",""),",","")),0))</f>
        <v/>
      </c>
      <c r="O24" s="11">
        <f>IF(J24="","",M24*N24)</f>
        <v/>
      </c>
      <c r="P24">
        <f>IF(J24="","",IF(L24="",1,COUNTIF($L$2:$L$1501,L24)))</f>
        <v/>
      </c>
      <c r="Q24" s="11">
        <f>IF(J24="","",IFERROR(VALUE(SUBSTITUTE(SUBSTITUTE(IF(G24="","",G24)&amp;"","$",""),",","")),0)/IF("No"="Yes",P24,1))</f>
        <v/>
      </c>
      <c r="R24" s="11">
        <f>IF(J24="","",IFERROR(VALUE(SUBSTITUTE(SUBSTITUTE(IF(H24="","",H24)&amp;"","$",""),",","")),0)/IF("No"="Yes",P24,1))</f>
        <v/>
      </c>
      <c r="S24" s="11">
        <f>IF(J24="","",O24+Q24-R24)</f>
        <v/>
      </c>
      <c r="T24">
        <f>IF(J24="","",IFERROR(IF(K24="",NA(),MATCH(K24,Products!$B$5:$B$204,0)),IFERROR(MATCH(J24,Products!$A$5:$A$204,0),"")))</f>
        <v/>
      </c>
      <c r="U24">
        <f>IF(J24="","",IF(T24="","⚠ not in Products",INDEX(Products!$A$5:$A$204,T24)))</f>
        <v/>
      </c>
      <c r="V24" s="11">
        <f>IF(J24="","",S24*(IFERROR(INDEX(Settings!$B$5:$B$9,MATCH($B24,Settings!$A$5:$A$9,0)),0)+IFERROR(INDEX(Settings!$E$5:$E$9,MATCH($B24,Settings!$A$5:$A$9,0)),0)+IFERROR(INDEX(Settings!$G$5:$G$9,MATCH($B24,Settings!$A$5:$A$9,0)),0))+(IFERROR(INDEX(Settings!$C$5:$C$9,MATCH($B24,Settings!$A$5:$A$9,0)),0)+IFERROR(INDEX(Settings!$F$5:$F$9,MATCH($B24,Settings!$A$5:$A$9,0)),0))/P24+IFERROR(INDEX(Settings!$D$5:$D$9,MATCH($B24,Settings!$A$5:$A$9,0)),0)*M24)</f>
        <v/>
      </c>
      <c r="W24" s="11">
        <f>IF(J24="","",IF(T24="",0,M24*INDEX(Products!$I$5:$I$204,T24)))</f>
        <v/>
      </c>
      <c r="X24" s="11">
        <f>IF(J24="","",IF(T24="",0,S24*INDEX(Products!$H$5:$H$204,T24)))</f>
        <v/>
      </c>
      <c r="Y24" s="11">
        <f>IF(J24="","",S24-V24-W24-X24)</f>
        <v/>
      </c>
    </row>
    <row r="25">
      <c r="A25" s="19" t="n"/>
      <c r="B25" s="19" t="n"/>
      <c r="C25" s="19" t="n"/>
      <c r="D25" s="19" t="n"/>
      <c r="E25" s="19" t="n"/>
      <c r="F25" s="20" t="n"/>
      <c r="G25" s="20" t="n"/>
      <c r="H25" s="20" t="n"/>
      <c r="I25" s="19" t="n"/>
      <c r="J25">
        <f>IFERROR(IF(C25="","",C25)&amp;"","")</f>
        <v/>
      </c>
      <c r="K25">
        <f>IFERROR(IF(D25="","",D25)&amp;"","")</f>
        <v/>
      </c>
      <c r="L25">
        <f>IFERROR(IF(I25="","",I25)&amp;"","")</f>
        <v/>
      </c>
      <c r="M25">
        <f>IF(J25="","",IFERROR(VALUE(SUBSTITUTE(SUBSTITUTE(IF(E25="","",E25)&amp;"","$",""),",","")),0))</f>
        <v/>
      </c>
      <c r="N25" s="11">
        <f>IF(J25="","",IFERROR(VALUE(SUBSTITUTE(SUBSTITUTE(IF(F25="","",F25)&amp;"","$",""),",","")),0))</f>
        <v/>
      </c>
      <c r="O25" s="11">
        <f>IF(J25="","",M25*N25)</f>
        <v/>
      </c>
      <c r="P25">
        <f>IF(J25="","",IF(L25="",1,COUNTIF($L$2:$L$1501,L25)))</f>
        <v/>
      </c>
      <c r="Q25" s="11">
        <f>IF(J25="","",IFERROR(VALUE(SUBSTITUTE(SUBSTITUTE(IF(G25="","",G25)&amp;"","$",""),",","")),0)/IF("No"="Yes",P25,1))</f>
        <v/>
      </c>
      <c r="R25" s="11">
        <f>IF(J25="","",IFERROR(VALUE(SUBSTITUTE(SUBSTITUTE(IF(H25="","",H25)&amp;"","$",""),",","")),0)/IF("No"="Yes",P25,1))</f>
        <v/>
      </c>
      <c r="S25" s="11">
        <f>IF(J25="","",O25+Q25-R25)</f>
        <v/>
      </c>
      <c r="T25">
        <f>IF(J25="","",IFERROR(IF(K25="",NA(),MATCH(K25,Products!$B$5:$B$204,0)),IFERROR(MATCH(J25,Products!$A$5:$A$204,0),"")))</f>
        <v/>
      </c>
      <c r="U25">
        <f>IF(J25="","",IF(T25="","⚠ not in Products",INDEX(Products!$A$5:$A$204,T25)))</f>
        <v/>
      </c>
      <c r="V25" s="11">
        <f>IF(J25="","",S25*(IFERROR(INDEX(Settings!$B$5:$B$9,MATCH($B25,Settings!$A$5:$A$9,0)),0)+IFERROR(INDEX(Settings!$E$5:$E$9,MATCH($B25,Settings!$A$5:$A$9,0)),0)+IFERROR(INDEX(Settings!$G$5:$G$9,MATCH($B25,Settings!$A$5:$A$9,0)),0))+(IFERROR(INDEX(Settings!$C$5:$C$9,MATCH($B25,Settings!$A$5:$A$9,0)),0)+IFERROR(INDEX(Settings!$F$5:$F$9,MATCH($B25,Settings!$A$5:$A$9,0)),0))/P25+IFERROR(INDEX(Settings!$D$5:$D$9,MATCH($B25,Settings!$A$5:$A$9,0)),0)*M25)</f>
        <v/>
      </c>
      <c r="W25" s="11">
        <f>IF(J25="","",IF(T25="",0,M25*INDEX(Products!$I$5:$I$204,T25)))</f>
        <v/>
      </c>
      <c r="X25" s="11">
        <f>IF(J25="","",IF(T25="",0,S25*INDEX(Products!$H$5:$H$204,T25)))</f>
        <v/>
      </c>
      <c r="Y25" s="11">
        <f>IF(J25="","",S25-V25-W25-X25)</f>
        <v/>
      </c>
    </row>
    <row r="26">
      <c r="A26" s="19" t="n"/>
      <c r="B26" s="19" t="n"/>
      <c r="C26" s="19" t="n"/>
      <c r="D26" s="19" t="n"/>
      <c r="E26" s="19" t="n"/>
      <c r="F26" s="20" t="n"/>
      <c r="G26" s="20" t="n"/>
      <c r="H26" s="20" t="n"/>
      <c r="I26" s="19" t="n"/>
      <c r="J26">
        <f>IFERROR(IF(C26="","",C26)&amp;"","")</f>
        <v/>
      </c>
      <c r="K26">
        <f>IFERROR(IF(D26="","",D26)&amp;"","")</f>
        <v/>
      </c>
      <c r="L26">
        <f>IFERROR(IF(I26="","",I26)&amp;"","")</f>
        <v/>
      </c>
      <c r="M26">
        <f>IF(J26="","",IFERROR(VALUE(SUBSTITUTE(SUBSTITUTE(IF(E26="","",E26)&amp;"","$",""),",","")),0))</f>
        <v/>
      </c>
      <c r="N26" s="11">
        <f>IF(J26="","",IFERROR(VALUE(SUBSTITUTE(SUBSTITUTE(IF(F26="","",F26)&amp;"","$",""),",","")),0))</f>
        <v/>
      </c>
      <c r="O26" s="11">
        <f>IF(J26="","",M26*N26)</f>
        <v/>
      </c>
      <c r="P26">
        <f>IF(J26="","",IF(L26="",1,COUNTIF($L$2:$L$1501,L26)))</f>
        <v/>
      </c>
      <c r="Q26" s="11">
        <f>IF(J26="","",IFERROR(VALUE(SUBSTITUTE(SUBSTITUTE(IF(G26="","",G26)&amp;"","$",""),",","")),0)/IF("No"="Yes",P26,1))</f>
        <v/>
      </c>
      <c r="R26" s="11">
        <f>IF(J26="","",IFERROR(VALUE(SUBSTITUTE(SUBSTITUTE(IF(H26="","",H26)&amp;"","$",""),",","")),0)/IF("No"="Yes",P26,1))</f>
        <v/>
      </c>
      <c r="S26" s="11">
        <f>IF(J26="","",O26+Q26-R26)</f>
        <v/>
      </c>
      <c r="T26">
        <f>IF(J26="","",IFERROR(IF(K26="",NA(),MATCH(K26,Products!$B$5:$B$204,0)),IFERROR(MATCH(J26,Products!$A$5:$A$204,0),"")))</f>
        <v/>
      </c>
      <c r="U26">
        <f>IF(J26="","",IF(T26="","⚠ not in Products",INDEX(Products!$A$5:$A$204,T26)))</f>
        <v/>
      </c>
      <c r="V26" s="11">
        <f>IF(J26="","",S26*(IFERROR(INDEX(Settings!$B$5:$B$9,MATCH($B26,Settings!$A$5:$A$9,0)),0)+IFERROR(INDEX(Settings!$E$5:$E$9,MATCH($B26,Settings!$A$5:$A$9,0)),0)+IFERROR(INDEX(Settings!$G$5:$G$9,MATCH($B26,Settings!$A$5:$A$9,0)),0))+(IFERROR(INDEX(Settings!$C$5:$C$9,MATCH($B26,Settings!$A$5:$A$9,0)),0)+IFERROR(INDEX(Settings!$F$5:$F$9,MATCH($B26,Settings!$A$5:$A$9,0)),0))/P26+IFERROR(INDEX(Settings!$D$5:$D$9,MATCH($B26,Settings!$A$5:$A$9,0)),0)*M26)</f>
        <v/>
      </c>
      <c r="W26" s="11">
        <f>IF(J26="","",IF(T26="",0,M26*INDEX(Products!$I$5:$I$204,T26)))</f>
        <v/>
      </c>
      <c r="X26" s="11">
        <f>IF(J26="","",IF(T26="",0,S26*INDEX(Products!$H$5:$H$204,T26)))</f>
        <v/>
      </c>
      <c r="Y26" s="11">
        <f>IF(J26="","",S26-V26-W26-X26)</f>
        <v/>
      </c>
    </row>
    <row r="27">
      <c r="A27" s="19" t="n"/>
      <c r="B27" s="19" t="n"/>
      <c r="C27" s="19" t="n"/>
      <c r="D27" s="19" t="n"/>
      <c r="E27" s="19" t="n"/>
      <c r="F27" s="20" t="n"/>
      <c r="G27" s="20" t="n"/>
      <c r="H27" s="20" t="n"/>
      <c r="I27" s="19" t="n"/>
      <c r="J27">
        <f>IFERROR(IF(C27="","",C27)&amp;"","")</f>
        <v/>
      </c>
      <c r="K27">
        <f>IFERROR(IF(D27="","",D27)&amp;"","")</f>
        <v/>
      </c>
      <c r="L27">
        <f>IFERROR(IF(I27="","",I27)&amp;"","")</f>
        <v/>
      </c>
      <c r="M27">
        <f>IF(J27="","",IFERROR(VALUE(SUBSTITUTE(SUBSTITUTE(IF(E27="","",E27)&amp;"","$",""),",","")),0))</f>
        <v/>
      </c>
      <c r="N27" s="11">
        <f>IF(J27="","",IFERROR(VALUE(SUBSTITUTE(SUBSTITUTE(IF(F27="","",F27)&amp;"","$",""),",","")),0))</f>
        <v/>
      </c>
      <c r="O27" s="11">
        <f>IF(J27="","",M27*N27)</f>
        <v/>
      </c>
      <c r="P27">
        <f>IF(J27="","",IF(L27="",1,COUNTIF($L$2:$L$1501,L27)))</f>
        <v/>
      </c>
      <c r="Q27" s="11">
        <f>IF(J27="","",IFERROR(VALUE(SUBSTITUTE(SUBSTITUTE(IF(G27="","",G27)&amp;"","$",""),",","")),0)/IF("No"="Yes",P27,1))</f>
        <v/>
      </c>
      <c r="R27" s="11">
        <f>IF(J27="","",IFERROR(VALUE(SUBSTITUTE(SUBSTITUTE(IF(H27="","",H27)&amp;"","$",""),",","")),0)/IF("No"="Yes",P27,1))</f>
        <v/>
      </c>
      <c r="S27" s="11">
        <f>IF(J27="","",O27+Q27-R27)</f>
        <v/>
      </c>
      <c r="T27">
        <f>IF(J27="","",IFERROR(IF(K27="",NA(),MATCH(K27,Products!$B$5:$B$204,0)),IFERROR(MATCH(J27,Products!$A$5:$A$204,0),"")))</f>
        <v/>
      </c>
      <c r="U27">
        <f>IF(J27="","",IF(T27="","⚠ not in Products",INDEX(Products!$A$5:$A$204,T27)))</f>
        <v/>
      </c>
      <c r="V27" s="11">
        <f>IF(J27="","",S27*(IFERROR(INDEX(Settings!$B$5:$B$9,MATCH($B27,Settings!$A$5:$A$9,0)),0)+IFERROR(INDEX(Settings!$E$5:$E$9,MATCH($B27,Settings!$A$5:$A$9,0)),0)+IFERROR(INDEX(Settings!$G$5:$G$9,MATCH($B27,Settings!$A$5:$A$9,0)),0))+(IFERROR(INDEX(Settings!$C$5:$C$9,MATCH($B27,Settings!$A$5:$A$9,0)),0)+IFERROR(INDEX(Settings!$F$5:$F$9,MATCH($B27,Settings!$A$5:$A$9,0)),0))/P27+IFERROR(INDEX(Settings!$D$5:$D$9,MATCH($B27,Settings!$A$5:$A$9,0)),0)*M27)</f>
        <v/>
      </c>
      <c r="W27" s="11">
        <f>IF(J27="","",IF(T27="",0,M27*INDEX(Products!$I$5:$I$204,T27)))</f>
        <v/>
      </c>
      <c r="X27" s="11">
        <f>IF(J27="","",IF(T27="",0,S27*INDEX(Products!$H$5:$H$204,T27)))</f>
        <v/>
      </c>
      <c r="Y27" s="11">
        <f>IF(J27="","",S27-V27-W27-X27)</f>
        <v/>
      </c>
    </row>
    <row r="28">
      <c r="A28" s="19" t="n"/>
      <c r="B28" s="19" t="n"/>
      <c r="C28" s="19" t="n"/>
      <c r="D28" s="19" t="n"/>
      <c r="E28" s="19" t="n"/>
      <c r="F28" s="20" t="n"/>
      <c r="G28" s="20" t="n"/>
      <c r="H28" s="20" t="n"/>
      <c r="I28" s="19" t="n"/>
      <c r="J28">
        <f>IFERROR(IF(C28="","",C28)&amp;"","")</f>
        <v/>
      </c>
      <c r="K28">
        <f>IFERROR(IF(D28="","",D28)&amp;"","")</f>
        <v/>
      </c>
      <c r="L28">
        <f>IFERROR(IF(I28="","",I28)&amp;"","")</f>
        <v/>
      </c>
      <c r="M28">
        <f>IF(J28="","",IFERROR(VALUE(SUBSTITUTE(SUBSTITUTE(IF(E28="","",E28)&amp;"","$",""),",","")),0))</f>
        <v/>
      </c>
      <c r="N28" s="11">
        <f>IF(J28="","",IFERROR(VALUE(SUBSTITUTE(SUBSTITUTE(IF(F28="","",F28)&amp;"","$",""),",","")),0))</f>
        <v/>
      </c>
      <c r="O28" s="11">
        <f>IF(J28="","",M28*N28)</f>
        <v/>
      </c>
      <c r="P28">
        <f>IF(J28="","",IF(L28="",1,COUNTIF($L$2:$L$1501,L28)))</f>
        <v/>
      </c>
      <c r="Q28" s="11">
        <f>IF(J28="","",IFERROR(VALUE(SUBSTITUTE(SUBSTITUTE(IF(G28="","",G28)&amp;"","$",""),",","")),0)/IF("No"="Yes",P28,1))</f>
        <v/>
      </c>
      <c r="R28" s="11">
        <f>IF(J28="","",IFERROR(VALUE(SUBSTITUTE(SUBSTITUTE(IF(H28="","",H28)&amp;"","$",""),",","")),0)/IF("No"="Yes",P28,1))</f>
        <v/>
      </c>
      <c r="S28" s="11">
        <f>IF(J28="","",O28+Q28-R28)</f>
        <v/>
      </c>
      <c r="T28">
        <f>IF(J28="","",IFERROR(IF(K28="",NA(),MATCH(K28,Products!$B$5:$B$204,0)),IFERROR(MATCH(J28,Products!$A$5:$A$204,0),"")))</f>
        <v/>
      </c>
      <c r="U28">
        <f>IF(J28="","",IF(T28="","⚠ not in Products",INDEX(Products!$A$5:$A$204,T28)))</f>
        <v/>
      </c>
      <c r="V28" s="11">
        <f>IF(J28="","",S28*(IFERROR(INDEX(Settings!$B$5:$B$9,MATCH($B28,Settings!$A$5:$A$9,0)),0)+IFERROR(INDEX(Settings!$E$5:$E$9,MATCH($B28,Settings!$A$5:$A$9,0)),0)+IFERROR(INDEX(Settings!$G$5:$G$9,MATCH($B28,Settings!$A$5:$A$9,0)),0))+(IFERROR(INDEX(Settings!$C$5:$C$9,MATCH($B28,Settings!$A$5:$A$9,0)),0)+IFERROR(INDEX(Settings!$F$5:$F$9,MATCH($B28,Settings!$A$5:$A$9,0)),0))/P28+IFERROR(INDEX(Settings!$D$5:$D$9,MATCH($B28,Settings!$A$5:$A$9,0)),0)*M28)</f>
        <v/>
      </c>
      <c r="W28" s="11">
        <f>IF(J28="","",IF(T28="",0,M28*INDEX(Products!$I$5:$I$204,T28)))</f>
        <v/>
      </c>
      <c r="X28" s="11">
        <f>IF(J28="","",IF(T28="",0,S28*INDEX(Products!$H$5:$H$204,T28)))</f>
        <v/>
      </c>
      <c r="Y28" s="11">
        <f>IF(J28="","",S28-V28-W28-X28)</f>
        <v/>
      </c>
    </row>
    <row r="29">
      <c r="A29" s="19" t="n"/>
      <c r="B29" s="19" t="n"/>
      <c r="C29" s="19" t="n"/>
      <c r="D29" s="19" t="n"/>
      <c r="E29" s="19" t="n"/>
      <c r="F29" s="20" t="n"/>
      <c r="G29" s="20" t="n"/>
      <c r="H29" s="20" t="n"/>
      <c r="I29" s="19" t="n"/>
      <c r="J29">
        <f>IFERROR(IF(C29="","",C29)&amp;"","")</f>
        <v/>
      </c>
      <c r="K29">
        <f>IFERROR(IF(D29="","",D29)&amp;"","")</f>
        <v/>
      </c>
      <c r="L29">
        <f>IFERROR(IF(I29="","",I29)&amp;"","")</f>
        <v/>
      </c>
      <c r="M29">
        <f>IF(J29="","",IFERROR(VALUE(SUBSTITUTE(SUBSTITUTE(IF(E29="","",E29)&amp;"","$",""),",","")),0))</f>
        <v/>
      </c>
      <c r="N29" s="11">
        <f>IF(J29="","",IFERROR(VALUE(SUBSTITUTE(SUBSTITUTE(IF(F29="","",F29)&amp;"","$",""),",","")),0))</f>
        <v/>
      </c>
      <c r="O29" s="11">
        <f>IF(J29="","",M29*N29)</f>
        <v/>
      </c>
      <c r="P29">
        <f>IF(J29="","",IF(L29="",1,COUNTIF($L$2:$L$1501,L29)))</f>
        <v/>
      </c>
      <c r="Q29" s="11">
        <f>IF(J29="","",IFERROR(VALUE(SUBSTITUTE(SUBSTITUTE(IF(G29="","",G29)&amp;"","$",""),",","")),0)/IF("No"="Yes",P29,1))</f>
        <v/>
      </c>
      <c r="R29" s="11">
        <f>IF(J29="","",IFERROR(VALUE(SUBSTITUTE(SUBSTITUTE(IF(H29="","",H29)&amp;"","$",""),",","")),0)/IF("No"="Yes",P29,1))</f>
        <v/>
      </c>
      <c r="S29" s="11">
        <f>IF(J29="","",O29+Q29-R29)</f>
        <v/>
      </c>
      <c r="T29">
        <f>IF(J29="","",IFERROR(IF(K29="",NA(),MATCH(K29,Products!$B$5:$B$204,0)),IFERROR(MATCH(J29,Products!$A$5:$A$204,0),"")))</f>
        <v/>
      </c>
      <c r="U29">
        <f>IF(J29="","",IF(T29="","⚠ not in Products",INDEX(Products!$A$5:$A$204,T29)))</f>
        <v/>
      </c>
      <c r="V29" s="11">
        <f>IF(J29="","",S29*(IFERROR(INDEX(Settings!$B$5:$B$9,MATCH($B29,Settings!$A$5:$A$9,0)),0)+IFERROR(INDEX(Settings!$E$5:$E$9,MATCH($B29,Settings!$A$5:$A$9,0)),0)+IFERROR(INDEX(Settings!$G$5:$G$9,MATCH($B29,Settings!$A$5:$A$9,0)),0))+(IFERROR(INDEX(Settings!$C$5:$C$9,MATCH($B29,Settings!$A$5:$A$9,0)),0)+IFERROR(INDEX(Settings!$F$5:$F$9,MATCH($B29,Settings!$A$5:$A$9,0)),0))/P29+IFERROR(INDEX(Settings!$D$5:$D$9,MATCH($B29,Settings!$A$5:$A$9,0)),0)*M29)</f>
        <v/>
      </c>
      <c r="W29" s="11">
        <f>IF(J29="","",IF(T29="",0,M29*INDEX(Products!$I$5:$I$204,T29)))</f>
        <v/>
      </c>
      <c r="X29" s="11">
        <f>IF(J29="","",IF(T29="",0,S29*INDEX(Products!$H$5:$H$204,T29)))</f>
        <v/>
      </c>
      <c r="Y29" s="11">
        <f>IF(J29="","",S29-V29-W29-X29)</f>
        <v/>
      </c>
    </row>
    <row r="30">
      <c r="A30" s="19" t="n"/>
      <c r="B30" s="19" t="n"/>
      <c r="C30" s="19" t="n"/>
      <c r="D30" s="19" t="n"/>
      <c r="E30" s="19" t="n"/>
      <c r="F30" s="20" t="n"/>
      <c r="G30" s="20" t="n"/>
      <c r="H30" s="20" t="n"/>
      <c r="I30" s="19" t="n"/>
      <c r="J30">
        <f>IFERROR(IF(C30="","",C30)&amp;"","")</f>
        <v/>
      </c>
      <c r="K30">
        <f>IFERROR(IF(D30="","",D30)&amp;"","")</f>
        <v/>
      </c>
      <c r="L30">
        <f>IFERROR(IF(I30="","",I30)&amp;"","")</f>
        <v/>
      </c>
      <c r="M30">
        <f>IF(J30="","",IFERROR(VALUE(SUBSTITUTE(SUBSTITUTE(IF(E30="","",E30)&amp;"","$",""),",","")),0))</f>
        <v/>
      </c>
      <c r="N30" s="11">
        <f>IF(J30="","",IFERROR(VALUE(SUBSTITUTE(SUBSTITUTE(IF(F30="","",F30)&amp;"","$",""),",","")),0))</f>
        <v/>
      </c>
      <c r="O30" s="11">
        <f>IF(J30="","",M30*N30)</f>
        <v/>
      </c>
      <c r="P30">
        <f>IF(J30="","",IF(L30="",1,COUNTIF($L$2:$L$1501,L30)))</f>
        <v/>
      </c>
      <c r="Q30" s="11">
        <f>IF(J30="","",IFERROR(VALUE(SUBSTITUTE(SUBSTITUTE(IF(G30="","",G30)&amp;"","$",""),",","")),0)/IF("No"="Yes",P30,1))</f>
        <v/>
      </c>
      <c r="R30" s="11">
        <f>IF(J30="","",IFERROR(VALUE(SUBSTITUTE(SUBSTITUTE(IF(H30="","",H30)&amp;"","$",""),",","")),0)/IF("No"="Yes",P30,1))</f>
        <v/>
      </c>
      <c r="S30" s="11">
        <f>IF(J30="","",O30+Q30-R30)</f>
        <v/>
      </c>
      <c r="T30">
        <f>IF(J30="","",IFERROR(IF(K30="",NA(),MATCH(K30,Products!$B$5:$B$204,0)),IFERROR(MATCH(J30,Products!$A$5:$A$204,0),"")))</f>
        <v/>
      </c>
      <c r="U30">
        <f>IF(J30="","",IF(T30="","⚠ not in Products",INDEX(Products!$A$5:$A$204,T30)))</f>
        <v/>
      </c>
      <c r="V30" s="11">
        <f>IF(J30="","",S30*(IFERROR(INDEX(Settings!$B$5:$B$9,MATCH($B30,Settings!$A$5:$A$9,0)),0)+IFERROR(INDEX(Settings!$E$5:$E$9,MATCH($B30,Settings!$A$5:$A$9,0)),0)+IFERROR(INDEX(Settings!$G$5:$G$9,MATCH($B30,Settings!$A$5:$A$9,0)),0))+(IFERROR(INDEX(Settings!$C$5:$C$9,MATCH($B30,Settings!$A$5:$A$9,0)),0)+IFERROR(INDEX(Settings!$F$5:$F$9,MATCH($B30,Settings!$A$5:$A$9,0)),0))/P30+IFERROR(INDEX(Settings!$D$5:$D$9,MATCH($B30,Settings!$A$5:$A$9,0)),0)*M30)</f>
        <v/>
      </c>
      <c r="W30" s="11">
        <f>IF(J30="","",IF(T30="",0,M30*INDEX(Products!$I$5:$I$204,T30)))</f>
        <v/>
      </c>
      <c r="X30" s="11">
        <f>IF(J30="","",IF(T30="",0,S30*INDEX(Products!$H$5:$H$204,T30)))</f>
        <v/>
      </c>
      <c r="Y30" s="11">
        <f>IF(J30="","",S30-V30-W30-X30)</f>
        <v/>
      </c>
    </row>
    <row r="31">
      <c r="A31" s="19" t="n"/>
      <c r="B31" s="19" t="n"/>
      <c r="C31" s="19" t="n"/>
      <c r="D31" s="19" t="n"/>
      <c r="E31" s="19" t="n"/>
      <c r="F31" s="20" t="n"/>
      <c r="G31" s="20" t="n"/>
      <c r="H31" s="20" t="n"/>
      <c r="I31" s="19" t="n"/>
      <c r="J31">
        <f>IFERROR(IF(C31="","",C31)&amp;"","")</f>
        <v/>
      </c>
      <c r="K31">
        <f>IFERROR(IF(D31="","",D31)&amp;"","")</f>
        <v/>
      </c>
      <c r="L31">
        <f>IFERROR(IF(I31="","",I31)&amp;"","")</f>
        <v/>
      </c>
      <c r="M31">
        <f>IF(J31="","",IFERROR(VALUE(SUBSTITUTE(SUBSTITUTE(IF(E31="","",E31)&amp;"","$",""),",","")),0))</f>
        <v/>
      </c>
      <c r="N31" s="11">
        <f>IF(J31="","",IFERROR(VALUE(SUBSTITUTE(SUBSTITUTE(IF(F31="","",F31)&amp;"","$",""),",","")),0))</f>
        <v/>
      </c>
      <c r="O31" s="11">
        <f>IF(J31="","",M31*N31)</f>
        <v/>
      </c>
      <c r="P31">
        <f>IF(J31="","",IF(L31="",1,COUNTIF($L$2:$L$1501,L31)))</f>
        <v/>
      </c>
      <c r="Q31" s="11">
        <f>IF(J31="","",IFERROR(VALUE(SUBSTITUTE(SUBSTITUTE(IF(G31="","",G31)&amp;"","$",""),",","")),0)/IF("No"="Yes",P31,1))</f>
        <v/>
      </c>
      <c r="R31" s="11">
        <f>IF(J31="","",IFERROR(VALUE(SUBSTITUTE(SUBSTITUTE(IF(H31="","",H31)&amp;"","$",""),",","")),0)/IF("No"="Yes",P31,1))</f>
        <v/>
      </c>
      <c r="S31" s="11">
        <f>IF(J31="","",O31+Q31-R31)</f>
        <v/>
      </c>
      <c r="T31">
        <f>IF(J31="","",IFERROR(IF(K31="",NA(),MATCH(K31,Products!$B$5:$B$204,0)),IFERROR(MATCH(J31,Products!$A$5:$A$204,0),"")))</f>
        <v/>
      </c>
      <c r="U31">
        <f>IF(J31="","",IF(T31="","⚠ not in Products",INDEX(Products!$A$5:$A$204,T31)))</f>
        <v/>
      </c>
      <c r="V31" s="11">
        <f>IF(J31="","",S31*(IFERROR(INDEX(Settings!$B$5:$B$9,MATCH($B31,Settings!$A$5:$A$9,0)),0)+IFERROR(INDEX(Settings!$E$5:$E$9,MATCH($B31,Settings!$A$5:$A$9,0)),0)+IFERROR(INDEX(Settings!$G$5:$G$9,MATCH($B31,Settings!$A$5:$A$9,0)),0))+(IFERROR(INDEX(Settings!$C$5:$C$9,MATCH($B31,Settings!$A$5:$A$9,0)),0)+IFERROR(INDEX(Settings!$F$5:$F$9,MATCH($B31,Settings!$A$5:$A$9,0)),0))/P31+IFERROR(INDEX(Settings!$D$5:$D$9,MATCH($B31,Settings!$A$5:$A$9,0)),0)*M31)</f>
        <v/>
      </c>
      <c r="W31" s="11">
        <f>IF(J31="","",IF(T31="",0,M31*INDEX(Products!$I$5:$I$204,T31)))</f>
        <v/>
      </c>
      <c r="X31" s="11">
        <f>IF(J31="","",IF(T31="",0,S31*INDEX(Products!$H$5:$H$204,T31)))</f>
        <v/>
      </c>
      <c r="Y31" s="11">
        <f>IF(J31="","",S31-V31-W31-X31)</f>
        <v/>
      </c>
    </row>
    <row r="32">
      <c r="A32" s="19" t="n"/>
      <c r="B32" s="19" t="n"/>
      <c r="C32" s="19" t="n"/>
      <c r="D32" s="19" t="n"/>
      <c r="E32" s="19" t="n"/>
      <c r="F32" s="20" t="n"/>
      <c r="G32" s="20" t="n"/>
      <c r="H32" s="20" t="n"/>
      <c r="I32" s="19" t="n"/>
      <c r="J32">
        <f>IFERROR(IF(C32="","",C32)&amp;"","")</f>
        <v/>
      </c>
      <c r="K32">
        <f>IFERROR(IF(D32="","",D32)&amp;"","")</f>
        <v/>
      </c>
      <c r="L32">
        <f>IFERROR(IF(I32="","",I32)&amp;"","")</f>
        <v/>
      </c>
      <c r="M32">
        <f>IF(J32="","",IFERROR(VALUE(SUBSTITUTE(SUBSTITUTE(IF(E32="","",E32)&amp;"","$",""),",","")),0))</f>
        <v/>
      </c>
      <c r="N32" s="11">
        <f>IF(J32="","",IFERROR(VALUE(SUBSTITUTE(SUBSTITUTE(IF(F32="","",F32)&amp;"","$",""),",","")),0))</f>
        <v/>
      </c>
      <c r="O32" s="11">
        <f>IF(J32="","",M32*N32)</f>
        <v/>
      </c>
      <c r="P32">
        <f>IF(J32="","",IF(L32="",1,COUNTIF($L$2:$L$1501,L32)))</f>
        <v/>
      </c>
      <c r="Q32" s="11">
        <f>IF(J32="","",IFERROR(VALUE(SUBSTITUTE(SUBSTITUTE(IF(G32="","",G32)&amp;"","$",""),",","")),0)/IF("No"="Yes",P32,1))</f>
        <v/>
      </c>
      <c r="R32" s="11">
        <f>IF(J32="","",IFERROR(VALUE(SUBSTITUTE(SUBSTITUTE(IF(H32="","",H32)&amp;"","$",""),",","")),0)/IF("No"="Yes",P32,1))</f>
        <v/>
      </c>
      <c r="S32" s="11">
        <f>IF(J32="","",O32+Q32-R32)</f>
        <v/>
      </c>
      <c r="T32">
        <f>IF(J32="","",IFERROR(IF(K32="",NA(),MATCH(K32,Products!$B$5:$B$204,0)),IFERROR(MATCH(J32,Products!$A$5:$A$204,0),"")))</f>
        <v/>
      </c>
      <c r="U32">
        <f>IF(J32="","",IF(T32="","⚠ not in Products",INDEX(Products!$A$5:$A$204,T32)))</f>
        <v/>
      </c>
      <c r="V32" s="11">
        <f>IF(J32="","",S32*(IFERROR(INDEX(Settings!$B$5:$B$9,MATCH($B32,Settings!$A$5:$A$9,0)),0)+IFERROR(INDEX(Settings!$E$5:$E$9,MATCH($B32,Settings!$A$5:$A$9,0)),0)+IFERROR(INDEX(Settings!$G$5:$G$9,MATCH($B32,Settings!$A$5:$A$9,0)),0))+(IFERROR(INDEX(Settings!$C$5:$C$9,MATCH($B32,Settings!$A$5:$A$9,0)),0)+IFERROR(INDEX(Settings!$F$5:$F$9,MATCH($B32,Settings!$A$5:$A$9,0)),0))/P32+IFERROR(INDEX(Settings!$D$5:$D$9,MATCH($B32,Settings!$A$5:$A$9,0)),0)*M32)</f>
        <v/>
      </c>
      <c r="W32" s="11">
        <f>IF(J32="","",IF(T32="",0,M32*INDEX(Products!$I$5:$I$204,T32)))</f>
        <v/>
      </c>
      <c r="X32" s="11">
        <f>IF(J32="","",IF(T32="",0,S32*INDEX(Products!$H$5:$H$204,T32)))</f>
        <v/>
      </c>
      <c r="Y32" s="11">
        <f>IF(J32="","",S32-V32-W32-X32)</f>
        <v/>
      </c>
    </row>
    <row r="33">
      <c r="A33" s="19" t="n"/>
      <c r="B33" s="19" t="n"/>
      <c r="C33" s="19" t="n"/>
      <c r="D33" s="19" t="n"/>
      <c r="E33" s="19" t="n"/>
      <c r="F33" s="20" t="n"/>
      <c r="G33" s="20" t="n"/>
      <c r="H33" s="20" t="n"/>
      <c r="I33" s="19" t="n"/>
      <c r="J33">
        <f>IFERROR(IF(C33="","",C33)&amp;"","")</f>
        <v/>
      </c>
      <c r="K33">
        <f>IFERROR(IF(D33="","",D33)&amp;"","")</f>
        <v/>
      </c>
      <c r="L33">
        <f>IFERROR(IF(I33="","",I33)&amp;"","")</f>
        <v/>
      </c>
      <c r="M33">
        <f>IF(J33="","",IFERROR(VALUE(SUBSTITUTE(SUBSTITUTE(IF(E33="","",E33)&amp;"","$",""),",","")),0))</f>
        <v/>
      </c>
      <c r="N33" s="11">
        <f>IF(J33="","",IFERROR(VALUE(SUBSTITUTE(SUBSTITUTE(IF(F33="","",F33)&amp;"","$",""),",","")),0))</f>
        <v/>
      </c>
      <c r="O33" s="11">
        <f>IF(J33="","",M33*N33)</f>
        <v/>
      </c>
      <c r="P33">
        <f>IF(J33="","",IF(L33="",1,COUNTIF($L$2:$L$1501,L33)))</f>
        <v/>
      </c>
      <c r="Q33" s="11">
        <f>IF(J33="","",IFERROR(VALUE(SUBSTITUTE(SUBSTITUTE(IF(G33="","",G33)&amp;"","$",""),",","")),0)/IF("No"="Yes",P33,1))</f>
        <v/>
      </c>
      <c r="R33" s="11">
        <f>IF(J33="","",IFERROR(VALUE(SUBSTITUTE(SUBSTITUTE(IF(H33="","",H33)&amp;"","$",""),",","")),0)/IF("No"="Yes",P33,1))</f>
        <v/>
      </c>
      <c r="S33" s="11">
        <f>IF(J33="","",O33+Q33-R33)</f>
        <v/>
      </c>
      <c r="T33">
        <f>IF(J33="","",IFERROR(IF(K33="",NA(),MATCH(K33,Products!$B$5:$B$204,0)),IFERROR(MATCH(J33,Products!$A$5:$A$204,0),"")))</f>
        <v/>
      </c>
      <c r="U33">
        <f>IF(J33="","",IF(T33="","⚠ not in Products",INDEX(Products!$A$5:$A$204,T33)))</f>
        <v/>
      </c>
      <c r="V33" s="11">
        <f>IF(J33="","",S33*(IFERROR(INDEX(Settings!$B$5:$B$9,MATCH($B33,Settings!$A$5:$A$9,0)),0)+IFERROR(INDEX(Settings!$E$5:$E$9,MATCH($B33,Settings!$A$5:$A$9,0)),0)+IFERROR(INDEX(Settings!$G$5:$G$9,MATCH($B33,Settings!$A$5:$A$9,0)),0))+(IFERROR(INDEX(Settings!$C$5:$C$9,MATCH($B33,Settings!$A$5:$A$9,0)),0)+IFERROR(INDEX(Settings!$F$5:$F$9,MATCH($B33,Settings!$A$5:$A$9,0)),0))/P33+IFERROR(INDEX(Settings!$D$5:$D$9,MATCH($B33,Settings!$A$5:$A$9,0)),0)*M33)</f>
        <v/>
      </c>
      <c r="W33" s="11">
        <f>IF(J33="","",IF(T33="",0,M33*INDEX(Products!$I$5:$I$204,T33)))</f>
        <v/>
      </c>
      <c r="X33" s="11">
        <f>IF(J33="","",IF(T33="",0,S33*INDEX(Products!$H$5:$H$204,T33)))</f>
        <v/>
      </c>
      <c r="Y33" s="11">
        <f>IF(J33="","",S33-V33-W33-X33)</f>
        <v/>
      </c>
    </row>
    <row r="34">
      <c r="A34" s="19" t="n"/>
      <c r="B34" s="19" t="n"/>
      <c r="C34" s="19" t="n"/>
      <c r="D34" s="19" t="n"/>
      <c r="E34" s="19" t="n"/>
      <c r="F34" s="20" t="n"/>
      <c r="G34" s="20" t="n"/>
      <c r="H34" s="20" t="n"/>
      <c r="I34" s="19" t="n"/>
      <c r="J34">
        <f>IFERROR(IF(C34="","",C34)&amp;"","")</f>
        <v/>
      </c>
      <c r="K34">
        <f>IFERROR(IF(D34="","",D34)&amp;"","")</f>
        <v/>
      </c>
      <c r="L34">
        <f>IFERROR(IF(I34="","",I34)&amp;"","")</f>
        <v/>
      </c>
      <c r="M34">
        <f>IF(J34="","",IFERROR(VALUE(SUBSTITUTE(SUBSTITUTE(IF(E34="","",E34)&amp;"","$",""),",","")),0))</f>
        <v/>
      </c>
      <c r="N34" s="11">
        <f>IF(J34="","",IFERROR(VALUE(SUBSTITUTE(SUBSTITUTE(IF(F34="","",F34)&amp;"","$",""),",","")),0))</f>
        <v/>
      </c>
      <c r="O34" s="11">
        <f>IF(J34="","",M34*N34)</f>
        <v/>
      </c>
      <c r="P34">
        <f>IF(J34="","",IF(L34="",1,COUNTIF($L$2:$L$1501,L34)))</f>
        <v/>
      </c>
      <c r="Q34" s="11">
        <f>IF(J34="","",IFERROR(VALUE(SUBSTITUTE(SUBSTITUTE(IF(G34="","",G34)&amp;"","$",""),",","")),0)/IF("No"="Yes",P34,1))</f>
        <v/>
      </c>
      <c r="R34" s="11">
        <f>IF(J34="","",IFERROR(VALUE(SUBSTITUTE(SUBSTITUTE(IF(H34="","",H34)&amp;"","$",""),",","")),0)/IF("No"="Yes",P34,1))</f>
        <v/>
      </c>
      <c r="S34" s="11">
        <f>IF(J34="","",O34+Q34-R34)</f>
        <v/>
      </c>
      <c r="T34">
        <f>IF(J34="","",IFERROR(IF(K34="",NA(),MATCH(K34,Products!$B$5:$B$204,0)),IFERROR(MATCH(J34,Products!$A$5:$A$204,0),"")))</f>
        <v/>
      </c>
      <c r="U34">
        <f>IF(J34="","",IF(T34="","⚠ not in Products",INDEX(Products!$A$5:$A$204,T34)))</f>
        <v/>
      </c>
      <c r="V34" s="11">
        <f>IF(J34="","",S34*(IFERROR(INDEX(Settings!$B$5:$B$9,MATCH($B34,Settings!$A$5:$A$9,0)),0)+IFERROR(INDEX(Settings!$E$5:$E$9,MATCH($B34,Settings!$A$5:$A$9,0)),0)+IFERROR(INDEX(Settings!$G$5:$G$9,MATCH($B34,Settings!$A$5:$A$9,0)),0))+(IFERROR(INDEX(Settings!$C$5:$C$9,MATCH($B34,Settings!$A$5:$A$9,0)),0)+IFERROR(INDEX(Settings!$F$5:$F$9,MATCH($B34,Settings!$A$5:$A$9,0)),0))/P34+IFERROR(INDEX(Settings!$D$5:$D$9,MATCH($B34,Settings!$A$5:$A$9,0)),0)*M34)</f>
        <v/>
      </c>
      <c r="W34" s="11">
        <f>IF(J34="","",IF(T34="",0,M34*INDEX(Products!$I$5:$I$204,T34)))</f>
        <v/>
      </c>
      <c r="X34" s="11">
        <f>IF(J34="","",IF(T34="",0,S34*INDEX(Products!$H$5:$H$204,T34)))</f>
        <v/>
      </c>
      <c r="Y34" s="11">
        <f>IF(J34="","",S34-V34-W34-X34)</f>
        <v/>
      </c>
    </row>
    <row r="35">
      <c r="A35" s="19" t="n"/>
      <c r="B35" s="19" t="n"/>
      <c r="C35" s="19" t="n"/>
      <c r="D35" s="19" t="n"/>
      <c r="E35" s="19" t="n"/>
      <c r="F35" s="20" t="n"/>
      <c r="G35" s="20" t="n"/>
      <c r="H35" s="20" t="n"/>
      <c r="I35" s="19" t="n"/>
      <c r="J35">
        <f>IFERROR(IF(C35="","",C35)&amp;"","")</f>
        <v/>
      </c>
      <c r="K35">
        <f>IFERROR(IF(D35="","",D35)&amp;"","")</f>
        <v/>
      </c>
      <c r="L35">
        <f>IFERROR(IF(I35="","",I35)&amp;"","")</f>
        <v/>
      </c>
      <c r="M35">
        <f>IF(J35="","",IFERROR(VALUE(SUBSTITUTE(SUBSTITUTE(IF(E35="","",E35)&amp;"","$",""),",","")),0))</f>
        <v/>
      </c>
      <c r="N35" s="11">
        <f>IF(J35="","",IFERROR(VALUE(SUBSTITUTE(SUBSTITUTE(IF(F35="","",F35)&amp;"","$",""),",","")),0))</f>
        <v/>
      </c>
      <c r="O35" s="11">
        <f>IF(J35="","",M35*N35)</f>
        <v/>
      </c>
      <c r="P35">
        <f>IF(J35="","",IF(L35="",1,COUNTIF($L$2:$L$1501,L35)))</f>
        <v/>
      </c>
      <c r="Q35" s="11">
        <f>IF(J35="","",IFERROR(VALUE(SUBSTITUTE(SUBSTITUTE(IF(G35="","",G35)&amp;"","$",""),",","")),0)/IF("No"="Yes",P35,1))</f>
        <v/>
      </c>
      <c r="R35" s="11">
        <f>IF(J35="","",IFERROR(VALUE(SUBSTITUTE(SUBSTITUTE(IF(H35="","",H35)&amp;"","$",""),",","")),0)/IF("No"="Yes",P35,1))</f>
        <v/>
      </c>
      <c r="S35" s="11">
        <f>IF(J35="","",O35+Q35-R35)</f>
        <v/>
      </c>
      <c r="T35">
        <f>IF(J35="","",IFERROR(IF(K35="",NA(),MATCH(K35,Products!$B$5:$B$204,0)),IFERROR(MATCH(J35,Products!$A$5:$A$204,0),"")))</f>
        <v/>
      </c>
      <c r="U35">
        <f>IF(J35="","",IF(T35="","⚠ not in Products",INDEX(Products!$A$5:$A$204,T35)))</f>
        <v/>
      </c>
      <c r="V35" s="11">
        <f>IF(J35="","",S35*(IFERROR(INDEX(Settings!$B$5:$B$9,MATCH($B35,Settings!$A$5:$A$9,0)),0)+IFERROR(INDEX(Settings!$E$5:$E$9,MATCH($B35,Settings!$A$5:$A$9,0)),0)+IFERROR(INDEX(Settings!$G$5:$G$9,MATCH($B35,Settings!$A$5:$A$9,0)),0))+(IFERROR(INDEX(Settings!$C$5:$C$9,MATCH($B35,Settings!$A$5:$A$9,0)),0)+IFERROR(INDEX(Settings!$F$5:$F$9,MATCH($B35,Settings!$A$5:$A$9,0)),0))/P35+IFERROR(INDEX(Settings!$D$5:$D$9,MATCH($B35,Settings!$A$5:$A$9,0)),0)*M35)</f>
        <v/>
      </c>
      <c r="W35" s="11">
        <f>IF(J35="","",IF(T35="",0,M35*INDEX(Products!$I$5:$I$204,T35)))</f>
        <v/>
      </c>
      <c r="X35" s="11">
        <f>IF(J35="","",IF(T35="",0,S35*INDEX(Products!$H$5:$H$204,T35)))</f>
        <v/>
      </c>
      <c r="Y35" s="11">
        <f>IF(J35="","",S35-V35-W35-X35)</f>
        <v/>
      </c>
    </row>
    <row r="36">
      <c r="A36" s="19" t="n"/>
      <c r="B36" s="19" t="n"/>
      <c r="C36" s="19" t="n"/>
      <c r="D36" s="19" t="n"/>
      <c r="E36" s="19" t="n"/>
      <c r="F36" s="20" t="n"/>
      <c r="G36" s="20" t="n"/>
      <c r="H36" s="20" t="n"/>
      <c r="I36" s="19" t="n"/>
      <c r="J36">
        <f>IFERROR(IF(C36="","",C36)&amp;"","")</f>
        <v/>
      </c>
      <c r="K36">
        <f>IFERROR(IF(D36="","",D36)&amp;"","")</f>
        <v/>
      </c>
      <c r="L36">
        <f>IFERROR(IF(I36="","",I36)&amp;"","")</f>
        <v/>
      </c>
      <c r="M36">
        <f>IF(J36="","",IFERROR(VALUE(SUBSTITUTE(SUBSTITUTE(IF(E36="","",E36)&amp;"","$",""),",","")),0))</f>
        <v/>
      </c>
      <c r="N36" s="11">
        <f>IF(J36="","",IFERROR(VALUE(SUBSTITUTE(SUBSTITUTE(IF(F36="","",F36)&amp;"","$",""),",","")),0))</f>
        <v/>
      </c>
      <c r="O36" s="11">
        <f>IF(J36="","",M36*N36)</f>
        <v/>
      </c>
      <c r="P36">
        <f>IF(J36="","",IF(L36="",1,COUNTIF($L$2:$L$1501,L36)))</f>
        <v/>
      </c>
      <c r="Q36" s="11">
        <f>IF(J36="","",IFERROR(VALUE(SUBSTITUTE(SUBSTITUTE(IF(G36="","",G36)&amp;"","$",""),",","")),0)/IF("No"="Yes",P36,1))</f>
        <v/>
      </c>
      <c r="R36" s="11">
        <f>IF(J36="","",IFERROR(VALUE(SUBSTITUTE(SUBSTITUTE(IF(H36="","",H36)&amp;"","$",""),",","")),0)/IF("No"="Yes",P36,1))</f>
        <v/>
      </c>
      <c r="S36" s="11">
        <f>IF(J36="","",O36+Q36-R36)</f>
        <v/>
      </c>
      <c r="T36">
        <f>IF(J36="","",IFERROR(IF(K36="",NA(),MATCH(K36,Products!$B$5:$B$204,0)),IFERROR(MATCH(J36,Products!$A$5:$A$204,0),"")))</f>
        <v/>
      </c>
      <c r="U36">
        <f>IF(J36="","",IF(T36="","⚠ not in Products",INDEX(Products!$A$5:$A$204,T36)))</f>
        <v/>
      </c>
      <c r="V36" s="11">
        <f>IF(J36="","",S36*(IFERROR(INDEX(Settings!$B$5:$B$9,MATCH($B36,Settings!$A$5:$A$9,0)),0)+IFERROR(INDEX(Settings!$E$5:$E$9,MATCH($B36,Settings!$A$5:$A$9,0)),0)+IFERROR(INDEX(Settings!$G$5:$G$9,MATCH($B36,Settings!$A$5:$A$9,0)),0))+(IFERROR(INDEX(Settings!$C$5:$C$9,MATCH($B36,Settings!$A$5:$A$9,0)),0)+IFERROR(INDEX(Settings!$F$5:$F$9,MATCH($B36,Settings!$A$5:$A$9,0)),0))/P36+IFERROR(INDEX(Settings!$D$5:$D$9,MATCH($B36,Settings!$A$5:$A$9,0)),0)*M36)</f>
        <v/>
      </c>
      <c r="W36" s="11">
        <f>IF(J36="","",IF(T36="",0,M36*INDEX(Products!$I$5:$I$204,T36)))</f>
        <v/>
      </c>
      <c r="X36" s="11">
        <f>IF(J36="","",IF(T36="",0,S36*INDEX(Products!$H$5:$H$204,T36)))</f>
        <v/>
      </c>
      <c r="Y36" s="11">
        <f>IF(J36="","",S36-V36-W36-X36)</f>
        <v/>
      </c>
    </row>
    <row r="37">
      <c r="A37" s="19" t="n"/>
      <c r="B37" s="19" t="n"/>
      <c r="C37" s="19" t="n"/>
      <c r="D37" s="19" t="n"/>
      <c r="E37" s="19" t="n"/>
      <c r="F37" s="20" t="n"/>
      <c r="G37" s="20" t="n"/>
      <c r="H37" s="20" t="n"/>
      <c r="I37" s="19" t="n"/>
      <c r="J37">
        <f>IFERROR(IF(C37="","",C37)&amp;"","")</f>
        <v/>
      </c>
      <c r="K37">
        <f>IFERROR(IF(D37="","",D37)&amp;"","")</f>
        <v/>
      </c>
      <c r="L37">
        <f>IFERROR(IF(I37="","",I37)&amp;"","")</f>
        <v/>
      </c>
      <c r="M37">
        <f>IF(J37="","",IFERROR(VALUE(SUBSTITUTE(SUBSTITUTE(IF(E37="","",E37)&amp;"","$",""),",","")),0))</f>
        <v/>
      </c>
      <c r="N37" s="11">
        <f>IF(J37="","",IFERROR(VALUE(SUBSTITUTE(SUBSTITUTE(IF(F37="","",F37)&amp;"","$",""),",","")),0))</f>
        <v/>
      </c>
      <c r="O37" s="11">
        <f>IF(J37="","",M37*N37)</f>
        <v/>
      </c>
      <c r="P37">
        <f>IF(J37="","",IF(L37="",1,COUNTIF($L$2:$L$1501,L37)))</f>
        <v/>
      </c>
      <c r="Q37" s="11">
        <f>IF(J37="","",IFERROR(VALUE(SUBSTITUTE(SUBSTITUTE(IF(G37="","",G37)&amp;"","$",""),",","")),0)/IF("No"="Yes",P37,1))</f>
        <v/>
      </c>
      <c r="R37" s="11">
        <f>IF(J37="","",IFERROR(VALUE(SUBSTITUTE(SUBSTITUTE(IF(H37="","",H37)&amp;"","$",""),",","")),0)/IF("No"="Yes",P37,1))</f>
        <v/>
      </c>
      <c r="S37" s="11">
        <f>IF(J37="","",O37+Q37-R37)</f>
        <v/>
      </c>
      <c r="T37">
        <f>IF(J37="","",IFERROR(IF(K37="",NA(),MATCH(K37,Products!$B$5:$B$204,0)),IFERROR(MATCH(J37,Products!$A$5:$A$204,0),"")))</f>
        <v/>
      </c>
      <c r="U37">
        <f>IF(J37="","",IF(T37="","⚠ not in Products",INDEX(Products!$A$5:$A$204,T37)))</f>
        <v/>
      </c>
      <c r="V37" s="11">
        <f>IF(J37="","",S37*(IFERROR(INDEX(Settings!$B$5:$B$9,MATCH($B37,Settings!$A$5:$A$9,0)),0)+IFERROR(INDEX(Settings!$E$5:$E$9,MATCH($B37,Settings!$A$5:$A$9,0)),0)+IFERROR(INDEX(Settings!$G$5:$G$9,MATCH($B37,Settings!$A$5:$A$9,0)),0))+(IFERROR(INDEX(Settings!$C$5:$C$9,MATCH($B37,Settings!$A$5:$A$9,0)),0)+IFERROR(INDEX(Settings!$F$5:$F$9,MATCH($B37,Settings!$A$5:$A$9,0)),0))/P37+IFERROR(INDEX(Settings!$D$5:$D$9,MATCH($B37,Settings!$A$5:$A$9,0)),0)*M37)</f>
        <v/>
      </c>
      <c r="W37" s="11">
        <f>IF(J37="","",IF(T37="",0,M37*INDEX(Products!$I$5:$I$204,T37)))</f>
        <v/>
      </c>
      <c r="X37" s="11">
        <f>IF(J37="","",IF(T37="",0,S37*INDEX(Products!$H$5:$H$204,T37)))</f>
        <v/>
      </c>
      <c r="Y37" s="11">
        <f>IF(J37="","",S37-V37-W37-X37)</f>
        <v/>
      </c>
    </row>
    <row r="38">
      <c r="A38" s="19" t="n"/>
      <c r="B38" s="19" t="n"/>
      <c r="C38" s="19" t="n"/>
      <c r="D38" s="19" t="n"/>
      <c r="E38" s="19" t="n"/>
      <c r="F38" s="20" t="n"/>
      <c r="G38" s="20" t="n"/>
      <c r="H38" s="20" t="n"/>
      <c r="I38" s="19" t="n"/>
      <c r="J38">
        <f>IFERROR(IF(C38="","",C38)&amp;"","")</f>
        <v/>
      </c>
      <c r="K38">
        <f>IFERROR(IF(D38="","",D38)&amp;"","")</f>
        <v/>
      </c>
      <c r="L38">
        <f>IFERROR(IF(I38="","",I38)&amp;"","")</f>
        <v/>
      </c>
      <c r="M38">
        <f>IF(J38="","",IFERROR(VALUE(SUBSTITUTE(SUBSTITUTE(IF(E38="","",E38)&amp;"","$",""),",","")),0))</f>
        <v/>
      </c>
      <c r="N38" s="11">
        <f>IF(J38="","",IFERROR(VALUE(SUBSTITUTE(SUBSTITUTE(IF(F38="","",F38)&amp;"","$",""),",","")),0))</f>
        <v/>
      </c>
      <c r="O38" s="11">
        <f>IF(J38="","",M38*N38)</f>
        <v/>
      </c>
      <c r="P38">
        <f>IF(J38="","",IF(L38="",1,COUNTIF($L$2:$L$1501,L38)))</f>
        <v/>
      </c>
      <c r="Q38" s="11">
        <f>IF(J38="","",IFERROR(VALUE(SUBSTITUTE(SUBSTITUTE(IF(G38="","",G38)&amp;"","$",""),",","")),0)/IF("No"="Yes",P38,1))</f>
        <v/>
      </c>
      <c r="R38" s="11">
        <f>IF(J38="","",IFERROR(VALUE(SUBSTITUTE(SUBSTITUTE(IF(H38="","",H38)&amp;"","$",""),",","")),0)/IF("No"="Yes",P38,1))</f>
        <v/>
      </c>
      <c r="S38" s="11">
        <f>IF(J38="","",O38+Q38-R38)</f>
        <v/>
      </c>
      <c r="T38">
        <f>IF(J38="","",IFERROR(IF(K38="",NA(),MATCH(K38,Products!$B$5:$B$204,0)),IFERROR(MATCH(J38,Products!$A$5:$A$204,0),"")))</f>
        <v/>
      </c>
      <c r="U38">
        <f>IF(J38="","",IF(T38="","⚠ not in Products",INDEX(Products!$A$5:$A$204,T38)))</f>
        <v/>
      </c>
      <c r="V38" s="11">
        <f>IF(J38="","",S38*(IFERROR(INDEX(Settings!$B$5:$B$9,MATCH($B38,Settings!$A$5:$A$9,0)),0)+IFERROR(INDEX(Settings!$E$5:$E$9,MATCH($B38,Settings!$A$5:$A$9,0)),0)+IFERROR(INDEX(Settings!$G$5:$G$9,MATCH($B38,Settings!$A$5:$A$9,0)),0))+(IFERROR(INDEX(Settings!$C$5:$C$9,MATCH($B38,Settings!$A$5:$A$9,0)),0)+IFERROR(INDEX(Settings!$F$5:$F$9,MATCH($B38,Settings!$A$5:$A$9,0)),0))/P38+IFERROR(INDEX(Settings!$D$5:$D$9,MATCH($B38,Settings!$A$5:$A$9,0)),0)*M38)</f>
        <v/>
      </c>
      <c r="W38" s="11">
        <f>IF(J38="","",IF(T38="",0,M38*INDEX(Products!$I$5:$I$204,T38)))</f>
        <v/>
      </c>
      <c r="X38" s="11">
        <f>IF(J38="","",IF(T38="",0,S38*INDEX(Products!$H$5:$H$204,T38)))</f>
        <v/>
      </c>
      <c r="Y38" s="11">
        <f>IF(J38="","",S38-V38-W38-X38)</f>
        <v/>
      </c>
    </row>
    <row r="39">
      <c r="A39" s="19" t="n"/>
      <c r="B39" s="19" t="n"/>
      <c r="C39" s="19" t="n"/>
      <c r="D39" s="19" t="n"/>
      <c r="E39" s="19" t="n"/>
      <c r="F39" s="20" t="n"/>
      <c r="G39" s="20" t="n"/>
      <c r="H39" s="20" t="n"/>
      <c r="I39" s="19" t="n"/>
      <c r="J39">
        <f>IFERROR(IF(C39="","",C39)&amp;"","")</f>
        <v/>
      </c>
      <c r="K39">
        <f>IFERROR(IF(D39="","",D39)&amp;"","")</f>
        <v/>
      </c>
      <c r="L39">
        <f>IFERROR(IF(I39="","",I39)&amp;"","")</f>
        <v/>
      </c>
      <c r="M39">
        <f>IF(J39="","",IFERROR(VALUE(SUBSTITUTE(SUBSTITUTE(IF(E39="","",E39)&amp;"","$",""),",","")),0))</f>
        <v/>
      </c>
      <c r="N39" s="11">
        <f>IF(J39="","",IFERROR(VALUE(SUBSTITUTE(SUBSTITUTE(IF(F39="","",F39)&amp;"","$",""),",","")),0))</f>
        <v/>
      </c>
      <c r="O39" s="11">
        <f>IF(J39="","",M39*N39)</f>
        <v/>
      </c>
      <c r="P39">
        <f>IF(J39="","",IF(L39="",1,COUNTIF($L$2:$L$1501,L39)))</f>
        <v/>
      </c>
      <c r="Q39" s="11">
        <f>IF(J39="","",IFERROR(VALUE(SUBSTITUTE(SUBSTITUTE(IF(G39="","",G39)&amp;"","$",""),",","")),0)/IF("No"="Yes",P39,1))</f>
        <v/>
      </c>
      <c r="R39" s="11">
        <f>IF(J39="","",IFERROR(VALUE(SUBSTITUTE(SUBSTITUTE(IF(H39="","",H39)&amp;"","$",""),",","")),0)/IF("No"="Yes",P39,1))</f>
        <v/>
      </c>
      <c r="S39" s="11">
        <f>IF(J39="","",O39+Q39-R39)</f>
        <v/>
      </c>
      <c r="T39">
        <f>IF(J39="","",IFERROR(IF(K39="",NA(),MATCH(K39,Products!$B$5:$B$204,0)),IFERROR(MATCH(J39,Products!$A$5:$A$204,0),"")))</f>
        <v/>
      </c>
      <c r="U39">
        <f>IF(J39="","",IF(T39="","⚠ not in Products",INDEX(Products!$A$5:$A$204,T39)))</f>
        <v/>
      </c>
      <c r="V39" s="11">
        <f>IF(J39="","",S39*(IFERROR(INDEX(Settings!$B$5:$B$9,MATCH($B39,Settings!$A$5:$A$9,0)),0)+IFERROR(INDEX(Settings!$E$5:$E$9,MATCH($B39,Settings!$A$5:$A$9,0)),0)+IFERROR(INDEX(Settings!$G$5:$G$9,MATCH($B39,Settings!$A$5:$A$9,0)),0))+(IFERROR(INDEX(Settings!$C$5:$C$9,MATCH($B39,Settings!$A$5:$A$9,0)),0)+IFERROR(INDEX(Settings!$F$5:$F$9,MATCH($B39,Settings!$A$5:$A$9,0)),0))/P39+IFERROR(INDEX(Settings!$D$5:$D$9,MATCH($B39,Settings!$A$5:$A$9,0)),0)*M39)</f>
        <v/>
      </c>
      <c r="W39" s="11">
        <f>IF(J39="","",IF(T39="",0,M39*INDEX(Products!$I$5:$I$204,T39)))</f>
        <v/>
      </c>
      <c r="X39" s="11">
        <f>IF(J39="","",IF(T39="",0,S39*INDEX(Products!$H$5:$H$204,T39)))</f>
        <v/>
      </c>
      <c r="Y39" s="11">
        <f>IF(J39="","",S39-V39-W39-X39)</f>
        <v/>
      </c>
    </row>
    <row r="40">
      <c r="A40" s="19" t="n"/>
      <c r="B40" s="19" t="n"/>
      <c r="C40" s="19" t="n"/>
      <c r="D40" s="19" t="n"/>
      <c r="E40" s="19" t="n"/>
      <c r="F40" s="20" t="n"/>
      <c r="G40" s="20" t="n"/>
      <c r="H40" s="20" t="n"/>
      <c r="I40" s="19" t="n"/>
      <c r="J40">
        <f>IFERROR(IF(C40="","",C40)&amp;"","")</f>
        <v/>
      </c>
      <c r="K40">
        <f>IFERROR(IF(D40="","",D40)&amp;"","")</f>
        <v/>
      </c>
      <c r="L40">
        <f>IFERROR(IF(I40="","",I40)&amp;"","")</f>
        <v/>
      </c>
      <c r="M40">
        <f>IF(J40="","",IFERROR(VALUE(SUBSTITUTE(SUBSTITUTE(IF(E40="","",E40)&amp;"","$",""),",","")),0))</f>
        <v/>
      </c>
      <c r="N40" s="11">
        <f>IF(J40="","",IFERROR(VALUE(SUBSTITUTE(SUBSTITUTE(IF(F40="","",F40)&amp;"","$",""),",","")),0))</f>
        <v/>
      </c>
      <c r="O40" s="11">
        <f>IF(J40="","",M40*N40)</f>
        <v/>
      </c>
      <c r="P40">
        <f>IF(J40="","",IF(L40="",1,COUNTIF($L$2:$L$1501,L40)))</f>
        <v/>
      </c>
      <c r="Q40" s="11">
        <f>IF(J40="","",IFERROR(VALUE(SUBSTITUTE(SUBSTITUTE(IF(G40="","",G40)&amp;"","$",""),",","")),0)/IF("No"="Yes",P40,1))</f>
        <v/>
      </c>
      <c r="R40" s="11">
        <f>IF(J40="","",IFERROR(VALUE(SUBSTITUTE(SUBSTITUTE(IF(H40="","",H40)&amp;"","$",""),",","")),0)/IF("No"="Yes",P40,1))</f>
        <v/>
      </c>
      <c r="S40" s="11">
        <f>IF(J40="","",O40+Q40-R40)</f>
        <v/>
      </c>
      <c r="T40">
        <f>IF(J40="","",IFERROR(IF(K40="",NA(),MATCH(K40,Products!$B$5:$B$204,0)),IFERROR(MATCH(J40,Products!$A$5:$A$204,0),"")))</f>
        <v/>
      </c>
      <c r="U40">
        <f>IF(J40="","",IF(T40="","⚠ not in Products",INDEX(Products!$A$5:$A$204,T40)))</f>
        <v/>
      </c>
      <c r="V40" s="11">
        <f>IF(J40="","",S40*(IFERROR(INDEX(Settings!$B$5:$B$9,MATCH($B40,Settings!$A$5:$A$9,0)),0)+IFERROR(INDEX(Settings!$E$5:$E$9,MATCH($B40,Settings!$A$5:$A$9,0)),0)+IFERROR(INDEX(Settings!$G$5:$G$9,MATCH($B40,Settings!$A$5:$A$9,0)),0))+(IFERROR(INDEX(Settings!$C$5:$C$9,MATCH($B40,Settings!$A$5:$A$9,0)),0)+IFERROR(INDEX(Settings!$F$5:$F$9,MATCH($B40,Settings!$A$5:$A$9,0)),0))/P40+IFERROR(INDEX(Settings!$D$5:$D$9,MATCH($B40,Settings!$A$5:$A$9,0)),0)*M40)</f>
        <v/>
      </c>
      <c r="W40" s="11">
        <f>IF(J40="","",IF(T40="",0,M40*INDEX(Products!$I$5:$I$204,T40)))</f>
        <v/>
      </c>
      <c r="X40" s="11">
        <f>IF(J40="","",IF(T40="",0,S40*INDEX(Products!$H$5:$H$204,T40)))</f>
        <v/>
      </c>
      <c r="Y40" s="11">
        <f>IF(J40="","",S40-V40-W40-X40)</f>
        <v/>
      </c>
    </row>
    <row r="41">
      <c r="A41" s="19" t="n"/>
      <c r="B41" s="19" t="n"/>
      <c r="C41" s="19" t="n"/>
      <c r="D41" s="19" t="n"/>
      <c r="E41" s="19" t="n"/>
      <c r="F41" s="20" t="n"/>
      <c r="G41" s="20" t="n"/>
      <c r="H41" s="20" t="n"/>
      <c r="I41" s="19" t="n"/>
      <c r="J41">
        <f>IFERROR(IF(C41="","",C41)&amp;"","")</f>
        <v/>
      </c>
      <c r="K41">
        <f>IFERROR(IF(D41="","",D41)&amp;"","")</f>
        <v/>
      </c>
      <c r="L41">
        <f>IFERROR(IF(I41="","",I41)&amp;"","")</f>
        <v/>
      </c>
      <c r="M41">
        <f>IF(J41="","",IFERROR(VALUE(SUBSTITUTE(SUBSTITUTE(IF(E41="","",E41)&amp;"","$",""),",","")),0))</f>
        <v/>
      </c>
      <c r="N41" s="11">
        <f>IF(J41="","",IFERROR(VALUE(SUBSTITUTE(SUBSTITUTE(IF(F41="","",F41)&amp;"","$",""),",","")),0))</f>
        <v/>
      </c>
      <c r="O41" s="11">
        <f>IF(J41="","",M41*N41)</f>
        <v/>
      </c>
      <c r="P41">
        <f>IF(J41="","",IF(L41="",1,COUNTIF($L$2:$L$1501,L41)))</f>
        <v/>
      </c>
      <c r="Q41" s="11">
        <f>IF(J41="","",IFERROR(VALUE(SUBSTITUTE(SUBSTITUTE(IF(G41="","",G41)&amp;"","$",""),",","")),0)/IF("No"="Yes",P41,1))</f>
        <v/>
      </c>
      <c r="R41" s="11">
        <f>IF(J41="","",IFERROR(VALUE(SUBSTITUTE(SUBSTITUTE(IF(H41="","",H41)&amp;"","$",""),",","")),0)/IF("No"="Yes",P41,1))</f>
        <v/>
      </c>
      <c r="S41" s="11">
        <f>IF(J41="","",O41+Q41-R41)</f>
        <v/>
      </c>
      <c r="T41">
        <f>IF(J41="","",IFERROR(IF(K41="",NA(),MATCH(K41,Products!$B$5:$B$204,0)),IFERROR(MATCH(J41,Products!$A$5:$A$204,0),"")))</f>
        <v/>
      </c>
      <c r="U41">
        <f>IF(J41="","",IF(T41="","⚠ not in Products",INDEX(Products!$A$5:$A$204,T41)))</f>
        <v/>
      </c>
      <c r="V41" s="11">
        <f>IF(J41="","",S41*(IFERROR(INDEX(Settings!$B$5:$B$9,MATCH($B41,Settings!$A$5:$A$9,0)),0)+IFERROR(INDEX(Settings!$E$5:$E$9,MATCH($B41,Settings!$A$5:$A$9,0)),0)+IFERROR(INDEX(Settings!$G$5:$G$9,MATCH($B41,Settings!$A$5:$A$9,0)),0))+(IFERROR(INDEX(Settings!$C$5:$C$9,MATCH($B41,Settings!$A$5:$A$9,0)),0)+IFERROR(INDEX(Settings!$F$5:$F$9,MATCH($B41,Settings!$A$5:$A$9,0)),0))/P41+IFERROR(INDEX(Settings!$D$5:$D$9,MATCH($B41,Settings!$A$5:$A$9,0)),0)*M41)</f>
        <v/>
      </c>
      <c r="W41" s="11">
        <f>IF(J41="","",IF(T41="",0,M41*INDEX(Products!$I$5:$I$204,T41)))</f>
        <v/>
      </c>
      <c r="X41" s="11">
        <f>IF(J41="","",IF(T41="",0,S41*INDEX(Products!$H$5:$H$204,T41)))</f>
        <v/>
      </c>
      <c r="Y41" s="11">
        <f>IF(J41="","",S41-V41-W41-X41)</f>
        <v/>
      </c>
    </row>
    <row r="42">
      <c r="A42" s="19" t="n"/>
      <c r="B42" s="19" t="n"/>
      <c r="C42" s="19" t="n"/>
      <c r="D42" s="19" t="n"/>
      <c r="E42" s="19" t="n"/>
      <c r="F42" s="20" t="n"/>
      <c r="G42" s="20" t="n"/>
      <c r="H42" s="20" t="n"/>
      <c r="I42" s="19" t="n"/>
      <c r="J42">
        <f>IFERROR(IF(C42="","",C42)&amp;"","")</f>
        <v/>
      </c>
      <c r="K42">
        <f>IFERROR(IF(D42="","",D42)&amp;"","")</f>
        <v/>
      </c>
      <c r="L42">
        <f>IFERROR(IF(I42="","",I42)&amp;"","")</f>
        <v/>
      </c>
      <c r="M42">
        <f>IF(J42="","",IFERROR(VALUE(SUBSTITUTE(SUBSTITUTE(IF(E42="","",E42)&amp;"","$",""),",","")),0))</f>
        <v/>
      </c>
      <c r="N42" s="11">
        <f>IF(J42="","",IFERROR(VALUE(SUBSTITUTE(SUBSTITUTE(IF(F42="","",F42)&amp;"","$",""),",","")),0))</f>
        <v/>
      </c>
      <c r="O42" s="11">
        <f>IF(J42="","",M42*N42)</f>
        <v/>
      </c>
      <c r="P42">
        <f>IF(J42="","",IF(L42="",1,COUNTIF($L$2:$L$1501,L42)))</f>
        <v/>
      </c>
      <c r="Q42" s="11">
        <f>IF(J42="","",IFERROR(VALUE(SUBSTITUTE(SUBSTITUTE(IF(G42="","",G42)&amp;"","$",""),",","")),0)/IF("No"="Yes",P42,1))</f>
        <v/>
      </c>
      <c r="R42" s="11">
        <f>IF(J42="","",IFERROR(VALUE(SUBSTITUTE(SUBSTITUTE(IF(H42="","",H42)&amp;"","$",""),",","")),0)/IF("No"="Yes",P42,1))</f>
        <v/>
      </c>
      <c r="S42" s="11">
        <f>IF(J42="","",O42+Q42-R42)</f>
        <v/>
      </c>
      <c r="T42">
        <f>IF(J42="","",IFERROR(IF(K42="",NA(),MATCH(K42,Products!$B$5:$B$204,0)),IFERROR(MATCH(J42,Products!$A$5:$A$204,0),"")))</f>
        <v/>
      </c>
      <c r="U42">
        <f>IF(J42="","",IF(T42="","⚠ not in Products",INDEX(Products!$A$5:$A$204,T42)))</f>
        <v/>
      </c>
      <c r="V42" s="11">
        <f>IF(J42="","",S42*(IFERROR(INDEX(Settings!$B$5:$B$9,MATCH($B42,Settings!$A$5:$A$9,0)),0)+IFERROR(INDEX(Settings!$E$5:$E$9,MATCH($B42,Settings!$A$5:$A$9,0)),0)+IFERROR(INDEX(Settings!$G$5:$G$9,MATCH($B42,Settings!$A$5:$A$9,0)),0))+(IFERROR(INDEX(Settings!$C$5:$C$9,MATCH($B42,Settings!$A$5:$A$9,0)),0)+IFERROR(INDEX(Settings!$F$5:$F$9,MATCH($B42,Settings!$A$5:$A$9,0)),0))/P42+IFERROR(INDEX(Settings!$D$5:$D$9,MATCH($B42,Settings!$A$5:$A$9,0)),0)*M42)</f>
        <v/>
      </c>
      <c r="W42" s="11">
        <f>IF(J42="","",IF(T42="",0,M42*INDEX(Products!$I$5:$I$204,T42)))</f>
        <v/>
      </c>
      <c r="X42" s="11">
        <f>IF(J42="","",IF(T42="",0,S42*INDEX(Products!$H$5:$H$204,T42)))</f>
        <v/>
      </c>
      <c r="Y42" s="11">
        <f>IF(J42="","",S42-V42-W42-X42)</f>
        <v/>
      </c>
    </row>
    <row r="43">
      <c r="A43" s="19" t="n"/>
      <c r="B43" s="19" t="n"/>
      <c r="C43" s="19" t="n"/>
      <c r="D43" s="19" t="n"/>
      <c r="E43" s="19" t="n"/>
      <c r="F43" s="20" t="n"/>
      <c r="G43" s="20" t="n"/>
      <c r="H43" s="20" t="n"/>
      <c r="I43" s="19" t="n"/>
      <c r="J43">
        <f>IFERROR(IF(C43="","",C43)&amp;"","")</f>
        <v/>
      </c>
      <c r="K43">
        <f>IFERROR(IF(D43="","",D43)&amp;"","")</f>
        <v/>
      </c>
      <c r="L43">
        <f>IFERROR(IF(I43="","",I43)&amp;"","")</f>
        <v/>
      </c>
      <c r="M43">
        <f>IF(J43="","",IFERROR(VALUE(SUBSTITUTE(SUBSTITUTE(IF(E43="","",E43)&amp;"","$",""),",","")),0))</f>
        <v/>
      </c>
      <c r="N43" s="11">
        <f>IF(J43="","",IFERROR(VALUE(SUBSTITUTE(SUBSTITUTE(IF(F43="","",F43)&amp;"","$",""),",","")),0))</f>
        <v/>
      </c>
      <c r="O43" s="11">
        <f>IF(J43="","",M43*N43)</f>
        <v/>
      </c>
      <c r="P43">
        <f>IF(J43="","",IF(L43="",1,COUNTIF($L$2:$L$1501,L43)))</f>
        <v/>
      </c>
      <c r="Q43" s="11">
        <f>IF(J43="","",IFERROR(VALUE(SUBSTITUTE(SUBSTITUTE(IF(G43="","",G43)&amp;"","$",""),",","")),0)/IF("No"="Yes",P43,1))</f>
        <v/>
      </c>
      <c r="R43" s="11">
        <f>IF(J43="","",IFERROR(VALUE(SUBSTITUTE(SUBSTITUTE(IF(H43="","",H43)&amp;"","$",""),",","")),0)/IF("No"="Yes",P43,1))</f>
        <v/>
      </c>
      <c r="S43" s="11">
        <f>IF(J43="","",O43+Q43-R43)</f>
        <v/>
      </c>
      <c r="T43">
        <f>IF(J43="","",IFERROR(IF(K43="",NA(),MATCH(K43,Products!$B$5:$B$204,0)),IFERROR(MATCH(J43,Products!$A$5:$A$204,0),"")))</f>
        <v/>
      </c>
      <c r="U43">
        <f>IF(J43="","",IF(T43="","⚠ not in Products",INDEX(Products!$A$5:$A$204,T43)))</f>
        <v/>
      </c>
      <c r="V43" s="11">
        <f>IF(J43="","",S43*(IFERROR(INDEX(Settings!$B$5:$B$9,MATCH($B43,Settings!$A$5:$A$9,0)),0)+IFERROR(INDEX(Settings!$E$5:$E$9,MATCH($B43,Settings!$A$5:$A$9,0)),0)+IFERROR(INDEX(Settings!$G$5:$G$9,MATCH($B43,Settings!$A$5:$A$9,0)),0))+(IFERROR(INDEX(Settings!$C$5:$C$9,MATCH($B43,Settings!$A$5:$A$9,0)),0)+IFERROR(INDEX(Settings!$F$5:$F$9,MATCH($B43,Settings!$A$5:$A$9,0)),0))/P43+IFERROR(INDEX(Settings!$D$5:$D$9,MATCH($B43,Settings!$A$5:$A$9,0)),0)*M43)</f>
        <v/>
      </c>
      <c r="W43" s="11">
        <f>IF(J43="","",IF(T43="",0,M43*INDEX(Products!$I$5:$I$204,T43)))</f>
        <v/>
      </c>
      <c r="X43" s="11">
        <f>IF(J43="","",IF(T43="",0,S43*INDEX(Products!$H$5:$H$204,T43)))</f>
        <v/>
      </c>
      <c r="Y43" s="11">
        <f>IF(J43="","",S43-V43-W43-X43)</f>
        <v/>
      </c>
    </row>
    <row r="44">
      <c r="A44" s="19" t="n"/>
      <c r="B44" s="19" t="n"/>
      <c r="C44" s="19" t="n"/>
      <c r="D44" s="19" t="n"/>
      <c r="E44" s="19" t="n"/>
      <c r="F44" s="20" t="n"/>
      <c r="G44" s="20" t="n"/>
      <c r="H44" s="20" t="n"/>
      <c r="I44" s="19" t="n"/>
      <c r="J44">
        <f>IFERROR(IF(C44="","",C44)&amp;"","")</f>
        <v/>
      </c>
      <c r="K44">
        <f>IFERROR(IF(D44="","",D44)&amp;"","")</f>
        <v/>
      </c>
      <c r="L44">
        <f>IFERROR(IF(I44="","",I44)&amp;"","")</f>
        <v/>
      </c>
      <c r="M44">
        <f>IF(J44="","",IFERROR(VALUE(SUBSTITUTE(SUBSTITUTE(IF(E44="","",E44)&amp;"","$",""),",","")),0))</f>
        <v/>
      </c>
      <c r="N44" s="11">
        <f>IF(J44="","",IFERROR(VALUE(SUBSTITUTE(SUBSTITUTE(IF(F44="","",F44)&amp;"","$",""),",","")),0))</f>
        <v/>
      </c>
      <c r="O44" s="11">
        <f>IF(J44="","",M44*N44)</f>
        <v/>
      </c>
      <c r="P44">
        <f>IF(J44="","",IF(L44="",1,COUNTIF($L$2:$L$1501,L44)))</f>
        <v/>
      </c>
      <c r="Q44" s="11">
        <f>IF(J44="","",IFERROR(VALUE(SUBSTITUTE(SUBSTITUTE(IF(G44="","",G44)&amp;"","$",""),",","")),0)/IF("No"="Yes",P44,1))</f>
        <v/>
      </c>
      <c r="R44" s="11">
        <f>IF(J44="","",IFERROR(VALUE(SUBSTITUTE(SUBSTITUTE(IF(H44="","",H44)&amp;"","$",""),",","")),0)/IF("No"="Yes",P44,1))</f>
        <v/>
      </c>
      <c r="S44" s="11">
        <f>IF(J44="","",O44+Q44-R44)</f>
        <v/>
      </c>
      <c r="T44">
        <f>IF(J44="","",IFERROR(IF(K44="",NA(),MATCH(K44,Products!$B$5:$B$204,0)),IFERROR(MATCH(J44,Products!$A$5:$A$204,0),"")))</f>
        <v/>
      </c>
      <c r="U44">
        <f>IF(J44="","",IF(T44="","⚠ not in Products",INDEX(Products!$A$5:$A$204,T44)))</f>
        <v/>
      </c>
      <c r="V44" s="11">
        <f>IF(J44="","",S44*(IFERROR(INDEX(Settings!$B$5:$B$9,MATCH($B44,Settings!$A$5:$A$9,0)),0)+IFERROR(INDEX(Settings!$E$5:$E$9,MATCH($B44,Settings!$A$5:$A$9,0)),0)+IFERROR(INDEX(Settings!$G$5:$G$9,MATCH($B44,Settings!$A$5:$A$9,0)),0))+(IFERROR(INDEX(Settings!$C$5:$C$9,MATCH($B44,Settings!$A$5:$A$9,0)),0)+IFERROR(INDEX(Settings!$F$5:$F$9,MATCH($B44,Settings!$A$5:$A$9,0)),0))/P44+IFERROR(INDEX(Settings!$D$5:$D$9,MATCH($B44,Settings!$A$5:$A$9,0)),0)*M44)</f>
        <v/>
      </c>
      <c r="W44" s="11">
        <f>IF(J44="","",IF(T44="",0,M44*INDEX(Products!$I$5:$I$204,T44)))</f>
        <v/>
      </c>
      <c r="X44" s="11">
        <f>IF(J44="","",IF(T44="",0,S44*INDEX(Products!$H$5:$H$204,T44)))</f>
        <v/>
      </c>
      <c r="Y44" s="11">
        <f>IF(J44="","",S44-V44-W44-X44)</f>
        <v/>
      </c>
    </row>
    <row r="45">
      <c r="A45" s="19" t="n"/>
      <c r="B45" s="19" t="n"/>
      <c r="C45" s="19" t="n"/>
      <c r="D45" s="19" t="n"/>
      <c r="E45" s="19" t="n"/>
      <c r="F45" s="20" t="n"/>
      <c r="G45" s="20" t="n"/>
      <c r="H45" s="20" t="n"/>
      <c r="I45" s="19" t="n"/>
      <c r="J45">
        <f>IFERROR(IF(C45="","",C45)&amp;"","")</f>
        <v/>
      </c>
      <c r="K45">
        <f>IFERROR(IF(D45="","",D45)&amp;"","")</f>
        <v/>
      </c>
      <c r="L45">
        <f>IFERROR(IF(I45="","",I45)&amp;"","")</f>
        <v/>
      </c>
      <c r="M45">
        <f>IF(J45="","",IFERROR(VALUE(SUBSTITUTE(SUBSTITUTE(IF(E45="","",E45)&amp;"","$",""),",","")),0))</f>
        <v/>
      </c>
      <c r="N45" s="11">
        <f>IF(J45="","",IFERROR(VALUE(SUBSTITUTE(SUBSTITUTE(IF(F45="","",F45)&amp;"","$",""),",","")),0))</f>
        <v/>
      </c>
      <c r="O45" s="11">
        <f>IF(J45="","",M45*N45)</f>
        <v/>
      </c>
      <c r="P45">
        <f>IF(J45="","",IF(L45="",1,COUNTIF($L$2:$L$1501,L45)))</f>
        <v/>
      </c>
      <c r="Q45" s="11">
        <f>IF(J45="","",IFERROR(VALUE(SUBSTITUTE(SUBSTITUTE(IF(G45="","",G45)&amp;"","$",""),",","")),0)/IF("No"="Yes",P45,1))</f>
        <v/>
      </c>
      <c r="R45" s="11">
        <f>IF(J45="","",IFERROR(VALUE(SUBSTITUTE(SUBSTITUTE(IF(H45="","",H45)&amp;"","$",""),",","")),0)/IF("No"="Yes",P45,1))</f>
        <v/>
      </c>
      <c r="S45" s="11">
        <f>IF(J45="","",O45+Q45-R45)</f>
        <v/>
      </c>
      <c r="T45">
        <f>IF(J45="","",IFERROR(IF(K45="",NA(),MATCH(K45,Products!$B$5:$B$204,0)),IFERROR(MATCH(J45,Products!$A$5:$A$204,0),"")))</f>
        <v/>
      </c>
      <c r="U45">
        <f>IF(J45="","",IF(T45="","⚠ not in Products",INDEX(Products!$A$5:$A$204,T45)))</f>
        <v/>
      </c>
      <c r="V45" s="11">
        <f>IF(J45="","",S45*(IFERROR(INDEX(Settings!$B$5:$B$9,MATCH($B45,Settings!$A$5:$A$9,0)),0)+IFERROR(INDEX(Settings!$E$5:$E$9,MATCH($B45,Settings!$A$5:$A$9,0)),0)+IFERROR(INDEX(Settings!$G$5:$G$9,MATCH($B45,Settings!$A$5:$A$9,0)),0))+(IFERROR(INDEX(Settings!$C$5:$C$9,MATCH($B45,Settings!$A$5:$A$9,0)),0)+IFERROR(INDEX(Settings!$F$5:$F$9,MATCH($B45,Settings!$A$5:$A$9,0)),0))/P45+IFERROR(INDEX(Settings!$D$5:$D$9,MATCH($B45,Settings!$A$5:$A$9,0)),0)*M45)</f>
        <v/>
      </c>
      <c r="W45" s="11">
        <f>IF(J45="","",IF(T45="",0,M45*INDEX(Products!$I$5:$I$204,T45)))</f>
        <v/>
      </c>
      <c r="X45" s="11">
        <f>IF(J45="","",IF(T45="",0,S45*INDEX(Products!$H$5:$H$204,T45)))</f>
        <v/>
      </c>
      <c r="Y45" s="11">
        <f>IF(J45="","",S45-V45-W45-X45)</f>
        <v/>
      </c>
    </row>
    <row r="46">
      <c r="A46" s="19" t="n"/>
      <c r="B46" s="19" t="n"/>
      <c r="C46" s="19" t="n"/>
      <c r="D46" s="19" t="n"/>
      <c r="E46" s="19" t="n"/>
      <c r="F46" s="20" t="n"/>
      <c r="G46" s="20" t="n"/>
      <c r="H46" s="20" t="n"/>
      <c r="I46" s="19" t="n"/>
      <c r="J46">
        <f>IFERROR(IF(C46="","",C46)&amp;"","")</f>
        <v/>
      </c>
      <c r="K46">
        <f>IFERROR(IF(D46="","",D46)&amp;"","")</f>
        <v/>
      </c>
      <c r="L46">
        <f>IFERROR(IF(I46="","",I46)&amp;"","")</f>
        <v/>
      </c>
      <c r="M46">
        <f>IF(J46="","",IFERROR(VALUE(SUBSTITUTE(SUBSTITUTE(IF(E46="","",E46)&amp;"","$",""),",","")),0))</f>
        <v/>
      </c>
      <c r="N46" s="11">
        <f>IF(J46="","",IFERROR(VALUE(SUBSTITUTE(SUBSTITUTE(IF(F46="","",F46)&amp;"","$",""),",","")),0))</f>
        <v/>
      </c>
      <c r="O46" s="11">
        <f>IF(J46="","",M46*N46)</f>
        <v/>
      </c>
      <c r="P46">
        <f>IF(J46="","",IF(L46="",1,COUNTIF($L$2:$L$1501,L46)))</f>
        <v/>
      </c>
      <c r="Q46" s="11">
        <f>IF(J46="","",IFERROR(VALUE(SUBSTITUTE(SUBSTITUTE(IF(G46="","",G46)&amp;"","$",""),",","")),0)/IF("No"="Yes",P46,1))</f>
        <v/>
      </c>
      <c r="R46" s="11">
        <f>IF(J46="","",IFERROR(VALUE(SUBSTITUTE(SUBSTITUTE(IF(H46="","",H46)&amp;"","$",""),",","")),0)/IF("No"="Yes",P46,1))</f>
        <v/>
      </c>
      <c r="S46" s="11">
        <f>IF(J46="","",O46+Q46-R46)</f>
        <v/>
      </c>
      <c r="T46">
        <f>IF(J46="","",IFERROR(IF(K46="",NA(),MATCH(K46,Products!$B$5:$B$204,0)),IFERROR(MATCH(J46,Products!$A$5:$A$204,0),"")))</f>
        <v/>
      </c>
      <c r="U46">
        <f>IF(J46="","",IF(T46="","⚠ not in Products",INDEX(Products!$A$5:$A$204,T46)))</f>
        <v/>
      </c>
      <c r="V46" s="11">
        <f>IF(J46="","",S46*(IFERROR(INDEX(Settings!$B$5:$B$9,MATCH($B46,Settings!$A$5:$A$9,0)),0)+IFERROR(INDEX(Settings!$E$5:$E$9,MATCH($B46,Settings!$A$5:$A$9,0)),0)+IFERROR(INDEX(Settings!$G$5:$G$9,MATCH($B46,Settings!$A$5:$A$9,0)),0))+(IFERROR(INDEX(Settings!$C$5:$C$9,MATCH($B46,Settings!$A$5:$A$9,0)),0)+IFERROR(INDEX(Settings!$F$5:$F$9,MATCH($B46,Settings!$A$5:$A$9,0)),0))/P46+IFERROR(INDEX(Settings!$D$5:$D$9,MATCH($B46,Settings!$A$5:$A$9,0)),0)*M46)</f>
        <v/>
      </c>
      <c r="W46" s="11">
        <f>IF(J46="","",IF(T46="",0,M46*INDEX(Products!$I$5:$I$204,T46)))</f>
        <v/>
      </c>
      <c r="X46" s="11">
        <f>IF(J46="","",IF(T46="",0,S46*INDEX(Products!$H$5:$H$204,T46)))</f>
        <v/>
      </c>
      <c r="Y46" s="11">
        <f>IF(J46="","",S46-V46-W46-X46)</f>
        <v/>
      </c>
    </row>
    <row r="47">
      <c r="A47" s="19" t="n"/>
      <c r="B47" s="19" t="n"/>
      <c r="C47" s="19" t="n"/>
      <c r="D47" s="19" t="n"/>
      <c r="E47" s="19" t="n"/>
      <c r="F47" s="20" t="n"/>
      <c r="G47" s="20" t="n"/>
      <c r="H47" s="20" t="n"/>
      <c r="I47" s="19" t="n"/>
      <c r="J47">
        <f>IFERROR(IF(C47="","",C47)&amp;"","")</f>
        <v/>
      </c>
      <c r="K47">
        <f>IFERROR(IF(D47="","",D47)&amp;"","")</f>
        <v/>
      </c>
      <c r="L47">
        <f>IFERROR(IF(I47="","",I47)&amp;"","")</f>
        <v/>
      </c>
      <c r="M47">
        <f>IF(J47="","",IFERROR(VALUE(SUBSTITUTE(SUBSTITUTE(IF(E47="","",E47)&amp;"","$",""),",","")),0))</f>
        <v/>
      </c>
      <c r="N47" s="11">
        <f>IF(J47="","",IFERROR(VALUE(SUBSTITUTE(SUBSTITUTE(IF(F47="","",F47)&amp;"","$",""),",","")),0))</f>
        <v/>
      </c>
      <c r="O47" s="11">
        <f>IF(J47="","",M47*N47)</f>
        <v/>
      </c>
      <c r="P47">
        <f>IF(J47="","",IF(L47="",1,COUNTIF($L$2:$L$1501,L47)))</f>
        <v/>
      </c>
      <c r="Q47" s="11">
        <f>IF(J47="","",IFERROR(VALUE(SUBSTITUTE(SUBSTITUTE(IF(G47="","",G47)&amp;"","$",""),",","")),0)/IF("No"="Yes",P47,1))</f>
        <v/>
      </c>
      <c r="R47" s="11">
        <f>IF(J47="","",IFERROR(VALUE(SUBSTITUTE(SUBSTITUTE(IF(H47="","",H47)&amp;"","$",""),",","")),0)/IF("No"="Yes",P47,1))</f>
        <v/>
      </c>
      <c r="S47" s="11">
        <f>IF(J47="","",O47+Q47-R47)</f>
        <v/>
      </c>
      <c r="T47">
        <f>IF(J47="","",IFERROR(IF(K47="",NA(),MATCH(K47,Products!$B$5:$B$204,0)),IFERROR(MATCH(J47,Products!$A$5:$A$204,0),"")))</f>
        <v/>
      </c>
      <c r="U47">
        <f>IF(J47="","",IF(T47="","⚠ not in Products",INDEX(Products!$A$5:$A$204,T47)))</f>
        <v/>
      </c>
      <c r="V47" s="11">
        <f>IF(J47="","",S47*(IFERROR(INDEX(Settings!$B$5:$B$9,MATCH($B47,Settings!$A$5:$A$9,0)),0)+IFERROR(INDEX(Settings!$E$5:$E$9,MATCH($B47,Settings!$A$5:$A$9,0)),0)+IFERROR(INDEX(Settings!$G$5:$G$9,MATCH($B47,Settings!$A$5:$A$9,0)),0))+(IFERROR(INDEX(Settings!$C$5:$C$9,MATCH($B47,Settings!$A$5:$A$9,0)),0)+IFERROR(INDEX(Settings!$F$5:$F$9,MATCH($B47,Settings!$A$5:$A$9,0)),0))/P47+IFERROR(INDEX(Settings!$D$5:$D$9,MATCH($B47,Settings!$A$5:$A$9,0)),0)*M47)</f>
        <v/>
      </c>
      <c r="W47" s="11">
        <f>IF(J47="","",IF(T47="",0,M47*INDEX(Products!$I$5:$I$204,T47)))</f>
        <v/>
      </c>
      <c r="X47" s="11">
        <f>IF(J47="","",IF(T47="",0,S47*INDEX(Products!$H$5:$H$204,T47)))</f>
        <v/>
      </c>
      <c r="Y47" s="11">
        <f>IF(J47="","",S47-V47-W47-X47)</f>
        <v/>
      </c>
    </row>
    <row r="48">
      <c r="A48" s="19" t="n"/>
      <c r="B48" s="19" t="n"/>
      <c r="C48" s="19" t="n"/>
      <c r="D48" s="19" t="n"/>
      <c r="E48" s="19" t="n"/>
      <c r="F48" s="20" t="n"/>
      <c r="G48" s="20" t="n"/>
      <c r="H48" s="20" t="n"/>
      <c r="I48" s="19" t="n"/>
      <c r="J48">
        <f>IFERROR(IF(C48="","",C48)&amp;"","")</f>
        <v/>
      </c>
      <c r="K48">
        <f>IFERROR(IF(D48="","",D48)&amp;"","")</f>
        <v/>
      </c>
      <c r="L48">
        <f>IFERROR(IF(I48="","",I48)&amp;"","")</f>
        <v/>
      </c>
      <c r="M48">
        <f>IF(J48="","",IFERROR(VALUE(SUBSTITUTE(SUBSTITUTE(IF(E48="","",E48)&amp;"","$",""),",","")),0))</f>
        <v/>
      </c>
      <c r="N48" s="11">
        <f>IF(J48="","",IFERROR(VALUE(SUBSTITUTE(SUBSTITUTE(IF(F48="","",F48)&amp;"","$",""),",","")),0))</f>
        <v/>
      </c>
      <c r="O48" s="11">
        <f>IF(J48="","",M48*N48)</f>
        <v/>
      </c>
      <c r="P48">
        <f>IF(J48="","",IF(L48="",1,COUNTIF($L$2:$L$1501,L48)))</f>
        <v/>
      </c>
      <c r="Q48" s="11">
        <f>IF(J48="","",IFERROR(VALUE(SUBSTITUTE(SUBSTITUTE(IF(G48="","",G48)&amp;"","$",""),",","")),0)/IF("No"="Yes",P48,1))</f>
        <v/>
      </c>
      <c r="R48" s="11">
        <f>IF(J48="","",IFERROR(VALUE(SUBSTITUTE(SUBSTITUTE(IF(H48="","",H48)&amp;"","$",""),",","")),0)/IF("No"="Yes",P48,1))</f>
        <v/>
      </c>
      <c r="S48" s="11">
        <f>IF(J48="","",O48+Q48-R48)</f>
        <v/>
      </c>
      <c r="T48">
        <f>IF(J48="","",IFERROR(IF(K48="",NA(),MATCH(K48,Products!$B$5:$B$204,0)),IFERROR(MATCH(J48,Products!$A$5:$A$204,0),"")))</f>
        <v/>
      </c>
      <c r="U48">
        <f>IF(J48="","",IF(T48="","⚠ not in Products",INDEX(Products!$A$5:$A$204,T48)))</f>
        <v/>
      </c>
      <c r="V48" s="11">
        <f>IF(J48="","",S48*(IFERROR(INDEX(Settings!$B$5:$B$9,MATCH($B48,Settings!$A$5:$A$9,0)),0)+IFERROR(INDEX(Settings!$E$5:$E$9,MATCH($B48,Settings!$A$5:$A$9,0)),0)+IFERROR(INDEX(Settings!$G$5:$G$9,MATCH($B48,Settings!$A$5:$A$9,0)),0))+(IFERROR(INDEX(Settings!$C$5:$C$9,MATCH($B48,Settings!$A$5:$A$9,0)),0)+IFERROR(INDEX(Settings!$F$5:$F$9,MATCH($B48,Settings!$A$5:$A$9,0)),0))/P48+IFERROR(INDEX(Settings!$D$5:$D$9,MATCH($B48,Settings!$A$5:$A$9,0)),0)*M48)</f>
        <v/>
      </c>
      <c r="W48" s="11">
        <f>IF(J48="","",IF(T48="",0,M48*INDEX(Products!$I$5:$I$204,T48)))</f>
        <v/>
      </c>
      <c r="X48" s="11">
        <f>IF(J48="","",IF(T48="",0,S48*INDEX(Products!$H$5:$H$204,T48)))</f>
        <v/>
      </c>
      <c r="Y48" s="11">
        <f>IF(J48="","",S48-V48-W48-X48)</f>
        <v/>
      </c>
    </row>
    <row r="49">
      <c r="A49" s="19" t="n"/>
      <c r="B49" s="19" t="n"/>
      <c r="C49" s="19" t="n"/>
      <c r="D49" s="19" t="n"/>
      <c r="E49" s="19" t="n"/>
      <c r="F49" s="20" t="n"/>
      <c r="G49" s="20" t="n"/>
      <c r="H49" s="20" t="n"/>
      <c r="I49" s="19" t="n"/>
      <c r="J49">
        <f>IFERROR(IF(C49="","",C49)&amp;"","")</f>
        <v/>
      </c>
      <c r="K49">
        <f>IFERROR(IF(D49="","",D49)&amp;"","")</f>
        <v/>
      </c>
      <c r="L49">
        <f>IFERROR(IF(I49="","",I49)&amp;"","")</f>
        <v/>
      </c>
      <c r="M49">
        <f>IF(J49="","",IFERROR(VALUE(SUBSTITUTE(SUBSTITUTE(IF(E49="","",E49)&amp;"","$",""),",","")),0))</f>
        <v/>
      </c>
      <c r="N49" s="11">
        <f>IF(J49="","",IFERROR(VALUE(SUBSTITUTE(SUBSTITUTE(IF(F49="","",F49)&amp;"","$",""),",","")),0))</f>
        <v/>
      </c>
      <c r="O49" s="11">
        <f>IF(J49="","",M49*N49)</f>
        <v/>
      </c>
      <c r="P49">
        <f>IF(J49="","",IF(L49="",1,COUNTIF($L$2:$L$1501,L49)))</f>
        <v/>
      </c>
      <c r="Q49" s="11">
        <f>IF(J49="","",IFERROR(VALUE(SUBSTITUTE(SUBSTITUTE(IF(G49="","",G49)&amp;"","$",""),",","")),0)/IF("No"="Yes",P49,1))</f>
        <v/>
      </c>
      <c r="R49" s="11">
        <f>IF(J49="","",IFERROR(VALUE(SUBSTITUTE(SUBSTITUTE(IF(H49="","",H49)&amp;"","$",""),",","")),0)/IF("No"="Yes",P49,1))</f>
        <v/>
      </c>
      <c r="S49" s="11">
        <f>IF(J49="","",O49+Q49-R49)</f>
        <v/>
      </c>
      <c r="T49">
        <f>IF(J49="","",IFERROR(IF(K49="",NA(),MATCH(K49,Products!$B$5:$B$204,0)),IFERROR(MATCH(J49,Products!$A$5:$A$204,0),"")))</f>
        <v/>
      </c>
      <c r="U49">
        <f>IF(J49="","",IF(T49="","⚠ not in Products",INDEX(Products!$A$5:$A$204,T49)))</f>
        <v/>
      </c>
      <c r="V49" s="11">
        <f>IF(J49="","",S49*(IFERROR(INDEX(Settings!$B$5:$B$9,MATCH($B49,Settings!$A$5:$A$9,0)),0)+IFERROR(INDEX(Settings!$E$5:$E$9,MATCH($B49,Settings!$A$5:$A$9,0)),0)+IFERROR(INDEX(Settings!$G$5:$G$9,MATCH($B49,Settings!$A$5:$A$9,0)),0))+(IFERROR(INDEX(Settings!$C$5:$C$9,MATCH($B49,Settings!$A$5:$A$9,0)),0)+IFERROR(INDEX(Settings!$F$5:$F$9,MATCH($B49,Settings!$A$5:$A$9,0)),0))/P49+IFERROR(INDEX(Settings!$D$5:$D$9,MATCH($B49,Settings!$A$5:$A$9,0)),0)*M49)</f>
        <v/>
      </c>
      <c r="W49" s="11">
        <f>IF(J49="","",IF(T49="",0,M49*INDEX(Products!$I$5:$I$204,T49)))</f>
        <v/>
      </c>
      <c r="X49" s="11">
        <f>IF(J49="","",IF(T49="",0,S49*INDEX(Products!$H$5:$H$204,T49)))</f>
        <v/>
      </c>
      <c r="Y49" s="11">
        <f>IF(J49="","",S49-V49-W49-X49)</f>
        <v/>
      </c>
    </row>
    <row r="50">
      <c r="A50" s="19" t="n"/>
      <c r="B50" s="19" t="n"/>
      <c r="C50" s="19" t="n"/>
      <c r="D50" s="19" t="n"/>
      <c r="E50" s="19" t="n"/>
      <c r="F50" s="20" t="n"/>
      <c r="G50" s="20" t="n"/>
      <c r="H50" s="20" t="n"/>
      <c r="I50" s="19" t="n"/>
      <c r="J50">
        <f>IFERROR(IF(C50="","",C50)&amp;"","")</f>
        <v/>
      </c>
      <c r="K50">
        <f>IFERROR(IF(D50="","",D50)&amp;"","")</f>
        <v/>
      </c>
      <c r="L50">
        <f>IFERROR(IF(I50="","",I50)&amp;"","")</f>
        <v/>
      </c>
      <c r="M50">
        <f>IF(J50="","",IFERROR(VALUE(SUBSTITUTE(SUBSTITUTE(IF(E50="","",E50)&amp;"","$",""),",","")),0))</f>
        <v/>
      </c>
      <c r="N50" s="11">
        <f>IF(J50="","",IFERROR(VALUE(SUBSTITUTE(SUBSTITUTE(IF(F50="","",F50)&amp;"","$",""),",","")),0))</f>
        <v/>
      </c>
      <c r="O50" s="11">
        <f>IF(J50="","",M50*N50)</f>
        <v/>
      </c>
      <c r="P50">
        <f>IF(J50="","",IF(L50="",1,COUNTIF($L$2:$L$1501,L50)))</f>
        <v/>
      </c>
      <c r="Q50" s="11">
        <f>IF(J50="","",IFERROR(VALUE(SUBSTITUTE(SUBSTITUTE(IF(G50="","",G50)&amp;"","$",""),",","")),0)/IF("No"="Yes",P50,1))</f>
        <v/>
      </c>
      <c r="R50" s="11">
        <f>IF(J50="","",IFERROR(VALUE(SUBSTITUTE(SUBSTITUTE(IF(H50="","",H50)&amp;"","$",""),",","")),0)/IF("No"="Yes",P50,1))</f>
        <v/>
      </c>
      <c r="S50" s="11">
        <f>IF(J50="","",O50+Q50-R50)</f>
        <v/>
      </c>
      <c r="T50">
        <f>IF(J50="","",IFERROR(IF(K50="",NA(),MATCH(K50,Products!$B$5:$B$204,0)),IFERROR(MATCH(J50,Products!$A$5:$A$204,0),"")))</f>
        <v/>
      </c>
      <c r="U50">
        <f>IF(J50="","",IF(T50="","⚠ not in Products",INDEX(Products!$A$5:$A$204,T50)))</f>
        <v/>
      </c>
      <c r="V50" s="11">
        <f>IF(J50="","",S50*(IFERROR(INDEX(Settings!$B$5:$B$9,MATCH($B50,Settings!$A$5:$A$9,0)),0)+IFERROR(INDEX(Settings!$E$5:$E$9,MATCH($B50,Settings!$A$5:$A$9,0)),0)+IFERROR(INDEX(Settings!$G$5:$G$9,MATCH($B50,Settings!$A$5:$A$9,0)),0))+(IFERROR(INDEX(Settings!$C$5:$C$9,MATCH($B50,Settings!$A$5:$A$9,0)),0)+IFERROR(INDEX(Settings!$F$5:$F$9,MATCH($B50,Settings!$A$5:$A$9,0)),0))/P50+IFERROR(INDEX(Settings!$D$5:$D$9,MATCH($B50,Settings!$A$5:$A$9,0)),0)*M50)</f>
        <v/>
      </c>
      <c r="W50" s="11">
        <f>IF(J50="","",IF(T50="",0,M50*INDEX(Products!$I$5:$I$204,T50)))</f>
        <v/>
      </c>
      <c r="X50" s="11">
        <f>IF(J50="","",IF(T50="",0,S50*INDEX(Products!$H$5:$H$204,T50)))</f>
        <v/>
      </c>
      <c r="Y50" s="11">
        <f>IF(J50="","",S50-V50-W50-X50)</f>
        <v/>
      </c>
    </row>
    <row r="51">
      <c r="A51" s="19" t="n"/>
      <c r="B51" s="19" t="n"/>
      <c r="C51" s="19" t="n"/>
      <c r="D51" s="19" t="n"/>
      <c r="E51" s="19" t="n"/>
      <c r="F51" s="20" t="n"/>
      <c r="G51" s="20" t="n"/>
      <c r="H51" s="20" t="n"/>
      <c r="I51" s="19" t="n"/>
      <c r="J51">
        <f>IFERROR(IF(C51="","",C51)&amp;"","")</f>
        <v/>
      </c>
      <c r="K51">
        <f>IFERROR(IF(D51="","",D51)&amp;"","")</f>
        <v/>
      </c>
      <c r="L51">
        <f>IFERROR(IF(I51="","",I51)&amp;"","")</f>
        <v/>
      </c>
      <c r="M51">
        <f>IF(J51="","",IFERROR(VALUE(SUBSTITUTE(SUBSTITUTE(IF(E51="","",E51)&amp;"","$",""),",","")),0))</f>
        <v/>
      </c>
      <c r="N51" s="11">
        <f>IF(J51="","",IFERROR(VALUE(SUBSTITUTE(SUBSTITUTE(IF(F51="","",F51)&amp;"","$",""),",","")),0))</f>
        <v/>
      </c>
      <c r="O51" s="11">
        <f>IF(J51="","",M51*N51)</f>
        <v/>
      </c>
      <c r="P51">
        <f>IF(J51="","",IF(L51="",1,COUNTIF($L$2:$L$1501,L51)))</f>
        <v/>
      </c>
      <c r="Q51" s="11">
        <f>IF(J51="","",IFERROR(VALUE(SUBSTITUTE(SUBSTITUTE(IF(G51="","",G51)&amp;"","$",""),",","")),0)/IF("No"="Yes",P51,1))</f>
        <v/>
      </c>
      <c r="R51" s="11">
        <f>IF(J51="","",IFERROR(VALUE(SUBSTITUTE(SUBSTITUTE(IF(H51="","",H51)&amp;"","$",""),",","")),0)/IF("No"="Yes",P51,1))</f>
        <v/>
      </c>
      <c r="S51" s="11">
        <f>IF(J51="","",O51+Q51-R51)</f>
        <v/>
      </c>
      <c r="T51">
        <f>IF(J51="","",IFERROR(IF(K51="",NA(),MATCH(K51,Products!$B$5:$B$204,0)),IFERROR(MATCH(J51,Products!$A$5:$A$204,0),"")))</f>
        <v/>
      </c>
      <c r="U51">
        <f>IF(J51="","",IF(T51="","⚠ not in Products",INDEX(Products!$A$5:$A$204,T51)))</f>
        <v/>
      </c>
      <c r="V51" s="11">
        <f>IF(J51="","",S51*(IFERROR(INDEX(Settings!$B$5:$B$9,MATCH($B51,Settings!$A$5:$A$9,0)),0)+IFERROR(INDEX(Settings!$E$5:$E$9,MATCH($B51,Settings!$A$5:$A$9,0)),0)+IFERROR(INDEX(Settings!$G$5:$G$9,MATCH($B51,Settings!$A$5:$A$9,0)),0))+(IFERROR(INDEX(Settings!$C$5:$C$9,MATCH($B51,Settings!$A$5:$A$9,0)),0)+IFERROR(INDEX(Settings!$F$5:$F$9,MATCH($B51,Settings!$A$5:$A$9,0)),0))/P51+IFERROR(INDEX(Settings!$D$5:$D$9,MATCH($B51,Settings!$A$5:$A$9,0)),0)*M51)</f>
        <v/>
      </c>
      <c r="W51" s="11">
        <f>IF(J51="","",IF(T51="",0,M51*INDEX(Products!$I$5:$I$204,T51)))</f>
        <v/>
      </c>
      <c r="X51" s="11">
        <f>IF(J51="","",IF(T51="",0,S51*INDEX(Products!$H$5:$H$204,T51)))</f>
        <v/>
      </c>
      <c r="Y51" s="11">
        <f>IF(J51="","",S51-V51-W51-X51)</f>
        <v/>
      </c>
    </row>
    <row r="52">
      <c r="A52" s="19" t="n"/>
      <c r="B52" s="19" t="n"/>
      <c r="C52" s="19" t="n"/>
      <c r="D52" s="19" t="n"/>
      <c r="E52" s="19" t="n"/>
      <c r="F52" s="20" t="n"/>
      <c r="G52" s="20" t="n"/>
      <c r="H52" s="20" t="n"/>
      <c r="I52" s="19" t="n"/>
      <c r="J52">
        <f>IFERROR(IF(C52="","",C52)&amp;"","")</f>
        <v/>
      </c>
      <c r="K52">
        <f>IFERROR(IF(D52="","",D52)&amp;"","")</f>
        <v/>
      </c>
      <c r="L52">
        <f>IFERROR(IF(I52="","",I52)&amp;"","")</f>
        <v/>
      </c>
      <c r="M52">
        <f>IF(J52="","",IFERROR(VALUE(SUBSTITUTE(SUBSTITUTE(IF(E52="","",E52)&amp;"","$",""),",","")),0))</f>
        <v/>
      </c>
      <c r="N52" s="11">
        <f>IF(J52="","",IFERROR(VALUE(SUBSTITUTE(SUBSTITUTE(IF(F52="","",F52)&amp;"","$",""),",","")),0))</f>
        <v/>
      </c>
      <c r="O52" s="11">
        <f>IF(J52="","",M52*N52)</f>
        <v/>
      </c>
      <c r="P52">
        <f>IF(J52="","",IF(L52="",1,COUNTIF($L$2:$L$1501,L52)))</f>
        <v/>
      </c>
      <c r="Q52" s="11">
        <f>IF(J52="","",IFERROR(VALUE(SUBSTITUTE(SUBSTITUTE(IF(G52="","",G52)&amp;"","$",""),",","")),0)/IF("No"="Yes",P52,1))</f>
        <v/>
      </c>
      <c r="R52" s="11">
        <f>IF(J52="","",IFERROR(VALUE(SUBSTITUTE(SUBSTITUTE(IF(H52="","",H52)&amp;"","$",""),",","")),0)/IF("No"="Yes",P52,1))</f>
        <v/>
      </c>
      <c r="S52" s="11">
        <f>IF(J52="","",O52+Q52-R52)</f>
        <v/>
      </c>
      <c r="T52">
        <f>IF(J52="","",IFERROR(IF(K52="",NA(),MATCH(K52,Products!$B$5:$B$204,0)),IFERROR(MATCH(J52,Products!$A$5:$A$204,0),"")))</f>
        <v/>
      </c>
      <c r="U52">
        <f>IF(J52="","",IF(T52="","⚠ not in Products",INDEX(Products!$A$5:$A$204,T52)))</f>
        <v/>
      </c>
      <c r="V52" s="11">
        <f>IF(J52="","",S52*(IFERROR(INDEX(Settings!$B$5:$B$9,MATCH($B52,Settings!$A$5:$A$9,0)),0)+IFERROR(INDEX(Settings!$E$5:$E$9,MATCH($B52,Settings!$A$5:$A$9,0)),0)+IFERROR(INDEX(Settings!$G$5:$G$9,MATCH($B52,Settings!$A$5:$A$9,0)),0))+(IFERROR(INDEX(Settings!$C$5:$C$9,MATCH($B52,Settings!$A$5:$A$9,0)),0)+IFERROR(INDEX(Settings!$F$5:$F$9,MATCH($B52,Settings!$A$5:$A$9,0)),0))/P52+IFERROR(INDEX(Settings!$D$5:$D$9,MATCH($B52,Settings!$A$5:$A$9,0)),0)*M52)</f>
        <v/>
      </c>
      <c r="W52" s="11">
        <f>IF(J52="","",IF(T52="",0,M52*INDEX(Products!$I$5:$I$204,T52)))</f>
        <v/>
      </c>
      <c r="X52" s="11">
        <f>IF(J52="","",IF(T52="",0,S52*INDEX(Products!$H$5:$H$204,T52)))</f>
        <v/>
      </c>
      <c r="Y52" s="11">
        <f>IF(J52="","",S52-V52-W52-X52)</f>
        <v/>
      </c>
    </row>
    <row r="53">
      <c r="A53" s="19" t="n"/>
      <c r="B53" s="19" t="n"/>
      <c r="C53" s="19" t="n"/>
      <c r="D53" s="19" t="n"/>
      <c r="E53" s="19" t="n"/>
      <c r="F53" s="20" t="n"/>
      <c r="G53" s="20" t="n"/>
      <c r="H53" s="20" t="n"/>
      <c r="I53" s="19" t="n"/>
      <c r="J53">
        <f>IFERROR(IF(C53="","",C53)&amp;"","")</f>
        <v/>
      </c>
      <c r="K53">
        <f>IFERROR(IF(D53="","",D53)&amp;"","")</f>
        <v/>
      </c>
      <c r="L53">
        <f>IFERROR(IF(I53="","",I53)&amp;"","")</f>
        <v/>
      </c>
      <c r="M53">
        <f>IF(J53="","",IFERROR(VALUE(SUBSTITUTE(SUBSTITUTE(IF(E53="","",E53)&amp;"","$",""),",","")),0))</f>
        <v/>
      </c>
      <c r="N53" s="11">
        <f>IF(J53="","",IFERROR(VALUE(SUBSTITUTE(SUBSTITUTE(IF(F53="","",F53)&amp;"","$",""),",","")),0))</f>
        <v/>
      </c>
      <c r="O53" s="11">
        <f>IF(J53="","",M53*N53)</f>
        <v/>
      </c>
      <c r="P53">
        <f>IF(J53="","",IF(L53="",1,COUNTIF($L$2:$L$1501,L53)))</f>
        <v/>
      </c>
      <c r="Q53" s="11">
        <f>IF(J53="","",IFERROR(VALUE(SUBSTITUTE(SUBSTITUTE(IF(G53="","",G53)&amp;"","$",""),",","")),0)/IF("No"="Yes",P53,1))</f>
        <v/>
      </c>
      <c r="R53" s="11">
        <f>IF(J53="","",IFERROR(VALUE(SUBSTITUTE(SUBSTITUTE(IF(H53="","",H53)&amp;"","$",""),",","")),0)/IF("No"="Yes",P53,1))</f>
        <v/>
      </c>
      <c r="S53" s="11">
        <f>IF(J53="","",O53+Q53-R53)</f>
        <v/>
      </c>
      <c r="T53">
        <f>IF(J53="","",IFERROR(IF(K53="",NA(),MATCH(K53,Products!$B$5:$B$204,0)),IFERROR(MATCH(J53,Products!$A$5:$A$204,0),"")))</f>
        <v/>
      </c>
      <c r="U53">
        <f>IF(J53="","",IF(T53="","⚠ not in Products",INDEX(Products!$A$5:$A$204,T53)))</f>
        <v/>
      </c>
      <c r="V53" s="11">
        <f>IF(J53="","",S53*(IFERROR(INDEX(Settings!$B$5:$B$9,MATCH($B53,Settings!$A$5:$A$9,0)),0)+IFERROR(INDEX(Settings!$E$5:$E$9,MATCH($B53,Settings!$A$5:$A$9,0)),0)+IFERROR(INDEX(Settings!$G$5:$G$9,MATCH($B53,Settings!$A$5:$A$9,0)),0))+(IFERROR(INDEX(Settings!$C$5:$C$9,MATCH($B53,Settings!$A$5:$A$9,0)),0)+IFERROR(INDEX(Settings!$F$5:$F$9,MATCH($B53,Settings!$A$5:$A$9,0)),0))/P53+IFERROR(INDEX(Settings!$D$5:$D$9,MATCH($B53,Settings!$A$5:$A$9,0)),0)*M53)</f>
        <v/>
      </c>
      <c r="W53" s="11">
        <f>IF(J53="","",IF(T53="",0,M53*INDEX(Products!$I$5:$I$204,T53)))</f>
        <v/>
      </c>
      <c r="X53" s="11">
        <f>IF(J53="","",IF(T53="",0,S53*INDEX(Products!$H$5:$H$204,T53)))</f>
        <v/>
      </c>
      <c r="Y53" s="11">
        <f>IF(J53="","",S53-V53-W53-X53)</f>
        <v/>
      </c>
    </row>
    <row r="54">
      <c r="A54" s="19" t="n"/>
      <c r="B54" s="19" t="n"/>
      <c r="C54" s="19" t="n"/>
      <c r="D54" s="19" t="n"/>
      <c r="E54" s="19" t="n"/>
      <c r="F54" s="20" t="n"/>
      <c r="G54" s="20" t="n"/>
      <c r="H54" s="20" t="n"/>
      <c r="I54" s="19" t="n"/>
      <c r="J54">
        <f>IFERROR(IF(C54="","",C54)&amp;"","")</f>
        <v/>
      </c>
      <c r="K54">
        <f>IFERROR(IF(D54="","",D54)&amp;"","")</f>
        <v/>
      </c>
      <c r="L54">
        <f>IFERROR(IF(I54="","",I54)&amp;"","")</f>
        <v/>
      </c>
      <c r="M54">
        <f>IF(J54="","",IFERROR(VALUE(SUBSTITUTE(SUBSTITUTE(IF(E54="","",E54)&amp;"","$",""),",","")),0))</f>
        <v/>
      </c>
      <c r="N54" s="11">
        <f>IF(J54="","",IFERROR(VALUE(SUBSTITUTE(SUBSTITUTE(IF(F54="","",F54)&amp;"","$",""),",","")),0))</f>
        <v/>
      </c>
      <c r="O54" s="11">
        <f>IF(J54="","",M54*N54)</f>
        <v/>
      </c>
      <c r="P54">
        <f>IF(J54="","",IF(L54="",1,COUNTIF($L$2:$L$1501,L54)))</f>
        <v/>
      </c>
      <c r="Q54" s="11">
        <f>IF(J54="","",IFERROR(VALUE(SUBSTITUTE(SUBSTITUTE(IF(G54="","",G54)&amp;"","$",""),",","")),0)/IF("No"="Yes",P54,1))</f>
        <v/>
      </c>
      <c r="R54" s="11">
        <f>IF(J54="","",IFERROR(VALUE(SUBSTITUTE(SUBSTITUTE(IF(H54="","",H54)&amp;"","$",""),",","")),0)/IF("No"="Yes",P54,1))</f>
        <v/>
      </c>
      <c r="S54" s="11">
        <f>IF(J54="","",O54+Q54-R54)</f>
        <v/>
      </c>
      <c r="T54">
        <f>IF(J54="","",IFERROR(IF(K54="",NA(),MATCH(K54,Products!$B$5:$B$204,0)),IFERROR(MATCH(J54,Products!$A$5:$A$204,0),"")))</f>
        <v/>
      </c>
      <c r="U54">
        <f>IF(J54="","",IF(T54="","⚠ not in Products",INDEX(Products!$A$5:$A$204,T54)))</f>
        <v/>
      </c>
      <c r="V54" s="11">
        <f>IF(J54="","",S54*(IFERROR(INDEX(Settings!$B$5:$B$9,MATCH($B54,Settings!$A$5:$A$9,0)),0)+IFERROR(INDEX(Settings!$E$5:$E$9,MATCH($B54,Settings!$A$5:$A$9,0)),0)+IFERROR(INDEX(Settings!$G$5:$G$9,MATCH($B54,Settings!$A$5:$A$9,0)),0))+(IFERROR(INDEX(Settings!$C$5:$C$9,MATCH($B54,Settings!$A$5:$A$9,0)),0)+IFERROR(INDEX(Settings!$F$5:$F$9,MATCH($B54,Settings!$A$5:$A$9,0)),0))/P54+IFERROR(INDEX(Settings!$D$5:$D$9,MATCH($B54,Settings!$A$5:$A$9,0)),0)*M54)</f>
        <v/>
      </c>
      <c r="W54" s="11">
        <f>IF(J54="","",IF(T54="",0,M54*INDEX(Products!$I$5:$I$204,T54)))</f>
        <v/>
      </c>
      <c r="X54" s="11">
        <f>IF(J54="","",IF(T54="",0,S54*INDEX(Products!$H$5:$H$204,T54)))</f>
        <v/>
      </c>
      <c r="Y54" s="11">
        <f>IF(J54="","",S54-V54-W54-X54)</f>
        <v/>
      </c>
    </row>
    <row r="55">
      <c r="A55" s="19" t="n"/>
      <c r="B55" s="19" t="n"/>
      <c r="C55" s="19" t="n"/>
      <c r="D55" s="19" t="n"/>
      <c r="E55" s="19" t="n"/>
      <c r="F55" s="20" t="n"/>
      <c r="G55" s="20" t="n"/>
      <c r="H55" s="20" t="n"/>
      <c r="I55" s="19" t="n"/>
      <c r="J55">
        <f>IFERROR(IF(C55="","",C55)&amp;"","")</f>
        <v/>
      </c>
      <c r="K55">
        <f>IFERROR(IF(D55="","",D55)&amp;"","")</f>
        <v/>
      </c>
      <c r="L55">
        <f>IFERROR(IF(I55="","",I55)&amp;"","")</f>
        <v/>
      </c>
      <c r="M55">
        <f>IF(J55="","",IFERROR(VALUE(SUBSTITUTE(SUBSTITUTE(IF(E55="","",E55)&amp;"","$",""),",","")),0))</f>
        <v/>
      </c>
      <c r="N55" s="11">
        <f>IF(J55="","",IFERROR(VALUE(SUBSTITUTE(SUBSTITUTE(IF(F55="","",F55)&amp;"","$",""),",","")),0))</f>
        <v/>
      </c>
      <c r="O55" s="11">
        <f>IF(J55="","",M55*N55)</f>
        <v/>
      </c>
      <c r="P55">
        <f>IF(J55="","",IF(L55="",1,COUNTIF($L$2:$L$1501,L55)))</f>
        <v/>
      </c>
      <c r="Q55" s="11">
        <f>IF(J55="","",IFERROR(VALUE(SUBSTITUTE(SUBSTITUTE(IF(G55="","",G55)&amp;"","$",""),",","")),0)/IF("No"="Yes",P55,1))</f>
        <v/>
      </c>
      <c r="R55" s="11">
        <f>IF(J55="","",IFERROR(VALUE(SUBSTITUTE(SUBSTITUTE(IF(H55="","",H55)&amp;"","$",""),",","")),0)/IF("No"="Yes",P55,1))</f>
        <v/>
      </c>
      <c r="S55" s="11">
        <f>IF(J55="","",O55+Q55-R55)</f>
        <v/>
      </c>
      <c r="T55">
        <f>IF(J55="","",IFERROR(IF(K55="",NA(),MATCH(K55,Products!$B$5:$B$204,0)),IFERROR(MATCH(J55,Products!$A$5:$A$204,0),"")))</f>
        <v/>
      </c>
      <c r="U55">
        <f>IF(J55="","",IF(T55="","⚠ not in Products",INDEX(Products!$A$5:$A$204,T55)))</f>
        <v/>
      </c>
      <c r="V55" s="11">
        <f>IF(J55="","",S55*(IFERROR(INDEX(Settings!$B$5:$B$9,MATCH($B55,Settings!$A$5:$A$9,0)),0)+IFERROR(INDEX(Settings!$E$5:$E$9,MATCH($B55,Settings!$A$5:$A$9,0)),0)+IFERROR(INDEX(Settings!$G$5:$G$9,MATCH($B55,Settings!$A$5:$A$9,0)),0))+(IFERROR(INDEX(Settings!$C$5:$C$9,MATCH($B55,Settings!$A$5:$A$9,0)),0)+IFERROR(INDEX(Settings!$F$5:$F$9,MATCH($B55,Settings!$A$5:$A$9,0)),0))/P55+IFERROR(INDEX(Settings!$D$5:$D$9,MATCH($B55,Settings!$A$5:$A$9,0)),0)*M55)</f>
        <v/>
      </c>
      <c r="W55" s="11">
        <f>IF(J55="","",IF(T55="",0,M55*INDEX(Products!$I$5:$I$204,T55)))</f>
        <v/>
      </c>
      <c r="X55" s="11">
        <f>IF(J55="","",IF(T55="",0,S55*INDEX(Products!$H$5:$H$204,T55)))</f>
        <v/>
      </c>
      <c r="Y55" s="11">
        <f>IF(J55="","",S55-V55-W55-X55)</f>
        <v/>
      </c>
    </row>
    <row r="56">
      <c r="A56" s="19" t="n"/>
      <c r="B56" s="19" t="n"/>
      <c r="C56" s="19" t="n"/>
      <c r="D56" s="19" t="n"/>
      <c r="E56" s="19" t="n"/>
      <c r="F56" s="20" t="n"/>
      <c r="G56" s="20" t="n"/>
      <c r="H56" s="20" t="n"/>
      <c r="I56" s="19" t="n"/>
      <c r="J56">
        <f>IFERROR(IF(C56="","",C56)&amp;"","")</f>
        <v/>
      </c>
      <c r="K56">
        <f>IFERROR(IF(D56="","",D56)&amp;"","")</f>
        <v/>
      </c>
      <c r="L56">
        <f>IFERROR(IF(I56="","",I56)&amp;"","")</f>
        <v/>
      </c>
      <c r="M56">
        <f>IF(J56="","",IFERROR(VALUE(SUBSTITUTE(SUBSTITUTE(IF(E56="","",E56)&amp;"","$",""),",","")),0))</f>
        <v/>
      </c>
      <c r="N56" s="11">
        <f>IF(J56="","",IFERROR(VALUE(SUBSTITUTE(SUBSTITUTE(IF(F56="","",F56)&amp;"","$",""),",","")),0))</f>
        <v/>
      </c>
      <c r="O56" s="11">
        <f>IF(J56="","",M56*N56)</f>
        <v/>
      </c>
      <c r="P56">
        <f>IF(J56="","",IF(L56="",1,COUNTIF($L$2:$L$1501,L56)))</f>
        <v/>
      </c>
      <c r="Q56" s="11">
        <f>IF(J56="","",IFERROR(VALUE(SUBSTITUTE(SUBSTITUTE(IF(G56="","",G56)&amp;"","$",""),",","")),0)/IF("No"="Yes",P56,1))</f>
        <v/>
      </c>
      <c r="R56" s="11">
        <f>IF(J56="","",IFERROR(VALUE(SUBSTITUTE(SUBSTITUTE(IF(H56="","",H56)&amp;"","$",""),",","")),0)/IF("No"="Yes",P56,1))</f>
        <v/>
      </c>
      <c r="S56" s="11">
        <f>IF(J56="","",O56+Q56-R56)</f>
        <v/>
      </c>
      <c r="T56">
        <f>IF(J56="","",IFERROR(IF(K56="",NA(),MATCH(K56,Products!$B$5:$B$204,0)),IFERROR(MATCH(J56,Products!$A$5:$A$204,0),"")))</f>
        <v/>
      </c>
      <c r="U56">
        <f>IF(J56="","",IF(T56="","⚠ not in Products",INDEX(Products!$A$5:$A$204,T56)))</f>
        <v/>
      </c>
      <c r="V56" s="11">
        <f>IF(J56="","",S56*(IFERROR(INDEX(Settings!$B$5:$B$9,MATCH($B56,Settings!$A$5:$A$9,0)),0)+IFERROR(INDEX(Settings!$E$5:$E$9,MATCH($B56,Settings!$A$5:$A$9,0)),0)+IFERROR(INDEX(Settings!$G$5:$G$9,MATCH($B56,Settings!$A$5:$A$9,0)),0))+(IFERROR(INDEX(Settings!$C$5:$C$9,MATCH($B56,Settings!$A$5:$A$9,0)),0)+IFERROR(INDEX(Settings!$F$5:$F$9,MATCH($B56,Settings!$A$5:$A$9,0)),0))/P56+IFERROR(INDEX(Settings!$D$5:$D$9,MATCH($B56,Settings!$A$5:$A$9,0)),0)*M56)</f>
        <v/>
      </c>
      <c r="W56" s="11">
        <f>IF(J56="","",IF(T56="",0,M56*INDEX(Products!$I$5:$I$204,T56)))</f>
        <v/>
      </c>
      <c r="X56" s="11">
        <f>IF(J56="","",IF(T56="",0,S56*INDEX(Products!$H$5:$H$204,T56)))</f>
        <v/>
      </c>
      <c r="Y56" s="11">
        <f>IF(J56="","",S56-V56-W56-X56)</f>
        <v/>
      </c>
    </row>
    <row r="57">
      <c r="A57" s="19" t="n"/>
      <c r="B57" s="19" t="n"/>
      <c r="C57" s="19" t="n"/>
      <c r="D57" s="19" t="n"/>
      <c r="E57" s="19" t="n"/>
      <c r="F57" s="20" t="n"/>
      <c r="G57" s="20" t="n"/>
      <c r="H57" s="20" t="n"/>
      <c r="I57" s="19" t="n"/>
      <c r="J57">
        <f>IFERROR(IF(C57="","",C57)&amp;"","")</f>
        <v/>
      </c>
      <c r="K57">
        <f>IFERROR(IF(D57="","",D57)&amp;"","")</f>
        <v/>
      </c>
      <c r="L57">
        <f>IFERROR(IF(I57="","",I57)&amp;"","")</f>
        <v/>
      </c>
      <c r="M57">
        <f>IF(J57="","",IFERROR(VALUE(SUBSTITUTE(SUBSTITUTE(IF(E57="","",E57)&amp;"","$",""),",","")),0))</f>
        <v/>
      </c>
      <c r="N57" s="11">
        <f>IF(J57="","",IFERROR(VALUE(SUBSTITUTE(SUBSTITUTE(IF(F57="","",F57)&amp;"","$",""),",","")),0))</f>
        <v/>
      </c>
      <c r="O57" s="11">
        <f>IF(J57="","",M57*N57)</f>
        <v/>
      </c>
      <c r="P57">
        <f>IF(J57="","",IF(L57="",1,COUNTIF($L$2:$L$1501,L57)))</f>
        <v/>
      </c>
      <c r="Q57" s="11">
        <f>IF(J57="","",IFERROR(VALUE(SUBSTITUTE(SUBSTITUTE(IF(G57="","",G57)&amp;"","$",""),",","")),0)/IF("No"="Yes",P57,1))</f>
        <v/>
      </c>
      <c r="R57" s="11">
        <f>IF(J57="","",IFERROR(VALUE(SUBSTITUTE(SUBSTITUTE(IF(H57="","",H57)&amp;"","$",""),",","")),0)/IF("No"="Yes",P57,1))</f>
        <v/>
      </c>
      <c r="S57" s="11">
        <f>IF(J57="","",O57+Q57-R57)</f>
        <v/>
      </c>
      <c r="T57">
        <f>IF(J57="","",IFERROR(IF(K57="",NA(),MATCH(K57,Products!$B$5:$B$204,0)),IFERROR(MATCH(J57,Products!$A$5:$A$204,0),"")))</f>
        <v/>
      </c>
      <c r="U57">
        <f>IF(J57="","",IF(T57="","⚠ not in Products",INDEX(Products!$A$5:$A$204,T57)))</f>
        <v/>
      </c>
      <c r="V57" s="11">
        <f>IF(J57="","",S57*(IFERROR(INDEX(Settings!$B$5:$B$9,MATCH($B57,Settings!$A$5:$A$9,0)),0)+IFERROR(INDEX(Settings!$E$5:$E$9,MATCH($B57,Settings!$A$5:$A$9,0)),0)+IFERROR(INDEX(Settings!$G$5:$G$9,MATCH($B57,Settings!$A$5:$A$9,0)),0))+(IFERROR(INDEX(Settings!$C$5:$C$9,MATCH($B57,Settings!$A$5:$A$9,0)),0)+IFERROR(INDEX(Settings!$F$5:$F$9,MATCH($B57,Settings!$A$5:$A$9,0)),0))/P57+IFERROR(INDEX(Settings!$D$5:$D$9,MATCH($B57,Settings!$A$5:$A$9,0)),0)*M57)</f>
        <v/>
      </c>
      <c r="W57" s="11">
        <f>IF(J57="","",IF(T57="",0,M57*INDEX(Products!$I$5:$I$204,T57)))</f>
        <v/>
      </c>
      <c r="X57" s="11">
        <f>IF(J57="","",IF(T57="",0,S57*INDEX(Products!$H$5:$H$204,T57)))</f>
        <v/>
      </c>
      <c r="Y57" s="11">
        <f>IF(J57="","",S57-V57-W57-X57)</f>
        <v/>
      </c>
    </row>
    <row r="58">
      <c r="A58" s="19" t="n"/>
      <c r="B58" s="19" t="n"/>
      <c r="C58" s="19" t="n"/>
      <c r="D58" s="19" t="n"/>
      <c r="E58" s="19" t="n"/>
      <c r="F58" s="20" t="n"/>
      <c r="G58" s="20" t="n"/>
      <c r="H58" s="20" t="n"/>
      <c r="I58" s="19" t="n"/>
      <c r="J58">
        <f>IFERROR(IF(C58="","",C58)&amp;"","")</f>
        <v/>
      </c>
      <c r="K58">
        <f>IFERROR(IF(D58="","",D58)&amp;"","")</f>
        <v/>
      </c>
      <c r="L58">
        <f>IFERROR(IF(I58="","",I58)&amp;"","")</f>
        <v/>
      </c>
      <c r="M58">
        <f>IF(J58="","",IFERROR(VALUE(SUBSTITUTE(SUBSTITUTE(IF(E58="","",E58)&amp;"","$",""),",","")),0))</f>
        <v/>
      </c>
      <c r="N58" s="11">
        <f>IF(J58="","",IFERROR(VALUE(SUBSTITUTE(SUBSTITUTE(IF(F58="","",F58)&amp;"","$",""),",","")),0))</f>
        <v/>
      </c>
      <c r="O58" s="11">
        <f>IF(J58="","",M58*N58)</f>
        <v/>
      </c>
      <c r="P58">
        <f>IF(J58="","",IF(L58="",1,COUNTIF($L$2:$L$1501,L58)))</f>
        <v/>
      </c>
      <c r="Q58" s="11">
        <f>IF(J58="","",IFERROR(VALUE(SUBSTITUTE(SUBSTITUTE(IF(G58="","",G58)&amp;"","$",""),",","")),0)/IF("No"="Yes",P58,1))</f>
        <v/>
      </c>
      <c r="R58" s="11">
        <f>IF(J58="","",IFERROR(VALUE(SUBSTITUTE(SUBSTITUTE(IF(H58="","",H58)&amp;"","$",""),",","")),0)/IF("No"="Yes",P58,1))</f>
        <v/>
      </c>
      <c r="S58" s="11">
        <f>IF(J58="","",O58+Q58-R58)</f>
        <v/>
      </c>
      <c r="T58">
        <f>IF(J58="","",IFERROR(IF(K58="",NA(),MATCH(K58,Products!$B$5:$B$204,0)),IFERROR(MATCH(J58,Products!$A$5:$A$204,0),"")))</f>
        <v/>
      </c>
      <c r="U58">
        <f>IF(J58="","",IF(T58="","⚠ not in Products",INDEX(Products!$A$5:$A$204,T58)))</f>
        <v/>
      </c>
      <c r="V58" s="11">
        <f>IF(J58="","",S58*(IFERROR(INDEX(Settings!$B$5:$B$9,MATCH($B58,Settings!$A$5:$A$9,0)),0)+IFERROR(INDEX(Settings!$E$5:$E$9,MATCH($B58,Settings!$A$5:$A$9,0)),0)+IFERROR(INDEX(Settings!$G$5:$G$9,MATCH($B58,Settings!$A$5:$A$9,0)),0))+(IFERROR(INDEX(Settings!$C$5:$C$9,MATCH($B58,Settings!$A$5:$A$9,0)),0)+IFERROR(INDEX(Settings!$F$5:$F$9,MATCH($B58,Settings!$A$5:$A$9,0)),0))/P58+IFERROR(INDEX(Settings!$D$5:$D$9,MATCH($B58,Settings!$A$5:$A$9,0)),0)*M58)</f>
        <v/>
      </c>
      <c r="W58" s="11">
        <f>IF(J58="","",IF(T58="",0,M58*INDEX(Products!$I$5:$I$204,T58)))</f>
        <v/>
      </c>
      <c r="X58" s="11">
        <f>IF(J58="","",IF(T58="",0,S58*INDEX(Products!$H$5:$H$204,T58)))</f>
        <v/>
      </c>
      <c r="Y58" s="11">
        <f>IF(J58="","",S58-V58-W58-X58)</f>
        <v/>
      </c>
    </row>
    <row r="59">
      <c r="A59" s="19" t="n"/>
      <c r="B59" s="19" t="n"/>
      <c r="C59" s="19" t="n"/>
      <c r="D59" s="19" t="n"/>
      <c r="E59" s="19" t="n"/>
      <c r="F59" s="20" t="n"/>
      <c r="G59" s="20" t="n"/>
      <c r="H59" s="20" t="n"/>
      <c r="I59" s="19" t="n"/>
      <c r="J59">
        <f>IFERROR(IF(C59="","",C59)&amp;"","")</f>
        <v/>
      </c>
      <c r="K59">
        <f>IFERROR(IF(D59="","",D59)&amp;"","")</f>
        <v/>
      </c>
      <c r="L59">
        <f>IFERROR(IF(I59="","",I59)&amp;"","")</f>
        <v/>
      </c>
      <c r="M59">
        <f>IF(J59="","",IFERROR(VALUE(SUBSTITUTE(SUBSTITUTE(IF(E59="","",E59)&amp;"","$",""),",","")),0))</f>
        <v/>
      </c>
      <c r="N59" s="11">
        <f>IF(J59="","",IFERROR(VALUE(SUBSTITUTE(SUBSTITUTE(IF(F59="","",F59)&amp;"","$",""),",","")),0))</f>
        <v/>
      </c>
      <c r="O59" s="11">
        <f>IF(J59="","",M59*N59)</f>
        <v/>
      </c>
      <c r="P59">
        <f>IF(J59="","",IF(L59="",1,COUNTIF($L$2:$L$1501,L59)))</f>
        <v/>
      </c>
      <c r="Q59" s="11">
        <f>IF(J59="","",IFERROR(VALUE(SUBSTITUTE(SUBSTITUTE(IF(G59="","",G59)&amp;"","$",""),",","")),0)/IF("No"="Yes",P59,1))</f>
        <v/>
      </c>
      <c r="R59" s="11">
        <f>IF(J59="","",IFERROR(VALUE(SUBSTITUTE(SUBSTITUTE(IF(H59="","",H59)&amp;"","$",""),",","")),0)/IF("No"="Yes",P59,1))</f>
        <v/>
      </c>
      <c r="S59" s="11">
        <f>IF(J59="","",O59+Q59-R59)</f>
        <v/>
      </c>
      <c r="T59">
        <f>IF(J59="","",IFERROR(IF(K59="",NA(),MATCH(K59,Products!$B$5:$B$204,0)),IFERROR(MATCH(J59,Products!$A$5:$A$204,0),"")))</f>
        <v/>
      </c>
      <c r="U59">
        <f>IF(J59="","",IF(T59="","⚠ not in Products",INDEX(Products!$A$5:$A$204,T59)))</f>
        <v/>
      </c>
      <c r="V59" s="11">
        <f>IF(J59="","",S59*(IFERROR(INDEX(Settings!$B$5:$B$9,MATCH($B59,Settings!$A$5:$A$9,0)),0)+IFERROR(INDEX(Settings!$E$5:$E$9,MATCH($B59,Settings!$A$5:$A$9,0)),0)+IFERROR(INDEX(Settings!$G$5:$G$9,MATCH($B59,Settings!$A$5:$A$9,0)),0))+(IFERROR(INDEX(Settings!$C$5:$C$9,MATCH($B59,Settings!$A$5:$A$9,0)),0)+IFERROR(INDEX(Settings!$F$5:$F$9,MATCH($B59,Settings!$A$5:$A$9,0)),0))/P59+IFERROR(INDEX(Settings!$D$5:$D$9,MATCH($B59,Settings!$A$5:$A$9,0)),0)*M59)</f>
        <v/>
      </c>
      <c r="W59" s="11">
        <f>IF(J59="","",IF(T59="",0,M59*INDEX(Products!$I$5:$I$204,T59)))</f>
        <v/>
      </c>
      <c r="X59" s="11">
        <f>IF(J59="","",IF(T59="",0,S59*INDEX(Products!$H$5:$H$204,T59)))</f>
        <v/>
      </c>
      <c r="Y59" s="11">
        <f>IF(J59="","",S59-V59-W59-X59)</f>
        <v/>
      </c>
    </row>
    <row r="60">
      <c r="A60" s="19" t="n"/>
      <c r="B60" s="19" t="n"/>
      <c r="C60" s="19" t="n"/>
      <c r="D60" s="19" t="n"/>
      <c r="E60" s="19" t="n"/>
      <c r="F60" s="20" t="n"/>
      <c r="G60" s="20" t="n"/>
      <c r="H60" s="20" t="n"/>
      <c r="I60" s="19" t="n"/>
      <c r="J60">
        <f>IFERROR(IF(C60="","",C60)&amp;"","")</f>
        <v/>
      </c>
      <c r="K60">
        <f>IFERROR(IF(D60="","",D60)&amp;"","")</f>
        <v/>
      </c>
      <c r="L60">
        <f>IFERROR(IF(I60="","",I60)&amp;"","")</f>
        <v/>
      </c>
      <c r="M60">
        <f>IF(J60="","",IFERROR(VALUE(SUBSTITUTE(SUBSTITUTE(IF(E60="","",E60)&amp;"","$",""),",","")),0))</f>
        <v/>
      </c>
      <c r="N60" s="11">
        <f>IF(J60="","",IFERROR(VALUE(SUBSTITUTE(SUBSTITUTE(IF(F60="","",F60)&amp;"","$",""),",","")),0))</f>
        <v/>
      </c>
      <c r="O60" s="11">
        <f>IF(J60="","",M60*N60)</f>
        <v/>
      </c>
      <c r="P60">
        <f>IF(J60="","",IF(L60="",1,COUNTIF($L$2:$L$1501,L60)))</f>
        <v/>
      </c>
      <c r="Q60" s="11">
        <f>IF(J60="","",IFERROR(VALUE(SUBSTITUTE(SUBSTITUTE(IF(G60="","",G60)&amp;"","$",""),",","")),0)/IF("No"="Yes",P60,1))</f>
        <v/>
      </c>
      <c r="R60" s="11">
        <f>IF(J60="","",IFERROR(VALUE(SUBSTITUTE(SUBSTITUTE(IF(H60="","",H60)&amp;"","$",""),",","")),0)/IF("No"="Yes",P60,1))</f>
        <v/>
      </c>
      <c r="S60" s="11">
        <f>IF(J60="","",O60+Q60-R60)</f>
        <v/>
      </c>
      <c r="T60">
        <f>IF(J60="","",IFERROR(IF(K60="",NA(),MATCH(K60,Products!$B$5:$B$204,0)),IFERROR(MATCH(J60,Products!$A$5:$A$204,0),"")))</f>
        <v/>
      </c>
      <c r="U60">
        <f>IF(J60="","",IF(T60="","⚠ not in Products",INDEX(Products!$A$5:$A$204,T60)))</f>
        <v/>
      </c>
      <c r="V60" s="11">
        <f>IF(J60="","",S60*(IFERROR(INDEX(Settings!$B$5:$B$9,MATCH($B60,Settings!$A$5:$A$9,0)),0)+IFERROR(INDEX(Settings!$E$5:$E$9,MATCH($B60,Settings!$A$5:$A$9,0)),0)+IFERROR(INDEX(Settings!$G$5:$G$9,MATCH($B60,Settings!$A$5:$A$9,0)),0))+(IFERROR(INDEX(Settings!$C$5:$C$9,MATCH($B60,Settings!$A$5:$A$9,0)),0)+IFERROR(INDEX(Settings!$F$5:$F$9,MATCH($B60,Settings!$A$5:$A$9,0)),0))/P60+IFERROR(INDEX(Settings!$D$5:$D$9,MATCH($B60,Settings!$A$5:$A$9,0)),0)*M60)</f>
        <v/>
      </c>
      <c r="W60" s="11">
        <f>IF(J60="","",IF(T60="",0,M60*INDEX(Products!$I$5:$I$204,T60)))</f>
        <v/>
      </c>
      <c r="X60" s="11">
        <f>IF(J60="","",IF(T60="",0,S60*INDEX(Products!$H$5:$H$204,T60)))</f>
        <v/>
      </c>
      <c r="Y60" s="11">
        <f>IF(J60="","",S60-V60-W60-X60)</f>
        <v/>
      </c>
    </row>
    <row r="61">
      <c r="A61" s="19" t="n"/>
      <c r="B61" s="19" t="n"/>
      <c r="C61" s="19" t="n"/>
      <c r="D61" s="19" t="n"/>
      <c r="E61" s="19" t="n"/>
      <c r="F61" s="20" t="n"/>
      <c r="G61" s="20" t="n"/>
      <c r="H61" s="20" t="n"/>
      <c r="I61" s="19" t="n"/>
      <c r="J61">
        <f>IFERROR(IF(C61="","",C61)&amp;"","")</f>
        <v/>
      </c>
      <c r="K61">
        <f>IFERROR(IF(D61="","",D61)&amp;"","")</f>
        <v/>
      </c>
      <c r="L61">
        <f>IFERROR(IF(I61="","",I61)&amp;"","")</f>
        <v/>
      </c>
      <c r="M61">
        <f>IF(J61="","",IFERROR(VALUE(SUBSTITUTE(SUBSTITUTE(IF(E61="","",E61)&amp;"","$",""),",","")),0))</f>
        <v/>
      </c>
      <c r="N61" s="11">
        <f>IF(J61="","",IFERROR(VALUE(SUBSTITUTE(SUBSTITUTE(IF(F61="","",F61)&amp;"","$",""),",","")),0))</f>
        <v/>
      </c>
      <c r="O61" s="11">
        <f>IF(J61="","",M61*N61)</f>
        <v/>
      </c>
      <c r="P61">
        <f>IF(J61="","",IF(L61="",1,COUNTIF($L$2:$L$1501,L61)))</f>
        <v/>
      </c>
      <c r="Q61" s="11">
        <f>IF(J61="","",IFERROR(VALUE(SUBSTITUTE(SUBSTITUTE(IF(G61="","",G61)&amp;"","$",""),",","")),0)/IF("No"="Yes",P61,1))</f>
        <v/>
      </c>
      <c r="R61" s="11">
        <f>IF(J61="","",IFERROR(VALUE(SUBSTITUTE(SUBSTITUTE(IF(H61="","",H61)&amp;"","$",""),",","")),0)/IF("No"="Yes",P61,1))</f>
        <v/>
      </c>
      <c r="S61" s="11">
        <f>IF(J61="","",O61+Q61-R61)</f>
        <v/>
      </c>
      <c r="T61">
        <f>IF(J61="","",IFERROR(IF(K61="",NA(),MATCH(K61,Products!$B$5:$B$204,0)),IFERROR(MATCH(J61,Products!$A$5:$A$204,0),"")))</f>
        <v/>
      </c>
      <c r="U61">
        <f>IF(J61="","",IF(T61="","⚠ not in Products",INDEX(Products!$A$5:$A$204,T61)))</f>
        <v/>
      </c>
      <c r="V61" s="11">
        <f>IF(J61="","",S61*(IFERROR(INDEX(Settings!$B$5:$B$9,MATCH($B61,Settings!$A$5:$A$9,0)),0)+IFERROR(INDEX(Settings!$E$5:$E$9,MATCH($B61,Settings!$A$5:$A$9,0)),0)+IFERROR(INDEX(Settings!$G$5:$G$9,MATCH($B61,Settings!$A$5:$A$9,0)),0))+(IFERROR(INDEX(Settings!$C$5:$C$9,MATCH($B61,Settings!$A$5:$A$9,0)),0)+IFERROR(INDEX(Settings!$F$5:$F$9,MATCH($B61,Settings!$A$5:$A$9,0)),0))/P61+IFERROR(INDEX(Settings!$D$5:$D$9,MATCH($B61,Settings!$A$5:$A$9,0)),0)*M61)</f>
        <v/>
      </c>
      <c r="W61" s="11">
        <f>IF(J61="","",IF(T61="",0,M61*INDEX(Products!$I$5:$I$204,T61)))</f>
        <v/>
      </c>
      <c r="X61" s="11">
        <f>IF(J61="","",IF(T61="",0,S61*INDEX(Products!$H$5:$H$204,T61)))</f>
        <v/>
      </c>
      <c r="Y61" s="11">
        <f>IF(J61="","",S61-V61-W61-X61)</f>
        <v/>
      </c>
    </row>
    <row r="62">
      <c r="A62" s="19" t="n"/>
      <c r="B62" s="19" t="n"/>
      <c r="C62" s="19" t="n"/>
      <c r="D62" s="19" t="n"/>
      <c r="E62" s="19" t="n"/>
      <c r="F62" s="20" t="n"/>
      <c r="G62" s="20" t="n"/>
      <c r="H62" s="20" t="n"/>
      <c r="I62" s="19" t="n"/>
      <c r="J62">
        <f>IFERROR(IF(C62="","",C62)&amp;"","")</f>
        <v/>
      </c>
      <c r="K62">
        <f>IFERROR(IF(D62="","",D62)&amp;"","")</f>
        <v/>
      </c>
      <c r="L62">
        <f>IFERROR(IF(I62="","",I62)&amp;"","")</f>
        <v/>
      </c>
      <c r="M62">
        <f>IF(J62="","",IFERROR(VALUE(SUBSTITUTE(SUBSTITUTE(IF(E62="","",E62)&amp;"","$",""),",","")),0))</f>
        <v/>
      </c>
      <c r="N62" s="11">
        <f>IF(J62="","",IFERROR(VALUE(SUBSTITUTE(SUBSTITUTE(IF(F62="","",F62)&amp;"","$",""),",","")),0))</f>
        <v/>
      </c>
      <c r="O62" s="11">
        <f>IF(J62="","",M62*N62)</f>
        <v/>
      </c>
      <c r="P62">
        <f>IF(J62="","",IF(L62="",1,COUNTIF($L$2:$L$1501,L62)))</f>
        <v/>
      </c>
      <c r="Q62" s="11">
        <f>IF(J62="","",IFERROR(VALUE(SUBSTITUTE(SUBSTITUTE(IF(G62="","",G62)&amp;"","$",""),",","")),0)/IF("No"="Yes",P62,1))</f>
        <v/>
      </c>
      <c r="R62" s="11">
        <f>IF(J62="","",IFERROR(VALUE(SUBSTITUTE(SUBSTITUTE(IF(H62="","",H62)&amp;"","$",""),",","")),0)/IF("No"="Yes",P62,1))</f>
        <v/>
      </c>
      <c r="S62" s="11">
        <f>IF(J62="","",O62+Q62-R62)</f>
        <v/>
      </c>
      <c r="T62">
        <f>IF(J62="","",IFERROR(IF(K62="",NA(),MATCH(K62,Products!$B$5:$B$204,0)),IFERROR(MATCH(J62,Products!$A$5:$A$204,0),"")))</f>
        <v/>
      </c>
      <c r="U62">
        <f>IF(J62="","",IF(T62="","⚠ not in Products",INDEX(Products!$A$5:$A$204,T62)))</f>
        <v/>
      </c>
      <c r="V62" s="11">
        <f>IF(J62="","",S62*(IFERROR(INDEX(Settings!$B$5:$B$9,MATCH($B62,Settings!$A$5:$A$9,0)),0)+IFERROR(INDEX(Settings!$E$5:$E$9,MATCH($B62,Settings!$A$5:$A$9,0)),0)+IFERROR(INDEX(Settings!$G$5:$G$9,MATCH($B62,Settings!$A$5:$A$9,0)),0))+(IFERROR(INDEX(Settings!$C$5:$C$9,MATCH($B62,Settings!$A$5:$A$9,0)),0)+IFERROR(INDEX(Settings!$F$5:$F$9,MATCH($B62,Settings!$A$5:$A$9,0)),0))/P62+IFERROR(INDEX(Settings!$D$5:$D$9,MATCH($B62,Settings!$A$5:$A$9,0)),0)*M62)</f>
        <v/>
      </c>
      <c r="W62" s="11">
        <f>IF(J62="","",IF(T62="",0,M62*INDEX(Products!$I$5:$I$204,T62)))</f>
        <v/>
      </c>
      <c r="X62" s="11">
        <f>IF(J62="","",IF(T62="",0,S62*INDEX(Products!$H$5:$H$204,T62)))</f>
        <v/>
      </c>
      <c r="Y62" s="11">
        <f>IF(J62="","",S62-V62-W62-X62)</f>
        <v/>
      </c>
    </row>
    <row r="63">
      <c r="A63" s="19" t="n"/>
      <c r="B63" s="19" t="n"/>
      <c r="C63" s="19" t="n"/>
      <c r="D63" s="19" t="n"/>
      <c r="E63" s="19" t="n"/>
      <c r="F63" s="20" t="n"/>
      <c r="G63" s="20" t="n"/>
      <c r="H63" s="20" t="n"/>
      <c r="I63" s="19" t="n"/>
      <c r="J63">
        <f>IFERROR(IF(C63="","",C63)&amp;"","")</f>
        <v/>
      </c>
      <c r="K63">
        <f>IFERROR(IF(D63="","",D63)&amp;"","")</f>
        <v/>
      </c>
      <c r="L63">
        <f>IFERROR(IF(I63="","",I63)&amp;"","")</f>
        <v/>
      </c>
      <c r="M63">
        <f>IF(J63="","",IFERROR(VALUE(SUBSTITUTE(SUBSTITUTE(IF(E63="","",E63)&amp;"","$",""),",","")),0))</f>
        <v/>
      </c>
      <c r="N63" s="11">
        <f>IF(J63="","",IFERROR(VALUE(SUBSTITUTE(SUBSTITUTE(IF(F63="","",F63)&amp;"","$",""),",","")),0))</f>
        <v/>
      </c>
      <c r="O63" s="11">
        <f>IF(J63="","",M63*N63)</f>
        <v/>
      </c>
      <c r="P63">
        <f>IF(J63="","",IF(L63="",1,COUNTIF($L$2:$L$1501,L63)))</f>
        <v/>
      </c>
      <c r="Q63" s="11">
        <f>IF(J63="","",IFERROR(VALUE(SUBSTITUTE(SUBSTITUTE(IF(G63="","",G63)&amp;"","$",""),",","")),0)/IF("No"="Yes",P63,1))</f>
        <v/>
      </c>
      <c r="R63" s="11">
        <f>IF(J63="","",IFERROR(VALUE(SUBSTITUTE(SUBSTITUTE(IF(H63="","",H63)&amp;"","$",""),",","")),0)/IF("No"="Yes",P63,1))</f>
        <v/>
      </c>
      <c r="S63" s="11">
        <f>IF(J63="","",O63+Q63-R63)</f>
        <v/>
      </c>
      <c r="T63">
        <f>IF(J63="","",IFERROR(IF(K63="",NA(),MATCH(K63,Products!$B$5:$B$204,0)),IFERROR(MATCH(J63,Products!$A$5:$A$204,0),"")))</f>
        <v/>
      </c>
      <c r="U63">
        <f>IF(J63="","",IF(T63="","⚠ not in Products",INDEX(Products!$A$5:$A$204,T63)))</f>
        <v/>
      </c>
      <c r="V63" s="11">
        <f>IF(J63="","",S63*(IFERROR(INDEX(Settings!$B$5:$B$9,MATCH($B63,Settings!$A$5:$A$9,0)),0)+IFERROR(INDEX(Settings!$E$5:$E$9,MATCH($B63,Settings!$A$5:$A$9,0)),0)+IFERROR(INDEX(Settings!$G$5:$G$9,MATCH($B63,Settings!$A$5:$A$9,0)),0))+(IFERROR(INDEX(Settings!$C$5:$C$9,MATCH($B63,Settings!$A$5:$A$9,0)),0)+IFERROR(INDEX(Settings!$F$5:$F$9,MATCH($B63,Settings!$A$5:$A$9,0)),0))/P63+IFERROR(INDEX(Settings!$D$5:$D$9,MATCH($B63,Settings!$A$5:$A$9,0)),0)*M63)</f>
        <v/>
      </c>
      <c r="W63" s="11">
        <f>IF(J63="","",IF(T63="",0,M63*INDEX(Products!$I$5:$I$204,T63)))</f>
        <v/>
      </c>
      <c r="X63" s="11">
        <f>IF(J63="","",IF(T63="",0,S63*INDEX(Products!$H$5:$H$204,T63)))</f>
        <v/>
      </c>
      <c r="Y63" s="11">
        <f>IF(J63="","",S63-V63-W63-X63)</f>
        <v/>
      </c>
    </row>
    <row r="64">
      <c r="A64" s="19" t="n"/>
      <c r="B64" s="19" t="n"/>
      <c r="C64" s="19" t="n"/>
      <c r="D64" s="19" t="n"/>
      <c r="E64" s="19" t="n"/>
      <c r="F64" s="20" t="n"/>
      <c r="G64" s="20" t="n"/>
      <c r="H64" s="20" t="n"/>
      <c r="I64" s="19" t="n"/>
      <c r="J64">
        <f>IFERROR(IF(C64="","",C64)&amp;"","")</f>
        <v/>
      </c>
      <c r="K64">
        <f>IFERROR(IF(D64="","",D64)&amp;"","")</f>
        <v/>
      </c>
      <c r="L64">
        <f>IFERROR(IF(I64="","",I64)&amp;"","")</f>
        <v/>
      </c>
      <c r="M64">
        <f>IF(J64="","",IFERROR(VALUE(SUBSTITUTE(SUBSTITUTE(IF(E64="","",E64)&amp;"","$",""),",","")),0))</f>
        <v/>
      </c>
      <c r="N64" s="11">
        <f>IF(J64="","",IFERROR(VALUE(SUBSTITUTE(SUBSTITUTE(IF(F64="","",F64)&amp;"","$",""),",","")),0))</f>
        <v/>
      </c>
      <c r="O64" s="11">
        <f>IF(J64="","",M64*N64)</f>
        <v/>
      </c>
      <c r="P64">
        <f>IF(J64="","",IF(L64="",1,COUNTIF($L$2:$L$1501,L64)))</f>
        <v/>
      </c>
      <c r="Q64" s="11">
        <f>IF(J64="","",IFERROR(VALUE(SUBSTITUTE(SUBSTITUTE(IF(G64="","",G64)&amp;"","$",""),",","")),0)/IF("No"="Yes",P64,1))</f>
        <v/>
      </c>
      <c r="R64" s="11">
        <f>IF(J64="","",IFERROR(VALUE(SUBSTITUTE(SUBSTITUTE(IF(H64="","",H64)&amp;"","$",""),",","")),0)/IF("No"="Yes",P64,1))</f>
        <v/>
      </c>
      <c r="S64" s="11">
        <f>IF(J64="","",O64+Q64-R64)</f>
        <v/>
      </c>
      <c r="T64">
        <f>IF(J64="","",IFERROR(IF(K64="",NA(),MATCH(K64,Products!$B$5:$B$204,0)),IFERROR(MATCH(J64,Products!$A$5:$A$204,0),"")))</f>
        <v/>
      </c>
      <c r="U64">
        <f>IF(J64="","",IF(T64="","⚠ not in Products",INDEX(Products!$A$5:$A$204,T64)))</f>
        <v/>
      </c>
      <c r="V64" s="11">
        <f>IF(J64="","",S64*(IFERROR(INDEX(Settings!$B$5:$B$9,MATCH($B64,Settings!$A$5:$A$9,0)),0)+IFERROR(INDEX(Settings!$E$5:$E$9,MATCH($B64,Settings!$A$5:$A$9,0)),0)+IFERROR(INDEX(Settings!$G$5:$G$9,MATCH($B64,Settings!$A$5:$A$9,0)),0))+(IFERROR(INDEX(Settings!$C$5:$C$9,MATCH($B64,Settings!$A$5:$A$9,0)),0)+IFERROR(INDEX(Settings!$F$5:$F$9,MATCH($B64,Settings!$A$5:$A$9,0)),0))/P64+IFERROR(INDEX(Settings!$D$5:$D$9,MATCH($B64,Settings!$A$5:$A$9,0)),0)*M64)</f>
        <v/>
      </c>
      <c r="W64" s="11">
        <f>IF(J64="","",IF(T64="",0,M64*INDEX(Products!$I$5:$I$204,T64)))</f>
        <v/>
      </c>
      <c r="X64" s="11">
        <f>IF(J64="","",IF(T64="",0,S64*INDEX(Products!$H$5:$H$204,T64)))</f>
        <v/>
      </c>
      <c r="Y64" s="11">
        <f>IF(J64="","",S64-V64-W64-X64)</f>
        <v/>
      </c>
    </row>
    <row r="65">
      <c r="A65" s="19" t="n"/>
      <c r="B65" s="19" t="n"/>
      <c r="C65" s="19" t="n"/>
      <c r="D65" s="19" t="n"/>
      <c r="E65" s="19" t="n"/>
      <c r="F65" s="20" t="n"/>
      <c r="G65" s="20" t="n"/>
      <c r="H65" s="20" t="n"/>
      <c r="I65" s="19" t="n"/>
      <c r="J65">
        <f>IFERROR(IF(C65="","",C65)&amp;"","")</f>
        <v/>
      </c>
      <c r="K65">
        <f>IFERROR(IF(D65="","",D65)&amp;"","")</f>
        <v/>
      </c>
      <c r="L65">
        <f>IFERROR(IF(I65="","",I65)&amp;"","")</f>
        <v/>
      </c>
      <c r="M65">
        <f>IF(J65="","",IFERROR(VALUE(SUBSTITUTE(SUBSTITUTE(IF(E65="","",E65)&amp;"","$",""),",","")),0))</f>
        <v/>
      </c>
      <c r="N65" s="11">
        <f>IF(J65="","",IFERROR(VALUE(SUBSTITUTE(SUBSTITUTE(IF(F65="","",F65)&amp;"","$",""),",","")),0))</f>
        <v/>
      </c>
      <c r="O65" s="11">
        <f>IF(J65="","",M65*N65)</f>
        <v/>
      </c>
      <c r="P65">
        <f>IF(J65="","",IF(L65="",1,COUNTIF($L$2:$L$1501,L65)))</f>
        <v/>
      </c>
      <c r="Q65" s="11">
        <f>IF(J65="","",IFERROR(VALUE(SUBSTITUTE(SUBSTITUTE(IF(G65="","",G65)&amp;"","$",""),",","")),0)/IF("No"="Yes",P65,1))</f>
        <v/>
      </c>
      <c r="R65" s="11">
        <f>IF(J65="","",IFERROR(VALUE(SUBSTITUTE(SUBSTITUTE(IF(H65="","",H65)&amp;"","$",""),",","")),0)/IF("No"="Yes",P65,1))</f>
        <v/>
      </c>
      <c r="S65" s="11">
        <f>IF(J65="","",O65+Q65-R65)</f>
        <v/>
      </c>
      <c r="T65">
        <f>IF(J65="","",IFERROR(IF(K65="",NA(),MATCH(K65,Products!$B$5:$B$204,0)),IFERROR(MATCH(J65,Products!$A$5:$A$204,0),"")))</f>
        <v/>
      </c>
      <c r="U65">
        <f>IF(J65="","",IF(T65="","⚠ not in Products",INDEX(Products!$A$5:$A$204,T65)))</f>
        <v/>
      </c>
      <c r="V65" s="11">
        <f>IF(J65="","",S65*(IFERROR(INDEX(Settings!$B$5:$B$9,MATCH($B65,Settings!$A$5:$A$9,0)),0)+IFERROR(INDEX(Settings!$E$5:$E$9,MATCH($B65,Settings!$A$5:$A$9,0)),0)+IFERROR(INDEX(Settings!$G$5:$G$9,MATCH($B65,Settings!$A$5:$A$9,0)),0))+(IFERROR(INDEX(Settings!$C$5:$C$9,MATCH($B65,Settings!$A$5:$A$9,0)),0)+IFERROR(INDEX(Settings!$F$5:$F$9,MATCH($B65,Settings!$A$5:$A$9,0)),0))/P65+IFERROR(INDEX(Settings!$D$5:$D$9,MATCH($B65,Settings!$A$5:$A$9,0)),0)*M65)</f>
        <v/>
      </c>
      <c r="W65" s="11">
        <f>IF(J65="","",IF(T65="",0,M65*INDEX(Products!$I$5:$I$204,T65)))</f>
        <v/>
      </c>
      <c r="X65" s="11">
        <f>IF(J65="","",IF(T65="",0,S65*INDEX(Products!$H$5:$H$204,T65)))</f>
        <v/>
      </c>
      <c r="Y65" s="11">
        <f>IF(J65="","",S65-V65-W65-X65)</f>
        <v/>
      </c>
    </row>
    <row r="66">
      <c r="A66" s="19" t="n"/>
      <c r="B66" s="19" t="n"/>
      <c r="C66" s="19" t="n"/>
      <c r="D66" s="19" t="n"/>
      <c r="E66" s="19" t="n"/>
      <c r="F66" s="20" t="n"/>
      <c r="G66" s="20" t="n"/>
      <c r="H66" s="20" t="n"/>
      <c r="I66" s="19" t="n"/>
      <c r="J66">
        <f>IFERROR(IF(C66="","",C66)&amp;"","")</f>
        <v/>
      </c>
      <c r="K66">
        <f>IFERROR(IF(D66="","",D66)&amp;"","")</f>
        <v/>
      </c>
      <c r="L66">
        <f>IFERROR(IF(I66="","",I66)&amp;"","")</f>
        <v/>
      </c>
      <c r="M66">
        <f>IF(J66="","",IFERROR(VALUE(SUBSTITUTE(SUBSTITUTE(IF(E66="","",E66)&amp;"","$",""),",","")),0))</f>
        <v/>
      </c>
      <c r="N66" s="11">
        <f>IF(J66="","",IFERROR(VALUE(SUBSTITUTE(SUBSTITUTE(IF(F66="","",F66)&amp;"","$",""),",","")),0))</f>
        <v/>
      </c>
      <c r="O66" s="11">
        <f>IF(J66="","",M66*N66)</f>
        <v/>
      </c>
      <c r="P66">
        <f>IF(J66="","",IF(L66="",1,COUNTIF($L$2:$L$1501,L66)))</f>
        <v/>
      </c>
      <c r="Q66" s="11">
        <f>IF(J66="","",IFERROR(VALUE(SUBSTITUTE(SUBSTITUTE(IF(G66="","",G66)&amp;"","$",""),",","")),0)/IF("No"="Yes",P66,1))</f>
        <v/>
      </c>
      <c r="R66" s="11">
        <f>IF(J66="","",IFERROR(VALUE(SUBSTITUTE(SUBSTITUTE(IF(H66="","",H66)&amp;"","$",""),",","")),0)/IF("No"="Yes",P66,1))</f>
        <v/>
      </c>
      <c r="S66" s="11">
        <f>IF(J66="","",O66+Q66-R66)</f>
        <v/>
      </c>
      <c r="T66">
        <f>IF(J66="","",IFERROR(IF(K66="",NA(),MATCH(K66,Products!$B$5:$B$204,0)),IFERROR(MATCH(J66,Products!$A$5:$A$204,0),"")))</f>
        <v/>
      </c>
      <c r="U66">
        <f>IF(J66="","",IF(T66="","⚠ not in Products",INDEX(Products!$A$5:$A$204,T66)))</f>
        <v/>
      </c>
      <c r="V66" s="11">
        <f>IF(J66="","",S66*(IFERROR(INDEX(Settings!$B$5:$B$9,MATCH($B66,Settings!$A$5:$A$9,0)),0)+IFERROR(INDEX(Settings!$E$5:$E$9,MATCH($B66,Settings!$A$5:$A$9,0)),0)+IFERROR(INDEX(Settings!$G$5:$G$9,MATCH($B66,Settings!$A$5:$A$9,0)),0))+(IFERROR(INDEX(Settings!$C$5:$C$9,MATCH($B66,Settings!$A$5:$A$9,0)),0)+IFERROR(INDEX(Settings!$F$5:$F$9,MATCH($B66,Settings!$A$5:$A$9,0)),0))/P66+IFERROR(INDEX(Settings!$D$5:$D$9,MATCH($B66,Settings!$A$5:$A$9,0)),0)*M66)</f>
        <v/>
      </c>
      <c r="W66" s="11">
        <f>IF(J66="","",IF(T66="",0,M66*INDEX(Products!$I$5:$I$204,T66)))</f>
        <v/>
      </c>
      <c r="X66" s="11">
        <f>IF(J66="","",IF(T66="",0,S66*INDEX(Products!$H$5:$H$204,T66)))</f>
        <v/>
      </c>
      <c r="Y66" s="11">
        <f>IF(J66="","",S66-V66-W66-X66)</f>
        <v/>
      </c>
    </row>
    <row r="67">
      <c r="A67" s="19" t="n"/>
      <c r="B67" s="19" t="n"/>
      <c r="C67" s="19" t="n"/>
      <c r="D67" s="19" t="n"/>
      <c r="E67" s="19" t="n"/>
      <c r="F67" s="20" t="n"/>
      <c r="G67" s="20" t="n"/>
      <c r="H67" s="20" t="n"/>
      <c r="I67" s="19" t="n"/>
      <c r="J67">
        <f>IFERROR(IF(C67="","",C67)&amp;"","")</f>
        <v/>
      </c>
      <c r="K67">
        <f>IFERROR(IF(D67="","",D67)&amp;"","")</f>
        <v/>
      </c>
      <c r="L67">
        <f>IFERROR(IF(I67="","",I67)&amp;"","")</f>
        <v/>
      </c>
      <c r="M67">
        <f>IF(J67="","",IFERROR(VALUE(SUBSTITUTE(SUBSTITUTE(IF(E67="","",E67)&amp;"","$",""),",","")),0))</f>
        <v/>
      </c>
      <c r="N67" s="11">
        <f>IF(J67="","",IFERROR(VALUE(SUBSTITUTE(SUBSTITUTE(IF(F67="","",F67)&amp;"","$",""),",","")),0))</f>
        <v/>
      </c>
      <c r="O67" s="11">
        <f>IF(J67="","",M67*N67)</f>
        <v/>
      </c>
      <c r="P67">
        <f>IF(J67="","",IF(L67="",1,COUNTIF($L$2:$L$1501,L67)))</f>
        <v/>
      </c>
      <c r="Q67" s="11">
        <f>IF(J67="","",IFERROR(VALUE(SUBSTITUTE(SUBSTITUTE(IF(G67="","",G67)&amp;"","$",""),",","")),0)/IF("No"="Yes",P67,1))</f>
        <v/>
      </c>
      <c r="R67" s="11">
        <f>IF(J67="","",IFERROR(VALUE(SUBSTITUTE(SUBSTITUTE(IF(H67="","",H67)&amp;"","$",""),",","")),0)/IF("No"="Yes",P67,1))</f>
        <v/>
      </c>
      <c r="S67" s="11">
        <f>IF(J67="","",O67+Q67-R67)</f>
        <v/>
      </c>
      <c r="T67">
        <f>IF(J67="","",IFERROR(IF(K67="",NA(),MATCH(K67,Products!$B$5:$B$204,0)),IFERROR(MATCH(J67,Products!$A$5:$A$204,0),"")))</f>
        <v/>
      </c>
      <c r="U67">
        <f>IF(J67="","",IF(T67="","⚠ not in Products",INDEX(Products!$A$5:$A$204,T67)))</f>
        <v/>
      </c>
      <c r="V67" s="11">
        <f>IF(J67="","",S67*(IFERROR(INDEX(Settings!$B$5:$B$9,MATCH($B67,Settings!$A$5:$A$9,0)),0)+IFERROR(INDEX(Settings!$E$5:$E$9,MATCH($B67,Settings!$A$5:$A$9,0)),0)+IFERROR(INDEX(Settings!$G$5:$G$9,MATCH($B67,Settings!$A$5:$A$9,0)),0))+(IFERROR(INDEX(Settings!$C$5:$C$9,MATCH($B67,Settings!$A$5:$A$9,0)),0)+IFERROR(INDEX(Settings!$F$5:$F$9,MATCH($B67,Settings!$A$5:$A$9,0)),0))/P67+IFERROR(INDEX(Settings!$D$5:$D$9,MATCH($B67,Settings!$A$5:$A$9,0)),0)*M67)</f>
        <v/>
      </c>
      <c r="W67" s="11">
        <f>IF(J67="","",IF(T67="",0,M67*INDEX(Products!$I$5:$I$204,T67)))</f>
        <v/>
      </c>
      <c r="X67" s="11">
        <f>IF(J67="","",IF(T67="",0,S67*INDEX(Products!$H$5:$H$204,T67)))</f>
        <v/>
      </c>
      <c r="Y67" s="11">
        <f>IF(J67="","",S67-V67-W67-X67)</f>
        <v/>
      </c>
    </row>
    <row r="68">
      <c r="A68" s="19" t="n"/>
      <c r="B68" s="19" t="n"/>
      <c r="C68" s="19" t="n"/>
      <c r="D68" s="19" t="n"/>
      <c r="E68" s="19" t="n"/>
      <c r="F68" s="20" t="n"/>
      <c r="G68" s="20" t="n"/>
      <c r="H68" s="20" t="n"/>
      <c r="I68" s="19" t="n"/>
      <c r="J68">
        <f>IFERROR(IF(C68="","",C68)&amp;"","")</f>
        <v/>
      </c>
      <c r="K68">
        <f>IFERROR(IF(D68="","",D68)&amp;"","")</f>
        <v/>
      </c>
      <c r="L68">
        <f>IFERROR(IF(I68="","",I68)&amp;"","")</f>
        <v/>
      </c>
      <c r="M68">
        <f>IF(J68="","",IFERROR(VALUE(SUBSTITUTE(SUBSTITUTE(IF(E68="","",E68)&amp;"","$",""),",","")),0))</f>
        <v/>
      </c>
      <c r="N68" s="11">
        <f>IF(J68="","",IFERROR(VALUE(SUBSTITUTE(SUBSTITUTE(IF(F68="","",F68)&amp;"","$",""),",","")),0))</f>
        <v/>
      </c>
      <c r="O68" s="11">
        <f>IF(J68="","",M68*N68)</f>
        <v/>
      </c>
      <c r="P68">
        <f>IF(J68="","",IF(L68="",1,COUNTIF($L$2:$L$1501,L68)))</f>
        <v/>
      </c>
      <c r="Q68" s="11">
        <f>IF(J68="","",IFERROR(VALUE(SUBSTITUTE(SUBSTITUTE(IF(G68="","",G68)&amp;"","$",""),",","")),0)/IF("No"="Yes",P68,1))</f>
        <v/>
      </c>
      <c r="R68" s="11">
        <f>IF(J68="","",IFERROR(VALUE(SUBSTITUTE(SUBSTITUTE(IF(H68="","",H68)&amp;"","$",""),",","")),0)/IF("No"="Yes",P68,1))</f>
        <v/>
      </c>
      <c r="S68" s="11">
        <f>IF(J68="","",O68+Q68-R68)</f>
        <v/>
      </c>
      <c r="T68">
        <f>IF(J68="","",IFERROR(IF(K68="",NA(),MATCH(K68,Products!$B$5:$B$204,0)),IFERROR(MATCH(J68,Products!$A$5:$A$204,0),"")))</f>
        <v/>
      </c>
      <c r="U68">
        <f>IF(J68="","",IF(T68="","⚠ not in Products",INDEX(Products!$A$5:$A$204,T68)))</f>
        <v/>
      </c>
      <c r="V68" s="11">
        <f>IF(J68="","",S68*(IFERROR(INDEX(Settings!$B$5:$B$9,MATCH($B68,Settings!$A$5:$A$9,0)),0)+IFERROR(INDEX(Settings!$E$5:$E$9,MATCH($B68,Settings!$A$5:$A$9,0)),0)+IFERROR(INDEX(Settings!$G$5:$G$9,MATCH($B68,Settings!$A$5:$A$9,0)),0))+(IFERROR(INDEX(Settings!$C$5:$C$9,MATCH($B68,Settings!$A$5:$A$9,0)),0)+IFERROR(INDEX(Settings!$F$5:$F$9,MATCH($B68,Settings!$A$5:$A$9,0)),0))/P68+IFERROR(INDEX(Settings!$D$5:$D$9,MATCH($B68,Settings!$A$5:$A$9,0)),0)*M68)</f>
        <v/>
      </c>
      <c r="W68" s="11">
        <f>IF(J68="","",IF(T68="",0,M68*INDEX(Products!$I$5:$I$204,T68)))</f>
        <v/>
      </c>
      <c r="X68" s="11">
        <f>IF(J68="","",IF(T68="",0,S68*INDEX(Products!$H$5:$H$204,T68)))</f>
        <v/>
      </c>
      <c r="Y68" s="11">
        <f>IF(J68="","",S68-V68-W68-X68)</f>
        <v/>
      </c>
    </row>
    <row r="69">
      <c r="A69" s="19" t="n"/>
      <c r="B69" s="19" t="n"/>
      <c r="C69" s="19" t="n"/>
      <c r="D69" s="19" t="n"/>
      <c r="E69" s="19" t="n"/>
      <c r="F69" s="20" t="n"/>
      <c r="G69" s="20" t="n"/>
      <c r="H69" s="20" t="n"/>
      <c r="I69" s="19" t="n"/>
      <c r="J69">
        <f>IFERROR(IF(C69="","",C69)&amp;"","")</f>
        <v/>
      </c>
      <c r="K69">
        <f>IFERROR(IF(D69="","",D69)&amp;"","")</f>
        <v/>
      </c>
      <c r="L69">
        <f>IFERROR(IF(I69="","",I69)&amp;"","")</f>
        <v/>
      </c>
      <c r="M69">
        <f>IF(J69="","",IFERROR(VALUE(SUBSTITUTE(SUBSTITUTE(IF(E69="","",E69)&amp;"","$",""),",","")),0))</f>
        <v/>
      </c>
      <c r="N69" s="11">
        <f>IF(J69="","",IFERROR(VALUE(SUBSTITUTE(SUBSTITUTE(IF(F69="","",F69)&amp;"","$",""),",","")),0))</f>
        <v/>
      </c>
      <c r="O69" s="11">
        <f>IF(J69="","",M69*N69)</f>
        <v/>
      </c>
      <c r="P69">
        <f>IF(J69="","",IF(L69="",1,COUNTIF($L$2:$L$1501,L69)))</f>
        <v/>
      </c>
      <c r="Q69" s="11">
        <f>IF(J69="","",IFERROR(VALUE(SUBSTITUTE(SUBSTITUTE(IF(G69="","",G69)&amp;"","$",""),",","")),0)/IF("No"="Yes",P69,1))</f>
        <v/>
      </c>
      <c r="R69" s="11">
        <f>IF(J69="","",IFERROR(VALUE(SUBSTITUTE(SUBSTITUTE(IF(H69="","",H69)&amp;"","$",""),",","")),0)/IF("No"="Yes",P69,1))</f>
        <v/>
      </c>
      <c r="S69" s="11">
        <f>IF(J69="","",O69+Q69-R69)</f>
        <v/>
      </c>
      <c r="T69">
        <f>IF(J69="","",IFERROR(IF(K69="",NA(),MATCH(K69,Products!$B$5:$B$204,0)),IFERROR(MATCH(J69,Products!$A$5:$A$204,0),"")))</f>
        <v/>
      </c>
      <c r="U69">
        <f>IF(J69="","",IF(T69="","⚠ not in Products",INDEX(Products!$A$5:$A$204,T69)))</f>
        <v/>
      </c>
      <c r="V69" s="11">
        <f>IF(J69="","",S69*(IFERROR(INDEX(Settings!$B$5:$B$9,MATCH($B69,Settings!$A$5:$A$9,0)),0)+IFERROR(INDEX(Settings!$E$5:$E$9,MATCH($B69,Settings!$A$5:$A$9,0)),0)+IFERROR(INDEX(Settings!$G$5:$G$9,MATCH($B69,Settings!$A$5:$A$9,0)),0))+(IFERROR(INDEX(Settings!$C$5:$C$9,MATCH($B69,Settings!$A$5:$A$9,0)),0)+IFERROR(INDEX(Settings!$F$5:$F$9,MATCH($B69,Settings!$A$5:$A$9,0)),0))/P69+IFERROR(INDEX(Settings!$D$5:$D$9,MATCH($B69,Settings!$A$5:$A$9,0)),0)*M69)</f>
        <v/>
      </c>
      <c r="W69" s="11">
        <f>IF(J69="","",IF(T69="",0,M69*INDEX(Products!$I$5:$I$204,T69)))</f>
        <v/>
      </c>
      <c r="X69" s="11">
        <f>IF(J69="","",IF(T69="",0,S69*INDEX(Products!$H$5:$H$204,T69)))</f>
        <v/>
      </c>
      <c r="Y69" s="11">
        <f>IF(J69="","",S69-V69-W69-X69)</f>
        <v/>
      </c>
    </row>
    <row r="70">
      <c r="A70" s="19" t="n"/>
      <c r="B70" s="19" t="n"/>
      <c r="C70" s="19" t="n"/>
      <c r="D70" s="19" t="n"/>
      <c r="E70" s="19" t="n"/>
      <c r="F70" s="20" t="n"/>
      <c r="G70" s="20" t="n"/>
      <c r="H70" s="20" t="n"/>
      <c r="I70" s="19" t="n"/>
      <c r="J70">
        <f>IFERROR(IF(C70="","",C70)&amp;"","")</f>
        <v/>
      </c>
      <c r="K70">
        <f>IFERROR(IF(D70="","",D70)&amp;"","")</f>
        <v/>
      </c>
      <c r="L70">
        <f>IFERROR(IF(I70="","",I70)&amp;"","")</f>
        <v/>
      </c>
      <c r="M70">
        <f>IF(J70="","",IFERROR(VALUE(SUBSTITUTE(SUBSTITUTE(IF(E70="","",E70)&amp;"","$",""),",","")),0))</f>
        <v/>
      </c>
      <c r="N70" s="11">
        <f>IF(J70="","",IFERROR(VALUE(SUBSTITUTE(SUBSTITUTE(IF(F70="","",F70)&amp;"","$",""),",","")),0))</f>
        <v/>
      </c>
      <c r="O70" s="11">
        <f>IF(J70="","",M70*N70)</f>
        <v/>
      </c>
      <c r="P70">
        <f>IF(J70="","",IF(L70="",1,COUNTIF($L$2:$L$1501,L70)))</f>
        <v/>
      </c>
      <c r="Q70" s="11">
        <f>IF(J70="","",IFERROR(VALUE(SUBSTITUTE(SUBSTITUTE(IF(G70="","",G70)&amp;"","$",""),",","")),0)/IF("No"="Yes",P70,1))</f>
        <v/>
      </c>
      <c r="R70" s="11">
        <f>IF(J70="","",IFERROR(VALUE(SUBSTITUTE(SUBSTITUTE(IF(H70="","",H70)&amp;"","$",""),",","")),0)/IF("No"="Yes",P70,1))</f>
        <v/>
      </c>
      <c r="S70" s="11">
        <f>IF(J70="","",O70+Q70-R70)</f>
        <v/>
      </c>
      <c r="T70">
        <f>IF(J70="","",IFERROR(IF(K70="",NA(),MATCH(K70,Products!$B$5:$B$204,0)),IFERROR(MATCH(J70,Products!$A$5:$A$204,0),"")))</f>
        <v/>
      </c>
      <c r="U70">
        <f>IF(J70="","",IF(T70="","⚠ not in Products",INDEX(Products!$A$5:$A$204,T70)))</f>
        <v/>
      </c>
      <c r="V70" s="11">
        <f>IF(J70="","",S70*(IFERROR(INDEX(Settings!$B$5:$B$9,MATCH($B70,Settings!$A$5:$A$9,0)),0)+IFERROR(INDEX(Settings!$E$5:$E$9,MATCH($B70,Settings!$A$5:$A$9,0)),0)+IFERROR(INDEX(Settings!$G$5:$G$9,MATCH($B70,Settings!$A$5:$A$9,0)),0))+(IFERROR(INDEX(Settings!$C$5:$C$9,MATCH($B70,Settings!$A$5:$A$9,0)),0)+IFERROR(INDEX(Settings!$F$5:$F$9,MATCH($B70,Settings!$A$5:$A$9,0)),0))/P70+IFERROR(INDEX(Settings!$D$5:$D$9,MATCH($B70,Settings!$A$5:$A$9,0)),0)*M70)</f>
        <v/>
      </c>
      <c r="W70" s="11">
        <f>IF(J70="","",IF(T70="",0,M70*INDEX(Products!$I$5:$I$204,T70)))</f>
        <v/>
      </c>
      <c r="X70" s="11">
        <f>IF(J70="","",IF(T70="",0,S70*INDEX(Products!$H$5:$H$204,T70)))</f>
        <v/>
      </c>
      <c r="Y70" s="11">
        <f>IF(J70="","",S70-V70-W70-X70)</f>
        <v/>
      </c>
    </row>
    <row r="71">
      <c r="A71" s="19" t="n"/>
      <c r="B71" s="19" t="n"/>
      <c r="C71" s="19" t="n"/>
      <c r="D71" s="19" t="n"/>
      <c r="E71" s="19" t="n"/>
      <c r="F71" s="20" t="n"/>
      <c r="G71" s="20" t="n"/>
      <c r="H71" s="20" t="n"/>
      <c r="I71" s="19" t="n"/>
      <c r="J71">
        <f>IFERROR(IF(C71="","",C71)&amp;"","")</f>
        <v/>
      </c>
      <c r="K71">
        <f>IFERROR(IF(D71="","",D71)&amp;"","")</f>
        <v/>
      </c>
      <c r="L71">
        <f>IFERROR(IF(I71="","",I71)&amp;"","")</f>
        <v/>
      </c>
      <c r="M71">
        <f>IF(J71="","",IFERROR(VALUE(SUBSTITUTE(SUBSTITUTE(IF(E71="","",E71)&amp;"","$",""),",","")),0))</f>
        <v/>
      </c>
      <c r="N71" s="11">
        <f>IF(J71="","",IFERROR(VALUE(SUBSTITUTE(SUBSTITUTE(IF(F71="","",F71)&amp;"","$",""),",","")),0))</f>
        <v/>
      </c>
      <c r="O71" s="11">
        <f>IF(J71="","",M71*N71)</f>
        <v/>
      </c>
      <c r="P71">
        <f>IF(J71="","",IF(L71="",1,COUNTIF($L$2:$L$1501,L71)))</f>
        <v/>
      </c>
      <c r="Q71" s="11">
        <f>IF(J71="","",IFERROR(VALUE(SUBSTITUTE(SUBSTITUTE(IF(G71="","",G71)&amp;"","$",""),",","")),0)/IF("No"="Yes",P71,1))</f>
        <v/>
      </c>
      <c r="R71" s="11">
        <f>IF(J71="","",IFERROR(VALUE(SUBSTITUTE(SUBSTITUTE(IF(H71="","",H71)&amp;"","$",""),",","")),0)/IF("No"="Yes",P71,1))</f>
        <v/>
      </c>
      <c r="S71" s="11">
        <f>IF(J71="","",O71+Q71-R71)</f>
        <v/>
      </c>
      <c r="T71">
        <f>IF(J71="","",IFERROR(IF(K71="",NA(),MATCH(K71,Products!$B$5:$B$204,0)),IFERROR(MATCH(J71,Products!$A$5:$A$204,0),"")))</f>
        <v/>
      </c>
      <c r="U71">
        <f>IF(J71="","",IF(T71="","⚠ not in Products",INDEX(Products!$A$5:$A$204,T71)))</f>
        <v/>
      </c>
      <c r="V71" s="11">
        <f>IF(J71="","",S71*(IFERROR(INDEX(Settings!$B$5:$B$9,MATCH($B71,Settings!$A$5:$A$9,0)),0)+IFERROR(INDEX(Settings!$E$5:$E$9,MATCH($B71,Settings!$A$5:$A$9,0)),0)+IFERROR(INDEX(Settings!$G$5:$G$9,MATCH($B71,Settings!$A$5:$A$9,0)),0))+(IFERROR(INDEX(Settings!$C$5:$C$9,MATCH($B71,Settings!$A$5:$A$9,0)),0)+IFERROR(INDEX(Settings!$F$5:$F$9,MATCH($B71,Settings!$A$5:$A$9,0)),0))/P71+IFERROR(INDEX(Settings!$D$5:$D$9,MATCH($B71,Settings!$A$5:$A$9,0)),0)*M71)</f>
        <v/>
      </c>
      <c r="W71" s="11">
        <f>IF(J71="","",IF(T71="",0,M71*INDEX(Products!$I$5:$I$204,T71)))</f>
        <v/>
      </c>
      <c r="X71" s="11">
        <f>IF(J71="","",IF(T71="",0,S71*INDEX(Products!$H$5:$H$204,T71)))</f>
        <v/>
      </c>
      <c r="Y71" s="11">
        <f>IF(J71="","",S71-V71-W71-X71)</f>
        <v/>
      </c>
    </row>
    <row r="72">
      <c r="A72" s="19" t="n"/>
      <c r="B72" s="19" t="n"/>
      <c r="C72" s="19" t="n"/>
      <c r="D72" s="19" t="n"/>
      <c r="E72" s="19" t="n"/>
      <c r="F72" s="20" t="n"/>
      <c r="G72" s="20" t="n"/>
      <c r="H72" s="20" t="n"/>
      <c r="I72" s="19" t="n"/>
      <c r="J72">
        <f>IFERROR(IF(C72="","",C72)&amp;"","")</f>
        <v/>
      </c>
      <c r="K72">
        <f>IFERROR(IF(D72="","",D72)&amp;"","")</f>
        <v/>
      </c>
      <c r="L72">
        <f>IFERROR(IF(I72="","",I72)&amp;"","")</f>
        <v/>
      </c>
      <c r="M72">
        <f>IF(J72="","",IFERROR(VALUE(SUBSTITUTE(SUBSTITUTE(IF(E72="","",E72)&amp;"","$",""),",","")),0))</f>
        <v/>
      </c>
      <c r="N72" s="11">
        <f>IF(J72="","",IFERROR(VALUE(SUBSTITUTE(SUBSTITUTE(IF(F72="","",F72)&amp;"","$",""),",","")),0))</f>
        <v/>
      </c>
      <c r="O72" s="11">
        <f>IF(J72="","",M72*N72)</f>
        <v/>
      </c>
      <c r="P72">
        <f>IF(J72="","",IF(L72="",1,COUNTIF($L$2:$L$1501,L72)))</f>
        <v/>
      </c>
      <c r="Q72" s="11">
        <f>IF(J72="","",IFERROR(VALUE(SUBSTITUTE(SUBSTITUTE(IF(G72="","",G72)&amp;"","$",""),",","")),0)/IF("No"="Yes",P72,1))</f>
        <v/>
      </c>
      <c r="R72" s="11">
        <f>IF(J72="","",IFERROR(VALUE(SUBSTITUTE(SUBSTITUTE(IF(H72="","",H72)&amp;"","$",""),",","")),0)/IF("No"="Yes",P72,1))</f>
        <v/>
      </c>
      <c r="S72" s="11">
        <f>IF(J72="","",O72+Q72-R72)</f>
        <v/>
      </c>
      <c r="T72">
        <f>IF(J72="","",IFERROR(IF(K72="",NA(),MATCH(K72,Products!$B$5:$B$204,0)),IFERROR(MATCH(J72,Products!$A$5:$A$204,0),"")))</f>
        <v/>
      </c>
      <c r="U72">
        <f>IF(J72="","",IF(T72="","⚠ not in Products",INDEX(Products!$A$5:$A$204,T72)))</f>
        <v/>
      </c>
      <c r="V72" s="11">
        <f>IF(J72="","",S72*(IFERROR(INDEX(Settings!$B$5:$B$9,MATCH($B72,Settings!$A$5:$A$9,0)),0)+IFERROR(INDEX(Settings!$E$5:$E$9,MATCH($B72,Settings!$A$5:$A$9,0)),0)+IFERROR(INDEX(Settings!$G$5:$G$9,MATCH($B72,Settings!$A$5:$A$9,0)),0))+(IFERROR(INDEX(Settings!$C$5:$C$9,MATCH($B72,Settings!$A$5:$A$9,0)),0)+IFERROR(INDEX(Settings!$F$5:$F$9,MATCH($B72,Settings!$A$5:$A$9,0)),0))/P72+IFERROR(INDEX(Settings!$D$5:$D$9,MATCH($B72,Settings!$A$5:$A$9,0)),0)*M72)</f>
        <v/>
      </c>
      <c r="W72" s="11">
        <f>IF(J72="","",IF(T72="",0,M72*INDEX(Products!$I$5:$I$204,T72)))</f>
        <v/>
      </c>
      <c r="X72" s="11">
        <f>IF(J72="","",IF(T72="",0,S72*INDEX(Products!$H$5:$H$204,T72)))</f>
        <v/>
      </c>
      <c r="Y72" s="11">
        <f>IF(J72="","",S72-V72-W72-X72)</f>
        <v/>
      </c>
    </row>
    <row r="73">
      <c r="A73" s="19" t="n"/>
      <c r="B73" s="19" t="n"/>
      <c r="C73" s="19" t="n"/>
      <c r="D73" s="19" t="n"/>
      <c r="E73" s="19" t="n"/>
      <c r="F73" s="20" t="n"/>
      <c r="G73" s="20" t="n"/>
      <c r="H73" s="20" t="n"/>
      <c r="I73" s="19" t="n"/>
      <c r="J73">
        <f>IFERROR(IF(C73="","",C73)&amp;"","")</f>
        <v/>
      </c>
      <c r="K73">
        <f>IFERROR(IF(D73="","",D73)&amp;"","")</f>
        <v/>
      </c>
      <c r="L73">
        <f>IFERROR(IF(I73="","",I73)&amp;"","")</f>
        <v/>
      </c>
      <c r="M73">
        <f>IF(J73="","",IFERROR(VALUE(SUBSTITUTE(SUBSTITUTE(IF(E73="","",E73)&amp;"","$",""),",","")),0))</f>
        <v/>
      </c>
      <c r="N73" s="11">
        <f>IF(J73="","",IFERROR(VALUE(SUBSTITUTE(SUBSTITUTE(IF(F73="","",F73)&amp;"","$",""),",","")),0))</f>
        <v/>
      </c>
      <c r="O73" s="11">
        <f>IF(J73="","",M73*N73)</f>
        <v/>
      </c>
      <c r="P73">
        <f>IF(J73="","",IF(L73="",1,COUNTIF($L$2:$L$1501,L73)))</f>
        <v/>
      </c>
      <c r="Q73" s="11">
        <f>IF(J73="","",IFERROR(VALUE(SUBSTITUTE(SUBSTITUTE(IF(G73="","",G73)&amp;"","$",""),",","")),0)/IF("No"="Yes",P73,1))</f>
        <v/>
      </c>
      <c r="R73" s="11">
        <f>IF(J73="","",IFERROR(VALUE(SUBSTITUTE(SUBSTITUTE(IF(H73="","",H73)&amp;"","$",""),",","")),0)/IF("No"="Yes",P73,1))</f>
        <v/>
      </c>
      <c r="S73" s="11">
        <f>IF(J73="","",O73+Q73-R73)</f>
        <v/>
      </c>
      <c r="T73">
        <f>IF(J73="","",IFERROR(IF(K73="",NA(),MATCH(K73,Products!$B$5:$B$204,0)),IFERROR(MATCH(J73,Products!$A$5:$A$204,0),"")))</f>
        <v/>
      </c>
      <c r="U73">
        <f>IF(J73="","",IF(T73="","⚠ not in Products",INDEX(Products!$A$5:$A$204,T73)))</f>
        <v/>
      </c>
      <c r="V73" s="11">
        <f>IF(J73="","",S73*(IFERROR(INDEX(Settings!$B$5:$B$9,MATCH($B73,Settings!$A$5:$A$9,0)),0)+IFERROR(INDEX(Settings!$E$5:$E$9,MATCH($B73,Settings!$A$5:$A$9,0)),0)+IFERROR(INDEX(Settings!$G$5:$G$9,MATCH($B73,Settings!$A$5:$A$9,0)),0))+(IFERROR(INDEX(Settings!$C$5:$C$9,MATCH($B73,Settings!$A$5:$A$9,0)),0)+IFERROR(INDEX(Settings!$F$5:$F$9,MATCH($B73,Settings!$A$5:$A$9,0)),0))/P73+IFERROR(INDEX(Settings!$D$5:$D$9,MATCH($B73,Settings!$A$5:$A$9,0)),0)*M73)</f>
        <v/>
      </c>
      <c r="W73" s="11">
        <f>IF(J73="","",IF(T73="",0,M73*INDEX(Products!$I$5:$I$204,T73)))</f>
        <v/>
      </c>
      <c r="X73" s="11">
        <f>IF(J73="","",IF(T73="",0,S73*INDEX(Products!$H$5:$H$204,T73)))</f>
        <v/>
      </c>
      <c r="Y73" s="11">
        <f>IF(J73="","",S73-V73-W73-X73)</f>
        <v/>
      </c>
    </row>
    <row r="74">
      <c r="A74" s="19" t="n"/>
      <c r="B74" s="19" t="n"/>
      <c r="C74" s="19" t="n"/>
      <c r="D74" s="19" t="n"/>
      <c r="E74" s="19" t="n"/>
      <c r="F74" s="20" t="n"/>
      <c r="G74" s="20" t="n"/>
      <c r="H74" s="20" t="n"/>
      <c r="I74" s="19" t="n"/>
      <c r="J74">
        <f>IFERROR(IF(C74="","",C74)&amp;"","")</f>
        <v/>
      </c>
      <c r="K74">
        <f>IFERROR(IF(D74="","",D74)&amp;"","")</f>
        <v/>
      </c>
      <c r="L74">
        <f>IFERROR(IF(I74="","",I74)&amp;"","")</f>
        <v/>
      </c>
      <c r="M74">
        <f>IF(J74="","",IFERROR(VALUE(SUBSTITUTE(SUBSTITUTE(IF(E74="","",E74)&amp;"","$",""),",","")),0))</f>
        <v/>
      </c>
      <c r="N74" s="11">
        <f>IF(J74="","",IFERROR(VALUE(SUBSTITUTE(SUBSTITUTE(IF(F74="","",F74)&amp;"","$",""),",","")),0))</f>
        <v/>
      </c>
      <c r="O74" s="11">
        <f>IF(J74="","",M74*N74)</f>
        <v/>
      </c>
      <c r="P74">
        <f>IF(J74="","",IF(L74="",1,COUNTIF($L$2:$L$1501,L74)))</f>
        <v/>
      </c>
      <c r="Q74" s="11">
        <f>IF(J74="","",IFERROR(VALUE(SUBSTITUTE(SUBSTITUTE(IF(G74="","",G74)&amp;"","$",""),",","")),0)/IF("No"="Yes",P74,1))</f>
        <v/>
      </c>
      <c r="R74" s="11">
        <f>IF(J74="","",IFERROR(VALUE(SUBSTITUTE(SUBSTITUTE(IF(H74="","",H74)&amp;"","$",""),",","")),0)/IF("No"="Yes",P74,1))</f>
        <v/>
      </c>
      <c r="S74" s="11">
        <f>IF(J74="","",O74+Q74-R74)</f>
        <v/>
      </c>
      <c r="T74">
        <f>IF(J74="","",IFERROR(IF(K74="",NA(),MATCH(K74,Products!$B$5:$B$204,0)),IFERROR(MATCH(J74,Products!$A$5:$A$204,0),"")))</f>
        <v/>
      </c>
      <c r="U74">
        <f>IF(J74="","",IF(T74="","⚠ not in Products",INDEX(Products!$A$5:$A$204,T74)))</f>
        <v/>
      </c>
      <c r="V74" s="11">
        <f>IF(J74="","",S74*(IFERROR(INDEX(Settings!$B$5:$B$9,MATCH($B74,Settings!$A$5:$A$9,0)),0)+IFERROR(INDEX(Settings!$E$5:$E$9,MATCH($B74,Settings!$A$5:$A$9,0)),0)+IFERROR(INDEX(Settings!$G$5:$G$9,MATCH($B74,Settings!$A$5:$A$9,0)),0))+(IFERROR(INDEX(Settings!$C$5:$C$9,MATCH($B74,Settings!$A$5:$A$9,0)),0)+IFERROR(INDEX(Settings!$F$5:$F$9,MATCH($B74,Settings!$A$5:$A$9,0)),0))/P74+IFERROR(INDEX(Settings!$D$5:$D$9,MATCH($B74,Settings!$A$5:$A$9,0)),0)*M74)</f>
        <v/>
      </c>
      <c r="W74" s="11">
        <f>IF(J74="","",IF(T74="",0,M74*INDEX(Products!$I$5:$I$204,T74)))</f>
        <v/>
      </c>
      <c r="X74" s="11">
        <f>IF(J74="","",IF(T74="",0,S74*INDEX(Products!$H$5:$H$204,T74)))</f>
        <v/>
      </c>
      <c r="Y74" s="11">
        <f>IF(J74="","",S74-V74-W74-X74)</f>
        <v/>
      </c>
    </row>
    <row r="75">
      <c r="A75" s="19" t="n"/>
      <c r="B75" s="19" t="n"/>
      <c r="C75" s="19" t="n"/>
      <c r="D75" s="19" t="n"/>
      <c r="E75" s="19" t="n"/>
      <c r="F75" s="20" t="n"/>
      <c r="G75" s="20" t="n"/>
      <c r="H75" s="20" t="n"/>
      <c r="I75" s="19" t="n"/>
      <c r="J75">
        <f>IFERROR(IF(C75="","",C75)&amp;"","")</f>
        <v/>
      </c>
      <c r="K75">
        <f>IFERROR(IF(D75="","",D75)&amp;"","")</f>
        <v/>
      </c>
      <c r="L75">
        <f>IFERROR(IF(I75="","",I75)&amp;"","")</f>
        <v/>
      </c>
      <c r="M75">
        <f>IF(J75="","",IFERROR(VALUE(SUBSTITUTE(SUBSTITUTE(IF(E75="","",E75)&amp;"","$",""),",","")),0))</f>
        <v/>
      </c>
      <c r="N75" s="11">
        <f>IF(J75="","",IFERROR(VALUE(SUBSTITUTE(SUBSTITUTE(IF(F75="","",F75)&amp;"","$",""),",","")),0))</f>
        <v/>
      </c>
      <c r="O75" s="11">
        <f>IF(J75="","",M75*N75)</f>
        <v/>
      </c>
      <c r="P75">
        <f>IF(J75="","",IF(L75="",1,COUNTIF($L$2:$L$1501,L75)))</f>
        <v/>
      </c>
      <c r="Q75" s="11">
        <f>IF(J75="","",IFERROR(VALUE(SUBSTITUTE(SUBSTITUTE(IF(G75="","",G75)&amp;"","$",""),",","")),0)/IF("No"="Yes",P75,1))</f>
        <v/>
      </c>
      <c r="R75" s="11">
        <f>IF(J75="","",IFERROR(VALUE(SUBSTITUTE(SUBSTITUTE(IF(H75="","",H75)&amp;"","$",""),",","")),0)/IF("No"="Yes",P75,1))</f>
        <v/>
      </c>
      <c r="S75" s="11">
        <f>IF(J75="","",O75+Q75-R75)</f>
        <v/>
      </c>
      <c r="T75">
        <f>IF(J75="","",IFERROR(IF(K75="",NA(),MATCH(K75,Products!$B$5:$B$204,0)),IFERROR(MATCH(J75,Products!$A$5:$A$204,0),"")))</f>
        <v/>
      </c>
      <c r="U75">
        <f>IF(J75="","",IF(T75="","⚠ not in Products",INDEX(Products!$A$5:$A$204,T75)))</f>
        <v/>
      </c>
      <c r="V75" s="11">
        <f>IF(J75="","",S75*(IFERROR(INDEX(Settings!$B$5:$B$9,MATCH($B75,Settings!$A$5:$A$9,0)),0)+IFERROR(INDEX(Settings!$E$5:$E$9,MATCH($B75,Settings!$A$5:$A$9,0)),0)+IFERROR(INDEX(Settings!$G$5:$G$9,MATCH($B75,Settings!$A$5:$A$9,0)),0))+(IFERROR(INDEX(Settings!$C$5:$C$9,MATCH($B75,Settings!$A$5:$A$9,0)),0)+IFERROR(INDEX(Settings!$F$5:$F$9,MATCH($B75,Settings!$A$5:$A$9,0)),0))/P75+IFERROR(INDEX(Settings!$D$5:$D$9,MATCH($B75,Settings!$A$5:$A$9,0)),0)*M75)</f>
        <v/>
      </c>
      <c r="W75" s="11">
        <f>IF(J75="","",IF(T75="",0,M75*INDEX(Products!$I$5:$I$204,T75)))</f>
        <v/>
      </c>
      <c r="X75" s="11">
        <f>IF(J75="","",IF(T75="",0,S75*INDEX(Products!$H$5:$H$204,T75)))</f>
        <v/>
      </c>
      <c r="Y75" s="11">
        <f>IF(J75="","",S75-V75-W75-X75)</f>
        <v/>
      </c>
    </row>
    <row r="76">
      <c r="A76" s="19" t="n"/>
      <c r="B76" s="19" t="n"/>
      <c r="C76" s="19" t="n"/>
      <c r="D76" s="19" t="n"/>
      <c r="E76" s="19" t="n"/>
      <c r="F76" s="20" t="n"/>
      <c r="G76" s="20" t="n"/>
      <c r="H76" s="20" t="n"/>
      <c r="I76" s="19" t="n"/>
      <c r="J76">
        <f>IFERROR(IF(C76="","",C76)&amp;"","")</f>
        <v/>
      </c>
      <c r="K76">
        <f>IFERROR(IF(D76="","",D76)&amp;"","")</f>
        <v/>
      </c>
      <c r="L76">
        <f>IFERROR(IF(I76="","",I76)&amp;"","")</f>
        <v/>
      </c>
      <c r="M76">
        <f>IF(J76="","",IFERROR(VALUE(SUBSTITUTE(SUBSTITUTE(IF(E76="","",E76)&amp;"","$",""),",","")),0))</f>
        <v/>
      </c>
      <c r="N76" s="11">
        <f>IF(J76="","",IFERROR(VALUE(SUBSTITUTE(SUBSTITUTE(IF(F76="","",F76)&amp;"","$",""),",","")),0))</f>
        <v/>
      </c>
      <c r="O76" s="11">
        <f>IF(J76="","",M76*N76)</f>
        <v/>
      </c>
      <c r="P76">
        <f>IF(J76="","",IF(L76="",1,COUNTIF($L$2:$L$1501,L76)))</f>
        <v/>
      </c>
      <c r="Q76" s="11">
        <f>IF(J76="","",IFERROR(VALUE(SUBSTITUTE(SUBSTITUTE(IF(G76="","",G76)&amp;"","$",""),",","")),0)/IF("No"="Yes",P76,1))</f>
        <v/>
      </c>
      <c r="R76" s="11">
        <f>IF(J76="","",IFERROR(VALUE(SUBSTITUTE(SUBSTITUTE(IF(H76="","",H76)&amp;"","$",""),",","")),0)/IF("No"="Yes",P76,1))</f>
        <v/>
      </c>
      <c r="S76" s="11">
        <f>IF(J76="","",O76+Q76-R76)</f>
        <v/>
      </c>
      <c r="T76">
        <f>IF(J76="","",IFERROR(IF(K76="",NA(),MATCH(K76,Products!$B$5:$B$204,0)),IFERROR(MATCH(J76,Products!$A$5:$A$204,0),"")))</f>
        <v/>
      </c>
      <c r="U76">
        <f>IF(J76="","",IF(T76="","⚠ not in Products",INDEX(Products!$A$5:$A$204,T76)))</f>
        <v/>
      </c>
      <c r="V76" s="11">
        <f>IF(J76="","",S76*(IFERROR(INDEX(Settings!$B$5:$B$9,MATCH($B76,Settings!$A$5:$A$9,0)),0)+IFERROR(INDEX(Settings!$E$5:$E$9,MATCH($B76,Settings!$A$5:$A$9,0)),0)+IFERROR(INDEX(Settings!$G$5:$G$9,MATCH($B76,Settings!$A$5:$A$9,0)),0))+(IFERROR(INDEX(Settings!$C$5:$C$9,MATCH($B76,Settings!$A$5:$A$9,0)),0)+IFERROR(INDEX(Settings!$F$5:$F$9,MATCH($B76,Settings!$A$5:$A$9,0)),0))/P76+IFERROR(INDEX(Settings!$D$5:$D$9,MATCH($B76,Settings!$A$5:$A$9,0)),0)*M76)</f>
        <v/>
      </c>
      <c r="W76" s="11">
        <f>IF(J76="","",IF(T76="",0,M76*INDEX(Products!$I$5:$I$204,T76)))</f>
        <v/>
      </c>
      <c r="X76" s="11">
        <f>IF(J76="","",IF(T76="",0,S76*INDEX(Products!$H$5:$H$204,T76)))</f>
        <v/>
      </c>
      <c r="Y76" s="11">
        <f>IF(J76="","",S76-V76-W76-X76)</f>
        <v/>
      </c>
    </row>
    <row r="77">
      <c r="A77" s="19" t="n"/>
      <c r="B77" s="19" t="n"/>
      <c r="C77" s="19" t="n"/>
      <c r="D77" s="19" t="n"/>
      <c r="E77" s="19" t="n"/>
      <c r="F77" s="20" t="n"/>
      <c r="G77" s="20" t="n"/>
      <c r="H77" s="20" t="n"/>
      <c r="I77" s="19" t="n"/>
      <c r="J77">
        <f>IFERROR(IF(C77="","",C77)&amp;"","")</f>
        <v/>
      </c>
      <c r="K77">
        <f>IFERROR(IF(D77="","",D77)&amp;"","")</f>
        <v/>
      </c>
      <c r="L77">
        <f>IFERROR(IF(I77="","",I77)&amp;"","")</f>
        <v/>
      </c>
      <c r="M77">
        <f>IF(J77="","",IFERROR(VALUE(SUBSTITUTE(SUBSTITUTE(IF(E77="","",E77)&amp;"","$",""),",","")),0))</f>
        <v/>
      </c>
      <c r="N77" s="11">
        <f>IF(J77="","",IFERROR(VALUE(SUBSTITUTE(SUBSTITUTE(IF(F77="","",F77)&amp;"","$",""),",","")),0))</f>
        <v/>
      </c>
      <c r="O77" s="11">
        <f>IF(J77="","",M77*N77)</f>
        <v/>
      </c>
      <c r="P77">
        <f>IF(J77="","",IF(L77="",1,COUNTIF($L$2:$L$1501,L77)))</f>
        <v/>
      </c>
      <c r="Q77" s="11">
        <f>IF(J77="","",IFERROR(VALUE(SUBSTITUTE(SUBSTITUTE(IF(G77="","",G77)&amp;"","$",""),",","")),0)/IF("No"="Yes",P77,1))</f>
        <v/>
      </c>
      <c r="R77" s="11">
        <f>IF(J77="","",IFERROR(VALUE(SUBSTITUTE(SUBSTITUTE(IF(H77="","",H77)&amp;"","$",""),",","")),0)/IF("No"="Yes",P77,1))</f>
        <v/>
      </c>
      <c r="S77" s="11">
        <f>IF(J77="","",O77+Q77-R77)</f>
        <v/>
      </c>
      <c r="T77">
        <f>IF(J77="","",IFERROR(IF(K77="",NA(),MATCH(K77,Products!$B$5:$B$204,0)),IFERROR(MATCH(J77,Products!$A$5:$A$204,0),"")))</f>
        <v/>
      </c>
      <c r="U77">
        <f>IF(J77="","",IF(T77="","⚠ not in Products",INDEX(Products!$A$5:$A$204,T77)))</f>
        <v/>
      </c>
      <c r="V77" s="11">
        <f>IF(J77="","",S77*(IFERROR(INDEX(Settings!$B$5:$B$9,MATCH($B77,Settings!$A$5:$A$9,0)),0)+IFERROR(INDEX(Settings!$E$5:$E$9,MATCH($B77,Settings!$A$5:$A$9,0)),0)+IFERROR(INDEX(Settings!$G$5:$G$9,MATCH($B77,Settings!$A$5:$A$9,0)),0))+(IFERROR(INDEX(Settings!$C$5:$C$9,MATCH($B77,Settings!$A$5:$A$9,0)),0)+IFERROR(INDEX(Settings!$F$5:$F$9,MATCH($B77,Settings!$A$5:$A$9,0)),0))/P77+IFERROR(INDEX(Settings!$D$5:$D$9,MATCH($B77,Settings!$A$5:$A$9,0)),0)*M77)</f>
        <v/>
      </c>
      <c r="W77" s="11">
        <f>IF(J77="","",IF(T77="",0,M77*INDEX(Products!$I$5:$I$204,T77)))</f>
        <v/>
      </c>
      <c r="X77" s="11">
        <f>IF(J77="","",IF(T77="",0,S77*INDEX(Products!$H$5:$H$204,T77)))</f>
        <v/>
      </c>
      <c r="Y77" s="11">
        <f>IF(J77="","",S77-V77-W77-X77)</f>
        <v/>
      </c>
    </row>
    <row r="78">
      <c r="A78" s="19" t="n"/>
      <c r="B78" s="19" t="n"/>
      <c r="C78" s="19" t="n"/>
      <c r="D78" s="19" t="n"/>
      <c r="E78" s="19" t="n"/>
      <c r="F78" s="20" t="n"/>
      <c r="G78" s="20" t="n"/>
      <c r="H78" s="20" t="n"/>
      <c r="I78" s="19" t="n"/>
      <c r="J78">
        <f>IFERROR(IF(C78="","",C78)&amp;"","")</f>
        <v/>
      </c>
      <c r="K78">
        <f>IFERROR(IF(D78="","",D78)&amp;"","")</f>
        <v/>
      </c>
      <c r="L78">
        <f>IFERROR(IF(I78="","",I78)&amp;"","")</f>
        <v/>
      </c>
      <c r="M78">
        <f>IF(J78="","",IFERROR(VALUE(SUBSTITUTE(SUBSTITUTE(IF(E78="","",E78)&amp;"","$",""),",","")),0))</f>
        <v/>
      </c>
      <c r="N78" s="11">
        <f>IF(J78="","",IFERROR(VALUE(SUBSTITUTE(SUBSTITUTE(IF(F78="","",F78)&amp;"","$",""),",","")),0))</f>
        <v/>
      </c>
      <c r="O78" s="11">
        <f>IF(J78="","",M78*N78)</f>
        <v/>
      </c>
      <c r="P78">
        <f>IF(J78="","",IF(L78="",1,COUNTIF($L$2:$L$1501,L78)))</f>
        <v/>
      </c>
      <c r="Q78" s="11">
        <f>IF(J78="","",IFERROR(VALUE(SUBSTITUTE(SUBSTITUTE(IF(G78="","",G78)&amp;"","$",""),",","")),0)/IF("No"="Yes",P78,1))</f>
        <v/>
      </c>
      <c r="R78" s="11">
        <f>IF(J78="","",IFERROR(VALUE(SUBSTITUTE(SUBSTITUTE(IF(H78="","",H78)&amp;"","$",""),",","")),0)/IF("No"="Yes",P78,1))</f>
        <v/>
      </c>
      <c r="S78" s="11">
        <f>IF(J78="","",O78+Q78-R78)</f>
        <v/>
      </c>
      <c r="T78">
        <f>IF(J78="","",IFERROR(IF(K78="",NA(),MATCH(K78,Products!$B$5:$B$204,0)),IFERROR(MATCH(J78,Products!$A$5:$A$204,0),"")))</f>
        <v/>
      </c>
      <c r="U78">
        <f>IF(J78="","",IF(T78="","⚠ not in Products",INDEX(Products!$A$5:$A$204,T78)))</f>
        <v/>
      </c>
      <c r="V78" s="11">
        <f>IF(J78="","",S78*(IFERROR(INDEX(Settings!$B$5:$B$9,MATCH($B78,Settings!$A$5:$A$9,0)),0)+IFERROR(INDEX(Settings!$E$5:$E$9,MATCH($B78,Settings!$A$5:$A$9,0)),0)+IFERROR(INDEX(Settings!$G$5:$G$9,MATCH($B78,Settings!$A$5:$A$9,0)),0))+(IFERROR(INDEX(Settings!$C$5:$C$9,MATCH($B78,Settings!$A$5:$A$9,0)),0)+IFERROR(INDEX(Settings!$F$5:$F$9,MATCH($B78,Settings!$A$5:$A$9,0)),0))/P78+IFERROR(INDEX(Settings!$D$5:$D$9,MATCH($B78,Settings!$A$5:$A$9,0)),0)*M78)</f>
        <v/>
      </c>
      <c r="W78" s="11">
        <f>IF(J78="","",IF(T78="",0,M78*INDEX(Products!$I$5:$I$204,T78)))</f>
        <v/>
      </c>
      <c r="X78" s="11">
        <f>IF(J78="","",IF(T78="",0,S78*INDEX(Products!$H$5:$H$204,T78)))</f>
        <v/>
      </c>
      <c r="Y78" s="11">
        <f>IF(J78="","",S78-V78-W78-X78)</f>
        <v/>
      </c>
    </row>
    <row r="79">
      <c r="A79" s="19" t="n"/>
      <c r="B79" s="19" t="n"/>
      <c r="C79" s="19" t="n"/>
      <c r="D79" s="19" t="n"/>
      <c r="E79" s="19" t="n"/>
      <c r="F79" s="20" t="n"/>
      <c r="G79" s="20" t="n"/>
      <c r="H79" s="20" t="n"/>
      <c r="I79" s="19" t="n"/>
      <c r="J79">
        <f>IFERROR(IF(C79="","",C79)&amp;"","")</f>
        <v/>
      </c>
      <c r="K79">
        <f>IFERROR(IF(D79="","",D79)&amp;"","")</f>
        <v/>
      </c>
      <c r="L79">
        <f>IFERROR(IF(I79="","",I79)&amp;"","")</f>
        <v/>
      </c>
      <c r="M79">
        <f>IF(J79="","",IFERROR(VALUE(SUBSTITUTE(SUBSTITUTE(IF(E79="","",E79)&amp;"","$",""),",","")),0))</f>
        <v/>
      </c>
      <c r="N79" s="11">
        <f>IF(J79="","",IFERROR(VALUE(SUBSTITUTE(SUBSTITUTE(IF(F79="","",F79)&amp;"","$",""),",","")),0))</f>
        <v/>
      </c>
      <c r="O79" s="11">
        <f>IF(J79="","",M79*N79)</f>
        <v/>
      </c>
      <c r="P79">
        <f>IF(J79="","",IF(L79="",1,COUNTIF($L$2:$L$1501,L79)))</f>
        <v/>
      </c>
      <c r="Q79" s="11">
        <f>IF(J79="","",IFERROR(VALUE(SUBSTITUTE(SUBSTITUTE(IF(G79="","",G79)&amp;"","$",""),",","")),0)/IF("No"="Yes",P79,1))</f>
        <v/>
      </c>
      <c r="R79" s="11">
        <f>IF(J79="","",IFERROR(VALUE(SUBSTITUTE(SUBSTITUTE(IF(H79="","",H79)&amp;"","$",""),",","")),0)/IF("No"="Yes",P79,1))</f>
        <v/>
      </c>
      <c r="S79" s="11">
        <f>IF(J79="","",O79+Q79-R79)</f>
        <v/>
      </c>
      <c r="T79">
        <f>IF(J79="","",IFERROR(IF(K79="",NA(),MATCH(K79,Products!$B$5:$B$204,0)),IFERROR(MATCH(J79,Products!$A$5:$A$204,0),"")))</f>
        <v/>
      </c>
      <c r="U79">
        <f>IF(J79="","",IF(T79="","⚠ not in Products",INDEX(Products!$A$5:$A$204,T79)))</f>
        <v/>
      </c>
      <c r="V79" s="11">
        <f>IF(J79="","",S79*(IFERROR(INDEX(Settings!$B$5:$B$9,MATCH($B79,Settings!$A$5:$A$9,0)),0)+IFERROR(INDEX(Settings!$E$5:$E$9,MATCH($B79,Settings!$A$5:$A$9,0)),0)+IFERROR(INDEX(Settings!$G$5:$G$9,MATCH($B79,Settings!$A$5:$A$9,0)),0))+(IFERROR(INDEX(Settings!$C$5:$C$9,MATCH($B79,Settings!$A$5:$A$9,0)),0)+IFERROR(INDEX(Settings!$F$5:$F$9,MATCH($B79,Settings!$A$5:$A$9,0)),0))/P79+IFERROR(INDEX(Settings!$D$5:$D$9,MATCH($B79,Settings!$A$5:$A$9,0)),0)*M79)</f>
        <v/>
      </c>
      <c r="W79" s="11">
        <f>IF(J79="","",IF(T79="",0,M79*INDEX(Products!$I$5:$I$204,T79)))</f>
        <v/>
      </c>
      <c r="X79" s="11">
        <f>IF(J79="","",IF(T79="",0,S79*INDEX(Products!$H$5:$H$204,T79)))</f>
        <v/>
      </c>
      <c r="Y79" s="11">
        <f>IF(J79="","",S79-V79-W79-X79)</f>
        <v/>
      </c>
    </row>
    <row r="80">
      <c r="A80" s="19" t="n"/>
      <c r="B80" s="19" t="n"/>
      <c r="C80" s="19" t="n"/>
      <c r="D80" s="19" t="n"/>
      <c r="E80" s="19" t="n"/>
      <c r="F80" s="20" t="n"/>
      <c r="G80" s="20" t="n"/>
      <c r="H80" s="20" t="n"/>
      <c r="I80" s="19" t="n"/>
      <c r="J80">
        <f>IFERROR(IF(C80="","",C80)&amp;"","")</f>
        <v/>
      </c>
      <c r="K80">
        <f>IFERROR(IF(D80="","",D80)&amp;"","")</f>
        <v/>
      </c>
      <c r="L80">
        <f>IFERROR(IF(I80="","",I80)&amp;"","")</f>
        <v/>
      </c>
      <c r="M80">
        <f>IF(J80="","",IFERROR(VALUE(SUBSTITUTE(SUBSTITUTE(IF(E80="","",E80)&amp;"","$",""),",","")),0))</f>
        <v/>
      </c>
      <c r="N80" s="11">
        <f>IF(J80="","",IFERROR(VALUE(SUBSTITUTE(SUBSTITUTE(IF(F80="","",F80)&amp;"","$",""),",","")),0))</f>
        <v/>
      </c>
      <c r="O80" s="11">
        <f>IF(J80="","",M80*N80)</f>
        <v/>
      </c>
      <c r="P80">
        <f>IF(J80="","",IF(L80="",1,COUNTIF($L$2:$L$1501,L80)))</f>
        <v/>
      </c>
      <c r="Q80" s="11">
        <f>IF(J80="","",IFERROR(VALUE(SUBSTITUTE(SUBSTITUTE(IF(G80="","",G80)&amp;"","$",""),",","")),0)/IF("No"="Yes",P80,1))</f>
        <v/>
      </c>
      <c r="R80" s="11">
        <f>IF(J80="","",IFERROR(VALUE(SUBSTITUTE(SUBSTITUTE(IF(H80="","",H80)&amp;"","$",""),",","")),0)/IF("No"="Yes",P80,1))</f>
        <v/>
      </c>
      <c r="S80" s="11">
        <f>IF(J80="","",O80+Q80-R80)</f>
        <v/>
      </c>
      <c r="T80">
        <f>IF(J80="","",IFERROR(IF(K80="",NA(),MATCH(K80,Products!$B$5:$B$204,0)),IFERROR(MATCH(J80,Products!$A$5:$A$204,0),"")))</f>
        <v/>
      </c>
      <c r="U80">
        <f>IF(J80="","",IF(T80="","⚠ not in Products",INDEX(Products!$A$5:$A$204,T80)))</f>
        <v/>
      </c>
      <c r="V80" s="11">
        <f>IF(J80="","",S80*(IFERROR(INDEX(Settings!$B$5:$B$9,MATCH($B80,Settings!$A$5:$A$9,0)),0)+IFERROR(INDEX(Settings!$E$5:$E$9,MATCH($B80,Settings!$A$5:$A$9,0)),0)+IFERROR(INDEX(Settings!$G$5:$G$9,MATCH($B80,Settings!$A$5:$A$9,0)),0))+(IFERROR(INDEX(Settings!$C$5:$C$9,MATCH($B80,Settings!$A$5:$A$9,0)),0)+IFERROR(INDEX(Settings!$F$5:$F$9,MATCH($B80,Settings!$A$5:$A$9,0)),0))/P80+IFERROR(INDEX(Settings!$D$5:$D$9,MATCH($B80,Settings!$A$5:$A$9,0)),0)*M80)</f>
        <v/>
      </c>
      <c r="W80" s="11">
        <f>IF(J80="","",IF(T80="",0,M80*INDEX(Products!$I$5:$I$204,T80)))</f>
        <v/>
      </c>
      <c r="X80" s="11">
        <f>IF(J80="","",IF(T80="",0,S80*INDEX(Products!$H$5:$H$204,T80)))</f>
        <v/>
      </c>
      <c r="Y80" s="11">
        <f>IF(J80="","",S80-V80-W80-X80)</f>
        <v/>
      </c>
    </row>
    <row r="81">
      <c r="A81" s="19" t="n"/>
      <c r="B81" s="19" t="n"/>
      <c r="C81" s="19" t="n"/>
      <c r="D81" s="19" t="n"/>
      <c r="E81" s="19" t="n"/>
      <c r="F81" s="20" t="n"/>
      <c r="G81" s="20" t="n"/>
      <c r="H81" s="20" t="n"/>
      <c r="I81" s="19" t="n"/>
      <c r="J81">
        <f>IFERROR(IF(C81="","",C81)&amp;"","")</f>
        <v/>
      </c>
      <c r="K81">
        <f>IFERROR(IF(D81="","",D81)&amp;"","")</f>
        <v/>
      </c>
      <c r="L81">
        <f>IFERROR(IF(I81="","",I81)&amp;"","")</f>
        <v/>
      </c>
      <c r="M81">
        <f>IF(J81="","",IFERROR(VALUE(SUBSTITUTE(SUBSTITUTE(IF(E81="","",E81)&amp;"","$",""),",","")),0))</f>
        <v/>
      </c>
      <c r="N81" s="11">
        <f>IF(J81="","",IFERROR(VALUE(SUBSTITUTE(SUBSTITUTE(IF(F81="","",F81)&amp;"","$",""),",","")),0))</f>
        <v/>
      </c>
      <c r="O81" s="11">
        <f>IF(J81="","",M81*N81)</f>
        <v/>
      </c>
      <c r="P81">
        <f>IF(J81="","",IF(L81="",1,COUNTIF($L$2:$L$1501,L81)))</f>
        <v/>
      </c>
      <c r="Q81" s="11">
        <f>IF(J81="","",IFERROR(VALUE(SUBSTITUTE(SUBSTITUTE(IF(G81="","",G81)&amp;"","$",""),",","")),0)/IF("No"="Yes",P81,1))</f>
        <v/>
      </c>
      <c r="R81" s="11">
        <f>IF(J81="","",IFERROR(VALUE(SUBSTITUTE(SUBSTITUTE(IF(H81="","",H81)&amp;"","$",""),",","")),0)/IF("No"="Yes",P81,1))</f>
        <v/>
      </c>
      <c r="S81" s="11">
        <f>IF(J81="","",O81+Q81-R81)</f>
        <v/>
      </c>
      <c r="T81">
        <f>IF(J81="","",IFERROR(IF(K81="",NA(),MATCH(K81,Products!$B$5:$B$204,0)),IFERROR(MATCH(J81,Products!$A$5:$A$204,0),"")))</f>
        <v/>
      </c>
      <c r="U81">
        <f>IF(J81="","",IF(T81="","⚠ not in Products",INDEX(Products!$A$5:$A$204,T81)))</f>
        <v/>
      </c>
      <c r="V81" s="11">
        <f>IF(J81="","",S81*(IFERROR(INDEX(Settings!$B$5:$B$9,MATCH($B81,Settings!$A$5:$A$9,0)),0)+IFERROR(INDEX(Settings!$E$5:$E$9,MATCH($B81,Settings!$A$5:$A$9,0)),0)+IFERROR(INDEX(Settings!$G$5:$G$9,MATCH($B81,Settings!$A$5:$A$9,0)),0))+(IFERROR(INDEX(Settings!$C$5:$C$9,MATCH($B81,Settings!$A$5:$A$9,0)),0)+IFERROR(INDEX(Settings!$F$5:$F$9,MATCH($B81,Settings!$A$5:$A$9,0)),0))/P81+IFERROR(INDEX(Settings!$D$5:$D$9,MATCH($B81,Settings!$A$5:$A$9,0)),0)*M81)</f>
        <v/>
      </c>
      <c r="W81" s="11">
        <f>IF(J81="","",IF(T81="",0,M81*INDEX(Products!$I$5:$I$204,T81)))</f>
        <v/>
      </c>
      <c r="X81" s="11">
        <f>IF(J81="","",IF(T81="",0,S81*INDEX(Products!$H$5:$H$204,T81)))</f>
        <v/>
      </c>
      <c r="Y81" s="11">
        <f>IF(J81="","",S81-V81-W81-X81)</f>
        <v/>
      </c>
    </row>
    <row r="82">
      <c r="A82" s="19" t="n"/>
      <c r="B82" s="19" t="n"/>
      <c r="C82" s="19" t="n"/>
      <c r="D82" s="19" t="n"/>
      <c r="E82" s="19" t="n"/>
      <c r="F82" s="20" t="n"/>
      <c r="G82" s="20" t="n"/>
      <c r="H82" s="20" t="n"/>
      <c r="I82" s="19" t="n"/>
      <c r="J82">
        <f>IFERROR(IF(C82="","",C82)&amp;"","")</f>
        <v/>
      </c>
      <c r="K82">
        <f>IFERROR(IF(D82="","",D82)&amp;"","")</f>
        <v/>
      </c>
      <c r="L82">
        <f>IFERROR(IF(I82="","",I82)&amp;"","")</f>
        <v/>
      </c>
      <c r="M82">
        <f>IF(J82="","",IFERROR(VALUE(SUBSTITUTE(SUBSTITUTE(IF(E82="","",E82)&amp;"","$",""),",","")),0))</f>
        <v/>
      </c>
      <c r="N82" s="11">
        <f>IF(J82="","",IFERROR(VALUE(SUBSTITUTE(SUBSTITUTE(IF(F82="","",F82)&amp;"","$",""),",","")),0))</f>
        <v/>
      </c>
      <c r="O82" s="11">
        <f>IF(J82="","",M82*N82)</f>
        <v/>
      </c>
      <c r="P82">
        <f>IF(J82="","",IF(L82="",1,COUNTIF($L$2:$L$1501,L82)))</f>
        <v/>
      </c>
      <c r="Q82" s="11">
        <f>IF(J82="","",IFERROR(VALUE(SUBSTITUTE(SUBSTITUTE(IF(G82="","",G82)&amp;"","$",""),",","")),0)/IF("No"="Yes",P82,1))</f>
        <v/>
      </c>
      <c r="R82" s="11">
        <f>IF(J82="","",IFERROR(VALUE(SUBSTITUTE(SUBSTITUTE(IF(H82="","",H82)&amp;"","$",""),",","")),0)/IF("No"="Yes",P82,1))</f>
        <v/>
      </c>
      <c r="S82" s="11">
        <f>IF(J82="","",O82+Q82-R82)</f>
        <v/>
      </c>
      <c r="T82">
        <f>IF(J82="","",IFERROR(IF(K82="",NA(),MATCH(K82,Products!$B$5:$B$204,0)),IFERROR(MATCH(J82,Products!$A$5:$A$204,0),"")))</f>
        <v/>
      </c>
      <c r="U82">
        <f>IF(J82="","",IF(T82="","⚠ not in Products",INDEX(Products!$A$5:$A$204,T82)))</f>
        <v/>
      </c>
      <c r="V82" s="11">
        <f>IF(J82="","",S82*(IFERROR(INDEX(Settings!$B$5:$B$9,MATCH($B82,Settings!$A$5:$A$9,0)),0)+IFERROR(INDEX(Settings!$E$5:$E$9,MATCH($B82,Settings!$A$5:$A$9,0)),0)+IFERROR(INDEX(Settings!$G$5:$G$9,MATCH($B82,Settings!$A$5:$A$9,0)),0))+(IFERROR(INDEX(Settings!$C$5:$C$9,MATCH($B82,Settings!$A$5:$A$9,0)),0)+IFERROR(INDEX(Settings!$F$5:$F$9,MATCH($B82,Settings!$A$5:$A$9,0)),0))/P82+IFERROR(INDEX(Settings!$D$5:$D$9,MATCH($B82,Settings!$A$5:$A$9,0)),0)*M82)</f>
        <v/>
      </c>
      <c r="W82" s="11">
        <f>IF(J82="","",IF(T82="",0,M82*INDEX(Products!$I$5:$I$204,T82)))</f>
        <v/>
      </c>
      <c r="X82" s="11">
        <f>IF(J82="","",IF(T82="",0,S82*INDEX(Products!$H$5:$H$204,T82)))</f>
        <v/>
      </c>
      <c r="Y82" s="11">
        <f>IF(J82="","",S82-V82-W82-X82)</f>
        <v/>
      </c>
    </row>
    <row r="83">
      <c r="A83" s="19" t="n"/>
      <c r="B83" s="19" t="n"/>
      <c r="C83" s="19" t="n"/>
      <c r="D83" s="19" t="n"/>
      <c r="E83" s="19" t="n"/>
      <c r="F83" s="20" t="n"/>
      <c r="G83" s="20" t="n"/>
      <c r="H83" s="20" t="n"/>
      <c r="I83" s="19" t="n"/>
      <c r="J83">
        <f>IFERROR(IF(C83="","",C83)&amp;"","")</f>
        <v/>
      </c>
      <c r="K83">
        <f>IFERROR(IF(D83="","",D83)&amp;"","")</f>
        <v/>
      </c>
      <c r="L83">
        <f>IFERROR(IF(I83="","",I83)&amp;"","")</f>
        <v/>
      </c>
      <c r="M83">
        <f>IF(J83="","",IFERROR(VALUE(SUBSTITUTE(SUBSTITUTE(IF(E83="","",E83)&amp;"","$",""),",","")),0))</f>
        <v/>
      </c>
      <c r="N83" s="11">
        <f>IF(J83="","",IFERROR(VALUE(SUBSTITUTE(SUBSTITUTE(IF(F83="","",F83)&amp;"","$",""),",","")),0))</f>
        <v/>
      </c>
      <c r="O83" s="11">
        <f>IF(J83="","",M83*N83)</f>
        <v/>
      </c>
      <c r="P83">
        <f>IF(J83="","",IF(L83="",1,COUNTIF($L$2:$L$1501,L83)))</f>
        <v/>
      </c>
      <c r="Q83" s="11">
        <f>IF(J83="","",IFERROR(VALUE(SUBSTITUTE(SUBSTITUTE(IF(G83="","",G83)&amp;"","$",""),",","")),0)/IF("No"="Yes",P83,1))</f>
        <v/>
      </c>
      <c r="R83" s="11">
        <f>IF(J83="","",IFERROR(VALUE(SUBSTITUTE(SUBSTITUTE(IF(H83="","",H83)&amp;"","$",""),",","")),0)/IF("No"="Yes",P83,1))</f>
        <v/>
      </c>
      <c r="S83" s="11">
        <f>IF(J83="","",O83+Q83-R83)</f>
        <v/>
      </c>
      <c r="T83">
        <f>IF(J83="","",IFERROR(IF(K83="",NA(),MATCH(K83,Products!$B$5:$B$204,0)),IFERROR(MATCH(J83,Products!$A$5:$A$204,0),"")))</f>
        <v/>
      </c>
      <c r="U83">
        <f>IF(J83="","",IF(T83="","⚠ not in Products",INDEX(Products!$A$5:$A$204,T83)))</f>
        <v/>
      </c>
      <c r="V83" s="11">
        <f>IF(J83="","",S83*(IFERROR(INDEX(Settings!$B$5:$B$9,MATCH($B83,Settings!$A$5:$A$9,0)),0)+IFERROR(INDEX(Settings!$E$5:$E$9,MATCH($B83,Settings!$A$5:$A$9,0)),0)+IFERROR(INDEX(Settings!$G$5:$G$9,MATCH($B83,Settings!$A$5:$A$9,0)),0))+(IFERROR(INDEX(Settings!$C$5:$C$9,MATCH($B83,Settings!$A$5:$A$9,0)),0)+IFERROR(INDEX(Settings!$F$5:$F$9,MATCH($B83,Settings!$A$5:$A$9,0)),0))/P83+IFERROR(INDEX(Settings!$D$5:$D$9,MATCH($B83,Settings!$A$5:$A$9,0)),0)*M83)</f>
        <v/>
      </c>
      <c r="W83" s="11">
        <f>IF(J83="","",IF(T83="",0,M83*INDEX(Products!$I$5:$I$204,T83)))</f>
        <v/>
      </c>
      <c r="X83" s="11">
        <f>IF(J83="","",IF(T83="",0,S83*INDEX(Products!$H$5:$H$204,T83)))</f>
        <v/>
      </c>
      <c r="Y83" s="11">
        <f>IF(J83="","",S83-V83-W83-X83)</f>
        <v/>
      </c>
    </row>
    <row r="84">
      <c r="A84" s="19" t="n"/>
      <c r="B84" s="19" t="n"/>
      <c r="C84" s="19" t="n"/>
      <c r="D84" s="19" t="n"/>
      <c r="E84" s="19" t="n"/>
      <c r="F84" s="20" t="n"/>
      <c r="G84" s="20" t="n"/>
      <c r="H84" s="20" t="n"/>
      <c r="I84" s="19" t="n"/>
      <c r="J84">
        <f>IFERROR(IF(C84="","",C84)&amp;"","")</f>
        <v/>
      </c>
      <c r="K84">
        <f>IFERROR(IF(D84="","",D84)&amp;"","")</f>
        <v/>
      </c>
      <c r="L84">
        <f>IFERROR(IF(I84="","",I84)&amp;"","")</f>
        <v/>
      </c>
      <c r="M84">
        <f>IF(J84="","",IFERROR(VALUE(SUBSTITUTE(SUBSTITUTE(IF(E84="","",E84)&amp;"","$",""),",","")),0))</f>
        <v/>
      </c>
      <c r="N84" s="11">
        <f>IF(J84="","",IFERROR(VALUE(SUBSTITUTE(SUBSTITUTE(IF(F84="","",F84)&amp;"","$",""),",","")),0))</f>
        <v/>
      </c>
      <c r="O84" s="11">
        <f>IF(J84="","",M84*N84)</f>
        <v/>
      </c>
      <c r="P84">
        <f>IF(J84="","",IF(L84="",1,COUNTIF($L$2:$L$1501,L84)))</f>
        <v/>
      </c>
      <c r="Q84" s="11">
        <f>IF(J84="","",IFERROR(VALUE(SUBSTITUTE(SUBSTITUTE(IF(G84="","",G84)&amp;"","$",""),",","")),0)/IF("No"="Yes",P84,1))</f>
        <v/>
      </c>
      <c r="R84" s="11">
        <f>IF(J84="","",IFERROR(VALUE(SUBSTITUTE(SUBSTITUTE(IF(H84="","",H84)&amp;"","$",""),",","")),0)/IF("No"="Yes",P84,1))</f>
        <v/>
      </c>
      <c r="S84" s="11">
        <f>IF(J84="","",O84+Q84-R84)</f>
        <v/>
      </c>
      <c r="T84">
        <f>IF(J84="","",IFERROR(IF(K84="",NA(),MATCH(K84,Products!$B$5:$B$204,0)),IFERROR(MATCH(J84,Products!$A$5:$A$204,0),"")))</f>
        <v/>
      </c>
      <c r="U84">
        <f>IF(J84="","",IF(T84="","⚠ not in Products",INDEX(Products!$A$5:$A$204,T84)))</f>
        <v/>
      </c>
      <c r="V84" s="11">
        <f>IF(J84="","",S84*(IFERROR(INDEX(Settings!$B$5:$B$9,MATCH($B84,Settings!$A$5:$A$9,0)),0)+IFERROR(INDEX(Settings!$E$5:$E$9,MATCH($B84,Settings!$A$5:$A$9,0)),0)+IFERROR(INDEX(Settings!$G$5:$G$9,MATCH($B84,Settings!$A$5:$A$9,0)),0))+(IFERROR(INDEX(Settings!$C$5:$C$9,MATCH($B84,Settings!$A$5:$A$9,0)),0)+IFERROR(INDEX(Settings!$F$5:$F$9,MATCH($B84,Settings!$A$5:$A$9,0)),0))/P84+IFERROR(INDEX(Settings!$D$5:$D$9,MATCH($B84,Settings!$A$5:$A$9,0)),0)*M84)</f>
        <v/>
      </c>
      <c r="W84" s="11">
        <f>IF(J84="","",IF(T84="",0,M84*INDEX(Products!$I$5:$I$204,T84)))</f>
        <v/>
      </c>
      <c r="X84" s="11">
        <f>IF(J84="","",IF(T84="",0,S84*INDEX(Products!$H$5:$H$204,T84)))</f>
        <v/>
      </c>
      <c r="Y84" s="11">
        <f>IF(J84="","",S84-V84-W84-X84)</f>
        <v/>
      </c>
    </row>
    <row r="85">
      <c r="A85" s="19" t="n"/>
      <c r="B85" s="19" t="n"/>
      <c r="C85" s="19" t="n"/>
      <c r="D85" s="19" t="n"/>
      <c r="E85" s="19" t="n"/>
      <c r="F85" s="20" t="n"/>
      <c r="G85" s="20" t="n"/>
      <c r="H85" s="20" t="n"/>
      <c r="I85" s="19" t="n"/>
      <c r="J85">
        <f>IFERROR(IF(C85="","",C85)&amp;"","")</f>
        <v/>
      </c>
      <c r="K85">
        <f>IFERROR(IF(D85="","",D85)&amp;"","")</f>
        <v/>
      </c>
      <c r="L85">
        <f>IFERROR(IF(I85="","",I85)&amp;"","")</f>
        <v/>
      </c>
      <c r="M85">
        <f>IF(J85="","",IFERROR(VALUE(SUBSTITUTE(SUBSTITUTE(IF(E85="","",E85)&amp;"","$",""),",","")),0))</f>
        <v/>
      </c>
      <c r="N85" s="11">
        <f>IF(J85="","",IFERROR(VALUE(SUBSTITUTE(SUBSTITUTE(IF(F85="","",F85)&amp;"","$",""),",","")),0))</f>
        <v/>
      </c>
      <c r="O85" s="11">
        <f>IF(J85="","",M85*N85)</f>
        <v/>
      </c>
      <c r="P85">
        <f>IF(J85="","",IF(L85="",1,COUNTIF($L$2:$L$1501,L85)))</f>
        <v/>
      </c>
      <c r="Q85" s="11">
        <f>IF(J85="","",IFERROR(VALUE(SUBSTITUTE(SUBSTITUTE(IF(G85="","",G85)&amp;"","$",""),",","")),0)/IF("No"="Yes",P85,1))</f>
        <v/>
      </c>
      <c r="R85" s="11">
        <f>IF(J85="","",IFERROR(VALUE(SUBSTITUTE(SUBSTITUTE(IF(H85="","",H85)&amp;"","$",""),",","")),0)/IF("No"="Yes",P85,1))</f>
        <v/>
      </c>
      <c r="S85" s="11">
        <f>IF(J85="","",O85+Q85-R85)</f>
        <v/>
      </c>
      <c r="T85">
        <f>IF(J85="","",IFERROR(IF(K85="",NA(),MATCH(K85,Products!$B$5:$B$204,0)),IFERROR(MATCH(J85,Products!$A$5:$A$204,0),"")))</f>
        <v/>
      </c>
      <c r="U85">
        <f>IF(J85="","",IF(T85="","⚠ not in Products",INDEX(Products!$A$5:$A$204,T85)))</f>
        <v/>
      </c>
      <c r="V85" s="11">
        <f>IF(J85="","",S85*(IFERROR(INDEX(Settings!$B$5:$B$9,MATCH($B85,Settings!$A$5:$A$9,0)),0)+IFERROR(INDEX(Settings!$E$5:$E$9,MATCH($B85,Settings!$A$5:$A$9,0)),0)+IFERROR(INDEX(Settings!$G$5:$G$9,MATCH($B85,Settings!$A$5:$A$9,0)),0))+(IFERROR(INDEX(Settings!$C$5:$C$9,MATCH($B85,Settings!$A$5:$A$9,0)),0)+IFERROR(INDEX(Settings!$F$5:$F$9,MATCH($B85,Settings!$A$5:$A$9,0)),0))/P85+IFERROR(INDEX(Settings!$D$5:$D$9,MATCH($B85,Settings!$A$5:$A$9,0)),0)*M85)</f>
        <v/>
      </c>
      <c r="W85" s="11">
        <f>IF(J85="","",IF(T85="",0,M85*INDEX(Products!$I$5:$I$204,T85)))</f>
        <v/>
      </c>
      <c r="X85" s="11">
        <f>IF(J85="","",IF(T85="",0,S85*INDEX(Products!$H$5:$H$204,T85)))</f>
        <v/>
      </c>
      <c r="Y85" s="11">
        <f>IF(J85="","",S85-V85-W85-X85)</f>
        <v/>
      </c>
    </row>
    <row r="86">
      <c r="A86" s="19" t="n"/>
      <c r="B86" s="19" t="n"/>
      <c r="C86" s="19" t="n"/>
      <c r="D86" s="19" t="n"/>
      <c r="E86" s="19" t="n"/>
      <c r="F86" s="20" t="n"/>
      <c r="G86" s="20" t="n"/>
      <c r="H86" s="20" t="n"/>
      <c r="I86" s="19" t="n"/>
      <c r="J86">
        <f>IFERROR(IF(C86="","",C86)&amp;"","")</f>
        <v/>
      </c>
      <c r="K86">
        <f>IFERROR(IF(D86="","",D86)&amp;"","")</f>
        <v/>
      </c>
      <c r="L86">
        <f>IFERROR(IF(I86="","",I86)&amp;"","")</f>
        <v/>
      </c>
      <c r="M86">
        <f>IF(J86="","",IFERROR(VALUE(SUBSTITUTE(SUBSTITUTE(IF(E86="","",E86)&amp;"","$",""),",","")),0))</f>
        <v/>
      </c>
      <c r="N86" s="11">
        <f>IF(J86="","",IFERROR(VALUE(SUBSTITUTE(SUBSTITUTE(IF(F86="","",F86)&amp;"","$",""),",","")),0))</f>
        <v/>
      </c>
      <c r="O86" s="11">
        <f>IF(J86="","",M86*N86)</f>
        <v/>
      </c>
      <c r="P86">
        <f>IF(J86="","",IF(L86="",1,COUNTIF($L$2:$L$1501,L86)))</f>
        <v/>
      </c>
      <c r="Q86" s="11">
        <f>IF(J86="","",IFERROR(VALUE(SUBSTITUTE(SUBSTITUTE(IF(G86="","",G86)&amp;"","$",""),",","")),0)/IF("No"="Yes",P86,1))</f>
        <v/>
      </c>
      <c r="R86" s="11">
        <f>IF(J86="","",IFERROR(VALUE(SUBSTITUTE(SUBSTITUTE(IF(H86="","",H86)&amp;"","$",""),",","")),0)/IF("No"="Yes",P86,1))</f>
        <v/>
      </c>
      <c r="S86" s="11">
        <f>IF(J86="","",O86+Q86-R86)</f>
        <v/>
      </c>
      <c r="T86">
        <f>IF(J86="","",IFERROR(IF(K86="",NA(),MATCH(K86,Products!$B$5:$B$204,0)),IFERROR(MATCH(J86,Products!$A$5:$A$204,0),"")))</f>
        <v/>
      </c>
      <c r="U86">
        <f>IF(J86="","",IF(T86="","⚠ not in Products",INDEX(Products!$A$5:$A$204,T86)))</f>
        <v/>
      </c>
      <c r="V86" s="11">
        <f>IF(J86="","",S86*(IFERROR(INDEX(Settings!$B$5:$B$9,MATCH($B86,Settings!$A$5:$A$9,0)),0)+IFERROR(INDEX(Settings!$E$5:$E$9,MATCH($B86,Settings!$A$5:$A$9,0)),0)+IFERROR(INDEX(Settings!$G$5:$G$9,MATCH($B86,Settings!$A$5:$A$9,0)),0))+(IFERROR(INDEX(Settings!$C$5:$C$9,MATCH($B86,Settings!$A$5:$A$9,0)),0)+IFERROR(INDEX(Settings!$F$5:$F$9,MATCH($B86,Settings!$A$5:$A$9,0)),0))/P86+IFERROR(INDEX(Settings!$D$5:$D$9,MATCH($B86,Settings!$A$5:$A$9,0)),0)*M86)</f>
        <v/>
      </c>
      <c r="W86" s="11">
        <f>IF(J86="","",IF(T86="",0,M86*INDEX(Products!$I$5:$I$204,T86)))</f>
        <v/>
      </c>
      <c r="X86" s="11">
        <f>IF(J86="","",IF(T86="",0,S86*INDEX(Products!$H$5:$H$204,T86)))</f>
        <v/>
      </c>
      <c r="Y86" s="11">
        <f>IF(J86="","",S86-V86-W86-X86)</f>
        <v/>
      </c>
    </row>
    <row r="87">
      <c r="A87" s="19" t="n"/>
      <c r="B87" s="19" t="n"/>
      <c r="C87" s="19" t="n"/>
      <c r="D87" s="19" t="n"/>
      <c r="E87" s="19" t="n"/>
      <c r="F87" s="20" t="n"/>
      <c r="G87" s="20" t="n"/>
      <c r="H87" s="20" t="n"/>
      <c r="I87" s="19" t="n"/>
      <c r="J87">
        <f>IFERROR(IF(C87="","",C87)&amp;"","")</f>
        <v/>
      </c>
      <c r="K87">
        <f>IFERROR(IF(D87="","",D87)&amp;"","")</f>
        <v/>
      </c>
      <c r="L87">
        <f>IFERROR(IF(I87="","",I87)&amp;"","")</f>
        <v/>
      </c>
      <c r="M87">
        <f>IF(J87="","",IFERROR(VALUE(SUBSTITUTE(SUBSTITUTE(IF(E87="","",E87)&amp;"","$",""),",","")),0))</f>
        <v/>
      </c>
      <c r="N87" s="11">
        <f>IF(J87="","",IFERROR(VALUE(SUBSTITUTE(SUBSTITUTE(IF(F87="","",F87)&amp;"","$",""),",","")),0))</f>
        <v/>
      </c>
      <c r="O87" s="11">
        <f>IF(J87="","",M87*N87)</f>
        <v/>
      </c>
      <c r="P87">
        <f>IF(J87="","",IF(L87="",1,COUNTIF($L$2:$L$1501,L87)))</f>
        <v/>
      </c>
      <c r="Q87" s="11">
        <f>IF(J87="","",IFERROR(VALUE(SUBSTITUTE(SUBSTITUTE(IF(G87="","",G87)&amp;"","$",""),",","")),0)/IF("No"="Yes",P87,1))</f>
        <v/>
      </c>
      <c r="R87" s="11">
        <f>IF(J87="","",IFERROR(VALUE(SUBSTITUTE(SUBSTITUTE(IF(H87="","",H87)&amp;"","$",""),",","")),0)/IF("No"="Yes",P87,1))</f>
        <v/>
      </c>
      <c r="S87" s="11">
        <f>IF(J87="","",O87+Q87-R87)</f>
        <v/>
      </c>
      <c r="T87">
        <f>IF(J87="","",IFERROR(IF(K87="",NA(),MATCH(K87,Products!$B$5:$B$204,0)),IFERROR(MATCH(J87,Products!$A$5:$A$204,0),"")))</f>
        <v/>
      </c>
      <c r="U87">
        <f>IF(J87="","",IF(T87="","⚠ not in Products",INDEX(Products!$A$5:$A$204,T87)))</f>
        <v/>
      </c>
      <c r="V87" s="11">
        <f>IF(J87="","",S87*(IFERROR(INDEX(Settings!$B$5:$B$9,MATCH($B87,Settings!$A$5:$A$9,0)),0)+IFERROR(INDEX(Settings!$E$5:$E$9,MATCH($B87,Settings!$A$5:$A$9,0)),0)+IFERROR(INDEX(Settings!$G$5:$G$9,MATCH($B87,Settings!$A$5:$A$9,0)),0))+(IFERROR(INDEX(Settings!$C$5:$C$9,MATCH($B87,Settings!$A$5:$A$9,0)),0)+IFERROR(INDEX(Settings!$F$5:$F$9,MATCH($B87,Settings!$A$5:$A$9,0)),0))/P87+IFERROR(INDEX(Settings!$D$5:$D$9,MATCH($B87,Settings!$A$5:$A$9,0)),0)*M87)</f>
        <v/>
      </c>
      <c r="W87" s="11">
        <f>IF(J87="","",IF(T87="",0,M87*INDEX(Products!$I$5:$I$204,T87)))</f>
        <v/>
      </c>
      <c r="X87" s="11">
        <f>IF(J87="","",IF(T87="",0,S87*INDEX(Products!$H$5:$H$204,T87)))</f>
        <v/>
      </c>
      <c r="Y87" s="11">
        <f>IF(J87="","",S87-V87-W87-X87)</f>
        <v/>
      </c>
    </row>
    <row r="88">
      <c r="A88" s="19" t="n"/>
      <c r="B88" s="19" t="n"/>
      <c r="C88" s="19" t="n"/>
      <c r="D88" s="19" t="n"/>
      <c r="E88" s="19" t="n"/>
      <c r="F88" s="20" t="n"/>
      <c r="G88" s="20" t="n"/>
      <c r="H88" s="20" t="n"/>
      <c r="I88" s="19" t="n"/>
      <c r="J88">
        <f>IFERROR(IF(C88="","",C88)&amp;"","")</f>
        <v/>
      </c>
      <c r="K88">
        <f>IFERROR(IF(D88="","",D88)&amp;"","")</f>
        <v/>
      </c>
      <c r="L88">
        <f>IFERROR(IF(I88="","",I88)&amp;"","")</f>
        <v/>
      </c>
      <c r="M88">
        <f>IF(J88="","",IFERROR(VALUE(SUBSTITUTE(SUBSTITUTE(IF(E88="","",E88)&amp;"","$",""),",","")),0))</f>
        <v/>
      </c>
      <c r="N88" s="11">
        <f>IF(J88="","",IFERROR(VALUE(SUBSTITUTE(SUBSTITUTE(IF(F88="","",F88)&amp;"","$",""),",","")),0))</f>
        <v/>
      </c>
      <c r="O88" s="11">
        <f>IF(J88="","",M88*N88)</f>
        <v/>
      </c>
      <c r="P88">
        <f>IF(J88="","",IF(L88="",1,COUNTIF($L$2:$L$1501,L88)))</f>
        <v/>
      </c>
      <c r="Q88" s="11">
        <f>IF(J88="","",IFERROR(VALUE(SUBSTITUTE(SUBSTITUTE(IF(G88="","",G88)&amp;"","$",""),",","")),0)/IF("No"="Yes",P88,1))</f>
        <v/>
      </c>
      <c r="R88" s="11">
        <f>IF(J88="","",IFERROR(VALUE(SUBSTITUTE(SUBSTITUTE(IF(H88="","",H88)&amp;"","$",""),",","")),0)/IF("No"="Yes",P88,1))</f>
        <v/>
      </c>
      <c r="S88" s="11">
        <f>IF(J88="","",O88+Q88-R88)</f>
        <v/>
      </c>
      <c r="T88">
        <f>IF(J88="","",IFERROR(IF(K88="",NA(),MATCH(K88,Products!$B$5:$B$204,0)),IFERROR(MATCH(J88,Products!$A$5:$A$204,0),"")))</f>
        <v/>
      </c>
      <c r="U88">
        <f>IF(J88="","",IF(T88="","⚠ not in Products",INDEX(Products!$A$5:$A$204,T88)))</f>
        <v/>
      </c>
      <c r="V88" s="11">
        <f>IF(J88="","",S88*(IFERROR(INDEX(Settings!$B$5:$B$9,MATCH($B88,Settings!$A$5:$A$9,0)),0)+IFERROR(INDEX(Settings!$E$5:$E$9,MATCH($B88,Settings!$A$5:$A$9,0)),0)+IFERROR(INDEX(Settings!$G$5:$G$9,MATCH($B88,Settings!$A$5:$A$9,0)),0))+(IFERROR(INDEX(Settings!$C$5:$C$9,MATCH($B88,Settings!$A$5:$A$9,0)),0)+IFERROR(INDEX(Settings!$F$5:$F$9,MATCH($B88,Settings!$A$5:$A$9,0)),0))/P88+IFERROR(INDEX(Settings!$D$5:$D$9,MATCH($B88,Settings!$A$5:$A$9,0)),0)*M88)</f>
        <v/>
      </c>
      <c r="W88" s="11">
        <f>IF(J88="","",IF(T88="",0,M88*INDEX(Products!$I$5:$I$204,T88)))</f>
        <v/>
      </c>
      <c r="X88" s="11">
        <f>IF(J88="","",IF(T88="",0,S88*INDEX(Products!$H$5:$H$204,T88)))</f>
        <v/>
      </c>
      <c r="Y88" s="11">
        <f>IF(J88="","",S88-V88-W88-X88)</f>
        <v/>
      </c>
    </row>
    <row r="89">
      <c r="A89" s="19" t="n"/>
      <c r="B89" s="19" t="n"/>
      <c r="C89" s="19" t="n"/>
      <c r="D89" s="19" t="n"/>
      <c r="E89" s="19" t="n"/>
      <c r="F89" s="20" t="n"/>
      <c r="G89" s="20" t="n"/>
      <c r="H89" s="20" t="n"/>
      <c r="I89" s="19" t="n"/>
      <c r="J89">
        <f>IFERROR(IF(C89="","",C89)&amp;"","")</f>
        <v/>
      </c>
      <c r="K89">
        <f>IFERROR(IF(D89="","",D89)&amp;"","")</f>
        <v/>
      </c>
      <c r="L89">
        <f>IFERROR(IF(I89="","",I89)&amp;"","")</f>
        <v/>
      </c>
      <c r="M89">
        <f>IF(J89="","",IFERROR(VALUE(SUBSTITUTE(SUBSTITUTE(IF(E89="","",E89)&amp;"","$",""),",","")),0))</f>
        <v/>
      </c>
      <c r="N89" s="11">
        <f>IF(J89="","",IFERROR(VALUE(SUBSTITUTE(SUBSTITUTE(IF(F89="","",F89)&amp;"","$",""),",","")),0))</f>
        <v/>
      </c>
      <c r="O89" s="11">
        <f>IF(J89="","",M89*N89)</f>
        <v/>
      </c>
      <c r="P89">
        <f>IF(J89="","",IF(L89="",1,COUNTIF($L$2:$L$1501,L89)))</f>
        <v/>
      </c>
      <c r="Q89" s="11">
        <f>IF(J89="","",IFERROR(VALUE(SUBSTITUTE(SUBSTITUTE(IF(G89="","",G89)&amp;"","$",""),",","")),0)/IF("No"="Yes",P89,1))</f>
        <v/>
      </c>
      <c r="R89" s="11">
        <f>IF(J89="","",IFERROR(VALUE(SUBSTITUTE(SUBSTITUTE(IF(H89="","",H89)&amp;"","$",""),",","")),0)/IF("No"="Yes",P89,1))</f>
        <v/>
      </c>
      <c r="S89" s="11">
        <f>IF(J89="","",O89+Q89-R89)</f>
        <v/>
      </c>
      <c r="T89">
        <f>IF(J89="","",IFERROR(IF(K89="",NA(),MATCH(K89,Products!$B$5:$B$204,0)),IFERROR(MATCH(J89,Products!$A$5:$A$204,0),"")))</f>
        <v/>
      </c>
      <c r="U89">
        <f>IF(J89="","",IF(T89="","⚠ not in Products",INDEX(Products!$A$5:$A$204,T89)))</f>
        <v/>
      </c>
      <c r="V89" s="11">
        <f>IF(J89="","",S89*(IFERROR(INDEX(Settings!$B$5:$B$9,MATCH($B89,Settings!$A$5:$A$9,0)),0)+IFERROR(INDEX(Settings!$E$5:$E$9,MATCH($B89,Settings!$A$5:$A$9,0)),0)+IFERROR(INDEX(Settings!$G$5:$G$9,MATCH($B89,Settings!$A$5:$A$9,0)),0))+(IFERROR(INDEX(Settings!$C$5:$C$9,MATCH($B89,Settings!$A$5:$A$9,0)),0)+IFERROR(INDEX(Settings!$F$5:$F$9,MATCH($B89,Settings!$A$5:$A$9,0)),0))/P89+IFERROR(INDEX(Settings!$D$5:$D$9,MATCH($B89,Settings!$A$5:$A$9,0)),0)*M89)</f>
        <v/>
      </c>
      <c r="W89" s="11">
        <f>IF(J89="","",IF(T89="",0,M89*INDEX(Products!$I$5:$I$204,T89)))</f>
        <v/>
      </c>
      <c r="X89" s="11">
        <f>IF(J89="","",IF(T89="",0,S89*INDEX(Products!$H$5:$H$204,T89)))</f>
        <v/>
      </c>
      <c r="Y89" s="11">
        <f>IF(J89="","",S89-V89-W89-X89)</f>
        <v/>
      </c>
    </row>
    <row r="90">
      <c r="A90" s="19" t="n"/>
      <c r="B90" s="19" t="n"/>
      <c r="C90" s="19" t="n"/>
      <c r="D90" s="19" t="n"/>
      <c r="E90" s="19" t="n"/>
      <c r="F90" s="20" t="n"/>
      <c r="G90" s="20" t="n"/>
      <c r="H90" s="20" t="n"/>
      <c r="I90" s="19" t="n"/>
      <c r="J90">
        <f>IFERROR(IF(C90="","",C90)&amp;"","")</f>
        <v/>
      </c>
      <c r="K90">
        <f>IFERROR(IF(D90="","",D90)&amp;"","")</f>
        <v/>
      </c>
      <c r="L90">
        <f>IFERROR(IF(I90="","",I90)&amp;"","")</f>
        <v/>
      </c>
      <c r="M90">
        <f>IF(J90="","",IFERROR(VALUE(SUBSTITUTE(SUBSTITUTE(IF(E90="","",E90)&amp;"","$",""),",","")),0))</f>
        <v/>
      </c>
      <c r="N90" s="11">
        <f>IF(J90="","",IFERROR(VALUE(SUBSTITUTE(SUBSTITUTE(IF(F90="","",F90)&amp;"","$",""),",","")),0))</f>
        <v/>
      </c>
      <c r="O90" s="11">
        <f>IF(J90="","",M90*N90)</f>
        <v/>
      </c>
      <c r="P90">
        <f>IF(J90="","",IF(L90="",1,COUNTIF($L$2:$L$1501,L90)))</f>
        <v/>
      </c>
      <c r="Q90" s="11">
        <f>IF(J90="","",IFERROR(VALUE(SUBSTITUTE(SUBSTITUTE(IF(G90="","",G90)&amp;"","$",""),",","")),0)/IF("No"="Yes",P90,1))</f>
        <v/>
      </c>
      <c r="R90" s="11">
        <f>IF(J90="","",IFERROR(VALUE(SUBSTITUTE(SUBSTITUTE(IF(H90="","",H90)&amp;"","$",""),",","")),0)/IF("No"="Yes",P90,1))</f>
        <v/>
      </c>
      <c r="S90" s="11">
        <f>IF(J90="","",O90+Q90-R90)</f>
        <v/>
      </c>
      <c r="T90">
        <f>IF(J90="","",IFERROR(IF(K90="",NA(),MATCH(K90,Products!$B$5:$B$204,0)),IFERROR(MATCH(J90,Products!$A$5:$A$204,0),"")))</f>
        <v/>
      </c>
      <c r="U90">
        <f>IF(J90="","",IF(T90="","⚠ not in Products",INDEX(Products!$A$5:$A$204,T90)))</f>
        <v/>
      </c>
      <c r="V90" s="11">
        <f>IF(J90="","",S90*(IFERROR(INDEX(Settings!$B$5:$B$9,MATCH($B90,Settings!$A$5:$A$9,0)),0)+IFERROR(INDEX(Settings!$E$5:$E$9,MATCH($B90,Settings!$A$5:$A$9,0)),0)+IFERROR(INDEX(Settings!$G$5:$G$9,MATCH($B90,Settings!$A$5:$A$9,0)),0))+(IFERROR(INDEX(Settings!$C$5:$C$9,MATCH($B90,Settings!$A$5:$A$9,0)),0)+IFERROR(INDEX(Settings!$F$5:$F$9,MATCH($B90,Settings!$A$5:$A$9,0)),0))/P90+IFERROR(INDEX(Settings!$D$5:$D$9,MATCH($B90,Settings!$A$5:$A$9,0)),0)*M90)</f>
        <v/>
      </c>
      <c r="W90" s="11">
        <f>IF(J90="","",IF(T90="",0,M90*INDEX(Products!$I$5:$I$204,T90)))</f>
        <v/>
      </c>
      <c r="X90" s="11">
        <f>IF(J90="","",IF(T90="",0,S90*INDEX(Products!$H$5:$H$204,T90)))</f>
        <v/>
      </c>
      <c r="Y90" s="11">
        <f>IF(J90="","",S90-V90-W90-X90)</f>
        <v/>
      </c>
    </row>
    <row r="91">
      <c r="A91" s="19" t="n"/>
      <c r="B91" s="19" t="n"/>
      <c r="C91" s="19" t="n"/>
      <c r="D91" s="19" t="n"/>
      <c r="E91" s="19" t="n"/>
      <c r="F91" s="20" t="n"/>
      <c r="G91" s="20" t="n"/>
      <c r="H91" s="20" t="n"/>
      <c r="I91" s="19" t="n"/>
      <c r="J91">
        <f>IFERROR(IF(C91="","",C91)&amp;"","")</f>
        <v/>
      </c>
      <c r="K91">
        <f>IFERROR(IF(D91="","",D91)&amp;"","")</f>
        <v/>
      </c>
      <c r="L91">
        <f>IFERROR(IF(I91="","",I91)&amp;"","")</f>
        <v/>
      </c>
      <c r="M91">
        <f>IF(J91="","",IFERROR(VALUE(SUBSTITUTE(SUBSTITUTE(IF(E91="","",E91)&amp;"","$",""),",","")),0))</f>
        <v/>
      </c>
      <c r="N91" s="11">
        <f>IF(J91="","",IFERROR(VALUE(SUBSTITUTE(SUBSTITUTE(IF(F91="","",F91)&amp;"","$",""),",","")),0))</f>
        <v/>
      </c>
      <c r="O91" s="11">
        <f>IF(J91="","",M91*N91)</f>
        <v/>
      </c>
      <c r="P91">
        <f>IF(J91="","",IF(L91="",1,COUNTIF($L$2:$L$1501,L91)))</f>
        <v/>
      </c>
      <c r="Q91" s="11">
        <f>IF(J91="","",IFERROR(VALUE(SUBSTITUTE(SUBSTITUTE(IF(G91="","",G91)&amp;"","$",""),",","")),0)/IF("No"="Yes",P91,1))</f>
        <v/>
      </c>
      <c r="R91" s="11">
        <f>IF(J91="","",IFERROR(VALUE(SUBSTITUTE(SUBSTITUTE(IF(H91="","",H91)&amp;"","$",""),",","")),0)/IF("No"="Yes",P91,1))</f>
        <v/>
      </c>
      <c r="S91" s="11">
        <f>IF(J91="","",O91+Q91-R91)</f>
        <v/>
      </c>
      <c r="T91">
        <f>IF(J91="","",IFERROR(IF(K91="",NA(),MATCH(K91,Products!$B$5:$B$204,0)),IFERROR(MATCH(J91,Products!$A$5:$A$204,0),"")))</f>
        <v/>
      </c>
      <c r="U91">
        <f>IF(J91="","",IF(T91="","⚠ not in Products",INDEX(Products!$A$5:$A$204,T91)))</f>
        <v/>
      </c>
      <c r="V91" s="11">
        <f>IF(J91="","",S91*(IFERROR(INDEX(Settings!$B$5:$B$9,MATCH($B91,Settings!$A$5:$A$9,0)),0)+IFERROR(INDEX(Settings!$E$5:$E$9,MATCH($B91,Settings!$A$5:$A$9,0)),0)+IFERROR(INDEX(Settings!$G$5:$G$9,MATCH($B91,Settings!$A$5:$A$9,0)),0))+(IFERROR(INDEX(Settings!$C$5:$C$9,MATCH($B91,Settings!$A$5:$A$9,0)),0)+IFERROR(INDEX(Settings!$F$5:$F$9,MATCH($B91,Settings!$A$5:$A$9,0)),0))/P91+IFERROR(INDEX(Settings!$D$5:$D$9,MATCH($B91,Settings!$A$5:$A$9,0)),0)*M91)</f>
        <v/>
      </c>
      <c r="W91" s="11">
        <f>IF(J91="","",IF(T91="",0,M91*INDEX(Products!$I$5:$I$204,T91)))</f>
        <v/>
      </c>
      <c r="X91" s="11">
        <f>IF(J91="","",IF(T91="",0,S91*INDEX(Products!$H$5:$H$204,T91)))</f>
        <v/>
      </c>
      <c r="Y91" s="11">
        <f>IF(J91="","",S91-V91-W91-X91)</f>
        <v/>
      </c>
    </row>
    <row r="92">
      <c r="A92" s="19" t="n"/>
      <c r="B92" s="19" t="n"/>
      <c r="C92" s="19" t="n"/>
      <c r="D92" s="19" t="n"/>
      <c r="E92" s="19" t="n"/>
      <c r="F92" s="20" t="n"/>
      <c r="G92" s="20" t="n"/>
      <c r="H92" s="20" t="n"/>
      <c r="I92" s="19" t="n"/>
      <c r="J92">
        <f>IFERROR(IF(C92="","",C92)&amp;"","")</f>
        <v/>
      </c>
      <c r="K92">
        <f>IFERROR(IF(D92="","",D92)&amp;"","")</f>
        <v/>
      </c>
      <c r="L92">
        <f>IFERROR(IF(I92="","",I92)&amp;"","")</f>
        <v/>
      </c>
      <c r="M92">
        <f>IF(J92="","",IFERROR(VALUE(SUBSTITUTE(SUBSTITUTE(IF(E92="","",E92)&amp;"","$",""),",","")),0))</f>
        <v/>
      </c>
      <c r="N92" s="11">
        <f>IF(J92="","",IFERROR(VALUE(SUBSTITUTE(SUBSTITUTE(IF(F92="","",F92)&amp;"","$",""),",","")),0))</f>
        <v/>
      </c>
      <c r="O92" s="11">
        <f>IF(J92="","",M92*N92)</f>
        <v/>
      </c>
      <c r="P92">
        <f>IF(J92="","",IF(L92="",1,COUNTIF($L$2:$L$1501,L92)))</f>
        <v/>
      </c>
      <c r="Q92" s="11">
        <f>IF(J92="","",IFERROR(VALUE(SUBSTITUTE(SUBSTITUTE(IF(G92="","",G92)&amp;"","$",""),",","")),0)/IF("No"="Yes",P92,1))</f>
        <v/>
      </c>
      <c r="R92" s="11">
        <f>IF(J92="","",IFERROR(VALUE(SUBSTITUTE(SUBSTITUTE(IF(H92="","",H92)&amp;"","$",""),",","")),0)/IF("No"="Yes",P92,1))</f>
        <v/>
      </c>
      <c r="S92" s="11">
        <f>IF(J92="","",O92+Q92-R92)</f>
        <v/>
      </c>
      <c r="T92">
        <f>IF(J92="","",IFERROR(IF(K92="",NA(),MATCH(K92,Products!$B$5:$B$204,0)),IFERROR(MATCH(J92,Products!$A$5:$A$204,0),"")))</f>
        <v/>
      </c>
      <c r="U92">
        <f>IF(J92="","",IF(T92="","⚠ not in Products",INDEX(Products!$A$5:$A$204,T92)))</f>
        <v/>
      </c>
      <c r="V92" s="11">
        <f>IF(J92="","",S92*(IFERROR(INDEX(Settings!$B$5:$B$9,MATCH($B92,Settings!$A$5:$A$9,0)),0)+IFERROR(INDEX(Settings!$E$5:$E$9,MATCH($B92,Settings!$A$5:$A$9,0)),0)+IFERROR(INDEX(Settings!$G$5:$G$9,MATCH($B92,Settings!$A$5:$A$9,0)),0))+(IFERROR(INDEX(Settings!$C$5:$C$9,MATCH($B92,Settings!$A$5:$A$9,0)),0)+IFERROR(INDEX(Settings!$F$5:$F$9,MATCH($B92,Settings!$A$5:$A$9,0)),0))/P92+IFERROR(INDEX(Settings!$D$5:$D$9,MATCH($B92,Settings!$A$5:$A$9,0)),0)*M92)</f>
        <v/>
      </c>
      <c r="W92" s="11">
        <f>IF(J92="","",IF(T92="",0,M92*INDEX(Products!$I$5:$I$204,T92)))</f>
        <v/>
      </c>
      <c r="X92" s="11">
        <f>IF(J92="","",IF(T92="",0,S92*INDEX(Products!$H$5:$H$204,T92)))</f>
        <v/>
      </c>
      <c r="Y92" s="11">
        <f>IF(J92="","",S92-V92-W92-X92)</f>
        <v/>
      </c>
    </row>
    <row r="93">
      <c r="A93" s="19" t="n"/>
      <c r="B93" s="19" t="n"/>
      <c r="C93" s="19" t="n"/>
      <c r="D93" s="19" t="n"/>
      <c r="E93" s="19" t="n"/>
      <c r="F93" s="20" t="n"/>
      <c r="G93" s="20" t="n"/>
      <c r="H93" s="20" t="n"/>
      <c r="I93" s="19" t="n"/>
      <c r="J93">
        <f>IFERROR(IF(C93="","",C93)&amp;"","")</f>
        <v/>
      </c>
      <c r="K93">
        <f>IFERROR(IF(D93="","",D93)&amp;"","")</f>
        <v/>
      </c>
      <c r="L93">
        <f>IFERROR(IF(I93="","",I93)&amp;"","")</f>
        <v/>
      </c>
      <c r="M93">
        <f>IF(J93="","",IFERROR(VALUE(SUBSTITUTE(SUBSTITUTE(IF(E93="","",E93)&amp;"","$",""),",","")),0))</f>
        <v/>
      </c>
      <c r="N93" s="11">
        <f>IF(J93="","",IFERROR(VALUE(SUBSTITUTE(SUBSTITUTE(IF(F93="","",F93)&amp;"","$",""),",","")),0))</f>
        <v/>
      </c>
      <c r="O93" s="11">
        <f>IF(J93="","",M93*N93)</f>
        <v/>
      </c>
      <c r="P93">
        <f>IF(J93="","",IF(L93="",1,COUNTIF($L$2:$L$1501,L93)))</f>
        <v/>
      </c>
      <c r="Q93" s="11">
        <f>IF(J93="","",IFERROR(VALUE(SUBSTITUTE(SUBSTITUTE(IF(G93="","",G93)&amp;"","$",""),",","")),0)/IF("No"="Yes",P93,1))</f>
        <v/>
      </c>
      <c r="R93" s="11">
        <f>IF(J93="","",IFERROR(VALUE(SUBSTITUTE(SUBSTITUTE(IF(H93="","",H93)&amp;"","$",""),",","")),0)/IF("No"="Yes",P93,1))</f>
        <v/>
      </c>
      <c r="S93" s="11">
        <f>IF(J93="","",O93+Q93-R93)</f>
        <v/>
      </c>
      <c r="T93">
        <f>IF(J93="","",IFERROR(IF(K93="",NA(),MATCH(K93,Products!$B$5:$B$204,0)),IFERROR(MATCH(J93,Products!$A$5:$A$204,0),"")))</f>
        <v/>
      </c>
      <c r="U93">
        <f>IF(J93="","",IF(T93="","⚠ not in Products",INDEX(Products!$A$5:$A$204,T93)))</f>
        <v/>
      </c>
      <c r="V93" s="11">
        <f>IF(J93="","",S93*(IFERROR(INDEX(Settings!$B$5:$B$9,MATCH($B93,Settings!$A$5:$A$9,0)),0)+IFERROR(INDEX(Settings!$E$5:$E$9,MATCH($B93,Settings!$A$5:$A$9,0)),0)+IFERROR(INDEX(Settings!$G$5:$G$9,MATCH($B93,Settings!$A$5:$A$9,0)),0))+(IFERROR(INDEX(Settings!$C$5:$C$9,MATCH($B93,Settings!$A$5:$A$9,0)),0)+IFERROR(INDEX(Settings!$F$5:$F$9,MATCH($B93,Settings!$A$5:$A$9,0)),0))/P93+IFERROR(INDEX(Settings!$D$5:$D$9,MATCH($B93,Settings!$A$5:$A$9,0)),0)*M93)</f>
        <v/>
      </c>
      <c r="W93" s="11">
        <f>IF(J93="","",IF(T93="",0,M93*INDEX(Products!$I$5:$I$204,T93)))</f>
        <v/>
      </c>
      <c r="X93" s="11">
        <f>IF(J93="","",IF(T93="",0,S93*INDEX(Products!$H$5:$H$204,T93)))</f>
        <v/>
      </c>
      <c r="Y93" s="11">
        <f>IF(J93="","",S93-V93-W93-X93)</f>
        <v/>
      </c>
    </row>
    <row r="94">
      <c r="A94" s="19" t="n"/>
      <c r="B94" s="19" t="n"/>
      <c r="C94" s="19" t="n"/>
      <c r="D94" s="19" t="n"/>
      <c r="E94" s="19" t="n"/>
      <c r="F94" s="20" t="n"/>
      <c r="G94" s="20" t="n"/>
      <c r="H94" s="20" t="n"/>
      <c r="I94" s="19" t="n"/>
      <c r="J94">
        <f>IFERROR(IF(C94="","",C94)&amp;"","")</f>
        <v/>
      </c>
      <c r="K94">
        <f>IFERROR(IF(D94="","",D94)&amp;"","")</f>
        <v/>
      </c>
      <c r="L94">
        <f>IFERROR(IF(I94="","",I94)&amp;"","")</f>
        <v/>
      </c>
      <c r="M94">
        <f>IF(J94="","",IFERROR(VALUE(SUBSTITUTE(SUBSTITUTE(IF(E94="","",E94)&amp;"","$",""),",","")),0))</f>
        <v/>
      </c>
      <c r="N94" s="11">
        <f>IF(J94="","",IFERROR(VALUE(SUBSTITUTE(SUBSTITUTE(IF(F94="","",F94)&amp;"","$",""),",","")),0))</f>
        <v/>
      </c>
      <c r="O94" s="11">
        <f>IF(J94="","",M94*N94)</f>
        <v/>
      </c>
      <c r="P94">
        <f>IF(J94="","",IF(L94="",1,COUNTIF($L$2:$L$1501,L94)))</f>
        <v/>
      </c>
      <c r="Q94" s="11">
        <f>IF(J94="","",IFERROR(VALUE(SUBSTITUTE(SUBSTITUTE(IF(G94="","",G94)&amp;"","$",""),",","")),0)/IF("No"="Yes",P94,1))</f>
        <v/>
      </c>
      <c r="R94" s="11">
        <f>IF(J94="","",IFERROR(VALUE(SUBSTITUTE(SUBSTITUTE(IF(H94="","",H94)&amp;"","$",""),",","")),0)/IF("No"="Yes",P94,1))</f>
        <v/>
      </c>
      <c r="S94" s="11">
        <f>IF(J94="","",O94+Q94-R94)</f>
        <v/>
      </c>
      <c r="T94">
        <f>IF(J94="","",IFERROR(IF(K94="",NA(),MATCH(K94,Products!$B$5:$B$204,0)),IFERROR(MATCH(J94,Products!$A$5:$A$204,0),"")))</f>
        <v/>
      </c>
      <c r="U94">
        <f>IF(J94="","",IF(T94="","⚠ not in Products",INDEX(Products!$A$5:$A$204,T94)))</f>
        <v/>
      </c>
      <c r="V94" s="11">
        <f>IF(J94="","",S94*(IFERROR(INDEX(Settings!$B$5:$B$9,MATCH($B94,Settings!$A$5:$A$9,0)),0)+IFERROR(INDEX(Settings!$E$5:$E$9,MATCH($B94,Settings!$A$5:$A$9,0)),0)+IFERROR(INDEX(Settings!$G$5:$G$9,MATCH($B94,Settings!$A$5:$A$9,0)),0))+(IFERROR(INDEX(Settings!$C$5:$C$9,MATCH($B94,Settings!$A$5:$A$9,0)),0)+IFERROR(INDEX(Settings!$F$5:$F$9,MATCH($B94,Settings!$A$5:$A$9,0)),0))/P94+IFERROR(INDEX(Settings!$D$5:$D$9,MATCH($B94,Settings!$A$5:$A$9,0)),0)*M94)</f>
        <v/>
      </c>
      <c r="W94" s="11">
        <f>IF(J94="","",IF(T94="",0,M94*INDEX(Products!$I$5:$I$204,T94)))</f>
        <v/>
      </c>
      <c r="X94" s="11">
        <f>IF(J94="","",IF(T94="",0,S94*INDEX(Products!$H$5:$H$204,T94)))</f>
        <v/>
      </c>
      <c r="Y94" s="11">
        <f>IF(J94="","",S94-V94-W94-X94)</f>
        <v/>
      </c>
    </row>
    <row r="95">
      <c r="A95" s="19" t="n"/>
      <c r="B95" s="19" t="n"/>
      <c r="C95" s="19" t="n"/>
      <c r="D95" s="19" t="n"/>
      <c r="E95" s="19" t="n"/>
      <c r="F95" s="20" t="n"/>
      <c r="G95" s="20" t="n"/>
      <c r="H95" s="20" t="n"/>
      <c r="I95" s="19" t="n"/>
      <c r="J95">
        <f>IFERROR(IF(C95="","",C95)&amp;"","")</f>
        <v/>
      </c>
      <c r="K95">
        <f>IFERROR(IF(D95="","",D95)&amp;"","")</f>
        <v/>
      </c>
      <c r="L95">
        <f>IFERROR(IF(I95="","",I95)&amp;"","")</f>
        <v/>
      </c>
      <c r="M95">
        <f>IF(J95="","",IFERROR(VALUE(SUBSTITUTE(SUBSTITUTE(IF(E95="","",E95)&amp;"","$",""),",","")),0))</f>
        <v/>
      </c>
      <c r="N95" s="11">
        <f>IF(J95="","",IFERROR(VALUE(SUBSTITUTE(SUBSTITUTE(IF(F95="","",F95)&amp;"","$",""),",","")),0))</f>
        <v/>
      </c>
      <c r="O95" s="11">
        <f>IF(J95="","",M95*N95)</f>
        <v/>
      </c>
      <c r="P95">
        <f>IF(J95="","",IF(L95="",1,COUNTIF($L$2:$L$1501,L95)))</f>
        <v/>
      </c>
      <c r="Q95" s="11">
        <f>IF(J95="","",IFERROR(VALUE(SUBSTITUTE(SUBSTITUTE(IF(G95="","",G95)&amp;"","$",""),",","")),0)/IF("No"="Yes",P95,1))</f>
        <v/>
      </c>
      <c r="R95" s="11">
        <f>IF(J95="","",IFERROR(VALUE(SUBSTITUTE(SUBSTITUTE(IF(H95="","",H95)&amp;"","$",""),",","")),0)/IF("No"="Yes",P95,1))</f>
        <v/>
      </c>
      <c r="S95" s="11">
        <f>IF(J95="","",O95+Q95-R95)</f>
        <v/>
      </c>
      <c r="T95">
        <f>IF(J95="","",IFERROR(IF(K95="",NA(),MATCH(K95,Products!$B$5:$B$204,0)),IFERROR(MATCH(J95,Products!$A$5:$A$204,0),"")))</f>
        <v/>
      </c>
      <c r="U95">
        <f>IF(J95="","",IF(T95="","⚠ not in Products",INDEX(Products!$A$5:$A$204,T95)))</f>
        <v/>
      </c>
      <c r="V95" s="11">
        <f>IF(J95="","",S95*(IFERROR(INDEX(Settings!$B$5:$B$9,MATCH($B95,Settings!$A$5:$A$9,0)),0)+IFERROR(INDEX(Settings!$E$5:$E$9,MATCH($B95,Settings!$A$5:$A$9,0)),0)+IFERROR(INDEX(Settings!$G$5:$G$9,MATCH($B95,Settings!$A$5:$A$9,0)),0))+(IFERROR(INDEX(Settings!$C$5:$C$9,MATCH($B95,Settings!$A$5:$A$9,0)),0)+IFERROR(INDEX(Settings!$F$5:$F$9,MATCH($B95,Settings!$A$5:$A$9,0)),0))/P95+IFERROR(INDEX(Settings!$D$5:$D$9,MATCH($B95,Settings!$A$5:$A$9,0)),0)*M95)</f>
        <v/>
      </c>
      <c r="W95" s="11">
        <f>IF(J95="","",IF(T95="",0,M95*INDEX(Products!$I$5:$I$204,T95)))</f>
        <v/>
      </c>
      <c r="X95" s="11">
        <f>IF(J95="","",IF(T95="",0,S95*INDEX(Products!$H$5:$H$204,T95)))</f>
        <v/>
      </c>
      <c r="Y95" s="11">
        <f>IF(J95="","",S95-V95-W95-X95)</f>
        <v/>
      </c>
    </row>
    <row r="96">
      <c r="A96" s="19" t="n"/>
      <c r="B96" s="19" t="n"/>
      <c r="C96" s="19" t="n"/>
      <c r="D96" s="19" t="n"/>
      <c r="E96" s="19" t="n"/>
      <c r="F96" s="20" t="n"/>
      <c r="G96" s="20" t="n"/>
      <c r="H96" s="20" t="n"/>
      <c r="I96" s="19" t="n"/>
      <c r="J96">
        <f>IFERROR(IF(C96="","",C96)&amp;"","")</f>
        <v/>
      </c>
      <c r="K96">
        <f>IFERROR(IF(D96="","",D96)&amp;"","")</f>
        <v/>
      </c>
      <c r="L96">
        <f>IFERROR(IF(I96="","",I96)&amp;"","")</f>
        <v/>
      </c>
      <c r="M96">
        <f>IF(J96="","",IFERROR(VALUE(SUBSTITUTE(SUBSTITUTE(IF(E96="","",E96)&amp;"","$",""),",","")),0))</f>
        <v/>
      </c>
      <c r="N96" s="11">
        <f>IF(J96="","",IFERROR(VALUE(SUBSTITUTE(SUBSTITUTE(IF(F96="","",F96)&amp;"","$",""),",","")),0))</f>
        <v/>
      </c>
      <c r="O96" s="11">
        <f>IF(J96="","",M96*N96)</f>
        <v/>
      </c>
      <c r="P96">
        <f>IF(J96="","",IF(L96="",1,COUNTIF($L$2:$L$1501,L96)))</f>
        <v/>
      </c>
      <c r="Q96" s="11">
        <f>IF(J96="","",IFERROR(VALUE(SUBSTITUTE(SUBSTITUTE(IF(G96="","",G96)&amp;"","$",""),",","")),0)/IF("No"="Yes",P96,1))</f>
        <v/>
      </c>
      <c r="R96" s="11">
        <f>IF(J96="","",IFERROR(VALUE(SUBSTITUTE(SUBSTITUTE(IF(H96="","",H96)&amp;"","$",""),",","")),0)/IF("No"="Yes",P96,1))</f>
        <v/>
      </c>
      <c r="S96" s="11">
        <f>IF(J96="","",O96+Q96-R96)</f>
        <v/>
      </c>
      <c r="T96">
        <f>IF(J96="","",IFERROR(IF(K96="",NA(),MATCH(K96,Products!$B$5:$B$204,0)),IFERROR(MATCH(J96,Products!$A$5:$A$204,0),"")))</f>
        <v/>
      </c>
      <c r="U96">
        <f>IF(J96="","",IF(T96="","⚠ not in Products",INDEX(Products!$A$5:$A$204,T96)))</f>
        <v/>
      </c>
      <c r="V96" s="11">
        <f>IF(J96="","",S96*(IFERROR(INDEX(Settings!$B$5:$B$9,MATCH($B96,Settings!$A$5:$A$9,0)),0)+IFERROR(INDEX(Settings!$E$5:$E$9,MATCH($B96,Settings!$A$5:$A$9,0)),0)+IFERROR(INDEX(Settings!$G$5:$G$9,MATCH($B96,Settings!$A$5:$A$9,0)),0))+(IFERROR(INDEX(Settings!$C$5:$C$9,MATCH($B96,Settings!$A$5:$A$9,0)),0)+IFERROR(INDEX(Settings!$F$5:$F$9,MATCH($B96,Settings!$A$5:$A$9,0)),0))/P96+IFERROR(INDEX(Settings!$D$5:$D$9,MATCH($B96,Settings!$A$5:$A$9,0)),0)*M96)</f>
        <v/>
      </c>
      <c r="W96" s="11">
        <f>IF(J96="","",IF(T96="",0,M96*INDEX(Products!$I$5:$I$204,T96)))</f>
        <v/>
      </c>
      <c r="X96" s="11">
        <f>IF(J96="","",IF(T96="",0,S96*INDEX(Products!$H$5:$H$204,T96)))</f>
        <v/>
      </c>
      <c r="Y96" s="11">
        <f>IF(J96="","",S96-V96-W96-X96)</f>
        <v/>
      </c>
    </row>
    <row r="97">
      <c r="A97" s="19" t="n"/>
      <c r="B97" s="19" t="n"/>
      <c r="C97" s="19" t="n"/>
      <c r="D97" s="19" t="n"/>
      <c r="E97" s="19" t="n"/>
      <c r="F97" s="20" t="n"/>
      <c r="G97" s="20" t="n"/>
      <c r="H97" s="20" t="n"/>
      <c r="I97" s="19" t="n"/>
      <c r="J97">
        <f>IFERROR(IF(C97="","",C97)&amp;"","")</f>
        <v/>
      </c>
      <c r="K97">
        <f>IFERROR(IF(D97="","",D97)&amp;"","")</f>
        <v/>
      </c>
      <c r="L97">
        <f>IFERROR(IF(I97="","",I97)&amp;"","")</f>
        <v/>
      </c>
      <c r="M97">
        <f>IF(J97="","",IFERROR(VALUE(SUBSTITUTE(SUBSTITUTE(IF(E97="","",E97)&amp;"","$",""),",","")),0))</f>
        <v/>
      </c>
      <c r="N97" s="11">
        <f>IF(J97="","",IFERROR(VALUE(SUBSTITUTE(SUBSTITUTE(IF(F97="","",F97)&amp;"","$",""),",","")),0))</f>
        <v/>
      </c>
      <c r="O97" s="11">
        <f>IF(J97="","",M97*N97)</f>
        <v/>
      </c>
      <c r="P97">
        <f>IF(J97="","",IF(L97="",1,COUNTIF($L$2:$L$1501,L97)))</f>
        <v/>
      </c>
      <c r="Q97" s="11">
        <f>IF(J97="","",IFERROR(VALUE(SUBSTITUTE(SUBSTITUTE(IF(G97="","",G97)&amp;"","$",""),",","")),0)/IF("No"="Yes",P97,1))</f>
        <v/>
      </c>
      <c r="R97" s="11">
        <f>IF(J97="","",IFERROR(VALUE(SUBSTITUTE(SUBSTITUTE(IF(H97="","",H97)&amp;"","$",""),",","")),0)/IF("No"="Yes",P97,1))</f>
        <v/>
      </c>
      <c r="S97" s="11">
        <f>IF(J97="","",O97+Q97-R97)</f>
        <v/>
      </c>
      <c r="T97">
        <f>IF(J97="","",IFERROR(IF(K97="",NA(),MATCH(K97,Products!$B$5:$B$204,0)),IFERROR(MATCH(J97,Products!$A$5:$A$204,0),"")))</f>
        <v/>
      </c>
      <c r="U97">
        <f>IF(J97="","",IF(T97="","⚠ not in Products",INDEX(Products!$A$5:$A$204,T97)))</f>
        <v/>
      </c>
      <c r="V97" s="11">
        <f>IF(J97="","",S97*(IFERROR(INDEX(Settings!$B$5:$B$9,MATCH($B97,Settings!$A$5:$A$9,0)),0)+IFERROR(INDEX(Settings!$E$5:$E$9,MATCH($B97,Settings!$A$5:$A$9,0)),0)+IFERROR(INDEX(Settings!$G$5:$G$9,MATCH($B97,Settings!$A$5:$A$9,0)),0))+(IFERROR(INDEX(Settings!$C$5:$C$9,MATCH($B97,Settings!$A$5:$A$9,0)),0)+IFERROR(INDEX(Settings!$F$5:$F$9,MATCH($B97,Settings!$A$5:$A$9,0)),0))/P97+IFERROR(INDEX(Settings!$D$5:$D$9,MATCH($B97,Settings!$A$5:$A$9,0)),0)*M97)</f>
        <v/>
      </c>
      <c r="W97" s="11">
        <f>IF(J97="","",IF(T97="",0,M97*INDEX(Products!$I$5:$I$204,T97)))</f>
        <v/>
      </c>
      <c r="X97" s="11">
        <f>IF(J97="","",IF(T97="",0,S97*INDEX(Products!$H$5:$H$204,T97)))</f>
        <v/>
      </c>
      <c r="Y97" s="11">
        <f>IF(J97="","",S97-V97-W97-X97)</f>
        <v/>
      </c>
    </row>
    <row r="98">
      <c r="A98" s="19" t="n"/>
      <c r="B98" s="19" t="n"/>
      <c r="C98" s="19" t="n"/>
      <c r="D98" s="19" t="n"/>
      <c r="E98" s="19" t="n"/>
      <c r="F98" s="20" t="n"/>
      <c r="G98" s="20" t="n"/>
      <c r="H98" s="20" t="n"/>
      <c r="I98" s="19" t="n"/>
      <c r="J98">
        <f>IFERROR(IF(C98="","",C98)&amp;"","")</f>
        <v/>
      </c>
      <c r="K98">
        <f>IFERROR(IF(D98="","",D98)&amp;"","")</f>
        <v/>
      </c>
      <c r="L98">
        <f>IFERROR(IF(I98="","",I98)&amp;"","")</f>
        <v/>
      </c>
      <c r="M98">
        <f>IF(J98="","",IFERROR(VALUE(SUBSTITUTE(SUBSTITUTE(IF(E98="","",E98)&amp;"","$",""),",","")),0))</f>
        <v/>
      </c>
      <c r="N98" s="11">
        <f>IF(J98="","",IFERROR(VALUE(SUBSTITUTE(SUBSTITUTE(IF(F98="","",F98)&amp;"","$",""),",","")),0))</f>
        <v/>
      </c>
      <c r="O98" s="11">
        <f>IF(J98="","",M98*N98)</f>
        <v/>
      </c>
      <c r="P98">
        <f>IF(J98="","",IF(L98="",1,COUNTIF($L$2:$L$1501,L98)))</f>
        <v/>
      </c>
      <c r="Q98" s="11">
        <f>IF(J98="","",IFERROR(VALUE(SUBSTITUTE(SUBSTITUTE(IF(G98="","",G98)&amp;"","$",""),",","")),0)/IF("No"="Yes",P98,1))</f>
        <v/>
      </c>
      <c r="R98" s="11">
        <f>IF(J98="","",IFERROR(VALUE(SUBSTITUTE(SUBSTITUTE(IF(H98="","",H98)&amp;"","$",""),",","")),0)/IF("No"="Yes",P98,1))</f>
        <v/>
      </c>
      <c r="S98" s="11">
        <f>IF(J98="","",O98+Q98-R98)</f>
        <v/>
      </c>
      <c r="T98">
        <f>IF(J98="","",IFERROR(IF(K98="",NA(),MATCH(K98,Products!$B$5:$B$204,0)),IFERROR(MATCH(J98,Products!$A$5:$A$204,0),"")))</f>
        <v/>
      </c>
      <c r="U98">
        <f>IF(J98="","",IF(T98="","⚠ not in Products",INDEX(Products!$A$5:$A$204,T98)))</f>
        <v/>
      </c>
      <c r="V98" s="11">
        <f>IF(J98="","",S98*(IFERROR(INDEX(Settings!$B$5:$B$9,MATCH($B98,Settings!$A$5:$A$9,0)),0)+IFERROR(INDEX(Settings!$E$5:$E$9,MATCH($B98,Settings!$A$5:$A$9,0)),0)+IFERROR(INDEX(Settings!$G$5:$G$9,MATCH($B98,Settings!$A$5:$A$9,0)),0))+(IFERROR(INDEX(Settings!$C$5:$C$9,MATCH($B98,Settings!$A$5:$A$9,0)),0)+IFERROR(INDEX(Settings!$F$5:$F$9,MATCH($B98,Settings!$A$5:$A$9,0)),0))/P98+IFERROR(INDEX(Settings!$D$5:$D$9,MATCH($B98,Settings!$A$5:$A$9,0)),0)*M98)</f>
        <v/>
      </c>
      <c r="W98" s="11">
        <f>IF(J98="","",IF(T98="",0,M98*INDEX(Products!$I$5:$I$204,T98)))</f>
        <v/>
      </c>
      <c r="X98" s="11">
        <f>IF(J98="","",IF(T98="",0,S98*INDEX(Products!$H$5:$H$204,T98)))</f>
        <v/>
      </c>
      <c r="Y98" s="11">
        <f>IF(J98="","",S98-V98-W98-X98)</f>
        <v/>
      </c>
    </row>
    <row r="99">
      <c r="A99" s="19" t="n"/>
      <c r="B99" s="19" t="n"/>
      <c r="C99" s="19" t="n"/>
      <c r="D99" s="19" t="n"/>
      <c r="E99" s="19" t="n"/>
      <c r="F99" s="20" t="n"/>
      <c r="G99" s="20" t="n"/>
      <c r="H99" s="20" t="n"/>
      <c r="I99" s="19" t="n"/>
      <c r="J99">
        <f>IFERROR(IF(C99="","",C99)&amp;"","")</f>
        <v/>
      </c>
      <c r="K99">
        <f>IFERROR(IF(D99="","",D99)&amp;"","")</f>
        <v/>
      </c>
      <c r="L99">
        <f>IFERROR(IF(I99="","",I99)&amp;"","")</f>
        <v/>
      </c>
      <c r="M99">
        <f>IF(J99="","",IFERROR(VALUE(SUBSTITUTE(SUBSTITUTE(IF(E99="","",E99)&amp;"","$",""),",","")),0))</f>
        <v/>
      </c>
      <c r="N99" s="11">
        <f>IF(J99="","",IFERROR(VALUE(SUBSTITUTE(SUBSTITUTE(IF(F99="","",F99)&amp;"","$",""),",","")),0))</f>
        <v/>
      </c>
      <c r="O99" s="11">
        <f>IF(J99="","",M99*N99)</f>
        <v/>
      </c>
      <c r="P99">
        <f>IF(J99="","",IF(L99="",1,COUNTIF($L$2:$L$1501,L99)))</f>
        <v/>
      </c>
      <c r="Q99" s="11">
        <f>IF(J99="","",IFERROR(VALUE(SUBSTITUTE(SUBSTITUTE(IF(G99="","",G99)&amp;"","$",""),",","")),0)/IF("No"="Yes",P99,1))</f>
        <v/>
      </c>
      <c r="R99" s="11">
        <f>IF(J99="","",IFERROR(VALUE(SUBSTITUTE(SUBSTITUTE(IF(H99="","",H99)&amp;"","$",""),",","")),0)/IF("No"="Yes",P99,1))</f>
        <v/>
      </c>
      <c r="S99" s="11">
        <f>IF(J99="","",O99+Q99-R99)</f>
        <v/>
      </c>
      <c r="T99">
        <f>IF(J99="","",IFERROR(IF(K99="",NA(),MATCH(K99,Products!$B$5:$B$204,0)),IFERROR(MATCH(J99,Products!$A$5:$A$204,0),"")))</f>
        <v/>
      </c>
      <c r="U99">
        <f>IF(J99="","",IF(T99="","⚠ not in Products",INDEX(Products!$A$5:$A$204,T99)))</f>
        <v/>
      </c>
      <c r="V99" s="11">
        <f>IF(J99="","",S99*(IFERROR(INDEX(Settings!$B$5:$B$9,MATCH($B99,Settings!$A$5:$A$9,0)),0)+IFERROR(INDEX(Settings!$E$5:$E$9,MATCH($B99,Settings!$A$5:$A$9,0)),0)+IFERROR(INDEX(Settings!$G$5:$G$9,MATCH($B99,Settings!$A$5:$A$9,0)),0))+(IFERROR(INDEX(Settings!$C$5:$C$9,MATCH($B99,Settings!$A$5:$A$9,0)),0)+IFERROR(INDEX(Settings!$F$5:$F$9,MATCH($B99,Settings!$A$5:$A$9,0)),0))/P99+IFERROR(INDEX(Settings!$D$5:$D$9,MATCH($B99,Settings!$A$5:$A$9,0)),0)*M99)</f>
        <v/>
      </c>
      <c r="W99" s="11">
        <f>IF(J99="","",IF(T99="",0,M99*INDEX(Products!$I$5:$I$204,T99)))</f>
        <v/>
      </c>
      <c r="X99" s="11">
        <f>IF(J99="","",IF(T99="",0,S99*INDEX(Products!$H$5:$H$204,T99)))</f>
        <v/>
      </c>
      <c r="Y99" s="11">
        <f>IF(J99="","",S99-V99-W99-X99)</f>
        <v/>
      </c>
    </row>
    <row r="100">
      <c r="A100" s="19" t="n"/>
      <c r="B100" s="19" t="n"/>
      <c r="C100" s="19" t="n"/>
      <c r="D100" s="19" t="n"/>
      <c r="E100" s="19" t="n"/>
      <c r="F100" s="20" t="n"/>
      <c r="G100" s="20" t="n"/>
      <c r="H100" s="20" t="n"/>
      <c r="I100" s="19" t="n"/>
      <c r="J100">
        <f>IFERROR(IF(C100="","",C100)&amp;"","")</f>
        <v/>
      </c>
      <c r="K100">
        <f>IFERROR(IF(D100="","",D100)&amp;"","")</f>
        <v/>
      </c>
      <c r="L100">
        <f>IFERROR(IF(I100="","",I100)&amp;"","")</f>
        <v/>
      </c>
      <c r="M100">
        <f>IF(J100="","",IFERROR(VALUE(SUBSTITUTE(SUBSTITUTE(IF(E100="","",E100)&amp;"","$",""),",","")),0))</f>
        <v/>
      </c>
      <c r="N100" s="11">
        <f>IF(J100="","",IFERROR(VALUE(SUBSTITUTE(SUBSTITUTE(IF(F100="","",F100)&amp;"","$",""),",","")),0))</f>
        <v/>
      </c>
      <c r="O100" s="11">
        <f>IF(J100="","",M100*N100)</f>
        <v/>
      </c>
      <c r="P100">
        <f>IF(J100="","",IF(L100="",1,COUNTIF($L$2:$L$1501,L100)))</f>
        <v/>
      </c>
      <c r="Q100" s="11">
        <f>IF(J100="","",IFERROR(VALUE(SUBSTITUTE(SUBSTITUTE(IF(G100="","",G100)&amp;"","$",""),",","")),0)/IF("No"="Yes",P100,1))</f>
        <v/>
      </c>
      <c r="R100" s="11">
        <f>IF(J100="","",IFERROR(VALUE(SUBSTITUTE(SUBSTITUTE(IF(H100="","",H100)&amp;"","$",""),",","")),0)/IF("No"="Yes",P100,1))</f>
        <v/>
      </c>
      <c r="S100" s="11">
        <f>IF(J100="","",O100+Q100-R100)</f>
        <v/>
      </c>
      <c r="T100">
        <f>IF(J100="","",IFERROR(IF(K100="",NA(),MATCH(K100,Products!$B$5:$B$204,0)),IFERROR(MATCH(J100,Products!$A$5:$A$204,0),"")))</f>
        <v/>
      </c>
      <c r="U100">
        <f>IF(J100="","",IF(T100="","⚠ not in Products",INDEX(Products!$A$5:$A$204,T100)))</f>
        <v/>
      </c>
      <c r="V100" s="11">
        <f>IF(J100="","",S100*(IFERROR(INDEX(Settings!$B$5:$B$9,MATCH($B100,Settings!$A$5:$A$9,0)),0)+IFERROR(INDEX(Settings!$E$5:$E$9,MATCH($B100,Settings!$A$5:$A$9,0)),0)+IFERROR(INDEX(Settings!$G$5:$G$9,MATCH($B100,Settings!$A$5:$A$9,0)),0))+(IFERROR(INDEX(Settings!$C$5:$C$9,MATCH($B100,Settings!$A$5:$A$9,0)),0)+IFERROR(INDEX(Settings!$F$5:$F$9,MATCH($B100,Settings!$A$5:$A$9,0)),0))/P100+IFERROR(INDEX(Settings!$D$5:$D$9,MATCH($B100,Settings!$A$5:$A$9,0)),0)*M100)</f>
        <v/>
      </c>
      <c r="W100" s="11">
        <f>IF(J100="","",IF(T100="",0,M100*INDEX(Products!$I$5:$I$204,T100)))</f>
        <v/>
      </c>
      <c r="X100" s="11">
        <f>IF(J100="","",IF(T100="",0,S100*INDEX(Products!$H$5:$H$204,T100)))</f>
        <v/>
      </c>
      <c r="Y100" s="11">
        <f>IF(J100="","",S100-V100-W100-X100)</f>
        <v/>
      </c>
    </row>
    <row r="101">
      <c r="A101" s="19" t="n"/>
      <c r="B101" s="19" t="n"/>
      <c r="C101" s="19" t="n"/>
      <c r="D101" s="19" t="n"/>
      <c r="E101" s="19" t="n"/>
      <c r="F101" s="20" t="n"/>
      <c r="G101" s="20" t="n"/>
      <c r="H101" s="20" t="n"/>
      <c r="I101" s="19" t="n"/>
      <c r="J101">
        <f>IFERROR(IF(C101="","",C101)&amp;"","")</f>
        <v/>
      </c>
      <c r="K101">
        <f>IFERROR(IF(D101="","",D101)&amp;"","")</f>
        <v/>
      </c>
      <c r="L101">
        <f>IFERROR(IF(I101="","",I101)&amp;"","")</f>
        <v/>
      </c>
      <c r="M101">
        <f>IF(J101="","",IFERROR(VALUE(SUBSTITUTE(SUBSTITUTE(IF(E101="","",E101)&amp;"","$",""),",","")),0))</f>
        <v/>
      </c>
      <c r="N101" s="11">
        <f>IF(J101="","",IFERROR(VALUE(SUBSTITUTE(SUBSTITUTE(IF(F101="","",F101)&amp;"","$",""),",","")),0))</f>
        <v/>
      </c>
      <c r="O101" s="11">
        <f>IF(J101="","",M101*N101)</f>
        <v/>
      </c>
      <c r="P101">
        <f>IF(J101="","",IF(L101="",1,COUNTIF($L$2:$L$1501,L101)))</f>
        <v/>
      </c>
      <c r="Q101" s="11">
        <f>IF(J101="","",IFERROR(VALUE(SUBSTITUTE(SUBSTITUTE(IF(G101="","",G101)&amp;"","$",""),",","")),0)/IF("No"="Yes",P101,1))</f>
        <v/>
      </c>
      <c r="R101" s="11">
        <f>IF(J101="","",IFERROR(VALUE(SUBSTITUTE(SUBSTITUTE(IF(H101="","",H101)&amp;"","$",""),",","")),0)/IF("No"="Yes",P101,1))</f>
        <v/>
      </c>
      <c r="S101" s="11">
        <f>IF(J101="","",O101+Q101-R101)</f>
        <v/>
      </c>
      <c r="T101">
        <f>IF(J101="","",IFERROR(IF(K101="",NA(),MATCH(K101,Products!$B$5:$B$204,0)),IFERROR(MATCH(J101,Products!$A$5:$A$204,0),"")))</f>
        <v/>
      </c>
      <c r="U101">
        <f>IF(J101="","",IF(T101="","⚠ not in Products",INDEX(Products!$A$5:$A$204,T101)))</f>
        <v/>
      </c>
      <c r="V101" s="11">
        <f>IF(J101="","",S101*(IFERROR(INDEX(Settings!$B$5:$B$9,MATCH($B101,Settings!$A$5:$A$9,0)),0)+IFERROR(INDEX(Settings!$E$5:$E$9,MATCH($B101,Settings!$A$5:$A$9,0)),0)+IFERROR(INDEX(Settings!$G$5:$G$9,MATCH($B101,Settings!$A$5:$A$9,0)),0))+(IFERROR(INDEX(Settings!$C$5:$C$9,MATCH($B101,Settings!$A$5:$A$9,0)),0)+IFERROR(INDEX(Settings!$F$5:$F$9,MATCH($B101,Settings!$A$5:$A$9,0)),0))/P101+IFERROR(INDEX(Settings!$D$5:$D$9,MATCH($B101,Settings!$A$5:$A$9,0)),0)*M101)</f>
        <v/>
      </c>
      <c r="W101" s="11">
        <f>IF(J101="","",IF(T101="",0,M101*INDEX(Products!$I$5:$I$204,T101)))</f>
        <v/>
      </c>
      <c r="X101" s="11">
        <f>IF(J101="","",IF(T101="",0,S101*INDEX(Products!$H$5:$H$204,T101)))</f>
        <v/>
      </c>
      <c r="Y101" s="11">
        <f>IF(J101="","",S101-V101-W101-X101)</f>
        <v/>
      </c>
    </row>
    <row r="102">
      <c r="A102" s="19" t="n"/>
      <c r="B102" s="19" t="n"/>
      <c r="C102" s="19" t="n"/>
      <c r="D102" s="19" t="n"/>
      <c r="E102" s="19" t="n"/>
      <c r="F102" s="20" t="n"/>
      <c r="G102" s="20" t="n"/>
      <c r="H102" s="20" t="n"/>
      <c r="I102" s="19" t="n"/>
      <c r="J102">
        <f>IFERROR(IF(C102="","",C102)&amp;"","")</f>
        <v/>
      </c>
      <c r="K102">
        <f>IFERROR(IF(D102="","",D102)&amp;"","")</f>
        <v/>
      </c>
      <c r="L102">
        <f>IFERROR(IF(I102="","",I102)&amp;"","")</f>
        <v/>
      </c>
      <c r="M102">
        <f>IF(J102="","",IFERROR(VALUE(SUBSTITUTE(SUBSTITUTE(IF(E102="","",E102)&amp;"","$",""),",","")),0))</f>
        <v/>
      </c>
      <c r="N102" s="11">
        <f>IF(J102="","",IFERROR(VALUE(SUBSTITUTE(SUBSTITUTE(IF(F102="","",F102)&amp;"","$",""),",","")),0))</f>
        <v/>
      </c>
      <c r="O102" s="11">
        <f>IF(J102="","",M102*N102)</f>
        <v/>
      </c>
      <c r="P102">
        <f>IF(J102="","",IF(L102="",1,COUNTIF($L$2:$L$1501,L102)))</f>
        <v/>
      </c>
      <c r="Q102" s="11">
        <f>IF(J102="","",IFERROR(VALUE(SUBSTITUTE(SUBSTITUTE(IF(G102="","",G102)&amp;"","$",""),",","")),0)/IF("No"="Yes",P102,1))</f>
        <v/>
      </c>
      <c r="R102" s="11">
        <f>IF(J102="","",IFERROR(VALUE(SUBSTITUTE(SUBSTITUTE(IF(H102="","",H102)&amp;"","$",""),",","")),0)/IF("No"="Yes",P102,1))</f>
        <v/>
      </c>
      <c r="S102" s="11">
        <f>IF(J102="","",O102+Q102-R102)</f>
        <v/>
      </c>
      <c r="T102">
        <f>IF(J102="","",IFERROR(IF(K102="",NA(),MATCH(K102,Products!$B$5:$B$204,0)),IFERROR(MATCH(J102,Products!$A$5:$A$204,0),"")))</f>
        <v/>
      </c>
      <c r="U102">
        <f>IF(J102="","",IF(T102="","⚠ not in Products",INDEX(Products!$A$5:$A$204,T102)))</f>
        <v/>
      </c>
      <c r="V102" s="11">
        <f>IF(J102="","",S102*(IFERROR(INDEX(Settings!$B$5:$B$9,MATCH($B102,Settings!$A$5:$A$9,0)),0)+IFERROR(INDEX(Settings!$E$5:$E$9,MATCH($B102,Settings!$A$5:$A$9,0)),0)+IFERROR(INDEX(Settings!$G$5:$G$9,MATCH($B102,Settings!$A$5:$A$9,0)),0))+(IFERROR(INDEX(Settings!$C$5:$C$9,MATCH($B102,Settings!$A$5:$A$9,0)),0)+IFERROR(INDEX(Settings!$F$5:$F$9,MATCH($B102,Settings!$A$5:$A$9,0)),0))/P102+IFERROR(INDEX(Settings!$D$5:$D$9,MATCH($B102,Settings!$A$5:$A$9,0)),0)*M102)</f>
        <v/>
      </c>
      <c r="W102" s="11">
        <f>IF(J102="","",IF(T102="",0,M102*INDEX(Products!$I$5:$I$204,T102)))</f>
        <v/>
      </c>
      <c r="X102" s="11">
        <f>IF(J102="","",IF(T102="",0,S102*INDEX(Products!$H$5:$H$204,T102)))</f>
        <v/>
      </c>
      <c r="Y102" s="11">
        <f>IF(J102="","",S102-V102-W102-X102)</f>
        <v/>
      </c>
    </row>
    <row r="103">
      <c r="A103" s="19" t="n"/>
      <c r="B103" s="19" t="n"/>
      <c r="C103" s="19" t="n"/>
      <c r="D103" s="19" t="n"/>
      <c r="E103" s="19" t="n"/>
      <c r="F103" s="20" t="n"/>
      <c r="G103" s="20" t="n"/>
      <c r="H103" s="20" t="n"/>
      <c r="I103" s="19" t="n"/>
      <c r="J103">
        <f>IFERROR(IF(C103="","",C103)&amp;"","")</f>
        <v/>
      </c>
      <c r="K103">
        <f>IFERROR(IF(D103="","",D103)&amp;"","")</f>
        <v/>
      </c>
      <c r="L103">
        <f>IFERROR(IF(I103="","",I103)&amp;"","")</f>
        <v/>
      </c>
      <c r="M103">
        <f>IF(J103="","",IFERROR(VALUE(SUBSTITUTE(SUBSTITUTE(IF(E103="","",E103)&amp;"","$",""),",","")),0))</f>
        <v/>
      </c>
      <c r="N103" s="11">
        <f>IF(J103="","",IFERROR(VALUE(SUBSTITUTE(SUBSTITUTE(IF(F103="","",F103)&amp;"","$",""),",","")),0))</f>
        <v/>
      </c>
      <c r="O103" s="11">
        <f>IF(J103="","",M103*N103)</f>
        <v/>
      </c>
      <c r="P103">
        <f>IF(J103="","",IF(L103="",1,COUNTIF($L$2:$L$1501,L103)))</f>
        <v/>
      </c>
      <c r="Q103" s="11">
        <f>IF(J103="","",IFERROR(VALUE(SUBSTITUTE(SUBSTITUTE(IF(G103="","",G103)&amp;"","$",""),",","")),0)/IF("No"="Yes",P103,1))</f>
        <v/>
      </c>
      <c r="R103" s="11">
        <f>IF(J103="","",IFERROR(VALUE(SUBSTITUTE(SUBSTITUTE(IF(H103="","",H103)&amp;"","$",""),",","")),0)/IF("No"="Yes",P103,1))</f>
        <v/>
      </c>
      <c r="S103" s="11">
        <f>IF(J103="","",O103+Q103-R103)</f>
        <v/>
      </c>
      <c r="T103">
        <f>IF(J103="","",IFERROR(IF(K103="",NA(),MATCH(K103,Products!$B$5:$B$204,0)),IFERROR(MATCH(J103,Products!$A$5:$A$204,0),"")))</f>
        <v/>
      </c>
      <c r="U103">
        <f>IF(J103="","",IF(T103="","⚠ not in Products",INDEX(Products!$A$5:$A$204,T103)))</f>
        <v/>
      </c>
      <c r="V103" s="11">
        <f>IF(J103="","",S103*(IFERROR(INDEX(Settings!$B$5:$B$9,MATCH($B103,Settings!$A$5:$A$9,0)),0)+IFERROR(INDEX(Settings!$E$5:$E$9,MATCH($B103,Settings!$A$5:$A$9,0)),0)+IFERROR(INDEX(Settings!$G$5:$G$9,MATCH($B103,Settings!$A$5:$A$9,0)),0))+(IFERROR(INDEX(Settings!$C$5:$C$9,MATCH($B103,Settings!$A$5:$A$9,0)),0)+IFERROR(INDEX(Settings!$F$5:$F$9,MATCH($B103,Settings!$A$5:$A$9,0)),0))/P103+IFERROR(INDEX(Settings!$D$5:$D$9,MATCH($B103,Settings!$A$5:$A$9,0)),0)*M103)</f>
        <v/>
      </c>
      <c r="W103" s="11">
        <f>IF(J103="","",IF(T103="",0,M103*INDEX(Products!$I$5:$I$204,T103)))</f>
        <v/>
      </c>
      <c r="X103" s="11">
        <f>IF(J103="","",IF(T103="",0,S103*INDEX(Products!$H$5:$H$204,T103)))</f>
        <v/>
      </c>
      <c r="Y103" s="11">
        <f>IF(J103="","",S103-V103-W103-X103)</f>
        <v/>
      </c>
    </row>
    <row r="104">
      <c r="A104" s="19" t="n"/>
      <c r="B104" s="19" t="n"/>
      <c r="C104" s="19" t="n"/>
      <c r="D104" s="19" t="n"/>
      <c r="E104" s="19" t="n"/>
      <c r="F104" s="20" t="n"/>
      <c r="G104" s="20" t="n"/>
      <c r="H104" s="20" t="n"/>
      <c r="I104" s="19" t="n"/>
      <c r="J104">
        <f>IFERROR(IF(C104="","",C104)&amp;"","")</f>
        <v/>
      </c>
      <c r="K104">
        <f>IFERROR(IF(D104="","",D104)&amp;"","")</f>
        <v/>
      </c>
      <c r="L104">
        <f>IFERROR(IF(I104="","",I104)&amp;"","")</f>
        <v/>
      </c>
      <c r="M104">
        <f>IF(J104="","",IFERROR(VALUE(SUBSTITUTE(SUBSTITUTE(IF(E104="","",E104)&amp;"","$",""),",","")),0))</f>
        <v/>
      </c>
      <c r="N104" s="11">
        <f>IF(J104="","",IFERROR(VALUE(SUBSTITUTE(SUBSTITUTE(IF(F104="","",F104)&amp;"","$",""),",","")),0))</f>
        <v/>
      </c>
      <c r="O104" s="11">
        <f>IF(J104="","",M104*N104)</f>
        <v/>
      </c>
      <c r="P104">
        <f>IF(J104="","",IF(L104="",1,COUNTIF($L$2:$L$1501,L104)))</f>
        <v/>
      </c>
      <c r="Q104" s="11">
        <f>IF(J104="","",IFERROR(VALUE(SUBSTITUTE(SUBSTITUTE(IF(G104="","",G104)&amp;"","$",""),",","")),0)/IF("No"="Yes",P104,1))</f>
        <v/>
      </c>
      <c r="R104" s="11">
        <f>IF(J104="","",IFERROR(VALUE(SUBSTITUTE(SUBSTITUTE(IF(H104="","",H104)&amp;"","$",""),",","")),0)/IF("No"="Yes",P104,1))</f>
        <v/>
      </c>
      <c r="S104" s="11">
        <f>IF(J104="","",O104+Q104-R104)</f>
        <v/>
      </c>
      <c r="T104">
        <f>IF(J104="","",IFERROR(IF(K104="",NA(),MATCH(K104,Products!$B$5:$B$204,0)),IFERROR(MATCH(J104,Products!$A$5:$A$204,0),"")))</f>
        <v/>
      </c>
      <c r="U104">
        <f>IF(J104="","",IF(T104="","⚠ not in Products",INDEX(Products!$A$5:$A$204,T104)))</f>
        <v/>
      </c>
      <c r="V104" s="11">
        <f>IF(J104="","",S104*(IFERROR(INDEX(Settings!$B$5:$B$9,MATCH($B104,Settings!$A$5:$A$9,0)),0)+IFERROR(INDEX(Settings!$E$5:$E$9,MATCH($B104,Settings!$A$5:$A$9,0)),0)+IFERROR(INDEX(Settings!$G$5:$G$9,MATCH($B104,Settings!$A$5:$A$9,0)),0))+(IFERROR(INDEX(Settings!$C$5:$C$9,MATCH($B104,Settings!$A$5:$A$9,0)),0)+IFERROR(INDEX(Settings!$F$5:$F$9,MATCH($B104,Settings!$A$5:$A$9,0)),0))/P104+IFERROR(INDEX(Settings!$D$5:$D$9,MATCH($B104,Settings!$A$5:$A$9,0)),0)*M104)</f>
        <v/>
      </c>
      <c r="W104" s="11">
        <f>IF(J104="","",IF(T104="",0,M104*INDEX(Products!$I$5:$I$204,T104)))</f>
        <v/>
      </c>
      <c r="X104" s="11">
        <f>IF(J104="","",IF(T104="",0,S104*INDEX(Products!$H$5:$H$204,T104)))</f>
        <v/>
      </c>
      <c r="Y104" s="11">
        <f>IF(J104="","",S104-V104-W104-X104)</f>
        <v/>
      </c>
    </row>
    <row r="105">
      <c r="A105" s="19" t="n"/>
      <c r="B105" s="19" t="n"/>
      <c r="C105" s="19" t="n"/>
      <c r="D105" s="19" t="n"/>
      <c r="E105" s="19" t="n"/>
      <c r="F105" s="20" t="n"/>
      <c r="G105" s="20" t="n"/>
      <c r="H105" s="20" t="n"/>
      <c r="I105" s="19" t="n"/>
      <c r="J105">
        <f>IFERROR(IF(C105="","",C105)&amp;"","")</f>
        <v/>
      </c>
      <c r="K105">
        <f>IFERROR(IF(D105="","",D105)&amp;"","")</f>
        <v/>
      </c>
      <c r="L105">
        <f>IFERROR(IF(I105="","",I105)&amp;"","")</f>
        <v/>
      </c>
      <c r="M105">
        <f>IF(J105="","",IFERROR(VALUE(SUBSTITUTE(SUBSTITUTE(IF(E105="","",E105)&amp;"","$",""),",","")),0))</f>
        <v/>
      </c>
      <c r="N105" s="11">
        <f>IF(J105="","",IFERROR(VALUE(SUBSTITUTE(SUBSTITUTE(IF(F105="","",F105)&amp;"","$",""),",","")),0))</f>
        <v/>
      </c>
      <c r="O105" s="11">
        <f>IF(J105="","",M105*N105)</f>
        <v/>
      </c>
      <c r="P105">
        <f>IF(J105="","",IF(L105="",1,COUNTIF($L$2:$L$1501,L105)))</f>
        <v/>
      </c>
      <c r="Q105" s="11">
        <f>IF(J105="","",IFERROR(VALUE(SUBSTITUTE(SUBSTITUTE(IF(G105="","",G105)&amp;"","$",""),",","")),0)/IF("No"="Yes",P105,1))</f>
        <v/>
      </c>
      <c r="R105" s="11">
        <f>IF(J105="","",IFERROR(VALUE(SUBSTITUTE(SUBSTITUTE(IF(H105="","",H105)&amp;"","$",""),",","")),0)/IF("No"="Yes",P105,1))</f>
        <v/>
      </c>
      <c r="S105" s="11">
        <f>IF(J105="","",O105+Q105-R105)</f>
        <v/>
      </c>
      <c r="T105">
        <f>IF(J105="","",IFERROR(IF(K105="",NA(),MATCH(K105,Products!$B$5:$B$204,0)),IFERROR(MATCH(J105,Products!$A$5:$A$204,0),"")))</f>
        <v/>
      </c>
      <c r="U105">
        <f>IF(J105="","",IF(T105="","⚠ not in Products",INDEX(Products!$A$5:$A$204,T105)))</f>
        <v/>
      </c>
      <c r="V105" s="11">
        <f>IF(J105="","",S105*(IFERROR(INDEX(Settings!$B$5:$B$9,MATCH($B105,Settings!$A$5:$A$9,0)),0)+IFERROR(INDEX(Settings!$E$5:$E$9,MATCH($B105,Settings!$A$5:$A$9,0)),0)+IFERROR(INDEX(Settings!$G$5:$G$9,MATCH($B105,Settings!$A$5:$A$9,0)),0))+(IFERROR(INDEX(Settings!$C$5:$C$9,MATCH($B105,Settings!$A$5:$A$9,0)),0)+IFERROR(INDEX(Settings!$F$5:$F$9,MATCH($B105,Settings!$A$5:$A$9,0)),0))/P105+IFERROR(INDEX(Settings!$D$5:$D$9,MATCH($B105,Settings!$A$5:$A$9,0)),0)*M105)</f>
        <v/>
      </c>
      <c r="W105" s="11">
        <f>IF(J105="","",IF(T105="",0,M105*INDEX(Products!$I$5:$I$204,T105)))</f>
        <v/>
      </c>
      <c r="X105" s="11">
        <f>IF(J105="","",IF(T105="",0,S105*INDEX(Products!$H$5:$H$204,T105)))</f>
        <v/>
      </c>
      <c r="Y105" s="11">
        <f>IF(J105="","",S105-V105-W105-X105)</f>
        <v/>
      </c>
    </row>
    <row r="106">
      <c r="A106" s="19" t="n"/>
      <c r="B106" s="19" t="n"/>
      <c r="C106" s="19" t="n"/>
      <c r="D106" s="19" t="n"/>
      <c r="E106" s="19" t="n"/>
      <c r="F106" s="20" t="n"/>
      <c r="G106" s="20" t="n"/>
      <c r="H106" s="20" t="n"/>
      <c r="I106" s="19" t="n"/>
      <c r="J106">
        <f>IFERROR(IF(C106="","",C106)&amp;"","")</f>
        <v/>
      </c>
      <c r="K106">
        <f>IFERROR(IF(D106="","",D106)&amp;"","")</f>
        <v/>
      </c>
      <c r="L106">
        <f>IFERROR(IF(I106="","",I106)&amp;"","")</f>
        <v/>
      </c>
      <c r="M106">
        <f>IF(J106="","",IFERROR(VALUE(SUBSTITUTE(SUBSTITUTE(IF(E106="","",E106)&amp;"","$",""),",","")),0))</f>
        <v/>
      </c>
      <c r="N106" s="11">
        <f>IF(J106="","",IFERROR(VALUE(SUBSTITUTE(SUBSTITUTE(IF(F106="","",F106)&amp;"","$",""),",","")),0))</f>
        <v/>
      </c>
      <c r="O106" s="11">
        <f>IF(J106="","",M106*N106)</f>
        <v/>
      </c>
      <c r="P106">
        <f>IF(J106="","",IF(L106="",1,COUNTIF($L$2:$L$1501,L106)))</f>
        <v/>
      </c>
      <c r="Q106" s="11">
        <f>IF(J106="","",IFERROR(VALUE(SUBSTITUTE(SUBSTITUTE(IF(G106="","",G106)&amp;"","$",""),",","")),0)/IF("No"="Yes",P106,1))</f>
        <v/>
      </c>
      <c r="R106" s="11">
        <f>IF(J106="","",IFERROR(VALUE(SUBSTITUTE(SUBSTITUTE(IF(H106="","",H106)&amp;"","$",""),",","")),0)/IF("No"="Yes",P106,1))</f>
        <v/>
      </c>
      <c r="S106" s="11">
        <f>IF(J106="","",O106+Q106-R106)</f>
        <v/>
      </c>
      <c r="T106">
        <f>IF(J106="","",IFERROR(IF(K106="",NA(),MATCH(K106,Products!$B$5:$B$204,0)),IFERROR(MATCH(J106,Products!$A$5:$A$204,0),"")))</f>
        <v/>
      </c>
      <c r="U106">
        <f>IF(J106="","",IF(T106="","⚠ not in Products",INDEX(Products!$A$5:$A$204,T106)))</f>
        <v/>
      </c>
      <c r="V106" s="11">
        <f>IF(J106="","",S106*(IFERROR(INDEX(Settings!$B$5:$B$9,MATCH($B106,Settings!$A$5:$A$9,0)),0)+IFERROR(INDEX(Settings!$E$5:$E$9,MATCH($B106,Settings!$A$5:$A$9,0)),0)+IFERROR(INDEX(Settings!$G$5:$G$9,MATCH($B106,Settings!$A$5:$A$9,0)),0))+(IFERROR(INDEX(Settings!$C$5:$C$9,MATCH($B106,Settings!$A$5:$A$9,0)),0)+IFERROR(INDEX(Settings!$F$5:$F$9,MATCH($B106,Settings!$A$5:$A$9,0)),0))/P106+IFERROR(INDEX(Settings!$D$5:$D$9,MATCH($B106,Settings!$A$5:$A$9,0)),0)*M106)</f>
        <v/>
      </c>
      <c r="W106" s="11">
        <f>IF(J106="","",IF(T106="",0,M106*INDEX(Products!$I$5:$I$204,T106)))</f>
        <v/>
      </c>
      <c r="X106" s="11">
        <f>IF(J106="","",IF(T106="",0,S106*INDEX(Products!$H$5:$H$204,T106)))</f>
        <v/>
      </c>
      <c r="Y106" s="11">
        <f>IF(J106="","",S106-V106-W106-X106)</f>
        <v/>
      </c>
    </row>
    <row r="107">
      <c r="A107" s="19" t="n"/>
      <c r="B107" s="19" t="n"/>
      <c r="C107" s="19" t="n"/>
      <c r="D107" s="19" t="n"/>
      <c r="E107" s="19" t="n"/>
      <c r="F107" s="20" t="n"/>
      <c r="G107" s="20" t="n"/>
      <c r="H107" s="20" t="n"/>
      <c r="I107" s="19" t="n"/>
      <c r="J107">
        <f>IFERROR(IF(C107="","",C107)&amp;"","")</f>
        <v/>
      </c>
      <c r="K107">
        <f>IFERROR(IF(D107="","",D107)&amp;"","")</f>
        <v/>
      </c>
      <c r="L107">
        <f>IFERROR(IF(I107="","",I107)&amp;"","")</f>
        <v/>
      </c>
      <c r="M107">
        <f>IF(J107="","",IFERROR(VALUE(SUBSTITUTE(SUBSTITUTE(IF(E107="","",E107)&amp;"","$",""),",","")),0))</f>
        <v/>
      </c>
      <c r="N107" s="11">
        <f>IF(J107="","",IFERROR(VALUE(SUBSTITUTE(SUBSTITUTE(IF(F107="","",F107)&amp;"","$",""),",","")),0))</f>
        <v/>
      </c>
      <c r="O107" s="11">
        <f>IF(J107="","",M107*N107)</f>
        <v/>
      </c>
      <c r="P107">
        <f>IF(J107="","",IF(L107="",1,COUNTIF($L$2:$L$1501,L107)))</f>
        <v/>
      </c>
      <c r="Q107" s="11">
        <f>IF(J107="","",IFERROR(VALUE(SUBSTITUTE(SUBSTITUTE(IF(G107="","",G107)&amp;"","$",""),",","")),0)/IF("No"="Yes",P107,1))</f>
        <v/>
      </c>
      <c r="R107" s="11">
        <f>IF(J107="","",IFERROR(VALUE(SUBSTITUTE(SUBSTITUTE(IF(H107="","",H107)&amp;"","$",""),",","")),0)/IF("No"="Yes",P107,1))</f>
        <v/>
      </c>
      <c r="S107" s="11">
        <f>IF(J107="","",O107+Q107-R107)</f>
        <v/>
      </c>
      <c r="T107">
        <f>IF(J107="","",IFERROR(IF(K107="",NA(),MATCH(K107,Products!$B$5:$B$204,0)),IFERROR(MATCH(J107,Products!$A$5:$A$204,0),"")))</f>
        <v/>
      </c>
      <c r="U107">
        <f>IF(J107="","",IF(T107="","⚠ not in Products",INDEX(Products!$A$5:$A$204,T107)))</f>
        <v/>
      </c>
      <c r="V107" s="11">
        <f>IF(J107="","",S107*(IFERROR(INDEX(Settings!$B$5:$B$9,MATCH($B107,Settings!$A$5:$A$9,0)),0)+IFERROR(INDEX(Settings!$E$5:$E$9,MATCH($B107,Settings!$A$5:$A$9,0)),0)+IFERROR(INDEX(Settings!$G$5:$G$9,MATCH($B107,Settings!$A$5:$A$9,0)),0))+(IFERROR(INDEX(Settings!$C$5:$C$9,MATCH($B107,Settings!$A$5:$A$9,0)),0)+IFERROR(INDEX(Settings!$F$5:$F$9,MATCH($B107,Settings!$A$5:$A$9,0)),0))/P107+IFERROR(INDEX(Settings!$D$5:$D$9,MATCH($B107,Settings!$A$5:$A$9,0)),0)*M107)</f>
        <v/>
      </c>
      <c r="W107" s="11">
        <f>IF(J107="","",IF(T107="",0,M107*INDEX(Products!$I$5:$I$204,T107)))</f>
        <v/>
      </c>
      <c r="X107" s="11">
        <f>IF(J107="","",IF(T107="",0,S107*INDEX(Products!$H$5:$H$204,T107)))</f>
        <v/>
      </c>
      <c r="Y107" s="11">
        <f>IF(J107="","",S107-V107-W107-X107)</f>
        <v/>
      </c>
    </row>
    <row r="108">
      <c r="A108" s="19" t="n"/>
      <c r="B108" s="19" t="n"/>
      <c r="C108" s="19" t="n"/>
      <c r="D108" s="19" t="n"/>
      <c r="E108" s="19" t="n"/>
      <c r="F108" s="20" t="n"/>
      <c r="G108" s="20" t="n"/>
      <c r="H108" s="20" t="n"/>
      <c r="I108" s="19" t="n"/>
      <c r="J108">
        <f>IFERROR(IF(C108="","",C108)&amp;"","")</f>
        <v/>
      </c>
      <c r="K108">
        <f>IFERROR(IF(D108="","",D108)&amp;"","")</f>
        <v/>
      </c>
      <c r="L108">
        <f>IFERROR(IF(I108="","",I108)&amp;"","")</f>
        <v/>
      </c>
      <c r="M108">
        <f>IF(J108="","",IFERROR(VALUE(SUBSTITUTE(SUBSTITUTE(IF(E108="","",E108)&amp;"","$",""),",","")),0))</f>
        <v/>
      </c>
      <c r="N108" s="11">
        <f>IF(J108="","",IFERROR(VALUE(SUBSTITUTE(SUBSTITUTE(IF(F108="","",F108)&amp;"","$",""),",","")),0))</f>
        <v/>
      </c>
      <c r="O108" s="11">
        <f>IF(J108="","",M108*N108)</f>
        <v/>
      </c>
      <c r="P108">
        <f>IF(J108="","",IF(L108="",1,COUNTIF($L$2:$L$1501,L108)))</f>
        <v/>
      </c>
      <c r="Q108" s="11">
        <f>IF(J108="","",IFERROR(VALUE(SUBSTITUTE(SUBSTITUTE(IF(G108="","",G108)&amp;"","$",""),",","")),0)/IF("No"="Yes",P108,1))</f>
        <v/>
      </c>
      <c r="R108" s="11">
        <f>IF(J108="","",IFERROR(VALUE(SUBSTITUTE(SUBSTITUTE(IF(H108="","",H108)&amp;"","$",""),",","")),0)/IF("No"="Yes",P108,1))</f>
        <v/>
      </c>
      <c r="S108" s="11">
        <f>IF(J108="","",O108+Q108-R108)</f>
        <v/>
      </c>
      <c r="T108">
        <f>IF(J108="","",IFERROR(IF(K108="",NA(),MATCH(K108,Products!$B$5:$B$204,0)),IFERROR(MATCH(J108,Products!$A$5:$A$204,0),"")))</f>
        <v/>
      </c>
      <c r="U108">
        <f>IF(J108="","",IF(T108="","⚠ not in Products",INDEX(Products!$A$5:$A$204,T108)))</f>
        <v/>
      </c>
      <c r="V108" s="11">
        <f>IF(J108="","",S108*(IFERROR(INDEX(Settings!$B$5:$B$9,MATCH($B108,Settings!$A$5:$A$9,0)),0)+IFERROR(INDEX(Settings!$E$5:$E$9,MATCH($B108,Settings!$A$5:$A$9,0)),0)+IFERROR(INDEX(Settings!$G$5:$G$9,MATCH($B108,Settings!$A$5:$A$9,0)),0))+(IFERROR(INDEX(Settings!$C$5:$C$9,MATCH($B108,Settings!$A$5:$A$9,0)),0)+IFERROR(INDEX(Settings!$F$5:$F$9,MATCH($B108,Settings!$A$5:$A$9,0)),0))/P108+IFERROR(INDEX(Settings!$D$5:$D$9,MATCH($B108,Settings!$A$5:$A$9,0)),0)*M108)</f>
        <v/>
      </c>
      <c r="W108" s="11">
        <f>IF(J108="","",IF(T108="",0,M108*INDEX(Products!$I$5:$I$204,T108)))</f>
        <v/>
      </c>
      <c r="X108" s="11">
        <f>IF(J108="","",IF(T108="",0,S108*INDEX(Products!$H$5:$H$204,T108)))</f>
        <v/>
      </c>
      <c r="Y108" s="11">
        <f>IF(J108="","",S108-V108-W108-X108)</f>
        <v/>
      </c>
    </row>
    <row r="109">
      <c r="A109" s="19" t="n"/>
      <c r="B109" s="19" t="n"/>
      <c r="C109" s="19" t="n"/>
      <c r="D109" s="19" t="n"/>
      <c r="E109" s="19" t="n"/>
      <c r="F109" s="20" t="n"/>
      <c r="G109" s="20" t="n"/>
      <c r="H109" s="20" t="n"/>
      <c r="I109" s="19" t="n"/>
      <c r="J109">
        <f>IFERROR(IF(C109="","",C109)&amp;"","")</f>
        <v/>
      </c>
      <c r="K109">
        <f>IFERROR(IF(D109="","",D109)&amp;"","")</f>
        <v/>
      </c>
      <c r="L109">
        <f>IFERROR(IF(I109="","",I109)&amp;"","")</f>
        <v/>
      </c>
      <c r="M109">
        <f>IF(J109="","",IFERROR(VALUE(SUBSTITUTE(SUBSTITUTE(IF(E109="","",E109)&amp;"","$",""),",","")),0))</f>
        <v/>
      </c>
      <c r="N109" s="11">
        <f>IF(J109="","",IFERROR(VALUE(SUBSTITUTE(SUBSTITUTE(IF(F109="","",F109)&amp;"","$",""),",","")),0))</f>
        <v/>
      </c>
      <c r="O109" s="11">
        <f>IF(J109="","",M109*N109)</f>
        <v/>
      </c>
      <c r="P109">
        <f>IF(J109="","",IF(L109="",1,COUNTIF($L$2:$L$1501,L109)))</f>
        <v/>
      </c>
      <c r="Q109" s="11">
        <f>IF(J109="","",IFERROR(VALUE(SUBSTITUTE(SUBSTITUTE(IF(G109="","",G109)&amp;"","$",""),",","")),0)/IF("No"="Yes",P109,1))</f>
        <v/>
      </c>
      <c r="R109" s="11">
        <f>IF(J109="","",IFERROR(VALUE(SUBSTITUTE(SUBSTITUTE(IF(H109="","",H109)&amp;"","$",""),",","")),0)/IF("No"="Yes",P109,1))</f>
        <v/>
      </c>
      <c r="S109" s="11">
        <f>IF(J109="","",O109+Q109-R109)</f>
        <v/>
      </c>
      <c r="T109">
        <f>IF(J109="","",IFERROR(IF(K109="",NA(),MATCH(K109,Products!$B$5:$B$204,0)),IFERROR(MATCH(J109,Products!$A$5:$A$204,0),"")))</f>
        <v/>
      </c>
      <c r="U109">
        <f>IF(J109="","",IF(T109="","⚠ not in Products",INDEX(Products!$A$5:$A$204,T109)))</f>
        <v/>
      </c>
      <c r="V109" s="11">
        <f>IF(J109="","",S109*(IFERROR(INDEX(Settings!$B$5:$B$9,MATCH($B109,Settings!$A$5:$A$9,0)),0)+IFERROR(INDEX(Settings!$E$5:$E$9,MATCH($B109,Settings!$A$5:$A$9,0)),0)+IFERROR(INDEX(Settings!$G$5:$G$9,MATCH($B109,Settings!$A$5:$A$9,0)),0))+(IFERROR(INDEX(Settings!$C$5:$C$9,MATCH($B109,Settings!$A$5:$A$9,0)),0)+IFERROR(INDEX(Settings!$F$5:$F$9,MATCH($B109,Settings!$A$5:$A$9,0)),0))/P109+IFERROR(INDEX(Settings!$D$5:$D$9,MATCH($B109,Settings!$A$5:$A$9,0)),0)*M109)</f>
        <v/>
      </c>
      <c r="W109" s="11">
        <f>IF(J109="","",IF(T109="",0,M109*INDEX(Products!$I$5:$I$204,T109)))</f>
        <v/>
      </c>
      <c r="X109" s="11">
        <f>IF(J109="","",IF(T109="",0,S109*INDEX(Products!$H$5:$H$204,T109)))</f>
        <v/>
      </c>
      <c r="Y109" s="11">
        <f>IF(J109="","",S109-V109-W109-X109)</f>
        <v/>
      </c>
    </row>
    <row r="110">
      <c r="A110" s="19" t="n"/>
      <c r="B110" s="19" t="n"/>
      <c r="C110" s="19" t="n"/>
      <c r="D110" s="19" t="n"/>
      <c r="E110" s="19" t="n"/>
      <c r="F110" s="20" t="n"/>
      <c r="G110" s="20" t="n"/>
      <c r="H110" s="20" t="n"/>
      <c r="I110" s="19" t="n"/>
      <c r="J110">
        <f>IFERROR(IF(C110="","",C110)&amp;"","")</f>
        <v/>
      </c>
      <c r="K110">
        <f>IFERROR(IF(D110="","",D110)&amp;"","")</f>
        <v/>
      </c>
      <c r="L110">
        <f>IFERROR(IF(I110="","",I110)&amp;"","")</f>
        <v/>
      </c>
      <c r="M110">
        <f>IF(J110="","",IFERROR(VALUE(SUBSTITUTE(SUBSTITUTE(IF(E110="","",E110)&amp;"","$",""),",","")),0))</f>
        <v/>
      </c>
      <c r="N110" s="11">
        <f>IF(J110="","",IFERROR(VALUE(SUBSTITUTE(SUBSTITUTE(IF(F110="","",F110)&amp;"","$",""),",","")),0))</f>
        <v/>
      </c>
      <c r="O110" s="11">
        <f>IF(J110="","",M110*N110)</f>
        <v/>
      </c>
      <c r="P110">
        <f>IF(J110="","",IF(L110="",1,COUNTIF($L$2:$L$1501,L110)))</f>
        <v/>
      </c>
      <c r="Q110" s="11">
        <f>IF(J110="","",IFERROR(VALUE(SUBSTITUTE(SUBSTITUTE(IF(G110="","",G110)&amp;"","$",""),",","")),0)/IF("No"="Yes",P110,1))</f>
        <v/>
      </c>
      <c r="R110" s="11">
        <f>IF(J110="","",IFERROR(VALUE(SUBSTITUTE(SUBSTITUTE(IF(H110="","",H110)&amp;"","$",""),",","")),0)/IF("No"="Yes",P110,1))</f>
        <v/>
      </c>
      <c r="S110" s="11">
        <f>IF(J110="","",O110+Q110-R110)</f>
        <v/>
      </c>
      <c r="T110">
        <f>IF(J110="","",IFERROR(IF(K110="",NA(),MATCH(K110,Products!$B$5:$B$204,0)),IFERROR(MATCH(J110,Products!$A$5:$A$204,0),"")))</f>
        <v/>
      </c>
      <c r="U110">
        <f>IF(J110="","",IF(T110="","⚠ not in Products",INDEX(Products!$A$5:$A$204,T110)))</f>
        <v/>
      </c>
      <c r="V110" s="11">
        <f>IF(J110="","",S110*(IFERROR(INDEX(Settings!$B$5:$B$9,MATCH($B110,Settings!$A$5:$A$9,0)),0)+IFERROR(INDEX(Settings!$E$5:$E$9,MATCH($B110,Settings!$A$5:$A$9,0)),0)+IFERROR(INDEX(Settings!$G$5:$G$9,MATCH($B110,Settings!$A$5:$A$9,0)),0))+(IFERROR(INDEX(Settings!$C$5:$C$9,MATCH($B110,Settings!$A$5:$A$9,0)),0)+IFERROR(INDEX(Settings!$F$5:$F$9,MATCH($B110,Settings!$A$5:$A$9,0)),0))/P110+IFERROR(INDEX(Settings!$D$5:$D$9,MATCH($B110,Settings!$A$5:$A$9,0)),0)*M110)</f>
        <v/>
      </c>
      <c r="W110" s="11">
        <f>IF(J110="","",IF(T110="",0,M110*INDEX(Products!$I$5:$I$204,T110)))</f>
        <v/>
      </c>
      <c r="X110" s="11">
        <f>IF(J110="","",IF(T110="",0,S110*INDEX(Products!$H$5:$H$204,T110)))</f>
        <v/>
      </c>
      <c r="Y110" s="11">
        <f>IF(J110="","",S110-V110-W110-X110)</f>
        <v/>
      </c>
    </row>
    <row r="111">
      <c r="A111" s="19" t="n"/>
      <c r="B111" s="19" t="n"/>
      <c r="C111" s="19" t="n"/>
      <c r="D111" s="19" t="n"/>
      <c r="E111" s="19" t="n"/>
      <c r="F111" s="20" t="n"/>
      <c r="G111" s="20" t="n"/>
      <c r="H111" s="20" t="n"/>
      <c r="I111" s="19" t="n"/>
      <c r="J111">
        <f>IFERROR(IF(C111="","",C111)&amp;"","")</f>
        <v/>
      </c>
      <c r="K111">
        <f>IFERROR(IF(D111="","",D111)&amp;"","")</f>
        <v/>
      </c>
      <c r="L111">
        <f>IFERROR(IF(I111="","",I111)&amp;"","")</f>
        <v/>
      </c>
      <c r="M111">
        <f>IF(J111="","",IFERROR(VALUE(SUBSTITUTE(SUBSTITUTE(IF(E111="","",E111)&amp;"","$",""),",","")),0))</f>
        <v/>
      </c>
      <c r="N111" s="11">
        <f>IF(J111="","",IFERROR(VALUE(SUBSTITUTE(SUBSTITUTE(IF(F111="","",F111)&amp;"","$",""),",","")),0))</f>
        <v/>
      </c>
      <c r="O111" s="11">
        <f>IF(J111="","",M111*N111)</f>
        <v/>
      </c>
      <c r="P111">
        <f>IF(J111="","",IF(L111="",1,COUNTIF($L$2:$L$1501,L111)))</f>
        <v/>
      </c>
      <c r="Q111" s="11">
        <f>IF(J111="","",IFERROR(VALUE(SUBSTITUTE(SUBSTITUTE(IF(G111="","",G111)&amp;"","$",""),",","")),0)/IF("No"="Yes",P111,1))</f>
        <v/>
      </c>
      <c r="R111" s="11">
        <f>IF(J111="","",IFERROR(VALUE(SUBSTITUTE(SUBSTITUTE(IF(H111="","",H111)&amp;"","$",""),",","")),0)/IF("No"="Yes",P111,1))</f>
        <v/>
      </c>
      <c r="S111" s="11">
        <f>IF(J111="","",O111+Q111-R111)</f>
        <v/>
      </c>
      <c r="T111">
        <f>IF(J111="","",IFERROR(IF(K111="",NA(),MATCH(K111,Products!$B$5:$B$204,0)),IFERROR(MATCH(J111,Products!$A$5:$A$204,0),"")))</f>
        <v/>
      </c>
      <c r="U111">
        <f>IF(J111="","",IF(T111="","⚠ not in Products",INDEX(Products!$A$5:$A$204,T111)))</f>
        <v/>
      </c>
      <c r="V111" s="11">
        <f>IF(J111="","",S111*(IFERROR(INDEX(Settings!$B$5:$B$9,MATCH($B111,Settings!$A$5:$A$9,0)),0)+IFERROR(INDEX(Settings!$E$5:$E$9,MATCH($B111,Settings!$A$5:$A$9,0)),0)+IFERROR(INDEX(Settings!$G$5:$G$9,MATCH($B111,Settings!$A$5:$A$9,0)),0))+(IFERROR(INDEX(Settings!$C$5:$C$9,MATCH($B111,Settings!$A$5:$A$9,0)),0)+IFERROR(INDEX(Settings!$F$5:$F$9,MATCH($B111,Settings!$A$5:$A$9,0)),0))/P111+IFERROR(INDEX(Settings!$D$5:$D$9,MATCH($B111,Settings!$A$5:$A$9,0)),0)*M111)</f>
        <v/>
      </c>
      <c r="W111" s="11">
        <f>IF(J111="","",IF(T111="",0,M111*INDEX(Products!$I$5:$I$204,T111)))</f>
        <v/>
      </c>
      <c r="X111" s="11">
        <f>IF(J111="","",IF(T111="",0,S111*INDEX(Products!$H$5:$H$204,T111)))</f>
        <v/>
      </c>
      <c r="Y111" s="11">
        <f>IF(J111="","",S111-V111-W111-X111)</f>
        <v/>
      </c>
    </row>
    <row r="112">
      <c r="A112" s="19" t="n"/>
      <c r="B112" s="19" t="n"/>
      <c r="C112" s="19" t="n"/>
      <c r="D112" s="19" t="n"/>
      <c r="E112" s="19" t="n"/>
      <c r="F112" s="20" t="n"/>
      <c r="G112" s="20" t="n"/>
      <c r="H112" s="20" t="n"/>
      <c r="I112" s="19" t="n"/>
      <c r="J112">
        <f>IFERROR(IF(C112="","",C112)&amp;"","")</f>
        <v/>
      </c>
      <c r="K112">
        <f>IFERROR(IF(D112="","",D112)&amp;"","")</f>
        <v/>
      </c>
      <c r="L112">
        <f>IFERROR(IF(I112="","",I112)&amp;"","")</f>
        <v/>
      </c>
      <c r="M112">
        <f>IF(J112="","",IFERROR(VALUE(SUBSTITUTE(SUBSTITUTE(IF(E112="","",E112)&amp;"","$",""),",","")),0))</f>
        <v/>
      </c>
      <c r="N112" s="11">
        <f>IF(J112="","",IFERROR(VALUE(SUBSTITUTE(SUBSTITUTE(IF(F112="","",F112)&amp;"","$",""),",","")),0))</f>
        <v/>
      </c>
      <c r="O112" s="11">
        <f>IF(J112="","",M112*N112)</f>
        <v/>
      </c>
      <c r="P112">
        <f>IF(J112="","",IF(L112="",1,COUNTIF($L$2:$L$1501,L112)))</f>
        <v/>
      </c>
      <c r="Q112" s="11">
        <f>IF(J112="","",IFERROR(VALUE(SUBSTITUTE(SUBSTITUTE(IF(G112="","",G112)&amp;"","$",""),",","")),0)/IF("No"="Yes",P112,1))</f>
        <v/>
      </c>
      <c r="R112" s="11">
        <f>IF(J112="","",IFERROR(VALUE(SUBSTITUTE(SUBSTITUTE(IF(H112="","",H112)&amp;"","$",""),",","")),0)/IF("No"="Yes",P112,1))</f>
        <v/>
      </c>
      <c r="S112" s="11">
        <f>IF(J112="","",O112+Q112-R112)</f>
        <v/>
      </c>
      <c r="T112">
        <f>IF(J112="","",IFERROR(IF(K112="",NA(),MATCH(K112,Products!$B$5:$B$204,0)),IFERROR(MATCH(J112,Products!$A$5:$A$204,0),"")))</f>
        <v/>
      </c>
      <c r="U112">
        <f>IF(J112="","",IF(T112="","⚠ not in Products",INDEX(Products!$A$5:$A$204,T112)))</f>
        <v/>
      </c>
      <c r="V112" s="11">
        <f>IF(J112="","",S112*(IFERROR(INDEX(Settings!$B$5:$B$9,MATCH($B112,Settings!$A$5:$A$9,0)),0)+IFERROR(INDEX(Settings!$E$5:$E$9,MATCH($B112,Settings!$A$5:$A$9,0)),0)+IFERROR(INDEX(Settings!$G$5:$G$9,MATCH($B112,Settings!$A$5:$A$9,0)),0))+(IFERROR(INDEX(Settings!$C$5:$C$9,MATCH($B112,Settings!$A$5:$A$9,0)),0)+IFERROR(INDEX(Settings!$F$5:$F$9,MATCH($B112,Settings!$A$5:$A$9,0)),0))/P112+IFERROR(INDEX(Settings!$D$5:$D$9,MATCH($B112,Settings!$A$5:$A$9,0)),0)*M112)</f>
        <v/>
      </c>
      <c r="W112" s="11">
        <f>IF(J112="","",IF(T112="",0,M112*INDEX(Products!$I$5:$I$204,T112)))</f>
        <v/>
      </c>
      <c r="X112" s="11">
        <f>IF(J112="","",IF(T112="",0,S112*INDEX(Products!$H$5:$H$204,T112)))</f>
        <v/>
      </c>
      <c r="Y112" s="11">
        <f>IF(J112="","",S112-V112-W112-X112)</f>
        <v/>
      </c>
    </row>
    <row r="113">
      <c r="A113" s="19" t="n"/>
      <c r="B113" s="19" t="n"/>
      <c r="C113" s="19" t="n"/>
      <c r="D113" s="19" t="n"/>
      <c r="E113" s="19" t="n"/>
      <c r="F113" s="20" t="n"/>
      <c r="G113" s="20" t="n"/>
      <c r="H113" s="20" t="n"/>
      <c r="I113" s="19" t="n"/>
      <c r="J113">
        <f>IFERROR(IF(C113="","",C113)&amp;"","")</f>
        <v/>
      </c>
      <c r="K113">
        <f>IFERROR(IF(D113="","",D113)&amp;"","")</f>
        <v/>
      </c>
      <c r="L113">
        <f>IFERROR(IF(I113="","",I113)&amp;"","")</f>
        <v/>
      </c>
      <c r="M113">
        <f>IF(J113="","",IFERROR(VALUE(SUBSTITUTE(SUBSTITUTE(IF(E113="","",E113)&amp;"","$",""),",","")),0))</f>
        <v/>
      </c>
      <c r="N113" s="11">
        <f>IF(J113="","",IFERROR(VALUE(SUBSTITUTE(SUBSTITUTE(IF(F113="","",F113)&amp;"","$",""),",","")),0))</f>
        <v/>
      </c>
      <c r="O113" s="11">
        <f>IF(J113="","",M113*N113)</f>
        <v/>
      </c>
      <c r="P113">
        <f>IF(J113="","",IF(L113="",1,COUNTIF($L$2:$L$1501,L113)))</f>
        <v/>
      </c>
      <c r="Q113" s="11">
        <f>IF(J113="","",IFERROR(VALUE(SUBSTITUTE(SUBSTITUTE(IF(G113="","",G113)&amp;"","$",""),",","")),0)/IF("No"="Yes",P113,1))</f>
        <v/>
      </c>
      <c r="R113" s="11">
        <f>IF(J113="","",IFERROR(VALUE(SUBSTITUTE(SUBSTITUTE(IF(H113="","",H113)&amp;"","$",""),",","")),0)/IF("No"="Yes",P113,1))</f>
        <v/>
      </c>
      <c r="S113" s="11">
        <f>IF(J113="","",O113+Q113-R113)</f>
        <v/>
      </c>
      <c r="T113">
        <f>IF(J113="","",IFERROR(IF(K113="",NA(),MATCH(K113,Products!$B$5:$B$204,0)),IFERROR(MATCH(J113,Products!$A$5:$A$204,0),"")))</f>
        <v/>
      </c>
      <c r="U113">
        <f>IF(J113="","",IF(T113="","⚠ not in Products",INDEX(Products!$A$5:$A$204,T113)))</f>
        <v/>
      </c>
      <c r="V113" s="11">
        <f>IF(J113="","",S113*(IFERROR(INDEX(Settings!$B$5:$B$9,MATCH($B113,Settings!$A$5:$A$9,0)),0)+IFERROR(INDEX(Settings!$E$5:$E$9,MATCH($B113,Settings!$A$5:$A$9,0)),0)+IFERROR(INDEX(Settings!$G$5:$G$9,MATCH($B113,Settings!$A$5:$A$9,0)),0))+(IFERROR(INDEX(Settings!$C$5:$C$9,MATCH($B113,Settings!$A$5:$A$9,0)),0)+IFERROR(INDEX(Settings!$F$5:$F$9,MATCH($B113,Settings!$A$5:$A$9,0)),0))/P113+IFERROR(INDEX(Settings!$D$5:$D$9,MATCH($B113,Settings!$A$5:$A$9,0)),0)*M113)</f>
        <v/>
      </c>
      <c r="W113" s="11">
        <f>IF(J113="","",IF(T113="",0,M113*INDEX(Products!$I$5:$I$204,T113)))</f>
        <v/>
      </c>
      <c r="X113" s="11">
        <f>IF(J113="","",IF(T113="",0,S113*INDEX(Products!$H$5:$H$204,T113)))</f>
        <v/>
      </c>
      <c r="Y113" s="11">
        <f>IF(J113="","",S113-V113-W113-X113)</f>
        <v/>
      </c>
    </row>
    <row r="114">
      <c r="A114" s="19" t="n"/>
      <c r="B114" s="19" t="n"/>
      <c r="C114" s="19" t="n"/>
      <c r="D114" s="19" t="n"/>
      <c r="E114" s="19" t="n"/>
      <c r="F114" s="20" t="n"/>
      <c r="G114" s="20" t="n"/>
      <c r="H114" s="20" t="n"/>
      <c r="I114" s="19" t="n"/>
      <c r="J114">
        <f>IFERROR(IF(C114="","",C114)&amp;"","")</f>
        <v/>
      </c>
      <c r="K114">
        <f>IFERROR(IF(D114="","",D114)&amp;"","")</f>
        <v/>
      </c>
      <c r="L114">
        <f>IFERROR(IF(I114="","",I114)&amp;"","")</f>
        <v/>
      </c>
      <c r="M114">
        <f>IF(J114="","",IFERROR(VALUE(SUBSTITUTE(SUBSTITUTE(IF(E114="","",E114)&amp;"","$",""),",","")),0))</f>
        <v/>
      </c>
      <c r="N114" s="11">
        <f>IF(J114="","",IFERROR(VALUE(SUBSTITUTE(SUBSTITUTE(IF(F114="","",F114)&amp;"","$",""),",","")),0))</f>
        <v/>
      </c>
      <c r="O114" s="11">
        <f>IF(J114="","",M114*N114)</f>
        <v/>
      </c>
      <c r="P114">
        <f>IF(J114="","",IF(L114="",1,COUNTIF($L$2:$L$1501,L114)))</f>
        <v/>
      </c>
      <c r="Q114" s="11">
        <f>IF(J114="","",IFERROR(VALUE(SUBSTITUTE(SUBSTITUTE(IF(G114="","",G114)&amp;"","$",""),",","")),0)/IF("No"="Yes",P114,1))</f>
        <v/>
      </c>
      <c r="R114" s="11">
        <f>IF(J114="","",IFERROR(VALUE(SUBSTITUTE(SUBSTITUTE(IF(H114="","",H114)&amp;"","$",""),",","")),0)/IF("No"="Yes",P114,1))</f>
        <v/>
      </c>
      <c r="S114" s="11">
        <f>IF(J114="","",O114+Q114-R114)</f>
        <v/>
      </c>
      <c r="T114">
        <f>IF(J114="","",IFERROR(IF(K114="",NA(),MATCH(K114,Products!$B$5:$B$204,0)),IFERROR(MATCH(J114,Products!$A$5:$A$204,0),"")))</f>
        <v/>
      </c>
      <c r="U114">
        <f>IF(J114="","",IF(T114="","⚠ not in Products",INDEX(Products!$A$5:$A$204,T114)))</f>
        <v/>
      </c>
      <c r="V114" s="11">
        <f>IF(J114="","",S114*(IFERROR(INDEX(Settings!$B$5:$B$9,MATCH($B114,Settings!$A$5:$A$9,0)),0)+IFERROR(INDEX(Settings!$E$5:$E$9,MATCH($B114,Settings!$A$5:$A$9,0)),0)+IFERROR(INDEX(Settings!$G$5:$G$9,MATCH($B114,Settings!$A$5:$A$9,0)),0))+(IFERROR(INDEX(Settings!$C$5:$C$9,MATCH($B114,Settings!$A$5:$A$9,0)),0)+IFERROR(INDEX(Settings!$F$5:$F$9,MATCH($B114,Settings!$A$5:$A$9,0)),0))/P114+IFERROR(INDEX(Settings!$D$5:$D$9,MATCH($B114,Settings!$A$5:$A$9,0)),0)*M114)</f>
        <v/>
      </c>
      <c r="W114" s="11">
        <f>IF(J114="","",IF(T114="",0,M114*INDEX(Products!$I$5:$I$204,T114)))</f>
        <v/>
      </c>
      <c r="X114" s="11">
        <f>IF(J114="","",IF(T114="",0,S114*INDEX(Products!$H$5:$H$204,T114)))</f>
        <v/>
      </c>
      <c r="Y114" s="11">
        <f>IF(J114="","",S114-V114-W114-X114)</f>
        <v/>
      </c>
    </row>
    <row r="115">
      <c r="A115" s="19" t="n"/>
      <c r="B115" s="19" t="n"/>
      <c r="C115" s="19" t="n"/>
      <c r="D115" s="19" t="n"/>
      <c r="E115" s="19" t="n"/>
      <c r="F115" s="20" t="n"/>
      <c r="G115" s="20" t="n"/>
      <c r="H115" s="20" t="n"/>
      <c r="I115" s="19" t="n"/>
      <c r="J115">
        <f>IFERROR(IF(C115="","",C115)&amp;"","")</f>
        <v/>
      </c>
      <c r="K115">
        <f>IFERROR(IF(D115="","",D115)&amp;"","")</f>
        <v/>
      </c>
      <c r="L115">
        <f>IFERROR(IF(I115="","",I115)&amp;"","")</f>
        <v/>
      </c>
      <c r="M115">
        <f>IF(J115="","",IFERROR(VALUE(SUBSTITUTE(SUBSTITUTE(IF(E115="","",E115)&amp;"","$",""),",","")),0))</f>
        <v/>
      </c>
      <c r="N115" s="11">
        <f>IF(J115="","",IFERROR(VALUE(SUBSTITUTE(SUBSTITUTE(IF(F115="","",F115)&amp;"","$",""),",","")),0))</f>
        <v/>
      </c>
      <c r="O115" s="11">
        <f>IF(J115="","",M115*N115)</f>
        <v/>
      </c>
      <c r="P115">
        <f>IF(J115="","",IF(L115="",1,COUNTIF($L$2:$L$1501,L115)))</f>
        <v/>
      </c>
      <c r="Q115" s="11">
        <f>IF(J115="","",IFERROR(VALUE(SUBSTITUTE(SUBSTITUTE(IF(G115="","",G115)&amp;"","$",""),",","")),0)/IF("No"="Yes",P115,1))</f>
        <v/>
      </c>
      <c r="R115" s="11">
        <f>IF(J115="","",IFERROR(VALUE(SUBSTITUTE(SUBSTITUTE(IF(H115="","",H115)&amp;"","$",""),",","")),0)/IF("No"="Yes",P115,1))</f>
        <v/>
      </c>
      <c r="S115" s="11">
        <f>IF(J115="","",O115+Q115-R115)</f>
        <v/>
      </c>
      <c r="T115">
        <f>IF(J115="","",IFERROR(IF(K115="",NA(),MATCH(K115,Products!$B$5:$B$204,0)),IFERROR(MATCH(J115,Products!$A$5:$A$204,0),"")))</f>
        <v/>
      </c>
      <c r="U115">
        <f>IF(J115="","",IF(T115="","⚠ not in Products",INDEX(Products!$A$5:$A$204,T115)))</f>
        <v/>
      </c>
      <c r="V115" s="11">
        <f>IF(J115="","",S115*(IFERROR(INDEX(Settings!$B$5:$B$9,MATCH($B115,Settings!$A$5:$A$9,0)),0)+IFERROR(INDEX(Settings!$E$5:$E$9,MATCH($B115,Settings!$A$5:$A$9,0)),0)+IFERROR(INDEX(Settings!$G$5:$G$9,MATCH($B115,Settings!$A$5:$A$9,0)),0))+(IFERROR(INDEX(Settings!$C$5:$C$9,MATCH($B115,Settings!$A$5:$A$9,0)),0)+IFERROR(INDEX(Settings!$F$5:$F$9,MATCH($B115,Settings!$A$5:$A$9,0)),0))/P115+IFERROR(INDEX(Settings!$D$5:$D$9,MATCH($B115,Settings!$A$5:$A$9,0)),0)*M115)</f>
        <v/>
      </c>
      <c r="W115" s="11">
        <f>IF(J115="","",IF(T115="",0,M115*INDEX(Products!$I$5:$I$204,T115)))</f>
        <v/>
      </c>
      <c r="X115" s="11">
        <f>IF(J115="","",IF(T115="",0,S115*INDEX(Products!$H$5:$H$204,T115)))</f>
        <v/>
      </c>
      <c r="Y115" s="11">
        <f>IF(J115="","",S115-V115-W115-X115)</f>
        <v/>
      </c>
    </row>
    <row r="116">
      <c r="A116" s="19" t="n"/>
      <c r="B116" s="19" t="n"/>
      <c r="C116" s="19" t="n"/>
      <c r="D116" s="19" t="n"/>
      <c r="E116" s="19" t="n"/>
      <c r="F116" s="20" t="n"/>
      <c r="G116" s="20" t="n"/>
      <c r="H116" s="20" t="n"/>
      <c r="I116" s="19" t="n"/>
      <c r="J116">
        <f>IFERROR(IF(C116="","",C116)&amp;"","")</f>
        <v/>
      </c>
      <c r="K116">
        <f>IFERROR(IF(D116="","",D116)&amp;"","")</f>
        <v/>
      </c>
      <c r="L116">
        <f>IFERROR(IF(I116="","",I116)&amp;"","")</f>
        <v/>
      </c>
      <c r="M116">
        <f>IF(J116="","",IFERROR(VALUE(SUBSTITUTE(SUBSTITUTE(IF(E116="","",E116)&amp;"","$",""),",","")),0))</f>
        <v/>
      </c>
      <c r="N116" s="11">
        <f>IF(J116="","",IFERROR(VALUE(SUBSTITUTE(SUBSTITUTE(IF(F116="","",F116)&amp;"","$",""),",","")),0))</f>
        <v/>
      </c>
      <c r="O116" s="11">
        <f>IF(J116="","",M116*N116)</f>
        <v/>
      </c>
      <c r="P116">
        <f>IF(J116="","",IF(L116="",1,COUNTIF($L$2:$L$1501,L116)))</f>
        <v/>
      </c>
      <c r="Q116" s="11">
        <f>IF(J116="","",IFERROR(VALUE(SUBSTITUTE(SUBSTITUTE(IF(G116="","",G116)&amp;"","$",""),",","")),0)/IF("No"="Yes",P116,1))</f>
        <v/>
      </c>
      <c r="R116" s="11">
        <f>IF(J116="","",IFERROR(VALUE(SUBSTITUTE(SUBSTITUTE(IF(H116="","",H116)&amp;"","$",""),",","")),0)/IF("No"="Yes",P116,1))</f>
        <v/>
      </c>
      <c r="S116" s="11">
        <f>IF(J116="","",O116+Q116-R116)</f>
        <v/>
      </c>
      <c r="T116">
        <f>IF(J116="","",IFERROR(IF(K116="",NA(),MATCH(K116,Products!$B$5:$B$204,0)),IFERROR(MATCH(J116,Products!$A$5:$A$204,0),"")))</f>
        <v/>
      </c>
      <c r="U116">
        <f>IF(J116="","",IF(T116="","⚠ not in Products",INDEX(Products!$A$5:$A$204,T116)))</f>
        <v/>
      </c>
      <c r="V116" s="11">
        <f>IF(J116="","",S116*(IFERROR(INDEX(Settings!$B$5:$B$9,MATCH($B116,Settings!$A$5:$A$9,0)),0)+IFERROR(INDEX(Settings!$E$5:$E$9,MATCH($B116,Settings!$A$5:$A$9,0)),0)+IFERROR(INDEX(Settings!$G$5:$G$9,MATCH($B116,Settings!$A$5:$A$9,0)),0))+(IFERROR(INDEX(Settings!$C$5:$C$9,MATCH($B116,Settings!$A$5:$A$9,0)),0)+IFERROR(INDEX(Settings!$F$5:$F$9,MATCH($B116,Settings!$A$5:$A$9,0)),0))/P116+IFERROR(INDEX(Settings!$D$5:$D$9,MATCH($B116,Settings!$A$5:$A$9,0)),0)*M116)</f>
        <v/>
      </c>
      <c r="W116" s="11">
        <f>IF(J116="","",IF(T116="",0,M116*INDEX(Products!$I$5:$I$204,T116)))</f>
        <v/>
      </c>
      <c r="X116" s="11">
        <f>IF(J116="","",IF(T116="",0,S116*INDEX(Products!$H$5:$H$204,T116)))</f>
        <v/>
      </c>
      <c r="Y116" s="11">
        <f>IF(J116="","",S116-V116-W116-X116)</f>
        <v/>
      </c>
    </row>
    <row r="117">
      <c r="A117" s="19" t="n"/>
      <c r="B117" s="19" t="n"/>
      <c r="C117" s="19" t="n"/>
      <c r="D117" s="19" t="n"/>
      <c r="E117" s="19" t="n"/>
      <c r="F117" s="20" t="n"/>
      <c r="G117" s="20" t="n"/>
      <c r="H117" s="20" t="n"/>
      <c r="I117" s="19" t="n"/>
      <c r="J117">
        <f>IFERROR(IF(C117="","",C117)&amp;"","")</f>
        <v/>
      </c>
      <c r="K117">
        <f>IFERROR(IF(D117="","",D117)&amp;"","")</f>
        <v/>
      </c>
      <c r="L117">
        <f>IFERROR(IF(I117="","",I117)&amp;"","")</f>
        <v/>
      </c>
      <c r="M117">
        <f>IF(J117="","",IFERROR(VALUE(SUBSTITUTE(SUBSTITUTE(IF(E117="","",E117)&amp;"","$",""),",","")),0))</f>
        <v/>
      </c>
      <c r="N117" s="11">
        <f>IF(J117="","",IFERROR(VALUE(SUBSTITUTE(SUBSTITUTE(IF(F117="","",F117)&amp;"","$",""),",","")),0))</f>
        <v/>
      </c>
      <c r="O117" s="11">
        <f>IF(J117="","",M117*N117)</f>
        <v/>
      </c>
      <c r="P117">
        <f>IF(J117="","",IF(L117="",1,COUNTIF($L$2:$L$1501,L117)))</f>
        <v/>
      </c>
      <c r="Q117" s="11">
        <f>IF(J117="","",IFERROR(VALUE(SUBSTITUTE(SUBSTITUTE(IF(G117="","",G117)&amp;"","$",""),",","")),0)/IF("No"="Yes",P117,1))</f>
        <v/>
      </c>
      <c r="R117" s="11">
        <f>IF(J117="","",IFERROR(VALUE(SUBSTITUTE(SUBSTITUTE(IF(H117="","",H117)&amp;"","$",""),",","")),0)/IF("No"="Yes",P117,1))</f>
        <v/>
      </c>
      <c r="S117" s="11">
        <f>IF(J117="","",O117+Q117-R117)</f>
        <v/>
      </c>
      <c r="T117">
        <f>IF(J117="","",IFERROR(IF(K117="",NA(),MATCH(K117,Products!$B$5:$B$204,0)),IFERROR(MATCH(J117,Products!$A$5:$A$204,0),"")))</f>
        <v/>
      </c>
      <c r="U117">
        <f>IF(J117="","",IF(T117="","⚠ not in Products",INDEX(Products!$A$5:$A$204,T117)))</f>
        <v/>
      </c>
      <c r="V117" s="11">
        <f>IF(J117="","",S117*(IFERROR(INDEX(Settings!$B$5:$B$9,MATCH($B117,Settings!$A$5:$A$9,0)),0)+IFERROR(INDEX(Settings!$E$5:$E$9,MATCH($B117,Settings!$A$5:$A$9,0)),0)+IFERROR(INDEX(Settings!$G$5:$G$9,MATCH($B117,Settings!$A$5:$A$9,0)),0))+(IFERROR(INDEX(Settings!$C$5:$C$9,MATCH($B117,Settings!$A$5:$A$9,0)),0)+IFERROR(INDEX(Settings!$F$5:$F$9,MATCH($B117,Settings!$A$5:$A$9,0)),0))/P117+IFERROR(INDEX(Settings!$D$5:$D$9,MATCH($B117,Settings!$A$5:$A$9,0)),0)*M117)</f>
        <v/>
      </c>
      <c r="W117" s="11">
        <f>IF(J117="","",IF(T117="",0,M117*INDEX(Products!$I$5:$I$204,T117)))</f>
        <v/>
      </c>
      <c r="X117" s="11">
        <f>IF(J117="","",IF(T117="",0,S117*INDEX(Products!$H$5:$H$204,T117)))</f>
        <v/>
      </c>
      <c r="Y117" s="11">
        <f>IF(J117="","",S117-V117-W117-X117)</f>
        <v/>
      </c>
    </row>
    <row r="118">
      <c r="A118" s="19" t="n"/>
      <c r="B118" s="19" t="n"/>
      <c r="C118" s="19" t="n"/>
      <c r="D118" s="19" t="n"/>
      <c r="E118" s="19" t="n"/>
      <c r="F118" s="20" t="n"/>
      <c r="G118" s="20" t="n"/>
      <c r="H118" s="20" t="n"/>
      <c r="I118" s="19" t="n"/>
      <c r="J118">
        <f>IFERROR(IF(C118="","",C118)&amp;"","")</f>
        <v/>
      </c>
      <c r="K118">
        <f>IFERROR(IF(D118="","",D118)&amp;"","")</f>
        <v/>
      </c>
      <c r="L118">
        <f>IFERROR(IF(I118="","",I118)&amp;"","")</f>
        <v/>
      </c>
      <c r="M118">
        <f>IF(J118="","",IFERROR(VALUE(SUBSTITUTE(SUBSTITUTE(IF(E118="","",E118)&amp;"","$",""),",","")),0))</f>
        <v/>
      </c>
      <c r="N118" s="11">
        <f>IF(J118="","",IFERROR(VALUE(SUBSTITUTE(SUBSTITUTE(IF(F118="","",F118)&amp;"","$",""),",","")),0))</f>
        <v/>
      </c>
      <c r="O118" s="11">
        <f>IF(J118="","",M118*N118)</f>
        <v/>
      </c>
      <c r="P118">
        <f>IF(J118="","",IF(L118="",1,COUNTIF($L$2:$L$1501,L118)))</f>
        <v/>
      </c>
      <c r="Q118" s="11">
        <f>IF(J118="","",IFERROR(VALUE(SUBSTITUTE(SUBSTITUTE(IF(G118="","",G118)&amp;"","$",""),",","")),0)/IF("No"="Yes",P118,1))</f>
        <v/>
      </c>
      <c r="R118" s="11">
        <f>IF(J118="","",IFERROR(VALUE(SUBSTITUTE(SUBSTITUTE(IF(H118="","",H118)&amp;"","$",""),",","")),0)/IF("No"="Yes",P118,1))</f>
        <v/>
      </c>
      <c r="S118" s="11">
        <f>IF(J118="","",O118+Q118-R118)</f>
        <v/>
      </c>
      <c r="T118">
        <f>IF(J118="","",IFERROR(IF(K118="",NA(),MATCH(K118,Products!$B$5:$B$204,0)),IFERROR(MATCH(J118,Products!$A$5:$A$204,0),"")))</f>
        <v/>
      </c>
      <c r="U118">
        <f>IF(J118="","",IF(T118="","⚠ not in Products",INDEX(Products!$A$5:$A$204,T118)))</f>
        <v/>
      </c>
      <c r="V118" s="11">
        <f>IF(J118="","",S118*(IFERROR(INDEX(Settings!$B$5:$B$9,MATCH($B118,Settings!$A$5:$A$9,0)),0)+IFERROR(INDEX(Settings!$E$5:$E$9,MATCH($B118,Settings!$A$5:$A$9,0)),0)+IFERROR(INDEX(Settings!$G$5:$G$9,MATCH($B118,Settings!$A$5:$A$9,0)),0))+(IFERROR(INDEX(Settings!$C$5:$C$9,MATCH($B118,Settings!$A$5:$A$9,0)),0)+IFERROR(INDEX(Settings!$F$5:$F$9,MATCH($B118,Settings!$A$5:$A$9,0)),0))/P118+IFERROR(INDEX(Settings!$D$5:$D$9,MATCH($B118,Settings!$A$5:$A$9,0)),0)*M118)</f>
        <v/>
      </c>
      <c r="W118" s="11">
        <f>IF(J118="","",IF(T118="",0,M118*INDEX(Products!$I$5:$I$204,T118)))</f>
        <v/>
      </c>
      <c r="X118" s="11">
        <f>IF(J118="","",IF(T118="",0,S118*INDEX(Products!$H$5:$H$204,T118)))</f>
        <v/>
      </c>
      <c r="Y118" s="11">
        <f>IF(J118="","",S118-V118-W118-X118)</f>
        <v/>
      </c>
    </row>
    <row r="119">
      <c r="A119" s="19" t="n"/>
      <c r="B119" s="19" t="n"/>
      <c r="C119" s="19" t="n"/>
      <c r="D119" s="19" t="n"/>
      <c r="E119" s="19" t="n"/>
      <c r="F119" s="20" t="n"/>
      <c r="G119" s="20" t="n"/>
      <c r="H119" s="20" t="n"/>
      <c r="I119" s="19" t="n"/>
      <c r="J119">
        <f>IFERROR(IF(C119="","",C119)&amp;"","")</f>
        <v/>
      </c>
      <c r="K119">
        <f>IFERROR(IF(D119="","",D119)&amp;"","")</f>
        <v/>
      </c>
      <c r="L119">
        <f>IFERROR(IF(I119="","",I119)&amp;"","")</f>
        <v/>
      </c>
      <c r="M119">
        <f>IF(J119="","",IFERROR(VALUE(SUBSTITUTE(SUBSTITUTE(IF(E119="","",E119)&amp;"","$",""),",","")),0))</f>
        <v/>
      </c>
      <c r="N119" s="11">
        <f>IF(J119="","",IFERROR(VALUE(SUBSTITUTE(SUBSTITUTE(IF(F119="","",F119)&amp;"","$",""),",","")),0))</f>
        <v/>
      </c>
      <c r="O119" s="11">
        <f>IF(J119="","",M119*N119)</f>
        <v/>
      </c>
      <c r="P119">
        <f>IF(J119="","",IF(L119="",1,COUNTIF($L$2:$L$1501,L119)))</f>
        <v/>
      </c>
      <c r="Q119" s="11">
        <f>IF(J119="","",IFERROR(VALUE(SUBSTITUTE(SUBSTITUTE(IF(G119="","",G119)&amp;"","$",""),",","")),0)/IF("No"="Yes",P119,1))</f>
        <v/>
      </c>
      <c r="R119" s="11">
        <f>IF(J119="","",IFERROR(VALUE(SUBSTITUTE(SUBSTITUTE(IF(H119="","",H119)&amp;"","$",""),",","")),0)/IF("No"="Yes",P119,1))</f>
        <v/>
      </c>
      <c r="S119" s="11">
        <f>IF(J119="","",O119+Q119-R119)</f>
        <v/>
      </c>
      <c r="T119">
        <f>IF(J119="","",IFERROR(IF(K119="",NA(),MATCH(K119,Products!$B$5:$B$204,0)),IFERROR(MATCH(J119,Products!$A$5:$A$204,0),"")))</f>
        <v/>
      </c>
      <c r="U119">
        <f>IF(J119="","",IF(T119="","⚠ not in Products",INDEX(Products!$A$5:$A$204,T119)))</f>
        <v/>
      </c>
      <c r="V119" s="11">
        <f>IF(J119="","",S119*(IFERROR(INDEX(Settings!$B$5:$B$9,MATCH($B119,Settings!$A$5:$A$9,0)),0)+IFERROR(INDEX(Settings!$E$5:$E$9,MATCH($B119,Settings!$A$5:$A$9,0)),0)+IFERROR(INDEX(Settings!$G$5:$G$9,MATCH($B119,Settings!$A$5:$A$9,0)),0))+(IFERROR(INDEX(Settings!$C$5:$C$9,MATCH($B119,Settings!$A$5:$A$9,0)),0)+IFERROR(INDEX(Settings!$F$5:$F$9,MATCH($B119,Settings!$A$5:$A$9,0)),0))/P119+IFERROR(INDEX(Settings!$D$5:$D$9,MATCH($B119,Settings!$A$5:$A$9,0)),0)*M119)</f>
        <v/>
      </c>
      <c r="W119" s="11">
        <f>IF(J119="","",IF(T119="",0,M119*INDEX(Products!$I$5:$I$204,T119)))</f>
        <v/>
      </c>
      <c r="X119" s="11">
        <f>IF(J119="","",IF(T119="",0,S119*INDEX(Products!$H$5:$H$204,T119)))</f>
        <v/>
      </c>
      <c r="Y119" s="11">
        <f>IF(J119="","",S119-V119-W119-X119)</f>
        <v/>
      </c>
    </row>
    <row r="120">
      <c r="A120" s="19" t="n"/>
      <c r="B120" s="19" t="n"/>
      <c r="C120" s="19" t="n"/>
      <c r="D120" s="19" t="n"/>
      <c r="E120" s="19" t="n"/>
      <c r="F120" s="20" t="n"/>
      <c r="G120" s="20" t="n"/>
      <c r="H120" s="20" t="n"/>
      <c r="I120" s="19" t="n"/>
      <c r="J120">
        <f>IFERROR(IF(C120="","",C120)&amp;"","")</f>
        <v/>
      </c>
      <c r="K120">
        <f>IFERROR(IF(D120="","",D120)&amp;"","")</f>
        <v/>
      </c>
      <c r="L120">
        <f>IFERROR(IF(I120="","",I120)&amp;"","")</f>
        <v/>
      </c>
      <c r="M120">
        <f>IF(J120="","",IFERROR(VALUE(SUBSTITUTE(SUBSTITUTE(IF(E120="","",E120)&amp;"","$",""),",","")),0))</f>
        <v/>
      </c>
      <c r="N120" s="11">
        <f>IF(J120="","",IFERROR(VALUE(SUBSTITUTE(SUBSTITUTE(IF(F120="","",F120)&amp;"","$",""),",","")),0))</f>
        <v/>
      </c>
      <c r="O120" s="11">
        <f>IF(J120="","",M120*N120)</f>
        <v/>
      </c>
      <c r="P120">
        <f>IF(J120="","",IF(L120="",1,COUNTIF($L$2:$L$1501,L120)))</f>
        <v/>
      </c>
      <c r="Q120" s="11">
        <f>IF(J120="","",IFERROR(VALUE(SUBSTITUTE(SUBSTITUTE(IF(G120="","",G120)&amp;"","$",""),",","")),0)/IF("No"="Yes",P120,1))</f>
        <v/>
      </c>
      <c r="R120" s="11">
        <f>IF(J120="","",IFERROR(VALUE(SUBSTITUTE(SUBSTITUTE(IF(H120="","",H120)&amp;"","$",""),",","")),0)/IF("No"="Yes",P120,1))</f>
        <v/>
      </c>
      <c r="S120" s="11">
        <f>IF(J120="","",O120+Q120-R120)</f>
        <v/>
      </c>
      <c r="T120">
        <f>IF(J120="","",IFERROR(IF(K120="",NA(),MATCH(K120,Products!$B$5:$B$204,0)),IFERROR(MATCH(J120,Products!$A$5:$A$204,0),"")))</f>
        <v/>
      </c>
      <c r="U120">
        <f>IF(J120="","",IF(T120="","⚠ not in Products",INDEX(Products!$A$5:$A$204,T120)))</f>
        <v/>
      </c>
      <c r="V120" s="11">
        <f>IF(J120="","",S120*(IFERROR(INDEX(Settings!$B$5:$B$9,MATCH($B120,Settings!$A$5:$A$9,0)),0)+IFERROR(INDEX(Settings!$E$5:$E$9,MATCH($B120,Settings!$A$5:$A$9,0)),0)+IFERROR(INDEX(Settings!$G$5:$G$9,MATCH($B120,Settings!$A$5:$A$9,0)),0))+(IFERROR(INDEX(Settings!$C$5:$C$9,MATCH($B120,Settings!$A$5:$A$9,0)),0)+IFERROR(INDEX(Settings!$F$5:$F$9,MATCH($B120,Settings!$A$5:$A$9,0)),0))/P120+IFERROR(INDEX(Settings!$D$5:$D$9,MATCH($B120,Settings!$A$5:$A$9,0)),0)*M120)</f>
        <v/>
      </c>
      <c r="W120" s="11">
        <f>IF(J120="","",IF(T120="",0,M120*INDEX(Products!$I$5:$I$204,T120)))</f>
        <v/>
      </c>
      <c r="X120" s="11">
        <f>IF(J120="","",IF(T120="",0,S120*INDEX(Products!$H$5:$H$204,T120)))</f>
        <v/>
      </c>
      <c r="Y120" s="11">
        <f>IF(J120="","",S120-V120-W120-X120)</f>
        <v/>
      </c>
    </row>
    <row r="121">
      <c r="A121" s="19" t="n"/>
      <c r="B121" s="19" t="n"/>
      <c r="C121" s="19" t="n"/>
      <c r="D121" s="19" t="n"/>
      <c r="E121" s="19" t="n"/>
      <c r="F121" s="20" t="n"/>
      <c r="G121" s="20" t="n"/>
      <c r="H121" s="20" t="n"/>
      <c r="I121" s="19" t="n"/>
      <c r="J121">
        <f>IFERROR(IF(C121="","",C121)&amp;"","")</f>
        <v/>
      </c>
      <c r="K121">
        <f>IFERROR(IF(D121="","",D121)&amp;"","")</f>
        <v/>
      </c>
      <c r="L121">
        <f>IFERROR(IF(I121="","",I121)&amp;"","")</f>
        <v/>
      </c>
      <c r="M121">
        <f>IF(J121="","",IFERROR(VALUE(SUBSTITUTE(SUBSTITUTE(IF(E121="","",E121)&amp;"","$",""),",","")),0))</f>
        <v/>
      </c>
      <c r="N121" s="11">
        <f>IF(J121="","",IFERROR(VALUE(SUBSTITUTE(SUBSTITUTE(IF(F121="","",F121)&amp;"","$",""),",","")),0))</f>
        <v/>
      </c>
      <c r="O121" s="11">
        <f>IF(J121="","",M121*N121)</f>
        <v/>
      </c>
      <c r="P121">
        <f>IF(J121="","",IF(L121="",1,COUNTIF($L$2:$L$1501,L121)))</f>
        <v/>
      </c>
      <c r="Q121" s="11">
        <f>IF(J121="","",IFERROR(VALUE(SUBSTITUTE(SUBSTITUTE(IF(G121="","",G121)&amp;"","$",""),",","")),0)/IF("No"="Yes",P121,1))</f>
        <v/>
      </c>
      <c r="R121" s="11">
        <f>IF(J121="","",IFERROR(VALUE(SUBSTITUTE(SUBSTITUTE(IF(H121="","",H121)&amp;"","$",""),",","")),0)/IF("No"="Yes",P121,1))</f>
        <v/>
      </c>
      <c r="S121" s="11">
        <f>IF(J121="","",O121+Q121-R121)</f>
        <v/>
      </c>
      <c r="T121">
        <f>IF(J121="","",IFERROR(IF(K121="",NA(),MATCH(K121,Products!$B$5:$B$204,0)),IFERROR(MATCH(J121,Products!$A$5:$A$204,0),"")))</f>
        <v/>
      </c>
      <c r="U121">
        <f>IF(J121="","",IF(T121="","⚠ not in Products",INDEX(Products!$A$5:$A$204,T121)))</f>
        <v/>
      </c>
      <c r="V121" s="11">
        <f>IF(J121="","",S121*(IFERROR(INDEX(Settings!$B$5:$B$9,MATCH($B121,Settings!$A$5:$A$9,0)),0)+IFERROR(INDEX(Settings!$E$5:$E$9,MATCH($B121,Settings!$A$5:$A$9,0)),0)+IFERROR(INDEX(Settings!$G$5:$G$9,MATCH($B121,Settings!$A$5:$A$9,0)),0))+(IFERROR(INDEX(Settings!$C$5:$C$9,MATCH($B121,Settings!$A$5:$A$9,0)),0)+IFERROR(INDEX(Settings!$F$5:$F$9,MATCH($B121,Settings!$A$5:$A$9,0)),0))/P121+IFERROR(INDEX(Settings!$D$5:$D$9,MATCH($B121,Settings!$A$5:$A$9,0)),0)*M121)</f>
        <v/>
      </c>
      <c r="W121" s="11">
        <f>IF(J121="","",IF(T121="",0,M121*INDEX(Products!$I$5:$I$204,T121)))</f>
        <v/>
      </c>
      <c r="X121" s="11">
        <f>IF(J121="","",IF(T121="",0,S121*INDEX(Products!$H$5:$H$204,T121)))</f>
        <v/>
      </c>
      <c r="Y121" s="11">
        <f>IF(J121="","",S121-V121-W121-X121)</f>
        <v/>
      </c>
    </row>
    <row r="122">
      <c r="A122" s="19" t="n"/>
      <c r="B122" s="19" t="n"/>
      <c r="C122" s="19" t="n"/>
      <c r="D122" s="19" t="n"/>
      <c r="E122" s="19" t="n"/>
      <c r="F122" s="20" t="n"/>
      <c r="G122" s="20" t="n"/>
      <c r="H122" s="20" t="n"/>
      <c r="I122" s="19" t="n"/>
      <c r="J122">
        <f>IFERROR(IF(C122="","",C122)&amp;"","")</f>
        <v/>
      </c>
      <c r="K122">
        <f>IFERROR(IF(D122="","",D122)&amp;"","")</f>
        <v/>
      </c>
      <c r="L122">
        <f>IFERROR(IF(I122="","",I122)&amp;"","")</f>
        <v/>
      </c>
      <c r="M122">
        <f>IF(J122="","",IFERROR(VALUE(SUBSTITUTE(SUBSTITUTE(IF(E122="","",E122)&amp;"","$",""),",","")),0))</f>
        <v/>
      </c>
      <c r="N122" s="11">
        <f>IF(J122="","",IFERROR(VALUE(SUBSTITUTE(SUBSTITUTE(IF(F122="","",F122)&amp;"","$",""),",","")),0))</f>
        <v/>
      </c>
      <c r="O122" s="11">
        <f>IF(J122="","",M122*N122)</f>
        <v/>
      </c>
      <c r="P122">
        <f>IF(J122="","",IF(L122="",1,COUNTIF($L$2:$L$1501,L122)))</f>
        <v/>
      </c>
      <c r="Q122" s="11">
        <f>IF(J122="","",IFERROR(VALUE(SUBSTITUTE(SUBSTITUTE(IF(G122="","",G122)&amp;"","$",""),",","")),0)/IF("No"="Yes",P122,1))</f>
        <v/>
      </c>
      <c r="R122" s="11">
        <f>IF(J122="","",IFERROR(VALUE(SUBSTITUTE(SUBSTITUTE(IF(H122="","",H122)&amp;"","$",""),",","")),0)/IF("No"="Yes",P122,1))</f>
        <v/>
      </c>
      <c r="S122" s="11">
        <f>IF(J122="","",O122+Q122-R122)</f>
        <v/>
      </c>
      <c r="T122">
        <f>IF(J122="","",IFERROR(IF(K122="",NA(),MATCH(K122,Products!$B$5:$B$204,0)),IFERROR(MATCH(J122,Products!$A$5:$A$204,0),"")))</f>
        <v/>
      </c>
      <c r="U122">
        <f>IF(J122="","",IF(T122="","⚠ not in Products",INDEX(Products!$A$5:$A$204,T122)))</f>
        <v/>
      </c>
      <c r="V122" s="11">
        <f>IF(J122="","",S122*(IFERROR(INDEX(Settings!$B$5:$B$9,MATCH($B122,Settings!$A$5:$A$9,0)),0)+IFERROR(INDEX(Settings!$E$5:$E$9,MATCH($B122,Settings!$A$5:$A$9,0)),0)+IFERROR(INDEX(Settings!$G$5:$G$9,MATCH($B122,Settings!$A$5:$A$9,0)),0))+(IFERROR(INDEX(Settings!$C$5:$C$9,MATCH($B122,Settings!$A$5:$A$9,0)),0)+IFERROR(INDEX(Settings!$F$5:$F$9,MATCH($B122,Settings!$A$5:$A$9,0)),0))/P122+IFERROR(INDEX(Settings!$D$5:$D$9,MATCH($B122,Settings!$A$5:$A$9,0)),0)*M122)</f>
        <v/>
      </c>
      <c r="W122" s="11">
        <f>IF(J122="","",IF(T122="",0,M122*INDEX(Products!$I$5:$I$204,T122)))</f>
        <v/>
      </c>
      <c r="X122" s="11">
        <f>IF(J122="","",IF(T122="",0,S122*INDEX(Products!$H$5:$H$204,T122)))</f>
        <v/>
      </c>
      <c r="Y122" s="11">
        <f>IF(J122="","",S122-V122-W122-X122)</f>
        <v/>
      </c>
    </row>
    <row r="123">
      <c r="A123" s="19" t="n"/>
      <c r="B123" s="19" t="n"/>
      <c r="C123" s="19" t="n"/>
      <c r="D123" s="19" t="n"/>
      <c r="E123" s="19" t="n"/>
      <c r="F123" s="20" t="n"/>
      <c r="G123" s="20" t="n"/>
      <c r="H123" s="20" t="n"/>
      <c r="I123" s="19" t="n"/>
      <c r="J123">
        <f>IFERROR(IF(C123="","",C123)&amp;"","")</f>
        <v/>
      </c>
      <c r="K123">
        <f>IFERROR(IF(D123="","",D123)&amp;"","")</f>
        <v/>
      </c>
      <c r="L123">
        <f>IFERROR(IF(I123="","",I123)&amp;"","")</f>
        <v/>
      </c>
      <c r="M123">
        <f>IF(J123="","",IFERROR(VALUE(SUBSTITUTE(SUBSTITUTE(IF(E123="","",E123)&amp;"","$",""),",","")),0))</f>
        <v/>
      </c>
      <c r="N123" s="11">
        <f>IF(J123="","",IFERROR(VALUE(SUBSTITUTE(SUBSTITUTE(IF(F123="","",F123)&amp;"","$",""),",","")),0))</f>
        <v/>
      </c>
      <c r="O123" s="11">
        <f>IF(J123="","",M123*N123)</f>
        <v/>
      </c>
      <c r="P123">
        <f>IF(J123="","",IF(L123="",1,COUNTIF($L$2:$L$1501,L123)))</f>
        <v/>
      </c>
      <c r="Q123" s="11">
        <f>IF(J123="","",IFERROR(VALUE(SUBSTITUTE(SUBSTITUTE(IF(G123="","",G123)&amp;"","$",""),",","")),0)/IF("No"="Yes",P123,1))</f>
        <v/>
      </c>
      <c r="R123" s="11">
        <f>IF(J123="","",IFERROR(VALUE(SUBSTITUTE(SUBSTITUTE(IF(H123="","",H123)&amp;"","$",""),",","")),0)/IF("No"="Yes",P123,1))</f>
        <v/>
      </c>
      <c r="S123" s="11">
        <f>IF(J123="","",O123+Q123-R123)</f>
        <v/>
      </c>
      <c r="T123">
        <f>IF(J123="","",IFERROR(IF(K123="",NA(),MATCH(K123,Products!$B$5:$B$204,0)),IFERROR(MATCH(J123,Products!$A$5:$A$204,0),"")))</f>
        <v/>
      </c>
      <c r="U123">
        <f>IF(J123="","",IF(T123="","⚠ not in Products",INDEX(Products!$A$5:$A$204,T123)))</f>
        <v/>
      </c>
      <c r="V123" s="11">
        <f>IF(J123="","",S123*(IFERROR(INDEX(Settings!$B$5:$B$9,MATCH($B123,Settings!$A$5:$A$9,0)),0)+IFERROR(INDEX(Settings!$E$5:$E$9,MATCH($B123,Settings!$A$5:$A$9,0)),0)+IFERROR(INDEX(Settings!$G$5:$G$9,MATCH($B123,Settings!$A$5:$A$9,0)),0))+(IFERROR(INDEX(Settings!$C$5:$C$9,MATCH($B123,Settings!$A$5:$A$9,0)),0)+IFERROR(INDEX(Settings!$F$5:$F$9,MATCH($B123,Settings!$A$5:$A$9,0)),0))/P123+IFERROR(INDEX(Settings!$D$5:$D$9,MATCH($B123,Settings!$A$5:$A$9,0)),0)*M123)</f>
        <v/>
      </c>
      <c r="W123" s="11">
        <f>IF(J123="","",IF(T123="",0,M123*INDEX(Products!$I$5:$I$204,T123)))</f>
        <v/>
      </c>
      <c r="X123" s="11">
        <f>IF(J123="","",IF(T123="",0,S123*INDEX(Products!$H$5:$H$204,T123)))</f>
        <v/>
      </c>
      <c r="Y123" s="11">
        <f>IF(J123="","",S123-V123-W123-X123)</f>
        <v/>
      </c>
    </row>
    <row r="124">
      <c r="A124" s="19" t="n"/>
      <c r="B124" s="19" t="n"/>
      <c r="C124" s="19" t="n"/>
      <c r="D124" s="19" t="n"/>
      <c r="E124" s="19" t="n"/>
      <c r="F124" s="20" t="n"/>
      <c r="G124" s="20" t="n"/>
      <c r="H124" s="20" t="n"/>
      <c r="I124" s="19" t="n"/>
      <c r="J124">
        <f>IFERROR(IF(C124="","",C124)&amp;"","")</f>
        <v/>
      </c>
      <c r="K124">
        <f>IFERROR(IF(D124="","",D124)&amp;"","")</f>
        <v/>
      </c>
      <c r="L124">
        <f>IFERROR(IF(I124="","",I124)&amp;"","")</f>
        <v/>
      </c>
      <c r="M124">
        <f>IF(J124="","",IFERROR(VALUE(SUBSTITUTE(SUBSTITUTE(IF(E124="","",E124)&amp;"","$",""),",","")),0))</f>
        <v/>
      </c>
      <c r="N124" s="11">
        <f>IF(J124="","",IFERROR(VALUE(SUBSTITUTE(SUBSTITUTE(IF(F124="","",F124)&amp;"","$",""),",","")),0))</f>
        <v/>
      </c>
      <c r="O124" s="11">
        <f>IF(J124="","",M124*N124)</f>
        <v/>
      </c>
      <c r="P124">
        <f>IF(J124="","",IF(L124="",1,COUNTIF($L$2:$L$1501,L124)))</f>
        <v/>
      </c>
      <c r="Q124" s="11">
        <f>IF(J124="","",IFERROR(VALUE(SUBSTITUTE(SUBSTITUTE(IF(G124="","",G124)&amp;"","$",""),",","")),0)/IF("No"="Yes",P124,1))</f>
        <v/>
      </c>
      <c r="R124" s="11">
        <f>IF(J124="","",IFERROR(VALUE(SUBSTITUTE(SUBSTITUTE(IF(H124="","",H124)&amp;"","$",""),",","")),0)/IF("No"="Yes",P124,1))</f>
        <v/>
      </c>
      <c r="S124" s="11">
        <f>IF(J124="","",O124+Q124-R124)</f>
        <v/>
      </c>
      <c r="T124">
        <f>IF(J124="","",IFERROR(IF(K124="",NA(),MATCH(K124,Products!$B$5:$B$204,0)),IFERROR(MATCH(J124,Products!$A$5:$A$204,0),"")))</f>
        <v/>
      </c>
      <c r="U124">
        <f>IF(J124="","",IF(T124="","⚠ not in Products",INDEX(Products!$A$5:$A$204,T124)))</f>
        <v/>
      </c>
      <c r="V124" s="11">
        <f>IF(J124="","",S124*(IFERROR(INDEX(Settings!$B$5:$B$9,MATCH($B124,Settings!$A$5:$A$9,0)),0)+IFERROR(INDEX(Settings!$E$5:$E$9,MATCH($B124,Settings!$A$5:$A$9,0)),0)+IFERROR(INDEX(Settings!$G$5:$G$9,MATCH($B124,Settings!$A$5:$A$9,0)),0))+(IFERROR(INDEX(Settings!$C$5:$C$9,MATCH($B124,Settings!$A$5:$A$9,0)),0)+IFERROR(INDEX(Settings!$F$5:$F$9,MATCH($B124,Settings!$A$5:$A$9,0)),0))/P124+IFERROR(INDEX(Settings!$D$5:$D$9,MATCH($B124,Settings!$A$5:$A$9,0)),0)*M124)</f>
        <v/>
      </c>
      <c r="W124" s="11">
        <f>IF(J124="","",IF(T124="",0,M124*INDEX(Products!$I$5:$I$204,T124)))</f>
        <v/>
      </c>
      <c r="X124" s="11">
        <f>IF(J124="","",IF(T124="",0,S124*INDEX(Products!$H$5:$H$204,T124)))</f>
        <v/>
      </c>
      <c r="Y124" s="11">
        <f>IF(J124="","",S124-V124-W124-X124)</f>
        <v/>
      </c>
    </row>
    <row r="125">
      <c r="A125" s="19" t="n"/>
      <c r="B125" s="19" t="n"/>
      <c r="C125" s="19" t="n"/>
      <c r="D125" s="19" t="n"/>
      <c r="E125" s="19" t="n"/>
      <c r="F125" s="20" t="n"/>
      <c r="G125" s="20" t="n"/>
      <c r="H125" s="20" t="n"/>
      <c r="I125" s="19" t="n"/>
      <c r="J125">
        <f>IFERROR(IF(C125="","",C125)&amp;"","")</f>
        <v/>
      </c>
      <c r="K125">
        <f>IFERROR(IF(D125="","",D125)&amp;"","")</f>
        <v/>
      </c>
      <c r="L125">
        <f>IFERROR(IF(I125="","",I125)&amp;"","")</f>
        <v/>
      </c>
      <c r="M125">
        <f>IF(J125="","",IFERROR(VALUE(SUBSTITUTE(SUBSTITUTE(IF(E125="","",E125)&amp;"","$",""),",","")),0))</f>
        <v/>
      </c>
      <c r="N125" s="11">
        <f>IF(J125="","",IFERROR(VALUE(SUBSTITUTE(SUBSTITUTE(IF(F125="","",F125)&amp;"","$",""),",","")),0))</f>
        <v/>
      </c>
      <c r="O125" s="11">
        <f>IF(J125="","",M125*N125)</f>
        <v/>
      </c>
      <c r="P125">
        <f>IF(J125="","",IF(L125="",1,COUNTIF($L$2:$L$1501,L125)))</f>
        <v/>
      </c>
      <c r="Q125" s="11">
        <f>IF(J125="","",IFERROR(VALUE(SUBSTITUTE(SUBSTITUTE(IF(G125="","",G125)&amp;"","$",""),",","")),0)/IF("No"="Yes",P125,1))</f>
        <v/>
      </c>
      <c r="R125" s="11">
        <f>IF(J125="","",IFERROR(VALUE(SUBSTITUTE(SUBSTITUTE(IF(H125="","",H125)&amp;"","$",""),",","")),0)/IF("No"="Yes",P125,1))</f>
        <v/>
      </c>
      <c r="S125" s="11">
        <f>IF(J125="","",O125+Q125-R125)</f>
        <v/>
      </c>
      <c r="T125">
        <f>IF(J125="","",IFERROR(IF(K125="",NA(),MATCH(K125,Products!$B$5:$B$204,0)),IFERROR(MATCH(J125,Products!$A$5:$A$204,0),"")))</f>
        <v/>
      </c>
      <c r="U125">
        <f>IF(J125="","",IF(T125="","⚠ not in Products",INDEX(Products!$A$5:$A$204,T125)))</f>
        <v/>
      </c>
      <c r="V125" s="11">
        <f>IF(J125="","",S125*(IFERROR(INDEX(Settings!$B$5:$B$9,MATCH($B125,Settings!$A$5:$A$9,0)),0)+IFERROR(INDEX(Settings!$E$5:$E$9,MATCH($B125,Settings!$A$5:$A$9,0)),0)+IFERROR(INDEX(Settings!$G$5:$G$9,MATCH($B125,Settings!$A$5:$A$9,0)),0))+(IFERROR(INDEX(Settings!$C$5:$C$9,MATCH($B125,Settings!$A$5:$A$9,0)),0)+IFERROR(INDEX(Settings!$F$5:$F$9,MATCH($B125,Settings!$A$5:$A$9,0)),0))/P125+IFERROR(INDEX(Settings!$D$5:$D$9,MATCH($B125,Settings!$A$5:$A$9,0)),0)*M125)</f>
        <v/>
      </c>
      <c r="W125" s="11">
        <f>IF(J125="","",IF(T125="",0,M125*INDEX(Products!$I$5:$I$204,T125)))</f>
        <v/>
      </c>
      <c r="X125" s="11">
        <f>IF(J125="","",IF(T125="",0,S125*INDEX(Products!$H$5:$H$204,T125)))</f>
        <v/>
      </c>
      <c r="Y125" s="11">
        <f>IF(J125="","",S125-V125-W125-X125)</f>
        <v/>
      </c>
    </row>
    <row r="126">
      <c r="A126" s="19" t="n"/>
      <c r="B126" s="19" t="n"/>
      <c r="C126" s="19" t="n"/>
      <c r="D126" s="19" t="n"/>
      <c r="E126" s="19" t="n"/>
      <c r="F126" s="20" t="n"/>
      <c r="G126" s="20" t="n"/>
      <c r="H126" s="20" t="n"/>
      <c r="I126" s="19" t="n"/>
      <c r="J126">
        <f>IFERROR(IF(C126="","",C126)&amp;"","")</f>
        <v/>
      </c>
      <c r="K126">
        <f>IFERROR(IF(D126="","",D126)&amp;"","")</f>
        <v/>
      </c>
      <c r="L126">
        <f>IFERROR(IF(I126="","",I126)&amp;"","")</f>
        <v/>
      </c>
      <c r="M126">
        <f>IF(J126="","",IFERROR(VALUE(SUBSTITUTE(SUBSTITUTE(IF(E126="","",E126)&amp;"","$",""),",","")),0))</f>
        <v/>
      </c>
      <c r="N126" s="11">
        <f>IF(J126="","",IFERROR(VALUE(SUBSTITUTE(SUBSTITUTE(IF(F126="","",F126)&amp;"","$",""),",","")),0))</f>
        <v/>
      </c>
      <c r="O126" s="11">
        <f>IF(J126="","",M126*N126)</f>
        <v/>
      </c>
      <c r="P126">
        <f>IF(J126="","",IF(L126="",1,COUNTIF($L$2:$L$1501,L126)))</f>
        <v/>
      </c>
      <c r="Q126" s="11">
        <f>IF(J126="","",IFERROR(VALUE(SUBSTITUTE(SUBSTITUTE(IF(G126="","",G126)&amp;"","$",""),",","")),0)/IF("No"="Yes",P126,1))</f>
        <v/>
      </c>
      <c r="R126" s="11">
        <f>IF(J126="","",IFERROR(VALUE(SUBSTITUTE(SUBSTITUTE(IF(H126="","",H126)&amp;"","$",""),",","")),0)/IF("No"="Yes",P126,1))</f>
        <v/>
      </c>
      <c r="S126" s="11">
        <f>IF(J126="","",O126+Q126-R126)</f>
        <v/>
      </c>
      <c r="T126">
        <f>IF(J126="","",IFERROR(IF(K126="",NA(),MATCH(K126,Products!$B$5:$B$204,0)),IFERROR(MATCH(J126,Products!$A$5:$A$204,0),"")))</f>
        <v/>
      </c>
      <c r="U126">
        <f>IF(J126="","",IF(T126="","⚠ not in Products",INDEX(Products!$A$5:$A$204,T126)))</f>
        <v/>
      </c>
      <c r="V126" s="11">
        <f>IF(J126="","",S126*(IFERROR(INDEX(Settings!$B$5:$B$9,MATCH($B126,Settings!$A$5:$A$9,0)),0)+IFERROR(INDEX(Settings!$E$5:$E$9,MATCH($B126,Settings!$A$5:$A$9,0)),0)+IFERROR(INDEX(Settings!$G$5:$G$9,MATCH($B126,Settings!$A$5:$A$9,0)),0))+(IFERROR(INDEX(Settings!$C$5:$C$9,MATCH($B126,Settings!$A$5:$A$9,0)),0)+IFERROR(INDEX(Settings!$F$5:$F$9,MATCH($B126,Settings!$A$5:$A$9,0)),0))/P126+IFERROR(INDEX(Settings!$D$5:$D$9,MATCH($B126,Settings!$A$5:$A$9,0)),0)*M126)</f>
        <v/>
      </c>
      <c r="W126" s="11">
        <f>IF(J126="","",IF(T126="",0,M126*INDEX(Products!$I$5:$I$204,T126)))</f>
        <v/>
      </c>
      <c r="X126" s="11">
        <f>IF(J126="","",IF(T126="",0,S126*INDEX(Products!$H$5:$H$204,T126)))</f>
        <v/>
      </c>
      <c r="Y126" s="11">
        <f>IF(J126="","",S126-V126-W126-X126)</f>
        <v/>
      </c>
    </row>
    <row r="127">
      <c r="A127" s="19" t="n"/>
      <c r="B127" s="19" t="n"/>
      <c r="C127" s="19" t="n"/>
      <c r="D127" s="19" t="n"/>
      <c r="E127" s="19" t="n"/>
      <c r="F127" s="20" t="n"/>
      <c r="G127" s="20" t="n"/>
      <c r="H127" s="20" t="n"/>
      <c r="I127" s="19" t="n"/>
      <c r="J127">
        <f>IFERROR(IF(C127="","",C127)&amp;"","")</f>
        <v/>
      </c>
      <c r="K127">
        <f>IFERROR(IF(D127="","",D127)&amp;"","")</f>
        <v/>
      </c>
      <c r="L127">
        <f>IFERROR(IF(I127="","",I127)&amp;"","")</f>
        <v/>
      </c>
      <c r="M127">
        <f>IF(J127="","",IFERROR(VALUE(SUBSTITUTE(SUBSTITUTE(IF(E127="","",E127)&amp;"","$",""),",","")),0))</f>
        <v/>
      </c>
      <c r="N127" s="11">
        <f>IF(J127="","",IFERROR(VALUE(SUBSTITUTE(SUBSTITUTE(IF(F127="","",F127)&amp;"","$",""),",","")),0))</f>
        <v/>
      </c>
      <c r="O127" s="11">
        <f>IF(J127="","",M127*N127)</f>
        <v/>
      </c>
      <c r="P127">
        <f>IF(J127="","",IF(L127="",1,COUNTIF($L$2:$L$1501,L127)))</f>
        <v/>
      </c>
      <c r="Q127" s="11">
        <f>IF(J127="","",IFERROR(VALUE(SUBSTITUTE(SUBSTITUTE(IF(G127="","",G127)&amp;"","$",""),",","")),0)/IF("No"="Yes",P127,1))</f>
        <v/>
      </c>
      <c r="R127" s="11">
        <f>IF(J127="","",IFERROR(VALUE(SUBSTITUTE(SUBSTITUTE(IF(H127="","",H127)&amp;"","$",""),",","")),0)/IF("No"="Yes",P127,1))</f>
        <v/>
      </c>
      <c r="S127" s="11">
        <f>IF(J127="","",O127+Q127-R127)</f>
        <v/>
      </c>
      <c r="T127">
        <f>IF(J127="","",IFERROR(IF(K127="",NA(),MATCH(K127,Products!$B$5:$B$204,0)),IFERROR(MATCH(J127,Products!$A$5:$A$204,0),"")))</f>
        <v/>
      </c>
      <c r="U127">
        <f>IF(J127="","",IF(T127="","⚠ not in Products",INDEX(Products!$A$5:$A$204,T127)))</f>
        <v/>
      </c>
      <c r="V127" s="11">
        <f>IF(J127="","",S127*(IFERROR(INDEX(Settings!$B$5:$B$9,MATCH($B127,Settings!$A$5:$A$9,0)),0)+IFERROR(INDEX(Settings!$E$5:$E$9,MATCH($B127,Settings!$A$5:$A$9,0)),0)+IFERROR(INDEX(Settings!$G$5:$G$9,MATCH($B127,Settings!$A$5:$A$9,0)),0))+(IFERROR(INDEX(Settings!$C$5:$C$9,MATCH($B127,Settings!$A$5:$A$9,0)),0)+IFERROR(INDEX(Settings!$F$5:$F$9,MATCH($B127,Settings!$A$5:$A$9,0)),0))/P127+IFERROR(INDEX(Settings!$D$5:$D$9,MATCH($B127,Settings!$A$5:$A$9,0)),0)*M127)</f>
        <v/>
      </c>
      <c r="W127" s="11">
        <f>IF(J127="","",IF(T127="",0,M127*INDEX(Products!$I$5:$I$204,T127)))</f>
        <v/>
      </c>
      <c r="X127" s="11">
        <f>IF(J127="","",IF(T127="",0,S127*INDEX(Products!$H$5:$H$204,T127)))</f>
        <v/>
      </c>
      <c r="Y127" s="11">
        <f>IF(J127="","",S127-V127-W127-X127)</f>
        <v/>
      </c>
    </row>
    <row r="128">
      <c r="A128" s="19" t="n"/>
      <c r="B128" s="19" t="n"/>
      <c r="C128" s="19" t="n"/>
      <c r="D128" s="19" t="n"/>
      <c r="E128" s="19" t="n"/>
      <c r="F128" s="20" t="n"/>
      <c r="G128" s="20" t="n"/>
      <c r="H128" s="20" t="n"/>
      <c r="I128" s="19" t="n"/>
      <c r="J128">
        <f>IFERROR(IF(C128="","",C128)&amp;"","")</f>
        <v/>
      </c>
      <c r="K128">
        <f>IFERROR(IF(D128="","",D128)&amp;"","")</f>
        <v/>
      </c>
      <c r="L128">
        <f>IFERROR(IF(I128="","",I128)&amp;"","")</f>
        <v/>
      </c>
      <c r="M128">
        <f>IF(J128="","",IFERROR(VALUE(SUBSTITUTE(SUBSTITUTE(IF(E128="","",E128)&amp;"","$",""),",","")),0))</f>
        <v/>
      </c>
      <c r="N128" s="11">
        <f>IF(J128="","",IFERROR(VALUE(SUBSTITUTE(SUBSTITUTE(IF(F128="","",F128)&amp;"","$",""),",","")),0))</f>
        <v/>
      </c>
      <c r="O128" s="11">
        <f>IF(J128="","",M128*N128)</f>
        <v/>
      </c>
      <c r="P128">
        <f>IF(J128="","",IF(L128="",1,COUNTIF($L$2:$L$1501,L128)))</f>
        <v/>
      </c>
      <c r="Q128" s="11">
        <f>IF(J128="","",IFERROR(VALUE(SUBSTITUTE(SUBSTITUTE(IF(G128="","",G128)&amp;"","$",""),",","")),0)/IF("No"="Yes",P128,1))</f>
        <v/>
      </c>
      <c r="R128" s="11">
        <f>IF(J128="","",IFERROR(VALUE(SUBSTITUTE(SUBSTITUTE(IF(H128="","",H128)&amp;"","$",""),",","")),0)/IF("No"="Yes",P128,1))</f>
        <v/>
      </c>
      <c r="S128" s="11">
        <f>IF(J128="","",O128+Q128-R128)</f>
        <v/>
      </c>
      <c r="T128">
        <f>IF(J128="","",IFERROR(IF(K128="",NA(),MATCH(K128,Products!$B$5:$B$204,0)),IFERROR(MATCH(J128,Products!$A$5:$A$204,0),"")))</f>
        <v/>
      </c>
      <c r="U128">
        <f>IF(J128="","",IF(T128="","⚠ not in Products",INDEX(Products!$A$5:$A$204,T128)))</f>
        <v/>
      </c>
      <c r="V128" s="11">
        <f>IF(J128="","",S128*(IFERROR(INDEX(Settings!$B$5:$B$9,MATCH($B128,Settings!$A$5:$A$9,0)),0)+IFERROR(INDEX(Settings!$E$5:$E$9,MATCH($B128,Settings!$A$5:$A$9,0)),0)+IFERROR(INDEX(Settings!$G$5:$G$9,MATCH($B128,Settings!$A$5:$A$9,0)),0))+(IFERROR(INDEX(Settings!$C$5:$C$9,MATCH($B128,Settings!$A$5:$A$9,0)),0)+IFERROR(INDEX(Settings!$F$5:$F$9,MATCH($B128,Settings!$A$5:$A$9,0)),0))/P128+IFERROR(INDEX(Settings!$D$5:$D$9,MATCH($B128,Settings!$A$5:$A$9,0)),0)*M128)</f>
        <v/>
      </c>
      <c r="W128" s="11">
        <f>IF(J128="","",IF(T128="",0,M128*INDEX(Products!$I$5:$I$204,T128)))</f>
        <v/>
      </c>
      <c r="X128" s="11">
        <f>IF(J128="","",IF(T128="",0,S128*INDEX(Products!$H$5:$H$204,T128)))</f>
        <v/>
      </c>
      <c r="Y128" s="11">
        <f>IF(J128="","",S128-V128-W128-X128)</f>
        <v/>
      </c>
    </row>
    <row r="129">
      <c r="A129" s="19" t="n"/>
      <c r="B129" s="19" t="n"/>
      <c r="C129" s="19" t="n"/>
      <c r="D129" s="19" t="n"/>
      <c r="E129" s="19" t="n"/>
      <c r="F129" s="20" t="n"/>
      <c r="G129" s="20" t="n"/>
      <c r="H129" s="20" t="n"/>
      <c r="I129" s="19" t="n"/>
      <c r="J129">
        <f>IFERROR(IF(C129="","",C129)&amp;"","")</f>
        <v/>
      </c>
      <c r="K129">
        <f>IFERROR(IF(D129="","",D129)&amp;"","")</f>
        <v/>
      </c>
      <c r="L129">
        <f>IFERROR(IF(I129="","",I129)&amp;"","")</f>
        <v/>
      </c>
      <c r="M129">
        <f>IF(J129="","",IFERROR(VALUE(SUBSTITUTE(SUBSTITUTE(IF(E129="","",E129)&amp;"","$",""),",","")),0))</f>
        <v/>
      </c>
      <c r="N129" s="11">
        <f>IF(J129="","",IFERROR(VALUE(SUBSTITUTE(SUBSTITUTE(IF(F129="","",F129)&amp;"","$",""),",","")),0))</f>
        <v/>
      </c>
      <c r="O129" s="11">
        <f>IF(J129="","",M129*N129)</f>
        <v/>
      </c>
      <c r="P129">
        <f>IF(J129="","",IF(L129="",1,COUNTIF($L$2:$L$1501,L129)))</f>
        <v/>
      </c>
      <c r="Q129" s="11">
        <f>IF(J129="","",IFERROR(VALUE(SUBSTITUTE(SUBSTITUTE(IF(G129="","",G129)&amp;"","$",""),",","")),0)/IF("No"="Yes",P129,1))</f>
        <v/>
      </c>
      <c r="R129" s="11">
        <f>IF(J129="","",IFERROR(VALUE(SUBSTITUTE(SUBSTITUTE(IF(H129="","",H129)&amp;"","$",""),",","")),0)/IF("No"="Yes",P129,1))</f>
        <v/>
      </c>
      <c r="S129" s="11">
        <f>IF(J129="","",O129+Q129-R129)</f>
        <v/>
      </c>
      <c r="T129">
        <f>IF(J129="","",IFERROR(IF(K129="",NA(),MATCH(K129,Products!$B$5:$B$204,0)),IFERROR(MATCH(J129,Products!$A$5:$A$204,0),"")))</f>
        <v/>
      </c>
      <c r="U129">
        <f>IF(J129="","",IF(T129="","⚠ not in Products",INDEX(Products!$A$5:$A$204,T129)))</f>
        <v/>
      </c>
      <c r="V129" s="11">
        <f>IF(J129="","",S129*(IFERROR(INDEX(Settings!$B$5:$B$9,MATCH($B129,Settings!$A$5:$A$9,0)),0)+IFERROR(INDEX(Settings!$E$5:$E$9,MATCH($B129,Settings!$A$5:$A$9,0)),0)+IFERROR(INDEX(Settings!$G$5:$G$9,MATCH($B129,Settings!$A$5:$A$9,0)),0))+(IFERROR(INDEX(Settings!$C$5:$C$9,MATCH($B129,Settings!$A$5:$A$9,0)),0)+IFERROR(INDEX(Settings!$F$5:$F$9,MATCH($B129,Settings!$A$5:$A$9,0)),0))/P129+IFERROR(INDEX(Settings!$D$5:$D$9,MATCH($B129,Settings!$A$5:$A$9,0)),0)*M129)</f>
        <v/>
      </c>
      <c r="W129" s="11">
        <f>IF(J129="","",IF(T129="",0,M129*INDEX(Products!$I$5:$I$204,T129)))</f>
        <v/>
      </c>
      <c r="X129" s="11">
        <f>IF(J129="","",IF(T129="",0,S129*INDEX(Products!$H$5:$H$204,T129)))</f>
        <v/>
      </c>
      <c r="Y129" s="11">
        <f>IF(J129="","",S129-V129-W129-X129)</f>
        <v/>
      </c>
    </row>
    <row r="130">
      <c r="A130" s="19" t="n"/>
      <c r="B130" s="19" t="n"/>
      <c r="C130" s="19" t="n"/>
      <c r="D130" s="19" t="n"/>
      <c r="E130" s="19" t="n"/>
      <c r="F130" s="20" t="n"/>
      <c r="G130" s="20" t="n"/>
      <c r="H130" s="20" t="n"/>
      <c r="I130" s="19" t="n"/>
      <c r="J130">
        <f>IFERROR(IF(C130="","",C130)&amp;"","")</f>
        <v/>
      </c>
      <c r="K130">
        <f>IFERROR(IF(D130="","",D130)&amp;"","")</f>
        <v/>
      </c>
      <c r="L130">
        <f>IFERROR(IF(I130="","",I130)&amp;"","")</f>
        <v/>
      </c>
      <c r="M130">
        <f>IF(J130="","",IFERROR(VALUE(SUBSTITUTE(SUBSTITUTE(IF(E130="","",E130)&amp;"","$",""),",","")),0))</f>
        <v/>
      </c>
      <c r="N130" s="11">
        <f>IF(J130="","",IFERROR(VALUE(SUBSTITUTE(SUBSTITUTE(IF(F130="","",F130)&amp;"","$",""),",","")),0))</f>
        <v/>
      </c>
      <c r="O130" s="11">
        <f>IF(J130="","",M130*N130)</f>
        <v/>
      </c>
      <c r="P130">
        <f>IF(J130="","",IF(L130="",1,COUNTIF($L$2:$L$1501,L130)))</f>
        <v/>
      </c>
      <c r="Q130" s="11">
        <f>IF(J130="","",IFERROR(VALUE(SUBSTITUTE(SUBSTITUTE(IF(G130="","",G130)&amp;"","$",""),",","")),0)/IF("No"="Yes",P130,1))</f>
        <v/>
      </c>
      <c r="R130" s="11">
        <f>IF(J130="","",IFERROR(VALUE(SUBSTITUTE(SUBSTITUTE(IF(H130="","",H130)&amp;"","$",""),",","")),0)/IF("No"="Yes",P130,1))</f>
        <v/>
      </c>
      <c r="S130" s="11">
        <f>IF(J130="","",O130+Q130-R130)</f>
        <v/>
      </c>
      <c r="T130">
        <f>IF(J130="","",IFERROR(IF(K130="",NA(),MATCH(K130,Products!$B$5:$B$204,0)),IFERROR(MATCH(J130,Products!$A$5:$A$204,0),"")))</f>
        <v/>
      </c>
      <c r="U130">
        <f>IF(J130="","",IF(T130="","⚠ not in Products",INDEX(Products!$A$5:$A$204,T130)))</f>
        <v/>
      </c>
      <c r="V130" s="11">
        <f>IF(J130="","",S130*(IFERROR(INDEX(Settings!$B$5:$B$9,MATCH($B130,Settings!$A$5:$A$9,0)),0)+IFERROR(INDEX(Settings!$E$5:$E$9,MATCH($B130,Settings!$A$5:$A$9,0)),0)+IFERROR(INDEX(Settings!$G$5:$G$9,MATCH($B130,Settings!$A$5:$A$9,0)),0))+(IFERROR(INDEX(Settings!$C$5:$C$9,MATCH($B130,Settings!$A$5:$A$9,0)),0)+IFERROR(INDEX(Settings!$F$5:$F$9,MATCH($B130,Settings!$A$5:$A$9,0)),0))/P130+IFERROR(INDEX(Settings!$D$5:$D$9,MATCH($B130,Settings!$A$5:$A$9,0)),0)*M130)</f>
        <v/>
      </c>
      <c r="W130" s="11">
        <f>IF(J130="","",IF(T130="",0,M130*INDEX(Products!$I$5:$I$204,T130)))</f>
        <v/>
      </c>
      <c r="X130" s="11">
        <f>IF(J130="","",IF(T130="",0,S130*INDEX(Products!$H$5:$H$204,T130)))</f>
        <v/>
      </c>
      <c r="Y130" s="11">
        <f>IF(J130="","",S130-V130-W130-X130)</f>
        <v/>
      </c>
    </row>
    <row r="131">
      <c r="A131" s="19" t="n"/>
      <c r="B131" s="19" t="n"/>
      <c r="C131" s="19" t="n"/>
      <c r="D131" s="19" t="n"/>
      <c r="E131" s="19" t="n"/>
      <c r="F131" s="20" t="n"/>
      <c r="G131" s="20" t="n"/>
      <c r="H131" s="20" t="n"/>
      <c r="I131" s="19" t="n"/>
      <c r="J131">
        <f>IFERROR(IF(C131="","",C131)&amp;"","")</f>
        <v/>
      </c>
      <c r="K131">
        <f>IFERROR(IF(D131="","",D131)&amp;"","")</f>
        <v/>
      </c>
      <c r="L131">
        <f>IFERROR(IF(I131="","",I131)&amp;"","")</f>
        <v/>
      </c>
      <c r="M131">
        <f>IF(J131="","",IFERROR(VALUE(SUBSTITUTE(SUBSTITUTE(IF(E131="","",E131)&amp;"","$",""),",","")),0))</f>
        <v/>
      </c>
      <c r="N131" s="11">
        <f>IF(J131="","",IFERROR(VALUE(SUBSTITUTE(SUBSTITUTE(IF(F131="","",F131)&amp;"","$",""),",","")),0))</f>
        <v/>
      </c>
      <c r="O131" s="11">
        <f>IF(J131="","",M131*N131)</f>
        <v/>
      </c>
      <c r="P131">
        <f>IF(J131="","",IF(L131="",1,COUNTIF($L$2:$L$1501,L131)))</f>
        <v/>
      </c>
      <c r="Q131" s="11">
        <f>IF(J131="","",IFERROR(VALUE(SUBSTITUTE(SUBSTITUTE(IF(G131="","",G131)&amp;"","$",""),",","")),0)/IF("No"="Yes",P131,1))</f>
        <v/>
      </c>
      <c r="R131" s="11">
        <f>IF(J131="","",IFERROR(VALUE(SUBSTITUTE(SUBSTITUTE(IF(H131="","",H131)&amp;"","$",""),",","")),0)/IF("No"="Yes",P131,1))</f>
        <v/>
      </c>
      <c r="S131" s="11">
        <f>IF(J131="","",O131+Q131-R131)</f>
        <v/>
      </c>
      <c r="T131">
        <f>IF(J131="","",IFERROR(IF(K131="",NA(),MATCH(K131,Products!$B$5:$B$204,0)),IFERROR(MATCH(J131,Products!$A$5:$A$204,0),"")))</f>
        <v/>
      </c>
      <c r="U131">
        <f>IF(J131="","",IF(T131="","⚠ not in Products",INDEX(Products!$A$5:$A$204,T131)))</f>
        <v/>
      </c>
      <c r="V131" s="11">
        <f>IF(J131="","",S131*(IFERROR(INDEX(Settings!$B$5:$B$9,MATCH($B131,Settings!$A$5:$A$9,0)),0)+IFERROR(INDEX(Settings!$E$5:$E$9,MATCH($B131,Settings!$A$5:$A$9,0)),0)+IFERROR(INDEX(Settings!$G$5:$G$9,MATCH($B131,Settings!$A$5:$A$9,0)),0))+(IFERROR(INDEX(Settings!$C$5:$C$9,MATCH($B131,Settings!$A$5:$A$9,0)),0)+IFERROR(INDEX(Settings!$F$5:$F$9,MATCH($B131,Settings!$A$5:$A$9,0)),0))/P131+IFERROR(INDEX(Settings!$D$5:$D$9,MATCH($B131,Settings!$A$5:$A$9,0)),0)*M131)</f>
        <v/>
      </c>
      <c r="W131" s="11">
        <f>IF(J131="","",IF(T131="",0,M131*INDEX(Products!$I$5:$I$204,T131)))</f>
        <v/>
      </c>
      <c r="X131" s="11">
        <f>IF(J131="","",IF(T131="",0,S131*INDEX(Products!$H$5:$H$204,T131)))</f>
        <v/>
      </c>
      <c r="Y131" s="11">
        <f>IF(J131="","",S131-V131-W131-X131)</f>
        <v/>
      </c>
    </row>
    <row r="132">
      <c r="A132" s="19" t="n"/>
      <c r="B132" s="19" t="n"/>
      <c r="C132" s="19" t="n"/>
      <c r="D132" s="19" t="n"/>
      <c r="E132" s="19" t="n"/>
      <c r="F132" s="20" t="n"/>
      <c r="G132" s="20" t="n"/>
      <c r="H132" s="20" t="n"/>
      <c r="I132" s="19" t="n"/>
      <c r="J132">
        <f>IFERROR(IF(C132="","",C132)&amp;"","")</f>
        <v/>
      </c>
      <c r="K132">
        <f>IFERROR(IF(D132="","",D132)&amp;"","")</f>
        <v/>
      </c>
      <c r="L132">
        <f>IFERROR(IF(I132="","",I132)&amp;"","")</f>
        <v/>
      </c>
      <c r="M132">
        <f>IF(J132="","",IFERROR(VALUE(SUBSTITUTE(SUBSTITUTE(IF(E132="","",E132)&amp;"","$",""),",","")),0))</f>
        <v/>
      </c>
      <c r="N132" s="11">
        <f>IF(J132="","",IFERROR(VALUE(SUBSTITUTE(SUBSTITUTE(IF(F132="","",F132)&amp;"","$",""),",","")),0))</f>
        <v/>
      </c>
      <c r="O132" s="11">
        <f>IF(J132="","",M132*N132)</f>
        <v/>
      </c>
      <c r="P132">
        <f>IF(J132="","",IF(L132="",1,COUNTIF($L$2:$L$1501,L132)))</f>
        <v/>
      </c>
      <c r="Q132" s="11">
        <f>IF(J132="","",IFERROR(VALUE(SUBSTITUTE(SUBSTITUTE(IF(G132="","",G132)&amp;"","$",""),",","")),0)/IF("No"="Yes",P132,1))</f>
        <v/>
      </c>
      <c r="R132" s="11">
        <f>IF(J132="","",IFERROR(VALUE(SUBSTITUTE(SUBSTITUTE(IF(H132="","",H132)&amp;"","$",""),",","")),0)/IF("No"="Yes",P132,1))</f>
        <v/>
      </c>
      <c r="S132" s="11">
        <f>IF(J132="","",O132+Q132-R132)</f>
        <v/>
      </c>
      <c r="T132">
        <f>IF(J132="","",IFERROR(IF(K132="",NA(),MATCH(K132,Products!$B$5:$B$204,0)),IFERROR(MATCH(J132,Products!$A$5:$A$204,0),"")))</f>
        <v/>
      </c>
      <c r="U132">
        <f>IF(J132="","",IF(T132="","⚠ not in Products",INDEX(Products!$A$5:$A$204,T132)))</f>
        <v/>
      </c>
      <c r="V132" s="11">
        <f>IF(J132="","",S132*(IFERROR(INDEX(Settings!$B$5:$B$9,MATCH($B132,Settings!$A$5:$A$9,0)),0)+IFERROR(INDEX(Settings!$E$5:$E$9,MATCH($B132,Settings!$A$5:$A$9,0)),0)+IFERROR(INDEX(Settings!$G$5:$G$9,MATCH($B132,Settings!$A$5:$A$9,0)),0))+(IFERROR(INDEX(Settings!$C$5:$C$9,MATCH($B132,Settings!$A$5:$A$9,0)),0)+IFERROR(INDEX(Settings!$F$5:$F$9,MATCH($B132,Settings!$A$5:$A$9,0)),0))/P132+IFERROR(INDEX(Settings!$D$5:$D$9,MATCH($B132,Settings!$A$5:$A$9,0)),0)*M132)</f>
        <v/>
      </c>
      <c r="W132" s="11">
        <f>IF(J132="","",IF(T132="",0,M132*INDEX(Products!$I$5:$I$204,T132)))</f>
        <v/>
      </c>
      <c r="X132" s="11">
        <f>IF(J132="","",IF(T132="",0,S132*INDEX(Products!$H$5:$H$204,T132)))</f>
        <v/>
      </c>
      <c r="Y132" s="11">
        <f>IF(J132="","",S132-V132-W132-X132)</f>
        <v/>
      </c>
    </row>
    <row r="133">
      <c r="A133" s="19" t="n"/>
      <c r="B133" s="19" t="n"/>
      <c r="C133" s="19" t="n"/>
      <c r="D133" s="19" t="n"/>
      <c r="E133" s="19" t="n"/>
      <c r="F133" s="20" t="n"/>
      <c r="G133" s="20" t="n"/>
      <c r="H133" s="20" t="n"/>
      <c r="I133" s="19" t="n"/>
      <c r="J133">
        <f>IFERROR(IF(C133="","",C133)&amp;"","")</f>
        <v/>
      </c>
      <c r="K133">
        <f>IFERROR(IF(D133="","",D133)&amp;"","")</f>
        <v/>
      </c>
      <c r="L133">
        <f>IFERROR(IF(I133="","",I133)&amp;"","")</f>
        <v/>
      </c>
      <c r="M133">
        <f>IF(J133="","",IFERROR(VALUE(SUBSTITUTE(SUBSTITUTE(IF(E133="","",E133)&amp;"","$",""),",","")),0))</f>
        <v/>
      </c>
      <c r="N133" s="11">
        <f>IF(J133="","",IFERROR(VALUE(SUBSTITUTE(SUBSTITUTE(IF(F133="","",F133)&amp;"","$",""),",","")),0))</f>
        <v/>
      </c>
      <c r="O133" s="11">
        <f>IF(J133="","",M133*N133)</f>
        <v/>
      </c>
      <c r="P133">
        <f>IF(J133="","",IF(L133="",1,COUNTIF($L$2:$L$1501,L133)))</f>
        <v/>
      </c>
      <c r="Q133" s="11">
        <f>IF(J133="","",IFERROR(VALUE(SUBSTITUTE(SUBSTITUTE(IF(G133="","",G133)&amp;"","$",""),",","")),0)/IF("No"="Yes",P133,1))</f>
        <v/>
      </c>
      <c r="R133" s="11">
        <f>IF(J133="","",IFERROR(VALUE(SUBSTITUTE(SUBSTITUTE(IF(H133="","",H133)&amp;"","$",""),",","")),0)/IF("No"="Yes",P133,1))</f>
        <v/>
      </c>
      <c r="S133" s="11">
        <f>IF(J133="","",O133+Q133-R133)</f>
        <v/>
      </c>
      <c r="T133">
        <f>IF(J133="","",IFERROR(IF(K133="",NA(),MATCH(K133,Products!$B$5:$B$204,0)),IFERROR(MATCH(J133,Products!$A$5:$A$204,0),"")))</f>
        <v/>
      </c>
      <c r="U133">
        <f>IF(J133="","",IF(T133="","⚠ not in Products",INDEX(Products!$A$5:$A$204,T133)))</f>
        <v/>
      </c>
      <c r="V133" s="11">
        <f>IF(J133="","",S133*(IFERROR(INDEX(Settings!$B$5:$B$9,MATCH($B133,Settings!$A$5:$A$9,0)),0)+IFERROR(INDEX(Settings!$E$5:$E$9,MATCH($B133,Settings!$A$5:$A$9,0)),0)+IFERROR(INDEX(Settings!$G$5:$G$9,MATCH($B133,Settings!$A$5:$A$9,0)),0))+(IFERROR(INDEX(Settings!$C$5:$C$9,MATCH($B133,Settings!$A$5:$A$9,0)),0)+IFERROR(INDEX(Settings!$F$5:$F$9,MATCH($B133,Settings!$A$5:$A$9,0)),0))/P133+IFERROR(INDEX(Settings!$D$5:$D$9,MATCH($B133,Settings!$A$5:$A$9,0)),0)*M133)</f>
        <v/>
      </c>
      <c r="W133" s="11">
        <f>IF(J133="","",IF(T133="",0,M133*INDEX(Products!$I$5:$I$204,T133)))</f>
        <v/>
      </c>
      <c r="X133" s="11">
        <f>IF(J133="","",IF(T133="",0,S133*INDEX(Products!$H$5:$H$204,T133)))</f>
        <v/>
      </c>
      <c r="Y133" s="11">
        <f>IF(J133="","",S133-V133-W133-X133)</f>
        <v/>
      </c>
    </row>
    <row r="134">
      <c r="A134" s="19" t="n"/>
      <c r="B134" s="19" t="n"/>
      <c r="C134" s="19" t="n"/>
      <c r="D134" s="19" t="n"/>
      <c r="E134" s="19" t="n"/>
      <c r="F134" s="20" t="n"/>
      <c r="G134" s="20" t="n"/>
      <c r="H134" s="20" t="n"/>
      <c r="I134" s="19" t="n"/>
      <c r="J134">
        <f>IFERROR(IF(C134="","",C134)&amp;"","")</f>
        <v/>
      </c>
      <c r="K134">
        <f>IFERROR(IF(D134="","",D134)&amp;"","")</f>
        <v/>
      </c>
      <c r="L134">
        <f>IFERROR(IF(I134="","",I134)&amp;"","")</f>
        <v/>
      </c>
      <c r="M134">
        <f>IF(J134="","",IFERROR(VALUE(SUBSTITUTE(SUBSTITUTE(IF(E134="","",E134)&amp;"","$",""),",","")),0))</f>
        <v/>
      </c>
      <c r="N134" s="11">
        <f>IF(J134="","",IFERROR(VALUE(SUBSTITUTE(SUBSTITUTE(IF(F134="","",F134)&amp;"","$",""),",","")),0))</f>
        <v/>
      </c>
      <c r="O134" s="11">
        <f>IF(J134="","",M134*N134)</f>
        <v/>
      </c>
      <c r="P134">
        <f>IF(J134="","",IF(L134="",1,COUNTIF($L$2:$L$1501,L134)))</f>
        <v/>
      </c>
      <c r="Q134" s="11">
        <f>IF(J134="","",IFERROR(VALUE(SUBSTITUTE(SUBSTITUTE(IF(G134="","",G134)&amp;"","$",""),",","")),0)/IF("No"="Yes",P134,1))</f>
        <v/>
      </c>
      <c r="R134" s="11">
        <f>IF(J134="","",IFERROR(VALUE(SUBSTITUTE(SUBSTITUTE(IF(H134="","",H134)&amp;"","$",""),",","")),0)/IF("No"="Yes",P134,1))</f>
        <v/>
      </c>
      <c r="S134" s="11">
        <f>IF(J134="","",O134+Q134-R134)</f>
        <v/>
      </c>
      <c r="T134">
        <f>IF(J134="","",IFERROR(IF(K134="",NA(),MATCH(K134,Products!$B$5:$B$204,0)),IFERROR(MATCH(J134,Products!$A$5:$A$204,0),"")))</f>
        <v/>
      </c>
      <c r="U134">
        <f>IF(J134="","",IF(T134="","⚠ not in Products",INDEX(Products!$A$5:$A$204,T134)))</f>
        <v/>
      </c>
      <c r="V134" s="11">
        <f>IF(J134="","",S134*(IFERROR(INDEX(Settings!$B$5:$B$9,MATCH($B134,Settings!$A$5:$A$9,0)),0)+IFERROR(INDEX(Settings!$E$5:$E$9,MATCH($B134,Settings!$A$5:$A$9,0)),0)+IFERROR(INDEX(Settings!$G$5:$G$9,MATCH($B134,Settings!$A$5:$A$9,0)),0))+(IFERROR(INDEX(Settings!$C$5:$C$9,MATCH($B134,Settings!$A$5:$A$9,0)),0)+IFERROR(INDEX(Settings!$F$5:$F$9,MATCH($B134,Settings!$A$5:$A$9,0)),0))/P134+IFERROR(INDEX(Settings!$D$5:$D$9,MATCH($B134,Settings!$A$5:$A$9,0)),0)*M134)</f>
        <v/>
      </c>
      <c r="W134" s="11">
        <f>IF(J134="","",IF(T134="",0,M134*INDEX(Products!$I$5:$I$204,T134)))</f>
        <v/>
      </c>
      <c r="X134" s="11">
        <f>IF(J134="","",IF(T134="",0,S134*INDEX(Products!$H$5:$H$204,T134)))</f>
        <v/>
      </c>
      <c r="Y134" s="11">
        <f>IF(J134="","",S134-V134-W134-X134)</f>
        <v/>
      </c>
    </row>
    <row r="135">
      <c r="A135" s="19" t="n"/>
      <c r="B135" s="19" t="n"/>
      <c r="C135" s="19" t="n"/>
      <c r="D135" s="19" t="n"/>
      <c r="E135" s="19" t="n"/>
      <c r="F135" s="20" t="n"/>
      <c r="G135" s="20" t="n"/>
      <c r="H135" s="20" t="n"/>
      <c r="I135" s="19" t="n"/>
      <c r="J135">
        <f>IFERROR(IF(C135="","",C135)&amp;"","")</f>
        <v/>
      </c>
      <c r="K135">
        <f>IFERROR(IF(D135="","",D135)&amp;"","")</f>
        <v/>
      </c>
      <c r="L135">
        <f>IFERROR(IF(I135="","",I135)&amp;"","")</f>
        <v/>
      </c>
      <c r="M135">
        <f>IF(J135="","",IFERROR(VALUE(SUBSTITUTE(SUBSTITUTE(IF(E135="","",E135)&amp;"","$",""),",","")),0))</f>
        <v/>
      </c>
      <c r="N135" s="11">
        <f>IF(J135="","",IFERROR(VALUE(SUBSTITUTE(SUBSTITUTE(IF(F135="","",F135)&amp;"","$",""),",","")),0))</f>
        <v/>
      </c>
      <c r="O135" s="11">
        <f>IF(J135="","",M135*N135)</f>
        <v/>
      </c>
      <c r="P135">
        <f>IF(J135="","",IF(L135="",1,COUNTIF($L$2:$L$1501,L135)))</f>
        <v/>
      </c>
      <c r="Q135" s="11">
        <f>IF(J135="","",IFERROR(VALUE(SUBSTITUTE(SUBSTITUTE(IF(G135="","",G135)&amp;"","$",""),",","")),0)/IF("No"="Yes",P135,1))</f>
        <v/>
      </c>
      <c r="R135" s="11">
        <f>IF(J135="","",IFERROR(VALUE(SUBSTITUTE(SUBSTITUTE(IF(H135="","",H135)&amp;"","$",""),",","")),0)/IF("No"="Yes",P135,1))</f>
        <v/>
      </c>
      <c r="S135" s="11">
        <f>IF(J135="","",O135+Q135-R135)</f>
        <v/>
      </c>
      <c r="T135">
        <f>IF(J135="","",IFERROR(IF(K135="",NA(),MATCH(K135,Products!$B$5:$B$204,0)),IFERROR(MATCH(J135,Products!$A$5:$A$204,0),"")))</f>
        <v/>
      </c>
      <c r="U135">
        <f>IF(J135="","",IF(T135="","⚠ not in Products",INDEX(Products!$A$5:$A$204,T135)))</f>
        <v/>
      </c>
      <c r="V135" s="11">
        <f>IF(J135="","",S135*(IFERROR(INDEX(Settings!$B$5:$B$9,MATCH($B135,Settings!$A$5:$A$9,0)),0)+IFERROR(INDEX(Settings!$E$5:$E$9,MATCH($B135,Settings!$A$5:$A$9,0)),0)+IFERROR(INDEX(Settings!$G$5:$G$9,MATCH($B135,Settings!$A$5:$A$9,0)),0))+(IFERROR(INDEX(Settings!$C$5:$C$9,MATCH($B135,Settings!$A$5:$A$9,0)),0)+IFERROR(INDEX(Settings!$F$5:$F$9,MATCH($B135,Settings!$A$5:$A$9,0)),0))/P135+IFERROR(INDEX(Settings!$D$5:$D$9,MATCH($B135,Settings!$A$5:$A$9,0)),0)*M135)</f>
        <v/>
      </c>
      <c r="W135" s="11">
        <f>IF(J135="","",IF(T135="",0,M135*INDEX(Products!$I$5:$I$204,T135)))</f>
        <v/>
      </c>
      <c r="X135" s="11">
        <f>IF(J135="","",IF(T135="",0,S135*INDEX(Products!$H$5:$H$204,T135)))</f>
        <v/>
      </c>
      <c r="Y135" s="11">
        <f>IF(J135="","",S135-V135-W135-X135)</f>
        <v/>
      </c>
    </row>
    <row r="136">
      <c r="A136" s="19" t="n"/>
      <c r="B136" s="19" t="n"/>
      <c r="C136" s="19" t="n"/>
      <c r="D136" s="19" t="n"/>
      <c r="E136" s="19" t="n"/>
      <c r="F136" s="20" t="n"/>
      <c r="G136" s="20" t="n"/>
      <c r="H136" s="20" t="n"/>
      <c r="I136" s="19" t="n"/>
      <c r="J136">
        <f>IFERROR(IF(C136="","",C136)&amp;"","")</f>
        <v/>
      </c>
      <c r="K136">
        <f>IFERROR(IF(D136="","",D136)&amp;"","")</f>
        <v/>
      </c>
      <c r="L136">
        <f>IFERROR(IF(I136="","",I136)&amp;"","")</f>
        <v/>
      </c>
      <c r="M136">
        <f>IF(J136="","",IFERROR(VALUE(SUBSTITUTE(SUBSTITUTE(IF(E136="","",E136)&amp;"","$",""),",","")),0))</f>
        <v/>
      </c>
      <c r="N136" s="11">
        <f>IF(J136="","",IFERROR(VALUE(SUBSTITUTE(SUBSTITUTE(IF(F136="","",F136)&amp;"","$",""),",","")),0))</f>
        <v/>
      </c>
      <c r="O136" s="11">
        <f>IF(J136="","",M136*N136)</f>
        <v/>
      </c>
      <c r="P136">
        <f>IF(J136="","",IF(L136="",1,COUNTIF($L$2:$L$1501,L136)))</f>
        <v/>
      </c>
      <c r="Q136" s="11">
        <f>IF(J136="","",IFERROR(VALUE(SUBSTITUTE(SUBSTITUTE(IF(G136="","",G136)&amp;"","$",""),",","")),0)/IF("No"="Yes",P136,1))</f>
        <v/>
      </c>
      <c r="R136" s="11">
        <f>IF(J136="","",IFERROR(VALUE(SUBSTITUTE(SUBSTITUTE(IF(H136="","",H136)&amp;"","$",""),",","")),0)/IF("No"="Yes",P136,1))</f>
        <v/>
      </c>
      <c r="S136" s="11">
        <f>IF(J136="","",O136+Q136-R136)</f>
        <v/>
      </c>
      <c r="T136">
        <f>IF(J136="","",IFERROR(IF(K136="",NA(),MATCH(K136,Products!$B$5:$B$204,0)),IFERROR(MATCH(J136,Products!$A$5:$A$204,0),"")))</f>
        <v/>
      </c>
      <c r="U136">
        <f>IF(J136="","",IF(T136="","⚠ not in Products",INDEX(Products!$A$5:$A$204,T136)))</f>
        <v/>
      </c>
      <c r="V136" s="11">
        <f>IF(J136="","",S136*(IFERROR(INDEX(Settings!$B$5:$B$9,MATCH($B136,Settings!$A$5:$A$9,0)),0)+IFERROR(INDEX(Settings!$E$5:$E$9,MATCH($B136,Settings!$A$5:$A$9,0)),0)+IFERROR(INDEX(Settings!$G$5:$G$9,MATCH($B136,Settings!$A$5:$A$9,0)),0))+(IFERROR(INDEX(Settings!$C$5:$C$9,MATCH($B136,Settings!$A$5:$A$9,0)),0)+IFERROR(INDEX(Settings!$F$5:$F$9,MATCH($B136,Settings!$A$5:$A$9,0)),0))/P136+IFERROR(INDEX(Settings!$D$5:$D$9,MATCH($B136,Settings!$A$5:$A$9,0)),0)*M136)</f>
        <v/>
      </c>
      <c r="W136" s="11">
        <f>IF(J136="","",IF(T136="",0,M136*INDEX(Products!$I$5:$I$204,T136)))</f>
        <v/>
      </c>
      <c r="X136" s="11">
        <f>IF(J136="","",IF(T136="",0,S136*INDEX(Products!$H$5:$H$204,T136)))</f>
        <v/>
      </c>
      <c r="Y136" s="11">
        <f>IF(J136="","",S136-V136-W136-X136)</f>
        <v/>
      </c>
    </row>
    <row r="137">
      <c r="A137" s="19" t="n"/>
      <c r="B137" s="19" t="n"/>
      <c r="C137" s="19" t="n"/>
      <c r="D137" s="19" t="n"/>
      <c r="E137" s="19" t="n"/>
      <c r="F137" s="20" t="n"/>
      <c r="G137" s="20" t="n"/>
      <c r="H137" s="20" t="n"/>
      <c r="I137" s="19" t="n"/>
      <c r="J137">
        <f>IFERROR(IF(C137="","",C137)&amp;"","")</f>
        <v/>
      </c>
      <c r="K137">
        <f>IFERROR(IF(D137="","",D137)&amp;"","")</f>
        <v/>
      </c>
      <c r="L137">
        <f>IFERROR(IF(I137="","",I137)&amp;"","")</f>
        <v/>
      </c>
      <c r="M137">
        <f>IF(J137="","",IFERROR(VALUE(SUBSTITUTE(SUBSTITUTE(IF(E137="","",E137)&amp;"","$",""),",","")),0))</f>
        <v/>
      </c>
      <c r="N137" s="11">
        <f>IF(J137="","",IFERROR(VALUE(SUBSTITUTE(SUBSTITUTE(IF(F137="","",F137)&amp;"","$",""),",","")),0))</f>
        <v/>
      </c>
      <c r="O137" s="11">
        <f>IF(J137="","",M137*N137)</f>
        <v/>
      </c>
      <c r="P137">
        <f>IF(J137="","",IF(L137="",1,COUNTIF($L$2:$L$1501,L137)))</f>
        <v/>
      </c>
      <c r="Q137" s="11">
        <f>IF(J137="","",IFERROR(VALUE(SUBSTITUTE(SUBSTITUTE(IF(G137="","",G137)&amp;"","$",""),",","")),0)/IF("No"="Yes",P137,1))</f>
        <v/>
      </c>
      <c r="R137" s="11">
        <f>IF(J137="","",IFERROR(VALUE(SUBSTITUTE(SUBSTITUTE(IF(H137="","",H137)&amp;"","$",""),",","")),0)/IF("No"="Yes",P137,1))</f>
        <v/>
      </c>
      <c r="S137" s="11">
        <f>IF(J137="","",O137+Q137-R137)</f>
        <v/>
      </c>
      <c r="T137">
        <f>IF(J137="","",IFERROR(IF(K137="",NA(),MATCH(K137,Products!$B$5:$B$204,0)),IFERROR(MATCH(J137,Products!$A$5:$A$204,0),"")))</f>
        <v/>
      </c>
      <c r="U137">
        <f>IF(J137="","",IF(T137="","⚠ not in Products",INDEX(Products!$A$5:$A$204,T137)))</f>
        <v/>
      </c>
      <c r="V137" s="11">
        <f>IF(J137="","",S137*(IFERROR(INDEX(Settings!$B$5:$B$9,MATCH($B137,Settings!$A$5:$A$9,0)),0)+IFERROR(INDEX(Settings!$E$5:$E$9,MATCH($B137,Settings!$A$5:$A$9,0)),0)+IFERROR(INDEX(Settings!$G$5:$G$9,MATCH($B137,Settings!$A$5:$A$9,0)),0))+(IFERROR(INDEX(Settings!$C$5:$C$9,MATCH($B137,Settings!$A$5:$A$9,0)),0)+IFERROR(INDEX(Settings!$F$5:$F$9,MATCH($B137,Settings!$A$5:$A$9,0)),0))/P137+IFERROR(INDEX(Settings!$D$5:$D$9,MATCH($B137,Settings!$A$5:$A$9,0)),0)*M137)</f>
        <v/>
      </c>
      <c r="W137" s="11">
        <f>IF(J137="","",IF(T137="",0,M137*INDEX(Products!$I$5:$I$204,T137)))</f>
        <v/>
      </c>
      <c r="X137" s="11">
        <f>IF(J137="","",IF(T137="",0,S137*INDEX(Products!$H$5:$H$204,T137)))</f>
        <v/>
      </c>
      <c r="Y137" s="11">
        <f>IF(J137="","",S137-V137-W137-X137)</f>
        <v/>
      </c>
    </row>
    <row r="138">
      <c r="A138" s="19" t="n"/>
      <c r="B138" s="19" t="n"/>
      <c r="C138" s="19" t="n"/>
      <c r="D138" s="19" t="n"/>
      <c r="E138" s="19" t="n"/>
      <c r="F138" s="20" t="n"/>
      <c r="G138" s="20" t="n"/>
      <c r="H138" s="20" t="n"/>
      <c r="I138" s="19" t="n"/>
      <c r="J138">
        <f>IFERROR(IF(C138="","",C138)&amp;"","")</f>
        <v/>
      </c>
      <c r="K138">
        <f>IFERROR(IF(D138="","",D138)&amp;"","")</f>
        <v/>
      </c>
      <c r="L138">
        <f>IFERROR(IF(I138="","",I138)&amp;"","")</f>
        <v/>
      </c>
      <c r="M138">
        <f>IF(J138="","",IFERROR(VALUE(SUBSTITUTE(SUBSTITUTE(IF(E138="","",E138)&amp;"","$",""),",","")),0))</f>
        <v/>
      </c>
      <c r="N138" s="11">
        <f>IF(J138="","",IFERROR(VALUE(SUBSTITUTE(SUBSTITUTE(IF(F138="","",F138)&amp;"","$",""),",","")),0))</f>
        <v/>
      </c>
      <c r="O138" s="11">
        <f>IF(J138="","",M138*N138)</f>
        <v/>
      </c>
      <c r="P138">
        <f>IF(J138="","",IF(L138="",1,COUNTIF($L$2:$L$1501,L138)))</f>
        <v/>
      </c>
      <c r="Q138" s="11">
        <f>IF(J138="","",IFERROR(VALUE(SUBSTITUTE(SUBSTITUTE(IF(G138="","",G138)&amp;"","$",""),",","")),0)/IF("No"="Yes",P138,1))</f>
        <v/>
      </c>
      <c r="R138" s="11">
        <f>IF(J138="","",IFERROR(VALUE(SUBSTITUTE(SUBSTITUTE(IF(H138="","",H138)&amp;"","$",""),",","")),0)/IF("No"="Yes",P138,1))</f>
        <v/>
      </c>
      <c r="S138" s="11">
        <f>IF(J138="","",O138+Q138-R138)</f>
        <v/>
      </c>
      <c r="T138">
        <f>IF(J138="","",IFERROR(IF(K138="",NA(),MATCH(K138,Products!$B$5:$B$204,0)),IFERROR(MATCH(J138,Products!$A$5:$A$204,0),"")))</f>
        <v/>
      </c>
      <c r="U138">
        <f>IF(J138="","",IF(T138="","⚠ not in Products",INDEX(Products!$A$5:$A$204,T138)))</f>
        <v/>
      </c>
      <c r="V138" s="11">
        <f>IF(J138="","",S138*(IFERROR(INDEX(Settings!$B$5:$B$9,MATCH($B138,Settings!$A$5:$A$9,0)),0)+IFERROR(INDEX(Settings!$E$5:$E$9,MATCH($B138,Settings!$A$5:$A$9,0)),0)+IFERROR(INDEX(Settings!$G$5:$G$9,MATCH($B138,Settings!$A$5:$A$9,0)),0))+(IFERROR(INDEX(Settings!$C$5:$C$9,MATCH($B138,Settings!$A$5:$A$9,0)),0)+IFERROR(INDEX(Settings!$F$5:$F$9,MATCH($B138,Settings!$A$5:$A$9,0)),0))/P138+IFERROR(INDEX(Settings!$D$5:$D$9,MATCH($B138,Settings!$A$5:$A$9,0)),0)*M138)</f>
        <v/>
      </c>
      <c r="W138" s="11">
        <f>IF(J138="","",IF(T138="",0,M138*INDEX(Products!$I$5:$I$204,T138)))</f>
        <v/>
      </c>
      <c r="X138" s="11">
        <f>IF(J138="","",IF(T138="",0,S138*INDEX(Products!$H$5:$H$204,T138)))</f>
        <v/>
      </c>
      <c r="Y138" s="11">
        <f>IF(J138="","",S138-V138-W138-X138)</f>
        <v/>
      </c>
    </row>
    <row r="139">
      <c r="A139" s="19" t="n"/>
      <c r="B139" s="19" t="n"/>
      <c r="C139" s="19" t="n"/>
      <c r="D139" s="19" t="n"/>
      <c r="E139" s="19" t="n"/>
      <c r="F139" s="20" t="n"/>
      <c r="G139" s="20" t="n"/>
      <c r="H139" s="20" t="n"/>
      <c r="I139" s="19" t="n"/>
      <c r="J139">
        <f>IFERROR(IF(C139="","",C139)&amp;"","")</f>
        <v/>
      </c>
      <c r="K139">
        <f>IFERROR(IF(D139="","",D139)&amp;"","")</f>
        <v/>
      </c>
      <c r="L139">
        <f>IFERROR(IF(I139="","",I139)&amp;"","")</f>
        <v/>
      </c>
      <c r="M139">
        <f>IF(J139="","",IFERROR(VALUE(SUBSTITUTE(SUBSTITUTE(IF(E139="","",E139)&amp;"","$",""),",","")),0))</f>
        <v/>
      </c>
      <c r="N139" s="11">
        <f>IF(J139="","",IFERROR(VALUE(SUBSTITUTE(SUBSTITUTE(IF(F139="","",F139)&amp;"","$",""),",","")),0))</f>
        <v/>
      </c>
      <c r="O139" s="11">
        <f>IF(J139="","",M139*N139)</f>
        <v/>
      </c>
      <c r="P139">
        <f>IF(J139="","",IF(L139="",1,COUNTIF($L$2:$L$1501,L139)))</f>
        <v/>
      </c>
      <c r="Q139" s="11">
        <f>IF(J139="","",IFERROR(VALUE(SUBSTITUTE(SUBSTITUTE(IF(G139="","",G139)&amp;"","$",""),",","")),0)/IF("No"="Yes",P139,1))</f>
        <v/>
      </c>
      <c r="R139" s="11">
        <f>IF(J139="","",IFERROR(VALUE(SUBSTITUTE(SUBSTITUTE(IF(H139="","",H139)&amp;"","$",""),",","")),0)/IF("No"="Yes",P139,1))</f>
        <v/>
      </c>
      <c r="S139" s="11">
        <f>IF(J139="","",O139+Q139-R139)</f>
        <v/>
      </c>
      <c r="T139">
        <f>IF(J139="","",IFERROR(IF(K139="",NA(),MATCH(K139,Products!$B$5:$B$204,0)),IFERROR(MATCH(J139,Products!$A$5:$A$204,0),"")))</f>
        <v/>
      </c>
      <c r="U139">
        <f>IF(J139="","",IF(T139="","⚠ not in Products",INDEX(Products!$A$5:$A$204,T139)))</f>
        <v/>
      </c>
      <c r="V139" s="11">
        <f>IF(J139="","",S139*(IFERROR(INDEX(Settings!$B$5:$B$9,MATCH($B139,Settings!$A$5:$A$9,0)),0)+IFERROR(INDEX(Settings!$E$5:$E$9,MATCH($B139,Settings!$A$5:$A$9,0)),0)+IFERROR(INDEX(Settings!$G$5:$G$9,MATCH($B139,Settings!$A$5:$A$9,0)),0))+(IFERROR(INDEX(Settings!$C$5:$C$9,MATCH($B139,Settings!$A$5:$A$9,0)),0)+IFERROR(INDEX(Settings!$F$5:$F$9,MATCH($B139,Settings!$A$5:$A$9,0)),0))/P139+IFERROR(INDEX(Settings!$D$5:$D$9,MATCH($B139,Settings!$A$5:$A$9,0)),0)*M139)</f>
        <v/>
      </c>
      <c r="W139" s="11">
        <f>IF(J139="","",IF(T139="",0,M139*INDEX(Products!$I$5:$I$204,T139)))</f>
        <v/>
      </c>
      <c r="X139" s="11">
        <f>IF(J139="","",IF(T139="",0,S139*INDEX(Products!$H$5:$H$204,T139)))</f>
        <v/>
      </c>
      <c r="Y139" s="11">
        <f>IF(J139="","",S139-V139-W139-X139)</f>
        <v/>
      </c>
    </row>
    <row r="140">
      <c r="A140" s="19" t="n"/>
      <c r="B140" s="19" t="n"/>
      <c r="C140" s="19" t="n"/>
      <c r="D140" s="19" t="n"/>
      <c r="E140" s="19" t="n"/>
      <c r="F140" s="20" t="n"/>
      <c r="G140" s="20" t="n"/>
      <c r="H140" s="20" t="n"/>
      <c r="I140" s="19" t="n"/>
      <c r="J140">
        <f>IFERROR(IF(C140="","",C140)&amp;"","")</f>
        <v/>
      </c>
      <c r="K140">
        <f>IFERROR(IF(D140="","",D140)&amp;"","")</f>
        <v/>
      </c>
      <c r="L140">
        <f>IFERROR(IF(I140="","",I140)&amp;"","")</f>
        <v/>
      </c>
      <c r="M140">
        <f>IF(J140="","",IFERROR(VALUE(SUBSTITUTE(SUBSTITUTE(IF(E140="","",E140)&amp;"","$",""),",","")),0))</f>
        <v/>
      </c>
      <c r="N140" s="11">
        <f>IF(J140="","",IFERROR(VALUE(SUBSTITUTE(SUBSTITUTE(IF(F140="","",F140)&amp;"","$",""),",","")),0))</f>
        <v/>
      </c>
      <c r="O140" s="11">
        <f>IF(J140="","",M140*N140)</f>
        <v/>
      </c>
      <c r="P140">
        <f>IF(J140="","",IF(L140="",1,COUNTIF($L$2:$L$1501,L140)))</f>
        <v/>
      </c>
      <c r="Q140" s="11">
        <f>IF(J140="","",IFERROR(VALUE(SUBSTITUTE(SUBSTITUTE(IF(G140="","",G140)&amp;"","$",""),",","")),0)/IF("No"="Yes",P140,1))</f>
        <v/>
      </c>
      <c r="R140" s="11">
        <f>IF(J140="","",IFERROR(VALUE(SUBSTITUTE(SUBSTITUTE(IF(H140="","",H140)&amp;"","$",""),",","")),0)/IF("No"="Yes",P140,1))</f>
        <v/>
      </c>
      <c r="S140" s="11">
        <f>IF(J140="","",O140+Q140-R140)</f>
        <v/>
      </c>
      <c r="T140">
        <f>IF(J140="","",IFERROR(IF(K140="",NA(),MATCH(K140,Products!$B$5:$B$204,0)),IFERROR(MATCH(J140,Products!$A$5:$A$204,0),"")))</f>
        <v/>
      </c>
      <c r="U140">
        <f>IF(J140="","",IF(T140="","⚠ not in Products",INDEX(Products!$A$5:$A$204,T140)))</f>
        <v/>
      </c>
      <c r="V140" s="11">
        <f>IF(J140="","",S140*(IFERROR(INDEX(Settings!$B$5:$B$9,MATCH($B140,Settings!$A$5:$A$9,0)),0)+IFERROR(INDEX(Settings!$E$5:$E$9,MATCH($B140,Settings!$A$5:$A$9,0)),0)+IFERROR(INDEX(Settings!$G$5:$G$9,MATCH($B140,Settings!$A$5:$A$9,0)),0))+(IFERROR(INDEX(Settings!$C$5:$C$9,MATCH($B140,Settings!$A$5:$A$9,0)),0)+IFERROR(INDEX(Settings!$F$5:$F$9,MATCH($B140,Settings!$A$5:$A$9,0)),0))/P140+IFERROR(INDEX(Settings!$D$5:$D$9,MATCH($B140,Settings!$A$5:$A$9,0)),0)*M140)</f>
        <v/>
      </c>
      <c r="W140" s="11">
        <f>IF(J140="","",IF(T140="",0,M140*INDEX(Products!$I$5:$I$204,T140)))</f>
        <v/>
      </c>
      <c r="X140" s="11">
        <f>IF(J140="","",IF(T140="",0,S140*INDEX(Products!$H$5:$H$204,T140)))</f>
        <v/>
      </c>
      <c r="Y140" s="11">
        <f>IF(J140="","",S140-V140-W140-X140)</f>
        <v/>
      </c>
    </row>
    <row r="141">
      <c r="A141" s="19" t="n"/>
      <c r="B141" s="19" t="n"/>
      <c r="C141" s="19" t="n"/>
      <c r="D141" s="19" t="n"/>
      <c r="E141" s="19" t="n"/>
      <c r="F141" s="20" t="n"/>
      <c r="G141" s="20" t="n"/>
      <c r="H141" s="20" t="n"/>
      <c r="I141" s="19" t="n"/>
      <c r="J141">
        <f>IFERROR(IF(C141="","",C141)&amp;"","")</f>
        <v/>
      </c>
      <c r="K141">
        <f>IFERROR(IF(D141="","",D141)&amp;"","")</f>
        <v/>
      </c>
      <c r="L141">
        <f>IFERROR(IF(I141="","",I141)&amp;"","")</f>
        <v/>
      </c>
      <c r="M141">
        <f>IF(J141="","",IFERROR(VALUE(SUBSTITUTE(SUBSTITUTE(IF(E141="","",E141)&amp;"","$",""),",","")),0))</f>
        <v/>
      </c>
      <c r="N141" s="11">
        <f>IF(J141="","",IFERROR(VALUE(SUBSTITUTE(SUBSTITUTE(IF(F141="","",F141)&amp;"","$",""),",","")),0))</f>
        <v/>
      </c>
      <c r="O141" s="11">
        <f>IF(J141="","",M141*N141)</f>
        <v/>
      </c>
      <c r="P141">
        <f>IF(J141="","",IF(L141="",1,COUNTIF($L$2:$L$1501,L141)))</f>
        <v/>
      </c>
      <c r="Q141" s="11">
        <f>IF(J141="","",IFERROR(VALUE(SUBSTITUTE(SUBSTITUTE(IF(G141="","",G141)&amp;"","$",""),",","")),0)/IF("No"="Yes",P141,1))</f>
        <v/>
      </c>
      <c r="R141" s="11">
        <f>IF(J141="","",IFERROR(VALUE(SUBSTITUTE(SUBSTITUTE(IF(H141="","",H141)&amp;"","$",""),",","")),0)/IF("No"="Yes",P141,1))</f>
        <v/>
      </c>
      <c r="S141" s="11">
        <f>IF(J141="","",O141+Q141-R141)</f>
        <v/>
      </c>
      <c r="T141">
        <f>IF(J141="","",IFERROR(IF(K141="",NA(),MATCH(K141,Products!$B$5:$B$204,0)),IFERROR(MATCH(J141,Products!$A$5:$A$204,0),"")))</f>
        <v/>
      </c>
      <c r="U141">
        <f>IF(J141="","",IF(T141="","⚠ not in Products",INDEX(Products!$A$5:$A$204,T141)))</f>
        <v/>
      </c>
      <c r="V141" s="11">
        <f>IF(J141="","",S141*(IFERROR(INDEX(Settings!$B$5:$B$9,MATCH($B141,Settings!$A$5:$A$9,0)),0)+IFERROR(INDEX(Settings!$E$5:$E$9,MATCH($B141,Settings!$A$5:$A$9,0)),0)+IFERROR(INDEX(Settings!$G$5:$G$9,MATCH($B141,Settings!$A$5:$A$9,0)),0))+(IFERROR(INDEX(Settings!$C$5:$C$9,MATCH($B141,Settings!$A$5:$A$9,0)),0)+IFERROR(INDEX(Settings!$F$5:$F$9,MATCH($B141,Settings!$A$5:$A$9,0)),0))/P141+IFERROR(INDEX(Settings!$D$5:$D$9,MATCH($B141,Settings!$A$5:$A$9,0)),0)*M141)</f>
        <v/>
      </c>
      <c r="W141" s="11">
        <f>IF(J141="","",IF(T141="",0,M141*INDEX(Products!$I$5:$I$204,T141)))</f>
        <v/>
      </c>
      <c r="X141" s="11">
        <f>IF(J141="","",IF(T141="",0,S141*INDEX(Products!$H$5:$H$204,T141)))</f>
        <v/>
      </c>
      <c r="Y141" s="11">
        <f>IF(J141="","",S141-V141-W141-X141)</f>
        <v/>
      </c>
    </row>
    <row r="142">
      <c r="A142" s="19" t="n"/>
      <c r="B142" s="19" t="n"/>
      <c r="C142" s="19" t="n"/>
      <c r="D142" s="19" t="n"/>
      <c r="E142" s="19" t="n"/>
      <c r="F142" s="20" t="n"/>
      <c r="G142" s="20" t="n"/>
      <c r="H142" s="20" t="n"/>
      <c r="I142" s="19" t="n"/>
      <c r="J142">
        <f>IFERROR(IF(C142="","",C142)&amp;"","")</f>
        <v/>
      </c>
      <c r="K142">
        <f>IFERROR(IF(D142="","",D142)&amp;"","")</f>
        <v/>
      </c>
      <c r="L142">
        <f>IFERROR(IF(I142="","",I142)&amp;"","")</f>
        <v/>
      </c>
      <c r="M142">
        <f>IF(J142="","",IFERROR(VALUE(SUBSTITUTE(SUBSTITUTE(IF(E142="","",E142)&amp;"","$",""),",","")),0))</f>
        <v/>
      </c>
      <c r="N142" s="11">
        <f>IF(J142="","",IFERROR(VALUE(SUBSTITUTE(SUBSTITUTE(IF(F142="","",F142)&amp;"","$",""),",","")),0))</f>
        <v/>
      </c>
      <c r="O142" s="11">
        <f>IF(J142="","",M142*N142)</f>
        <v/>
      </c>
      <c r="P142">
        <f>IF(J142="","",IF(L142="",1,COUNTIF($L$2:$L$1501,L142)))</f>
        <v/>
      </c>
      <c r="Q142" s="11">
        <f>IF(J142="","",IFERROR(VALUE(SUBSTITUTE(SUBSTITUTE(IF(G142="","",G142)&amp;"","$",""),",","")),0)/IF("No"="Yes",P142,1))</f>
        <v/>
      </c>
      <c r="R142" s="11">
        <f>IF(J142="","",IFERROR(VALUE(SUBSTITUTE(SUBSTITUTE(IF(H142="","",H142)&amp;"","$",""),",","")),0)/IF("No"="Yes",P142,1))</f>
        <v/>
      </c>
      <c r="S142" s="11">
        <f>IF(J142="","",O142+Q142-R142)</f>
        <v/>
      </c>
      <c r="T142">
        <f>IF(J142="","",IFERROR(IF(K142="",NA(),MATCH(K142,Products!$B$5:$B$204,0)),IFERROR(MATCH(J142,Products!$A$5:$A$204,0),"")))</f>
        <v/>
      </c>
      <c r="U142">
        <f>IF(J142="","",IF(T142="","⚠ not in Products",INDEX(Products!$A$5:$A$204,T142)))</f>
        <v/>
      </c>
      <c r="V142" s="11">
        <f>IF(J142="","",S142*(IFERROR(INDEX(Settings!$B$5:$B$9,MATCH($B142,Settings!$A$5:$A$9,0)),0)+IFERROR(INDEX(Settings!$E$5:$E$9,MATCH($B142,Settings!$A$5:$A$9,0)),0)+IFERROR(INDEX(Settings!$G$5:$G$9,MATCH($B142,Settings!$A$5:$A$9,0)),0))+(IFERROR(INDEX(Settings!$C$5:$C$9,MATCH($B142,Settings!$A$5:$A$9,0)),0)+IFERROR(INDEX(Settings!$F$5:$F$9,MATCH($B142,Settings!$A$5:$A$9,0)),0))/P142+IFERROR(INDEX(Settings!$D$5:$D$9,MATCH($B142,Settings!$A$5:$A$9,0)),0)*M142)</f>
        <v/>
      </c>
      <c r="W142" s="11">
        <f>IF(J142="","",IF(T142="",0,M142*INDEX(Products!$I$5:$I$204,T142)))</f>
        <v/>
      </c>
      <c r="X142" s="11">
        <f>IF(J142="","",IF(T142="",0,S142*INDEX(Products!$H$5:$H$204,T142)))</f>
        <v/>
      </c>
      <c r="Y142" s="11">
        <f>IF(J142="","",S142-V142-W142-X142)</f>
        <v/>
      </c>
    </row>
    <row r="143">
      <c r="A143" s="19" t="n"/>
      <c r="B143" s="19" t="n"/>
      <c r="C143" s="19" t="n"/>
      <c r="D143" s="19" t="n"/>
      <c r="E143" s="19" t="n"/>
      <c r="F143" s="20" t="n"/>
      <c r="G143" s="20" t="n"/>
      <c r="H143" s="20" t="n"/>
      <c r="I143" s="19" t="n"/>
      <c r="J143">
        <f>IFERROR(IF(C143="","",C143)&amp;"","")</f>
        <v/>
      </c>
      <c r="K143">
        <f>IFERROR(IF(D143="","",D143)&amp;"","")</f>
        <v/>
      </c>
      <c r="L143">
        <f>IFERROR(IF(I143="","",I143)&amp;"","")</f>
        <v/>
      </c>
      <c r="M143">
        <f>IF(J143="","",IFERROR(VALUE(SUBSTITUTE(SUBSTITUTE(IF(E143="","",E143)&amp;"","$",""),",","")),0))</f>
        <v/>
      </c>
      <c r="N143" s="11">
        <f>IF(J143="","",IFERROR(VALUE(SUBSTITUTE(SUBSTITUTE(IF(F143="","",F143)&amp;"","$",""),",","")),0))</f>
        <v/>
      </c>
      <c r="O143" s="11">
        <f>IF(J143="","",M143*N143)</f>
        <v/>
      </c>
      <c r="P143">
        <f>IF(J143="","",IF(L143="",1,COUNTIF($L$2:$L$1501,L143)))</f>
        <v/>
      </c>
      <c r="Q143" s="11">
        <f>IF(J143="","",IFERROR(VALUE(SUBSTITUTE(SUBSTITUTE(IF(G143="","",G143)&amp;"","$",""),",","")),0)/IF("No"="Yes",P143,1))</f>
        <v/>
      </c>
      <c r="R143" s="11">
        <f>IF(J143="","",IFERROR(VALUE(SUBSTITUTE(SUBSTITUTE(IF(H143="","",H143)&amp;"","$",""),",","")),0)/IF("No"="Yes",P143,1))</f>
        <v/>
      </c>
      <c r="S143" s="11">
        <f>IF(J143="","",O143+Q143-R143)</f>
        <v/>
      </c>
      <c r="T143">
        <f>IF(J143="","",IFERROR(IF(K143="",NA(),MATCH(K143,Products!$B$5:$B$204,0)),IFERROR(MATCH(J143,Products!$A$5:$A$204,0),"")))</f>
        <v/>
      </c>
      <c r="U143">
        <f>IF(J143="","",IF(T143="","⚠ not in Products",INDEX(Products!$A$5:$A$204,T143)))</f>
        <v/>
      </c>
      <c r="V143" s="11">
        <f>IF(J143="","",S143*(IFERROR(INDEX(Settings!$B$5:$B$9,MATCH($B143,Settings!$A$5:$A$9,0)),0)+IFERROR(INDEX(Settings!$E$5:$E$9,MATCH($B143,Settings!$A$5:$A$9,0)),0)+IFERROR(INDEX(Settings!$G$5:$G$9,MATCH($B143,Settings!$A$5:$A$9,0)),0))+(IFERROR(INDEX(Settings!$C$5:$C$9,MATCH($B143,Settings!$A$5:$A$9,0)),0)+IFERROR(INDEX(Settings!$F$5:$F$9,MATCH($B143,Settings!$A$5:$A$9,0)),0))/P143+IFERROR(INDEX(Settings!$D$5:$D$9,MATCH($B143,Settings!$A$5:$A$9,0)),0)*M143)</f>
        <v/>
      </c>
      <c r="W143" s="11">
        <f>IF(J143="","",IF(T143="",0,M143*INDEX(Products!$I$5:$I$204,T143)))</f>
        <v/>
      </c>
      <c r="X143" s="11">
        <f>IF(J143="","",IF(T143="",0,S143*INDEX(Products!$H$5:$H$204,T143)))</f>
        <v/>
      </c>
      <c r="Y143" s="11">
        <f>IF(J143="","",S143-V143-W143-X143)</f>
        <v/>
      </c>
    </row>
    <row r="144">
      <c r="A144" s="19" t="n"/>
      <c r="B144" s="19" t="n"/>
      <c r="C144" s="19" t="n"/>
      <c r="D144" s="19" t="n"/>
      <c r="E144" s="19" t="n"/>
      <c r="F144" s="20" t="n"/>
      <c r="G144" s="20" t="n"/>
      <c r="H144" s="20" t="n"/>
      <c r="I144" s="19" t="n"/>
      <c r="J144">
        <f>IFERROR(IF(C144="","",C144)&amp;"","")</f>
        <v/>
      </c>
      <c r="K144">
        <f>IFERROR(IF(D144="","",D144)&amp;"","")</f>
        <v/>
      </c>
      <c r="L144">
        <f>IFERROR(IF(I144="","",I144)&amp;"","")</f>
        <v/>
      </c>
      <c r="M144">
        <f>IF(J144="","",IFERROR(VALUE(SUBSTITUTE(SUBSTITUTE(IF(E144="","",E144)&amp;"","$",""),",","")),0))</f>
        <v/>
      </c>
      <c r="N144" s="11">
        <f>IF(J144="","",IFERROR(VALUE(SUBSTITUTE(SUBSTITUTE(IF(F144="","",F144)&amp;"","$",""),",","")),0))</f>
        <v/>
      </c>
      <c r="O144" s="11">
        <f>IF(J144="","",M144*N144)</f>
        <v/>
      </c>
      <c r="P144">
        <f>IF(J144="","",IF(L144="",1,COUNTIF($L$2:$L$1501,L144)))</f>
        <v/>
      </c>
      <c r="Q144" s="11">
        <f>IF(J144="","",IFERROR(VALUE(SUBSTITUTE(SUBSTITUTE(IF(G144="","",G144)&amp;"","$",""),",","")),0)/IF("No"="Yes",P144,1))</f>
        <v/>
      </c>
      <c r="R144" s="11">
        <f>IF(J144="","",IFERROR(VALUE(SUBSTITUTE(SUBSTITUTE(IF(H144="","",H144)&amp;"","$",""),",","")),0)/IF("No"="Yes",P144,1))</f>
        <v/>
      </c>
      <c r="S144" s="11">
        <f>IF(J144="","",O144+Q144-R144)</f>
        <v/>
      </c>
      <c r="T144">
        <f>IF(J144="","",IFERROR(IF(K144="",NA(),MATCH(K144,Products!$B$5:$B$204,0)),IFERROR(MATCH(J144,Products!$A$5:$A$204,0),"")))</f>
        <v/>
      </c>
      <c r="U144">
        <f>IF(J144="","",IF(T144="","⚠ not in Products",INDEX(Products!$A$5:$A$204,T144)))</f>
        <v/>
      </c>
      <c r="V144" s="11">
        <f>IF(J144="","",S144*(IFERROR(INDEX(Settings!$B$5:$B$9,MATCH($B144,Settings!$A$5:$A$9,0)),0)+IFERROR(INDEX(Settings!$E$5:$E$9,MATCH($B144,Settings!$A$5:$A$9,0)),0)+IFERROR(INDEX(Settings!$G$5:$G$9,MATCH($B144,Settings!$A$5:$A$9,0)),0))+(IFERROR(INDEX(Settings!$C$5:$C$9,MATCH($B144,Settings!$A$5:$A$9,0)),0)+IFERROR(INDEX(Settings!$F$5:$F$9,MATCH($B144,Settings!$A$5:$A$9,0)),0))/P144+IFERROR(INDEX(Settings!$D$5:$D$9,MATCH($B144,Settings!$A$5:$A$9,0)),0)*M144)</f>
        <v/>
      </c>
      <c r="W144" s="11">
        <f>IF(J144="","",IF(T144="",0,M144*INDEX(Products!$I$5:$I$204,T144)))</f>
        <v/>
      </c>
      <c r="X144" s="11">
        <f>IF(J144="","",IF(T144="",0,S144*INDEX(Products!$H$5:$H$204,T144)))</f>
        <v/>
      </c>
      <c r="Y144" s="11">
        <f>IF(J144="","",S144-V144-W144-X144)</f>
        <v/>
      </c>
    </row>
    <row r="145">
      <c r="A145" s="19" t="n"/>
      <c r="B145" s="19" t="n"/>
      <c r="C145" s="19" t="n"/>
      <c r="D145" s="19" t="n"/>
      <c r="E145" s="19" t="n"/>
      <c r="F145" s="20" t="n"/>
      <c r="G145" s="20" t="n"/>
      <c r="H145" s="20" t="n"/>
      <c r="I145" s="19" t="n"/>
      <c r="J145">
        <f>IFERROR(IF(C145="","",C145)&amp;"","")</f>
        <v/>
      </c>
      <c r="K145">
        <f>IFERROR(IF(D145="","",D145)&amp;"","")</f>
        <v/>
      </c>
      <c r="L145">
        <f>IFERROR(IF(I145="","",I145)&amp;"","")</f>
        <v/>
      </c>
      <c r="M145">
        <f>IF(J145="","",IFERROR(VALUE(SUBSTITUTE(SUBSTITUTE(IF(E145="","",E145)&amp;"","$",""),",","")),0))</f>
        <v/>
      </c>
      <c r="N145" s="11">
        <f>IF(J145="","",IFERROR(VALUE(SUBSTITUTE(SUBSTITUTE(IF(F145="","",F145)&amp;"","$",""),",","")),0))</f>
        <v/>
      </c>
      <c r="O145" s="11">
        <f>IF(J145="","",M145*N145)</f>
        <v/>
      </c>
      <c r="P145">
        <f>IF(J145="","",IF(L145="",1,COUNTIF($L$2:$L$1501,L145)))</f>
        <v/>
      </c>
      <c r="Q145" s="11">
        <f>IF(J145="","",IFERROR(VALUE(SUBSTITUTE(SUBSTITUTE(IF(G145="","",G145)&amp;"","$",""),",","")),0)/IF("No"="Yes",P145,1))</f>
        <v/>
      </c>
      <c r="R145" s="11">
        <f>IF(J145="","",IFERROR(VALUE(SUBSTITUTE(SUBSTITUTE(IF(H145="","",H145)&amp;"","$",""),",","")),0)/IF("No"="Yes",P145,1))</f>
        <v/>
      </c>
      <c r="S145" s="11">
        <f>IF(J145="","",O145+Q145-R145)</f>
        <v/>
      </c>
      <c r="T145">
        <f>IF(J145="","",IFERROR(IF(K145="",NA(),MATCH(K145,Products!$B$5:$B$204,0)),IFERROR(MATCH(J145,Products!$A$5:$A$204,0),"")))</f>
        <v/>
      </c>
      <c r="U145">
        <f>IF(J145="","",IF(T145="","⚠ not in Products",INDEX(Products!$A$5:$A$204,T145)))</f>
        <v/>
      </c>
      <c r="V145" s="11">
        <f>IF(J145="","",S145*(IFERROR(INDEX(Settings!$B$5:$B$9,MATCH($B145,Settings!$A$5:$A$9,0)),0)+IFERROR(INDEX(Settings!$E$5:$E$9,MATCH($B145,Settings!$A$5:$A$9,0)),0)+IFERROR(INDEX(Settings!$G$5:$G$9,MATCH($B145,Settings!$A$5:$A$9,0)),0))+(IFERROR(INDEX(Settings!$C$5:$C$9,MATCH($B145,Settings!$A$5:$A$9,0)),0)+IFERROR(INDEX(Settings!$F$5:$F$9,MATCH($B145,Settings!$A$5:$A$9,0)),0))/P145+IFERROR(INDEX(Settings!$D$5:$D$9,MATCH($B145,Settings!$A$5:$A$9,0)),0)*M145)</f>
        <v/>
      </c>
      <c r="W145" s="11">
        <f>IF(J145="","",IF(T145="",0,M145*INDEX(Products!$I$5:$I$204,T145)))</f>
        <v/>
      </c>
      <c r="X145" s="11">
        <f>IF(J145="","",IF(T145="",0,S145*INDEX(Products!$H$5:$H$204,T145)))</f>
        <v/>
      </c>
      <c r="Y145" s="11">
        <f>IF(J145="","",S145-V145-W145-X145)</f>
        <v/>
      </c>
    </row>
    <row r="146">
      <c r="A146" s="19" t="n"/>
      <c r="B146" s="19" t="n"/>
      <c r="C146" s="19" t="n"/>
      <c r="D146" s="19" t="n"/>
      <c r="E146" s="19" t="n"/>
      <c r="F146" s="20" t="n"/>
      <c r="G146" s="20" t="n"/>
      <c r="H146" s="20" t="n"/>
      <c r="I146" s="19" t="n"/>
      <c r="J146">
        <f>IFERROR(IF(C146="","",C146)&amp;"","")</f>
        <v/>
      </c>
      <c r="K146">
        <f>IFERROR(IF(D146="","",D146)&amp;"","")</f>
        <v/>
      </c>
      <c r="L146">
        <f>IFERROR(IF(I146="","",I146)&amp;"","")</f>
        <v/>
      </c>
      <c r="M146">
        <f>IF(J146="","",IFERROR(VALUE(SUBSTITUTE(SUBSTITUTE(IF(E146="","",E146)&amp;"","$",""),",","")),0))</f>
        <v/>
      </c>
      <c r="N146" s="11">
        <f>IF(J146="","",IFERROR(VALUE(SUBSTITUTE(SUBSTITUTE(IF(F146="","",F146)&amp;"","$",""),",","")),0))</f>
        <v/>
      </c>
      <c r="O146" s="11">
        <f>IF(J146="","",M146*N146)</f>
        <v/>
      </c>
      <c r="P146">
        <f>IF(J146="","",IF(L146="",1,COUNTIF($L$2:$L$1501,L146)))</f>
        <v/>
      </c>
      <c r="Q146" s="11">
        <f>IF(J146="","",IFERROR(VALUE(SUBSTITUTE(SUBSTITUTE(IF(G146="","",G146)&amp;"","$",""),",","")),0)/IF("No"="Yes",P146,1))</f>
        <v/>
      </c>
      <c r="R146" s="11">
        <f>IF(J146="","",IFERROR(VALUE(SUBSTITUTE(SUBSTITUTE(IF(H146="","",H146)&amp;"","$",""),",","")),0)/IF("No"="Yes",P146,1))</f>
        <v/>
      </c>
      <c r="S146" s="11">
        <f>IF(J146="","",O146+Q146-R146)</f>
        <v/>
      </c>
      <c r="T146">
        <f>IF(J146="","",IFERROR(IF(K146="",NA(),MATCH(K146,Products!$B$5:$B$204,0)),IFERROR(MATCH(J146,Products!$A$5:$A$204,0),"")))</f>
        <v/>
      </c>
      <c r="U146">
        <f>IF(J146="","",IF(T146="","⚠ not in Products",INDEX(Products!$A$5:$A$204,T146)))</f>
        <v/>
      </c>
      <c r="V146" s="11">
        <f>IF(J146="","",S146*(IFERROR(INDEX(Settings!$B$5:$B$9,MATCH($B146,Settings!$A$5:$A$9,0)),0)+IFERROR(INDEX(Settings!$E$5:$E$9,MATCH($B146,Settings!$A$5:$A$9,0)),0)+IFERROR(INDEX(Settings!$G$5:$G$9,MATCH($B146,Settings!$A$5:$A$9,0)),0))+(IFERROR(INDEX(Settings!$C$5:$C$9,MATCH($B146,Settings!$A$5:$A$9,0)),0)+IFERROR(INDEX(Settings!$F$5:$F$9,MATCH($B146,Settings!$A$5:$A$9,0)),0))/P146+IFERROR(INDEX(Settings!$D$5:$D$9,MATCH($B146,Settings!$A$5:$A$9,0)),0)*M146)</f>
        <v/>
      </c>
      <c r="W146" s="11">
        <f>IF(J146="","",IF(T146="",0,M146*INDEX(Products!$I$5:$I$204,T146)))</f>
        <v/>
      </c>
      <c r="X146" s="11">
        <f>IF(J146="","",IF(T146="",0,S146*INDEX(Products!$H$5:$H$204,T146)))</f>
        <v/>
      </c>
      <c r="Y146" s="11">
        <f>IF(J146="","",S146-V146-W146-X146)</f>
        <v/>
      </c>
    </row>
    <row r="147">
      <c r="A147" s="19" t="n"/>
      <c r="B147" s="19" t="n"/>
      <c r="C147" s="19" t="n"/>
      <c r="D147" s="19" t="n"/>
      <c r="E147" s="19" t="n"/>
      <c r="F147" s="20" t="n"/>
      <c r="G147" s="20" t="n"/>
      <c r="H147" s="20" t="n"/>
      <c r="I147" s="19" t="n"/>
      <c r="J147">
        <f>IFERROR(IF(C147="","",C147)&amp;"","")</f>
        <v/>
      </c>
      <c r="K147">
        <f>IFERROR(IF(D147="","",D147)&amp;"","")</f>
        <v/>
      </c>
      <c r="L147">
        <f>IFERROR(IF(I147="","",I147)&amp;"","")</f>
        <v/>
      </c>
      <c r="M147">
        <f>IF(J147="","",IFERROR(VALUE(SUBSTITUTE(SUBSTITUTE(IF(E147="","",E147)&amp;"","$",""),",","")),0))</f>
        <v/>
      </c>
      <c r="N147" s="11">
        <f>IF(J147="","",IFERROR(VALUE(SUBSTITUTE(SUBSTITUTE(IF(F147="","",F147)&amp;"","$",""),",","")),0))</f>
        <v/>
      </c>
      <c r="O147" s="11">
        <f>IF(J147="","",M147*N147)</f>
        <v/>
      </c>
      <c r="P147">
        <f>IF(J147="","",IF(L147="",1,COUNTIF($L$2:$L$1501,L147)))</f>
        <v/>
      </c>
      <c r="Q147" s="11">
        <f>IF(J147="","",IFERROR(VALUE(SUBSTITUTE(SUBSTITUTE(IF(G147="","",G147)&amp;"","$",""),",","")),0)/IF("No"="Yes",P147,1))</f>
        <v/>
      </c>
      <c r="R147" s="11">
        <f>IF(J147="","",IFERROR(VALUE(SUBSTITUTE(SUBSTITUTE(IF(H147="","",H147)&amp;"","$",""),",","")),0)/IF("No"="Yes",P147,1))</f>
        <v/>
      </c>
      <c r="S147" s="11">
        <f>IF(J147="","",O147+Q147-R147)</f>
        <v/>
      </c>
      <c r="T147">
        <f>IF(J147="","",IFERROR(IF(K147="",NA(),MATCH(K147,Products!$B$5:$B$204,0)),IFERROR(MATCH(J147,Products!$A$5:$A$204,0),"")))</f>
        <v/>
      </c>
      <c r="U147">
        <f>IF(J147="","",IF(T147="","⚠ not in Products",INDEX(Products!$A$5:$A$204,T147)))</f>
        <v/>
      </c>
      <c r="V147" s="11">
        <f>IF(J147="","",S147*(IFERROR(INDEX(Settings!$B$5:$B$9,MATCH($B147,Settings!$A$5:$A$9,0)),0)+IFERROR(INDEX(Settings!$E$5:$E$9,MATCH($B147,Settings!$A$5:$A$9,0)),0)+IFERROR(INDEX(Settings!$G$5:$G$9,MATCH($B147,Settings!$A$5:$A$9,0)),0))+(IFERROR(INDEX(Settings!$C$5:$C$9,MATCH($B147,Settings!$A$5:$A$9,0)),0)+IFERROR(INDEX(Settings!$F$5:$F$9,MATCH($B147,Settings!$A$5:$A$9,0)),0))/P147+IFERROR(INDEX(Settings!$D$5:$D$9,MATCH($B147,Settings!$A$5:$A$9,0)),0)*M147)</f>
        <v/>
      </c>
      <c r="W147" s="11">
        <f>IF(J147="","",IF(T147="",0,M147*INDEX(Products!$I$5:$I$204,T147)))</f>
        <v/>
      </c>
      <c r="X147" s="11">
        <f>IF(J147="","",IF(T147="",0,S147*INDEX(Products!$H$5:$H$204,T147)))</f>
        <v/>
      </c>
      <c r="Y147" s="11">
        <f>IF(J147="","",S147-V147-W147-X147)</f>
        <v/>
      </c>
    </row>
    <row r="148">
      <c r="A148" s="19" t="n"/>
      <c r="B148" s="19" t="n"/>
      <c r="C148" s="19" t="n"/>
      <c r="D148" s="19" t="n"/>
      <c r="E148" s="19" t="n"/>
      <c r="F148" s="20" t="n"/>
      <c r="G148" s="20" t="n"/>
      <c r="H148" s="20" t="n"/>
      <c r="I148" s="19" t="n"/>
      <c r="J148">
        <f>IFERROR(IF(C148="","",C148)&amp;"","")</f>
        <v/>
      </c>
      <c r="K148">
        <f>IFERROR(IF(D148="","",D148)&amp;"","")</f>
        <v/>
      </c>
      <c r="L148">
        <f>IFERROR(IF(I148="","",I148)&amp;"","")</f>
        <v/>
      </c>
      <c r="M148">
        <f>IF(J148="","",IFERROR(VALUE(SUBSTITUTE(SUBSTITUTE(IF(E148="","",E148)&amp;"","$",""),",","")),0))</f>
        <v/>
      </c>
      <c r="N148" s="11">
        <f>IF(J148="","",IFERROR(VALUE(SUBSTITUTE(SUBSTITUTE(IF(F148="","",F148)&amp;"","$",""),",","")),0))</f>
        <v/>
      </c>
      <c r="O148" s="11">
        <f>IF(J148="","",M148*N148)</f>
        <v/>
      </c>
      <c r="P148">
        <f>IF(J148="","",IF(L148="",1,COUNTIF($L$2:$L$1501,L148)))</f>
        <v/>
      </c>
      <c r="Q148" s="11">
        <f>IF(J148="","",IFERROR(VALUE(SUBSTITUTE(SUBSTITUTE(IF(G148="","",G148)&amp;"","$",""),",","")),0)/IF("No"="Yes",P148,1))</f>
        <v/>
      </c>
      <c r="R148" s="11">
        <f>IF(J148="","",IFERROR(VALUE(SUBSTITUTE(SUBSTITUTE(IF(H148="","",H148)&amp;"","$",""),",","")),0)/IF("No"="Yes",P148,1))</f>
        <v/>
      </c>
      <c r="S148" s="11">
        <f>IF(J148="","",O148+Q148-R148)</f>
        <v/>
      </c>
      <c r="T148">
        <f>IF(J148="","",IFERROR(IF(K148="",NA(),MATCH(K148,Products!$B$5:$B$204,0)),IFERROR(MATCH(J148,Products!$A$5:$A$204,0),"")))</f>
        <v/>
      </c>
      <c r="U148">
        <f>IF(J148="","",IF(T148="","⚠ not in Products",INDEX(Products!$A$5:$A$204,T148)))</f>
        <v/>
      </c>
      <c r="V148" s="11">
        <f>IF(J148="","",S148*(IFERROR(INDEX(Settings!$B$5:$B$9,MATCH($B148,Settings!$A$5:$A$9,0)),0)+IFERROR(INDEX(Settings!$E$5:$E$9,MATCH($B148,Settings!$A$5:$A$9,0)),0)+IFERROR(INDEX(Settings!$G$5:$G$9,MATCH($B148,Settings!$A$5:$A$9,0)),0))+(IFERROR(INDEX(Settings!$C$5:$C$9,MATCH($B148,Settings!$A$5:$A$9,0)),0)+IFERROR(INDEX(Settings!$F$5:$F$9,MATCH($B148,Settings!$A$5:$A$9,0)),0))/P148+IFERROR(INDEX(Settings!$D$5:$D$9,MATCH($B148,Settings!$A$5:$A$9,0)),0)*M148)</f>
        <v/>
      </c>
      <c r="W148" s="11">
        <f>IF(J148="","",IF(T148="",0,M148*INDEX(Products!$I$5:$I$204,T148)))</f>
        <v/>
      </c>
      <c r="X148" s="11">
        <f>IF(J148="","",IF(T148="",0,S148*INDEX(Products!$H$5:$H$204,T148)))</f>
        <v/>
      </c>
      <c r="Y148" s="11">
        <f>IF(J148="","",S148-V148-W148-X148)</f>
        <v/>
      </c>
    </row>
    <row r="149">
      <c r="A149" s="19" t="n"/>
      <c r="B149" s="19" t="n"/>
      <c r="C149" s="19" t="n"/>
      <c r="D149" s="19" t="n"/>
      <c r="E149" s="19" t="n"/>
      <c r="F149" s="20" t="n"/>
      <c r="G149" s="20" t="n"/>
      <c r="H149" s="20" t="n"/>
      <c r="I149" s="19" t="n"/>
      <c r="J149">
        <f>IFERROR(IF(C149="","",C149)&amp;"","")</f>
        <v/>
      </c>
      <c r="K149">
        <f>IFERROR(IF(D149="","",D149)&amp;"","")</f>
        <v/>
      </c>
      <c r="L149">
        <f>IFERROR(IF(I149="","",I149)&amp;"","")</f>
        <v/>
      </c>
      <c r="M149">
        <f>IF(J149="","",IFERROR(VALUE(SUBSTITUTE(SUBSTITUTE(IF(E149="","",E149)&amp;"","$",""),",","")),0))</f>
        <v/>
      </c>
      <c r="N149" s="11">
        <f>IF(J149="","",IFERROR(VALUE(SUBSTITUTE(SUBSTITUTE(IF(F149="","",F149)&amp;"","$",""),",","")),0))</f>
        <v/>
      </c>
      <c r="O149" s="11">
        <f>IF(J149="","",M149*N149)</f>
        <v/>
      </c>
      <c r="P149">
        <f>IF(J149="","",IF(L149="",1,COUNTIF($L$2:$L$1501,L149)))</f>
        <v/>
      </c>
      <c r="Q149" s="11">
        <f>IF(J149="","",IFERROR(VALUE(SUBSTITUTE(SUBSTITUTE(IF(G149="","",G149)&amp;"","$",""),",","")),0)/IF("No"="Yes",P149,1))</f>
        <v/>
      </c>
      <c r="R149" s="11">
        <f>IF(J149="","",IFERROR(VALUE(SUBSTITUTE(SUBSTITUTE(IF(H149="","",H149)&amp;"","$",""),",","")),0)/IF("No"="Yes",P149,1))</f>
        <v/>
      </c>
      <c r="S149" s="11">
        <f>IF(J149="","",O149+Q149-R149)</f>
        <v/>
      </c>
      <c r="T149">
        <f>IF(J149="","",IFERROR(IF(K149="",NA(),MATCH(K149,Products!$B$5:$B$204,0)),IFERROR(MATCH(J149,Products!$A$5:$A$204,0),"")))</f>
        <v/>
      </c>
      <c r="U149">
        <f>IF(J149="","",IF(T149="","⚠ not in Products",INDEX(Products!$A$5:$A$204,T149)))</f>
        <v/>
      </c>
      <c r="V149" s="11">
        <f>IF(J149="","",S149*(IFERROR(INDEX(Settings!$B$5:$B$9,MATCH($B149,Settings!$A$5:$A$9,0)),0)+IFERROR(INDEX(Settings!$E$5:$E$9,MATCH($B149,Settings!$A$5:$A$9,0)),0)+IFERROR(INDEX(Settings!$G$5:$G$9,MATCH($B149,Settings!$A$5:$A$9,0)),0))+(IFERROR(INDEX(Settings!$C$5:$C$9,MATCH($B149,Settings!$A$5:$A$9,0)),0)+IFERROR(INDEX(Settings!$F$5:$F$9,MATCH($B149,Settings!$A$5:$A$9,0)),0))/P149+IFERROR(INDEX(Settings!$D$5:$D$9,MATCH($B149,Settings!$A$5:$A$9,0)),0)*M149)</f>
        <v/>
      </c>
      <c r="W149" s="11">
        <f>IF(J149="","",IF(T149="",0,M149*INDEX(Products!$I$5:$I$204,T149)))</f>
        <v/>
      </c>
      <c r="X149" s="11">
        <f>IF(J149="","",IF(T149="",0,S149*INDEX(Products!$H$5:$H$204,T149)))</f>
        <v/>
      </c>
      <c r="Y149" s="11">
        <f>IF(J149="","",S149-V149-W149-X149)</f>
        <v/>
      </c>
    </row>
    <row r="150">
      <c r="A150" s="19" t="n"/>
      <c r="B150" s="19" t="n"/>
      <c r="C150" s="19" t="n"/>
      <c r="D150" s="19" t="n"/>
      <c r="E150" s="19" t="n"/>
      <c r="F150" s="20" t="n"/>
      <c r="G150" s="20" t="n"/>
      <c r="H150" s="20" t="n"/>
      <c r="I150" s="19" t="n"/>
      <c r="J150">
        <f>IFERROR(IF(C150="","",C150)&amp;"","")</f>
        <v/>
      </c>
      <c r="K150">
        <f>IFERROR(IF(D150="","",D150)&amp;"","")</f>
        <v/>
      </c>
      <c r="L150">
        <f>IFERROR(IF(I150="","",I150)&amp;"","")</f>
        <v/>
      </c>
      <c r="M150">
        <f>IF(J150="","",IFERROR(VALUE(SUBSTITUTE(SUBSTITUTE(IF(E150="","",E150)&amp;"","$",""),",","")),0))</f>
        <v/>
      </c>
      <c r="N150" s="11">
        <f>IF(J150="","",IFERROR(VALUE(SUBSTITUTE(SUBSTITUTE(IF(F150="","",F150)&amp;"","$",""),",","")),0))</f>
        <v/>
      </c>
      <c r="O150" s="11">
        <f>IF(J150="","",M150*N150)</f>
        <v/>
      </c>
      <c r="P150">
        <f>IF(J150="","",IF(L150="",1,COUNTIF($L$2:$L$1501,L150)))</f>
        <v/>
      </c>
      <c r="Q150" s="11">
        <f>IF(J150="","",IFERROR(VALUE(SUBSTITUTE(SUBSTITUTE(IF(G150="","",G150)&amp;"","$",""),",","")),0)/IF("No"="Yes",P150,1))</f>
        <v/>
      </c>
      <c r="R150" s="11">
        <f>IF(J150="","",IFERROR(VALUE(SUBSTITUTE(SUBSTITUTE(IF(H150="","",H150)&amp;"","$",""),",","")),0)/IF("No"="Yes",P150,1))</f>
        <v/>
      </c>
      <c r="S150" s="11">
        <f>IF(J150="","",O150+Q150-R150)</f>
        <v/>
      </c>
      <c r="T150">
        <f>IF(J150="","",IFERROR(IF(K150="",NA(),MATCH(K150,Products!$B$5:$B$204,0)),IFERROR(MATCH(J150,Products!$A$5:$A$204,0),"")))</f>
        <v/>
      </c>
      <c r="U150">
        <f>IF(J150="","",IF(T150="","⚠ not in Products",INDEX(Products!$A$5:$A$204,T150)))</f>
        <v/>
      </c>
      <c r="V150" s="11">
        <f>IF(J150="","",S150*(IFERROR(INDEX(Settings!$B$5:$B$9,MATCH($B150,Settings!$A$5:$A$9,0)),0)+IFERROR(INDEX(Settings!$E$5:$E$9,MATCH($B150,Settings!$A$5:$A$9,0)),0)+IFERROR(INDEX(Settings!$G$5:$G$9,MATCH($B150,Settings!$A$5:$A$9,0)),0))+(IFERROR(INDEX(Settings!$C$5:$C$9,MATCH($B150,Settings!$A$5:$A$9,0)),0)+IFERROR(INDEX(Settings!$F$5:$F$9,MATCH($B150,Settings!$A$5:$A$9,0)),0))/P150+IFERROR(INDEX(Settings!$D$5:$D$9,MATCH($B150,Settings!$A$5:$A$9,0)),0)*M150)</f>
        <v/>
      </c>
      <c r="W150" s="11">
        <f>IF(J150="","",IF(T150="",0,M150*INDEX(Products!$I$5:$I$204,T150)))</f>
        <v/>
      </c>
      <c r="X150" s="11">
        <f>IF(J150="","",IF(T150="",0,S150*INDEX(Products!$H$5:$H$204,T150)))</f>
        <v/>
      </c>
      <c r="Y150" s="11">
        <f>IF(J150="","",S150-V150-W150-X150)</f>
        <v/>
      </c>
    </row>
    <row r="151">
      <c r="A151" s="19" t="n"/>
      <c r="B151" s="19" t="n"/>
      <c r="C151" s="19" t="n"/>
      <c r="D151" s="19" t="n"/>
      <c r="E151" s="19" t="n"/>
      <c r="F151" s="20" t="n"/>
      <c r="G151" s="20" t="n"/>
      <c r="H151" s="20" t="n"/>
      <c r="I151" s="19" t="n"/>
      <c r="J151">
        <f>IFERROR(IF(C151="","",C151)&amp;"","")</f>
        <v/>
      </c>
      <c r="K151">
        <f>IFERROR(IF(D151="","",D151)&amp;"","")</f>
        <v/>
      </c>
      <c r="L151">
        <f>IFERROR(IF(I151="","",I151)&amp;"","")</f>
        <v/>
      </c>
      <c r="M151">
        <f>IF(J151="","",IFERROR(VALUE(SUBSTITUTE(SUBSTITUTE(IF(E151="","",E151)&amp;"","$",""),",","")),0))</f>
        <v/>
      </c>
      <c r="N151" s="11">
        <f>IF(J151="","",IFERROR(VALUE(SUBSTITUTE(SUBSTITUTE(IF(F151="","",F151)&amp;"","$",""),",","")),0))</f>
        <v/>
      </c>
      <c r="O151" s="11">
        <f>IF(J151="","",M151*N151)</f>
        <v/>
      </c>
      <c r="P151">
        <f>IF(J151="","",IF(L151="",1,COUNTIF($L$2:$L$1501,L151)))</f>
        <v/>
      </c>
      <c r="Q151" s="11">
        <f>IF(J151="","",IFERROR(VALUE(SUBSTITUTE(SUBSTITUTE(IF(G151="","",G151)&amp;"","$",""),",","")),0)/IF("No"="Yes",P151,1))</f>
        <v/>
      </c>
      <c r="R151" s="11">
        <f>IF(J151="","",IFERROR(VALUE(SUBSTITUTE(SUBSTITUTE(IF(H151="","",H151)&amp;"","$",""),",","")),0)/IF("No"="Yes",P151,1))</f>
        <v/>
      </c>
      <c r="S151" s="11">
        <f>IF(J151="","",O151+Q151-R151)</f>
        <v/>
      </c>
      <c r="T151">
        <f>IF(J151="","",IFERROR(IF(K151="",NA(),MATCH(K151,Products!$B$5:$B$204,0)),IFERROR(MATCH(J151,Products!$A$5:$A$204,0),"")))</f>
        <v/>
      </c>
      <c r="U151">
        <f>IF(J151="","",IF(T151="","⚠ not in Products",INDEX(Products!$A$5:$A$204,T151)))</f>
        <v/>
      </c>
      <c r="V151" s="11">
        <f>IF(J151="","",S151*(IFERROR(INDEX(Settings!$B$5:$B$9,MATCH($B151,Settings!$A$5:$A$9,0)),0)+IFERROR(INDEX(Settings!$E$5:$E$9,MATCH($B151,Settings!$A$5:$A$9,0)),0)+IFERROR(INDEX(Settings!$G$5:$G$9,MATCH($B151,Settings!$A$5:$A$9,0)),0))+(IFERROR(INDEX(Settings!$C$5:$C$9,MATCH($B151,Settings!$A$5:$A$9,0)),0)+IFERROR(INDEX(Settings!$F$5:$F$9,MATCH($B151,Settings!$A$5:$A$9,0)),0))/P151+IFERROR(INDEX(Settings!$D$5:$D$9,MATCH($B151,Settings!$A$5:$A$9,0)),0)*M151)</f>
        <v/>
      </c>
      <c r="W151" s="11">
        <f>IF(J151="","",IF(T151="",0,M151*INDEX(Products!$I$5:$I$204,T151)))</f>
        <v/>
      </c>
      <c r="X151" s="11">
        <f>IF(J151="","",IF(T151="",0,S151*INDEX(Products!$H$5:$H$204,T151)))</f>
        <v/>
      </c>
      <c r="Y151" s="11">
        <f>IF(J151="","",S151-V151-W151-X151)</f>
        <v/>
      </c>
    </row>
    <row r="152">
      <c r="A152" s="19" t="n"/>
      <c r="B152" s="19" t="n"/>
      <c r="C152" s="19" t="n"/>
      <c r="D152" s="19" t="n"/>
      <c r="E152" s="19" t="n"/>
      <c r="F152" s="20" t="n"/>
      <c r="G152" s="20" t="n"/>
      <c r="H152" s="20" t="n"/>
      <c r="I152" s="19" t="n"/>
      <c r="J152">
        <f>IFERROR(IF(C152="","",C152)&amp;"","")</f>
        <v/>
      </c>
      <c r="K152">
        <f>IFERROR(IF(D152="","",D152)&amp;"","")</f>
        <v/>
      </c>
      <c r="L152">
        <f>IFERROR(IF(I152="","",I152)&amp;"","")</f>
        <v/>
      </c>
      <c r="M152">
        <f>IF(J152="","",IFERROR(VALUE(SUBSTITUTE(SUBSTITUTE(IF(E152="","",E152)&amp;"","$",""),",","")),0))</f>
        <v/>
      </c>
      <c r="N152" s="11">
        <f>IF(J152="","",IFERROR(VALUE(SUBSTITUTE(SUBSTITUTE(IF(F152="","",F152)&amp;"","$",""),",","")),0))</f>
        <v/>
      </c>
      <c r="O152" s="11">
        <f>IF(J152="","",M152*N152)</f>
        <v/>
      </c>
      <c r="P152">
        <f>IF(J152="","",IF(L152="",1,COUNTIF($L$2:$L$1501,L152)))</f>
        <v/>
      </c>
      <c r="Q152" s="11">
        <f>IF(J152="","",IFERROR(VALUE(SUBSTITUTE(SUBSTITUTE(IF(G152="","",G152)&amp;"","$",""),",","")),0)/IF("No"="Yes",P152,1))</f>
        <v/>
      </c>
      <c r="R152" s="11">
        <f>IF(J152="","",IFERROR(VALUE(SUBSTITUTE(SUBSTITUTE(IF(H152="","",H152)&amp;"","$",""),",","")),0)/IF("No"="Yes",P152,1))</f>
        <v/>
      </c>
      <c r="S152" s="11">
        <f>IF(J152="","",O152+Q152-R152)</f>
        <v/>
      </c>
      <c r="T152">
        <f>IF(J152="","",IFERROR(IF(K152="",NA(),MATCH(K152,Products!$B$5:$B$204,0)),IFERROR(MATCH(J152,Products!$A$5:$A$204,0),"")))</f>
        <v/>
      </c>
      <c r="U152">
        <f>IF(J152="","",IF(T152="","⚠ not in Products",INDEX(Products!$A$5:$A$204,T152)))</f>
        <v/>
      </c>
      <c r="V152" s="11">
        <f>IF(J152="","",S152*(IFERROR(INDEX(Settings!$B$5:$B$9,MATCH($B152,Settings!$A$5:$A$9,0)),0)+IFERROR(INDEX(Settings!$E$5:$E$9,MATCH($B152,Settings!$A$5:$A$9,0)),0)+IFERROR(INDEX(Settings!$G$5:$G$9,MATCH($B152,Settings!$A$5:$A$9,0)),0))+(IFERROR(INDEX(Settings!$C$5:$C$9,MATCH($B152,Settings!$A$5:$A$9,0)),0)+IFERROR(INDEX(Settings!$F$5:$F$9,MATCH($B152,Settings!$A$5:$A$9,0)),0))/P152+IFERROR(INDEX(Settings!$D$5:$D$9,MATCH($B152,Settings!$A$5:$A$9,0)),0)*M152)</f>
        <v/>
      </c>
      <c r="W152" s="11">
        <f>IF(J152="","",IF(T152="",0,M152*INDEX(Products!$I$5:$I$204,T152)))</f>
        <v/>
      </c>
      <c r="X152" s="11">
        <f>IF(J152="","",IF(T152="",0,S152*INDEX(Products!$H$5:$H$204,T152)))</f>
        <v/>
      </c>
      <c r="Y152" s="11">
        <f>IF(J152="","",S152-V152-W152-X152)</f>
        <v/>
      </c>
    </row>
    <row r="153">
      <c r="A153" s="19" t="n"/>
      <c r="B153" s="19" t="n"/>
      <c r="C153" s="19" t="n"/>
      <c r="D153" s="19" t="n"/>
      <c r="E153" s="19" t="n"/>
      <c r="F153" s="20" t="n"/>
      <c r="G153" s="20" t="n"/>
      <c r="H153" s="20" t="n"/>
      <c r="I153" s="19" t="n"/>
      <c r="J153">
        <f>IFERROR(IF(C153="","",C153)&amp;"","")</f>
        <v/>
      </c>
      <c r="K153">
        <f>IFERROR(IF(D153="","",D153)&amp;"","")</f>
        <v/>
      </c>
      <c r="L153">
        <f>IFERROR(IF(I153="","",I153)&amp;"","")</f>
        <v/>
      </c>
      <c r="M153">
        <f>IF(J153="","",IFERROR(VALUE(SUBSTITUTE(SUBSTITUTE(IF(E153="","",E153)&amp;"","$",""),",","")),0))</f>
        <v/>
      </c>
      <c r="N153" s="11">
        <f>IF(J153="","",IFERROR(VALUE(SUBSTITUTE(SUBSTITUTE(IF(F153="","",F153)&amp;"","$",""),",","")),0))</f>
        <v/>
      </c>
      <c r="O153" s="11">
        <f>IF(J153="","",M153*N153)</f>
        <v/>
      </c>
      <c r="P153">
        <f>IF(J153="","",IF(L153="",1,COUNTIF($L$2:$L$1501,L153)))</f>
        <v/>
      </c>
      <c r="Q153" s="11">
        <f>IF(J153="","",IFERROR(VALUE(SUBSTITUTE(SUBSTITUTE(IF(G153="","",G153)&amp;"","$",""),",","")),0)/IF("No"="Yes",P153,1))</f>
        <v/>
      </c>
      <c r="R153" s="11">
        <f>IF(J153="","",IFERROR(VALUE(SUBSTITUTE(SUBSTITUTE(IF(H153="","",H153)&amp;"","$",""),",","")),0)/IF("No"="Yes",P153,1))</f>
        <v/>
      </c>
      <c r="S153" s="11">
        <f>IF(J153="","",O153+Q153-R153)</f>
        <v/>
      </c>
      <c r="T153">
        <f>IF(J153="","",IFERROR(IF(K153="",NA(),MATCH(K153,Products!$B$5:$B$204,0)),IFERROR(MATCH(J153,Products!$A$5:$A$204,0),"")))</f>
        <v/>
      </c>
      <c r="U153">
        <f>IF(J153="","",IF(T153="","⚠ not in Products",INDEX(Products!$A$5:$A$204,T153)))</f>
        <v/>
      </c>
      <c r="V153" s="11">
        <f>IF(J153="","",S153*(IFERROR(INDEX(Settings!$B$5:$B$9,MATCH($B153,Settings!$A$5:$A$9,0)),0)+IFERROR(INDEX(Settings!$E$5:$E$9,MATCH($B153,Settings!$A$5:$A$9,0)),0)+IFERROR(INDEX(Settings!$G$5:$G$9,MATCH($B153,Settings!$A$5:$A$9,0)),0))+(IFERROR(INDEX(Settings!$C$5:$C$9,MATCH($B153,Settings!$A$5:$A$9,0)),0)+IFERROR(INDEX(Settings!$F$5:$F$9,MATCH($B153,Settings!$A$5:$A$9,0)),0))/P153+IFERROR(INDEX(Settings!$D$5:$D$9,MATCH($B153,Settings!$A$5:$A$9,0)),0)*M153)</f>
        <v/>
      </c>
      <c r="W153" s="11">
        <f>IF(J153="","",IF(T153="",0,M153*INDEX(Products!$I$5:$I$204,T153)))</f>
        <v/>
      </c>
      <c r="X153" s="11">
        <f>IF(J153="","",IF(T153="",0,S153*INDEX(Products!$H$5:$H$204,T153)))</f>
        <v/>
      </c>
      <c r="Y153" s="11">
        <f>IF(J153="","",S153-V153-W153-X153)</f>
        <v/>
      </c>
    </row>
    <row r="154">
      <c r="A154" s="19" t="n"/>
      <c r="B154" s="19" t="n"/>
      <c r="C154" s="19" t="n"/>
      <c r="D154" s="19" t="n"/>
      <c r="E154" s="19" t="n"/>
      <c r="F154" s="20" t="n"/>
      <c r="G154" s="20" t="n"/>
      <c r="H154" s="20" t="n"/>
      <c r="I154" s="19" t="n"/>
      <c r="J154">
        <f>IFERROR(IF(C154="","",C154)&amp;"","")</f>
        <v/>
      </c>
      <c r="K154">
        <f>IFERROR(IF(D154="","",D154)&amp;"","")</f>
        <v/>
      </c>
      <c r="L154">
        <f>IFERROR(IF(I154="","",I154)&amp;"","")</f>
        <v/>
      </c>
      <c r="M154">
        <f>IF(J154="","",IFERROR(VALUE(SUBSTITUTE(SUBSTITUTE(IF(E154="","",E154)&amp;"","$",""),",","")),0))</f>
        <v/>
      </c>
      <c r="N154" s="11">
        <f>IF(J154="","",IFERROR(VALUE(SUBSTITUTE(SUBSTITUTE(IF(F154="","",F154)&amp;"","$",""),",","")),0))</f>
        <v/>
      </c>
      <c r="O154" s="11">
        <f>IF(J154="","",M154*N154)</f>
        <v/>
      </c>
      <c r="P154">
        <f>IF(J154="","",IF(L154="",1,COUNTIF($L$2:$L$1501,L154)))</f>
        <v/>
      </c>
      <c r="Q154" s="11">
        <f>IF(J154="","",IFERROR(VALUE(SUBSTITUTE(SUBSTITUTE(IF(G154="","",G154)&amp;"","$",""),",","")),0)/IF("No"="Yes",P154,1))</f>
        <v/>
      </c>
      <c r="R154" s="11">
        <f>IF(J154="","",IFERROR(VALUE(SUBSTITUTE(SUBSTITUTE(IF(H154="","",H154)&amp;"","$",""),",","")),0)/IF("No"="Yes",P154,1))</f>
        <v/>
      </c>
      <c r="S154" s="11">
        <f>IF(J154="","",O154+Q154-R154)</f>
        <v/>
      </c>
      <c r="T154">
        <f>IF(J154="","",IFERROR(IF(K154="",NA(),MATCH(K154,Products!$B$5:$B$204,0)),IFERROR(MATCH(J154,Products!$A$5:$A$204,0),"")))</f>
        <v/>
      </c>
      <c r="U154">
        <f>IF(J154="","",IF(T154="","⚠ not in Products",INDEX(Products!$A$5:$A$204,T154)))</f>
        <v/>
      </c>
      <c r="V154" s="11">
        <f>IF(J154="","",S154*(IFERROR(INDEX(Settings!$B$5:$B$9,MATCH($B154,Settings!$A$5:$A$9,0)),0)+IFERROR(INDEX(Settings!$E$5:$E$9,MATCH($B154,Settings!$A$5:$A$9,0)),0)+IFERROR(INDEX(Settings!$G$5:$G$9,MATCH($B154,Settings!$A$5:$A$9,0)),0))+(IFERROR(INDEX(Settings!$C$5:$C$9,MATCH($B154,Settings!$A$5:$A$9,0)),0)+IFERROR(INDEX(Settings!$F$5:$F$9,MATCH($B154,Settings!$A$5:$A$9,0)),0))/P154+IFERROR(INDEX(Settings!$D$5:$D$9,MATCH($B154,Settings!$A$5:$A$9,0)),0)*M154)</f>
        <v/>
      </c>
      <c r="W154" s="11">
        <f>IF(J154="","",IF(T154="",0,M154*INDEX(Products!$I$5:$I$204,T154)))</f>
        <v/>
      </c>
      <c r="X154" s="11">
        <f>IF(J154="","",IF(T154="",0,S154*INDEX(Products!$H$5:$H$204,T154)))</f>
        <v/>
      </c>
      <c r="Y154" s="11">
        <f>IF(J154="","",S154-V154-W154-X154)</f>
        <v/>
      </c>
    </row>
    <row r="155">
      <c r="A155" s="19" t="n"/>
      <c r="B155" s="19" t="n"/>
      <c r="C155" s="19" t="n"/>
      <c r="D155" s="19" t="n"/>
      <c r="E155" s="19" t="n"/>
      <c r="F155" s="20" t="n"/>
      <c r="G155" s="20" t="n"/>
      <c r="H155" s="20" t="n"/>
      <c r="I155" s="19" t="n"/>
      <c r="J155">
        <f>IFERROR(IF(C155="","",C155)&amp;"","")</f>
        <v/>
      </c>
      <c r="K155">
        <f>IFERROR(IF(D155="","",D155)&amp;"","")</f>
        <v/>
      </c>
      <c r="L155">
        <f>IFERROR(IF(I155="","",I155)&amp;"","")</f>
        <v/>
      </c>
      <c r="M155">
        <f>IF(J155="","",IFERROR(VALUE(SUBSTITUTE(SUBSTITUTE(IF(E155="","",E155)&amp;"","$",""),",","")),0))</f>
        <v/>
      </c>
      <c r="N155" s="11">
        <f>IF(J155="","",IFERROR(VALUE(SUBSTITUTE(SUBSTITUTE(IF(F155="","",F155)&amp;"","$",""),",","")),0))</f>
        <v/>
      </c>
      <c r="O155" s="11">
        <f>IF(J155="","",M155*N155)</f>
        <v/>
      </c>
      <c r="P155">
        <f>IF(J155="","",IF(L155="",1,COUNTIF($L$2:$L$1501,L155)))</f>
        <v/>
      </c>
      <c r="Q155" s="11">
        <f>IF(J155="","",IFERROR(VALUE(SUBSTITUTE(SUBSTITUTE(IF(G155="","",G155)&amp;"","$",""),",","")),0)/IF("No"="Yes",P155,1))</f>
        <v/>
      </c>
      <c r="R155" s="11">
        <f>IF(J155="","",IFERROR(VALUE(SUBSTITUTE(SUBSTITUTE(IF(H155="","",H155)&amp;"","$",""),",","")),0)/IF("No"="Yes",P155,1))</f>
        <v/>
      </c>
      <c r="S155" s="11">
        <f>IF(J155="","",O155+Q155-R155)</f>
        <v/>
      </c>
      <c r="T155">
        <f>IF(J155="","",IFERROR(IF(K155="",NA(),MATCH(K155,Products!$B$5:$B$204,0)),IFERROR(MATCH(J155,Products!$A$5:$A$204,0),"")))</f>
        <v/>
      </c>
      <c r="U155">
        <f>IF(J155="","",IF(T155="","⚠ not in Products",INDEX(Products!$A$5:$A$204,T155)))</f>
        <v/>
      </c>
      <c r="V155" s="11">
        <f>IF(J155="","",S155*(IFERROR(INDEX(Settings!$B$5:$B$9,MATCH($B155,Settings!$A$5:$A$9,0)),0)+IFERROR(INDEX(Settings!$E$5:$E$9,MATCH($B155,Settings!$A$5:$A$9,0)),0)+IFERROR(INDEX(Settings!$G$5:$G$9,MATCH($B155,Settings!$A$5:$A$9,0)),0))+(IFERROR(INDEX(Settings!$C$5:$C$9,MATCH($B155,Settings!$A$5:$A$9,0)),0)+IFERROR(INDEX(Settings!$F$5:$F$9,MATCH($B155,Settings!$A$5:$A$9,0)),0))/P155+IFERROR(INDEX(Settings!$D$5:$D$9,MATCH($B155,Settings!$A$5:$A$9,0)),0)*M155)</f>
        <v/>
      </c>
      <c r="W155" s="11">
        <f>IF(J155="","",IF(T155="",0,M155*INDEX(Products!$I$5:$I$204,T155)))</f>
        <v/>
      </c>
      <c r="X155" s="11">
        <f>IF(J155="","",IF(T155="",0,S155*INDEX(Products!$H$5:$H$204,T155)))</f>
        <v/>
      </c>
      <c r="Y155" s="11">
        <f>IF(J155="","",S155-V155-W155-X155)</f>
        <v/>
      </c>
    </row>
    <row r="156">
      <c r="A156" s="19" t="n"/>
      <c r="B156" s="19" t="n"/>
      <c r="C156" s="19" t="n"/>
      <c r="D156" s="19" t="n"/>
      <c r="E156" s="19" t="n"/>
      <c r="F156" s="20" t="n"/>
      <c r="G156" s="20" t="n"/>
      <c r="H156" s="20" t="n"/>
      <c r="I156" s="19" t="n"/>
      <c r="J156">
        <f>IFERROR(IF(C156="","",C156)&amp;"","")</f>
        <v/>
      </c>
      <c r="K156">
        <f>IFERROR(IF(D156="","",D156)&amp;"","")</f>
        <v/>
      </c>
      <c r="L156">
        <f>IFERROR(IF(I156="","",I156)&amp;"","")</f>
        <v/>
      </c>
      <c r="M156">
        <f>IF(J156="","",IFERROR(VALUE(SUBSTITUTE(SUBSTITUTE(IF(E156="","",E156)&amp;"","$",""),",","")),0))</f>
        <v/>
      </c>
      <c r="N156" s="11">
        <f>IF(J156="","",IFERROR(VALUE(SUBSTITUTE(SUBSTITUTE(IF(F156="","",F156)&amp;"","$",""),",","")),0))</f>
        <v/>
      </c>
      <c r="O156" s="11">
        <f>IF(J156="","",M156*N156)</f>
        <v/>
      </c>
      <c r="P156">
        <f>IF(J156="","",IF(L156="",1,COUNTIF($L$2:$L$1501,L156)))</f>
        <v/>
      </c>
      <c r="Q156" s="11">
        <f>IF(J156="","",IFERROR(VALUE(SUBSTITUTE(SUBSTITUTE(IF(G156="","",G156)&amp;"","$",""),",","")),0)/IF("No"="Yes",P156,1))</f>
        <v/>
      </c>
      <c r="R156" s="11">
        <f>IF(J156="","",IFERROR(VALUE(SUBSTITUTE(SUBSTITUTE(IF(H156="","",H156)&amp;"","$",""),",","")),0)/IF("No"="Yes",P156,1))</f>
        <v/>
      </c>
      <c r="S156" s="11">
        <f>IF(J156="","",O156+Q156-R156)</f>
        <v/>
      </c>
      <c r="T156">
        <f>IF(J156="","",IFERROR(IF(K156="",NA(),MATCH(K156,Products!$B$5:$B$204,0)),IFERROR(MATCH(J156,Products!$A$5:$A$204,0),"")))</f>
        <v/>
      </c>
      <c r="U156">
        <f>IF(J156="","",IF(T156="","⚠ not in Products",INDEX(Products!$A$5:$A$204,T156)))</f>
        <v/>
      </c>
      <c r="V156" s="11">
        <f>IF(J156="","",S156*(IFERROR(INDEX(Settings!$B$5:$B$9,MATCH($B156,Settings!$A$5:$A$9,0)),0)+IFERROR(INDEX(Settings!$E$5:$E$9,MATCH($B156,Settings!$A$5:$A$9,0)),0)+IFERROR(INDEX(Settings!$G$5:$G$9,MATCH($B156,Settings!$A$5:$A$9,0)),0))+(IFERROR(INDEX(Settings!$C$5:$C$9,MATCH($B156,Settings!$A$5:$A$9,0)),0)+IFERROR(INDEX(Settings!$F$5:$F$9,MATCH($B156,Settings!$A$5:$A$9,0)),0))/P156+IFERROR(INDEX(Settings!$D$5:$D$9,MATCH($B156,Settings!$A$5:$A$9,0)),0)*M156)</f>
        <v/>
      </c>
      <c r="W156" s="11">
        <f>IF(J156="","",IF(T156="",0,M156*INDEX(Products!$I$5:$I$204,T156)))</f>
        <v/>
      </c>
      <c r="X156" s="11">
        <f>IF(J156="","",IF(T156="",0,S156*INDEX(Products!$H$5:$H$204,T156)))</f>
        <v/>
      </c>
      <c r="Y156" s="11">
        <f>IF(J156="","",S156-V156-W156-X156)</f>
        <v/>
      </c>
    </row>
    <row r="157">
      <c r="A157" s="19" t="n"/>
      <c r="B157" s="19" t="n"/>
      <c r="C157" s="19" t="n"/>
      <c r="D157" s="19" t="n"/>
      <c r="E157" s="19" t="n"/>
      <c r="F157" s="20" t="n"/>
      <c r="G157" s="20" t="n"/>
      <c r="H157" s="20" t="n"/>
      <c r="I157" s="19" t="n"/>
      <c r="J157">
        <f>IFERROR(IF(C157="","",C157)&amp;"","")</f>
        <v/>
      </c>
      <c r="K157">
        <f>IFERROR(IF(D157="","",D157)&amp;"","")</f>
        <v/>
      </c>
      <c r="L157">
        <f>IFERROR(IF(I157="","",I157)&amp;"","")</f>
        <v/>
      </c>
      <c r="M157">
        <f>IF(J157="","",IFERROR(VALUE(SUBSTITUTE(SUBSTITUTE(IF(E157="","",E157)&amp;"","$",""),",","")),0))</f>
        <v/>
      </c>
      <c r="N157" s="11">
        <f>IF(J157="","",IFERROR(VALUE(SUBSTITUTE(SUBSTITUTE(IF(F157="","",F157)&amp;"","$",""),",","")),0))</f>
        <v/>
      </c>
      <c r="O157" s="11">
        <f>IF(J157="","",M157*N157)</f>
        <v/>
      </c>
      <c r="P157">
        <f>IF(J157="","",IF(L157="",1,COUNTIF($L$2:$L$1501,L157)))</f>
        <v/>
      </c>
      <c r="Q157" s="11">
        <f>IF(J157="","",IFERROR(VALUE(SUBSTITUTE(SUBSTITUTE(IF(G157="","",G157)&amp;"","$",""),",","")),0)/IF("No"="Yes",P157,1))</f>
        <v/>
      </c>
      <c r="R157" s="11">
        <f>IF(J157="","",IFERROR(VALUE(SUBSTITUTE(SUBSTITUTE(IF(H157="","",H157)&amp;"","$",""),",","")),0)/IF("No"="Yes",P157,1))</f>
        <v/>
      </c>
      <c r="S157" s="11">
        <f>IF(J157="","",O157+Q157-R157)</f>
        <v/>
      </c>
      <c r="T157">
        <f>IF(J157="","",IFERROR(IF(K157="",NA(),MATCH(K157,Products!$B$5:$B$204,0)),IFERROR(MATCH(J157,Products!$A$5:$A$204,0),"")))</f>
        <v/>
      </c>
      <c r="U157">
        <f>IF(J157="","",IF(T157="","⚠ not in Products",INDEX(Products!$A$5:$A$204,T157)))</f>
        <v/>
      </c>
      <c r="V157" s="11">
        <f>IF(J157="","",S157*(IFERROR(INDEX(Settings!$B$5:$B$9,MATCH($B157,Settings!$A$5:$A$9,0)),0)+IFERROR(INDEX(Settings!$E$5:$E$9,MATCH($B157,Settings!$A$5:$A$9,0)),0)+IFERROR(INDEX(Settings!$G$5:$G$9,MATCH($B157,Settings!$A$5:$A$9,0)),0))+(IFERROR(INDEX(Settings!$C$5:$C$9,MATCH($B157,Settings!$A$5:$A$9,0)),0)+IFERROR(INDEX(Settings!$F$5:$F$9,MATCH($B157,Settings!$A$5:$A$9,0)),0))/P157+IFERROR(INDEX(Settings!$D$5:$D$9,MATCH($B157,Settings!$A$5:$A$9,0)),0)*M157)</f>
        <v/>
      </c>
      <c r="W157" s="11">
        <f>IF(J157="","",IF(T157="",0,M157*INDEX(Products!$I$5:$I$204,T157)))</f>
        <v/>
      </c>
      <c r="X157" s="11">
        <f>IF(J157="","",IF(T157="",0,S157*INDEX(Products!$H$5:$H$204,T157)))</f>
        <v/>
      </c>
      <c r="Y157" s="11">
        <f>IF(J157="","",S157-V157-W157-X157)</f>
        <v/>
      </c>
    </row>
    <row r="158">
      <c r="A158" s="19" t="n"/>
      <c r="B158" s="19" t="n"/>
      <c r="C158" s="19" t="n"/>
      <c r="D158" s="19" t="n"/>
      <c r="E158" s="19" t="n"/>
      <c r="F158" s="20" t="n"/>
      <c r="G158" s="20" t="n"/>
      <c r="H158" s="20" t="n"/>
      <c r="I158" s="19" t="n"/>
      <c r="J158">
        <f>IFERROR(IF(C158="","",C158)&amp;"","")</f>
        <v/>
      </c>
      <c r="K158">
        <f>IFERROR(IF(D158="","",D158)&amp;"","")</f>
        <v/>
      </c>
      <c r="L158">
        <f>IFERROR(IF(I158="","",I158)&amp;"","")</f>
        <v/>
      </c>
      <c r="M158">
        <f>IF(J158="","",IFERROR(VALUE(SUBSTITUTE(SUBSTITUTE(IF(E158="","",E158)&amp;"","$",""),",","")),0))</f>
        <v/>
      </c>
      <c r="N158" s="11">
        <f>IF(J158="","",IFERROR(VALUE(SUBSTITUTE(SUBSTITUTE(IF(F158="","",F158)&amp;"","$",""),",","")),0))</f>
        <v/>
      </c>
      <c r="O158" s="11">
        <f>IF(J158="","",M158*N158)</f>
        <v/>
      </c>
      <c r="P158">
        <f>IF(J158="","",IF(L158="",1,COUNTIF($L$2:$L$1501,L158)))</f>
        <v/>
      </c>
      <c r="Q158" s="11">
        <f>IF(J158="","",IFERROR(VALUE(SUBSTITUTE(SUBSTITUTE(IF(G158="","",G158)&amp;"","$",""),",","")),0)/IF("No"="Yes",P158,1))</f>
        <v/>
      </c>
      <c r="R158" s="11">
        <f>IF(J158="","",IFERROR(VALUE(SUBSTITUTE(SUBSTITUTE(IF(H158="","",H158)&amp;"","$",""),",","")),0)/IF("No"="Yes",P158,1))</f>
        <v/>
      </c>
      <c r="S158" s="11">
        <f>IF(J158="","",O158+Q158-R158)</f>
        <v/>
      </c>
      <c r="T158">
        <f>IF(J158="","",IFERROR(IF(K158="",NA(),MATCH(K158,Products!$B$5:$B$204,0)),IFERROR(MATCH(J158,Products!$A$5:$A$204,0),"")))</f>
        <v/>
      </c>
      <c r="U158">
        <f>IF(J158="","",IF(T158="","⚠ not in Products",INDEX(Products!$A$5:$A$204,T158)))</f>
        <v/>
      </c>
      <c r="V158" s="11">
        <f>IF(J158="","",S158*(IFERROR(INDEX(Settings!$B$5:$B$9,MATCH($B158,Settings!$A$5:$A$9,0)),0)+IFERROR(INDEX(Settings!$E$5:$E$9,MATCH($B158,Settings!$A$5:$A$9,0)),0)+IFERROR(INDEX(Settings!$G$5:$G$9,MATCH($B158,Settings!$A$5:$A$9,0)),0))+(IFERROR(INDEX(Settings!$C$5:$C$9,MATCH($B158,Settings!$A$5:$A$9,0)),0)+IFERROR(INDEX(Settings!$F$5:$F$9,MATCH($B158,Settings!$A$5:$A$9,0)),0))/P158+IFERROR(INDEX(Settings!$D$5:$D$9,MATCH($B158,Settings!$A$5:$A$9,0)),0)*M158)</f>
        <v/>
      </c>
      <c r="W158" s="11">
        <f>IF(J158="","",IF(T158="",0,M158*INDEX(Products!$I$5:$I$204,T158)))</f>
        <v/>
      </c>
      <c r="X158" s="11">
        <f>IF(J158="","",IF(T158="",0,S158*INDEX(Products!$H$5:$H$204,T158)))</f>
        <v/>
      </c>
      <c r="Y158" s="11">
        <f>IF(J158="","",S158-V158-W158-X158)</f>
        <v/>
      </c>
    </row>
    <row r="159">
      <c r="A159" s="19" t="n"/>
      <c r="B159" s="19" t="n"/>
      <c r="C159" s="19" t="n"/>
      <c r="D159" s="19" t="n"/>
      <c r="E159" s="19" t="n"/>
      <c r="F159" s="20" t="n"/>
      <c r="G159" s="20" t="n"/>
      <c r="H159" s="20" t="n"/>
      <c r="I159" s="19" t="n"/>
      <c r="J159">
        <f>IFERROR(IF(C159="","",C159)&amp;"","")</f>
        <v/>
      </c>
      <c r="K159">
        <f>IFERROR(IF(D159="","",D159)&amp;"","")</f>
        <v/>
      </c>
      <c r="L159">
        <f>IFERROR(IF(I159="","",I159)&amp;"","")</f>
        <v/>
      </c>
      <c r="M159">
        <f>IF(J159="","",IFERROR(VALUE(SUBSTITUTE(SUBSTITUTE(IF(E159="","",E159)&amp;"","$",""),",","")),0))</f>
        <v/>
      </c>
      <c r="N159" s="11">
        <f>IF(J159="","",IFERROR(VALUE(SUBSTITUTE(SUBSTITUTE(IF(F159="","",F159)&amp;"","$",""),",","")),0))</f>
        <v/>
      </c>
      <c r="O159" s="11">
        <f>IF(J159="","",M159*N159)</f>
        <v/>
      </c>
      <c r="P159">
        <f>IF(J159="","",IF(L159="",1,COUNTIF($L$2:$L$1501,L159)))</f>
        <v/>
      </c>
      <c r="Q159" s="11">
        <f>IF(J159="","",IFERROR(VALUE(SUBSTITUTE(SUBSTITUTE(IF(G159="","",G159)&amp;"","$",""),",","")),0)/IF("No"="Yes",P159,1))</f>
        <v/>
      </c>
      <c r="R159" s="11">
        <f>IF(J159="","",IFERROR(VALUE(SUBSTITUTE(SUBSTITUTE(IF(H159="","",H159)&amp;"","$",""),",","")),0)/IF("No"="Yes",P159,1))</f>
        <v/>
      </c>
      <c r="S159" s="11">
        <f>IF(J159="","",O159+Q159-R159)</f>
        <v/>
      </c>
      <c r="T159">
        <f>IF(J159="","",IFERROR(IF(K159="",NA(),MATCH(K159,Products!$B$5:$B$204,0)),IFERROR(MATCH(J159,Products!$A$5:$A$204,0),"")))</f>
        <v/>
      </c>
      <c r="U159">
        <f>IF(J159="","",IF(T159="","⚠ not in Products",INDEX(Products!$A$5:$A$204,T159)))</f>
        <v/>
      </c>
      <c r="V159" s="11">
        <f>IF(J159="","",S159*(IFERROR(INDEX(Settings!$B$5:$B$9,MATCH($B159,Settings!$A$5:$A$9,0)),0)+IFERROR(INDEX(Settings!$E$5:$E$9,MATCH($B159,Settings!$A$5:$A$9,0)),0)+IFERROR(INDEX(Settings!$G$5:$G$9,MATCH($B159,Settings!$A$5:$A$9,0)),0))+(IFERROR(INDEX(Settings!$C$5:$C$9,MATCH($B159,Settings!$A$5:$A$9,0)),0)+IFERROR(INDEX(Settings!$F$5:$F$9,MATCH($B159,Settings!$A$5:$A$9,0)),0))/P159+IFERROR(INDEX(Settings!$D$5:$D$9,MATCH($B159,Settings!$A$5:$A$9,0)),0)*M159)</f>
        <v/>
      </c>
      <c r="W159" s="11">
        <f>IF(J159="","",IF(T159="",0,M159*INDEX(Products!$I$5:$I$204,T159)))</f>
        <v/>
      </c>
      <c r="X159" s="11">
        <f>IF(J159="","",IF(T159="",0,S159*INDEX(Products!$H$5:$H$204,T159)))</f>
        <v/>
      </c>
      <c r="Y159" s="11">
        <f>IF(J159="","",S159-V159-W159-X159)</f>
        <v/>
      </c>
    </row>
    <row r="160">
      <c r="A160" s="19" t="n"/>
      <c r="B160" s="19" t="n"/>
      <c r="C160" s="19" t="n"/>
      <c r="D160" s="19" t="n"/>
      <c r="E160" s="19" t="n"/>
      <c r="F160" s="20" t="n"/>
      <c r="G160" s="20" t="n"/>
      <c r="H160" s="20" t="n"/>
      <c r="I160" s="19" t="n"/>
      <c r="J160">
        <f>IFERROR(IF(C160="","",C160)&amp;"","")</f>
        <v/>
      </c>
      <c r="K160">
        <f>IFERROR(IF(D160="","",D160)&amp;"","")</f>
        <v/>
      </c>
      <c r="L160">
        <f>IFERROR(IF(I160="","",I160)&amp;"","")</f>
        <v/>
      </c>
      <c r="M160">
        <f>IF(J160="","",IFERROR(VALUE(SUBSTITUTE(SUBSTITUTE(IF(E160="","",E160)&amp;"","$",""),",","")),0))</f>
        <v/>
      </c>
      <c r="N160" s="11">
        <f>IF(J160="","",IFERROR(VALUE(SUBSTITUTE(SUBSTITUTE(IF(F160="","",F160)&amp;"","$",""),",","")),0))</f>
        <v/>
      </c>
      <c r="O160" s="11">
        <f>IF(J160="","",M160*N160)</f>
        <v/>
      </c>
      <c r="P160">
        <f>IF(J160="","",IF(L160="",1,COUNTIF($L$2:$L$1501,L160)))</f>
        <v/>
      </c>
      <c r="Q160" s="11">
        <f>IF(J160="","",IFERROR(VALUE(SUBSTITUTE(SUBSTITUTE(IF(G160="","",G160)&amp;"","$",""),",","")),0)/IF("No"="Yes",P160,1))</f>
        <v/>
      </c>
      <c r="R160" s="11">
        <f>IF(J160="","",IFERROR(VALUE(SUBSTITUTE(SUBSTITUTE(IF(H160="","",H160)&amp;"","$",""),",","")),0)/IF("No"="Yes",P160,1))</f>
        <v/>
      </c>
      <c r="S160" s="11">
        <f>IF(J160="","",O160+Q160-R160)</f>
        <v/>
      </c>
      <c r="T160">
        <f>IF(J160="","",IFERROR(IF(K160="",NA(),MATCH(K160,Products!$B$5:$B$204,0)),IFERROR(MATCH(J160,Products!$A$5:$A$204,0),"")))</f>
        <v/>
      </c>
      <c r="U160">
        <f>IF(J160="","",IF(T160="","⚠ not in Products",INDEX(Products!$A$5:$A$204,T160)))</f>
        <v/>
      </c>
      <c r="V160" s="11">
        <f>IF(J160="","",S160*(IFERROR(INDEX(Settings!$B$5:$B$9,MATCH($B160,Settings!$A$5:$A$9,0)),0)+IFERROR(INDEX(Settings!$E$5:$E$9,MATCH($B160,Settings!$A$5:$A$9,0)),0)+IFERROR(INDEX(Settings!$G$5:$G$9,MATCH($B160,Settings!$A$5:$A$9,0)),0))+(IFERROR(INDEX(Settings!$C$5:$C$9,MATCH($B160,Settings!$A$5:$A$9,0)),0)+IFERROR(INDEX(Settings!$F$5:$F$9,MATCH($B160,Settings!$A$5:$A$9,0)),0))/P160+IFERROR(INDEX(Settings!$D$5:$D$9,MATCH($B160,Settings!$A$5:$A$9,0)),0)*M160)</f>
        <v/>
      </c>
      <c r="W160" s="11">
        <f>IF(J160="","",IF(T160="",0,M160*INDEX(Products!$I$5:$I$204,T160)))</f>
        <v/>
      </c>
      <c r="X160" s="11">
        <f>IF(J160="","",IF(T160="",0,S160*INDEX(Products!$H$5:$H$204,T160)))</f>
        <v/>
      </c>
      <c r="Y160" s="11">
        <f>IF(J160="","",S160-V160-W160-X160)</f>
        <v/>
      </c>
    </row>
    <row r="161">
      <c r="A161" s="19" t="n"/>
      <c r="B161" s="19" t="n"/>
      <c r="C161" s="19" t="n"/>
      <c r="D161" s="19" t="n"/>
      <c r="E161" s="19" t="n"/>
      <c r="F161" s="20" t="n"/>
      <c r="G161" s="20" t="n"/>
      <c r="H161" s="20" t="n"/>
      <c r="I161" s="19" t="n"/>
      <c r="J161">
        <f>IFERROR(IF(C161="","",C161)&amp;"","")</f>
        <v/>
      </c>
      <c r="K161">
        <f>IFERROR(IF(D161="","",D161)&amp;"","")</f>
        <v/>
      </c>
      <c r="L161">
        <f>IFERROR(IF(I161="","",I161)&amp;"","")</f>
        <v/>
      </c>
      <c r="M161">
        <f>IF(J161="","",IFERROR(VALUE(SUBSTITUTE(SUBSTITUTE(IF(E161="","",E161)&amp;"","$",""),",","")),0))</f>
        <v/>
      </c>
      <c r="N161" s="11">
        <f>IF(J161="","",IFERROR(VALUE(SUBSTITUTE(SUBSTITUTE(IF(F161="","",F161)&amp;"","$",""),",","")),0))</f>
        <v/>
      </c>
      <c r="O161" s="11">
        <f>IF(J161="","",M161*N161)</f>
        <v/>
      </c>
      <c r="P161">
        <f>IF(J161="","",IF(L161="",1,COUNTIF($L$2:$L$1501,L161)))</f>
        <v/>
      </c>
      <c r="Q161" s="11">
        <f>IF(J161="","",IFERROR(VALUE(SUBSTITUTE(SUBSTITUTE(IF(G161="","",G161)&amp;"","$",""),",","")),0)/IF("No"="Yes",P161,1))</f>
        <v/>
      </c>
      <c r="R161" s="11">
        <f>IF(J161="","",IFERROR(VALUE(SUBSTITUTE(SUBSTITUTE(IF(H161="","",H161)&amp;"","$",""),",","")),0)/IF("No"="Yes",P161,1))</f>
        <v/>
      </c>
      <c r="S161" s="11">
        <f>IF(J161="","",O161+Q161-R161)</f>
        <v/>
      </c>
      <c r="T161">
        <f>IF(J161="","",IFERROR(IF(K161="",NA(),MATCH(K161,Products!$B$5:$B$204,0)),IFERROR(MATCH(J161,Products!$A$5:$A$204,0),"")))</f>
        <v/>
      </c>
      <c r="U161">
        <f>IF(J161="","",IF(T161="","⚠ not in Products",INDEX(Products!$A$5:$A$204,T161)))</f>
        <v/>
      </c>
      <c r="V161" s="11">
        <f>IF(J161="","",S161*(IFERROR(INDEX(Settings!$B$5:$B$9,MATCH($B161,Settings!$A$5:$A$9,0)),0)+IFERROR(INDEX(Settings!$E$5:$E$9,MATCH($B161,Settings!$A$5:$A$9,0)),0)+IFERROR(INDEX(Settings!$G$5:$G$9,MATCH($B161,Settings!$A$5:$A$9,0)),0))+(IFERROR(INDEX(Settings!$C$5:$C$9,MATCH($B161,Settings!$A$5:$A$9,0)),0)+IFERROR(INDEX(Settings!$F$5:$F$9,MATCH($B161,Settings!$A$5:$A$9,0)),0))/P161+IFERROR(INDEX(Settings!$D$5:$D$9,MATCH($B161,Settings!$A$5:$A$9,0)),0)*M161)</f>
        <v/>
      </c>
      <c r="W161" s="11">
        <f>IF(J161="","",IF(T161="",0,M161*INDEX(Products!$I$5:$I$204,T161)))</f>
        <v/>
      </c>
      <c r="X161" s="11">
        <f>IF(J161="","",IF(T161="",0,S161*INDEX(Products!$H$5:$H$204,T161)))</f>
        <v/>
      </c>
      <c r="Y161" s="11">
        <f>IF(J161="","",S161-V161-W161-X161)</f>
        <v/>
      </c>
    </row>
    <row r="162">
      <c r="A162" s="19" t="n"/>
      <c r="B162" s="19" t="n"/>
      <c r="C162" s="19" t="n"/>
      <c r="D162" s="19" t="n"/>
      <c r="E162" s="19" t="n"/>
      <c r="F162" s="20" t="n"/>
      <c r="G162" s="20" t="n"/>
      <c r="H162" s="20" t="n"/>
      <c r="I162" s="19" t="n"/>
      <c r="J162">
        <f>IFERROR(IF(C162="","",C162)&amp;"","")</f>
        <v/>
      </c>
      <c r="K162">
        <f>IFERROR(IF(D162="","",D162)&amp;"","")</f>
        <v/>
      </c>
      <c r="L162">
        <f>IFERROR(IF(I162="","",I162)&amp;"","")</f>
        <v/>
      </c>
      <c r="M162">
        <f>IF(J162="","",IFERROR(VALUE(SUBSTITUTE(SUBSTITUTE(IF(E162="","",E162)&amp;"","$",""),",","")),0))</f>
        <v/>
      </c>
      <c r="N162" s="11">
        <f>IF(J162="","",IFERROR(VALUE(SUBSTITUTE(SUBSTITUTE(IF(F162="","",F162)&amp;"","$",""),",","")),0))</f>
        <v/>
      </c>
      <c r="O162" s="11">
        <f>IF(J162="","",M162*N162)</f>
        <v/>
      </c>
      <c r="P162">
        <f>IF(J162="","",IF(L162="",1,COUNTIF($L$2:$L$1501,L162)))</f>
        <v/>
      </c>
      <c r="Q162" s="11">
        <f>IF(J162="","",IFERROR(VALUE(SUBSTITUTE(SUBSTITUTE(IF(G162="","",G162)&amp;"","$",""),",","")),0)/IF("No"="Yes",P162,1))</f>
        <v/>
      </c>
      <c r="R162" s="11">
        <f>IF(J162="","",IFERROR(VALUE(SUBSTITUTE(SUBSTITUTE(IF(H162="","",H162)&amp;"","$",""),",","")),0)/IF("No"="Yes",P162,1))</f>
        <v/>
      </c>
      <c r="S162" s="11">
        <f>IF(J162="","",O162+Q162-R162)</f>
        <v/>
      </c>
      <c r="T162">
        <f>IF(J162="","",IFERROR(IF(K162="",NA(),MATCH(K162,Products!$B$5:$B$204,0)),IFERROR(MATCH(J162,Products!$A$5:$A$204,0),"")))</f>
        <v/>
      </c>
      <c r="U162">
        <f>IF(J162="","",IF(T162="","⚠ not in Products",INDEX(Products!$A$5:$A$204,T162)))</f>
        <v/>
      </c>
      <c r="V162" s="11">
        <f>IF(J162="","",S162*(IFERROR(INDEX(Settings!$B$5:$B$9,MATCH($B162,Settings!$A$5:$A$9,0)),0)+IFERROR(INDEX(Settings!$E$5:$E$9,MATCH($B162,Settings!$A$5:$A$9,0)),0)+IFERROR(INDEX(Settings!$G$5:$G$9,MATCH($B162,Settings!$A$5:$A$9,0)),0))+(IFERROR(INDEX(Settings!$C$5:$C$9,MATCH($B162,Settings!$A$5:$A$9,0)),0)+IFERROR(INDEX(Settings!$F$5:$F$9,MATCH($B162,Settings!$A$5:$A$9,0)),0))/P162+IFERROR(INDEX(Settings!$D$5:$D$9,MATCH($B162,Settings!$A$5:$A$9,0)),0)*M162)</f>
        <v/>
      </c>
      <c r="W162" s="11">
        <f>IF(J162="","",IF(T162="",0,M162*INDEX(Products!$I$5:$I$204,T162)))</f>
        <v/>
      </c>
      <c r="X162" s="11">
        <f>IF(J162="","",IF(T162="",0,S162*INDEX(Products!$H$5:$H$204,T162)))</f>
        <v/>
      </c>
      <c r="Y162" s="11">
        <f>IF(J162="","",S162-V162-W162-X162)</f>
        <v/>
      </c>
    </row>
    <row r="163">
      <c r="A163" s="19" t="n"/>
      <c r="B163" s="19" t="n"/>
      <c r="C163" s="19" t="n"/>
      <c r="D163" s="19" t="n"/>
      <c r="E163" s="19" t="n"/>
      <c r="F163" s="20" t="n"/>
      <c r="G163" s="20" t="n"/>
      <c r="H163" s="20" t="n"/>
      <c r="I163" s="19" t="n"/>
      <c r="J163">
        <f>IFERROR(IF(C163="","",C163)&amp;"","")</f>
        <v/>
      </c>
      <c r="K163">
        <f>IFERROR(IF(D163="","",D163)&amp;"","")</f>
        <v/>
      </c>
      <c r="L163">
        <f>IFERROR(IF(I163="","",I163)&amp;"","")</f>
        <v/>
      </c>
      <c r="M163">
        <f>IF(J163="","",IFERROR(VALUE(SUBSTITUTE(SUBSTITUTE(IF(E163="","",E163)&amp;"","$",""),",","")),0))</f>
        <v/>
      </c>
      <c r="N163" s="11">
        <f>IF(J163="","",IFERROR(VALUE(SUBSTITUTE(SUBSTITUTE(IF(F163="","",F163)&amp;"","$",""),",","")),0))</f>
        <v/>
      </c>
      <c r="O163" s="11">
        <f>IF(J163="","",M163*N163)</f>
        <v/>
      </c>
      <c r="P163">
        <f>IF(J163="","",IF(L163="",1,COUNTIF($L$2:$L$1501,L163)))</f>
        <v/>
      </c>
      <c r="Q163" s="11">
        <f>IF(J163="","",IFERROR(VALUE(SUBSTITUTE(SUBSTITUTE(IF(G163="","",G163)&amp;"","$",""),",","")),0)/IF("No"="Yes",P163,1))</f>
        <v/>
      </c>
      <c r="R163" s="11">
        <f>IF(J163="","",IFERROR(VALUE(SUBSTITUTE(SUBSTITUTE(IF(H163="","",H163)&amp;"","$",""),",","")),0)/IF("No"="Yes",P163,1))</f>
        <v/>
      </c>
      <c r="S163" s="11">
        <f>IF(J163="","",O163+Q163-R163)</f>
        <v/>
      </c>
      <c r="T163">
        <f>IF(J163="","",IFERROR(IF(K163="",NA(),MATCH(K163,Products!$B$5:$B$204,0)),IFERROR(MATCH(J163,Products!$A$5:$A$204,0),"")))</f>
        <v/>
      </c>
      <c r="U163">
        <f>IF(J163="","",IF(T163="","⚠ not in Products",INDEX(Products!$A$5:$A$204,T163)))</f>
        <v/>
      </c>
      <c r="V163" s="11">
        <f>IF(J163="","",S163*(IFERROR(INDEX(Settings!$B$5:$B$9,MATCH($B163,Settings!$A$5:$A$9,0)),0)+IFERROR(INDEX(Settings!$E$5:$E$9,MATCH($B163,Settings!$A$5:$A$9,0)),0)+IFERROR(INDEX(Settings!$G$5:$G$9,MATCH($B163,Settings!$A$5:$A$9,0)),0))+(IFERROR(INDEX(Settings!$C$5:$C$9,MATCH($B163,Settings!$A$5:$A$9,0)),0)+IFERROR(INDEX(Settings!$F$5:$F$9,MATCH($B163,Settings!$A$5:$A$9,0)),0))/P163+IFERROR(INDEX(Settings!$D$5:$D$9,MATCH($B163,Settings!$A$5:$A$9,0)),0)*M163)</f>
        <v/>
      </c>
      <c r="W163" s="11">
        <f>IF(J163="","",IF(T163="",0,M163*INDEX(Products!$I$5:$I$204,T163)))</f>
        <v/>
      </c>
      <c r="X163" s="11">
        <f>IF(J163="","",IF(T163="",0,S163*INDEX(Products!$H$5:$H$204,T163)))</f>
        <v/>
      </c>
      <c r="Y163" s="11">
        <f>IF(J163="","",S163-V163-W163-X163)</f>
        <v/>
      </c>
    </row>
    <row r="164">
      <c r="A164" s="19" t="n"/>
      <c r="B164" s="19" t="n"/>
      <c r="C164" s="19" t="n"/>
      <c r="D164" s="19" t="n"/>
      <c r="E164" s="19" t="n"/>
      <c r="F164" s="20" t="n"/>
      <c r="G164" s="20" t="n"/>
      <c r="H164" s="20" t="n"/>
      <c r="I164" s="19" t="n"/>
      <c r="J164">
        <f>IFERROR(IF(C164="","",C164)&amp;"","")</f>
        <v/>
      </c>
      <c r="K164">
        <f>IFERROR(IF(D164="","",D164)&amp;"","")</f>
        <v/>
      </c>
      <c r="L164">
        <f>IFERROR(IF(I164="","",I164)&amp;"","")</f>
        <v/>
      </c>
      <c r="M164">
        <f>IF(J164="","",IFERROR(VALUE(SUBSTITUTE(SUBSTITUTE(IF(E164="","",E164)&amp;"","$",""),",","")),0))</f>
        <v/>
      </c>
      <c r="N164" s="11">
        <f>IF(J164="","",IFERROR(VALUE(SUBSTITUTE(SUBSTITUTE(IF(F164="","",F164)&amp;"","$",""),",","")),0))</f>
        <v/>
      </c>
      <c r="O164" s="11">
        <f>IF(J164="","",M164*N164)</f>
        <v/>
      </c>
      <c r="P164">
        <f>IF(J164="","",IF(L164="",1,COUNTIF($L$2:$L$1501,L164)))</f>
        <v/>
      </c>
      <c r="Q164" s="11">
        <f>IF(J164="","",IFERROR(VALUE(SUBSTITUTE(SUBSTITUTE(IF(G164="","",G164)&amp;"","$",""),",","")),0)/IF("No"="Yes",P164,1))</f>
        <v/>
      </c>
      <c r="R164" s="11">
        <f>IF(J164="","",IFERROR(VALUE(SUBSTITUTE(SUBSTITUTE(IF(H164="","",H164)&amp;"","$",""),",","")),0)/IF("No"="Yes",P164,1))</f>
        <v/>
      </c>
      <c r="S164" s="11">
        <f>IF(J164="","",O164+Q164-R164)</f>
        <v/>
      </c>
      <c r="T164">
        <f>IF(J164="","",IFERROR(IF(K164="",NA(),MATCH(K164,Products!$B$5:$B$204,0)),IFERROR(MATCH(J164,Products!$A$5:$A$204,0),"")))</f>
        <v/>
      </c>
      <c r="U164">
        <f>IF(J164="","",IF(T164="","⚠ not in Products",INDEX(Products!$A$5:$A$204,T164)))</f>
        <v/>
      </c>
      <c r="V164" s="11">
        <f>IF(J164="","",S164*(IFERROR(INDEX(Settings!$B$5:$B$9,MATCH($B164,Settings!$A$5:$A$9,0)),0)+IFERROR(INDEX(Settings!$E$5:$E$9,MATCH($B164,Settings!$A$5:$A$9,0)),0)+IFERROR(INDEX(Settings!$G$5:$G$9,MATCH($B164,Settings!$A$5:$A$9,0)),0))+(IFERROR(INDEX(Settings!$C$5:$C$9,MATCH($B164,Settings!$A$5:$A$9,0)),0)+IFERROR(INDEX(Settings!$F$5:$F$9,MATCH($B164,Settings!$A$5:$A$9,0)),0))/P164+IFERROR(INDEX(Settings!$D$5:$D$9,MATCH($B164,Settings!$A$5:$A$9,0)),0)*M164)</f>
        <v/>
      </c>
      <c r="W164" s="11">
        <f>IF(J164="","",IF(T164="",0,M164*INDEX(Products!$I$5:$I$204,T164)))</f>
        <v/>
      </c>
      <c r="X164" s="11">
        <f>IF(J164="","",IF(T164="",0,S164*INDEX(Products!$H$5:$H$204,T164)))</f>
        <v/>
      </c>
      <c r="Y164" s="11">
        <f>IF(J164="","",S164-V164-W164-X164)</f>
        <v/>
      </c>
    </row>
    <row r="165">
      <c r="A165" s="19" t="n"/>
      <c r="B165" s="19" t="n"/>
      <c r="C165" s="19" t="n"/>
      <c r="D165" s="19" t="n"/>
      <c r="E165" s="19" t="n"/>
      <c r="F165" s="20" t="n"/>
      <c r="G165" s="20" t="n"/>
      <c r="H165" s="20" t="n"/>
      <c r="I165" s="19" t="n"/>
      <c r="J165">
        <f>IFERROR(IF(C165="","",C165)&amp;"","")</f>
        <v/>
      </c>
      <c r="K165">
        <f>IFERROR(IF(D165="","",D165)&amp;"","")</f>
        <v/>
      </c>
      <c r="L165">
        <f>IFERROR(IF(I165="","",I165)&amp;"","")</f>
        <v/>
      </c>
      <c r="M165">
        <f>IF(J165="","",IFERROR(VALUE(SUBSTITUTE(SUBSTITUTE(IF(E165="","",E165)&amp;"","$",""),",","")),0))</f>
        <v/>
      </c>
      <c r="N165" s="11">
        <f>IF(J165="","",IFERROR(VALUE(SUBSTITUTE(SUBSTITUTE(IF(F165="","",F165)&amp;"","$",""),",","")),0))</f>
        <v/>
      </c>
      <c r="O165" s="11">
        <f>IF(J165="","",M165*N165)</f>
        <v/>
      </c>
      <c r="P165">
        <f>IF(J165="","",IF(L165="",1,COUNTIF($L$2:$L$1501,L165)))</f>
        <v/>
      </c>
      <c r="Q165" s="11">
        <f>IF(J165="","",IFERROR(VALUE(SUBSTITUTE(SUBSTITUTE(IF(G165="","",G165)&amp;"","$",""),",","")),0)/IF("No"="Yes",P165,1))</f>
        <v/>
      </c>
      <c r="R165" s="11">
        <f>IF(J165="","",IFERROR(VALUE(SUBSTITUTE(SUBSTITUTE(IF(H165="","",H165)&amp;"","$",""),",","")),0)/IF("No"="Yes",P165,1))</f>
        <v/>
      </c>
      <c r="S165" s="11">
        <f>IF(J165="","",O165+Q165-R165)</f>
        <v/>
      </c>
      <c r="T165">
        <f>IF(J165="","",IFERROR(IF(K165="",NA(),MATCH(K165,Products!$B$5:$B$204,0)),IFERROR(MATCH(J165,Products!$A$5:$A$204,0),"")))</f>
        <v/>
      </c>
      <c r="U165">
        <f>IF(J165="","",IF(T165="","⚠ not in Products",INDEX(Products!$A$5:$A$204,T165)))</f>
        <v/>
      </c>
      <c r="V165" s="11">
        <f>IF(J165="","",S165*(IFERROR(INDEX(Settings!$B$5:$B$9,MATCH($B165,Settings!$A$5:$A$9,0)),0)+IFERROR(INDEX(Settings!$E$5:$E$9,MATCH($B165,Settings!$A$5:$A$9,0)),0)+IFERROR(INDEX(Settings!$G$5:$G$9,MATCH($B165,Settings!$A$5:$A$9,0)),0))+(IFERROR(INDEX(Settings!$C$5:$C$9,MATCH($B165,Settings!$A$5:$A$9,0)),0)+IFERROR(INDEX(Settings!$F$5:$F$9,MATCH($B165,Settings!$A$5:$A$9,0)),0))/P165+IFERROR(INDEX(Settings!$D$5:$D$9,MATCH($B165,Settings!$A$5:$A$9,0)),0)*M165)</f>
        <v/>
      </c>
      <c r="W165" s="11">
        <f>IF(J165="","",IF(T165="",0,M165*INDEX(Products!$I$5:$I$204,T165)))</f>
        <v/>
      </c>
      <c r="X165" s="11">
        <f>IF(J165="","",IF(T165="",0,S165*INDEX(Products!$H$5:$H$204,T165)))</f>
        <v/>
      </c>
      <c r="Y165" s="11">
        <f>IF(J165="","",S165-V165-W165-X165)</f>
        <v/>
      </c>
    </row>
    <row r="166">
      <c r="A166" s="19" t="n"/>
      <c r="B166" s="19" t="n"/>
      <c r="C166" s="19" t="n"/>
      <c r="D166" s="19" t="n"/>
      <c r="E166" s="19" t="n"/>
      <c r="F166" s="20" t="n"/>
      <c r="G166" s="20" t="n"/>
      <c r="H166" s="20" t="n"/>
      <c r="I166" s="19" t="n"/>
      <c r="J166">
        <f>IFERROR(IF(C166="","",C166)&amp;"","")</f>
        <v/>
      </c>
      <c r="K166">
        <f>IFERROR(IF(D166="","",D166)&amp;"","")</f>
        <v/>
      </c>
      <c r="L166">
        <f>IFERROR(IF(I166="","",I166)&amp;"","")</f>
        <v/>
      </c>
      <c r="M166">
        <f>IF(J166="","",IFERROR(VALUE(SUBSTITUTE(SUBSTITUTE(IF(E166="","",E166)&amp;"","$",""),",","")),0))</f>
        <v/>
      </c>
      <c r="N166" s="11">
        <f>IF(J166="","",IFERROR(VALUE(SUBSTITUTE(SUBSTITUTE(IF(F166="","",F166)&amp;"","$",""),",","")),0))</f>
        <v/>
      </c>
      <c r="O166" s="11">
        <f>IF(J166="","",M166*N166)</f>
        <v/>
      </c>
      <c r="P166">
        <f>IF(J166="","",IF(L166="",1,COUNTIF($L$2:$L$1501,L166)))</f>
        <v/>
      </c>
      <c r="Q166" s="11">
        <f>IF(J166="","",IFERROR(VALUE(SUBSTITUTE(SUBSTITUTE(IF(G166="","",G166)&amp;"","$",""),",","")),0)/IF("No"="Yes",P166,1))</f>
        <v/>
      </c>
      <c r="R166" s="11">
        <f>IF(J166="","",IFERROR(VALUE(SUBSTITUTE(SUBSTITUTE(IF(H166="","",H166)&amp;"","$",""),",","")),0)/IF("No"="Yes",P166,1))</f>
        <v/>
      </c>
      <c r="S166" s="11">
        <f>IF(J166="","",O166+Q166-R166)</f>
        <v/>
      </c>
      <c r="T166">
        <f>IF(J166="","",IFERROR(IF(K166="",NA(),MATCH(K166,Products!$B$5:$B$204,0)),IFERROR(MATCH(J166,Products!$A$5:$A$204,0),"")))</f>
        <v/>
      </c>
      <c r="U166">
        <f>IF(J166="","",IF(T166="","⚠ not in Products",INDEX(Products!$A$5:$A$204,T166)))</f>
        <v/>
      </c>
      <c r="V166" s="11">
        <f>IF(J166="","",S166*(IFERROR(INDEX(Settings!$B$5:$B$9,MATCH($B166,Settings!$A$5:$A$9,0)),0)+IFERROR(INDEX(Settings!$E$5:$E$9,MATCH($B166,Settings!$A$5:$A$9,0)),0)+IFERROR(INDEX(Settings!$G$5:$G$9,MATCH($B166,Settings!$A$5:$A$9,0)),0))+(IFERROR(INDEX(Settings!$C$5:$C$9,MATCH($B166,Settings!$A$5:$A$9,0)),0)+IFERROR(INDEX(Settings!$F$5:$F$9,MATCH($B166,Settings!$A$5:$A$9,0)),0))/P166+IFERROR(INDEX(Settings!$D$5:$D$9,MATCH($B166,Settings!$A$5:$A$9,0)),0)*M166)</f>
        <v/>
      </c>
      <c r="W166" s="11">
        <f>IF(J166="","",IF(T166="",0,M166*INDEX(Products!$I$5:$I$204,T166)))</f>
        <v/>
      </c>
      <c r="X166" s="11">
        <f>IF(J166="","",IF(T166="",0,S166*INDEX(Products!$H$5:$H$204,T166)))</f>
        <v/>
      </c>
      <c r="Y166" s="11">
        <f>IF(J166="","",S166-V166-W166-X166)</f>
        <v/>
      </c>
    </row>
    <row r="167">
      <c r="A167" s="19" t="n"/>
      <c r="B167" s="19" t="n"/>
      <c r="C167" s="19" t="n"/>
      <c r="D167" s="19" t="n"/>
      <c r="E167" s="19" t="n"/>
      <c r="F167" s="20" t="n"/>
      <c r="G167" s="20" t="n"/>
      <c r="H167" s="20" t="n"/>
      <c r="I167" s="19" t="n"/>
      <c r="J167">
        <f>IFERROR(IF(C167="","",C167)&amp;"","")</f>
        <v/>
      </c>
      <c r="K167">
        <f>IFERROR(IF(D167="","",D167)&amp;"","")</f>
        <v/>
      </c>
      <c r="L167">
        <f>IFERROR(IF(I167="","",I167)&amp;"","")</f>
        <v/>
      </c>
      <c r="M167">
        <f>IF(J167="","",IFERROR(VALUE(SUBSTITUTE(SUBSTITUTE(IF(E167="","",E167)&amp;"","$",""),",","")),0))</f>
        <v/>
      </c>
      <c r="N167" s="11">
        <f>IF(J167="","",IFERROR(VALUE(SUBSTITUTE(SUBSTITUTE(IF(F167="","",F167)&amp;"","$",""),",","")),0))</f>
        <v/>
      </c>
      <c r="O167" s="11">
        <f>IF(J167="","",M167*N167)</f>
        <v/>
      </c>
      <c r="P167">
        <f>IF(J167="","",IF(L167="",1,COUNTIF($L$2:$L$1501,L167)))</f>
        <v/>
      </c>
      <c r="Q167" s="11">
        <f>IF(J167="","",IFERROR(VALUE(SUBSTITUTE(SUBSTITUTE(IF(G167="","",G167)&amp;"","$",""),",","")),0)/IF("No"="Yes",P167,1))</f>
        <v/>
      </c>
      <c r="R167" s="11">
        <f>IF(J167="","",IFERROR(VALUE(SUBSTITUTE(SUBSTITUTE(IF(H167="","",H167)&amp;"","$",""),",","")),0)/IF("No"="Yes",P167,1))</f>
        <v/>
      </c>
      <c r="S167" s="11">
        <f>IF(J167="","",O167+Q167-R167)</f>
        <v/>
      </c>
      <c r="T167">
        <f>IF(J167="","",IFERROR(IF(K167="",NA(),MATCH(K167,Products!$B$5:$B$204,0)),IFERROR(MATCH(J167,Products!$A$5:$A$204,0),"")))</f>
        <v/>
      </c>
      <c r="U167">
        <f>IF(J167="","",IF(T167="","⚠ not in Products",INDEX(Products!$A$5:$A$204,T167)))</f>
        <v/>
      </c>
      <c r="V167" s="11">
        <f>IF(J167="","",S167*(IFERROR(INDEX(Settings!$B$5:$B$9,MATCH($B167,Settings!$A$5:$A$9,0)),0)+IFERROR(INDEX(Settings!$E$5:$E$9,MATCH($B167,Settings!$A$5:$A$9,0)),0)+IFERROR(INDEX(Settings!$G$5:$G$9,MATCH($B167,Settings!$A$5:$A$9,0)),0))+(IFERROR(INDEX(Settings!$C$5:$C$9,MATCH($B167,Settings!$A$5:$A$9,0)),0)+IFERROR(INDEX(Settings!$F$5:$F$9,MATCH($B167,Settings!$A$5:$A$9,0)),0))/P167+IFERROR(INDEX(Settings!$D$5:$D$9,MATCH($B167,Settings!$A$5:$A$9,0)),0)*M167)</f>
        <v/>
      </c>
      <c r="W167" s="11">
        <f>IF(J167="","",IF(T167="",0,M167*INDEX(Products!$I$5:$I$204,T167)))</f>
        <v/>
      </c>
      <c r="X167" s="11">
        <f>IF(J167="","",IF(T167="",0,S167*INDEX(Products!$H$5:$H$204,T167)))</f>
        <v/>
      </c>
      <c r="Y167" s="11">
        <f>IF(J167="","",S167-V167-W167-X167)</f>
        <v/>
      </c>
    </row>
    <row r="168">
      <c r="A168" s="19" t="n"/>
      <c r="B168" s="19" t="n"/>
      <c r="C168" s="19" t="n"/>
      <c r="D168" s="19" t="n"/>
      <c r="E168" s="19" t="n"/>
      <c r="F168" s="20" t="n"/>
      <c r="G168" s="20" t="n"/>
      <c r="H168" s="20" t="n"/>
      <c r="I168" s="19" t="n"/>
      <c r="J168">
        <f>IFERROR(IF(C168="","",C168)&amp;"","")</f>
        <v/>
      </c>
      <c r="K168">
        <f>IFERROR(IF(D168="","",D168)&amp;"","")</f>
        <v/>
      </c>
      <c r="L168">
        <f>IFERROR(IF(I168="","",I168)&amp;"","")</f>
        <v/>
      </c>
      <c r="M168">
        <f>IF(J168="","",IFERROR(VALUE(SUBSTITUTE(SUBSTITUTE(IF(E168="","",E168)&amp;"","$",""),",","")),0))</f>
        <v/>
      </c>
      <c r="N168" s="11">
        <f>IF(J168="","",IFERROR(VALUE(SUBSTITUTE(SUBSTITUTE(IF(F168="","",F168)&amp;"","$",""),",","")),0))</f>
        <v/>
      </c>
      <c r="O168" s="11">
        <f>IF(J168="","",M168*N168)</f>
        <v/>
      </c>
      <c r="P168">
        <f>IF(J168="","",IF(L168="",1,COUNTIF($L$2:$L$1501,L168)))</f>
        <v/>
      </c>
      <c r="Q168" s="11">
        <f>IF(J168="","",IFERROR(VALUE(SUBSTITUTE(SUBSTITUTE(IF(G168="","",G168)&amp;"","$",""),",","")),0)/IF("No"="Yes",P168,1))</f>
        <v/>
      </c>
      <c r="R168" s="11">
        <f>IF(J168="","",IFERROR(VALUE(SUBSTITUTE(SUBSTITUTE(IF(H168="","",H168)&amp;"","$",""),",","")),0)/IF("No"="Yes",P168,1))</f>
        <v/>
      </c>
      <c r="S168" s="11">
        <f>IF(J168="","",O168+Q168-R168)</f>
        <v/>
      </c>
      <c r="T168">
        <f>IF(J168="","",IFERROR(IF(K168="",NA(),MATCH(K168,Products!$B$5:$B$204,0)),IFERROR(MATCH(J168,Products!$A$5:$A$204,0),"")))</f>
        <v/>
      </c>
      <c r="U168">
        <f>IF(J168="","",IF(T168="","⚠ not in Products",INDEX(Products!$A$5:$A$204,T168)))</f>
        <v/>
      </c>
      <c r="V168" s="11">
        <f>IF(J168="","",S168*(IFERROR(INDEX(Settings!$B$5:$B$9,MATCH($B168,Settings!$A$5:$A$9,0)),0)+IFERROR(INDEX(Settings!$E$5:$E$9,MATCH($B168,Settings!$A$5:$A$9,0)),0)+IFERROR(INDEX(Settings!$G$5:$G$9,MATCH($B168,Settings!$A$5:$A$9,0)),0))+(IFERROR(INDEX(Settings!$C$5:$C$9,MATCH($B168,Settings!$A$5:$A$9,0)),0)+IFERROR(INDEX(Settings!$F$5:$F$9,MATCH($B168,Settings!$A$5:$A$9,0)),0))/P168+IFERROR(INDEX(Settings!$D$5:$D$9,MATCH($B168,Settings!$A$5:$A$9,0)),0)*M168)</f>
        <v/>
      </c>
      <c r="W168" s="11">
        <f>IF(J168="","",IF(T168="",0,M168*INDEX(Products!$I$5:$I$204,T168)))</f>
        <v/>
      </c>
      <c r="X168" s="11">
        <f>IF(J168="","",IF(T168="",0,S168*INDEX(Products!$H$5:$H$204,T168)))</f>
        <v/>
      </c>
      <c r="Y168" s="11">
        <f>IF(J168="","",S168-V168-W168-X168)</f>
        <v/>
      </c>
    </row>
    <row r="169">
      <c r="A169" s="19" t="n"/>
      <c r="B169" s="19" t="n"/>
      <c r="C169" s="19" t="n"/>
      <c r="D169" s="19" t="n"/>
      <c r="E169" s="19" t="n"/>
      <c r="F169" s="20" t="n"/>
      <c r="G169" s="20" t="n"/>
      <c r="H169" s="20" t="n"/>
      <c r="I169" s="19" t="n"/>
      <c r="J169">
        <f>IFERROR(IF(C169="","",C169)&amp;"","")</f>
        <v/>
      </c>
      <c r="K169">
        <f>IFERROR(IF(D169="","",D169)&amp;"","")</f>
        <v/>
      </c>
      <c r="L169">
        <f>IFERROR(IF(I169="","",I169)&amp;"","")</f>
        <v/>
      </c>
      <c r="M169">
        <f>IF(J169="","",IFERROR(VALUE(SUBSTITUTE(SUBSTITUTE(IF(E169="","",E169)&amp;"","$",""),",","")),0))</f>
        <v/>
      </c>
      <c r="N169" s="11">
        <f>IF(J169="","",IFERROR(VALUE(SUBSTITUTE(SUBSTITUTE(IF(F169="","",F169)&amp;"","$",""),",","")),0))</f>
        <v/>
      </c>
      <c r="O169" s="11">
        <f>IF(J169="","",M169*N169)</f>
        <v/>
      </c>
      <c r="P169">
        <f>IF(J169="","",IF(L169="",1,COUNTIF($L$2:$L$1501,L169)))</f>
        <v/>
      </c>
      <c r="Q169" s="11">
        <f>IF(J169="","",IFERROR(VALUE(SUBSTITUTE(SUBSTITUTE(IF(G169="","",G169)&amp;"","$",""),",","")),0)/IF("No"="Yes",P169,1))</f>
        <v/>
      </c>
      <c r="R169" s="11">
        <f>IF(J169="","",IFERROR(VALUE(SUBSTITUTE(SUBSTITUTE(IF(H169="","",H169)&amp;"","$",""),",","")),0)/IF("No"="Yes",P169,1))</f>
        <v/>
      </c>
      <c r="S169" s="11">
        <f>IF(J169="","",O169+Q169-R169)</f>
        <v/>
      </c>
      <c r="T169">
        <f>IF(J169="","",IFERROR(IF(K169="",NA(),MATCH(K169,Products!$B$5:$B$204,0)),IFERROR(MATCH(J169,Products!$A$5:$A$204,0),"")))</f>
        <v/>
      </c>
      <c r="U169">
        <f>IF(J169="","",IF(T169="","⚠ not in Products",INDEX(Products!$A$5:$A$204,T169)))</f>
        <v/>
      </c>
      <c r="V169" s="11">
        <f>IF(J169="","",S169*(IFERROR(INDEX(Settings!$B$5:$B$9,MATCH($B169,Settings!$A$5:$A$9,0)),0)+IFERROR(INDEX(Settings!$E$5:$E$9,MATCH($B169,Settings!$A$5:$A$9,0)),0)+IFERROR(INDEX(Settings!$G$5:$G$9,MATCH($B169,Settings!$A$5:$A$9,0)),0))+(IFERROR(INDEX(Settings!$C$5:$C$9,MATCH($B169,Settings!$A$5:$A$9,0)),0)+IFERROR(INDEX(Settings!$F$5:$F$9,MATCH($B169,Settings!$A$5:$A$9,0)),0))/P169+IFERROR(INDEX(Settings!$D$5:$D$9,MATCH($B169,Settings!$A$5:$A$9,0)),0)*M169)</f>
        <v/>
      </c>
      <c r="W169" s="11">
        <f>IF(J169="","",IF(T169="",0,M169*INDEX(Products!$I$5:$I$204,T169)))</f>
        <v/>
      </c>
      <c r="X169" s="11">
        <f>IF(J169="","",IF(T169="",0,S169*INDEX(Products!$H$5:$H$204,T169)))</f>
        <v/>
      </c>
      <c r="Y169" s="11">
        <f>IF(J169="","",S169-V169-W169-X169)</f>
        <v/>
      </c>
    </row>
    <row r="170">
      <c r="A170" s="19" t="n"/>
      <c r="B170" s="19" t="n"/>
      <c r="C170" s="19" t="n"/>
      <c r="D170" s="19" t="n"/>
      <c r="E170" s="19" t="n"/>
      <c r="F170" s="20" t="n"/>
      <c r="G170" s="20" t="n"/>
      <c r="H170" s="20" t="n"/>
      <c r="I170" s="19" t="n"/>
      <c r="J170">
        <f>IFERROR(IF(C170="","",C170)&amp;"","")</f>
        <v/>
      </c>
      <c r="K170">
        <f>IFERROR(IF(D170="","",D170)&amp;"","")</f>
        <v/>
      </c>
      <c r="L170">
        <f>IFERROR(IF(I170="","",I170)&amp;"","")</f>
        <v/>
      </c>
      <c r="M170">
        <f>IF(J170="","",IFERROR(VALUE(SUBSTITUTE(SUBSTITUTE(IF(E170="","",E170)&amp;"","$",""),",","")),0))</f>
        <v/>
      </c>
      <c r="N170" s="11">
        <f>IF(J170="","",IFERROR(VALUE(SUBSTITUTE(SUBSTITUTE(IF(F170="","",F170)&amp;"","$",""),",","")),0))</f>
        <v/>
      </c>
      <c r="O170" s="11">
        <f>IF(J170="","",M170*N170)</f>
        <v/>
      </c>
      <c r="P170">
        <f>IF(J170="","",IF(L170="",1,COUNTIF($L$2:$L$1501,L170)))</f>
        <v/>
      </c>
      <c r="Q170" s="11">
        <f>IF(J170="","",IFERROR(VALUE(SUBSTITUTE(SUBSTITUTE(IF(G170="","",G170)&amp;"","$",""),",","")),0)/IF("No"="Yes",P170,1))</f>
        <v/>
      </c>
      <c r="R170" s="11">
        <f>IF(J170="","",IFERROR(VALUE(SUBSTITUTE(SUBSTITUTE(IF(H170="","",H170)&amp;"","$",""),",","")),0)/IF("No"="Yes",P170,1))</f>
        <v/>
      </c>
      <c r="S170" s="11">
        <f>IF(J170="","",O170+Q170-R170)</f>
        <v/>
      </c>
      <c r="T170">
        <f>IF(J170="","",IFERROR(IF(K170="",NA(),MATCH(K170,Products!$B$5:$B$204,0)),IFERROR(MATCH(J170,Products!$A$5:$A$204,0),"")))</f>
        <v/>
      </c>
      <c r="U170">
        <f>IF(J170="","",IF(T170="","⚠ not in Products",INDEX(Products!$A$5:$A$204,T170)))</f>
        <v/>
      </c>
      <c r="V170" s="11">
        <f>IF(J170="","",S170*(IFERROR(INDEX(Settings!$B$5:$B$9,MATCH($B170,Settings!$A$5:$A$9,0)),0)+IFERROR(INDEX(Settings!$E$5:$E$9,MATCH($B170,Settings!$A$5:$A$9,0)),0)+IFERROR(INDEX(Settings!$G$5:$G$9,MATCH($B170,Settings!$A$5:$A$9,0)),0))+(IFERROR(INDEX(Settings!$C$5:$C$9,MATCH($B170,Settings!$A$5:$A$9,0)),0)+IFERROR(INDEX(Settings!$F$5:$F$9,MATCH($B170,Settings!$A$5:$A$9,0)),0))/P170+IFERROR(INDEX(Settings!$D$5:$D$9,MATCH($B170,Settings!$A$5:$A$9,0)),0)*M170)</f>
        <v/>
      </c>
      <c r="W170" s="11">
        <f>IF(J170="","",IF(T170="",0,M170*INDEX(Products!$I$5:$I$204,T170)))</f>
        <v/>
      </c>
      <c r="X170" s="11">
        <f>IF(J170="","",IF(T170="",0,S170*INDEX(Products!$H$5:$H$204,T170)))</f>
        <v/>
      </c>
      <c r="Y170" s="11">
        <f>IF(J170="","",S170-V170-W170-X170)</f>
        <v/>
      </c>
    </row>
    <row r="171">
      <c r="A171" s="19" t="n"/>
      <c r="B171" s="19" t="n"/>
      <c r="C171" s="19" t="n"/>
      <c r="D171" s="19" t="n"/>
      <c r="E171" s="19" t="n"/>
      <c r="F171" s="20" t="n"/>
      <c r="G171" s="20" t="n"/>
      <c r="H171" s="20" t="n"/>
      <c r="I171" s="19" t="n"/>
      <c r="J171">
        <f>IFERROR(IF(C171="","",C171)&amp;"","")</f>
        <v/>
      </c>
      <c r="K171">
        <f>IFERROR(IF(D171="","",D171)&amp;"","")</f>
        <v/>
      </c>
      <c r="L171">
        <f>IFERROR(IF(I171="","",I171)&amp;"","")</f>
        <v/>
      </c>
      <c r="M171">
        <f>IF(J171="","",IFERROR(VALUE(SUBSTITUTE(SUBSTITUTE(IF(E171="","",E171)&amp;"","$",""),",","")),0))</f>
        <v/>
      </c>
      <c r="N171" s="11">
        <f>IF(J171="","",IFERROR(VALUE(SUBSTITUTE(SUBSTITUTE(IF(F171="","",F171)&amp;"","$",""),",","")),0))</f>
        <v/>
      </c>
      <c r="O171" s="11">
        <f>IF(J171="","",M171*N171)</f>
        <v/>
      </c>
      <c r="P171">
        <f>IF(J171="","",IF(L171="",1,COUNTIF($L$2:$L$1501,L171)))</f>
        <v/>
      </c>
      <c r="Q171" s="11">
        <f>IF(J171="","",IFERROR(VALUE(SUBSTITUTE(SUBSTITUTE(IF(G171="","",G171)&amp;"","$",""),",","")),0)/IF("No"="Yes",P171,1))</f>
        <v/>
      </c>
      <c r="R171" s="11">
        <f>IF(J171="","",IFERROR(VALUE(SUBSTITUTE(SUBSTITUTE(IF(H171="","",H171)&amp;"","$",""),",","")),0)/IF("No"="Yes",P171,1))</f>
        <v/>
      </c>
      <c r="S171" s="11">
        <f>IF(J171="","",O171+Q171-R171)</f>
        <v/>
      </c>
      <c r="T171">
        <f>IF(J171="","",IFERROR(IF(K171="",NA(),MATCH(K171,Products!$B$5:$B$204,0)),IFERROR(MATCH(J171,Products!$A$5:$A$204,0),"")))</f>
        <v/>
      </c>
      <c r="U171">
        <f>IF(J171="","",IF(T171="","⚠ not in Products",INDEX(Products!$A$5:$A$204,T171)))</f>
        <v/>
      </c>
      <c r="V171" s="11">
        <f>IF(J171="","",S171*(IFERROR(INDEX(Settings!$B$5:$B$9,MATCH($B171,Settings!$A$5:$A$9,0)),0)+IFERROR(INDEX(Settings!$E$5:$E$9,MATCH($B171,Settings!$A$5:$A$9,0)),0)+IFERROR(INDEX(Settings!$G$5:$G$9,MATCH($B171,Settings!$A$5:$A$9,0)),0))+(IFERROR(INDEX(Settings!$C$5:$C$9,MATCH($B171,Settings!$A$5:$A$9,0)),0)+IFERROR(INDEX(Settings!$F$5:$F$9,MATCH($B171,Settings!$A$5:$A$9,0)),0))/P171+IFERROR(INDEX(Settings!$D$5:$D$9,MATCH($B171,Settings!$A$5:$A$9,0)),0)*M171)</f>
        <v/>
      </c>
      <c r="W171" s="11">
        <f>IF(J171="","",IF(T171="",0,M171*INDEX(Products!$I$5:$I$204,T171)))</f>
        <v/>
      </c>
      <c r="X171" s="11">
        <f>IF(J171="","",IF(T171="",0,S171*INDEX(Products!$H$5:$H$204,T171)))</f>
        <v/>
      </c>
      <c r="Y171" s="11">
        <f>IF(J171="","",S171-V171-W171-X171)</f>
        <v/>
      </c>
    </row>
    <row r="172">
      <c r="A172" s="19" t="n"/>
      <c r="B172" s="19" t="n"/>
      <c r="C172" s="19" t="n"/>
      <c r="D172" s="19" t="n"/>
      <c r="E172" s="19" t="n"/>
      <c r="F172" s="20" t="n"/>
      <c r="G172" s="20" t="n"/>
      <c r="H172" s="20" t="n"/>
      <c r="I172" s="19" t="n"/>
      <c r="J172">
        <f>IFERROR(IF(C172="","",C172)&amp;"","")</f>
        <v/>
      </c>
      <c r="K172">
        <f>IFERROR(IF(D172="","",D172)&amp;"","")</f>
        <v/>
      </c>
      <c r="L172">
        <f>IFERROR(IF(I172="","",I172)&amp;"","")</f>
        <v/>
      </c>
      <c r="M172">
        <f>IF(J172="","",IFERROR(VALUE(SUBSTITUTE(SUBSTITUTE(IF(E172="","",E172)&amp;"","$",""),",","")),0))</f>
        <v/>
      </c>
      <c r="N172" s="11">
        <f>IF(J172="","",IFERROR(VALUE(SUBSTITUTE(SUBSTITUTE(IF(F172="","",F172)&amp;"","$",""),",","")),0))</f>
        <v/>
      </c>
      <c r="O172" s="11">
        <f>IF(J172="","",M172*N172)</f>
        <v/>
      </c>
      <c r="P172">
        <f>IF(J172="","",IF(L172="",1,COUNTIF($L$2:$L$1501,L172)))</f>
        <v/>
      </c>
      <c r="Q172" s="11">
        <f>IF(J172="","",IFERROR(VALUE(SUBSTITUTE(SUBSTITUTE(IF(G172="","",G172)&amp;"","$",""),",","")),0)/IF("No"="Yes",P172,1))</f>
        <v/>
      </c>
      <c r="R172" s="11">
        <f>IF(J172="","",IFERROR(VALUE(SUBSTITUTE(SUBSTITUTE(IF(H172="","",H172)&amp;"","$",""),",","")),0)/IF("No"="Yes",P172,1))</f>
        <v/>
      </c>
      <c r="S172" s="11">
        <f>IF(J172="","",O172+Q172-R172)</f>
        <v/>
      </c>
      <c r="T172">
        <f>IF(J172="","",IFERROR(IF(K172="",NA(),MATCH(K172,Products!$B$5:$B$204,0)),IFERROR(MATCH(J172,Products!$A$5:$A$204,0),"")))</f>
        <v/>
      </c>
      <c r="U172">
        <f>IF(J172="","",IF(T172="","⚠ not in Products",INDEX(Products!$A$5:$A$204,T172)))</f>
        <v/>
      </c>
      <c r="V172" s="11">
        <f>IF(J172="","",S172*(IFERROR(INDEX(Settings!$B$5:$B$9,MATCH($B172,Settings!$A$5:$A$9,0)),0)+IFERROR(INDEX(Settings!$E$5:$E$9,MATCH($B172,Settings!$A$5:$A$9,0)),0)+IFERROR(INDEX(Settings!$G$5:$G$9,MATCH($B172,Settings!$A$5:$A$9,0)),0))+(IFERROR(INDEX(Settings!$C$5:$C$9,MATCH($B172,Settings!$A$5:$A$9,0)),0)+IFERROR(INDEX(Settings!$F$5:$F$9,MATCH($B172,Settings!$A$5:$A$9,0)),0))/P172+IFERROR(INDEX(Settings!$D$5:$D$9,MATCH($B172,Settings!$A$5:$A$9,0)),0)*M172)</f>
        <v/>
      </c>
      <c r="W172" s="11">
        <f>IF(J172="","",IF(T172="",0,M172*INDEX(Products!$I$5:$I$204,T172)))</f>
        <v/>
      </c>
      <c r="X172" s="11">
        <f>IF(J172="","",IF(T172="",0,S172*INDEX(Products!$H$5:$H$204,T172)))</f>
        <v/>
      </c>
      <c r="Y172" s="11">
        <f>IF(J172="","",S172-V172-W172-X172)</f>
        <v/>
      </c>
    </row>
    <row r="173">
      <c r="A173" s="19" t="n"/>
      <c r="B173" s="19" t="n"/>
      <c r="C173" s="19" t="n"/>
      <c r="D173" s="19" t="n"/>
      <c r="E173" s="19" t="n"/>
      <c r="F173" s="20" t="n"/>
      <c r="G173" s="20" t="n"/>
      <c r="H173" s="20" t="n"/>
      <c r="I173" s="19" t="n"/>
      <c r="J173">
        <f>IFERROR(IF(C173="","",C173)&amp;"","")</f>
        <v/>
      </c>
      <c r="K173">
        <f>IFERROR(IF(D173="","",D173)&amp;"","")</f>
        <v/>
      </c>
      <c r="L173">
        <f>IFERROR(IF(I173="","",I173)&amp;"","")</f>
        <v/>
      </c>
      <c r="M173">
        <f>IF(J173="","",IFERROR(VALUE(SUBSTITUTE(SUBSTITUTE(IF(E173="","",E173)&amp;"","$",""),",","")),0))</f>
        <v/>
      </c>
      <c r="N173" s="11">
        <f>IF(J173="","",IFERROR(VALUE(SUBSTITUTE(SUBSTITUTE(IF(F173="","",F173)&amp;"","$",""),",","")),0))</f>
        <v/>
      </c>
      <c r="O173" s="11">
        <f>IF(J173="","",M173*N173)</f>
        <v/>
      </c>
      <c r="P173">
        <f>IF(J173="","",IF(L173="",1,COUNTIF($L$2:$L$1501,L173)))</f>
        <v/>
      </c>
      <c r="Q173" s="11">
        <f>IF(J173="","",IFERROR(VALUE(SUBSTITUTE(SUBSTITUTE(IF(G173="","",G173)&amp;"","$",""),",","")),0)/IF("No"="Yes",P173,1))</f>
        <v/>
      </c>
      <c r="R173" s="11">
        <f>IF(J173="","",IFERROR(VALUE(SUBSTITUTE(SUBSTITUTE(IF(H173="","",H173)&amp;"","$",""),",","")),0)/IF("No"="Yes",P173,1))</f>
        <v/>
      </c>
      <c r="S173" s="11">
        <f>IF(J173="","",O173+Q173-R173)</f>
        <v/>
      </c>
      <c r="T173">
        <f>IF(J173="","",IFERROR(IF(K173="",NA(),MATCH(K173,Products!$B$5:$B$204,0)),IFERROR(MATCH(J173,Products!$A$5:$A$204,0),"")))</f>
        <v/>
      </c>
      <c r="U173">
        <f>IF(J173="","",IF(T173="","⚠ not in Products",INDEX(Products!$A$5:$A$204,T173)))</f>
        <v/>
      </c>
      <c r="V173" s="11">
        <f>IF(J173="","",S173*(IFERROR(INDEX(Settings!$B$5:$B$9,MATCH($B173,Settings!$A$5:$A$9,0)),0)+IFERROR(INDEX(Settings!$E$5:$E$9,MATCH($B173,Settings!$A$5:$A$9,0)),0)+IFERROR(INDEX(Settings!$G$5:$G$9,MATCH($B173,Settings!$A$5:$A$9,0)),0))+(IFERROR(INDEX(Settings!$C$5:$C$9,MATCH($B173,Settings!$A$5:$A$9,0)),0)+IFERROR(INDEX(Settings!$F$5:$F$9,MATCH($B173,Settings!$A$5:$A$9,0)),0))/P173+IFERROR(INDEX(Settings!$D$5:$D$9,MATCH($B173,Settings!$A$5:$A$9,0)),0)*M173)</f>
        <v/>
      </c>
      <c r="W173" s="11">
        <f>IF(J173="","",IF(T173="",0,M173*INDEX(Products!$I$5:$I$204,T173)))</f>
        <v/>
      </c>
      <c r="X173" s="11">
        <f>IF(J173="","",IF(T173="",0,S173*INDEX(Products!$H$5:$H$204,T173)))</f>
        <v/>
      </c>
      <c r="Y173" s="11">
        <f>IF(J173="","",S173-V173-W173-X173)</f>
        <v/>
      </c>
    </row>
    <row r="174">
      <c r="A174" s="19" t="n"/>
      <c r="B174" s="19" t="n"/>
      <c r="C174" s="19" t="n"/>
      <c r="D174" s="19" t="n"/>
      <c r="E174" s="19" t="n"/>
      <c r="F174" s="20" t="n"/>
      <c r="G174" s="20" t="n"/>
      <c r="H174" s="20" t="n"/>
      <c r="I174" s="19" t="n"/>
      <c r="J174">
        <f>IFERROR(IF(C174="","",C174)&amp;"","")</f>
        <v/>
      </c>
      <c r="K174">
        <f>IFERROR(IF(D174="","",D174)&amp;"","")</f>
        <v/>
      </c>
      <c r="L174">
        <f>IFERROR(IF(I174="","",I174)&amp;"","")</f>
        <v/>
      </c>
      <c r="M174">
        <f>IF(J174="","",IFERROR(VALUE(SUBSTITUTE(SUBSTITUTE(IF(E174="","",E174)&amp;"","$",""),",","")),0))</f>
        <v/>
      </c>
      <c r="N174" s="11">
        <f>IF(J174="","",IFERROR(VALUE(SUBSTITUTE(SUBSTITUTE(IF(F174="","",F174)&amp;"","$",""),",","")),0))</f>
        <v/>
      </c>
      <c r="O174" s="11">
        <f>IF(J174="","",M174*N174)</f>
        <v/>
      </c>
      <c r="P174">
        <f>IF(J174="","",IF(L174="",1,COUNTIF($L$2:$L$1501,L174)))</f>
        <v/>
      </c>
      <c r="Q174" s="11">
        <f>IF(J174="","",IFERROR(VALUE(SUBSTITUTE(SUBSTITUTE(IF(G174="","",G174)&amp;"","$",""),",","")),0)/IF("No"="Yes",P174,1))</f>
        <v/>
      </c>
      <c r="R174" s="11">
        <f>IF(J174="","",IFERROR(VALUE(SUBSTITUTE(SUBSTITUTE(IF(H174="","",H174)&amp;"","$",""),",","")),0)/IF("No"="Yes",P174,1))</f>
        <v/>
      </c>
      <c r="S174" s="11">
        <f>IF(J174="","",O174+Q174-R174)</f>
        <v/>
      </c>
      <c r="T174">
        <f>IF(J174="","",IFERROR(IF(K174="",NA(),MATCH(K174,Products!$B$5:$B$204,0)),IFERROR(MATCH(J174,Products!$A$5:$A$204,0),"")))</f>
        <v/>
      </c>
      <c r="U174">
        <f>IF(J174="","",IF(T174="","⚠ not in Products",INDEX(Products!$A$5:$A$204,T174)))</f>
        <v/>
      </c>
      <c r="V174" s="11">
        <f>IF(J174="","",S174*(IFERROR(INDEX(Settings!$B$5:$B$9,MATCH($B174,Settings!$A$5:$A$9,0)),0)+IFERROR(INDEX(Settings!$E$5:$E$9,MATCH($B174,Settings!$A$5:$A$9,0)),0)+IFERROR(INDEX(Settings!$G$5:$G$9,MATCH($B174,Settings!$A$5:$A$9,0)),0))+(IFERROR(INDEX(Settings!$C$5:$C$9,MATCH($B174,Settings!$A$5:$A$9,0)),0)+IFERROR(INDEX(Settings!$F$5:$F$9,MATCH($B174,Settings!$A$5:$A$9,0)),0))/P174+IFERROR(INDEX(Settings!$D$5:$D$9,MATCH($B174,Settings!$A$5:$A$9,0)),0)*M174)</f>
        <v/>
      </c>
      <c r="W174" s="11">
        <f>IF(J174="","",IF(T174="",0,M174*INDEX(Products!$I$5:$I$204,T174)))</f>
        <v/>
      </c>
      <c r="X174" s="11">
        <f>IF(J174="","",IF(T174="",0,S174*INDEX(Products!$H$5:$H$204,T174)))</f>
        <v/>
      </c>
      <c r="Y174" s="11">
        <f>IF(J174="","",S174-V174-W174-X174)</f>
        <v/>
      </c>
    </row>
    <row r="175">
      <c r="A175" s="19" t="n"/>
      <c r="B175" s="19" t="n"/>
      <c r="C175" s="19" t="n"/>
      <c r="D175" s="19" t="n"/>
      <c r="E175" s="19" t="n"/>
      <c r="F175" s="20" t="n"/>
      <c r="G175" s="20" t="n"/>
      <c r="H175" s="20" t="n"/>
      <c r="I175" s="19" t="n"/>
      <c r="J175">
        <f>IFERROR(IF(C175="","",C175)&amp;"","")</f>
        <v/>
      </c>
      <c r="K175">
        <f>IFERROR(IF(D175="","",D175)&amp;"","")</f>
        <v/>
      </c>
      <c r="L175">
        <f>IFERROR(IF(I175="","",I175)&amp;"","")</f>
        <v/>
      </c>
      <c r="M175">
        <f>IF(J175="","",IFERROR(VALUE(SUBSTITUTE(SUBSTITUTE(IF(E175="","",E175)&amp;"","$",""),",","")),0))</f>
        <v/>
      </c>
      <c r="N175" s="11">
        <f>IF(J175="","",IFERROR(VALUE(SUBSTITUTE(SUBSTITUTE(IF(F175="","",F175)&amp;"","$",""),",","")),0))</f>
        <v/>
      </c>
      <c r="O175" s="11">
        <f>IF(J175="","",M175*N175)</f>
        <v/>
      </c>
      <c r="P175">
        <f>IF(J175="","",IF(L175="",1,COUNTIF($L$2:$L$1501,L175)))</f>
        <v/>
      </c>
      <c r="Q175" s="11">
        <f>IF(J175="","",IFERROR(VALUE(SUBSTITUTE(SUBSTITUTE(IF(G175="","",G175)&amp;"","$",""),",","")),0)/IF("No"="Yes",P175,1))</f>
        <v/>
      </c>
      <c r="R175" s="11">
        <f>IF(J175="","",IFERROR(VALUE(SUBSTITUTE(SUBSTITUTE(IF(H175="","",H175)&amp;"","$",""),",","")),0)/IF("No"="Yes",P175,1))</f>
        <v/>
      </c>
      <c r="S175" s="11">
        <f>IF(J175="","",O175+Q175-R175)</f>
        <v/>
      </c>
      <c r="T175">
        <f>IF(J175="","",IFERROR(IF(K175="",NA(),MATCH(K175,Products!$B$5:$B$204,0)),IFERROR(MATCH(J175,Products!$A$5:$A$204,0),"")))</f>
        <v/>
      </c>
      <c r="U175">
        <f>IF(J175="","",IF(T175="","⚠ not in Products",INDEX(Products!$A$5:$A$204,T175)))</f>
        <v/>
      </c>
      <c r="V175" s="11">
        <f>IF(J175="","",S175*(IFERROR(INDEX(Settings!$B$5:$B$9,MATCH($B175,Settings!$A$5:$A$9,0)),0)+IFERROR(INDEX(Settings!$E$5:$E$9,MATCH($B175,Settings!$A$5:$A$9,0)),0)+IFERROR(INDEX(Settings!$G$5:$G$9,MATCH($B175,Settings!$A$5:$A$9,0)),0))+(IFERROR(INDEX(Settings!$C$5:$C$9,MATCH($B175,Settings!$A$5:$A$9,0)),0)+IFERROR(INDEX(Settings!$F$5:$F$9,MATCH($B175,Settings!$A$5:$A$9,0)),0))/P175+IFERROR(INDEX(Settings!$D$5:$D$9,MATCH($B175,Settings!$A$5:$A$9,0)),0)*M175)</f>
        <v/>
      </c>
      <c r="W175" s="11">
        <f>IF(J175="","",IF(T175="",0,M175*INDEX(Products!$I$5:$I$204,T175)))</f>
        <v/>
      </c>
      <c r="X175" s="11">
        <f>IF(J175="","",IF(T175="",0,S175*INDEX(Products!$H$5:$H$204,T175)))</f>
        <v/>
      </c>
      <c r="Y175" s="11">
        <f>IF(J175="","",S175-V175-W175-X175)</f>
        <v/>
      </c>
    </row>
    <row r="176">
      <c r="A176" s="19" t="n"/>
      <c r="B176" s="19" t="n"/>
      <c r="C176" s="19" t="n"/>
      <c r="D176" s="19" t="n"/>
      <c r="E176" s="19" t="n"/>
      <c r="F176" s="20" t="n"/>
      <c r="G176" s="20" t="n"/>
      <c r="H176" s="20" t="n"/>
      <c r="I176" s="19" t="n"/>
      <c r="J176">
        <f>IFERROR(IF(C176="","",C176)&amp;"","")</f>
        <v/>
      </c>
      <c r="K176">
        <f>IFERROR(IF(D176="","",D176)&amp;"","")</f>
        <v/>
      </c>
      <c r="L176">
        <f>IFERROR(IF(I176="","",I176)&amp;"","")</f>
        <v/>
      </c>
      <c r="M176">
        <f>IF(J176="","",IFERROR(VALUE(SUBSTITUTE(SUBSTITUTE(IF(E176="","",E176)&amp;"","$",""),",","")),0))</f>
        <v/>
      </c>
      <c r="N176" s="11">
        <f>IF(J176="","",IFERROR(VALUE(SUBSTITUTE(SUBSTITUTE(IF(F176="","",F176)&amp;"","$",""),",","")),0))</f>
        <v/>
      </c>
      <c r="O176" s="11">
        <f>IF(J176="","",M176*N176)</f>
        <v/>
      </c>
      <c r="P176">
        <f>IF(J176="","",IF(L176="",1,COUNTIF($L$2:$L$1501,L176)))</f>
        <v/>
      </c>
      <c r="Q176" s="11">
        <f>IF(J176="","",IFERROR(VALUE(SUBSTITUTE(SUBSTITUTE(IF(G176="","",G176)&amp;"","$",""),",","")),0)/IF("No"="Yes",P176,1))</f>
        <v/>
      </c>
      <c r="R176" s="11">
        <f>IF(J176="","",IFERROR(VALUE(SUBSTITUTE(SUBSTITUTE(IF(H176="","",H176)&amp;"","$",""),",","")),0)/IF("No"="Yes",P176,1))</f>
        <v/>
      </c>
      <c r="S176" s="11">
        <f>IF(J176="","",O176+Q176-R176)</f>
        <v/>
      </c>
      <c r="T176">
        <f>IF(J176="","",IFERROR(IF(K176="",NA(),MATCH(K176,Products!$B$5:$B$204,0)),IFERROR(MATCH(J176,Products!$A$5:$A$204,0),"")))</f>
        <v/>
      </c>
      <c r="U176">
        <f>IF(J176="","",IF(T176="","⚠ not in Products",INDEX(Products!$A$5:$A$204,T176)))</f>
        <v/>
      </c>
      <c r="V176" s="11">
        <f>IF(J176="","",S176*(IFERROR(INDEX(Settings!$B$5:$B$9,MATCH($B176,Settings!$A$5:$A$9,0)),0)+IFERROR(INDEX(Settings!$E$5:$E$9,MATCH($B176,Settings!$A$5:$A$9,0)),0)+IFERROR(INDEX(Settings!$G$5:$G$9,MATCH($B176,Settings!$A$5:$A$9,0)),0))+(IFERROR(INDEX(Settings!$C$5:$C$9,MATCH($B176,Settings!$A$5:$A$9,0)),0)+IFERROR(INDEX(Settings!$F$5:$F$9,MATCH($B176,Settings!$A$5:$A$9,0)),0))/P176+IFERROR(INDEX(Settings!$D$5:$D$9,MATCH($B176,Settings!$A$5:$A$9,0)),0)*M176)</f>
        <v/>
      </c>
      <c r="W176" s="11">
        <f>IF(J176="","",IF(T176="",0,M176*INDEX(Products!$I$5:$I$204,T176)))</f>
        <v/>
      </c>
      <c r="X176" s="11">
        <f>IF(J176="","",IF(T176="",0,S176*INDEX(Products!$H$5:$H$204,T176)))</f>
        <v/>
      </c>
      <c r="Y176" s="11">
        <f>IF(J176="","",S176-V176-W176-X176)</f>
        <v/>
      </c>
    </row>
    <row r="177">
      <c r="A177" s="19" t="n"/>
      <c r="B177" s="19" t="n"/>
      <c r="C177" s="19" t="n"/>
      <c r="D177" s="19" t="n"/>
      <c r="E177" s="19" t="n"/>
      <c r="F177" s="20" t="n"/>
      <c r="G177" s="20" t="n"/>
      <c r="H177" s="20" t="n"/>
      <c r="I177" s="19" t="n"/>
      <c r="J177">
        <f>IFERROR(IF(C177="","",C177)&amp;"","")</f>
        <v/>
      </c>
      <c r="K177">
        <f>IFERROR(IF(D177="","",D177)&amp;"","")</f>
        <v/>
      </c>
      <c r="L177">
        <f>IFERROR(IF(I177="","",I177)&amp;"","")</f>
        <v/>
      </c>
      <c r="M177">
        <f>IF(J177="","",IFERROR(VALUE(SUBSTITUTE(SUBSTITUTE(IF(E177="","",E177)&amp;"","$",""),",","")),0))</f>
        <v/>
      </c>
      <c r="N177" s="11">
        <f>IF(J177="","",IFERROR(VALUE(SUBSTITUTE(SUBSTITUTE(IF(F177="","",F177)&amp;"","$",""),",","")),0))</f>
        <v/>
      </c>
      <c r="O177" s="11">
        <f>IF(J177="","",M177*N177)</f>
        <v/>
      </c>
      <c r="P177">
        <f>IF(J177="","",IF(L177="",1,COUNTIF($L$2:$L$1501,L177)))</f>
        <v/>
      </c>
      <c r="Q177" s="11">
        <f>IF(J177="","",IFERROR(VALUE(SUBSTITUTE(SUBSTITUTE(IF(G177="","",G177)&amp;"","$",""),",","")),0)/IF("No"="Yes",P177,1))</f>
        <v/>
      </c>
      <c r="R177" s="11">
        <f>IF(J177="","",IFERROR(VALUE(SUBSTITUTE(SUBSTITUTE(IF(H177="","",H177)&amp;"","$",""),",","")),0)/IF("No"="Yes",P177,1))</f>
        <v/>
      </c>
      <c r="S177" s="11">
        <f>IF(J177="","",O177+Q177-R177)</f>
        <v/>
      </c>
      <c r="T177">
        <f>IF(J177="","",IFERROR(IF(K177="",NA(),MATCH(K177,Products!$B$5:$B$204,0)),IFERROR(MATCH(J177,Products!$A$5:$A$204,0),"")))</f>
        <v/>
      </c>
      <c r="U177">
        <f>IF(J177="","",IF(T177="","⚠ not in Products",INDEX(Products!$A$5:$A$204,T177)))</f>
        <v/>
      </c>
      <c r="V177" s="11">
        <f>IF(J177="","",S177*(IFERROR(INDEX(Settings!$B$5:$B$9,MATCH($B177,Settings!$A$5:$A$9,0)),0)+IFERROR(INDEX(Settings!$E$5:$E$9,MATCH($B177,Settings!$A$5:$A$9,0)),0)+IFERROR(INDEX(Settings!$G$5:$G$9,MATCH($B177,Settings!$A$5:$A$9,0)),0))+(IFERROR(INDEX(Settings!$C$5:$C$9,MATCH($B177,Settings!$A$5:$A$9,0)),0)+IFERROR(INDEX(Settings!$F$5:$F$9,MATCH($B177,Settings!$A$5:$A$9,0)),0))/P177+IFERROR(INDEX(Settings!$D$5:$D$9,MATCH($B177,Settings!$A$5:$A$9,0)),0)*M177)</f>
        <v/>
      </c>
      <c r="W177" s="11">
        <f>IF(J177="","",IF(T177="",0,M177*INDEX(Products!$I$5:$I$204,T177)))</f>
        <v/>
      </c>
      <c r="X177" s="11">
        <f>IF(J177="","",IF(T177="",0,S177*INDEX(Products!$H$5:$H$204,T177)))</f>
        <v/>
      </c>
      <c r="Y177" s="11">
        <f>IF(J177="","",S177-V177-W177-X177)</f>
        <v/>
      </c>
    </row>
    <row r="178">
      <c r="A178" s="19" t="n"/>
      <c r="B178" s="19" t="n"/>
      <c r="C178" s="19" t="n"/>
      <c r="D178" s="19" t="n"/>
      <c r="E178" s="19" t="n"/>
      <c r="F178" s="20" t="n"/>
      <c r="G178" s="20" t="n"/>
      <c r="H178" s="20" t="n"/>
      <c r="I178" s="19" t="n"/>
      <c r="J178">
        <f>IFERROR(IF(C178="","",C178)&amp;"","")</f>
        <v/>
      </c>
      <c r="K178">
        <f>IFERROR(IF(D178="","",D178)&amp;"","")</f>
        <v/>
      </c>
      <c r="L178">
        <f>IFERROR(IF(I178="","",I178)&amp;"","")</f>
        <v/>
      </c>
      <c r="M178">
        <f>IF(J178="","",IFERROR(VALUE(SUBSTITUTE(SUBSTITUTE(IF(E178="","",E178)&amp;"","$",""),",","")),0))</f>
        <v/>
      </c>
      <c r="N178" s="11">
        <f>IF(J178="","",IFERROR(VALUE(SUBSTITUTE(SUBSTITUTE(IF(F178="","",F178)&amp;"","$",""),",","")),0))</f>
        <v/>
      </c>
      <c r="O178" s="11">
        <f>IF(J178="","",M178*N178)</f>
        <v/>
      </c>
      <c r="P178">
        <f>IF(J178="","",IF(L178="",1,COUNTIF($L$2:$L$1501,L178)))</f>
        <v/>
      </c>
      <c r="Q178" s="11">
        <f>IF(J178="","",IFERROR(VALUE(SUBSTITUTE(SUBSTITUTE(IF(G178="","",G178)&amp;"","$",""),",","")),0)/IF("No"="Yes",P178,1))</f>
        <v/>
      </c>
      <c r="R178" s="11">
        <f>IF(J178="","",IFERROR(VALUE(SUBSTITUTE(SUBSTITUTE(IF(H178="","",H178)&amp;"","$",""),",","")),0)/IF("No"="Yes",P178,1))</f>
        <v/>
      </c>
      <c r="S178" s="11">
        <f>IF(J178="","",O178+Q178-R178)</f>
        <v/>
      </c>
      <c r="T178">
        <f>IF(J178="","",IFERROR(IF(K178="",NA(),MATCH(K178,Products!$B$5:$B$204,0)),IFERROR(MATCH(J178,Products!$A$5:$A$204,0),"")))</f>
        <v/>
      </c>
      <c r="U178">
        <f>IF(J178="","",IF(T178="","⚠ not in Products",INDEX(Products!$A$5:$A$204,T178)))</f>
        <v/>
      </c>
      <c r="V178" s="11">
        <f>IF(J178="","",S178*(IFERROR(INDEX(Settings!$B$5:$B$9,MATCH($B178,Settings!$A$5:$A$9,0)),0)+IFERROR(INDEX(Settings!$E$5:$E$9,MATCH($B178,Settings!$A$5:$A$9,0)),0)+IFERROR(INDEX(Settings!$G$5:$G$9,MATCH($B178,Settings!$A$5:$A$9,0)),0))+(IFERROR(INDEX(Settings!$C$5:$C$9,MATCH($B178,Settings!$A$5:$A$9,0)),0)+IFERROR(INDEX(Settings!$F$5:$F$9,MATCH($B178,Settings!$A$5:$A$9,0)),0))/P178+IFERROR(INDEX(Settings!$D$5:$D$9,MATCH($B178,Settings!$A$5:$A$9,0)),0)*M178)</f>
        <v/>
      </c>
      <c r="W178" s="11">
        <f>IF(J178="","",IF(T178="",0,M178*INDEX(Products!$I$5:$I$204,T178)))</f>
        <v/>
      </c>
      <c r="X178" s="11">
        <f>IF(J178="","",IF(T178="",0,S178*INDEX(Products!$H$5:$H$204,T178)))</f>
        <v/>
      </c>
      <c r="Y178" s="11">
        <f>IF(J178="","",S178-V178-W178-X178)</f>
        <v/>
      </c>
    </row>
    <row r="179">
      <c r="A179" s="19" t="n"/>
      <c r="B179" s="19" t="n"/>
      <c r="C179" s="19" t="n"/>
      <c r="D179" s="19" t="n"/>
      <c r="E179" s="19" t="n"/>
      <c r="F179" s="20" t="n"/>
      <c r="G179" s="20" t="n"/>
      <c r="H179" s="20" t="n"/>
      <c r="I179" s="19" t="n"/>
      <c r="J179">
        <f>IFERROR(IF(C179="","",C179)&amp;"","")</f>
        <v/>
      </c>
      <c r="K179">
        <f>IFERROR(IF(D179="","",D179)&amp;"","")</f>
        <v/>
      </c>
      <c r="L179">
        <f>IFERROR(IF(I179="","",I179)&amp;"","")</f>
        <v/>
      </c>
      <c r="M179">
        <f>IF(J179="","",IFERROR(VALUE(SUBSTITUTE(SUBSTITUTE(IF(E179="","",E179)&amp;"","$",""),",","")),0))</f>
        <v/>
      </c>
      <c r="N179" s="11">
        <f>IF(J179="","",IFERROR(VALUE(SUBSTITUTE(SUBSTITUTE(IF(F179="","",F179)&amp;"","$",""),",","")),0))</f>
        <v/>
      </c>
      <c r="O179" s="11">
        <f>IF(J179="","",M179*N179)</f>
        <v/>
      </c>
      <c r="P179">
        <f>IF(J179="","",IF(L179="",1,COUNTIF($L$2:$L$1501,L179)))</f>
        <v/>
      </c>
      <c r="Q179" s="11">
        <f>IF(J179="","",IFERROR(VALUE(SUBSTITUTE(SUBSTITUTE(IF(G179="","",G179)&amp;"","$",""),",","")),0)/IF("No"="Yes",P179,1))</f>
        <v/>
      </c>
      <c r="R179" s="11">
        <f>IF(J179="","",IFERROR(VALUE(SUBSTITUTE(SUBSTITUTE(IF(H179="","",H179)&amp;"","$",""),",","")),0)/IF("No"="Yes",P179,1))</f>
        <v/>
      </c>
      <c r="S179" s="11">
        <f>IF(J179="","",O179+Q179-R179)</f>
        <v/>
      </c>
      <c r="T179">
        <f>IF(J179="","",IFERROR(IF(K179="",NA(),MATCH(K179,Products!$B$5:$B$204,0)),IFERROR(MATCH(J179,Products!$A$5:$A$204,0),"")))</f>
        <v/>
      </c>
      <c r="U179">
        <f>IF(J179="","",IF(T179="","⚠ not in Products",INDEX(Products!$A$5:$A$204,T179)))</f>
        <v/>
      </c>
      <c r="V179" s="11">
        <f>IF(J179="","",S179*(IFERROR(INDEX(Settings!$B$5:$B$9,MATCH($B179,Settings!$A$5:$A$9,0)),0)+IFERROR(INDEX(Settings!$E$5:$E$9,MATCH($B179,Settings!$A$5:$A$9,0)),0)+IFERROR(INDEX(Settings!$G$5:$G$9,MATCH($B179,Settings!$A$5:$A$9,0)),0))+(IFERROR(INDEX(Settings!$C$5:$C$9,MATCH($B179,Settings!$A$5:$A$9,0)),0)+IFERROR(INDEX(Settings!$F$5:$F$9,MATCH($B179,Settings!$A$5:$A$9,0)),0))/P179+IFERROR(INDEX(Settings!$D$5:$D$9,MATCH($B179,Settings!$A$5:$A$9,0)),0)*M179)</f>
        <v/>
      </c>
      <c r="W179" s="11">
        <f>IF(J179="","",IF(T179="",0,M179*INDEX(Products!$I$5:$I$204,T179)))</f>
        <v/>
      </c>
      <c r="X179" s="11">
        <f>IF(J179="","",IF(T179="",0,S179*INDEX(Products!$H$5:$H$204,T179)))</f>
        <v/>
      </c>
      <c r="Y179" s="11">
        <f>IF(J179="","",S179-V179-W179-X179)</f>
        <v/>
      </c>
    </row>
    <row r="180">
      <c r="A180" s="19" t="n"/>
      <c r="B180" s="19" t="n"/>
      <c r="C180" s="19" t="n"/>
      <c r="D180" s="19" t="n"/>
      <c r="E180" s="19" t="n"/>
      <c r="F180" s="20" t="n"/>
      <c r="G180" s="20" t="n"/>
      <c r="H180" s="20" t="n"/>
      <c r="I180" s="19" t="n"/>
      <c r="J180">
        <f>IFERROR(IF(C180="","",C180)&amp;"","")</f>
        <v/>
      </c>
      <c r="K180">
        <f>IFERROR(IF(D180="","",D180)&amp;"","")</f>
        <v/>
      </c>
      <c r="L180">
        <f>IFERROR(IF(I180="","",I180)&amp;"","")</f>
        <v/>
      </c>
      <c r="M180">
        <f>IF(J180="","",IFERROR(VALUE(SUBSTITUTE(SUBSTITUTE(IF(E180="","",E180)&amp;"","$",""),",","")),0))</f>
        <v/>
      </c>
      <c r="N180" s="11">
        <f>IF(J180="","",IFERROR(VALUE(SUBSTITUTE(SUBSTITUTE(IF(F180="","",F180)&amp;"","$",""),",","")),0))</f>
        <v/>
      </c>
      <c r="O180" s="11">
        <f>IF(J180="","",M180*N180)</f>
        <v/>
      </c>
      <c r="P180">
        <f>IF(J180="","",IF(L180="",1,COUNTIF($L$2:$L$1501,L180)))</f>
        <v/>
      </c>
      <c r="Q180" s="11">
        <f>IF(J180="","",IFERROR(VALUE(SUBSTITUTE(SUBSTITUTE(IF(G180="","",G180)&amp;"","$",""),",","")),0)/IF("No"="Yes",P180,1))</f>
        <v/>
      </c>
      <c r="R180" s="11">
        <f>IF(J180="","",IFERROR(VALUE(SUBSTITUTE(SUBSTITUTE(IF(H180="","",H180)&amp;"","$",""),",","")),0)/IF("No"="Yes",P180,1))</f>
        <v/>
      </c>
      <c r="S180" s="11">
        <f>IF(J180="","",O180+Q180-R180)</f>
        <v/>
      </c>
      <c r="T180">
        <f>IF(J180="","",IFERROR(IF(K180="",NA(),MATCH(K180,Products!$B$5:$B$204,0)),IFERROR(MATCH(J180,Products!$A$5:$A$204,0),"")))</f>
        <v/>
      </c>
      <c r="U180">
        <f>IF(J180="","",IF(T180="","⚠ not in Products",INDEX(Products!$A$5:$A$204,T180)))</f>
        <v/>
      </c>
      <c r="V180" s="11">
        <f>IF(J180="","",S180*(IFERROR(INDEX(Settings!$B$5:$B$9,MATCH($B180,Settings!$A$5:$A$9,0)),0)+IFERROR(INDEX(Settings!$E$5:$E$9,MATCH($B180,Settings!$A$5:$A$9,0)),0)+IFERROR(INDEX(Settings!$G$5:$G$9,MATCH($B180,Settings!$A$5:$A$9,0)),0))+(IFERROR(INDEX(Settings!$C$5:$C$9,MATCH($B180,Settings!$A$5:$A$9,0)),0)+IFERROR(INDEX(Settings!$F$5:$F$9,MATCH($B180,Settings!$A$5:$A$9,0)),0))/P180+IFERROR(INDEX(Settings!$D$5:$D$9,MATCH($B180,Settings!$A$5:$A$9,0)),0)*M180)</f>
        <v/>
      </c>
      <c r="W180" s="11">
        <f>IF(J180="","",IF(T180="",0,M180*INDEX(Products!$I$5:$I$204,T180)))</f>
        <v/>
      </c>
      <c r="X180" s="11">
        <f>IF(J180="","",IF(T180="",0,S180*INDEX(Products!$H$5:$H$204,T180)))</f>
        <v/>
      </c>
      <c r="Y180" s="11">
        <f>IF(J180="","",S180-V180-W180-X180)</f>
        <v/>
      </c>
    </row>
    <row r="181">
      <c r="A181" s="19" t="n"/>
      <c r="B181" s="19" t="n"/>
      <c r="C181" s="19" t="n"/>
      <c r="D181" s="19" t="n"/>
      <c r="E181" s="19" t="n"/>
      <c r="F181" s="20" t="n"/>
      <c r="G181" s="20" t="n"/>
      <c r="H181" s="20" t="n"/>
      <c r="I181" s="19" t="n"/>
      <c r="J181">
        <f>IFERROR(IF(C181="","",C181)&amp;"","")</f>
        <v/>
      </c>
      <c r="K181">
        <f>IFERROR(IF(D181="","",D181)&amp;"","")</f>
        <v/>
      </c>
      <c r="L181">
        <f>IFERROR(IF(I181="","",I181)&amp;"","")</f>
        <v/>
      </c>
      <c r="M181">
        <f>IF(J181="","",IFERROR(VALUE(SUBSTITUTE(SUBSTITUTE(IF(E181="","",E181)&amp;"","$",""),",","")),0))</f>
        <v/>
      </c>
      <c r="N181" s="11">
        <f>IF(J181="","",IFERROR(VALUE(SUBSTITUTE(SUBSTITUTE(IF(F181="","",F181)&amp;"","$",""),",","")),0))</f>
        <v/>
      </c>
      <c r="O181" s="11">
        <f>IF(J181="","",M181*N181)</f>
        <v/>
      </c>
      <c r="P181">
        <f>IF(J181="","",IF(L181="",1,COUNTIF($L$2:$L$1501,L181)))</f>
        <v/>
      </c>
      <c r="Q181" s="11">
        <f>IF(J181="","",IFERROR(VALUE(SUBSTITUTE(SUBSTITUTE(IF(G181="","",G181)&amp;"","$",""),",","")),0)/IF("No"="Yes",P181,1))</f>
        <v/>
      </c>
      <c r="R181" s="11">
        <f>IF(J181="","",IFERROR(VALUE(SUBSTITUTE(SUBSTITUTE(IF(H181="","",H181)&amp;"","$",""),",","")),0)/IF("No"="Yes",P181,1))</f>
        <v/>
      </c>
      <c r="S181" s="11">
        <f>IF(J181="","",O181+Q181-R181)</f>
        <v/>
      </c>
      <c r="T181">
        <f>IF(J181="","",IFERROR(IF(K181="",NA(),MATCH(K181,Products!$B$5:$B$204,0)),IFERROR(MATCH(J181,Products!$A$5:$A$204,0),"")))</f>
        <v/>
      </c>
      <c r="U181">
        <f>IF(J181="","",IF(T181="","⚠ not in Products",INDEX(Products!$A$5:$A$204,T181)))</f>
        <v/>
      </c>
      <c r="V181" s="11">
        <f>IF(J181="","",S181*(IFERROR(INDEX(Settings!$B$5:$B$9,MATCH($B181,Settings!$A$5:$A$9,0)),0)+IFERROR(INDEX(Settings!$E$5:$E$9,MATCH($B181,Settings!$A$5:$A$9,0)),0)+IFERROR(INDEX(Settings!$G$5:$G$9,MATCH($B181,Settings!$A$5:$A$9,0)),0))+(IFERROR(INDEX(Settings!$C$5:$C$9,MATCH($B181,Settings!$A$5:$A$9,0)),0)+IFERROR(INDEX(Settings!$F$5:$F$9,MATCH($B181,Settings!$A$5:$A$9,0)),0))/P181+IFERROR(INDEX(Settings!$D$5:$D$9,MATCH($B181,Settings!$A$5:$A$9,0)),0)*M181)</f>
        <v/>
      </c>
      <c r="W181" s="11">
        <f>IF(J181="","",IF(T181="",0,M181*INDEX(Products!$I$5:$I$204,T181)))</f>
        <v/>
      </c>
      <c r="X181" s="11">
        <f>IF(J181="","",IF(T181="",0,S181*INDEX(Products!$H$5:$H$204,T181)))</f>
        <v/>
      </c>
      <c r="Y181" s="11">
        <f>IF(J181="","",S181-V181-W181-X181)</f>
        <v/>
      </c>
    </row>
    <row r="182">
      <c r="A182" s="19" t="n"/>
      <c r="B182" s="19" t="n"/>
      <c r="C182" s="19" t="n"/>
      <c r="D182" s="19" t="n"/>
      <c r="E182" s="19" t="n"/>
      <c r="F182" s="20" t="n"/>
      <c r="G182" s="20" t="n"/>
      <c r="H182" s="20" t="n"/>
      <c r="I182" s="19" t="n"/>
      <c r="J182">
        <f>IFERROR(IF(C182="","",C182)&amp;"","")</f>
        <v/>
      </c>
      <c r="K182">
        <f>IFERROR(IF(D182="","",D182)&amp;"","")</f>
        <v/>
      </c>
      <c r="L182">
        <f>IFERROR(IF(I182="","",I182)&amp;"","")</f>
        <v/>
      </c>
      <c r="M182">
        <f>IF(J182="","",IFERROR(VALUE(SUBSTITUTE(SUBSTITUTE(IF(E182="","",E182)&amp;"","$",""),",","")),0))</f>
        <v/>
      </c>
      <c r="N182" s="11">
        <f>IF(J182="","",IFERROR(VALUE(SUBSTITUTE(SUBSTITUTE(IF(F182="","",F182)&amp;"","$",""),",","")),0))</f>
        <v/>
      </c>
      <c r="O182" s="11">
        <f>IF(J182="","",M182*N182)</f>
        <v/>
      </c>
      <c r="P182">
        <f>IF(J182="","",IF(L182="",1,COUNTIF($L$2:$L$1501,L182)))</f>
        <v/>
      </c>
      <c r="Q182" s="11">
        <f>IF(J182="","",IFERROR(VALUE(SUBSTITUTE(SUBSTITUTE(IF(G182="","",G182)&amp;"","$",""),",","")),0)/IF("No"="Yes",P182,1))</f>
        <v/>
      </c>
      <c r="R182" s="11">
        <f>IF(J182="","",IFERROR(VALUE(SUBSTITUTE(SUBSTITUTE(IF(H182="","",H182)&amp;"","$",""),",","")),0)/IF("No"="Yes",P182,1))</f>
        <v/>
      </c>
      <c r="S182" s="11">
        <f>IF(J182="","",O182+Q182-R182)</f>
        <v/>
      </c>
      <c r="T182">
        <f>IF(J182="","",IFERROR(IF(K182="",NA(),MATCH(K182,Products!$B$5:$B$204,0)),IFERROR(MATCH(J182,Products!$A$5:$A$204,0),"")))</f>
        <v/>
      </c>
      <c r="U182">
        <f>IF(J182="","",IF(T182="","⚠ not in Products",INDEX(Products!$A$5:$A$204,T182)))</f>
        <v/>
      </c>
      <c r="V182" s="11">
        <f>IF(J182="","",S182*(IFERROR(INDEX(Settings!$B$5:$B$9,MATCH($B182,Settings!$A$5:$A$9,0)),0)+IFERROR(INDEX(Settings!$E$5:$E$9,MATCH($B182,Settings!$A$5:$A$9,0)),0)+IFERROR(INDEX(Settings!$G$5:$G$9,MATCH($B182,Settings!$A$5:$A$9,0)),0))+(IFERROR(INDEX(Settings!$C$5:$C$9,MATCH($B182,Settings!$A$5:$A$9,0)),0)+IFERROR(INDEX(Settings!$F$5:$F$9,MATCH($B182,Settings!$A$5:$A$9,0)),0))/P182+IFERROR(INDEX(Settings!$D$5:$D$9,MATCH($B182,Settings!$A$5:$A$9,0)),0)*M182)</f>
        <v/>
      </c>
      <c r="W182" s="11">
        <f>IF(J182="","",IF(T182="",0,M182*INDEX(Products!$I$5:$I$204,T182)))</f>
        <v/>
      </c>
      <c r="X182" s="11">
        <f>IF(J182="","",IF(T182="",0,S182*INDEX(Products!$H$5:$H$204,T182)))</f>
        <v/>
      </c>
      <c r="Y182" s="11">
        <f>IF(J182="","",S182-V182-W182-X182)</f>
        <v/>
      </c>
    </row>
    <row r="183">
      <c r="A183" s="19" t="n"/>
      <c r="B183" s="19" t="n"/>
      <c r="C183" s="19" t="n"/>
      <c r="D183" s="19" t="n"/>
      <c r="E183" s="19" t="n"/>
      <c r="F183" s="20" t="n"/>
      <c r="G183" s="20" t="n"/>
      <c r="H183" s="20" t="n"/>
      <c r="I183" s="19" t="n"/>
      <c r="J183">
        <f>IFERROR(IF(C183="","",C183)&amp;"","")</f>
        <v/>
      </c>
      <c r="K183">
        <f>IFERROR(IF(D183="","",D183)&amp;"","")</f>
        <v/>
      </c>
      <c r="L183">
        <f>IFERROR(IF(I183="","",I183)&amp;"","")</f>
        <v/>
      </c>
      <c r="M183">
        <f>IF(J183="","",IFERROR(VALUE(SUBSTITUTE(SUBSTITUTE(IF(E183="","",E183)&amp;"","$",""),",","")),0))</f>
        <v/>
      </c>
      <c r="N183" s="11">
        <f>IF(J183="","",IFERROR(VALUE(SUBSTITUTE(SUBSTITUTE(IF(F183="","",F183)&amp;"","$",""),",","")),0))</f>
        <v/>
      </c>
      <c r="O183" s="11">
        <f>IF(J183="","",M183*N183)</f>
        <v/>
      </c>
      <c r="P183">
        <f>IF(J183="","",IF(L183="",1,COUNTIF($L$2:$L$1501,L183)))</f>
        <v/>
      </c>
      <c r="Q183" s="11">
        <f>IF(J183="","",IFERROR(VALUE(SUBSTITUTE(SUBSTITUTE(IF(G183="","",G183)&amp;"","$",""),",","")),0)/IF("No"="Yes",P183,1))</f>
        <v/>
      </c>
      <c r="R183" s="11">
        <f>IF(J183="","",IFERROR(VALUE(SUBSTITUTE(SUBSTITUTE(IF(H183="","",H183)&amp;"","$",""),",","")),0)/IF("No"="Yes",P183,1))</f>
        <v/>
      </c>
      <c r="S183" s="11">
        <f>IF(J183="","",O183+Q183-R183)</f>
        <v/>
      </c>
      <c r="T183">
        <f>IF(J183="","",IFERROR(IF(K183="",NA(),MATCH(K183,Products!$B$5:$B$204,0)),IFERROR(MATCH(J183,Products!$A$5:$A$204,0),"")))</f>
        <v/>
      </c>
      <c r="U183">
        <f>IF(J183="","",IF(T183="","⚠ not in Products",INDEX(Products!$A$5:$A$204,T183)))</f>
        <v/>
      </c>
      <c r="V183" s="11">
        <f>IF(J183="","",S183*(IFERROR(INDEX(Settings!$B$5:$B$9,MATCH($B183,Settings!$A$5:$A$9,0)),0)+IFERROR(INDEX(Settings!$E$5:$E$9,MATCH($B183,Settings!$A$5:$A$9,0)),0)+IFERROR(INDEX(Settings!$G$5:$G$9,MATCH($B183,Settings!$A$5:$A$9,0)),0))+(IFERROR(INDEX(Settings!$C$5:$C$9,MATCH($B183,Settings!$A$5:$A$9,0)),0)+IFERROR(INDEX(Settings!$F$5:$F$9,MATCH($B183,Settings!$A$5:$A$9,0)),0))/P183+IFERROR(INDEX(Settings!$D$5:$D$9,MATCH($B183,Settings!$A$5:$A$9,0)),0)*M183)</f>
        <v/>
      </c>
      <c r="W183" s="11">
        <f>IF(J183="","",IF(T183="",0,M183*INDEX(Products!$I$5:$I$204,T183)))</f>
        <v/>
      </c>
      <c r="X183" s="11">
        <f>IF(J183="","",IF(T183="",0,S183*INDEX(Products!$H$5:$H$204,T183)))</f>
        <v/>
      </c>
      <c r="Y183" s="11">
        <f>IF(J183="","",S183-V183-W183-X183)</f>
        <v/>
      </c>
    </row>
    <row r="184">
      <c r="A184" s="19" t="n"/>
      <c r="B184" s="19" t="n"/>
      <c r="C184" s="19" t="n"/>
      <c r="D184" s="19" t="n"/>
      <c r="E184" s="19" t="n"/>
      <c r="F184" s="20" t="n"/>
      <c r="G184" s="20" t="n"/>
      <c r="H184" s="20" t="n"/>
      <c r="I184" s="19" t="n"/>
      <c r="J184">
        <f>IFERROR(IF(C184="","",C184)&amp;"","")</f>
        <v/>
      </c>
      <c r="K184">
        <f>IFERROR(IF(D184="","",D184)&amp;"","")</f>
        <v/>
      </c>
      <c r="L184">
        <f>IFERROR(IF(I184="","",I184)&amp;"","")</f>
        <v/>
      </c>
      <c r="M184">
        <f>IF(J184="","",IFERROR(VALUE(SUBSTITUTE(SUBSTITUTE(IF(E184="","",E184)&amp;"","$",""),",","")),0))</f>
        <v/>
      </c>
      <c r="N184" s="11">
        <f>IF(J184="","",IFERROR(VALUE(SUBSTITUTE(SUBSTITUTE(IF(F184="","",F184)&amp;"","$",""),",","")),0))</f>
        <v/>
      </c>
      <c r="O184" s="11">
        <f>IF(J184="","",M184*N184)</f>
        <v/>
      </c>
      <c r="P184">
        <f>IF(J184="","",IF(L184="",1,COUNTIF($L$2:$L$1501,L184)))</f>
        <v/>
      </c>
      <c r="Q184" s="11">
        <f>IF(J184="","",IFERROR(VALUE(SUBSTITUTE(SUBSTITUTE(IF(G184="","",G184)&amp;"","$",""),",","")),0)/IF("No"="Yes",P184,1))</f>
        <v/>
      </c>
      <c r="R184" s="11">
        <f>IF(J184="","",IFERROR(VALUE(SUBSTITUTE(SUBSTITUTE(IF(H184="","",H184)&amp;"","$",""),",","")),0)/IF("No"="Yes",P184,1))</f>
        <v/>
      </c>
      <c r="S184" s="11">
        <f>IF(J184="","",O184+Q184-R184)</f>
        <v/>
      </c>
      <c r="T184">
        <f>IF(J184="","",IFERROR(IF(K184="",NA(),MATCH(K184,Products!$B$5:$B$204,0)),IFERROR(MATCH(J184,Products!$A$5:$A$204,0),"")))</f>
        <v/>
      </c>
      <c r="U184">
        <f>IF(J184="","",IF(T184="","⚠ not in Products",INDEX(Products!$A$5:$A$204,T184)))</f>
        <v/>
      </c>
      <c r="V184" s="11">
        <f>IF(J184="","",S184*(IFERROR(INDEX(Settings!$B$5:$B$9,MATCH($B184,Settings!$A$5:$A$9,0)),0)+IFERROR(INDEX(Settings!$E$5:$E$9,MATCH($B184,Settings!$A$5:$A$9,0)),0)+IFERROR(INDEX(Settings!$G$5:$G$9,MATCH($B184,Settings!$A$5:$A$9,0)),0))+(IFERROR(INDEX(Settings!$C$5:$C$9,MATCH($B184,Settings!$A$5:$A$9,0)),0)+IFERROR(INDEX(Settings!$F$5:$F$9,MATCH($B184,Settings!$A$5:$A$9,0)),0))/P184+IFERROR(INDEX(Settings!$D$5:$D$9,MATCH($B184,Settings!$A$5:$A$9,0)),0)*M184)</f>
        <v/>
      </c>
      <c r="W184" s="11">
        <f>IF(J184="","",IF(T184="",0,M184*INDEX(Products!$I$5:$I$204,T184)))</f>
        <v/>
      </c>
      <c r="X184" s="11">
        <f>IF(J184="","",IF(T184="",0,S184*INDEX(Products!$H$5:$H$204,T184)))</f>
        <v/>
      </c>
      <c r="Y184" s="11">
        <f>IF(J184="","",S184-V184-W184-X184)</f>
        <v/>
      </c>
    </row>
    <row r="185">
      <c r="A185" s="19" t="n"/>
      <c r="B185" s="19" t="n"/>
      <c r="C185" s="19" t="n"/>
      <c r="D185" s="19" t="n"/>
      <c r="E185" s="19" t="n"/>
      <c r="F185" s="20" t="n"/>
      <c r="G185" s="20" t="n"/>
      <c r="H185" s="20" t="n"/>
      <c r="I185" s="19" t="n"/>
      <c r="J185">
        <f>IFERROR(IF(C185="","",C185)&amp;"","")</f>
        <v/>
      </c>
      <c r="K185">
        <f>IFERROR(IF(D185="","",D185)&amp;"","")</f>
        <v/>
      </c>
      <c r="L185">
        <f>IFERROR(IF(I185="","",I185)&amp;"","")</f>
        <v/>
      </c>
      <c r="M185">
        <f>IF(J185="","",IFERROR(VALUE(SUBSTITUTE(SUBSTITUTE(IF(E185="","",E185)&amp;"","$",""),",","")),0))</f>
        <v/>
      </c>
      <c r="N185" s="11">
        <f>IF(J185="","",IFERROR(VALUE(SUBSTITUTE(SUBSTITUTE(IF(F185="","",F185)&amp;"","$",""),",","")),0))</f>
        <v/>
      </c>
      <c r="O185" s="11">
        <f>IF(J185="","",M185*N185)</f>
        <v/>
      </c>
      <c r="P185">
        <f>IF(J185="","",IF(L185="",1,COUNTIF($L$2:$L$1501,L185)))</f>
        <v/>
      </c>
      <c r="Q185" s="11">
        <f>IF(J185="","",IFERROR(VALUE(SUBSTITUTE(SUBSTITUTE(IF(G185="","",G185)&amp;"","$",""),",","")),0)/IF("No"="Yes",P185,1))</f>
        <v/>
      </c>
      <c r="R185" s="11">
        <f>IF(J185="","",IFERROR(VALUE(SUBSTITUTE(SUBSTITUTE(IF(H185="","",H185)&amp;"","$",""),",","")),0)/IF("No"="Yes",P185,1))</f>
        <v/>
      </c>
      <c r="S185" s="11">
        <f>IF(J185="","",O185+Q185-R185)</f>
        <v/>
      </c>
      <c r="T185">
        <f>IF(J185="","",IFERROR(IF(K185="",NA(),MATCH(K185,Products!$B$5:$B$204,0)),IFERROR(MATCH(J185,Products!$A$5:$A$204,0),"")))</f>
        <v/>
      </c>
      <c r="U185">
        <f>IF(J185="","",IF(T185="","⚠ not in Products",INDEX(Products!$A$5:$A$204,T185)))</f>
        <v/>
      </c>
      <c r="V185" s="11">
        <f>IF(J185="","",S185*(IFERROR(INDEX(Settings!$B$5:$B$9,MATCH($B185,Settings!$A$5:$A$9,0)),0)+IFERROR(INDEX(Settings!$E$5:$E$9,MATCH($B185,Settings!$A$5:$A$9,0)),0)+IFERROR(INDEX(Settings!$G$5:$G$9,MATCH($B185,Settings!$A$5:$A$9,0)),0))+(IFERROR(INDEX(Settings!$C$5:$C$9,MATCH($B185,Settings!$A$5:$A$9,0)),0)+IFERROR(INDEX(Settings!$F$5:$F$9,MATCH($B185,Settings!$A$5:$A$9,0)),0))/P185+IFERROR(INDEX(Settings!$D$5:$D$9,MATCH($B185,Settings!$A$5:$A$9,0)),0)*M185)</f>
        <v/>
      </c>
      <c r="W185" s="11">
        <f>IF(J185="","",IF(T185="",0,M185*INDEX(Products!$I$5:$I$204,T185)))</f>
        <v/>
      </c>
      <c r="X185" s="11">
        <f>IF(J185="","",IF(T185="",0,S185*INDEX(Products!$H$5:$H$204,T185)))</f>
        <v/>
      </c>
      <c r="Y185" s="11">
        <f>IF(J185="","",S185-V185-W185-X185)</f>
        <v/>
      </c>
    </row>
    <row r="186">
      <c r="A186" s="19" t="n"/>
      <c r="B186" s="19" t="n"/>
      <c r="C186" s="19" t="n"/>
      <c r="D186" s="19" t="n"/>
      <c r="E186" s="19" t="n"/>
      <c r="F186" s="20" t="n"/>
      <c r="G186" s="20" t="n"/>
      <c r="H186" s="20" t="n"/>
      <c r="I186" s="19" t="n"/>
      <c r="J186">
        <f>IFERROR(IF(C186="","",C186)&amp;"","")</f>
        <v/>
      </c>
      <c r="K186">
        <f>IFERROR(IF(D186="","",D186)&amp;"","")</f>
        <v/>
      </c>
      <c r="L186">
        <f>IFERROR(IF(I186="","",I186)&amp;"","")</f>
        <v/>
      </c>
      <c r="M186">
        <f>IF(J186="","",IFERROR(VALUE(SUBSTITUTE(SUBSTITUTE(IF(E186="","",E186)&amp;"","$",""),",","")),0))</f>
        <v/>
      </c>
      <c r="N186" s="11">
        <f>IF(J186="","",IFERROR(VALUE(SUBSTITUTE(SUBSTITUTE(IF(F186="","",F186)&amp;"","$",""),",","")),0))</f>
        <v/>
      </c>
      <c r="O186" s="11">
        <f>IF(J186="","",M186*N186)</f>
        <v/>
      </c>
      <c r="P186">
        <f>IF(J186="","",IF(L186="",1,COUNTIF($L$2:$L$1501,L186)))</f>
        <v/>
      </c>
      <c r="Q186" s="11">
        <f>IF(J186="","",IFERROR(VALUE(SUBSTITUTE(SUBSTITUTE(IF(G186="","",G186)&amp;"","$",""),",","")),0)/IF("No"="Yes",P186,1))</f>
        <v/>
      </c>
      <c r="R186" s="11">
        <f>IF(J186="","",IFERROR(VALUE(SUBSTITUTE(SUBSTITUTE(IF(H186="","",H186)&amp;"","$",""),",","")),0)/IF("No"="Yes",P186,1))</f>
        <v/>
      </c>
      <c r="S186" s="11">
        <f>IF(J186="","",O186+Q186-R186)</f>
        <v/>
      </c>
      <c r="T186">
        <f>IF(J186="","",IFERROR(IF(K186="",NA(),MATCH(K186,Products!$B$5:$B$204,0)),IFERROR(MATCH(J186,Products!$A$5:$A$204,0),"")))</f>
        <v/>
      </c>
      <c r="U186">
        <f>IF(J186="","",IF(T186="","⚠ not in Products",INDEX(Products!$A$5:$A$204,T186)))</f>
        <v/>
      </c>
      <c r="V186" s="11">
        <f>IF(J186="","",S186*(IFERROR(INDEX(Settings!$B$5:$B$9,MATCH($B186,Settings!$A$5:$A$9,0)),0)+IFERROR(INDEX(Settings!$E$5:$E$9,MATCH($B186,Settings!$A$5:$A$9,0)),0)+IFERROR(INDEX(Settings!$G$5:$G$9,MATCH($B186,Settings!$A$5:$A$9,0)),0))+(IFERROR(INDEX(Settings!$C$5:$C$9,MATCH($B186,Settings!$A$5:$A$9,0)),0)+IFERROR(INDEX(Settings!$F$5:$F$9,MATCH($B186,Settings!$A$5:$A$9,0)),0))/P186+IFERROR(INDEX(Settings!$D$5:$D$9,MATCH($B186,Settings!$A$5:$A$9,0)),0)*M186)</f>
        <v/>
      </c>
      <c r="W186" s="11">
        <f>IF(J186="","",IF(T186="",0,M186*INDEX(Products!$I$5:$I$204,T186)))</f>
        <v/>
      </c>
      <c r="X186" s="11">
        <f>IF(J186="","",IF(T186="",0,S186*INDEX(Products!$H$5:$H$204,T186)))</f>
        <v/>
      </c>
      <c r="Y186" s="11">
        <f>IF(J186="","",S186-V186-W186-X186)</f>
        <v/>
      </c>
    </row>
    <row r="187">
      <c r="A187" s="19" t="n"/>
      <c r="B187" s="19" t="n"/>
      <c r="C187" s="19" t="n"/>
      <c r="D187" s="19" t="n"/>
      <c r="E187" s="19" t="n"/>
      <c r="F187" s="20" t="n"/>
      <c r="G187" s="20" t="n"/>
      <c r="H187" s="20" t="n"/>
      <c r="I187" s="19" t="n"/>
      <c r="J187">
        <f>IFERROR(IF(C187="","",C187)&amp;"","")</f>
        <v/>
      </c>
      <c r="K187">
        <f>IFERROR(IF(D187="","",D187)&amp;"","")</f>
        <v/>
      </c>
      <c r="L187">
        <f>IFERROR(IF(I187="","",I187)&amp;"","")</f>
        <v/>
      </c>
      <c r="M187">
        <f>IF(J187="","",IFERROR(VALUE(SUBSTITUTE(SUBSTITUTE(IF(E187="","",E187)&amp;"","$",""),",","")),0))</f>
        <v/>
      </c>
      <c r="N187" s="11">
        <f>IF(J187="","",IFERROR(VALUE(SUBSTITUTE(SUBSTITUTE(IF(F187="","",F187)&amp;"","$",""),",","")),0))</f>
        <v/>
      </c>
      <c r="O187" s="11">
        <f>IF(J187="","",M187*N187)</f>
        <v/>
      </c>
      <c r="P187">
        <f>IF(J187="","",IF(L187="",1,COUNTIF($L$2:$L$1501,L187)))</f>
        <v/>
      </c>
      <c r="Q187" s="11">
        <f>IF(J187="","",IFERROR(VALUE(SUBSTITUTE(SUBSTITUTE(IF(G187="","",G187)&amp;"","$",""),",","")),0)/IF("No"="Yes",P187,1))</f>
        <v/>
      </c>
      <c r="R187" s="11">
        <f>IF(J187="","",IFERROR(VALUE(SUBSTITUTE(SUBSTITUTE(IF(H187="","",H187)&amp;"","$",""),",","")),0)/IF("No"="Yes",P187,1))</f>
        <v/>
      </c>
      <c r="S187" s="11">
        <f>IF(J187="","",O187+Q187-R187)</f>
        <v/>
      </c>
      <c r="T187">
        <f>IF(J187="","",IFERROR(IF(K187="",NA(),MATCH(K187,Products!$B$5:$B$204,0)),IFERROR(MATCH(J187,Products!$A$5:$A$204,0),"")))</f>
        <v/>
      </c>
      <c r="U187">
        <f>IF(J187="","",IF(T187="","⚠ not in Products",INDEX(Products!$A$5:$A$204,T187)))</f>
        <v/>
      </c>
      <c r="V187" s="11">
        <f>IF(J187="","",S187*(IFERROR(INDEX(Settings!$B$5:$B$9,MATCH($B187,Settings!$A$5:$A$9,0)),0)+IFERROR(INDEX(Settings!$E$5:$E$9,MATCH($B187,Settings!$A$5:$A$9,0)),0)+IFERROR(INDEX(Settings!$G$5:$G$9,MATCH($B187,Settings!$A$5:$A$9,0)),0))+(IFERROR(INDEX(Settings!$C$5:$C$9,MATCH($B187,Settings!$A$5:$A$9,0)),0)+IFERROR(INDEX(Settings!$F$5:$F$9,MATCH($B187,Settings!$A$5:$A$9,0)),0))/P187+IFERROR(INDEX(Settings!$D$5:$D$9,MATCH($B187,Settings!$A$5:$A$9,0)),0)*M187)</f>
        <v/>
      </c>
      <c r="W187" s="11">
        <f>IF(J187="","",IF(T187="",0,M187*INDEX(Products!$I$5:$I$204,T187)))</f>
        <v/>
      </c>
      <c r="X187" s="11">
        <f>IF(J187="","",IF(T187="",0,S187*INDEX(Products!$H$5:$H$204,T187)))</f>
        <v/>
      </c>
      <c r="Y187" s="11">
        <f>IF(J187="","",S187-V187-W187-X187)</f>
        <v/>
      </c>
    </row>
    <row r="188">
      <c r="A188" s="19" t="n"/>
      <c r="B188" s="19" t="n"/>
      <c r="C188" s="19" t="n"/>
      <c r="D188" s="19" t="n"/>
      <c r="E188" s="19" t="n"/>
      <c r="F188" s="20" t="n"/>
      <c r="G188" s="20" t="n"/>
      <c r="H188" s="20" t="n"/>
      <c r="I188" s="19" t="n"/>
      <c r="J188">
        <f>IFERROR(IF(C188="","",C188)&amp;"","")</f>
        <v/>
      </c>
      <c r="K188">
        <f>IFERROR(IF(D188="","",D188)&amp;"","")</f>
        <v/>
      </c>
      <c r="L188">
        <f>IFERROR(IF(I188="","",I188)&amp;"","")</f>
        <v/>
      </c>
      <c r="M188">
        <f>IF(J188="","",IFERROR(VALUE(SUBSTITUTE(SUBSTITUTE(IF(E188="","",E188)&amp;"","$",""),",","")),0))</f>
        <v/>
      </c>
      <c r="N188" s="11">
        <f>IF(J188="","",IFERROR(VALUE(SUBSTITUTE(SUBSTITUTE(IF(F188="","",F188)&amp;"","$",""),",","")),0))</f>
        <v/>
      </c>
      <c r="O188" s="11">
        <f>IF(J188="","",M188*N188)</f>
        <v/>
      </c>
      <c r="P188">
        <f>IF(J188="","",IF(L188="",1,COUNTIF($L$2:$L$1501,L188)))</f>
        <v/>
      </c>
      <c r="Q188" s="11">
        <f>IF(J188="","",IFERROR(VALUE(SUBSTITUTE(SUBSTITUTE(IF(G188="","",G188)&amp;"","$",""),",","")),0)/IF("No"="Yes",P188,1))</f>
        <v/>
      </c>
      <c r="R188" s="11">
        <f>IF(J188="","",IFERROR(VALUE(SUBSTITUTE(SUBSTITUTE(IF(H188="","",H188)&amp;"","$",""),",","")),0)/IF("No"="Yes",P188,1))</f>
        <v/>
      </c>
      <c r="S188" s="11">
        <f>IF(J188="","",O188+Q188-R188)</f>
        <v/>
      </c>
      <c r="T188">
        <f>IF(J188="","",IFERROR(IF(K188="",NA(),MATCH(K188,Products!$B$5:$B$204,0)),IFERROR(MATCH(J188,Products!$A$5:$A$204,0),"")))</f>
        <v/>
      </c>
      <c r="U188">
        <f>IF(J188="","",IF(T188="","⚠ not in Products",INDEX(Products!$A$5:$A$204,T188)))</f>
        <v/>
      </c>
      <c r="V188" s="11">
        <f>IF(J188="","",S188*(IFERROR(INDEX(Settings!$B$5:$B$9,MATCH($B188,Settings!$A$5:$A$9,0)),0)+IFERROR(INDEX(Settings!$E$5:$E$9,MATCH($B188,Settings!$A$5:$A$9,0)),0)+IFERROR(INDEX(Settings!$G$5:$G$9,MATCH($B188,Settings!$A$5:$A$9,0)),0))+(IFERROR(INDEX(Settings!$C$5:$C$9,MATCH($B188,Settings!$A$5:$A$9,0)),0)+IFERROR(INDEX(Settings!$F$5:$F$9,MATCH($B188,Settings!$A$5:$A$9,0)),0))/P188+IFERROR(INDEX(Settings!$D$5:$D$9,MATCH($B188,Settings!$A$5:$A$9,0)),0)*M188)</f>
        <v/>
      </c>
      <c r="W188" s="11">
        <f>IF(J188="","",IF(T188="",0,M188*INDEX(Products!$I$5:$I$204,T188)))</f>
        <v/>
      </c>
      <c r="X188" s="11">
        <f>IF(J188="","",IF(T188="",0,S188*INDEX(Products!$H$5:$H$204,T188)))</f>
        <v/>
      </c>
      <c r="Y188" s="11">
        <f>IF(J188="","",S188-V188-W188-X188)</f>
        <v/>
      </c>
    </row>
    <row r="189">
      <c r="A189" s="19" t="n"/>
      <c r="B189" s="19" t="n"/>
      <c r="C189" s="19" t="n"/>
      <c r="D189" s="19" t="n"/>
      <c r="E189" s="19" t="n"/>
      <c r="F189" s="20" t="n"/>
      <c r="G189" s="20" t="n"/>
      <c r="H189" s="20" t="n"/>
      <c r="I189" s="19" t="n"/>
      <c r="J189">
        <f>IFERROR(IF(C189="","",C189)&amp;"","")</f>
        <v/>
      </c>
      <c r="K189">
        <f>IFERROR(IF(D189="","",D189)&amp;"","")</f>
        <v/>
      </c>
      <c r="L189">
        <f>IFERROR(IF(I189="","",I189)&amp;"","")</f>
        <v/>
      </c>
      <c r="M189">
        <f>IF(J189="","",IFERROR(VALUE(SUBSTITUTE(SUBSTITUTE(IF(E189="","",E189)&amp;"","$",""),",","")),0))</f>
        <v/>
      </c>
      <c r="N189" s="11">
        <f>IF(J189="","",IFERROR(VALUE(SUBSTITUTE(SUBSTITUTE(IF(F189="","",F189)&amp;"","$",""),",","")),0))</f>
        <v/>
      </c>
      <c r="O189" s="11">
        <f>IF(J189="","",M189*N189)</f>
        <v/>
      </c>
      <c r="P189">
        <f>IF(J189="","",IF(L189="",1,COUNTIF($L$2:$L$1501,L189)))</f>
        <v/>
      </c>
      <c r="Q189" s="11">
        <f>IF(J189="","",IFERROR(VALUE(SUBSTITUTE(SUBSTITUTE(IF(G189="","",G189)&amp;"","$",""),",","")),0)/IF("No"="Yes",P189,1))</f>
        <v/>
      </c>
      <c r="R189" s="11">
        <f>IF(J189="","",IFERROR(VALUE(SUBSTITUTE(SUBSTITUTE(IF(H189="","",H189)&amp;"","$",""),",","")),0)/IF("No"="Yes",P189,1))</f>
        <v/>
      </c>
      <c r="S189" s="11">
        <f>IF(J189="","",O189+Q189-R189)</f>
        <v/>
      </c>
      <c r="T189">
        <f>IF(J189="","",IFERROR(IF(K189="",NA(),MATCH(K189,Products!$B$5:$B$204,0)),IFERROR(MATCH(J189,Products!$A$5:$A$204,0),"")))</f>
        <v/>
      </c>
      <c r="U189">
        <f>IF(J189="","",IF(T189="","⚠ not in Products",INDEX(Products!$A$5:$A$204,T189)))</f>
        <v/>
      </c>
      <c r="V189" s="11">
        <f>IF(J189="","",S189*(IFERROR(INDEX(Settings!$B$5:$B$9,MATCH($B189,Settings!$A$5:$A$9,0)),0)+IFERROR(INDEX(Settings!$E$5:$E$9,MATCH($B189,Settings!$A$5:$A$9,0)),0)+IFERROR(INDEX(Settings!$G$5:$G$9,MATCH($B189,Settings!$A$5:$A$9,0)),0))+(IFERROR(INDEX(Settings!$C$5:$C$9,MATCH($B189,Settings!$A$5:$A$9,0)),0)+IFERROR(INDEX(Settings!$F$5:$F$9,MATCH($B189,Settings!$A$5:$A$9,0)),0))/P189+IFERROR(INDEX(Settings!$D$5:$D$9,MATCH($B189,Settings!$A$5:$A$9,0)),0)*M189)</f>
        <v/>
      </c>
      <c r="W189" s="11">
        <f>IF(J189="","",IF(T189="",0,M189*INDEX(Products!$I$5:$I$204,T189)))</f>
        <v/>
      </c>
      <c r="X189" s="11">
        <f>IF(J189="","",IF(T189="",0,S189*INDEX(Products!$H$5:$H$204,T189)))</f>
        <v/>
      </c>
      <c r="Y189" s="11">
        <f>IF(J189="","",S189-V189-W189-X189)</f>
        <v/>
      </c>
    </row>
    <row r="190">
      <c r="A190" s="19" t="n"/>
      <c r="B190" s="19" t="n"/>
      <c r="C190" s="19" t="n"/>
      <c r="D190" s="19" t="n"/>
      <c r="E190" s="19" t="n"/>
      <c r="F190" s="20" t="n"/>
      <c r="G190" s="20" t="n"/>
      <c r="H190" s="20" t="n"/>
      <c r="I190" s="19" t="n"/>
      <c r="J190">
        <f>IFERROR(IF(C190="","",C190)&amp;"","")</f>
        <v/>
      </c>
      <c r="K190">
        <f>IFERROR(IF(D190="","",D190)&amp;"","")</f>
        <v/>
      </c>
      <c r="L190">
        <f>IFERROR(IF(I190="","",I190)&amp;"","")</f>
        <v/>
      </c>
      <c r="M190">
        <f>IF(J190="","",IFERROR(VALUE(SUBSTITUTE(SUBSTITUTE(IF(E190="","",E190)&amp;"","$",""),",","")),0))</f>
        <v/>
      </c>
      <c r="N190" s="11">
        <f>IF(J190="","",IFERROR(VALUE(SUBSTITUTE(SUBSTITUTE(IF(F190="","",F190)&amp;"","$",""),",","")),0))</f>
        <v/>
      </c>
      <c r="O190" s="11">
        <f>IF(J190="","",M190*N190)</f>
        <v/>
      </c>
      <c r="P190">
        <f>IF(J190="","",IF(L190="",1,COUNTIF($L$2:$L$1501,L190)))</f>
        <v/>
      </c>
      <c r="Q190" s="11">
        <f>IF(J190="","",IFERROR(VALUE(SUBSTITUTE(SUBSTITUTE(IF(G190="","",G190)&amp;"","$",""),",","")),0)/IF("No"="Yes",P190,1))</f>
        <v/>
      </c>
      <c r="R190" s="11">
        <f>IF(J190="","",IFERROR(VALUE(SUBSTITUTE(SUBSTITUTE(IF(H190="","",H190)&amp;"","$",""),",","")),0)/IF("No"="Yes",P190,1))</f>
        <v/>
      </c>
      <c r="S190" s="11">
        <f>IF(J190="","",O190+Q190-R190)</f>
        <v/>
      </c>
      <c r="T190">
        <f>IF(J190="","",IFERROR(IF(K190="",NA(),MATCH(K190,Products!$B$5:$B$204,0)),IFERROR(MATCH(J190,Products!$A$5:$A$204,0),"")))</f>
        <v/>
      </c>
      <c r="U190">
        <f>IF(J190="","",IF(T190="","⚠ not in Products",INDEX(Products!$A$5:$A$204,T190)))</f>
        <v/>
      </c>
      <c r="V190" s="11">
        <f>IF(J190="","",S190*(IFERROR(INDEX(Settings!$B$5:$B$9,MATCH($B190,Settings!$A$5:$A$9,0)),0)+IFERROR(INDEX(Settings!$E$5:$E$9,MATCH($B190,Settings!$A$5:$A$9,0)),0)+IFERROR(INDEX(Settings!$G$5:$G$9,MATCH($B190,Settings!$A$5:$A$9,0)),0))+(IFERROR(INDEX(Settings!$C$5:$C$9,MATCH($B190,Settings!$A$5:$A$9,0)),0)+IFERROR(INDEX(Settings!$F$5:$F$9,MATCH($B190,Settings!$A$5:$A$9,0)),0))/P190+IFERROR(INDEX(Settings!$D$5:$D$9,MATCH($B190,Settings!$A$5:$A$9,0)),0)*M190)</f>
        <v/>
      </c>
      <c r="W190" s="11">
        <f>IF(J190="","",IF(T190="",0,M190*INDEX(Products!$I$5:$I$204,T190)))</f>
        <v/>
      </c>
      <c r="X190" s="11">
        <f>IF(J190="","",IF(T190="",0,S190*INDEX(Products!$H$5:$H$204,T190)))</f>
        <v/>
      </c>
      <c r="Y190" s="11">
        <f>IF(J190="","",S190-V190-W190-X190)</f>
        <v/>
      </c>
    </row>
    <row r="191">
      <c r="A191" s="19" t="n"/>
      <c r="B191" s="19" t="n"/>
      <c r="C191" s="19" t="n"/>
      <c r="D191" s="19" t="n"/>
      <c r="E191" s="19" t="n"/>
      <c r="F191" s="20" t="n"/>
      <c r="G191" s="20" t="n"/>
      <c r="H191" s="20" t="n"/>
      <c r="I191" s="19" t="n"/>
      <c r="J191">
        <f>IFERROR(IF(C191="","",C191)&amp;"","")</f>
        <v/>
      </c>
      <c r="K191">
        <f>IFERROR(IF(D191="","",D191)&amp;"","")</f>
        <v/>
      </c>
      <c r="L191">
        <f>IFERROR(IF(I191="","",I191)&amp;"","")</f>
        <v/>
      </c>
      <c r="M191">
        <f>IF(J191="","",IFERROR(VALUE(SUBSTITUTE(SUBSTITUTE(IF(E191="","",E191)&amp;"","$",""),",","")),0))</f>
        <v/>
      </c>
      <c r="N191" s="11">
        <f>IF(J191="","",IFERROR(VALUE(SUBSTITUTE(SUBSTITUTE(IF(F191="","",F191)&amp;"","$",""),",","")),0))</f>
        <v/>
      </c>
      <c r="O191" s="11">
        <f>IF(J191="","",M191*N191)</f>
        <v/>
      </c>
      <c r="P191">
        <f>IF(J191="","",IF(L191="",1,COUNTIF($L$2:$L$1501,L191)))</f>
        <v/>
      </c>
      <c r="Q191" s="11">
        <f>IF(J191="","",IFERROR(VALUE(SUBSTITUTE(SUBSTITUTE(IF(G191="","",G191)&amp;"","$",""),",","")),0)/IF("No"="Yes",P191,1))</f>
        <v/>
      </c>
      <c r="R191" s="11">
        <f>IF(J191="","",IFERROR(VALUE(SUBSTITUTE(SUBSTITUTE(IF(H191="","",H191)&amp;"","$",""),",","")),0)/IF("No"="Yes",P191,1))</f>
        <v/>
      </c>
      <c r="S191" s="11">
        <f>IF(J191="","",O191+Q191-R191)</f>
        <v/>
      </c>
      <c r="T191">
        <f>IF(J191="","",IFERROR(IF(K191="",NA(),MATCH(K191,Products!$B$5:$B$204,0)),IFERROR(MATCH(J191,Products!$A$5:$A$204,0),"")))</f>
        <v/>
      </c>
      <c r="U191">
        <f>IF(J191="","",IF(T191="","⚠ not in Products",INDEX(Products!$A$5:$A$204,T191)))</f>
        <v/>
      </c>
      <c r="V191" s="11">
        <f>IF(J191="","",S191*(IFERROR(INDEX(Settings!$B$5:$B$9,MATCH($B191,Settings!$A$5:$A$9,0)),0)+IFERROR(INDEX(Settings!$E$5:$E$9,MATCH($B191,Settings!$A$5:$A$9,0)),0)+IFERROR(INDEX(Settings!$G$5:$G$9,MATCH($B191,Settings!$A$5:$A$9,0)),0))+(IFERROR(INDEX(Settings!$C$5:$C$9,MATCH($B191,Settings!$A$5:$A$9,0)),0)+IFERROR(INDEX(Settings!$F$5:$F$9,MATCH($B191,Settings!$A$5:$A$9,0)),0))/P191+IFERROR(INDEX(Settings!$D$5:$D$9,MATCH($B191,Settings!$A$5:$A$9,0)),0)*M191)</f>
        <v/>
      </c>
      <c r="W191" s="11">
        <f>IF(J191="","",IF(T191="",0,M191*INDEX(Products!$I$5:$I$204,T191)))</f>
        <v/>
      </c>
      <c r="X191" s="11">
        <f>IF(J191="","",IF(T191="",0,S191*INDEX(Products!$H$5:$H$204,T191)))</f>
        <v/>
      </c>
      <c r="Y191" s="11">
        <f>IF(J191="","",S191-V191-W191-X191)</f>
        <v/>
      </c>
    </row>
    <row r="192">
      <c r="A192" s="19" t="n"/>
      <c r="B192" s="19" t="n"/>
      <c r="C192" s="19" t="n"/>
      <c r="D192" s="19" t="n"/>
      <c r="E192" s="19" t="n"/>
      <c r="F192" s="20" t="n"/>
      <c r="G192" s="20" t="n"/>
      <c r="H192" s="20" t="n"/>
      <c r="I192" s="19" t="n"/>
      <c r="J192">
        <f>IFERROR(IF(C192="","",C192)&amp;"","")</f>
        <v/>
      </c>
      <c r="K192">
        <f>IFERROR(IF(D192="","",D192)&amp;"","")</f>
        <v/>
      </c>
      <c r="L192">
        <f>IFERROR(IF(I192="","",I192)&amp;"","")</f>
        <v/>
      </c>
      <c r="M192">
        <f>IF(J192="","",IFERROR(VALUE(SUBSTITUTE(SUBSTITUTE(IF(E192="","",E192)&amp;"","$",""),",","")),0))</f>
        <v/>
      </c>
      <c r="N192" s="11">
        <f>IF(J192="","",IFERROR(VALUE(SUBSTITUTE(SUBSTITUTE(IF(F192="","",F192)&amp;"","$",""),",","")),0))</f>
        <v/>
      </c>
      <c r="O192" s="11">
        <f>IF(J192="","",M192*N192)</f>
        <v/>
      </c>
      <c r="P192">
        <f>IF(J192="","",IF(L192="",1,COUNTIF($L$2:$L$1501,L192)))</f>
        <v/>
      </c>
      <c r="Q192" s="11">
        <f>IF(J192="","",IFERROR(VALUE(SUBSTITUTE(SUBSTITUTE(IF(G192="","",G192)&amp;"","$",""),",","")),0)/IF("No"="Yes",P192,1))</f>
        <v/>
      </c>
      <c r="R192" s="11">
        <f>IF(J192="","",IFERROR(VALUE(SUBSTITUTE(SUBSTITUTE(IF(H192="","",H192)&amp;"","$",""),",","")),0)/IF("No"="Yes",P192,1))</f>
        <v/>
      </c>
      <c r="S192" s="11">
        <f>IF(J192="","",O192+Q192-R192)</f>
        <v/>
      </c>
      <c r="T192">
        <f>IF(J192="","",IFERROR(IF(K192="",NA(),MATCH(K192,Products!$B$5:$B$204,0)),IFERROR(MATCH(J192,Products!$A$5:$A$204,0),"")))</f>
        <v/>
      </c>
      <c r="U192">
        <f>IF(J192="","",IF(T192="","⚠ not in Products",INDEX(Products!$A$5:$A$204,T192)))</f>
        <v/>
      </c>
      <c r="V192" s="11">
        <f>IF(J192="","",S192*(IFERROR(INDEX(Settings!$B$5:$B$9,MATCH($B192,Settings!$A$5:$A$9,0)),0)+IFERROR(INDEX(Settings!$E$5:$E$9,MATCH($B192,Settings!$A$5:$A$9,0)),0)+IFERROR(INDEX(Settings!$G$5:$G$9,MATCH($B192,Settings!$A$5:$A$9,0)),0))+(IFERROR(INDEX(Settings!$C$5:$C$9,MATCH($B192,Settings!$A$5:$A$9,0)),0)+IFERROR(INDEX(Settings!$F$5:$F$9,MATCH($B192,Settings!$A$5:$A$9,0)),0))/P192+IFERROR(INDEX(Settings!$D$5:$D$9,MATCH($B192,Settings!$A$5:$A$9,0)),0)*M192)</f>
        <v/>
      </c>
      <c r="W192" s="11">
        <f>IF(J192="","",IF(T192="",0,M192*INDEX(Products!$I$5:$I$204,T192)))</f>
        <v/>
      </c>
      <c r="X192" s="11">
        <f>IF(J192="","",IF(T192="",0,S192*INDEX(Products!$H$5:$H$204,T192)))</f>
        <v/>
      </c>
      <c r="Y192" s="11">
        <f>IF(J192="","",S192-V192-W192-X192)</f>
        <v/>
      </c>
    </row>
    <row r="193">
      <c r="A193" s="19" t="n"/>
      <c r="B193" s="19" t="n"/>
      <c r="C193" s="19" t="n"/>
      <c r="D193" s="19" t="n"/>
      <c r="E193" s="19" t="n"/>
      <c r="F193" s="20" t="n"/>
      <c r="G193" s="20" t="n"/>
      <c r="H193" s="20" t="n"/>
      <c r="I193" s="19" t="n"/>
      <c r="J193">
        <f>IFERROR(IF(C193="","",C193)&amp;"","")</f>
        <v/>
      </c>
      <c r="K193">
        <f>IFERROR(IF(D193="","",D193)&amp;"","")</f>
        <v/>
      </c>
      <c r="L193">
        <f>IFERROR(IF(I193="","",I193)&amp;"","")</f>
        <v/>
      </c>
      <c r="M193">
        <f>IF(J193="","",IFERROR(VALUE(SUBSTITUTE(SUBSTITUTE(IF(E193="","",E193)&amp;"","$",""),",","")),0))</f>
        <v/>
      </c>
      <c r="N193" s="11">
        <f>IF(J193="","",IFERROR(VALUE(SUBSTITUTE(SUBSTITUTE(IF(F193="","",F193)&amp;"","$",""),",","")),0))</f>
        <v/>
      </c>
      <c r="O193" s="11">
        <f>IF(J193="","",M193*N193)</f>
        <v/>
      </c>
      <c r="P193">
        <f>IF(J193="","",IF(L193="",1,COUNTIF($L$2:$L$1501,L193)))</f>
        <v/>
      </c>
      <c r="Q193" s="11">
        <f>IF(J193="","",IFERROR(VALUE(SUBSTITUTE(SUBSTITUTE(IF(G193="","",G193)&amp;"","$",""),",","")),0)/IF("No"="Yes",P193,1))</f>
        <v/>
      </c>
      <c r="R193" s="11">
        <f>IF(J193="","",IFERROR(VALUE(SUBSTITUTE(SUBSTITUTE(IF(H193="","",H193)&amp;"","$",""),",","")),0)/IF("No"="Yes",P193,1))</f>
        <v/>
      </c>
      <c r="S193" s="11">
        <f>IF(J193="","",O193+Q193-R193)</f>
        <v/>
      </c>
      <c r="T193">
        <f>IF(J193="","",IFERROR(IF(K193="",NA(),MATCH(K193,Products!$B$5:$B$204,0)),IFERROR(MATCH(J193,Products!$A$5:$A$204,0),"")))</f>
        <v/>
      </c>
      <c r="U193">
        <f>IF(J193="","",IF(T193="","⚠ not in Products",INDEX(Products!$A$5:$A$204,T193)))</f>
        <v/>
      </c>
      <c r="V193" s="11">
        <f>IF(J193="","",S193*(IFERROR(INDEX(Settings!$B$5:$B$9,MATCH($B193,Settings!$A$5:$A$9,0)),0)+IFERROR(INDEX(Settings!$E$5:$E$9,MATCH($B193,Settings!$A$5:$A$9,0)),0)+IFERROR(INDEX(Settings!$G$5:$G$9,MATCH($B193,Settings!$A$5:$A$9,0)),0))+(IFERROR(INDEX(Settings!$C$5:$C$9,MATCH($B193,Settings!$A$5:$A$9,0)),0)+IFERROR(INDEX(Settings!$F$5:$F$9,MATCH($B193,Settings!$A$5:$A$9,0)),0))/P193+IFERROR(INDEX(Settings!$D$5:$D$9,MATCH($B193,Settings!$A$5:$A$9,0)),0)*M193)</f>
        <v/>
      </c>
      <c r="W193" s="11">
        <f>IF(J193="","",IF(T193="",0,M193*INDEX(Products!$I$5:$I$204,T193)))</f>
        <v/>
      </c>
      <c r="X193" s="11">
        <f>IF(J193="","",IF(T193="",0,S193*INDEX(Products!$H$5:$H$204,T193)))</f>
        <v/>
      </c>
      <c r="Y193" s="11">
        <f>IF(J193="","",S193-V193-W193-X193)</f>
        <v/>
      </c>
    </row>
    <row r="194">
      <c r="A194" s="19" t="n"/>
      <c r="B194" s="19" t="n"/>
      <c r="C194" s="19" t="n"/>
      <c r="D194" s="19" t="n"/>
      <c r="E194" s="19" t="n"/>
      <c r="F194" s="20" t="n"/>
      <c r="G194" s="20" t="n"/>
      <c r="H194" s="20" t="n"/>
      <c r="I194" s="19" t="n"/>
      <c r="J194">
        <f>IFERROR(IF(C194="","",C194)&amp;"","")</f>
        <v/>
      </c>
      <c r="K194">
        <f>IFERROR(IF(D194="","",D194)&amp;"","")</f>
        <v/>
      </c>
      <c r="L194">
        <f>IFERROR(IF(I194="","",I194)&amp;"","")</f>
        <v/>
      </c>
      <c r="M194">
        <f>IF(J194="","",IFERROR(VALUE(SUBSTITUTE(SUBSTITUTE(IF(E194="","",E194)&amp;"","$",""),",","")),0))</f>
        <v/>
      </c>
      <c r="N194" s="11">
        <f>IF(J194="","",IFERROR(VALUE(SUBSTITUTE(SUBSTITUTE(IF(F194="","",F194)&amp;"","$",""),",","")),0))</f>
        <v/>
      </c>
      <c r="O194" s="11">
        <f>IF(J194="","",M194*N194)</f>
        <v/>
      </c>
      <c r="P194">
        <f>IF(J194="","",IF(L194="",1,COUNTIF($L$2:$L$1501,L194)))</f>
        <v/>
      </c>
      <c r="Q194" s="11">
        <f>IF(J194="","",IFERROR(VALUE(SUBSTITUTE(SUBSTITUTE(IF(G194="","",G194)&amp;"","$",""),",","")),0)/IF("No"="Yes",P194,1))</f>
        <v/>
      </c>
      <c r="R194" s="11">
        <f>IF(J194="","",IFERROR(VALUE(SUBSTITUTE(SUBSTITUTE(IF(H194="","",H194)&amp;"","$",""),",","")),0)/IF("No"="Yes",P194,1))</f>
        <v/>
      </c>
      <c r="S194" s="11">
        <f>IF(J194="","",O194+Q194-R194)</f>
        <v/>
      </c>
      <c r="T194">
        <f>IF(J194="","",IFERROR(IF(K194="",NA(),MATCH(K194,Products!$B$5:$B$204,0)),IFERROR(MATCH(J194,Products!$A$5:$A$204,0),"")))</f>
        <v/>
      </c>
      <c r="U194">
        <f>IF(J194="","",IF(T194="","⚠ not in Products",INDEX(Products!$A$5:$A$204,T194)))</f>
        <v/>
      </c>
      <c r="V194" s="11">
        <f>IF(J194="","",S194*(IFERROR(INDEX(Settings!$B$5:$B$9,MATCH($B194,Settings!$A$5:$A$9,0)),0)+IFERROR(INDEX(Settings!$E$5:$E$9,MATCH($B194,Settings!$A$5:$A$9,0)),0)+IFERROR(INDEX(Settings!$G$5:$G$9,MATCH($B194,Settings!$A$5:$A$9,0)),0))+(IFERROR(INDEX(Settings!$C$5:$C$9,MATCH($B194,Settings!$A$5:$A$9,0)),0)+IFERROR(INDEX(Settings!$F$5:$F$9,MATCH($B194,Settings!$A$5:$A$9,0)),0))/P194+IFERROR(INDEX(Settings!$D$5:$D$9,MATCH($B194,Settings!$A$5:$A$9,0)),0)*M194)</f>
        <v/>
      </c>
      <c r="W194" s="11">
        <f>IF(J194="","",IF(T194="",0,M194*INDEX(Products!$I$5:$I$204,T194)))</f>
        <v/>
      </c>
      <c r="X194" s="11">
        <f>IF(J194="","",IF(T194="",0,S194*INDEX(Products!$H$5:$H$204,T194)))</f>
        <v/>
      </c>
      <c r="Y194" s="11">
        <f>IF(J194="","",S194-V194-W194-X194)</f>
        <v/>
      </c>
    </row>
    <row r="195">
      <c r="A195" s="19" t="n"/>
      <c r="B195" s="19" t="n"/>
      <c r="C195" s="19" t="n"/>
      <c r="D195" s="19" t="n"/>
      <c r="E195" s="19" t="n"/>
      <c r="F195" s="20" t="n"/>
      <c r="G195" s="20" t="n"/>
      <c r="H195" s="20" t="n"/>
      <c r="I195" s="19" t="n"/>
      <c r="J195">
        <f>IFERROR(IF(C195="","",C195)&amp;"","")</f>
        <v/>
      </c>
      <c r="K195">
        <f>IFERROR(IF(D195="","",D195)&amp;"","")</f>
        <v/>
      </c>
      <c r="L195">
        <f>IFERROR(IF(I195="","",I195)&amp;"","")</f>
        <v/>
      </c>
      <c r="M195">
        <f>IF(J195="","",IFERROR(VALUE(SUBSTITUTE(SUBSTITUTE(IF(E195="","",E195)&amp;"","$",""),",","")),0))</f>
        <v/>
      </c>
      <c r="N195" s="11">
        <f>IF(J195="","",IFERROR(VALUE(SUBSTITUTE(SUBSTITUTE(IF(F195="","",F195)&amp;"","$",""),",","")),0))</f>
        <v/>
      </c>
      <c r="O195" s="11">
        <f>IF(J195="","",M195*N195)</f>
        <v/>
      </c>
      <c r="P195">
        <f>IF(J195="","",IF(L195="",1,COUNTIF($L$2:$L$1501,L195)))</f>
        <v/>
      </c>
      <c r="Q195" s="11">
        <f>IF(J195="","",IFERROR(VALUE(SUBSTITUTE(SUBSTITUTE(IF(G195="","",G195)&amp;"","$",""),",","")),0)/IF("No"="Yes",P195,1))</f>
        <v/>
      </c>
      <c r="R195" s="11">
        <f>IF(J195="","",IFERROR(VALUE(SUBSTITUTE(SUBSTITUTE(IF(H195="","",H195)&amp;"","$",""),",","")),0)/IF("No"="Yes",P195,1))</f>
        <v/>
      </c>
      <c r="S195" s="11">
        <f>IF(J195="","",O195+Q195-R195)</f>
        <v/>
      </c>
      <c r="T195">
        <f>IF(J195="","",IFERROR(IF(K195="",NA(),MATCH(K195,Products!$B$5:$B$204,0)),IFERROR(MATCH(J195,Products!$A$5:$A$204,0),"")))</f>
        <v/>
      </c>
      <c r="U195">
        <f>IF(J195="","",IF(T195="","⚠ not in Products",INDEX(Products!$A$5:$A$204,T195)))</f>
        <v/>
      </c>
      <c r="V195" s="11">
        <f>IF(J195="","",S195*(IFERROR(INDEX(Settings!$B$5:$B$9,MATCH($B195,Settings!$A$5:$A$9,0)),0)+IFERROR(INDEX(Settings!$E$5:$E$9,MATCH($B195,Settings!$A$5:$A$9,0)),0)+IFERROR(INDEX(Settings!$G$5:$G$9,MATCH($B195,Settings!$A$5:$A$9,0)),0))+(IFERROR(INDEX(Settings!$C$5:$C$9,MATCH($B195,Settings!$A$5:$A$9,0)),0)+IFERROR(INDEX(Settings!$F$5:$F$9,MATCH($B195,Settings!$A$5:$A$9,0)),0))/P195+IFERROR(INDEX(Settings!$D$5:$D$9,MATCH($B195,Settings!$A$5:$A$9,0)),0)*M195)</f>
        <v/>
      </c>
      <c r="W195" s="11">
        <f>IF(J195="","",IF(T195="",0,M195*INDEX(Products!$I$5:$I$204,T195)))</f>
        <v/>
      </c>
      <c r="X195" s="11">
        <f>IF(J195="","",IF(T195="",0,S195*INDEX(Products!$H$5:$H$204,T195)))</f>
        <v/>
      </c>
      <c r="Y195" s="11">
        <f>IF(J195="","",S195-V195-W195-X195)</f>
        <v/>
      </c>
    </row>
    <row r="196">
      <c r="A196" s="19" t="n"/>
      <c r="B196" s="19" t="n"/>
      <c r="C196" s="19" t="n"/>
      <c r="D196" s="19" t="n"/>
      <c r="E196" s="19" t="n"/>
      <c r="F196" s="20" t="n"/>
      <c r="G196" s="20" t="n"/>
      <c r="H196" s="20" t="n"/>
      <c r="I196" s="19" t="n"/>
      <c r="J196">
        <f>IFERROR(IF(C196="","",C196)&amp;"","")</f>
        <v/>
      </c>
      <c r="K196">
        <f>IFERROR(IF(D196="","",D196)&amp;"","")</f>
        <v/>
      </c>
      <c r="L196">
        <f>IFERROR(IF(I196="","",I196)&amp;"","")</f>
        <v/>
      </c>
      <c r="M196">
        <f>IF(J196="","",IFERROR(VALUE(SUBSTITUTE(SUBSTITUTE(IF(E196="","",E196)&amp;"","$",""),",","")),0))</f>
        <v/>
      </c>
      <c r="N196" s="11">
        <f>IF(J196="","",IFERROR(VALUE(SUBSTITUTE(SUBSTITUTE(IF(F196="","",F196)&amp;"","$",""),",","")),0))</f>
        <v/>
      </c>
      <c r="O196" s="11">
        <f>IF(J196="","",M196*N196)</f>
        <v/>
      </c>
      <c r="P196">
        <f>IF(J196="","",IF(L196="",1,COUNTIF($L$2:$L$1501,L196)))</f>
        <v/>
      </c>
      <c r="Q196" s="11">
        <f>IF(J196="","",IFERROR(VALUE(SUBSTITUTE(SUBSTITUTE(IF(G196="","",G196)&amp;"","$",""),",","")),0)/IF("No"="Yes",P196,1))</f>
        <v/>
      </c>
      <c r="R196" s="11">
        <f>IF(J196="","",IFERROR(VALUE(SUBSTITUTE(SUBSTITUTE(IF(H196="","",H196)&amp;"","$",""),",","")),0)/IF("No"="Yes",P196,1))</f>
        <v/>
      </c>
      <c r="S196" s="11">
        <f>IF(J196="","",O196+Q196-R196)</f>
        <v/>
      </c>
      <c r="T196">
        <f>IF(J196="","",IFERROR(IF(K196="",NA(),MATCH(K196,Products!$B$5:$B$204,0)),IFERROR(MATCH(J196,Products!$A$5:$A$204,0),"")))</f>
        <v/>
      </c>
      <c r="U196">
        <f>IF(J196="","",IF(T196="","⚠ not in Products",INDEX(Products!$A$5:$A$204,T196)))</f>
        <v/>
      </c>
      <c r="V196" s="11">
        <f>IF(J196="","",S196*(IFERROR(INDEX(Settings!$B$5:$B$9,MATCH($B196,Settings!$A$5:$A$9,0)),0)+IFERROR(INDEX(Settings!$E$5:$E$9,MATCH($B196,Settings!$A$5:$A$9,0)),0)+IFERROR(INDEX(Settings!$G$5:$G$9,MATCH($B196,Settings!$A$5:$A$9,0)),0))+(IFERROR(INDEX(Settings!$C$5:$C$9,MATCH($B196,Settings!$A$5:$A$9,0)),0)+IFERROR(INDEX(Settings!$F$5:$F$9,MATCH($B196,Settings!$A$5:$A$9,0)),0))/P196+IFERROR(INDEX(Settings!$D$5:$D$9,MATCH($B196,Settings!$A$5:$A$9,0)),0)*M196)</f>
        <v/>
      </c>
      <c r="W196" s="11">
        <f>IF(J196="","",IF(T196="",0,M196*INDEX(Products!$I$5:$I$204,T196)))</f>
        <v/>
      </c>
      <c r="X196" s="11">
        <f>IF(J196="","",IF(T196="",0,S196*INDEX(Products!$H$5:$H$204,T196)))</f>
        <v/>
      </c>
      <c r="Y196" s="11">
        <f>IF(J196="","",S196-V196-W196-X196)</f>
        <v/>
      </c>
    </row>
    <row r="197">
      <c r="A197" s="19" t="n"/>
      <c r="B197" s="19" t="n"/>
      <c r="C197" s="19" t="n"/>
      <c r="D197" s="19" t="n"/>
      <c r="E197" s="19" t="n"/>
      <c r="F197" s="20" t="n"/>
      <c r="G197" s="20" t="n"/>
      <c r="H197" s="20" t="n"/>
      <c r="I197" s="19" t="n"/>
      <c r="J197">
        <f>IFERROR(IF(C197="","",C197)&amp;"","")</f>
        <v/>
      </c>
      <c r="K197">
        <f>IFERROR(IF(D197="","",D197)&amp;"","")</f>
        <v/>
      </c>
      <c r="L197">
        <f>IFERROR(IF(I197="","",I197)&amp;"","")</f>
        <v/>
      </c>
      <c r="M197">
        <f>IF(J197="","",IFERROR(VALUE(SUBSTITUTE(SUBSTITUTE(IF(E197="","",E197)&amp;"","$",""),",","")),0))</f>
        <v/>
      </c>
      <c r="N197" s="11">
        <f>IF(J197="","",IFERROR(VALUE(SUBSTITUTE(SUBSTITUTE(IF(F197="","",F197)&amp;"","$",""),",","")),0))</f>
        <v/>
      </c>
      <c r="O197" s="11">
        <f>IF(J197="","",M197*N197)</f>
        <v/>
      </c>
      <c r="P197">
        <f>IF(J197="","",IF(L197="",1,COUNTIF($L$2:$L$1501,L197)))</f>
        <v/>
      </c>
      <c r="Q197" s="11">
        <f>IF(J197="","",IFERROR(VALUE(SUBSTITUTE(SUBSTITUTE(IF(G197="","",G197)&amp;"","$",""),",","")),0)/IF("No"="Yes",P197,1))</f>
        <v/>
      </c>
      <c r="R197" s="11">
        <f>IF(J197="","",IFERROR(VALUE(SUBSTITUTE(SUBSTITUTE(IF(H197="","",H197)&amp;"","$",""),",","")),0)/IF("No"="Yes",P197,1))</f>
        <v/>
      </c>
      <c r="S197" s="11">
        <f>IF(J197="","",O197+Q197-R197)</f>
        <v/>
      </c>
      <c r="T197">
        <f>IF(J197="","",IFERROR(IF(K197="",NA(),MATCH(K197,Products!$B$5:$B$204,0)),IFERROR(MATCH(J197,Products!$A$5:$A$204,0),"")))</f>
        <v/>
      </c>
      <c r="U197">
        <f>IF(J197="","",IF(T197="","⚠ not in Products",INDEX(Products!$A$5:$A$204,T197)))</f>
        <v/>
      </c>
      <c r="V197" s="11">
        <f>IF(J197="","",S197*(IFERROR(INDEX(Settings!$B$5:$B$9,MATCH($B197,Settings!$A$5:$A$9,0)),0)+IFERROR(INDEX(Settings!$E$5:$E$9,MATCH($B197,Settings!$A$5:$A$9,0)),0)+IFERROR(INDEX(Settings!$G$5:$G$9,MATCH($B197,Settings!$A$5:$A$9,0)),0))+(IFERROR(INDEX(Settings!$C$5:$C$9,MATCH($B197,Settings!$A$5:$A$9,0)),0)+IFERROR(INDEX(Settings!$F$5:$F$9,MATCH($B197,Settings!$A$5:$A$9,0)),0))/P197+IFERROR(INDEX(Settings!$D$5:$D$9,MATCH($B197,Settings!$A$5:$A$9,0)),0)*M197)</f>
        <v/>
      </c>
      <c r="W197" s="11">
        <f>IF(J197="","",IF(T197="",0,M197*INDEX(Products!$I$5:$I$204,T197)))</f>
        <v/>
      </c>
      <c r="X197" s="11">
        <f>IF(J197="","",IF(T197="",0,S197*INDEX(Products!$H$5:$H$204,T197)))</f>
        <v/>
      </c>
      <c r="Y197" s="11">
        <f>IF(J197="","",S197-V197-W197-X197)</f>
        <v/>
      </c>
    </row>
    <row r="198">
      <c r="A198" s="19" t="n"/>
      <c r="B198" s="19" t="n"/>
      <c r="C198" s="19" t="n"/>
      <c r="D198" s="19" t="n"/>
      <c r="E198" s="19" t="n"/>
      <c r="F198" s="20" t="n"/>
      <c r="G198" s="20" t="n"/>
      <c r="H198" s="20" t="n"/>
      <c r="I198" s="19" t="n"/>
      <c r="J198">
        <f>IFERROR(IF(C198="","",C198)&amp;"","")</f>
        <v/>
      </c>
      <c r="K198">
        <f>IFERROR(IF(D198="","",D198)&amp;"","")</f>
        <v/>
      </c>
      <c r="L198">
        <f>IFERROR(IF(I198="","",I198)&amp;"","")</f>
        <v/>
      </c>
      <c r="M198">
        <f>IF(J198="","",IFERROR(VALUE(SUBSTITUTE(SUBSTITUTE(IF(E198="","",E198)&amp;"","$",""),",","")),0))</f>
        <v/>
      </c>
      <c r="N198" s="11">
        <f>IF(J198="","",IFERROR(VALUE(SUBSTITUTE(SUBSTITUTE(IF(F198="","",F198)&amp;"","$",""),",","")),0))</f>
        <v/>
      </c>
      <c r="O198" s="11">
        <f>IF(J198="","",M198*N198)</f>
        <v/>
      </c>
      <c r="P198">
        <f>IF(J198="","",IF(L198="",1,COUNTIF($L$2:$L$1501,L198)))</f>
        <v/>
      </c>
      <c r="Q198" s="11">
        <f>IF(J198="","",IFERROR(VALUE(SUBSTITUTE(SUBSTITUTE(IF(G198="","",G198)&amp;"","$",""),",","")),0)/IF("No"="Yes",P198,1))</f>
        <v/>
      </c>
      <c r="R198" s="11">
        <f>IF(J198="","",IFERROR(VALUE(SUBSTITUTE(SUBSTITUTE(IF(H198="","",H198)&amp;"","$",""),",","")),0)/IF("No"="Yes",P198,1))</f>
        <v/>
      </c>
      <c r="S198" s="11">
        <f>IF(J198="","",O198+Q198-R198)</f>
        <v/>
      </c>
      <c r="T198">
        <f>IF(J198="","",IFERROR(IF(K198="",NA(),MATCH(K198,Products!$B$5:$B$204,0)),IFERROR(MATCH(J198,Products!$A$5:$A$204,0),"")))</f>
        <v/>
      </c>
      <c r="U198">
        <f>IF(J198="","",IF(T198="","⚠ not in Products",INDEX(Products!$A$5:$A$204,T198)))</f>
        <v/>
      </c>
      <c r="V198" s="11">
        <f>IF(J198="","",S198*(IFERROR(INDEX(Settings!$B$5:$B$9,MATCH($B198,Settings!$A$5:$A$9,0)),0)+IFERROR(INDEX(Settings!$E$5:$E$9,MATCH($B198,Settings!$A$5:$A$9,0)),0)+IFERROR(INDEX(Settings!$G$5:$G$9,MATCH($B198,Settings!$A$5:$A$9,0)),0))+(IFERROR(INDEX(Settings!$C$5:$C$9,MATCH($B198,Settings!$A$5:$A$9,0)),0)+IFERROR(INDEX(Settings!$F$5:$F$9,MATCH($B198,Settings!$A$5:$A$9,0)),0))/P198+IFERROR(INDEX(Settings!$D$5:$D$9,MATCH($B198,Settings!$A$5:$A$9,0)),0)*M198)</f>
        <v/>
      </c>
      <c r="W198" s="11">
        <f>IF(J198="","",IF(T198="",0,M198*INDEX(Products!$I$5:$I$204,T198)))</f>
        <v/>
      </c>
      <c r="X198" s="11">
        <f>IF(J198="","",IF(T198="",0,S198*INDEX(Products!$H$5:$H$204,T198)))</f>
        <v/>
      </c>
      <c r="Y198" s="11">
        <f>IF(J198="","",S198-V198-W198-X198)</f>
        <v/>
      </c>
    </row>
    <row r="199">
      <c r="A199" s="19" t="n"/>
      <c r="B199" s="19" t="n"/>
      <c r="C199" s="19" t="n"/>
      <c r="D199" s="19" t="n"/>
      <c r="E199" s="19" t="n"/>
      <c r="F199" s="20" t="n"/>
      <c r="G199" s="20" t="n"/>
      <c r="H199" s="20" t="n"/>
      <c r="I199" s="19" t="n"/>
      <c r="J199">
        <f>IFERROR(IF(C199="","",C199)&amp;"","")</f>
        <v/>
      </c>
      <c r="K199">
        <f>IFERROR(IF(D199="","",D199)&amp;"","")</f>
        <v/>
      </c>
      <c r="L199">
        <f>IFERROR(IF(I199="","",I199)&amp;"","")</f>
        <v/>
      </c>
      <c r="M199">
        <f>IF(J199="","",IFERROR(VALUE(SUBSTITUTE(SUBSTITUTE(IF(E199="","",E199)&amp;"","$",""),",","")),0))</f>
        <v/>
      </c>
      <c r="N199" s="11">
        <f>IF(J199="","",IFERROR(VALUE(SUBSTITUTE(SUBSTITUTE(IF(F199="","",F199)&amp;"","$",""),",","")),0))</f>
        <v/>
      </c>
      <c r="O199" s="11">
        <f>IF(J199="","",M199*N199)</f>
        <v/>
      </c>
      <c r="P199">
        <f>IF(J199="","",IF(L199="",1,COUNTIF($L$2:$L$1501,L199)))</f>
        <v/>
      </c>
      <c r="Q199" s="11">
        <f>IF(J199="","",IFERROR(VALUE(SUBSTITUTE(SUBSTITUTE(IF(G199="","",G199)&amp;"","$",""),",","")),0)/IF("No"="Yes",P199,1))</f>
        <v/>
      </c>
      <c r="R199" s="11">
        <f>IF(J199="","",IFERROR(VALUE(SUBSTITUTE(SUBSTITUTE(IF(H199="","",H199)&amp;"","$",""),",","")),0)/IF("No"="Yes",P199,1))</f>
        <v/>
      </c>
      <c r="S199" s="11">
        <f>IF(J199="","",O199+Q199-R199)</f>
        <v/>
      </c>
      <c r="T199">
        <f>IF(J199="","",IFERROR(IF(K199="",NA(),MATCH(K199,Products!$B$5:$B$204,0)),IFERROR(MATCH(J199,Products!$A$5:$A$204,0),"")))</f>
        <v/>
      </c>
      <c r="U199">
        <f>IF(J199="","",IF(T199="","⚠ not in Products",INDEX(Products!$A$5:$A$204,T199)))</f>
        <v/>
      </c>
      <c r="V199" s="11">
        <f>IF(J199="","",S199*(IFERROR(INDEX(Settings!$B$5:$B$9,MATCH($B199,Settings!$A$5:$A$9,0)),0)+IFERROR(INDEX(Settings!$E$5:$E$9,MATCH($B199,Settings!$A$5:$A$9,0)),0)+IFERROR(INDEX(Settings!$G$5:$G$9,MATCH($B199,Settings!$A$5:$A$9,0)),0))+(IFERROR(INDEX(Settings!$C$5:$C$9,MATCH($B199,Settings!$A$5:$A$9,0)),0)+IFERROR(INDEX(Settings!$F$5:$F$9,MATCH($B199,Settings!$A$5:$A$9,0)),0))/P199+IFERROR(INDEX(Settings!$D$5:$D$9,MATCH($B199,Settings!$A$5:$A$9,0)),0)*M199)</f>
        <v/>
      </c>
      <c r="W199" s="11">
        <f>IF(J199="","",IF(T199="",0,M199*INDEX(Products!$I$5:$I$204,T199)))</f>
        <v/>
      </c>
      <c r="X199" s="11">
        <f>IF(J199="","",IF(T199="",0,S199*INDEX(Products!$H$5:$H$204,T199)))</f>
        <v/>
      </c>
      <c r="Y199" s="11">
        <f>IF(J199="","",S199-V199-W199-X199)</f>
        <v/>
      </c>
    </row>
    <row r="200">
      <c r="A200" s="19" t="n"/>
      <c r="B200" s="19" t="n"/>
      <c r="C200" s="19" t="n"/>
      <c r="D200" s="19" t="n"/>
      <c r="E200" s="19" t="n"/>
      <c r="F200" s="20" t="n"/>
      <c r="G200" s="20" t="n"/>
      <c r="H200" s="20" t="n"/>
      <c r="I200" s="19" t="n"/>
      <c r="J200">
        <f>IFERROR(IF(C200="","",C200)&amp;"","")</f>
        <v/>
      </c>
      <c r="K200">
        <f>IFERROR(IF(D200="","",D200)&amp;"","")</f>
        <v/>
      </c>
      <c r="L200">
        <f>IFERROR(IF(I200="","",I200)&amp;"","")</f>
        <v/>
      </c>
      <c r="M200">
        <f>IF(J200="","",IFERROR(VALUE(SUBSTITUTE(SUBSTITUTE(IF(E200="","",E200)&amp;"","$",""),",","")),0))</f>
        <v/>
      </c>
      <c r="N200" s="11">
        <f>IF(J200="","",IFERROR(VALUE(SUBSTITUTE(SUBSTITUTE(IF(F200="","",F200)&amp;"","$",""),",","")),0))</f>
        <v/>
      </c>
      <c r="O200" s="11">
        <f>IF(J200="","",M200*N200)</f>
        <v/>
      </c>
      <c r="P200">
        <f>IF(J200="","",IF(L200="",1,COUNTIF($L$2:$L$1501,L200)))</f>
        <v/>
      </c>
      <c r="Q200" s="11">
        <f>IF(J200="","",IFERROR(VALUE(SUBSTITUTE(SUBSTITUTE(IF(G200="","",G200)&amp;"","$",""),",","")),0)/IF("No"="Yes",P200,1))</f>
        <v/>
      </c>
      <c r="R200" s="11">
        <f>IF(J200="","",IFERROR(VALUE(SUBSTITUTE(SUBSTITUTE(IF(H200="","",H200)&amp;"","$",""),",","")),0)/IF("No"="Yes",P200,1))</f>
        <v/>
      </c>
      <c r="S200" s="11">
        <f>IF(J200="","",O200+Q200-R200)</f>
        <v/>
      </c>
      <c r="T200">
        <f>IF(J200="","",IFERROR(IF(K200="",NA(),MATCH(K200,Products!$B$5:$B$204,0)),IFERROR(MATCH(J200,Products!$A$5:$A$204,0),"")))</f>
        <v/>
      </c>
      <c r="U200">
        <f>IF(J200="","",IF(T200="","⚠ not in Products",INDEX(Products!$A$5:$A$204,T200)))</f>
        <v/>
      </c>
      <c r="V200" s="11">
        <f>IF(J200="","",S200*(IFERROR(INDEX(Settings!$B$5:$B$9,MATCH($B200,Settings!$A$5:$A$9,0)),0)+IFERROR(INDEX(Settings!$E$5:$E$9,MATCH($B200,Settings!$A$5:$A$9,0)),0)+IFERROR(INDEX(Settings!$G$5:$G$9,MATCH($B200,Settings!$A$5:$A$9,0)),0))+(IFERROR(INDEX(Settings!$C$5:$C$9,MATCH($B200,Settings!$A$5:$A$9,0)),0)+IFERROR(INDEX(Settings!$F$5:$F$9,MATCH($B200,Settings!$A$5:$A$9,0)),0))/P200+IFERROR(INDEX(Settings!$D$5:$D$9,MATCH($B200,Settings!$A$5:$A$9,0)),0)*M200)</f>
        <v/>
      </c>
      <c r="W200" s="11">
        <f>IF(J200="","",IF(T200="",0,M200*INDEX(Products!$I$5:$I$204,T200)))</f>
        <v/>
      </c>
      <c r="X200" s="11">
        <f>IF(J200="","",IF(T200="",0,S200*INDEX(Products!$H$5:$H$204,T200)))</f>
        <v/>
      </c>
      <c r="Y200" s="11">
        <f>IF(J200="","",S200-V200-W200-X200)</f>
        <v/>
      </c>
    </row>
    <row r="201">
      <c r="A201" s="19" t="n"/>
      <c r="B201" s="19" t="n"/>
      <c r="C201" s="19" t="n"/>
      <c r="D201" s="19" t="n"/>
      <c r="E201" s="19" t="n"/>
      <c r="F201" s="20" t="n"/>
      <c r="G201" s="20" t="n"/>
      <c r="H201" s="20" t="n"/>
      <c r="I201" s="19" t="n"/>
      <c r="J201">
        <f>IFERROR(IF(C201="","",C201)&amp;"","")</f>
        <v/>
      </c>
      <c r="K201">
        <f>IFERROR(IF(D201="","",D201)&amp;"","")</f>
        <v/>
      </c>
      <c r="L201">
        <f>IFERROR(IF(I201="","",I201)&amp;"","")</f>
        <v/>
      </c>
      <c r="M201">
        <f>IF(J201="","",IFERROR(VALUE(SUBSTITUTE(SUBSTITUTE(IF(E201="","",E201)&amp;"","$",""),",","")),0))</f>
        <v/>
      </c>
      <c r="N201" s="11">
        <f>IF(J201="","",IFERROR(VALUE(SUBSTITUTE(SUBSTITUTE(IF(F201="","",F201)&amp;"","$",""),",","")),0))</f>
        <v/>
      </c>
      <c r="O201" s="11">
        <f>IF(J201="","",M201*N201)</f>
        <v/>
      </c>
      <c r="P201">
        <f>IF(J201="","",IF(L201="",1,COUNTIF($L$2:$L$1501,L201)))</f>
        <v/>
      </c>
      <c r="Q201" s="11">
        <f>IF(J201="","",IFERROR(VALUE(SUBSTITUTE(SUBSTITUTE(IF(G201="","",G201)&amp;"","$",""),",","")),0)/IF("No"="Yes",P201,1))</f>
        <v/>
      </c>
      <c r="R201" s="11">
        <f>IF(J201="","",IFERROR(VALUE(SUBSTITUTE(SUBSTITUTE(IF(H201="","",H201)&amp;"","$",""),",","")),0)/IF("No"="Yes",P201,1))</f>
        <v/>
      </c>
      <c r="S201" s="11">
        <f>IF(J201="","",O201+Q201-R201)</f>
        <v/>
      </c>
      <c r="T201">
        <f>IF(J201="","",IFERROR(IF(K201="",NA(),MATCH(K201,Products!$B$5:$B$204,0)),IFERROR(MATCH(J201,Products!$A$5:$A$204,0),"")))</f>
        <v/>
      </c>
      <c r="U201">
        <f>IF(J201="","",IF(T201="","⚠ not in Products",INDEX(Products!$A$5:$A$204,T201)))</f>
        <v/>
      </c>
      <c r="V201" s="11">
        <f>IF(J201="","",S201*(IFERROR(INDEX(Settings!$B$5:$B$9,MATCH($B201,Settings!$A$5:$A$9,0)),0)+IFERROR(INDEX(Settings!$E$5:$E$9,MATCH($B201,Settings!$A$5:$A$9,0)),0)+IFERROR(INDEX(Settings!$G$5:$G$9,MATCH($B201,Settings!$A$5:$A$9,0)),0))+(IFERROR(INDEX(Settings!$C$5:$C$9,MATCH($B201,Settings!$A$5:$A$9,0)),0)+IFERROR(INDEX(Settings!$F$5:$F$9,MATCH($B201,Settings!$A$5:$A$9,0)),0))/P201+IFERROR(INDEX(Settings!$D$5:$D$9,MATCH($B201,Settings!$A$5:$A$9,0)),0)*M201)</f>
        <v/>
      </c>
      <c r="W201" s="11">
        <f>IF(J201="","",IF(T201="",0,M201*INDEX(Products!$I$5:$I$204,T201)))</f>
        <v/>
      </c>
      <c r="X201" s="11">
        <f>IF(J201="","",IF(T201="",0,S201*INDEX(Products!$H$5:$H$204,T201)))</f>
        <v/>
      </c>
      <c r="Y201" s="11">
        <f>IF(J201="","",S201-V201-W201-X201)</f>
        <v/>
      </c>
    </row>
    <row r="202">
      <c r="A202" s="19" t="n"/>
      <c r="B202" s="19" t="n"/>
      <c r="C202" s="19" t="n"/>
      <c r="D202" s="19" t="n"/>
      <c r="E202" s="19" t="n"/>
      <c r="F202" s="20" t="n"/>
      <c r="G202" s="20" t="n"/>
      <c r="H202" s="20" t="n"/>
      <c r="I202" s="19" t="n"/>
      <c r="J202">
        <f>IFERROR(IF(C202="","",C202)&amp;"","")</f>
        <v/>
      </c>
      <c r="K202">
        <f>IFERROR(IF(D202="","",D202)&amp;"","")</f>
        <v/>
      </c>
      <c r="L202">
        <f>IFERROR(IF(I202="","",I202)&amp;"","")</f>
        <v/>
      </c>
      <c r="M202">
        <f>IF(J202="","",IFERROR(VALUE(SUBSTITUTE(SUBSTITUTE(IF(E202="","",E202)&amp;"","$",""),",","")),0))</f>
        <v/>
      </c>
      <c r="N202" s="11">
        <f>IF(J202="","",IFERROR(VALUE(SUBSTITUTE(SUBSTITUTE(IF(F202="","",F202)&amp;"","$",""),",","")),0))</f>
        <v/>
      </c>
      <c r="O202" s="11">
        <f>IF(J202="","",M202*N202)</f>
        <v/>
      </c>
      <c r="P202">
        <f>IF(J202="","",IF(L202="",1,COUNTIF($L$2:$L$1501,L202)))</f>
        <v/>
      </c>
      <c r="Q202" s="11">
        <f>IF(J202="","",IFERROR(VALUE(SUBSTITUTE(SUBSTITUTE(IF(G202="","",G202)&amp;"","$",""),",","")),0)/IF("No"="Yes",P202,1))</f>
        <v/>
      </c>
      <c r="R202" s="11">
        <f>IF(J202="","",IFERROR(VALUE(SUBSTITUTE(SUBSTITUTE(IF(H202="","",H202)&amp;"","$",""),",","")),0)/IF("No"="Yes",P202,1))</f>
        <v/>
      </c>
      <c r="S202" s="11">
        <f>IF(J202="","",O202+Q202-R202)</f>
        <v/>
      </c>
      <c r="T202">
        <f>IF(J202="","",IFERROR(IF(K202="",NA(),MATCH(K202,Products!$B$5:$B$204,0)),IFERROR(MATCH(J202,Products!$A$5:$A$204,0),"")))</f>
        <v/>
      </c>
      <c r="U202">
        <f>IF(J202="","",IF(T202="","⚠ not in Products",INDEX(Products!$A$5:$A$204,T202)))</f>
        <v/>
      </c>
      <c r="V202" s="11">
        <f>IF(J202="","",S202*(IFERROR(INDEX(Settings!$B$5:$B$9,MATCH($B202,Settings!$A$5:$A$9,0)),0)+IFERROR(INDEX(Settings!$E$5:$E$9,MATCH($B202,Settings!$A$5:$A$9,0)),0)+IFERROR(INDEX(Settings!$G$5:$G$9,MATCH($B202,Settings!$A$5:$A$9,0)),0))+(IFERROR(INDEX(Settings!$C$5:$C$9,MATCH($B202,Settings!$A$5:$A$9,0)),0)+IFERROR(INDEX(Settings!$F$5:$F$9,MATCH($B202,Settings!$A$5:$A$9,0)),0))/P202+IFERROR(INDEX(Settings!$D$5:$D$9,MATCH($B202,Settings!$A$5:$A$9,0)),0)*M202)</f>
        <v/>
      </c>
      <c r="W202" s="11">
        <f>IF(J202="","",IF(T202="",0,M202*INDEX(Products!$I$5:$I$204,T202)))</f>
        <v/>
      </c>
      <c r="X202" s="11">
        <f>IF(J202="","",IF(T202="",0,S202*INDEX(Products!$H$5:$H$204,T202)))</f>
        <v/>
      </c>
      <c r="Y202" s="11">
        <f>IF(J202="","",S202-V202-W202-X202)</f>
        <v/>
      </c>
    </row>
    <row r="203">
      <c r="A203" s="19" t="n"/>
      <c r="B203" s="19" t="n"/>
      <c r="C203" s="19" t="n"/>
      <c r="D203" s="19" t="n"/>
      <c r="E203" s="19" t="n"/>
      <c r="F203" s="20" t="n"/>
      <c r="G203" s="20" t="n"/>
      <c r="H203" s="20" t="n"/>
      <c r="I203" s="19" t="n"/>
      <c r="J203">
        <f>IFERROR(IF(C203="","",C203)&amp;"","")</f>
        <v/>
      </c>
      <c r="K203">
        <f>IFERROR(IF(D203="","",D203)&amp;"","")</f>
        <v/>
      </c>
      <c r="L203">
        <f>IFERROR(IF(I203="","",I203)&amp;"","")</f>
        <v/>
      </c>
      <c r="M203">
        <f>IF(J203="","",IFERROR(VALUE(SUBSTITUTE(SUBSTITUTE(IF(E203="","",E203)&amp;"","$",""),",","")),0))</f>
        <v/>
      </c>
      <c r="N203" s="11">
        <f>IF(J203="","",IFERROR(VALUE(SUBSTITUTE(SUBSTITUTE(IF(F203="","",F203)&amp;"","$",""),",","")),0))</f>
        <v/>
      </c>
      <c r="O203" s="11">
        <f>IF(J203="","",M203*N203)</f>
        <v/>
      </c>
      <c r="P203">
        <f>IF(J203="","",IF(L203="",1,COUNTIF($L$2:$L$1501,L203)))</f>
        <v/>
      </c>
      <c r="Q203" s="11">
        <f>IF(J203="","",IFERROR(VALUE(SUBSTITUTE(SUBSTITUTE(IF(G203="","",G203)&amp;"","$",""),",","")),0)/IF("No"="Yes",P203,1))</f>
        <v/>
      </c>
      <c r="R203" s="11">
        <f>IF(J203="","",IFERROR(VALUE(SUBSTITUTE(SUBSTITUTE(IF(H203="","",H203)&amp;"","$",""),",","")),0)/IF("No"="Yes",P203,1))</f>
        <v/>
      </c>
      <c r="S203" s="11">
        <f>IF(J203="","",O203+Q203-R203)</f>
        <v/>
      </c>
      <c r="T203">
        <f>IF(J203="","",IFERROR(IF(K203="",NA(),MATCH(K203,Products!$B$5:$B$204,0)),IFERROR(MATCH(J203,Products!$A$5:$A$204,0),"")))</f>
        <v/>
      </c>
      <c r="U203">
        <f>IF(J203="","",IF(T203="","⚠ not in Products",INDEX(Products!$A$5:$A$204,T203)))</f>
        <v/>
      </c>
      <c r="V203" s="11">
        <f>IF(J203="","",S203*(IFERROR(INDEX(Settings!$B$5:$B$9,MATCH($B203,Settings!$A$5:$A$9,0)),0)+IFERROR(INDEX(Settings!$E$5:$E$9,MATCH($B203,Settings!$A$5:$A$9,0)),0)+IFERROR(INDEX(Settings!$G$5:$G$9,MATCH($B203,Settings!$A$5:$A$9,0)),0))+(IFERROR(INDEX(Settings!$C$5:$C$9,MATCH($B203,Settings!$A$5:$A$9,0)),0)+IFERROR(INDEX(Settings!$F$5:$F$9,MATCH($B203,Settings!$A$5:$A$9,0)),0))/P203+IFERROR(INDEX(Settings!$D$5:$D$9,MATCH($B203,Settings!$A$5:$A$9,0)),0)*M203)</f>
        <v/>
      </c>
      <c r="W203" s="11">
        <f>IF(J203="","",IF(T203="",0,M203*INDEX(Products!$I$5:$I$204,T203)))</f>
        <v/>
      </c>
      <c r="X203" s="11">
        <f>IF(J203="","",IF(T203="",0,S203*INDEX(Products!$H$5:$H$204,T203)))</f>
        <v/>
      </c>
      <c r="Y203" s="11">
        <f>IF(J203="","",S203-V203-W203-X203)</f>
        <v/>
      </c>
    </row>
    <row r="204">
      <c r="A204" s="19" t="n"/>
      <c r="B204" s="19" t="n"/>
      <c r="C204" s="19" t="n"/>
      <c r="D204" s="19" t="n"/>
      <c r="E204" s="19" t="n"/>
      <c r="F204" s="20" t="n"/>
      <c r="G204" s="20" t="n"/>
      <c r="H204" s="20" t="n"/>
      <c r="I204" s="19" t="n"/>
      <c r="J204">
        <f>IFERROR(IF(C204="","",C204)&amp;"","")</f>
        <v/>
      </c>
      <c r="K204">
        <f>IFERROR(IF(D204="","",D204)&amp;"","")</f>
        <v/>
      </c>
      <c r="L204">
        <f>IFERROR(IF(I204="","",I204)&amp;"","")</f>
        <v/>
      </c>
      <c r="M204">
        <f>IF(J204="","",IFERROR(VALUE(SUBSTITUTE(SUBSTITUTE(IF(E204="","",E204)&amp;"","$",""),",","")),0))</f>
        <v/>
      </c>
      <c r="N204" s="11">
        <f>IF(J204="","",IFERROR(VALUE(SUBSTITUTE(SUBSTITUTE(IF(F204="","",F204)&amp;"","$",""),",","")),0))</f>
        <v/>
      </c>
      <c r="O204" s="11">
        <f>IF(J204="","",M204*N204)</f>
        <v/>
      </c>
      <c r="P204">
        <f>IF(J204="","",IF(L204="",1,COUNTIF($L$2:$L$1501,L204)))</f>
        <v/>
      </c>
      <c r="Q204" s="11">
        <f>IF(J204="","",IFERROR(VALUE(SUBSTITUTE(SUBSTITUTE(IF(G204="","",G204)&amp;"","$",""),",","")),0)/IF("No"="Yes",P204,1))</f>
        <v/>
      </c>
      <c r="R204" s="11">
        <f>IF(J204="","",IFERROR(VALUE(SUBSTITUTE(SUBSTITUTE(IF(H204="","",H204)&amp;"","$",""),",","")),0)/IF("No"="Yes",P204,1))</f>
        <v/>
      </c>
      <c r="S204" s="11">
        <f>IF(J204="","",O204+Q204-R204)</f>
        <v/>
      </c>
      <c r="T204">
        <f>IF(J204="","",IFERROR(IF(K204="",NA(),MATCH(K204,Products!$B$5:$B$204,0)),IFERROR(MATCH(J204,Products!$A$5:$A$204,0),"")))</f>
        <v/>
      </c>
      <c r="U204">
        <f>IF(J204="","",IF(T204="","⚠ not in Products",INDEX(Products!$A$5:$A$204,T204)))</f>
        <v/>
      </c>
      <c r="V204" s="11">
        <f>IF(J204="","",S204*(IFERROR(INDEX(Settings!$B$5:$B$9,MATCH($B204,Settings!$A$5:$A$9,0)),0)+IFERROR(INDEX(Settings!$E$5:$E$9,MATCH($B204,Settings!$A$5:$A$9,0)),0)+IFERROR(INDEX(Settings!$G$5:$G$9,MATCH($B204,Settings!$A$5:$A$9,0)),0))+(IFERROR(INDEX(Settings!$C$5:$C$9,MATCH($B204,Settings!$A$5:$A$9,0)),0)+IFERROR(INDEX(Settings!$F$5:$F$9,MATCH($B204,Settings!$A$5:$A$9,0)),0))/P204+IFERROR(INDEX(Settings!$D$5:$D$9,MATCH($B204,Settings!$A$5:$A$9,0)),0)*M204)</f>
        <v/>
      </c>
      <c r="W204" s="11">
        <f>IF(J204="","",IF(T204="",0,M204*INDEX(Products!$I$5:$I$204,T204)))</f>
        <v/>
      </c>
      <c r="X204" s="11">
        <f>IF(J204="","",IF(T204="",0,S204*INDEX(Products!$H$5:$H$204,T204)))</f>
        <v/>
      </c>
      <c r="Y204" s="11">
        <f>IF(J204="","",S204-V204-W204-X204)</f>
        <v/>
      </c>
    </row>
    <row r="205">
      <c r="A205" s="19" t="n"/>
      <c r="B205" s="19" t="n"/>
      <c r="C205" s="19" t="n"/>
      <c r="D205" s="19" t="n"/>
      <c r="E205" s="19" t="n"/>
      <c r="F205" s="20" t="n"/>
      <c r="G205" s="20" t="n"/>
      <c r="H205" s="20" t="n"/>
      <c r="I205" s="19" t="n"/>
      <c r="J205">
        <f>IFERROR(IF(C205="","",C205)&amp;"","")</f>
        <v/>
      </c>
      <c r="K205">
        <f>IFERROR(IF(D205="","",D205)&amp;"","")</f>
        <v/>
      </c>
      <c r="L205">
        <f>IFERROR(IF(I205="","",I205)&amp;"","")</f>
        <v/>
      </c>
      <c r="M205">
        <f>IF(J205="","",IFERROR(VALUE(SUBSTITUTE(SUBSTITUTE(IF(E205="","",E205)&amp;"","$",""),",","")),0))</f>
        <v/>
      </c>
      <c r="N205" s="11">
        <f>IF(J205="","",IFERROR(VALUE(SUBSTITUTE(SUBSTITUTE(IF(F205="","",F205)&amp;"","$",""),",","")),0))</f>
        <v/>
      </c>
      <c r="O205" s="11">
        <f>IF(J205="","",M205*N205)</f>
        <v/>
      </c>
      <c r="P205">
        <f>IF(J205="","",IF(L205="",1,COUNTIF($L$2:$L$1501,L205)))</f>
        <v/>
      </c>
      <c r="Q205" s="11">
        <f>IF(J205="","",IFERROR(VALUE(SUBSTITUTE(SUBSTITUTE(IF(G205="","",G205)&amp;"","$",""),",","")),0)/IF("No"="Yes",P205,1))</f>
        <v/>
      </c>
      <c r="R205" s="11">
        <f>IF(J205="","",IFERROR(VALUE(SUBSTITUTE(SUBSTITUTE(IF(H205="","",H205)&amp;"","$",""),",","")),0)/IF("No"="Yes",P205,1))</f>
        <v/>
      </c>
      <c r="S205" s="11">
        <f>IF(J205="","",O205+Q205-R205)</f>
        <v/>
      </c>
      <c r="T205">
        <f>IF(J205="","",IFERROR(IF(K205="",NA(),MATCH(K205,Products!$B$5:$B$204,0)),IFERROR(MATCH(J205,Products!$A$5:$A$204,0),"")))</f>
        <v/>
      </c>
      <c r="U205">
        <f>IF(J205="","",IF(T205="","⚠ not in Products",INDEX(Products!$A$5:$A$204,T205)))</f>
        <v/>
      </c>
      <c r="V205" s="11">
        <f>IF(J205="","",S205*(IFERROR(INDEX(Settings!$B$5:$B$9,MATCH($B205,Settings!$A$5:$A$9,0)),0)+IFERROR(INDEX(Settings!$E$5:$E$9,MATCH($B205,Settings!$A$5:$A$9,0)),0)+IFERROR(INDEX(Settings!$G$5:$G$9,MATCH($B205,Settings!$A$5:$A$9,0)),0))+(IFERROR(INDEX(Settings!$C$5:$C$9,MATCH($B205,Settings!$A$5:$A$9,0)),0)+IFERROR(INDEX(Settings!$F$5:$F$9,MATCH($B205,Settings!$A$5:$A$9,0)),0))/P205+IFERROR(INDEX(Settings!$D$5:$D$9,MATCH($B205,Settings!$A$5:$A$9,0)),0)*M205)</f>
        <v/>
      </c>
      <c r="W205" s="11">
        <f>IF(J205="","",IF(T205="",0,M205*INDEX(Products!$I$5:$I$204,T205)))</f>
        <v/>
      </c>
      <c r="X205" s="11">
        <f>IF(J205="","",IF(T205="",0,S205*INDEX(Products!$H$5:$H$204,T205)))</f>
        <v/>
      </c>
      <c r="Y205" s="11">
        <f>IF(J205="","",S205-V205-W205-X205)</f>
        <v/>
      </c>
    </row>
    <row r="206">
      <c r="A206" s="19" t="n"/>
      <c r="B206" s="19" t="n"/>
      <c r="C206" s="19" t="n"/>
      <c r="D206" s="19" t="n"/>
      <c r="E206" s="19" t="n"/>
      <c r="F206" s="20" t="n"/>
      <c r="G206" s="20" t="n"/>
      <c r="H206" s="20" t="n"/>
      <c r="I206" s="19" t="n"/>
      <c r="J206">
        <f>IFERROR(IF(C206="","",C206)&amp;"","")</f>
        <v/>
      </c>
      <c r="K206">
        <f>IFERROR(IF(D206="","",D206)&amp;"","")</f>
        <v/>
      </c>
      <c r="L206">
        <f>IFERROR(IF(I206="","",I206)&amp;"","")</f>
        <v/>
      </c>
      <c r="M206">
        <f>IF(J206="","",IFERROR(VALUE(SUBSTITUTE(SUBSTITUTE(IF(E206="","",E206)&amp;"","$",""),",","")),0))</f>
        <v/>
      </c>
      <c r="N206" s="11">
        <f>IF(J206="","",IFERROR(VALUE(SUBSTITUTE(SUBSTITUTE(IF(F206="","",F206)&amp;"","$",""),",","")),0))</f>
        <v/>
      </c>
      <c r="O206" s="11">
        <f>IF(J206="","",M206*N206)</f>
        <v/>
      </c>
      <c r="P206">
        <f>IF(J206="","",IF(L206="",1,COUNTIF($L$2:$L$1501,L206)))</f>
        <v/>
      </c>
      <c r="Q206" s="11">
        <f>IF(J206="","",IFERROR(VALUE(SUBSTITUTE(SUBSTITUTE(IF(G206="","",G206)&amp;"","$",""),",","")),0)/IF("No"="Yes",P206,1))</f>
        <v/>
      </c>
      <c r="R206" s="11">
        <f>IF(J206="","",IFERROR(VALUE(SUBSTITUTE(SUBSTITUTE(IF(H206="","",H206)&amp;"","$",""),",","")),0)/IF("No"="Yes",P206,1))</f>
        <v/>
      </c>
      <c r="S206" s="11">
        <f>IF(J206="","",O206+Q206-R206)</f>
        <v/>
      </c>
      <c r="T206">
        <f>IF(J206="","",IFERROR(IF(K206="",NA(),MATCH(K206,Products!$B$5:$B$204,0)),IFERROR(MATCH(J206,Products!$A$5:$A$204,0),"")))</f>
        <v/>
      </c>
      <c r="U206">
        <f>IF(J206="","",IF(T206="","⚠ not in Products",INDEX(Products!$A$5:$A$204,T206)))</f>
        <v/>
      </c>
      <c r="V206" s="11">
        <f>IF(J206="","",S206*(IFERROR(INDEX(Settings!$B$5:$B$9,MATCH($B206,Settings!$A$5:$A$9,0)),0)+IFERROR(INDEX(Settings!$E$5:$E$9,MATCH($B206,Settings!$A$5:$A$9,0)),0)+IFERROR(INDEX(Settings!$G$5:$G$9,MATCH($B206,Settings!$A$5:$A$9,0)),0))+(IFERROR(INDEX(Settings!$C$5:$C$9,MATCH($B206,Settings!$A$5:$A$9,0)),0)+IFERROR(INDEX(Settings!$F$5:$F$9,MATCH($B206,Settings!$A$5:$A$9,0)),0))/P206+IFERROR(INDEX(Settings!$D$5:$D$9,MATCH($B206,Settings!$A$5:$A$9,0)),0)*M206)</f>
        <v/>
      </c>
      <c r="W206" s="11">
        <f>IF(J206="","",IF(T206="",0,M206*INDEX(Products!$I$5:$I$204,T206)))</f>
        <v/>
      </c>
      <c r="X206" s="11">
        <f>IF(J206="","",IF(T206="",0,S206*INDEX(Products!$H$5:$H$204,T206)))</f>
        <v/>
      </c>
      <c r="Y206" s="11">
        <f>IF(J206="","",S206-V206-W206-X206)</f>
        <v/>
      </c>
    </row>
    <row r="207">
      <c r="A207" s="19" t="n"/>
      <c r="B207" s="19" t="n"/>
      <c r="C207" s="19" t="n"/>
      <c r="D207" s="19" t="n"/>
      <c r="E207" s="19" t="n"/>
      <c r="F207" s="20" t="n"/>
      <c r="G207" s="20" t="n"/>
      <c r="H207" s="20" t="n"/>
      <c r="I207" s="19" t="n"/>
      <c r="J207">
        <f>IFERROR(IF(C207="","",C207)&amp;"","")</f>
        <v/>
      </c>
      <c r="K207">
        <f>IFERROR(IF(D207="","",D207)&amp;"","")</f>
        <v/>
      </c>
      <c r="L207">
        <f>IFERROR(IF(I207="","",I207)&amp;"","")</f>
        <v/>
      </c>
      <c r="M207">
        <f>IF(J207="","",IFERROR(VALUE(SUBSTITUTE(SUBSTITUTE(IF(E207="","",E207)&amp;"","$",""),",","")),0))</f>
        <v/>
      </c>
      <c r="N207" s="11">
        <f>IF(J207="","",IFERROR(VALUE(SUBSTITUTE(SUBSTITUTE(IF(F207="","",F207)&amp;"","$",""),",","")),0))</f>
        <v/>
      </c>
      <c r="O207" s="11">
        <f>IF(J207="","",M207*N207)</f>
        <v/>
      </c>
      <c r="P207">
        <f>IF(J207="","",IF(L207="",1,COUNTIF($L$2:$L$1501,L207)))</f>
        <v/>
      </c>
      <c r="Q207" s="11">
        <f>IF(J207="","",IFERROR(VALUE(SUBSTITUTE(SUBSTITUTE(IF(G207="","",G207)&amp;"","$",""),",","")),0)/IF("No"="Yes",P207,1))</f>
        <v/>
      </c>
      <c r="R207" s="11">
        <f>IF(J207="","",IFERROR(VALUE(SUBSTITUTE(SUBSTITUTE(IF(H207="","",H207)&amp;"","$",""),",","")),0)/IF("No"="Yes",P207,1))</f>
        <v/>
      </c>
      <c r="S207" s="11">
        <f>IF(J207="","",O207+Q207-R207)</f>
        <v/>
      </c>
      <c r="T207">
        <f>IF(J207="","",IFERROR(IF(K207="",NA(),MATCH(K207,Products!$B$5:$B$204,0)),IFERROR(MATCH(J207,Products!$A$5:$A$204,0),"")))</f>
        <v/>
      </c>
      <c r="U207">
        <f>IF(J207="","",IF(T207="","⚠ not in Products",INDEX(Products!$A$5:$A$204,T207)))</f>
        <v/>
      </c>
      <c r="V207" s="11">
        <f>IF(J207="","",S207*(IFERROR(INDEX(Settings!$B$5:$B$9,MATCH($B207,Settings!$A$5:$A$9,0)),0)+IFERROR(INDEX(Settings!$E$5:$E$9,MATCH($B207,Settings!$A$5:$A$9,0)),0)+IFERROR(INDEX(Settings!$G$5:$G$9,MATCH($B207,Settings!$A$5:$A$9,0)),0))+(IFERROR(INDEX(Settings!$C$5:$C$9,MATCH($B207,Settings!$A$5:$A$9,0)),0)+IFERROR(INDEX(Settings!$F$5:$F$9,MATCH($B207,Settings!$A$5:$A$9,0)),0))/P207+IFERROR(INDEX(Settings!$D$5:$D$9,MATCH($B207,Settings!$A$5:$A$9,0)),0)*M207)</f>
        <v/>
      </c>
      <c r="W207" s="11">
        <f>IF(J207="","",IF(T207="",0,M207*INDEX(Products!$I$5:$I$204,T207)))</f>
        <v/>
      </c>
      <c r="X207" s="11">
        <f>IF(J207="","",IF(T207="",0,S207*INDEX(Products!$H$5:$H$204,T207)))</f>
        <v/>
      </c>
      <c r="Y207" s="11">
        <f>IF(J207="","",S207-V207-W207-X207)</f>
        <v/>
      </c>
    </row>
    <row r="208">
      <c r="A208" s="19" t="n"/>
      <c r="B208" s="19" t="n"/>
      <c r="C208" s="19" t="n"/>
      <c r="D208" s="19" t="n"/>
      <c r="E208" s="19" t="n"/>
      <c r="F208" s="20" t="n"/>
      <c r="G208" s="20" t="n"/>
      <c r="H208" s="20" t="n"/>
      <c r="I208" s="19" t="n"/>
      <c r="J208">
        <f>IFERROR(IF(C208="","",C208)&amp;"","")</f>
        <v/>
      </c>
      <c r="K208">
        <f>IFERROR(IF(D208="","",D208)&amp;"","")</f>
        <v/>
      </c>
      <c r="L208">
        <f>IFERROR(IF(I208="","",I208)&amp;"","")</f>
        <v/>
      </c>
      <c r="M208">
        <f>IF(J208="","",IFERROR(VALUE(SUBSTITUTE(SUBSTITUTE(IF(E208="","",E208)&amp;"","$",""),",","")),0))</f>
        <v/>
      </c>
      <c r="N208" s="11">
        <f>IF(J208="","",IFERROR(VALUE(SUBSTITUTE(SUBSTITUTE(IF(F208="","",F208)&amp;"","$",""),",","")),0))</f>
        <v/>
      </c>
      <c r="O208" s="11">
        <f>IF(J208="","",M208*N208)</f>
        <v/>
      </c>
      <c r="P208">
        <f>IF(J208="","",IF(L208="",1,COUNTIF($L$2:$L$1501,L208)))</f>
        <v/>
      </c>
      <c r="Q208" s="11">
        <f>IF(J208="","",IFERROR(VALUE(SUBSTITUTE(SUBSTITUTE(IF(G208="","",G208)&amp;"","$",""),",","")),0)/IF("No"="Yes",P208,1))</f>
        <v/>
      </c>
      <c r="R208" s="11">
        <f>IF(J208="","",IFERROR(VALUE(SUBSTITUTE(SUBSTITUTE(IF(H208="","",H208)&amp;"","$",""),",","")),0)/IF("No"="Yes",P208,1))</f>
        <v/>
      </c>
      <c r="S208" s="11">
        <f>IF(J208="","",O208+Q208-R208)</f>
        <v/>
      </c>
      <c r="T208">
        <f>IF(J208="","",IFERROR(IF(K208="",NA(),MATCH(K208,Products!$B$5:$B$204,0)),IFERROR(MATCH(J208,Products!$A$5:$A$204,0),"")))</f>
        <v/>
      </c>
      <c r="U208">
        <f>IF(J208="","",IF(T208="","⚠ not in Products",INDEX(Products!$A$5:$A$204,T208)))</f>
        <v/>
      </c>
      <c r="V208" s="11">
        <f>IF(J208="","",S208*(IFERROR(INDEX(Settings!$B$5:$B$9,MATCH($B208,Settings!$A$5:$A$9,0)),0)+IFERROR(INDEX(Settings!$E$5:$E$9,MATCH($B208,Settings!$A$5:$A$9,0)),0)+IFERROR(INDEX(Settings!$G$5:$G$9,MATCH($B208,Settings!$A$5:$A$9,0)),0))+(IFERROR(INDEX(Settings!$C$5:$C$9,MATCH($B208,Settings!$A$5:$A$9,0)),0)+IFERROR(INDEX(Settings!$F$5:$F$9,MATCH($B208,Settings!$A$5:$A$9,0)),0))/P208+IFERROR(INDEX(Settings!$D$5:$D$9,MATCH($B208,Settings!$A$5:$A$9,0)),0)*M208)</f>
        <v/>
      </c>
      <c r="W208" s="11">
        <f>IF(J208="","",IF(T208="",0,M208*INDEX(Products!$I$5:$I$204,T208)))</f>
        <v/>
      </c>
      <c r="X208" s="11">
        <f>IF(J208="","",IF(T208="",0,S208*INDEX(Products!$H$5:$H$204,T208)))</f>
        <v/>
      </c>
      <c r="Y208" s="11">
        <f>IF(J208="","",S208-V208-W208-X208)</f>
        <v/>
      </c>
    </row>
    <row r="209">
      <c r="A209" s="19" t="n"/>
      <c r="B209" s="19" t="n"/>
      <c r="C209" s="19" t="n"/>
      <c r="D209" s="19" t="n"/>
      <c r="E209" s="19" t="n"/>
      <c r="F209" s="20" t="n"/>
      <c r="G209" s="20" t="n"/>
      <c r="H209" s="20" t="n"/>
      <c r="I209" s="19" t="n"/>
      <c r="J209">
        <f>IFERROR(IF(C209="","",C209)&amp;"","")</f>
        <v/>
      </c>
      <c r="K209">
        <f>IFERROR(IF(D209="","",D209)&amp;"","")</f>
        <v/>
      </c>
      <c r="L209">
        <f>IFERROR(IF(I209="","",I209)&amp;"","")</f>
        <v/>
      </c>
      <c r="M209">
        <f>IF(J209="","",IFERROR(VALUE(SUBSTITUTE(SUBSTITUTE(IF(E209="","",E209)&amp;"","$",""),",","")),0))</f>
        <v/>
      </c>
      <c r="N209" s="11">
        <f>IF(J209="","",IFERROR(VALUE(SUBSTITUTE(SUBSTITUTE(IF(F209="","",F209)&amp;"","$",""),",","")),0))</f>
        <v/>
      </c>
      <c r="O209" s="11">
        <f>IF(J209="","",M209*N209)</f>
        <v/>
      </c>
      <c r="P209">
        <f>IF(J209="","",IF(L209="",1,COUNTIF($L$2:$L$1501,L209)))</f>
        <v/>
      </c>
      <c r="Q209" s="11">
        <f>IF(J209="","",IFERROR(VALUE(SUBSTITUTE(SUBSTITUTE(IF(G209="","",G209)&amp;"","$",""),",","")),0)/IF("No"="Yes",P209,1))</f>
        <v/>
      </c>
      <c r="R209" s="11">
        <f>IF(J209="","",IFERROR(VALUE(SUBSTITUTE(SUBSTITUTE(IF(H209="","",H209)&amp;"","$",""),",","")),0)/IF("No"="Yes",P209,1))</f>
        <v/>
      </c>
      <c r="S209" s="11">
        <f>IF(J209="","",O209+Q209-R209)</f>
        <v/>
      </c>
      <c r="T209">
        <f>IF(J209="","",IFERROR(IF(K209="",NA(),MATCH(K209,Products!$B$5:$B$204,0)),IFERROR(MATCH(J209,Products!$A$5:$A$204,0),"")))</f>
        <v/>
      </c>
      <c r="U209">
        <f>IF(J209="","",IF(T209="","⚠ not in Products",INDEX(Products!$A$5:$A$204,T209)))</f>
        <v/>
      </c>
      <c r="V209" s="11">
        <f>IF(J209="","",S209*(IFERROR(INDEX(Settings!$B$5:$B$9,MATCH($B209,Settings!$A$5:$A$9,0)),0)+IFERROR(INDEX(Settings!$E$5:$E$9,MATCH($B209,Settings!$A$5:$A$9,0)),0)+IFERROR(INDEX(Settings!$G$5:$G$9,MATCH($B209,Settings!$A$5:$A$9,0)),0))+(IFERROR(INDEX(Settings!$C$5:$C$9,MATCH($B209,Settings!$A$5:$A$9,0)),0)+IFERROR(INDEX(Settings!$F$5:$F$9,MATCH($B209,Settings!$A$5:$A$9,0)),0))/P209+IFERROR(INDEX(Settings!$D$5:$D$9,MATCH($B209,Settings!$A$5:$A$9,0)),0)*M209)</f>
        <v/>
      </c>
      <c r="W209" s="11">
        <f>IF(J209="","",IF(T209="",0,M209*INDEX(Products!$I$5:$I$204,T209)))</f>
        <v/>
      </c>
      <c r="X209" s="11">
        <f>IF(J209="","",IF(T209="",0,S209*INDEX(Products!$H$5:$H$204,T209)))</f>
        <v/>
      </c>
      <c r="Y209" s="11">
        <f>IF(J209="","",S209-V209-W209-X209)</f>
        <v/>
      </c>
    </row>
    <row r="210">
      <c r="A210" s="19" t="n"/>
      <c r="B210" s="19" t="n"/>
      <c r="C210" s="19" t="n"/>
      <c r="D210" s="19" t="n"/>
      <c r="E210" s="19" t="n"/>
      <c r="F210" s="20" t="n"/>
      <c r="G210" s="20" t="n"/>
      <c r="H210" s="20" t="n"/>
      <c r="I210" s="19" t="n"/>
      <c r="J210">
        <f>IFERROR(IF(C210="","",C210)&amp;"","")</f>
        <v/>
      </c>
      <c r="K210">
        <f>IFERROR(IF(D210="","",D210)&amp;"","")</f>
        <v/>
      </c>
      <c r="L210">
        <f>IFERROR(IF(I210="","",I210)&amp;"","")</f>
        <v/>
      </c>
      <c r="M210">
        <f>IF(J210="","",IFERROR(VALUE(SUBSTITUTE(SUBSTITUTE(IF(E210="","",E210)&amp;"","$",""),",","")),0))</f>
        <v/>
      </c>
      <c r="N210" s="11">
        <f>IF(J210="","",IFERROR(VALUE(SUBSTITUTE(SUBSTITUTE(IF(F210="","",F210)&amp;"","$",""),",","")),0))</f>
        <v/>
      </c>
      <c r="O210" s="11">
        <f>IF(J210="","",M210*N210)</f>
        <v/>
      </c>
      <c r="P210">
        <f>IF(J210="","",IF(L210="",1,COUNTIF($L$2:$L$1501,L210)))</f>
        <v/>
      </c>
      <c r="Q210" s="11">
        <f>IF(J210="","",IFERROR(VALUE(SUBSTITUTE(SUBSTITUTE(IF(G210="","",G210)&amp;"","$",""),",","")),0)/IF("No"="Yes",P210,1))</f>
        <v/>
      </c>
      <c r="R210" s="11">
        <f>IF(J210="","",IFERROR(VALUE(SUBSTITUTE(SUBSTITUTE(IF(H210="","",H210)&amp;"","$",""),",","")),0)/IF("No"="Yes",P210,1))</f>
        <v/>
      </c>
      <c r="S210" s="11">
        <f>IF(J210="","",O210+Q210-R210)</f>
        <v/>
      </c>
      <c r="T210">
        <f>IF(J210="","",IFERROR(IF(K210="",NA(),MATCH(K210,Products!$B$5:$B$204,0)),IFERROR(MATCH(J210,Products!$A$5:$A$204,0),"")))</f>
        <v/>
      </c>
      <c r="U210">
        <f>IF(J210="","",IF(T210="","⚠ not in Products",INDEX(Products!$A$5:$A$204,T210)))</f>
        <v/>
      </c>
      <c r="V210" s="11">
        <f>IF(J210="","",S210*(IFERROR(INDEX(Settings!$B$5:$B$9,MATCH($B210,Settings!$A$5:$A$9,0)),0)+IFERROR(INDEX(Settings!$E$5:$E$9,MATCH($B210,Settings!$A$5:$A$9,0)),0)+IFERROR(INDEX(Settings!$G$5:$G$9,MATCH($B210,Settings!$A$5:$A$9,0)),0))+(IFERROR(INDEX(Settings!$C$5:$C$9,MATCH($B210,Settings!$A$5:$A$9,0)),0)+IFERROR(INDEX(Settings!$F$5:$F$9,MATCH($B210,Settings!$A$5:$A$9,0)),0))/P210+IFERROR(INDEX(Settings!$D$5:$D$9,MATCH($B210,Settings!$A$5:$A$9,0)),0)*M210)</f>
        <v/>
      </c>
      <c r="W210" s="11">
        <f>IF(J210="","",IF(T210="",0,M210*INDEX(Products!$I$5:$I$204,T210)))</f>
        <v/>
      </c>
      <c r="X210" s="11">
        <f>IF(J210="","",IF(T210="",0,S210*INDEX(Products!$H$5:$H$204,T210)))</f>
        <v/>
      </c>
      <c r="Y210" s="11">
        <f>IF(J210="","",S210-V210-W210-X210)</f>
        <v/>
      </c>
    </row>
    <row r="211">
      <c r="A211" s="19" t="n"/>
      <c r="B211" s="19" t="n"/>
      <c r="C211" s="19" t="n"/>
      <c r="D211" s="19" t="n"/>
      <c r="E211" s="19" t="n"/>
      <c r="F211" s="20" t="n"/>
      <c r="G211" s="20" t="n"/>
      <c r="H211" s="20" t="n"/>
      <c r="I211" s="19" t="n"/>
      <c r="J211">
        <f>IFERROR(IF(C211="","",C211)&amp;"","")</f>
        <v/>
      </c>
      <c r="K211">
        <f>IFERROR(IF(D211="","",D211)&amp;"","")</f>
        <v/>
      </c>
      <c r="L211">
        <f>IFERROR(IF(I211="","",I211)&amp;"","")</f>
        <v/>
      </c>
      <c r="M211">
        <f>IF(J211="","",IFERROR(VALUE(SUBSTITUTE(SUBSTITUTE(IF(E211="","",E211)&amp;"","$",""),",","")),0))</f>
        <v/>
      </c>
      <c r="N211" s="11">
        <f>IF(J211="","",IFERROR(VALUE(SUBSTITUTE(SUBSTITUTE(IF(F211="","",F211)&amp;"","$",""),",","")),0))</f>
        <v/>
      </c>
      <c r="O211" s="11">
        <f>IF(J211="","",M211*N211)</f>
        <v/>
      </c>
      <c r="P211">
        <f>IF(J211="","",IF(L211="",1,COUNTIF($L$2:$L$1501,L211)))</f>
        <v/>
      </c>
      <c r="Q211" s="11">
        <f>IF(J211="","",IFERROR(VALUE(SUBSTITUTE(SUBSTITUTE(IF(G211="","",G211)&amp;"","$",""),",","")),0)/IF("No"="Yes",P211,1))</f>
        <v/>
      </c>
      <c r="R211" s="11">
        <f>IF(J211="","",IFERROR(VALUE(SUBSTITUTE(SUBSTITUTE(IF(H211="","",H211)&amp;"","$",""),",","")),0)/IF("No"="Yes",P211,1))</f>
        <v/>
      </c>
      <c r="S211" s="11">
        <f>IF(J211="","",O211+Q211-R211)</f>
        <v/>
      </c>
      <c r="T211">
        <f>IF(J211="","",IFERROR(IF(K211="",NA(),MATCH(K211,Products!$B$5:$B$204,0)),IFERROR(MATCH(J211,Products!$A$5:$A$204,0),"")))</f>
        <v/>
      </c>
      <c r="U211">
        <f>IF(J211="","",IF(T211="","⚠ not in Products",INDEX(Products!$A$5:$A$204,T211)))</f>
        <v/>
      </c>
      <c r="V211" s="11">
        <f>IF(J211="","",S211*(IFERROR(INDEX(Settings!$B$5:$B$9,MATCH($B211,Settings!$A$5:$A$9,0)),0)+IFERROR(INDEX(Settings!$E$5:$E$9,MATCH($B211,Settings!$A$5:$A$9,0)),0)+IFERROR(INDEX(Settings!$G$5:$G$9,MATCH($B211,Settings!$A$5:$A$9,0)),0))+(IFERROR(INDEX(Settings!$C$5:$C$9,MATCH($B211,Settings!$A$5:$A$9,0)),0)+IFERROR(INDEX(Settings!$F$5:$F$9,MATCH($B211,Settings!$A$5:$A$9,0)),0))/P211+IFERROR(INDEX(Settings!$D$5:$D$9,MATCH($B211,Settings!$A$5:$A$9,0)),0)*M211)</f>
        <v/>
      </c>
      <c r="W211" s="11">
        <f>IF(J211="","",IF(T211="",0,M211*INDEX(Products!$I$5:$I$204,T211)))</f>
        <v/>
      </c>
      <c r="X211" s="11">
        <f>IF(J211="","",IF(T211="",0,S211*INDEX(Products!$H$5:$H$204,T211)))</f>
        <v/>
      </c>
      <c r="Y211" s="11">
        <f>IF(J211="","",S211-V211-W211-X211)</f>
        <v/>
      </c>
    </row>
    <row r="212">
      <c r="A212" s="19" t="n"/>
      <c r="B212" s="19" t="n"/>
      <c r="C212" s="19" t="n"/>
      <c r="D212" s="19" t="n"/>
      <c r="E212" s="19" t="n"/>
      <c r="F212" s="20" t="n"/>
      <c r="G212" s="20" t="n"/>
      <c r="H212" s="20" t="n"/>
      <c r="I212" s="19" t="n"/>
      <c r="J212">
        <f>IFERROR(IF(C212="","",C212)&amp;"","")</f>
        <v/>
      </c>
      <c r="K212">
        <f>IFERROR(IF(D212="","",D212)&amp;"","")</f>
        <v/>
      </c>
      <c r="L212">
        <f>IFERROR(IF(I212="","",I212)&amp;"","")</f>
        <v/>
      </c>
      <c r="M212">
        <f>IF(J212="","",IFERROR(VALUE(SUBSTITUTE(SUBSTITUTE(IF(E212="","",E212)&amp;"","$",""),",","")),0))</f>
        <v/>
      </c>
      <c r="N212" s="11">
        <f>IF(J212="","",IFERROR(VALUE(SUBSTITUTE(SUBSTITUTE(IF(F212="","",F212)&amp;"","$",""),",","")),0))</f>
        <v/>
      </c>
      <c r="O212" s="11">
        <f>IF(J212="","",M212*N212)</f>
        <v/>
      </c>
      <c r="P212">
        <f>IF(J212="","",IF(L212="",1,COUNTIF($L$2:$L$1501,L212)))</f>
        <v/>
      </c>
      <c r="Q212" s="11">
        <f>IF(J212="","",IFERROR(VALUE(SUBSTITUTE(SUBSTITUTE(IF(G212="","",G212)&amp;"","$",""),",","")),0)/IF("No"="Yes",P212,1))</f>
        <v/>
      </c>
      <c r="R212" s="11">
        <f>IF(J212="","",IFERROR(VALUE(SUBSTITUTE(SUBSTITUTE(IF(H212="","",H212)&amp;"","$",""),",","")),0)/IF("No"="Yes",P212,1))</f>
        <v/>
      </c>
      <c r="S212" s="11">
        <f>IF(J212="","",O212+Q212-R212)</f>
        <v/>
      </c>
      <c r="T212">
        <f>IF(J212="","",IFERROR(IF(K212="",NA(),MATCH(K212,Products!$B$5:$B$204,0)),IFERROR(MATCH(J212,Products!$A$5:$A$204,0),"")))</f>
        <v/>
      </c>
      <c r="U212">
        <f>IF(J212="","",IF(T212="","⚠ not in Products",INDEX(Products!$A$5:$A$204,T212)))</f>
        <v/>
      </c>
      <c r="V212" s="11">
        <f>IF(J212="","",S212*(IFERROR(INDEX(Settings!$B$5:$B$9,MATCH($B212,Settings!$A$5:$A$9,0)),0)+IFERROR(INDEX(Settings!$E$5:$E$9,MATCH($B212,Settings!$A$5:$A$9,0)),0)+IFERROR(INDEX(Settings!$G$5:$G$9,MATCH($B212,Settings!$A$5:$A$9,0)),0))+(IFERROR(INDEX(Settings!$C$5:$C$9,MATCH($B212,Settings!$A$5:$A$9,0)),0)+IFERROR(INDEX(Settings!$F$5:$F$9,MATCH($B212,Settings!$A$5:$A$9,0)),0))/P212+IFERROR(INDEX(Settings!$D$5:$D$9,MATCH($B212,Settings!$A$5:$A$9,0)),0)*M212)</f>
        <v/>
      </c>
      <c r="W212" s="11">
        <f>IF(J212="","",IF(T212="",0,M212*INDEX(Products!$I$5:$I$204,T212)))</f>
        <v/>
      </c>
      <c r="X212" s="11">
        <f>IF(J212="","",IF(T212="",0,S212*INDEX(Products!$H$5:$H$204,T212)))</f>
        <v/>
      </c>
      <c r="Y212" s="11">
        <f>IF(J212="","",S212-V212-W212-X212)</f>
        <v/>
      </c>
    </row>
    <row r="213">
      <c r="A213" s="19" t="n"/>
      <c r="B213" s="19" t="n"/>
      <c r="C213" s="19" t="n"/>
      <c r="D213" s="19" t="n"/>
      <c r="E213" s="19" t="n"/>
      <c r="F213" s="20" t="n"/>
      <c r="G213" s="20" t="n"/>
      <c r="H213" s="20" t="n"/>
      <c r="I213" s="19" t="n"/>
      <c r="J213">
        <f>IFERROR(IF(C213="","",C213)&amp;"","")</f>
        <v/>
      </c>
      <c r="K213">
        <f>IFERROR(IF(D213="","",D213)&amp;"","")</f>
        <v/>
      </c>
      <c r="L213">
        <f>IFERROR(IF(I213="","",I213)&amp;"","")</f>
        <v/>
      </c>
      <c r="M213">
        <f>IF(J213="","",IFERROR(VALUE(SUBSTITUTE(SUBSTITUTE(IF(E213="","",E213)&amp;"","$",""),",","")),0))</f>
        <v/>
      </c>
      <c r="N213" s="11">
        <f>IF(J213="","",IFERROR(VALUE(SUBSTITUTE(SUBSTITUTE(IF(F213="","",F213)&amp;"","$",""),",","")),0))</f>
        <v/>
      </c>
      <c r="O213" s="11">
        <f>IF(J213="","",M213*N213)</f>
        <v/>
      </c>
      <c r="P213">
        <f>IF(J213="","",IF(L213="",1,COUNTIF($L$2:$L$1501,L213)))</f>
        <v/>
      </c>
      <c r="Q213" s="11">
        <f>IF(J213="","",IFERROR(VALUE(SUBSTITUTE(SUBSTITUTE(IF(G213="","",G213)&amp;"","$",""),",","")),0)/IF("No"="Yes",P213,1))</f>
        <v/>
      </c>
      <c r="R213" s="11">
        <f>IF(J213="","",IFERROR(VALUE(SUBSTITUTE(SUBSTITUTE(IF(H213="","",H213)&amp;"","$",""),",","")),0)/IF("No"="Yes",P213,1))</f>
        <v/>
      </c>
      <c r="S213" s="11">
        <f>IF(J213="","",O213+Q213-R213)</f>
        <v/>
      </c>
      <c r="T213">
        <f>IF(J213="","",IFERROR(IF(K213="",NA(),MATCH(K213,Products!$B$5:$B$204,0)),IFERROR(MATCH(J213,Products!$A$5:$A$204,0),"")))</f>
        <v/>
      </c>
      <c r="U213">
        <f>IF(J213="","",IF(T213="","⚠ not in Products",INDEX(Products!$A$5:$A$204,T213)))</f>
        <v/>
      </c>
      <c r="V213" s="11">
        <f>IF(J213="","",S213*(IFERROR(INDEX(Settings!$B$5:$B$9,MATCH($B213,Settings!$A$5:$A$9,0)),0)+IFERROR(INDEX(Settings!$E$5:$E$9,MATCH($B213,Settings!$A$5:$A$9,0)),0)+IFERROR(INDEX(Settings!$G$5:$G$9,MATCH($B213,Settings!$A$5:$A$9,0)),0))+(IFERROR(INDEX(Settings!$C$5:$C$9,MATCH($B213,Settings!$A$5:$A$9,0)),0)+IFERROR(INDEX(Settings!$F$5:$F$9,MATCH($B213,Settings!$A$5:$A$9,0)),0))/P213+IFERROR(INDEX(Settings!$D$5:$D$9,MATCH($B213,Settings!$A$5:$A$9,0)),0)*M213)</f>
        <v/>
      </c>
      <c r="W213" s="11">
        <f>IF(J213="","",IF(T213="",0,M213*INDEX(Products!$I$5:$I$204,T213)))</f>
        <v/>
      </c>
      <c r="X213" s="11">
        <f>IF(J213="","",IF(T213="",0,S213*INDEX(Products!$H$5:$H$204,T213)))</f>
        <v/>
      </c>
      <c r="Y213" s="11">
        <f>IF(J213="","",S213-V213-W213-X213)</f>
        <v/>
      </c>
    </row>
    <row r="214">
      <c r="A214" s="19" t="n"/>
      <c r="B214" s="19" t="n"/>
      <c r="C214" s="19" t="n"/>
      <c r="D214" s="19" t="n"/>
      <c r="E214" s="19" t="n"/>
      <c r="F214" s="20" t="n"/>
      <c r="G214" s="20" t="n"/>
      <c r="H214" s="20" t="n"/>
      <c r="I214" s="19" t="n"/>
      <c r="J214">
        <f>IFERROR(IF(C214="","",C214)&amp;"","")</f>
        <v/>
      </c>
      <c r="K214">
        <f>IFERROR(IF(D214="","",D214)&amp;"","")</f>
        <v/>
      </c>
      <c r="L214">
        <f>IFERROR(IF(I214="","",I214)&amp;"","")</f>
        <v/>
      </c>
      <c r="M214">
        <f>IF(J214="","",IFERROR(VALUE(SUBSTITUTE(SUBSTITUTE(IF(E214="","",E214)&amp;"","$",""),",","")),0))</f>
        <v/>
      </c>
      <c r="N214" s="11">
        <f>IF(J214="","",IFERROR(VALUE(SUBSTITUTE(SUBSTITUTE(IF(F214="","",F214)&amp;"","$",""),",","")),0))</f>
        <v/>
      </c>
      <c r="O214" s="11">
        <f>IF(J214="","",M214*N214)</f>
        <v/>
      </c>
      <c r="P214">
        <f>IF(J214="","",IF(L214="",1,COUNTIF($L$2:$L$1501,L214)))</f>
        <v/>
      </c>
      <c r="Q214" s="11">
        <f>IF(J214="","",IFERROR(VALUE(SUBSTITUTE(SUBSTITUTE(IF(G214="","",G214)&amp;"","$",""),",","")),0)/IF("No"="Yes",P214,1))</f>
        <v/>
      </c>
      <c r="R214" s="11">
        <f>IF(J214="","",IFERROR(VALUE(SUBSTITUTE(SUBSTITUTE(IF(H214="","",H214)&amp;"","$",""),",","")),0)/IF("No"="Yes",P214,1))</f>
        <v/>
      </c>
      <c r="S214" s="11">
        <f>IF(J214="","",O214+Q214-R214)</f>
        <v/>
      </c>
      <c r="T214">
        <f>IF(J214="","",IFERROR(IF(K214="",NA(),MATCH(K214,Products!$B$5:$B$204,0)),IFERROR(MATCH(J214,Products!$A$5:$A$204,0),"")))</f>
        <v/>
      </c>
      <c r="U214">
        <f>IF(J214="","",IF(T214="","⚠ not in Products",INDEX(Products!$A$5:$A$204,T214)))</f>
        <v/>
      </c>
      <c r="V214" s="11">
        <f>IF(J214="","",S214*(IFERROR(INDEX(Settings!$B$5:$B$9,MATCH($B214,Settings!$A$5:$A$9,0)),0)+IFERROR(INDEX(Settings!$E$5:$E$9,MATCH($B214,Settings!$A$5:$A$9,0)),0)+IFERROR(INDEX(Settings!$G$5:$G$9,MATCH($B214,Settings!$A$5:$A$9,0)),0))+(IFERROR(INDEX(Settings!$C$5:$C$9,MATCH($B214,Settings!$A$5:$A$9,0)),0)+IFERROR(INDEX(Settings!$F$5:$F$9,MATCH($B214,Settings!$A$5:$A$9,0)),0))/P214+IFERROR(INDEX(Settings!$D$5:$D$9,MATCH($B214,Settings!$A$5:$A$9,0)),0)*M214)</f>
        <v/>
      </c>
      <c r="W214" s="11">
        <f>IF(J214="","",IF(T214="",0,M214*INDEX(Products!$I$5:$I$204,T214)))</f>
        <v/>
      </c>
      <c r="X214" s="11">
        <f>IF(J214="","",IF(T214="",0,S214*INDEX(Products!$H$5:$H$204,T214)))</f>
        <v/>
      </c>
      <c r="Y214" s="11">
        <f>IF(J214="","",S214-V214-W214-X214)</f>
        <v/>
      </c>
    </row>
    <row r="215">
      <c r="A215" s="19" t="n"/>
      <c r="B215" s="19" t="n"/>
      <c r="C215" s="19" t="n"/>
      <c r="D215" s="19" t="n"/>
      <c r="E215" s="19" t="n"/>
      <c r="F215" s="20" t="n"/>
      <c r="G215" s="20" t="n"/>
      <c r="H215" s="20" t="n"/>
      <c r="I215" s="19" t="n"/>
      <c r="J215">
        <f>IFERROR(IF(C215="","",C215)&amp;"","")</f>
        <v/>
      </c>
      <c r="K215">
        <f>IFERROR(IF(D215="","",D215)&amp;"","")</f>
        <v/>
      </c>
      <c r="L215">
        <f>IFERROR(IF(I215="","",I215)&amp;"","")</f>
        <v/>
      </c>
      <c r="M215">
        <f>IF(J215="","",IFERROR(VALUE(SUBSTITUTE(SUBSTITUTE(IF(E215="","",E215)&amp;"","$",""),",","")),0))</f>
        <v/>
      </c>
      <c r="N215" s="11">
        <f>IF(J215="","",IFERROR(VALUE(SUBSTITUTE(SUBSTITUTE(IF(F215="","",F215)&amp;"","$",""),",","")),0))</f>
        <v/>
      </c>
      <c r="O215" s="11">
        <f>IF(J215="","",M215*N215)</f>
        <v/>
      </c>
      <c r="P215">
        <f>IF(J215="","",IF(L215="",1,COUNTIF($L$2:$L$1501,L215)))</f>
        <v/>
      </c>
      <c r="Q215" s="11">
        <f>IF(J215="","",IFERROR(VALUE(SUBSTITUTE(SUBSTITUTE(IF(G215="","",G215)&amp;"","$",""),",","")),0)/IF("No"="Yes",P215,1))</f>
        <v/>
      </c>
      <c r="R215" s="11">
        <f>IF(J215="","",IFERROR(VALUE(SUBSTITUTE(SUBSTITUTE(IF(H215="","",H215)&amp;"","$",""),",","")),0)/IF("No"="Yes",P215,1))</f>
        <v/>
      </c>
      <c r="S215" s="11">
        <f>IF(J215="","",O215+Q215-R215)</f>
        <v/>
      </c>
      <c r="T215">
        <f>IF(J215="","",IFERROR(IF(K215="",NA(),MATCH(K215,Products!$B$5:$B$204,0)),IFERROR(MATCH(J215,Products!$A$5:$A$204,0),"")))</f>
        <v/>
      </c>
      <c r="U215">
        <f>IF(J215="","",IF(T215="","⚠ not in Products",INDEX(Products!$A$5:$A$204,T215)))</f>
        <v/>
      </c>
      <c r="V215" s="11">
        <f>IF(J215="","",S215*(IFERROR(INDEX(Settings!$B$5:$B$9,MATCH($B215,Settings!$A$5:$A$9,0)),0)+IFERROR(INDEX(Settings!$E$5:$E$9,MATCH($B215,Settings!$A$5:$A$9,0)),0)+IFERROR(INDEX(Settings!$G$5:$G$9,MATCH($B215,Settings!$A$5:$A$9,0)),0))+(IFERROR(INDEX(Settings!$C$5:$C$9,MATCH($B215,Settings!$A$5:$A$9,0)),0)+IFERROR(INDEX(Settings!$F$5:$F$9,MATCH($B215,Settings!$A$5:$A$9,0)),0))/P215+IFERROR(INDEX(Settings!$D$5:$D$9,MATCH($B215,Settings!$A$5:$A$9,0)),0)*M215)</f>
        <v/>
      </c>
      <c r="W215" s="11">
        <f>IF(J215="","",IF(T215="",0,M215*INDEX(Products!$I$5:$I$204,T215)))</f>
        <v/>
      </c>
      <c r="X215" s="11">
        <f>IF(J215="","",IF(T215="",0,S215*INDEX(Products!$H$5:$H$204,T215)))</f>
        <v/>
      </c>
      <c r="Y215" s="11">
        <f>IF(J215="","",S215-V215-W215-X215)</f>
        <v/>
      </c>
    </row>
    <row r="216">
      <c r="A216" s="19" t="n"/>
      <c r="B216" s="19" t="n"/>
      <c r="C216" s="19" t="n"/>
      <c r="D216" s="19" t="n"/>
      <c r="E216" s="19" t="n"/>
      <c r="F216" s="20" t="n"/>
      <c r="G216" s="20" t="n"/>
      <c r="H216" s="20" t="n"/>
      <c r="I216" s="19" t="n"/>
      <c r="J216">
        <f>IFERROR(IF(C216="","",C216)&amp;"","")</f>
        <v/>
      </c>
      <c r="K216">
        <f>IFERROR(IF(D216="","",D216)&amp;"","")</f>
        <v/>
      </c>
      <c r="L216">
        <f>IFERROR(IF(I216="","",I216)&amp;"","")</f>
        <v/>
      </c>
      <c r="M216">
        <f>IF(J216="","",IFERROR(VALUE(SUBSTITUTE(SUBSTITUTE(IF(E216="","",E216)&amp;"","$",""),",","")),0))</f>
        <v/>
      </c>
      <c r="N216" s="11">
        <f>IF(J216="","",IFERROR(VALUE(SUBSTITUTE(SUBSTITUTE(IF(F216="","",F216)&amp;"","$",""),",","")),0))</f>
        <v/>
      </c>
      <c r="O216" s="11">
        <f>IF(J216="","",M216*N216)</f>
        <v/>
      </c>
      <c r="P216">
        <f>IF(J216="","",IF(L216="",1,COUNTIF($L$2:$L$1501,L216)))</f>
        <v/>
      </c>
      <c r="Q216" s="11">
        <f>IF(J216="","",IFERROR(VALUE(SUBSTITUTE(SUBSTITUTE(IF(G216="","",G216)&amp;"","$",""),",","")),0)/IF("No"="Yes",P216,1))</f>
        <v/>
      </c>
      <c r="R216" s="11">
        <f>IF(J216="","",IFERROR(VALUE(SUBSTITUTE(SUBSTITUTE(IF(H216="","",H216)&amp;"","$",""),",","")),0)/IF("No"="Yes",P216,1))</f>
        <v/>
      </c>
      <c r="S216" s="11">
        <f>IF(J216="","",O216+Q216-R216)</f>
        <v/>
      </c>
      <c r="T216">
        <f>IF(J216="","",IFERROR(IF(K216="",NA(),MATCH(K216,Products!$B$5:$B$204,0)),IFERROR(MATCH(J216,Products!$A$5:$A$204,0),"")))</f>
        <v/>
      </c>
      <c r="U216">
        <f>IF(J216="","",IF(T216="","⚠ not in Products",INDEX(Products!$A$5:$A$204,T216)))</f>
        <v/>
      </c>
      <c r="V216" s="11">
        <f>IF(J216="","",S216*(IFERROR(INDEX(Settings!$B$5:$B$9,MATCH($B216,Settings!$A$5:$A$9,0)),0)+IFERROR(INDEX(Settings!$E$5:$E$9,MATCH($B216,Settings!$A$5:$A$9,0)),0)+IFERROR(INDEX(Settings!$G$5:$G$9,MATCH($B216,Settings!$A$5:$A$9,0)),0))+(IFERROR(INDEX(Settings!$C$5:$C$9,MATCH($B216,Settings!$A$5:$A$9,0)),0)+IFERROR(INDEX(Settings!$F$5:$F$9,MATCH($B216,Settings!$A$5:$A$9,0)),0))/P216+IFERROR(INDEX(Settings!$D$5:$D$9,MATCH($B216,Settings!$A$5:$A$9,0)),0)*M216)</f>
        <v/>
      </c>
      <c r="W216" s="11">
        <f>IF(J216="","",IF(T216="",0,M216*INDEX(Products!$I$5:$I$204,T216)))</f>
        <v/>
      </c>
      <c r="X216" s="11">
        <f>IF(J216="","",IF(T216="",0,S216*INDEX(Products!$H$5:$H$204,T216)))</f>
        <v/>
      </c>
      <c r="Y216" s="11">
        <f>IF(J216="","",S216-V216-W216-X216)</f>
        <v/>
      </c>
    </row>
    <row r="217">
      <c r="A217" s="19" t="n"/>
      <c r="B217" s="19" t="n"/>
      <c r="C217" s="19" t="n"/>
      <c r="D217" s="19" t="n"/>
      <c r="E217" s="19" t="n"/>
      <c r="F217" s="20" t="n"/>
      <c r="G217" s="20" t="n"/>
      <c r="H217" s="20" t="n"/>
      <c r="I217" s="19" t="n"/>
      <c r="J217">
        <f>IFERROR(IF(C217="","",C217)&amp;"","")</f>
        <v/>
      </c>
      <c r="K217">
        <f>IFERROR(IF(D217="","",D217)&amp;"","")</f>
        <v/>
      </c>
      <c r="L217">
        <f>IFERROR(IF(I217="","",I217)&amp;"","")</f>
        <v/>
      </c>
      <c r="M217">
        <f>IF(J217="","",IFERROR(VALUE(SUBSTITUTE(SUBSTITUTE(IF(E217="","",E217)&amp;"","$",""),",","")),0))</f>
        <v/>
      </c>
      <c r="N217" s="11">
        <f>IF(J217="","",IFERROR(VALUE(SUBSTITUTE(SUBSTITUTE(IF(F217="","",F217)&amp;"","$",""),",","")),0))</f>
        <v/>
      </c>
      <c r="O217" s="11">
        <f>IF(J217="","",M217*N217)</f>
        <v/>
      </c>
      <c r="P217">
        <f>IF(J217="","",IF(L217="",1,COUNTIF($L$2:$L$1501,L217)))</f>
        <v/>
      </c>
      <c r="Q217" s="11">
        <f>IF(J217="","",IFERROR(VALUE(SUBSTITUTE(SUBSTITUTE(IF(G217="","",G217)&amp;"","$",""),",","")),0)/IF("No"="Yes",P217,1))</f>
        <v/>
      </c>
      <c r="R217" s="11">
        <f>IF(J217="","",IFERROR(VALUE(SUBSTITUTE(SUBSTITUTE(IF(H217="","",H217)&amp;"","$",""),",","")),0)/IF("No"="Yes",P217,1))</f>
        <v/>
      </c>
      <c r="S217" s="11">
        <f>IF(J217="","",O217+Q217-R217)</f>
        <v/>
      </c>
      <c r="T217">
        <f>IF(J217="","",IFERROR(IF(K217="",NA(),MATCH(K217,Products!$B$5:$B$204,0)),IFERROR(MATCH(J217,Products!$A$5:$A$204,0),"")))</f>
        <v/>
      </c>
      <c r="U217">
        <f>IF(J217="","",IF(T217="","⚠ not in Products",INDEX(Products!$A$5:$A$204,T217)))</f>
        <v/>
      </c>
      <c r="V217" s="11">
        <f>IF(J217="","",S217*(IFERROR(INDEX(Settings!$B$5:$B$9,MATCH($B217,Settings!$A$5:$A$9,0)),0)+IFERROR(INDEX(Settings!$E$5:$E$9,MATCH($B217,Settings!$A$5:$A$9,0)),0)+IFERROR(INDEX(Settings!$G$5:$G$9,MATCH($B217,Settings!$A$5:$A$9,0)),0))+(IFERROR(INDEX(Settings!$C$5:$C$9,MATCH($B217,Settings!$A$5:$A$9,0)),0)+IFERROR(INDEX(Settings!$F$5:$F$9,MATCH($B217,Settings!$A$5:$A$9,0)),0))/P217+IFERROR(INDEX(Settings!$D$5:$D$9,MATCH($B217,Settings!$A$5:$A$9,0)),0)*M217)</f>
        <v/>
      </c>
      <c r="W217" s="11">
        <f>IF(J217="","",IF(T217="",0,M217*INDEX(Products!$I$5:$I$204,T217)))</f>
        <v/>
      </c>
      <c r="X217" s="11">
        <f>IF(J217="","",IF(T217="",0,S217*INDEX(Products!$H$5:$H$204,T217)))</f>
        <v/>
      </c>
      <c r="Y217" s="11">
        <f>IF(J217="","",S217-V217-W217-X217)</f>
        <v/>
      </c>
    </row>
    <row r="218">
      <c r="A218" s="19" t="n"/>
      <c r="B218" s="19" t="n"/>
      <c r="C218" s="19" t="n"/>
      <c r="D218" s="19" t="n"/>
      <c r="E218" s="19" t="n"/>
      <c r="F218" s="20" t="n"/>
      <c r="G218" s="20" t="n"/>
      <c r="H218" s="20" t="n"/>
      <c r="I218" s="19" t="n"/>
      <c r="J218">
        <f>IFERROR(IF(C218="","",C218)&amp;"","")</f>
        <v/>
      </c>
      <c r="K218">
        <f>IFERROR(IF(D218="","",D218)&amp;"","")</f>
        <v/>
      </c>
      <c r="L218">
        <f>IFERROR(IF(I218="","",I218)&amp;"","")</f>
        <v/>
      </c>
      <c r="M218">
        <f>IF(J218="","",IFERROR(VALUE(SUBSTITUTE(SUBSTITUTE(IF(E218="","",E218)&amp;"","$",""),",","")),0))</f>
        <v/>
      </c>
      <c r="N218" s="11">
        <f>IF(J218="","",IFERROR(VALUE(SUBSTITUTE(SUBSTITUTE(IF(F218="","",F218)&amp;"","$",""),",","")),0))</f>
        <v/>
      </c>
      <c r="O218" s="11">
        <f>IF(J218="","",M218*N218)</f>
        <v/>
      </c>
      <c r="P218">
        <f>IF(J218="","",IF(L218="",1,COUNTIF($L$2:$L$1501,L218)))</f>
        <v/>
      </c>
      <c r="Q218" s="11">
        <f>IF(J218="","",IFERROR(VALUE(SUBSTITUTE(SUBSTITUTE(IF(G218="","",G218)&amp;"","$",""),",","")),0)/IF("No"="Yes",P218,1))</f>
        <v/>
      </c>
      <c r="R218" s="11">
        <f>IF(J218="","",IFERROR(VALUE(SUBSTITUTE(SUBSTITUTE(IF(H218="","",H218)&amp;"","$",""),",","")),0)/IF("No"="Yes",P218,1))</f>
        <v/>
      </c>
      <c r="S218" s="11">
        <f>IF(J218="","",O218+Q218-R218)</f>
        <v/>
      </c>
      <c r="T218">
        <f>IF(J218="","",IFERROR(IF(K218="",NA(),MATCH(K218,Products!$B$5:$B$204,0)),IFERROR(MATCH(J218,Products!$A$5:$A$204,0),"")))</f>
        <v/>
      </c>
      <c r="U218">
        <f>IF(J218="","",IF(T218="","⚠ not in Products",INDEX(Products!$A$5:$A$204,T218)))</f>
        <v/>
      </c>
      <c r="V218" s="11">
        <f>IF(J218="","",S218*(IFERROR(INDEX(Settings!$B$5:$B$9,MATCH($B218,Settings!$A$5:$A$9,0)),0)+IFERROR(INDEX(Settings!$E$5:$E$9,MATCH($B218,Settings!$A$5:$A$9,0)),0)+IFERROR(INDEX(Settings!$G$5:$G$9,MATCH($B218,Settings!$A$5:$A$9,0)),0))+(IFERROR(INDEX(Settings!$C$5:$C$9,MATCH($B218,Settings!$A$5:$A$9,0)),0)+IFERROR(INDEX(Settings!$F$5:$F$9,MATCH($B218,Settings!$A$5:$A$9,0)),0))/P218+IFERROR(INDEX(Settings!$D$5:$D$9,MATCH($B218,Settings!$A$5:$A$9,0)),0)*M218)</f>
        <v/>
      </c>
      <c r="W218" s="11">
        <f>IF(J218="","",IF(T218="",0,M218*INDEX(Products!$I$5:$I$204,T218)))</f>
        <v/>
      </c>
      <c r="X218" s="11">
        <f>IF(J218="","",IF(T218="",0,S218*INDEX(Products!$H$5:$H$204,T218)))</f>
        <v/>
      </c>
      <c r="Y218" s="11">
        <f>IF(J218="","",S218-V218-W218-X218)</f>
        <v/>
      </c>
    </row>
    <row r="219">
      <c r="A219" s="19" t="n"/>
      <c r="B219" s="19" t="n"/>
      <c r="C219" s="19" t="n"/>
      <c r="D219" s="19" t="n"/>
      <c r="E219" s="19" t="n"/>
      <c r="F219" s="20" t="n"/>
      <c r="G219" s="20" t="n"/>
      <c r="H219" s="20" t="n"/>
      <c r="I219" s="19" t="n"/>
      <c r="J219">
        <f>IFERROR(IF(C219="","",C219)&amp;"","")</f>
        <v/>
      </c>
      <c r="K219">
        <f>IFERROR(IF(D219="","",D219)&amp;"","")</f>
        <v/>
      </c>
      <c r="L219">
        <f>IFERROR(IF(I219="","",I219)&amp;"","")</f>
        <v/>
      </c>
      <c r="M219">
        <f>IF(J219="","",IFERROR(VALUE(SUBSTITUTE(SUBSTITUTE(IF(E219="","",E219)&amp;"","$",""),",","")),0))</f>
        <v/>
      </c>
      <c r="N219" s="11">
        <f>IF(J219="","",IFERROR(VALUE(SUBSTITUTE(SUBSTITUTE(IF(F219="","",F219)&amp;"","$",""),",","")),0))</f>
        <v/>
      </c>
      <c r="O219" s="11">
        <f>IF(J219="","",M219*N219)</f>
        <v/>
      </c>
      <c r="P219">
        <f>IF(J219="","",IF(L219="",1,COUNTIF($L$2:$L$1501,L219)))</f>
        <v/>
      </c>
      <c r="Q219" s="11">
        <f>IF(J219="","",IFERROR(VALUE(SUBSTITUTE(SUBSTITUTE(IF(G219="","",G219)&amp;"","$",""),",","")),0)/IF("No"="Yes",P219,1))</f>
        <v/>
      </c>
      <c r="R219" s="11">
        <f>IF(J219="","",IFERROR(VALUE(SUBSTITUTE(SUBSTITUTE(IF(H219="","",H219)&amp;"","$",""),",","")),0)/IF("No"="Yes",P219,1))</f>
        <v/>
      </c>
      <c r="S219" s="11">
        <f>IF(J219="","",O219+Q219-R219)</f>
        <v/>
      </c>
      <c r="T219">
        <f>IF(J219="","",IFERROR(IF(K219="",NA(),MATCH(K219,Products!$B$5:$B$204,0)),IFERROR(MATCH(J219,Products!$A$5:$A$204,0),"")))</f>
        <v/>
      </c>
      <c r="U219">
        <f>IF(J219="","",IF(T219="","⚠ not in Products",INDEX(Products!$A$5:$A$204,T219)))</f>
        <v/>
      </c>
      <c r="V219" s="11">
        <f>IF(J219="","",S219*(IFERROR(INDEX(Settings!$B$5:$B$9,MATCH($B219,Settings!$A$5:$A$9,0)),0)+IFERROR(INDEX(Settings!$E$5:$E$9,MATCH($B219,Settings!$A$5:$A$9,0)),0)+IFERROR(INDEX(Settings!$G$5:$G$9,MATCH($B219,Settings!$A$5:$A$9,0)),0))+(IFERROR(INDEX(Settings!$C$5:$C$9,MATCH($B219,Settings!$A$5:$A$9,0)),0)+IFERROR(INDEX(Settings!$F$5:$F$9,MATCH($B219,Settings!$A$5:$A$9,0)),0))/P219+IFERROR(INDEX(Settings!$D$5:$D$9,MATCH($B219,Settings!$A$5:$A$9,0)),0)*M219)</f>
        <v/>
      </c>
      <c r="W219" s="11">
        <f>IF(J219="","",IF(T219="",0,M219*INDEX(Products!$I$5:$I$204,T219)))</f>
        <v/>
      </c>
      <c r="X219" s="11">
        <f>IF(J219="","",IF(T219="",0,S219*INDEX(Products!$H$5:$H$204,T219)))</f>
        <v/>
      </c>
      <c r="Y219" s="11">
        <f>IF(J219="","",S219-V219-W219-X219)</f>
        <v/>
      </c>
    </row>
    <row r="220">
      <c r="A220" s="19" t="n"/>
      <c r="B220" s="19" t="n"/>
      <c r="C220" s="19" t="n"/>
      <c r="D220" s="19" t="n"/>
      <c r="E220" s="19" t="n"/>
      <c r="F220" s="20" t="n"/>
      <c r="G220" s="20" t="n"/>
      <c r="H220" s="20" t="n"/>
      <c r="I220" s="19" t="n"/>
      <c r="J220">
        <f>IFERROR(IF(C220="","",C220)&amp;"","")</f>
        <v/>
      </c>
      <c r="K220">
        <f>IFERROR(IF(D220="","",D220)&amp;"","")</f>
        <v/>
      </c>
      <c r="L220">
        <f>IFERROR(IF(I220="","",I220)&amp;"","")</f>
        <v/>
      </c>
      <c r="M220">
        <f>IF(J220="","",IFERROR(VALUE(SUBSTITUTE(SUBSTITUTE(IF(E220="","",E220)&amp;"","$",""),",","")),0))</f>
        <v/>
      </c>
      <c r="N220" s="11">
        <f>IF(J220="","",IFERROR(VALUE(SUBSTITUTE(SUBSTITUTE(IF(F220="","",F220)&amp;"","$",""),",","")),0))</f>
        <v/>
      </c>
      <c r="O220" s="11">
        <f>IF(J220="","",M220*N220)</f>
        <v/>
      </c>
      <c r="P220">
        <f>IF(J220="","",IF(L220="",1,COUNTIF($L$2:$L$1501,L220)))</f>
        <v/>
      </c>
      <c r="Q220" s="11">
        <f>IF(J220="","",IFERROR(VALUE(SUBSTITUTE(SUBSTITUTE(IF(G220="","",G220)&amp;"","$",""),",","")),0)/IF("No"="Yes",P220,1))</f>
        <v/>
      </c>
      <c r="R220" s="11">
        <f>IF(J220="","",IFERROR(VALUE(SUBSTITUTE(SUBSTITUTE(IF(H220="","",H220)&amp;"","$",""),",","")),0)/IF("No"="Yes",P220,1))</f>
        <v/>
      </c>
      <c r="S220" s="11">
        <f>IF(J220="","",O220+Q220-R220)</f>
        <v/>
      </c>
      <c r="T220">
        <f>IF(J220="","",IFERROR(IF(K220="",NA(),MATCH(K220,Products!$B$5:$B$204,0)),IFERROR(MATCH(J220,Products!$A$5:$A$204,0),"")))</f>
        <v/>
      </c>
      <c r="U220">
        <f>IF(J220="","",IF(T220="","⚠ not in Products",INDEX(Products!$A$5:$A$204,T220)))</f>
        <v/>
      </c>
      <c r="V220" s="11">
        <f>IF(J220="","",S220*(IFERROR(INDEX(Settings!$B$5:$B$9,MATCH($B220,Settings!$A$5:$A$9,0)),0)+IFERROR(INDEX(Settings!$E$5:$E$9,MATCH($B220,Settings!$A$5:$A$9,0)),0)+IFERROR(INDEX(Settings!$G$5:$G$9,MATCH($B220,Settings!$A$5:$A$9,0)),0))+(IFERROR(INDEX(Settings!$C$5:$C$9,MATCH($B220,Settings!$A$5:$A$9,0)),0)+IFERROR(INDEX(Settings!$F$5:$F$9,MATCH($B220,Settings!$A$5:$A$9,0)),0))/P220+IFERROR(INDEX(Settings!$D$5:$D$9,MATCH($B220,Settings!$A$5:$A$9,0)),0)*M220)</f>
        <v/>
      </c>
      <c r="W220" s="11">
        <f>IF(J220="","",IF(T220="",0,M220*INDEX(Products!$I$5:$I$204,T220)))</f>
        <v/>
      </c>
      <c r="X220" s="11">
        <f>IF(J220="","",IF(T220="",0,S220*INDEX(Products!$H$5:$H$204,T220)))</f>
        <v/>
      </c>
      <c r="Y220" s="11">
        <f>IF(J220="","",S220-V220-W220-X220)</f>
        <v/>
      </c>
    </row>
    <row r="221">
      <c r="A221" s="19" t="n"/>
      <c r="B221" s="19" t="n"/>
      <c r="C221" s="19" t="n"/>
      <c r="D221" s="19" t="n"/>
      <c r="E221" s="19" t="n"/>
      <c r="F221" s="20" t="n"/>
      <c r="G221" s="20" t="n"/>
      <c r="H221" s="20" t="n"/>
      <c r="I221" s="19" t="n"/>
      <c r="J221">
        <f>IFERROR(IF(C221="","",C221)&amp;"","")</f>
        <v/>
      </c>
      <c r="K221">
        <f>IFERROR(IF(D221="","",D221)&amp;"","")</f>
        <v/>
      </c>
      <c r="L221">
        <f>IFERROR(IF(I221="","",I221)&amp;"","")</f>
        <v/>
      </c>
      <c r="M221">
        <f>IF(J221="","",IFERROR(VALUE(SUBSTITUTE(SUBSTITUTE(IF(E221="","",E221)&amp;"","$",""),",","")),0))</f>
        <v/>
      </c>
      <c r="N221" s="11">
        <f>IF(J221="","",IFERROR(VALUE(SUBSTITUTE(SUBSTITUTE(IF(F221="","",F221)&amp;"","$",""),",","")),0))</f>
        <v/>
      </c>
      <c r="O221" s="11">
        <f>IF(J221="","",M221*N221)</f>
        <v/>
      </c>
      <c r="P221">
        <f>IF(J221="","",IF(L221="",1,COUNTIF($L$2:$L$1501,L221)))</f>
        <v/>
      </c>
      <c r="Q221" s="11">
        <f>IF(J221="","",IFERROR(VALUE(SUBSTITUTE(SUBSTITUTE(IF(G221="","",G221)&amp;"","$",""),",","")),0)/IF("No"="Yes",P221,1))</f>
        <v/>
      </c>
      <c r="R221" s="11">
        <f>IF(J221="","",IFERROR(VALUE(SUBSTITUTE(SUBSTITUTE(IF(H221="","",H221)&amp;"","$",""),",","")),0)/IF("No"="Yes",P221,1))</f>
        <v/>
      </c>
      <c r="S221" s="11">
        <f>IF(J221="","",O221+Q221-R221)</f>
        <v/>
      </c>
      <c r="T221">
        <f>IF(J221="","",IFERROR(IF(K221="",NA(),MATCH(K221,Products!$B$5:$B$204,0)),IFERROR(MATCH(J221,Products!$A$5:$A$204,0),"")))</f>
        <v/>
      </c>
      <c r="U221">
        <f>IF(J221="","",IF(T221="","⚠ not in Products",INDEX(Products!$A$5:$A$204,T221)))</f>
        <v/>
      </c>
      <c r="V221" s="11">
        <f>IF(J221="","",S221*(IFERROR(INDEX(Settings!$B$5:$B$9,MATCH($B221,Settings!$A$5:$A$9,0)),0)+IFERROR(INDEX(Settings!$E$5:$E$9,MATCH($B221,Settings!$A$5:$A$9,0)),0)+IFERROR(INDEX(Settings!$G$5:$G$9,MATCH($B221,Settings!$A$5:$A$9,0)),0))+(IFERROR(INDEX(Settings!$C$5:$C$9,MATCH($B221,Settings!$A$5:$A$9,0)),0)+IFERROR(INDEX(Settings!$F$5:$F$9,MATCH($B221,Settings!$A$5:$A$9,0)),0))/P221+IFERROR(INDEX(Settings!$D$5:$D$9,MATCH($B221,Settings!$A$5:$A$9,0)),0)*M221)</f>
        <v/>
      </c>
      <c r="W221" s="11">
        <f>IF(J221="","",IF(T221="",0,M221*INDEX(Products!$I$5:$I$204,T221)))</f>
        <v/>
      </c>
      <c r="X221" s="11">
        <f>IF(J221="","",IF(T221="",0,S221*INDEX(Products!$H$5:$H$204,T221)))</f>
        <v/>
      </c>
      <c r="Y221" s="11">
        <f>IF(J221="","",S221-V221-W221-X221)</f>
        <v/>
      </c>
    </row>
    <row r="222">
      <c r="A222" s="19" t="n"/>
      <c r="B222" s="19" t="n"/>
      <c r="C222" s="19" t="n"/>
      <c r="D222" s="19" t="n"/>
      <c r="E222" s="19" t="n"/>
      <c r="F222" s="20" t="n"/>
      <c r="G222" s="20" t="n"/>
      <c r="H222" s="20" t="n"/>
      <c r="I222" s="19" t="n"/>
      <c r="J222">
        <f>IFERROR(IF(C222="","",C222)&amp;"","")</f>
        <v/>
      </c>
      <c r="K222">
        <f>IFERROR(IF(D222="","",D222)&amp;"","")</f>
        <v/>
      </c>
      <c r="L222">
        <f>IFERROR(IF(I222="","",I222)&amp;"","")</f>
        <v/>
      </c>
      <c r="M222">
        <f>IF(J222="","",IFERROR(VALUE(SUBSTITUTE(SUBSTITUTE(IF(E222="","",E222)&amp;"","$",""),",","")),0))</f>
        <v/>
      </c>
      <c r="N222" s="11">
        <f>IF(J222="","",IFERROR(VALUE(SUBSTITUTE(SUBSTITUTE(IF(F222="","",F222)&amp;"","$",""),",","")),0))</f>
        <v/>
      </c>
      <c r="O222" s="11">
        <f>IF(J222="","",M222*N222)</f>
        <v/>
      </c>
      <c r="P222">
        <f>IF(J222="","",IF(L222="",1,COUNTIF($L$2:$L$1501,L222)))</f>
        <v/>
      </c>
      <c r="Q222" s="11">
        <f>IF(J222="","",IFERROR(VALUE(SUBSTITUTE(SUBSTITUTE(IF(G222="","",G222)&amp;"","$",""),",","")),0)/IF("No"="Yes",P222,1))</f>
        <v/>
      </c>
      <c r="R222" s="11">
        <f>IF(J222="","",IFERROR(VALUE(SUBSTITUTE(SUBSTITUTE(IF(H222="","",H222)&amp;"","$",""),",","")),0)/IF("No"="Yes",P222,1))</f>
        <v/>
      </c>
      <c r="S222" s="11">
        <f>IF(J222="","",O222+Q222-R222)</f>
        <v/>
      </c>
      <c r="T222">
        <f>IF(J222="","",IFERROR(IF(K222="",NA(),MATCH(K222,Products!$B$5:$B$204,0)),IFERROR(MATCH(J222,Products!$A$5:$A$204,0),"")))</f>
        <v/>
      </c>
      <c r="U222">
        <f>IF(J222="","",IF(T222="","⚠ not in Products",INDEX(Products!$A$5:$A$204,T222)))</f>
        <v/>
      </c>
      <c r="V222" s="11">
        <f>IF(J222="","",S222*(IFERROR(INDEX(Settings!$B$5:$B$9,MATCH($B222,Settings!$A$5:$A$9,0)),0)+IFERROR(INDEX(Settings!$E$5:$E$9,MATCH($B222,Settings!$A$5:$A$9,0)),0)+IFERROR(INDEX(Settings!$G$5:$G$9,MATCH($B222,Settings!$A$5:$A$9,0)),0))+(IFERROR(INDEX(Settings!$C$5:$C$9,MATCH($B222,Settings!$A$5:$A$9,0)),0)+IFERROR(INDEX(Settings!$F$5:$F$9,MATCH($B222,Settings!$A$5:$A$9,0)),0))/P222+IFERROR(INDEX(Settings!$D$5:$D$9,MATCH($B222,Settings!$A$5:$A$9,0)),0)*M222)</f>
        <v/>
      </c>
      <c r="W222" s="11">
        <f>IF(J222="","",IF(T222="",0,M222*INDEX(Products!$I$5:$I$204,T222)))</f>
        <v/>
      </c>
      <c r="X222" s="11">
        <f>IF(J222="","",IF(T222="",0,S222*INDEX(Products!$H$5:$H$204,T222)))</f>
        <v/>
      </c>
      <c r="Y222" s="11">
        <f>IF(J222="","",S222-V222-W222-X222)</f>
        <v/>
      </c>
    </row>
    <row r="223">
      <c r="A223" s="19" t="n"/>
      <c r="B223" s="19" t="n"/>
      <c r="C223" s="19" t="n"/>
      <c r="D223" s="19" t="n"/>
      <c r="E223" s="19" t="n"/>
      <c r="F223" s="20" t="n"/>
      <c r="G223" s="20" t="n"/>
      <c r="H223" s="20" t="n"/>
      <c r="I223" s="19" t="n"/>
      <c r="J223">
        <f>IFERROR(IF(C223="","",C223)&amp;"","")</f>
        <v/>
      </c>
      <c r="K223">
        <f>IFERROR(IF(D223="","",D223)&amp;"","")</f>
        <v/>
      </c>
      <c r="L223">
        <f>IFERROR(IF(I223="","",I223)&amp;"","")</f>
        <v/>
      </c>
      <c r="M223">
        <f>IF(J223="","",IFERROR(VALUE(SUBSTITUTE(SUBSTITUTE(IF(E223="","",E223)&amp;"","$",""),",","")),0))</f>
        <v/>
      </c>
      <c r="N223" s="11">
        <f>IF(J223="","",IFERROR(VALUE(SUBSTITUTE(SUBSTITUTE(IF(F223="","",F223)&amp;"","$",""),",","")),0))</f>
        <v/>
      </c>
      <c r="O223" s="11">
        <f>IF(J223="","",M223*N223)</f>
        <v/>
      </c>
      <c r="P223">
        <f>IF(J223="","",IF(L223="",1,COUNTIF($L$2:$L$1501,L223)))</f>
        <v/>
      </c>
      <c r="Q223" s="11">
        <f>IF(J223="","",IFERROR(VALUE(SUBSTITUTE(SUBSTITUTE(IF(G223="","",G223)&amp;"","$",""),",","")),0)/IF("No"="Yes",P223,1))</f>
        <v/>
      </c>
      <c r="R223" s="11">
        <f>IF(J223="","",IFERROR(VALUE(SUBSTITUTE(SUBSTITUTE(IF(H223="","",H223)&amp;"","$",""),",","")),0)/IF("No"="Yes",P223,1))</f>
        <v/>
      </c>
      <c r="S223" s="11">
        <f>IF(J223="","",O223+Q223-R223)</f>
        <v/>
      </c>
      <c r="T223">
        <f>IF(J223="","",IFERROR(IF(K223="",NA(),MATCH(K223,Products!$B$5:$B$204,0)),IFERROR(MATCH(J223,Products!$A$5:$A$204,0),"")))</f>
        <v/>
      </c>
      <c r="U223">
        <f>IF(J223="","",IF(T223="","⚠ not in Products",INDEX(Products!$A$5:$A$204,T223)))</f>
        <v/>
      </c>
      <c r="V223" s="11">
        <f>IF(J223="","",S223*(IFERROR(INDEX(Settings!$B$5:$B$9,MATCH($B223,Settings!$A$5:$A$9,0)),0)+IFERROR(INDEX(Settings!$E$5:$E$9,MATCH($B223,Settings!$A$5:$A$9,0)),0)+IFERROR(INDEX(Settings!$G$5:$G$9,MATCH($B223,Settings!$A$5:$A$9,0)),0))+(IFERROR(INDEX(Settings!$C$5:$C$9,MATCH($B223,Settings!$A$5:$A$9,0)),0)+IFERROR(INDEX(Settings!$F$5:$F$9,MATCH($B223,Settings!$A$5:$A$9,0)),0))/P223+IFERROR(INDEX(Settings!$D$5:$D$9,MATCH($B223,Settings!$A$5:$A$9,0)),0)*M223)</f>
        <v/>
      </c>
      <c r="W223" s="11">
        <f>IF(J223="","",IF(T223="",0,M223*INDEX(Products!$I$5:$I$204,T223)))</f>
        <v/>
      </c>
      <c r="X223" s="11">
        <f>IF(J223="","",IF(T223="",0,S223*INDEX(Products!$H$5:$H$204,T223)))</f>
        <v/>
      </c>
      <c r="Y223" s="11">
        <f>IF(J223="","",S223-V223-W223-X223)</f>
        <v/>
      </c>
    </row>
    <row r="224">
      <c r="A224" s="19" t="n"/>
      <c r="B224" s="19" t="n"/>
      <c r="C224" s="19" t="n"/>
      <c r="D224" s="19" t="n"/>
      <c r="E224" s="19" t="n"/>
      <c r="F224" s="20" t="n"/>
      <c r="G224" s="20" t="n"/>
      <c r="H224" s="20" t="n"/>
      <c r="I224" s="19" t="n"/>
      <c r="J224">
        <f>IFERROR(IF(C224="","",C224)&amp;"","")</f>
        <v/>
      </c>
      <c r="K224">
        <f>IFERROR(IF(D224="","",D224)&amp;"","")</f>
        <v/>
      </c>
      <c r="L224">
        <f>IFERROR(IF(I224="","",I224)&amp;"","")</f>
        <v/>
      </c>
      <c r="M224">
        <f>IF(J224="","",IFERROR(VALUE(SUBSTITUTE(SUBSTITUTE(IF(E224="","",E224)&amp;"","$",""),",","")),0))</f>
        <v/>
      </c>
      <c r="N224" s="11">
        <f>IF(J224="","",IFERROR(VALUE(SUBSTITUTE(SUBSTITUTE(IF(F224="","",F224)&amp;"","$",""),",","")),0))</f>
        <v/>
      </c>
      <c r="O224" s="11">
        <f>IF(J224="","",M224*N224)</f>
        <v/>
      </c>
      <c r="P224">
        <f>IF(J224="","",IF(L224="",1,COUNTIF($L$2:$L$1501,L224)))</f>
        <v/>
      </c>
      <c r="Q224" s="11">
        <f>IF(J224="","",IFERROR(VALUE(SUBSTITUTE(SUBSTITUTE(IF(G224="","",G224)&amp;"","$",""),",","")),0)/IF("No"="Yes",P224,1))</f>
        <v/>
      </c>
      <c r="R224" s="11">
        <f>IF(J224="","",IFERROR(VALUE(SUBSTITUTE(SUBSTITUTE(IF(H224="","",H224)&amp;"","$",""),",","")),0)/IF("No"="Yes",P224,1))</f>
        <v/>
      </c>
      <c r="S224" s="11">
        <f>IF(J224="","",O224+Q224-R224)</f>
        <v/>
      </c>
      <c r="T224">
        <f>IF(J224="","",IFERROR(IF(K224="",NA(),MATCH(K224,Products!$B$5:$B$204,0)),IFERROR(MATCH(J224,Products!$A$5:$A$204,0),"")))</f>
        <v/>
      </c>
      <c r="U224">
        <f>IF(J224="","",IF(T224="","⚠ not in Products",INDEX(Products!$A$5:$A$204,T224)))</f>
        <v/>
      </c>
      <c r="V224" s="11">
        <f>IF(J224="","",S224*(IFERROR(INDEX(Settings!$B$5:$B$9,MATCH($B224,Settings!$A$5:$A$9,0)),0)+IFERROR(INDEX(Settings!$E$5:$E$9,MATCH($B224,Settings!$A$5:$A$9,0)),0)+IFERROR(INDEX(Settings!$G$5:$G$9,MATCH($B224,Settings!$A$5:$A$9,0)),0))+(IFERROR(INDEX(Settings!$C$5:$C$9,MATCH($B224,Settings!$A$5:$A$9,0)),0)+IFERROR(INDEX(Settings!$F$5:$F$9,MATCH($B224,Settings!$A$5:$A$9,0)),0))/P224+IFERROR(INDEX(Settings!$D$5:$D$9,MATCH($B224,Settings!$A$5:$A$9,0)),0)*M224)</f>
        <v/>
      </c>
      <c r="W224" s="11">
        <f>IF(J224="","",IF(T224="",0,M224*INDEX(Products!$I$5:$I$204,T224)))</f>
        <v/>
      </c>
      <c r="X224" s="11">
        <f>IF(J224="","",IF(T224="",0,S224*INDEX(Products!$H$5:$H$204,T224)))</f>
        <v/>
      </c>
      <c r="Y224" s="11">
        <f>IF(J224="","",S224-V224-W224-X224)</f>
        <v/>
      </c>
    </row>
    <row r="225">
      <c r="A225" s="19" t="n"/>
      <c r="B225" s="19" t="n"/>
      <c r="C225" s="19" t="n"/>
      <c r="D225" s="19" t="n"/>
      <c r="E225" s="19" t="n"/>
      <c r="F225" s="20" t="n"/>
      <c r="G225" s="20" t="n"/>
      <c r="H225" s="20" t="n"/>
      <c r="I225" s="19" t="n"/>
      <c r="J225">
        <f>IFERROR(IF(C225="","",C225)&amp;"","")</f>
        <v/>
      </c>
      <c r="K225">
        <f>IFERROR(IF(D225="","",D225)&amp;"","")</f>
        <v/>
      </c>
      <c r="L225">
        <f>IFERROR(IF(I225="","",I225)&amp;"","")</f>
        <v/>
      </c>
      <c r="M225">
        <f>IF(J225="","",IFERROR(VALUE(SUBSTITUTE(SUBSTITUTE(IF(E225="","",E225)&amp;"","$",""),",","")),0))</f>
        <v/>
      </c>
      <c r="N225" s="11">
        <f>IF(J225="","",IFERROR(VALUE(SUBSTITUTE(SUBSTITUTE(IF(F225="","",F225)&amp;"","$",""),",","")),0))</f>
        <v/>
      </c>
      <c r="O225" s="11">
        <f>IF(J225="","",M225*N225)</f>
        <v/>
      </c>
      <c r="P225">
        <f>IF(J225="","",IF(L225="",1,COUNTIF($L$2:$L$1501,L225)))</f>
        <v/>
      </c>
      <c r="Q225" s="11">
        <f>IF(J225="","",IFERROR(VALUE(SUBSTITUTE(SUBSTITUTE(IF(G225="","",G225)&amp;"","$",""),",","")),0)/IF("No"="Yes",P225,1))</f>
        <v/>
      </c>
      <c r="R225" s="11">
        <f>IF(J225="","",IFERROR(VALUE(SUBSTITUTE(SUBSTITUTE(IF(H225="","",H225)&amp;"","$",""),",","")),0)/IF("No"="Yes",P225,1))</f>
        <v/>
      </c>
      <c r="S225" s="11">
        <f>IF(J225="","",O225+Q225-R225)</f>
        <v/>
      </c>
      <c r="T225">
        <f>IF(J225="","",IFERROR(IF(K225="",NA(),MATCH(K225,Products!$B$5:$B$204,0)),IFERROR(MATCH(J225,Products!$A$5:$A$204,0),"")))</f>
        <v/>
      </c>
      <c r="U225">
        <f>IF(J225="","",IF(T225="","⚠ not in Products",INDEX(Products!$A$5:$A$204,T225)))</f>
        <v/>
      </c>
      <c r="V225" s="11">
        <f>IF(J225="","",S225*(IFERROR(INDEX(Settings!$B$5:$B$9,MATCH($B225,Settings!$A$5:$A$9,0)),0)+IFERROR(INDEX(Settings!$E$5:$E$9,MATCH($B225,Settings!$A$5:$A$9,0)),0)+IFERROR(INDEX(Settings!$G$5:$G$9,MATCH($B225,Settings!$A$5:$A$9,0)),0))+(IFERROR(INDEX(Settings!$C$5:$C$9,MATCH($B225,Settings!$A$5:$A$9,0)),0)+IFERROR(INDEX(Settings!$F$5:$F$9,MATCH($B225,Settings!$A$5:$A$9,0)),0))/P225+IFERROR(INDEX(Settings!$D$5:$D$9,MATCH($B225,Settings!$A$5:$A$9,0)),0)*M225)</f>
        <v/>
      </c>
      <c r="W225" s="11">
        <f>IF(J225="","",IF(T225="",0,M225*INDEX(Products!$I$5:$I$204,T225)))</f>
        <v/>
      </c>
      <c r="X225" s="11">
        <f>IF(J225="","",IF(T225="",0,S225*INDEX(Products!$H$5:$H$204,T225)))</f>
        <v/>
      </c>
      <c r="Y225" s="11">
        <f>IF(J225="","",S225-V225-W225-X225)</f>
        <v/>
      </c>
    </row>
    <row r="226">
      <c r="A226" s="19" t="n"/>
      <c r="B226" s="19" t="n"/>
      <c r="C226" s="19" t="n"/>
      <c r="D226" s="19" t="n"/>
      <c r="E226" s="19" t="n"/>
      <c r="F226" s="20" t="n"/>
      <c r="G226" s="20" t="n"/>
      <c r="H226" s="20" t="n"/>
      <c r="I226" s="19" t="n"/>
      <c r="J226">
        <f>IFERROR(IF(C226="","",C226)&amp;"","")</f>
        <v/>
      </c>
      <c r="K226">
        <f>IFERROR(IF(D226="","",D226)&amp;"","")</f>
        <v/>
      </c>
      <c r="L226">
        <f>IFERROR(IF(I226="","",I226)&amp;"","")</f>
        <v/>
      </c>
      <c r="M226">
        <f>IF(J226="","",IFERROR(VALUE(SUBSTITUTE(SUBSTITUTE(IF(E226="","",E226)&amp;"","$",""),",","")),0))</f>
        <v/>
      </c>
      <c r="N226" s="11">
        <f>IF(J226="","",IFERROR(VALUE(SUBSTITUTE(SUBSTITUTE(IF(F226="","",F226)&amp;"","$",""),",","")),0))</f>
        <v/>
      </c>
      <c r="O226" s="11">
        <f>IF(J226="","",M226*N226)</f>
        <v/>
      </c>
      <c r="P226">
        <f>IF(J226="","",IF(L226="",1,COUNTIF($L$2:$L$1501,L226)))</f>
        <v/>
      </c>
      <c r="Q226" s="11">
        <f>IF(J226="","",IFERROR(VALUE(SUBSTITUTE(SUBSTITUTE(IF(G226="","",G226)&amp;"","$",""),",","")),0)/IF("No"="Yes",P226,1))</f>
        <v/>
      </c>
      <c r="R226" s="11">
        <f>IF(J226="","",IFERROR(VALUE(SUBSTITUTE(SUBSTITUTE(IF(H226="","",H226)&amp;"","$",""),",","")),0)/IF("No"="Yes",P226,1))</f>
        <v/>
      </c>
      <c r="S226" s="11">
        <f>IF(J226="","",O226+Q226-R226)</f>
        <v/>
      </c>
      <c r="T226">
        <f>IF(J226="","",IFERROR(IF(K226="",NA(),MATCH(K226,Products!$B$5:$B$204,0)),IFERROR(MATCH(J226,Products!$A$5:$A$204,0),"")))</f>
        <v/>
      </c>
      <c r="U226">
        <f>IF(J226="","",IF(T226="","⚠ not in Products",INDEX(Products!$A$5:$A$204,T226)))</f>
        <v/>
      </c>
      <c r="V226" s="11">
        <f>IF(J226="","",S226*(IFERROR(INDEX(Settings!$B$5:$B$9,MATCH($B226,Settings!$A$5:$A$9,0)),0)+IFERROR(INDEX(Settings!$E$5:$E$9,MATCH($B226,Settings!$A$5:$A$9,0)),0)+IFERROR(INDEX(Settings!$G$5:$G$9,MATCH($B226,Settings!$A$5:$A$9,0)),0))+(IFERROR(INDEX(Settings!$C$5:$C$9,MATCH($B226,Settings!$A$5:$A$9,0)),0)+IFERROR(INDEX(Settings!$F$5:$F$9,MATCH($B226,Settings!$A$5:$A$9,0)),0))/P226+IFERROR(INDEX(Settings!$D$5:$D$9,MATCH($B226,Settings!$A$5:$A$9,0)),0)*M226)</f>
        <v/>
      </c>
      <c r="W226" s="11">
        <f>IF(J226="","",IF(T226="",0,M226*INDEX(Products!$I$5:$I$204,T226)))</f>
        <v/>
      </c>
      <c r="X226" s="11">
        <f>IF(J226="","",IF(T226="",0,S226*INDEX(Products!$H$5:$H$204,T226)))</f>
        <v/>
      </c>
      <c r="Y226" s="11">
        <f>IF(J226="","",S226-V226-W226-X226)</f>
        <v/>
      </c>
    </row>
    <row r="227">
      <c r="A227" s="19" t="n"/>
      <c r="B227" s="19" t="n"/>
      <c r="C227" s="19" t="n"/>
      <c r="D227" s="19" t="n"/>
      <c r="E227" s="19" t="n"/>
      <c r="F227" s="20" t="n"/>
      <c r="G227" s="20" t="n"/>
      <c r="H227" s="20" t="n"/>
      <c r="I227" s="19" t="n"/>
      <c r="J227">
        <f>IFERROR(IF(C227="","",C227)&amp;"","")</f>
        <v/>
      </c>
      <c r="K227">
        <f>IFERROR(IF(D227="","",D227)&amp;"","")</f>
        <v/>
      </c>
      <c r="L227">
        <f>IFERROR(IF(I227="","",I227)&amp;"","")</f>
        <v/>
      </c>
      <c r="M227">
        <f>IF(J227="","",IFERROR(VALUE(SUBSTITUTE(SUBSTITUTE(IF(E227="","",E227)&amp;"","$",""),",","")),0))</f>
        <v/>
      </c>
      <c r="N227" s="11">
        <f>IF(J227="","",IFERROR(VALUE(SUBSTITUTE(SUBSTITUTE(IF(F227="","",F227)&amp;"","$",""),",","")),0))</f>
        <v/>
      </c>
      <c r="O227" s="11">
        <f>IF(J227="","",M227*N227)</f>
        <v/>
      </c>
      <c r="P227">
        <f>IF(J227="","",IF(L227="",1,COUNTIF($L$2:$L$1501,L227)))</f>
        <v/>
      </c>
      <c r="Q227" s="11">
        <f>IF(J227="","",IFERROR(VALUE(SUBSTITUTE(SUBSTITUTE(IF(G227="","",G227)&amp;"","$",""),",","")),0)/IF("No"="Yes",P227,1))</f>
        <v/>
      </c>
      <c r="R227" s="11">
        <f>IF(J227="","",IFERROR(VALUE(SUBSTITUTE(SUBSTITUTE(IF(H227="","",H227)&amp;"","$",""),",","")),0)/IF("No"="Yes",P227,1))</f>
        <v/>
      </c>
      <c r="S227" s="11">
        <f>IF(J227="","",O227+Q227-R227)</f>
        <v/>
      </c>
      <c r="T227">
        <f>IF(J227="","",IFERROR(IF(K227="",NA(),MATCH(K227,Products!$B$5:$B$204,0)),IFERROR(MATCH(J227,Products!$A$5:$A$204,0),"")))</f>
        <v/>
      </c>
      <c r="U227">
        <f>IF(J227="","",IF(T227="","⚠ not in Products",INDEX(Products!$A$5:$A$204,T227)))</f>
        <v/>
      </c>
      <c r="V227" s="11">
        <f>IF(J227="","",S227*(IFERROR(INDEX(Settings!$B$5:$B$9,MATCH($B227,Settings!$A$5:$A$9,0)),0)+IFERROR(INDEX(Settings!$E$5:$E$9,MATCH($B227,Settings!$A$5:$A$9,0)),0)+IFERROR(INDEX(Settings!$G$5:$G$9,MATCH($B227,Settings!$A$5:$A$9,0)),0))+(IFERROR(INDEX(Settings!$C$5:$C$9,MATCH($B227,Settings!$A$5:$A$9,0)),0)+IFERROR(INDEX(Settings!$F$5:$F$9,MATCH($B227,Settings!$A$5:$A$9,0)),0))/P227+IFERROR(INDEX(Settings!$D$5:$D$9,MATCH($B227,Settings!$A$5:$A$9,0)),0)*M227)</f>
        <v/>
      </c>
      <c r="W227" s="11">
        <f>IF(J227="","",IF(T227="",0,M227*INDEX(Products!$I$5:$I$204,T227)))</f>
        <v/>
      </c>
      <c r="X227" s="11">
        <f>IF(J227="","",IF(T227="",0,S227*INDEX(Products!$H$5:$H$204,T227)))</f>
        <v/>
      </c>
      <c r="Y227" s="11">
        <f>IF(J227="","",S227-V227-W227-X227)</f>
        <v/>
      </c>
    </row>
    <row r="228">
      <c r="A228" s="19" t="n"/>
      <c r="B228" s="19" t="n"/>
      <c r="C228" s="19" t="n"/>
      <c r="D228" s="19" t="n"/>
      <c r="E228" s="19" t="n"/>
      <c r="F228" s="20" t="n"/>
      <c r="G228" s="20" t="n"/>
      <c r="H228" s="20" t="n"/>
      <c r="I228" s="19" t="n"/>
      <c r="J228">
        <f>IFERROR(IF(C228="","",C228)&amp;"","")</f>
        <v/>
      </c>
      <c r="K228">
        <f>IFERROR(IF(D228="","",D228)&amp;"","")</f>
        <v/>
      </c>
      <c r="L228">
        <f>IFERROR(IF(I228="","",I228)&amp;"","")</f>
        <v/>
      </c>
      <c r="M228">
        <f>IF(J228="","",IFERROR(VALUE(SUBSTITUTE(SUBSTITUTE(IF(E228="","",E228)&amp;"","$",""),",","")),0))</f>
        <v/>
      </c>
      <c r="N228" s="11">
        <f>IF(J228="","",IFERROR(VALUE(SUBSTITUTE(SUBSTITUTE(IF(F228="","",F228)&amp;"","$",""),",","")),0))</f>
        <v/>
      </c>
      <c r="O228" s="11">
        <f>IF(J228="","",M228*N228)</f>
        <v/>
      </c>
      <c r="P228">
        <f>IF(J228="","",IF(L228="",1,COUNTIF($L$2:$L$1501,L228)))</f>
        <v/>
      </c>
      <c r="Q228" s="11">
        <f>IF(J228="","",IFERROR(VALUE(SUBSTITUTE(SUBSTITUTE(IF(G228="","",G228)&amp;"","$",""),",","")),0)/IF("No"="Yes",P228,1))</f>
        <v/>
      </c>
      <c r="R228" s="11">
        <f>IF(J228="","",IFERROR(VALUE(SUBSTITUTE(SUBSTITUTE(IF(H228="","",H228)&amp;"","$",""),",","")),0)/IF("No"="Yes",P228,1))</f>
        <v/>
      </c>
      <c r="S228" s="11">
        <f>IF(J228="","",O228+Q228-R228)</f>
        <v/>
      </c>
      <c r="T228">
        <f>IF(J228="","",IFERROR(IF(K228="",NA(),MATCH(K228,Products!$B$5:$B$204,0)),IFERROR(MATCH(J228,Products!$A$5:$A$204,0),"")))</f>
        <v/>
      </c>
      <c r="U228">
        <f>IF(J228="","",IF(T228="","⚠ not in Products",INDEX(Products!$A$5:$A$204,T228)))</f>
        <v/>
      </c>
      <c r="V228" s="11">
        <f>IF(J228="","",S228*(IFERROR(INDEX(Settings!$B$5:$B$9,MATCH($B228,Settings!$A$5:$A$9,0)),0)+IFERROR(INDEX(Settings!$E$5:$E$9,MATCH($B228,Settings!$A$5:$A$9,0)),0)+IFERROR(INDEX(Settings!$G$5:$G$9,MATCH($B228,Settings!$A$5:$A$9,0)),0))+(IFERROR(INDEX(Settings!$C$5:$C$9,MATCH($B228,Settings!$A$5:$A$9,0)),0)+IFERROR(INDEX(Settings!$F$5:$F$9,MATCH($B228,Settings!$A$5:$A$9,0)),0))/P228+IFERROR(INDEX(Settings!$D$5:$D$9,MATCH($B228,Settings!$A$5:$A$9,0)),0)*M228)</f>
        <v/>
      </c>
      <c r="W228" s="11">
        <f>IF(J228="","",IF(T228="",0,M228*INDEX(Products!$I$5:$I$204,T228)))</f>
        <v/>
      </c>
      <c r="X228" s="11">
        <f>IF(J228="","",IF(T228="",0,S228*INDEX(Products!$H$5:$H$204,T228)))</f>
        <v/>
      </c>
      <c r="Y228" s="11">
        <f>IF(J228="","",S228-V228-W228-X228)</f>
        <v/>
      </c>
    </row>
    <row r="229">
      <c r="A229" s="19" t="n"/>
      <c r="B229" s="19" t="n"/>
      <c r="C229" s="19" t="n"/>
      <c r="D229" s="19" t="n"/>
      <c r="E229" s="19" t="n"/>
      <c r="F229" s="20" t="n"/>
      <c r="G229" s="20" t="n"/>
      <c r="H229" s="20" t="n"/>
      <c r="I229" s="19" t="n"/>
      <c r="J229">
        <f>IFERROR(IF(C229="","",C229)&amp;"","")</f>
        <v/>
      </c>
      <c r="K229">
        <f>IFERROR(IF(D229="","",D229)&amp;"","")</f>
        <v/>
      </c>
      <c r="L229">
        <f>IFERROR(IF(I229="","",I229)&amp;"","")</f>
        <v/>
      </c>
      <c r="M229">
        <f>IF(J229="","",IFERROR(VALUE(SUBSTITUTE(SUBSTITUTE(IF(E229="","",E229)&amp;"","$",""),",","")),0))</f>
        <v/>
      </c>
      <c r="N229" s="11">
        <f>IF(J229="","",IFERROR(VALUE(SUBSTITUTE(SUBSTITUTE(IF(F229="","",F229)&amp;"","$",""),",","")),0))</f>
        <v/>
      </c>
      <c r="O229" s="11">
        <f>IF(J229="","",M229*N229)</f>
        <v/>
      </c>
      <c r="P229">
        <f>IF(J229="","",IF(L229="",1,COUNTIF($L$2:$L$1501,L229)))</f>
        <v/>
      </c>
      <c r="Q229" s="11">
        <f>IF(J229="","",IFERROR(VALUE(SUBSTITUTE(SUBSTITUTE(IF(G229="","",G229)&amp;"","$",""),",","")),0)/IF("No"="Yes",P229,1))</f>
        <v/>
      </c>
      <c r="R229" s="11">
        <f>IF(J229="","",IFERROR(VALUE(SUBSTITUTE(SUBSTITUTE(IF(H229="","",H229)&amp;"","$",""),",","")),0)/IF("No"="Yes",P229,1))</f>
        <v/>
      </c>
      <c r="S229" s="11">
        <f>IF(J229="","",O229+Q229-R229)</f>
        <v/>
      </c>
      <c r="T229">
        <f>IF(J229="","",IFERROR(IF(K229="",NA(),MATCH(K229,Products!$B$5:$B$204,0)),IFERROR(MATCH(J229,Products!$A$5:$A$204,0),"")))</f>
        <v/>
      </c>
      <c r="U229">
        <f>IF(J229="","",IF(T229="","⚠ not in Products",INDEX(Products!$A$5:$A$204,T229)))</f>
        <v/>
      </c>
      <c r="V229" s="11">
        <f>IF(J229="","",S229*(IFERROR(INDEX(Settings!$B$5:$B$9,MATCH($B229,Settings!$A$5:$A$9,0)),0)+IFERROR(INDEX(Settings!$E$5:$E$9,MATCH($B229,Settings!$A$5:$A$9,0)),0)+IFERROR(INDEX(Settings!$G$5:$G$9,MATCH($B229,Settings!$A$5:$A$9,0)),0))+(IFERROR(INDEX(Settings!$C$5:$C$9,MATCH($B229,Settings!$A$5:$A$9,0)),0)+IFERROR(INDEX(Settings!$F$5:$F$9,MATCH($B229,Settings!$A$5:$A$9,0)),0))/P229+IFERROR(INDEX(Settings!$D$5:$D$9,MATCH($B229,Settings!$A$5:$A$9,0)),0)*M229)</f>
        <v/>
      </c>
      <c r="W229" s="11">
        <f>IF(J229="","",IF(T229="",0,M229*INDEX(Products!$I$5:$I$204,T229)))</f>
        <v/>
      </c>
      <c r="X229" s="11">
        <f>IF(J229="","",IF(T229="",0,S229*INDEX(Products!$H$5:$H$204,T229)))</f>
        <v/>
      </c>
      <c r="Y229" s="11">
        <f>IF(J229="","",S229-V229-W229-X229)</f>
        <v/>
      </c>
    </row>
    <row r="230">
      <c r="A230" s="19" t="n"/>
      <c r="B230" s="19" t="n"/>
      <c r="C230" s="19" t="n"/>
      <c r="D230" s="19" t="n"/>
      <c r="E230" s="19" t="n"/>
      <c r="F230" s="20" t="n"/>
      <c r="G230" s="20" t="n"/>
      <c r="H230" s="20" t="n"/>
      <c r="I230" s="19" t="n"/>
      <c r="J230">
        <f>IFERROR(IF(C230="","",C230)&amp;"","")</f>
        <v/>
      </c>
      <c r="K230">
        <f>IFERROR(IF(D230="","",D230)&amp;"","")</f>
        <v/>
      </c>
      <c r="L230">
        <f>IFERROR(IF(I230="","",I230)&amp;"","")</f>
        <v/>
      </c>
      <c r="M230">
        <f>IF(J230="","",IFERROR(VALUE(SUBSTITUTE(SUBSTITUTE(IF(E230="","",E230)&amp;"","$",""),",","")),0))</f>
        <v/>
      </c>
      <c r="N230" s="11">
        <f>IF(J230="","",IFERROR(VALUE(SUBSTITUTE(SUBSTITUTE(IF(F230="","",F230)&amp;"","$",""),",","")),0))</f>
        <v/>
      </c>
      <c r="O230" s="11">
        <f>IF(J230="","",M230*N230)</f>
        <v/>
      </c>
      <c r="P230">
        <f>IF(J230="","",IF(L230="",1,COUNTIF($L$2:$L$1501,L230)))</f>
        <v/>
      </c>
      <c r="Q230" s="11">
        <f>IF(J230="","",IFERROR(VALUE(SUBSTITUTE(SUBSTITUTE(IF(G230="","",G230)&amp;"","$",""),",","")),0)/IF("No"="Yes",P230,1))</f>
        <v/>
      </c>
      <c r="R230" s="11">
        <f>IF(J230="","",IFERROR(VALUE(SUBSTITUTE(SUBSTITUTE(IF(H230="","",H230)&amp;"","$",""),",","")),0)/IF("No"="Yes",P230,1))</f>
        <v/>
      </c>
      <c r="S230" s="11">
        <f>IF(J230="","",O230+Q230-R230)</f>
        <v/>
      </c>
      <c r="T230">
        <f>IF(J230="","",IFERROR(IF(K230="",NA(),MATCH(K230,Products!$B$5:$B$204,0)),IFERROR(MATCH(J230,Products!$A$5:$A$204,0),"")))</f>
        <v/>
      </c>
      <c r="U230">
        <f>IF(J230="","",IF(T230="","⚠ not in Products",INDEX(Products!$A$5:$A$204,T230)))</f>
        <v/>
      </c>
      <c r="V230" s="11">
        <f>IF(J230="","",S230*(IFERROR(INDEX(Settings!$B$5:$B$9,MATCH($B230,Settings!$A$5:$A$9,0)),0)+IFERROR(INDEX(Settings!$E$5:$E$9,MATCH($B230,Settings!$A$5:$A$9,0)),0)+IFERROR(INDEX(Settings!$G$5:$G$9,MATCH($B230,Settings!$A$5:$A$9,0)),0))+(IFERROR(INDEX(Settings!$C$5:$C$9,MATCH($B230,Settings!$A$5:$A$9,0)),0)+IFERROR(INDEX(Settings!$F$5:$F$9,MATCH($B230,Settings!$A$5:$A$9,0)),0))/P230+IFERROR(INDEX(Settings!$D$5:$D$9,MATCH($B230,Settings!$A$5:$A$9,0)),0)*M230)</f>
        <v/>
      </c>
      <c r="W230" s="11">
        <f>IF(J230="","",IF(T230="",0,M230*INDEX(Products!$I$5:$I$204,T230)))</f>
        <v/>
      </c>
      <c r="X230" s="11">
        <f>IF(J230="","",IF(T230="",0,S230*INDEX(Products!$H$5:$H$204,T230)))</f>
        <v/>
      </c>
      <c r="Y230" s="11">
        <f>IF(J230="","",S230-V230-W230-X230)</f>
        <v/>
      </c>
    </row>
    <row r="231">
      <c r="A231" s="19" t="n"/>
      <c r="B231" s="19" t="n"/>
      <c r="C231" s="19" t="n"/>
      <c r="D231" s="19" t="n"/>
      <c r="E231" s="19" t="n"/>
      <c r="F231" s="20" t="n"/>
      <c r="G231" s="20" t="n"/>
      <c r="H231" s="20" t="n"/>
      <c r="I231" s="19" t="n"/>
      <c r="J231">
        <f>IFERROR(IF(C231="","",C231)&amp;"","")</f>
        <v/>
      </c>
      <c r="K231">
        <f>IFERROR(IF(D231="","",D231)&amp;"","")</f>
        <v/>
      </c>
      <c r="L231">
        <f>IFERROR(IF(I231="","",I231)&amp;"","")</f>
        <v/>
      </c>
      <c r="M231">
        <f>IF(J231="","",IFERROR(VALUE(SUBSTITUTE(SUBSTITUTE(IF(E231="","",E231)&amp;"","$",""),",","")),0))</f>
        <v/>
      </c>
      <c r="N231" s="11">
        <f>IF(J231="","",IFERROR(VALUE(SUBSTITUTE(SUBSTITUTE(IF(F231="","",F231)&amp;"","$",""),",","")),0))</f>
        <v/>
      </c>
      <c r="O231" s="11">
        <f>IF(J231="","",M231*N231)</f>
        <v/>
      </c>
      <c r="P231">
        <f>IF(J231="","",IF(L231="",1,COUNTIF($L$2:$L$1501,L231)))</f>
        <v/>
      </c>
      <c r="Q231" s="11">
        <f>IF(J231="","",IFERROR(VALUE(SUBSTITUTE(SUBSTITUTE(IF(G231="","",G231)&amp;"","$",""),",","")),0)/IF("No"="Yes",P231,1))</f>
        <v/>
      </c>
      <c r="R231" s="11">
        <f>IF(J231="","",IFERROR(VALUE(SUBSTITUTE(SUBSTITUTE(IF(H231="","",H231)&amp;"","$",""),",","")),0)/IF("No"="Yes",P231,1))</f>
        <v/>
      </c>
      <c r="S231" s="11">
        <f>IF(J231="","",O231+Q231-R231)</f>
        <v/>
      </c>
      <c r="T231">
        <f>IF(J231="","",IFERROR(IF(K231="",NA(),MATCH(K231,Products!$B$5:$B$204,0)),IFERROR(MATCH(J231,Products!$A$5:$A$204,0),"")))</f>
        <v/>
      </c>
      <c r="U231">
        <f>IF(J231="","",IF(T231="","⚠ not in Products",INDEX(Products!$A$5:$A$204,T231)))</f>
        <v/>
      </c>
      <c r="V231" s="11">
        <f>IF(J231="","",S231*(IFERROR(INDEX(Settings!$B$5:$B$9,MATCH($B231,Settings!$A$5:$A$9,0)),0)+IFERROR(INDEX(Settings!$E$5:$E$9,MATCH($B231,Settings!$A$5:$A$9,0)),0)+IFERROR(INDEX(Settings!$G$5:$G$9,MATCH($B231,Settings!$A$5:$A$9,0)),0))+(IFERROR(INDEX(Settings!$C$5:$C$9,MATCH($B231,Settings!$A$5:$A$9,0)),0)+IFERROR(INDEX(Settings!$F$5:$F$9,MATCH($B231,Settings!$A$5:$A$9,0)),0))/P231+IFERROR(INDEX(Settings!$D$5:$D$9,MATCH($B231,Settings!$A$5:$A$9,0)),0)*M231)</f>
        <v/>
      </c>
      <c r="W231" s="11">
        <f>IF(J231="","",IF(T231="",0,M231*INDEX(Products!$I$5:$I$204,T231)))</f>
        <v/>
      </c>
      <c r="X231" s="11">
        <f>IF(J231="","",IF(T231="",0,S231*INDEX(Products!$H$5:$H$204,T231)))</f>
        <v/>
      </c>
      <c r="Y231" s="11">
        <f>IF(J231="","",S231-V231-W231-X231)</f>
        <v/>
      </c>
    </row>
    <row r="232">
      <c r="A232" s="19" t="n"/>
      <c r="B232" s="19" t="n"/>
      <c r="C232" s="19" t="n"/>
      <c r="D232" s="19" t="n"/>
      <c r="E232" s="19" t="n"/>
      <c r="F232" s="20" t="n"/>
      <c r="G232" s="20" t="n"/>
      <c r="H232" s="20" t="n"/>
      <c r="I232" s="19" t="n"/>
      <c r="J232">
        <f>IFERROR(IF(C232="","",C232)&amp;"","")</f>
        <v/>
      </c>
      <c r="K232">
        <f>IFERROR(IF(D232="","",D232)&amp;"","")</f>
        <v/>
      </c>
      <c r="L232">
        <f>IFERROR(IF(I232="","",I232)&amp;"","")</f>
        <v/>
      </c>
      <c r="M232">
        <f>IF(J232="","",IFERROR(VALUE(SUBSTITUTE(SUBSTITUTE(IF(E232="","",E232)&amp;"","$",""),",","")),0))</f>
        <v/>
      </c>
      <c r="N232" s="11">
        <f>IF(J232="","",IFERROR(VALUE(SUBSTITUTE(SUBSTITUTE(IF(F232="","",F232)&amp;"","$",""),",","")),0))</f>
        <v/>
      </c>
      <c r="O232" s="11">
        <f>IF(J232="","",M232*N232)</f>
        <v/>
      </c>
      <c r="P232">
        <f>IF(J232="","",IF(L232="",1,COUNTIF($L$2:$L$1501,L232)))</f>
        <v/>
      </c>
      <c r="Q232" s="11">
        <f>IF(J232="","",IFERROR(VALUE(SUBSTITUTE(SUBSTITUTE(IF(G232="","",G232)&amp;"","$",""),",","")),0)/IF("No"="Yes",P232,1))</f>
        <v/>
      </c>
      <c r="R232" s="11">
        <f>IF(J232="","",IFERROR(VALUE(SUBSTITUTE(SUBSTITUTE(IF(H232="","",H232)&amp;"","$",""),",","")),0)/IF("No"="Yes",P232,1))</f>
        <v/>
      </c>
      <c r="S232" s="11">
        <f>IF(J232="","",O232+Q232-R232)</f>
        <v/>
      </c>
      <c r="T232">
        <f>IF(J232="","",IFERROR(IF(K232="",NA(),MATCH(K232,Products!$B$5:$B$204,0)),IFERROR(MATCH(J232,Products!$A$5:$A$204,0),"")))</f>
        <v/>
      </c>
      <c r="U232">
        <f>IF(J232="","",IF(T232="","⚠ not in Products",INDEX(Products!$A$5:$A$204,T232)))</f>
        <v/>
      </c>
      <c r="V232" s="11">
        <f>IF(J232="","",S232*(IFERROR(INDEX(Settings!$B$5:$B$9,MATCH($B232,Settings!$A$5:$A$9,0)),0)+IFERROR(INDEX(Settings!$E$5:$E$9,MATCH($B232,Settings!$A$5:$A$9,0)),0)+IFERROR(INDEX(Settings!$G$5:$G$9,MATCH($B232,Settings!$A$5:$A$9,0)),0))+(IFERROR(INDEX(Settings!$C$5:$C$9,MATCH($B232,Settings!$A$5:$A$9,0)),0)+IFERROR(INDEX(Settings!$F$5:$F$9,MATCH($B232,Settings!$A$5:$A$9,0)),0))/P232+IFERROR(INDEX(Settings!$D$5:$D$9,MATCH($B232,Settings!$A$5:$A$9,0)),0)*M232)</f>
        <v/>
      </c>
      <c r="W232" s="11">
        <f>IF(J232="","",IF(T232="",0,M232*INDEX(Products!$I$5:$I$204,T232)))</f>
        <v/>
      </c>
      <c r="X232" s="11">
        <f>IF(J232="","",IF(T232="",0,S232*INDEX(Products!$H$5:$H$204,T232)))</f>
        <v/>
      </c>
      <c r="Y232" s="11">
        <f>IF(J232="","",S232-V232-W232-X232)</f>
        <v/>
      </c>
    </row>
    <row r="233">
      <c r="A233" s="19" t="n"/>
      <c r="B233" s="19" t="n"/>
      <c r="C233" s="19" t="n"/>
      <c r="D233" s="19" t="n"/>
      <c r="E233" s="19" t="n"/>
      <c r="F233" s="20" t="n"/>
      <c r="G233" s="20" t="n"/>
      <c r="H233" s="20" t="n"/>
      <c r="I233" s="19" t="n"/>
      <c r="J233">
        <f>IFERROR(IF(C233="","",C233)&amp;"","")</f>
        <v/>
      </c>
      <c r="K233">
        <f>IFERROR(IF(D233="","",D233)&amp;"","")</f>
        <v/>
      </c>
      <c r="L233">
        <f>IFERROR(IF(I233="","",I233)&amp;"","")</f>
        <v/>
      </c>
      <c r="M233">
        <f>IF(J233="","",IFERROR(VALUE(SUBSTITUTE(SUBSTITUTE(IF(E233="","",E233)&amp;"","$",""),",","")),0))</f>
        <v/>
      </c>
      <c r="N233" s="11">
        <f>IF(J233="","",IFERROR(VALUE(SUBSTITUTE(SUBSTITUTE(IF(F233="","",F233)&amp;"","$",""),",","")),0))</f>
        <v/>
      </c>
      <c r="O233" s="11">
        <f>IF(J233="","",M233*N233)</f>
        <v/>
      </c>
      <c r="P233">
        <f>IF(J233="","",IF(L233="",1,COUNTIF($L$2:$L$1501,L233)))</f>
        <v/>
      </c>
      <c r="Q233" s="11">
        <f>IF(J233="","",IFERROR(VALUE(SUBSTITUTE(SUBSTITUTE(IF(G233="","",G233)&amp;"","$",""),",","")),0)/IF("No"="Yes",P233,1))</f>
        <v/>
      </c>
      <c r="R233" s="11">
        <f>IF(J233="","",IFERROR(VALUE(SUBSTITUTE(SUBSTITUTE(IF(H233="","",H233)&amp;"","$",""),",","")),0)/IF("No"="Yes",P233,1))</f>
        <v/>
      </c>
      <c r="S233" s="11">
        <f>IF(J233="","",O233+Q233-R233)</f>
        <v/>
      </c>
      <c r="T233">
        <f>IF(J233="","",IFERROR(IF(K233="",NA(),MATCH(K233,Products!$B$5:$B$204,0)),IFERROR(MATCH(J233,Products!$A$5:$A$204,0),"")))</f>
        <v/>
      </c>
      <c r="U233">
        <f>IF(J233="","",IF(T233="","⚠ not in Products",INDEX(Products!$A$5:$A$204,T233)))</f>
        <v/>
      </c>
      <c r="V233" s="11">
        <f>IF(J233="","",S233*(IFERROR(INDEX(Settings!$B$5:$B$9,MATCH($B233,Settings!$A$5:$A$9,0)),0)+IFERROR(INDEX(Settings!$E$5:$E$9,MATCH($B233,Settings!$A$5:$A$9,0)),0)+IFERROR(INDEX(Settings!$G$5:$G$9,MATCH($B233,Settings!$A$5:$A$9,0)),0))+(IFERROR(INDEX(Settings!$C$5:$C$9,MATCH($B233,Settings!$A$5:$A$9,0)),0)+IFERROR(INDEX(Settings!$F$5:$F$9,MATCH($B233,Settings!$A$5:$A$9,0)),0))/P233+IFERROR(INDEX(Settings!$D$5:$D$9,MATCH($B233,Settings!$A$5:$A$9,0)),0)*M233)</f>
        <v/>
      </c>
      <c r="W233" s="11">
        <f>IF(J233="","",IF(T233="",0,M233*INDEX(Products!$I$5:$I$204,T233)))</f>
        <v/>
      </c>
      <c r="X233" s="11">
        <f>IF(J233="","",IF(T233="",0,S233*INDEX(Products!$H$5:$H$204,T233)))</f>
        <v/>
      </c>
      <c r="Y233" s="11">
        <f>IF(J233="","",S233-V233-W233-X233)</f>
        <v/>
      </c>
    </row>
    <row r="234">
      <c r="A234" s="19" t="n"/>
      <c r="B234" s="19" t="n"/>
      <c r="C234" s="19" t="n"/>
      <c r="D234" s="19" t="n"/>
      <c r="E234" s="19" t="n"/>
      <c r="F234" s="20" t="n"/>
      <c r="G234" s="20" t="n"/>
      <c r="H234" s="20" t="n"/>
      <c r="I234" s="19" t="n"/>
      <c r="J234">
        <f>IFERROR(IF(C234="","",C234)&amp;"","")</f>
        <v/>
      </c>
      <c r="K234">
        <f>IFERROR(IF(D234="","",D234)&amp;"","")</f>
        <v/>
      </c>
      <c r="L234">
        <f>IFERROR(IF(I234="","",I234)&amp;"","")</f>
        <v/>
      </c>
      <c r="M234">
        <f>IF(J234="","",IFERROR(VALUE(SUBSTITUTE(SUBSTITUTE(IF(E234="","",E234)&amp;"","$",""),",","")),0))</f>
        <v/>
      </c>
      <c r="N234" s="11">
        <f>IF(J234="","",IFERROR(VALUE(SUBSTITUTE(SUBSTITUTE(IF(F234="","",F234)&amp;"","$",""),",","")),0))</f>
        <v/>
      </c>
      <c r="O234" s="11">
        <f>IF(J234="","",M234*N234)</f>
        <v/>
      </c>
      <c r="P234">
        <f>IF(J234="","",IF(L234="",1,COUNTIF($L$2:$L$1501,L234)))</f>
        <v/>
      </c>
      <c r="Q234" s="11">
        <f>IF(J234="","",IFERROR(VALUE(SUBSTITUTE(SUBSTITUTE(IF(G234="","",G234)&amp;"","$",""),",","")),0)/IF("No"="Yes",P234,1))</f>
        <v/>
      </c>
      <c r="R234" s="11">
        <f>IF(J234="","",IFERROR(VALUE(SUBSTITUTE(SUBSTITUTE(IF(H234="","",H234)&amp;"","$",""),",","")),0)/IF("No"="Yes",P234,1))</f>
        <v/>
      </c>
      <c r="S234" s="11">
        <f>IF(J234="","",O234+Q234-R234)</f>
        <v/>
      </c>
      <c r="T234">
        <f>IF(J234="","",IFERROR(IF(K234="",NA(),MATCH(K234,Products!$B$5:$B$204,0)),IFERROR(MATCH(J234,Products!$A$5:$A$204,0),"")))</f>
        <v/>
      </c>
      <c r="U234">
        <f>IF(J234="","",IF(T234="","⚠ not in Products",INDEX(Products!$A$5:$A$204,T234)))</f>
        <v/>
      </c>
      <c r="V234" s="11">
        <f>IF(J234="","",S234*(IFERROR(INDEX(Settings!$B$5:$B$9,MATCH($B234,Settings!$A$5:$A$9,0)),0)+IFERROR(INDEX(Settings!$E$5:$E$9,MATCH($B234,Settings!$A$5:$A$9,0)),0)+IFERROR(INDEX(Settings!$G$5:$G$9,MATCH($B234,Settings!$A$5:$A$9,0)),0))+(IFERROR(INDEX(Settings!$C$5:$C$9,MATCH($B234,Settings!$A$5:$A$9,0)),0)+IFERROR(INDEX(Settings!$F$5:$F$9,MATCH($B234,Settings!$A$5:$A$9,0)),0))/P234+IFERROR(INDEX(Settings!$D$5:$D$9,MATCH($B234,Settings!$A$5:$A$9,0)),0)*M234)</f>
        <v/>
      </c>
      <c r="W234" s="11">
        <f>IF(J234="","",IF(T234="",0,M234*INDEX(Products!$I$5:$I$204,T234)))</f>
        <v/>
      </c>
      <c r="X234" s="11">
        <f>IF(J234="","",IF(T234="",0,S234*INDEX(Products!$H$5:$H$204,T234)))</f>
        <v/>
      </c>
      <c r="Y234" s="11">
        <f>IF(J234="","",S234-V234-W234-X234)</f>
        <v/>
      </c>
    </row>
    <row r="235">
      <c r="A235" s="19" t="n"/>
      <c r="B235" s="19" t="n"/>
      <c r="C235" s="19" t="n"/>
      <c r="D235" s="19" t="n"/>
      <c r="E235" s="19" t="n"/>
      <c r="F235" s="20" t="n"/>
      <c r="G235" s="20" t="n"/>
      <c r="H235" s="20" t="n"/>
      <c r="I235" s="19" t="n"/>
      <c r="J235">
        <f>IFERROR(IF(C235="","",C235)&amp;"","")</f>
        <v/>
      </c>
      <c r="K235">
        <f>IFERROR(IF(D235="","",D235)&amp;"","")</f>
        <v/>
      </c>
      <c r="L235">
        <f>IFERROR(IF(I235="","",I235)&amp;"","")</f>
        <v/>
      </c>
      <c r="M235">
        <f>IF(J235="","",IFERROR(VALUE(SUBSTITUTE(SUBSTITUTE(IF(E235="","",E235)&amp;"","$",""),",","")),0))</f>
        <v/>
      </c>
      <c r="N235" s="11">
        <f>IF(J235="","",IFERROR(VALUE(SUBSTITUTE(SUBSTITUTE(IF(F235="","",F235)&amp;"","$",""),",","")),0))</f>
        <v/>
      </c>
      <c r="O235" s="11">
        <f>IF(J235="","",M235*N235)</f>
        <v/>
      </c>
      <c r="P235">
        <f>IF(J235="","",IF(L235="",1,COUNTIF($L$2:$L$1501,L235)))</f>
        <v/>
      </c>
      <c r="Q235" s="11">
        <f>IF(J235="","",IFERROR(VALUE(SUBSTITUTE(SUBSTITUTE(IF(G235="","",G235)&amp;"","$",""),",","")),0)/IF("No"="Yes",P235,1))</f>
        <v/>
      </c>
      <c r="R235" s="11">
        <f>IF(J235="","",IFERROR(VALUE(SUBSTITUTE(SUBSTITUTE(IF(H235="","",H235)&amp;"","$",""),",","")),0)/IF("No"="Yes",P235,1))</f>
        <v/>
      </c>
      <c r="S235" s="11">
        <f>IF(J235="","",O235+Q235-R235)</f>
        <v/>
      </c>
      <c r="T235">
        <f>IF(J235="","",IFERROR(IF(K235="",NA(),MATCH(K235,Products!$B$5:$B$204,0)),IFERROR(MATCH(J235,Products!$A$5:$A$204,0),"")))</f>
        <v/>
      </c>
      <c r="U235">
        <f>IF(J235="","",IF(T235="","⚠ not in Products",INDEX(Products!$A$5:$A$204,T235)))</f>
        <v/>
      </c>
      <c r="V235" s="11">
        <f>IF(J235="","",S235*(IFERROR(INDEX(Settings!$B$5:$B$9,MATCH($B235,Settings!$A$5:$A$9,0)),0)+IFERROR(INDEX(Settings!$E$5:$E$9,MATCH($B235,Settings!$A$5:$A$9,0)),0)+IFERROR(INDEX(Settings!$G$5:$G$9,MATCH($B235,Settings!$A$5:$A$9,0)),0))+(IFERROR(INDEX(Settings!$C$5:$C$9,MATCH($B235,Settings!$A$5:$A$9,0)),0)+IFERROR(INDEX(Settings!$F$5:$F$9,MATCH($B235,Settings!$A$5:$A$9,0)),0))/P235+IFERROR(INDEX(Settings!$D$5:$D$9,MATCH($B235,Settings!$A$5:$A$9,0)),0)*M235)</f>
        <v/>
      </c>
      <c r="W235" s="11">
        <f>IF(J235="","",IF(T235="",0,M235*INDEX(Products!$I$5:$I$204,T235)))</f>
        <v/>
      </c>
      <c r="X235" s="11">
        <f>IF(J235="","",IF(T235="",0,S235*INDEX(Products!$H$5:$H$204,T235)))</f>
        <v/>
      </c>
      <c r="Y235" s="11">
        <f>IF(J235="","",S235-V235-W235-X235)</f>
        <v/>
      </c>
    </row>
    <row r="236">
      <c r="A236" s="19" t="n"/>
      <c r="B236" s="19" t="n"/>
      <c r="C236" s="19" t="n"/>
      <c r="D236" s="19" t="n"/>
      <c r="E236" s="19" t="n"/>
      <c r="F236" s="20" t="n"/>
      <c r="G236" s="20" t="n"/>
      <c r="H236" s="20" t="n"/>
      <c r="I236" s="19" t="n"/>
      <c r="J236">
        <f>IFERROR(IF(C236="","",C236)&amp;"","")</f>
        <v/>
      </c>
      <c r="K236">
        <f>IFERROR(IF(D236="","",D236)&amp;"","")</f>
        <v/>
      </c>
      <c r="L236">
        <f>IFERROR(IF(I236="","",I236)&amp;"","")</f>
        <v/>
      </c>
      <c r="M236">
        <f>IF(J236="","",IFERROR(VALUE(SUBSTITUTE(SUBSTITUTE(IF(E236="","",E236)&amp;"","$",""),",","")),0))</f>
        <v/>
      </c>
      <c r="N236" s="11">
        <f>IF(J236="","",IFERROR(VALUE(SUBSTITUTE(SUBSTITUTE(IF(F236="","",F236)&amp;"","$",""),",","")),0))</f>
        <v/>
      </c>
      <c r="O236" s="11">
        <f>IF(J236="","",M236*N236)</f>
        <v/>
      </c>
      <c r="P236">
        <f>IF(J236="","",IF(L236="",1,COUNTIF($L$2:$L$1501,L236)))</f>
        <v/>
      </c>
      <c r="Q236" s="11">
        <f>IF(J236="","",IFERROR(VALUE(SUBSTITUTE(SUBSTITUTE(IF(G236="","",G236)&amp;"","$",""),",","")),0)/IF("No"="Yes",P236,1))</f>
        <v/>
      </c>
      <c r="R236" s="11">
        <f>IF(J236="","",IFERROR(VALUE(SUBSTITUTE(SUBSTITUTE(IF(H236="","",H236)&amp;"","$",""),",","")),0)/IF("No"="Yes",P236,1))</f>
        <v/>
      </c>
      <c r="S236" s="11">
        <f>IF(J236="","",O236+Q236-R236)</f>
        <v/>
      </c>
      <c r="T236">
        <f>IF(J236="","",IFERROR(IF(K236="",NA(),MATCH(K236,Products!$B$5:$B$204,0)),IFERROR(MATCH(J236,Products!$A$5:$A$204,0),"")))</f>
        <v/>
      </c>
      <c r="U236">
        <f>IF(J236="","",IF(T236="","⚠ not in Products",INDEX(Products!$A$5:$A$204,T236)))</f>
        <v/>
      </c>
      <c r="V236" s="11">
        <f>IF(J236="","",S236*(IFERROR(INDEX(Settings!$B$5:$B$9,MATCH($B236,Settings!$A$5:$A$9,0)),0)+IFERROR(INDEX(Settings!$E$5:$E$9,MATCH($B236,Settings!$A$5:$A$9,0)),0)+IFERROR(INDEX(Settings!$G$5:$G$9,MATCH($B236,Settings!$A$5:$A$9,0)),0))+(IFERROR(INDEX(Settings!$C$5:$C$9,MATCH($B236,Settings!$A$5:$A$9,0)),0)+IFERROR(INDEX(Settings!$F$5:$F$9,MATCH($B236,Settings!$A$5:$A$9,0)),0))/P236+IFERROR(INDEX(Settings!$D$5:$D$9,MATCH($B236,Settings!$A$5:$A$9,0)),0)*M236)</f>
        <v/>
      </c>
      <c r="W236" s="11">
        <f>IF(J236="","",IF(T236="",0,M236*INDEX(Products!$I$5:$I$204,T236)))</f>
        <v/>
      </c>
      <c r="X236" s="11">
        <f>IF(J236="","",IF(T236="",0,S236*INDEX(Products!$H$5:$H$204,T236)))</f>
        <v/>
      </c>
      <c r="Y236" s="11">
        <f>IF(J236="","",S236-V236-W236-X236)</f>
        <v/>
      </c>
    </row>
    <row r="237">
      <c r="A237" s="19" t="n"/>
      <c r="B237" s="19" t="n"/>
      <c r="C237" s="19" t="n"/>
      <c r="D237" s="19" t="n"/>
      <c r="E237" s="19" t="n"/>
      <c r="F237" s="20" t="n"/>
      <c r="G237" s="20" t="n"/>
      <c r="H237" s="20" t="n"/>
      <c r="I237" s="19" t="n"/>
      <c r="J237">
        <f>IFERROR(IF(C237="","",C237)&amp;"","")</f>
        <v/>
      </c>
      <c r="K237">
        <f>IFERROR(IF(D237="","",D237)&amp;"","")</f>
        <v/>
      </c>
      <c r="L237">
        <f>IFERROR(IF(I237="","",I237)&amp;"","")</f>
        <v/>
      </c>
      <c r="M237">
        <f>IF(J237="","",IFERROR(VALUE(SUBSTITUTE(SUBSTITUTE(IF(E237="","",E237)&amp;"","$",""),",","")),0))</f>
        <v/>
      </c>
      <c r="N237" s="11">
        <f>IF(J237="","",IFERROR(VALUE(SUBSTITUTE(SUBSTITUTE(IF(F237="","",F237)&amp;"","$",""),",","")),0))</f>
        <v/>
      </c>
      <c r="O237" s="11">
        <f>IF(J237="","",M237*N237)</f>
        <v/>
      </c>
      <c r="P237">
        <f>IF(J237="","",IF(L237="",1,COUNTIF($L$2:$L$1501,L237)))</f>
        <v/>
      </c>
      <c r="Q237" s="11">
        <f>IF(J237="","",IFERROR(VALUE(SUBSTITUTE(SUBSTITUTE(IF(G237="","",G237)&amp;"","$",""),",","")),0)/IF("No"="Yes",P237,1))</f>
        <v/>
      </c>
      <c r="R237" s="11">
        <f>IF(J237="","",IFERROR(VALUE(SUBSTITUTE(SUBSTITUTE(IF(H237="","",H237)&amp;"","$",""),",","")),0)/IF("No"="Yes",P237,1))</f>
        <v/>
      </c>
      <c r="S237" s="11">
        <f>IF(J237="","",O237+Q237-R237)</f>
        <v/>
      </c>
      <c r="T237">
        <f>IF(J237="","",IFERROR(IF(K237="",NA(),MATCH(K237,Products!$B$5:$B$204,0)),IFERROR(MATCH(J237,Products!$A$5:$A$204,0),"")))</f>
        <v/>
      </c>
      <c r="U237">
        <f>IF(J237="","",IF(T237="","⚠ not in Products",INDEX(Products!$A$5:$A$204,T237)))</f>
        <v/>
      </c>
      <c r="V237" s="11">
        <f>IF(J237="","",S237*(IFERROR(INDEX(Settings!$B$5:$B$9,MATCH($B237,Settings!$A$5:$A$9,0)),0)+IFERROR(INDEX(Settings!$E$5:$E$9,MATCH($B237,Settings!$A$5:$A$9,0)),0)+IFERROR(INDEX(Settings!$G$5:$G$9,MATCH($B237,Settings!$A$5:$A$9,0)),0))+(IFERROR(INDEX(Settings!$C$5:$C$9,MATCH($B237,Settings!$A$5:$A$9,0)),0)+IFERROR(INDEX(Settings!$F$5:$F$9,MATCH($B237,Settings!$A$5:$A$9,0)),0))/P237+IFERROR(INDEX(Settings!$D$5:$D$9,MATCH($B237,Settings!$A$5:$A$9,0)),0)*M237)</f>
        <v/>
      </c>
      <c r="W237" s="11">
        <f>IF(J237="","",IF(T237="",0,M237*INDEX(Products!$I$5:$I$204,T237)))</f>
        <v/>
      </c>
      <c r="X237" s="11">
        <f>IF(J237="","",IF(T237="",0,S237*INDEX(Products!$H$5:$H$204,T237)))</f>
        <v/>
      </c>
      <c r="Y237" s="11">
        <f>IF(J237="","",S237-V237-W237-X237)</f>
        <v/>
      </c>
    </row>
    <row r="238">
      <c r="A238" s="19" t="n"/>
      <c r="B238" s="19" t="n"/>
      <c r="C238" s="19" t="n"/>
      <c r="D238" s="19" t="n"/>
      <c r="E238" s="19" t="n"/>
      <c r="F238" s="20" t="n"/>
      <c r="G238" s="20" t="n"/>
      <c r="H238" s="20" t="n"/>
      <c r="I238" s="19" t="n"/>
      <c r="J238">
        <f>IFERROR(IF(C238="","",C238)&amp;"","")</f>
        <v/>
      </c>
      <c r="K238">
        <f>IFERROR(IF(D238="","",D238)&amp;"","")</f>
        <v/>
      </c>
      <c r="L238">
        <f>IFERROR(IF(I238="","",I238)&amp;"","")</f>
        <v/>
      </c>
      <c r="M238">
        <f>IF(J238="","",IFERROR(VALUE(SUBSTITUTE(SUBSTITUTE(IF(E238="","",E238)&amp;"","$",""),",","")),0))</f>
        <v/>
      </c>
      <c r="N238" s="11">
        <f>IF(J238="","",IFERROR(VALUE(SUBSTITUTE(SUBSTITUTE(IF(F238="","",F238)&amp;"","$",""),",","")),0))</f>
        <v/>
      </c>
      <c r="O238" s="11">
        <f>IF(J238="","",M238*N238)</f>
        <v/>
      </c>
      <c r="P238">
        <f>IF(J238="","",IF(L238="",1,COUNTIF($L$2:$L$1501,L238)))</f>
        <v/>
      </c>
      <c r="Q238" s="11">
        <f>IF(J238="","",IFERROR(VALUE(SUBSTITUTE(SUBSTITUTE(IF(G238="","",G238)&amp;"","$",""),",","")),0)/IF("No"="Yes",P238,1))</f>
        <v/>
      </c>
      <c r="R238" s="11">
        <f>IF(J238="","",IFERROR(VALUE(SUBSTITUTE(SUBSTITUTE(IF(H238="","",H238)&amp;"","$",""),",","")),0)/IF("No"="Yes",P238,1))</f>
        <v/>
      </c>
      <c r="S238" s="11">
        <f>IF(J238="","",O238+Q238-R238)</f>
        <v/>
      </c>
      <c r="T238">
        <f>IF(J238="","",IFERROR(IF(K238="",NA(),MATCH(K238,Products!$B$5:$B$204,0)),IFERROR(MATCH(J238,Products!$A$5:$A$204,0),"")))</f>
        <v/>
      </c>
      <c r="U238">
        <f>IF(J238="","",IF(T238="","⚠ not in Products",INDEX(Products!$A$5:$A$204,T238)))</f>
        <v/>
      </c>
      <c r="V238" s="11">
        <f>IF(J238="","",S238*(IFERROR(INDEX(Settings!$B$5:$B$9,MATCH($B238,Settings!$A$5:$A$9,0)),0)+IFERROR(INDEX(Settings!$E$5:$E$9,MATCH($B238,Settings!$A$5:$A$9,0)),0)+IFERROR(INDEX(Settings!$G$5:$G$9,MATCH($B238,Settings!$A$5:$A$9,0)),0))+(IFERROR(INDEX(Settings!$C$5:$C$9,MATCH($B238,Settings!$A$5:$A$9,0)),0)+IFERROR(INDEX(Settings!$F$5:$F$9,MATCH($B238,Settings!$A$5:$A$9,0)),0))/P238+IFERROR(INDEX(Settings!$D$5:$D$9,MATCH($B238,Settings!$A$5:$A$9,0)),0)*M238)</f>
        <v/>
      </c>
      <c r="W238" s="11">
        <f>IF(J238="","",IF(T238="",0,M238*INDEX(Products!$I$5:$I$204,T238)))</f>
        <v/>
      </c>
      <c r="X238" s="11">
        <f>IF(J238="","",IF(T238="",0,S238*INDEX(Products!$H$5:$H$204,T238)))</f>
        <v/>
      </c>
      <c r="Y238" s="11">
        <f>IF(J238="","",S238-V238-W238-X238)</f>
        <v/>
      </c>
    </row>
    <row r="239">
      <c r="A239" s="19" t="n"/>
      <c r="B239" s="19" t="n"/>
      <c r="C239" s="19" t="n"/>
      <c r="D239" s="19" t="n"/>
      <c r="E239" s="19" t="n"/>
      <c r="F239" s="20" t="n"/>
      <c r="G239" s="20" t="n"/>
      <c r="H239" s="20" t="n"/>
      <c r="I239" s="19" t="n"/>
      <c r="J239">
        <f>IFERROR(IF(C239="","",C239)&amp;"","")</f>
        <v/>
      </c>
      <c r="K239">
        <f>IFERROR(IF(D239="","",D239)&amp;"","")</f>
        <v/>
      </c>
      <c r="L239">
        <f>IFERROR(IF(I239="","",I239)&amp;"","")</f>
        <v/>
      </c>
      <c r="M239">
        <f>IF(J239="","",IFERROR(VALUE(SUBSTITUTE(SUBSTITUTE(IF(E239="","",E239)&amp;"","$",""),",","")),0))</f>
        <v/>
      </c>
      <c r="N239" s="11">
        <f>IF(J239="","",IFERROR(VALUE(SUBSTITUTE(SUBSTITUTE(IF(F239="","",F239)&amp;"","$",""),",","")),0))</f>
        <v/>
      </c>
      <c r="O239" s="11">
        <f>IF(J239="","",M239*N239)</f>
        <v/>
      </c>
      <c r="P239">
        <f>IF(J239="","",IF(L239="",1,COUNTIF($L$2:$L$1501,L239)))</f>
        <v/>
      </c>
      <c r="Q239" s="11">
        <f>IF(J239="","",IFERROR(VALUE(SUBSTITUTE(SUBSTITUTE(IF(G239="","",G239)&amp;"","$",""),",","")),0)/IF("No"="Yes",P239,1))</f>
        <v/>
      </c>
      <c r="R239" s="11">
        <f>IF(J239="","",IFERROR(VALUE(SUBSTITUTE(SUBSTITUTE(IF(H239="","",H239)&amp;"","$",""),",","")),0)/IF("No"="Yes",P239,1))</f>
        <v/>
      </c>
      <c r="S239" s="11">
        <f>IF(J239="","",O239+Q239-R239)</f>
        <v/>
      </c>
      <c r="T239">
        <f>IF(J239="","",IFERROR(IF(K239="",NA(),MATCH(K239,Products!$B$5:$B$204,0)),IFERROR(MATCH(J239,Products!$A$5:$A$204,0),"")))</f>
        <v/>
      </c>
      <c r="U239">
        <f>IF(J239="","",IF(T239="","⚠ not in Products",INDEX(Products!$A$5:$A$204,T239)))</f>
        <v/>
      </c>
      <c r="V239" s="11">
        <f>IF(J239="","",S239*(IFERROR(INDEX(Settings!$B$5:$B$9,MATCH($B239,Settings!$A$5:$A$9,0)),0)+IFERROR(INDEX(Settings!$E$5:$E$9,MATCH($B239,Settings!$A$5:$A$9,0)),0)+IFERROR(INDEX(Settings!$G$5:$G$9,MATCH($B239,Settings!$A$5:$A$9,0)),0))+(IFERROR(INDEX(Settings!$C$5:$C$9,MATCH($B239,Settings!$A$5:$A$9,0)),0)+IFERROR(INDEX(Settings!$F$5:$F$9,MATCH($B239,Settings!$A$5:$A$9,0)),0))/P239+IFERROR(INDEX(Settings!$D$5:$D$9,MATCH($B239,Settings!$A$5:$A$9,0)),0)*M239)</f>
        <v/>
      </c>
      <c r="W239" s="11">
        <f>IF(J239="","",IF(T239="",0,M239*INDEX(Products!$I$5:$I$204,T239)))</f>
        <v/>
      </c>
      <c r="X239" s="11">
        <f>IF(J239="","",IF(T239="",0,S239*INDEX(Products!$H$5:$H$204,T239)))</f>
        <v/>
      </c>
      <c r="Y239" s="11">
        <f>IF(J239="","",S239-V239-W239-X239)</f>
        <v/>
      </c>
    </row>
    <row r="240">
      <c r="A240" s="19" t="n"/>
      <c r="B240" s="19" t="n"/>
      <c r="C240" s="19" t="n"/>
      <c r="D240" s="19" t="n"/>
      <c r="E240" s="19" t="n"/>
      <c r="F240" s="20" t="n"/>
      <c r="G240" s="20" t="n"/>
      <c r="H240" s="20" t="n"/>
      <c r="I240" s="19" t="n"/>
      <c r="J240">
        <f>IFERROR(IF(C240="","",C240)&amp;"","")</f>
        <v/>
      </c>
      <c r="K240">
        <f>IFERROR(IF(D240="","",D240)&amp;"","")</f>
        <v/>
      </c>
      <c r="L240">
        <f>IFERROR(IF(I240="","",I240)&amp;"","")</f>
        <v/>
      </c>
      <c r="M240">
        <f>IF(J240="","",IFERROR(VALUE(SUBSTITUTE(SUBSTITUTE(IF(E240="","",E240)&amp;"","$",""),",","")),0))</f>
        <v/>
      </c>
      <c r="N240" s="11">
        <f>IF(J240="","",IFERROR(VALUE(SUBSTITUTE(SUBSTITUTE(IF(F240="","",F240)&amp;"","$",""),",","")),0))</f>
        <v/>
      </c>
      <c r="O240" s="11">
        <f>IF(J240="","",M240*N240)</f>
        <v/>
      </c>
      <c r="P240">
        <f>IF(J240="","",IF(L240="",1,COUNTIF($L$2:$L$1501,L240)))</f>
        <v/>
      </c>
      <c r="Q240" s="11">
        <f>IF(J240="","",IFERROR(VALUE(SUBSTITUTE(SUBSTITUTE(IF(G240="","",G240)&amp;"","$",""),",","")),0)/IF("No"="Yes",P240,1))</f>
        <v/>
      </c>
      <c r="R240" s="11">
        <f>IF(J240="","",IFERROR(VALUE(SUBSTITUTE(SUBSTITUTE(IF(H240="","",H240)&amp;"","$",""),",","")),0)/IF("No"="Yes",P240,1))</f>
        <v/>
      </c>
      <c r="S240" s="11">
        <f>IF(J240="","",O240+Q240-R240)</f>
        <v/>
      </c>
      <c r="T240">
        <f>IF(J240="","",IFERROR(IF(K240="",NA(),MATCH(K240,Products!$B$5:$B$204,0)),IFERROR(MATCH(J240,Products!$A$5:$A$204,0),"")))</f>
        <v/>
      </c>
      <c r="U240">
        <f>IF(J240="","",IF(T240="","⚠ not in Products",INDEX(Products!$A$5:$A$204,T240)))</f>
        <v/>
      </c>
      <c r="V240" s="11">
        <f>IF(J240="","",S240*(IFERROR(INDEX(Settings!$B$5:$B$9,MATCH($B240,Settings!$A$5:$A$9,0)),0)+IFERROR(INDEX(Settings!$E$5:$E$9,MATCH($B240,Settings!$A$5:$A$9,0)),0)+IFERROR(INDEX(Settings!$G$5:$G$9,MATCH($B240,Settings!$A$5:$A$9,0)),0))+(IFERROR(INDEX(Settings!$C$5:$C$9,MATCH($B240,Settings!$A$5:$A$9,0)),0)+IFERROR(INDEX(Settings!$F$5:$F$9,MATCH($B240,Settings!$A$5:$A$9,0)),0))/P240+IFERROR(INDEX(Settings!$D$5:$D$9,MATCH($B240,Settings!$A$5:$A$9,0)),0)*M240)</f>
        <v/>
      </c>
      <c r="W240" s="11">
        <f>IF(J240="","",IF(T240="",0,M240*INDEX(Products!$I$5:$I$204,T240)))</f>
        <v/>
      </c>
      <c r="X240" s="11">
        <f>IF(J240="","",IF(T240="",0,S240*INDEX(Products!$H$5:$H$204,T240)))</f>
        <v/>
      </c>
      <c r="Y240" s="11">
        <f>IF(J240="","",S240-V240-W240-X240)</f>
        <v/>
      </c>
    </row>
    <row r="241">
      <c r="A241" s="19" t="n"/>
      <c r="B241" s="19" t="n"/>
      <c r="C241" s="19" t="n"/>
      <c r="D241" s="19" t="n"/>
      <c r="E241" s="19" t="n"/>
      <c r="F241" s="20" t="n"/>
      <c r="G241" s="20" t="n"/>
      <c r="H241" s="20" t="n"/>
      <c r="I241" s="19" t="n"/>
      <c r="J241">
        <f>IFERROR(IF(C241="","",C241)&amp;"","")</f>
        <v/>
      </c>
      <c r="K241">
        <f>IFERROR(IF(D241="","",D241)&amp;"","")</f>
        <v/>
      </c>
      <c r="L241">
        <f>IFERROR(IF(I241="","",I241)&amp;"","")</f>
        <v/>
      </c>
      <c r="M241">
        <f>IF(J241="","",IFERROR(VALUE(SUBSTITUTE(SUBSTITUTE(IF(E241="","",E241)&amp;"","$",""),",","")),0))</f>
        <v/>
      </c>
      <c r="N241" s="11">
        <f>IF(J241="","",IFERROR(VALUE(SUBSTITUTE(SUBSTITUTE(IF(F241="","",F241)&amp;"","$",""),",","")),0))</f>
        <v/>
      </c>
      <c r="O241" s="11">
        <f>IF(J241="","",M241*N241)</f>
        <v/>
      </c>
      <c r="P241">
        <f>IF(J241="","",IF(L241="",1,COUNTIF($L$2:$L$1501,L241)))</f>
        <v/>
      </c>
      <c r="Q241" s="11">
        <f>IF(J241="","",IFERROR(VALUE(SUBSTITUTE(SUBSTITUTE(IF(G241="","",G241)&amp;"","$",""),",","")),0)/IF("No"="Yes",P241,1))</f>
        <v/>
      </c>
      <c r="R241" s="11">
        <f>IF(J241="","",IFERROR(VALUE(SUBSTITUTE(SUBSTITUTE(IF(H241="","",H241)&amp;"","$",""),",","")),0)/IF("No"="Yes",P241,1))</f>
        <v/>
      </c>
      <c r="S241" s="11">
        <f>IF(J241="","",O241+Q241-R241)</f>
        <v/>
      </c>
      <c r="T241">
        <f>IF(J241="","",IFERROR(IF(K241="",NA(),MATCH(K241,Products!$B$5:$B$204,0)),IFERROR(MATCH(J241,Products!$A$5:$A$204,0),"")))</f>
        <v/>
      </c>
      <c r="U241">
        <f>IF(J241="","",IF(T241="","⚠ not in Products",INDEX(Products!$A$5:$A$204,T241)))</f>
        <v/>
      </c>
      <c r="V241" s="11">
        <f>IF(J241="","",S241*(IFERROR(INDEX(Settings!$B$5:$B$9,MATCH($B241,Settings!$A$5:$A$9,0)),0)+IFERROR(INDEX(Settings!$E$5:$E$9,MATCH($B241,Settings!$A$5:$A$9,0)),0)+IFERROR(INDEX(Settings!$G$5:$G$9,MATCH($B241,Settings!$A$5:$A$9,0)),0))+(IFERROR(INDEX(Settings!$C$5:$C$9,MATCH($B241,Settings!$A$5:$A$9,0)),0)+IFERROR(INDEX(Settings!$F$5:$F$9,MATCH($B241,Settings!$A$5:$A$9,0)),0))/P241+IFERROR(INDEX(Settings!$D$5:$D$9,MATCH($B241,Settings!$A$5:$A$9,0)),0)*M241)</f>
        <v/>
      </c>
      <c r="W241" s="11">
        <f>IF(J241="","",IF(T241="",0,M241*INDEX(Products!$I$5:$I$204,T241)))</f>
        <v/>
      </c>
      <c r="X241" s="11">
        <f>IF(J241="","",IF(T241="",0,S241*INDEX(Products!$H$5:$H$204,T241)))</f>
        <v/>
      </c>
      <c r="Y241" s="11">
        <f>IF(J241="","",S241-V241-W241-X241)</f>
        <v/>
      </c>
    </row>
    <row r="242">
      <c r="A242" s="19" t="n"/>
      <c r="B242" s="19" t="n"/>
      <c r="C242" s="19" t="n"/>
      <c r="D242" s="19" t="n"/>
      <c r="E242" s="19" t="n"/>
      <c r="F242" s="20" t="n"/>
      <c r="G242" s="20" t="n"/>
      <c r="H242" s="20" t="n"/>
      <c r="I242" s="19" t="n"/>
      <c r="J242">
        <f>IFERROR(IF(C242="","",C242)&amp;"","")</f>
        <v/>
      </c>
      <c r="K242">
        <f>IFERROR(IF(D242="","",D242)&amp;"","")</f>
        <v/>
      </c>
      <c r="L242">
        <f>IFERROR(IF(I242="","",I242)&amp;"","")</f>
        <v/>
      </c>
      <c r="M242">
        <f>IF(J242="","",IFERROR(VALUE(SUBSTITUTE(SUBSTITUTE(IF(E242="","",E242)&amp;"","$",""),",","")),0))</f>
        <v/>
      </c>
      <c r="N242" s="11">
        <f>IF(J242="","",IFERROR(VALUE(SUBSTITUTE(SUBSTITUTE(IF(F242="","",F242)&amp;"","$",""),",","")),0))</f>
        <v/>
      </c>
      <c r="O242" s="11">
        <f>IF(J242="","",M242*N242)</f>
        <v/>
      </c>
      <c r="P242">
        <f>IF(J242="","",IF(L242="",1,COUNTIF($L$2:$L$1501,L242)))</f>
        <v/>
      </c>
      <c r="Q242" s="11">
        <f>IF(J242="","",IFERROR(VALUE(SUBSTITUTE(SUBSTITUTE(IF(G242="","",G242)&amp;"","$",""),",","")),0)/IF("No"="Yes",P242,1))</f>
        <v/>
      </c>
      <c r="R242" s="11">
        <f>IF(J242="","",IFERROR(VALUE(SUBSTITUTE(SUBSTITUTE(IF(H242="","",H242)&amp;"","$",""),",","")),0)/IF("No"="Yes",P242,1))</f>
        <v/>
      </c>
      <c r="S242" s="11">
        <f>IF(J242="","",O242+Q242-R242)</f>
        <v/>
      </c>
      <c r="T242">
        <f>IF(J242="","",IFERROR(IF(K242="",NA(),MATCH(K242,Products!$B$5:$B$204,0)),IFERROR(MATCH(J242,Products!$A$5:$A$204,0),"")))</f>
        <v/>
      </c>
      <c r="U242">
        <f>IF(J242="","",IF(T242="","⚠ not in Products",INDEX(Products!$A$5:$A$204,T242)))</f>
        <v/>
      </c>
      <c r="V242" s="11">
        <f>IF(J242="","",S242*(IFERROR(INDEX(Settings!$B$5:$B$9,MATCH($B242,Settings!$A$5:$A$9,0)),0)+IFERROR(INDEX(Settings!$E$5:$E$9,MATCH($B242,Settings!$A$5:$A$9,0)),0)+IFERROR(INDEX(Settings!$G$5:$G$9,MATCH($B242,Settings!$A$5:$A$9,0)),0))+(IFERROR(INDEX(Settings!$C$5:$C$9,MATCH($B242,Settings!$A$5:$A$9,0)),0)+IFERROR(INDEX(Settings!$F$5:$F$9,MATCH($B242,Settings!$A$5:$A$9,0)),0))/P242+IFERROR(INDEX(Settings!$D$5:$D$9,MATCH($B242,Settings!$A$5:$A$9,0)),0)*M242)</f>
        <v/>
      </c>
      <c r="W242" s="11">
        <f>IF(J242="","",IF(T242="",0,M242*INDEX(Products!$I$5:$I$204,T242)))</f>
        <v/>
      </c>
      <c r="X242" s="11">
        <f>IF(J242="","",IF(T242="",0,S242*INDEX(Products!$H$5:$H$204,T242)))</f>
        <v/>
      </c>
      <c r="Y242" s="11">
        <f>IF(J242="","",S242-V242-W242-X242)</f>
        <v/>
      </c>
    </row>
    <row r="243">
      <c r="A243" s="19" t="n"/>
      <c r="B243" s="19" t="n"/>
      <c r="C243" s="19" t="n"/>
      <c r="D243" s="19" t="n"/>
      <c r="E243" s="19" t="n"/>
      <c r="F243" s="20" t="n"/>
      <c r="G243" s="20" t="n"/>
      <c r="H243" s="20" t="n"/>
      <c r="I243" s="19" t="n"/>
      <c r="J243">
        <f>IFERROR(IF(C243="","",C243)&amp;"","")</f>
        <v/>
      </c>
      <c r="K243">
        <f>IFERROR(IF(D243="","",D243)&amp;"","")</f>
        <v/>
      </c>
      <c r="L243">
        <f>IFERROR(IF(I243="","",I243)&amp;"","")</f>
        <v/>
      </c>
      <c r="M243">
        <f>IF(J243="","",IFERROR(VALUE(SUBSTITUTE(SUBSTITUTE(IF(E243="","",E243)&amp;"","$",""),",","")),0))</f>
        <v/>
      </c>
      <c r="N243" s="11">
        <f>IF(J243="","",IFERROR(VALUE(SUBSTITUTE(SUBSTITUTE(IF(F243="","",F243)&amp;"","$",""),",","")),0))</f>
        <v/>
      </c>
      <c r="O243" s="11">
        <f>IF(J243="","",M243*N243)</f>
        <v/>
      </c>
      <c r="P243">
        <f>IF(J243="","",IF(L243="",1,COUNTIF($L$2:$L$1501,L243)))</f>
        <v/>
      </c>
      <c r="Q243" s="11">
        <f>IF(J243="","",IFERROR(VALUE(SUBSTITUTE(SUBSTITUTE(IF(G243="","",G243)&amp;"","$",""),",","")),0)/IF("No"="Yes",P243,1))</f>
        <v/>
      </c>
      <c r="R243" s="11">
        <f>IF(J243="","",IFERROR(VALUE(SUBSTITUTE(SUBSTITUTE(IF(H243="","",H243)&amp;"","$",""),",","")),0)/IF("No"="Yes",P243,1))</f>
        <v/>
      </c>
      <c r="S243" s="11">
        <f>IF(J243="","",O243+Q243-R243)</f>
        <v/>
      </c>
      <c r="T243">
        <f>IF(J243="","",IFERROR(IF(K243="",NA(),MATCH(K243,Products!$B$5:$B$204,0)),IFERROR(MATCH(J243,Products!$A$5:$A$204,0),"")))</f>
        <v/>
      </c>
      <c r="U243">
        <f>IF(J243="","",IF(T243="","⚠ not in Products",INDEX(Products!$A$5:$A$204,T243)))</f>
        <v/>
      </c>
      <c r="V243" s="11">
        <f>IF(J243="","",S243*(IFERROR(INDEX(Settings!$B$5:$B$9,MATCH($B243,Settings!$A$5:$A$9,0)),0)+IFERROR(INDEX(Settings!$E$5:$E$9,MATCH($B243,Settings!$A$5:$A$9,0)),0)+IFERROR(INDEX(Settings!$G$5:$G$9,MATCH($B243,Settings!$A$5:$A$9,0)),0))+(IFERROR(INDEX(Settings!$C$5:$C$9,MATCH($B243,Settings!$A$5:$A$9,0)),0)+IFERROR(INDEX(Settings!$F$5:$F$9,MATCH($B243,Settings!$A$5:$A$9,0)),0))/P243+IFERROR(INDEX(Settings!$D$5:$D$9,MATCH($B243,Settings!$A$5:$A$9,0)),0)*M243)</f>
        <v/>
      </c>
      <c r="W243" s="11">
        <f>IF(J243="","",IF(T243="",0,M243*INDEX(Products!$I$5:$I$204,T243)))</f>
        <v/>
      </c>
      <c r="X243" s="11">
        <f>IF(J243="","",IF(T243="",0,S243*INDEX(Products!$H$5:$H$204,T243)))</f>
        <v/>
      </c>
      <c r="Y243" s="11">
        <f>IF(J243="","",S243-V243-W243-X243)</f>
        <v/>
      </c>
    </row>
    <row r="244">
      <c r="A244" s="19" t="n"/>
      <c r="B244" s="19" t="n"/>
      <c r="C244" s="19" t="n"/>
      <c r="D244" s="19" t="n"/>
      <c r="E244" s="19" t="n"/>
      <c r="F244" s="20" t="n"/>
      <c r="G244" s="20" t="n"/>
      <c r="H244" s="20" t="n"/>
      <c r="I244" s="19" t="n"/>
      <c r="J244">
        <f>IFERROR(IF(C244="","",C244)&amp;"","")</f>
        <v/>
      </c>
      <c r="K244">
        <f>IFERROR(IF(D244="","",D244)&amp;"","")</f>
        <v/>
      </c>
      <c r="L244">
        <f>IFERROR(IF(I244="","",I244)&amp;"","")</f>
        <v/>
      </c>
      <c r="M244">
        <f>IF(J244="","",IFERROR(VALUE(SUBSTITUTE(SUBSTITUTE(IF(E244="","",E244)&amp;"","$",""),",","")),0))</f>
        <v/>
      </c>
      <c r="N244" s="11">
        <f>IF(J244="","",IFERROR(VALUE(SUBSTITUTE(SUBSTITUTE(IF(F244="","",F244)&amp;"","$",""),",","")),0))</f>
        <v/>
      </c>
      <c r="O244" s="11">
        <f>IF(J244="","",M244*N244)</f>
        <v/>
      </c>
      <c r="P244">
        <f>IF(J244="","",IF(L244="",1,COUNTIF($L$2:$L$1501,L244)))</f>
        <v/>
      </c>
      <c r="Q244" s="11">
        <f>IF(J244="","",IFERROR(VALUE(SUBSTITUTE(SUBSTITUTE(IF(G244="","",G244)&amp;"","$",""),",","")),0)/IF("No"="Yes",P244,1))</f>
        <v/>
      </c>
      <c r="R244" s="11">
        <f>IF(J244="","",IFERROR(VALUE(SUBSTITUTE(SUBSTITUTE(IF(H244="","",H244)&amp;"","$",""),",","")),0)/IF("No"="Yes",P244,1))</f>
        <v/>
      </c>
      <c r="S244" s="11">
        <f>IF(J244="","",O244+Q244-R244)</f>
        <v/>
      </c>
      <c r="T244">
        <f>IF(J244="","",IFERROR(IF(K244="",NA(),MATCH(K244,Products!$B$5:$B$204,0)),IFERROR(MATCH(J244,Products!$A$5:$A$204,0),"")))</f>
        <v/>
      </c>
      <c r="U244">
        <f>IF(J244="","",IF(T244="","⚠ not in Products",INDEX(Products!$A$5:$A$204,T244)))</f>
        <v/>
      </c>
      <c r="V244" s="11">
        <f>IF(J244="","",S244*(IFERROR(INDEX(Settings!$B$5:$B$9,MATCH($B244,Settings!$A$5:$A$9,0)),0)+IFERROR(INDEX(Settings!$E$5:$E$9,MATCH($B244,Settings!$A$5:$A$9,0)),0)+IFERROR(INDEX(Settings!$G$5:$G$9,MATCH($B244,Settings!$A$5:$A$9,0)),0))+(IFERROR(INDEX(Settings!$C$5:$C$9,MATCH($B244,Settings!$A$5:$A$9,0)),0)+IFERROR(INDEX(Settings!$F$5:$F$9,MATCH($B244,Settings!$A$5:$A$9,0)),0))/P244+IFERROR(INDEX(Settings!$D$5:$D$9,MATCH($B244,Settings!$A$5:$A$9,0)),0)*M244)</f>
        <v/>
      </c>
      <c r="W244" s="11">
        <f>IF(J244="","",IF(T244="",0,M244*INDEX(Products!$I$5:$I$204,T244)))</f>
        <v/>
      </c>
      <c r="X244" s="11">
        <f>IF(J244="","",IF(T244="",0,S244*INDEX(Products!$H$5:$H$204,T244)))</f>
        <v/>
      </c>
      <c r="Y244" s="11">
        <f>IF(J244="","",S244-V244-W244-X244)</f>
        <v/>
      </c>
    </row>
    <row r="245">
      <c r="A245" s="19" t="n"/>
      <c r="B245" s="19" t="n"/>
      <c r="C245" s="19" t="n"/>
      <c r="D245" s="19" t="n"/>
      <c r="E245" s="19" t="n"/>
      <c r="F245" s="20" t="n"/>
      <c r="G245" s="20" t="n"/>
      <c r="H245" s="20" t="n"/>
      <c r="I245" s="19" t="n"/>
      <c r="J245">
        <f>IFERROR(IF(C245="","",C245)&amp;"","")</f>
        <v/>
      </c>
      <c r="K245">
        <f>IFERROR(IF(D245="","",D245)&amp;"","")</f>
        <v/>
      </c>
      <c r="L245">
        <f>IFERROR(IF(I245="","",I245)&amp;"","")</f>
        <v/>
      </c>
      <c r="M245">
        <f>IF(J245="","",IFERROR(VALUE(SUBSTITUTE(SUBSTITUTE(IF(E245="","",E245)&amp;"","$",""),",","")),0))</f>
        <v/>
      </c>
      <c r="N245" s="11">
        <f>IF(J245="","",IFERROR(VALUE(SUBSTITUTE(SUBSTITUTE(IF(F245="","",F245)&amp;"","$",""),",","")),0))</f>
        <v/>
      </c>
      <c r="O245" s="11">
        <f>IF(J245="","",M245*N245)</f>
        <v/>
      </c>
      <c r="P245">
        <f>IF(J245="","",IF(L245="",1,COUNTIF($L$2:$L$1501,L245)))</f>
        <v/>
      </c>
      <c r="Q245" s="11">
        <f>IF(J245="","",IFERROR(VALUE(SUBSTITUTE(SUBSTITUTE(IF(G245="","",G245)&amp;"","$",""),",","")),0)/IF("No"="Yes",P245,1))</f>
        <v/>
      </c>
      <c r="R245" s="11">
        <f>IF(J245="","",IFERROR(VALUE(SUBSTITUTE(SUBSTITUTE(IF(H245="","",H245)&amp;"","$",""),",","")),0)/IF("No"="Yes",P245,1))</f>
        <v/>
      </c>
      <c r="S245" s="11">
        <f>IF(J245="","",O245+Q245-R245)</f>
        <v/>
      </c>
      <c r="T245">
        <f>IF(J245="","",IFERROR(IF(K245="",NA(),MATCH(K245,Products!$B$5:$B$204,0)),IFERROR(MATCH(J245,Products!$A$5:$A$204,0),"")))</f>
        <v/>
      </c>
      <c r="U245">
        <f>IF(J245="","",IF(T245="","⚠ not in Products",INDEX(Products!$A$5:$A$204,T245)))</f>
        <v/>
      </c>
      <c r="V245" s="11">
        <f>IF(J245="","",S245*(IFERROR(INDEX(Settings!$B$5:$B$9,MATCH($B245,Settings!$A$5:$A$9,0)),0)+IFERROR(INDEX(Settings!$E$5:$E$9,MATCH($B245,Settings!$A$5:$A$9,0)),0)+IFERROR(INDEX(Settings!$G$5:$G$9,MATCH($B245,Settings!$A$5:$A$9,0)),0))+(IFERROR(INDEX(Settings!$C$5:$C$9,MATCH($B245,Settings!$A$5:$A$9,0)),0)+IFERROR(INDEX(Settings!$F$5:$F$9,MATCH($B245,Settings!$A$5:$A$9,0)),0))/P245+IFERROR(INDEX(Settings!$D$5:$D$9,MATCH($B245,Settings!$A$5:$A$9,0)),0)*M245)</f>
        <v/>
      </c>
      <c r="W245" s="11">
        <f>IF(J245="","",IF(T245="",0,M245*INDEX(Products!$I$5:$I$204,T245)))</f>
        <v/>
      </c>
      <c r="X245" s="11">
        <f>IF(J245="","",IF(T245="",0,S245*INDEX(Products!$H$5:$H$204,T245)))</f>
        <v/>
      </c>
      <c r="Y245" s="11">
        <f>IF(J245="","",S245-V245-W245-X245)</f>
        <v/>
      </c>
    </row>
    <row r="246">
      <c r="A246" s="19" t="n"/>
      <c r="B246" s="19" t="n"/>
      <c r="C246" s="19" t="n"/>
      <c r="D246" s="19" t="n"/>
      <c r="E246" s="19" t="n"/>
      <c r="F246" s="20" t="n"/>
      <c r="G246" s="20" t="n"/>
      <c r="H246" s="20" t="n"/>
      <c r="I246" s="19" t="n"/>
      <c r="J246">
        <f>IFERROR(IF(C246="","",C246)&amp;"","")</f>
        <v/>
      </c>
      <c r="K246">
        <f>IFERROR(IF(D246="","",D246)&amp;"","")</f>
        <v/>
      </c>
      <c r="L246">
        <f>IFERROR(IF(I246="","",I246)&amp;"","")</f>
        <v/>
      </c>
      <c r="M246">
        <f>IF(J246="","",IFERROR(VALUE(SUBSTITUTE(SUBSTITUTE(IF(E246="","",E246)&amp;"","$",""),",","")),0))</f>
        <v/>
      </c>
      <c r="N246" s="11">
        <f>IF(J246="","",IFERROR(VALUE(SUBSTITUTE(SUBSTITUTE(IF(F246="","",F246)&amp;"","$",""),",","")),0))</f>
        <v/>
      </c>
      <c r="O246" s="11">
        <f>IF(J246="","",M246*N246)</f>
        <v/>
      </c>
      <c r="P246">
        <f>IF(J246="","",IF(L246="",1,COUNTIF($L$2:$L$1501,L246)))</f>
        <v/>
      </c>
      <c r="Q246" s="11">
        <f>IF(J246="","",IFERROR(VALUE(SUBSTITUTE(SUBSTITUTE(IF(G246="","",G246)&amp;"","$",""),",","")),0)/IF("No"="Yes",P246,1))</f>
        <v/>
      </c>
      <c r="R246" s="11">
        <f>IF(J246="","",IFERROR(VALUE(SUBSTITUTE(SUBSTITUTE(IF(H246="","",H246)&amp;"","$",""),",","")),0)/IF("No"="Yes",P246,1))</f>
        <v/>
      </c>
      <c r="S246" s="11">
        <f>IF(J246="","",O246+Q246-R246)</f>
        <v/>
      </c>
      <c r="T246">
        <f>IF(J246="","",IFERROR(IF(K246="",NA(),MATCH(K246,Products!$B$5:$B$204,0)),IFERROR(MATCH(J246,Products!$A$5:$A$204,0),"")))</f>
        <v/>
      </c>
      <c r="U246">
        <f>IF(J246="","",IF(T246="","⚠ not in Products",INDEX(Products!$A$5:$A$204,T246)))</f>
        <v/>
      </c>
      <c r="V246" s="11">
        <f>IF(J246="","",S246*(IFERROR(INDEX(Settings!$B$5:$B$9,MATCH($B246,Settings!$A$5:$A$9,0)),0)+IFERROR(INDEX(Settings!$E$5:$E$9,MATCH($B246,Settings!$A$5:$A$9,0)),0)+IFERROR(INDEX(Settings!$G$5:$G$9,MATCH($B246,Settings!$A$5:$A$9,0)),0))+(IFERROR(INDEX(Settings!$C$5:$C$9,MATCH($B246,Settings!$A$5:$A$9,0)),0)+IFERROR(INDEX(Settings!$F$5:$F$9,MATCH($B246,Settings!$A$5:$A$9,0)),0))/P246+IFERROR(INDEX(Settings!$D$5:$D$9,MATCH($B246,Settings!$A$5:$A$9,0)),0)*M246)</f>
        <v/>
      </c>
      <c r="W246" s="11">
        <f>IF(J246="","",IF(T246="",0,M246*INDEX(Products!$I$5:$I$204,T246)))</f>
        <v/>
      </c>
      <c r="X246" s="11">
        <f>IF(J246="","",IF(T246="",0,S246*INDEX(Products!$H$5:$H$204,T246)))</f>
        <v/>
      </c>
      <c r="Y246" s="11">
        <f>IF(J246="","",S246-V246-W246-X246)</f>
        <v/>
      </c>
    </row>
    <row r="247">
      <c r="A247" s="19" t="n"/>
      <c r="B247" s="19" t="n"/>
      <c r="C247" s="19" t="n"/>
      <c r="D247" s="19" t="n"/>
      <c r="E247" s="19" t="n"/>
      <c r="F247" s="20" t="n"/>
      <c r="G247" s="20" t="n"/>
      <c r="H247" s="20" t="n"/>
      <c r="I247" s="19" t="n"/>
      <c r="J247">
        <f>IFERROR(IF(C247="","",C247)&amp;"","")</f>
        <v/>
      </c>
      <c r="K247">
        <f>IFERROR(IF(D247="","",D247)&amp;"","")</f>
        <v/>
      </c>
      <c r="L247">
        <f>IFERROR(IF(I247="","",I247)&amp;"","")</f>
        <v/>
      </c>
      <c r="M247">
        <f>IF(J247="","",IFERROR(VALUE(SUBSTITUTE(SUBSTITUTE(IF(E247="","",E247)&amp;"","$",""),",","")),0))</f>
        <v/>
      </c>
      <c r="N247" s="11">
        <f>IF(J247="","",IFERROR(VALUE(SUBSTITUTE(SUBSTITUTE(IF(F247="","",F247)&amp;"","$",""),",","")),0))</f>
        <v/>
      </c>
      <c r="O247" s="11">
        <f>IF(J247="","",M247*N247)</f>
        <v/>
      </c>
      <c r="P247">
        <f>IF(J247="","",IF(L247="",1,COUNTIF($L$2:$L$1501,L247)))</f>
        <v/>
      </c>
      <c r="Q247" s="11">
        <f>IF(J247="","",IFERROR(VALUE(SUBSTITUTE(SUBSTITUTE(IF(G247="","",G247)&amp;"","$",""),",","")),0)/IF("No"="Yes",P247,1))</f>
        <v/>
      </c>
      <c r="R247" s="11">
        <f>IF(J247="","",IFERROR(VALUE(SUBSTITUTE(SUBSTITUTE(IF(H247="","",H247)&amp;"","$",""),",","")),0)/IF("No"="Yes",P247,1))</f>
        <v/>
      </c>
      <c r="S247" s="11">
        <f>IF(J247="","",O247+Q247-R247)</f>
        <v/>
      </c>
      <c r="T247">
        <f>IF(J247="","",IFERROR(IF(K247="",NA(),MATCH(K247,Products!$B$5:$B$204,0)),IFERROR(MATCH(J247,Products!$A$5:$A$204,0),"")))</f>
        <v/>
      </c>
      <c r="U247">
        <f>IF(J247="","",IF(T247="","⚠ not in Products",INDEX(Products!$A$5:$A$204,T247)))</f>
        <v/>
      </c>
      <c r="V247" s="11">
        <f>IF(J247="","",S247*(IFERROR(INDEX(Settings!$B$5:$B$9,MATCH($B247,Settings!$A$5:$A$9,0)),0)+IFERROR(INDEX(Settings!$E$5:$E$9,MATCH($B247,Settings!$A$5:$A$9,0)),0)+IFERROR(INDEX(Settings!$G$5:$G$9,MATCH($B247,Settings!$A$5:$A$9,0)),0))+(IFERROR(INDEX(Settings!$C$5:$C$9,MATCH($B247,Settings!$A$5:$A$9,0)),0)+IFERROR(INDEX(Settings!$F$5:$F$9,MATCH($B247,Settings!$A$5:$A$9,0)),0))/P247+IFERROR(INDEX(Settings!$D$5:$D$9,MATCH($B247,Settings!$A$5:$A$9,0)),0)*M247)</f>
        <v/>
      </c>
      <c r="W247" s="11">
        <f>IF(J247="","",IF(T247="",0,M247*INDEX(Products!$I$5:$I$204,T247)))</f>
        <v/>
      </c>
      <c r="X247" s="11">
        <f>IF(J247="","",IF(T247="",0,S247*INDEX(Products!$H$5:$H$204,T247)))</f>
        <v/>
      </c>
      <c r="Y247" s="11">
        <f>IF(J247="","",S247-V247-W247-X247)</f>
        <v/>
      </c>
    </row>
    <row r="248">
      <c r="A248" s="19" t="n"/>
      <c r="B248" s="19" t="n"/>
      <c r="C248" s="19" t="n"/>
      <c r="D248" s="19" t="n"/>
      <c r="E248" s="19" t="n"/>
      <c r="F248" s="20" t="n"/>
      <c r="G248" s="20" t="n"/>
      <c r="H248" s="20" t="n"/>
      <c r="I248" s="19" t="n"/>
      <c r="J248">
        <f>IFERROR(IF(C248="","",C248)&amp;"","")</f>
        <v/>
      </c>
      <c r="K248">
        <f>IFERROR(IF(D248="","",D248)&amp;"","")</f>
        <v/>
      </c>
      <c r="L248">
        <f>IFERROR(IF(I248="","",I248)&amp;"","")</f>
        <v/>
      </c>
      <c r="M248">
        <f>IF(J248="","",IFERROR(VALUE(SUBSTITUTE(SUBSTITUTE(IF(E248="","",E248)&amp;"","$",""),",","")),0))</f>
        <v/>
      </c>
      <c r="N248" s="11">
        <f>IF(J248="","",IFERROR(VALUE(SUBSTITUTE(SUBSTITUTE(IF(F248="","",F248)&amp;"","$",""),",","")),0))</f>
        <v/>
      </c>
      <c r="O248" s="11">
        <f>IF(J248="","",M248*N248)</f>
        <v/>
      </c>
      <c r="P248">
        <f>IF(J248="","",IF(L248="",1,COUNTIF($L$2:$L$1501,L248)))</f>
        <v/>
      </c>
      <c r="Q248" s="11">
        <f>IF(J248="","",IFERROR(VALUE(SUBSTITUTE(SUBSTITUTE(IF(G248="","",G248)&amp;"","$",""),",","")),0)/IF("No"="Yes",P248,1))</f>
        <v/>
      </c>
      <c r="R248" s="11">
        <f>IF(J248="","",IFERROR(VALUE(SUBSTITUTE(SUBSTITUTE(IF(H248="","",H248)&amp;"","$",""),",","")),0)/IF("No"="Yes",P248,1))</f>
        <v/>
      </c>
      <c r="S248" s="11">
        <f>IF(J248="","",O248+Q248-R248)</f>
        <v/>
      </c>
      <c r="T248">
        <f>IF(J248="","",IFERROR(IF(K248="",NA(),MATCH(K248,Products!$B$5:$B$204,0)),IFERROR(MATCH(J248,Products!$A$5:$A$204,0),"")))</f>
        <v/>
      </c>
      <c r="U248">
        <f>IF(J248="","",IF(T248="","⚠ not in Products",INDEX(Products!$A$5:$A$204,T248)))</f>
        <v/>
      </c>
      <c r="V248" s="11">
        <f>IF(J248="","",S248*(IFERROR(INDEX(Settings!$B$5:$B$9,MATCH($B248,Settings!$A$5:$A$9,0)),0)+IFERROR(INDEX(Settings!$E$5:$E$9,MATCH($B248,Settings!$A$5:$A$9,0)),0)+IFERROR(INDEX(Settings!$G$5:$G$9,MATCH($B248,Settings!$A$5:$A$9,0)),0))+(IFERROR(INDEX(Settings!$C$5:$C$9,MATCH($B248,Settings!$A$5:$A$9,0)),0)+IFERROR(INDEX(Settings!$F$5:$F$9,MATCH($B248,Settings!$A$5:$A$9,0)),0))/P248+IFERROR(INDEX(Settings!$D$5:$D$9,MATCH($B248,Settings!$A$5:$A$9,0)),0)*M248)</f>
        <v/>
      </c>
      <c r="W248" s="11">
        <f>IF(J248="","",IF(T248="",0,M248*INDEX(Products!$I$5:$I$204,T248)))</f>
        <v/>
      </c>
      <c r="X248" s="11">
        <f>IF(J248="","",IF(T248="",0,S248*INDEX(Products!$H$5:$H$204,T248)))</f>
        <v/>
      </c>
      <c r="Y248" s="11">
        <f>IF(J248="","",S248-V248-W248-X248)</f>
        <v/>
      </c>
    </row>
    <row r="249">
      <c r="A249" s="19" t="n"/>
      <c r="B249" s="19" t="n"/>
      <c r="C249" s="19" t="n"/>
      <c r="D249" s="19" t="n"/>
      <c r="E249" s="19" t="n"/>
      <c r="F249" s="20" t="n"/>
      <c r="G249" s="20" t="n"/>
      <c r="H249" s="20" t="n"/>
      <c r="I249" s="19" t="n"/>
      <c r="J249">
        <f>IFERROR(IF(C249="","",C249)&amp;"","")</f>
        <v/>
      </c>
      <c r="K249">
        <f>IFERROR(IF(D249="","",D249)&amp;"","")</f>
        <v/>
      </c>
      <c r="L249">
        <f>IFERROR(IF(I249="","",I249)&amp;"","")</f>
        <v/>
      </c>
      <c r="M249">
        <f>IF(J249="","",IFERROR(VALUE(SUBSTITUTE(SUBSTITUTE(IF(E249="","",E249)&amp;"","$",""),",","")),0))</f>
        <v/>
      </c>
      <c r="N249" s="11">
        <f>IF(J249="","",IFERROR(VALUE(SUBSTITUTE(SUBSTITUTE(IF(F249="","",F249)&amp;"","$",""),",","")),0))</f>
        <v/>
      </c>
      <c r="O249" s="11">
        <f>IF(J249="","",M249*N249)</f>
        <v/>
      </c>
      <c r="P249">
        <f>IF(J249="","",IF(L249="",1,COUNTIF($L$2:$L$1501,L249)))</f>
        <v/>
      </c>
      <c r="Q249" s="11">
        <f>IF(J249="","",IFERROR(VALUE(SUBSTITUTE(SUBSTITUTE(IF(G249="","",G249)&amp;"","$",""),",","")),0)/IF("No"="Yes",P249,1))</f>
        <v/>
      </c>
      <c r="R249" s="11">
        <f>IF(J249="","",IFERROR(VALUE(SUBSTITUTE(SUBSTITUTE(IF(H249="","",H249)&amp;"","$",""),",","")),0)/IF("No"="Yes",P249,1))</f>
        <v/>
      </c>
      <c r="S249" s="11">
        <f>IF(J249="","",O249+Q249-R249)</f>
        <v/>
      </c>
      <c r="T249">
        <f>IF(J249="","",IFERROR(IF(K249="",NA(),MATCH(K249,Products!$B$5:$B$204,0)),IFERROR(MATCH(J249,Products!$A$5:$A$204,0),"")))</f>
        <v/>
      </c>
      <c r="U249">
        <f>IF(J249="","",IF(T249="","⚠ not in Products",INDEX(Products!$A$5:$A$204,T249)))</f>
        <v/>
      </c>
      <c r="V249" s="11">
        <f>IF(J249="","",S249*(IFERROR(INDEX(Settings!$B$5:$B$9,MATCH($B249,Settings!$A$5:$A$9,0)),0)+IFERROR(INDEX(Settings!$E$5:$E$9,MATCH($B249,Settings!$A$5:$A$9,0)),0)+IFERROR(INDEX(Settings!$G$5:$G$9,MATCH($B249,Settings!$A$5:$A$9,0)),0))+(IFERROR(INDEX(Settings!$C$5:$C$9,MATCH($B249,Settings!$A$5:$A$9,0)),0)+IFERROR(INDEX(Settings!$F$5:$F$9,MATCH($B249,Settings!$A$5:$A$9,0)),0))/P249+IFERROR(INDEX(Settings!$D$5:$D$9,MATCH($B249,Settings!$A$5:$A$9,0)),0)*M249)</f>
        <v/>
      </c>
      <c r="W249" s="11">
        <f>IF(J249="","",IF(T249="",0,M249*INDEX(Products!$I$5:$I$204,T249)))</f>
        <v/>
      </c>
      <c r="X249" s="11">
        <f>IF(J249="","",IF(T249="",0,S249*INDEX(Products!$H$5:$H$204,T249)))</f>
        <v/>
      </c>
      <c r="Y249" s="11">
        <f>IF(J249="","",S249-V249-W249-X249)</f>
        <v/>
      </c>
    </row>
    <row r="250">
      <c r="A250" s="19" t="n"/>
      <c r="B250" s="19" t="n"/>
      <c r="C250" s="19" t="n"/>
      <c r="D250" s="19" t="n"/>
      <c r="E250" s="19" t="n"/>
      <c r="F250" s="20" t="n"/>
      <c r="G250" s="20" t="n"/>
      <c r="H250" s="20" t="n"/>
      <c r="I250" s="19" t="n"/>
      <c r="J250">
        <f>IFERROR(IF(C250="","",C250)&amp;"","")</f>
        <v/>
      </c>
      <c r="K250">
        <f>IFERROR(IF(D250="","",D250)&amp;"","")</f>
        <v/>
      </c>
      <c r="L250">
        <f>IFERROR(IF(I250="","",I250)&amp;"","")</f>
        <v/>
      </c>
      <c r="M250">
        <f>IF(J250="","",IFERROR(VALUE(SUBSTITUTE(SUBSTITUTE(IF(E250="","",E250)&amp;"","$",""),",","")),0))</f>
        <v/>
      </c>
      <c r="N250" s="11">
        <f>IF(J250="","",IFERROR(VALUE(SUBSTITUTE(SUBSTITUTE(IF(F250="","",F250)&amp;"","$",""),",","")),0))</f>
        <v/>
      </c>
      <c r="O250" s="11">
        <f>IF(J250="","",M250*N250)</f>
        <v/>
      </c>
      <c r="P250">
        <f>IF(J250="","",IF(L250="",1,COUNTIF($L$2:$L$1501,L250)))</f>
        <v/>
      </c>
      <c r="Q250" s="11">
        <f>IF(J250="","",IFERROR(VALUE(SUBSTITUTE(SUBSTITUTE(IF(G250="","",G250)&amp;"","$",""),",","")),0)/IF("No"="Yes",P250,1))</f>
        <v/>
      </c>
      <c r="R250" s="11">
        <f>IF(J250="","",IFERROR(VALUE(SUBSTITUTE(SUBSTITUTE(IF(H250="","",H250)&amp;"","$",""),",","")),0)/IF("No"="Yes",P250,1))</f>
        <v/>
      </c>
      <c r="S250" s="11">
        <f>IF(J250="","",O250+Q250-R250)</f>
        <v/>
      </c>
      <c r="T250">
        <f>IF(J250="","",IFERROR(IF(K250="",NA(),MATCH(K250,Products!$B$5:$B$204,0)),IFERROR(MATCH(J250,Products!$A$5:$A$204,0),"")))</f>
        <v/>
      </c>
      <c r="U250">
        <f>IF(J250="","",IF(T250="","⚠ not in Products",INDEX(Products!$A$5:$A$204,T250)))</f>
        <v/>
      </c>
      <c r="V250" s="11">
        <f>IF(J250="","",S250*(IFERROR(INDEX(Settings!$B$5:$B$9,MATCH($B250,Settings!$A$5:$A$9,0)),0)+IFERROR(INDEX(Settings!$E$5:$E$9,MATCH($B250,Settings!$A$5:$A$9,0)),0)+IFERROR(INDEX(Settings!$G$5:$G$9,MATCH($B250,Settings!$A$5:$A$9,0)),0))+(IFERROR(INDEX(Settings!$C$5:$C$9,MATCH($B250,Settings!$A$5:$A$9,0)),0)+IFERROR(INDEX(Settings!$F$5:$F$9,MATCH($B250,Settings!$A$5:$A$9,0)),0))/P250+IFERROR(INDEX(Settings!$D$5:$D$9,MATCH($B250,Settings!$A$5:$A$9,0)),0)*M250)</f>
        <v/>
      </c>
      <c r="W250" s="11">
        <f>IF(J250="","",IF(T250="",0,M250*INDEX(Products!$I$5:$I$204,T250)))</f>
        <v/>
      </c>
      <c r="X250" s="11">
        <f>IF(J250="","",IF(T250="",0,S250*INDEX(Products!$H$5:$H$204,T250)))</f>
        <v/>
      </c>
      <c r="Y250" s="11">
        <f>IF(J250="","",S250-V250-W250-X250)</f>
        <v/>
      </c>
    </row>
    <row r="251">
      <c r="A251" s="19" t="n"/>
      <c r="B251" s="19" t="n"/>
      <c r="C251" s="19" t="n"/>
      <c r="D251" s="19" t="n"/>
      <c r="E251" s="19" t="n"/>
      <c r="F251" s="20" t="n"/>
      <c r="G251" s="20" t="n"/>
      <c r="H251" s="20" t="n"/>
      <c r="I251" s="19" t="n"/>
      <c r="J251">
        <f>IFERROR(IF(C251="","",C251)&amp;"","")</f>
        <v/>
      </c>
      <c r="K251">
        <f>IFERROR(IF(D251="","",D251)&amp;"","")</f>
        <v/>
      </c>
      <c r="L251">
        <f>IFERROR(IF(I251="","",I251)&amp;"","")</f>
        <v/>
      </c>
      <c r="M251">
        <f>IF(J251="","",IFERROR(VALUE(SUBSTITUTE(SUBSTITUTE(IF(E251="","",E251)&amp;"","$",""),",","")),0))</f>
        <v/>
      </c>
      <c r="N251" s="11">
        <f>IF(J251="","",IFERROR(VALUE(SUBSTITUTE(SUBSTITUTE(IF(F251="","",F251)&amp;"","$",""),",","")),0))</f>
        <v/>
      </c>
      <c r="O251" s="11">
        <f>IF(J251="","",M251*N251)</f>
        <v/>
      </c>
      <c r="P251">
        <f>IF(J251="","",IF(L251="",1,COUNTIF($L$2:$L$1501,L251)))</f>
        <v/>
      </c>
      <c r="Q251" s="11">
        <f>IF(J251="","",IFERROR(VALUE(SUBSTITUTE(SUBSTITUTE(IF(G251="","",G251)&amp;"","$",""),",","")),0)/IF("No"="Yes",P251,1))</f>
        <v/>
      </c>
      <c r="R251" s="11">
        <f>IF(J251="","",IFERROR(VALUE(SUBSTITUTE(SUBSTITUTE(IF(H251="","",H251)&amp;"","$",""),",","")),0)/IF("No"="Yes",P251,1))</f>
        <v/>
      </c>
      <c r="S251" s="11">
        <f>IF(J251="","",O251+Q251-R251)</f>
        <v/>
      </c>
      <c r="T251">
        <f>IF(J251="","",IFERROR(IF(K251="",NA(),MATCH(K251,Products!$B$5:$B$204,0)),IFERROR(MATCH(J251,Products!$A$5:$A$204,0),"")))</f>
        <v/>
      </c>
      <c r="U251">
        <f>IF(J251="","",IF(T251="","⚠ not in Products",INDEX(Products!$A$5:$A$204,T251)))</f>
        <v/>
      </c>
      <c r="V251" s="11">
        <f>IF(J251="","",S251*(IFERROR(INDEX(Settings!$B$5:$B$9,MATCH($B251,Settings!$A$5:$A$9,0)),0)+IFERROR(INDEX(Settings!$E$5:$E$9,MATCH($B251,Settings!$A$5:$A$9,0)),0)+IFERROR(INDEX(Settings!$G$5:$G$9,MATCH($B251,Settings!$A$5:$A$9,0)),0))+(IFERROR(INDEX(Settings!$C$5:$C$9,MATCH($B251,Settings!$A$5:$A$9,0)),0)+IFERROR(INDEX(Settings!$F$5:$F$9,MATCH($B251,Settings!$A$5:$A$9,0)),0))/P251+IFERROR(INDEX(Settings!$D$5:$D$9,MATCH($B251,Settings!$A$5:$A$9,0)),0)*M251)</f>
        <v/>
      </c>
      <c r="W251" s="11">
        <f>IF(J251="","",IF(T251="",0,M251*INDEX(Products!$I$5:$I$204,T251)))</f>
        <v/>
      </c>
      <c r="X251" s="11">
        <f>IF(J251="","",IF(T251="",0,S251*INDEX(Products!$H$5:$H$204,T251)))</f>
        <v/>
      </c>
      <c r="Y251" s="11">
        <f>IF(J251="","",S251-V251-W251-X251)</f>
        <v/>
      </c>
    </row>
    <row r="252">
      <c r="A252" s="19" t="n"/>
      <c r="B252" s="19" t="n"/>
      <c r="C252" s="19" t="n"/>
      <c r="D252" s="19" t="n"/>
      <c r="E252" s="19" t="n"/>
      <c r="F252" s="20" t="n"/>
      <c r="G252" s="20" t="n"/>
      <c r="H252" s="20" t="n"/>
      <c r="I252" s="19" t="n"/>
      <c r="J252">
        <f>IFERROR(IF(C252="","",C252)&amp;"","")</f>
        <v/>
      </c>
      <c r="K252">
        <f>IFERROR(IF(D252="","",D252)&amp;"","")</f>
        <v/>
      </c>
      <c r="L252">
        <f>IFERROR(IF(I252="","",I252)&amp;"","")</f>
        <v/>
      </c>
      <c r="M252">
        <f>IF(J252="","",IFERROR(VALUE(SUBSTITUTE(SUBSTITUTE(IF(E252="","",E252)&amp;"","$",""),",","")),0))</f>
        <v/>
      </c>
      <c r="N252" s="11">
        <f>IF(J252="","",IFERROR(VALUE(SUBSTITUTE(SUBSTITUTE(IF(F252="","",F252)&amp;"","$",""),",","")),0))</f>
        <v/>
      </c>
      <c r="O252" s="11">
        <f>IF(J252="","",M252*N252)</f>
        <v/>
      </c>
      <c r="P252">
        <f>IF(J252="","",IF(L252="",1,COUNTIF($L$2:$L$1501,L252)))</f>
        <v/>
      </c>
      <c r="Q252" s="11">
        <f>IF(J252="","",IFERROR(VALUE(SUBSTITUTE(SUBSTITUTE(IF(G252="","",G252)&amp;"","$",""),",","")),0)/IF("No"="Yes",P252,1))</f>
        <v/>
      </c>
      <c r="R252" s="11">
        <f>IF(J252="","",IFERROR(VALUE(SUBSTITUTE(SUBSTITUTE(IF(H252="","",H252)&amp;"","$",""),",","")),0)/IF("No"="Yes",P252,1))</f>
        <v/>
      </c>
      <c r="S252" s="11">
        <f>IF(J252="","",O252+Q252-R252)</f>
        <v/>
      </c>
      <c r="T252">
        <f>IF(J252="","",IFERROR(IF(K252="",NA(),MATCH(K252,Products!$B$5:$B$204,0)),IFERROR(MATCH(J252,Products!$A$5:$A$204,0),"")))</f>
        <v/>
      </c>
      <c r="U252">
        <f>IF(J252="","",IF(T252="","⚠ not in Products",INDEX(Products!$A$5:$A$204,T252)))</f>
        <v/>
      </c>
      <c r="V252" s="11">
        <f>IF(J252="","",S252*(IFERROR(INDEX(Settings!$B$5:$B$9,MATCH($B252,Settings!$A$5:$A$9,0)),0)+IFERROR(INDEX(Settings!$E$5:$E$9,MATCH($B252,Settings!$A$5:$A$9,0)),0)+IFERROR(INDEX(Settings!$G$5:$G$9,MATCH($B252,Settings!$A$5:$A$9,0)),0))+(IFERROR(INDEX(Settings!$C$5:$C$9,MATCH($B252,Settings!$A$5:$A$9,0)),0)+IFERROR(INDEX(Settings!$F$5:$F$9,MATCH($B252,Settings!$A$5:$A$9,0)),0))/P252+IFERROR(INDEX(Settings!$D$5:$D$9,MATCH($B252,Settings!$A$5:$A$9,0)),0)*M252)</f>
        <v/>
      </c>
      <c r="W252" s="11">
        <f>IF(J252="","",IF(T252="",0,M252*INDEX(Products!$I$5:$I$204,T252)))</f>
        <v/>
      </c>
      <c r="X252" s="11">
        <f>IF(J252="","",IF(T252="",0,S252*INDEX(Products!$H$5:$H$204,T252)))</f>
        <v/>
      </c>
      <c r="Y252" s="11">
        <f>IF(J252="","",S252-V252-W252-X252)</f>
        <v/>
      </c>
    </row>
    <row r="253">
      <c r="A253" s="19" t="n"/>
      <c r="B253" s="19" t="n"/>
      <c r="C253" s="19" t="n"/>
      <c r="D253" s="19" t="n"/>
      <c r="E253" s="19" t="n"/>
      <c r="F253" s="20" t="n"/>
      <c r="G253" s="20" t="n"/>
      <c r="H253" s="20" t="n"/>
      <c r="I253" s="19" t="n"/>
      <c r="J253">
        <f>IFERROR(IF(C253="","",C253)&amp;"","")</f>
        <v/>
      </c>
      <c r="K253">
        <f>IFERROR(IF(D253="","",D253)&amp;"","")</f>
        <v/>
      </c>
      <c r="L253">
        <f>IFERROR(IF(I253="","",I253)&amp;"","")</f>
        <v/>
      </c>
      <c r="M253">
        <f>IF(J253="","",IFERROR(VALUE(SUBSTITUTE(SUBSTITUTE(IF(E253="","",E253)&amp;"","$",""),",","")),0))</f>
        <v/>
      </c>
      <c r="N253" s="11">
        <f>IF(J253="","",IFERROR(VALUE(SUBSTITUTE(SUBSTITUTE(IF(F253="","",F253)&amp;"","$",""),",","")),0))</f>
        <v/>
      </c>
      <c r="O253" s="11">
        <f>IF(J253="","",M253*N253)</f>
        <v/>
      </c>
      <c r="P253">
        <f>IF(J253="","",IF(L253="",1,COUNTIF($L$2:$L$1501,L253)))</f>
        <v/>
      </c>
      <c r="Q253" s="11">
        <f>IF(J253="","",IFERROR(VALUE(SUBSTITUTE(SUBSTITUTE(IF(G253="","",G253)&amp;"","$",""),",","")),0)/IF("No"="Yes",P253,1))</f>
        <v/>
      </c>
      <c r="R253" s="11">
        <f>IF(J253="","",IFERROR(VALUE(SUBSTITUTE(SUBSTITUTE(IF(H253="","",H253)&amp;"","$",""),",","")),0)/IF("No"="Yes",P253,1))</f>
        <v/>
      </c>
      <c r="S253" s="11">
        <f>IF(J253="","",O253+Q253-R253)</f>
        <v/>
      </c>
      <c r="T253">
        <f>IF(J253="","",IFERROR(IF(K253="",NA(),MATCH(K253,Products!$B$5:$B$204,0)),IFERROR(MATCH(J253,Products!$A$5:$A$204,0),"")))</f>
        <v/>
      </c>
      <c r="U253">
        <f>IF(J253="","",IF(T253="","⚠ not in Products",INDEX(Products!$A$5:$A$204,T253)))</f>
        <v/>
      </c>
      <c r="V253" s="11">
        <f>IF(J253="","",S253*(IFERROR(INDEX(Settings!$B$5:$B$9,MATCH($B253,Settings!$A$5:$A$9,0)),0)+IFERROR(INDEX(Settings!$E$5:$E$9,MATCH($B253,Settings!$A$5:$A$9,0)),0)+IFERROR(INDEX(Settings!$G$5:$G$9,MATCH($B253,Settings!$A$5:$A$9,0)),0))+(IFERROR(INDEX(Settings!$C$5:$C$9,MATCH($B253,Settings!$A$5:$A$9,0)),0)+IFERROR(INDEX(Settings!$F$5:$F$9,MATCH($B253,Settings!$A$5:$A$9,0)),0))/P253+IFERROR(INDEX(Settings!$D$5:$D$9,MATCH($B253,Settings!$A$5:$A$9,0)),0)*M253)</f>
        <v/>
      </c>
      <c r="W253" s="11">
        <f>IF(J253="","",IF(T253="",0,M253*INDEX(Products!$I$5:$I$204,T253)))</f>
        <v/>
      </c>
      <c r="X253" s="11">
        <f>IF(J253="","",IF(T253="",0,S253*INDEX(Products!$H$5:$H$204,T253)))</f>
        <v/>
      </c>
      <c r="Y253" s="11">
        <f>IF(J253="","",S253-V253-W253-X253)</f>
        <v/>
      </c>
    </row>
    <row r="254">
      <c r="A254" s="19" t="n"/>
      <c r="B254" s="19" t="n"/>
      <c r="C254" s="19" t="n"/>
      <c r="D254" s="19" t="n"/>
      <c r="E254" s="19" t="n"/>
      <c r="F254" s="20" t="n"/>
      <c r="G254" s="20" t="n"/>
      <c r="H254" s="20" t="n"/>
      <c r="I254" s="19" t="n"/>
      <c r="J254">
        <f>IFERROR(IF(C254="","",C254)&amp;"","")</f>
        <v/>
      </c>
      <c r="K254">
        <f>IFERROR(IF(D254="","",D254)&amp;"","")</f>
        <v/>
      </c>
      <c r="L254">
        <f>IFERROR(IF(I254="","",I254)&amp;"","")</f>
        <v/>
      </c>
      <c r="M254">
        <f>IF(J254="","",IFERROR(VALUE(SUBSTITUTE(SUBSTITUTE(IF(E254="","",E254)&amp;"","$",""),",","")),0))</f>
        <v/>
      </c>
      <c r="N254" s="11">
        <f>IF(J254="","",IFERROR(VALUE(SUBSTITUTE(SUBSTITUTE(IF(F254="","",F254)&amp;"","$",""),",","")),0))</f>
        <v/>
      </c>
      <c r="O254" s="11">
        <f>IF(J254="","",M254*N254)</f>
        <v/>
      </c>
      <c r="P254">
        <f>IF(J254="","",IF(L254="",1,COUNTIF($L$2:$L$1501,L254)))</f>
        <v/>
      </c>
      <c r="Q254" s="11">
        <f>IF(J254="","",IFERROR(VALUE(SUBSTITUTE(SUBSTITUTE(IF(G254="","",G254)&amp;"","$",""),",","")),0)/IF("No"="Yes",P254,1))</f>
        <v/>
      </c>
      <c r="R254" s="11">
        <f>IF(J254="","",IFERROR(VALUE(SUBSTITUTE(SUBSTITUTE(IF(H254="","",H254)&amp;"","$",""),",","")),0)/IF("No"="Yes",P254,1))</f>
        <v/>
      </c>
      <c r="S254" s="11">
        <f>IF(J254="","",O254+Q254-R254)</f>
        <v/>
      </c>
      <c r="T254">
        <f>IF(J254="","",IFERROR(IF(K254="",NA(),MATCH(K254,Products!$B$5:$B$204,0)),IFERROR(MATCH(J254,Products!$A$5:$A$204,0),"")))</f>
        <v/>
      </c>
      <c r="U254">
        <f>IF(J254="","",IF(T254="","⚠ not in Products",INDEX(Products!$A$5:$A$204,T254)))</f>
        <v/>
      </c>
      <c r="V254" s="11">
        <f>IF(J254="","",S254*(IFERROR(INDEX(Settings!$B$5:$B$9,MATCH($B254,Settings!$A$5:$A$9,0)),0)+IFERROR(INDEX(Settings!$E$5:$E$9,MATCH($B254,Settings!$A$5:$A$9,0)),0)+IFERROR(INDEX(Settings!$G$5:$G$9,MATCH($B254,Settings!$A$5:$A$9,0)),0))+(IFERROR(INDEX(Settings!$C$5:$C$9,MATCH($B254,Settings!$A$5:$A$9,0)),0)+IFERROR(INDEX(Settings!$F$5:$F$9,MATCH($B254,Settings!$A$5:$A$9,0)),0))/P254+IFERROR(INDEX(Settings!$D$5:$D$9,MATCH($B254,Settings!$A$5:$A$9,0)),0)*M254)</f>
        <v/>
      </c>
      <c r="W254" s="11">
        <f>IF(J254="","",IF(T254="",0,M254*INDEX(Products!$I$5:$I$204,T254)))</f>
        <v/>
      </c>
      <c r="X254" s="11">
        <f>IF(J254="","",IF(T254="",0,S254*INDEX(Products!$H$5:$H$204,T254)))</f>
        <v/>
      </c>
      <c r="Y254" s="11">
        <f>IF(J254="","",S254-V254-W254-X254)</f>
        <v/>
      </c>
    </row>
    <row r="255">
      <c r="A255" s="19" t="n"/>
      <c r="B255" s="19" t="n"/>
      <c r="C255" s="19" t="n"/>
      <c r="D255" s="19" t="n"/>
      <c r="E255" s="19" t="n"/>
      <c r="F255" s="20" t="n"/>
      <c r="G255" s="20" t="n"/>
      <c r="H255" s="20" t="n"/>
      <c r="I255" s="19" t="n"/>
      <c r="J255">
        <f>IFERROR(IF(C255="","",C255)&amp;"","")</f>
        <v/>
      </c>
      <c r="K255">
        <f>IFERROR(IF(D255="","",D255)&amp;"","")</f>
        <v/>
      </c>
      <c r="L255">
        <f>IFERROR(IF(I255="","",I255)&amp;"","")</f>
        <v/>
      </c>
      <c r="M255">
        <f>IF(J255="","",IFERROR(VALUE(SUBSTITUTE(SUBSTITUTE(IF(E255="","",E255)&amp;"","$",""),",","")),0))</f>
        <v/>
      </c>
      <c r="N255" s="11">
        <f>IF(J255="","",IFERROR(VALUE(SUBSTITUTE(SUBSTITUTE(IF(F255="","",F255)&amp;"","$",""),",","")),0))</f>
        <v/>
      </c>
      <c r="O255" s="11">
        <f>IF(J255="","",M255*N255)</f>
        <v/>
      </c>
      <c r="P255">
        <f>IF(J255="","",IF(L255="",1,COUNTIF($L$2:$L$1501,L255)))</f>
        <v/>
      </c>
      <c r="Q255" s="11">
        <f>IF(J255="","",IFERROR(VALUE(SUBSTITUTE(SUBSTITUTE(IF(G255="","",G255)&amp;"","$",""),",","")),0)/IF("No"="Yes",P255,1))</f>
        <v/>
      </c>
      <c r="R255" s="11">
        <f>IF(J255="","",IFERROR(VALUE(SUBSTITUTE(SUBSTITUTE(IF(H255="","",H255)&amp;"","$",""),",","")),0)/IF("No"="Yes",P255,1))</f>
        <v/>
      </c>
      <c r="S255" s="11">
        <f>IF(J255="","",O255+Q255-R255)</f>
        <v/>
      </c>
      <c r="T255">
        <f>IF(J255="","",IFERROR(IF(K255="",NA(),MATCH(K255,Products!$B$5:$B$204,0)),IFERROR(MATCH(J255,Products!$A$5:$A$204,0),"")))</f>
        <v/>
      </c>
      <c r="U255">
        <f>IF(J255="","",IF(T255="","⚠ not in Products",INDEX(Products!$A$5:$A$204,T255)))</f>
        <v/>
      </c>
      <c r="V255" s="11">
        <f>IF(J255="","",S255*(IFERROR(INDEX(Settings!$B$5:$B$9,MATCH($B255,Settings!$A$5:$A$9,0)),0)+IFERROR(INDEX(Settings!$E$5:$E$9,MATCH($B255,Settings!$A$5:$A$9,0)),0)+IFERROR(INDEX(Settings!$G$5:$G$9,MATCH($B255,Settings!$A$5:$A$9,0)),0))+(IFERROR(INDEX(Settings!$C$5:$C$9,MATCH($B255,Settings!$A$5:$A$9,0)),0)+IFERROR(INDEX(Settings!$F$5:$F$9,MATCH($B255,Settings!$A$5:$A$9,0)),0))/P255+IFERROR(INDEX(Settings!$D$5:$D$9,MATCH($B255,Settings!$A$5:$A$9,0)),0)*M255)</f>
        <v/>
      </c>
      <c r="W255" s="11">
        <f>IF(J255="","",IF(T255="",0,M255*INDEX(Products!$I$5:$I$204,T255)))</f>
        <v/>
      </c>
      <c r="X255" s="11">
        <f>IF(J255="","",IF(T255="",0,S255*INDEX(Products!$H$5:$H$204,T255)))</f>
        <v/>
      </c>
      <c r="Y255" s="11">
        <f>IF(J255="","",S255-V255-W255-X255)</f>
        <v/>
      </c>
    </row>
    <row r="256">
      <c r="A256" s="19" t="n"/>
      <c r="B256" s="19" t="n"/>
      <c r="C256" s="19" t="n"/>
      <c r="D256" s="19" t="n"/>
      <c r="E256" s="19" t="n"/>
      <c r="F256" s="20" t="n"/>
      <c r="G256" s="20" t="n"/>
      <c r="H256" s="20" t="n"/>
      <c r="I256" s="19" t="n"/>
      <c r="J256">
        <f>IFERROR(IF(C256="","",C256)&amp;"","")</f>
        <v/>
      </c>
      <c r="K256">
        <f>IFERROR(IF(D256="","",D256)&amp;"","")</f>
        <v/>
      </c>
      <c r="L256">
        <f>IFERROR(IF(I256="","",I256)&amp;"","")</f>
        <v/>
      </c>
      <c r="M256">
        <f>IF(J256="","",IFERROR(VALUE(SUBSTITUTE(SUBSTITUTE(IF(E256="","",E256)&amp;"","$",""),",","")),0))</f>
        <v/>
      </c>
      <c r="N256" s="11">
        <f>IF(J256="","",IFERROR(VALUE(SUBSTITUTE(SUBSTITUTE(IF(F256="","",F256)&amp;"","$",""),",","")),0))</f>
        <v/>
      </c>
      <c r="O256" s="11">
        <f>IF(J256="","",M256*N256)</f>
        <v/>
      </c>
      <c r="P256">
        <f>IF(J256="","",IF(L256="",1,COUNTIF($L$2:$L$1501,L256)))</f>
        <v/>
      </c>
      <c r="Q256" s="11">
        <f>IF(J256="","",IFERROR(VALUE(SUBSTITUTE(SUBSTITUTE(IF(G256="","",G256)&amp;"","$",""),",","")),0)/IF("No"="Yes",P256,1))</f>
        <v/>
      </c>
      <c r="R256" s="11">
        <f>IF(J256="","",IFERROR(VALUE(SUBSTITUTE(SUBSTITUTE(IF(H256="","",H256)&amp;"","$",""),",","")),0)/IF("No"="Yes",P256,1))</f>
        <v/>
      </c>
      <c r="S256" s="11">
        <f>IF(J256="","",O256+Q256-R256)</f>
        <v/>
      </c>
      <c r="T256">
        <f>IF(J256="","",IFERROR(IF(K256="",NA(),MATCH(K256,Products!$B$5:$B$204,0)),IFERROR(MATCH(J256,Products!$A$5:$A$204,0),"")))</f>
        <v/>
      </c>
      <c r="U256">
        <f>IF(J256="","",IF(T256="","⚠ not in Products",INDEX(Products!$A$5:$A$204,T256)))</f>
        <v/>
      </c>
      <c r="V256" s="11">
        <f>IF(J256="","",S256*(IFERROR(INDEX(Settings!$B$5:$B$9,MATCH($B256,Settings!$A$5:$A$9,0)),0)+IFERROR(INDEX(Settings!$E$5:$E$9,MATCH($B256,Settings!$A$5:$A$9,0)),0)+IFERROR(INDEX(Settings!$G$5:$G$9,MATCH($B256,Settings!$A$5:$A$9,0)),0))+(IFERROR(INDEX(Settings!$C$5:$C$9,MATCH($B256,Settings!$A$5:$A$9,0)),0)+IFERROR(INDEX(Settings!$F$5:$F$9,MATCH($B256,Settings!$A$5:$A$9,0)),0))/P256+IFERROR(INDEX(Settings!$D$5:$D$9,MATCH($B256,Settings!$A$5:$A$9,0)),0)*M256)</f>
        <v/>
      </c>
      <c r="W256" s="11">
        <f>IF(J256="","",IF(T256="",0,M256*INDEX(Products!$I$5:$I$204,T256)))</f>
        <v/>
      </c>
      <c r="X256" s="11">
        <f>IF(J256="","",IF(T256="",0,S256*INDEX(Products!$H$5:$H$204,T256)))</f>
        <v/>
      </c>
      <c r="Y256" s="11">
        <f>IF(J256="","",S256-V256-W256-X256)</f>
        <v/>
      </c>
    </row>
    <row r="257">
      <c r="A257" s="19" t="n"/>
      <c r="B257" s="19" t="n"/>
      <c r="C257" s="19" t="n"/>
      <c r="D257" s="19" t="n"/>
      <c r="E257" s="19" t="n"/>
      <c r="F257" s="20" t="n"/>
      <c r="G257" s="20" t="n"/>
      <c r="H257" s="20" t="n"/>
      <c r="I257" s="19" t="n"/>
      <c r="J257">
        <f>IFERROR(IF(C257="","",C257)&amp;"","")</f>
        <v/>
      </c>
      <c r="K257">
        <f>IFERROR(IF(D257="","",D257)&amp;"","")</f>
        <v/>
      </c>
      <c r="L257">
        <f>IFERROR(IF(I257="","",I257)&amp;"","")</f>
        <v/>
      </c>
      <c r="M257">
        <f>IF(J257="","",IFERROR(VALUE(SUBSTITUTE(SUBSTITUTE(IF(E257="","",E257)&amp;"","$",""),",","")),0))</f>
        <v/>
      </c>
      <c r="N257" s="11">
        <f>IF(J257="","",IFERROR(VALUE(SUBSTITUTE(SUBSTITUTE(IF(F257="","",F257)&amp;"","$",""),",","")),0))</f>
        <v/>
      </c>
      <c r="O257" s="11">
        <f>IF(J257="","",M257*N257)</f>
        <v/>
      </c>
      <c r="P257">
        <f>IF(J257="","",IF(L257="",1,COUNTIF($L$2:$L$1501,L257)))</f>
        <v/>
      </c>
      <c r="Q257" s="11">
        <f>IF(J257="","",IFERROR(VALUE(SUBSTITUTE(SUBSTITUTE(IF(G257="","",G257)&amp;"","$",""),",","")),0)/IF("No"="Yes",P257,1))</f>
        <v/>
      </c>
      <c r="R257" s="11">
        <f>IF(J257="","",IFERROR(VALUE(SUBSTITUTE(SUBSTITUTE(IF(H257="","",H257)&amp;"","$",""),",","")),0)/IF("No"="Yes",P257,1))</f>
        <v/>
      </c>
      <c r="S257" s="11">
        <f>IF(J257="","",O257+Q257-R257)</f>
        <v/>
      </c>
      <c r="T257">
        <f>IF(J257="","",IFERROR(IF(K257="",NA(),MATCH(K257,Products!$B$5:$B$204,0)),IFERROR(MATCH(J257,Products!$A$5:$A$204,0),"")))</f>
        <v/>
      </c>
      <c r="U257">
        <f>IF(J257="","",IF(T257="","⚠ not in Products",INDEX(Products!$A$5:$A$204,T257)))</f>
        <v/>
      </c>
      <c r="V257" s="11">
        <f>IF(J257="","",S257*(IFERROR(INDEX(Settings!$B$5:$B$9,MATCH($B257,Settings!$A$5:$A$9,0)),0)+IFERROR(INDEX(Settings!$E$5:$E$9,MATCH($B257,Settings!$A$5:$A$9,0)),0)+IFERROR(INDEX(Settings!$G$5:$G$9,MATCH($B257,Settings!$A$5:$A$9,0)),0))+(IFERROR(INDEX(Settings!$C$5:$C$9,MATCH($B257,Settings!$A$5:$A$9,0)),0)+IFERROR(INDEX(Settings!$F$5:$F$9,MATCH($B257,Settings!$A$5:$A$9,0)),0))/P257+IFERROR(INDEX(Settings!$D$5:$D$9,MATCH($B257,Settings!$A$5:$A$9,0)),0)*M257)</f>
        <v/>
      </c>
      <c r="W257" s="11">
        <f>IF(J257="","",IF(T257="",0,M257*INDEX(Products!$I$5:$I$204,T257)))</f>
        <v/>
      </c>
      <c r="X257" s="11">
        <f>IF(J257="","",IF(T257="",0,S257*INDEX(Products!$H$5:$H$204,T257)))</f>
        <v/>
      </c>
      <c r="Y257" s="11">
        <f>IF(J257="","",S257-V257-W257-X257)</f>
        <v/>
      </c>
    </row>
    <row r="258">
      <c r="A258" s="19" t="n"/>
      <c r="B258" s="19" t="n"/>
      <c r="C258" s="19" t="n"/>
      <c r="D258" s="19" t="n"/>
      <c r="E258" s="19" t="n"/>
      <c r="F258" s="20" t="n"/>
      <c r="G258" s="20" t="n"/>
      <c r="H258" s="20" t="n"/>
      <c r="I258" s="19" t="n"/>
      <c r="J258">
        <f>IFERROR(IF(C258="","",C258)&amp;"","")</f>
        <v/>
      </c>
      <c r="K258">
        <f>IFERROR(IF(D258="","",D258)&amp;"","")</f>
        <v/>
      </c>
      <c r="L258">
        <f>IFERROR(IF(I258="","",I258)&amp;"","")</f>
        <v/>
      </c>
      <c r="M258">
        <f>IF(J258="","",IFERROR(VALUE(SUBSTITUTE(SUBSTITUTE(IF(E258="","",E258)&amp;"","$",""),",","")),0))</f>
        <v/>
      </c>
      <c r="N258" s="11">
        <f>IF(J258="","",IFERROR(VALUE(SUBSTITUTE(SUBSTITUTE(IF(F258="","",F258)&amp;"","$",""),",","")),0))</f>
        <v/>
      </c>
      <c r="O258" s="11">
        <f>IF(J258="","",M258*N258)</f>
        <v/>
      </c>
      <c r="P258">
        <f>IF(J258="","",IF(L258="",1,COUNTIF($L$2:$L$1501,L258)))</f>
        <v/>
      </c>
      <c r="Q258" s="11">
        <f>IF(J258="","",IFERROR(VALUE(SUBSTITUTE(SUBSTITUTE(IF(G258="","",G258)&amp;"","$",""),",","")),0)/IF("No"="Yes",P258,1))</f>
        <v/>
      </c>
      <c r="R258" s="11">
        <f>IF(J258="","",IFERROR(VALUE(SUBSTITUTE(SUBSTITUTE(IF(H258="","",H258)&amp;"","$",""),",","")),0)/IF("No"="Yes",P258,1))</f>
        <v/>
      </c>
      <c r="S258" s="11">
        <f>IF(J258="","",O258+Q258-R258)</f>
        <v/>
      </c>
      <c r="T258">
        <f>IF(J258="","",IFERROR(IF(K258="",NA(),MATCH(K258,Products!$B$5:$B$204,0)),IFERROR(MATCH(J258,Products!$A$5:$A$204,0),"")))</f>
        <v/>
      </c>
      <c r="U258">
        <f>IF(J258="","",IF(T258="","⚠ not in Products",INDEX(Products!$A$5:$A$204,T258)))</f>
        <v/>
      </c>
      <c r="V258" s="11">
        <f>IF(J258="","",S258*(IFERROR(INDEX(Settings!$B$5:$B$9,MATCH($B258,Settings!$A$5:$A$9,0)),0)+IFERROR(INDEX(Settings!$E$5:$E$9,MATCH($B258,Settings!$A$5:$A$9,0)),0)+IFERROR(INDEX(Settings!$G$5:$G$9,MATCH($B258,Settings!$A$5:$A$9,0)),0))+(IFERROR(INDEX(Settings!$C$5:$C$9,MATCH($B258,Settings!$A$5:$A$9,0)),0)+IFERROR(INDEX(Settings!$F$5:$F$9,MATCH($B258,Settings!$A$5:$A$9,0)),0))/P258+IFERROR(INDEX(Settings!$D$5:$D$9,MATCH($B258,Settings!$A$5:$A$9,0)),0)*M258)</f>
        <v/>
      </c>
      <c r="W258" s="11">
        <f>IF(J258="","",IF(T258="",0,M258*INDEX(Products!$I$5:$I$204,T258)))</f>
        <v/>
      </c>
      <c r="X258" s="11">
        <f>IF(J258="","",IF(T258="",0,S258*INDEX(Products!$H$5:$H$204,T258)))</f>
        <v/>
      </c>
      <c r="Y258" s="11">
        <f>IF(J258="","",S258-V258-W258-X258)</f>
        <v/>
      </c>
    </row>
    <row r="259">
      <c r="A259" s="19" t="n"/>
      <c r="B259" s="19" t="n"/>
      <c r="C259" s="19" t="n"/>
      <c r="D259" s="19" t="n"/>
      <c r="E259" s="19" t="n"/>
      <c r="F259" s="20" t="n"/>
      <c r="G259" s="20" t="n"/>
      <c r="H259" s="20" t="n"/>
      <c r="I259" s="19" t="n"/>
      <c r="J259">
        <f>IFERROR(IF(C259="","",C259)&amp;"","")</f>
        <v/>
      </c>
      <c r="K259">
        <f>IFERROR(IF(D259="","",D259)&amp;"","")</f>
        <v/>
      </c>
      <c r="L259">
        <f>IFERROR(IF(I259="","",I259)&amp;"","")</f>
        <v/>
      </c>
      <c r="M259">
        <f>IF(J259="","",IFERROR(VALUE(SUBSTITUTE(SUBSTITUTE(IF(E259="","",E259)&amp;"","$",""),",","")),0))</f>
        <v/>
      </c>
      <c r="N259" s="11">
        <f>IF(J259="","",IFERROR(VALUE(SUBSTITUTE(SUBSTITUTE(IF(F259="","",F259)&amp;"","$",""),",","")),0))</f>
        <v/>
      </c>
      <c r="O259" s="11">
        <f>IF(J259="","",M259*N259)</f>
        <v/>
      </c>
      <c r="P259">
        <f>IF(J259="","",IF(L259="",1,COUNTIF($L$2:$L$1501,L259)))</f>
        <v/>
      </c>
      <c r="Q259" s="11">
        <f>IF(J259="","",IFERROR(VALUE(SUBSTITUTE(SUBSTITUTE(IF(G259="","",G259)&amp;"","$",""),",","")),0)/IF("No"="Yes",P259,1))</f>
        <v/>
      </c>
      <c r="R259" s="11">
        <f>IF(J259="","",IFERROR(VALUE(SUBSTITUTE(SUBSTITUTE(IF(H259="","",H259)&amp;"","$",""),",","")),0)/IF("No"="Yes",P259,1))</f>
        <v/>
      </c>
      <c r="S259" s="11">
        <f>IF(J259="","",O259+Q259-R259)</f>
        <v/>
      </c>
      <c r="T259">
        <f>IF(J259="","",IFERROR(IF(K259="",NA(),MATCH(K259,Products!$B$5:$B$204,0)),IFERROR(MATCH(J259,Products!$A$5:$A$204,0),"")))</f>
        <v/>
      </c>
      <c r="U259">
        <f>IF(J259="","",IF(T259="","⚠ not in Products",INDEX(Products!$A$5:$A$204,T259)))</f>
        <v/>
      </c>
      <c r="V259" s="11">
        <f>IF(J259="","",S259*(IFERROR(INDEX(Settings!$B$5:$B$9,MATCH($B259,Settings!$A$5:$A$9,0)),0)+IFERROR(INDEX(Settings!$E$5:$E$9,MATCH($B259,Settings!$A$5:$A$9,0)),0)+IFERROR(INDEX(Settings!$G$5:$G$9,MATCH($B259,Settings!$A$5:$A$9,0)),0))+(IFERROR(INDEX(Settings!$C$5:$C$9,MATCH($B259,Settings!$A$5:$A$9,0)),0)+IFERROR(INDEX(Settings!$F$5:$F$9,MATCH($B259,Settings!$A$5:$A$9,0)),0))/P259+IFERROR(INDEX(Settings!$D$5:$D$9,MATCH($B259,Settings!$A$5:$A$9,0)),0)*M259)</f>
        <v/>
      </c>
      <c r="W259" s="11">
        <f>IF(J259="","",IF(T259="",0,M259*INDEX(Products!$I$5:$I$204,T259)))</f>
        <v/>
      </c>
      <c r="X259" s="11">
        <f>IF(J259="","",IF(T259="",0,S259*INDEX(Products!$H$5:$H$204,T259)))</f>
        <v/>
      </c>
      <c r="Y259" s="11">
        <f>IF(J259="","",S259-V259-W259-X259)</f>
        <v/>
      </c>
    </row>
    <row r="260">
      <c r="A260" s="19" t="n"/>
      <c r="B260" s="19" t="n"/>
      <c r="C260" s="19" t="n"/>
      <c r="D260" s="19" t="n"/>
      <c r="E260" s="19" t="n"/>
      <c r="F260" s="20" t="n"/>
      <c r="G260" s="20" t="n"/>
      <c r="H260" s="20" t="n"/>
      <c r="I260" s="19" t="n"/>
      <c r="J260">
        <f>IFERROR(IF(C260="","",C260)&amp;"","")</f>
        <v/>
      </c>
      <c r="K260">
        <f>IFERROR(IF(D260="","",D260)&amp;"","")</f>
        <v/>
      </c>
      <c r="L260">
        <f>IFERROR(IF(I260="","",I260)&amp;"","")</f>
        <v/>
      </c>
      <c r="M260">
        <f>IF(J260="","",IFERROR(VALUE(SUBSTITUTE(SUBSTITUTE(IF(E260="","",E260)&amp;"","$",""),",","")),0))</f>
        <v/>
      </c>
      <c r="N260" s="11">
        <f>IF(J260="","",IFERROR(VALUE(SUBSTITUTE(SUBSTITUTE(IF(F260="","",F260)&amp;"","$",""),",","")),0))</f>
        <v/>
      </c>
      <c r="O260" s="11">
        <f>IF(J260="","",M260*N260)</f>
        <v/>
      </c>
      <c r="P260">
        <f>IF(J260="","",IF(L260="",1,COUNTIF($L$2:$L$1501,L260)))</f>
        <v/>
      </c>
      <c r="Q260" s="11">
        <f>IF(J260="","",IFERROR(VALUE(SUBSTITUTE(SUBSTITUTE(IF(G260="","",G260)&amp;"","$",""),",","")),0)/IF("No"="Yes",P260,1))</f>
        <v/>
      </c>
      <c r="R260" s="11">
        <f>IF(J260="","",IFERROR(VALUE(SUBSTITUTE(SUBSTITUTE(IF(H260="","",H260)&amp;"","$",""),",","")),0)/IF("No"="Yes",P260,1))</f>
        <v/>
      </c>
      <c r="S260" s="11">
        <f>IF(J260="","",O260+Q260-R260)</f>
        <v/>
      </c>
      <c r="T260">
        <f>IF(J260="","",IFERROR(IF(K260="",NA(),MATCH(K260,Products!$B$5:$B$204,0)),IFERROR(MATCH(J260,Products!$A$5:$A$204,0),"")))</f>
        <v/>
      </c>
      <c r="U260">
        <f>IF(J260="","",IF(T260="","⚠ not in Products",INDEX(Products!$A$5:$A$204,T260)))</f>
        <v/>
      </c>
      <c r="V260" s="11">
        <f>IF(J260="","",S260*(IFERROR(INDEX(Settings!$B$5:$B$9,MATCH($B260,Settings!$A$5:$A$9,0)),0)+IFERROR(INDEX(Settings!$E$5:$E$9,MATCH($B260,Settings!$A$5:$A$9,0)),0)+IFERROR(INDEX(Settings!$G$5:$G$9,MATCH($B260,Settings!$A$5:$A$9,0)),0))+(IFERROR(INDEX(Settings!$C$5:$C$9,MATCH($B260,Settings!$A$5:$A$9,0)),0)+IFERROR(INDEX(Settings!$F$5:$F$9,MATCH($B260,Settings!$A$5:$A$9,0)),0))/P260+IFERROR(INDEX(Settings!$D$5:$D$9,MATCH($B260,Settings!$A$5:$A$9,0)),0)*M260)</f>
        <v/>
      </c>
      <c r="W260" s="11">
        <f>IF(J260="","",IF(T260="",0,M260*INDEX(Products!$I$5:$I$204,T260)))</f>
        <v/>
      </c>
      <c r="X260" s="11">
        <f>IF(J260="","",IF(T260="",0,S260*INDEX(Products!$H$5:$H$204,T260)))</f>
        <v/>
      </c>
      <c r="Y260" s="11">
        <f>IF(J260="","",S260-V260-W260-X260)</f>
        <v/>
      </c>
    </row>
    <row r="261">
      <c r="A261" s="19" t="n"/>
      <c r="B261" s="19" t="n"/>
      <c r="C261" s="19" t="n"/>
      <c r="D261" s="19" t="n"/>
      <c r="E261" s="19" t="n"/>
      <c r="F261" s="20" t="n"/>
      <c r="G261" s="20" t="n"/>
      <c r="H261" s="20" t="n"/>
      <c r="I261" s="19" t="n"/>
      <c r="J261">
        <f>IFERROR(IF(C261="","",C261)&amp;"","")</f>
        <v/>
      </c>
      <c r="K261">
        <f>IFERROR(IF(D261="","",D261)&amp;"","")</f>
        <v/>
      </c>
      <c r="L261">
        <f>IFERROR(IF(I261="","",I261)&amp;"","")</f>
        <v/>
      </c>
      <c r="M261">
        <f>IF(J261="","",IFERROR(VALUE(SUBSTITUTE(SUBSTITUTE(IF(E261="","",E261)&amp;"","$",""),",","")),0))</f>
        <v/>
      </c>
      <c r="N261" s="11">
        <f>IF(J261="","",IFERROR(VALUE(SUBSTITUTE(SUBSTITUTE(IF(F261="","",F261)&amp;"","$",""),",","")),0))</f>
        <v/>
      </c>
      <c r="O261" s="11">
        <f>IF(J261="","",M261*N261)</f>
        <v/>
      </c>
      <c r="P261">
        <f>IF(J261="","",IF(L261="",1,COUNTIF($L$2:$L$1501,L261)))</f>
        <v/>
      </c>
      <c r="Q261" s="11">
        <f>IF(J261="","",IFERROR(VALUE(SUBSTITUTE(SUBSTITUTE(IF(G261="","",G261)&amp;"","$",""),",","")),0)/IF("No"="Yes",P261,1))</f>
        <v/>
      </c>
      <c r="R261" s="11">
        <f>IF(J261="","",IFERROR(VALUE(SUBSTITUTE(SUBSTITUTE(IF(H261="","",H261)&amp;"","$",""),",","")),0)/IF("No"="Yes",P261,1))</f>
        <v/>
      </c>
      <c r="S261" s="11">
        <f>IF(J261="","",O261+Q261-R261)</f>
        <v/>
      </c>
      <c r="T261">
        <f>IF(J261="","",IFERROR(IF(K261="",NA(),MATCH(K261,Products!$B$5:$B$204,0)),IFERROR(MATCH(J261,Products!$A$5:$A$204,0),"")))</f>
        <v/>
      </c>
      <c r="U261">
        <f>IF(J261="","",IF(T261="","⚠ not in Products",INDEX(Products!$A$5:$A$204,T261)))</f>
        <v/>
      </c>
      <c r="V261" s="11">
        <f>IF(J261="","",S261*(IFERROR(INDEX(Settings!$B$5:$B$9,MATCH($B261,Settings!$A$5:$A$9,0)),0)+IFERROR(INDEX(Settings!$E$5:$E$9,MATCH($B261,Settings!$A$5:$A$9,0)),0)+IFERROR(INDEX(Settings!$G$5:$G$9,MATCH($B261,Settings!$A$5:$A$9,0)),0))+(IFERROR(INDEX(Settings!$C$5:$C$9,MATCH($B261,Settings!$A$5:$A$9,0)),0)+IFERROR(INDEX(Settings!$F$5:$F$9,MATCH($B261,Settings!$A$5:$A$9,0)),0))/P261+IFERROR(INDEX(Settings!$D$5:$D$9,MATCH($B261,Settings!$A$5:$A$9,0)),0)*M261)</f>
        <v/>
      </c>
      <c r="W261" s="11">
        <f>IF(J261="","",IF(T261="",0,M261*INDEX(Products!$I$5:$I$204,T261)))</f>
        <v/>
      </c>
      <c r="X261" s="11">
        <f>IF(J261="","",IF(T261="",0,S261*INDEX(Products!$H$5:$H$204,T261)))</f>
        <v/>
      </c>
      <c r="Y261" s="11">
        <f>IF(J261="","",S261-V261-W261-X261)</f>
        <v/>
      </c>
    </row>
    <row r="262">
      <c r="A262" s="19" t="n"/>
      <c r="B262" s="19" t="n"/>
      <c r="C262" s="19" t="n"/>
      <c r="D262" s="19" t="n"/>
      <c r="E262" s="19" t="n"/>
      <c r="F262" s="20" t="n"/>
      <c r="G262" s="20" t="n"/>
      <c r="H262" s="20" t="n"/>
      <c r="I262" s="19" t="n"/>
      <c r="J262">
        <f>IFERROR(IF(C262="","",C262)&amp;"","")</f>
        <v/>
      </c>
      <c r="K262">
        <f>IFERROR(IF(D262="","",D262)&amp;"","")</f>
        <v/>
      </c>
      <c r="L262">
        <f>IFERROR(IF(I262="","",I262)&amp;"","")</f>
        <v/>
      </c>
      <c r="M262">
        <f>IF(J262="","",IFERROR(VALUE(SUBSTITUTE(SUBSTITUTE(IF(E262="","",E262)&amp;"","$",""),",","")),0))</f>
        <v/>
      </c>
      <c r="N262" s="11">
        <f>IF(J262="","",IFERROR(VALUE(SUBSTITUTE(SUBSTITUTE(IF(F262="","",F262)&amp;"","$",""),",","")),0))</f>
        <v/>
      </c>
      <c r="O262" s="11">
        <f>IF(J262="","",M262*N262)</f>
        <v/>
      </c>
      <c r="P262">
        <f>IF(J262="","",IF(L262="",1,COUNTIF($L$2:$L$1501,L262)))</f>
        <v/>
      </c>
      <c r="Q262" s="11">
        <f>IF(J262="","",IFERROR(VALUE(SUBSTITUTE(SUBSTITUTE(IF(G262="","",G262)&amp;"","$",""),",","")),0)/IF("No"="Yes",P262,1))</f>
        <v/>
      </c>
      <c r="R262" s="11">
        <f>IF(J262="","",IFERROR(VALUE(SUBSTITUTE(SUBSTITUTE(IF(H262="","",H262)&amp;"","$",""),",","")),0)/IF("No"="Yes",P262,1))</f>
        <v/>
      </c>
      <c r="S262" s="11">
        <f>IF(J262="","",O262+Q262-R262)</f>
        <v/>
      </c>
      <c r="T262">
        <f>IF(J262="","",IFERROR(IF(K262="",NA(),MATCH(K262,Products!$B$5:$B$204,0)),IFERROR(MATCH(J262,Products!$A$5:$A$204,0),"")))</f>
        <v/>
      </c>
      <c r="U262">
        <f>IF(J262="","",IF(T262="","⚠ not in Products",INDEX(Products!$A$5:$A$204,T262)))</f>
        <v/>
      </c>
      <c r="V262" s="11">
        <f>IF(J262="","",S262*(IFERROR(INDEX(Settings!$B$5:$B$9,MATCH($B262,Settings!$A$5:$A$9,0)),0)+IFERROR(INDEX(Settings!$E$5:$E$9,MATCH($B262,Settings!$A$5:$A$9,0)),0)+IFERROR(INDEX(Settings!$G$5:$G$9,MATCH($B262,Settings!$A$5:$A$9,0)),0))+(IFERROR(INDEX(Settings!$C$5:$C$9,MATCH($B262,Settings!$A$5:$A$9,0)),0)+IFERROR(INDEX(Settings!$F$5:$F$9,MATCH($B262,Settings!$A$5:$A$9,0)),0))/P262+IFERROR(INDEX(Settings!$D$5:$D$9,MATCH($B262,Settings!$A$5:$A$9,0)),0)*M262)</f>
        <v/>
      </c>
      <c r="W262" s="11">
        <f>IF(J262="","",IF(T262="",0,M262*INDEX(Products!$I$5:$I$204,T262)))</f>
        <v/>
      </c>
      <c r="X262" s="11">
        <f>IF(J262="","",IF(T262="",0,S262*INDEX(Products!$H$5:$H$204,T262)))</f>
        <v/>
      </c>
      <c r="Y262" s="11">
        <f>IF(J262="","",S262-V262-W262-X262)</f>
        <v/>
      </c>
    </row>
    <row r="263">
      <c r="A263" s="19" t="n"/>
      <c r="B263" s="19" t="n"/>
      <c r="C263" s="19" t="n"/>
      <c r="D263" s="19" t="n"/>
      <c r="E263" s="19" t="n"/>
      <c r="F263" s="20" t="n"/>
      <c r="G263" s="20" t="n"/>
      <c r="H263" s="20" t="n"/>
      <c r="I263" s="19" t="n"/>
      <c r="J263">
        <f>IFERROR(IF(C263="","",C263)&amp;"","")</f>
        <v/>
      </c>
      <c r="K263">
        <f>IFERROR(IF(D263="","",D263)&amp;"","")</f>
        <v/>
      </c>
      <c r="L263">
        <f>IFERROR(IF(I263="","",I263)&amp;"","")</f>
        <v/>
      </c>
      <c r="M263">
        <f>IF(J263="","",IFERROR(VALUE(SUBSTITUTE(SUBSTITUTE(IF(E263="","",E263)&amp;"","$",""),",","")),0))</f>
        <v/>
      </c>
      <c r="N263" s="11">
        <f>IF(J263="","",IFERROR(VALUE(SUBSTITUTE(SUBSTITUTE(IF(F263="","",F263)&amp;"","$",""),",","")),0))</f>
        <v/>
      </c>
      <c r="O263" s="11">
        <f>IF(J263="","",M263*N263)</f>
        <v/>
      </c>
      <c r="P263">
        <f>IF(J263="","",IF(L263="",1,COUNTIF($L$2:$L$1501,L263)))</f>
        <v/>
      </c>
      <c r="Q263" s="11">
        <f>IF(J263="","",IFERROR(VALUE(SUBSTITUTE(SUBSTITUTE(IF(G263="","",G263)&amp;"","$",""),",","")),0)/IF("No"="Yes",P263,1))</f>
        <v/>
      </c>
      <c r="R263" s="11">
        <f>IF(J263="","",IFERROR(VALUE(SUBSTITUTE(SUBSTITUTE(IF(H263="","",H263)&amp;"","$",""),",","")),0)/IF("No"="Yes",P263,1))</f>
        <v/>
      </c>
      <c r="S263" s="11">
        <f>IF(J263="","",O263+Q263-R263)</f>
        <v/>
      </c>
      <c r="T263">
        <f>IF(J263="","",IFERROR(IF(K263="",NA(),MATCH(K263,Products!$B$5:$B$204,0)),IFERROR(MATCH(J263,Products!$A$5:$A$204,0),"")))</f>
        <v/>
      </c>
      <c r="U263">
        <f>IF(J263="","",IF(T263="","⚠ not in Products",INDEX(Products!$A$5:$A$204,T263)))</f>
        <v/>
      </c>
      <c r="V263" s="11">
        <f>IF(J263="","",S263*(IFERROR(INDEX(Settings!$B$5:$B$9,MATCH($B263,Settings!$A$5:$A$9,0)),0)+IFERROR(INDEX(Settings!$E$5:$E$9,MATCH($B263,Settings!$A$5:$A$9,0)),0)+IFERROR(INDEX(Settings!$G$5:$G$9,MATCH($B263,Settings!$A$5:$A$9,0)),0))+(IFERROR(INDEX(Settings!$C$5:$C$9,MATCH($B263,Settings!$A$5:$A$9,0)),0)+IFERROR(INDEX(Settings!$F$5:$F$9,MATCH($B263,Settings!$A$5:$A$9,0)),0))/P263+IFERROR(INDEX(Settings!$D$5:$D$9,MATCH($B263,Settings!$A$5:$A$9,0)),0)*M263)</f>
        <v/>
      </c>
      <c r="W263" s="11">
        <f>IF(J263="","",IF(T263="",0,M263*INDEX(Products!$I$5:$I$204,T263)))</f>
        <v/>
      </c>
      <c r="X263" s="11">
        <f>IF(J263="","",IF(T263="",0,S263*INDEX(Products!$H$5:$H$204,T263)))</f>
        <v/>
      </c>
      <c r="Y263" s="11">
        <f>IF(J263="","",S263-V263-W263-X263)</f>
        <v/>
      </c>
    </row>
    <row r="264">
      <c r="A264" s="19" t="n"/>
      <c r="B264" s="19" t="n"/>
      <c r="C264" s="19" t="n"/>
      <c r="D264" s="19" t="n"/>
      <c r="E264" s="19" t="n"/>
      <c r="F264" s="20" t="n"/>
      <c r="G264" s="20" t="n"/>
      <c r="H264" s="20" t="n"/>
      <c r="I264" s="19" t="n"/>
      <c r="J264">
        <f>IFERROR(IF(C264="","",C264)&amp;"","")</f>
        <v/>
      </c>
      <c r="K264">
        <f>IFERROR(IF(D264="","",D264)&amp;"","")</f>
        <v/>
      </c>
      <c r="L264">
        <f>IFERROR(IF(I264="","",I264)&amp;"","")</f>
        <v/>
      </c>
      <c r="M264">
        <f>IF(J264="","",IFERROR(VALUE(SUBSTITUTE(SUBSTITUTE(IF(E264="","",E264)&amp;"","$",""),",","")),0))</f>
        <v/>
      </c>
      <c r="N264" s="11">
        <f>IF(J264="","",IFERROR(VALUE(SUBSTITUTE(SUBSTITUTE(IF(F264="","",F264)&amp;"","$",""),",","")),0))</f>
        <v/>
      </c>
      <c r="O264" s="11">
        <f>IF(J264="","",M264*N264)</f>
        <v/>
      </c>
      <c r="P264">
        <f>IF(J264="","",IF(L264="",1,COUNTIF($L$2:$L$1501,L264)))</f>
        <v/>
      </c>
      <c r="Q264" s="11">
        <f>IF(J264="","",IFERROR(VALUE(SUBSTITUTE(SUBSTITUTE(IF(G264="","",G264)&amp;"","$",""),",","")),0)/IF("No"="Yes",P264,1))</f>
        <v/>
      </c>
      <c r="R264" s="11">
        <f>IF(J264="","",IFERROR(VALUE(SUBSTITUTE(SUBSTITUTE(IF(H264="","",H264)&amp;"","$",""),",","")),0)/IF("No"="Yes",P264,1))</f>
        <v/>
      </c>
      <c r="S264" s="11">
        <f>IF(J264="","",O264+Q264-R264)</f>
        <v/>
      </c>
      <c r="T264">
        <f>IF(J264="","",IFERROR(IF(K264="",NA(),MATCH(K264,Products!$B$5:$B$204,0)),IFERROR(MATCH(J264,Products!$A$5:$A$204,0),"")))</f>
        <v/>
      </c>
      <c r="U264">
        <f>IF(J264="","",IF(T264="","⚠ not in Products",INDEX(Products!$A$5:$A$204,T264)))</f>
        <v/>
      </c>
      <c r="V264" s="11">
        <f>IF(J264="","",S264*(IFERROR(INDEX(Settings!$B$5:$B$9,MATCH($B264,Settings!$A$5:$A$9,0)),0)+IFERROR(INDEX(Settings!$E$5:$E$9,MATCH($B264,Settings!$A$5:$A$9,0)),0)+IFERROR(INDEX(Settings!$G$5:$G$9,MATCH($B264,Settings!$A$5:$A$9,0)),0))+(IFERROR(INDEX(Settings!$C$5:$C$9,MATCH($B264,Settings!$A$5:$A$9,0)),0)+IFERROR(INDEX(Settings!$F$5:$F$9,MATCH($B264,Settings!$A$5:$A$9,0)),0))/P264+IFERROR(INDEX(Settings!$D$5:$D$9,MATCH($B264,Settings!$A$5:$A$9,0)),0)*M264)</f>
        <v/>
      </c>
      <c r="W264" s="11">
        <f>IF(J264="","",IF(T264="",0,M264*INDEX(Products!$I$5:$I$204,T264)))</f>
        <v/>
      </c>
      <c r="X264" s="11">
        <f>IF(J264="","",IF(T264="",0,S264*INDEX(Products!$H$5:$H$204,T264)))</f>
        <v/>
      </c>
      <c r="Y264" s="11">
        <f>IF(J264="","",S264-V264-W264-X264)</f>
        <v/>
      </c>
    </row>
    <row r="265">
      <c r="A265" s="19" t="n"/>
      <c r="B265" s="19" t="n"/>
      <c r="C265" s="19" t="n"/>
      <c r="D265" s="19" t="n"/>
      <c r="E265" s="19" t="n"/>
      <c r="F265" s="20" t="n"/>
      <c r="G265" s="20" t="n"/>
      <c r="H265" s="20" t="n"/>
      <c r="I265" s="19" t="n"/>
      <c r="J265">
        <f>IFERROR(IF(C265="","",C265)&amp;"","")</f>
        <v/>
      </c>
      <c r="K265">
        <f>IFERROR(IF(D265="","",D265)&amp;"","")</f>
        <v/>
      </c>
      <c r="L265">
        <f>IFERROR(IF(I265="","",I265)&amp;"","")</f>
        <v/>
      </c>
      <c r="M265">
        <f>IF(J265="","",IFERROR(VALUE(SUBSTITUTE(SUBSTITUTE(IF(E265="","",E265)&amp;"","$",""),",","")),0))</f>
        <v/>
      </c>
      <c r="N265" s="11">
        <f>IF(J265="","",IFERROR(VALUE(SUBSTITUTE(SUBSTITUTE(IF(F265="","",F265)&amp;"","$",""),",","")),0))</f>
        <v/>
      </c>
      <c r="O265" s="11">
        <f>IF(J265="","",M265*N265)</f>
        <v/>
      </c>
      <c r="P265">
        <f>IF(J265="","",IF(L265="",1,COUNTIF($L$2:$L$1501,L265)))</f>
        <v/>
      </c>
      <c r="Q265" s="11">
        <f>IF(J265="","",IFERROR(VALUE(SUBSTITUTE(SUBSTITUTE(IF(G265="","",G265)&amp;"","$",""),",","")),0)/IF("No"="Yes",P265,1))</f>
        <v/>
      </c>
      <c r="R265" s="11">
        <f>IF(J265="","",IFERROR(VALUE(SUBSTITUTE(SUBSTITUTE(IF(H265="","",H265)&amp;"","$",""),",","")),0)/IF("No"="Yes",P265,1))</f>
        <v/>
      </c>
      <c r="S265" s="11">
        <f>IF(J265="","",O265+Q265-R265)</f>
        <v/>
      </c>
      <c r="T265">
        <f>IF(J265="","",IFERROR(IF(K265="",NA(),MATCH(K265,Products!$B$5:$B$204,0)),IFERROR(MATCH(J265,Products!$A$5:$A$204,0),"")))</f>
        <v/>
      </c>
      <c r="U265">
        <f>IF(J265="","",IF(T265="","⚠ not in Products",INDEX(Products!$A$5:$A$204,T265)))</f>
        <v/>
      </c>
      <c r="V265" s="11">
        <f>IF(J265="","",S265*(IFERROR(INDEX(Settings!$B$5:$B$9,MATCH($B265,Settings!$A$5:$A$9,0)),0)+IFERROR(INDEX(Settings!$E$5:$E$9,MATCH($B265,Settings!$A$5:$A$9,0)),0)+IFERROR(INDEX(Settings!$G$5:$G$9,MATCH($B265,Settings!$A$5:$A$9,0)),0))+(IFERROR(INDEX(Settings!$C$5:$C$9,MATCH($B265,Settings!$A$5:$A$9,0)),0)+IFERROR(INDEX(Settings!$F$5:$F$9,MATCH($B265,Settings!$A$5:$A$9,0)),0))/P265+IFERROR(INDEX(Settings!$D$5:$D$9,MATCH($B265,Settings!$A$5:$A$9,0)),0)*M265)</f>
        <v/>
      </c>
      <c r="W265" s="11">
        <f>IF(J265="","",IF(T265="",0,M265*INDEX(Products!$I$5:$I$204,T265)))</f>
        <v/>
      </c>
      <c r="X265" s="11">
        <f>IF(J265="","",IF(T265="",0,S265*INDEX(Products!$H$5:$H$204,T265)))</f>
        <v/>
      </c>
      <c r="Y265" s="11">
        <f>IF(J265="","",S265-V265-W265-X265)</f>
        <v/>
      </c>
    </row>
    <row r="266">
      <c r="A266" s="19" t="n"/>
      <c r="B266" s="19" t="n"/>
      <c r="C266" s="19" t="n"/>
      <c r="D266" s="19" t="n"/>
      <c r="E266" s="19" t="n"/>
      <c r="F266" s="20" t="n"/>
      <c r="G266" s="20" t="n"/>
      <c r="H266" s="20" t="n"/>
      <c r="I266" s="19" t="n"/>
      <c r="J266">
        <f>IFERROR(IF(C266="","",C266)&amp;"","")</f>
        <v/>
      </c>
      <c r="K266">
        <f>IFERROR(IF(D266="","",D266)&amp;"","")</f>
        <v/>
      </c>
      <c r="L266">
        <f>IFERROR(IF(I266="","",I266)&amp;"","")</f>
        <v/>
      </c>
      <c r="M266">
        <f>IF(J266="","",IFERROR(VALUE(SUBSTITUTE(SUBSTITUTE(IF(E266="","",E266)&amp;"","$",""),",","")),0))</f>
        <v/>
      </c>
      <c r="N266" s="11">
        <f>IF(J266="","",IFERROR(VALUE(SUBSTITUTE(SUBSTITUTE(IF(F266="","",F266)&amp;"","$",""),",","")),0))</f>
        <v/>
      </c>
      <c r="O266" s="11">
        <f>IF(J266="","",M266*N266)</f>
        <v/>
      </c>
      <c r="P266">
        <f>IF(J266="","",IF(L266="",1,COUNTIF($L$2:$L$1501,L266)))</f>
        <v/>
      </c>
      <c r="Q266" s="11">
        <f>IF(J266="","",IFERROR(VALUE(SUBSTITUTE(SUBSTITUTE(IF(G266="","",G266)&amp;"","$",""),",","")),0)/IF("No"="Yes",P266,1))</f>
        <v/>
      </c>
      <c r="R266" s="11">
        <f>IF(J266="","",IFERROR(VALUE(SUBSTITUTE(SUBSTITUTE(IF(H266="","",H266)&amp;"","$",""),",","")),0)/IF("No"="Yes",P266,1))</f>
        <v/>
      </c>
      <c r="S266" s="11">
        <f>IF(J266="","",O266+Q266-R266)</f>
        <v/>
      </c>
      <c r="T266">
        <f>IF(J266="","",IFERROR(IF(K266="",NA(),MATCH(K266,Products!$B$5:$B$204,0)),IFERROR(MATCH(J266,Products!$A$5:$A$204,0),"")))</f>
        <v/>
      </c>
      <c r="U266">
        <f>IF(J266="","",IF(T266="","⚠ not in Products",INDEX(Products!$A$5:$A$204,T266)))</f>
        <v/>
      </c>
      <c r="V266" s="11">
        <f>IF(J266="","",S266*(IFERROR(INDEX(Settings!$B$5:$B$9,MATCH($B266,Settings!$A$5:$A$9,0)),0)+IFERROR(INDEX(Settings!$E$5:$E$9,MATCH($B266,Settings!$A$5:$A$9,0)),0)+IFERROR(INDEX(Settings!$G$5:$G$9,MATCH($B266,Settings!$A$5:$A$9,0)),0))+(IFERROR(INDEX(Settings!$C$5:$C$9,MATCH($B266,Settings!$A$5:$A$9,0)),0)+IFERROR(INDEX(Settings!$F$5:$F$9,MATCH($B266,Settings!$A$5:$A$9,0)),0))/P266+IFERROR(INDEX(Settings!$D$5:$D$9,MATCH($B266,Settings!$A$5:$A$9,0)),0)*M266)</f>
        <v/>
      </c>
      <c r="W266" s="11">
        <f>IF(J266="","",IF(T266="",0,M266*INDEX(Products!$I$5:$I$204,T266)))</f>
        <v/>
      </c>
      <c r="X266" s="11">
        <f>IF(J266="","",IF(T266="",0,S266*INDEX(Products!$H$5:$H$204,T266)))</f>
        <v/>
      </c>
      <c r="Y266" s="11">
        <f>IF(J266="","",S266-V266-W266-X266)</f>
        <v/>
      </c>
    </row>
    <row r="267">
      <c r="A267" s="19" t="n"/>
      <c r="B267" s="19" t="n"/>
      <c r="C267" s="19" t="n"/>
      <c r="D267" s="19" t="n"/>
      <c r="E267" s="19" t="n"/>
      <c r="F267" s="20" t="n"/>
      <c r="G267" s="20" t="n"/>
      <c r="H267" s="20" t="n"/>
      <c r="I267" s="19" t="n"/>
      <c r="J267">
        <f>IFERROR(IF(C267="","",C267)&amp;"","")</f>
        <v/>
      </c>
      <c r="K267">
        <f>IFERROR(IF(D267="","",D267)&amp;"","")</f>
        <v/>
      </c>
      <c r="L267">
        <f>IFERROR(IF(I267="","",I267)&amp;"","")</f>
        <v/>
      </c>
      <c r="M267">
        <f>IF(J267="","",IFERROR(VALUE(SUBSTITUTE(SUBSTITUTE(IF(E267="","",E267)&amp;"","$",""),",","")),0))</f>
        <v/>
      </c>
      <c r="N267" s="11">
        <f>IF(J267="","",IFERROR(VALUE(SUBSTITUTE(SUBSTITUTE(IF(F267="","",F267)&amp;"","$",""),",","")),0))</f>
        <v/>
      </c>
      <c r="O267" s="11">
        <f>IF(J267="","",M267*N267)</f>
        <v/>
      </c>
      <c r="P267">
        <f>IF(J267="","",IF(L267="",1,COUNTIF($L$2:$L$1501,L267)))</f>
        <v/>
      </c>
      <c r="Q267" s="11">
        <f>IF(J267="","",IFERROR(VALUE(SUBSTITUTE(SUBSTITUTE(IF(G267="","",G267)&amp;"","$",""),",","")),0)/IF("No"="Yes",P267,1))</f>
        <v/>
      </c>
      <c r="R267" s="11">
        <f>IF(J267="","",IFERROR(VALUE(SUBSTITUTE(SUBSTITUTE(IF(H267="","",H267)&amp;"","$",""),",","")),0)/IF("No"="Yes",P267,1))</f>
        <v/>
      </c>
      <c r="S267" s="11">
        <f>IF(J267="","",O267+Q267-R267)</f>
        <v/>
      </c>
      <c r="T267">
        <f>IF(J267="","",IFERROR(IF(K267="",NA(),MATCH(K267,Products!$B$5:$B$204,0)),IFERROR(MATCH(J267,Products!$A$5:$A$204,0),"")))</f>
        <v/>
      </c>
      <c r="U267">
        <f>IF(J267="","",IF(T267="","⚠ not in Products",INDEX(Products!$A$5:$A$204,T267)))</f>
        <v/>
      </c>
      <c r="V267" s="11">
        <f>IF(J267="","",S267*(IFERROR(INDEX(Settings!$B$5:$B$9,MATCH($B267,Settings!$A$5:$A$9,0)),0)+IFERROR(INDEX(Settings!$E$5:$E$9,MATCH($B267,Settings!$A$5:$A$9,0)),0)+IFERROR(INDEX(Settings!$G$5:$G$9,MATCH($B267,Settings!$A$5:$A$9,0)),0))+(IFERROR(INDEX(Settings!$C$5:$C$9,MATCH($B267,Settings!$A$5:$A$9,0)),0)+IFERROR(INDEX(Settings!$F$5:$F$9,MATCH($B267,Settings!$A$5:$A$9,0)),0))/P267+IFERROR(INDEX(Settings!$D$5:$D$9,MATCH($B267,Settings!$A$5:$A$9,0)),0)*M267)</f>
        <v/>
      </c>
      <c r="W267" s="11">
        <f>IF(J267="","",IF(T267="",0,M267*INDEX(Products!$I$5:$I$204,T267)))</f>
        <v/>
      </c>
      <c r="X267" s="11">
        <f>IF(J267="","",IF(T267="",0,S267*INDEX(Products!$H$5:$H$204,T267)))</f>
        <v/>
      </c>
      <c r="Y267" s="11">
        <f>IF(J267="","",S267-V267-W267-X267)</f>
        <v/>
      </c>
    </row>
    <row r="268">
      <c r="A268" s="19" t="n"/>
      <c r="B268" s="19" t="n"/>
      <c r="C268" s="19" t="n"/>
      <c r="D268" s="19" t="n"/>
      <c r="E268" s="19" t="n"/>
      <c r="F268" s="20" t="n"/>
      <c r="G268" s="20" t="n"/>
      <c r="H268" s="20" t="n"/>
      <c r="I268" s="19" t="n"/>
      <c r="J268">
        <f>IFERROR(IF(C268="","",C268)&amp;"","")</f>
        <v/>
      </c>
      <c r="K268">
        <f>IFERROR(IF(D268="","",D268)&amp;"","")</f>
        <v/>
      </c>
      <c r="L268">
        <f>IFERROR(IF(I268="","",I268)&amp;"","")</f>
        <v/>
      </c>
      <c r="M268">
        <f>IF(J268="","",IFERROR(VALUE(SUBSTITUTE(SUBSTITUTE(IF(E268="","",E268)&amp;"","$",""),",","")),0))</f>
        <v/>
      </c>
      <c r="N268" s="11">
        <f>IF(J268="","",IFERROR(VALUE(SUBSTITUTE(SUBSTITUTE(IF(F268="","",F268)&amp;"","$",""),",","")),0))</f>
        <v/>
      </c>
      <c r="O268" s="11">
        <f>IF(J268="","",M268*N268)</f>
        <v/>
      </c>
      <c r="P268">
        <f>IF(J268="","",IF(L268="",1,COUNTIF($L$2:$L$1501,L268)))</f>
        <v/>
      </c>
      <c r="Q268" s="11">
        <f>IF(J268="","",IFERROR(VALUE(SUBSTITUTE(SUBSTITUTE(IF(G268="","",G268)&amp;"","$",""),",","")),0)/IF("No"="Yes",P268,1))</f>
        <v/>
      </c>
      <c r="R268" s="11">
        <f>IF(J268="","",IFERROR(VALUE(SUBSTITUTE(SUBSTITUTE(IF(H268="","",H268)&amp;"","$",""),",","")),0)/IF("No"="Yes",P268,1))</f>
        <v/>
      </c>
      <c r="S268" s="11">
        <f>IF(J268="","",O268+Q268-R268)</f>
        <v/>
      </c>
      <c r="T268">
        <f>IF(J268="","",IFERROR(IF(K268="",NA(),MATCH(K268,Products!$B$5:$B$204,0)),IFERROR(MATCH(J268,Products!$A$5:$A$204,0),"")))</f>
        <v/>
      </c>
      <c r="U268">
        <f>IF(J268="","",IF(T268="","⚠ not in Products",INDEX(Products!$A$5:$A$204,T268)))</f>
        <v/>
      </c>
      <c r="V268" s="11">
        <f>IF(J268="","",S268*(IFERROR(INDEX(Settings!$B$5:$B$9,MATCH($B268,Settings!$A$5:$A$9,0)),0)+IFERROR(INDEX(Settings!$E$5:$E$9,MATCH($B268,Settings!$A$5:$A$9,0)),0)+IFERROR(INDEX(Settings!$G$5:$G$9,MATCH($B268,Settings!$A$5:$A$9,0)),0))+(IFERROR(INDEX(Settings!$C$5:$C$9,MATCH($B268,Settings!$A$5:$A$9,0)),0)+IFERROR(INDEX(Settings!$F$5:$F$9,MATCH($B268,Settings!$A$5:$A$9,0)),0))/P268+IFERROR(INDEX(Settings!$D$5:$D$9,MATCH($B268,Settings!$A$5:$A$9,0)),0)*M268)</f>
        <v/>
      </c>
      <c r="W268" s="11">
        <f>IF(J268="","",IF(T268="",0,M268*INDEX(Products!$I$5:$I$204,T268)))</f>
        <v/>
      </c>
      <c r="X268" s="11">
        <f>IF(J268="","",IF(T268="",0,S268*INDEX(Products!$H$5:$H$204,T268)))</f>
        <v/>
      </c>
      <c r="Y268" s="11">
        <f>IF(J268="","",S268-V268-W268-X268)</f>
        <v/>
      </c>
    </row>
    <row r="269">
      <c r="A269" s="19" t="n"/>
      <c r="B269" s="19" t="n"/>
      <c r="C269" s="19" t="n"/>
      <c r="D269" s="19" t="n"/>
      <c r="E269" s="19" t="n"/>
      <c r="F269" s="20" t="n"/>
      <c r="G269" s="20" t="n"/>
      <c r="H269" s="20" t="n"/>
      <c r="I269" s="19" t="n"/>
      <c r="J269">
        <f>IFERROR(IF(C269="","",C269)&amp;"","")</f>
        <v/>
      </c>
      <c r="K269">
        <f>IFERROR(IF(D269="","",D269)&amp;"","")</f>
        <v/>
      </c>
      <c r="L269">
        <f>IFERROR(IF(I269="","",I269)&amp;"","")</f>
        <v/>
      </c>
      <c r="M269">
        <f>IF(J269="","",IFERROR(VALUE(SUBSTITUTE(SUBSTITUTE(IF(E269="","",E269)&amp;"","$",""),",","")),0))</f>
        <v/>
      </c>
      <c r="N269" s="11">
        <f>IF(J269="","",IFERROR(VALUE(SUBSTITUTE(SUBSTITUTE(IF(F269="","",F269)&amp;"","$",""),",","")),0))</f>
        <v/>
      </c>
      <c r="O269" s="11">
        <f>IF(J269="","",M269*N269)</f>
        <v/>
      </c>
      <c r="P269">
        <f>IF(J269="","",IF(L269="",1,COUNTIF($L$2:$L$1501,L269)))</f>
        <v/>
      </c>
      <c r="Q269" s="11">
        <f>IF(J269="","",IFERROR(VALUE(SUBSTITUTE(SUBSTITUTE(IF(G269="","",G269)&amp;"","$",""),",","")),0)/IF("No"="Yes",P269,1))</f>
        <v/>
      </c>
      <c r="R269" s="11">
        <f>IF(J269="","",IFERROR(VALUE(SUBSTITUTE(SUBSTITUTE(IF(H269="","",H269)&amp;"","$",""),",","")),0)/IF("No"="Yes",P269,1))</f>
        <v/>
      </c>
      <c r="S269" s="11">
        <f>IF(J269="","",O269+Q269-R269)</f>
        <v/>
      </c>
      <c r="T269">
        <f>IF(J269="","",IFERROR(IF(K269="",NA(),MATCH(K269,Products!$B$5:$B$204,0)),IFERROR(MATCH(J269,Products!$A$5:$A$204,0),"")))</f>
        <v/>
      </c>
      <c r="U269">
        <f>IF(J269="","",IF(T269="","⚠ not in Products",INDEX(Products!$A$5:$A$204,T269)))</f>
        <v/>
      </c>
      <c r="V269" s="11">
        <f>IF(J269="","",S269*(IFERROR(INDEX(Settings!$B$5:$B$9,MATCH($B269,Settings!$A$5:$A$9,0)),0)+IFERROR(INDEX(Settings!$E$5:$E$9,MATCH($B269,Settings!$A$5:$A$9,0)),0)+IFERROR(INDEX(Settings!$G$5:$G$9,MATCH($B269,Settings!$A$5:$A$9,0)),0))+(IFERROR(INDEX(Settings!$C$5:$C$9,MATCH($B269,Settings!$A$5:$A$9,0)),0)+IFERROR(INDEX(Settings!$F$5:$F$9,MATCH($B269,Settings!$A$5:$A$9,0)),0))/P269+IFERROR(INDEX(Settings!$D$5:$D$9,MATCH($B269,Settings!$A$5:$A$9,0)),0)*M269)</f>
        <v/>
      </c>
      <c r="W269" s="11">
        <f>IF(J269="","",IF(T269="",0,M269*INDEX(Products!$I$5:$I$204,T269)))</f>
        <v/>
      </c>
      <c r="X269" s="11">
        <f>IF(J269="","",IF(T269="",0,S269*INDEX(Products!$H$5:$H$204,T269)))</f>
        <v/>
      </c>
      <c r="Y269" s="11">
        <f>IF(J269="","",S269-V269-W269-X269)</f>
        <v/>
      </c>
    </row>
    <row r="270">
      <c r="A270" s="19" t="n"/>
      <c r="B270" s="19" t="n"/>
      <c r="C270" s="19" t="n"/>
      <c r="D270" s="19" t="n"/>
      <c r="E270" s="19" t="n"/>
      <c r="F270" s="20" t="n"/>
      <c r="G270" s="20" t="n"/>
      <c r="H270" s="20" t="n"/>
      <c r="I270" s="19" t="n"/>
      <c r="J270">
        <f>IFERROR(IF(C270="","",C270)&amp;"","")</f>
        <v/>
      </c>
      <c r="K270">
        <f>IFERROR(IF(D270="","",D270)&amp;"","")</f>
        <v/>
      </c>
      <c r="L270">
        <f>IFERROR(IF(I270="","",I270)&amp;"","")</f>
        <v/>
      </c>
      <c r="M270">
        <f>IF(J270="","",IFERROR(VALUE(SUBSTITUTE(SUBSTITUTE(IF(E270="","",E270)&amp;"","$",""),",","")),0))</f>
        <v/>
      </c>
      <c r="N270" s="11">
        <f>IF(J270="","",IFERROR(VALUE(SUBSTITUTE(SUBSTITUTE(IF(F270="","",F270)&amp;"","$",""),",","")),0))</f>
        <v/>
      </c>
      <c r="O270" s="11">
        <f>IF(J270="","",M270*N270)</f>
        <v/>
      </c>
      <c r="P270">
        <f>IF(J270="","",IF(L270="",1,COUNTIF($L$2:$L$1501,L270)))</f>
        <v/>
      </c>
      <c r="Q270" s="11">
        <f>IF(J270="","",IFERROR(VALUE(SUBSTITUTE(SUBSTITUTE(IF(G270="","",G270)&amp;"","$",""),",","")),0)/IF("No"="Yes",P270,1))</f>
        <v/>
      </c>
      <c r="R270" s="11">
        <f>IF(J270="","",IFERROR(VALUE(SUBSTITUTE(SUBSTITUTE(IF(H270="","",H270)&amp;"","$",""),",","")),0)/IF("No"="Yes",P270,1))</f>
        <v/>
      </c>
      <c r="S270" s="11">
        <f>IF(J270="","",O270+Q270-R270)</f>
        <v/>
      </c>
      <c r="T270">
        <f>IF(J270="","",IFERROR(IF(K270="",NA(),MATCH(K270,Products!$B$5:$B$204,0)),IFERROR(MATCH(J270,Products!$A$5:$A$204,0),"")))</f>
        <v/>
      </c>
      <c r="U270">
        <f>IF(J270="","",IF(T270="","⚠ not in Products",INDEX(Products!$A$5:$A$204,T270)))</f>
        <v/>
      </c>
      <c r="V270" s="11">
        <f>IF(J270="","",S270*(IFERROR(INDEX(Settings!$B$5:$B$9,MATCH($B270,Settings!$A$5:$A$9,0)),0)+IFERROR(INDEX(Settings!$E$5:$E$9,MATCH($B270,Settings!$A$5:$A$9,0)),0)+IFERROR(INDEX(Settings!$G$5:$G$9,MATCH($B270,Settings!$A$5:$A$9,0)),0))+(IFERROR(INDEX(Settings!$C$5:$C$9,MATCH($B270,Settings!$A$5:$A$9,0)),0)+IFERROR(INDEX(Settings!$F$5:$F$9,MATCH($B270,Settings!$A$5:$A$9,0)),0))/P270+IFERROR(INDEX(Settings!$D$5:$D$9,MATCH($B270,Settings!$A$5:$A$9,0)),0)*M270)</f>
        <v/>
      </c>
      <c r="W270" s="11">
        <f>IF(J270="","",IF(T270="",0,M270*INDEX(Products!$I$5:$I$204,T270)))</f>
        <v/>
      </c>
      <c r="X270" s="11">
        <f>IF(J270="","",IF(T270="",0,S270*INDEX(Products!$H$5:$H$204,T270)))</f>
        <v/>
      </c>
      <c r="Y270" s="11">
        <f>IF(J270="","",S270-V270-W270-X270)</f>
        <v/>
      </c>
    </row>
    <row r="271">
      <c r="A271" s="19" t="n"/>
      <c r="B271" s="19" t="n"/>
      <c r="C271" s="19" t="n"/>
      <c r="D271" s="19" t="n"/>
      <c r="E271" s="19" t="n"/>
      <c r="F271" s="20" t="n"/>
      <c r="G271" s="20" t="n"/>
      <c r="H271" s="20" t="n"/>
      <c r="I271" s="19" t="n"/>
      <c r="J271">
        <f>IFERROR(IF(C271="","",C271)&amp;"","")</f>
        <v/>
      </c>
      <c r="K271">
        <f>IFERROR(IF(D271="","",D271)&amp;"","")</f>
        <v/>
      </c>
      <c r="L271">
        <f>IFERROR(IF(I271="","",I271)&amp;"","")</f>
        <v/>
      </c>
      <c r="M271">
        <f>IF(J271="","",IFERROR(VALUE(SUBSTITUTE(SUBSTITUTE(IF(E271="","",E271)&amp;"","$",""),",","")),0))</f>
        <v/>
      </c>
      <c r="N271" s="11">
        <f>IF(J271="","",IFERROR(VALUE(SUBSTITUTE(SUBSTITUTE(IF(F271="","",F271)&amp;"","$",""),",","")),0))</f>
        <v/>
      </c>
      <c r="O271" s="11">
        <f>IF(J271="","",M271*N271)</f>
        <v/>
      </c>
      <c r="P271">
        <f>IF(J271="","",IF(L271="",1,COUNTIF($L$2:$L$1501,L271)))</f>
        <v/>
      </c>
      <c r="Q271" s="11">
        <f>IF(J271="","",IFERROR(VALUE(SUBSTITUTE(SUBSTITUTE(IF(G271="","",G271)&amp;"","$",""),",","")),0)/IF("No"="Yes",P271,1))</f>
        <v/>
      </c>
      <c r="R271" s="11">
        <f>IF(J271="","",IFERROR(VALUE(SUBSTITUTE(SUBSTITUTE(IF(H271="","",H271)&amp;"","$",""),",","")),0)/IF("No"="Yes",P271,1))</f>
        <v/>
      </c>
      <c r="S271" s="11">
        <f>IF(J271="","",O271+Q271-R271)</f>
        <v/>
      </c>
      <c r="T271">
        <f>IF(J271="","",IFERROR(IF(K271="",NA(),MATCH(K271,Products!$B$5:$B$204,0)),IFERROR(MATCH(J271,Products!$A$5:$A$204,0),"")))</f>
        <v/>
      </c>
      <c r="U271">
        <f>IF(J271="","",IF(T271="","⚠ not in Products",INDEX(Products!$A$5:$A$204,T271)))</f>
        <v/>
      </c>
      <c r="V271" s="11">
        <f>IF(J271="","",S271*(IFERROR(INDEX(Settings!$B$5:$B$9,MATCH($B271,Settings!$A$5:$A$9,0)),0)+IFERROR(INDEX(Settings!$E$5:$E$9,MATCH($B271,Settings!$A$5:$A$9,0)),0)+IFERROR(INDEX(Settings!$G$5:$G$9,MATCH($B271,Settings!$A$5:$A$9,0)),0))+(IFERROR(INDEX(Settings!$C$5:$C$9,MATCH($B271,Settings!$A$5:$A$9,0)),0)+IFERROR(INDEX(Settings!$F$5:$F$9,MATCH($B271,Settings!$A$5:$A$9,0)),0))/P271+IFERROR(INDEX(Settings!$D$5:$D$9,MATCH($B271,Settings!$A$5:$A$9,0)),0)*M271)</f>
        <v/>
      </c>
      <c r="W271" s="11">
        <f>IF(J271="","",IF(T271="",0,M271*INDEX(Products!$I$5:$I$204,T271)))</f>
        <v/>
      </c>
      <c r="X271" s="11">
        <f>IF(J271="","",IF(T271="",0,S271*INDEX(Products!$H$5:$H$204,T271)))</f>
        <v/>
      </c>
      <c r="Y271" s="11">
        <f>IF(J271="","",S271-V271-W271-X271)</f>
        <v/>
      </c>
    </row>
    <row r="272">
      <c r="A272" s="19" t="n"/>
      <c r="B272" s="19" t="n"/>
      <c r="C272" s="19" t="n"/>
      <c r="D272" s="19" t="n"/>
      <c r="E272" s="19" t="n"/>
      <c r="F272" s="20" t="n"/>
      <c r="G272" s="20" t="n"/>
      <c r="H272" s="20" t="n"/>
      <c r="I272" s="19" t="n"/>
      <c r="J272">
        <f>IFERROR(IF(C272="","",C272)&amp;"","")</f>
        <v/>
      </c>
      <c r="K272">
        <f>IFERROR(IF(D272="","",D272)&amp;"","")</f>
        <v/>
      </c>
      <c r="L272">
        <f>IFERROR(IF(I272="","",I272)&amp;"","")</f>
        <v/>
      </c>
      <c r="M272">
        <f>IF(J272="","",IFERROR(VALUE(SUBSTITUTE(SUBSTITUTE(IF(E272="","",E272)&amp;"","$",""),",","")),0))</f>
        <v/>
      </c>
      <c r="N272" s="11">
        <f>IF(J272="","",IFERROR(VALUE(SUBSTITUTE(SUBSTITUTE(IF(F272="","",F272)&amp;"","$",""),",","")),0))</f>
        <v/>
      </c>
      <c r="O272" s="11">
        <f>IF(J272="","",M272*N272)</f>
        <v/>
      </c>
      <c r="P272">
        <f>IF(J272="","",IF(L272="",1,COUNTIF($L$2:$L$1501,L272)))</f>
        <v/>
      </c>
      <c r="Q272" s="11">
        <f>IF(J272="","",IFERROR(VALUE(SUBSTITUTE(SUBSTITUTE(IF(G272="","",G272)&amp;"","$",""),",","")),0)/IF("No"="Yes",P272,1))</f>
        <v/>
      </c>
      <c r="R272" s="11">
        <f>IF(J272="","",IFERROR(VALUE(SUBSTITUTE(SUBSTITUTE(IF(H272="","",H272)&amp;"","$",""),",","")),0)/IF("No"="Yes",P272,1))</f>
        <v/>
      </c>
      <c r="S272" s="11">
        <f>IF(J272="","",O272+Q272-R272)</f>
        <v/>
      </c>
      <c r="T272">
        <f>IF(J272="","",IFERROR(IF(K272="",NA(),MATCH(K272,Products!$B$5:$B$204,0)),IFERROR(MATCH(J272,Products!$A$5:$A$204,0),"")))</f>
        <v/>
      </c>
      <c r="U272">
        <f>IF(J272="","",IF(T272="","⚠ not in Products",INDEX(Products!$A$5:$A$204,T272)))</f>
        <v/>
      </c>
      <c r="V272" s="11">
        <f>IF(J272="","",S272*(IFERROR(INDEX(Settings!$B$5:$B$9,MATCH($B272,Settings!$A$5:$A$9,0)),0)+IFERROR(INDEX(Settings!$E$5:$E$9,MATCH($B272,Settings!$A$5:$A$9,0)),0)+IFERROR(INDEX(Settings!$G$5:$G$9,MATCH($B272,Settings!$A$5:$A$9,0)),0))+(IFERROR(INDEX(Settings!$C$5:$C$9,MATCH($B272,Settings!$A$5:$A$9,0)),0)+IFERROR(INDEX(Settings!$F$5:$F$9,MATCH($B272,Settings!$A$5:$A$9,0)),0))/P272+IFERROR(INDEX(Settings!$D$5:$D$9,MATCH($B272,Settings!$A$5:$A$9,0)),0)*M272)</f>
        <v/>
      </c>
      <c r="W272" s="11">
        <f>IF(J272="","",IF(T272="",0,M272*INDEX(Products!$I$5:$I$204,T272)))</f>
        <v/>
      </c>
      <c r="X272" s="11">
        <f>IF(J272="","",IF(T272="",0,S272*INDEX(Products!$H$5:$H$204,T272)))</f>
        <v/>
      </c>
      <c r="Y272" s="11">
        <f>IF(J272="","",S272-V272-W272-X272)</f>
        <v/>
      </c>
    </row>
    <row r="273">
      <c r="A273" s="19" t="n"/>
      <c r="B273" s="19" t="n"/>
      <c r="C273" s="19" t="n"/>
      <c r="D273" s="19" t="n"/>
      <c r="E273" s="19" t="n"/>
      <c r="F273" s="20" t="n"/>
      <c r="G273" s="20" t="n"/>
      <c r="H273" s="20" t="n"/>
      <c r="I273" s="19" t="n"/>
      <c r="J273">
        <f>IFERROR(IF(C273="","",C273)&amp;"","")</f>
        <v/>
      </c>
      <c r="K273">
        <f>IFERROR(IF(D273="","",D273)&amp;"","")</f>
        <v/>
      </c>
      <c r="L273">
        <f>IFERROR(IF(I273="","",I273)&amp;"","")</f>
        <v/>
      </c>
      <c r="M273">
        <f>IF(J273="","",IFERROR(VALUE(SUBSTITUTE(SUBSTITUTE(IF(E273="","",E273)&amp;"","$",""),",","")),0))</f>
        <v/>
      </c>
      <c r="N273" s="11">
        <f>IF(J273="","",IFERROR(VALUE(SUBSTITUTE(SUBSTITUTE(IF(F273="","",F273)&amp;"","$",""),",","")),0))</f>
        <v/>
      </c>
      <c r="O273" s="11">
        <f>IF(J273="","",M273*N273)</f>
        <v/>
      </c>
      <c r="P273">
        <f>IF(J273="","",IF(L273="",1,COUNTIF($L$2:$L$1501,L273)))</f>
        <v/>
      </c>
      <c r="Q273" s="11">
        <f>IF(J273="","",IFERROR(VALUE(SUBSTITUTE(SUBSTITUTE(IF(G273="","",G273)&amp;"","$",""),",","")),0)/IF("No"="Yes",P273,1))</f>
        <v/>
      </c>
      <c r="R273" s="11">
        <f>IF(J273="","",IFERROR(VALUE(SUBSTITUTE(SUBSTITUTE(IF(H273="","",H273)&amp;"","$",""),",","")),0)/IF("No"="Yes",P273,1))</f>
        <v/>
      </c>
      <c r="S273" s="11">
        <f>IF(J273="","",O273+Q273-R273)</f>
        <v/>
      </c>
      <c r="T273">
        <f>IF(J273="","",IFERROR(IF(K273="",NA(),MATCH(K273,Products!$B$5:$B$204,0)),IFERROR(MATCH(J273,Products!$A$5:$A$204,0),"")))</f>
        <v/>
      </c>
      <c r="U273">
        <f>IF(J273="","",IF(T273="","⚠ not in Products",INDEX(Products!$A$5:$A$204,T273)))</f>
        <v/>
      </c>
      <c r="V273" s="11">
        <f>IF(J273="","",S273*(IFERROR(INDEX(Settings!$B$5:$B$9,MATCH($B273,Settings!$A$5:$A$9,0)),0)+IFERROR(INDEX(Settings!$E$5:$E$9,MATCH($B273,Settings!$A$5:$A$9,0)),0)+IFERROR(INDEX(Settings!$G$5:$G$9,MATCH($B273,Settings!$A$5:$A$9,0)),0))+(IFERROR(INDEX(Settings!$C$5:$C$9,MATCH($B273,Settings!$A$5:$A$9,0)),0)+IFERROR(INDEX(Settings!$F$5:$F$9,MATCH($B273,Settings!$A$5:$A$9,0)),0))/P273+IFERROR(INDEX(Settings!$D$5:$D$9,MATCH($B273,Settings!$A$5:$A$9,0)),0)*M273)</f>
        <v/>
      </c>
      <c r="W273" s="11">
        <f>IF(J273="","",IF(T273="",0,M273*INDEX(Products!$I$5:$I$204,T273)))</f>
        <v/>
      </c>
      <c r="X273" s="11">
        <f>IF(J273="","",IF(T273="",0,S273*INDEX(Products!$H$5:$H$204,T273)))</f>
        <v/>
      </c>
      <c r="Y273" s="11">
        <f>IF(J273="","",S273-V273-W273-X273)</f>
        <v/>
      </c>
    </row>
    <row r="274">
      <c r="A274" s="19" t="n"/>
      <c r="B274" s="19" t="n"/>
      <c r="C274" s="19" t="n"/>
      <c r="D274" s="19" t="n"/>
      <c r="E274" s="19" t="n"/>
      <c r="F274" s="20" t="n"/>
      <c r="G274" s="20" t="n"/>
      <c r="H274" s="20" t="n"/>
      <c r="I274" s="19" t="n"/>
      <c r="J274">
        <f>IFERROR(IF(C274="","",C274)&amp;"","")</f>
        <v/>
      </c>
      <c r="K274">
        <f>IFERROR(IF(D274="","",D274)&amp;"","")</f>
        <v/>
      </c>
      <c r="L274">
        <f>IFERROR(IF(I274="","",I274)&amp;"","")</f>
        <v/>
      </c>
      <c r="M274">
        <f>IF(J274="","",IFERROR(VALUE(SUBSTITUTE(SUBSTITUTE(IF(E274="","",E274)&amp;"","$",""),",","")),0))</f>
        <v/>
      </c>
      <c r="N274" s="11">
        <f>IF(J274="","",IFERROR(VALUE(SUBSTITUTE(SUBSTITUTE(IF(F274="","",F274)&amp;"","$",""),",","")),0))</f>
        <v/>
      </c>
      <c r="O274" s="11">
        <f>IF(J274="","",M274*N274)</f>
        <v/>
      </c>
      <c r="P274">
        <f>IF(J274="","",IF(L274="",1,COUNTIF($L$2:$L$1501,L274)))</f>
        <v/>
      </c>
      <c r="Q274" s="11">
        <f>IF(J274="","",IFERROR(VALUE(SUBSTITUTE(SUBSTITUTE(IF(G274="","",G274)&amp;"","$",""),",","")),0)/IF("No"="Yes",P274,1))</f>
        <v/>
      </c>
      <c r="R274" s="11">
        <f>IF(J274="","",IFERROR(VALUE(SUBSTITUTE(SUBSTITUTE(IF(H274="","",H274)&amp;"","$",""),",","")),0)/IF("No"="Yes",P274,1))</f>
        <v/>
      </c>
      <c r="S274" s="11">
        <f>IF(J274="","",O274+Q274-R274)</f>
        <v/>
      </c>
      <c r="T274">
        <f>IF(J274="","",IFERROR(IF(K274="",NA(),MATCH(K274,Products!$B$5:$B$204,0)),IFERROR(MATCH(J274,Products!$A$5:$A$204,0),"")))</f>
        <v/>
      </c>
      <c r="U274">
        <f>IF(J274="","",IF(T274="","⚠ not in Products",INDEX(Products!$A$5:$A$204,T274)))</f>
        <v/>
      </c>
      <c r="V274" s="11">
        <f>IF(J274="","",S274*(IFERROR(INDEX(Settings!$B$5:$B$9,MATCH($B274,Settings!$A$5:$A$9,0)),0)+IFERROR(INDEX(Settings!$E$5:$E$9,MATCH($B274,Settings!$A$5:$A$9,0)),0)+IFERROR(INDEX(Settings!$G$5:$G$9,MATCH($B274,Settings!$A$5:$A$9,0)),0))+(IFERROR(INDEX(Settings!$C$5:$C$9,MATCH($B274,Settings!$A$5:$A$9,0)),0)+IFERROR(INDEX(Settings!$F$5:$F$9,MATCH($B274,Settings!$A$5:$A$9,0)),0))/P274+IFERROR(INDEX(Settings!$D$5:$D$9,MATCH($B274,Settings!$A$5:$A$9,0)),0)*M274)</f>
        <v/>
      </c>
      <c r="W274" s="11">
        <f>IF(J274="","",IF(T274="",0,M274*INDEX(Products!$I$5:$I$204,T274)))</f>
        <v/>
      </c>
      <c r="X274" s="11">
        <f>IF(J274="","",IF(T274="",0,S274*INDEX(Products!$H$5:$H$204,T274)))</f>
        <v/>
      </c>
      <c r="Y274" s="11">
        <f>IF(J274="","",S274-V274-W274-X274)</f>
        <v/>
      </c>
    </row>
    <row r="275">
      <c r="A275" s="19" t="n"/>
      <c r="B275" s="19" t="n"/>
      <c r="C275" s="19" t="n"/>
      <c r="D275" s="19" t="n"/>
      <c r="E275" s="19" t="n"/>
      <c r="F275" s="20" t="n"/>
      <c r="G275" s="20" t="n"/>
      <c r="H275" s="20" t="n"/>
      <c r="I275" s="19" t="n"/>
      <c r="J275">
        <f>IFERROR(IF(C275="","",C275)&amp;"","")</f>
        <v/>
      </c>
      <c r="K275">
        <f>IFERROR(IF(D275="","",D275)&amp;"","")</f>
        <v/>
      </c>
      <c r="L275">
        <f>IFERROR(IF(I275="","",I275)&amp;"","")</f>
        <v/>
      </c>
      <c r="M275">
        <f>IF(J275="","",IFERROR(VALUE(SUBSTITUTE(SUBSTITUTE(IF(E275="","",E275)&amp;"","$",""),",","")),0))</f>
        <v/>
      </c>
      <c r="N275" s="11">
        <f>IF(J275="","",IFERROR(VALUE(SUBSTITUTE(SUBSTITUTE(IF(F275="","",F275)&amp;"","$",""),",","")),0))</f>
        <v/>
      </c>
      <c r="O275" s="11">
        <f>IF(J275="","",M275*N275)</f>
        <v/>
      </c>
      <c r="P275">
        <f>IF(J275="","",IF(L275="",1,COUNTIF($L$2:$L$1501,L275)))</f>
        <v/>
      </c>
      <c r="Q275" s="11">
        <f>IF(J275="","",IFERROR(VALUE(SUBSTITUTE(SUBSTITUTE(IF(G275="","",G275)&amp;"","$",""),",","")),0)/IF("No"="Yes",P275,1))</f>
        <v/>
      </c>
      <c r="R275" s="11">
        <f>IF(J275="","",IFERROR(VALUE(SUBSTITUTE(SUBSTITUTE(IF(H275="","",H275)&amp;"","$",""),",","")),0)/IF("No"="Yes",P275,1))</f>
        <v/>
      </c>
      <c r="S275" s="11">
        <f>IF(J275="","",O275+Q275-R275)</f>
        <v/>
      </c>
      <c r="T275">
        <f>IF(J275="","",IFERROR(IF(K275="",NA(),MATCH(K275,Products!$B$5:$B$204,0)),IFERROR(MATCH(J275,Products!$A$5:$A$204,0),"")))</f>
        <v/>
      </c>
      <c r="U275">
        <f>IF(J275="","",IF(T275="","⚠ not in Products",INDEX(Products!$A$5:$A$204,T275)))</f>
        <v/>
      </c>
      <c r="V275" s="11">
        <f>IF(J275="","",S275*(IFERROR(INDEX(Settings!$B$5:$B$9,MATCH($B275,Settings!$A$5:$A$9,0)),0)+IFERROR(INDEX(Settings!$E$5:$E$9,MATCH($B275,Settings!$A$5:$A$9,0)),0)+IFERROR(INDEX(Settings!$G$5:$G$9,MATCH($B275,Settings!$A$5:$A$9,0)),0))+(IFERROR(INDEX(Settings!$C$5:$C$9,MATCH($B275,Settings!$A$5:$A$9,0)),0)+IFERROR(INDEX(Settings!$F$5:$F$9,MATCH($B275,Settings!$A$5:$A$9,0)),0))/P275+IFERROR(INDEX(Settings!$D$5:$D$9,MATCH($B275,Settings!$A$5:$A$9,0)),0)*M275)</f>
        <v/>
      </c>
      <c r="W275" s="11">
        <f>IF(J275="","",IF(T275="",0,M275*INDEX(Products!$I$5:$I$204,T275)))</f>
        <v/>
      </c>
      <c r="X275" s="11">
        <f>IF(J275="","",IF(T275="",0,S275*INDEX(Products!$H$5:$H$204,T275)))</f>
        <v/>
      </c>
      <c r="Y275" s="11">
        <f>IF(J275="","",S275-V275-W275-X275)</f>
        <v/>
      </c>
    </row>
    <row r="276">
      <c r="A276" s="19" t="n"/>
      <c r="B276" s="19" t="n"/>
      <c r="C276" s="19" t="n"/>
      <c r="D276" s="19" t="n"/>
      <c r="E276" s="19" t="n"/>
      <c r="F276" s="20" t="n"/>
      <c r="G276" s="20" t="n"/>
      <c r="H276" s="20" t="n"/>
      <c r="I276" s="19" t="n"/>
      <c r="J276">
        <f>IFERROR(IF(C276="","",C276)&amp;"","")</f>
        <v/>
      </c>
      <c r="K276">
        <f>IFERROR(IF(D276="","",D276)&amp;"","")</f>
        <v/>
      </c>
      <c r="L276">
        <f>IFERROR(IF(I276="","",I276)&amp;"","")</f>
        <v/>
      </c>
      <c r="M276">
        <f>IF(J276="","",IFERROR(VALUE(SUBSTITUTE(SUBSTITUTE(IF(E276="","",E276)&amp;"","$",""),",","")),0))</f>
        <v/>
      </c>
      <c r="N276" s="11">
        <f>IF(J276="","",IFERROR(VALUE(SUBSTITUTE(SUBSTITUTE(IF(F276="","",F276)&amp;"","$",""),",","")),0))</f>
        <v/>
      </c>
      <c r="O276" s="11">
        <f>IF(J276="","",M276*N276)</f>
        <v/>
      </c>
      <c r="P276">
        <f>IF(J276="","",IF(L276="",1,COUNTIF($L$2:$L$1501,L276)))</f>
        <v/>
      </c>
      <c r="Q276" s="11">
        <f>IF(J276="","",IFERROR(VALUE(SUBSTITUTE(SUBSTITUTE(IF(G276="","",G276)&amp;"","$",""),",","")),0)/IF("No"="Yes",P276,1))</f>
        <v/>
      </c>
      <c r="R276" s="11">
        <f>IF(J276="","",IFERROR(VALUE(SUBSTITUTE(SUBSTITUTE(IF(H276="","",H276)&amp;"","$",""),",","")),0)/IF("No"="Yes",P276,1))</f>
        <v/>
      </c>
      <c r="S276" s="11">
        <f>IF(J276="","",O276+Q276-R276)</f>
        <v/>
      </c>
      <c r="T276">
        <f>IF(J276="","",IFERROR(IF(K276="",NA(),MATCH(K276,Products!$B$5:$B$204,0)),IFERROR(MATCH(J276,Products!$A$5:$A$204,0),"")))</f>
        <v/>
      </c>
      <c r="U276">
        <f>IF(J276="","",IF(T276="","⚠ not in Products",INDEX(Products!$A$5:$A$204,T276)))</f>
        <v/>
      </c>
      <c r="V276" s="11">
        <f>IF(J276="","",S276*(IFERROR(INDEX(Settings!$B$5:$B$9,MATCH($B276,Settings!$A$5:$A$9,0)),0)+IFERROR(INDEX(Settings!$E$5:$E$9,MATCH($B276,Settings!$A$5:$A$9,0)),0)+IFERROR(INDEX(Settings!$G$5:$G$9,MATCH($B276,Settings!$A$5:$A$9,0)),0))+(IFERROR(INDEX(Settings!$C$5:$C$9,MATCH($B276,Settings!$A$5:$A$9,0)),0)+IFERROR(INDEX(Settings!$F$5:$F$9,MATCH($B276,Settings!$A$5:$A$9,0)),0))/P276+IFERROR(INDEX(Settings!$D$5:$D$9,MATCH($B276,Settings!$A$5:$A$9,0)),0)*M276)</f>
        <v/>
      </c>
      <c r="W276" s="11">
        <f>IF(J276="","",IF(T276="",0,M276*INDEX(Products!$I$5:$I$204,T276)))</f>
        <v/>
      </c>
      <c r="X276" s="11">
        <f>IF(J276="","",IF(T276="",0,S276*INDEX(Products!$H$5:$H$204,T276)))</f>
        <v/>
      </c>
      <c r="Y276" s="11">
        <f>IF(J276="","",S276-V276-W276-X276)</f>
        <v/>
      </c>
    </row>
    <row r="277">
      <c r="A277" s="19" t="n"/>
      <c r="B277" s="19" t="n"/>
      <c r="C277" s="19" t="n"/>
      <c r="D277" s="19" t="n"/>
      <c r="E277" s="19" t="n"/>
      <c r="F277" s="20" t="n"/>
      <c r="G277" s="20" t="n"/>
      <c r="H277" s="20" t="n"/>
      <c r="I277" s="19" t="n"/>
      <c r="J277">
        <f>IFERROR(IF(C277="","",C277)&amp;"","")</f>
        <v/>
      </c>
      <c r="K277">
        <f>IFERROR(IF(D277="","",D277)&amp;"","")</f>
        <v/>
      </c>
      <c r="L277">
        <f>IFERROR(IF(I277="","",I277)&amp;"","")</f>
        <v/>
      </c>
      <c r="M277">
        <f>IF(J277="","",IFERROR(VALUE(SUBSTITUTE(SUBSTITUTE(IF(E277="","",E277)&amp;"","$",""),",","")),0))</f>
        <v/>
      </c>
      <c r="N277" s="11">
        <f>IF(J277="","",IFERROR(VALUE(SUBSTITUTE(SUBSTITUTE(IF(F277="","",F277)&amp;"","$",""),",","")),0))</f>
        <v/>
      </c>
      <c r="O277" s="11">
        <f>IF(J277="","",M277*N277)</f>
        <v/>
      </c>
      <c r="P277">
        <f>IF(J277="","",IF(L277="",1,COUNTIF($L$2:$L$1501,L277)))</f>
        <v/>
      </c>
      <c r="Q277" s="11">
        <f>IF(J277="","",IFERROR(VALUE(SUBSTITUTE(SUBSTITUTE(IF(G277="","",G277)&amp;"","$",""),",","")),0)/IF("No"="Yes",P277,1))</f>
        <v/>
      </c>
      <c r="R277" s="11">
        <f>IF(J277="","",IFERROR(VALUE(SUBSTITUTE(SUBSTITUTE(IF(H277="","",H277)&amp;"","$",""),",","")),0)/IF("No"="Yes",P277,1))</f>
        <v/>
      </c>
      <c r="S277" s="11">
        <f>IF(J277="","",O277+Q277-R277)</f>
        <v/>
      </c>
      <c r="T277">
        <f>IF(J277="","",IFERROR(IF(K277="",NA(),MATCH(K277,Products!$B$5:$B$204,0)),IFERROR(MATCH(J277,Products!$A$5:$A$204,0),"")))</f>
        <v/>
      </c>
      <c r="U277">
        <f>IF(J277="","",IF(T277="","⚠ not in Products",INDEX(Products!$A$5:$A$204,T277)))</f>
        <v/>
      </c>
      <c r="V277" s="11">
        <f>IF(J277="","",S277*(IFERROR(INDEX(Settings!$B$5:$B$9,MATCH($B277,Settings!$A$5:$A$9,0)),0)+IFERROR(INDEX(Settings!$E$5:$E$9,MATCH($B277,Settings!$A$5:$A$9,0)),0)+IFERROR(INDEX(Settings!$G$5:$G$9,MATCH($B277,Settings!$A$5:$A$9,0)),0))+(IFERROR(INDEX(Settings!$C$5:$C$9,MATCH($B277,Settings!$A$5:$A$9,0)),0)+IFERROR(INDEX(Settings!$F$5:$F$9,MATCH($B277,Settings!$A$5:$A$9,0)),0))/P277+IFERROR(INDEX(Settings!$D$5:$D$9,MATCH($B277,Settings!$A$5:$A$9,0)),0)*M277)</f>
        <v/>
      </c>
      <c r="W277" s="11">
        <f>IF(J277="","",IF(T277="",0,M277*INDEX(Products!$I$5:$I$204,T277)))</f>
        <v/>
      </c>
      <c r="X277" s="11">
        <f>IF(J277="","",IF(T277="",0,S277*INDEX(Products!$H$5:$H$204,T277)))</f>
        <v/>
      </c>
      <c r="Y277" s="11">
        <f>IF(J277="","",S277-V277-W277-X277)</f>
        <v/>
      </c>
    </row>
    <row r="278">
      <c r="A278" s="19" t="n"/>
      <c r="B278" s="19" t="n"/>
      <c r="C278" s="19" t="n"/>
      <c r="D278" s="19" t="n"/>
      <c r="E278" s="19" t="n"/>
      <c r="F278" s="20" t="n"/>
      <c r="G278" s="20" t="n"/>
      <c r="H278" s="20" t="n"/>
      <c r="I278" s="19" t="n"/>
      <c r="J278">
        <f>IFERROR(IF(C278="","",C278)&amp;"","")</f>
        <v/>
      </c>
      <c r="K278">
        <f>IFERROR(IF(D278="","",D278)&amp;"","")</f>
        <v/>
      </c>
      <c r="L278">
        <f>IFERROR(IF(I278="","",I278)&amp;"","")</f>
        <v/>
      </c>
      <c r="M278">
        <f>IF(J278="","",IFERROR(VALUE(SUBSTITUTE(SUBSTITUTE(IF(E278="","",E278)&amp;"","$",""),",","")),0))</f>
        <v/>
      </c>
      <c r="N278" s="11">
        <f>IF(J278="","",IFERROR(VALUE(SUBSTITUTE(SUBSTITUTE(IF(F278="","",F278)&amp;"","$",""),",","")),0))</f>
        <v/>
      </c>
      <c r="O278" s="11">
        <f>IF(J278="","",M278*N278)</f>
        <v/>
      </c>
      <c r="P278">
        <f>IF(J278="","",IF(L278="",1,COUNTIF($L$2:$L$1501,L278)))</f>
        <v/>
      </c>
      <c r="Q278" s="11">
        <f>IF(J278="","",IFERROR(VALUE(SUBSTITUTE(SUBSTITUTE(IF(G278="","",G278)&amp;"","$",""),",","")),0)/IF("No"="Yes",P278,1))</f>
        <v/>
      </c>
      <c r="R278" s="11">
        <f>IF(J278="","",IFERROR(VALUE(SUBSTITUTE(SUBSTITUTE(IF(H278="","",H278)&amp;"","$",""),",","")),0)/IF("No"="Yes",P278,1))</f>
        <v/>
      </c>
      <c r="S278" s="11">
        <f>IF(J278="","",O278+Q278-R278)</f>
        <v/>
      </c>
      <c r="T278">
        <f>IF(J278="","",IFERROR(IF(K278="",NA(),MATCH(K278,Products!$B$5:$B$204,0)),IFERROR(MATCH(J278,Products!$A$5:$A$204,0),"")))</f>
        <v/>
      </c>
      <c r="U278">
        <f>IF(J278="","",IF(T278="","⚠ not in Products",INDEX(Products!$A$5:$A$204,T278)))</f>
        <v/>
      </c>
      <c r="V278" s="11">
        <f>IF(J278="","",S278*(IFERROR(INDEX(Settings!$B$5:$B$9,MATCH($B278,Settings!$A$5:$A$9,0)),0)+IFERROR(INDEX(Settings!$E$5:$E$9,MATCH($B278,Settings!$A$5:$A$9,0)),0)+IFERROR(INDEX(Settings!$G$5:$G$9,MATCH($B278,Settings!$A$5:$A$9,0)),0))+(IFERROR(INDEX(Settings!$C$5:$C$9,MATCH($B278,Settings!$A$5:$A$9,0)),0)+IFERROR(INDEX(Settings!$F$5:$F$9,MATCH($B278,Settings!$A$5:$A$9,0)),0))/P278+IFERROR(INDEX(Settings!$D$5:$D$9,MATCH($B278,Settings!$A$5:$A$9,0)),0)*M278)</f>
        <v/>
      </c>
      <c r="W278" s="11">
        <f>IF(J278="","",IF(T278="",0,M278*INDEX(Products!$I$5:$I$204,T278)))</f>
        <v/>
      </c>
      <c r="X278" s="11">
        <f>IF(J278="","",IF(T278="",0,S278*INDEX(Products!$H$5:$H$204,T278)))</f>
        <v/>
      </c>
      <c r="Y278" s="11">
        <f>IF(J278="","",S278-V278-W278-X278)</f>
        <v/>
      </c>
    </row>
    <row r="279">
      <c r="A279" s="19" t="n"/>
      <c r="B279" s="19" t="n"/>
      <c r="C279" s="19" t="n"/>
      <c r="D279" s="19" t="n"/>
      <c r="E279" s="19" t="n"/>
      <c r="F279" s="20" t="n"/>
      <c r="G279" s="20" t="n"/>
      <c r="H279" s="20" t="n"/>
      <c r="I279" s="19" t="n"/>
      <c r="J279">
        <f>IFERROR(IF(C279="","",C279)&amp;"","")</f>
        <v/>
      </c>
      <c r="K279">
        <f>IFERROR(IF(D279="","",D279)&amp;"","")</f>
        <v/>
      </c>
      <c r="L279">
        <f>IFERROR(IF(I279="","",I279)&amp;"","")</f>
        <v/>
      </c>
      <c r="M279">
        <f>IF(J279="","",IFERROR(VALUE(SUBSTITUTE(SUBSTITUTE(IF(E279="","",E279)&amp;"","$",""),",","")),0))</f>
        <v/>
      </c>
      <c r="N279" s="11">
        <f>IF(J279="","",IFERROR(VALUE(SUBSTITUTE(SUBSTITUTE(IF(F279="","",F279)&amp;"","$",""),",","")),0))</f>
        <v/>
      </c>
      <c r="O279" s="11">
        <f>IF(J279="","",M279*N279)</f>
        <v/>
      </c>
      <c r="P279">
        <f>IF(J279="","",IF(L279="",1,COUNTIF($L$2:$L$1501,L279)))</f>
        <v/>
      </c>
      <c r="Q279" s="11">
        <f>IF(J279="","",IFERROR(VALUE(SUBSTITUTE(SUBSTITUTE(IF(G279="","",G279)&amp;"","$",""),",","")),0)/IF("No"="Yes",P279,1))</f>
        <v/>
      </c>
      <c r="R279" s="11">
        <f>IF(J279="","",IFERROR(VALUE(SUBSTITUTE(SUBSTITUTE(IF(H279="","",H279)&amp;"","$",""),",","")),0)/IF("No"="Yes",P279,1))</f>
        <v/>
      </c>
      <c r="S279" s="11">
        <f>IF(J279="","",O279+Q279-R279)</f>
        <v/>
      </c>
      <c r="T279">
        <f>IF(J279="","",IFERROR(IF(K279="",NA(),MATCH(K279,Products!$B$5:$B$204,0)),IFERROR(MATCH(J279,Products!$A$5:$A$204,0),"")))</f>
        <v/>
      </c>
      <c r="U279">
        <f>IF(J279="","",IF(T279="","⚠ not in Products",INDEX(Products!$A$5:$A$204,T279)))</f>
        <v/>
      </c>
      <c r="V279" s="11">
        <f>IF(J279="","",S279*(IFERROR(INDEX(Settings!$B$5:$B$9,MATCH($B279,Settings!$A$5:$A$9,0)),0)+IFERROR(INDEX(Settings!$E$5:$E$9,MATCH($B279,Settings!$A$5:$A$9,0)),0)+IFERROR(INDEX(Settings!$G$5:$G$9,MATCH($B279,Settings!$A$5:$A$9,0)),0))+(IFERROR(INDEX(Settings!$C$5:$C$9,MATCH($B279,Settings!$A$5:$A$9,0)),0)+IFERROR(INDEX(Settings!$F$5:$F$9,MATCH($B279,Settings!$A$5:$A$9,0)),0))/P279+IFERROR(INDEX(Settings!$D$5:$D$9,MATCH($B279,Settings!$A$5:$A$9,0)),0)*M279)</f>
        <v/>
      </c>
      <c r="W279" s="11">
        <f>IF(J279="","",IF(T279="",0,M279*INDEX(Products!$I$5:$I$204,T279)))</f>
        <v/>
      </c>
      <c r="X279" s="11">
        <f>IF(J279="","",IF(T279="",0,S279*INDEX(Products!$H$5:$H$204,T279)))</f>
        <v/>
      </c>
      <c r="Y279" s="11">
        <f>IF(J279="","",S279-V279-W279-X279)</f>
        <v/>
      </c>
    </row>
    <row r="280">
      <c r="A280" s="19" t="n"/>
      <c r="B280" s="19" t="n"/>
      <c r="C280" s="19" t="n"/>
      <c r="D280" s="19" t="n"/>
      <c r="E280" s="19" t="n"/>
      <c r="F280" s="20" t="n"/>
      <c r="G280" s="20" t="n"/>
      <c r="H280" s="20" t="n"/>
      <c r="I280" s="19" t="n"/>
      <c r="J280">
        <f>IFERROR(IF(C280="","",C280)&amp;"","")</f>
        <v/>
      </c>
      <c r="K280">
        <f>IFERROR(IF(D280="","",D280)&amp;"","")</f>
        <v/>
      </c>
      <c r="L280">
        <f>IFERROR(IF(I280="","",I280)&amp;"","")</f>
        <v/>
      </c>
      <c r="M280">
        <f>IF(J280="","",IFERROR(VALUE(SUBSTITUTE(SUBSTITUTE(IF(E280="","",E280)&amp;"","$",""),",","")),0))</f>
        <v/>
      </c>
      <c r="N280" s="11">
        <f>IF(J280="","",IFERROR(VALUE(SUBSTITUTE(SUBSTITUTE(IF(F280="","",F280)&amp;"","$",""),",","")),0))</f>
        <v/>
      </c>
      <c r="O280" s="11">
        <f>IF(J280="","",M280*N280)</f>
        <v/>
      </c>
      <c r="P280">
        <f>IF(J280="","",IF(L280="",1,COUNTIF($L$2:$L$1501,L280)))</f>
        <v/>
      </c>
      <c r="Q280" s="11">
        <f>IF(J280="","",IFERROR(VALUE(SUBSTITUTE(SUBSTITUTE(IF(G280="","",G280)&amp;"","$",""),",","")),0)/IF("No"="Yes",P280,1))</f>
        <v/>
      </c>
      <c r="R280" s="11">
        <f>IF(J280="","",IFERROR(VALUE(SUBSTITUTE(SUBSTITUTE(IF(H280="","",H280)&amp;"","$",""),",","")),0)/IF("No"="Yes",P280,1))</f>
        <v/>
      </c>
      <c r="S280" s="11">
        <f>IF(J280="","",O280+Q280-R280)</f>
        <v/>
      </c>
      <c r="T280">
        <f>IF(J280="","",IFERROR(IF(K280="",NA(),MATCH(K280,Products!$B$5:$B$204,0)),IFERROR(MATCH(J280,Products!$A$5:$A$204,0),"")))</f>
        <v/>
      </c>
      <c r="U280">
        <f>IF(J280="","",IF(T280="","⚠ not in Products",INDEX(Products!$A$5:$A$204,T280)))</f>
        <v/>
      </c>
      <c r="V280" s="11">
        <f>IF(J280="","",S280*(IFERROR(INDEX(Settings!$B$5:$B$9,MATCH($B280,Settings!$A$5:$A$9,0)),0)+IFERROR(INDEX(Settings!$E$5:$E$9,MATCH($B280,Settings!$A$5:$A$9,0)),0)+IFERROR(INDEX(Settings!$G$5:$G$9,MATCH($B280,Settings!$A$5:$A$9,0)),0))+(IFERROR(INDEX(Settings!$C$5:$C$9,MATCH($B280,Settings!$A$5:$A$9,0)),0)+IFERROR(INDEX(Settings!$F$5:$F$9,MATCH($B280,Settings!$A$5:$A$9,0)),0))/P280+IFERROR(INDEX(Settings!$D$5:$D$9,MATCH($B280,Settings!$A$5:$A$9,0)),0)*M280)</f>
        <v/>
      </c>
      <c r="W280" s="11">
        <f>IF(J280="","",IF(T280="",0,M280*INDEX(Products!$I$5:$I$204,T280)))</f>
        <v/>
      </c>
      <c r="X280" s="11">
        <f>IF(J280="","",IF(T280="",0,S280*INDEX(Products!$H$5:$H$204,T280)))</f>
        <v/>
      </c>
      <c r="Y280" s="11">
        <f>IF(J280="","",S280-V280-W280-X280)</f>
        <v/>
      </c>
    </row>
    <row r="281">
      <c r="A281" s="19" t="n"/>
      <c r="B281" s="19" t="n"/>
      <c r="C281" s="19" t="n"/>
      <c r="D281" s="19" t="n"/>
      <c r="E281" s="19" t="n"/>
      <c r="F281" s="20" t="n"/>
      <c r="G281" s="20" t="n"/>
      <c r="H281" s="20" t="n"/>
      <c r="I281" s="19" t="n"/>
      <c r="J281">
        <f>IFERROR(IF(C281="","",C281)&amp;"","")</f>
        <v/>
      </c>
      <c r="K281">
        <f>IFERROR(IF(D281="","",D281)&amp;"","")</f>
        <v/>
      </c>
      <c r="L281">
        <f>IFERROR(IF(I281="","",I281)&amp;"","")</f>
        <v/>
      </c>
      <c r="M281">
        <f>IF(J281="","",IFERROR(VALUE(SUBSTITUTE(SUBSTITUTE(IF(E281="","",E281)&amp;"","$",""),",","")),0))</f>
        <v/>
      </c>
      <c r="N281" s="11">
        <f>IF(J281="","",IFERROR(VALUE(SUBSTITUTE(SUBSTITUTE(IF(F281="","",F281)&amp;"","$",""),",","")),0))</f>
        <v/>
      </c>
      <c r="O281" s="11">
        <f>IF(J281="","",M281*N281)</f>
        <v/>
      </c>
      <c r="P281">
        <f>IF(J281="","",IF(L281="",1,COUNTIF($L$2:$L$1501,L281)))</f>
        <v/>
      </c>
      <c r="Q281" s="11">
        <f>IF(J281="","",IFERROR(VALUE(SUBSTITUTE(SUBSTITUTE(IF(G281="","",G281)&amp;"","$",""),",","")),0)/IF("No"="Yes",P281,1))</f>
        <v/>
      </c>
      <c r="R281" s="11">
        <f>IF(J281="","",IFERROR(VALUE(SUBSTITUTE(SUBSTITUTE(IF(H281="","",H281)&amp;"","$",""),",","")),0)/IF("No"="Yes",P281,1))</f>
        <v/>
      </c>
      <c r="S281" s="11">
        <f>IF(J281="","",O281+Q281-R281)</f>
        <v/>
      </c>
      <c r="T281">
        <f>IF(J281="","",IFERROR(IF(K281="",NA(),MATCH(K281,Products!$B$5:$B$204,0)),IFERROR(MATCH(J281,Products!$A$5:$A$204,0),"")))</f>
        <v/>
      </c>
      <c r="U281">
        <f>IF(J281="","",IF(T281="","⚠ not in Products",INDEX(Products!$A$5:$A$204,T281)))</f>
        <v/>
      </c>
      <c r="V281" s="11">
        <f>IF(J281="","",S281*(IFERROR(INDEX(Settings!$B$5:$B$9,MATCH($B281,Settings!$A$5:$A$9,0)),0)+IFERROR(INDEX(Settings!$E$5:$E$9,MATCH($B281,Settings!$A$5:$A$9,0)),0)+IFERROR(INDEX(Settings!$G$5:$G$9,MATCH($B281,Settings!$A$5:$A$9,0)),0))+(IFERROR(INDEX(Settings!$C$5:$C$9,MATCH($B281,Settings!$A$5:$A$9,0)),0)+IFERROR(INDEX(Settings!$F$5:$F$9,MATCH($B281,Settings!$A$5:$A$9,0)),0))/P281+IFERROR(INDEX(Settings!$D$5:$D$9,MATCH($B281,Settings!$A$5:$A$9,0)),0)*M281)</f>
        <v/>
      </c>
      <c r="W281" s="11">
        <f>IF(J281="","",IF(T281="",0,M281*INDEX(Products!$I$5:$I$204,T281)))</f>
        <v/>
      </c>
      <c r="X281" s="11">
        <f>IF(J281="","",IF(T281="",0,S281*INDEX(Products!$H$5:$H$204,T281)))</f>
        <v/>
      </c>
      <c r="Y281" s="11">
        <f>IF(J281="","",S281-V281-W281-X281)</f>
        <v/>
      </c>
    </row>
    <row r="282">
      <c r="A282" s="19" t="n"/>
      <c r="B282" s="19" t="n"/>
      <c r="C282" s="19" t="n"/>
      <c r="D282" s="19" t="n"/>
      <c r="E282" s="19" t="n"/>
      <c r="F282" s="20" t="n"/>
      <c r="G282" s="20" t="n"/>
      <c r="H282" s="20" t="n"/>
      <c r="I282" s="19" t="n"/>
      <c r="J282">
        <f>IFERROR(IF(C282="","",C282)&amp;"","")</f>
        <v/>
      </c>
      <c r="K282">
        <f>IFERROR(IF(D282="","",D282)&amp;"","")</f>
        <v/>
      </c>
      <c r="L282">
        <f>IFERROR(IF(I282="","",I282)&amp;"","")</f>
        <v/>
      </c>
      <c r="M282">
        <f>IF(J282="","",IFERROR(VALUE(SUBSTITUTE(SUBSTITUTE(IF(E282="","",E282)&amp;"","$",""),",","")),0))</f>
        <v/>
      </c>
      <c r="N282" s="11">
        <f>IF(J282="","",IFERROR(VALUE(SUBSTITUTE(SUBSTITUTE(IF(F282="","",F282)&amp;"","$",""),",","")),0))</f>
        <v/>
      </c>
      <c r="O282" s="11">
        <f>IF(J282="","",M282*N282)</f>
        <v/>
      </c>
      <c r="P282">
        <f>IF(J282="","",IF(L282="",1,COUNTIF($L$2:$L$1501,L282)))</f>
        <v/>
      </c>
      <c r="Q282" s="11">
        <f>IF(J282="","",IFERROR(VALUE(SUBSTITUTE(SUBSTITUTE(IF(G282="","",G282)&amp;"","$",""),",","")),0)/IF("No"="Yes",P282,1))</f>
        <v/>
      </c>
      <c r="R282" s="11">
        <f>IF(J282="","",IFERROR(VALUE(SUBSTITUTE(SUBSTITUTE(IF(H282="","",H282)&amp;"","$",""),",","")),0)/IF("No"="Yes",P282,1))</f>
        <v/>
      </c>
      <c r="S282" s="11">
        <f>IF(J282="","",O282+Q282-R282)</f>
        <v/>
      </c>
      <c r="T282">
        <f>IF(J282="","",IFERROR(IF(K282="",NA(),MATCH(K282,Products!$B$5:$B$204,0)),IFERROR(MATCH(J282,Products!$A$5:$A$204,0),"")))</f>
        <v/>
      </c>
      <c r="U282">
        <f>IF(J282="","",IF(T282="","⚠ not in Products",INDEX(Products!$A$5:$A$204,T282)))</f>
        <v/>
      </c>
      <c r="V282" s="11">
        <f>IF(J282="","",S282*(IFERROR(INDEX(Settings!$B$5:$B$9,MATCH($B282,Settings!$A$5:$A$9,0)),0)+IFERROR(INDEX(Settings!$E$5:$E$9,MATCH($B282,Settings!$A$5:$A$9,0)),0)+IFERROR(INDEX(Settings!$G$5:$G$9,MATCH($B282,Settings!$A$5:$A$9,0)),0))+(IFERROR(INDEX(Settings!$C$5:$C$9,MATCH($B282,Settings!$A$5:$A$9,0)),0)+IFERROR(INDEX(Settings!$F$5:$F$9,MATCH($B282,Settings!$A$5:$A$9,0)),0))/P282+IFERROR(INDEX(Settings!$D$5:$D$9,MATCH($B282,Settings!$A$5:$A$9,0)),0)*M282)</f>
        <v/>
      </c>
      <c r="W282" s="11">
        <f>IF(J282="","",IF(T282="",0,M282*INDEX(Products!$I$5:$I$204,T282)))</f>
        <v/>
      </c>
      <c r="X282" s="11">
        <f>IF(J282="","",IF(T282="",0,S282*INDEX(Products!$H$5:$H$204,T282)))</f>
        <v/>
      </c>
      <c r="Y282" s="11">
        <f>IF(J282="","",S282-V282-W282-X282)</f>
        <v/>
      </c>
    </row>
    <row r="283">
      <c r="A283" s="19" t="n"/>
      <c r="B283" s="19" t="n"/>
      <c r="C283" s="19" t="n"/>
      <c r="D283" s="19" t="n"/>
      <c r="E283" s="19" t="n"/>
      <c r="F283" s="20" t="n"/>
      <c r="G283" s="20" t="n"/>
      <c r="H283" s="20" t="n"/>
      <c r="I283" s="19" t="n"/>
      <c r="J283">
        <f>IFERROR(IF(C283="","",C283)&amp;"","")</f>
        <v/>
      </c>
      <c r="K283">
        <f>IFERROR(IF(D283="","",D283)&amp;"","")</f>
        <v/>
      </c>
      <c r="L283">
        <f>IFERROR(IF(I283="","",I283)&amp;"","")</f>
        <v/>
      </c>
      <c r="M283">
        <f>IF(J283="","",IFERROR(VALUE(SUBSTITUTE(SUBSTITUTE(IF(E283="","",E283)&amp;"","$",""),",","")),0))</f>
        <v/>
      </c>
      <c r="N283" s="11">
        <f>IF(J283="","",IFERROR(VALUE(SUBSTITUTE(SUBSTITUTE(IF(F283="","",F283)&amp;"","$",""),",","")),0))</f>
        <v/>
      </c>
      <c r="O283" s="11">
        <f>IF(J283="","",M283*N283)</f>
        <v/>
      </c>
      <c r="P283">
        <f>IF(J283="","",IF(L283="",1,COUNTIF($L$2:$L$1501,L283)))</f>
        <v/>
      </c>
      <c r="Q283" s="11">
        <f>IF(J283="","",IFERROR(VALUE(SUBSTITUTE(SUBSTITUTE(IF(G283="","",G283)&amp;"","$",""),",","")),0)/IF("No"="Yes",P283,1))</f>
        <v/>
      </c>
      <c r="R283" s="11">
        <f>IF(J283="","",IFERROR(VALUE(SUBSTITUTE(SUBSTITUTE(IF(H283="","",H283)&amp;"","$",""),",","")),0)/IF("No"="Yes",P283,1))</f>
        <v/>
      </c>
      <c r="S283" s="11">
        <f>IF(J283="","",O283+Q283-R283)</f>
        <v/>
      </c>
      <c r="T283">
        <f>IF(J283="","",IFERROR(IF(K283="",NA(),MATCH(K283,Products!$B$5:$B$204,0)),IFERROR(MATCH(J283,Products!$A$5:$A$204,0),"")))</f>
        <v/>
      </c>
      <c r="U283">
        <f>IF(J283="","",IF(T283="","⚠ not in Products",INDEX(Products!$A$5:$A$204,T283)))</f>
        <v/>
      </c>
      <c r="V283" s="11">
        <f>IF(J283="","",S283*(IFERROR(INDEX(Settings!$B$5:$B$9,MATCH($B283,Settings!$A$5:$A$9,0)),0)+IFERROR(INDEX(Settings!$E$5:$E$9,MATCH($B283,Settings!$A$5:$A$9,0)),0)+IFERROR(INDEX(Settings!$G$5:$G$9,MATCH($B283,Settings!$A$5:$A$9,0)),0))+(IFERROR(INDEX(Settings!$C$5:$C$9,MATCH($B283,Settings!$A$5:$A$9,0)),0)+IFERROR(INDEX(Settings!$F$5:$F$9,MATCH($B283,Settings!$A$5:$A$9,0)),0))/P283+IFERROR(INDEX(Settings!$D$5:$D$9,MATCH($B283,Settings!$A$5:$A$9,0)),0)*M283)</f>
        <v/>
      </c>
      <c r="W283" s="11">
        <f>IF(J283="","",IF(T283="",0,M283*INDEX(Products!$I$5:$I$204,T283)))</f>
        <v/>
      </c>
      <c r="X283" s="11">
        <f>IF(J283="","",IF(T283="",0,S283*INDEX(Products!$H$5:$H$204,T283)))</f>
        <v/>
      </c>
      <c r="Y283" s="11">
        <f>IF(J283="","",S283-V283-W283-X283)</f>
        <v/>
      </c>
    </row>
    <row r="284">
      <c r="A284" s="19" t="n"/>
      <c r="B284" s="19" t="n"/>
      <c r="C284" s="19" t="n"/>
      <c r="D284" s="19" t="n"/>
      <c r="E284" s="19" t="n"/>
      <c r="F284" s="20" t="n"/>
      <c r="G284" s="20" t="n"/>
      <c r="H284" s="20" t="n"/>
      <c r="I284" s="19" t="n"/>
      <c r="J284">
        <f>IFERROR(IF(C284="","",C284)&amp;"","")</f>
        <v/>
      </c>
      <c r="K284">
        <f>IFERROR(IF(D284="","",D284)&amp;"","")</f>
        <v/>
      </c>
      <c r="L284">
        <f>IFERROR(IF(I284="","",I284)&amp;"","")</f>
        <v/>
      </c>
      <c r="M284">
        <f>IF(J284="","",IFERROR(VALUE(SUBSTITUTE(SUBSTITUTE(IF(E284="","",E284)&amp;"","$",""),",","")),0))</f>
        <v/>
      </c>
      <c r="N284" s="11">
        <f>IF(J284="","",IFERROR(VALUE(SUBSTITUTE(SUBSTITUTE(IF(F284="","",F284)&amp;"","$",""),",","")),0))</f>
        <v/>
      </c>
      <c r="O284" s="11">
        <f>IF(J284="","",M284*N284)</f>
        <v/>
      </c>
      <c r="P284">
        <f>IF(J284="","",IF(L284="",1,COUNTIF($L$2:$L$1501,L284)))</f>
        <v/>
      </c>
      <c r="Q284" s="11">
        <f>IF(J284="","",IFERROR(VALUE(SUBSTITUTE(SUBSTITUTE(IF(G284="","",G284)&amp;"","$",""),",","")),0)/IF("No"="Yes",P284,1))</f>
        <v/>
      </c>
      <c r="R284" s="11">
        <f>IF(J284="","",IFERROR(VALUE(SUBSTITUTE(SUBSTITUTE(IF(H284="","",H284)&amp;"","$",""),",","")),0)/IF("No"="Yes",P284,1))</f>
        <v/>
      </c>
      <c r="S284" s="11">
        <f>IF(J284="","",O284+Q284-R284)</f>
        <v/>
      </c>
      <c r="T284">
        <f>IF(J284="","",IFERROR(IF(K284="",NA(),MATCH(K284,Products!$B$5:$B$204,0)),IFERROR(MATCH(J284,Products!$A$5:$A$204,0),"")))</f>
        <v/>
      </c>
      <c r="U284">
        <f>IF(J284="","",IF(T284="","⚠ not in Products",INDEX(Products!$A$5:$A$204,T284)))</f>
        <v/>
      </c>
      <c r="V284" s="11">
        <f>IF(J284="","",S284*(IFERROR(INDEX(Settings!$B$5:$B$9,MATCH($B284,Settings!$A$5:$A$9,0)),0)+IFERROR(INDEX(Settings!$E$5:$E$9,MATCH($B284,Settings!$A$5:$A$9,0)),0)+IFERROR(INDEX(Settings!$G$5:$G$9,MATCH($B284,Settings!$A$5:$A$9,0)),0))+(IFERROR(INDEX(Settings!$C$5:$C$9,MATCH($B284,Settings!$A$5:$A$9,0)),0)+IFERROR(INDEX(Settings!$F$5:$F$9,MATCH($B284,Settings!$A$5:$A$9,0)),0))/P284+IFERROR(INDEX(Settings!$D$5:$D$9,MATCH($B284,Settings!$A$5:$A$9,0)),0)*M284)</f>
        <v/>
      </c>
      <c r="W284" s="11">
        <f>IF(J284="","",IF(T284="",0,M284*INDEX(Products!$I$5:$I$204,T284)))</f>
        <v/>
      </c>
      <c r="X284" s="11">
        <f>IF(J284="","",IF(T284="",0,S284*INDEX(Products!$H$5:$H$204,T284)))</f>
        <v/>
      </c>
      <c r="Y284" s="11">
        <f>IF(J284="","",S284-V284-W284-X284)</f>
        <v/>
      </c>
    </row>
    <row r="285">
      <c r="A285" s="19" t="n"/>
      <c r="B285" s="19" t="n"/>
      <c r="C285" s="19" t="n"/>
      <c r="D285" s="19" t="n"/>
      <c r="E285" s="19" t="n"/>
      <c r="F285" s="20" t="n"/>
      <c r="G285" s="20" t="n"/>
      <c r="H285" s="20" t="n"/>
      <c r="I285" s="19" t="n"/>
      <c r="J285">
        <f>IFERROR(IF(C285="","",C285)&amp;"","")</f>
        <v/>
      </c>
      <c r="K285">
        <f>IFERROR(IF(D285="","",D285)&amp;"","")</f>
        <v/>
      </c>
      <c r="L285">
        <f>IFERROR(IF(I285="","",I285)&amp;"","")</f>
        <v/>
      </c>
      <c r="M285">
        <f>IF(J285="","",IFERROR(VALUE(SUBSTITUTE(SUBSTITUTE(IF(E285="","",E285)&amp;"","$",""),",","")),0))</f>
        <v/>
      </c>
      <c r="N285" s="11">
        <f>IF(J285="","",IFERROR(VALUE(SUBSTITUTE(SUBSTITUTE(IF(F285="","",F285)&amp;"","$",""),",","")),0))</f>
        <v/>
      </c>
      <c r="O285" s="11">
        <f>IF(J285="","",M285*N285)</f>
        <v/>
      </c>
      <c r="P285">
        <f>IF(J285="","",IF(L285="",1,COUNTIF($L$2:$L$1501,L285)))</f>
        <v/>
      </c>
      <c r="Q285" s="11">
        <f>IF(J285="","",IFERROR(VALUE(SUBSTITUTE(SUBSTITUTE(IF(G285="","",G285)&amp;"","$",""),",","")),0)/IF("No"="Yes",P285,1))</f>
        <v/>
      </c>
      <c r="R285" s="11">
        <f>IF(J285="","",IFERROR(VALUE(SUBSTITUTE(SUBSTITUTE(IF(H285="","",H285)&amp;"","$",""),",","")),0)/IF("No"="Yes",P285,1))</f>
        <v/>
      </c>
      <c r="S285" s="11">
        <f>IF(J285="","",O285+Q285-R285)</f>
        <v/>
      </c>
      <c r="T285">
        <f>IF(J285="","",IFERROR(IF(K285="",NA(),MATCH(K285,Products!$B$5:$B$204,0)),IFERROR(MATCH(J285,Products!$A$5:$A$204,0),"")))</f>
        <v/>
      </c>
      <c r="U285">
        <f>IF(J285="","",IF(T285="","⚠ not in Products",INDEX(Products!$A$5:$A$204,T285)))</f>
        <v/>
      </c>
      <c r="V285" s="11">
        <f>IF(J285="","",S285*(IFERROR(INDEX(Settings!$B$5:$B$9,MATCH($B285,Settings!$A$5:$A$9,0)),0)+IFERROR(INDEX(Settings!$E$5:$E$9,MATCH($B285,Settings!$A$5:$A$9,0)),0)+IFERROR(INDEX(Settings!$G$5:$G$9,MATCH($B285,Settings!$A$5:$A$9,0)),0))+(IFERROR(INDEX(Settings!$C$5:$C$9,MATCH($B285,Settings!$A$5:$A$9,0)),0)+IFERROR(INDEX(Settings!$F$5:$F$9,MATCH($B285,Settings!$A$5:$A$9,0)),0))/P285+IFERROR(INDEX(Settings!$D$5:$D$9,MATCH($B285,Settings!$A$5:$A$9,0)),0)*M285)</f>
        <v/>
      </c>
      <c r="W285" s="11">
        <f>IF(J285="","",IF(T285="",0,M285*INDEX(Products!$I$5:$I$204,T285)))</f>
        <v/>
      </c>
      <c r="X285" s="11">
        <f>IF(J285="","",IF(T285="",0,S285*INDEX(Products!$H$5:$H$204,T285)))</f>
        <v/>
      </c>
      <c r="Y285" s="11">
        <f>IF(J285="","",S285-V285-W285-X285)</f>
        <v/>
      </c>
    </row>
    <row r="286">
      <c r="A286" s="19" t="n"/>
      <c r="B286" s="19" t="n"/>
      <c r="C286" s="19" t="n"/>
      <c r="D286" s="19" t="n"/>
      <c r="E286" s="19" t="n"/>
      <c r="F286" s="20" t="n"/>
      <c r="G286" s="20" t="n"/>
      <c r="H286" s="20" t="n"/>
      <c r="I286" s="19" t="n"/>
      <c r="J286">
        <f>IFERROR(IF(C286="","",C286)&amp;"","")</f>
        <v/>
      </c>
      <c r="K286">
        <f>IFERROR(IF(D286="","",D286)&amp;"","")</f>
        <v/>
      </c>
      <c r="L286">
        <f>IFERROR(IF(I286="","",I286)&amp;"","")</f>
        <v/>
      </c>
      <c r="M286">
        <f>IF(J286="","",IFERROR(VALUE(SUBSTITUTE(SUBSTITUTE(IF(E286="","",E286)&amp;"","$",""),",","")),0))</f>
        <v/>
      </c>
      <c r="N286" s="11">
        <f>IF(J286="","",IFERROR(VALUE(SUBSTITUTE(SUBSTITUTE(IF(F286="","",F286)&amp;"","$",""),",","")),0))</f>
        <v/>
      </c>
      <c r="O286" s="11">
        <f>IF(J286="","",M286*N286)</f>
        <v/>
      </c>
      <c r="P286">
        <f>IF(J286="","",IF(L286="",1,COUNTIF($L$2:$L$1501,L286)))</f>
        <v/>
      </c>
      <c r="Q286" s="11">
        <f>IF(J286="","",IFERROR(VALUE(SUBSTITUTE(SUBSTITUTE(IF(G286="","",G286)&amp;"","$",""),",","")),0)/IF("No"="Yes",P286,1))</f>
        <v/>
      </c>
      <c r="R286" s="11">
        <f>IF(J286="","",IFERROR(VALUE(SUBSTITUTE(SUBSTITUTE(IF(H286="","",H286)&amp;"","$",""),",","")),0)/IF("No"="Yes",P286,1))</f>
        <v/>
      </c>
      <c r="S286" s="11">
        <f>IF(J286="","",O286+Q286-R286)</f>
        <v/>
      </c>
      <c r="T286">
        <f>IF(J286="","",IFERROR(IF(K286="",NA(),MATCH(K286,Products!$B$5:$B$204,0)),IFERROR(MATCH(J286,Products!$A$5:$A$204,0),"")))</f>
        <v/>
      </c>
      <c r="U286">
        <f>IF(J286="","",IF(T286="","⚠ not in Products",INDEX(Products!$A$5:$A$204,T286)))</f>
        <v/>
      </c>
      <c r="V286" s="11">
        <f>IF(J286="","",S286*(IFERROR(INDEX(Settings!$B$5:$B$9,MATCH($B286,Settings!$A$5:$A$9,0)),0)+IFERROR(INDEX(Settings!$E$5:$E$9,MATCH($B286,Settings!$A$5:$A$9,0)),0)+IFERROR(INDEX(Settings!$G$5:$G$9,MATCH($B286,Settings!$A$5:$A$9,0)),0))+(IFERROR(INDEX(Settings!$C$5:$C$9,MATCH($B286,Settings!$A$5:$A$9,0)),0)+IFERROR(INDEX(Settings!$F$5:$F$9,MATCH($B286,Settings!$A$5:$A$9,0)),0))/P286+IFERROR(INDEX(Settings!$D$5:$D$9,MATCH($B286,Settings!$A$5:$A$9,0)),0)*M286)</f>
        <v/>
      </c>
      <c r="W286" s="11">
        <f>IF(J286="","",IF(T286="",0,M286*INDEX(Products!$I$5:$I$204,T286)))</f>
        <v/>
      </c>
      <c r="X286" s="11">
        <f>IF(J286="","",IF(T286="",0,S286*INDEX(Products!$H$5:$H$204,T286)))</f>
        <v/>
      </c>
      <c r="Y286" s="11">
        <f>IF(J286="","",S286-V286-W286-X286)</f>
        <v/>
      </c>
    </row>
    <row r="287">
      <c r="A287" s="19" t="n"/>
      <c r="B287" s="19" t="n"/>
      <c r="C287" s="19" t="n"/>
      <c r="D287" s="19" t="n"/>
      <c r="E287" s="19" t="n"/>
      <c r="F287" s="20" t="n"/>
      <c r="G287" s="20" t="n"/>
      <c r="H287" s="20" t="n"/>
      <c r="I287" s="19" t="n"/>
      <c r="J287">
        <f>IFERROR(IF(C287="","",C287)&amp;"","")</f>
        <v/>
      </c>
      <c r="K287">
        <f>IFERROR(IF(D287="","",D287)&amp;"","")</f>
        <v/>
      </c>
      <c r="L287">
        <f>IFERROR(IF(I287="","",I287)&amp;"","")</f>
        <v/>
      </c>
      <c r="M287">
        <f>IF(J287="","",IFERROR(VALUE(SUBSTITUTE(SUBSTITUTE(IF(E287="","",E287)&amp;"","$",""),",","")),0))</f>
        <v/>
      </c>
      <c r="N287" s="11">
        <f>IF(J287="","",IFERROR(VALUE(SUBSTITUTE(SUBSTITUTE(IF(F287="","",F287)&amp;"","$",""),",","")),0))</f>
        <v/>
      </c>
      <c r="O287" s="11">
        <f>IF(J287="","",M287*N287)</f>
        <v/>
      </c>
      <c r="P287">
        <f>IF(J287="","",IF(L287="",1,COUNTIF($L$2:$L$1501,L287)))</f>
        <v/>
      </c>
      <c r="Q287" s="11">
        <f>IF(J287="","",IFERROR(VALUE(SUBSTITUTE(SUBSTITUTE(IF(G287="","",G287)&amp;"","$",""),",","")),0)/IF("No"="Yes",P287,1))</f>
        <v/>
      </c>
      <c r="R287" s="11">
        <f>IF(J287="","",IFERROR(VALUE(SUBSTITUTE(SUBSTITUTE(IF(H287="","",H287)&amp;"","$",""),",","")),0)/IF("No"="Yes",P287,1))</f>
        <v/>
      </c>
      <c r="S287" s="11">
        <f>IF(J287="","",O287+Q287-R287)</f>
        <v/>
      </c>
      <c r="T287">
        <f>IF(J287="","",IFERROR(IF(K287="",NA(),MATCH(K287,Products!$B$5:$B$204,0)),IFERROR(MATCH(J287,Products!$A$5:$A$204,0),"")))</f>
        <v/>
      </c>
      <c r="U287">
        <f>IF(J287="","",IF(T287="","⚠ not in Products",INDEX(Products!$A$5:$A$204,T287)))</f>
        <v/>
      </c>
      <c r="V287" s="11">
        <f>IF(J287="","",S287*(IFERROR(INDEX(Settings!$B$5:$B$9,MATCH($B287,Settings!$A$5:$A$9,0)),0)+IFERROR(INDEX(Settings!$E$5:$E$9,MATCH($B287,Settings!$A$5:$A$9,0)),0)+IFERROR(INDEX(Settings!$G$5:$G$9,MATCH($B287,Settings!$A$5:$A$9,0)),0))+(IFERROR(INDEX(Settings!$C$5:$C$9,MATCH($B287,Settings!$A$5:$A$9,0)),0)+IFERROR(INDEX(Settings!$F$5:$F$9,MATCH($B287,Settings!$A$5:$A$9,0)),0))/P287+IFERROR(INDEX(Settings!$D$5:$D$9,MATCH($B287,Settings!$A$5:$A$9,0)),0)*M287)</f>
        <v/>
      </c>
      <c r="W287" s="11">
        <f>IF(J287="","",IF(T287="",0,M287*INDEX(Products!$I$5:$I$204,T287)))</f>
        <v/>
      </c>
      <c r="X287" s="11">
        <f>IF(J287="","",IF(T287="",0,S287*INDEX(Products!$H$5:$H$204,T287)))</f>
        <v/>
      </c>
      <c r="Y287" s="11">
        <f>IF(J287="","",S287-V287-W287-X287)</f>
        <v/>
      </c>
    </row>
    <row r="288">
      <c r="A288" s="19" t="n"/>
      <c r="B288" s="19" t="n"/>
      <c r="C288" s="19" t="n"/>
      <c r="D288" s="19" t="n"/>
      <c r="E288" s="19" t="n"/>
      <c r="F288" s="20" t="n"/>
      <c r="G288" s="20" t="n"/>
      <c r="H288" s="20" t="n"/>
      <c r="I288" s="19" t="n"/>
      <c r="J288">
        <f>IFERROR(IF(C288="","",C288)&amp;"","")</f>
        <v/>
      </c>
      <c r="K288">
        <f>IFERROR(IF(D288="","",D288)&amp;"","")</f>
        <v/>
      </c>
      <c r="L288">
        <f>IFERROR(IF(I288="","",I288)&amp;"","")</f>
        <v/>
      </c>
      <c r="M288">
        <f>IF(J288="","",IFERROR(VALUE(SUBSTITUTE(SUBSTITUTE(IF(E288="","",E288)&amp;"","$",""),",","")),0))</f>
        <v/>
      </c>
      <c r="N288" s="11">
        <f>IF(J288="","",IFERROR(VALUE(SUBSTITUTE(SUBSTITUTE(IF(F288="","",F288)&amp;"","$",""),",","")),0))</f>
        <v/>
      </c>
      <c r="O288" s="11">
        <f>IF(J288="","",M288*N288)</f>
        <v/>
      </c>
      <c r="P288">
        <f>IF(J288="","",IF(L288="",1,COUNTIF($L$2:$L$1501,L288)))</f>
        <v/>
      </c>
      <c r="Q288" s="11">
        <f>IF(J288="","",IFERROR(VALUE(SUBSTITUTE(SUBSTITUTE(IF(G288="","",G288)&amp;"","$",""),",","")),0)/IF("No"="Yes",P288,1))</f>
        <v/>
      </c>
      <c r="R288" s="11">
        <f>IF(J288="","",IFERROR(VALUE(SUBSTITUTE(SUBSTITUTE(IF(H288="","",H288)&amp;"","$",""),",","")),0)/IF("No"="Yes",P288,1))</f>
        <v/>
      </c>
      <c r="S288" s="11">
        <f>IF(J288="","",O288+Q288-R288)</f>
        <v/>
      </c>
      <c r="T288">
        <f>IF(J288="","",IFERROR(IF(K288="",NA(),MATCH(K288,Products!$B$5:$B$204,0)),IFERROR(MATCH(J288,Products!$A$5:$A$204,0),"")))</f>
        <v/>
      </c>
      <c r="U288">
        <f>IF(J288="","",IF(T288="","⚠ not in Products",INDEX(Products!$A$5:$A$204,T288)))</f>
        <v/>
      </c>
      <c r="V288" s="11">
        <f>IF(J288="","",S288*(IFERROR(INDEX(Settings!$B$5:$B$9,MATCH($B288,Settings!$A$5:$A$9,0)),0)+IFERROR(INDEX(Settings!$E$5:$E$9,MATCH($B288,Settings!$A$5:$A$9,0)),0)+IFERROR(INDEX(Settings!$G$5:$G$9,MATCH($B288,Settings!$A$5:$A$9,0)),0))+(IFERROR(INDEX(Settings!$C$5:$C$9,MATCH($B288,Settings!$A$5:$A$9,0)),0)+IFERROR(INDEX(Settings!$F$5:$F$9,MATCH($B288,Settings!$A$5:$A$9,0)),0))/P288+IFERROR(INDEX(Settings!$D$5:$D$9,MATCH($B288,Settings!$A$5:$A$9,0)),0)*M288)</f>
        <v/>
      </c>
      <c r="W288" s="11">
        <f>IF(J288="","",IF(T288="",0,M288*INDEX(Products!$I$5:$I$204,T288)))</f>
        <v/>
      </c>
      <c r="X288" s="11">
        <f>IF(J288="","",IF(T288="",0,S288*INDEX(Products!$H$5:$H$204,T288)))</f>
        <v/>
      </c>
      <c r="Y288" s="11">
        <f>IF(J288="","",S288-V288-W288-X288)</f>
        <v/>
      </c>
    </row>
    <row r="289">
      <c r="A289" s="19" t="n"/>
      <c r="B289" s="19" t="n"/>
      <c r="C289" s="19" t="n"/>
      <c r="D289" s="19" t="n"/>
      <c r="E289" s="19" t="n"/>
      <c r="F289" s="20" t="n"/>
      <c r="G289" s="20" t="n"/>
      <c r="H289" s="20" t="n"/>
      <c r="I289" s="19" t="n"/>
      <c r="J289">
        <f>IFERROR(IF(C289="","",C289)&amp;"","")</f>
        <v/>
      </c>
      <c r="K289">
        <f>IFERROR(IF(D289="","",D289)&amp;"","")</f>
        <v/>
      </c>
      <c r="L289">
        <f>IFERROR(IF(I289="","",I289)&amp;"","")</f>
        <v/>
      </c>
      <c r="M289">
        <f>IF(J289="","",IFERROR(VALUE(SUBSTITUTE(SUBSTITUTE(IF(E289="","",E289)&amp;"","$",""),",","")),0))</f>
        <v/>
      </c>
      <c r="N289" s="11">
        <f>IF(J289="","",IFERROR(VALUE(SUBSTITUTE(SUBSTITUTE(IF(F289="","",F289)&amp;"","$",""),",","")),0))</f>
        <v/>
      </c>
      <c r="O289" s="11">
        <f>IF(J289="","",M289*N289)</f>
        <v/>
      </c>
      <c r="P289">
        <f>IF(J289="","",IF(L289="",1,COUNTIF($L$2:$L$1501,L289)))</f>
        <v/>
      </c>
      <c r="Q289" s="11">
        <f>IF(J289="","",IFERROR(VALUE(SUBSTITUTE(SUBSTITUTE(IF(G289="","",G289)&amp;"","$",""),",","")),0)/IF("No"="Yes",P289,1))</f>
        <v/>
      </c>
      <c r="R289" s="11">
        <f>IF(J289="","",IFERROR(VALUE(SUBSTITUTE(SUBSTITUTE(IF(H289="","",H289)&amp;"","$",""),",","")),0)/IF("No"="Yes",P289,1))</f>
        <v/>
      </c>
      <c r="S289" s="11">
        <f>IF(J289="","",O289+Q289-R289)</f>
        <v/>
      </c>
      <c r="T289">
        <f>IF(J289="","",IFERROR(IF(K289="",NA(),MATCH(K289,Products!$B$5:$B$204,0)),IFERROR(MATCH(J289,Products!$A$5:$A$204,0),"")))</f>
        <v/>
      </c>
      <c r="U289">
        <f>IF(J289="","",IF(T289="","⚠ not in Products",INDEX(Products!$A$5:$A$204,T289)))</f>
        <v/>
      </c>
      <c r="V289" s="11">
        <f>IF(J289="","",S289*(IFERROR(INDEX(Settings!$B$5:$B$9,MATCH($B289,Settings!$A$5:$A$9,0)),0)+IFERROR(INDEX(Settings!$E$5:$E$9,MATCH($B289,Settings!$A$5:$A$9,0)),0)+IFERROR(INDEX(Settings!$G$5:$G$9,MATCH($B289,Settings!$A$5:$A$9,0)),0))+(IFERROR(INDEX(Settings!$C$5:$C$9,MATCH($B289,Settings!$A$5:$A$9,0)),0)+IFERROR(INDEX(Settings!$F$5:$F$9,MATCH($B289,Settings!$A$5:$A$9,0)),0))/P289+IFERROR(INDEX(Settings!$D$5:$D$9,MATCH($B289,Settings!$A$5:$A$9,0)),0)*M289)</f>
        <v/>
      </c>
      <c r="W289" s="11">
        <f>IF(J289="","",IF(T289="",0,M289*INDEX(Products!$I$5:$I$204,T289)))</f>
        <v/>
      </c>
      <c r="X289" s="11">
        <f>IF(J289="","",IF(T289="",0,S289*INDEX(Products!$H$5:$H$204,T289)))</f>
        <v/>
      </c>
      <c r="Y289" s="11">
        <f>IF(J289="","",S289-V289-W289-X289)</f>
        <v/>
      </c>
    </row>
    <row r="290">
      <c r="A290" s="19" t="n"/>
      <c r="B290" s="19" t="n"/>
      <c r="C290" s="19" t="n"/>
      <c r="D290" s="19" t="n"/>
      <c r="E290" s="19" t="n"/>
      <c r="F290" s="20" t="n"/>
      <c r="G290" s="20" t="n"/>
      <c r="H290" s="20" t="n"/>
      <c r="I290" s="19" t="n"/>
      <c r="J290">
        <f>IFERROR(IF(C290="","",C290)&amp;"","")</f>
        <v/>
      </c>
      <c r="K290">
        <f>IFERROR(IF(D290="","",D290)&amp;"","")</f>
        <v/>
      </c>
      <c r="L290">
        <f>IFERROR(IF(I290="","",I290)&amp;"","")</f>
        <v/>
      </c>
      <c r="M290">
        <f>IF(J290="","",IFERROR(VALUE(SUBSTITUTE(SUBSTITUTE(IF(E290="","",E290)&amp;"","$",""),",","")),0))</f>
        <v/>
      </c>
      <c r="N290" s="11">
        <f>IF(J290="","",IFERROR(VALUE(SUBSTITUTE(SUBSTITUTE(IF(F290="","",F290)&amp;"","$",""),",","")),0))</f>
        <v/>
      </c>
      <c r="O290" s="11">
        <f>IF(J290="","",M290*N290)</f>
        <v/>
      </c>
      <c r="P290">
        <f>IF(J290="","",IF(L290="",1,COUNTIF($L$2:$L$1501,L290)))</f>
        <v/>
      </c>
      <c r="Q290" s="11">
        <f>IF(J290="","",IFERROR(VALUE(SUBSTITUTE(SUBSTITUTE(IF(G290="","",G290)&amp;"","$",""),",","")),0)/IF("No"="Yes",P290,1))</f>
        <v/>
      </c>
      <c r="R290" s="11">
        <f>IF(J290="","",IFERROR(VALUE(SUBSTITUTE(SUBSTITUTE(IF(H290="","",H290)&amp;"","$",""),",","")),0)/IF("No"="Yes",P290,1))</f>
        <v/>
      </c>
      <c r="S290" s="11">
        <f>IF(J290="","",O290+Q290-R290)</f>
        <v/>
      </c>
      <c r="T290">
        <f>IF(J290="","",IFERROR(IF(K290="",NA(),MATCH(K290,Products!$B$5:$B$204,0)),IFERROR(MATCH(J290,Products!$A$5:$A$204,0),"")))</f>
        <v/>
      </c>
      <c r="U290">
        <f>IF(J290="","",IF(T290="","⚠ not in Products",INDEX(Products!$A$5:$A$204,T290)))</f>
        <v/>
      </c>
      <c r="V290" s="11">
        <f>IF(J290="","",S290*(IFERROR(INDEX(Settings!$B$5:$B$9,MATCH($B290,Settings!$A$5:$A$9,0)),0)+IFERROR(INDEX(Settings!$E$5:$E$9,MATCH($B290,Settings!$A$5:$A$9,0)),0)+IFERROR(INDEX(Settings!$G$5:$G$9,MATCH($B290,Settings!$A$5:$A$9,0)),0))+(IFERROR(INDEX(Settings!$C$5:$C$9,MATCH($B290,Settings!$A$5:$A$9,0)),0)+IFERROR(INDEX(Settings!$F$5:$F$9,MATCH($B290,Settings!$A$5:$A$9,0)),0))/P290+IFERROR(INDEX(Settings!$D$5:$D$9,MATCH($B290,Settings!$A$5:$A$9,0)),0)*M290)</f>
        <v/>
      </c>
      <c r="W290" s="11">
        <f>IF(J290="","",IF(T290="",0,M290*INDEX(Products!$I$5:$I$204,T290)))</f>
        <v/>
      </c>
      <c r="X290" s="11">
        <f>IF(J290="","",IF(T290="",0,S290*INDEX(Products!$H$5:$H$204,T290)))</f>
        <v/>
      </c>
      <c r="Y290" s="11">
        <f>IF(J290="","",S290-V290-W290-X290)</f>
        <v/>
      </c>
    </row>
    <row r="291">
      <c r="A291" s="19" t="n"/>
      <c r="B291" s="19" t="n"/>
      <c r="C291" s="19" t="n"/>
      <c r="D291" s="19" t="n"/>
      <c r="E291" s="19" t="n"/>
      <c r="F291" s="20" t="n"/>
      <c r="G291" s="20" t="n"/>
      <c r="H291" s="20" t="n"/>
      <c r="I291" s="19" t="n"/>
      <c r="J291">
        <f>IFERROR(IF(C291="","",C291)&amp;"","")</f>
        <v/>
      </c>
      <c r="K291">
        <f>IFERROR(IF(D291="","",D291)&amp;"","")</f>
        <v/>
      </c>
      <c r="L291">
        <f>IFERROR(IF(I291="","",I291)&amp;"","")</f>
        <v/>
      </c>
      <c r="M291">
        <f>IF(J291="","",IFERROR(VALUE(SUBSTITUTE(SUBSTITUTE(IF(E291="","",E291)&amp;"","$",""),",","")),0))</f>
        <v/>
      </c>
      <c r="N291" s="11">
        <f>IF(J291="","",IFERROR(VALUE(SUBSTITUTE(SUBSTITUTE(IF(F291="","",F291)&amp;"","$",""),",","")),0))</f>
        <v/>
      </c>
      <c r="O291" s="11">
        <f>IF(J291="","",M291*N291)</f>
        <v/>
      </c>
      <c r="P291">
        <f>IF(J291="","",IF(L291="",1,COUNTIF($L$2:$L$1501,L291)))</f>
        <v/>
      </c>
      <c r="Q291" s="11">
        <f>IF(J291="","",IFERROR(VALUE(SUBSTITUTE(SUBSTITUTE(IF(G291="","",G291)&amp;"","$",""),",","")),0)/IF("No"="Yes",P291,1))</f>
        <v/>
      </c>
      <c r="R291" s="11">
        <f>IF(J291="","",IFERROR(VALUE(SUBSTITUTE(SUBSTITUTE(IF(H291="","",H291)&amp;"","$",""),",","")),0)/IF("No"="Yes",P291,1))</f>
        <v/>
      </c>
      <c r="S291" s="11">
        <f>IF(J291="","",O291+Q291-R291)</f>
        <v/>
      </c>
      <c r="T291">
        <f>IF(J291="","",IFERROR(IF(K291="",NA(),MATCH(K291,Products!$B$5:$B$204,0)),IFERROR(MATCH(J291,Products!$A$5:$A$204,0),"")))</f>
        <v/>
      </c>
      <c r="U291">
        <f>IF(J291="","",IF(T291="","⚠ not in Products",INDEX(Products!$A$5:$A$204,T291)))</f>
        <v/>
      </c>
      <c r="V291" s="11">
        <f>IF(J291="","",S291*(IFERROR(INDEX(Settings!$B$5:$B$9,MATCH($B291,Settings!$A$5:$A$9,0)),0)+IFERROR(INDEX(Settings!$E$5:$E$9,MATCH($B291,Settings!$A$5:$A$9,0)),0)+IFERROR(INDEX(Settings!$G$5:$G$9,MATCH($B291,Settings!$A$5:$A$9,0)),0))+(IFERROR(INDEX(Settings!$C$5:$C$9,MATCH($B291,Settings!$A$5:$A$9,0)),0)+IFERROR(INDEX(Settings!$F$5:$F$9,MATCH($B291,Settings!$A$5:$A$9,0)),0))/P291+IFERROR(INDEX(Settings!$D$5:$D$9,MATCH($B291,Settings!$A$5:$A$9,0)),0)*M291)</f>
        <v/>
      </c>
      <c r="W291" s="11">
        <f>IF(J291="","",IF(T291="",0,M291*INDEX(Products!$I$5:$I$204,T291)))</f>
        <v/>
      </c>
      <c r="X291" s="11">
        <f>IF(J291="","",IF(T291="",0,S291*INDEX(Products!$H$5:$H$204,T291)))</f>
        <v/>
      </c>
      <c r="Y291" s="11">
        <f>IF(J291="","",S291-V291-W291-X291)</f>
        <v/>
      </c>
    </row>
    <row r="292">
      <c r="A292" s="19" t="n"/>
      <c r="B292" s="19" t="n"/>
      <c r="C292" s="19" t="n"/>
      <c r="D292" s="19" t="n"/>
      <c r="E292" s="19" t="n"/>
      <c r="F292" s="20" t="n"/>
      <c r="G292" s="20" t="n"/>
      <c r="H292" s="20" t="n"/>
      <c r="I292" s="19" t="n"/>
      <c r="J292">
        <f>IFERROR(IF(C292="","",C292)&amp;"","")</f>
        <v/>
      </c>
      <c r="K292">
        <f>IFERROR(IF(D292="","",D292)&amp;"","")</f>
        <v/>
      </c>
      <c r="L292">
        <f>IFERROR(IF(I292="","",I292)&amp;"","")</f>
        <v/>
      </c>
      <c r="M292">
        <f>IF(J292="","",IFERROR(VALUE(SUBSTITUTE(SUBSTITUTE(IF(E292="","",E292)&amp;"","$",""),",","")),0))</f>
        <v/>
      </c>
      <c r="N292" s="11">
        <f>IF(J292="","",IFERROR(VALUE(SUBSTITUTE(SUBSTITUTE(IF(F292="","",F292)&amp;"","$",""),",","")),0))</f>
        <v/>
      </c>
      <c r="O292" s="11">
        <f>IF(J292="","",M292*N292)</f>
        <v/>
      </c>
      <c r="P292">
        <f>IF(J292="","",IF(L292="",1,COUNTIF($L$2:$L$1501,L292)))</f>
        <v/>
      </c>
      <c r="Q292" s="11">
        <f>IF(J292="","",IFERROR(VALUE(SUBSTITUTE(SUBSTITUTE(IF(G292="","",G292)&amp;"","$",""),",","")),0)/IF("No"="Yes",P292,1))</f>
        <v/>
      </c>
      <c r="R292" s="11">
        <f>IF(J292="","",IFERROR(VALUE(SUBSTITUTE(SUBSTITUTE(IF(H292="","",H292)&amp;"","$",""),",","")),0)/IF("No"="Yes",P292,1))</f>
        <v/>
      </c>
      <c r="S292" s="11">
        <f>IF(J292="","",O292+Q292-R292)</f>
        <v/>
      </c>
      <c r="T292">
        <f>IF(J292="","",IFERROR(IF(K292="",NA(),MATCH(K292,Products!$B$5:$B$204,0)),IFERROR(MATCH(J292,Products!$A$5:$A$204,0),"")))</f>
        <v/>
      </c>
      <c r="U292">
        <f>IF(J292="","",IF(T292="","⚠ not in Products",INDEX(Products!$A$5:$A$204,T292)))</f>
        <v/>
      </c>
      <c r="V292" s="11">
        <f>IF(J292="","",S292*(IFERROR(INDEX(Settings!$B$5:$B$9,MATCH($B292,Settings!$A$5:$A$9,0)),0)+IFERROR(INDEX(Settings!$E$5:$E$9,MATCH($B292,Settings!$A$5:$A$9,0)),0)+IFERROR(INDEX(Settings!$G$5:$G$9,MATCH($B292,Settings!$A$5:$A$9,0)),0))+(IFERROR(INDEX(Settings!$C$5:$C$9,MATCH($B292,Settings!$A$5:$A$9,0)),0)+IFERROR(INDEX(Settings!$F$5:$F$9,MATCH($B292,Settings!$A$5:$A$9,0)),0))/P292+IFERROR(INDEX(Settings!$D$5:$D$9,MATCH($B292,Settings!$A$5:$A$9,0)),0)*M292)</f>
        <v/>
      </c>
      <c r="W292" s="11">
        <f>IF(J292="","",IF(T292="",0,M292*INDEX(Products!$I$5:$I$204,T292)))</f>
        <v/>
      </c>
      <c r="X292" s="11">
        <f>IF(J292="","",IF(T292="",0,S292*INDEX(Products!$H$5:$H$204,T292)))</f>
        <v/>
      </c>
      <c r="Y292" s="11">
        <f>IF(J292="","",S292-V292-W292-X292)</f>
        <v/>
      </c>
    </row>
    <row r="293">
      <c r="A293" s="19" t="n"/>
      <c r="B293" s="19" t="n"/>
      <c r="C293" s="19" t="n"/>
      <c r="D293" s="19" t="n"/>
      <c r="E293" s="19" t="n"/>
      <c r="F293" s="20" t="n"/>
      <c r="G293" s="20" t="n"/>
      <c r="H293" s="20" t="n"/>
      <c r="I293" s="19" t="n"/>
      <c r="J293">
        <f>IFERROR(IF(C293="","",C293)&amp;"","")</f>
        <v/>
      </c>
      <c r="K293">
        <f>IFERROR(IF(D293="","",D293)&amp;"","")</f>
        <v/>
      </c>
      <c r="L293">
        <f>IFERROR(IF(I293="","",I293)&amp;"","")</f>
        <v/>
      </c>
      <c r="M293">
        <f>IF(J293="","",IFERROR(VALUE(SUBSTITUTE(SUBSTITUTE(IF(E293="","",E293)&amp;"","$",""),",","")),0))</f>
        <v/>
      </c>
      <c r="N293" s="11">
        <f>IF(J293="","",IFERROR(VALUE(SUBSTITUTE(SUBSTITUTE(IF(F293="","",F293)&amp;"","$",""),",","")),0))</f>
        <v/>
      </c>
      <c r="O293" s="11">
        <f>IF(J293="","",M293*N293)</f>
        <v/>
      </c>
      <c r="P293">
        <f>IF(J293="","",IF(L293="",1,COUNTIF($L$2:$L$1501,L293)))</f>
        <v/>
      </c>
      <c r="Q293" s="11">
        <f>IF(J293="","",IFERROR(VALUE(SUBSTITUTE(SUBSTITUTE(IF(G293="","",G293)&amp;"","$",""),",","")),0)/IF("No"="Yes",P293,1))</f>
        <v/>
      </c>
      <c r="R293" s="11">
        <f>IF(J293="","",IFERROR(VALUE(SUBSTITUTE(SUBSTITUTE(IF(H293="","",H293)&amp;"","$",""),",","")),0)/IF("No"="Yes",P293,1))</f>
        <v/>
      </c>
      <c r="S293" s="11">
        <f>IF(J293="","",O293+Q293-R293)</f>
        <v/>
      </c>
      <c r="T293">
        <f>IF(J293="","",IFERROR(IF(K293="",NA(),MATCH(K293,Products!$B$5:$B$204,0)),IFERROR(MATCH(J293,Products!$A$5:$A$204,0),"")))</f>
        <v/>
      </c>
      <c r="U293">
        <f>IF(J293="","",IF(T293="","⚠ not in Products",INDEX(Products!$A$5:$A$204,T293)))</f>
        <v/>
      </c>
      <c r="V293" s="11">
        <f>IF(J293="","",S293*(IFERROR(INDEX(Settings!$B$5:$B$9,MATCH($B293,Settings!$A$5:$A$9,0)),0)+IFERROR(INDEX(Settings!$E$5:$E$9,MATCH($B293,Settings!$A$5:$A$9,0)),0)+IFERROR(INDEX(Settings!$G$5:$G$9,MATCH($B293,Settings!$A$5:$A$9,0)),0))+(IFERROR(INDEX(Settings!$C$5:$C$9,MATCH($B293,Settings!$A$5:$A$9,0)),0)+IFERROR(INDEX(Settings!$F$5:$F$9,MATCH($B293,Settings!$A$5:$A$9,0)),0))/P293+IFERROR(INDEX(Settings!$D$5:$D$9,MATCH($B293,Settings!$A$5:$A$9,0)),0)*M293)</f>
        <v/>
      </c>
      <c r="W293" s="11">
        <f>IF(J293="","",IF(T293="",0,M293*INDEX(Products!$I$5:$I$204,T293)))</f>
        <v/>
      </c>
      <c r="X293" s="11">
        <f>IF(J293="","",IF(T293="",0,S293*INDEX(Products!$H$5:$H$204,T293)))</f>
        <v/>
      </c>
      <c r="Y293" s="11">
        <f>IF(J293="","",S293-V293-W293-X293)</f>
        <v/>
      </c>
    </row>
    <row r="294">
      <c r="A294" s="19" t="n"/>
      <c r="B294" s="19" t="n"/>
      <c r="C294" s="19" t="n"/>
      <c r="D294" s="19" t="n"/>
      <c r="E294" s="19" t="n"/>
      <c r="F294" s="20" t="n"/>
      <c r="G294" s="20" t="n"/>
      <c r="H294" s="20" t="n"/>
      <c r="I294" s="19" t="n"/>
      <c r="J294">
        <f>IFERROR(IF(C294="","",C294)&amp;"","")</f>
        <v/>
      </c>
      <c r="K294">
        <f>IFERROR(IF(D294="","",D294)&amp;"","")</f>
        <v/>
      </c>
      <c r="L294">
        <f>IFERROR(IF(I294="","",I294)&amp;"","")</f>
        <v/>
      </c>
      <c r="M294">
        <f>IF(J294="","",IFERROR(VALUE(SUBSTITUTE(SUBSTITUTE(IF(E294="","",E294)&amp;"","$",""),",","")),0))</f>
        <v/>
      </c>
      <c r="N294" s="11">
        <f>IF(J294="","",IFERROR(VALUE(SUBSTITUTE(SUBSTITUTE(IF(F294="","",F294)&amp;"","$",""),",","")),0))</f>
        <v/>
      </c>
      <c r="O294" s="11">
        <f>IF(J294="","",M294*N294)</f>
        <v/>
      </c>
      <c r="P294">
        <f>IF(J294="","",IF(L294="",1,COUNTIF($L$2:$L$1501,L294)))</f>
        <v/>
      </c>
      <c r="Q294" s="11">
        <f>IF(J294="","",IFERROR(VALUE(SUBSTITUTE(SUBSTITUTE(IF(G294="","",G294)&amp;"","$",""),",","")),0)/IF("No"="Yes",P294,1))</f>
        <v/>
      </c>
      <c r="R294" s="11">
        <f>IF(J294="","",IFERROR(VALUE(SUBSTITUTE(SUBSTITUTE(IF(H294="","",H294)&amp;"","$",""),",","")),0)/IF("No"="Yes",P294,1))</f>
        <v/>
      </c>
      <c r="S294" s="11">
        <f>IF(J294="","",O294+Q294-R294)</f>
        <v/>
      </c>
      <c r="T294">
        <f>IF(J294="","",IFERROR(IF(K294="",NA(),MATCH(K294,Products!$B$5:$B$204,0)),IFERROR(MATCH(J294,Products!$A$5:$A$204,0),"")))</f>
        <v/>
      </c>
      <c r="U294">
        <f>IF(J294="","",IF(T294="","⚠ not in Products",INDEX(Products!$A$5:$A$204,T294)))</f>
        <v/>
      </c>
      <c r="V294" s="11">
        <f>IF(J294="","",S294*(IFERROR(INDEX(Settings!$B$5:$B$9,MATCH($B294,Settings!$A$5:$A$9,0)),0)+IFERROR(INDEX(Settings!$E$5:$E$9,MATCH($B294,Settings!$A$5:$A$9,0)),0)+IFERROR(INDEX(Settings!$G$5:$G$9,MATCH($B294,Settings!$A$5:$A$9,0)),0))+(IFERROR(INDEX(Settings!$C$5:$C$9,MATCH($B294,Settings!$A$5:$A$9,0)),0)+IFERROR(INDEX(Settings!$F$5:$F$9,MATCH($B294,Settings!$A$5:$A$9,0)),0))/P294+IFERROR(INDEX(Settings!$D$5:$D$9,MATCH($B294,Settings!$A$5:$A$9,0)),0)*M294)</f>
        <v/>
      </c>
      <c r="W294" s="11">
        <f>IF(J294="","",IF(T294="",0,M294*INDEX(Products!$I$5:$I$204,T294)))</f>
        <v/>
      </c>
      <c r="X294" s="11">
        <f>IF(J294="","",IF(T294="",0,S294*INDEX(Products!$H$5:$H$204,T294)))</f>
        <v/>
      </c>
      <c r="Y294" s="11">
        <f>IF(J294="","",S294-V294-W294-X294)</f>
        <v/>
      </c>
    </row>
    <row r="295">
      <c r="A295" s="19" t="n"/>
      <c r="B295" s="19" t="n"/>
      <c r="C295" s="19" t="n"/>
      <c r="D295" s="19" t="n"/>
      <c r="E295" s="19" t="n"/>
      <c r="F295" s="20" t="n"/>
      <c r="G295" s="20" t="n"/>
      <c r="H295" s="20" t="n"/>
      <c r="I295" s="19" t="n"/>
      <c r="J295">
        <f>IFERROR(IF(C295="","",C295)&amp;"","")</f>
        <v/>
      </c>
      <c r="K295">
        <f>IFERROR(IF(D295="","",D295)&amp;"","")</f>
        <v/>
      </c>
      <c r="L295">
        <f>IFERROR(IF(I295="","",I295)&amp;"","")</f>
        <v/>
      </c>
      <c r="M295">
        <f>IF(J295="","",IFERROR(VALUE(SUBSTITUTE(SUBSTITUTE(IF(E295="","",E295)&amp;"","$",""),",","")),0))</f>
        <v/>
      </c>
      <c r="N295" s="11">
        <f>IF(J295="","",IFERROR(VALUE(SUBSTITUTE(SUBSTITUTE(IF(F295="","",F295)&amp;"","$",""),",","")),0))</f>
        <v/>
      </c>
      <c r="O295" s="11">
        <f>IF(J295="","",M295*N295)</f>
        <v/>
      </c>
      <c r="P295">
        <f>IF(J295="","",IF(L295="",1,COUNTIF($L$2:$L$1501,L295)))</f>
        <v/>
      </c>
      <c r="Q295" s="11">
        <f>IF(J295="","",IFERROR(VALUE(SUBSTITUTE(SUBSTITUTE(IF(G295="","",G295)&amp;"","$",""),",","")),0)/IF("No"="Yes",P295,1))</f>
        <v/>
      </c>
      <c r="R295" s="11">
        <f>IF(J295="","",IFERROR(VALUE(SUBSTITUTE(SUBSTITUTE(IF(H295="","",H295)&amp;"","$",""),",","")),0)/IF("No"="Yes",P295,1))</f>
        <v/>
      </c>
      <c r="S295" s="11">
        <f>IF(J295="","",O295+Q295-R295)</f>
        <v/>
      </c>
      <c r="T295">
        <f>IF(J295="","",IFERROR(IF(K295="",NA(),MATCH(K295,Products!$B$5:$B$204,0)),IFERROR(MATCH(J295,Products!$A$5:$A$204,0),"")))</f>
        <v/>
      </c>
      <c r="U295">
        <f>IF(J295="","",IF(T295="","⚠ not in Products",INDEX(Products!$A$5:$A$204,T295)))</f>
        <v/>
      </c>
      <c r="V295" s="11">
        <f>IF(J295="","",S295*(IFERROR(INDEX(Settings!$B$5:$B$9,MATCH($B295,Settings!$A$5:$A$9,0)),0)+IFERROR(INDEX(Settings!$E$5:$E$9,MATCH($B295,Settings!$A$5:$A$9,0)),0)+IFERROR(INDEX(Settings!$G$5:$G$9,MATCH($B295,Settings!$A$5:$A$9,0)),0))+(IFERROR(INDEX(Settings!$C$5:$C$9,MATCH($B295,Settings!$A$5:$A$9,0)),0)+IFERROR(INDEX(Settings!$F$5:$F$9,MATCH($B295,Settings!$A$5:$A$9,0)),0))/P295+IFERROR(INDEX(Settings!$D$5:$D$9,MATCH($B295,Settings!$A$5:$A$9,0)),0)*M295)</f>
        <v/>
      </c>
      <c r="W295" s="11">
        <f>IF(J295="","",IF(T295="",0,M295*INDEX(Products!$I$5:$I$204,T295)))</f>
        <v/>
      </c>
      <c r="X295" s="11">
        <f>IF(J295="","",IF(T295="",0,S295*INDEX(Products!$H$5:$H$204,T295)))</f>
        <v/>
      </c>
      <c r="Y295" s="11">
        <f>IF(J295="","",S295-V295-W295-X295)</f>
        <v/>
      </c>
    </row>
    <row r="296">
      <c r="A296" s="19" t="n"/>
      <c r="B296" s="19" t="n"/>
      <c r="C296" s="19" t="n"/>
      <c r="D296" s="19" t="n"/>
      <c r="E296" s="19" t="n"/>
      <c r="F296" s="20" t="n"/>
      <c r="G296" s="20" t="n"/>
      <c r="H296" s="20" t="n"/>
      <c r="I296" s="19" t="n"/>
      <c r="J296">
        <f>IFERROR(IF(C296="","",C296)&amp;"","")</f>
        <v/>
      </c>
      <c r="K296">
        <f>IFERROR(IF(D296="","",D296)&amp;"","")</f>
        <v/>
      </c>
      <c r="L296">
        <f>IFERROR(IF(I296="","",I296)&amp;"","")</f>
        <v/>
      </c>
      <c r="M296">
        <f>IF(J296="","",IFERROR(VALUE(SUBSTITUTE(SUBSTITUTE(IF(E296="","",E296)&amp;"","$",""),",","")),0))</f>
        <v/>
      </c>
      <c r="N296" s="11">
        <f>IF(J296="","",IFERROR(VALUE(SUBSTITUTE(SUBSTITUTE(IF(F296="","",F296)&amp;"","$",""),",","")),0))</f>
        <v/>
      </c>
      <c r="O296" s="11">
        <f>IF(J296="","",M296*N296)</f>
        <v/>
      </c>
      <c r="P296">
        <f>IF(J296="","",IF(L296="",1,COUNTIF($L$2:$L$1501,L296)))</f>
        <v/>
      </c>
      <c r="Q296" s="11">
        <f>IF(J296="","",IFERROR(VALUE(SUBSTITUTE(SUBSTITUTE(IF(G296="","",G296)&amp;"","$",""),",","")),0)/IF("No"="Yes",P296,1))</f>
        <v/>
      </c>
      <c r="R296" s="11">
        <f>IF(J296="","",IFERROR(VALUE(SUBSTITUTE(SUBSTITUTE(IF(H296="","",H296)&amp;"","$",""),",","")),0)/IF("No"="Yes",P296,1))</f>
        <v/>
      </c>
      <c r="S296" s="11">
        <f>IF(J296="","",O296+Q296-R296)</f>
        <v/>
      </c>
      <c r="T296">
        <f>IF(J296="","",IFERROR(IF(K296="",NA(),MATCH(K296,Products!$B$5:$B$204,0)),IFERROR(MATCH(J296,Products!$A$5:$A$204,0),"")))</f>
        <v/>
      </c>
      <c r="U296">
        <f>IF(J296="","",IF(T296="","⚠ not in Products",INDEX(Products!$A$5:$A$204,T296)))</f>
        <v/>
      </c>
      <c r="V296" s="11">
        <f>IF(J296="","",S296*(IFERROR(INDEX(Settings!$B$5:$B$9,MATCH($B296,Settings!$A$5:$A$9,0)),0)+IFERROR(INDEX(Settings!$E$5:$E$9,MATCH($B296,Settings!$A$5:$A$9,0)),0)+IFERROR(INDEX(Settings!$G$5:$G$9,MATCH($B296,Settings!$A$5:$A$9,0)),0))+(IFERROR(INDEX(Settings!$C$5:$C$9,MATCH($B296,Settings!$A$5:$A$9,0)),0)+IFERROR(INDEX(Settings!$F$5:$F$9,MATCH($B296,Settings!$A$5:$A$9,0)),0))/P296+IFERROR(INDEX(Settings!$D$5:$D$9,MATCH($B296,Settings!$A$5:$A$9,0)),0)*M296)</f>
        <v/>
      </c>
      <c r="W296" s="11">
        <f>IF(J296="","",IF(T296="",0,M296*INDEX(Products!$I$5:$I$204,T296)))</f>
        <v/>
      </c>
      <c r="X296" s="11">
        <f>IF(J296="","",IF(T296="",0,S296*INDEX(Products!$H$5:$H$204,T296)))</f>
        <v/>
      </c>
      <c r="Y296" s="11">
        <f>IF(J296="","",S296-V296-W296-X296)</f>
        <v/>
      </c>
    </row>
    <row r="297">
      <c r="A297" s="19" t="n"/>
      <c r="B297" s="19" t="n"/>
      <c r="C297" s="19" t="n"/>
      <c r="D297" s="19" t="n"/>
      <c r="E297" s="19" t="n"/>
      <c r="F297" s="20" t="n"/>
      <c r="G297" s="20" t="n"/>
      <c r="H297" s="20" t="n"/>
      <c r="I297" s="19" t="n"/>
      <c r="J297">
        <f>IFERROR(IF(C297="","",C297)&amp;"","")</f>
        <v/>
      </c>
      <c r="K297">
        <f>IFERROR(IF(D297="","",D297)&amp;"","")</f>
        <v/>
      </c>
      <c r="L297">
        <f>IFERROR(IF(I297="","",I297)&amp;"","")</f>
        <v/>
      </c>
      <c r="M297">
        <f>IF(J297="","",IFERROR(VALUE(SUBSTITUTE(SUBSTITUTE(IF(E297="","",E297)&amp;"","$",""),",","")),0))</f>
        <v/>
      </c>
      <c r="N297" s="11">
        <f>IF(J297="","",IFERROR(VALUE(SUBSTITUTE(SUBSTITUTE(IF(F297="","",F297)&amp;"","$",""),",","")),0))</f>
        <v/>
      </c>
      <c r="O297" s="11">
        <f>IF(J297="","",M297*N297)</f>
        <v/>
      </c>
      <c r="P297">
        <f>IF(J297="","",IF(L297="",1,COUNTIF($L$2:$L$1501,L297)))</f>
        <v/>
      </c>
      <c r="Q297" s="11">
        <f>IF(J297="","",IFERROR(VALUE(SUBSTITUTE(SUBSTITUTE(IF(G297="","",G297)&amp;"","$",""),",","")),0)/IF("No"="Yes",P297,1))</f>
        <v/>
      </c>
      <c r="R297" s="11">
        <f>IF(J297="","",IFERROR(VALUE(SUBSTITUTE(SUBSTITUTE(IF(H297="","",H297)&amp;"","$",""),",","")),0)/IF("No"="Yes",P297,1))</f>
        <v/>
      </c>
      <c r="S297" s="11">
        <f>IF(J297="","",O297+Q297-R297)</f>
        <v/>
      </c>
      <c r="T297">
        <f>IF(J297="","",IFERROR(IF(K297="",NA(),MATCH(K297,Products!$B$5:$B$204,0)),IFERROR(MATCH(J297,Products!$A$5:$A$204,0),"")))</f>
        <v/>
      </c>
      <c r="U297">
        <f>IF(J297="","",IF(T297="","⚠ not in Products",INDEX(Products!$A$5:$A$204,T297)))</f>
        <v/>
      </c>
      <c r="V297" s="11">
        <f>IF(J297="","",S297*(IFERROR(INDEX(Settings!$B$5:$B$9,MATCH($B297,Settings!$A$5:$A$9,0)),0)+IFERROR(INDEX(Settings!$E$5:$E$9,MATCH($B297,Settings!$A$5:$A$9,0)),0)+IFERROR(INDEX(Settings!$G$5:$G$9,MATCH($B297,Settings!$A$5:$A$9,0)),0))+(IFERROR(INDEX(Settings!$C$5:$C$9,MATCH($B297,Settings!$A$5:$A$9,0)),0)+IFERROR(INDEX(Settings!$F$5:$F$9,MATCH($B297,Settings!$A$5:$A$9,0)),0))/P297+IFERROR(INDEX(Settings!$D$5:$D$9,MATCH($B297,Settings!$A$5:$A$9,0)),0)*M297)</f>
        <v/>
      </c>
      <c r="W297" s="11">
        <f>IF(J297="","",IF(T297="",0,M297*INDEX(Products!$I$5:$I$204,T297)))</f>
        <v/>
      </c>
      <c r="X297" s="11">
        <f>IF(J297="","",IF(T297="",0,S297*INDEX(Products!$H$5:$H$204,T297)))</f>
        <v/>
      </c>
      <c r="Y297" s="11">
        <f>IF(J297="","",S297-V297-W297-X297)</f>
        <v/>
      </c>
    </row>
    <row r="298">
      <c r="A298" s="19" t="n"/>
      <c r="B298" s="19" t="n"/>
      <c r="C298" s="19" t="n"/>
      <c r="D298" s="19" t="n"/>
      <c r="E298" s="19" t="n"/>
      <c r="F298" s="20" t="n"/>
      <c r="G298" s="20" t="n"/>
      <c r="H298" s="20" t="n"/>
      <c r="I298" s="19" t="n"/>
      <c r="J298">
        <f>IFERROR(IF(C298="","",C298)&amp;"","")</f>
        <v/>
      </c>
      <c r="K298">
        <f>IFERROR(IF(D298="","",D298)&amp;"","")</f>
        <v/>
      </c>
      <c r="L298">
        <f>IFERROR(IF(I298="","",I298)&amp;"","")</f>
        <v/>
      </c>
      <c r="M298">
        <f>IF(J298="","",IFERROR(VALUE(SUBSTITUTE(SUBSTITUTE(IF(E298="","",E298)&amp;"","$",""),",","")),0))</f>
        <v/>
      </c>
      <c r="N298" s="11">
        <f>IF(J298="","",IFERROR(VALUE(SUBSTITUTE(SUBSTITUTE(IF(F298="","",F298)&amp;"","$",""),",","")),0))</f>
        <v/>
      </c>
      <c r="O298" s="11">
        <f>IF(J298="","",M298*N298)</f>
        <v/>
      </c>
      <c r="P298">
        <f>IF(J298="","",IF(L298="",1,COUNTIF($L$2:$L$1501,L298)))</f>
        <v/>
      </c>
      <c r="Q298" s="11">
        <f>IF(J298="","",IFERROR(VALUE(SUBSTITUTE(SUBSTITUTE(IF(G298="","",G298)&amp;"","$",""),",","")),0)/IF("No"="Yes",P298,1))</f>
        <v/>
      </c>
      <c r="R298" s="11">
        <f>IF(J298="","",IFERROR(VALUE(SUBSTITUTE(SUBSTITUTE(IF(H298="","",H298)&amp;"","$",""),",","")),0)/IF("No"="Yes",P298,1))</f>
        <v/>
      </c>
      <c r="S298" s="11">
        <f>IF(J298="","",O298+Q298-R298)</f>
        <v/>
      </c>
      <c r="T298">
        <f>IF(J298="","",IFERROR(IF(K298="",NA(),MATCH(K298,Products!$B$5:$B$204,0)),IFERROR(MATCH(J298,Products!$A$5:$A$204,0),"")))</f>
        <v/>
      </c>
      <c r="U298">
        <f>IF(J298="","",IF(T298="","⚠ not in Products",INDEX(Products!$A$5:$A$204,T298)))</f>
        <v/>
      </c>
      <c r="V298" s="11">
        <f>IF(J298="","",S298*(IFERROR(INDEX(Settings!$B$5:$B$9,MATCH($B298,Settings!$A$5:$A$9,0)),0)+IFERROR(INDEX(Settings!$E$5:$E$9,MATCH($B298,Settings!$A$5:$A$9,0)),0)+IFERROR(INDEX(Settings!$G$5:$G$9,MATCH($B298,Settings!$A$5:$A$9,0)),0))+(IFERROR(INDEX(Settings!$C$5:$C$9,MATCH($B298,Settings!$A$5:$A$9,0)),0)+IFERROR(INDEX(Settings!$F$5:$F$9,MATCH($B298,Settings!$A$5:$A$9,0)),0))/P298+IFERROR(INDEX(Settings!$D$5:$D$9,MATCH($B298,Settings!$A$5:$A$9,0)),0)*M298)</f>
        <v/>
      </c>
      <c r="W298" s="11">
        <f>IF(J298="","",IF(T298="",0,M298*INDEX(Products!$I$5:$I$204,T298)))</f>
        <v/>
      </c>
      <c r="X298" s="11">
        <f>IF(J298="","",IF(T298="",0,S298*INDEX(Products!$H$5:$H$204,T298)))</f>
        <v/>
      </c>
      <c r="Y298" s="11">
        <f>IF(J298="","",S298-V298-W298-X298)</f>
        <v/>
      </c>
    </row>
    <row r="299">
      <c r="A299" s="19" t="n"/>
      <c r="B299" s="19" t="n"/>
      <c r="C299" s="19" t="n"/>
      <c r="D299" s="19" t="n"/>
      <c r="E299" s="19" t="n"/>
      <c r="F299" s="20" t="n"/>
      <c r="G299" s="20" t="n"/>
      <c r="H299" s="20" t="n"/>
      <c r="I299" s="19" t="n"/>
      <c r="J299">
        <f>IFERROR(IF(C299="","",C299)&amp;"","")</f>
        <v/>
      </c>
      <c r="K299">
        <f>IFERROR(IF(D299="","",D299)&amp;"","")</f>
        <v/>
      </c>
      <c r="L299">
        <f>IFERROR(IF(I299="","",I299)&amp;"","")</f>
        <v/>
      </c>
      <c r="M299">
        <f>IF(J299="","",IFERROR(VALUE(SUBSTITUTE(SUBSTITUTE(IF(E299="","",E299)&amp;"","$",""),",","")),0))</f>
        <v/>
      </c>
      <c r="N299" s="11">
        <f>IF(J299="","",IFERROR(VALUE(SUBSTITUTE(SUBSTITUTE(IF(F299="","",F299)&amp;"","$",""),",","")),0))</f>
        <v/>
      </c>
      <c r="O299" s="11">
        <f>IF(J299="","",M299*N299)</f>
        <v/>
      </c>
      <c r="P299">
        <f>IF(J299="","",IF(L299="",1,COUNTIF($L$2:$L$1501,L299)))</f>
        <v/>
      </c>
      <c r="Q299" s="11">
        <f>IF(J299="","",IFERROR(VALUE(SUBSTITUTE(SUBSTITUTE(IF(G299="","",G299)&amp;"","$",""),",","")),0)/IF("No"="Yes",P299,1))</f>
        <v/>
      </c>
      <c r="R299" s="11">
        <f>IF(J299="","",IFERROR(VALUE(SUBSTITUTE(SUBSTITUTE(IF(H299="","",H299)&amp;"","$",""),",","")),0)/IF("No"="Yes",P299,1))</f>
        <v/>
      </c>
      <c r="S299" s="11">
        <f>IF(J299="","",O299+Q299-R299)</f>
        <v/>
      </c>
      <c r="T299">
        <f>IF(J299="","",IFERROR(IF(K299="",NA(),MATCH(K299,Products!$B$5:$B$204,0)),IFERROR(MATCH(J299,Products!$A$5:$A$204,0),"")))</f>
        <v/>
      </c>
      <c r="U299">
        <f>IF(J299="","",IF(T299="","⚠ not in Products",INDEX(Products!$A$5:$A$204,T299)))</f>
        <v/>
      </c>
      <c r="V299" s="11">
        <f>IF(J299="","",S299*(IFERROR(INDEX(Settings!$B$5:$B$9,MATCH($B299,Settings!$A$5:$A$9,0)),0)+IFERROR(INDEX(Settings!$E$5:$E$9,MATCH($B299,Settings!$A$5:$A$9,0)),0)+IFERROR(INDEX(Settings!$G$5:$G$9,MATCH($B299,Settings!$A$5:$A$9,0)),0))+(IFERROR(INDEX(Settings!$C$5:$C$9,MATCH($B299,Settings!$A$5:$A$9,0)),0)+IFERROR(INDEX(Settings!$F$5:$F$9,MATCH($B299,Settings!$A$5:$A$9,0)),0))/P299+IFERROR(INDEX(Settings!$D$5:$D$9,MATCH($B299,Settings!$A$5:$A$9,0)),0)*M299)</f>
        <v/>
      </c>
      <c r="W299" s="11">
        <f>IF(J299="","",IF(T299="",0,M299*INDEX(Products!$I$5:$I$204,T299)))</f>
        <v/>
      </c>
      <c r="X299" s="11">
        <f>IF(J299="","",IF(T299="",0,S299*INDEX(Products!$H$5:$H$204,T299)))</f>
        <v/>
      </c>
      <c r="Y299" s="11">
        <f>IF(J299="","",S299-V299-W299-X299)</f>
        <v/>
      </c>
    </row>
    <row r="300">
      <c r="A300" s="19" t="n"/>
      <c r="B300" s="19" t="n"/>
      <c r="C300" s="19" t="n"/>
      <c r="D300" s="19" t="n"/>
      <c r="E300" s="19" t="n"/>
      <c r="F300" s="20" t="n"/>
      <c r="G300" s="20" t="n"/>
      <c r="H300" s="20" t="n"/>
      <c r="I300" s="19" t="n"/>
      <c r="J300">
        <f>IFERROR(IF(C300="","",C300)&amp;"","")</f>
        <v/>
      </c>
      <c r="K300">
        <f>IFERROR(IF(D300="","",D300)&amp;"","")</f>
        <v/>
      </c>
      <c r="L300">
        <f>IFERROR(IF(I300="","",I300)&amp;"","")</f>
        <v/>
      </c>
      <c r="M300">
        <f>IF(J300="","",IFERROR(VALUE(SUBSTITUTE(SUBSTITUTE(IF(E300="","",E300)&amp;"","$",""),",","")),0))</f>
        <v/>
      </c>
      <c r="N300" s="11">
        <f>IF(J300="","",IFERROR(VALUE(SUBSTITUTE(SUBSTITUTE(IF(F300="","",F300)&amp;"","$",""),",","")),0))</f>
        <v/>
      </c>
      <c r="O300" s="11">
        <f>IF(J300="","",M300*N300)</f>
        <v/>
      </c>
      <c r="P300">
        <f>IF(J300="","",IF(L300="",1,COUNTIF($L$2:$L$1501,L300)))</f>
        <v/>
      </c>
      <c r="Q300" s="11">
        <f>IF(J300="","",IFERROR(VALUE(SUBSTITUTE(SUBSTITUTE(IF(G300="","",G300)&amp;"","$",""),",","")),0)/IF("No"="Yes",P300,1))</f>
        <v/>
      </c>
      <c r="R300" s="11">
        <f>IF(J300="","",IFERROR(VALUE(SUBSTITUTE(SUBSTITUTE(IF(H300="","",H300)&amp;"","$",""),",","")),0)/IF("No"="Yes",P300,1))</f>
        <v/>
      </c>
      <c r="S300" s="11">
        <f>IF(J300="","",O300+Q300-R300)</f>
        <v/>
      </c>
      <c r="T300">
        <f>IF(J300="","",IFERROR(IF(K300="",NA(),MATCH(K300,Products!$B$5:$B$204,0)),IFERROR(MATCH(J300,Products!$A$5:$A$204,0),"")))</f>
        <v/>
      </c>
      <c r="U300">
        <f>IF(J300="","",IF(T300="","⚠ not in Products",INDEX(Products!$A$5:$A$204,T300)))</f>
        <v/>
      </c>
      <c r="V300" s="11">
        <f>IF(J300="","",S300*(IFERROR(INDEX(Settings!$B$5:$B$9,MATCH($B300,Settings!$A$5:$A$9,0)),0)+IFERROR(INDEX(Settings!$E$5:$E$9,MATCH($B300,Settings!$A$5:$A$9,0)),0)+IFERROR(INDEX(Settings!$G$5:$G$9,MATCH($B300,Settings!$A$5:$A$9,0)),0))+(IFERROR(INDEX(Settings!$C$5:$C$9,MATCH($B300,Settings!$A$5:$A$9,0)),0)+IFERROR(INDEX(Settings!$F$5:$F$9,MATCH($B300,Settings!$A$5:$A$9,0)),0))/P300+IFERROR(INDEX(Settings!$D$5:$D$9,MATCH($B300,Settings!$A$5:$A$9,0)),0)*M300)</f>
        <v/>
      </c>
      <c r="W300" s="11">
        <f>IF(J300="","",IF(T300="",0,M300*INDEX(Products!$I$5:$I$204,T300)))</f>
        <v/>
      </c>
      <c r="X300" s="11">
        <f>IF(J300="","",IF(T300="",0,S300*INDEX(Products!$H$5:$H$204,T300)))</f>
        <v/>
      </c>
      <c r="Y300" s="11">
        <f>IF(J300="","",S300-V300-W300-X300)</f>
        <v/>
      </c>
    </row>
    <row r="301">
      <c r="A301" s="19" t="n"/>
      <c r="B301" s="19" t="n"/>
      <c r="C301" s="19" t="n"/>
      <c r="D301" s="19" t="n"/>
      <c r="E301" s="19" t="n"/>
      <c r="F301" s="20" t="n"/>
      <c r="G301" s="20" t="n"/>
      <c r="H301" s="20" t="n"/>
      <c r="I301" s="19" t="n"/>
      <c r="J301">
        <f>IFERROR(IF(C301="","",C301)&amp;"","")</f>
        <v/>
      </c>
      <c r="K301">
        <f>IFERROR(IF(D301="","",D301)&amp;"","")</f>
        <v/>
      </c>
      <c r="L301">
        <f>IFERROR(IF(I301="","",I301)&amp;"","")</f>
        <v/>
      </c>
      <c r="M301">
        <f>IF(J301="","",IFERROR(VALUE(SUBSTITUTE(SUBSTITUTE(IF(E301="","",E301)&amp;"","$",""),",","")),0))</f>
        <v/>
      </c>
      <c r="N301" s="11">
        <f>IF(J301="","",IFERROR(VALUE(SUBSTITUTE(SUBSTITUTE(IF(F301="","",F301)&amp;"","$",""),",","")),0))</f>
        <v/>
      </c>
      <c r="O301" s="11">
        <f>IF(J301="","",M301*N301)</f>
        <v/>
      </c>
      <c r="P301">
        <f>IF(J301="","",IF(L301="",1,COUNTIF($L$2:$L$1501,L301)))</f>
        <v/>
      </c>
      <c r="Q301" s="11">
        <f>IF(J301="","",IFERROR(VALUE(SUBSTITUTE(SUBSTITUTE(IF(G301="","",G301)&amp;"","$",""),",","")),0)/IF("No"="Yes",P301,1))</f>
        <v/>
      </c>
      <c r="R301" s="11">
        <f>IF(J301="","",IFERROR(VALUE(SUBSTITUTE(SUBSTITUTE(IF(H301="","",H301)&amp;"","$",""),",","")),0)/IF("No"="Yes",P301,1))</f>
        <v/>
      </c>
      <c r="S301" s="11">
        <f>IF(J301="","",O301+Q301-R301)</f>
        <v/>
      </c>
      <c r="T301">
        <f>IF(J301="","",IFERROR(IF(K301="",NA(),MATCH(K301,Products!$B$5:$B$204,0)),IFERROR(MATCH(J301,Products!$A$5:$A$204,0),"")))</f>
        <v/>
      </c>
      <c r="U301">
        <f>IF(J301="","",IF(T301="","⚠ not in Products",INDEX(Products!$A$5:$A$204,T301)))</f>
        <v/>
      </c>
      <c r="V301" s="11">
        <f>IF(J301="","",S301*(IFERROR(INDEX(Settings!$B$5:$B$9,MATCH($B301,Settings!$A$5:$A$9,0)),0)+IFERROR(INDEX(Settings!$E$5:$E$9,MATCH($B301,Settings!$A$5:$A$9,0)),0)+IFERROR(INDEX(Settings!$G$5:$G$9,MATCH($B301,Settings!$A$5:$A$9,0)),0))+(IFERROR(INDEX(Settings!$C$5:$C$9,MATCH($B301,Settings!$A$5:$A$9,0)),0)+IFERROR(INDEX(Settings!$F$5:$F$9,MATCH($B301,Settings!$A$5:$A$9,0)),0))/P301+IFERROR(INDEX(Settings!$D$5:$D$9,MATCH($B301,Settings!$A$5:$A$9,0)),0)*M301)</f>
        <v/>
      </c>
      <c r="W301" s="11">
        <f>IF(J301="","",IF(T301="",0,M301*INDEX(Products!$I$5:$I$204,T301)))</f>
        <v/>
      </c>
      <c r="X301" s="11">
        <f>IF(J301="","",IF(T301="",0,S301*INDEX(Products!$H$5:$H$204,T301)))</f>
        <v/>
      </c>
      <c r="Y301" s="11">
        <f>IF(J301="","",S301-V301-W301-X301)</f>
        <v/>
      </c>
    </row>
    <row r="302">
      <c r="A302" s="19" t="n"/>
      <c r="B302" s="19" t="n"/>
      <c r="C302" s="19" t="n"/>
      <c r="D302" s="19" t="n"/>
      <c r="E302" s="19" t="n"/>
      <c r="F302" s="20" t="n"/>
      <c r="G302" s="20" t="n"/>
      <c r="H302" s="20" t="n"/>
      <c r="I302" s="19" t="n"/>
      <c r="J302">
        <f>IFERROR(IF(C302="","",C302)&amp;"","")</f>
        <v/>
      </c>
      <c r="K302">
        <f>IFERROR(IF(D302="","",D302)&amp;"","")</f>
        <v/>
      </c>
      <c r="L302">
        <f>IFERROR(IF(I302="","",I302)&amp;"","")</f>
        <v/>
      </c>
      <c r="M302">
        <f>IF(J302="","",IFERROR(VALUE(SUBSTITUTE(SUBSTITUTE(IF(E302="","",E302)&amp;"","$",""),",","")),0))</f>
        <v/>
      </c>
      <c r="N302" s="11">
        <f>IF(J302="","",IFERROR(VALUE(SUBSTITUTE(SUBSTITUTE(IF(F302="","",F302)&amp;"","$",""),",","")),0))</f>
        <v/>
      </c>
      <c r="O302" s="11">
        <f>IF(J302="","",M302*N302)</f>
        <v/>
      </c>
      <c r="P302">
        <f>IF(J302="","",IF(L302="",1,COUNTIF($L$2:$L$1501,L302)))</f>
        <v/>
      </c>
      <c r="Q302" s="11">
        <f>IF(J302="","",IFERROR(VALUE(SUBSTITUTE(SUBSTITUTE(IF(G302="","",G302)&amp;"","$",""),",","")),0)/IF("No"="Yes",P302,1))</f>
        <v/>
      </c>
      <c r="R302" s="11">
        <f>IF(J302="","",IFERROR(VALUE(SUBSTITUTE(SUBSTITUTE(IF(H302="","",H302)&amp;"","$",""),",","")),0)/IF("No"="Yes",P302,1))</f>
        <v/>
      </c>
      <c r="S302" s="11">
        <f>IF(J302="","",O302+Q302-R302)</f>
        <v/>
      </c>
      <c r="T302">
        <f>IF(J302="","",IFERROR(IF(K302="",NA(),MATCH(K302,Products!$B$5:$B$204,0)),IFERROR(MATCH(J302,Products!$A$5:$A$204,0),"")))</f>
        <v/>
      </c>
      <c r="U302">
        <f>IF(J302="","",IF(T302="","⚠ not in Products",INDEX(Products!$A$5:$A$204,T302)))</f>
        <v/>
      </c>
      <c r="V302" s="11">
        <f>IF(J302="","",S302*(IFERROR(INDEX(Settings!$B$5:$B$9,MATCH($B302,Settings!$A$5:$A$9,0)),0)+IFERROR(INDEX(Settings!$E$5:$E$9,MATCH($B302,Settings!$A$5:$A$9,0)),0)+IFERROR(INDEX(Settings!$G$5:$G$9,MATCH($B302,Settings!$A$5:$A$9,0)),0))+(IFERROR(INDEX(Settings!$C$5:$C$9,MATCH($B302,Settings!$A$5:$A$9,0)),0)+IFERROR(INDEX(Settings!$F$5:$F$9,MATCH($B302,Settings!$A$5:$A$9,0)),0))/P302+IFERROR(INDEX(Settings!$D$5:$D$9,MATCH($B302,Settings!$A$5:$A$9,0)),0)*M302)</f>
        <v/>
      </c>
      <c r="W302" s="11">
        <f>IF(J302="","",IF(T302="",0,M302*INDEX(Products!$I$5:$I$204,T302)))</f>
        <v/>
      </c>
      <c r="X302" s="11">
        <f>IF(J302="","",IF(T302="",0,S302*INDEX(Products!$H$5:$H$204,T302)))</f>
        <v/>
      </c>
      <c r="Y302" s="11">
        <f>IF(J302="","",S302-V302-W302-X302)</f>
        <v/>
      </c>
    </row>
    <row r="303">
      <c r="A303" s="19" t="n"/>
      <c r="B303" s="19" t="n"/>
      <c r="C303" s="19" t="n"/>
      <c r="D303" s="19" t="n"/>
      <c r="E303" s="19" t="n"/>
      <c r="F303" s="20" t="n"/>
      <c r="G303" s="20" t="n"/>
      <c r="H303" s="20" t="n"/>
      <c r="I303" s="19" t="n"/>
      <c r="J303">
        <f>IFERROR(IF(C303="","",C303)&amp;"","")</f>
        <v/>
      </c>
      <c r="K303">
        <f>IFERROR(IF(D303="","",D303)&amp;"","")</f>
        <v/>
      </c>
      <c r="L303">
        <f>IFERROR(IF(I303="","",I303)&amp;"","")</f>
        <v/>
      </c>
      <c r="M303">
        <f>IF(J303="","",IFERROR(VALUE(SUBSTITUTE(SUBSTITUTE(IF(E303="","",E303)&amp;"","$",""),",","")),0))</f>
        <v/>
      </c>
      <c r="N303" s="11">
        <f>IF(J303="","",IFERROR(VALUE(SUBSTITUTE(SUBSTITUTE(IF(F303="","",F303)&amp;"","$",""),",","")),0))</f>
        <v/>
      </c>
      <c r="O303" s="11">
        <f>IF(J303="","",M303*N303)</f>
        <v/>
      </c>
      <c r="P303">
        <f>IF(J303="","",IF(L303="",1,COUNTIF($L$2:$L$1501,L303)))</f>
        <v/>
      </c>
      <c r="Q303" s="11">
        <f>IF(J303="","",IFERROR(VALUE(SUBSTITUTE(SUBSTITUTE(IF(G303="","",G303)&amp;"","$",""),",","")),0)/IF("No"="Yes",P303,1))</f>
        <v/>
      </c>
      <c r="R303" s="11">
        <f>IF(J303="","",IFERROR(VALUE(SUBSTITUTE(SUBSTITUTE(IF(H303="","",H303)&amp;"","$",""),",","")),0)/IF("No"="Yes",P303,1))</f>
        <v/>
      </c>
      <c r="S303" s="11">
        <f>IF(J303="","",O303+Q303-R303)</f>
        <v/>
      </c>
      <c r="T303">
        <f>IF(J303="","",IFERROR(IF(K303="",NA(),MATCH(K303,Products!$B$5:$B$204,0)),IFERROR(MATCH(J303,Products!$A$5:$A$204,0),"")))</f>
        <v/>
      </c>
      <c r="U303">
        <f>IF(J303="","",IF(T303="","⚠ not in Products",INDEX(Products!$A$5:$A$204,T303)))</f>
        <v/>
      </c>
      <c r="V303" s="11">
        <f>IF(J303="","",S303*(IFERROR(INDEX(Settings!$B$5:$B$9,MATCH($B303,Settings!$A$5:$A$9,0)),0)+IFERROR(INDEX(Settings!$E$5:$E$9,MATCH($B303,Settings!$A$5:$A$9,0)),0)+IFERROR(INDEX(Settings!$G$5:$G$9,MATCH($B303,Settings!$A$5:$A$9,0)),0))+(IFERROR(INDEX(Settings!$C$5:$C$9,MATCH($B303,Settings!$A$5:$A$9,0)),0)+IFERROR(INDEX(Settings!$F$5:$F$9,MATCH($B303,Settings!$A$5:$A$9,0)),0))/P303+IFERROR(INDEX(Settings!$D$5:$D$9,MATCH($B303,Settings!$A$5:$A$9,0)),0)*M303)</f>
        <v/>
      </c>
      <c r="W303" s="11">
        <f>IF(J303="","",IF(T303="",0,M303*INDEX(Products!$I$5:$I$204,T303)))</f>
        <v/>
      </c>
      <c r="X303" s="11">
        <f>IF(J303="","",IF(T303="",0,S303*INDEX(Products!$H$5:$H$204,T303)))</f>
        <v/>
      </c>
      <c r="Y303" s="11">
        <f>IF(J303="","",S303-V303-W303-X303)</f>
        <v/>
      </c>
    </row>
    <row r="304">
      <c r="A304" s="19" t="n"/>
      <c r="B304" s="19" t="n"/>
      <c r="C304" s="19" t="n"/>
      <c r="D304" s="19" t="n"/>
      <c r="E304" s="19" t="n"/>
      <c r="F304" s="20" t="n"/>
      <c r="G304" s="20" t="n"/>
      <c r="H304" s="20" t="n"/>
      <c r="I304" s="19" t="n"/>
      <c r="J304">
        <f>IFERROR(IF(C304="","",C304)&amp;"","")</f>
        <v/>
      </c>
      <c r="K304">
        <f>IFERROR(IF(D304="","",D304)&amp;"","")</f>
        <v/>
      </c>
      <c r="L304">
        <f>IFERROR(IF(I304="","",I304)&amp;"","")</f>
        <v/>
      </c>
      <c r="M304">
        <f>IF(J304="","",IFERROR(VALUE(SUBSTITUTE(SUBSTITUTE(IF(E304="","",E304)&amp;"","$",""),",","")),0))</f>
        <v/>
      </c>
      <c r="N304" s="11">
        <f>IF(J304="","",IFERROR(VALUE(SUBSTITUTE(SUBSTITUTE(IF(F304="","",F304)&amp;"","$",""),",","")),0))</f>
        <v/>
      </c>
      <c r="O304" s="11">
        <f>IF(J304="","",M304*N304)</f>
        <v/>
      </c>
      <c r="P304">
        <f>IF(J304="","",IF(L304="",1,COUNTIF($L$2:$L$1501,L304)))</f>
        <v/>
      </c>
      <c r="Q304" s="11">
        <f>IF(J304="","",IFERROR(VALUE(SUBSTITUTE(SUBSTITUTE(IF(G304="","",G304)&amp;"","$",""),",","")),0)/IF("No"="Yes",P304,1))</f>
        <v/>
      </c>
      <c r="R304" s="11">
        <f>IF(J304="","",IFERROR(VALUE(SUBSTITUTE(SUBSTITUTE(IF(H304="","",H304)&amp;"","$",""),",","")),0)/IF("No"="Yes",P304,1))</f>
        <v/>
      </c>
      <c r="S304" s="11">
        <f>IF(J304="","",O304+Q304-R304)</f>
        <v/>
      </c>
      <c r="T304">
        <f>IF(J304="","",IFERROR(IF(K304="",NA(),MATCH(K304,Products!$B$5:$B$204,0)),IFERROR(MATCH(J304,Products!$A$5:$A$204,0),"")))</f>
        <v/>
      </c>
      <c r="U304">
        <f>IF(J304="","",IF(T304="","⚠ not in Products",INDEX(Products!$A$5:$A$204,T304)))</f>
        <v/>
      </c>
      <c r="V304" s="11">
        <f>IF(J304="","",S304*(IFERROR(INDEX(Settings!$B$5:$B$9,MATCH($B304,Settings!$A$5:$A$9,0)),0)+IFERROR(INDEX(Settings!$E$5:$E$9,MATCH($B304,Settings!$A$5:$A$9,0)),0)+IFERROR(INDEX(Settings!$G$5:$G$9,MATCH($B304,Settings!$A$5:$A$9,0)),0))+(IFERROR(INDEX(Settings!$C$5:$C$9,MATCH($B304,Settings!$A$5:$A$9,0)),0)+IFERROR(INDEX(Settings!$F$5:$F$9,MATCH($B304,Settings!$A$5:$A$9,0)),0))/P304+IFERROR(INDEX(Settings!$D$5:$D$9,MATCH($B304,Settings!$A$5:$A$9,0)),0)*M304)</f>
        <v/>
      </c>
      <c r="W304" s="11">
        <f>IF(J304="","",IF(T304="",0,M304*INDEX(Products!$I$5:$I$204,T304)))</f>
        <v/>
      </c>
      <c r="X304" s="11">
        <f>IF(J304="","",IF(T304="",0,S304*INDEX(Products!$H$5:$H$204,T304)))</f>
        <v/>
      </c>
      <c r="Y304" s="11">
        <f>IF(J304="","",S304-V304-W304-X304)</f>
        <v/>
      </c>
    </row>
    <row r="305">
      <c r="A305" s="19" t="n"/>
      <c r="B305" s="19" t="n"/>
      <c r="C305" s="19" t="n"/>
      <c r="D305" s="19" t="n"/>
      <c r="E305" s="19" t="n"/>
      <c r="F305" s="20" t="n"/>
      <c r="G305" s="20" t="n"/>
      <c r="H305" s="20" t="n"/>
      <c r="I305" s="19" t="n"/>
      <c r="J305">
        <f>IFERROR(IF(C305="","",C305)&amp;"","")</f>
        <v/>
      </c>
      <c r="K305">
        <f>IFERROR(IF(D305="","",D305)&amp;"","")</f>
        <v/>
      </c>
      <c r="L305">
        <f>IFERROR(IF(I305="","",I305)&amp;"","")</f>
        <v/>
      </c>
      <c r="M305">
        <f>IF(J305="","",IFERROR(VALUE(SUBSTITUTE(SUBSTITUTE(IF(E305="","",E305)&amp;"","$",""),",","")),0))</f>
        <v/>
      </c>
      <c r="N305" s="11">
        <f>IF(J305="","",IFERROR(VALUE(SUBSTITUTE(SUBSTITUTE(IF(F305="","",F305)&amp;"","$",""),",","")),0))</f>
        <v/>
      </c>
      <c r="O305" s="11">
        <f>IF(J305="","",M305*N305)</f>
        <v/>
      </c>
      <c r="P305">
        <f>IF(J305="","",IF(L305="",1,COUNTIF($L$2:$L$1501,L305)))</f>
        <v/>
      </c>
      <c r="Q305" s="11">
        <f>IF(J305="","",IFERROR(VALUE(SUBSTITUTE(SUBSTITUTE(IF(G305="","",G305)&amp;"","$",""),",","")),0)/IF("No"="Yes",P305,1))</f>
        <v/>
      </c>
      <c r="R305" s="11">
        <f>IF(J305="","",IFERROR(VALUE(SUBSTITUTE(SUBSTITUTE(IF(H305="","",H305)&amp;"","$",""),",","")),0)/IF("No"="Yes",P305,1))</f>
        <v/>
      </c>
      <c r="S305" s="11">
        <f>IF(J305="","",O305+Q305-R305)</f>
        <v/>
      </c>
      <c r="T305">
        <f>IF(J305="","",IFERROR(IF(K305="",NA(),MATCH(K305,Products!$B$5:$B$204,0)),IFERROR(MATCH(J305,Products!$A$5:$A$204,0),"")))</f>
        <v/>
      </c>
      <c r="U305">
        <f>IF(J305="","",IF(T305="","⚠ not in Products",INDEX(Products!$A$5:$A$204,T305)))</f>
        <v/>
      </c>
      <c r="V305" s="11">
        <f>IF(J305="","",S305*(IFERROR(INDEX(Settings!$B$5:$B$9,MATCH($B305,Settings!$A$5:$A$9,0)),0)+IFERROR(INDEX(Settings!$E$5:$E$9,MATCH($B305,Settings!$A$5:$A$9,0)),0)+IFERROR(INDEX(Settings!$G$5:$G$9,MATCH($B305,Settings!$A$5:$A$9,0)),0))+(IFERROR(INDEX(Settings!$C$5:$C$9,MATCH($B305,Settings!$A$5:$A$9,0)),0)+IFERROR(INDEX(Settings!$F$5:$F$9,MATCH($B305,Settings!$A$5:$A$9,0)),0))/P305+IFERROR(INDEX(Settings!$D$5:$D$9,MATCH($B305,Settings!$A$5:$A$9,0)),0)*M305)</f>
        <v/>
      </c>
      <c r="W305" s="11">
        <f>IF(J305="","",IF(T305="",0,M305*INDEX(Products!$I$5:$I$204,T305)))</f>
        <v/>
      </c>
      <c r="X305" s="11">
        <f>IF(J305="","",IF(T305="",0,S305*INDEX(Products!$H$5:$H$204,T305)))</f>
        <v/>
      </c>
      <c r="Y305" s="11">
        <f>IF(J305="","",S305-V305-W305-X305)</f>
        <v/>
      </c>
    </row>
    <row r="306">
      <c r="A306" s="19" t="n"/>
      <c r="B306" s="19" t="n"/>
      <c r="C306" s="19" t="n"/>
      <c r="D306" s="19" t="n"/>
      <c r="E306" s="19" t="n"/>
      <c r="F306" s="20" t="n"/>
      <c r="G306" s="20" t="n"/>
      <c r="H306" s="20" t="n"/>
      <c r="I306" s="19" t="n"/>
      <c r="J306">
        <f>IFERROR(IF(C306="","",C306)&amp;"","")</f>
        <v/>
      </c>
      <c r="K306">
        <f>IFERROR(IF(D306="","",D306)&amp;"","")</f>
        <v/>
      </c>
      <c r="L306">
        <f>IFERROR(IF(I306="","",I306)&amp;"","")</f>
        <v/>
      </c>
      <c r="M306">
        <f>IF(J306="","",IFERROR(VALUE(SUBSTITUTE(SUBSTITUTE(IF(E306="","",E306)&amp;"","$",""),",","")),0))</f>
        <v/>
      </c>
      <c r="N306" s="11">
        <f>IF(J306="","",IFERROR(VALUE(SUBSTITUTE(SUBSTITUTE(IF(F306="","",F306)&amp;"","$",""),",","")),0))</f>
        <v/>
      </c>
      <c r="O306" s="11">
        <f>IF(J306="","",M306*N306)</f>
        <v/>
      </c>
      <c r="P306">
        <f>IF(J306="","",IF(L306="",1,COUNTIF($L$2:$L$1501,L306)))</f>
        <v/>
      </c>
      <c r="Q306" s="11">
        <f>IF(J306="","",IFERROR(VALUE(SUBSTITUTE(SUBSTITUTE(IF(G306="","",G306)&amp;"","$",""),",","")),0)/IF("No"="Yes",P306,1))</f>
        <v/>
      </c>
      <c r="R306" s="11">
        <f>IF(J306="","",IFERROR(VALUE(SUBSTITUTE(SUBSTITUTE(IF(H306="","",H306)&amp;"","$",""),",","")),0)/IF("No"="Yes",P306,1))</f>
        <v/>
      </c>
      <c r="S306" s="11">
        <f>IF(J306="","",O306+Q306-R306)</f>
        <v/>
      </c>
      <c r="T306">
        <f>IF(J306="","",IFERROR(IF(K306="",NA(),MATCH(K306,Products!$B$5:$B$204,0)),IFERROR(MATCH(J306,Products!$A$5:$A$204,0),"")))</f>
        <v/>
      </c>
      <c r="U306">
        <f>IF(J306="","",IF(T306="","⚠ not in Products",INDEX(Products!$A$5:$A$204,T306)))</f>
        <v/>
      </c>
      <c r="V306" s="11">
        <f>IF(J306="","",S306*(IFERROR(INDEX(Settings!$B$5:$B$9,MATCH($B306,Settings!$A$5:$A$9,0)),0)+IFERROR(INDEX(Settings!$E$5:$E$9,MATCH($B306,Settings!$A$5:$A$9,0)),0)+IFERROR(INDEX(Settings!$G$5:$G$9,MATCH($B306,Settings!$A$5:$A$9,0)),0))+(IFERROR(INDEX(Settings!$C$5:$C$9,MATCH($B306,Settings!$A$5:$A$9,0)),0)+IFERROR(INDEX(Settings!$F$5:$F$9,MATCH($B306,Settings!$A$5:$A$9,0)),0))/P306+IFERROR(INDEX(Settings!$D$5:$D$9,MATCH($B306,Settings!$A$5:$A$9,0)),0)*M306)</f>
        <v/>
      </c>
      <c r="W306" s="11">
        <f>IF(J306="","",IF(T306="",0,M306*INDEX(Products!$I$5:$I$204,T306)))</f>
        <v/>
      </c>
      <c r="X306" s="11">
        <f>IF(J306="","",IF(T306="",0,S306*INDEX(Products!$H$5:$H$204,T306)))</f>
        <v/>
      </c>
      <c r="Y306" s="11">
        <f>IF(J306="","",S306-V306-W306-X306)</f>
        <v/>
      </c>
    </row>
    <row r="307">
      <c r="A307" s="19" t="n"/>
      <c r="B307" s="19" t="n"/>
      <c r="C307" s="19" t="n"/>
      <c r="D307" s="19" t="n"/>
      <c r="E307" s="19" t="n"/>
      <c r="F307" s="20" t="n"/>
      <c r="G307" s="20" t="n"/>
      <c r="H307" s="20" t="n"/>
      <c r="I307" s="19" t="n"/>
      <c r="J307">
        <f>IFERROR(IF(C307="","",C307)&amp;"","")</f>
        <v/>
      </c>
      <c r="K307">
        <f>IFERROR(IF(D307="","",D307)&amp;"","")</f>
        <v/>
      </c>
      <c r="L307">
        <f>IFERROR(IF(I307="","",I307)&amp;"","")</f>
        <v/>
      </c>
      <c r="M307">
        <f>IF(J307="","",IFERROR(VALUE(SUBSTITUTE(SUBSTITUTE(IF(E307="","",E307)&amp;"","$",""),",","")),0))</f>
        <v/>
      </c>
      <c r="N307" s="11">
        <f>IF(J307="","",IFERROR(VALUE(SUBSTITUTE(SUBSTITUTE(IF(F307="","",F307)&amp;"","$",""),",","")),0))</f>
        <v/>
      </c>
      <c r="O307" s="11">
        <f>IF(J307="","",M307*N307)</f>
        <v/>
      </c>
      <c r="P307">
        <f>IF(J307="","",IF(L307="",1,COUNTIF($L$2:$L$1501,L307)))</f>
        <v/>
      </c>
      <c r="Q307" s="11">
        <f>IF(J307="","",IFERROR(VALUE(SUBSTITUTE(SUBSTITUTE(IF(G307="","",G307)&amp;"","$",""),",","")),0)/IF("No"="Yes",P307,1))</f>
        <v/>
      </c>
      <c r="R307" s="11">
        <f>IF(J307="","",IFERROR(VALUE(SUBSTITUTE(SUBSTITUTE(IF(H307="","",H307)&amp;"","$",""),",","")),0)/IF("No"="Yes",P307,1))</f>
        <v/>
      </c>
      <c r="S307" s="11">
        <f>IF(J307="","",O307+Q307-R307)</f>
        <v/>
      </c>
      <c r="T307">
        <f>IF(J307="","",IFERROR(IF(K307="",NA(),MATCH(K307,Products!$B$5:$B$204,0)),IFERROR(MATCH(J307,Products!$A$5:$A$204,0),"")))</f>
        <v/>
      </c>
      <c r="U307">
        <f>IF(J307="","",IF(T307="","⚠ not in Products",INDEX(Products!$A$5:$A$204,T307)))</f>
        <v/>
      </c>
      <c r="V307" s="11">
        <f>IF(J307="","",S307*(IFERROR(INDEX(Settings!$B$5:$B$9,MATCH($B307,Settings!$A$5:$A$9,0)),0)+IFERROR(INDEX(Settings!$E$5:$E$9,MATCH($B307,Settings!$A$5:$A$9,0)),0)+IFERROR(INDEX(Settings!$G$5:$G$9,MATCH($B307,Settings!$A$5:$A$9,0)),0))+(IFERROR(INDEX(Settings!$C$5:$C$9,MATCH($B307,Settings!$A$5:$A$9,0)),0)+IFERROR(INDEX(Settings!$F$5:$F$9,MATCH($B307,Settings!$A$5:$A$9,0)),0))/P307+IFERROR(INDEX(Settings!$D$5:$D$9,MATCH($B307,Settings!$A$5:$A$9,0)),0)*M307)</f>
        <v/>
      </c>
      <c r="W307" s="11">
        <f>IF(J307="","",IF(T307="",0,M307*INDEX(Products!$I$5:$I$204,T307)))</f>
        <v/>
      </c>
      <c r="X307" s="11">
        <f>IF(J307="","",IF(T307="",0,S307*INDEX(Products!$H$5:$H$204,T307)))</f>
        <v/>
      </c>
      <c r="Y307" s="11">
        <f>IF(J307="","",S307-V307-W307-X307)</f>
        <v/>
      </c>
    </row>
    <row r="308">
      <c r="A308" s="19" t="n"/>
      <c r="B308" s="19" t="n"/>
      <c r="C308" s="19" t="n"/>
      <c r="D308" s="19" t="n"/>
      <c r="E308" s="19" t="n"/>
      <c r="F308" s="20" t="n"/>
      <c r="G308" s="20" t="n"/>
      <c r="H308" s="20" t="n"/>
      <c r="I308" s="19" t="n"/>
      <c r="J308">
        <f>IFERROR(IF(C308="","",C308)&amp;"","")</f>
        <v/>
      </c>
      <c r="K308">
        <f>IFERROR(IF(D308="","",D308)&amp;"","")</f>
        <v/>
      </c>
      <c r="L308">
        <f>IFERROR(IF(I308="","",I308)&amp;"","")</f>
        <v/>
      </c>
      <c r="M308">
        <f>IF(J308="","",IFERROR(VALUE(SUBSTITUTE(SUBSTITUTE(IF(E308="","",E308)&amp;"","$",""),",","")),0))</f>
        <v/>
      </c>
      <c r="N308" s="11">
        <f>IF(J308="","",IFERROR(VALUE(SUBSTITUTE(SUBSTITUTE(IF(F308="","",F308)&amp;"","$",""),",","")),0))</f>
        <v/>
      </c>
      <c r="O308" s="11">
        <f>IF(J308="","",M308*N308)</f>
        <v/>
      </c>
      <c r="P308">
        <f>IF(J308="","",IF(L308="",1,COUNTIF($L$2:$L$1501,L308)))</f>
        <v/>
      </c>
      <c r="Q308" s="11">
        <f>IF(J308="","",IFERROR(VALUE(SUBSTITUTE(SUBSTITUTE(IF(G308="","",G308)&amp;"","$",""),",","")),0)/IF("No"="Yes",P308,1))</f>
        <v/>
      </c>
      <c r="R308" s="11">
        <f>IF(J308="","",IFERROR(VALUE(SUBSTITUTE(SUBSTITUTE(IF(H308="","",H308)&amp;"","$",""),",","")),0)/IF("No"="Yes",P308,1))</f>
        <v/>
      </c>
      <c r="S308" s="11">
        <f>IF(J308="","",O308+Q308-R308)</f>
        <v/>
      </c>
      <c r="T308">
        <f>IF(J308="","",IFERROR(IF(K308="",NA(),MATCH(K308,Products!$B$5:$B$204,0)),IFERROR(MATCH(J308,Products!$A$5:$A$204,0),"")))</f>
        <v/>
      </c>
      <c r="U308">
        <f>IF(J308="","",IF(T308="","⚠ not in Products",INDEX(Products!$A$5:$A$204,T308)))</f>
        <v/>
      </c>
      <c r="V308" s="11">
        <f>IF(J308="","",S308*(IFERROR(INDEX(Settings!$B$5:$B$9,MATCH($B308,Settings!$A$5:$A$9,0)),0)+IFERROR(INDEX(Settings!$E$5:$E$9,MATCH($B308,Settings!$A$5:$A$9,0)),0)+IFERROR(INDEX(Settings!$G$5:$G$9,MATCH($B308,Settings!$A$5:$A$9,0)),0))+(IFERROR(INDEX(Settings!$C$5:$C$9,MATCH($B308,Settings!$A$5:$A$9,0)),0)+IFERROR(INDEX(Settings!$F$5:$F$9,MATCH($B308,Settings!$A$5:$A$9,0)),0))/P308+IFERROR(INDEX(Settings!$D$5:$D$9,MATCH($B308,Settings!$A$5:$A$9,0)),0)*M308)</f>
        <v/>
      </c>
      <c r="W308" s="11">
        <f>IF(J308="","",IF(T308="",0,M308*INDEX(Products!$I$5:$I$204,T308)))</f>
        <v/>
      </c>
      <c r="X308" s="11">
        <f>IF(J308="","",IF(T308="",0,S308*INDEX(Products!$H$5:$H$204,T308)))</f>
        <v/>
      </c>
      <c r="Y308" s="11">
        <f>IF(J308="","",S308-V308-W308-X308)</f>
        <v/>
      </c>
    </row>
    <row r="309">
      <c r="A309" s="19" t="n"/>
      <c r="B309" s="19" t="n"/>
      <c r="C309" s="19" t="n"/>
      <c r="D309" s="19" t="n"/>
      <c r="E309" s="19" t="n"/>
      <c r="F309" s="20" t="n"/>
      <c r="G309" s="20" t="n"/>
      <c r="H309" s="20" t="n"/>
      <c r="I309" s="19" t="n"/>
      <c r="J309">
        <f>IFERROR(IF(C309="","",C309)&amp;"","")</f>
        <v/>
      </c>
      <c r="K309">
        <f>IFERROR(IF(D309="","",D309)&amp;"","")</f>
        <v/>
      </c>
      <c r="L309">
        <f>IFERROR(IF(I309="","",I309)&amp;"","")</f>
        <v/>
      </c>
      <c r="M309">
        <f>IF(J309="","",IFERROR(VALUE(SUBSTITUTE(SUBSTITUTE(IF(E309="","",E309)&amp;"","$",""),",","")),0))</f>
        <v/>
      </c>
      <c r="N309" s="11">
        <f>IF(J309="","",IFERROR(VALUE(SUBSTITUTE(SUBSTITUTE(IF(F309="","",F309)&amp;"","$",""),",","")),0))</f>
        <v/>
      </c>
      <c r="O309" s="11">
        <f>IF(J309="","",M309*N309)</f>
        <v/>
      </c>
      <c r="P309">
        <f>IF(J309="","",IF(L309="",1,COUNTIF($L$2:$L$1501,L309)))</f>
        <v/>
      </c>
      <c r="Q309" s="11">
        <f>IF(J309="","",IFERROR(VALUE(SUBSTITUTE(SUBSTITUTE(IF(G309="","",G309)&amp;"","$",""),",","")),0)/IF("No"="Yes",P309,1))</f>
        <v/>
      </c>
      <c r="R309" s="11">
        <f>IF(J309="","",IFERROR(VALUE(SUBSTITUTE(SUBSTITUTE(IF(H309="","",H309)&amp;"","$",""),",","")),0)/IF("No"="Yes",P309,1))</f>
        <v/>
      </c>
      <c r="S309" s="11">
        <f>IF(J309="","",O309+Q309-R309)</f>
        <v/>
      </c>
      <c r="T309">
        <f>IF(J309="","",IFERROR(IF(K309="",NA(),MATCH(K309,Products!$B$5:$B$204,0)),IFERROR(MATCH(J309,Products!$A$5:$A$204,0),"")))</f>
        <v/>
      </c>
      <c r="U309">
        <f>IF(J309="","",IF(T309="","⚠ not in Products",INDEX(Products!$A$5:$A$204,T309)))</f>
        <v/>
      </c>
      <c r="V309" s="11">
        <f>IF(J309="","",S309*(IFERROR(INDEX(Settings!$B$5:$B$9,MATCH($B309,Settings!$A$5:$A$9,0)),0)+IFERROR(INDEX(Settings!$E$5:$E$9,MATCH($B309,Settings!$A$5:$A$9,0)),0)+IFERROR(INDEX(Settings!$G$5:$G$9,MATCH($B309,Settings!$A$5:$A$9,0)),0))+(IFERROR(INDEX(Settings!$C$5:$C$9,MATCH($B309,Settings!$A$5:$A$9,0)),0)+IFERROR(INDEX(Settings!$F$5:$F$9,MATCH($B309,Settings!$A$5:$A$9,0)),0))/P309+IFERROR(INDEX(Settings!$D$5:$D$9,MATCH($B309,Settings!$A$5:$A$9,0)),0)*M309)</f>
        <v/>
      </c>
      <c r="W309" s="11">
        <f>IF(J309="","",IF(T309="",0,M309*INDEX(Products!$I$5:$I$204,T309)))</f>
        <v/>
      </c>
      <c r="X309" s="11">
        <f>IF(J309="","",IF(T309="",0,S309*INDEX(Products!$H$5:$H$204,T309)))</f>
        <v/>
      </c>
      <c r="Y309" s="11">
        <f>IF(J309="","",S309-V309-W309-X309)</f>
        <v/>
      </c>
    </row>
    <row r="310">
      <c r="A310" s="19" t="n"/>
      <c r="B310" s="19" t="n"/>
      <c r="C310" s="19" t="n"/>
      <c r="D310" s="19" t="n"/>
      <c r="E310" s="19" t="n"/>
      <c r="F310" s="20" t="n"/>
      <c r="G310" s="20" t="n"/>
      <c r="H310" s="20" t="n"/>
      <c r="I310" s="19" t="n"/>
      <c r="J310">
        <f>IFERROR(IF(C310="","",C310)&amp;"","")</f>
        <v/>
      </c>
      <c r="K310">
        <f>IFERROR(IF(D310="","",D310)&amp;"","")</f>
        <v/>
      </c>
      <c r="L310">
        <f>IFERROR(IF(I310="","",I310)&amp;"","")</f>
        <v/>
      </c>
      <c r="M310">
        <f>IF(J310="","",IFERROR(VALUE(SUBSTITUTE(SUBSTITUTE(IF(E310="","",E310)&amp;"","$",""),",","")),0))</f>
        <v/>
      </c>
      <c r="N310" s="11">
        <f>IF(J310="","",IFERROR(VALUE(SUBSTITUTE(SUBSTITUTE(IF(F310="","",F310)&amp;"","$",""),",","")),0))</f>
        <v/>
      </c>
      <c r="O310" s="11">
        <f>IF(J310="","",M310*N310)</f>
        <v/>
      </c>
      <c r="P310">
        <f>IF(J310="","",IF(L310="",1,COUNTIF($L$2:$L$1501,L310)))</f>
        <v/>
      </c>
      <c r="Q310" s="11">
        <f>IF(J310="","",IFERROR(VALUE(SUBSTITUTE(SUBSTITUTE(IF(G310="","",G310)&amp;"","$",""),",","")),0)/IF("No"="Yes",P310,1))</f>
        <v/>
      </c>
      <c r="R310" s="11">
        <f>IF(J310="","",IFERROR(VALUE(SUBSTITUTE(SUBSTITUTE(IF(H310="","",H310)&amp;"","$",""),",","")),0)/IF("No"="Yes",P310,1))</f>
        <v/>
      </c>
      <c r="S310" s="11">
        <f>IF(J310="","",O310+Q310-R310)</f>
        <v/>
      </c>
      <c r="T310">
        <f>IF(J310="","",IFERROR(IF(K310="",NA(),MATCH(K310,Products!$B$5:$B$204,0)),IFERROR(MATCH(J310,Products!$A$5:$A$204,0),"")))</f>
        <v/>
      </c>
      <c r="U310">
        <f>IF(J310="","",IF(T310="","⚠ not in Products",INDEX(Products!$A$5:$A$204,T310)))</f>
        <v/>
      </c>
      <c r="V310" s="11">
        <f>IF(J310="","",S310*(IFERROR(INDEX(Settings!$B$5:$B$9,MATCH($B310,Settings!$A$5:$A$9,0)),0)+IFERROR(INDEX(Settings!$E$5:$E$9,MATCH($B310,Settings!$A$5:$A$9,0)),0)+IFERROR(INDEX(Settings!$G$5:$G$9,MATCH($B310,Settings!$A$5:$A$9,0)),0))+(IFERROR(INDEX(Settings!$C$5:$C$9,MATCH($B310,Settings!$A$5:$A$9,0)),0)+IFERROR(INDEX(Settings!$F$5:$F$9,MATCH($B310,Settings!$A$5:$A$9,0)),0))/P310+IFERROR(INDEX(Settings!$D$5:$D$9,MATCH($B310,Settings!$A$5:$A$9,0)),0)*M310)</f>
        <v/>
      </c>
      <c r="W310" s="11">
        <f>IF(J310="","",IF(T310="",0,M310*INDEX(Products!$I$5:$I$204,T310)))</f>
        <v/>
      </c>
      <c r="X310" s="11">
        <f>IF(J310="","",IF(T310="",0,S310*INDEX(Products!$H$5:$H$204,T310)))</f>
        <v/>
      </c>
      <c r="Y310" s="11">
        <f>IF(J310="","",S310-V310-W310-X310)</f>
        <v/>
      </c>
    </row>
    <row r="311">
      <c r="A311" s="19" t="n"/>
      <c r="B311" s="19" t="n"/>
      <c r="C311" s="19" t="n"/>
      <c r="D311" s="19" t="n"/>
      <c r="E311" s="19" t="n"/>
      <c r="F311" s="20" t="n"/>
      <c r="G311" s="20" t="n"/>
      <c r="H311" s="20" t="n"/>
      <c r="I311" s="19" t="n"/>
      <c r="J311">
        <f>IFERROR(IF(C311="","",C311)&amp;"","")</f>
        <v/>
      </c>
      <c r="K311">
        <f>IFERROR(IF(D311="","",D311)&amp;"","")</f>
        <v/>
      </c>
      <c r="L311">
        <f>IFERROR(IF(I311="","",I311)&amp;"","")</f>
        <v/>
      </c>
      <c r="M311">
        <f>IF(J311="","",IFERROR(VALUE(SUBSTITUTE(SUBSTITUTE(IF(E311="","",E311)&amp;"","$",""),",","")),0))</f>
        <v/>
      </c>
      <c r="N311" s="11">
        <f>IF(J311="","",IFERROR(VALUE(SUBSTITUTE(SUBSTITUTE(IF(F311="","",F311)&amp;"","$",""),",","")),0))</f>
        <v/>
      </c>
      <c r="O311" s="11">
        <f>IF(J311="","",M311*N311)</f>
        <v/>
      </c>
      <c r="P311">
        <f>IF(J311="","",IF(L311="",1,COUNTIF($L$2:$L$1501,L311)))</f>
        <v/>
      </c>
      <c r="Q311" s="11">
        <f>IF(J311="","",IFERROR(VALUE(SUBSTITUTE(SUBSTITUTE(IF(G311="","",G311)&amp;"","$",""),",","")),0)/IF("No"="Yes",P311,1))</f>
        <v/>
      </c>
      <c r="R311" s="11">
        <f>IF(J311="","",IFERROR(VALUE(SUBSTITUTE(SUBSTITUTE(IF(H311="","",H311)&amp;"","$",""),",","")),0)/IF("No"="Yes",P311,1))</f>
        <v/>
      </c>
      <c r="S311" s="11">
        <f>IF(J311="","",O311+Q311-R311)</f>
        <v/>
      </c>
      <c r="T311">
        <f>IF(J311="","",IFERROR(IF(K311="",NA(),MATCH(K311,Products!$B$5:$B$204,0)),IFERROR(MATCH(J311,Products!$A$5:$A$204,0),"")))</f>
        <v/>
      </c>
      <c r="U311">
        <f>IF(J311="","",IF(T311="","⚠ not in Products",INDEX(Products!$A$5:$A$204,T311)))</f>
        <v/>
      </c>
      <c r="V311" s="11">
        <f>IF(J311="","",S311*(IFERROR(INDEX(Settings!$B$5:$B$9,MATCH($B311,Settings!$A$5:$A$9,0)),0)+IFERROR(INDEX(Settings!$E$5:$E$9,MATCH($B311,Settings!$A$5:$A$9,0)),0)+IFERROR(INDEX(Settings!$G$5:$G$9,MATCH($B311,Settings!$A$5:$A$9,0)),0))+(IFERROR(INDEX(Settings!$C$5:$C$9,MATCH($B311,Settings!$A$5:$A$9,0)),0)+IFERROR(INDEX(Settings!$F$5:$F$9,MATCH($B311,Settings!$A$5:$A$9,0)),0))/P311+IFERROR(INDEX(Settings!$D$5:$D$9,MATCH($B311,Settings!$A$5:$A$9,0)),0)*M311)</f>
        <v/>
      </c>
      <c r="W311" s="11">
        <f>IF(J311="","",IF(T311="",0,M311*INDEX(Products!$I$5:$I$204,T311)))</f>
        <v/>
      </c>
      <c r="X311" s="11">
        <f>IF(J311="","",IF(T311="",0,S311*INDEX(Products!$H$5:$H$204,T311)))</f>
        <v/>
      </c>
      <c r="Y311" s="11">
        <f>IF(J311="","",S311-V311-W311-X311)</f>
        <v/>
      </c>
    </row>
    <row r="312">
      <c r="A312" s="19" t="n"/>
      <c r="B312" s="19" t="n"/>
      <c r="C312" s="19" t="n"/>
      <c r="D312" s="19" t="n"/>
      <c r="E312" s="19" t="n"/>
      <c r="F312" s="20" t="n"/>
      <c r="G312" s="20" t="n"/>
      <c r="H312" s="20" t="n"/>
      <c r="I312" s="19" t="n"/>
      <c r="J312">
        <f>IFERROR(IF(C312="","",C312)&amp;"","")</f>
        <v/>
      </c>
      <c r="K312">
        <f>IFERROR(IF(D312="","",D312)&amp;"","")</f>
        <v/>
      </c>
      <c r="L312">
        <f>IFERROR(IF(I312="","",I312)&amp;"","")</f>
        <v/>
      </c>
      <c r="M312">
        <f>IF(J312="","",IFERROR(VALUE(SUBSTITUTE(SUBSTITUTE(IF(E312="","",E312)&amp;"","$",""),",","")),0))</f>
        <v/>
      </c>
      <c r="N312" s="11">
        <f>IF(J312="","",IFERROR(VALUE(SUBSTITUTE(SUBSTITUTE(IF(F312="","",F312)&amp;"","$",""),",","")),0))</f>
        <v/>
      </c>
      <c r="O312" s="11">
        <f>IF(J312="","",M312*N312)</f>
        <v/>
      </c>
      <c r="P312">
        <f>IF(J312="","",IF(L312="",1,COUNTIF($L$2:$L$1501,L312)))</f>
        <v/>
      </c>
      <c r="Q312" s="11">
        <f>IF(J312="","",IFERROR(VALUE(SUBSTITUTE(SUBSTITUTE(IF(G312="","",G312)&amp;"","$",""),",","")),0)/IF("No"="Yes",P312,1))</f>
        <v/>
      </c>
      <c r="R312" s="11">
        <f>IF(J312="","",IFERROR(VALUE(SUBSTITUTE(SUBSTITUTE(IF(H312="","",H312)&amp;"","$",""),",","")),0)/IF("No"="Yes",P312,1))</f>
        <v/>
      </c>
      <c r="S312" s="11">
        <f>IF(J312="","",O312+Q312-R312)</f>
        <v/>
      </c>
      <c r="T312">
        <f>IF(J312="","",IFERROR(IF(K312="",NA(),MATCH(K312,Products!$B$5:$B$204,0)),IFERROR(MATCH(J312,Products!$A$5:$A$204,0),"")))</f>
        <v/>
      </c>
      <c r="U312">
        <f>IF(J312="","",IF(T312="","⚠ not in Products",INDEX(Products!$A$5:$A$204,T312)))</f>
        <v/>
      </c>
      <c r="V312" s="11">
        <f>IF(J312="","",S312*(IFERROR(INDEX(Settings!$B$5:$B$9,MATCH($B312,Settings!$A$5:$A$9,0)),0)+IFERROR(INDEX(Settings!$E$5:$E$9,MATCH($B312,Settings!$A$5:$A$9,0)),0)+IFERROR(INDEX(Settings!$G$5:$G$9,MATCH($B312,Settings!$A$5:$A$9,0)),0))+(IFERROR(INDEX(Settings!$C$5:$C$9,MATCH($B312,Settings!$A$5:$A$9,0)),0)+IFERROR(INDEX(Settings!$F$5:$F$9,MATCH($B312,Settings!$A$5:$A$9,0)),0))/P312+IFERROR(INDEX(Settings!$D$5:$D$9,MATCH($B312,Settings!$A$5:$A$9,0)),0)*M312)</f>
        <v/>
      </c>
      <c r="W312" s="11">
        <f>IF(J312="","",IF(T312="",0,M312*INDEX(Products!$I$5:$I$204,T312)))</f>
        <v/>
      </c>
      <c r="X312" s="11">
        <f>IF(J312="","",IF(T312="",0,S312*INDEX(Products!$H$5:$H$204,T312)))</f>
        <v/>
      </c>
      <c r="Y312" s="11">
        <f>IF(J312="","",S312-V312-W312-X312)</f>
        <v/>
      </c>
    </row>
    <row r="313">
      <c r="A313" s="19" t="n"/>
      <c r="B313" s="19" t="n"/>
      <c r="C313" s="19" t="n"/>
      <c r="D313" s="19" t="n"/>
      <c r="E313" s="19" t="n"/>
      <c r="F313" s="20" t="n"/>
      <c r="G313" s="20" t="n"/>
      <c r="H313" s="20" t="n"/>
      <c r="I313" s="19" t="n"/>
      <c r="J313">
        <f>IFERROR(IF(C313="","",C313)&amp;"","")</f>
        <v/>
      </c>
      <c r="K313">
        <f>IFERROR(IF(D313="","",D313)&amp;"","")</f>
        <v/>
      </c>
      <c r="L313">
        <f>IFERROR(IF(I313="","",I313)&amp;"","")</f>
        <v/>
      </c>
      <c r="M313">
        <f>IF(J313="","",IFERROR(VALUE(SUBSTITUTE(SUBSTITUTE(IF(E313="","",E313)&amp;"","$",""),",","")),0))</f>
        <v/>
      </c>
      <c r="N313" s="11">
        <f>IF(J313="","",IFERROR(VALUE(SUBSTITUTE(SUBSTITUTE(IF(F313="","",F313)&amp;"","$",""),",","")),0))</f>
        <v/>
      </c>
      <c r="O313" s="11">
        <f>IF(J313="","",M313*N313)</f>
        <v/>
      </c>
      <c r="P313">
        <f>IF(J313="","",IF(L313="",1,COUNTIF($L$2:$L$1501,L313)))</f>
        <v/>
      </c>
      <c r="Q313" s="11">
        <f>IF(J313="","",IFERROR(VALUE(SUBSTITUTE(SUBSTITUTE(IF(G313="","",G313)&amp;"","$",""),",","")),0)/IF("No"="Yes",P313,1))</f>
        <v/>
      </c>
      <c r="R313" s="11">
        <f>IF(J313="","",IFERROR(VALUE(SUBSTITUTE(SUBSTITUTE(IF(H313="","",H313)&amp;"","$",""),",","")),0)/IF("No"="Yes",P313,1))</f>
        <v/>
      </c>
      <c r="S313" s="11">
        <f>IF(J313="","",O313+Q313-R313)</f>
        <v/>
      </c>
      <c r="T313">
        <f>IF(J313="","",IFERROR(IF(K313="",NA(),MATCH(K313,Products!$B$5:$B$204,0)),IFERROR(MATCH(J313,Products!$A$5:$A$204,0),"")))</f>
        <v/>
      </c>
      <c r="U313">
        <f>IF(J313="","",IF(T313="","⚠ not in Products",INDEX(Products!$A$5:$A$204,T313)))</f>
        <v/>
      </c>
      <c r="V313" s="11">
        <f>IF(J313="","",S313*(IFERROR(INDEX(Settings!$B$5:$B$9,MATCH($B313,Settings!$A$5:$A$9,0)),0)+IFERROR(INDEX(Settings!$E$5:$E$9,MATCH($B313,Settings!$A$5:$A$9,0)),0)+IFERROR(INDEX(Settings!$G$5:$G$9,MATCH($B313,Settings!$A$5:$A$9,0)),0))+(IFERROR(INDEX(Settings!$C$5:$C$9,MATCH($B313,Settings!$A$5:$A$9,0)),0)+IFERROR(INDEX(Settings!$F$5:$F$9,MATCH($B313,Settings!$A$5:$A$9,0)),0))/P313+IFERROR(INDEX(Settings!$D$5:$D$9,MATCH($B313,Settings!$A$5:$A$9,0)),0)*M313)</f>
        <v/>
      </c>
      <c r="W313" s="11">
        <f>IF(J313="","",IF(T313="",0,M313*INDEX(Products!$I$5:$I$204,T313)))</f>
        <v/>
      </c>
      <c r="X313" s="11">
        <f>IF(J313="","",IF(T313="",0,S313*INDEX(Products!$H$5:$H$204,T313)))</f>
        <v/>
      </c>
      <c r="Y313" s="11">
        <f>IF(J313="","",S313-V313-W313-X313)</f>
        <v/>
      </c>
    </row>
    <row r="314">
      <c r="A314" s="19" t="n"/>
      <c r="B314" s="19" t="n"/>
      <c r="C314" s="19" t="n"/>
      <c r="D314" s="19" t="n"/>
      <c r="E314" s="19" t="n"/>
      <c r="F314" s="20" t="n"/>
      <c r="G314" s="20" t="n"/>
      <c r="H314" s="20" t="n"/>
      <c r="I314" s="19" t="n"/>
      <c r="J314">
        <f>IFERROR(IF(C314="","",C314)&amp;"","")</f>
        <v/>
      </c>
      <c r="K314">
        <f>IFERROR(IF(D314="","",D314)&amp;"","")</f>
        <v/>
      </c>
      <c r="L314">
        <f>IFERROR(IF(I314="","",I314)&amp;"","")</f>
        <v/>
      </c>
      <c r="M314">
        <f>IF(J314="","",IFERROR(VALUE(SUBSTITUTE(SUBSTITUTE(IF(E314="","",E314)&amp;"","$",""),",","")),0))</f>
        <v/>
      </c>
      <c r="N314" s="11">
        <f>IF(J314="","",IFERROR(VALUE(SUBSTITUTE(SUBSTITUTE(IF(F314="","",F314)&amp;"","$",""),",","")),0))</f>
        <v/>
      </c>
      <c r="O314" s="11">
        <f>IF(J314="","",M314*N314)</f>
        <v/>
      </c>
      <c r="P314">
        <f>IF(J314="","",IF(L314="",1,COUNTIF($L$2:$L$1501,L314)))</f>
        <v/>
      </c>
      <c r="Q314" s="11">
        <f>IF(J314="","",IFERROR(VALUE(SUBSTITUTE(SUBSTITUTE(IF(G314="","",G314)&amp;"","$",""),",","")),0)/IF("No"="Yes",P314,1))</f>
        <v/>
      </c>
      <c r="R314" s="11">
        <f>IF(J314="","",IFERROR(VALUE(SUBSTITUTE(SUBSTITUTE(IF(H314="","",H314)&amp;"","$",""),",","")),0)/IF("No"="Yes",P314,1))</f>
        <v/>
      </c>
      <c r="S314" s="11">
        <f>IF(J314="","",O314+Q314-R314)</f>
        <v/>
      </c>
      <c r="T314">
        <f>IF(J314="","",IFERROR(IF(K314="",NA(),MATCH(K314,Products!$B$5:$B$204,0)),IFERROR(MATCH(J314,Products!$A$5:$A$204,0),"")))</f>
        <v/>
      </c>
      <c r="U314">
        <f>IF(J314="","",IF(T314="","⚠ not in Products",INDEX(Products!$A$5:$A$204,T314)))</f>
        <v/>
      </c>
      <c r="V314" s="11">
        <f>IF(J314="","",S314*(IFERROR(INDEX(Settings!$B$5:$B$9,MATCH($B314,Settings!$A$5:$A$9,0)),0)+IFERROR(INDEX(Settings!$E$5:$E$9,MATCH($B314,Settings!$A$5:$A$9,0)),0)+IFERROR(INDEX(Settings!$G$5:$G$9,MATCH($B314,Settings!$A$5:$A$9,0)),0))+(IFERROR(INDEX(Settings!$C$5:$C$9,MATCH($B314,Settings!$A$5:$A$9,0)),0)+IFERROR(INDEX(Settings!$F$5:$F$9,MATCH($B314,Settings!$A$5:$A$9,0)),0))/P314+IFERROR(INDEX(Settings!$D$5:$D$9,MATCH($B314,Settings!$A$5:$A$9,0)),0)*M314)</f>
        <v/>
      </c>
      <c r="W314" s="11">
        <f>IF(J314="","",IF(T314="",0,M314*INDEX(Products!$I$5:$I$204,T314)))</f>
        <v/>
      </c>
      <c r="X314" s="11">
        <f>IF(J314="","",IF(T314="",0,S314*INDEX(Products!$H$5:$H$204,T314)))</f>
        <v/>
      </c>
      <c r="Y314" s="11">
        <f>IF(J314="","",S314-V314-W314-X314)</f>
        <v/>
      </c>
    </row>
    <row r="315">
      <c r="A315" s="19" t="n"/>
      <c r="B315" s="19" t="n"/>
      <c r="C315" s="19" t="n"/>
      <c r="D315" s="19" t="n"/>
      <c r="E315" s="19" t="n"/>
      <c r="F315" s="20" t="n"/>
      <c r="G315" s="20" t="n"/>
      <c r="H315" s="20" t="n"/>
      <c r="I315" s="19" t="n"/>
      <c r="J315">
        <f>IFERROR(IF(C315="","",C315)&amp;"","")</f>
        <v/>
      </c>
      <c r="K315">
        <f>IFERROR(IF(D315="","",D315)&amp;"","")</f>
        <v/>
      </c>
      <c r="L315">
        <f>IFERROR(IF(I315="","",I315)&amp;"","")</f>
        <v/>
      </c>
      <c r="M315">
        <f>IF(J315="","",IFERROR(VALUE(SUBSTITUTE(SUBSTITUTE(IF(E315="","",E315)&amp;"","$",""),",","")),0))</f>
        <v/>
      </c>
      <c r="N315" s="11">
        <f>IF(J315="","",IFERROR(VALUE(SUBSTITUTE(SUBSTITUTE(IF(F315="","",F315)&amp;"","$",""),",","")),0))</f>
        <v/>
      </c>
      <c r="O315" s="11">
        <f>IF(J315="","",M315*N315)</f>
        <v/>
      </c>
      <c r="P315">
        <f>IF(J315="","",IF(L315="",1,COUNTIF($L$2:$L$1501,L315)))</f>
        <v/>
      </c>
      <c r="Q315" s="11">
        <f>IF(J315="","",IFERROR(VALUE(SUBSTITUTE(SUBSTITUTE(IF(G315="","",G315)&amp;"","$",""),",","")),0)/IF("No"="Yes",P315,1))</f>
        <v/>
      </c>
      <c r="R315" s="11">
        <f>IF(J315="","",IFERROR(VALUE(SUBSTITUTE(SUBSTITUTE(IF(H315="","",H315)&amp;"","$",""),",","")),0)/IF("No"="Yes",P315,1))</f>
        <v/>
      </c>
      <c r="S315" s="11">
        <f>IF(J315="","",O315+Q315-R315)</f>
        <v/>
      </c>
      <c r="T315">
        <f>IF(J315="","",IFERROR(IF(K315="",NA(),MATCH(K315,Products!$B$5:$B$204,0)),IFERROR(MATCH(J315,Products!$A$5:$A$204,0),"")))</f>
        <v/>
      </c>
      <c r="U315">
        <f>IF(J315="","",IF(T315="","⚠ not in Products",INDEX(Products!$A$5:$A$204,T315)))</f>
        <v/>
      </c>
      <c r="V315" s="11">
        <f>IF(J315="","",S315*(IFERROR(INDEX(Settings!$B$5:$B$9,MATCH($B315,Settings!$A$5:$A$9,0)),0)+IFERROR(INDEX(Settings!$E$5:$E$9,MATCH($B315,Settings!$A$5:$A$9,0)),0)+IFERROR(INDEX(Settings!$G$5:$G$9,MATCH($B315,Settings!$A$5:$A$9,0)),0))+(IFERROR(INDEX(Settings!$C$5:$C$9,MATCH($B315,Settings!$A$5:$A$9,0)),0)+IFERROR(INDEX(Settings!$F$5:$F$9,MATCH($B315,Settings!$A$5:$A$9,0)),0))/P315+IFERROR(INDEX(Settings!$D$5:$D$9,MATCH($B315,Settings!$A$5:$A$9,0)),0)*M315)</f>
        <v/>
      </c>
      <c r="W315" s="11">
        <f>IF(J315="","",IF(T315="",0,M315*INDEX(Products!$I$5:$I$204,T315)))</f>
        <v/>
      </c>
      <c r="X315" s="11">
        <f>IF(J315="","",IF(T315="",0,S315*INDEX(Products!$H$5:$H$204,T315)))</f>
        <v/>
      </c>
      <c r="Y315" s="11">
        <f>IF(J315="","",S315-V315-W315-X315)</f>
        <v/>
      </c>
    </row>
    <row r="316">
      <c r="A316" s="19" t="n"/>
      <c r="B316" s="19" t="n"/>
      <c r="C316" s="19" t="n"/>
      <c r="D316" s="19" t="n"/>
      <c r="E316" s="19" t="n"/>
      <c r="F316" s="20" t="n"/>
      <c r="G316" s="20" t="n"/>
      <c r="H316" s="20" t="n"/>
      <c r="I316" s="19" t="n"/>
      <c r="J316">
        <f>IFERROR(IF(C316="","",C316)&amp;"","")</f>
        <v/>
      </c>
      <c r="K316">
        <f>IFERROR(IF(D316="","",D316)&amp;"","")</f>
        <v/>
      </c>
      <c r="L316">
        <f>IFERROR(IF(I316="","",I316)&amp;"","")</f>
        <v/>
      </c>
      <c r="M316">
        <f>IF(J316="","",IFERROR(VALUE(SUBSTITUTE(SUBSTITUTE(IF(E316="","",E316)&amp;"","$",""),",","")),0))</f>
        <v/>
      </c>
      <c r="N316" s="11">
        <f>IF(J316="","",IFERROR(VALUE(SUBSTITUTE(SUBSTITUTE(IF(F316="","",F316)&amp;"","$",""),",","")),0))</f>
        <v/>
      </c>
      <c r="O316" s="11">
        <f>IF(J316="","",M316*N316)</f>
        <v/>
      </c>
      <c r="P316">
        <f>IF(J316="","",IF(L316="",1,COUNTIF($L$2:$L$1501,L316)))</f>
        <v/>
      </c>
      <c r="Q316" s="11">
        <f>IF(J316="","",IFERROR(VALUE(SUBSTITUTE(SUBSTITUTE(IF(G316="","",G316)&amp;"","$",""),",","")),0)/IF("No"="Yes",P316,1))</f>
        <v/>
      </c>
      <c r="R316" s="11">
        <f>IF(J316="","",IFERROR(VALUE(SUBSTITUTE(SUBSTITUTE(IF(H316="","",H316)&amp;"","$",""),",","")),0)/IF("No"="Yes",P316,1))</f>
        <v/>
      </c>
      <c r="S316" s="11">
        <f>IF(J316="","",O316+Q316-R316)</f>
        <v/>
      </c>
      <c r="T316">
        <f>IF(J316="","",IFERROR(IF(K316="",NA(),MATCH(K316,Products!$B$5:$B$204,0)),IFERROR(MATCH(J316,Products!$A$5:$A$204,0),"")))</f>
        <v/>
      </c>
      <c r="U316">
        <f>IF(J316="","",IF(T316="","⚠ not in Products",INDEX(Products!$A$5:$A$204,T316)))</f>
        <v/>
      </c>
      <c r="V316" s="11">
        <f>IF(J316="","",S316*(IFERROR(INDEX(Settings!$B$5:$B$9,MATCH($B316,Settings!$A$5:$A$9,0)),0)+IFERROR(INDEX(Settings!$E$5:$E$9,MATCH($B316,Settings!$A$5:$A$9,0)),0)+IFERROR(INDEX(Settings!$G$5:$G$9,MATCH($B316,Settings!$A$5:$A$9,0)),0))+(IFERROR(INDEX(Settings!$C$5:$C$9,MATCH($B316,Settings!$A$5:$A$9,0)),0)+IFERROR(INDEX(Settings!$F$5:$F$9,MATCH($B316,Settings!$A$5:$A$9,0)),0))/P316+IFERROR(INDEX(Settings!$D$5:$D$9,MATCH($B316,Settings!$A$5:$A$9,0)),0)*M316)</f>
        <v/>
      </c>
      <c r="W316" s="11">
        <f>IF(J316="","",IF(T316="",0,M316*INDEX(Products!$I$5:$I$204,T316)))</f>
        <v/>
      </c>
      <c r="X316" s="11">
        <f>IF(J316="","",IF(T316="",0,S316*INDEX(Products!$H$5:$H$204,T316)))</f>
        <v/>
      </c>
      <c r="Y316" s="11">
        <f>IF(J316="","",S316-V316-W316-X316)</f>
        <v/>
      </c>
    </row>
    <row r="317">
      <c r="A317" s="19" t="n"/>
      <c r="B317" s="19" t="n"/>
      <c r="C317" s="19" t="n"/>
      <c r="D317" s="19" t="n"/>
      <c r="E317" s="19" t="n"/>
      <c r="F317" s="20" t="n"/>
      <c r="G317" s="20" t="n"/>
      <c r="H317" s="20" t="n"/>
      <c r="I317" s="19" t="n"/>
      <c r="J317">
        <f>IFERROR(IF(C317="","",C317)&amp;"","")</f>
        <v/>
      </c>
      <c r="K317">
        <f>IFERROR(IF(D317="","",D317)&amp;"","")</f>
        <v/>
      </c>
      <c r="L317">
        <f>IFERROR(IF(I317="","",I317)&amp;"","")</f>
        <v/>
      </c>
      <c r="M317">
        <f>IF(J317="","",IFERROR(VALUE(SUBSTITUTE(SUBSTITUTE(IF(E317="","",E317)&amp;"","$",""),",","")),0))</f>
        <v/>
      </c>
      <c r="N317" s="11">
        <f>IF(J317="","",IFERROR(VALUE(SUBSTITUTE(SUBSTITUTE(IF(F317="","",F317)&amp;"","$",""),",","")),0))</f>
        <v/>
      </c>
      <c r="O317" s="11">
        <f>IF(J317="","",M317*N317)</f>
        <v/>
      </c>
      <c r="P317">
        <f>IF(J317="","",IF(L317="",1,COUNTIF($L$2:$L$1501,L317)))</f>
        <v/>
      </c>
      <c r="Q317" s="11">
        <f>IF(J317="","",IFERROR(VALUE(SUBSTITUTE(SUBSTITUTE(IF(G317="","",G317)&amp;"","$",""),",","")),0)/IF("No"="Yes",P317,1))</f>
        <v/>
      </c>
      <c r="R317" s="11">
        <f>IF(J317="","",IFERROR(VALUE(SUBSTITUTE(SUBSTITUTE(IF(H317="","",H317)&amp;"","$",""),",","")),0)/IF("No"="Yes",P317,1))</f>
        <v/>
      </c>
      <c r="S317" s="11">
        <f>IF(J317="","",O317+Q317-R317)</f>
        <v/>
      </c>
      <c r="T317">
        <f>IF(J317="","",IFERROR(IF(K317="",NA(),MATCH(K317,Products!$B$5:$B$204,0)),IFERROR(MATCH(J317,Products!$A$5:$A$204,0),"")))</f>
        <v/>
      </c>
      <c r="U317">
        <f>IF(J317="","",IF(T317="","⚠ not in Products",INDEX(Products!$A$5:$A$204,T317)))</f>
        <v/>
      </c>
      <c r="V317" s="11">
        <f>IF(J317="","",S317*(IFERROR(INDEX(Settings!$B$5:$B$9,MATCH($B317,Settings!$A$5:$A$9,0)),0)+IFERROR(INDEX(Settings!$E$5:$E$9,MATCH($B317,Settings!$A$5:$A$9,0)),0)+IFERROR(INDEX(Settings!$G$5:$G$9,MATCH($B317,Settings!$A$5:$A$9,0)),0))+(IFERROR(INDEX(Settings!$C$5:$C$9,MATCH($B317,Settings!$A$5:$A$9,0)),0)+IFERROR(INDEX(Settings!$F$5:$F$9,MATCH($B317,Settings!$A$5:$A$9,0)),0))/P317+IFERROR(INDEX(Settings!$D$5:$D$9,MATCH($B317,Settings!$A$5:$A$9,0)),0)*M317)</f>
        <v/>
      </c>
      <c r="W317" s="11">
        <f>IF(J317="","",IF(T317="",0,M317*INDEX(Products!$I$5:$I$204,T317)))</f>
        <v/>
      </c>
      <c r="X317" s="11">
        <f>IF(J317="","",IF(T317="",0,S317*INDEX(Products!$H$5:$H$204,T317)))</f>
        <v/>
      </c>
      <c r="Y317" s="11">
        <f>IF(J317="","",S317-V317-W317-X317)</f>
        <v/>
      </c>
    </row>
    <row r="318">
      <c r="A318" s="19" t="n"/>
      <c r="B318" s="19" t="n"/>
      <c r="C318" s="19" t="n"/>
      <c r="D318" s="19" t="n"/>
      <c r="E318" s="19" t="n"/>
      <c r="F318" s="20" t="n"/>
      <c r="G318" s="20" t="n"/>
      <c r="H318" s="20" t="n"/>
      <c r="I318" s="19" t="n"/>
      <c r="J318">
        <f>IFERROR(IF(C318="","",C318)&amp;"","")</f>
        <v/>
      </c>
      <c r="K318">
        <f>IFERROR(IF(D318="","",D318)&amp;"","")</f>
        <v/>
      </c>
      <c r="L318">
        <f>IFERROR(IF(I318="","",I318)&amp;"","")</f>
        <v/>
      </c>
      <c r="M318">
        <f>IF(J318="","",IFERROR(VALUE(SUBSTITUTE(SUBSTITUTE(IF(E318="","",E318)&amp;"","$",""),",","")),0))</f>
        <v/>
      </c>
      <c r="N318" s="11">
        <f>IF(J318="","",IFERROR(VALUE(SUBSTITUTE(SUBSTITUTE(IF(F318="","",F318)&amp;"","$",""),",","")),0))</f>
        <v/>
      </c>
      <c r="O318" s="11">
        <f>IF(J318="","",M318*N318)</f>
        <v/>
      </c>
      <c r="P318">
        <f>IF(J318="","",IF(L318="",1,COUNTIF($L$2:$L$1501,L318)))</f>
        <v/>
      </c>
      <c r="Q318" s="11">
        <f>IF(J318="","",IFERROR(VALUE(SUBSTITUTE(SUBSTITUTE(IF(G318="","",G318)&amp;"","$",""),",","")),0)/IF("No"="Yes",P318,1))</f>
        <v/>
      </c>
      <c r="R318" s="11">
        <f>IF(J318="","",IFERROR(VALUE(SUBSTITUTE(SUBSTITUTE(IF(H318="","",H318)&amp;"","$",""),",","")),0)/IF("No"="Yes",P318,1))</f>
        <v/>
      </c>
      <c r="S318" s="11">
        <f>IF(J318="","",O318+Q318-R318)</f>
        <v/>
      </c>
      <c r="T318">
        <f>IF(J318="","",IFERROR(IF(K318="",NA(),MATCH(K318,Products!$B$5:$B$204,0)),IFERROR(MATCH(J318,Products!$A$5:$A$204,0),"")))</f>
        <v/>
      </c>
      <c r="U318">
        <f>IF(J318="","",IF(T318="","⚠ not in Products",INDEX(Products!$A$5:$A$204,T318)))</f>
        <v/>
      </c>
      <c r="V318" s="11">
        <f>IF(J318="","",S318*(IFERROR(INDEX(Settings!$B$5:$B$9,MATCH($B318,Settings!$A$5:$A$9,0)),0)+IFERROR(INDEX(Settings!$E$5:$E$9,MATCH($B318,Settings!$A$5:$A$9,0)),0)+IFERROR(INDEX(Settings!$G$5:$G$9,MATCH($B318,Settings!$A$5:$A$9,0)),0))+(IFERROR(INDEX(Settings!$C$5:$C$9,MATCH($B318,Settings!$A$5:$A$9,0)),0)+IFERROR(INDEX(Settings!$F$5:$F$9,MATCH($B318,Settings!$A$5:$A$9,0)),0))/P318+IFERROR(INDEX(Settings!$D$5:$D$9,MATCH($B318,Settings!$A$5:$A$9,0)),0)*M318)</f>
        <v/>
      </c>
      <c r="W318" s="11">
        <f>IF(J318="","",IF(T318="",0,M318*INDEX(Products!$I$5:$I$204,T318)))</f>
        <v/>
      </c>
      <c r="X318" s="11">
        <f>IF(J318="","",IF(T318="",0,S318*INDEX(Products!$H$5:$H$204,T318)))</f>
        <v/>
      </c>
      <c r="Y318" s="11">
        <f>IF(J318="","",S318-V318-W318-X318)</f>
        <v/>
      </c>
    </row>
    <row r="319">
      <c r="A319" s="19" t="n"/>
      <c r="B319" s="19" t="n"/>
      <c r="C319" s="19" t="n"/>
      <c r="D319" s="19" t="n"/>
      <c r="E319" s="19" t="n"/>
      <c r="F319" s="20" t="n"/>
      <c r="G319" s="20" t="n"/>
      <c r="H319" s="20" t="n"/>
      <c r="I319" s="19" t="n"/>
      <c r="J319">
        <f>IFERROR(IF(C319="","",C319)&amp;"","")</f>
        <v/>
      </c>
      <c r="K319">
        <f>IFERROR(IF(D319="","",D319)&amp;"","")</f>
        <v/>
      </c>
      <c r="L319">
        <f>IFERROR(IF(I319="","",I319)&amp;"","")</f>
        <v/>
      </c>
      <c r="M319">
        <f>IF(J319="","",IFERROR(VALUE(SUBSTITUTE(SUBSTITUTE(IF(E319="","",E319)&amp;"","$",""),",","")),0))</f>
        <v/>
      </c>
      <c r="N319" s="11">
        <f>IF(J319="","",IFERROR(VALUE(SUBSTITUTE(SUBSTITUTE(IF(F319="","",F319)&amp;"","$",""),",","")),0))</f>
        <v/>
      </c>
      <c r="O319" s="11">
        <f>IF(J319="","",M319*N319)</f>
        <v/>
      </c>
      <c r="P319">
        <f>IF(J319="","",IF(L319="",1,COUNTIF($L$2:$L$1501,L319)))</f>
        <v/>
      </c>
      <c r="Q319" s="11">
        <f>IF(J319="","",IFERROR(VALUE(SUBSTITUTE(SUBSTITUTE(IF(G319="","",G319)&amp;"","$",""),",","")),0)/IF("No"="Yes",P319,1))</f>
        <v/>
      </c>
      <c r="R319" s="11">
        <f>IF(J319="","",IFERROR(VALUE(SUBSTITUTE(SUBSTITUTE(IF(H319="","",H319)&amp;"","$",""),",","")),0)/IF("No"="Yes",P319,1))</f>
        <v/>
      </c>
      <c r="S319" s="11">
        <f>IF(J319="","",O319+Q319-R319)</f>
        <v/>
      </c>
      <c r="T319">
        <f>IF(J319="","",IFERROR(IF(K319="",NA(),MATCH(K319,Products!$B$5:$B$204,0)),IFERROR(MATCH(J319,Products!$A$5:$A$204,0),"")))</f>
        <v/>
      </c>
      <c r="U319">
        <f>IF(J319="","",IF(T319="","⚠ not in Products",INDEX(Products!$A$5:$A$204,T319)))</f>
        <v/>
      </c>
      <c r="V319" s="11">
        <f>IF(J319="","",S319*(IFERROR(INDEX(Settings!$B$5:$B$9,MATCH($B319,Settings!$A$5:$A$9,0)),0)+IFERROR(INDEX(Settings!$E$5:$E$9,MATCH($B319,Settings!$A$5:$A$9,0)),0)+IFERROR(INDEX(Settings!$G$5:$G$9,MATCH($B319,Settings!$A$5:$A$9,0)),0))+(IFERROR(INDEX(Settings!$C$5:$C$9,MATCH($B319,Settings!$A$5:$A$9,0)),0)+IFERROR(INDEX(Settings!$F$5:$F$9,MATCH($B319,Settings!$A$5:$A$9,0)),0))/P319+IFERROR(INDEX(Settings!$D$5:$D$9,MATCH($B319,Settings!$A$5:$A$9,0)),0)*M319)</f>
        <v/>
      </c>
      <c r="W319" s="11">
        <f>IF(J319="","",IF(T319="",0,M319*INDEX(Products!$I$5:$I$204,T319)))</f>
        <v/>
      </c>
      <c r="X319" s="11">
        <f>IF(J319="","",IF(T319="",0,S319*INDEX(Products!$H$5:$H$204,T319)))</f>
        <v/>
      </c>
      <c r="Y319" s="11">
        <f>IF(J319="","",S319-V319-W319-X319)</f>
        <v/>
      </c>
    </row>
    <row r="320">
      <c r="A320" s="19" t="n"/>
      <c r="B320" s="19" t="n"/>
      <c r="C320" s="19" t="n"/>
      <c r="D320" s="19" t="n"/>
      <c r="E320" s="19" t="n"/>
      <c r="F320" s="20" t="n"/>
      <c r="G320" s="20" t="n"/>
      <c r="H320" s="20" t="n"/>
      <c r="I320" s="19" t="n"/>
      <c r="J320">
        <f>IFERROR(IF(C320="","",C320)&amp;"","")</f>
        <v/>
      </c>
      <c r="K320">
        <f>IFERROR(IF(D320="","",D320)&amp;"","")</f>
        <v/>
      </c>
      <c r="L320">
        <f>IFERROR(IF(I320="","",I320)&amp;"","")</f>
        <v/>
      </c>
      <c r="M320">
        <f>IF(J320="","",IFERROR(VALUE(SUBSTITUTE(SUBSTITUTE(IF(E320="","",E320)&amp;"","$",""),",","")),0))</f>
        <v/>
      </c>
      <c r="N320" s="11">
        <f>IF(J320="","",IFERROR(VALUE(SUBSTITUTE(SUBSTITUTE(IF(F320="","",F320)&amp;"","$",""),",","")),0))</f>
        <v/>
      </c>
      <c r="O320" s="11">
        <f>IF(J320="","",M320*N320)</f>
        <v/>
      </c>
      <c r="P320">
        <f>IF(J320="","",IF(L320="",1,COUNTIF($L$2:$L$1501,L320)))</f>
        <v/>
      </c>
      <c r="Q320" s="11">
        <f>IF(J320="","",IFERROR(VALUE(SUBSTITUTE(SUBSTITUTE(IF(G320="","",G320)&amp;"","$",""),",","")),0)/IF("No"="Yes",P320,1))</f>
        <v/>
      </c>
      <c r="R320" s="11">
        <f>IF(J320="","",IFERROR(VALUE(SUBSTITUTE(SUBSTITUTE(IF(H320="","",H320)&amp;"","$",""),",","")),0)/IF("No"="Yes",P320,1))</f>
        <v/>
      </c>
      <c r="S320" s="11">
        <f>IF(J320="","",O320+Q320-R320)</f>
        <v/>
      </c>
      <c r="T320">
        <f>IF(J320="","",IFERROR(IF(K320="",NA(),MATCH(K320,Products!$B$5:$B$204,0)),IFERROR(MATCH(J320,Products!$A$5:$A$204,0),"")))</f>
        <v/>
      </c>
      <c r="U320">
        <f>IF(J320="","",IF(T320="","⚠ not in Products",INDEX(Products!$A$5:$A$204,T320)))</f>
        <v/>
      </c>
      <c r="V320" s="11">
        <f>IF(J320="","",S320*(IFERROR(INDEX(Settings!$B$5:$B$9,MATCH($B320,Settings!$A$5:$A$9,0)),0)+IFERROR(INDEX(Settings!$E$5:$E$9,MATCH($B320,Settings!$A$5:$A$9,0)),0)+IFERROR(INDEX(Settings!$G$5:$G$9,MATCH($B320,Settings!$A$5:$A$9,0)),0))+(IFERROR(INDEX(Settings!$C$5:$C$9,MATCH($B320,Settings!$A$5:$A$9,0)),0)+IFERROR(INDEX(Settings!$F$5:$F$9,MATCH($B320,Settings!$A$5:$A$9,0)),0))/P320+IFERROR(INDEX(Settings!$D$5:$D$9,MATCH($B320,Settings!$A$5:$A$9,0)),0)*M320)</f>
        <v/>
      </c>
      <c r="W320" s="11">
        <f>IF(J320="","",IF(T320="",0,M320*INDEX(Products!$I$5:$I$204,T320)))</f>
        <v/>
      </c>
      <c r="X320" s="11">
        <f>IF(J320="","",IF(T320="",0,S320*INDEX(Products!$H$5:$H$204,T320)))</f>
        <v/>
      </c>
      <c r="Y320" s="11">
        <f>IF(J320="","",S320-V320-W320-X320)</f>
        <v/>
      </c>
    </row>
    <row r="321">
      <c r="A321" s="19" t="n"/>
      <c r="B321" s="19" t="n"/>
      <c r="C321" s="19" t="n"/>
      <c r="D321" s="19" t="n"/>
      <c r="E321" s="19" t="n"/>
      <c r="F321" s="20" t="n"/>
      <c r="G321" s="20" t="n"/>
      <c r="H321" s="20" t="n"/>
      <c r="I321" s="19" t="n"/>
      <c r="J321">
        <f>IFERROR(IF(C321="","",C321)&amp;"","")</f>
        <v/>
      </c>
      <c r="K321">
        <f>IFERROR(IF(D321="","",D321)&amp;"","")</f>
        <v/>
      </c>
      <c r="L321">
        <f>IFERROR(IF(I321="","",I321)&amp;"","")</f>
        <v/>
      </c>
      <c r="M321">
        <f>IF(J321="","",IFERROR(VALUE(SUBSTITUTE(SUBSTITUTE(IF(E321="","",E321)&amp;"","$",""),",","")),0))</f>
        <v/>
      </c>
      <c r="N321" s="11">
        <f>IF(J321="","",IFERROR(VALUE(SUBSTITUTE(SUBSTITUTE(IF(F321="","",F321)&amp;"","$",""),",","")),0))</f>
        <v/>
      </c>
      <c r="O321" s="11">
        <f>IF(J321="","",M321*N321)</f>
        <v/>
      </c>
      <c r="P321">
        <f>IF(J321="","",IF(L321="",1,COUNTIF($L$2:$L$1501,L321)))</f>
        <v/>
      </c>
      <c r="Q321" s="11">
        <f>IF(J321="","",IFERROR(VALUE(SUBSTITUTE(SUBSTITUTE(IF(G321="","",G321)&amp;"","$",""),",","")),0)/IF("No"="Yes",P321,1))</f>
        <v/>
      </c>
      <c r="R321" s="11">
        <f>IF(J321="","",IFERROR(VALUE(SUBSTITUTE(SUBSTITUTE(IF(H321="","",H321)&amp;"","$",""),",","")),0)/IF("No"="Yes",P321,1))</f>
        <v/>
      </c>
      <c r="S321" s="11">
        <f>IF(J321="","",O321+Q321-R321)</f>
        <v/>
      </c>
      <c r="T321">
        <f>IF(J321="","",IFERROR(IF(K321="",NA(),MATCH(K321,Products!$B$5:$B$204,0)),IFERROR(MATCH(J321,Products!$A$5:$A$204,0),"")))</f>
        <v/>
      </c>
      <c r="U321">
        <f>IF(J321="","",IF(T321="","⚠ not in Products",INDEX(Products!$A$5:$A$204,T321)))</f>
        <v/>
      </c>
      <c r="V321" s="11">
        <f>IF(J321="","",S321*(IFERROR(INDEX(Settings!$B$5:$B$9,MATCH($B321,Settings!$A$5:$A$9,0)),0)+IFERROR(INDEX(Settings!$E$5:$E$9,MATCH($B321,Settings!$A$5:$A$9,0)),0)+IFERROR(INDEX(Settings!$G$5:$G$9,MATCH($B321,Settings!$A$5:$A$9,0)),0))+(IFERROR(INDEX(Settings!$C$5:$C$9,MATCH($B321,Settings!$A$5:$A$9,0)),0)+IFERROR(INDEX(Settings!$F$5:$F$9,MATCH($B321,Settings!$A$5:$A$9,0)),0))/P321+IFERROR(INDEX(Settings!$D$5:$D$9,MATCH($B321,Settings!$A$5:$A$9,0)),0)*M321)</f>
        <v/>
      </c>
      <c r="W321" s="11">
        <f>IF(J321="","",IF(T321="",0,M321*INDEX(Products!$I$5:$I$204,T321)))</f>
        <v/>
      </c>
      <c r="X321" s="11">
        <f>IF(J321="","",IF(T321="",0,S321*INDEX(Products!$H$5:$H$204,T321)))</f>
        <v/>
      </c>
      <c r="Y321" s="11">
        <f>IF(J321="","",S321-V321-W321-X321)</f>
        <v/>
      </c>
    </row>
    <row r="322">
      <c r="A322" s="19" t="n"/>
      <c r="B322" s="19" t="n"/>
      <c r="C322" s="19" t="n"/>
      <c r="D322" s="19" t="n"/>
      <c r="E322" s="19" t="n"/>
      <c r="F322" s="20" t="n"/>
      <c r="G322" s="20" t="n"/>
      <c r="H322" s="20" t="n"/>
      <c r="I322" s="19" t="n"/>
      <c r="J322">
        <f>IFERROR(IF(C322="","",C322)&amp;"","")</f>
        <v/>
      </c>
      <c r="K322">
        <f>IFERROR(IF(D322="","",D322)&amp;"","")</f>
        <v/>
      </c>
      <c r="L322">
        <f>IFERROR(IF(I322="","",I322)&amp;"","")</f>
        <v/>
      </c>
      <c r="M322">
        <f>IF(J322="","",IFERROR(VALUE(SUBSTITUTE(SUBSTITUTE(IF(E322="","",E322)&amp;"","$",""),",","")),0))</f>
        <v/>
      </c>
      <c r="N322" s="11">
        <f>IF(J322="","",IFERROR(VALUE(SUBSTITUTE(SUBSTITUTE(IF(F322="","",F322)&amp;"","$",""),",","")),0))</f>
        <v/>
      </c>
      <c r="O322" s="11">
        <f>IF(J322="","",M322*N322)</f>
        <v/>
      </c>
      <c r="P322">
        <f>IF(J322="","",IF(L322="",1,COUNTIF($L$2:$L$1501,L322)))</f>
        <v/>
      </c>
      <c r="Q322" s="11">
        <f>IF(J322="","",IFERROR(VALUE(SUBSTITUTE(SUBSTITUTE(IF(G322="","",G322)&amp;"","$",""),",","")),0)/IF("No"="Yes",P322,1))</f>
        <v/>
      </c>
      <c r="R322" s="11">
        <f>IF(J322="","",IFERROR(VALUE(SUBSTITUTE(SUBSTITUTE(IF(H322="","",H322)&amp;"","$",""),",","")),0)/IF("No"="Yes",P322,1))</f>
        <v/>
      </c>
      <c r="S322" s="11">
        <f>IF(J322="","",O322+Q322-R322)</f>
        <v/>
      </c>
      <c r="T322">
        <f>IF(J322="","",IFERROR(IF(K322="",NA(),MATCH(K322,Products!$B$5:$B$204,0)),IFERROR(MATCH(J322,Products!$A$5:$A$204,0),"")))</f>
        <v/>
      </c>
      <c r="U322">
        <f>IF(J322="","",IF(T322="","⚠ not in Products",INDEX(Products!$A$5:$A$204,T322)))</f>
        <v/>
      </c>
      <c r="V322" s="11">
        <f>IF(J322="","",S322*(IFERROR(INDEX(Settings!$B$5:$B$9,MATCH($B322,Settings!$A$5:$A$9,0)),0)+IFERROR(INDEX(Settings!$E$5:$E$9,MATCH($B322,Settings!$A$5:$A$9,0)),0)+IFERROR(INDEX(Settings!$G$5:$G$9,MATCH($B322,Settings!$A$5:$A$9,0)),0))+(IFERROR(INDEX(Settings!$C$5:$C$9,MATCH($B322,Settings!$A$5:$A$9,0)),0)+IFERROR(INDEX(Settings!$F$5:$F$9,MATCH($B322,Settings!$A$5:$A$9,0)),0))/P322+IFERROR(INDEX(Settings!$D$5:$D$9,MATCH($B322,Settings!$A$5:$A$9,0)),0)*M322)</f>
        <v/>
      </c>
      <c r="W322" s="11">
        <f>IF(J322="","",IF(T322="",0,M322*INDEX(Products!$I$5:$I$204,T322)))</f>
        <v/>
      </c>
      <c r="X322" s="11">
        <f>IF(J322="","",IF(T322="",0,S322*INDEX(Products!$H$5:$H$204,T322)))</f>
        <v/>
      </c>
      <c r="Y322" s="11">
        <f>IF(J322="","",S322-V322-W322-X322)</f>
        <v/>
      </c>
    </row>
    <row r="323">
      <c r="A323" s="19" t="n"/>
      <c r="B323" s="19" t="n"/>
      <c r="C323" s="19" t="n"/>
      <c r="D323" s="19" t="n"/>
      <c r="E323" s="19" t="n"/>
      <c r="F323" s="20" t="n"/>
      <c r="G323" s="20" t="n"/>
      <c r="H323" s="20" t="n"/>
      <c r="I323" s="19" t="n"/>
      <c r="J323">
        <f>IFERROR(IF(C323="","",C323)&amp;"","")</f>
        <v/>
      </c>
      <c r="K323">
        <f>IFERROR(IF(D323="","",D323)&amp;"","")</f>
        <v/>
      </c>
      <c r="L323">
        <f>IFERROR(IF(I323="","",I323)&amp;"","")</f>
        <v/>
      </c>
      <c r="M323">
        <f>IF(J323="","",IFERROR(VALUE(SUBSTITUTE(SUBSTITUTE(IF(E323="","",E323)&amp;"","$",""),",","")),0))</f>
        <v/>
      </c>
      <c r="N323" s="11">
        <f>IF(J323="","",IFERROR(VALUE(SUBSTITUTE(SUBSTITUTE(IF(F323="","",F323)&amp;"","$",""),",","")),0))</f>
        <v/>
      </c>
      <c r="O323" s="11">
        <f>IF(J323="","",M323*N323)</f>
        <v/>
      </c>
      <c r="P323">
        <f>IF(J323="","",IF(L323="",1,COUNTIF($L$2:$L$1501,L323)))</f>
        <v/>
      </c>
      <c r="Q323" s="11">
        <f>IF(J323="","",IFERROR(VALUE(SUBSTITUTE(SUBSTITUTE(IF(G323="","",G323)&amp;"","$",""),",","")),0)/IF("No"="Yes",P323,1))</f>
        <v/>
      </c>
      <c r="R323" s="11">
        <f>IF(J323="","",IFERROR(VALUE(SUBSTITUTE(SUBSTITUTE(IF(H323="","",H323)&amp;"","$",""),",","")),0)/IF("No"="Yes",P323,1))</f>
        <v/>
      </c>
      <c r="S323" s="11">
        <f>IF(J323="","",O323+Q323-R323)</f>
        <v/>
      </c>
      <c r="T323">
        <f>IF(J323="","",IFERROR(IF(K323="",NA(),MATCH(K323,Products!$B$5:$B$204,0)),IFERROR(MATCH(J323,Products!$A$5:$A$204,0),"")))</f>
        <v/>
      </c>
      <c r="U323">
        <f>IF(J323="","",IF(T323="","⚠ not in Products",INDEX(Products!$A$5:$A$204,T323)))</f>
        <v/>
      </c>
      <c r="V323" s="11">
        <f>IF(J323="","",S323*(IFERROR(INDEX(Settings!$B$5:$B$9,MATCH($B323,Settings!$A$5:$A$9,0)),0)+IFERROR(INDEX(Settings!$E$5:$E$9,MATCH($B323,Settings!$A$5:$A$9,0)),0)+IFERROR(INDEX(Settings!$G$5:$G$9,MATCH($B323,Settings!$A$5:$A$9,0)),0))+(IFERROR(INDEX(Settings!$C$5:$C$9,MATCH($B323,Settings!$A$5:$A$9,0)),0)+IFERROR(INDEX(Settings!$F$5:$F$9,MATCH($B323,Settings!$A$5:$A$9,0)),0))/P323+IFERROR(INDEX(Settings!$D$5:$D$9,MATCH($B323,Settings!$A$5:$A$9,0)),0)*M323)</f>
        <v/>
      </c>
      <c r="W323" s="11">
        <f>IF(J323="","",IF(T323="",0,M323*INDEX(Products!$I$5:$I$204,T323)))</f>
        <v/>
      </c>
      <c r="X323" s="11">
        <f>IF(J323="","",IF(T323="",0,S323*INDEX(Products!$H$5:$H$204,T323)))</f>
        <v/>
      </c>
      <c r="Y323" s="11">
        <f>IF(J323="","",S323-V323-W323-X323)</f>
        <v/>
      </c>
    </row>
    <row r="324">
      <c r="A324" s="19" t="n"/>
      <c r="B324" s="19" t="n"/>
      <c r="C324" s="19" t="n"/>
      <c r="D324" s="19" t="n"/>
      <c r="E324" s="19" t="n"/>
      <c r="F324" s="20" t="n"/>
      <c r="G324" s="20" t="n"/>
      <c r="H324" s="20" t="n"/>
      <c r="I324" s="19" t="n"/>
      <c r="J324">
        <f>IFERROR(IF(C324="","",C324)&amp;"","")</f>
        <v/>
      </c>
      <c r="K324">
        <f>IFERROR(IF(D324="","",D324)&amp;"","")</f>
        <v/>
      </c>
      <c r="L324">
        <f>IFERROR(IF(I324="","",I324)&amp;"","")</f>
        <v/>
      </c>
      <c r="M324">
        <f>IF(J324="","",IFERROR(VALUE(SUBSTITUTE(SUBSTITUTE(IF(E324="","",E324)&amp;"","$",""),",","")),0))</f>
        <v/>
      </c>
      <c r="N324" s="11">
        <f>IF(J324="","",IFERROR(VALUE(SUBSTITUTE(SUBSTITUTE(IF(F324="","",F324)&amp;"","$",""),",","")),0))</f>
        <v/>
      </c>
      <c r="O324" s="11">
        <f>IF(J324="","",M324*N324)</f>
        <v/>
      </c>
      <c r="P324">
        <f>IF(J324="","",IF(L324="",1,COUNTIF($L$2:$L$1501,L324)))</f>
        <v/>
      </c>
      <c r="Q324" s="11">
        <f>IF(J324="","",IFERROR(VALUE(SUBSTITUTE(SUBSTITUTE(IF(G324="","",G324)&amp;"","$",""),",","")),0)/IF("No"="Yes",P324,1))</f>
        <v/>
      </c>
      <c r="R324" s="11">
        <f>IF(J324="","",IFERROR(VALUE(SUBSTITUTE(SUBSTITUTE(IF(H324="","",H324)&amp;"","$",""),",","")),0)/IF("No"="Yes",P324,1))</f>
        <v/>
      </c>
      <c r="S324" s="11">
        <f>IF(J324="","",O324+Q324-R324)</f>
        <v/>
      </c>
      <c r="T324">
        <f>IF(J324="","",IFERROR(IF(K324="",NA(),MATCH(K324,Products!$B$5:$B$204,0)),IFERROR(MATCH(J324,Products!$A$5:$A$204,0),"")))</f>
        <v/>
      </c>
      <c r="U324">
        <f>IF(J324="","",IF(T324="","⚠ not in Products",INDEX(Products!$A$5:$A$204,T324)))</f>
        <v/>
      </c>
      <c r="V324" s="11">
        <f>IF(J324="","",S324*(IFERROR(INDEX(Settings!$B$5:$B$9,MATCH($B324,Settings!$A$5:$A$9,0)),0)+IFERROR(INDEX(Settings!$E$5:$E$9,MATCH($B324,Settings!$A$5:$A$9,0)),0)+IFERROR(INDEX(Settings!$G$5:$G$9,MATCH($B324,Settings!$A$5:$A$9,0)),0))+(IFERROR(INDEX(Settings!$C$5:$C$9,MATCH($B324,Settings!$A$5:$A$9,0)),0)+IFERROR(INDEX(Settings!$F$5:$F$9,MATCH($B324,Settings!$A$5:$A$9,0)),0))/P324+IFERROR(INDEX(Settings!$D$5:$D$9,MATCH($B324,Settings!$A$5:$A$9,0)),0)*M324)</f>
        <v/>
      </c>
      <c r="W324" s="11">
        <f>IF(J324="","",IF(T324="",0,M324*INDEX(Products!$I$5:$I$204,T324)))</f>
        <v/>
      </c>
      <c r="X324" s="11">
        <f>IF(J324="","",IF(T324="",0,S324*INDEX(Products!$H$5:$H$204,T324)))</f>
        <v/>
      </c>
      <c r="Y324" s="11">
        <f>IF(J324="","",S324-V324-W324-X324)</f>
        <v/>
      </c>
    </row>
    <row r="325">
      <c r="A325" s="19" t="n"/>
      <c r="B325" s="19" t="n"/>
      <c r="C325" s="19" t="n"/>
      <c r="D325" s="19" t="n"/>
      <c r="E325" s="19" t="n"/>
      <c r="F325" s="20" t="n"/>
      <c r="G325" s="20" t="n"/>
      <c r="H325" s="20" t="n"/>
      <c r="I325" s="19" t="n"/>
      <c r="J325">
        <f>IFERROR(IF(C325="","",C325)&amp;"","")</f>
        <v/>
      </c>
      <c r="K325">
        <f>IFERROR(IF(D325="","",D325)&amp;"","")</f>
        <v/>
      </c>
      <c r="L325">
        <f>IFERROR(IF(I325="","",I325)&amp;"","")</f>
        <v/>
      </c>
      <c r="M325">
        <f>IF(J325="","",IFERROR(VALUE(SUBSTITUTE(SUBSTITUTE(IF(E325="","",E325)&amp;"","$",""),",","")),0))</f>
        <v/>
      </c>
      <c r="N325" s="11">
        <f>IF(J325="","",IFERROR(VALUE(SUBSTITUTE(SUBSTITUTE(IF(F325="","",F325)&amp;"","$",""),",","")),0))</f>
        <v/>
      </c>
      <c r="O325" s="11">
        <f>IF(J325="","",M325*N325)</f>
        <v/>
      </c>
      <c r="P325">
        <f>IF(J325="","",IF(L325="",1,COUNTIF($L$2:$L$1501,L325)))</f>
        <v/>
      </c>
      <c r="Q325" s="11">
        <f>IF(J325="","",IFERROR(VALUE(SUBSTITUTE(SUBSTITUTE(IF(G325="","",G325)&amp;"","$",""),",","")),0)/IF("No"="Yes",P325,1))</f>
        <v/>
      </c>
      <c r="R325" s="11">
        <f>IF(J325="","",IFERROR(VALUE(SUBSTITUTE(SUBSTITUTE(IF(H325="","",H325)&amp;"","$",""),",","")),0)/IF("No"="Yes",P325,1))</f>
        <v/>
      </c>
      <c r="S325" s="11">
        <f>IF(J325="","",O325+Q325-R325)</f>
        <v/>
      </c>
      <c r="T325">
        <f>IF(J325="","",IFERROR(IF(K325="",NA(),MATCH(K325,Products!$B$5:$B$204,0)),IFERROR(MATCH(J325,Products!$A$5:$A$204,0),"")))</f>
        <v/>
      </c>
      <c r="U325">
        <f>IF(J325="","",IF(T325="","⚠ not in Products",INDEX(Products!$A$5:$A$204,T325)))</f>
        <v/>
      </c>
      <c r="V325" s="11">
        <f>IF(J325="","",S325*(IFERROR(INDEX(Settings!$B$5:$B$9,MATCH($B325,Settings!$A$5:$A$9,0)),0)+IFERROR(INDEX(Settings!$E$5:$E$9,MATCH($B325,Settings!$A$5:$A$9,0)),0)+IFERROR(INDEX(Settings!$G$5:$G$9,MATCH($B325,Settings!$A$5:$A$9,0)),0))+(IFERROR(INDEX(Settings!$C$5:$C$9,MATCH($B325,Settings!$A$5:$A$9,0)),0)+IFERROR(INDEX(Settings!$F$5:$F$9,MATCH($B325,Settings!$A$5:$A$9,0)),0))/P325+IFERROR(INDEX(Settings!$D$5:$D$9,MATCH($B325,Settings!$A$5:$A$9,0)),0)*M325)</f>
        <v/>
      </c>
      <c r="W325" s="11">
        <f>IF(J325="","",IF(T325="",0,M325*INDEX(Products!$I$5:$I$204,T325)))</f>
        <v/>
      </c>
      <c r="X325" s="11">
        <f>IF(J325="","",IF(T325="",0,S325*INDEX(Products!$H$5:$H$204,T325)))</f>
        <v/>
      </c>
      <c r="Y325" s="11">
        <f>IF(J325="","",S325-V325-W325-X325)</f>
        <v/>
      </c>
    </row>
    <row r="326">
      <c r="A326" s="19" t="n"/>
      <c r="B326" s="19" t="n"/>
      <c r="C326" s="19" t="n"/>
      <c r="D326" s="19" t="n"/>
      <c r="E326" s="19" t="n"/>
      <c r="F326" s="20" t="n"/>
      <c r="G326" s="20" t="n"/>
      <c r="H326" s="20" t="n"/>
      <c r="I326" s="19" t="n"/>
      <c r="J326">
        <f>IFERROR(IF(C326="","",C326)&amp;"","")</f>
        <v/>
      </c>
      <c r="K326">
        <f>IFERROR(IF(D326="","",D326)&amp;"","")</f>
        <v/>
      </c>
      <c r="L326">
        <f>IFERROR(IF(I326="","",I326)&amp;"","")</f>
        <v/>
      </c>
      <c r="M326">
        <f>IF(J326="","",IFERROR(VALUE(SUBSTITUTE(SUBSTITUTE(IF(E326="","",E326)&amp;"","$",""),",","")),0))</f>
        <v/>
      </c>
      <c r="N326" s="11">
        <f>IF(J326="","",IFERROR(VALUE(SUBSTITUTE(SUBSTITUTE(IF(F326="","",F326)&amp;"","$",""),",","")),0))</f>
        <v/>
      </c>
      <c r="O326" s="11">
        <f>IF(J326="","",M326*N326)</f>
        <v/>
      </c>
      <c r="P326">
        <f>IF(J326="","",IF(L326="",1,COUNTIF($L$2:$L$1501,L326)))</f>
        <v/>
      </c>
      <c r="Q326" s="11">
        <f>IF(J326="","",IFERROR(VALUE(SUBSTITUTE(SUBSTITUTE(IF(G326="","",G326)&amp;"","$",""),",","")),0)/IF("No"="Yes",P326,1))</f>
        <v/>
      </c>
      <c r="R326" s="11">
        <f>IF(J326="","",IFERROR(VALUE(SUBSTITUTE(SUBSTITUTE(IF(H326="","",H326)&amp;"","$",""),",","")),0)/IF("No"="Yes",P326,1))</f>
        <v/>
      </c>
      <c r="S326" s="11">
        <f>IF(J326="","",O326+Q326-R326)</f>
        <v/>
      </c>
      <c r="T326">
        <f>IF(J326="","",IFERROR(IF(K326="",NA(),MATCH(K326,Products!$B$5:$B$204,0)),IFERROR(MATCH(J326,Products!$A$5:$A$204,0),"")))</f>
        <v/>
      </c>
      <c r="U326">
        <f>IF(J326="","",IF(T326="","⚠ not in Products",INDEX(Products!$A$5:$A$204,T326)))</f>
        <v/>
      </c>
      <c r="V326" s="11">
        <f>IF(J326="","",S326*(IFERROR(INDEX(Settings!$B$5:$B$9,MATCH($B326,Settings!$A$5:$A$9,0)),0)+IFERROR(INDEX(Settings!$E$5:$E$9,MATCH($B326,Settings!$A$5:$A$9,0)),0)+IFERROR(INDEX(Settings!$G$5:$G$9,MATCH($B326,Settings!$A$5:$A$9,0)),0))+(IFERROR(INDEX(Settings!$C$5:$C$9,MATCH($B326,Settings!$A$5:$A$9,0)),0)+IFERROR(INDEX(Settings!$F$5:$F$9,MATCH($B326,Settings!$A$5:$A$9,0)),0))/P326+IFERROR(INDEX(Settings!$D$5:$D$9,MATCH($B326,Settings!$A$5:$A$9,0)),0)*M326)</f>
        <v/>
      </c>
      <c r="W326" s="11">
        <f>IF(J326="","",IF(T326="",0,M326*INDEX(Products!$I$5:$I$204,T326)))</f>
        <v/>
      </c>
      <c r="X326" s="11">
        <f>IF(J326="","",IF(T326="",0,S326*INDEX(Products!$H$5:$H$204,T326)))</f>
        <v/>
      </c>
      <c r="Y326" s="11">
        <f>IF(J326="","",S326-V326-W326-X326)</f>
        <v/>
      </c>
    </row>
    <row r="327">
      <c r="A327" s="19" t="n"/>
      <c r="B327" s="19" t="n"/>
      <c r="C327" s="19" t="n"/>
      <c r="D327" s="19" t="n"/>
      <c r="E327" s="19" t="n"/>
      <c r="F327" s="20" t="n"/>
      <c r="G327" s="20" t="n"/>
      <c r="H327" s="20" t="n"/>
      <c r="I327" s="19" t="n"/>
      <c r="J327">
        <f>IFERROR(IF(C327="","",C327)&amp;"","")</f>
        <v/>
      </c>
      <c r="K327">
        <f>IFERROR(IF(D327="","",D327)&amp;"","")</f>
        <v/>
      </c>
      <c r="L327">
        <f>IFERROR(IF(I327="","",I327)&amp;"","")</f>
        <v/>
      </c>
      <c r="M327">
        <f>IF(J327="","",IFERROR(VALUE(SUBSTITUTE(SUBSTITUTE(IF(E327="","",E327)&amp;"","$",""),",","")),0))</f>
        <v/>
      </c>
      <c r="N327" s="11">
        <f>IF(J327="","",IFERROR(VALUE(SUBSTITUTE(SUBSTITUTE(IF(F327="","",F327)&amp;"","$",""),",","")),0))</f>
        <v/>
      </c>
      <c r="O327" s="11">
        <f>IF(J327="","",M327*N327)</f>
        <v/>
      </c>
      <c r="P327">
        <f>IF(J327="","",IF(L327="",1,COUNTIF($L$2:$L$1501,L327)))</f>
        <v/>
      </c>
      <c r="Q327" s="11">
        <f>IF(J327="","",IFERROR(VALUE(SUBSTITUTE(SUBSTITUTE(IF(G327="","",G327)&amp;"","$",""),",","")),0)/IF("No"="Yes",P327,1))</f>
        <v/>
      </c>
      <c r="R327" s="11">
        <f>IF(J327="","",IFERROR(VALUE(SUBSTITUTE(SUBSTITUTE(IF(H327="","",H327)&amp;"","$",""),",","")),0)/IF("No"="Yes",P327,1))</f>
        <v/>
      </c>
      <c r="S327" s="11">
        <f>IF(J327="","",O327+Q327-R327)</f>
        <v/>
      </c>
      <c r="T327">
        <f>IF(J327="","",IFERROR(IF(K327="",NA(),MATCH(K327,Products!$B$5:$B$204,0)),IFERROR(MATCH(J327,Products!$A$5:$A$204,0),"")))</f>
        <v/>
      </c>
      <c r="U327">
        <f>IF(J327="","",IF(T327="","⚠ not in Products",INDEX(Products!$A$5:$A$204,T327)))</f>
        <v/>
      </c>
      <c r="V327" s="11">
        <f>IF(J327="","",S327*(IFERROR(INDEX(Settings!$B$5:$B$9,MATCH($B327,Settings!$A$5:$A$9,0)),0)+IFERROR(INDEX(Settings!$E$5:$E$9,MATCH($B327,Settings!$A$5:$A$9,0)),0)+IFERROR(INDEX(Settings!$G$5:$G$9,MATCH($B327,Settings!$A$5:$A$9,0)),0))+(IFERROR(INDEX(Settings!$C$5:$C$9,MATCH($B327,Settings!$A$5:$A$9,0)),0)+IFERROR(INDEX(Settings!$F$5:$F$9,MATCH($B327,Settings!$A$5:$A$9,0)),0))/P327+IFERROR(INDEX(Settings!$D$5:$D$9,MATCH($B327,Settings!$A$5:$A$9,0)),0)*M327)</f>
        <v/>
      </c>
      <c r="W327" s="11">
        <f>IF(J327="","",IF(T327="",0,M327*INDEX(Products!$I$5:$I$204,T327)))</f>
        <v/>
      </c>
      <c r="X327" s="11">
        <f>IF(J327="","",IF(T327="",0,S327*INDEX(Products!$H$5:$H$204,T327)))</f>
        <v/>
      </c>
      <c r="Y327" s="11">
        <f>IF(J327="","",S327-V327-W327-X327)</f>
        <v/>
      </c>
    </row>
    <row r="328">
      <c r="A328" s="19" t="n"/>
      <c r="B328" s="19" t="n"/>
      <c r="C328" s="19" t="n"/>
      <c r="D328" s="19" t="n"/>
      <c r="E328" s="19" t="n"/>
      <c r="F328" s="20" t="n"/>
      <c r="G328" s="20" t="n"/>
      <c r="H328" s="20" t="n"/>
      <c r="I328" s="19" t="n"/>
      <c r="J328">
        <f>IFERROR(IF(C328="","",C328)&amp;"","")</f>
        <v/>
      </c>
      <c r="K328">
        <f>IFERROR(IF(D328="","",D328)&amp;"","")</f>
        <v/>
      </c>
      <c r="L328">
        <f>IFERROR(IF(I328="","",I328)&amp;"","")</f>
        <v/>
      </c>
      <c r="M328">
        <f>IF(J328="","",IFERROR(VALUE(SUBSTITUTE(SUBSTITUTE(IF(E328="","",E328)&amp;"","$",""),",","")),0))</f>
        <v/>
      </c>
      <c r="N328" s="11">
        <f>IF(J328="","",IFERROR(VALUE(SUBSTITUTE(SUBSTITUTE(IF(F328="","",F328)&amp;"","$",""),",","")),0))</f>
        <v/>
      </c>
      <c r="O328" s="11">
        <f>IF(J328="","",M328*N328)</f>
        <v/>
      </c>
      <c r="P328">
        <f>IF(J328="","",IF(L328="",1,COUNTIF($L$2:$L$1501,L328)))</f>
        <v/>
      </c>
      <c r="Q328" s="11">
        <f>IF(J328="","",IFERROR(VALUE(SUBSTITUTE(SUBSTITUTE(IF(G328="","",G328)&amp;"","$",""),",","")),0)/IF("No"="Yes",P328,1))</f>
        <v/>
      </c>
      <c r="R328" s="11">
        <f>IF(J328="","",IFERROR(VALUE(SUBSTITUTE(SUBSTITUTE(IF(H328="","",H328)&amp;"","$",""),",","")),0)/IF("No"="Yes",P328,1))</f>
        <v/>
      </c>
      <c r="S328" s="11">
        <f>IF(J328="","",O328+Q328-R328)</f>
        <v/>
      </c>
      <c r="T328">
        <f>IF(J328="","",IFERROR(IF(K328="",NA(),MATCH(K328,Products!$B$5:$B$204,0)),IFERROR(MATCH(J328,Products!$A$5:$A$204,0),"")))</f>
        <v/>
      </c>
      <c r="U328">
        <f>IF(J328="","",IF(T328="","⚠ not in Products",INDEX(Products!$A$5:$A$204,T328)))</f>
        <v/>
      </c>
      <c r="V328" s="11">
        <f>IF(J328="","",S328*(IFERROR(INDEX(Settings!$B$5:$B$9,MATCH($B328,Settings!$A$5:$A$9,0)),0)+IFERROR(INDEX(Settings!$E$5:$E$9,MATCH($B328,Settings!$A$5:$A$9,0)),0)+IFERROR(INDEX(Settings!$G$5:$G$9,MATCH($B328,Settings!$A$5:$A$9,0)),0))+(IFERROR(INDEX(Settings!$C$5:$C$9,MATCH($B328,Settings!$A$5:$A$9,0)),0)+IFERROR(INDEX(Settings!$F$5:$F$9,MATCH($B328,Settings!$A$5:$A$9,0)),0))/P328+IFERROR(INDEX(Settings!$D$5:$D$9,MATCH($B328,Settings!$A$5:$A$9,0)),0)*M328)</f>
        <v/>
      </c>
      <c r="W328" s="11">
        <f>IF(J328="","",IF(T328="",0,M328*INDEX(Products!$I$5:$I$204,T328)))</f>
        <v/>
      </c>
      <c r="X328" s="11">
        <f>IF(J328="","",IF(T328="",0,S328*INDEX(Products!$H$5:$H$204,T328)))</f>
        <v/>
      </c>
      <c r="Y328" s="11">
        <f>IF(J328="","",S328-V328-W328-X328)</f>
        <v/>
      </c>
    </row>
    <row r="329">
      <c r="A329" s="19" t="n"/>
      <c r="B329" s="19" t="n"/>
      <c r="C329" s="19" t="n"/>
      <c r="D329" s="19" t="n"/>
      <c r="E329" s="19" t="n"/>
      <c r="F329" s="20" t="n"/>
      <c r="G329" s="20" t="n"/>
      <c r="H329" s="20" t="n"/>
      <c r="I329" s="19" t="n"/>
      <c r="J329">
        <f>IFERROR(IF(C329="","",C329)&amp;"","")</f>
        <v/>
      </c>
      <c r="K329">
        <f>IFERROR(IF(D329="","",D329)&amp;"","")</f>
        <v/>
      </c>
      <c r="L329">
        <f>IFERROR(IF(I329="","",I329)&amp;"","")</f>
        <v/>
      </c>
      <c r="M329">
        <f>IF(J329="","",IFERROR(VALUE(SUBSTITUTE(SUBSTITUTE(IF(E329="","",E329)&amp;"","$",""),",","")),0))</f>
        <v/>
      </c>
      <c r="N329" s="11">
        <f>IF(J329="","",IFERROR(VALUE(SUBSTITUTE(SUBSTITUTE(IF(F329="","",F329)&amp;"","$",""),",","")),0))</f>
        <v/>
      </c>
      <c r="O329" s="11">
        <f>IF(J329="","",M329*N329)</f>
        <v/>
      </c>
      <c r="P329">
        <f>IF(J329="","",IF(L329="",1,COUNTIF($L$2:$L$1501,L329)))</f>
        <v/>
      </c>
      <c r="Q329" s="11">
        <f>IF(J329="","",IFERROR(VALUE(SUBSTITUTE(SUBSTITUTE(IF(G329="","",G329)&amp;"","$",""),",","")),0)/IF("No"="Yes",P329,1))</f>
        <v/>
      </c>
      <c r="R329" s="11">
        <f>IF(J329="","",IFERROR(VALUE(SUBSTITUTE(SUBSTITUTE(IF(H329="","",H329)&amp;"","$",""),",","")),0)/IF("No"="Yes",P329,1))</f>
        <v/>
      </c>
      <c r="S329" s="11">
        <f>IF(J329="","",O329+Q329-R329)</f>
        <v/>
      </c>
      <c r="T329">
        <f>IF(J329="","",IFERROR(IF(K329="",NA(),MATCH(K329,Products!$B$5:$B$204,0)),IFERROR(MATCH(J329,Products!$A$5:$A$204,0),"")))</f>
        <v/>
      </c>
      <c r="U329">
        <f>IF(J329="","",IF(T329="","⚠ not in Products",INDEX(Products!$A$5:$A$204,T329)))</f>
        <v/>
      </c>
      <c r="V329" s="11">
        <f>IF(J329="","",S329*(IFERROR(INDEX(Settings!$B$5:$B$9,MATCH($B329,Settings!$A$5:$A$9,0)),0)+IFERROR(INDEX(Settings!$E$5:$E$9,MATCH($B329,Settings!$A$5:$A$9,0)),0)+IFERROR(INDEX(Settings!$G$5:$G$9,MATCH($B329,Settings!$A$5:$A$9,0)),0))+(IFERROR(INDEX(Settings!$C$5:$C$9,MATCH($B329,Settings!$A$5:$A$9,0)),0)+IFERROR(INDEX(Settings!$F$5:$F$9,MATCH($B329,Settings!$A$5:$A$9,0)),0))/P329+IFERROR(INDEX(Settings!$D$5:$D$9,MATCH($B329,Settings!$A$5:$A$9,0)),0)*M329)</f>
        <v/>
      </c>
      <c r="W329" s="11">
        <f>IF(J329="","",IF(T329="",0,M329*INDEX(Products!$I$5:$I$204,T329)))</f>
        <v/>
      </c>
      <c r="X329" s="11">
        <f>IF(J329="","",IF(T329="",0,S329*INDEX(Products!$H$5:$H$204,T329)))</f>
        <v/>
      </c>
      <c r="Y329" s="11">
        <f>IF(J329="","",S329-V329-W329-X329)</f>
        <v/>
      </c>
    </row>
    <row r="330">
      <c r="A330" s="19" t="n"/>
      <c r="B330" s="19" t="n"/>
      <c r="C330" s="19" t="n"/>
      <c r="D330" s="19" t="n"/>
      <c r="E330" s="19" t="n"/>
      <c r="F330" s="20" t="n"/>
      <c r="G330" s="20" t="n"/>
      <c r="H330" s="20" t="n"/>
      <c r="I330" s="19" t="n"/>
      <c r="J330">
        <f>IFERROR(IF(C330="","",C330)&amp;"","")</f>
        <v/>
      </c>
      <c r="K330">
        <f>IFERROR(IF(D330="","",D330)&amp;"","")</f>
        <v/>
      </c>
      <c r="L330">
        <f>IFERROR(IF(I330="","",I330)&amp;"","")</f>
        <v/>
      </c>
      <c r="M330">
        <f>IF(J330="","",IFERROR(VALUE(SUBSTITUTE(SUBSTITUTE(IF(E330="","",E330)&amp;"","$",""),",","")),0))</f>
        <v/>
      </c>
      <c r="N330" s="11">
        <f>IF(J330="","",IFERROR(VALUE(SUBSTITUTE(SUBSTITUTE(IF(F330="","",F330)&amp;"","$",""),",","")),0))</f>
        <v/>
      </c>
      <c r="O330" s="11">
        <f>IF(J330="","",M330*N330)</f>
        <v/>
      </c>
      <c r="P330">
        <f>IF(J330="","",IF(L330="",1,COUNTIF($L$2:$L$1501,L330)))</f>
        <v/>
      </c>
      <c r="Q330" s="11">
        <f>IF(J330="","",IFERROR(VALUE(SUBSTITUTE(SUBSTITUTE(IF(G330="","",G330)&amp;"","$",""),",","")),0)/IF("No"="Yes",P330,1))</f>
        <v/>
      </c>
      <c r="R330" s="11">
        <f>IF(J330="","",IFERROR(VALUE(SUBSTITUTE(SUBSTITUTE(IF(H330="","",H330)&amp;"","$",""),",","")),0)/IF("No"="Yes",P330,1))</f>
        <v/>
      </c>
      <c r="S330" s="11">
        <f>IF(J330="","",O330+Q330-R330)</f>
        <v/>
      </c>
      <c r="T330">
        <f>IF(J330="","",IFERROR(IF(K330="",NA(),MATCH(K330,Products!$B$5:$B$204,0)),IFERROR(MATCH(J330,Products!$A$5:$A$204,0),"")))</f>
        <v/>
      </c>
      <c r="U330">
        <f>IF(J330="","",IF(T330="","⚠ not in Products",INDEX(Products!$A$5:$A$204,T330)))</f>
        <v/>
      </c>
      <c r="V330" s="11">
        <f>IF(J330="","",S330*(IFERROR(INDEX(Settings!$B$5:$B$9,MATCH($B330,Settings!$A$5:$A$9,0)),0)+IFERROR(INDEX(Settings!$E$5:$E$9,MATCH($B330,Settings!$A$5:$A$9,0)),0)+IFERROR(INDEX(Settings!$G$5:$G$9,MATCH($B330,Settings!$A$5:$A$9,0)),0))+(IFERROR(INDEX(Settings!$C$5:$C$9,MATCH($B330,Settings!$A$5:$A$9,0)),0)+IFERROR(INDEX(Settings!$F$5:$F$9,MATCH($B330,Settings!$A$5:$A$9,0)),0))/P330+IFERROR(INDEX(Settings!$D$5:$D$9,MATCH($B330,Settings!$A$5:$A$9,0)),0)*M330)</f>
        <v/>
      </c>
      <c r="W330" s="11">
        <f>IF(J330="","",IF(T330="",0,M330*INDEX(Products!$I$5:$I$204,T330)))</f>
        <v/>
      </c>
      <c r="X330" s="11">
        <f>IF(J330="","",IF(T330="",0,S330*INDEX(Products!$H$5:$H$204,T330)))</f>
        <v/>
      </c>
      <c r="Y330" s="11">
        <f>IF(J330="","",S330-V330-W330-X330)</f>
        <v/>
      </c>
    </row>
    <row r="331">
      <c r="A331" s="19" t="n"/>
      <c r="B331" s="19" t="n"/>
      <c r="C331" s="19" t="n"/>
      <c r="D331" s="19" t="n"/>
      <c r="E331" s="19" t="n"/>
      <c r="F331" s="20" t="n"/>
      <c r="G331" s="20" t="n"/>
      <c r="H331" s="20" t="n"/>
      <c r="I331" s="19" t="n"/>
      <c r="J331">
        <f>IFERROR(IF(C331="","",C331)&amp;"","")</f>
        <v/>
      </c>
      <c r="K331">
        <f>IFERROR(IF(D331="","",D331)&amp;"","")</f>
        <v/>
      </c>
      <c r="L331">
        <f>IFERROR(IF(I331="","",I331)&amp;"","")</f>
        <v/>
      </c>
      <c r="M331">
        <f>IF(J331="","",IFERROR(VALUE(SUBSTITUTE(SUBSTITUTE(IF(E331="","",E331)&amp;"","$",""),",","")),0))</f>
        <v/>
      </c>
      <c r="N331" s="11">
        <f>IF(J331="","",IFERROR(VALUE(SUBSTITUTE(SUBSTITUTE(IF(F331="","",F331)&amp;"","$",""),",","")),0))</f>
        <v/>
      </c>
      <c r="O331" s="11">
        <f>IF(J331="","",M331*N331)</f>
        <v/>
      </c>
      <c r="P331">
        <f>IF(J331="","",IF(L331="",1,COUNTIF($L$2:$L$1501,L331)))</f>
        <v/>
      </c>
      <c r="Q331" s="11">
        <f>IF(J331="","",IFERROR(VALUE(SUBSTITUTE(SUBSTITUTE(IF(G331="","",G331)&amp;"","$",""),",","")),0)/IF("No"="Yes",P331,1))</f>
        <v/>
      </c>
      <c r="R331" s="11">
        <f>IF(J331="","",IFERROR(VALUE(SUBSTITUTE(SUBSTITUTE(IF(H331="","",H331)&amp;"","$",""),",","")),0)/IF("No"="Yes",P331,1))</f>
        <v/>
      </c>
      <c r="S331" s="11">
        <f>IF(J331="","",O331+Q331-R331)</f>
        <v/>
      </c>
      <c r="T331">
        <f>IF(J331="","",IFERROR(IF(K331="",NA(),MATCH(K331,Products!$B$5:$B$204,0)),IFERROR(MATCH(J331,Products!$A$5:$A$204,0),"")))</f>
        <v/>
      </c>
      <c r="U331">
        <f>IF(J331="","",IF(T331="","⚠ not in Products",INDEX(Products!$A$5:$A$204,T331)))</f>
        <v/>
      </c>
      <c r="V331" s="11">
        <f>IF(J331="","",S331*(IFERROR(INDEX(Settings!$B$5:$B$9,MATCH($B331,Settings!$A$5:$A$9,0)),0)+IFERROR(INDEX(Settings!$E$5:$E$9,MATCH($B331,Settings!$A$5:$A$9,0)),0)+IFERROR(INDEX(Settings!$G$5:$G$9,MATCH($B331,Settings!$A$5:$A$9,0)),0))+(IFERROR(INDEX(Settings!$C$5:$C$9,MATCH($B331,Settings!$A$5:$A$9,0)),0)+IFERROR(INDEX(Settings!$F$5:$F$9,MATCH($B331,Settings!$A$5:$A$9,0)),0))/P331+IFERROR(INDEX(Settings!$D$5:$D$9,MATCH($B331,Settings!$A$5:$A$9,0)),0)*M331)</f>
        <v/>
      </c>
      <c r="W331" s="11">
        <f>IF(J331="","",IF(T331="",0,M331*INDEX(Products!$I$5:$I$204,T331)))</f>
        <v/>
      </c>
      <c r="X331" s="11">
        <f>IF(J331="","",IF(T331="",0,S331*INDEX(Products!$H$5:$H$204,T331)))</f>
        <v/>
      </c>
      <c r="Y331" s="11">
        <f>IF(J331="","",S331-V331-W331-X331)</f>
        <v/>
      </c>
    </row>
    <row r="332">
      <c r="A332" s="19" t="n"/>
      <c r="B332" s="19" t="n"/>
      <c r="C332" s="19" t="n"/>
      <c r="D332" s="19" t="n"/>
      <c r="E332" s="19" t="n"/>
      <c r="F332" s="20" t="n"/>
      <c r="G332" s="20" t="n"/>
      <c r="H332" s="20" t="n"/>
      <c r="I332" s="19" t="n"/>
      <c r="J332">
        <f>IFERROR(IF(C332="","",C332)&amp;"","")</f>
        <v/>
      </c>
      <c r="K332">
        <f>IFERROR(IF(D332="","",D332)&amp;"","")</f>
        <v/>
      </c>
      <c r="L332">
        <f>IFERROR(IF(I332="","",I332)&amp;"","")</f>
        <v/>
      </c>
      <c r="M332">
        <f>IF(J332="","",IFERROR(VALUE(SUBSTITUTE(SUBSTITUTE(IF(E332="","",E332)&amp;"","$",""),",","")),0))</f>
        <v/>
      </c>
      <c r="N332" s="11">
        <f>IF(J332="","",IFERROR(VALUE(SUBSTITUTE(SUBSTITUTE(IF(F332="","",F332)&amp;"","$",""),",","")),0))</f>
        <v/>
      </c>
      <c r="O332" s="11">
        <f>IF(J332="","",M332*N332)</f>
        <v/>
      </c>
      <c r="P332">
        <f>IF(J332="","",IF(L332="",1,COUNTIF($L$2:$L$1501,L332)))</f>
        <v/>
      </c>
      <c r="Q332" s="11">
        <f>IF(J332="","",IFERROR(VALUE(SUBSTITUTE(SUBSTITUTE(IF(G332="","",G332)&amp;"","$",""),",","")),0)/IF("No"="Yes",P332,1))</f>
        <v/>
      </c>
      <c r="R332" s="11">
        <f>IF(J332="","",IFERROR(VALUE(SUBSTITUTE(SUBSTITUTE(IF(H332="","",H332)&amp;"","$",""),",","")),0)/IF("No"="Yes",P332,1))</f>
        <v/>
      </c>
      <c r="S332" s="11">
        <f>IF(J332="","",O332+Q332-R332)</f>
        <v/>
      </c>
      <c r="T332">
        <f>IF(J332="","",IFERROR(IF(K332="",NA(),MATCH(K332,Products!$B$5:$B$204,0)),IFERROR(MATCH(J332,Products!$A$5:$A$204,0),"")))</f>
        <v/>
      </c>
      <c r="U332">
        <f>IF(J332="","",IF(T332="","⚠ not in Products",INDEX(Products!$A$5:$A$204,T332)))</f>
        <v/>
      </c>
      <c r="V332" s="11">
        <f>IF(J332="","",S332*(IFERROR(INDEX(Settings!$B$5:$B$9,MATCH($B332,Settings!$A$5:$A$9,0)),0)+IFERROR(INDEX(Settings!$E$5:$E$9,MATCH($B332,Settings!$A$5:$A$9,0)),0)+IFERROR(INDEX(Settings!$G$5:$G$9,MATCH($B332,Settings!$A$5:$A$9,0)),0))+(IFERROR(INDEX(Settings!$C$5:$C$9,MATCH($B332,Settings!$A$5:$A$9,0)),0)+IFERROR(INDEX(Settings!$F$5:$F$9,MATCH($B332,Settings!$A$5:$A$9,0)),0))/P332+IFERROR(INDEX(Settings!$D$5:$D$9,MATCH($B332,Settings!$A$5:$A$9,0)),0)*M332)</f>
        <v/>
      </c>
      <c r="W332" s="11">
        <f>IF(J332="","",IF(T332="",0,M332*INDEX(Products!$I$5:$I$204,T332)))</f>
        <v/>
      </c>
      <c r="X332" s="11">
        <f>IF(J332="","",IF(T332="",0,S332*INDEX(Products!$H$5:$H$204,T332)))</f>
        <v/>
      </c>
      <c r="Y332" s="11">
        <f>IF(J332="","",S332-V332-W332-X332)</f>
        <v/>
      </c>
    </row>
    <row r="333">
      <c r="A333" s="19" t="n"/>
      <c r="B333" s="19" t="n"/>
      <c r="C333" s="19" t="n"/>
      <c r="D333" s="19" t="n"/>
      <c r="E333" s="19" t="n"/>
      <c r="F333" s="20" t="n"/>
      <c r="G333" s="20" t="n"/>
      <c r="H333" s="20" t="n"/>
      <c r="I333" s="19" t="n"/>
      <c r="J333">
        <f>IFERROR(IF(C333="","",C333)&amp;"","")</f>
        <v/>
      </c>
      <c r="K333">
        <f>IFERROR(IF(D333="","",D333)&amp;"","")</f>
        <v/>
      </c>
      <c r="L333">
        <f>IFERROR(IF(I333="","",I333)&amp;"","")</f>
        <v/>
      </c>
      <c r="M333">
        <f>IF(J333="","",IFERROR(VALUE(SUBSTITUTE(SUBSTITUTE(IF(E333="","",E333)&amp;"","$",""),",","")),0))</f>
        <v/>
      </c>
      <c r="N333" s="11">
        <f>IF(J333="","",IFERROR(VALUE(SUBSTITUTE(SUBSTITUTE(IF(F333="","",F333)&amp;"","$",""),",","")),0))</f>
        <v/>
      </c>
      <c r="O333" s="11">
        <f>IF(J333="","",M333*N333)</f>
        <v/>
      </c>
      <c r="P333">
        <f>IF(J333="","",IF(L333="",1,COUNTIF($L$2:$L$1501,L333)))</f>
        <v/>
      </c>
      <c r="Q333" s="11">
        <f>IF(J333="","",IFERROR(VALUE(SUBSTITUTE(SUBSTITUTE(IF(G333="","",G333)&amp;"","$",""),",","")),0)/IF("No"="Yes",P333,1))</f>
        <v/>
      </c>
      <c r="R333" s="11">
        <f>IF(J333="","",IFERROR(VALUE(SUBSTITUTE(SUBSTITUTE(IF(H333="","",H333)&amp;"","$",""),",","")),0)/IF("No"="Yes",P333,1))</f>
        <v/>
      </c>
      <c r="S333" s="11">
        <f>IF(J333="","",O333+Q333-R333)</f>
        <v/>
      </c>
      <c r="T333">
        <f>IF(J333="","",IFERROR(IF(K333="",NA(),MATCH(K333,Products!$B$5:$B$204,0)),IFERROR(MATCH(J333,Products!$A$5:$A$204,0),"")))</f>
        <v/>
      </c>
      <c r="U333">
        <f>IF(J333="","",IF(T333="","⚠ not in Products",INDEX(Products!$A$5:$A$204,T333)))</f>
        <v/>
      </c>
      <c r="V333" s="11">
        <f>IF(J333="","",S333*(IFERROR(INDEX(Settings!$B$5:$B$9,MATCH($B333,Settings!$A$5:$A$9,0)),0)+IFERROR(INDEX(Settings!$E$5:$E$9,MATCH($B333,Settings!$A$5:$A$9,0)),0)+IFERROR(INDEX(Settings!$G$5:$G$9,MATCH($B333,Settings!$A$5:$A$9,0)),0))+(IFERROR(INDEX(Settings!$C$5:$C$9,MATCH($B333,Settings!$A$5:$A$9,0)),0)+IFERROR(INDEX(Settings!$F$5:$F$9,MATCH($B333,Settings!$A$5:$A$9,0)),0))/P333+IFERROR(INDEX(Settings!$D$5:$D$9,MATCH($B333,Settings!$A$5:$A$9,0)),0)*M333)</f>
        <v/>
      </c>
      <c r="W333" s="11">
        <f>IF(J333="","",IF(T333="",0,M333*INDEX(Products!$I$5:$I$204,T333)))</f>
        <v/>
      </c>
      <c r="X333" s="11">
        <f>IF(J333="","",IF(T333="",0,S333*INDEX(Products!$H$5:$H$204,T333)))</f>
        <v/>
      </c>
      <c r="Y333" s="11">
        <f>IF(J333="","",S333-V333-W333-X333)</f>
        <v/>
      </c>
    </row>
    <row r="334">
      <c r="A334" s="19" t="n"/>
      <c r="B334" s="19" t="n"/>
      <c r="C334" s="19" t="n"/>
      <c r="D334" s="19" t="n"/>
      <c r="E334" s="19" t="n"/>
      <c r="F334" s="20" t="n"/>
      <c r="G334" s="20" t="n"/>
      <c r="H334" s="20" t="n"/>
      <c r="I334" s="19" t="n"/>
      <c r="J334">
        <f>IFERROR(IF(C334="","",C334)&amp;"","")</f>
        <v/>
      </c>
      <c r="K334">
        <f>IFERROR(IF(D334="","",D334)&amp;"","")</f>
        <v/>
      </c>
      <c r="L334">
        <f>IFERROR(IF(I334="","",I334)&amp;"","")</f>
        <v/>
      </c>
      <c r="M334">
        <f>IF(J334="","",IFERROR(VALUE(SUBSTITUTE(SUBSTITUTE(IF(E334="","",E334)&amp;"","$",""),",","")),0))</f>
        <v/>
      </c>
      <c r="N334" s="11">
        <f>IF(J334="","",IFERROR(VALUE(SUBSTITUTE(SUBSTITUTE(IF(F334="","",F334)&amp;"","$",""),",","")),0))</f>
        <v/>
      </c>
      <c r="O334" s="11">
        <f>IF(J334="","",M334*N334)</f>
        <v/>
      </c>
      <c r="P334">
        <f>IF(J334="","",IF(L334="",1,COUNTIF($L$2:$L$1501,L334)))</f>
        <v/>
      </c>
      <c r="Q334" s="11">
        <f>IF(J334="","",IFERROR(VALUE(SUBSTITUTE(SUBSTITUTE(IF(G334="","",G334)&amp;"","$",""),",","")),0)/IF("No"="Yes",P334,1))</f>
        <v/>
      </c>
      <c r="R334" s="11">
        <f>IF(J334="","",IFERROR(VALUE(SUBSTITUTE(SUBSTITUTE(IF(H334="","",H334)&amp;"","$",""),",","")),0)/IF("No"="Yes",P334,1))</f>
        <v/>
      </c>
      <c r="S334" s="11">
        <f>IF(J334="","",O334+Q334-R334)</f>
        <v/>
      </c>
      <c r="T334">
        <f>IF(J334="","",IFERROR(IF(K334="",NA(),MATCH(K334,Products!$B$5:$B$204,0)),IFERROR(MATCH(J334,Products!$A$5:$A$204,0),"")))</f>
        <v/>
      </c>
      <c r="U334">
        <f>IF(J334="","",IF(T334="","⚠ not in Products",INDEX(Products!$A$5:$A$204,T334)))</f>
        <v/>
      </c>
      <c r="V334" s="11">
        <f>IF(J334="","",S334*(IFERROR(INDEX(Settings!$B$5:$B$9,MATCH($B334,Settings!$A$5:$A$9,0)),0)+IFERROR(INDEX(Settings!$E$5:$E$9,MATCH($B334,Settings!$A$5:$A$9,0)),0)+IFERROR(INDEX(Settings!$G$5:$G$9,MATCH($B334,Settings!$A$5:$A$9,0)),0))+(IFERROR(INDEX(Settings!$C$5:$C$9,MATCH($B334,Settings!$A$5:$A$9,0)),0)+IFERROR(INDEX(Settings!$F$5:$F$9,MATCH($B334,Settings!$A$5:$A$9,0)),0))/P334+IFERROR(INDEX(Settings!$D$5:$D$9,MATCH($B334,Settings!$A$5:$A$9,0)),0)*M334)</f>
        <v/>
      </c>
      <c r="W334" s="11">
        <f>IF(J334="","",IF(T334="",0,M334*INDEX(Products!$I$5:$I$204,T334)))</f>
        <v/>
      </c>
      <c r="X334" s="11">
        <f>IF(J334="","",IF(T334="",0,S334*INDEX(Products!$H$5:$H$204,T334)))</f>
        <v/>
      </c>
      <c r="Y334" s="11">
        <f>IF(J334="","",S334-V334-W334-X334)</f>
        <v/>
      </c>
    </row>
    <row r="335">
      <c r="A335" s="19" t="n"/>
      <c r="B335" s="19" t="n"/>
      <c r="C335" s="19" t="n"/>
      <c r="D335" s="19" t="n"/>
      <c r="E335" s="19" t="n"/>
      <c r="F335" s="20" t="n"/>
      <c r="G335" s="20" t="n"/>
      <c r="H335" s="20" t="n"/>
      <c r="I335" s="19" t="n"/>
      <c r="J335">
        <f>IFERROR(IF(C335="","",C335)&amp;"","")</f>
        <v/>
      </c>
      <c r="K335">
        <f>IFERROR(IF(D335="","",D335)&amp;"","")</f>
        <v/>
      </c>
      <c r="L335">
        <f>IFERROR(IF(I335="","",I335)&amp;"","")</f>
        <v/>
      </c>
      <c r="M335">
        <f>IF(J335="","",IFERROR(VALUE(SUBSTITUTE(SUBSTITUTE(IF(E335="","",E335)&amp;"","$",""),",","")),0))</f>
        <v/>
      </c>
      <c r="N335" s="11">
        <f>IF(J335="","",IFERROR(VALUE(SUBSTITUTE(SUBSTITUTE(IF(F335="","",F335)&amp;"","$",""),",","")),0))</f>
        <v/>
      </c>
      <c r="O335" s="11">
        <f>IF(J335="","",M335*N335)</f>
        <v/>
      </c>
      <c r="P335">
        <f>IF(J335="","",IF(L335="",1,COUNTIF($L$2:$L$1501,L335)))</f>
        <v/>
      </c>
      <c r="Q335" s="11">
        <f>IF(J335="","",IFERROR(VALUE(SUBSTITUTE(SUBSTITUTE(IF(G335="","",G335)&amp;"","$",""),",","")),0)/IF("No"="Yes",P335,1))</f>
        <v/>
      </c>
      <c r="R335" s="11">
        <f>IF(J335="","",IFERROR(VALUE(SUBSTITUTE(SUBSTITUTE(IF(H335="","",H335)&amp;"","$",""),",","")),0)/IF("No"="Yes",P335,1))</f>
        <v/>
      </c>
      <c r="S335" s="11">
        <f>IF(J335="","",O335+Q335-R335)</f>
        <v/>
      </c>
      <c r="T335">
        <f>IF(J335="","",IFERROR(IF(K335="",NA(),MATCH(K335,Products!$B$5:$B$204,0)),IFERROR(MATCH(J335,Products!$A$5:$A$204,0),"")))</f>
        <v/>
      </c>
      <c r="U335">
        <f>IF(J335="","",IF(T335="","⚠ not in Products",INDEX(Products!$A$5:$A$204,T335)))</f>
        <v/>
      </c>
      <c r="V335" s="11">
        <f>IF(J335="","",S335*(IFERROR(INDEX(Settings!$B$5:$B$9,MATCH($B335,Settings!$A$5:$A$9,0)),0)+IFERROR(INDEX(Settings!$E$5:$E$9,MATCH($B335,Settings!$A$5:$A$9,0)),0)+IFERROR(INDEX(Settings!$G$5:$G$9,MATCH($B335,Settings!$A$5:$A$9,0)),0))+(IFERROR(INDEX(Settings!$C$5:$C$9,MATCH($B335,Settings!$A$5:$A$9,0)),0)+IFERROR(INDEX(Settings!$F$5:$F$9,MATCH($B335,Settings!$A$5:$A$9,0)),0))/P335+IFERROR(INDEX(Settings!$D$5:$D$9,MATCH($B335,Settings!$A$5:$A$9,0)),0)*M335)</f>
        <v/>
      </c>
      <c r="W335" s="11">
        <f>IF(J335="","",IF(T335="",0,M335*INDEX(Products!$I$5:$I$204,T335)))</f>
        <v/>
      </c>
      <c r="X335" s="11">
        <f>IF(J335="","",IF(T335="",0,S335*INDEX(Products!$H$5:$H$204,T335)))</f>
        <v/>
      </c>
      <c r="Y335" s="11">
        <f>IF(J335="","",S335-V335-W335-X335)</f>
        <v/>
      </c>
    </row>
    <row r="336">
      <c r="A336" s="19" t="n"/>
      <c r="B336" s="19" t="n"/>
      <c r="C336" s="19" t="n"/>
      <c r="D336" s="19" t="n"/>
      <c r="E336" s="19" t="n"/>
      <c r="F336" s="20" t="n"/>
      <c r="G336" s="20" t="n"/>
      <c r="H336" s="20" t="n"/>
      <c r="I336" s="19" t="n"/>
      <c r="J336">
        <f>IFERROR(IF(C336="","",C336)&amp;"","")</f>
        <v/>
      </c>
      <c r="K336">
        <f>IFERROR(IF(D336="","",D336)&amp;"","")</f>
        <v/>
      </c>
      <c r="L336">
        <f>IFERROR(IF(I336="","",I336)&amp;"","")</f>
        <v/>
      </c>
      <c r="M336">
        <f>IF(J336="","",IFERROR(VALUE(SUBSTITUTE(SUBSTITUTE(IF(E336="","",E336)&amp;"","$",""),",","")),0))</f>
        <v/>
      </c>
      <c r="N336" s="11">
        <f>IF(J336="","",IFERROR(VALUE(SUBSTITUTE(SUBSTITUTE(IF(F336="","",F336)&amp;"","$",""),",","")),0))</f>
        <v/>
      </c>
      <c r="O336" s="11">
        <f>IF(J336="","",M336*N336)</f>
        <v/>
      </c>
      <c r="P336">
        <f>IF(J336="","",IF(L336="",1,COUNTIF($L$2:$L$1501,L336)))</f>
        <v/>
      </c>
      <c r="Q336" s="11">
        <f>IF(J336="","",IFERROR(VALUE(SUBSTITUTE(SUBSTITUTE(IF(G336="","",G336)&amp;"","$",""),",","")),0)/IF("No"="Yes",P336,1))</f>
        <v/>
      </c>
      <c r="R336" s="11">
        <f>IF(J336="","",IFERROR(VALUE(SUBSTITUTE(SUBSTITUTE(IF(H336="","",H336)&amp;"","$",""),",","")),0)/IF("No"="Yes",P336,1))</f>
        <v/>
      </c>
      <c r="S336" s="11">
        <f>IF(J336="","",O336+Q336-R336)</f>
        <v/>
      </c>
      <c r="T336">
        <f>IF(J336="","",IFERROR(IF(K336="",NA(),MATCH(K336,Products!$B$5:$B$204,0)),IFERROR(MATCH(J336,Products!$A$5:$A$204,0),"")))</f>
        <v/>
      </c>
      <c r="U336">
        <f>IF(J336="","",IF(T336="","⚠ not in Products",INDEX(Products!$A$5:$A$204,T336)))</f>
        <v/>
      </c>
      <c r="V336" s="11">
        <f>IF(J336="","",S336*(IFERROR(INDEX(Settings!$B$5:$B$9,MATCH($B336,Settings!$A$5:$A$9,0)),0)+IFERROR(INDEX(Settings!$E$5:$E$9,MATCH($B336,Settings!$A$5:$A$9,0)),0)+IFERROR(INDEX(Settings!$G$5:$G$9,MATCH($B336,Settings!$A$5:$A$9,0)),0))+(IFERROR(INDEX(Settings!$C$5:$C$9,MATCH($B336,Settings!$A$5:$A$9,0)),0)+IFERROR(INDEX(Settings!$F$5:$F$9,MATCH($B336,Settings!$A$5:$A$9,0)),0))/P336+IFERROR(INDEX(Settings!$D$5:$D$9,MATCH($B336,Settings!$A$5:$A$9,0)),0)*M336)</f>
        <v/>
      </c>
      <c r="W336" s="11">
        <f>IF(J336="","",IF(T336="",0,M336*INDEX(Products!$I$5:$I$204,T336)))</f>
        <v/>
      </c>
      <c r="X336" s="11">
        <f>IF(J336="","",IF(T336="",0,S336*INDEX(Products!$H$5:$H$204,T336)))</f>
        <v/>
      </c>
      <c r="Y336" s="11">
        <f>IF(J336="","",S336-V336-W336-X336)</f>
        <v/>
      </c>
    </row>
    <row r="337">
      <c r="A337" s="19" t="n"/>
      <c r="B337" s="19" t="n"/>
      <c r="C337" s="19" t="n"/>
      <c r="D337" s="19" t="n"/>
      <c r="E337" s="19" t="n"/>
      <c r="F337" s="20" t="n"/>
      <c r="G337" s="20" t="n"/>
      <c r="H337" s="20" t="n"/>
      <c r="I337" s="19" t="n"/>
      <c r="J337">
        <f>IFERROR(IF(C337="","",C337)&amp;"","")</f>
        <v/>
      </c>
      <c r="K337">
        <f>IFERROR(IF(D337="","",D337)&amp;"","")</f>
        <v/>
      </c>
      <c r="L337">
        <f>IFERROR(IF(I337="","",I337)&amp;"","")</f>
        <v/>
      </c>
      <c r="M337">
        <f>IF(J337="","",IFERROR(VALUE(SUBSTITUTE(SUBSTITUTE(IF(E337="","",E337)&amp;"","$",""),",","")),0))</f>
        <v/>
      </c>
      <c r="N337" s="11">
        <f>IF(J337="","",IFERROR(VALUE(SUBSTITUTE(SUBSTITUTE(IF(F337="","",F337)&amp;"","$",""),",","")),0))</f>
        <v/>
      </c>
      <c r="O337" s="11">
        <f>IF(J337="","",M337*N337)</f>
        <v/>
      </c>
      <c r="P337">
        <f>IF(J337="","",IF(L337="",1,COUNTIF($L$2:$L$1501,L337)))</f>
        <v/>
      </c>
      <c r="Q337" s="11">
        <f>IF(J337="","",IFERROR(VALUE(SUBSTITUTE(SUBSTITUTE(IF(G337="","",G337)&amp;"","$",""),",","")),0)/IF("No"="Yes",P337,1))</f>
        <v/>
      </c>
      <c r="R337" s="11">
        <f>IF(J337="","",IFERROR(VALUE(SUBSTITUTE(SUBSTITUTE(IF(H337="","",H337)&amp;"","$",""),",","")),0)/IF("No"="Yes",P337,1))</f>
        <v/>
      </c>
      <c r="S337" s="11">
        <f>IF(J337="","",O337+Q337-R337)</f>
        <v/>
      </c>
      <c r="T337">
        <f>IF(J337="","",IFERROR(IF(K337="",NA(),MATCH(K337,Products!$B$5:$B$204,0)),IFERROR(MATCH(J337,Products!$A$5:$A$204,0),"")))</f>
        <v/>
      </c>
      <c r="U337">
        <f>IF(J337="","",IF(T337="","⚠ not in Products",INDEX(Products!$A$5:$A$204,T337)))</f>
        <v/>
      </c>
      <c r="V337" s="11">
        <f>IF(J337="","",S337*(IFERROR(INDEX(Settings!$B$5:$B$9,MATCH($B337,Settings!$A$5:$A$9,0)),0)+IFERROR(INDEX(Settings!$E$5:$E$9,MATCH($B337,Settings!$A$5:$A$9,0)),0)+IFERROR(INDEX(Settings!$G$5:$G$9,MATCH($B337,Settings!$A$5:$A$9,0)),0))+(IFERROR(INDEX(Settings!$C$5:$C$9,MATCH($B337,Settings!$A$5:$A$9,0)),0)+IFERROR(INDEX(Settings!$F$5:$F$9,MATCH($B337,Settings!$A$5:$A$9,0)),0))/P337+IFERROR(INDEX(Settings!$D$5:$D$9,MATCH($B337,Settings!$A$5:$A$9,0)),0)*M337)</f>
        <v/>
      </c>
      <c r="W337" s="11">
        <f>IF(J337="","",IF(T337="",0,M337*INDEX(Products!$I$5:$I$204,T337)))</f>
        <v/>
      </c>
      <c r="X337" s="11">
        <f>IF(J337="","",IF(T337="",0,S337*INDEX(Products!$H$5:$H$204,T337)))</f>
        <v/>
      </c>
      <c r="Y337" s="11">
        <f>IF(J337="","",S337-V337-W337-X337)</f>
        <v/>
      </c>
    </row>
    <row r="338">
      <c r="A338" s="19" t="n"/>
      <c r="B338" s="19" t="n"/>
      <c r="C338" s="19" t="n"/>
      <c r="D338" s="19" t="n"/>
      <c r="E338" s="19" t="n"/>
      <c r="F338" s="20" t="n"/>
      <c r="G338" s="20" t="n"/>
      <c r="H338" s="20" t="n"/>
      <c r="I338" s="19" t="n"/>
      <c r="J338">
        <f>IFERROR(IF(C338="","",C338)&amp;"","")</f>
        <v/>
      </c>
      <c r="K338">
        <f>IFERROR(IF(D338="","",D338)&amp;"","")</f>
        <v/>
      </c>
      <c r="L338">
        <f>IFERROR(IF(I338="","",I338)&amp;"","")</f>
        <v/>
      </c>
      <c r="M338">
        <f>IF(J338="","",IFERROR(VALUE(SUBSTITUTE(SUBSTITUTE(IF(E338="","",E338)&amp;"","$",""),",","")),0))</f>
        <v/>
      </c>
      <c r="N338" s="11">
        <f>IF(J338="","",IFERROR(VALUE(SUBSTITUTE(SUBSTITUTE(IF(F338="","",F338)&amp;"","$",""),",","")),0))</f>
        <v/>
      </c>
      <c r="O338" s="11">
        <f>IF(J338="","",M338*N338)</f>
        <v/>
      </c>
      <c r="P338">
        <f>IF(J338="","",IF(L338="",1,COUNTIF($L$2:$L$1501,L338)))</f>
        <v/>
      </c>
      <c r="Q338" s="11">
        <f>IF(J338="","",IFERROR(VALUE(SUBSTITUTE(SUBSTITUTE(IF(G338="","",G338)&amp;"","$",""),",","")),0)/IF("No"="Yes",P338,1))</f>
        <v/>
      </c>
      <c r="R338" s="11">
        <f>IF(J338="","",IFERROR(VALUE(SUBSTITUTE(SUBSTITUTE(IF(H338="","",H338)&amp;"","$",""),",","")),0)/IF("No"="Yes",P338,1))</f>
        <v/>
      </c>
      <c r="S338" s="11">
        <f>IF(J338="","",O338+Q338-R338)</f>
        <v/>
      </c>
      <c r="T338">
        <f>IF(J338="","",IFERROR(IF(K338="",NA(),MATCH(K338,Products!$B$5:$B$204,0)),IFERROR(MATCH(J338,Products!$A$5:$A$204,0),"")))</f>
        <v/>
      </c>
      <c r="U338">
        <f>IF(J338="","",IF(T338="","⚠ not in Products",INDEX(Products!$A$5:$A$204,T338)))</f>
        <v/>
      </c>
      <c r="V338" s="11">
        <f>IF(J338="","",S338*(IFERROR(INDEX(Settings!$B$5:$B$9,MATCH($B338,Settings!$A$5:$A$9,0)),0)+IFERROR(INDEX(Settings!$E$5:$E$9,MATCH($B338,Settings!$A$5:$A$9,0)),0)+IFERROR(INDEX(Settings!$G$5:$G$9,MATCH($B338,Settings!$A$5:$A$9,0)),0))+(IFERROR(INDEX(Settings!$C$5:$C$9,MATCH($B338,Settings!$A$5:$A$9,0)),0)+IFERROR(INDEX(Settings!$F$5:$F$9,MATCH($B338,Settings!$A$5:$A$9,0)),0))/P338+IFERROR(INDEX(Settings!$D$5:$D$9,MATCH($B338,Settings!$A$5:$A$9,0)),0)*M338)</f>
        <v/>
      </c>
      <c r="W338" s="11">
        <f>IF(J338="","",IF(T338="",0,M338*INDEX(Products!$I$5:$I$204,T338)))</f>
        <v/>
      </c>
      <c r="X338" s="11">
        <f>IF(J338="","",IF(T338="",0,S338*INDEX(Products!$H$5:$H$204,T338)))</f>
        <v/>
      </c>
      <c r="Y338" s="11">
        <f>IF(J338="","",S338-V338-W338-X338)</f>
        <v/>
      </c>
    </row>
    <row r="339">
      <c r="A339" s="19" t="n"/>
      <c r="B339" s="19" t="n"/>
      <c r="C339" s="19" t="n"/>
      <c r="D339" s="19" t="n"/>
      <c r="E339" s="19" t="n"/>
      <c r="F339" s="20" t="n"/>
      <c r="G339" s="20" t="n"/>
      <c r="H339" s="20" t="n"/>
      <c r="I339" s="19" t="n"/>
      <c r="J339">
        <f>IFERROR(IF(C339="","",C339)&amp;"","")</f>
        <v/>
      </c>
      <c r="K339">
        <f>IFERROR(IF(D339="","",D339)&amp;"","")</f>
        <v/>
      </c>
      <c r="L339">
        <f>IFERROR(IF(I339="","",I339)&amp;"","")</f>
        <v/>
      </c>
      <c r="M339">
        <f>IF(J339="","",IFERROR(VALUE(SUBSTITUTE(SUBSTITUTE(IF(E339="","",E339)&amp;"","$",""),",","")),0))</f>
        <v/>
      </c>
      <c r="N339" s="11">
        <f>IF(J339="","",IFERROR(VALUE(SUBSTITUTE(SUBSTITUTE(IF(F339="","",F339)&amp;"","$",""),",","")),0))</f>
        <v/>
      </c>
      <c r="O339" s="11">
        <f>IF(J339="","",M339*N339)</f>
        <v/>
      </c>
      <c r="P339">
        <f>IF(J339="","",IF(L339="",1,COUNTIF($L$2:$L$1501,L339)))</f>
        <v/>
      </c>
      <c r="Q339" s="11">
        <f>IF(J339="","",IFERROR(VALUE(SUBSTITUTE(SUBSTITUTE(IF(G339="","",G339)&amp;"","$",""),",","")),0)/IF("No"="Yes",P339,1))</f>
        <v/>
      </c>
      <c r="R339" s="11">
        <f>IF(J339="","",IFERROR(VALUE(SUBSTITUTE(SUBSTITUTE(IF(H339="","",H339)&amp;"","$",""),",","")),0)/IF("No"="Yes",P339,1))</f>
        <v/>
      </c>
      <c r="S339" s="11">
        <f>IF(J339="","",O339+Q339-R339)</f>
        <v/>
      </c>
      <c r="T339">
        <f>IF(J339="","",IFERROR(IF(K339="",NA(),MATCH(K339,Products!$B$5:$B$204,0)),IFERROR(MATCH(J339,Products!$A$5:$A$204,0),"")))</f>
        <v/>
      </c>
      <c r="U339">
        <f>IF(J339="","",IF(T339="","⚠ not in Products",INDEX(Products!$A$5:$A$204,T339)))</f>
        <v/>
      </c>
      <c r="V339" s="11">
        <f>IF(J339="","",S339*(IFERROR(INDEX(Settings!$B$5:$B$9,MATCH($B339,Settings!$A$5:$A$9,0)),0)+IFERROR(INDEX(Settings!$E$5:$E$9,MATCH($B339,Settings!$A$5:$A$9,0)),0)+IFERROR(INDEX(Settings!$G$5:$G$9,MATCH($B339,Settings!$A$5:$A$9,0)),0))+(IFERROR(INDEX(Settings!$C$5:$C$9,MATCH($B339,Settings!$A$5:$A$9,0)),0)+IFERROR(INDEX(Settings!$F$5:$F$9,MATCH($B339,Settings!$A$5:$A$9,0)),0))/P339+IFERROR(INDEX(Settings!$D$5:$D$9,MATCH($B339,Settings!$A$5:$A$9,0)),0)*M339)</f>
        <v/>
      </c>
      <c r="W339" s="11">
        <f>IF(J339="","",IF(T339="",0,M339*INDEX(Products!$I$5:$I$204,T339)))</f>
        <v/>
      </c>
      <c r="X339" s="11">
        <f>IF(J339="","",IF(T339="",0,S339*INDEX(Products!$H$5:$H$204,T339)))</f>
        <v/>
      </c>
      <c r="Y339" s="11">
        <f>IF(J339="","",S339-V339-W339-X339)</f>
        <v/>
      </c>
    </row>
    <row r="340">
      <c r="A340" s="19" t="n"/>
      <c r="B340" s="19" t="n"/>
      <c r="C340" s="19" t="n"/>
      <c r="D340" s="19" t="n"/>
      <c r="E340" s="19" t="n"/>
      <c r="F340" s="20" t="n"/>
      <c r="G340" s="20" t="n"/>
      <c r="H340" s="20" t="n"/>
      <c r="I340" s="19" t="n"/>
      <c r="J340">
        <f>IFERROR(IF(C340="","",C340)&amp;"","")</f>
        <v/>
      </c>
      <c r="K340">
        <f>IFERROR(IF(D340="","",D340)&amp;"","")</f>
        <v/>
      </c>
      <c r="L340">
        <f>IFERROR(IF(I340="","",I340)&amp;"","")</f>
        <v/>
      </c>
      <c r="M340">
        <f>IF(J340="","",IFERROR(VALUE(SUBSTITUTE(SUBSTITUTE(IF(E340="","",E340)&amp;"","$",""),",","")),0))</f>
        <v/>
      </c>
      <c r="N340" s="11">
        <f>IF(J340="","",IFERROR(VALUE(SUBSTITUTE(SUBSTITUTE(IF(F340="","",F340)&amp;"","$",""),",","")),0))</f>
        <v/>
      </c>
      <c r="O340" s="11">
        <f>IF(J340="","",M340*N340)</f>
        <v/>
      </c>
      <c r="P340">
        <f>IF(J340="","",IF(L340="",1,COUNTIF($L$2:$L$1501,L340)))</f>
        <v/>
      </c>
      <c r="Q340" s="11">
        <f>IF(J340="","",IFERROR(VALUE(SUBSTITUTE(SUBSTITUTE(IF(G340="","",G340)&amp;"","$",""),",","")),0)/IF("No"="Yes",P340,1))</f>
        <v/>
      </c>
      <c r="R340" s="11">
        <f>IF(J340="","",IFERROR(VALUE(SUBSTITUTE(SUBSTITUTE(IF(H340="","",H340)&amp;"","$",""),",","")),0)/IF("No"="Yes",P340,1))</f>
        <v/>
      </c>
      <c r="S340" s="11">
        <f>IF(J340="","",O340+Q340-R340)</f>
        <v/>
      </c>
      <c r="T340">
        <f>IF(J340="","",IFERROR(IF(K340="",NA(),MATCH(K340,Products!$B$5:$B$204,0)),IFERROR(MATCH(J340,Products!$A$5:$A$204,0),"")))</f>
        <v/>
      </c>
      <c r="U340">
        <f>IF(J340="","",IF(T340="","⚠ not in Products",INDEX(Products!$A$5:$A$204,T340)))</f>
        <v/>
      </c>
      <c r="V340" s="11">
        <f>IF(J340="","",S340*(IFERROR(INDEX(Settings!$B$5:$B$9,MATCH($B340,Settings!$A$5:$A$9,0)),0)+IFERROR(INDEX(Settings!$E$5:$E$9,MATCH($B340,Settings!$A$5:$A$9,0)),0)+IFERROR(INDEX(Settings!$G$5:$G$9,MATCH($B340,Settings!$A$5:$A$9,0)),0))+(IFERROR(INDEX(Settings!$C$5:$C$9,MATCH($B340,Settings!$A$5:$A$9,0)),0)+IFERROR(INDEX(Settings!$F$5:$F$9,MATCH($B340,Settings!$A$5:$A$9,0)),0))/P340+IFERROR(INDEX(Settings!$D$5:$D$9,MATCH($B340,Settings!$A$5:$A$9,0)),0)*M340)</f>
        <v/>
      </c>
      <c r="W340" s="11">
        <f>IF(J340="","",IF(T340="",0,M340*INDEX(Products!$I$5:$I$204,T340)))</f>
        <v/>
      </c>
      <c r="X340" s="11">
        <f>IF(J340="","",IF(T340="",0,S340*INDEX(Products!$H$5:$H$204,T340)))</f>
        <v/>
      </c>
      <c r="Y340" s="11">
        <f>IF(J340="","",S340-V340-W340-X340)</f>
        <v/>
      </c>
    </row>
    <row r="341">
      <c r="A341" s="19" t="n"/>
      <c r="B341" s="19" t="n"/>
      <c r="C341" s="19" t="n"/>
      <c r="D341" s="19" t="n"/>
      <c r="E341" s="19" t="n"/>
      <c r="F341" s="20" t="n"/>
      <c r="G341" s="20" t="n"/>
      <c r="H341" s="20" t="n"/>
      <c r="I341" s="19" t="n"/>
      <c r="J341">
        <f>IFERROR(IF(C341="","",C341)&amp;"","")</f>
        <v/>
      </c>
      <c r="K341">
        <f>IFERROR(IF(D341="","",D341)&amp;"","")</f>
        <v/>
      </c>
      <c r="L341">
        <f>IFERROR(IF(I341="","",I341)&amp;"","")</f>
        <v/>
      </c>
      <c r="M341">
        <f>IF(J341="","",IFERROR(VALUE(SUBSTITUTE(SUBSTITUTE(IF(E341="","",E341)&amp;"","$",""),",","")),0))</f>
        <v/>
      </c>
      <c r="N341" s="11">
        <f>IF(J341="","",IFERROR(VALUE(SUBSTITUTE(SUBSTITUTE(IF(F341="","",F341)&amp;"","$",""),",","")),0))</f>
        <v/>
      </c>
      <c r="O341" s="11">
        <f>IF(J341="","",M341*N341)</f>
        <v/>
      </c>
      <c r="P341">
        <f>IF(J341="","",IF(L341="",1,COUNTIF($L$2:$L$1501,L341)))</f>
        <v/>
      </c>
      <c r="Q341" s="11">
        <f>IF(J341="","",IFERROR(VALUE(SUBSTITUTE(SUBSTITUTE(IF(G341="","",G341)&amp;"","$",""),",","")),0)/IF("No"="Yes",P341,1))</f>
        <v/>
      </c>
      <c r="R341" s="11">
        <f>IF(J341="","",IFERROR(VALUE(SUBSTITUTE(SUBSTITUTE(IF(H341="","",H341)&amp;"","$",""),",","")),0)/IF("No"="Yes",P341,1))</f>
        <v/>
      </c>
      <c r="S341" s="11">
        <f>IF(J341="","",O341+Q341-R341)</f>
        <v/>
      </c>
      <c r="T341">
        <f>IF(J341="","",IFERROR(IF(K341="",NA(),MATCH(K341,Products!$B$5:$B$204,0)),IFERROR(MATCH(J341,Products!$A$5:$A$204,0),"")))</f>
        <v/>
      </c>
      <c r="U341">
        <f>IF(J341="","",IF(T341="","⚠ not in Products",INDEX(Products!$A$5:$A$204,T341)))</f>
        <v/>
      </c>
      <c r="V341" s="11">
        <f>IF(J341="","",S341*(IFERROR(INDEX(Settings!$B$5:$B$9,MATCH($B341,Settings!$A$5:$A$9,0)),0)+IFERROR(INDEX(Settings!$E$5:$E$9,MATCH($B341,Settings!$A$5:$A$9,0)),0)+IFERROR(INDEX(Settings!$G$5:$G$9,MATCH($B341,Settings!$A$5:$A$9,0)),0))+(IFERROR(INDEX(Settings!$C$5:$C$9,MATCH($B341,Settings!$A$5:$A$9,0)),0)+IFERROR(INDEX(Settings!$F$5:$F$9,MATCH($B341,Settings!$A$5:$A$9,0)),0))/P341+IFERROR(INDEX(Settings!$D$5:$D$9,MATCH($B341,Settings!$A$5:$A$9,0)),0)*M341)</f>
        <v/>
      </c>
      <c r="W341" s="11">
        <f>IF(J341="","",IF(T341="",0,M341*INDEX(Products!$I$5:$I$204,T341)))</f>
        <v/>
      </c>
      <c r="X341" s="11">
        <f>IF(J341="","",IF(T341="",0,S341*INDEX(Products!$H$5:$H$204,T341)))</f>
        <v/>
      </c>
      <c r="Y341" s="11">
        <f>IF(J341="","",S341-V341-W341-X341)</f>
        <v/>
      </c>
    </row>
    <row r="342">
      <c r="A342" s="19" t="n"/>
      <c r="B342" s="19" t="n"/>
      <c r="C342" s="19" t="n"/>
      <c r="D342" s="19" t="n"/>
      <c r="E342" s="19" t="n"/>
      <c r="F342" s="20" t="n"/>
      <c r="G342" s="20" t="n"/>
      <c r="H342" s="20" t="n"/>
      <c r="I342" s="19" t="n"/>
      <c r="J342">
        <f>IFERROR(IF(C342="","",C342)&amp;"","")</f>
        <v/>
      </c>
      <c r="K342">
        <f>IFERROR(IF(D342="","",D342)&amp;"","")</f>
        <v/>
      </c>
      <c r="L342">
        <f>IFERROR(IF(I342="","",I342)&amp;"","")</f>
        <v/>
      </c>
      <c r="M342">
        <f>IF(J342="","",IFERROR(VALUE(SUBSTITUTE(SUBSTITUTE(IF(E342="","",E342)&amp;"","$",""),",","")),0))</f>
        <v/>
      </c>
      <c r="N342" s="11">
        <f>IF(J342="","",IFERROR(VALUE(SUBSTITUTE(SUBSTITUTE(IF(F342="","",F342)&amp;"","$",""),",","")),0))</f>
        <v/>
      </c>
      <c r="O342" s="11">
        <f>IF(J342="","",M342*N342)</f>
        <v/>
      </c>
      <c r="P342">
        <f>IF(J342="","",IF(L342="",1,COUNTIF($L$2:$L$1501,L342)))</f>
        <v/>
      </c>
      <c r="Q342" s="11">
        <f>IF(J342="","",IFERROR(VALUE(SUBSTITUTE(SUBSTITUTE(IF(G342="","",G342)&amp;"","$",""),",","")),0)/IF("No"="Yes",P342,1))</f>
        <v/>
      </c>
      <c r="R342" s="11">
        <f>IF(J342="","",IFERROR(VALUE(SUBSTITUTE(SUBSTITUTE(IF(H342="","",H342)&amp;"","$",""),",","")),0)/IF("No"="Yes",P342,1))</f>
        <v/>
      </c>
      <c r="S342" s="11">
        <f>IF(J342="","",O342+Q342-R342)</f>
        <v/>
      </c>
      <c r="T342">
        <f>IF(J342="","",IFERROR(IF(K342="",NA(),MATCH(K342,Products!$B$5:$B$204,0)),IFERROR(MATCH(J342,Products!$A$5:$A$204,0),"")))</f>
        <v/>
      </c>
      <c r="U342">
        <f>IF(J342="","",IF(T342="","⚠ not in Products",INDEX(Products!$A$5:$A$204,T342)))</f>
        <v/>
      </c>
      <c r="V342" s="11">
        <f>IF(J342="","",S342*(IFERROR(INDEX(Settings!$B$5:$B$9,MATCH($B342,Settings!$A$5:$A$9,0)),0)+IFERROR(INDEX(Settings!$E$5:$E$9,MATCH($B342,Settings!$A$5:$A$9,0)),0)+IFERROR(INDEX(Settings!$G$5:$G$9,MATCH($B342,Settings!$A$5:$A$9,0)),0))+(IFERROR(INDEX(Settings!$C$5:$C$9,MATCH($B342,Settings!$A$5:$A$9,0)),0)+IFERROR(INDEX(Settings!$F$5:$F$9,MATCH($B342,Settings!$A$5:$A$9,0)),0))/P342+IFERROR(INDEX(Settings!$D$5:$D$9,MATCH($B342,Settings!$A$5:$A$9,0)),0)*M342)</f>
        <v/>
      </c>
      <c r="W342" s="11">
        <f>IF(J342="","",IF(T342="",0,M342*INDEX(Products!$I$5:$I$204,T342)))</f>
        <v/>
      </c>
      <c r="X342" s="11">
        <f>IF(J342="","",IF(T342="",0,S342*INDEX(Products!$H$5:$H$204,T342)))</f>
        <v/>
      </c>
      <c r="Y342" s="11">
        <f>IF(J342="","",S342-V342-W342-X342)</f>
        <v/>
      </c>
    </row>
    <row r="343">
      <c r="A343" s="19" t="n"/>
      <c r="B343" s="19" t="n"/>
      <c r="C343" s="19" t="n"/>
      <c r="D343" s="19" t="n"/>
      <c r="E343" s="19" t="n"/>
      <c r="F343" s="20" t="n"/>
      <c r="G343" s="20" t="n"/>
      <c r="H343" s="20" t="n"/>
      <c r="I343" s="19" t="n"/>
      <c r="J343">
        <f>IFERROR(IF(C343="","",C343)&amp;"","")</f>
        <v/>
      </c>
      <c r="K343">
        <f>IFERROR(IF(D343="","",D343)&amp;"","")</f>
        <v/>
      </c>
      <c r="L343">
        <f>IFERROR(IF(I343="","",I343)&amp;"","")</f>
        <v/>
      </c>
      <c r="M343">
        <f>IF(J343="","",IFERROR(VALUE(SUBSTITUTE(SUBSTITUTE(IF(E343="","",E343)&amp;"","$",""),",","")),0))</f>
        <v/>
      </c>
      <c r="N343" s="11">
        <f>IF(J343="","",IFERROR(VALUE(SUBSTITUTE(SUBSTITUTE(IF(F343="","",F343)&amp;"","$",""),",","")),0))</f>
        <v/>
      </c>
      <c r="O343" s="11">
        <f>IF(J343="","",M343*N343)</f>
        <v/>
      </c>
      <c r="P343">
        <f>IF(J343="","",IF(L343="",1,COUNTIF($L$2:$L$1501,L343)))</f>
        <v/>
      </c>
      <c r="Q343" s="11">
        <f>IF(J343="","",IFERROR(VALUE(SUBSTITUTE(SUBSTITUTE(IF(G343="","",G343)&amp;"","$",""),",","")),0)/IF("No"="Yes",P343,1))</f>
        <v/>
      </c>
      <c r="R343" s="11">
        <f>IF(J343="","",IFERROR(VALUE(SUBSTITUTE(SUBSTITUTE(IF(H343="","",H343)&amp;"","$",""),",","")),0)/IF("No"="Yes",P343,1))</f>
        <v/>
      </c>
      <c r="S343" s="11">
        <f>IF(J343="","",O343+Q343-R343)</f>
        <v/>
      </c>
      <c r="T343">
        <f>IF(J343="","",IFERROR(IF(K343="",NA(),MATCH(K343,Products!$B$5:$B$204,0)),IFERROR(MATCH(J343,Products!$A$5:$A$204,0),"")))</f>
        <v/>
      </c>
      <c r="U343">
        <f>IF(J343="","",IF(T343="","⚠ not in Products",INDEX(Products!$A$5:$A$204,T343)))</f>
        <v/>
      </c>
      <c r="V343" s="11">
        <f>IF(J343="","",S343*(IFERROR(INDEX(Settings!$B$5:$B$9,MATCH($B343,Settings!$A$5:$A$9,0)),0)+IFERROR(INDEX(Settings!$E$5:$E$9,MATCH($B343,Settings!$A$5:$A$9,0)),0)+IFERROR(INDEX(Settings!$G$5:$G$9,MATCH($B343,Settings!$A$5:$A$9,0)),0))+(IFERROR(INDEX(Settings!$C$5:$C$9,MATCH($B343,Settings!$A$5:$A$9,0)),0)+IFERROR(INDEX(Settings!$F$5:$F$9,MATCH($B343,Settings!$A$5:$A$9,0)),0))/P343+IFERROR(INDEX(Settings!$D$5:$D$9,MATCH($B343,Settings!$A$5:$A$9,0)),0)*M343)</f>
        <v/>
      </c>
      <c r="W343" s="11">
        <f>IF(J343="","",IF(T343="",0,M343*INDEX(Products!$I$5:$I$204,T343)))</f>
        <v/>
      </c>
      <c r="X343" s="11">
        <f>IF(J343="","",IF(T343="",0,S343*INDEX(Products!$H$5:$H$204,T343)))</f>
        <v/>
      </c>
      <c r="Y343" s="11">
        <f>IF(J343="","",S343-V343-W343-X343)</f>
        <v/>
      </c>
    </row>
    <row r="344">
      <c r="A344" s="19" t="n"/>
      <c r="B344" s="19" t="n"/>
      <c r="C344" s="19" t="n"/>
      <c r="D344" s="19" t="n"/>
      <c r="E344" s="19" t="n"/>
      <c r="F344" s="20" t="n"/>
      <c r="G344" s="20" t="n"/>
      <c r="H344" s="20" t="n"/>
      <c r="I344" s="19" t="n"/>
      <c r="J344">
        <f>IFERROR(IF(C344="","",C344)&amp;"","")</f>
        <v/>
      </c>
      <c r="K344">
        <f>IFERROR(IF(D344="","",D344)&amp;"","")</f>
        <v/>
      </c>
      <c r="L344">
        <f>IFERROR(IF(I344="","",I344)&amp;"","")</f>
        <v/>
      </c>
      <c r="M344">
        <f>IF(J344="","",IFERROR(VALUE(SUBSTITUTE(SUBSTITUTE(IF(E344="","",E344)&amp;"","$",""),",","")),0))</f>
        <v/>
      </c>
      <c r="N344" s="11">
        <f>IF(J344="","",IFERROR(VALUE(SUBSTITUTE(SUBSTITUTE(IF(F344="","",F344)&amp;"","$",""),",","")),0))</f>
        <v/>
      </c>
      <c r="O344" s="11">
        <f>IF(J344="","",M344*N344)</f>
        <v/>
      </c>
      <c r="P344">
        <f>IF(J344="","",IF(L344="",1,COUNTIF($L$2:$L$1501,L344)))</f>
        <v/>
      </c>
      <c r="Q344" s="11">
        <f>IF(J344="","",IFERROR(VALUE(SUBSTITUTE(SUBSTITUTE(IF(G344="","",G344)&amp;"","$",""),",","")),0)/IF("No"="Yes",P344,1))</f>
        <v/>
      </c>
      <c r="R344" s="11">
        <f>IF(J344="","",IFERROR(VALUE(SUBSTITUTE(SUBSTITUTE(IF(H344="","",H344)&amp;"","$",""),",","")),0)/IF("No"="Yes",P344,1))</f>
        <v/>
      </c>
      <c r="S344" s="11">
        <f>IF(J344="","",O344+Q344-R344)</f>
        <v/>
      </c>
      <c r="T344">
        <f>IF(J344="","",IFERROR(IF(K344="",NA(),MATCH(K344,Products!$B$5:$B$204,0)),IFERROR(MATCH(J344,Products!$A$5:$A$204,0),"")))</f>
        <v/>
      </c>
      <c r="U344">
        <f>IF(J344="","",IF(T344="","⚠ not in Products",INDEX(Products!$A$5:$A$204,T344)))</f>
        <v/>
      </c>
      <c r="V344" s="11">
        <f>IF(J344="","",S344*(IFERROR(INDEX(Settings!$B$5:$B$9,MATCH($B344,Settings!$A$5:$A$9,0)),0)+IFERROR(INDEX(Settings!$E$5:$E$9,MATCH($B344,Settings!$A$5:$A$9,0)),0)+IFERROR(INDEX(Settings!$G$5:$G$9,MATCH($B344,Settings!$A$5:$A$9,0)),0))+(IFERROR(INDEX(Settings!$C$5:$C$9,MATCH($B344,Settings!$A$5:$A$9,0)),0)+IFERROR(INDEX(Settings!$F$5:$F$9,MATCH($B344,Settings!$A$5:$A$9,0)),0))/P344+IFERROR(INDEX(Settings!$D$5:$D$9,MATCH($B344,Settings!$A$5:$A$9,0)),0)*M344)</f>
        <v/>
      </c>
      <c r="W344" s="11">
        <f>IF(J344="","",IF(T344="",0,M344*INDEX(Products!$I$5:$I$204,T344)))</f>
        <v/>
      </c>
      <c r="X344" s="11">
        <f>IF(J344="","",IF(T344="",0,S344*INDEX(Products!$H$5:$H$204,T344)))</f>
        <v/>
      </c>
      <c r="Y344" s="11">
        <f>IF(J344="","",S344-V344-W344-X344)</f>
        <v/>
      </c>
    </row>
    <row r="345">
      <c r="A345" s="19" t="n"/>
      <c r="B345" s="19" t="n"/>
      <c r="C345" s="19" t="n"/>
      <c r="D345" s="19" t="n"/>
      <c r="E345" s="19" t="n"/>
      <c r="F345" s="20" t="n"/>
      <c r="G345" s="20" t="n"/>
      <c r="H345" s="20" t="n"/>
      <c r="I345" s="19" t="n"/>
      <c r="J345">
        <f>IFERROR(IF(C345="","",C345)&amp;"","")</f>
        <v/>
      </c>
      <c r="K345">
        <f>IFERROR(IF(D345="","",D345)&amp;"","")</f>
        <v/>
      </c>
      <c r="L345">
        <f>IFERROR(IF(I345="","",I345)&amp;"","")</f>
        <v/>
      </c>
      <c r="M345">
        <f>IF(J345="","",IFERROR(VALUE(SUBSTITUTE(SUBSTITUTE(IF(E345="","",E345)&amp;"","$",""),",","")),0))</f>
        <v/>
      </c>
      <c r="N345" s="11">
        <f>IF(J345="","",IFERROR(VALUE(SUBSTITUTE(SUBSTITUTE(IF(F345="","",F345)&amp;"","$",""),",","")),0))</f>
        <v/>
      </c>
      <c r="O345" s="11">
        <f>IF(J345="","",M345*N345)</f>
        <v/>
      </c>
      <c r="P345">
        <f>IF(J345="","",IF(L345="",1,COUNTIF($L$2:$L$1501,L345)))</f>
        <v/>
      </c>
      <c r="Q345" s="11">
        <f>IF(J345="","",IFERROR(VALUE(SUBSTITUTE(SUBSTITUTE(IF(G345="","",G345)&amp;"","$",""),",","")),0)/IF("No"="Yes",P345,1))</f>
        <v/>
      </c>
      <c r="R345" s="11">
        <f>IF(J345="","",IFERROR(VALUE(SUBSTITUTE(SUBSTITUTE(IF(H345="","",H345)&amp;"","$",""),",","")),0)/IF("No"="Yes",P345,1))</f>
        <v/>
      </c>
      <c r="S345" s="11">
        <f>IF(J345="","",O345+Q345-R345)</f>
        <v/>
      </c>
      <c r="T345">
        <f>IF(J345="","",IFERROR(IF(K345="",NA(),MATCH(K345,Products!$B$5:$B$204,0)),IFERROR(MATCH(J345,Products!$A$5:$A$204,0),"")))</f>
        <v/>
      </c>
      <c r="U345">
        <f>IF(J345="","",IF(T345="","⚠ not in Products",INDEX(Products!$A$5:$A$204,T345)))</f>
        <v/>
      </c>
      <c r="V345" s="11">
        <f>IF(J345="","",S345*(IFERROR(INDEX(Settings!$B$5:$B$9,MATCH($B345,Settings!$A$5:$A$9,0)),0)+IFERROR(INDEX(Settings!$E$5:$E$9,MATCH($B345,Settings!$A$5:$A$9,0)),0)+IFERROR(INDEX(Settings!$G$5:$G$9,MATCH($B345,Settings!$A$5:$A$9,0)),0))+(IFERROR(INDEX(Settings!$C$5:$C$9,MATCH($B345,Settings!$A$5:$A$9,0)),0)+IFERROR(INDEX(Settings!$F$5:$F$9,MATCH($B345,Settings!$A$5:$A$9,0)),0))/P345+IFERROR(INDEX(Settings!$D$5:$D$9,MATCH($B345,Settings!$A$5:$A$9,0)),0)*M345)</f>
        <v/>
      </c>
      <c r="W345" s="11">
        <f>IF(J345="","",IF(T345="",0,M345*INDEX(Products!$I$5:$I$204,T345)))</f>
        <v/>
      </c>
      <c r="X345" s="11">
        <f>IF(J345="","",IF(T345="",0,S345*INDEX(Products!$H$5:$H$204,T345)))</f>
        <v/>
      </c>
      <c r="Y345" s="11">
        <f>IF(J345="","",S345-V345-W345-X345)</f>
        <v/>
      </c>
    </row>
    <row r="346">
      <c r="A346" s="19" t="n"/>
      <c r="B346" s="19" t="n"/>
      <c r="C346" s="19" t="n"/>
      <c r="D346" s="19" t="n"/>
      <c r="E346" s="19" t="n"/>
      <c r="F346" s="20" t="n"/>
      <c r="G346" s="20" t="n"/>
      <c r="H346" s="20" t="n"/>
      <c r="I346" s="19" t="n"/>
      <c r="J346">
        <f>IFERROR(IF(C346="","",C346)&amp;"","")</f>
        <v/>
      </c>
      <c r="K346">
        <f>IFERROR(IF(D346="","",D346)&amp;"","")</f>
        <v/>
      </c>
      <c r="L346">
        <f>IFERROR(IF(I346="","",I346)&amp;"","")</f>
        <v/>
      </c>
      <c r="M346">
        <f>IF(J346="","",IFERROR(VALUE(SUBSTITUTE(SUBSTITUTE(IF(E346="","",E346)&amp;"","$",""),",","")),0))</f>
        <v/>
      </c>
      <c r="N346" s="11">
        <f>IF(J346="","",IFERROR(VALUE(SUBSTITUTE(SUBSTITUTE(IF(F346="","",F346)&amp;"","$",""),",","")),0))</f>
        <v/>
      </c>
      <c r="O346" s="11">
        <f>IF(J346="","",M346*N346)</f>
        <v/>
      </c>
      <c r="P346">
        <f>IF(J346="","",IF(L346="",1,COUNTIF($L$2:$L$1501,L346)))</f>
        <v/>
      </c>
      <c r="Q346" s="11">
        <f>IF(J346="","",IFERROR(VALUE(SUBSTITUTE(SUBSTITUTE(IF(G346="","",G346)&amp;"","$",""),",","")),0)/IF("No"="Yes",P346,1))</f>
        <v/>
      </c>
      <c r="R346" s="11">
        <f>IF(J346="","",IFERROR(VALUE(SUBSTITUTE(SUBSTITUTE(IF(H346="","",H346)&amp;"","$",""),",","")),0)/IF("No"="Yes",P346,1))</f>
        <v/>
      </c>
      <c r="S346" s="11">
        <f>IF(J346="","",O346+Q346-R346)</f>
        <v/>
      </c>
      <c r="T346">
        <f>IF(J346="","",IFERROR(IF(K346="",NA(),MATCH(K346,Products!$B$5:$B$204,0)),IFERROR(MATCH(J346,Products!$A$5:$A$204,0),"")))</f>
        <v/>
      </c>
      <c r="U346">
        <f>IF(J346="","",IF(T346="","⚠ not in Products",INDEX(Products!$A$5:$A$204,T346)))</f>
        <v/>
      </c>
      <c r="V346" s="11">
        <f>IF(J346="","",S346*(IFERROR(INDEX(Settings!$B$5:$B$9,MATCH($B346,Settings!$A$5:$A$9,0)),0)+IFERROR(INDEX(Settings!$E$5:$E$9,MATCH($B346,Settings!$A$5:$A$9,0)),0)+IFERROR(INDEX(Settings!$G$5:$G$9,MATCH($B346,Settings!$A$5:$A$9,0)),0))+(IFERROR(INDEX(Settings!$C$5:$C$9,MATCH($B346,Settings!$A$5:$A$9,0)),0)+IFERROR(INDEX(Settings!$F$5:$F$9,MATCH($B346,Settings!$A$5:$A$9,0)),0))/P346+IFERROR(INDEX(Settings!$D$5:$D$9,MATCH($B346,Settings!$A$5:$A$9,0)),0)*M346)</f>
        <v/>
      </c>
      <c r="W346" s="11">
        <f>IF(J346="","",IF(T346="",0,M346*INDEX(Products!$I$5:$I$204,T346)))</f>
        <v/>
      </c>
      <c r="X346" s="11">
        <f>IF(J346="","",IF(T346="",0,S346*INDEX(Products!$H$5:$H$204,T346)))</f>
        <v/>
      </c>
      <c r="Y346" s="11">
        <f>IF(J346="","",S346-V346-W346-X346)</f>
        <v/>
      </c>
    </row>
    <row r="347">
      <c r="A347" s="19" t="n"/>
      <c r="B347" s="19" t="n"/>
      <c r="C347" s="19" t="n"/>
      <c r="D347" s="19" t="n"/>
      <c r="E347" s="19" t="n"/>
      <c r="F347" s="20" t="n"/>
      <c r="G347" s="20" t="n"/>
      <c r="H347" s="20" t="n"/>
      <c r="I347" s="19" t="n"/>
      <c r="J347">
        <f>IFERROR(IF(C347="","",C347)&amp;"","")</f>
        <v/>
      </c>
      <c r="K347">
        <f>IFERROR(IF(D347="","",D347)&amp;"","")</f>
        <v/>
      </c>
      <c r="L347">
        <f>IFERROR(IF(I347="","",I347)&amp;"","")</f>
        <v/>
      </c>
      <c r="M347">
        <f>IF(J347="","",IFERROR(VALUE(SUBSTITUTE(SUBSTITUTE(IF(E347="","",E347)&amp;"","$",""),",","")),0))</f>
        <v/>
      </c>
      <c r="N347" s="11">
        <f>IF(J347="","",IFERROR(VALUE(SUBSTITUTE(SUBSTITUTE(IF(F347="","",F347)&amp;"","$",""),",","")),0))</f>
        <v/>
      </c>
      <c r="O347" s="11">
        <f>IF(J347="","",M347*N347)</f>
        <v/>
      </c>
      <c r="P347">
        <f>IF(J347="","",IF(L347="",1,COUNTIF($L$2:$L$1501,L347)))</f>
        <v/>
      </c>
      <c r="Q347" s="11">
        <f>IF(J347="","",IFERROR(VALUE(SUBSTITUTE(SUBSTITUTE(IF(G347="","",G347)&amp;"","$",""),",","")),0)/IF("No"="Yes",P347,1))</f>
        <v/>
      </c>
      <c r="R347" s="11">
        <f>IF(J347="","",IFERROR(VALUE(SUBSTITUTE(SUBSTITUTE(IF(H347="","",H347)&amp;"","$",""),",","")),0)/IF("No"="Yes",P347,1))</f>
        <v/>
      </c>
      <c r="S347" s="11">
        <f>IF(J347="","",O347+Q347-R347)</f>
        <v/>
      </c>
      <c r="T347">
        <f>IF(J347="","",IFERROR(IF(K347="",NA(),MATCH(K347,Products!$B$5:$B$204,0)),IFERROR(MATCH(J347,Products!$A$5:$A$204,0),"")))</f>
        <v/>
      </c>
      <c r="U347">
        <f>IF(J347="","",IF(T347="","⚠ not in Products",INDEX(Products!$A$5:$A$204,T347)))</f>
        <v/>
      </c>
      <c r="V347" s="11">
        <f>IF(J347="","",S347*(IFERROR(INDEX(Settings!$B$5:$B$9,MATCH($B347,Settings!$A$5:$A$9,0)),0)+IFERROR(INDEX(Settings!$E$5:$E$9,MATCH($B347,Settings!$A$5:$A$9,0)),0)+IFERROR(INDEX(Settings!$G$5:$G$9,MATCH($B347,Settings!$A$5:$A$9,0)),0))+(IFERROR(INDEX(Settings!$C$5:$C$9,MATCH($B347,Settings!$A$5:$A$9,0)),0)+IFERROR(INDEX(Settings!$F$5:$F$9,MATCH($B347,Settings!$A$5:$A$9,0)),0))/P347+IFERROR(INDEX(Settings!$D$5:$D$9,MATCH($B347,Settings!$A$5:$A$9,0)),0)*M347)</f>
        <v/>
      </c>
      <c r="W347" s="11">
        <f>IF(J347="","",IF(T347="",0,M347*INDEX(Products!$I$5:$I$204,T347)))</f>
        <v/>
      </c>
      <c r="X347" s="11">
        <f>IF(J347="","",IF(T347="",0,S347*INDEX(Products!$H$5:$H$204,T347)))</f>
        <v/>
      </c>
      <c r="Y347" s="11">
        <f>IF(J347="","",S347-V347-W347-X347)</f>
        <v/>
      </c>
    </row>
    <row r="348">
      <c r="A348" s="19" t="n"/>
      <c r="B348" s="19" t="n"/>
      <c r="C348" s="19" t="n"/>
      <c r="D348" s="19" t="n"/>
      <c r="E348" s="19" t="n"/>
      <c r="F348" s="20" t="n"/>
      <c r="G348" s="20" t="n"/>
      <c r="H348" s="20" t="n"/>
      <c r="I348" s="19" t="n"/>
      <c r="J348">
        <f>IFERROR(IF(C348="","",C348)&amp;"","")</f>
        <v/>
      </c>
      <c r="K348">
        <f>IFERROR(IF(D348="","",D348)&amp;"","")</f>
        <v/>
      </c>
      <c r="L348">
        <f>IFERROR(IF(I348="","",I348)&amp;"","")</f>
        <v/>
      </c>
      <c r="M348">
        <f>IF(J348="","",IFERROR(VALUE(SUBSTITUTE(SUBSTITUTE(IF(E348="","",E348)&amp;"","$",""),",","")),0))</f>
        <v/>
      </c>
      <c r="N348" s="11">
        <f>IF(J348="","",IFERROR(VALUE(SUBSTITUTE(SUBSTITUTE(IF(F348="","",F348)&amp;"","$",""),",","")),0))</f>
        <v/>
      </c>
      <c r="O348" s="11">
        <f>IF(J348="","",M348*N348)</f>
        <v/>
      </c>
      <c r="P348">
        <f>IF(J348="","",IF(L348="",1,COUNTIF($L$2:$L$1501,L348)))</f>
        <v/>
      </c>
      <c r="Q348" s="11">
        <f>IF(J348="","",IFERROR(VALUE(SUBSTITUTE(SUBSTITUTE(IF(G348="","",G348)&amp;"","$",""),",","")),0)/IF("No"="Yes",P348,1))</f>
        <v/>
      </c>
      <c r="R348" s="11">
        <f>IF(J348="","",IFERROR(VALUE(SUBSTITUTE(SUBSTITUTE(IF(H348="","",H348)&amp;"","$",""),",","")),0)/IF("No"="Yes",P348,1))</f>
        <v/>
      </c>
      <c r="S348" s="11">
        <f>IF(J348="","",O348+Q348-R348)</f>
        <v/>
      </c>
      <c r="T348">
        <f>IF(J348="","",IFERROR(IF(K348="",NA(),MATCH(K348,Products!$B$5:$B$204,0)),IFERROR(MATCH(J348,Products!$A$5:$A$204,0),"")))</f>
        <v/>
      </c>
      <c r="U348">
        <f>IF(J348="","",IF(T348="","⚠ not in Products",INDEX(Products!$A$5:$A$204,T348)))</f>
        <v/>
      </c>
      <c r="V348" s="11">
        <f>IF(J348="","",S348*(IFERROR(INDEX(Settings!$B$5:$B$9,MATCH($B348,Settings!$A$5:$A$9,0)),0)+IFERROR(INDEX(Settings!$E$5:$E$9,MATCH($B348,Settings!$A$5:$A$9,0)),0)+IFERROR(INDEX(Settings!$G$5:$G$9,MATCH($B348,Settings!$A$5:$A$9,0)),0))+(IFERROR(INDEX(Settings!$C$5:$C$9,MATCH($B348,Settings!$A$5:$A$9,0)),0)+IFERROR(INDEX(Settings!$F$5:$F$9,MATCH($B348,Settings!$A$5:$A$9,0)),0))/P348+IFERROR(INDEX(Settings!$D$5:$D$9,MATCH($B348,Settings!$A$5:$A$9,0)),0)*M348)</f>
        <v/>
      </c>
      <c r="W348" s="11">
        <f>IF(J348="","",IF(T348="",0,M348*INDEX(Products!$I$5:$I$204,T348)))</f>
        <v/>
      </c>
      <c r="X348" s="11">
        <f>IF(J348="","",IF(T348="",0,S348*INDEX(Products!$H$5:$H$204,T348)))</f>
        <v/>
      </c>
      <c r="Y348" s="11">
        <f>IF(J348="","",S348-V348-W348-X348)</f>
        <v/>
      </c>
    </row>
    <row r="349">
      <c r="A349" s="19" t="n"/>
      <c r="B349" s="19" t="n"/>
      <c r="C349" s="19" t="n"/>
      <c r="D349" s="19" t="n"/>
      <c r="E349" s="19" t="n"/>
      <c r="F349" s="20" t="n"/>
      <c r="G349" s="20" t="n"/>
      <c r="H349" s="20" t="n"/>
      <c r="I349" s="19" t="n"/>
      <c r="J349">
        <f>IFERROR(IF(C349="","",C349)&amp;"","")</f>
        <v/>
      </c>
      <c r="K349">
        <f>IFERROR(IF(D349="","",D349)&amp;"","")</f>
        <v/>
      </c>
      <c r="L349">
        <f>IFERROR(IF(I349="","",I349)&amp;"","")</f>
        <v/>
      </c>
      <c r="M349">
        <f>IF(J349="","",IFERROR(VALUE(SUBSTITUTE(SUBSTITUTE(IF(E349="","",E349)&amp;"","$",""),",","")),0))</f>
        <v/>
      </c>
      <c r="N349" s="11">
        <f>IF(J349="","",IFERROR(VALUE(SUBSTITUTE(SUBSTITUTE(IF(F349="","",F349)&amp;"","$",""),",","")),0))</f>
        <v/>
      </c>
      <c r="O349" s="11">
        <f>IF(J349="","",M349*N349)</f>
        <v/>
      </c>
      <c r="P349">
        <f>IF(J349="","",IF(L349="",1,COUNTIF($L$2:$L$1501,L349)))</f>
        <v/>
      </c>
      <c r="Q349" s="11">
        <f>IF(J349="","",IFERROR(VALUE(SUBSTITUTE(SUBSTITUTE(IF(G349="","",G349)&amp;"","$",""),",","")),0)/IF("No"="Yes",P349,1))</f>
        <v/>
      </c>
      <c r="R349" s="11">
        <f>IF(J349="","",IFERROR(VALUE(SUBSTITUTE(SUBSTITUTE(IF(H349="","",H349)&amp;"","$",""),",","")),0)/IF("No"="Yes",P349,1))</f>
        <v/>
      </c>
      <c r="S349" s="11">
        <f>IF(J349="","",O349+Q349-R349)</f>
        <v/>
      </c>
      <c r="T349">
        <f>IF(J349="","",IFERROR(IF(K349="",NA(),MATCH(K349,Products!$B$5:$B$204,0)),IFERROR(MATCH(J349,Products!$A$5:$A$204,0),"")))</f>
        <v/>
      </c>
      <c r="U349">
        <f>IF(J349="","",IF(T349="","⚠ not in Products",INDEX(Products!$A$5:$A$204,T349)))</f>
        <v/>
      </c>
      <c r="V349" s="11">
        <f>IF(J349="","",S349*(IFERROR(INDEX(Settings!$B$5:$B$9,MATCH($B349,Settings!$A$5:$A$9,0)),0)+IFERROR(INDEX(Settings!$E$5:$E$9,MATCH($B349,Settings!$A$5:$A$9,0)),0)+IFERROR(INDEX(Settings!$G$5:$G$9,MATCH($B349,Settings!$A$5:$A$9,0)),0))+(IFERROR(INDEX(Settings!$C$5:$C$9,MATCH($B349,Settings!$A$5:$A$9,0)),0)+IFERROR(INDEX(Settings!$F$5:$F$9,MATCH($B349,Settings!$A$5:$A$9,0)),0))/P349+IFERROR(INDEX(Settings!$D$5:$D$9,MATCH($B349,Settings!$A$5:$A$9,0)),0)*M349)</f>
        <v/>
      </c>
      <c r="W349" s="11">
        <f>IF(J349="","",IF(T349="",0,M349*INDEX(Products!$I$5:$I$204,T349)))</f>
        <v/>
      </c>
      <c r="X349" s="11">
        <f>IF(J349="","",IF(T349="",0,S349*INDEX(Products!$H$5:$H$204,T349)))</f>
        <v/>
      </c>
      <c r="Y349" s="11">
        <f>IF(J349="","",S349-V349-W349-X349)</f>
        <v/>
      </c>
    </row>
    <row r="350">
      <c r="A350" s="19" t="n"/>
      <c r="B350" s="19" t="n"/>
      <c r="C350" s="19" t="n"/>
      <c r="D350" s="19" t="n"/>
      <c r="E350" s="19" t="n"/>
      <c r="F350" s="20" t="n"/>
      <c r="G350" s="20" t="n"/>
      <c r="H350" s="20" t="n"/>
      <c r="I350" s="19" t="n"/>
      <c r="J350">
        <f>IFERROR(IF(C350="","",C350)&amp;"","")</f>
        <v/>
      </c>
      <c r="K350">
        <f>IFERROR(IF(D350="","",D350)&amp;"","")</f>
        <v/>
      </c>
      <c r="L350">
        <f>IFERROR(IF(I350="","",I350)&amp;"","")</f>
        <v/>
      </c>
      <c r="M350">
        <f>IF(J350="","",IFERROR(VALUE(SUBSTITUTE(SUBSTITUTE(IF(E350="","",E350)&amp;"","$",""),",","")),0))</f>
        <v/>
      </c>
      <c r="N350" s="11">
        <f>IF(J350="","",IFERROR(VALUE(SUBSTITUTE(SUBSTITUTE(IF(F350="","",F350)&amp;"","$",""),",","")),0))</f>
        <v/>
      </c>
      <c r="O350" s="11">
        <f>IF(J350="","",M350*N350)</f>
        <v/>
      </c>
      <c r="P350">
        <f>IF(J350="","",IF(L350="",1,COUNTIF($L$2:$L$1501,L350)))</f>
        <v/>
      </c>
      <c r="Q350" s="11">
        <f>IF(J350="","",IFERROR(VALUE(SUBSTITUTE(SUBSTITUTE(IF(G350="","",G350)&amp;"","$",""),",","")),0)/IF("No"="Yes",P350,1))</f>
        <v/>
      </c>
      <c r="R350" s="11">
        <f>IF(J350="","",IFERROR(VALUE(SUBSTITUTE(SUBSTITUTE(IF(H350="","",H350)&amp;"","$",""),",","")),0)/IF("No"="Yes",P350,1))</f>
        <v/>
      </c>
      <c r="S350" s="11">
        <f>IF(J350="","",O350+Q350-R350)</f>
        <v/>
      </c>
      <c r="T350">
        <f>IF(J350="","",IFERROR(IF(K350="",NA(),MATCH(K350,Products!$B$5:$B$204,0)),IFERROR(MATCH(J350,Products!$A$5:$A$204,0),"")))</f>
        <v/>
      </c>
      <c r="U350">
        <f>IF(J350="","",IF(T350="","⚠ not in Products",INDEX(Products!$A$5:$A$204,T350)))</f>
        <v/>
      </c>
      <c r="V350" s="11">
        <f>IF(J350="","",S350*(IFERROR(INDEX(Settings!$B$5:$B$9,MATCH($B350,Settings!$A$5:$A$9,0)),0)+IFERROR(INDEX(Settings!$E$5:$E$9,MATCH($B350,Settings!$A$5:$A$9,0)),0)+IFERROR(INDEX(Settings!$G$5:$G$9,MATCH($B350,Settings!$A$5:$A$9,0)),0))+(IFERROR(INDEX(Settings!$C$5:$C$9,MATCH($B350,Settings!$A$5:$A$9,0)),0)+IFERROR(INDEX(Settings!$F$5:$F$9,MATCH($B350,Settings!$A$5:$A$9,0)),0))/P350+IFERROR(INDEX(Settings!$D$5:$D$9,MATCH($B350,Settings!$A$5:$A$9,0)),0)*M350)</f>
        <v/>
      </c>
      <c r="W350" s="11">
        <f>IF(J350="","",IF(T350="",0,M350*INDEX(Products!$I$5:$I$204,T350)))</f>
        <v/>
      </c>
      <c r="X350" s="11">
        <f>IF(J350="","",IF(T350="",0,S350*INDEX(Products!$H$5:$H$204,T350)))</f>
        <v/>
      </c>
      <c r="Y350" s="11">
        <f>IF(J350="","",S350-V350-W350-X350)</f>
        <v/>
      </c>
    </row>
    <row r="351">
      <c r="A351" s="19" t="n"/>
      <c r="B351" s="19" t="n"/>
      <c r="C351" s="19" t="n"/>
      <c r="D351" s="19" t="n"/>
      <c r="E351" s="19" t="n"/>
      <c r="F351" s="20" t="n"/>
      <c r="G351" s="20" t="n"/>
      <c r="H351" s="20" t="n"/>
      <c r="I351" s="19" t="n"/>
      <c r="J351">
        <f>IFERROR(IF(C351="","",C351)&amp;"","")</f>
        <v/>
      </c>
      <c r="K351">
        <f>IFERROR(IF(D351="","",D351)&amp;"","")</f>
        <v/>
      </c>
      <c r="L351">
        <f>IFERROR(IF(I351="","",I351)&amp;"","")</f>
        <v/>
      </c>
      <c r="M351">
        <f>IF(J351="","",IFERROR(VALUE(SUBSTITUTE(SUBSTITUTE(IF(E351="","",E351)&amp;"","$",""),",","")),0))</f>
        <v/>
      </c>
      <c r="N351" s="11">
        <f>IF(J351="","",IFERROR(VALUE(SUBSTITUTE(SUBSTITUTE(IF(F351="","",F351)&amp;"","$",""),",","")),0))</f>
        <v/>
      </c>
      <c r="O351" s="11">
        <f>IF(J351="","",M351*N351)</f>
        <v/>
      </c>
      <c r="P351">
        <f>IF(J351="","",IF(L351="",1,COUNTIF($L$2:$L$1501,L351)))</f>
        <v/>
      </c>
      <c r="Q351" s="11">
        <f>IF(J351="","",IFERROR(VALUE(SUBSTITUTE(SUBSTITUTE(IF(G351="","",G351)&amp;"","$",""),",","")),0)/IF("No"="Yes",P351,1))</f>
        <v/>
      </c>
      <c r="R351" s="11">
        <f>IF(J351="","",IFERROR(VALUE(SUBSTITUTE(SUBSTITUTE(IF(H351="","",H351)&amp;"","$",""),",","")),0)/IF("No"="Yes",P351,1))</f>
        <v/>
      </c>
      <c r="S351" s="11">
        <f>IF(J351="","",O351+Q351-R351)</f>
        <v/>
      </c>
      <c r="T351">
        <f>IF(J351="","",IFERROR(IF(K351="",NA(),MATCH(K351,Products!$B$5:$B$204,0)),IFERROR(MATCH(J351,Products!$A$5:$A$204,0),"")))</f>
        <v/>
      </c>
      <c r="U351">
        <f>IF(J351="","",IF(T351="","⚠ not in Products",INDEX(Products!$A$5:$A$204,T351)))</f>
        <v/>
      </c>
      <c r="V351" s="11">
        <f>IF(J351="","",S351*(IFERROR(INDEX(Settings!$B$5:$B$9,MATCH($B351,Settings!$A$5:$A$9,0)),0)+IFERROR(INDEX(Settings!$E$5:$E$9,MATCH($B351,Settings!$A$5:$A$9,0)),0)+IFERROR(INDEX(Settings!$G$5:$G$9,MATCH($B351,Settings!$A$5:$A$9,0)),0))+(IFERROR(INDEX(Settings!$C$5:$C$9,MATCH($B351,Settings!$A$5:$A$9,0)),0)+IFERROR(INDEX(Settings!$F$5:$F$9,MATCH($B351,Settings!$A$5:$A$9,0)),0))/P351+IFERROR(INDEX(Settings!$D$5:$D$9,MATCH($B351,Settings!$A$5:$A$9,0)),0)*M351)</f>
        <v/>
      </c>
      <c r="W351" s="11">
        <f>IF(J351="","",IF(T351="",0,M351*INDEX(Products!$I$5:$I$204,T351)))</f>
        <v/>
      </c>
      <c r="X351" s="11">
        <f>IF(J351="","",IF(T351="",0,S351*INDEX(Products!$H$5:$H$204,T351)))</f>
        <v/>
      </c>
      <c r="Y351" s="11">
        <f>IF(J351="","",S351-V351-W351-X351)</f>
        <v/>
      </c>
    </row>
    <row r="352">
      <c r="A352" s="19" t="n"/>
      <c r="B352" s="19" t="n"/>
      <c r="C352" s="19" t="n"/>
      <c r="D352" s="19" t="n"/>
      <c r="E352" s="19" t="n"/>
      <c r="F352" s="20" t="n"/>
      <c r="G352" s="20" t="n"/>
      <c r="H352" s="20" t="n"/>
      <c r="I352" s="19" t="n"/>
      <c r="J352">
        <f>IFERROR(IF(C352="","",C352)&amp;"","")</f>
        <v/>
      </c>
      <c r="K352">
        <f>IFERROR(IF(D352="","",D352)&amp;"","")</f>
        <v/>
      </c>
      <c r="L352">
        <f>IFERROR(IF(I352="","",I352)&amp;"","")</f>
        <v/>
      </c>
      <c r="M352">
        <f>IF(J352="","",IFERROR(VALUE(SUBSTITUTE(SUBSTITUTE(IF(E352="","",E352)&amp;"","$",""),",","")),0))</f>
        <v/>
      </c>
      <c r="N352" s="11">
        <f>IF(J352="","",IFERROR(VALUE(SUBSTITUTE(SUBSTITUTE(IF(F352="","",F352)&amp;"","$",""),",","")),0))</f>
        <v/>
      </c>
      <c r="O352" s="11">
        <f>IF(J352="","",M352*N352)</f>
        <v/>
      </c>
      <c r="P352">
        <f>IF(J352="","",IF(L352="",1,COUNTIF($L$2:$L$1501,L352)))</f>
        <v/>
      </c>
      <c r="Q352" s="11">
        <f>IF(J352="","",IFERROR(VALUE(SUBSTITUTE(SUBSTITUTE(IF(G352="","",G352)&amp;"","$",""),",","")),0)/IF("No"="Yes",P352,1))</f>
        <v/>
      </c>
      <c r="R352" s="11">
        <f>IF(J352="","",IFERROR(VALUE(SUBSTITUTE(SUBSTITUTE(IF(H352="","",H352)&amp;"","$",""),",","")),0)/IF("No"="Yes",P352,1))</f>
        <v/>
      </c>
      <c r="S352" s="11">
        <f>IF(J352="","",O352+Q352-R352)</f>
        <v/>
      </c>
      <c r="T352">
        <f>IF(J352="","",IFERROR(IF(K352="",NA(),MATCH(K352,Products!$B$5:$B$204,0)),IFERROR(MATCH(J352,Products!$A$5:$A$204,0),"")))</f>
        <v/>
      </c>
      <c r="U352">
        <f>IF(J352="","",IF(T352="","⚠ not in Products",INDEX(Products!$A$5:$A$204,T352)))</f>
        <v/>
      </c>
      <c r="V352" s="11">
        <f>IF(J352="","",S352*(IFERROR(INDEX(Settings!$B$5:$B$9,MATCH($B352,Settings!$A$5:$A$9,0)),0)+IFERROR(INDEX(Settings!$E$5:$E$9,MATCH($B352,Settings!$A$5:$A$9,0)),0)+IFERROR(INDEX(Settings!$G$5:$G$9,MATCH($B352,Settings!$A$5:$A$9,0)),0))+(IFERROR(INDEX(Settings!$C$5:$C$9,MATCH($B352,Settings!$A$5:$A$9,0)),0)+IFERROR(INDEX(Settings!$F$5:$F$9,MATCH($B352,Settings!$A$5:$A$9,0)),0))/P352+IFERROR(INDEX(Settings!$D$5:$D$9,MATCH($B352,Settings!$A$5:$A$9,0)),0)*M352)</f>
        <v/>
      </c>
      <c r="W352" s="11">
        <f>IF(J352="","",IF(T352="",0,M352*INDEX(Products!$I$5:$I$204,T352)))</f>
        <v/>
      </c>
      <c r="X352" s="11">
        <f>IF(J352="","",IF(T352="",0,S352*INDEX(Products!$H$5:$H$204,T352)))</f>
        <v/>
      </c>
      <c r="Y352" s="11">
        <f>IF(J352="","",S352-V352-W352-X352)</f>
        <v/>
      </c>
    </row>
    <row r="353">
      <c r="A353" s="19" t="n"/>
      <c r="B353" s="19" t="n"/>
      <c r="C353" s="19" t="n"/>
      <c r="D353" s="19" t="n"/>
      <c r="E353" s="19" t="n"/>
      <c r="F353" s="20" t="n"/>
      <c r="G353" s="20" t="n"/>
      <c r="H353" s="20" t="n"/>
      <c r="I353" s="19" t="n"/>
      <c r="J353">
        <f>IFERROR(IF(C353="","",C353)&amp;"","")</f>
        <v/>
      </c>
      <c r="K353">
        <f>IFERROR(IF(D353="","",D353)&amp;"","")</f>
        <v/>
      </c>
      <c r="L353">
        <f>IFERROR(IF(I353="","",I353)&amp;"","")</f>
        <v/>
      </c>
      <c r="M353">
        <f>IF(J353="","",IFERROR(VALUE(SUBSTITUTE(SUBSTITUTE(IF(E353="","",E353)&amp;"","$",""),",","")),0))</f>
        <v/>
      </c>
      <c r="N353" s="11">
        <f>IF(J353="","",IFERROR(VALUE(SUBSTITUTE(SUBSTITUTE(IF(F353="","",F353)&amp;"","$",""),",","")),0))</f>
        <v/>
      </c>
      <c r="O353" s="11">
        <f>IF(J353="","",M353*N353)</f>
        <v/>
      </c>
      <c r="P353">
        <f>IF(J353="","",IF(L353="",1,COUNTIF($L$2:$L$1501,L353)))</f>
        <v/>
      </c>
      <c r="Q353" s="11">
        <f>IF(J353="","",IFERROR(VALUE(SUBSTITUTE(SUBSTITUTE(IF(G353="","",G353)&amp;"","$",""),",","")),0)/IF("No"="Yes",P353,1))</f>
        <v/>
      </c>
      <c r="R353" s="11">
        <f>IF(J353="","",IFERROR(VALUE(SUBSTITUTE(SUBSTITUTE(IF(H353="","",H353)&amp;"","$",""),",","")),0)/IF("No"="Yes",P353,1))</f>
        <v/>
      </c>
      <c r="S353" s="11">
        <f>IF(J353="","",O353+Q353-R353)</f>
        <v/>
      </c>
      <c r="T353">
        <f>IF(J353="","",IFERROR(IF(K353="",NA(),MATCH(K353,Products!$B$5:$B$204,0)),IFERROR(MATCH(J353,Products!$A$5:$A$204,0),"")))</f>
        <v/>
      </c>
      <c r="U353">
        <f>IF(J353="","",IF(T353="","⚠ not in Products",INDEX(Products!$A$5:$A$204,T353)))</f>
        <v/>
      </c>
      <c r="V353" s="11">
        <f>IF(J353="","",S353*(IFERROR(INDEX(Settings!$B$5:$B$9,MATCH($B353,Settings!$A$5:$A$9,0)),0)+IFERROR(INDEX(Settings!$E$5:$E$9,MATCH($B353,Settings!$A$5:$A$9,0)),0)+IFERROR(INDEX(Settings!$G$5:$G$9,MATCH($B353,Settings!$A$5:$A$9,0)),0))+(IFERROR(INDEX(Settings!$C$5:$C$9,MATCH($B353,Settings!$A$5:$A$9,0)),0)+IFERROR(INDEX(Settings!$F$5:$F$9,MATCH($B353,Settings!$A$5:$A$9,0)),0))/P353+IFERROR(INDEX(Settings!$D$5:$D$9,MATCH($B353,Settings!$A$5:$A$9,0)),0)*M353)</f>
        <v/>
      </c>
      <c r="W353" s="11">
        <f>IF(J353="","",IF(T353="",0,M353*INDEX(Products!$I$5:$I$204,T353)))</f>
        <v/>
      </c>
      <c r="X353" s="11">
        <f>IF(J353="","",IF(T353="",0,S353*INDEX(Products!$H$5:$H$204,T353)))</f>
        <v/>
      </c>
      <c r="Y353" s="11">
        <f>IF(J353="","",S353-V353-W353-X353)</f>
        <v/>
      </c>
    </row>
    <row r="354">
      <c r="A354" s="19" t="n"/>
      <c r="B354" s="19" t="n"/>
      <c r="C354" s="19" t="n"/>
      <c r="D354" s="19" t="n"/>
      <c r="E354" s="19" t="n"/>
      <c r="F354" s="20" t="n"/>
      <c r="G354" s="20" t="n"/>
      <c r="H354" s="20" t="n"/>
      <c r="I354" s="19" t="n"/>
      <c r="J354">
        <f>IFERROR(IF(C354="","",C354)&amp;"","")</f>
        <v/>
      </c>
      <c r="K354">
        <f>IFERROR(IF(D354="","",D354)&amp;"","")</f>
        <v/>
      </c>
      <c r="L354">
        <f>IFERROR(IF(I354="","",I354)&amp;"","")</f>
        <v/>
      </c>
      <c r="M354">
        <f>IF(J354="","",IFERROR(VALUE(SUBSTITUTE(SUBSTITUTE(IF(E354="","",E354)&amp;"","$",""),",","")),0))</f>
        <v/>
      </c>
      <c r="N354" s="11">
        <f>IF(J354="","",IFERROR(VALUE(SUBSTITUTE(SUBSTITUTE(IF(F354="","",F354)&amp;"","$",""),",","")),0))</f>
        <v/>
      </c>
      <c r="O354" s="11">
        <f>IF(J354="","",M354*N354)</f>
        <v/>
      </c>
      <c r="P354">
        <f>IF(J354="","",IF(L354="",1,COUNTIF($L$2:$L$1501,L354)))</f>
        <v/>
      </c>
      <c r="Q354" s="11">
        <f>IF(J354="","",IFERROR(VALUE(SUBSTITUTE(SUBSTITUTE(IF(G354="","",G354)&amp;"","$",""),",","")),0)/IF("No"="Yes",P354,1))</f>
        <v/>
      </c>
      <c r="R354" s="11">
        <f>IF(J354="","",IFERROR(VALUE(SUBSTITUTE(SUBSTITUTE(IF(H354="","",H354)&amp;"","$",""),",","")),0)/IF("No"="Yes",P354,1))</f>
        <v/>
      </c>
      <c r="S354" s="11">
        <f>IF(J354="","",O354+Q354-R354)</f>
        <v/>
      </c>
      <c r="T354">
        <f>IF(J354="","",IFERROR(IF(K354="",NA(),MATCH(K354,Products!$B$5:$B$204,0)),IFERROR(MATCH(J354,Products!$A$5:$A$204,0),"")))</f>
        <v/>
      </c>
      <c r="U354">
        <f>IF(J354="","",IF(T354="","⚠ not in Products",INDEX(Products!$A$5:$A$204,T354)))</f>
        <v/>
      </c>
      <c r="V354" s="11">
        <f>IF(J354="","",S354*(IFERROR(INDEX(Settings!$B$5:$B$9,MATCH($B354,Settings!$A$5:$A$9,0)),0)+IFERROR(INDEX(Settings!$E$5:$E$9,MATCH($B354,Settings!$A$5:$A$9,0)),0)+IFERROR(INDEX(Settings!$G$5:$G$9,MATCH($B354,Settings!$A$5:$A$9,0)),0))+(IFERROR(INDEX(Settings!$C$5:$C$9,MATCH($B354,Settings!$A$5:$A$9,0)),0)+IFERROR(INDEX(Settings!$F$5:$F$9,MATCH($B354,Settings!$A$5:$A$9,0)),0))/P354+IFERROR(INDEX(Settings!$D$5:$D$9,MATCH($B354,Settings!$A$5:$A$9,0)),0)*M354)</f>
        <v/>
      </c>
      <c r="W354" s="11">
        <f>IF(J354="","",IF(T354="",0,M354*INDEX(Products!$I$5:$I$204,T354)))</f>
        <v/>
      </c>
      <c r="X354" s="11">
        <f>IF(J354="","",IF(T354="",0,S354*INDEX(Products!$H$5:$H$204,T354)))</f>
        <v/>
      </c>
      <c r="Y354" s="11">
        <f>IF(J354="","",S354-V354-W354-X354)</f>
        <v/>
      </c>
    </row>
    <row r="355">
      <c r="A355" s="19" t="n"/>
      <c r="B355" s="19" t="n"/>
      <c r="C355" s="19" t="n"/>
      <c r="D355" s="19" t="n"/>
      <c r="E355" s="19" t="n"/>
      <c r="F355" s="20" t="n"/>
      <c r="G355" s="20" t="n"/>
      <c r="H355" s="20" t="n"/>
      <c r="I355" s="19" t="n"/>
      <c r="J355">
        <f>IFERROR(IF(C355="","",C355)&amp;"","")</f>
        <v/>
      </c>
      <c r="K355">
        <f>IFERROR(IF(D355="","",D355)&amp;"","")</f>
        <v/>
      </c>
      <c r="L355">
        <f>IFERROR(IF(I355="","",I355)&amp;"","")</f>
        <v/>
      </c>
      <c r="M355">
        <f>IF(J355="","",IFERROR(VALUE(SUBSTITUTE(SUBSTITUTE(IF(E355="","",E355)&amp;"","$",""),",","")),0))</f>
        <v/>
      </c>
      <c r="N355" s="11">
        <f>IF(J355="","",IFERROR(VALUE(SUBSTITUTE(SUBSTITUTE(IF(F355="","",F355)&amp;"","$",""),",","")),0))</f>
        <v/>
      </c>
      <c r="O355" s="11">
        <f>IF(J355="","",M355*N355)</f>
        <v/>
      </c>
      <c r="P355">
        <f>IF(J355="","",IF(L355="",1,COUNTIF($L$2:$L$1501,L355)))</f>
        <v/>
      </c>
      <c r="Q355" s="11">
        <f>IF(J355="","",IFERROR(VALUE(SUBSTITUTE(SUBSTITUTE(IF(G355="","",G355)&amp;"","$",""),",","")),0)/IF("No"="Yes",P355,1))</f>
        <v/>
      </c>
      <c r="R355" s="11">
        <f>IF(J355="","",IFERROR(VALUE(SUBSTITUTE(SUBSTITUTE(IF(H355="","",H355)&amp;"","$",""),",","")),0)/IF("No"="Yes",P355,1))</f>
        <v/>
      </c>
      <c r="S355" s="11">
        <f>IF(J355="","",O355+Q355-R355)</f>
        <v/>
      </c>
      <c r="T355">
        <f>IF(J355="","",IFERROR(IF(K355="",NA(),MATCH(K355,Products!$B$5:$B$204,0)),IFERROR(MATCH(J355,Products!$A$5:$A$204,0),"")))</f>
        <v/>
      </c>
      <c r="U355">
        <f>IF(J355="","",IF(T355="","⚠ not in Products",INDEX(Products!$A$5:$A$204,T355)))</f>
        <v/>
      </c>
      <c r="V355" s="11">
        <f>IF(J355="","",S355*(IFERROR(INDEX(Settings!$B$5:$B$9,MATCH($B355,Settings!$A$5:$A$9,0)),0)+IFERROR(INDEX(Settings!$E$5:$E$9,MATCH($B355,Settings!$A$5:$A$9,0)),0)+IFERROR(INDEX(Settings!$G$5:$G$9,MATCH($B355,Settings!$A$5:$A$9,0)),0))+(IFERROR(INDEX(Settings!$C$5:$C$9,MATCH($B355,Settings!$A$5:$A$9,0)),0)+IFERROR(INDEX(Settings!$F$5:$F$9,MATCH($B355,Settings!$A$5:$A$9,0)),0))/P355+IFERROR(INDEX(Settings!$D$5:$D$9,MATCH($B355,Settings!$A$5:$A$9,0)),0)*M355)</f>
        <v/>
      </c>
      <c r="W355" s="11">
        <f>IF(J355="","",IF(T355="",0,M355*INDEX(Products!$I$5:$I$204,T355)))</f>
        <v/>
      </c>
      <c r="X355" s="11">
        <f>IF(J355="","",IF(T355="",0,S355*INDEX(Products!$H$5:$H$204,T355)))</f>
        <v/>
      </c>
      <c r="Y355" s="11">
        <f>IF(J355="","",S355-V355-W355-X355)</f>
        <v/>
      </c>
    </row>
    <row r="356">
      <c r="A356" s="19" t="n"/>
      <c r="B356" s="19" t="n"/>
      <c r="C356" s="19" t="n"/>
      <c r="D356" s="19" t="n"/>
      <c r="E356" s="19" t="n"/>
      <c r="F356" s="20" t="n"/>
      <c r="G356" s="20" t="n"/>
      <c r="H356" s="20" t="n"/>
      <c r="I356" s="19" t="n"/>
      <c r="J356">
        <f>IFERROR(IF(C356="","",C356)&amp;"","")</f>
        <v/>
      </c>
      <c r="K356">
        <f>IFERROR(IF(D356="","",D356)&amp;"","")</f>
        <v/>
      </c>
      <c r="L356">
        <f>IFERROR(IF(I356="","",I356)&amp;"","")</f>
        <v/>
      </c>
      <c r="M356">
        <f>IF(J356="","",IFERROR(VALUE(SUBSTITUTE(SUBSTITUTE(IF(E356="","",E356)&amp;"","$",""),",","")),0))</f>
        <v/>
      </c>
      <c r="N356" s="11">
        <f>IF(J356="","",IFERROR(VALUE(SUBSTITUTE(SUBSTITUTE(IF(F356="","",F356)&amp;"","$",""),",","")),0))</f>
        <v/>
      </c>
      <c r="O356" s="11">
        <f>IF(J356="","",M356*N356)</f>
        <v/>
      </c>
      <c r="P356">
        <f>IF(J356="","",IF(L356="",1,COUNTIF($L$2:$L$1501,L356)))</f>
        <v/>
      </c>
      <c r="Q356" s="11">
        <f>IF(J356="","",IFERROR(VALUE(SUBSTITUTE(SUBSTITUTE(IF(G356="","",G356)&amp;"","$",""),",","")),0)/IF("No"="Yes",P356,1))</f>
        <v/>
      </c>
      <c r="R356" s="11">
        <f>IF(J356="","",IFERROR(VALUE(SUBSTITUTE(SUBSTITUTE(IF(H356="","",H356)&amp;"","$",""),",","")),0)/IF("No"="Yes",P356,1))</f>
        <v/>
      </c>
      <c r="S356" s="11">
        <f>IF(J356="","",O356+Q356-R356)</f>
        <v/>
      </c>
      <c r="T356">
        <f>IF(J356="","",IFERROR(IF(K356="",NA(),MATCH(K356,Products!$B$5:$B$204,0)),IFERROR(MATCH(J356,Products!$A$5:$A$204,0),"")))</f>
        <v/>
      </c>
      <c r="U356">
        <f>IF(J356="","",IF(T356="","⚠ not in Products",INDEX(Products!$A$5:$A$204,T356)))</f>
        <v/>
      </c>
      <c r="V356" s="11">
        <f>IF(J356="","",S356*(IFERROR(INDEX(Settings!$B$5:$B$9,MATCH($B356,Settings!$A$5:$A$9,0)),0)+IFERROR(INDEX(Settings!$E$5:$E$9,MATCH($B356,Settings!$A$5:$A$9,0)),0)+IFERROR(INDEX(Settings!$G$5:$G$9,MATCH($B356,Settings!$A$5:$A$9,0)),0))+(IFERROR(INDEX(Settings!$C$5:$C$9,MATCH($B356,Settings!$A$5:$A$9,0)),0)+IFERROR(INDEX(Settings!$F$5:$F$9,MATCH($B356,Settings!$A$5:$A$9,0)),0))/P356+IFERROR(INDEX(Settings!$D$5:$D$9,MATCH($B356,Settings!$A$5:$A$9,0)),0)*M356)</f>
        <v/>
      </c>
      <c r="W356" s="11">
        <f>IF(J356="","",IF(T356="",0,M356*INDEX(Products!$I$5:$I$204,T356)))</f>
        <v/>
      </c>
      <c r="X356" s="11">
        <f>IF(J356="","",IF(T356="",0,S356*INDEX(Products!$H$5:$H$204,T356)))</f>
        <v/>
      </c>
      <c r="Y356" s="11">
        <f>IF(J356="","",S356-V356-W356-X356)</f>
        <v/>
      </c>
    </row>
    <row r="357">
      <c r="A357" s="19" t="n"/>
      <c r="B357" s="19" t="n"/>
      <c r="C357" s="19" t="n"/>
      <c r="D357" s="19" t="n"/>
      <c r="E357" s="19" t="n"/>
      <c r="F357" s="20" t="n"/>
      <c r="G357" s="20" t="n"/>
      <c r="H357" s="20" t="n"/>
      <c r="I357" s="19" t="n"/>
      <c r="J357">
        <f>IFERROR(IF(C357="","",C357)&amp;"","")</f>
        <v/>
      </c>
      <c r="K357">
        <f>IFERROR(IF(D357="","",D357)&amp;"","")</f>
        <v/>
      </c>
      <c r="L357">
        <f>IFERROR(IF(I357="","",I357)&amp;"","")</f>
        <v/>
      </c>
      <c r="M357">
        <f>IF(J357="","",IFERROR(VALUE(SUBSTITUTE(SUBSTITUTE(IF(E357="","",E357)&amp;"","$",""),",","")),0))</f>
        <v/>
      </c>
      <c r="N357" s="11">
        <f>IF(J357="","",IFERROR(VALUE(SUBSTITUTE(SUBSTITUTE(IF(F357="","",F357)&amp;"","$",""),",","")),0))</f>
        <v/>
      </c>
      <c r="O357" s="11">
        <f>IF(J357="","",M357*N357)</f>
        <v/>
      </c>
      <c r="P357">
        <f>IF(J357="","",IF(L357="",1,COUNTIF($L$2:$L$1501,L357)))</f>
        <v/>
      </c>
      <c r="Q357" s="11">
        <f>IF(J357="","",IFERROR(VALUE(SUBSTITUTE(SUBSTITUTE(IF(G357="","",G357)&amp;"","$",""),",","")),0)/IF("No"="Yes",P357,1))</f>
        <v/>
      </c>
      <c r="R357" s="11">
        <f>IF(J357="","",IFERROR(VALUE(SUBSTITUTE(SUBSTITUTE(IF(H357="","",H357)&amp;"","$",""),",","")),0)/IF("No"="Yes",P357,1))</f>
        <v/>
      </c>
      <c r="S357" s="11">
        <f>IF(J357="","",O357+Q357-R357)</f>
        <v/>
      </c>
      <c r="T357">
        <f>IF(J357="","",IFERROR(IF(K357="",NA(),MATCH(K357,Products!$B$5:$B$204,0)),IFERROR(MATCH(J357,Products!$A$5:$A$204,0),"")))</f>
        <v/>
      </c>
      <c r="U357">
        <f>IF(J357="","",IF(T357="","⚠ not in Products",INDEX(Products!$A$5:$A$204,T357)))</f>
        <v/>
      </c>
      <c r="V357" s="11">
        <f>IF(J357="","",S357*(IFERROR(INDEX(Settings!$B$5:$B$9,MATCH($B357,Settings!$A$5:$A$9,0)),0)+IFERROR(INDEX(Settings!$E$5:$E$9,MATCH($B357,Settings!$A$5:$A$9,0)),0)+IFERROR(INDEX(Settings!$G$5:$G$9,MATCH($B357,Settings!$A$5:$A$9,0)),0))+(IFERROR(INDEX(Settings!$C$5:$C$9,MATCH($B357,Settings!$A$5:$A$9,0)),0)+IFERROR(INDEX(Settings!$F$5:$F$9,MATCH($B357,Settings!$A$5:$A$9,0)),0))/P357+IFERROR(INDEX(Settings!$D$5:$D$9,MATCH($B357,Settings!$A$5:$A$9,0)),0)*M357)</f>
        <v/>
      </c>
      <c r="W357" s="11">
        <f>IF(J357="","",IF(T357="",0,M357*INDEX(Products!$I$5:$I$204,T357)))</f>
        <v/>
      </c>
      <c r="X357" s="11">
        <f>IF(J357="","",IF(T357="",0,S357*INDEX(Products!$H$5:$H$204,T357)))</f>
        <v/>
      </c>
      <c r="Y357" s="11">
        <f>IF(J357="","",S357-V357-W357-X357)</f>
        <v/>
      </c>
    </row>
    <row r="358">
      <c r="A358" s="19" t="n"/>
      <c r="B358" s="19" t="n"/>
      <c r="C358" s="19" t="n"/>
      <c r="D358" s="19" t="n"/>
      <c r="E358" s="19" t="n"/>
      <c r="F358" s="20" t="n"/>
      <c r="G358" s="20" t="n"/>
      <c r="H358" s="20" t="n"/>
      <c r="I358" s="19" t="n"/>
      <c r="J358">
        <f>IFERROR(IF(C358="","",C358)&amp;"","")</f>
        <v/>
      </c>
      <c r="K358">
        <f>IFERROR(IF(D358="","",D358)&amp;"","")</f>
        <v/>
      </c>
      <c r="L358">
        <f>IFERROR(IF(I358="","",I358)&amp;"","")</f>
        <v/>
      </c>
      <c r="M358">
        <f>IF(J358="","",IFERROR(VALUE(SUBSTITUTE(SUBSTITUTE(IF(E358="","",E358)&amp;"","$",""),",","")),0))</f>
        <v/>
      </c>
      <c r="N358" s="11">
        <f>IF(J358="","",IFERROR(VALUE(SUBSTITUTE(SUBSTITUTE(IF(F358="","",F358)&amp;"","$",""),",","")),0))</f>
        <v/>
      </c>
      <c r="O358" s="11">
        <f>IF(J358="","",M358*N358)</f>
        <v/>
      </c>
      <c r="P358">
        <f>IF(J358="","",IF(L358="",1,COUNTIF($L$2:$L$1501,L358)))</f>
        <v/>
      </c>
      <c r="Q358" s="11">
        <f>IF(J358="","",IFERROR(VALUE(SUBSTITUTE(SUBSTITUTE(IF(G358="","",G358)&amp;"","$",""),",","")),0)/IF("No"="Yes",P358,1))</f>
        <v/>
      </c>
      <c r="R358" s="11">
        <f>IF(J358="","",IFERROR(VALUE(SUBSTITUTE(SUBSTITUTE(IF(H358="","",H358)&amp;"","$",""),",","")),0)/IF("No"="Yes",P358,1))</f>
        <v/>
      </c>
      <c r="S358" s="11">
        <f>IF(J358="","",O358+Q358-R358)</f>
        <v/>
      </c>
      <c r="T358">
        <f>IF(J358="","",IFERROR(IF(K358="",NA(),MATCH(K358,Products!$B$5:$B$204,0)),IFERROR(MATCH(J358,Products!$A$5:$A$204,0),"")))</f>
        <v/>
      </c>
      <c r="U358">
        <f>IF(J358="","",IF(T358="","⚠ not in Products",INDEX(Products!$A$5:$A$204,T358)))</f>
        <v/>
      </c>
      <c r="V358" s="11">
        <f>IF(J358="","",S358*(IFERROR(INDEX(Settings!$B$5:$B$9,MATCH($B358,Settings!$A$5:$A$9,0)),0)+IFERROR(INDEX(Settings!$E$5:$E$9,MATCH($B358,Settings!$A$5:$A$9,0)),0)+IFERROR(INDEX(Settings!$G$5:$G$9,MATCH($B358,Settings!$A$5:$A$9,0)),0))+(IFERROR(INDEX(Settings!$C$5:$C$9,MATCH($B358,Settings!$A$5:$A$9,0)),0)+IFERROR(INDEX(Settings!$F$5:$F$9,MATCH($B358,Settings!$A$5:$A$9,0)),0))/P358+IFERROR(INDEX(Settings!$D$5:$D$9,MATCH($B358,Settings!$A$5:$A$9,0)),0)*M358)</f>
        <v/>
      </c>
      <c r="W358" s="11">
        <f>IF(J358="","",IF(T358="",0,M358*INDEX(Products!$I$5:$I$204,T358)))</f>
        <v/>
      </c>
      <c r="X358" s="11">
        <f>IF(J358="","",IF(T358="",0,S358*INDEX(Products!$H$5:$H$204,T358)))</f>
        <v/>
      </c>
      <c r="Y358" s="11">
        <f>IF(J358="","",S358-V358-W358-X358)</f>
        <v/>
      </c>
    </row>
    <row r="359">
      <c r="A359" s="19" t="n"/>
      <c r="B359" s="19" t="n"/>
      <c r="C359" s="19" t="n"/>
      <c r="D359" s="19" t="n"/>
      <c r="E359" s="19" t="n"/>
      <c r="F359" s="20" t="n"/>
      <c r="G359" s="20" t="n"/>
      <c r="H359" s="20" t="n"/>
      <c r="I359" s="19" t="n"/>
      <c r="J359">
        <f>IFERROR(IF(C359="","",C359)&amp;"","")</f>
        <v/>
      </c>
      <c r="K359">
        <f>IFERROR(IF(D359="","",D359)&amp;"","")</f>
        <v/>
      </c>
      <c r="L359">
        <f>IFERROR(IF(I359="","",I359)&amp;"","")</f>
        <v/>
      </c>
      <c r="M359">
        <f>IF(J359="","",IFERROR(VALUE(SUBSTITUTE(SUBSTITUTE(IF(E359="","",E359)&amp;"","$",""),",","")),0))</f>
        <v/>
      </c>
      <c r="N359" s="11">
        <f>IF(J359="","",IFERROR(VALUE(SUBSTITUTE(SUBSTITUTE(IF(F359="","",F359)&amp;"","$",""),",","")),0))</f>
        <v/>
      </c>
      <c r="O359" s="11">
        <f>IF(J359="","",M359*N359)</f>
        <v/>
      </c>
      <c r="P359">
        <f>IF(J359="","",IF(L359="",1,COUNTIF($L$2:$L$1501,L359)))</f>
        <v/>
      </c>
      <c r="Q359" s="11">
        <f>IF(J359="","",IFERROR(VALUE(SUBSTITUTE(SUBSTITUTE(IF(G359="","",G359)&amp;"","$",""),",","")),0)/IF("No"="Yes",P359,1))</f>
        <v/>
      </c>
      <c r="R359" s="11">
        <f>IF(J359="","",IFERROR(VALUE(SUBSTITUTE(SUBSTITUTE(IF(H359="","",H359)&amp;"","$",""),",","")),0)/IF("No"="Yes",P359,1))</f>
        <v/>
      </c>
      <c r="S359" s="11">
        <f>IF(J359="","",O359+Q359-R359)</f>
        <v/>
      </c>
      <c r="T359">
        <f>IF(J359="","",IFERROR(IF(K359="",NA(),MATCH(K359,Products!$B$5:$B$204,0)),IFERROR(MATCH(J359,Products!$A$5:$A$204,0),"")))</f>
        <v/>
      </c>
      <c r="U359">
        <f>IF(J359="","",IF(T359="","⚠ not in Products",INDEX(Products!$A$5:$A$204,T359)))</f>
        <v/>
      </c>
      <c r="V359" s="11">
        <f>IF(J359="","",S359*(IFERROR(INDEX(Settings!$B$5:$B$9,MATCH($B359,Settings!$A$5:$A$9,0)),0)+IFERROR(INDEX(Settings!$E$5:$E$9,MATCH($B359,Settings!$A$5:$A$9,0)),0)+IFERROR(INDEX(Settings!$G$5:$G$9,MATCH($B359,Settings!$A$5:$A$9,0)),0))+(IFERROR(INDEX(Settings!$C$5:$C$9,MATCH($B359,Settings!$A$5:$A$9,0)),0)+IFERROR(INDEX(Settings!$F$5:$F$9,MATCH($B359,Settings!$A$5:$A$9,0)),0))/P359+IFERROR(INDEX(Settings!$D$5:$D$9,MATCH($B359,Settings!$A$5:$A$9,0)),0)*M359)</f>
        <v/>
      </c>
      <c r="W359" s="11">
        <f>IF(J359="","",IF(T359="",0,M359*INDEX(Products!$I$5:$I$204,T359)))</f>
        <v/>
      </c>
      <c r="X359" s="11">
        <f>IF(J359="","",IF(T359="",0,S359*INDEX(Products!$H$5:$H$204,T359)))</f>
        <v/>
      </c>
      <c r="Y359" s="11">
        <f>IF(J359="","",S359-V359-W359-X359)</f>
        <v/>
      </c>
    </row>
    <row r="360">
      <c r="A360" s="19" t="n"/>
      <c r="B360" s="19" t="n"/>
      <c r="C360" s="19" t="n"/>
      <c r="D360" s="19" t="n"/>
      <c r="E360" s="19" t="n"/>
      <c r="F360" s="20" t="n"/>
      <c r="G360" s="20" t="n"/>
      <c r="H360" s="20" t="n"/>
      <c r="I360" s="19" t="n"/>
      <c r="J360">
        <f>IFERROR(IF(C360="","",C360)&amp;"","")</f>
        <v/>
      </c>
      <c r="K360">
        <f>IFERROR(IF(D360="","",D360)&amp;"","")</f>
        <v/>
      </c>
      <c r="L360">
        <f>IFERROR(IF(I360="","",I360)&amp;"","")</f>
        <v/>
      </c>
      <c r="M360">
        <f>IF(J360="","",IFERROR(VALUE(SUBSTITUTE(SUBSTITUTE(IF(E360="","",E360)&amp;"","$",""),",","")),0))</f>
        <v/>
      </c>
      <c r="N360" s="11">
        <f>IF(J360="","",IFERROR(VALUE(SUBSTITUTE(SUBSTITUTE(IF(F360="","",F360)&amp;"","$",""),",","")),0))</f>
        <v/>
      </c>
      <c r="O360" s="11">
        <f>IF(J360="","",M360*N360)</f>
        <v/>
      </c>
      <c r="P360">
        <f>IF(J360="","",IF(L360="",1,COUNTIF($L$2:$L$1501,L360)))</f>
        <v/>
      </c>
      <c r="Q360" s="11">
        <f>IF(J360="","",IFERROR(VALUE(SUBSTITUTE(SUBSTITUTE(IF(G360="","",G360)&amp;"","$",""),",","")),0)/IF("No"="Yes",P360,1))</f>
        <v/>
      </c>
      <c r="R360" s="11">
        <f>IF(J360="","",IFERROR(VALUE(SUBSTITUTE(SUBSTITUTE(IF(H360="","",H360)&amp;"","$",""),",","")),0)/IF("No"="Yes",P360,1))</f>
        <v/>
      </c>
      <c r="S360" s="11">
        <f>IF(J360="","",O360+Q360-R360)</f>
        <v/>
      </c>
      <c r="T360">
        <f>IF(J360="","",IFERROR(IF(K360="",NA(),MATCH(K360,Products!$B$5:$B$204,0)),IFERROR(MATCH(J360,Products!$A$5:$A$204,0),"")))</f>
        <v/>
      </c>
      <c r="U360">
        <f>IF(J360="","",IF(T360="","⚠ not in Products",INDEX(Products!$A$5:$A$204,T360)))</f>
        <v/>
      </c>
      <c r="V360" s="11">
        <f>IF(J360="","",S360*(IFERROR(INDEX(Settings!$B$5:$B$9,MATCH($B360,Settings!$A$5:$A$9,0)),0)+IFERROR(INDEX(Settings!$E$5:$E$9,MATCH($B360,Settings!$A$5:$A$9,0)),0)+IFERROR(INDEX(Settings!$G$5:$G$9,MATCH($B360,Settings!$A$5:$A$9,0)),0))+(IFERROR(INDEX(Settings!$C$5:$C$9,MATCH($B360,Settings!$A$5:$A$9,0)),0)+IFERROR(INDEX(Settings!$F$5:$F$9,MATCH($B360,Settings!$A$5:$A$9,0)),0))/P360+IFERROR(INDEX(Settings!$D$5:$D$9,MATCH($B360,Settings!$A$5:$A$9,0)),0)*M360)</f>
        <v/>
      </c>
      <c r="W360" s="11">
        <f>IF(J360="","",IF(T360="",0,M360*INDEX(Products!$I$5:$I$204,T360)))</f>
        <v/>
      </c>
      <c r="X360" s="11">
        <f>IF(J360="","",IF(T360="",0,S360*INDEX(Products!$H$5:$H$204,T360)))</f>
        <v/>
      </c>
      <c r="Y360" s="11">
        <f>IF(J360="","",S360-V360-W360-X360)</f>
        <v/>
      </c>
    </row>
    <row r="361">
      <c r="A361" s="19" t="n"/>
      <c r="B361" s="19" t="n"/>
      <c r="C361" s="19" t="n"/>
      <c r="D361" s="19" t="n"/>
      <c r="E361" s="19" t="n"/>
      <c r="F361" s="20" t="n"/>
      <c r="G361" s="20" t="n"/>
      <c r="H361" s="20" t="n"/>
      <c r="I361" s="19" t="n"/>
      <c r="J361">
        <f>IFERROR(IF(C361="","",C361)&amp;"","")</f>
        <v/>
      </c>
      <c r="K361">
        <f>IFERROR(IF(D361="","",D361)&amp;"","")</f>
        <v/>
      </c>
      <c r="L361">
        <f>IFERROR(IF(I361="","",I361)&amp;"","")</f>
        <v/>
      </c>
      <c r="M361">
        <f>IF(J361="","",IFERROR(VALUE(SUBSTITUTE(SUBSTITUTE(IF(E361="","",E361)&amp;"","$",""),",","")),0))</f>
        <v/>
      </c>
      <c r="N361" s="11">
        <f>IF(J361="","",IFERROR(VALUE(SUBSTITUTE(SUBSTITUTE(IF(F361="","",F361)&amp;"","$",""),",","")),0))</f>
        <v/>
      </c>
      <c r="O361" s="11">
        <f>IF(J361="","",M361*N361)</f>
        <v/>
      </c>
      <c r="P361">
        <f>IF(J361="","",IF(L361="",1,COUNTIF($L$2:$L$1501,L361)))</f>
        <v/>
      </c>
      <c r="Q361" s="11">
        <f>IF(J361="","",IFERROR(VALUE(SUBSTITUTE(SUBSTITUTE(IF(G361="","",G361)&amp;"","$",""),",","")),0)/IF("No"="Yes",P361,1))</f>
        <v/>
      </c>
      <c r="R361" s="11">
        <f>IF(J361="","",IFERROR(VALUE(SUBSTITUTE(SUBSTITUTE(IF(H361="","",H361)&amp;"","$",""),",","")),0)/IF("No"="Yes",P361,1))</f>
        <v/>
      </c>
      <c r="S361" s="11">
        <f>IF(J361="","",O361+Q361-R361)</f>
        <v/>
      </c>
      <c r="T361">
        <f>IF(J361="","",IFERROR(IF(K361="",NA(),MATCH(K361,Products!$B$5:$B$204,0)),IFERROR(MATCH(J361,Products!$A$5:$A$204,0),"")))</f>
        <v/>
      </c>
      <c r="U361">
        <f>IF(J361="","",IF(T361="","⚠ not in Products",INDEX(Products!$A$5:$A$204,T361)))</f>
        <v/>
      </c>
      <c r="V361" s="11">
        <f>IF(J361="","",S361*(IFERROR(INDEX(Settings!$B$5:$B$9,MATCH($B361,Settings!$A$5:$A$9,0)),0)+IFERROR(INDEX(Settings!$E$5:$E$9,MATCH($B361,Settings!$A$5:$A$9,0)),0)+IFERROR(INDEX(Settings!$G$5:$G$9,MATCH($B361,Settings!$A$5:$A$9,0)),0))+(IFERROR(INDEX(Settings!$C$5:$C$9,MATCH($B361,Settings!$A$5:$A$9,0)),0)+IFERROR(INDEX(Settings!$F$5:$F$9,MATCH($B361,Settings!$A$5:$A$9,0)),0))/P361+IFERROR(INDEX(Settings!$D$5:$D$9,MATCH($B361,Settings!$A$5:$A$9,0)),0)*M361)</f>
        <v/>
      </c>
      <c r="W361" s="11">
        <f>IF(J361="","",IF(T361="",0,M361*INDEX(Products!$I$5:$I$204,T361)))</f>
        <v/>
      </c>
      <c r="X361" s="11">
        <f>IF(J361="","",IF(T361="",0,S361*INDEX(Products!$H$5:$H$204,T361)))</f>
        <v/>
      </c>
      <c r="Y361" s="11">
        <f>IF(J361="","",S361-V361-W361-X361)</f>
        <v/>
      </c>
    </row>
    <row r="362">
      <c r="A362" s="19" t="n"/>
      <c r="B362" s="19" t="n"/>
      <c r="C362" s="19" t="n"/>
      <c r="D362" s="19" t="n"/>
      <c r="E362" s="19" t="n"/>
      <c r="F362" s="20" t="n"/>
      <c r="G362" s="20" t="n"/>
      <c r="H362" s="20" t="n"/>
      <c r="I362" s="19" t="n"/>
      <c r="J362">
        <f>IFERROR(IF(C362="","",C362)&amp;"","")</f>
        <v/>
      </c>
      <c r="K362">
        <f>IFERROR(IF(D362="","",D362)&amp;"","")</f>
        <v/>
      </c>
      <c r="L362">
        <f>IFERROR(IF(I362="","",I362)&amp;"","")</f>
        <v/>
      </c>
      <c r="M362">
        <f>IF(J362="","",IFERROR(VALUE(SUBSTITUTE(SUBSTITUTE(IF(E362="","",E362)&amp;"","$",""),",","")),0))</f>
        <v/>
      </c>
      <c r="N362" s="11">
        <f>IF(J362="","",IFERROR(VALUE(SUBSTITUTE(SUBSTITUTE(IF(F362="","",F362)&amp;"","$",""),",","")),0))</f>
        <v/>
      </c>
      <c r="O362" s="11">
        <f>IF(J362="","",M362*N362)</f>
        <v/>
      </c>
      <c r="P362">
        <f>IF(J362="","",IF(L362="",1,COUNTIF($L$2:$L$1501,L362)))</f>
        <v/>
      </c>
      <c r="Q362" s="11">
        <f>IF(J362="","",IFERROR(VALUE(SUBSTITUTE(SUBSTITUTE(IF(G362="","",G362)&amp;"","$",""),",","")),0)/IF("No"="Yes",P362,1))</f>
        <v/>
      </c>
      <c r="R362" s="11">
        <f>IF(J362="","",IFERROR(VALUE(SUBSTITUTE(SUBSTITUTE(IF(H362="","",H362)&amp;"","$",""),",","")),0)/IF("No"="Yes",P362,1))</f>
        <v/>
      </c>
      <c r="S362" s="11">
        <f>IF(J362="","",O362+Q362-R362)</f>
        <v/>
      </c>
      <c r="T362">
        <f>IF(J362="","",IFERROR(IF(K362="",NA(),MATCH(K362,Products!$B$5:$B$204,0)),IFERROR(MATCH(J362,Products!$A$5:$A$204,0),"")))</f>
        <v/>
      </c>
      <c r="U362">
        <f>IF(J362="","",IF(T362="","⚠ not in Products",INDEX(Products!$A$5:$A$204,T362)))</f>
        <v/>
      </c>
      <c r="V362" s="11">
        <f>IF(J362="","",S362*(IFERROR(INDEX(Settings!$B$5:$B$9,MATCH($B362,Settings!$A$5:$A$9,0)),0)+IFERROR(INDEX(Settings!$E$5:$E$9,MATCH($B362,Settings!$A$5:$A$9,0)),0)+IFERROR(INDEX(Settings!$G$5:$G$9,MATCH($B362,Settings!$A$5:$A$9,0)),0))+(IFERROR(INDEX(Settings!$C$5:$C$9,MATCH($B362,Settings!$A$5:$A$9,0)),0)+IFERROR(INDEX(Settings!$F$5:$F$9,MATCH($B362,Settings!$A$5:$A$9,0)),0))/P362+IFERROR(INDEX(Settings!$D$5:$D$9,MATCH($B362,Settings!$A$5:$A$9,0)),0)*M362)</f>
        <v/>
      </c>
      <c r="W362" s="11">
        <f>IF(J362="","",IF(T362="",0,M362*INDEX(Products!$I$5:$I$204,T362)))</f>
        <v/>
      </c>
      <c r="X362" s="11">
        <f>IF(J362="","",IF(T362="",0,S362*INDEX(Products!$H$5:$H$204,T362)))</f>
        <v/>
      </c>
      <c r="Y362" s="11">
        <f>IF(J362="","",S362-V362-W362-X362)</f>
        <v/>
      </c>
    </row>
    <row r="363">
      <c r="A363" s="19" t="n"/>
      <c r="B363" s="19" t="n"/>
      <c r="C363" s="19" t="n"/>
      <c r="D363" s="19" t="n"/>
      <c r="E363" s="19" t="n"/>
      <c r="F363" s="20" t="n"/>
      <c r="G363" s="20" t="n"/>
      <c r="H363" s="20" t="n"/>
      <c r="I363" s="19" t="n"/>
      <c r="J363">
        <f>IFERROR(IF(C363="","",C363)&amp;"","")</f>
        <v/>
      </c>
      <c r="K363">
        <f>IFERROR(IF(D363="","",D363)&amp;"","")</f>
        <v/>
      </c>
      <c r="L363">
        <f>IFERROR(IF(I363="","",I363)&amp;"","")</f>
        <v/>
      </c>
      <c r="M363">
        <f>IF(J363="","",IFERROR(VALUE(SUBSTITUTE(SUBSTITUTE(IF(E363="","",E363)&amp;"","$",""),",","")),0))</f>
        <v/>
      </c>
      <c r="N363" s="11">
        <f>IF(J363="","",IFERROR(VALUE(SUBSTITUTE(SUBSTITUTE(IF(F363="","",F363)&amp;"","$",""),",","")),0))</f>
        <v/>
      </c>
      <c r="O363" s="11">
        <f>IF(J363="","",M363*N363)</f>
        <v/>
      </c>
      <c r="P363">
        <f>IF(J363="","",IF(L363="",1,COUNTIF($L$2:$L$1501,L363)))</f>
        <v/>
      </c>
      <c r="Q363" s="11">
        <f>IF(J363="","",IFERROR(VALUE(SUBSTITUTE(SUBSTITUTE(IF(G363="","",G363)&amp;"","$",""),",","")),0)/IF("No"="Yes",P363,1))</f>
        <v/>
      </c>
      <c r="R363" s="11">
        <f>IF(J363="","",IFERROR(VALUE(SUBSTITUTE(SUBSTITUTE(IF(H363="","",H363)&amp;"","$",""),",","")),0)/IF("No"="Yes",P363,1))</f>
        <v/>
      </c>
      <c r="S363" s="11">
        <f>IF(J363="","",O363+Q363-R363)</f>
        <v/>
      </c>
      <c r="T363">
        <f>IF(J363="","",IFERROR(IF(K363="",NA(),MATCH(K363,Products!$B$5:$B$204,0)),IFERROR(MATCH(J363,Products!$A$5:$A$204,0),"")))</f>
        <v/>
      </c>
      <c r="U363">
        <f>IF(J363="","",IF(T363="","⚠ not in Products",INDEX(Products!$A$5:$A$204,T363)))</f>
        <v/>
      </c>
      <c r="V363" s="11">
        <f>IF(J363="","",S363*(IFERROR(INDEX(Settings!$B$5:$B$9,MATCH($B363,Settings!$A$5:$A$9,0)),0)+IFERROR(INDEX(Settings!$E$5:$E$9,MATCH($B363,Settings!$A$5:$A$9,0)),0)+IFERROR(INDEX(Settings!$G$5:$G$9,MATCH($B363,Settings!$A$5:$A$9,0)),0))+(IFERROR(INDEX(Settings!$C$5:$C$9,MATCH($B363,Settings!$A$5:$A$9,0)),0)+IFERROR(INDEX(Settings!$F$5:$F$9,MATCH($B363,Settings!$A$5:$A$9,0)),0))/P363+IFERROR(INDEX(Settings!$D$5:$D$9,MATCH($B363,Settings!$A$5:$A$9,0)),0)*M363)</f>
        <v/>
      </c>
      <c r="W363" s="11">
        <f>IF(J363="","",IF(T363="",0,M363*INDEX(Products!$I$5:$I$204,T363)))</f>
        <v/>
      </c>
      <c r="X363" s="11">
        <f>IF(J363="","",IF(T363="",0,S363*INDEX(Products!$H$5:$H$204,T363)))</f>
        <v/>
      </c>
      <c r="Y363" s="11">
        <f>IF(J363="","",S363-V363-W363-X363)</f>
        <v/>
      </c>
    </row>
    <row r="364">
      <c r="A364" s="19" t="n"/>
      <c r="B364" s="19" t="n"/>
      <c r="C364" s="19" t="n"/>
      <c r="D364" s="19" t="n"/>
      <c r="E364" s="19" t="n"/>
      <c r="F364" s="20" t="n"/>
      <c r="G364" s="20" t="n"/>
      <c r="H364" s="20" t="n"/>
      <c r="I364" s="19" t="n"/>
      <c r="J364">
        <f>IFERROR(IF(C364="","",C364)&amp;"","")</f>
        <v/>
      </c>
      <c r="K364">
        <f>IFERROR(IF(D364="","",D364)&amp;"","")</f>
        <v/>
      </c>
      <c r="L364">
        <f>IFERROR(IF(I364="","",I364)&amp;"","")</f>
        <v/>
      </c>
      <c r="M364">
        <f>IF(J364="","",IFERROR(VALUE(SUBSTITUTE(SUBSTITUTE(IF(E364="","",E364)&amp;"","$",""),",","")),0))</f>
        <v/>
      </c>
      <c r="N364" s="11">
        <f>IF(J364="","",IFERROR(VALUE(SUBSTITUTE(SUBSTITUTE(IF(F364="","",F364)&amp;"","$",""),",","")),0))</f>
        <v/>
      </c>
      <c r="O364" s="11">
        <f>IF(J364="","",M364*N364)</f>
        <v/>
      </c>
      <c r="P364">
        <f>IF(J364="","",IF(L364="",1,COUNTIF($L$2:$L$1501,L364)))</f>
        <v/>
      </c>
      <c r="Q364" s="11">
        <f>IF(J364="","",IFERROR(VALUE(SUBSTITUTE(SUBSTITUTE(IF(G364="","",G364)&amp;"","$",""),",","")),0)/IF("No"="Yes",P364,1))</f>
        <v/>
      </c>
      <c r="R364" s="11">
        <f>IF(J364="","",IFERROR(VALUE(SUBSTITUTE(SUBSTITUTE(IF(H364="","",H364)&amp;"","$",""),",","")),0)/IF("No"="Yes",P364,1))</f>
        <v/>
      </c>
      <c r="S364" s="11">
        <f>IF(J364="","",O364+Q364-R364)</f>
        <v/>
      </c>
      <c r="T364">
        <f>IF(J364="","",IFERROR(IF(K364="",NA(),MATCH(K364,Products!$B$5:$B$204,0)),IFERROR(MATCH(J364,Products!$A$5:$A$204,0),"")))</f>
        <v/>
      </c>
      <c r="U364">
        <f>IF(J364="","",IF(T364="","⚠ not in Products",INDEX(Products!$A$5:$A$204,T364)))</f>
        <v/>
      </c>
      <c r="V364" s="11">
        <f>IF(J364="","",S364*(IFERROR(INDEX(Settings!$B$5:$B$9,MATCH($B364,Settings!$A$5:$A$9,0)),0)+IFERROR(INDEX(Settings!$E$5:$E$9,MATCH($B364,Settings!$A$5:$A$9,0)),0)+IFERROR(INDEX(Settings!$G$5:$G$9,MATCH($B364,Settings!$A$5:$A$9,0)),0))+(IFERROR(INDEX(Settings!$C$5:$C$9,MATCH($B364,Settings!$A$5:$A$9,0)),0)+IFERROR(INDEX(Settings!$F$5:$F$9,MATCH($B364,Settings!$A$5:$A$9,0)),0))/P364+IFERROR(INDEX(Settings!$D$5:$D$9,MATCH($B364,Settings!$A$5:$A$9,0)),0)*M364)</f>
        <v/>
      </c>
      <c r="W364" s="11">
        <f>IF(J364="","",IF(T364="",0,M364*INDEX(Products!$I$5:$I$204,T364)))</f>
        <v/>
      </c>
      <c r="X364" s="11">
        <f>IF(J364="","",IF(T364="",0,S364*INDEX(Products!$H$5:$H$204,T364)))</f>
        <v/>
      </c>
      <c r="Y364" s="11">
        <f>IF(J364="","",S364-V364-W364-X364)</f>
        <v/>
      </c>
    </row>
    <row r="365">
      <c r="A365" s="19" t="n"/>
      <c r="B365" s="19" t="n"/>
      <c r="C365" s="19" t="n"/>
      <c r="D365" s="19" t="n"/>
      <c r="E365" s="19" t="n"/>
      <c r="F365" s="20" t="n"/>
      <c r="G365" s="20" t="n"/>
      <c r="H365" s="20" t="n"/>
      <c r="I365" s="19" t="n"/>
      <c r="J365">
        <f>IFERROR(IF(C365="","",C365)&amp;"","")</f>
        <v/>
      </c>
      <c r="K365">
        <f>IFERROR(IF(D365="","",D365)&amp;"","")</f>
        <v/>
      </c>
      <c r="L365">
        <f>IFERROR(IF(I365="","",I365)&amp;"","")</f>
        <v/>
      </c>
      <c r="M365">
        <f>IF(J365="","",IFERROR(VALUE(SUBSTITUTE(SUBSTITUTE(IF(E365="","",E365)&amp;"","$",""),",","")),0))</f>
        <v/>
      </c>
      <c r="N365" s="11">
        <f>IF(J365="","",IFERROR(VALUE(SUBSTITUTE(SUBSTITUTE(IF(F365="","",F365)&amp;"","$",""),",","")),0))</f>
        <v/>
      </c>
      <c r="O365" s="11">
        <f>IF(J365="","",M365*N365)</f>
        <v/>
      </c>
      <c r="P365">
        <f>IF(J365="","",IF(L365="",1,COUNTIF($L$2:$L$1501,L365)))</f>
        <v/>
      </c>
      <c r="Q365" s="11">
        <f>IF(J365="","",IFERROR(VALUE(SUBSTITUTE(SUBSTITUTE(IF(G365="","",G365)&amp;"","$",""),",","")),0)/IF("No"="Yes",P365,1))</f>
        <v/>
      </c>
      <c r="R365" s="11">
        <f>IF(J365="","",IFERROR(VALUE(SUBSTITUTE(SUBSTITUTE(IF(H365="","",H365)&amp;"","$",""),",","")),0)/IF("No"="Yes",P365,1))</f>
        <v/>
      </c>
      <c r="S365" s="11">
        <f>IF(J365="","",O365+Q365-R365)</f>
        <v/>
      </c>
      <c r="T365">
        <f>IF(J365="","",IFERROR(IF(K365="",NA(),MATCH(K365,Products!$B$5:$B$204,0)),IFERROR(MATCH(J365,Products!$A$5:$A$204,0),"")))</f>
        <v/>
      </c>
      <c r="U365">
        <f>IF(J365="","",IF(T365="","⚠ not in Products",INDEX(Products!$A$5:$A$204,T365)))</f>
        <v/>
      </c>
      <c r="V365" s="11">
        <f>IF(J365="","",S365*(IFERROR(INDEX(Settings!$B$5:$B$9,MATCH($B365,Settings!$A$5:$A$9,0)),0)+IFERROR(INDEX(Settings!$E$5:$E$9,MATCH($B365,Settings!$A$5:$A$9,0)),0)+IFERROR(INDEX(Settings!$G$5:$G$9,MATCH($B365,Settings!$A$5:$A$9,0)),0))+(IFERROR(INDEX(Settings!$C$5:$C$9,MATCH($B365,Settings!$A$5:$A$9,0)),0)+IFERROR(INDEX(Settings!$F$5:$F$9,MATCH($B365,Settings!$A$5:$A$9,0)),0))/P365+IFERROR(INDEX(Settings!$D$5:$D$9,MATCH($B365,Settings!$A$5:$A$9,0)),0)*M365)</f>
        <v/>
      </c>
      <c r="W365" s="11">
        <f>IF(J365="","",IF(T365="",0,M365*INDEX(Products!$I$5:$I$204,T365)))</f>
        <v/>
      </c>
      <c r="X365" s="11">
        <f>IF(J365="","",IF(T365="",0,S365*INDEX(Products!$H$5:$H$204,T365)))</f>
        <v/>
      </c>
      <c r="Y365" s="11">
        <f>IF(J365="","",S365-V365-W365-X365)</f>
        <v/>
      </c>
    </row>
    <row r="366">
      <c r="A366" s="19" t="n"/>
      <c r="B366" s="19" t="n"/>
      <c r="C366" s="19" t="n"/>
      <c r="D366" s="19" t="n"/>
      <c r="E366" s="19" t="n"/>
      <c r="F366" s="20" t="n"/>
      <c r="G366" s="20" t="n"/>
      <c r="H366" s="20" t="n"/>
      <c r="I366" s="19" t="n"/>
      <c r="J366">
        <f>IFERROR(IF(C366="","",C366)&amp;"","")</f>
        <v/>
      </c>
      <c r="K366">
        <f>IFERROR(IF(D366="","",D366)&amp;"","")</f>
        <v/>
      </c>
      <c r="L366">
        <f>IFERROR(IF(I366="","",I366)&amp;"","")</f>
        <v/>
      </c>
      <c r="M366">
        <f>IF(J366="","",IFERROR(VALUE(SUBSTITUTE(SUBSTITUTE(IF(E366="","",E366)&amp;"","$",""),",","")),0))</f>
        <v/>
      </c>
      <c r="N366" s="11">
        <f>IF(J366="","",IFERROR(VALUE(SUBSTITUTE(SUBSTITUTE(IF(F366="","",F366)&amp;"","$",""),",","")),0))</f>
        <v/>
      </c>
      <c r="O366" s="11">
        <f>IF(J366="","",M366*N366)</f>
        <v/>
      </c>
      <c r="P366">
        <f>IF(J366="","",IF(L366="",1,COUNTIF($L$2:$L$1501,L366)))</f>
        <v/>
      </c>
      <c r="Q366" s="11">
        <f>IF(J366="","",IFERROR(VALUE(SUBSTITUTE(SUBSTITUTE(IF(G366="","",G366)&amp;"","$",""),",","")),0)/IF("No"="Yes",P366,1))</f>
        <v/>
      </c>
      <c r="R366" s="11">
        <f>IF(J366="","",IFERROR(VALUE(SUBSTITUTE(SUBSTITUTE(IF(H366="","",H366)&amp;"","$",""),",","")),0)/IF("No"="Yes",P366,1))</f>
        <v/>
      </c>
      <c r="S366" s="11">
        <f>IF(J366="","",O366+Q366-R366)</f>
        <v/>
      </c>
      <c r="T366">
        <f>IF(J366="","",IFERROR(IF(K366="",NA(),MATCH(K366,Products!$B$5:$B$204,0)),IFERROR(MATCH(J366,Products!$A$5:$A$204,0),"")))</f>
        <v/>
      </c>
      <c r="U366">
        <f>IF(J366="","",IF(T366="","⚠ not in Products",INDEX(Products!$A$5:$A$204,T366)))</f>
        <v/>
      </c>
      <c r="V366" s="11">
        <f>IF(J366="","",S366*(IFERROR(INDEX(Settings!$B$5:$B$9,MATCH($B366,Settings!$A$5:$A$9,0)),0)+IFERROR(INDEX(Settings!$E$5:$E$9,MATCH($B366,Settings!$A$5:$A$9,0)),0)+IFERROR(INDEX(Settings!$G$5:$G$9,MATCH($B366,Settings!$A$5:$A$9,0)),0))+(IFERROR(INDEX(Settings!$C$5:$C$9,MATCH($B366,Settings!$A$5:$A$9,0)),0)+IFERROR(INDEX(Settings!$F$5:$F$9,MATCH($B366,Settings!$A$5:$A$9,0)),0))/P366+IFERROR(INDEX(Settings!$D$5:$D$9,MATCH($B366,Settings!$A$5:$A$9,0)),0)*M366)</f>
        <v/>
      </c>
      <c r="W366" s="11">
        <f>IF(J366="","",IF(T366="",0,M366*INDEX(Products!$I$5:$I$204,T366)))</f>
        <v/>
      </c>
      <c r="X366" s="11">
        <f>IF(J366="","",IF(T366="",0,S366*INDEX(Products!$H$5:$H$204,T366)))</f>
        <v/>
      </c>
      <c r="Y366" s="11">
        <f>IF(J366="","",S366-V366-W366-X366)</f>
        <v/>
      </c>
    </row>
    <row r="367">
      <c r="A367" s="19" t="n"/>
      <c r="B367" s="19" t="n"/>
      <c r="C367" s="19" t="n"/>
      <c r="D367" s="19" t="n"/>
      <c r="E367" s="19" t="n"/>
      <c r="F367" s="20" t="n"/>
      <c r="G367" s="20" t="n"/>
      <c r="H367" s="20" t="n"/>
      <c r="I367" s="19" t="n"/>
      <c r="J367">
        <f>IFERROR(IF(C367="","",C367)&amp;"","")</f>
        <v/>
      </c>
      <c r="K367">
        <f>IFERROR(IF(D367="","",D367)&amp;"","")</f>
        <v/>
      </c>
      <c r="L367">
        <f>IFERROR(IF(I367="","",I367)&amp;"","")</f>
        <v/>
      </c>
      <c r="M367">
        <f>IF(J367="","",IFERROR(VALUE(SUBSTITUTE(SUBSTITUTE(IF(E367="","",E367)&amp;"","$",""),",","")),0))</f>
        <v/>
      </c>
      <c r="N367" s="11">
        <f>IF(J367="","",IFERROR(VALUE(SUBSTITUTE(SUBSTITUTE(IF(F367="","",F367)&amp;"","$",""),",","")),0))</f>
        <v/>
      </c>
      <c r="O367" s="11">
        <f>IF(J367="","",M367*N367)</f>
        <v/>
      </c>
      <c r="P367">
        <f>IF(J367="","",IF(L367="",1,COUNTIF($L$2:$L$1501,L367)))</f>
        <v/>
      </c>
      <c r="Q367" s="11">
        <f>IF(J367="","",IFERROR(VALUE(SUBSTITUTE(SUBSTITUTE(IF(G367="","",G367)&amp;"","$",""),",","")),0)/IF("No"="Yes",P367,1))</f>
        <v/>
      </c>
      <c r="R367" s="11">
        <f>IF(J367="","",IFERROR(VALUE(SUBSTITUTE(SUBSTITUTE(IF(H367="","",H367)&amp;"","$",""),",","")),0)/IF("No"="Yes",P367,1))</f>
        <v/>
      </c>
      <c r="S367" s="11">
        <f>IF(J367="","",O367+Q367-R367)</f>
        <v/>
      </c>
      <c r="T367">
        <f>IF(J367="","",IFERROR(IF(K367="",NA(),MATCH(K367,Products!$B$5:$B$204,0)),IFERROR(MATCH(J367,Products!$A$5:$A$204,0),"")))</f>
        <v/>
      </c>
      <c r="U367">
        <f>IF(J367="","",IF(T367="","⚠ not in Products",INDEX(Products!$A$5:$A$204,T367)))</f>
        <v/>
      </c>
      <c r="V367" s="11">
        <f>IF(J367="","",S367*(IFERROR(INDEX(Settings!$B$5:$B$9,MATCH($B367,Settings!$A$5:$A$9,0)),0)+IFERROR(INDEX(Settings!$E$5:$E$9,MATCH($B367,Settings!$A$5:$A$9,0)),0)+IFERROR(INDEX(Settings!$G$5:$G$9,MATCH($B367,Settings!$A$5:$A$9,0)),0))+(IFERROR(INDEX(Settings!$C$5:$C$9,MATCH($B367,Settings!$A$5:$A$9,0)),0)+IFERROR(INDEX(Settings!$F$5:$F$9,MATCH($B367,Settings!$A$5:$A$9,0)),0))/P367+IFERROR(INDEX(Settings!$D$5:$D$9,MATCH($B367,Settings!$A$5:$A$9,0)),0)*M367)</f>
        <v/>
      </c>
      <c r="W367" s="11">
        <f>IF(J367="","",IF(T367="",0,M367*INDEX(Products!$I$5:$I$204,T367)))</f>
        <v/>
      </c>
      <c r="X367" s="11">
        <f>IF(J367="","",IF(T367="",0,S367*INDEX(Products!$H$5:$H$204,T367)))</f>
        <v/>
      </c>
      <c r="Y367" s="11">
        <f>IF(J367="","",S367-V367-W367-X367)</f>
        <v/>
      </c>
    </row>
    <row r="368">
      <c r="A368" s="19" t="n"/>
      <c r="B368" s="19" t="n"/>
      <c r="C368" s="19" t="n"/>
      <c r="D368" s="19" t="n"/>
      <c r="E368" s="19" t="n"/>
      <c r="F368" s="20" t="n"/>
      <c r="G368" s="20" t="n"/>
      <c r="H368" s="20" t="n"/>
      <c r="I368" s="19" t="n"/>
      <c r="J368">
        <f>IFERROR(IF(C368="","",C368)&amp;"","")</f>
        <v/>
      </c>
      <c r="K368">
        <f>IFERROR(IF(D368="","",D368)&amp;"","")</f>
        <v/>
      </c>
      <c r="L368">
        <f>IFERROR(IF(I368="","",I368)&amp;"","")</f>
        <v/>
      </c>
      <c r="M368">
        <f>IF(J368="","",IFERROR(VALUE(SUBSTITUTE(SUBSTITUTE(IF(E368="","",E368)&amp;"","$",""),",","")),0))</f>
        <v/>
      </c>
      <c r="N368" s="11">
        <f>IF(J368="","",IFERROR(VALUE(SUBSTITUTE(SUBSTITUTE(IF(F368="","",F368)&amp;"","$",""),",","")),0))</f>
        <v/>
      </c>
      <c r="O368" s="11">
        <f>IF(J368="","",M368*N368)</f>
        <v/>
      </c>
      <c r="P368">
        <f>IF(J368="","",IF(L368="",1,COUNTIF($L$2:$L$1501,L368)))</f>
        <v/>
      </c>
      <c r="Q368" s="11">
        <f>IF(J368="","",IFERROR(VALUE(SUBSTITUTE(SUBSTITUTE(IF(G368="","",G368)&amp;"","$",""),",","")),0)/IF("No"="Yes",P368,1))</f>
        <v/>
      </c>
      <c r="R368" s="11">
        <f>IF(J368="","",IFERROR(VALUE(SUBSTITUTE(SUBSTITUTE(IF(H368="","",H368)&amp;"","$",""),",","")),0)/IF("No"="Yes",P368,1))</f>
        <v/>
      </c>
      <c r="S368" s="11">
        <f>IF(J368="","",O368+Q368-R368)</f>
        <v/>
      </c>
      <c r="T368">
        <f>IF(J368="","",IFERROR(IF(K368="",NA(),MATCH(K368,Products!$B$5:$B$204,0)),IFERROR(MATCH(J368,Products!$A$5:$A$204,0),"")))</f>
        <v/>
      </c>
      <c r="U368">
        <f>IF(J368="","",IF(T368="","⚠ not in Products",INDEX(Products!$A$5:$A$204,T368)))</f>
        <v/>
      </c>
      <c r="V368" s="11">
        <f>IF(J368="","",S368*(IFERROR(INDEX(Settings!$B$5:$B$9,MATCH($B368,Settings!$A$5:$A$9,0)),0)+IFERROR(INDEX(Settings!$E$5:$E$9,MATCH($B368,Settings!$A$5:$A$9,0)),0)+IFERROR(INDEX(Settings!$G$5:$G$9,MATCH($B368,Settings!$A$5:$A$9,0)),0))+(IFERROR(INDEX(Settings!$C$5:$C$9,MATCH($B368,Settings!$A$5:$A$9,0)),0)+IFERROR(INDEX(Settings!$F$5:$F$9,MATCH($B368,Settings!$A$5:$A$9,0)),0))/P368+IFERROR(INDEX(Settings!$D$5:$D$9,MATCH($B368,Settings!$A$5:$A$9,0)),0)*M368)</f>
        <v/>
      </c>
      <c r="W368" s="11">
        <f>IF(J368="","",IF(T368="",0,M368*INDEX(Products!$I$5:$I$204,T368)))</f>
        <v/>
      </c>
      <c r="X368" s="11">
        <f>IF(J368="","",IF(T368="",0,S368*INDEX(Products!$H$5:$H$204,T368)))</f>
        <v/>
      </c>
      <c r="Y368" s="11">
        <f>IF(J368="","",S368-V368-W368-X368)</f>
        <v/>
      </c>
    </row>
    <row r="369">
      <c r="A369" s="19" t="n"/>
      <c r="B369" s="19" t="n"/>
      <c r="C369" s="19" t="n"/>
      <c r="D369" s="19" t="n"/>
      <c r="E369" s="19" t="n"/>
      <c r="F369" s="20" t="n"/>
      <c r="G369" s="20" t="n"/>
      <c r="H369" s="20" t="n"/>
      <c r="I369" s="19" t="n"/>
      <c r="J369">
        <f>IFERROR(IF(C369="","",C369)&amp;"","")</f>
        <v/>
      </c>
      <c r="K369">
        <f>IFERROR(IF(D369="","",D369)&amp;"","")</f>
        <v/>
      </c>
      <c r="L369">
        <f>IFERROR(IF(I369="","",I369)&amp;"","")</f>
        <v/>
      </c>
      <c r="M369">
        <f>IF(J369="","",IFERROR(VALUE(SUBSTITUTE(SUBSTITUTE(IF(E369="","",E369)&amp;"","$",""),",","")),0))</f>
        <v/>
      </c>
      <c r="N369" s="11">
        <f>IF(J369="","",IFERROR(VALUE(SUBSTITUTE(SUBSTITUTE(IF(F369="","",F369)&amp;"","$",""),",","")),0))</f>
        <v/>
      </c>
      <c r="O369" s="11">
        <f>IF(J369="","",M369*N369)</f>
        <v/>
      </c>
      <c r="P369">
        <f>IF(J369="","",IF(L369="",1,COUNTIF($L$2:$L$1501,L369)))</f>
        <v/>
      </c>
      <c r="Q369" s="11">
        <f>IF(J369="","",IFERROR(VALUE(SUBSTITUTE(SUBSTITUTE(IF(G369="","",G369)&amp;"","$",""),",","")),0)/IF("No"="Yes",P369,1))</f>
        <v/>
      </c>
      <c r="R369" s="11">
        <f>IF(J369="","",IFERROR(VALUE(SUBSTITUTE(SUBSTITUTE(IF(H369="","",H369)&amp;"","$",""),",","")),0)/IF("No"="Yes",P369,1))</f>
        <v/>
      </c>
      <c r="S369" s="11">
        <f>IF(J369="","",O369+Q369-R369)</f>
        <v/>
      </c>
      <c r="T369">
        <f>IF(J369="","",IFERROR(IF(K369="",NA(),MATCH(K369,Products!$B$5:$B$204,0)),IFERROR(MATCH(J369,Products!$A$5:$A$204,0),"")))</f>
        <v/>
      </c>
      <c r="U369">
        <f>IF(J369="","",IF(T369="","⚠ not in Products",INDEX(Products!$A$5:$A$204,T369)))</f>
        <v/>
      </c>
      <c r="V369" s="11">
        <f>IF(J369="","",S369*(IFERROR(INDEX(Settings!$B$5:$B$9,MATCH($B369,Settings!$A$5:$A$9,0)),0)+IFERROR(INDEX(Settings!$E$5:$E$9,MATCH($B369,Settings!$A$5:$A$9,0)),0)+IFERROR(INDEX(Settings!$G$5:$G$9,MATCH($B369,Settings!$A$5:$A$9,0)),0))+(IFERROR(INDEX(Settings!$C$5:$C$9,MATCH($B369,Settings!$A$5:$A$9,0)),0)+IFERROR(INDEX(Settings!$F$5:$F$9,MATCH($B369,Settings!$A$5:$A$9,0)),0))/P369+IFERROR(INDEX(Settings!$D$5:$D$9,MATCH($B369,Settings!$A$5:$A$9,0)),0)*M369)</f>
        <v/>
      </c>
      <c r="W369" s="11">
        <f>IF(J369="","",IF(T369="",0,M369*INDEX(Products!$I$5:$I$204,T369)))</f>
        <v/>
      </c>
      <c r="X369" s="11">
        <f>IF(J369="","",IF(T369="",0,S369*INDEX(Products!$H$5:$H$204,T369)))</f>
        <v/>
      </c>
      <c r="Y369" s="11">
        <f>IF(J369="","",S369-V369-W369-X369)</f>
        <v/>
      </c>
    </row>
    <row r="370">
      <c r="A370" s="19" t="n"/>
      <c r="B370" s="19" t="n"/>
      <c r="C370" s="19" t="n"/>
      <c r="D370" s="19" t="n"/>
      <c r="E370" s="19" t="n"/>
      <c r="F370" s="20" t="n"/>
      <c r="G370" s="20" t="n"/>
      <c r="H370" s="20" t="n"/>
      <c r="I370" s="19" t="n"/>
      <c r="J370">
        <f>IFERROR(IF(C370="","",C370)&amp;"","")</f>
        <v/>
      </c>
      <c r="K370">
        <f>IFERROR(IF(D370="","",D370)&amp;"","")</f>
        <v/>
      </c>
      <c r="L370">
        <f>IFERROR(IF(I370="","",I370)&amp;"","")</f>
        <v/>
      </c>
      <c r="M370">
        <f>IF(J370="","",IFERROR(VALUE(SUBSTITUTE(SUBSTITUTE(IF(E370="","",E370)&amp;"","$",""),",","")),0))</f>
        <v/>
      </c>
      <c r="N370" s="11">
        <f>IF(J370="","",IFERROR(VALUE(SUBSTITUTE(SUBSTITUTE(IF(F370="","",F370)&amp;"","$",""),",","")),0))</f>
        <v/>
      </c>
      <c r="O370" s="11">
        <f>IF(J370="","",M370*N370)</f>
        <v/>
      </c>
      <c r="P370">
        <f>IF(J370="","",IF(L370="",1,COUNTIF($L$2:$L$1501,L370)))</f>
        <v/>
      </c>
      <c r="Q370" s="11">
        <f>IF(J370="","",IFERROR(VALUE(SUBSTITUTE(SUBSTITUTE(IF(G370="","",G370)&amp;"","$",""),",","")),0)/IF("No"="Yes",P370,1))</f>
        <v/>
      </c>
      <c r="R370" s="11">
        <f>IF(J370="","",IFERROR(VALUE(SUBSTITUTE(SUBSTITUTE(IF(H370="","",H370)&amp;"","$",""),",","")),0)/IF("No"="Yes",P370,1))</f>
        <v/>
      </c>
      <c r="S370" s="11">
        <f>IF(J370="","",O370+Q370-R370)</f>
        <v/>
      </c>
      <c r="T370">
        <f>IF(J370="","",IFERROR(IF(K370="",NA(),MATCH(K370,Products!$B$5:$B$204,0)),IFERROR(MATCH(J370,Products!$A$5:$A$204,0),"")))</f>
        <v/>
      </c>
      <c r="U370">
        <f>IF(J370="","",IF(T370="","⚠ not in Products",INDEX(Products!$A$5:$A$204,T370)))</f>
        <v/>
      </c>
      <c r="V370" s="11">
        <f>IF(J370="","",S370*(IFERROR(INDEX(Settings!$B$5:$B$9,MATCH($B370,Settings!$A$5:$A$9,0)),0)+IFERROR(INDEX(Settings!$E$5:$E$9,MATCH($B370,Settings!$A$5:$A$9,0)),0)+IFERROR(INDEX(Settings!$G$5:$G$9,MATCH($B370,Settings!$A$5:$A$9,0)),0))+(IFERROR(INDEX(Settings!$C$5:$C$9,MATCH($B370,Settings!$A$5:$A$9,0)),0)+IFERROR(INDEX(Settings!$F$5:$F$9,MATCH($B370,Settings!$A$5:$A$9,0)),0))/P370+IFERROR(INDEX(Settings!$D$5:$D$9,MATCH($B370,Settings!$A$5:$A$9,0)),0)*M370)</f>
        <v/>
      </c>
      <c r="W370" s="11">
        <f>IF(J370="","",IF(T370="",0,M370*INDEX(Products!$I$5:$I$204,T370)))</f>
        <v/>
      </c>
      <c r="X370" s="11">
        <f>IF(J370="","",IF(T370="",0,S370*INDEX(Products!$H$5:$H$204,T370)))</f>
        <v/>
      </c>
      <c r="Y370" s="11">
        <f>IF(J370="","",S370-V370-W370-X370)</f>
        <v/>
      </c>
    </row>
    <row r="371">
      <c r="A371" s="19" t="n"/>
      <c r="B371" s="19" t="n"/>
      <c r="C371" s="19" t="n"/>
      <c r="D371" s="19" t="n"/>
      <c r="E371" s="19" t="n"/>
      <c r="F371" s="20" t="n"/>
      <c r="G371" s="20" t="n"/>
      <c r="H371" s="20" t="n"/>
      <c r="I371" s="19" t="n"/>
      <c r="J371">
        <f>IFERROR(IF(C371="","",C371)&amp;"","")</f>
        <v/>
      </c>
      <c r="K371">
        <f>IFERROR(IF(D371="","",D371)&amp;"","")</f>
        <v/>
      </c>
      <c r="L371">
        <f>IFERROR(IF(I371="","",I371)&amp;"","")</f>
        <v/>
      </c>
      <c r="M371">
        <f>IF(J371="","",IFERROR(VALUE(SUBSTITUTE(SUBSTITUTE(IF(E371="","",E371)&amp;"","$",""),",","")),0))</f>
        <v/>
      </c>
      <c r="N371" s="11">
        <f>IF(J371="","",IFERROR(VALUE(SUBSTITUTE(SUBSTITUTE(IF(F371="","",F371)&amp;"","$",""),",","")),0))</f>
        <v/>
      </c>
      <c r="O371" s="11">
        <f>IF(J371="","",M371*N371)</f>
        <v/>
      </c>
      <c r="P371">
        <f>IF(J371="","",IF(L371="",1,COUNTIF($L$2:$L$1501,L371)))</f>
        <v/>
      </c>
      <c r="Q371" s="11">
        <f>IF(J371="","",IFERROR(VALUE(SUBSTITUTE(SUBSTITUTE(IF(G371="","",G371)&amp;"","$",""),",","")),0)/IF("No"="Yes",P371,1))</f>
        <v/>
      </c>
      <c r="R371" s="11">
        <f>IF(J371="","",IFERROR(VALUE(SUBSTITUTE(SUBSTITUTE(IF(H371="","",H371)&amp;"","$",""),",","")),0)/IF("No"="Yes",P371,1))</f>
        <v/>
      </c>
      <c r="S371" s="11">
        <f>IF(J371="","",O371+Q371-R371)</f>
        <v/>
      </c>
      <c r="T371">
        <f>IF(J371="","",IFERROR(IF(K371="",NA(),MATCH(K371,Products!$B$5:$B$204,0)),IFERROR(MATCH(J371,Products!$A$5:$A$204,0),"")))</f>
        <v/>
      </c>
      <c r="U371">
        <f>IF(J371="","",IF(T371="","⚠ not in Products",INDEX(Products!$A$5:$A$204,T371)))</f>
        <v/>
      </c>
      <c r="V371" s="11">
        <f>IF(J371="","",S371*(IFERROR(INDEX(Settings!$B$5:$B$9,MATCH($B371,Settings!$A$5:$A$9,0)),0)+IFERROR(INDEX(Settings!$E$5:$E$9,MATCH($B371,Settings!$A$5:$A$9,0)),0)+IFERROR(INDEX(Settings!$G$5:$G$9,MATCH($B371,Settings!$A$5:$A$9,0)),0))+(IFERROR(INDEX(Settings!$C$5:$C$9,MATCH($B371,Settings!$A$5:$A$9,0)),0)+IFERROR(INDEX(Settings!$F$5:$F$9,MATCH($B371,Settings!$A$5:$A$9,0)),0))/P371+IFERROR(INDEX(Settings!$D$5:$D$9,MATCH($B371,Settings!$A$5:$A$9,0)),0)*M371)</f>
        <v/>
      </c>
      <c r="W371" s="11">
        <f>IF(J371="","",IF(T371="",0,M371*INDEX(Products!$I$5:$I$204,T371)))</f>
        <v/>
      </c>
      <c r="X371" s="11">
        <f>IF(J371="","",IF(T371="",0,S371*INDEX(Products!$H$5:$H$204,T371)))</f>
        <v/>
      </c>
      <c r="Y371" s="11">
        <f>IF(J371="","",S371-V371-W371-X371)</f>
        <v/>
      </c>
    </row>
    <row r="372">
      <c r="A372" s="19" t="n"/>
      <c r="B372" s="19" t="n"/>
      <c r="C372" s="19" t="n"/>
      <c r="D372" s="19" t="n"/>
      <c r="E372" s="19" t="n"/>
      <c r="F372" s="20" t="n"/>
      <c r="G372" s="20" t="n"/>
      <c r="H372" s="20" t="n"/>
      <c r="I372" s="19" t="n"/>
      <c r="J372">
        <f>IFERROR(IF(C372="","",C372)&amp;"","")</f>
        <v/>
      </c>
      <c r="K372">
        <f>IFERROR(IF(D372="","",D372)&amp;"","")</f>
        <v/>
      </c>
      <c r="L372">
        <f>IFERROR(IF(I372="","",I372)&amp;"","")</f>
        <v/>
      </c>
      <c r="M372">
        <f>IF(J372="","",IFERROR(VALUE(SUBSTITUTE(SUBSTITUTE(IF(E372="","",E372)&amp;"","$",""),",","")),0))</f>
        <v/>
      </c>
      <c r="N372" s="11">
        <f>IF(J372="","",IFERROR(VALUE(SUBSTITUTE(SUBSTITUTE(IF(F372="","",F372)&amp;"","$",""),",","")),0))</f>
        <v/>
      </c>
      <c r="O372" s="11">
        <f>IF(J372="","",M372*N372)</f>
        <v/>
      </c>
      <c r="P372">
        <f>IF(J372="","",IF(L372="",1,COUNTIF($L$2:$L$1501,L372)))</f>
        <v/>
      </c>
      <c r="Q372" s="11">
        <f>IF(J372="","",IFERROR(VALUE(SUBSTITUTE(SUBSTITUTE(IF(G372="","",G372)&amp;"","$",""),",","")),0)/IF("No"="Yes",P372,1))</f>
        <v/>
      </c>
      <c r="R372" s="11">
        <f>IF(J372="","",IFERROR(VALUE(SUBSTITUTE(SUBSTITUTE(IF(H372="","",H372)&amp;"","$",""),",","")),0)/IF("No"="Yes",P372,1))</f>
        <v/>
      </c>
      <c r="S372" s="11">
        <f>IF(J372="","",O372+Q372-R372)</f>
        <v/>
      </c>
      <c r="T372">
        <f>IF(J372="","",IFERROR(IF(K372="",NA(),MATCH(K372,Products!$B$5:$B$204,0)),IFERROR(MATCH(J372,Products!$A$5:$A$204,0),"")))</f>
        <v/>
      </c>
      <c r="U372">
        <f>IF(J372="","",IF(T372="","⚠ not in Products",INDEX(Products!$A$5:$A$204,T372)))</f>
        <v/>
      </c>
      <c r="V372" s="11">
        <f>IF(J372="","",S372*(IFERROR(INDEX(Settings!$B$5:$B$9,MATCH($B372,Settings!$A$5:$A$9,0)),0)+IFERROR(INDEX(Settings!$E$5:$E$9,MATCH($B372,Settings!$A$5:$A$9,0)),0)+IFERROR(INDEX(Settings!$G$5:$G$9,MATCH($B372,Settings!$A$5:$A$9,0)),0))+(IFERROR(INDEX(Settings!$C$5:$C$9,MATCH($B372,Settings!$A$5:$A$9,0)),0)+IFERROR(INDEX(Settings!$F$5:$F$9,MATCH($B372,Settings!$A$5:$A$9,0)),0))/P372+IFERROR(INDEX(Settings!$D$5:$D$9,MATCH($B372,Settings!$A$5:$A$9,0)),0)*M372)</f>
        <v/>
      </c>
      <c r="W372" s="11">
        <f>IF(J372="","",IF(T372="",0,M372*INDEX(Products!$I$5:$I$204,T372)))</f>
        <v/>
      </c>
      <c r="X372" s="11">
        <f>IF(J372="","",IF(T372="",0,S372*INDEX(Products!$H$5:$H$204,T372)))</f>
        <v/>
      </c>
      <c r="Y372" s="11">
        <f>IF(J372="","",S372-V372-W372-X372)</f>
        <v/>
      </c>
    </row>
    <row r="373">
      <c r="A373" s="19" t="n"/>
      <c r="B373" s="19" t="n"/>
      <c r="C373" s="19" t="n"/>
      <c r="D373" s="19" t="n"/>
      <c r="E373" s="19" t="n"/>
      <c r="F373" s="20" t="n"/>
      <c r="G373" s="20" t="n"/>
      <c r="H373" s="20" t="n"/>
      <c r="I373" s="19" t="n"/>
      <c r="J373">
        <f>IFERROR(IF(C373="","",C373)&amp;"","")</f>
        <v/>
      </c>
      <c r="K373">
        <f>IFERROR(IF(D373="","",D373)&amp;"","")</f>
        <v/>
      </c>
      <c r="L373">
        <f>IFERROR(IF(I373="","",I373)&amp;"","")</f>
        <v/>
      </c>
      <c r="M373">
        <f>IF(J373="","",IFERROR(VALUE(SUBSTITUTE(SUBSTITUTE(IF(E373="","",E373)&amp;"","$",""),",","")),0))</f>
        <v/>
      </c>
      <c r="N373" s="11">
        <f>IF(J373="","",IFERROR(VALUE(SUBSTITUTE(SUBSTITUTE(IF(F373="","",F373)&amp;"","$",""),",","")),0))</f>
        <v/>
      </c>
      <c r="O373" s="11">
        <f>IF(J373="","",M373*N373)</f>
        <v/>
      </c>
      <c r="P373">
        <f>IF(J373="","",IF(L373="",1,COUNTIF($L$2:$L$1501,L373)))</f>
        <v/>
      </c>
      <c r="Q373" s="11">
        <f>IF(J373="","",IFERROR(VALUE(SUBSTITUTE(SUBSTITUTE(IF(G373="","",G373)&amp;"","$",""),",","")),0)/IF("No"="Yes",P373,1))</f>
        <v/>
      </c>
      <c r="R373" s="11">
        <f>IF(J373="","",IFERROR(VALUE(SUBSTITUTE(SUBSTITUTE(IF(H373="","",H373)&amp;"","$",""),",","")),0)/IF("No"="Yes",P373,1))</f>
        <v/>
      </c>
      <c r="S373" s="11">
        <f>IF(J373="","",O373+Q373-R373)</f>
        <v/>
      </c>
      <c r="T373">
        <f>IF(J373="","",IFERROR(IF(K373="",NA(),MATCH(K373,Products!$B$5:$B$204,0)),IFERROR(MATCH(J373,Products!$A$5:$A$204,0),"")))</f>
        <v/>
      </c>
      <c r="U373">
        <f>IF(J373="","",IF(T373="","⚠ not in Products",INDEX(Products!$A$5:$A$204,T373)))</f>
        <v/>
      </c>
      <c r="V373" s="11">
        <f>IF(J373="","",S373*(IFERROR(INDEX(Settings!$B$5:$B$9,MATCH($B373,Settings!$A$5:$A$9,0)),0)+IFERROR(INDEX(Settings!$E$5:$E$9,MATCH($B373,Settings!$A$5:$A$9,0)),0)+IFERROR(INDEX(Settings!$G$5:$G$9,MATCH($B373,Settings!$A$5:$A$9,0)),0))+(IFERROR(INDEX(Settings!$C$5:$C$9,MATCH($B373,Settings!$A$5:$A$9,0)),0)+IFERROR(INDEX(Settings!$F$5:$F$9,MATCH($B373,Settings!$A$5:$A$9,0)),0))/P373+IFERROR(INDEX(Settings!$D$5:$D$9,MATCH($B373,Settings!$A$5:$A$9,0)),0)*M373)</f>
        <v/>
      </c>
      <c r="W373" s="11">
        <f>IF(J373="","",IF(T373="",0,M373*INDEX(Products!$I$5:$I$204,T373)))</f>
        <v/>
      </c>
      <c r="X373" s="11">
        <f>IF(J373="","",IF(T373="",0,S373*INDEX(Products!$H$5:$H$204,T373)))</f>
        <v/>
      </c>
      <c r="Y373" s="11">
        <f>IF(J373="","",S373-V373-W373-X373)</f>
        <v/>
      </c>
    </row>
    <row r="374">
      <c r="A374" s="19" t="n"/>
      <c r="B374" s="19" t="n"/>
      <c r="C374" s="19" t="n"/>
      <c r="D374" s="19" t="n"/>
      <c r="E374" s="19" t="n"/>
      <c r="F374" s="20" t="n"/>
      <c r="G374" s="20" t="n"/>
      <c r="H374" s="20" t="n"/>
      <c r="I374" s="19" t="n"/>
      <c r="J374">
        <f>IFERROR(IF(C374="","",C374)&amp;"","")</f>
        <v/>
      </c>
      <c r="K374">
        <f>IFERROR(IF(D374="","",D374)&amp;"","")</f>
        <v/>
      </c>
      <c r="L374">
        <f>IFERROR(IF(I374="","",I374)&amp;"","")</f>
        <v/>
      </c>
      <c r="M374">
        <f>IF(J374="","",IFERROR(VALUE(SUBSTITUTE(SUBSTITUTE(IF(E374="","",E374)&amp;"","$",""),",","")),0))</f>
        <v/>
      </c>
      <c r="N374" s="11">
        <f>IF(J374="","",IFERROR(VALUE(SUBSTITUTE(SUBSTITUTE(IF(F374="","",F374)&amp;"","$",""),",","")),0))</f>
        <v/>
      </c>
      <c r="O374" s="11">
        <f>IF(J374="","",M374*N374)</f>
        <v/>
      </c>
      <c r="P374">
        <f>IF(J374="","",IF(L374="",1,COUNTIF($L$2:$L$1501,L374)))</f>
        <v/>
      </c>
      <c r="Q374" s="11">
        <f>IF(J374="","",IFERROR(VALUE(SUBSTITUTE(SUBSTITUTE(IF(G374="","",G374)&amp;"","$",""),",","")),0)/IF("No"="Yes",P374,1))</f>
        <v/>
      </c>
      <c r="R374" s="11">
        <f>IF(J374="","",IFERROR(VALUE(SUBSTITUTE(SUBSTITUTE(IF(H374="","",H374)&amp;"","$",""),",","")),0)/IF("No"="Yes",P374,1))</f>
        <v/>
      </c>
      <c r="S374" s="11">
        <f>IF(J374="","",O374+Q374-R374)</f>
        <v/>
      </c>
      <c r="T374">
        <f>IF(J374="","",IFERROR(IF(K374="",NA(),MATCH(K374,Products!$B$5:$B$204,0)),IFERROR(MATCH(J374,Products!$A$5:$A$204,0),"")))</f>
        <v/>
      </c>
      <c r="U374">
        <f>IF(J374="","",IF(T374="","⚠ not in Products",INDEX(Products!$A$5:$A$204,T374)))</f>
        <v/>
      </c>
      <c r="V374" s="11">
        <f>IF(J374="","",S374*(IFERROR(INDEX(Settings!$B$5:$B$9,MATCH($B374,Settings!$A$5:$A$9,0)),0)+IFERROR(INDEX(Settings!$E$5:$E$9,MATCH($B374,Settings!$A$5:$A$9,0)),0)+IFERROR(INDEX(Settings!$G$5:$G$9,MATCH($B374,Settings!$A$5:$A$9,0)),0))+(IFERROR(INDEX(Settings!$C$5:$C$9,MATCH($B374,Settings!$A$5:$A$9,0)),0)+IFERROR(INDEX(Settings!$F$5:$F$9,MATCH($B374,Settings!$A$5:$A$9,0)),0))/P374+IFERROR(INDEX(Settings!$D$5:$D$9,MATCH($B374,Settings!$A$5:$A$9,0)),0)*M374)</f>
        <v/>
      </c>
      <c r="W374" s="11">
        <f>IF(J374="","",IF(T374="",0,M374*INDEX(Products!$I$5:$I$204,T374)))</f>
        <v/>
      </c>
      <c r="X374" s="11">
        <f>IF(J374="","",IF(T374="",0,S374*INDEX(Products!$H$5:$H$204,T374)))</f>
        <v/>
      </c>
      <c r="Y374" s="11">
        <f>IF(J374="","",S374-V374-W374-X374)</f>
        <v/>
      </c>
    </row>
    <row r="375">
      <c r="A375" s="19" t="n"/>
      <c r="B375" s="19" t="n"/>
      <c r="C375" s="19" t="n"/>
      <c r="D375" s="19" t="n"/>
      <c r="E375" s="19" t="n"/>
      <c r="F375" s="20" t="n"/>
      <c r="G375" s="20" t="n"/>
      <c r="H375" s="20" t="n"/>
      <c r="I375" s="19" t="n"/>
      <c r="J375">
        <f>IFERROR(IF(C375="","",C375)&amp;"","")</f>
        <v/>
      </c>
      <c r="K375">
        <f>IFERROR(IF(D375="","",D375)&amp;"","")</f>
        <v/>
      </c>
      <c r="L375">
        <f>IFERROR(IF(I375="","",I375)&amp;"","")</f>
        <v/>
      </c>
      <c r="M375">
        <f>IF(J375="","",IFERROR(VALUE(SUBSTITUTE(SUBSTITUTE(IF(E375="","",E375)&amp;"","$",""),",","")),0))</f>
        <v/>
      </c>
      <c r="N375" s="11">
        <f>IF(J375="","",IFERROR(VALUE(SUBSTITUTE(SUBSTITUTE(IF(F375="","",F375)&amp;"","$",""),",","")),0))</f>
        <v/>
      </c>
      <c r="O375" s="11">
        <f>IF(J375="","",M375*N375)</f>
        <v/>
      </c>
      <c r="P375">
        <f>IF(J375="","",IF(L375="",1,COUNTIF($L$2:$L$1501,L375)))</f>
        <v/>
      </c>
      <c r="Q375" s="11">
        <f>IF(J375="","",IFERROR(VALUE(SUBSTITUTE(SUBSTITUTE(IF(G375="","",G375)&amp;"","$",""),",","")),0)/IF("No"="Yes",P375,1))</f>
        <v/>
      </c>
      <c r="R375" s="11">
        <f>IF(J375="","",IFERROR(VALUE(SUBSTITUTE(SUBSTITUTE(IF(H375="","",H375)&amp;"","$",""),",","")),0)/IF("No"="Yes",P375,1))</f>
        <v/>
      </c>
      <c r="S375" s="11">
        <f>IF(J375="","",O375+Q375-R375)</f>
        <v/>
      </c>
      <c r="T375">
        <f>IF(J375="","",IFERROR(IF(K375="",NA(),MATCH(K375,Products!$B$5:$B$204,0)),IFERROR(MATCH(J375,Products!$A$5:$A$204,0),"")))</f>
        <v/>
      </c>
      <c r="U375">
        <f>IF(J375="","",IF(T375="","⚠ not in Products",INDEX(Products!$A$5:$A$204,T375)))</f>
        <v/>
      </c>
      <c r="V375" s="11">
        <f>IF(J375="","",S375*(IFERROR(INDEX(Settings!$B$5:$B$9,MATCH($B375,Settings!$A$5:$A$9,0)),0)+IFERROR(INDEX(Settings!$E$5:$E$9,MATCH($B375,Settings!$A$5:$A$9,0)),0)+IFERROR(INDEX(Settings!$G$5:$G$9,MATCH($B375,Settings!$A$5:$A$9,0)),0))+(IFERROR(INDEX(Settings!$C$5:$C$9,MATCH($B375,Settings!$A$5:$A$9,0)),0)+IFERROR(INDEX(Settings!$F$5:$F$9,MATCH($B375,Settings!$A$5:$A$9,0)),0))/P375+IFERROR(INDEX(Settings!$D$5:$D$9,MATCH($B375,Settings!$A$5:$A$9,0)),0)*M375)</f>
        <v/>
      </c>
      <c r="W375" s="11">
        <f>IF(J375="","",IF(T375="",0,M375*INDEX(Products!$I$5:$I$204,T375)))</f>
        <v/>
      </c>
      <c r="X375" s="11">
        <f>IF(J375="","",IF(T375="",0,S375*INDEX(Products!$H$5:$H$204,T375)))</f>
        <v/>
      </c>
      <c r="Y375" s="11">
        <f>IF(J375="","",S375-V375-W375-X375)</f>
        <v/>
      </c>
    </row>
    <row r="376">
      <c r="A376" s="19" t="n"/>
      <c r="B376" s="19" t="n"/>
      <c r="C376" s="19" t="n"/>
      <c r="D376" s="19" t="n"/>
      <c r="E376" s="19" t="n"/>
      <c r="F376" s="20" t="n"/>
      <c r="G376" s="20" t="n"/>
      <c r="H376" s="20" t="n"/>
      <c r="I376" s="19" t="n"/>
      <c r="J376">
        <f>IFERROR(IF(C376="","",C376)&amp;"","")</f>
        <v/>
      </c>
      <c r="K376">
        <f>IFERROR(IF(D376="","",D376)&amp;"","")</f>
        <v/>
      </c>
      <c r="L376">
        <f>IFERROR(IF(I376="","",I376)&amp;"","")</f>
        <v/>
      </c>
      <c r="M376">
        <f>IF(J376="","",IFERROR(VALUE(SUBSTITUTE(SUBSTITUTE(IF(E376="","",E376)&amp;"","$",""),",","")),0))</f>
        <v/>
      </c>
      <c r="N376" s="11">
        <f>IF(J376="","",IFERROR(VALUE(SUBSTITUTE(SUBSTITUTE(IF(F376="","",F376)&amp;"","$",""),",","")),0))</f>
        <v/>
      </c>
      <c r="O376" s="11">
        <f>IF(J376="","",M376*N376)</f>
        <v/>
      </c>
      <c r="P376">
        <f>IF(J376="","",IF(L376="",1,COUNTIF($L$2:$L$1501,L376)))</f>
        <v/>
      </c>
      <c r="Q376" s="11">
        <f>IF(J376="","",IFERROR(VALUE(SUBSTITUTE(SUBSTITUTE(IF(G376="","",G376)&amp;"","$",""),",","")),0)/IF("No"="Yes",P376,1))</f>
        <v/>
      </c>
      <c r="R376" s="11">
        <f>IF(J376="","",IFERROR(VALUE(SUBSTITUTE(SUBSTITUTE(IF(H376="","",H376)&amp;"","$",""),",","")),0)/IF("No"="Yes",P376,1))</f>
        <v/>
      </c>
      <c r="S376" s="11">
        <f>IF(J376="","",O376+Q376-R376)</f>
        <v/>
      </c>
      <c r="T376">
        <f>IF(J376="","",IFERROR(IF(K376="",NA(),MATCH(K376,Products!$B$5:$B$204,0)),IFERROR(MATCH(J376,Products!$A$5:$A$204,0),"")))</f>
        <v/>
      </c>
      <c r="U376">
        <f>IF(J376="","",IF(T376="","⚠ not in Products",INDEX(Products!$A$5:$A$204,T376)))</f>
        <v/>
      </c>
      <c r="V376" s="11">
        <f>IF(J376="","",S376*(IFERROR(INDEX(Settings!$B$5:$B$9,MATCH($B376,Settings!$A$5:$A$9,0)),0)+IFERROR(INDEX(Settings!$E$5:$E$9,MATCH($B376,Settings!$A$5:$A$9,0)),0)+IFERROR(INDEX(Settings!$G$5:$G$9,MATCH($B376,Settings!$A$5:$A$9,0)),0))+(IFERROR(INDEX(Settings!$C$5:$C$9,MATCH($B376,Settings!$A$5:$A$9,0)),0)+IFERROR(INDEX(Settings!$F$5:$F$9,MATCH($B376,Settings!$A$5:$A$9,0)),0))/P376+IFERROR(INDEX(Settings!$D$5:$D$9,MATCH($B376,Settings!$A$5:$A$9,0)),0)*M376)</f>
        <v/>
      </c>
      <c r="W376" s="11">
        <f>IF(J376="","",IF(T376="",0,M376*INDEX(Products!$I$5:$I$204,T376)))</f>
        <v/>
      </c>
      <c r="X376" s="11">
        <f>IF(J376="","",IF(T376="",0,S376*INDEX(Products!$H$5:$H$204,T376)))</f>
        <v/>
      </c>
      <c r="Y376" s="11">
        <f>IF(J376="","",S376-V376-W376-X376)</f>
        <v/>
      </c>
    </row>
    <row r="377">
      <c r="A377" s="19" t="n"/>
      <c r="B377" s="19" t="n"/>
      <c r="C377" s="19" t="n"/>
      <c r="D377" s="19" t="n"/>
      <c r="E377" s="19" t="n"/>
      <c r="F377" s="20" t="n"/>
      <c r="G377" s="20" t="n"/>
      <c r="H377" s="20" t="n"/>
      <c r="I377" s="19" t="n"/>
      <c r="J377">
        <f>IFERROR(IF(C377="","",C377)&amp;"","")</f>
        <v/>
      </c>
      <c r="K377">
        <f>IFERROR(IF(D377="","",D377)&amp;"","")</f>
        <v/>
      </c>
      <c r="L377">
        <f>IFERROR(IF(I377="","",I377)&amp;"","")</f>
        <v/>
      </c>
      <c r="M377">
        <f>IF(J377="","",IFERROR(VALUE(SUBSTITUTE(SUBSTITUTE(IF(E377="","",E377)&amp;"","$",""),",","")),0))</f>
        <v/>
      </c>
      <c r="N377" s="11">
        <f>IF(J377="","",IFERROR(VALUE(SUBSTITUTE(SUBSTITUTE(IF(F377="","",F377)&amp;"","$",""),",","")),0))</f>
        <v/>
      </c>
      <c r="O377" s="11">
        <f>IF(J377="","",M377*N377)</f>
        <v/>
      </c>
      <c r="P377">
        <f>IF(J377="","",IF(L377="",1,COUNTIF($L$2:$L$1501,L377)))</f>
        <v/>
      </c>
      <c r="Q377" s="11">
        <f>IF(J377="","",IFERROR(VALUE(SUBSTITUTE(SUBSTITUTE(IF(G377="","",G377)&amp;"","$",""),",","")),0)/IF("No"="Yes",P377,1))</f>
        <v/>
      </c>
      <c r="R377" s="11">
        <f>IF(J377="","",IFERROR(VALUE(SUBSTITUTE(SUBSTITUTE(IF(H377="","",H377)&amp;"","$",""),",","")),0)/IF("No"="Yes",P377,1))</f>
        <v/>
      </c>
      <c r="S377" s="11">
        <f>IF(J377="","",O377+Q377-R377)</f>
        <v/>
      </c>
      <c r="T377">
        <f>IF(J377="","",IFERROR(IF(K377="",NA(),MATCH(K377,Products!$B$5:$B$204,0)),IFERROR(MATCH(J377,Products!$A$5:$A$204,0),"")))</f>
        <v/>
      </c>
      <c r="U377">
        <f>IF(J377="","",IF(T377="","⚠ not in Products",INDEX(Products!$A$5:$A$204,T377)))</f>
        <v/>
      </c>
      <c r="V377" s="11">
        <f>IF(J377="","",S377*(IFERROR(INDEX(Settings!$B$5:$B$9,MATCH($B377,Settings!$A$5:$A$9,0)),0)+IFERROR(INDEX(Settings!$E$5:$E$9,MATCH($B377,Settings!$A$5:$A$9,0)),0)+IFERROR(INDEX(Settings!$G$5:$G$9,MATCH($B377,Settings!$A$5:$A$9,0)),0))+(IFERROR(INDEX(Settings!$C$5:$C$9,MATCH($B377,Settings!$A$5:$A$9,0)),0)+IFERROR(INDEX(Settings!$F$5:$F$9,MATCH($B377,Settings!$A$5:$A$9,0)),0))/P377+IFERROR(INDEX(Settings!$D$5:$D$9,MATCH($B377,Settings!$A$5:$A$9,0)),0)*M377)</f>
        <v/>
      </c>
      <c r="W377" s="11">
        <f>IF(J377="","",IF(T377="",0,M377*INDEX(Products!$I$5:$I$204,T377)))</f>
        <v/>
      </c>
      <c r="X377" s="11">
        <f>IF(J377="","",IF(T377="",0,S377*INDEX(Products!$H$5:$H$204,T377)))</f>
        <v/>
      </c>
      <c r="Y377" s="11">
        <f>IF(J377="","",S377-V377-W377-X377)</f>
        <v/>
      </c>
    </row>
    <row r="378">
      <c r="A378" s="19" t="n"/>
      <c r="B378" s="19" t="n"/>
      <c r="C378" s="19" t="n"/>
      <c r="D378" s="19" t="n"/>
      <c r="E378" s="19" t="n"/>
      <c r="F378" s="20" t="n"/>
      <c r="G378" s="20" t="n"/>
      <c r="H378" s="20" t="n"/>
      <c r="I378" s="19" t="n"/>
      <c r="J378">
        <f>IFERROR(IF(C378="","",C378)&amp;"","")</f>
        <v/>
      </c>
      <c r="K378">
        <f>IFERROR(IF(D378="","",D378)&amp;"","")</f>
        <v/>
      </c>
      <c r="L378">
        <f>IFERROR(IF(I378="","",I378)&amp;"","")</f>
        <v/>
      </c>
      <c r="M378">
        <f>IF(J378="","",IFERROR(VALUE(SUBSTITUTE(SUBSTITUTE(IF(E378="","",E378)&amp;"","$",""),",","")),0))</f>
        <v/>
      </c>
      <c r="N378" s="11">
        <f>IF(J378="","",IFERROR(VALUE(SUBSTITUTE(SUBSTITUTE(IF(F378="","",F378)&amp;"","$",""),",","")),0))</f>
        <v/>
      </c>
      <c r="O378" s="11">
        <f>IF(J378="","",M378*N378)</f>
        <v/>
      </c>
      <c r="P378">
        <f>IF(J378="","",IF(L378="",1,COUNTIF($L$2:$L$1501,L378)))</f>
        <v/>
      </c>
      <c r="Q378" s="11">
        <f>IF(J378="","",IFERROR(VALUE(SUBSTITUTE(SUBSTITUTE(IF(G378="","",G378)&amp;"","$",""),",","")),0)/IF("No"="Yes",P378,1))</f>
        <v/>
      </c>
      <c r="R378" s="11">
        <f>IF(J378="","",IFERROR(VALUE(SUBSTITUTE(SUBSTITUTE(IF(H378="","",H378)&amp;"","$",""),",","")),0)/IF("No"="Yes",P378,1))</f>
        <v/>
      </c>
      <c r="S378" s="11">
        <f>IF(J378="","",O378+Q378-R378)</f>
        <v/>
      </c>
      <c r="T378">
        <f>IF(J378="","",IFERROR(IF(K378="",NA(),MATCH(K378,Products!$B$5:$B$204,0)),IFERROR(MATCH(J378,Products!$A$5:$A$204,0),"")))</f>
        <v/>
      </c>
      <c r="U378">
        <f>IF(J378="","",IF(T378="","⚠ not in Products",INDEX(Products!$A$5:$A$204,T378)))</f>
        <v/>
      </c>
      <c r="V378" s="11">
        <f>IF(J378="","",S378*(IFERROR(INDEX(Settings!$B$5:$B$9,MATCH($B378,Settings!$A$5:$A$9,0)),0)+IFERROR(INDEX(Settings!$E$5:$E$9,MATCH($B378,Settings!$A$5:$A$9,0)),0)+IFERROR(INDEX(Settings!$G$5:$G$9,MATCH($B378,Settings!$A$5:$A$9,0)),0))+(IFERROR(INDEX(Settings!$C$5:$C$9,MATCH($B378,Settings!$A$5:$A$9,0)),0)+IFERROR(INDEX(Settings!$F$5:$F$9,MATCH($B378,Settings!$A$5:$A$9,0)),0))/P378+IFERROR(INDEX(Settings!$D$5:$D$9,MATCH($B378,Settings!$A$5:$A$9,0)),0)*M378)</f>
        <v/>
      </c>
      <c r="W378" s="11">
        <f>IF(J378="","",IF(T378="",0,M378*INDEX(Products!$I$5:$I$204,T378)))</f>
        <v/>
      </c>
      <c r="X378" s="11">
        <f>IF(J378="","",IF(T378="",0,S378*INDEX(Products!$H$5:$H$204,T378)))</f>
        <v/>
      </c>
      <c r="Y378" s="11">
        <f>IF(J378="","",S378-V378-W378-X378)</f>
        <v/>
      </c>
    </row>
    <row r="379">
      <c r="A379" s="19" t="n"/>
      <c r="B379" s="19" t="n"/>
      <c r="C379" s="19" t="n"/>
      <c r="D379" s="19" t="n"/>
      <c r="E379" s="19" t="n"/>
      <c r="F379" s="20" t="n"/>
      <c r="G379" s="20" t="n"/>
      <c r="H379" s="20" t="n"/>
      <c r="I379" s="19" t="n"/>
      <c r="J379">
        <f>IFERROR(IF(C379="","",C379)&amp;"","")</f>
        <v/>
      </c>
      <c r="K379">
        <f>IFERROR(IF(D379="","",D379)&amp;"","")</f>
        <v/>
      </c>
      <c r="L379">
        <f>IFERROR(IF(I379="","",I379)&amp;"","")</f>
        <v/>
      </c>
      <c r="M379">
        <f>IF(J379="","",IFERROR(VALUE(SUBSTITUTE(SUBSTITUTE(IF(E379="","",E379)&amp;"","$",""),",","")),0))</f>
        <v/>
      </c>
      <c r="N379" s="11">
        <f>IF(J379="","",IFERROR(VALUE(SUBSTITUTE(SUBSTITUTE(IF(F379="","",F379)&amp;"","$",""),",","")),0))</f>
        <v/>
      </c>
      <c r="O379" s="11">
        <f>IF(J379="","",M379*N379)</f>
        <v/>
      </c>
      <c r="P379">
        <f>IF(J379="","",IF(L379="",1,COUNTIF($L$2:$L$1501,L379)))</f>
        <v/>
      </c>
      <c r="Q379" s="11">
        <f>IF(J379="","",IFERROR(VALUE(SUBSTITUTE(SUBSTITUTE(IF(G379="","",G379)&amp;"","$",""),",","")),0)/IF("No"="Yes",P379,1))</f>
        <v/>
      </c>
      <c r="R379" s="11">
        <f>IF(J379="","",IFERROR(VALUE(SUBSTITUTE(SUBSTITUTE(IF(H379="","",H379)&amp;"","$",""),",","")),0)/IF("No"="Yes",P379,1))</f>
        <v/>
      </c>
      <c r="S379" s="11">
        <f>IF(J379="","",O379+Q379-R379)</f>
        <v/>
      </c>
      <c r="T379">
        <f>IF(J379="","",IFERROR(IF(K379="",NA(),MATCH(K379,Products!$B$5:$B$204,0)),IFERROR(MATCH(J379,Products!$A$5:$A$204,0),"")))</f>
        <v/>
      </c>
      <c r="U379">
        <f>IF(J379="","",IF(T379="","⚠ not in Products",INDEX(Products!$A$5:$A$204,T379)))</f>
        <v/>
      </c>
      <c r="V379" s="11">
        <f>IF(J379="","",S379*(IFERROR(INDEX(Settings!$B$5:$B$9,MATCH($B379,Settings!$A$5:$A$9,0)),0)+IFERROR(INDEX(Settings!$E$5:$E$9,MATCH($B379,Settings!$A$5:$A$9,0)),0)+IFERROR(INDEX(Settings!$G$5:$G$9,MATCH($B379,Settings!$A$5:$A$9,0)),0))+(IFERROR(INDEX(Settings!$C$5:$C$9,MATCH($B379,Settings!$A$5:$A$9,0)),0)+IFERROR(INDEX(Settings!$F$5:$F$9,MATCH($B379,Settings!$A$5:$A$9,0)),0))/P379+IFERROR(INDEX(Settings!$D$5:$D$9,MATCH($B379,Settings!$A$5:$A$9,0)),0)*M379)</f>
        <v/>
      </c>
      <c r="W379" s="11">
        <f>IF(J379="","",IF(T379="",0,M379*INDEX(Products!$I$5:$I$204,T379)))</f>
        <v/>
      </c>
      <c r="X379" s="11">
        <f>IF(J379="","",IF(T379="",0,S379*INDEX(Products!$H$5:$H$204,T379)))</f>
        <v/>
      </c>
      <c r="Y379" s="11">
        <f>IF(J379="","",S379-V379-W379-X379)</f>
        <v/>
      </c>
    </row>
    <row r="380">
      <c r="A380" s="19" t="n"/>
      <c r="B380" s="19" t="n"/>
      <c r="C380" s="19" t="n"/>
      <c r="D380" s="19" t="n"/>
      <c r="E380" s="19" t="n"/>
      <c r="F380" s="20" t="n"/>
      <c r="G380" s="20" t="n"/>
      <c r="H380" s="20" t="n"/>
      <c r="I380" s="19" t="n"/>
      <c r="J380">
        <f>IFERROR(IF(C380="","",C380)&amp;"","")</f>
        <v/>
      </c>
      <c r="K380">
        <f>IFERROR(IF(D380="","",D380)&amp;"","")</f>
        <v/>
      </c>
      <c r="L380">
        <f>IFERROR(IF(I380="","",I380)&amp;"","")</f>
        <v/>
      </c>
      <c r="M380">
        <f>IF(J380="","",IFERROR(VALUE(SUBSTITUTE(SUBSTITUTE(IF(E380="","",E380)&amp;"","$",""),",","")),0))</f>
        <v/>
      </c>
      <c r="N380" s="11">
        <f>IF(J380="","",IFERROR(VALUE(SUBSTITUTE(SUBSTITUTE(IF(F380="","",F380)&amp;"","$",""),",","")),0))</f>
        <v/>
      </c>
      <c r="O380" s="11">
        <f>IF(J380="","",M380*N380)</f>
        <v/>
      </c>
      <c r="P380">
        <f>IF(J380="","",IF(L380="",1,COUNTIF($L$2:$L$1501,L380)))</f>
        <v/>
      </c>
      <c r="Q380" s="11">
        <f>IF(J380="","",IFERROR(VALUE(SUBSTITUTE(SUBSTITUTE(IF(G380="","",G380)&amp;"","$",""),",","")),0)/IF("No"="Yes",P380,1))</f>
        <v/>
      </c>
      <c r="R380" s="11">
        <f>IF(J380="","",IFERROR(VALUE(SUBSTITUTE(SUBSTITUTE(IF(H380="","",H380)&amp;"","$",""),",","")),0)/IF("No"="Yes",P380,1))</f>
        <v/>
      </c>
      <c r="S380" s="11">
        <f>IF(J380="","",O380+Q380-R380)</f>
        <v/>
      </c>
      <c r="T380">
        <f>IF(J380="","",IFERROR(IF(K380="",NA(),MATCH(K380,Products!$B$5:$B$204,0)),IFERROR(MATCH(J380,Products!$A$5:$A$204,0),"")))</f>
        <v/>
      </c>
      <c r="U380">
        <f>IF(J380="","",IF(T380="","⚠ not in Products",INDEX(Products!$A$5:$A$204,T380)))</f>
        <v/>
      </c>
      <c r="V380" s="11">
        <f>IF(J380="","",S380*(IFERROR(INDEX(Settings!$B$5:$B$9,MATCH($B380,Settings!$A$5:$A$9,0)),0)+IFERROR(INDEX(Settings!$E$5:$E$9,MATCH($B380,Settings!$A$5:$A$9,0)),0)+IFERROR(INDEX(Settings!$G$5:$G$9,MATCH($B380,Settings!$A$5:$A$9,0)),0))+(IFERROR(INDEX(Settings!$C$5:$C$9,MATCH($B380,Settings!$A$5:$A$9,0)),0)+IFERROR(INDEX(Settings!$F$5:$F$9,MATCH($B380,Settings!$A$5:$A$9,0)),0))/P380+IFERROR(INDEX(Settings!$D$5:$D$9,MATCH($B380,Settings!$A$5:$A$9,0)),0)*M380)</f>
        <v/>
      </c>
      <c r="W380" s="11">
        <f>IF(J380="","",IF(T380="",0,M380*INDEX(Products!$I$5:$I$204,T380)))</f>
        <v/>
      </c>
      <c r="X380" s="11">
        <f>IF(J380="","",IF(T380="",0,S380*INDEX(Products!$H$5:$H$204,T380)))</f>
        <v/>
      </c>
      <c r="Y380" s="11">
        <f>IF(J380="","",S380-V380-W380-X380)</f>
        <v/>
      </c>
    </row>
    <row r="381">
      <c r="A381" s="19" t="n"/>
      <c r="B381" s="19" t="n"/>
      <c r="C381" s="19" t="n"/>
      <c r="D381" s="19" t="n"/>
      <c r="E381" s="19" t="n"/>
      <c r="F381" s="20" t="n"/>
      <c r="G381" s="20" t="n"/>
      <c r="H381" s="20" t="n"/>
      <c r="I381" s="19" t="n"/>
      <c r="J381">
        <f>IFERROR(IF(C381="","",C381)&amp;"","")</f>
        <v/>
      </c>
      <c r="K381">
        <f>IFERROR(IF(D381="","",D381)&amp;"","")</f>
        <v/>
      </c>
      <c r="L381">
        <f>IFERROR(IF(I381="","",I381)&amp;"","")</f>
        <v/>
      </c>
      <c r="M381">
        <f>IF(J381="","",IFERROR(VALUE(SUBSTITUTE(SUBSTITUTE(IF(E381="","",E381)&amp;"","$",""),",","")),0))</f>
        <v/>
      </c>
      <c r="N381" s="11">
        <f>IF(J381="","",IFERROR(VALUE(SUBSTITUTE(SUBSTITUTE(IF(F381="","",F381)&amp;"","$",""),",","")),0))</f>
        <v/>
      </c>
      <c r="O381" s="11">
        <f>IF(J381="","",M381*N381)</f>
        <v/>
      </c>
      <c r="P381">
        <f>IF(J381="","",IF(L381="",1,COUNTIF($L$2:$L$1501,L381)))</f>
        <v/>
      </c>
      <c r="Q381" s="11">
        <f>IF(J381="","",IFERROR(VALUE(SUBSTITUTE(SUBSTITUTE(IF(G381="","",G381)&amp;"","$",""),",","")),0)/IF("No"="Yes",P381,1))</f>
        <v/>
      </c>
      <c r="R381" s="11">
        <f>IF(J381="","",IFERROR(VALUE(SUBSTITUTE(SUBSTITUTE(IF(H381="","",H381)&amp;"","$",""),",","")),0)/IF("No"="Yes",P381,1))</f>
        <v/>
      </c>
      <c r="S381" s="11">
        <f>IF(J381="","",O381+Q381-R381)</f>
        <v/>
      </c>
      <c r="T381">
        <f>IF(J381="","",IFERROR(IF(K381="",NA(),MATCH(K381,Products!$B$5:$B$204,0)),IFERROR(MATCH(J381,Products!$A$5:$A$204,0),"")))</f>
        <v/>
      </c>
      <c r="U381">
        <f>IF(J381="","",IF(T381="","⚠ not in Products",INDEX(Products!$A$5:$A$204,T381)))</f>
        <v/>
      </c>
      <c r="V381" s="11">
        <f>IF(J381="","",S381*(IFERROR(INDEX(Settings!$B$5:$B$9,MATCH($B381,Settings!$A$5:$A$9,0)),0)+IFERROR(INDEX(Settings!$E$5:$E$9,MATCH($B381,Settings!$A$5:$A$9,0)),0)+IFERROR(INDEX(Settings!$G$5:$G$9,MATCH($B381,Settings!$A$5:$A$9,0)),0))+(IFERROR(INDEX(Settings!$C$5:$C$9,MATCH($B381,Settings!$A$5:$A$9,0)),0)+IFERROR(INDEX(Settings!$F$5:$F$9,MATCH($B381,Settings!$A$5:$A$9,0)),0))/P381+IFERROR(INDEX(Settings!$D$5:$D$9,MATCH($B381,Settings!$A$5:$A$9,0)),0)*M381)</f>
        <v/>
      </c>
      <c r="W381" s="11">
        <f>IF(J381="","",IF(T381="",0,M381*INDEX(Products!$I$5:$I$204,T381)))</f>
        <v/>
      </c>
      <c r="X381" s="11">
        <f>IF(J381="","",IF(T381="",0,S381*INDEX(Products!$H$5:$H$204,T381)))</f>
        <v/>
      </c>
      <c r="Y381" s="11">
        <f>IF(J381="","",S381-V381-W381-X381)</f>
        <v/>
      </c>
    </row>
    <row r="382">
      <c r="A382" s="19" t="n"/>
      <c r="B382" s="19" t="n"/>
      <c r="C382" s="19" t="n"/>
      <c r="D382" s="19" t="n"/>
      <c r="E382" s="19" t="n"/>
      <c r="F382" s="20" t="n"/>
      <c r="G382" s="20" t="n"/>
      <c r="H382" s="20" t="n"/>
      <c r="I382" s="19" t="n"/>
      <c r="J382">
        <f>IFERROR(IF(C382="","",C382)&amp;"","")</f>
        <v/>
      </c>
      <c r="K382">
        <f>IFERROR(IF(D382="","",D382)&amp;"","")</f>
        <v/>
      </c>
      <c r="L382">
        <f>IFERROR(IF(I382="","",I382)&amp;"","")</f>
        <v/>
      </c>
      <c r="M382">
        <f>IF(J382="","",IFERROR(VALUE(SUBSTITUTE(SUBSTITUTE(IF(E382="","",E382)&amp;"","$",""),",","")),0))</f>
        <v/>
      </c>
      <c r="N382" s="11">
        <f>IF(J382="","",IFERROR(VALUE(SUBSTITUTE(SUBSTITUTE(IF(F382="","",F382)&amp;"","$",""),",","")),0))</f>
        <v/>
      </c>
      <c r="O382" s="11">
        <f>IF(J382="","",M382*N382)</f>
        <v/>
      </c>
      <c r="P382">
        <f>IF(J382="","",IF(L382="",1,COUNTIF($L$2:$L$1501,L382)))</f>
        <v/>
      </c>
      <c r="Q382" s="11">
        <f>IF(J382="","",IFERROR(VALUE(SUBSTITUTE(SUBSTITUTE(IF(G382="","",G382)&amp;"","$",""),",","")),0)/IF("No"="Yes",P382,1))</f>
        <v/>
      </c>
      <c r="R382" s="11">
        <f>IF(J382="","",IFERROR(VALUE(SUBSTITUTE(SUBSTITUTE(IF(H382="","",H382)&amp;"","$",""),",","")),0)/IF("No"="Yes",P382,1))</f>
        <v/>
      </c>
      <c r="S382" s="11">
        <f>IF(J382="","",O382+Q382-R382)</f>
        <v/>
      </c>
      <c r="T382">
        <f>IF(J382="","",IFERROR(IF(K382="",NA(),MATCH(K382,Products!$B$5:$B$204,0)),IFERROR(MATCH(J382,Products!$A$5:$A$204,0),"")))</f>
        <v/>
      </c>
      <c r="U382">
        <f>IF(J382="","",IF(T382="","⚠ not in Products",INDEX(Products!$A$5:$A$204,T382)))</f>
        <v/>
      </c>
      <c r="V382" s="11">
        <f>IF(J382="","",S382*(IFERROR(INDEX(Settings!$B$5:$B$9,MATCH($B382,Settings!$A$5:$A$9,0)),0)+IFERROR(INDEX(Settings!$E$5:$E$9,MATCH($B382,Settings!$A$5:$A$9,0)),0)+IFERROR(INDEX(Settings!$G$5:$G$9,MATCH($B382,Settings!$A$5:$A$9,0)),0))+(IFERROR(INDEX(Settings!$C$5:$C$9,MATCH($B382,Settings!$A$5:$A$9,0)),0)+IFERROR(INDEX(Settings!$F$5:$F$9,MATCH($B382,Settings!$A$5:$A$9,0)),0))/P382+IFERROR(INDEX(Settings!$D$5:$D$9,MATCH($B382,Settings!$A$5:$A$9,0)),0)*M382)</f>
        <v/>
      </c>
      <c r="W382" s="11">
        <f>IF(J382="","",IF(T382="",0,M382*INDEX(Products!$I$5:$I$204,T382)))</f>
        <v/>
      </c>
      <c r="X382" s="11">
        <f>IF(J382="","",IF(T382="",0,S382*INDEX(Products!$H$5:$H$204,T382)))</f>
        <v/>
      </c>
      <c r="Y382" s="11">
        <f>IF(J382="","",S382-V382-W382-X382)</f>
        <v/>
      </c>
    </row>
    <row r="383">
      <c r="A383" s="19" t="n"/>
      <c r="B383" s="19" t="n"/>
      <c r="C383" s="19" t="n"/>
      <c r="D383" s="19" t="n"/>
      <c r="E383" s="19" t="n"/>
      <c r="F383" s="20" t="n"/>
      <c r="G383" s="20" t="n"/>
      <c r="H383" s="20" t="n"/>
      <c r="I383" s="19" t="n"/>
      <c r="J383">
        <f>IFERROR(IF(C383="","",C383)&amp;"","")</f>
        <v/>
      </c>
      <c r="K383">
        <f>IFERROR(IF(D383="","",D383)&amp;"","")</f>
        <v/>
      </c>
      <c r="L383">
        <f>IFERROR(IF(I383="","",I383)&amp;"","")</f>
        <v/>
      </c>
      <c r="M383">
        <f>IF(J383="","",IFERROR(VALUE(SUBSTITUTE(SUBSTITUTE(IF(E383="","",E383)&amp;"","$",""),",","")),0))</f>
        <v/>
      </c>
      <c r="N383" s="11">
        <f>IF(J383="","",IFERROR(VALUE(SUBSTITUTE(SUBSTITUTE(IF(F383="","",F383)&amp;"","$",""),",","")),0))</f>
        <v/>
      </c>
      <c r="O383" s="11">
        <f>IF(J383="","",M383*N383)</f>
        <v/>
      </c>
      <c r="P383">
        <f>IF(J383="","",IF(L383="",1,COUNTIF($L$2:$L$1501,L383)))</f>
        <v/>
      </c>
      <c r="Q383" s="11">
        <f>IF(J383="","",IFERROR(VALUE(SUBSTITUTE(SUBSTITUTE(IF(G383="","",G383)&amp;"","$",""),",","")),0)/IF("No"="Yes",P383,1))</f>
        <v/>
      </c>
      <c r="R383" s="11">
        <f>IF(J383="","",IFERROR(VALUE(SUBSTITUTE(SUBSTITUTE(IF(H383="","",H383)&amp;"","$",""),",","")),0)/IF("No"="Yes",P383,1))</f>
        <v/>
      </c>
      <c r="S383" s="11">
        <f>IF(J383="","",O383+Q383-R383)</f>
        <v/>
      </c>
      <c r="T383">
        <f>IF(J383="","",IFERROR(IF(K383="",NA(),MATCH(K383,Products!$B$5:$B$204,0)),IFERROR(MATCH(J383,Products!$A$5:$A$204,0),"")))</f>
        <v/>
      </c>
      <c r="U383">
        <f>IF(J383="","",IF(T383="","⚠ not in Products",INDEX(Products!$A$5:$A$204,T383)))</f>
        <v/>
      </c>
      <c r="V383" s="11">
        <f>IF(J383="","",S383*(IFERROR(INDEX(Settings!$B$5:$B$9,MATCH($B383,Settings!$A$5:$A$9,0)),0)+IFERROR(INDEX(Settings!$E$5:$E$9,MATCH($B383,Settings!$A$5:$A$9,0)),0)+IFERROR(INDEX(Settings!$G$5:$G$9,MATCH($B383,Settings!$A$5:$A$9,0)),0))+(IFERROR(INDEX(Settings!$C$5:$C$9,MATCH($B383,Settings!$A$5:$A$9,0)),0)+IFERROR(INDEX(Settings!$F$5:$F$9,MATCH($B383,Settings!$A$5:$A$9,0)),0))/P383+IFERROR(INDEX(Settings!$D$5:$D$9,MATCH($B383,Settings!$A$5:$A$9,0)),0)*M383)</f>
        <v/>
      </c>
      <c r="W383" s="11">
        <f>IF(J383="","",IF(T383="",0,M383*INDEX(Products!$I$5:$I$204,T383)))</f>
        <v/>
      </c>
      <c r="X383" s="11">
        <f>IF(J383="","",IF(T383="",0,S383*INDEX(Products!$H$5:$H$204,T383)))</f>
        <v/>
      </c>
      <c r="Y383" s="11">
        <f>IF(J383="","",S383-V383-W383-X383)</f>
        <v/>
      </c>
    </row>
    <row r="384">
      <c r="A384" s="19" t="n"/>
      <c r="B384" s="19" t="n"/>
      <c r="C384" s="19" t="n"/>
      <c r="D384" s="19" t="n"/>
      <c r="E384" s="19" t="n"/>
      <c r="F384" s="20" t="n"/>
      <c r="G384" s="20" t="n"/>
      <c r="H384" s="20" t="n"/>
      <c r="I384" s="19" t="n"/>
      <c r="J384">
        <f>IFERROR(IF(C384="","",C384)&amp;"","")</f>
        <v/>
      </c>
      <c r="K384">
        <f>IFERROR(IF(D384="","",D384)&amp;"","")</f>
        <v/>
      </c>
      <c r="L384">
        <f>IFERROR(IF(I384="","",I384)&amp;"","")</f>
        <v/>
      </c>
      <c r="M384">
        <f>IF(J384="","",IFERROR(VALUE(SUBSTITUTE(SUBSTITUTE(IF(E384="","",E384)&amp;"","$",""),",","")),0))</f>
        <v/>
      </c>
      <c r="N384" s="11">
        <f>IF(J384="","",IFERROR(VALUE(SUBSTITUTE(SUBSTITUTE(IF(F384="","",F384)&amp;"","$",""),",","")),0))</f>
        <v/>
      </c>
      <c r="O384" s="11">
        <f>IF(J384="","",M384*N384)</f>
        <v/>
      </c>
      <c r="P384">
        <f>IF(J384="","",IF(L384="",1,COUNTIF($L$2:$L$1501,L384)))</f>
        <v/>
      </c>
      <c r="Q384" s="11">
        <f>IF(J384="","",IFERROR(VALUE(SUBSTITUTE(SUBSTITUTE(IF(G384="","",G384)&amp;"","$",""),",","")),0)/IF("No"="Yes",P384,1))</f>
        <v/>
      </c>
      <c r="R384" s="11">
        <f>IF(J384="","",IFERROR(VALUE(SUBSTITUTE(SUBSTITUTE(IF(H384="","",H384)&amp;"","$",""),",","")),0)/IF("No"="Yes",P384,1))</f>
        <v/>
      </c>
      <c r="S384" s="11">
        <f>IF(J384="","",O384+Q384-R384)</f>
        <v/>
      </c>
      <c r="T384">
        <f>IF(J384="","",IFERROR(IF(K384="",NA(),MATCH(K384,Products!$B$5:$B$204,0)),IFERROR(MATCH(J384,Products!$A$5:$A$204,0),"")))</f>
        <v/>
      </c>
      <c r="U384">
        <f>IF(J384="","",IF(T384="","⚠ not in Products",INDEX(Products!$A$5:$A$204,T384)))</f>
        <v/>
      </c>
      <c r="V384" s="11">
        <f>IF(J384="","",S384*(IFERROR(INDEX(Settings!$B$5:$B$9,MATCH($B384,Settings!$A$5:$A$9,0)),0)+IFERROR(INDEX(Settings!$E$5:$E$9,MATCH($B384,Settings!$A$5:$A$9,0)),0)+IFERROR(INDEX(Settings!$G$5:$G$9,MATCH($B384,Settings!$A$5:$A$9,0)),0))+(IFERROR(INDEX(Settings!$C$5:$C$9,MATCH($B384,Settings!$A$5:$A$9,0)),0)+IFERROR(INDEX(Settings!$F$5:$F$9,MATCH($B384,Settings!$A$5:$A$9,0)),0))/P384+IFERROR(INDEX(Settings!$D$5:$D$9,MATCH($B384,Settings!$A$5:$A$9,0)),0)*M384)</f>
        <v/>
      </c>
      <c r="W384" s="11">
        <f>IF(J384="","",IF(T384="",0,M384*INDEX(Products!$I$5:$I$204,T384)))</f>
        <v/>
      </c>
      <c r="X384" s="11">
        <f>IF(J384="","",IF(T384="",0,S384*INDEX(Products!$H$5:$H$204,T384)))</f>
        <v/>
      </c>
      <c r="Y384" s="11">
        <f>IF(J384="","",S384-V384-W384-X384)</f>
        <v/>
      </c>
    </row>
    <row r="385">
      <c r="A385" s="19" t="n"/>
      <c r="B385" s="19" t="n"/>
      <c r="C385" s="19" t="n"/>
      <c r="D385" s="19" t="n"/>
      <c r="E385" s="19" t="n"/>
      <c r="F385" s="20" t="n"/>
      <c r="G385" s="20" t="n"/>
      <c r="H385" s="20" t="n"/>
      <c r="I385" s="19" t="n"/>
      <c r="J385">
        <f>IFERROR(IF(C385="","",C385)&amp;"","")</f>
        <v/>
      </c>
      <c r="K385">
        <f>IFERROR(IF(D385="","",D385)&amp;"","")</f>
        <v/>
      </c>
      <c r="L385">
        <f>IFERROR(IF(I385="","",I385)&amp;"","")</f>
        <v/>
      </c>
      <c r="M385">
        <f>IF(J385="","",IFERROR(VALUE(SUBSTITUTE(SUBSTITUTE(IF(E385="","",E385)&amp;"","$",""),",","")),0))</f>
        <v/>
      </c>
      <c r="N385" s="11">
        <f>IF(J385="","",IFERROR(VALUE(SUBSTITUTE(SUBSTITUTE(IF(F385="","",F385)&amp;"","$",""),",","")),0))</f>
        <v/>
      </c>
      <c r="O385" s="11">
        <f>IF(J385="","",M385*N385)</f>
        <v/>
      </c>
      <c r="P385">
        <f>IF(J385="","",IF(L385="",1,COUNTIF($L$2:$L$1501,L385)))</f>
        <v/>
      </c>
      <c r="Q385" s="11">
        <f>IF(J385="","",IFERROR(VALUE(SUBSTITUTE(SUBSTITUTE(IF(G385="","",G385)&amp;"","$",""),",","")),0)/IF("No"="Yes",P385,1))</f>
        <v/>
      </c>
      <c r="R385" s="11">
        <f>IF(J385="","",IFERROR(VALUE(SUBSTITUTE(SUBSTITUTE(IF(H385="","",H385)&amp;"","$",""),",","")),0)/IF("No"="Yes",P385,1))</f>
        <v/>
      </c>
      <c r="S385" s="11">
        <f>IF(J385="","",O385+Q385-R385)</f>
        <v/>
      </c>
      <c r="T385">
        <f>IF(J385="","",IFERROR(IF(K385="",NA(),MATCH(K385,Products!$B$5:$B$204,0)),IFERROR(MATCH(J385,Products!$A$5:$A$204,0),"")))</f>
        <v/>
      </c>
      <c r="U385">
        <f>IF(J385="","",IF(T385="","⚠ not in Products",INDEX(Products!$A$5:$A$204,T385)))</f>
        <v/>
      </c>
      <c r="V385" s="11">
        <f>IF(J385="","",S385*(IFERROR(INDEX(Settings!$B$5:$B$9,MATCH($B385,Settings!$A$5:$A$9,0)),0)+IFERROR(INDEX(Settings!$E$5:$E$9,MATCH($B385,Settings!$A$5:$A$9,0)),0)+IFERROR(INDEX(Settings!$G$5:$G$9,MATCH($B385,Settings!$A$5:$A$9,0)),0))+(IFERROR(INDEX(Settings!$C$5:$C$9,MATCH($B385,Settings!$A$5:$A$9,0)),0)+IFERROR(INDEX(Settings!$F$5:$F$9,MATCH($B385,Settings!$A$5:$A$9,0)),0))/P385+IFERROR(INDEX(Settings!$D$5:$D$9,MATCH($B385,Settings!$A$5:$A$9,0)),0)*M385)</f>
        <v/>
      </c>
      <c r="W385" s="11">
        <f>IF(J385="","",IF(T385="",0,M385*INDEX(Products!$I$5:$I$204,T385)))</f>
        <v/>
      </c>
      <c r="X385" s="11">
        <f>IF(J385="","",IF(T385="",0,S385*INDEX(Products!$H$5:$H$204,T385)))</f>
        <v/>
      </c>
      <c r="Y385" s="11">
        <f>IF(J385="","",S385-V385-W385-X385)</f>
        <v/>
      </c>
    </row>
    <row r="386">
      <c r="A386" s="19" t="n"/>
      <c r="B386" s="19" t="n"/>
      <c r="C386" s="19" t="n"/>
      <c r="D386" s="19" t="n"/>
      <c r="E386" s="19" t="n"/>
      <c r="F386" s="20" t="n"/>
      <c r="G386" s="20" t="n"/>
      <c r="H386" s="20" t="n"/>
      <c r="I386" s="19" t="n"/>
      <c r="J386">
        <f>IFERROR(IF(C386="","",C386)&amp;"","")</f>
        <v/>
      </c>
      <c r="K386">
        <f>IFERROR(IF(D386="","",D386)&amp;"","")</f>
        <v/>
      </c>
      <c r="L386">
        <f>IFERROR(IF(I386="","",I386)&amp;"","")</f>
        <v/>
      </c>
      <c r="M386">
        <f>IF(J386="","",IFERROR(VALUE(SUBSTITUTE(SUBSTITUTE(IF(E386="","",E386)&amp;"","$",""),",","")),0))</f>
        <v/>
      </c>
      <c r="N386" s="11">
        <f>IF(J386="","",IFERROR(VALUE(SUBSTITUTE(SUBSTITUTE(IF(F386="","",F386)&amp;"","$",""),",","")),0))</f>
        <v/>
      </c>
      <c r="O386" s="11">
        <f>IF(J386="","",M386*N386)</f>
        <v/>
      </c>
      <c r="P386">
        <f>IF(J386="","",IF(L386="",1,COUNTIF($L$2:$L$1501,L386)))</f>
        <v/>
      </c>
      <c r="Q386" s="11">
        <f>IF(J386="","",IFERROR(VALUE(SUBSTITUTE(SUBSTITUTE(IF(G386="","",G386)&amp;"","$",""),",","")),0)/IF("No"="Yes",P386,1))</f>
        <v/>
      </c>
      <c r="R386" s="11">
        <f>IF(J386="","",IFERROR(VALUE(SUBSTITUTE(SUBSTITUTE(IF(H386="","",H386)&amp;"","$",""),",","")),0)/IF("No"="Yes",P386,1))</f>
        <v/>
      </c>
      <c r="S386" s="11">
        <f>IF(J386="","",O386+Q386-R386)</f>
        <v/>
      </c>
      <c r="T386">
        <f>IF(J386="","",IFERROR(IF(K386="",NA(),MATCH(K386,Products!$B$5:$B$204,0)),IFERROR(MATCH(J386,Products!$A$5:$A$204,0),"")))</f>
        <v/>
      </c>
      <c r="U386">
        <f>IF(J386="","",IF(T386="","⚠ not in Products",INDEX(Products!$A$5:$A$204,T386)))</f>
        <v/>
      </c>
      <c r="V386" s="11">
        <f>IF(J386="","",S386*(IFERROR(INDEX(Settings!$B$5:$B$9,MATCH($B386,Settings!$A$5:$A$9,0)),0)+IFERROR(INDEX(Settings!$E$5:$E$9,MATCH($B386,Settings!$A$5:$A$9,0)),0)+IFERROR(INDEX(Settings!$G$5:$G$9,MATCH($B386,Settings!$A$5:$A$9,0)),0))+(IFERROR(INDEX(Settings!$C$5:$C$9,MATCH($B386,Settings!$A$5:$A$9,0)),0)+IFERROR(INDEX(Settings!$F$5:$F$9,MATCH($B386,Settings!$A$5:$A$9,0)),0))/P386+IFERROR(INDEX(Settings!$D$5:$D$9,MATCH($B386,Settings!$A$5:$A$9,0)),0)*M386)</f>
        <v/>
      </c>
      <c r="W386" s="11">
        <f>IF(J386="","",IF(T386="",0,M386*INDEX(Products!$I$5:$I$204,T386)))</f>
        <v/>
      </c>
      <c r="X386" s="11">
        <f>IF(J386="","",IF(T386="",0,S386*INDEX(Products!$H$5:$H$204,T386)))</f>
        <v/>
      </c>
      <c r="Y386" s="11">
        <f>IF(J386="","",S386-V386-W386-X386)</f>
        <v/>
      </c>
    </row>
    <row r="387">
      <c r="A387" s="19" t="n"/>
      <c r="B387" s="19" t="n"/>
      <c r="C387" s="19" t="n"/>
      <c r="D387" s="19" t="n"/>
      <c r="E387" s="19" t="n"/>
      <c r="F387" s="20" t="n"/>
      <c r="G387" s="20" t="n"/>
      <c r="H387" s="20" t="n"/>
      <c r="I387" s="19" t="n"/>
      <c r="J387">
        <f>IFERROR(IF(C387="","",C387)&amp;"","")</f>
        <v/>
      </c>
      <c r="K387">
        <f>IFERROR(IF(D387="","",D387)&amp;"","")</f>
        <v/>
      </c>
      <c r="L387">
        <f>IFERROR(IF(I387="","",I387)&amp;"","")</f>
        <v/>
      </c>
      <c r="M387">
        <f>IF(J387="","",IFERROR(VALUE(SUBSTITUTE(SUBSTITUTE(IF(E387="","",E387)&amp;"","$",""),",","")),0))</f>
        <v/>
      </c>
      <c r="N387" s="11">
        <f>IF(J387="","",IFERROR(VALUE(SUBSTITUTE(SUBSTITUTE(IF(F387="","",F387)&amp;"","$",""),",","")),0))</f>
        <v/>
      </c>
      <c r="O387" s="11">
        <f>IF(J387="","",M387*N387)</f>
        <v/>
      </c>
      <c r="P387">
        <f>IF(J387="","",IF(L387="",1,COUNTIF($L$2:$L$1501,L387)))</f>
        <v/>
      </c>
      <c r="Q387" s="11">
        <f>IF(J387="","",IFERROR(VALUE(SUBSTITUTE(SUBSTITUTE(IF(G387="","",G387)&amp;"","$",""),",","")),0)/IF("No"="Yes",P387,1))</f>
        <v/>
      </c>
      <c r="R387" s="11">
        <f>IF(J387="","",IFERROR(VALUE(SUBSTITUTE(SUBSTITUTE(IF(H387="","",H387)&amp;"","$",""),",","")),0)/IF("No"="Yes",P387,1))</f>
        <v/>
      </c>
      <c r="S387" s="11">
        <f>IF(J387="","",O387+Q387-R387)</f>
        <v/>
      </c>
      <c r="T387">
        <f>IF(J387="","",IFERROR(IF(K387="",NA(),MATCH(K387,Products!$B$5:$B$204,0)),IFERROR(MATCH(J387,Products!$A$5:$A$204,0),"")))</f>
        <v/>
      </c>
      <c r="U387">
        <f>IF(J387="","",IF(T387="","⚠ not in Products",INDEX(Products!$A$5:$A$204,T387)))</f>
        <v/>
      </c>
      <c r="V387" s="11">
        <f>IF(J387="","",S387*(IFERROR(INDEX(Settings!$B$5:$B$9,MATCH($B387,Settings!$A$5:$A$9,0)),0)+IFERROR(INDEX(Settings!$E$5:$E$9,MATCH($B387,Settings!$A$5:$A$9,0)),0)+IFERROR(INDEX(Settings!$G$5:$G$9,MATCH($B387,Settings!$A$5:$A$9,0)),0))+(IFERROR(INDEX(Settings!$C$5:$C$9,MATCH($B387,Settings!$A$5:$A$9,0)),0)+IFERROR(INDEX(Settings!$F$5:$F$9,MATCH($B387,Settings!$A$5:$A$9,0)),0))/P387+IFERROR(INDEX(Settings!$D$5:$D$9,MATCH($B387,Settings!$A$5:$A$9,0)),0)*M387)</f>
        <v/>
      </c>
      <c r="W387" s="11">
        <f>IF(J387="","",IF(T387="",0,M387*INDEX(Products!$I$5:$I$204,T387)))</f>
        <v/>
      </c>
      <c r="X387" s="11">
        <f>IF(J387="","",IF(T387="",0,S387*INDEX(Products!$H$5:$H$204,T387)))</f>
        <v/>
      </c>
      <c r="Y387" s="11">
        <f>IF(J387="","",S387-V387-W387-X387)</f>
        <v/>
      </c>
    </row>
    <row r="388">
      <c r="A388" s="19" t="n"/>
      <c r="B388" s="19" t="n"/>
      <c r="C388" s="19" t="n"/>
      <c r="D388" s="19" t="n"/>
      <c r="E388" s="19" t="n"/>
      <c r="F388" s="20" t="n"/>
      <c r="G388" s="20" t="n"/>
      <c r="H388" s="20" t="n"/>
      <c r="I388" s="19" t="n"/>
      <c r="J388">
        <f>IFERROR(IF(C388="","",C388)&amp;"","")</f>
        <v/>
      </c>
      <c r="K388">
        <f>IFERROR(IF(D388="","",D388)&amp;"","")</f>
        <v/>
      </c>
      <c r="L388">
        <f>IFERROR(IF(I388="","",I388)&amp;"","")</f>
        <v/>
      </c>
      <c r="M388">
        <f>IF(J388="","",IFERROR(VALUE(SUBSTITUTE(SUBSTITUTE(IF(E388="","",E388)&amp;"","$",""),",","")),0))</f>
        <v/>
      </c>
      <c r="N388" s="11">
        <f>IF(J388="","",IFERROR(VALUE(SUBSTITUTE(SUBSTITUTE(IF(F388="","",F388)&amp;"","$",""),",","")),0))</f>
        <v/>
      </c>
      <c r="O388" s="11">
        <f>IF(J388="","",M388*N388)</f>
        <v/>
      </c>
      <c r="P388">
        <f>IF(J388="","",IF(L388="",1,COUNTIF($L$2:$L$1501,L388)))</f>
        <v/>
      </c>
      <c r="Q388" s="11">
        <f>IF(J388="","",IFERROR(VALUE(SUBSTITUTE(SUBSTITUTE(IF(G388="","",G388)&amp;"","$",""),",","")),0)/IF("No"="Yes",P388,1))</f>
        <v/>
      </c>
      <c r="R388" s="11">
        <f>IF(J388="","",IFERROR(VALUE(SUBSTITUTE(SUBSTITUTE(IF(H388="","",H388)&amp;"","$",""),",","")),0)/IF("No"="Yes",P388,1))</f>
        <v/>
      </c>
      <c r="S388" s="11">
        <f>IF(J388="","",O388+Q388-R388)</f>
        <v/>
      </c>
      <c r="T388">
        <f>IF(J388="","",IFERROR(IF(K388="",NA(),MATCH(K388,Products!$B$5:$B$204,0)),IFERROR(MATCH(J388,Products!$A$5:$A$204,0),"")))</f>
        <v/>
      </c>
      <c r="U388">
        <f>IF(J388="","",IF(T388="","⚠ not in Products",INDEX(Products!$A$5:$A$204,T388)))</f>
        <v/>
      </c>
      <c r="V388" s="11">
        <f>IF(J388="","",S388*(IFERROR(INDEX(Settings!$B$5:$B$9,MATCH($B388,Settings!$A$5:$A$9,0)),0)+IFERROR(INDEX(Settings!$E$5:$E$9,MATCH($B388,Settings!$A$5:$A$9,0)),0)+IFERROR(INDEX(Settings!$G$5:$G$9,MATCH($B388,Settings!$A$5:$A$9,0)),0))+(IFERROR(INDEX(Settings!$C$5:$C$9,MATCH($B388,Settings!$A$5:$A$9,0)),0)+IFERROR(INDEX(Settings!$F$5:$F$9,MATCH($B388,Settings!$A$5:$A$9,0)),0))/P388+IFERROR(INDEX(Settings!$D$5:$D$9,MATCH($B388,Settings!$A$5:$A$9,0)),0)*M388)</f>
        <v/>
      </c>
      <c r="W388" s="11">
        <f>IF(J388="","",IF(T388="",0,M388*INDEX(Products!$I$5:$I$204,T388)))</f>
        <v/>
      </c>
      <c r="X388" s="11">
        <f>IF(J388="","",IF(T388="",0,S388*INDEX(Products!$H$5:$H$204,T388)))</f>
        <v/>
      </c>
      <c r="Y388" s="11">
        <f>IF(J388="","",S388-V388-W388-X388)</f>
        <v/>
      </c>
    </row>
    <row r="389">
      <c r="A389" s="19" t="n"/>
      <c r="B389" s="19" t="n"/>
      <c r="C389" s="19" t="n"/>
      <c r="D389" s="19" t="n"/>
      <c r="E389" s="19" t="n"/>
      <c r="F389" s="20" t="n"/>
      <c r="G389" s="20" t="n"/>
      <c r="H389" s="20" t="n"/>
      <c r="I389" s="19" t="n"/>
      <c r="J389">
        <f>IFERROR(IF(C389="","",C389)&amp;"","")</f>
        <v/>
      </c>
      <c r="K389">
        <f>IFERROR(IF(D389="","",D389)&amp;"","")</f>
        <v/>
      </c>
      <c r="L389">
        <f>IFERROR(IF(I389="","",I389)&amp;"","")</f>
        <v/>
      </c>
      <c r="M389">
        <f>IF(J389="","",IFERROR(VALUE(SUBSTITUTE(SUBSTITUTE(IF(E389="","",E389)&amp;"","$",""),",","")),0))</f>
        <v/>
      </c>
      <c r="N389" s="11">
        <f>IF(J389="","",IFERROR(VALUE(SUBSTITUTE(SUBSTITUTE(IF(F389="","",F389)&amp;"","$",""),",","")),0))</f>
        <v/>
      </c>
      <c r="O389" s="11">
        <f>IF(J389="","",M389*N389)</f>
        <v/>
      </c>
      <c r="P389">
        <f>IF(J389="","",IF(L389="",1,COUNTIF($L$2:$L$1501,L389)))</f>
        <v/>
      </c>
      <c r="Q389" s="11">
        <f>IF(J389="","",IFERROR(VALUE(SUBSTITUTE(SUBSTITUTE(IF(G389="","",G389)&amp;"","$",""),",","")),0)/IF("No"="Yes",P389,1))</f>
        <v/>
      </c>
      <c r="R389" s="11">
        <f>IF(J389="","",IFERROR(VALUE(SUBSTITUTE(SUBSTITUTE(IF(H389="","",H389)&amp;"","$",""),",","")),0)/IF("No"="Yes",P389,1))</f>
        <v/>
      </c>
      <c r="S389" s="11">
        <f>IF(J389="","",O389+Q389-R389)</f>
        <v/>
      </c>
      <c r="T389">
        <f>IF(J389="","",IFERROR(IF(K389="",NA(),MATCH(K389,Products!$B$5:$B$204,0)),IFERROR(MATCH(J389,Products!$A$5:$A$204,0),"")))</f>
        <v/>
      </c>
      <c r="U389">
        <f>IF(J389="","",IF(T389="","⚠ not in Products",INDEX(Products!$A$5:$A$204,T389)))</f>
        <v/>
      </c>
      <c r="V389" s="11">
        <f>IF(J389="","",S389*(IFERROR(INDEX(Settings!$B$5:$B$9,MATCH($B389,Settings!$A$5:$A$9,0)),0)+IFERROR(INDEX(Settings!$E$5:$E$9,MATCH($B389,Settings!$A$5:$A$9,0)),0)+IFERROR(INDEX(Settings!$G$5:$G$9,MATCH($B389,Settings!$A$5:$A$9,0)),0))+(IFERROR(INDEX(Settings!$C$5:$C$9,MATCH($B389,Settings!$A$5:$A$9,0)),0)+IFERROR(INDEX(Settings!$F$5:$F$9,MATCH($B389,Settings!$A$5:$A$9,0)),0))/P389+IFERROR(INDEX(Settings!$D$5:$D$9,MATCH($B389,Settings!$A$5:$A$9,0)),0)*M389)</f>
        <v/>
      </c>
      <c r="W389" s="11">
        <f>IF(J389="","",IF(T389="",0,M389*INDEX(Products!$I$5:$I$204,T389)))</f>
        <v/>
      </c>
      <c r="X389" s="11">
        <f>IF(J389="","",IF(T389="",0,S389*INDEX(Products!$H$5:$H$204,T389)))</f>
        <v/>
      </c>
      <c r="Y389" s="11">
        <f>IF(J389="","",S389-V389-W389-X389)</f>
        <v/>
      </c>
    </row>
    <row r="390">
      <c r="A390" s="19" t="n"/>
      <c r="B390" s="19" t="n"/>
      <c r="C390" s="19" t="n"/>
      <c r="D390" s="19" t="n"/>
      <c r="E390" s="19" t="n"/>
      <c r="F390" s="20" t="n"/>
      <c r="G390" s="20" t="n"/>
      <c r="H390" s="20" t="n"/>
      <c r="I390" s="19" t="n"/>
      <c r="J390">
        <f>IFERROR(IF(C390="","",C390)&amp;"","")</f>
        <v/>
      </c>
      <c r="K390">
        <f>IFERROR(IF(D390="","",D390)&amp;"","")</f>
        <v/>
      </c>
      <c r="L390">
        <f>IFERROR(IF(I390="","",I390)&amp;"","")</f>
        <v/>
      </c>
      <c r="M390">
        <f>IF(J390="","",IFERROR(VALUE(SUBSTITUTE(SUBSTITUTE(IF(E390="","",E390)&amp;"","$",""),",","")),0))</f>
        <v/>
      </c>
      <c r="N390" s="11">
        <f>IF(J390="","",IFERROR(VALUE(SUBSTITUTE(SUBSTITUTE(IF(F390="","",F390)&amp;"","$",""),",","")),0))</f>
        <v/>
      </c>
      <c r="O390" s="11">
        <f>IF(J390="","",M390*N390)</f>
        <v/>
      </c>
      <c r="P390">
        <f>IF(J390="","",IF(L390="",1,COUNTIF($L$2:$L$1501,L390)))</f>
        <v/>
      </c>
      <c r="Q390" s="11">
        <f>IF(J390="","",IFERROR(VALUE(SUBSTITUTE(SUBSTITUTE(IF(G390="","",G390)&amp;"","$",""),",","")),0)/IF("No"="Yes",P390,1))</f>
        <v/>
      </c>
      <c r="R390" s="11">
        <f>IF(J390="","",IFERROR(VALUE(SUBSTITUTE(SUBSTITUTE(IF(H390="","",H390)&amp;"","$",""),",","")),0)/IF("No"="Yes",P390,1))</f>
        <v/>
      </c>
      <c r="S390" s="11">
        <f>IF(J390="","",O390+Q390-R390)</f>
        <v/>
      </c>
      <c r="T390">
        <f>IF(J390="","",IFERROR(IF(K390="",NA(),MATCH(K390,Products!$B$5:$B$204,0)),IFERROR(MATCH(J390,Products!$A$5:$A$204,0),"")))</f>
        <v/>
      </c>
      <c r="U390">
        <f>IF(J390="","",IF(T390="","⚠ not in Products",INDEX(Products!$A$5:$A$204,T390)))</f>
        <v/>
      </c>
      <c r="V390" s="11">
        <f>IF(J390="","",S390*(IFERROR(INDEX(Settings!$B$5:$B$9,MATCH($B390,Settings!$A$5:$A$9,0)),0)+IFERROR(INDEX(Settings!$E$5:$E$9,MATCH($B390,Settings!$A$5:$A$9,0)),0)+IFERROR(INDEX(Settings!$G$5:$G$9,MATCH($B390,Settings!$A$5:$A$9,0)),0))+(IFERROR(INDEX(Settings!$C$5:$C$9,MATCH($B390,Settings!$A$5:$A$9,0)),0)+IFERROR(INDEX(Settings!$F$5:$F$9,MATCH($B390,Settings!$A$5:$A$9,0)),0))/P390+IFERROR(INDEX(Settings!$D$5:$D$9,MATCH($B390,Settings!$A$5:$A$9,0)),0)*M390)</f>
        <v/>
      </c>
      <c r="W390" s="11">
        <f>IF(J390="","",IF(T390="",0,M390*INDEX(Products!$I$5:$I$204,T390)))</f>
        <v/>
      </c>
      <c r="X390" s="11">
        <f>IF(J390="","",IF(T390="",0,S390*INDEX(Products!$H$5:$H$204,T390)))</f>
        <v/>
      </c>
      <c r="Y390" s="11">
        <f>IF(J390="","",S390-V390-W390-X390)</f>
        <v/>
      </c>
    </row>
    <row r="391">
      <c r="A391" s="19" t="n"/>
      <c r="B391" s="19" t="n"/>
      <c r="C391" s="19" t="n"/>
      <c r="D391" s="19" t="n"/>
      <c r="E391" s="19" t="n"/>
      <c r="F391" s="20" t="n"/>
      <c r="G391" s="20" t="n"/>
      <c r="H391" s="20" t="n"/>
      <c r="I391" s="19" t="n"/>
      <c r="J391">
        <f>IFERROR(IF(C391="","",C391)&amp;"","")</f>
        <v/>
      </c>
      <c r="K391">
        <f>IFERROR(IF(D391="","",D391)&amp;"","")</f>
        <v/>
      </c>
      <c r="L391">
        <f>IFERROR(IF(I391="","",I391)&amp;"","")</f>
        <v/>
      </c>
      <c r="M391">
        <f>IF(J391="","",IFERROR(VALUE(SUBSTITUTE(SUBSTITUTE(IF(E391="","",E391)&amp;"","$",""),",","")),0))</f>
        <v/>
      </c>
      <c r="N391" s="11">
        <f>IF(J391="","",IFERROR(VALUE(SUBSTITUTE(SUBSTITUTE(IF(F391="","",F391)&amp;"","$",""),",","")),0))</f>
        <v/>
      </c>
      <c r="O391" s="11">
        <f>IF(J391="","",M391*N391)</f>
        <v/>
      </c>
      <c r="P391">
        <f>IF(J391="","",IF(L391="",1,COUNTIF($L$2:$L$1501,L391)))</f>
        <v/>
      </c>
      <c r="Q391" s="11">
        <f>IF(J391="","",IFERROR(VALUE(SUBSTITUTE(SUBSTITUTE(IF(G391="","",G391)&amp;"","$",""),",","")),0)/IF("No"="Yes",P391,1))</f>
        <v/>
      </c>
      <c r="R391" s="11">
        <f>IF(J391="","",IFERROR(VALUE(SUBSTITUTE(SUBSTITUTE(IF(H391="","",H391)&amp;"","$",""),",","")),0)/IF("No"="Yes",P391,1))</f>
        <v/>
      </c>
      <c r="S391" s="11">
        <f>IF(J391="","",O391+Q391-R391)</f>
        <v/>
      </c>
      <c r="T391">
        <f>IF(J391="","",IFERROR(IF(K391="",NA(),MATCH(K391,Products!$B$5:$B$204,0)),IFERROR(MATCH(J391,Products!$A$5:$A$204,0),"")))</f>
        <v/>
      </c>
      <c r="U391">
        <f>IF(J391="","",IF(T391="","⚠ not in Products",INDEX(Products!$A$5:$A$204,T391)))</f>
        <v/>
      </c>
      <c r="V391" s="11">
        <f>IF(J391="","",S391*(IFERROR(INDEX(Settings!$B$5:$B$9,MATCH($B391,Settings!$A$5:$A$9,0)),0)+IFERROR(INDEX(Settings!$E$5:$E$9,MATCH($B391,Settings!$A$5:$A$9,0)),0)+IFERROR(INDEX(Settings!$G$5:$G$9,MATCH($B391,Settings!$A$5:$A$9,0)),0))+(IFERROR(INDEX(Settings!$C$5:$C$9,MATCH($B391,Settings!$A$5:$A$9,0)),0)+IFERROR(INDEX(Settings!$F$5:$F$9,MATCH($B391,Settings!$A$5:$A$9,0)),0))/P391+IFERROR(INDEX(Settings!$D$5:$D$9,MATCH($B391,Settings!$A$5:$A$9,0)),0)*M391)</f>
        <v/>
      </c>
      <c r="W391" s="11">
        <f>IF(J391="","",IF(T391="",0,M391*INDEX(Products!$I$5:$I$204,T391)))</f>
        <v/>
      </c>
      <c r="X391" s="11">
        <f>IF(J391="","",IF(T391="",0,S391*INDEX(Products!$H$5:$H$204,T391)))</f>
        <v/>
      </c>
      <c r="Y391" s="11">
        <f>IF(J391="","",S391-V391-W391-X391)</f>
        <v/>
      </c>
    </row>
    <row r="392">
      <c r="A392" s="19" t="n"/>
      <c r="B392" s="19" t="n"/>
      <c r="C392" s="19" t="n"/>
      <c r="D392" s="19" t="n"/>
      <c r="E392" s="19" t="n"/>
      <c r="F392" s="20" t="n"/>
      <c r="G392" s="20" t="n"/>
      <c r="H392" s="20" t="n"/>
      <c r="I392" s="19" t="n"/>
      <c r="J392">
        <f>IFERROR(IF(C392="","",C392)&amp;"","")</f>
        <v/>
      </c>
      <c r="K392">
        <f>IFERROR(IF(D392="","",D392)&amp;"","")</f>
        <v/>
      </c>
      <c r="L392">
        <f>IFERROR(IF(I392="","",I392)&amp;"","")</f>
        <v/>
      </c>
      <c r="M392">
        <f>IF(J392="","",IFERROR(VALUE(SUBSTITUTE(SUBSTITUTE(IF(E392="","",E392)&amp;"","$",""),",","")),0))</f>
        <v/>
      </c>
      <c r="N392" s="11">
        <f>IF(J392="","",IFERROR(VALUE(SUBSTITUTE(SUBSTITUTE(IF(F392="","",F392)&amp;"","$",""),",","")),0))</f>
        <v/>
      </c>
      <c r="O392" s="11">
        <f>IF(J392="","",M392*N392)</f>
        <v/>
      </c>
      <c r="P392">
        <f>IF(J392="","",IF(L392="",1,COUNTIF($L$2:$L$1501,L392)))</f>
        <v/>
      </c>
      <c r="Q392" s="11">
        <f>IF(J392="","",IFERROR(VALUE(SUBSTITUTE(SUBSTITUTE(IF(G392="","",G392)&amp;"","$",""),",","")),0)/IF("No"="Yes",P392,1))</f>
        <v/>
      </c>
      <c r="R392" s="11">
        <f>IF(J392="","",IFERROR(VALUE(SUBSTITUTE(SUBSTITUTE(IF(H392="","",H392)&amp;"","$",""),",","")),0)/IF("No"="Yes",P392,1))</f>
        <v/>
      </c>
      <c r="S392" s="11">
        <f>IF(J392="","",O392+Q392-R392)</f>
        <v/>
      </c>
      <c r="T392">
        <f>IF(J392="","",IFERROR(IF(K392="",NA(),MATCH(K392,Products!$B$5:$B$204,0)),IFERROR(MATCH(J392,Products!$A$5:$A$204,0),"")))</f>
        <v/>
      </c>
      <c r="U392">
        <f>IF(J392="","",IF(T392="","⚠ not in Products",INDEX(Products!$A$5:$A$204,T392)))</f>
        <v/>
      </c>
      <c r="V392" s="11">
        <f>IF(J392="","",S392*(IFERROR(INDEX(Settings!$B$5:$B$9,MATCH($B392,Settings!$A$5:$A$9,0)),0)+IFERROR(INDEX(Settings!$E$5:$E$9,MATCH($B392,Settings!$A$5:$A$9,0)),0)+IFERROR(INDEX(Settings!$G$5:$G$9,MATCH($B392,Settings!$A$5:$A$9,0)),0))+(IFERROR(INDEX(Settings!$C$5:$C$9,MATCH($B392,Settings!$A$5:$A$9,0)),0)+IFERROR(INDEX(Settings!$F$5:$F$9,MATCH($B392,Settings!$A$5:$A$9,0)),0))/P392+IFERROR(INDEX(Settings!$D$5:$D$9,MATCH($B392,Settings!$A$5:$A$9,0)),0)*M392)</f>
        <v/>
      </c>
      <c r="W392" s="11">
        <f>IF(J392="","",IF(T392="",0,M392*INDEX(Products!$I$5:$I$204,T392)))</f>
        <v/>
      </c>
      <c r="X392" s="11">
        <f>IF(J392="","",IF(T392="",0,S392*INDEX(Products!$H$5:$H$204,T392)))</f>
        <v/>
      </c>
      <c r="Y392" s="11">
        <f>IF(J392="","",S392-V392-W392-X392)</f>
        <v/>
      </c>
    </row>
    <row r="393">
      <c r="A393" s="19" t="n"/>
      <c r="B393" s="19" t="n"/>
      <c r="C393" s="19" t="n"/>
      <c r="D393" s="19" t="n"/>
      <c r="E393" s="19" t="n"/>
      <c r="F393" s="20" t="n"/>
      <c r="G393" s="20" t="n"/>
      <c r="H393" s="20" t="n"/>
      <c r="I393" s="19" t="n"/>
      <c r="J393">
        <f>IFERROR(IF(C393="","",C393)&amp;"","")</f>
        <v/>
      </c>
      <c r="K393">
        <f>IFERROR(IF(D393="","",D393)&amp;"","")</f>
        <v/>
      </c>
      <c r="L393">
        <f>IFERROR(IF(I393="","",I393)&amp;"","")</f>
        <v/>
      </c>
      <c r="M393">
        <f>IF(J393="","",IFERROR(VALUE(SUBSTITUTE(SUBSTITUTE(IF(E393="","",E393)&amp;"","$",""),",","")),0))</f>
        <v/>
      </c>
      <c r="N393" s="11">
        <f>IF(J393="","",IFERROR(VALUE(SUBSTITUTE(SUBSTITUTE(IF(F393="","",F393)&amp;"","$",""),",","")),0))</f>
        <v/>
      </c>
      <c r="O393" s="11">
        <f>IF(J393="","",M393*N393)</f>
        <v/>
      </c>
      <c r="P393">
        <f>IF(J393="","",IF(L393="",1,COUNTIF($L$2:$L$1501,L393)))</f>
        <v/>
      </c>
      <c r="Q393" s="11">
        <f>IF(J393="","",IFERROR(VALUE(SUBSTITUTE(SUBSTITUTE(IF(G393="","",G393)&amp;"","$",""),",","")),0)/IF("No"="Yes",P393,1))</f>
        <v/>
      </c>
      <c r="R393" s="11">
        <f>IF(J393="","",IFERROR(VALUE(SUBSTITUTE(SUBSTITUTE(IF(H393="","",H393)&amp;"","$",""),",","")),0)/IF("No"="Yes",P393,1))</f>
        <v/>
      </c>
      <c r="S393" s="11">
        <f>IF(J393="","",O393+Q393-R393)</f>
        <v/>
      </c>
      <c r="T393">
        <f>IF(J393="","",IFERROR(IF(K393="",NA(),MATCH(K393,Products!$B$5:$B$204,0)),IFERROR(MATCH(J393,Products!$A$5:$A$204,0),"")))</f>
        <v/>
      </c>
      <c r="U393">
        <f>IF(J393="","",IF(T393="","⚠ not in Products",INDEX(Products!$A$5:$A$204,T393)))</f>
        <v/>
      </c>
      <c r="V393" s="11">
        <f>IF(J393="","",S393*(IFERROR(INDEX(Settings!$B$5:$B$9,MATCH($B393,Settings!$A$5:$A$9,0)),0)+IFERROR(INDEX(Settings!$E$5:$E$9,MATCH($B393,Settings!$A$5:$A$9,0)),0)+IFERROR(INDEX(Settings!$G$5:$G$9,MATCH($B393,Settings!$A$5:$A$9,0)),0))+(IFERROR(INDEX(Settings!$C$5:$C$9,MATCH($B393,Settings!$A$5:$A$9,0)),0)+IFERROR(INDEX(Settings!$F$5:$F$9,MATCH($B393,Settings!$A$5:$A$9,0)),0))/P393+IFERROR(INDEX(Settings!$D$5:$D$9,MATCH($B393,Settings!$A$5:$A$9,0)),0)*M393)</f>
        <v/>
      </c>
      <c r="W393" s="11">
        <f>IF(J393="","",IF(T393="",0,M393*INDEX(Products!$I$5:$I$204,T393)))</f>
        <v/>
      </c>
      <c r="X393" s="11">
        <f>IF(J393="","",IF(T393="",0,S393*INDEX(Products!$H$5:$H$204,T393)))</f>
        <v/>
      </c>
      <c r="Y393" s="11">
        <f>IF(J393="","",S393-V393-W393-X393)</f>
        <v/>
      </c>
    </row>
    <row r="394">
      <c r="A394" s="19" t="n"/>
      <c r="B394" s="19" t="n"/>
      <c r="C394" s="19" t="n"/>
      <c r="D394" s="19" t="n"/>
      <c r="E394" s="19" t="n"/>
      <c r="F394" s="20" t="n"/>
      <c r="G394" s="20" t="n"/>
      <c r="H394" s="20" t="n"/>
      <c r="I394" s="19" t="n"/>
      <c r="J394">
        <f>IFERROR(IF(C394="","",C394)&amp;"","")</f>
        <v/>
      </c>
      <c r="K394">
        <f>IFERROR(IF(D394="","",D394)&amp;"","")</f>
        <v/>
      </c>
      <c r="L394">
        <f>IFERROR(IF(I394="","",I394)&amp;"","")</f>
        <v/>
      </c>
      <c r="M394">
        <f>IF(J394="","",IFERROR(VALUE(SUBSTITUTE(SUBSTITUTE(IF(E394="","",E394)&amp;"","$",""),",","")),0))</f>
        <v/>
      </c>
      <c r="N394" s="11">
        <f>IF(J394="","",IFERROR(VALUE(SUBSTITUTE(SUBSTITUTE(IF(F394="","",F394)&amp;"","$",""),",","")),0))</f>
        <v/>
      </c>
      <c r="O394" s="11">
        <f>IF(J394="","",M394*N394)</f>
        <v/>
      </c>
      <c r="P394">
        <f>IF(J394="","",IF(L394="",1,COUNTIF($L$2:$L$1501,L394)))</f>
        <v/>
      </c>
      <c r="Q394" s="11">
        <f>IF(J394="","",IFERROR(VALUE(SUBSTITUTE(SUBSTITUTE(IF(G394="","",G394)&amp;"","$",""),",","")),0)/IF("No"="Yes",P394,1))</f>
        <v/>
      </c>
      <c r="R394" s="11">
        <f>IF(J394="","",IFERROR(VALUE(SUBSTITUTE(SUBSTITUTE(IF(H394="","",H394)&amp;"","$",""),",","")),0)/IF("No"="Yes",P394,1))</f>
        <v/>
      </c>
      <c r="S394" s="11">
        <f>IF(J394="","",O394+Q394-R394)</f>
        <v/>
      </c>
      <c r="T394">
        <f>IF(J394="","",IFERROR(IF(K394="",NA(),MATCH(K394,Products!$B$5:$B$204,0)),IFERROR(MATCH(J394,Products!$A$5:$A$204,0),"")))</f>
        <v/>
      </c>
      <c r="U394">
        <f>IF(J394="","",IF(T394="","⚠ not in Products",INDEX(Products!$A$5:$A$204,T394)))</f>
        <v/>
      </c>
      <c r="V394" s="11">
        <f>IF(J394="","",S394*(IFERROR(INDEX(Settings!$B$5:$B$9,MATCH($B394,Settings!$A$5:$A$9,0)),0)+IFERROR(INDEX(Settings!$E$5:$E$9,MATCH($B394,Settings!$A$5:$A$9,0)),0)+IFERROR(INDEX(Settings!$G$5:$G$9,MATCH($B394,Settings!$A$5:$A$9,0)),0))+(IFERROR(INDEX(Settings!$C$5:$C$9,MATCH($B394,Settings!$A$5:$A$9,0)),0)+IFERROR(INDEX(Settings!$F$5:$F$9,MATCH($B394,Settings!$A$5:$A$9,0)),0))/P394+IFERROR(INDEX(Settings!$D$5:$D$9,MATCH($B394,Settings!$A$5:$A$9,0)),0)*M394)</f>
        <v/>
      </c>
      <c r="W394" s="11">
        <f>IF(J394="","",IF(T394="",0,M394*INDEX(Products!$I$5:$I$204,T394)))</f>
        <v/>
      </c>
      <c r="X394" s="11">
        <f>IF(J394="","",IF(T394="",0,S394*INDEX(Products!$H$5:$H$204,T394)))</f>
        <v/>
      </c>
      <c r="Y394" s="11">
        <f>IF(J394="","",S394-V394-W394-X394)</f>
        <v/>
      </c>
    </row>
    <row r="395">
      <c r="A395" s="19" t="n"/>
      <c r="B395" s="19" t="n"/>
      <c r="C395" s="19" t="n"/>
      <c r="D395" s="19" t="n"/>
      <c r="E395" s="19" t="n"/>
      <c r="F395" s="20" t="n"/>
      <c r="G395" s="20" t="n"/>
      <c r="H395" s="20" t="n"/>
      <c r="I395" s="19" t="n"/>
      <c r="J395">
        <f>IFERROR(IF(C395="","",C395)&amp;"","")</f>
        <v/>
      </c>
      <c r="K395">
        <f>IFERROR(IF(D395="","",D395)&amp;"","")</f>
        <v/>
      </c>
      <c r="L395">
        <f>IFERROR(IF(I395="","",I395)&amp;"","")</f>
        <v/>
      </c>
      <c r="M395">
        <f>IF(J395="","",IFERROR(VALUE(SUBSTITUTE(SUBSTITUTE(IF(E395="","",E395)&amp;"","$",""),",","")),0))</f>
        <v/>
      </c>
      <c r="N395" s="11">
        <f>IF(J395="","",IFERROR(VALUE(SUBSTITUTE(SUBSTITUTE(IF(F395="","",F395)&amp;"","$",""),",","")),0))</f>
        <v/>
      </c>
      <c r="O395" s="11">
        <f>IF(J395="","",M395*N395)</f>
        <v/>
      </c>
      <c r="P395">
        <f>IF(J395="","",IF(L395="",1,COUNTIF($L$2:$L$1501,L395)))</f>
        <v/>
      </c>
      <c r="Q395" s="11">
        <f>IF(J395="","",IFERROR(VALUE(SUBSTITUTE(SUBSTITUTE(IF(G395="","",G395)&amp;"","$",""),",","")),0)/IF("No"="Yes",P395,1))</f>
        <v/>
      </c>
      <c r="R395" s="11">
        <f>IF(J395="","",IFERROR(VALUE(SUBSTITUTE(SUBSTITUTE(IF(H395="","",H395)&amp;"","$",""),",","")),0)/IF("No"="Yes",P395,1))</f>
        <v/>
      </c>
      <c r="S395" s="11">
        <f>IF(J395="","",O395+Q395-R395)</f>
        <v/>
      </c>
      <c r="T395">
        <f>IF(J395="","",IFERROR(IF(K395="",NA(),MATCH(K395,Products!$B$5:$B$204,0)),IFERROR(MATCH(J395,Products!$A$5:$A$204,0),"")))</f>
        <v/>
      </c>
      <c r="U395">
        <f>IF(J395="","",IF(T395="","⚠ not in Products",INDEX(Products!$A$5:$A$204,T395)))</f>
        <v/>
      </c>
      <c r="V395" s="11">
        <f>IF(J395="","",S395*(IFERROR(INDEX(Settings!$B$5:$B$9,MATCH($B395,Settings!$A$5:$A$9,0)),0)+IFERROR(INDEX(Settings!$E$5:$E$9,MATCH($B395,Settings!$A$5:$A$9,0)),0)+IFERROR(INDEX(Settings!$G$5:$G$9,MATCH($B395,Settings!$A$5:$A$9,0)),0))+(IFERROR(INDEX(Settings!$C$5:$C$9,MATCH($B395,Settings!$A$5:$A$9,0)),0)+IFERROR(INDEX(Settings!$F$5:$F$9,MATCH($B395,Settings!$A$5:$A$9,0)),0))/P395+IFERROR(INDEX(Settings!$D$5:$D$9,MATCH($B395,Settings!$A$5:$A$9,0)),0)*M395)</f>
        <v/>
      </c>
      <c r="W395" s="11">
        <f>IF(J395="","",IF(T395="",0,M395*INDEX(Products!$I$5:$I$204,T395)))</f>
        <v/>
      </c>
      <c r="X395" s="11">
        <f>IF(J395="","",IF(T395="",0,S395*INDEX(Products!$H$5:$H$204,T395)))</f>
        <v/>
      </c>
      <c r="Y395" s="11">
        <f>IF(J395="","",S395-V395-W395-X395)</f>
        <v/>
      </c>
    </row>
    <row r="396">
      <c r="A396" s="19" t="n"/>
      <c r="B396" s="19" t="n"/>
      <c r="C396" s="19" t="n"/>
      <c r="D396" s="19" t="n"/>
      <c r="E396" s="19" t="n"/>
      <c r="F396" s="20" t="n"/>
      <c r="G396" s="20" t="n"/>
      <c r="H396" s="20" t="n"/>
      <c r="I396" s="19" t="n"/>
      <c r="J396">
        <f>IFERROR(IF(C396="","",C396)&amp;"","")</f>
        <v/>
      </c>
      <c r="K396">
        <f>IFERROR(IF(D396="","",D396)&amp;"","")</f>
        <v/>
      </c>
      <c r="L396">
        <f>IFERROR(IF(I396="","",I396)&amp;"","")</f>
        <v/>
      </c>
      <c r="M396">
        <f>IF(J396="","",IFERROR(VALUE(SUBSTITUTE(SUBSTITUTE(IF(E396="","",E396)&amp;"","$",""),",","")),0))</f>
        <v/>
      </c>
      <c r="N396" s="11">
        <f>IF(J396="","",IFERROR(VALUE(SUBSTITUTE(SUBSTITUTE(IF(F396="","",F396)&amp;"","$",""),",","")),0))</f>
        <v/>
      </c>
      <c r="O396" s="11">
        <f>IF(J396="","",M396*N396)</f>
        <v/>
      </c>
      <c r="P396">
        <f>IF(J396="","",IF(L396="",1,COUNTIF($L$2:$L$1501,L396)))</f>
        <v/>
      </c>
      <c r="Q396" s="11">
        <f>IF(J396="","",IFERROR(VALUE(SUBSTITUTE(SUBSTITUTE(IF(G396="","",G396)&amp;"","$",""),",","")),0)/IF("No"="Yes",P396,1))</f>
        <v/>
      </c>
      <c r="R396" s="11">
        <f>IF(J396="","",IFERROR(VALUE(SUBSTITUTE(SUBSTITUTE(IF(H396="","",H396)&amp;"","$",""),",","")),0)/IF("No"="Yes",P396,1))</f>
        <v/>
      </c>
      <c r="S396" s="11">
        <f>IF(J396="","",O396+Q396-R396)</f>
        <v/>
      </c>
      <c r="T396">
        <f>IF(J396="","",IFERROR(IF(K396="",NA(),MATCH(K396,Products!$B$5:$B$204,0)),IFERROR(MATCH(J396,Products!$A$5:$A$204,0),"")))</f>
        <v/>
      </c>
      <c r="U396">
        <f>IF(J396="","",IF(T396="","⚠ not in Products",INDEX(Products!$A$5:$A$204,T396)))</f>
        <v/>
      </c>
      <c r="V396" s="11">
        <f>IF(J396="","",S396*(IFERROR(INDEX(Settings!$B$5:$B$9,MATCH($B396,Settings!$A$5:$A$9,0)),0)+IFERROR(INDEX(Settings!$E$5:$E$9,MATCH($B396,Settings!$A$5:$A$9,0)),0)+IFERROR(INDEX(Settings!$G$5:$G$9,MATCH($B396,Settings!$A$5:$A$9,0)),0))+(IFERROR(INDEX(Settings!$C$5:$C$9,MATCH($B396,Settings!$A$5:$A$9,0)),0)+IFERROR(INDEX(Settings!$F$5:$F$9,MATCH($B396,Settings!$A$5:$A$9,0)),0))/P396+IFERROR(INDEX(Settings!$D$5:$D$9,MATCH($B396,Settings!$A$5:$A$9,0)),0)*M396)</f>
        <v/>
      </c>
      <c r="W396" s="11">
        <f>IF(J396="","",IF(T396="",0,M396*INDEX(Products!$I$5:$I$204,T396)))</f>
        <v/>
      </c>
      <c r="X396" s="11">
        <f>IF(J396="","",IF(T396="",0,S396*INDEX(Products!$H$5:$H$204,T396)))</f>
        <v/>
      </c>
      <c r="Y396" s="11">
        <f>IF(J396="","",S396-V396-W396-X396)</f>
        <v/>
      </c>
    </row>
    <row r="397">
      <c r="A397" s="19" t="n"/>
      <c r="B397" s="19" t="n"/>
      <c r="C397" s="19" t="n"/>
      <c r="D397" s="19" t="n"/>
      <c r="E397" s="19" t="n"/>
      <c r="F397" s="20" t="n"/>
      <c r="G397" s="20" t="n"/>
      <c r="H397" s="20" t="n"/>
      <c r="I397" s="19" t="n"/>
      <c r="J397">
        <f>IFERROR(IF(C397="","",C397)&amp;"","")</f>
        <v/>
      </c>
      <c r="K397">
        <f>IFERROR(IF(D397="","",D397)&amp;"","")</f>
        <v/>
      </c>
      <c r="L397">
        <f>IFERROR(IF(I397="","",I397)&amp;"","")</f>
        <v/>
      </c>
      <c r="M397">
        <f>IF(J397="","",IFERROR(VALUE(SUBSTITUTE(SUBSTITUTE(IF(E397="","",E397)&amp;"","$",""),",","")),0))</f>
        <v/>
      </c>
      <c r="N397" s="11">
        <f>IF(J397="","",IFERROR(VALUE(SUBSTITUTE(SUBSTITUTE(IF(F397="","",F397)&amp;"","$",""),",","")),0))</f>
        <v/>
      </c>
      <c r="O397" s="11">
        <f>IF(J397="","",M397*N397)</f>
        <v/>
      </c>
      <c r="P397">
        <f>IF(J397="","",IF(L397="",1,COUNTIF($L$2:$L$1501,L397)))</f>
        <v/>
      </c>
      <c r="Q397" s="11">
        <f>IF(J397="","",IFERROR(VALUE(SUBSTITUTE(SUBSTITUTE(IF(G397="","",G397)&amp;"","$",""),",","")),0)/IF("No"="Yes",P397,1))</f>
        <v/>
      </c>
      <c r="R397" s="11">
        <f>IF(J397="","",IFERROR(VALUE(SUBSTITUTE(SUBSTITUTE(IF(H397="","",H397)&amp;"","$",""),",","")),0)/IF("No"="Yes",P397,1))</f>
        <v/>
      </c>
      <c r="S397" s="11">
        <f>IF(J397="","",O397+Q397-R397)</f>
        <v/>
      </c>
      <c r="T397">
        <f>IF(J397="","",IFERROR(IF(K397="",NA(),MATCH(K397,Products!$B$5:$B$204,0)),IFERROR(MATCH(J397,Products!$A$5:$A$204,0),"")))</f>
        <v/>
      </c>
      <c r="U397">
        <f>IF(J397="","",IF(T397="","⚠ not in Products",INDEX(Products!$A$5:$A$204,T397)))</f>
        <v/>
      </c>
      <c r="V397" s="11">
        <f>IF(J397="","",S397*(IFERROR(INDEX(Settings!$B$5:$B$9,MATCH($B397,Settings!$A$5:$A$9,0)),0)+IFERROR(INDEX(Settings!$E$5:$E$9,MATCH($B397,Settings!$A$5:$A$9,0)),0)+IFERROR(INDEX(Settings!$G$5:$G$9,MATCH($B397,Settings!$A$5:$A$9,0)),0))+(IFERROR(INDEX(Settings!$C$5:$C$9,MATCH($B397,Settings!$A$5:$A$9,0)),0)+IFERROR(INDEX(Settings!$F$5:$F$9,MATCH($B397,Settings!$A$5:$A$9,0)),0))/P397+IFERROR(INDEX(Settings!$D$5:$D$9,MATCH($B397,Settings!$A$5:$A$9,0)),0)*M397)</f>
        <v/>
      </c>
      <c r="W397" s="11">
        <f>IF(J397="","",IF(T397="",0,M397*INDEX(Products!$I$5:$I$204,T397)))</f>
        <v/>
      </c>
      <c r="X397" s="11">
        <f>IF(J397="","",IF(T397="",0,S397*INDEX(Products!$H$5:$H$204,T397)))</f>
        <v/>
      </c>
      <c r="Y397" s="11">
        <f>IF(J397="","",S397-V397-W397-X397)</f>
        <v/>
      </c>
    </row>
    <row r="398">
      <c r="A398" s="19" t="n"/>
      <c r="B398" s="19" t="n"/>
      <c r="C398" s="19" t="n"/>
      <c r="D398" s="19" t="n"/>
      <c r="E398" s="19" t="n"/>
      <c r="F398" s="20" t="n"/>
      <c r="G398" s="20" t="n"/>
      <c r="H398" s="20" t="n"/>
      <c r="I398" s="19" t="n"/>
      <c r="J398">
        <f>IFERROR(IF(C398="","",C398)&amp;"","")</f>
        <v/>
      </c>
      <c r="K398">
        <f>IFERROR(IF(D398="","",D398)&amp;"","")</f>
        <v/>
      </c>
      <c r="L398">
        <f>IFERROR(IF(I398="","",I398)&amp;"","")</f>
        <v/>
      </c>
      <c r="M398">
        <f>IF(J398="","",IFERROR(VALUE(SUBSTITUTE(SUBSTITUTE(IF(E398="","",E398)&amp;"","$",""),",","")),0))</f>
        <v/>
      </c>
      <c r="N398" s="11">
        <f>IF(J398="","",IFERROR(VALUE(SUBSTITUTE(SUBSTITUTE(IF(F398="","",F398)&amp;"","$",""),",","")),0))</f>
        <v/>
      </c>
      <c r="O398" s="11">
        <f>IF(J398="","",M398*N398)</f>
        <v/>
      </c>
      <c r="P398">
        <f>IF(J398="","",IF(L398="",1,COUNTIF($L$2:$L$1501,L398)))</f>
        <v/>
      </c>
      <c r="Q398" s="11">
        <f>IF(J398="","",IFERROR(VALUE(SUBSTITUTE(SUBSTITUTE(IF(G398="","",G398)&amp;"","$",""),",","")),0)/IF("No"="Yes",P398,1))</f>
        <v/>
      </c>
      <c r="R398" s="11">
        <f>IF(J398="","",IFERROR(VALUE(SUBSTITUTE(SUBSTITUTE(IF(H398="","",H398)&amp;"","$",""),",","")),0)/IF("No"="Yes",P398,1))</f>
        <v/>
      </c>
      <c r="S398" s="11">
        <f>IF(J398="","",O398+Q398-R398)</f>
        <v/>
      </c>
      <c r="T398">
        <f>IF(J398="","",IFERROR(IF(K398="",NA(),MATCH(K398,Products!$B$5:$B$204,0)),IFERROR(MATCH(J398,Products!$A$5:$A$204,0),"")))</f>
        <v/>
      </c>
      <c r="U398">
        <f>IF(J398="","",IF(T398="","⚠ not in Products",INDEX(Products!$A$5:$A$204,T398)))</f>
        <v/>
      </c>
      <c r="V398" s="11">
        <f>IF(J398="","",S398*(IFERROR(INDEX(Settings!$B$5:$B$9,MATCH($B398,Settings!$A$5:$A$9,0)),0)+IFERROR(INDEX(Settings!$E$5:$E$9,MATCH($B398,Settings!$A$5:$A$9,0)),0)+IFERROR(INDEX(Settings!$G$5:$G$9,MATCH($B398,Settings!$A$5:$A$9,0)),0))+(IFERROR(INDEX(Settings!$C$5:$C$9,MATCH($B398,Settings!$A$5:$A$9,0)),0)+IFERROR(INDEX(Settings!$F$5:$F$9,MATCH($B398,Settings!$A$5:$A$9,0)),0))/P398+IFERROR(INDEX(Settings!$D$5:$D$9,MATCH($B398,Settings!$A$5:$A$9,0)),0)*M398)</f>
        <v/>
      </c>
      <c r="W398" s="11">
        <f>IF(J398="","",IF(T398="",0,M398*INDEX(Products!$I$5:$I$204,T398)))</f>
        <v/>
      </c>
      <c r="X398" s="11">
        <f>IF(J398="","",IF(T398="",0,S398*INDEX(Products!$H$5:$H$204,T398)))</f>
        <v/>
      </c>
      <c r="Y398" s="11">
        <f>IF(J398="","",S398-V398-W398-X398)</f>
        <v/>
      </c>
    </row>
    <row r="399">
      <c r="A399" s="19" t="n"/>
      <c r="B399" s="19" t="n"/>
      <c r="C399" s="19" t="n"/>
      <c r="D399" s="19" t="n"/>
      <c r="E399" s="19" t="n"/>
      <c r="F399" s="20" t="n"/>
      <c r="G399" s="20" t="n"/>
      <c r="H399" s="20" t="n"/>
      <c r="I399" s="19" t="n"/>
      <c r="J399">
        <f>IFERROR(IF(C399="","",C399)&amp;"","")</f>
        <v/>
      </c>
      <c r="K399">
        <f>IFERROR(IF(D399="","",D399)&amp;"","")</f>
        <v/>
      </c>
      <c r="L399">
        <f>IFERROR(IF(I399="","",I399)&amp;"","")</f>
        <v/>
      </c>
      <c r="M399">
        <f>IF(J399="","",IFERROR(VALUE(SUBSTITUTE(SUBSTITUTE(IF(E399="","",E399)&amp;"","$",""),",","")),0))</f>
        <v/>
      </c>
      <c r="N399" s="11">
        <f>IF(J399="","",IFERROR(VALUE(SUBSTITUTE(SUBSTITUTE(IF(F399="","",F399)&amp;"","$",""),",","")),0))</f>
        <v/>
      </c>
      <c r="O399" s="11">
        <f>IF(J399="","",M399*N399)</f>
        <v/>
      </c>
      <c r="P399">
        <f>IF(J399="","",IF(L399="",1,COUNTIF($L$2:$L$1501,L399)))</f>
        <v/>
      </c>
      <c r="Q399" s="11">
        <f>IF(J399="","",IFERROR(VALUE(SUBSTITUTE(SUBSTITUTE(IF(G399="","",G399)&amp;"","$",""),",","")),0)/IF("No"="Yes",P399,1))</f>
        <v/>
      </c>
      <c r="R399" s="11">
        <f>IF(J399="","",IFERROR(VALUE(SUBSTITUTE(SUBSTITUTE(IF(H399="","",H399)&amp;"","$",""),",","")),0)/IF("No"="Yes",P399,1))</f>
        <v/>
      </c>
      <c r="S399" s="11">
        <f>IF(J399="","",O399+Q399-R399)</f>
        <v/>
      </c>
      <c r="T399">
        <f>IF(J399="","",IFERROR(IF(K399="",NA(),MATCH(K399,Products!$B$5:$B$204,0)),IFERROR(MATCH(J399,Products!$A$5:$A$204,0),"")))</f>
        <v/>
      </c>
      <c r="U399">
        <f>IF(J399="","",IF(T399="","⚠ not in Products",INDEX(Products!$A$5:$A$204,T399)))</f>
        <v/>
      </c>
      <c r="V399" s="11">
        <f>IF(J399="","",S399*(IFERROR(INDEX(Settings!$B$5:$B$9,MATCH($B399,Settings!$A$5:$A$9,0)),0)+IFERROR(INDEX(Settings!$E$5:$E$9,MATCH($B399,Settings!$A$5:$A$9,0)),0)+IFERROR(INDEX(Settings!$G$5:$G$9,MATCH($B399,Settings!$A$5:$A$9,0)),0))+(IFERROR(INDEX(Settings!$C$5:$C$9,MATCH($B399,Settings!$A$5:$A$9,0)),0)+IFERROR(INDEX(Settings!$F$5:$F$9,MATCH($B399,Settings!$A$5:$A$9,0)),0))/P399+IFERROR(INDEX(Settings!$D$5:$D$9,MATCH($B399,Settings!$A$5:$A$9,0)),0)*M399)</f>
        <v/>
      </c>
      <c r="W399" s="11">
        <f>IF(J399="","",IF(T399="",0,M399*INDEX(Products!$I$5:$I$204,T399)))</f>
        <v/>
      </c>
      <c r="X399" s="11">
        <f>IF(J399="","",IF(T399="",0,S399*INDEX(Products!$H$5:$H$204,T399)))</f>
        <v/>
      </c>
      <c r="Y399" s="11">
        <f>IF(J399="","",S399-V399-W399-X399)</f>
        <v/>
      </c>
    </row>
    <row r="400">
      <c r="A400" s="19" t="n"/>
      <c r="B400" s="19" t="n"/>
      <c r="C400" s="19" t="n"/>
      <c r="D400" s="19" t="n"/>
      <c r="E400" s="19" t="n"/>
      <c r="F400" s="20" t="n"/>
      <c r="G400" s="20" t="n"/>
      <c r="H400" s="20" t="n"/>
      <c r="I400" s="19" t="n"/>
      <c r="J400">
        <f>IFERROR(IF(C400="","",C400)&amp;"","")</f>
        <v/>
      </c>
      <c r="K400">
        <f>IFERROR(IF(D400="","",D400)&amp;"","")</f>
        <v/>
      </c>
      <c r="L400">
        <f>IFERROR(IF(I400="","",I400)&amp;"","")</f>
        <v/>
      </c>
      <c r="M400">
        <f>IF(J400="","",IFERROR(VALUE(SUBSTITUTE(SUBSTITUTE(IF(E400="","",E400)&amp;"","$",""),",","")),0))</f>
        <v/>
      </c>
      <c r="N400" s="11">
        <f>IF(J400="","",IFERROR(VALUE(SUBSTITUTE(SUBSTITUTE(IF(F400="","",F400)&amp;"","$",""),",","")),0))</f>
        <v/>
      </c>
      <c r="O400" s="11">
        <f>IF(J400="","",M400*N400)</f>
        <v/>
      </c>
      <c r="P400">
        <f>IF(J400="","",IF(L400="",1,COUNTIF($L$2:$L$1501,L400)))</f>
        <v/>
      </c>
      <c r="Q400" s="11">
        <f>IF(J400="","",IFERROR(VALUE(SUBSTITUTE(SUBSTITUTE(IF(G400="","",G400)&amp;"","$",""),",","")),0)/IF("No"="Yes",P400,1))</f>
        <v/>
      </c>
      <c r="R400" s="11">
        <f>IF(J400="","",IFERROR(VALUE(SUBSTITUTE(SUBSTITUTE(IF(H400="","",H400)&amp;"","$",""),",","")),0)/IF("No"="Yes",P400,1))</f>
        <v/>
      </c>
      <c r="S400" s="11">
        <f>IF(J400="","",O400+Q400-R400)</f>
        <v/>
      </c>
      <c r="T400">
        <f>IF(J400="","",IFERROR(IF(K400="",NA(),MATCH(K400,Products!$B$5:$B$204,0)),IFERROR(MATCH(J400,Products!$A$5:$A$204,0),"")))</f>
        <v/>
      </c>
      <c r="U400">
        <f>IF(J400="","",IF(T400="","⚠ not in Products",INDEX(Products!$A$5:$A$204,T400)))</f>
        <v/>
      </c>
      <c r="V400" s="11">
        <f>IF(J400="","",S400*(IFERROR(INDEX(Settings!$B$5:$B$9,MATCH($B400,Settings!$A$5:$A$9,0)),0)+IFERROR(INDEX(Settings!$E$5:$E$9,MATCH($B400,Settings!$A$5:$A$9,0)),0)+IFERROR(INDEX(Settings!$G$5:$G$9,MATCH($B400,Settings!$A$5:$A$9,0)),0))+(IFERROR(INDEX(Settings!$C$5:$C$9,MATCH($B400,Settings!$A$5:$A$9,0)),0)+IFERROR(INDEX(Settings!$F$5:$F$9,MATCH($B400,Settings!$A$5:$A$9,0)),0))/P400+IFERROR(INDEX(Settings!$D$5:$D$9,MATCH($B400,Settings!$A$5:$A$9,0)),0)*M400)</f>
        <v/>
      </c>
      <c r="W400" s="11">
        <f>IF(J400="","",IF(T400="",0,M400*INDEX(Products!$I$5:$I$204,T400)))</f>
        <v/>
      </c>
      <c r="X400" s="11">
        <f>IF(J400="","",IF(T400="",0,S400*INDEX(Products!$H$5:$H$204,T400)))</f>
        <v/>
      </c>
      <c r="Y400" s="11">
        <f>IF(J400="","",S400-V400-W400-X400)</f>
        <v/>
      </c>
    </row>
    <row r="401">
      <c r="A401" s="19" t="n"/>
      <c r="B401" s="19" t="n"/>
      <c r="C401" s="19" t="n"/>
      <c r="D401" s="19" t="n"/>
      <c r="E401" s="19" t="n"/>
      <c r="F401" s="20" t="n"/>
      <c r="G401" s="20" t="n"/>
      <c r="H401" s="20" t="n"/>
      <c r="I401" s="19" t="n"/>
      <c r="J401">
        <f>IFERROR(IF(C401="","",C401)&amp;"","")</f>
        <v/>
      </c>
      <c r="K401">
        <f>IFERROR(IF(D401="","",D401)&amp;"","")</f>
        <v/>
      </c>
      <c r="L401">
        <f>IFERROR(IF(I401="","",I401)&amp;"","")</f>
        <v/>
      </c>
      <c r="M401">
        <f>IF(J401="","",IFERROR(VALUE(SUBSTITUTE(SUBSTITUTE(IF(E401="","",E401)&amp;"","$",""),",","")),0))</f>
        <v/>
      </c>
      <c r="N401" s="11">
        <f>IF(J401="","",IFERROR(VALUE(SUBSTITUTE(SUBSTITUTE(IF(F401="","",F401)&amp;"","$",""),",","")),0))</f>
        <v/>
      </c>
      <c r="O401" s="11">
        <f>IF(J401="","",M401*N401)</f>
        <v/>
      </c>
      <c r="P401">
        <f>IF(J401="","",IF(L401="",1,COUNTIF($L$2:$L$1501,L401)))</f>
        <v/>
      </c>
      <c r="Q401" s="11">
        <f>IF(J401="","",IFERROR(VALUE(SUBSTITUTE(SUBSTITUTE(IF(G401="","",G401)&amp;"","$",""),",","")),0)/IF("No"="Yes",P401,1))</f>
        <v/>
      </c>
      <c r="R401" s="11">
        <f>IF(J401="","",IFERROR(VALUE(SUBSTITUTE(SUBSTITUTE(IF(H401="","",H401)&amp;"","$",""),",","")),0)/IF("No"="Yes",P401,1))</f>
        <v/>
      </c>
      <c r="S401" s="11">
        <f>IF(J401="","",O401+Q401-R401)</f>
        <v/>
      </c>
      <c r="T401">
        <f>IF(J401="","",IFERROR(IF(K401="",NA(),MATCH(K401,Products!$B$5:$B$204,0)),IFERROR(MATCH(J401,Products!$A$5:$A$204,0),"")))</f>
        <v/>
      </c>
      <c r="U401">
        <f>IF(J401="","",IF(T401="","⚠ not in Products",INDEX(Products!$A$5:$A$204,T401)))</f>
        <v/>
      </c>
      <c r="V401" s="11">
        <f>IF(J401="","",S401*(IFERROR(INDEX(Settings!$B$5:$B$9,MATCH($B401,Settings!$A$5:$A$9,0)),0)+IFERROR(INDEX(Settings!$E$5:$E$9,MATCH($B401,Settings!$A$5:$A$9,0)),0)+IFERROR(INDEX(Settings!$G$5:$G$9,MATCH($B401,Settings!$A$5:$A$9,0)),0))+(IFERROR(INDEX(Settings!$C$5:$C$9,MATCH($B401,Settings!$A$5:$A$9,0)),0)+IFERROR(INDEX(Settings!$F$5:$F$9,MATCH($B401,Settings!$A$5:$A$9,0)),0))/P401+IFERROR(INDEX(Settings!$D$5:$D$9,MATCH($B401,Settings!$A$5:$A$9,0)),0)*M401)</f>
        <v/>
      </c>
      <c r="W401" s="11">
        <f>IF(J401="","",IF(T401="",0,M401*INDEX(Products!$I$5:$I$204,T401)))</f>
        <v/>
      </c>
      <c r="X401" s="11">
        <f>IF(J401="","",IF(T401="",0,S401*INDEX(Products!$H$5:$H$204,T401)))</f>
        <v/>
      </c>
      <c r="Y401" s="11">
        <f>IF(J401="","",S401-V401-W401-X401)</f>
        <v/>
      </c>
    </row>
    <row r="402">
      <c r="A402" s="19" t="n"/>
      <c r="B402" s="19" t="n"/>
      <c r="C402" s="19" t="n"/>
      <c r="D402" s="19" t="n"/>
      <c r="E402" s="19" t="n"/>
      <c r="F402" s="20" t="n"/>
      <c r="G402" s="20" t="n"/>
      <c r="H402" s="20" t="n"/>
      <c r="I402" s="19" t="n"/>
      <c r="J402">
        <f>IFERROR(IF(C402="","",C402)&amp;"","")</f>
        <v/>
      </c>
      <c r="K402">
        <f>IFERROR(IF(D402="","",D402)&amp;"","")</f>
        <v/>
      </c>
      <c r="L402">
        <f>IFERROR(IF(I402="","",I402)&amp;"","")</f>
        <v/>
      </c>
      <c r="M402">
        <f>IF(J402="","",IFERROR(VALUE(SUBSTITUTE(SUBSTITUTE(IF(E402="","",E402)&amp;"","$",""),",","")),0))</f>
        <v/>
      </c>
      <c r="N402" s="11">
        <f>IF(J402="","",IFERROR(VALUE(SUBSTITUTE(SUBSTITUTE(IF(F402="","",F402)&amp;"","$",""),",","")),0))</f>
        <v/>
      </c>
      <c r="O402" s="11">
        <f>IF(J402="","",M402*N402)</f>
        <v/>
      </c>
      <c r="P402">
        <f>IF(J402="","",IF(L402="",1,COUNTIF($L$2:$L$1501,L402)))</f>
        <v/>
      </c>
      <c r="Q402" s="11">
        <f>IF(J402="","",IFERROR(VALUE(SUBSTITUTE(SUBSTITUTE(IF(G402="","",G402)&amp;"","$",""),",","")),0)/IF("No"="Yes",P402,1))</f>
        <v/>
      </c>
      <c r="R402" s="11">
        <f>IF(J402="","",IFERROR(VALUE(SUBSTITUTE(SUBSTITUTE(IF(H402="","",H402)&amp;"","$",""),",","")),0)/IF("No"="Yes",P402,1))</f>
        <v/>
      </c>
      <c r="S402" s="11">
        <f>IF(J402="","",O402+Q402-R402)</f>
        <v/>
      </c>
      <c r="T402">
        <f>IF(J402="","",IFERROR(IF(K402="",NA(),MATCH(K402,Products!$B$5:$B$204,0)),IFERROR(MATCH(J402,Products!$A$5:$A$204,0),"")))</f>
        <v/>
      </c>
      <c r="U402">
        <f>IF(J402="","",IF(T402="","⚠ not in Products",INDEX(Products!$A$5:$A$204,T402)))</f>
        <v/>
      </c>
      <c r="V402" s="11">
        <f>IF(J402="","",S402*(IFERROR(INDEX(Settings!$B$5:$B$9,MATCH($B402,Settings!$A$5:$A$9,0)),0)+IFERROR(INDEX(Settings!$E$5:$E$9,MATCH($B402,Settings!$A$5:$A$9,0)),0)+IFERROR(INDEX(Settings!$G$5:$G$9,MATCH($B402,Settings!$A$5:$A$9,0)),0))+(IFERROR(INDEX(Settings!$C$5:$C$9,MATCH($B402,Settings!$A$5:$A$9,0)),0)+IFERROR(INDEX(Settings!$F$5:$F$9,MATCH($B402,Settings!$A$5:$A$9,0)),0))/P402+IFERROR(INDEX(Settings!$D$5:$D$9,MATCH($B402,Settings!$A$5:$A$9,0)),0)*M402)</f>
        <v/>
      </c>
      <c r="W402" s="11">
        <f>IF(J402="","",IF(T402="",0,M402*INDEX(Products!$I$5:$I$204,T402)))</f>
        <v/>
      </c>
      <c r="X402" s="11">
        <f>IF(J402="","",IF(T402="",0,S402*INDEX(Products!$H$5:$H$204,T402)))</f>
        <v/>
      </c>
      <c r="Y402" s="11">
        <f>IF(J402="","",S402-V402-W402-X402)</f>
        <v/>
      </c>
    </row>
    <row r="403">
      <c r="A403" s="19" t="n"/>
      <c r="B403" s="19" t="n"/>
      <c r="C403" s="19" t="n"/>
      <c r="D403" s="19" t="n"/>
      <c r="E403" s="19" t="n"/>
      <c r="F403" s="20" t="n"/>
      <c r="G403" s="20" t="n"/>
      <c r="H403" s="20" t="n"/>
      <c r="I403" s="19" t="n"/>
      <c r="J403">
        <f>IFERROR(IF(C403="","",C403)&amp;"","")</f>
        <v/>
      </c>
      <c r="K403">
        <f>IFERROR(IF(D403="","",D403)&amp;"","")</f>
        <v/>
      </c>
      <c r="L403">
        <f>IFERROR(IF(I403="","",I403)&amp;"","")</f>
        <v/>
      </c>
      <c r="M403">
        <f>IF(J403="","",IFERROR(VALUE(SUBSTITUTE(SUBSTITUTE(IF(E403="","",E403)&amp;"","$",""),",","")),0))</f>
        <v/>
      </c>
      <c r="N403" s="11">
        <f>IF(J403="","",IFERROR(VALUE(SUBSTITUTE(SUBSTITUTE(IF(F403="","",F403)&amp;"","$",""),",","")),0))</f>
        <v/>
      </c>
      <c r="O403" s="11">
        <f>IF(J403="","",M403*N403)</f>
        <v/>
      </c>
      <c r="P403">
        <f>IF(J403="","",IF(L403="",1,COUNTIF($L$2:$L$1501,L403)))</f>
        <v/>
      </c>
      <c r="Q403" s="11">
        <f>IF(J403="","",IFERROR(VALUE(SUBSTITUTE(SUBSTITUTE(IF(G403="","",G403)&amp;"","$",""),",","")),0)/IF("No"="Yes",P403,1))</f>
        <v/>
      </c>
      <c r="R403" s="11">
        <f>IF(J403="","",IFERROR(VALUE(SUBSTITUTE(SUBSTITUTE(IF(H403="","",H403)&amp;"","$",""),",","")),0)/IF("No"="Yes",P403,1))</f>
        <v/>
      </c>
      <c r="S403" s="11">
        <f>IF(J403="","",O403+Q403-R403)</f>
        <v/>
      </c>
      <c r="T403">
        <f>IF(J403="","",IFERROR(IF(K403="",NA(),MATCH(K403,Products!$B$5:$B$204,0)),IFERROR(MATCH(J403,Products!$A$5:$A$204,0),"")))</f>
        <v/>
      </c>
      <c r="U403">
        <f>IF(J403="","",IF(T403="","⚠ not in Products",INDEX(Products!$A$5:$A$204,T403)))</f>
        <v/>
      </c>
      <c r="V403" s="11">
        <f>IF(J403="","",S403*(IFERROR(INDEX(Settings!$B$5:$B$9,MATCH($B403,Settings!$A$5:$A$9,0)),0)+IFERROR(INDEX(Settings!$E$5:$E$9,MATCH($B403,Settings!$A$5:$A$9,0)),0)+IFERROR(INDEX(Settings!$G$5:$G$9,MATCH($B403,Settings!$A$5:$A$9,0)),0))+(IFERROR(INDEX(Settings!$C$5:$C$9,MATCH($B403,Settings!$A$5:$A$9,0)),0)+IFERROR(INDEX(Settings!$F$5:$F$9,MATCH($B403,Settings!$A$5:$A$9,0)),0))/P403+IFERROR(INDEX(Settings!$D$5:$D$9,MATCH($B403,Settings!$A$5:$A$9,0)),0)*M403)</f>
        <v/>
      </c>
      <c r="W403" s="11">
        <f>IF(J403="","",IF(T403="",0,M403*INDEX(Products!$I$5:$I$204,T403)))</f>
        <v/>
      </c>
      <c r="X403" s="11">
        <f>IF(J403="","",IF(T403="",0,S403*INDEX(Products!$H$5:$H$204,T403)))</f>
        <v/>
      </c>
      <c r="Y403" s="11">
        <f>IF(J403="","",S403-V403-W403-X403)</f>
        <v/>
      </c>
    </row>
    <row r="404">
      <c r="A404" s="19" t="n"/>
      <c r="B404" s="19" t="n"/>
      <c r="C404" s="19" t="n"/>
      <c r="D404" s="19" t="n"/>
      <c r="E404" s="19" t="n"/>
      <c r="F404" s="20" t="n"/>
      <c r="G404" s="20" t="n"/>
      <c r="H404" s="20" t="n"/>
      <c r="I404" s="19" t="n"/>
      <c r="J404">
        <f>IFERROR(IF(C404="","",C404)&amp;"","")</f>
        <v/>
      </c>
      <c r="K404">
        <f>IFERROR(IF(D404="","",D404)&amp;"","")</f>
        <v/>
      </c>
      <c r="L404">
        <f>IFERROR(IF(I404="","",I404)&amp;"","")</f>
        <v/>
      </c>
      <c r="M404">
        <f>IF(J404="","",IFERROR(VALUE(SUBSTITUTE(SUBSTITUTE(IF(E404="","",E404)&amp;"","$",""),",","")),0))</f>
        <v/>
      </c>
      <c r="N404" s="11">
        <f>IF(J404="","",IFERROR(VALUE(SUBSTITUTE(SUBSTITUTE(IF(F404="","",F404)&amp;"","$",""),",","")),0))</f>
        <v/>
      </c>
      <c r="O404" s="11">
        <f>IF(J404="","",M404*N404)</f>
        <v/>
      </c>
      <c r="P404">
        <f>IF(J404="","",IF(L404="",1,COUNTIF($L$2:$L$1501,L404)))</f>
        <v/>
      </c>
      <c r="Q404" s="11">
        <f>IF(J404="","",IFERROR(VALUE(SUBSTITUTE(SUBSTITUTE(IF(G404="","",G404)&amp;"","$",""),",","")),0)/IF("No"="Yes",P404,1))</f>
        <v/>
      </c>
      <c r="R404" s="11">
        <f>IF(J404="","",IFERROR(VALUE(SUBSTITUTE(SUBSTITUTE(IF(H404="","",H404)&amp;"","$",""),",","")),0)/IF("No"="Yes",P404,1))</f>
        <v/>
      </c>
      <c r="S404" s="11">
        <f>IF(J404="","",O404+Q404-R404)</f>
        <v/>
      </c>
      <c r="T404">
        <f>IF(J404="","",IFERROR(IF(K404="",NA(),MATCH(K404,Products!$B$5:$B$204,0)),IFERROR(MATCH(J404,Products!$A$5:$A$204,0),"")))</f>
        <v/>
      </c>
      <c r="U404">
        <f>IF(J404="","",IF(T404="","⚠ not in Products",INDEX(Products!$A$5:$A$204,T404)))</f>
        <v/>
      </c>
      <c r="V404" s="11">
        <f>IF(J404="","",S404*(IFERROR(INDEX(Settings!$B$5:$B$9,MATCH($B404,Settings!$A$5:$A$9,0)),0)+IFERROR(INDEX(Settings!$E$5:$E$9,MATCH($B404,Settings!$A$5:$A$9,0)),0)+IFERROR(INDEX(Settings!$G$5:$G$9,MATCH($B404,Settings!$A$5:$A$9,0)),0))+(IFERROR(INDEX(Settings!$C$5:$C$9,MATCH($B404,Settings!$A$5:$A$9,0)),0)+IFERROR(INDEX(Settings!$F$5:$F$9,MATCH($B404,Settings!$A$5:$A$9,0)),0))/P404+IFERROR(INDEX(Settings!$D$5:$D$9,MATCH($B404,Settings!$A$5:$A$9,0)),0)*M404)</f>
        <v/>
      </c>
      <c r="W404" s="11">
        <f>IF(J404="","",IF(T404="",0,M404*INDEX(Products!$I$5:$I$204,T404)))</f>
        <v/>
      </c>
      <c r="X404" s="11">
        <f>IF(J404="","",IF(T404="",0,S404*INDEX(Products!$H$5:$H$204,T404)))</f>
        <v/>
      </c>
      <c r="Y404" s="11">
        <f>IF(J404="","",S404-V404-W404-X404)</f>
        <v/>
      </c>
    </row>
    <row r="405">
      <c r="A405" s="19" t="n"/>
      <c r="B405" s="19" t="n"/>
      <c r="C405" s="19" t="n"/>
      <c r="D405" s="19" t="n"/>
      <c r="E405" s="19" t="n"/>
      <c r="F405" s="20" t="n"/>
      <c r="G405" s="20" t="n"/>
      <c r="H405" s="20" t="n"/>
      <c r="I405" s="19" t="n"/>
      <c r="J405">
        <f>IFERROR(IF(C405="","",C405)&amp;"","")</f>
        <v/>
      </c>
      <c r="K405">
        <f>IFERROR(IF(D405="","",D405)&amp;"","")</f>
        <v/>
      </c>
      <c r="L405">
        <f>IFERROR(IF(I405="","",I405)&amp;"","")</f>
        <v/>
      </c>
      <c r="M405">
        <f>IF(J405="","",IFERROR(VALUE(SUBSTITUTE(SUBSTITUTE(IF(E405="","",E405)&amp;"","$",""),",","")),0))</f>
        <v/>
      </c>
      <c r="N405" s="11">
        <f>IF(J405="","",IFERROR(VALUE(SUBSTITUTE(SUBSTITUTE(IF(F405="","",F405)&amp;"","$",""),",","")),0))</f>
        <v/>
      </c>
      <c r="O405" s="11">
        <f>IF(J405="","",M405*N405)</f>
        <v/>
      </c>
      <c r="P405">
        <f>IF(J405="","",IF(L405="",1,COUNTIF($L$2:$L$1501,L405)))</f>
        <v/>
      </c>
      <c r="Q405" s="11">
        <f>IF(J405="","",IFERROR(VALUE(SUBSTITUTE(SUBSTITUTE(IF(G405="","",G405)&amp;"","$",""),",","")),0)/IF("No"="Yes",P405,1))</f>
        <v/>
      </c>
      <c r="R405" s="11">
        <f>IF(J405="","",IFERROR(VALUE(SUBSTITUTE(SUBSTITUTE(IF(H405="","",H405)&amp;"","$",""),",","")),0)/IF("No"="Yes",P405,1))</f>
        <v/>
      </c>
      <c r="S405" s="11">
        <f>IF(J405="","",O405+Q405-R405)</f>
        <v/>
      </c>
      <c r="T405">
        <f>IF(J405="","",IFERROR(IF(K405="",NA(),MATCH(K405,Products!$B$5:$B$204,0)),IFERROR(MATCH(J405,Products!$A$5:$A$204,0),"")))</f>
        <v/>
      </c>
      <c r="U405">
        <f>IF(J405="","",IF(T405="","⚠ not in Products",INDEX(Products!$A$5:$A$204,T405)))</f>
        <v/>
      </c>
      <c r="V405" s="11">
        <f>IF(J405="","",S405*(IFERROR(INDEX(Settings!$B$5:$B$9,MATCH($B405,Settings!$A$5:$A$9,0)),0)+IFERROR(INDEX(Settings!$E$5:$E$9,MATCH($B405,Settings!$A$5:$A$9,0)),0)+IFERROR(INDEX(Settings!$G$5:$G$9,MATCH($B405,Settings!$A$5:$A$9,0)),0))+(IFERROR(INDEX(Settings!$C$5:$C$9,MATCH($B405,Settings!$A$5:$A$9,0)),0)+IFERROR(INDEX(Settings!$F$5:$F$9,MATCH($B405,Settings!$A$5:$A$9,0)),0))/P405+IFERROR(INDEX(Settings!$D$5:$D$9,MATCH($B405,Settings!$A$5:$A$9,0)),0)*M405)</f>
        <v/>
      </c>
      <c r="W405" s="11">
        <f>IF(J405="","",IF(T405="",0,M405*INDEX(Products!$I$5:$I$204,T405)))</f>
        <v/>
      </c>
      <c r="X405" s="11">
        <f>IF(J405="","",IF(T405="",0,S405*INDEX(Products!$H$5:$H$204,T405)))</f>
        <v/>
      </c>
      <c r="Y405" s="11">
        <f>IF(J405="","",S405-V405-W405-X405)</f>
        <v/>
      </c>
    </row>
    <row r="406">
      <c r="A406" s="19" t="n"/>
      <c r="B406" s="19" t="n"/>
      <c r="C406" s="19" t="n"/>
      <c r="D406" s="19" t="n"/>
      <c r="E406" s="19" t="n"/>
      <c r="F406" s="20" t="n"/>
      <c r="G406" s="20" t="n"/>
      <c r="H406" s="20" t="n"/>
      <c r="I406" s="19" t="n"/>
      <c r="J406">
        <f>IFERROR(IF(C406="","",C406)&amp;"","")</f>
        <v/>
      </c>
      <c r="K406">
        <f>IFERROR(IF(D406="","",D406)&amp;"","")</f>
        <v/>
      </c>
      <c r="L406">
        <f>IFERROR(IF(I406="","",I406)&amp;"","")</f>
        <v/>
      </c>
      <c r="M406">
        <f>IF(J406="","",IFERROR(VALUE(SUBSTITUTE(SUBSTITUTE(IF(E406="","",E406)&amp;"","$",""),",","")),0))</f>
        <v/>
      </c>
      <c r="N406" s="11">
        <f>IF(J406="","",IFERROR(VALUE(SUBSTITUTE(SUBSTITUTE(IF(F406="","",F406)&amp;"","$",""),",","")),0))</f>
        <v/>
      </c>
      <c r="O406" s="11">
        <f>IF(J406="","",M406*N406)</f>
        <v/>
      </c>
      <c r="P406">
        <f>IF(J406="","",IF(L406="",1,COUNTIF($L$2:$L$1501,L406)))</f>
        <v/>
      </c>
      <c r="Q406" s="11">
        <f>IF(J406="","",IFERROR(VALUE(SUBSTITUTE(SUBSTITUTE(IF(G406="","",G406)&amp;"","$",""),",","")),0)/IF("No"="Yes",P406,1))</f>
        <v/>
      </c>
      <c r="R406" s="11">
        <f>IF(J406="","",IFERROR(VALUE(SUBSTITUTE(SUBSTITUTE(IF(H406="","",H406)&amp;"","$",""),",","")),0)/IF("No"="Yes",P406,1))</f>
        <v/>
      </c>
      <c r="S406" s="11">
        <f>IF(J406="","",O406+Q406-R406)</f>
        <v/>
      </c>
      <c r="T406">
        <f>IF(J406="","",IFERROR(IF(K406="",NA(),MATCH(K406,Products!$B$5:$B$204,0)),IFERROR(MATCH(J406,Products!$A$5:$A$204,0),"")))</f>
        <v/>
      </c>
      <c r="U406">
        <f>IF(J406="","",IF(T406="","⚠ not in Products",INDEX(Products!$A$5:$A$204,T406)))</f>
        <v/>
      </c>
      <c r="V406" s="11">
        <f>IF(J406="","",S406*(IFERROR(INDEX(Settings!$B$5:$B$9,MATCH($B406,Settings!$A$5:$A$9,0)),0)+IFERROR(INDEX(Settings!$E$5:$E$9,MATCH($B406,Settings!$A$5:$A$9,0)),0)+IFERROR(INDEX(Settings!$G$5:$G$9,MATCH($B406,Settings!$A$5:$A$9,0)),0))+(IFERROR(INDEX(Settings!$C$5:$C$9,MATCH($B406,Settings!$A$5:$A$9,0)),0)+IFERROR(INDEX(Settings!$F$5:$F$9,MATCH($B406,Settings!$A$5:$A$9,0)),0))/P406+IFERROR(INDEX(Settings!$D$5:$D$9,MATCH($B406,Settings!$A$5:$A$9,0)),0)*M406)</f>
        <v/>
      </c>
      <c r="W406" s="11">
        <f>IF(J406="","",IF(T406="",0,M406*INDEX(Products!$I$5:$I$204,T406)))</f>
        <v/>
      </c>
      <c r="X406" s="11">
        <f>IF(J406="","",IF(T406="",0,S406*INDEX(Products!$H$5:$H$204,T406)))</f>
        <v/>
      </c>
      <c r="Y406" s="11">
        <f>IF(J406="","",S406-V406-W406-X406)</f>
        <v/>
      </c>
    </row>
    <row r="407">
      <c r="A407" s="19" t="n"/>
      <c r="B407" s="19" t="n"/>
      <c r="C407" s="19" t="n"/>
      <c r="D407" s="19" t="n"/>
      <c r="E407" s="19" t="n"/>
      <c r="F407" s="20" t="n"/>
      <c r="G407" s="20" t="n"/>
      <c r="H407" s="20" t="n"/>
      <c r="I407" s="19" t="n"/>
      <c r="J407">
        <f>IFERROR(IF(C407="","",C407)&amp;"","")</f>
        <v/>
      </c>
      <c r="K407">
        <f>IFERROR(IF(D407="","",D407)&amp;"","")</f>
        <v/>
      </c>
      <c r="L407">
        <f>IFERROR(IF(I407="","",I407)&amp;"","")</f>
        <v/>
      </c>
      <c r="M407">
        <f>IF(J407="","",IFERROR(VALUE(SUBSTITUTE(SUBSTITUTE(IF(E407="","",E407)&amp;"","$",""),",","")),0))</f>
        <v/>
      </c>
      <c r="N407" s="11">
        <f>IF(J407="","",IFERROR(VALUE(SUBSTITUTE(SUBSTITUTE(IF(F407="","",F407)&amp;"","$",""),",","")),0))</f>
        <v/>
      </c>
      <c r="O407" s="11">
        <f>IF(J407="","",M407*N407)</f>
        <v/>
      </c>
      <c r="P407">
        <f>IF(J407="","",IF(L407="",1,COUNTIF($L$2:$L$1501,L407)))</f>
        <v/>
      </c>
      <c r="Q407" s="11">
        <f>IF(J407="","",IFERROR(VALUE(SUBSTITUTE(SUBSTITUTE(IF(G407="","",G407)&amp;"","$",""),",","")),0)/IF("No"="Yes",P407,1))</f>
        <v/>
      </c>
      <c r="R407" s="11">
        <f>IF(J407="","",IFERROR(VALUE(SUBSTITUTE(SUBSTITUTE(IF(H407="","",H407)&amp;"","$",""),",","")),0)/IF("No"="Yes",P407,1))</f>
        <v/>
      </c>
      <c r="S407" s="11">
        <f>IF(J407="","",O407+Q407-R407)</f>
        <v/>
      </c>
      <c r="T407">
        <f>IF(J407="","",IFERROR(IF(K407="",NA(),MATCH(K407,Products!$B$5:$B$204,0)),IFERROR(MATCH(J407,Products!$A$5:$A$204,0),"")))</f>
        <v/>
      </c>
      <c r="U407">
        <f>IF(J407="","",IF(T407="","⚠ not in Products",INDEX(Products!$A$5:$A$204,T407)))</f>
        <v/>
      </c>
      <c r="V407" s="11">
        <f>IF(J407="","",S407*(IFERROR(INDEX(Settings!$B$5:$B$9,MATCH($B407,Settings!$A$5:$A$9,0)),0)+IFERROR(INDEX(Settings!$E$5:$E$9,MATCH($B407,Settings!$A$5:$A$9,0)),0)+IFERROR(INDEX(Settings!$G$5:$G$9,MATCH($B407,Settings!$A$5:$A$9,0)),0))+(IFERROR(INDEX(Settings!$C$5:$C$9,MATCH($B407,Settings!$A$5:$A$9,0)),0)+IFERROR(INDEX(Settings!$F$5:$F$9,MATCH($B407,Settings!$A$5:$A$9,0)),0))/P407+IFERROR(INDEX(Settings!$D$5:$D$9,MATCH($B407,Settings!$A$5:$A$9,0)),0)*M407)</f>
        <v/>
      </c>
      <c r="W407" s="11">
        <f>IF(J407="","",IF(T407="",0,M407*INDEX(Products!$I$5:$I$204,T407)))</f>
        <v/>
      </c>
      <c r="X407" s="11">
        <f>IF(J407="","",IF(T407="",0,S407*INDEX(Products!$H$5:$H$204,T407)))</f>
        <v/>
      </c>
      <c r="Y407" s="11">
        <f>IF(J407="","",S407-V407-W407-X407)</f>
        <v/>
      </c>
    </row>
    <row r="408">
      <c r="A408" s="19" t="n"/>
      <c r="B408" s="19" t="n"/>
      <c r="C408" s="19" t="n"/>
      <c r="D408" s="19" t="n"/>
      <c r="E408" s="19" t="n"/>
      <c r="F408" s="20" t="n"/>
      <c r="G408" s="20" t="n"/>
      <c r="H408" s="20" t="n"/>
      <c r="I408" s="19" t="n"/>
      <c r="J408">
        <f>IFERROR(IF(C408="","",C408)&amp;"","")</f>
        <v/>
      </c>
      <c r="K408">
        <f>IFERROR(IF(D408="","",D408)&amp;"","")</f>
        <v/>
      </c>
      <c r="L408">
        <f>IFERROR(IF(I408="","",I408)&amp;"","")</f>
        <v/>
      </c>
      <c r="M408">
        <f>IF(J408="","",IFERROR(VALUE(SUBSTITUTE(SUBSTITUTE(IF(E408="","",E408)&amp;"","$",""),",","")),0))</f>
        <v/>
      </c>
      <c r="N408" s="11">
        <f>IF(J408="","",IFERROR(VALUE(SUBSTITUTE(SUBSTITUTE(IF(F408="","",F408)&amp;"","$",""),",","")),0))</f>
        <v/>
      </c>
      <c r="O408" s="11">
        <f>IF(J408="","",M408*N408)</f>
        <v/>
      </c>
      <c r="P408">
        <f>IF(J408="","",IF(L408="",1,COUNTIF($L$2:$L$1501,L408)))</f>
        <v/>
      </c>
      <c r="Q408" s="11">
        <f>IF(J408="","",IFERROR(VALUE(SUBSTITUTE(SUBSTITUTE(IF(G408="","",G408)&amp;"","$",""),",","")),0)/IF("No"="Yes",P408,1))</f>
        <v/>
      </c>
      <c r="R408" s="11">
        <f>IF(J408="","",IFERROR(VALUE(SUBSTITUTE(SUBSTITUTE(IF(H408="","",H408)&amp;"","$",""),",","")),0)/IF("No"="Yes",P408,1))</f>
        <v/>
      </c>
      <c r="S408" s="11">
        <f>IF(J408="","",O408+Q408-R408)</f>
        <v/>
      </c>
      <c r="T408">
        <f>IF(J408="","",IFERROR(IF(K408="",NA(),MATCH(K408,Products!$B$5:$B$204,0)),IFERROR(MATCH(J408,Products!$A$5:$A$204,0),"")))</f>
        <v/>
      </c>
      <c r="U408">
        <f>IF(J408="","",IF(T408="","⚠ not in Products",INDEX(Products!$A$5:$A$204,T408)))</f>
        <v/>
      </c>
      <c r="V408" s="11">
        <f>IF(J408="","",S408*(IFERROR(INDEX(Settings!$B$5:$B$9,MATCH($B408,Settings!$A$5:$A$9,0)),0)+IFERROR(INDEX(Settings!$E$5:$E$9,MATCH($B408,Settings!$A$5:$A$9,0)),0)+IFERROR(INDEX(Settings!$G$5:$G$9,MATCH($B408,Settings!$A$5:$A$9,0)),0))+(IFERROR(INDEX(Settings!$C$5:$C$9,MATCH($B408,Settings!$A$5:$A$9,0)),0)+IFERROR(INDEX(Settings!$F$5:$F$9,MATCH($B408,Settings!$A$5:$A$9,0)),0))/P408+IFERROR(INDEX(Settings!$D$5:$D$9,MATCH($B408,Settings!$A$5:$A$9,0)),0)*M408)</f>
        <v/>
      </c>
      <c r="W408" s="11">
        <f>IF(J408="","",IF(T408="",0,M408*INDEX(Products!$I$5:$I$204,T408)))</f>
        <v/>
      </c>
      <c r="X408" s="11">
        <f>IF(J408="","",IF(T408="",0,S408*INDEX(Products!$H$5:$H$204,T408)))</f>
        <v/>
      </c>
      <c r="Y408" s="11">
        <f>IF(J408="","",S408-V408-W408-X408)</f>
        <v/>
      </c>
    </row>
    <row r="409">
      <c r="A409" s="19" t="n"/>
      <c r="B409" s="19" t="n"/>
      <c r="C409" s="19" t="n"/>
      <c r="D409" s="19" t="n"/>
      <c r="E409" s="19" t="n"/>
      <c r="F409" s="20" t="n"/>
      <c r="G409" s="20" t="n"/>
      <c r="H409" s="20" t="n"/>
      <c r="I409" s="19" t="n"/>
      <c r="J409">
        <f>IFERROR(IF(C409="","",C409)&amp;"","")</f>
        <v/>
      </c>
      <c r="K409">
        <f>IFERROR(IF(D409="","",D409)&amp;"","")</f>
        <v/>
      </c>
      <c r="L409">
        <f>IFERROR(IF(I409="","",I409)&amp;"","")</f>
        <v/>
      </c>
      <c r="M409">
        <f>IF(J409="","",IFERROR(VALUE(SUBSTITUTE(SUBSTITUTE(IF(E409="","",E409)&amp;"","$",""),",","")),0))</f>
        <v/>
      </c>
      <c r="N409" s="11">
        <f>IF(J409="","",IFERROR(VALUE(SUBSTITUTE(SUBSTITUTE(IF(F409="","",F409)&amp;"","$",""),",","")),0))</f>
        <v/>
      </c>
      <c r="O409" s="11">
        <f>IF(J409="","",M409*N409)</f>
        <v/>
      </c>
      <c r="P409">
        <f>IF(J409="","",IF(L409="",1,COUNTIF($L$2:$L$1501,L409)))</f>
        <v/>
      </c>
      <c r="Q409" s="11">
        <f>IF(J409="","",IFERROR(VALUE(SUBSTITUTE(SUBSTITUTE(IF(G409="","",G409)&amp;"","$",""),",","")),0)/IF("No"="Yes",P409,1))</f>
        <v/>
      </c>
      <c r="R409" s="11">
        <f>IF(J409="","",IFERROR(VALUE(SUBSTITUTE(SUBSTITUTE(IF(H409="","",H409)&amp;"","$",""),",","")),0)/IF("No"="Yes",P409,1))</f>
        <v/>
      </c>
      <c r="S409" s="11">
        <f>IF(J409="","",O409+Q409-R409)</f>
        <v/>
      </c>
      <c r="T409">
        <f>IF(J409="","",IFERROR(IF(K409="",NA(),MATCH(K409,Products!$B$5:$B$204,0)),IFERROR(MATCH(J409,Products!$A$5:$A$204,0),"")))</f>
        <v/>
      </c>
      <c r="U409">
        <f>IF(J409="","",IF(T409="","⚠ not in Products",INDEX(Products!$A$5:$A$204,T409)))</f>
        <v/>
      </c>
      <c r="V409" s="11">
        <f>IF(J409="","",S409*(IFERROR(INDEX(Settings!$B$5:$B$9,MATCH($B409,Settings!$A$5:$A$9,0)),0)+IFERROR(INDEX(Settings!$E$5:$E$9,MATCH($B409,Settings!$A$5:$A$9,0)),0)+IFERROR(INDEX(Settings!$G$5:$G$9,MATCH($B409,Settings!$A$5:$A$9,0)),0))+(IFERROR(INDEX(Settings!$C$5:$C$9,MATCH($B409,Settings!$A$5:$A$9,0)),0)+IFERROR(INDEX(Settings!$F$5:$F$9,MATCH($B409,Settings!$A$5:$A$9,0)),0))/P409+IFERROR(INDEX(Settings!$D$5:$D$9,MATCH($B409,Settings!$A$5:$A$9,0)),0)*M409)</f>
        <v/>
      </c>
      <c r="W409" s="11">
        <f>IF(J409="","",IF(T409="",0,M409*INDEX(Products!$I$5:$I$204,T409)))</f>
        <v/>
      </c>
      <c r="X409" s="11">
        <f>IF(J409="","",IF(T409="",0,S409*INDEX(Products!$H$5:$H$204,T409)))</f>
        <v/>
      </c>
      <c r="Y409" s="11">
        <f>IF(J409="","",S409-V409-W409-X409)</f>
        <v/>
      </c>
    </row>
    <row r="410">
      <c r="A410" s="19" t="n"/>
      <c r="B410" s="19" t="n"/>
      <c r="C410" s="19" t="n"/>
      <c r="D410" s="19" t="n"/>
      <c r="E410" s="19" t="n"/>
      <c r="F410" s="20" t="n"/>
      <c r="G410" s="20" t="n"/>
      <c r="H410" s="20" t="n"/>
      <c r="I410" s="19" t="n"/>
      <c r="J410">
        <f>IFERROR(IF(C410="","",C410)&amp;"","")</f>
        <v/>
      </c>
      <c r="K410">
        <f>IFERROR(IF(D410="","",D410)&amp;"","")</f>
        <v/>
      </c>
      <c r="L410">
        <f>IFERROR(IF(I410="","",I410)&amp;"","")</f>
        <v/>
      </c>
      <c r="M410">
        <f>IF(J410="","",IFERROR(VALUE(SUBSTITUTE(SUBSTITUTE(IF(E410="","",E410)&amp;"","$",""),",","")),0))</f>
        <v/>
      </c>
      <c r="N410" s="11">
        <f>IF(J410="","",IFERROR(VALUE(SUBSTITUTE(SUBSTITUTE(IF(F410="","",F410)&amp;"","$",""),",","")),0))</f>
        <v/>
      </c>
      <c r="O410" s="11">
        <f>IF(J410="","",M410*N410)</f>
        <v/>
      </c>
      <c r="P410">
        <f>IF(J410="","",IF(L410="",1,COUNTIF($L$2:$L$1501,L410)))</f>
        <v/>
      </c>
      <c r="Q410" s="11">
        <f>IF(J410="","",IFERROR(VALUE(SUBSTITUTE(SUBSTITUTE(IF(G410="","",G410)&amp;"","$",""),",","")),0)/IF("No"="Yes",P410,1))</f>
        <v/>
      </c>
      <c r="R410" s="11">
        <f>IF(J410="","",IFERROR(VALUE(SUBSTITUTE(SUBSTITUTE(IF(H410="","",H410)&amp;"","$",""),",","")),0)/IF("No"="Yes",P410,1))</f>
        <v/>
      </c>
      <c r="S410" s="11">
        <f>IF(J410="","",O410+Q410-R410)</f>
        <v/>
      </c>
      <c r="T410">
        <f>IF(J410="","",IFERROR(IF(K410="",NA(),MATCH(K410,Products!$B$5:$B$204,0)),IFERROR(MATCH(J410,Products!$A$5:$A$204,0),"")))</f>
        <v/>
      </c>
      <c r="U410">
        <f>IF(J410="","",IF(T410="","⚠ not in Products",INDEX(Products!$A$5:$A$204,T410)))</f>
        <v/>
      </c>
      <c r="V410" s="11">
        <f>IF(J410="","",S410*(IFERROR(INDEX(Settings!$B$5:$B$9,MATCH($B410,Settings!$A$5:$A$9,0)),0)+IFERROR(INDEX(Settings!$E$5:$E$9,MATCH($B410,Settings!$A$5:$A$9,0)),0)+IFERROR(INDEX(Settings!$G$5:$G$9,MATCH($B410,Settings!$A$5:$A$9,0)),0))+(IFERROR(INDEX(Settings!$C$5:$C$9,MATCH($B410,Settings!$A$5:$A$9,0)),0)+IFERROR(INDEX(Settings!$F$5:$F$9,MATCH($B410,Settings!$A$5:$A$9,0)),0))/P410+IFERROR(INDEX(Settings!$D$5:$D$9,MATCH($B410,Settings!$A$5:$A$9,0)),0)*M410)</f>
        <v/>
      </c>
      <c r="W410" s="11">
        <f>IF(J410="","",IF(T410="",0,M410*INDEX(Products!$I$5:$I$204,T410)))</f>
        <v/>
      </c>
      <c r="X410" s="11">
        <f>IF(J410="","",IF(T410="",0,S410*INDEX(Products!$H$5:$H$204,T410)))</f>
        <v/>
      </c>
      <c r="Y410" s="11">
        <f>IF(J410="","",S410-V410-W410-X410)</f>
        <v/>
      </c>
    </row>
    <row r="411">
      <c r="A411" s="19" t="n"/>
      <c r="B411" s="19" t="n"/>
      <c r="C411" s="19" t="n"/>
      <c r="D411" s="19" t="n"/>
      <c r="E411" s="19" t="n"/>
      <c r="F411" s="20" t="n"/>
      <c r="G411" s="20" t="n"/>
      <c r="H411" s="20" t="n"/>
      <c r="I411" s="19" t="n"/>
      <c r="J411">
        <f>IFERROR(IF(C411="","",C411)&amp;"","")</f>
        <v/>
      </c>
      <c r="K411">
        <f>IFERROR(IF(D411="","",D411)&amp;"","")</f>
        <v/>
      </c>
      <c r="L411">
        <f>IFERROR(IF(I411="","",I411)&amp;"","")</f>
        <v/>
      </c>
      <c r="M411">
        <f>IF(J411="","",IFERROR(VALUE(SUBSTITUTE(SUBSTITUTE(IF(E411="","",E411)&amp;"","$",""),",","")),0))</f>
        <v/>
      </c>
      <c r="N411" s="11">
        <f>IF(J411="","",IFERROR(VALUE(SUBSTITUTE(SUBSTITUTE(IF(F411="","",F411)&amp;"","$",""),",","")),0))</f>
        <v/>
      </c>
      <c r="O411" s="11">
        <f>IF(J411="","",M411*N411)</f>
        <v/>
      </c>
      <c r="P411">
        <f>IF(J411="","",IF(L411="",1,COUNTIF($L$2:$L$1501,L411)))</f>
        <v/>
      </c>
      <c r="Q411" s="11">
        <f>IF(J411="","",IFERROR(VALUE(SUBSTITUTE(SUBSTITUTE(IF(G411="","",G411)&amp;"","$",""),",","")),0)/IF("No"="Yes",P411,1))</f>
        <v/>
      </c>
      <c r="R411" s="11">
        <f>IF(J411="","",IFERROR(VALUE(SUBSTITUTE(SUBSTITUTE(IF(H411="","",H411)&amp;"","$",""),",","")),0)/IF("No"="Yes",P411,1))</f>
        <v/>
      </c>
      <c r="S411" s="11">
        <f>IF(J411="","",O411+Q411-R411)</f>
        <v/>
      </c>
      <c r="T411">
        <f>IF(J411="","",IFERROR(IF(K411="",NA(),MATCH(K411,Products!$B$5:$B$204,0)),IFERROR(MATCH(J411,Products!$A$5:$A$204,0),"")))</f>
        <v/>
      </c>
      <c r="U411">
        <f>IF(J411="","",IF(T411="","⚠ not in Products",INDEX(Products!$A$5:$A$204,T411)))</f>
        <v/>
      </c>
      <c r="V411" s="11">
        <f>IF(J411="","",S411*(IFERROR(INDEX(Settings!$B$5:$B$9,MATCH($B411,Settings!$A$5:$A$9,0)),0)+IFERROR(INDEX(Settings!$E$5:$E$9,MATCH($B411,Settings!$A$5:$A$9,0)),0)+IFERROR(INDEX(Settings!$G$5:$G$9,MATCH($B411,Settings!$A$5:$A$9,0)),0))+(IFERROR(INDEX(Settings!$C$5:$C$9,MATCH($B411,Settings!$A$5:$A$9,0)),0)+IFERROR(INDEX(Settings!$F$5:$F$9,MATCH($B411,Settings!$A$5:$A$9,0)),0))/P411+IFERROR(INDEX(Settings!$D$5:$D$9,MATCH($B411,Settings!$A$5:$A$9,0)),0)*M411)</f>
        <v/>
      </c>
      <c r="W411" s="11">
        <f>IF(J411="","",IF(T411="",0,M411*INDEX(Products!$I$5:$I$204,T411)))</f>
        <v/>
      </c>
      <c r="X411" s="11">
        <f>IF(J411="","",IF(T411="",0,S411*INDEX(Products!$H$5:$H$204,T411)))</f>
        <v/>
      </c>
      <c r="Y411" s="11">
        <f>IF(J411="","",S411-V411-W411-X411)</f>
        <v/>
      </c>
    </row>
    <row r="412">
      <c r="A412" s="19" t="n"/>
      <c r="B412" s="19" t="n"/>
      <c r="C412" s="19" t="n"/>
      <c r="D412" s="19" t="n"/>
      <c r="E412" s="19" t="n"/>
      <c r="F412" s="20" t="n"/>
      <c r="G412" s="20" t="n"/>
      <c r="H412" s="20" t="n"/>
      <c r="I412" s="19" t="n"/>
      <c r="J412">
        <f>IFERROR(IF(C412="","",C412)&amp;"","")</f>
        <v/>
      </c>
      <c r="K412">
        <f>IFERROR(IF(D412="","",D412)&amp;"","")</f>
        <v/>
      </c>
      <c r="L412">
        <f>IFERROR(IF(I412="","",I412)&amp;"","")</f>
        <v/>
      </c>
      <c r="M412">
        <f>IF(J412="","",IFERROR(VALUE(SUBSTITUTE(SUBSTITUTE(IF(E412="","",E412)&amp;"","$",""),",","")),0))</f>
        <v/>
      </c>
      <c r="N412" s="11">
        <f>IF(J412="","",IFERROR(VALUE(SUBSTITUTE(SUBSTITUTE(IF(F412="","",F412)&amp;"","$",""),",","")),0))</f>
        <v/>
      </c>
      <c r="O412" s="11">
        <f>IF(J412="","",M412*N412)</f>
        <v/>
      </c>
      <c r="P412">
        <f>IF(J412="","",IF(L412="",1,COUNTIF($L$2:$L$1501,L412)))</f>
        <v/>
      </c>
      <c r="Q412" s="11">
        <f>IF(J412="","",IFERROR(VALUE(SUBSTITUTE(SUBSTITUTE(IF(G412="","",G412)&amp;"","$",""),",","")),0)/IF("No"="Yes",P412,1))</f>
        <v/>
      </c>
      <c r="R412" s="11">
        <f>IF(J412="","",IFERROR(VALUE(SUBSTITUTE(SUBSTITUTE(IF(H412="","",H412)&amp;"","$",""),",","")),0)/IF("No"="Yes",P412,1))</f>
        <v/>
      </c>
      <c r="S412" s="11">
        <f>IF(J412="","",O412+Q412-R412)</f>
        <v/>
      </c>
      <c r="T412">
        <f>IF(J412="","",IFERROR(IF(K412="",NA(),MATCH(K412,Products!$B$5:$B$204,0)),IFERROR(MATCH(J412,Products!$A$5:$A$204,0),"")))</f>
        <v/>
      </c>
      <c r="U412">
        <f>IF(J412="","",IF(T412="","⚠ not in Products",INDEX(Products!$A$5:$A$204,T412)))</f>
        <v/>
      </c>
      <c r="V412" s="11">
        <f>IF(J412="","",S412*(IFERROR(INDEX(Settings!$B$5:$B$9,MATCH($B412,Settings!$A$5:$A$9,0)),0)+IFERROR(INDEX(Settings!$E$5:$E$9,MATCH($B412,Settings!$A$5:$A$9,0)),0)+IFERROR(INDEX(Settings!$G$5:$G$9,MATCH($B412,Settings!$A$5:$A$9,0)),0))+(IFERROR(INDEX(Settings!$C$5:$C$9,MATCH($B412,Settings!$A$5:$A$9,0)),0)+IFERROR(INDEX(Settings!$F$5:$F$9,MATCH($B412,Settings!$A$5:$A$9,0)),0))/P412+IFERROR(INDEX(Settings!$D$5:$D$9,MATCH($B412,Settings!$A$5:$A$9,0)),0)*M412)</f>
        <v/>
      </c>
      <c r="W412" s="11">
        <f>IF(J412="","",IF(T412="",0,M412*INDEX(Products!$I$5:$I$204,T412)))</f>
        <v/>
      </c>
      <c r="X412" s="11">
        <f>IF(J412="","",IF(T412="",0,S412*INDEX(Products!$H$5:$H$204,T412)))</f>
        <v/>
      </c>
      <c r="Y412" s="11">
        <f>IF(J412="","",S412-V412-W412-X412)</f>
        <v/>
      </c>
    </row>
    <row r="413">
      <c r="A413" s="19" t="n"/>
      <c r="B413" s="19" t="n"/>
      <c r="C413" s="19" t="n"/>
      <c r="D413" s="19" t="n"/>
      <c r="E413" s="19" t="n"/>
      <c r="F413" s="20" t="n"/>
      <c r="G413" s="20" t="n"/>
      <c r="H413" s="20" t="n"/>
      <c r="I413" s="19" t="n"/>
      <c r="J413">
        <f>IFERROR(IF(C413="","",C413)&amp;"","")</f>
        <v/>
      </c>
      <c r="K413">
        <f>IFERROR(IF(D413="","",D413)&amp;"","")</f>
        <v/>
      </c>
      <c r="L413">
        <f>IFERROR(IF(I413="","",I413)&amp;"","")</f>
        <v/>
      </c>
      <c r="M413">
        <f>IF(J413="","",IFERROR(VALUE(SUBSTITUTE(SUBSTITUTE(IF(E413="","",E413)&amp;"","$",""),",","")),0))</f>
        <v/>
      </c>
      <c r="N413" s="11">
        <f>IF(J413="","",IFERROR(VALUE(SUBSTITUTE(SUBSTITUTE(IF(F413="","",F413)&amp;"","$",""),",","")),0))</f>
        <v/>
      </c>
      <c r="O413" s="11">
        <f>IF(J413="","",M413*N413)</f>
        <v/>
      </c>
      <c r="P413">
        <f>IF(J413="","",IF(L413="",1,COUNTIF($L$2:$L$1501,L413)))</f>
        <v/>
      </c>
      <c r="Q413" s="11">
        <f>IF(J413="","",IFERROR(VALUE(SUBSTITUTE(SUBSTITUTE(IF(G413="","",G413)&amp;"","$",""),",","")),0)/IF("No"="Yes",P413,1))</f>
        <v/>
      </c>
      <c r="R413" s="11">
        <f>IF(J413="","",IFERROR(VALUE(SUBSTITUTE(SUBSTITUTE(IF(H413="","",H413)&amp;"","$",""),",","")),0)/IF("No"="Yes",P413,1))</f>
        <v/>
      </c>
      <c r="S413" s="11">
        <f>IF(J413="","",O413+Q413-R413)</f>
        <v/>
      </c>
      <c r="T413">
        <f>IF(J413="","",IFERROR(IF(K413="",NA(),MATCH(K413,Products!$B$5:$B$204,0)),IFERROR(MATCH(J413,Products!$A$5:$A$204,0),"")))</f>
        <v/>
      </c>
      <c r="U413">
        <f>IF(J413="","",IF(T413="","⚠ not in Products",INDEX(Products!$A$5:$A$204,T413)))</f>
        <v/>
      </c>
      <c r="V413" s="11">
        <f>IF(J413="","",S413*(IFERROR(INDEX(Settings!$B$5:$B$9,MATCH($B413,Settings!$A$5:$A$9,0)),0)+IFERROR(INDEX(Settings!$E$5:$E$9,MATCH($B413,Settings!$A$5:$A$9,0)),0)+IFERROR(INDEX(Settings!$G$5:$G$9,MATCH($B413,Settings!$A$5:$A$9,0)),0))+(IFERROR(INDEX(Settings!$C$5:$C$9,MATCH($B413,Settings!$A$5:$A$9,0)),0)+IFERROR(INDEX(Settings!$F$5:$F$9,MATCH($B413,Settings!$A$5:$A$9,0)),0))/P413+IFERROR(INDEX(Settings!$D$5:$D$9,MATCH($B413,Settings!$A$5:$A$9,0)),0)*M413)</f>
        <v/>
      </c>
      <c r="W413" s="11">
        <f>IF(J413="","",IF(T413="",0,M413*INDEX(Products!$I$5:$I$204,T413)))</f>
        <v/>
      </c>
      <c r="X413" s="11">
        <f>IF(J413="","",IF(T413="",0,S413*INDEX(Products!$H$5:$H$204,T413)))</f>
        <v/>
      </c>
      <c r="Y413" s="11">
        <f>IF(J413="","",S413-V413-W413-X413)</f>
        <v/>
      </c>
    </row>
    <row r="414">
      <c r="A414" s="19" t="n"/>
      <c r="B414" s="19" t="n"/>
      <c r="C414" s="19" t="n"/>
      <c r="D414" s="19" t="n"/>
      <c r="E414" s="19" t="n"/>
      <c r="F414" s="20" t="n"/>
      <c r="G414" s="20" t="n"/>
      <c r="H414" s="20" t="n"/>
      <c r="I414" s="19" t="n"/>
      <c r="J414">
        <f>IFERROR(IF(C414="","",C414)&amp;"","")</f>
        <v/>
      </c>
      <c r="K414">
        <f>IFERROR(IF(D414="","",D414)&amp;"","")</f>
        <v/>
      </c>
      <c r="L414">
        <f>IFERROR(IF(I414="","",I414)&amp;"","")</f>
        <v/>
      </c>
      <c r="M414">
        <f>IF(J414="","",IFERROR(VALUE(SUBSTITUTE(SUBSTITUTE(IF(E414="","",E414)&amp;"","$",""),",","")),0))</f>
        <v/>
      </c>
      <c r="N414" s="11">
        <f>IF(J414="","",IFERROR(VALUE(SUBSTITUTE(SUBSTITUTE(IF(F414="","",F414)&amp;"","$",""),",","")),0))</f>
        <v/>
      </c>
      <c r="O414" s="11">
        <f>IF(J414="","",M414*N414)</f>
        <v/>
      </c>
      <c r="P414">
        <f>IF(J414="","",IF(L414="",1,COUNTIF($L$2:$L$1501,L414)))</f>
        <v/>
      </c>
      <c r="Q414" s="11">
        <f>IF(J414="","",IFERROR(VALUE(SUBSTITUTE(SUBSTITUTE(IF(G414="","",G414)&amp;"","$",""),",","")),0)/IF("No"="Yes",P414,1))</f>
        <v/>
      </c>
      <c r="R414" s="11">
        <f>IF(J414="","",IFERROR(VALUE(SUBSTITUTE(SUBSTITUTE(IF(H414="","",H414)&amp;"","$",""),",","")),0)/IF("No"="Yes",P414,1))</f>
        <v/>
      </c>
      <c r="S414" s="11">
        <f>IF(J414="","",O414+Q414-R414)</f>
        <v/>
      </c>
      <c r="T414">
        <f>IF(J414="","",IFERROR(IF(K414="",NA(),MATCH(K414,Products!$B$5:$B$204,0)),IFERROR(MATCH(J414,Products!$A$5:$A$204,0),"")))</f>
        <v/>
      </c>
      <c r="U414">
        <f>IF(J414="","",IF(T414="","⚠ not in Products",INDEX(Products!$A$5:$A$204,T414)))</f>
        <v/>
      </c>
      <c r="V414" s="11">
        <f>IF(J414="","",S414*(IFERROR(INDEX(Settings!$B$5:$B$9,MATCH($B414,Settings!$A$5:$A$9,0)),0)+IFERROR(INDEX(Settings!$E$5:$E$9,MATCH($B414,Settings!$A$5:$A$9,0)),0)+IFERROR(INDEX(Settings!$G$5:$G$9,MATCH($B414,Settings!$A$5:$A$9,0)),0))+(IFERROR(INDEX(Settings!$C$5:$C$9,MATCH($B414,Settings!$A$5:$A$9,0)),0)+IFERROR(INDEX(Settings!$F$5:$F$9,MATCH($B414,Settings!$A$5:$A$9,0)),0))/P414+IFERROR(INDEX(Settings!$D$5:$D$9,MATCH($B414,Settings!$A$5:$A$9,0)),0)*M414)</f>
        <v/>
      </c>
      <c r="W414" s="11">
        <f>IF(J414="","",IF(T414="",0,M414*INDEX(Products!$I$5:$I$204,T414)))</f>
        <v/>
      </c>
      <c r="X414" s="11">
        <f>IF(J414="","",IF(T414="",0,S414*INDEX(Products!$H$5:$H$204,T414)))</f>
        <v/>
      </c>
      <c r="Y414" s="11">
        <f>IF(J414="","",S414-V414-W414-X414)</f>
        <v/>
      </c>
    </row>
    <row r="415">
      <c r="A415" s="19" t="n"/>
      <c r="B415" s="19" t="n"/>
      <c r="C415" s="19" t="n"/>
      <c r="D415" s="19" t="n"/>
      <c r="E415" s="19" t="n"/>
      <c r="F415" s="20" t="n"/>
      <c r="G415" s="20" t="n"/>
      <c r="H415" s="20" t="n"/>
      <c r="I415" s="19" t="n"/>
      <c r="J415">
        <f>IFERROR(IF(C415="","",C415)&amp;"","")</f>
        <v/>
      </c>
      <c r="K415">
        <f>IFERROR(IF(D415="","",D415)&amp;"","")</f>
        <v/>
      </c>
      <c r="L415">
        <f>IFERROR(IF(I415="","",I415)&amp;"","")</f>
        <v/>
      </c>
      <c r="M415">
        <f>IF(J415="","",IFERROR(VALUE(SUBSTITUTE(SUBSTITUTE(IF(E415="","",E415)&amp;"","$",""),",","")),0))</f>
        <v/>
      </c>
      <c r="N415" s="11">
        <f>IF(J415="","",IFERROR(VALUE(SUBSTITUTE(SUBSTITUTE(IF(F415="","",F415)&amp;"","$",""),",","")),0))</f>
        <v/>
      </c>
      <c r="O415" s="11">
        <f>IF(J415="","",M415*N415)</f>
        <v/>
      </c>
      <c r="P415">
        <f>IF(J415="","",IF(L415="",1,COUNTIF($L$2:$L$1501,L415)))</f>
        <v/>
      </c>
      <c r="Q415" s="11">
        <f>IF(J415="","",IFERROR(VALUE(SUBSTITUTE(SUBSTITUTE(IF(G415="","",G415)&amp;"","$",""),",","")),0)/IF("No"="Yes",P415,1))</f>
        <v/>
      </c>
      <c r="R415" s="11">
        <f>IF(J415="","",IFERROR(VALUE(SUBSTITUTE(SUBSTITUTE(IF(H415="","",H415)&amp;"","$",""),",","")),0)/IF("No"="Yes",P415,1))</f>
        <v/>
      </c>
      <c r="S415" s="11">
        <f>IF(J415="","",O415+Q415-R415)</f>
        <v/>
      </c>
      <c r="T415">
        <f>IF(J415="","",IFERROR(IF(K415="",NA(),MATCH(K415,Products!$B$5:$B$204,0)),IFERROR(MATCH(J415,Products!$A$5:$A$204,0),"")))</f>
        <v/>
      </c>
      <c r="U415">
        <f>IF(J415="","",IF(T415="","⚠ not in Products",INDEX(Products!$A$5:$A$204,T415)))</f>
        <v/>
      </c>
      <c r="V415" s="11">
        <f>IF(J415="","",S415*(IFERROR(INDEX(Settings!$B$5:$B$9,MATCH($B415,Settings!$A$5:$A$9,0)),0)+IFERROR(INDEX(Settings!$E$5:$E$9,MATCH($B415,Settings!$A$5:$A$9,0)),0)+IFERROR(INDEX(Settings!$G$5:$G$9,MATCH($B415,Settings!$A$5:$A$9,0)),0))+(IFERROR(INDEX(Settings!$C$5:$C$9,MATCH($B415,Settings!$A$5:$A$9,0)),0)+IFERROR(INDEX(Settings!$F$5:$F$9,MATCH($B415,Settings!$A$5:$A$9,0)),0))/P415+IFERROR(INDEX(Settings!$D$5:$D$9,MATCH($B415,Settings!$A$5:$A$9,0)),0)*M415)</f>
        <v/>
      </c>
      <c r="W415" s="11">
        <f>IF(J415="","",IF(T415="",0,M415*INDEX(Products!$I$5:$I$204,T415)))</f>
        <v/>
      </c>
      <c r="X415" s="11">
        <f>IF(J415="","",IF(T415="",0,S415*INDEX(Products!$H$5:$H$204,T415)))</f>
        <v/>
      </c>
      <c r="Y415" s="11">
        <f>IF(J415="","",S415-V415-W415-X415)</f>
        <v/>
      </c>
    </row>
    <row r="416">
      <c r="A416" s="19" t="n"/>
      <c r="B416" s="19" t="n"/>
      <c r="C416" s="19" t="n"/>
      <c r="D416" s="19" t="n"/>
      <c r="E416" s="19" t="n"/>
      <c r="F416" s="20" t="n"/>
      <c r="G416" s="20" t="n"/>
      <c r="H416" s="20" t="n"/>
      <c r="I416" s="19" t="n"/>
      <c r="J416">
        <f>IFERROR(IF(C416="","",C416)&amp;"","")</f>
        <v/>
      </c>
      <c r="K416">
        <f>IFERROR(IF(D416="","",D416)&amp;"","")</f>
        <v/>
      </c>
      <c r="L416">
        <f>IFERROR(IF(I416="","",I416)&amp;"","")</f>
        <v/>
      </c>
      <c r="M416">
        <f>IF(J416="","",IFERROR(VALUE(SUBSTITUTE(SUBSTITUTE(IF(E416="","",E416)&amp;"","$",""),",","")),0))</f>
        <v/>
      </c>
      <c r="N416" s="11">
        <f>IF(J416="","",IFERROR(VALUE(SUBSTITUTE(SUBSTITUTE(IF(F416="","",F416)&amp;"","$",""),",","")),0))</f>
        <v/>
      </c>
      <c r="O416" s="11">
        <f>IF(J416="","",M416*N416)</f>
        <v/>
      </c>
      <c r="P416">
        <f>IF(J416="","",IF(L416="",1,COUNTIF($L$2:$L$1501,L416)))</f>
        <v/>
      </c>
      <c r="Q416" s="11">
        <f>IF(J416="","",IFERROR(VALUE(SUBSTITUTE(SUBSTITUTE(IF(G416="","",G416)&amp;"","$",""),",","")),0)/IF("No"="Yes",P416,1))</f>
        <v/>
      </c>
      <c r="R416" s="11">
        <f>IF(J416="","",IFERROR(VALUE(SUBSTITUTE(SUBSTITUTE(IF(H416="","",H416)&amp;"","$",""),",","")),0)/IF("No"="Yes",P416,1))</f>
        <v/>
      </c>
      <c r="S416" s="11">
        <f>IF(J416="","",O416+Q416-R416)</f>
        <v/>
      </c>
      <c r="T416">
        <f>IF(J416="","",IFERROR(IF(K416="",NA(),MATCH(K416,Products!$B$5:$B$204,0)),IFERROR(MATCH(J416,Products!$A$5:$A$204,0),"")))</f>
        <v/>
      </c>
      <c r="U416">
        <f>IF(J416="","",IF(T416="","⚠ not in Products",INDEX(Products!$A$5:$A$204,T416)))</f>
        <v/>
      </c>
      <c r="V416" s="11">
        <f>IF(J416="","",S416*(IFERROR(INDEX(Settings!$B$5:$B$9,MATCH($B416,Settings!$A$5:$A$9,0)),0)+IFERROR(INDEX(Settings!$E$5:$E$9,MATCH($B416,Settings!$A$5:$A$9,0)),0)+IFERROR(INDEX(Settings!$G$5:$G$9,MATCH($B416,Settings!$A$5:$A$9,0)),0))+(IFERROR(INDEX(Settings!$C$5:$C$9,MATCH($B416,Settings!$A$5:$A$9,0)),0)+IFERROR(INDEX(Settings!$F$5:$F$9,MATCH($B416,Settings!$A$5:$A$9,0)),0))/P416+IFERROR(INDEX(Settings!$D$5:$D$9,MATCH($B416,Settings!$A$5:$A$9,0)),0)*M416)</f>
        <v/>
      </c>
      <c r="W416" s="11">
        <f>IF(J416="","",IF(T416="",0,M416*INDEX(Products!$I$5:$I$204,T416)))</f>
        <v/>
      </c>
      <c r="X416" s="11">
        <f>IF(J416="","",IF(T416="",0,S416*INDEX(Products!$H$5:$H$204,T416)))</f>
        <v/>
      </c>
      <c r="Y416" s="11">
        <f>IF(J416="","",S416-V416-W416-X416)</f>
        <v/>
      </c>
    </row>
    <row r="417">
      <c r="A417" s="19" t="n"/>
      <c r="B417" s="19" t="n"/>
      <c r="C417" s="19" t="n"/>
      <c r="D417" s="19" t="n"/>
      <c r="E417" s="19" t="n"/>
      <c r="F417" s="20" t="n"/>
      <c r="G417" s="20" t="n"/>
      <c r="H417" s="20" t="n"/>
      <c r="I417" s="19" t="n"/>
      <c r="J417">
        <f>IFERROR(IF(C417="","",C417)&amp;"","")</f>
        <v/>
      </c>
      <c r="K417">
        <f>IFERROR(IF(D417="","",D417)&amp;"","")</f>
        <v/>
      </c>
      <c r="L417">
        <f>IFERROR(IF(I417="","",I417)&amp;"","")</f>
        <v/>
      </c>
      <c r="M417">
        <f>IF(J417="","",IFERROR(VALUE(SUBSTITUTE(SUBSTITUTE(IF(E417="","",E417)&amp;"","$",""),",","")),0))</f>
        <v/>
      </c>
      <c r="N417" s="11">
        <f>IF(J417="","",IFERROR(VALUE(SUBSTITUTE(SUBSTITUTE(IF(F417="","",F417)&amp;"","$",""),",","")),0))</f>
        <v/>
      </c>
      <c r="O417" s="11">
        <f>IF(J417="","",M417*N417)</f>
        <v/>
      </c>
      <c r="P417">
        <f>IF(J417="","",IF(L417="",1,COUNTIF($L$2:$L$1501,L417)))</f>
        <v/>
      </c>
      <c r="Q417" s="11">
        <f>IF(J417="","",IFERROR(VALUE(SUBSTITUTE(SUBSTITUTE(IF(G417="","",G417)&amp;"","$",""),",","")),0)/IF("No"="Yes",P417,1))</f>
        <v/>
      </c>
      <c r="R417" s="11">
        <f>IF(J417="","",IFERROR(VALUE(SUBSTITUTE(SUBSTITUTE(IF(H417="","",H417)&amp;"","$",""),",","")),0)/IF("No"="Yes",P417,1))</f>
        <v/>
      </c>
      <c r="S417" s="11">
        <f>IF(J417="","",O417+Q417-R417)</f>
        <v/>
      </c>
      <c r="T417">
        <f>IF(J417="","",IFERROR(IF(K417="",NA(),MATCH(K417,Products!$B$5:$B$204,0)),IFERROR(MATCH(J417,Products!$A$5:$A$204,0),"")))</f>
        <v/>
      </c>
      <c r="U417">
        <f>IF(J417="","",IF(T417="","⚠ not in Products",INDEX(Products!$A$5:$A$204,T417)))</f>
        <v/>
      </c>
      <c r="V417" s="11">
        <f>IF(J417="","",S417*(IFERROR(INDEX(Settings!$B$5:$B$9,MATCH($B417,Settings!$A$5:$A$9,0)),0)+IFERROR(INDEX(Settings!$E$5:$E$9,MATCH($B417,Settings!$A$5:$A$9,0)),0)+IFERROR(INDEX(Settings!$G$5:$G$9,MATCH($B417,Settings!$A$5:$A$9,0)),0))+(IFERROR(INDEX(Settings!$C$5:$C$9,MATCH($B417,Settings!$A$5:$A$9,0)),0)+IFERROR(INDEX(Settings!$F$5:$F$9,MATCH($B417,Settings!$A$5:$A$9,0)),0))/P417+IFERROR(INDEX(Settings!$D$5:$D$9,MATCH($B417,Settings!$A$5:$A$9,0)),0)*M417)</f>
        <v/>
      </c>
      <c r="W417" s="11">
        <f>IF(J417="","",IF(T417="",0,M417*INDEX(Products!$I$5:$I$204,T417)))</f>
        <v/>
      </c>
      <c r="X417" s="11">
        <f>IF(J417="","",IF(T417="",0,S417*INDEX(Products!$H$5:$H$204,T417)))</f>
        <v/>
      </c>
      <c r="Y417" s="11">
        <f>IF(J417="","",S417-V417-W417-X417)</f>
        <v/>
      </c>
    </row>
    <row r="418">
      <c r="A418" s="19" t="n"/>
      <c r="B418" s="19" t="n"/>
      <c r="C418" s="19" t="n"/>
      <c r="D418" s="19" t="n"/>
      <c r="E418" s="19" t="n"/>
      <c r="F418" s="20" t="n"/>
      <c r="G418" s="20" t="n"/>
      <c r="H418" s="20" t="n"/>
      <c r="I418" s="19" t="n"/>
      <c r="J418">
        <f>IFERROR(IF(C418="","",C418)&amp;"","")</f>
        <v/>
      </c>
      <c r="K418">
        <f>IFERROR(IF(D418="","",D418)&amp;"","")</f>
        <v/>
      </c>
      <c r="L418">
        <f>IFERROR(IF(I418="","",I418)&amp;"","")</f>
        <v/>
      </c>
      <c r="M418">
        <f>IF(J418="","",IFERROR(VALUE(SUBSTITUTE(SUBSTITUTE(IF(E418="","",E418)&amp;"","$",""),",","")),0))</f>
        <v/>
      </c>
      <c r="N418" s="11">
        <f>IF(J418="","",IFERROR(VALUE(SUBSTITUTE(SUBSTITUTE(IF(F418="","",F418)&amp;"","$",""),",","")),0))</f>
        <v/>
      </c>
      <c r="O418" s="11">
        <f>IF(J418="","",M418*N418)</f>
        <v/>
      </c>
      <c r="P418">
        <f>IF(J418="","",IF(L418="",1,COUNTIF($L$2:$L$1501,L418)))</f>
        <v/>
      </c>
      <c r="Q418" s="11">
        <f>IF(J418="","",IFERROR(VALUE(SUBSTITUTE(SUBSTITUTE(IF(G418="","",G418)&amp;"","$",""),",","")),0)/IF("No"="Yes",P418,1))</f>
        <v/>
      </c>
      <c r="R418" s="11">
        <f>IF(J418="","",IFERROR(VALUE(SUBSTITUTE(SUBSTITUTE(IF(H418="","",H418)&amp;"","$",""),",","")),0)/IF("No"="Yes",P418,1))</f>
        <v/>
      </c>
      <c r="S418" s="11">
        <f>IF(J418="","",O418+Q418-R418)</f>
        <v/>
      </c>
      <c r="T418">
        <f>IF(J418="","",IFERROR(IF(K418="",NA(),MATCH(K418,Products!$B$5:$B$204,0)),IFERROR(MATCH(J418,Products!$A$5:$A$204,0),"")))</f>
        <v/>
      </c>
      <c r="U418">
        <f>IF(J418="","",IF(T418="","⚠ not in Products",INDEX(Products!$A$5:$A$204,T418)))</f>
        <v/>
      </c>
      <c r="V418" s="11">
        <f>IF(J418="","",S418*(IFERROR(INDEX(Settings!$B$5:$B$9,MATCH($B418,Settings!$A$5:$A$9,0)),0)+IFERROR(INDEX(Settings!$E$5:$E$9,MATCH($B418,Settings!$A$5:$A$9,0)),0)+IFERROR(INDEX(Settings!$G$5:$G$9,MATCH($B418,Settings!$A$5:$A$9,0)),0))+(IFERROR(INDEX(Settings!$C$5:$C$9,MATCH($B418,Settings!$A$5:$A$9,0)),0)+IFERROR(INDEX(Settings!$F$5:$F$9,MATCH($B418,Settings!$A$5:$A$9,0)),0))/P418+IFERROR(INDEX(Settings!$D$5:$D$9,MATCH($B418,Settings!$A$5:$A$9,0)),0)*M418)</f>
        <v/>
      </c>
      <c r="W418" s="11">
        <f>IF(J418="","",IF(T418="",0,M418*INDEX(Products!$I$5:$I$204,T418)))</f>
        <v/>
      </c>
      <c r="X418" s="11">
        <f>IF(J418="","",IF(T418="",0,S418*INDEX(Products!$H$5:$H$204,T418)))</f>
        <v/>
      </c>
      <c r="Y418" s="11">
        <f>IF(J418="","",S418-V418-W418-X418)</f>
        <v/>
      </c>
    </row>
    <row r="419">
      <c r="A419" s="19" t="n"/>
      <c r="B419" s="19" t="n"/>
      <c r="C419" s="19" t="n"/>
      <c r="D419" s="19" t="n"/>
      <c r="E419" s="19" t="n"/>
      <c r="F419" s="20" t="n"/>
      <c r="G419" s="20" t="n"/>
      <c r="H419" s="20" t="n"/>
      <c r="I419" s="19" t="n"/>
      <c r="J419">
        <f>IFERROR(IF(C419="","",C419)&amp;"","")</f>
        <v/>
      </c>
      <c r="K419">
        <f>IFERROR(IF(D419="","",D419)&amp;"","")</f>
        <v/>
      </c>
      <c r="L419">
        <f>IFERROR(IF(I419="","",I419)&amp;"","")</f>
        <v/>
      </c>
      <c r="M419">
        <f>IF(J419="","",IFERROR(VALUE(SUBSTITUTE(SUBSTITUTE(IF(E419="","",E419)&amp;"","$",""),",","")),0))</f>
        <v/>
      </c>
      <c r="N419" s="11">
        <f>IF(J419="","",IFERROR(VALUE(SUBSTITUTE(SUBSTITUTE(IF(F419="","",F419)&amp;"","$",""),",","")),0))</f>
        <v/>
      </c>
      <c r="O419" s="11">
        <f>IF(J419="","",M419*N419)</f>
        <v/>
      </c>
      <c r="P419">
        <f>IF(J419="","",IF(L419="",1,COUNTIF($L$2:$L$1501,L419)))</f>
        <v/>
      </c>
      <c r="Q419" s="11">
        <f>IF(J419="","",IFERROR(VALUE(SUBSTITUTE(SUBSTITUTE(IF(G419="","",G419)&amp;"","$",""),",","")),0)/IF("No"="Yes",P419,1))</f>
        <v/>
      </c>
      <c r="R419" s="11">
        <f>IF(J419="","",IFERROR(VALUE(SUBSTITUTE(SUBSTITUTE(IF(H419="","",H419)&amp;"","$",""),",","")),0)/IF("No"="Yes",P419,1))</f>
        <v/>
      </c>
      <c r="S419" s="11">
        <f>IF(J419="","",O419+Q419-R419)</f>
        <v/>
      </c>
      <c r="T419">
        <f>IF(J419="","",IFERROR(IF(K419="",NA(),MATCH(K419,Products!$B$5:$B$204,0)),IFERROR(MATCH(J419,Products!$A$5:$A$204,0),"")))</f>
        <v/>
      </c>
      <c r="U419">
        <f>IF(J419="","",IF(T419="","⚠ not in Products",INDEX(Products!$A$5:$A$204,T419)))</f>
        <v/>
      </c>
      <c r="V419" s="11">
        <f>IF(J419="","",S419*(IFERROR(INDEX(Settings!$B$5:$B$9,MATCH($B419,Settings!$A$5:$A$9,0)),0)+IFERROR(INDEX(Settings!$E$5:$E$9,MATCH($B419,Settings!$A$5:$A$9,0)),0)+IFERROR(INDEX(Settings!$G$5:$G$9,MATCH($B419,Settings!$A$5:$A$9,0)),0))+(IFERROR(INDEX(Settings!$C$5:$C$9,MATCH($B419,Settings!$A$5:$A$9,0)),0)+IFERROR(INDEX(Settings!$F$5:$F$9,MATCH($B419,Settings!$A$5:$A$9,0)),0))/P419+IFERROR(INDEX(Settings!$D$5:$D$9,MATCH($B419,Settings!$A$5:$A$9,0)),0)*M419)</f>
        <v/>
      </c>
      <c r="W419" s="11">
        <f>IF(J419="","",IF(T419="",0,M419*INDEX(Products!$I$5:$I$204,T419)))</f>
        <v/>
      </c>
      <c r="X419" s="11">
        <f>IF(J419="","",IF(T419="",0,S419*INDEX(Products!$H$5:$H$204,T419)))</f>
        <v/>
      </c>
      <c r="Y419" s="11">
        <f>IF(J419="","",S419-V419-W419-X419)</f>
        <v/>
      </c>
    </row>
    <row r="420">
      <c r="A420" s="19" t="n"/>
      <c r="B420" s="19" t="n"/>
      <c r="C420" s="19" t="n"/>
      <c r="D420" s="19" t="n"/>
      <c r="E420" s="19" t="n"/>
      <c r="F420" s="20" t="n"/>
      <c r="G420" s="20" t="n"/>
      <c r="H420" s="20" t="n"/>
      <c r="I420" s="19" t="n"/>
      <c r="J420">
        <f>IFERROR(IF(C420="","",C420)&amp;"","")</f>
        <v/>
      </c>
      <c r="K420">
        <f>IFERROR(IF(D420="","",D420)&amp;"","")</f>
        <v/>
      </c>
      <c r="L420">
        <f>IFERROR(IF(I420="","",I420)&amp;"","")</f>
        <v/>
      </c>
      <c r="M420">
        <f>IF(J420="","",IFERROR(VALUE(SUBSTITUTE(SUBSTITUTE(IF(E420="","",E420)&amp;"","$",""),",","")),0))</f>
        <v/>
      </c>
      <c r="N420" s="11">
        <f>IF(J420="","",IFERROR(VALUE(SUBSTITUTE(SUBSTITUTE(IF(F420="","",F420)&amp;"","$",""),",","")),0))</f>
        <v/>
      </c>
      <c r="O420" s="11">
        <f>IF(J420="","",M420*N420)</f>
        <v/>
      </c>
      <c r="P420">
        <f>IF(J420="","",IF(L420="",1,COUNTIF($L$2:$L$1501,L420)))</f>
        <v/>
      </c>
      <c r="Q420" s="11">
        <f>IF(J420="","",IFERROR(VALUE(SUBSTITUTE(SUBSTITUTE(IF(G420="","",G420)&amp;"","$",""),",","")),0)/IF("No"="Yes",P420,1))</f>
        <v/>
      </c>
      <c r="R420" s="11">
        <f>IF(J420="","",IFERROR(VALUE(SUBSTITUTE(SUBSTITUTE(IF(H420="","",H420)&amp;"","$",""),",","")),0)/IF("No"="Yes",P420,1))</f>
        <v/>
      </c>
      <c r="S420" s="11">
        <f>IF(J420="","",O420+Q420-R420)</f>
        <v/>
      </c>
      <c r="T420">
        <f>IF(J420="","",IFERROR(IF(K420="",NA(),MATCH(K420,Products!$B$5:$B$204,0)),IFERROR(MATCH(J420,Products!$A$5:$A$204,0),"")))</f>
        <v/>
      </c>
      <c r="U420">
        <f>IF(J420="","",IF(T420="","⚠ not in Products",INDEX(Products!$A$5:$A$204,T420)))</f>
        <v/>
      </c>
      <c r="V420" s="11">
        <f>IF(J420="","",S420*(IFERROR(INDEX(Settings!$B$5:$B$9,MATCH($B420,Settings!$A$5:$A$9,0)),0)+IFERROR(INDEX(Settings!$E$5:$E$9,MATCH($B420,Settings!$A$5:$A$9,0)),0)+IFERROR(INDEX(Settings!$G$5:$G$9,MATCH($B420,Settings!$A$5:$A$9,0)),0))+(IFERROR(INDEX(Settings!$C$5:$C$9,MATCH($B420,Settings!$A$5:$A$9,0)),0)+IFERROR(INDEX(Settings!$F$5:$F$9,MATCH($B420,Settings!$A$5:$A$9,0)),0))/P420+IFERROR(INDEX(Settings!$D$5:$D$9,MATCH($B420,Settings!$A$5:$A$9,0)),0)*M420)</f>
        <v/>
      </c>
      <c r="W420" s="11">
        <f>IF(J420="","",IF(T420="",0,M420*INDEX(Products!$I$5:$I$204,T420)))</f>
        <v/>
      </c>
      <c r="X420" s="11">
        <f>IF(J420="","",IF(T420="",0,S420*INDEX(Products!$H$5:$H$204,T420)))</f>
        <v/>
      </c>
      <c r="Y420" s="11">
        <f>IF(J420="","",S420-V420-W420-X420)</f>
        <v/>
      </c>
    </row>
    <row r="421">
      <c r="A421" s="19" t="n"/>
      <c r="B421" s="19" t="n"/>
      <c r="C421" s="19" t="n"/>
      <c r="D421" s="19" t="n"/>
      <c r="E421" s="19" t="n"/>
      <c r="F421" s="20" t="n"/>
      <c r="G421" s="20" t="n"/>
      <c r="H421" s="20" t="n"/>
      <c r="I421" s="19" t="n"/>
      <c r="J421">
        <f>IFERROR(IF(C421="","",C421)&amp;"","")</f>
        <v/>
      </c>
      <c r="K421">
        <f>IFERROR(IF(D421="","",D421)&amp;"","")</f>
        <v/>
      </c>
      <c r="L421">
        <f>IFERROR(IF(I421="","",I421)&amp;"","")</f>
        <v/>
      </c>
      <c r="M421">
        <f>IF(J421="","",IFERROR(VALUE(SUBSTITUTE(SUBSTITUTE(IF(E421="","",E421)&amp;"","$",""),",","")),0))</f>
        <v/>
      </c>
      <c r="N421" s="11">
        <f>IF(J421="","",IFERROR(VALUE(SUBSTITUTE(SUBSTITUTE(IF(F421="","",F421)&amp;"","$",""),",","")),0))</f>
        <v/>
      </c>
      <c r="O421" s="11">
        <f>IF(J421="","",M421*N421)</f>
        <v/>
      </c>
      <c r="P421">
        <f>IF(J421="","",IF(L421="",1,COUNTIF($L$2:$L$1501,L421)))</f>
        <v/>
      </c>
      <c r="Q421" s="11">
        <f>IF(J421="","",IFERROR(VALUE(SUBSTITUTE(SUBSTITUTE(IF(G421="","",G421)&amp;"","$",""),",","")),0)/IF("No"="Yes",P421,1))</f>
        <v/>
      </c>
      <c r="R421" s="11">
        <f>IF(J421="","",IFERROR(VALUE(SUBSTITUTE(SUBSTITUTE(IF(H421="","",H421)&amp;"","$",""),",","")),0)/IF("No"="Yes",P421,1))</f>
        <v/>
      </c>
      <c r="S421" s="11">
        <f>IF(J421="","",O421+Q421-R421)</f>
        <v/>
      </c>
      <c r="T421">
        <f>IF(J421="","",IFERROR(IF(K421="",NA(),MATCH(K421,Products!$B$5:$B$204,0)),IFERROR(MATCH(J421,Products!$A$5:$A$204,0),"")))</f>
        <v/>
      </c>
      <c r="U421">
        <f>IF(J421="","",IF(T421="","⚠ not in Products",INDEX(Products!$A$5:$A$204,T421)))</f>
        <v/>
      </c>
      <c r="V421" s="11">
        <f>IF(J421="","",S421*(IFERROR(INDEX(Settings!$B$5:$B$9,MATCH($B421,Settings!$A$5:$A$9,0)),0)+IFERROR(INDEX(Settings!$E$5:$E$9,MATCH($B421,Settings!$A$5:$A$9,0)),0)+IFERROR(INDEX(Settings!$G$5:$G$9,MATCH($B421,Settings!$A$5:$A$9,0)),0))+(IFERROR(INDEX(Settings!$C$5:$C$9,MATCH($B421,Settings!$A$5:$A$9,0)),0)+IFERROR(INDEX(Settings!$F$5:$F$9,MATCH($B421,Settings!$A$5:$A$9,0)),0))/P421+IFERROR(INDEX(Settings!$D$5:$D$9,MATCH($B421,Settings!$A$5:$A$9,0)),0)*M421)</f>
        <v/>
      </c>
      <c r="W421" s="11">
        <f>IF(J421="","",IF(T421="",0,M421*INDEX(Products!$I$5:$I$204,T421)))</f>
        <v/>
      </c>
      <c r="X421" s="11">
        <f>IF(J421="","",IF(T421="",0,S421*INDEX(Products!$H$5:$H$204,T421)))</f>
        <v/>
      </c>
      <c r="Y421" s="11">
        <f>IF(J421="","",S421-V421-W421-X421)</f>
        <v/>
      </c>
    </row>
    <row r="422">
      <c r="A422" s="19" t="n"/>
      <c r="B422" s="19" t="n"/>
      <c r="C422" s="19" t="n"/>
      <c r="D422" s="19" t="n"/>
      <c r="E422" s="19" t="n"/>
      <c r="F422" s="20" t="n"/>
      <c r="G422" s="20" t="n"/>
      <c r="H422" s="20" t="n"/>
      <c r="I422" s="19" t="n"/>
      <c r="J422">
        <f>IFERROR(IF(C422="","",C422)&amp;"","")</f>
        <v/>
      </c>
      <c r="K422">
        <f>IFERROR(IF(D422="","",D422)&amp;"","")</f>
        <v/>
      </c>
      <c r="L422">
        <f>IFERROR(IF(I422="","",I422)&amp;"","")</f>
        <v/>
      </c>
      <c r="M422">
        <f>IF(J422="","",IFERROR(VALUE(SUBSTITUTE(SUBSTITUTE(IF(E422="","",E422)&amp;"","$",""),",","")),0))</f>
        <v/>
      </c>
      <c r="N422" s="11">
        <f>IF(J422="","",IFERROR(VALUE(SUBSTITUTE(SUBSTITUTE(IF(F422="","",F422)&amp;"","$",""),",","")),0))</f>
        <v/>
      </c>
      <c r="O422" s="11">
        <f>IF(J422="","",M422*N422)</f>
        <v/>
      </c>
      <c r="P422">
        <f>IF(J422="","",IF(L422="",1,COUNTIF($L$2:$L$1501,L422)))</f>
        <v/>
      </c>
      <c r="Q422" s="11">
        <f>IF(J422="","",IFERROR(VALUE(SUBSTITUTE(SUBSTITUTE(IF(G422="","",G422)&amp;"","$",""),",","")),0)/IF("No"="Yes",P422,1))</f>
        <v/>
      </c>
      <c r="R422" s="11">
        <f>IF(J422="","",IFERROR(VALUE(SUBSTITUTE(SUBSTITUTE(IF(H422="","",H422)&amp;"","$",""),",","")),0)/IF("No"="Yes",P422,1))</f>
        <v/>
      </c>
      <c r="S422" s="11">
        <f>IF(J422="","",O422+Q422-R422)</f>
        <v/>
      </c>
      <c r="T422">
        <f>IF(J422="","",IFERROR(IF(K422="",NA(),MATCH(K422,Products!$B$5:$B$204,0)),IFERROR(MATCH(J422,Products!$A$5:$A$204,0),"")))</f>
        <v/>
      </c>
      <c r="U422">
        <f>IF(J422="","",IF(T422="","⚠ not in Products",INDEX(Products!$A$5:$A$204,T422)))</f>
        <v/>
      </c>
      <c r="V422" s="11">
        <f>IF(J422="","",S422*(IFERROR(INDEX(Settings!$B$5:$B$9,MATCH($B422,Settings!$A$5:$A$9,0)),0)+IFERROR(INDEX(Settings!$E$5:$E$9,MATCH($B422,Settings!$A$5:$A$9,0)),0)+IFERROR(INDEX(Settings!$G$5:$G$9,MATCH($B422,Settings!$A$5:$A$9,0)),0))+(IFERROR(INDEX(Settings!$C$5:$C$9,MATCH($B422,Settings!$A$5:$A$9,0)),0)+IFERROR(INDEX(Settings!$F$5:$F$9,MATCH($B422,Settings!$A$5:$A$9,0)),0))/P422+IFERROR(INDEX(Settings!$D$5:$D$9,MATCH($B422,Settings!$A$5:$A$9,0)),0)*M422)</f>
        <v/>
      </c>
      <c r="W422" s="11">
        <f>IF(J422="","",IF(T422="",0,M422*INDEX(Products!$I$5:$I$204,T422)))</f>
        <v/>
      </c>
      <c r="X422" s="11">
        <f>IF(J422="","",IF(T422="",0,S422*INDEX(Products!$H$5:$H$204,T422)))</f>
        <v/>
      </c>
      <c r="Y422" s="11">
        <f>IF(J422="","",S422-V422-W422-X422)</f>
        <v/>
      </c>
    </row>
    <row r="423">
      <c r="A423" s="19" t="n"/>
      <c r="B423" s="19" t="n"/>
      <c r="C423" s="19" t="n"/>
      <c r="D423" s="19" t="n"/>
      <c r="E423" s="19" t="n"/>
      <c r="F423" s="20" t="n"/>
      <c r="G423" s="20" t="n"/>
      <c r="H423" s="20" t="n"/>
      <c r="I423" s="19" t="n"/>
      <c r="J423">
        <f>IFERROR(IF(C423="","",C423)&amp;"","")</f>
        <v/>
      </c>
      <c r="K423">
        <f>IFERROR(IF(D423="","",D423)&amp;"","")</f>
        <v/>
      </c>
      <c r="L423">
        <f>IFERROR(IF(I423="","",I423)&amp;"","")</f>
        <v/>
      </c>
      <c r="M423">
        <f>IF(J423="","",IFERROR(VALUE(SUBSTITUTE(SUBSTITUTE(IF(E423="","",E423)&amp;"","$",""),",","")),0))</f>
        <v/>
      </c>
      <c r="N423" s="11">
        <f>IF(J423="","",IFERROR(VALUE(SUBSTITUTE(SUBSTITUTE(IF(F423="","",F423)&amp;"","$",""),",","")),0))</f>
        <v/>
      </c>
      <c r="O423" s="11">
        <f>IF(J423="","",M423*N423)</f>
        <v/>
      </c>
      <c r="P423">
        <f>IF(J423="","",IF(L423="",1,COUNTIF($L$2:$L$1501,L423)))</f>
        <v/>
      </c>
      <c r="Q423" s="11">
        <f>IF(J423="","",IFERROR(VALUE(SUBSTITUTE(SUBSTITUTE(IF(G423="","",G423)&amp;"","$",""),",","")),0)/IF("No"="Yes",P423,1))</f>
        <v/>
      </c>
      <c r="R423" s="11">
        <f>IF(J423="","",IFERROR(VALUE(SUBSTITUTE(SUBSTITUTE(IF(H423="","",H423)&amp;"","$",""),",","")),0)/IF("No"="Yes",P423,1))</f>
        <v/>
      </c>
      <c r="S423" s="11">
        <f>IF(J423="","",O423+Q423-R423)</f>
        <v/>
      </c>
      <c r="T423">
        <f>IF(J423="","",IFERROR(IF(K423="",NA(),MATCH(K423,Products!$B$5:$B$204,0)),IFERROR(MATCH(J423,Products!$A$5:$A$204,0),"")))</f>
        <v/>
      </c>
      <c r="U423">
        <f>IF(J423="","",IF(T423="","⚠ not in Products",INDEX(Products!$A$5:$A$204,T423)))</f>
        <v/>
      </c>
      <c r="V423" s="11">
        <f>IF(J423="","",S423*(IFERROR(INDEX(Settings!$B$5:$B$9,MATCH($B423,Settings!$A$5:$A$9,0)),0)+IFERROR(INDEX(Settings!$E$5:$E$9,MATCH($B423,Settings!$A$5:$A$9,0)),0)+IFERROR(INDEX(Settings!$G$5:$G$9,MATCH($B423,Settings!$A$5:$A$9,0)),0))+(IFERROR(INDEX(Settings!$C$5:$C$9,MATCH($B423,Settings!$A$5:$A$9,0)),0)+IFERROR(INDEX(Settings!$F$5:$F$9,MATCH($B423,Settings!$A$5:$A$9,0)),0))/P423+IFERROR(INDEX(Settings!$D$5:$D$9,MATCH($B423,Settings!$A$5:$A$9,0)),0)*M423)</f>
        <v/>
      </c>
      <c r="W423" s="11">
        <f>IF(J423="","",IF(T423="",0,M423*INDEX(Products!$I$5:$I$204,T423)))</f>
        <v/>
      </c>
      <c r="X423" s="11">
        <f>IF(J423="","",IF(T423="",0,S423*INDEX(Products!$H$5:$H$204,T423)))</f>
        <v/>
      </c>
      <c r="Y423" s="11">
        <f>IF(J423="","",S423-V423-W423-X423)</f>
        <v/>
      </c>
    </row>
    <row r="424">
      <c r="A424" s="19" t="n"/>
      <c r="B424" s="19" t="n"/>
      <c r="C424" s="19" t="n"/>
      <c r="D424" s="19" t="n"/>
      <c r="E424" s="19" t="n"/>
      <c r="F424" s="20" t="n"/>
      <c r="G424" s="20" t="n"/>
      <c r="H424" s="20" t="n"/>
      <c r="I424" s="19" t="n"/>
      <c r="J424">
        <f>IFERROR(IF(C424="","",C424)&amp;"","")</f>
        <v/>
      </c>
      <c r="K424">
        <f>IFERROR(IF(D424="","",D424)&amp;"","")</f>
        <v/>
      </c>
      <c r="L424">
        <f>IFERROR(IF(I424="","",I424)&amp;"","")</f>
        <v/>
      </c>
      <c r="M424">
        <f>IF(J424="","",IFERROR(VALUE(SUBSTITUTE(SUBSTITUTE(IF(E424="","",E424)&amp;"","$",""),",","")),0))</f>
        <v/>
      </c>
      <c r="N424" s="11">
        <f>IF(J424="","",IFERROR(VALUE(SUBSTITUTE(SUBSTITUTE(IF(F424="","",F424)&amp;"","$",""),",","")),0))</f>
        <v/>
      </c>
      <c r="O424" s="11">
        <f>IF(J424="","",M424*N424)</f>
        <v/>
      </c>
      <c r="P424">
        <f>IF(J424="","",IF(L424="",1,COUNTIF($L$2:$L$1501,L424)))</f>
        <v/>
      </c>
      <c r="Q424" s="11">
        <f>IF(J424="","",IFERROR(VALUE(SUBSTITUTE(SUBSTITUTE(IF(G424="","",G424)&amp;"","$",""),",","")),0)/IF("No"="Yes",P424,1))</f>
        <v/>
      </c>
      <c r="R424" s="11">
        <f>IF(J424="","",IFERROR(VALUE(SUBSTITUTE(SUBSTITUTE(IF(H424="","",H424)&amp;"","$",""),",","")),0)/IF("No"="Yes",P424,1))</f>
        <v/>
      </c>
      <c r="S424" s="11">
        <f>IF(J424="","",O424+Q424-R424)</f>
        <v/>
      </c>
      <c r="T424">
        <f>IF(J424="","",IFERROR(IF(K424="",NA(),MATCH(K424,Products!$B$5:$B$204,0)),IFERROR(MATCH(J424,Products!$A$5:$A$204,0),"")))</f>
        <v/>
      </c>
      <c r="U424">
        <f>IF(J424="","",IF(T424="","⚠ not in Products",INDEX(Products!$A$5:$A$204,T424)))</f>
        <v/>
      </c>
      <c r="V424" s="11">
        <f>IF(J424="","",S424*(IFERROR(INDEX(Settings!$B$5:$B$9,MATCH($B424,Settings!$A$5:$A$9,0)),0)+IFERROR(INDEX(Settings!$E$5:$E$9,MATCH($B424,Settings!$A$5:$A$9,0)),0)+IFERROR(INDEX(Settings!$G$5:$G$9,MATCH($B424,Settings!$A$5:$A$9,0)),0))+(IFERROR(INDEX(Settings!$C$5:$C$9,MATCH($B424,Settings!$A$5:$A$9,0)),0)+IFERROR(INDEX(Settings!$F$5:$F$9,MATCH($B424,Settings!$A$5:$A$9,0)),0))/P424+IFERROR(INDEX(Settings!$D$5:$D$9,MATCH($B424,Settings!$A$5:$A$9,0)),0)*M424)</f>
        <v/>
      </c>
      <c r="W424" s="11">
        <f>IF(J424="","",IF(T424="",0,M424*INDEX(Products!$I$5:$I$204,T424)))</f>
        <v/>
      </c>
      <c r="X424" s="11">
        <f>IF(J424="","",IF(T424="",0,S424*INDEX(Products!$H$5:$H$204,T424)))</f>
        <v/>
      </c>
      <c r="Y424" s="11">
        <f>IF(J424="","",S424-V424-W424-X424)</f>
        <v/>
      </c>
    </row>
    <row r="425">
      <c r="A425" s="19" t="n"/>
      <c r="B425" s="19" t="n"/>
      <c r="C425" s="19" t="n"/>
      <c r="D425" s="19" t="n"/>
      <c r="E425" s="19" t="n"/>
      <c r="F425" s="20" t="n"/>
      <c r="G425" s="20" t="n"/>
      <c r="H425" s="20" t="n"/>
      <c r="I425" s="19" t="n"/>
      <c r="J425">
        <f>IFERROR(IF(C425="","",C425)&amp;"","")</f>
        <v/>
      </c>
      <c r="K425">
        <f>IFERROR(IF(D425="","",D425)&amp;"","")</f>
        <v/>
      </c>
      <c r="L425">
        <f>IFERROR(IF(I425="","",I425)&amp;"","")</f>
        <v/>
      </c>
      <c r="M425">
        <f>IF(J425="","",IFERROR(VALUE(SUBSTITUTE(SUBSTITUTE(IF(E425="","",E425)&amp;"","$",""),",","")),0))</f>
        <v/>
      </c>
      <c r="N425" s="11">
        <f>IF(J425="","",IFERROR(VALUE(SUBSTITUTE(SUBSTITUTE(IF(F425="","",F425)&amp;"","$",""),",","")),0))</f>
        <v/>
      </c>
      <c r="O425" s="11">
        <f>IF(J425="","",M425*N425)</f>
        <v/>
      </c>
      <c r="P425">
        <f>IF(J425="","",IF(L425="",1,COUNTIF($L$2:$L$1501,L425)))</f>
        <v/>
      </c>
      <c r="Q425" s="11">
        <f>IF(J425="","",IFERROR(VALUE(SUBSTITUTE(SUBSTITUTE(IF(G425="","",G425)&amp;"","$",""),",","")),0)/IF("No"="Yes",P425,1))</f>
        <v/>
      </c>
      <c r="R425" s="11">
        <f>IF(J425="","",IFERROR(VALUE(SUBSTITUTE(SUBSTITUTE(IF(H425="","",H425)&amp;"","$",""),",","")),0)/IF("No"="Yes",P425,1))</f>
        <v/>
      </c>
      <c r="S425" s="11">
        <f>IF(J425="","",O425+Q425-R425)</f>
        <v/>
      </c>
      <c r="T425">
        <f>IF(J425="","",IFERROR(IF(K425="",NA(),MATCH(K425,Products!$B$5:$B$204,0)),IFERROR(MATCH(J425,Products!$A$5:$A$204,0),"")))</f>
        <v/>
      </c>
      <c r="U425">
        <f>IF(J425="","",IF(T425="","⚠ not in Products",INDEX(Products!$A$5:$A$204,T425)))</f>
        <v/>
      </c>
      <c r="V425" s="11">
        <f>IF(J425="","",S425*(IFERROR(INDEX(Settings!$B$5:$B$9,MATCH($B425,Settings!$A$5:$A$9,0)),0)+IFERROR(INDEX(Settings!$E$5:$E$9,MATCH($B425,Settings!$A$5:$A$9,0)),0)+IFERROR(INDEX(Settings!$G$5:$G$9,MATCH($B425,Settings!$A$5:$A$9,0)),0))+(IFERROR(INDEX(Settings!$C$5:$C$9,MATCH($B425,Settings!$A$5:$A$9,0)),0)+IFERROR(INDEX(Settings!$F$5:$F$9,MATCH($B425,Settings!$A$5:$A$9,0)),0))/P425+IFERROR(INDEX(Settings!$D$5:$D$9,MATCH($B425,Settings!$A$5:$A$9,0)),0)*M425)</f>
        <v/>
      </c>
      <c r="W425" s="11">
        <f>IF(J425="","",IF(T425="",0,M425*INDEX(Products!$I$5:$I$204,T425)))</f>
        <v/>
      </c>
      <c r="X425" s="11">
        <f>IF(J425="","",IF(T425="",0,S425*INDEX(Products!$H$5:$H$204,T425)))</f>
        <v/>
      </c>
      <c r="Y425" s="11">
        <f>IF(J425="","",S425-V425-W425-X425)</f>
        <v/>
      </c>
    </row>
    <row r="426">
      <c r="A426" s="19" t="n"/>
      <c r="B426" s="19" t="n"/>
      <c r="C426" s="19" t="n"/>
      <c r="D426" s="19" t="n"/>
      <c r="E426" s="19" t="n"/>
      <c r="F426" s="20" t="n"/>
      <c r="G426" s="20" t="n"/>
      <c r="H426" s="20" t="n"/>
      <c r="I426" s="19" t="n"/>
      <c r="J426">
        <f>IFERROR(IF(C426="","",C426)&amp;"","")</f>
        <v/>
      </c>
      <c r="K426">
        <f>IFERROR(IF(D426="","",D426)&amp;"","")</f>
        <v/>
      </c>
      <c r="L426">
        <f>IFERROR(IF(I426="","",I426)&amp;"","")</f>
        <v/>
      </c>
      <c r="M426">
        <f>IF(J426="","",IFERROR(VALUE(SUBSTITUTE(SUBSTITUTE(IF(E426="","",E426)&amp;"","$",""),",","")),0))</f>
        <v/>
      </c>
      <c r="N426" s="11">
        <f>IF(J426="","",IFERROR(VALUE(SUBSTITUTE(SUBSTITUTE(IF(F426="","",F426)&amp;"","$",""),",","")),0))</f>
        <v/>
      </c>
      <c r="O426" s="11">
        <f>IF(J426="","",M426*N426)</f>
        <v/>
      </c>
      <c r="P426">
        <f>IF(J426="","",IF(L426="",1,COUNTIF($L$2:$L$1501,L426)))</f>
        <v/>
      </c>
      <c r="Q426" s="11">
        <f>IF(J426="","",IFERROR(VALUE(SUBSTITUTE(SUBSTITUTE(IF(G426="","",G426)&amp;"","$",""),",","")),0)/IF("No"="Yes",P426,1))</f>
        <v/>
      </c>
      <c r="R426" s="11">
        <f>IF(J426="","",IFERROR(VALUE(SUBSTITUTE(SUBSTITUTE(IF(H426="","",H426)&amp;"","$",""),",","")),0)/IF("No"="Yes",P426,1))</f>
        <v/>
      </c>
      <c r="S426" s="11">
        <f>IF(J426="","",O426+Q426-R426)</f>
        <v/>
      </c>
      <c r="T426">
        <f>IF(J426="","",IFERROR(IF(K426="",NA(),MATCH(K426,Products!$B$5:$B$204,0)),IFERROR(MATCH(J426,Products!$A$5:$A$204,0),"")))</f>
        <v/>
      </c>
      <c r="U426">
        <f>IF(J426="","",IF(T426="","⚠ not in Products",INDEX(Products!$A$5:$A$204,T426)))</f>
        <v/>
      </c>
      <c r="V426" s="11">
        <f>IF(J426="","",S426*(IFERROR(INDEX(Settings!$B$5:$B$9,MATCH($B426,Settings!$A$5:$A$9,0)),0)+IFERROR(INDEX(Settings!$E$5:$E$9,MATCH($B426,Settings!$A$5:$A$9,0)),0)+IFERROR(INDEX(Settings!$G$5:$G$9,MATCH($B426,Settings!$A$5:$A$9,0)),0))+(IFERROR(INDEX(Settings!$C$5:$C$9,MATCH($B426,Settings!$A$5:$A$9,0)),0)+IFERROR(INDEX(Settings!$F$5:$F$9,MATCH($B426,Settings!$A$5:$A$9,0)),0))/P426+IFERROR(INDEX(Settings!$D$5:$D$9,MATCH($B426,Settings!$A$5:$A$9,0)),0)*M426)</f>
        <v/>
      </c>
      <c r="W426" s="11">
        <f>IF(J426="","",IF(T426="",0,M426*INDEX(Products!$I$5:$I$204,T426)))</f>
        <v/>
      </c>
      <c r="X426" s="11">
        <f>IF(J426="","",IF(T426="",0,S426*INDEX(Products!$H$5:$H$204,T426)))</f>
        <v/>
      </c>
      <c r="Y426" s="11">
        <f>IF(J426="","",S426-V426-W426-X426)</f>
        <v/>
      </c>
    </row>
    <row r="427">
      <c r="A427" s="19" t="n"/>
      <c r="B427" s="19" t="n"/>
      <c r="C427" s="19" t="n"/>
      <c r="D427" s="19" t="n"/>
      <c r="E427" s="19" t="n"/>
      <c r="F427" s="20" t="n"/>
      <c r="G427" s="20" t="n"/>
      <c r="H427" s="20" t="n"/>
      <c r="I427" s="19" t="n"/>
      <c r="J427">
        <f>IFERROR(IF(C427="","",C427)&amp;"","")</f>
        <v/>
      </c>
      <c r="K427">
        <f>IFERROR(IF(D427="","",D427)&amp;"","")</f>
        <v/>
      </c>
      <c r="L427">
        <f>IFERROR(IF(I427="","",I427)&amp;"","")</f>
        <v/>
      </c>
      <c r="M427">
        <f>IF(J427="","",IFERROR(VALUE(SUBSTITUTE(SUBSTITUTE(IF(E427="","",E427)&amp;"","$",""),",","")),0))</f>
        <v/>
      </c>
      <c r="N427" s="11">
        <f>IF(J427="","",IFERROR(VALUE(SUBSTITUTE(SUBSTITUTE(IF(F427="","",F427)&amp;"","$",""),",","")),0))</f>
        <v/>
      </c>
      <c r="O427" s="11">
        <f>IF(J427="","",M427*N427)</f>
        <v/>
      </c>
      <c r="P427">
        <f>IF(J427="","",IF(L427="",1,COUNTIF($L$2:$L$1501,L427)))</f>
        <v/>
      </c>
      <c r="Q427" s="11">
        <f>IF(J427="","",IFERROR(VALUE(SUBSTITUTE(SUBSTITUTE(IF(G427="","",G427)&amp;"","$",""),",","")),0)/IF("No"="Yes",P427,1))</f>
        <v/>
      </c>
      <c r="R427" s="11">
        <f>IF(J427="","",IFERROR(VALUE(SUBSTITUTE(SUBSTITUTE(IF(H427="","",H427)&amp;"","$",""),",","")),0)/IF("No"="Yes",P427,1))</f>
        <v/>
      </c>
      <c r="S427" s="11">
        <f>IF(J427="","",O427+Q427-R427)</f>
        <v/>
      </c>
      <c r="T427">
        <f>IF(J427="","",IFERROR(IF(K427="",NA(),MATCH(K427,Products!$B$5:$B$204,0)),IFERROR(MATCH(J427,Products!$A$5:$A$204,0),"")))</f>
        <v/>
      </c>
      <c r="U427">
        <f>IF(J427="","",IF(T427="","⚠ not in Products",INDEX(Products!$A$5:$A$204,T427)))</f>
        <v/>
      </c>
      <c r="V427" s="11">
        <f>IF(J427="","",S427*(IFERROR(INDEX(Settings!$B$5:$B$9,MATCH($B427,Settings!$A$5:$A$9,0)),0)+IFERROR(INDEX(Settings!$E$5:$E$9,MATCH($B427,Settings!$A$5:$A$9,0)),0)+IFERROR(INDEX(Settings!$G$5:$G$9,MATCH($B427,Settings!$A$5:$A$9,0)),0))+(IFERROR(INDEX(Settings!$C$5:$C$9,MATCH($B427,Settings!$A$5:$A$9,0)),0)+IFERROR(INDEX(Settings!$F$5:$F$9,MATCH($B427,Settings!$A$5:$A$9,0)),0))/P427+IFERROR(INDEX(Settings!$D$5:$D$9,MATCH($B427,Settings!$A$5:$A$9,0)),0)*M427)</f>
        <v/>
      </c>
      <c r="W427" s="11">
        <f>IF(J427="","",IF(T427="",0,M427*INDEX(Products!$I$5:$I$204,T427)))</f>
        <v/>
      </c>
      <c r="X427" s="11">
        <f>IF(J427="","",IF(T427="",0,S427*INDEX(Products!$H$5:$H$204,T427)))</f>
        <v/>
      </c>
      <c r="Y427" s="11">
        <f>IF(J427="","",S427-V427-W427-X427)</f>
        <v/>
      </c>
    </row>
    <row r="428">
      <c r="A428" s="19" t="n"/>
      <c r="B428" s="19" t="n"/>
      <c r="C428" s="19" t="n"/>
      <c r="D428" s="19" t="n"/>
      <c r="E428" s="19" t="n"/>
      <c r="F428" s="20" t="n"/>
      <c r="G428" s="20" t="n"/>
      <c r="H428" s="20" t="n"/>
      <c r="I428" s="19" t="n"/>
      <c r="J428">
        <f>IFERROR(IF(C428="","",C428)&amp;"","")</f>
        <v/>
      </c>
      <c r="K428">
        <f>IFERROR(IF(D428="","",D428)&amp;"","")</f>
        <v/>
      </c>
      <c r="L428">
        <f>IFERROR(IF(I428="","",I428)&amp;"","")</f>
        <v/>
      </c>
      <c r="M428">
        <f>IF(J428="","",IFERROR(VALUE(SUBSTITUTE(SUBSTITUTE(IF(E428="","",E428)&amp;"","$",""),",","")),0))</f>
        <v/>
      </c>
      <c r="N428" s="11">
        <f>IF(J428="","",IFERROR(VALUE(SUBSTITUTE(SUBSTITUTE(IF(F428="","",F428)&amp;"","$",""),",","")),0))</f>
        <v/>
      </c>
      <c r="O428" s="11">
        <f>IF(J428="","",M428*N428)</f>
        <v/>
      </c>
      <c r="P428">
        <f>IF(J428="","",IF(L428="",1,COUNTIF($L$2:$L$1501,L428)))</f>
        <v/>
      </c>
      <c r="Q428" s="11">
        <f>IF(J428="","",IFERROR(VALUE(SUBSTITUTE(SUBSTITUTE(IF(G428="","",G428)&amp;"","$",""),",","")),0)/IF("No"="Yes",P428,1))</f>
        <v/>
      </c>
      <c r="R428" s="11">
        <f>IF(J428="","",IFERROR(VALUE(SUBSTITUTE(SUBSTITUTE(IF(H428="","",H428)&amp;"","$",""),",","")),0)/IF("No"="Yes",P428,1))</f>
        <v/>
      </c>
      <c r="S428" s="11">
        <f>IF(J428="","",O428+Q428-R428)</f>
        <v/>
      </c>
      <c r="T428">
        <f>IF(J428="","",IFERROR(IF(K428="",NA(),MATCH(K428,Products!$B$5:$B$204,0)),IFERROR(MATCH(J428,Products!$A$5:$A$204,0),"")))</f>
        <v/>
      </c>
      <c r="U428">
        <f>IF(J428="","",IF(T428="","⚠ not in Products",INDEX(Products!$A$5:$A$204,T428)))</f>
        <v/>
      </c>
      <c r="V428" s="11">
        <f>IF(J428="","",S428*(IFERROR(INDEX(Settings!$B$5:$B$9,MATCH($B428,Settings!$A$5:$A$9,0)),0)+IFERROR(INDEX(Settings!$E$5:$E$9,MATCH($B428,Settings!$A$5:$A$9,0)),0)+IFERROR(INDEX(Settings!$G$5:$G$9,MATCH($B428,Settings!$A$5:$A$9,0)),0))+(IFERROR(INDEX(Settings!$C$5:$C$9,MATCH($B428,Settings!$A$5:$A$9,0)),0)+IFERROR(INDEX(Settings!$F$5:$F$9,MATCH($B428,Settings!$A$5:$A$9,0)),0))/P428+IFERROR(INDEX(Settings!$D$5:$D$9,MATCH($B428,Settings!$A$5:$A$9,0)),0)*M428)</f>
        <v/>
      </c>
      <c r="W428" s="11">
        <f>IF(J428="","",IF(T428="",0,M428*INDEX(Products!$I$5:$I$204,T428)))</f>
        <v/>
      </c>
      <c r="X428" s="11">
        <f>IF(J428="","",IF(T428="",0,S428*INDEX(Products!$H$5:$H$204,T428)))</f>
        <v/>
      </c>
      <c r="Y428" s="11">
        <f>IF(J428="","",S428-V428-W428-X428)</f>
        <v/>
      </c>
    </row>
    <row r="429">
      <c r="A429" s="19" t="n"/>
      <c r="B429" s="19" t="n"/>
      <c r="C429" s="19" t="n"/>
      <c r="D429" s="19" t="n"/>
      <c r="E429" s="19" t="n"/>
      <c r="F429" s="20" t="n"/>
      <c r="G429" s="20" t="n"/>
      <c r="H429" s="20" t="n"/>
      <c r="I429" s="19" t="n"/>
      <c r="J429">
        <f>IFERROR(IF(C429="","",C429)&amp;"","")</f>
        <v/>
      </c>
      <c r="K429">
        <f>IFERROR(IF(D429="","",D429)&amp;"","")</f>
        <v/>
      </c>
      <c r="L429">
        <f>IFERROR(IF(I429="","",I429)&amp;"","")</f>
        <v/>
      </c>
      <c r="M429">
        <f>IF(J429="","",IFERROR(VALUE(SUBSTITUTE(SUBSTITUTE(IF(E429="","",E429)&amp;"","$",""),",","")),0))</f>
        <v/>
      </c>
      <c r="N429" s="11">
        <f>IF(J429="","",IFERROR(VALUE(SUBSTITUTE(SUBSTITUTE(IF(F429="","",F429)&amp;"","$",""),",","")),0))</f>
        <v/>
      </c>
      <c r="O429" s="11">
        <f>IF(J429="","",M429*N429)</f>
        <v/>
      </c>
      <c r="P429">
        <f>IF(J429="","",IF(L429="",1,COUNTIF($L$2:$L$1501,L429)))</f>
        <v/>
      </c>
      <c r="Q429" s="11">
        <f>IF(J429="","",IFERROR(VALUE(SUBSTITUTE(SUBSTITUTE(IF(G429="","",G429)&amp;"","$",""),",","")),0)/IF("No"="Yes",P429,1))</f>
        <v/>
      </c>
      <c r="R429" s="11">
        <f>IF(J429="","",IFERROR(VALUE(SUBSTITUTE(SUBSTITUTE(IF(H429="","",H429)&amp;"","$",""),",","")),0)/IF("No"="Yes",P429,1))</f>
        <v/>
      </c>
      <c r="S429" s="11">
        <f>IF(J429="","",O429+Q429-R429)</f>
        <v/>
      </c>
      <c r="T429">
        <f>IF(J429="","",IFERROR(IF(K429="",NA(),MATCH(K429,Products!$B$5:$B$204,0)),IFERROR(MATCH(J429,Products!$A$5:$A$204,0),"")))</f>
        <v/>
      </c>
      <c r="U429">
        <f>IF(J429="","",IF(T429="","⚠ not in Products",INDEX(Products!$A$5:$A$204,T429)))</f>
        <v/>
      </c>
      <c r="V429" s="11">
        <f>IF(J429="","",S429*(IFERROR(INDEX(Settings!$B$5:$B$9,MATCH($B429,Settings!$A$5:$A$9,0)),0)+IFERROR(INDEX(Settings!$E$5:$E$9,MATCH($B429,Settings!$A$5:$A$9,0)),0)+IFERROR(INDEX(Settings!$G$5:$G$9,MATCH($B429,Settings!$A$5:$A$9,0)),0))+(IFERROR(INDEX(Settings!$C$5:$C$9,MATCH($B429,Settings!$A$5:$A$9,0)),0)+IFERROR(INDEX(Settings!$F$5:$F$9,MATCH($B429,Settings!$A$5:$A$9,0)),0))/P429+IFERROR(INDEX(Settings!$D$5:$D$9,MATCH($B429,Settings!$A$5:$A$9,0)),0)*M429)</f>
        <v/>
      </c>
      <c r="W429" s="11">
        <f>IF(J429="","",IF(T429="",0,M429*INDEX(Products!$I$5:$I$204,T429)))</f>
        <v/>
      </c>
      <c r="X429" s="11">
        <f>IF(J429="","",IF(T429="",0,S429*INDEX(Products!$H$5:$H$204,T429)))</f>
        <v/>
      </c>
      <c r="Y429" s="11">
        <f>IF(J429="","",S429-V429-W429-X429)</f>
        <v/>
      </c>
    </row>
    <row r="430">
      <c r="A430" s="19" t="n"/>
      <c r="B430" s="19" t="n"/>
      <c r="C430" s="19" t="n"/>
      <c r="D430" s="19" t="n"/>
      <c r="E430" s="19" t="n"/>
      <c r="F430" s="20" t="n"/>
      <c r="G430" s="20" t="n"/>
      <c r="H430" s="20" t="n"/>
      <c r="I430" s="19" t="n"/>
      <c r="J430">
        <f>IFERROR(IF(C430="","",C430)&amp;"","")</f>
        <v/>
      </c>
      <c r="K430">
        <f>IFERROR(IF(D430="","",D430)&amp;"","")</f>
        <v/>
      </c>
      <c r="L430">
        <f>IFERROR(IF(I430="","",I430)&amp;"","")</f>
        <v/>
      </c>
      <c r="M430">
        <f>IF(J430="","",IFERROR(VALUE(SUBSTITUTE(SUBSTITUTE(IF(E430="","",E430)&amp;"","$",""),",","")),0))</f>
        <v/>
      </c>
      <c r="N430" s="11">
        <f>IF(J430="","",IFERROR(VALUE(SUBSTITUTE(SUBSTITUTE(IF(F430="","",F430)&amp;"","$",""),",","")),0))</f>
        <v/>
      </c>
      <c r="O430" s="11">
        <f>IF(J430="","",M430*N430)</f>
        <v/>
      </c>
      <c r="P430">
        <f>IF(J430="","",IF(L430="",1,COUNTIF($L$2:$L$1501,L430)))</f>
        <v/>
      </c>
      <c r="Q430" s="11">
        <f>IF(J430="","",IFERROR(VALUE(SUBSTITUTE(SUBSTITUTE(IF(G430="","",G430)&amp;"","$",""),",","")),0)/IF("No"="Yes",P430,1))</f>
        <v/>
      </c>
      <c r="R430" s="11">
        <f>IF(J430="","",IFERROR(VALUE(SUBSTITUTE(SUBSTITUTE(IF(H430="","",H430)&amp;"","$",""),",","")),0)/IF("No"="Yes",P430,1))</f>
        <v/>
      </c>
      <c r="S430" s="11">
        <f>IF(J430="","",O430+Q430-R430)</f>
        <v/>
      </c>
      <c r="T430">
        <f>IF(J430="","",IFERROR(IF(K430="",NA(),MATCH(K430,Products!$B$5:$B$204,0)),IFERROR(MATCH(J430,Products!$A$5:$A$204,0),"")))</f>
        <v/>
      </c>
      <c r="U430">
        <f>IF(J430="","",IF(T430="","⚠ not in Products",INDEX(Products!$A$5:$A$204,T430)))</f>
        <v/>
      </c>
      <c r="V430" s="11">
        <f>IF(J430="","",S430*(IFERROR(INDEX(Settings!$B$5:$B$9,MATCH($B430,Settings!$A$5:$A$9,0)),0)+IFERROR(INDEX(Settings!$E$5:$E$9,MATCH($B430,Settings!$A$5:$A$9,0)),0)+IFERROR(INDEX(Settings!$G$5:$G$9,MATCH($B430,Settings!$A$5:$A$9,0)),0))+(IFERROR(INDEX(Settings!$C$5:$C$9,MATCH($B430,Settings!$A$5:$A$9,0)),0)+IFERROR(INDEX(Settings!$F$5:$F$9,MATCH($B430,Settings!$A$5:$A$9,0)),0))/P430+IFERROR(INDEX(Settings!$D$5:$D$9,MATCH($B430,Settings!$A$5:$A$9,0)),0)*M430)</f>
        <v/>
      </c>
      <c r="W430" s="11">
        <f>IF(J430="","",IF(T430="",0,M430*INDEX(Products!$I$5:$I$204,T430)))</f>
        <v/>
      </c>
      <c r="X430" s="11">
        <f>IF(J430="","",IF(T430="",0,S430*INDEX(Products!$H$5:$H$204,T430)))</f>
        <v/>
      </c>
      <c r="Y430" s="11">
        <f>IF(J430="","",S430-V430-W430-X430)</f>
        <v/>
      </c>
    </row>
    <row r="431">
      <c r="A431" s="19" t="n"/>
      <c r="B431" s="19" t="n"/>
      <c r="C431" s="19" t="n"/>
      <c r="D431" s="19" t="n"/>
      <c r="E431" s="19" t="n"/>
      <c r="F431" s="20" t="n"/>
      <c r="G431" s="20" t="n"/>
      <c r="H431" s="20" t="n"/>
      <c r="I431" s="19" t="n"/>
      <c r="J431">
        <f>IFERROR(IF(C431="","",C431)&amp;"","")</f>
        <v/>
      </c>
      <c r="K431">
        <f>IFERROR(IF(D431="","",D431)&amp;"","")</f>
        <v/>
      </c>
      <c r="L431">
        <f>IFERROR(IF(I431="","",I431)&amp;"","")</f>
        <v/>
      </c>
      <c r="M431">
        <f>IF(J431="","",IFERROR(VALUE(SUBSTITUTE(SUBSTITUTE(IF(E431="","",E431)&amp;"","$",""),",","")),0))</f>
        <v/>
      </c>
      <c r="N431" s="11">
        <f>IF(J431="","",IFERROR(VALUE(SUBSTITUTE(SUBSTITUTE(IF(F431="","",F431)&amp;"","$",""),",","")),0))</f>
        <v/>
      </c>
      <c r="O431" s="11">
        <f>IF(J431="","",M431*N431)</f>
        <v/>
      </c>
      <c r="P431">
        <f>IF(J431="","",IF(L431="",1,COUNTIF($L$2:$L$1501,L431)))</f>
        <v/>
      </c>
      <c r="Q431" s="11">
        <f>IF(J431="","",IFERROR(VALUE(SUBSTITUTE(SUBSTITUTE(IF(G431="","",G431)&amp;"","$",""),",","")),0)/IF("No"="Yes",P431,1))</f>
        <v/>
      </c>
      <c r="R431" s="11">
        <f>IF(J431="","",IFERROR(VALUE(SUBSTITUTE(SUBSTITUTE(IF(H431="","",H431)&amp;"","$",""),",","")),0)/IF("No"="Yes",P431,1))</f>
        <v/>
      </c>
      <c r="S431" s="11">
        <f>IF(J431="","",O431+Q431-R431)</f>
        <v/>
      </c>
      <c r="T431">
        <f>IF(J431="","",IFERROR(IF(K431="",NA(),MATCH(K431,Products!$B$5:$B$204,0)),IFERROR(MATCH(J431,Products!$A$5:$A$204,0),"")))</f>
        <v/>
      </c>
      <c r="U431">
        <f>IF(J431="","",IF(T431="","⚠ not in Products",INDEX(Products!$A$5:$A$204,T431)))</f>
        <v/>
      </c>
      <c r="V431" s="11">
        <f>IF(J431="","",S431*(IFERROR(INDEX(Settings!$B$5:$B$9,MATCH($B431,Settings!$A$5:$A$9,0)),0)+IFERROR(INDEX(Settings!$E$5:$E$9,MATCH($B431,Settings!$A$5:$A$9,0)),0)+IFERROR(INDEX(Settings!$G$5:$G$9,MATCH($B431,Settings!$A$5:$A$9,0)),0))+(IFERROR(INDEX(Settings!$C$5:$C$9,MATCH($B431,Settings!$A$5:$A$9,0)),0)+IFERROR(INDEX(Settings!$F$5:$F$9,MATCH($B431,Settings!$A$5:$A$9,0)),0))/P431+IFERROR(INDEX(Settings!$D$5:$D$9,MATCH($B431,Settings!$A$5:$A$9,0)),0)*M431)</f>
        <v/>
      </c>
      <c r="W431" s="11">
        <f>IF(J431="","",IF(T431="",0,M431*INDEX(Products!$I$5:$I$204,T431)))</f>
        <v/>
      </c>
      <c r="X431" s="11">
        <f>IF(J431="","",IF(T431="",0,S431*INDEX(Products!$H$5:$H$204,T431)))</f>
        <v/>
      </c>
      <c r="Y431" s="11">
        <f>IF(J431="","",S431-V431-W431-X431)</f>
        <v/>
      </c>
    </row>
    <row r="432">
      <c r="A432" s="19" t="n"/>
      <c r="B432" s="19" t="n"/>
      <c r="C432" s="19" t="n"/>
      <c r="D432" s="19" t="n"/>
      <c r="E432" s="19" t="n"/>
      <c r="F432" s="20" t="n"/>
      <c r="G432" s="20" t="n"/>
      <c r="H432" s="20" t="n"/>
      <c r="I432" s="19" t="n"/>
      <c r="J432">
        <f>IFERROR(IF(C432="","",C432)&amp;"","")</f>
        <v/>
      </c>
      <c r="K432">
        <f>IFERROR(IF(D432="","",D432)&amp;"","")</f>
        <v/>
      </c>
      <c r="L432">
        <f>IFERROR(IF(I432="","",I432)&amp;"","")</f>
        <v/>
      </c>
      <c r="M432">
        <f>IF(J432="","",IFERROR(VALUE(SUBSTITUTE(SUBSTITUTE(IF(E432="","",E432)&amp;"","$",""),",","")),0))</f>
        <v/>
      </c>
      <c r="N432" s="11">
        <f>IF(J432="","",IFERROR(VALUE(SUBSTITUTE(SUBSTITUTE(IF(F432="","",F432)&amp;"","$",""),",","")),0))</f>
        <v/>
      </c>
      <c r="O432" s="11">
        <f>IF(J432="","",M432*N432)</f>
        <v/>
      </c>
      <c r="P432">
        <f>IF(J432="","",IF(L432="",1,COUNTIF($L$2:$L$1501,L432)))</f>
        <v/>
      </c>
      <c r="Q432" s="11">
        <f>IF(J432="","",IFERROR(VALUE(SUBSTITUTE(SUBSTITUTE(IF(G432="","",G432)&amp;"","$",""),",","")),0)/IF("No"="Yes",P432,1))</f>
        <v/>
      </c>
      <c r="R432" s="11">
        <f>IF(J432="","",IFERROR(VALUE(SUBSTITUTE(SUBSTITUTE(IF(H432="","",H432)&amp;"","$",""),",","")),0)/IF("No"="Yes",P432,1))</f>
        <v/>
      </c>
      <c r="S432" s="11">
        <f>IF(J432="","",O432+Q432-R432)</f>
        <v/>
      </c>
      <c r="T432">
        <f>IF(J432="","",IFERROR(IF(K432="",NA(),MATCH(K432,Products!$B$5:$B$204,0)),IFERROR(MATCH(J432,Products!$A$5:$A$204,0),"")))</f>
        <v/>
      </c>
      <c r="U432">
        <f>IF(J432="","",IF(T432="","⚠ not in Products",INDEX(Products!$A$5:$A$204,T432)))</f>
        <v/>
      </c>
      <c r="V432" s="11">
        <f>IF(J432="","",S432*(IFERROR(INDEX(Settings!$B$5:$B$9,MATCH($B432,Settings!$A$5:$A$9,0)),0)+IFERROR(INDEX(Settings!$E$5:$E$9,MATCH($B432,Settings!$A$5:$A$9,0)),0)+IFERROR(INDEX(Settings!$G$5:$G$9,MATCH($B432,Settings!$A$5:$A$9,0)),0))+(IFERROR(INDEX(Settings!$C$5:$C$9,MATCH($B432,Settings!$A$5:$A$9,0)),0)+IFERROR(INDEX(Settings!$F$5:$F$9,MATCH($B432,Settings!$A$5:$A$9,0)),0))/P432+IFERROR(INDEX(Settings!$D$5:$D$9,MATCH($B432,Settings!$A$5:$A$9,0)),0)*M432)</f>
        <v/>
      </c>
      <c r="W432" s="11">
        <f>IF(J432="","",IF(T432="",0,M432*INDEX(Products!$I$5:$I$204,T432)))</f>
        <v/>
      </c>
      <c r="X432" s="11">
        <f>IF(J432="","",IF(T432="",0,S432*INDEX(Products!$H$5:$H$204,T432)))</f>
        <v/>
      </c>
      <c r="Y432" s="11">
        <f>IF(J432="","",S432-V432-W432-X432)</f>
        <v/>
      </c>
    </row>
    <row r="433">
      <c r="A433" s="19" t="n"/>
      <c r="B433" s="19" t="n"/>
      <c r="C433" s="19" t="n"/>
      <c r="D433" s="19" t="n"/>
      <c r="E433" s="19" t="n"/>
      <c r="F433" s="20" t="n"/>
      <c r="G433" s="20" t="n"/>
      <c r="H433" s="20" t="n"/>
      <c r="I433" s="19" t="n"/>
      <c r="J433">
        <f>IFERROR(IF(C433="","",C433)&amp;"","")</f>
        <v/>
      </c>
      <c r="K433">
        <f>IFERROR(IF(D433="","",D433)&amp;"","")</f>
        <v/>
      </c>
      <c r="L433">
        <f>IFERROR(IF(I433="","",I433)&amp;"","")</f>
        <v/>
      </c>
      <c r="M433">
        <f>IF(J433="","",IFERROR(VALUE(SUBSTITUTE(SUBSTITUTE(IF(E433="","",E433)&amp;"","$",""),",","")),0))</f>
        <v/>
      </c>
      <c r="N433" s="11">
        <f>IF(J433="","",IFERROR(VALUE(SUBSTITUTE(SUBSTITUTE(IF(F433="","",F433)&amp;"","$",""),",","")),0))</f>
        <v/>
      </c>
      <c r="O433" s="11">
        <f>IF(J433="","",M433*N433)</f>
        <v/>
      </c>
      <c r="P433">
        <f>IF(J433="","",IF(L433="",1,COUNTIF($L$2:$L$1501,L433)))</f>
        <v/>
      </c>
      <c r="Q433" s="11">
        <f>IF(J433="","",IFERROR(VALUE(SUBSTITUTE(SUBSTITUTE(IF(G433="","",G433)&amp;"","$",""),",","")),0)/IF("No"="Yes",P433,1))</f>
        <v/>
      </c>
      <c r="R433" s="11">
        <f>IF(J433="","",IFERROR(VALUE(SUBSTITUTE(SUBSTITUTE(IF(H433="","",H433)&amp;"","$",""),",","")),0)/IF("No"="Yes",P433,1))</f>
        <v/>
      </c>
      <c r="S433" s="11">
        <f>IF(J433="","",O433+Q433-R433)</f>
        <v/>
      </c>
      <c r="T433">
        <f>IF(J433="","",IFERROR(IF(K433="",NA(),MATCH(K433,Products!$B$5:$B$204,0)),IFERROR(MATCH(J433,Products!$A$5:$A$204,0),"")))</f>
        <v/>
      </c>
      <c r="U433">
        <f>IF(J433="","",IF(T433="","⚠ not in Products",INDEX(Products!$A$5:$A$204,T433)))</f>
        <v/>
      </c>
      <c r="V433" s="11">
        <f>IF(J433="","",S433*(IFERROR(INDEX(Settings!$B$5:$B$9,MATCH($B433,Settings!$A$5:$A$9,0)),0)+IFERROR(INDEX(Settings!$E$5:$E$9,MATCH($B433,Settings!$A$5:$A$9,0)),0)+IFERROR(INDEX(Settings!$G$5:$G$9,MATCH($B433,Settings!$A$5:$A$9,0)),0))+(IFERROR(INDEX(Settings!$C$5:$C$9,MATCH($B433,Settings!$A$5:$A$9,0)),0)+IFERROR(INDEX(Settings!$F$5:$F$9,MATCH($B433,Settings!$A$5:$A$9,0)),0))/P433+IFERROR(INDEX(Settings!$D$5:$D$9,MATCH($B433,Settings!$A$5:$A$9,0)),0)*M433)</f>
        <v/>
      </c>
      <c r="W433" s="11">
        <f>IF(J433="","",IF(T433="",0,M433*INDEX(Products!$I$5:$I$204,T433)))</f>
        <v/>
      </c>
      <c r="X433" s="11">
        <f>IF(J433="","",IF(T433="",0,S433*INDEX(Products!$H$5:$H$204,T433)))</f>
        <v/>
      </c>
      <c r="Y433" s="11">
        <f>IF(J433="","",S433-V433-W433-X433)</f>
        <v/>
      </c>
    </row>
    <row r="434">
      <c r="A434" s="19" t="n"/>
      <c r="B434" s="19" t="n"/>
      <c r="C434" s="19" t="n"/>
      <c r="D434" s="19" t="n"/>
      <c r="E434" s="19" t="n"/>
      <c r="F434" s="20" t="n"/>
      <c r="G434" s="20" t="n"/>
      <c r="H434" s="20" t="n"/>
      <c r="I434" s="19" t="n"/>
      <c r="J434">
        <f>IFERROR(IF(C434="","",C434)&amp;"","")</f>
        <v/>
      </c>
      <c r="K434">
        <f>IFERROR(IF(D434="","",D434)&amp;"","")</f>
        <v/>
      </c>
      <c r="L434">
        <f>IFERROR(IF(I434="","",I434)&amp;"","")</f>
        <v/>
      </c>
      <c r="M434">
        <f>IF(J434="","",IFERROR(VALUE(SUBSTITUTE(SUBSTITUTE(IF(E434="","",E434)&amp;"","$",""),",","")),0))</f>
        <v/>
      </c>
      <c r="N434" s="11">
        <f>IF(J434="","",IFERROR(VALUE(SUBSTITUTE(SUBSTITUTE(IF(F434="","",F434)&amp;"","$",""),",","")),0))</f>
        <v/>
      </c>
      <c r="O434" s="11">
        <f>IF(J434="","",M434*N434)</f>
        <v/>
      </c>
      <c r="P434">
        <f>IF(J434="","",IF(L434="",1,COUNTIF($L$2:$L$1501,L434)))</f>
        <v/>
      </c>
      <c r="Q434" s="11">
        <f>IF(J434="","",IFERROR(VALUE(SUBSTITUTE(SUBSTITUTE(IF(G434="","",G434)&amp;"","$",""),",","")),0)/IF("No"="Yes",P434,1))</f>
        <v/>
      </c>
      <c r="R434" s="11">
        <f>IF(J434="","",IFERROR(VALUE(SUBSTITUTE(SUBSTITUTE(IF(H434="","",H434)&amp;"","$",""),",","")),0)/IF("No"="Yes",P434,1))</f>
        <v/>
      </c>
      <c r="S434" s="11">
        <f>IF(J434="","",O434+Q434-R434)</f>
        <v/>
      </c>
      <c r="T434">
        <f>IF(J434="","",IFERROR(IF(K434="",NA(),MATCH(K434,Products!$B$5:$B$204,0)),IFERROR(MATCH(J434,Products!$A$5:$A$204,0),"")))</f>
        <v/>
      </c>
      <c r="U434">
        <f>IF(J434="","",IF(T434="","⚠ not in Products",INDEX(Products!$A$5:$A$204,T434)))</f>
        <v/>
      </c>
      <c r="V434" s="11">
        <f>IF(J434="","",S434*(IFERROR(INDEX(Settings!$B$5:$B$9,MATCH($B434,Settings!$A$5:$A$9,0)),0)+IFERROR(INDEX(Settings!$E$5:$E$9,MATCH($B434,Settings!$A$5:$A$9,0)),0)+IFERROR(INDEX(Settings!$G$5:$G$9,MATCH($B434,Settings!$A$5:$A$9,0)),0))+(IFERROR(INDEX(Settings!$C$5:$C$9,MATCH($B434,Settings!$A$5:$A$9,0)),0)+IFERROR(INDEX(Settings!$F$5:$F$9,MATCH($B434,Settings!$A$5:$A$9,0)),0))/P434+IFERROR(INDEX(Settings!$D$5:$D$9,MATCH($B434,Settings!$A$5:$A$9,0)),0)*M434)</f>
        <v/>
      </c>
      <c r="W434" s="11">
        <f>IF(J434="","",IF(T434="",0,M434*INDEX(Products!$I$5:$I$204,T434)))</f>
        <v/>
      </c>
      <c r="X434" s="11">
        <f>IF(J434="","",IF(T434="",0,S434*INDEX(Products!$H$5:$H$204,T434)))</f>
        <v/>
      </c>
      <c r="Y434" s="11">
        <f>IF(J434="","",S434-V434-W434-X434)</f>
        <v/>
      </c>
    </row>
    <row r="435">
      <c r="A435" s="19" t="n"/>
      <c r="B435" s="19" t="n"/>
      <c r="C435" s="19" t="n"/>
      <c r="D435" s="19" t="n"/>
      <c r="E435" s="19" t="n"/>
      <c r="F435" s="20" t="n"/>
      <c r="G435" s="20" t="n"/>
      <c r="H435" s="20" t="n"/>
      <c r="I435" s="19" t="n"/>
      <c r="J435">
        <f>IFERROR(IF(C435="","",C435)&amp;"","")</f>
        <v/>
      </c>
      <c r="K435">
        <f>IFERROR(IF(D435="","",D435)&amp;"","")</f>
        <v/>
      </c>
      <c r="L435">
        <f>IFERROR(IF(I435="","",I435)&amp;"","")</f>
        <v/>
      </c>
      <c r="M435">
        <f>IF(J435="","",IFERROR(VALUE(SUBSTITUTE(SUBSTITUTE(IF(E435="","",E435)&amp;"","$",""),",","")),0))</f>
        <v/>
      </c>
      <c r="N435" s="11">
        <f>IF(J435="","",IFERROR(VALUE(SUBSTITUTE(SUBSTITUTE(IF(F435="","",F435)&amp;"","$",""),",","")),0))</f>
        <v/>
      </c>
      <c r="O435" s="11">
        <f>IF(J435="","",M435*N435)</f>
        <v/>
      </c>
      <c r="P435">
        <f>IF(J435="","",IF(L435="",1,COUNTIF($L$2:$L$1501,L435)))</f>
        <v/>
      </c>
      <c r="Q435" s="11">
        <f>IF(J435="","",IFERROR(VALUE(SUBSTITUTE(SUBSTITUTE(IF(G435="","",G435)&amp;"","$",""),",","")),0)/IF("No"="Yes",P435,1))</f>
        <v/>
      </c>
      <c r="R435" s="11">
        <f>IF(J435="","",IFERROR(VALUE(SUBSTITUTE(SUBSTITUTE(IF(H435="","",H435)&amp;"","$",""),",","")),0)/IF("No"="Yes",P435,1))</f>
        <v/>
      </c>
      <c r="S435" s="11">
        <f>IF(J435="","",O435+Q435-R435)</f>
        <v/>
      </c>
      <c r="T435">
        <f>IF(J435="","",IFERROR(IF(K435="",NA(),MATCH(K435,Products!$B$5:$B$204,0)),IFERROR(MATCH(J435,Products!$A$5:$A$204,0),"")))</f>
        <v/>
      </c>
      <c r="U435">
        <f>IF(J435="","",IF(T435="","⚠ not in Products",INDEX(Products!$A$5:$A$204,T435)))</f>
        <v/>
      </c>
      <c r="V435" s="11">
        <f>IF(J435="","",S435*(IFERROR(INDEX(Settings!$B$5:$B$9,MATCH($B435,Settings!$A$5:$A$9,0)),0)+IFERROR(INDEX(Settings!$E$5:$E$9,MATCH($B435,Settings!$A$5:$A$9,0)),0)+IFERROR(INDEX(Settings!$G$5:$G$9,MATCH($B435,Settings!$A$5:$A$9,0)),0))+(IFERROR(INDEX(Settings!$C$5:$C$9,MATCH($B435,Settings!$A$5:$A$9,0)),0)+IFERROR(INDEX(Settings!$F$5:$F$9,MATCH($B435,Settings!$A$5:$A$9,0)),0))/P435+IFERROR(INDEX(Settings!$D$5:$D$9,MATCH($B435,Settings!$A$5:$A$9,0)),0)*M435)</f>
        <v/>
      </c>
      <c r="W435" s="11">
        <f>IF(J435="","",IF(T435="",0,M435*INDEX(Products!$I$5:$I$204,T435)))</f>
        <v/>
      </c>
      <c r="X435" s="11">
        <f>IF(J435="","",IF(T435="",0,S435*INDEX(Products!$H$5:$H$204,T435)))</f>
        <v/>
      </c>
      <c r="Y435" s="11">
        <f>IF(J435="","",S435-V435-W435-X435)</f>
        <v/>
      </c>
    </row>
    <row r="436">
      <c r="A436" s="19" t="n"/>
      <c r="B436" s="19" t="n"/>
      <c r="C436" s="19" t="n"/>
      <c r="D436" s="19" t="n"/>
      <c r="E436" s="19" t="n"/>
      <c r="F436" s="20" t="n"/>
      <c r="G436" s="20" t="n"/>
      <c r="H436" s="20" t="n"/>
      <c r="I436" s="19" t="n"/>
      <c r="J436">
        <f>IFERROR(IF(C436="","",C436)&amp;"","")</f>
        <v/>
      </c>
      <c r="K436">
        <f>IFERROR(IF(D436="","",D436)&amp;"","")</f>
        <v/>
      </c>
      <c r="L436">
        <f>IFERROR(IF(I436="","",I436)&amp;"","")</f>
        <v/>
      </c>
      <c r="M436">
        <f>IF(J436="","",IFERROR(VALUE(SUBSTITUTE(SUBSTITUTE(IF(E436="","",E436)&amp;"","$",""),",","")),0))</f>
        <v/>
      </c>
      <c r="N436" s="11">
        <f>IF(J436="","",IFERROR(VALUE(SUBSTITUTE(SUBSTITUTE(IF(F436="","",F436)&amp;"","$",""),",","")),0))</f>
        <v/>
      </c>
      <c r="O436" s="11">
        <f>IF(J436="","",M436*N436)</f>
        <v/>
      </c>
      <c r="P436">
        <f>IF(J436="","",IF(L436="",1,COUNTIF($L$2:$L$1501,L436)))</f>
        <v/>
      </c>
      <c r="Q436" s="11">
        <f>IF(J436="","",IFERROR(VALUE(SUBSTITUTE(SUBSTITUTE(IF(G436="","",G436)&amp;"","$",""),",","")),0)/IF("No"="Yes",P436,1))</f>
        <v/>
      </c>
      <c r="R436" s="11">
        <f>IF(J436="","",IFERROR(VALUE(SUBSTITUTE(SUBSTITUTE(IF(H436="","",H436)&amp;"","$",""),",","")),0)/IF("No"="Yes",P436,1))</f>
        <v/>
      </c>
      <c r="S436" s="11">
        <f>IF(J436="","",O436+Q436-R436)</f>
        <v/>
      </c>
      <c r="T436">
        <f>IF(J436="","",IFERROR(IF(K436="",NA(),MATCH(K436,Products!$B$5:$B$204,0)),IFERROR(MATCH(J436,Products!$A$5:$A$204,0),"")))</f>
        <v/>
      </c>
      <c r="U436">
        <f>IF(J436="","",IF(T436="","⚠ not in Products",INDEX(Products!$A$5:$A$204,T436)))</f>
        <v/>
      </c>
      <c r="V436" s="11">
        <f>IF(J436="","",S436*(IFERROR(INDEX(Settings!$B$5:$B$9,MATCH($B436,Settings!$A$5:$A$9,0)),0)+IFERROR(INDEX(Settings!$E$5:$E$9,MATCH($B436,Settings!$A$5:$A$9,0)),0)+IFERROR(INDEX(Settings!$G$5:$G$9,MATCH($B436,Settings!$A$5:$A$9,0)),0))+(IFERROR(INDEX(Settings!$C$5:$C$9,MATCH($B436,Settings!$A$5:$A$9,0)),0)+IFERROR(INDEX(Settings!$F$5:$F$9,MATCH($B436,Settings!$A$5:$A$9,0)),0))/P436+IFERROR(INDEX(Settings!$D$5:$D$9,MATCH($B436,Settings!$A$5:$A$9,0)),0)*M436)</f>
        <v/>
      </c>
      <c r="W436" s="11">
        <f>IF(J436="","",IF(T436="",0,M436*INDEX(Products!$I$5:$I$204,T436)))</f>
        <v/>
      </c>
      <c r="X436" s="11">
        <f>IF(J436="","",IF(T436="",0,S436*INDEX(Products!$H$5:$H$204,T436)))</f>
        <v/>
      </c>
      <c r="Y436" s="11">
        <f>IF(J436="","",S436-V436-W436-X436)</f>
        <v/>
      </c>
    </row>
    <row r="437">
      <c r="A437" s="19" t="n"/>
      <c r="B437" s="19" t="n"/>
      <c r="C437" s="19" t="n"/>
      <c r="D437" s="19" t="n"/>
      <c r="E437" s="19" t="n"/>
      <c r="F437" s="20" t="n"/>
      <c r="G437" s="20" t="n"/>
      <c r="H437" s="20" t="n"/>
      <c r="I437" s="19" t="n"/>
      <c r="J437">
        <f>IFERROR(IF(C437="","",C437)&amp;"","")</f>
        <v/>
      </c>
      <c r="K437">
        <f>IFERROR(IF(D437="","",D437)&amp;"","")</f>
        <v/>
      </c>
      <c r="L437">
        <f>IFERROR(IF(I437="","",I437)&amp;"","")</f>
        <v/>
      </c>
      <c r="M437">
        <f>IF(J437="","",IFERROR(VALUE(SUBSTITUTE(SUBSTITUTE(IF(E437="","",E437)&amp;"","$",""),",","")),0))</f>
        <v/>
      </c>
      <c r="N437" s="11">
        <f>IF(J437="","",IFERROR(VALUE(SUBSTITUTE(SUBSTITUTE(IF(F437="","",F437)&amp;"","$",""),",","")),0))</f>
        <v/>
      </c>
      <c r="O437" s="11">
        <f>IF(J437="","",M437*N437)</f>
        <v/>
      </c>
      <c r="P437">
        <f>IF(J437="","",IF(L437="",1,COUNTIF($L$2:$L$1501,L437)))</f>
        <v/>
      </c>
      <c r="Q437" s="11">
        <f>IF(J437="","",IFERROR(VALUE(SUBSTITUTE(SUBSTITUTE(IF(G437="","",G437)&amp;"","$",""),",","")),0)/IF("No"="Yes",P437,1))</f>
        <v/>
      </c>
      <c r="R437" s="11">
        <f>IF(J437="","",IFERROR(VALUE(SUBSTITUTE(SUBSTITUTE(IF(H437="","",H437)&amp;"","$",""),",","")),0)/IF("No"="Yes",P437,1))</f>
        <v/>
      </c>
      <c r="S437" s="11">
        <f>IF(J437="","",O437+Q437-R437)</f>
        <v/>
      </c>
      <c r="T437">
        <f>IF(J437="","",IFERROR(IF(K437="",NA(),MATCH(K437,Products!$B$5:$B$204,0)),IFERROR(MATCH(J437,Products!$A$5:$A$204,0),"")))</f>
        <v/>
      </c>
      <c r="U437">
        <f>IF(J437="","",IF(T437="","⚠ not in Products",INDEX(Products!$A$5:$A$204,T437)))</f>
        <v/>
      </c>
      <c r="V437" s="11">
        <f>IF(J437="","",S437*(IFERROR(INDEX(Settings!$B$5:$B$9,MATCH($B437,Settings!$A$5:$A$9,0)),0)+IFERROR(INDEX(Settings!$E$5:$E$9,MATCH($B437,Settings!$A$5:$A$9,0)),0)+IFERROR(INDEX(Settings!$G$5:$G$9,MATCH($B437,Settings!$A$5:$A$9,0)),0))+(IFERROR(INDEX(Settings!$C$5:$C$9,MATCH($B437,Settings!$A$5:$A$9,0)),0)+IFERROR(INDEX(Settings!$F$5:$F$9,MATCH($B437,Settings!$A$5:$A$9,0)),0))/P437+IFERROR(INDEX(Settings!$D$5:$D$9,MATCH($B437,Settings!$A$5:$A$9,0)),0)*M437)</f>
        <v/>
      </c>
      <c r="W437" s="11">
        <f>IF(J437="","",IF(T437="",0,M437*INDEX(Products!$I$5:$I$204,T437)))</f>
        <v/>
      </c>
      <c r="X437" s="11">
        <f>IF(J437="","",IF(T437="",0,S437*INDEX(Products!$H$5:$H$204,T437)))</f>
        <v/>
      </c>
      <c r="Y437" s="11">
        <f>IF(J437="","",S437-V437-W437-X437)</f>
        <v/>
      </c>
    </row>
    <row r="438">
      <c r="A438" s="19" t="n"/>
      <c r="B438" s="19" t="n"/>
      <c r="C438" s="19" t="n"/>
      <c r="D438" s="19" t="n"/>
      <c r="E438" s="19" t="n"/>
      <c r="F438" s="20" t="n"/>
      <c r="G438" s="20" t="n"/>
      <c r="H438" s="20" t="n"/>
      <c r="I438" s="19" t="n"/>
      <c r="J438">
        <f>IFERROR(IF(C438="","",C438)&amp;"","")</f>
        <v/>
      </c>
      <c r="K438">
        <f>IFERROR(IF(D438="","",D438)&amp;"","")</f>
        <v/>
      </c>
      <c r="L438">
        <f>IFERROR(IF(I438="","",I438)&amp;"","")</f>
        <v/>
      </c>
      <c r="M438">
        <f>IF(J438="","",IFERROR(VALUE(SUBSTITUTE(SUBSTITUTE(IF(E438="","",E438)&amp;"","$",""),",","")),0))</f>
        <v/>
      </c>
      <c r="N438" s="11">
        <f>IF(J438="","",IFERROR(VALUE(SUBSTITUTE(SUBSTITUTE(IF(F438="","",F438)&amp;"","$",""),",","")),0))</f>
        <v/>
      </c>
      <c r="O438" s="11">
        <f>IF(J438="","",M438*N438)</f>
        <v/>
      </c>
      <c r="P438">
        <f>IF(J438="","",IF(L438="",1,COUNTIF($L$2:$L$1501,L438)))</f>
        <v/>
      </c>
      <c r="Q438" s="11">
        <f>IF(J438="","",IFERROR(VALUE(SUBSTITUTE(SUBSTITUTE(IF(G438="","",G438)&amp;"","$",""),",","")),0)/IF("No"="Yes",P438,1))</f>
        <v/>
      </c>
      <c r="R438" s="11">
        <f>IF(J438="","",IFERROR(VALUE(SUBSTITUTE(SUBSTITUTE(IF(H438="","",H438)&amp;"","$",""),",","")),0)/IF("No"="Yes",P438,1))</f>
        <v/>
      </c>
      <c r="S438" s="11">
        <f>IF(J438="","",O438+Q438-R438)</f>
        <v/>
      </c>
      <c r="T438">
        <f>IF(J438="","",IFERROR(IF(K438="",NA(),MATCH(K438,Products!$B$5:$B$204,0)),IFERROR(MATCH(J438,Products!$A$5:$A$204,0),"")))</f>
        <v/>
      </c>
      <c r="U438">
        <f>IF(J438="","",IF(T438="","⚠ not in Products",INDEX(Products!$A$5:$A$204,T438)))</f>
        <v/>
      </c>
      <c r="V438" s="11">
        <f>IF(J438="","",S438*(IFERROR(INDEX(Settings!$B$5:$B$9,MATCH($B438,Settings!$A$5:$A$9,0)),0)+IFERROR(INDEX(Settings!$E$5:$E$9,MATCH($B438,Settings!$A$5:$A$9,0)),0)+IFERROR(INDEX(Settings!$G$5:$G$9,MATCH($B438,Settings!$A$5:$A$9,0)),0))+(IFERROR(INDEX(Settings!$C$5:$C$9,MATCH($B438,Settings!$A$5:$A$9,0)),0)+IFERROR(INDEX(Settings!$F$5:$F$9,MATCH($B438,Settings!$A$5:$A$9,0)),0))/P438+IFERROR(INDEX(Settings!$D$5:$D$9,MATCH($B438,Settings!$A$5:$A$9,0)),0)*M438)</f>
        <v/>
      </c>
      <c r="W438" s="11">
        <f>IF(J438="","",IF(T438="",0,M438*INDEX(Products!$I$5:$I$204,T438)))</f>
        <v/>
      </c>
      <c r="X438" s="11">
        <f>IF(J438="","",IF(T438="",0,S438*INDEX(Products!$H$5:$H$204,T438)))</f>
        <v/>
      </c>
      <c r="Y438" s="11">
        <f>IF(J438="","",S438-V438-W438-X438)</f>
        <v/>
      </c>
    </row>
    <row r="439">
      <c r="A439" s="19" t="n"/>
      <c r="B439" s="19" t="n"/>
      <c r="C439" s="19" t="n"/>
      <c r="D439" s="19" t="n"/>
      <c r="E439" s="19" t="n"/>
      <c r="F439" s="20" t="n"/>
      <c r="G439" s="20" t="n"/>
      <c r="H439" s="20" t="n"/>
      <c r="I439" s="19" t="n"/>
      <c r="J439">
        <f>IFERROR(IF(C439="","",C439)&amp;"","")</f>
        <v/>
      </c>
      <c r="K439">
        <f>IFERROR(IF(D439="","",D439)&amp;"","")</f>
        <v/>
      </c>
      <c r="L439">
        <f>IFERROR(IF(I439="","",I439)&amp;"","")</f>
        <v/>
      </c>
      <c r="M439">
        <f>IF(J439="","",IFERROR(VALUE(SUBSTITUTE(SUBSTITUTE(IF(E439="","",E439)&amp;"","$",""),",","")),0))</f>
        <v/>
      </c>
      <c r="N439" s="11">
        <f>IF(J439="","",IFERROR(VALUE(SUBSTITUTE(SUBSTITUTE(IF(F439="","",F439)&amp;"","$",""),",","")),0))</f>
        <v/>
      </c>
      <c r="O439" s="11">
        <f>IF(J439="","",M439*N439)</f>
        <v/>
      </c>
      <c r="P439">
        <f>IF(J439="","",IF(L439="",1,COUNTIF($L$2:$L$1501,L439)))</f>
        <v/>
      </c>
      <c r="Q439" s="11">
        <f>IF(J439="","",IFERROR(VALUE(SUBSTITUTE(SUBSTITUTE(IF(G439="","",G439)&amp;"","$",""),",","")),0)/IF("No"="Yes",P439,1))</f>
        <v/>
      </c>
      <c r="R439" s="11">
        <f>IF(J439="","",IFERROR(VALUE(SUBSTITUTE(SUBSTITUTE(IF(H439="","",H439)&amp;"","$",""),",","")),0)/IF("No"="Yes",P439,1))</f>
        <v/>
      </c>
      <c r="S439" s="11">
        <f>IF(J439="","",O439+Q439-R439)</f>
        <v/>
      </c>
      <c r="T439">
        <f>IF(J439="","",IFERROR(IF(K439="",NA(),MATCH(K439,Products!$B$5:$B$204,0)),IFERROR(MATCH(J439,Products!$A$5:$A$204,0),"")))</f>
        <v/>
      </c>
      <c r="U439">
        <f>IF(J439="","",IF(T439="","⚠ not in Products",INDEX(Products!$A$5:$A$204,T439)))</f>
        <v/>
      </c>
      <c r="V439" s="11">
        <f>IF(J439="","",S439*(IFERROR(INDEX(Settings!$B$5:$B$9,MATCH($B439,Settings!$A$5:$A$9,0)),0)+IFERROR(INDEX(Settings!$E$5:$E$9,MATCH($B439,Settings!$A$5:$A$9,0)),0)+IFERROR(INDEX(Settings!$G$5:$G$9,MATCH($B439,Settings!$A$5:$A$9,0)),0))+(IFERROR(INDEX(Settings!$C$5:$C$9,MATCH($B439,Settings!$A$5:$A$9,0)),0)+IFERROR(INDEX(Settings!$F$5:$F$9,MATCH($B439,Settings!$A$5:$A$9,0)),0))/P439+IFERROR(INDEX(Settings!$D$5:$D$9,MATCH($B439,Settings!$A$5:$A$9,0)),0)*M439)</f>
        <v/>
      </c>
      <c r="W439" s="11">
        <f>IF(J439="","",IF(T439="",0,M439*INDEX(Products!$I$5:$I$204,T439)))</f>
        <v/>
      </c>
      <c r="X439" s="11">
        <f>IF(J439="","",IF(T439="",0,S439*INDEX(Products!$H$5:$H$204,T439)))</f>
        <v/>
      </c>
      <c r="Y439" s="11">
        <f>IF(J439="","",S439-V439-W439-X439)</f>
        <v/>
      </c>
    </row>
    <row r="440">
      <c r="A440" s="19" t="n"/>
      <c r="B440" s="19" t="n"/>
      <c r="C440" s="19" t="n"/>
      <c r="D440" s="19" t="n"/>
      <c r="E440" s="19" t="n"/>
      <c r="F440" s="20" t="n"/>
      <c r="G440" s="20" t="n"/>
      <c r="H440" s="20" t="n"/>
      <c r="I440" s="19" t="n"/>
      <c r="J440">
        <f>IFERROR(IF(C440="","",C440)&amp;"","")</f>
        <v/>
      </c>
      <c r="K440">
        <f>IFERROR(IF(D440="","",D440)&amp;"","")</f>
        <v/>
      </c>
      <c r="L440">
        <f>IFERROR(IF(I440="","",I440)&amp;"","")</f>
        <v/>
      </c>
      <c r="M440">
        <f>IF(J440="","",IFERROR(VALUE(SUBSTITUTE(SUBSTITUTE(IF(E440="","",E440)&amp;"","$",""),",","")),0))</f>
        <v/>
      </c>
      <c r="N440" s="11">
        <f>IF(J440="","",IFERROR(VALUE(SUBSTITUTE(SUBSTITUTE(IF(F440="","",F440)&amp;"","$",""),",","")),0))</f>
        <v/>
      </c>
      <c r="O440" s="11">
        <f>IF(J440="","",M440*N440)</f>
        <v/>
      </c>
      <c r="P440">
        <f>IF(J440="","",IF(L440="",1,COUNTIF($L$2:$L$1501,L440)))</f>
        <v/>
      </c>
      <c r="Q440" s="11">
        <f>IF(J440="","",IFERROR(VALUE(SUBSTITUTE(SUBSTITUTE(IF(G440="","",G440)&amp;"","$",""),",","")),0)/IF("No"="Yes",P440,1))</f>
        <v/>
      </c>
      <c r="R440" s="11">
        <f>IF(J440="","",IFERROR(VALUE(SUBSTITUTE(SUBSTITUTE(IF(H440="","",H440)&amp;"","$",""),",","")),0)/IF("No"="Yes",P440,1))</f>
        <v/>
      </c>
      <c r="S440" s="11">
        <f>IF(J440="","",O440+Q440-R440)</f>
        <v/>
      </c>
      <c r="T440">
        <f>IF(J440="","",IFERROR(IF(K440="",NA(),MATCH(K440,Products!$B$5:$B$204,0)),IFERROR(MATCH(J440,Products!$A$5:$A$204,0),"")))</f>
        <v/>
      </c>
      <c r="U440">
        <f>IF(J440="","",IF(T440="","⚠ not in Products",INDEX(Products!$A$5:$A$204,T440)))</f>
        <v/>
      </c>
      <c r="V440" s="11">
        <f>IF(J440="","",S440*(IFERROR(INDEX(Settings!$B$5:$B$9,MATCH($B440,Settings!$A$5:$A$9,0)),0)+IFERROR(INDEX(Settings!$E$5:$E$9,MATCH($B440,Settings!$A$5:$A$9,0)),0)+IFERROR(INDEX(Settings!$G$5:$G$9,MATCH($B440,Settings!$A$5:$A$9,0)),0))+(IFERROR(INDEX(Settings!$C$5:$C$9,MATCH($B440,Settings!$A$5:$A$9,0)),0)+IFERROR(INDEX(Settings!$F$5:$F$9,MATCH($B440,Settings!$A$5:$A$9,0)),0))/P440+IFERROR(INDEX(Settings!$D$5:$D$9,MATCH($B440,Settings!$A$5:$A$9,0)),0)*M440)</f>
        <v/>
      </c>
      <c r="W440" s="11">
        <f>IF(J440="","",IF(T440="",0,M440*INDEX(Products!$I$5:$I$204,T440)))</f>
        <v/>
      </c>
      <c r="X440" s="11">
        <f>IF(J440="","",IF(T440="",0,S440*INDEX(Products!$H$5:$H$204,T440)))</f>
        <v/>
      </c>
      <c r="Y440" s="11">
        <f>IF(J440="","",S440-V440-W440-X440)</f>
        <v/>
      </c>
    </row>
    <row r="441">
      <c r="A441" s="19" t="n"/>
      <c r="B441" s="19" t="n"/>
      <c r="C441" s="19" t="n"/>
      <c r="D441" s="19" t="n"/>
      <c r="E441" s="19" t="n"/>
      <c r="F441" s="20" t="n"/>
      <c r="G441" s="20" t="n"/>
      <c r="H441" s="20" t="n"/>
      <c r="I441" s="19" t="n"/>
      <c r="J441">
        <f>IFERROR(IF(C441="","",C441)&amp;"","")</f>
        <v/>
      </c>
      <c r="K441">
        <f>IFERROR(IF(D441="","",D441)&amp;"","")</f>
        <v/>
      </c>
      <c r="L441">
        <f>IFERROR(IF(I441="","",I441)&amp;"","")</f>
        <v/>
      </c>
      <c r="M441">
        <f>IF(J441="","",IFERROR(VALUE(SUBSTITUTE(SUBSTITUTE(IF(E441="","",E441)&amp;"","$",""),",","")),0))</f>
        <v/>
      </c>
      <c r="N441" s="11">
        <f>IF(J441="","",IFERROR(VALUE(SUBSTITUTE(SUBSTITUTE(IF(F441="","",F441)&amp;"","$",""),",","")),0))</f>
        <v/>
      </c>
      <c r="O441" s="11">
        <f>IF(J441="","",M441*N441)</f>
        <v/>
      </c>
      <c r="P441">
        <f>IF(J441="","",IF(L441="",1,COUNTIF($L$2:$L$1501,L441)))</f>
        <v/>
      </c>
      <c r="Q441" s="11">
        <f>IF(J441="","",IFERROR(VALUE(SUBSTITUTE(SUBSTITUTE(IF(G441="","",G441)&amp;"","$",""),",","")),0)/IF("No"="Yes",P441,1))</f>
        <v/>
      </c>
      <c r="R441" s="11">
        <f>IF(J441="","",IFERROR(VALUE(SUBSTITUTE(SUBSTITUTE(IF(H441="","",H441)&amp;"","$",""),",","")),0)/IF("No"="Yes",P441,1))</f>
        <v/>
      </c>
      <c r="S441" s="11">
        <f>IF(J441="","",O441+Q441-R441)</f>
        <v/>
      </c>
      <c r="T441">
        <f>IF(J441="","",IFERROR(IF(K441="",NA(),MATCH(K441,Products!$B$5:$B$204,0)),IFERROR(MATCH(J441,Products!$A$5:$A$204,0),"")))</f>
        <v/>
      </c>
      <c r="U441">
        <f>IF(J441="","",IF(T441="","⚠ not in Products",INDEX(Products!$A$5:$A$204,T441)))</f>
        <v/>
      </c>
      <c r="V441" s="11">
        <f>IF(J441="","",S441*(IFERROR(INDEX(Settings!$B$5:$B$9,MATCH($B441,Settings!$A$5:$A$9,0)),0)+IFERROR(INDEX(Settings!$E$5:$E$9,MATCH($B441,Settings!$A$5:$A$9,0)),0)+IFERROR(INDEX(Settings!$G$5:$G$9,MATCH($B441,Settings!$A$5:$A$9,0)),0))+(IFERROR(INDEX(Settings!$C$5:$C$9,MATCH($B441,Settings!$A$5:$A$9,0)),0)+IFERROR(INDEX(Settings!$F$5:$F$9,MATCH($B441,Settings!$A$5:$A$9,0)),0))/P441+IFERROR(INDEX(Settings!$D$5:$D$9,MATCH($B441,Settings!$A$5:$A$9,0)),0)*M441)</f>
        <v/>
      </c>
      <c r="W441" s="11">
        <f>IF(J441="","",IF(T441="",0,M441*INDEX(Products!$I$5:$I$204,T441)))</f>
        <v/>
      </c>
      <c r="X441" s="11">
        <f>IF(J441="","",IF(T441="",0,S441*INDEX(Products!$H$5:$H$204,T441)))</f>
        <v/>
      </c>
      <c r="Y441" s="11">
        <f>IF(J441="","",S441-V441-W441-X441)</f>
        <v/>
      </c>
    </row>
    <row r="442">
      <c r="A442" s="19" t="n"/>
      <c r="B442" s="19" t="n"/>
      <c r="C442" s="19" t="n"/>
      <c r="D442" s="19" t="n"/>
      <c r="E442" s="19" t="n"/>
      <c r="F442" s="20" t="n"/>
      <c r="G442" s="20" t="n"/>
      <c r="H442" s="20" t="n"/>
      <c r="I442" s="19" t="n"/>
      <c r="J442">
        <f>IFERROR(IF(C442="","",C442)&amp;"","")</f>
        <v/>
      </c>
      <c r="K442">
        <f>IFERROR(IF(D442="","",D442)&amp;"","")</f>
        <v/>
      </c>
      <c r="L442">
        <f>IFERROR(IF(I442="","",I442)&amp;"","")</f>
        <v/>
      </c>
      <c r="M442">
        <f>IF(J442="","",IFERROR(VALUE(SUBSTITUTE(SUBSTITUTE(IF(E442="","",E442)&amp;"","$",""),",","")),0))</f>
        <v/>
      </c>
      <c r="N442" s="11">
        <f>IF(J442="","",IFERROR(VALUE(SUBSTITUTE(SUBSTITUTE(IF(F442="","",F442)&amp;"","$",""),",","")),0))</f>
        <v/>
      </c>
      <c r="O442" s="11">
        <f>IF(J442="","",M442*N442)</f>
        <v/>
      </c>
      <c r="P442">
        <f>IF(J442="","",IF(L442="",1,COUNTIF($L$2:$L$1501,L442)))</f>
        <v/>
      </c>
      <c r="Q442" s="11">
        <f>IF(J442="","",IFERROR(VALUE(SUBSTITUTE(SUBSTITUTE(IF(G442="","",G442)&amp;"","$",""),",","")),0)/IF("No"="Yes",P442,1))</f>
        <v/>
      </c>
      <c r="R442" s="11">
        <f>IF(J442="","",IFERROR(VALUE(SUBSTITUTE(SUBSTITUTE(IF(H442="","",H442)&amp;"","$",""),",","")),0)/IF("No"="Yes",P442,1))</f>
        <v/>
      </c>
      <c r="S442" s="11">
        <f>IF(J442="","",O442+Q442-R442)</f>
        <v/>
      </c>
      <c r="T442">
        <f>IF(J442="","",IFERROR(IF(K442="",NA(),MATCH(K442,Products!$B$5:$B$204,0)),IFERROR(MATCH(J442,Products!$A$5:$A$204,0),"")))</f>
        <v/>
      </c>
      <c r="U442">
        <f>IF(J442="","",IF(T442="","⚠ not in Products",INDEX(Products!$A$5:$A$204,T442)))</f>
        <v/>
      </c>
      <c r="V442" s="11">
        <f>IF(J442="","",S442*(IFERROR(INDEX(Settings!$B$5:$B$9,MATCH($B442,Settings!$A$5:$A$9,0)),0)+IFERROR(INDEX(Settings!$E$5:$E$9,MATCH($B442,Settings!$A$5:$A$9,0)),0)+IFERROR(INDEX(Settings!$G$5:$G$9,MATCH($B442,Settings!$A$5:$A$9,0)),0))+(IFERROR(INDEX(Settings!$C$5:$C$9,MATCH($B442,Settings!$A$5:$A$9,0)),0)+IFERROR(INDEX(Settings!$F$5:$F$9,MATCH($B442,Settings!$A$5:$A$9,0)),0))/P442+IFERROR(INDEX(Settings!$D$5:$D$9,MATCH($B442,Settings!$A$5:$A$9,0)),0)*M442)</f>
        <v/>
      </c>
      <c r="W442" s="11">
        <f>IF(J442="","",IF(T442="",0,M442*INDEX(Products!$I$5:$I$204,T442)))</f>
        <v/>
      </c>
      <c r="X442" s="11">
        <f>IF(J442="","",IF(T442="",0,S442*INDEX(Products!$H$5:$H$204,T442)))</f>
        <v/>
      </c>
      <c r="Y442" s="11">
        <f>IF(J442="","",S442-V442-W442-X442)</f>
        <v/>
      </c>
    </row>
    <row r="443">
      <c r="A443" s="19" t="n"/>
      <c r="B443" s="19" t="n"/>
      <c r="C443" s="19" t="n"/>
      <c r="D443" s="19" t="n"/>
      <c r="E443" s="19" t="n"/>
      <c r="F443" s="20" t="n"/>
      <c r="G443" s="20" t="n"/>
      <c r="H443" s="20" t="n"/>
      <c r="I443" s="19" t="n"/>
      <c r="J443">
        <f>IFERROR(IF(C443="","",C443)&amp;"","")</f>
        <v/>
      </c>
      <c r="K443">
        <f>IFERROR(IF(D443="","",D443)&amp;"","")</f>
        <v/>
      </c>
      <c r="L443">
        <f>IFERROR(IF(I443="","",I443)&amp;"","")</f>
        <v/>
      </c>
      <c r="M443">
        <f>IF(J443="","",IFERROR(VALUE(SUBSTITUTE(SUBSTITUTE(IF(E443="","",E443)&amp;"","$",""),",","")),0))</f>
        <v/>
      </c>
      <c r="N443" s="11">
        <f>IF(J443="","",IFERROR(VALUE(SUBSTITUTE(SUBSTITUTE(IF(F443="","",F443)&amp;"","$",""),",","")),0))</f>
        <v/>
      </c>
      <c r="O443" s="11">
        <f>IF(J443="","",M443*N443)</f>
        <v/>
      </c>
      <c r="P443">
        <f>IF(J443="","",IF(L443="",1,COUNTIF($L$2:$L$1501,L443)))</f>
        <v/>
      </c>
      <c r="Q443" s="11">
        <f>IF(J443="","",IFERROR(VALUE(SUBSTITUTE(SUBSTITUTE(IF(G443="","",G443)&amp;"","$",""),",","")),0)/IF("No"="Yes",P443,1))</f>
        <v/>
      </c>
      <c r="R443" s="11">
        <f>IF(J443="","",IFERROR(VALUE(SUBSTITUTE(SUBSTITUTE(IF(H443="","",H443)&amp;"","$",""),",","")),0)/IF("No"="Yes",P443,1))</f>
        <v/>
      </c>
      <c r="S443" s="11">
        <f>IF(J443="","",O443+Q443-R443)</f>
        <v/>
      </c>
      <c r="T443">
        <f>IF(J443="","",IFERROR(IF(K443="",NA(),MATCH(K443,Products!$B$5:$B$204,0)),IFERROR(MATCH(J443,Products!$A$5:$A$204,0),"")))</f>
        <v/>
      </c>
      <c r="U443">
        <f>IF(J443="","",IF(T443="","⚠ not in Products",INDEX(Products!$A$5:$A$204,T443)))</f>
        <v/>
      </c>
      <c r="V443" s="11">
        <f>IF(J443="","",S443*(IFERROR(INDEX(Settings!$B$5:$B$9,MATCH($B443,Settings!$A$5:$A$9,0)),0)+IFERROR(INDEX(Settings!$E$5:$E$9,MATCH($B443,Settings!$A$5:$A$9,0)),0)+IFERROR(INDEX(Settings!$G$5:$G$9,MATCH($B443,Settings!$A$5:$A$9,0)),0))+(IFERROR(INDEX(Settings!$C$5:$C$9,MATCH($B443,Settings!$A$5:$A$9,0)),0)+IFERROR(INDEX(Settings!$F$5:$F$9,MATCH($B443,Settings!$A$5:$A$9,0)),0))/P443+IFERROR(INDEX(Settings!$D$5:$D$9,MATCH($B443,Settings!$A$5:$A$9,0)),0)*M443)</f>
        <v/>
      </c>
      <c r="W443" s="11">
        <f>IF(J443="","",IF(T443="",0,M443*INDEX(Products!$I$5:$I$204,T443)))</f>
        <v/>
      </c>
      <c r="X443" s="11">
        <f>IF(J443="","",IF(T443="",0,S443*INDEX(Products!$H$5:$H$204,T443)))</f>
        <v/>
      </c>
      <c r="Y443" s="11">
        <f>IF(J443="","",S443-V443-W443-X443)</f>
        <v/>
      </c>
    </row>
    <row r="444">
      <c r="A444" s="19" t="n"/>
      <c r="B444" s="19" t="n"/>
      <c r="C444" s="19" t="n"/>
      <c r="D444" s="19" t="n"/>
      <c r="E444" s="19" t="n"/>
      <c r="F444" s="20" t="n"/>
      <c r="G444" s="20" t="n"/>
      <c r="H444" s="20" t="n"/>
      <c r="I444" s="19" t="n"/>
      <c r="J444">
        <f>IFERROR(IF(C444="","",C444)&amp;"","")</f>
        <v/>
      </c>
      <c r="K444">
        <f>IFERROR(IF(D444="","",D444)&amp;"","")</f>
        <v/>
      </c>
      <c r="L444">
        <f>IFERROR(IF(I444="","",I444)&amp;"","")</f>
        <v/>
      </c>
      <c r="M444">
        <f>IF(J444="","",IFERROR(VALUE(SUBSTITUTE(SUBSTITUTE(IF(E444="","",E444)&amp;"","$",""),",","")),0))</f>
        <v/>
      </c>
      <c r="N444" s="11">
        <f>IF(J444="","",IFERROR(VALUE(SUBSTITUTE(SUBSTITUTE(IF(F444="","",F444)&amp;"","$",""),",","")),0))</f>
        <v/>
      </c>
      <c r="O444" s="11">
        <f>IF(J444="","",M444*N444)</f>
        <v/>
      </c>
      <c r="P444">
        <f>IF(J444="","",IF(L444="",1,COUNTIF($L$2:$L$1501,L444)))</f>
        <v/>
      </c>
      <c r="Q444" s="11">
        <f>IF(J444="","",IFERROR(VALUE(SUBSTITUTE(SUBSTITUTE(IF(G444="","",G444)&amp;"","$",""),",","")),0)/IF("No"="Yes",P444,1))</f>
        <v/>
      </c>
      <c r="R444" s="11">
        <f>IF(J444="","",IFERROR(VALUE(SUBSTITUTE(SUBSTITUTE(IF(H444="","",H444)&amp;"","$",""),",","")),0)/IF("No"="Yes",P444,1))</f>
        <v/>
      </c>
      <c r="S444" s="11">
        <f>IF(J444="","",O444+Q444-R444)</f>
        <v/>
      </c>
      <c r="T444">
        <f>IF(J444="","",IFERROR(IF(K444="",NA(),MATCH(K444,Products!$B$5:$B$204,0)),IFERROR(MATCH(J444,Products!$A$5:$A$204,0),"")))</f>
        <v/>
      </c>
      <c r="U444">
        <f>IF(J444="","",IF(T444="","⚠ not in Products",INDEX(Products!$A$5:$A$204,T444)))</f>
        <v/>
      </c>
      <c r="V444" s="11">
        <f>IF(J444="","",S444*(IFERROR(INDEX(Settings!$B$5:$B$9,MATCH($B444,Settings!$A$5:$A$9,0)),0)+IFERROR(INDEX(Settings!$E$5:$E$9,MATCH($B444,Settings!$A$5:$A$9,0)),0)+IFERROR(INDEX(Settings!$G$5:$G$9,MATCH($B444,Settings!$A$5:$A$9,0)),0))+(IFERROR(INDEX(Settings!$C$5:$C$9,MATCH($B444,Settings!$A$5:$A$9,0)),0)+IFERROR(INDEX(Settings!$F$5:$F$9,MATCH($B444,Settings!$A$5:$A$9,0)),0))/P444+IFERROR(INDEX(Settings!$D$5:$D$9,MATCH($B444,Settings!$A$5:$A$9,0)),0)*M444)</f>
        <v/>
      </c>
      <c r="W444" s="11">
        <f>IF(J444="","",IF(T444="",0,M444*INDEX(Products!$I$5:$I$204,T444)))</f>
        <v/>
      </c>
      <c r="X444" s="11">
        <f>IF(J444="","",IF(T444="",0,S444*INDEX(Products!$H$5:$H$204,T444)))</f>
        <v/>
      </c>
      <c r="Y444" s="11">
        <f>IF(J444="","",S444-V444-W444-X444)</f>
        <v/>
      </c>
    </row>
    <row r="445">
      <c r="A445" s="19" t="n"/>
      <c r="B445" s="19" t="n"/>
      <c r="C445" s="19" t="n"/>
      <c r="D445" s="19" t="n"/>
      <c r="E445" s="19" t="n"/>
      <c r="F445" s="20" t="n"/>
      <c r="G445" s="20" t="n"/>
      <c r="H445" s="20" t="n"/>
      <c r="I445" s="19" t="n"/>
      <c r="J445">
        <f>IFERROR(IF(C445="","",C445)&amp;"","")</f>
        <v/>
      </c>
      <c r="K445">
        <f>IFERROR(IF(D445="","",D445)&amp;"","")</f>
        <v/>
      </c>
      <c r="L445">
        <f>IFERROR(IF(I445="","",I445)&amp;"","")</f>
        <v/>
      </c>
      <c r="M445">
        <f>IF(J445="","",IFERROR(VALUE(SUBSTITUTE(SUBSTITUTE(IF(E445="","",E445)&amp;"","$",""),",","")),0))</f>
        <v/>
      </c>
      <c r="N445" s="11">
        <f>IF(J445="","",IFERROR(VALUE(SUBSTITUTE(SUBSTITUTE(IF(F445="","",F445)&amp;"","$",""),",","")),0))</f>
        <v/>
      </c>
      <c r="O445" s="11">
        <f>IF(J445="","",M445*N445)</f>
        <v/>
      </c>
      <c r="P445">
        <f>IF(J445="","",IF(L445="",1,COUNTIF($L$2:$L$1501,L445)))</f>
        <v/>
      </c>
      <c r="Q445" s="11">
        <f>IF(J445="","",IFERROR(VALUE(SUBSTITUTE(SUBSTITUTE(IF(G445="","",G445)&amp;"","$",""),",","")),0)/IF("No"="Yes",P445,1))</f>
        <v/>
      </c>
      <c r="R445" s="11">
        <f>IF(J445="","",IFERROR(VALUE(SUBSTITUTE(SUBSTITUTE(IF(H445="","",H445)&amp;"","$",""),",","")),0)/IF("No"="Yes",P445,1))</f>
        <v/>
      </c>
      <c r="S445" s="11">
        <f>IF(J445="","",O445+Q445-R445)</f>
        <v/>
      </c>
      <c r="T445">
        <f>IF(J445="","",IFERROR(IF(K445="",NA(),MATCH(K445,Products!$B$5:$B$204,0)),IFERROR(MATCH(J445,Products!$A$5:$A$204,0),"")))</f>
        <v/>
      </c>
      <c r="U445">
        <f>IF(J445="","",IF(T445="","⚠ not in Products",INDEX(Products!$A$5:$A$204,T445)))</f>
        <v/>
      </c>
      <c r="V445" s="11">
        <f>IF(J445="","",S445*(IFERROR(INDEX(Settings!$B$5:$B$9,MATCH($B445,Settings!$A$5:$A$9,0)),0)+IFERROR(INDEX(Settings!$E$5:$E$9,MATCH($B445,Settings!$A$5:$A$9,0)),0)+IFERROR(INDEX(Settings!$G$5:$G$9,MATCH($B445,Settings!$A$5:$A$9,0)),0))+(IFERROR(INDEX(Settings!$C$5:$C$9,MATCH($B445,Settings!$A$5:$A$9,0)),0)+IFERROR(INDEX(Settings!$F$5:$F$9,MATCH($B445,Settings!$A$5:$A$9,0)),0))/P445+IFERROR(INDEX(Settings!$D$5:$D$9,MATCH($B445,Settings!$A$5:$A$9,0)),0)*M445)</f>
        <v/>
      </c>
      <c r="W445" s="11">
        <f>IF(J445="","",IF(T445="",0,M445*INDEX(Products!$I$5:$I$204,T445)))</f>
        <v/>
      </c>
      <c r="X445" s="11">
        <f>IF(J445="","",IF(T445="",0,S445*INDEX(Products!$H$5:$H$204,T445)))</f>
        <v/>
      </c>
      <c r="Y445" s="11">
        <f>IF(J445="","",S445-V445-W445-X445)</f>
        <v/>
      </c>
    </row>
    <row r="446">
      <c r="A446" s="19" t="n"/>
      <c r="B446" s="19" t="n"/>
      <c r="C446" s="19" t="n"/>
      <c r="D446" s="19" t="n"/>
      <c r="E446" s="19" t="n"/>
      <c r="F446" s="20" t="n"/>
      <c r="G446" s="20" t="n"/>
      <c r="H446" s="20" t="n"/>
      <c r="I446" s="19" t="n"/>
      <c r="J446">
        <f>IFERROR(IF(C446="","",C446)&amp;"","")</f>
        <v/>
      </c>
      <c r="K446">
        <f>IFERROR(IF(D446="","",D446)&amp;"","")</f>
        <v/>
      </c>
      <c r="L446">
        <f>IFERROR(IF(I446="","",I446)&amp;"","")</f>
        <v/>
      </c>
      <c r="M446">
        <f>IF(J446="","",IFERROR(VALUE(SUBSTITUTE(SUBSTITUTE(IF(E446="","",E446)&amp;"","$",""),",","")),0))</f>
        <v/>
      </c>
      <c r="N446" s="11">
        <f>IF(J446="","",IFERROR(VALUE(SUBSTITUTE(SUBSTITUTE(IF(F446="","",F446)&amp;"","$",""),",","")),0))</f>
        <v/>
      </c>
      <c r="O446" s="11">
        <f>IF(J446="","",M446*N446)</f>
        <v/>
      </c>
      <c r="P446">
        <f>IF(J446="","",IF(L446="",1,COUNTIF($L$2:$L$1501,L446)))</f>
        <v/>
      </c>
      <c r="Q446" s="11">
        <f>IF(J446="","",IFERROR(VALUE(SUBSTITUTE(SUBSTITUTE(IF(G446="","",G446)&amp;"","$",""),",","")),0)/IF("No"="Yes",P446,1))</f>
        <v/>
      </c>
      <c r="R446" s="11">
        <f>IF(J446="","",IFERROR(VALUE(SUBSTITUTE(SUBSTITUTE(IF(H446="","",H446)&amp;"","$",""),",","")),0)/IF("No"="Yes",P446,1))</f>
        <v/>
      </c>
      <c r="S446" s="11">
        <f>IF(J446="","",O446+Q446-R446)</f>
        <v/>
      </c>
      <c r="T446">
        <f>IF(J446="","",IFERROR(IF(K446="",NA(),MATCH(K446,Products!$B$5:$B$204,0)),IFERROR(MATCH(J446,Products!$A$5:$A$204,0),"")))</f>
        <v/>
      </c>
      <c r="U446">
        <f>IF(J446="","",IF(T446="","⚠ not in Products",INDEX(Products!$A$5:$A$204,T446)))</f>
        <v/>
      </c>
      <c r="V446" s="11">
        <f>IF(J446="","",S446*(IFERROR(INDEX(Settings!$B$5:$B$9,MATCH($B446,Settings!$A$5:$A$9,0)),0)+IFERROR(INDEX(Settings!$E$5:$E$9,MATCH($B446,Settings!$A$5:$A$9,0)),0)+IFERROR(INDEX(Settings!$G$5:$G$9,MATCH($B446,Settings!$A$5:$A$9,0)),0))+(IFERROR(INDEX(Settings!$C$5:$C$9,MATCH($B446,Settings!$A$5:$A$9,0)),0)+IFERROR(INDEX(Settings!$F$5:$F$9,MATCH($B446,Settings!$A$5:$A$9,0)),0))/P446+IFERROR(INDEX(Settings!$D$5:$D$9,MATCH($B446,Settings!$A$5:$A$9,0)),0)*M446)</f>
        <v/>
      </c>
      <c r="W446" s="11">
        <f>IF(J446="","",IF(T446="",0,M446*INDEX(Products!$I$5:$I$204,T446)))</f>
        <v/>
      </c>
      <c r="X446" s="11">
        <f>IF(J446="","",IF(T446="",0,S446*INDEX(Products!$H$5:$H$204,T446)))</f>
        <v/>
      </c>
      <c r="Y446" s="11">
        <f>IF(J446="","",S446-V446-W446-X446)</f>
        <v/>
      </c>
    </row>
    <row r="447">
      <c r="A447" s="19" t="n"/>
      <c r="B447" s="19" t="n"/>
      <c r="C447" s="19" t="n"/>
      <c r="D447" s="19" t="n"/>
      <c r="E447" s="19" t="n"/>
      <c r="F447" s="20" t="n"/>
      <c r="G447" s="20" t="n"/>
      <c r="H447" s="20" t="n"/>
      <c r="I447" s="19" t="n"/>
      <c r="J447">
        <f>IFERROR(IF(C447="","",C447)&amp;"","")</f>
        <v/>
      </c>
      <c r="K447">
        <f>IFERROR(IF(D447="","",D447)&amp;"","")</f>
        <v/>
      </c>
      <c r="L447">
        <f>IFERROR(IF(I447="","",I447)&amp;"","")</f>
        <v/>
      </c>
      <c r="M447">
        <f>IF(J447="","",IFERROR(VALUE(SUBSTITUTE(SUBSTITUTE(IF(E447="","",E447)&amp;"","$",""),",","")),0))</f>
        <v/>
      </c>
      <c r="N447" s="11">
        <f>IF(J447="","",IFERROR(VALUE(SUBSTITUTE(SUBSTITUTE(IF(F447="","",F447)&amp;"","$",""),",","")),0))</f>
        <v/>
      </c>
      <c r="O447" s="11">
        <f>IF(J447="","",M447*N447)</f>
        <v/>
      </c>
      <c r="P447">
        <f>IF(J447="","",IF(L447="",1,COUNTIF($L$2:$L$1501,L447)))</f>
        <v/>
      </c>
      <c r="Q447" s="11">
        <f>IF(J447="","",IFERROR(VALUE(SUBSTITUTE(SUBSTITUTE(IF(G447="","",G447)&amp;"","$",""),",","")),0)/IF("No"="Yes",P447,1))</f>
        <v/>
      </c>
      <c r="R447" s="11">
        <f>IF(J447="","",IFERROR(VALUE(SUBSTITUTE(SUBSTITUTE(IF(H447="","",H447)&amp;"","$",""),",","")),0)/IF("No"="Yes",P447,1))</f>
        <v/>
      </c>
      <c r="S447" s="11">
        <f>IF(J447="","",O447+Q447-R447)</f>
        <v/>
      </c>
      <c r="T447">
        <f>IF(J447="","",IFERROR(IF(K447="",NA(),MATCH(K447,Products!$B$5:$B$204,0)),IFERROR(MATCH(J447,Products!$A$5:$A$204,0),"")))</f>
        <v/>
      </c>
      <c r="U447">
        <f>IF(J447="","",IF(T447="","⚠ not in Products",INDEX(Products!$A$5:$A$204,T447)))</f>
        <v/>
      </c>
      <c r="V447" s="11">
        <f>IF(J447="","",S447*(IFERROR(INDEX(Settings!$B$5:$B$9,MATCH($B447,Settings!$A$5:$A$9,0)),0)+IFERROR(INDEX(Settings!$E$5:$E$9,MATCH($B447,Settings!$A$5:$A$9,0)),0)+IFERROR(INDEX(Settings!$G$5:$G$9,MATCH($B447,Settings!$A$5:$A$9,0)),0))+(IFERROR(INDEX(Settings!$C$5:$C$9,MATCH($B447,Settings!$A$5:$A$9,0)),0)+IFERROR(INDEX(Settings!$F$5:$F$9,MATCH($B447,Settings!$A$5:$A$9,0)),0))/P447+IFERROR(INDEX(Settings!$D$5:$D$9,MATCH($B447,Settings!$A$5:$A$9,0)),0)*M447)</f>
        <v/>
      </c>
      <c r="W447" s="11">
        <f>IF(J447="","",IF(T447="",0,M447*INDEX(Products!$I$5:$I$204,T447)))</f>
        <v/>
      </c>
      <c r="X447" s="11">
        <f>IF(J447="","",IF(T447="",0,S447*INDEX(Products!$H$5:$H$204,T447)))</f>
        <v/>
      </c>
      <c r="Y447" s="11">
        <f>IF(J447="","",S447-V447-W447-X447)</f>
        <v/>
      </c>
    </row>
    <row r="448">
      <c r="A448" s="19" t="n"/>
      <c r="B448" s="19" t="n"/>
      <c r="C448" s="19" t="n"/>
      <c r="D448" s="19" t="n"/>
      <c r="E448" s="19" t="n"/>
      <c r="F448" s="20" t="n"/>
      <c r="G448" s="20" t="n"/>
      <c r="H448" s="20" t="n"/>
      <c r="I448" s="19" t="n"/>
      <c r="J448">
        <f>IFERROR(IF(C448="","",C448)&amp;"","")</f>
        <v/>
      </c>
      <c r="K448">
        <f>IFERROR(IF(D448="","",D448)&amp;"","")</f>
        <v/>
      </c>
      <c r="L448">
        <f>IFERROR(IF(I448="","",I448)&amp;"","")</f>
        <v/>
      </c>
      <c r="M448">
        <f>IF(J448="","",IFERROR(VALUE(SUBSTITUTE(SUBSTITUTE(IF(E448="","",E448)&amp;"","$",""),",","")),0))</f>
        <v/>
      </c>
      <c r="N448" s="11">
        <f>IF(J448="","",IFERROR(VALUE(SUBSTITUTE(SUBSTITUTE(IF(F448="","",F448)&amp;"","$",""),",","")),0))</f>
        <v/>
      </c>
      <c r="O448" s="11">
        <f>IF(J448="","",M448*N448)</f>
        <v/>
      </c>
      <c r="P448">
        <f>IF(J448="","",IF(L448="",1,COUNTIF($L$2:$L$1501,L448)))</f>
        <v/>
      </c>
      <c r="Q448" s="11">
        <f>IF(J448="","",IFERROR(VALUE(SUBSTITUTE(SUBSTITUTE(IF(G448="","",G448)&amp;"","$",""),",","")),0)/IF("No"="Yes",P448,1))</f>
        <v/>
      </c>
      <c r="R448" s="11">
        <f>IF(J448="","",IFERROR(VALUE(SUBSTITUTE(SUBSTITUTE(IF(H448="","",H448)&amp;"","$",""),",","")),0)/IF("No"="Yes",P448,1))</f>
        <v/>
      </c>
      <c r="S448" s="11">
        <f>IF(J448="","",O448+Q448-R448)</f>
        <v/>
      </c>
      <c r="T448">
        <f>IF(J448="","",IFERROR(IF(K448="",NA(),MATCH(K448,Products!$B$5:$B$204,0)),IFERROR(MATCH(J448,Products!$A$5:$A$204,0),"")))</f>
        <v/>
      </c>
      <c r="U448">
        <f>IF(J448="","",IF(T448="","⚠ not in Products",INDEX(Products!$A$5:$A$204,T448)))</f>
        <v/>
      </c>
      <c r="V448" s="11">
        <f>IF(J448="","",S448*(IFERROR(INDEX(Settings!$B$5:$B$9,MATCH($B448,Settings!$A$5:$A$9,0)),0)+IFERROR(INDEX(Settings!$E$5:$E$9,MATCH($B448,Settings!$A$5:$A$9,0)),0)+IFERROR(INDEX(Settings!$G$5:$G$9,MATCH($B448,Settings!$A$5:$A$9,0)),0))+(IFERROR(INDEX(Settings!$C$5:$C$9,MATCH($B448,Settings!$A$5:$A$9,0)),0)+IFERROR(INDEX(Settings!$F$5:$F$9,MATCH($B448,Settings!$A$5:$A$9,0)),0))/P448+IFERROR(INDEX(Settings!$D$5:$D$9,MATCH($B448,Settings!$A$5:$A$9,0)),0)*M448)</f>
        <v/>
      </c>
      <c r="W448" s="11">
        <f>IF(J448="","",IF(T448="",0,M448*INDEX(Products!$I$5:$I$204,T448)))</f>
        <v/>
      </c>
      <c r="X448" s="11">
        <f>IF(J448="","",IF(T448="",0,S448*INDEX(Products!$H$5:$H$204,T448)))</f>
        <v/>
      </c>
      <c r="Y448" s="11">
        <f>IF(J448="","",S448-V448-W448-X448)</f>
        <v/>
      </c>
    </row>
    <row r="449">
      <c r="A449" s="19" t="n"/>
      <c r="B449" s="19" t="n"/>
      <c r="C449" s="19" t="n"/>
      <c r="D449" s="19" t="n"/>
      <c r="E449" s="19" t="n"/>
      <c r="F449" s="20" t="n"/>
      <c r="G449" s="20" t="n"/>
      <c r="H449" s="20" t="n"/>
      <c r="I449" s="19" t="n"/>
      <c r="J449">
        <f>IFERROR(IF(C449="","",C449)&amp;"","")</f>
        <v/>
      </c>
      <c r="K449">
        <f>IFERROR(IF(D449="","",D449)&amp;"","")</f>
        <v/>
      </c>
      <c r="L449">
        <f>IFERROR(IF(I449="","",I449)&amp;"","")</f>
        <v/>
      </c>
      <c r="M449">
        <f>IF(J449="","",IFERROR(VALUE(SUBSTITUTE(SUBSTITUTE(IF(E449="","",E449)&amp;"","$",""),",","")),0))</f>
        <v/>
      </c>
      <c r="N449" s="11">
        <f>IF(J449="","",IFERROR(VALUE(SUBSTITUTE(SUBSTITUTE(IF(F449="","",F449)&amp;"","$",""),",","")),0))</f>
        <v/>
      </c>
      <c r="O449" s="11">
        <f>IF(J449="","",M449*N449)</f>
        <v/>
      </c>
      <c r="P449">
        <f>IF(J449="","",IF(L449="",1,COUNTIF($L$2:$L$1501,L449)))</f>
        <v/>
      </c>
      <c r="Q449" s="11">
        <f>IF(J449="","",IFERROR(VALUE(SUBSTITUTE(SUBSTITUTE(IF(G449="","",G449)&amp;"","$",""),",","")),0)/IF("No"="Yes",P449,1))</f>
        <v/>
      </c>
      <c r="R449" s="11">
        <f>IF(J449="","",IFERROR(VALUE(SUBSTITUTE(SUBSTITUTE(IF(H449="","",H449)&amp;"","$",""),",","")),0)/IF("No"="Yes",P449,1))</f>
        <v/>
      </c>
      <c r="S449" s="11">
        <f>IF(J449="","",O449+Q449-R449)</f>
        <v/>
      </c>
      <c r="T449">
        <f>IF(J449="","",IFERROR(IF(K449="",NA(),MATCH(K449,Products!$B$5:$B$204,0)),IFERROR(MATCH(J449,Products!$A$5:$A$204,0),"")))</f>
        <v/>
      </c>
      <c r="U449">
        <f>IF(J449="","",IF(T449="","⚠ not in Products",INDEX(Products!$A$5:$A$204,T449)))</f>
        <v/>
      </c>
      <c r="V449" s="11">
        <f>IF(J449="","",S449*(IFERROR(INDEX(Settings!$B$5:$B$9,MATCH($B449,Settings!$A$5:$A$9,0)),0)+IFERROR(INDEX(Settings!$E$5:$E$9,MATCH($B449,Settings!$A$5:$A$9,0)),0)+IFERROR(INDEX(Settings!$G$5:$G$9,MATCH($B449,Settings!$A$5:$A$9,0)),0))+(IFERROR(INDEX(Settings!$C$5:$C$9,MATCH($B449,Settings!$A$5:$A$9,0)),0)+IFERROR(INDEX(Settings!$F$5:$F$9,MATCH($B449,Settings!$A$5:$A$9,0)),0))/P449+IFERROR(INDEX(Settings!$D$5:$D$9,MATCH($B449,Settings!$A$5:$A$9,0)),0)*M449)</f>
        <v/>
      </c>
      <c r="W449" s="11">
        <f>IF(J449="","",IF(T449="",0,M449*INDEX(Products!$I$5:$I$204,T449)))</f>
        <v/>
      </c>
      <c r="X449" s="11">
        <f>IF(J449="","",IF(T449="",0,S449*INDEX(Products!$H$5:$H$204,T449)))</f>
        <v/>
      </c>
      <c r="Y449" s="11">
        <f>IF(J449="","",S449-V449-W449-X449)</f>
        <v/>
      </c>
    </row>
    <row r="450">
      <c r="A450" s="19" t="n"/>
      <c r="B450" s="19" t="n"/>
      <c r="C450" s="19" t="n"/>
      <c r="D450" s="19" t="n"/>
      <c r="E450" s="19" t="n"/>
      <c r="F450" s="20" t="n"/>
      <c r="G450" s="20" t="n"/>
      <c r="H450" s="20" t="n"/>
      <c r="I450" s="19" t="n"/>
      <c r="J450">
        <f>IFERROR(IF(C450="","",C450)&amp;"","")</f>
        <v/>
      </c>
      <c r="K450">
        <f>IFERROR(IF(D450="","",D450)&amp;"","")</f>
        <v/>
      </c>
      <c r="L450">
        <f>IFERROR(IF(I450="","",I450)&amp;"","")</f>
        <v/>
      </c>
      <c r="M450">
        <f>IF(J450="","",IFERROR(VALUE(SUBSTITUTE(SUBSTITUTE(IF(E450="","",E450)&amp;"","$",""),",","")),0))</f>
        <v/>
      </c>
      <c r="N450" s="11">
        <f>IF(J450="","",IFERROR(VALUE(SUBSTITUTE(SUBSTITUTE(IF(F450="","",F450)&amp;"","$",""),",","")),0))</f>
        <v/>
      </c>
      <c r="O450" s="11">
        <f>IF(J450="","",M450*N450)</f>
        <v/>
      </c>
      <c r="P450">
        <f>IF(J450="","",IF(L450="",1,COUNTIF($L$2:$L$1501,L450)))</f>
        <v/>
      </c>
      <c r="Q450" s="11">
        <f>IF(J450="","",IFERROR(VALUE(SUBSTITUTE(SUBSTITUTE(IF(G450="","",G450)&amp;"","$",""),",","")),0)/IF("No"="Yes",P450,1))</f>
        <v/>
      </c>
      <c r="R450" s="11">
        <f>IF(J450="","",IFERROR(VALUE(SUBSTITUTE(SUBSTITUTE(IF(H450="","",H450)&amp;"","$",""),",","")),0)/IF("No"="Yes",P450,1))</f>
        <v/>
      </c>
      <c r="S450" s="11">
        <f>IF(J450="","",O450+Q450-R450)</f>
        <v/>
      </c>
      <c r="T450">
        <f>IF(J450="","",IFERROR(IF(K450="",NA(),MATCH(K450,Products!$B$5:$B$204,0)),IFERROR(MATCH(J450,Products!$A$5:$A$204,0),"")))</f>
        <v/>
      </c>
      <c r="U450">
        <f>IF(J450="","",IF(T450="","⚠ not in Products",INDEX(Products!$A$5:$A$204,T450)))</f>
        <v/>
      </c>
      <c r="V450" s="11">
        <f>IF(J450="","",S450*(IFERROR(INDEX(Settings!$B$5:$B$9,MATCH($B450,Settings!$A$5:$A$9,0)),0)+IFERROR(INDEX(Settings!$E$5:$E$9,MATCH($B450,Settings!$A$5:$A$9,0)),0)+IFERROR(INDEX(Settings!$G$5:$G$9,MATCH($B450,Settings!$A$5:$A$9,0)),0))+(IFERROR(INDEX(Settings!$C$5:$C$9,MATCH($B450,Settings!$A$5:$A$9,0)),0)+IFERROR(INDEX(Settings!$F$5:$F$9,MATCH($B450,Settings!$A$5:$A$9,0)),0))/P450+IFERROR(INDEX(Settings!$D$5:$D$9,MATCH($B450,Settings!$A$5:$A$9,0)),0)*M450)</f>
        <v/>
      </c>
      <c r="W450" s="11">
        <f>IF(J450="","",IF(T450="",0,M450*INDEX(Products!$I$5:$I$204,T450)))</f>
        <v/>
      </c>
      <c r="X450" s="11">
        <f>IF(J450="","",IF(T450="",0,S450*INDEX(Products!$H$5:$H$204,T450)))</f>
        <v/>
      </c>
      <c r="Y450" s="11">
        <f>IF(J450="","",S450-V450-W450-X450)</f>
        <v/>
      </c>
    </row>
    <row r="451">
      <c r="A451" s="19" t="n"/>
      <c r="B451" s="19" t="n"/>
      <c r="C451" s="19" t="n"/>
      <c r="D451" s="19" t="n"/>
      <c r="E451" s="19" t="n"/>
      <c r="F451" s="20" t="n"/>
      <c r="G451" s="20" t="n"/>
      <c r="H451" s="20" t="n"/>
      <c r="I451" s="19" t="n"/>
      <c r="J451">
        <f>IFERROR(IF(C451="","",C451)&amp;"","")</f>
        <v/>
      </c>
      <c r="K451">
        <f>IFERROR(IF(D451="","",D451)&amp;"","")</f>
        <v/>
      </c>
      <c r="L451">
        <f>IFERROR(IF(I451="","",I451)&amp;"","")</f>
        <v/>
      </c>
      <c r="M451">
        <f>IF(J451="","",IFERROR(VALUE(SUBSTITUTE(SUBSTITUTE(IF(E451="","",E451)&amp;"","$",""),",","")),0))</f>
        <v/>
      </c>
      <c r="N451" s="11">
        <f>IF(J451="","",IFERROR(VALUE(SUBSTITUTE(SUBSTITUTE(IF(F451="","",F451)&amp;"","$",""),",","")),0))</f>
        <v/>
      </c>
      <c r="O451" s="11">
        <f>IF(J451="","",M451*N451)</f>
        <v/>
      </c>
      <c r="P451">
        <f>IF(J451="","",IF(L451="",1,COUNTIF($L$2:$L$1501,L451)))</f>
        <v/>
      </c>
      <c r="Q451" s="11">
        <f>IF(J451="","",IFERROR(VALUE(SUBSTITUTE(SUBSTITUTE(IF(G451="","",G451)&amp;"","$",""),",","")),0)/IF("No"="Yes",P451,1))</f>
        <v/>
      </c>
      <c r="R451" s="11">
        <f>IF(J451="","",IFERROR(VALUE(SUBSTITUTE(SUBSTITUTE(IF(H451="","",H451)&amp;"","$",""),",","")),0)/IF("No"="Yes",P451,1))</f>
        <v/>
      </c>
      <c r="S451" s="11">
        <f>IF(J451="","",O451+Q451-R451)</f>
        <v/>
      </c>
      <c r="T451">
        <f>IF(J451="","",IFERROR(IF(K451="",NA(),MATCH(K451,Products!$B$5:$B$204,0)),IFERROR(MATCH(J451,Products!$A$5:$A$204,0),"")))</f>
        <v/>
      </c>
      <c r="U451">
        <f>IF(J451="","",IF(T451="","⚠ not in Products",INDEX(Products!$A$5:$A$204,T451)))</f>
        <v/>
      </c>
      <c r="V451" s="11">
        <f>IF(J451="","",S451*(IFERROR(INDEX(Settings!$B$5:$B$9,MATCH($B451,Settings!$A$5:$A$9,0)),0)+IFERROR(INDEX(Settings!$E$5:$E$9,MATCH($B451,Settings!$A$5:$A$9,0)),0)+IFERROR(INDEX(Settings!$G$5:$G$9,MATCH($B451,Settings!$A$5:$A$9,0)),0))+(IFERROR(INDEX(Settings!$C$5:$C$9,MATCH($B451,Settings!$A$5:$A$9,0)),0)+IFERROR(INDEX(Settings!$F$5:$F$9,MATCH($B451,Settings!$A$5:$A$9,0)),0))/P451+IFERROR(INDEX(Settings!$D$5:$D$9,MATCH($B451,Settings!$A$5:$A$9,0)),0)*M451)</f>
        <v/>
      </c>
      <c r="W451" s="11">
        <f>IF(J451="","",IF(T451="",0,M451*INDEX(Products!$I$5:$I$204,T451)))</f>
        <v/>
      </c>
      <c r="X451" s="11">
        <f>IF(J451="","",IF(T451="",0,S451*INDEX(Products!$H$5:$H$204,T451)))</f>
        <v/>
      </c>
      <c r="Y451" s="11">
        <f>IF(J451="","",S451-V451-W451-X451)</f>
        <v/>
      </c>
    </row>
    <row r="452">
      <c r="A452" s="19" t="n"/>
      <c r="B452" s="19" t="n"/>
      <c r="C452" s="19" t="n"/>
      <c r="D452" s="19" t="n"/>
      <c r="E452" s="19" t="n"/>
      <c r="F452" s="20" t="n"/>
      <c r="G452" s="20" t="n"/>
      <c r="H452" s="20" t="n"/>
      <c r="I452" s="19" t="n"/>
      <c r="J452">
        <f>IFERROR(IF(C452="","",C452)&amp;"","")</f>
        <v/>
      </c>
      <c r="K452">
        <f>IFERROR(IF(D452="","",D452)&amp;"","")</f>
        <v/>
      </c>
      <c r="L452">
        <f>IFERROR(IF(I452="","",I452)&amp;"","")</f>
        <v/>
      </c>
      <c r="M452">
        <f>IF(J452="","",IFERROR(VALUE(SUBSTITUTE(SUBSTITUTE(IF(E452="","",E452)&amp;"","$",""),",","")),0))</f>
        <v/>
      </c>
      <c r="N452" s="11">
        <f>IF(J452="","",IFERROR(VALUE(SUBSTITUTE(SUBSTITUTE(IF(F452="","",F452)&amp;"","$",""),",","")),0))</f>
        <v/>
      </c>
      <c r="O452" s="11">
        <f>IF(J452="","",M452*N452)</f>
        <v/>
      </c>
      <c r="P452">
        <f>IF(J452="","",IF(L452="",1,COUNTIF($L$2:$L$1501,L452)))</f>
        <v/>
      </c>
      <c r="Q452" s="11">
        <f>IF(J452="","",IFERROR(VALUE(SUBSTITUTE(SUBSTITUTE(IF(G452="","",G452)&amp;"","$",""),",","")),0)/IF("No"="Yes",P452,1))</f>
        <v/>
      </c>
      <c r="R452" s="11">
        <f>IF(J452="","",IFERROR(VALUE(SUBSTITUTE(SUBSTITUTE(IF(H452="","",H452)&amp;"","$",""),",","")),0)/IF("No"="Yes",P452,1))</f>
        <v/>
      </c>
      <c r="S452" s="11">
        <f>IF(J452="","",O452+Q452-R452)</f>
        <v/>
      </c>
      <c r="T452">
        <f>IF(J452="","",IFERROR(IF(K452="",NA(),MATCH(K452,Products!$B$5:$B$204,0)),IFERROR(MATCH(J452,Products!$A$5:$A$204,0),"")))</f>
        <v/>
      </c>
      <c r="U452">
        <f>IF(J452="","",IF(T452="","⚠ not in Products",INDEX(Products!$A$5:$A$204,T452)))</f>
        <v/>
      </c>
      <c r="V452" s="11">
        <f>IF(J452="","",S452*(IFERROR(INDEX(Settings!$B$5:$B$9,MATCH($B452,Settings!$A$5:$A$9,0)),0)+IFERROR(INDEX(Settings!$E$5:$E$9,MATCH($B452,Settings!$A$5:$A$9,0)),0)+IFERROR(INDEX(Settings!$G$5:$G$9,MATCH($B452,Settings!$A$5:$A$9,0)),0))+(IFERROR(INDEX(Settings!$C$5:$C$9,MATCH($B452,Settings!$A$5:$A$9,0)),0)+IFERROR(INDEX(Settings!$F$5:$F$9,MATCH($B452,Settings!$A$5:$A$9,0)),0))/P452+IFERROR(INDEX(Settings!$D$5:$D$9,MATCH($B452,Settings!$A$5:$A$9,0)),0)*M452)</f>
        <v/>
      </c>
      <c r="W452" s="11">
        <f>IF(J452="","",IF(T452="",0,M452*INDEX(Products!$I$5:$I$204,T452)))</f>
        <v/>
      </c>
      <c r="X452" s="11">
        <f>IF(J452="","",IF(T452="",0,S452*INDEX(Products!$H$5:$H$204,T452)))</f>
        <v/>
      </c>
      <c r="Y452" s="11">
        <f>IF(J452="","",S452-V452-W452-X452)</f>
        <v/>
      </c>
    </row>
    <row r="453">
      <c r="A453" s="19" t="n"/>
      <c r="B453" s="19" t="n"/>
      <c r="C453" s="19" t="n"/>
      <c r="D453" s="19" t="n"/>
      <c r="E453" s="19" t="n"/>
      <c r="F453" s="20" t="n"/>
      <c r="G453" s="20" t="n"/>
      <c r="H453" s="20" t="n"/>
      <c r="I453" s="19" t="n"/>
      <c r="J453">
        <f>IFERROR(IF(C453="","",C453)&amp;"","")</f>
        <v/>
      </c>
      <c r="K453">
        <f>IFERROR(IF(D453="","",D453)&amp;"","")</f>
        <v/>
      </c>
      <c r="L453">
        <f>IFERROR(IF(I453="","",I453)&amp;"","")</f>
        <v/>
      </c>
      <c r="M453">
        <f>IF(J453="","",IFERROR(VALUE(SUBSTITUTE(SUBSTITUTE(IF(E453="","",E453)&amp;"","$",""),",","")),0))</f>
        <v/>
      </c>
      <c r="N453" s="11">
        <f>IF(J453="","",IFERROR(VALUE(SUBSTITUTE(SUBSTITUTE(IF(F453="","",F453)&amp;"","$",""),",","")),0))</f>
        <v/>
      </c>
      <c r="O453" s="11">
        <f>IF(J453="","",M453*N453)</f>
        <v/>
      </c>
      <c r="P453">
        <f>IF(J453="","",IF(L453="",1,COUNTIF($L$2:$L$1501,L453)))</f>
        <v/>
      </c>
      <c r="Q453" s="11">
        <f>IF(J453="","",IFERROR(VALUE(SUBSTITUTE(SUBSTITUTE(IF(G453="","",G453)&amp;"","$",""),",","")),0)/IF("No"="Yes",P453,1))</f>
        <v/>
      </c>
      <c r="R453" s="11">
        <f>IF(J453="","",IFERROR(VALUE(SUBSTITUTE(SUBSTITUTE(IF(H453="","",H453)&amp;"","$",""),",","")),0)/IF("No"="Yes",P453,1))</f>
        <v/>
      </c>
      <c r="S453" s="11">
        <f>IF(J453="","",O453+Q453-R453)</f>
        <v/>
      </c>
      <c r="T453">
        <f>IF(J453="","",IFERROR(IF(K453="",NA(),MATCH(K453,Products!$B$5:$B$204,0)),IFERROR(MATCH(J453,Products!$A$5:$A$204,0),"")))</f>
        <v/>
      </c>
      <c r="U453">
        <f>IF(J453="","",IF(T453="","⚠ not in Products",INDEX(Products!$A$5:$A$204,T453)))</f>
        <v/>
      </c>
      <c r="V453" s="11">
        <f>IF(J453="","",S453*(IFERROR(INDEX(Settings!$B$5:$B$9,MATCH($B453,Settings!$A$5:$A$9,0)),0)+IFERROR(INDEX(Settings!$E$5:$E$9,MATCH($B453,Settings!$A$5:$A$9,0)),0)+IFERROR(INDEX(Settings!$G$5:$G$9,MATCH($B453,Settings!$A$5:$A$9,0)),0))+(IFERROR(INDEX(Settings!$C$5:$C$9,MATCH($B453,Settings!$A$5:$A$9,0)),0)+IFERROR(INDEX(Settings!$F$5:$F$9,MATCH($B453,Settings!$A$5:$A$9,0)),0))/P453+IFERROR(INDEX(Settings!$D$5:$D$9,MATCH($B453,Settings!$A$5:$A$9,0)),0)*M453)</f>
        <v/>
      </c>
      <c r="W453" s="11">
        <f>IF(J453="","",IF(T453="",0,M453*INDEX(Products!$I$5:$I$204,T453)))</f>
        <v/>
      </c>
      <c r="X453" s="11">
        <f>IF(J453="","",IF(T453="",0,S453*INDEX(Products!$H$5:$H$204,T453)))</f>
        <v/>
      </c>
      <c r="Y453" s="11">
        <f>IF(J453="","",S453-V453-W453-X453)</f>
        <v/>
      </c>
    </row>
    <row r="454">
      <c r="A454" s="19" t="n"/>
      <c r="B454" s="19" t="n"/>
      <c r="C454" s="19" t="n"/>
      <c r="D454" s="19" t="n"/>
      <c r="E454" s="19" t="n"/>
      <c r="F454" s="20" t="n"/>
      <c r="G454" s="20" t="n"/>
      <c r="H454" s="20" t="n"/>
      <c r="I454" s="19" t="n"/>
      <c r="J454">
        <f>IFERROR(IF(C454="","",C454)&amp;"","")</f>
        <v/>
      </c>
      <c r="K454">
        <f>IFERROR(IF(D454="","",D454)&amp;"","")</f>
        <v/>
      </c>
      <c r="L454">
        <f>IFERROR(IF(I454="","",I454)&amp;"","")</f>
        <v/>
      </c>
      <c r="M454">
        <f>IF(J454="","",IFERROR(VALUE(SUBSTITUTE(SUBSTITUTE(IF(E454="","",E454)&amp;"","$",""),",","")),0))</f>
        <v/>
      </c>
      <c r="N454" s="11">
        <f>IF(J454="","",IFERROR(VALUE(SUBSTITUTE(SUBSTITUTE(IF(F454="","",F454)&amp;"","$",""),",","")),0))</f>
        <v/>
      </c>
      <c r="O454" s="11">
        <f>IF(J454="","",M454*N454)</f>
        <v/>
      </c>
      <c r="P454">
        <f>IF(J454="","",IF(L454="",1,COUNTIF($L$2:$L$1501,L454)))</f>
        <v/>
      </c>
      <c r="Q454" s="11">
        <f>IF(J454="","",IFERROR(VALUE(SUBSTITUTE(SUBSTITUTE(IF(G454="","",G454)&amp;"","$",""),",","")),0)/IF("No"="Yes",P454,1))</f>
        <v/>
      </c>
      <c r="R454" s="11">
        <f>IF(J454="","",IFERROR(VALUE(SUBSTITUTE(SUBSTITUTE(IF(H454="","",H454)&amp;"","$",""),",","")),0)/IF("No"="Yes",P454,1))</f>
        <v/>
      </c>
      <c r="S454" s="11">
        <f>IF(J454="","",O454+Q454-R454)</f>
        <v/>
      </c>
      <c r="T454">
        <f>IF(J454="","",IFERROR(IF(K454="",NA(),MATCH(K454,Products!$B$5:$B$204,0)),IFERROR(MATCH(J454,Products!$A$5:$A$204,0),"")))</f>
        <v/>
      </c>
      <c r="U454">
        <f>IF(J454="","",IF(T454="","⚠ not in Products",INDEX(Products!$A$5:$A$204,T454)))</f>
        <v/>
      </c>
      <c r="V454" s="11">
        <f>IF(J454="","",S454*(IFERROR(INDEX(Settings!$B$5:$B$9,MATCH($B454,Settings!$A$5:$A$9,0)),0)+IFERROR(INDEX(Settings!$E$5:$E$9,MATCH($B454,Settings!$A$5:$A$9,0)),0)+IFERROR(INDEX(Settings!$G$5:$G$9,MATCH($B454,Settings!$A$5:$A$9,0)),0))+(IFERROR(INDEX(Settings!$C$5:$C$9,MATCH($B454,Settings!$A$5:$A$9,0)),0)+IFERROR(INDEX(Settings!$F$5:$F$9,MATCH($B454,Settings!$A$5:$A$9,0)),0))/P454+IFERROR(INDEX(Settings!$D$5:$D$9,MATCH($B454,Settings!$A$5:$A$9,0)),0)*M454)</f>
        <v/>
      </c>
      <c r="W454" s="11">
        <f>IF(J454="","",IF(T454="",0,M454*INDEX(Products!$I$5:$I$204,T454)))</f>
        <v/>
      </c>
      <c r="X454" s="11">
        <f>IF(J454="","",IF(T454="",0,S454*INDEX(Products!$H$5:$H$204,T454)))</f>
        <v/>
      </c>
      <c r="Y454" s="11">
        <f>IF(J454="","",S454-V454-W454-X454)</f>
        <v/>
      </c>
    </row>
    <row r="455">
      <c r="A455" s="19" t="n"/>
      <c r="B455" s="19" t="n"/>
      <c r="C455" s="19" t="n"/>
      <c r="D455" s="19" t="n"/>
      <c r="E455" s="19" t="n"/>
      <c r="F455" s="20" t="n"/>
      <c r="G455" s="20" t="n"/>
      <c r="H455" s="20" t="n"/>
      <c r="I455" s="19" t="n"/>
      <c r="J455">
        <f>IFERROR(IF(C455="","",C455)&amp;"","")</f>
        <v/>
      </c>
      <c r="K455">
        <f>IFERROR(IF(D455="","",D455)&amp;"","")</f>
        <v/>
      </c>
      <c r="L455">
        <f>IFERROR(IF(I455="","",I455)&amp;"","")</f>
        <v/>
      </c>
      <c r="M455">
        <f>IF(J455="","",IFERROR(VALUE(SUBSTITUTE(SUBSTITUTE(IF(E455="","",E455)&amp;"","$",""),",","")),0))</f>
        <v/>
      </c>
      <c r="N455" s="11">
        <f>IF(J455="","",IFERROR(VALUE(SUBSTITUTE(SUBSTITUTE(IF(F455="","",F455)&amp;"","$",""),",","")),0))</f>
        <v/>
      </c>
      <c r="O455" s="11">
        <f>IF(J455="","",M455*N455)</f>
        <v/>
      </c>
      <c r="P455">
        <f>IF(J455="","",IF(L455="",1,COUNTIF($L$2:$L$1501,L455)))</f>
        <v/>
      </c>
      <c r="Q455" s="11">
        <f>IF(J455="","",IFERROR(VALUE(SUBSTITUTE(SUBSTITUTE(IF(G455="","",G455)&amp;"","$",""),",","")),0)/IF("No"="Yes",P455,1))</f>
        <v/>
      </c>
      <c r="R455" s="11">
        <f>IF(J455="","",IFERROR(VALUE(SUBSTITUTE(SUBSTITUTE(IF(H455="","",H455)&amp;"","$",""),",","")),0)/IF("No"="Yes",P455,1))</f>
        <v/>
      </c>
      <c r="S455" s="11">
        <f>IF(J455="","",O455+Q455-R455)</f>
        <v/>
      </c>
      <c r="T455">
        <f>IF(J455="","",IFERROR(IF(K455="",NA(),MATCH(K455,Products!$B$5:$B$204,0)),IFERROR(MATCH(J455,Products!$A$5:$A$204,0),"")))</f>
        <v/>
      </c>
      <c r="U455">
        <f>IF(J455="","",IF(T455="","⚠ not in Products",INDEX(Products!$A$5:$A$204,T455)))</f>
        <v/>
      </c>
      <c r="V455" s="11">
        <f>IF(J455="","",S455*(IFERROR(INDEX(Settings!$B$5:$B$9,MATCH($B455,Settings!$A$5:$A$9,0)),0)+IFERROR(INDEX(Settings!$E$5:$E$9,MATCH($B455,Settings!$A$5:$A$9,0)),0)+IFERROR(INDEX(Settings!$G$5:$G$9,MATCH($B455,Settings!$A$5:$A$9,0)),0))+(IFERROR(INDEX(Settings!$C$5:$C$9,MATCH($B455,Settings!$A$5:$A$9,0)),0)+IFERROR(INDEX(Settings!$F$5:$F$9,MATCH($B455,Settings!$A$5:$A$9,0)),0))/P455+IFERROR(INDEX(Settings!$D$5:$D$9,MATCH($B455,Settings!$A$5:$A$9,0)),0)*M455)</f>
        <v/>
      </c>
      <c r="W455" s="11">
        <f>IF(J455="","",IF(T455="",0,M455*INDEX(Products!$I$5:$I$204,T455)))</f>
        <v/>
      </c>
      <c r="X455" s="11">
        <f>IF(J455="","",IF(T455="",0,S455*INDEX(Products!$H$5:$H$204,T455)))</f>
        <v/>
      </c>
      <c r="Y455" s="11">
        <f>IF(J455="","",S455-V455-W455-X455)</f>
        <v/>
      </c>
    </row>
    <row r="456">
      <c r="A456" s="19" t="n"/>
      <c r="B456" s="19" t="n"/>
      <c r="C456" s="19" t="n"/>
      <c r="D456" s="19" t="n"/>
      <c r="E456" s="19" t="n"/>
      <c r="F456" s="20" t="n"/>
      <c r="G456" s="20" t="n"/>
      <c r="H456" s="20" t="n"/>
      <c r="I456" s="19" t="n"/>
      <c r="J456">
        <f>IFERROR(IF(C456="","",C456)&amp;"","")</f>
        <v/>
      </c>
      <c r="K456">
        <f>IFERROR(IF(D456="","",D456)&amp;"","")</f>
        <v/>
      </c>
      <c r="L456">
        <f>IFERROR(IF(I456="","",I456)&amp;"","")</f>
        <v/>
      </c>
      <c r="M456">
        <f>IF(J456="","",IFERROR(VALUE(SUBSTITUTE(SUBSTITUTE(IF(E456="","",E456)&amp;"","$",""),",","")),0))</f>
        <v/>
      </c>
      <c r="N456" s="11">
        <f>IF(J456="","",IFERROR(VALUE(SUBSTITUTE(SUBSTITUTE(IF(F456="","",F456)&amp;"","$",""),",","")),0))</f>
        <v/>
      </c>
      <c r="O456" s="11">
        <f>IF(J456="","",M456*N456)</f>
        <v/>
      </c>
      <c r="P456">
        <f>IF(J456="","",IF(L456="",1,COUNTIF($L$2:$L$1501,L456)))</f>
        <v/>
      </c>
      <c r="Q456" s="11">
        <f>IF(J456="","",IFERROR(VALUE(SUBSTITUTE(SUBSTITUTE(IF(G456="","",G456)&amp;"","$",""),",","")),0)/IF("No"="Yes",P456,1))</f>
        <v/>
      </c>
      <c r="R456" s="11">
        <f>IF(J456="","",IFERROR(VALUE(SUBSTITUTE(SUBSTITUTE(IF(H456="","",H456)&amp;"","$",""),",","")),0)/IF("No"="Yes",P456,1))</f>
        <v/>
      </c>
      <c r="S456" s="11">
        <f>IF(J456="","",O456+Q456-R456)</f>
        <v/>
      </c>
      <c r="T456">
        <f>IF(J456="","",IFERROR(IF(K456="",NA(),MATCH(K456,Products!$B$5:$B$204,0)),IFERROR(MATCH(J456,Products!$A$5:$A$204,0),"")))</f>
        <v/>
      </c>
      <c r="U456">
        <f>IF(J456="","",IF(T456="","⚠ not in Products",INDEX(Products!$A$5:$A$204,T456)))</f>
        <v/>
      </c>
      <c r="V456" s="11">
        <f>IF(J456="","",S456*(IFERROR(INDEX(Settings!$B$5:$B$9,MATCH($B456,Settings!$A$5:$A$9,0)),0)+IFERROR(INDEX(Settings!$E$5:$E$9,MATCH($B456,Settings!$A$5:$A$9,0)),0)+IFERROR(INDEX(Settings!$G$5:$G$9,MATCH($B456,Settings!$A$5:$A$9,0)),0))+(IFERROR(INDEX(Settings!$C$5:$C$9,MATCH($B456,Settings!$A$5:$A$9,0)),0)+IFERROR(INDEX(Settings!$F$5:$F$9,MATCH($B456,Settings!$A$5:$A$9,0)),0))/P456+IFERROR(INDEX(Settings!$D$5:$D$9,MATCH($B456,Settings!$A$5:$A$9,0)),0)*M456)</f>
        <v/>
      </c>
      <c r="W456" s="11">
        <f>IF(J456="","",IF(T456="",0,M456*INDEX(Products!$I$5:$I$204,T456)))</f>
        <v/>
      </c>
      <c r="X456" s="11">
        <f>IF(J456="","",IF(T456="",0,S456*INDEX(Products!$H$5:$H$204,T456)))</f>
        <v/>
      </c>
      <c r="Y456" s="11">
        <f>IF(J456="","",S456-V456-W456-X456)</f>
        <v/>
      </c>
    </row>
    <row r="457">
      <c r="A457" s="19" t="n"/>
      <c r="B457" s="19" t="n"/>
      <c r="C457" s="19" t="n"/>
      <c r="D457" s="19" t="n"/>
      <c r="E457" s="19" t="n"/>
      <c r="F457" s="20" t="n"/>
      <c r="G457" s="20" t="n"/>
      <c r="H457" s="20" t="n"/>
      <c r="I457" s="19" t="n"/>
      <c r="J457">
        <f>IFERROR(IF(C457="","",C457)&amp;"","")</f>
        <v/>
      </c>
      <c r="K457">
        <f>IFERROR(IF(D457="","",D457)&amp;"","")</f>
        <v/>
      </c>
      <c r="L457">
        <f>IFERROR(IF(I457="","",I457)&amp;"","")</f>
        <v/>
      </c>
      <c r="M457">
        <f>IF(J457="","",IFERROR(VALUE(SUBSTITUTE(SUBSTITUTE(IF(E457="","",E457)&amp;"","$",""),",","")),0))</f>
        <v/>
      </c>
      <c r="N457" s="11">
        <f>IF(J457="","",IFERROR(VALUE(SUBSTITUTE(SUBSTITUTE(IF(F457="","",F457)&amp;"","$",""),",","")),0))</f>
        <v/>
      </c>
      <c r="O457" s="11">
        <f>IF(J457="","",M457*N457)</f>
        <v/>
      </c>
      <c r="P457">
        <f>IF(J457="","",IF(L457="",1,COUNTIF($L$2:$L$1501,L457)))</f>
        <v/>
      </c>
      <c r="Q457" s="11">
        <f>IF(J457="","",IFERROR(VALUE(SUBSTITUTE(SUBSTITUTE(IF(G457="","",G457)&amp;"","$",""),",","")),0)/IF("No"="Yes",P457,1))</f>
        <v/>
      </c>
      <c r="R457" s="11">
        <f>IF(J457="","",IFERROR(VALUE(SUBSTITUTE(SUBSTITUTE(IF(H457="","",H457)&amp;"","$",""),",","")),0)/IF("No"="Yes",P457,1))</f>
        <v/>
      </c>
      <c r="S457" s="11">
        <f>IF(J457="","",O457+Q457-R457)</f>
        <v/>
      </c>
      <c r="T457">
        <f>IF(J457="","",IFERROR(IF(K457="",NA(),MATCH(K457,Products!$B$5:$B$204,0)),IFERROR(MATCH(J457,Products!$A$5:$A$204,0),"")))</f>
        <v/>
      </c>
      <c r="U457">
        <f>IF(J457="","",IF(T457="","⚠ not in Products",INDEX(Products!$A$5:$A$204,T457)))</f>
        <v/>
      </c>
      <c r="V457" s="11">
        <f>IF(J457="","",S457*(IFERROR(INDEX(Settings!$B$5:$B$9,MATCH($B457,Settings!$A$5:$A$9,0)),0)+IFERROR(INDEX(Settings!$E$5:$E$9,MATCH($B457,Settings!$A$5:$A$9,0)),0)+IFERROR(INDEX(Settings!$G$5:$G$9,MATCH($B457,Settings!$A$5:$A$9,0)),0))+(IFERROR(INDEX(Settings!$C$5:$C$9,MATCH($B457,Settings!$A$5:$A$9,0)),0)+IFERROR(INDEX(Settings!$F$5:$F$9,MATCH($B457,Settings!$A$5:$A$9,0)),0))/P457+IFERROR(INDEX(Settings!$D$5:$D$9,MATCH($B457,Settings!$A$5:$A$9,0)),0)*M457)</f>
        <v/>
      </c>
      <c r="W457" s="11">
        <f>IF(J457="","",IF(T457="",0,M457*INDEX(Products!$I$5:$I$204,T457)))</f>
        <v/>
      </c>
      <c r="X457" s="11">
        <f>IF(J457="","",IF(T457="",0,S457*INDEX(Products!$H$5:$H$204,T457)))</f>
        <v/>
      </c>
      <c r="Y457" s="11">
        <f>IF(J457="","",S457-V457-W457-X457)</f>
        <v/>
      </c>
    </row>
    <row r="458">
      <c r="A458" s="19" t="n"/>
      <c r="B458" s="19" t="n"/>
      <c r="C458" s="19" t="n"/>
      <c r="D458" s="19" t="n"/>
      <c r="E458" s="19" t="n"/>
      <c r="F458" s="20" t="n"/>
      <c r="G458" s="20" t="n"/>
      <c r="H458" s="20" t="n"/>
      <c r="I458" s="19" t="n"/>
      <c r="J458">
        <f>IFERROR(IF(C458="","",C458)&amp;"","")</f>
        <v/>
      </c>
      <c r="K458">
        <f>IFERROR(IF(D458="","",D458)&amp;"","")</f>
        <v/>
      </c>
      <c r="L458">
        <f>IFERROR(IF(I458="","",I458)&amp;"","")</f>
        <v/>
      </c>
      <c r="M458">
        <f>IF(J458="","",IFERROR(VALUE(SUBSTITUTE(SUBSTITUTE(IF(E458="","",E458)&amp;"","$",""),",","")),0))</f>
        <v/>
      </c>
      <c r="N458" s="11">
        <f>IF(J458="","",IFERROR(VALUE(SUBSTITUTE(SUBSTITUTE(IF(F458="","",F458)&amp;"","$",""),",","")),0))</f>
        <v/>
      </c>
      <c r="O458" s="11">
        <f>IF(J458="","",M458*N458)</f>
        <v/>
      </c>
      <c r="P458">
        <f>IF(J458="","",IF(L458="",1,COUNTIF($L$2:$L$1501,L458)))</f>
        <v/>
      </c>
      <c r="Q458" s="11">
        <f>IF(J458="","",IFERROR(VALUE(SUBSTITUTE(SUBSTITUTE(IF(G458="","",G458)&amp;"","$",""),",","")),0)/IF("No"="Yes",P458,1))</f>
        <v/>
      </c>
      <c r="R458" s="11">
        <f>IF(J458="","",IFERROR(VALUE(SUBSTITUTE(SUBSTITUTE(IF(H458="","",H458)&amp;"","$",""),",","")),0)/IF("No"="Yes",P458,1))</f>
        <v/>
      </c>
      <c r="S458" s="11">
        <f>IF(J458="","",O458+Q458-R458)</f>
        <v/>
      </c>
      <c r="T458">
        <f>IF(J458="","",IFERROR(IF(K458="",NA(),MATCH(K458,Products!$B$5:$B$204,0)),IFERROR(MATCH(J458,Products!$A$5:$A$204,0),"")))</f>
        <v/>
      </c>
      <c r="U458">
        <f>IF(J458="","",IF(T458="","⚠ not in Products",INDEX(Products!$A$5:$A$204,T458)))</f>
        <v/>
      </c>
      <c r="V458" s="11">
        <f>IF(J458="","",S458*(IFERROR(INDEX(Settings!$B$5:$B$9,MATCH($B458,Settings!$A$5:$A$9,0)),0)+IFERROR(INDEX(Settings!$E$5:$E$9,MATCH($B458,Settings!$A$5:$A$9,0)),0)+IFERROR(INDEX(Settings!$G$5:$G$9,MATCH($B458,Settings!$A$5:$A$9,0)),0))+(IFERROR(INDEX(Settings!$C$5:$C$9,MATCH($B458,Settings!$A$5:$A$9,0)),0)+IFERROR(INDEX(Settings!$F$5:$F$9,MATCH($B458,Settings!$A$5:$A$9,0)),0))/P458+IFERROR(INDEX(Settings!$D$5:$D$9,MATCH($B458,Settings!$A$5:$A$9,0)),0)*M458)</f>
        <v/>
      </c>
      <c r="W458" s="11">
        <f>IF(J458="","",IF(T458="",0,M458*INDEX(Products!$I$5:$I$204,T458)))</f>
        <v/>
      </c>
      <c r="X458" s="11">
        <f>IF(J458="","",IF(T458="",0,S458*INDEX(Products!$H$5:$H$204,T458)))</f>
        <v/>
      </c>
      <c r="Y458" s="11">
        <f>IF(J458="","",S458-V458-W458-X458)</f>
        <v/>
      </c>
    </row>
    <row r="459">
      <c r="A459" s="19" t="n"/>
      <c r="B459" s="19" t="n"/>
      <c r="C459" s="19" t="n"/>
      <c r="D459" s="19" t="n"/>
      <c r="E459" s="19" t="n"/>
      <c r="F459" s="20" t="n"/>
      <c r="G459" s="20" t="n"/>
      <c r="H459" s="20" t="n"/>
      <c r="I459" s="19" t="n"/>
      <c r="J459">
        <f>IFERROR(IF(C459="","",C459)&amp;"","")</f>
        <v/>
      </c>
      <c r="K459">
        <f>IFERROR(IF(D459="","",D459)&amp;"","")</f>
        <v/>
      </c>
      <c r="L459">
        <f>IFERROR(IF(I459="","",I459)&amp;"","")</f>
        <v/>
      </c>
      <c r="M459">
        <f>IF(J459="","",IFERROR(VALUE(SUBSTITUTE(SUBSTITUTE(IF(E459="","",E459)&amp;"","$",""),",","")),0))</f>
        <v/>
      </c>
      <c r="N459" s="11">
        <f>IF(J459="","",IFERROR(VALUE(SUBSTITUTE(SUBSTITUTE(IF(F459="","",F459)&amp;"","$",""),",","")),0))</f>
        <v/>
      </c>
      <c r="O459" s="11">
        <f>IF(J459="","",M459*N459)</f>
        <v/>
      </c>
      <c r="P459">
        <f>IF(J459="","",IF(L459="",1,COUNTIF($L$2:$L$1501,L459)))</f>
        <v/>
      </c>
      <c r="Q459" s="11">
        <f>IF(J459="","",IFERROR(VALUE(SUBSTITUTE(SUBSTITUTE(IF(G459="","",G459)&amp;"","$",""),",","")),0)/IF("No"="Yes",P459,1))</f>
        <v/>
      </c>
      <c r="R459" s="11">
        <f>IF(J459="","",IFERROR(VALUE(SUBSTITUTE(SUBSTITUTE(IF(H459="","",H459)&amp;"","$",""),",","")),0)/IF("No"="Yes",P459,1))</f>
        <v/>
      </c>
      <c r="S459" s="11">
        <f>IF(J459="","",O459+Q459-R459)</f>
        <v/>
      </c>
      <c r="T459">
        <f>IF(J459="","",IFERROR(IF(K459="",NA(),MATCH(K459,Products!$B$5:$B$204,0)),IFERROR(MATCH(J459,Products!$A$5:$A$204,0),"")))</f>
        <v/>
      </c>
      <c r="U459">
        <f>IF(J459="","",IF(T459="","⚠ not in Products",INDEX(Products!$A$5:$A$204,T459)))</f>
        <v/>
      </c>
      <c r="V459" s="11">
        <f>IF(J459="","",S459*(IFERROR(INDEX(Settings!$B$5:$B$9,MATCH($B459,Settings!$A$5:$A$9,0)),0)+IFERROR(INDEX(Settings!$E$5:$E$9,MATCH($B459,Settings!$A$5:$A$9,0)),0)+IFERROR(INDEX(Settings!$G$5:$G$9,MATCH($B459,Settings!$A$5:$A$9,0)),0))+(IFERROR(INDEX(Settings!$C$5:$C$9,MATCH($B459,Settings!$A$5:$A$9,0)),0)+IFERROR(INDEX(Settings!$F$5:$F$9,MATCH($B459,Settings!$A$5:$A$9,0)),0))/P459+IFERROR(INDEX(Settings!$D$5:$D$9,MATCH($B459,Settings!$A$5:$A$9,0)),0)*M459)</f>
        <v/>
      </c>
      <c r="W459" s="11">
        <f>IF(J459="","",IF(T459="",0,M459*INDEX(Products!$I$5:$I$204,T459)))</f>
        <v/>
      </c>
      <c r="X459" s="11">
        <f>IF(J459="","",IF(T459="",0,S459*INDEX(Products!$H$5:$H$204,T459)))</f>
        <v/>
      </c>
      <c r="Y459" s="11">
        <f>IF(J459="","",S459-V459-W459-X459)</f>
        <v/>
      </c>
    </row>
    <row r="460">
      <c r="A460" s="19" t="n"/>
      <c r="B460" s="19" t="n"/>
      <c r="C460" s="19" t="n"/>
      <c r="D460" s="19" t="n"/>
      <c r="E460" s="19" t="n"/>
      <c r="F460" s="20" t="n"/>
      <c r="G460" s="20" t="n"/>
      <c r="H460" s="20" t="n"/>
      <c r="I460" s="19" t="n"/>
      <c r="J460">
        <f>IFERROR(IF(C460="","",C460)&amp;"","")</f>
        <v/>
      </c>
      <c r="K460">
        <f>IFERROR(IF(D460="","",D460)&amp;"","")</f>
        <v/>
      </c>
      <c r="L460">
        <f>IFERROR(IF(I460="","",I460)&amp;"","")</f>
        <v/>
      </c>
      <c r="M460">
        <f>IF(J460="","",IFERROR(VALUE(SUBSTITUTE(SUBSTITUTE(IF(E460="","",E460)&amp;"","$",""),",","")),0))</f>
        <v/>
      </c>
      <c r="N460" s="11">
        <f>IF(J460="","",IFERROR(VALUE(SUBSTITUTE(SUBSTITUTE(IF(F460="","",F460)&amp;"","$",""),",","")),0))</f>
        <v/>
      </c>
      <c r="O460" s="11">
        <f>IF(J460="","",M460*N460)</f>
        <v/>
      </c>
      <c r="P460">
        <f>IF(J460="","",IF(L460="",1,COUNTIF($L$2:$L$1501,L460)))</f>
        <v/>
      </c>
      <c r="Q460" s="11">
        <f>IF(J460="","",IFERROR(VALUE(SUBSTITUTE(SUBSTITUTE(IF(G460="","",G460)&amp;"","$",""),",","")),0)/IF("No"="Yes",P460,1))</f>
        <v/>
      </c>
      <c r="R460" s="11">
        <f>IF(J460="","",IFERROR(VALUE(SUBSTITUTE(SUBSTITUTE(IF(H460="","",H460)&amp;"","$",""),",","")),0)/IF("No"="Yes",P460,1))</f>
        <v/>
      </c>
      <c r="S460" s="11">
        <f>IF(J460="","",O460+Q460-R460)</f>
        <v/>
      </c>
      <c r="T460">
        <f>IF(J460="","",IFERROR(IF(K460="",NA(),MATCH(K460,Products!$B$5:$B$204,0)),IFERROR(MATCH(J460,Products!$A$5:$A$204,0),"")))</f>
        <v/>
      </c>
      <c r="U460">
        <f>IF(J460="","",IF(T460="","⚠ not in Products",INDEX(Products!$A$5:$A$204,T460)))</f>
        <v/>
      </c>
      <c r="V460" s="11">
        <f>IF(J460="","",S460*(IFERROR(INDEX(Settings!$B$5:$B$9,MATCH($B460,Settings!$A$5:$A$9,0)),0)+IFERROR(INDEX(Settings!$E$5:$E$9,MATCH($B460,Settings!$A$5:$A$9,0)),0)+IFERROR(INDEX(Settings!$G$5:$G$9,MATCH($B460,Settings!$A$5:$A$9,0)),0))+(IFERROR(INDEX(Settings!$C$5:$C$9,MATCH($B460,Settings!$A$5:$A$9,0)),0)+IFERROR(INDEX(Settings!$F$5:$F$9,MATCH($B460,Settings!$A$5:$A$9,0)),0))/P460+IFERROR(INDEX(Settings!$D$5:$D$9,MATCH($B460,Settings!$A$5:$A$9,0)),0)*M460)</f>
        <v/>
      </c>
      <c r="W460" s="11">
        <f>IF(J460="","",IF(T460="",0,M460*INDEX(Products!$I$5:$I$204,T460)))</f>
        <v/>
      </c>
      <c r="X460" s="11">
        <f>IF(J460="","",IF(T460="",0,S460*INDEX(Products!$H$5:$H$204,T460)))</f>
        <v/>
      </c>
      <c r="Y460" s="11">
        <f>IF(J460="","",S460-V460-W460-X460)</f>
        <v/>
      </c>
    </row>
    <row r="461">
      <c r="A461" s="19" t="n"/>
      <c r="B461" s="19" t="n"/>
      <c r="C461" s="19" t="n"/>
      <c r="D461" s="19" t="n"/>
      <c r="E461" s="19" t="n"/>
      <c r="F461" s="20" t="n"/>
      <c r="G461" s="20" t="n"/>
      <c r="H461" s="20" t="n"/>
      <c r="I461" s="19" t="n"/>
      <c r="J461">
        <f>IFERROR(IF(C461="","",C461)&amp;"","")</f>
        <v/>
      </c>
      <c r="K461">
        <f>IFERROR(IF(D461="","",D461)&amp;"","")</f>
        <v/>
      </c>
      <c r="L461">
        <f>IFERROR(IF(I461="","",I461)&amp;"","")</f>
        <v/>
      </c>
      <c r="M461">
        <f>IF(J461="","",IFERROR(VALUE(SUBSTITUTE(SUBSTITUTE(IF(E461="","",E461)&amp;"","$",""),",","")),0))</f>
        <v/>
      </c>
      <c r="N461" s="11">
        <f>IF(J461="","",IFERROR(VALUE(SUBSTITUTE(SUBSTITUTE(IF(F461="","",F461)&amp;"","$",""),",","")),0))</f>
        <v/>
      </c>
      <c r="O461" s="11">
        <f>IF(J461="","",M461*N461)</f>
        <v/>
      </c>
      <c r="P461">
        <f>IF(J461="","",IF(L461="",1,COUNTIF($L$2:$L$1501,L461)))</f>
        <v/>
      </c>
      <c r="Q461" s="11">
        <f>IF(J461="","",IFERROR(VALUE(SUBSTITUTE(SUBSTITUTE(IF(G461="","",G461)&amp;"","$",""),",","")),0)/IF("No"="Yes",P461,1))</f>
        <v/>
      </c>
      <c r="R461" s="11">
        <f>IF(J461="","",IFERROR(VALUE(SUBSTITUTE(SUBSTITUTE(IF(H461="","",H461)&amp;"","$",""),",","")),0)/IF("No"="Yes",P461,1))</f>
        <v/>
      </c>
      <c r="S461" s="11">
        <f>IF(J461="","",O461+Q461-R461)</f>
        <v/>
      </c>
      <c r="T461">
        <f>IF(J461="","",IFERROR(IF(K461="",NA(),MATCH(K461,Products!$B$5:$B$204,0)),IFERROR(MATCH(J461,Products!$A$5:$A$204,0),"")))</f>
        <v/>
      </c>
      <c r="U461">
        <f>IF(J461="","",IF(T461="","⚠ not in Products",INDEX(Products!$A$5:$A$204,T461)))</f>
        <v/>
      </c>
      <c r="V461" s="11">
        <f>IF(J461="","",S461*(IFERROR(INDEX(Settings!$B$5:$B$9,MATCH($B461,Settings!$A$5:$A$9,0)),0)+IFERROR(INDEX(Settings!$E$5:$E$9,MATCH($B461,Settings!$A$5:$A$9,0)),0)+IFERROR(INDEX(Settings!$G$5:$G$9,MATCH($B461,Settings!$A$5:$A$9,0)),0))+(IFERROR(INDEX(Settings!$C$5:$C$9,MATCH($B461,Settings!$A$5:$A$9,0)),0)+IFERROR(INDEX(Settings!$F$5:$F$9,MATCH($B461,Settings!$A$5:$A$9,0)),0))/P461+IFERROR(INDEX(Settings!$D$5:$D$9,MATCH($B461,Settings!$A$5:$A$9,0)),0)*M461)</f>
        <v/>
      </c>
      <c r="W461" s="11">
        <f>IF(J461="","",IF(T461="",0,M461*INDEX(Products!$I$5:$I$204,T461)))</f>
        <v/>
      </c>
      <c r="X461" s="11">
        <f>IF(J461="","",IF(T461="",0,S461*INDEX(Products!$H$5:$H$204,T461)))</f>
        <v/>
      </c>
      <c r="Y461" s="11">
        <f>IF(J461="","",S461-V461-W461-X461)</f>
        <v/>
      </c>
    </row>
    <row r="462">
      <c r="A462" s="19" t="n"/>
      <c r="B462" s="19" t="n"/>
      <c r="C462" s="19" t="n"/>
      <c r="D462" s="19" t="n"/>
      <c r="E462" s="19" t="n"/>
      <c r="F462" s="20" t="n"/>
      <c r="G462" s="20" t="n"/>
      <c r="H462" s="20" t="n"/>
      <c r="I462" s="19" t="n"/>
      <c r="J462">
        <f>IFERROR(IF(C462="","",C462)&amp;"","")</f>
        <v/>
      </c>
      <c r="K462">
        <f>IFERROR(IF(D462="","",D462)&amp;"","")</f>
        <v/>
      </c>
      <c r="L462">
        <f>IFERROR(IF(I462="","",I462)&amp;"","")</f>
        <v/>
      </c>
      <c r="M462">
        <f>IF(J462="","",IFERROR(VALUE(SUBSTITUTE(SUBSTITUTE(IF(E462="","",E462)&amp;"","$",""),",","")),0))</f>
        <v/>
      </c>
      <c r="N462" s="11">
        <f>IF(J462="","",IFERROR(VALUE(SUBSTITUTE(SUBSTITUTE(IF(F462="","",F462)&amp;"","$",""),",","")),0))</f>
        <v/>
      </c>
      <c r="O462" s="11">
        <f>IF(J462="","",M462*N462)</f>
        <v/>
      </c>
      <c r="P462">
        <f>IF(J462="","",IF(L462="",1,COUNTIF($L$2:$L$1501,L462)))</f>
        <v/>
      </c>
      <c r="Q462" s="11">
        <f>IF(J462="","",IFERROR(VALUE(SUBSTITUTE(SUBSTITUTE(IF(G462="","",G462)&amp;"","$",""),",","")),0)/IF("No"="Yes",P462,1))</f>
        <v/>
      </c>
      <c r="R462" s="11">
        <f>IF(J462="","",IFERROR(VALUE(SUBSTITUTE(SUBSTITUTE(IF(H462="","",H462)&amp;"","$",""),",","")),0)/IF("No"="Yes",P462,1))</f>
        <v/>
      </c>
      <c r="S462" s="11">
        <f>IF(J462="","",O462+Q462-R462)</f>
        <v/>
      </c>
      <c r="T462">
        <f>IF(J462="","",IFERROR(IF(K462="",NA(),MATCH(K462,Products!$B$5:$B$204,0)),IFERROR(MATCH(J462,Products!$A$5:$A$204,0),"")))</f>
        <v/>
      </c>
      <c r="U462">
        <f>IF(J462="","",IF(T462="","⚠ not in Products",INDEX(Products!$A$5:$A$204,T462)))</f>
        <v/>
      </c>
      <c r="V462" s="11">
        <f>IF(J462="","",S462*(IFERROR(INDEX(Settings!$B$5:$B$9,MATCH($B462,Settings!$A$5:$A$9,0)),0)+IFERROR(INDEX(Settings!$E$5:$E$9,MATCH($B462,Settings!$A$5:$A$9,0)),0)+IFERROR(INDEX(Settings!$G$5:$G$9,MATCH($B462,Settings!$A$5:$A$9,0)),0))+(IFERROR(INDEX(Settings!$C$5:$C$9,MATCH($B462,Settings!$A$5:$A$9,0)),0)+IFERROR(INDEX(Settings!$F$5:$F$9,MATCH($B462,Settings!$A$5:$A$9,0)),0))/P462+IFERROR(INDEX(Settings!$D$5:$D$9,MATCH($B462,Settings!$A$5:$A$9,0)),0)*M462)</f>
        <v/>
      </c>
      <c r="W462" s="11">
        <f>IF(J462="","",IF(T462="",0,M462*INDEX(Products!$I$5:$I$204,T462)))</f>
        <v/>
      </c>
      <c r="X462" s="11">
        <f>IF(J462="","",IF(T462="",0,S462*INDEX(Products!$H$5:$H$204,T462)))</f>
        <v/>
      </c>
      <c r="Y462" s="11">
        <f>IF(J462="","",S462-V462-W462-X462)</f>
        <v/>
      </c>
    </row>
    <row r="463">
      <c r="A463" s="19" t="n"/>
      <c r="B463" s="19" t="n"/>
      <c r="C463" s="19" t="n"/>
      <c r="D463" s="19" t="n"/>
      <c r="E463" s="19" t="n"/>
      <c r="F463" s="20" t="n"/>
      <c r="G463" s="20" t="n"/>
      <c r="H463" s="20" t="n"/>
      <c r="I463" s="19" t="n"/>
      <c r="J463">
        <f>IFERROR(IF(C463="","",C463)&amp;"","")</f>
        <v/>
      </c>
      <c r="K463">
        <f>IFERROR(IF(D463="","",D463)&amp;"","")</f>
        <v/>
      </c>
      <c r="L463">
        <f>IFERROR(IF(I463="","",I463)&amp;"","")</f>
        <v/>
      </c>
      <c r="M463">
        <f>IF(J463="","",IFERROR(VALUE(SUBSTITUTE(SUBSTITUTE(IF(E463="","",E463)&amp;"","$",""),",","")),0))</f>
        <v/>
      </c>
      <c r="N463" s="11">
        <f>IF(J463="","",IFERROR(VALUE(SUBSTITUTE(SUBSTITUTE(IF(F463="","",F463)&amp;"","$",""),",","")),0))</f>
        <v/>
      </c>
      <c r="O463" s="11">
        <f>IF(J463="","",M463*N463)</f>
        <v/>
      </c>
      <c r="P463">
        <f>IF(J463="","",IF(L463="",1,COUNTIF($L$2:$L$1501,L463)))</f>
        <v/>
      </c>
      <c r="Q463" s="11">
        <f>IF(J463="","",IFERROR(VALUE(SUBSTITUTE(SUBSTITUTE(IF(G463="","",G463)&amp;"","$",""),",","")),0)/IF("No"="Yes",P463,1))</f>
        <v/>
      </c>
      <c r="R463" s="11">
        <f>IF(J463="","",IFERROR(VALUE(SUBSTITUTE(SUBSTITUTE(IF(H463="","",H463)&amp;"","$",""),",","")),0)/IF("No"="Yes",P463,1))</f>
        <v/>
      </c>
      <c r="S463" s="11">
        <f>IF(J463="","",O463+Q463-R463)</f>
        <v/>
      </c>
      <c r="T463">
        <f>IF(J463="","",IFERROR(IF(K463="",NA(),MATCH(K463,Products!$B$5:$B$204,0)),IFERROR(MATCH(J463,Products!$A$5:$A$204,0),"")))</f>
        <v/>
      </c>
      <c r="U463">
        <f>IF(J463="","",IF(T463="","⚠ not in Products",INDEX(Products!$A$5:$A$204,T463)))</f>
        <v/>
      </c>
      <c r="V463" s="11">
        <f>IF(J463="","",S463*(IFERROR(INDEX(Settings!$B$5:$B$9,MATCH($B463,Settings!$A$5:$A$9,0)),0)+IFERROR(INDEX(Settings!$E$5:$E$9,MATCH($B463,Settings!$A$5:$A$9,0)),0)+IFERROR(INDEX(Settings!$G$5:$G$9,MATCH($B463,Settings!$A$5:$A$9,0)),0))+(IFERROR(INDEX(Settings!$C$5:$C$9,MATCH($B463,Settings!$A$5:$A$9,0)),0)+IFERROR(INDEX(Settings!$F$5:$F$9,MATCH($B463,Settings!$A$5:$A$9,0)),0))/P463+IFERROR(INDEX(Settings!$D$5:$D$9,MATCH($B463,Settings!$A$5:$A$9,0)),0)*M463)</f>
        <v/>
      </c>
      <c r="W463" s="11">
        <f>IF(J463="","",IF(T463="",0,M463*INDEX(Products!$I$5:$I$204,T463)))</f>
        <v/>
      </c>
      <c r="X463" s="11">
        <f>IF(J463="","",IF(T463="",0,S463*INDEX(Products!$H$5:$H$204,T463)))</f>
        <v/>
      </c>
      <c r="Y463" s="11">
        <f>IF(J463="","",S463-V463-W463-X463)</f>
        <v/>
      </c>
    </row>
    <row r="464">
      <c r="A464" s="19" t="n"/>
      <c r="B464" s="19" t="n"/>
      <c r="C464" s="19" t="n"/>
      <c r="D464" s="19" t="n"/>
      <c r="E464" s="19" t="n"/>
      <c r="F464" s="20" t="n"/>
      <c r="G464" s="20" t="n"/>
      <c r="H464" s="20" t="n"/>
      <c r="I464" s="19" t="n"/>
      <c r="J464">
        <f>IFERROR(IF(C464="","",C464)&amp;"","")</f>
        <v/>
      </c>
      <c r="K464">
        <f>IFERROR(IF(D464="","",D464)&amp;"","")</f>
        <v/>
      </c>
      <c r="L464">
        <f>IFERROR(IF(I464="","",I464)&amp;"","")</f>
        <v/>
      </c>
      <c r="M464">
        <f>IF(J464="","",IFERROR(VALUE(SUBSTITUTE(SUBSTITUTE(IF(E464="","",E464)&amp;"","$",""),",","")),0))</f>
        <v/>
      </c>
      <c r="N464" s="11">
        <f>IF(J464="","",IFERROR(VALUE(SUBSTITUTE(SUBSTITUTE(IF(F464="","",F464)&amp;"","$",""),",","")),0))</f>
        <v/>
      </c>
      <c r="O464" s="11">
        <f>IF(J464="","",M464*N464)</f>
        <v/>
      </c>
      <c r="P464">
        <f>IF(J464="","",IF(L464="",1,COUNTIF($L$2:$L$1501,L464)))</f>
        <v/>
      </c>
      <c r="Q464" s="11">
        <f>IF(J464="","",IFERROR(VALUE(SUBSTITUTE(SUBSTITUTE(IF(G464="","",G464)&amp;"","$",""),",","")),0)/IF("No"="Yes",P464,1))</f>
        <v/>
      </c>
      <c r="R464" s="11">
        <f>IF(J464="","",IFERROR(VALUE(SUBSTITUTE(SUBSTITUTE(IF(H464="","",H464)&amp;"","$",""),",","")),0)/IF("No"="Yes",P464,1))</f>
        <v/>
      </c>
      <c r="S464" s="11">
        <f>IF(J464="","",O464+Q464-R464)</f>
        <v/>
      </c>
      <c r="T464">
        <f>IF(J464="","",IFERROR(IF(K464="",NA(),MATCH(K464,Products!$B$5:$B$204,0)),IFERROR(MATCH(J464,Products!$A$5:$A$204,0),"")))</f>
        <v/>
      </c>
      <c r="U464">
        <f>IF(J464="","",IF(T464="","⚠ not in Products",INDEX(Products!$A$5:$A$204,T464)))</f>
        <v/>
      </c>
      <c r="V464" s="11">
        <f>IF(J464="","",S464*(IFERROR(INDEX(Settings!$B$5:$B$9,MATCH($B464,Settings!$A$5:$A$9,0)),0)+IFERROR(INDEX(Settings!$E$5:$E$9,MATCH($B464,Settings!$A$5:$A$9,0)),0)+IFERROR(INDEX(Settings!$G$5:$G$9,MATCH($B464,Settings!$A$5:$A$9,0)),0))+(IFERROR(INDEX(Settings!$C$5:$C$9,MATCH($B464,Settings!$A$5:$A$9,0)),0)+IFERROR(INDEX(Settings!$F$5:$F$9,MATCH($B464,Settings!$A$5:$A$9,0)),0))/P464+IFERROR(INDEX(Settings!$D$5:$D$9,MATCH($B464,Settings!$A$5:$A$9,0)),0)*M464)</f>
        <v/>
      </c>
      <c r="W464" s="11">
        <f>IF(J464="","",IF(T464="",0,M464*INDEX(Products!$I$5:$I$204,T464)))</f>
        <v/>
      </c>
      <c r="X464" s="11">
        <f>IF(J464="","",IF(T464="",0,S464*INDEX(Products!$H$5:$H$204,T464)))</f>
        <v/>
      </c>
      <c r="Y464" s="11">
        <f>IF(J464="","",S464-V464-W464-X464)</f>
        <v/>
      </c>
    </row>
    <row r="465">
      <c r="A465" s="19" t="n"/>
      <c r="B465" s="19" t="n"/>
      <c r="C465" s="19" t="n"/>
      <c r="D465" s="19" t="n"/>
      <c r="E465" s="19" t="n"/>
      <c r="F465" s="20" t="n"/>
      <c r="G465" s="20" t="n"/>
      <c r="H465" s="20" t="n"/>
      <c r="I465" s="19" t="n"/>
      <c r="J465">
        <f>IFERROR(IF(C465="","",C465)&amp;"","")</f>
        <v/>
      </c>
      <c r="K465">
        <f>IFERROR(IF(D465="","",D465)&amp;"","")</f>
        <v/>
      </c>
      <c r="L465">
        <f>IFERROR(IF(I465="","",I465)&amp;"","")</f>
        <v/>
      </c>
      <c r="M465">
        <f>IF(J465="","",IFERROR(VALUE(SUBSTITUTE(SUBSTITUTE(IF(E465="","",E465)&amp;"","$",""),",","")),0))</f>
        <v/>
      </c>
      <c r="N465" s="11">
        <f>IF(J465="","",IFERROR(VALUE(SUBSTITUTE(SUBSTITUTE(IF(F465="","",F465)&amp;"","$",""),",","")),0))</f>
        <v/>
      </c>
      <c r="O465" s="11">
        <f>IF(J465="","",M465*N465)</f>
        <v/>
      </c>
      <c r="P465">
        <f>IF(J465="","",IF(L465="",1,COUNTIF($L$2:$L$1501,L465)))</f>
        <v/>
      </c>
      <c r="Q465" s="11">
        <f>IF(J465="","",IFERROR(VALUE(SUBSTITUTE(SUBSTITUTE(IF(G465="","",G465)&amp;"","$",""),",","")),0)/IF("No"="Yes",P465,1))</f>
        <v/>
      </c>
      <c r="R465" s="11">
        <f>IF(J465="","",IFERROR(VALUE(SUBSTITUTE(SUBSTITUTE(IF(H465="","",H465)&amp;"","$",""),",","")),0)/IF("No"="Yes",P465,1))</f>
        <v/>
      </c>
      <c r="S465" s="11">
        <f>IF(J465="","",O465+Q465-R465)</f>
        <v/>
      </c>
      <c r="T465">
        <f>IF(J465="","",IFERROR(IF(K465="",NA(),MATCH(K465,Products!$B$5:$B$204,0)),IFERROR(MATCH(J465,Products!$A$5:$A$204,0),"")))</f>
        <v/>
      </c>
      <c r="U465">
        <f>IF(J465="","",IF(T465="","⚠ not in Products",INDEX(Products!$A$5:$A$204,T465)))</f>
        <v/>
      </c>
      <c r="V465" s="11">
        <f>IF(J465="","",S465*(IFERROR(INDEX(Settings!$B$5:$B$9,MATCH($B465,Settings!$A$5:$A$9,0)),0)+IFERROR(INDEX(Settings!$E$5:$E$9,MATCH($B465,Settings!$A$5:$A$9,0)),0)+IFERROR(INDEX(Settings!$G$5:$G$9,MATCH($B465,Settings!$A$5:$A$9,0)),0))+(IFERROR(INDEX(Settings!$C$5:$C$9,MATCH($B465,Settings!$A$5:$A$9,0)),0)+IFERROR(INDEX(Settings!$F$5:$F$9,MATCH($B465,Settings!$A$5:$A$9,0)),0))/P465+IFERROR(INDEX(Settings!$D$5:$D$9,MATCH($B465,Settings!$A$5:$A$9,0)),0)*M465)</f>
        <v/>
      </c>
      <c r="W465" s="11">
        <f>IF(J465="","",IF(T465="",0,M465*INDEX(Products!$I$5:$I$204,T465)))</f>
        <v/>
      </c>
      <c r="X465" s="11">
        <f>IF(J465="","",IF(T465="",0,S465*INDEX(Products!$H$5:$H$204,T465)))</f>
        <v/>
      </c>
      <c r="Y465" s="11">
        <f>IF(J465="","",S465-V465-W465-X465)</f>
        <v/>
      </c>
    </row>
    <row r="466">
      <c r="A466" s="19" t="n"/>
      <c r="B466" s="19" t="n"/>
      <c r="C466" s="19" t="n"/>
      <c r="D466" s="19" t="n"/>
      <c r="E466" s="19" t="n"/>
      <c r="F466" s="20" t="n"/>
      <c r="G466" s="20" t="n"/>
      <c r="H466" s="20" t="n"/>
      <c r="I466" s="19" t="n"/>
      <c r="J466">
        <f>IFERROR(IF(C466="","",C466)&amp;"","")</f>
        <v/>
      </c>
      <c r="K466">
        <f>IFERROR(IF(D466="","",D466)&amp;"","")</f>
        <v/>
      </c>
      <c r="L466">
        <f>IFERROR(IF(I466="","",I466)&amp;"","")</f>
        <v/>
      </c>
      <c r="M466">
        <f>IF(J466="","",IFERROR(VALUE(SUBSTITUTE(SUBSTITUTE(IF(E466="","",E466)&amp;"","$",""),",","")),0))</f>
        <v/>
      </c>
      <c r="N466" s="11">
        <f>IF(J466="","",IFERROR(VALUE(SUBSTITUTE(SUBSTITUTE(IF(F466="","",F466)&amp;"","$",""),",","")),0))</f>
        <v/>
      </c>
      <c r="O466" s="11">
        <f>IF(J466="","",M466*N466)</f>
        <v/>
      </c>
      <c r="P466">
        <f>IF(J466="","",IF(L466="",1,COUNTIF($L$2:$L$1501,L466)))</f>
        <v/>
      </c>
      <c r="Q466" s="11">
        <f>IF(J466="","",IFERROR(VALUE(SUBSTITUTE(SUBSTITUTE(IF(G466="","",G466)&amp;"","$",""),",","")),0)/IF("No"="Yes",P466,1))</f>
        <v/>
      </c>
      <c r="R466" s="11">
        <f>IF(J466="","",IFERROR(VALUE(SUBSTITUTE(SUBSTITUTE(IF(H466="","",H466)&amp;"","$",""),",","")),0)/IF("No"="Yes",P466,1))</f>
        <v/>
      </c>
      <c r="S466" s="11">
        <f>IF(J466="","",O466+Q466-R466)</f>
        <v/>
      </c>
      <c r="T466">
        <f>IF(J466="","",IFERROR(IF(K466="",NA(),MATCH(K466,Products!$B$5:$B$204,0)),IFERROR(MATCH(J466,Products!$A$5:$A$204,0),"")))</f>
        <v/>
      </c>
      <c r="U466">
        <f>IF(J466="","",IF(T466="","⚠ not in Products",INDEX(Products!$A$5:$A$204,T466)))</f>
        <v/>
      </c>
      <c r="V466" s="11">
        <f>IF(J466="","",S466*(IFERROR(INDEX(Settings!$B$5:$B$9,MATCH($B466,Settings!$A$5:$A$9,0)),0)+IFERROR(INDEX(Settings!$E$5:$E$9,MATCH($B466,Settings!$A$5:$A$9,0)),0)+IFERROR(INDEX(Settings!$G$5:$G$9,MATCH($B466,Settings!$A$5:$A$9,0)),0))+(IFERROR(INDEX(Settings!$C$5:$C$9,MATCH($B466,Settings!$A$5:$A$9,0)),0)+IFERROR(INDEX(Settings!$F$5:$F$9,MATCH($B466,Settings!$A$5:$A$9,0)),0))/P466+IFERROR(INDEX(Settings!$D$5:$D$9,MATCH($B466,Settings!$A$5:$A$9,0)),0)*M466)</f>
        <v/>
      </c>
      <c r="W466" s="11">
        <f>IF(J466="","",IF(T466="",0,M466*INDEX(Products!$I$5:$I$204,T466)))</f>
        <v/>
      </c>
      <c r="X466" s="11">
        <f>IF(J466="","",IF(T466="",0,S466*INDEX(Products!$H$5:$H$204,T466)))</f>
        <v/>
      </c>
      <c r="Y466" s="11">
        <f>IF(J466="","",S466-V466-W466-X466)</f>
        <v/>
      </c>
    </row>
    <row r="467">
      <c r="A467" s="19" t="n"/>
      <c r="B467" s="19" t="n"/>
      <c r="C467" s="19" t="n"/>
      <c r="D467" s="19" t="n"/>
      <c r="E467" s="19" t="n"/>
      <c r="F467" s="20" t="n"/>
      <c r="G467" s="20" t="n"/>
      <c r="H467" s="20" t="n"/>
      <c r="I467" s="19" t="n"/>
      <c r="J467">
        <f>IFERROR(IF(C467="","",C467)&amp;"","")</f>
        <v/>
      </c>
      <c r="K467">
        <f>IFERROR(IF(D467="","",D467)&amp;"","")</f>
        <v/>
      </c>
      <c r="L467">
        <f>IFERROR(IF(I467="","",I467)&amp;"","")</f>
        <v/>
      </c>
      <c r="M467">
        <f>IF(J467="","",IFERROR(VALUE(SUBSTITUTE(SUBSTITUTE(IF(E467="","",E467)&amp;"","$",""),",","")),0))</f>
        <v/>
      </c>
      <c r="N467" s="11">
        <f>IF(J467="","",IFERROR(VALUE(SUBSTITUTE(SUBSTITUTE(IF(F467="","",F467)&amp;"","$",""),",","")),0))</f>
        <v/>
      </c>
      <c r="O467" s="11">
        <f>IF(J467="","",M467*N467)</f>
        <v/>
      </c>
      <c r="P467">
        <f>IF(J467="","",IF(L467="",1,COUNTIF($L$2:$L$1501,L467)))</f>
        <v/>
      </c>
      <c r="Q467" s="11">
        <f>IF(J467="","",IFERROR(VALUE(SUBSTITUTE(SUBSTITUTE(IF(G467="","",G467)&amp;"","$",""),",","")),0)/IF("No"="Yes",P467,1))</f>
        <v/>
      </c>
      <c r="R467" s="11">
        <f>IF(J467="","",IFERROR(VALUE(SUBSTITUTE(SUBSTITUTE(IF(H467="","",H467)&amp;"","$",""),",","")),0)/IF("No"="Yes",P467,1))</f>
        <v/>
      </c>
      <c r="S467" s="11">
        <f>IF(J467="","",O467+Q467-R467)</f>
        <v/>
      </c>
      <c r="T467">
        <f>IF(J467="","",IFERROR(IF(K467="",NA(),MATCH(K467,Products!$B$5:$B$204,0)),IFERROR(MATCH(J467,Products!$A$5:$A$204,0),"")))</f>
        <v/>
      </c>
      <c r="U467">
        <f>IF(J467="","",IF(T467="","⚠ not in Products",INDEX(Products!$A$5:$A$204,T467)))</f>
        <v/>
      </c>
      <c r="V467" s="11">
        <f>IF(J467="","",S467*(IFERROR(INDEX(Settings!$B$5:$B$9,MATCH($B467,Settings!$A$5:$A$9,0)),0)+IFERROR(INDEX(Settings!$E$5:$E$9,MATCH($B467,Settings!$A$5:$A$9,0)),0)+IFERROR(INDEX(Settings!$G$5:$G$9,MATCH($B467,Settings!$A$5:$A$9,0)),0))+(IFERROR(INDEX(Settings!$C$5:$C$9,MATCH($B467,Settings!$A$5:$A$9,0)),0)+IFERROR(INDEX(Settings!$F$5:$F$9,MATCH($B467,Settings!$A$5:$A$9,0)),0))/P467+IFERROR(INDEX(Settings!$D$5:$D$9,MATCH($B467,Settings!$A$5:$A$9,0)),0)*M467)</f>
        <v/>
      </c>
      <c r="W467" s="11">
        <f>IF(J467="","",IF(T467="",0,M467*INDEX(Products!$I$5:$I$204,T467)))</f>
        <v/>
      </c>
      <c r="X467" s="11">
        <f>IF(J467="","",IF(T467="",0,S467*INDEX(Products!$H$5:$H$204,T467)))</f>
        <v/>
      </c>
      <c r="Y467" s="11">
        <f>IF(J467="","",S467-V467-W467-X467)</f>
        <v/>
      </c>
    </row>
    <row r="468">
      <c r="A468" s="19" t="n"/>
      <c r="B468" s="19" t="n"/>
      <c r="C468" s="19" t="n"/>
      <c r="D468" s="19" t="n"/>
      <c r="E468" s="19" t="n"/>
      <c r="F468" s="20" t="n"/>
      <c r="G468" s="20" t="n"/>
      <c r="H468" s="20" t="n"/>
      <c r="I468" s="19" t="n"/>
      <c r="J468">
        <f>IFERROR(IF(C468="","",C468)&amp;"","")</f>
        <v/>
      </c>
      <c r="K468">
        <f>IFERROR(IF(D468="","",D468)&amp;"","")</f>
        <v/>
      </c>
      <c r="L468">
        <f>IFERROR(IF(I468="","",I468)&amp;"","")</f>
        <v/>
      </c>
      <c r="M468">
        <f>IF(J468="","",IFERROR(VALUE(SUBSTITUTE(SUBSTITUTE(IF(E468="","",E468)&amp;"","$",""),",","")),0))</f>
        <v/>
      </c>
      <c r="N468" s="11">
        <f>IF(J468="","",IFERROR(VALUE(SUBSTITUTE(SUBSTITUTE(IF(F468="","",F468)&amp;"","$",""),",","")),0))</f>
        <v/>
      </c>
      <c r="O468" s="11">
        <f>IF(J468="","",M468*N468)</f>
        <v/>
      </c>
      <c r="P468">
        <f>IF(J468="","",IF(L468="",1,COUNTIF($L$2:$L$1501,L468)))</f>
        <v/>
      </c>
      <c r="Q468" s="11">
        <f>IF(J468="","",IFERROR(VALUE(SUBSTITUTE(SUBSTITUTE(IF(G468="","",G468)&amp;"","$",""),",","")),0)/IF("No"="Yes",P468,1))</f>
        <v/>
      </c>
      <c r="R468" s="11">
        <f>IF(J468="","",IFERROR(VALUE(SUBSTITUTE(SUBSTITUTE(IF(H468="","",H468)&amp;"","$",""),",","")),0)/IF("No"="Yes",P468,1))</f>
        <v/>
      </c>
      <c r="S468" s="11">
        <f>IF(J468="","",O468+Q468-R468)</f>
        <v/>
      </c>
      <c r="T468">
        <f>IF(J468="","",IFERROR(IF(K468="",NA(),MATCH(K468,Products!$B$5:$B$204,0)),IFERROR(MATCH(J468,Products!$A$5:$A$204,0),"")))</f>
        <v/>
      </c>
      <c r="U468">
        <f>IF(J468="","",IF(T468="","⚠ not in Products",INDEX(Products!$A$5:$A$204,T468)))</f>
        <v/>
      </c>
      <c r="V468" s="11">
        <f>IF(J468="","",S468*(IFERROR(INDEX(Settings!$B$5:$B$9,MATCH($B468,Settings!$A$5:$A$9,0)),0)+IFERROR(INDEX(Settings!$E$5:$E$9,MATCH($B468,Settings!$A$5:$A$9,0)),0)+IFERROR(INDEX(Settings!$G$5:$G$9,MATCH($B468,Settings!$A$5:$A$9,0)),0))+(IFERROR(INDEX(Settings!$C$5:$C$9,MATCH($B468,Settings!$A$5:$A$9,0)),0)+IFERROR(INDEX(Settings!$F$5:$F$9,MATCH($B468,Settings!$A$5:$A$9,0)),0))/P468+IFERROR(INDEX(Settings!$D$5:$D$9,MATCH($B468,Settings!$A$5:$A$9,0)),0)*M468)</f>
        <v/>
      </c>
      <c r="W468" s="11">
        <f>IF(J468="","",IF(T468="",0,M468*INDEX(Products!$I$5:$I$204,T468)))</f>
        <v/>
      </c>
      <c r="X468" s="11">
        <f>IF(J468="","",IF(T468="",0,S468*INDEX(Products!$H$5:$H$204,T468)))</f>
        <v/>
      </c>
      <c r="Y468" s="11">
        <f>IF(J468="","",S468-V468-W468-X468)</f>
        <v/>
      </c>
    </row>
    <row r="469">
      <c r="A469" s="19" t="n"/>
      <c r="B469" s="19" t="n"/>
      <c r="C469" s="19" t="n"/>
      <c r="D469" s="19" t="n"/>
      <c r="E469" s="19" t="n"/>
      <c r="F469" s="20" t="n"/>
      <c r="G469" s="20" t="n"/>
      <c r="H469" s="20" t="n"/>
      <c r="I469" s="19" t="n"/>
      <c r="J469">
        <f>IFERROR(IF(C469="","",C469)&amp;"","")</f>
        <v/>
      </c>
      <c r="K469">
        <f>IFERROR(IF(D469="","",D469)&amp;"","")</f>
        <v/>
      </c>
      <c r="L469">
        <f>IFERROR(IF(I469="","",I469)&amp;"","")</f>
        <v/>
      </c>
      <c r="M469">
        <f>IF(J469="","",IFERROR(VALUE(SUBSTITUTE(SUBSTITUTE(IF(E469="","",E469)&amp;"","$",""),",","")),0))</f>
        <v/>
      </c>
      <c r="N469" s="11">
        <f>IF(J469="","",IFERROR(VALUE(SUBSTITUTE(SUBSTITUTE(IF(F469="","",F469)&amp;"","$",""),",","")),0))</f>
        <v/>
      </c>
      <c r="O469" s="11">
        <f>IF(J469="","",M469*N469)</f>
        <v/>
      </c>
      <c r="P469">
        <f>IF(J469="","",IF(L469="",1,COUNTIF($L$2:$L$1501,L469)))</f>
        <v/>
      </c>
      <c r="Q469" s="11">
        <f>IF(J469="","",IFERROR(VALUE(SUBSTITUTE(SUBSTITUTE(IF(G469="","",G469)&amp;"","$",""),",","")),0)/IF("No"="Yes",P469,1))</f>
        <v/>
      </c>
      <c r="R469" s="11">
        <f>IF(J469="","",IFERROR(VALUE(SUBSTITUTE(SUBSTITUTE(IF(H469="","",H469)&amp;"","$",""),",","")),0)/IF("No"="Yes",P469,1))</f>
        <v/>
      </c>
      <c r="S469" s="11">
        <f>IF(J469="","",O469+Q469-R469)</f>
        <v/>
      </c>
      <c r="T469">
        <f>IF(J469="","",IFERROR(IF(K469="",NA(),MATCH(K469,Products!$B$5:$B$204,0)),IFERROR(MATCH(J469,Products!$A$5:$A$204,0),"")))</f>
        <v/>
      </c>
      <c r="U469">
        <f>IF(J469="","",IF(T469="","⚠ not in Products",INDEX(Products!$A$5:$A$204,T469)))</f>
        <v/>
      </c>
      <c r="V469" s="11">
        <f>IF(J469="","",S469*(IFERROR(INDEX(Settings!$B$5:$B$9,MATCH($B469,Settings!$A$5:$A$9,0)),0)+IFERROR(INDEX(Settings!$E$5:$E$9,MATCH($B469,Settings!$A$5:$A$9,0)),0)+IFERROR(INDEX(Settings!$G$5:$G$9,MATCH($B469,Settings!$A$5:$A$9,0)),0))+(IFERROR(INDEX(Settings!$C$5:$C$9,MATCH($B469,Settings!$A$5:$A$9,0)),0)+IFERROR(INDEX(Settings!$F$5:$F$9,MATCH($B469,Settings!$A$5:$A$9,0)),0))/P469+IFERROR(INDEX(Settings!$D$5:$D$9,MATCH($B469,Settings!$A$5:$A$9,0)),0)*M469)</f>
        <v/>
      </c>
      <c r="W469" s="11">
        <f>IF(J469="","",IF(T469="",0,M469*INDEX(Products!$I$5:$I$204,T469)))</f>
        <v/>
      </c>
      <c r="X469" s="11">
        <f>IF(J469="","",IF(T469="",0,S469*INDEX(Products!$H$5:$H$204,T469)))</f>
        <v/>
      </c>
      <c r="Y469" s="11">
        <f>IF(J469="","",S469-V469-W469-X469)</f>
        <v/>
      </c>
    </row>
    <row r="470">
      <c r="A470" s="19" t="n"/>
      <c r="B470" s="19" t="n"/>
      <c r="C470" s="19" t="n"/>
      <c r="D470" s="19" t="n"/>
      <c r="E470" s="19" t="n"/>
      <c r="F470" s="20" t="n"/>
      <c r="G470" s="20" t="n"/>
      <c r="H470" s="20" t="n"/>
      <c r="I470" s="19" t="n"/>
      <c r="J470">
        <f>IFERROR(IF(C470="","",C470)&amp;"","")</f>
        <v/>
      </c>
      <c r="K470">
        <f>IFERROR(IF(D470="","",D470)&amp;"","")</f>
        <v/>
      </c>
      <c r="L470">
        <f>IFERROR(IF(I470="","",I470)&amp;"","")</f>
        <v/>
      </c>
      <c r="M470">
        <f>IF(J470="","",IFERROR(VALUE(SUBSTITUTE(SUBSTITUTE(IF(E470="","",E470)&amp;"","$",""),",","")),0))</f>
        <v/>
      </c>
      <c r="N470" s="11">
        <f>IF(J470="","",IFERROR(VALUE(SUBSTITUTE(SUBSTITUTE(IF(F470="","",F470)&amp;"","$",""),",","")),0))</f>
        <v/>
      </c>
      <c r="O470" s="11">
        <f>IF(J470="","",M470*N470)</f>
        <v/>
      </c>
      <c r="P470">
        <f>IF(J470="","",IF(L470="",1,COUNTIF($L$2:$L$1501,L470)))</f>
        <v/>
      </c>
      <c r="Q470" s="11">
        <f>IF(J470="","",IFERROR(VALUE(SUBSTITUTE(SUBSTITUTE(IF(G470="","",G470)&amp;"","$",""),",","")),0)/IF("No"="Yes",P470,1))</f>
        <v/>
      </c>
      <c r="R470" s="11">
        <f>IF(J470="","",IFERROR(VALUE(SUBSTITUTE(SUBSTITUTE(IF(H470="","",H470)&amp;"","$",""),",","")),0)/IF("No"="Yes",P470,1))</f>
        <v/>
      </c>
      <c r="S470" s="11">
        <f>IF(J470="","",O470+Q470-R470)</f>
        <v/>
      </c>
      <c r="T470">
        <f>IF(J470="","",IFERROR(IF(K470="",NA(),MATCH(K470,Products!$B$5:$B$204,0)),IFERROR(MATCH(J470,Products!$A$5:$A$204,0),"")))</f>
        <v/>
      </c>
      <c r="U470">
        <f>IF(J470="","",IF(T470="","⚠ not in Products",INDEX(Products!$A$5:$A$204,T470)))</f>
        <v/>
      </c>
      <c r="V470" s="11">
        <f>IF(J470="","",S470*(IFERROR(INDEX(Settings!$B$5:$B$9,MATCH($B470,Settings!$A$5:$A$9,0)),0)+IFERROR(INDEX(Settings!$E$5:$E$9,MATCH($B470,Settings!$A$5:$A$9,0)),0)+IFERROR(INDEX(Settings!$G$5:$G$9,MATCH($B470,Settings!$A$5:$A$9,0)),0))+(IFERROR(INDEX(Settings!$C$5:$C$9,MATCH($B470,Settings!$A$5:$A$9,0)),0)+IFERROR(INDEX(Settings!$F$5:$F$9,MATCH($B470,Settings!$A$5:$A$9,0)),0))/P470+IFERROR(INDEX(Settings!$D$5:$D$9,MATCH($B470,Settings!$A$5:$A$9,0)),0)*M470)</f>
        <v/>
      </c>
      <c r="W470" s="11">
        <f>IF(J470="","",IF(T470="",0,M470*INDEX(Products!$I$5:$I$204,T470)))</f>
        <v/>
      </c>
      <c r="X470" s="11">
        <f>IF(J470="","",IF(T470="",0,S470*INDEX(Products!$H$5:$H$204,T470)))</f>
        <v/>
      </c>
      <c r="Y470" s="11">
        <f>IF(J470="","",S470-V470-W470-X470)</f>
        <v/>
      </c>
    </row>
    <row r="471">
      <c r="A471" s="19" t="n"/>
      <c r="B471" s="19" t="n"/>
      <c r="C471" s="19" t="n"/>
      <c r="D471" s="19" t="n"/>
      <c r="E471" s="19" t="n"/>
      <c r="F471" s="20" t="n"/>
      <c r="G471" s="20" t="n"/>
      <c r="H471" s="20" t="n"/>
      <c r="I471" s="19" t="n"/>
      <c r="J471">
        <f>IFERROR(IF(C471="","",C471)&amp;"","")</f>
        <v/>
      </c>
      <c r="K471">
        <f>IFERROR(IF(D471="","",D471)&amp;"","")</f>
        <v/>
      </c>
      <c r="L471">
        <f>IFERROR(IF(I471="","",I471)&amp;"","")</f>
        <v/>
      </c>
      <c r="M471">
        <f>IF(J471="","",IFERROR(VALUE(SUBSTITUTE(SUBSTITUTE(IF(E471="","",E471)&amp;"","$",""),",","")),0))</f>
        <v/>
      </c>
      <c r="N471" s="11">
        <f>IF(J471="","",IFERROR(VALUE(SUBSTITUTE(SUBSTITUTE(IF(F471="","",F471)&amp;"","$",""),",","")),0))</f>
        <v/>
      </c>
      <c r="O471" s="11">
        <f>IF(J471="","",M471*N471)</f>
        <v/>
      </c>
      <c r="P471">
        <f>IF(J471="","",IF(L471="",1,COUNTIF($L$2:$L$1501,L471)))</f>
        <v/>
      </c>
      <c r="Q471" s="11">
        <f>IF(J471="","",IFERROR(VALUE(SUBSTITUTE(SUBSTITUTE(IF(G471="","",G471)&amp;"","$",""),",","")),0)/IF("No"="Yes",P471,1))</f>
        <v/>
      </c>
      <c r="R471" s="11">
        <f>IF(J471="","",IFERROR(VALUE(SUBSTITUTE(SUBSTITUTE(IF(H471="","",H471)&amp;"","$",""),",","")),0)/IF("No"="Yes",P471,1))</f>
        <v/>
      </c>
      <c r="S471" s="11">
        <f>IF(J471="","",O471+Q471-R471)</f>
        <v/>
      </c>
      <c r="T471">
        <f>IF(J471="","",IFERROR(IF(K471="",NA(),MATCH(K471,Products!$B$5:$B$204,0)),IFERROR(MATCH(J471,Products!$A$5:$A$204,0),"")))</f>
        <v/>
      </c>
      <c r="U471">
        <f>IF(J471="","",IF(T471="","⚠ not in Products",INDEX(Products!$A$5:$A$204,T471)))</f>
        <v/>
      </c>
      <c r="V471" s="11">
        <f>IF(J471="","",S471*(IFERROR(INDEX(Settings!$B$5:$B$9,MATCH($B471,Settings!$A$5:$A$9,0)),0)+IFERROR(INDEX(Settings!$E$5:$E$9,MATCH($B471,Settings!$A$5:$A$9,0)),0)+IFERROR(INDEX(Settings!$G$5:$G$9,MATCH($B471,Settings!$A$5:$A$9,0)),0))+(IFERROR(INDEX(Settings!$C$5:$C$9,MATCH($B471,Settings!$A$5:$A$9,0)),0)+IFERROR(INDEX(Settings!$F$5:$F$9,MATCH($B471,Settings!$A$5:$A$9,0)),0))/P471+IFERROR(INDEX(Settings!$D$5:$D$9,MATCH($B471,Settings!$A$5:$A$9,0)),0)*M471)</f>
        <v/>
      </c>
      <c r="W471" s="11">
        <f>IF(J471="","",IF(T471="",0,M471*INDEX(Products!$I$5:$I$204,T471)))</f>
        <v/>
      </c>
      <c r="X471" s="11">
        <f>IF(J471="","",IF(T471="",0,S471*INDEX(Products!$H$5:$H$204,T471)))</f>
        <v/>
      </c>
      <c r="Y471" s="11">
        <f>IF(J471="","",S471-V471-W471-X471)</f>
        <v/>
      </c>
    </row>
    <row r="472">
      <c r="A472" s="19" t="n"/>
      <c r="B472" s="19" t="n"/>
      <c r="C472" s="19" t="n"/>
      <c r="D472" s="19" t="n"/>
      <c r="E472" s="19" t="n"/>
      <c r="F472" s="20" t="n"/>
      <c r="G472" s="20" t="n"/>
      <c r="H472" s="20" t="n"/>
      <c r="I472" s="19" t="n"/>
      <c r="J472">
        <f>IFERROR(IF(C472="","",C472)&amp;"","")</f>
        <v/>
      </c>
      <c r="K472">
        <f>IFERROR(IF(D472="","",D472)&amp;"","")</f>
        <v/>
      </c>
      <c r="L472">
        <f>IFERROR(IF(I472="","",I472)&amp;"","")</f>
        <v/>
      </c>
      <c r="M472">
        <f>IF(J472="","",IFERROR(VALUE(SUBSTITUTE(SUBSTITUTE(IF(E472="","",E472)&amp;"","$",""),",","")),0))</f>
        <v/>
      </c>
      <c r="N472" s="11">
        <f>IF(J472="","",IFERROR(VALUE(SUBSTITUTE(SUBSTITUTE(IF(F472="","",F472)&amp;"","$",""),",","")),0))</f>
        <v/>
      </c>
      <c r="O472" s="11">
        <f>IF(J472="","",M472*N472)</f>
        <v/>
      </c>
      <c r="P472">
        <f>IF(J472="","",IF(L472="",1,COUNTIF($L$2:$L$1501,L472)))</f>
        <v/>
      </c>
      <c r="Q472" s="11">
        <f>IF(J472="","",IFERROR(VALUE(SUBSTITUTE(SUBSTITUTE(IF(G472="","",G472)&amp;"","$",""),",","")),0)/IF("No"="Yes",P472,1))</f>
        <v/>
      </c>
      <c r="R472" s="11">
        <f>IF(J472="","",IFERROR(VALUE(SUBSTITUTE(SUBSTITUTE(IF(H472="","",H472)&amp;"","$",""),",","")),0)/IF("No"="Yes",P472,1))</f>
        <v/>
      </c>
      <c r="S472" s="11">
        <f>IF(J472="","",O472+Q472-R472)</f>
        <v/>
      </c>
      <c r="T472">
        <f>IF(J472="","",IFERROR(IF(K472="",NA(),MATCH(K472,Products!$B$5:$B$204,0)),IFERROR(MATCH(J472,Products!$A$5:$A$204,0),"")))</f>
        <v/>
      </c>
      <c r="U472">
        <f>IF(J472="","",IF(T472="","⚠ not in Products",INDEX(Products!$A$5:$A$204,T472)))</f>
        <v/>
      </c>
      <c r="V472" s="11">
        <f>IF(J472="","",S472*(IFERROR(INDEX(Settings!$B$5:$B$9,MATCH($B472,Settings!$A$5:$A$9,0)),0)+IFERROR(INDEX(Settings!$E$5:$E$9,MATCH($B472,Settings!$A$5:$A$9,0)),0)+IFERROR(INDEX(Settings!$G$5:$G$9,MATCH($B472,Settings!$A$5:$A$9,0)),0))+(IFERROR(INDEX(Settings!$C$5:$C$9,MATCH($B472,Settings!$A$5:$A$9,0)),0)+IFERROR(INDEX(Settings!$F$5:$F$9,MATCH($B472,Settings!$A$5:$A$9,0)),0))/P472+IFERROR(INDEX(Settings!$D$5:$D$9,MATCH($B472,Settings!$A$5:$A$9,0)),0)*M472)</f>
        <v/>
      </c>
      <c r="W472" s="11">
        <f>IF(J472="","",IF(T472="",0,M472*INDEX(Products!$I$5:$I$204,T472)))</f>
        <v/>
      </c>
      <c r="X472" s="11">
        <f>IF(J472="","",IF(T472="",0,S472*INDEX(Products!$H$5:$H$204,T472)))</f>
        <v/>
      </c>
      <c r="Y472" s="11">
        <f>IF(J472="","",S472-V472-W472-X472)</f>
        <v/>
      </c>
    </row>
    <row r="473">
      <c r="A473" s="19" t="n"/>
      <c r="B473" s="19" t="n"/>
      <c r="C473" s="19" t="n"/>
      <c r="D473" s="19" t="n"/>
      <c r="E473" s="19" t="n"/>
      <c r="F473" s="20" t="n"/>
      <c r="G473" s="20" t="n"/>
      <c r="H473" s="20" t="n"/>
      <c r="I473" s="19" t="n"/>
      <c r="J473">
        <f>IFERROR(IF(C473="","",C473)&amp;"","")</f>
        <v/>
      </c>
      <c r="K473">
        <f>IFERROR(IF(D473="","",D473)&amp;"","")</f>
        <v/>
      </c>
      <c r="L473">
        <f>IFERROR(IF(I473="","",I473)&amp;"","")</f>
        <v/>
      </c>
      <c r="M473">
        <f>IF(J473="","",IFERROR(VALUE(SUBSTITUTE(SUBSTITUTE(IF(E473="","",E473)&amp;"","$",""),",","")),0))</f>
        <v/>
      </c>
      <c r="N473" s="11">
        <f>IF(J473="","",IFERROR(VALUE(SUBSTITUTE(SUBSTITUTE(IF(F473="","",F473)&amp;"","$",""),",","")),0))</f>
        <v/>
      </c>
      <c r="O473" s="11">
        <f>IF(J473="","",M473*N473)</f>
        <v/>
      </c>
      <c r="P473">
        <f>IF(J473="","",IF(L473="",1,COUNTIF($L$2:$L$1501,L473)))</f>
        <v/>
      </c>
      <c r="Q473" s="11">
        <f>IF(J473="","",IFERROR(VALUE(SUBSTITUTE(SUBSTITUTE(IF(G473="","",G473)&amp;"","$",""),",","")),0)/IF("No"="Yes",P473,1))</f>
        <v/>
      </c>
      <c r="R473" s="11">
        <f>IF(J473="","",IFERROR(VALUE(SUBSTITUTE(SUBSTITUTE(IF(H473="","",H473)&amp;"","$",""),",","")),0)/IF("No"="Yes",P473,1))</f>
        <v/>
      </c>
      <c r="S473" s="11">
        <f>IF(J473="","",O473+Q473-R473)</f>
        <v/>
      </c>
      <c r="T473">
        <f>IF(J473="","",IFERROR(IF(K473="",NA(),MATCH(K473,Products!$B$5:$B$204,0)),IFERROR(MATCH(J473,Products!$A$5:$A$204,0),"")))</f>
        <v/>
      </c>
      <c r="U473">
        <f>IF(J473="","",IF(T473="","⚠ not in Products",INDEX(Products!$A$5:$A$204,T473)))</f>
        <v/>
      </c>
      <c r="V473" s="11">
        <f>IF(J473="","",S473*(IFERROR(INDEX(Settings!$B$5:$B$9,MATCH($B473,Settings!$A$5:$A$9,0)),0)+IFERROR(INDEX(Settings!$E$5:$E$9,MATCH($B473,Settings!$A$5:$A$9,0)),0)+IFERROR(INDEX(Settings!$G$5:$G$9,MATCH($B473,Settings!$A$5:$A$9,0)),0))+(IFERROR(INDEX(Settings!$C$5:$C$9,MATCH($B473,Settings!$A$5:$A$9,0)),0)+IFERROR(INDEX(Settings!$F$5:$F$9,MATCH($B473,Settings!$A$5:$A$9,0)),0))/P473+IFERROR(INDEX(Settings!$D$5:$D$9,MATCH($B473,Settings!$A$5:$A$9,0)),0)*M473)</f>
        <v/>
      </c>
      <c r="W473" s="11">
        <f>IF(J473="","",IF(T473="",0,M473*INDEX(Products!$I$5:$I$204,T473)))</f>
        <v/>
      </c>
      <c r="X473" s="11">
        <f>IF(J473="","",IF(T473="",0,S473*INDEX(Products!$H$5:$H$204,T473)))</f>
        <v/>
      </c>
      <c r="Y473" s="11">
        <f>IF(J473="","",S473-V473-W473-X473)</f>
        <v/>
      </c>
    </row>
    <row r="474">
      <c r="A474" s="19" t="n"/>
      <c r="B474" s="19" t="n"/>
      <c r="C474" s="19" t="n"/>
      <c r="D474" s="19" t="n"/>
      <c r="E474" s="19" t="n"/>
      <c r="F474" s="20" t="n"/>
      <c r="G474" s="20" t="n"/>
      <c r="H474" s="20" t="n"/>
      <c r="I474" s="19" t="n"/>
      <c r="J474">
        <f>IFERROR(IF(C474="","",C474)&amp;"","")</f>
        <v/>
      </c>
      <c r="K474">
        <f>IFERROR(IF(D474="","",D474)&amp;"","")</f>
        <v/>
      </c>
      <c r="L474">
        <f>IFERROR(IF(I474="","",I474)&amp;"","")</f>
        <v/>
      </c>
      <c r="M474">
        <f>IF(J474="","",IFERROR(VALUE(SUBSTITUTE(SUBSTITUTE(IF(E474="","",E474)&amp;"","$",""),",","")),0))</f>
        <v/>
      </c>
      <c r="N474" s="11">
        <f>IF(J474="","",IFERROR(VALUE(SUBSTITUTE(SUBSTITUTE(IF(F474="","",F474)&amp;"","$",""),",","")),0))</f>
        <v/>
      </c>
      <c r="O474" s="11">
        <f>IF(J474="","",M474*N474)</f>
        <v/>
      </c>
      <c r="P474">
        <f>IF(J474="","",IF(L474="",1,COUNTIF($L$2:$L$1501,L474)))</f>
        <v/>
      </c>
      <c r="Q474" s="11">
        <f>IF(J474="","",IFERROR(VALUE(SUBSTITUTE(SUBSTITUTE(IF(G474="","",G474)&amp;"","$",""),",","")),0)/IF("No"="Yes",P474,1))</f>
        <v/>
      </c>
      <c r="R474" s="11">
        <f>IF(J474="","",IFERROR(VALUE(SUBSTITUTE(SUBSTITUTE(IF(H474="","",H474)&amp;"","$",""),",","")),0)/IF("No"="Yes",P474,1))</f>
        <v/>
      </c>
      <c r="S474" s="11">
        <f>IF(J474="","",O474+Q474-R474)</f>
        <v/>
      </c>
      <c r="T474">
        <f>IF(J474="","",IFERROR(IF(K474="",NA(),MATCH(K474,Products!$B$5:$B$204,0)),IFERROR(MATCH(J474,Products!$A$5:$A$204,0),"")))</f>
        <v/>
      </c>
      <c r="U474">
        <f>IF(J474="","",IF(T474="","⚠ not in Products",INDEX(Products!$A$5:$A$204,T474)))</f>
        <v/>
      </c>
      <c r="V474" s="11">
        <f>IF(J474="","",S474*(IFERROR(INDEX(Settings!$B$5:$B$9,MATCH($B474,Settings!$A$5:$A$9,0)),0)+IFERROR(INDEX(Settings!$E$5:$E$9,MATCH($B474,Settings!$A$5:$A$9,0)),0)+IFERROR(INDEX(Settings!$G$5:$G$9,MATCH($B474,Settings!$A$5:$A$9,0)),0))+(IFERROR(INDEX(Settings!$C$5:$C$9,MATCH($B474,Settings!$A$5:$A$9,0)),0)+IFERROR(INDEX(Settings!$F$5:$F$9,MATCH($B474,Settings!$A$5:$A$9,0)),0))/P474+IFERROR(INDEX(Settings!$D$5:$D$9,MATCH($B474,Settings!$A$5:$A$9,0)),0)*M474)</f>
        <v/>
      </c>
      <c r="W474" s="11">
        <f>IF(J474="","",IF(T474="",0,M474*INDEX(Products!$I$5:$I$204,T474)))</f>
        <v/>
      </c>
      <c r="X474" s="11">
        <f>IF(J474="","",IF(T474="",0,S474*INDEX(Products!$H$5:$H$204,T474)))</f>
        <v/>
      </c>
      <c r="Y474" s="11">
        <f>IF(J474="","",S474-V474-W474-X474)</f>
        <v/>
      </c>
    </row>
    <row r="475">
      <c r="A475" s="19" t="n"/>
      <c r="B475" s="19" t="n"/>
      <c r="C475" s="19" t="n"/>
      <c r="D475" s="19" t="n"/>
      <c r="E475" s="19" t="n"/>
      <c r="F475" s="20" t="n"/>
      <c r="G475" s="20" t="n"/>
      <c r="H475" s="20" t="n"/>
      <c r="I475" s="19" t="n"/>
      <c r="J475">
        <f>IFERROR(IF(C475="","",C475)&amp;"","")</f>
        <v/>
      </c>
      <c r="K475">
        <f>IFERROR(IF(D475="","",D475)&amp;"","")</f>
        <v/>
      </c>
      <c r="L475">
        <f>IFERROR(IF(I475="","",I475)&amp;"","")</f>
        <v/>
      </c>
      <c r="M475">
        <f>IF(J475="","",IFERROR(VALUE(SUBSTITUTE(SUBSTITUTE(IF(E475="","",E475)&amp;"","$",""),",","")),0))</f>
        <v/>
      </c>
      <c r="N475" s="11">
        <f>IF(J475="","",IFERROR(VALUE(SUBSTITUTE(SUBSTITUTE(IF(F475="","",F475)&amp;"","$",""),",","")),0))</f>
        <v/>
      </c>
      <c r="O475" s="11">
        <f>IF(J475="","",M475*N475)</f>
        <v/>
      </c>
      <c r="P475">
        <f>IF(J475="","",IF(L475="",1,COUNTIF($L$2:$L$1501,L475)))</f>
        <v/>
      </c>
      <c r="Q475" s="11">
        <f>IF(J475="","",IFERROR(VALUE(SUBSTITUTE(SUBSTITUTE(IF(G475="","",G475)&amp;"","$",""),",","")),0)/IF("No"="Yes",P475,1))</f>
        <v/>
      </c>
      <c r="R475" s="11">
        <f>IF(J475="","",IFERROR(VALUE(SUBSTITUTE(SUBSTITUTE(IF(H475="","",H475)&amp;"","$",""),",","")),0)/IF("No"="Yes",P475,1))</f>
        <v/>
      </c>
      <c r="S475" s="11">
        <f>IF(J475="","",O475+Q475-R475)</f>
        <v/>
      </c>
      <c r="T475">
        <f>IF(J475="","",IFERROR(IF(K475="",NA(),MATCH(K475,Products!$B$5:$B$204,0)),IFERROR(MATCH(J475,Products!$A$5:$A$204,0),"")))</f>
        <v/>
      </c>
      <c r="U475">
        <f>IF(J475="","",IF(T475="","⚠ not in Products",INDEX(Products!$A$5:$A$204,T475)))</f>
        <v/>
      </c>
      <c r="V475" s="11">
        <f>IF(J475="","",S475*(IFERROR(INDEX(Settings!$B$5:$B$9,MATCH($B475,Settings!$A$5:$A$9,0)),0)+IFERROR(INDEX(Settings!$E$5:$E$9,MATCH($B475,Settings!$A$5:$A$9,0)),0)+IFERROR(INDEX(Settings!$G$5:$G$9,MATCH($B475,Settings!$A$5:$A$9,0)),0))+(IFERROR(INDEX(Settings!$C$5:$C$9,MATCH($B475,Settings!$A$5:$A$9,0)),0)+IFERROR(INDEX(Settings!$F$5:$F$9,MATCH($B475,Settings!$A$5:$A$9,0)),0))/P475+IFERROR(INDEX(Settings!$D$5:$D$9,MATCH($B475,Settings!$A$5:$A$9,0)),0)*M475)</f>
        <v/>
      </c>
      <c r="W475" s="11">
        <f>IF(J475="","",IF(T475="",0,M475*INDEX(Products!$I$5:$I$204,T475)))</f>
        <v/>
      </c>
      <c r="X475" s="11">
        <f>IF(J475="","",IF(T475="",0,S475*INDEX(Products!$H$5:$H$204,T475)))</f>
        <v/>
      </c>
      <c r="Y475" s="11">
        <f>IF(J475="","",S475-V475-W475-X475)</f>
        <v/>
      </c>
    </row>
    <row r="476">
      <c r="A476" s="19" t="n"/>
      <c r="B476" s="19" t="n"/>
      <c r="C476" s="19" t="n"/>
      <c r="D476" s="19" t="n"/>
      <c r="E476" s="19" t="n"/>
      <c r="F476" s="20" t="n"/>
      <c r="G476" s="20" t="n"/>
      <c r="H476" s="20" t="n"/>
      <c r="I476" s="19" t="n"/>
      <c r="J476">
        <f>IFERROR(IF(C476="","",C476)&amp;"","")</f>
        <v/>
      </c>
      <c r="K476">
        <f>IFERROR(IF(D476="","",D476)&amp;"","")</f>
        <v/>
      </c>
      <c r="L476">
        <f>IFERROR(IF(I476="","",I476)&amp;"","")</f>
        <v/>
      </c>
      <c r="M476">
        <f>IF(J476="","",IFERROR(VALUE(SUBSTITUTE(SUBSTITUTE(IF(E476="","",E476)&amp;"","$",""),",","")),0))</f>
        <v/>
      </c>
      <c r="N476" s="11">
        <f>IF(J476="","",IFERROR(VALUE(SUBSTITUTE(SUBSTITUTE(IF(F476="","",F476)&amp;"","$",""),",","")),0))</f>
        <v/>
      </c>
      <c r="O476" s="11">
        <f>IF(J476="","",M476*N476)</f>
        <v/>
      </c>
      <c r="P476">
        <f>IF(J476="","",IF(L476="",1,COUNTIF($L$2:$L$1501,L476)))</f>
        <v/>
      </c>
      <c r="Q476" s="11">
        <f>IF(J476="","",IFERROR(VALUE(SUBSTITUTE(SUBSTITUTE(IF(G476="","",G476)&amp;"","$",""),",","")),0)/IF("No"="Yes",P476,1))</f>
        <v/>
      </c>
      <c r="R476" s="11">
        <f>IF(J476="","",IFERROR(VALUE(SUBSTITUTE(SUBSTITUTE(IF(H476="","",H476)&amp;"","$",""),",","")),0)/IF("No"="Yes",P476,1))</f>
        <v/>
      </c>
      <c r="S476" s="11">
        <f>IF(J476="","",O476+Q476-R476)</f>
        <v/>
      </c>
      <c r="T476">
        <f>IF(J476="","",IFERROR(IF(K476="",NA(),MATCH(K476,Products!$B$5:$B$204,0)),IFERROR(MATCH(J476,Products!$A$5:$A$204,0),"")))</f>
        <v/>
      </c>
      <c r="U476">
        <f>IF(J476="","",IF(T476="","⚠ not in Products",INDEX(Products!$A$5:$A$204,T476)))</f>
        <v/>
      </c>
      <c r="V476" s="11">
        <f>IF(J476="","",S476*(IFERROR(INDEX(Settings!$B$5:$B$9,MATCH($B476,Settings!$A$5:$A$9,0)),0)+IFERROR(INDEX(Settings!$E$5:$E$9,MATCH($B476,Settings!$A$5:$A$9,0)),0)+IFERROR(INDEX(Settings!$G$5:$G$9,MATCH($B476,Settings!$A$5:$A$9,0)),0))+(IFERROR(INDEX(Settings!$C$5:$C$9,MATCH($B476,Settings!$A$5:$A$9,0)),0)+IFERROR(INDEX(Settings!$F$5:$F$9,MATCH($B476,Settings!$A$5:$A$9,0)),0))/P476+IFERROR(INDEX(Settings!$D$5:$D$9,MATCH($B476,Settings!$A$5:$A$9,0)),0)*M476)</f>
        <v/>
      </c>
      <c r="W476" s="11">
        <f>IF(J476="","",IF(T476="",0,M476*INDEX(Products!$I$5:$I$204,T476)))</f>
        <v/>
      </c>
      <c r="X476" s="11">
        <f>IF(J476="","",IF(T476="",0,S476*INDEX(Products!$H$5:$H$204,T476)))</f>
        <v/>
      </c>
      <c r="Y476" s="11">
        <f>IF(J476="","",S476-V476-W476-X476)</f>
        <v/>
      </c>
    </row>
    <row r="477">
      <c r="A477" s="19" t="n"/>
      <c r="B477" s="19" t="n"/>
      <c r="C477" s="19" t="n"/>
      <c r="D477" s="19" t="n"/>
      <c r="E477" s="19" t="n"/>
      <c r="F477" s="20" t="n"/>
      <c r="G477" s="20" t="n"/>
      <c r="H477" s="20" t="n"/>
      <c r="I477" s="19" t="n"/>
      <c r="J477">
        <f>IFERROR(IF(C477="","",C477)&amp;"","")</f>
        <v/>
      </c>
      <c r="K477">
        <f>IFERROR(IF(D477="","",D477)&amp;"","")</f>
        <v/>
      </c>
      <c r="L477">
        <f>IFERROR(IF(I477="","",I477)&amp;"","")</f>
        <v/>
      </c>
      <c r="M477">
        <f>IF(J477="","",IFERROR(VALUE(SUBSTITUTE(SUBSTITUTE(IF(E477="","",E477)&amp;"","$",""),",","")),0))</f>
        <v/>
      </c>
      <c r="N477" s="11">
        <f>IF(J477="","",IFERROR(VALUE(SUBSTITUTE(SUBSTITUTE(IF(F477="","",F477)&amp;"","$",""),",","")),0))</f>
        <v/>
      </c>
      <c r="O477" s="11">
        <f>IF(J477="","",M477*N477)</f>
        <v/>
      </c>
      <c r="P477">
        <f>IF(J477="","",IF(L477="",1,COUNTIF($L$2:$L$1501,L477)))</f>
        <v/>
      </c>
      <c r="Q477" s="11">
        <f>IF(J477="","",IFERROR(VALUE(SUBSTITUTE(SUBSTITUTE(IF(G477="","",G477)&amp;"","$",""),",","")),0)/IF("No"="Yes",P477,1))</f>
        <v/>
      </c>
      <c r="R477" s="11">
        <f>IF(J477="","",IFERROR(VALUE(SUBSTITUTE(SUBSTITUTE(IF(H477="","",H477)&amp;"","$",""),",","")),0)/IF("No"="Yes",P477,1))</f>
        <v/>
      </c>
      <c r="S477" s="11">
        <f>IF(J477="","",O477+Q477-R477)</f>
        <v/>
      </c>
      <c r="T477">
        <f>IF(J477="","",IFERROR(IF(K477="",NA(),MATCH(K477,Products!$B$5:$B$204,0)),IFERROR(MATCH(J477,Products!$A$5:$A$204,0),"")))</f>
        <v/>
      </c>
      <c r="U477">
        <f>IF(J477="","",IF(T477="","⚠ not in Products",INDEX(Products!$A$5:$A$204,T477)))</f>
        <v/>
      </c>
      <c r="V477" s="11">
        <f>IF(J477="","",S477*(IFERROR(INDEX(Settings!$B$5:$B$9,MATCH($B477,Settings!$A$5:$A$9,0)),0)+IFERROR(INDEX(Settings!$E$5:$E$9,MATCH($B477,Settings!$A$5:$A$9,0)),0)+IFERROR(INDEX(Settings!$G$5:$G$9,MATCH($B477,Settings!$A$5:$A$9,0)),0))+(IFERROR(INDEX(Settings!$C$5:$C$9,MATCH($B477,Settings!$A$5:$A$9,0)),0)+IFERROR(INDEX(Settings!$F$5:$F$9,MATCH($B477,Settings!$A$5:$A$9,0)),0))/P477+IFERROR(INDEX(Settings!$D$5:$D$9,MATCH($B477,Settings!$A$5:$A$9,0)),0)*M477)</f>
        <v/>
      </c>
      <c r="W477" s="11">
        <f>IF(J477="","",IF(T477="",0,M477*INDEX(Products!$I$5:$I$204,T477)))</f>
        <v/>
      </c>
      <c r="X477" s="11">
        <f>IF(J477="","",IF(T477="",0,S477*INDEX(Products!$H$5:$H$204,T477)))</f>
        <v/>
      </c>
      <c r="Y477" s="11">
        <f>IF(J477="","",S477-V477-W477-X477)</f>
        <v/>
      </c>
    </row>
    <row r="478">
      <c r="A478" s="19" t="n"/>
      <c r="B478" s="19" t="n"/>
      <c r="C478" s="19" t="n"/>
      <c r="D478" s="19" t="n"/>
      <c r="E478" s="19" t="n"/>
      <c r="F478" s="20" t="n"/>
      <c r="G478" s="20" t="n"/>
      <c r="H478" s="20" t="n"/>
      <c r="I478" s="19" t="n"/>
      <c r="J478">
        <f>IFERROR(IF(C478="","",C478)&amp;"","")</f>
        <v/>
      </c>
      <c r="K478">
        <f>IFERROR(IF(D478="","",D478)&amp;"","")</f>
        <v/>
      </c>
      <c r="L478">
        <f>IFERROR(IF(I478="","",I478)&amp;"","")</f>
        <v/>
      </c>
      <c r="M478">
        <f>IF(J478="","",IFERROR(VALUE(SUBSTITUTE(SUBSTITUTE(IF(E478="","",E478)&amp;"","$",""),",","")),0))</f>
        <v/>
      </c>
      <c r="N478" s="11">
        <f>IF(J478="","",IFERROR(VALUE(SUBSTITUTE(SUBSTITUTE(IF(F478="","",F478)&amp;"","$",""),",","")),0))</f>
        <v/>
      </c>
      <c r="O478" s="11">
        <f>IF(J478="","",M478*N478)</f>
        <v/>
      </c>
      <c r="P478">
        <f>IF(J478="","",IF(L478="",1,COUNTIF($L$2:$L$1501,L478)))</f>
        <v/>
      </c>
      <c r="Q478" s="11">
        <f>IF(J478="","",IFERROR(VALUE(SUBSTITUTE(SUBSTITUTE(IF(G478="","",G478)&amp;"","$",""),",","")),0)/IF("No"="Yes",P478,1))</f>
        <v/>
      </c>
      <c r="R478" s="11">
        <f>IF(J478="","",IFERROR(VALUE(SUBSTITUTE(SUBSTITUTE(IF(H478="","",H478)&amp;"","$",""),",","")),0)/IF("No"="Yes",P478,1))</f>
        <v/>
      </c>
      <c r="S478" s="11">
        <f>IF(J478="","",O478+Q478-R478)</f>
        <v/>
      </c>
      <c r="T478">
        <f>IF(J478="","",IFERROR(IF(K478="",NA(),MATCH(K478,Products!$B$5:$B$204,0)),IFERROR(MATCH(J478,Products!$A$5:$A$204,0),"")))</f>
        <v/>
      </c>
      <c r="U478">
        <f>IF(J478="","",IF(T478="","⚠ not in Products",INDEX(Products!$A$5:$A$204,T478)))</f>
        <v/>
      </c>
      <c r="V478" s="11">
        <f>IF(J478="","",S478*(IFERROR(INDEX(Settings!$B$5:$B$9,MATCH($B478,Settings!$A$5:$A$9,0)),0)+IFERROR(INDEX(Settings!$E$5:$E$9,MATCH($B478,Settings!$A$5:$A$9,0)),0)+IFERROR(INDEX(Settings!$G$5:$G$9,MATCH($B478,Settings!$A$5:$A$9,0)),0))+(IFERROR(INDEX(Settings!$C$5:$C$9,MATCH($B478,Settings!$A$5:$A$9,0)),0)+IFERROR(INDEX(Settings!$F$5:$F$9,MATCH($B478,Settings!$A$5:$A$9,0)),0))/P478+IFERROR(INDEX(Settings!$D$5:$D$9,MATCH($B478,Settings!$A$5:$A$9,0)),0)*M478)</f>
        <v/>
      </c>
      <c r="W478" s="11">
        <f>IF(J478="","",IF(T478="",0,M478*INDEX(Products!$I$5:$I$204,T478)))</f>
        <v/>
      </c>
      <c r="X478" s="11">
        <f>IF(J478="","",IF(T478="",0,S478*INDEX(Products!$H$5:$H$204,T478)))</f>
        <v/>
      </c>
      <c r="Y478" s="11">
        <f>IF(J478="","",S478-V478-W478-X478)</f>
        <v/>
      </c>
    </row>
    <row r="479">
      <c r="A479" s="19" t="n"/>
      <c r="B479" s="19" t="n"/>
      <c r="C479" s="19" t="n"/>
      <c r="D479" s="19" t="n"/>
      <c r="E479" s="19" t="n"/>
      <c r="F479" s="20" t="n"/>
      <c r="G479" s="20" t="n"/>
      <c r="H479" s="20" t="n"/>
      <c r="I479" s="19" t="n"/>
      <c r="J479">
        <f>IFERROR(IF(C479="","",C479)&amp;"","")</f>
        <v/>
      </c>
      <c r="K479">
        <f>IFERROR(IF(D479="","",D479)&amp;"","")</f>
        <v/>
      </c>
      <c r="L479">
        <f>IFERROR(IF(I479="","",I479)&amp;"","")</f>
        <v/>
      </c>
      <c r="M479">
        <f>IF(J479="","",IFERROR(VALUE(SUBSTITUTE(SUBSTITUTE(IF(E479="","",E479)&amp;"","$",""),",","")),0))</f>
        <v/>
      </c>
      <c r="N479" s="11">
        <f>IF(J479="","",IFERROR(VALUE(SUBSTITUTE(SUBSTITUTE(IF(F479="","",F479)&amp;"","$",""),",","")),0))</f>
        <v/>
      </c>
      <c r="O479" s="11">
        <f>IF(J479="","",M479*N479)</f>
        <v/>
      </c>
      <c r="P479">
        <f>IF(J479="","",IF(L479="",1,COUNTIF($L$2:$L$1501,L479)))</f>
        <v/>
      </c>
      <c r="Q479" s="11">
        <f>IF(J479="","",IFERROR(VALUE(SUBSTITUTE(SUBSTITUTE(IF(G479="","",G479)&amp;"","$",""),",","")),0)/IF("No"="Yes",P479,1))</f>
        <v/>
      </c>
      <c r="R479" s="11">
        <f>IF(J479="","",IFERROR(VALUE(SUBSTITUTE(SUBSTITUTE(IF(H479="","",H479)&amp;"","$",""),",","")),0)/IF("No"="Yes",P479,1))</f>
        <v/>
      </c>
      <c r="S479" s="11">
        <f>IF(J479="","",O479+Q479-R479)</f>
        <v/>
      </c>
      <c r="T479">
        <f>IF(J479="","",IFERROR(IF(K479="",NA(),MATCH(K479,Products!$B$5:$B$204,0)),IFERROR(MATCH(J479,Products!$A$5:$A$204,0),"")))</f>
        <v/>
      </c>
      <c r="U479">
        <f>IF(J479="","",IF(T479="","⚠ not in Products",INDEX(Products!$A$5:$A$204,T479)))</f>
        <v/>
      </c>
      <c r="V479" s="11">
        <f>IF(J479="","",S479*(IFERROR(INDEX(Settings!$B$5:$B$9,MATCH($B479,Settings!$A$5:$A$9,0)),0)+IFERROR(INDEX(Settings!$E$5:$E$9,MATCH($B479,Settings!$A$5:$A$9,0)),0)+IFERROR(INDEX(Settings!$G$5:$G$9,MATCH($B479,Settings!$A$5:$A$9,0)),0))+(IFERROR(INDEX(Settings!$C$5:$C$9,MATCH($B479,Settings!$A$5:$A$9,0)),0)+IFERROR(INDEX(Settings!$F$5:$F$9,MATCH($B479,Settings!$A$5:$A$9,0)),0))/P479+IFERROR(INDEX(Settings!$D$5:$D$9,MATCH($B479,Settings!$A$5:$A$9,0)),0)*M479)</f>
        <v/>
      </c>
      <c r="W479" s="11">
        <f>IF(J479="","",IF(T479="",0,M479*INDEX(Products!$I$5:$I$204,T479)))</f>
        <v/>
      </c>
      <c r="X479" s="11">
        <f>IF(J479="","",IF(T479="",0,S479*INDEX(Products!$H$5:$H$204,T479)))</f>
        <v/>
      </c>
      <c r="Y479" s="11">
        <f>IF(J479="","",S479-V479-W479-X479)</f>
        <v/>
      </c>
    </row>
    <row r="480">
      <c r="A480" s="19" t="n"/>
      <c r="B480" s="19" t="n"/>
      <c r="C480" s="19" t="n"/>
      <c r="D480" s="19" t="n"/>
      <c r="E480" s="19" t="n"/>
      <c r="F480" s="20" t="n"/>
      <c r="G480" s="20" t="n"/>
      <c r="H480" s="20" t="n"/>
      <c r="I480" s="19" t="n"/>
      <c r="J480">
        <f>IFERROR(IF(C480="","",C480)&amp;"","")</f>
        <v/>
      </c>
      <c r="K480">
        <f>IFERROR(IF(D480="","",D480)&amp;"","")</f>
        <v/>
      </c>
      <c r="L480">
        <f>IFERROR(IF(I480="","",I480)&amp;"","")</f>
        <v/>
      </c>
      <c r="M480">
        <f>IF(J480="","",IFERROR(VALUE(SUBSTITUTE(SUBSTITUTE(IF(E480="","",E480)&amp;"","$",""),",","")),0))</f>
        <v/>
      </c>
      <c r="N480" s="11">
        <f>IF(J480="","",IFERROR(VALUE(SUBSTITUTE(SUBSTITUTE(IF(F480="","",F480)&amp;"","$",""),",","")),0))</f>
        <v/>
      </c>
      <c r="O480" s="11">
        <f>IF(J480="","",M480*N480)</f>
        <v/>
      </c>
      <c r="P480">
        <f>IF(J480="","",IF(L480="",1,COUNTIF($L$2:$L$1501,L480)))</f>
        <v/>
      </c>
      <c r="Q480" s="11">
        <f>IF(J480="","",IFERROR(VALUE(SUBSTITUTE(SUBSTITUTE(IF(G480="","",G480)&amp;"","$",""),",","")),0)/IF("No"="Yes",P480,1))</f>
        <v/>
      </c>
      <c r="R480" s="11">
        <f>IF(J480="","",IFERROR(VALUE(SUBSTITUTE(SUBSTITUTE(IF(H480="","",H480)&amp;"","$",""),",","")),0)/IF("No"="Yes",P480,1))</f>
        <v/>
      </c>
      <c r="S480" s="11">
        <f>IF(J480="","",O480+Q480-R480)</f>
        <v/>
      </c>
      <c r="T480">
        <f>IF(J480="","",IFERROR(IF(K480="",NA(),MATCH(K480,Products!$B$5:$B$204,0)),IFERROR(MATCH(J480,Products!$A$5:$A$204,0),"")))</f>
        <v/>
      </c>
      <c r="U480">
        <f>IF(J480="","",IF(T480="","⚠ not in Products",INDEX(Products!$A$5:$A$204,T480)))</f>
        <v/>
      </c>
      <c r="V480" s="11">
        <f>IF(J480="","",S480*(IFERROR(INDEX(Settings!$B$5:$B$9,MATCH($B480,Settings!$A$5:$A$9,0)),0)+IFERROR(INDEX(Settings!$E$5:$E$9,MATCH($B480,Settings!$A$5:$A$9,0)),0)+IFERROR(INDEX(Settings!$G$5:$G$9,MATCH($B480,Settings!$A$5:$A$9,0)),0))+(IFERROR(INDEX(Settings!$C$5:$C$9,MATCH($B480,Settings!$A$5:$A$9,0)),0)+IFERROR(INDEX(Settings!$F$5:$F$9,MATCH($B480,Settings!$A$5:$A$9,0)),0))/P480+IFERROR(INDEX(Settings!$D$5:$D$9,MATCH($B480,Settings!$A$5:$A$9,0)),0)*M480)</f>
        <v/>
      </c>
      <c r="W480" s="11">
        <f>IF(J480="","",IF(T480="",0,M480*INDEX(Products!$I$5:$I$204,T480)))</f>
        <v/>
      </c>
      <c r="X480" s="11">
        <f>IF(J480="","",IF(T480="",0,S480*INDEX(Products!$H$5:$H$204,T480)))</f>
        <v/>
      </c>
      <c r="Y480" s="11">
        <f>IF(J480="","",S480-V480-W480-X480)</f>
        <v/>
      </c>
    </row>
    <row r="481">
      <c r="A481" s="19" t="n"/>
      <c r="B481" s="19" t="n"/>
      <c r="C481" s="19" t="n"/>
      <c r="D481" s="19" t="n"/>
      <c r="E481" s="19" t="n"/>
      <c r="F481" s="20" t="n"/>
      <c r="G481" s="20" t="n"/>
      <c r="H481" s="20" t="n"/>
      <c r="I481" s="19" t="n"/>
      <c r="J481">
        <f>IFERROR(IF(C481="","",C481)&amp;"","")</f>
        <v/>
      </c>
      <c r="K481">
        <f>IFERROR(IF(D481="","",D481)&amp;"","")</f>
        <v/>
      </c>
      <c r="L481">
        <f>IFERROR(IF(I481="","",I481)&amp;"","")</f>
        <v/>
      </c>
      <c r="M481">
        <f>IF(J481="","",IFERROR(VALUE(SUBSTITUTE(SUBSTITUTE(IF(E481="","",E481)&amp;"","$",""),",","")),0))</f>
        <v/>
      </c>
      <c r="N481" s="11">
        <f>IF(J481="","",IFERROR(VALUE(SUBSTITUTE(SUBSTITUTE(IF(F481="","",F481)&amp;"","$",""),",","")),0))</f>
        <v/>
      </c>
      <c r="O481" s="11">
        <f>IF(J481="","",M481*N481)</f>
        <v/>
      </c>
      <c r="P481">
        <f>IF(J481="","",IF(L481="",1,COUNTIF($L$2:$L$1501,L481)))</f>
        <v/>
      </c>
      <c r="Q481" s="11">
        <f>IF(J481="","",IFERROR(VALUE(SUBSTITUTE(SUBSTITUTE(IF(G481="","",G481)&amp;"","$",""),",","")),0)/IF("No"="Yes",P481,1))</f>
        <v/>
      </c>
      <c r="R481" s="11">
        <f>IF(J481="","",IFERROR(VALUE(SUBSTITUTE(SUBSTITUTE(IF(H481="","",H481)&amp;"","$",""),",","")),0)/IF("No"="Yes",P481,1))</f>
        <v/>
      </c>
      <c r="S481" s="11">
        <f>IF(J481="","",O481+Q481-R481)</f>
        <v/>
      </c>
      <c r="T481">
        <f>IF(J481="","",IFERROR(IF(K481="",NA(),MATCH(K481,Products!$B$5:$B$204,0)),IFERROR(MATCH(J481,Products!$A$5:$A$204,0),"")))</f>
        <v/>
      </c>
      <c r="U481">
        <f>IF(J481="","",IF(T481="","⚠ not in Products",INDEX(Products!$A$5:$A$204,T481)))</f>
        <v/>
      </c>
      <c r="V481" s="11">
        <f>IF(J481="","",S481*(IFERROR(INDEX(Settings!$B$5:$B$9,MATCH($B481,Settings!$A$5:$A$9,0)),0)+IFERROR(INDEX(Settings!$E$5:$E$9,MATCH($B481,Settings!$A$5:$A$9,0)),0)+IFERROR(INDEX(Settings!$G$5:$G$9,MATCH($B481,Settings!$A$5:$A$9,0)),0))+(IFERROR(INDEX(Settings!$C$5:$C$9,MATCH($B481,Settings!$A$5:$A$9,0)),0)+IFERROR(INDEX(Settings!$F$5:$F$9,MATCH($B481,Settings!$A$5:$A$9,0)),0))/P481+IFERROR(INDEX(Settings!$D$5:$D$9,MATCH($B481,Settings!$A$5:$A$9,0)),0)*M481)</f>
        <v/>
      </c>
      <c r="W481" s="11">
        <f>IF(J481="","",IF(T481="",0,M481*INDEX(Products!$I$5:$I$204,T481)))</f>
        <v/>
      </c>
      <c r="X481" s="11">
        <f>IF(J481="","",IF(T481="",0,S481*INDEX(Products!$H$5:$H$204,T481)))</f>
        <v/>
      </c>
      <c r="Y481" s="11">
        <f>IF(J481="","",S481-V481-W481-X481)</f>
        <v/>
      </c>
    </row>
    <row r="482">
      <c r="A482" s="19" t="n"/>
      <c r="B482" s="19" t="n"/>
      <c r="C482" s="19" t="n"/>
      <c r="D482" s="19" t="n"/>
      <c r="E482" s="19" t="n"/>
      <c r="F482" s="20" t="n"/>
      <c r="G482" s="20" t="n"/>
      <c r="H482" s="20" t="n"/>
      <c r="I482" s="19" t="n"/>
      <c r="J482">
        <f>IFERROR(IF(C482="","",C482)&amp;"","")</f>
        <v/>
      </c>
      <c r="K482">
        <f>IFERROR(IF(D482="","",D482)&amp;"","")</f>
        <v/>
      </c>
      <c r="L482">
        <f>IFERROR(IF(I482="","",I482)&amp;"","")</f>
        <v/>
      </c>
      <c r="M482">
        <f>IF(J482="","",IFERROR(VALUE(SUBSTITUTE(SUBSTITUTE(IF(E482="","",E482)&amp;"","$",""),",","")),0))</f>
        <v/>
      </c>
      <c r="N482" s="11">
        <f>IF(J482="","",IFERROR(VALUE(SUBSTITUTE(SUBSTITUTE(IF(F482="","",F482)&amp;"","$",""),",","")),0))</f>
        <v/>
      </c>
      <c r="O482" s="11">
        <f>IF(J482="","",M482*N482)</f>
        <v/>
      </c>
      <c r="P482">
        <f>IF(J482="","",IF(L482="",1,COUNTIF($L$2:$L$1501,L482)))</f>
        <v/>
      </c>
      <c r="Q482" s="11">
        <f>IF(J482="","",IFERROR(VALUE(SUBSTITUTE(SUBSTITUTE(IF(G482="","",G482)&amp;"","$",""),",","")),0)/IF("No"="Yes",P482,1))</f>
        <v/>
      </c>
      <c r="R482" s="11">
        <f>IF(J482="","",IFERROR(VALUE(SUBSTITUTE(SUBSTITUTE(IF(H482="","",H482)&amp;"","$",""),",","")),0)/IF("No"="Yes",P482,1))</f>
        <v/>
      </c>
      <c r="S482" s="11">
        <f>IF(J482="","",O482+Q482-R482)</f>
        <v/>
      </c>
      <c r="T482">
        <f>IF(J482="","",IFERROR(IF(K482="",NA(),MATCH(K482,Products!$B$5:$B$204,0)),IFERROR(MATCH(J482,Products!$A$5:$A$204,0),"")))</f>
        <v/>
      </c>
      <c r="U482">
        <f>IF(J482="","",IF(T482="","⚠ not in Products",INDEX(Products!$A$5:$A$204,T482)))</f>
        <v/>
      </c>
      <c r="V482" s="11">
        <f>IF(J482="","",S482*(IFERROR(INDEX(Settings!$B$5:$B$9,MATCH($B482,Settings!$A$5:$A$9,0)),0)+IFERROR(INDEX(Settings!$E$5:$E$9,MATCH($B482,Settings!$A$5:$A$9,0)),0)+IFERROR(INDEX(Settings!$G$5:$G$9,MATCH($B482,Settings!$A$5:$A$9,0)),0))+(IFERROR(INDEX(Settings!$C$5:$C$9,MATCH($B482,Settings!$A$5:$A$9,0)),0)+IFERROR(INDEX(Settings!$F$5:$F$9,MATCH($B482,Settings!$A$5:$A$9,0)),0))/P482+IFERROR(INDEX(Settings!$D$5:$D$9,MATCH($B482,Settings!$A$5:$A$9,0)),0)*M482)</f>
        <v/>
      </c>
      <c r="W482" s="11">
        <f>IF(J482="","",IF(T482="",0,M482*INDEX(Products!$I$5:$I$204,T482)))</f>
        <v/>
      </c>
      <c r="X482" s="11">
        <f>IF(J482="","",IF(T482="",0,S482*INDEX(Products!$H$5:$H$204,T482)))</f>
        <v/>
      </c>
      <c r="Y482" s="11">
        <f>IF(J482="","",S482-V482-W482-X482)</f>
        <v/>
      </c>
    </row>
    <row r="483">
      <c r="A483" s="19" t="n"/>
      <c r="B483" s="19" t="n"/>
      <c r="C483" s="19" t="n"/>
      <c r="D483" s="19" t="n"/>
      <c r="E483" s="19" t="n"/>
      <c r="F483" s="20" t="n"/>
      <c r="G483" s="20" t="n"/>
      <c r="H483" s="20" t="n"/>
      <c r="I483" s="19" t="n"/>
      <c r="J483">
        <f>IFERROR(IF(C483="","",C483)&amp;"","")</f>
        <v/>
      </c>
      <c r="K483">
        <f>IFERROR(IF(D483="","",D483)&amp;"","")</f>
        <v/>
      </c>
      <c r="L483">
        <f>IFERROR(IF(I483="","",I483)&amp;"","")</f>
        <v/>
      </c>
      <c r="M483">
        <f>IF(J483="","",IFERROR(VALUE(SUBSTITUTE(SUBSTITUTE(IF(E483="","",E483)&amp;"","$",""),",","")),0))</f>
        <v/>
      </c>
      <c r="N483" s="11">
        <f>IF(J483="","",IFERROR(VALUE(SUBSTITUTE(SUBSTITUTE(IF(F483="","",F483)&amp;"","$",""),",","")),0))</f>
        <v/>
      </c>
      <c r="O483" s="11">
        <f>IF(J483="","",M483*N483)</f>
        <v/>
      </c>
      <c r="P483">
        <f>IF(J483="","",IF(L483="",1,COUNTIF($L$2:$L$1501,L483)))</f>
        <v/>
      </c>
      <c r="Q483" s="11">
        <f>IF(J483="","",IFERROR(VALUE(SUBSTITUTE(SUBSTITUTE(IF(G483="","",G483)&amp;"","$",""),",","")),0)/IF("No"="Yes",P483,1))</f>
        <v/>
      </c>
      <c r="R483" s="11">
        <f>IF(J483="","",IFERROR(VALUE(SUBSTITUTE(SUBSTITUTE(IF(H483="","",H483)&amp;"","$",""),",","")),0)/IF("No"="Yes",P483,1))</f>
        <v/>
      </c>
      <c r="S483" s="11">
        <f>IF(J483="","",O483+Q483-R483)</f>
        <v/>
      </c>
      <c r="T483">
        <f>IF(J483="","",IFERROR(IF(K483="",NA(),MATCH(K483,Products!$B$5:$B$204,0)),IFERROR(MATCH(J483,Products!$A$5:$A$204,0),"")))</f>
        <v/>
      </c>
      <c r="U483">
        <f>IF(J483="","",IF(T483="","⚠ not in Products",INDEX(Products!$A$5:$A$204,T483)))</f>
        <v/>
      </c>
      <c r="V483" s="11">
        <f>IF(J483="","",S483*(IFERROR(INDEX(Settings!$B$5:$B$9,MATCH($B483,Settings!$A$5:$A$9,0)),0)+IFERROR(INDEX(Settings!$E$5:$E$9,MATCH($B483,Settings!$A$5:$A$9,0)),0)+IFERROR(INDEX(Settings!$G$5:$G$9,MATCH($B483,Settings!$A$5:$A$9,0)),0))+(IFERROR(INDEX(Settings!$C$5:$C$9,MATCH($B483,Settings!$A$5:$A$9,0)),0)+IFERROR(INDEX(Settings!$F$5:$F$9,MATCH($B483,Settings!$A$5:$A$9,0)),0))/P483+IFERROR(INDEX(Settings!$D$5:$D$9,MATCH($B483,Settings!$A$5:$A$9,0)),0)*M483)</f>
        <v/>
      </c>
      <c r="W483" s="11">
        <f>IF(J483="","",IF(T483="",0,M483*INDEX(Products!$I$5:$I$204,T483)))</f>
        <v/>
      </c>
      <c r="X483" s="11">
        <f>IF(J483="","",IF(T483="",0,S483*INDEX(Products!$H$5:$H$204,T483)))</f>
        <v/>
      </c>
      <c r="Y483" s="11">
        <f>IF(J483="","",S483-V483-W483-X483)</f>
        <v/>
      </c>
    </row>
    <row r="484">
      <c r="A484" s="19" t="n"/>
      <c r="B484" s="19" t="n"/>
      <c r="C484" s="19" t="n"/>
      <c r="D484" s="19" t="n"/>
      <c r="E484" s="19" t="n"/>
      <c r="F484" s="20" t="n"/>
      <c r="G484" s="20" t="n"/>
      <c r="H484" s="20" t="n"/>
      <c r="I484" s="19" t="n"/>
      <c r="J484">
        <f>IFERROR(IF(C484="","",C484)&amp;"","")</f>
        <v/>
      </c>
      <c r="K484">
        <f>IFERROR(IF(D484="","",D484)&amp;"","")</f>
        <v/>
      </c>
      <c r="L484">
        <f>IFERROR(IF(I484="","",I484)&amp;"","")</f>
        <v/>
      </c>
      <c r="M484">
        <f>IF(J484="","",IFERROR(VALUE(SUBSTITUTE(SUBSTITUTE(IF(E484="","",E484)&amp;"","$",""),",","")),0))</f>
        <v/>
      </c>
      <c r="N484" s="11">
        <f>IF(J484="","",IFERROR(VALUE(SUBSTITUTE(SUBSTITUTE(IF(F484="","",F484)&amp;"","$",""),",","")),0))</f>
        <v/>
      </c>
      <c r="O484" s="11">
        <f>IF(J484="","",M484*N484)</f>
        <v/>
      </c>
      <c r="P484">
        <f>IF(J484="","",IF(L484="",1,COUNTIF($L$2:$L$1501,L484)))</f>
        <v/>
      </c>
      <c r="Q484" s="11">
        <f>IF(J484="","",IFERROR(VALUE(SUBSTITUTE(SUBSTITUTE(IF(G484="","",G484)&amp;"","$",""),",","")),0)/IF("No"="Yes",P484,1))</f>
        <v/>
      </c>
      <c r="R484" s="11">
        <f>IF(J484="","",IFERROR(VALUE(SUBSTITUTE(SUBSTITUTE(IF(H484="","",H484)&amp;"","$",""),",","")),0)/IF("No"="Yes",P484,1))</f>
        <v/>
      </c>
      <c r="S484" s="11">
        <f>IF(J484="","",O484+Q484-R484)</f>
        <v/>
      </c>
      <c r="T484">
        <f>IF(J484="","",IFERROR(IF(K484="",NA(),MATCH(K484,Products!$B$5:$B$204,0)),IFERROR(MATCH(J484,Products!$A$5:$A$204,0),"")))</f>
        <v/>
      </c>
      <c r="U484">
        <f>IF(J484="","",IF(T484="","⚠ not in Products",INDEX(Products!$A$5:$A$204,T484)))</f>
        <v/>
      </c>
      <c r="V484" s="11">
        <f>IF(J484="","",S484*(IFERROR(INDEX(Settings!$B$5:$B$9,MATCH($B484,Settings!$A$5:$A$9,0)),0)+IFERROR(INDEX(Settings!$E$5:$E$9,MATCH($B484,Settings!$A$5:$A$9,0)),0)+IFERROR(INDEX(Settings!$G$5:$G$9,MATCH($B484,Settings!$A$5:$A$9,0)),0))+(IFERROR(INDEX(Settings!$C$5:$C$9,MATCH($B484,Settings!$A$5:$A$9,0)),0)+IFERROR(INDEX(Settings!$F$5:$F$9,MATCH($B484,Settings!$A$5:$A$9,0)),0))/P484+IFERROR(INDEX(Settings!$D$5:$D$9,MATCH($B484,Settings!$A$5:$A$9,0)),0)*M484)</f>
        <v/>
      </c>
      <c r="W484" s="11">
        <f>IF(J484="","",IF(T484="",0,M484*INDEX(Products!$I$5:$I$204,T484)))</f>
        <v/>
      </c>
      <c r="X484" s="11">
        <f>IF(J484="","",IF(T484="",0,S484*INDEX(Products!$H$5:$H$204,T484)))</f>
        <v/>
      </c>
      <c r="Y484" s="11">
        <f>IF(J484="","",S484-V484-W484-X484)</f>
        <v/>
      </c>
    </row>
    <row r="485">
      <c r="A485" s="19" t="n"/>
      <c r="B485" s="19" t="n"/>
      <c r="C485" s="19" t="n"/>
      <c r="D485" s="19" t="n"/>
      <c r="E485" s="19" t="n"/>
      <c r="F485" s="20" t="n"/>
      <c r="G485" s="20" t="n"/>
      <c r="H485" s="20" t="n"/>
      <c r="I485" s="19" t="n"/>
      <c r="J485">
        <f>IFERROR(IF(C485="","",C485)&amp;"","")</f>
        <v/>
      </c>
      <c r="K485">
        <f>IFERROR(IF(D485="","",D485)&amp;"","")</f>
        <v/>
      </c>
      <c r="L485">
        <f>IFERROR(IF(I485="","",I485)&amp;"","")</f>
        <v/>
      </c>
      <c r="M485">
        <f>IF(J485="","",IFERROR(VALUE(SUBSTITUTE(SUBSTITUTE(IF(E485="","",E485)&amp;"","$",""),",","")),0))</f>
        <v/>
      </c>
      <c r="N485" s="11">
        <f>IF(J485="","",IFERROR(VALUE(SUBSTITUTE(SUBSTITUTE(IF(F485="","",F485)&amp;"","$",""),",","")),0))</f>
        <v/>
      </c>
      <c r="O485" s="11">
        <f>IF(J485="","",M485*N485)</f>
        <v/>
      </c>
      <c r="P485">
        <f>IF(J485="","",IF(L485="",1,COUNTIF($L$2:$L$1501,L485)))</f>
        <v/>
      </c>
      <c r="Q485" s="11">
        <f>IF(J485="","",IFERROR(VALUE(SUBSTITUTE(SUBSTITUTE(IF(G485="","",G485)&amp;"","$",""),",","")),0)/IF("No"="Yes",P485,1))</f>
        <v/>
      </c>
      <c r="R485" s="11">
        <f>IF(J485="","",IFERROR(VALUE(SUBSTITUTE(SUBSTITUTE(IF(H485="","",H485)&amp;"","$",""),",","")),0)/IF("No"="Yes",P485,1))</f>
        <v/>
      </c>
      <c r="S485" s="11">
        <f>IF(J485="","",O485+Q485-R485)</f>
        <v/>
      </c>
      <c r="T485">
        <f>IF(J485="","",IFERROR(IF(K485="",NA(),MATCH(K485,Products!$B$5:$B$204,0)),IFERROR(MATCH(J485,Products!$A$5:$A$204,0),"")))</f>
        <v/>
      </c>
      <c r="U485">
        <f>IF(J485="","",IF(T485="","⚠ not in Products",INDEX(Products!$A$5:$A$204,T485)))</f>
        <v/>
      </c>
      <c r="V485" s="11">
        <f>IF(J485="","",S485*(IFERROR(INDEX(Settings!$B$5:$B$9,MATCH($B485,Settings!$A$5:$A$9,0)),0)+IFERROR(INDEX(Settings!$E$5:$E$9,MATCH($B485,Settings!$A$5:$A$9,0)),0)+IFERROR(INDEX(Settings!$G$5:$G$9,MATCH($B485,Settings!$A$5:$A$9,0)),0))+(IFERROR(INDEX(Settings!$C$5:$C$9,MATCH($B485,Settings!$A$5:$A$9,0)),0)+IFERROR(INDEX(Settings!$F$5:$F$9,MATCH($B485,Settings!$A$5:$A$9,0)),0))/P485+IFERROR(INDEX(Settings!$D$5:$D$9,MATCH($B485,Settings!$A$5:$A$9,0)),0)*M485)</f>
        <v/>
      </c>
      <c r="W485" s="11">
        <f>IF(J485="","",IF(T485="",0,M485*INDEX(Products!$I$5:$I$204,T485)))</f>
        <v/>
      </c>
      <c r="X485" s="11">
        <f>IF(J485="","",IF(T485="",0,S485*INDEX(Products!$H$5:$H$204,T485)))</f>
        <v/>
      </c>
      <c r="Y485" s="11">
        <f>IF(J485="","",S485-V485-W485-X485)</f>
        <v/>
      </c>
    </row>
    <row r="486">
      <c r="A486" s="19" t="n"/>
      <c r="B486" s="19" t="n"/>
      <c r="C486" s="19" t="n"/>
      <c r="D486" s="19" t="n"/>
      <c r="E486" s="19" t="n"/>
      <c r="F486" s="20" t="n"/>
      <c r="G486" s="20" t="n"/>
      <c r="H486" s="20" t="n"/>
      <c r="I486" s="19" t="n"/>
      <c r="J486">
        <f>IFERROR(IF(C486="","",C486)&amp;"","")</f>
        <v/>
      </c>
      <c r="K486">
        <f>IFERROR(IF(D486="","",D486)&amp;"","")</f>
        <v/>
      </c>
      <c r="L486">
        <f>IFERROR(IF(I486="","",I486)&amp;"","")</f>
        <v/>
      </c>
      <c r="M486">
        <f>IF(J486="","",IFERROR(VALUE(SUBSTITUTE(SUBSTITUTE(IF(E486="","",E486)&amp;"","$",""),",","")),0))</f>
        <v/>
      </c>
      <c r="N486" s="11">
        <f>IF(J486="","",IFERROR(VALUE(SUBSTITUTE(SUBSTITUTE(IF(F486="","",F486)&amp;"","$",""),",","")),0))</f>
        <v/>
      </c>
      <c r="O486" s="11">
        <f>IF(J486="","",M486*N486)</f>
        <v/>
      </c>
      <c r="P486">
        <f>IF(J486="","",IF(L486="",1,COUNTIF($L$2:$L$1501,L486)))</f>
        <v/>
      </c>
      <c r="Q486" s="11">
        <f>IF(J486="","",IFERROR(VALUE(SUBSTITUTE(SUBSTITUTE(IF(G486="","",G486)&amp;"","$",""),",","")),0)/IF("No"="Yes",P486,1))</f>
        <v/>
      </c>
      <c r="R486" s="11">
        <f>IF(J486="","",IFERROR(VALUE(SUBSTITUTE(SUBSTITUTE(IF(H486="","",H486)&amp;"","$",""),",","")),0)/IF("No"="Yes",P486,1))</f>
        <v/>
      </c>
      <c r="S486" s="11">
        <f>IF(J486="","",O486+Q486-R486)</f>
        <v/>
      </c>
      <c r="T486">
        <f>IF(J486="","",IFERROR(IF(K486="",NA(),MATCH(K486,Products!$B$5:$B$204,0)),IFERROR(MATCH(J486,Products!$A$5:$A$204,0),"")))</f>
        <v/>
      </c>
      <c r="U486">
        <f>IF(J486="","",IF(T486="","⚠ not in Products",INDEX(Products!$A$5:$A$204,T486)))</f>
        <v/>
      </c>
      <c r="V486" s="11">
        <f>IF(J486="","",S486*(IFERROR(INDEX(Settings!$B$5:$B$9,MATCH($B486,Settings!$A$5:$A$9,0)),0)+IFERROR(INDEX(Settings!$E$5:$E$9,MATCH($B486,Settings!$A$5:$A$9,0)),0)+IFERROR(INDEX(Settings!$G$5:$G$9,MATCH($B486,Settings!$A$5:$A$9,0)),0))+(IFERROR(INDEX(Settings!$C$5:$C$9,MATCH($B486,Settings!$A$5:$A$9,0)),0)+IFERROR(INDEX(Settings!$F$5:$F$9,MATCH($B486,Settings!$A$5:$A$9,0)),0))/P486+IFERROR(INDEX(Settings!$D$5:$D$9,MATCH($B486,Settings!$A$5:$A$9,0)),0)*M486)</f>
        <v/>
      </c>
      <c r="W486" s="11">
        <f>IF(J486="","",IF(T486="",0,M486*INDEX(Products!$I$5:$I$204,T486)))</f>
        <v/>
      </c>
      <c r="X486" s="11">
        <f>IF(J486="","",IF(T486="",0,S486*INDEX(Products!$H$5:$H$204,T486)))</f>
        <v/>
      </c>
      <c r="Y486" s="11">
        <f>IF(J486="","",S486-V486-W486-X486)</f>
        <v/>
      </c>
    </row>
    <row r="487">
      <c r="A487" s="19" t="n"/>
      <c r="B487" s="19" t="n"/>
      <c r="C487" s="19" t="n"/>
      <c r="D487" s="19" t="n"/>
      <c r="E487" s="19" t="n"/>
      <c r="F487" s="20" t="n"/>
      <c r="G487" s="20" t="n"/>
      <c r="H487" s="20" t="n"/>
      <c r="I487" s="19" t="n"/>
      <c r="J487">
        <f>IFERROR(IF(C487="","",C487)&amp;"","")</f>
        <v/>
      </c>
      <c r="K487">
        <f>IFERROR(IF(D487="","",D487)&amp;"","")</f>
        <v/>
      </c>
      <c r="L487">
        <f>IFERROR(IF(I487="","",I487)&amp;"","")</f>
        <v/>
      </c>
      <c r="M487">
        <f>IF(J487="","",IFERROR(VALUE(SUBSTITUTE(SUBSTITUTE(IF(E487="","",E487)&amp;"","$",""),",","")),0))</f>
        <v/>
      </c>
      <c r="N487" s="11">
        <f>IF(J487="","",IFERROR(VALUE(SUBSTITUTE(SUBSTITUTE(IF(F487="","",F487)&amp;"","$",""),",","")),0))</f>
        <v/>
      </c>
      <c r="O487" s="11">
        <f>IF(J487="","",M487*N487)</f>
        <v/>
      </c>
      <c r="P487">
        <f>IF(J487="","",IF(L487="",1,COUNTIF($L$2:$L$1501,L487)))</f>
        <v/>
      </c>
      <c r="Q487" s="11">
        <f>IF(J487="","",IFERROR(VALUE(SUBSTITUTE(SUBSTITUTE(IF(G487="","",G487)&amp;"","$",""),",","")),0)/IF("No"="Yes",P487,1))</f>
        <v/>
      </c>
      <c r="R487" s="11">
        <f>IF(J487="","",IFERROR(VALUE(SUBSTITUTE(SUBSTITUTE(IF(H487="","",H487)&amp;"","$",""),",","")),0)/IF("No"="Yes",P487,1))</f>
        <v/>
      </c>
      <c r="S487" s="11">
        <f>IF(J487="","",O487+Q487-R487)</f>
        <v/>
      </c>
      <c r="T487">
        <f>IF(J487="","",IFERROR(IF(K487="",NA(),MATCH(K487,Products!$B$5:$B$204,0)),IFERROR(MATCH(J487,Products!$A$5:$A$204,0),"")))</f>
        <v/>
      </c>
      <c r="U487">
        <f>IF(J487="","",IF(T487="","⚠ not in Products",INDEX(Products!$A$5:$A$204,T487)))</f>
        <v/>
      </c>
      <c r="V487" s="11">
        <f>IF(J487="","",S487*(IFERROR(INDEX(Settings!$B$5:$B$9,MATCH($B487,Settings!$A$5:$A$9,0)),0)+IFERROR(INDEX(Settings!$E$5:$E$9,MATCH($B487,Settings!$A$5:$A$9,0)),0)+IFERROR(INDEX(Settings!$G$5:$G$9,MATCH($B487,Settings!$A$5:$A$9,0)),0))+(IFERROR(INDEX(Settings!$C$5:$C$9,MATCH($B487,Settings!$A$5:$A$9,0)),0)+IFERROR(INDEX(Settings!$F$5:$F$9,MATCH($B487,Settings!$A$5:$A$9,0)),0))/P487+IFERROR(INDEX(Settings!$D$5:$D$9,MATCH($B487,Settings!$A$5:$A$9,0)),0)*M487)</f>
        <v/>
      </c>
      <c r="W487" s="11">
        <f>IF(J487="","",IF(T487="",0,M487*INDEX(Products!$I$5:$I$204,T487)))</f>
        <v/>
      </c>
      <c r="X487" s="11">
        <f>IF(J487="","",IF(T487="",0,S487*INDEX(Products!$H$5:$H$204,T487)))</f>
        <v/>
      </c>
      <c r="Y487" s="11">
        <f>IF(J487="","",S487-V487-W487-X487)</f>
        <v/>
      </c>
    </row>
    <row r="488">
      <c r="A488" s="19" t="n"/>
      <c r="B488" s="19" t="n"/>
      <c r="C488" s="19" t="n"/>
      <c r="D488" s="19" t="n"/>
      <c r="E488" s="19" t="n"/>
      <c r="F488" s="20" t="n"/>
      <c r="G488" s="20" t="n"/>
      <c r="H488" s="20" t="n"/>
      <c r="I488" s="19" t="n"/>
      <c r="J488">
        <f>IFERROR(IF(C488="","",C488)&amp;"","")</f>
        <v/>
      </c>
      <c r="K488">
        <f>IFERROR(IF(D488="","",D488)&amp;"","")</f>
        <v/>
      </c>
      <c r="L488">
        <f>IFERROR(IF(I488="","",I488)&amp;"","")</f>
        <v/>
      </c>
      <c r="M488">
        <f>IF(J488="","",IFERROR(VALUE(SUBSTITUTE(SUBSTITUTE(IF(E488="","",E488)&amp;"","$",""),",","")),0))</f>
        <v/>
      </c>
      <c r="N488" s="11">
        <f>IF(J488="","",IFERROR(VALUE(SUBSTITUTE(SUBSTITUTE(IF(F488="","",F488)&amp;"","$",""),",","")),0))</f>
        <v/>
      </c>
      <c r="O488" s="11">
        <f>IF(J488="","",M488*N488)</f>
        <v/>
      </c>
      <c r="P488">
        <f>IF(J488="","",IF(L488="",1,COUNTIF($L$2:$L$1501,L488)))</f>
        <v/>
      </c>
      <c r="Q488" s="11">
        <f>IF(J488="","",IFERROR(VALUE(SUBSTITUTE(SUBSTITUTE(IF(G488="","",G488)&amp;"","$",""),",","")),0)/IF("No"="Yes",P488,1))</f>
        <v/>
      </c>
      <c r="R488" s="11">
        <f>IF(J488="","",IFERROR(VALUE(SUBSTITUTE(SUBSTITUTE(IF(H488="","",H488)&amp;"","$",""),",","")),0)/IF("No"="Yes",P488,1))</f>
        <v/>
      </c>
      <c r="S488" s="11">
        <f>IF(J488="","",O488+Q488-R488)</f>
        <v/>
      </c>
      <c r="T488">
        <f>IF(J488="","",IFERROR(IF(K488="",NA(),MATCH(K488,Products!$B$5:$B$204,0)),IFERROR(MATCH(J488,Products!$A$5:$A$204,0),"")))</f>
        <v/>
      </c>
      <c r="U488">
        <f>IF(J488="","",IF(T488="","⚠ not in Products",INDEX(Products!$A$5:$A$204,T488)))</f>
        <v/>
      </c>
      <c r="V488" s="11">
        <f>IF(J488="","",S488*(IFERROR(INDEX(Settings!$B$5:$B$9,MATCH($B488,Settings!$A$5:$A$9,0)),0)+IFERROR(INDEX(Settings!$E$5:$E$9,MATCH($B488,Settings!$A$5:$A$9,0)),0)+IFERROR(INDEX(Settings!$G$5:$G$9,MATCH($B488,Settings!$A$5:$A$9,0)),0))+(IFERROR(INDEX(Settings!$C$5:$C$9,MATCH($B488,Settings!$A$5:$A$9,0)),0)+IFERROR(INDEX(Settings!$F$5:$F$9,MATCH($B488,Settings!$A$5:$A$9,0)),0))/P488+IFERROR(INDEX(Settings!$D$5:$D$9,MATCH($B488,Settings!$A$5:$A$9,0)),0)*M488)</f>
        <v/>
      </c>
      <c r="W488" s="11">
        <f>IF(J488="","",IF(T488="",0,M488*INDEX(Products!$I$5:$I$204,T488)))</f>
        <v/>
      </c>
      <c r="X488" s="11">
        <f>IF(J488="","",IF(T488="",0,S488*INDEX(Products!$H$5:$H$204,T488)))</f>
        <v/>
      </c>
      <c r="Y488" s="11">
        <f>IF(J488="","",S488-V488-W488-X488)</f>
        <v/>
      </c>
    </row>
    <row r="489">
      <c r="A489" s="19" t="n"/>
      <c r="B489" s="19" t="n"/>
      <c r="C489" s="19" t="n"/>
      <c r="D489" s="19" t="n"/>
      <c r="E489" s="19" t="n"/>
      <c r="F489" s="20" t="n"/>
      <c r="G489" s="20" t="n"/>
      <c r="H489" s="20" t="n"/>
      <c r="I489" s="19" t="n"/>
      <c r="J489">
        <f>IFERROR(IF(C489="","",C489)&amp;"","")</f>
        <v/>
      </c>
      <c r="K489">
        <f>IFERROR(IF(D489="","",D489)&amp;"","")</f>
        <v/>
      </c>
      <c r="L489">
        <f>IFERROR(IF(I489="","",I489)&amp;"","")</f>
        <v/>
      </c>
      <c r="M489">
        <f>IF(J489="","",IFERROR(VALUE(SUBSTITUTE(SUBSTITUTE(IF(E489="","",E489)&amp;"","$",""),",","")),0))</f>
        <v/>
      </c>
      <c r="N489" s="11">
        <f>IF(J489="","",IFERROR(VALUE(SUBSTITUTE(SUBSTITUTE(IF(F489="","",F489)&amp;"","$",""),",","")),0))</f>
        <v/>
      </c>
      <c r="O489" s="11">
        <f>IF(J489="","",M489*N489)</f>
        <v/>
      </c>
      <c r="P489">
        <f>IF(J489="","",IF(L489="",1,COUNTIF($L$2:$L$1501,L489)))</f>
        <v/>
      </c>
      <c r="Q489" s="11">
        <f>IF(J489="","",IFERROR(VALUE(SUBSTITUTE(SUBSTITUTE(IF(G489="","",G489)&amp;"","$",""),",","")),0)/IF("No"="Yes",P489,1))</f>
        <v/>
      </c>
      <c r="R489" s="11">
        <f>IF(J489="","",IFERROR(VALUE(SUBSTITUTE(SUBSTITUTE(IF(H489="","",H489)&amp;"","$",""),",","")),0)/IF("No"="Yes",P489,1))</f>
        <v/>
      </c>
      <c r="S489" s="11">
        <f>IF(J489="","",O489+Q489-R489)</f>
        <v/>
      </c>
      <c r="T489">
        <f>IF(J489="","",IFERROR(IF(K489="",NA(),MATCH(K489,Products!$B$5:$B$204,0)),IFERROR(MATCH(J489,Products!$A$5:$A$204,0),"")))</f>
        <v/>
      </c>
      <c r="U489">
        <f>IF(J489="","",IF(T489="","⚠ not in Products",INDEX(Products!$A$5:$A$204,T489)))</f>
        <v/>
      </c>
      <c r="V489" s="11">
        <f>IF(J489="","",S489*(IFERROR(INDEX(Settings!$B$5:$B$9,MATCH($B489,Settings!$A$5:$A$9,0)),0)+IFERROR(INDEX(Settings!$E$5:$E$9,MATCH($B489,Settings!$A$5:$A$9,0)),0)+IFERROR(INDEX(Settings!$G$5:$G$9,MATCH($B489,Settings!$A$5:$A$9,0)),0))+(IFERROR(INDEX(Settings!$C$5:$C$9,MATCH($B489,Settings!$A$5:$A$9,0)),0)+IFERROR(INDEX(Settings!$F$5:$F$9,MATCH($B489,Settings!$A$5:$A$9,0)),0))/P489+IFERROR(INDEX(Settings!$D$5:$D$9,MATCH($B489,Settings!$A$5:$A$9,0)),0)*M489)</f>
        <v/>
      </c>
      <c r="W489" s="11">
        <f>IF(J489="","",IF(T489="",0,M489*INDEX(Products!$I$5:$I$204,T489)))</f>
        <v/>
      </c>
      <c r="X489" s="11">
        <f>IF(J489="","",IF(T489="",0,S489*INDEX(Products!$H$5:$H$204,T489)))</f>
        <v/>
      </c>
      <c r="Y489" s="11">
        <f>IF(J489="","",S489-V489-W489-X489)</f>
        <v/>
      </c>
    </row>
    <row r="490">
      <c r="A490" s="19" t="n"/>
      <c r="B490" s="19" t="n"/>
      <c r="C490" s="19" t="n"/>
      <c r="D490" s="19" t="n"/>
      <c r="E490" s="19" t="n"/>
      <c r="F490" s="20" t="n"/>
      <c r="G490" s="20" t="n"/>
      <c r="H490" s="20" t="n"/>
      <c r="I490" s="19" t="n"/>
      <c r="J490">
        <f>IFERROR(IF(C490="","",C490)&amp;"","")</f>
        <v/>
      </c>
      <c r="K490">
        <f>IFERROR(IF(D490="","",D490)&amp;"","")</f>
        <v/>
      </c>
      <c r="L490">
        <f>IFERROR(IF(I490="","",I490)&amp;"","")</f>
        <v/>
      </c>
      <c r="M490">
        <f>IF(J490="","",IFERROR(VALUE(SUBSTITUTE(SUBSTITUTE(IF(E490="","",E490)&amp;"","$",""),",","")),0))</f>
        <v/>
      </c>
      <c r="N490" s="11">
        <f>IF(J490="","",IFERROR(VALUE(SUBSTITUTE(SUBSTITUTE(IF(F490="","",F490)&amp;"","$",""),",","")),0))</f>
        <v/>
      </c>
      <c r="O490" s="11">
        <f>IF(J490="","",M490*N490)</f>
        <v/>
      </c>
      <c r="P490">
        <f>IF(J490="","",IF(L490="",1,COUNTIF($L$2:$L$1501,L490)))</f>
        <v/>
      </c>
      <c r="Q490" s="11">
        <f>IF(J490="","",IFERROR(VALUE(SUBSTITUTE(SUBSTITUTE(IF(G490="","",G490)&amp;"","$",""),",","")),0)/IF("No"="Yes",P490,1))</f>
        <v/>
      </c>
      <c r="R490" s="11">
        <f>IF(J490="","",IFERROR(VALUE(SUBSTITUTE(SUBSTITUTE(IF(H490="","",H490)&amp;"","$",""),",","")),0)/IF("No"="Yes",P490,1))</f>
        <v/>
      </c>
      <c r="S490" s="11">
        <f>IF(J490="","",O490+Q490-R490)</f>
        <v/>
      </c>
      <c r="T490">
        <f>IF(J490="","",IFERROR(IF(K490="",NA(),MATCH(K490,Products!$B$5:$B$204,0)),IFERROR(MATCH(J490,Products!$A$5:$A$204,0),"")))</f>
        <v/>
      </c>
      <c r="U490">
        <f>IF(J490="","",IF(T490="","⚠ not in Products",INDEX(Products!$A$5:$A$204,T490)))</f>
        <v/>
      </c>
      <c r="V490" s="11">
        <f>IF(J490="","",S490*(IFERROR(INDEX(Settings!$B$5:$B$9,MATCH($B490,Settings!$A$5:$A$9,0)),0)+IFERROR(INDEX(Settings!$E$5:$E$9,MATCH($B490,Settings!$A$5:$A$9,0)),0)+IFERROR(INDEX(Settings!$G$5:$G$9,MATCH($B490,Settings!$A$5:$A$9,0)),0))+(IFERROR(INDEX(Settings!$C$5:$C$9,MATCH($B490,Settings!$A$5:$A$9,0)),0)+IFERROR(INDEX(Settings!$F$5:$F$9,MATCH($B490,Settings!$A$5:$A$9,0)),0))/P490+IFERROR(INDEX(Settings!$D$5:$D$9,MATCH($B490,Settings!$A$5:$A$9,0)),0)*M490)</f>
        <v/>
      </c>
      <c r="W490" s="11">
        <f>IF(J490="","",IF(T490="",0,M490*INDEX(Products!$I$5:$I$204,T490)))</f>
        <v/>
      </c>
      <c r="X490" s="11">
        <f>IF(J490="","",IF(T490="",0,S490*INDEX(Products!$H$5:$H$204,T490)))</f>
        <v/>
      </c>
      <c r="Y490" s="11">
        <f>IF(J490="","",S490-V490-W490-X490)</f>
        <v/>
      </c>
    </row>
    <row r="491">
      <c r="A491" s="19" t="n"/>
      <c r="B491" s="19" t="n"/>
      <c r="C491" s="19" t="n"/>
      <c r="D491" s="19" t="n"/>
      <c r="E491" s="19" t="n"/>
      <c r="F491" s="20" t="n"/>
      <c r="G491" s="20" t="n"/>
      <c r="H491" s="20" t="n"/>
      <c r="I491" s="19" t="n"/>
      <c r="J491">
        <f>IFERROR(IF(C491="","",C491)&amp;"","")</f>
        <v/>
      </c>
      <c r="K491">
        <f>IFERROR(IF(D491="","",D491)&amp;"","")</f>
        <v/>
      </c>
      <c r="L491">
        <f>IFERROR(IF(I491="","",I491)&amp;"","")</f>
        <v/>
      </c>
      <c r="M491">
        <f>IF(J491="","",IFERROR(VALUE(SUBSTITUTE(SUBSTITUTE(IF(E491="","",E491)&amp;"","$",""),",","")),0))</f>
        <v/>
      </c>
      <c r="N491" s="11">
        <f>IF(J491="","",IFERROR(VALUE(SUBSTITUTE(SUBSTITUTE(IF(F491="","",F491)&amp;"","$",""),",","")),0))</f>
        <v/>
      </c>
      <c r="O491" s="11">
        <f>IF(J491="","",M491*N491)</f>
        <v/>
      </c>
      <c r="P491">
        <f>IF(J491="","",IF(L491="",1,COUNTIF($L$2:$L$1501,L491)))</f>
        <v/>
      </c>
      <c r="Q491" s="11">
        <f>IF(J491="","",IFERROR(VALUE(SUBSTITUTE(SUBSTITUTE(IF(G491="","",G491)&amp;"","$",""),",","")),0)/IF("No"="Yes",P491,1))</f>
        <v/>
      </c>
      <c r="R491" s="11">
        <f>IF(J491="","",IFERROR(VALUE(SUBSTITUTE(SUBSTITUTE(IF(H491="","",H491)&amp;"","$",""),",","")),0)/IF("No"="Yes",P491,1))</f>
        <v/>
      </c>
      <c r="S491" s="11">
        <f>IF(J491="","",O491+Q491-R491)</f>
        <v/>
      </c>
      <c r="T491">
        <f>IF(J491="","",IFERROR(IF(K491="",NA(),MATCH(K491,Products!$B$5:$B$204,0)),IFERROR(MATCH(J491,Products!$A$5:$A$204,0),"")))</f>
        <v/>
      </c>
      <c r="U491">
        <f>IF(J491="","",IF(T491="","⚠ not in Products",INDEX(Products!$A$5:$A$204,T491)))</f>
        <v/>
      </c>
      <c r="V491" s="11">
        <f>IF(J491="","",S491*(IFERROR(INDEX(Settings!$B$5:$B$9,MATCH($B491,Settings!$A$5:$A$9,0)),0)+IFERROR(INDEX(Settings!$E$5:$E$9,MATCH($B491,Settings!$A$5:$A$9,0)),0)+IFERROR(INDEX(Settings!$G$5:$G$9,MATCH($B491,Settings!$A$5:$A$9,0)),0))+(IFERROR(INDEX(Settings!$C$5:$C$9,MATCH($B491,Settings!$A$5:$A$9,0)),0)+IFERROR(INDEX(Settings!$F$5:$F$9,MATCH($B491,Settings!$A$5:$A$9,0)),0))/P491+IFERROR(INDEX(Settings!$D$5:$D$9,MATCH($B491,Settings!$A$5:$A$9,0)),0)*M491)</f>
        <v/>
      </c>
      <c r="W491" s="11">
        <f>IF(J491="","",IF(T491="",0,M491*INDEX(Products!$I$5:$I$204,T491)))</f>
        <v/>
      </c>
      <c r="X491" s="11">
        <f>IF(J491="","",IF(T491="",0,S491*INDEX(Products!$H$5:$H$204,T491)))</f>
        <v/>
      </c>
      <c r="Y491" s="11">
        <f>IF(J491="","",S491-V491-W491-X491)</f>
        <v/>
      </c>
    </row>
    <row r="492">
      <c r="A492" s="19" t="n"/>
      <c r="B492" s="19" t="n"/>
      <c r="C492" s="19" t="n"/>
      <c r="D492" s="19" t="n"/>
      <c r="E492" s="19" t="n"/>
      <c r="F492" s="20" t="n"/>
      <c r="G492" s="20" t="n"/>
      <c r="H492" s="20" t="n"/>
      <c r="I492" s="19" t="n"/>
      <c r="J492">
        <f>IFERROR(IF(C492="","",C492)&amp;"","")</f>
        <v/>
      </c>
      <c r="K492">
        <f>IFERROR(IF(D492="","",D492)&amp;"","")</f>
        <v/>
      </c>
      <c r="L492">
        <f>IFERROR(IF(I492="","",I492)&amp;"","")</f>
        <v/>
      </c>
      <c r="M492">
        <f>IF(J492="","",IFERROR(VALUE(SUBSTITUTE(SUBSTITUTE(IF(E492="","",E492)&amp;"","$",""),",","")),0))</f>
        <v/>
      </c>
      <c r="N492" s="11">
        <f>IF(J492="","",IFERROR(VALUE(SUBSTITUTE(SUBSTITUTE(IF(F492="","",F492)&amp;"","$",""),",","")),0))</f>
        <v/>
      </c>
      <c r="O492" s="11">
        <f>IF(J492="","",M492*N492)</f>
        <v/>
      </c>
      <c r="P492">
        <f>IF(J492="","",IF(L492="",1,COUNTIF($L$2:$L$1501,L492)))</f>
        <v/>
      </c>
      <c r="Q492" s="11">
        <f>IF(J492="","",IFERROR(VALUE(SUBSTITUTE(SUBSTITUTE(IF(G492="","",G492)&amp;"","$",""),",","")),0)/IF("No"="Yes",P492,1))</f>
        <v/>
      </c>
      <c r="R492" s="11">
        <f>IF(J492="","",IFERROR(VALUE(SUBSTITUTE(SUBSTITUTE(IF(H492="","",H492)&amp;"","$",""),",","")),0)/IF("No"="Yes",P492,1))</f>
        <v/>
      </c>
      <c r="S492" s="11">
        <f>IF(J492="","",O492+Q492-R492)</f>
        <v/>
      </c>
      <c r="T492">
        <f>IF(J492="","",IFERROR(IF(K492="",NA(),MATCH(K492,Products!$B$5:$B$204,0)),IFERROR(MATCH(J492,Products!$A$5:$A$204,0),"")))</f>
        <v/>
      </c>
      <c r="U492">
        <f>IF(J492="","",IF(T492="","⚠ not in Products",INDEX(Products!$A$5:$A$204,T492)))</f>
        <v/>
      </c>
      <c r="V492" s="11">
        <f>IF(J492="","",S492*(IFERROR(INDEX(Settings!$B$5:$B$9,MATCH($B492,Settings!$A$5:$A$9,0)),0)+IFERROR(INDEX(Settings!$E$5:$E$9,MATCH($B492,Settings!$A$5:$A$9,0)),0)+IFERROR(INDEX(Settings!$G$5:$G$9,MATCH($B492,Settings!$A$5:$A$9,0)),0))+(IFERROR(INDEX(Settings!$C$5:$C$9,MATCH($B492,Settings!$A$5:$A$9,0)),0)+IFERROR(INDEX(Settings!$F$5:$F$9,MATCH($B492,Settings!$A$5:$A$9,0)),0))/P492+IFERROR(INDEX(Settings!$D$5:$D$9,MATCH($B492,Settings!$A$5:$A$9,0)),0)*M492)</f>
        <v/>
      </c>
      <c r="W492" s="11">
        <f>IF(J492="","",IF(T492="",0,M492*INDEX(Products!$I$5:$I$204,T492)))</f>
        <v/>
      </c>
      <c r="X492" s="11">
        <f>IF(J492="","",IF(T492="",0,S492*INDEX(Products!$H$5:$H$204,T492)))</f>
        <v/>
      </c>
      <c r="Y492" s="11">
        <f>IF(J492="","",S492-V492-W492-X492)</f>
        <v/>
      </c>
    </row>
    <row r="493">
      <c r="A493" s="19" t="n"/>
      <c r="B493" s="19" t="n"/>
      <c r="C493" s="19" t="n"/>
      <c r="D493" s="19" t="n"/>
      <c r="E493" s="19" t="n"/>
      <c r="F493" s="20" t="n"/>
      <c r="G493" s="20" t="n"/>
      <c r="H493" s="20" t="n"/>
      <c r="I493" s="19" t="n"/>
      <c r="J493">
        <f>IFERROR(IF(C493="","",C493)&amp;"","")</f>
        <v/>
      </c>
      <c r="K493">
        <f>IFERROR(IF(D493="","",D493)&amp;"","")</f>
        <v/>
      </c>
      <c r="L493">
        <f>IFERROR(IF(I493="","",I493)&amp;"","")</f>
        <v/>
      </c>
      <c r="M493">
        <f>IF(J493="","",IFERROR(VALUE(SUBSTITUTE(SUBSTITUTE(IF(E493="","",E493)&amp;"","$",""),",","")),0))</f>
        <v/>
      </c>
      <c r="N493" s="11">
        <f>IF(J493="","",IFERROR(VALUE(SUBSTITUTE(SUBSTITUTE(IF(F493="","",F493)&amp;"","$",""),",","")),0))</f>
        <v/>
      </c>
      <c r="O493" s="11">
        <f>IF(J493="","",M493*N493)</f>
        <v/>
      </c>
      <c r="P493">
        <f>IF(J493="","",IF(L493="",1,COUNTIF($L$2:$L$1501,L493)))</f>
        <v/>
      </c>
      <c r="Q493" s="11">
        <f>IF(J493="","",IFERROR(VALUE(SUBSTITUTE(SUBSTITUTE(IF(G493="","",G493)&amp;"","$",""),",","")),0)/IF("No"="Yes",P493,1))</f>
        <v/>
      </c>
      <c r="R493" s="11">
        <f>IF(J493="","",IFERROR(VALUE(SUBSTITUTE(SUBSTITUTE(IF(H493="","",H493)&amp;"","$",""),",","")),0)/IF("No"="Yes",P493,1))</f>
        <v/>
      </c>
      <c r="S493" s="11">
        <f>IF(J493="","",O493+Q493-R493)</f>
        <v/>
      </c>
      <c r="T493">
        <f>IF(J493="","",IFERROR(IF(K493="",NA(),MATCH(K493,Products!$B$5:$B$204,0)),IFERROR(MATCH(J493,Products!$A$5:$A$204,0),"")))</f>
        <v/>
      </c>
      <c r="U493">
        <f>IF(J493="","",IF(T493="","⚠ not in Products",INDEX(Products!$A$5:$A$204,T493)))</f>
        <v/>
      </c>
      <c r="V493" s="11">
        <f>IF(J493="","",S493*(IFERROR(INDEX(Settings!$B$5:$B$9,MATCH($B493,Settings!$A$5:$A$9,0)),0)+IFERROR(INDEX(Settings!$E$5:$E$9,MATCH($B493,Settings!$A$5:$A$9,0)),0)+IFERROR(INDEX(Settings!$G$5:$G$9,MATCH($B493,Settings!$A$5:$A$9,0)),0))+(IFERROR(INDEX(Settings!$C$5:$C$9,MATCH($B493,Settings!$A$5:$A$9,0)),0)+IFERROR(INDEX(Settings!$F$5:$F$9,MATCH($B493,Settings!$A$5:$A$9,0)),0))/P493+IFERROR(INDEX(Settings!$D$5:$D$9,MATCH($B493,Settings!$A$5:$A$9,0)),0)*M493)</f>
        <v/>
      </c>
      <c r="W493" s="11">
        <f>IF(J493="","",IF(T493="",0,M493*INDEX(Products!$I$5:$I$204,T493)))</f>
        <v/>
      </c>
      <c r="X493" s="11">
        <f>IF(J493="","",IF(T493="",0,S493*INDEX(Products!$H$5:$H$204,T493)))</f>
        <v/>
      </c>
      <c r="Y493" s="11">
        <f>IF(J493="","",S493-V493-W493-X493)</f>
        <v/>
      </c>
    </row>
    <row r="494">
      <c r="A494" s="19" t="n"/>
      <c r="B494" s="19" t="n"/>
      <c r="C494" s="19" t="n"/>
      <c r="D494" s="19" t="n"/>
      <c r="E494" s="19" t="n"/>
      <c r="F494" s="20" t="n"/>
      <c r="G494" s="20" t="n"/>
      <c r="H494" s="20" t="n"/>
      <c r="I494" s="19" t="n"/>
      <c r="J494">
        <f>IFERROR(IF(C494="","",C494)&amp;"","")</f>
        <v/>
      </c>
      <c r="K494">
        <f>IFERROR(IF(D494="","",D494)&amp;"","")</f>
        <v/>
      </c>
      <c r="L494">
        <f>IFERROR(IF(I494="","",I494)&amp;"","")</f>
        <v/>
      </c>
      <c r="M494">
        <f>IF(J494="","",IFERROR(VALUE(SUBSTITUTE(SUBSTITUTE(IF(E494="","",E494)&amp;"","$",""),",","")),0))</f>
        <v/>
      </c>
      <c r="N494" s="11">
        <f>IF(J494="","",IFERROR(VALUE(SUBSTITUTE(SUBSTITUTE(IF(F494="","",F494)&amp;"","$",""),",","")),0))</f>
        <v/>
      </c>
      <c r="O494" s="11">
        <f>IF(J494="","",M494*N494)</f>
        <v/>
      </c>
      <c r="P494">
        <f>IF(J494="","",IF(L494="",1,COUNTIF($L$2:$L$1501,L494)))</f>
        <v/>
      </c>
      <c r="Q494" s="11">
        <f>IF(J494="","",IFERROR(VALUE(SUBSTITUTE(SUBSTITUTE(IF(G494="","",G494)&amp;"","$",""),",","")),0)/IF("No"="Yes",P494,1))</f>
        <v/>
      </c>
      <c r="R494" s="11">
        <f>IF(J494="","",IFERROR(VALUE(SUBSTITUTE(SUBSTITUTE(IF(H494="","",H494)&amp;"","$",""),",","")),0)/IF("No"="Yes",P494,1))</f>
        <v/>
      </c>
      <c r="S494" s="11">
        <f>IF(J494="","",O494+Q494-R494)</f>
        <v/>
      </c>
      <c r="T494">
        <f>IF(J494="","",IFERROR(IF(K494="",NA(),MATCH(K494,Products!$B$5:$B$204,0)),IFERROR(MATCH(J494,Products!$A$5:$A$204,0),"")))</f>
        <v/>
      </c>
      <c r="U494">
        <f>IF(J494="","",IF(T494="","⚠ not in Products",INDEX(Products!$A$5:$A$204,T494)))</f>
        <v/>
      </c>
      <c r="V494" s="11">
        <f>IF(J494="","",S494*(IFERROR(INDEX(Settings!$B$5:$B$9,MATCH($B494,Settings!$A$5:$A$9,0)),0)+IFERROR(INDEX(Settings!$E$5:$E$9,MATCH($B494,Settings!$A$5:$A$9,0)),0)+IFERROR(INDEX(Settings!$G$5:$G$9,MATCH($B494,Settings!$A$5:$A$9,0)),0))+(IFERROR(INDEX(Settings!$C$5:$C$9,MATCH($B494,Settings!$A$5:$A$9,0)),0)+IFERROR(INDEX(Settings!$F$5:$F$9,MATCH($B494,Settings!$A$5:$A$9,0)),0))/P494+IFERROR(INDEX(Settings!$D$5:$D$9,MATCH($B494,Settings!$A$5:$A$9,0)),0)*M494)</f>
        <v/>
      </c>
      <c r="W494" s="11">
        <f>IF(J494="","",IF(T494="",0,M494*INDEX(Products!$I$5:$I$204,T494)))</f>
        <v/>
      </c>
      <c r="X494" s="11">
        <f>IF(J494="","",IF(T494="",0,S494*INDEX(Products!$H$5:$H$204,T494)))</f>
        <v/>
      </c>
      <c r="Y494" s="11">
        <f>IF(J494="","",S494-V494-W494-X494)</f>
        <v/>
      </c>
    </row>
    <row r="495">
      <c r="A495" s="19" t="n"/>
      <c r="B495" s="19" t="n"/>
      <c r="C495" s="19" t="n"/>
      <c r="D495" s="19" t="n"/>
      <c r="E495" s="19" t="n"/>
      <c r="F495" s="20" t="n"/>
      <c r="G495" s="20" t="n"/>
      <c r="H495" s="20" t="n"/>
      <c r="I495" s="19" t="n"/>
      <c r="J495">
        <f>IFERROR(IF(C495="","",C495)&amp;"","")</f>
        <v/>
      </c>
      <c r="K495">
        <f>IFERROR(IF(D495="","",D495)&amp;"","")</f>
        <v/>
      </c>
      <c r="L495">
        <f>IFERROR(IF(I495="","",I495)&amp;"","")</f>
        <v/>
      </c>
      <c r="M495">
        <f>IF(J495="","",IFERROR(VALUE(SUBSTITUTE(SUBSTITUTE(IF(E495="","",E495)&amp;"","$",""),",","")),0))</f>
        <v/>
      </c>
      <c r="N495" s="11">
        <f>IF(J495="","",IFERROR(VALUE(SUBSTITUTE(SUBSTITUTE(IF(F495="","",F495)&amp;"","$",""),",","")),0))</f>
        <v/>
      </c>
      <c r="O495" s="11">
        <f>IF(J495="","",M495*N495)</f>
        <v/>
      </c>
      <c r="P495">
        <f>IF(J495="","",IF(L495="",1,COUNTIF($L$2:$L$1501,L495)))</f>
        <v/>
      </c>
      <c r="Q495" s="11">
        <f>IF(J495="","",IFERROR(VALUE(SUBSTITUTE(SUBSTITUTE(IF(G495="","",G495)&amp;"","$",""),",","")),0)/IF("No"="Yes",P495,1))</f>
        <v/>
      </c>
      <c r="R495" s="11">
        <f>IF(J495="","",IFERROR(VALUE(SUBSTITUTE(SUBSTITUTE(IF(H495="","",H495)&amp;"","$",""),",","")),0)/IF("No"="Yes",P495,1))</f>
        <v/>
      </c>
      <c r="S495" s="11">
        <f>IF(J495="","",O495+Q495-R495)</f>
        <v/>
      </c>
      <c r="T495">
        <f>IF(J495="","",IFERROR(IF(K495="",NA(),MATCH(K495,Products!$B$5:$B$204,0)),IFERROR(MATCH(J495,Products!$A$5:$A$204,0),"")))</f>
        <v/>
      </c>
      <c r="U495">
        <f>IF(J495="","",IF(T495="","⚠ not in Products",INDEX(Products!$A$5:$A$204,T495)))</f>
        <v/>
      </c>
      <c r="V495" s="11">
        <f>IF(J495="","",S495*(IFERROR(INDEX(Settings!$B$5:$B$9,MATCH($B495,Settings!$A$5:$A$9,0)),0)+IFERROR(INDEX(Settings!$E$5:$E$9,MATCH($B495,Settings!$A$5:$A$9,0)),0)+IFERROR(INDEX(Settings!$G$5:$G$9,MATCH($B495,Settings!$A$5:$A$9,0)),0))+(IFERROR(INDEX(Settings!$C$5:$C$9,MATCH($B495,Settings!$A$5:$A$9,0)),0)+IFERROR(INDEX(Settings!$F$5:$F$9,MATCH($B495,Settings!$A$5:$A$9,0)),0))/P495+IFERROR(INDEX(Settings!$D$5:$D$9,MATCH($B495,Settings!$A$5:$A$9,0)),0)*M495)</f>
        <v/>
      </c>
      <c r="W495" s="11">
        <f>IF(J495="","",IF(T495="",0,M495*INDEX(Products!$I$5:$I$204,T495)))</f>
        <v/>
      </c>
      <c r="X495" s="11">
        <f>IF(J495="","",IF(T495="",0,S495*INDEX(Products!$H$5:$H$204,T495)))</f>
        <v/>
      </c>
      <c r="Y495" s="11">
        <f>IF(J495="","",S495-V495-W495-X495)</f>
        <v/>
      </c>
    </row>
    <row r="496">
      <c r="A496" s="19" t="n"/>
      <c r="B496" s="19" t="n"/>
      <c r="C496" s="19" t="n"/>
      <c r="D496" s="19" t="n"/>
      <c r="E496" s="19" t="n"/>
      <c r="F496" s="20" t="n"/>
      <c r="G496" s="20" t="n"/>
      <c r="H496" s="20" t="n"/>
      <c r="I496" s="19" t="n"/>
      <c r="J496">
        <f>IFERROR(IF(C496="","",C496)&amp;"","")</f>
        <v/>
      </c>
      <c r="K496">
        <f>IFERROR(IF(D496="","",D496)&amp;"","")</f>
        <v/>
      </c>
      <c r="L496">
        <f>IFERROR(IF(I496="","",I496)&amp;"","")</f>
        <v/>
      </c>
      <c r="M496">
        <f>IF(J496="","",IFERROR(VALUE(SUBSTITUTE(SUBSTITUTE(IF(E496="","",E496)&amp;"","$",""),",","")),0))</f>
        <v/>
      </c>
      <c r="N496" s="11">
        <f>IF(J496="","",IFERROR(VALUE(SUBSTITUTE(SUBSTITUTE(IF(F496="","",F496)&amp;"","$",""),",","")),0))</f>
        <v/>
      </c>
      <c r="O496" s="11">
        <f>IF(J496="","",M496*N496)</f>
        <v/>
      </c>
      <c r="P496">
        <f>IF(J496="","",IF(L496="",1,COUNTIF($L$2:$L$1501,L496)))</f>
        <v/>
      </c>
      <c r="Q496" s="11">
        <f>IF(J496="","",IFERROR(VALUE(SUBSTITUTE(SUBSTITUTE(IF(G496="","",G496)&amp;"","$",""),",","")),0)/IF("No"="Yes",P496,1))</f>
        <v/>
      </c>
      <c r="R496" s="11">
        <f>IF(J496="","",IFERROR(VALUE(SUBSTITUTE(SUBSTITUTE(IF(H496="","",H496)&amp;"","$",""),",","")),0)/IF("No"="Yes",P496,1))</f>
        <v/>
      </c>
      <c r="S496" s="11">
        <f>IF(J496="","",O496+Q496-R496)</f>
        <v/>
      </c>
      <c r="T496">
        <f>IF(J496="","",IFERROR(IF(K496="",NA(),MATCH(K496,Products!$B$5:$B$204,0)),IFERROR(MATCH(J496,Products!$A$5:$A$204,0),"")))</f>
        <v/>
      </c>
      <c r="U496">
        <f>IF(J496="","",IF(T496="","⚠ not in Products",INDEX(Products!$A$5:$A$204,T496)))</f>
        <v/>
      </c>
      <c r="V496" s="11">
        <f>IF(J496="","",S496*(IFERROR(INDEX(Settings!$B$5:$B$9,MATCH($B496,Settings!$A$5:$A$9,0)),0)+IFERROR(INDEX(Settings!$E$5:$E$9,MATCH($B496,Settings!$A$5:$A$9,0)),0)+IFERROR(INDEX(Settings!$G$5:$G$9,MATCH($B496,Settings!$A$5:$A$9,0)),0))+(IFERROR(INDEX(Settings!$C$5:$C$9,MATCH($B496,Settings!$A$5:$A$9,0)),0)+IFERROR(INDEX(Settings!$F$5:$F$9,MATCH($B496,Settings!$A$5:$A$9,0)),0))/P496+IFERROR(INDEX(Settings!$D$5:$D$9,MATCH($B496,Settings!$A$5:$A$9,0)),0)*M496)</f>
        <v/>
      </c>
      <c r="W496" s="11">
        <f>IF(J496="","",IF(T496="",0,M496*INDEX(Products!$I$5:$I$204,T496)))</f>
        <v/>
      </c>
      <c r="X496" s="11">
        <f>IF(J496="","",IF(T496="",0,S496*INDEX(Products!$H$5:$H$204,T496)))</f>
        <v/>
      </c>
      <c r="Y496" s="11">
        <f>IF(J496="","",S496-V496-W496-X496)</f>
        <v/>
      </c>
    </row>
    <row r="497">
      <c r="A497" s="19" t="n"/>
      <c r="B497" s="19" t="n"/>
      <c r="C497" s="19" t="n"/>
      <c r="D497" s="19" t="n"/>
      <c r="E497" s="19" t="n"/>
      <c r="F497" s="20" t="n"/>
      <c r="G497" s="20" t="n"/>
      <c r="H497" s="20" t="n"/>
      <c r="I497" s="19" t="n"/>
      <c r="J497">
        <f>IFERROR(IF(C497="","",C497)&amp;"","")</f>
        <v/>
      </c>
      <c r="K497">
        <f>IFERROR(IF(D497="","",D497)&amp;"","")</f>
        <v/>
      </c>
      <c r="L497">
        <f>IFERROR(IF(I497="","",I497)&amp;"","")</f>
        <v/>
      </c>
      <c r="M497">
        <f>IF(J497="","",IFERROR(VALUE(SUBSTITUTE(SUBSTITUTE(IF(E497="","",E497)&amp;"","$",""),",","")),0))</f>
        <v/>
      </c>
      <c r="N497" s="11">
        <f>IF(J497="","",IFERROR(VALUE(SUBSTITUTE(SUBSTITUTE(IF(F497="","",F497)&amp;"","$",""),",","")),0))</f>
        <v/>
      </c>
      <c r="O497" s="11">
        <f>IF(J497="","",M497*N497)</f>
        <v/>
      </c>
      <c r="P497">
        <f>IF(J497="","",IF(L497="",1,COUNTIF($L$2:$L$1501,L497)))</f>
        <v/>
      </c>
      <c r="Q497" s="11">
        <f>IF(J497="","",IFERROR(VALUE(SUBSTITUTE(SUBSTITUTE(IF(G497="","",G497)&amp;"","$",""),",","")),0)/IF("No"="Yes",P497,1))</f>
        <v/>
      </c>
      <c r="R497" s="11">
        <f>IF(J497="","",IFERROR(VALUE(SUBSTITUTE(SUBSTITUTE(IF(H497="","",H497)&amp;"","$",""),",","")),0)/IF("No"="Yes",P497,1))</f>
        <v/>
      </c>
      <c r="S497" s="11">
        <f>IF(J497="","",O497+Q497-R497)</f>
        <v/>
      </c>
      <c r="T497">
        <f>IF(J497="","",IFERROR(IF(K497="",NA(),MATCH(K497,Products!$B$5:$B$204,0)),IFERROR(MATCH(J497,Products!$A$5:$A$204,0),"")))</f>
        <v/>
      </c>
      <c r="U497">
        <f>IF(J497="","",IF(T497="","⚠ not in Products",INDEX(Products!$A$5:$A$204,T497)))</f>
        <v/>
      </c>
      <c r="V497" s="11">
        <f>IF(J497="","",S497*(IFERROR(INDEX(Settings!$B$5:$B$9,MATCH($B497,Settings!$A$5:$A$9,0)),0)+IFERROR(INDEX(Settings!$E$5:$E$9,MATCH($B497,Settings!$A$5:$A$9,0)),0)+IFERROR(INDEX(Settings!$G$5:$G$9,MATCH($B497,Settings!$A$5:$A$9,0)),0))+(IFERROR(INDEX(Settings!$C$5:$C$9,MATCH($B497,Settings!$A$5:$A$9,0)),0)+IFERROR(INDEX(Settings!$F$5:$F$9,MATCH($B497,Settings!$A$5:$A$9,0)),0))/P497+IFERROR(INDEX(Settings!$D$5:$D$9,MATCH($B497,Settings!$A$5:$A$9,0)),0)*M497)</f>
        <v/>
      </c>
      <c r="W497" s="11">
        <f>IF(J497="","",IF(T497="",0,M497*INDEX(Products!$I$5:$I$204,T497)))</f>
        <v/>
      </c>
      <c r="X497" s="11">
        <f>IF(J497="","",IF(T497="",0,S497*INDEX(Products!$H$5:$H$204,T497)))</f>
        <v/>
      </c>
      <c r="Y497" s="11">
        <f>IF(J497="","",S497-V497-W497-X497)</f>
        <v/>
      </c>
    </row>
    <row r="498">
      <c r="A498" s="19" t="n"/>
      <c r="B498" s="19" t="n"/>
      <c r="C498" s="19" t="n"/>
      <c r="D498" s="19" t="n"/>
      <c r="E498" s="19" t="n"/>
      <c r="F498" s="20" t="n"/>
      <c r="G498" s="20" t="n"/>
      <c r="H498" s="20" t="n"/>
      <c r="I498" s="19" t="n"/>
      <c r="J498">
        <f>IFERROR(IF(C498="","",C498)&amp;"","")</f>
        <v/>
      </c>
      <c r="K498">
        <f>IFERROR(IF(D498="","",D498)&amp;"","")</f>
        <v/>
      </c>
      <c r="L498">
        <f>IFERROR(IF(I498="","",I498)&amp;"","")</f>
        <v/>
      </c>
      <c r="M498">
        <f>IF(J498="","",IFERROR(VALUE(SUBSTITUTE(SUBSTITUTE(IF(E498="","",E498)&amp;"","$",""),",","")),0))</f>
        <v/>
      </c>
      <c r="N498" s="11">
        <f>IF(J498="","",IFERROR(VALUE(SUBSTITUTE(SUBSTITUTE(IF(F498="","",F498)&amp;"","$",""),",","")),0))</f>
        <v/>
      </c>
      <c r="O498" s="11">
        <f>IF(J498="","",M498*N498)</f>
        <v/>
      </c>
      <c r="P498">
        <f>IF(J498="","",IF(L498="",1,COUNTIF($L$2:$L$1501,L498)))</f>
        <v/>
      </c>
      <c r="Q498" s="11">
        <f>IF(J498="","",IFERROR(VALUE(SUBSTITUTE(SUBSTITUTE(IF(G498="","",G498)&amp;"","$",""),",","")),0)/IF("No"="Yes",P498,1))</f>
        <v/>
      </c>
      <c r="R498" s="11">
        <f>IF(J498="","",IFERROR(VALUE(SUBSTITUTE(SUBSTITUTE(IF(H498="","",H498)&amp;"","$",""),",","")),0)/IF("No"="Yes",P498,1))</f>
        <v/>
      </c>
      <c r="S498" s="11">
        <f>IF(J498="","",O498+Q498-R498)</f>
        <v/>
      </c>
      <c r="T498">
        <f>IF(J498="","",IFERROR(IF(K498="",NA(),MATCH(K498,Products!$B$5:$B$204,0)),IFERROR(MATCH(J498,Products!$A$5:$A$204,0),"")))</f>
        <v/>
      </c>
      <c r="U498">
        <f>IF(J498="","",IF(T498="","⚠ not in Products",INDEX(Products!$A$5:$A$204,T498)))</f>
        <v/>
      </c>
      <c r="V498" s="11">
        <f>IF(J498="","",S498*(IFERROR(INDEX(Settings!$B$5:$B$9,MATCH($B498,Settings!$A$5:$A$9,0)),0)+IFERROR(INDEX(Settings!$E$5:$E$9,MATCH($B498,Settings!$A$5:$A$9,0)),0)+IFERROR(INDEX(Settings!$G$5:$G$9,MATCH($B498,Settings!$A$5:$A$9,0)),0))+(IFERROR(INDEX(Settings!$C$5:$C$9,MATCH($B498,Settings!$A$5:$A$9,0)),0)+IFERROR(INDEX(Settings!$F$5:$F$9,MATCH($B498,Settings!$A$5:$A$9,0)),0))/P498+IFERROR(INDEX(Settings!$D$5:$D$9,MATCH($B498,Settings!$A$5:$A$9,0)),0)*M498)</f>
        <v/>
      </c>
      <c r="W498" s="11">
        <f>IF(J498="","",IF(T498="",0,M498*INDEX(Products!$I$5:$I$204,T498)))</f>
        <v/>
      </c>
      <c r="X498" s="11">
        <f>IF(J498="","",IF(T498="",0,S498*INDEX(Products!$H$5:$H$204,T498)))</f>
        <v/>
      </c>
      <c r="Y498" s="11">
        <f>IF(J498="","",S498-V498-W498-X498)</f>
        <v/>
      </c>
    </row>
    <row r="499">
      <c r="A499" s="19" t="n"/>
      <c r="B499" s="19" t="n"/>
      <c r="C499" s="19" t="n"/>
      <c r="D499" s="19" t="n"/>
      <c r="E499" s="19" t="n"/>
      <c r="F499" s="20" t="n"/>
      <c r="G499" s="20" t="n"/>
      <c r="H499" s="20" t="n"/>
      <c r="I499" s="19" t="n"/>
      <c r="J499">
        <f>IFERROR(IF(C499="","",C499)&amp;"","")</f>
        <v/>
      </c>
      <c r="K499">
        <f>IFERROR(IF(D499="","",D499)&amp;"","")</f>
        <v/>
      </c>
      <c r="L499">
        <f>IFERROR(IF(I499="","",I499)&amp;"","")</f>
        <v/>
      </c>
      <c r="M499">
        <f>IF(J499="","",IFERROR(VALUE(SUBSTITUTE(SUBSTITUTE(IF(E499="","",E499)&amp;"","$",""),",","")),0))</f>
        <v/>
      </c>
      <c r="N499" s="11">
        <f>IF(J499="","",IFERROR(VALUE(SUBSTITUTE(SUBSTITUTE(IF(F499="","",F499)&amp;"","$",""),",","")),0))</f>
        <v/>
      </c>
      <c r="O499" s="11">
        <f>IF(J499="","",M499*N499)</f>
        <v/>
      </c>
      <c r="P499">
        <f>IF(J499="","",IF(L499="",1,COUNTIF($L$2:$L$1501,L499)))</f>
        <v/>
      </c>
      <c r="Q499" s="11">
        <f>IF(J499="","",IFERROR(VALUE(SUBSTITUTE(SUBSTITUTE(IF(G499="","",G499)&amp;"","$",""),",","")),0)/IF("No"="Yes",P499,1))</f>
        <v/>
      </c>
      <c r="R499" s="11">
        <f>IF(J499="","",IFERROR(VALUE(SUBSTITUTE(SUBSTITUTE(IF(H499="","",H499)&amp;"","$",""),",","")),0)/IF("No"="Yes",P499,1))</f>
        <v/>
      </c>
      <c r="S499" s="11">
        <f>IF(J499="","",O499+Q499-R499)</f>
        <v/>
      </c>
      <c r="T499">
        <f>IF(J499="","",IFERROR(IF(K499="",NA(),MATCH(K499,Products!$B$5:$B$204,0)),IFERROR(MATCH(J499,Products!$A$5:$A$204,0),"")))</f>
        <v/>
      </c>
      <c r="U499">
        <f>IF(J499="","",IF(T499="","⚠ not in Products",INDEX(Products!$A$5:$A$204,T499)))</f>
        <v/>
      </c>
      <c r="V499" s="11">
        <f>IF(J499="","",S499*(IFERROR(INDEX(Settings!$B$5:$B$9,MATCH($B499,Settings!$A$5:$A$9,0)),0)+IFERROR(INDEX(Settings!$E$5:$E$9,MATCH($B499,Settings!$A$5:$A$9,0)),0)+IFERROR(INDEX(Settings!$G$5:$G$9,MATCH($B499,Settings!$A$5:$A$9,0)),0))+(IFERROR(INDEX(Settings!$C$5:$C$9,MATCH($B499,Settings!$A$5:$A$9,0)),0)+IFERROR(INDEX(Settings!$F$5:$F$9,MATCH($B499,Settings!$A$5:$A$9,0)),0))/P499+IFERROR(INDEX(Settings!$D$5:$D$9,MATCH($B499,Settings!$A$5:$A$9,0)),0)*M499)</f>
        <v/>
      </c>
      <c r="W499" s="11">
        <f>IF(J499="","",IF(T499="",0,M499*INDEX(Products!$I$5:$I$204,T499)))</f>
        <v/>
      </c>
      <c r="X499" s="11">
        <f>IF(J499="","",IF(T499="",0,S499*INDEX(Products!$H$5:$H$204,T499)))</f>
        <v/>
      </c>
      <c r="Y499" s="11">
        <f>IF(J499="","",S499-V499-W499-X499)</f>
        <v/>
      </c>
    </row>
    <row r="500">
      <c r="A500" s="19" t="n"/>
      <c r="B500" s="19" t="n"/>
      <c r="C500" s="19" t="n"/>
      <c r="D500" s="19" t="n"/>
      <c r="E500" s="19" t="n"/>
      <c r="F500" s="20" t="n"/>
      <c r="G500" s="20" t="n"/>
      <c r="H500" s="20" t="n"/>
      <c r="I500" s="19" t="n"/>
      <c r="J500">
        <f>IFERROR(IF(C500="","",C500)&amp;"","")</f>
        <v/>
      </c>
      <c r="K500">
        <f>IFERROR(IF(D500="","",D500)&amp;"","")</f>
        <v/>
      </c>
      <c r="L500">
        <f>IFERROR(IF(I500="","",I500)&amp;"","")</f>
        <v/>
      </c>
      <c r="M500">
        <f>IF(J500="","",IFERROR(VALUE(SUBSTITUTE(SUBSTITUTE(IF(E500="","",E500)&amp;"","$",""),",","")),0))</f>
        <v/>
      </c>
      <c r="N500" s="11">
        <f>IF(J500="","",IFERROR(VALUE(SUBSTITUTE(SUBSTITUTE(IF(F500="","",F500)&amp;"","$",""),",","")),0))</f>
        <v/>
      </c>
      <c r="O500" s="11">
        <f>IF(J500="","",M500*N500)</f>
        <v/>
      </c>
      <c r="P500">
        <f>IF(J500="","",IF(L500="",1,COUNTIF($L$2:$L$1501,L500)))</f>
        <v/>
      </c>
      <c r="Q500" s="11">
        <f>IF(J500="","",IFERROR(VALUE(SUBSTITUTE(SUBSTITUTE(IF(G500="","",G500)&amp;"","$",""),",","")),0)/IF("No"="Yes",P500,1))</f>
        <v/>
      </c>
      <c r="R500" s="11">
        <f>IF(J500="","",IFERROR(VALUE(SUBSTITUTE(SUBSTITUTE(IF(H500="","",H500)&amp;"","$",""),",","")),0)/IF("No"="Yes",P500,1))</f>
        <v/>
      </c>
      <c r="S500" s="11">
        <f>IF(J500="","",O500+Q500-R500)</f>
        <v/>
      </c>
      <c r="T500">
        <f>IF(J500="","",IFERROR(IF(K500="",NA(),MATCH(K500,Products!$B$5:$B$204,0)),IFERROR(MATCH(J500,Products!$A$5:$A$204,0),"")))</f>
        <v/>
      </c>
      <c r="U500">
        <f>IF(J500="","",IF(T500="","⚠ not in Products",INDEX(Products!$A$5:$A$204,T500)))</f>
        <v/>
      </c>
      <c r="V500" s="11">
        <f>IF(J500="","",S500*(IFERROR(INDEX(Settings!$B$5:$B$9,MATCH($B500,Settings!$A$5:$A$9,0)),0)+IFERROR(INDEX(Settings!$E$5:$E$9,MATCH($B500,Settings!$A$5:$A$9,0)),0)+IFERROR(INDEX(Settings!$G$5:$G$9,MATCH($B500,Settings!$A$5:$A$9,0)),0))+(IFERROR(INDEX(Settings!$C$5:$C$9,MATCH($B500,Settings!$A$5:$A$9,0)),0)+IFERROR(INDEX(Settings!$F$5:$F$9,MATCH($B500,Settings!$A$5:$A$9,0)),0))/P500+IFERROR(INDEX(Settings!$D$5:$D$9,MATCH($B500,Settings!$A$5:$A$9,0)),0)*M500)</f>
        <v/>
      </c>
      <c r="W500" s="11">
        <f>IF(J500="","",IF(T500="",0,M500*INDEX(Products!$I$5:$I$204,T500)))</f>
        <v/>
      </c>
      <c r="X500" s="11">
        <f>IF(J500="","",IF(T500="",0,S500*INDEX(Products!$H$5:$H$204,T500)))</f>
        <v/>
      </c>
      <c r="Y500" s="11">
        <f>IF(J500="","",S500-V500-W500-X500)</f>
        <v/>
      </c>
    </row>
    <row r="501">
      <c r="A501" s="19" t="n"/>
      <c r="B501" s="19" t="n"/>
      <c r="C501" s="19" t="n"/>
      <c r="D501" s="19" t="n"/>
      <c r="E501" s="19" t="n"/>
      <c r="F501" s="20" t="n"/>
      <c r="G501" s="20" t="n"/>
      <c r="H501" s="20" t="n"/>
      <c r="I501" s="19" t="n"/>
      <c r="J501">
        <f>IFERROR(IF(C501="","",C501)&amp;"","")</f>
        <v/>
      </c>
      <c r="K501">
        <f>IFERROR(IF(D501="","",D501)&amp;"","")</f>
        <v/>
      </c>
      <c r="L501">
        <f>IFERROR(IF(I501="","",I501)&amp;"","")</f>
        <v/>
      </c>
      <c r="M501">
        <f>IF(J501="","",IFERROR(VALUE(SUBSTITUTE(SUBSTITUTE(IF(E501="","",E501)&amp;"","$",""),",","")),0))</f>
        <v/>
      </c>
      <c r="N501" s="11">
        <f>IF(J501="","",IFERROR(VALUE(SUBSTITUTE(SUBSTITUTE(IF(F501="","",F501)&amp;"","$",""),",","")),0))</f>
        <v/>
      </c>
      <c r="O501" s="11">
        <f>IF(J501="","",M501*N501)</f>
        <v/>
      </c>
      <c r="P501">
        <f>IF(J501="","",IF(L501="",1,COUNTIF($L$2:$L$1501,L501)))</f>
        <v/>
      </c>
      <c r="Q501" s="11">
        <f>IF(J501="","",IFERROR(VALUE(SUBSTITUTE(SUBSTITUTE(IF(G501="","",G501)&amp;"","$",""),",","")),0)/IF("No"="Yes",P501,1))</f>
        <v/>
      </c>
      <c r="R501" s="11">
        <f>IF(J501="","",IFERROR(VALUE(SUBSTITUTE(SUBSTITUTE(IF(H501="","",H501)&amp;"","$",""),",","")),0)/IF("No"="Yes",P501,1))</f>
        <v/>
      </c>
      <c r="S501" s="11">
        <f>IF(J501="","",O501+Q501-R501)</f>
        <v/>
      </c>
      <c r="T501">
        <f>IF(J501="","",IFERROR(IF(K501="",NA(),MATCH(K501,Products!$B$5:$B$204,0)),IFERROR(MATCH(J501,Products!$A$5:$A$204,0),"")))</f>
        <v/>
      </c>
      <c r="U501">
        <f>IF(J501="","",IF(T501="","⚠ not in Products",INDEX(Products!$A$5:$A$204,T501)))</f>
        <v/>
      </c>
      <c r="V501" s="11">
        <f>IF(J501="","",S501*(IFERROR(INDEX(Settings!$B$5:$B$9,MATCH($B501,Settings!$A$5:$A$9,0)),0)+IFERROR(INDEX(Settings!$E$5:$E$9,MATCH($B501,Settings!$A$5:$A$9,0)),0)+IFERROR(INDEX(Settings!$G$5:$G$9,MATCH($B501,Settings!$A$5:$A$9,0)),0))+(IFERROR(INDEX(Settings!$C$5:$C$9,MATCH($B501,Settings!$A$5:$A$9,0)),0)+IFERROR(INDEX(Settings!$F$5:$F$9,MATCH($B501,Settings!$A$5:$A$9,0)),0))/P501+IFERROR(INDEX(Settings!$D$5:$D$9,MATCH($B501,Settings!$A$5:$A$9,0)),0)*M501)</f>
        <v/>
      </c>
      <c r="W501" s="11">
        <f>IF(J501="","",IF(T501="",0,M501*INDEX(Products!$I$5:$I$204,T501)))</f>
        <v/>
      </c>
      <c r="X501" s="11">
        <f>IF(J501="","",IF(T501="",0,S501*INDEX(Products!$H$5:$H$204,T501)))</f>
        <v/>
      </c>
      <c r="Y501" s="11">
        <f>IF(J501="","",S501-V501-W501-X501)</f>
        <v/>
      </c>
    </row>
    <row r="502">
      <c r="A502" s="19" t="n"/>
      <c r="B502" s="19" t="n"/>
      <c r="C502" s="19" t="n"/>
      <c r="D502" s="19" t="n"/>
      <c r="E502" s="19" t="n"/>
      <c r="F502" s="20" t="n"/>
      <c r="G502" s="20" t="n"/>
      <c r="H502" s="20" t="n"/>
      <c r="I502" s="19" t="n"/>
      <c r="J502">
        <f>IFERROR(IF(C502="","",C502)&amp;"","")</f>
        <v/>
      </c>
      <c r="K502">
        <f>IFERROR(IF(D502="","",D502)&amp;"","")</f>
        <v/>
      </c>
      <c r="L502">
        <f>IFERROR(IF(I502="","",I502)&amp;"","")</f>
        <v/>
      </c>
      <c r="M502">
        <f>IF(J502="","",IFERROR(VALUE(SUBSTITUTE(SUBSTITUTE(IF(E502="","",E502)&amp;"","$",""),",","")),0))</f>
        <v/>
      </c>
      <c r="N502" s="11">
        <f>IF(J502="","",IFERROR(VALUE(SUBSTITUTE(SUBSTITUTE(IF(F502="","",F502)&amp;"","$",""),",","")),0))</f>
        <v/>
      </c>
      <c r="O502" s="11">
        <f>IF(J502="","",M502*N502)</f>
        <v/>
      </c>
      <c r="P502">
        <f>IF(J502="","",IF(L502="",1,COUNTIF($L$2:$L$1501,L502)))</f>
        <v/>
      </c>
      <c r="Q502" s="11">
        <f>IF(J502="","",IFERROR(VALUE(SUBSTITUTE(SUBSTITUTE(IF(G502="","",G502)&amp;"","$",""),",","")),0)/IF("No"="Yes",P502,1))</f>
        <v/>
      </c>
      <c r="R502" s="11">
        <f>IF(J502="","",IFERROR(VALUE(SUBSTITUTE(SUBSTITUTE(IF(H502="","",H502)&amp;"","$",""),",","")),0)/IF("No"="Yes",P502,1))</f>
        <v/>
      </c>
      <c r="S502" s="11">
        <f>IF(J502="","",O502+Q502-R502)</f>
        <v/>
      </c>
      <c r="T502">
        <f>IF(J502="","",IFERROR(IF(K502="",NA(),MATCH(K502,Products!$B$5:$B$204,0)),IFERROR(MATCH(J502,Products!$A$5:$A$204,0),"")))</f>
        <v/>
      </c>
      <c r="U502">
        <f>IF(J502="","",IF(T502="","⚠ not in Products",INDEX(Products!$A$5:$A$204,T502)))</f>
        <v/>
      </c>
      <c r="V502" s="11">
        <f>IF(J502="","",S502*(IFERROR(INDEX(Settings!$B$5:$B$9,MATCH($B502,Settings!$A$5:$A$9,0)),0)+IFERROR(INDEX(Settings!$E$5:$E$9,MATCH($B502,Settings!$A$5:$A$9,0)),0)+IFERROR(INDEX(Settings!$G$5:$G$9,MATCH($B502,Settings!$A$5:$A$9,0)),0))+(IFERROR(INDEX(Settings!$C$5:$C$9,MATCH($B502,Settings!$A$5:$A$9,0)),0)+IFERROR(INDEX(Settings!$F$5:$F$9,MATCH($B502,Settings!$A$5:$A$9,0)),0))/P502+IFERROR(INDEX(Settings!$D$5:$D$9,MATCH($B502,Settings!$A$5:$A$9,0)),0)*M502)</f>
        <v/>
      </c>
      <c r="W502" s="11">
        <f>IF(J502="","",IF(T502="",0,M502*INDEX(Products!$I$5:$I$204,T502)))</f>
        <v/>
      </c>
      <c r="X502" s="11">
        <f>IF(J502="","",IF(T502="",0,S502*INDEX(Products!$H$5:$H$204,T502)))</f>
        <v/>
      </c>
      <c r="Y502" s="11">
        <f>IF(J502="","",S502-V502-W502-X502)</f>
        <v/>
      </c>
    </row>
    <row r="503">
      <c r="A503" s="19" t="n"/>
      <c r="B503" s="19" t="n"/>
      <c r="C503" s="19" t="n"/>
      <c r="D503" s="19" t="n"/>
      <c r="E503" s="19" t="n"/>
      <c r="F503" s="20" t="n"/>
      <c r="G503" s="20" t="n"/>
      <c r="H503" s="20" t="n"/>
      <c r="I503" s="19" t="n"/>
      <c r="J503">
        <f>IFERROR(IF(C503="","",C503)&amp;"","")</f>
        <v/>
      </c>
      <c r="K503">
        <f>IFERROR(IF(D503="","",D503)&amp;"","")</f>
        <v/>
      </c>
      <c r="L503">
        <f>IFERROR(IF(I503="","",I503)&amp;"","")</f>
        <v/>
      </c>
      <c r="M503">
        <f>IF(J503="","",IFERROR(VALUE(SUBSTITUTE(SUBSTITUTE(IF(E503="","",E503)&amp;"","$",""),",","")),0))</f>
        <v/>
      </c>
      <c r="N503" s="11">
        <f>IF(J503="","",IFERROR(VALUE(SUBSTITUTE(SUBSTITUTE(IF(F503="","",F503)&amp;"","$",""),",","")),0))</f>
        <v/>
      </c>
      <c r="O503" s="11">
        <f>IF(J503="","",M503*N503)</f>
        <v/>
      </c>
      <c r="P503">
        <f>IF(J503="","",IF(L503="",1,COUNTIF($L$2:$L$1501,L503)))</f>
        <v/>
      </c>
      <c r="Q503" s="11">
        <f>IF(J503="","",IFERROR(VALUE(SUBSTITUTE(SUBSTITUTE(IF(G503="","",G503)&amp;"","$",""),",","")),0)/IF("No"="Yes",P503,1))</f>
        <v/>
      </c>
      <c r="R503" s="11">
        <f>IF(J503="","",IFERROR(VALUE(SUBSTITUTE(SUBSTITUTE(IF(H503="","",H503)&amp;"","$",""),",","")),0)/IF("No"="Yes",P503,1))</f>
        <v/>
      </c>
      <c r="S503" s="11">
        <f>IF(J503="","",O503+Q503-R503)</f>
        <v/>
      </c>
      <c r="T503">
        <f>IF(J503="","",IFERROR(IF(K503="",NA(),MATCH(K503,Products!$B$5:$B$204,0)),IFERROR(MATCH(J503,Products!$A$5:$A$204,0),"")))</f>
        <v/>
      </c>
      <c r="U503">
        <f>IF(J503="","",IF(T503="","⚠ not in Products",INDEX(Products!$A$5:$A$204,T503)))</f>
        <v/>
      </c>
      <c r="V503" s="11">
        <f>IF(J503="","",S503*(IFERROR(INDEX(Settings!$B$5:$B$9,MATCH($B503,Settings!$A$5:$A$9,0)),0)+IFERROR(INDEX(Settings!$E$5:$E$9,MATCH($B503,Settings!$A$5:$A$9,0)),0)+IFERROR(INDEX(Settings!$G$5:$G$9,MATCH($B503,Settings!$A$5:$A$9,0)),0))+(IFERROR(INDEX(Settings!$C$5:$C$9,MATCH($B503,Settings!$A$5:$A$9,0)),0)+IFERROR(INDEX(Settings!$F$5:$F$9,MATCH($B503,Settings!$A$5:$A$9,0)),0))/P503+IFERROR(INDEX(Settings!$D$5:$D$9,MATCH($B503,Settings!$A$5:$A$9,0)),0)*M503)</f>
        <v/>
      </c>
      <c r="W503" s="11">
        <f>IF(J503="","",IF(T503="",0,M503*INDEX(Products!$I$5:$I$204,T503)))</f>
        <v/>
      </c>
      <c r="X503" s="11">
        <f>IF(J503="","",IF(T503="",0,S503*INDEX(Products!$H$5:$H$204,T503)))</f>
        <v/>
      </c>
      <c r="Y503" s="11">
        <f>IF(J503="","",S503-V503-W503-X503)</f>
        <v/>
      </c>
    </row>
    <row r="504">
      <c r="A504" s="19" t="n"/>
      <c r="B504" s="19" t="n"/>
      <c r="C504" s="19" t="n"/>
      <c r="D504" s="19" t="n"/>
      <c r="E504" s="19" t="n"/>
      <c r="F504" s="20" t="n"/>
      <c r="G504" s="20" t="n"/>
      <c r="H504" s="20" t="n"/>
      <c r="I504" s="19" t="n"/>
      <c r="J504">
        <f>IFERROR(IF(C504="","",C504)&amp;"","")</f>
        <v/>
      </c>
      <c r="K504">
        <f>IFERROR(IF(D504="","",D504)&amp;"","")</f>
        <v/>
      </c>
      <c r="L504">
        <f>IFERROR(IF(I504="","",I504)&amp;"","")</f>
        <v/>
      </c>
      <c r="M504">
        <f>IF(J504="","",IFERROR(VALUE(SUBSTITUTE(SUBSTITUTE(IF(E504="","",E504)&amp;"","$",""),",","")),0))</f>
        <v/>
      </c>
      <c r="N504" s="11">
        <f>IF(J504="","",IFERROR(VALUE(SUBSTITUTE(SUBSTITUTE(IF(F504="","",F504)&amp;"","$",""),",","")),0))</f>
        <v/>
      </c>
      <c r="O504" s="11">
        <f>IF(J504="","",M504*N504)</f>
        <v/>
      </c>
      <c r="P504">
        <f>IF(J504="","",IF(L504="",1,COUNTIF($L$2:$L$1501,L504)))</f>
        <v/>
      </c>
      <c r="Q504" s="11">
        <f>IF(J504="","",IFERROR(VALUE(SUBSTITUTE(SUBSTITUTE(IF(G504="","",G504)&amp;"","$",""),",","")),0)/IF("No"="Yes",P504,1))</f>
        <v/>
      </c>
      <c r="R504" s="11">
        <f>IF(J504="","",IFERROR(VALUE(SUBSTITUTE(SUBSTITUTE(IF(H504="","",H504)&amp;"","$",""),",","")),0)/IF("No"="Yes",P504,1))</f>
        <v/>
      </c>
      <c r="S504" s="11">
        <f>IF(J504="","",O504+Q504-R504)</f>
        <v/>
      </c>
      <c r="T504">
        <f>IF(J504="","",IFERROR(IF(K504="",NA(),MATCH(K504,Products!$B$5:$B$204,0)),IFERROR(MATCH(J504,Products!$A$5:$A$204,0),"")))</f>
        <v/>
      </c>
      <c r="U504">
        <f>IF(J504="","",IF(T504="","⚠ not in Products",INDEX(Products!$A$5:$A$204,T504)))</f>
        <v/>
      </c>
      <c r="V504" s="11">
        <f>IF(J504="","",S504*(IFERROR(INDEX(Settings!$B$5:$B$9,MATCH($B504,Settings!$A$5:$A$9,0)),0)+IFERROR(INDEX(Settings!$E$5:$E$9,MATCH($B504,Settings!$A$5:$A$9,0)),0)+IFERROR(INDEX(Settings!$G$5:$G$9,MATCH($B504,Settings!$A$5:$A$9,0)),0))+(IFERROR(INDEX(Settings!$C$5:$C$9,MATCH($B504,Settings!$A$5:$A$9,0)),0)+IFERROR(INDEX(Settings!$F$5:$F$9,MATCH($B504,Settings!$A$5:$A$9,0)),0))/P504+IFERROR(INDEX(Settings!$D$5:$D$9,MATCH($B504,Settings!$A$5:$A$9,0)),0)*M504)</f>
        <v/>
      </c>
      <c r="W504" s="11">
        <f>IF(J504="","",IF(T504="",0,M504*INDEX(Products!$I$5:$I$204,T504)))</f>
        <v/>
      </c>
      <c r="X504" s="11">
        <f>IF(J504="","",IF(T504="",0,S504*INDEX(Products!$H$5:$H$204,T504)))</f>
        <v/>
      </c>
      <c r="Y504" s="11">
        <f>IF(J504="","",S504-V504-W504-X504)</f>
        <v/>
      </c>
    </row>
    <row r="505">
      <c r="A505" s="19" t="n"/>
      <c r="B505" s="19" t="n"/>
      <c r="C505" s="19" t="n"/>
      <c r="D505" s="19" t="n"/>
      <c r="E505" s="19" t="n"/>
      <c r="F505" s="20" t="n"/>
      <c r="G505" s="20" t="n"/>
      <c r="H505" s="20" t="n"/>
      <c r="I505" s="19" t="n"/>
      <c r="J505">
        <f>IFERROR(IF(C505="","",C505)&amp;"","")</f>
        <v/>
      </c>
      <c r="K505">
        <f>IFERROR(IF(D505="","",D505)&amp;"","")</f>
        <v/>
      </c>
      <c r="L505">
        <f>IFERROR(IF(I505="","",I505)&amp;"","")</f>
        <v/>
      </c>
      <c r="M505">
        <f>IF(J505="","",IFERROR(VALUE(SUBSTITUTE(SUBSTITUTE(IF(E505="","",E505)&amp;"","$",""),",","")),0))</f>
        <v/>
      </c>
      <c r="N505" s="11">
        <f>IF(J505="","",IFERROR(VALUE(SUBSTITUTE(SUBSTITUTE(IF(F505="","",F505)&amp;"","$",""),",","")),0))</f>
        <v/>
      </c>
      <c r="O505" s="11">
        <f>IF(J505="","",M505*N505)</f>
        <v/>
      </c>
      <c r="P505">
        <f>IF(J505="","",IF(L505="",1,COUNTIF($L$2:$L$1501,L505)))</f>
        <v/>
      </c>
      <c r="Q505" s="11">
        <f>IF(J505="","",IFERROR(VALUE(SUBSTITUTE(SUBSTITUTE(IF(G505="","",G505)&amp;"","$",""),",","")),0)/IF("No"="Yes",P505,1))</f>
        <v/>
      </c>
      <c r="R505" s="11">
        <f>IF(J505="","",IFERROR(VALUE(SUBSTITUTE(SUBSTITUTE(IF(H505="","",H505)&amp;"","$",""),",","")),0)/IF("No"="Yes",P505,1))</f>
        <v/>
      </c>
      <c r="S505" s="11">
        <f>IF(J505="","",O505+Q505-R505)</f>
        <v/>
      </c>
      <c r="T505">
        <f>IF(J505="","",IFERROR(IF(K505="",NA(),MATCH(K505,Products!$B$5:$B$204,0)),IFERROR(MATCH(J505,Products!$A$5:$A$204,0),"")))</f>
        <v/>
      </c>
      <c r="U505">
        <f>IF(J505="","",IF(T505="","⚠ not in Products",INDEX(Products!$A$5:$A$204,T505)))</f>
        <v/>
      </c>
      <c r="V505" s="11">
        <f>IF(J505="","",S505*(IFERROR(INDEX(Settings!$B$5:$B$9,MATCH($B505,Settings!$A$5:$A$9,0)),0)+IFERROR(INDEX(Settings!$E$5:$E$9,MATCH($B505,Settings!$A$5:$A$9,0)),0)+IFERROR(INDEX(Settings!$G$5:$G$9,MATCH($B505,Settings!$A$5:$A$9,0)),0))+(IFERROR(INDEX(Settings!$C$5:$C$9,MATCH($B505,Settings!$A$5:$A$9,0)),0)+IFERROR(INDEX(Settings!$F$5:$F$9,MATCH($B505,Settings!$A$5:$A$9,0)),0))/P505+IFERROR(INDEX(Settings!$D$5:$D$9,MATCH($B505,Settings!$A$5:$A$9,0)),0)*M505)</f>
        <v/>
      </c>
      <c r="W505" s="11">
        <f>IF(J505="","",IF(T505="",0,M505*INDEX(Products!$I$5:$I$204,T505)))</f>
        <v/>
      </c>
      <c r="X505" s="11">
        <f>IF(J505="","",IF(T505="",0,S505*INDEX(Products!$H$5:$H$204,T505)))</f>
        <v/>
      </c>
      <c r="Y505" s="11">
        <f>IF(J505="","",S505-V505-W505-X505)</f>
        <v/>
      </c>
    </row>
    <row r="506">
      <c r="A506" s="19" t="n"/>
      <c r="B506" s="19" t="n"/>
      <c r="C506" s="19" t="n"/>
      <c r="D506" s="19" t="n"/>
      <c r="E506" s="19" t="n"/>
      <c r="F506" s="20" t="n"/>
      <c r="G506" s="20" t="n"/>
      <c r="H506" s="20" t="n"/>
      <c r="I506" s="19" t="n"/>
      <c r="J506">
        <f>IFERROR(IF(C506="","",C506)&amp;"","")</f>
        <v/>
      </c>
      <c r="K506">
        <f>IFERROR(IF(D506="","",D506)&amp;"","")</f>
        <v/>
      </c>
      <c r="L506">
        <f>IFERROR(IF(I506="","",I506)&amp;"","")</f>
        <v/>
      </c>
      <c r="M506">
        <f>IF(J506="","",IFERROR(VALUE(SUBSTITUTE(SUBSTITUTE(IF(E506="","",E506)&amp;"","$",""),",","")),0))</f>
        <v/>
      </c>
      <c r="N506" s="11">
        <f>IF(J506="","",IFERROR(VALUE(SUBSTITUTE(SUBSTITUTE(IF(F506="","",F506)&amp;"","$",""),",","")),0))</f>
        <v/>
      </c>
      <c r="O506" s="11">
        <f>IF(J506="","",M506*N506)</f>
        <v/>
      </c>
      <c r="P506">
        <f>IF(J506="","",IF(L506="",1,COUNTIF($L$2:$L$1501,L506)))</f>
        <v/>
      </c>
      <c r="Q506" s="11">
        <f>IF(J506="","",IFERROR(VALUE(SUBSTITUTE(SUBSTITUTE(IF(G506="","",G506)&amp;"","$",""),",","")),0)/IF("No"="Yes",P506,1))</f>
        <v/>
      </c>
      <c r="R506" s="11">
        <f>IF(J506="","",IFERROR(VALUE(SUBSTITUTE(SUBSTITUTE(IF(H506="","",H506)&amp;"","$",""),",","")),0)/IF("No"="Yes",P506,1))</f>
        <v/>
      </c>
      <c r="S506" s="11">
        <f>IF(J506="","",O506+Q506-R506)</f>
        <v/>
      </c>
      <c r="T506">
        <f>IF(J506="","",IFERROR(IF(K506="",NA(),MATCH(K506,Products!$B$5:$B$204,0)),IFERROR(MATCH(J506,Products!$A$5:$A$204,0),"")))</f>
        <v/>
      </c>
      <c r="U506">
        <f>IF(J506="","",IF(T506="","⚠ not in Products",INDEX(Products!$A$5:$A$204,T506)))</f>
        <v/>
      </c>
      <c r="V506" s="11">
        <f>IF(J506="","",S506*(IFERROR(INDEX(Settings!$B$5:$B$9,MATCH($B506,Settings!$A$5:$A$9,0)),0)+IFERROR(INDEX(Settings!$E$5:$E$9,MATCH($B506,Settings!$A$5:$A$9,0)),0)+IFERROR(INDEX(Settings!$G$5:$G$9,MATCH($B506,Settings!$A$5:$A$9,0)),0))+(IFERROR(INDEX(Settings!$C$5:$C$9,MATCH($B506,Settings!$A$5:$A$9,0)),0)+IFERROR(INDEX(Settings!$F$5:$F$9,MATCH($B506,Settings!$A$5:$A$9,0)),0))/P506+IFERROR(INDEX(Settings!$D$5:$D$9,MATCH($B506,Settings!$A$5:$A$9,0)),0)*M506)</f>
        <v/>
      </c>
      <c r="W506" s="11">
        <f>IF(J506="","",IF(T506="",0,M506*INDEX(Products!$I$5:$I$204,T506)))</f>
        <v/>
      </c>
      <c r="X506" s="11">
        <f>IF(J506="","",IF(T506="",0,S506*INDEX(Products!$H$5:$H$204,T506)))</f>
        <v/>
      </c>
      <c r="Y506" s="11">
        <f>IF(J506="","",S506-V506-W506-X506)</f>
        <v/>
      </c>
    </row>
    <row r="507">
      <c r="A507" s="19" t="n"/>
      <c r="B507" s="19" t="n"/>
      <c r="C507" s="19" t="n"/>
      <c r="D507" s="19" t="n"/>
      <c r="E507" s="19" t="n"/>
      <c r="F507" s="20" t="n"/>
      <c r="G507" s="20" t="n"/>
      <c r="H507" s="20" t="n"/>
      <c r="I507" s="19" t="n"/>
      <c r="J507">
        <f>IFERROR(IF(C507="","",C507)&amp;"","")</f>
        <v/>
      </c>
      <c r="K507">
        <f>IFERROR(IF(D507="","",D507)&amp;"","")</f>
        <v/>
      </c>
      <c r="L507">
        <f>IFERROR(IF(I507="","",I507)&amp;"","")</f>
        <v/>
      </c>
      <c r="M507">
        <f>IF(J507="","",IFERROR(VALUE(SUBSTITUTE(SUBSTITUTE(IF(E507="","",E507)&amp;"","$",""),",","")),0))</f>
        <v/>
      </c>
      <c r="N507" s="11">
        <f>IF(J507="","",IFERROR(VALUE(SUBSTITUTE(SUBSTITUTE(IF(F507="","",F507)&amp;"","$",""),",","")),0))</f>
        <v/>
      </c>
      <c r="O507" s="11">
        <f>IF(J507="","",M507*N507)</f>
        <v/>
      </c>
      <c r="P507">
        <f>IF(J507="","",IF(L507="",1,COUNTIF($L$2:$L$1501,L507)))</f>
        <v/>
      </c>
      <c r="Q507" s="11">
        <f>IF(J507="","",IFERROR(VALUE(SUBSTITUTE(SUBSTITUTE(IF(G507="","",G507)&amp;"","$",""),",","")),0)/IF("No"="Yes",P507,1))</f>
        <v/>
      </c>
      <c r="R507" s="11">
        <f>IF(J507="","",IFERROR(VALUE(SUBSTITUTE(SUBSTITUTE(IF(H507="","",H507)&amp;"","$",""),",","")),0)/IF("No"="Yes",P507,1))</f>
        <v/>
      </c>
      <c r="S507" s="11">
        <f>IF(J507="","",O507+Q507-R507)</f>
        <v/>
      </c>
      <c r="T507">
        <f>IF(J507="","",IFERROR(IF(K507="",NA(),MATCH(K507,Products!$B$5:$B$204,0)),IFERROR(MATCH(J507,Products!$A$5:$A$204,0),"")))</f>
        <v/>
      </c>
      <c r="U507">
        <f>IF(J507="","",IF(T507="","⚠ not in Products",INDEX(Products!$A$5:$A$204,T507)))</f>
        <v/>
      </c>
      <c r="V507" s="11">
        <f>IF(J507="","",S507*(IFERROR(INDEX(Settings!$B$5:$B$9,MATCH($B507,Settings!$A$5:$A$9,0)),0)+IFERROR(INDEX(Settings!$E$5:$E$9,MATCH($B507,Settings!$A$5:$A$9,0)),0)+IFERROR(INDEX(Settings!$G$5:$G$9,MATCH($B507,Settings!$A$5:$A$9,0)),0))+(IFERROR(INDEX(Settings!$C$5:$C$9,MATCH($B507,Settings!$A$5:$A$9,0)),0)+IFERROR(INDEX(Settings!$F$5:$F$9,MATCH($B507,Settings!$A$5:$A$9,0)),0))/P507+IFERROR(INDEX(Settings!$D$5:$D$9,MATCH($B507,Settings!$A$5:$A$9,0)),0)*M507)</f>
        <v/>
      </c>
      <c r="W507" s="11">
        <f>IF(J507="","",IF(T507="",0,M507*INDEX(Products!$I$5:$I$204,T507)))</f>
        <v/>
      </c>
      <c r="X507" s="11">
        <f>IF(J507="","",IF(T507="",0,S507*INDEX(Products!$H$5:$H$204,T507)))</f>
        <v/>
      </c>
      <c r="Y507" s="11">
        <f>IF(J507="","",S507-V507-W507-X507)</f>
        <v/>
      </c>
    </row>
    <row r="508">
      <c r="A508" s="19" t="n"/>
      <c r="B508" s="19" t="n"/>
      <c r="C508" s="19" t="n"/>
      <c r="D508" s="19" t="n"/>
      <c r="E508" s="19" t="n"/>
      <c r="F508" s="20" t="n"/>
      <c r="G508" s="20" t="n"/>
      <c r="H508" s="20" t="n"/>
      <c r="I508" s="19" t="n"/>
      <c r="J508">
        <f>IFERROR(IF(C508="","",C508)&amp;"","")</f>
        <v/>
      </c>
      <c r="K508">
        <f>IFERROR(IF(D508="","",D508)&amp;"","")</f>
        <v/>
      </c>
      <c r="L508">
        <f>IFERROR(IF(I508="","",I508)&amp;"","")</f>
        <v/>
      </c>
      <c r="M508">
        <f>IF(J508="","",IFERROR(VALUE(SUBSTITUTE(SUBSTITUTE(IF(E508="","",E508)&amp;"","$",""),",","")),0))</f>
        <v/>
      </c>
      <c r="N508" s="11">
        <f>IF(J508="","",IFERROR(VALUE(SUBSTITUTE(SUBSTITUTE(IF(F508="","",F508)&amp;"","$",""),",","")),0))</f>
        <v/>
      </c>
      <c r="O508" s="11">
        <f>IF(J508="","",M508*N508)</f>
        <v/>
      </c>
      <c r="P508">
        <f>IF(J508="","",IF(L508="",1,COUNTIF($L$2:$L$1501,L508)))</f>
        <v/>
      </c>
      <c r="Q508" s="11">
        <f>IF(J508="","",IFERROR(VALUE(SUBSTITUTE(SUBSTITUTE(IF(G508="","",G508)&amp;"","$",""),",","")),0)/IF("No"="Yes",P508,1))</f>
        <v/>
      </c>
      <c r="R508" s="11">
        <f>IF(J508="","",IFERROR(VALUE(SUBSTITUTE(SUBSTITUTE(IF(H508="","",H508)&amp;"","$",""),",","")),0)/IF("No"="Yes",P508,1))</f>
        <v/>
      </c>
      <c r="S508" s="11">
        <f>IF(J508="","",O508+Q508-R508)</f>
        <v/>
      </c>
      <c r="T508">
        <f>IF(J508="","",IFERROR(IF(K508="",NA(),MATCH(K508,Products!$B$5:$B$204,0)),IFERROR(MATCH(J508,Products!$A$5:$A$204,0),"")))</f>
        <v/>
      </c>
      <c r="U508">
        <f>IF(J508="","",IF(T508="","⚠ not in Products",INDEX(Products!$A$5:$A$204,T508)))</f>
        <v/>
      </c>
      <c r="V508" s="11">
        <f>IF(J508="","",S508*(IFERROR(INDEX(Settings!$B$5:$B$9,MATCH($B508,Settings!$A$5:$A$9,0)),0)+IFERROR(INDEX(Settings!$E$5:$E$9,MATCH($B508,Settings!$A$5:$A$9,0)),0)+IFERROR(INDEX(Settings!$G$5:$G$9,MATCH($B508,Settings!$A$5:$A$9,0)),0))+(IFERROR(INDEX(Settings!$C$5:$C$9,MATCH($B508,Settings!$A$5:$A$9,0)),0)+IFERROR(INDEX(Settings!$F$5:$F$9,MATCH($B508,Settings!$A$5:$A$9,0)),0))/P508+IFERROR(INDEX(Settings!$D$5:$D$9,MATCH($B508,Settings!$A$5:$A$9,0)),0)*M508)</f>
        <v/>
      </c>
      <c r="W508" s="11">
        <f>IF(J508="","",IF(T508="",0,M508*INDEX(Products!$I$5:$I$204,T508)))</f>
        <v/>
      </c>
      <c r="X508" s="11">
        <f>IF(J508="","",IF(T508="",0,S508*INDEX(Products!$H$5:$H$204,T508)))</f>
        <v/>
      </c>
      <c r="Y508" s="11">
        <f>IF(J508="","",S508-V508-W508-X508)</f>
        <v/>
      </c>
    </row>
    <row r="509">
      <c r="A509" s="19" t="n"/>
      <c r="B509" s="19" t="n"/>
      <c r="C509" s="19" t="n"/>
      <c r="D509" s="19" t="n"/>
      <c r="E509" s="19" t="n"/>
      <c r="F509" s="20" t="n"/>
      <c r="G509" s="20" t="n"/>
      <c r="H509" s="20" t="n"/>
      <c r="I509" s="19" t="n"/>
      <c r="J509">
        <f>IFERROR(IF(C509="","",C509)&amp;"","")</f>
        <v/>
      </c>
      <c r="K509">
        <f>IFERROR(IF(D509="","",D509)&amp;"","")</f>
        <v/>
      </c>
      <c r="L509">
        <f>IFERROR(IF(I509="","",I509)&amp;"","")</f>
        <v/>
      </c>
      <c r="M509">
        <f>IF(J509="","",IFERROR(VALUE(SUBSTITUTE(SUBSTITUTE(IF(E509="","",E509)&amp;"","$",""),",","")),0))</f>
        <v/>
      </c>
      <c r="N509" s="11">
        <f>IF(J509="","",IFERROR(VALUE(SUBSTITUTE(SUBSTITUTE(IF(F509="","",F509)&amp;"","$",""),",","")),0))</f>
        <v/>
      </c>
      <c r="O509" s="11">
        <f>IF(J509="","",M509*N509)</f>
        <v/>
      </c>
      <c r="P509">
        <f>IF(J509="","",IF(L509="",1,COUNTIF($L$2:$L$1501,L509)))</f>
        <v/>
      </c>
      <c r="Q509" s="11">
        <f>IF(J509="","",IFERROR(VALUE(SUBSTITUTE(SUBSTITUTE(IF(G509="","",G509)&amp;"","$",""),",","")),0)/IF("No"="Yes",P509,1))</f>
        <v/>
      </c>
      <c r="R509" s="11">
        <f>IF(J509="","",IFERROR(VALUE(SUBSTITUTE(SUBSTITUTE(IF(H509="","",H509)&amp;"","$",""),",","")),0)/IF("No"="Yes",P509,1))</f>
        <v/>
      </c>
      <c r="S509" s="11">
        <f>IF(J509="","",O509+Q509-R509)</f>
        <v/>
      </c>
      <c r="T509">
        <f>IF(J509="","",IFERROR(IF(K509="",NA(),MATCH(K509,Products!$B$5:$B$204,0)),IFERROR(MATCH(J509,Products!$A$5:$A$204,0),"")))</f>
        <v/>
      </c>
      <c r="U509">
        <f>IF(J509="","",IF(T509="","⚠ not in Products",INDEX(Products!$A$5:$A$204,T509)))</f>
        <v/>
      </c>
      <c r="V509" s="11">
        <f>IF(J509="","",S509*(IFERROR(INDEX(Settings!$B$5:$B$9,MATCH($B509,Settings!$A$5:$A$9,0)),0)+IFERROR(INDEX(Settings!$E$5:$E$9,MATCH($B509,Settings!$A$5:$A$9,0)),0)+IFERROR(INDEX(Settings!$G$5:$G$9,MATCH($B509,Settings!$A$5:$A$9,0)),0))+(IFERROR(INDEX(Settings!$C$5:$C$9,MATCH($B509,Settings!$A$5:$A$9,0)),0)+IFERROR(INDEX(Settings!$F$5:$F$9,MATCH($B509,Settings!$A$5:$A$9,0)),0))/P509+IFERROR(INDEX(Settings!$D$5:$D$9,MATCH($B509,Settings!$A$5:$A$9,0)),0)*M509)</f>
        <v/>
      </c>
      <c r="W509" s="11">
        <f>IF(J509="","",IF(T509="",0,M509*INDEX(Products!$I$5:$I$204,T509)))</f>
        <v/>
      </c>
      <c r="X509" s="11">
        <f>IF(J509="","",IF(T509="",0,S509*INDEX(Products!$H$5:$H$204,T509)))</f>
        <v/>
      </c>
      <c r="Y509" s="11">
        <f>IF(J509="","",S509-V509-W509-X509)</f>
        <v/>
      </c>
    </row>
    <row r="510">
      <c r="A510" s="19" t="n"/>
      <c r="B510" s="19" t="n"/>
      <c r="C510" s="19" t="n"/>
      <c r="D510" s="19" t="n"/>
      <c r="E510" s="19" t="n"/>
      <c r="F510" s="20" t="n"/>
      <c r="G510" s="20" t="n"/>
      <c r="H510" s="20" t="n"/>
      <c r="I510" s="19" t="n"/>
      <c r="J510">
        <f>IFERROR(IF(C510="","",C510)&amp;"","")</f>
        <v/>
      </c>
      <c r="K510">
        <f>IFERROR(IF(D510="","",D510)&amp;"","")</f>
        <v/>
      </c>
      <c r="L510">
        <f>IFERROR(IF(I510="","",I510)&amp;"","")</f>
        <v/>
      </c>
      <c r="M510">
        <f>IF(J510="","",IFERROR(VALUE(SUBSTITUTE(SUBSTITUTE(IF(E510="","",E510)&amp;"","$",""),",","")),0))</f>
        <v/>
      </c>
      <c r="N510" s="11">
        <f>IF(J510="","",IFERROR(VALUE(SUBSTITUTE(SUBSTITUTE(IF(F510="","",F510)&amp;"","$",""),",","")),0))</f>
        <v/>
      </c>
      <c r="O510" s="11">
        <f>IF(J510="","",M510*N510)</f>
        <v/>
      </c>
      <c r="P510">
        <f>IF(J510="","",IF(L510="",1,COUNTIF($L$2:$L$1501,L510)))</f>
        <v/>
      </c>
      <c r="Q510" s="11">
        <f>IF(J510="","",IFERROR(VALUE(SUBSTITUTE(SUBSTITUTE(IF(G510="","",G510)&amp;"","$",""),",","")),0)/IF("No"="Yes",P510,1))</f>
        <v/>
      </c>
      <c r="R510" s="11">
        <f>IF(J510="","",IFERROR(VALUE(SUBSTITUTE(SUBSTITUTE(IF(H510="","",H510)&amp;"","$",""),",","")),0)/IF("No"="Yes",P510,1))</f>
        <v/>
      </c>
      <c r="S510" s="11">
        <f>IF(J510="","",O510+Q510-R510)</f>
        <v/>
      </c>
      <c r="T510">
        <f>IF(J510="","",IFERROR(IF(K510="",NA(),MATCH(K510,Products!$B$5:$B$204,0)),IFERROR(MATCH(J510,Products!$A$5:$A$204,0),"")))</f>
        <v/>
      </c>
      <c r="U510">
        <f>IF(J510="","",IF(T510="","⚠ not in Products",INDEX(Products!$A$5:$A$204,T510)))</f>
        <v/>
      </c>
      <c r="V510" s="11">
        <f>IF(J510="","",S510*(IFERROR(INDEX(Settings!$B$5:$B$9,MATCH($B510,Settings!$A$5:$A$9,0)),0)+IFERROR(INDEX(Settings!$E$5:$E$9,MATCH($B510,Settings!$A$5:$A$9,0)),0)+IFERROR(INDEX(Settings!$G$5:$G$9,MATCH($B510,Settings!$A$5:$A$9,0)),0))+(IFERROR(INDEX(Settings!$C$5:$C$9,MATCH($B510,Settings!$A$5:$A$9,0)),0)+IFERROR(INDEX(Settings!$F$5:$F$9,MATCH($B510,Settings!$A$5:$A$9,0)),0))/P510+IFERROR(INDEX(Settings!$D$5:$D$9,MATCH($B510,Settings!$A$5:$A$9,0)),0)*M510)</f>
        <v/>
      </c>
      <c r="W510" s="11">
        <f>IF(J510="","",IF(T510="",0,M510*INDEX(Products!$I$5:$I$204,T510)))</f>
        <v/>
      </c>
      <c r="X510" s="11">
        <f>IF(J510="","",IF(T510="",0,S510*INDEX(Products!$H$5:$H$204,T510)))</f>
        <v/>
      </c>
      <c r="Y510" s="11">
        <f>IF(J510="","",S510-V510-W510-X510)</f>
        <v/>
      </c>
    </row>
    <row r="511">
      <c r="A511" s="19" t="n"/>
      <c r="B511" s="19" t="n"/>
      <c r="C511" s="19" t="n"/>
      <c r="D511" s="19" t="n"/>
      <c r="E511" s="19" t="n"/>
      <c r="F511" s="20" t="n"/>
      <c r="G511" s="20" t="n"/>
      <c r="H511" s="20" t="n"/>
      <c r="I511" s="19" t="n"/>
      <c r="J511">
        <f>IFERROR(IF(C511="","",C511)&amp;"","")</f>
        <v/>
      </c>
      <c r="K511">
        <f>IFERROR(IF(D511="","",D511)&amp;"","")</f>
        <v/>
      </c>
      <c r="L511">
        <f>IFERROR(IF(I511="","",I511)&amp;"","")</f>
        <v/>
      </c>
      <c r="M511">
        <f>IF(J511="","",IFERROR(VALUE(SUBSTITUTE(SUBSTITUTE(IF(E511="","",E511)&amp;"","$",""),",","")),0))</f>
        <v/>
      </c>
      <c r="N511" s="11">
        <f>IF(J511="","",IFERROR(VALUE(SUBSTITUTE(SUBSTITUTE(IF(F511="","",F511)&amp;"","$",""),",","")),0))</f>
        <v/>
      </c>
      <c r="O511" s="11">
        <f>IF(J511="","",M511*N511)</f>
        <v/>
      </c>
      <c r="P511">
        <f>IF(J511="","",IF(L511="",1,COUNTIF($L$2:$L$1501,L511)))</f>
        <v/>
      </c>
      <c r="Q511" s="11">
        <f>IF(J511="","",IFERROR(VALUE(SUBSTITUTE(SUBSTITUTE(IF(G511="","",G511)&amp;"","$",""),",","")),0)/IF("No"="Yes",P511,1))</f>
        <v/>
      </c>
      <c r="R511" s="11">
        <f>IF(J511="","",IFERROR(VALUE(SUBSTITUTE(SUBSTITUTE(IF(H511="","",H511)&amp;"","$",""),",","")),0)/IF("No"="Yes",P511,1))</f>
        <v/>
      </c>
      <c r="S511" s="11">
        <f>IF(J511="","",O511+Q511-R511)</f>
        <v/>
      </c>
      <c r="T511">
        <f>IF(J511="","",IFERROR(IF(K511="",NA(),MATCH(K511,Products!$B$5:$B$204,0)),IFERROR(MATCH(J511,Products!$A$5:$A$204,0),"")))</f>
        <v/>
      </c>
      <c r="U511">
        <f>IF(J511="","",IF(T511="","⚠ not in Products",INDEX(Products!$A$5:$A$204,T511)))</f>
        <v/>
      </c>
      <c r="V511" s="11">
        <f>IF(J511="","",S511*(IFERROR(INDEX(Settings!$B$5:$B$9,MATCH($B511,Settings!$A$5:$A$9,0)),0)+IFERROR(INDEX(Settings!$E$5:$E$9,MATCH($B511,Settings!$A$5:$A$9,0)),0)+IFERROR(INDEX(Settings!$G$5:$G$9,MATCH($B511,Settings!$A$5:$A$9,0)),0))+(IFERROR(INDEX(Settings!$C$5:$C$9,MATCH($B511,Settings!$A$5:$A$9,0)),0)+IFERROR(INDEX(Settings!$F$5:$F$9,MATCH($B511,Settings!$A$5:$A$9,0)),0))/P511+IFERROR(INDEX(Settings!$D$5:$D$9,MATCH($B511,Settings!$A$5:$A$9,0)),0)*M511)</f>
        <v/>
      </c>
      <c r="W511" s="11">
        <f>IF(J511="","",IF(T511="",0,M511*INDEX(Products!$I$5:$I$204,T511)))</f>
        <v/>
      </c>
      <c r="X511" s="11">
        <f>IF(J511="","",IF(T511="",0,S511*INDEX(Products!$H$5:$H$204,T511)))</f>
        <v/>
      </c>
      <c r="Y511" s="11">
        <f>IF(J511="","",S511-V511-W511-X511)</f>
        <v/>
      </c>
    </row>
    <row r="512">
      <c r="A512" s="19" t="n"/>
      <c r="B512" s="19" t="n"/>
      <c r="C512" s="19" t="n"/>
      <c r="D512" s="19" t="n"/>
      <c r="E512" s="19" t="n"/>
      <c r="F512" s="20" t="n"/>
      <c r="G512" s="20" t="n"/>
      <c r="H512" s="20" t="n"/>
      <c r="I512" s="19" t="n"/>
      <c r="J512">
        <f>IFERROR(IF(C512="","",C512)&amp;"","")</f>
        <v/>
      </c>
      <c r="K512">
        <f>IFERROR(IF(D512="","",D512)&amp;"","")</f>
        <v/>
      </c>
      <c r="L512">
        <f>IFERROR(IF(I512="","",I512)&amp;"","")</f>
        <v/>
      </c>
      <c r="M512">
        <f>IF(J512="","",IFERROR(VALUE(SUBSTITUTE(SUBSTITUTE(IF(E512="","",E512)&amp;"","$",""),",","")),0))</f>
        <v/>
      </c>
      <c r="N512" s="11">
        <f>IF(J512="","",IFERROR(VALUE(SUBSTITUTE(SUBSTITUTE(IF(F512="","",F512)&amp;"","$",""),",","")),0))</f>
        <v/>
      </c>
      <c r="O512" s="11">
        <f>IF(J512="","",M512*N512)</f>
        <v/>
      </c>
      <c r="P512">
        <f>IF(J512="","",IF(L512="",1,COUNTIF($L$2:$L$1501,L512)))</f>
        <v/>
      </c>
      <c r="Q512" s="11">
        <f>IF(J512="","",IFERROR(VALUE(SUBSTITUTE(SUBSTITUTE(IF(G512="","",G512)&amp;"","$",""),",","")),0)/IF("No"="Yes",P512,1))</f>
        <v/>
      </c>
      <c r="R512" s="11">
        <f>IF(J512="","",IFERROR(VALUE(SUBSTITUTE(SUBSTITUTE(IF(H512="","",H512)&amp;"","$",""),",","")),0)/IF("No"="Yes",P512,1))</f>
        <v/>
      </c>
      <c r="S512" s="11">
        <f>IF(J512="","",O512+Q512-R512)</f>
        <v/>
      </c>
      <c r="T512">
        <f>IF(J512="","",IFERROR(IF(K512="",NA(),MATCH(K512,Products!$B$5:$B$204,0)),IFERROR(MATCH(J512,Products!$A$5:$A$204,0),"")))</f>
        <v/>
      </c>
      <c r="U512">
        <f>IF(J512="","",IF(T512="","⚠ not in Products",INDEX(Products!$A$5:$A$204,T512)))</f>
        <v/>
      </c>
      <c r="V512" s="11">
        <f>IF(J512="","",S512*(IFERROR(INDEX(Settings!$B$5:$B$9,MATCH($B512,Settings!$A$5:$A$9,0)),0)+IFERROR(INDEX(Settings!$E$5:$E$9,MATCH($B512,Settings!$A$5:$A$9,0)),0)+IFERROR(INDEX(Settings!$G$5:$G$9,MATCH($B512,Settings!$A$5:$A$9,0)),0))+(IFERROR(INDEX(Settings!$C$5:$C$9,MATCH($B512,Settings!$A$5:$A$9,0)),0)+IFERROR(INDEX(Settings!$F$5:$F$9,MATCH($B512,Settings!$A$5:$A$9,0)),0))/P512+IFERROR(INDEX(Settings!$D$5:$D$9,MATCH($B512,Settings!$A$5:$A$9,0)),0)*M512)</f>
        <v/>
      </c>
      <c r="W512" s="11">
        <f>IF(J512="","",IF(T512="",0,M512*INDEX(Products!$I$5:$I$204,T512)))</f>
        <v/>
      </c>
      <c r="X512" s="11">
        <f>IF(J512="","",IF(T512="",0,S512*INDEX(Products!$H$5:$H$204,T512)))</f>
        <v/>
      </c>
      <c r="Y512" s="11">
        <f>IF(J512="","",S512-V512-W512-X512)</f>
        <v/>
      </c>
    </row>
    <row r="513">
      <c r="A513" s="19" t="n"/>
      <c r="B513" s="19" t="n"/>
      <c r="C513" s="19" t="n"/>
      <c r="D513" s="19" t="n"/>
      <c r="E513" s="19" t="n"/>
      <c r="F513" s="20" t="n"/>
      <c r="G513" s="20" t="n"/>
      <c r="H513" s="20" t="n"/>
      <c r="I513" s="19" t="n"/>
      <c r="J513">
        <f>IFERROR(IF(C513="","",C513)&amp;"","")</f>
        <v/>
      </c>
      <c r="K513">
        <f>IFERROR(IF(D513="","",D513)&amp;"","")</f>
        <v/>
      </c>
      <c r="L513">
        <f>IFERROR(IF(I513="","",I513)&amp;"","")</f>
        <v/>
      </c>
      <c r="M513">
        <f>IF(J513="","",IFERROR(VALUE(SUBSTITUTE(SUBSTITUTE(IF(E513="","",E513)&amp;"","$",""),",","")),0))</f>
        <v/>
      </c>
      <c r="N513" s="11">
        <f>IF(J513="","",IFERROR(VALUE(SUBSTITUTE(SUBSTITUTE(IF(F513="","",F513)&amp;"","$",""),",","")),0))</f>
        <v/>
      </c>
      <c r="O513" s="11">
        <f>IF(J513="","",M513*N513)</f>
        <v/>
      </c>
      <c r="P513">
        <f>IF(J513="","",IF(L513="",1,COUNTIF($L$2:$L$1501,L513)))</f>
        <v/>
      </c>
      <c r="Q513" s="11">
        <f>IF(J513="","",IFERROR(VALUE(SUBSTITUTE(SUBSTITUTE(IF(G513="","",G513)&amp;"","$",""),",","")),0)/IF("No"="Yes",P513,1))</f>
        <v/>
      </c>
      <c r="R513" s="11">
        <f>IF(J513="","",IFERROR(VALUE(SUBSTITUTE(SUBSTITUTE(IF(H513="","",H513)&amp;"","$",""),",","")),0)/IF("No"="Yes",P513,1))</f>
        <v/>
      </c>
      <c r="S513" s="11">
        <f>IF(J513="","",O513+Q513-R513)</f>
        <v/>
      </c>
      <c r="T513">
        <f>IF(J513="","",IFERROR(IF(K513="",NA(),MATCH(K513,Products!$B$5:$B$204,0)),IFERROR(MATCH(J513,Products!$A$5:$A$204,0),"")))</f>
        <v/>
      </c>
      <c r="U513">
        <f>IF(J513="","",IF(T513="","⚠ not in Products",INDEX(Products!$A$5:$A$204,T513)))</f>
        <v/>
      </c>
      <c r="V513" s="11">
        <f>IF(J513="","",S513*(IFERROR(INDEX(Settings!$B$5:$B$9,MATCH($B513,Settings!$A$5:$A$9,0)),0)+IFERROR(INDEX(Settings!$E$5:$E$9,MATCH($B513,Settings!$A$5:$A$9,0)),0)+IFERROR(INDEX(Settings!$G$5:$G$9,MATCH($B513,Settings!$A$5:$A$9,0)),0))+(IFERROR(INDEX(Settings!$C$5:$C$9,MATCH($B513,Settings!$A$5:$A$9,0)),0)+IFERROR(INDEX(Settings!$F$5:$F$9,MATCH($B513,Settings!$A$5:$A$9,0)),0))/P513+IFERROR(INDEX(Settings!$D$5:$D$9,MATCH($B513,Settings!$A$5:$A$9,0)),0)*M513)</f>
        <v/>
      </c>
      <c r="W513" s="11">
        <f>IF(J513="","",IF(T513="",0,M513*INDEX(Products!$I$5:$I$204,T513)))</f>
        <v/>
      </c>
      <c r="X513" s="11">
        <f>IF(J513="","",IF(T513="",0,S513*INDEX(Products!$H$5:$H$204,T513)))</f>
        <v/>
      </c>
      <c r="Y513" s="11">
        <f>IF(J513="","",S513-V513-W513-X513)</f>
        <v/>
      </c>
    </row>
    <row r="514">
      <c r="A514" s="19" t="n"/>
      <c r="B514" s="19" t="n"/>
      <c r="C514" s="19" t="n"/>
      <c r="D514" s="19" t="n"/>
      <c r="E514" s="19" t="n"/>
      <c r="F514" s="20" t="n"/>
      <c r="G514" s="20" t="n"/>
      <c r="H514" s="20" t="n"/>
      <c r="I514" s="19" t="n"/>
      <c r="J514">
        <f>IFERROR(IF(C514="","",C514)&amp;"","")</f>
        <v/>
      </c>
      <c r="K514">
        <f>IFERROR(IF(D514="","",D514)&amp;"","")</f>
        <v/>
      </c>
      <c r="L514">
        <f>IFERROR(IF(I514="","",I514)&amp;"","")</f>
        <v/>
      </c>
      <c r="M514">
        <f>IF(J514="","",IFERROR(VALUE(SUBSTITUTE(SUBSTITUTE(IF(E514="","",E514)&amp;"","$",""),",","")),0))</f>
        <v/>
      </c>
      <c r="N514" s="11">
        <f>IF(J514="","",IFERROR(VALUE(SUBSTITUTE(SUBSTITUTE(IF(F514="","",F514)&amp;"","$",""),",","")),0))</f>
        <v/>
      </c>
      <c r="O514" s="11">
        <f>IF(J514="","",M514*N514)</f>
        <v/>
      </c>
      <c r="P514">
        <f>IF(J514="","",IF(L514="",1,COUNTIF($L$2:$L$1501,L514)))</f>
        <v/>
      </c>
      <c r="Q514" s="11">
        <f>IF(J514="","",IFERROR(VALUE(SUBSTITUTE(SUBSTITUTE(IF(G514="","",G514)&amp;"","$",""),",","")),0)/IF("No"="Yes",P514,1))</f>
        <v/>
      </c>
      <c r="R514" s="11">
        <f>IF(J514="","",IFERROR(VALUE(SUBSTITUTE(SUBSTITUTE(IF(H514="","",H514)&amp;"","$",""),",","")),0)/IF("No"="Yes",P514,1))</f>
        <v/>
      </c>
      <c r="S514" s="11">
        <f>IF(J514="","",O514+Q514-R514)</f>
        <v/>
      </c>
      <c r="T514">
        <f>IF(J514="","",IFERROR(IF(K514="",NA(),MATCH(K514,Products!$B$5:$B$204,0)),IFERROR(MATCH(J514,Products!$A$5:$A$204,0),"")))</f>
        <v/>
      </c>
      <c r="U514">
        <f>IF(J514="","",IF(T514="","⚠ not in Products",INDEX(Products!$A$5:$A$204,T514)))</f>
        <v/>
      </c>
      <c r="V514" s="11">
        <f>IF(J514="","",S514*(IFERROR(INDEX(Settings!$B$5:$B$9,MATCH($B514,Settings!$A$5:$A$9,0)),0)+IFERROR(INDEX(Settings!$E$5:$E$9,MATCH($B514,Settings!$A$5:$A$9,0)),0)+IFERROR(INDEX(Settings!$G$5:$G$9,MATCH($B514,Settings!$A$5:$A$9,0)),0))+(IFERROR(INDEX(Settings!$C$5:$C$9,MATCH($B514,Settings!$A$5:$A$9,0)),0)+IFERROR(INDEX(Settings!$F$5:$F$9,MATCH($B514,Settings!$A$5:$A$9,0)),0))/P514+IFERROR(INDEX(Settings!$D$5:$D$9,MATCH($B514,Settings!$A$5:$A$9,0)),0)*M514)</f>
        <v/>
      </c>
      <c r="W514" s="11">
        <f>IF(J514="","",IF(T514="",0,M514*INDEX(Products!$I$5:$I$204,T514)))</f>
        <v/>
      </c>
      <c r="X514" s="11">
        <f>IF(J514="","",IF(T514="",0,S514*INDEX(Products!$H$5:$H$204,T514)))</f>
        <v/>
      </c>
      <c r="Y514" s="11">
        <f>IF(J514="","",S514-V514-W514-X514)</f>
        <v/>
      </c>
    </row>
    <row r="515">
      <c r="A515" s="19" t="n"/>
      <c r="B515" s="19" t="n"/>
      <c r="C515" s="19" t="n"/>
      <c r="D515" s="19" t="n"/>
      <c r="E515" s="19" t="n"/>
      <c r="F515" s="20" t="n"/>
      <c r="G515" s="20" t="n"/>
      <c r="H515" s="20" t="n"/>
      <c r="I515" s="19" t="n"/>
      <c r="J515">
        <f>IFERROR(IF(C515="","",C515)&amp;"","")</f>
        <v/>
      </c>
      <c r="K515">
        <f>IFERROR(IF(D515="","",D515)&amp;"","")</f>
        <v/>
      </c>
      <c r="L515">
        <f>IFERROR(IF(I515="","",I515)&amp;"","")</f>
        <v/>
      </c>
      <c r="M515">
        <f>IF(J515="","",IFERROR(VALUE(SUBSTITUTE(SUBSTITUTE(IF(E515="","",E515)&amp;"","$",""),",","")),0))</f>
        <v/>
      </c>
      <c r="N515" s="11">
        <f>IF(J515="","",IFERROR(VALUE(SUBSTITUTE(SUBSTITUTE(IF(F515="","",F515)&amp;"","$",""),",","")),0))</f>
        <v/>
      </c>
      <c r="O515" s="11">
        <f>IF(J515="","",M515*N515)</f>
        <v/>
      </c>
      <c r="P515">
        <f>IF(J515="","",IF(L515="",1,COUNTIF($L$2:$L$1501,L515)))</f>
        <v/>
      </c>
      <c r="Q515" s="11">
        <f>IF(J515="","",IFERROR(VALUE(SUBSTITUTE(SUBSTITUTE(IF(G515="","",G515)&amp;"","$",""),",","")),0)/IF("No"="Yes",P515,1))</f>
        <v/>
      </c>
      <c r="R515" s="11">
        <f>IF(J515="","",IFERROR(VALUE(SUBSTITUTE(SUBSTITUTE(IF(H515="","",H515)&amp;"","$",""),",","")),0)/IF("No"="Yes",P515,1))</f>
        <v/>
      </c>
      <c r="S515" s="11">
        <f>IF(J515="","",O515+Q515-R515)</f>
        <v/>
      </c>
      <c r="T515">
        <f>IF(J515="","",IFERROR(IF(K515="",NA(),MATCH(K515,Products!$B$5:$B$204,0)),IFERROR(MATCH(J515,Products!$A$5:$A$204,0),"")))</f>
        <v/>
      </c>
      <c r="U515">
        <f>IF(J515="","",IF(T515="","⚠ not in Products",INDEX(Products!$A$5:$A$204,T515)))</f>
        <v/>
      </c>
      <c r="V515" s="11">
        <f>IF(J515="","",S515*(IFERROR(INDEX(Settings!$B$5:$B$9,MATCH($B515,Settings!$A$5:$A$9,0)),0)+IFERROR(INDEX(Settings!$E$5:$E$9,MATCH($B515,Settings!$A$5:$A$9,0)),0)+IFERROR(INDEX(Settings!$G$5:$G$9,MATCH($B515,Settings!$A$5:$A$9,0)),0))+(IFERROR(INDEX(Settings!$C$5:$C$9,MATCH($B515,Settings!$A$5:$A$9,0)),0)+IFERROR(INDEX(Settings!$F$5:$F$9,MATCH($B515,Settings!$A$5:$A$9,0)),0))/P515+IFERROR(INDEX(Settings!$D$5:$D$9,MATCH($B515,Settings!$A$5:$A$9,0)),0)*M515)</f>
        <v/>
      </c>
      <c r="W515" s="11">
        <f>IF(J515="","",IF(T515="",0,M515*INDEX(Products!$I$5:$I$204,T515)))</f>
        <v/>
      </c>
      <c r="X515" s="11">
        <f>IF(J515="","",IF(T515="",0,S515*INDEX(Products!$H$5:$H$204,T515)))</f>
        <v/>
      </c>
      <c r="Y515" s="11">
        <f>IF(J515="","",S515-V515-W515-X515)</f>
        <v/>
      </c>
    </row>
    <row r="516">
      <c r="A516" s="19" t="n"/>
      <c r="B516" s="19" t="n"/>
      <c r="C516" s="19" t="n"/>
      <c r="D516" s="19" t="n"/>
      <c r="E516" s="19" t="n"/>
      <c r="F516" s="20" t="n"/>
      <c r="G516" s="20" t="n"/>
      <c r="H516" s="20" t="n"/>
      <c r="I516" s="19" t="n"/>
      <c r="J516">
        <f>IFERROR(IF(C516="","",C516)&amp;"","")</f>
        <v/>
      </c>
      <c r="K516">
        <f>IFERROR(IF(D516="","",D516)&amp;"","")</f>
        <v/>
      </c>
      <c r="L516">
        <f>IFERROR(IF(I516="","",I516)&amp;"","")</f>
        <v/>
      </c>
      <c r="M516">
        <f>IF(J516="","",IFERROR(VALUE(SUBSTITUTE(SUBSTITUTE(IF(E516="","",E516)&amp;"","$",""),",","")),0))</f>
        <v/>
      </c>
      <c r="N516" s="11">
        <f>IF(J516="","",IFERROR(VALUE(SUBSTITUTE(SUBSTITUTE(IF(F516="","",F516)&amp;"","$",""),",","")),0))</f>
        <v/>
      </c>
      <c r="O516" s="11">
        <f>IF(J516="","",M516*N516)</f>
        <v/>
      </c>
      <c r="P516">
        <f>IF(J516="","",IF(L516="",1,COUNTIF($L$2:$L$1501,L516)))</f>
        <v/>
      </c>
      <c r="Q516" s="11">
        <f>IF(J516="","",IFERROR(VALUE(SUBSTITUTE(SUBSTITUTE(IF(G516="","",G516)&amp;"","$",""),",","")),0)/IF("No"="Yes",P516,1))</f>
        <v/>
      </c>
      <c r="R516" s="11">
        <f>IF(J516="","",IFERROR(VALUE(SUBSTITUTE(SUBSTITUTE(IF(H516="","",H516)&amp;"","$",""),",","")),0)/IF("No"="Yes",P516,1))</f>
        <v/>
      </c>
      <c r="S516" s="11">
        <f>IF(J516="","",O516+Q516-R516)</f>
        <v/>
      </c>
      <c r="T516">
        <f>IF(J516="","",IFERROR(IF(K516="",NA(),MATCH(K516,Products!$B$5:$B$204,0)),IFERROR(MATCH(J516,Products!$A$5:$A$204,0),"")))</f>
        <v/>
      </c>
      <c r="U516">
        <f>IF(J516="","",IF(T516="","⚠ not in Products",INDEX(Products!$A$5:$A$204,T516)))</f>
        <v/>
      </c>
      <c r="V516" s="11">
        <f>IF(J516="","",S516*(IFERROR(INDEX(Settings!$B$5:$B$9,MATCH($B516,Settings!$A$5:$A$9,0)),0)+IFERROR(INDEX(Settings!$E$5:$E$9,MATCH($B516,Settings!$A$5:$A$9,0)),0)+IFERROR(INDEX(Settings!$G$5:$G$9,MATCH($B516,Settings!$A$5:$A$9,0)),0))+(IFERROR(INDEX(Settings!$C$5:$C$9,MATCH($B516,Settings!$A$5:$A$9,0)),0)+IFERROR(INDEX(Settings!$F$5:$F$9,MATCH($B516,Settings!$A$5:$A$9,0)),0))/P516+IFERROR(INDEX(Settings!$D$5:$D$9,MATCH($B516,Settings!$A$5:$A$9,0)),0)*M516)</f>
        <v/>
      </c>
      <c r="W516" s="11">
        <f>IF(J516="","",IF(T516="",0,M516*INDEX(Products!$I$5:$I$204,T516)))</f>
        <v/>
      </c>
      <c r="X516" s="11">
        <f>IF(J516="","",IF(T516="",0,S516*INDEX(Products!$H$5:$H$204,T516)))</f>
        <v/>
      </c>
      <c r="Y516" s="11">
        <f>IF(J516="","",S516-V516-W516-X516)</f>
        <v/>
      </c>
    </row>
    <row r="517">
      <c r="A517" s="19" t="n"/>
      <c r="B517" s="19" t="n"/>
      <c r="C517" s="19" t="n"/>
      <c r="D517" s="19" t="n"/>
      <c r="E517" s="19" t="n"/>
      <c r="F517" s="20" t="n"/>
      <c r="G517" s="20" t="n"/>
      <c r="H517" s="20" t="n"/>
      <c r="I517" s="19" t="n"/>
      <c r="J517">
        <f>IFERROR(IF(C517="","",C517)&amp;"","")</f>
        <v/>
      </c>
      <c r="K517">
        <f>IFERROR(IF(D517="","",D517)&amp;"","")</f>
        <v/>
      </c>
      <c r="L517">
        <f>IFERROR(IF(I517="","",I517)&amp;"","")</f>
        <v/>
      </c>
      <c r="M517">
        <f>IF(J517="","",IFERROR(VALUE(SUBSTITUTE(SUBSTITUTE(IF(E517="","",E517)&amp;"","$",""),",","")),0))</f>
        <v/>
      </c>
      <c r="N517" s="11">
        <f>IF(J517="","",IFERROR(VALUE(SUBSTITUTE(SUBSTITUTE(IF(F517="","",F517)&amp;"","$",""),",","")),0))</f>
        <v/>
      </c>
      <c r="O517" s="11">
        <f>IF(J517="","",M517*N517)</f>
        <v/>
      </c>
      <c r="P517">
        <f>IF(J517="","",IF(L517="",1,COUNTIF($L$2:$L$1501,L517)))</f>
        <v/>
      </c>
      <c r="Q517" s="11">
        <f>IF(J517="","",IFERROR(VALUE(SUBSTITUTE(SUBSTITUTE(IF(G517="","",G517)&amp;"","$",""),",","")),0)/IF("No"="Yes",P517,1))</f>
        <v/>
      </c>
      <c r="R517" s="11">
        <f>IF(J517="","",IFERROR(VALUE(SUBSTITUTE(SUBSTITUTE(IF(H517="","",H517)&amp;"","$",""),",","")),0)/IF("No"="Yes",P517,1))</f>
        <v/>
      </c>
      <c r="S517" s="11">
        <f>IF(J517="","",O517+Q517-R517)</f>
        <v/>
      </c>
      <c r="T517">
        <f>IF(J517="","",IFERROR(IF(K517="",NA(),MATCH(K517,Products!$B$5:$B$204,0)),IFERROR(MATCH(J517,Products!$A$5:$A$204,0),"")))</f>
        <v/>
      </c>
      <c r="U517">
        <f>IF(J517="","",IF(T517="","⚠ not in Products",INDEX(Products!$A$5:$A$204,T517)))</f>
        <v/>
      </c>
      <c r="V517" s="11">
        <f>IF(J517="","",S517*(IFERROR(INDEX(Settings!$B$5:$B$9,MATCH($B517,Settings!$A$5:$A$9,0)),0)+IFERROR(INDEX(Settings!$E$5:$E$9,MATCH($B517,Settings!$A$5:$A$9,0)),0)+IFERROR(INDEX(Settings!$G$5:$G$9,MATCH($B517,Settings!$A$5:$A$9,0)),0))+(IFERROR(INDEX(Settings!$C$5:$C$9,MATCH($B517,Settings!$A$5:$A$9,0)),0)+IFERROR(INDEX(Settings!$F$5:$F$9,MATCH($B517,Settings!$A$5:$A$9,0)),0))/P517+IFERROR(INDEX(Settings!$D$5:$D$9,MATCH($B517,Settings!$A$5:$A$9,0)),0)*M517)</f>
        <v/>
      </c>
      <c r="W517" s="11">
        <f>IF(J517="","",IF(T517="",0,M517*INDEX(Products!$I$5:$I$204,T517)))</f>
        <v/>
      </c>
      <c r="X517" s="11">
        <f>IF(J517="","",IF(T517="",0,S517*INDEX(Products!$H$5:$H$204,T517)))</f>
        <v/>
      </c>
      <c r="Y517" s="11">
        <f>IF(J517="","",S517-V517-W517-X517)</f>
        <v/>
      </c>
    </row>
    <row r="518">
      <c r="A518" s="19" t="n"/>
      <c r="B518" s="19" t="n"/>
      <c r="C518" s="19" t="n"/>
      <c r="D518" s="19" t="n"/>
      <c r="E518" s="19" t="n"/>
      <c r="F518" s="20" t="n"/>
      <c r="G518" s="20" t="n"/>
      <c r="H518" s="20" t="n"/>
      <c r="I518" s="19" t="n"/>
      <c r="J518">
        <f>IFERROR(IF(C518="","",C518)&amp;"","")</f>
        <v/>
      </c>
      <c r="K518">
        <f>IFERROR(IF(D518="","",D518)&amp;"","")</f>
        <v/>
      </c>
      <c r="L518">
        <f>IFERROR(IF(I518="","",I518)&amp;"","")</f>
        <v/>
      </c>
      <c r="M518">
        <f>IF(J518="","",IFERROR(VALUE(SUBSTITUTE(SUBSTITUTE(IF(E518="","",E518)&amp;"","$",""),",","")),0))</f>
        <v/>
      </c>
      <c r="N518" s="11">
        <f>IF(J518="","",IFERROR(VALUE(SUBSTITUTE(SUBSTITUTE(IF(F518="","",F518)&amp;"","$",""),",","")),0))</f>
        <v/>
      </c>
      <c r="O518" s="11">
        <f>IF(J518="","",M518*N518)</f>
        <v/>
      </c>
      <c r="P518">
        <f>IF(J518="","",IF(L518="",1,COUNTIF($L$2:$L$1501,L518)))</f>
        <v/>
      </c>
      <c r="Q518" s="11">
        <f>IF(J518="","",IFERROR(VALUE(SUBSTITUTE(SUBSTITUTE(IF(G518="","",G518)&amp;"","$",""),",","")),0)/IF("No"="Yes",P518,1))</f>
        <v/>
      </c>
      <c r="R518" s="11">
        <f>IF(J518="","",IFERROR(VALUE(SUBSTITUTE(SUBSTITUTE(IF(H518="","",H518)&amp;"","$",""),",","")),0)/IF("No"="Yes",P518,1))</f>
        <v/>
      </c>
      <c r="S518" s="11">
        <f>IF(J518="","",O518+Q518-R518)</f>
        <v/>
      </c>
      <c r="T518">
        <f>IF(J518="","",IFERROR(IF(K518="",NA(),MATCH(K518,Products!$B$5:$B$204,0)),IFERROR(MATCH(J518,Products!$A$5:$A$204,0),"")))</f>
        <v/>
      </c>
      <c r="U518">
        <f>IF(J518="","",IF(T518="","⚠ not in Products",INDEX(Products!$A$5:$A$204,T518)))</f>
        <v/>
      </c>
      <c r="V518" s="11">
        <f>IF(J518="","",S518*(IFERROR(INDEX(Settings!$B$5:$B$9,MATCH($B518,Settings!$A$5:$A$9,0)),0)+IFERROR(INDEX(Settings!$E$5:$E$9,MATCH($B518,Settings!$A$5:$A$9,0)),0)+IFERROR(INDEX(Settings!$G$5:$G$9,MATCH($B518,Settings!$A$5:$A$9,0)),0))+(IFERROR(INDEX(Settings!$C$5:$C$9,MATCH($B518,Settings!$A$5:$A$9,0)),0)+IFERROR(INDEX(Settings!$F$5:$F$9,MATCH($B518,Settings!$A$5:$A$9,0)),0))/P518+IFERROR(INDEX(Settings!$D$5:$D$9,MATCH($B518,Settings!$A$5:$A$9,0)),0)*M518)</f>
        <v/>
      </c>
      <c r="W518" s="11">
        <f>IF(J518="","",IF(T518="",0,M518*INDEX(Products!$I$5:$I$204,T518)))</f>
        <v/>
      </c>
      <c r="X518" s="11">
        <f>IF(J518="","",IF(T518="",0,S518*INDEX(Products!$H$5:$H$204,T518)))</f>
        <v/>
      </c>
      <c r="Y518" s="11">
        <f>IF(J518="","",S518-V518-W518-X518)</f>
        <v/>
      </c>
    </row>
    <row r="519">
      <c r="A519" s="19" t="n"/>
      <c r="B519" s="19" t="n"/>
      <c r="C519" s="19" t="n"/>
      <c r="D519" s="19" t="n"/>
      <c r="E519" s="19" t="n"/>
      <c r="F519" s="20" t="n"/>
      <c r="G519" s="20" t="n"/>
      <c r="H519" s="20" t="n"/>
      <c r="I519" s="19" t="n"/>
      <c r="J519">
        <f>IFERROR(IF(C519="","",C519)&amp;"","")</f>
        <v/>
      </c>
      <c r="K519">
        <f>IFERROR(IF(D519="","",D519)&amp;"","")</f>
        <v/>
      </c>
      <c r="L519">
        <f>IFERROR(IF(I519="","",I519)&amp;"","")</f>
        <v/>
      </c>
      <c r="M519">
        <f>IF(J519="","",IFERROR(VALUE(SUBSTITUTE(SUBSTITUTE(IF(E519="","",E519)&amp;"","$",""),",","")),0))</f>
        <v/>
      </c>
      <c r="N519" s="11">
        <f>IF(J519="","",IFERROR(VALUE(SUBSTITUTE(SUBSTITUTE(IF(F519="","",F519)&amp;"","$",""),",","")),0))</f>
        <v/>
      </c>
      <c r="O519" s="11">
        <f>IF(J519="","",M519*N519)</f>
        <v/>
      </c>
      <c r="P519">
        <f>IF(J519="","",IF(L519="",1,COUNTIF($L$2:$L$1501,L519)))</f>
        <v/>
      </c>
      <c r="Q519" s="11">
        <f>IF(J519="","",IFERROR(VALUE(SUBSTITUTE(SUBSTITUTE(IF(G519="","",G519)&amp;"","$",""),",","")),0)/IF("No"="Yes",P519,1))</f>
        <v/>
      </c>
      <c r="R519" s="11">
        <f>IF(J519="","",IFERROR(VALUE(SUBSTITUTE(SUBSTITUTE(IF(H519="","",H519)&amp;"","$",""),",","")),0)/IF("No"="Yes",P519,1))</f>
        <v/>
      </c>
      <c r="S519" s="11">
        <f>IF(J519="","",O519+Q519-R519)</f>
        <v/>
      </c>
      <c r="T519">
        <f>IF(J519="","",IFERROR(IF(K519="",NA(),MATCH(K519,Products!$B$5:$B$204,0)),IFERROR(MATCH(J519,Products!$A$5:$A$204,0),"")))</f>
        <v/>
      </c>
      <c r="U519">
        <f>IF(J519="","",IF(T519="","⚠ not in Products",INDEX(Products!$A$5:$A$204,T519)))</f>
        <v/>
      </c>
      <c r="V519" s="11">
        <f>IF(J519="","",S519*(IFERROR(INDEX(Settings!$B$5:$B$9,MATCH($B519,Settings!$A$5:$A$9,0)),0)+IFERROR(INDEX(Settings!$E$5:$E$9,MATCH($B519,Settings!$A$5:$A$9,0)),0)+IFERROR(INDEX(Settings!$G$5:$G$9,MATCH($B519,Settings!$A$5:$A$9,0)),0))+(IFERROR(INDEX(Settings!$C$5:$C$9,MATCH($B519,Settings!$A$5:$A$9,0)),0)+IFERROR(INDEX(Settings!$F$5:$F$9,MATCH($B519,Settings!$A$5:$A$9,0)),0))/P519+IFERROR(INDEX(Settings!$D$5:$D$9,MATCH($B519,Settings!$A$5:$A$9,0)),0)*M519)</f>
        <v/>
      </c>
      <c r="W519" s="11">
        <f>IF(J519="","",IF(T519="",0,M519*INDEX(Products!$I$5:$I$204,T519)))</f>
        <v/>
      </c>
      <c r="X519" s="11">
        <f>IF(J519="","",IF(T519="",0,S519*INDEX(Products!$H$5:$H$204,T519)))</f>
        <v/>
      </c>
      <c r="Y519" s="11">
        <f>IF(J519="","",S519-V519-W519-X519)</f>
        <v/>
      </c>
    </row>
    <row r="520">
      <c r="A520" s="19" t="n"/>
      <c r="B520" s="19" t="n"/>
      <c r="C520" s="19" t="n"/>
      <c r="D520" s="19" t="n"/>
      <c r="E520" s="19" t="n"/>
      <c r="F520" s="20" t="n"/>
      <c r="G520" s="20" t="n"/>
      <c r="H520" s="20" t="n"/>
      <c r="I520" s="19" t="n"/>
      <c r="J520">
        <f>IFERROR(IF(C520="","",C520)&amp;"","")</f>
        <v/>
      </c>
      <c r="K520">
        <f>IFERROR(IF(D520="","",D520)&amp;"","")</f>
        <v/>
      </c>
      <c r="L520">
        <f>IFERROR(IF(I520="","",I520)&amp;"","")</f>
        <v/>
      </c>
      <c r="M520">
        <f>IF(J520="","",IFERROR(VALUE(SUBSTITUTE(SUBSTITUTE(IF(E520="","",E520)&amp;"","$",""),",","")),0))</f>
        <v/>
      </c>
      <c r="N520" s="11">
        <f>IF(J520="","",IFERROR(VALUE(SUBSTITUTE(SUBSTITUTE(IF(F520="","",F520)&amp;"","$",""),",","")),0))</f>
        <v/>
      </c>
      <c r="O520" s="11">
        <f>IF(J520="","",M520*N520)</f>
        <v/>
      </c>
      <c r="P520">
        <f>IF(J520="","",IF(L520="",1,COUNTIF($L$2:$L$1501,L520)))</f>
        <v/>
      </c>
      <c r="Q520" s="11">
        <f>IF(J520="","",IFERROR(VALUE(SUBSTITUTE(SUBSTITUTE(IF(G520="","",G520)&amp;"","$",""),",","")),0)/IF("No"="Yes",P520,1))</f>
        <v/>
      </c>
      <c r="R520" s="11">
        <f>IF(J520="","",IFERROR(VALUE(SUBSTITUTE(SUBSTITUTE(IF(H520="","",H520)&amp;"","$",""),",","")),0)/IF("No"="Yes",P520,1))</f>
        <v/>
      </c>
      <c r="S520" s="11">
        <f>IF(J520="","",O520+Q520-R520)</f>
        <v/>
      </c>
      <c r="T520">
        <f>IF(J520="","",IFERROR(IF(K520="",NA(),MATCH(K520,Products!$B$5:$B$204,0)),IFERROR(MATCH(J520,Products!$A$5:$A$204,0),"")))</f>
        <v/>
      </c>
      <c r="U520">
        <f>IF(J520="","",IF(T520="","⚠ not in Products",INDEX(Products!$A$5:$A$204,T520)))</f>
        <v/>
      </c>
      <c r="V520" s="11">
        <f>IF(J520="","",S520*(IFERROR(INDEX(Settings!$B$5:$B$9,MATCH($B520,Settings!$A$5:$A$9,0)),0)+IFERROR(INDEX(Settings!$E$5:$E$9,MATCH($B520,Settings!$A$5:$A$9,0)),0)+IFERROR(INDEX(Settings!$G$5:$G$9,MATCH($B520,Settings!$A$5:$A$9,0)),0))+(IFERROR(INDEX(Settings!$C$5:$C$9,MATCH($B520,Settings!$A$5:$A$9,0)),0)+IFERROR(INDEX(Settings!$F$5:$F$9,MATCH($B520,Settings!$A$5:$A$9,0)),0))/P520+IFERROR(INDEX(Settings!$D$5:$D$9,MATCH($B520,Settings!$A$5:$A$9,0)),0)*M520)</f>
        <v/>
      </c>
      <c r="W520" s="11">
        <f>IF(J520="","",IF(T520="",0,M520*INDEX(Products!$I$5:$I$204,T520)))</f>
        <v/>
      </c>
      <c r="X520" s="11">
        <f>IF(J520="","",IF(T520="",0,S520*INDEX(Products!$H$5:$H$204,T520)))</f>
        <v/>
      </c>
      <c r="Y520" s="11">
        <f>IF(J520="","",S520-V520-W520-X520)</f>
        <v/>
      </c>
    </row>
    <row r="521">
      <c r="A521" s="19" t="n"/>
      <c r="B521" s="19" t="n"/>
      <c r="C521" s="19" t="n"/>
      <c r="D521" s="19" t="n"/>
      <c r="E521" s="19" t="n"/>
      <c r="F521" s="20" t="n"/>
      <c r="G521" s="20" t="n"/>
      <c r="H521" s="20" t="n"/>
      <c r="I521" s="19" t="n"/>
      <c r="J521">
        <f>IFERROR(IF(C521="","",C521)&amp;"","")</f>
        <v/>
      </c>
      <c r="K521">
        <f>IFERROR(IF(D521="","",D521)&amp;"","")</f>
        <v/>
      </c>
      <c r="L521">
        <f>IFERROR(IF(I521="","",I521)&amp;"","")</f>
        <v/>
      </c>
      <c r="M521">
        <f>IF(J521="","",IFERROR(VALUE(SUBSTITUTE(SUBSTITUTE(IF(E521="","",E521)&amp;"","$",""),",","")),0))</f>
        <v/>
      </c>
      <c r="N521" s="11">
        <f>IF(J521="","",IFERROR(VALUE(SUBSTITUTE(SUBSTITUTE(IF(F521="","",F521)&amp;"","$",""),",","")),0))</f>
        <v/>
      </c>
      <c r="O521" s="11">
        <f>IF(J521="","",M521*N521)</f>
        <v/>
      </c>
      <c r="P521">
        <f>IF(J521="","",IF(L521="",1,COUNTIF($L$2:$L$1501,L521)))</f>
        <v/>
      </c>
      <c r="Q521" s="11">
        <f>IF(J521="","",IFERROR(VALUE(SUBSTITUTE(SUBSTITUTE(IF(G521="","",G521)&amp;"","$",""),",","")),0)/IF("No"="Yes",P521,1))</f>
        <v/>
      </c>
      <c r="R521" s="11">
        <f>IF(J521="","",IFERROR(VALUE(SUBSTITUTE(SUBSTITUTE(IF(H521="","",H521)&amp;"","$",""),",","")),0)/IF("No"="Yes",P521,1))</f>
        <v/>
      </c>
      <c r="S521" s="11">
        <f>IF(J521="","",O521+Q521-R521)</f>
        <v/>
      </c>
      <c r="T521">
        <f>IF(J521="","",IFERROR(IF(K521="",NA(),MATCH(K521,Products!$B$5:$B$204,0)),IFERROR(MATCH(J521,Products!$A$5:$A$204,0),"")))</f>
        <v/>
      </c>
      <c r="U521">
        <f>IF(J521="","",IF(T521="","⚠ not in Products",INDEX(Products!$A$5:$A$204,T521)))</f>
        <v/>
      </c>
      <c r="V521" s="11">
        <f>IF(J521="","",S521*(IFERROR(INDEX(Settings!$B$5:$B$9,MATCH($B521,Settings!$A$5:$A$9,0)),0)+IFERROR(INDEX(Settings!$E$5:$E$9,MATCH($B521,Settings!$A$5:$A$9,0)),0)+IFERROR(INDEX(Settings!$G$5:$G$9,MATCH($B521,Settings!$A$5:$A$9,0)),0))+(IFERROR(INDEX(Settings!$C$5:$C$9,MATCH($B521,Settings!$A$5:$A$9,0)),0)+IFERROR(INDEX(Settings!$F$5:$F$9,MATCH($B521,Settings!$A$5:$A$9,0)),0))/P521+IFERROR(INDEX(Settings!$D$5:$D$9,MATCH($B521,Settings!$A$5:$A$9,0)),0)*M521)</f>
        <v/>
      </c>
      <c r="W521" s="11">
        <f>IF(J521="","",IF(T521="",0,M521*INDEX(Products!$I$5:$I$204,T521)))</f>
        <v/>
      </c>
      <c r="X521" s="11">
        <f>IF(J521="","",IF(T521="",0,S521*INDEX(Products!$H$5:$H$204,T521)))</f>
        <v/>
      </c>
      <c r="Y521" s="11">
        <f>IF(J521="","",S521-V521-W521-X521)</f>
        <v/>
      </c>
    </row>
    <row r="522">
      <c r="A522" s="19" t="n"/>
      <c r="B522" s="19" t="n"/>
      <c r="C522" s="19" t="n"/>
      <c r="D522" s="19" t="n"/>
      <c r="E522" s="19" t="n"/>
      <c r="F522" s="20" t="n"/>
      <c r="G522" s="20" t="n"/>
      <c r="H522" s="20" t="n"/>
      <c r="I522" s="19" t="n"/>
      <c r="J522">
        <f>IFERROR(IF(C522="","",C522)&amp;"","")</f>
        <v/>
      </c>
      <c r="K522">
        <f>IFERROR(IF(D522="","",D522)&amp;"","")</f>
        <v/>
      </c>
      <c r="L522">
        <f>IFERROR(IF(I522="","",I522)&amp;"","")</f>
        <v/>
      </c>
      <c r="M522">
        <f>IF(J522="","",IFERROR(VALUE(SUBSTITUTE(SUBSTITUTE(IF(E522="","",E522)&amp;"","$",""),",","")),0))</f>
        <v/>
      </c>
      <c r="N522" s="11">
        <f>IF(J522="","",IFERROR(VALUE(SUBSTITUTE(SUBSTITUTE(IF(F522="","",F522)&amp;"","$",""),",","")),0))</f>
        <v/>
      </c>
      <c r="O522" s="11">
        <f>IF(J522="","",M522*N522)</f>
        <v/>
      </c>
      <c r="P522">
        <f>IF(J522="","",IF(L522="",1,COUNTIF($L$2:$L$1501,L522)))</f>
        <v/>
      </c>
      <c r="Q522" s="11">
        <f>IF(J522="","",IFERROR(VALUE(SUBSTITUTE(SUBSTITUTE(IF(G522="","",G522)&amp;"","$",""),",","")),0)/IF("No"="Yes",P522,1))</f>
        <v/>
      </c>
      <c r="R522" s="11">
        <f>IF(J522="","",IFERROR(VALUE(SUBSTITUTE(SUBSTITUTE(IF(H522="","",H522)&amp;"","$",""),",","")),0)/IF("No"="Yes",P522,1))</f>
        <v/>
      </c>
      <c r="S522" s="11">
        <f>IF(J522="","",O522+Q522-R522)</f>
        <v/>
      </c>
      <c r="T522">
        <f>IF(J522="","",IFERROR(IF(K522="",NA(),MATCH(K522,Products!$B$5:$B$204,0)),IFERROR(MATCH(J522,Products!$A$5:$A$204,0),"")))</f>
        <v/>
      </c>
      <c r="U522">
        <f>IF(J522="","",IF(T522="","⚠ not in Products",INDEX(Products!$A$5:$A$204,T522)))</f>
        <v/>
      </c>
      <c r="V522" s="11">
        <f>IF(J522="","",S522*(IFERROR(INDEX(Settings!$B$5:$B$9,MATCH($B522,Settings!$A$5:$A$9,0)),0)+IFERROR(INDEX(Settings!$E$5:$E$9,MATCH($B522,Settings!$A$5:$A$9,0)),0)+IFERROR(INDEX(Settings!$G$5:$G$9,MATCH($B522,Settings!$A$5:$A$9,0)),0))+(IFERROR(INDEX(Settings!$C$5:$C$9,MATCH($B522,Settings!$A$5:$A$9,0)),0)+IFERROR(INDEX(Settings!$F$5:$F$9,MATCH($B522,Settings!$A$5:$A$9,0)),0))/P522+IFERROR(INDEX(Settings!$D$5:$D$9,MATCH($B522,Settings!$A$5:$A$9,0)),0)*M522)</f>
        <v/>
      </c>
      <c r="W522" s="11">
        <f>IF(J522="","",IF(T522="",0,M522*INDEX(Products!$I$5:$I$204,T522)))</f>
        <v/>
      </c>
      <c r="X522" s="11">
        <f>IF(J522="","",IF(T522="",0,S522*INDEX(Products!$H$5:$H$204,T522)))</f>
        <v/>
      </c>
      <c r="Y522" s="11">
        <f>IF(J522="","",S522-V522-W522-X522)</f>
        <v/>
      </c>
    </row>
    <row r="523">
      <c r="A523" s="19" t="n"/>
      <c r="B523" s="19" t="n"/>
      <c r="C523" s="19" t="n"/>
      <c r="D523" s="19" t="n"/>
      <c r="E523" s="19" t="n"/>
      <c r="F523" s="20" t="n"/>
      <c r="G523" s="20" t="n"/>
      <c r="H523" s="20" t="n"/>
      <c r="I523" s="19" t="n"/>
      <c r="J523">
        <f>IFERROR(IF(C523="","",C523)&amp;"","")</f>
        <v/>
      </c>
      <c r="K523">
        <f>IFERROR(IF(D523="","",D523)&amp;"","")</f>
        <v/>
      </c>
      <c r="L523">
        <f>IFERROR(IF(I523="","",I523)&amp;"","")</f>
        <v/>
      </c>
      <c r="M523">
        <f>IF(J523="","",IFERROR(VALUE(SUBSTITUTE(SUBSTITUTE(IF(E523="","",E523)&amp;"","$",""),",","")),0))</f>
        <v/>
      </c>
      <c r="N523" s="11">
        <f>IF(J523="","",IFERROR(VALUE(SUBSTITUTE(SUBSTITUTE(IF(F523="","",F523)&amp;"","$",""),",","")),0))</f>
        <v/>
      </c>
      <c r="O523" s="11">
        <f>IF(J523="","",M523*N523)</f>
        <v/>
      </c>
      <c r="P523">
        <f>IF(J523="","",IF(L523="",1,COUNTIF($L$2:$L$1501,L523)))</f>
        <v/>
      </c>
      <c r="Q523" s="11">
        <f>IF(J523="","",IFERROR(VALUE(SUBSTITUTE(SUBSTITUTE(IF(G523="","",G523)&amp;"","$",""),",","")),0)/IF("No"="Yes",P523,1))</f>
        <v/>
      </c>
      <c r="R523" s="11">
        <f>IF(J523="","",IFERROR(VALUE(SUBSTITUTE(SUBSTITUTE(IF(H523="","",H523)&amp;"","$",""),",","")),0)/IF("No"="Yes",P523,1))</f>
        <v/>
      </c>
      <c r="S523" s="11">
        <f>IF(J523="","",O523+Q523-R523)</f>
        <v/>
      </c>
      <c r="T523">
        <f>IF(J523="","",IFERROR(IF(K523="",NA(),MATCH(K523,Products!$B$5:$B$204,0)),IFERROR(MATCH(J523,Products!$A$5:$A$204,0),"")))</f>
        <v/>
      </c>
      <c r="U523">
        <f>IF(J523="","",IF(T523="","⚠ not in Products",INDEX(Products!$A$5:$A$204,T523)))</f>
        <v/>
      </c>
      <c r="V523" s="11">
        <f>IF(J523="","",S523*(IFERROR(INDEX(Settings!$B$5:$B$9,MATCH($B523,Settings!$A$5:$A$9,0)),0)+IFERROR(INDEX(Settings!$E$5:$E$9,MATCH($B523,Settings!$A$5:$A$9,0)),0)+IFERROR(INDEX(Settings!$G$5:$G$9,MATCH($B523,Settings!$A$5:$A$9,0)),0))+(IFERROR(INDEX(Settings!$C$5:$C$9,MATCH($B523,Settings!$A$5:$A$9,0)),0)+IFERROR(INDEX(Settings!$F$5:$F$9,MATCH($B523,Settings!$A$5:$A$9,0)),0))/P523+IFERROR(INDEX(Settings!$D$5:$D$9,MATCH($B523,Settings!$A$5:$A$9,0)),0)*M523)</f>
        <v/>
      </c>
      <c r="W523" s="11">
        <f>IF(J523="","",IF(T523="",0,M523*INDEX(Products!$I$5:$I$204,T523)))</f>
        <v/>
      </c>
      <c r="X523" s="11">
        <f>IF(J523="","",IF(T523="",0,S523*INDEX(Products!$H$5:$H$204,T523)))</f>
        <v/>
      </c>
      <c r="Y523" s="11">
        <f>IF(J523="","",S523-V523-W523-X523)</f>
        <v/>
      </c>
    </row>
    <row r="524">
      <c r="A524" s="19" t="n"/>
      <c r="B524" s="19" t="n"/>
      <c r="C524" s="19" t="n"/>
      <c r="D524" s="19" t="n"/>
      <c r="E524" s="19" t="n"/>
      <c r="F524" s="20" t="n"/>
      <c r="G524" s="20" t="n"/>
      <c r="H524" s="20" t="n"/>
      <c r="I524" s="19" t="n"/>
      <c r="J524">
        <f>IFERROR(IF(C524="","",C524)&amp;"","")</f>
        <v/>
      </c>
      <c r="K524">
        <f>IFERROR(IF(D524="","",D524)&amp;"","")</f>
        <v/>
      </c>
      <c r="L524">
        <f>IFERROR(IF(I524="","",I524)&amp;"","")</f>
        <v/>
      </c>
      <c r="M524">
        <f>IF(J524="","",IFERROR(VALUE(SUBSTITUTE(SUBSTITUTE(IF(E524="","",E524)&amp;"","$",""),",","")),0))</f>
        <v/>
      </c>
      <c r="N524" s="11">
        <f>IF(J524="","",IFERROR(VALUE(SUBSTITUTE(SUBSTITUTE(IF(F524="","",F524)&amp;"","$",""),",","")),0))</f>
        <v/>
      </c>
      <c r="O524" s="11">
        <f>IF(J524="","",M524*N524)</f>
        <v/>
      </c>
      <c r="P524">
        <f>IF(J524="","",IF(L524="",1,COUNTIF($L$2:$L$1501,L524)))</f>
        <v/>
      </c>
      <c r="Q524" s="11">
        <f>IF(J524="","",IFERROR(VALUE(SUBSTITUTE(SUBSTITUTE(IF(G524="","",G524)&amp;"","$",""),",","")),0)/IF("No"="Yes",P524,1))</f>
        <v/>
      </c>
      <c r="R524" s="11">
        <f>IF(J524="","",IFERROR(VALUE(SUBSTITUTE(SUBSTITUTE(IF(H524="","",H524)&amp;"","$",""),",","")),0)/IF("No"="Yes",P524,1))</f>
        <v/>
      </c>
      <c r="S524" s="11">
        <f>IF(J524="","",O524+Q524-R524)</f>
        <v/>
      </c>
      <c r="T524">
        <f>IF(J524="","",IFERROR(IF(K524="",NA(),MATCH(K524,Products!$B$5:$B$204,0)),IFERROR(MATCH(J524,Products!$A$5:$A$204,0),"")))</f>
        <v/>
      </c>
      <c r="U524">
        <f>IF(J524="","",IF(T524="","⚠ not in Products",INDEX(Products!$A$5:$A$204,T524)))</f>
        <v/>
      </c>
      <c r="V524" s="11">
        <f>IF(J524="","",S524*(IFERROR(INDEX(Settings!$B$5:$B$9,MATCH($B524,Settings!$A$5:$A$9,0)),0)+IFERROR(INDEX(Settings!$E$5:$E$9,MATCH($B524,Settings!$A$5:$A$9,0)),0)+IFERROR(INDEX(Settings!$G$5:$G$9,MATCH($B524,Settings!$A$5:$A$9,0)),0))+(IFERROR(INDEX(Settings!$C$5:$C$9,MATCH($B524,Settings!$A$5:$A$9,0)),0)+IFERROR(INDEX(Settings!$F$5:$F$9,MATCH($B524,Settings!$A$5:$A$9,0)),0))/P524+IFERROR(INDEX(Settings!$D$5:$D$9,MATCH($B524,Settings!$A$5:$A$9,0)),0)*M524)</f>
        <v/>
      </c>
      <c r="W524" s="11">
        <f>IF(J524="","",IF(T524="",0,M524*INDEX(Products!$I$5:$I$204,T524)))</f>
        <v/>
      </c>
      <c r="X524" s="11">
        <f>IF(J524="","",IF(T524="",0,S524*INDEX(Products!$H$5:$H$204,T524)))</f>
        <v/>
      </c>
      <c r="Y524" s="11">
        <f>IF(J524="","",S524-V524-W524-X524)</f>
        <v/>
      </c>
    </row>
    <row r="525">
      <c r="A525" s="19" t="n"/>
      <c r="B525" s="19" t="n"/>
      <c r="C525" s="19" t="n"/>
      <c r="D525" s="19" t="n"/>
      <c r="E525" s="19" t="n"/>
      <c r="F525" s="20" t="n"/>
      <c r="G525" s="20" t="n"/>
      <c r="H525" s="20" t="n"/>
      <c r="I525" s="19" t="n"/>
      <c r="J525">
        <f>IFERROR(IF(C525="","",C525)&amp;"","")</f>
        <v/>
      </c>
      <c r="K525">
        <f>IFERROR(IF(D525="","",D525)&amp;"","")</f>
        <v/>
      </c>
      <c r="L525">
        <f>IFERROR(IF(I525="","",I525)&amp;"","")</f>
        <v/>
      </c>
      <c r="M525">
        <f>IF(J525="","",IFERROR(VALUE(SUBSTITUTE(SUBSTITUTE(IF(E525="","",E525)&amp;"","$",""),",","")),0))</f>
        <v/>
      </c>
      <c r="N525" s="11">
        <f>IF(J525="","",IFERROR(VALUE(SUBSTITUTE(SUBSTITUTE(IF(F525="","",F525)&amp;"","$",""),",","")),0))</f>
        <v/>
      </c>
      <c r="O525" s="11">
        <f>IF(J525="","",M525*N525)</f>
        <v/>
      </c>
      <c r="P525">
        <f>IF(J525="","",IF(L525="",1,COUNTIF($L$2:$L$1501,L525)))</f>
        <v/>
      </c>
      <c r="Q525" s="11">
        <f>IF(J525="","",IFERROR(VALUE(SUBSTITUTE(SUBSTITUTE(IF(G525="","",G525)&amp;"","$",""),",","")),0)/IF("No"="Yes",P525,1))</f>
        <v/>
      </c>
      <c r="R525" s="11">
        <f>IF(J525="","",IFERROR(VALUE(SUBSTITUTE(SUBSTITUTE(IF(H525="","",H525)&amp;"","$",""),",","")),0)/IF("No"="Yes",P525,1))</f>
        <v/>
      </c>
      <c r="S525" s="11">
        <f>IF(J525="","",O525+Q525-R525)</f>
        <v/>
      </c>
      <c r="T525">
        <f>IF(J525="","",IFERROR(IF(K525="",NA(),MATCH(K525,Products!$B$5:$B$204,0)),IFERROR(MATCH(J525,Products!$A$5:$A$204,0),"")))</f>
        <v/>
      </c>
      <c r="U525">
        <f>IF(J525="","",IF(T525="","⚠ not in Products",INDEX(Products!$A$5:$A$204,T525)))</f>
        <v/>
      </c>
      <c r="V525" s="11">
        <f>IF(J525="","",S525*(IFERROR(INDEX(Settings!$B$5:$B$9,MATCH($B525,Settings!$A$5:$A$9,0)),0)+IFERROR(INDEX(Settings!$E$5:$E$9,MATCH($B525,Settings!$A$5:$A$9,0)),0)+IFERROR(INDEX(Settings!$G$5:$G$9,MATCH($B525,Settings!$A$5:$A$9,0)),0))+(IFERROR(INDEX(Settings!$C$5:$C$9,MATCH($B525,Settings!$A$5:$A$9,0)),0)+IFERROR(INDEX(Settings!$F$5:$F$9,MATCH($B525,Settings!$A$5:$A$9,0)),0))/P525+IFERROR(INDEX(Settings!$D$5:$D$9,MATCH($B525,Settings!$A$5:$A$9,0)),0)*M525)</f>
        <v/>
      </c>
      <c r="W525" s="11">
        <f>IF(J525="","",IF(T525="",0,M525*INDEX(Products!$I$5:$I$204,T525)))</f>
        <v/>
      </c>
      <c r="X525" s="11">
        <f>IF(J525="","",IF(T525="",0,S525*INDEX(Products!$H$5:$H$204,T525)))</f>
        <v/>
      </c>
      <c r="Y525" s="11">
        <f>IF(J525="","",S525-V525-W525-X525)</f>
        <v/>
      </c>
    </row>
    <row r="526">
      <c r="A526" s="19" t="n"/>
      <c r="B526" s="19" t="n"/>
      <c r="C526" s="19" t="n"/>
      <c r="D526" s="19" t="n"/>
      <c r="E526" s="19" t="n"/>
      <c r="F526" s="20" t="n"/>
      <c r="G526" s="20" t="n"/>
      <c r="H526" s="20" t="n"/>
      <c r="I526" s="19" t="n"/>
      <c r="J526">
        <f>IFERROR(IF(C526="","",C526)&amp;"","")</f>
        <v/>
      </c>
      <c r="K526">
        <f>IFERROR(IF(D526="","",D526)&amp;"","")</f>
        <v/>
      </c>
      <c r="L526">
        <f>IFERROR(IF(I526="","",I526)&amp;"","")</f>
        <v/>
      </c>
      <c r="M526">
        <f>IF(J526="","",IFERROR(VALUE(SUBSTITUTE(SUBSTITUTE(IF(E526="","",E526)&amp;"","$",""),",","")),0))</f>
        <v/>
      </c>
      <c r="N526" s="11">
        <f>IF(J526="","",IFERROR(VALUE(SUBSTITUTE(SUBSTITUTE(IF(F526="","",F526)&amp;"","$",""),",","")),0))</f>
        <v/>
      </c>
      <c r="O526" s="11">
        <f>IF(J526="","",M526*N526)</f>
        <v/>
      </c>
      <c r="P526">
        <f>IF(J526="","",IF(L526="",1,COUNTIF($L$2:$L$1501,L526)))</f>
        <v/>
      </c>
      <c r="Q526" s="11">
        <f>IF(J526="","",IFERROR(VALUE(SUBSTITUTE(SUBSTITUTE(IF(G526="","",G526)&amp;"","$",""),",","")),0)/IF("No"="Yes",P526,1))</f>
        <v/>
      </c>
      <c r="R526" s="11">
        <f>IF(J526="","",IFERROR(VALUE(SUBSTITUTE(SUBSTITUTE(IF(H526="","",H526)&amp;"","$",""),",","")),0)/IF("No"="Yes",P526,1))</f>
        <v/>
      </c>
      <c r="S526" s="11">
        <f>IF(J526="","",O526+Q526-R526)</f>
        <v/>
      </c>
      <c r="T526">
        <f>IF(J526="","",IFERROR(IF(K526="",NA(),MATCH(K526,Products!$B$5:$B$204,0)),IFERROR(MATCH(J526,Products!$A$5:$A$204,0),"")))</f>
        <v/>
      </c>
      <c r="U526">
        <f>IF(J526="","",IF(T526="","⚠ not in Products",INDEX(Products!$A$5:$A$204,T526)))</f>
        <v/>
      </c>
      <c r="V526" s="11">
        <f>IF(J526="","",S526*(IFERROR(INDEX(Settings!$B$5:$B$9,MATCH($B526,Settings!$A$5:$A$9,0)),0)+IFERROR(INDEX(Settings!$E$5:$E$9,MATCH($B526,Settings!$A$5:$A$9,0)),0)+IFERROR(INDEX(Settings!$G$5:$G$9,MATCH($B526,Settings!$A$5:$A$9,0)),0))+(IFERROR(INDEX(Settings!$C$5:$C$9,MATCH($B526,Settings!$A$5:$A$9,0)),0)+IFERROR(INDEX(Settings!$F$5:$F$9,MATCH($B526,Settings!$A$5:$A$9,0)),0))/P526+IFERROR(INDEX(Settings!$D$5:$D$9,MATCH($B526,Settings!$A$5:$A$9,0)),0)*M526)</f>
        <v/>
      </c>
      <c r="W526" s="11">
        <f>IF(J526="","",IF(T526="",0,M526*INDEX(Products!$I$5:$I$204,T526)))</f>
        <v/>
      </c>
      <c r="X526" s="11">
        <f>IF(J526="","",IF(T526="",0,S526*INDEX(Products!$H$5:$H$204,T526)))</f>
        <v/>
      </c>
      <c r="Y526" s="11">
        <f>IF(J526="","",S526-V526-W526-X526)</f>
        <v/>
      </c>
    </row>
    <row r="527">
      <c r="A527" s="19" t="n"/>
      <c r="B527" s="19" t="n"/>
      <c r="C527" s="19" t="n"/>
      <c r="D527" s="19" t="n"/>
      <c r="E527" s="19" t="n"/>
      <c r="F527" s="20" t="n"/>
      <c r="G527" s="20" t="n"/>
      <c r="H527" s="20" t="n"/>
      <c r="I527" s="19" t="n"/>
      <c r="J527">
        <f>IFERROR(IF(C527="","",C527)&amp;"","")</f>
        <v/>
      </c>
      <c r="K527">
        <f>IFERROR(IF(D527="","",D527)&amp;"","")</f>
        <v/>
      </c>
      <c r="L527">
        <f>IFERROR(IF(I527="","",I527)&amp;"","")</f>
        <v/>
      </c>
      <c r="M527">
        <f>IF(J527="","",IFERROR(VALUE(SUBSTITUTE(SUBSTITUTE(IF(E527="","",E527)&amp;"","$",""),",","")),0))</f>
        <v/>
      </c>
      <c r="N527" s="11">
        <f>IF(J527="","",IFERROR(VALUE(SUBSTITUTE(SUBSTITUTE(IF(F527="","",F527)&amp;"","$",""),",","")),0))</f>
        <v/>
      </c>
      <c r="O527" s="11">
        <f>IF(J527="","",M527*N527)</f>
        <v/>
      </c>
      <c r="P527">
        <f>IF(J527="","",IF(L527="",1,COUNTIF($L$2:$L$1501,L527)))</f>
        <v/>
      </c>
      <c r="Q527" s="11">
        <f>IF(J527="","",IFERROR(VALUE(SUBSTITUTE(SUBSTITUTE(IF(G527="","",G527)&amp;"","$",""),",","")),0)/IF("No"="Yes",P527,1))</f>
        <v/>
      </c>
      <c r="R527" s="11">
        <f>IF(J527="","",IFERROR(VALUE(SUBSTITUTE(SUBSTITUTE(IF(H527="","",H527)&amp;"","$",""),",","")),0)/IF("No"="Yes",P527,1))</f>
        <v/>
      </c>
      <c r="S527" s="11">
        <f>IF(J527="","",O527+Q527-R527)</f>
        <v/>
      </c>
      <c r="T527">
        <f>IF(J527="","",IFERROR(IF(K527="",NA(),MATCH(K527,Products!$B$5:$B$204,0)),IFERROR(MATCH(J527,Products!$A$5:$A$204,0),"")))</f>
        <v/>
      </c>
      <c r="U527">
        <f>IF(J527="","",IF(T527="","⚠ not in Products",INDEX(Products!$A$5:$A$204,T527)))</f>
        <v/>
      </c>
      <c r="V527" s="11">
        <f>IF(J527="","",S527*(IFERROR(INDEX(Settings!$B$5:$B$9,MATCH($B527,Settings!$A$5:$A$9,0)),0)+IFERROR(INDEX(Settings!$E$5:$E$9,MATCH($B527,Settings!$A$5:$A$9,0)),0)+IFERROR(INDEX(Settings!$G$5:$G$9,MATCH($B527,Settings!$A$5:$A$9,0)),0))+(IFERROR(INDEX(Settings!$C$5:$C$9,MATCH($B527,Settings!$A$5:$A$9,0)),0)+IFERROR(INDEX(Settings!$F$5:$F$9,MATCH($B527,Settings!$A$5:$A$9,0)),0))/P527+IFERROR(INDEX(Settings!$D$5:$D$9,MATCH($B527,Settings!$A$5:$A$9,0)),0)*M527)</f>
        <v/>
      </c>
      <c r="W527" s="11">
        <f>IF(J527="","",IF(T527="",0,M527*INDEX(Products!$I$5:$I$204,T527)))</f>
        <v/>
      </c>
      <c r="X527" s="11">
        <f>IF(J527="","",IF(T527="",0,S527*INDEX(Products!$H$5:$H$204,T527)))</f>
        <v/>
      </c>
      <c r="Y527" s="11">
        <f>IF(J527="","",S527-V527-W527-X527)</f>
        <v/>
      </c>
    </row>
    <row r="528">
      <c r="A528" s="19" t="n"/>
      <c r="B528" s="19" t="n"/>
      <c r="C528" s="19" t="n"/>
      <c r="D528" s="19" t="n"/>
      <c r="E528" s="19" t="n"/>
      <c r="F528" s="20" t="n"/>
      <c r="G528" s="20" t="n"/>
      <c r="H528" s="20" t="n"/>
      <c r="I528" s="19" t="n"/>
      <c r="J528">
        <f>IFERROR(IF(C528="","",C528)&amp;"","")</f>
        <v/>
      </c>
      <c r="K528">
        <f>IFERROR(IF(D528="","",D528)&amp;"","")</f>
        <v/>
      </c>
      <c r="L528">
        <f>IFERROR(IF(I528="","",I528)&amp;"","")</f>
        <v/>
      </c>
      <c r="M528">
        <f>IF(J528="","",IFERROR(VALUE(SUBSTITUTE(SUBSTITUTE(IF(E528="","",E528)&amp;"","$",""),",","")),0))</f>
        <v/>
      </c>
      <c r="N528" s="11">
        <f>IF(J528="","",IFERROR(VALUE(SUBSTITUTE(SUBSTITUTE(IF(F528="","",F528)&amp;"","$",""),",","")),0))</f>
        <v/>
      </c>
      <c r="O528" s="11">
        <f>IF(J528="","",M528*N528)</f>
        <v/>
      </c>
      <c r="P528">
        <f>IF(J528="","",IF(L528="",1,COUNTIF($L$2:$L$1501,L528)))</f>
        <v/>
      </c>
      <c r="Q528" s="11">
        <f>IF(J528="","",IFERROR(VALUE(SUBSTITUTE(SUBSTITUTE(IF(G528="","",G528)&amp;"","$",""),",","")),0)/IF("No"="Yes",P528,1))</f>
        <v/>
      </c>
      <c r="R528" s="11">
        <f>IF(J528="","",IFERROR(VALUE(SUBSTITUTE(SUBSTITUTE(IF(H528="","",H528)&amp;"","$",""),",","")),0)/IF("No"="Yes",P528,1))</f>
        <v/>
      </c>
      <c r="S528" s="11">
        <f>IF(J528="","",O528+Q528-R528)</f>
        <v/>
      </c>
      <c r="T528">
        <f>IF(J528="","",IFERROR(IF(K528="",NA(),MATCH(K528,Products!$B$5:$B$204,0)),IFERROR(MATCH(J528,Products!$A$5:$A$204,0),"")))</f>
        <v/>
      </c>
      <c r="U528">
        <f>IF(J528="","",IF(T528="","⚠ not in Products",INDEX(Products!$A$5:$A$204,T528)))</f>
        <v/>
      </c>
      <c r="V528" s="11">
        <f>IF(J528="","",S528*(IFERROR(INDEX(Settings!$B$5:$B$9,MATCH($B528,Settings!$A$5:$A$9,0)),0)+IFERROR(INDEX(Settings!$E$5:$E$9,MATCH($B528,Settings!$A$5:$A$9,0)),0)+IFERROR(INDEX(Settings!$G$5:$G$9,MATCH($B528,Settings!$A$5:$A$9,0)),0))+(IFERROR(INDEX(Settings!$C$5:$C$9,MATCH($B528,Settings!$A$5:$A$9,0)),0)+IFERROR(INDEX(Settings!$F$5:$F$9,MATCH($B528,Settings!$A$5:$A$9,0)),0))/P528+IFERROR(INDEX(Settings!$D$5:$D$9,MATCH($B528,Settings!$A$5:$A$9,0)),0)*M528)</f>
        <v/>
      </c>
      <c r="W528" s="11">
        <f>IF(J528="","",IF(T528="",0,M528*INDEX(Products!$I$5:$I$204,T528)))</f>
        <v/>
      </c>
      <c r="X528" s="11">
        <f>IF(J528="","",IF(T528="",0,S528*INDEX(Products!$H$5:$H$204,T528)))</f>
        <v/>
      </c>
      <c r="Y528" s="11">
        <f>IF(J528="","",S528-V528-W528-X528)</f>
        <v/>
      </c>
    </row>
    <row r="529">
      <c r="A529" s="19" t="n"/>
      <c r="B529" s="19" t="n"/>
      <c r="C529" s="19" t="n"/>
      <c r="D529" s="19" t="n"/>
      <c r="E529" s="19" t="n"/>
      <c r="F529" s="20" t="n"/>
      <c r="G529" s="20" t="n"/>
      <c r="H529" s="20" t="n"/>
      <c r="I529" s="19" t="n"/>
      <c r="J529">
        <f>IFERROR(IF(C529="","",C529)&amp;"","")</f>
        <v/>
      </c>
      <c r="K529">
        <f>IFERROR(IF(D529="","",D529)&amp;"","")</f>
        <v/>
      </c>
      <c r="L529">
        <f>IFERROR(IF(I529="","",I529)&amp;"","")</f>
        <v/>
      </c>
      <c r="M529">
        <f>IF(J529="","",IFERROR(VALUE(SUBSTITUTE(SUBSTITUTE(IF(E529="","",E529)&amp;"","$",""),",","")),0))</f>
        <v/>
      </c>
      <c r="N529" s="11">
        <f>IF(J529="","",IFERROR(VALUE(SUBSTITUTE(SUBSTITUTE(IF(F529="","",F529)&amp;"","$",""),",","")),0))</f>
        <v/>
      </c>
      <c r="O529" s="11">
        <f>IF(J529="","",M529*N529)</f>
        <v/>
      </c>
      <c r="P529">
        <f>IF(J529="","",IF(L529="",1,COUNTIF($L$2:$L$1501,L529)))</f>
        <v/>
      </c>
      <c r="Q529" s="11">
        <f>IF(J529="","",IFERROR(VALUE(SUBSTITUTE(SUBSTITUTE(IF(G529="","",G529)&amp;"","$",""),",","")),0)/IF("No"="Yes",P529,1))</f>
        <v/>
      </c>
      <c r="R529" s="11">
        <f>IF(J529="","",IFERROR(VALUE(SUBSTITUTE(SUBSTITUTE(IF(H529="","",H529)&amp;"","$",""),",","")),0)/IF("No"="Yes",P529,1))</f>
        <v/>
      </c>
      <c r="S529" s="11">
        <f>IF(J529="","",O529+Q529-R529)</f>
        <v/>
      </c>
      <c r="T529">
        <f>IF(J529="","",IFERROR(IF(K529="",NA(),MATCH(K529,Products!$B$5:$B$204,0)),IFERROR(MATCH(J529,Products!$A$5:$A$204,0),"")))</f>
        <v/>
      </c>
      <c r="U529">
        <f>IF(J529="","",IF(T529="","⚠ not in Products",INDEX(Products!$A$5:$A$204,T529)))</f>
        <v/>
      </c>
      <c r="V529" s="11">
        <f>IF(J529="","",S529*(IFERROR(INDEX(Settings!$B$5:$B$9,MATCH($B529,Settings!$A$5:$A$9,0)),0)+IFERROR(INDEX(Settings!$E$5:$E$9,MATCH($B529,Settings!$A$5:$A$9,0)),0)+IFERROR(INDEX(Settings!$G$5:$G$9,MATCH($B529,Settings!$A$5:$A$9,0)),0))+(IFERROR(INDEX(Settings!$C$5:$C$9,MATCH($B529,Settings!$A$5:$A$9,0)),0)+IFERROR(INDEX(Settings!$F$5:$F$9,MATCH($B529,Settings!$A$5:$A$9,0)),0))/P529+IFERROR(INDEX(Settings!$D$5:$D$9,MATCH($B529,Settings!$A$5:$A$9,0)),0)*M529)</f>
        <v/>
      </c>
      <c r="W529" s="11">
        <f>IF(J529="","",IF(T529="",0,M529*INDEX(Products!$I$5:$I$204,T529)))</f>
        <v/>
      </c>
      <c r="X529" s="11">
        <f>IF(J529="","",IF(T529="",0,S529*INDEX(Products!$H$5:$H$204,T529)))</f>
        <v/>
      </c>
      <c r="Y529" s="11">
        <f>IF(J529="","",S529-V529-W529-X529)</f>
        <v/>
      </c>
    </row>
    <row r="530">
      <c r="A530" s="19" t="n"/>
      <c r="B530" s="19" t="n"/>
      <c r="C530" s="19" t="n"/>
      <c r="D530" s="19" t="n"/>
      <c r="E530" s="19" t="n"/>
      <c r="F530" s="20" t="n"/>
      <c r="G530" s="20" t="n"/>
      <c r="H530" s="20" t="n"/>
      <c r="I530" s="19" t="n"/>
      <c r="J530">
        <f>IFERROR(IF(C530="","",C530)&amp;"","")</f>
        <v/>
      </c>
      <c r="K530">
        <f>IFERROR(IF(D530="","",D530)&amp;"","")</f>
        <v/>
      </c>
      <c r="L530">
        <f>IFERROR(IF(I530="","",I530)&amp;"","")</f>
        <v/>
      </c>
      <c r="M530">
        <f>IF(J530="","",IFERROR(VALUE(SUBSTITUTE(SUBSTITUTE(IF(E530="","",E530)&amp;"","$",""),",","")),0))</f>
        <v/>
      </c>
      <c r="N530" s="11">
        <f>IF(J530="","",IFERROR(VALUE(SUBSTITUTE(SUBSTITUTE(IF(F530="","",F530)&amp;"","$",""),",","")),0))</f>
        <v/>
      </c>
      <c r="O530" s="11">
        <f>IF(J530="","",M530*N530)</f>
        <v/>
      </c>
      <c r="P530">
        <f>IF(J530="","",IF(L530="",1,COUNTIF($L$2:$L$1501,L530)))</f>
        <v/>
      </c>
      <c r="Q530" s="11">
        <f>IF(J530="","",IFERROR(VALUE(SUBSTITUTE(SUBSTITUTE(IF(G530="","",G530)&amp;"","$",""),",","")),0)/IF("No"="Yes",P530,1))</f>
        <v/>
      </c>
      <c r="R530" s="11">
        <f>IF(J530="","",IFERROR(VALUE(SUBSTITUTE(SUBSTITUTE(IF(H530="","",H530)&amp;"","$",""),",","")),0)/IF("No"="Yes",P530,1))</f>
        <v/>
      </c>
      <c r="S530" s="11">
        <f>IF(J530="","",O530+Q530-R530)</f>
        <v/>
      </c>
      <c r="T530">
        <f>IF(J530="","",IFERROR(IF(K530="",NA(),MATCH(K530,Products!$B$5:$B$204,0)),IFERROR(MATCH(J530,Products!$A$5:$A$204,0),"")))</f>
        <v/>
      </c>
      <c r="U530">
        <f>IF(J530="","",IF(T530="","⚠ not in Products",INDEX(Products!$A$5:$A$204,T530)))</f>
        <v/>
      </c>
      <c r="V530" s="11">
        <f>IF(J530="","",S530*(IFERROR(INDEX(Settings!$B$5:$B$9,MATCH($B530,Settings!$A$5:$A$9,0)),0)+IFERROR(INDEX(Settings!$E$5:$E$9,MATCH($B530,Settings!$A$5:$A$9,0)),0)+IFERROR(INDEX(Settings!$G$5:$G$9,MATCH($B530,Settings!$A$5:$A$9,0)),0))+(IFERROR(INDEX(Settings!$C$5:$C$9,MATCH($B530,Settings!$A$5:$A$9,0)),0)+IFERROR(INDEX(Settings!$F$5:$F$9,MATCH($B530,Settings!$A$5:$A$9,0)),0))/P530+IFERROR(INDEX(Settings!$D$5:$D$9,MATCH($B530,Settings!$A$5:$A$9,0)),0)*M530)</f>
        <v/>
      </c>
      <c r="W530" s="11">
        <f>IF(J530="","",IF(T530="",0,M530*INDEX(Products!$I$5:$I$204,T530)))</f>
        <v/>
      </c>
      <c r="X530" s="11">
        <f>IF(J530="","",IF(T530="",0,S530*INDEX(Products!$H$5:$H$204,T530)))</f>
        <v/>
      </c>
      <c r="Y530" s="11">
        <f>IF(J530="","",S530-V530-W530-X530)</f>
        <v/>
      </c>
    </row>
    <row r="531">
      <c r="A531" s="19" t="n"/>
      <c r="B531" s="19" t="n"/>
      <c r="C531" s="19" t="n"/>
      <c r="D531" s="19" t="n"/>
      <c r="E531" s="19" t="n"/>
      <c r="F531" s="20" t="n"/>
      <c r="G531" s="20" t="n"/>
      <c r="H531" s="20" t="n"/>
      <c r="I531" s="19" t="n"/>
      <c r="J531">
        <f>IFERROR(IF(C531="","",C531)&amp;"","")</f>
        <v/>
      </c>
      <c r="K531">
        <f>IFERROR(IF(D531="","",D531)&amp;"","")</f>
        <v/>
      </c>
      <c r="L531">
        <f>IFERROR(IF(I531="","",I531)&amp;"","")</f>
        <v/>
      </c>
      <c r="M531">
        <f>IF(J531="","",IFERROR(VALUE(SUBSTITUTE(SUBSTITUTE(IF(E531="","",E531)&amp;"","$",""),",","")),0))</f>
        <v/>
      </c>
      <c r="N531" s="11">
        <f>IF(J531="","",IFERROR(VALUE(SUBSTITUTE(SUBSTITUTE(IF(F531="","",F531)&amp;"","$",""),",","")),0))</f>
        <v/>
      </c>
      <c r="O531" s="11">
        <f>IF(J531="","",M531*N531)</f>
        <v/>
      </c>
      <c r="P531">
        <f>IF(J531="","",IF(L531="",1,COUNTIF($L$2:$L$1501,L531)))</f>
        <v/>
      </c>
      <c r="Q531" s="11">
        <f>IF(J531="","",IFERROR(VALUE(SUBSTITUTE(SUBSTITUTE(IF(G531="","",G531)&amp;"","$",""),",","")),0)/IF("No"="Yes",P531,1))</f>
        <v/>
      </c>
      <c r="R531" s="11">
        <f>IF(J531="","",IFERROR(VALUE(SUBSTITUTE(SUBSTITUTE(IF(H531="","",H531)&amp;"","$",""),",","")),0)/IF("No"="Yes",P531,1))</f>
        <v/>
      </c>
      <c r="S531" s="11">
        <f>IF(J531="","",O531+Q531-R531)</f>
        <v/>
      </c>
      <c r="T531">
        <f>IF(J531="","",IFERROR(IF(K531="",NA(),MATCH(K531,Products!$B$5:$B$204,0)),IFERROR(MATCH(J531,Products!$A$5:$A$204,0),"")))</f>
        <v/>
      </c>
      <c r="U531">
        <f>IF(J531="","",IF(T531="","⚠ not in Products",INDEX(Products!$A$5:$A$204,T531)))</f>
        <v/>
      </c>
      <c r="V531" s="11">
        <f>IF(J531="","",S531*(IFERROR(INDEX(Settings!$B$5:$B$9,MATCH($B531,Settings!$A$5:$A$9,0)),0)+IFERROR(INDEX(Settings!$E$5:$E$9,MATCH($B531,Settings!$A$5:$A$9,0)),0)+IFERROR(INDEX(Settings!$G$5:$G$9,MATCH($B531,Settings!$A$5:$A$9,0)),0))+(IFERROR(INDEX(Settings!$C$5:$C$9,MATCH($B531,Settings!$A$5:$A$9,0)),0)+IFERROR(INDEX(Settings!$F$5:$F$9,MATCH($B531,Settings!$A$5:$A$9,0)),0))/P531+IFERROR(INDEX(Settings!$D$5:$D$9,MATCH($B531,Settings!$A$5:$A$9,0)),0)*M531)</f>
        <v/>
      </c>
      <c r="W531" s="11">
        <f>IF(J531="","",IF(T531="",0,M531*INDEX(Products!$I$5:$I$204,T531)))</f>
        <v/>
      </c>
      <c r="X531" s="11">
        <f>IF(J531="","",IF(T531="",0,S531*INDEX(Products!$H$5:$H$204,T531)))</f>
        <v/>
      </c>
      <c r="Y531" s="11">
        <f>IF(J531="","",S531-V531-W531-X531)</f>
        <v/>
      </c>
    </row>
    <row r="532">
      <c r="A532" s="19" t="n"/>
      <c r="B532" s="19" t="n"/>
      <c r="C532" s="19" t="n"/>
      <c r="D532" s="19" t="n"/>
      <c r="E532" s="19" t="n"/>
      <c r="F532" s="20" t="n"/>
      <c r="G532" s="20" t="n"/>
      <c r="H532" s="20" t="n"/>
      <c r="I532" s="19" t="n"/>
      <c r="J532">
        <f>IFERROR(IF(C532="","",C532)&amp;"","")</f>
        <v/>
      </c>
      <c r="K532">
        <f>IFERROR(IF(D532="","",D532)&amp;"","")</f>
        <v/>
      </c>
      <c r="L532">
        <f>IFERROR(IF(I532="","",I532)&amp;"","")</f>
        <v/>
      </c>
      <c r="M532">
        <f>IF(J532="","",IFERROR(VALUE(SUBSTITUTE(SUBSTITUTE(IF(E532="","",E532)&amp;"","$",""),",","")),0))</f>
        <v/>
      </c>
      <c r="N532" s="11">
        <f>IF(J532="","",IFERROR(VALUE(SUBSTITUTE(SUBSTITUTE(IF(F532="","",F532)&amp;"","$",""),",","")),0))</f>
        <v/>
      </c>
      <c r="O532" s="11">
        <f>IF(J532="","",M532*N532)</f>
        <v/>
      </c>
      <c r="P532">
        <f>IF(J532="","",IF(L532="",1,COUNTIF($L$2:$L$1501,L532)))</f>
        <v/>
      </c>
      <c r="Q532" s="11">
        <f>IF(J532="","",IFERROR(VALUE(SUBSTITUTE(SUBSTITUTE(IF(G532="","",G532)&amp;"","$",""),",","")),0)/IF("No"="Yes",P532,1))</f>
        <v/>
      </c>
      <c r="R532" s="11">
        <f>IF(J532="","",IFERROR(VALUE(SUBSTITUTE(SUBSTITUTE(IF(H532="","",H532)&amp;"","$",""),",","")),0)/IF("No"="Yes",P532,1))</f>
        <v/>
      </c>
      <c r="S532" s="11">
        <f>IF(J532="","",O532+Q532-R532)</f>
        <v/>
      </c>
      <c r="T532">
        <f>IF(J532="","",IFERROR(IF(K532="",NA(),MATCH(K532,Products!$B$5:$B$204,0)),IFERROR(MATCH(J532,Products!$A$5:$A$204,0),"")))</f>
        <v/>
      </c>
      <c r="U532">
        <f>IF(J532="","",IF(T532="","⚠ not in Products",INDEX(Products!$A$5:$A$204,T532)))</f>
        <v/>
      </c>
      <c r="V532" s="11">
        <f>IF(J532="","",S532*(IFERROR(INDEX(Settings!$B$5:$B$9,MATCH($B532,Settings!$A$5:$A$9,0)),0)+IFERROR(INDEX(Settings!$E$5:$E$9,MATCH($B532,Settings!$A$5:$A$9,0)),0)+IFERROR(INDEX(Settings!$G$5:$G$9,MATCH($B532,Settings!$A$5:$A$9,0)),0))+(IFERROR(INDEX(Settings!$C$5:$C$9,MATCH($B532,Settings!$A$5:$A$9,0)),0)+IFERROR(INDEX(Settings!$F$5:$F$9,MATCH($B532,Settings!$A$5:$A$9,0)),0))/P532+IFERROR(INDEX(Settings!$D$5:$D$9,MATCH($B532,Settings!$A$5:$A$9,0)),0)*M532)</f>
        <v/>
      </c>
      <c r="W532" s="11">
        <f>IF(J532="","",IF(T532="",0,M532*INDEX(Products!$I$5:$I$204,T532)))</f>
        <v/>
      </c>
      <c r="X532" s="11">
        <f>IF(J532="","",IF(T532="",0,S532*INDEX(Products!$H$5:$H$204,T532)))</f>
        <v/>
      </c>
      <c r="Y532" s="11">
        <f>IF(J532="","",S532-V532-W532-X532)</f>
        <v/>
      </c>
    </row>
    <row r="533">
      <c r="A533" s="19" t="n"/>
      <c r="B533" s="19" t="n"/>
      <c r="C533" s="19" t="n"/>
      <c r="D533" s="19" t="n"/>
      <c r="E533" s="19" t="n"/>
      <c r="F533" s="20" t="n"/>
      <c r="G533" s="20" t="n"/>
      <c r="H533" s="20" t="n"/>
      <c r="I533" s="19" t="n"/>
      <c r="J533">
        <f>IFERROR(IF(C533="","",C533)&amp;"","")</f>
        <v/>
      </c>
      <c r="K533">
        <f>IFERROR(IF(D533="","",D533)&amp;"","")</f>
        <v/>
      </c>
      <c r="L533">
        <f>IFERROR(IF(I533="","",I533)&amp;"","")</f>
        <v/>
      </c>
      <c r="M533">
        <f>IF(J533="","",IFERROR(VALUE(SUBSTITUTE(SUBSTITUTE(IF(E533="","",E533)&amp;"","$",""),",","")),0))</f>
        <v/>
      </c>
      <c r="N533" s="11">
        <f>IF(J533="","",IFERROR(VALUE(SUBSTITUTE(SUBSTITUTE(IF(F533="","",F533)&amp;"","$",""),",","")),0))</f>
        <v/>
      </c>
      <c r="O533" s="11">
        <f>IF(J533="","",M533*N533)</f>
        <v/>
      </c>
      <c r="P533">
        <f>IF(J533="","",IF(L533="",1,COUNTIF($L$2:$L$1501,L533)))</f>
        <v/>
      </c>
      <c r="Q533" s="11">
        <f>IF(J533="","",IFERROR(VALUE(SUBSTITUTE(SUBSTITUTE(IF(G533="","",G533)&amp;"","$",""),",","")),0)/IF("No"="Yes",P533,1))</f>
        <v/>
      </c>
      <c r="R533" s="11">
        <f>IF(J533="","",IFERROR(VALUE(SUBSTITUTE(SUBSTITUTE(IF(H533="","",H533)&amp;"","$",""),",","")),0)/IF("No"="Yes",P533,1))</f>
        <v/>
      </c>
      <c r="S533" s="11">
        <f>IF(J533="","",O533+Q533-R533)</f>
        <v/>
      </c>
      <c r="T533">
        <f>IF(J533="","",IFERROR(IF(K533="",NA(),MATCH(K533,Products!$B$5:$B$204,0)),IFERROR(MATCH(J533,Products!$A$5:$A$204,0),"")))</f>
        <v/>
      </c>
      <c r="U533">
        <f>IF(J533="","",IF(T533="","⚠ not in Products",INDEX(Products!$A$5:$A$204,T533)))</f>
        <v/>
      </c>
      <c r="V533" s="11">
        <f>IF(J533="","",S533*(IFERROR(INDEX(Settings!$B$5:$B$9,MATCH($B533,Settings!$A$5:$A$9,0)),0)+IFERROR(INDEX(Settings!$E$5:$E$9,MATCH($B533,Settings!$A$5:$A$9,0)),0)+IFERROR(INDEX(Settings!$G$5:$G$9,MATCH($B533,Settings!$A$5:$A$9,0)),0))+(IFERROR(INDEX(Settings!$C$5:$C$9,MATCH($B533,Settings!$A$5:$A$9,0)),0)+IFERROR(INDEX(Settings!$F$5:$F$9,MATCH($B533,Settings!$A$5:$A$9,0)),0))/P533+IFERROR(INDEX(Settings!$D$5:$D$9,MATCH($B533,Settings!$A$5:$A$9,0)),0)*M533)</f>
        <v/>
      </c>
      <c r="W533" s="11">
        <f>IF(J533="","",IF(T533="",0,M533*INDEX(Products!$I$5:$I$204,T533)))</f>
        <v/>
      </c>
      <c r="X533" s="11">
        <f>IF(J533="","",IF(T533="",0,S533*INDEX(Products!$H$5:$H$204,T533)))</f>
        <v/>
      </c>
      <c r="Y533" s="11">
        <f>IF(J533="","",S533-V533-W533-X533)</f>
        <v/>
      </c>
    </row>
    <row r="534">
      <c r="A534" s="19" t="n"/>
      <c r="B534" s="19" t="n"/>
      <c r="C534" s="19" t="n"/>
      <c r="D534" s="19" t="n"/>
      <c r="E534" s="19" t="n"/>
      <c r="F534" s="20" t="n"/>
      <c r="G534" s="20" t="n"/>
      <c r="H534" s="20" t="n"/>
      <c r="I534" s="19" t="n"/>
      <c r="J534">
        <f>IFERROR(IF(C534="","",C534)&amp;"","")</f>
        <v/>
      </c>
      <c r="K534">
        <f>IFERROR(IF(D534="","",D534)&amp;"","")</f>
        <v/>
      </c>
      <c r="L534">
        <f>IFERROR(IF(I534="","",I534)&amp;"","")</f>
        <v/>
      </c>
      <c r="M534">
        <f>IF(J534="","",IFERROR(VALUE(SUBSTITUTE(SUBSTITUTE(IF(E534="","",E534)&amp;"","$",""),",","")),0))</f>
        <v/>
      </c>
      <c r="N534" s="11">
        <f>IF(J534="","",IFERROR(VALUE(SUBSTITUTE(SUBSTITUTE(IF(F534="","",F534)&amp;"","$",""),",","")),0))</f>
        <v/>
      </c>
      <c r="O534" s="11">
        <f>IF(J534="","",M534*N534)</f>
        <v/>
      </c>
      <c r="P534">
        <f>IF(J534="","",IF(L534="",1,COUNTIF($L$2:$L$1501,L534)))</f>
        <v/>
      </c>
      <c r="Q534" s="11">
        <f>IF(J534="","",IFERROR(VALUE(SUBSTITUTE(SUBSTITUTE(IF(G534="","",G534)&amp;"","$",""),",","")),0)/IF("No"="Yes",P534,1))</f>
        <v/>
      </c>
      <c r="R534" s="11">
        <f>IF(J534="","",IFERROR(VALUE(SUBSTITUTE(SUBSTITUTE(IF(H534="","",H534)&amp;"","$",""),",","")),0)/IF("No"="Yes",P534,1))</f>
        <v/>
      </c>
      <c r="S534" s="11">
        <f>IF(J534="","",O534+Q534-R534)</f>
        <v/>
      </c>
      <c r="T534">
        <f>IF(J534="","",IFERROR(IF(K534="",NA(),MATCH(K534,Products!$B$5:$B$204,0)),IFERROR(MATCH(J534,Products!$A$5:$A$204,0),"")))</f>
        <v/>
      </c>
      <c r="U534">
        <f>IF(J534="","",IF(T534="","⚠ not in Products",INDEX(Products!$A$5:$A$204,T534)))</f>
        <v/>
      </c>
      <c r="V534" s="11">
        <f>IF(J534="","",S534*(IFERROR(INDEX(Settings!$B$5:$B$9,MATCH($B534,Settings!$A$5:$A$9,0)),0)+IFERROR(INDEX(Settings!$E$5:$E$9,MATCH($B534,Settings!$A$5:$A$9,0)),0)+IFERROR(INDEX(Settings!$G$5:$G$9,MATCH($B534,Settings!$A$5:$A$9,0)),0))+(IFERROR(INDEX(Settings!$C$5:$C$9,MATCH($B534,Settings!$A$5:$A$9,0)),0)+IFERROR(INDEX(Settings!$F$5:$F$9,MATCH($B534,Settings!$A$5:$A$9,0)),0))/P534+IFERROR(INDEX(Settings!$D$5:$D$9,MATCH($B534,Settings!$A$5:$A$9,0)),0)*M534)</f>
        <v/>
      </c>
      <c r="W534" s="11">
        <f>IF(J534="","",IF(T534="",0,M534*INDEX(Products!$I$5:$I$204,T534)))</f>
        <v/>
      </c>
      <c r="X534" s="11">
        <f>IF(J534="","",IF(T534="",0,S534*INDEX(Products!$H$5:$H$204,T534)))</f>
        <v/>
      </c>
      <c r="Y534" s="11">
        <f>IF(J534="","",S534-V534-W534-X534)</f>
        <v/>
      </c>
    </row>
    <row r="535">
      <c r="A535" s="19" t="n"/>
      <c r="B535" s="19" t="n"/>
      <c r="C535" s="19" t="n"/>
      <c r="D535" s="19" t="n"/>
      <c r="E535" s="19" t="n"/>
      <c r="F535" s="20" t="n"/>
      <c r="G535" s="20" t="n"/>
      <c r="H535" s="20" t="n"/>
      <c r="I535" s="19" t="n"/>
      <c r="J535">
        <f>IFERROR(IF(C535="","",C535)&amp;"","")</f>
        <v/>
      </c>
      <c r="K535">
        <f>IFERROR(IF(D535="","",D535)&amp;"","")</f>
        <v/>
      </c>
      <c r="L535">
        <f>IFERROR(IF(I535="","",I535)&amp;"","")</f>
        <v/>
      </c>
      <c r="M535">
        <f>IF(J535="","",IFERROR(VALUE(SUBSTITUTE(SUBSTITUTE(IF(E535="","",E535)&amp;"","$",""),",","")),0))</f>
        <v/>
      </c>
      <c r="N535" s="11">
        <f>IF(J535="","",IFERROR(VALUE(SUBSTITUTE(SUBSTITUTE(IF(F535="","",F535)&amp;"","$",""),",","")),0))</f>
        <v/>
      </c>
      <c r="O535" s="11">
        <f>IF(J535="","",M535*N535)</f>
        <v/>
      </c>
      <c r="P535">
        <f>IF(J535="","",IF(L535="",1,COUNTIF($L$2:$L$1501,L535)))</f>
        <v/>
      </c>
      <c r="Q535" s="11">
        <f>IF(J535="","",IFERROR(VALUE(SUBSTITUTE(SUBSTITUTE(IF(G535="","",G535)&amp;"","$",""),",","")),0)/IF("No"="Yes",P535,1))</f>
        <v/>
      </c>
      <c r="R535" s="11">
        <f>IF(J535="","",IFERROR(VALUE(SUBSTITUTE(SUBSTITUTE(IF(H535="","",H535)&amp;"","$",""),",","")),0)/IF("No"="Yes",P535,1))</f>
        <v/>
      </c>
      <c r="S535" s="11">
        <f>IF(J535="","",O535+Q535-R535)</f>
        <v/>
      </c>
      <c r="T535">
        <f>IF(J535="","",IFERROR(IF(K535="",NA(),MATCH(K535,Products!$B$5:$B$204,0)),IFERROR(MATCH(J535,Products!$A$5:$A$204,0),"")))</f>
        <v/>
      </c>
      <c r="U535">
        <f>IF(J535="","",IF(T535="","⚠ not in Products",INDEX(Products!$A$5:$A$204,T535)))</f>
        <v/>
      </c>
      <c r="V535" s="11">
        <f>IF(J535="","",S535*(IFERROR(INDEX(Settings!$B$5:$B$9,MATCH($B535,Settings!$A$5:$A$9,0)),0)+IFERROR(INDEX(Settings!$E$5:$E$9,MATCH($B535,Settings!$A$5:$A$9,0)),0)+IFERROR(INDEX(Settings!$G$5:$G$9,MATCH($B535,Settings!$A$5:$A$9,0)),0))+(IFERROR(INDEX(Settings!$C$5:$C$9,MATCH($B535,Settings!$A$5:$A$9,0)),0)+IFERROR(INDEX(Settings!$F$5:$F$9,MATCH($B535,Settings!$A$5:$A$9,0)),0))/P535+IFERROR(INDEX(Settings!$D$5:$D$9,MATCH($B535,Settings!$A$5:$A$9,0)),0)*M535)</f>
        <v/>
      </c>
      <c r="W535" s="11">
        <f>IF(J535="","",IF(T535="",0,M535*INDEX(Products!$I$5:$I$204,T535)))</f>
        <v/>
      </c>
      <c r="X535" s="11">
        <f>IF(J535="","",IF(T535="",0,S535*INDEX(Products!$H$5:$H$204,T535)))</f>
        <v/>
      </c>
      <c r="Y535" s="11">
        <f>IF(J535="","",S535-V535-W535-X535)</f>
        <v/>
      </c>
    </row>
    <row r="536">
      <c r="A536" s="19" t="n"/>
      <c r="B536" s="19" t="n"/>
      <c r="C536" s="19" t="n"/>
      <c r="D536" s="19" t="n"/>
      <c r="E536" s="19" t="n"/>
      <c r="F536" s="20" t="n"/>
      <c r="G536" s="20" t="n"/>
      <c r="H536" s="20" t="n"/>
      <c r="I536" s="19" t="n"/>
      <c r="J536">
        <f>IFERROR(IF(C536="","",C536)&amp;"","")</f>
        <v/>
      </c>
      <c r="K536">
        <f>IFERROR(IF(D536="","",D536)&amp;"","")</f>
        <v/>
      </c>
      <c r="L536">
        <f>IFERROR(IF(I536="","",I536)&amp;"","")</f>
        <v/>
      </c>
      <c r="M536">
        <f>IF(J536="","",IFERROR(VALUE(SUBSTITUTE(SUBSTITUTE(IF(E536="","",E536)&amp;"","$",""),",","")),0))</f>
        <v/>
      </c>
      <c r="N536" s="11">
        <f>IF(J536="","",IFERROR(VALUE(SUBSTITUTE(SUBSTITUTE(IF(F536="","",F536)&amp;"","$",""),",","")),0))</f>
        <v/>
      </c>
      <c r="O536" s="11">
        <f>IF(J536="","",M536*N536)</f>
        <v/>
      </c>
      <c r="P536">
        <f>IF(J536="","",IF(L536="",1,COUNTIF($L$2:$L$1501,L536)))</f>
        <v/>
      </c>
      <c r="Q536" s="11">
        <f>IF(J536="","",IFERROR(VALUE(SUBSTITUTE(SUBSTITUTE(IF(G536="","",G536)&amp;"","$",""),",","")),0)/IF("No"="Yes",P536,1))</f>
        <v/>
      </c>
      <c r="R536" s="11">
        <f>IF(J536="","",IFERROR(VALUE(SUBSTITUTE(SUBSTITUTE(IF(H536="","",H536)&amp;"","$",""),",","")),0)/IF("No"="Yes",P536,1))</f>
        <v/>
      </c>
      <c r="S536" s="11">
        <f>IF(J536="","",O536+Q536-R536)</f>
        <v/>
      </c>
      <c r="T536">
        <f>IF(J536="","",IFERROR(IF(K536="",NA(),MATCH(K536,Products!$B$5:$B$204,0)),IFERROR(MATCH(J536,Products!$A$5:$A$204,0),"")))</f>
        <v/>
      </c>
      <c r="U536">
        <f>IF(J536="","",IF(T536="","⚠ not in Products",INDEX(Products!$A$5:$A$204,T536)))</f>
        <v/>
      </c>
      <c r="V536" s="11">
        <f>IF(J536="","",S536*(IFERROR(INDEX(Settings!$B$5:$B$9,MATCH($B536,Settings!$A$5:$A$9,0)),0)+IFERROR(INDEX(Settings!$E$5:$E$9,MATCH($B536,Settings!$A$5:$A$9,0)),0)+IFERROR(INDEX(Settings!$G$5:$G$9,MATCH($B536,Settings!$A$5:$A$9,0)),0))+(IFERROR(INDEX(Settings!$C$5:$C$9,MATCH($B536,Settings!$A$5:$A$9,0)),0)+IFERROR(INDEX(Settings!$F$5:$F$9,MATCH($B536,Settings!$A$5:$A$9,0)),0))/P536+IFERROR(INDEX(Settings!$D$5:$D$9,MATCH($B536,Settings!$A$5:$A$9,0)),0)*M536)</f>
        <v/>
      </c>
      <c r="W536" s="11">
        <f>IF(J536="","",IF(T536="",0,M536*INDEX(Products!$I$5:$I$204,T536)))</f>
        <v/>
      </c>
      <c r="X536" s="11">
        <f>IF(J536="","",IF(T536="",0,S536*INDEX(Products!$H$5:$H$204,T536)))</f>
        <v/>
      </c>
      <c r="Y536" s="11">
        <f>IF(J536="","",S536-V536-W536-X536)</f>
        <v/>
      </c>
    </row>
    <row r="537">
      <c r="A537" s="19" t="n"/>
      <c r="B537" s="19" t="n"/>
      <c r="C537" s="19" t="n"/>
      <c r="D537" s="19" t="n"/>
      <c r="E537" s="19" t="n"/>
      <c r="F537" s="20" t="n"/>
      <c r="G537" s="20" t="n"/>
      <c r="H537" s="20" t="n"/>
      <c r="I537" s="19" t="n"/>
      <c r="J537">
        <f>IFERROR(IF(C537="","",C537)&amp;"","")</f>
        <v/>
      </c>
      <c r="K537">
        <f>IFERROR(IF(D537="","",D537)&amp;"","")</f>
        <v/>
      </c>
      <c r="L537">
        <f>IFERROR(IF(I537="","",I537)&amp;"","")</f>
        <v/>
      </c>
      <c r="M537">
        <f>IF(J537="","",IFERROR(VALUE(SUBSTITUTE(SUBSTITUTE(IF(E537="","",E537)&amp;"","$",""),",","")),0))</f>
        <v/>
      </c>
      <c r="N537" s="11">
        <f>IF(J537="","",IFERROR(VALUE(SUBSTITUTE(SUBSTITUTE(IF(F537="","",F537)&amp;"","$",""),",","")),0))</f>
        <v/>
      </c>
      <c r="O537" s="11">
        <f>IF(J537="","",M537*N537)</f>
        <v/>
      </c>
      <c r="P537">
        <f>IF(J537="","",IF(L537="",1,COUNTIF($L$2:$L$1501,L537)))</f>
        <v/>
      </c>
      <c r="Q537" s="11">
        <f>IF(J537="","",IFERROR(VALUE(SUBSTITUTE(SUBSTITUTE(IF(G537="","",G537)&amp;"","$",""),",","")),0)/IF("No"="Yes",P537,1))</f>
        <v/>
      </c>
      <c r="R537" s="11">
        <f>IF(J537="","",IFERROR(VALUE(SUBSTITUTE(SUBSTITUTE(IF(H537="","",H537)&amp;"","$",""),",","")),0)/IF("No"="Yes",P537,1))</f>
        <v/>
      </c>
      <c r="S537" s="11">
        <f>IF(J537="","",O537+Q537-R537)</f>
        <v/>
      </c>
      <c r="T537">
        <f>IF(J537="","",IFERROR(IF(K537="",NA(),MATCH(K537,Products!$B$5:$B$204,0)),IFERROR(MATCH(J537,Products!$A$5:$A$204,0),"")))</f>
        <v/>
      </c>
      <c r="U537">
        <f>IF(J537="","",IF(T537="","⚠ not in Products",INDEX(Products!$A$5:$A$204,T537)))</f>
        <v/>
      </c>
      <c r="V537" s="11">
        <f>IF(J537="","",S537*(IFERROR(INDEX(Settings!$B$5:$B$9,MATCH($B537,Settings!$A$5:$A$9,0)),0)+IFERROR(INDEX(Settings!$E$5:$E$9,MATCH($B537,Settings!$A$5:$A$9,0)),0)+IFERROR(INDEX(Settings!$G$5:$G$9,MATCH($B537,Settings!$A$5:$A$9,0)),0))+(IFERROR(INDEX(Settings!$C$5:$C$9,MATCH($B537,Settings!$A$5:$A$9,0)),0)+IFERROR(INDEX(Settings!$F$5:$F$9,MATCH($B537,Settings!$A$5:$A$9,0)),0))/P537+IFERROR(INDEX(Settings!$D$5:$D$9,MATCH($B537,Settings!$A$5:$A$9,0)),0)*M537)</f>
        <v/>
      </c>
      <c r="W537" s="11">
        <f>IF(J537="","",IF(T537="",0,M537*INDEX(Products!$I$5:$I$204,T537)))</f>
        <v/>
      </c>
      <c r="X537" s="11">
        <f>IF(J537="","",IF(T537="",0,S537*INDEX(Products!$H$5:$H$204,T537)))</f>
        <v/>
      </c>
      <c r="Y537" s="11">
        <f>IF(J537="","",S537-V537-W537-X537)</f>
        <v/>
      </c>
    </row>
    <row r="538">
      <c r="A538" s="19" t="n"/>
      <c r="B538" s="19" t="n"/>
      <c r="C538" s="19" t="n"/>
      <c r="D538" s="19" t="n"/>
      <c r="E538" s="19" t="n"/>
      <c r="F538" s="20" t="n"/>
      <c r="G538" s="20" t="n"/>
      <c r="H538" s="20" t="n"/>
      <c r="I538" s="19" t="n"/>
      <c r="J538">
        <f>IFERROR(IF(C538="","",C538)&amp;"","")</f>
        <v/>
      </c>
      <c r="K538">
        <f>IFERROR(IF(D538="","",D538)&amp;"","")</f>
        <v/>
      </c>
      <c r="L538">
        <f>IFERROR(IF(I538="","",I538)&amp;"","")</f>
        <v/>
      </c>
      <c r="M538">
        <f>IF(J538="","",IFERROR(VALUE(SUBSTITUTE(SUBSTITUTE(IF(E538="","",E538)&amp;"","$",""),",","")),0))</f>
        <v/>
      </c>
      <c r="N538" s="11">
        <f>IF(J538="","",IFERROR(VALUE(SUBSTITUTE(SUBSTITUTE(IF(F538="","",F538)&amp;"","$",""),",","")),0))</f>
        <v/>
      </c>
      <c r="O538" s="11">
        <f>IF(J538="","",M538*N538)</f>
        <v/>
      </c>
      <c r="P538">
        <f>IF(J538="","",IF(L538="",1,COUNTIF($L$2:$L$1501,L538)))</f>
        <v/>
      </c>
      <c r="Q538" s="11">
        <f>IF(J538="","",IFERROR(VALUE(SUBSTITUTE(SUBSTITUTE(IF(G538="","",G538)&amp;"","$",""),",","")),0)/IF("No"="Yes",P538,1))</f>
        <v/>
      </c>
      <c r="R538" s="11">
        <f>IF(J538="","",IFERROR(VALUE(SUBSTITUTE(SUBSTITUTE(IF(H538="","",H538)&amp;"","$",""),",","")),0)/IF("No"="Yes",P538,1))</f>
        <v/>
      </c>
      <c r="S538" s="11">
        <f>IF(J538="","",O538+Q538-R538)</f>
        <v/>
      </c>
      <c r="T538">
        <f>IF(J538="","",IFERROR(IF(K538="",NA(),MATCH(K538,Products!$B$5:$B$204,0)),IFERROR(MATCH(J538,Products!$A$5:$A$204,0),"")))</f>
        <v/>
      </c>
      <c r="U538">
        <f>IF(J538="","",IF(T538="","⚠ not in Products",INDEX(Products!$A$5:$A$204,T538)))</f>
        <v/>
      </c>
      <c r="V538" s="11">
        <f>IF(J538="","",S538*(IFERROR(INDEX(Settings!$B$5:$B$9,MATCH($B538,Settings!$A$5:$A$9,0)),0)+IFERROR(INDEX(Settings!$E$5:$E$9,MATCH($B538,Settings!$A$5:$A$9,0)),0)+IFERROR(INDEX(Settings!$G$5:$G$9,MATCH($B538,Settings!$A$5:$A$9,0)),0))+(IFERROR(INDEX(Settings!$C$5:$C$9,MATCH($B538,Settings!$A$5:$A$9,0)),0)+IFERROR(INDEX(Settings!$F$5:$F$9,MATCH($B538,Settings!$A$5:$A$9,0)),0))/P538+IFERROR(INDEX(Settings!$D$5:$D$9,MATCH($B538,Settings!$A$5:$A$9,0)),0)*M538)</f>
        <v/>
      </c>
      <c r="W538" s="11">
        <f>IF(J538="","",IF(T538="",0,M538*INDEX(Products!$I$5:$I$204,T538)))</f>
        <v/>
      </c>
      <c r="X538" s="11">
        <f>IF(J538="","",IF(T538="",0,S538*INDEX(Products!$H$5:$H$204,T538)))</f>
        <v/>
      </c>
      <c r="Y538" s="11">
        <f>IF(J538="","",S538-V538-W538-X538)</f>
        <v/>
      </c>
    </row>
    <row r="539">
      <c r="A539" s="19" t="n"/>
      <c r="B539" s="19" t="n"/>
      <c r="C539" s="19" t="n"/>
      <c r="D539" s="19" t="n"/>
      <c r="E539" s="19" t="n"/>
      <c r="F539" s="20" t="n"/>
      <c r="G539" s="20" t="n"/>
      <c r="H539" s="20" t="n"/>
      <c r="I539" s="19" t="n"/>
      <c r="J539">
        <f>IFERROR(IF(C539="","",C539)&amp;"","")</f>
        <v/>
      </c>
      <c r="K539">
        <f>IFERROR(IF(D539="","",D539)&amp;"","")</f>
        <v/>
      </c>
      <c r="L539">
        <f>IFERROR(IF(I539="","",I539)&amp;"","")</f>
        <v/>
      </c>
      <c r="M539">
        <f>IF(J539="","",IFERROR(VALUE(SUBSTITUTE(SUBSTITUTE(IF(E539="","",E539)&amp;"","$",""),",","")),0))</f>
        <v/>
      </c>
      <c r="N539" s="11">
        <f>IF(J539="","",IFERROR(VALUE(SUBSTITUTE(SUBSTITUTE(IF(F539="","",F539)&amp;"","$",""),",","")),0))</f>
        <v/>
      </c>
      <c r="O539" s="11">
        <f>IF(J539="","",M539*N539)</f>
        <v/>
      </c>
      <c r="P539">
        <f>IF(J539="","",IF(L539="",1,COUNTIF($L$2:$L$1501,L539)))</f>
        <v/>
      </c>
      <c r="Q539" s="11">
        <f>IF(J539="","",IFERROR(VALUE(SUBSTITUTE(SUBSTITUTE(IF(G539="","",G539)&amp;"","$",""),",","")),0)/IF("No"="Yes",P539,1))</f>
        <v/>
      </c>
      <c r="R539" s="11">
        <f>IF(J539="","",IFERROR(VALUE(SUBSTITUTE(SUBSTITUTE(IF(H539="","",H539)&amp;"","$",""),",","")),0)/IF("No"="Yes",P539,1))</f>
        <v/>
      </c>
      <c r="S539" s="11">
        <f>IF(J539="","",O539+Q539-R539)</f>
        <v/>
      </c>
      <c r="T539">
        <f>IF(J539="","",IFERROR(IF(K539="",NA(),MATCH(K539,Products!$B$5:$B$204,0)),IFERROR(MATCH(J539,Products!$A$5:$A$204,0),"")))</f>
        <v/>
      </c>
      <c r="U539">
        <f>IF(J539="","",IF(T539="","⚠ not in Products",INDEX(Products!$A$5:$A$204,T539)))</f>
        <v/>
      </c>
      <c r="V539" s="11">
        <f>IF(J539="","",S539*(IFERROR(INDEX(Settings!$B$5:$B$9,MATCH($B539,Settings!$A$5:$A$9,0)),0)+IFERROR(INDEX(Settings!$E$5:$E$9,MATCH($B539,Settings!$A$5:$A$9,0)),0)+IFERROR(INDEX(Settings!$G$5:$G$9,MATCH($B539,Settings!$A$5:$A$9,0)),0))+(IFERROR(INDEX(Settings!$C$5:$C$9,MATCH($B539,Settings!$A$5:$A$9,0)),0)+IFERROR(INDEX(Settings!$F$5:$F$9,MATCH($B539,Settings!$A$5:$A$9,0)),0))/P539+IFERROR(INDEX(Settings!$D$5:$D$9,MATCH($B539,Settings!$A$5:$A$9,0)),0)*M539)</f>
        <v/>
      </c>
      <c r="W539" s="11">
        <f>IF(J539="","",IF(T539="",0,M539*INDEX(Products!$I$5:$I$204,T539)))</f>
        <v/>
      </c>
      <c r="X539" s="11">
        <f>IF(J539="","",IF(T539="",0,S539*INDEX(Products!$H$5:$H$204,T539)))</f>
        <v/>
      </c>
      <c r="Y539" s="11">
        <f>IF(J539="","",S539-V539-W539-X539)</f>
        <v/>
      </c>
    </row>
    <row r="540">
      <c r="A540" s="19" t="n"/>
      <c r="B540" s="19" t="n"/>
      <c r="C540" s="19" t="n"/>
      <c r="D540" s="19" t="n"/>
      <c r="E540" s="19" t="n"/>
      <c r="F540" s="20" t="n"/>
      <c r="G540" s="20" t="n"/>
      <c r="H540" s="20" t="n"/>
      <c r="I540" s="19" t="n"/>
      <c r="J540">
        <f>IFERROR(IF(C540="","",C540)&amp;"","")</f>
        <v/>
      </c>
      <c r="K540">
        <f>IFERROR(IF(D540="","",D540)&amp;"","")</f>
        <v/>
      </c>
      <c r="L540">
        <f>IFERROR(IF(I540="","",I540)&amp;"","")</f>
        <v/>
      </c>
      <c r="M540">
        <f>IF(J540="","",IFERROR(VALUE(SUBSTITUTE(SUBSTITUTE(IF(E540="","",E540)&amp;"","$",""),",","")),0))</f>
        <v/>
      </c>
      <c r="N540" s="11">
        <f>IF(J540="","",IFERROR(VALUE(SUBSTITUTE(SUBSTITUTE(IF(F540="","",F540)&amp;"","$",""),",","")),0))</f>
        <v/>
      </c>
      <c r="O540" s="11">
        <f>IF(J540="","",M540*N540)</f>
        <v/>
      </c>
      <c r="P540">
        <f>IF(J540="","",IF(L540="",1,COUNTIF($L$2:$L$1501,L540)))</f>
        <v/>
      </c>
      <c r="Q540" s="11">
        <f>IF(J540="","",IFERROR(VALUE(SUBSTITUTE(SUBSTITUTE(IF(G540="","",G540)&amp;"","$",""),",","")),0)/IF("No"="Yes",P540,1))</f>
        <v/>
      </c>
      <c r="R540" s="11">
        <f>IF(J540="","",IFERROR(VALUE(SUBSTITUTE(SUBSTITUTE(IF(H540="","",H540)&amp;"","$",""),",","")),0)/IF("No"="Yes",P540,1))</f>
        <v/>
      </c>
      <c r="S540" s="11">
        <f>IF(J540="","",O540+Q540-R540)</f>
        <v/>
      </c>
      <c r="T540">
        <f>IF(J540="","",IFERROR(IF(K540="",NA(),MATCH(K540,Products!$B$5:$B$204,0)),IFERROR(MATCH(J540,Products!$A$5:$A$204,0),"")))</f>
        <v/>
      </c>
      <c r="U540">
        <f>IF(J540="","",IF(T540="","⚠ not in Products",INDEX(Products!$A$5:$A$204,T540)))</f>
        <v/>
      </c>
      <c r="V540" s="11">
        <f>IF(J540="","",S540*(IFERROR(INDEX(Settings!$B$5:$B$9,MATCH($B540,Settings!$A$5:$A$9,0)),0)+IFERROR(INDEX(Settings!$E$5:$E$9,MATCH($B540,Settings!$A$5:$A$9,0)),0)+IFERROR(INDEX(Settings!$G$5:$G$9,MATCH($B540,Settings!$A$5:$A$9,0)),0))+(IFERROR(INDEX(Settings!$C$5:$C$9,MATCH($B540,Settings!$A$5:$A$9,0)),0)+IFERROR(INDEX(Settings!$F$5:$F$9,MATCH($B540,Settings!$A$5:$A$9,0)),0))/P540+IFERROR(INDEX(Settings!$D$5:$D$9,MATCH($B540,Settings!$A$5:$A$9,0)),0)*M540)</f>
        <v/>
      </c>
      <c r="W540" s="11">
        <f>IF(J540="","",IF(T540="",0,M540*INDEX(Products!$I$5:$I$204,T540)))</f>
        <v/>
      </c>
      <c r="X540" s="11">
        <f>IF(J540="","",IF(T540="",0,S540*INDEX(Products!$H$5:$H$204,T540)))</f>
        <v/>
      </c>
      <c r="Y540" s="11">
        <f>IF(J540="","",S540-V540-W540-X540)</f>
        <v/>
      </c>
    </row>
    <row r="541">
      <c r="A541" s="19" t="n"/>
      <c r="B541" s="19" t="n"/>
      <c r="C541" s="19" t="n"/>
      <c r="D541" s="19" t="n"/>
      <c r="E541" s="19" t="n"/>
      <c r="F541" s="20" t="n"/>
      <c r="G541" s="20" t="n"/>
      <c r="H541" s="20" t="n"/>
      <c r="I541" s="19" t="n"/>
      <c r="J541">
        <f>IFERROR(IF(C541="","",C541)&amp;"","")</f>
        <v/>
      </c>
      <c r="K541">
        <f>IFERROR(IF(D541="","",D541)&amp;"","")</f>
        <v/>
      </c>
      <c r="L541">
        <f>IFERROR(IF(I541="","",I541)&amp;"","")</f>
        <v/>
      </c>
      <c r="M541">
        <f>IF(J541="","",IFERROR(VALUE(SUBSTITUTE(SUBSTITUTE(IF(E541="","",E541)&amp;"","$",""),",","")),0))</f>
        <v/>
      </c>
      <c r="N541" s="11">
        <f>IF(J541="","",IFERROR(VALUE(SUBSTITUTE(SUBSTITUTE(IF(F541="","",F541)&amp;"","$",""),",","")),0))</f>
        <v/>
      </c>
      <c r="O541" s="11">
        <f>IF(J541="","",M541*N541)</f>
        <v/>
      </c>
      <c r="P541">
        <f>IF(J541="","",IF(L541="",1,COUNTIF($L$2:$L$1501,L541)))</f>
        <v/>
      </c>
      <c r="Q541" s="11">
        <f>IF(J541="","",IFERROR(VALUE(SUBSTITUTE(SUBSTITUTE(IF(G541="","",G541)&amp;"","$",""),",","")),0)/IF("No"="Yes",P541,1))</f>
        <v/>
      </c>
      <c r="R541" s="11">
        <f>IF(J541="","",IFERROR(VALUE(SUBSTITUTE(SUBSTITUTE(IF(H541="","",H541)&amp;"","$",""),",","")),0)/IF("No"="Yes",P541,1))</f>
        <v/>
      </c>
      <c r="S541" s="11">
        <f>IF(J541="","",O541+Q541-R541)</f>
        <v/>
      </c>
      <c r="T541">
        <f>IF(J541="","",IFERROR(IF(K541="",NA(),MATCH(K541,Products!$B$5:$B$204,0)),IFERROR(MATCH(J541,Products!$A$5:$A$204,0),"")))</f>
        <v/>
      </c>
      <c r="U541">
        <f>IF(J541="","",IF(T541="","⚠ not in Products",INDEX(Products!$A$5:$A$204,T541)))</f>
        <v/>
      </c>
      <c r="V541" s="11">
        <f>IF(J541="","",S541*(IFERROR(INDEX(Settings!$B$5:$B$9,MATCH($B541,Settings!$A$5:$A$9,0)),0)+IFERROR(INDEX(Settings!$E$5:$E$9,MATCH($B541,Settings!$A$5:$A$9,0)),0)+IFERROR(INDEX(Settings!$G$5:$G$9,MATCH($B541,Settings!$A$5:$A$9,0)),0))+(IFERROR(INDEX(Settings!$C$5:$C$9,MATCH($B541,Settings!$A$5:$A$9,0)),0)+IFERROR(INDEX(Settings!$F$5:$F$9,MATCH($B541,Settings!$A$5:$A$9,0)),0))/P541+IFERROR(INDEX(Settings!$D$5:$D$9,MATCH($B541,Settings!$A$5:$A$9,0)),0)*M541)</f>
        <v/>
      </c>
      <c r="W541" s="11">
        <f>IF(J541="","",IF(T541="",0,M541*INDEX(Products!$I$5:$I$204,T541)))</f>
        <v/>
      </c>
      <c r="X541" s="11">
        <f>IF(J541="","",IF(T541="",0,S541*INDEX(Products!$H$5:$H$204,T541)))</f>
        <v/>
      </c>
      <c r="Y541" s="11">
        <f>IF(J541="","",S541-V541-W541-X541)</f>
        <v/>
      </c>
    </row>
    <row r="542">
      <c r="A542" s="19" t="n"/>
      <c r="B542" s="19" t="n"/>
      <c r="C542" s="19" t="n"/>
      <c r="D542" s="19" t="n"/>
      <c r="E542" s="19" t="n"/>
      <c r="F542" s="20" t="n"/>
      <c r="G542" s="20" t="n"/>
      <c r="H542" s="20" t="n"/>
      <c r="I542" s="19" t="n"/>
      <c r="J542">
        <f>IFERROR(IF(C542="","",C542)&amp;"","")</f>
        <v/>
      </c>
      <c r="K542">
        <f>IFERROR(IF(D542="","",D542)&amp;"","")</f>
        <v/>
      </c>
      <c r="L542">
        <f>IFERROR(IF(I542="","",I542)&amp;"","")</f>
        <v/>
      </c>
      <c r="M542">
        <f>IF(J542="","",IFERROR(VALUE(SUBSTITUTE(SUBSTITUTE(IF(E542="","",E542)&amp;"","$",""),",","")),0))</f>
        <v/>
      </c>
      <c r="N542" s="11">
        <f>IF(J542="","",IFERROR(VALUE(SUBSTITUTE(SUBSTITUTE(IF(F542="","",F542)&amp;"","$",""),",","")),0))</f>
        <v/>
      </c>
      <c r="O542" s="11">
        <f>IF(J542="","",M542*N542)</f>
        <v/>
      </c>
      <c r="P542">
        <f>IF(J542="","",IF(L542="",1,COUNTIF($L$2:$L$1501,L542)))</f>
        <v/>
      </c>
      <c r="Q542" s="11">
        <f>IF(J542="","",IFERROR(VALUE(SUBSTITUTE(SUBSTITUTE(IF(G542="","",G542)&amp;"","$",""),",","")),0)/IF("No"="Yes",P542,1))</f>
        <v/>
      </c>
      <c r="R542" s="11">
        <f>IF(J542="","",IFERROR(VALUE(SUBSTITUTE(SUBSTITUTE(IF(H542="","",H542)&amp;"","$",""),",","")),0)/IF("No"="Yes",P542,1))</f>
        <v/>
      </c>
      <c r="S542" s="11">
        <f>IF(J542="","",O542+Q542-R542)</f>
        <v/>
      </c>
      <c r="T542">
        <f>IF(J542="","",IFERROR(IF(K542="",NA(),MATCH(K542,Products!$B$5:$B$204,0)),IFERROR(MATCH(J542,Products!$A$5:$A$204,0),"")))</f>
        <v/>
      </c>
      <c r="U542">
        <f>IF(J542="","",IF(T542="","⚠ not in Products",INDEX(Products!$A$5:$A$204,T542)))</f>
        <v/>
      </c>
      <c r="V542" s="11">
        <f>IF(J542="","",S542*(IFERROR(INDEX(Settings!$B$5:$B$9,MATCH($B542,Settings!$A$5:$A$9,0)),0)+IFERROR(INDEX(Settings!$E$5:$E$9,MATCH($B542,Settings!$A$5:$A$9,0)),0)+IFERROR(INDEX(Settings!$G$5:$G$9,MATCH($B542,Settings!$A$5:$A$9,0)),0))+(IFERROR(INDEX(Settings!$C$5:$C$9,MATCH($B542,Settings!$A$5:$A$9,0)),0)+IFERROR(INDEX(Settings!$F$5:$F$9,MATCH($B542,Settings!$A$5:$A$9,0)),0))/P542+IFERROR(INDEX(Settings!$D$5:$D$9,MATCH($B542,Settings!$A$5:$A$9,0)),0)*M542)</f>
        <v/>
      </c>
      <c r="W542" s="11">
        <f>IF(J542="","",IF(T542="",0,M542*INDEX(Products!$I$5:$I$204,T542)))</f>
        <v/>
      </c>
      <c r="X542" s="11">
        <f>IF(J542="","",IF(T542="",0,S542*INDEX(Products!$H$5:$H$204,T542)))</f>
        <v/>
      </c>
      <c r="Y542" s="11">
        <f>IF(J542="","",S542-V542-W542-X542)</f>
        <v/>
      </c>
    </row>
    <row r="543">
      <c r="A543" s="19" t="n"/>
      <c r="B543" s="19" t="n"/>
      <c r="C543" s="19" t="n"/>
      <c r="D543" s="19" t="n"/>
      <c r="E543" s="19" t="n"/>
      <c r="F543" s="20" t="n"/>
      <c r="G543" s="20" t="n"/>
      <c r="H543" s="20" t="n"/>
      <c r="I543" s="19" t="n"/>
      <c r="J543">
        <f>IFERROR(IF(C543="","",C543)&amp;"","")</f>
        <v/>
      </c>
      <c r="K543">
        <f>IFERROR(IF(D543="","",D543)&amp;"","")</f>
        <v/>
      </c>
      <c r="L543">
        <f>IFERROR(IF(I543="","",I543)&amp;"","")</f>
        <v/>
      </c>
      <c r="M543">
        <f>IF(J543="","",IFERROR(VALUE(SUBSTITUTE(SUBSTITUTE(IF(E543="","",E543)&amp;"","$",""),",","")),0))</f>
        <v/>
      </c>
      <c r="N543" s="11">
        <f>IF(J543="","",IFERROR(VALUE(SUBSTITUTE(SUBSTITUTE(IF(F543="","",F543)&amp;"","$",""),",","")),0))</f>
        <v/>
      </c>
      <c r="O543" s="11">
        <f>IF(J543="","",M543*N543)</f>
        <v/>
      </c>
      <c r="P543">
        <f>IF(J543="","",IF(L543="",1,COUNTIF($L$2:$L$1501,L543)))</f>
        <v/>
      </c>
      <c r="Q543" s="11">
        <f>IF(J543="","",IFERROR(VALUE(SUBSTITUTE(SUBSTITUTE(IF(G543="","",G543)&amp;"","$",""),",","")),0)/IF("No"="Yes",P543,1))</f>
        <v/>
      </c>
      <c r="R543" s="11">
        <f>IF(J543="","",IFERROR(VALUE(SUBSTITUTE(SUBSTITUTE(IF(H543="","",H543)&amp;"","$",""),",","")),0)/IF("No"="Yes",P543,1))</f>
        <v/>
      </c>
      <c r="S543" s="11">
        <f>IF(J543="","",O543+Q543-R543)</f>
        <v/>
      </c>
      <c r="T543">
        <f>IF(J543="","",IFERROR(IF(K543="",NA(),MATCH(K543,Products!$B$5:$B$204,0)),IFERROR(MATCH(J543,Products!$A$5:$A$204,0),"")))</f>
        <v/>
      </c>
      <c r="U543">
        <f>IF(J543="","",IF(T543="","⚠ not in Products",INDEX(Products!$A$5:$A$204,T543)))</f>
        <v/>
      </c>
      <c r="V543" s="11">
        <f>IF(J543="","",S543*(IFERROR(INDEX(Settings!$B$5:$B$9,MATCH($B543,Settings!$A$5:$A$9,0)),0)+IFERROR(INDEX(Settings!$E$5:$E$9,MATCH($B543,Settings!$A$5:$A$9,0)),0)+IFERROR(INDEX(Settings!$G$5:$G$9,MATCH($B543,Settings!$A$5:$A$9,0)),0))+(IFERROR(INDEX(Settings!$C$5:$C$9,MATCH($B543,Settings!$A$5:$A$9,0)),0)+IFERROR(INDEX(Settings!$F$5:$F$9,MATCH($B543,Settings!$A$5:$A$9,0)),0))/P543+IFERROR(INDEX(Settings!$D$5:$D$9,MATCH($B543,Settings!$A$5:$A$9,0)),0)*M543)</f>
        <v/>
      </c>
      <c r="W543" s="11">
        <f>IF(J543="","",IF(T543="",0,M543*INDEX(Products!$I$5:$I$204,T543)))</f>
        <v/>
      </c>
      <c r="X543" s="11">
        <f>IF(J543="","",IF(T543="",0,S543*INDEX(Products!$H$5:$H$204,T543)))</f>
        <v/>
      </c>
      <c r="Y543" s="11">
        <f>IF(J543="","",S543-V543-W543-X543)</f>
        <v/>
      </c>
    </row>
    <row r="544">
      <c r="A544" s="19" t="n"/>
      <c r="B544" s="19" t="n"/>
      <c r="C544" s="19" t="n"/>
      <c r="D544" s="19" t="n"/>
      <c r="E544" s="19" t="n"/>
      <c r="F544" s="20" t="n"/>
      <c r="G544" s="20" t="n"/>
      <c r="H544" s="20" t="n"/>
      <c r="I544" s="19" t="n"/>
      <c r="J544">
        <f>IFERROR(IF(C544="","",C544)&amp;"","")</f>
        <v/>
      </c>
      <c r="K544">
        <f>IFERROR(IF(D544="","",D544)&amp;"","")</f>
        <v/>
      </c>
      <c r="L544">
        <f>IFERROR(IF(I544="","",I544)&amp;"","")</f>
        <v/>
      </c>
      <c r="M544">
        <f>IF(J544="","",IFERROR(VALUE(SUBSTITUTE(SUBSTITUTE(IF(E544="","",E544)&amp;"","$",""),",","")),0))</f>
        <v/>
      </c>
      <c r="N544" s="11">
        <f>IF(J544="","",IFERROR(VALUE(SUBSTITUTE(SUBSTITUTE(IF(F544="","",F544)&amp;"","$",""),",","")),0))</f>
        <v/>
      </c>
      <c r="O544" s="11">
        <f>IF(J544="","",M544*N544)</f>
        <v/>
      </c>
      <c r="P544">
        <f>IF(J544="","",IF(L544="",1,COUNTIF($L$2:$L$1501,L544)))</f>
        <v/>
      </c>
      <c r="Q544" s="11">
        <f>IF(J544="","",IFERROR(VALUE(SUBSTITUTE(SUBSTITUTE(IF(G544="","",G544)&amp;"","$",""),",","")),0)/IF("No"="Yes",P544,1))</f>
        <v/>
      </c>
      <c r="R544" s="11">
        <f>IF(J544="","",IFERROR(VALUE(SUBSTITUTE(SUBSTITUTE(IF(H544="","",H544)&amp;"","$",""),",","")),0)/IF("No"="Yes",P544,1))</f>
        <v/>
      </c>
      <c r="S544" s="11">
        <f>IF(J544="","",O544+Q544-R544)</f>
        <v/>
      </c>
      <c r="T544">
        <f>IF(J544="","",IFERROR(IF(K544="",NA(),MATCH(K544,Products!$B$5:$B$204,0)),IFERROR(MATCH(J544,Products!$A$5:$A$204,0),"")))</f>
        <v/>
      </c>
      <c r="U544">
        <f>IF(J544="","",IF(T544="","⚠ not in Products",INDEX(Products!$A$5:$A$204,T544)))</f>
        <v/>
      </c>
      <c r="V544" s="11">
        <f>IF(J544="","",S544*(IFERROR(INDEX(Settings!$B$5:$B$9,MATCH($B544,Settings!$A$5:$A$9,0)),0)+IFERROR(INDEX(Settings!$E$5:$E$9,MATCH($B544,Settings!$A$5:$A$9,0)),0)+IFERROR(INDEX(Settings!$G$5:$G$9,MATCH($B544,Settings!$A$5:$A$9,0)),0))+(IFERROR(INDEX(Settings!$C$5:$C$9,MATCH($B544,Settings!$A$5:$A$9,0)),0)+IFERROR(INDEX(Settings!$F$5:$F$9,MATCH($B544,Settings!$A$5:$A$9,0)),0))/P544+IFERROR(INDEX(Settings!$D$5:$D$9,MATCH($B544,Settings!$A$5:$A$9,0)),0)*M544)</f>
        <v/>
      </c>
      <c r="W544" s="11">
        <f>IF(J544="","",IF(T544="",0,M544*INDEX(Products!$I$5:$I$204,T544)))</f>
        <v/>
      </c>
      <c r="X544" s="11">
        <f>IF(J544="","",IF(T544="",0,S544*INDEX(Products!$H$5:$H$204,T544)))</f>
        <v/>
      </c>
      <c r="Y544" s="11">
        <f>IF(J544="","",S544-V544-W544-X544)</f>
        <v/>
      </c>
    </row>
    <row r="545">
      <c r="A545" s="19" t="n"/>
      <c r="B545" s="19" t="n"/>
      <c r="C545" s="19" t="n"/>
      <c r="D545" s="19" t="n"/>
      <c r="E545" s="19" t="n"/>
      <c r="F545" s="20" t="n"/>
      <c r="G545" s="20" t="n"/>
      <c r="H545" s="20" t="n"/>
      <c r="I545" s="19" t="n"/>
      <c r="J545">
        <f>IFERROR(IF(C545="","",C545)&amp;"","")</f>
        <v/>
      </c>
      <c r="K545">
        <f>IFERROR(IF(D545="","",D545)&amp;"","")</f>
        <v/>
      </c>
      <c r="L545">
        <f>IFERROR(IF(I545="","",I545)&amp;"","")</f>
        <v/>
      </c>
      <c r="M545">
        <f>IF(J545="","",IFERROR(VALUE(SUBSTITUTE(SUBSTITUTE(IF(E545="","",E545)&amp;"","$",""),",","")),0))</f>
        <v/>
      </c>
      <c r="N545" s="11">
        <f>IF(J545="","",IFERROR(VALUE(SUBSTITUTE(SUBSTITUTE(IF(F545="","",F545)&amp;"","$",""),",","")),0))</f>
        <v/>
      </c>
      <c r="O545" s="11">
        <f>IF(J545="","",M545*N545)</f>
        <v/>
      </c>
      <c r="P545">
        <f>IF(J545="","",IF(L545="",1,COUNTIF($L$2:$L$1501,L545)))</f>
        <v/>
      </c>
      <c r="Q545" s="11">
        <f>IF(J545="","",IFERROR(VALUE(SUBSTITUTE(SUBSTITUTE(IF(G545="","",G545)&amp;"","$",""),",","")),0)/IF("No"="Yes",P545,1))</f>
        <v/>
      </c>
      <c r="R545" s="11">
        <f>IF(J545="","",IFERROR(VALUE(SUBSTITUTE(SUBSTITUTE(IF(H545="","",H545)&amp;"","$",""),",","")),0)/IF("No"="Yes",P545,1))</f>
        <v/>
      </c>
      <c r="S545" s="11">
        <f>IF(J545="","",O545+Q545-R545)</f>
        <v/>
      </c>
      <c r="T545">
        <f>IF(J545="","",IFERROR(IF(K545="",NA(),MATCH(K545,Products!$B$5:$B$204,0)),IFERROR(MATCH(J545,Products!$A$5:$A$204,0),"")))</f>
        <v/>
      </c>
      <c r="U545">
        <f>IF(J545="","",IF(T545="","⚠ not in Products",INDEX(Products!$A$5:$A$204,T545)))</f>
        <v/>
      </c>
      <c r="V545" s="11">
        <f>IF(J545="","",S545*(IFERROR(INDEX(Settings!$B$5:$B$9,MATCH($B545,Settings!$A$5:$A$9,0)),0)+IFERROR(INDEX(Settings!$E$5:$E$9,MATCH($B545,Settings!$A$5:$A$9,0)),0)+IFERROR(INDEX(Settings!$G$5:$G$9,MATCH($B545,Settings!$A$5:$A$9,0)),0))+(IFERROR(INDEX(Settings!$C$5:$C$9,MATCH($B545,Settings!$A$5:$A$9,0)),0)+IFERROR(INDEX(Settings!$F$5:$F$9,MATCH($B545,Settings!$A$5:$A$9,0)),0))/P545+IFERROR(INDEX(Settings!$D$5:$D$9,MATCH($B545,Settings!$A$5:$A$9,0)),0)*M545)</f>
        <v/>
      </c>
      <c r="W545" s="11">
        <f>IF(J545="","",IF(T545="",0,M545*INDEX(Products!$I$5:$I$204,T545)))</f>
        <v/>
      </c>
      <c r="X545" s="11">
        <f>IF(J545="","",IF(T545="",0,S545*INDEX(Products!$H$5:$H$204,T545)))</f>
        <v/>
      </c>
      <c r="Y545" s="11">
        <f>IF(J545="","",S545-V545-W545-X545)</f>
        <v/>
      </c>
    </row>
    <row r="546">
      <c r="A546" s="19" t="n"/>
      <c r="B546" s="19" t="n"/>
      <c r="C546" s="19" t="n"/>
      <c r="D546" s="19" t="n"/>
      <c r="E546" s="19" t="n"/>
      <c r="F546" s="20" t="n"/>
      <c r="G546" s="20" t="n"/>
      <c r="H546" s="20" t="n"/>
      <c r="I546" s="19" t="n"/>
      <c r="J546">
        <f>IFERROR(IF(C546="","",C546)&amp;"","")</f>
        <v/>
      </c>
      <c r="K546">
        <f>IFERROR(IF(D546="","",D546)&amp;"","")</f>
        <v/>
      </c>
      <c r="L546">
        <f>IFERROR(IF(I546="","",I546)&amp;"","")</f>
        <v/>
      </c>
      <c r="M546">
        <f>IF(J546="","",IFERROR(VALUE(SUBSTITUTE(SUBSTITUTE(IF(E546="","",E546)&amp;"","$",""),",","")),0))</f>
        <v/>
      </c>
      <c r="N546" s="11">
        <f>IF(J546="","",IFERROR(VALUE(SUBSTITUTE(SUBSTITUTE(IF(F546="","",F546)&amp;"","$",""),",","")),0))</f>
        <v/>
      </c>
      <c r="O546" s="11">
        <f>IF(J546="","",M546*N546)</f>
        <v/>
      </c>
      <c r="P546">
        <f>IF(J546="","",IF(L546="",1,COUNTIF($L$2:$L$1501,L546)))</f>
        <v/>
      </c>
      <c r="Q546" s="11">
        <f>IF(J546="","",IFERROR(VALUE(SUBSTITUTE(SUBSTITUTE(IF(G546="","",G546)&amp;"","$",""),",","")),0)/IF("No"="Yes",P546,1))</f>
        <v/>
      </c>
      <c r="R546" s="11">
        <f>IF(J546="","",IFERROR(VALUE(SUBSTITUTE(SUBSTITUTE(IF(H546="","",H546)&amp;"","$",""),",","")),0)/IF("No"="Yes",P546,1))</f>
        <v/>
      </c>
      <c r="S546" s="11">
        <f>IF(J546="","",O546+Q546-R546)</f>
        <v/>
      </c>
      <c r="T546">
        <f>IF(J546="","",IFERROR(IF(K546="",NA(),MATCH(K546,Products!$B$5:$B$204,0)),IFERROR(MATCH(J546,Products!$A$5:$A$204,0),"")))</f>
        <v/>
      </c>
      <c r="U546">
        <f>IF(J546="","",IF(T546="","⚠ not in Products",INDEX(Products!$A$5:$A$204,T546)))</f>
        <v/>
      </c>
      <c r="V546" s="11">
        <f>IF(J546="","",S546*(IFERROR(INDEX(Settings!$B$5:$B$9,MATCH($B546,Settings!$A$5:$A$9,0)),0)+IFERROR(INDEX(Settings!$E$5:$E$9,MATCH($B546,Settings!$A$5:$A$9,0)),0)+IFERROR(INDEX(Settings!$G$5:$G$9,MATCH($B546,Settings!$A$5:$A$9,0)),0))+(IFERROR(INDEX(Settings!$C$5:$C$9,MATCH($B546,Settings!$A$5:$A$9,0)),0)+IFERROR(INDEX(Settings!$F$5:$F$9,MATCH($B546,Settings!$A$5:$A$9,0)),0))/P546+IFERROR(INDEX(Settings!$D$5:$D$9,MATCH($B546,Settings!$A$5:$A$9,0)),0)*M546)</f>
        <v/>
      </c>
      <c r="W546" s="11">
        <f>IF(J546="","",IF(T546="",0,M546*INDEX(Products!$I$5:$I$204,T546)))</f>
        <v/>
      </c>
      <c r="X546" s="11">
        <f>IF(J546="","",IF(T546="",0,S546*INDEX(Products!$H$5:$H$204,T546)))</f>
        <v/>
      </c>
      <c r="Y546" s="11">
        <f>IF(J546="","",S546-V546-W546-X546)</f>
        <v/>
      </c>
    </row>
    <row r="547">
      <c r="A547" s="19" t="n"/>
      <c r="B547" s="19" t="n"/>
      <c r="C547" s="19" t="n"/>
      <c r="D547" s="19" t="n"/>
      <c r="E547" s="19" t="n"/>
      <c r="F547" s="20" t="n"/>
      <c r="G547" s="20" t="n"/>
      <c r="H547" s="20" t="n"/>
      <c r="I547" s="19" t="n"/>
      <c r="J547">
        <f>IFERROR(IF(C547="","",C547)&amp;"","")</f>
        <v/>
      </c>
      <c r="K547">
        <f>IFERROR(IF(D547="","",D547)&amp;"","")</f>
        <v/>
      </c>
      <c r="L547">
        <f>IFERROR(IF(I547="","",I547)&amp;"","")</f>
        <v/>
      </c>
      <c r="M547">
        <f>IF(J547="","",IFERROR(VALUE(SUBSTITUTE(SUBSTITUTE(IF(E547="","",E547)&amp;"","$",""),",","")),0))</f>
        <v/>
      </c>
      <c r="N547" s="11">
        <f>IF(J547="","",IFERROR(VALUE(SUBSTITUTE(SUBSTITUTE(IF(F547="","",F547)&amp;"","$",""),",","")),0))</f>
        <v/>
      </c>
      <c r="O547" s="11">
        <f>IF(J547="","",M547*N547)</f>
        <v/>
      </c>
      <c r="P547">
        <f>IF(J547="","",IF(L547="",1,COUNTIF($L$2:$L$1501,L547)))</f>
        <v/>
      </c>
      <c r="Q547" s="11">
        <f>IF(J547="","",IFERROR(VALUE(SUBSTITUTE(SUBSTITUTE(IF(G547="","",G547)&amp;"","$",""),",","")),0)/IF("No"="Yes",P547,1))</f>
        <v/>
      </c>
      <c r="R547" s="11">
        <f>IF(J547="","",IFERROR(VALUE(SUBSTITUTE(SUBSTITUTE(IF(H547="","",H547)&amp;"","$",""),",","")),0)/IF("No"="Yes",P547,1))</f>
        <v/>
      </c>
      <c r="S547" s="11">
        <f>IF(J547="","",O547+Q547-R547)</f>
        <v/>
      </c>
      <c r="T547">
        <f>IF(J547="","",IFERROR(IF(K547="",NA(),MATCH(K547,Products!$B$5:$B$204,0)),IFERROR(MATCH(J547,Products!$A$5:$A$204,0),"")))</f>
        <v/>
      </c>
      <c r="U547">
        <f>IF(J547="","",IF(T547="","⚠ not in Products",INDEX(Products!$A$5:$A$204,T547)))</f>
        <v/>
      </c>
      <c r="V547" s="11">
        <f>IF(J547="","",S547*(IFERROR(INDEX(Settings!$B$5:$B$9,MATCH($B547,Settings!$A$5:$A$9,0)),0)+IFERROR(INDEX(Settings!$E$5:$E$9,MATCH($B547,Settings!$A$5:$A$9,0)),0)+IFERROR(INDEX(Settings!$G$5:$G$9,MATCH($B547,Settings!$A$5:$A$9,0)),0))+(IFERROR(INDEX(Settings!$C$5:$C$9,MATCH($B547,Settings!$A$5:$A$9,0)),0)+IFERROR(INDEX(Settings!$F$5:$F$9,MATCH($B547,Settings!$A$5:$A$9,0)),0))/P547+IFERROR(INDEX(Settings!$D$5:$D$9,MATCH($B547,Settings!$A$5:$A$9,0)),0)*M547)</f>
        <v/>
      </c>
      <c r="W547" s="11">
        <f>IF(J547="","",IF(T547="",0,M547*INDEX(Products!$I$5:$I$204,T547)))</f>
        <v/>
      </c>
      <c r="X547" s="11">
        <f>IF(J547="","",IF(T547="",0,S547*INDEX(Products!$H$5:$H$204,T547)))</f>
        <v/>
      </c>
      <c r="Y547" s="11">
        <f>IF(J547="","",S547-V547-W547-X547)</f>
        <v/>
      </c>
    </row>
    <row r="548">
      <c r="A548" s="19" t="n"/>
      <c r="B548" s="19" t="n"/>
      <c r="C548" s="19" t="n"/>
      <c r="D548" s="19" t="n"/>
      <c r="E548" s="19" t="n"/>
      <c r="F548" s="20" t="n"/>
      <c r="G548" s="20" t="n"/>
      <c r="H548" s="20" t="n"/>
      <c r="I548" s="19" t="n"/>
      <c r="J548">
        <f>IFERROR(IF(C548="","",C548)&amp;"","")</f>
        <v/>
      </c>
      <c r="K548">
        <f>IFERROR(IF(D548="","",D548)&amp;"","")</f>
        <v/>
      </c>
      <c r="L548">
        <f>IFERROR(IF(I548="","",I548)&amp;"","")</f>
        <v/>
      </c>
      <c r="M548">
        <f>IF(J548="","",IFERROR(VALUE(SUBSTITUTE(SUBSTITUTE(IF(E548="","",E548)&amp;"","$",""),",","")),0))</f>
        <v/>
      </c>
      <c r="N548" s="11">
        <f>IF(J548="","",IFERROR(VALUE(SUBSTITUTE(SUBSTITUTE(IF(F548="","",F548)&amp;"","$",""),",","")),0))</f>
        <v/>
      </c>
      <c r="O548" s="11">
        <f>IF(J548="","",M548*N548)</f>
        <v/>
      </c>
      <c r="P548">
        <f>IF(J548="","",IF(L548="",1,COUNTIF($L$2:$L$1501,L548)))</f>
        <v/>
      </c>
      <c r="Q548" s="11">
        <f>IF(J548="","",IFERROR(VALUE(SUBSTITUTE(SUBSTITUTE(IF(G548="","",G548)&amp;"","$",""),",","")),0)/IF("No"="Yes",P548,1))</f>
        <v/>
      </c>
      <c r="R548" s="11">
        <f>IF(J548="","",IFERROR(VALUE(SUBSTITUTE(SUBSTITUTE(IF(H548="","",H548)&amp;"","$",""),",","")),0)/IF("No"="Yes",P548,1))</f>
        <v/>
      </c>
      <c r="S548" s="11">
        <f>IF(J548="","",O548+Q548-R548)</f>
        <v/>
      </c>
      <c r="T548">
        <f>IF(J548="","",IFERROR(IF(K548="",NA(),MATCH(K548,Products!$B$5:$B$204,0)),IFERROR(MATCH(J548,Products!$A$5:$A$204,0),"")))</f>
        <v/>
      </c>
      <c r="U548">
        <f>IF(J548="","",IF(T548="","⚠ not in Products",INDEX(Products!$A$5:$A$204,T548)))</f>
        <v/>
      </c>
      <c r="V548" s="11">
        <f>IF(J548="","",S548*(IFERROR(INDEX(Settings!$B$5:$B$9,MATCH($B548,Settings!$A$5:$A$9,0)),0)+IFERROR(INDEX(Settings!$E$5:$E$9,MATCH($B548,Settings!$A$5:$A$9,0)),0)+IFERROR(INDEX(Settings!$G$5:$G$9,MATCH($B548,Settings!$A$5:$A$9,0)),0))+(IFERROR(INDEX(Settings!$C$5:$C$9,MATCH($B548,Settings!$A$5:$A$9,0)),0)+IFERROR(INDEX(Settings!$F$5:$F$9,MATCH($B548,Settings!$A$5:$A$9,0)),0))/P548+IFERROR(INDEX(Settings!$D$5:$D$9,MATCH($B548,Settings!$A$5:$A$9,0)),0)*M548)</f>
        <v/>
      </c>
      <c r="W548" s="11">
        <f>IF(J548="","",IF(T548="",0,M548*INDEX(Products!$I$5:$I$204,T548)))</f>
        <v/>
      </c>
      <c r="X548" s="11">
        <f>IF(J548="","",IF(T548="",0,S548*INDEX(Products!$H$5:$H$204,T548)))</f>
        <v/>
      </c>
      <c r="Y548" s="11">
        <f>IF(J548="","",S548-V548-W548-X548)</f>
        <v/>
      </c>
    </row>
    <row r="549">
      <c r="A549" s="19" t="n"/>
      <c r="B549" s="19" t="n"/>
      <c r="C549" s="19" t="n"/>
      <c r="D549" s="19" t="n"/>
      <c r="E549" s="19" t="n"/>
      <c r="F549" s="20" t="n"/>
      <c r="G549" s="20" t="n"/>
      <c r="H549" s="20" t="n"/>
      <c r="I549" s="19" t="n"/>
      <c r="J549">
        <f>IFERROR(IF(C549="","",C549)&amp;"","")</f>
        <v/>
      </c>
      <c r="K549">
        <f>IFERROR(IF(D549="","",D549)&amp;"","")</f>
        <v/>
      </c>
      <c r="L549">
        <f>IFERROR(IF(I549="","",I549)&amp;"","")</f>
        <v/>
      </c>
      <c r="M549">
        <f>IF(J549="","",IFERROR(VALUE(SUBSTITUTE(SUBSTITUTE(IF(E549="","",E549)&amp;"","$",""),",","")),0))</f>
        <v/>
      </c>
      <c r="N549" s="11">
        <f>IF(J549="","",IFERROR(VALUE(SUBSTITUTE(SUBSTITUTE(IF(F549="","",F549)&amp;"","$",""),",","")),0))</f>
        <v/>
      </c>
      <c r="O549" s="11">
        <f>IF(J549="","",M549*N549)</f>
        <v/>
      </c>
      <c r="P549">
        <f>IF(J549="","",IF(L549="",1,COUNTIF($L$2:$L$1501,L549)))</f>
        <v/>
      </c>
      <c r="Q549" s="11">
        <f>IF(J549="","",IFERROR(VALUE(SUBSTITUTE(SUBSTITUTE(IF(G549="","",G549)&amp;"","$",""),",","")),0)/IF("No"="Yes",P549,1))</f>
        <v/>
      </c>
      <c r="R549" s="11">
        <f>IF(J549="","",IFERROR(VALUE(SUBSTITUTE(SUBSTITUTE(IF(H549="","",H549)&amp;"","$",""),",","")),0)/IF("No"="Yes",P549,1))</f>
        <v/>
      </c>
      <c r="S549" s="11">
        <f>IF(J549="","",O549+Q549-R549)</f>
        <v/>
      </c>
      <c r="T549">
        <f>IF(J549="","",IFERROR(IF(K549="",NA(),MATCH(K549,Products!$B$5:$B$204,0)),IFERROR(MATCH(J549,Products!$A$5:$A$204,0),"")))</f>
        <v/>
      </c>
      <c r="U549">
        <f>IF(J549="","",IF(T549="","⚠ not in Products",INDEX(Products!$A$5:$A$204,T549)))</f>
        <v/>
      </c>
      <c r="V549" s="11">
        <f>IF(J549="","",S549*(IFERROR(INDEX(Settings!$B$5:$B$9,MATCH($B549,Settings!$A$5:$A$9,0)),0)+IFERROR(INDEX(Settings!$E$5:$E$9,MATCH($B549,Settings!$A$5:$A$9,0)),0)+IFERROR(INDEX(Settings!$G$5:$G$9,MATCH($B549,Settings!$A$5:$A$9,0)),0))+(IFERROR(INDEX(Settings!$C$5:$C$9,MATCH($B549,Settings!$A$5:$A$9,0)),0)+IFERROR(INDEX(Settings!$F$5:$F$9,MATCH($B549,Settings!$A$5:$A$9,0)),0))/P549+IFERROR(INDEX(Settings!$D$5:$D$9,MATCH($B549,Settings!$A$5:$A$9,0)),0)*M549)</f>
        <v/>
      </c>
      <c r="W549" s="11">
        <f>IF(J549="","",IF(T549="",0,M549*INDEX(Products!$I$5:$I$204,T549)))</f>
        <v/>
      </c>
      <c r="X549" s="11">
        <f>IF(J549="","",IF(T549="",0,S549*INDEX(Products!$H$5:$H$204,T549)))</f>
        <v/>
      </c>
      <c r="Y549" s="11">
        <f>IF(J549="","",S549-V549-W549-X549)</f>
        <v/>
      </c>
    </row>
    <row r="550">
      <c r="A550" s="19" t="n"/>
      <c r="B550" s="19" t="n"/>
      <c r="C550" s="19" t="n"/>
      <c r="D550" s="19" t="n"/>
      <c r="E550" s="19" t="n"/>
      <c r="F550" s="20" t="n"/>
      <c r="G550" s="20" t="n"/>
      <c r="H550" s="20" t="n"/>
      <c r="I550" s="19" t="n"/>
      <c r="J550">
        <f>IFERROR(IF(C550="","",C550)&amp;"","")</f>
        <v/>
      </c>
      <c r="K550">
        <f>IFERROR(IF(D550="","",D550)&amp;"","")</f>
        <v/>
      </c>
      <c r="L550">
        <f>IFERROR(IF(I550="","",I550)&amp;"","")</f>
        <v/>
      </c>
      <c r="M550">
        <f>IF(J550="","",IFERROR(VALUE(SUBSTITUTE(SUBSTITUTE(IF(E550="","",E550)&amp;"","$",""),",","")),0))</f>
        <v/>
      </c>
      <c r="N550" s="11">
        <f>IF(J550="","",IFERROR(VALUE(SUBSTITUTE(SUBSTITUTE(IF(F550="","",F550)&amp;"","$",""),",","")),0))</f>
        <v/>
      </c>
      <c r="O550" s="11">
        <f>IF(J550="","",M550*N550)</f>
        <v/>
      </c>
      <c r="P550">
        <f>IF(J550="","",IF(L550="",1,COUNTIF($L$2:$L$1501,L550)))</f>
        <v/>
      </c>
      <c r="Q550" s="11">
        <f>IF(J550="","",IFERROR(VALUE(SUBSTITUTE(SUBSTITUTE(IF(G550="","",G550)&amp;"","$",""),",","")),0)/IF("No"="Yes",P550,1))</f>
        <v/>
      </c>
      <c r="R550" s="11">
        <f>IF(J550="","",IFERROR(VALUE(SUBSTITUTE(SUBSTITUTE(IF(H550="","",H550)&amp;"","$",""),",","")),0)/IF("No"="Yes",P550,1))</f>
        <v/>
      </c>
      <c r="S550" s="11">
        <f>IF(J550="","",O550+Q550-R550)</f>
        <v/>
      </c>
      <c r="T550">
        <f>IF(J550="","",IFERROR(IF(K550="",NA(),MATCH(K550,Products!$B$5:$B$204,0)),IFERROR(MATCH(J550,Products!$A$5:$A$204,0),"")))</f>
        <v/>
      </c>
      <c r="U550">
        <f>IF(J550="","",IF(T550="","⚠ not in Products",INDEX(Products!$A$5:$A$204,T550)))</f>
        <v/>
      </c>
      <c r="V550" s="11">
        <f>IF(J550="","",S550*(IFERROR(INDEX(Settings!$B$5:$B$9,MATCH($B550,Settings!$A$5:$A$9,0)),0)+IFERROR(INDEX(Settings!$E$5:$E$9,MATCH($B550,Settings!$A$5:$A$9,0)),0)+IFERROR(INDEX(Settings!$G$5:$G$9,MATCH($B550,Settings!$A$5:$A$9,0)),0))+(IFERROR(INDEX(Settings!$C$5:$C$9,MATCH($B550,Settings!$A$5:$A$9,0)),0)+IFERROR(INDEX(Settings!$F$5:$F$9,MATCH($B550,Settings!$A$5:$A$9,0)),0))/P550+IFERROR(INDEX(Settings!$D$5:$D$9,MATCH($B550,Settings!$A$5:$A$9,0)),0)*M550)</f>
        <v/>
      </c>
      <c r="W550" s="11">
        <f>IF(J550="","",IF(T550="",0,M550*INDEX(Products!$I$5:$I$204,T550)))</f>
        <v/>
      </c>
      <c r="X550" s="11">
        <f>IF(J550="","",IF(T550="",0,S550*INDEX(Products!$H$5:$H$204,T550)))</f>
        <v/>
      </c>
      <c r="Y550" s="11">
        <f>IF(J550="","",S550-V550-W550-X550)</f>
        <v/>
      </c>
    </row>
    <row r="551">
      <c r="A551" s="19" t="n"/>
      <c r="B551" s="19" t="n"/>
      <c r="C551" s="19" t="n"/>
      <c r="D551" s="19" t="n"/>
      <c r="E551" s="19" t="n"/>
      <c r="F551" s="20" t="n"/>
      <c r="G551" s="20" t="n"/>
      <c r="H551" s="20" t="n"/>
      <c r="I551" s="19" t="n"/>
      <c r="J551">
        <f>IFERROR(IF(C551="","",C551)&amp;"","")</f>
        <v/>
      </c>
      <c r="K551">
        <f>IFERROR(IF(D551="","",D551)&amp;"","")</f>
        <v/>
      </c>
      <c r="L551">
        <f>IFERROR(IF(I551="","",I551)&amp;"","")</f>
        <v/>
      </c>
      <c r="M551">
        <f>IF(J551="","",IFERROR(VALUE(SUBSTITUTE(SUBSTITUTE(IF(E551="","",E551)&amp;"","$",""),",","")),0))</f>
        <v/>
      </c>
      <c r="N551" s="11">
        <f>IF(J551="","",IFERROR(VALUE(SUBSTITUTE(SUBSTITUTE(IF(F551="","",F551)&amp;"","$",""),",","")),0))</f>
        <v/>
      </c>
      <c r="O551" s="11">
        <f>IF(J551="","",M551*N551)</f>
        <v/>
      </c>
      <c r="P551">
        <f>IF(J551="","",IF(L551="",1,COUNTIF($L$2:$L$1501,L551)))</f>
        <v/>
      </c>
      <c r="Q551" s="11">
        <f>IF(J551="","",IFERROR(VALUE(SUBSTITUTE(SUBSTITUTE(IF(G551="","",G551)&amp;"","$",""),",","")),0)/IF("No"="Yes",P551,1))</f>
        <v/>
      </c>
      <c r="R551" s="11">
        <f>IF(J551="","",IFERROR(VALUE(SUBSTITUTE(SUBSTITUTE(IF(H551="","",H551)&amp;"","$",""),",","")),0)/IF("No"="Yes",P551,1))</f>
        <v/>
      </c>
      <c r="S551" s="11">
        <f>IF(J551="","",O551+Q551-R551)</f>
        <v/>
      </c>
      <c r="T551">
        <f>IF(J551="","",IFERROR(IF(K551="",NA(),MATCH(K551,Products!$B$5:$B$204,0)),IFERROR(MATCH(J551,Products!$A$5:$A$204,0),"")))</f>
        <v/>
      </c>
      <c r="U551">
        <f>IF(J551="","",IF(T551="","⚠ not in Products",INDEX(Products!$A$5:$A$204,T551)))</f>
        <v/>
      </c>
      <c r="V551" s="11">
        <f>IF(J551="","",S551*(IFERROR(INDEX(Settings!$B$5:$B$9,MATCH($B551,Settings!$A$5:$A$9,0)),0)+IFERROR(INDEX(Settings!$E$5:$E$9,MATCH($B551,Settings!$A$5:$A$9,0)),0)+IFERROR(INDEX(Settings!$G$5:$G$9,MATCH($B551,Settings!$A$5:$A$9,0)),0))+(IFERROR(INDEX(Settings!$C$5:$C$9,MATCH($B551,Settings!$A$5:$A$9,0)),0)+IFERROR(INDEX(Settings!$F$5:$F$9,MATCH($B551,Settings!$A$5:$A$9,0)),0))/P551+IFERROR(INDEX(Settings!$D$5:$D$9,MATCH($B551,Settings!$A$5:$A$9,0)),0)*M551)</f>
        <v/>
      </c>
      <c r="W551" s="11">
        <f>IF(J551="","",IF(T551="",0,M551*INDEX(Products!$I$5:$I$204,T551)))</f>
        <v/>
      </c>
      <c r="X551" s="11">
        <f>IF(J551="","",IF(T551="",0,S551*INDEX(Products!$H$5:$H$204,T551)))</f>
        <v/>
      </c>
      <c r="Y551" s="11">
        <f>IF(J551="","",S551-V551-W551-X551)</f>
        <v/>
      </c>
    </row>
    <row r="552">
      <c r="A552" s="19" t="n"/>
      <c r="B552" s="19" t="n"/>
      <c r="C552" s="19" t="n"/>
      <c r="D552" s="19" t="n"/>
      <c r="E552" s="19" t="n"/>
      <c r="F552" s="20" t="n"/>
      <c r="G552" s="20" t="n"/>
      <c r="H552" s="20" t="n"/>
      <c r="I552" s="19" t="n"/>
      <c r="J552">
        <f>IFERROR(IF(C552="","",C552)&amp;"","")</f>
        <v/>
      </c>
      <c r="K552">
        <f>IFERROR(IF(D552="","",D552)&amp;"","")</f>
        <v/>
      </c>
      <c r="L552">
        <f>IFERROR(IF(I552="","",I552)&amp;"","")</f>
        <v/>
      </c>
      <c r="M552">
        <f>IF(J552="","",IFERROR(VALUE(SUBSTITUTE(SUBSTITUTE(IF(E552="","",E552)&amp;"","$",""),",","")),0))</f>
        <v/>
      </c>
      <c r="N552" s="11">
        <f>IF(J552="","",IFERROR(VALUE(SUBSTITUTE(SUBSTITUTE(IF(F552="","",F552)&amp;"","$",""),",","")),0))</f>
        <v/>
      </c>
      <c r="O552" s="11">
        <f>IF(J552="","",M552*N552)</f>
        <v/>
      </c>
      <c r="P552">
        <f>IF(J552="","",IF(L552="",1,COUNTIF($L$2:$L$1501,L552)))</f>
        <v/>
      </c>
      <c r="Q552" s="11">
        <f>IF(J552="","",IFERROR(VALUE(SUBSTITUTE(SUBSTITUTE(IF(G552="","",G552)&amp;"","$",""),",","")),0)/IF("No"="Yes",P552,1))</f>
        <v/>
      </c>
      <c r="R552" s="11">
        <f>IF(J552="","",IFERROR(VALUE(SUBSTITUTE(SUBSTITUTE(IF(H552="","",H552)&amp;"","$",""),",","")),0)/IF("No"="Yes",P552,1))</f>
        <v/>
      </c>
      <c r="S552" s="11">
        <f>IF(J552="","",O552+Q552-R552)</f>
        <v/>
      </c>
      <c r="T552">
        <f>IF(J552="","",IFERROR(IF(K552="",NA(),MATCH(K552,Products!$B$5:$B$204,0)),IFERROR(MATCH(J552,Products!$A$5:$A$204,0),"")))</f>
        <v/>
      </c>
      <c r="U552">
        <f>IF(J552="","",IF(T552="","⚠ not in Products",INDEX(Products!$A$5:$A$204,T552)))</f>
        <v/>
      </c>
      <c r="V552" s="11">
        <f>IF(J552="","",S552*(IFERROR(INDEX(Settings!$B$5:$B$9,MATCH($B552,Settings!$A$5:$A$9,0)),0)+IFERROR(INDEX(Settings!$E$5:$E$9,MATCH($B552,Settings!$A$5:$A$9,0)),0)+IFERROR(INDEX(Settings!$G$5:$G$9,MATCH($B552,Settings!$A$5:$A$9,0)),0))+(IFERROR(INDEX(Settings!$C$5:$C$9,MATCH($B552,Settings!$A$5:$A$9,0)),0)+IFERROR(INDEX(Settings!$F$5:$F$9,MATCH($B552,Settings!$A$5:$A$9,0)),0))/P552+IFERROR(INDEX(Settings!$D$5:$D$9,MATCH($B552,Settings!$A$5:$A$9,0)),0)*M552)</f>
        <v/>
      </c>
      <c r="W552" s="11">
        <f>IF(J552="","",IF(T552="",0,M552*INDEX(Products!$I$5:$I$204,T552)))</f>
        <v/>
      </c>
      <c r="X552" s="11">
        <f>IF(J552="","",IF(T552="",0,S552*INDEX(Products!$H$5:$H$204,T552)))</f>
        <v/>
      </c>
      <c r="Y552" s="11">
        <f>IF(J552="","",S552-V552-W552-X552)</f>
        <v/>
      </c>
    </row>
    <row r="553">
      <c r="A553" s="19" t="n"/>
      <c r="B553" s="19" t="n"/>
      <c r="C553" s="19" t="n"/>
      <c r="D553" s="19" t="n"/>
      <c r="E553" s="19" t="n"/>
      <c r="F553" s="20" t="n"/>
      <c r="G553" s="20" t="n"/>
      <c r="H553" s="20" t="n"/>
      <c r="I553" s="19" t="n"/>
      <c r="J553">
        <f>IFERROR(IF(C553="","",C553)&amp;"","")</f>
        <v/>
      </c>
      <c r="K553">
        <f>IFERROR(IF(D553="","",D553)&amp;"","")</f>
        <v/>
      </c>
      <c r="L553">
        <f>IFERROR(IF(I553="","",I553)&amp;"","")</f>
        <v/>
      </c>
      <c r="M553">
        <f>IF(J553="","",IFERROR(VALUE(SUBSTITUTE(SUBSTITUTE(IF(E553="","",E553)&amp;"","$",""),",","")),0))</f>
        <v/>
      </c>
      <c r="N553" s="11">
        <f>IF(J553="","",IFERROR(VALUE(SUBSTITUTE(SUBSTITUTE(IF(F553="","",F553)&amp;"","$",""),",","")),0))</f>
        <v/>
      </c>
      <c r="O553" s="11">
        <f>IF(J553="","",M553*N553)</f>
        <v/>
      </c>
      <c r="P553">
        <f>IF(J553="","",IF(L553="",1,COUNTIF($L$2:$L$1501,L553)))</f>
        <v/>
      </c>
      <c r="Q553" s="11">
        <f>IF(J553="","",IFERROR(VALUE(SUBSTITUTE(SUBSTITUTE(IF(G553="","",G553)&amp;"","$",""),",","")),0)/IF("No"="Yes",P553,1))</f>
        <v/>
      </c>
      <c r="R553" s="11">
        <f>IF(J553="","",IFERROR(VALUE(SUBSTITUTE(SUBSTITUTE(IF(H553="","",H553)&amp;"","$",""),",","")),0)/IF("No"="Yes",P553,1))</f>
        <v/>
      </c>
      <c r="S553" s="11">
        <f>IF(J553="","",O553+Q553-R553)</f>
        <v/>
      </c>
      <c r="T553">
        <f>IF(J553="","",IFERROR(IF(K553="",NA(),MATCH(K553,Products!$B$5:$B$204,0)),IFERROR(MATCH(J553,Products!$A$5:$A$204,0),"")))</f>
        <v/>
      </c>
      <c r="U553">
        <f>IF(J553="","",IF(T553="","⚠ not in Products",INDEX(Products!$A$5:$A$204,T553)))</f>
        <v/>
      </c>
      <c r="V553" s="11">
        <f>IF(J553="","",S553*(IFERROR(INDEX(Settings!$B$5:$B$9,MATCH($B553,Settings!$A$5:$A$9,0)),0)+IFERROR(INDEX(Settings!$E$5:$E$9,MATCH($B553,Settings!$A$5:$A$9,0)),0)+IFERROR(INDEX(Settings!$G$5:$G$9,MATCH($B553,Settings!$A$5:$A$9,0)),0))+(IFERROR(INDEX(Settings!$C$5:$C$9,MATCH($B553,Settings!$A$5:$A$9,0)),0)+IFERROR(INDEX(Settings!$F$5:$F$9,MATCH($B553,Settings!$A$5:$A$9,0)),0))/P553+IFERROR(INDEX(Settings!$D$5:$D$9,MATCH($B553,Settings!$A$5:$A$9,0)),0)*M553)</f>
        <v/>
      </c>
      <c r="W553" s="11">
        <f>IF(J553="","",IF(T553="",0,M553*INDEX(Products!$I$5:$I$204,T553)))</f>
        <v/>
      </c>
      <c r="X553" s="11">
        <f>IF(J553="","",IF(T553="",0,S553*INDEX(Products!$H$5:$H$204,T553)))</f>
        <v/>
      </c>
      <c r="Y553" s="11">
        <f>IF(J553="","",S553-V553-W553-X553)</f>
        <v/>
      </c>
    </row>
    <row r="554">
      <c r="A554" s="19" t="n"/>
      <c r="B554" s="19" t="n"/>
      <c r="C554" s="19" t="n"/>
      <c r="D554" s="19" t="n"/>
      <c r="E554" s="19" t="n"/>
      <c r="F554" s="20" t="n"/>
      <c r="G554" s="20" t="n"/>
      <c r="H554" s="20" t="n"/>
      <c r="I554" s="19" t="n"/>
      <c r="J554">
        <f>IFERROR(IF(C554="","",C554)&amp;"","")</f>
        <v/>
      </c>
      <c r="K554">
        <f>IFERROR(IF(D554="","",D554)&amp;"","")</f>
        <v/>
      </c>
      <c r="L554">
        <f>IFERROR(IF(I554="","",I554)&amp;"","")</f>
        <v/>
      </c>
      <c r="M554">
        <f>IF(J554="","",IFERROR(VALUE(SUBSTITUTE(SUBSTITUTE(IF(E554="","",E554)&amp;"","$",""),",","")),0))</f>
        <v/>
      </c>
      <c r="N554" s="11">
        <f>IF(J554="","",IFERROR(VALUE(SUBSTITUTE(SUBSTITUTE(IF(F554="","",F554)&amp;"","$",""),",","")),0))</f>
        <v/>
      </c>
      <c r="O554" s="11">
        <f>IF(J554="","",M554*N554)</f>
        <v/>
      </c>
      <c r="P554">
        <f>IF(J554="","",IF(L554="",1,COUNTIF($L$2:$L$1501,L554)))</f>
        <v/>
      </c>
      <c r="Q554" s="11">
        <f>IF(J554="","",IFERROR(VALUE(SUBSTITUTE(SUBSTITUTE(IF(G554="","",G554)&amp;"","$",""),",","")),0)/IF("No"="Yes",P554,1))</f>
        <v/>
      </c>
      <c r="R554" s="11">
        <f>IF(J554="","",IFERROR(VALUE(SUBSTITUTE(SUBSTITUTE(IF(H554="","",H554)&amp;"","$",""),",","")),0)/IF("No"="Yes",P554,1))</f>
        <v/>
      </c>
      <c r="S554" s="11">
        <f>IF(J554="","",O554+Q554-R554)</f>
        <v/>
      </c>
      <c r="T554">
        <f>IF(J554="","",IFERROR(IF(K554="",NA(),MATCH(K554,Products!$B$5:$B$204,0)),IFERROR(MATCH(J554,Products!$A$5:$A$204,0),"")))</f>
        <v/>
      </c>
      <c r="U554">
        <f>IF(J554="","",IF(T554="","⚠ not in Products",INDEX(Products!$A$5:$A$204,T554)))</f>
        <v/>
      </c>
      <c r="V554" s="11">
        <f>IF(J554="","",S554*(IFERROR(INDEX(Settings!$B$5:$B$9,MATCH($B554,Settings!$A$5:$A$9,0)),0)+IFERROR(INDEX(Settings!$E$5:$E$9,MATCH($B554,Settings!$A$5:$A$9,0)),0)+IFERROR(INDEX(Settings!$G$5:$G$9,MATCH($B554,Settings!$A$5:$A$9,0)),0))+(IFERROR(INDEX(Settings!$C$5:$C$9,MATCH($B554,Settings!$A$5:$A$9,0)),0)+IFERROR(INDEX(Settings!$F$5:$F$9,MATCH($B554,Settings!$A$5:$A$9,0)),0))/P554+IFERROR(INDEX(Settings!$D$5:$D$9,MATCH($B554,Settings!$A$5:$A$9,0)),0)*M554)</f>
        <v/>
      </c>
      <c r="W554" s="11">
        <f>IF(J554="","",IF(T554="",0,M554*INDEX(Products!$I$5:$I$204,T554)))</f>
        <v/>
      </c>
      <c r="X554" s="11">
        <f>IF(J554="","",IF(T554="",0,S554*INDEX(Products!$H$5:$H$204,T554)))</f>
        <v/>
      </c>
      <c r="Y554" s="11">
        <f>IF(J554="","",S554-V554-W554-X554)</f>
        <v/>
      </c>
    </row>
    <row r="555">
      <c r="A555" s="19" t="n"/>
      <c r="B555" s="19" t="n"/>
      <c r="C555" s="19" t="n"/>
      <c r="D555" s="19" t="n"/>
      <c r="E555" s="19" t="n"/>
      <c r="F555" s="20" t="n"/>
      <c r="G555" s="20" t="n"/>
      <c r="H555" s="20" t="n"/>
      <c r="I555" s="19" t="n"/>
      <c r="J555">
        <f>IFERROR(IF(C555="","",C555)&amp;"","")</f>
        <v/>
      </c>
      <c r="K555">
        <f>IFERROR(IF(D555="","",D555)&amp;"","")</f>
        <v/>
      </c>
      <c r="L555">
        <f>IFERROR(IF(I555="","",I555)&amp;"","")</f>
        <v/>
      </c>
      <c r="M555">
        <f>IF(J555="","",IFERROR(VALUE(SUBSTITUTE(SUBSTITUTE(IF(E555="","",E555)&amp;"","$",""),",","")),0))</f>
        <v/>
      </c>
      <c r="N555" s="11">
        <f>IF(J555="","",IFERROR(VALUE(SUBSTITUTE(SUBSTITUTE(IF(F555="","",F555)&amp;"","$",""),",","")),0))</f>
        <v/>
      </c>
      <c r="O555" s="11">
        <f>IF(J555="","",M555*N555)</f>
        <v/>
      </c>
      <c r="P555">
        <f>IF(J555="","",IF(L555="",1,COUNTIF($L$2:$L$1501,L555)))</f>
        <v/>
      </c>
      <c r="Q555" s="11">
        <f>IF(J555="","",IFERROR(VALUE(SUBSTITUTE(SUBSTITUTE(IF(G555="","",G555)&amp;"","$",""),",","")),0)/IF("No"="Yes",P555,1))</f>
        <v/>
      </c>
      <c r="R555" s="11">
        <f>IF(J555="","",IFERROR(VALUE(SUBSTITUTE(SUBSTITUTE(IF(H555="","",H555)&amp;"","$",""),",","")),0)/IF("No"="Yes",P555,1))</f>
        <v/>
      </c>
      <c r="S555" s="11">
        <f>IF(J555="","",O555+Q555-R555)</f>
        <v/>
      </c>
      <c r="T555">
        <f>IF(J555="","",IFERROR(IF(K555="",NA(),MATCH(K555,Products!$B$5:$B$204,0)),IFERROR(MATCH(J555,Products!$A$5:$A$204,0),"")))</f>
        <v/>
      </c>
      <c r="U555">
        <f>IF(J555="","",IF(T555="","⚠ not in Products",INDEX(Products!$A$5:$A$204,T555)))</f>
        <v/>
      </c>
      <c r="V555" s="11">
        <f>IF(J555="","",S555*(IFERROR(INDEX(Settings!$B$5:$B$9,MATCH($B555,Settings!$A$5:$A$9,0)),0)+IFERROR(INDEX(Settings!$E$5:$E$9,MATCH($B555,Settings!$A$5:$A$9,0)),0)+IFERROR(INDEX(Settings!$G$5:$G$9,MATCH($B555,Settings!$A$5:$A$9,0)),0))+(IFERROR(INDEX(Settings!$C$5:$C$9,MATCH($B555,Settings!$A$5:$A$9,0)),0)+IFERROR(INDEX(Settings!$F$5:$F$9,MATCH($B555,Settings!$A$5:$A$9,0)),0))/P555+IFERROR(INDEX(Settings!$D$5:$D$9,MATCH($B555,Settings!$A$5:$A$9,0)),0)*M555)</f>
        <v/>
      </c>
      <c r="W555" s="11">
        <f>IF(J555="","",IF(T555="",0,M555*INDEX(Products!$I$5:$I$204,T555)))</f>
        <v/>
      </c>
      <c r="X555" s="11">
        <f>IF(J555="","",IF(T555="",0,S555*INDEX(Products!$H$5:$H$204,T555)))</f>
        <v/>
      </c>
      <c r="Y555" s="11">
        <f>IF(J555="","",S555-V555-W555-X555)</f>
        <v/>
      </c>
    </row>
    <row r="556">
      <c r="A556" s="19" t="n"/>
      <c r="B556" s="19" t="n"/>
      <c r="C556" s="19" t="n"/>
      <c r="D556" s="19" t="n"/>
      <c r="E556" s="19" t="n"/>
      <c r="F556" s="20" t="n"/>
      <c r="G556" s="20" t="n"/>
      <c r="H556" s="20" t="n"/>
      <c r="I556" s="19" t="n"/>
      <c r="J556">
        <f>IFERROR(IF(C556="","",C556)&amp;"","")</f>
        <v/>
      </c>
      <c r="K556">
        <f>IFERROR(IF(D556="","",D556)&amp;"","")</f>
        <v/>
      </c>
      <c r="L556">
        <f>IFERROR(IF(I556="","",I556)&amp;"","")</f>
        <v/>
      </c>
      <c r="M556">
        <f>IF(J556="","",IFERROR(VALUE(SUBSTITUTE(SUBSTITUTE(IF(E556="","",E556)&amp;"","$",""),",","")),0))</f>
        <v/>
      </c>
      <c r="N556" s="11">
        <f>IF(J556="","",IFERROR(VALUE(SUBSTITUTE(SUBSTITUTE(IF(F556="","",F556)&amp;"","$",""),",","")),0))</f>
        <v/>
      </c>
      <c r="O556" s="11">
        <f>IF(J556="","",M556*N556)</f>
        <v/>
      </c>
      <c r="P556">
        <f>IF(J556="","",IF(L556="",1,COUNTIF($L$2:$L$1501,L556)))</f>
        <v/>
      </c>
      <c r="Q556" s="11">
        <f>IF(J556="","",IFERROR(VALUE(SUBSTITUTE(SUBSTITUTE(IF(G556="","",G556)&amp;"","$",""),",","")),0)/IF("No"="Yes",P556,1))</f>
        <v/>
      </c>
      <c r="R556" s="11">
        <f>IF(J556="","",IFERROR(VALUE(SUBSTITUTE(SUBSTITUTE(IF(H556="","",H556)&amp;"","$",""),",","")),0)/IF("No"="Yes",P556,1))</f>
        <v/>
      </c>
      <c r="S556" s="11">
        <f>IF(J556="","",O556+Q556-R556)</f>
        <v/>
      </c>
      <c r="T556">
        <f>IF(J556="","",IFERROR(IF(K556="",NA(),MATCH(K556,Products!$B$5:$B$204,0)),IFERROR(MATCH(J556,Products!$A$5:$A$204,0),"")))</f>
        <v/>
      </c>
      <c r="U556">
        <f>IF(J556="","",IF(T556="","⚠ not in Products",INDEX(Products!$A$5:$A$204,T556)))</f>
        <v/>
      </c>
      <c r="V556" s="11">
        <f>IF(J556="","",S556*(IFERROR(INDEX(Settings!$B$5:$B$9,MATCH($B556,Settings!$A$5:$A$9,0)),0)+IFERROR(INDEX(Settings!$E$5:$E$9,MATCH($B556,Settings!$A$5:$A$9,0)),0)+IFERROR(INDEX(Settings!$G$5:$G$9,MATCH($B556,Settings!$A$5:$A$9,0)),0))+(IFERROR(INDEX(Settings!$C$5:$C$9,MATCH($B556,Settings!$A$5:$A$9,0)),0)+IFERROR(INDEX(Settings!$F$5:$F$9,MATCH($B556,Settings!$A$5:$A$9,0)),0))/P556+IFERROR(INDEX(Settings!$D$5:$D$9,MATCH($B556,Settings!$A$5:$A$9,0)),0)*M556)</f>
        <v/>
      </c>
      <c r="W556" s="11">
        <f>IF(J556="","",IF(T556="",0,M556*INDEX(Products!$I$5:$I$204,T556)))</f>
        <v/>
      </c>
      <c r="X556" s="11">
        <f>IF(J556="","",IF(T556="",0,S556*INDEX(Products!$H$5:$H$204,T556)))</f>
        <v/>
      </c>
      <c r="Y556" s="11">
        <f>IF(J556="","",S556-V556-W556-X556)</f>
        <v/>
      </c>
    </row>
    <row r="557">
      <c r="A557" s="19" t="n"/>
      <c r="B557" s="19" t="n"/>
      <c r="C557" s="19" t="n"/>
      <c r="D557" s="19" t="n"/>
      <c r="E557" s="19" t="n"/>
      <c r="F557" s="20" t="n"/>
      <c r="G557" s="20" t="n"/>
      <c r="H557" s="20" t="n"/>
      <c r="I557" s="19" t="n"/>
      <c r="J557">
        <f>IFERROR(IF(C557="","",C557)&amp;"","")</f>
        <v/>
      </c>
      <c r="K557">
        <f>IFERROR(IF(D557="","",D557)&amp;"","")</f>
        <v/>
      </c>
      <c r="L557">
        <f>IFERROR(IF(I557="","",I557)&amp;"","")</f>
        <v/>
      </c>
      <c r="M557">
        <f>IF(J557="","",IFERROR(VALUE(SUBSTITUTE(SUBSTITUTE(IF(E557="","",E557)&amp;"","$",""),",","")),0))</f>
        <v/>
      </c>
      <c r="N557" s="11">
        <f>IF(J557="","",IFERROR(VALUE(SUBSTITUTE(SUBSTITUTE(IF(F557="","",F557)&amp;"","$",""),",","")),0))</f>
        <v/>
      </c>
      <c r="O557" s="11">
        <f>IF(J557="","",M557*N557)</f>
        <v/>
      </c>
      <c r="P557">
        <f>IF(J557="","",IF(L557="",1,COUNTIF($L$2:$L$1501,L557)))</f>
        <v/>
      </c>
      <c r="Q557" s="11">
        <f>IF(J557="","",IFERROR(VALUE(SUBSTITUTE(SUBSTITUTE(IF(G557="","",G557)&amp;"","$",""),",","")),0)/IF("No"="Yes",P557,1))</f>
        <v/>
      </c>
      <c r="R557" s="11">
        <f>IF(J557="","",IFERROR(VALUE(SUBSTITUTE(SUBSTITUTE(IF(H557="","",H557)&amp;"","$",""),",","")),0)/IF("No"="Yes",P557,1))</f>
        <v/>
      </c>
      <c r="S557" s="11">
        <f>IF(J557="","",O557+Q557-R557)</f>
        <v/>
      </c>
      <c r="T557">
        <f>IF(J557="","",IFERROR(IF(K557="",NA(),MATCH(K557,Products!$B$5:$B$204,0)),IFERROR(MATCH(J557,Products!$A$5:$A$204,0),"")))</f>
        <v/>
      </c>
      <c r="U557">
        <f>IF(J557="","",IF(T557="","⚠ not in Products",INDEX(Products!$A$5:$A$204,T557)))</f>
        <v/>
      </c>
      <c r="V557" s="11">
        <f>IF(J557="","",S557*(IFERROR(INDEX(Settings!$B$5:$B$9,MATCH($B557,Settings!$A$5:$A$9,0)),0)+IFERROR(INDEX(Settings!$E$5:$E$9,MATCH($B557,Settings!$A$5:$A$9,0)),0)+IFERROR(INDEX(Settings!$G$5:$G$9,MATCH($B557,Settings!$A$5:$A$9,0)),0))+(IFERROR(INDEX(Settings!$C$5:$C$9,MATCH($B557,Settings!$A$5:$A$9,0)),0)+IFERROR(INDEX(Settings!$F$5:$F$9,MATCH($B557,Settings!$A$5:$A$9,0)),0))/P557+IFERROR(INDEX(Settings!$D$5:$D$9,MATCH($B557,Settings!$A$5:$A$9,0)),0)*M557)</f>
        <v/>
      </c>
      <c r="W557" s="11">
        <f>IF(J557="","",IF(T557="",0,M557*INDEX(Products!$I$5:$I$204,T557)))</f>
        <v/>
      </c>
      <c r="X557" s="11">
        <f>IF(J557="","",IF(T557="",0,S557*INDEX(Products!$H$5:$H$204,T557)))</f>
        <v/>
      </c>
      <c r="Y557" s="11">
        <f>IF(J557="","",S557-V557-W557-X557)</f>
        <v/>
      </c>
    </row>
    <row r="558">
      <c r="A558" s="19" t="n"/>
      <c r="B558" s="19" t="n"/>
      <c r="C558" s="19" t="n"/>
      <c r="D558" s="19" t="n"/>
      <c r="E558" s="19" t="n"/>
      <c r="F558" s="20" t="n"/>
      <c r="G558" s="20" t="n"/>
      <c r="H558" s="20" t="n"/>
      <c r="I558" s="19" t="n"/>
      <c r="J558">
        <f>IFERROR(IF(C558="","",C558)&amp;"","")</f>
        <v/>
      </c>
      <c r="K558">
        <f>IFERROR(IF(D558="","",D558)&amp;"","")</f>
        <v/>
      </c>
      <c r="L558">
        <f>IFERROR(IF(I558="","",I558)&amp;"","")</f>
        <v/>
      </c>
      <c r="M558">
        <f>IF(J558="","",IFERROR(VALUE(SUBSTITUTE(SUBSTITUTE(IF(E558="","",E558)&amp;"","$",""),",","")),0))</f>
        <v/>
      </c>
      <c r="N558" s="11">
        <f>IF(J558="","",IFERROR(VALUE(SUBSTITUTE(SUBSTITUTE(IF(F558="","",F558)&amp;"","$",""),",","")),0))</f>
        <v/>
      </c>
      <c r="O558" s="11">
        <f>IF(J558="","",M558*N558)</f>
        <v/>
      </c>
      <c r="P558">
        <f>IF(J558="","",IF(L558="",1,COUNTIF($L$2:$L$1501,L558)))</f>
        <v/>
      </c>
      <c r="Q558" s="11">
        <f>IF(J558="","",IFERROR(VALUE(SUBSTITUTE(SUBSTITUTE(IF(G558="","",G558)&amp;"","$",""),",","")),0)/IF("No"="Yes",P558,1))</f>
        <v/>
      </c>
      <c r="R558" s="11">
        <f>IF(J558="","",IFERROR(VALUE(SUBSTITUTE(SUBSTITUTE(IF(H558="","",H558)&amp;"","$",""),",","")),0)/IF("No"="Yes",P558,1))</f>
        <v/>
      </c>
      <c r="S558" s="11">
        <f>IF(J558="","",O558+Q558-R558)</f>
        <v/>
      </c>
      <c r="T558">
        <f>IF(J558="","",IFERROR(IF(K558="",NA(),MATCH(K558,Products!$B$5:$B$204,0)),IFERROR(MATCH(J558,Products!$A$5:$A$204,0),"")))</f>
        <v/>
      </c>
      <c r="U558">
        <f>IF(J558="","",IF(T558="","⚠ not in Products",INDEX(Products!$A$5:$A$204,T558)))</f>
        <v/>
      </c>
      <c r="V558" s="11">
        <f>IF(J558="","",S558*(IFERROR(INDEX(Settings!$B$5:$B$9,MATCH($B558,Settings!$A$5:$A$9,0)),0)+IFERROR(INDEX(Settings!$E$5:$E$9,MATCH($B558,Settings!$A$5:$A$9,0)),0)+IFERROR(INDEX(Settings!$G$5:$G$9,MATCH($B558,Settings!$A$5:$A$9,0)),0))+(IFERROR(INDEX(Settings!$C$5:$C$9,MATCH($B558,Settings!$A$5:$A$9,0)),0)+IFERROR(INDEX(Settings!$F$5:$F$9,MATCH($B558,Settings!$A$5:$A$9,0)),0))/P558+IFERROR(INDEX(Settings!$D$5:$D$9,MATCH($B558,Settings!$A$5:$A$9,0)),0)*M558)</f>
        <v/>
      </c>
      <c r="W558" s="11">
        <f>IF(J558="","",IF(T558="",0,M558*INDEX(Products!$I$5:$I$204,T558)))</f>
        <v/>
      </c>
      <c r="X558" s="11">
        <f>IF(J558="","",IF(T558="",0,S558*INDEX(Products!$H$5:$H$204,T558)))</f>
        <v/>
      </c>
      <c r="Y558" s="11">
        <f>IF(J558="","",S558-V558-W558-X558)</f>
        <v/>
      </c>
    </row>
    <row r="559">
      <c r="A559" s="19" t="n"/>
      <c r="B559" s="19" t="n"/>
      <c r="C559" s="19" t="n"/>
      <c r="D559" s="19" t="n"/>
      <c r="E559" s="19" t="n"/>
      <c r="F559" s="20" t="n"/>
      <c r="G559" s="20" t="n"/>
      <c r="H559" s="20" t="n"/>
      <c r="I559" s="19" t="n"/>
      <c r="J559">
        <f>IFERROR(IF(C559="","",C559)&amp;"","")</f>
        <v/>
      </c>
      <c r="K559">
        <f>IFERROR(IF(D559="","",D559)&amp;"","")</f>
        <v/>
      </c>
      <c r="L559">
        <f>IFERROR(IF(I559="","",I559)&amp;"","")</f>
        <v/>
      </c>
      <c r="M559">
        <f>IF(J559="","",IFERROR(VALUE(SUBSTITUTE(SUBSTITUTE(IF(E559="","",E559)&amp;"","$",""),",","")),0))</f>
        <v/>
      </c>
      <c r="N559" s="11">
        <f>IF(J559="","",IFERROR(VALUE(SUBSTITUTE(SUBSTITUTE(IF(F559="","",F559)&amp;"","$",""),",","")),0))</f>
        <v/>
      </c>
      <c r="O559" s="11">
        <f>IF(J559="","",M559*N559)</f>
        <v/>
      </c>
      <c r="P559">
        <f>IF(J559="","",IF(L559="",1,COUNTIF($L$2:$L$1501,L559)))</f>
        <v/>
      </c>
      <c r="Q559" s="11">
        <f>IF(J559="","",IFERROR(VALUE(SUBSTITUTE(SUBSTITUTE(IF(G559="","",G559)&amp;"","$",""),",","")),0)/IF("No"="Yes",P559,1))</f>
        <v/>
      </c>
      <c r="R559" s="11">
        <f>IF(J559="","",IFERROR(VALUE(SUBSTITUTE(SUBSTITUTE(IF(H559="","",H559)&amp;"","$",""),",","")),0)/IF("No"="Yes",P559,1))</f>
        <v/>
      </c>
      <c r="S559" s="11">
        <f>IF(J559="","",O559+Q559-R559)</f>
        <v/>
      </c>
      <c r="T559">
        <f>IF(J559="","",IFERROR(IF(K559="",NA(),MATCH(K559,Products!$B$5:$B$204,0)),IFERROR(MATCH(J559,Products!$A$5:$A$204,0),"")))</f>
        <v/>
      </c>
      <c r="U559">
        <f>IF(J559="","",IF(T559="","⚠ not in Products",INDEX(Products!$A$5:$A$204,T559)))</f>
        <v/>
      </c>
      <c r="V559" s="11">
        <f>IF(J559="","",S559*(IFERROR(INDEX(Settings!$B$5:$B$9,MATCH($B559,Settings!$A$5:$A$9,0)),0)+IFERROR(INDEX(Settings!$E$5:$E$9,MATCH($B559,Settings!$A$5:$A$9,0)),0)+IFERROR(INDEX(Settings!$G$5:$G$9,MATCH($B559,Settings!$A$5:$A$9,0)),0))+(IFERROR(INDEX(Settings!$C$5:$C$9,MATCH($B559,Settings!$A$5:$A$9,0)),0)+IFERROR(INDEX(Settings!$F$5:$F$9,MATCH($B559,Settings!$A$5:$A$9,0)),0))/P559+IFERROR(INDEX(Settings!$D$5:$D$9,MATCH($B559,Settings!$A$5:$A$9,0)),0)*M559)</f>
        <v/>
      </c>
      <c r="W559" s="11">
        <f>IF(J559="","",IF(T559="",0,M559*INDEX(Products!$I$5:$I$204,T559)))</f>
        <v/>
      </c>
      <c r="X559" s="11">
        <f>IF(J559="","",IF(T559="",0,S559*INDEX(Products!$H$5:$H$204,T559)))</f>
        <v/>
      </c>
      <c r="Y559" s="11">
        <f>IF(J559="","",S559-V559-W559-X559)</f>
        <v/>
      </c>
    </row>
    <row r="560">
      <c r="A560" s="19" t="n"/>
      <c r="B560" s="19" t="n"/>
      <c r="C560" s="19" t="n"/>
      <c r="D560" s="19" t="n"/>
      <c r="E560" s="19" t="n"/>
      <c r="F560" s="20" t="n"/>
      <c r="G560" s="20" t="n"/>
      <c r="H560" s="20" t="n"/>
      <c r="I560" s="19" t="n"/>
      <c r="J560">
        <f>IFERROR(IF(C560="","",C560)&amp;"","")</f>
        <v/>
      </c>
      <c r="K560">
        <f>IFERROR(IF(D560="","",D560)&amp;"","")</f>
        <v/>
      </c>
      <c r="L560">
        <f>IFERROR(IF(I560="","",I560)&amp;"","")</f>
        <v/>
      </c>
      <c r="M560">
        <f>IF(J560="","",IFERROR(VALUE(SUBSTITUTE(SUBSTITUTE(IF(E560="","",E560)&amp;"","$",""),",","")),0))</f>
        <v/>
      </c>
      <c r="N560" s="11">
        <f>IF(J560="","",IFERROR(VALUE(SUBSTITUTE(SUBSTITUTE(IF(F560="","",F560)&amp;"","$",""),",","")),0))</f>
        <v/>
      </c>
      <c r="O560" s="11">
        <f>IF(J560="","",M560*N560)</f>
        <v/>
      </c>
      <c r="P560">
        <f>IF(J560="","",IF(L560="",1,COUNTIF($L$2:$L$1501,L560)))</f>
        <v/>
      </c>
      <c r="Q560" s="11">
        <f>IF(J560="","",IFERROR(VALUE(SUBSTITUTE(SUBSTITUTE(IF(G560="","",G560)&amp;"","$",""),",","")),0)/IF("No"="Yes",P560,1))</f>
        <v/>
      </c>
      <c r="R560" s="11">
        <f>IF(J560="","",IFERROR(VALUE(SUBSTITUTE(SUBSTITUTE(IF(H560="","",H560)&amp;"","$",""),",","")),0)/IF("No"="Yes",P560,1))</f>
        <v/>
      </c>
      <c r="S560" s="11">
        <f>IF(J560="","",O560+Q560-R560)</f>
        <v/>
      </c>
      <c r="T560">
        <f>IF(J560="","",IFERROR(IF(K560="",NA(),MATCH(K560,Products!$B$5:$B$204,0)),IFERROR(MATCH(J560,Products!$A$5:$A$204,0),"")))</f>
        <v/>
      </c>
      <c r="U560">
        <f>IF(J560="","",IF(T560="","⚠ not in Products",INDEX(Products!$A$5:$A$204,T560)))</f>
        <v/>
      </c>
      <c r="V560" s="11">
        <f>IF(J560="","",S560*(IFERROR(INDEX(Settings!$B$5:$B$9,MATCH($B560,Settings!$A$5:$A$9,0)),0)+IFERROR(INDEX(Settings!$E$5:$E$9,MATCH($B560,Settings!$A$5:$A$9,0)),0)+IFERROR(INDEX(Settings!$G$5:$G$9,MATCH($B560,Settings!$A$5:$A$9,0)),0))+(IFERROR(INDEX(Settings!$C$5:$C$9,MATCH($B560,Settings!$A$5:$A$9,0)),0)+IFERROR(INDEX(Settings!$F$5:$F$9,MATCH($B560,Settings!$A$5:$A$9,0)),0))/P560+IFERROR(INDEX(Settings!$D$5:$D$9,MATCH($B560,Settings!$A$5:$A$9,0)),0)*M560)</f>
        <v/>
      </c>
      <c r="W560" s="11">
        <f>IF(J560="","",IF(T560="",0,M560*INDEX(Products!$I$5:$I$204,T560)))</f>
        <v/>
      </c>
      <c r="X560" s="11">
        <f>IF(J560="","",IF(T560="",0,S560*INDEX(Products!$H$5:$H$204,T560)))</f>
        <v/>
      </c>
      <c r="Y560" s="11">
        <f>IF(J560="","",S560-V560-W560-X560)</f>
        <v/>
      </c>
    </row>
    <row r="561">
      <c r="A561" s="19" t="n"/>
      <c r="B561" s="19" t="n"/>
      <c r="C561" s="19" t="n"/>
      <c r="D561" s="19" t="n"/>
      <c r="E561" s="19" t="n"/>
      <c r="F561" s="20" t="n"/>
      <c r="G561" s="20" t="n"/>
      <c r="H561" s="20" t="n"/>
      <c r="I561" s="19" t="n"/>
      <c r="J561">
        <f>IFERROR(IF(C561="","",C561)&amp;"","")</f>
        <v/>
      </c>
      <c r="K561">
        <f>IFERROR(IF(D561="","",D561)&amp;"","")</f>
        <v/>
      </c>
      <c r="L561">
        <f>IFERROR(IF(I561="","",I561)&amp;"","")</f>
        <v/>
      </c>
      <c r="M561">
        <f>IF(J561="","",IFERROR(VALUE(SUBSTITUTE(SUBSTITUTE(IF(E561="","",E561)&amp;"","$",""),",","")),0))</f>
        <v/>
      </c>
      <c r="N561" s="11">
        <f>IF(J561="","",IFERROR(VALUE(SUBSTITUTE(SUBSTITUTE(IF(F561="","",F561)&amp;"","$",""),",","")),0))</f>
        <v/>
      </c>
      <c r="O561" s="11">
        <f>IF(J561="","",M561*N561)</f>
        <v/>
      </c>
      <c r="P561">
        <f>IF(J561="","",IF(L561="",1,COUNTIF($L$2:$L$1501,L561)))</f>
        <v/>
      </c>
      <c r="Q561" s="11">
        <f>IF(J561="","",IFERROR(VALUE(SUBSTITUTE(SUBSTITUTE(IF(G561="","",G561)&amp;"","$",""),",","")),0)/IF("No"="Yes",P561,1))</f>
        <v/>
      </c>
      <c r="R561" s="11">
        <f>IF(J561="","",IFERROR(VALUE(SUBSTITUTE(SUBSTITUTE(IF(H561="","",H561)&amp;"","$",""),",","")),0)/IF("No"="Yes",P561,1))</f>
        <v/>
      </c>
      <c r="S561" s="11">
        <f>IF(J561="","",O561+Q561-R561)</f>
        <v/>
      </c>
      <c r="T561">
        <f>IF(J561="","",IFERROR(IF(K561="",NA(),MATCH(K561,Products!$B$5:$B$204,0)),IFERROR(MATCH(J561,Products!$A$5:$A$204,0),"")))</f>
        <v/>
      </c>
      <c r="U561">
        <f>IF(J561="","",IF(T561="","⚠ not in Products",INDEX(Products!$A$5:$A$204,T561)))</f>
        <v/>
      </c>
      <c r="V561" s="11">
        <f>IF(J561="","",S561*(IFERROR(INDEX(Settings!$B$5:$B$9,MATCH($B561,Settings!$A$5:$A$9,0)),0)+IFERROR(INDEX(Settings!$E$5:$E$9,MATCH($B561,Settings!$A$5:$A$9,0)),0)+IFERROR(INDEX(Settings!$G$5:$G$9,MATCH($B561,Settings!$A$5:$A$9,0)),0))+(IFERROR(INDEX(Settings!$C$5:$C$9,MATCH($B561,Settings!$A$5:$A$9,0)),0)+IFERROR(INDEX(Settings!$F$5:$F$9,MATCH($B561,Settings!$A$5:$A$9,0)),0))/P561+IFERROR(INDEX(Settings!$D$5:$D$9,MATCH($B561,Settings!$A$5:$A$9,0)),0)*M561)</f>
        <v/>
      </c>
      <c r="W561" s="11">
        <f>IF(J561="","",IF(T561="",0,M561*INDEX(Products!$I$5:$I$204,T561)))</f>
        <v/>
      </c>
      <c r="X561" s="11">
        <f>IF(J561="","",IF(T561="",0,S561*INDEX(Products!$H$5:$H$204,T561)))</f>
        <v/>
      </c>
      <c r="Y561" s="11">
        <f>IF(J561="","",S561-V561-W561-X561)</f>
        <v/>
      </c>
    </row>
    <row r="562">
      <c r="A562" s="19" t="n"/>
      <c r="B562" s="19" t="n"/>
      <c r="C562" s="19" t="n"/>
      <c r="D562" s="19" t="n"/>
      <c r="E562" s="19" t="n"/>
      <c r="F562" s="20" t="n"/>
      <c r="G562" s="20" t="n"/>
      <c r="H562" s="20" t="n"/>
      <c r="I562" s="19" t="n"/>
      <c r="J562">
        <f>IFERROR(IF(C562="","",C562)&amp;"","")</f>
        <v/>
      </c>
      <c r="K562">
        <f>IFERROR(IF(D562="","",D562)&amp;"","")</f>
        <v/>
      </c>
      <c r="L562">
        <f>IFERROR(IF(I562="","",I562)&amp;"","")</f>
        <v/>
      </c>
      <c r="M562">
        <f>IF(J562="","",IFERROR(VALUE(SUBSTITUTE(SUBSTITUTE(IF(E562="","",E562)&amp;"","$",""),",","")),0))</f>
        <v/>
      </c>
      <c r="N562" s="11">
        <f>IF(J562="","",IFERROR(VALUE(SUBSTITUTE(SUBSTITUTE(IF(F562="","",F562)&amp;"","$",""),",","")),0))</f>
        <v/>
      </c>
      <c r="O562" s="11">
        <f>IF(J562="","",M562*N562)</f>
        <v/>
      </c>
      <c r="P562">
        <f>IF(J562="","",IF(L562="",1,COUNTIF($L$2:$L$1501,L562)))</f>
        <v/>
      </c>
      <c r="Q562" s="11">
        <f>IF(J562="","",IFERROR(VALUE(SUBSTITUTE(SUBSTITUTE(IF(G562="","",G562)&amp;"","$",""),",","")),0)/IF("No"="Yes",P562,1))</f>
        <v/>
      </c>
      <c r="R562" s="11">
        <f>IF(J562="","",IFERROR(VALUE(SUBSTITUTE(SUBSTITUTE(IF(H562="","",H562)&amp;"","$",""),",","")),0)/IF("No"="Yes",P562,1))</f>
        <v/>
      </c>
      <c r="S562" s="11">
        <f>IF(J562="","",O562+Q562-R562)</f>
        <v/>
      </c>
      <c r="T562">
        <f>IF(J562="","",IFERROR(IF(K562="",NA(),MATCH(K562,Products!$B$5:$B$204,0)),IFERROR(MATCH(J562,Products!$A$5:$A$204,0),"")))</f>
        <v/>
      </c>
      <c r="U562">
        <f>IF(J562="","",IF(T562="","⚠ not in Products",INDEX(Products!$A$5:$A$204,T562)))</f>
        <v/>
      </c>
      <c r="V562" s="11">
        <f>IF(J562="","",S562*(IFERROR(INDEX(Settings!$B$5:$B$9,MATCH($B562,Settings!$A$5:$A$9,0)),0)+IFERROR(INDEX(Settings!$E$5:$E$9,MATCH($B562,Settings!$A$5:$A$9,0)),0)+IFERROR(INDEX(Settings!$G$5:$G$9,MATCH($B562,Settings!$A$5:$A$9,0)),0))+(IFERROR(INDEX(Settings!$C$5:$C$9,MATCH($B562,Settings!$A$5:$A$9,0)),0)+IFERROR(INDEX(Settings!$F$5:$F$9,MATCH($B562,Settings!$A$5:$A$9,0)),0))/P562+IFERROR(INDEX(Settings!$D$5:$D$9,MATCH($B562,Settings!$A$5:$A$9,0)),0)*M562)</f>
        <v/>
      </c>
      <c r="W562" s="11">
        <f>IF(J562="","",IF(T562="",0,M562*INDEX(Products!$I$5:$I$204,T562)))</f>
        <v/>
      </c>
      <c r="X562" s="11">
        <f>IF(J562="","",IF(T562="",0,S562*INDEX(Products!$H$5:$H$204,T562)))</f>
        <v/>
      </c>
      <c r="Y562" s="11">
        <f>IF(J562="","",S562-V562-W562-X562)</f>
        <v/>
      </c>
    </row>
    <row r="563">
      <c r="A563" s="19" t="n"/>
      <c r="B563" s="19" t="n"/>
      <c r="C563" s="19" t="n"/>
      <c r="D563" s="19" t="n"/>
      <c r="E563" s="19" t="n"/>
      <c r="F563" s="20" t="n"/>
      <c r="G563" s="20" t="n"/>
      <c r="H563" s="20" t="n"/>
      <c r="I563" s="19" t="n"/>
      <c r="J563">
        <f>IFERROR(IF(C563="","",C563)&amp;"","")</f>
        <v/>
      </c>
      <c r="K563">
        <f>IFERROR(IF(D563="","",D563)&amp;"","")</f>
        <v/>
      </c>
      <c r="L563">
        <f>IFERROR(IF(I563="","",I563)&amp;"","")</f>
        <v/>
      </c>
      <c r="M563">
        <f>IF(J563="","",IFERROR(VALUE(SUBSTITUTE(SUBSTITUTE(IF(E563="","",E563)&amp;"","$",""),",","")),0))</f>
        <v/>
      </c>
      <c r="N563" s="11">
        <f>IF(J563="","",IFERROR(VALUE(SUBSTITUTE(SUBSTITUTE(IF(F563="","",F563)&amp;"","$",""),",","")),0))</f>
        <v/>
      </c>
      <c r="O563" s="11">
        <f>IF(J563="","",M563*N563)</f>
        <v/>
      </c>
      <c r="P563">
        <f>IF(J563="","",IF(L563="",1,COUNTIF($L$2:$L$1501,L563)))</f>
        <v/>
      </c>
      <c r="Q563" s="11">
        <f>IF(J563="","",IFERROR(VALUE(SUBSTITUTE(SUBSTITUTE(IF(G563="","",G563)&amp;"","$",""),",","")),0)/IF("No"="Yes",P563,1))</f>
        <v/>
      </c>
      <c r="R563" s="11">
        <f>IF(J563="","",IFERROR(VALUE(SUBSTITUTE(SUBSTITUTE(IF(H563="","",H563)&amp;"","$",""),",","")),0)/IF("No"="Yes",P563,1))</f>
        <v/>
      </c>
      <c r="S563" s="11">
        <f>IF(J563="","",O563+Q563-R563)</f>
        <v/>
      </c>
      <c r="T563">
        <f>IF(J563="","",IFERROR(IF(K563="",NA(),MATCH(K563,Products!$B$5:$B$204,0)),IFERROR(MATCH(J563,Products!$A$5:$A$204,0),"")))</f>
        <v/>
      </c>
      <c r="U563">
        <f>IF(J563="","",IF(T563="","⚠ not in Products",INDEX(Products!$A$5:$A$204,T563)))</f>
        <v/>
      </c>
      <c r="V563" s="11">
        <f>IF(J563="","",S563*(IFERROR(INDEX(Settings!$B$5:$B$9,MATCH($B563,Settings!$A$5:$A$9,0)),0)+IFERROR(INDEX(Settings!$E$5:$E$9,MATCH($B563,Settings!$A$5:$A$9,0)),0)+IFERROR(INDEX(Settings!$G$5:$G$9,MATCH($B563,Settings!$A$5:$A$9,0)),0))+(IFERROR(INDEX(Settings!$C$5:$C$9,MATCH($B563,Settings!$A$5:$A$9,0)),0)+IFERROR(INDEX(Settings!$F$5:$F$9,MATCH($B563,Settings!$A$5:$A$9,0)),0))/P563+IFERROR(INDEX(Settings!$D$5:$D$9,MATCH($B563,Settings!$A$5:$A$9,0)),0)*M563)</f>
        <v/>
      </c>
      <c r="W563" s="11">
        <f>IF(J563="","",IF(T563="",0,M563*INDEX(Products!$I$5:$I$204,T563)))</f>
        <v/>
      </c>
      <c r="X563" s="11">
        <f>IF(J563="","",IF(T563="",0,S563*INDEX(Products!$H$5:$H$204,T563)))</f>
        <v/>
      </c>
      <c r="Y563" s="11">
        <f>IF(J563="","",S563-V563-W563-X563)</f>
        <v/>
      </c>
    </row>
    <row r="564">
      <c r="A564" s="19" t="n"/>
      <c r="B564" s="19" t="n"/>
      <c r="C564" s="19" t="n"/>
      <c r="D564" s="19" t="n"/>
      <c r="E564" s="19" t="n"/>
      <c r="F564" s="20" t="n"/>
      <c r="G564" s="20" t="n"/>
      <c r="H564" s="20" t="n"/>
      <c r="I564" s="19" t="n"/>
      <c r="J564">
        <f>IFERROR(IF(C564="","",C564)&amp;"","")</f>
        <v/>
      </c>
      <c r="K564">
        <f>IFERROR(IF(D564="","",D564)&amp;"","")</f>
        <v/>
      </c>
      <c r="L564">
        <f>IFERROR(IF(I564="","",I564)&amp;"","")</f>
        <v/>
      </c>
      <c r="M564">
        <f>IF(J564="","",IFERROR(VALUE(SUBSTITUTE(SUBSTITUTE(IF(E564="","",E564)&amp;"","$",""),",","")),0))</f>
        <v/>
      </c>
      <c r="N564" s="11">
        <f>IF(J564="","",IFERROR(VALUE(SUBSTITUTE(SUBSTITUTE(IF(F564="","",F564)&amp;"","$",""),",","")),0))</f>
        <v/>
      </c>
      <c r="O564" s="11">
        <f>IF(J564="","",M564*N564)</f>
        <v/>
      </c>
      <c r="P564">
        <f>IF(J564="","",IF(L564="",1,COUNTIF($L$2:$L$1501,L564)))</f>
        <v/>
      </c>
      <c r="Q564" s="11">
        <f>IF(J564="","",IFERROR(VALUE(SUBSTITUTE(SUBSTITUTE(IF(G564="","",G564)&amp;"","$",""),",","")),0)/IF("No"="Yes",P564,1))</f>
        <v/>
      </c>
      <c r="R564" s="11">
        <f>IF(J564="","",IFERROR(VALUE(SUBSTITUTE(SUBSTITUTE(IF(H564="","",H564)&amp;"","$",""),",","")),0)/IF("No"="Yes",P564,1))</f>
        <v/>
      </c>
      <c r="S564" s="11">
        <f>IF(J564="","",O564+Q564-R564)</f>
        <v/>
      </c>
      <c r="T564">
        <f>IF(J564="","",IFERROR(IF(K564="",NA(),MATCH(K564,Products!$B$5:$B$204,0)),IFERROR(MATCH(J564,Products!$A$5:$A$204,0),"")))</f>
        <v/>
      </c>
      <c r="U564">
        <f>IF(J564="","",IF(T564="","⚠ not in Products",INDEX(Products!$A$5:$A$204,T564)))</f>
        <v/>
      </c>
      <c r="V564" s="11">
        <f>IF(J564="","",S564*(IFERROR(INDEX(Settings!$B$5:$B$9,MATCH($B564,Settings!$A$5:$A$9,0)),0)+IFERROR(INDEX(Settings!$E$5:$E$9,MATCH($B564,Settings!$A$5:$A$9,0)),0)+IFERROR(INDEX(Settings!$G$5:$G$9,MATCH($B564,Settings!$A$5:$A$9,0)),0))+(IFERROR(INDEX(Settings!$C$5:$C$9,MATCH($B564,Settings!$A$5:$A$9,0)),0)+IFERROR(INDEX(Settings!$F$5:$F$9,MATCH($B564,Settings!$A$5:$A$9,0)),0))/P564+IFERROR(INDEX(Settings!$D$5:$D$9,MATCH($B564,Settings!$A$5:$A$9,0)),0)*M564)</f>
        <v/>
      </c>
      <c r="W564" s="11">
        <f>IF(J564="","",IF(T564="",0,M564*INDEX(Products!$I$5:$I$204,T564)))</f>
        <v/>
      </c>
      <c r="X564" s="11">
        <f>IF(J564="","",IF(T564="",0,S564*INDEX(Products!$H$5:$H$204,T564)))</f>
        <v/>
      </c>
      <c r="Y564" s="11">
        <f>IF(J564="","",S564-V564-W564-X564)</f>
        <v/>
      </c>
    </row>
    <row r="565">
      <c r="A565" s="19" t="n"/>
      <c r="B565" s="19" t="n"/>
      <c r="C565" s="19" t="n"/>
      <c r="D565" s="19" t="n"/>
      <c r="E565" s="19" t="n"/>
      <c r="F565" s="20" t="n"/>
      <c r="G565" s="20" t="n"/>
      <c r="H565" s="20" t="n"/>
      <c r="I565" s="19" t="n"/>
      <c r="J565">
        <f>IFERROR(IF(C565="","",C565)&amp;"","")</f>
        <v/>
      </c>
      <c r="K565">
        <f>IFERROR(IF(D565="","",D565)&amp;"","")</f>
        <v/>
      </c>
      <c r="L565">
        <f>IFERROR(IF(I565="","",I565)&amp;"","")</f>
        <v/>
      </c>
      <c r="M565">
        <f>IF(J565="","",IFERROR(VALUE(SUBSTITUTE(SUBSTITUTE(IF(E565="","",E565)&amp;"","$",""),",","")),0))</f>
        <v/>
      </c>
      <c r="N565" s="11">
        <f>IF(J565="","",IFERROR(VALUE(SUBSTITUTE(SUBSTITUTE(IF(F565="","",F565)&amp;"","$",""),",","")),0))</f>
        <v/>
      </c>
      <c r="O565" s="11">
        <f>IF(J565="","",M565*N565)</f>
        <v/>
      </c>
      <c r="P565">
        <f>IF(J565="","",IF(L565="",1,COUNTIF($L$2:$L$1501,L565)))</f>
        <v/>
      </c>
      <c r="Q565" s="11">
        <f>IF(J565="","",IFERROR(VALUE(SUBSTITUTE(SUBSTITUTE(IF(G565="","",G565)&amp;"","$",""),",","")),0)/IF("No"="Yes",P565,1))</f>
        <v/>
      </c>
      <c r="R565" s="11">
        <f>IF(J565="","",IFERROR(VALUE(SUBSTITUTE(SUBSTITUTE(IF(H565="","",H565)&amp;"","$",""),",","")),0)/IF("No"="Yes",P565,1))</f>
        <v/>
      </c>
      <c r="S565" s="11">
        <f>IF(J565="","",O565+Q565-R565)</f>
        <v/>
      </c>
      <c r="T565">
        <f>IF(J565="","",IFERROR(IF(K565="",NA(),MATCH(K565,Products!$B$5:$B$204,0)),IFERROR(MATCH(J565,Products!$A$5:$A$204,0),"")))</f>
        <v/>
      </c>
      <c r="U565">
        <f>IF(J565="","",IF(T565="","⚠ not in Products",INDEX(Products!$A$5:$A$204,T565)))</f>
        <v/>
      </c>
      <c r="V565" s="11">
        <f>IF(J565="","",S565*(IFERROR(INDEX(Settings!$B$5:$B$9,MATCH($B565,Settings!$A$5:$A$9,0)),0)+IFERROR(INDEX(Settings!$E$5:$E$9,MATCH($B565,Settings!$A$5:$A$9,0)),0)+IFERROR(INDEX(Settings!$G$5:$G$9,MATCH($B565,Settings!$A$5:$A$9,0)),0))+(IFERROR(INDEX(Settings!$C$5:$C$9,MATCH($B565,Settings!$A$5:$A$9,0)),0)+IFERROR(INDEX(Settings!$F$5:$F$9,MATCH($B565,Settings!$A$5:$A$9,0)),0))/P565+IFERROR(INDEX(Settings!$D$5:$D$9,MATCH($B565,Settings!$A$5:$A$9,0)),0)*M565)</f>
        <v/>
      </c>
      <c r="W565" s="11">
        <f>IF(J565="","",IF(T565="",0,M565*INDEX(Products!$I$5:$I$204,T565)))</f>
        <v/>
      </c>
      <c r="X565" s="11">
        <f>IF(J565="","",IF(T565="",0,S565*INDEX(Products!$H$5:$H$204,T565)))</f>
        <v/>
      </c>
      <c r="Y565" s="11">
        <f>IF(J565="","",S565-V565-W565-X565)</f>
        <v/>
      </c>
    </row>
    <row r="566">
      <c r="A566" s="19" t="n"/>
      <c r="B566" s="19" t="n"/>
      <c r="C566" s="19" t="n"/>
      <c r="D566" s="19" t="n"/>
      <c r="E566" s="19" t="n"/>
      <c r="F566" s="20" t="n"/>
      <c r="G566" s="20" t="n"/>
      <c r="H566" s="20" t="n"/>
      <c r="I566" s="19" t="n"/>
      <c r="J566">
        <f>IFERROR(IF(C566="","",C566)&amp;"","")</f>
        <v/>
      </c>
      <c r="K566">
        <f>IFERROR(IF(D566="","",D566)&amp;"","")</f>
        <v/>
      </c>
      <c r="L566">
        <f>IFERROR(IF(I566="","",I566)&amp;"","")</f>
        <v/>
      </c>
      <c r="M566">
        <f>IF(J566="","",IFERROR(VALUE(SUBSTITUTE(SUBSTITUTE(IF(E566="","",E566)&amp;"","$",""),",","")),0))</f>
        <v/>
      </c>
      <c r="N566" s="11">
        <f>IF(J566="","",IFERROR(VALUE(SUBSTITUTE(SUBSTITUTE(IF(F566="","",F566)&amp;"","$",""),",","")),0))</f>
        <v/>
      </c>
      <c r="O566" s="11">
        <f>IF(J566="","",M566*N566)</f>
        <v/>
      </c>
      <c r="P566">
        <f>IF(J566="","",IF(L566="",1,COUNTIF($L$2:$L$1501,L566)))</f>
        <v/>
      </c>
      <c r="Q566" s="11">
        <f>IF(J566="","",IFERROR(VALUE(SUBSTITUTE(SUBSTITUTE(IF(G566="","",G566)&amp;"","$",""),",","")),0)/IF("No"="Yes",P566,1))</f>
        <v/>
      </c>
      <c r="R566" s="11">
        <f>IF(J566="","",IFERROR(VALUE(SUBSTITUTE(SUBSTITUTE(IF(H566="","",H566)&amp;"","$",""),",","")),0)/IF("No"="Yes",P566,1))</f>
        <v/>
      </c>
      <c r="S566" s="11">
        <f>IF(J566="","",O566+Q566-R566)</f>
        <v/>
      </c>
      <c r="T566">
        <f>IF(J566="","",IFERROR(IF(K566="",NA(),MATCH(K566,Products!$B$5:$B$204,0)),IFERROR(MATCH(J566,Products!$A$5:$A$204,0),"")))</f>
        <v/>
      </c>
      <c r="U566">
        <f>IF(J566="","",IF(T566="","⚠ not in Products",INDEX(Products!$A$5:$A$204,T566)))</f>
        <v/>
      </c>
      <c r="V566" s="11">
        <f>IF(J566="","",S566*(IFERROR(INDEX(Settings!$B$5:$B$9,MATCH($B566,Settings!$A$5:$A$9,0)),0)+IFERROR(INDEX(Settings!$E$5:$E$9,MATCH($B566,Settings!$A$5:$A$9,0)),0)+IFERROR(INDEX(Settings!$G$5:$G$9,MATCH($B566,Settings!$A$5:$A$9,0)),0))+(IFERROR(INDEX(Settings!$C$5:$C$9,MATCH($B566,Settings!$A$5:$A$9,0)),0)+IFERROR(INDEX(Settings!$F$5:$F$9,MATCH($B566,Settings!$A$5:$A$9,0)),0))/P566+IFERROR(INDEX(Settings!$D$5:$D$9,MATCH($B566,Settings!$A$5:$A$9,0)),0)*M566)</f>
        <v/>
      </c>
      <c r="W566" s="11">
        <f>IF(J566="","",IF(T566="",0,M566*INDEX(Products!$I$5:$I$204,T566)))</f>
        <v/>
      </c>
      <c r="X566" s="11">
        <f>IF(J566="","",IF(T566="",0,S566*INDEX(Products!$H$5:$H$204,T566)))</f>
        <v/>
      </c>
      <c r="Y566" s="11">
        <f>IF(J566="","",S566-V566-W566-X566)</f>
        <v/>
      </c>
    </row>
    <row r="567">
      <c r="A567" s="19" t="n"/>
      <c r="B567" s="19" t="n"/>
      <c r="C567" s="19" t="n"/>
      <c r="D567" s="19" t="n"/>
      <c r="E567" s="19" t="n"/>
      <c r="F567" s="20" t="n"/>
      <c r="G567" s="20" t="n"/>
      <c r="H567" s="20" t="n"/>
      <c r="I567" s="19" t="n"/>
      <c r="J567">
        <f>IFERROR(IF(C567="","",C567)&amp;"","")</f>
        <v/>
      </c>
      <c r="K567">
        <f>IFERROR(IF(D567="","",D567)&amp;"","")</f>
        <v/>
      </c>
      <c r="L567">
        <f>IFERROR(IF(I567="","",I567)&amp;"","")</f>
        <v/>
      </c>
      <c r="M567">
        <f>IF(J567="","",IFERROR(VALUE(SUBSTITUTE(SUBSTITUTE(IF(E567="","",E567)&amp;"","$",""),",","")),0))</f>
        <v/>
      </c>
      <c r="N567" s="11">
        <f>IF(J567="","",IFERROR(VALUE(SUBSTITUTE(SUBSTITUTE(IF(F567="","",F567)&amp;"","$",""),",","")),0))</f>
        <v/>
      </c>
      <c r="O567" s="11">
        <f>IF(J567="","",M567*N567)</f>
        <v/>
      </c>
      <c r="P567">
        <f>IF(J567="","",IF(L567="",1,COUNTIF($L$2:$L$1501,L567)))</f>
        <v/>
      </c>
      <c r="Q567" s="11">
        <f>IF(J567="","",IFERROR(VALUE(SUBSTITUTE(SUBSTITUTE(IF(G567="","",G567)&amp;"","$",""),",","")),0)/IF("No"="Yes",P567,1))</f>
        <v/>
      </c>
      <c r="R567" s="11">
        <f>IF(J567="","",IFERROR(VALUE(SUBSTITUTE(SUBSTITUTE(IF(H567="","",H567)&amp;"","$",""),",","")),0)/IF("No"="Yes",P567,1))</f>
        <v/>
      </c>
      <c r="S567" s="11">
        <f>IF(J567="","",O567+Q567-R567)</f>
        <v/>
      </c>
      <c r="T567">
        <f>IF(J567="","",IFERROR(IF(K567="",NA(),MATCH(K567,Products!$B$5:$B$204,0)),IFERROR(MATCH(J567,Products!$A$5:$A$204,0),"")))</f>
        <v/>
      </c>
      <c r="U567">
        <f>IF(J567="","",IF(T567="","⚠ not in Products",INDEX(Products!$A$5:$A$204,T567)))</f>
        <v/>
      </c>
      <c r="V567" s="11">
        <f>IF(J567="","",S567*(IFERROR(INDEX(Settings!$B$5:$B$9,MATCH($B567,Settings!$A$5:$A$9,0)),0)+IFERROR(INDEX(Settings!$E$5:$E$9,MATCH($B567,Settings!$A$5:$A$9,0)),0)+IFERROR(INDEX(Settings!$G$5:$G$9,MATCH($B567,Settings!$A$5:$A$9,0)),0))+(IFERROR(INDEX(Settings!$C$5:$C$9,MATCH($B567,Settings!$A$5:$A$9,0)),0)+IFERROR(INDEX(Settings!$F$5:$F$9,MATCH($B567,Settings!$A$5:$A$9,0)),0))/P567+IFERROR(INDEX(Settings!$D$5:$D$9,MATCH($B567,Settings!$A$5:$A$9,0)),0)*M567)</f>
        <v/>
      </c>
      <c r="W567" s="11">
        <f>IF(J567="","",IF(T567="",0,M567*INDEX(Products!$I$5:$I$204,T567)))</f>
        <v/>
      </c>
      <c r="X567" s="11">
        <f>IF(J567="","",IF(T567="",0,S567*INDEX(Products!$H$5:$H$204,T567)))</f>
        <v/>
      </c>
      <c r="Y567" s="11">
        <f>IF(J567="","",S567-V567-W567-X567)</f>
        <v/>
      </c>
    </row>
    <row r="568">
      <c r="A568" s="19" t="n"/>
      <c r="B568" s="19" t="n"/>
      <c r="C568" s="19" t="n"/>
      <c r="D568" s="19" t="n"/>
      <c r="E568" s="19" t="n"/>
      <c r="F568" s="20" t="n"/>
      <c r="G568" s="20" t="n"/>
      <c r="H568" s="20" t="n"/>
      <c r="I568" s="19" t="n"/>
      <c r="J568">
        <f>IFERROR(IF(C568="","",C568)&amp;"","")</f>
        <v/>
      </c>
      <c r="K568">
        <f>IFERROR(IF(D568="","",D568)&amp;"","")</f>
        <v/>
      </c>
      <c r="L568">
        <f>IFERROR(IF(I568="","",I568)&amp;"","")</f>
        <v/>
      </c>
      <c r="M568">
        <f>IF(J568="","",IFERROR(VALUE(SUBSTITUTE(SUBSTITUTE(IF(E568="","",E568)&amp;"","$",""),",","")),0))</f>
        <v/>
      </c>
      <c r="N568" s="11">
        <f>IF(J568="","",IFERROR(VALUE(SUBSTITUTE(SUBSTITUTE(IF(F568="","",F568)&amp;"","$",""),",","")),0))</f>
        <v/>
      </c>
      <c r="O568" s="11">
        <f>IF(J568="","",M568*N568)</f>
        <v/>
      </c>
      <c r="P568">
        <f>IF(J568="","",IF(L568="",1,COUNTIF($L$2:$L$1501,L568)))</f>
        <v/>
      </c>
      <c r="Q568" s="11">
        <f>IF(J568="","",IFERROR(VALUE(SUBSTITUTE(SUBSTITUTE(IF(G568="","",G568)&amp;"","$",""),",","")),0)/IF("No"="Yes",P568,1))</f>
        <v/>
      </c>
      <c r="R568" s="11">
        <f>IF(J568="","",IFERROR(VALUE(SUBSTITUTE(SUBSTITUTE(IF(H568="","",H568)&amp;"","$",""),",","")),0)/IF("No"="Yes",P568,1))</f>
        <v/>
      </c>
      <c r="S568" s="11">
        <f>IF(J568="","",O568+Q568-R568)</f>
        <v/>
      </c>
      <c r="T568">
        <f>IF(J568="","",IFERROR(IF(K568="",NA(),MATCH(K568,Products!$B$5:$B$204,0)),IFERROR(MATCH(J568,Products!$A$5:$A$204,0),"")))</f>
        <v/>
      </c>
      <c r="U568">
        <f>IF(J568="","",IF(T568="","⚠ not in Products",INDEX(Products!$A$5:$A$204,T568)))</f>
        <v/>
      </c>
      <c r="V568" s="11">
        <f>IF(J568="","",S568*(IFERROR(INDEX(Settings!$B$5:$B$9,MATCH($B568,Settings!$A$5:$A$9,0)),0)+IFERROR(INDEX(Settings!$E$5:$E$9,MATCH($B568,Settings!$A$5:$A$9,0)),0)+IFERROR(INDEX(Settings!$G$5:$G$9,MATCH($B568,Settings!$A$5:$A$9,0)),0))+(IFERROR(INDEX(Settings!$C$5:$C$9,MATCH($B568,Settings!$A$5:$A$9,0)),0)+IFERROR(INDEX(Settings!$F$5:$F$9,MATCH($B568,Settings!$A$5:$A$9,0)),0))/P568+IFERROR(INDEX(Settings!$D$5:$D$9,MATCH($B568,Settings!$A$5:$A$9,0)),0)*M568)</f>
        <v/>
      </c>
      <c r="W568" s="11">
        <f>IF(J568="","",IF(T568="",0,M568*INDEX(Products!$I$5:$I$204,T568)))</f>
        <v/>
      </c>
      <c r="X568" s="11">
        <f>IF(J568="","",IF(T568="",0,S568*INDEX(Products!$H$5:$H$204,T568)))</f>
        <v/>
      </c>
      <c r="Y568" s="11">
        <f>IF(J568="","",S568-V568-W568-X568)</f>
        <v/>
      </c>
    </row>
    <row r="569">
      <c r="A569" s="19" t="n"/>
      <c r="B569" s="19" t="n"/>
      <c r="C569" s="19" t="n"/>
      <c r="D569" s="19" t="n"/>
      <c r="E569" s="19" t="n"/>
      <c r="F569" s="20" t="n"/>
      <c r="G569" s="20" t="n"/>
      <c r="H569" s="20" t="n"/>
      <c r="I569" s="19" t="n"/>
      <c r="J569">
        <f>IFERROR(IF(C569="","",C569)&amp;"","")</f>
        <v/>
      </c>
      <c r="K569">
        <f>IFERROR(IF(D569="","",D569)&amp;"","")</f>
        <v/>
      </c>
      <c r="L569">
        <f>IFERROR(IF(I569="","",I569)&amp;"","")</f>
        <v/>
      </c>
      <c r="M569">
        <f>IF(J569="","",IFERROR(VALUE(SUBSTITUTE(SUBSTITUTE(IF(E569="","",E569)&amp;"","$",""),",","")),0))</f>
        <v/>
      </c>
      <c r="N569" s="11">
        <f>IF(J569="","",IFERROR(VALUE(SUBSTITUTE(SUBSTITUTE(IF(F569="","",F569)&amp;"","$",""),",","")),0))</f>
        <v/>
      </c>
      <c r="O569" s="11">
        <f>IF(J569="","",M569*N569)</f>
        <v/>
      </c>
      <c r="P569">
        <f>IF(J569="","",IF(L569="",1,COUNTIF($L$2:$L$1501,L569)))</f>
        <v/>
      </c>
      <c r="Q569" s="11">
        <f>IF(J569="","",IFERROR(VALUE(SUBSTITUTE(SUBSTITUTE(IF(G569="","",G569)&amp;"","$",""),",","")),0)/IF("No"="Yes",P569,1))</f>
        <v/>
      </c>
      <c r="R569" s="11">
        <f>IF(J569="","",IFERROR(VALUE(SUBSTITUTE(SUBSTITUTE(IF(H569="","",H569)&amp;"","$",""),",","")),0)/IF("No"="Yes",P569,1))</f>
        <v/>
      </c>
      <c r="S569" s="11">
        <f>IF(J569="","",O569+Q569-R569)</f>
        <v/>
      </c>
      <c r="T569">
        <f>IF(J569="","",IFERROR(IF(K569="",NA(),MATCH(K569,Products!$B$5:$B$204,0)),IFERROR(MATCH(J569,Products!$A$5:$A$204,0),"")))</f>
        <v/>
      </c>
      <c r="U569">
        <f>IF(J569="","",IF(T569="","⚠ not in Products",INDEX(Products!$A$5:$A$204,T569)))</f>
        <v/>
      </c>
      <c r="V569" s="11">
        <f>IF(J569="","",S569*(IFERROR(INDEX(Settings!$B$5:$B$9,MATCH($B569,Settings!$A$5:$A$9,0)),0)+IFERROR(INDEX(Settings!$E$5:$E$9,MATCH($B569,Settings!$A$5:$A$9,0)),0)+IFERROR(INDEX(Settings!$G$5:$G$9,MATCH($B569,Settings!$A$5:$A$9,0)),0))+(IFERROR(INDEX(Settings!$C$5:$C$9,MATCH($B569,Settings!$A$5:$A$9,0)),0)+IFERROR(INDEX(Settings!$F$5:$F$9,MATCH($B569,Settings!$A$5:$A$9,0)),0))/P569+IFERROR(INDEX(Settings!$D$5:$D$9,MATCH($B569,Settings!$A$5:$A$9,0)),0)*M569)</f>
        <v/>
      </c>
      <c r="W569" s="11">
        <f>IF(J569="","",IF(T569="",0,M569*INDEX(Products!$I$5:$I$204,T569)))</f>
        <v/>
      </c>
      <c r="X569" s="11">
        <f>IF(J569="","",IF(T569="",0,S569*INDEX(Products!$H$5:$H$204,T569)))</f>
        <v/>
      </c>
      <c r="Y569" s="11">
        <f>IF(J569="","",S569-V569-W569-X569)</f>
        <v/>
      </c>
    </row>
    <row r="570">
      <c r="A570" s="19" t="n"/>
      <c r="B570" s="19" t="n"/>
      <c r="C570" s="19" t="n"/>
      <c r="D570" s="19" t="n"/>
      <c r="E570" s="19" t="n"/>
      <c r="F570" s="20" t="n"/>
      <c r="G570" s="20" t="n"/>
      <c r="H570" s="20" t="n"/>
      <c r="I570" s="19" t="n"/>
      <c r="J570">
        <f>IFERROR(IF(C570="","",C570)&amp;"","")</f>
        <v/>
      </c>
      <c r="K570">
        <f>IFERROR(IF(D570="","",D570)&amp;"","")</f>
        <v/>
      </c>
      <c r="L570">
        <f>IFERROR(IF(I570="","",I570)&amp;"","")</f>
        <v/>
      </c>
      <c r="M570">
        <f>IF(J570="","",IFERROR(VALUE(SUBSTITUTE(SUBSTITUTE(IF(E570="","",E570)&amp;"","$",""),",","")),0))</f>
        <v/>
      </c>
      <c r="N570" s="11">
        <f>IF(J570="","",IFERROR(VALUE(SUBSTITUTE(SUBSTITUTE(IF(F570="","",F570)&amp;"","$",""),",","")),0))</f>
        <v/>
      </c>
      <c r="O570" s="11">
        <f>IF(J570="","",M570*N570)</f>
        <v/>
      </c>
      <c r="P570">
        <f>IF(J570="","",IF(L570="",1,COUNTIF($L$2:$L$1501,L570)))</f>
        <v/>
      </c>
      <c r="Q570" s="11">
        <f>IF(J570="","",IFERROR(VALUE(SUBSTITUTE(SUBSTITUTE(IF(G570="","",G570)&amp;"","$",""),",","")),0)/IF("No"="Yes",P570,1))</f>
        <v/>
      </c>
      <c r="R570" s="11">
        <f>IF(J570="","",IFERROR(VALUE(SUBSTITUTE(SUBSTITUTE(IF(H570="","",H570)&amp;"","$",""),",","")),0)/IF("No"="Yes",P570,1))</f>
        <v/>
      </c>
      <c r="S570" s="11">
        <f>IF(J570="","",O570+Q570-R570)</f>
        <v/>
      </c>
      <c r="T570">
        <f>IF(J570="","",IFERROR(IF(K570="",NA(),MATCH(K570,Products!$B$5:$B$204,0)),IFERROR(MATCH(J570,Products!$A$5:$A$204,0),"")))</f>
        <v/>
      </c>
      <c r="U570">
        <f>IF(J570="","",IF(T570="","⚠ not in Products",INDEX(Products!$A$5:$A$204,T570)))</f>
        <v/>
      </c>
      <c r="V570" s="11">
        <f>IF(J570="","",S570*(IFERROR(INDEX(Settings!$B$5:$B$9,MATCH($B570,Settings!$A$5:$A$9,0)),0)+IFERROR(INDEX(Settings!$E$5:$E$9,MATCH($B570,Settings!$A$5:$A$9,0)),0)+IFERROR(INDEX(Settings!$G$5:$G$9,MATCH($B570,Settings!$A$5:$A$9,0)),0))+(IFERROR(INDEX(Settings!$C$5:$C$9,MATCH($B570,Settings!$A$5:$A$9,0)),0)+IFERROR(INDEX(Settings!$F$5:$F$9,MATCH($B570,Settings!$A$5:$A$9,0)),0))/P570+IFERROR(INDEX(Settings!$D$5:$D$9,MATCH($B570,Settings!$A$5:$A$9,0)),0)*M570)</f>
        <v/>
      </c>
      <c r="W570" s="11">
        <f>IF(J570="","",IF(T570="",0,M570*INDEX(Products!$I$5:$I$204,T570)))</f>
        <v/>
      </c>
      <c r="X570" s="11">
        <f>IF(J570="","",IF(T570="",0,S570*INDEX(Products!$H$5:$H$204,T570)))</f>
        <v/>
      </c>
      <c r="Y570" s="11">
        <f>IF(J570="","",S570-V570-W570-X570)</f>
        <v/>
      </c>
    </row>
    <row r="571">
      <c r="A571" s="19" t="n"/>
      <c r="B571" s="19" t="n"/>
      <c r="C571" s="19" t="n"/>
      <c r="D571" s="19" t="n"/>
      <c r="E571" s="19" t="n"/>
      <c r="F571" s="20" t="n"/>
      <c r="G571" s="20" t="n"/>
      <c r="H571" s="20" t="n"/>
      <c r="I571" s="19" t="n"/>
      <c r="J571">
        <f>IFERROR(IF(C571="","",C571)&amp;"","")</f>
        <v/>
      </c>
      <c r="K571">
        <f>IFERROR(IF(D571="","",D571)&amp;"","")</f>
        <v/>
      </c>
      <c r="L571">
        <f>IFERROR(IF(I571="","",I571)&amp;"","")</f>
        <v/>
      </c>
      <c r="M571">
        <f>IF(J571="","",IFERROR(VALUE(SUBSTITUTE(SUBSTITUTE(IF(E571="","",E571)&amp;"","$",""),",","")),0))</f>
        <v/>
      </c>
      <c r="N571" s="11">
        <f>IF(J571="","",IFERROR(VALUE(SUBSTITUTE(SUBSTITUTE(IF(F571="","",F571)&amp;"","$",""),",","")),0))</f>
        <v/>
      </c>
      <c r="O571" s="11">
        <f>IF(J571="","",M571*N571)</f>
        <v/>
      </c>
      <c r="P571">
        <f>IF(J571="","",IF(L571="",1,COUNTIF($L$2:$L$1501,L571)))</f>
        <v/>
      </c>
      <c r="Q571" s="11">
        <f>IF(J571="","",IFERROR(VALUE(SUBSTITUTE(SUBSTITUTE(IF(G571="","",G571)&amp;"","$",""),",","")),0)/IF("No"="Yes",P571,1))</f>
        <v/>
      </c>
      <c r="R571" s="11">
        <f>IF(J571="","",IFERROR(VALUE(SUBSTITUTE(SUBSTITUTE(IF(H571="","",H571)&amp;"","$",""),",","")),0)/IF("No"="Yes",P571,1))</f>
        <v/>
      </c>
      <c r="S571" s="11">
        <f>IF(J571="","",O571+Q571-R571)</f>
        <v/>
      </c>
      <c r="T571">
        <f>IF(J571="","",IFERROR(IF(K571="",NA(),MATCH(K571,Products!$B$5:$B$204,0)),IFERROR(MATCH(J571,Products!$A$5:$A$204,0),"")))</f>
        <v/>
      </c>
      <c r="U571">
        <f>IF(J571="","",IF(T571="","⚠ not in Products",INDEX(Products!$A$5:$A$204,T571)))</f>
        <v/>
      </c>
      <c r="V571" s="11">
        <f>IF(J571="","",S571*(IFERROR(INDEX(Settings!$B$5:$B$9,MATCH($B571,Settings!$A$5:$A$9,0)),0)+IFERROR(INDEX(Settings!$E$5:$E$9,MATCH($B571,Settings!$A$5:$A$9,0)),0)+IFERROR(INDEX(Settings!$G$5:$G$9,MATCH($B571,Settings!$A$5:$A$9,0)),0))+(IFERROR(INDEX(Settings!$C$5:$C$9,MATCH($B571,Settings!$A$5:$A$9,0)),0)+IFERROR(INDEX(Settings!$F$5:$F$9,MATCH($B571,Settings!$A$5:$A$9,0)),0))/P571+IFERROR(INDEX(Settings!$D$5:$D$9,MATCH($B571,Settings!$A$5:$A$9,0)),0)*M571)</f>
        <v/>
      </c>
      <c r="W571" s="11">
        <f>IF(J571="","",IF(T571="",0,M571*INDEX(Products!$I$5:$I$204,T571)))</f>
        <v/>
      </c>
      <c r="X571" s="11">
        <f>IF(J571="","",IF(T571="",0,S571*INDEX(Products!$H$5:$H$204,T571)))</f>
        <v/>
      </c>
      <c r="Y571" s="11">
        <f>IF(J571="","",S571-V571-W571-X571)</f>
        <v/>
      </c>
    </row>
    <row r="572">
      <c r="A572" s="19" t="n"/>
      <c r="B572" s="19" t="n"/>
      <c r="C572" s="19" t="n"/>
      <c r="D572" s="19" t="n"/>
      <c r="E572" s="19" t="n"/>
      <c r="F572" s="20" t="n"/>
      <c r="G572" s="20" t="n"/>
      <c r="H572" s="20" t="n"/>
      <c r="I572" s="19" t="n"/>
      <c r="J572">
        <f>IFERROR(IF(C572="","",C572)&amp;"","")</f>
        <v/>
      </c>
      <c r="K572">
        <f>IFERROR(IF(D572="","",D572)&amp;"","")</f>
        <v/>
      </c>
      <c r="L572">
        <f>IFERROR(IF(I572="","",I572)&amp;"","")</f>
        <v/>
      </c>
      <c r="M572">
        <f>IF(J572="","",IFERROR(VALUE(SUBSTITUTE(SUBSTITUTE(IF(E572="","",E572)&amp;"","$",""),",","")),0))</f>
        <v/>
      </c>
      <c r="N572" s="11">
        <f>IF(J572="","",IFERROR(VALUE(SUBSTITUTE(SUBSTITUTE(IF(F572="","",F572)&amp;"","$",""),",","")),0))</f>
        <v/>
      </c>
      <c r="O572" s="11">
        <f>IF(J572="","",M572*N572)</f>
        <v/>
      </c>
      <c r="P572">
        <f>IF(J572="","",IF(L572="",1,COUNTIF($L$2:$L$1501,L572)))</f>
        <v/>
      </c>
      <c r="Q572" s="11">
        <f>IF(J572="","",IFERROR(VALUE(SUBSTITUTE(SUBSTITUTE(IF(G572="","",G572)&amp;"","$",""),",","")),0)/IF("No"="Yes",P572,1))</f>
        <v/>
      </c>
      <c r="R572" s="11">
        <f>IF(J572="","",IFERROR(VALUE(SUBSTITUTE(SUBSTITUTE(IF(H572="","",H572)&amp;"","$",""),",","")),0)/IF("No"="Yes",P572,1))</f>
        <v/>
      </c>
      <c r="S572" s="11">
        <f>IF(J572="","",O572+Q572-R572)</f>
        <v/>
      </c>
      <c r="T572">
        <f>IF(J572="","",IFERROR(IF(K572="",NA(),MATCH(K572,Products!$B$5:$B$204,0)),IFERROR(MATCH(J572,Products!$A$5:$A$204,0),"")))</f>
        <v/>
      </c>
      <c r="U572">
        <f>IF(J572="","",IF(T572="","⚠ not in Products",INDEX(Products!$A$5:$A$204,T572)))</f>
        <v/>
      </c>
      <c r="V572" s="11">
        <f>IF(J572="","",S572*(IFERROR(INDEX(Settings!$B$5:$B$9,MATCH($B572,Settings!$A$5:$A$9,0)),0)+IFERROR(INDEX(Settings!$E$5:$E$9,MATCH($B572,Settings!$A$5:$A$9,0)),0)+IFERROR(INDEX(Settings!$G$5:$G$9,MATCH($B572,Settings!$A$5:$A$9,0)),0))+(IFERROR(INDEX(Settings!$C$5:$C$9,MATCH($B572,Settings!$A$5:$A$9,0)),0)+IFERROR(INDEX(Settings!$F$5:$F$9,MATCH($B572,Settings!$A$5:$A$9,0)),0))/P572+IFERROR(INDEX(Settings!$D$5:$D$9,MATCH($B572,Settings!$A$5:$A$9,0)),0)*M572)</f>
        <v/>
      </c>
      <c r="W572" s="11">
        <f>IF(J572="","",IF(T572="",0,M572*INDEX(Products!$I$5:$I$204,T572)))</f>
        <v/>
      </c>
      <c r="X572" s="11">
        <f>IF(J572="","",IF(T572="",0,S572*INDEX(Products!$H$5:$H$204,T572)))</f>
        <v/>
      </c>
      <c r="Y572" s="11">
        <f>IF(J572="","",S572-V572-W572-X572)</f>
        <v/>
      </c>
    </row>
    <row r="573">
      <c r="A573" s="19" t="n"/>
      <c r="B573" s="19" t="n"/>
      <c r="C573" s="19" t="n"/>
      <c r="D573" s="19" t="n"/>
      <c r="E573" s="19" t="n"/>
      <c r="F573" s="20" t="n"/>
      <c r="G573" s="20" t="n"/>
      <c r="H573" s="20" t="n"/>
      <c r="I573" s="19" t="n"/>
      <c r="J573">
        <f>IFERROR(IF(C573="","",C573)&amp;"","")</f>
        <v/>
      </c>
      <c r="K573">
        <f>IFERROR(IF(D573="","",D573)&amp;"","")</f>
        <v/>
      </c>
      <c r="L573">
        <f>IFERROR(IF(I573="","",I573)&amp;"","")</f>
        <v/>
      </c>
      <c r="M573">
        <f>IF(J573="","",IFERROR(VALUE(SUBSTITUTE(SUBSTITUTE(IF(E573="","",E573)&amp;"","$",""),",","")),0))</f>
        <v/>
      </c>
      <c r="N573" s="11">
        <f>IF(J573="","",IFERROR(VALUE(SUBSTITUTE(SUBSTITUTE(IF(F573="","",F573)&amp;"","$",""),",","")),0))</f>
        <v/>
      </c>
      <c r="O573" s="11">
        <f>IF(J573="","",M573*N573)</f>
        <v/>
      </c>
      <c r="P573">
        <f>IF(J573="","",IF(L573="",1,COUNTIF($L$2:$L$1501,L573)))</f>
        <v/>
      </c>
      <c r="Q573" s="11">
        <f>IF(J573="","",IFERROR(VALUE(SUBSTITUTE(SUBSTITUTE(IF(G573="","",G573)&amp;"","$",""),",","")),0)/IF("No"="Yes",P573,1))</f>
        <v/>
      </c>
      <c r="R573" s="11">
        <f>IF(J573="","",IFERROR(VALUE(SUBSTITUTE(SUBSTITUTE(IF(H573="","",H573)&amp;"","$",""),",","")),0)/IF("No"="Yes",P573,1))</f>
        <v/>
      </c>
      <c r="S573" s="11">
        <f>IF(J573="","",O573+Q573-R573)</f>
        <v/>
      </c>
      <c r="T573">
        <f>IF(J573="","",IFERROR(IF(K573="",NA(),MATCH(K573,Products!$B$5:$B$204,0)),IFERROR(MATCH(J573,Products!$A$5:$A$204,0),"")))</f>
        <v/>
      </c>
      <c r="U573">
        <f>IF(J573="","",IF(T573="","⚠ not in Products",INDEX(Products!$A$5:$A$204,T573)))</f>
        <v/>
      </c>
      <c r="V573" s="11">
        <f>IF(J573="","",S573*(IFERROR(INDEX(Settings!$B$5:$B$9,MATCH($B573,Settings!$A$5:$A$9,0)),0)+IFERROR(INDEX(Settings!$E$5:$E$9,MATCH($B573,Settings!$A$5:$A$9,0)),0)+IFERROR(INDEX(Settings!$G$5:$G$9,MATCH($B573,Settings!$A$5:$A$9,0)),0))+(IFERROR(INDEX(Settings!$C$5:$C$9,MATCH($B573,Settings!$A$5:$A$9,0)),0)+IFERROR(INDEX(Settings!$F$5:$F$9,MATCH($B573,Settings!$A$5:$A$9,0)),0))/P573+IFERROR(INDEX(Settings!$D$5:$D$9,MATCH($B573,Settings!$A$5:$A$9,0)),0)*M573)</f>
        <v/>
      </c>
      <c r="W573" s="11">
        <f>IF(J573="","",IF(T573="",0,M573*INDEX(Products!$I$5:$I$204,T573)))</f>
        <v/>
      </c>
      <c r="X573" s="11">
        <f>IF(J573="","",IF(T573="",0,S573*INDEX(Products!$H$5:$H$204,T573)))</f>
        <v/>
      </c>
      <c r="Y573" s="11">
        <f>IF(J573="","",S573-V573-W573-X573)</f>
        <v/>
      </c>
    </row>
    <row r="574">
      <c r="A574" s="19" t="n"/>
      <c r="B574" s="19" t="n"/>
      <c r="C574" s="19" t="n"/>
      <c r="D574" s="19" t="n"/>
      <c r="E574" s="19" t="n"/>
      <c r="F574" s="20" t="n"/>
      <c r="G574" s="20" t="n"/>
      <c r="H574" s="20" t="n"/>
      <c r="I574" s="19" t="n"/>
      <c r="J574">
        <f>IFERROR(IF(C574="","",C574)&amp;"","")</f>
        <v/>
      </c>
      <c r="K574">
        <f>IFERROR(IF(D574="","",D574)&amp;"","")</f>
        <v/>
      </c>
      <c r="L574">
        <f>IFERROR(IF(I574="","",I574)&amp;"","")</f>
        <v/>
      </c>
      <c r="M574">
        <f>IF(J574="","",IFERROR(VALUE(SUBSTITUTE(SUBSTITUTE(IF(E574="","",E574)&amp;"","$",""),",","")),0))</f>
        <v/>
      </c>
      <c r="N574" s="11">
        <f>IF(J574="","",IFERROR(VALUE(SUBSTITUTE(SUBSTITUTE(IF(F574="","",F574)&amp;"","$",""),",","")),0))</f>
        <v/>
      </c>
      <c r="O574" s="11">
        <f>IF(J574="","",M574*N574)</f>
        <v/>
      </c>
      <c r="P574">
        <f>IF(J574="","",IF(L574="",1,COUNTIF($L$2:$L$1501,L574)))</f>
        <v/>
      </c>
      <c r="Q574" s="11">
        <f>IF(J574="","",IFERROR(VALUE(SUBSTITUTE(SUBSTITUTE(IF(G574="","",G574)&amp;"","$",""),",","")),0)/IF("No"="Yes",P574,1))</f>
        <v/>
      </c>
      <c r="R574" s="11">
        <f>IF(J574="","",IFERROR(VALUE(SUBSTITUTE(SUBSTITUTE(IF(H574="","",H574)&amp;"","$",""),",","")),0)/IF("No"="Yes",P574,1))</f>
        <v/>
      </c>
      <c r="S574" s="11">
        <f>IF(J574="","",O574+Q574-R574)</f>
        <v/>
      </c>
      <c r="T574">
        <f>IF(J574="","",IFERROR(IF(K574="",NA(),MATCH(K574,Products!$B$5:$B$204,0)),IFERROR(MATCH(J574,Products!$A$5:$A$204,0),"")))</f>
        <v/>
      </c>
      <c r="U574">
        <f>IF(J574="","",IF(T574="","⚠ not in Products",INDEX(Products!$A$5:$A$204,T574)))</f>
        <v/>
      </c>
      <c r="V574" s="11">
        <f>IF(J574="","",S574*(IFERROR(INDEX(Settings!$B$5:$B$9,MATCH($B574,Settings!$A$5:$A$9,0)),0)+IFERROR(INDEX(Settings!$E$5:$E$9,MATCH($B574,Settings!$A$5:$A$9,0)),0)+IFERROR(INDEX(Settings!$G$5:$G$9,MATCH($B574,Settings!$A$5:$A$9,0)),0))+(IFERROR(INDEX(Settings!$C$5:$C$9,MATCH($B574,Settings!$A$5:$A$9,0)),0)+IFERROR(INDEX(Settings!$F$5:$F$9,MATCH($B574,Settings!$A$5:$A$9,0)),0))/P574+IFERROR(INDEX(Settings!$D$5:$D$9,MATCH($B574,Settings!$A$5:$A$9,0)),0)*M574)</f>
        <v/>
      </c>
      <c r="W574" s="11">
        <f>IF(J574="","",IF(T574="",0,M574*INDEX(Products!$I$5:$I$204,T574)))</f>
        <v/>
      </c>
      <c r="X574" s="11">
        <f>IF(J574="","",IF(T574="",0,S574*INDEX(Products!$H$5:$H$204,T574)))</f>
        <v/>
      </c>
      <c r="Y574" s="11">
        <f>IF(J574="","",S574-V574-W574-X574)</f>
        <v/>
      </c>
    </row>
    <row r="575">
      <c r="A575" s="19" t="n"/>
      <c r="B575" s="19" t="n"/>
      <c r="C575" s="19" t="n"/>
      <c r="D575" s="19" t="n"/>
      <c r="E575" s="19" t="n"/>
      <c r="F575" s="20" t="n"/>
      <c r="G575" s="20" t="n"/>
      <c r="H575" s="20" t="n"/>
      <c r="I575" s="19" t="n"/>
      <c r="J575">
        <f>IFERROR(IF(C575="","",C575)&amp;"","")</f>
        <v/>
      </c>
      <c r="K575">
        <f>IFERROR(IF(D575="","",D575)&amp;"","")</f>
        <v/>
      </c>
      <c r="L575">
        <f>IFERROR(IF(I575="","",I575)&amp;"","")</f>
        <v/>
      </c>
      <c r="M575">
        <f>IF(J575="","",IFERROR(VALUE(SUBSTITUTE(SUBSTITUTE(IF(E575="","",E575)&amp;"","$",""),",","")),0))</f>
        <v/>
      </c>
      <c r="N575" s="11">
        <f>IF(J575="","",IFERROR(VALUE(SUBSTITUTE(SUBSTITUTE(IF(F575="","",F575)&amp;"","$",""),",","")),0))</f>
        <v/>
      </c>
      <c r="O575" s="11">
        <f>IF(J575="","",M575*N575)</f>
        <v/>
      </c>
      <c r="P575">
        <f>IF(J575="","",IF(L575="",1,COUNTIF($L$2:$L$1501,L575)))</f>
        <v/>
      </c>
      <c r="Q575" s="11">
        <f>IF(J575="","",IFERROR(VALUE(SUBSTITUTE(SUBSTITUTE(IF(G575="","",G575)&amp;"","$",""),",","")),0)/IF("No"="Yes",P575,1))</f>
        <v/>
      </c>
      <c r="R575" s="11">
        <f>IF(J575="","",IFERROR(VALUE(SUBSTITUTE(SUBSTITUTE(IF(H575="","",H575)&amp;"","$",""),",","")),0)/IF("No"="Yes",P575,1))</f>
        <v/>
      </c>
      <c r="S575" s="11">
        <f>IF(J575="","",O575+Q575-R575)</f>
        <v/>
      </c>
      <c r="T575">
        <f>IF(J575="","",IFERROR(IF(K575="",NA(),MATCH(K575,Products!$B$5:$B$204,0)),IFERROR(MATCH(J575,Products!$A$5:$A$204,0),"")))</f>
        <v/>
      </c>
      <c r="U575">
        <f>IF(J575="","",IF(T575="","⚠ not in Products",INDEX(Products!$A$5:$A$204,T575)))</f>
        <v/>
      </c>
      <c r="V575" s="11">
        <f>IF(J575="","",S575*(IFERROR(INDEX(Settings!$B$5:$B$9,MATCH($B575,Settings!$A$5:$A$9,0)),0)+IFERROR(INDEX(Settings!$E$5:$E$9,MATCH($B575,Settings!$A$5:$A$9,0)),0)+IFERROR(INDEX(Settings!$G$5:$G$9,MATCH($B575,Settings!$A$5:$A$9,0)),0))+(IFERROR(INDEX(Settings!$C$5:$C$9,MATCH($B575,Settings!$A$5:$A$9,0)),0)+IFERROR(INDEX(Settings!$F$5:$F$9,MATCH($B575,Settings!$A$5:$A$9,0)),0))/P575+IFERROR(INDEX(Settings!$D$5:$D$9,MATCH($B575,Settings!$A$5:$A$9,0)),0)*M575)</f>
        <v/>
      </c>
      <c r="W575" s="11">
        <f>IF(J575="","",IF(T575="",0,M575*INDEX(Products!$I$5:$I$204,T575)))</f>
        <v/>
      </c>
      <c r="X575" s="11">
        <f>IF(J575="","",IF(T575="",0,S575*INDEX(Products!$H$5:$H$204,T575)))</f>
        <v/>
      </c>
      <c r="Y575" s="11">
        <f>IF(J575="","",S575-V575-W575-X575)</f>
        <v/>
      </c>
    </row>
    <row r="576">
      <c r="A576" s="19" t="n"/>
      <c r="B576" s="19" t="n"/>
      <c r="C576" s="19" t="n"/>
      <c r="D576" s="19" t="n"/>
      <c r="E576" s="19" t="n"/>
      <c r="F576" s="20" t="n"/>
      <c r="G576" s="20" t="n"/>
      <c r="H576" s="20" t="n"/>
      <c r="I576" s="19" t="n"/>
      <c r="J576">
        <f>IFERROR(IF(C576="","",C576)&amp;"","")</f>
        <v/>
      </c>
      <c r="K576">
        <f>IFERROR(IF(D576="","",D576)&amp;"","")</f>
        <v/>
      </c>
      <c r="L576">
        <f>IFERROR(IF(I576="","",I576)&amp;"","")</f>
        <v/>
      </c>
      <c r="M576">
        <f>IF(J576="","",IFERROR(VALUE(SUBSTITUTE(SUBSTITUTE(IF(E576="","",E576)&amp;"","$",""),",","")),0))</f>
        <v/>
      </c>
      <c r="N576" s="11">
        <f>IF(J576="","",IFERROR(VALUE(SUBSTITUTE(SUBSTITUTE(IF(F576="","",F576)&amp;"","$",""),",","")),0))</f>
        <v/>
      </c>
      <c r="O576" s="11">
        <f>IF(J576="","",M576*N576)</f>
        <v/>
      </c>
      <c r="P576">
        <f>IF(J576="","",IF(L576="",1,COUNTIF($L$2:$L$1501,L576)))</f>
        <v/>
      </c>
      <c r="Q576" s="11">
        <f>IF(J576="","",IFERROR(VALUE(SUBSTITUTE(SUBSTITUTE(IF(G576="","",G576)&amp;"","$",""),",","")),0)/IF("No"="Yes",P576,1))</f>
        <v/>
      </c>
      <c r="R576" s="11">
        <f>IF(J576="","",IFERROR(VALUE(SUBSTITUTE(SUBSTITUTE(IF(H576="","",H576)&amp;"","$",""),",","")),0)/IF("No"="Yes",P576,1))</f>
        <v/>
      </c>
      <c r="S576" s="11">
        <f>IF(J576="","",O576+Q576-R576)</f>
        <v/>
      </c>
      <c r="T576">
        <f>IF(J576="","",IFERROR(IF(K576="",NA(),MATCH(K576,Products!$B$5:$B$204,0)),IFERROR(MATCH(J576,Products!$A$5:$A$204,0),"")))</f>
        <v/>
      </c>
      <c r="U576">
        <f>IF(J576="","",IF(T576="","⚠ not in Products",INDEX(Products!$A$5:$A$204,T576)))</f>
        <v/>
      </c>
      <c r="V576" s="11">
        <f>IF(J576="","",S576*(IFERROR(INDEX(Settings!$B$5:$B$9,MATCH($B576,Settings!$A$5:$A$9,0)),0)+IFERROR(INDEX(Settings!$E$5:$E$9,MATCH($B576,Settings!$A$5:$A$9,0)),0)+IFERROR(INDEX(Settings!$G$5:$G$9,MATCH($B576,Settings!$A$5:$A$9,0)),0))+(IFERROR(INDEX(Settings!$C$5:$C$9,MATCH($B576,Settings!$A$5:$A$9,0)),0)+IFERROR(INDEX(Settings!$F$5:$F$9,MATCH($B576,Settings!$A$5:$A$9,0)),0))/P576+IFERROR(INDEX(Settings!$D$5:$D$9,MATCH($B576,Settings!$A$5:$A$9,0)),0)*M576)</f>
        <v/>
      </c>
      <c r="W576" s="11">
        <f>IF(J576="","",IF(T576="",0,M576*INDEX(Products!$I$5:$I$204,T576)))</f>
        <v/>
      </c>
      <c r="X576" s="11">
        <f>IF(J576="","",IF(T576="",0,S576*INDEX(Products!$H$5:$H$204,T576)))</f>
        <v/>
      </c>
      <c r="Y576" s="11">
        <f>IF(J576="","",S576-V576-W576-X576)</f>
        <v/>
      </c>
    </row>
    <row r="577">
      <c r="A577" s="19" t="n"/>
      <c r="B577" s="19" t="n"/>
      <c r="C577" s="19" t="n"/>
      <c r="D577" s="19" t="n"/>
      <c r="E577" s="19" t="n"/>
      <c r="F577" s="20" t="n"/>
      <c r="G577" s="20" t="n"/>
      <c r="H577" s="20" t="n"/>
      <c r="I577" s="19" t="n"/>
      <c r="J577">
        <f>IFERROR(IF(C577="","",C577)&amp;"","")</f>
        <v/>
      </c>
      <c r="K577">
        <f>IFERROR(IF(D577="","",D577)&amp;"","")</f>
        <v/>
      </c>
      <c r="L577">
        <f>IFERROR(IF(I577="","",I577)&amp;"","")</f>
        <v/>
      </c>
      <c r="M577">
        <f>IF(J577="","",IFERROR(VALUE(SUBSTITUTE(SUBSTITUTE(IF(E577="","",E577)&amp;"","$",""),",","")),0))</f>
        <v/>
      </c>
      <c r="N577" s="11">
        <f>IF(J577="","",IFERROR(VALUE(SUBSTITUTE(SUBSTITUTE(IF(F577="","",F577)&amp;"","$",""),",","")),0))</f>
        <v/>
      </c>
      <c r="O577" s="11">
        <f>IF(J577="","",M577*N577)</f>
        <v/>
      </c>
      <c r="P577">
        <f>IF(J577="","",IF(L577="",1,COUNTIF($L$2:$L$1501,L577)))</f>
        <v/>
      </c>
      <c r="Q577" s="11">
        <f>IF(J577="","",IFERROR(VALUE(SUBSTITUTE(SUBSTITUTE(IF(G577="","",G577)&amp;"","$",""),",","")),0)/IF("No"="Yes",P577,1))</f>
        <v/>
      </c>
      <c r="R577" s="11">
        <f>IF(J577="","",IFERROR(VALUE(SUBSTITUTE(SUBSTITUTE(IF(H577="","",H577)&amp;"","$",""),",","")),0)/IF("No"="Yes",P577,1))</f>
        <v/>
      </c>
      <c r="S577" s="11">
        <f>IF(J577="","",O577+Q577-R577)</f>
        <v/>
      </c>
      <c r="T577">
        <f>IF(J577="","",IFERROR(IF(K577="",NA(),MATCH(K577,Products!$B$5:$B$204,0)),IFERROR(MATCH(J577,Products!$A$5:$A$204,0),"")))</f>
        <v/>
      </c>
      <c r="U577">
        <f>IF(J577="","",IF(T577="","⚠ not in Products",INDEX(Products!$A$5:$A$204,T577)))</f>
        <v/>
      </c>
      <c r="V577" s="11">
        <f>IF(J577="","",S577*(IFERROR(INDEX(Settings!$B$5:$B$9,MATCH($B577,Settings!$A$5:$A$9,0)),0)+IFERROR(INDEX(Settings!$E$5:$E$9,MATCH($B577,Settings!$A$5:$A$9,0)),0)+IFERROR(INDEX(Settings!$G$5:$G$9,MATCH($B577,Settings!$A$5:$A$9,0)),0))+(IFERROR(INDEX(Settings!$C$5:$C$9,MATCH($B577,Settings!$A$5:$A$9,0)),0)+IFERROR(INDEX(Settings!$F$5:$F$9,MATCH($B577,Settings!$A$5:$A$9,0)),0))/P577+IFERROR(INDEX(Settings!$D$5:$D$9,MATCH($B577,Settings!$A$5:$A$9,0)),0)*M577)</f>
        <v/>
      </c>
      <c r="W577" s="11">
        <f>IF(J577="","",IF(T577="",0,M577*INDEX(Products!$I$5:$I$204,T577)))</f>
        <v/>
      </c>
      <c r="X577" s="11">
        <f>IF(J577="","",IF(T577="",0,S577*INDEX(Products!$H$5:$H$204,T577)))</f>
        <v/>
      </c>
      <c r="Y577" s="11">
        <f>IF(J577="","",S577-V577-W577-X577)</f>
        <v/>
      </c>
    </row>
    <row r="578">
      <c r="A578" s="19" t="n"/>
      <c r="B578" s="19" t="n"/>
      <c r="C578" s="19" t="n"/>
      <c r="D578" s="19" t="n"/>
      <c r="E578" s="19" t="n"/>
      <c r="F578" s="20" t="n"/>
      <c r="G578" s="20" t="n"/>
      <c r="H578" s="20" t="n"/>
      <c r="I578" s="19" t="n"/>
      <c r="J578">
        <f>IFERROR(IF(C578="","",C578)&amp;"","")</f>
        <v/>
      </c>
      <c r="K578">
        <f>IFERROR(IF(D578="","",D578)&amp;"","")</f>
        <v/>
      </c>
      <c r="L578">
        <f>IFERROR(IF(I578="","",I578)&amp;"","")</f>
        <v/>
      </c>
      <c r="M578">
        <f>IF(J578="","",IFERROR(VALUE(SUBSTITUTE(SUBSTITUTE(IF(E578="","",E578)&amp;"","$",""),",","")),0))</f>
        <v/>
      </c>
      <c r="N578" s="11">
        <f>IF(J578="","",IFERROR(VALUE(SUBSTITUTE(SUBSTITUTE(IF(F578="","",F578)&amp;"","$",""),",","")),0))</f>
        <v/>
      </c>
      <c r="O578" s="11">
        <f>IF(J578="","",M578*N578)</f>
        <v/>
      </c>
      <c r="P578">
        <f>IF(J578="","",IF(L578="",1,COUNTIF($L$2:$L$1501,L578)))</f>
        <v/>
      </c>
      <c r="Q578" s="11">
        <f>IF(J578="","",IFERROR(VALUE(SUBSTITUTE(SUBSTITUTE(IF(G578="","",G578)&amp;"","$",""),",","")),0)/IF("No"="Yes",P578,1))</f>
        <v/>
      </c>
      <c r="R578" s="11">
        <f>IF(J578="","",IFERROR(VALUE(SUBSTITUTE(SUBSTITUTE(IF(H578="","",H578)&amp;"","$",""),",","")),0)/IF("No"="Yes",P578,1))</f>
        <v/>
      </c>
      <c r="S578" s="11">
        <f>IF(J578="","",O578+Q578-R578)</f>
        <v/>
      </c>
      <c r="T578">
        <f>IF(J578="","",IFERROR(IF(K578="",NA(),MATCH(K578,Products!$B$5:$B$204,0)),IFERROR(MATCH(J578,Products!$A$5:$A$204,0),"")))</f>
        <v/>
      </c>
      <c r="U578">
        <f>IF(J578="","",IF(T578="","⚠ not in Products",INDEX(Products!$A$5:$A$204,T578)))</f>
        <v/>
      </c>
      <c r="V578" s="11">
        <f>IF(J578="","",S578*(IFERROR(INDEX(Settings!$B$5:$B$9,MATCH($B578,Settings!$A$5:$A$9,0)),0)+IFERROR(INDEX(Settings!$E$5:$E$9,MATCH($B578,Settings!$A$5:$A$9,0)),0)+IFERROR(INDEX(Settings!$G$5:$G$9,MATCH($B578,Settings!$A$5:$A$9,0)),0))+(IFERROR(INDEX(Settings!$C$5:$C$9,MATCH($B578,Settings!$A$5:$A$9,0)),0)+IFERROR(INDEX(Settings!$F$5:$F$9,MATCH($B578,Settings!$A$5:$A$9,0)),0))/P578+IFERROR(INDEX(Settings!$D$5:$D$9,MATCH($B578,Settings!$A$5:$A$9,0)),0)*M578)</f>
        <v/>
      </c>
      <c r="W578" s="11">
        <f>IF(J578="","",IF(T578="",0,M578*INDEX(Products!$I$5:$I$204,T578)))</f>
        <v/>
      </c>
      <c r="X578" s="11">
        <f>IF(J578="","",IF(T578="",0,S578*INDEX(Products!$H$5:$H$204,T578)))</f>
        <v/>
      </c>
      <c r="Y578" s="11">
        <f>IF(J578="","",S578-V578-W578-X578)</f>
        <v/>
      </c>
    </row>
    <row r="579">
      <c r="A579" s="19" t="n"/>
      <c r="B579" s="19" t="n"/>
      <c r="C579" s="19" t="n"/>
      <c r="D579" s="19" t="n"/>
      <c r="E579" s="19" t="n"/>
      <c r="F579" s="20" t="n"/>
      <c r="G579" s="20" t="n"/>
      <c r="H579" s="20" t="n"/>
      <c r="I579" s="19" t="n"/>
      <c r="J579">
        <f>IFERROR(IF(C579="","",C579)&amp;"","")</f>
        <v/>
      </c>
      <c r="K579">
        <f>IFERROR(IF(D579="","",D579)&amp;"","")</f>
        <v/>
      </c>
      <c r="L579">
        <f>IFERROR(IF(I579="","",I579)&amp;"","")</f>
        <v/>
      </c>
      <c r="M579">
        <f>IF(J579="","",IFERROR(VALUE(SUBSTITUTE(SUBSTITUTE(IF(E579="","",E579)&amp;"","$",""),",","")),0))</f>
        <v/>
      </c>
      <c r="N579" s="11">
        <f>IF(J579="","",IFERROR(VALUE(SUBSTITUTE(SUBSTITUTE(IF(F579="","",F579)&amp;"","$",""),",","")),0))</f>
        <v/>
      </c>
      <c r="O579" s="11">
        <f>IF(J579="","",M579*N579)</f>
        <v/>
      </c>
      <c r="P579">
        <f>IF(J579="","",IF(L579="",1,COUNTIF($L$2:$L$1501,L579)))</f>
        <v/>
      </c>
      <c r="Q579" s="11">
        <f>IF(J579="","",IFERROR(VALUE(SUBSTITUTE(SUBSTITUTE(IF(G579="","",G579)&amp;"","$",""),",","")),0)/IF("No"="Yes",P579,1))</f>
        <v/>
      </c>
      <c r="R579" s="11">
        <f>IF(J579="","",IFERROR(VALUE(SUBSTITUTE(SUBSTITUTE(IF(H579="","",H579)&amp;"","$",""),",","")),0)/IF("No"="Yes",P579,1))</f>
        <v/>
      </c>
      <c r="S579" s="11">
        <f>IF(J579="","",O579+Q579-R579)</f>
        <v/>
      </c>
      <c r="T579">
        <f>IF(J579="","",IFERROR(IF(K579="",NA(),MATCH(K579,Products!$B$5:$B$204,0)),IFERROR(MATCH(J579,Products!$A$5:$A$204,0),"")))</f>
        <v/>
      </c>
      <c r="U579">
        <f>IF(J579="","",IF(T579="","⚠ not in Products",INDEX(Products!$A$5:$A$204,T579)))</f>
        <v/>
      </c>
      <c r="V579" s="11">
        <f>IF(J579="","",S579*(IFERROR(INDEX(Settings!$B$5:$B$9,MATCH($B579,Settings!$A$5:$A$9,0)),0)+IFERROR(INDEX(Settings!$E$5:$E$9,MATCH($B579,Settings!$A$5:$A$9,0)),0)+IFERROR(INDEX(Settings!$G$5:$G$9,MATCH($B579,Settings!$A$5:$A$9,0)),0))+(IFERROR(INDEX(Settings!$C$5:$C$9,MATCH($B579,Settings!$A$5:$A$9,0)),0)+IFERROR(INDEX(Settings!$F$5:$F$9,MATCH($B579,Settings!$A$5:$A$9,0)),0))/P579+IFERROR(INDEX(Settings!$D$5:$D$9,MATCH($B579,Settings!$A$5:$A$9,0)),0)*M579)</f>
        <v/>
      </c>
      <c r="W579" s="11">
        <f>IF(J579="","",IF(T579="",0,M579*INDEX(Products!$I$5:$I$204,T579)))</f>
        <v/>
      </c>
      <c r="X579" s="11">
        <f>IF(J579="","",IF(T579="",0,S579*INDEX(Products!$H$5:$H$204,T579)))</f>
        <v/>
      </c>
      <c r="Y579" s="11">
        <f>IF(J579="","",S579-V579-W579-X579)</f>
        <v/>
      </c>
    </row>
    <row r="580">
      <c r="A580" s="19" t="n"/>
      <c r="B580" s="19" t="n"/>
      <c r="C580" s="19" t="n"/>
      <c r="D580" s="19" t="n"/>
      <c r="E580" s="19" t="n"/>
      <c r="F580" s="20" t="n"/>
      <c r="G580" s="20" t="n"/>
      <c r="H580" s="20" t="n"/>
      <c r="I580" s="19" t="n"/>
      <c r="J580">
        <f>IFERROR(IF(C580="","",C580)&amp;"","")</f>
        <v/>
      </c>
      <c r="K580">
        <f>IFERROR(IF(D580="","",D580)&amp;"","")</f>
        <v/>
      </c>
      <c r="L580">
        <f>IFERROR(IF(I580="","",I580)&amp;"","")</f>
        <v/>
      </c>
      <c r="M580">
        <f>IF(J580="","",IFERROR(VALUE(SUBSTITUTE(SUBSTITUTE(IF(E580="","",E580)&amp;"","$",""),",","")),0))</f>
        <v/>
      </c>
      <c r="N580" s="11">
        <f>IF(J580="","",IFERROR(VALUE(SUBSTITUTE(SUBSTITUTE(IF(F580="","",F580)&amp;"","$",""),",","")),0))</f>
        <v/>
      </c>
      <c r="O580" s="11">
        <f>IF(J580="","",M580*N580)</f>
        <v/>
      </c>
      <c r="P580">
        <f>IF(J580="","",IF(L580="",1,COUNTIF($L$2:$L$1501,L580)))</f>
        <v/>
      </c>
      <c r="Q580" s="11">
        <f>IF(J580="","",IFERROR(VALUE(SUBSTITUTE(SUBSTITUTE(IF(G580="","",G580)&amp;"","$",""),",","")),0)/IF("No"="Yes",P580,1))</f>
        <v/>
      </c>
      <c r="R580" s="11">
        <f>IF(J580="","",IFERROR(VALUE(SUBSTITUTE(SUBSTITUTE(IF(H580="","",H580)&amp;"","$",""),",","")),0)/IF("No"="Yes",P580,1))</f>
        <v/>
      </c>
      <c r="S580" s="11">
        <f>IF(J580="","",O580+Q580-R580)</f>
        <v/>
      </c>
      <c r="T580">
        <f>IF(J580="","",IFERROR(IF(K580="",NA(),MATCH(K580,Products!$B$5:$B$204,0)),IFERROR(MATCH(J580,Products!$A$5:$A$204,0),"")))</f>
        <v/>
      </c>
      <c r="U580">
        <f>IF(J580="","",IF(T580="","⚠ not in Products",INDEX(Products!$A$5:$A$204,T580)))</f>
        <v/>
      </c>
      <c r="V580" s="11">
        <f>IF(J580="","",S580*(IFERROR(INDEX(Settings!$B$5:$B$9,MATCH($B580,Settings!$A$5:$A$9,0)),0)+IFERROR(INDEX(Settings!$E$5:$E$9,MATCH($B580,Settings!$A$5:$A$9,0)),0)+IFERROR(INDEX(Settings!$G$5:$G$9,MATCH($B580,Settings!$A$5:$A$9,0)),0))+(IFERROR(INDEX(Settings!$C$5:$C$9,MATCH($B580,Settings!$A$5:$A$9,0)),0)+IFERROR(INDEX(Settings!$F$5:$F$9,MATCH($B580,Settings!$A$5:$A$9,0)),0))/P580+IFERROR(INDEX(Settings!$D$5:$D$9,MATCH($B580,Settings!$A$5:$A$9,0)),0)*M580)</f>
        <v/>
      </c>
      <c r="W580" s="11">
        <f>IF(J580="","",IF(T580="",0,M580*INDEX(Products!$I$5:$I$204,T580)))</f>
        <v/>
      </c>
      <c r="X580" s="11">
        <f>IF(J580="","",IF(T580="",0,S580*INDEX(Products!$H$5:$H$204,T580)))</f>
        <v/>
      </c>
      <c r="Y580" s="11">
        <f>IF(J580="","",S580-V580-W580-X580)</f>
        <v/>
      </c>
    </row>
    <row r="581">
      <c r="A581" s="19" t="n"/>
      <c r="B581" s="19" t="n"/>
      <c r="C581" s="19" t="n"/>
      <c r="D581" s="19" t="n"/>
      <c r="E581" s="19" t="n"/>
      <c r="F581" s="20" t="n"/>
      <c r="G581" s="20" t="n"/>
      <c r="H581" s="20" t="n"/>
      <c r="I581" s="19" t="n"/>
      <c r="J581">
        <f>IFERROR(IF(C581="","",C581)&amp;"","")</f>
        <v/>
      </c>
      <c r="K581">
        <f>IFERROR(IF(D581="","",D581)&amp;"","")</f>
        <v/>
      </c>
      <c r="L581">
        <f>IFERROR(IF(I581="","",I581)&amp;"","")</f>
        <v/>
      </c>
      <c r="M581">
        <f>IF(J581="","",IFERROR(VALUE(SUBSTITUTE(SUBSTITUTE(IF(E581="","",E581)&amp;"","$",""),",","")),0))</f>
        <v/>
      </c>
      <c r="N581" s="11">
        <f>IF(J581="","",IFERROR(VALUE(SUBSTITUTE(SUBSTITUTE(IF(F581="","",F581)&amp;"","$",""),",","")),0))</f>
        <v/>
      </c>
      <c r="O581" s="11">
        <f>IF(J581="","",M581*N581)</f>
        <v/>
      </c>
      <c r="P581">
        <f>IF(J581="","",IF(L581="",1,COUNTIF($L$2:$L$1501,L581)))</f>
        <v/>
      </c>
      <c r="Q581" s="11">
        <f>IF(J581="","",IFERROR(VALUE(SUBSTITUTE(SUBSTITUTE(IF(G581="","",G581)&amp;"","$",""),",","")),0)/IF("No"="Yes",P581,1))</f>
        <v/>
      </c>
      <c r="R581" s="11">
        <f>IF(J581="","",IFERROR(VALUE(SUBSTITUTE(SUBSTITUTE(IF(H581="","",H581)&amp;"","$",""),",","")),0)/IF("No"="Yes",P581,1))</f>
        <v/>
      </c>
      <c r="S581" s="11">
        <f>IF(J581="","",O581+Q581-R581)</f>
        <v/>
      </c>
      <c r="T581">
        <f>IF(J581="","",IFERROR(IF(K581="",NA(),MATCH(K581,Products!$B$5:$B$204,0)),IFERROR(MATCH(J581,Products!$A$5:$A$204,0),"")))</f>
        <v/>
      </c>
      <c r="U581">
        <f>IF(J581="","",IF(T581="","⚠ not in Products",INDEX(Products!$A$5:$A$204,T581)))</f>
        <v/>
      </c>
      <c r="V581" s="11">
        <f>IF(J581="","",S581*(IFERROR(INDEX(Settings!$B$5:$B$9,MATCH($B581,Settings!$A$5:$A$9,0)),0)+IFERROR(INDEX(Settings!$E$5:$E$9,MATCH($B581,Settings!$A$5:$A$9,0)),0)+IFERROR(INDEX(Settings!$G$5:$G$9,MATCH($B581,Settings!$A$5:$A$9,0)),0))+(IFERROR(INDEX(Settings!$C$5:$C$9,MATCH($B581,Settings!$A$5:$A$9,0)),0)+IFERROR(INDEX(Settings!$F$5:$F$9,MATCH($B581,Settings!$A$5:$A$9,0)),0))/P581+IFERROR(INDEX(Settings!$D$5:$D$9,MATCH($B581,Settings!$A$5:$A$9,0)),0)*M581)</f>
        <v/>
      </c>
      <c r="W581" s="11">
        <f>IF(J581="","",IF(T581="",0,M581*INDEX(Products!$I$5:$I$204,T581)))</f>
        <v/>
      </c>
      <c r="X581" s="11">
        <f>IF(J581="","",IF(T581="",0,S581*INDEX(Products!$H$5:$H$204,T581)))</f>
        <v/>
      </c>
      <c r="Y581" s="11">
        <f>IF(J581="","",S581-V581-W581-X581)</f>
        <v/>
      </c>
    </row>
    <row r="582">
      <c r="A582" s="19" t="n"/>
      <c r="B582" s="19" t="n"/>
      <c r="C582" s="19" t="n"/>
      <c r="D582" s="19" t="n"/>
      <c r="E582" s="19" t="n"/>
      <c r="F582" s="20" t="n"/>
      <c r="G582" s="20" t="n"/>
      <c r="H582" s="20" t="n"/>
      <c r="I582" s="19" t="n"/>
      <c r="J582">
        <f>IFERROR(IF(C582="","",C582)&amp;"","")</f>
        <v/>
      </c>
      <c r="K582">
        <f>IFERROR(IF(D582="","",D582)&amp;"","")</f>
        <v/>
      </c>
      <c r="L582">
        <f>IFERROR(IF(I582="","",I582)&amp;"","")</f>
        <v/>
      </c>
      <c r="M582">
        <f>IF(J582="","",IFERROR(VALUE(SUBSTITUTE(SUBSTITUTE(IF(E582="","",E582)&amp;"","$",""),",","")),0))</f>
        <v/>
      </c>
      <c r="N582" s="11">
        <f>IF(J582="","",IFERROR(VALUE(SUBSTITUTE(SUBSTITUTE(IF(F582="","",F582)&amp;"","$",""),",","")),0))</f>
        <v/>
      </c>
      <c r="O582" s="11">
        <f>IF(J582="","",M582*N582)</f>
        <v/>
      </c>
      <c r="P582">
        <f>IF(J582="","",IF(L582="",1,COUNTIF($L$2:$L$1501,L582)))</f>
        <v/>
      </c>
      <c r="Q582" s="11">
        <f>IF(J582="","",IFERROR(VALUE(SUBSTITUTE(SUBSTITUTE(IF(G582="","",G582)&amp;"","$",""),",","")),0)/IF("No"="Yes",P582,1))</f>
        <v/>
      </c>
      <c r="R582" s="11">
        <f>IF(J582="","",IFERROR(VALUE(SUBSTITUTE(SUBSTITUTE(IF(H582="","",H582)&amp;"","$",""),",","")),0)/IF("No"="Yes",P582,1))</f>
        <v/>
      </c>
      <c r="S582" s="11">
        <f>IF(J582="","",O582+Q582-R582)</f>
        <v/>
      </c>
      <c r="T582">
        <f>IF(J582="","",IFERROR(IF(K582="",NA(),MATCH(K582,Products!$B$5:$B$204,0)),IFERROR(MATCH(J582,Products!$A$5:$A$204,0),"")))</f>
        <v/>
      </c>
      <c r="U582">
        <f>IF(J582="","",IF(T582="","⚠ not in Products",INDEX(Products!$A$5:$A$204,T582)))</f>
        <v/>
      </c>
      <c r="V582" s="11">
        <f>IF(J582="","",S582*(IFERROR(INDEX(Settings!$B$5:$B$9,MATCH($B582,Settings!$A$5:$A$9,0)),0)+IFERROR(INDEX(Settings!$E$5:$E$9,MATCH($B582,Settings!$A$5:$A$9,0)),0)+IFERROR(INDEX(Settings!$G$5:$G$9,MATCH($B582,Settings!$A$5:$A$9,0)),0))+(IFERROR(INDEX(Settings!$C$5:$C$9,MATCH($B582,Settings!$A$5:$A$9,0)),0)+IFERROR(INDEX(Settings!$F$5:$F$9,MATCH($B582,Settings!$A$5:$A$9,0)),0))/P582+IFERROR(INDEX(Settings!$D$5:$D$9,MATCH($B582,Settings!$A$5:$A$9,0)),0)*M582)</f>
        <v/>
      </c>
      <c r="W582" s="11">
        <f>IF(J582="","",IF(T582="",0,M582*INDEX(Products!$I$5:$I$204,T582)))</f>
        <v/>
      </c>
      <c r="X582" s="11">
        <f>IF(J582="","",IF(T582="",0,S582*INDEX(Products!$H$5:$H$204,T582)))</f>
        <v/>
      </c>
      <c r="Y582" s="11">
        <f>IF(J582="","",S582-V582-W582-X582)</f>
        <v/>
      </c>
    </row>
    <row r="583">
      <c r="A583" s="19" t="n"/>
      <c r="B583" s="19" t="n"/>
      <c r="C583" s="19" t="n"/>
      <c r="D583" s="19" t="n"/>
      <c r="E583" s="19" t="n"/>
      <c r="F583" s="20" t="n"/>
      <c r="G583" s="20" t="n"/>
      <c r="H583" s="20" t="n"/>
      <c r="I583" s="19" t="n"/>
      <c r="J583">
        <f>IFERROR(IF(C583="","",C583)&amp;"","")</f>
        <v/>
      </c>
      <c r="K583">
        <f>IFERROR(IF(D583="","",D583)&amp;"","")</f>
        <v/>
      </c>
      <c r="L583">
        <f>IFERROR(IF(I583="","",I583)&amp;"","")</f>
        <v/>
      </c>
      <c r="M583">
        <f>IF(J583="","",IFERROR(VALUE(SUBSTITUTE(SUBSTITUTE(IF(E583="","",E583)&amp;"","$",""),",","")),0))</f>
        <v/>
      </c>
      <c r="N583" s="11">
        <f>IF(J583="","",IFERROR(VALUE(SUBSTITUTE(SUBSTITUTE(IF(F583="","",F583)&amp;"","$",""),",","")),0))</f>
        <v/>
      </c>
      <c r="O583" s="11">
        <f>IF(J583="","",M583*N583)</f>
        <v/>
      </c>
      <c r="P583">
        <f>IF(J583="","",IF(L583="",1,COUNTIF($L$2:$L$1501,L583)))</f>
        <v/>
      </c>
      <c r="Q583" s="11">
        <f>IF(J583="","",IFERROR(VALUE(SUBSTITUTE(SUBSTITUTE(IF(G583="","",G583)&amp;"","$",""),",","")),0)/IF("No"="Yes",P583,1))</f>
        <v/>
      </c>
      <c r="R583" s="11">
        <f>IF(J583="","",IFERROR(VALUE(SUBSTITUTE(SUBSTITUTE(IF(H583="","",H583)&amp;"","$",""),",","")),0)/IF("No"="Yes",P583,1))</f>
        <v/>
      </c>
      <c r="S583" s="11">
        <f>IF(J583="","",O583+Q583-R583)</f>
        <v/>
      </c>
      <c r="T583">
        <f>IF(J583="","",IFERROR(IF(K583="",NA(),MATCH(K583,Products!$B$5:$B$204,0)),IFERROR(MATCH(J583,Products!$A$5:$A$204,0),"")))</f>
        <v/>
      </c>
      <c r="U583">
        <f>IF(J583="","",IF(T583="","⚠ not in Products",INDEX(Products!$A$5:$A$204,T583)))</f>
        <v/>
      </c>
      <c r="V583" s="11">
        <f>IF(J583="","",S583*(IFERROR(INDEX(Settings!$B$5:$B$9,MATCH($B583,Settings!$A$5:$A$9,0)),0)+IFERROR(INDEX(Settings!$E$5:$E$9,MATCH($B583,Settings!$A$5:$A$9,0)),0)+IFERROR(INDEX(Settings!$G$5:$G$9,MATCH($B583,Settings!$A$5:$A$9,0)),0))+(IFERROR(INDEX(Settings!$C$5:$C$9,MATCH($B583,Settings!$A$5:$A$9,0)),0)+IFERROR(INDEX(Settings!$F$5:$F$9,MATCH($B583,Settings!$A$5:$A$9,0)),0))/P583+IFERROR(INDEX(Settings!$D$5:$D$9,MATCH($B583,Settings!$A$5:$A$9,0)),0)*M583)</f>
        <v/>
      </c>
      <c r="W583" s="11">
        <f>IF(J583="","",IF(T583="",0,M583*INDEX(Products!$I$5:$I$204,T583)))</f>
        <v/>
      </c>
      <c r="X583" s="11">
        <f>IF(J583="","",IF(T583="",0,S583*INDEX(Products!$H$5:$H$204,T583)))</f>
        <v/>
      </c>
      <c r="Y583" s="11">
        <f>IF(J583="","",S583-V583-W583-X583)</f>
        <v/>
      </c>
    </row>
    <row r="584">
      <c r="A584" s="19" t="n"/>
      <c r="B584" s="19" t="n"/>
      <c r="C584" s="19" t="n"/>
      <c r="D584" s="19" t="n"/>
      <c r="E584" s="19" t="n"/>
      <c r="F584" s="20" t="n"/>
      <c r="G584" s="20" t="n"/>
      <c r="H584" s="20" t="n"/>
      <c r="I584" s="19" t="n"/>
      <c r="J584">
        <f>IFERROR(IF(C584="","",C584)&amp;"","")</f>
        <v/>
      </c>
      <c r="K584">
        <f>IFERROR(IF(D584="","",D584)&amp;"","")</f>
        <v/>
      </c>
      <c r="L584">
        <f>IFERROR(IF(I584="","",I584)&amp;"","")</f>
        <v/>
      </c>
      <c r="M584">
        <f>IF(J584="","",IFERROR(VALUE(SUBSTITUTE(SUBSTITUTE(IF(E584="","",E584)&amp;"","$",""),",","")),0))</f>
        <v/>
      </c>
      <c r="N584" s="11">
        <f>IF(J584="","",IFERROR(VALUE(SUBSTITUTE(SUBSTITUTE(IF(F584="","",F584)&amp;"","$",""),",","")),0))</f>
        <v/>
      </c>
      <c r="O584" s="11">
        <f>IF(J584="","",M584*N584)</f>
        <v/>
      </c>
      <c r="P584">
        <f>IF(J584="","",IF(L584="",1,COUNTIF($L$2:$L$1501,L584)))</f>
        <v/>
      </c>
      <c r="Q584" s="11">
        <f>IF(J584="","",IFERROR(VALUE(SUBSTITUTE(SUBSTITUTE(IF(G584="","",G584)&amp;"","$",""),",","")),0)/IF("No"="Yes",P584,1))</f>
        <v/>
      </c>
      <c r="R584" s="11">
        <f>IF(J584="","",IFERROR(VALUE(SUBSTITUTE(SUBSTITUTE(IF(H584="","",H584)&amp;"","$",""),",","")),0)/IF("No"="Yes",P584,1))</f>
        <v/>
      </c>
      <c r="S584" s="11">
        <f>IF(J584="","",O584+Q584-R584)</f>
        <v/>
      </c>
      <c r="T584">
        <f>IF(J584="","",IFERROR(IF(K584="",NA(),MATCH(K584,Products!$B$5:$B$204,0)),IFERROR(MATCH(J584,Products!$A$5:$A$204,0),"")))</f>
        <v/>
      </c>
      <c r="U584">
        <f>IF(J584="","",IF(T584="","⚠ not in Products",INDEX(Products!$A$5:$A$204,T584)))</f>
        <v/>
      </c>
      <c r="V584" s="11">
        <f>IF(J584="","",S584*(IFERROR(INDEX(Settings!$B$5:$B$9,MATCH($B584,Settings!$A$5:$A$9,0)),0)+IFERROR(INDEX(Settings!$E$5:$E$9,MATCH($B584,Settings!$A$5:$A$9,0)),0)+IFERROR(INDEX(Settings!$G$5:$G$9,MATCH($B584,Settings!$A$5:$A$9,0)),0))+(IFERROR(INDEX(Settings!$C$5:$C$9,MATCH($B584,Settings!$A$5:$A$9,0)),0)+IFERROR(INDEX(Settings!$F$5:$F$9,MATCH($B584,Settings!$A$5:$A$9,0)),0))/P584+IFERROR(INDEX(Settings!$D$5:$D$9,MATCH($B584,Settings!$A$5:$A$9,0)),0)*M584)</f>
        <v/>
      </c>
      <c r="W584" s="11">
        <f>IF(J584="","",IF(T584="",0,M584*INDEX(Products!$I$5:$I$204,T584)))</f>
        <v/>
      </c>
      <c r="X584" s="11">
        <f>IF(J584="","",IF(T584="",0,S584*INDEX(Products!$H$5:$H$204,T584)))</f>
        <v/>
      </c>
      <c r="Y584" s="11">
        <f>IF(J584="","",S584-V584-W584-X584)</f>
        <v/>
      </c>
    </row>
    <row r="585">
      <c r="A585" s="19" t="n"/>
      <c r="B585" s="19" t="n"/>
      <c r="C585" s="19" t="n"/>
      <c r="D585" s="19" t="n"/>
      <c r="E585" s="19" t="n"/>
      <c r="F585" s="20" t="n"/>
      <c r="G585" s="20" t="n"/>
      <c r="H585" s="20" t="n"/>
      <c r="I585" s="19" t="n"/>
      <c r="J585">
        <f>IFERROR(IF(C585="","",C585)&amp;"","")</f>
        <v/>
      </c>
      <c r="K585">
        <f>IFERROR(IF(D585="","",D585)&amp;"","")</f>
        <v/>
      </c>
      <c r="L585">
        <f>IFERROR(IF(I585="","",I585)&amp;"","")</f>
        <v/>
      </c>
      <c r="M585">
        <f>IF(J585="","",IFERROR(VALUE(SUBSTITUTE(SUBSTITUTE(IF(E585="","",E585)&amp;"","$",""),",","")),0))</f>
        <v/>
      </c>
      <c r="N585" s="11">
        <f>IF(J585="","",IFERROR(VALUE(SUBSTITUTE(SUBSTITUTE(IF(F585="","",F585)&amp;"","$",""),",","")),0))</f>
        <v/>
      </c>
      <c r="O585" s="11">
        <f>IF(J585="","",M585*N585)</f>
        <v/>
      </c>
      <c r="P585">
        <f>IF(J585="","",IF(L585="",1,COUNTIF($L$2:$L$1501,L585)))</f>
        <v/>
      </c>
      <c r="Q585" s="11">
        <f>IF(J585="","",IFERROR(VALUE(SUBSTITUTE(SUBSTITUTE(IF(G585="","",G585)&amp;"","$",""),",","")),0)/IF("No"="Yes",P585,1))</f>
        <v/>
      </c>
      <c r="R585" s="11">
        <f>IF(J585="","",IFERROR(VALUE(SUBSTITUTE(SUBSTITUTE(IF(H585="","",H585)&amp;"","$",""),",","")),0)/IF("No"="Yes",P585,1))</f>
        <v/>
      </c>
      <c r="S585" s="11">
        <f>IF(J585="","",O585+Q585-R585)</f>
        <v/>
      </c>
      <c r="T585">
        <f>IF(J585="","",IFERROR(IF(K585="",NA(),MATCH(K585,Products!$B$5:$B$204,0)),IFERROR(MATCH(J585,Products!$A$5:$A$204,0),"")))</f>
        <v/>
      </c>
      <c r="U585">
        <f>IF(J585="","",IF(T585="","⚠ not in Products",INDEX(Products!$A$5:$A$204,T585)))</f>
        <v/>
      </c>
      <c r="V585" s="11">
        <f>IF(J585="","",S585*(IFERROR(INDEX(Settings!$B$5:$B$9,MATCH($B585,Settings!$A$5:$A$9,0)),0)+IFERROR(INDEX(Settings!$E$5:$E$9,MATCH($B585,Settings!$A$5:$A$9,0)),0)+IFERROR(INDEX(Settings!$G$5:$G$9,MATCH($B585,Settings!$A$5:$A$9,0)),0))+(IFERROR(INDEX(Settings!$C$5:$C$9,MATCH($B585,Settings!$A$5:$A$9,0)),0)+IFERROR(INDEX(Settings!$F$5:$F$9,MATCH($B585,Settings!$A$5:$A$9,0)),0))/P585+IFERROR(INDEX(Settings!$D$5:$D$9,MATCH($B585,Settings!$A$5:$A$9,0)),0)*M585)</f>
        <v/>
      </c>
      <c r="W585" s="11">
        <f>IF(J585="","",IF(T585="",0,M585*INDEX(Products!$I$5:$I$204,T585)))</f>
        <v/>
      </c>
      <c r="X585" s="11">
        <f>IF(J585="","",IF(T585="",0,S585*INDEX(Products!$H$5:$H$204,T585)))</f>
        <v/>
      </c>
      <c r="Y585" s="11">
        <f>IF(J585="","",S585-V585-W585-X585)</f>
        <v/>
      </c>
    </row>
    <row r="586">
      <c r="A586" s="19" t="n"/>
      <c r="B586" s="19" t="n"/>
      <c r="C586" s="19" t="n"/>
      <c r="D586" s="19" t="n"/>
      <c r="E586" s="19" t="n"/>
      <c r="F586" s="20" t="n"/>
      <c r="G586" s="20" t="n"/>
      <c r="H586" s="20" t="n"/>
      <c r="I586" s="19" t="n"/>
      <c r="J586">
        <f>IFERROR(IF(C586="","",C586)&amp;"","")</f>
        <v/>
      </c>
      <c r="K586">
        <f>IFERROR(IF(D586="","",D586)&amp;"","")</f>
        <v/>
      </c>
      <c r="L586">
        <f>IFERROR(IF(I586="","",I586)&amp;"","")</f>
        <v/>
      </c>
      <c r="M586">
        <f>IF(J586="","",IFERROR(VALUE(SUBSTITUTE(SUBSTITUTE(IF(E586="","",E586)&amp;"","$",""),",","")),0))</f>
        <v/>
      </c>
      <c r="N586" s="11">
        <f>IF(J586="","",IFERROR(VALUE(SUBSTITUTE(SUBSTITUTE(IF(F586="","",F586)&amp;"","$",""),",","")),0))</f>
        <v/>
      </c>
      <c r="O586" s="11">
        <f>IF(J586="","",M586*N586)</f>
        <v/>
      </c>
      <c r="P586">
        <f>IF(J586="","",IF(L586="",1,COUNTIF($L$2:$L$1501,L586)))</f>
        <v/>
      </c>
      <c r="Q586" s="11">
        <f>IF(J586="","",IFERROR(VALUE(SUBSTITUTE(SUBSTITUTE(IF(G586="","",G586)&amp;"","$",""),",","")),0)/IF("No"="Yes",P586,1))</f>
        <v/>
      </c>
      <c r="R586" s="11">
        <f>IF(J586="","",IFERROR(VALUE(SUBSTITUTE(SUBSTITUTE(IF(H586="","",H586)&amp;"","$",""),",","")),0)/IF("No"="Yes",P586,1))</f>
        <v/>
      </c>
      <c r="S586" s="11">
        <f>IF(J586="","",O586+Q586-R586)</f>
        <v/>
      </c>
      <c r="T586">
        <f>IF(J586="","",IFERROR(IF(K586="",NA(),MATCH(K586,Products!$B$5:$B$204,0)),IFERROR(MATCH(J586,Products!$A$5:$A$204,0),"")))</f>
        <v/>
      </c>
      <c r="U586">
        <f>IF(J586="","",IF(T586="","⚠ not in Products",INDEX(Products!$A$5:$A$204,T586)))</f>
        <v/>
      </c>
      <c r="V586" s="11">
        <f>IF(J586="","",S586*(IFERROR(INDEX(Settings!$B$5:$B$9,MATCH($B586,Settings!$A$5:$A$9,0)),0)+IFERROR(INDEX(Settings!$E$5:$E$9,MATCH($B586,Settings!$A$5:$A$9,0)),0)+IFERROR(INDEX(Settings!$G$5:$G$9,MATCH($B586,Settings!$A$5:$A$9,0)),0))+(IFERROR(INDEX(Settings!$C$5:$C$9,MATCH($B586,Settings!$A$5:$A$9,0)),0)+IFERROR(INDEX(Settings!$F$5:$F$9,MATCH($B586,Settings!$A$5:$A$9,0)),0))/P586+IFERROR(INDEX(Settings!$D$5:$D$9,MATCH($B586,Settings!$A$5:$A$9,0)),0)*M586)</f>
        <v/>
      </c>
      <c r="W586" s="11">
        <f>IF(J586="","",IF(T586="",0,M586*INDEX(Products!$I$5:$I$204,T586)))</f>
        <v/>
      </c>
      <c r="X586" s="11">
        <f>IF(J586="","",IF(T586="",0,S586*INDEX(Products!$H$5:$H$204,T586)))</f>
        <v/>
      </c>
      <c r="Y586" s="11">
        <f>IF(J586="","",S586-V586-W586-X586)</f>
        <v/>
      </c>
    </row>
    <row r="587">
      <c r="A587" s="19" t="n"/>
      <c r="B587" s="19" t="n"/>
      <c r="C587" s="19" t="n"/>
      <c r="D587" s="19" t="n"/>
      <c r="E587" s="19" t="n"/>
      <c r="F587" s="20" t="n"/>
      <c r="G587" s="20" t="n"/>
      <c r="H587" s="20" t="n"/>
      <c r="I587" s="19" t="n"/>
      <c r="J587">
        <f>IFERROR(IF(C587="","",C587)&amp;"","")</f>
        <v/>
      </c>
      <c r="K587">
        <f>IFERROR(IF(D587="","",D587)&amp;"","")</f>
        <v/>
      </c>
      <c r="L587">
        <f>IFERROR(IF(I587="","",I587)&amp;"","")</f>
        <v/>
      </c>
      <c r="M587">
        <f>IF(J587="","",IFERROR(VALUE(SUBSTITUTE(SUBSTITUTE(IF(E587="","",E587)&amp;"","$",""),",","")),0))</f>
        <v/>
      </c>
      <c r="N587" s="11">
        <f>IF(J587="","",IFERROR(VALUE(SUBSTITUTE(SUBSTITUTE(IF(F587="","",F587)&amp;"","$",""),",","")),0))</f>
        <v/>
      </c>
      <c r="O587" s="11">
        <f>IF(J587="","",M587*N587)</f>
        <v/>
      </c>
      <c r="P587">
        <f>IF(J587="","",IF(L587="",1,COUNTIF($L$2:$L$1501,L587)))</f>
        <v/>
      </c>
      <c r="Q587" s="11">
        <f>IF(J587="","",IFERROR(VALUE(SUBSTITUTE(SUBSTITUTE(IF(G587="","",G587)&amp;"","$",""),",","")),0)/IF("No"="Yes",P587,1))</f>
        <v/>
      </c>
      <c r="R587" s="11">
        <f>IF(J587="","",IFERROR(VALUE(SUBSTITUTE(SUBSTITUTE(IF(H587="","",H587)&amp;"","$",""),",","")),0)/IF("No"="Yes",P587,1))</f>
        <v/>
      </c>
      <c r="S587" s="11">
        <f>IF(J587="","",O587+Q587-R587)</f>
        <v/>
      </c>
      <c r="T587">
        <f>IF(J587="","",IFERROR(IF(K587="",NA(),MATCH(K587,Products!$B$5:$B$204,0)),IFERROR(MATCH(J587,Products!$A$5:$A$204,0),"")))</f>
        <v/>
      </c>
      <c r="U587">
        <f>IF(J587="","",IF(T587="","⚠ not in Products",INDEX(Products!$A$5:$A$204,T587)))</f>
        <v/>
      </c>
      <c r="V587" s="11">
        <f>IF(J587="","",S587*(IFERROR(INDEX(Settings!$B$5:$B$9,MATCH($B587,Settings!$A$5:$A$9,0)),0)+IFERROR(INDEX(Settings!$E$5:$E$9,MATCH($B587,Settings!$A$5:$A$9,0)),0)+IFERROR(INDEX(Settings!$G$5:$G$9,MATCH($B587,Settings!$A$5:$A$9,0)),0))+(IFERROR(INDEX(Settings!$C$5:$C$9,MATCH($B587,Settings!$A$5:$A$9,0)),0)+IFERROR(INDEX(Settings!$F$5:$F$9,MATCH($B587,Settings!$A$5:$A$9,0)),0))/P587+IFERROR(INDEX(Settings!$D$5:$D$9,MATCH($B587,Settings!$A$5:$A$9,0)),0)*M587)</f>
        <v/>
      </c>
      <c r="W587" s="11">
        <f>IF(J587="","",IF(T587="",0,M587*INDEX(Products!$I$5:$I$204,T587)))</f>
        <v/>
      </c>
      <c r="X587" s="11">
        <f>IF(J587="","",IF(T587="",0,S587*INDEX(Products!$H$5:$H$204,T587)))</f>
        <v/>
      </c>
      <c r="Y587" s="11">
        <f>IF(J587="","",S587-V587-W587-X587)</f>
        <v/>
      </c>
    </row>
    <row r="588">
      <c r="A588" s="19" t="n"/>
      <c r="B588" s="19" t="n"/>
      <c r="C588" s="19" t="n"/>
      <c r="D588" s="19" t="n"/>
      <c r="E588" s="19" t="n"/>
      <c r="F588" s="20" t="n"/>
      <c r="G588" s="20" t="n"/>
      <c r="H588" s="20" t="n"/>
      <c r="I588" s="19" t="n"/>
      <c r="J588">
        <f>IFERROR(IF(C588="","",C588)&amp;"","")</f>
        <v/>
      </c>
      <c r="K588">
        <f>IFERROR(IF(D588="","",D588)&amp;"","")</f>
        <v/>
      </c>
      <c r="L588">
        <f>IFERROR(IF(I588="","",I588)&amp;"","")</f>
        <v/>
      </c>
      <c r="M588">
        <f>IF(J588="","",IFERROR(VALUE(SUBSTITUTE(SUBSTITUTE(IF(E588="","",E588)&amp;"","$",""),",","")),0))</f>
        <v/>
      </c>
      <c r="N588" s="11">
        <f>IF(J588="","",IFERROR(VALUE(SUBSTITUTE(SUBSTITUTE(IF(F588="","",F588)&amp;"","$",""),",","")),0))</f>
        <v/>
      </c>
      <c r="O588" s="11">
        <f>IF(J588="","",M588*N588)</f>
        <v/>
      </c>
      <c r="P588">
        <f>IF(J588="","",IF(L588="",1,COUNTIF($L$2:$L$1501,L588)))</f>
        <v/>
      </c>
      <c r="Q588" s="11">
        <f>IF(J588="","",IFERROR(VALUE(SUBSTITUTE(SUBSTITUTE(IF(G588="","",G588)&amp;"","$",""),",","")),0)/IF("No"="Yes",P588,1))</f>
        <v/>
      </c>
      <c r="R588" s="11">
        <f>IF(J588="","",IFERROR(VALUE(SUBSTITUTE(SUBSTITUTE(IF(H588="","",H588)&amp;"","$",""),",","")),0)/IF("No"="Yes",P588,1))</f>
        <v/>
      </c>
      <c r="S588" s="11">
        <f>IF(J588="","",O588+Q588-R588)</f>
        <v/>
      </c>
      <c r="T588">
        <f>IF(J588="","",IFERROR(IF(K588="",NA(),MATCH(K588,Products!$B$5:$B$204,0)),IFERROR(MATCH(J588,Products!$A$5:$A$204,0),"")))</f>
        <v/>
      </c>
      <c r="U588">
        <f>IF(J588="","",IF(T588="","⚠ not in Products",INDEX(Products!$A$5:$A$204,T588)))</f>
        <v/>
      </c>
      <c r="V588" s="11">
        <f>IF(J588="","",S588*(IFERROR(INDEX(Settings!$B$5:$B$9,MATCH($B588,Settings!$A$5:$A$9,0)),0)+IFERROR(INDEX(Settings!$E$5:$E$9,MATCH($B588,Settings!$A$5:$A$9,0)),0)+IFERROR(INDEX(Settings!$G$5:$G$9,MATCH($B588,Settings!$A$5:$A$9,0)),0))+(IFERROR(INDEX(Settings!$C$5:$C$9,MATCH($B588,Settings!$A$5:$A$9,0)),0)+IFERROR(INDEX(Settings!$F$5:$F$9,MATCH($B588,Settings!$A$5:$A$9,0)),0))/P588+IFERROR(INDEX(Settings!$D$5:$D$9,MATCH($B588,Settings!$A$5:$A$9,0)),0)*M588)</f>
        <v/>
      </c>
      <c r="W588" s="11">
        <f>IF(J588="","",IF(T588="",0,M588*INDEX(Products!$I$5:$I$204,T588)))</f>
        <v/>
      </c>
      <c r="X588" s="11">
        <f>IF(J588="","",IF(T588="",0,S588*INDEX(Products!$H$5:$H$204,T588)))</f>
        <v/>
      </c>
      <c r="Y588" s="11">
        <f>IF(J588="","",S588-V588-W588-X588)</f>
        <v/>
      </c>
    </row>
    <row r="589">
      <c r="A589" s="19" t="n"/>
      <c r="B589" s="19" t="n"/>
      <c r="C589" s="19" t="n"/>
      <c r="D589" s="19" t="n"/>
      <c r="E589" s="19" t="n"/>
      <c r="F589" s="20" t="n"/>
      <c r="G589" s="20" t="n"/>
      <c r="H589" s="20" t="n"/>
      <c r="I589" s="19" t="n"/>
      <c r="J589">
        <f>IFERROR(IF(C589="","",C589)&amp;"","")</f>
        <v/>
      </c>
      <c r="K589">
        <f>IFERROR(IF(D589="","",D589)&amp;"","")</f>
        <v/>
      </c>
      <c r="L589">
        <f>IFERROR(IF(I589="","",I589)&amp;"","")</f>
        <v/>
      </c>
      <c r="M589">
        <f>IF(J589="","",IFERROR(VALUE(SUBSTITUTE(SUBSTITUTE(IF(E589="","",E589)&amp;"","$",""),",","")),0))</f>
        <v/>
      </c>
      <c r="N589" s="11">
        <f>IF(J589="","",IFERROR(VALUE(SUBSTITUTE(SUBSTITUTE(IF(F589="","",F589)&amp;"","$",""),",","")),0))</f>
        <v/>
      </c>
      <c r="O589" s="11">
        <f>IF(J589="","",M589*N589)</f>
        <v/>
      </c>
      <c r="P589">
        <f>IF(J589="","",IF(L589="",1,COUNTIF($L$2:$L$1501,L589)))</f>
        <v/>
      </c>
      <c r="Q589" s="11">
        <f>IF(J589="","",IFERROR(VALUE(SUBSTITUTE(SUBSTITUTE(IF(G589="","",G589)&amp;"","$",""),",","")),0)/IF("No"="Yes",P589,1))</f>
        <v/>
      </c>
      <c r="R589" s="11">
        <f>IF(J589="","",IFERROR(VALUE(SUBSTITUTE(SUBSTITUTE(IF(H589="","",H589)&amp;"","$",""),",","")),0)/IF("No"="Yes",P589,1))</f>
        <v/>
      </c>
      <c r="S589" s="11">
        <f>IF(J589="","",O589+Q589-R589)</f>
        <v/>
      </c>
      <c r="T589">
        <f>IF(J589="","",IFERROR(IF(K589="",NA(),MATCH(K589,Products!$B$5:$B$204,0)),IFERROR(MATCH(J589,Products!$A$5:$A$204,0),"")))</f>
        <v/>
      </c>
      <c r="U589">
        <f>IF(J589="","",IF(T589="","⚠ not in Products",INDEX(Products!$A$5:$A$204,T589)))</f>
        <v/>
      </c>
      <c r="V589" s="11">
        <f>IF(J589="","",S589*(IFERROR(INDEX(Settings!$B$5:$B$9,MATCH($B589,Settings!$A$5:$A$9,0)),0)+IFERROR(INDEX(Settings!$E$5:$E$9,MATCH($B589,Settings!$A$5:$A$9,0)),0)+IFERROR(INDEX(Settings!$G$5:$G$9,MATCH($B589,Settings!$A$5:$A$9,0)),0))+(IFERROR(INDEX(Settings!$C$5:$C$9,MATCH($B589,Settings!$A$5:$A$9,0)),0)+IFERROR(INDEX(Settings!$F$5:$F$9,MATCH($B589,Settings!$A$5:$A$9,0)),0))/P589+IFERROR(INDEX(Settings!$D$5:$D$9,MATCH($B589,Settings!$A$5:$A$9,0)),0)*M589)</f>
        <v/>
      </c>
      <c r="W589" s="11">
        <f>IF(J589="","",IF(T589="",0,M589*INDEX(Products!$I$5:$I$204,T589)))</f>
        <v/>
      </c>
      <c r="X589" s="11">
        <f>IF(J589="","",IF(T589="",0,S589*INDEX(Products!$H$5:$H$204,T589)))</f>
        <v/>
      </c>
      <c r="Y589" s="11">
        <f>IF(J589="","",S589-V589-W589-X589)</f>
        <v/>
      </c>
    </row>
    <row r="590">
      <c r="A590" s="19" t="n"/>
      <c r="B590" s="19" t="n"/>
      <c r="C590" s="19" t="n"/>
      <c r="D590" s="19" t="n"/>
      <c r="E590" s="19" t="n"/>
      <c r="F590" s="20" t="n"/>
      <c r="G590" s="20" t="n"/>
      <c r="H590" s="20" t="n"/>
      <c r="I590" s="19" t="n"/>
      <c r="J590">
        <f>IFERROR(IF(C590="","",C590)&amp;"","")</f>
        <v/>
      </c>
      <c r="K590">
        <f>IFERROR(IF(D590="","",D590)&amp;"","")</f>
        <v/>
      </c>
      <c r="L590">
        <f>IFERROR(IF(I590="","",I590)&amp;"","")</f>
        <v/>
      </c>
      <c r="M590">
        <f>IF(J590="","",IFERROR(VALUE(SUBSTITUTE(SUBSTITUTE(IF(E590="","",E590)&amp;"","$",""),",","")),0))</f>
        <v/>
      </c>
      <c r="N590" s="11">
        <f>IF(J590="","",IFERROR(VALUE(SUBSTITUTE(SUBSTITUTE(IF(F590="","",F590)&amp;"","$",""),",","")),0))</f>
        <v/>
      </c>
      <c r="O590" s="11">
        <f>IF(J590="","",M590*N590)</f>
        <v/>
      </c>
      <c r="P590">
        <f>IF(J590="","",IF(L590="",1,COUNTIF($L$2:$L$1501,L590)))</f>
        <v/>
      </c>
      <c r="Q590" s="11">
        <f>IF(J590="","",IFERROR(VALUE(SUBSTITUTE(SUBSTITUTE(IF(G590="","",G590)&amp;"","$",""),",","")),0)/IF("No"="Yes",P590,1))</f>
        <v/>
      </c>
      <c r="R590" s="11">
        <f>IF(J590="","",IFERROR(VALUE(SUBSTITUTE(SUBSTITUTE(IF(H590="","",H590)&amp;"","$",""),",","")),0)/IF("No"="Yes",P590,1))</f>
        <v/>
      </c>
      <c r="S590" s="11">
        <f>IF(J590="","",O590+Q590-R590)</f>
        <v/>
      </c>
      <c r="T590">
        <f>IF(J590="","",IFERROR(IF(K590="",NA(),MATCH(K590,Products!$B$5:$B$204,0)),IFERROR(MATCH(J590,Products!$A$5:$A$204,0),"")))</f>
        <v/>
      </c>
      <c r="U590">
        <f>IF(J590="","",IF(T590="","⚠ not in Products",INDEX(Products!$A$5:$A$204,T590)))</f>
        <v/>
      </c>
      <c r="V590" s="11">
        <f>IF(J590="","",S590*(IFERROR(INDEX(Settings!$B$5:$B$9,MATCH($B590,Settings!$A$5:$A$9,0)),0)+IFERROR(INDEX(Settings!$E$5:$E$9,MATCH($B590,Settings!$A$5:$A$9,0)),0)+IFERROR(INDEX(Settings!$G$5:$G$9,MATCH($B590,Settings!$A$5:$A$9,0)),0))+(IFERROR(INDEX(Settings!$C$5:$C$9,MATCH($B590,Settings!$A$5:$A$9,0)),0)+IFERROR(INDEX(Settings!$F$5:$F$9,MATCH($B590,Settings!$A$5:$A$9,0)),0))/P590+IFERROR(INDEX(Settings!$D$5:$D$9,MATCH($B590,Settings!$A$5:$A$9,0)),0)*M590)</f>
        <v/>
      </c>
      <c r="W590" s="11">
        <f>IF(J590="","",IF(T590="",0,M590*INDEX(Products!$I$5:$I$204,T590)))</f>
        <v/>
      </c>
      <c r="X590" s="11">
        <f>IF(J590="","",IF(T590="",0,S590*INDEX(Products!$H$5:$H$204,T590)))</f>
        <v/>
      </c>
      <c r="Y590" s="11">
        <f>IF(J590="","",S590-V590-W590-X590)</f>
        <v/>
      </c>
    </row>
    <row r="591">
      <c r="A591" s="19" t="n"/>
      <c r="B591" s="19" t="n"/>
      <c r="C591" s="19" t="n"/>
      <c r="D591" s="19" t="n"/>
      <c r="E591" s="19" t="n"/>
      <c r="F591" s="20" t="n"/>
      <c r="G591" s="20" t="n"/>
      <c r="H591" s="20" t="n"/>
      <c r="I591" s="19" t="n"/>
      <c r="J591">
        <f>IFERROR(IF(C591="","",C591)&amp;"","")</f>
        <v/>
      </c>
      <c r="K591">
        <f>IFERROR(IF(D591="","",D591)&amp;"","")</f>
        <v/>
      </c>
      <c r="L591">
        <f>IFERROR(IF(I591="","",I591)&amp;"","")</f>
        <v/>
      </c>
      <c r="M591">
        <f>IF(J591="","",IFERROR(VALUE(SUBSTITUTE(SUBSTITUTE(IF(E591="","",E591)&amp;"","$",""),",","")),0))</f>
        <v/>
      </c>
      <c r="N591" s="11">
        <f>IF(J591="","",IFERROR(VALUE(SUBSTITUTE(SUBSTITUTE(IF(F591="","",F591)&amp;"","$",""),",","")),0))</f>
        <v/>
      </c>
      <c r="O591" s="11">
        <f>IF(J591="","",M591*N591)</f>
        <v/>
      </c>
      <c r="P591">
        <f>IF(J591="","",IF(L591="",1,COUNTIF($L$2:$L$1501,L591)))</f>
        <v/>
      </c>
      <c r="Q591" s="11">
        <f>IF(J591="","",IFERROR(VALUE(SUBSTITUTE(SUBSTITUTE(IF(G591="","",G591)&amp;"","$",""),",","")),0)/IF("No"="Yes",P591,1))</f>
        <v/>
      </c>
      <c r="R591" s="11">
        <f>IF(J591="","",IFERROR(VALUE(SUBSTITUTE(SUBSTITUTE(IF(H591="","",H591)&amp;"","$",""),",","")),0)/IF("No"="Yes",P591,1))</f>
        <v/>
      </c>
      <c r="S591" s="11">
        <f>IF(J591="","",O591+Q591-R591)</f>
        <v/>
      </c>
      <c r="T591">
        <f>IF(J591="","",IFERROR(IF(K591="",NA(),MATCH(K591,Products!$B$5:$B$204,0)),IFERROR(MATCH(J591,Products!$A$5:$A$204,0),"")))</f>
        <v/>
      </c>
      <c r="U591">
        <f>IF(J591="","",IF(T591="","⚠ not in Products",INDEX(Products!$A$5:$A$204,T591)))</f>
        <v/>
      </c>
      <c r="V591" s="11">
        <f>IF(J591="","",S591*(IFERROR(INDEX(Settings!$B$5:$B$9,MATCH($B591,Settings!$A$5:$A$9,0)),0)+IFERROR(INDEX(Settings!$E$5:$E$9,MATCH($B591,Settings!$A$5:$A$9,0)),0)+IFERROR(INDEX(Settings!$G$5:$G$9,MATCH($B591,Settings!$A$5:$A$9,0)),0))+(IFERROR(INDEX(Settings!$C$5:$C$9,MATCH($B591,Settings!$A$5:$A$9,0)),0)+IFERROR(INDEX(Settings!$F$5:$F$9,MATCH($B591,Settings!$A$5:$A$9,0)),0))/P591+IFERROR(INDEX(Settings!$D$5:$D$9,MATCH($B591,Settings!$A$5:$A$9,0)),0)*M591)</f>
        <v/>
      </c>
      <c r="W591" s="11">
        <f>IF(J591="","",IF(T591="",0,M591*INDEX(Products!$I$5:$I$204,T591)))</f>
        <v/>
      </c>
      <c r="X591" s="11">
        <f>IF(J591="","",IF(T591="",0,S591*INDEX(Products!$H$5:$H$204,T591)))</f>
        <v/>
      </c>
      <c r="Y591" s="11">
        <f>IF(J591="","",S591-V591-W591-X591)</f>
        <v/>
      </c>
    </row>
    <row r="592">
      <c r="A592" s="19" t="n"/>
      <c r="B592" s="19" t="n"/>
      <c r="C592" s="19" t="n"/>
      <c r="D592" s="19" t="n"/>
      <c r="E592" s="19" t="n"/>
      <c r="F592" s="20" t="n"/>
      <c r="G592" s="20" t="n"/>
      <c r="H592" s="20" t="n"/>
      <c r="I592" s="19" t="n"/>
      <c r="J592">
        <f>IFERROR(IF(C592="","",C592)&amp;"","")</f>
        <v/>
      </c>
      <c r="K592">
        <f>IFERROR(IF(D592="","",D592)&amp;"","")</f>
        <v/>
      </c>
      <c r="L592">
        <f>IFERROR(IF(I592="","",I592)&amp;"","")</f>
        <v/>
      </c>
      <c r="M592">
        <f>IF(J592="","",IFERROR(VALUE(SUBSTITUTE(SUBSTITUTE(IF(E592="","",E592)&amp;"","$",""),",","")),0))</f>
        <v/>
      </c>
      <c r="N592" s="11">
        <f>IF(J592="","",IFERROR(VALUE(SUBSTITUTE(SUBSTITUTE(IF(F592="","",F592)&amp;"","$",""),",","")),0))</f>
        <v/>
      </c>
      <c r="O592" s="11">
        <f>IF(J592="","",M592*N592)</f>
        <v/>
      </c>
      <c r="P592">
        <f>IF(J592="","",IF(L592="",1,COUNTIF($L$2:$L$1501,L592)))</f>
        <v/>
      </c>
      <c r="Q592" s="11">
        <f>IF(J592="","",IFERROR(VALUE(SUBSTITUTE(SUBSTITUTE(IF(G592="","",G592)&amp;"","$",""),",","")),0)/IF("No"="Yes",P592,1))</f>
        <v/>
      </c>
      <c r="R592" s="11">
        <f>IF(J592="","",IFERROR(VALUE(SUBSTITUTE(SUBSTITUTE(IF(H592="","",H592)&amp;"","$",""),",","")),0)/IF("No"="Yes",P592,1))</f>
        <v/>
      </c>
      <c r="S592" s="11">
        <f>IF(J592="","",O592+Q592-R592)</f>
        <v/>
      </c>
      <c r="T592">
        <f>IF(J592="","",IFERROR(IF(K592="",NA(),MATCH(K592,Products!$B$5:$B$204,0)),IFERROR(MATCH(J592,Products!$A$5:$A$204,0),"")))</f>
        <v/>
      </c>
      <c r="U592">
        <f>IF(J592="","",IF(T592="","⚠ not in Products",INDEX(Products!$A$5:$A$204,T592)))</f>
        <v/>
      </c>
      <c r="V592" s="11">
        <f>IF(J592="","",S592*(IFERROR(INDEX(Settings!$B$5:$B$9,MATCH($B592,Settings!$A$5:$A$9,0)),0)+IFERROR(INDEX(Settings!$E$5:$E$9,MATCH($B592,Settings!$A$5:$A$9,0)),0)+IFERROR(INDEX(Settings!$G$5:$G$9,MATCH($B592,Settings!$A$5:$A$9,0)),0))+(IFERROR(INDEX(Settings!$C$5:$C$9,MATCH($B592,Settings!$A$5:$A$9,0)),0)+IFERROR(INDEX(Settings!$F$5:$F$9,MATCH($B592,Settings!$A$5:$A$9,0)),0))/P592+IFERROR(INDEX(Settings!$D$5:$D$9,MATCH($B592,Settings!$A$5:$A$9,0)),0)*M592)</f>
        <v/>
      </c>
      <c r="W592" s="11">
        <f>IF(J592="","",IF(T592="",0,M592*INDEX(Products!$I$5:$I$204,T592)))</f>
        <v/>
      </c>
      <c r="X592" s="11">
        <f>IF(J592="","",IF(T592="",0,S592*INDEX(Products!$H$5:$H$204,T592)))</f>
        <v/>
      </c>
      <c r="Y592" s="11">
        <f>IF(J592="","",S592-V592-W592-X592)</f>
        <v/>
      </c>
    </row>
    <row r="593">
      <c r="A593" s="19" t="n"/>
      <c r="B593" s="19" t="n"/>
      <c r="C593" s="19" t="n"/>
      <c r="D593" s="19" t="n"/>
      <c r="E593" s="19" t="n"/>
      <c r="F593" s="20" t="n"/>
      <c r="G593" s="20" t="n"/>
      <c r="H593" s="20" t="n"/>
      <c r="I593" s="19" t="n"/>
      <c r="J593">
        <f>IFERROR(IF(C593="","",C593)&amp;"","")</f>
        <v/>
      </c>
      <c r="K593">
        <f>IFERROR(IF(D593="","",D593)&amp;"","")</f>
        <v/>
      </c>
      <c r="L593">
        <f>IFERROR(IF(I593="","",I593)&amp;"","")</f>
        <v/>
      </c>
      <c r="M593">
        <f>IF(J593="","",IFERROR(VALUE(SUBSTITUTE(SUBSTITUTE(IF(E593="","",E593)&amp;"","$",""),",","")),0))</f>
        <v/>
      </c>
      <c r="N593" s="11">
        <f>IF(J593="","",IFERROR(VALUE(SUBSTITUTE(SUBSTITUTE(IF(F593="","",F593)&amp;"","$",""),",","")),0))</f>
        <v/>
      </c>
      <c r="O593" s="11">
        <f>IF(J593="","",M593*N593)</f>
        <v/>
      </c>
      <c r="P593">
        <f>IF(J593="","",IF(L593="",1,COUNTIF($L$2:$L$1501,L593)))</f>
        <v/>
      </c>
      <c r="Q593" s="11">
        <f>IF(J593="","",IFERROR(VALUE(SUBSTITUTE(SUBSTITUTE(IF(G593="","",G593)&amp;"","$",""),",","")),0)/IF("No"="Yes",P593,1))</f>
        <v/>
      </c>
      <c r="R593" s="11">
        <f>IF(J593="","",IFERROR(VALUE(SUBSTITUTE(SUBSTITUTE(IF(H593="","",H593)&amp;"","$",""),",","")),0)/IF("No"="Yes",P593,1))</f>
        <v/>
      </c>
      <c r="S593" s="11">
        <f>IF(J593="","",O593+Q593-R593)</f>
        <v/>
      </c>
      <c r="T593">
        <f>IF(J593="","",IFERROR(IF(K593="",NA(),MATCH(K593,Products!$B$5:$B$204,0)),IFERROR(MATCH(J593,Products!$A$5:$A$204,0),"")))</f>
        <v/>
      </c>
      <c r="U593">
        <f>IF(J593="","",IF(T593="","⚠ not in Products",INDEX(Products!$A$5:$A$204,T593)))</f>
        <v/>
      </c>
      <c r="V593" s="11">
        <f>IF(J593="","",S593*(IFERROR(INDEX(Settings!$B$5:$B$9,MATCH($B593,Settings!$A$5:$A$9,0)),0)+IFERROR(INDEX(Settings!$E$5:$E$9,MATCH($B593,Settings!$A$5:$A$9,0)),0)+IFERROR(INDEX(Settings!$G$5:$G$9,MATCH($B593,Settings!$A$5:$A$9,0)),0))+(IFERROR(INDEX(Settings!$C$5:$C$9,MATCH($B593,Settings!$A$5:$A$9,0)),0)+IFERROR(INDEX(Settings!$F$5:$F$9,MATCH($B593,Settings!$A$5:$A$9,0)),0))/P593+IFERROR(INDEX(Settings!$D$5:$D$9,MATCH($B593,Settings!$A$5:$A$9,0)),0)*M593)</f>
        <v/>
      </c>
      <c r="W593" s="11">
        <f>IF(J593="","",IF(T593="",0,M593*INDEX(Products!$I$5:$I$204,T593)))</f>
        <v/>
      </c>
      <c r="X593" s="11">
        <f>IF(J593="","",IF(T593="",0,S593*INDEX(Products!$H$5:$H$204,T593)))</f>
        <v/>
      </c>
      <c r="Y593" s="11">
        <f>IF(J593="","",S593-V593-W593-X593)</f>
        <v/>
      </c>
    </row>
    <row r="594">
      <c r="A594" s="19" t="n"/>
      <c r="B594" s="19" t="n"/>
      <c r="C594" s="19" t="n"/>
      <c r="D594" s="19" t="n"/>
      <c r="E594" s="19" t="n"/>
      <c r="F594" s="20" t="n"/>
      <c r="G594" s="20" t="n"/>
      <c r="H594" s="20" t="n"/>
      <c r="I594" s="19" t="n"/>
      <c r="J594">
        <f>IFERROR(IF(C594="","",C594)&amp;"","")</f>
        <v/>
      </c>
      <c r="K594">
        <f>IFERROR(IF(D594="","",D594)&amp;"","")</f>
        <v/>
      </c>
      <c r="L594">
        <f>IFERROR(IF(I594="","",I594)&amp;"","")</f>
        <v/>
      </c>
      <c r="M594">
        <f>IF(J594="","",IFERROR(VALUE(SUBSTITUTE(SUBSTITUTE(IF(E594="","",E594)&amp;"","$",""),",","")),0))</f>
        <v/>
      </c>
      <c r="N594" s="11">
        <f>IF(J594="","",IFERROR(VALUE(SUBSTITUTE(SUBSTITUTE(IF(F594="","",F594)&amp;"","$",""),",","")),0))</f>
        <v/>
      </c>
      <c r="O594" s="11">
        <f>IF(J594="","",M594*N594)</f>
        <v/>
      </c>
      <c r="P594">
        <f>IF(J594="","",IF(L594="",1,COUNTIF($L$2:$L$1501,L594)))</f>
        <v/>
      </c>
      <c r="Q594" s="11">
        <f>IF(J594="","",IFERROR(VALUE(SUBSTITUTE(SUBSTITUTE(IF(G594="","",G594)&amp;"","$",""),",","")),0)/IF("No"="Yes",P594,1))</f>
        <v/>
      </c>
      <c r="R594" s="11">
        <f>IF(J594="","",IFERROR(VALUE(SUBSTITUTE(SUBSTITUTE(IF(H594="","",H594)&amp;"","$",""),",","")),0)/IF("No"="Yes",P594,1))</f>
        <v/>
      </c>
      <c r="S594" s="11">
        <f>IF(J594="","",O594+Q594-R594)</f>
        <v/>
      </c>
      <c r="T594">
        <f>IF(J594="","",IFERROR(IF(K594="",NA(),MATCH(K594,Products!$B$5:$B$204,0)),IFERROR(MATCH(J594,Products!$A$5:$A$204,0),"")))</f>
        <v/>
      </c>
      <c r="U594">
        <f>IF(J594="","",IF(T594="","⚠ not in Products",INDEX(Products!$A$5:$A$204,T594)))</f>
        <v/>
      </c>
      <c r="V594" s="11">
        <f>IF(J594="","",S594*(IFERROR(INDEX(Settings!$B$5:$B$9,MATCH($B594,Settings!$A$5:$A$9,0)),0)+IFERROR(INDEX(Settings!$E$5:$E$9,MATCH($B594,Settings!$A$5:$A$9,0)),0)+IFERROR(INDEX(Settings!$G$5:$G$9,MATCH($B594,Settings!$A$5:$A$9,0)),0))+(IFERROR(INDEX(Settings!$C$5:$C$9,MATCH($B594,Settings!$A$5:$A$9,0)),0)+IFERROR(INDEX(Settings!$F$5:$F$9,MATCH($B594,Settings!$A$5:$A$9,0)),0))/P594+IFERROR(INDEX(Settings!$D$5:$D$9,MATCH($B594,Settings!$A$5:$A$9,0)),0)*M594)</f>
        <v/>
      </c>
      <c r="W594" s="11">
        <f>IF(J594="","",IF(T594="",0,M594*INDEX(Products!$I$5:$I$204,T594)))</f>
        <v/>
      </c>
      <c r="X594" s="11">
        <f>IF(J594="","",IF(T594="",0,S594*INDEX(Products!$H$5:$H$204,T594)))</f>
        <v/>
      </c>
      <c r="Y594" s="11">
        <f>IF(J594="","",S594-V594-W594-X594)</f>
        <v/>
      </c>
    </row>
    <row r="595">
      <c r="A595" s="19" t="n"/>
      <c r="B595" s="19" t="n"/>
      <c r="C595" s="19" t="n"/>
      <c r="D595" s="19" t="n"/>
      <c r="E595" s="19" t="n"/>
      <c r="F595" s="20" t="n"/>
      <c r="G595" s="20" t="n"/>
      <c r="H595" s="20" t="n"/>
      <c r="I595" s="19" t="n"/>
      <c r="J595">
        <f>IFERROR(IF(C595="","",C595)&amp;"","")</f>
        <v/>
      </c>
      <c r="K595">
        <f>IFERROR(IF(D595="","",D595)&amp;"","")</f>
        <v/>
      </c>
      <c r="L595">
        <f>IFERROR(IF(I595="","",I595)&amp;"","")</f>
        <v/>
      </c>
      <c r="M595">
        <f>IF(J595="","",IFERROR(VALUE(SUBSTITUTE(SUBSTITUTE(IF(E595="","",E595)&amp;"","$",""),",","")),0))</f>
        <v/>
      </c>
      <c r="N595" s="11">
        <f>IF(J595="","",IFERROR(VALUE(SUBSTITUTE(SUBSTITUTE(IF(F595="","",F595)&amp;"","$",""),",","")),0))</f>
        <v/>
      </c>
      <c r="O595" s="11">
        <f>IF(J595="","",M595*N595)</f>
        <v/>
      </c>
      <c r="P595">
        <f>IF(J595="","",IF(L595="",1,COUNTIF($L$2:$L$1501,L595)))</f>
        <v/>
      </c>
      <c r="Q595" s="11">
        <f>IF(J595="","",IFERROR(VALUE(SUBSTITUTE(SUBSTITUTE(IF(G595="","",G595)&amp;"","$",""),",","")),0)/IF("No"="Yes",P595,1))</f>
        <v/>
      </c>
      <c r="R595" s="11">
        <f>IF(J595="","",IFERROR(VALUE(SUBSTITUTE(SUBSTITUTE(IF(H595="","",H595)&amp;"","$",""),",","")),0)/IF("No"="Yes",P595,1))</f>
        <v/>
      </c>
      <c r="S595" s="11">
        <f>IF(J595="","",O595+Q595-R595)</f>
        <v/>
      </c>
      <c r="T595">
        <f>IF(J595="","",IFERROR(IF(K595="",NA(),MATCH(K595,Products!$B$5:$B$204,0)),IFERROR(MATCH(J595,Products!$A$5:$A$204,0),"")))</f>
        <v/>
      </c>
      <c r="U595">
        <f>IF(J595="","",IF(T595="","⚠ not in Products",INDEX(Products!$A$5:$A$204,T595)))</f>
        <v/>
      </c>
      <c r="V595" s="11">
        <f>IF(J595="","",S595*(IFERROR(INDEX(Settings!$B$5:$B$9,MATCH($B595,Settings!$A$5:$A$9,0)),0)+IFERROR(INDEX(Settings!$E$5:$E$9,MATCH($B595,Settings!$A$5:$A$9,0)),0)+IFERROR(INDEX(Settings!$G$5:$G$9,MATCH($B595,Settings!$A$5:$A$9,0)),0))+(IFERROR(INDEX(Settings!$C$5:$C$9,MATCH($B595,Settings!$A$5:$A$9,0)),0)+IFERROR(INDEX(Settings!$F$5:$F$9,MATCH($B595,Settings!$A$5:$A$9,0)),0))/P595+IFERROR(INDEX(Settings!$D$5:$D$9,MATCH($B595,Settings!$A$5:$A$9,0)),0)*M595)</f>
        <v/>
      </c>
      <c r="W595" s="11">
        <f>IF(J595="","",IF(T595="",0,M595*INDEX(Products!$I$5:$I$204,T595)))</f>
        <v/>
      </c>
      <c r="X595" s="11">
        <f>IF(J595="","",IF(T595="",0,S595*INDEX(Products!$H$5:$H$204,T595)))</f>
        <v/>
      </c>
      <c r="Y595" s="11">
        <f>IF(J595="","",S595-V595-W595-X595)</f>
        <v/>
      </c>
    </row>
    <row r="596">
      <c r="A596" s="19" t="n"/>
      <c r="B596" s="19" t="n"/>
      <c r="C596" s="19" t="n"/>
      <c r="D596" s="19" t="n"/>
      <c r="E596" s="19" t="n"/>
      <c r="F596" s="20" t="n"/>
      <c r="G596" s="20" t="n"/>
      <c r="H596" s="20" t="n"/>
      <c r="I596" s="19" t="n"/>
      <c r="J596">
        <f>IFERROR(IF(C596="","",C596)&amp;"","")</f>
        <v/>
      </c>
      <c r="K596">
        <f>IFERROR(IF(D596="","",D596)&amp;"","")</f>
        <v/>
      </c>
      <c r="L596">
        <f>IFERROR(IF(I596="","",I596)&amp;"","")</f>
        <v/>
      </c>
      <c r="M596">
        <f>IF(J596="","",IFERROR(VALUE(SUBSTITUTE(SUBSTITUTE(IF(E596="","",E596)&amp;"","$",""),",","")),0))</f>
        <v/>
      </c>
      <c r="N596" s="11">
        <f>IF(J596="","",IFERROR(VALUE(SUBSTITUTE(SUBSTITUTE(IF(F596="","",F596)&amp;"","$",""),",","")),0))</f>
        <v/>
      </c>
      <c r="O596" s="11">
        <f>IF(J596="","",M596*N596)</f>
        <v/>
      </c>
      <c r="P596">
        <f>IF(J596="","",IF(L596="",1,COUNTIF($L$2:$L$1501,L596)))</f>
        <v/>
      </c>
      <c r="Q596" s="11">
        <f>IF(J596="","",IFERROR(VALUE(SUBSTITUTE(SUBSTITUTE(IF(G596="","",G596)&amp;"","$",""),",","")),0)/IF("No"="Yes",P596,1))</f>
        <v/>
      </c>
      <c r="R596" s="11">
        <f>IF(J596="","",IFERROR(VALUE(SUBSTITUTE(SUBSTITUTE(IF(H596="","",H596)&amp;"","$",""),",","")),0)/IF("No"="Yes",P596,1))</f>
        <v/>
      </c>
      <c r="S596" s="11">
        <f>IF(J596="","",O596+Q596-R596)</f>
        <v/>
      </c>
      <c r="T596">
        <f>IF(J596="","",IFERROR(IF(K596="",NA(),MATCH(K596,Products!$B$5:$B$204,0)),IFERROR(MATCH(J596,Products!$A$5:$A$204,0),"")))</f>
        <v/>
      </c>
      <c r="U596">
        <f>IF(J596="","",IF(T596="","⚠ not in Products",INDEX(Products!$A$5:$A$204,T596)))</f>
        <v/>
      </c>
      <c r="V596" s="11">
        <f>IF(J596="","",S596*(IFERROR(INDEX(Settings!$B$5:$B$9,MATCH($B596,Settings!$A$5:$A$9,0)),0)+IFERROR(INDEX(Settings!$E$5:$E$9,MATCH($B596,Settings!$A$5:$A$9,0)),0)+IFERROR(INDEX(Settings!$G$5:$G$9,MATCH($B596,Settings!$A$5:$A$9,0)),0))+(IFERROR(INDEX(Settings!$C$5:$C$9,MATCH($B596,Settings!$A$5:$A$9,0)),0)+IFERROR(INDEX(Settings!$F$5:$F$9,MATCH($B596,Settings!$A$5:$A$9,0)),0))/P596+IFERROR(INDEX(Settings!$D$5:$D$9,MATCH($B596,Settings!$A$5:$A$9,0)),0)*M596)</f>
        <v/>
      </c>
      <c r="W596" s="11">
        <f>IF(J596="","",IF(T596="",0,M596*INDEX(Products!$I$5:$I$204,T596)))</f>
        <v/>
      </c>
      <c r="X596" s="11">
        <f>IF(J596="","",IF(T596="",0,S596*INDEX(Products!$H$5:$H$204,T596)))</f>
        <v/>
      </c>
      <c r="Y596" s="11">
        <f>IF(J596="","",S596-V596-W596-X596)</f>
        <v/>
      </c>
    </row>
    <row r="597">
      <c r="A597" s="19" t="n"/>
      <c r="B597" s="19" t="n"/>
      <c r="C597" s="19" t="n"/>
      <c r="D597" s="19" t="n"/>
      <c r="E597" s="19" t="n"/>
      <c r="F597" s="20" t="n"/>
      <c r="G597" s="20" t="n"/>
      <c r="H597" s="20" t="n"/>
      <c r="I597" s="19" t="n"/>
      <c r="J597">
        <f>IFERROR(IF(C597="","",C597)&amp;"","")</f>
        <v/>
      </c>
      <c r="K597">
        <f>IFERROR(IF(D597="","",D597)&amp;"","")</f>
        <v/>
      </c>
      <c r="L597">
        <f>IFERROR(IF(I597="","",I597)&amp;"","")</f>
        <v/>
      </c>
      <c r="M597">
        <f>IF(J597="","",IFERROR(VALUE(SUBSTITUTE(SUBSTITUTE(IF(E597="","",E597)&amp;"","$",""),",","")),0))</f>
        <v/>
      </c>
      <c r="N597" s="11">
        <f>IF(J597="","",IFERROR(VALUE(SUBSTITUTE(SUBSTITUTE(IF(F597="","",F597)&amp;"","$",""),",","")),0))</f>
        <v/>
      </c>
      <c r="O597" s="11">
        <f>IF(J597="","",M597*N597)</f>
        <v/>
      </c>
      <c r="P597">
        <f>IF(J597="","",IF(L597="",1,COUNTIF($L$2:$L$1501,L597)))</f>
        <v/>
      </c>
      <c r="Q597" s="11">
        <f>IF(J597="","",IFERROR(VALUE(SUBSTITUTE(SUBSTITUTE(IF(G597="","",G597)&amp;"","$",""),",","")),0)/IF("No"="Yes",P597,1))</f>
        <v/>
      </c>
      <c r="R597" s="11">
        <f>IF(J597="","",IFERROR(VALUE(SUBSTITUTE(SUBSTITUTE(IF(H597="","",H597)&amp;"","$",""),",","")),0)/IF("No"="Yes",P597,1))</f>
        <v/>
      </c>
      <c r="S597" s="11">
        <f>IF(J597="","",O597+Q597-R597)</f>
        <v/>
      </c>
      <c r="T597">
        <f>IF(J597="","",IFERROR(IF(K597="",NA(),MATCH(K597,Products!$B$5:$B$204,0)),IFERROR(MATCH(J597,Products!$A$5:$A$204,0),"")))</f>
        <v/>
      </c>
      <c r="U597">
        <f>IF(J597="","",IF(T597="","⚠ not in Products",INDEX(Products!$A$5:$A$204,T597)))</f>
        <v/>
      </c>
      <c r="V597" s="11">
        <f>IF(J597="","",S597*(IFERROR(INDEX(Settings!$B$5:$B$9,MATCH($B597,Settings!$A$5:$A$9,0)),0)+IFERROR(INDEX(Settings!$E$5:$E$9,MATCH($B597,Settings!$A$5:$A$9,0)),0)+IFERROR(INDEX(Settings!$G$5:$G$9,MATCH($B597,Settings!$A$5:$A$9,0)),0))+(IFERROR(INDEX(Settings!$C$5:$C$9,MATCH($B597,Settings!$A$5:$A$9,0)),0)+IFERROR(INDEX(Settings!$F$5:$F$9,MATCH($B597,Settings!$A$5:$A$9,0)),0))/P597+IFERROR(INDEX(Settings!$D$5:$D$9,MATCH($B597,Settings!$A$5:$A$9,0)),0)*M597)</f>
        <v/>
      </c>
      <c r="W597" s="11">
        <f>IF(J597="","",IF(T597="",0,M597*INDEX(Products!$I$5:$I$204,T597)))</f>
        <v/>
      </c>
      <c r="X597" s="11">
        <f>IF(J597="","",IF(T597="",0,S597*INDEX(Products!$H$5:$H$204,T597)))</f>
        <v/>
      </c>
      <c r="Y597" s="11">
        <f>IF(J597="","",S597-V597-W597-X597)</f>
        <v/>
      </c>
    </row>
    <row r="598">
      <c r="A598" s="19" t="n"/>
      <c r="B598" s="19" t="n"/>
      <c r="C598" s="19" t="n"/>
      <c r="D598" s="19" t="n"/>
      <c r="E598" s="19" t="n"/>
      <c r="F598" s="20" t="n"/>
      <c r="G598" s="20" t="n"/>
      <c r="H598" s="20" t="n"/>
      <c r="I598" s="19" t="n"/>
      <c r="J598">
        <f>IFERROR(IF(C598="","",C598)&amp;"","")</f>
        <v/>
      </c>
      <c r="K598">
        <f>IFERROR(IF(D598="","",D598)&amp;"","")</f>
        <v/>
      </c>
      <c r="L598">
        <f>IFERROR(IF(I598="","",I598)&amp;"","")</f>
        <v/>
      </c>
      <c r="M598">
        <f>IF(J598="","",IFERROR(VALUE(SUBSTITUTE(SUBSTITUTE(IF(E598="","",E598)&amp;"","$",""),",","")),0))</f>
        <v/>
      </c>
      <c r="N598" s="11">
        <f>IF(J598="","",IFERROR(VALUE(SUBSTITUTE(SUBSTITUTE(IF(F598="","",F598)&amp;"","$",""),",","")),0))</f>
        <v/>
      </c>
      <c r="O598" s="11">
        <f>IF(J598="","",M598*N598)</f>
        <v/>
      </c>
      <c r="P598">
        <f>IF(J598="","",IF(L598="",1,COUNTIF($L$2:$L$1501,L598)))</f>
        <v/>
      </c>
      <c r="Q598" s="11">
        <f>IF(J598="","",IFERROR(VALUE(SUBSTITUTE(SUBSTITUTE(IF(G598="","",G598)&amp;"","$",""),",","")),0)/IF("No"="Yes",P598,1))</f>
        <v/>
      </c>
      <c r="R598" s="11">
        <f>IF(J598="","",IFERROR(VALUE(SUBSTITUTE(SUBSTITUTE(IF(H598="","",H598)&amp;"","$",""),",","")),0)/IF("No"="Yes",P598,1))</f>
        <v/>
      </c>
      <c r="S598" s="11">
        <f>IF(J598="","",O598+Q598-R598)</f>
        <v/>
      </c>
      <c r="T598">
        <f>IF(J598="","",IFERROR(IF(K598="",NA(),MATCH(K598,Products!$B$5:$B$204,0)),IFERROR(MATCH(J598,Products!$A$5:$A$204,0),"")))</f>
        <v/>
      </c>
      <c r="U598">
        <f>IF(J598="","",IF(T598="","⚠ not in Products",INDEX(Products!$A$5:$A$204,T598)))</f>
        <v/>
      </c>
      <c r="V598" s="11">
        <f>IF(J598="","",S598*(IFERROR(INDEX(Settings!$B$5:$B$9,MATCH($B598,Settings!$A$5:$A$9,0)),0)+IFERROR(INDEX(Settings!$E$5:$E$9,MATCH($B598,Settings!$A$5:$A$9,0)),0)+IFERROR(INDEX(Settings!$G$5:$G$9,MATCH($B598,Settings!$A$5:$A$9,0)),0))+(IFERROR(INDEX(Settings!$C$5:$C$9,MATCH($B598,Settings!$A$5:$A$9,0)),0)+IFERROR(INDEX(Settings!$F$5:$F$9,MATCH($B598,Settings!$A$5:$A$9,0)),0))/P598+IFERROR(INDEX(Settings!$D$5:$D$9,MATCH($B598,Settings!$A$5:$A$9,0)),0)*M598)</f>
        <v/>
      </c>
      <c r="W598" s="11">
        <f>IF(J598="","",IF(T598="",0,M598*INDEX(Products!$I$5:$I$204,T598)))</f>
        <v/>
      </c>
      <c r="X598" s="11">
        <f>IF(J598="","",IF(T598="",0,S598*INDEX(Products!$H$5:$H$204,T598)))</f>
        <v/>
      </c>
      <c r="Y598" s="11">
        <f>IF(J598="","",S598-V598-W598-X598)</f>
        <v/>
      </c>
    </row>
    <row r="599">
      <c r="A599" s="19" t="n"/>
      <c r="B599" s="19" t="n"/>
      <c r="C599" s="19" t="n"/>
      <c r="D599" s="19" t="n"/>
      <c r="E599" s="19" t="n"/>
      <c r="F599" s="20" t="n"/>
      <c r="G599" s="20" t="n"/>
      <c r="H599" s="20" t="n"/>
      <c r="I599" s="19" t="n"/>
      <c r="J599">
        <f>IFERROR(IF(C599="","",C599)&amp;"","")</f>
        <v/>
      </c>
      <c r="K599">
        <f>IFERROR(IF(D599="","",D599)&amp;"","")</f>
        <v/>
      </c>
      <c r="L599">
        <f>IFERROR(IF(I599="","",I599)&amp;"","")</f>
        <v/>
      </c>
      <c r="M599">
        <f>IF(J599="","",IFERROR(VALUE(SUBSTITUTE(SUBSTITUTE(IF(E599="","",E599)&amp;"","$",""),",","")),0))</f>
        <v/>
      </c>
      <c r="N599" s="11">
        <f>IF(J599="","",IFERROR(VALUE(SUBSTITUTE(SUBSTITUTE(IF(F599="","",F599)&amp;"","$",""),",","")),0))</f>
        <v/>
      </c>
      <c r="O599" s="11">
        <f>IF(J599="","",M599*N599)</f>
        <v/>
      </c>
      <c r="P599">
        <f>IF(J599="","",IF(L599="",1,COUNTIF($L$2:$L$1501,L599)))</f>
        <v/>
      </c>
      <c r="Q599" s="11">
        <f>IF(J599="","",IFERROR(VALUE(SUBSTITUTE(SUBSTITUTE(IF(G599="","",G599)&amp;"","$",""),",","")),0)/IF("No"="Yes",P599,1))</f>
        <v/>
      </c>
      <c r="R599" s="11">
        <f>IF(J599="","",IFERROR(VALUE(SUBSTITUTE(SUBSTITUTE(IF(H599="","",H599)&amp;"","$",""),",","")),0)/IF("No"="Yes",P599,1))</f>
        <v/>
      </c>
      <c r="S599" s="11">
        <f>IF(J599="","",O599+Q599-R599)</f>
        <v/>
      </c>
      <c r="T599">
        <f>IF(J599="","",IFERROR(IF(K599="",NA(),MATCH(K599,Products!$B$5:$B$204,0)),IFERROR(MATCH(J599,Products!$A$5:$A$204,0),"")))</f>
        <v/>
      </c>
      <c r="U599">
        <f>IF(J599="","",IF(T599="","⚠ not in Products",INDEX(Products!$A$5:$A$204,T599)))</f>
        <v/>
      </c>
      <c r="V599" s="11">
        <f>IF(J599="","",S599*(IFERROR(INDEX(Settings!$B$5:$B$9,MATCH($B599,Settings!$A$5:$A$9,0)),0)+IFERROR(INDEX(Settings!$E$5:$E$9,MATCH($B599,Settings!$A$5:$A$9,0)),0)+IFERROR(INDEX(Settings!$G$5:$G$9,MATCH($B599,Settings!$A$5:$A$9,0)),0))+(IFERROR(INDEX(Settings!$C$5:$C$9,MATCH($B599,Settings!$A$5:$A$9,0)),0)+IFERROR(INDEX(Settings!$F$5:$F$9,MATCH($B599,Settings!$A$5:$A$9,0)),0))/P599+IFERROR(INDEX(Settings!$D$5:$D$9,MATCH($B599,Settings!$A$5:$A$9,0)),0)*M599)</f>
        <v/>
      </c>
      <c r="W599" s="11">
        <f>IF(J599="","",IF(T599="",0,M599*INDEX(Products!$I$5:$I$204,T599)))</f>
        <v/>
      </c>
      <c r="X599" s="11">
        <f>IF(J599="","",IF(T599="",0,S599*INDEX(Products!$H$5:$H$204,T599)))</f>
        <v/>
      </c>
      <c r="Y599" s="11">
        <f>IF(J599="","",S599-V599-W599-X599)</f>
        <v/>
      </c>
    </row>
    <row r="600">
      <c r="A600" s="19" t="n"/>
      <c r="B600" s="19" t="n"/>
      <c r="C600" s="19" t="n"/>
      <c r="D600" s="19" t="n"/>
      <c r="E600" s="19" t="n"/>
      <c r="F600" s="20" t="n"/>
      <c r="G600" s="20" t="n"/>
      <c r="H600" s="20" t="n"/>
      <c r="I600" s="19" t="n"/>
      <c r="J600">
        <f>IFERROR(IF(C600="","",C600)&amp;"","")</f>
        <v/>
      </c>
      <c r="K600">
        <f>IFERROR(IF(D600="","",D600)&amp;"","")</f>
        <v/>
      </c>
      <c r="L600">
        <f>IFERROR(IF(I600="","",I600)&amp;"","")</f>
        <v/>
      </c>
      <c r="M600">
        <f>IF(J600="","",IFERROR(VALUE(SUBSTITUTE(SUBSTITUTE(IF(E600="","",E600)&amp;"","$",""),",","")),0))</f>
        <v/>
      </c>
      <c r="N600" s="11">
        <f>IF(J600="","",IFERROR(VALUE(SUBSTITUTE(SUBSTITUTE(IF(F600="","",F600)&amp;"","$",""),",","")),0))</f>
        <v/>
      </c>
      <c r="O600" s="11">
        <f>IF(J600="","",M600*N600)</f>
        <v/>
      </c>
      <c r="P600">
        <f>IF(J600="","",IF(L600="",1,COUNTIF($L$2:$L$1501,L600)))</f>
        <v/>
      </c>
      <c r="Q600" s="11">
        <f>IF(J600="","",IFERROR(VALUE(SUBSTITUTE(SUBSTITUTE(IF(G600="","",G600)&amp;"","$",""),",","")),0)/IF("No"="Yes",P600,1))</f>
        <v/>
      </c>
      <c r="R600" s="11">
        <f>IF(J600="","",IFERROR(VALUE(SUBSTITUTE(SUBSTITUTE(IF(H600="","",H600)&amp;"","$",""),",","")),0)/IF("No"="Yes",P600,1))</f>
        <v/>
      </c>
      <c r="S600" s="11">
        <f>IF(J600="","",O600+Q600-R600)</f>
        <v/>
      </c>
      <c r="T600">
        <f>IF(J600="","",IFERROR(IF(K600="",NA(),MATCH(K600,Products!$B$5:$B$204,0)),IFERROR(MATCH(J600,Products!$A$5:$A$204,0),"")))</f>
        <v/>
      </c>
      <c r="U600">
        <f>IF(J600="","",IF(T600="","⚠ not in Products",INDEX(Products!$A$5:$A$204,T600)))</f>
        <v/>
      </c>
      <c r="V600" s="11">
        <f>IF(J600="","",S600*(IFERROR(INDEX(Settings!$B$5:$B$9,MATCH($B600,Settings!$A$5:$A$9,0)),0)+IFERROR(INDEX(Settings!$E$5:$E$9,MATCH($B600,Settings!$A$5:$A$9,0)),0)+IFERROR(INDEX(Settings!$G$5:$G$9,MATCH($B600,Settings!$A$5:$A$9,0)),0))+(IFERROR(INDEX(Settings!$C$5:$C$9,MATCH($B600,Settings!$A$5:$A$9,0)),0)+IFERROR(INDEX(Settings!$F$5:$F$9,MATCH($B600,Settings!$A$5:$A$9,0)),0))/P600+IFERROR(INDEX(Settings!$D$5:$D$9,MATCH($B600,Settings!$A$5:$A$9,0)),0)*M600)</f>
        <v/>
      </c>
      <c r="W600" s="11">
        <f>IF(J600="","",IF(T600="",0,M600*INDEX(Products!$I$5:$I$204,T600)))</f>
        <v/>
      </c>
      <c r="X600" s="11">
        <f>IF(J600="","",IF(T600="",0,S600*INDEX(Products!$H$5:$H$204,T600)))</f>
        <v/>
      </c>
      <c r="Y600" s="11">
        <f>IF(J600="","",S600-V600-W600-X600)</f>
        <v/>
      </c>
    </row>
    <row r="601">
      <c r="A601" s="19" t="n"/>
      <c r="B601" s="19" t="n"/>
      <c r="C601" s="19" t="n"/>
      <c r="D601" s="19" t="n"/>
      <c r="E601" s="19" t="n"/>
      <c r="F601" s="20" t="n"/>
      <c r="G601" s="20" t="n"/>
      <c r="H601" s="20" t="n"/>
      <c r="I601" s="19" t="n"/>
      <c r="J601">
        <f>IFERROR(IF(C601="","",C601)&amp;"","")</f>
        <v/>
      </c>
      <c r="K601">
        <f>IFERROR(IF(D601="","",D601)&amp;"","")</f>
        <v/>
      </c>
      <c r="L601">
        <f>IFERROR(IF(I601="","",I601)&amp;"","")</f>
        <v/>
      </c>
      <c r="M601">
        <f>IF(J601="","",IFERROR(VALUE(SUBSTITUTE(SUBSTITUTE(IF(E601="","",E601)&amp;"","$",""),",","")),0))</f>
        <v/>
      </c>
      <c r="N601" s="11">
        <f>IF(J601="","",IFERROR(VALUE(SUBSTITUTE(SUBSTITUTE(IF(F601="","",F601)&amp;"","$",""),",","")),0))</f>
        <v/>
      </c>
      <c r="O601" s="11">
        <f>IF(J601="","",M601*N601)</f>
        <v/>
      </c>
      <c r="P601">
        <f>IF(J601="","",IF(L601="",1,COUNTIF($L$2:$L$1501,L601)))</f>
        <v/>
      </c>
      <c r="Q601" s="11">
        <f>IF(J601="","",IFERROR(VALUE(SUBSTITUTE(SUBSTITUTE(IF(G601="","",G601)&amp;"","$",""),",","")),0)/IF("No"="Yes",P601,1))</f>
        <v/>
      </c>
      <c r="R601" s="11">
        <f>IF(J601="","",IFERROR(VALUE(SUBSTITUTE(SUBSTITUTE(IF(H601="","",H601)&amp;"","$",""),",","")),0)/IF("No"="Yes",P601,1))</f>
        <v/>
      </c>
      <c r="S601" s="11">
        <f>IF(J601="","",O601+Q601-R601)</f>
        <v/>
      </c>
      <c r="T601">
        <f>IF(J601="","",IFERROR(IF(K601="",NA(),MATCH(K601,Products!$B$5:$B$204,0)),IFERROR(MATCH(J601,Products!$A$5:$A$204,0),"")))</f>
        <v/>
      </c>
      <c r="U601">
        <f>IF(J601="","",IF(T601="","⚠ not in Products",INDEX(Products!$A$5:$A$204,T601)))</f>
        <v/>
      </c>
      <c r="V601" s="11">
        <f>IF(J601="","",S601*(IFERROR(INDEX(Settings!$B$5:$B$9,MATCH($B601,Settings!$A$5:$A$9,0)),0)+IFERROR(INDEX(Settings!$E$5:$E$9,MATCH($B601,Settings!$A$5:$A$9,0)),0)+IFERROR(INDEX(Settings!$G$5:$G$9,MATCH($B601,Settings!$A$5:$A$9,0)),0))+(IFERROR(INDEX(Settings!$C$5:$C$9,MATCH($B601,Settings!$A$5:$A$9,0)),0)+IFERROR(INDEX(Settings!$F$5:$F$9,MATCH($B601,Settings!$A$5:$A$9,0)),0))/P601+IFERROR(INDEX(Settings!$D$5:$D$9,MATCH($B601,Settings!$A$5:$A$9,0)),0)*M601)</f>
        <v/>
      </c>
      <c r="W601" s="11">
        <f>IF(J601="","",IF(T601="",0,M601*INDEX(Products!$I$5:$I$204,T601)))</f>
        <v/>
      </c>
      <c r="X601" s="11">
        <f>IF(J601="","",IF(T601="",0,S601*INDEX(Products!$H$5:$H$204,T601)))</f>
        <v/>
      </c>
      <c r="Y601" s="11">
        <f>IF(J601="","",S601-V601-W601-X601)</f>
        <v/>
      </c>
    </row>
    <row r="602">
      <c r="A602" s="19" t="n"/>
      <c r="B602" s="19" t="n"/>
      <c r="C602" s="19" t="n"/>
      <c r="D602" s="19" t="n"/>
      <c r="E602" s="19" t="n"/>
      <c r="F602" s="20" t="n"/>
      <c r="G602" s="20" t="n"/>
      <c r="H602" s="20" t="n"/>
      <c r="I602" s="19" t="n"/>
      <c r="J602">
        <f>IFERROR(IF(C602="","",C602)&amp;"","")</f>
        <v/>
      </c>
      <c r="K602">
        <f>IFERROR(IF(D602="","",D602)&amp;"","")</f>
        <v/>
      </c>
      <c r="L602">
        <f>IFERROR(IF(I602="","",I602)&amp;"","")</f>
        <v/>
      </c>
      <c r="M602">
        <f>IF(J602="","",IFERROR(VALUE(SUBSTITUTE(SUBSTITUTE(IF(E602="","",E602)&amp;"","$",""),",","")),0))</f>
        <v/>
      </c>
      <c r="N602" s="11">
        <f>IF(J602="","",IFERROR(VALUE(SUBSTITUTE(SUBSTITUTE(IF(F602="","",F602)&amp;"","$",""),",","")),0))</f>
        <v/>
      </c>
      <c r="O602" s="11">
        <f>IF(J602="","",M602*N602)</f>
        <v/>
      </c>
      <c r="P602">
        <f>IF(J602="","",IF(L602="",1,COUNTIF($L$2:$L$1501,L602)))</f>
        <v/>
      </c>
      <c r="Q602" s="11">
        <f>IF(J602="","",IFERROR(VALUE(SUBSTITUTE(SUBSTITUTE(IF(G602="","",G602)&amp;"","$",""),",","")),0)/IF("No"="Yes",P602,1))</f>
        <v/>
      </c>
      <c r="R602" s="11">
        <f>IF(J602="","",IFERROR(VALUE(SUBSTITUTE(SUBSTITUTE(IF(H602="","",H602)&amp;"","$",""),",","")),0)/IF("No"="Yes",P602,1))</f>
        <v/>
      </c>
      <c r="S602" s="11">
        <f>IF(J602="","",O602+Q602-R602)</f>
        <v/>
      </c>
      <c r="T602">
        <f>IF(J602="","",IFERROR(IF(K602="",NA(),MATCH(K602,Products!$B$5:$B$204,0)),IFERROR(MATCH(J602,Products!$A$5:$A$204,0),"")))</f>
        <v/>
      </c>
      <c r="U602">
        <f>IF(J602="","",IF(T602="","⚠ not in Products",INDEX(Products!$A$5:$A$204,T602)))</f>
        <v/>
      </c>
      <c r="V602" s="11">
        <f>IF(J602="","",S602*(IFERROR(INDEX(Settings!$B$5:$B$9,MATCH($B602,Settings!$A$5:$A$9,0)),0)+IFERROR(INDEX(Settings!$E$5:$E$9,MATCH($B602,Settings!$A$5:$A$9,0)),0)+IFERROR(INDEX(Settings!$G$5:$G$9,MATCH($B602,Settings!$A$5:$A$9,0)),0))+(IFERROR(INDEX(Settings!$C$5:$C$9,MATCH($B602,Settings!$A$5:$A$9,0)),0)+IFERROR(INDEX(Settings!$F$5:$F$9,MATCH($B602,Settings!$A$5:$A$9,0)),0))/P602+IFERROR(INDEX(Settings!$D$5:$D$9,MATCH($B602,Settings!$A$5:$A$9,0)),0)*M602)</f>
        <v/>
      </c>
      <c r="W602" s="11">
        <f>IF(J602="","",IF(T602="",0,M602*INDEX(Products!$I$5:$I$204,T602)))</f>
        <v/>
      </c>
      <c r="X602" s="11">
        <f>IF(J602="","",IF(T602="",0,S602*INDEX(Products!$H$5:$H$204,T602)))</f>
        <v/>
      </c>
      <c r="Y602" s="11">
        <f>IF(J602="","",S602-V602-W602-X602)</f>
        <v/>
      </c>
    </row>
    <row r="603">
      <c r="A603" s="19" t="n"/>
      <c r="B603" s="19" t="n"/>
      <c r="C603" s="19" t="n"/>
      <c r="D603" s="19" t="n"/>
      <c r="E603" s="19" t="n"/>
      <c r="F603" s="20" t="n"/>
      <c r="G603" s="20" t="n"/>
      <c r="H603" s="20" t="n"/>
      <c r="I603" s="19" t="n"/>
      <c r="J603">
        <f>IFERROR(IF(C603="","",C603)&amp;"","")</f>
        <v/>
      </c>
      <c r="K603">
        <f>IFERROR(IF(D603="","",D603)&amp;"","")</f>
        <v/>
      </c>
      <c r="L603">
        <f>IFERROR(IF(I603="","",I603)&amp;"","")</f>
        <v/>
      </c>
      <c r="M603">
        <f>IF(J603="","",IFERROR(VALUE(SUBSTITUTE(SUBSTITUTE(IF(E603="","",E603)&amp;"","$",""),",","")),0))</f>
        <v/>
      </c>
      <c r="N603" s="11">
        <f>IF(J603="","",IFERROR(VALUE(SUBSTITUTE(SUBSTITUTE(IF(F603="","",F603)&amp;"","$",""),",","")),0))</f>
        <v/>
      </c>
      <c r="O603" s="11">
        <f>IF(J603="","",M603*N603)</f>
        <v/>
      </c>
      <c r="P603">
        <f>IF(J603="","",IF(L603="",1,COUNTIF($L$2:$L$1501,L603)))</f>
        <v/>
      </c>
      <c r="Q603" s="11">
        <f>IF(J603="","",IFERROR(VALUE(SUBSTITUTE(SUBSTITUTE(IF(G603="","",G603)&amp;"","$",""),",","")),0)/IF("No"="Yes",P603,1))</f>
        <v/>
      </c>
      <c r="R603" s="11">
        <f>IF(J603="","",IFERROR(VALUE(SUBSTITUTE(SUBSTITUTE(IF(H603="","",H603)&amp;"","$",""),",","")),0)/IF("No"="Yes",P603,1))</f>
        <v/>
      </c>
      <c r="S603" s="11">
        <f>IF(J603="","",O603+Q603-R603)</f>
        <v/>
      </c>
      <c r="T603">
        <f>IF(J603="","",IFERROR(IF(K603="",NA(),MATCH(K603,Products!$B$5:$B$204,0)),IFERROR(MATCH(J603,Products!$A$5:$A$204,0),"")))</f>
        <v/>
      </c>
      <c r="U603">
        <f>IF(J603="","",IF(T603="","⚠ not in Products",INDEX(Products!$A$5:$A$204,T603)))</f>
        <v/>
      </c>
      <c r="V603" s="11">
        <f>IF(J603="","",S603*(IFERROR(INDEX(Settings!$B$5:$B$9,MATCH($B603,Settings!$A$5:$A$9,0)),0)+IFERROR(INDEX(Settings!$E$5:$E$9,MATCH($B603,Settings!$A$5:$A$9,0)),0)+IFERROR(INDEX(Settings!$G$5:$G$9,MATCH($B603,Settings!$A$5:$A$9,0)),0))+(IFERROR(INDEX(Settings!$C$5:$C$9,MATCH($B603,Settings!$A$5:$A$9,0)),0)+IFERROR(INDEX(Settings!$F$5:$F$9,MATCH($B603,Settings!$A$5:$A$9,0)),0))/P603+IFERROR(INDEX(Settings!$D$5:$D$9,MATCH($B603,Settings!$A$5:$A$9,0)),0)*M603)</f>
        <v/>
      </c>
      <c r="W603" s="11">
        <f>IF(J603="","",IF(T603="",0,M603*INDEX(Products!$I$5:$I$204,T603)))</f>
        <v/>
      </c>
      <c r="X603" s="11">
        <f>IF(J603="","",IF(T603="",0,S603*INDEX(Products!$H$5:$H$204,T603)))</f>
        <v/>
      </c>
      <c r="Y603" s="11">
        <f>IF(J603="","",S603-V603-W603-X603)</f>
        <v/>
      </c>
    </row>
    <row r="604">
      <c r="A604" s="19" t="n"/>
      <c r="B604" s="19" t="n"/>
      <c r="C604" s="19" t="n"/>
      <c r="D604" s="19" t="n"/>
      <c r="E604" s="19" t="n"/>
      <c r="F604" s="20" t="n"/>
      <c r="G604" s="20" t="n"/>
      <c r="H604" s="20" t="n"/>
      <c r="I604" s="19" t="n"/>
      <c r="J604">
        <f>IFERROR(IF(C604="","",C604)&amp;"","")</f>
        <v/>
      </c>
      <c r="K604">
        <f>IFERROR(IF(D604="","",D604)&amp;"","")</f>
        <v/>
      </c>
      <c r="L604">
        <f>IFERROR(IF(I604="","",I604)&amp;"","")</f>
        <v/>
      </c>
      <c r="M604">
        <f>IF(J604="","",IFERROR(VALUE(SUBSTITUTE(SUBSTITUTE(IF(E604="","",E604)&amp;"","$",""),",","")),0))</f>
        <v/>
      </c>
      <c r="N604" s="11">
        <f>IF(J604="","",IFERROR(VALUE(SUBSTITUTE(SUBSTITUTE(IF(F604="","",F604)&amp;"","$",""),",","")),0))</f>
        <v/>
      </c>
      <c r="O604" s="11">
        <f>IF(J604="","",M604*N604)</f>
        <v/>
      </c>
      <c r="P604">
        <f>IF(J604="","",IF(L604="",1,COUNTIF($L$2:$L$1501,L604)))</f>
        <v/>
      </c>
      <c r="Q604" s="11">
        <f>IF(J604="","",IFERROR(VALUE(SUBSTITUTE(SUBSTITUTE(IF(G604="","",G604)&amp;"","$",""),",","")),0)/IF("No"="Yes",P604,1))</f>
        <v/>
      </c>
      <c r="R604" s="11">
        <f>IF(J604="","",IFERROR(VALUE(SUBSTITUTE(SUBSTITUTE(IF(H604="","",H604)&amp;"","$",""),",","")),0)/IF("No"="Yes",P604,1))</f>
        <v/>
      </c>
      <c r="S604" s="11">
        <f>IF(J604="","",O604+Q604-R604)</f>
        <v/>
      </c>
      <c r="T604">
        <f>IF(J604="","",IFERROR(IF(K604="",NA(),MATCH(K604,Products!$B$5:$B$204,0)),IFERROR(MATCH(J604,Products!$A$5:$A$204,0),"")))</f>
        <v/>
      </c>
      <c r="U604">
        <f>IF(J604="","",IF(T604="","⚠ not in Products",INDEX(Products!$A$5:$A$204,T604)))</f>
        <v/>
      </c>
      <c r="V604" s="11">
        <f>IF(J604="","",S604*(IFERROR(INDEX(Settings!$B$5:$B$9,MATCH($B604,Settings!$A$5:$A$9,0)),0)+IFERROR(INDEX(Settings!$E$5:$E$9,MATCH($B604,Settings!$A$5:$A$9,0)),0)+IFERROR(INDEX(Settings!$G$5:$G$9,MATCH($B604,Settings!$A$5:$A$9,0)),0))+(IFERROR(INDEX(Settings!$C$5:$C$9,MATCH($B604,Settings!$A$5:$A$9,0)),0)+IFERROR(INDEX(Settings!$F$5:$F$9,MATCH($B604,Settings!$A$5:$A$9,0)),0))/P604+IFERROR(INDEX(Settings!$D$5:$D$9,MATCH($B604,Settings!$A$5:$A$9,0)),0)*M604)</f>
        <v/>
      </c>
      <c r="W604" s="11">
        <f>IF(J604="","",IF(T604="",0,M604*INDEX(Products!$I$5:$I$204,T604)))</f>
        <v/>
      </c>
      <c r="X604" s="11">
        <f>IF(J604="","",IF(T604="",0,S604*INDEX(Products!$H$5:$H$204,T604)))</f>
        <v/>
      </c>
      <c r="Y604" s="11">
        <f>IF(J604="","",S604-V604-W604-X604)</f>
        <v/>
      </c>
    </row>
    <row r="605">
      <c r="A605" s="19" t="n"/>
      <c r="B605" s="19" t="n"/>
      <c r="C605" s="19" t="n"/>
      <c r="D605" s="19" t="n"/>
      <c r="E605" s="19" t="n"/>
      <c r="F605" s="20" t="n"/>
      <c r="G605" s="20" t="n"/>
      <c r="H605" s="20" t="n"/>
      <c r="I605" s="19" t="n"/>
      <c r="J605">
        <f>IFERROR(IF(C605="","",C605)&amp;"","")</f>
        <v/>
      </c>
      <c r="K605">
        <f>IFERROR(IF(D605="","",D605)&amp;"","")</f>
        <v/>
      </c>
      <c r="L605">
        <f>IFERROR(IF(I605="","",I605)&amp;"","")</f>
        <v/>
      </c>
      <c r="M605">
        <f>IF(J605="","",IFERROR(VALUE(SUBSTITUTE(SUBSTITUTE(IF(E605="","",E605)&amp;"","$",""),",","")),0))</f>
        <v/>
      </c>
      <c r="N605" s="11">
        <f>IF(J605="","",IFERROR(VALUE(SUBSTITUTE(SUBSTITUTE(IF(F605="","",F605)&amp;"","$",""),",","")),0))</f>
        <v/>
      </c>
      <c r="O605" s="11">
        <f>IF(J605="","",M605*N605)</f>
        <v/>
      </c>
      <c r="P605">
        <f>IF(J605="","",IF(L605="",1,COUNTIF($L$2:$L$1501,L605)))</f>
        <v/>
      </c>
      <c r="Q605" s="11">
        <f>IF(J605="","",IFERROR(VALUE(SUBSTITUTE(SUBSTITUTE(IF(G605="","",G605)&amp;"","$",""),",","")),0)/IF("No"="Yes",P605,1))</f>
        <v/>
      </c>
      <c r="R605" s="11">
        <f>IF(J605="","",IFERROR(VALUE(SUBSTITUTE(SUBSTITUTE(IF(H605="","",H605)&amp;"","$",""),",","")),0)/IF("No"="Yes",P605,1))</f>
        <v/>
      </c>
      <c r="S605" s="11">
        <f>IF(J605="","",O605+Q605-R605)</f>
        <v/>
      </c>
      <c r="T605">
        <f>IF(J605="","",IFERROR(IF(K605="",NA(),MATCH(K605,Products!$B$5:$B$204,0)),IFERROR(MATCH(J605,Products!$A$5:$A$204,0),"")))</f>
        <v/>
      </c>
      <c r="U605">
        <f>IF(J605="","",IF(T605="","⚠ not in Products",INDEX(Products!$A$5:$A$204,T605)))</f>
        <v/>
      </c>
      <c r="V605" s="11">
        <f>IF(J605="","",S605*(IFERROR(INDEX(Settings!$B$5:$B$9,MATCH($B605,Settings!$A$5:$A$9,0)),0)+IFERROR(INDEX(Settings!$E$5:$E$9,MATCH($B605,Settings!$A$5:$A$9,0)),0)+IFERROR(INDEX(Settings!$G$5:$G$9,MATCH($B605,Settings!$A$5:$A$9,0)),0))+(IFERROR(INDEX(Settings!$C$5:$C$9,MATCH($B605,Settings!$A$5:$A$9,0)),0)+IFERROR(INDEX(Settings!$F$5:$F$9,MATCH($B605,Settings!$A$5:$A$9,0)),0))/P605+IFERROR(INDEX(Settings!$D$5:$D$9,MATCH($B605,Settings!$A$5:$A$9,0)),0)*M605)</f>
        <v/>
      </c>
      <c r="W605" s="11">
        <f>IF(J605="","",IF(T605="",0,M605*INDEX(Products!$I$5:$I$204,T605)))</f>
        <v/>
      </c>
      <c r="X605" s="11">
        <f>IF(J605="","",IF(T605="",0,S605*INDEX(Products!$H$5:$H$204,T605)))</f>
        <v/>
      </c>
      <c r="Y605" s="11">
        <f>IF(J605="","",S605-V605-W605-X605)</f>
        <v/>
      </c>
    </row>
    <row r="606">
      <c r="A606" s="19" t="n"/>
      <c r="B606" s="19" t="n"/>
      <c r="C606" s="19" t="n"/>
      <c r="D606" s="19" t="n"/>
      <c r="E606" s="19" t="n"/>
      <c r="F606" s="20" t="n"/>
      <c r="G606" s="20" t="n"/>
      <c r="H606" s="20" t="n"/>
      <c r="I606" s="19" t="n"/>
      <c r="J606">
        <f>IFERROR(IF(C606="","",C606)&amp;"","")</f>
        <v/>
      </c>
      <c r="K606">
        <f>IFERROR(IF(D606="","",D606)&amp;"","")</f>
        <v/>
      </c>
      <c r="L606">
        <f>IFERROR(IF(I606="","",I606)&amp;"","")</f>
        <v/>
      </c>
      <c r="M606">
        <f>IF(J606="","",IFERROR(VALUE(SUBSTITUTE(SUBSTITUTE(IF(E606="","",E606)&amp;"","$",""),",","")),0))</f>
        <v/>
      </c>
      <c r="N606" s="11">
        <f>IF(J606="","",IFERROR(VALUE(SUBSTITUTE(SUBSTITUTE(IF(F606="","",F606)&amp;"","$",""),",","")),0))</f>
        <v/>
      </c>
      <c r="O606" s="11">
        <f>IF(J606="","",M606*N606)</f>
        <v/>
      </c>
      <c r="P606">
        <f>IF(J606="","",IF(L606="",1,COUNTIF($L$2:$L$1501,L606)))</f>
        <v/>
      </c>
      <c r="Q606" s="11">
        <f>IF(J606="","",IFERROR(VALUE(SUBSTITUTE(SUBSTITUTE(IF(G606="","",G606)&amp;"","$",""),",","")),0)/IF("No"="Yes",P606,1))</f>
        <v/>
      </c>
      <c r="R606" s="11">
        <f>IF(J606="","",IFERROR(VALUE(SUBSTITUTE(SUBSTITUTE(IF(H606="","",H606)&amp;"","$",""),",","")),0)/IF("No"="Yes",P606,1))</f>
        <v/>
      </c>
      <c r="S606" s="11">
        <f>IF(J606="","",O606+Q606-R606)</f>
        <v/>
      </c>
      <c r="T606">
        <f>IF(J606="","",IFERROR(IF(K606="",NA(),MATCH(K606,Products!$B$5:$B$204,0)),IFERROR(MATCH(J606,Products!$A$5:$A$204,0),"")))</f>
        <v/>
      </c>
      <c r="U606">
        <f>IF(J606="","",IF(T606="","⚠ not in Products",INDEX(Products!$A$5:$A$204,T606)))</f>
        <v/>
      </c>
      <c r="V606" s="11">
        <f>IF(J606="","",S606*(IFERROR(INDEX(Settings!$B$5:$B$9,MATCH($B606,Settings!$A$5:$A$9,0)),0)+IFERROR(INDEX(Settings!$E$5:$E$9,MATCH($B606,Settings!$A$5:$A$9,0)),0)+IFERROR(INDEX(Settings!$G$5:$G$9,MATCH($B606,Settings!$A$5:$A$9,0)),0))+(IFERROR(INDEX(Settings!$C$5:$C$9,MATCH($B606,Settings!$A$5:$A$9,0)),0)+IFERROR(INDEX(Settings!$F$5:$F$9,MATCH($B606,Settings!$A$5:$A$9,0)),0))/P606+IFERROR(INDEX(Settings!$D$5:$D$9,MATCH($B606,Settings!$A$5:$A$9,0)),0)*M606)</f>
        <v/>
      </c>
      <c r="W606" s="11">
        <f>IF(J606="","",IF(T606="",0,M606*INDEX(Products!$I$5:$I$204,T606)))</f>
        <v/>
      </c>
      <c r="X606" s="11">
        <f>IF(J606="","",IF(T606="",0,S606*INDEX(Products!$H$5:$H$204,T606)))</f>
        <v/>
      </c>
      <c r="Y606" s="11">
        <f>IF(J606="","",S606-V606-W606-X606)</f>
        <v/>
      </c>
    </row>
    <row r="607">
      <c r="A607" s="19" t="n"/>
      <c r="B607" s="19" t="n"/>
      <c r="C607" s="19" t="n"/>
      <c r="D607" s="19" t="n"/>
      <c r="E607" s="19" t="n"/>
      <c r="F607" s="20" t="n"/>
      <c r="G607" s="20" t="n"/>
      <c r="H607" s="20" t="n"/>
      <c r="I607" s="19" t="n"/>
      <c r="J607">
        <f>IFERROR(IF(C607="","",C607)&amp;"","")</f>
        <v/>
      </c>
      <c r="K607">
        <f>IFERROR(IF(D607="","",D607)&amp;"","")</f>
        <v/>
      </c>
      <c r="L607">
        <f>IFERROR(IF(I607="","",I607)&amp;"","")</f>
        <v/>
      </c>
      <c r="M607">
        <f>IF(J607="","",IFERROR(VALUE(SUBSTITUTE(SUBSTITUTE(IF(E607="","",E607)&amp;"","$",""),",","")),0))</f>
        <v/>
      </c>
      <c r="N607" s="11">
        <f>IF(J607="","",IFERROR(VALUE(SUBSTITUTE(SUBSTITUTE(IF(F607="","",F607)&amp;"","$",""),",","")),0))</f>
        <v/>
      </c>
      <c r="O607" s="11">
        <f>IF(J607="","",M607*N607)</f>
        <v/>
      </c>
      <c r="P607">
        <f>IF(J607="","",IF(L607="",1,COUNTIF($L$2:$L$1501,L607)))</f>
        <v/>
      </c>
      <c r="Q607" s="11">
        <f>IF(J607="","",IFERROR(VALUE(SUBSTITUTE(SUBSTITUTE(IF(G607="","",G607)&amp;"","$",""),",","")),0)/IF("No"="Yes",P607,1))</f>
        <v/>
      </c>
      <c r="R607" s="11">
        <f>IF(J607="","",IFERROR(VALUE(SUBSTITUTE(SUBSTITUTE(IF(H607="","",H607)&amp;"","$",""),",","")),0)/IF("No"="Yes",P607,1))</f>
        <v/>
      </c>
      <c r="S607" s="11">
        <f>IF(J607="","",O607+Q607-R607)</f>
        <v/>
      </c>
      <c r="T607">
        <f>IF(J607="","",IFERROR(IF(K607="",NA(),MATCH(K607,Products!$B$5:$B$204,0)),IFERROR(MATCH(J607,Products!$A$5:$A$204,0),"")))</f>
        <v/>
      </c>
      <c r="U607">
        <f>IF(J607="","",IF(T607="","⚠ not in Products",INDEX(Products!$A$5:$A$204,T607)))</f>
        <v/>
      </c>
      <c r="V607" s="11">
        <f>IF(J607="","",S607*(IFERROR(INDEX(Settings!$B$5:$B$9,MATCH($B607,Settings!$A$5:$A$9,0)),0)+IFERROR(INDEX(Settings!$E$5:$E$9,MATCH($B607,Settings!$A$5:$A$9,0)),0)+IFERROR(INDEX(Settings!$G$5:$G$9,MATCH($B607,Settings!$A$5:$A$9,0)),0))+(IFERROR(INDEX(Settings!$C$5:$C$9,MATCH($B607,Settings!$A$5:$A$9,0)),0)+IFERROR(INDEX(Settings!$F$5:$F$9,MATCH($B607,Settings!$A$5:$A$9,0)),0))/P607+IFERROR(INDEX(Settings!$D$5:$D$9,MATCH($B607,Settings!$A$5:$A$9,0)),0)*M607)</f>
        <v/>
      </c>
      <c r="W607" s="11">
        <f>IF(J607="","",IF(T607="",0,M607*INDEX(Products!$I$5:$I$204,T607)))</f>
        <v/>
      </c>
      <c r="X607" s="11">
        <f>IF(J607="","",IF(T607="",0,S607*INDEX(Products!$H$5:$H$204,T607)))</f>
        <v/>
      </c>
      <c r="Y607" s="11">
        <f>IF(J607="","",S607-V607-W607-X607)</f>
        <v/>
      </c>
    </row>
    <row r="608">
      <c r="A608" s="19" t="n"/>
      <c r="B608" s="19" t="n"/>
      <c r="C608" s="19" t="n"/>
      <c r="D608" s="19" t="n"/>
      <c r="E608" s="19" t="n"/>
      <c r="F608" s="20" t="n"/>
      <c r="G608" s="20" t="n"/>
      <c r="H608" s="20" t="n"/>
      <c r="I608" s="19" t="n"/>
      <c r="J608">
        <f>IFERROR(IF(C608="","",C608)&amp;"","")</f>
        <v/>
      </c>
      <c r="K608">
        <f>IFERROR(IF(D608="","",D608)&amp;"","")</f>
        <v/>
      </c>
      <c r="L608">
        <f>IFERROR(IF(I608="","",I608)&amp;"","")</f>
        <v/>
      </c>
      <c r="M608">
        <f>IF(J608="","",IFERROR(VALUE(SUBSTITUTE(SUBSTITUTE(IF(E608="","",E608)&amp;"","$",""),",","")),0))</f>
        <v/>
      </c>
      <c r="N608" s="11">
        <f>IF(J608="","",IFERROR(VALUE(SUBSTITUTE(SUBSTITUTE(IF(F608="","",F608)&amp;"","$",""),",","")),0))</f>
        <v/>
      </c>
      <c r="O608" s="11">
        <f>IF(J608="","",M608*N608)</f>
        <v/>
      </c>
      <c r="P608">
        <f>IF(J608="","",IF(L608="",1,COUNTIF($L$2:$L$1501,L608)))</f>
        <v/>
      </c>
      <c r="Q608" s="11">
        <f>IF(J608="","",IFERROR(VALUE(SUBSTITUTE(SUBSTITUTE(IF(G608="","",G608)&amp;"","$",""),",","")),0)/IF("No"="Yes",P608,1))</f>
        <v/>
      </c>
      <c r="R608" s="11">
        <f>IF(J608="","",IFERROR(VALUE(SUBSTITUTE(SUBSTITUTE(IF(H608="","",H608)&amp;"","$",""),",","")),0)/IF("No"="Yes",P608,1))</f>
        <v/>
      </c>
      <c r="S608" s="11">
        <f>IF(J608="","",O608+Q608-R608)</f>
        <v/>
      </c>
      <c r="T608">
        <f>IF(J608="","",IFERROR(IF(K608="",NA(),MATCH(K608,Products!$B$5:$B$204,0)),IFERROR(MATCH(J608,Products!$A$5:$A$204,0),"")))</f>
        <v/>
      </c>
      <c r="U608">
        <f>IF(J608="","",IF(T608="","⚠ not in Products",INDEX(Products!$A$5:$A$204,T608)))</f>
        <v/>
      </c>
      <c r="V608" s="11">
        <f>IF(J608="","",S608*(IFERROR(INDEX(Settings!$B$5:$B$9,MATCH($B608,Settings!$A$5:$A$9,0)),0)+IFERROR(INDEX(Settings!$E$5:$E$9,MATCH($B608,Settings!$A$5:$A$9,0)),0)+IFERROR(INDEX(Settings!$G$5:$G$9,MATCH($B608,Settings!$A$5:$A$9,0)),0))+(IFERROR(INDEX(Settings!$C$5:$C$9,MATCH($B608,Settings!$A$5:$A$9,0)),0)+IFERROR(INDEX(Settings!$F$5:$F$9,MATCH($B608,Settings!$A$5:$A$9,0)),0))/P608+IFERROR(INDEX(Settings!$D$5:$D$9,MATCH($B608,Settings!$A$5:$A$9,0)),0)*M608)</f>
        <v/>
      </c>
      <c r="W608" s="11">
        <f>IF(J608="","",IF(T608="",0,M608*INDEX(Products!$I$5:$I$204,T608)))</f>
        <v/>
      </c>
      <c r="X608" s="11">
        <f>IF(J608="","",IF(T608="",0,S608*INDEX(Products!$H$5:$H$204,T608)))</f>
        <v/>
      </c>
      <c r="Y608" s="11">
        <f>IF(J608="","",S608-V608-W608-X608)</f>
        <v/>
      </c>
    </row>
    <row r="609">
      <c r="A609" s="19" t="n"/>
      <c r="B609" s="19" t="n"/>
      <c r="C609" s="19" t="n"/>
      <c r="D609" s="19" t="n"/>
      <c r="E609" s="19" t="n"/>
      <c r="F609" s="20" t="n"/>
      <c r="G609" s="20" t="n"/>
      <c r="H609" s="20" t="n"/>
      <c r="I609" s="19" t="n"/>
      <c r="J609">
        <f>IFERROR(IF(C609="","",C609)&amp;"","")</f>
        <v/>
      </c>
      <c r="K609">
        <f>IFERROR(IF(D609="","",D609)&amp;"","")</f>
        <v/>
      </c>
      <c r="L609">
        <f>IFERROR(IF(I609="","",I609)&amp;"","")</f>
        <v/>
      </c>
      <c r="M609">
        <f>IF(J609="","",IFERROR(VALUE(SUBSTITUTE(SUBSTITUTE(IF(E609="","",E609)&amp;"","$",""),",","")),0))</f>
        <v/>
      </c>
      <c r="N609" s="11">
        <f>IF(J609="","",IFERROR(VALUE(SUBSTITUTE(SUBSTITUTE(IF(F609="","",F609)&amp;"","$",""),",","")),0))</f>
        <v/>
      </c>
      <c r="O609" s="11">
        <f>IF(J609="","",M609*N609)</f>
        <v/>
      </c>
      <c r="P609">
        <f>IF(J609="","",IF(L609="",1,COUNTIF($L$2:$L$1501,L609)))</f>
        <v/>
      </c>
      <c r="Q609" s="11">
        <f>IF(J609="","",IFERROR(VALUE(SUBSTITUTE(SUBSTITUTE(IF(G609="","",G609)&amp;"","$",""),",","")),0)/IF("No"="Yes",P609,1))</f>
        <v/>
      </c>
      <c r="R609" s="11">
        <f>IF(J609="","",IFERROR(VALUE(SUBSTITUTE(SUBSTITUTE(IF(H609="","",H609)&amp;"","$",""),",","")),0)/IF("No"="Yes",P609,1))</f>
        <v/>
      </c>
      <c r="S609" s="11">
        <f>IF(J609="","",O609+Q609-R609)</f>
        <v/>
      </c>
      <c r="T609">
        <f>IF(J609="","",IFERROR(IF(K609="",NA(),MATCH(K609,Products!$B$5:$B$204,0)),IFERROR(MATCH(J609,Products!$A$5:$A$204,0),"")))</f>
        <v/>
      </c>
      <c r="U609">
        <f>IF(J609="","",IF(T609="","⚠ not in Products",INDEX(Products!$A$5:$A$204,T609)))</f>
        <v/>
      </c>
      <c r="V609" s="11">
        <f>IF(J609="","",S609*(IFERROR(INDEX(Settings!$B$5:$B$9,MATCH($B609,Settings!$A$5:$A$9,0)),0)+IFERROR(INDEX(Settings!$E$5:$E$9,MATCH($B609,Settings!$A$5:$A$9,0)),0)+IFERROR(INDEX(Settings!$G$5:$G$9,MATCH($B609,Settings!$A$5:$A$9,0)),0))+(IFERROR(INDEX(Settings!$C$5:$C$9,MATCH($B609,Settings!$A$5:$A$9,0)),0)+IFERROR(INDEX(Settings!$F$5:$F$9,MATCH($B609,Settings!$A$5:$A$9,0)),0))/P609+IFERROR(INDEX(Settings!$D$5:$D$9,MATCH($B609,Settings!$A$5:$A$9,0)),0)*M609)</f>
        <v/>
      </c>
      <c r="W609" s="11">
        <f>IF(J609="","",IF(T609="",0,M609*INDEX(Products!$I$5:$I$204,T609)))</f>
        <v/>
      </c>
      <c r="X609" s="11">
        <f>IF(J609="","",IF(T609="",0,S609*INDEX(Products!$H$5:$H$204,T609)))</f>
        <v/>
      </c>
      <c r="Y609" s="11">
        <f>IF(J609="","",S609-V609-W609-X609)</f>
        <v/>
      </c>
    </row>
    <row r="610">
      <c r="A610" s="19" t="n"/>
      <c r="B610" s="19" t="n"/>
      <c r="C610" s="19" t="n"/>
      <c r="D610" s="19" t="n"/>
      <c r="E610" s="19" t="n"/>
      <c r="F610" s="20" t="n"/>
      <c r="G610" s="20" t="n"/>
      <c r="H610" s="20" t="n"/>
      <c r="I610" s="19" t="n"/>
      <c r="J610">
        <f>IFERROR(IF(C610="","",C610)&amp;"","")</f>
        <v/>
      </c>
      <c r="K610">
        <f>IFERROR(IF(D610="","",D610)&amp;"","")</f>
        <v/>
      </c>
      <c r="L610">
        <f>IFERROR(IF(I610="","",I610)&amp;"","")</f>
        <v/>
      </c>
      <c r="M610">
        <f>IF(J610="","",IFERROR(VALUE(SUBSTITUTE(SUBSTITUTE(IF(E610="","",E610)&amp;"","$",""),",","")),0))</f>
        <v/>
      </c>
      <c r="N610" s="11">
        <f>IF(J610="","",IFERROR(VALUE(SUBSTITUTE(SUBSTITUTE(IF(F610="","",F610)&amp;"","$",""),",","")),0))</f>
        <v/>
      </c>
      <c r="O610" s="11">
        <f>IF(J610="","",M610*N610)</f>
        <v/>
      </c>
      <c r="P610">
        <f>IF(J610="","",IF(L610="",1,COUNTIF($L$2:$L$1501,L610)))</f>
        <v/>
      </c>
      <c r="Q610" s="11">
        <f>IF(J610="","",IFERROR(VALUE(SUBSTITUTE(SUBSTITUTE(IF(G610="","",G610)&amp;"","$",""),",","")),0)/IF("No"="Yes",P610,1))</f>
        <v/>
      </c>
      <c r="R610" s="11">
        <f>IF(J610="","",IFERROR(VALUE(SUBSTITUTE(SUBSTITUTE(IF(H610="","",H610)&amp;"","$",""),",","")),0)/IF("No"="Yes",P610,1))</f>
        <v/>
      </c>
      <c r="S610" s="11">
        <f>IF(J610="","",O610+Q610-R610)</f>
        <v/>
      </c>
      <c r="T610">
        <f>IF(J610="","",IFERROR(IF(K610="",NA(),MATCH(K610,Products!$B$5:$B$204,0)),IFERROR(MATCH(J610,Products!$A$5:$A$204,0),"")))</f>
        <v/>
      </c>
      <c r="U610">
        <f>IF(J610="","",IF(T610="","⚠ not in Products",INDEX(Products!$A$5:$A$204,T610)))</f>
        <v/>
      </c>
      <c r="V610" s="11">
        <f>IF(J610="","",S610*(IFERROR(INDEX(Settings!$B$5:$B$9,MATCH($B610,Settings!$A$5:$A$9,0)),0)+IFERROR(INDEX(Settings!$E$5:$E$9,MATCH($B610,Settings!$A$5:$A$9,0)),0)+IFERROR(INDEX(Settings!$G$5:$G$9,MATCH($B610,Settings!$A$5:$A$9,0)),0))+(IFERROR(INDEX(Settings!$C$5:$C$9,MATCH($B610,Settings!$A$5:$A$9,0)),0)+IFERROR(INDEX(Settings!$F$5:$F$9,MATCH($B610,Settings!$A$5:$A$9,0)),0))/P610+IFERROR(INDEX(Settings!$D$5:$D$9,MATCH($B610,Settings!$A$5:$A$9,0)),0)*M610)</f>
        <v/>
      </c>
      <c r="W610" s="11">
        <f>IF(J610="","",IF(T610="",0,M610*INDEX(Products!$I$5:$I$204,T610)))</f>
        <v/>
      </c>
      <c r="X610" s="11">
        <f>IF(J610="","",IF(T610="",0,S610*INDEX(Products!$H$5:$H$204,T610)))</f>
        <v/>
      </c>
      <c r="Y610" s="11">
        <f>IF(J610="","",S610-V610-W610-X610)</f>
        <v/>
      </c>
    </row>
    <row r="611">
      <c r="A611" s="19" t="n"/>
      <c r="B611" s="19" t="n"/>
      <c r="C611" s="19" t="n"/>
      <c r="D611" s="19" t="n"/>
      <c r="E611" s="19" t="n"/>
      <c r="F611" s="20" t="n"/>
      <c r="G611" s="20" t="n"/>
      <c r="H611" s="20" t="n"/>
      <c r="I611" s="19" t="n"/>
      <c r="J611">
        <f>IFERROR(IF(C611="","",C611)&amp;"","")</f>
        <v/>
      </c>
      <c r="K611">
        <f>IFERROR(IF(D611="","",D611)&amp;"","")</f>
        <v/>
      </c>
      <c r="L611">
        <f>IFERROR(IF(I611="","",I611)&amp;"","")</f>
        <v/>
      </c>
      <c r="M611">
        <f>IF(J611="","",IFERROR(VALUE(SUBSTITUTE(SUBSTITUTE(IF(E611="","",E611)&amp;"","$",""),",","")),0))</f>
        <v/>
      </c>
      <c r="N611" s="11">
        <f>IF(J611="","",IFERROR(VALUE(SUBSTITUTE(SUBSTITUTE(IF(F611="","",F611)&amp;"","$",""),",","")),0))</f>
        <v/>
      </c>
      <c r="O611" s="11">
        <f>IF(J611="","",M611*N611)</f>
        <v/>
      </c>
      <c r="P611">
        <f>IF(J611="","",IF(L611="",1,COUNTIF($L$2:$L$1501,L611)))</f>
        <v/>
      </c>
      <c r="Q611" s="11">
        <f>IF(J611="","",IFERROR(VALUE(SUBSTITUTE(SUBSTITUTE(IF(G611="","",G611)&amp;"","$",""),",","")),0)/IF("No"="Yes",P611,1))</f>
        <v/>
      </c>
      <c r="R611" s="11">
        <f>IF(J611="","",IFERROR(VALUE(SUBSTITUTE(SUBSTITUTE(IF(H611="","",H611)&amp;"","$",""),",","")),0)/IF("No"="Yes",P611,1))</f>
        <v/>
      </c>
      <c r="S611" s="11">
        <f>IF(J611="","",O611+Q611-R611)</f>
        <v/>
      </c>
      <c r="T611">
        <f>IF(J611="","",IFERROR(IF(K611="",NA(),MATCH(K611,Products!$B$5:$B$204,0)),IFERROR(MATCH(J611,Products!$A$5:$A$204,0),"")))</f>
        <v/>
      </c>
      <c r="U611">
        <f>IF(J611="","",IF(T611="","⚠ not in Products",INDEX(Products!$A$5:$A$204,T611)))</f>
        <v/>
      </c>
      <c r="V611" s="11">
        <f>IF(J611="","",S611*(IFERROR(INDEX(Settings!$B$5:$B$9,MATCH($B611,Settings!$A$5:$A$9,0)),0)+IFERROR(INDEX(Settings!$E$5:$E$9,MATCH($B611,Settings!$A$5:$A$9,0)),0)+IFERROR(INDEX(Settings!$G$5:$G$9,MATCH($B611,Settings!$A$5:$A$9,0)),0))+(IFERROR(INDEX(Settings!$C$5:$C$9,MATCH($B611,Settings!$A$5:$A$9,0)),0)+IFERROR(INDEX(Settings!$F$5:$F$9,MATCH($B611,Settings!$A$5:$A$9,0)),0))/P611+IFERROR(INDEX(Settings!$D$5:$D$9,MATCH($B611,Settings!$A$5:$A$9,0)),0)*M611)</f>
        <v/>
      </c>
      <c r="W611" s="11">
        <f>IF(J611="","",IF(T611="",0,M611*INDEX(Products!$I$5:$I$204,T611)))</f>
        <v/>
      </c>
      <c r="X611" s="11">
        <f>IF(J611="","",IF(T611="",0,S611*INDEX(Products!$H$5:$H$204,T611)))</f>
        <v/>
      </c>
      <c r="Y611" s="11">
        <f>IF(J611="","",S611-V611-W611-X611)</f>
        <v/>
      </c>
    </row>
    <row r="612">
      <c r="A612" s="19" t="n"/>
      <c r="B612" s="19" t="n"/>
      <c r="C612" s="19" t="n"/>
      <c r="D612" s="19" t="n"/>
      <c r="E612" s="19" t="n"/>
      <c r="F612" s="20" t="n"/>
      <c r="G612" s="20" t="n"/>
      <c r="H612" s="20" t="n"/>
      <c r="I612" s="19" t="n"/>
      <c r="J612">
        <f>IFERROR(IF(C612="","",C612)&amp;"","")</f>
        <v/>
      </c>
      <c r="K612">
        <f>IFERROR(IF(D612="","",D612)&amp;"","")</f>
        <v/>
      </c>
      <c r="L612">
        <f>IFERROR(IF(I612="","",I612)&amp;"","")</f>
        <v/>
      </c>
      <c r="M612">
        <f>IF(J612="","",IFERROR(VALUE(SUBSTITUTE(SUBSTITUTE(IF(E612="","",E612)&amp;"","$",""),",","")),0))</f>
        <v/>
      </c>
      <c r="N612" s="11">
        <f>IF(J612="","",IFERROR(VALUE(SUBSTITUTE(SUBSTITUTE(IF(F612="","",F612)&amp;"","$",""),",","")),0))</f>
        <v/>
      </c>
      <c r="O612" s="11">
        <f>IF(J612="","",M612*N612)</f>
        <v/>
      </c>
      <c r="P612">
        <f>IF(J612="","",IF(L612="",1,COUNTIF($L$2:$L$1501,L612)))</f>
        <v/>
      </c>
      <c r="Q612" s="11">
        <f>IF(J612="","",IFERROR(VALUE(SUBSTITUTE(SUBSTITUTE(IF(G612="","",G612)&amp;"","$",""),",","")),0)/IF("No"="Yes",P612,1))</f>
        <v/>
      </c>
      <c r="R612" s="11">
        <f>IF(J612="","",IFERROR(VALUE(SUBSTITUTE(SUBSTITUTE(IF(H612="","",H612)&amp;"","$",""),",","")),0)/IF("No"="Yes",P612,1))</f>
        <v/>
      </c>
      <c r="S612" s="11">
        <f>IF(J612="","",O612+Q612-R612)</f>
        <v/>
      </c>
      <c r="T612">
        <f>IF(J612="","",IFERROR(IF(K612="",NA(),MATCH(K612,Products!$B$5:$B$204,0)),IFERROR(MATCH(J612,Products!$A$5:$A$204,0),"")))</f>
        <v/>
      </c>
      <c r="U612">
        <f>IF(J612="","",IF(T612="","⚠ not in Products",INDEX(Products!$A$5:$A$204,T612)))</f>
        <v/>
      </c>
      <c r="V612" s="11">
        <f>IF(J612="","",S612*(IFERROR(INDEX(Settings!$B$5:$B$9,MATCH($B612,Settings!$A$5:$A$9,0)),0)+IFERROR(INDEX(Settings!$E$5:$E$9,MATCH($B612,Settings!$A$5:$A$9,0)),0)+IFERROR(INDEX(Settings!$G$5:$G$9,MATCH($B612,Settings!$A$5:$A$9,0)),0))+(IFERROR(INDEX(Settings!$C$5:$C$9,MATCH($B612,Settings!$A$5:$A$9,0)),0)+IFERROR(INDEX(Settings!$F$5:$F$9,MATCH($B612,Settings!$A$5:$A$9,0)),0))/P612+IFERROR(INDEX(Settings!$D$5:$D$9,MATCH($B612,Settings!$A$5:$A$9,0)),0)*M612)</f>
        <v/>
      </c>
      <c r="W612" s="11">
        <f>IF(J612="","",IF(T612="",0,M612*INDEX(Products!$I$5:$I$204,T612)))</f>
        <v/>
      </c>
      <c r="X612" s="11">
        <f>IF(J612="","",IF(T612="",0,S612*INDEX(Products!$H$5:$H$204,T612)))</f>
        <v/>
      </c>
      <c r="Y612" s="11">
        <f>IF(J612="","",S612-V612-W612-X612)</f>
        <v/>
      </c>
    </row>
    <row r="613">
      <c r="A613" s="19" t="n"/>
      <c r="B613" s="19" t="n"/>
      <c r="C613" s="19" t="n"/>
      <c r="D613" s="19" t="n"/>
      <c r="E613" s="19" t="n"/>
      <c r="F613" s="20" t="n"/>
      <c r="G613" s="20" t="n"/>
      <c r="H613" s="20" t="n"/>
      <c r="I613" s="19" t="n"/>
      <c r="J613">
        <f>IFERROR(IF(C613="","",C613)&amp;"","")</f>
        <v/>
      </c>
      <c r="K613">
        <f>IFERROR(IF(D613="","",D613)&amp;"","")</f>
        <v/>
      </c>
      <c r="L613">
        <f>IFERROR(IF(I613="","",I613)&amp;"","")</f>
        <v/>
      </c>
      <c r="M613">
        <f>IF(J613="","",IFERROR(VALUE(SUBSTITUTE(SUBSTITUTE(IF(E613="","",E613)&amp;"","$",""),",","")),0))</f>
        <v/>
      </c>
      <c r="N613" s="11">
        <f>IF(J613="","",IFERROR(VALUE(SUBSTITUTE(SUBSTITUTE(IF(F613="","",F613)&amp;"","$",""),",","")),0))</f>
        <v/>
      </c>
      <c r="O613" s="11">
        <f>IF(J613="","",M613*N613)</f>
        <v/>
      </c>
      <c r="P613">
        <f>IF(J613="","",IF(L613="",1,COUNTIF($L$2:$L$1501,L613)))</f>
        <v/>
      </c>
      <c r="Q613" s="11">
        <f>IF(J613="","",IFERROR(VALUE(SUBSTITUTE(SUBSTITUTE(IF(G613="","",G613)&amp;"","$",""),",","")),0)/IF("No"="Yes",P613,1))</f>
        <v/>
      </c>
      <c r="R613" s="11">
        <f>IF(J613="","",IFERROR(VALUE(SUBSTITUTE(SUBSTITUTE(IF(H613="","",H613)&amp;"","$",""),",","")),0)/IF("No"="Yes",P613,1))</f>
        <v/>
      </c>
      <c r="S613" s="11">
        <f>IF(J613="","",O613+Q613-R613)</f>
        <v/>
      </c>
      <c r="T613">
        <f>IF(J613="","",IFERROR(IF(K613="",NA(),MATCH(K613,Products!$B$5:$B$204,0)),IFERROR(MATCH(J613,Products!$A$5:$A$204,0),"")))</f>
        <v/>
      </c>
      <c r="U613">
        <f>IF(J613="","",IF(T613="","⚠ not in Products",INDEX(Products!$A$5:$A$204,T613)))</f>
        <v/>
      </c>
      <c r="V613" s="11">
        <f>IF(J613="","",S613*(IFERROR(INDEX(Settings!$B$5:$B$9,MATCH($B613,Settings!$A$5:$A$9,0)),0)+IFERROR(INDEX(Settings!$E$5:$E$9,MATCH($B613,Settings!$A$5:$A$9,0)),0)+IFERROR(INDEX(Settings!$G$5:$G$9,MATCH($B613,Settings!$A$5:$A$9,0)),0))+(IFERROR(INDEX(Settings!$C$5:$C$9,MATCH($B613,Settings!$A$5:$A$9,0)),0)+IFERROR(INDEX(Settings!$F$5:$F$9,MATCH($B613,Settings!$A$5:$A$9,0)),0))/P613+IFERROR(INDEX(Settings!$D$5:$D$9,MATCH($B613,Settings!$A$5:$A$9,0)),0)*M613)</f>
        <v/>
      </c>
      <c r="W613" s="11">
        <f>IF(J613="","",IF(T613="",0,M613*INDEX(Products!$I$5:$I$204,T613)))</f>
        <v/>
      </c>
      <c r="X613" s="11">
        <f>IF(J613="","",IF(T613="",0,S613*INDEX(Products!$H$5:$H$204,T613)))</f>
        <v/>
      </c>
      <c r="Y613" s="11">
        <f>IF(J613="","",S613-V613-W613-X613)</f>
        <v/>
      </c>
    </row>
    <row r="614">
      <c r="A614" s="19" t="n"/>
      <c r="B614" s="19" t="n"/>
      <c r="C614" s="19" t="n"/>
      <c r="D614" s="19" t="n"/>
      <c r="E614" s="19" t="n"/>
      <c r="F614" s="20" t="n"/>
      <c r="G614" s="20" t="n"/>
      <c r="H614" s="20" t="n"/>
      <c r="I614" s="19" t="n"/>
      <c r="J614">
        <f>IFERROR(IF(C614="","",C614)&amp;"","")</f>
        <v/>
      </c>
      <c r="K614">
        <f>IFERROR(IF(D614="","",D614)&amp;"","")</f>
        <v/>
      </c>
      <c r="L614">
        <f>IFERROR(IF(I614="","",I614)&amp;"","")</f>
        <v/>
      </c>
      <c r="M614">
        <f>IF(J614="","",IFERROR(VALUE(SUBSTITUTE(SUBSTITUTE(IF(E614="","",E614)&amp;"","$",""),",","")),0))</f>
        <v/>
      </c>
      <c r="N614" s="11">
        <f>IF(J614="","",IFERROR(VALUE(SUBSTITUTE(SUBSTITUTE(IF(F614="","",F614)&amp;"","$",""),",","")),0))</f>
        <v/>
      </c>
      <c r="O614" s="11">
        <f>IF(J614="","",M614*N614)</f>
        <v/>
      </c>
      <c r="P614">
        <f>IF(J614="","",IF(L614="",1,COUNTIF($L$2:$L$1501,L614)))</f>
        <v/>
      </c>
      <c r="Q614" s="11">
        <f>IF(J614="","",IFERROR(VALUE(SUBSTITUTE(SUBSTITUTE(IF(G614="","",G614)&amp;"","$",""),",","")),0)/IF("No"="Yes",P614,1))</f>
        <v/>
      </c>
      <c r="R614" s="11">
        <f>IF(J614="","",IFERROR(VALUE(SUBSTITUTE(SUBSTITUTE(IF(H614="","",H614)&amp;"","$",""),",","")),0)/IF("No"="Yes",P614,1))</f>
        <v/>
      </c>
      <c r="S614" s="11">
        <f>IF(J614="","",O614+Q614-R614)</f>
        <v/>
      </c>
      <c r="T614">
        <f>IF(J614="","",IFERROR(IF(K614="",NA(),MATCH(K614,Products!$B$5:$B$204,0)),IFERROR(MATCH(J614,Products!$A$5:$A$204,0),"")))</f>
        <v/>
      </c>
      <c r="U614">
        <f>IF(J614="","",IF(T614="","⚠ not in Products",INDEX(Products!$A$5:$A$204,T614)))</f>
        <v/>
      </c>
      <c r="V614" s="11">
        <f>IF(J614="","",S614*(IFERROR(INDEX(Settings!$B$5:$B$9,MATCH($B614,Settings!$A$5:$A$9,0)),0)+IFERROR(INDEX(Settings!$E$5:$E$9,MATCH($B614,Settings!$A$5:$A$9,0)),0)+IFERROR(INDEX(Settings!$G$5:$G$9,MATCH($B614,Settings!$A$5:$A$9,0)),0))+(IFERROR(INDEX(Settings!$C$5:$C$9,MATCH($B614,Settings!$A$5:$A$9,0)),0)+IFERROR(INDEX(Settings!$F$5:$F$9,MATCH($B614,Settings!$A$5:$A$9,0)),0))/P614+IFERROR(INDEX(Settings!$D$5:$D$9,MATCH($B614,Settings!$A$5:$A$9,0)),0)*M614)</f>
        <v/>
      </c>
      <c r="W614" s="11">
        <f>IF(J614="","",IF(T614="",0,M614*INDEX(Products!$I$5:$I$204,T614)))</f>
        <v/>
      </c>
      <c r="X614" s="11">
        <f>IF(J614="","",IF(T614="",0,S614*INDEX(Products!$H$5:$H$204,T614)))</f>
        <v/>
      </c>
      <c r="Y614" s="11">
        <f>IF(J614="","",S614-V614-W614-X614)</f>
        <v/>
      </c>
    </row>
    <row r="615">
      <c r="A615" s="19" t="n"/>
      <c r="B615" s="19" t="n"/>
      <c r="C615" s="19" t="n"/>
      <c r="D615" s="19" t="n"/>
      <c r="E615" s="19" t="n"/>
      <c r="F615" s="20" t="n"/>
      <c r="G615" s="20" t="n"/>
      <c r="H615" s="20" t="n"/>
      <c r="I615" s="19" t="n"/>
      <c r="J615">
        <f>IFERROR(IF(C615="","",C615)&amp;"","")</f>
        <v/>
      </c>
      <c r="K615">
        <f>IFERROR(IF(D615="","",D615)&amp;"","")</f>
        <v/>
      </c>
      <c r="L615">
        <f>IFERROR(IF(I615="","",I615)&amp;"","")</f>
        <v/>
      </c>
      <c r="M615">
        <f>IF(J615="","",IFERROR(VALUE(SUBSTITUTE(SUBSTITUTE(IF(E615="","",E615)&amp;"","$",""),",","")),0))</f>
        <v/>
      </c>
      <c r="N615" s="11">
        <f>IF(J615="","",IFERROR(VALUE(SUBSTITUTE(SUBSTITUTE(IF(F615="","",F615)&amp;"","$",""),",","")),0))</f>
        <v/>
      </c>
      <c r="O615" s="11">
        <f>IF(J615="","",M615*N615)</f>
        <v/>
      </c>
      <c r="P615">
        <f>IF(J615="","",IF(L615="",1,COUNTIF($L$2:$L$1501,L615)))</f>
        <v/>
      </c>
      <c r="Q615" s="11">
        <f>IF(J615="","",IFERROR(VALUE(SUBSTITUTE(SUBSTITUTE(IF(G615="","",G615)&amp;"","$",""),",","")),0)/IF("No"="Yes",P615,1))</f>
        <v/>
      </c>
      <c r="R615" s="11">
        <f>IF(J615="","",IFERROR(VALUE(SUBSTITUTE(SUBSTITUTE(IF(H615="","",H615)&amp;"","$",""),",","")),0)/IF("No"="Yes",P615,1))</f>
        <v/>
      </c>
      <c r="S615" s="11">
        <f>IF(J615="","",O615+Q615-R615)</f>
        <v/>
      </c>
      <c r="T615">
        <f>IF(J615="","",IFERROR(IF(K615="",NA(),MATCH(K615,Products!$B$5:$B$204,0)),IFERROR(MATCH(J615,Products!$A$5:$A$204,0),"")))</f>
        <v/>
      </c>
      <c r="U615">
        <f>IF(J615="","",IF(T615="","⚠ not in Products",INDEX(Products!$A$5:$A$204,T615)))</f>
        <v/>
      </c>
      <c r="V615" s="11">
        <f>IF(J615="","",S615*(IFERROR(INDEX(Settings!$B$5:$B$9,MATCH($B615,Settings!$A$5:$A$9,0)),0)+IFERROR(INDEX(Settings!$E$5:$E$9,MATCH($B615,Settings!$A$5:$A$9,0)),0)+IFERROR(INDEX(Settings!$G$5:$G$9,MATCH($B615,Settings!$A$5:$A$9,0)),0))+(IFERROR(INDEX(Settings!$C$5:$C$9,MATCH($B615,Settings!$A$5:$A$9,0)),0)+IFERROR(INDEX(Settings!$F$5:$F$9,MATCH($B615,Settings!$A$5:$A$9,0)),0))/P615+IFERROR(INDEX(Settings!$D$5:$D$9,MATCH($B615,Settings!$A$5:$A$9,0)),0)*M615)</f>
        <v/>
      </c>
      <c r="W615" s="11">
        <f>IF(J615="","",IF(T615="",0,M615*INDEX(Products!$I$5:$I$204,T615)))</f>
        <v/>
      </c>
      <c r="X615" s="11">
        <f>IF(J615="","",IF(T615="",0,S615*INDEX(Products!$H$5:$H$204,T615)))</f>
        <v/>
      </c>
      <c r="Y615" s="11">
        <f>IF(J615="","",S615-V615-W615-X615)</f>
        <v/>
      </c>
    </row>
    <row r="616">
      <c r="A616" s="19" t="n"/>
      <c r="B616" s="19" t="n"/>
      <c r="C616" s="19" t="n"/>
      <c r="D616" s="19" t="n"/>
      <c r="E616" s="19" t="n"/>
      <c r="F616" s="20" t="n"/>
      <c r="G616" s="20" t="n"/>
      <c r="H616" s="20" t="n"/>
      <c r="I616" s="19" t="n"/>
      <c r="J616">
        <f>IFERROR(IF(C616="","",C616)&amp;"","")</f>
        <v/>
      </c>
      <c r="K616">
        <f>IFERROR(IF(D616="","",D616)&amp;"","")</f>
        <v/>
      </c>
      <c r="L616">
        <f>IFERROR(IF(I616="","",I616)&amp;"","")</f>
        <v/>
      </c>
      <c r="M616">
        <f>IF(J616="","",IFERROR(VALUE(SUBSTITUTE(SUBSTITUTE(IF(E616="","",E616)&amp;"","$",""),",","")),0))</f>
        <v/>
      </c>
      <c r="N616" s="11">
        <f>IF(J616="","",IFERROR(VALUE(SUBSTITUTE(SUBSTITUTE(IF(F616="","",F616)&amp;"","$",""),",","")),0))</f>
        <v/>
      </c>
      <c r="O616" s="11">
        <f>IF(J616="","",M616*N616)</f>
        <v/>
      </c>
      <c r="P616">
        <f>IF(J616="","",IF(L616="",1,COUNTIF($L$2:$L$1501,L616)))</f>
        <v/>
      </c>
      <c r="Q616" s="11">
        <f>IF(J616="","",IFERROR(VALUE(SUBSTITUTE(SUBSTITUTE(IF(G616="","",G616)&amp;"","$",""),",","")),0)/IF("No"="Yes",P616,1))</f>
        <v/>
      </c>
      <c r="R616" s="11">
        <f>IF(J616="","",IFERROR(VALUE(SUBSTITUTE(SUBSTITUTE(IF(H616="","",H616)&amp;"","$",""),",","")),0)/IF("No"="Yes",P616,1))</f>
        <v/>
      </c>
      <c r="S616" s="11">
        <f>IF(J616="","",O616+Q616-R616)</f>
        <v/>
      </c>
      <c r="T616">
        <f>IF(J616="","",IFERROR(IF(K616="",NA(),MATCH(K616,Products!$B$5:$B$204,0)),IFERROR(MATCH(J616,Products!$A$5:$A$204,0),"")))</f>
        <v/>
      </c>
      <c r="U616">
        <f>IF(J616="","",IF(T616="","⚠ not in Products",INDEX(Products!$A$5:$A$204,T616)))</f>
        <v/>
      </c>
      <c r="V616" s="11">
        <f>IF(J616="","",S616*(IFERROR(INDEX(Settings!$B$5:$B$9,MATCH($B616,Settings!$A$5:$A$9,0)),0)+IFERROR(INDEX(Settings!$E$5:$E$9,MATCH($B616,Settings!$A$5:$A$9,0)),0)+IFERROR(INDEX(Settings!$G$5:$G$9,MATCH($B616,Settings!$A$5:$A$9,0)),0))+(IFERROR(INDEX(Settings!$C$5:$C$9,MATCH($B616,Settings!$A$5:$A$9,0)),0)+IFERROR(INDEX(Settings!$F$5:$F$9,MATCH($B616,Settings!$A$5:$A$9,0)),0))/P616+IFERROR(INDEX(Settings!$D$5:$D$9,MATCH($B616,Settings!$A$5:$A$9,0)),0)*M616)</f>
        <v/>
      </c>
      <c r="W616" s="11">
        <f>IF(J616="","",IF(T616="",0,M616*INDEX(Products!$I$5:$I$204,T616)))</f>
        <v/>
      </c>
      <c r="X616" s="11">
        <f>IF(J616="","",IF(T616="",0,S616*INDEX(Products!$H$5:$H$204,T616)))</f>
        <v/>
      </c>
      <c r="Y616" s="11">
        <f>IF(J616="","",S616-V616-W616-X616)</f>
        <v/>
      </c>
    </row>
    <row r="617">
      <c r="A617" s="19" t="n"/>
      <c r="B617" s="19" t="n"/>
      <c r="C617" s="19" t="n"/>
      <c r="D617" s="19" t="n"/>
      <c r="E617" s="19" t="n"/>
      <c r="F617" s="20" t="n"/>
      <c r="G617" s="20" t="n"/>
      <c r="H617" s="20" t="n"/>
      <c r="I617" s="19" t="n"/>
      <c r="J617">
        <f>IFERROR(IF(C617="","",C617)&amp;"","")</f>
        <v/>
      </c>
      <c r="K617">
        <f>IFERROR(IF(D617="","",D617)&amp;"","")</f>
        <v/>
      </c>
      <c r="L617">
        <f>IFERROR(IF(I617="","",I617)&amp;"","")</f>
        <v/>
      </c>
      <c r="M617">
        <f>IF(J617="","",IFERROR(VALUE(SUBSTITUTE(SUBSTITUTE(IF(E617="","",E617)&amp;"","$",""),",","")),0))</f>
        <v/>
      </c>
      <c r="N617" s="11">
        <f>IF(J617="","",IFERROR(VALUE(SUBSTITUTE(SUBSTITUTE(IF(F617="","",F617)&amp;"","$",""),",","")),0))</f>
        <v/>
      </c>
      <c r="O617" s="11">
        <f>IF(J617="","",M617*N617)</f>
        <v/>
      </c>
      <c r="P617">
        <f>IF(J617="","",IF(L617="",1,COUNTIF($L$2:$L$1501,L617)))</f>
        <v/>
      </c>
      <c r="Q617" s="11">
        <f>IF(J617="","",IFERROR(VALUE(SUBSTITUTE(SUBSTITUTE(IF(G617="","",G617)&amp;"","$",""),",","")),0)/IF("No"="Yes",P617,1))</f>
        <v/>
      </c>
      <c r="R617" s="11">
        <f>IF(J617="","",IFERROR(VALUE(SUBSTITUTE(SUBSTITUTE(IF(H617="","",H617)&amp;"","$",""),",","")),0)/IF("No"="Yes",P617,1))</f>
        <v/>
      </c>
      <c r="S617" s="11">
        <f>IF(J617="","",O617+Q617-R617)</f>
        <v/>
      </c>
      <c r="T617">
        <f>IF(J617="","",IFERROR(IF(K617="",NA(),MATCH(K617,Products!$B$5:$B$204,0)),IFERROR(MATCH(J617,Products!$A$5:$A$204,0),"")))</f>
        <v/>
      </c>
      <c r="U617">
        <f>IF(J617="","",IF(T617="","⚠ not in Products",INDEX(Products!$A$5:$A$204,T617)))</f>
        <v/>
      </c>
      <c r="V617" s="11">
        <f>IF(J617="","",S617*(IFERROR(INDEX(Settings!$B$5:$B$9,MATCH($B617,Settings!$A$5:$A$9,0)),0)+IFERROR(INDEX(Settings!$E$5:$E$9,MATCH($B617,Settings!$A$5:$A$9,0)),0)+IFERROR(INDEX(Settings!$G$5:$G$9,MATCH($B617,Settings!$A$5:$A$9,0)),0))+(IFERROR(INDEX(Settings!$C$5:$C$9,MATCH($B617,Settings!$A$5:$A$9,0)),0)+IFERROR(INDEX(Settings!$F$5:$F$9,MATCH($B617,Settings!$A$5:$A$9,0)),0))/P617+IFERROR(INDEX(Settings!$D$5:$D$9,MATCH($B617,Settings!$A$5:$A$9,0)),0)*M617)</f>
        <v/>
      </c>
      <c r="W617" s="11">
        <f>IF(J617="","",IF(T617="",0,M617*INDEX(Products!$I$5:$I$204,T617)))</f>
        <v/>
      </c>
      <c r="X617" s="11">
        <f>IF(J617="","",IF(T617="",0,S617*INDEX(Products!$H$5:$H$204,T617)))</f>
        <v/>
      </c>
      <c r="Y617" s="11">
        <f>IF(J617="","",S617-V617-W617-X617)</f>
        <v/>
      </c>
    </row>
    <row r="618">
      <c r="A618" s="19" t="n"/>
      <c r="B618" s="19" t="n"/>
      <c r="C618" s="19" t="n"/>
      <c r="D618" s="19" t="n"/>
      <c r="E618" s="19" t="n"/>
      <c r="F618" s="20" t="n"/>
      <c r="G618" s="20" t="n"/>
      <c r="H618" s="20" t="n"/>
      <c r="I618" s="19" t="n"/>
      <c r="J618">
        <f>IFERROR(IF(C618="","",C618)&amp;"","")</f>
        <v/>
      </c>
      <c r="K618">
        <f>IFERROR(IF(D618="","",D618)&amp;"","")</f>
        <v/>
      </c>
      <c r="L618">
        <f>IFERROR(IF(I618="","",I618)&amp;"","")</f>
        <v/>
      </c>
      <c r="M618">
        <f>IF(J618="","",IFERROR(VALUE(SUBSTITUTE(SUBSTITUTE(IF(E618="","",E618)&amp;"","$",""),",","")),0))</f>
        <v/>
      </c>
      <c r="N618" s="11">
        <f>IF(J618="","",IFERROR(VALUE(SUBSTITUTE(SUBSTITUTE(IF(F618="","",F618)&amp;"","$",""),",","")),0))</f>
        <v/>
      </c>
      <c r="O618" s="11">
        <f>IF(J618="","",M618*N618)</f>
        <v/>
      </c>
      <c r="P618">
        <f>IF(J618="","",IF(L618="",1,COUNTIF($L$2:$L$1501,L618)))</f>
        <v/>
      </c>
      <c r="Q618" s="11">
        <f>IF(J618="","",IFERROR(VALUE(SUBSTITUTE(SUBSTITUTE(IF(G618="","",G618)&amp;"","$",""),",","")),0)/IF("No"="Yes",P618,1))</f>
        <v/>
      </c>
      <c r="R618" s="11">
        <f>IF(J618="","",IFERROR(VALUE(SUBSTITUTE(SUBSTITUTE(IF(H618="","",H618)&amp;"","$",""),",","")),0)/IF("No"="Yes",P618,1))</f>
        <v/>
      </c>
      <c r="S618" s="11">
        <f>IF(J618="","",O618+Q618-R618)</f>
        <v/>
      </c>
      <c r="T618">
        <f>IF(J618="","",IFERROR(IF(K618="",NA(),MATCH(K618,Products!$B$5:$B$204,0)),IFERROR(MATCH(J618,Products!$A$5:$A$204,0),"")))</f>
        <v/>
      </c>
      <c r="U618">
        <f>IF(J618="","",IF(T618="","⚠ not in Products",INDEX(Products!$A$5:$A$204,T618)))</f>
        <v/>
      </c>
      <c r="V618" s="11">
        <f>IF(J618="","",S618*(IFERROR(INDEX(Settings!$B$5:$B$9,MATCH($B618,Settings!$A$5:$A$9,0)),0)+IFERROR(INDEX(Settings!$E$5:$E$9,MATCH($B618,Settings!$A$5:$A$9,0)),0)+IFERROR(INDEX(Settings!$G$5:$G$9,MATCH($B618,Settings!$A$5:$A$9,0)),0))+(IFERROR(INDEX(Settings!$C$5:$C$9,MATCH($B618,Settings!$A$5:$A$9,0)),0)+IFERROR(INDEX(Settings!$F$5:$F$9,MATCH($B618,Settings!$A$5:$A$9,0)),0))/P618+IFERROR(INDEX(Settings!$D$5:$D$9,MATCH($B618,Settings!$A$5:$A$9,0)),0)*M618)</f>
        <v/>
      </c>
      <c r="W618" s="11">
        <f>IF(J618="","",IF(T618="",0,M618*INDEX(Products!$I$5:$I$204,T618)))</f>
        <v/>
      </c>
      <c r="X618" s="11">
        <f>IF(J618="","",IF(T618="",0,S618*INDEX(Products!$H$5:$H$204,T618)))</f>
        <v/>
      </c>
      <c r="Y618" s="11">
        <f>IF(J618="","",S618-V618-W618-X618)</f>
        <v/>
      </c>
    </row>
    <row r="619">
      <c r="A619" s="19" t="n"/>
      <c r="B619" s="19" t="n"/>
      <c r="C619" s="19" t="n"/>
      <c r="D619" s="19" t="n"/>
      <c r="E619" s="19" t="n"/>
      <c r="F619" s="20" t="n"/>
      <c r="G619" s="20" t="n"/>
      <c r="H619" s="20" t="n"/>
      <c r="I619" s="19" t="n"/>
      <c r="J619">
        <f>IFERROR(IF(C619="","",C619)&amp;"","")</f>
        <v/>
      </c>
      <c r="K619">
        <f>IFERROR(IF(D619="","",D619)&amp;"","")</f>
        <v/>
      </c>
      <c r="L619">
        <f>IFERROR(IF(I619="","",I619)&amp;"","")</f>
        <v/>
      </c>
      <c r="M619">
        <f>IF(J619="","",IFERROR(VALUE(SUBSTITUTE(SUBSTITUTE(IF(E619="","",E619)&amp;"","$",""),",","")),0))</f>
        <v/>
      </c>
      <c r="N619" s="11">
        <f>IF(J619="","",IFERROR(VALUE(SUBSTITUTE(SUBSTITUTE(IF(F619="","",F619)&amp;"","$",""),",","")),0))</f>
        <v/>
      </c>
      <c r="O619" s="11">
        <f>IF(J619="","",M619*N619)</f>
        <v/>
      </c>
      <c r="P619">
        <f>IF(J619="","",IF(L619="",1,COUNTIF($L$2:$L$1501,L619)))</f>
        <v/>
      </c>
      <c r="Q619" s="11">
        <f>IF(J619="","",IFERROR(VALUE(SUBSTITUTE(SUBSTITUTE(IF(G619="","",G619)&amp;"","$",""),",","")),0)/IF("No"="Yes",P619,1))</f>
        <v/>
      </c>
      <c r="R619" s="11">
        <f>IF(J619="","",IFERROR(VALUE(SUBSTITUTE(SUBSTITUTE(IF(H619="","",H619)&amp;"","$",""),",","")),0)/IF("No"="Yes",P619,1))</f>
        <v/>
      </c>
      <c r="S619" s="11">
        <f>IF(J619="","",O619+Q619-R619)</f>
        <v/>
      </c>
      <c r="T619">
        <f>IF(J619="","",IFERROR(IF(K619="",NA(),MATCH(K619,Products!$B$5:$B$204,0)),IFERROR(MATCH(J619,Products!$A$5:$A$204,0),"")))</f>
        <v/>
      </c>
      <c r="U619">
        <f>IF(J619="","",IF(T619="","⚠ not in Products",INDEX(Products!$A$5:$A$204,T619)))</f>
        <v/>
      </c>
      <c r="V619" s="11">
        <f>IF(J619="","",S619*(IFERROR(INDEX(Settings!$B$5:$B$9,MATCH($B619,Settings!$A$5:$A$9,0)),0)+IFERROR(INDEX(Settings!$E$5:$E$9,MATCH($B619,Settings!$A$5:$A$9,0)),0)+IFERROR(INDEX(Settings!$G$5:$G$9,MATCH($B619,Settings!$A$5:$A$9,0)),0))+(IFERROR(INDEX(Settings!$C$5:$C$9,MATCH($B619,Settings!$A$5:$A$9,0)),0)+IFERROR(INDEX(Settings!$F$5:$F$9,MATCH($B619,Settings!$A$5:$A$9,0)),0))/P619+IFERROR(INDEX(Settings!$D$5:$D$9,MATCH($B619,Settings!$A$5:$A$9,0)),0)*M619)</f>
        <v/>
      </c>
      <c r="W619" s="11">
        <f>IF(J619="","",IF(T619="",0,M619*INDEX(Products!$I$5:$I$204,T619)))</f>
        <v/>
      </c>
      <c r="X619" s="11">
        <f>IF(J619="","",IF(T619="",0,S619*INDEX(Products!$H$5:$H$204,T619)))</f>
        <v/>
      </c>
      <c r="Y619" s="11">
        <f>IF(J619="","",S619-V619-W619-X619)</f>
        <v/>
      </c>
    </row>
    <row r="620">
      <c r="A620" s="19" t="n"/>
      <c r="B620" s="19" t="n"/>
      <c r="C620" s="19" t="n"/>
      <c r="D620" s="19" t="n"/>
      <c r="E620" s="19" t="n"/>
      <c r="F620" s="20" t="n"/>
      <c r="G620" s="20" t="n"/>
      <c r="H620" s="20" t="n"/>
      <c r="I620" s="19" t="n"/>
      <c r="J620">
        <f>IFERROR(IF(C620="","",C620)&amp;"","")</f>
        <v/>
      </c>
      <c r="K620">
        <f>IFERROR(IF(D620="","",D620)&amp;"","")</f>
        <v/>
      </c>
      <c r="L620">
        <f>IFERROR(IF(I620="","",I620)&amp;"","")</f>
        <v/>
      </c>
      <c r="M620">
        <f>IF(J620="","",IFERROR(VALUE(SUBSTITUTE(SUBSTITUTE(IF(E620="","",E620)&amp;"","$",""),",","")),0))</f>
        <v/>
      </c>
      <c r="N620" s="11">
        <f>IF(J620="","",IFERROR(VALUE(SUBSTITUTE(SUBSTITUTE(IF(F620="","",F620)&amp;"","$",""),",","")),0))</f>
        <v/>
      </c>
      <c r="O620" s="11">
        <f>IF(J620="","",M620*N620)</f>
        <v/>
      </c>
      <c r="P620">
        <f>IF(J620="","",IF(L620="",1,COUNTIF($L$2:$L$1501,L620)))</f>
        <v/>
      </c>
      <c r="Q620" s="11">
        <f>IF(J620="","",IFERROR(VALUE(SUBSTITUTE(SUBSTITUTE(IF(G620="","",G620)&amp;"","$",""),",","")),0)/IF("No"="Yes",P620,1))</f>
        <v/>
      </c>
      <c r="R620" s="11">
        <f>IF(J620="","",IFERROR(VALUE(SUBSTITUTE(SUBSTITUTE(IF(H620="","",H620)&amp;"","$",""),",","")),0)/IF("No"="Yes",P620,1))</f>
        <v/>
      </c>
      <c r="S620" s="11">
        <f>IF(J620="","",O620+Q620-R620)</f>
        <v/>
      </c>
      <c r="T620">
        <f>IF(J620="","",IFERROR(IF(K620="",NA(),MATCH(K620,Products!$B$5:$B$204,0)),IFERROR(MATCH(J620,Products!$A$5:$A$204,0),"")))</f>
        <v/>
      </c>
      <c r="U620">
        <f>IF(J620="","",IF(T620="","⚠ not in Products",INDEX(Products!$A$5:$A$204,T620)))</f>
        <v/>
      </c>
      <c r="V620" s="11">
        <f>IF(J620="","",S620*(IFERROR(INDEX(Settings!$B$5:$B$9,MATCH($B620,Settings!$A$5:$A$9,0)),0)+IFERROR(INDEX(Settings!$E$5:$E$9,MATCH($B620,Settings!$A$5:$A$9,0)),0)+IFERROR(INDEX(Settings!$G$5:$G$9,MATCH($B620,Settings!$A$5:$A$9,0)),0))+(IFERROR(INDEX(Settings!$C$5:$C$9,MATCH($B620,Settings!$A$5:$A$9,0)),0)+IFERROR(INDEX(Settings!$F$5:$F$9,MATCH($B620,Settings!$A$5:$A$9,0)),0))/P620+IFERROR(INDEX(Settings!$D$5:$D$9,MATCH($B620,Settings!$A$5:$A$9,0)),0)*M620)</f>
        <v/>
      </c>
      <c r="W620" s="11">
        <f>IF(J620="","",IF(T620="",0,M620*INDEX(Products!$I$5:$I$204,T620)))</f>
        <v/>
      </c>
      <c r="X620" s="11">
        <f>IF(J620="","",IF(T620="",0,S620*INDEX(Products!$H$5:$H$204,T620)))</f>
        <v/>
      </c>
      <c r="Y620" s="11">
        <f>IF(J620="","",S620-V620-W620-X620)</f>
        <v/>
      </c>
    </row>
    <row r="621">
      <c r="A621" s="19" t="n"/>
      <c r="B621" s="19" t="n"/>
      <c r="C621" s="19" t="n"/>
      <c r="D621" s="19" t="n"/>
      <c r="E621" s="19" t="n"/>
      <c r="F621" s="20" t="n"/>
      <c r="G621" s="20" t="n"/>
      <c r="H621" s="20" t="n"/>
      <c r="I621" s="19" t="n"/>
      <c r="J621">
        <f>IFERROR(IF(C621="","",C621)&amp;"","")</f>
        <v/>
      </c>
      <c r="K621">
        <f>IFERROR(IF(D621="","",D621)&amp;"","")</f>
        <v/>
      </c>
      <c r="L621">
        <f>IFERROR(IF(I621="","",I621)&amp;"","")</f>
        <v/>
      </c>
      <c r="M621">
        <f>IF(J621="","",IFERROR(VALUE(SUBSTITUTE(SUBSTITUTE(IF(E621="","",E621)&amp;"","$",""),",","")),0))</f>
        <v/>
      </c>
      <c r="N621" s="11">
        <f>IF(J621="","",IFERROR(VALUE(SUBSTITUTE(SUBSTITUTE(IF(F621="","",F621)&amp;"","$",""),",","")),0))</f>
        <v/>
      </c>
      <c r="O621" s="11">
        <f>IF(J621="","",M621*N621)</f>
        <v/>
      </c>
      <c r="P621">
        <f>IF(J621="","",IF(L621="",1,COUNTIF($L$2:$L$1501,L621)))</f>
        <v/>
      </c>
      <c r="Q621" s="11">
        <f>IF(J621="","",IFERROR(VALUE(SUBSTITUTE(SUBSTITUTE(IF(G621="","",G621)&amp;"","$",""),",","")),0)/IF("No"="Yes",P621,1))</f>
        <v/>
      </c>
      <c r="R621" s="11">
        <f>IF(J621="","",IFERROR(VALUE(SUBSTITUTE(SUBSTITUTE(IF(H621="","",H621)&amp;"","$",""),",","")),0)/IF("No"="Yes",P621,1))</f>
        <v/>
      </c>
      <c r="S621" s="11">
        <f>IF(J621="","",O621+Q621-R621)</f>
        <v/>
      </c>
      <c r="T621">
        <f>IF(J621="","",IFERROR(IF(K621="",NA(),MATCH(K621,Products!$B$5:$B$204,0)),IFERROR(MATCH(J621,Products!$A$5:$A$204,0),"")))</f>
        <v/>
      </c>
      <c r="U621">
        <f>IF(J621="","",IF(T621="","⚠ not in Products",INDEX(Products!$A$5:$A$204,T621)))</f>
        <v/>
      </c>
      <c r="V621" s="11">
        <f>IF(J621="","",S621*(IFERROR(INDEX(Settings!$B$5:$B$9,MATCH($B621,Settings!$A$5:$A$9,0)),0)+IFERROR(INDEX(Settings!$E$5:$E$9,MATCH($B621,Settings!$A$5:$A$9,0)),0)+IFERROR(INDEX(Settings!$G$5:$G$9,MATCH($B621,Settings!$A$5:$A$9,0)),0))+(IFERROR(INDEX(Settings!$C$5:$C$9,MATCH($B621,Settings!$A$5:$A$9,0)),0)+IFERROR(INDEX(Settings!$F$5:$F$9,MATCH($B621,Settings!$A$5:$A$9,0)),0))/P621+IFERROR(INDEX(Settings!$D$5:$D$9,MATCH($B621,Settings!$A$5:$A$9,0)),0)*M621)</f>
        <v/>
      </c>
      <c r="W621" s="11">
        <f>IF(J621="","",IF(T621="",0,M621*INDEX(Products!$I$5:$I$204,T621)))</f>
        <v/>
      </c>
      <c r="X621" s="11">
        <f>IF(J621="","",IF(T621="",0,S621*INDEX(Products!$H$5:$H$204,T621)))</f>
        <v/>
      </c>
      <c r="Y621" s="11">
        <f>IF(J621="","",S621-V621-W621-X621)</f>
        <v/>
      </c>
    </row>
    <row r="622">
      <c r="A622" s="19" t="n"/>
      <c r="B622" s="19" t="n"/>
      <c r="C622" s="19" t="n"/>
      <c r="D622" s="19" t="n"/>
      <c r="E622" s="19" t="n"/>
      <c r="F622" s="20" t="n"/>
      <c r="G622" s="20" t="n"/>
      <c r="H622" s="20" t="n"/>
      <c r="I622" s="19" t="n"/>
      <c r="J622">
        <f>IFERROR(IF(C622="","",C622)&amp;"","")</f>
        <v/>
      </c>
      <c r="K622">
        <f>IFERROR(IF(D622="","",D622)&amp;"","")</f>
        <v/>
      </c>
      <c r="L622">
        <f>IFERROR(IF(I622="","",I622)&amp;"","")</f>
        <v/>
      </c>
      <c r="M622">
        <f>IF(J622="","",IFERROR(VALUE(SUBSTITUTE(SUBSTITUTE(IF(E622="","",E622)&amp;"","$",""),",","")),0))</f>
        <v/>
      </c>
      <c r="N622" s="11">
        <f>IF(J622="","",IFERROR(VALUE(SUBSTITUTE(SUBSTITUTE(IF(F622="","",F622)&amp;"","$",""),",","")),0))</f>
        <v/>
      </c>
      <c r="O622" s="11">
        <f>IF(J622="","",M622*N622)</f>
        <v/>
      </c>
      <c r="P622">
        <f>IF(J622="","",IF(L622="",1,COUNTIF($L$2:$L$1501,L622)))</f>
        <v/>
      </c>
      <c r="Q622" s="11">
        <f>IF(J622="","",IFERROR(VALUE(SUBSTITUTE(SUBSTITUTE(IF(G622="","",G622)&amp;"","$",""),",","")),0)/IF("No"="Yes",P622,1))</f>
        <v/>
      </c>
      <c r="R622" s="11">
        <f>IF(J622="","",IFERROR(VALUE(SUBSTITUTE(SUBSTITUTE(IF(H622="","",H622)&amp;"","$",""),",","")),0)/IF("No"="Yes",P622,1))</f>
        <v/>
      </c>
      <c r="S622" s="11">
        <f>IF(J622="","",O622+Q622-R622)</f>
        <v/>
      </c>
      <c r="T622">
        <f>IF(J622="","",IFERROR(IF(K622="",NA(),MATCH(K622,Products!$B$5:$B$204,0)),IFERROR(MATCH(J622,Products!$A$5:$A$204,0),"")))</f>
        <v/>
      </c>
      <c r="U622">
        <f>IF(J622="","",IF(T622="","⚠ not in Products",INDEX(Products!$A$5:$A$204,T622)))</f>
        <v/>
      </c>
      <c r="V622" s="11">
        <f>IF(J622="","",S622*(IFERROR(INDEX(Settings!$B$5:$B$9,MATCH($B622,Settings!$A$5:$A$9,0)),0)+IFERROR(INDEX(Settings!$E$5:$E$9,MATCH($B622,Settings!$A$5:$A$9,0)),0)+IFERROR(INDEX(Settings!$G$5:$G$9,MATCH($B622,Settings!$A$5:$A$9,0)),0))+(IFERROR(INDEX(Settings!$C$5:$C$9,MATCH($B622,Settings!$A$5:$A$9,0)),0)+IFERROR(INDEX(Settings!$F$5:$F$9,MATCH($B622,Settings!$A$5:$A$9,0)),0))/P622+IFERROR(INDEX(Settings!$D$5:$D$9,MATCH($B622,Settings!$A$5:$A$9,0)),0)*M622)</f>
        <v/>
      </c>
      <c r="W622" s="11">
        <f>IF(J622="","",IF(T622="",0,M622*INDEX(Products!$I$5:$I$204,T622)))</f>
        <v/>
      </c>
      <c r="X622" s="11">
        <f>IF(J622="","",IF(T622="",0,S622*INDEX(Products!$H$5:$H$204,T622)))</f>
        <v/>
      </c>
      <c r="Y622" s="11">
        <f>IF(J622="","",S622-V622-W622-X622)</f>
        <v/>
      </c>
    </row>
    <row r="623">
      <c r="A623" s="19" t="n"/>
      <c r="B623" s="19" t="n"/>
      <c r="C623" s="19" t="n"/>
      <c r="D623" s="19" t="n"/>
      <c r="E623" s="19" t="n"/>
      <c r="F623" s="20" t="n"/>
      <c r="G623" s="20" t="n"/>
      <c r="H623" s="20" t="n"/>
      <c r="I623" s="19" t="n"/>
      <c r="J623">
        <f>IFERROR(IF(C623="","",C623)&amp;"","")</f>
        <v/>
      </c>
      <c r="K623">
        <f>IFERROR(IF(D623="","",D623)&amp;"","")</f>
        <v/>
      </c>
      <c r="L623">
        <f>IFERROR(IF(I623="","",I623)&amp;"","")</f>
        <v/>
      </c>
      <c r="M623">
        <f>IF(J623="","",IFERROR(VALUE(SUBSTITUTE(SUBSTITUTE(IF(E623="","",E623)&amp;"","$",""),",","")),0))</f>
        <v/>
      </c>
      <c r="N623" s="11">
        <f>IF(J623="","",IFERROR(VALUE(SUBSTITUTE(SUBSTITUTE(IF(F623="","",F623)&amp;"","$",""),",","")),0))</f>
        <v/>
      </c>
      <c r="O623" s="11">
        <f>IF(J623="","",M623*N623)</f>
        <v/>
      </c>
      <c r="P623">
        <f>IF(J623="","",IF(L623="",1,COUNTIF($L$2:$L$1501,L623)))</f>
        <v/>
      </c>
      <c r="Q623" s="11">
        <f>IF(J623="","",IFERROR(VALUE(SUBSTITUTE(SUBSTITUTE(IF(G623="","",G623)&amp;"","$",""),",","")),0)/IF("No"="Yes",P623,1))</f>
        <v/>
      </c>
      <c r="R623" s="11">
        <f>IF(J623="","",IFERROR(VALUE(SUBSTITUTE(SUBSTITUTE(IF(H623="","",H623)&amp;"","$",""),",","")),0)/IF("No"="Yes",P623,1))</f>
        <v/>
      </c>
      <c r="S623" s="11">
        <f>IF(J623="","",O623+Q623-R623)</f>
        <v/>
      </c>
      <c r="T623">
        <f>IF(J623="","",IFERROR(IF(K623="",NA(),MATCH(K623,Products!$B$5:$B$204,0)),IFERROR(MATCH(J623,Products!$A$5:$A$204,0),"")))</f>
        <v/>
      </c>
      <c r="U623">
        <f>IF(J623="","",IF(T623="","⚠ not in Products",INDEX(Products!$A$5:$A$204,T623)))</f>
        <v/>
      </c>
      <c r="V623" s="11">
        <f>IF(J623="","",S623*(IFERROR(INDEX(Settings!$B$5:$B$9,MATCH($B623,Settings!$A$5:$A$9,0)),0)+IFERROR(INDEX(Settings!$E$5:$E$9,MATCH($B623,Settings!$A$5:$A$9,0)),0)+IFERROR(INDEX(Settings!$G$5:$G$9,MATCH($B623,Settings!$A$5:$A$9,0)),0))+(IFERROR(INDEX(Settings!$C$5:$C$9,MATCH($B623,Settings!$A$5:$A$9,0)),0)+IFERROR(INDEX(Settings!$F$5:$F$9,MATCH($B623,Settings!$A$5:$A$9,0)),0))/P623+IFERROR(INDEX(Settings!$D$5:$D$9,MATCH($B623,Settings!$A$5:$A$9,0)),0)*M623)</f>
        <v/>
      </c>
      <c r="W623" s="11">
        <f>IF(J623="","",IF(T623="",0,M623*INDEX(Products!$I$5:$I$204,T623)))</f>
        <v/>
      </c>
      <c r="X623" s="11">
        <f>IF(J623="","",IF(T623="",0,S623*INDEX(Products!$H$5:$H$204,T623)))</f>
        <v/>
      </c>
      <c r="Y623" s="11">
        <f>IF(J623="","",S623-V623-W623-X623)</f>
        <v/>
      </c>
    </row>
    <row r="624">
      <c r="A624" s="19" t="n"/>
      <c r="B624" s="19" t="n"/>
      <c r="C624" s="19" t="n"/>
      <c r="D624" s="19" t="n"/>
      <c r="E624" s="19" t="n"/>
      <c r="F624" s="20" t="n"/>
      <c r="G624" s="20" t="n"/>
      <c r="H624" s="20" t="n"/>
      <c r="I624" s="19" t="n"/>
      <c r="J624">
        <f>IFERROR(IF(C624="","",C624)&amp;"","")</f>
        <v/>
      </c>
      <c r="K624">
        <f>IFERROR(IF(D624="","",D624)&amp;"","")</f>
        <v/>
      </c>
      <c r="L624">
        <f>IFERROR(IF(I624="","",I624)&amp;"","")</f>
        <v/>
      </c>
      <c r="M624">
        <f>IF(J624="","",IFERROR(VALUE(SUBSTITUTE(SUBSTITUTE(IF(E624="","",E624)&amp;"","$",""),",","")),0))</f>
        <v/>
      </c>
      <c r="N624" s="11">
        <f>IF(J624="","",IFERROR(VALUE(SUBSTITUTE(SUBSTITUTE(IF(F624="","",F624)&amp;"","$",""),",","")),0))</f>
        <v/>
      </c>
      <c r="O624" s="11">
        <f>IF(J624="","",M624*N624)</f>
        <v/>
      </c>
      <c r="P624">
        <f>IF(J624="","",IF(L624="",1,COUNTIF($L$2:$L$1501,L624)))</f>
        <v/>
      </c>
      <c r="Q624" s="11">
        <f>IF(J624="","",IFERROR(VALUE(SUBSTITUTE(SUBSTITUTE(IF(G624="","",G624)&amp;"","$",""),",","")),0)/IF("No"="Yes",P624,1))</f>
        <v/>
      </c>
      <c r="R624" s="11">
        <f>IF(J624="","",IFERROR(VALUE(SUBSTITUTE(SUBSTITUTE(IF(H624="","",H624)&amp;"","$",""),",","")),0)/IF("No"="Yes",P624,1))</f>
        <v/>
      </c>
      <c r="S624" s="11">
        <f>IF(J624="","",O624+Q624-R624)</f>
        <v/>
      </c>
      <c r="T624">
        <f>IF(J624="","",IFERROR(IF(K624="",NA(),MATCH(K624,Products!$B$5:$B$204,0)),IFERROR(MATCH(J624,Products!$A$5:$A$204,0),"")))</f>
        <v/>
      </c>
      <c r="U624">
        <f>IF(J624="","",IF(T624="","⚠ not in Products",INDEX(Products!$A$5:$A$204,T624)))</f>
        <v/>
      </c>
      <c r="V624" s="11">
        <f>IF(J624="","",S624*(IFERROR(INDEX(Settings!$B$5:$B$9,MATCH($B624,Settings!$A$5:$A$9,0)),0)+IFERROR(INDEX(Settings!$E$5:$E$9,MATCH($B624,Settings!$A$5:$A$9,0)),0)+IFERROR(INDEX(Settings!$G$5:$G$9,MATCH($B624,Settings!$A$5:$A$9,0)),0))+(IFERROR(INDEX(Settings!$C$5:$C$9,MATCH($B624,Settings!$A$5:$A$9,0)),0)+IFERROR(INDEX(Settings!$F$5:$F$9,MATCH($B624,Settings!$A$5:$A$9,0)),0))/P624+IFERROR(INDEX(Settings!$D$5:$D$9,MATCH($B624,Settings!$A$5:$A$9,0)),0)*M624)</f>
        <v/>
      </c>
      <c r="W624" s="11">
        <f>IF(J624="","",IF(T624="",0,M624*INDEX(Products!$I$5:$I$204,T624)))</f>
        <v/>
      </c>
      <c r="X624" s="11">
        <f>IF(J624="","",IF(T624="",0,S624*INDEX(Products!$H$5:$H$204,T624)))</f>
        <v/>
      </c>
      <c r="Y624" s="11">
        <f>IF(J624="","",S624-V624-W624-X624)</f>
        <v/>
      </c>
    </row>
    <row r="625">
      <c r="A625" s="19" t="n"/>
      <c r="B625" s="19" t="n"/>
      <c r="C625" s="19" t="n"/>
      <c r="D625" s="19" t="n"/>
      <c r="E625" s="19" t="n"/>
      <c r="F625" s="20" t="n"/>
      <c r="G625" s="20" t="n"/>
      <c r="H625" s="20" t="n"/>
      <c r="I625" s="19" t="n"/>
      <c r="J625">
        <f>IFERROR(IF(C625="","",C625)&amp;"","")</f>
        <v/>
      </c>
      <c r="K625">
        <f>IFERROR(IF(D625="","",D625)&amp;"","")</f>
        <v/>
      </c>
      <c r="L625">
        <f>IFERROR(IF(I625="","",I625)&amp;"","")</f>
        <v/>
      </c>
      <c r="M625">
        <f>IF(J625="","",IFERROR(VALUE(SUBSTITUTE(SUBSTITUTE(IF(E625="","",E625)&amp;"","$",""),",","")),0))</f>
        <v/>
      </c>
      <c r="N625" s="11">
        <f>IF(J625="","",IFERROR(VALUE(SUBSTITUTE(SUBSTITUTE(IF(F625="","",F625)&amp;"","$",""),",","")),0))</f>
        <v/>
      </c>
      <c r="O625" s="11">
        <f>IF(J625="","",M625*N625)</f>
        <v/>
      </c>
      <c r="P625">
        <f>IF(J625="","",IF(L625="",1,COUNTIF($L$2:$L$1501,L625)))</f>
        <v/>
      </c>
      <c r="Q625" s="11">
        <f>IF(J625="","",IFERROR(VALUE(SUBSTITUTE(SUBSTITUTE(IF(G625="","",G625)&amp;"","$",""),",","")),0)/IF("No"="Yes",P625,1))</f>
        <v/>
      </c>
      <c r="R625" s="11">
        <f>IF(J625="","",IFERROR(VALUE(SUBSTITUTE(SUBSTITUTE(IF(H625="","",H625)&amp;"","$",""),",","")),0)/IF("No"="Yes",P625,1))</f>
        <v/>
      </c>
      <c r="S625" s="11">
        <f>IF(J625="","",O625+Q625-R625)</f>
        <v/>
      </c>
      <c r="T625">
        <f>IF(J625="","",IFERROR(IF(K625="",NA(),MATCH(K625,Products!$B$5:$B$204,0)),IFERROR(MATCH(J625,Products!$A$5:$A$204,0),"")))</f>
        <v/>
      </c>
      <c r="U625">
        <f>IF(J625="","",IF(T625="","⚠ not in Products",INDEX(Products!$A$5:$A$204,T625)))</f>
        <v/>
      </c>
      <c r="V625" s="11">
        <f>IF(J625="","",S625*(IFERROR(INDEX(Settings!$B$5:$B$9,MATCH($B625,Settings!$A$5:$A$9,0)),0)+IFERROR(INDEX(Settings!$E$5:$E$9,MATCH($B625,Settings!$A$5:$A$9,0)),0)+IFERROR(INDEX(Settings!$G$5:$G$9,MATCH($B625,Settings!$A$5:$A$9,0)),0))+(IFERROR(INDEX(Settings!$C$5:$C$9,MATCH($B625,Settings!$A$5:$A$9,0)),0)+IFERROR(INDEX(Settings!$F$5:$F$9,MATCH($B625,Settings!$A$5:$A$9,0)),0))/P625+IFERROR(INDEX(Settings!$D$5:$D$9,MATCH($B625,Settings!$A$5:$A$9,0)),0)*M625)</f>
        <v/>
      </c>
      <c r="W625" s="11">
        <f>IF(J625="","",IF(T625="",0,M625*INDEX(Products!$I$5:$I$204,T625)))</f>
        <v/>
      </c>
      <c r="X625" s="11">
        <f>IF(J625="","",IF(T625="",0,S625*INDEX(Products!$H$5:$H$204,T625)))</f>
        <v/>
      </c>
      <c r="Y625" s="11">
        <f>IF(J625="","",S625-V625-W625-X625)</f>
        <v/>
      </c>
    </row>
    <row r="626">
      <c r="A626" s="19" t="n"/>
      <c r="B626" s="19" t="n"/>
      <c r="C626" s="19" t="n"/>
      <c r="D626" s="19" t="n"/>
      <c r="E626" s="19" t="n"/>
      <c r="F626" s="20" t="n"/>
      <c r="G626" s="20" t="n"/>
      <c r="H626" s="20" t="n"/>
      <c r="I626" s="19" t="n"/>
      <c r="J626">
        <f>IFERROR(IF(C626="","",C626)&amp;"","")</f>
        <v/>
      </c>
      <c r="K626">
        <f>IFERROR(IF(D626="","",D626)&amp;"","")</f>
        <v/>
      </c>
      <c r="L626">
        <f>IFERROR(IF(I626="","",I626)&amp;"","")</f>
        <v/>
      </c>
      <c r="M626">
        <f>IF(J626="","",IFERROR(VALUE(SUBSTITUTE(SUBSTITUTE(IF(E626="","",E626)&amp;"","$",""),",","")),0))</f>
        <v/>
      </c>
      <c r="N626" s="11">
        <f>IF(J626="","",IFERROR(VALUE(SUBSTITUTE(SUBSTITUTE(IF(F626="","",F626)&amp;"","$",""),",","")),0))</f>
        <v/>
      </c>
      <c r="O626" s="11">
        <f>IF(J626="","",M626*N626)</f>
        <v/>
      </c>
      <c r="P626">
        <f>IF(J626="","",IF(L626="",1,COUNTIF($L$2:$L$1501,L626)))</f>
        <v/>
      </c>
      <c r="Q626" s="11">
        <f>IF(J626="","",IFERROR(VALUE(SUBSTITUTE(SUBSTITUTE(IF(G626="","",G626)&amp;"","$",""),",","")),0)/IF("No"="Yes",P626,1))</f>
        <v/>
      </c>
      <c r="R626" s="11">
        <f>IF(J626="","",IFERROR(VALUE(SUBSTITUTE(SUBSTITUTE(IF(H626="","",H626)&amp;"","$",""),",","")),0)/IF("No"="Yes",P626,1))</f>
        <v/>
      </c>
      <c r="S626" s="11">
        <f>IF(J626="","",O626+Q626-R626)</f>
        <v/>
      </c>
      <c r="T626">
        <f>IF(J626="","",IFERROR(IF(K626="",NA(),MATCH(K626,Products!$B$5:$B$204,0)),IFERROR(MATCH(J626,Products!$A$5:$A$204,0),"")))</f>
        <v/>
      </c>
      <c r="U626">
        <f>IF(J626="","",IF(T626="","⚠ not in Products",INDEX(Products!$A$5:$A$204,T626)))</f>
        <v/>
      </c>
      <c r="V626" s="11">
        <f>IF(J626="","",S626*(IFERROR(INDEX(Settings!$B$5:$B$9,MATCH($B626,Settings!$A$5:$A$9,0)),0)+IFERROR(INDEX(Settings!$E$5:$E$9,MATCH($B626,Settings!$A$5:$A$9,0)),0)+IFERROR(INDEX(Settings!$G$5:$G$9,MATCH($B626,Settings!$A$5:$A$9,0)),0))+(IFERROR(INDEX(Settings!$C$5:$C$9,MATCH($B626,Settings!$A$5:$A$9,0)),0)+IFERROR(INDEX(Settings!$F$5:$F$9,MATCH($B626,Settings!$A$5:$A$9,0)),0))/P626+IFERROR(INDEX(Settings!$D$5:$D$9,MATCH($B626,Settings!$A$5:$A$9,0)),0)*M626)</f>
        <v/>
      </c>
      <c r="W626" s="11">
        <f>IF(J626="","",IF(T626="",0,M626*INDEX(Products!$I$5:$I$204,T626)))</f>
        <v/>
      </c>
      <c r="X626" s="11">
        <f>IF(J626="","",IF(T626="",0,S626*INDEX(Products!$H$5:$H$204,T626)))</f>
        <v/>
      </c>
      <c r="Y626" s="11">
        <f>IF(J626="","",S626-V626-W626-X626)</f>
        <v/>
      </c>
    </row>
    <row r="627">
      <c r="A627" s="19" t="n"/>
      <c r="B627" s="19" t="n"/>
      <c r="C627" s="19" t="n"/>
      <c r="D627" s="19" t="n"/>
      <c r="E627" s="19" t="n"/>
      <c r="F627" s="20" t="n"/>
      <c r="G627" s="20" t="n"/>
      <c r="H627" s="20" t="n"/>
      <c r="I627" s="19" t="n"/>
      <c r="J627">
        <f>IFERROR(IF(C627="","",C627)&amp;"","")</f>
        <v/>
      </c>
      <c r="K627">
        <f>IFERROR(IF(D627="","",D627)&amp;"","")</f>
        <v/>
      </c>
      <c r="L627">
        <f>IFERROR(IF(I627="","",I627)&amp;"","")</f>
        <v/>
      </c>
      <c r="M627">
        <f>IF(J627="","",IFERROR(VALUE(SUBSTITUTE(SUBSTITUTE(IF(E627="","",E627)&amp;"","$",""),",","")),0))</f>
        <v/>
      </c>
      <c r="N627" s="11">
        <f>IF(J627="","",IFERROR(VALUE(SUBSTITUTE(SUBSTITUTE(IF(F627="","",F627)&amp;"","$",""),",","")),0))</f>
        <v/>
      </c>
      <c r="O627" s="11">
        <f>IF(J627="","",M627*N627)</f>
        <v/>
      </c>
      <c r="P627">
        <f>IF(J627="","",IF(L627="",1,COUNTIF($L$2:$L$1501,L627)))</f>
        <v/>
      </c>
      <c r="Q627" s="11">
        <f>IF(J627="","",IFERROR(VALUE(SUBSTITUTE(SUBSTITUTE(IF(G627="","",G627)&amp;"","$",""),",","")),0)/IF("No"="Yes",P627,1))</f>
        <v/>
      </c>
      <c r="R627" s="11">
        <f>IF(J627="","",IFERROR(VALUE(SUBSTITUTE(SUBSTITUTE(IF(H627="","",H627)&amp;"","$",""),",","")),0)/IF("No"="Yes",P627,1))</f>
        <v/>
      </c>
      <c r="S627" s="11">
        <f>IF(J627="","",O627+Q627-R627)</f>
        <v/>
      </c>
      <c r="T627">
        <f>IF(J627="","",IFERROR(IF(K627="",NA(),MATCH(K627,Products!$B$5:$B$204,0)),IFERROR(MATCH(J627,Products!$A$5:$A$204,0),"")))</f>
        <v/>
      </c>
      <c r="U627">
        <f>IF(J627="","",IF(T627="","⚠ not in Products",INDEX(Products!$A$5:$A$204,T627)))</f>
        <v/>
      </c>
      <c r="V627" s="11">
        <f>IF(J627="","",S627*(IFERROR(INDEX(Settings!$B$5:$B$9,MATCH($B627,Settings!$A$5:$A$9,0)),0)+IFERROR(INDEX(Settings!$E$5:$E$9,MATCH($B627,Settings!$A$5:$A$9,0)),0)+IFERROR(INDEX(Settings!$G$5:$G$9,MATCH($B627,Settings!$A$5:$A$9,0)),0))+(IFERROR(INDEX(Settings!$C$5:$C$9,MATCH($B627,Settings!$A$5:$A$9,0)),0)+IFERROR(INDEX(Settings!$F$5:$F$9,MATCH($B627,Settings!$A$5:$A$9,0)),0))/P627+IFERROR(INDEX(Settings!$D$5:$D$9,MATCH($B627,Settings!$A$5:$A$9,0)),0)*M627)</f>
        <v/>
      </c>
      <c r="W627" s="11">
        <f>IF(J627="","",IF(T627="",0,M627*INDEX(Products!$I$5:$I$204,T627)))</f>
        <v/>
      </c>
      <c r="X627" s="11">
        <f>IF(J627="","",IF(T627="",0,S627*INDEX(Products!$H$5:$H$204,T627)))</f>
        <v/>
      </c>
      <c r="Y627" s="11">
        <f>IF(J627="","",S627-V627-W627-X627)</f>
        <v/>
      </c>
    </row>
    <row r="628">
      <c r="A628" s="19" t="n"/>
      <c r="B628" s="19" t="n"/>
      <c r="C628" s="19" t="n"/>
      <c r="D628" s="19" t="n"/>
      <c r="E628" s="19" t="n"/>
      <c r="F628" s="20" t="n"/>
      <c r="G628" s="20" t="n"/>
      <c r="H628" s="20" t="n"/>
      <c r="I628" s="19" t="n"/>
      <c r="J628">
        <f>IFERROR(IF(C628="","",C628)&amp;"","")</f>
        <v/>
      </c>
      <c r="K628">
        <f>IFERROR(IF(D628="","",D628)&amp;"","")</f>
        <v/>
      </c>
      <c r="L628">
        <f>IFERROR(IF(I628="","",I628)&amp;"","")</f>
        <v/>
      </c>
      <c r="M628">
        <f>IF(J628="","",IFERROR(VALUE(SUBSTITUTE(SUBSTITUTE(IF(E628="","",E628)&amp;"","$",""),",","")),0))</f>
        <v/>
      </c>
      <c r="N628" s="11">
        <f>IF(J628="","",IFERROR(VALUE(SUBSTITUTE(SUBSTITUTE(IF(F628="","",F628)&amp;"","$",""),",","")),0))</f>
        <v/>
      </c>
      <c r="O628" s="11">
        <f>IF(J628="","",M628*N628)</f>
        <v/>
      </c>
      <c r="P628">
        <f>IF(J628="","",IF(L628="",1,COUNTIF($L$2:$L$1501,L628)))</f>
        <v/>
      </c>
      <c r="Q628" s="11">
        <f>IF(J628="","",IFERROR(VALUE(SUBSTITUTE(SUBSTITUTE(IF(G628="","",G628)&amp;"","$",""),",","")),0)/IF("No"="Yes",P628,1))</f>
        <v/>
      </c>
      <c r="R628" s="11">
        <f>IF(J628="","",IFERROR(VALUE(SUBSTITUTE(SUBSTITUTE(IF(H628="","",H628)&amp;"","$",""),",","")),0)/IF("No"="Yes",P628,1))</f>
        <v/>
      </c>
      <c r="S628" s="11">
        <f>IF(J628="","",O628+Q628-R628)</f>
        <v/>
      </c>
      <c r="T628">
        <f>IF(J628="","",IFERROR(IF(K628="",NA(),MATCH(K628,Products!$B$5:$B$204,0)),IFERROR(MATCH(J628,Products!$A$5:$A$204,0),"")))</f>
        <v/>
      </c>
      <c r="U628">
        <f>IF(J628="","",IF(T628="","⚠ not in Products",INDEX(Products!$A$5:$A$204,T628)))</f>
        <v/>
      </c>
      <c r="V628" s="11">
        <f>IF(J628="","",S628*(IFERROR(INDEX(Settings!$B$5:$B$9,MATCH($B628,Settings!$A$5:$A$9,0)),0)+IFERROR(INDEX(Settings!$E$5:$E$9,MATCH($B628,Settings!$A$5:$A$9,0)),0)+IFERROR(INDEX(Settings!$G$5:$G$9,MATCH($B628,Settings!$A$5:$A$9,0)),0))+(IFERROR(INDEX(Settings!$C$5:$C$9,MATCH($B628,Settings!$A$5:$A$9,0)),0)+IFERROR(INDEX(Settings!$F$5:$F$9,MATCH($B628,Settings!$A$5:$A$9,0)),0))/P628+IFERROR(INDEX(Settings!$D$5:$D$9,MATCH($B628,Settings!$A$5:$A$9,0)),0)*M628)</f>
        <v/>
      </c>
      <c r="W628" s="11">
        <f>IF(J628="","",IF(T628="",0,M628*INDEX(Products!$I$5:$I$204,T628)))</f>
        <v/>
      </c>
      <c r="X628" s="11">
        <f>IF(J628="","",IF(T628="",0,S628*INDEX(Products!$H$5:$H$204,T628)))</f>
        <v/>
      </c>
      <c r="Y628" s="11">
        <f>IF(J628="","",S628-V628-W628-X628)</f>
        <v/>
      </c>
    </row>
    <row r="629">
      <c r="A629" s="19" t="n"/>
      <c r="B629" s="19" t="n"/>
      <c r="C629" s="19" t="n"/>
      <c r="D629" s="19" t="n"/>
      <c r="E629" s="19" t="n"/>
      <c r="F629" s="20" t="n"/>
      <c r="G629" s="20" t="n"/>
      <c r="H629" s="20" t="n"/>
      <c r="I629" s="19" t="n"/>
      <c r="J629">
        <f>IFERROR(IF(C629="","",C629)&amp;"","")</f>
        <v/>
      </c>
      <c r="K629">
        <f>IFERROR(IF(D629="","",D629)&amp;"","")</f>
        <v/>
      </c>
      <c r="L629">
        <f>IFERROR(IF(I629="","",I629)&amp;"","")</f>
        <v/>
      </c>
      <c r="M629">
        <f>IF(J629="","",IFERROR(VALUE(SUBSTITUTE(SUBSTITUTE(IF(E629="","",E629)&amp;"","$",""),",","")),0))</f>
        <v/>
      </c>
      <c r="N629" s="11">
        <f>IF(J629="","",IFERROR(VALUE(SUBSTITUTE(SUBSTITUTE(IF(F629="","",F629)&amp;"","$",""),",","")),0))</f>
        <v/>
      </c>
      <c r="O629" s="11">
        <f>IF(J629="","",M629*N629)</f>
        <v/>
      </c>
      <c r="P629">
        <f>IF(J629="","",IF(L629="",1,COUNTIF($L$2:$L$1501,L629)))</f>
        <v/>
      </c>
      <c r="Q629" s="11">
        <f>IF(J629="","",IFERROR(VALUE(SUBSTITUTE(SUBSTITUTE(IF(G629="","",G629)&amp;"","$",""),",","")),0)/IF("No"="Yes",P629,1))</f>
        <v/>
      </c>
      <c r="R629" s="11">
        <f>IF(J629="","",IFERROR(VALUE(SUBSTITUTE(SUBSTITUTE(IF(H629="","",H629)&amp;"","$",""),",","")),0)/IF("No"="Yes",P629,1))</f>
        <v/>
      </c>
      <c r="S629" s="11">
        <f>IF(J629="","",O629+Q629-R629)</f>
        <v/>
      </c>
      <c r="T629">
        <f>IF(J629="","",IFERROR(IF(K629="",NA(),MATCH(K629,Products!$B$5:$B$204,0)),IFERROR(MATCH(J629,Products!$A$5:$A$204,0),"")))</f>
        <v/>
      </c>
      <c r="U629">
        <f>IF(J629="","",IF(T629="","⚠ not in Products",INDEX(Products!$A$5:$A$204,T629)))</f>
        <v/>
      </c>
      <c r="V629" s="11">
        <f>IF(J629="","",S629*(IFERROR(INDEX(Settings!$B$5:$B$9,MATCH($B629,Settings!$A$5:$A$9,0)),0)+IFERROR(INDEX(Settings!$E$5:$E$9,MATCH($B629,Settings!$A$5:$A$9,0)),0)+IFERROR(INDEX(Settings!$G$5:$G$9,MATCH($B629,Settings!$A$5:$A$9,0)),0))+(IFERROR(INDEX(Settings!$C$5:$C$9,MATCH($B629,Settings!$A$5:$A$9,0)),0)+IFERROR(INDEX(Settings!$F$5:$F$9,MATCH($B629,Settings!$A$5:$A$9,0)),0))/P629+IFERROR(INDEX(Settings!$D$5:$D$9,MATCH($B629,Settings!$A$5:$A$9,0)),0)*M629)</f>
        <v/>
      </c>
      <c r="W629" s="11">
        <f>IF(J629="","",IF(T629="",0,M629*INDEX(Products!$I$5:$I$204,T629)))</f>
        <v/>
      </c>
      <c r="X629" s="11">
        <f>IF(J629="","",IF(T629="",0,S629*INDEX(Products!$H$5:$H$204,T629)))</f>
        <v/>
      </c>
      <c r="Y629" s="11">
        <f>IF(J629="","",S629-V629-W629-X629)</f>
        <v/>
      </c>
    </row>
    <row r="630">
      <c r="A630" s="19" t="n"/>
      <c r="B630" s="19" t="n"/>
      <c r="C630" s="19" t="n"/>
      <c r="D630" s="19" t="n"/>
      <c r="E630" s="19" t="n"/>
      <c r="F630" s="20" t="n"/>
      <c r="G630" s="20" t="n"/>
      <c r="H630" s="20" t="n"/>
      <c r="I630" s="19" t="n"/>
      <c r="J630">
        <f>IFERROR(IF(C630="","",C630)&amp;"","")</f>
        <v/>
      </c>
      <c r="K630">
        <f>IFERROR(IF(D630="","",D630)&amp;"","")</f>
        <v/>
      </c>
      <c r="L630">
        <f>IFERROR(IF(I630="","",I630)&amp;"","")</f>
        <v/>
      </c>
      <c r="M630">
        <f>IF(J630="","",IFERROR(VALUE(SUBSTITUTE(SUBSTITUTE(IF(E630="","",E630)&amp;"","$",""),",","")),0))</f>
        <v/>
      </c>
      <c r="N630" s="11">
        <f>IF(J630="","",IFERROR(VALUE(SUBSTITUTE(SUBSTITUTE(IF(F630="","",F630)&amp;"","$",""),",","")),0))</f>
        <v/>
      </c>
      <c r="O630" s="11">
        <f>IF(J630="","",M630*N630)</f>
        <v/>
      </c>
      <c r="P630">
        <f>IF(J630="","",IF(L630="",1,COUNTIF($L$2:$L$1501,L630)))</f>
        <v/>
      </c>
      <c r="Q630" s="11">
        <f>IF(J630="","",IFERROR(VALUE(SUBSTITUTE(SUBSTITUTE(IF(G630="","",G630)&amp;"","$",""),",","")),0)/IF("No"="Yes",P630,1))</f>
        <v/>
      </c>
      <c r="R630" s="11">
        <f>IF(J630="","",IFERROR(VALUE(SUBSTITUTE(SUBSTITUTE(IF(H630="","",H630)&amp;"","$",""),",","")),0)/IF("No"="Yes",P630,1))</f>
        <v/>
      </c>
      <c r="S630" s="11">
        <f>IF(J630="","",O630+Q630-R630)</f>
        <v/>
      </c>
      <c r="T630">
        <f>IF(J630="","",IFERROR(IF(K630="",NA(),MATCH(K630,Products!$B$5:$B$204,0)),IFERROR(MATCH(J630,Products!$A$5:$A$204,0),"")))</f>
        <v/>
      </c>
      <c r="U630">
        <f>IF(J630="","",IF(T630="","⚠ not in Products",INDEX(Products!$A$5:$A$204,T630)))</f>
        <v/>
      </c>
      <c r="V630" s="11">
        <f>IF(J630="","",S630*(IFERROR(INDEX(Settings!$B$5:$B$9,MATCH($B630,Settings!$A$5:$A$9,0)),0)+IFERROR(INDEX(Settings!$E$5:$E$9,MATCH($B630,Settings!$A$5:$A$9,0)),0)+IFERROR(INDEX(Settings!$G$5:$G$9,MATCH($B630,Settings!$A$5:$A$9,0)),0))+(IFERROR(INDEX(Settings!$C$5:$C$9,MATCH($B630,Settings!$A$5:$A$9,0)),0)+IFERROR(INDEX(Settings!$F$5:$F$9,MATCH($B630,Settings!$A$5:$A$9,0)),0))/P630+IFERROR(INDEX(Settings!$D$5:$D$9,MATCH($B630,Settings!$A$5:$A$9,0)),0)*M630)</f>
        <v/>
      </c>
      <c r="W630" s="11">
        <f>IF(J630="","",IF(T630="",0,M630*INDEX(Products!$I$5:$I$204,T630)))</f>
        <v/>
      </c>
      <c r="X630" s="11">
        <f>IF(J630="","",IF(T630="",0,S630*INDEX(Products!$H$5:$H$204,T630)))</f>
        <v/>
      </c>
      <c r="Y630" s="11">
        <f>IF(J630="","",S630-V630-W630-X630)</f>
        <v/>
      </c>
    </row>
    <row r="631">
      <c r="A631" s="19" t="n"/>
      <c r="B631" s="19" t="n"/>
      <c r="C631" s="19" t="n"/>
      <c r="D631" s="19" t="n"/>
      <c r="E631" s="19" t="n"/>
      <c r="F631" s="20" t="n"/>
      <c r="G631" s="20" t="n"/>
      <c r="H631" s="20" t="n"/>
      <c r="I631" s="19" t="n"/>
      <c r="J631">
        <f>IFERROR(IF(C631="","",C631)&amp;"","")</f>
        <v/>
      </c>
      <c r="K631">
        <f>IFERROR(IF(D631="","",D631)&amp;"","")</f>
        <v/>
      </c>
      <c r="L631">
        <f>IFERROR(IF(I631="","",I631)&amp;"","")</f>
        <v/>
      </c>
      <c r="M631">
        <f>IF(J631="","",IFERROR(VALUE(SUBSTITUTE(SUBSTITUTE(IF(E631="","",E631)&amp;"","$",""),",","")),0))</f>
        <v/>
      </c>
      <c r="N631" s="11">
        <f>IF(J631="","",IFERROR(VALUE(SUBSTITUTE(SUBSTITUTE(IF(F631="","",F631)&amp;"","$",""),",","")),0))</f>
        <v/>
      </c>
      <c r="O631" s="11">
        <f>IF(J631="","",M631*N631)</f>
        <v/>
      </c>
      <c r="P631">
        <f>IF(J631="","",IF(L631="",1,COUNTIF($L$2:$L$1501,L631)))</f>
        <v/>
      </c>
      <c r="Q631" s="11">
        <f>IF(J631="","",IFERROR(VALUE(SUBSTITUTE(SUBSTITUTE(IF(G631="","",G631)&amp;"","$",""),",","")),0)/IF("No"="Yes",P631,1))</f>
        <v/>
      </c>
      <c r="R631" s="11">
        <f>IF(J631="","",IFERROR(VALUE(SUBSTITUTE(SUBSTITUTE(IF(H631="","",H631)&amp;"","$",""),",","")),0)/IF("No"="Yes",P631,1))</f>
        <v/>
      </c>
      <c r="S631" s="11">
        <f>IF(J631="","",O631+Q631-R631)</f>
        <v/>
      </c>
      <c r="T631">
        <f>IF(J631="","",IFERROR(IF(K631="",NA(),MATCH(K631,Products!$B$5:$B$204,0)),IFERROR(MATCH(J631,Products!$A$5:$A$204,0),"")))</f>
        <v/>
      </c>
      <c r="U631">
        <f>IF(J631="","",IF(T631="","⚠ not in Products",INDEX(Products!$A$5:$A$204,T631)))</f>
        <v/>
      </c>
      <c r="V631" s="11">
        <f>IF(J631="","",S631*(IFERROR(INDEX(Settings!$B$5:$B$9,MATCH($B631,Settings!$A$5:$A$9,0)),0)+IFERROR(INDEX(Settings!$E$5:$E$9,MATCH($B631,Settings!$A$5:$A$9,0)),0)+IFERROR(INDEX(Settings!$G$5:$G$9,MATCH($B631,Settings!$A$5:$A$9,0)),0))+(IFERROR(INDEX(Settings!$C$5:$C$9,MATCH($B631,Settings!$A$5:$A$9,0)),0)+IFERROR(INDEX(Settings!$F$5:$F$9,MATCH($B631,Settings!$A$5:$A$9,0)),0))/P631+IFERROR(INDEX(Settings!$D$5:$D$9,MATCH($B631,Settings!$A$5:$A$9,0)),0)*M631)</f>
        <v/>
      </c>
      <c r="W631" s="11">
        <f>IF(J631="","",IF(T631="",0,M631*INDEX(Products!$I$5:$I$204,T631)))</f>
        <v/>
      </c>
      <c r="X631" s="11">
        <f>IF(J631="","",IF(T631="",0,S631*INDEX(Products!$H$5:$H$204,T631)))</f>
        <v/>
      </c>
      <c r="Y631" s="11">
        <f>IF(J631="","",S631-V631-W631-X631)</f>
        <v/>
      </c>
    </row>
    <row r="632">
      <c r="A632" s="19" t="n"/>
      <c r="B632" s="19" t="n"/>
      <c r="C632" s="19" t="n"/>
      <c r="D632" s="19" t="n"/>
      <c r="E632" s="19" t="n"/>
      <c r="F632" s="20" t="n"/>
      <c r="G632" s="20" t="n"/>
      <c r="H632" s="20" t="n"/>
      <c r="I632" s="19" t="n"/>
      <c r="J632">
        <f>IFERROR(IF(C632="","",C632)&amp;"","")</f>
        <v/>
      </c>
      <c r="K632">
        <f>IFERROR(IF(D632="","",D632)&amp;"","")</f>
        <v/>
      </c>
      <c r="L632">
        <f>IFERROR(IF(I632="","",I632)&amp;"","")</f>
        <v/>
      </c>
      <c r="M632">
        <f>IF(J632="","",IFERROR(VALUE(SUBSTITUTE(SUBSTITUTE(IF(E632="","",E632)&amp;"","$",""),",","")),0))</f>
        <v/>
      </c>
      <c r="N632" s="11">
        <f>IF(J632="","",IFERROR(VALUE(SUBSTITUTE(SUBSTITUTE(IF(F632="","",F632)&amp;"","$",""),",","")),0))</f>
        <v/>
      </c>
      <c r="O632" s="11">
        <f>IF(J632="","",M632*N632)</f>
        <v/>
      </c>
      <c r="P632">
        <f>IF(J632="","",IF(L632="",1,COUNTIF($L$2:$L$1501,L632)))</f>
        <v/>
      </c>
      <c r="Q632" s="11">
        <f>IF(J632="","",IFERROR(VALUE(SUBSTITUTE(SUBSTITUTE(IF(G632="","",G632)&amp;"","$",""),",","")),0)/IF("No"="Yes",P632,1))</f>
        <v/>
      </c>
      <c r="R632" s="11">
        <f>IF(J632="","",IFERROR(VALUE(SUBSTITUTE(SUBSTITUTE(IF(H632="","",H632)&amp;"","$",""),",","")),0)/IF("No"="Yes",P632,1))</f>
        <v/>
      </c>
      <c r="S632" s="11">
        <f>IF(J632="","",O632+Q632-R632)</f>
        <v/>
      </c>
      <c r="T632">
        <f>IF(J632="","",IFERROR(IF(K632="",NA(),MATCH(K632,Products!$B$5:$B$204,0)),IFERROR(MATCH(J632,Products!$A$5:$A$204,0),"")))</f>
        <v/>
      </c>
      <c r="U632">
        <f>IF(J632="","",IF(T632="","⚠ not in Products",INDEX(Products!$A$5:$A$204,T632)))</f>
        <v/>
      </c>
      <c r="V632" s="11">
        <f>IF(J632="","",S632*(IFERROR(INDEX(Settings!$B$5:$B$9,MATCH($B632,Settings!$A$5:$A$9,0)),0)+IFERROR(INDEX(Settings!$E$5:$E$9,MATCH($B632,Settings!$A$5:$A$9,0)),0)+IFERROR(INDEX(Settings!$G$5:$G$9,MATCH($B632,Settings!$A$5:$A$9,0)),0))+(IFERROR(INDEX(Settings!$C$5:$C$9,MATCH($B632,Settings!$A$5:$A$9,0)),0)+IFERROR(INDEX(Settings!$F$5:$F$9,MATCH($B632,Settings!$A$5:$A$9,0)),0))/P632+IFERROR(INDEX(Settings!$D$5:$D$9,MATCH($B632,Settings!$A$5:$A$9,0)),0)*M632)</f>
        <v/>
      </c>
      <c r="W632" s="11">
        <f>IF(J632="","",IF(T632="",0,M632*INDEX(Products!$I$5:$I$204,T632)))</f>
        <v/>
      </c>
      <c r="X632" s="11">
        <f>IF(J632="","",IF(T632="",0,S632*INDEX(Products!$H$5:$H$204,T632)))</f>
        <v/>
      </c>
      <c r="Y632" s="11">
        <f>IF(J632="","",S632-V632-W632-X632)</f>
        <v/>
      </c>
    </row>
    <row r="633">
      <c r="A633" s="19" t="n"/>
      <c r="B633" s="19" t="n"/>
      <c r="C633" s="19" t="n"/>
      <c r="D633" s="19" t="n"/>
      <c r="E633" s="19" t="n"/>
      <c r="F633" s="20" t="n"/>
      <c r="G633" s="20" t="n"/>
      <c r="H633" s="20" t="n"/>
      <c r="I633" s="19" t="n"/>
      <c r="J633">
        <f>IFERROR(IF(C633="","",C633)&amp;"","")</f>
        <v/>
      </c>
      <c r="K633">
        <f>IFERROR(IF(D633="","",D633)&amp;"","")</f>
        <v/>
      </c>
      <c r="L633">
        <f>IFERROR(IF(I633="","",I633)&amp;"","")</f>
        <v/>
      </c>
      <c r="M633">
        <f>IF(J633="","",IFERROR(VALUE(SUBSTITUTE(SUBSTITUTE(IF(E633="","",E633)&amp;"","$",""),",","")),0))</f>
        <v/>
      </c>
      <c r="N633" s="11">
        <f>IF(J633="","",IFERROR(VALUE(SUBSTITUTE(SUBSTITUTE(IF(F633="","",F633)&amp;"","$",""),",","")),0))</f>
        <v/>
      </c>
      <c r="O633" s="11">
        <f>IF(J633="","",M633*N633)</f>
        <v/>
      </c>
      <c r="P633">
        <f>IF(J633="","",IF(L633="",1,COUNTIF($L$2:$L$1501,L633)))</f>
        <v/>
      </c>
      <c r="Q633" s="11">
        <f>IF(J633="","",IFERROR(VALUE(SUBSTITUTE(SUBSTITUTE(IF(G633="","",G633)&amp;"","$",""),",","")),0)/IF("No"="Yes",P633,1))</f>
        <v/>
      </c>
      <c r="R633" s="11">
        <f>IF(J633="","",IFERROR(VALUE(SUBSTITUTE(SUBSTITUTE(IF(H633="","",H633)&amp;"","$",""),",","")),0)/IF("No"="Yes",P633,1))</f>
        <v/>
      </c>
      <c r="S633" s="11">
        <f>IF(J633="","",O633+Q633-R633)</f>
        <v/>
      </c>
      <c r="T633">
        <f>IF(J633="","",IFERROR(IF(K633="",NA(),MATCH(K633,Products!$B$5:$B$204,0)),IFERROR(MATCH(J633,Products!$A$5:$A$204,0),"")))</f>
        <v/>
      </c>
      <c r="U633">
        <f>IF(J633="","",IF(T633="","⚠ not in Products",INDEX(Products!$A$5:$A$204,T633)))</f>
        <v/>
      </c>
      <c r="V633" s="11">
        <f>IF(J633="","",S633*(IFERROR(INDEX(Settings!$B$5:$B$9,MATCH($B633,Settings!$A$5:$A$9,0)),0)+IFERROR(INDEX(Settings!$E$5:$E$9,MATCH($B633,Settings!$A$5:$A$9,0)),0)+IFERROR(INDEX(Settings!$G$5:$G$9,MATCH($B633,Settings!$A$5:$A$9,0)),0))+(IFERROR(INDEX(Settings!$C$5:$C$9,MATCH($B633,Settings!$A$5:$A$9,0)),0)+IFERROR(INDEX(Settings!$F$5:$F$9,MATCH($B633,Settings!$A$5:$A$9,0)),0))/P633+IFERROR(INDEX(Settings!$D$5:$D$9,MATCH($B633,Settings!$A$5:$A$9,0)),0)*M633)</f>
        <v/>
      </c>
      <c r="W633" s="11">
        <f>IF(J633="","",IF(T633="",0,M633*INDEX(Products!$I$5:$I$204,T633)))</f>
        <v/>
      </c>
      <c r="X633" s="11">
        <f>IF(J633="","",IF(T633="",0,S633*INDEX(Products!$H$5:$H$204,T633)))</f>
        <v/>
      </c>
      <c r="Y633" s="11">
        <f>IF(J633="","",S633-V633-W633-X633)</f>
        <v/>
      </c>
    </row>
    <row r="634">
      <c r="A634" s="19" t="n"/>
      <c r="B634" s="19" t="n"/>
      <c r="C634" s="19" t="n"/>
      <c r="D634" s="19" t="n"/>
      <c r="E634" s="19" t="n"/>
      <c r="F634" s="20" t="n"/>
      <c r="G634" s="20" t="n"/>
      <c r="H634" s="20" t="n"/>
      <c r="I634" s="19" t="n"/>
      <c r="J634">
        <f>IFERROR(IF(C634="","",C634)&amp;"","")</f>
        <v/>
      </c>
      <c r="K634">
        <f>IFERROR(IF(D634="","",D634)&amp;"","")</f>
        <v/>
      </c>
      <c r="L634">
        <f>IFERROR(IF(I634="","",I634)&amp;"","")</f>
        <v/>
      </c>
      <c r="M634">
        <f>IF(J634="","",IFERROR(VALUE(SUBSTITUTE(SUBSTITUTE(IF(E634="","",E634)&amp;"","$",""),",","")),0))</f>
        <v/>
      </c>
      <c r="N634" s="11">
        <f>IF(J634="","",IFERROR(VALUE(SUBSTITUTE(SUBSTITUTE(IF(F634="","",F634)&amp;"","$",""),",","")),0))</f>
        <v/>
      </c>
      <c r="O634" s="11">
        <f>IF(J634="","",M634*N634)</f>
        <v/>
      </c>
      <c r="P634">
        <f>IF(J634="","",IF(L634="",1,COUNTIF($L$2:$L$1501,L634)))</f>
        <v/>
      </c>
      <c r="Q634" s="11">
        <f>IF(J634="","",IFERROR(VALUE(SUBSTITUTE(SUBSTITUTE(IF(G634="","",G634)&amp;"","$",""),",","")),0)/IF("No"="Yes",P634,1))</f>
        <v/>
      </c>
      <c r="R634" s="11">
        <f>IF(J634="","",IFERROR(VALUE(SUBSTITUTE(SUBSTITUTE(IF(H634="","",H634)&amp;"","$",""),",","")),0)/IF("No"="Yes",P634,1))</f>
        <v/>
      </c>
      <c r="S634" s="11">
        <f>IF(J634="","",O634+Q634-R634)</f>
        <v/>
      </c>
      <c r="T634">
        <f>IF(J634="","",IFERROR(IF(K634="",NA(),MATCH(K634,Products!$B$5:$B$204,0)),IFERROR(MATCH(J634,Products!$A$5:$A$204,0),"")))</f>
        <v/>
      </c>
      <c r="U634">
        <f>IF(J634="","",IF(T634="","⚠ not in Products",INDEX(Products!$A$5:$A$204,T634)))</f>
        <v/>
      </c>
      <c r="V634" s="11">
        <f>IF(J634="","",S634*(IFERROR(INDEX(Settings!$B$5:$B$9,MATCH($B634,Settings!$A$5:$A$9,0)),0)+IFERROR(INDEX(Settings!$E$5:$E$9,MATCH($B634,Settings!$A$5:$A$9,0)),0)+IFERROR(INDEX(Settings!$G$5:$G$9,MATCH($B634,Settings!$A$5:$A$9,0)),0))+(IFERROR(INDEX(Settings!$C$5:$C$9,MATCH($B634,Settings!$A$5:$A$9,0)),0)+IFERROR(INDEX(Settings!$F$5:$F$9,MATCH($B634,Settings!$A$5:$A$9,0)),0))/P634+IFERROR(INDEX(Settings!$D$5:$D$9,MATCH($B634,Settings!$A$5:$A$9,0)),0)*M634)</f>
        <v/>
      </c>
      <c r="W634" s="11">
        <f>IF(J634="","",IF(T634="",0,M634*INDEX(Products!$I$5:$I$204,T634)))</f>
        <v/>
      </c>
      <c r="X634" s="11">
        <f>IF(J634="","",IF(T634="",0,S634*INDEX(Products!$H$5:$H$204,T634)))</f>
        <v/>
      </c>
      <c r="Y634" s="11">
        <f>IF(J634="","",S634-V634-W634-X634)</f>
        <v/>
      </c>
    </row>
    <row r="635">
      <c r="A635" s="19" t="n"/>
      <c r="B635" s="19" t="n"/>
      <c r="C635" s="19" t="n"/>
      <c r="D635" s="19" t="n"/>
      <c r="E635" s="19" t="n"/>
      <c r="F635" s="20" t="n"/>
      <c r="G635" s="20" t="n"/>
      <c r="H635" s="20" t="n"/>
      <c r="I635" s="19" t="n"/>
      <c r="J635">
        <f>IFERROR(IF(C635="","",C635)&amp;"","")</f>
        <v/>
      </c>
      <c r="K635">
        <f>IFERROR(IF(D635="","",D635)&amp;"","")</f>
        <v/>
      </c>
      <c r="L635">
        <f>IFERROR(IF(I635="","",I635)&amp;"","")</f>
        <v/>
      </c>
      <c r="M635">
        <f>IF(J635="","",IFERROR(VALUE(SUBSTITUTE(SUBSTITUTE(IF(E635="","",E635)&amp;"","$",""),",","")),0))</f>
        <v/>
      </c>
      <c r="N635" s="11">
        <f>IF(J635="","",IFERROR(VALUE(SUBSTITUTE(SUBSTITUTE(IF(F635="","",F635)&amp;"","$",""),",","")),0))</f>
        <v/>
      </c>
      <c r="O635" s="11">
        <f>IF(J635="","",M635*N635)</f>
        <v/>
      </c>
      <c r="P635">
        <f>IF(J635="","",IF(L635="",1,COUNTIF($L$2:$L$1501,L635)))</f>
        <v/>
      </c>
      <c r="Q635" s="11">
        <f>IF(J635="","",IFERROR(VALUE(SUBSTITUTE(SUBSTITUTE(IF(G635="","",G635)&amp;"","$",""),",","")),0)/IF("No"="Yes",P635,1))</f>
        <v/>
      </c>
      <c r="R635" s="11">
        <f>IF(J635="","",IFERROR(VALUE(SUBSTITUTE(SUBSTITUTE(IF(H635="","",H635)&amp;"","$",""),",","")),0)/IF("No"="Yes",P635,1))</f>
        <v/>
      </c>
      <c r="S635" s="11">
        <f>IF(J635="","",O635+Q635-R635)</f>
        <v/>
      </c>
      <c r="T635">
        <f>IF(J635="","",IFERROR(IF(K635="",NA(),MATCH(K635,Products!$B$5:$B$204,0)),IFERROR(MATCH(J635,Products!$A$5:$A$204,0),"")))</f>
        <v/>
      </c>
      <c r="U635">
        <f>IF(J635="","",IF(T635="","⚠ not in Products",INDEX(Products!$A$5:$A$204,T635)))</f>
        <v/>
      </c>
      <c r="V635" s="11">
        <f>IF(J635="","",S635*(IFERROR(INDEX(Settings!$B$5:$B$9,MATCH($B635,Settings!$A$5:$A$9,0)),0)+IFERROR(INDEX(Settings!$E$5:$E$9,MATCH($B635,Settings!$A$5:$A$9,0)),0)+IFERROR(INDEX(Settings!$G$5:$G$9,MATCH($B635,Settings!$A$5:$A$9,0)),0))+(IFERROR(INDEX(Settings!$C$5:$C$9,MATCH($B635,Settings!$A$5:$A$9,0)),0)+IFERROR(INDEX(Settings!$F$5:$F$9,MATCH($B635,Settings!$A$5:$A$9,0)),0))/P635+IFERROR(INDEX(Settings!$D$5:$D$9,MATCH($B635,Settings!$A$5:$A$9,0)),0)*M635)</f>
        <v/>
      </c>
      <c r="W635" s="11">
        <f>IF(J635="","",IF(T635="",0,M635*INDEX(Products!$I$5:$I$204,T635)))</f>
        <v/>
      </c>
      <c r="X635" s="11">
        <f>IF(J635="","",IF(T635="",0,S635*INDEX(Products!$H$5:$H$204,T635)))</f>
        <v/>
      </c>
      <c r="Y635" s="11">
        <f>IF(J635="","",S635-V635-W635-X635)</f>
        <v/>
      </c>
    </row>
    <row r="636">
      <c r="A636" s="19" t="n"/>
      <c r="B636" s="19" t="n"/>
      <c r="C636" s="19" t="n"/>
      <c r="D636" s="19" t="n"/>
      <c r="E636" s="19" t="n"/>
      <c r="F636" s="20" t="n"/>
      <c r="G636" s="20" t="n"/>
      <c r="H636" s="20" t="n"/>
      <c r="I636" s="19" t="n"/>
      <c r="J636">
        <f>IFERROR(IF(C636="","",C636)&amp;"","")</f>
        <v/>
      </c>
      <c r="K636">
        <f>IFERROR(IF(D636="","",D636)&amp;"","")</f>
        <v/>
      </c>
      <c r="L636">
        <f>IFERROR(IF(I636="","",I636)&amp;"","")</f>
        <v/>
      </c>
      <c r="M636">
        <f>IF(J636="","",IFERROR(VALUE(SUBSTITUTE(SUBSTITUTE(IF(E636="","",E636)&amp;"","$",""),",","")),0))</f>
        <v/>
      </c>
      <c r="N636" s="11">
        <f>IF(J636="","",IFERROR(VALUE(SUBSTITUTE(SUBSTITUTE(IF(F636="","",F636)&amp;"","$",""),",","")),0))</f>
        <v/>
      </c>
      <c r="O636" s="11">
        <f>IF(J636="","",M636*N636)</f>
        <v/>
      </c>
      <c r="P636">
        <f>IF(J636="","",IF(L636="",1,COUNTIF($L$2:$L$1501,L636)))</f>
        <v/>
      </c>
      <c r="Q636" s="11">
        <f>IF(J636="","",IFERROR(VALUE(SUBSTITUTE(SUBSTITUTE(IF(G636="","",G636)&amp;"","$",""),",","")),0)/IF("No"="Yes",P636,1))</f>
        <v/>
      </c>
      <c r="R636" s="11">
        <f>IF(J636="","",IFERROR(VALUE(SUBSTITUTE(SUBSTITUTE(IF(H636="","",H636)&amp;"","$",""),",","")),0)/IF("No"="Yes",P636,1))</f>
        <v/>
      </c>
      <c r="S636" s="11">
        <f>IF(J636="","",O636+Q636-R636)</f>
        <v/>
      </c>
      <c r="T636">
        <f>IF(J636="","",IFERROR(IF(K636="",NA(),MATCH(K636,Products!$B$5:$B$204,0)),IFERROR(MATCH(J636,Products!$A$5:$A$204,0),"")))</f>
        <v/>
      </c>
      <c r="U636">
        <f>IF(J636="","",IF(T636="","⚠ not in Products",INDEX(Products!$A$5:$A$204,T636)))</f>
        <v/>
      </c>
      <c r="V636" s="11">
        <f>IF(J636="","",S636*(IFERROR(INDEX(Settings!$B$5:$B$9,MATCH($B636,Settings!$A$5:$A$9,0)),0)+IFERROR(INDEX(Settings!$E$5:$E$9,MATCH($B636,Settings!$A$5:$A$9,0)),0)+IFERROR(INDEX(Settings!$G$5:$G$9,MATCH($B636,Settings!$A$5:$A$9,0)),0))+(IFERROR(INDEX(Settings!$C$5:$C$9,MATCH($B636,Settings!$A$5:$A$9,0)),0)+IFERROR(INDEX(Settings!$F$5:$F$9,MATCH($B636,Settings!$A$5:$A$9,0)),0))/P636+IFERROR(INDEX(Settings!$D$5:$D$9,MATCH($B636,Settings!$A$5:$A$9,0)),0)*M636)</f>
        <v/>
      </c>
      <c r="W636" s="11">
        <f>IF(J636="","",IF(T636="",0,M636*INDEX(Products!$I$5:$I$204,T636)))</f>
        <v/>
      </c>
      <c r="X636" s="11">
        <f>IF(J636="","",IF(T636="",0,S636*INDEX(Products!$H$5:$H$204,T636)))</f>
        <v/>
      </c>
      <c r="Y636" s="11">
        <f>IF(J636="","",S636-V636-W636-X636)</f>
        <v/>
      </c>
    </row>
    <row r="637">
      <c r="A637" s="19" t="n"/>
      <c r="B637" s="19" t="n"/>
      <c r="C637" s="19" t="n"/>
      <c r="D637" s="19" t="n"/>
      <c r="E637" s="19" t="n"/>
      <c r="F637" s="20" t="n"/>
      <c r="G637" s="20" t="n"/>
      <c r="H637" s="20" t="n"/>
      <c r="I637" s="19" t="n"/>
      <c r="J637">
        <f>IFERROR(IF(C637="","",C637)&amp;"","")</f>
        <v/>
      </c>
      <c r="K637">
        <f>IFERROR(IF(D637="","",D637)&amp;"","")</f>
        <v/>
      </c>
      <c r="L637">
        <f>IFERROR(IF(I637="","",I637)&amp;"","")</f>
        <v/>
      </c>
      <c r="M637">
        <f>IF(J637="","",IFERROR(VALUE(SUBSTITUTE(SUBSTITUTE(IF(E637="","",E637)&amp;"","$",""),",","")),0))</f>
        <v/>
      </c>
      <c r="N637" s="11">
        <f>IF(J637="","",IFERROR(VALUE(SUBSTITUTE(SUBSTITUTE(IF(F637="","",F637)&amp;"","$",""),",","")),0))</f>
        <v/>
      </c>
      <c r="O637" s="11">
        <f>IF(J637="","",M637*N637)</f>
        <v/>
      </c>
      <c r="P637">
        <f>IF(J637="","",IF(L637="",1,COUNTIF($L$2:$L$1501,L637)))</f>
        <v/>
      </c>
      <c r="Q637" s="11">
        <f>IF(J637="","",IFERROR(VALUE(SUBSTITUTE(SUBSTITUTE(IF(G637="","",G637)&amp;"","$",""),",","")),0)/IF("No"="Yes",P637,1))</f>
        <v/>
      </c>
      <c r="R637" s="11">
        <f>IF(J637="","",IFERROR(VALUE(SUBSTITUTE(SUBSTITUTE(IF(H637="","",H637)&amp;"","$",""),",","")),0)/IF("No"="Yes",P637,1))</f>
        <v/>
      </c>
      <c r="S637" s="11">
        <f>IF(J637="","",O637+Q637-R637)</f>
        <v/>
      </c>
      <c r="T637">
        <f>IF(J637="","",IFERROR(IF(K637="",NA(),MATCH(K637,Products!$B$5:$B$204,0)),IFERROR(MATCH(J637,Products!$A$5:$A$204,0),"")))</f>
        <v/>
      </c>
      <c r="U637">
        <f>IF(J637="","",IF(T637="","⚠ not in Products",INDEX(Products!$A$5:$A$204,T637)))</f>
        <v/>
      </c>
      <c r="V637" s="11">
        <f>IF(J637="","",S637*(IFERROR(INDEX(Settings!$B$5:$B$9,MATCH($B637,Settings!$A$5:$A$9,0)),0)+IFERROR(INDEX(Settings!$E$5:$E$9,MATCH($B637,Settings!$A$5:$A$9,0)),0)+IFERROR(INDEX(Settings!$G$5:$G$9,MATCH($B637,Settings!$A$5:$A$9,0)),0))+(IFERROR(INDEX(Settings!$C$5:$C$9,MATCH($B637,Settings!$A$5:$A$9,0)),0)+IFERROR(INDEX(Settings!$F$5:$F$9,MATCH($B637,Settings!$A$5:$A$9,0)),0))/P637+IFERROR(INDEX(Settings!$D$5:$D$9,MATCH($B637,Settings!$A$5:$A$9,0)),0)*M637)</f>
        <v/>
      </c>
      <c r="W637" s="11">
        <f>IF(J637="","",IF(T637="",0,M637*INDEX(Products!$I$5:$I$204,T637)))</f>
        <v/>
      </c>
      <c r="X637" s="11">
        <f>IF(J637="","",IF(T637="",0,S637*INDEX(Products!$H$5:$H$204,T637)))</f>
        <v/>
      </c>
      <c r="Y637" s="11">
        <f>IF(J637="","",S637-V637-W637-X637)</f>
        <v/>
      </c>
    </row>
    <row r="638">
      <c r="A638" s="19" t="n"/>
      <c r="B638" s="19" t="n"/>
      <c r="C638" s="19" t="n"/>
      <c r="D638" s="19" t="n"/>
      <c r="E638" s="19" t="n"/>
      <c r="F638" s="20" t="n"/>
      <c r="G638" s="20" t="n"/>
      <c r="H638" s="20" t="n"/>
      <c r="I638" s="19" t="n"/>
      <c r="J638">
        <f>IFERROR(IF(C638="","",C638)&amp;"","")</f>
        <v/>
      </c>
      <c r="K638">
        <f>IFERROR(IF(D638="","",D638)&amp;"","")</f>
        <v/>
      </c>
      <c r="L638">
        <f>IFERROR(IF(I638="","",I638)&amp;"","")</f>
        <v/>
      </c>
      <c r="M638">
        <f>IF(J638="","",IFERROR(VALUE(SUBSTITUTE(SUBSTITUTE(IF(E638="","",E638)&amp;"","$",""),",","")),0))</f>
        <v/>
      </c>
      <c r="N638" s="11">
        <f>IF(J638="","",IFERROR(VALUE(SUBSTITUTE(SUBSTITUTE(IF(F638="","",F638)&amp;"","$",""),",","")),0))</f>
        <v/>
      </c>
      <c r="O638" s="11">
        <f>IF(J638="","",M638*N638)</f>
        <v/>
      </c>
      <c r="P638">
        <f>IF(J638="","",IF(L638="",1,COUNTIF($L$2:$L$1501,L638)))</f>
        <v/>
      </c>
      <c r="Q638" s="11">
        <f>IF(J638="","",IFERROR(VALUE(SUBSTITUTE(SUBSTITUTE(IF(G638="","",G638)&amp;"","$",""),",","")),0)/IF("No"="Yes",P638,1))</f>
        <v/>
      </c>
      <c r="R638" s="11">
        <f>IF(J638="","",IFERROR(VALUE(SUBSTITUTE(SUBSTITUTE(IF(H638="","",H638)&amp;"","$",""),",","")),0)/IF("No"="Yes",P638,1))</f>
        <v/>
      </c>
      <c r="S638" s="11">
        <f>IF(J638="","",O638+Q638-R638)</f>
        <v/>
      </c>
      <c r="T638">
        <f>IF(J638="","",IFERROR(IF(K638="",NA(),MATCH(K638,Products!$B$5:$B$204,0)),IFERROR(MATCH(J638,Products!$A$5:$A$204,0),"")))</f>
        <v/>
      </c>
      <c r="U638">
        <f>IF(J638="","",IF(T638="","⚠ not in Products",INDEX(Products!$A$5:$A$204,T638)))</f>
        <v/>
      </c>
      <c r="V638" s="11">
        <f>IF(J638="","",S638*(IFERROR(INDEX(Settings!$B$5:$B$9,MATCH($B638,Settings!$A$5:$A$9,0)),0)+IFERROR(INDEX(Settings!$E$5:$E$9,MATCH($B638,Settings!$A$5:$A$9,0)),0)+IFERROR(INDEX(Settings!$G$5:$G$9,MATCH($B638,Settings!$A$5:$A$9,0)),0))+(IFERROR(INDEX(Settings!$C$5:$C$9,MATCH($B638,Settings!$A$5:$A$9,0)),0)+IFERROR(INDEX(Settings!$F$5:$F$9,MATCH($B638,Settings!$A$5:$A$9,0)),0))/P638+IFERROR(INDEX(Settings!$D$5:$D$9,MATCH($B638,Settings!$A$5:$A$9,0)),0)*M638)</f>
        <v/>
      </c>
      <c r="W638" s="11">
        <f>IF(J638="","",IF(T638="",0,M638*INDEX(Products!$I$5:$I$204,T638)))</f>
        <v/>
      </c>
      <c r="X638" s="11">
        <f>IF(J638="","",IF(T638="",0,S638*INDEX(Products!$H$5:$H$204,T638)))</f>
        <v/>
      </c>
      <c r="Y638" s="11">
        <f>IF(J638="","",S638-V638-W638-X638)</f>
        <v/>
      </c>
    </row>
    <row r="639">
      <c r="A639" s="19" t="n"/>
      <c r="B639" s="19" t="n"/>
      <c r="C639" s="19" t="n"/>
      <c r="D639" s="19" t="n"/>
      <c r="E639" s="19" t="n"/>
      <c r="F639" s="20" t="n"/>
      <c r="G639" s="20" t="n"/>
      <c r="H639" s="20" t="n"/>
      <c r="I639" s="19" t="n"/>
      <c r="J639">
        <f>IFERROR(IF(C639="","",C639)&amp;"","")</f>
        <v/>
      </c>
      <c r="K639">
        <f>IFERROR(IF(D639="","",D639)&amp;"","")</f>
        <v/>
      </c>
      <c r="L639">
        <f>IFERROR(IF(I639="","",I639)&amp;"","")</f>
        <v/>
      </c>
      <c r="M639">
        <f>IF(J639="","",IFERROR(VALUE(SUBSTITUTE(SUBSTITUTE(IF(E639="","",E639)&amp;"","$",""),",","")),0))</f>
        <v/>
      </c>
      <c r="N639" s="11">
        <f>IF(J639="","",IFERROR(VALUE(SUBSTITUTE(SUBSTITUTE(IF(F639="","",F639)&amp;"","$",""),",","")),0))</f>
        <v/>
      </c>
      <c r="O639" s="11">
        <f>IF(J639="","",M639*N639)</f>
        <v/>
      </c>
      <c r="P639">
        <f>IF(J639="","",IF(L639="",1,COUNTIF($L$2:$L$1501,L639)))</f>
        <v/>
      </c>
      <c r="Q639" s="11">
        <f>IF(J639="","",IFERROR(VALUE(SUBSTITUTE(SUBSTITUTE(IF(G639="","",G639)&amp;"","$",""),",","")),0)/IF("No"="Yes",P639,1))</f>
        <v/>
      </c>
      <c r="R639" s="11">
        <f>IF(J639="","",IFERROR(VALUE(SUBSTITUTE(SUBSTITUTE(IF(H639="","",H639)&amp;"","$",""),",","")),0)/IF("No"="Yes",P639,1))</f>
        <v/>
      </c>
      <c r="S639" s="11">
        <f>IF(J639="","",O639+Q639-R639)</f>
        <v/>
      </c>
      <c r="T639">
        <f>IF(J639="","",IFERROR(IF(K639="",NA(),MATCH(K639,Products!$B$5:$B$204,0)),IFERROR(MATCH(J639,Products!$A$5:$A$204,0),"")))</f>
        <v/>
      </c>
      <c r="U639">
        <f>IF(J639="","",IF(T639="","⚠ not in Products",INDEX(Products!$A$5:$A$204,T639)))</f>
        <v/>
      </c>
      <c r="V639" s="11">
        <f>IF(J639="","",S639*(IFERROR(INDEX(Settings!$B$5:$B$9,MATCH($B639,Settings!$A$5:$A$9,0)),0)+IFERROR(INDEX(Settings!$E$5:$E$9,MATCH($B639,Settings!$A$5:$A$9,0)),0)+IFERROR(INDEX(Settings!$G$5:$G$9,MATCH($B639,Settings!$A$5:$A$9,0)),0))+(IFERROR(INDEX(Settings!$C$5:$C$9,MATCH($B639,Settings!$A$5:$A$9,0)),0)+IFERROR(INDEX(Settings!$F$5:$F$9,MATCH($B639,Settings!$A$5:$A$9,0)),0))/P639+IFERROR(INDEX(Settings!$D$5:$D$9,MATCH($B639,Settings!$A$5:$A$9,0)),0)*M639)</f>
        <v/>
      </c>
      <c r="W639" s="11">
        <f>IF(J639="","",IF(T639="",0,M639*INDEX(Products!$I$5:$I$204,T639)))</f>
        <v/>
      </c>
      <c r="X639" s="11">
        <f>IF(J639="","",IF(T639="",0,S639*INDEX(Products!$H$5:$H$204,T639)))</f>
        <v/>
      </c>
      <c r="Y639" s="11">
        <f>IF(J639="","",S639-V639-W639-X639)</f>
        <v/>
      </c>
    </row>
    <row r="640">
      <c r="A640" s="19" t="n"/>
      <c r="B640" s="19" t="n"/>
      <c r="C640" s="19" t="n"/>
      <c r="D640" s="19" t="n"/>
      <c r="E640" s="19" t="n"/>
      <c r="F640" s="20" t="n"/>
      <c r="G640" s="20" t="n"/>
      <c r="H640" s="20" t="n"/>
      <c r="I640" s="19" t="n"/>
      <c r="J640">
        <f>IFERROR(IF(C640="","",C640)&amp;"","")</f>
        <v/>
      </c>
      <c r="K640">
        <f>IFERROR(IF(D640="","",D640)&amp;"","")</f>
        <v/>
      </c>
      <c r="L640">
        <f>IFERROR(IF(I640="","",I640)&amp;"","")</f>
        <v/>
      </c>
      <c r="M640">
        <f>IF(J640="","",IFERROR(VALUE(SUBSTITUTE(SUBSTITUTE(IF(E640="","",E640)&amp;"","$",""),",","")),0))</f>
        <v/>
      </c>
      <c r="N640" s="11">
        <f>IF(J640="","",IFERROR(VALUE(SUBSTITUTE(SUBSTITUTE(IF(F640="","",F640)&amp;"","$",""),",","")),0))</f>
        <v/>
      </c>
      <c r="O640" s="11">
        <f>IF(J640="","",M640*N640)</f>
        <v/>
      </c>
      <c r="P640">
        <f>IF(J640="","",IF(L640="",1,COUNTIF($L$2:$L$1501,L640)))</f>
        <v/>
      </c>
      <c r="Q640" s="11">
        <f>IF(J640="","",IFERROR(VALUE(SUBSTITUTE(SUBSTITUTE(IF(G640="","",G640)&amp;"","$",""),",","")),0)/IF("No"="Yes",P640,1))</f>
        <v/>
      </c>
      <c r="R640" s="11">
        <f>IF(J640="","",IFERROR(VALUE(SUBSTITUTE(SUBSTITUTE(IF(H640="","",H640)&amp;"","$",""),",","")),0)/IF("No"="Yes",P640,1))</f>
        <v/>
      </c>
      <c r="S640" s="11">
        <f>IF(J640="","",O640+Q640-R640)</f>
        <v/>
      </c>
      <c r="T640">
        <f>IF(J640="","",IFERROR(IF(K640="",NA(),MATCH(K640,Products!$B$5:$B$204,0)),IFERROR(MATCH(J640,Products!$A$5:$A$204,0),"")))</f>
        <v/>
      </c>
      <c r="U640">
        <f>IF(J640="","",IF(T640="","⚠ not in Products",INDEX(Products!$A$5:$A$204,T640)))</f>
        <v/>
      </c>
      <c r="V640" s="11">
        <f>IF(J640="","",S640*(IFERROR(INDEX(Settings!$B$5:$B$9,MATCH($B640,Settings!$A$5:$A$9,0)),0)+IFERROR(INDEX(Settings!$E$5:$E$9,MATCH($B640,Settings!$A$5:$A$9,0)),0)+IFERROR(INDEX(Settings!$G$5:$G$9,MATCH($B640,Settings!$A$5:$A$9,0)),0))+(IFERROR(INDEX(Settings!$C$5:$C$9,MATCH($B640,Settings!$A$5:$A$9,0)),0)+IFERROR(INDEX(Settings!$F$5:$F$9,MATCH($B640,Settings!$A$5:$A$9,0)),0))/P640+IFERROR(INDEX(Settings!$D$5:$D$9,MATCH($B640,Settings!$A$5:$A$9,0)),0)*M640)</f>
        <v/>
      </c>
      <c r="W640" s="11">
        <f>IF(J640="","",IF(T640="",0,M640*INDEX(Products!$I$5:$I$204,T640)))</f>
        <v/>
      </c>
      <c r="X640" s="11">
        <f>IF(J640="","",IF(T640="",0,S640*INDEX(Products!$H$5:$H$204,T640)))</f>
        <v/>
      </c>
      <c r="Y640" s="11">
        <f>IF(J640="","",S640-V640-W640-X640)</f>
        <v/>
      </c>
    </row>
    <row r="641">
      <c r="A641" s="19" t="n"/>
      <c r="B641" s="19" t="n"/>
      <c r="C641" s="19" t="n"/>
      <c r="D641" s="19" t="n"/>
      <c r="E641" s="19" t="n"/>
      <c r="F641" s="20" t="n"/>
      <c r="G641" s="20" t="n"/>
      <c r="H641" s="20" t="n"/>
      <c r="I641" s="19" t="n"/>
      <c r="J641">
        <f>IFERROR(IF(C641="","",C641)&amp;"","")</f>
        <v/>
      </c>
      <c r="K641">
        <f>IFERROR(IF(D641="","",D641)&amp;"","")</f>
        <v/>
      </c>
      <c r="L641">
        <f>IFERROR(IF(I641="","",I641)&amp;"","")</f>
        <v/>
      </c>
      <c r="M641">
        <f>IF(J641="","",IFERROR(VALUE(SUBSTITUTE(SUBSTITUTE(IF(E641="","",E641)&amp;"","$",""),",","")),0))</f>
        <v/>
      </c>
      <c r="N641" s="11">
        <f>IF(J641="","",IFERROR(VALUE(SUBSTITUTE(SUBSTITUTE(IF(F641="","",F641)&amp;"","$",""),",","")),0))</f>
        <v/>
      </c>
      <c r="O641" s="11">
        <f>IF(J641="","",M641*N641)</f>
        <v/>
      </c>
      <c r="P641">
        <f>IF(J641="","",IF(L641="",1,COUNTIF($L$2:$L$1501,L641)))</f>
        <v/>
      </c>
      <c r="Q641" s="11">
        <f>IF(J641="","",IFERROR(VALUE(SUBSTITUTE(SUBSTITUTE(IF(G641="","",G641)&amp;"","$",""),",","")),0)/IF("No"="Yes",P641,1))</f>
        <v/>
      </c>
      <c r="R641" s="11">
        <f>IF(J641="","",IFERROR(VALUE(SUBSTITUTE(SUBSTITUTE(IF(H641="","",H641)&amp;"","$",""),",","")),0)/IF("No"="Yes",P641,1))</f>
        <v/>
      </c>
      <c r="S641" s="11">
        <f>IF(J641="","",O641+Q641-R641)</f>
        <v/>
      </c>
      <c r="T641">
        <f>IF(J641="","",IFERROR(IF(K641="",NA(),MATCH(K641,Products!$B$5:$B$204,0)),IFERROR(MATCH(J641,Products!$A$5:$A$204,0),"")))</f>
        <v/>
      </c>
      <c r="U641">
        <f>IF(J641="","",IF(T641="","⚠ not in Products",INDEX(Products!$A$5:$A$204,T641)))</f>
        <v/>
      </c>
      <c r="V641" s="11">
        <f>IF(J641="","",S641*(IFERROR(INDEX(Settings!$B$5:$B$9,MATCH($B641,Settings!$A$5:$A$9,0)),0)+IFERROR(INDEX(Settings!$E$5:$E$9,MATCH($B641,Settings!$A$5:$A$9,0)),0)+IFERROR(INDEX(Settings!$G$5:$G$9,MATCH($B641,Settings!$A$5:$A$9,0)),0))+(IFERROR(INDEX(Settings!$C$5:$C$9,MATCH($B641,Settings!$A$5:$A$9,0)),0)+IFERROR(INDEX(Settings!$F$5:$F$9,MATCH($B641,Settings!$A$5:$A$9,0)),0))/P641+IFERROR(INDEX(Settings!$D$5:$D$9,MATCH($B641,Settings!$A$5:$A$9,0)),0)*M641)</f>
        <v/>
      </c>
      <c r="W641" s="11">
        <f>IF(J641="","",IF(T641="",0,M641*INDEX(Products!$I$5:$I$204,T641)))</f>
        <v/>
      </c>
      <c r="X641" s="11">
        <f>IF(J641="","",IF(T641="",0,S641*INDEX(Products!$H$5:$H$204,T641)))</f>
        <v/>
      </c>
      <c r="Y641" s="11">
        <f>IF(J641="","",S641-V641-W641-X641)</f>
        <v/>
      </c>
    </row>
    <row r="642">
      <c r="A642" s="19" t="n"/>
      <c r="B642" s="19" t="n"/>
      <c r="C642" s="19" t="n"/>
      <c r="D642" s="19" t="n"/>
      <c r="E642" s="19" t="n"/>
      <c r="F642" s="20" t="n"/>
      <c r="G642" s="20" t="n"/>
      <c r="H642" s="20" t="n"/>
      <c r="I642" s="19" t="n"/>
      <c r="J642">
        <f>IFERROR(IF(C642="","",C642)&amp;"","")</f>
        <v/>
      </c>
      <c r="K642">
        <f>IFERROR(IF(D642="","",D642)&amp;"","")</f>
        <v/>
      </c>
      <c r="L642">
        <f>IFERROR(IF(I642="","",I642)&amp;"","")</f>
        <v/>
      </c>
      <c r="M642">
        <f>IF(J642="","",IFERROR(VALUE(SUBSTITUTE(SUBSTITUTE(IF(E642="","",E642)&amp;"","$",""),",","")),0))</f>
        <v/>
      </c>
      <c r="N642" s="11">
        <f>IF(J642="","",IFERROR(VALUE(SUBSTITUTE(SUBSTITUTE(IF(F642="","",F642)&amp;"","$",""),",","")),0))</f>
        <v/>
      </c>
      <c r="O642" s="11">
        <f>IF(J642="","",M642*N642)</f>
        <v/>
      </c>
      <c r="P642">
        <f>IF(J642="","",IF(L642="",1,COUNTIF($L$2:$L$1501,L642)))</f>
        <v/>
      </c>
      <c r="Q642" s="11">
        <f>IF(J642="","",IFERROR(VALUE(SUBSTITUTE(SUBSTITUTE(IF(G642="","",G642)&amp;"","$",""),",","")),0)/IF("No"="Yes",P642,1))</f>
        <v/>
      </c>
      <c r="R642" s="11">
        <f>IF(J642="","",IFERROR(VALUE(SUBSTITUTE(SUBSTITUTE(IF(H642="","",H642)&amp;"","$",""),",","")),0)/IF("No"="Yes",P642,1))</f>
        <v/>
      </c>
      <c r="S642" s="11">
        <f>IF(J642="","",O642+Q642-R642)</f>
        <v/>
      </c>
      <c r="T642">
        <f>IF(J642="","",IFERROR(IF(K642="",NA(),MATCH(K642,Products!$B$5:$B$204,0)),IFERROR(MATCH(J642,Products!$A$5:$A$204,0),"")))</f>
        <v/>
      </c>
      <c r="U642">
        <f>IF(J642="","",IF(T642="","⚠ not in Products",INDEX(Products!$A$5:$A$204,T642)))</f>
        <v/>
      </c>
      <c r="V642" s="11">
        <f>IF(J642="","",S642*(IFERROR(INDEX(Settings!$B$5:$B$9,MATCH($B642,Settings!$A$5:$A$9,0)),0)+IFERROR(INDEX(Settings!$E$5:$E$9,MATCH($B642,Settings!$A$5:$A$9,0)),0)+IFERROR(INDEX(Settings!$G$5:$G$9,MATCH($B642,Settings!$A$5:$A$9,0)),0))+(IFERROR(INDEX(Settings!$C$5:$C$9,MATCH($B642,Settings!$A$5:$A$9,0)),0)+IFERROR(INDEX(Settings!$F$5:$F$9,MATCH($B642,Settings!$A$5:$A$9,0)),0))/P642+IFERROR(INDEX(Settings!$D$5:$D$9,MATCH($B642,Settings!$A$5:$A$9,0)),0)*M642)</f>
        <v/>
      </c>
      <c r="W642" s="11">
        <f>IF(J642="","",IF(T642="",0,M642*INDEX(Products!$I$5:$I$204,T642)))</f>
        <v/>
      </c>
      <c r="X642" s="11">
        <f>IF(J642="","",IF(T642="",0,S642*INDEX(Products!$H$5:$H$204,T642)))</f>
        <v/>
      </c>
      <c r="Y642" s="11">
        <f>IF(J642="","",S642-V642-W642-X642)</f>
        <v/>
      </c>
    </row>
    <row r="643">
      <c r="A643" s="19" t="n"/>
      <c r="B643" s="19" t="n"/>
      <c r="C643" s="19" t="n"/>
      <c r="D643" s="19" t="n"/>
      <c r="E643" s="19" t="n"/>
      <c r="F643" s="20" t="n"/>
      <c r="G643" s="20" t="n"/>
      <c r="H643" s="20" t="n"/>
      <c r="I643" s="19" t="n"/>
      <c r="J643">
        <f>IFERROR(IF(C643="","",C643)&amp;"","")</f>
        <v/>
      </c>
      <c r="K643">
        <f>IFERROR(IF(D643="","",D643)&amp;"","")</f>
        <v/>
      </c>
      <c r="L643">
        <f>IFERROR(IF(I643="","",I643)&amp;"","")</f>
        <v/>
      </c>
      <c r="M643">
        <f>IF(J643="","",IFERROR(VALUE(SUBSTITUTE(SUBSTITUTE(IF(E643="","",E643)&amp;"","$",""),",","")),0))</f>
        <v/>
      </c>
      <c r="N643" s="11">
        <f>IF(J643="","",IFERROR(VALUE(SUBSTITUTE(SUBSTITUTE(IF(F643="","",F643)&amp;"","$",""),",","")),0))</f>
        <v/>
      </c>
      <c r="O643" s="11">
        <f>IF(J643="","",M643*N643)</f>
        <v/>
      </c>
      <c r="P643">
        <f>IF(J643="","",IF(L643="",1,COUNTIF($L$2:$L$1501,L643)))</f>
        <v/>
      </c>
      <c r="Q643" s="11">
        <f>IF(J643="","",IFERROR(VALUE(SUBSTITUTE(SUBSTITUTE(IF(G643="","",G643)&amp;"","$",""),",","")),0)/IF("No"="Yes",P643,1))</f>
        <v/>
      </c>
      <c r="R643" s="11">
        <f>IF(J643="","",IFERROR(VALUE(SUBSTITUTE(SUBSTITUTE(IF(H643="","",H643)&amp;"","$",""),",","")),0)/IF("No"="Yes",P643,1))</f>
        <v/>
      </c>
      <c r="S643" s="11">
        <f>IF(J643="","",O643+Q643-R643)</f>
        <v/>
      </c>
      <c r="T643">
        <f>IF(J643="","",IFERROR(IF(K643="",NA(),MATCH(K643,Products!$B$5:$B$204,0)),IFERROR(MATCH(J643,Products!$A$5:$A$204,0),"")))</f>
        <v/>
      </c>
      <c r="U643">
        <f>IF(J643="","",IF(T643="","⚠ not in Products",INDEX(Products!$A$5:$A$204,T643)))</f>
        <v/>
      </c>
      <c r="V643" s="11">
        <f>IF(J643="","",S643*(IFERROR(INDEX(Settings!$B$5:$B$9,MATCH($B643,Settings!$A$5:$A$9,0)),0)+IFERROR(INDEX(Settings!$E$5:$E$9,MATCH($B643,Settings!$A$5:$A$9,0)),0)+IFERROR(INDEX(Settings!$G$5:$G$9,MATCH($B643,Settings!$A$5:$A$9,0)),0))+(IFERROR(INDEX(Settings!$C$5:$C$9,MATCH($B643,Settings!$A$5:$A$9,0)),0)+IFERROR(INDEX(Settings!$F$5:$F$9,MATCH($B643,Settings!$A$5:$A$9,0)),0))/P643+IFERROR(INDEX(Settings!$D$5:$D$9,MATCH($B643,Settings!$A$5:$A$9,0)),0)*M643)</f>
        <v/>
      </c>
      <c r="W643" s="11">
        <f>IF(J643="","",IF(T643="",0,M643*INDEX(Products!$I$5:$I$204,T643)))</f>
        <v/>
      </c>
      <c r="X643" s="11">
        <f>IF(J643="","",IF(T643="",0,S643*INDEX(Products!$H$5:$H$204,T643)))</f>
        <v/>
      </c>
      <c r="Y643" s="11">
        <f>IF(J643="","",S643-V643-W643-X643)</f>
        <v/>
      </c>
    </row>
    <row r="644">
      <c r="A644" s="19" t="n"/>
      <c r="B644" s="19" t="n"/>
      <c r="C644" s="19" t="n"/>
      <c r="D644" s="19" t="n"/>
      <c r="E644" s="19" t="n"/>
      <c r="F644" s="20" t="n"/>
      <c r="G644" s="20" t="n"/>
      <c r="H644" s="20" t="n"/>
      <c r="I644" s="19" t="n"/>
      <c r="J644">
        <f>IFERROR(IF(C644="","",C644)&amp;"","")</f>
        <v/>
      </c>
      <c r="K644">
        <f>IFERROR(IF(D644="","",D644)&amp;"","")</f>
        <v/>
      </c>
      <c r="L644">
        <f>IFERROR(IF(I644="","",I644)&amp;"","")</f>
        <v/>
      </c>
      <c r="M644">
        <f>IF(J644="","",IFERROR(VALUE(SUBSTITUTE(SUBSTITUTE(IF(E644="","",E644)&amp;"","$",""),",","")),0))</f>
        <v/>
      </c>
      <c r="N644" s="11">
        <f>IF(J644="","",IFERROR(VALUE(SUBSTITUTE(SUBSTITUTE(IF(F644="","",F644)&amp;"","$",""),",","")),0))</f>
        <v/>
      </c>
      <c r="O644" s="11">
        <f>IF(J644="","",M644*N644)</f>
        <v/>
      </c>
      <c r="P644">
        <f>IF(J644="","",IF(L644="",1,COUNTIF($L$2:$L$1501,L644)))</f>
        <v/>
      </c>
      <c r="Q644" s="11">
        <f>IF(J644="","",IFERROR(VALUE(SUBSTITUTE(SUBSTITUTE(IF(G644="","",G644)&amp;"","$",""),",","")),0)/IF("No"="Yes",P644,1))</f>
        <v/>
      </c>
      <c r="R644" s="11">
        <f>IF(J644="","",IFERROR(VALUE(SUBSTITUTE(SUBSTITUTE(IF(H644="","",H644)&amp;"","$",""),",","")),0)/IF("No"="Yes",P644,1))</f>
        <v/>
      </c>
      <c r="S644" s="11">
        <f>IF(J644="","",O644+Q644-R644)</f>
        <v/>
      </c>
      <c r="T644">
        <f>IF(J644="","",IFERROR(IF(K644="",NA(),MATCH(K644,Products!$B$5:$B$204,0)),IFERROR(MATCH(J644,Products!$A$5:$A$204,0),"")))</f>
        <v/>
      </c>
      <c r="U644">
        <f>IF(J644="","",IF(T644="","⚠ not in Products",INDEX(Products!$A$5:$A$204,T644)))</f>
        <v/>
      </c>
      <c r="V644" s="11">
        <f>IF(J644="","",S644*(IFERROR(INDEX(Settings!$B$5:$B$9,MATCH($B644,Settings!$A$5:$A$9,0)),0)+IFERROR(INDEX(Settings!$E$5:$E$9,MATCH($B644,Settings!$A$5:$A$9,0)),0)+IFERROR(INDEX(Settings!$G$5:$G$9,MATCH($B644,Settings!$A$5:$A$9,0)),0))+(IFERROR(INDEX(Settings!$C$5:$C$9,MATCH($B644,Settings!$A$5:$A$9,0)),0)+IFERROR(INDEX(Settings!$F$5:$F$9,MATCH($B644,Settings!$A$5:$A$9,0)),0))/P644+IFERROR(INDEX(Settings!$D$5:$D$9,MATCH($B644,Settings!$A$5:$A$9,0)),0)*M644)</f>
        <v/>
      </c>
      <c r="W644" s="11">
        <f>IF(J644="","",IF(T644="",0,M644*INDEX(Products!$I$5:$I$204,T644)))</f>
        <v/>
      </c>
      <c r="X644" s="11">
        <f>IF(J644="","",IF(T644="",0,S644*INDEX(Products!$H$5:$H$204,T644)))</f>
        <v/>
      </c>
      <c r="Y644" s="11">
        <f>IF(J644="","",S644-V644-W644-X644)</f>
        <v/>
      </c>
    </row>
    <row r="645">
      <c r="A645" s="19" t="n"/>
      <c r="B645" s="19" t="n"/>
      <c r="C645" s="19" t="n"/>
      <c r="D645" s="19" t="n"/>
      <c r="E645" s="19" t="n"/>
      <c r="F645" s="20" t="n"/>
      <c r="G645" s="20" t="n"/>
      <c r="H645" s="20" t="n"/>
      <c r="I645" s="19" t="n"/>
      <c r="J645">
        <f>IFERROR(IF(C645="","",C645)&amp;"","")</f>
        <v/>
      </c>
      <c r="K645">
        <f>IFERROR(IF(D645="","",D645)&amp;"","")</f>
        <v/>
      </c>
      <c r="L645">
        <f>IFERROR(IF(I645="","",I645)&amp;"","")</f>
        <v/>
      </c>
      <c r="M645">
        <f>IF(J645="","",IFERROR(VALUE(SUBSTITUTE(SUBSTITUTE(IF(E645="","",E645)&amp;"","$",""),",","")),0))</f>
        <v/>
      </c>
      <c r="N645" s="11">
        <f>IF(J645="","",IFERROR(VALUE(SUBSTITUTE(SUBSTITUTE(IF(F645="","",F645)&amp;"","$",""),",","")),0))</f>
        <v/>
      </c>
      <c r="O645" s="11">
        <f>IF(J645="","",M645*N645)</f>
        <v/>
      </c>
      <c r="P645">
        <f>IF(J645="","",IF(L645="",1,COUNTIF($L$2:$L$1501,L645)))</f>
        <v/>
      </c>
      <c r="Q645" s="11">
        <f>IF(J645="","",IFERROR(VALUE(SUBSTITUTE(SUBSTITUTE(IF(G645="","",G645)&amp;"","$",""),",","")),0)/IF("No"="Yes",P645,1))</f>
        <v/>
      </c>
      <c r="R645" s="11">
        <f>IF(J645="","",IFERROR(VALUE(SUBSTITUTE(SUBSTITUTE(IF(H645="","",H645)&amp;"","$",""),",","")),0)/IF("No"="Yes",P645,1))</f>
        <v/>
      </c>
      <c r="S645" s="11">
        <f>IF(J645="","",O645+Q645-R645)</f>
        <v/>
      </c>
      <c r="T645">
        <f>IF(J645="","",IFERROR(IF(K645="",NA(),MATCH(K645,Products!$B$5:$B$204,0)),IFERROR(MATCH(J645,Products!$A$5:$A$204,0),"")))</f>
        <v/>
      </c>
      <c r="U645">
        <f>IF(J645="","",IF(T645="","⚠ not in Products",INDEX(Products!$A$5:$A$204,T645)))</f>
        <v/>
      </c>
      <c r="V645" s="11">
        <f>IF(J645="","",S645*(IFERROR(INDEX(Settings!$B$5:$B$9,MATCH($B645,Settings!$A$5:$A$9,0)),0)+IFERROR(INDEX(Settings!$E$5:$E$9,MATCH($B645,Settings!$A$5:$A$9,0)),0)+IFERROR(INDEX(Settings!$G$5:$G$9,MATCH($B645,Settings!$A$5:$A$9,0)),0))+(IFERROR(INDEX(Settings!$C$5:$C$9,MATCH($B645,Settings!$A$5:$A$9,0)),0)+IFERROR(INDEX(Settings!$F$5:$F$9,MATCH($B645,Settings!$A$5:$A$9,0)),0))/P645+IFERROR(INDEX(Settings!$D$5:$D$9,MATCH($B645,Settings!$A$5:$A$9,0)),0)*M645)</f>
        <v/>
      </c>
      <c r="W645" s="11">
        <f>IF(J645="","",IF(T645="",0,M645*INDEX(Products!$I$5:$I$204,T645)))</f>
        <v/>
      </c>
      <c r="X645" s="11">
        <f>IF(J645="","",IF(T645="",0,S645*INDEX(Products!$H$5:$H$204,T645)))</f>
        <v/>
      </c>
      <c r="Y645" s="11">
        <f>IF(J645="","",S645-V645-W645-X645)</f>
        <v/>
      </c>
    </row>
    <row r="646">
      <c r="A646" s="19" t="n"/>
      <c r="B646" s="19" t="n"/>
      <c r="C646" s="19" t="n"/>
      <c r="D646" s="19" t="n"/>
      <c r="E646" s="19" t="n"/>
      <c r="F646" s="20" t="n"/>
      <c r="G646" s="20" t="n"/>
      <c r="H646" s="20" t="n"/>
      <c r="I646" s="19" t="n"/>
      <c r="J646">
        <f>IFERROR(IF(C646="","",C646)&amp;"","")</f>
        <v/>
      </c>
      <c r="K646">
        <f>IFERROR(IF(D646="","",D646)&amp;"","")</f>
        <v/>
      </c>
      <c r="L646">
        <f>IFERROR(IF(I646="","",I646)&amp;"","")</f>
        <v/>
      </c>
      <c r="M646">
        <f>IF(J646="","",IFERROR(VALUE(SUBSTITUTE(SUBSTITUTE(IF(E646="","",E646)&amp;"","$",""),",","")),0))</f>
        <v/>
      </c>
      <c r="N646" s="11">
        <f>IF(J646="","",IFERROR(VALUE(SUBSTITUTE(SUBSTITUTE(IF(F646="","",F646)&amp;"","$",""),",","")),0))</f>
        <v/>
      </c>
      <c r="O646" s="11">
        <f>IF(J646="","",M646*N646)</f>
        <v/>
      </c>
      <c r="P646">
        <f>IF(J646="","",IF(L646="",1,COUNTIF($L$2:$L$1501,L646)))</f>
        <v/>
      </c>
      <c r="Q646" s="11">
        <f>IF(J646="","",IFERROR(VALUE(SUBSTITUTE(SUBSTITUTE(IF(G646="","",G646)&amp;"","$",""),",","")),0)/IF("No"="Yes",P646,1))</f>
        <v/>
      </c>
      <c r="R646" s="11">
        <f>IF(J646="","",IFERROR(VALUE(SUBSTITUTE(SUBSTITUTE(IF(H646="","",H646)&amp;"","$",""),",","")),0)/IF("No"="Yes",P646,1))</f>
        <v/>
      </c>
      <c r="S646" s="11">
        <f>IF(J646="","",O646+Q646-R646)</f>
        <v/>
      </c>
      <c r="T646">
        <f>IF(J646="","",IFERROR(IF(K646="",NA(),MATCH(K646,Products!$B$5:$B$204,0)),IFERROR(MATCH(J646,Products!$A$5:$A$204,0),"")))</f>
        <v/>
      </c>
      <c r="U646">
        <f>IF(J646="","",IF(T646="","⚠ not in Products",INDEX(Products!$A$5:$A$204,T646)))</f>
        <v/>
      </c>
      <c r="V646" s="11">
        <f>IF(J646="","",S646*(IFERROR(INDEX(Settings!$B$5:$B$9,MATCH($B646,Settings!$A$5:$A$9,0)),0)+IFERROR(INDEX(Settings!$E$5:$E$9,MATCH($B646,Settings!$A$5:$A$9,0)),0)+IFERROR(INDEX(Settings!$G$5:$G$9,MATCH($B646,Settings!$A$5:$A$9,0)),0))+(IFERROR(INDEX(Settings!$C$5:$C$9,MATCH($B646,Settings!$A$5:$A$9,0)),0)+IFERROR(INDEX(Settings!$F$5:$F$9,MATCH($B646,Settings!$A$5:$A$9,0)),0))/P646+IFERROR(INDEX(Settings!$D$5:$D$9,MATCH($B646,Settings!$A$5:$A$9,0)),0)*M646)</f>
        <v/>
      </c>
      <c r="W646" s="11">
        <f>IF(J646="","",IF(T646="",0,M646*INDEX(Products!$I$5:$I$204,T646)))</f>
        <v/>
      </c>
      <c r="X646" s="11">
        <f>IF(J646="","",IF(T646="",0,S646*INDEX(Products!$H$5:$H$204,T646)))</f>
        <v/>
      </c>
      <c r="Y646" s="11">
        <f>IF(J646="","",S646-V646-W646-X646)</f>
        <v/>
      </c>
    </row>
    <row r="647">
      <c r="A647" s="19" t="n"/>
      <c r="B647" s="19" t="n"/>
      <c r="C647" s="19" t="n"/>
      <c r="D647" s="19" t="n"/>
      <c r="E647" s="19" t="n"/>
      <c r="F647" s="20" t="n"/>
      <c r="G647" s="20" t="n"/>
      <c r="H647" s="20" t="n"/>
      <c r="I647" s="19" t="n"/>
      <c r="J647">
        <f>IFERROR(IF(C647="","",C647)&amp;"","")</f>
        <v/>
      </c>
      <c r="K647">
        <f>IFERROR(IF(D647="","",D647)&amp;"","")</f>
        <v/>
      </c>
      <c r="L647">
        <f>IFERROR(IF(I647="","",I647)&amp;"","")</f>
        <v/>
      </c>
      <c r="M647">
        <f>IF(J647="","",IFERROR(VALUE(SUBSTITUTE(SUBSTITUTE(IF(E647="","",E647)&amp;"","$",""),",","")),0))</f>
        <v/>
      </c>
      <c r="N647" s="11">
        <f>IF(J647="","",IFERROR(VALUE(SUBSTITUTE(SUBSTITUTE(IF(F647="","",F647)&amp;"","$",""),",","")),0))</f>
        <v/>
      </c>
      <c r="O647" s="11">
        <f>IF(J647="","",M647*N647)</f>
        <v/>
      </c>
      <c r="P647">
        <f>IF(J647="","",IF(L647="",1,COUNTIF($L$2:$L$1501,L647)))</f>
        <v/>
      </c>
      <c r="Q647" s="11">
        <f>IF(J647="","",IFERROR(VALUE(SUBSTITUTE(SUBSTITUTE(IF(G647="","",G647)&amp;"","$",""),",","")),0)/IF("No"="Yes",P647,1))</f>
        <v/>
      </c>
      <c r="R647" s="11">
        <f>IF(J647="","",IFERROR(VALUE(SUBSTITUTE(SUBSTITUTE(IF(H647="","",H647)&amp;"","$",""),",","")),0)/IF("No"="Yes",P647,1))</f>
        <v/>
      </c>
      <c r="S647" s="11">
        <f>IF(J647="","",O647+Q647-R647)</f>
        <v/>
      </c>
      <c r="T647">
        <f>IF(J647="","",IFERROR(IF(K647="",NA(),MATCH(K647,Products!$B$5:$B$204,0)),IFERROR(MATCH(J647,Products!$A$5:$A$204,0),"")))</f>
        <v/>
      </c>
      <c r="U647">
        <f>IF(J647="","",IF(T647="","⚠ not in Products",INDEX(Products!$A$5:$A$204,T647)))</f>
        <v/>
      </c>
      <c r="V647" s="11">
        <f>IF(J647="","",S647*(IFERROR(INDEX(Settings!$B$5:$B$9,MATCH($B647,Settings!$A$5:$A$9,0)),0)+IFERROR(INDEX(Settings!$E$5:$E$9,MATCH($B647,Settings!$A$5:$A$9,0)),0)+IFERROR(INDEX(Settings!$G$5:$G$9,MATCH($B647,Settings!$A$5:$A$9,0)),0))+(IFERROR(INDEX(Settings!$C$5:$C$9,MATCH($B647,Settings!$A$5:$A$9,0)),0)+IFERROR(INDEX(Settings!$F$5:$F$9,MATCH($B647,Settings!$A$5:$A$9,0)),0))/P647+IFERROR(INDEX(Settings!$D$5:$D$9,MATCH($B647,Settings!$A$5:$A$9,0)),0)*M647)</f>
        <v/>
      </c>
      <c r="W647" s="11">
        <f>IF(J647="","",IF(T647="",0,M647*INDEX(Products!$I$5:$I$204,T647)))</f>
        <v/>
      </c>
      <c r="X647" s="11">
        <f>IF(J647="","",IF(T647="",0,S647*INDEX(Products!$H$5:$H$204,T647)))</f>
        <v/>
      </c>
      <c r="Y647" s="11">
        <f>IF(J647="","",S647-V647-W647-X647)</f>
        <v/>
      </c>
    </row>
    <row r="648">
      <c r="A648" s="19" t="n"/>
      <c r="B648" s="19" t="n"/>
      <c r="C648" s="19" t="n"/>
      <c r="D648" s="19" t="n"/>
      <c r="E648" s="19" t="n"/>
      <c r="F648" s="20" t="n"/>
      <c r="G648" s="20" t="n"/>
      <c r="H648" s="20" t="n"/>
      <c r="I648" s="19" t="n"/>
      <c r="J648">
        <f>IFERROR(IF(C648="","",C648)&amp;"","")</f>
        <v/>
      </c>
      <c r="K648">
        <f>IFERROR(IF(D648="","",D648)&amp;"","")</f>
        <v/>
      </c>
      <c r="L648">
        <f>IFERROR(IF(I648="","",I648)&amp;"","")</f>
        <v/>
      </c>
      <c r="M648">
        <f>IF(J648="","",IFERROR(VALUE(SUBSTITUTE(SUBSTITUTE(IF(E648="","",E648)&amp;"","$",""),",","")),0))</f>
        <v/>
      </c>
      <c r="N648" s="11">
        <f>IF(J648="","",IFERROR(VALUE(SUBSTITUTE(SUBSTITUTE(IF(F648="","",F648)&amp;"","$",""),",","")),0))</f>
        <v/>
      </c>
      <c r="O648" s="11">
        <f>IF(J648="","",M648*N648)</f>
        <v/>
      </c>
      <c r="P648">
        <f>IF(J648="","",IF(L648="",1,COUNTIF($L$2:$L$1501,L648)))</f>
        <v/>
      </c>
      <c r="Q648" s="11">
        <f>IF(J648="","",IFERROR(VALUE(SUBSTITUTE(SUBSTITUTE(IF(G648="","",G648)&amp;"","$",""),",","")),0)/IF("No"="Yes",P648,1))</f>
        <v/>
      </c>
      <c r="R648" s="11">
        <f>IF(J648="","",IFERROR(VALUE(SUBSTITUTE(SUBSTITUTE(IF(H648="","",H648)&amp;"","$",""),",","")),0)/IF("No"="Yes",P648,1))</f>
        <v/>
      </c>
      <c r="S648" s="11">
        <f>IF(J648="","",O648+Q648-R648)</f>
        <v/>
      </c>
      <c r="T648">
        <f>IF(J648="","",IFERROR(IF(K648="",NA(),MATCH(K648,Products!$B$5:$B$204,0)),IFERROR(MATCH(J648,Products!$A$5:$A$204,0),"")))</f>
        <v/>
      </c>
      <c r="U648">
        <f>IF(J648="","",IF(T648="","⚠ not in Products",INDEX(Products!$A$5:$A$204,T648)))</f>
        <v/>
      </c>
      <c r="V648" s="11">
        <f>IF(J648="","",S648*(IFERROR(INDEX(Settings!$B$5:$B$9,MATCH($B648,Settings!$A$5:$A$9,0)),0)+IFERROR(INDEX(Settings!$E$5:$E$9,MATCH($B648,Settings!$A$5:$A$9,0)),0)+IFERROR(INDEX(Settings!$G$5:$G$9,MATCH($B648,Settings!$A$5:$A$9,0)),0))+(IFERROR(INDEX(Settings!$C$5:$C$9,MATCH($B648,Settings!$A$5:$A$9,0)),0)+IFERROR(INDEX(Settings!$F$5:$F$9,MATCH($B648,Settings!$A$5:$A$9,0)),0))/P648+IFERROR(INDEX(Settings!$D$5:$D$9,MATCH($B648,Settings!$A$5:$A$9,0)),0)*M648)</f>
        <v/>
      </c>
      <c r="W648" s="11">
        <f>IF(J648="","",IF(T648="",0,M648*INDEX(Products!$I$5:$I$204,T648)))</f>
        <v/>
      </c>
      <c r="X648" s="11">
        <f>IF(J648="","",IF(T648="",0,S648*INDEX(Products!$H$5:$H$204,T648)))</f>
        <v/>
      </c>
      <c r="Y648" s="11">
        <f>IF(J648="","",S648-V648-W648-X648)</f>
        <v/>
      </c>
    </row>
    <row r="649">
      <c r="A649" s="19" t="n"/>
      <c r="B649" s="19" t="n"/>
      <c r="C649" s="19" t="n"/>
      <c r="D649" s="19" t="n"/>
      <c r="E649" s="19" t="n"/>
      <c r="F649" s="20" t="n"/>
      <c r="G649" s="20" t="n"/>
      <c r="H649" s="20" t="n"/>
      <c r="I649" s="19" t="n"/>
      <c r="J649">
        <f>IFERROR(IF(C649="","",C649)&amp;"","")</f>
        <v/>
      </c>
      <c r="K649">
        <f>IFERROR(IF(D649="","",D649)&amp;"","")</f>
        <v/>
      </c>
      <c r="L649">
        <f>IFERROR(IF(I649="","",I649)&amp;"","")</f>
        <v/>
      </c>
      <c r="M649">
        <f>IF(J649="","",IFERROR(VALUE(SUBSTITUTE(SUBSTITUTE(IF(E649="","",E649)&amp;"","$",""),",","")),0))</f>
        <v/>
      </c>
      <c r="N649" s="11">
        <f>IF(J649="","",IFERROR(VALUE(SUBSTITUTE(SUBSTITUTE(IF(F649="","",F649)&amp;"","$",""),",","")),0))</f>
        <v/>
      </c>
      <c r="O649" s="11">
        <f>IF(J649="","",M649*N649)</f>
        <v/>
      </c>
      <c r="P649">
        <f>IF(J649="","",IF(L649="",1,COUNTIF($L$2:$L$1501,L649)))</f>
        <v/>
      </c>
      <c r="Q649" s="11">
        <f>IF(J649="","",IFERROR(VALUE(SUBSTITUTE(SUBSTITUTE(IF(G649="","",G649)&amp;"","$",""),",","")),0)/IF("No"="Yes",P649,1))</f>
        <v/>
      </c>
      <c r="R649" s="11">
        <f>IF(J649="","",IFERROR(VALUE(SUBSTITUTE(SUBSTITUTE(IF(H649="","",H649)&amp;"","$",""),",","")),0)/IF("No"="Yes",P649,1))</f>
        <v/>
      </c>
      <c r="S649" s="11">
        <f>IF(J649="","",O649+Q649-R649)</f>
        <v/>
      </c>
      <c r="T649">
        <f>IF(J649="","",IFERROR(IF(K649="",NA(),MATCH(K649,Products!$B$5:$B$204,0)),IFERROR(MATCH(J649,Products!$A$5:$A$204,0),"")))</f>
        <v/>
      </c>
      <c r="U649">
        <f>IF(J649="","",IF(T649="","⚠ not in Products",INDEX(Products!$A$5:$A$204,T649)))</f>
        <v/>
      </c>
      <c r="V649" s="11">
        <f>IF(J649="","",S649*(IFERROR(INDEX(Settings!$B$5:$B$9,MATCH($B649,Settings!$A$5:$A$9,0)),0)+IFERROR(INDEX(Settings!$E$5:$E$9,MATCH($B649,Settings!$A$5:$A$9,0)),0)+IFERROR(INDEX(Settings!$G$5:$G$9,MATCH($B649,Settings!$A$5:$A$9,0)),0))+(IFERROR(INDEX(Settings!$C$5:$C$9,MATCH($B649,Settings!$A$5:$A$9,0)),0)+IFERROR(INDEX(Settings!$F$5:$F$9,MATCH($B649,Settings!$A$5:$A$9,0)),0))/P649+IFERROR(INDEX(Settings!$D$5:$D$9,MATCH($B649,Settings!$A$5:$A$9,0)),0)*M649)</f>
        <v/>
      </c>
      <c r="W649" s="11">
        <f>IF(J649="","",IF(T649="",0,M649*INDEX(Products!$I$5:$I$204,T649)))</f>
        <v/>
      </c>
      <c r="X649" s="11">
        <f>IF(J649="","",IF(T649="",0,S649*INDEX(Products!$H$5:$H$204,T649)))</f>
        <v/>
      </c>
      <c r="Y649" s="11">
        <f>IF(J649="","",S649-V649-W649-X649)</f>
        <v/>
      </c>
    </row>
    <row r="650">
      <c r="A650" s="19" t="n"/>
      <c r="B650" s="19" t="n"/>
      <c r="C650" s="19" t="n"/>
      <c r="D650" s="19" t="n"/>
      <c r="E650" s="19" t="n"/>
      <c r="F650" s="20" t="n"/>
      <c r="G650" s="20" t="n"/>
      <c r="H650" s="20" t="n"/>
      <c r="I650" s="19" t="n"/>
      <c r="J650">
        <f>IFERROR(IF(C650="","",C650)&amp;"","")</f>
        <v/>
      </c>
      <c r="K650">
        <f>IFERROR(IF(D650="","",D650)&amp;"","")</f>
        <v/>
      </c>
      <c r="L650">
        <f>IFERROR(IF(I650="","",I650)&amp;"","")</f>
        <v/>
      </c>
      <c r="M650">
        <f>IF(J650="","",IFERROR(VALUE(SUBSTITUTE(SUBSTITUTE(IF(E650="","",E650)&amp;"","$",""),",","")),0))</f>
        <v/>
      </c>
      <c r="N650" s="11">
        <f>IF(J650="","",IFERROR(VALUE(SUBSTITUTE(SUBSTITUTE(IF(F650="","",F650)&amp;"","$",""),",","")),0))</f>
        <v/>
      </c>
      <c r="O650" s="11">
        <f>IF(J650="","",M650*N650)</f>
        <v/>
      </c>
      <c r="P650">
        <f>IF(J650="","",IF(L650="",1,COUNTIF($L$2:$L$1501,L650)))</f>
        <v/>
      </c>
      <c r="Q650" s="11">
        <f>IF(J650="","",IFERROR(VALUE(SUBSTITUTE(SUBSTITUTE(IF(G650="","",G650)&amp;"","$",""),",","")),0)/IF("No"="Yes",P650,1))</f>
        <v/>
      </c>
      <c r="R650" s="11">
        <f>IF(J650="","",IFERROR(VALUE(SUBSTITUTE(SUBSTITUTE(IF(H650="","",H650)&amp;"","$",""),",","")),0)/IF("No"="Yes",P650,1))</f>
        <v/>
      </c>
      <c r="S650" s="11">
        <f>IF(J650="","",O650+Q650-R650)</f>
        <v/>
      </c>
      <c r="T650">
        <f>IF(J650="","",IFERROR(IF(K650="",NA(),MATCH(K650,Products!$B$5:$B$204,0)),IFERROR(MATCH(J650,Products!$A$5:$A$204,0),"")))</f>
        <v/>
      </c>
      <c r="U650">
        <f>IF(J650="","",IF(T650="","⚠ not in Products",INDEX(Products!$A$5:$A$204,T650)))</f>
        <v/>
      </c>
      <c r="V650" s="11">
        <f>IF(J650="","",S650*(IFERROR(INDEX(Settings!$B$5:$B$9,MATCH($B650,Settings!$A$5:$A$9,0)),0)+IFERROR(INDEX(Settings!$E$5:$E$9,MATCH($B650,Settings!$A$5:$A$9,0)),0)+IFERROR(INDEX(Settings!$G$5:$G$9,MATCH($B650,Settings!$A$5:$A$9,0)),0))+(IFERROR(INDEX(Settings!$C$5:$C$9,MATCH($B650,Settings!$A$5:$A$9,0)),0)+IFERROR(INDEX(Settings!$F$5:$F$9,MATCH($B650,Settings!$A$5:$A$9,0)),0))/P650+IFERROR(INDEX(Settings!$D$5:$D$9,MATCH($B650,Settings!$A$5:$A$9,0)),0)*M650)</f>
        <v/>
      </c>
      <c r="W650" s="11">
        <f>IF(J650="","",IF(T650="",0,M650*INDEX(Products!$I$5:$I$204,T650)))</f>
        <v/>
      </c>
      <c r="X650" s="11">
        <f>IF(J650="","",IF(T650="",0,S650*INDEX(Products!$H$5:$H$204,T650)))</f>
        <v/>
      </c>
      <c r="Y650" s="11">
        <f>IF(J650="","",S650-V650-W650-X650)</f>
        <v/>
      </c>
    </row>
    <row r="651">
      <c r="A651" s="19" t="n"/>
      <c r="B651" s="19" t="n"/>
      <c r="C651" s="19" t="n"/>
      <c r="D651" s="19" t="n"/>
      <c r="E651" s="19" t="n"/>
      <c r="F651" s="20" t="n"/>
      <c r="G651" s="20" t="n"/>
      <c r="H651" s="20" t="n"/>
      <c r="I651" s="19" t="n"/>
      <c r="J651">
        <f>IFERROR(IF(C651="","",C651)&amp;"","")</f>
        <v/>
      </c>
      <c r="K651">
        <f>IFERROR(IF(D651="","",D651)&amp;"","")</f>
        <v/>
      </c>
      <c r="L651">
        <f>IFERROR(IF(I651="","",I651)&amp;"","")</f>
        <v/>
      </c>
      <c r="M651">
        <f>IF(J651="","",IFERROR(VALUE(SUBSTITUTE(SUBSTITUTE(IF(E651="","",E651)&amp;"","$",""),",","")),0))</f>
        <v/>
      </c>
      <c r="N651" s="11">
        <f>IF(J651="","",IFERROR(VALUE(SUBSTITUTE(SUBSTITUTE(IF(F651="","",F651)&amp;"","$",""),",","")),0))</f>
        <v/>
      </c>
      <c r="O651" s="11">
        <f>IF(J651="","",M651*N651)</f>
        <v/>
      </c>
      <c r="P651">
        <f>IF(J651="","",IF(L651="",1,COUNTIF($L$2:$L$1501,L651)))</f>
        <v/>
      </c>
      <c r="Q651" s="11">
        <f>IF(J651="","",IFERROR(VALUE(SUBSTITUTE(SUBSTITUTE(IF(G651="","",G651)&amp;"","$",""),",","")),0)/IF("No"="Yes",P651,1))</f>
        <v/>
      </c>
      <c r="R651" s="11">
        <f>IF(J651="","",IFERROR(VALUE(SUBSTITUTE(SUBSTITUTE(IF(H651="","",H651)&amp;"","$",""),",","")),0)/IF("No"="Yes",P651,1))</f>
        <v/>
      </c>
      <c r="S651" s="11">
        <f>IF(J651="","",O651+Q651-R651)</f>
        <v/>
      </c>
      <c r="T651">
        <f>IF(J651="","",IFERROR(IF(K651="",NA(),MATCH(K651,Products!$B$5:$B$204,0)),IFERROR(MATCH(J651,Products!$A$5:$A$204,0),"")))</f>
        <v/>
      </c>
      <c r="U651">
        <f>IF(J651="","",IF(T651="","⚠ not in Products",INDEX(Products!$A$5:$A$204,T651)))</f>
        <v/>
      </c>
      <c r="V651" s="11">
        <f>IF(J651="","",S651*(IFERROR(INDEX(Settings!$B$5:$B$9,MATCH($B651,Settings!$A$5:$A$9,0)),0)+IFERROR(INDEX(Settings!$E$5:$E$9,MATCH($B651,Settings!$A$5:$A$9,0)),0)+IFERROR(INDEX(Settings!$G$5:$G$9,MATCH($B651,Settings!$A$5:$A$9,0)),0))+(IFERROR(INDEX(Settings!$C$5:$C$9,MATCH($B651,Settings!$A$5:$A$9,0)),0)+IFERROR(INDEX(Settings!$F$5:$F$9,MATCH($B651,Settings!$A$5:$A$9,0)),0))/P651+IFERROR(INDEX(Settings!$D$5:$D$9,MATCH($B651,Settings!$A$5:$A$9,0)),0)*M651)</f>
        <v/>
      </c>
      <c r="W651" s="11">
        <f>IF(J651="","",IF(T651="",0,M651*INDEX(Products!$I$5:$I$204,T651)))</f>
        <v/>
      </c>
      <c r="X651" s="11">
        <f>IF(J651="","",IF(T651="",0,S651*INDEX(Products!$H$5:$H$204,T651)))</f>
        <v/>
      </c>
      <c r="Y651" s="11">
        <f>IF(J651="","",S651-V651-W651-X651)</f>
        <v/>
      </c>
    </row>
    <row r="652">
      <c r="A652" s="19" t="n"/>
      <c r="B652" s="19" t="n"/>
      <c r="C652" s="19" t="n"/>
      <c r="D652" s="19" t="n"/>
      <c r="E652" s="19" t="n"/>
      <c r="F652" s="20" t="n"/>
      <c r="G652" s="20" t="n"/>
      <c r="H652" s="20" t="n"/>
      <c r="I652" s="19" t="n"/>
      <c r="J652">
        <f>IFERROR(IF(C652="","",C652)&amp;"","")</f>
        <v/>
      </c>
      <c r="K652">
        <f>IFERROR(IF(D652="","",D652)&amp;"","")</f>
        <v/>
      </c>
      <c r="L652">
        <f>IFERROR(IF(I652="","",I652)&amp;"","")</f>
        <v/>
      </c>
      <c r="M652">
        <f>IF(J652="","",IFERROR(VALUE(SUBSTITUTE(SUBSTITUTE(IF(E652="","",E652)&amp;"","$",""),",","")),0))</f>
        <v/>
      </c>
      <c r="N652" s="11">
        <f>IF(J652="","",IFERROR(VALUE(SUBSTITUTE(SUBSTITUTE(IF(F652="","",F652)&amp;"","$",""),",","")),0))</f>
        <v/>
      </c>
      <c r="O652" s="11">
        <f>IF(J652="","",M652*N652)</f>
        <v/>
      </c>
      <c r="P652">
        <f>IF(J652="","",IF(L652="",1,COUNTIF($L$2:$L$1501,L652)))</f>
        <v/>
      </c>
      <c r="Q652" s="11">
        <f>IF(J652="","",IFERROR(VALUE(SUBSTITUTE(SUBSTITUTE(IF(G652="","",G652)&amp;"","$",""),",","")),0)/IF("No"="Yes",P652,1))</f>
        <v/>
      </c>
      <c r="R652" s="11">
        <f>IF(J652="","",IFERROR(VALUE(SUBSTITUTE(SUBSTITUTE(IF(H652="","",H652)&amp;"","$",""),",","")),0)/IF("No"="Yes",P652,1))</f>
        <v/>
      </c>
      <c r="S652" s="11">
        <f>IF(J652="","",O652+Q652-R652)</f>
        <v/>
      </c>
      <c r="T652">
        <f>IF(J652="","",IFERROR(IF(K652="",NA(),MATCH(K652,Products!$B$5:$B$204,0)),IFERROR(MATCH(J652,Products!$A$5:$A$204,0),"")))</f>
        <v/>
      </c>
      <c r="U652">
        <f>IF(J652="","",IF(T652="","⚠ not in Products",INDEX(Products!$A$5:$A$204,T652)))</f>
        <v/>
      </c>
      <c r="V652" s="11">
        <f>IF(J652="","",S652*(IFERROR(INDEX(Settings!$B$5:$B$9,MATCH($B652,Settings!$A$5:$A$9,0)),0)+IFERROR(INDEX(Settings!$E$5:$E$9,MATCH($B652,Settings!$A$5:$A$9,0)),0)+IFERROR(INDEX(Settings!$G$5:$G$9,MATCH($B652,Settings!$A$5:$A$9,0)),0))+(IFERROR(INDEX(Settings!$C$5:$C$9,MATCH($B652,Settings!$A$5:$A$9,0)),0)+IFERROR(INDEX(Settings!$F$5:$F$9,MATCH($B652,Settings!$A$5:$A$9,0)),0))/P652+IFERROR(INDEX(Settings!$D$5:$D$9,MATCH($B652,Settings!$A$5:$A$9,0)),0)*M652)</f>
        <v/>
      </c>
      <c r="W652" s="11">
        <f>IF(J652="","",IF(T652="",0,M652*INDEX(Products!$I$5:$I$204,T652)))</f>
        <v/>
      </c>
      <c r="X652" s="11">
        <f>IF(J652="","",IF(T652="",0,S652*INDEX(Products!$H$5:$H$204,T652)))</f>
        <v/>
      </c>
      <c r="Y652" s="11">
        <f>IF(J652="","",S652-V652-W652-X652)</f>
        <v/>
      </c>
    </row>
    <row r="653">
      <c r="A653" s="19" t="n"/>
      <c r="B653" s="19" t="n"/>
      <c r="C653" s="19" t="n"/>
      <c r="D653" s="19" t="n"/>
      <c r="E653" s="19" t="n"/>
      <c r="F653" s="20" t="n"/>
      <c r="G653" s="20" t="n"/>
      <c r="H653" s="20" t="n"/>
      <c r="I653" s="19" t="n"/>
      <c r="J653">
        <f>IFERROR(IF(C653="","",C653)&amp;"","")</f>
        <v/>
      </c>
      <c r="K653">
        <f>IFERROR(IF(D653="","",D653)&amp;"","")</f>
        <v/>
      </c>
      <c r="L653">
        <f>IFERROR(IF(I653="","",I653)&amp;"","")</f>
        <v/>
      </c>
      <c r="M653">
        <f>IF(J653="","",IFERROR(VALUE(SUBSTITUTE(SUBSTITUTE(IF(E653="","",E653)&amp;"","$",""),",","")),0))</f>
        <v/>
      </c>
      <c r="N653" s="11">
        <f>IF(J653="","",IFERROR(VALUE(SUBSTITUTE(SUBSTITUTE(IF(F653="","",F653)&amp;"","$",""),",","")),0))</f>
        <v/>
      </c>
      <c r="O653" s="11">
        <f>IF(J653="","",M653*N653)</f>
        <v/>
      </c>
      <c r="P653">
        <f>IF(J653="","",IF(L653="",1,COUNTIF($L$2:$L$1501,L653)))</f>
        <v/>
      </c>
      <c r="Q653" s="11">
        <f>IF(J653="","",IFERROR(VALUE(SUBSTITUTE(SUBSTITUTE(IF(G653="","",G653)&amp;"","$",""),",","")),0)/IF("No"="Yes",P653,1))</f>
        <v/>
      </c>
      <c r="R653" s="11">
        <f>IF(J653="","",IFERROR(VALUE(SUBSTITUTE(SUBSTITUTE(IF(H653="","",H653)&amp;"","$",""),",","")),0)/IF("No"="Yes",P653,1))</f>
        <v/>
      </c>
      <c r="S653" s="11">
        <f>IF(J653="","",O653+Q653-R653)</f>
        <v/>
      </c>
      <c r="T653">
        <f>IF(J653="","",IFERROR(IF(K653="",NA(),MATCH(K653,Products!$B$5:$B$204,0)),IFERROR(MATCH(J653,Products!$A$5:$A$204,0),"")))</f>
        <v/>
      </c>
      <c r="U653">
        <f>IF(J653="","",IF(T653="","⚠ not in Products",INDEX(Products!$A$5:$A$204,T653)))</f>
        <v/>
      </c>
      <c r="V653" s="11">
        <f>IF(J653="","",S653*(IFERROR(INDEX(Settings!$B$5:$B$9,MATCH($B653,Settings!$A$5:$A$9,0)),0)+IFERROR(INDEX(Settings!$E$5:$E$9,MATCH($B653,Settings!$A$5:$A$9,0)),0)+IFERROR(INDEX(Settings!$G$5:$G$9,MATCH($B653,Settings!$A$5:$A$9,0)),0))+(IFERROR(INDEX(Settings!$C$5:$C$9,MATCH($B653,Settings!$A$5:$A$9,0)),0)+IFERROR(INDEX(Settings!$F$5:$F$9,MATCH($B653,Settings!$A$5:$A$9,0)),0))/P653+IFERROR(INDEX(Settings!$D$5:$D$9,MATCH($B653,Settings!$A$5:$A$9,0)),0)*M653)</f>
        <v/>
      </c>
      <c r="W653" s="11">
        <f>IF(J653="","",IF(T653="",0,M653*INDEX(Products!$I$5:$I$204,T653)))</f>
        <v/>
      </c>
      <c r="X653" s="11">
        <f>IF(J653="","",IF(T653="",0,S653*INDEX(Products!$H$5:$H$204,T653)))</f>
        <v/>
      </c>
      <c r="Y653" s="11">
        <f>IF(J653="","",S653-V653-W653-X653)</f>
        <v/>
      </c>
    </row>
    <row r="654">
      <c r="A654" s="19" t="n"/>
      <c r="B654" s="19" t="n"/>
      <c r="C654" s="19" t="n"/>
      <c r="D654" s="19" t="n"/>
      <c r="E654" s="19" t="n"/>
      <c r="F654" s="20" t="n"/>
      <c r="G654" s="20" t="n"/>
      <c r="H654" s="20" t="n"/>
      <c r="I654" s="19" t="n"/>
      <c r="J654">
        <f>IFERROR(IF(C654="","",C654)&amp;"","")</f>
        <v/>
      </c>
      <c r="K654">
        <f>IFERROR(IF(D654="","",D654)&amp;"","")</f>
        <v/>
      </c>
      <c r="L654">
        <f>IFERROR(IF(I654="","",I654)&amp;"","")</f>
        <v/>
      </c>
      <c r="M654">
        <f>IF(J654="","",IFERROR(VALUE(SUBSTITUTE(SUBSTITUTE(IF(E654="","",E654)&amp;"","$",""),",","")),0))</f>
        <v/>
      </c>
      <c r="N654" s="11">
        <f>IF(J654="","",IFERROR(VALUE(SUBSTITUTE(SUBSTITUTE(IF(F654="","",F654)&amp;"","$",""),",","")),0))</f>
        <v/>
      </c>
      <c r="O654" s="11">
        <f>IF(J654="","",M654*N654)</f>
        <v/>
      </c>
      <c r="P654">
        <f>IF(J654="","",IF(L654="",1,COUNTIF($L$2:$L$1501,L654)))</f>
        <v/>
      </c>
      <c r="Q654" s="11">
        <f>IF(J654="","",IFERROR(VALUE(SUBSTITUTE(SUBSTITUTE(IF(G654="","",G654)&amp;"","$",""),",","")),0)/IF("No"="Yes",P654,1))</f>
        <v/>
      </c>
      <c r="R654" s="11">
        <f>IF(J654="","",IFERROR(VALUE(SUBSTITUTE(SUBSTITUTE(IF(H654="","",H654)&amp;"","$",""),",","")),0)/IF("No"="Yes",P654,1))</f>
        <v/>
      </c>
      <c r="S654" s="11">
        <f>IF(J654="","",O654+Q654-R654)</f>
        <v/>
      </c>
      <c r="T654">
        <f>IF(J654="","",IFERROR(IF(K654="",NA(),MATCH(K654,Products!$B$5:$B$204,0)),IFERROR(MATCH(J654,Products!$A$5:$A$204,0),"")))</f>
        <v/>
      </c>
      <c r="U654">
        <f>IF(J654="","",IF(T654="","⚠ not in Products",INDEX(Products!$A$5:$A$204,T654)))</f>
        <v/>
      </c>
      <c r="V654" s="11">
        <f>IF(J654="","",S654*(IFERROR(INDEX(Settings!$B$5:$B$9,MATCH($B654,Settings!$A$5:$A$9,0)),0)+IFERROR(INDEX(Settings!$E$5:$E$9,MATCH($B654,Settings!$A$5:$A$9,0)),0)+IFERROR(INDEX(Settings!$G$5:$G$9,MATCH($B654,Settings!$A$5:$A$9,0)),0))+(IFERROR(INDEX(Settings!$C$5:$C$9,MATCH($B654,Settings!$A$5:$A$9,0)),0)+IFERROR(INDEX(Settings!$F$5:$F$9,MATCH($B654,Settings!$A$5:$A$9,0)),0))/P654+IFERROR(INDEX(Settings!$D$5:$D$9,MATCH($B654,Settings!$A$5:$A$9,0)),0)*M654)</f>
        <v/>
      </c>
      <c r="W654" s="11">
        <f>IF(J654="","",IF(T654="",0,M654*INDEX(Products!$I$5:$I$204,T654)))</f>
        <v/>
      </c>
      <c r="X654" s="11">
        <f>IF(J654="","",IF(T654="",0,S654*INDEX(Products!$H$5:$H$204,T654)))</f>
        <v/>
      </c>
      <c r="Y654" s="11">
        <f>IF(J654="","",S654-V654-W654-X654)</f>
        <v/>
      </c>
    </row>
    <row r="655">
      <c r="A655" s="19" t="n"/>
      <c r="B655" s="19" t="n"/>
      <c r="C655" s="19" t="n"/>
      <c r="D655" s="19" t="n"/>
      <c r="E655" s="19" t="n"/>
      <c r="F655" s="20" t="n"/>
      <c r="G655" s="20" t="n"/>
      <c r="H655" s="20" t="n"/>
      <c r="I655" s="19" t="n"/>
      <c r="J655">
        <f>IFERROR(IF(C655="","",C655)&amp;"","")</f>
        <v/>
      </c>
      <c r="K655">
        <f>IFERROR(IF(D655="","",D655)&amp;"","")</f>
        <v/>
      </c>
      <c r="L655">
        <f>IFERROR(IF(I655="","",I655)&amp;"","")</f>
        <v/>
      </c>
      <c r="M655">
        <f>IF(J655="","",IFERROR(VALUE(SUBSTITUTE(SUBSTITUTE(IF(E655="","",E655)&amp;"","$",""),",","")),0))</f>
        <v/>
      </c>
      <c r="N655" s="11">
        <f>IF(J655="","",IFERROR(VALUE(SUBSTITUTE(SUBSTITUTE(IF(F655="","",F655)&amp;"","$",""),",","")),0))</f>
        <v/>
      </c>
      <c r="O655" s="11">
        <f>IF(J655="","",M655*N655)</f>
        <v/>
      </c>
      <c r="P655">
        <f>IF(J655="","",IF(L655="",1,COUNTIF($L$2:$L$1501,L655)))</f>
        <v/>
      </c>
      <c r="Q655" s="11">
        <f>IF(J655="","",IFERROR(VALUE(SUBSTITUTE(SUBSTITUTE(IF(G655="","",G655)&amp;"","$",""),",","")),0)/IF("No"="Yes",P655,1))</f>
        <v/>
      </c>
      <c r="R655" s="11">
        <f>IF(J655="","",IFERROR(VALUE(SUBSTITUTE(SUBSTITUTE(IF(H655="","",H655)&amp;"","$",""),",","")),0)/IF("No"="Yes",P655,1))</f>
        <v/>
      </c>
      <c r="S655" s="11">
        <f>IF(J655="","",O655+Q655-R655)</f>
        <v/>
      </c>
      <c r="T655">
        <f>IF(J655="","",IFERROR(IF(K655="",NA(),MATCH(K655,Products!$B$5:$B$204,0)),IFERROR(MATCH(J655,Products!$A$5:$A$204,0),"")))</f>
        <v/>
      </c>
      <c r="U655">
        <f>IF(J655="","",IF(T655="","⚠ not in Products",INDEX(Products!$A$5:$A$204,T655)))</f>
        <v/>
      </c>
      <c r="V655" s="11">
        <f>IF(J655="","",S655*(IFERROR(INDEX(Settings!$B$5:$B$9,MATCH($B655,Settings!$A$5:$A$9,0)),0)+IFERROR(INDEX(Settings!$E$5:$E$9,MATCH($B655,Settings!$A$5:$A$9,0)),0)+IFERROR(INDEX(Settings!$G$5:$G$9,MATCH($B655,Settings!$A$5:$A$9,0)),0))+(IFERROR(INDEX(Settings!$C$5:$C$9,MATCH($B655,Settings!$A$5:$A$9,0)),0)+IFERROR(INDEX(Settings!$F$5:$F$9,MATCH($B655,Settings!$A$5:$A$9,0)),0))/P655+IFERROR(INDEX(Settings!$D$5:$D$9,MATCH($B655,Settings!$A$5:$A$9,0)),0)*M655)</f>
        <v/>
      </c>
      <c r="W655" s="11">
        <f>IF(J655="","",IF(T655="",0,M655*INDEX(Products!$I$5:$I$204,T655)))</f>
        <v/>
      </c>
      <c r="X655" s="11">
        <f>IF(J655="","",IF(T655="",0,S655*INDEX(Products!$H$5:$H$204,T655)))</f>
        <v/>
      </c>
      <c r="Y655" s="11">
        <f>IF(J655="","",S655-V655-W655-X655)</f>
        <v/>
      </c>
    </row>
    <row r="656">
      <c r="A656" s="19" t="n"/>
      <c r="B656" s="19" t="n"/>
      <c r="C656" s="19" t="n"/>
      <c r="D656" s="19" t="n"/>
      <c r="E656" s="19" t="n"/>
      <c r="F656" s="20" t="n"/>
      <c r="G656" s="20" t="n"/>
      <c r="H656" s="20" t="n"/>
      <c r="I656" s="19" t="n"/>
      <c r="J656">
        <f>IFERROR(IF(C656="","",C656)&amp;"","")</f>
        <v/>
      </c>
      <c r="K656">
        <f>IFERROR(IF(D656="","",D656)&amp;"","")</f>
        <v/>
      </c>
      <c r="L656">
        <f>IFERROR(IF(I656="","",I656)&amp;"","")</f>
        <v/>
      </c>
      <c r="M656">
        <f>IF(J656="","",IFERROR(VALUE(SUBSTITUTE(SUBSTITUTE(IF(E656="","",E656)&amp;"","$",""),",","")),0))</f>
        <v/>
      </c>
      <c r="N656" s="11">
        <f>IF(J656="","",IFERROR(VALUE(SUBSTITUTE(SUBSTITUTE(IF(F656="","",F656)&amp;"","$",""),",","")),0))</f>
        <v/>
      </c>
      <c r="O656" s="11">
        <f>IF(J656="","",M656*N656)</f>
        <v/>
      </c>
      <c r="P656">
        <f>IF(J656="","",IF(L656="",1,COUNTIF($L$2:$L$1501,L656)))</f>
        <v/>
      </c>
      <c r="Q656" s="11">
        <f>IF(J656="","",IFERROR(VALUE(SUBSTITUTE(SUBSTITUTE(IF(G656="","",G656)&amp;"","$",""),",","")),0)/IF("No"="Yes",P656,1))</f>
        <v/>
      </c>
      <c r="R656" s="11">
        <f>IF(J656="","",IFERROR(VALUE(SUBSTITUTE(SUBSTITUTE(IF(H656="","",H656)&amp;"","$",""),",","")),0)/IF("No"="Yes",P656,1))</f>
        <v/>
      </c>
      <c r="S656" s="11">
        <f>IF(J656="","",O656+Q656-R656)</f>
        <v/>
      </c>
      <c r="T656">
        <f>IF(J656="","",IFERROR(IF(K656="",NA(),MATCH(K656,Products!$B$5:$B$204,0)),IFERROR(MATCH(J656,Products!$A$5:$A$204,0),"")))</f>
        <v/>
      </c>
      <c r="U656">
        <f>IF(J656="","",IF(T656="","⚠ not in Products",INDEX(Products!$A$5:$A$204,T656)))</f>
        <v/>
      </c>
      <c r="V656" s="11">
        <f>IF(J656="","",S656*(IFERROR(INDEX(Settings!$B$5:$B$9,MATCH($B656,Settings!$A$5:$A$9,0)),0)+IFERROR(INDEX(Settings!$E$5:$E$9,MATCH($B656,Settings!$A$5:$A$9,0)),0)+IFERROR(INDEX(Settings!$G$5:$G$9,MATCH($B656,Settings!$A$5:$A$9,0)),0))+(IFERROR(INDEX(Settings!$C$5:$C$9,MATCH($B656,Settings!$A$5:$A$9,0)),0)+IFERROR(INDEX(Settings!$F$5:$F$9,MATCH($B656,Settings!$A$5:$A$9,0)),0))/P656+IFERROR(INDEX(Settings!$D$5:$D$9,MATCH($B656,Settings!$A$5:$A$9,0)),0)*M656)</f>
        <v/>
      </c>
      <c r="W656" s="11">
        <f>IF(J656="","",IF(T656="",0,M656*INDEX(Products!$I$5:$I$204,T656)))</f>
        <v/>
      </c>
      <c r="X656" s="11">
        <f>IF(J656="","",IF(T656="",0,S656*INDEX(Products!$H$5:$H$204,T656)))</f>
        <v/>
      </c>
      <c r="Y656" s="11">
        <f>IF(J656="","",S656-V656-W656-X656)</f>
        <v/>
      </c>
    </row>
    <row r="657">
      <c r="A657" s="19" t="n"/>
      <c r="B657" s="19" t="n"/>
      <c r="C657" s="19" t="n"/>
      <c r="D657" s="19" t="n"/>
      <c r="E657" s="19" t="n"/>
      <c r="F657" s="20" t="n"/>
      <c r="G657" s="20" t="n"/>
      <c r="H657" s="20" t="n"/>
      <c r="I657" s="19" t="n"/>
      <c r="J657">
        <f>IFERROR(IF(C657="","",C657)&amp;"","")</f>
        <v/>
      </c>
      <c r="K657">
        <f>IFERROR(IF(D657="","",D657)&amp;"","")</f>
        <v/>
      </c>
      <c r="L657">
        <f>IFERROR(IF(I657="","",I657)&amp;"","")</f>
        <v/>
      </c>
      <c r="M657">
        <f>IF(J657="","",IFERROR(VALUE(SUBSTITUTE(SUBSTITUTE(IF(E657="","",E657)&amp;"","$",""),",","")),0))</f>
        <v/>
      </c>
      <c r="N657" s="11">
        <f>IF(J657="","",IFERROR(VALUE(SUBSTITUTE(SUBSTITUTE(IF(F657="","",F657)&amp;"","$",""),",","")),0))</f>
        <v/>
      </c>
      <c r="O657" s="11">
        <f>IF(J657="","",M657*N657)</f>
        <v/>
      </c>
      <c r="P657">
        <f>IF(J657="","",IF(L657="",1,COUNTIF($L$2:$L$1501,L657)))</f>
        <v/>
      </c>
      <c r="Q657" s="11">
        <f>IF(J657="","",IFERROR(VALUE(SUBSTITUTE(SUBSTITUTE(IF(G657="","",G657)&amp;"","$",""),",","")),0)/IF("No"="Yes",P657,1))</f>
        <v/>
      </c>
      <c r="R657" s="11">
        <f>IF(J657="","",IFERROR(VALUE(SUBSTITUTE(SUBSTITUTE(IF(H657="","",H657)&amp;"","$",""),",","")),0)/IF("No"="Yes",P657,1))</f>
        <v/>
      </c>
      <c r="S657" s="11">
        <f>IF(J657="","",O657+Q657-R657)</f>
        <v/>
      </c>
      <c r="T657">
        <f>IF(J657="","",IFERROR(IF(K657="",NA(),MATCH(K657,Products!$B$5:$B$204,0)),IFERROR(MATCH(J657,Products!$A$5:$A$204,0),"")))</f>
        <v/>
      </c>
      <c r="U657">
        <f>IF(J657="","",IF(T657="","⚠ not in Products",INDEX(Products!$A$5:$A$204,T657)))</f>
        <v/>
      </c>
      <c r="V657" s="11">
        <f>IF(J657="","",S657*(IFERROR(INDEX(Settings!$B$5:$B$9,MATCH($B657,Settings!$A$5:$A$9,0)),0)+IFERROR(INDEX(Settings!$E$5:$E$9,MATCH($B657,Settings!$A$5:$A$9,0)),0)+IFERROR(INDEX(Settings!$G$5:$G$9,MATCH($B657,Settings!$A$5:$A$9,0)),0))+(IFERROR(INDEX(Settings!$C$5:$C$9,MATCH($B657,Settings!$A$5:$A$9,0)),0)+IFERROR(INDEX(Settings!$F$5:$F$9,MATCH($B657,Settings!$A$5:$A$9,0)),0))/P657+IFERROR(INDEX(Settings!$D$5:$D$9,MATCH($B657,Settings!$A$5:$A$9,0)),0)*M657)</f>
        <v/>
      </c>
      <c r="W657" s="11">
        <f>IF(J657="","",IF(T657="",0,M657*INDEX(Products!$I$5:$I$204,T657)))</f>
        <v/>
      </c>
      <c r="X657" s="11">
        <f>IF(J657="","",IF(T657="",0,S657*INDEX(Products!$H$5:$H$204,T657)))</f>
        <v/>
      </c>
      <c r="Y657" s="11">
        <f>IF(J657="","",S657-V657-W657-X657)</f>
        <v/>
      </c>
    </row>
    <row r="658">
      <c r="A658" s="19" t="n"/>
      <c r="B658" s="19" t="n"/>
      <c r="C658" s="19" t="n"/>
      <c r="D658" s="19" t="n"/>
      <c r="E658" s="19" t="n"/>
      <c r="F658" s="20" t="n"/>
      <c r="G658" s="20" t="n"/>
      <c r="H658" s="20" t="n"/>
      <c r="I658" s="19" t="n"/>
      <c r="J658">
        <f>IFERROR(IF(C658="","",C658)&amp;"","")</f>
        <v/>
      </c>
      <c r="K658">
        <f>IFERROR(IF(D658="","",D658)&amp;"","")</f>
        <v/>
      </c>
      <c r="L658">
        <f>IFERROR(IF(I658="","",I658)&amp;"","")</f>
        <v/>
      </c>
      <c r="M658">
        <f>IF(J658="","",IFERROR(VALUE(SUBSTITUTE(SUBSTITUTE(IF(E658="","",E658)&amp;"","$",""),",","")),0))</f>
        <v/>
      </c>
      <c r="N658" s="11">
        <f>IF(J658="","",IFERROR(VALUE(SUBSTITUTE(SUBSTITUTE(IF(F658="","",F658)&amp;"","$",""),",","")),0))</f>
        <v/>
      </c>
      <c r="O658" s="11">
        <f>IF(J658="","",M658*N658)</f>
        <v/>
      </c>
      <c r="P658">
        <f>IF(J658="","",IF(L658="",1,COUNTIF($L$2:$L$1501,L658)))</f>
        <v/>
      </c>
      <c r="Q658" s="11">
        <f>IF(J658="","",IFERROR(VALUE(SUBSTITUTE(SUBSTITUTE(IF(G658="","",G658)&amp;"","$",""),",","")),0)/IF("No"="Yes",P658,1))</f>
        <v/>
      </c>
      <c r="R658" s="11">
        <f>IF(J658="","",IFERROR(VALUE(SUBSTITUTE(SUBSTITUTE(IF(H658="","",H658)&amp;"","$",""),",","")),0)/IF("No"="Yes",P658,1))</f>
        <v/>
      </c>
      <c r="S658" s="11">
        <f>IF(J658="","",O658+Q658-R658)</f>
        <v/>
      </c>
      <c r="T658">
        <f>IF(J658="","",IFERROR(IF(K658="",NA(),MATCH(K658,Products!$B$5:$B$204,0)),IFERROR(MATCH(J658,Products!$A$5:$A$204,0),"")))</f>
        <v/>
      </c>
      <c r="U658">
        <f>IF(J658="","",IF(T658="","⚠ not in Products",INDEX(Products!$A$5:$A$204,T658)))</f>
        <v/>
      </c>
      <c r="V658" s="11">
        <f>IF(J658="","",S658*(IFERROR(INDEX(Settings!$B$5:$B$9,MATCH($B658,Settings!$A$5:$A$9,0)),0)+IFERROR(INDEX(Settings!$E$5:$E$9,MATCH($B658,Settings!$A$5:$A$9,0)),0)+IFERROR(INDEX(Settings!$G$5:$G$9,MATCH($B658,Settings!$A$5:$A$9,0)),0))+(IFERROR(INDEX(Settings!$C$5:$C$9,MATCH($B658,Settings!$A$5:$A$9,0)),0)+IFERROR(INDEX(Settings!$F$5:$F$9,MATCH($B658,Settings!$A$5:$A$9,0)),0))/P658+IFERROR(INDEX(Settings!$D$5:$D$9,MATCH($B658,Settings!$A$5:$A$9,0)),0)*M658)</f>
        <v/>
      </c>
      <c r="W658" s="11">
        <f>IF(J658="","",IF(T658="",0,M658*INDEX(Products!$I$5:$I$204,T658)))</f>
        <v/>
      </c>
      <c r="X658" s="11">
        <f>IF(J658="","",IF(T658="",0,S658*INDEX(Products!$H$5:$H$204,T658)))</f>
        <v/>
      </c>
      <c r="Y658" s="11">
        <f>IF(J658="","",S658-V658-W658-X658)</f>
        <v/>
      </c>
    </row>
    <row r="659">
      <c r="A659" s="19" t="n"/>
      <c r="B659" s="19" t="n"/>
      <c r="C659" s="19" t="n"/>
      <c r="D659" s="19" t="n"/>
      <c r="E659" s="19" t="n"/>
      <c r="F659" s="20" t="n"/>
      <c r="G659" s="20" t="n"/>
      <c r="H659" s="20" t="n"/>
      <c r="I659" s="19" t="n"/>
      <c r="J659">
        <f>IFERROR(IF(C659="","",C659)&amp;"","")</f>
        <v/>
      </c>
      <c r="K659">
        <f>IFERROR(IF(D659="","",D659)&amp;"","")</f>
        <v/>
      </c>
      <c r="L659">
        <f>IFERROR(IF(I659="","",I659)&amp;"","")</f>
        <v/>
      </c>
      <c r="M659">
        <f>IF(J659="","",IFERROR(VALUE(SUBSTITUTE(SUBSTITUTE(IF(E659="","",E659)&amp;"","$",""),",","")),0))</f>
        <v/>
      </c>
      <c r="N659" s="11">
        <f>IF(J659="","",IFERROR(VALUE(SUBSTITUTE(SUBSTITUTE(IF(F659="","",F659)&amp;"","$",""),",","")),0))</f>
        <v/>
      </c>
      <c r="O659" s="11">
        <f>IF(J659="","",M659*N659)</f>
        <v/>
      </c>
      <c r="P659">
        <f>IF(J659="","",IF(L659="",1,COUNTIF($L$2:$L$1501,L659)))</f>
        <v/>
      </c>
      <c r="Q659" s="11">
        <f>IF(J659="","",IFERROR(VALUE(SUBSTITUTE(SUBSTITUTE(IF(G659="","",G659)&amp;"","$",""),",","")),0)/IF("No"="Yes",P659,1))</f>
        <v/>
      </c>
      <c r="R659" s="11">
        <f>IF(J659="","",IFERROR(VALUE(SUBSTITUTE(SUBSTITUTE(IF(H659="","",H659)&amp;"","$",""),",","")),0)/IF("No"="Yes",P659,1))</f>
        <v/>
      </c>
      <c r="S659" s="11">
        <f>IF(J659="","",O659+Q659-R659)</f>
        <v/>
      </c>
      <c r="T659">
        <f>IF(J659="","",IFERROR(IF(K659="",NA(),MATCH(K659,Products!$B$5:$B$204,0)),IFERROR(MATCH(J659,Products!$A$5:$A$204,0),"")))</f>
        <v/>
      </c>
      <c r="U659">
        <f>IF(J659="","",IF(T659="","⚠ not in Products",INDEX(Products!$A$5:$A$204,T659)))</f>
        <v/>
      </c>
      <c r="V659" s="11">
        <f>IF(J659="","",S659*(IFERROR(INDEX(Settings!$B$5:$B$9,MATCH($B659,Settings!$A$5:$A$9,0)),0)+IFERROR(INDEX(Settings!$E$5:$E$9,MATCH($B659,Settings!$A$5:$A$9,0)),0)+IFERROR(INDEX(Settings!$G$5:$G$9,MATCH($B659,Settings!$A$5:$A$9,0)),0))+(IFERROR(INDEX(Settings!$C$5:$C$9,MATCH($B659,Settings!$A$5:$A$9,0)),0)+IFERROR(INDEX(Settings!$F$5:$F$9,MATCH($B659,Settings!$A$5:$A$9,0)),0))/P659+IFERROR(INDEX(Settings!$D$5:$D$9,MATCH($B659,Settings!$A$5:$A$9,0)),0)*M659)</f>
        <v/>
      </c>
      <c r="W659" s="11">
        <f>IF(J659="","",IF(T659="",0,M659*INDEX(Products!$I$5:$I$204,T659)))</f>
        <v/>
      </c>
      <c r="X659" s="11">
        <f>IF(J659="","",IF(T659="",0,S659*INDEX(Products!$H$5:$H$204,T659)))</f>
        <v/>
      </c>
      <c r="Y659" s="11">
        <f>IF(J659="","",S659-V659-W659-X659)</f>
        <v/>
      </c>
    </row>
    <row r="660">
      <c r="A660" s="19" t="n"/>
      <c r="B660" s="19" t="n"/>
      <c r="C660" s="19" t="n"/>
      <c r="D660" s="19" t="n"/>
      <c r="E660" s="19" t="n"/>
      <c r="F660" s="20" t="n"/>
      <c r="G660" s="20" t="n"/>
      <c r="H660" s="20" t="n"/>
      <c r="I660" s="19" t="n"/>
      <c r="J660">
        <f>IFERROR(IF(C660="","",C660)&amp;"","")</f>
        <v/>
      </c>
      <c r="K660">
        <f>IFERROR(IF(D660="","",D660)&amp;"","")</f>
        <v/>
      </c>
      <c r="L660">
        <f>IFERROR(IF(I660="","",I660)&amp;"","")</f>
        <v/>
      </c>
      <c r="M660">
        <f>IF(J660="","",IFERROR(VALUE(SUBSTITUTE(SUBSTITUTE(IF(E660="","",E660)&amp;"","$",""),",","")),0))</f>
        <v/>
      </c>
      <c r="N660" s="11">
        <f>IF(J660="","",IFERROR(VALUE(SUBSTITUTE(SUBSTITUTE(IF(F660="","",F660)&amp;"","$",""),",","")),0))</f>
        <v/>
      </c>
      <c r="O660" s="11">
        <f>IF(J660="","",M660*N660)</f>
        <v/>
      </c>
      <c r="P660">
        <f>IF(J660="","",IF(L660="",1,COUNTIF($L$2:$L$1501,L660)))</f>
        <v/>
      </c>
      <c r="Q660" s="11">
        <f>IF(J660="","",IFERROR(VALUE(SUBSTITUTE(SUBSTITUTE(IF(G660="","",G660)&amp;"","$",""),",","")),0)/IF("No"="Yes",P660,1))</f>
        <v/>
      </c>
      <c r="R660" s="11">
        <f>IF(J660="","",IFERROR(VALUE(SUBSTITUTE(SUBSTITUTE(IF(H660="","",H660)&amp;"","$",""),",","")),0)/IF("No"="Yes",P660,1))</f>
        <v/>
      </c>
      <c r="S660" s="11">
        <f>IF(J660="","",O660+Q660-R660)</f>
        <v/>
      </c>
      <c r="T660">
        <f>IF(J660="","",IFERROR(IF(K660="",NA(),MATCH(K660,Products!$B$5:$B$204,0)),IFERROR(MATCH(J660,Products!$A$5:$A$204,0),"")))</f>
        <v/>
      </c>
      <c r="U660">
        <f>IF(J660="","",IF(T660="","⚠ not in Products",INDEX(Products!$A$5:$A$204,T660)))</f>
        <v/>
      </c>
      <c r="V660" s="11">
        <f>IF(J660="","",S660*(IFERROR(INDEX(Settings!$B$5:$B$9,MATCH($B660,Settings!$A$5:$A$9,0)),0)+IFERROR(INDEX(Settings!$E$5:$E$9,MATCH($B660,Settings!$A$5:$A$9,0)),0)+IFERROR(INDEX(Settings!$G$5:$G$9,MATCH($B660,Settings!$A$5:$A$9,0)),0))+(IFERROR(INDEX(Settings!$C$5:$C$9,MATCH($B660,Settings!$A$5:$A$9,0)),0)+IFERROR(INDEX(Settings!$F$5:$F$9,MATCH($B660,Settings!$A$5:$A$9,0)),0))/P660+IFERROR(INDEX(Settings!$D$5:$D$9,MATCH($B660,Settings!$A$5:$A$9,0)),0)*M660)</f>
        <v/>
      </c>
      <c r="W660" s="11">
        <f>IF(J660="","",IF(T660="",0,M660*INDEX(Products!$I$5:$I$204,T660)))</f>
        <v/>
      </c>
      <c r="X660" s="11">
        <f>IF(J660="","",IF(T660="",0,S660*INDEX(Products!$H$5:$H$204,T660)))</f>
        <v/>
      </c>
      <c r="Y660" s="11">
        <f>IF(J660="","",S660-V660-W660-X660)</f>
        <v/>
      </c>
    </row>
    <row r="661">
      <c r="A661" s="19" t="n"/>
      <c r="B661" s="19" t="n"/>
      <c r="C661" s="19" t="n"/>
      <c r="D661" s="19" t="n"/>
      <c r="E661" s="19" t="n"/>
      <c r="F661" s="20" t="n"/>
      <c r="G661" s="20" t="n"/>
      <c r="H661" s="20" t="n"/>
      <c r="I661" s="19" t="n"/>
      <c r="J661">
        <f>IFERROR(IF(C661="","",C661)&amp;"","")</f>
        <v/>
      </c>
      <c r="K661">
        <f>IFERROR(IF(D661="","",D661)&amp;"","")</f>
        <v/>
      </c>
      <c r="L661">
        <f>IFERROR(IF(I661="","",I661)&amp;"","")</f>
        <v/>
      </c>
      <c r="M661">
        <f>IF(J661="","",IFERROR(VALUE(SUBSTITUTE(SUBSTITUTE(IF(E661="","",E661)&amp;"","$",""),",","")),0))</f>
        <v/>
      </c>
      <c r="N661" s="11">
        <f>IF(J661="","",IFERROR(VALUE(SUBSTITUTE(SUBSTITUTE(IF(F661="","",F661)&amp;"","$",""),",","")),0))</f>
        <v/>
      </c>
      <c r="O661" s="11">
        <f>IF(J661="","",M661*N661)</f>
        <v/>
      </c>
      <c r="P661">
        <f>IF(J661="","",IF(L661="",1,COUNTIF($L$2:$L$1501,L661)))</f>
        <v/>
      </c>
      <c r="Q661" s="11">
        <f>IF(J661="","",IFERROR(VALUE(SUBSTITUTE(SUBSTITUTE(IF(G661="","",G661)&amp;"","$",""),",","")),0)/IF("No"="Yes",P661,1))</f>
        <v/>
      </c>
      <c r="R661" s="11">
        <f>IF(J661="","",IFERROR(VALUE(SUBSTITUTE(SUBSTITUTE(IF(H661="","",H661)&amp;"","$",""),",","")),0)/IF("No"="Yes",P661,1))</f>
        <v/>
      </c>
      <c r="S661" s="11">
        <f>IF(J661="","",O661+Q661-R661)</f>
        <v/>
      </c>
      <c r="T661">
        <f>IF(J661="","",IFERROR(IF(K661="",NA(),MATCH(K661,Products!$B$5:$B$204,0)),IFERROR(MATCH(J661,Products!$A$5:$A$204,0),"")))</f>
        <v/>
      </c>
      <c r="U661">
        <f>IF(J661="","",IF(T661="","⚠ not in Products",INDEX(Products!$A$5:$A$204,T661)))</f>
        <v/>
      </c>
      <c r="V661" s="11">
        <f>IF(J661="","",S661*(IFERROR(INDEX(Settings!$B$5:$B$9,MATCH($B661,Settings!$A$5:$A$9,0)),0)+IFERROR(INDEX(Settings!$E$5:$E$9,MATCH($B661,Settings!$A$5:$A$9,0)),0)+IFERROR(INDEX(Settings!$G$5:$G$9,MATCH($B661,Settings!$A$5:$A$9,0)),0))+(IFERROR(INDEX(Settings!$C$5:$C$9,MATCH($B661,Settings!$A$5:$A$9,0)),0)+IFERROR(INDEX(Settings!$F$5:$F$9,MATCH($B661,Settings!$A$5:$A$9,0)),0))/P661+IFERROR(INDEX(Settings!$D$5:$D$9,MATCH($B661,Settings!$A$5:$A$9,0)),0)*M661)</f>
        <v/>
      </c>
      <c r="W661" s="11">
        <f>IF(J661="","",IF(T661="",0,M661*INDEX(Products!$I$5:$I$204,T661)))</f>
        <v/>
      </c>
      <c r="X661" s="11">
        <f>IF(J661="","",IF(T661="",0,S661*INDEX(Products!$H$5:$H$204,T661)))</f>
        <v/>
      </c>
      <c r="Y661" s="11">
        <f>IF(J661="","",S661-V661-W661-X661)</f>
        <v/>
      </c>
    </row>
    <row r="662">
      <c r="A662" s="19" t="n"/>
      <c r="B662" s="19" t="n"/>
      <c r="C662" s="19" t="n"/>
      <c r="D662" s="19" t="n"/>
      <c r="E662" s="19" t="n"/>
      <c r="F662" s="20" t="n"/>
      <c r="G662" s="20" t="n"/>
      <c r="H662" s="20" t="n"/>
      <c r="I662" s="19" t="n"/>
      <c r="J662">
        <f>IFERROR(IF(C662="","",C662)&amp;"","")</f>
        <v/>
      </c>
      <c r="K662">
        <f>IFERROR(IF(D662="","",D662)&amp;"","")</f>
        <v/>
      </c>
      <c r="L662">
        <f>IFERROR(IF(I662="","",I662)&amp;"","")</f>
        <v/>
      </c>
      <c r="M662">
        <f>IF(J662="","",IFERROR(VALUE(SUBSTITUTE(SUBSTITUTE(IF(E662="","",E662)&amp;"","$",""),",","")),0))</f>
        <v/>
      </c>
      <c r="N662" s="11">
        <f>IF(J662="","",IFERROR(VALUE(SUBSTITUTE(SUBSTITUTE(IF(F662="","",F662)&amp;"","$",""),",","")),0))</f>
        <v/>
      </c>
      <c r="O662" s="11">
        <f>IF(J662="","",M662*N662)</f>
        <v/>
      </c>
      <c r="P662">
        <f>IF(J662="","",IF(L662="",1,COUNTIF($L$2:$L$1501,L662)))</f>
        <v/>
      </c>
      <c r="Q662" s="11">
        <f>IF(J662="","",IFERROR(VALUE(SUBSTITUTE(SUBSTITUTE(IF(G662="","",G662)&amp;"","$",""),",","")),0)/IF("No"="Yes",P662,1))</f>
        <v/>
      </c>
      <c r="R662" s="11">
        <f>IF(J662="","",IFERROR(VALUE(SUBSTITUTE(SUBSTITUTE(IF(H662="","",H662)&amp;"","$",""),",","")),0)/IF("No"="Yes",P662,1))</f>
        <v/>
      </c>
      <c r="S662" s="11">
        <f>IF(J662="","",O662+Q662-R662)</f>
        <v/>
      </c>
      <c r="T662">
        <f>IF(J662="","",IFERROR(IF(K662="",NA(),MATCH(K662,Products!$B$5:$B$204,0)),IFERROR(MATCH(J662,Products!$A$5:$A$204,0),"")))</f>
        <v/>
      </c>
      <c r="U662">
        <f>IF(J662="","",IF(T662="","⚠ not in Products",INDEX(Products!$A$5:$A$204,T662)))</f>
        <v/>
      </c>
      <c r="V662" s="11">
        <f>IF(J662="","",S662*(IFERROR(INDEX(Settings!$B$5:$B$9,MATCH($B662,Settings!$A$5:$A$9,0)),0)+IFERROR(INDEX(Settings!$E$5:$E$9,MATCH($B662,Settings!$A$5:$A$9,0)),0)+IFERROR(INDEX(Settings!$G$5:$G$9,MATCH($B662,Settings!$A$5:$A$9,0)),0))+(IFERROR(INDEX(Settings!$C$5:$C$9,MATCH($B662,Settings!$A$5:$A$9,0)),0)+IFERROR(INDEX(Settings!$F$5:$F$9,MATCH($B662,Settings!$A$5:$A$9,0)),0))/P662+IFERROR(INDEX(Settings!$D$5:$D$9,MATCH($B662,Settings!$A$5:$A$9,0)),0)*M662)</f>
        <v/>
      </c>
      <c r="W662" s="11">
        <f>IF(J662="","",IF(T662="",0,M662*INDEX(Products!$I$5:$I$204,T662)))</f>
        <v/>
      </c>
      <c r="X662" s="11">
        <f>IF(J662="","",IF(T662="",0,S662*INDEX(Products!$H$5:$H$204,T662)))</f>
        <v/>
      </c>
      <c r="Y662" s="11">
        <f>IF(J662="","",S662-V662-W662-X662)</f>
        <v/>
      </c>
    </row>
    <row r="663">
      <c r="A663" s="19" t="n"/>
      <c r="B663" s="19" t="n"/>
      <c r="C663" s="19" t="n"/>
      <c r="D663" s="19" t="n"/>
      <c r="E663" s="19" t="n"/>
      <c r="F663" s="20" t="n"/>
      <c r="G663" s="20" t="n"/>
      <c r="H663" s="20" t="n"/>
      <c r="I663" s="19" t="n"/>
      <c r="J663">
        <f>IFERROR(IF(C663="","",C663)&amp;"","")</f>
        <v/>
      </c>
      <c r="K663">
        <f>IFERROR(IF(D663="","",D663)&amp;"","")</f>
        <v/>
      </c>
      <c r="L663">
        <f>IFERROR(IF(I663="","",I663)&amp;"","")</f>
        <v/>
      </c>
      <c r="M663">
        <f>IF(J663="","",IFERROR(VALUE(SUBSTITUTE(SUBSTITUTE(IF(E663="","",E663)&amp;"","$",""),",","")),0))</f>
        <v/>
      </c>
      <c r="N663" s="11">
        <f>IF(J663="","",IFERROR(VALUE(SUBSTITUTE(SUBSTITUTE(IF(F663="","",F663)&amp;"","$",""),",","")),0))</f>
        <v/>
      </c>
      <c r="O663" s="11">
        <f>IF(J663="","",M663*N663)</f>
        <v/>
      </c>
      <c r="P663">
        <f>IF(J663="","",IF(L663="",1,COUNTIF($L$2:$L$1501,L663)))</f>
        <v/>
      </c>
      <c r="Q663" s="11">
        <f>IF(J663="","",IFERROR(VALUE(SUBSTITUTE(SUBSTITUTE(IF(G663="","",G663)&amp;"","$",""),",","")),0)/IF("No"="Yes",P663,1))</f>
        <v/>
      </c>
      <c r="R663" s="11">
        <f>IF(J663="","",IFERROR(VALUE(SUBSTITUTE(SUBSTITUTE(IF(H663="","",H663)&amp;"","$",""),",","")),0)/IF("No"="Yes",P663,1))</f>
        <v/>
      </c>
      <c r="S663" s="11">
        <f>IF(J663="","",O663+Q663-R663)</f>
        <v/>
      </c>
      <c r="T663">
        <f>IF(J663="","",IFERROR(IF(K663="",NA(),MATCH(K663,Products!$B$5:$B$204,0)),IFERROR(MATCH(J663,Products!$A$5:$A$204,0),"")))</f>
        <v/>
      </c>
      <c r="U663">
        <f>IF(J663="","",IF(T663="","⚠ not in Products",INDEX(Products!$A$5:$A$204,T663)))</f>
        <v/>
      </c>
      <c r="V663" s="11">
        <f>IF(J663="","",S663*(IFERROR(INDEX(Settings!$B$5:$B$9,MATCH($B663,Settings!$A$5:$A$9,0)),0)+IFERROR(INDEX(Settings!$E$5:$E$9,MATCH($B663,Settings!$A$5:$A$9,0)),0)+IFERROR(INDEX(Settings!$G$5:$G$9,MATCH($B663,Settings!$A$5:$A$9,0)),0))+(IFERROR(INDEX(Settings!$C$5:$C$9,MATCH($B663,Settings!$A$5:$A$9,0)),0)+IFERROR(INDEX(Settings!$F$5:$F$9,MATCH($B663,Settings!$A$5:$A$9,0)),0))/P663+IFERROR(INDEX(Settings!$D$5:$D$9,MATCH($B663,Settings!$A$5:$A$9,0)),0)*M663)</f>
        <v/>
      </c>
      <c r="W663" s="11">
        <f>IF(J663="","",IF(T663="",0,M663*INDEX(Products!$I$5:$I$204,T663)))</f>
        <v/>
      </c>
      <c r="X663" s="11">
        <f>IF(J663="","",IF(T663="",0,S663*INDEX(Products!$H$5:$H$204,T663)))</f>
        <v/>
      </c>
      <c r="Y663" s="11">
        <f>IF(J663="","",S663-V663-W663-X663)</f>
        <v/>
      </c>
    </row>
    <row r="664">
      <c r="A664" s="19" t="n"/>
      <c r="B664" s="19" t="n"/>
      <c r="C664" s="19" t="n"/>
      <c r="D664" s="19" t="n"/>
      <c r="E664" s="19" t="n"/>
      <c r="F664" s="20" t="n"/>
      <c r="G664" s="20" t="n"/>
      <c r="H664" s="20" t="n"/>
      <c r="I664" s="19" t="n"/>
      <c r="J664">
        <f>IFERROR(IF(C664="","",C664)&amp;"","")</f>
        <v/>
      </c>
      <c r="K664">
        <f>IFERROR(IF(D664="","",D664)&amp;"","")</f>
        <v/>
      </c>
      <c r="L664">
        <f>IFERROR(IF(I664="","",I664)&amp;"","")</f>
        <v/>
      </c>
      <c r="M664">
        <f>IF(J664="","",IFERROR(VALUE(SUBSTITUTE(SUBSTITUTE(IF(E664="","",E664)&amp;"","$",""),",","")),0))</f>
        <v/>
      </c>
      <c r="N664" s="11">
        <f>IF(J664="","",IFERROR(VALUE(SUBSTITUTE(SUBSTITUTE(IF(F664="","",F664)&amp;"","$",""),",","")),0))</f>
        <v/>
      </c>
      <c r="O664" s="11">
        <f>IF(J664="","",M664*N664)</f>
        <v/>
      </c>
      <c r="P664">
        <f>IF(J664="","",IF(L664="",1,COUNTIF($L$2:$L$1501,L664)))</f>
        <v/>
      </c>
      <c r="Q664" s="11">
        <f>IF(J664="","",IFERROR(VALUE(SUBSTITUTE(SUBSTITUTE(IF(G664="","",G664)&amp;"","$",""),",","")),0)/IF("No"="Yes",P664,1))</f>
        <v/>
      </c>
      <c r="R664" s="11">
        <f>IF(J664="","",IFERROR(VALUE(SUBSTITUTE(SUBSTITUTE(IF(H664="","",H664)&amp;"","$",""),",","")),0)/IF("No"="Yes",P664,1))</f>
        <v/>
      </c>
      <c r="S664" s="11">
        <f>IF(J664="","",O664+Q664-R664)</f>
        <v/>
      </c>
      <c r="T664">
        <f>IF(J664="","",IFERROR(IF(K664="",NA(),MATCH(K664,Products!$B$5:$B$204,0)),IFERROR(MATCH(J664,Products!$A$5:$A$204,0),"")))</f>
        <v/>
      </c>
      <c r="U664">
        <f>IF(J664="","",IF(T664="","⚠ not in Products",INDEX(Products!$A$5:$A$204,T664)))</f>
        <v/>
      </c>
      <c r="V664" s="11">
        <f>IF(J664="","",S664*(IFERROR(INDEX(Settings!$B$5:$B$9,MATCH($B664,Settings!$A$5:$A$9,0)),0)+IFERROR(INDEX(Settings!$E$5:$E$9,MATCH($B664,Settings!$A$5:$A$9,0)),0)+IFERROR(INDEX(Settings!$G$5:$G$9,MATCH($B664,Settings!$A$5:$A$9,0)),0))+(IFERROR(INDEX(Settings!$C$5:$C$9,MATCH($B664,Settings!$A$5:$A$9,0)),0)+IFERROR(INDEX(Settings!$F$5:$F$9,MATCH($B664,Settings!$A$5:$A$9,0)),0))/P664+IFERROR(INDEX(Settings!$D$5:$D$9,MATCH($B664,Settings!$A$5:$A$9,0)),0)*M664)</f>
        <v/>
      </c>
      <c r="W664" s="11">
        <f>IF(J664="","",IF(T664="",0,M664*INDEX(Products!$I$5:$I$204,T664)))</f>
        <v/>
      </c>
      <c r="X664" s="11">
        <f>IF(J664="","",IF(T664="",0,S664*INDEX(Products!$H$5:$H$204,T664)))</f>
        <v/>
      </c>
      <c r="Y664" s="11">
        <f>IF(J664="","",S664-V664-W664-X664)</f>
        <v/>
      </c>
    </row>
    <row r="665">
      <c r="A665" s="19" t="n"/>
      <c r="B665" s="19" t="n"/>
      <c r="C665" s="19" t="n"/>
      <c r="D665" s="19" t="n"/>
      <c r="E665" s="19" t="n"/>
      <c r="F665" s="20" t="n"/>
      <c r="G665" s="20" t="n"/>
      <c r="H665" s="20" t="n"/>
      <c r="I665" s="19" t="n"/>
      <c r="J665">
        <f>IFERROR(IF(C665="","",C665)&amp;"","")</f>
        <v/>
      </c>
      <c r="K665">
        <f>IFERROR(IF(D665="","",D665)&amp;"","")</f>
        <v/>
      </c>
      <c r="L665">
        <f>IFERROR(IF(I665="","",I665)&amp;"","")</f>
        <v/>
      </c>
      <c r="M665">
        <f>IF(J665="","",IFERROR(VALUE(SUBSTITUTE(SUBSTITUTE(IF(E665="","",E665)&amp;"","$",""),",","")),0))</f>
        <v/>
      </c>
      <c r="N665" s="11">
        <f>IF(J665="","",IFERROR(VALUE(SUBSTITUTE(SUBSTITUTE(IF(F665="","",F665)&amp;"","$",""),",","")),0))</f>
        <v/>
      </c>
      <c r="O665" s="11">
        <f>IF(J665="","",M665*N665)</f>
        <v/>
      </c>
      <c r="P665">
        <f>IF(J665="","",IF(L665="",1,COUNTIF($L$2:$L$1501,L665)))</f>
        <v/>
      </c>
      <c r="Q665" s="11">
        <f>IF(J665="","",IFERROR(VALUE(SUBSTITUTE(SUBSTITUTE(IF(G665="","",G665)&amp;"","$",""),",","")),0)/IF("No"="Yes",P665,1))</f>
        <v/>
      </c>
      <c r="R665" s="11">
        <f>IF(J665="","",IFERROR(VALUE(SUBSTITUTE(SUBSTITUTE(IF(H665="","",H665)&amp;"","$",""),",","")),0)/IF("No"="Yes",P665,1))</f>
        <v/>
      </c>
      <c r="S665" s="11">
        <f>IF(J665="","",O665+Q665-R665)</f>
        <v/>
      </c>
      <c r="T665">
        <f>IF(J665="","",IFERROR(IF(K665="",NA(),MATCH(K665,Products!$B$5:$B$204,0)),IFERROR(MATCH(J665,Products!$A$5:$A$204,0),"")))</f>
        <v/>
      </c>
      <c r="U665">
        <f>IF(J665="","",IF(T665="","⚠ not in Products",INDEX(Products!$A$5:$A$204,T665)))</f>
        <v/>
      </c>
      <c r="V665" s="11">
        <f>IF(J665="","",S665*(IFERROR(INDEX(Settings!$B$5:$B$9,MATCH($B665,Settings!$A$5:$A$9,0)),0)+IFERROR(INDEX(Settings!$E$5:$E$9,MATCH($B665,Settings!$A$5:$A$9,0)),0)+IFERROR(INDEX(Settings!$G$5:$G$9,MATCH($B665,Settings!$A$5:$A$9,0)),0))+(IFERROR(INDEX(Settings!$C$5:$C$9,MATCH($B665,Settings!$A$5:$A$9,0)),0)+IFERROR(INDEX(Settings!$F$5:$F$9,MATCH($B665,Settings!$A$5:$A$9,0)),0))/P665+IFERROR(INDEX(Settings!$D$5:$D$9,MATCH($B665,Settings!$A$5:$A$9,0)),0)*M665)</f>
        <v/>
      </c>
      <c r="W665" s="11">
        <f>IF(J665="","",IF(T665="",0,M665*INDEX(Products!$I$5:$I$204,T665)))</f>
        <v/>
      </c>
      <c r="X665" s="11">
        <f>IF(J665="","",IF(T665="",0,S665*INDEX(Products!$H$5:$H$204,T665)))</f>
        <v/>
      </c>
      <c r="Y665" s="11">
        <f>IF(J665="","",S665-V665-W665-X665)</f>
        <v/>
      </c>
    </row>
    <row r="666">
      <c r="A666" s="19" t="n"/>
      <c r="B666" s="19" t="n"/>
      <c r="C666" s="19" t="n"/>
      <c r="D666" s="19" t="n"/>
      <c r="E666" s="19" t="n"/>
      <c r="F666" s="20" t="n"/>
      <c r="G666" s="20" t="n"/>
      <c r="H666" s="20" t="n"/>
      <c r="I666" s="19" t="n"/>
      <c r="J666">
        <f>IFERROR(IF(C666="","",C666)&amp;"","")</f>
        <v/>
      </c>
      <c r="K666">
        <f>IFERROR(IF(D666="","",D666)&amp;"","")</f>
        <v/>
      </c>
      <c r="L666">
        <f>IFERROR(IF(I666="","",I666)&amp;"","")</f>
        <v/>
      </c>
      <c r="M666">
        <f>IF(J666="","",IFERROR(VALUE(SUBSTITUTE(SUBSTITUTE(IF(E666="","",E666)&amp;"","$",""),",","")),0))</f>
        <v/>
      </c>
      <c r="N666" s="11">
        <f>IF(J666="","",IFERROR(VALUE(SUBSTITUTE(SUBSTITUTE(IF(F666="","",F666)&amp;"","$",""),",","")),0))</f>
        <v/>
      </c>
      <c r="O666" s="11">
        <f>IF(J666="","",M666*N666)</f>
        <v/>
      </c>
      <c r="P666">
        <f>IF(J666="","",IF(L666="",1,COUNTIF($L$2:$L$1501,L666)))</f>
        <v/>
      </c>
      <c r="Q666" s="11">
        <f>IF(J666="","",IFERROR(VALUE(SUBSTITUTE(SUBSTITUTE(IF(G666="","",G666)&amp;"","$",""),",","")),0)/IF("No"="Yes",P666,1))</f>
        <v/>
      </c>
      <c r="R666" s="11">
        <f>IF(J666="","",IFERROR(VALUE(SUBSTITUTE(SUBSTITUTE(IF(H666="","",H666)&amp;"","$",""),",","")),0)/IF("No"="Yes",P666,1))</f>
        <v/>
      </c>
      <c r="S666" s="11">
        <f>IF(J666="","",O666+Q666-R666)</f>
        <v/>
      </c>
      <c r="T666">
        <f>IF(J666="","",IFERROR(IF(K666="",NA(),MATCH(K666,Products!$B$5:$B$204,0)),IFERROR(MATCH(J666,Products!$A$5:$A$204,0),"")))</f>
        <v/>
      </c>
      <c r="U666">
        <f>IF(J666="","",IF(T666="","⚠ not in Products",INDEX(Products!$A$5:$A$204,T666)))</f>
        <v/>
      </c>
      <c r="V666" s="11">
        <f>IF(J666="","",S666*(IFERROR(INDEX(Settings!$B$5:$B$9,MATCH($B666,Settings!$A$5:$A$9,0)),0)+IFERROR(INDEX(Settings!$E$5:$E$9,MATCH($B666,Settings!$A$5:$A$9,0)),0)+IFERROR(INDEX(Settings!$G$5:$G$9,MATCH($B666,Settings!$A$5:$A$9,0)),0))+(IFERROR(INDEX(Settings!$C$5:$C$9,MATCH($B666,Settings!$A$5:$A$9,0)),0)+IFERROR(INDEX(Settings!$F$5:$F$9,MATCH($B666,Settings!$A$5:$A$9,0)),0))/P666+IFERROR(INDEX(Settings!$D$5:$D$9,MATCH($B666,Settings!$A$5:$A$9,0)),0)*M666)</f>
        <v/>
      </c>
      <c r="W666" s="11">
        <f>IF(J666="","",IF(T666="",0,M666*INDEX(Products!$I$5:$I$204,T666)))</f>
        <v/>
      </c>
      <c r="X666" s="11">
        <f>IF(J666="","",IF(T666="",0,S666*INDEX(Products!$H$5:$H$204,T666)))</f>
        <v/>
      </c>
      <c r="Y666" s="11">
        <f>IF(J666="","",S666-V666-W666-X666)</f>
        <v/>
      </c>
    </row>
    <row r="667">
      <c r="A667" s="19" t="n"/>
      <c r="B667" s="19" t="n"/>
      <c r="C667" s="19" t="n"/>
      <c r="D667" s="19" t="n"/>
      <c r="E667" s="19" t="n"/>
      <c r="F667" s="20" t="n"/>
      <c r="G667" s="20" t="n"/>
      <c r="H667" s="20" t="n"/>
      <c r="I667" s="19" t="n"/>
      <c r="J667">
        <f>IFERROR(IF(C667="","",C667)&amp;"","")</f>
        <v/>
      </c>
      <c r="K667">
        <f>IFERROR(IF(D667="","",D667)&amp;"","")</f>
        <v/>
      </c>
      <c r="L667">
        <f>IFERROR(IF(I667="","",I667)&amp;"","")</f>
        <v/>
      </c>
      <c r="M667">
        <f>IF(J667="","",IFERROR(VALUE(SUBSTITUTE(SUBSTITUTE(IF(E667="","",E667)&amp;"","$",""),",","")),0))</f>
        <v/>
      </c>
      <c r="N667" s="11">
        <f>IF(J667="","",IFERROR(VALUE(SUBSTITUTE(SUBSTITUTE(IF(F667="","",F667)&amp;"","$",""),",","")),0))</f>
        <v/>
      </c>
      <c r="O667" s="11">
        <f>IF(J667="","",M667*N667)</f>
        <v/>
      </c>
      <c r="P667">
        <f>IF(J667="","",IF(L667="",1,COUNTIF($L$2:$L$1501,L667)))</f>
        <v/>
      </c>
      <c r="Q667" s="11">
        <f>IF(J667="","",IFERROR(VALUE(SUBSTITUTE(SUBSTITUTE(IF(G667="","",G667)&amp;"","$",""),",","")),0)/IF("No"="Yes",P667,1))</f>
        <v/>
      </c>
      <c r="R667" s="11">
        <f>IF(J667="","",IFERROR(VALUE(SUBSTITUTE(SUBSTITUTE(IF(H667="","",H667)&amp;"","$",""),",","")),0)/IF("No"="Yes",P667,1))</f>
        <v/>
      </c>
      <c r="S667" s="11">
        <f>IF(J667="","",O667+Q667-R667)</f>
        <v/>
      </c>
      <c r="T667">
        <f>IF(J667="","",IFERROR(IF(K667="",NA(),MATCH(K667,Products!$B$5:$B$204,0)),IFERROR(MATCH(J667,Products!$A$5:$A$204,0),"")))</f>
        <v/>
      </c>
      <c r="U667">
        <f>IF(J667="","",IF(T667="","⚠ not in Products",INDEX(Products!$A$5:$A$204,T667)))</f>
        <v/>
      </c>
      <c r="V667" s="11">
        <f>IF(J667="","",S667*(IFERROR(INDEX(Settings!$B$5:$B$9,MATCH($B667,Settings!$A$5:$A$9,0)),0)+IFERROR(INDEX(Settings!$E$5:$E$9,MATCH($B667,Settings!$A$5:$A$9,0)),0)+IFERROR(INDEX(Settings!$G$5:$G$9,MATCH($B667,Settings!$A$5:$A$9,0)),0))+(IFERROR(INDEX(Settings!$C$5:$C$9,MATCH($B667,Settings!$A$5:$A$9,0)),0)+IFERROR(INDEX(Settings!$F$5:$F$9,MATCH($B667,Settings!$A$5:$A$9,0)),0))/P667+IFERROR(INDEX(Settings!$D$5:$D$9,MATCH($B667,Settings!$A$5:$A$9,0)),0)*M667)</f>
        <v/>
      </c>
      <c r="W667" s="11">
        <f>IF(J667="","",IF(T667="",0,M667*INDEX(Products!$I$5:$I$204,T667)))</f>
        <v/>
      </c>
      <c r="X667" s="11">
        <f>IF(J667="","",IF(T667="",0,S667*INDEX(Products!$H$5:$H$204,T667)))</f>
        <v/>
      </c>
      <c r="Y667" s="11">
        <f>IF(J667="","",S667-V667-W667-X667)</f>
        <v/>
      </c>
    </row>
    <row r="668">
      <c r="A668" s="19" t="n"/>
      <c r="B668" s="19" t="n"/>
      <c r="C668" s="19" t="n"/>
      <c r="D668" s="19" t="n"/>
      <c r="E668" s="19" t="n"/>
      <c r="F668" s="20" t="n"/>
      <c r="G668" s="20" t="n"/>
      <c r="H668" s="20" t="n"/>
      <c r="I668" s="19" t="n"/>
      <c r="J668">
        <f>IFERROR(IF(C668="","",C668)&amp;"","")</f>
        <v/>
      </c>
      <c r="K668">
        <f>IFERROR(IF(D668="","",D668)&amp;"","")</f>
        <v/>
      </c>
      <c r="L668">
        <f>IFERROR(IF(I668="","",I668)&amp;"","")</f>
        <v/>
      </c>
      <c r="M668">
        <f>IF(J668="","",IFERROR(VALUE(SUBSTITUTE(SUBSTITUTE(IF(E668="","",E668)&amp;"","$",""),",","")),0))</f>
        <v/>
      </c>
      <c r="N668" s="11">
        <f>IF(J668="","",IFERROR(VALUE(SUBSTITUTE(SUBSTITUTE(IF(F668="","",F668)&amp;"","$",""),",","")),0))</f>
        <v/>
      </c>
      <c r="O668" s="11">
        <f>IF(J668="","",M668*N668)</f>
        <v/>
      </c>
      <c r="P668">
        <f>IF(J668="","",IF(L668="",1,COUNTIF($L$2:$L$1501,L668)))</f>
        <v/>
      </c>
      <c r="Q668" s="11">
        <f>IF(J668="","",IFERROR(VALUE(SUBSTITUTE(SUBSTITUTE(IF(G668="","",G668)&amp;"","$",""),",","")),0)/IF("No"="Yes",P668,1))</f>
        <v/>
      </c>
      <c r="R668" s="11">
        <f>IF(J668="","",IFERROR(VALUE(SUBSTITUTE(SUBSTITUTE(IF(H668="","",H668)&amp;"","$",""),",","")),0)/IF("No"="Yes",P668,1))</f>
        <v/>
      </c>
      <c r="S668" s="11">
        <f>IF(J668="","",O668+Q668-R668)</f>
        <v/>
      </c>
      <c r="T668">
        <f>IF(J668="","",IFERROR(IF(K668="",NA(),MATCH(K668,Products!$B$5:$B$204,0)),IFERROR(MATCH(J668,Products!$A$5:$A$204,0),"")))</f>
        <v/>
      </c>
      <c r="U668">
        <f>IF(J668="","",IF(T668="","⚠ not in Products",INDEX(Products!$A$5:$A$204,T668)))</f>
        <v/>
      </c>
      <c r="V668" s="11">
        <f>IF(J668="","",S668*(IFERROR(INDEX(Settings!$B$5:$B$9,MATCH($B668,Settings!$A$5:$A$9,0)),0)+IFERROR(INDEX(Settings!$E$5:$E$9,MATCH($B668,Settings!$A$5:$A$9,0)),0)+IFERROR(INDEX(Settings!$G$5:$G$9,MATCH($B668,Settings!$A$5:$A$9,0)),0))+(IFERROR(INDEX(Settings!$C$5:$C$9,MATCH($B668,Settings!$A$5:$A$9,0)),0)+IFERROR(INDEX(Settings!$F$5:$F$9,MATCH($B668,Settings!$A$5:$A$9,0)),0))/P668+IFERROR(INDEX(Settings!$D$5:$D$9,MATCH($B668,Settings!$A$5:$A$9,0)),0)*M668)</f>
        <v/>
      </c>
      <c r="W668" s="11">
        <f>IF(J668="","",IF(T668="",0,M668*INDEX(Products!$I$5:$I$204,T668)))</f>
        <v/>
      </c>
      <c r="X668" s="11">
        <f>IF(J668="","",IF(T668="",0,S668*INDEX(Products!$H$5:$H$204,T668)))</f>
        <v/>
      </c>
      <c r="Y668" s="11">
        <f>IF(J668="","",S668-V668-W668-X668)</f>
        <v/>
      </c>
    </row>
    <row r="669">
      <c r="A669" s="19" t="n"/>
      <c r="B669" s="19" t="n"/>
      <c r="C669" s="19" t="n"/>
      <c r="D669" s="19" t="n"/>
      <c r="E669" s="19" t="n"/>
      <c r="F669" s="20" t="n"/>
      <c r="G669" s="20" t="n"/>
      <c r="H669" s="20" t="n"/>
      <c r="I669" s="19" t="n"/>
      <c r="J669">
        <f>IFERROR(IF(C669="","",C669)&amp;"","")</f>
        <v/>
      </c>
      <c r="K669">
        <f>IFERROR(IF(D669="","",D669)&amp;"","")</f>
        <v/>
      </c>
      <c r="L669">
        <f>IFERROR(IF(I669="","",I669)&amp;"","")</f>
        <v/>
      </c>
      <c r="M669">
        <f>IF(J669="","",IFERROR(VALUE(SUBSTITUTE(SUBSTITUTE(IF(E669="","",E669)&amp;"","$",""),",","")),0))</f>
        <v/>
      </c>
      <c r="N669" s="11">
        <f>IF(J669="","",IFERROR(VALUE(SUBSTITUTE(SUBSTITUTE(IF(F669="","",F669)&amp;"","$",""),",","")),0))</f>
        <v/>
      </c>
      <c r="O669" s="11">
        <f>IF(J669="","",M669*N669)</f>
        <v/>
      </c>
      <c r="P669">
        <f>IF(J669="","",IF(L669="",1,COUNTIF($L$2:$L$1501,L669)))</f>
        <v/>
      </c>
      <c r="Q669" s="11">
        <f>IF(J669="","",IFERROR(VALUE(SUBSTITUTE(SUBSTITUTE(IF(G669="","",G669)&amp;"","$",""),",","")),0)/IF("No"="Yes",P669,1))</f>
        <v/>
      </c>
      <c r="R669" s="11">
        <f>IF(J669="","",IFERROR(VALUE(SUBSTITUTE(SUBSTITUTE(IF(H669="","",H669)&amp;"","$",""),",","")),0)/IF("No"="Yes",P669,1))</f>
        <v/>
      </c>
      <c r="S669" s="11">
        <f>IF(J669="","",O669+Q669-R669)</f>
        <v/>
      </c>
      <c r="T669">
        <f>IF(J669="","",IFERROR(IF(K669="",NA(),MATCH(K669,Products!$B$5:$B$204,0)),IFERROR(MATCH(J669,Products!$A$5:$A$204,0),"")))</f>
        <v/>
      </c>
      <c r="U669">
        <f>IF(J669="","",IF(T669="","⚠ not in Products",INDEX(Products!$A$5:$A$204,T669)))</f>
        <v/>
      </c>
      <c r="V669" s="11">
        <f>IF(J669="","",S669*(IFERROR(INDEX(Settings!$B$5:$B$9,MATCH($B669,Settings!$A$5:$A$9,0)),0)+IFERROR(INDEX(Settings!$E$5:$E$9,MATCH($B669,Settings!$A$5:$A$9,0)),0)+IFERROR(INDEX(Settings!$G$5:$G$9,MATCH($B669,Settings!$A$5:$A$9,0)),0))+(IFERROR(INDEX(Settings!$C$5:$C$9,MATCH($B669,Settings!$A$5:$A$9,0)),0)+IFERROR(INDEX(Settings!$F$5:$F$9,MATCH($B669,Settings!$A$5:$A$9,0)),0))/P669+IFERROR(INDEX(Settings!$D$5:$D$9,MATCH($B669,Settings!$A$5:$A$9,0)),0)*M669)</f>
        <v/>
      </c>
      <c r="W669" s="11">
        <f>IF(J669="","",IF(T669="",0,M669*INDEX(Products!$I$5:$I$204,T669)))</f>
        <v/>
      </c>
      <c r="X669" s="11">
        <f>IF(J669="","",IF(T669="",0,S669*INDEX(Products!$H$5:$H$204,T669)))</f>
        <v/>
      </c>
      <c r="Y669" s="11">
        <f>IF(J669="","",S669-V669-W669-X669)</f>
        <v/>
      </c>
    </row>
    <row r="670">
      <c r="A670" s="19" t="n"/>
      <c r="B670" s="19" t="n"/>
      <c r="C670" s="19" t="n"/>
      <c r="D670" s="19" t="n"/>
      <c r="E670" s="19" t="n"/>
      <c r="F670" s="20" t="n"/>
      <c r="G670" s="20" t="n"/>
      <c r="H670" s="20" t="n"/>
      <c r="I670" s="19" t="n"/>
      <c r="J670">
        <f>IFERROR(IF(C670="","",C670)&amp;"","")</f>
        <v/>
      </c>
      <c r="K670">
        <f>IFERROR(IF(D670="","",D670)&amp;"","")</f>
        <v/>
      </c>
      <c r="L670">
        <f>IFERROR(IF(I670="","",I670)&amp;"","")</f>
        <v/>
      </c>
      <c r="M670">
        <f>IF(J670="","",IFERROR(VALUE(SUBSTITUTE(SUBSTITUTE(IF(E670="","",E670)&amp;"","$",""),",","")),0))</f>
        <v/>
      </c>
      <c r="N670" s="11">
        <f>IF(J670="","",IFERROR(VALUE(SUBSTITUTE(SUBSTITUTE(IF(F670="","",F670)&amp;"","$",""),",","")),0))</f>
        <v/>
      </c>
      <c r="O670" s="11">
        <f>IF(J670="","",M670*N670)</f>
        <v/>
      </c>
      <c r="P670">
        <f>IF(J670="","",IF(L670="",1,COUNTIF($L$2:$L$1501,L670)))</f>
        <v/>
      </c>
      <c r="Q670" s="11">
        <f>IF(J670="","",IFERROR(VALUE(SUBSTITUTE(SUBSTITUTE(IF(G670="","",G670)&amp;"","$",""),",","")),0)/IF("No"="Yes",P670,1))</f>
        <v/>
      </c>
      <c r="R670" s="11">
        <f>IF(J670="","",IFERROR(VALUE(SUBSTITUTE(SUBSTITUTE(IF(H670="","",H670)&amp;"","$",""),",","")),0)/IF("No"="Yes",P670,1))</f>
        <v/>
      </c>
      <c r="S670" s="11">
        <f>IF(J670="","",O670+Q670-R670)</f>
        <v/>
      </c>
      <c r="T670">
        <f>IF(J670="","",IFERROR(IF(K670="",NA(),MATCH(K670,Products!$B$5:$B$204,0)),IFERROR(MATCH(J670,Products!$A$5:$A$204,0),"")))</f>
        <v/>
      </c>
      <c r="U670">
        <f>IF(J670="","",IF(T670="","⚠ not in Products",INDEX(Products!$A$5:$A$204,T670)))</f>
        <v/>
      </c>
      <c r="V670" s="11">
        <f>IF(J670="","",S670*(IFERROR(INDEX(Settings!$B$5:$B$9,MATCH($B670,Settings!$A$5:$A$9,0)),0)+IFERROR(INDEX(Settings!$E$5:$E$9,MATCH($B670,Settings!$A$5:$A$9,0)),0)+IFERROR(INDEX(Settings!$G$5:$G$9,MATCH($B670,Settings!$A$5:$A$9,0)),0))+(IFERROR(INDEX(Settings!$C$5:$C$9,MATCH($B670,Settings!$A$5:$A$9,0)),0)+IFERROR(INDEX(Settings!$F$5:$F$9,MATCH($B670,Settings!$A$5:$A$9,0)),0))/P670+IFERROR(INDEX(Settings!$D$5:$D$9,MATCH($B670,Settings!$A$5:$A$9,0)),0)*M670)</f>
        <v/>
      </c>
      <c r="W670" s="11">
        <f>IF(J670="","",IF(T670="",0,M670*INDEX(Products!$I$5:$I$204,T670)))</f>
        <v/>
      </c>
      <c r="X670" s="11">
        <f>IF(J670="","",IF(T670="",0,S670*INDEX(Products!$H$5:$H$204,T670)))</f>
        <v/>
      </c>
      <c r="Y670" s="11">
        <f>IF(J670="","",S670-V670-W670-X670)</f>
        <v/>
      </c>
    </row>
    <row r="671">
      <c r="A671" s="19" t="n"/>
      <c r="B671" s="19" t="n"/>
      <c r="C671" s="19" t="n"/>
      <c r="D671" s="19" t="n"/>
      <c r="E671" s="19" t="n"/>
      <c r="F671" s="20" t="n"/>
      <c r="G671" s="20" t="n"/>
      <c r="H671" s="20" t="n"/>
      <c r="I671" s="19" t="n"/>
      <c r="J671">
        <f>IFERROR(IF(C671="","",C671)&amp;"","")</f>
        <v/>
      </c>
      <c r="K671">
        <f>IFERROR(IF(D671="","",D671)&amp;"","")</f>
        <v/>
      </c>
      <c r="L671">
        <f>IFERROR(IF(I671="","",I671)&amp;"","")</f>
        <v/>
      </c>
      <c r="M671">
        <f>IF(J671="","",IFERROR(VALUE(SUBSTITUTE(SUBSTITUTE(IF(E671="","",E671)&amp;"","$",""),",","")),0))</f>
        <v/>
      </c>
      <c r="N671" s="11">
        <f>IF(J671="","",IFERROR(VALUE(SUBSTITUTE(SUBSTITUTE(IF(F671="","",F671)&amp;"","$",""),",","")),0))</f>
        <v/>
      </c>
      <c r="O671" s="11">
        <f>IF(J671="","",M671*N671)</f>
        <v/>
      </c>
      <c r="P671">
        <f>IF(J671="","",IF(L671="",1,COUNTIF($L$2:$L$1501,L671)))</f>
        <v/>
      </c>
      <c r="Q671" s="11">
        <f>IF(J671="","",IFERROR(VALUE(SUBSTITUTE(SUBSTITUTE(IF(G671="","",G671)&amp;"","$",""),",","")),0)/IF("No"="Yes",P671,1))</f>
        <v/>
      </c>
      <c r="R671" s="11">
        <f>IF(J671="","",IFERROR(VALUE(SUBSTITUTE(SUBSTITUTE(IF(H671="","",H671)&amp;"","$",""),",","")),0)/IF("No"="Yes",P671,1))</f>
        <v/>
      </c>
      <c r="S671" s="11">
        <f>IF(J671="","",O671+Q671-R671)</f>
        <v/>
      </c>
      <c r="T671">
        <f>IF(J671="","",IFERROR(IF(K671="",NA(),MATCH(K671,Products!$B$5:$B$204,0)),IFERROR(MATCH(J671,Products!$A$5:$A$204,0),"")))</f>
        <v/>
      </c>
      <c r="U671">
        <f>IF(J671="","",IF(T671="","⚠ not in Products",INDEX(Products!$A$5:$A$204,T671)))</f>
        <v/>
      </c>
      <c r="V671" s="11">
        <f>IF(J671="","",S671*(IFERROR(INDEX(Settings!$B$5:$B$9,MATCH($B671,Settings!$A$5:$A$9,0)),0)+IFERROR(INDEX(Settings!$E$5:$E$9,MATCH($B671,Settings!$A$5:$A$9,0)),0)+IFERROR(INDEX(Settings!$G$5:$G$9,MATCH($B671,Settings!$A$5:$A$9,0)),0))+(IFERROR(INDEX(Settings!$C$5:$C$9,MATCH($B671,Settings!$A$5:$A$9,0)),0)+IFERROR(INDEX(Settings!$F$5:$F$9,MATCH($B671,Settings!$A$5:$A$9,0)),0))/P671+IFERROR(INDEX(Settings!$D$5:$D$9,MATCH($B671,Settings!$A$5:$A$9,0)),0)*M671)</f>
        <v/>
      </c>
      <c r="W671" s="11">
        <f>IF(J671="","",IF(T671="",0,M671*INDEX(Products!$I$5:$I$204,T671)))</f>
        <v/>
      </c>
      <c r="X671" s="11">
        <f>IF(J671="","",IF(T671="",0,S671*INDEX(Products!$H$5:$H$204,T671)))</f>
        <v/>
      </c>
      <c r="Y671" s="11">
        <f>IF(J671="","",S671-V671-W671-X671)</f>
        <v/>
      </c>
    </row>
    <row r="672">
      <c r="A672" s="19" t="n"/>
      <c r="B672" s="19" t="n"/>
      <c r="C672" s="19" t="n"/>
      <c r="D672" s="19" t="n"/>
      <c r="E672" s="19" t="n"/>
      <c r="F672" s="20" t="n"/>
      <c r="G672" s="20" t="n"/>
      <c r="H672" s="20" t="n"/>
      <c r="I672" s="19" t="n"/>
      <c r="J672">
        <f>IFERROR(IF(C672="","",C672)&amp;"","")</f>
        <v/>
      </c>
      <c r="K672">
        <f>IFERROR(IF(D672="","",D672)&amp;"","")</f>
        <v/>
      </c>
      <c r="L672">
        <f>IFERROR(IF(I672="","",I672)&amp;"","")</f>
        <v/>
      </c>
      <c r="M672">
        <f>IF(J672="","",IFERROR(VALUE(SUBSTITUTE(SUBSTITUTE(IF(E672="","",E672)&amp;"","$",""),",","")),0))</f>
        <v/>
      </c>
      <c r="N672" s="11">
        <f>IF(J672="","",IFERROR(VALUE(SUBSTITUTE(SUBSTITUTE(IF(F672="","",F672)&amp;"","$",""),",","")),0))</f>
        <v/>
      </c>
      <c r="O672" s="11">
        <f>IF(J672="","",M672*N672)</f>
        <v/>
      </c>
      <c r="P672">
        <f>IF(J672="","",IF(L672="",1,COUNTIF($L$2:$L$1501,L672)))</f>
        <v/>
      </c>
      <c r="Q672" s="11">
        <f>IF(J672="","",IFERROR(VALUE(SUBSTITUTE(SUBSTITUTE(IF(G672="","",G672)&amp;"","$",""),",","")),0)/IF("No"="Yes",P672,1))</f>
        <v/>
      </c>
      <c r="R672" s="11">
        <f>IF(J672="","",IFERROR(VALUE(SUBSTITUTE(SUBSTITUTE(IF(H672="","",H672)&amp;"","$",""),",","")),0)/IF("No"="Yes",P672,1))</f>
        <v/>
      </c>
      <c r="S672" s="11">
        <f>IF(J672="","",O672+Q672-R672)</f>
        <v/>
      </c>
      <c r="T672">
        <f>IF(J672="","",IFERROR(IF(K672="",NA(),MATCH(K672,Products!$B$5:$B$204,0)),IFERROR(MATCH(J672,Products!$A$5:$A$204,0),"")))</f>
        <v/>
      </c>
      <c r="U672">
        <f>IF(J672="","",IF(T672="","⚠ not in Products",INDEX(Products!$A$5:$A$204,T672)))</f>
        <v/>
      </c>
      <c r="V672" s="11">
        <f>IF(J672="","",S672*(IFERROR(INDEX(Settings!$B$5:$B$9,MATCH($B672,Settings!$A$5:$A$9,0)),0)+IFERROR(INDEX(Settings!$E$5:$E$9,MATCH($B672,Settings!$A$5:$A$9,0)),0)+IFERROR(INDEX(Settings!$G$5:$G$9,MATCH($B672,Settings!$A$5:$A$9,0)),0))+(IFERROR(INDEX(Settings!$C$5:$C$9,MATCH($B672,Settings!$A$5:$A$9,0)),0)+IFERROR(INDEX(Settings!$F$5:$F$9,MATCH($B672,Settings!$A$5:$A$9,0)),0))/P672+IFERROR(INDEX(Settings!$D$5:$D$9,MATCH($B672,Settings!$A$5:$A$9,0)),0)*M672)</f>
        <v/>
      </c>
      <c r="W672" s="11">
        <f>IF(J672="","",IF(T672="",0,M672*INDEX(Products!$I$5:$I$204,T672)))</f>
        <v/>
      </c>
      <c r="X672" s="11">
        <f>IF(J672="","",IF(T672="",0,S672*INDEX(Products!$H$5:$H$204,T672)))</f>
        <v/>
      </c>
      <c r="Y672" s="11">
        <f>IF(J672="","",S672-V672-W672-X672)</f>
        <v/>
      </c>
    </row>
    <row r="673">
      <c r="A673" s="19" t="n"/>
      <c r="B673" s="19" t="n"/>
      <c r="C673" s="19" t="n"/>
      <c r="D673" s="19" t="n"/>
      <c r="E673" s="19" t="n"/>
      <c r="F673" s="20" t="n"/>
      <c r="G673" s="20" t="n"/>
      <c r="H673" s="20" t="n"/>
      <c r="I673" s="19" t="n"/>
      <c r="J673">
        <f>IFERROR(IF(C673="","",C673)&amp;"","")</f>
        <v/>
      </c>
      <c r="K673">
        <f>IFERROR(IF(D673="","",D673)&amp;"","")</f>
        <v/>
      </c>
      <c r="L673">
        <f>IFERROR(IF(I673="","",I673)&amp;"","")</f>
        <v/>
      </c>
      <c r="M673">
        <f>IF(J673="","",IFERROR(VALUE(SUBSTITUTE(SUBSTITUTE(IF(E673="","",E673)&amp;"","$",""),",","")),0))</f>
        <v/>
      </c>
      <c r="N673" s="11">
        <f>IF(J673="","",IFERROR(VALUE(SUBSTITUTE(SUBSTITUTE(IF(F673="","",F673)&amp;"","$",""),",","")),0))</f>
        <v/>
      </c>
      <c r="O673" s="11">
        <f>IF(J673="","",M673*N673)</f>
        <v/>
      </c>
      <c r="P673">
        <f>IF(J673="","",IF(L673="",1,COUNTIF($L$2:$L$1501,L673)))</f>
        <v/>
      </c>
      <c r="Q673" s="11">
        <f>IF(J673="","",IFERROR(VALUE(SUBSTITUTE(SUBSTITUTE(IF(G673="","",G673)&amp;"","$",""),",","")),0)/IF("No"="Yes",P673,1))</f>
        <v/>
      </c>
      <c r="R673" s="11">
        <f>IF(J673="","",IFERROR(VALUE(SUBSTITUTE(SUBSTITUTE(IF(H673="","",H673)&amp;"","$",""),",","")),0)/IF("No"="Yes",P673,1))</f>
        <v/>
      </c>
      <c r="S673" s="11">
        <f>IF(J673="","",O673+Q673-R673)</f>
        <v/>
      </c>
      <c r="T673">
        <f>IF(J673="","",IFERROR(IF(K673="",NA(),MATCH(K673,Products!$B$5:$B$204,0)),IFERROR(MATCH(J673,Products!$A$5:$A$204,0),"")))</f>
        <v/>
      </c>
      <c r="U673">
        <f>IF(J673="","",IF(T673="","⚠ not in Products",INDEX(Products!$A$5:$A$204,T673)))</f>
        <v/>
      </c>
      <c r="V673" s="11">
        <f>IF(J673="","",S673*(IFERROR(INDEX(Settings!$B$5:$B$9,MATCH($B673,Settings!$A$5:$A$9,0)),0)+IFERROR(INDEX(Settings!$E$5:$E$9,MATCH($B673,Settings!$A$5:$A$9,0)),0)+IFERROR(INDEX(Settings!$G$5:$G$9,MATCH($B673,Settings!$A$5:$A$9,0)),0))+(IFERROR(INDEX(Settings!$C$5:$C$9,MATCH($B673,Settings!$A$5:$A$9,0)),0)+IFERROR(INDEX(Settings!$F$5:$F$9,MATCH($B673,Settings!$A$5:$A$9,0)),0))/P673+IFERROR(INDEX(Settings!$D$5:$D$9,MATCH($B673,Settings!$A$5:$A$9,0)),0)*M673)</f>
        <v/>
      </c>
      <c r="W673" s="11">
        <f>IF(J673="","",IF(T673="",0,M673*INDEX(Products!$I$5:$I$204,T673)))</f>
        <v/>
      </c>
      <c r="X673" s="11">
        <f>IF(J673="","",IF(T673="",0,S673*INDEX(Products!$H$5:$H$204,T673)))</f>
        <v/>
      </c>
      <c r="Y673" s="11">
        <f>IF(J673="","",S673-V673-W673-X673)</f>
        <v/>
      </c>
    </row>
    <row r="674">
      <c r="A674" s="19" t="n"/>
      <c r="B674" s="19" t="n"/>
      <c r="C674" s="19" t="n"/>
      <c r="D674" s="19" t="n"/>
      <c r="E674" s="19" t="n"/>
      <c r="F674" s="20" t="n"/>
      <c r="G674" s="20" t="n"/>
      <c r="H674" s="20" t="n"/>
      <c r="I674" s="19" t="n"/>
      <c r="J674">
        <f>IFERROR(IF(C674="","",C674)&amp;"","")</f>
        <v/>
      </c>
      <c r="K674">
        <f>IFERROR(IF(D674="","",D674)&amp;"","")</f>
        <v/>
      </c>
      <c r="L674">
        <f>IFERROR(IF(I674="","",I674)&amp;"","")</f>
        <v/>
      </c>
      <c r="M674">
        <f>IF(J674="","",IFERROR(VALUE(SUBSTITUTE(SUBSTITUTE(IF(E674="","",E674)&amp;"","$",""),",","")),0))</f>
        <v/>
      </c>
      <c r="N674" s="11">
        <f>IF(J674="","",IFERROR(VALUE(SUBSTITUTE(SUBSTITUTE(IF(F674="","",F674)&amp;"","$",""),",","")),0))</f>
        <v/>
      </c>
      <c r="O674" s="11">
        <f>IF(J674="","",M674*N674)</f>
        <v/>
      </c>
      <c r="P674">
        <f>IF(J674="","",IF(L674="",1,COUNTIF($L$2:$L$1501,L674)))</f>
        <v/>
      </c>
      <c r="Q674" s="11">
        <f>IF(J674="","",IFERROR(VALUE(SUBSTITUTE(SUBSTITUTE(IF(G674="","",G674)&amp;"","$",""),",","")),0)/IF("No"="Yes",P674,1))</f>
        <v/>
      </c>
      <c r="R674" s="11">
        <f>IF(J674="","",IFERROR(VALUE(SUBSTITUTE(SUBSTITUTE(IF(H674="","",H674)&amp;"","$",""),",","")),0)/IF("No"="Yes",P674,1))</f>
        <v/>
      </c>
      <c r="S674" s="11">
        <f>IF(J674="","",O674+Q674-R674)</f>
        <v/>
      </c>
      <c r="T674">
        <f>IF(J674="","",IFERROR(IF(K674="",NA(),MATCH(K674,Products!$B$5:$B$204,0)),IFERROR(MATCH(J674,Products!$A$5:$A$204,0),"")))</f>
        <v/>
      </c>
      <c r="U674">
        <f>IF(J674="","",IF(T674="","⚠ not in Products",INDEX(Products!$A$5:$A$204,T674)))</f>
        <v/>
      </c>
      <c r="V674" s="11">
        <f>IF(J674="","",S674*(IFERROR(INDEX(Settings!$B$5:$B$9,MATCH($B674,Settings!$A$5:$A$9,0)),0)+IFERROR(INDEX(Settings!$E$5:$E$9,MATCH($B674,Settings!$A$5:$A$9,0)),0)+IFERROR(INDEX(Settings!$G$5:$G$9,MATCH($B674,Settings!$A$5:$A$9,0)),0))+(IFERROR(INDEX(Settings!$C$5:$C$9,MATCH($B674,Settings!$A$5:$A$9,0)),0)+IFERROR(INDEX(Settings!$F$5:$F$9,MATCH($B674,Settings!$A$5:$A$9,0)),0))/P674+IFERROR(INDEX(Settings!$D$5:$D$9,MATCH($B674,Settings!$A$5:$A$9,0)),0)*M674)</f>
        <v/>
      </c>
      <c r="W674" s="11">
        <f>IF(J674="","",IF(T674="",0,M674*INDEX(Products!$I$5:$I$204,T674)))</f>
        <v/>
      </c>
      <c r="X674" s="11">
        <f>IF(J674="","",IF(T674="",0,S674*INDEX(Products!$H$5:$H$204,T674)))</f>
        <v/>
      </c>
      <c r="Y674" s="11">
        <f>IF(J674="","",S674-V674-W674-X674)</f>
        <v/>
      </c>
    </row>
    <row r="675">
      <c r="A675" s="19" t="n"/>
      <c r="B675" s="19" t="n"/>
      <c r="C675" s="19" t="n"/>
      <c r="D675" s="19" t="n"/>
      <c r="E675" s="19" t="n"/>
      <c r="F675" s="20" t="n"/>
      <c r="G675" s="20" t="n"/>
      <c r="H675" s="20" t="n"/>
      <c r="I675" s="19" t="n"/>
      <c r="J675">
        <f>IFERROR(IF(C675="","",C675)&amp;"","")</f>
        <v/>
      </c>
      <c r="K675">
        <f>IFERROR(IF(D675="","",D675)&amp;"","")</f>
        <v/>
      </c>
      <c r="L675">
        <f>IFERROR(IF(I675="","",I675)&amp;"","")</f>
        <v/>
      </c>
      <c r="M675">
        <f>IF(J675="","",IFERROR(VALUE(SUBSTITUTE(SUBSTITUTE(IF(E675="","",E675)&amp;"","$",""),",","")),0))</f>
        <v/>
      </c>
      <c r="N675" s="11">
        <f>IF(J675="","",IFERROR(VALUE(SUBSTITUTE(SUBSTITUTE(IF(F675="","",F675)&amp;"","$",""),",","")),0))</f>
        <v/>
      </c>
      <c r="O675" s="11">
        <f>IF(J675="","",M675*N675)</f>
        <v/>
      </c>
      <c r="P675">
        <f>IF(J675="","",IF(L675="",1,COUNTIF($L$2:$L$1501,L675)))</f>
        <v/>
      </c>
      <c r="Q675" s="11">
        <f>IF(J675="","",IFERROR(VALUE(SUBSTITUTE(SUBSTITUTE(IF(G675="","",G675)&amp;"","$",""),",","")),0)/IF("No"="Yes",P675,1))</f>
        <v/>
      </c>
      <c r="R675" s="11">
        <f>IF(J675="","",IFERROR(VALUE(SUBSTITUTE(SUBSTITUTE(IF(H675="","",H675)&amp;"","$",""),",","")),0)/IF("No"="Yes",P675,1))</f>
        <v/>
      </c>
      <c r="S675" s="11">
        <f>IF(J675="","",O675+Q675-R675)</f>
        <v/>
      </c>
      <c r="T675">
        <f>IF(J675="","",IFERROR(IF(K675="",NA(),MATCH(K675,Products!$B$5:$B$204,0)),IFERROR(MATCH(J675,Products!$A$5:$A$204,0),"")))</f>
        <v/>
      </c>
      <c r="U675">
        <f>IF(J675="","",IF(T675="","⚠ not in Products",INDEX(Products!$A$5:$A$204,T675)))</f>
        <v/>
      </c>
      <c r="V675" s="11">
        <f>IF(J675="","",S675*(IFERROR(INDEX(Settings!$B$5:$B$9,MATCH($B675,Settings!$A$5:$A$9,0)),0)+IFERROR(INDEX(Settings!$E$5:$E$9,MATCH($B675,Settings!$A$5:$A$9,0)),0)+IFERROR(INDEX(Settings!$G$5:$G$9,MATCH($B675,Settings!$A$5:$A$9,0)),0))+(IFERROR(INDEX(Settings!$C$5:$C$9,MATCH($B675,Settings!$A$5:$A$9,0)),0)+IFERROR(INDEX(Settings!$F$5:$F$9,MATCH($B675,Settings!$A$5:$A$9,0)),0))/P675+IFERROR(INDEX(Settings!$D$5:$D$9,MATCH($B675,Settings!$A$5:$A$9,0)),0)*M675)</f>
        <v/>
      </c>
      <c r="W675" s="11">
        <f>IF(J675="","",IF(T675="",0,M675*INDEX(Products!$I$5:$I$204,T675)))</f>
        <v/>
      </c>
      <c r="X675" s="11">
        <f>IF(J675="","",IF(T675="",0,S675*INDEX(Products!$H$5:$H$204,T675)))</f>
        <v/>
      </c>
      <c r="Y675" s="11">
        <f>IF(J675="","",S675-V675-W675-X675)</f>
        <v/>
      </c>
    </row>
    <row r="676">
      <c r="A676" s="19" t="n"/>
      <c r="B676" s="19" t="n"/>
      <c r="C676" s="19" t="n"/>
      <c r="D676" s="19" t="n"/>
      <c r="E676" s="19" t="n"/>
      <c r="F676" s="20" t="n"/>
      <c r="G676" s="20" t="n"/>
      <c r="H676" s="20" t="n"/>
      <c r="I676" s="19" t="n"/>
      <c r="J676">
        <f>IFERROR(IF(C676="","",C676)&amp;"","")</f>
        <v/>
      </c>
      <c r="K676">
        <f>IFERROR(IF(D676="","",D676)&amp;"","")</f>
        <v/>
      </c>
      <c r="L676">
        <f>IFERROR(IF(I676="","",I676)&amp;"","")</f>
        <v/>
      </c>
      <c r="M676">
        <f>IF(J676="","",IFERROR(VALUE(SUBSTITUTE(SUBSTITUTE(IF(E676="","",E676)&amp;"","$",""),",","")),0))</f>
        <v/>
      </c>
      <c r="N676" s="11">
        <f>IF(J676="","",IFERROR(VALUE(SUBSTITUTE(SUBSTITUTE(IF(F676="","",F676)&amp;"","$",""),",","")),0))</f>
        <v/>
      </c>
      <c r="O676" s="11">
        <f>IF(J676="","",M676*N676)</f>
        <v/>
      </c>
      <c r="P676">
        <f>IF(J676="","",IF(L676="",1,COUNTIF($L$2:$L$1501,L676)))</f>
        <v/>
      </c>
      <c r="Q676" s="11">
        <f>IF(J676="","",IFERROR(VALUE(SUBSTITUTE(SUBSTITUTE(IF(G676="","",G676)&amp;"","$",""),",","")),0)/IF("No"="Yes",P676,1))</f>
        <v/>
      </c>
      <c r="R676" s="11">
        <f>IF(J676="","",IFERROR(VALUE(SUBSTITUTE(SUBSTITUTE(IF(H676="","",H676)&amp;"","$",""),",","")),0)/IF("No"="Yes",P676,1))</f>
        <v/>
      </c>
      <c r="S676" s="11">
        <f>IF(J676="","",O676+Q676-R676)</f>
        <v/>
      </c>
      <c r="T676">
        <f>IF(J676="","",IFERROR(IF(K676="",NA(),MATCH(K676,Products!$B$5:$B$204,0)),IFERROR(MATCH(J676,Products!$A$5:$A$204,0),"")))</f>
        <v/>
      </c>
      <c r="U676">
        <f>IF(J676="","",IF(T676="","⚠ not in Products",INDEX(Products!$A$5:$A$204,T676)))</f>
        <v/>
      </c>
      <c r="V676" s="11">
        <f>IF(J676="","",S676*(IFERROR(INDEX(Settings!$B$5:$B$9,MATCH($B676,Settings!$A$5:$A$9,0)),0)+IFERROR(INDEX(Settings!$E$5:$E$9,MATCH($B676,Settings!$A$5:$A$9,0)),0)+IFERROR(INDEX(Settings!$G$5:$G$9,MATCH($B676,Settings!$A$5:$A$9,0)),0))+(IFERROR(INDEX(Settings!$C$5:$C$9,MATCH($B676,Settings!$A$5:$A$9,0)),0)+IFERROR(INDEX(Settings!$F$5:$F$9,MATCH($B676,Settings!$A$5:$A$9,0)),0))/P676+IFERROR(INDEX(Settings!$D$5:$D$9,MATCH($B676,Settings!$A$5:$A$9,0)),0)*M676)</f>
        <v/>
      </c>
      <c r="W676" s="11">
        <f>IF(J676="","",IF(T676="",0,M676*INDEX(Products!$I$5:$I$204,T676)))</f>
        <v/>
      </c>
      <c r="X676" s="11">
        <f>IF(J676="","",IF(T676="",0,S676*INDEX(Products!$H$5:$H$204,T676)))</f>
        <v/>
      </c>
      <c r="Y676" s="11">
        <f>IF(J676="","",S676-V676-W676-X676)</f>
        <v/>
      </c>
    </row>
    <row r="677">
      <c r="A677" s="19" t="n"/>
      <c r="B677" s="19" t="n"/>
      <c r="C677" s="19" t="n"/>
      <c r="D677" s="19" t="n"/>
      <c r="E677" s="19" t="n"/>
      <c r="F677" s="20" t="n"/>
      <c r="G677" s="20" t="n"/>
      <c r="H677" s="20" t="n"/>
      <c r="I677" s="19" t="n"/>
      <c r="J677">
        <f>IFERROR(IF(C677="","",C677)&amp;"","")</f>
        <v/>
      </c>
      <c r="K677">
        <f>IFERROR(IF(D677="","",D677)&amp;"","")</f>
        <v/>
      </c>
      <c r="L677">
        <f>IFERROR(IF(I677="","",I677)&amp;"","")</f>
        <v/>
      </c>
      <c r="M677">
        <f>IF(J677="","",IFERROR(VALUE(SUBSTITUTE(SUBSTITUTE(IF(E677="","",E677)&amp;"","$",""),",","")),0))</f>
        <v/>
      </c>
      <c r="N677" s="11">
        <f>IF(J677="","",IFERROR(VALUE(SUBSTITUTE(SUBSTITUTE(IF(F677="","",F677)&amp;"","$",""),",","")),0))</f>
        <v/>
      </c>
      <c r="O677" s="11">
        <f>IF(J677="","",M677*N677)</f>
        <v/>
      </c>
      <c r="P677">
        <f>IF(J677="","",IF(L677="",1,COUNTIF($L$2:$L$1501,L677)))</f>
        <v/>
      </c>
      <c r="Q677" s="11">
        <f>IF(J677="","",IFERROR(VALUE(SUBSTITUTE(SUBSTITUTE(IF(G677="","",G677)&amp;"","$",""),",","")),0)/IF("No"="Yes",P677,1))</f>
        <v/>
      </c>
      <c r="R677" s="11">
        <f>IF(J677="","",IFERROR(VALUE(SUBSTITUTE(SUBSTITUTE(IF(H677="","",H677)&amp;"","$",""),",","")),0)/IF("No"="Yes",P677,1))</f>
        <v/>
      </c>
      <c r="S677" s="11">
        <f>IF(J677="","",O677+Q677-R677)</f>
        <v/>
      </c>
      <c r="T677">
        <f>IF(J677="","",IFERROR(IF(K677="",NA(),MATCH(K677,Products!$B$5:$B$204,0)),IFERROR(MATCH(J677,Products!$A$5:$A$204,0),"")))</f>
        <v/>
      </c>
      <c r="U677">
        <f>IF(J677="","",IF(T677="","⚠ not in Products",INDEX(Products!$A$5:$A$204,T677)))</f>
        <v/>
      </c>
      <c r="V677" s="11">
        <f>IF(J677="","",S677*(IFERROR(INDEX(Settings!$B$5:$B$9,MATCH($B677,Settings!$A$5:$A$9,0)),0)+IFERROR(INDEX(Settings!$E$5:$E$9,MATCH($B677,Settings!$A$5:$A$9,0)),0)+IFERROR(INDEX(Settings!$G$5:$G$9,MATCH($B677,Settings!$A$5:$A$9,0)),0))+(IFERROR(INDEX(Settings!$C$5:$C$9,MATCH($B677,Settings!$A$5:$A$9,0)),0)+IFERROR(INDEX(Settings!$F$5:$F$9,MATCH($B677,Settings!$A$5:$A$9,0)),0))/P677+IFERROR(INDEX(Settings!$D$5:$D$9,MATCH($B677,Settings!$A$5:$A$9,0)),0)*M677)</f>
        <v/>
      </c>
      <c r="W677" s="11">
        <f>IF(J677="","",IF(T677="",0,M677*INDEX(Products!$I$5:$I$204,T677)))</f>
        <v/>
      </c>
      <c r="X677" s="11">
        <f>IF(J677="","",IF(T677="",0,S677*INDEX(Products!$H$5:$H$204,T677)))</f>
        <v/>
      </c>
      <c r="Y677" s="11">
        <f>IF(J677="","",S677-V677-W677-X677)</f>
        <v/>
      </c>
    </row>
    <row r="678">
      <c r="A678" s="19" t="n"/>
      <c r="B678" s="19" t="n"/>
      <c r="C678" s="19" t="n"/>
      <c r="D678" s="19" t="n"/>
      <c r="E678" s="19" t="n"/>
      <c r="F678" s="20" t="n"/>
      <c r="G678" s="20" t="n"/>
      <c r="H678" s="20" t="n"/>
      <c r="I678" s="19" t="n"/>
      <c r="J678">
        <f>IFERROR(IF(C678="","",C678)&amp;"","")</f>
        <v/>
      </c>
      <c r="K678">
        <f>IFERROR(IF(D678="","",D678)&amp;"","")</f>
        <v/>
      </c>
      <c r="L678">
        <f>IFERROR(IF(I678="","",I678)&amp;"","")</f>
        <v/>
      </c>
      <c r="M678">
        <f>IF(J678="","",IFERROR(VALUE(SUBSTITUTE(SUBSTITUTE(IF(E678="","",E678)&amp;"","$",""),",","")),0))</f>
        <v/>
      </c>
      <c r="N678" s="11">
        <f>IF(J678="","",IFERROR(VALUE(SUBSTITUTE(SUBSTITUTE(IF(F678="","",F678)&amp;"","$",""),",","")),0))</f>
        <v/>
      </c>
      <c r="O678" s="11">
        <f>IF(J678="","",M678*N678)</f>
        <v/>
      </c>
      <c r="P678">
        <f>IF(J678="","",IF(L678="",1,COUNTIF($L$2:$L$1501,L678)))</f>
        <v/>
      </c>
      <c r="Q678" s="11">
        <f>IF(J678="","",IFERROR(VALUE(SUBSTITUTE(SUBSTITUTE(IF(G678="","",G678)&amp;"","$",""),",","")),0)/IF("No"="Yes",P678,1))</f>
        <v/>
      </c>
      <c r="R678" s="11">
        <f>IF(J678="","",IFERROR(VALUE(SUBSTITUTE(SUBSTITUTE(IF(H678="","",H678)&amp;"","$",""),",","")),0)/IF("No"="Yes",P678,1))</f>
        <v/>
      </c>
      <c r="S678" s="11">
        <f>IF(J678="","",O678+Q678-R678)</f>
        <v/>
      </c>
      <c r="T678">
        <f>IF(J678="","",IFERROR(IF(K678="",NA(),MATCH(K678,Products!$B$5:$B$204,0)),IFERROR(MATCH(J678,Products!$A$5:$A$204,0),"")))</f>
        <v/>
      </c>
      <c r="U678">
        <f>IF(J678="","",IF(T678="","⚠ not in Products",INDEX(Products!$A$5:$A$204,T678)))</f>
        <v/>
      </c>
      <c r="V678" s="11">
        <f>IF(J678="","",S678*(IFERROR(INDEX(Settings!$B$5:$B$9,MATCH($B678,Settings!$A$5:$A$9,0)),0)+IFERROR(INDEX(Settings!$E$5:$E$9,MATCH($B678,Settings!$A$5:$A$9,0)),0)+IFERROR(INDEX(Settings!$G$5:$G$9,MATCH($B678,Settings!$A$5:$A$9,0)),0))+(IFERROR(INDEX(Settings!$C$5:$C$9,MATCH($B678,Settings!$A$5:$A$9,0)),0)+IFERROR(INDEX(Settings!$F$5:$F$9,MATCH($B678,Settings!$A$5:$A$9,0)),0))/P678+IFERROR(INDEX(Settings!$D$5:$D$9,MATCH($B678,Settings!$A$5:$A$9,0)),0)*M678)</f>
        <v/>
      </c>
      <c r="W678" s="11">
        <f>IF(J678="","",IF(T678="",0,M678*INDEX(Products!$I$5:$I$204,T678)))</f>
        <v/>
      </c>
      <c r="X678" s="11">
        <f>IF(J678="","",IF(T678="",0,S678*INDEX(Products!$H$5:$H$204,T678)))</f>
        <v/>
      </c>
      <c r="Y678" s="11">
        <f>IF(J678="","",S678-V678-W678-X678)</f>
        <v/>
      </c>
    </row>
    <row r="679">
      <c r="A679" s="19" t="n"/>
      <c r="B679" s="19" t="n"/>
      <c r="C679" s="19" t="n"/>
      <c r="D679" s="19" t="n"/>
      <c r="E679" s="19" t="n"/>
      <c r="F679" s="20" t="n"/>
      <c r="G679" s="20" t="n"/>
      <c r="H679" s="20" t="n"/>
      <c r="I679" s="19" t="n"/>
      <c r="J679">
        <f>IFERROR(IF(C679="","",C679)&amp;"","")</f>
        <v/>
      </c>
      <c r="K679">
        <f>IFERROR(IF(D679="","",D679)&amp;"","")</f>
        <v/>
      </c>
      <c r="L679">
        <f>IFERROR(IF(I679="","",I679)&amp;"","")</f>
        <v/>
      </c>
      <c r="M679">
        <f>IF(J679="","",IFERROR(VALUE(SUBSTITUTE(SUBSTITUTE(IF(E679="","",E679)&amp;"","$",""),",","")),0))</f>
        <v/>
      </c>
      <c r="N679" s="11">
        <f>IF(J679="","",IFERROR(VALUE(SUBSTITUTE(SUBSTITUTE(IF(F679="","",F679)&amp;"","$",""),",","")),0))</f>
        <v/>
      </c>
      <c r="O679" s="11">
        <f>IF(J679="","",M679*N679)</f>
        <v/>
      </c>
      <c r="P679">
        <f>IF(J679="","",IF(L679="",1,COUNTIF($L$2:$L$1501,L679)))</f>
        <v/>
      </c>
      <c r="Q679" s="11">
        <f>IF(J679="","",IFERROR(VALUE(SUBSTITUTE(SUBSTITUTE(IF(G679="","",G679)&amp;"","$",""),",","")),0)/IF("No"="Yes",P679,1))</f>
        <v/>
      </c>
      <c r="R679" s="11">
        <f>IF(J679="","",IFERROR(VALUE(SUBSTITUTE(SUBSTITUTE(IF(H679="","",H679)&amp;"","$",""),",","")),0)/IF("No"="Yes",P679,1))</f>
        <v/>
      </c>
      <c r="S679" s="11">
        <f>IF(J679="","",O679+Q679-R679)</f>
        <v/>
      </c>
      <c r="T679">
        <f>IF(J679="","",IFERROR(IF(K679="",NA(),MATCH(K679,Products!$B$5:$B$204,0)),IFERROR(MATCH(J679,Products!$A$5:$A$204,0),"")))</f>
        <v/>
      </c>
      <c r="U679">
        <f>IF(J679="","",IF(T679="","⚠ not in Products",INDEX(Products!$A$5:$A$204,T679)))</f>
        <v/>
      </c>
      <c r="V679" s="11">
        <f>IF(J679="","",S679*(IFERROR(INDEX(Settings!$B$5:$B$9,MATCH($B679,Settings!$A$5:$A$9,0)),0)+IFERROR(INDEX(Settings!$E$5:$E$9,MATCH($B679,Settings!$A$5:$A$9,0)),0)+IFERROR(INDEX(Settings!$G$5:$G$9,MATCH($B679,Settings!$A$5:$A$9,0)),0))+(IFERROR(INDEX(Settings!$C$5:$C$9,MATCH($B679,Settings!$A$5:$A$9,0)),0)+IFERROR(INDEX(Settings!$F$5:$F$9,MATCH($B679,Settings!$A$5:$A$9,0)),0))/P679+IFERROR(INDEX(Settings!$D$5:$D$9,MATCH($B679,Settings!$A$5:$A$9,0)),0)*M679)</f>
        <v/>
      </c>
      <c r="W679" s="11">
        <f>IF(J679="","",IF(T679="",0,M679*INDEX(Products!$I$5:$I$204,T679)))</f>
        <v/>
      </c>
      <c r="X679" s="11">
        <f>IF(J679="","",IF(T679="",0,S679*INDEX(Products!$H$5:$H$204,T679)))</f>
        <v/>
      </c>
      <c r="Y679" s="11">
        <f>IF(J679="","",S679-V679-W679-X679)</f>
        <v/>
      </c>
    </row>
    <row r="680">
      <c r="A680" s="19" t="n"/>
      <c r="B680" s="19" t="n"/>
      <c r="C680" s="19" t="n"/>
      <c r="D680" s="19" t="n"/>
      <c r="E680" s="19" t="n"/>
      <c r="F680" s="20" t="n"/>
      <c r="G680" s="20" t="n"/>
      <c r="H680" s="20" t="n"/>
      <c r="I680" s="19" t="n"/>
      <c r="J680">
        <f>IFERROR(IF(C680="","",C680)&amp;"","")</f>
        <v/>
      </c>
      <c r="K680">
        <f>IFERROR(IF(D680="","",D680)&amp;"","")</f>
        <v/>
      </c>
      <c r="L680">
        <f>IFERROR(IF(I680="","",I680)&amp;"","")</f>
        <v/>
      </c>
      <c r="M680">
        <f>IF(J680="","",IFERROR(VALUE(SUBSTITUTE(SUBSTITUTE(IF(E680="","",E680)&amp;"","$",""),",","")),0))</f>
        <v/>
      </c>
      <c r="N680" s="11">
        <f>IF(J680="","",IFERROR(VALUE(SUBSTITUTE(SUBSTITUTE(IF(F680="","",F680)&amp;"","$",""),",","")),0))</f>
        <v/>
      </c>
      <c r="O680" s="11">
        <f>IF(J680="","",M680*N680)</f>
        <v/>
      </c>
      <c r="P680">
        <f>IF(J680="","",IF(L680="",1,COUNTIF($L$2:$L$1501,L680)))</f>
        <v/>
      </c>
      <c r="Q680" s="11">
        <f>IF(J680="","",IFERROR(VALUE(SUBSTITUTE(SUBSTITUTE(IF(G680="","",G680)&amp;"","$",""),",","")),0)/IF("No"="Yes",P680,1))</f>
        <v/>
      </c>
      <c r="R680" s="11">
        <f>IF(J680="","",IFERROR(VALUE(SUBSTITUTE(SUBSTITUTE(IF(H680="","",H680)&amp;"","$",""),",","")),0)/IF("No"="Yes",P680,1))</f>
        <v/>
      </c>
      <c r="S680" s="11">
        <f>IF(J680="","",O680+Q680-R680)</f>
        <v/>
      </c>
      <c r="T680">
        <f>IF(J680="","",IFERROR(IF(K680="",NA(),MATCH(K680,Products!$B$5:$B$204,0)),IFERROR(MATCH(J680,Products!$A$5:$A$204,0),"")))</f>
        <v/>
      </c>
      <c r="U680">
        <f>IF(J680="","",IF(T680="","⚠ not in Products",INDEX(Products!$A$5:$A$204,T680)))</f>
        <v/>
      </c>
      <c r="V680" s="11">
        <f>IF(J680="","",S680*(IFERROR(INDEX(Settings!$B$5:$B$9,MATCH($B680,Settings!$A$5:$A$9,0)),0)+IFERROR(INDEX(Settings!$E$5:$E$9,MATCH($B680,Settings!$A$5:$A$9,0)),0)+IFERROR(INDEX(Settings!$G$5:$G$9,MATCH($B680,Settings!$A$5:$A$9,0)),0))+(IFERROR(INDEX(Settings!$C$5:$C$9,MATCH($B680,Settings!$A$5:$A$9,0)),0)+IFERROR(INDEX(Settings!$F$5:$F$9,MATCH($B680,Settings!$A$5:$A$9,0)),0))/P680+IFERROR(INDEX(Settings!$D$5:$D$9,MATCH($B680,Settings!$A$5:$A$9,0)),0)*M680)</f>
        <v/>
      </c>
      <c r="W680" s="11">
        <f>IF(J680="","",IF(T680="",0,M680*INDEX(Products!$I$5:$I$204,T680)))</f>
        <v/>
      </c>
      <c r="X680" s="11">
        <f>IF(J680="","",IF(T680="",0,S680*INDEX(Products!$H$5:$H$204,T680)))</f>
        <v/>
      </c>
      <c r="Y680" s="11">
        <f>IF(J680="","",S680-V680-W680-X680)</f>
        <v/>
      </c>
    </row>
    <row r="681">
      <c r="A681" s="19" t="n"/>
      <c r="B681" s="19" t="n"/>
      <c r="C681" s="19" t="n"/>
      <c r="D681" s="19" t="n"/>
      <c r="E681" s="19" t="n"/>
      <c r="F681" s="20" t="n"/>
      <c r="G681" s="20" t="n"/>
      <c r="H681" s="20" t="n"/>
      <c r="I681" s="19" t="n"/>
      <c r="J681">
        <f>IFERROR(IF(C681="","",C681)&amp;"","")</f>
        <v/>
      </c>
      <c r="K681">
        <f>IFERROR(IF(D681="","",D681)&amp;"","")</f>
        <v/>
      </c>
      <c r="L681">
        <f>IFERROR(IF(I681="","",I681)&amp;"","")</f>
        <v/>
      </c>
      <c r="M681">
        <f>IF(J681="","",IFERROR(VALUE(SUBSTITUTE(SUBSTITUTE(IF(E681="","",E681)&amp;"","$",""),",","")),0))</f>
        <v/>
      </c>
      <c r="N681" s="11">
        <f>IF(J681="","",IFERROR(VALUE(SUBSTITUTE(SUBSTITUTE(IF(F681="","",F681)&amp;"","$",""),",","")),0))</f>
        <v/>
      </c>
      <c r="O681" s="11">
        <f>IF(J681="","",M681*N681)</f>
        <v/>
      </c>
      <c r="P681">
        <f>IF(J681="","",IF(L681="",1,COUNTIF($L$2:$L$1501,L681)))</f>
        <v/>
      </c>
      <c r="Q681" s="11">
        <f>IF(J681="","",IFERROR(VALUE(SUBSTITUTE(SUBSTITUTE(IF(G681="","",G681)&amp;"","$",""),",","")),0)/IF("No"="Yes",P681,1))</f>
        <v/>
      </c>
      <c r="R681" s="11">
        <f>IF(J681="","",IFERROR(VALUE(SUBSTITUTE(SUBSTITUTE(IF(H681="","",H681)&amp;"","$",""),",","")),0)/IF("No"="Yes",P681,1))</f>
        <v/>
      </c>
      <c r="S681" s="11">
        <f>IF(J681="","",O681+Q681-R681)</f>
        <v/>
      </c>
      <c r="T681">
        <f>IF(J681="","",IFERROR(IF(K681="",NA(),MATCH(K681,Products!$B$5:$B$204,0)),IFERROR(MATCH(J681,Products!$A$5:$A$204,0),"")))</f>
        <v/>
      </c>
      <c r="U681">
        <f>IF(J681="","",IF(T681="","⚠ not in Products",INDEX(Products!$A$5:$A$204,T681)))</f>
        <v/>
      </c>
      <c r="V681" s="11">
        <f>IF(J681="","",S681*(IFERROR(INDEX(Settings!$B$5:$B$9,MATCH($B681,Settings!$A$5:$A$9,0)),0)+IFERROR(INDEX(Settings!$E$5:$E$9,MATCH($B681,Settings!$A$5:$A$9,0)),0)+IFERROR(INDEX(Settings!$G$5:$G$9,MATCH($B681,Settings!$A$5:$A$9,0)),0))+(IFERROR(INDEX(Settings!$C$5:$C$9,MATCH($B681,Settings!$A$5:$A$9,0)),0)+IFERROR(INDEX(Settings!$F$5:$F$9,MATCH($B681,Settings!$A$5:$A$9,0)),0))/P681+IFERROR(INDEX(Settings!$D$5:$D$9,MATCH($B681,Settings!$A$5:$A$9,0)),0)*M681)</f>
        <v/>
      </c>
      <c r="W681" s="11">
        <f>IF(J681="","",IF(T681="",0,M681*INDEX(Products!$I$5:$I$204,T681)))</f>
        <v/>
      </c>
      <c r="X681" s="11">
        <f>IF(J681="","",IF(T681="",0,S681*INDEX(Products!$H$5:$H$204,T681)))</f>
        <v/>
      </c>
      <c r="Y681" s="11">
        <f>IF(J681="","",S681-V681-W681-X681)</f>
        <v/>
      </c>
    </row>
    <row r="682">
      <c r="A682" s="19" t="n"/>
      <c r="B682" s="19" t="n"/>
      <c r="C682" s="19" t="n"/>
      <c r="D682" s="19" t="n"/>
      <c r="E682" s="19" t="n"/>
      <c r="F682" s="20" t="n"/>
      <c r="G682" s="20" t="n"/>
      <c r="H682" s="20" t="n"/>
      <c r="I682" s="19" t="n"/>
      <c r="J682">
        <f>IFERROR(IF(C682="","",C682)&amp;"","")</f>
        <v/>
      </c>
      <c r="K682">
        <f>IFERROR(IF(D682="","",D682)&amp;"","")</f>
        <v/>
      </c>
      <c r="L682">
        <f>IFERROR(IF(I682="","",I682)&amp;"","")</f>
        <v/>
      </c>
      <c r="M682">
        <f>IF(J682="","",IFERROR(VALUE(SUBSTITUTE(SUBSTITUTE(IF(E682="","",E682)&amp;"","$",""),",","")),0))</f>
        <v/>
      </c>
      <c r="N682" s="11">
        <f>IF(J682="","",IFERROR(VALUE(SUBSTITUTE(SUBSTITUTE(IF(F682="","",F682)&amp;"","$",""),",","")),0))</f>
        <v/>
      </c>
      <c r="O682" s="11">
        <f>IF(J682="","",M682*N682)</f>
        <v/>
      </c>
      <c r="P682">
        <f>IF(J682="","",IF(L682="",1,COUNTIF($L$2:$L$1501,L682)))</f>
        <v/>
      </c>
      <c r="Q682" s="11">
        <f>IF(J682="","",IFERROR(VALUE(SUBSTITUTE(SUBSTITUTE(IF(G682="","",G682)&amp;"","$",""),",","")),0)/IF("No"="Yes",P682,1))</f>
        <v/>
      </c>
      <c r="R682" s="11">
        <f>IF(J682="","",IFERROR(VALUE(SUBSTITUTE(SUBSTITUTE(IF(H682="","",H682)&amp;"","$",""),",","")),0)/IF("No"="Yes",P682,1))</f>
        <v/>
      </c>
      <c r="S682" s="11">
        <f>IF(J682="","",O682+Q682-R682)</f>
        <v/>
      </c>
      <c r="T682">
        <f>IF(J682="","",IFERROR(IF(K682="",NA(),MATCH(K682,Products!$B$5:$B$204,0)),IFERROR(MATCH(J682,Products!$A$5:$A$204,0),"")))</f>
        <v/>
      </c>
      <c r="U682">
        <f>IF(J682="","",IF(T682="","⚠ not in Products",INDEX(Products!$A$5:$A$204,T682)))</f>
        <v/>
      </c>
      <c r="V682" s="11">
        <f>IF(J682="","",S682*(IFERROR(INDEX(Settings!$B$5:$B$9,MATCH($B682,Settings!$A$5:$A$9,0)),0)+IFERROR(INDEX(Settings!$E$5:$E$9,MATCH($B682,Settings!$A$5:$A$9,0)),0)+IFERROR(INDEX(Settings!$G$5:$G$9,MATCH($B682,Settings!$A$5:$A$9,0)),0))+(IFERROR(INDEX(Settings!$C$5:$C$9,MATCH($B682,Settings!$A$5:$A$9,0)),0)+IFERROR(INDEX(Settings!$F$5:$F$9,MATCH($B682,Settings!$A$5:$A$9,0)),0))/P682+IFERROR(INDEX(Settings!$D$5:$D$9,MATCH($B682,Settings!$A$5:$A$9,0)),0)*M682)</f>
        <v/>
      </c>
      <c r="W682" s="11">
        <f>IF(J682="","",IF(T682="",0,M682*INDEX(Products!$I$5:$I$204,T682)))</f>
        <v/>
      </c>
      <c r="X682" s="11">
        <f>IF(J682="","",IF(T682="",0,S682*INDEX(Products!$H$5:$H$204,T682)))</f>
        <v/>
      </c>
      <c r="Y682" s="11">
        <f>IF(J682="","",S682-V682-W682-X682)</f>
        <v/>
      </c>
    </row>
    <row r="683">
      <c r="A683" s="19" t="n"/>
      <c r="B683" s="19" t="n"/>
      <c r="C683" s="19" t="n"/>
      <c r="D683" s="19" t="n"/>
      <c r="E683" s="19" t="n"/>
      <c r="F683" s="20" t="n"/>
      <c r="G683" s="20" t="n"/>
      <c r="H683" s="20" t="n"/>
      <c r="I683" s="19" t="n"/>
      <c r="J683">
        <f>IFERROR(IF(C683="","",C683)&amp;"","")</f>
        <v/>
      </c>
      <c r="K683">
        <f>IFERROR(IF(D683="","",D683)&amp;"","")</f>
        <v/>
      </c>
      <c r="L683">
        <f>IFERROR(IF(I683="","",I683)&amp;"","")</f>
        <v/>
      </c>
      <c r="M683">
        <f>IF(J683="","",IFERROR(VALUE(SUBSTITUTE(SUBSTITUTE(IF(E683="","",E683)&amp;"","$",""),",","")),0))</f>
        <v/>
      </c>
      <c r="N683" s="11">
        <f>IF(J683="","",IFERROR(VALUE(SUBSTITUTE(SUBSTITUTE(IF(F683="","",F683)&amp;"","$",""),",","")),0))</f>
        <v/>
      </c>
      <c r="O683" s="11">
        <f>IF(J683="","",M683*N683)</f>
        <v/>
      </c>
      <c r="P683">
        <f>IF(J683="","",IF(L683="",1,COUNTIF($L$2:$L$1501,L683)))</f>
        <v/>
      </c>
      <c r="Q683" s="11">
        <f>IF(J683="","",IFERROR(VALUE(SUBSTITUTE(SUBSTITUTE(IF(G683="","",G683)&amp;"","$",""),",","")),0)/IF("No"="Yes",P683,1))</f>
        <v/>
      </c>
      <c r="R683" s="11">
        <f>IF(J683="","",IFERROR(VALUE(SUBSTITUTE(SUBSTITUTE(IF(H683="","",H683)&amp;"","$",""),",","")),0)/IF("No"="Yes",P683,1))</f>
        <v/>
      </c>
      <c r="S683" s="11">
        <f>IF(J683="","",O683+Q683-R683)</f>
        <v/>
      </c>
      <c r="T683">
        <f>IF(J683="","",IFERROR(IF(K683="",NA(),MATCH(K683,Products!$B$5:$B$204,0)),IFERROR(MATCH(J683,Products!$A$5:$A$204,0),"")))</f>
        <v/>
      </c>
      <c r="U683">
        <f>IF(J683="","",IF(T683="","⚠ not in Products",INDEX(Products!$A$5:$A$204,T683)))</f>
        <v/>
      </c>
      <c r="V683" s="11">
        <f>IF(J683="","",S683*(IFERROR(INDEX(Settings!$B$5:$B$9,MATCH($B683,Settings!$A$5:$A$9,0)),0)+IFERROR(INDEX(Settings!$E$5:$E$9,MATCH($B683,Settings!$A$5:$A$9,0)),0)+IFERROR(INDEX(Settings!$G$5:$G$9,MATCH($B683,Settings!$A$5:$A$9,0)),0))+(IFERROR(INDEX(Settings!$C$5:$C$9,MATCH($B683,Settings!$A$5:$A$9,0)),0)+IFERROR(INDEX(Settings!$F$5:$F$9,MATCH($B683,Settings!$A$5:$A$9,0)),0))/P683+IFERROR(INDEX(Settings!$D$5:$D$9,MATCH($B683,Settings!$A$5:$A$9,0)),0)*M683)</f>
        <v/>
      </c>
      <c r="W683" s="11">
        <f>IF(J683="","",IF(T683="",0,M683*INDEX(Products!$I$5:$I$204,T683)))</f>
        <v/>
      </c>
      <c r="X683" s="11">
        <f>IF(J683="","",IF(T683="",0,S683*INDEX(Products!$H$5:$H$204,T683)))</f>
        <v/>
      </c>
      <c r="Y683" s="11">
        <f>IF(J683="","",S683-V683-W683-X683)</f>
        <v/>
      </c>
    </row>
    <row r="684">
      <c r="A684" s="19" t="n"/>
      <c r="B684" s="19" t="n"/>
      <c r="C684" s="19" t="n"/>
      <c r="D684" s="19" t="n"/>
      <c r="E684" s="19" t="n"/>
      <c r="F684" s="20" t="n"/>
      <c r="G684" s="20" t="n"/>
      <c r="H684" s="20" t="n"/>
      <c r="I684" s="19" t="n"/>
      <c r="J684">
        <f>IFERROR(IF(C684="","",C684)&amp;"","")</f>
        <v/>
      </c>
      <c r="K684">
        <f>IFERROR(IF(D684="","",D684)&amp;"","")</f>
        <v/>
      </c>
      <c r="L684">
        <f>IFERROR(IF(I684="","",I684)&amp;"","")</f>
        <v/>
      </c>
      <c r="M684">
        <f>IF(J684="","",IFERROR(VALUE(SUBSTITUTE(SUBSTITUTE(IF(E684="","",E684)&amp;"","$",""),",","")),0))</f>
        <v/>
      </c>
      <c r="N684" s="11">
        <f>IF(J684="","",IFERROR(VALUE(SUBSTITUTE(SUBSTITUTE(IF(F684="","",F684)&amp;"","$",""),",","")),0))</f>
        <v/>
      </c>
      <c r="O684" s="11">
        <f>IF(J684="","",M684*N684)</f>
        <v/>
      </c>
      <c r="P684">
        <f>IF(J684="","",IF(L684="",1,COUNTIF($L$2:$L$1501,L684)))</f>
        <v/>
      </c>
      <c r="Q684" s="11">
        <f>IF(J684="","",IFERROR(VALUE(SUBSTITUTE(SUBSTITUTE(IF(G684="","",G684)&amp;"","$",""),",","")),0)/IF("No"="Yes",P684,1))</f>
        <v/>
      </c>
      <c r="R684" s="11">
        <f>IF(J684="","",IFERROR(VALUE(SUBSTITUTE(SUBSTITUTE(IF(H684="","",H684)&amp;"","$",""),",","")),0)/IF("No"="Yes",P684,1))</f>
        <v/>
      </c>
      <c r="S684" s="11">
        <f>IF(J684="","",O684+Q684-R684)</f>
        <v/>
      </c>
      <c r="T684">
        <f>IF(J684="","",IFERROR(IF(K684="",NA(),MATCH(K684,Products!$B$5:$B$204,0)),IFERROR(MATCH(J684,Products!$A$5:$A$204,0),"")))</f>
        <v/>
      </c>
      <c r="U684">
        <f>IF(J684="","",IF(T684="","⚠ not in Products",INDEX(Products!$A$5:$A$204,T684)))</f>
        <v/>
      </c>
      <c r="V684" s="11">
        <f>IF(J684="","",S684*(IFERROR(INDEX(Settings!$B$5:$B$9,MATCH($B684,Settings!$A$5:$A$9,0)),0)+IFERROR(INDEX(Settings!$E$5:$E$9,MATCH($B684,Settings!$A$5:$A$9,0)),0)+IFERROR(INDEX(Settings!$G$5:$G$9,MATCH($B684,Settings!$A$5:$A$9,0)),0))+(IFERROR(INDEX(Settings!$C$5:$C$9,MATCH($B684,Settings!$A$5:$A$9,0)),0)+IFERROR(INDEX(Settings!$F$5:$F$9,MATCH($B684,Settings!$A$5:$A$9,0)),0))/P684+IFERROR(INDEX(Settings!$D$5:$D$9,MATCH($B684,Settings!$A$5:$A$9,0)),0)*M684)</f>
        <v/>
      </c>
      <c r="W684" s="11">
        <f>IF(J684="","",IF(T684="",0,M684*INDEX(Products!$I$5:$I$204,T684)))</f>
        <v/>
      </c>
      <c r="X684" s="11">
        <f>IF(J684="","",IF(T684="",0,S684*INDEX(Products!$H$5:$H$204,T684)))</f>
        <v/>
      </c>
      <c r="Y684" s="11">
        <f>IF(J684="","",S684-V684-W684-X684)</f>
        <v/>
      </c>
    </row>
    <row r="685">
      <c r="A685" s="19" t="n"/>
      <c r="B685" s="19" t="n"/>
      <c r="C685" s="19" t="n"/>
      <c r="D685" s="19" t="n"/>
      <c r="E685" s="19" t="n"/>
      <c r="F685" s="20" t="n"/>
      <c r="G685" s="20" t="n"/>
      <c r="H685" s="20" t="n"/>
      <c r="I685" s="19" t="n"/>
      <c r="J685">
        <f>IFERROR(IF(C685="","",C685)&amp;"","")</f>
        <v/>
      </c>
      <c r="K685">
        <f>IFERROR(IF(D685="","",D685)&amp;"","")</f>
        <v/>
      </c>
      <c r="L685">
        <f>IFERROR(IF(I685="","",I685)&amp;"","")</f>
        <v/>
      </c>
      <c r="M685">
        <f>IF(J685="","",IFERROR(VALUE(SUBSTITUTE(SUBSTITUTE(IF(E685="","",E685)&amp;"","$",""),",","")),0))</f>
        <v/>
      </c>
      <c r="N685" s="11">
        <f>IF(J685="","",IFERROR(VALUE(SUBSTITUTE(SUBSTITUTE(IF(F685="","",F685)&amp;"","$",""),",","")),0))</f>
        <v/>
      </c>
      <c r="O685" s="11">
        <f>IF(J685="","",M685*N685)</f>
        <v/>
      </c>
      <c r="P685">
        <f>IF(J685="","",IF(L685="",1,COUNTIF($L$2:$L$1501,L685)))</f>
        <v/>
      </c>
      <c r="Q685" s="11">
        <f>IF(J685="","",IFERROR(VALUE(SUBSTITUTE(SUBSTITUTE(IF(G685="","",G685)&amp;"","$",""),",","")),0)/IF("No"="Yes",P685,1))</f>
        <v/>
      </c>
      <c r="R685" s="11">
        <f>IF(J685="","",IFERROR(VALUE(SUBSTITUTE(SUBSTITUTE(IF(H685="","",H685)&amp;"","$",""),",","")),0)/IF("No"="Yes",P685,1))</f>
        <v/>
      </c>
      <c r="S685" s="11">
        <f>IF(J685="","",O685+Q685-R685)</f>
        <v/>
      </c>
      <c r="T685">
        <f>IF(J685="","",IFERROR(IF(K685="",NA(),MATCH(K685,Products!$B$5:$B$204,0)),IFERROR(MATCH(J685,Products!$A$5:$A$204,0),"")))</f>
        <v/>
      </c>
      <c r="U685">
        <f>IF(J685="","",IF(T685="","⚠ not in Products",INDEX(Products!$A$5:$A$204,T685)))</f>
        <v/>
      </c>
      <c r="V685" s="11">
        <f>IF(J685="","",S685*(IFERROR(INDEX(Settings!$B$5:$B$9,MATCH($B685,Settings!$A$5:$A$9,0)),0)+IFERROR(INDEX(Settings!$E$5:$E$9,MATCH($B685,Settings!$A$5:$A$9,0)),0)+IFERROR(INDEX(Settings!$G$5:$G$9,MATCH($B685,Settings!$A$5:$A$9,0)),0))+(IFERROR(INDEX(Settings!$C$5:$C$9,MATCH($B685,Settings!$A$5:$A$9,0)),0)+IFERROR(INDEX(Settings!$F$5:$F$9,MATCH($B685,Settings!$A$5:$A$9,0)),0))/P685+IFERROR(INDEX(Settings!$D$5:$D$9,MATCH($B685,Settings!$A$5:$A$9,0)),0)*M685)</f>
        <v/>
      </c>
      <c r="W685" s="11">
        <f>IF(J685="","",IF(T685="",0,M685*INDEX(Products!$I$5:$I$204,T685)))</f>
        <v/>
      </c>
      <c r="X685" s="11">
        <f>IF(J685="","",IF(T685="",0,S685*INDEX(Products!$H$5:$H$204,T685)))</f>
        <v/>
      </c>
      <c r="Y685" s="11">
        <f>IF(J685="","",S685-V685-W685-X685)</f>
        <v/>
      </c>
    </row>
    <row r="686">
      <c r="A686" s="19" t="n"/>
      <c r="B686" s="19" t="n"/>
      <c r="C686" s="19" t="n"/>
      <c r="D686" s="19" t="n"/>
      <c r="E686" s="19" t="n"/>
      <c r="F686" s="20" t="n"/>
      <c r="G686" s="20" t="n"/>
      <c r="H686" s="20" t="n"/>
      <c r="I686" s="19" t="n"/>
      <c r="J686">
        <f>IFERROR(IF(C686="","",C686)&amp;"","")</f>
        <v/>
      </c>
      <c r="K686">
        <f>IFERROR(IF(D686="","",D686)&amp;"","")</f>
        <v/>
      </c>
      <c r="L686">
        <f>IFERROR(IF(I686="","",I686)&amp;"","")</f>
        <v/>
      </c>
      <c r="M686">
        <f>IF(J686="","",IFERROR(VALUE(SUBSTITUTE(SUBSTITUTE(IF(E686="","",E686)&amp;"","$",""),",","")),0))</f>
        <v/>
      </c>
      <c r="N686" s="11">
        <f>IF(J686="","",IFERROR(VALUE(SUBSTITUTE(SUBSTITUTE(IF(F686="","",F686)&amp;"","$",""),",","")),0))</f>
        <v/>
      </c>
      <c r="O686" s="11">
        <f>IF(J686="","",M686*N686)</f>
        <v/>
      </c>
      <c r="P686">
        <f>IF(J686="","",IF(L686="",1,COUNTIF($L$2:$L$1501,L686)))</f>
        <v/>
      </c>
      <c r="Q686" s="11">
        <f>IF(J686="","",IFERROR(VALUE(SUBSTITUTE(SUBSTITUTE(IF(G686="","",G686)&amp;"","$",""),",","")),0)/IF("No"="Yes",P686,1))</f>
        <v/>
      </c>
      <c r="R686" s="11">
        <f>IF(J686="","",IFERROR(VALUE(SUBSTITUTE(SUBSTITUTE(IF(H686="","",H686)&amp;"","$",""),",","")),0)/IF("No"="Yes",P686,1))</f>
        <v/>
      </c>
      <c r="S686" s="11">
        <f>IF(J686="","",O686+Q686-R686)</f>
        <v/>
      </c>
      <c r="T686">
        <f>IF(J686="","",IFERROR(IF(K686="",NA(),MATCH(K686,Products!$B$5:$B$204,0)),IFERROR(MATCH(J686,Products!$A$5:$A$204,0),"")))</f>
        <v/>
      </c>
      <c r="U686">
        <f>IF(J686="","",IF(T686="","⚠ not in Products",INDEX(Products!$A$5:$A$204,T686)))</f>
        <v/>
      </c>
      <c r="V686" s="11">
        <f>IF(J686="","",S686*(IFERROR(INDEX(Settings!$B$5:$B$9,MATCH($B686,Settings!$A$5:$A$9,0)),0)+IFERROR(INDEX(Settings!$E$5:$E$9,MATCH($B686,Settings!$A$5:$A$9,0)),0)+IFERROR(INDEX(Settings!$G$5:$G$9,MATCH($B686,Settings!$A$5:$A$9,0)),0))+(IFERROR(INDEX(Settings!$C$5:$C$9,MATCH($B686,Settings!$A$5:$A$9,0)),0)+IFERROR(INDEX(Settings!$F$5:$F$9,MATCH($B686,Settings!$A$5:$A$9,0)),0))/P686+IFERROR(INDEX(Settings!$D$5:$D$9,MATCH($B686,Settings!$A$5:$A$9,0)),0)*M686)</f>
        <v/>
      </c>
      <c r="W686" s="11">
        <f>IF(J686="","",IF(T686="",0,M686*INDEX(Products!$I$5:$I$204,T686)))</f>
        <v/>
      </c>
      <c r="X686" s="11">
        <f>IF(J686="","",IF(T686="",0,S686*INDEX(Products!$H$5:$H$204,T686)))</f>
        <v/>
      </c>
      <c r="Y686" s="11">
        <f>IF(J686="","",S686-V686-W686-X686)</f>
        <v/>
      </c>
    </row>
    <row r="687">
      <c r="A687" s="19" t="n"/>
      <c r="B687" s="19" t="n"/>
      <c r="C687" s="19" t="n"/>
      <c r="D687" s="19" t="n"/>
      <c r="E687" s="19" t="n"/>
      <c r="F687" s="20" t="n"/>
      <c r="G687" s="20" t="n"/>
      <c r="H687" s="20" t="n"/>
      <c r="I687" s="19" t="n"/>
      <c r="J687">
        <f>IFERROR(IF(C687="","",C687)&amp;"","")</f>
        <v/>
      </c>
      <c r="K687">
        <f>IFERROR(IF(D687="","",D687)&amp;"","")</f>
        <v/>
      </c>
      <c r="L687">
        <f>IFERROR(IF(I687="","",I687)&amp;"","")</f>
        <v/>
      </c>
      <c r="M687">
        <f>IF(J687="","",IFERROR(VALUE(SUBSTITUTE(SUBSTITUTE(IF(E687="","",E687)&amp;"","$",""),",","")),0))</f>
        <v/>
      </c>
      <c r="N687" s="11">
        <f>IF(J687="","",IFERROR(VALUE(SUBSTITUTE(SUBSTITUTE(IF(F687="","",F687)&amp;"","$",""),",","")),0))</f>
        <v/>
      </c>
      <c r="O687" s="11">
        <f>IF(J687="","",M687*N687)</f>
        <v/>
      </c>
      <c r="P687">
        <f>IF(J687="","",IF(L687="",1,COUNTIF($L$2:$L$1501,L687)))</f>
        <v/>
      </c>
      <c r="Q687" s="11">
        <f>IF(J687="","",IFERROR(VALUE(SUBSTITUTE(SUBSTITUTE(IF(G687="","",G687)&amp;"","$",""),",","")),0)/IF("No"="Yes",P687,1))</f>
        <v/>
      </c>
      <c r="R687" s="11">
        <f>IF(J687="","",IFERROR(VALUE(SUBSTITUTE(SUBSTITUTE(IF(H687="","",H687)&amp;"","$",""),",","")),0)/IF("No"="Yes",P687,1))</f>
        <v/>
      </c>
      <c r="S687" s="11">
        <f>IF(J687="","",O687+Q687-R687)</f>
        <v/>
      </c>
      <c r="T687">
        <f>IF(J687="","",IFERROR(IF(K687="",NA(),MATCH(K687,Products!$B$5:$B$204,0)),IFERROR(MATCH(J687,Products!$A$5:$A$204,0),"")))</f>
        <v/>
      </c>
      <c r="U687">
        <f>IF(J687="","",IF(T687="","⚠ not in Products",INDEX(Products!$A$5:$A$204,T687)))</f>
        <v/>
      </c>
      <c r="V687" s="11">
        <f>IF(J687="","",S687*(IFERROR(INDEX(Settings!$B$5:$B$9,MATCH($B687,Settings!$A$5:$A$9,0)),0)+IFERROR(INDEX(Settings!$E$5:$E$9,MATCH($B687,Settings!$A$5:$A$9,0)),0)+IFERROR(INDEX(Settings!$G$5:$G$9,MATCH($B687,Settings!$A$5:$A$9,0)),0))+(IFERROR(INDEX(Settings!$C$5:$C$9,MATCH($B687,Settings!$A$5:$A$9,0)),0)+IFERROR(INDEX(Settings!$F$5:$F$9,MATCH($B687,Settings!$A$5:$A$9,0)),0))/P687+IFERROR(INDEX(Settings!$D$5:$D$9,MATCH($B687,Settings!$A$5:$A$9,0)),0)*M687)</f>
        <v/>
      </c>
      <c r="W687" s="11">
        <f>IF(J687="","",IF(T687="",0,M687*INDEX(Products!$I$5:$I$204,T687)))</f>
        <v/>
      </c>
      <c r="X687" s="11">
        <f>IF(J687="","",IF(T687="",0,S687*INDEX(Products!$H$5:$H$204,T687)))</f>
        <v/>
      </c>
      <c r="Y687" s="11">
        <f>IF(J687="","",S687-V687-W687-X687)</f>
        <v/>
      </c>
    </row>
    <row r="688">
      <c r="A688" s="19" t="n"/>
      <c r="B688" s="19" t="n"/>
      <c r="C688" s="19" t="n"/>
      <c r="D688" s="19" t="n"/>
      <c r="E688" s="19" t="n"/>
      <c r="F688" s="20" t="n"/>
      <c r="G688" s="20" t="n"/>
      <c r="H688" s="20" t="n"/>
      <c r="I688" s="19" t="n"/>
      <c r="J688">
        <f>IFERROR(IF(C688="","",C688)&amp;"","")</f>
        <v/>
      </c>
      <c r="K688">
        <f>IFERROR(IF(D688="","",D688)&amp;"","")</f>
        <v/>
      </c>
      <c r="L688">
        <f>IFERROR(IF(I688="","",I688)&amp;"","")</f>
        <v/>
      </c>
      <c r="M688">
        <f>IF(J688="","",IFERROR(VALUE(SUBSTITUTE(SUBSTITUTE(IF(E688="","",E688)&amp;"","$",""),",","")),0))</f>
        <v/>
      </c>
      <c r="N688" s="11">
        <f>IF(J688="","",IFERROR(VALUE(SUBSTITUTE(SUBSTITUTE(IF(F688="","",F688)&amp;"","$",""),",","")),0))</f>
        <v/>
      </c>
      <c r="O688" s="11">
        <f>IF(J688="","",M688*N688)</f>
        <v/>
      </c>
      <c r="P688">
        <f>IF(J688="","",IF(L688="",1,COUNTIF($L$2:$L$1501,L688)))</f>
        <v/>
      </c>
      <c r="Q688" s="11">
        <f>IF(J688="","",IFERROR(VALUE(SUBSTITUTE(SUBSTITUTE(IF(G688="","",G688)&amp;"","$",""),",","")),0)/IF("No"="Yes",P688,1))</f>
        <v/>
      </c>
      <c r="R688" s="11">
        <f>IF(J688="","",IFERROR(VALUE(SUBSTITUTE(SUBSTITUTE(IF(H688="","",H688)&amp;"","$",""),",","")),0)/IF("No"="Yes",P688,1))</f>
        <v/>
      </c>
      <c r="S688" s="11">
        <f>IF(J688="","",O688+Q688-R688)</f>
        <v/>
      </c>
      <c r="T688">
        <f>IF(J688="","",IFERROR(IF(K688="",NA(),MATCH(K688,Products!$B$5:$B$204,0)),IFERROR(MATCH(J688,Products!$A$5:$A$204,0),"")))</f>
        <v/>
      </c>
      <c r="U688">
        <f>IF(J688="","",IF(T688="","⚠ not in Products",INDEX(Products!$A$5:$A$204,T688)))</f>
        <v/>
      </c>
      <c r="V688" s="11">
        <f>IF(J688="","",S688*(IFERROR(INDEX(Settings!$B$5:$B$9,MATCH($B688,Settings!$A$5:$A$9,0)),0)+IFERROR(INDEX(Settings!$E$5:$E$9,MATCH($B688,Settings!$A$5:$A$9,0)),0)+IFERROR(INDEX(Settings!$G$5:$G$9,MATCH($B688,Settings!$A$5:$A$9,0)),0))+(IFERROR(INDEX(Settings!$C$5:$C$9,MATCH($B688,Settings!$A$5:$A$9,0)),0)+IFERROR(INDEX(Settings!$F$5:$F$9,MATCH($B688,Settings!$A$5:$A$9,0)),0))/P688+IFERROR(INDEX(Settings!$D$5:$D$9,MATCH($B688,Settings!$A$5:$A$9,0)),0)*M688)</f>
        <v/>
      </c>
      <c r="W688" s="11">
        <f>IF(J688="","",IF(T688="",0,M688*INDEX(Products!$I$5:$I$204,T688)))</f>
        <v/>
      </c>
      <c r="X688" s="11">
        <f>IF(J688="","",IF(T688="",0,S688*INDEX(Products!$H$5:$H$204,T688)))</f>
        <v/>
      </c>
      <c r="Y688" s="11">
        <f>IF(J688="","",S688-V688-W688-X688)</f>
        <v/>
      </c>
    </row>
    <row r="689">
      <c r="A689" s="19" t="n"/>
      <c r="B689" s="19" t="n"/>
      <c r="C689" s="19" t="n"/>
      <c r="D689" s="19" t="n"/>
      <c r="E689" s="19" t="n"/>
      <c r="F689" s="20" t="n"/>
      <c r="G689" s="20" t="n"/>
      <c r="H689" s="20" t="n"/>
      <c r="I689" s="19" t="n"/>
      <c r="J689">
        <f>IFERROR(IF(C689="","",C689)&amp;"","")</f>
        <v/>
      </c>
      <c r="K689">
        <f>IFERROR(IF(D689="","",D689)&amp;"","")</f>
        <v/>
      </c>
      <c r="L689">
        <f>IFERROR(IF(I689="","",I689)&amp;"","")</f>
        <v/>
      </c>
      <c r="M689">
        <f>IF(J689="","",IFERROR(VALUE(SUBSTITUTE(SUBSTITUTE(IF(E689="","",E689)&amp;"","$",""),",","")),0))</f>
        <v/>
      </c>
      <c r="N689" s="11">
        <f>IF(J689="","",IFERROR(VALUE(SUBSTITUTE(SUBSTITUTE(IF(F689="","",F689)&amp;"","$",""),",","")),0))</f>
        <v/>
      </c>
      <c r="O689" s="11">
        <f>IF(J689="","",M689*N689)</f>
        <v/>
      </c>
      <c r="P689">
        <f>IF(J689="","",IF(L689="",1,COUNTIF($L$2:$L$1501,L689)))</f>
        <v/>
      </c>
      <c r="Q689" s="11">
        <f>IF(J689="","",IFERROR(VALUE(SUBSTITUTE(SUBSTITUTE(IF(G689="","",G689)&amp;"","$",""),",","")),0)/IF("No"="Yes",P689,1))</f>
        <v/>
      </c>
      <c r="R689" s="11">
        <f>IF(J689="","",IFERROR(VALUE(SUBSTITUTE(SUBSTITUTE(IF(H689="","",H689)&amp;"","$",""),",","")),0)/IF("No"="Yes",P689,1))</f>
        <v/>
      </c>
      <c r="S689" s="11">
        <f>IF(J689="","",O689+Q689-R689)</f>
        <v/>
      </c>
      <c r="T689">
        <f>IF(J689="","",IFERROR(IF(K689="",NA(),MATCH(K689,Products!$B$5:$B$204,0)),IFERROR(MATCH(J689,Products!$A$5:$A$204,0),"")))</f>
        <v/>
      </c>
      <c r="U689">
        <f>IF(J689="","",IF(T689="","⚠ not in Products",INDEX(Products!$A$5:$A$204,T689)))</f>
        <v/>
      </c>
      <c r="V689" s="11">
        <f>IF(J689="","",S689*(IFERROR(INDEX(Settings!$B$5:$B$9,MATCH($B689,Settings!$A$5:$A$9,0)),0)+IFERROR(INDEX(Settings!$E$5:$E$9,MATCH($B689,Settings!$A$5:$A$9,0)),0)+IFERROR(INDEX(Settings!$G$5:$G$9,MATCH($B689,Settings!$A$5:$A$9,0)),0))+(IFERROR(INDEX(Settings!$C$5:$C$9,MATCH($B689,Settings!$A$5:$A$9,0)),0)+IFERROR(INDEX(Settings!$F$5:$F$9,MATCH($B689,Settings!$A$5:$A$9,0)),0))/P689+IFERROR(INDEX(Settings!$D$5:$D$9,MATCH($B689,Settings!$A$5:$A$9,0)),0)*M689)</f>
        <v/>
      </c>
      <c r="W689" s="11">
        <f>IF(J689="","",IF(T689="",0,M689*INDEX(Products!$I$5:$I$204,T689)))</f>
        <v/>
      </c>
      <c r="X689" s="11">
        <f>IF(J689="","",IF(T689="",0,S689*INDEX(Products!$H$5:$H$204,T689)))</f>
        <v/>
      </c>
      <c r="Y689" s="11">
        <f>IF(J689="","",S689-V689-W689-X689)</f>
        <v/>
      </c>
    </row>
    <row r="690">
      <c r="A690" s="19" t="n"/>
      <c r="B690" s="19" t="n"/>
      <c r="C690" s="19" t="n"/>
      <c r="D690" s="19" t="n"/>
      <c r="E690" s="19" t="n"/>
      <c r="F690" s="20" t="n"/>
      <c r="G690" s="20" t="n"/>
      <c r="H690" s="20" t="n"/>
      <c r="I690" s="19" t="n"/>
      <c r="J690">
        <f>IFERROR(IF(C690="","",C690)&amp;"","")</f>
        <v/>
      </c>
      <c r="K690">
        <f>IFERROR(IF(D690="","",D690)&amp;"","")</f>
        <v/>
      </c>
      <c r="L690">
        <f>IFERROR(IF(I690="","",I690)&amp;"","")</f>
        <v/>
      </c>
      <c r="M690">
        <f>IF(J690="","",IFERROR(VALUE(SUBSTITUTE(SUBSTITUTE(IF(E690="","",E690)&amp;"","$",""),",","")),0))</f>
        <v/>
      </c>
      <c r="N690" s="11">
        <f>IF(J690="","",IFERROR(VALUE(SUBSTITUTE(SUBSTITUTE(IF(F690="","",F690)&amp;"","$",""),",","")),0))</f>
        <v/>
      </c>
      <c r="O690" s="11">
        <f>IF(J690="","",M690*N690)</f>
        <v/>
      </c>
      <c r="P690">
        <f>IF(J690="","",IF(L690="",1,COUNTIF($L$2:$L$1501,L690)))</f>
        <v/>
      </c>
      <c r="Q690" s="11">
        <f>IF(J690="","",IFERROR(VALUE(SUBSTITUTE(SUBSTITUTE(IF(G690="","",G690)&amp;"","$",""),",","")),0)/IF("No"="Yes",P690,1))</f>
        <v/>
      </c>
      <c r="R690" s="11">
        <f>IF(J690="","",IFERROR(VALUE(SUBSTITUTE(SUBSTITUTE(IF(H690="","",H690)&amp;"","$",""),",","")),0)/IF("No"="Yes",P690,1))</f>
        <v/>
      </c>
      <c r="S690" s="11">
        <f>IF(J690="","",O690+Q690-R690)</f>
        <v/>
      </c>
      <c r="T690">
        <f>IF(J690="","",IFERROR(IF(K690="",NA(),MATCH(K690,Products!$B$5:$B$204,0)),IFERROR(MATCH(J690,Products!$A$5:$A$204,0),"")))</f>
        <v/>
      </c>
      <c r="U690">
        <f>IF(J690="","",IF(T690="","⚠ not in Products",INDEX(Products!$A$5:$A$204,T690)))</f>
        <v/>
      </c>
      <c r="V690" s="11">
        <f>IF(J690="","",S690*(IFERROR(INDEX(Settings!$B$5:$B$9,MATCH($B690,Settings!$A$5:$A$9,0)),0)+IFERROR(INDEX(Settings!$E$5:$E$9,MATCH($B690,Settings!$A$5:$A$9,0)),0)+IFERROR(INDEX(Settings!$G$5:$G$9,MATCH($B690,Settings!$A$5:$A$9,0)),0))+(IFERROR(INDEX(Settings!$C$5:$C$9,MATCH($B690,Settings!$A$5:$A$9,0)),0)+IFERROR(INDEX(Settings!$F$5:$F$9,MATCH($B690,Settings!$A$5:$A$9,0)),0))/P690+IFERROR(INDEX(Settings!$D$5:$D$9,MATCH($B690,Settings!$A$5:$A$9,0)),0)*M690)</f>
        <v/>
      </c>
      <c r="W690" s="11">
        <f>IF(J690="","",IF(T690="",0,M690*INDEX(Products!$I$5:$I$204,T690)))</f>
        <v/>
      </c>
      <c r="X690" s="11">
        <f>IF(J690="","",IF(T690="",0,S690*INDEX(Products!$H$5:$H$204,T690)))</f>
        <v/>
      </c>
      <c r="Y690" s="11">
        <f>IF(J690="","",S690-V690-W690-X690)</f>
        <v/>
      </c>
    </row>
    <row r="691">
      <c r="A691" s="19" t="n"/>
      <c r="B691" s="19" t="n"/>
      <c r="C691" s="19" t="n"/>
      <c r="D691" s="19" t="n"/>
      <c r="E691" s="19" t="n"/>
      <c r="F691" s="20" t="n"/>
      <c r="G691" s="20" t="n"/>
      <c r="H691" s="20" t="n"/>
      <c r="I691" s="19" t="n"/>
      <c r="J691">
        <f>IFERROR(IF(C691="","",C691)&amp;"","")</f>
        <v/>
      </c>
      <c r="K691">
        <f>IFERROR(IF(D691="","",D691)&amp;"","")</f>
        <v/>
      </c>
      <c r="L691">
        <f>IFERROR(IF(I691="","",I691)&amp;"","")</f>
        <v/>
      </c>
      <c r="M691">
        <f>IF(J691="","",IFERROR(VALUE(SUBSTITUTE(SUBSTITUTE(IF(E691="","",E691)&amp;"","$",""),",","")),0))</f>
        <v/>
      </c>
      <c r="N691" s="11">
        <f>IF(J691="","",IFERROR(VALUE(SUBSTITUTE(SUBSTITUTE(IF(F691="","",F691)&amp;"","$",""),",","")),0))</f>
        <v/>
      </c>
      <c r="O691" s="11">
        <f>IF(J691="","",M691*N691)</f>
        <v/>
      </c>
      <c r="P691">
        <f>IF(J691="","",IF(L691="",1,COUNTIF($L$2:$L$1501,L691)))</f>
        <v/>
      </c>
      <c r="Q691" s="11">
        <f>IF(J691="","",IFERROR(VALUE(SUBSTITUTE(SUBSTITUTE(IF(G691="","",G691)&amp;"","$",""),",","")),0)/IF("No"="Yes",P691,1))</f>
        <v/>
      </c>
      <c r="R691" s="11">
        <f>IF(J691="","",IFERROR(VALUE(SUBSTITUTE(SUBSTITUTE(IF(H691="","",H691)&amp;"","$",""),",","")),0)/IF("No"="Yes",P691,1))</f>
        <v/>
      </c>
      <c r="S691" s="11">
        <f>IF(J691="","",O691+Q691-R691)</f>
        <v/>
      </c>
      <c r="T691">
        <f>IF(J691="","",IFERROR(IF(K691="",NA(),MATCH(K691,Products!$B$5:$B$204,0)),IFERROR(MATCH(J691,Products!$A$5:$A$204,0),"")))</f>
        <v/>
      </c>
      <c r="U691">
        <f>IF(J691="","",IF(T691="","⚠ not in Products",INDEX(Products!$A$5:$A$204,T691)))</f>
        <v/>
      </c>
      <c r="V691" s="11">
        <f>IF(J691="","",S691*(IFERROR(INDEX(Settings!$B$5:$B$9,MATCH($B691,Settings!$A$5:$A$9,0)),0)+IFERROR(INDEX(Settings!$E$5:$E$9,MATCH($B691,Settings!$A$5:$A$9,0)),0)+IFERROR(INDEX(Settings!$G$5:$G$9,MATCH($B691,Settings!$A$5:$A$9,0)),0))+(IFERROR(INDEX(Settings!$C$5:$C$9,MATCH($B691,Settings!$A$5:$A$9,0)),0)+IFERROR(INDEX(Settings!$F$5:$F$9,MATCH($B691,Settings!$A$5:$A$9,0)),0))/P691+IFERROR(INDEX(Settings!$D$5:$D$9,MATCH($B691,Settings!$A$5:$A$9,0)),0)*M691)</f>
        <v/>
      </c>
      <c r="W691" s="11">
        <f>IF(J691="","",IF(T691="",0,M691*INDEX(Products!$I$5:$I$204,T691)))</f>
        <v/>
      </c>
      <c r="X691" s="11">
        <f>IF(J691="","",IF(T691="",0,S691*INDEX(Products!$H$5:$H$204,T691)))</f>
        <v/>
      </c>
      <c r="Y691" s="11">
        <f>IF(J691="","",S691-V691-W691-X691)</f>
        <v/>
      </c>
    </row>
    <row r="692">
      <c r="A692" s="19" t="n"/>
      <c r="B692" s="19" t="n"/>
      <c r="C692" s="19" t="n"/>
      <c r="D692" s="19" t="n"/>
      <c r="E692" s="19" t="n"/>
      <c r="F692" s="20" t="n"/>
      <c r="G692" s="20" t="n"/>
      <c r="H692" s="20" t="n"/>
      <c r="I692" s="19" t="n"/>
      <c r="J692">
        <f>IFERROR(IF(C692="","",C692)&amp;"","")</f>
        <v/>
      </c>
      <c r="K692">
        <f>IFERROR(IF(D692="","",D692)&amp;"","")</f>
        <v/>
      </c>
      <c r="L692">
        <f>IFERROR(IF(I692="","",I692)&amp;"","")</f>
        <v/>
      </c>
      <c r="M692">
        <f>IF(J692="","",IFERROR(VALUE(SUBSTITUTE(SUBSTITUTE(IF(E692="","",E692)&amp;"","$",""),",","")),0))</f>
        <v/>
      </c>
      <c r="N692" s="11">
        <f>IF(J692="","",IFERROR(VALUE(SUBSTITUTE(SUBSTITUTE(IF(F692="","",F692)&amp;"","$",""),",","")),0))</f>
        <v/>
      </c>
      <c r="O692" s="11">
        <f>IF(J692="","",M692*N692)</f>
        <v/>
      </c>
      <c r="P692">
        <f>IF(J692="","",IF(L692="",1,COUNTIF($L$2:$L$1501,L692)))</f>
        <v/>
      </c>
      <c r="Q692" s="11">
        <f>IF(J692="","",IFERROR(VALUE(SUBSTITUTE(SUBSTITUTE(IF(G692="","",G692)&amp;"","$",""),",","")),0)/IF("No"="Yes",P692,1))</f>
        <v/>
      </c>
      <c r="R692" s="11">
        <f>IF(J692="","",IFERROR(VALUE(SUBSTITUTE(SUBSTITUTE(IF(H692="","",H692)&amp;"","$",""),",","")),0)/IF("No"="Yes",P692,1))</f>
        <v/>
      </c>
      <c r="S692" s="11">
        <f>IF(J692="","",O692+Q692-R692)</f>
        <v/>
      </c>
      <c r="T692">
        <f>IF(J692="","",IFERROR(IF(K692="",NA(),MATCH(K692,Products!$B$5:$B$204,0)),IFERROR(MATCH(J692,Products!$A$5:$A$204,0),"")))</f>
        <v/>
      </c>
      <c r="U692">
        <f>IF(J692="","",IF(T692="","⚠ not in Products",INDEX(Products!$A$5:$A$204,T692)))</f>
        <v/>
      </c>
      <c r="V692" s="11">
        <f>IF(J692="","",S692*(IFERROR(INDEX(Settings!$B$5:$B$9,MATCH($B692,Settings!$A$5:$A$9,0)),0)+IFERROR(INDEX(Settings!$E$5:$E$9,MATCH($B692,Settings!$A$5:$A$9,0)),0)+IFERROR(INDEX(Settings!$G$5:$G$9,MATCH($B692,Settings!$A$5:$A$9,0)),0))+(IFERROR(INDEX(Settings!$C$5:$C$9,MATCH($B692,Settings!$A$5:$A$9,0)),0)+IFERROR(INDEX(Settings!$F$5:$F$9,MATCH($B692,Settings!$A$5:$A$9,0)),0))/P692+IFERROR(INDEX(Settings!$D$5:$D$9,MATCH($B692,Settings!$A$5:$A$9,0)),0)*M692)</f>
        <v/>
      </c>
      <c r="W692" s="11">
        <f>IF(J692="","",IF(T692="",0,M692*INDEX(Products!$I$5:$I$204,T692)))</f>
        <v/>
      </c>
      <c r="X692" s="11">
        <f>IF(J692="","",IF(T692="",0,S692*INDEX(Products!$H$5:$H$204,T692)))</f>
        <v/>
      </c>
      <c r="Y692" s="11">
        <f>IF(J692="","",S692-V692-W692-X692)</f>
        <v/>
      </c>
    </row>
    <row r="693">
      <c r="A693" s="19" t="n"/>
      <c r="B693" s="19" t="n"/>
      <c r="C693" s="19" t="n"/>
      <c r="D693" s="19" t="n"/>
      <c r="E693" s="19" t="n"/>
      <c r="F693" s="20" t="n"/>
      <c r="G693" s="20" t="n"/>
      <c r="H693" s="20" t="n"/>
      <c r="I693" s="19" t="n"/>
      <c r="J693">
        <f>IFERROR(IF(C693="","",C693)&amp;"","")</f>
        <v/>
      </c>
      <c r="K693">
        <f>IFERROR(IF(D693="","",D693)&amp;"","")</f>
        <v/>
      </c>
      <c r="L693">
        <f>IFERROR(IF(I693="","",I693)&amp;"","")</f>
        <v/>
      </c>
      <c r="M693">
        <f>IF(J693="","",IFERROR(VALUE(SUBSTITUTE(SUBSTITUTE(IF(E693="","",E693)&amp;"","$",""),",","")),0))</f>
        <v/>
      </c>
      <c r="N693" s="11">
        <f>IF(J693="","",IFERROR(VALUE(SUBSTITUTE(SUBSTITUTE(IF(F693="","",F693)&amp;"","$",""),",","")),0))</f>
        <v/>
      </c>
      <c r="O693" s="11">
        <f>IF(J693="","",M693*N693)</f>
        <v/>
      </c>
      <c r="P693">
        <f>IF(J693="","",IF(L693="",1,COUNTIF($L$2:$L$1501,L693)))</f>
        <v/>
      </c>
      <c r="Q693" s="11">
        <f>IF(J693="","",IFERROR(VALUE(SUBSTITUTE(SUBSTITUTE(IF(G693="","",G693)&amp;"","$",""),",","")),0)/IF("No"="Yes",P693,1))</f>
        <v/>
      </c>
      <c r="R693" s="11">
        <f>IF(J693="","",IFERROR(VALUE(SUBSTITUTE(SUBSTITUTE(IF(H693="","",H693)&amp;"","$",""),",","")),0)/IF("No"="Yes",P693,1))</f>
        <v/>
      </c>
      <c r="S693" s="11">
        <f>IF(J693="","",O693+Q693-R693)</f>
        <v/>
      </c>
      <c r="T693">
        <f>IF(J693="","",IFERROR(IF(K693="",NA(),MATCH(K693,Products!$B$5:$B$204,0)),IFERROR(MATCH(J693,Products!$A$5:$A$204,0),"")))</f>
        <v/>
      </c>
      <c r="U693">
        <f>IF(J693="","",IF(T693="","⚠ not in Products",INDEX(Products!$A$5:$A$204,T693)))</f>
        <v/>
      </c>
      <c r="V693" s="11">
        <f>IF(J693="","",S693*(IFERROR(INDEX(Settings!$B$5:$B$9,MATCH($B693,Settings!$A$5:$A$9,0)),0)+IFERROR(INDEX(Settings!$E$5:$E$9,MATCH($B693,Settings!$A$5:$A$9,0)),0)+IFERROR(INDEX(Settings!$G$5:$G$9,MATCH($B693,Settings!$A$5:$A$9,0)),0))+(IFERROR(INDEX(Settings!$C$5:$C$9,MATCH($B693,Settings!$A$5:$A$9,0)),0)+IFERROR(INDEX(Settings!$F$5:$F$9,MATCH($B693,Settings!$A$5:$A$9,0)),0))/P693+IFERROR(INDEX(Settings!$D$5:$D$9,MATCH($B693,Settings!$A$5:$A$9,0)),0)*M693)</f>
        <v/>
      </c>
      <c r="W693" s="11">
        <f>IF(J693="","",IF(T693="",0,M693*INDEX(Products!$I$5:$I$204,T693)))</f>
        <v/>
      </c>
      <c r="X693" s="11">
        <f>IF(J693="","",IF(T693="",0,S693*INDEX(Products!$H$5:$H$204,T693)))</f>
        <v/>
      </c>
      <c r="Y693" s="11">
        <f>IF(J693="","",S693-V693-W693-X693)</f>
        <v/>
      </c>
    </row>
    <row r="694">
      <c r="A694" s="19" t="n"/>
      <c r="B694" s="19" t="n"/>
      <c r="C694" s="19" t="n"/>
      <c r="D694" s="19" t="n"/>
      <c r="E694" s="19" t="n"/>
      <c r="F694" s="20" t="n"/>
      <c r="G694" s="20" t="n"/>
      <c r="H694" s="20" t="n"/>
      <c r="I694" s="19" t="n"/>
      <c r="J694">
        <f>IFERROR(IF(C694="","",C694)&amp;"","")</f>
        <v/>
      </c>
      <c r="K694">
        <f>IFERROR(IF(D694="","",D694)&amp;"","")</f>
        <v/>
      </c>
      <c r="L694">
        <f>IFERROR(IF(I694="","",I694)&amp;"","")</f>
        <v/>
      </c>
      <c r="M694">
        <f>IF(J694="","",IFERROR(VALUE(SUBSTITUTE(SUBSTITUTE(IF(E694="","",E694)&amp;"","$",""),",","")),0))</f>
        <v/>
      </c>
      <c r="N694" s="11">
        <f>IF(J694="","",IFERROR(VALUE(SUBSTITUTE(SUBSTITUTE(IF(F694="","",F694)&amp;"","$",""),",","")),0))</f>
        <v/>
      </c>
      <c r="O694" s="11">
        <f>IF(J694="","",M694*N694)</f>
        <v/>
      </c>
      <c r="P694">
        <f>IF(J694="","",IF(L694="",1,COUNTIF($L$2:$L$1501,L694)))</f>
        <v/>
      </c>
      <c r="Q694" s="11">
        <f>IF(J694="","",IFERROR(VALUE(SUBSTITUTE(SUBSTITUTE(IF(G694="","",G694)&amp;"","$",""),",","")),0)/IF("No"="Yes",P694,1))</f>
        <v/>
      </c>
      <c r="R694" s="11">
        <f>IF(J694="","",IFERROR(VALUE(SUBSTITUTE(SUBSTITUTE(IF(H694="","",H694)&amp;"","$",""),",","")),0)/IF("No"="Yes",P694,1))</f>
        <v/>
      </c>
      <c r="S694" s="11">
        <f>IF(J694="","",O694+Q694-R694)</f>
        <v/>
      </c>
      <c r="T694">
        <f>IF(J694="","",IFERROR(IF(K694="",NA(),MATCH(K694,Products!$B$5:$B$204,0)),IFERROR(MATCH(J694,Products!$A$5:$A$204,0),"")))</f>
        <v/>
      </c>
      <c r="U694">
        <f>IF(J694="","",IF(T694="","⚠ not in Products",INDEX(Products!$A$5:$A$204,T694)))</f>
        <v/>
      </c>
      <c r="V694" s="11">
        <f>IF(J694="","",S694*(IFERROR(INDEX(Settings!$B$5:$B$9,MATCH($B694,Settings!$A$5:$A$9,0)),0)+IFERROR(INDEX(Settings!$E$5:$E$9,MATCH($B694,Settings!$A$5:$A$9,0)),0)+IFERROR(INDEX(Settings!$G$5:$G$9,MATCH($B694,Settings!$A$5:$A$9,0)),0))+(IFERROR(INDEX(Settings!$C$5:$C$9,MATCH($B694,Settings!$A$5:$A$9,0)),0)+IFERROR(INDEX(Settings!$F$5:$F$9,MATCH($B694,Settings!$A$5:$A$9,0)),0))/P694+IFERROR(INDEX(Settings!$D$5:$D$9,MATCH($B694,Settings!$A$5:$A$9,0)),0)*M694)</f>
        <v/>
      </c>
      <c r="W694" s="11">
        <f>IF(J694="","",IF(T694="",0,M694*INDEX(Products!$I$5:$I$204,T694)))</f>
        <v/>
      </c>
      <c r="X694" s="11">
        <f>IF(J694="","",IF(T694="",0,S694*INDEX(Products!$H$5:$H$204,T694)))</f>
        <v/>
      </c>
      <c r="Y694" s="11">
        <f>IF(J694="","",S694-V694-W694-X694)</f>
        <v/>
      </c>
    </row>
    <row r="695">
      <c r="A695" s="19" t="n"/>
      <c r="B695" s="19" t="n"/>
      <c r="C695" s="19" t="n"/>
      <c r="D695" s="19" t="n"/>
      <c r="E695" s="19" t="n"/>
      <c r="F695" s="20" t="n"/>
      <c r="G695" s="20" t="n"/>
      <c r="H695" s="20" t="n"/>
      <c r="I695" s="19" t="n"/>
      <c r="J695">
        <f>IFERROR(IF(C695="","",C695)&amp;"","")</f>
        <v/>
      </c>
      <c r="K695">
        <f>IFERROR(IF(D695="","",D695)&amp;"","")</f>
        <v/>
      </c>
      <c r="L695">
        <f>IFERROR(IF(I695="","",I695)&amp;"","")</f>
        <v/>
      </c>
      <c r="M695">
        <f>IF(J695="","",IFERROR(VALUE(SUBSTITUTE(SUBSTITUTE(IF(E695="","",E695)&amp;"","$",""),",","")),0))</f>
        <v/>
      </c>
      <c r="N695" s="11">
        <f>IF(J695="","",IFERROR(VALUE(SUBSTITUTE(SUBSTITUTE(IF(F695="","",F695)&amp;"","$",""),",","")),0))</f>
        <v/>
      </c>
      <c r="O695" s="11">
        <f>IF(J695="","",M695*N695)</f>
        <v/>
      </c>
      <c r="P695">
        <f>IF(J695="","",IF(L695="",1,COUNTIF($L$2:$L$1501,L695)))</f>
        <v/>
      </c>
      <c r="Q695" s="11">
        <f>IF(J695="","",IFERROR(VALUE(SUBSTITUTE(SUBSTITUTE(IF(G695="","",G695)&amp;"","$",""),",","")),0)/IF("No"="Yes",P695,1))</f>
        <v/>
      </c>
      <c r="R695" s="11">
        <f>IF(J695="","",IFERROR(VALUE(SUBSTITUTE(SUBSTITUTE(IF(H695="","",H695)&amp;"","$",""),",","")),0)/IF("No"="Yes",P695,1))</f>
        <v/>
      </c>
      <c r="S695" s="11">
        <f>IF(J695="","",O695+Q695-R695)</f>
        <v/>
      </c>
      <c r="T695">
        <f>IF(J695="","",IFERROR(IF(K695="",NA(),MATCH(K695,Products!$B$5:$B$204,0)),IFERROR(MATCH(J695,Products!$A$5:$A$204,0),"")))</f>
        <v/>
      </c>
      <c r="U695">
        <f>IF(J695="","",IF(T695="","⚠ not in Products",INDEX(Products!$A$5:$A$204,T695)))</f>
        <v/>
      </c>
      <c r="V695" s="11">
        <f>IF(J695="","",S695*(IFERROR(INDEX(Settings!$B$5:$B$9,MATCH($B695,Settings!$A$5:$A$9,0)),0)+IFERROR(INDEX(Settings!$E$5:$E$9,MATCH($B695,Settings!$A$5:$A$9,0)),0)+IFERROR(INDEX(Settings!$G$5:$G$9,MATCH($B695,Settings!$A$5:$A$9,0)),0))+(IFERROR(INDEX(Settings!$C$5:$C$9,MATCH($B695,Settings!$A$5:$A$9,0)),0)+IFERROR(INDEX(Settings!$F$5:$F$9,MATCH($B695,Settings!$A$5:$A$9,0)),0))/P695+IFERROR(INDEX(Settings!$D$5:$D$9,MATCH($B695,Settings!$A$5:$A$9,0)),0)*M695)</f>
        <v/>
      </c>
      <c r="W695" s="11">
        <f>IF(J695="","",IF(T695="",0,M695*INDEX(Products!$I$5:$I$204,T695)))</f>
        <v/>
      </c>
      <c r="X695" s="11">
        <f>IF(J695="","",IF(T695="",0,S695*INDEX(Products!$H$5:$H$204,T695)))</f>
        <v/>
      </c>
      <c r="Y695" s="11">
        <f>IF(J695="","",S695-V695-W695-X695)</f>
        <v/>
      </c>
    </row>
    <row r="696">
      <c r="A696" s="19" t="n"/>
      <c r="B696" s="19" t="n"/>
      <c r="C696" s="19" t="n"/>
      <c r="D696" s="19" t="n"/>
      <c r="E696" s="19" t="n"/>
      <c r="F696" s="20" t="n"/>
      <c r="G696" s="20" t="n"/>
      <c r="H696" s="20" t="n"/>
      <c r="I696" s="19" t="n"/>
      <c r="J696">
        <f>IFERROR(IF(C696="","",C696)&amp;"","")</f>
        <v/>
      </c>
      <c r="K696">
        <f>IFERROR(IF(D696="","",D696)&amp;"","")</f>
        <v/>
      </c>
      <c r="L696">
        <f>IFERROR(IF(I696="","",I696)&amp;"","")</f>
        <v/>
      </c>
      <c r="M696">
        <f>IF(J696="","",IFERROR(VALUE(SUBSTITUTE(SUBSTITUTE(IF(E696="","",E696)&amp;"","$",""),",","")),0))</f>
        <v/>
      </c>
      <c r="N696" s="11">
        <f>IF(J696="","",IFERROR(VALUE(SUBSTITUTE(SUBSTITUTE(IF(F696="","",F696)&amp;"","$",""),",","")),0))</f>
        <v/>
      </c>
      <c r="O696" s="11">
        <f>IF(J696="","",M696*N696)</f>
        <v/>
      </c>
      <c r="P696">
        <f>IF(J696="","",IF(L696="",1,COUNTIF($L$2:$L$1501,L696)))</f>
        <v/>
      </c>
      <c r="Q696" s="11">
        <f>IF(J696="","",IFERROR(VALUE(SUBSTITUTE(SUBSTITUTE(IF(G696="","",G696)&amp;"","$",""),",","")),0)/IF("No"="Yes",P696,1))</f>
        <v/>
      </c>
      <c r="R696" s="11">
        <f>IF(J696="","",IFERROR(VALUE(SUBSTITUTE(SUBSTITUTE(IF(H696="","",H696)&amp;"","$",""),",","")),0)/IF("No"="Yes",P696,1))</f>
        <v/>
      </c>
      <c r="S696" s="11">
        <f>IF(J696="","",O696+Q696-R696)</f>
        <v/>
      </c>
      <c r="T696">
        <f>IF(J696="","",IFERROR(IF(K696="",NA(),MATCH(K696,Products!$B$5:$B$204,0)),IFERROR(MATCH(J696,Products!$A$5:$A$204,0),"")))</f>
        <v/>
      </c>
      <c r="U696">
        <f>IF(J696="","",IF(T696="","⚠ not in Products",INDEX(Products!$A$5:$A$204,T696)))</f>
        <v/>
      </c>
      <c r="V696" s="11">
        <f>IF(J696="","",S696*(IFERROR(INDEX(Settings!$B$5:$B$9,MATCH($B696,Settings!$A$5:$A$9,0)),0)+IFERROR(INDEX(Settings!$E$5:$E$9,MATCH($B696,Settings!$A$5:$A$9,0)),0)+IFERROR(INDEX(Settings!$G$5:$G$9,MATCH($B696,Settings!$A$5:$A$9,0)),0))+(IFERROR(INDEX(Settings!$C$5:$C$9,MATCH($B696,Settings!$A$5:$A$9,0)),0)+IFERROR(INDEX(Settings!$F$5:$F$9,MATCH($B696,Settings!$A$5:$A$9,0)),0))/P696+IFERROR(INDEX(Settings!$D$5:$D$9,MATCH($B696,Settings!$A$5:$A$9,0)),0)*M696)</f>
        <v/>
      </c>
      <c r="W696" s="11">
        <f>IF(J696="","",IF(T696="",0,M696*INDEX(Products!$I$5:$I$204,T696)))</f>
        <v/>
      </c>
      <c r="X696" s="11">
        <f>IF(J696="","",IF(T696="",0,S696*INDEX(Products!$H$5:$H$204,T696)))</f>
        <v/>
      </c>
      <c r="Y696" s="11">
        <f>IF(J696="","",S696-V696-W696-X696)</f>
        <v/>
      </c>
    </row>
    <row r="697">
      <c r="A697" s="19" t="n"/>
      <c r="B697" s="19" t="n"/>
      <c r="C697" s="19" t="n"/>
      <c r="D697" s="19" t="n"/>
      <c r="E697" s="19" t="n"/>
      <c r="F697" s="20" t="n"/>
      <c r="G697" s="20" t="n"/>
      <c r="H697" s="20" t="n"/>
      <c r="I697" s="19" t="n"/>
      <c r="J697">
        <f>IFERROR(IF(C697="","",C697)&amp;"","")</f>
        <v/>
      </c>
      <c r="K697">
        <f>IFERROR(IF(D697="","",D697)&amp;"","")</f>
        <v/>
      </c>
      <c r="L697">
        <f>IFERROR(IF(I697="","",I697)&amp;"","")</f>
        <v/>
      </c>
      <c r="M697">
        <f>IF(J697="","",IFERROR(VALUE(SUBSTITUTE(SUBSTITUTE(IF(E697="","",E697)&amp;"","$",""),",","")),0))</f>
        <v/>
      </c>
      <c r="N697" s="11">
        <f>IF(J697="","",IFERROR(VALUE(SUBSTITUTE(SUBSTITUTE(IF(F697="","",F697)&amp;"","$",""),",","")),0))</f>
        <v/>
      </c>
      <c r="O697" s="11">
        <f>IF(J697="","",M697*N697)</f>
        <v/>
      </c>
      <c r="P697">
        <f>IF(J697="","",IF(L697="",1,COUNTIF($L$2:$L$1501,L697)))</f>
        <v/>
      </c>
      <c r="Q697" s="11">
        <f>IF(J697="","",IFERROR(VALUE(SUBSTITUTE(SUBSTITUTE(IF(G697="","",G697)&amp;"","$",""),",","")),0)/IF("No"="Yes",P697,1))</f>
        <v/>
      </c>
      <c r="R697" s="11">
        <f>IF(J697="","",IFERROR(VALUE(SUBSTITUTE(SUBSTITUTE(IF(H697="","",H697)&amp;"","$",""),",","")),0)/IF("No"="Yes",P697,1))</f>
        <v/>
      </c>
      <c r="S697" s="11">
        <f>IF(J697="","",O697+Q697-R697)</f>
        <v/>
      </c>
      <c r="T697">
        <f>IF(J697="","",IFERROR(IF(K697="",NA(),MATCH(K697,Products!$B$5:$B$204,0)),IFERROR(MATCH(J697,Products!$A$5:$A$204,0),"")))</f>
        <v/>
      </c>
      <c r="U697">
        <f>IF(J697="","",IF(T697="","⚠ not in Products",INDEX(Products!$A$5:$A$204,T697)))</f>
        <v/>
      </c>
      <c r="V697" s="11">
        <f>IF(J697="","",S697*(IFERROR(INDEX(Settings!$B$5:$B$9,MATCH($B697,Settings!$A$5:$A$9,0)),0)+IFERROR(INDEX(Settings!$E$5:$E$9,MATCH($B697,Settings!$A$5:$A$9,0)),0)+IFERROR(INDEX(Settings!$G$5:$G$9,MATCH($B697,Settings!$A$5:$A$9,0)),0))+(IFERROR(INDEX(Settings!$C$5:$C$9,MATCH($B697,Settings!$A$5:$A$9,0)),0)+IFERROR(INDEX(Settings!$F$5:$F$9,MATCH($B697,Settings!$A$5:$A$9,0)),0))/P697+IFERROR(INDEX(Settings!$D$5:$D$9,MATCH($B697,Settings!$A$5:$A$9,0)),0)*M697)</f>
        <v/>
      </c>
      <c r="W697" s="11">
        <f>IF(J697="","",IF(T697="",0,M697*INDEX(Products!$I$5:$I$204,T697)))</f>
        <v/>
      </c>
      <c r="X697" s="11">
        <f>IF(J697="","",IF(T697="",0,S697*INDEX(Products!$H$5:$H$204,T697)))</f>
        <v/>
      </c>
      <c r="Y697" s="11">
        <f>IF(J697="","",S697-V697-W697-X697)</f>
        <v/>
      </c>
    </row>
    <row r="698">
      <c r="A698" s="19" t="n"/>
      <c r="B698" s="19" t="n"/>
      <c r="C698" s="19" t="n"/>
      <c r="D698" s="19" t="n"/>
      <c r="E698" s="19" t="n"/>
      <c r="F698" s="20" t="n"/>
      <c r="G698" s="20" t="n"/>
      <c r="H698" s="20" t="n"/>
      <c r="I698" s="19" t="n"/>
      <c r="J698">
        <f>IFERROR(IF(C698="","",C698)&amp;"","")</f>
        <v/>
      </c>
      <c r="K698">
        <f>IFERROR(IF(D698="","",D698)&amp;"","")</f>
        <v/>
      </c>
      <c r="L698">
        <f>IFERROR(IF(I698="","",I698)&amp;"","")</f>
        <v/>
      </c>
      <c r="M698">
        <f>IF(J698="","",IFERROR(VALUE(SUBSTITUTE(SUBSTITUTE(IF(E698="","",E698)&amp;"","$",""),",","")),0))</f>
        <v/>
      </c>
      <c r="N698" s="11">
        <f>IF(J698="","",IFERROR(VALUE(SUBSTITUTE(SUBSTITUTE(IF(F698="","",F698)&amp;"","$",""),",","")),0))</f>
        <v/>
      </c>
      <c r="O698" s="11">
        <f>IF(J698="","",M698*N698)</f>
        <v/>
      </c>
      <c r="P698">
        <f>IF(J698="","",IF(L698="",1,COUNTIF($L$2:$L$1501,L698)))</f>
        <v/>
      </c>
      <c r="Q698" s="11">
        <f>IF(J698="","",IFERROR(VALUE(SUBSTITUTE(SUBSTITUTE(IF(G698="","",G698)&amp;"","$",""),",","")),0)/IF("No"="Yes",P698,1))</f>
        <v/>
      </c>
      <c r="R698" s="11">
        <f>IF(J698="","",IFERROR(VALUE(SUBSTITUTE(SUBSTITUTE(IF(H698="","",H698)&amp;"","$",""),",","")),0)/IF("No"="Yes",P698,1))</f>
        <v/>
      </c>
      <c r="S698" s="11">
        <f>IF(J698="","",O698+Q698-R698)</f>
        <v/>
      </c>
      <c r="T698">
        <f>IF(J698="","",IFERROR(IF(K698="",NA(),MATCH(K698,Products!$B$5:$B$204,0)),IFERROR(MATCH(J698,Products!$A$5:$A$204,0),"")))</f>
        <v/>
      </c>
      <c r="U698">
        <f>IF(J698="","",IF(T698="","⚠ not in Products",INDEX(Products!$A$5:$A$204,T698)))</f>
        <v/>
      </c>
      <c r="V698" s="11">
        <f>IF(J698="","",S698*(IFERROR(INDEX(Settings!$B$5:$B$9,MATCH($B698,Settings!$A$5:$A$9,0)),0)+IFERROR(INDEX(Settings!$E$5:$E$9,MATCH($B698,Settings!$A$5:$A$9,0)),0)+IFERROR(INDEX(Settings!$G$5:$G$9,MATCH($B698,Settings!$A$5:$A$9,0)),0))+(IFERROR(INDEX(Settings!$C$5:$C$9,MATCH($B698,Settings!$A$5:$A$9,0)),0)+IFERROR(INDEX(Settings!$F$5:$F$9,MATCH($B698,Settings!$A$5:$A$9,0)),0))/P698+IFERROR(INDEX(Settings!$D$5:$D$9,MATCH($B698,Settings!$A$5:$A$9,0)),0)*M698)</f>
        <v/>
      </c>
      <c r="W698" s="11">
        <f>IF(J698="","",IF(T698="",0,M698*INDEX(Products!$I$5:$I$204,T698)))</f>
        <v/>
      </c>
      <c r="X698" s="11">
        <f>IF(J698="","",IF(T698="",0,S698*INDEX(Products!$H$5:$H$204,T698)))</f>
        <v/>
      </c>
      <c r="Y698" s="11">
        <f>IF(J698="","",S698-V698-W698-X698)</f>
        <v/>
      </c>
    </row>
    <row r="699">
      <c r="A699" s="19" t="n"/>
      <c r="B699" s="19" t="n"/>
      <c r="C699" s="19" t="n"/>
      <c r="D699" s="19" t="n"/>
      <c r="E699" s="19" t="n"/>
      <c r="F699" s="20" t="n"/>
      <c r="G699" s="20" t="n"/>
      <c r="H699" s="20" t="n"/>
      <c r="I699" s="19" t="n"/>
      <c r="J699">
        <f>IFERROR(IF(C699="","",C699)&amp;"","")</f>
        <v/>
      </c>
      <c r="K699">
        <f>IFERROR(IF(D699="","",D699)&amp;"","")</f>
        <v/>
      </c>
      <c r="L699">
        <f>IFERROR(IF(I699="","",I699)&amp;"","")</f>
        <v/>
      </c>
      <c r="M699">
        <f>IF(J699="","",IFERROR(VALUE(SUBSTITUTE(SUBSTITUTE(IF(E699="","",E699)&amp;"","$",""),",","")),0))</f>
        <v/>
      </c>
      <c r="N699" s="11">
        <f>IF(J699="","",IFERROR(VALUE(SUBSTITUTE(SUBSTITUTE(IF(F699="","",F699)&amp;"","$",""),",","")),0))</f>
        <v/>
      </c>
      <c r="O699" s="11">
        <f>IF(J699="","",M699*N699)</f>
        <v/>
      </c>
      <c r="P699">
        <f>IF(J699="","",IF(L699="",1,COUNTIF($L$2:$L$1501,L699)))</f>
        <v/>
      </c>
      <c r="Q699" s="11">
        <f>IF(J699="","",IFERROR(VALUE(SUBSTITUTE(SUBSTITUTE(IF(G699="","",G699)&amp;"","$",""),",","")),0)/IF("No"="Yes",P699,1))</f>
        <v/>
      </c>
      <c r="R699" s="11">
        <f>IF(J699="","",IFERROR(VALUE(SUBSTITUTE(SUBSTITUTE(IF(H699="","",H699)&amp;"","$",""),",","")),0)/IF("No"="Yes",P699,1))</f>
        <v/>
      </c>
      <c r="S699" s="11">
        <f>IF(J699="","",O699+Q699-R699)</f>
        <v/>
      </c>
      <c r="T699">
        <f>IF(J699="","",IFERROR(IF(K699="",NA(),MATCH(K699,Products!$B$5:$B$204,0)),IFERROR(MATCH(J699,Products!$A$5:$A$204,0),"")))</f>
        <v/>
      </c>
      <c r="U699">
        <f>IF(J699="","",IF(T699="","⚠ not in Products",INDEX(Products!$A$5:$A$204,T699)))</f>
        <v/>
      </c>
      <c r="V699" s="11">
        <f>IF(J699="","",S699*(IFERROR(INDEX(Settings!$B$5:$B$9,MATCH($B699,Settings!$A$5:$A$9,0)),0)+IFERROR(INDEX(Settings!$E$5:$E$9,MATCH($B699,Settings!$A$5:$A$9,0)),0)+IFERROR(INDEX(Settings!$G$5:$G$9,MATCH($B699,Settings!$A$5:$A$9,0)),0))+(IFERROR(INDEX(Settings!$C$5:$C$9,MATCH($B699,Settings!$A$5:$A$9,0)),0)+IFERROR(INDEX(Settings!$F$5:$F$9,MATCH($B699,Settings!$A$5:$A$9,0)),0))/P699+IFERROR(INDEX(Settings!$D$5:$D$9,MATCH($B699,Settings!$A$5:$A$9,0)),0)*M699)</f>
        <v/>
      </c>
      <c r="W699" s="11">
        <f>IF(J699="","",IF(T699="",0,M699*INDEX(Products!$I$5:$I$204,T699)))</f>
        <v/>
      </c>
      <c r="X699" s="11">
        <f>IF(J699="","",IF(T699="",0,S699*INDEX(Products!$H$5:$H$204,T699)))</f>
        <v/>
      </c>
      <c r="Y699" s="11">
        <f>IF(J699="","",S699-V699-W699-X699)</f>
        <v/>
      </c>
    </row>
    <row r="700">
      <c r="A700" s="19" t="n"/>
      <c r="B700" s="19" t="n"/>
      <c r="C700" s="19" t="n"/>
      <c r="D700" s="19" t="n"/>
      <c r="E700" s="19" t="n"/>
      <c r="F700" s="20" t="n"/>
      <c r="G700" s="20" t="n"/>
      <c r="H700" s="20" t="n"/>
      <c r="I700" s="19" t="n"/>
      <c r="J700">
        <f>IFERROR(IF(C700="","",C700)&amp;"","")</f>
        <v/>
      </c>
      <c r="K700">
        <f>IFERROR(IF(D700="","",D700)&amp;"","")</f>
        <v/>
      </c>
      <c r="L700">
        <f>IFERROR(IF(I700="","",I700)&amp;"","")</f>
        <v/>
      </c>
      <c r="M700">
        <f>IF(J700="","",IFERROR(VALUE(SUBSTITUTE(SUBSTITUTE(IF(E700="","",E700)&amp;"","$",""),",","")),0))</f>
        <v/>
      </c>
      <c r="N700" s="11">
        <f>IF(J700="","",IFERROR(VALUE(SUBSTITUTE(SUBSTITUTE(IF(F700="","",F700)&amp;"","$",""),",","")),0))</f>
        <v/>
      </c>
      <c r="O700" s="11">
        <f>IF(J700="","",M700*N700)</f>
        <v/>
      </c>
      <c r="P700">
        <f>IF(J700="","",IF(L700="",1,COUNTIF($L$2:$L$1501,L700)))</f>
        <v/>
      </c>
      <c r="Q700" s="11">
        <f>IF(J700="","",IFERROR(VALUE(SUBSTITUTE(SUBSTITUTE(IF(G700="","",G700)&amp;"","$",""),",","")),0)/IF("No"="Yes",P700,1))</f>
        <v/>
      </c>
      <c r="R700" s="11">
        <f>IF(J700="","",IFERROR(VALUE(SUBSTITUTE(SUBSTITUTE(IF(H700="","",H700)&amp;"","$",""),",","")),0)/IF("No"="Yes",P700,1))</f>
        <v/>
      </c>
      <c r="S700" s="11">
        <f>IF(J700="","",O700+Q700-R700)</f>
        <v/>
      </c>
      <c r="T700">
        <f>IF(J700="","",IFERROR(IF(K700="",NA(),MATCH(K700,Products!$B$5:$B$204,0)),IFERROR(MATCH(J700,Products!$A$5:$A$204,0),"")))</f>
        <v/>
      </c>
      <c r="U700">
        <f>IF(J700="","",IF(T700="","⚠ not in Products",INDEX(Products!$A$5:$A$204,T700)))</f>
        <v/>
      </c>
      <c r="V700" s="11">
        <f>IF(J700="","",S700*(IFERROR(INDEX(Settings!$B$5:$B$9,MATCH($B700,Settings!$A$5:$A$9,0)),0)+IFERROR(INDEX(Settings!$E$5:$E$9,MATCH($B700,Settings!$A$5:$A$9,0)),0)+IFERROR(INDEX(Settings!$G$5:$G$9,MATCH($B700,Settings!$A$5:$A$9,0)),0))+(IFERROR(INDEX(Settings!$C$5:$C$9,MATCH($B700,Settings!$A$5:$A$9,0)),0)+IFERROR(INDEX(Settings!$F$5:$F$9,MATCH($B700,Settings!$A$5:$A$9,0)),0))/P700+IFERROR(INDEX(Settings!$D$5:$D$9,MATCH($B700,Settings!$A$5:$A$9,0)),0)*M700)</f>
        <v/>
      </c>
      <c r="W700" s="11">
        <f>IF(J700="","",IF(T700="",0,M700*INDEX(Products!$I$5:$I$204,T700)))</f>
        <v/>
      </c>
      <c r="X700" s="11">
        <f>IF(J700="","",IF(T700="",0,S700*INDEX(Products!$H$5:$H$204,T700)))</f>
        <v/>
      </c>
      <c r="Y700" s="11">
        <f>IF(J700="","",S700-V700-W700-X700)</f>
        <v/>
      </c>
    </row>
    <row r="701">
      <c r="A701" s="19" t="n"/>
      <c r="B701" s="19" t="n"/>
      <c r="C701" s="19" t="n"/>
      <c r="D701" s="19" t="n"/>
      <c r="E701" s="19" t="n"/>
      <c r="F701" s="20" t="n"/>
      <c r="G701" s="20" t="n"/>
      <c r="H701" s="20" t="n"/>
      <c r="I701" s="19" t="n"/>
      <c r="J701">
        <f>IFERROR(IF(C701="","",C701)&amp;"","")</f>
        <v/>
      </c>
      <c r="K701">
        <f>IFERROR(IF(D701="","",D701)&amp;"","")</f>
        <v/>
      </c>
      <c r="L701">
        <f>IFERROR(IF(I701="","",I701)&amp;"","")</f>
        <v/>
      </c>
      <c r="M701">
        <f>IF(J701="","",IFERROR(VALUE(SUBSTITUTE(SUBSTITUTE(IF(E701="","",E701)&amp;"","$",""),",","")),0))</f>
        <v/>
      </c>
      <c r="N701" s="11">
        <f>IF(J701="","",IFERROR(VALUE(SUBSTITUTE(SUBSTITUTE(IF(F701="","",F701)&amp;"","$",""),",","")),0))</f>
        <v/>
      </c>
      <c r="O701" s="11">
        <f>IF(J701="","",M701*N701)</f>
        <v/>
      </c>
      <c r="P701">
        <f>IF(J701="","",IF(L701="",1,COUNTIF($L$2:$L$1501,L701)))</f>
        <v/>
      </c>
      <c r="Q701" s="11">
        <f>IF(J701="","",IFERROR(VALUE(SUBSTITUTE(SUBSTITUTE(IF(G701="","",G701)&amp;"","$",""),",","")),0)/IF("No"="Yes",P701,1))</f>
        <v/>
      </c>
      <c r="R701" s="11">
        <f>IF(J701="","",IFERROR(VALUE(SUBSTITUTE(SUBSTITUTE(IF(H701="","",H701)&amp;"","$",""),",","")),0)/IF("No"="Yes",P701,1))</f>
        <v/>
      </c>
      <c r="S701" s="11">
        <f>IF(J701="","",O701+Q701-R701)</f>
        <v/>
      </c>
      <c r="T701">
        <f>IF(J701="","",IFERROR(IF(K701="",NA(),MATCH(K701,Products!$B$5:$B$204,0)),IFERROR(MATCH(J701,Products!$A$5:$A$204,0),"")))</f>
        <v/>
      </c>
      <c r="U701">
        <f>IF(J701="","",IF(T701="","⚠ not in Products",INDEX(Products!$A$5:$A$204,T701)))</f>
        <v/>
      </c>
      <c r="V701" s="11">
        <f>IF(J701="","",S701*(IFERROR(INDEX(Settings!$B$5:$B$9,MATCH($B701,Settings!$A$5:$A$9,0)),0)+IFERROR(INDEX(Settings!$E$5:$E$9,MATCH($B701,Settings!$A$5:$A$9,0)),0)+IFERROR(INDEX(Settings!$G$5:$G$9,MATCH($B701,Settings!$A$5:$A$9,0)),0))+(IFERROR(INDEX(Settings!$C$5:$C$9,MATCH($B701,Settings!$A$5:$A$9,0)),0)+IFERROR(INDEX(Settings!$F$5:$F$9,MATCH($B701,Settings!$A$5:$A$9,0)),0))/P701+IFERROR(INDEX(Settings!$D$5:$D$9,MATCH($B701,Settings!$A$5:$A$9,0)),0)*M701)</f>
        <v/>
      </c>
      <c r="W701" s="11">
        <f>IF(J701="","",IF(T701="",0,M701*INDEX(Products!$I$5:$I$204,T701)))</f>
        <v/>
      </c>
      <c r="X701" s="11">
        <f>IF(J701="","",IF(T701="",0,S701*INDEX(Products!$H$5:$H$204,T701)))</f>
        <v/>
      </c>
      <c r="Y701" s="11">
        <f>IF(J701="","",S701-V701-W701-X701)</f>
        <v/>
      </c>
    </row>
    <row r="702">
      <c r="A702" s="19" t="n"/>
      <c r="B702" s="19" t="n"/>
      <c r="C702" s="19" t="n"/>
      <c r="D702" s="19" t="n"/>
      <c r="E702" s="19" t="n"/>
      <c r="F702" s="20" t="n"/>
      <c r="G702" s="20" t="n"/>
      <c r="H702" s="20" t="n"/>
      <c r="I702" s="19" t="n"/>
      <c r="J702">
        <f>IFERROR(IF(C702="","",C702)&amp;"","")</f>
        <v/>
      </c>
      <c r="K702">
        <f>IFERROR(IF(D702="","",D702)&amp;"","")</f>
        <v/>
      </c>
      <c r="L702">
        <f>IFERROR(IF(I702="","",I702)&amp;"","")</f>
        <v/>
      </c>
      <c r="M702">
        <f>IF(J702="","",IFERROR(VALUE(SUBSTITUTE(SUBSTITUTE(IF(E702="","",E702)&amp;"","$",""),",","")),0))</f>
        <v/>
      </c>
      <c r="N702" s="11">
        <f>IF(J702="","",IFERROR(VALUE(SUBSTITUTE(SUBSTITUTE(IF(F702="","",F702)&amp;"","$",""),",","")),0))</f>
        <v/>
      </c>
      <c r="O702" s="11">
        <f>IF(J702="","",M702*N702)</f>
        <v/>
      </c>
      <c r="P702">
        <f>IF(J702="","",IF(L702="",1,COUNTIF($L$2:$L$1501,L702)))</f>
        <v/>
      </c>
      <c r="Q702" s="11">
        <f>IF(J702="","",IFERROR(VALUE(SUBSTITUTE(SUBSTITUTE(IF(G702="","",G702)&amp;"","$",""),",","")),0)/IF("No"="Yes",P702,1))</f>
        <v/>
      </c>
      <c r="R702" s="11">
        <f>IF(J702="","",IFERROR(VALUE(SUBSTITUTE(SUBSTITUTE(IF(H702="","",H702)&amp;"","$",""),",","")),0)/IF("No"="Yes",P702,1))</f>
        <v/>
      </c>
      <c r="S702" s="11">
        <f>IF(J702="","",O702+Q702-R702)</f>
        <v/>
      </c>
      <c r="T702">
        <f>IF(J702="","",IFERROR(IF(K702="",NA(),MATCH(K702,Products!$B$5:$B$204,0)),IFERROR(MATCH(J702,Products!$A$5:$A$204,0),"")))</f>
        <v/>
      </c>
      <c r="U702">
        <f>IF(J702="","",IF(T702="","⚠ not in Products",INDEX(Products!$A$5:$A$204,T702)))</f>
        <v/>
      </c>
      <c r="V702" s="11">
        <f>IF(J702="","",S702*(IFERROR(INDEX(Settings!$B$5:$B$9,MATCH($B702,Settings!$A$5:$A$9,0)),0)+IFERROR(INDEX(Settings!$E$5:$E$9,MATCH($B702,Settings!$A$5:$A$9,0)),0)+IFERROR(INDEX(Settings!$G$5:$G$9,MATCH($B702,Settings!$A$5:$A$9,0)),0))+(IFERROR(INDEX(Settings!$C$5:$C$9,MATCH($B702,Settings!$A$5:$A$9,0)),0)+IFERROR(INDEX(Settings!$F$5:$F$9,MATCH($B702,Settings!$A$5:$A$9,0)),0))/P702+IFERROR(INDEX(Settings!$D$5:$D$9,MATCH($B702,Settings!$A$5:$A$9,0)),0)*M702)</f>
        <v/>
      </c>
      <c r="W702" s="11">
        <f>IF(J702="","",IF(T702="",0,M702*INDEX(Products!$I$5:$I$204,T702)))</f>
        <v/>
      </c>
      <c r="X702" s="11">
        <f>IF(J702="","",IF(T702="",0,S702*INDEX(Products!$H$5:$H$204,T702)))</f>
        <v/>
      </c>
      <c r="Y702" s="11">
        <f>IF(J702="","",S702-V702-W702-X702)</f>
        <v/>
      </c>
    </row>
    <row r="703">
      <c r="A703" s="19" t="n"/>
      <c r="B703" s="19" t="n"/>
      <c r="C703" s="19" t="n"/>
      <c r="D703" s="19" t="n"/>
      <c r="E703" s="19" t="n"/>
      <c r="F703" s="20" t="n"/>
      <c r="G703" s="20" t="n"/>
      <c r="H703" s="20" t="n"/>
      <c r="I703" s="19" t="n"/>
      <c r="J703">
        <f>IFERROR(IF(C703="","",C703)&amp;"","")</f>
        <v/>
      </c>
      <c r="K703">
        <f>IFERROR(IF(D703="","",D703)&amp;"","")</f>
        <v/>
      </c>
      <c r="L703">
        <f>IFERROR(IF(I703="","",I703)&amp;"","")</f>
        <v/>
      </c>
      <c r="M703">
        <f>IF(J703="","",IFERROR(VALUE(SUBSTITUTE(SUBSTITUTE(IF(E703="","",E703)&amp;"","$",""),",","")),0))</f>
        <v/>
      </c>
      <c r="N703" s="11">
        <f>IF(J703="","",IFERROR(VALUE(SUBSTITUTE(SUBSTITUTE(IF(F703="","",F703)&amp;"","$",""),",","")),0))</f>
        <v/>
      </c>
      <c r="O703" s="11">
        <f>IF(J703="","",M703*N703)</f>
        <v/>
      </c>
      <c r="P703">
        <f>IF(J703="","",IF(L703="",1,COUNTIF($L$2:$L$1501,L703)))</f>
        <v/>
      </c>
      <c r="Q703" s="11">
        <f>IF(J703="","",IFERROR(VALUE(SUBSTITUTE(SUBSTITUTE(IF(G703="","",G703)&amp;"","$",""),",","")),0)/IF("No"="Yes",P703,1))</f>
        <v/>
      </c>
      <c r="R703" s="11">
        <f>IF(J703="","",IFERROR(VALUE(SUBSTITUTE(SUBSTITUTE(IF(H703="","",H703)&amp;"","$",""),",","")),0)/IF("No"="Yes",P703,1))</f>
        <v/>
      </c>
      <c r="S703" s="11">
        <f>IF(J703="","",O703+Q703-R703)</f>
        <v/>
      </c>
      <c r="T703">
        <f>IF(J703="","",IFERROR(IF(K703="",NA(),MATCH(K703,Products!$B$5:$B$204,0)),IFERROR(MATCH(J703,Products!$A$5:$A$204,0),"")))</f>
        <v/>
      </c>
      <c r="U703">
        <f>IF(J703="","",IF(T703="","⚠ not in Products",INDEX(Products!$A$5:$A$204,T703)))</f>
        <v/>
      </c>
      <c r="V703" s="11">
        <f>IF(J703="","",S703*(IFERROR(INDEX(Settings!$B$5:$B$9,MATCH($B703,Settings!$A$5:$A$9,0)),0)+IFERROR(INDEX(Settings!$E$5:$E$9,MATCH($B703,Settings!$A$5:$A$9,0)),0)+IFERROR(INDEX(Settings!$G$5:$G$9,MATCH($B703,Settings!$A$5:$A$9,0)),0))+(IFERROR(INDEX(Settings!$C$5:$C$9,MATCH($B703,Settings!$A$5:$A$9,0)),0)+IFERROR(INDEX(Settings!$F$5:$F$9,MATCH($B703,Settings!$A$5:$A$9,0)),0))/P703+IFERROR(INDEX(Settings!$D$5:$D$9,MATCH($B703,Settings!$A$5:$A$9,0)),0)*M703)</f>
        <v/>
      </c>
      <c r="W703" s="11">
        <f>IF(J703="","",IF(T703="",0,M703*INDEX(Products!$I$5:$I$204,T703)))</f>
        <v/>
      </c>
      <c r="X703" s="11">
        <f>IF(J703="","",IF(T703="",0,S703*INDEX(Products!$H$5:$H$204,T703)))</f>
        <v/>
      </c>
      <c r="Y703" s="11">
        <f>IF(J703="","",S703-V703-W703-X703)</f>
        <v/>
      </c>
    </row>
    <row r="704">
      <c r="A704" s="19" t="n"/>
      <c r="B704" s="19" t="n"/>
      <c r="C704" s="19" t="n"/>
      <c r="D704" s="19" t="n"/>
      <c r="E704" s="19" t="n"/>
      <c r="F704" s="20" t="n"/>
      <c r="G704" s="20" t="n"/>
      <c r="H704" s="20" t="n"/>
      <c r="I704" s="19" t="n"/>
      <c r="J704">
        <f>IFERROR(IF(C704="","",C704)&amp;"","")</f>
        <v/>
      </c>
      <c r="K704">
        <f>IFERROR(IF(D704="","",D704)&amp;"","")</f>
        <v/>
      </c>
      <c r="L704">
        <f>IFERROR(IF(I704="","",I704)&amp;"","")</f>
        <v/>
      </c>
      <c r="M704">
        <f>IF(J704="","",IFERROR(VALUE(SUBSTITUTE(SUBSTITUTE(IF(E704="","",E704)&amp;"","$",""),",","")),0))</f>
        <v/>
      </c>
      <c r="N704" s="11">
        <f>IF(J704="","",IFERROR(VALUE(SUBSTITUTE(SUBSTITUTE(IF(F704="","",F704)&amp;"","$",""),",","")),0))</f>
        <v/>
      </c>
      <c r="O704" s="11">
        <f>IF(J704="","",M704*N704)</f>
        <v/>
      </c>
      <c r="P704">
        <f>IF(J704="","",IF(L704="",1,COUNTIF($L$2:$L$1501,L704)))</f>
        <v/>
      </c>
      <c r="Q704" s="11">
        <f>IF(J704="","",IFERROR(VALUE(SUBSTITUTE(SUBSTITUTE(IF(G704="","",G704)&amp;"","$",""),",","")),0)/IF("No"="Yes",P704,1))</f>
        <v/>
      </c>
      <c r="R704" s="11">
        <f>IF(J704="","",IFERROR(VALUE(SUBSTITUTE(SUBSTITUTE(IF(H704="","",H704)&amp;"","$",""),",","")),0)/IF("No"="Yes",P704,1))</f>
        <v/>
      </c>
      <c r="S704" s="11">
        <f>IF(J704="","",O704+Q704-R704)</f>
        <v/>
      </c>
      <c r="T704">
        <f>IF(J704="","",IFERROR(IF(K704="",NA(),MATCH(K704,Products!$B$5:$B$204,0)),IFERROR(MATCH(J704,Products!$A$5:$A$204,0),"")))</f>
        <v/>
      </c>
      <c r="U704">
        <f>IF(J704="","",IF(T704="","⚠ not in Products",INDEX(Products!$A$5:$A$204,T704)))</f>
        <v/>
      </c>
      <c r="V704" s="11">
        <f>IF(J704="","",S704*(IFERROR(INDEX(Settings!$B$5:$B$9,MATCH($B704,Settings!$A$5:$A$9,0)),0)+IFERROR(INDEX(Settings!$E$5:$E$9,MATCH($B704,Settings!$A$5:$A$9,0)),0)+IFERROR(INDEX(Settings!$G$5:$G$9,MATCH($B704,Settings!$A$5:$A$9,0)),0))+(IFERROR(INDEX(Settings!$C$5:$C$9,MATCH($B704,Settings!$A$5:$A$9,0)),0)+IFERROR(INDEX(Settings!$F$5:$F$9,MATCH($B704,Settings!$A$5:$A$9,0)),0))/P704+IFERROR(INDEX(Settings!$D$5:$D$9,MATCH($B704,Settings!$A$5:$A$9,0)),0)*M704)</f>
        <v/>
      </c>
      <c r="W704" s="11">
        <f>IF(J704="","",IF(T704="",0,M704*INDEX(Products!$I$5:$I$204,T704)))</f>
        <v/>
      </c>
      <c r="X704" s="11">
        <f>IF(J704="","",IF(T704="",0,S704*INDEX(Products!$H$5:$H$204,T704)))</f>
        <v/>
      </c>
      <c r="Y704" s="11">
        <f>IF(J704="","",S704-V704-W704-X704)</f>
        <v/>
      </c>
    </row>
    <row r="705">
      <c r="A705" s="19" t="n"/>
      <c r="B705" s="19" t="n"/>
      <c r="C705" s="19" t="n"/>
      <c r="D705" s="19" t="n"/>
      <c r="E705" s="19" t="n"/>
      <c r="F705" s="20" t="n"/>
      <c r="G705" s="20" t="n"/>
      <c r="H705" s="20" t="n"/>
      <c r="I705" s="19" t="n"/>
      <c r="J705">
        <f>IFERROR(IF(C705="","",C705)&amp;"","")</f>
        <v/>
      </c>
      <c r="K705">
        <f>IFERROR(IF(D705="","",D705)&amp;"","")</f>
        <v/>
      </c>
      <c r="L705">
        <f>IFERROR(IF(I705="","",I705)&amp;"","")</f>
        <v/>
      </c>
      <c r="M705">
        <f>IF(J705="","",IFERROR(VALUE(SUBSTITUTE(SUBSTITUTE(IF(E705="","",E705)&amp;"","$",""),",","")),0))</f>
        <v/>
      </c>
      <c r="N705" s="11">
        <f>IF(J705="","",IFERROR(VALUE(SUBSTITUTE(SUBSTITUTE(IF(F705="","",F705)&amp;"","$",""),",","")),0))</f>
        <v/>
      </c>
      <c r="O705" s="11">
        <f>IF(J705="","",M705*N705)</f>
        <v/>
      </c>
      <c r="P705">
        <f>IF(J705="","",IF(L705="",1,COUNTIF($L$2:$L$1501,L705)))</f>
        <v/>
      </c>
      <c r="Q705" s="11">
        <f>IF(J705="","",IFERROR(VALUE(SUBSTITUTE(SUBSTITUTE(IF(G705="","",G705)&amp;"","$",""),",","")),0)/IF("No"="Yes",P705,1))</f>
        <v/>
      </c>
      <c r="R705" s="11">
        <f>IF(J705="","",IFERROR(VALUE(SUBSTITUTE(SUBSTITUTE(IF(H705="","",H705)&amp;"","$",""),",","")),0)/IF("No"="Yes",P705,1))</f>
        <v/>
      </c>
      <c r="S705" s="11">
        <f>IF(J705="","",O705+Q705-R705)</f>
        <v/>
      </c>
      <c r="T705">
        <f>IF(J705="","",IFERROR(IF(K705="",NA(),MATCH(K705,Products!$B$5:$B$204,0)),IFERROR(MATCH(J705,Products!$A$5:$A$204,0),"")))</f>
        <v/>
      </c>
      <c r="U705">
        <f>IF(J705="","",IF(T705="","⚠ not in Products",INDEX(Products!$A$5:$A$204,T705)))</f>
        <v/>
      </c>
      <c r="V705" s="11">
        <f>IF(J705="","",S705*(IFERROR(INDEX(Settings!$B$5:$B$9,MATCH($B705,Settings!$A$5:$A$9,0)),0)+IFERROR(INDEX(Settings!$E$5:$E$9,MATCH($B705,Settings!$A$5:$A$9,0)),0)+IFERROR(INDEX(Settings!$G$5:$G$9,MATCH($B705,Settings!$A$5:$A$9,0)),0))+(IFERROR(INDEX(Settings!$C$5:$C$9,MATCH($B705,Settings!$A$5:$A$9,0)),0)+IFERROR(INDEX(Settings!$F$5:$F$9,MATCH($B705,Settings!$A$5:$A$9,0)),0))/P705+IFERROR(INDEX(Settings!$D$5:$D$9,MATCH($B705,Settings!$A$5:$A$9,0)),0)*M705)</f>
        <v/>
      </c>
      <c r="W705" s="11">
        <f>IF(J705="","",IF(T705="",0,M705*INDEX(Products!$I$5:$I$204,T705)))</f>
        <v/>
      </c>
      <c r="X705" s="11">
        <f>IF(J705="","",IF(T705="",0,S705*INDEX(Products!$H$5:$H$204,T705)))</f>
        <v/>
      </c>
      <c r="Y705" s="11">
        <f>IF(J705="","",S705-V705-W705-X705)</f>
        <v/>
      </c>
    </row>
    <row r="706">
      <c r="A706" s="19" t="n"/>
      <c r="B706" s="19" t="n"/>
      <c r="C706" s="19" t="n"/>
      <c r="D706" s="19" t="n"/>
      <c r="E706" s="19" t="n"/>
      <c r="F706" s="20" t="n"/>
      <c r="G706" s="20" t="n"/>
      <c r="H706" s="20" t="n"/>
      <c r="I706" s="19" t="n"/>
      <c r="J706">
        <f>IFERROR(IF(C706="","",C706)&amp;"","")</f>
        <v/>
      </c>
      <c r="K706">
        <f>IFERROR(IF(D706="","",D706)&amp;"","")</f>
        <v/>
      </c>
      <c r="L706">
        <f>IFERROR(IF(I706="","",I706)&amp;"","")</f>
        <v/>
      </c>
      <c r="M706">
        <f>IF(J706="","",IFERROR(VALUE(SUBSTITUTE(SUBSTITUTE(IF(E706="","",E706)&amp;"","$",""),",","")),0))</f>
        <v/>
      </c>
      <c r="N706" s="11">
        <f>IF(J706="","",IFERROR(VALUE(SUBSTITUTE(SUBSTITUTE(IF(F706="","",F706)&amp;"","$",""),",","")),0))</f>
        <v/>
      </c>
      <c r="O706" s="11">
        <f>IF(J706="","",M706*N706)</f>
        <v/>
      </c>
      <c r="P706">
        <f>IF(J706="","",IF(L706="",1,COUNTIF($L$2:$L$1501,L706)))</f>
        <v/>
      </c>
      <c r="Q706" s="11">
        <f>IF(J706="","",IFERROR(VALUE(SUBSTITUTE(SUBSTITUTE(IF(G706="","",G706)&amp;"","$",""),",","")),0)/IF("No"="Yes",P706,1))</f>
        <v/>
      </c>
      <c r="R706" s="11">
        <f>IF(J706="","",IFERROR(VALUE(SUBSTITUTE(SUBSTITUTE(IF(H706="","",H706)&amp;"","$",""),",","")),0)/IF("No"="Yes",P706,1))</f>
        <v/>
      </c>
      <c r="S706" s="11">
        <f>IF(J706="","",O706+Q706-R706)</f>
        <v/>
      </c>
      <c r="T706">
        <f>IF(J706="","",IFERROR(IF(K706="",NA(),MATCH(K706,Products!$B$5:$B$204,0)),IFERROR(MATCH(J706,Products!$A$5:$A$204,0),"")))</f>
        <v/>
      </c>
      <c r="U706">
        <f>IF(J706="","",IF(T706="","⚠ not in Products",INDEX(Products!$A$5:$A$204,T706)))</f>
        <v/>
      </c>
      <c r="V706" s="11">
        <f>IF(J706="","",S706*(IFERROR(INDEX(Settings!$B$5:$B$9,MATCH($B706,Settings!$A$5:$A$9,0)),0)+IFERROR(INDEX(Settings!$E$5:$E$9,MATCH($B706,Settings!$A$5:$A$9,0)),0)+IFERROR(INDEX(Settings!$G$5:$G$9,MATCH($B706,Settings!$A$5:$A$9,0)),0))+(IFERROR(INDEX(Settings!$C$5:$C$9,MATCH($B706,Settings!$A$5:$A$9,0)),0)+IFERROR(INDEX(Settings!$F$5:$F$9,MATCH($B706,Settings!$A$5:$A$9,0)),0))/P706+IFERROR(INDEX(Settings!$D$5:$D$9,MATCH($B706,Settings!$A$5:$A$9,0)),0)*M706)</f>
        <v/>
      </c>
      <c r="W706" s="11">
        <f>IF(J706="","",IF(T706="",0,M706*INDEX(Products!$I$5:$I$204,T706)))</f>
        <v/>
      </c>
      <c r="X706" s="11">
        <f>IF(J706="","",IF(T706="",0,S706*INDEX(Products!$H$5:$H$204,T706)))</f>
        <v/>
      </c>
      <c r="Y706" s="11">
        <f>IF(J706="","",S706-V706-W706-X706)</f>
        <v/>
      </c>
    </row>
    <row r="707">
      <c r="A707" s="19" t="n"/>
      <c r="B707" s="19" t="n"/>
      <c r="C707" s="19" t="n"/>
      <c r="D707" s="19" t="n"/>
      <c r="E707" s="19" t="n"/>
      <c r="F707" s="20" t="n"/>
      <c r="G707" s="20" t="n"/>
      <c r="H707" s="20" t="n"/>
      <c r="I707" s="19" t="n"/>
      <c r="J707">
        <f>IFERROR(IF(C707="","",C707)&amp;"","")</f>
        <v/>
      </c>
      <c r="K707">
        <f>IFERROR(IF(D707="","",D707)&amp;"","")</f>
        <v/>
      </c>
      <c r="L707">
        <f>IFERROR(IF(I707="","",I707)&amp;"","")</f>
        <v/>
      </c>
      <c r="M707">
        <f>IF(J707="","",IFERROR(VALUE(SUBSTITUTE(SUBSTITUTE(IF(E707="","",E707)&amp;"","$",""),",","")),0))</f>
        <v/>
      </c>
      <c r="N707" s="11">
        <f>IF(J707="","",IFERROR(VALUE(SUBSTITUTE(SUBSTITUTE(IF(F707="","",F707)&amp;"","$",""),",","")),0))</f>
        <v/>
      </c>
      <c r="O707" s="11">
        <f>IF(J707="","",M707*N707)</f>
        <v/>
      </c>
      <c r="P707">
        <f>IF(J707="","",IF(L707="",1,COUNTIF($L$2:$L$1501,L707)))</f>
        <v/>
      </c>
      <c r="Q707" s="11">
        <f>IF(J707="","",IFERROR(VALUE(SUBSTITUTE(SUBSTITUTE(IF(G707="","",G707)&amp;"","$",""),",","")),0)/IF("No"="Yes",P707,1))</f>
        <v/>
      </c>
      <c r="R707" s="11">
        <f>IF(J707="","",IFERROR(VALUE(SUBSTITUTE(SUBSTITUTE(IF(H707="","",H707)&amp;"","$",""),",","")),0)/IF("No"="Yes",P707,1))</f>
        <v/>
      </c>
      <c r="S707" s="11">
        <f>IF(J707="","",O707+Q707-R707)</f>
        <v/>
      </c>
      <c r="T707">
        <f>IF(J707="","",IFERROR(IF(K707="",NA(),MATCH(K707,Products!$B$5:$B$204,0)),IFERROR(MATCH(J707,Products!$A$5:$A$204,0),"")))</f>
        <v/>
      </c>
      <c r="U707">
        <f>IF(J707="","",IF(T707="","⚠ not in Products",INDEX(Products!$A$5:$A$204,T707)))</f>
        <v/>
      </c>
      <c r="V707" s="11">
        <f>IF(J707="","",S707*(IFERROR(INDEX(Settings!$B$5:$B$9,MATCH($B707,Settings!$A$5:$A$9,0)),0)+IFERROR(INDEX(Settings!$E$5:$E$9,MATCH($B707,Settings!$A$5:$A$9,0)),0)+IFERROR(INDEX(Settings!$G$5:$G$9,MATCH($B707,Settings!$A$5:$A$9,0)),0))+(IFERROR(INDEX(Settings!$C$5:$C$9,MATCH($B707,Settings!$A$5:$A$9,0)),0)+IFERROR(INDEX(Settings!$F$5:$F$9,MATCH($B707,Settings!$A$5:$A$9,0)),0))/P707+IFERROR(INDEX(Settings!$D$5:$D$9,MATCH($B707,Settings!$A$5:$A$9,0)),0)*M707)</f>
        <v/>
      </c>
      <c r="W707" s="11">
        <f>IF(J707="","",IF(T707="",0,M707*INDEX(Products!$I$5:$I$204,T707)))</f>
        <v/>
      </c>
      <c r="X707" s="11">
        <f>IF(J707="","",IF(T707="",0,S707*INDEX(Products!$H$5:$H$204,T707)))</f>
        <v/>
      </c>
      <c r="Y707" s="11">
        <f>IF(J707="","",S707-V707-W707-X707)</f>
        <v/>
      </c>
    </row>
    <row r="708">
      <c r="A708" s="19" t="n"/>
      <c r="B708" s="19" t="n"/>
      <c r="C708" s="19" t="n"/>
      <c r="D708" s="19" t="n"/>
      <c r="E708" s="19" t="n"/>
      <c r="F708" s="20" t="n"/>
      <c r="G708" s="20" t="n"/>
      <c r="H708" s="20" t="n"/>
      <c r="I708" s="19" t="n"/>
      <c r="J708">
        <f>IFERROR(IF(C708="","",C708)&amp;"","")</f>
        <v/>
      </c>
      <c r="K708">
        <f>IFERROR(IF(D708="","",D708)&amp;"","")</f>
        <v/>
      </c>
      <c r="L708">
        <f>IFERROR(IF(I708="","",I708)&amp;"","")</f>
        <v/>
      </c>
      <c r="M708">
        <f>IF(J708="","",IFERROR(VALUE(SUBSTITUTE(SUBSTITUTE(IF(E708="","",E708)&amp;"","$",""),",","")),0))</f>
        <v/>
      </c>
      <c r="N708" s="11">
        <f>IF(J708="","",IFERROR(VALUE(SUBSTITUTE(SUBSTITUTE(IF(F708="","",F708)&amp;"","$",""),",","")),0))</f>
        <v/>
      </c>
      <c r="O708" s="11">
        <f>IF(J708="","",M708*N708)</f>
        <v/>
      </c>
      <c r="P708">
        <f>IF(J708="","",IF(L708="",1,COUNTIF($L$2:$L$1501,L708)))</f>
        <v/>
      </c>
      <c r="Q708" s="11">
        <f>IF(J708="","",IFERROR(VALUE(SUBSTITUTE(SUBSTITUTE(IF(G708="","",G708)&amp;"","$",""),",","")),0)/IF("No"="Yes",P708,1))</f>
        <v/>
      </c>
      <c r="R708" s="11">
        <f>IF(J708="","",IFERROR(VALUE(SUBSTITUTE(SUBSTITUTE(IF(H708="","",H708)&amp;"","$",""),",","")),0)/IF("No"="Yes",P708,1))</f>
        <v/>
      </c>
      <c r="S708" s="11">
        <f>IF(J708="","",O708+Q708-R708)</f>
        <v/>
      </c>
      <c r="T708">
        <f>IF(J708="","",IFERROR(IF(K708="",NA(),MATCH(K708,Products!$B$5:$B$204,0)),IFERROR(MATCH(J708,Products!$A$5:$A$204,0),"")))</f>
        <v/>
      </c>
      <c r="U708">
        <f>IF(J708="","",IF(T708="","⚠ not in Products",INDEX(Products!$A$5:$A$204,T708)))</f>
        <v/>
      </c>
      <c r="V708" s="11">
        <f>IF(J708="","",S708*(IFERROR(INDEX(Settings!$B$5:$B$9,MATCH($B708,Settings!$A$5:$A$9,0)),0)+IFERROR(INDEX(Settings!$E$5:$E$9,MATCH($B708,Settings!$A$5:$A$9,0)),0)+IFERROR(INDEX(Settings!$G$5:$G$9,MATCH($B708,Settings!$A$5:$A$9,0)),0))+(IFERROR(INDEX(Settings!$C$5:$C$9,MATCH($B708,Settings!$A$5:$A$9,0)),0)+IFERROR(INDEX(Settings!$F$5:$F$9,MATCH($B708,Settings!$A$5:$A$9,0)),0))/P708+IFERROR(INDEX(Settings!$D$5:$D$9,MATCH($B708,Settings!$A$5:$A$9,0)),0)*M708)</f>
        <v/>
      </c>
      <c r="W708" s="11">
        <f>IF(J708="","",IF(T708="",0,M708*INDEX(Products!$I$5:$I$204,T708)))</f>
        <v/>
      </c>
      <c r="X708" s="11">
        <f>IF(J708="","",IF(T708="",0,S708*INDEX(Products!$H$5:$H$204,T708)))</f>
        <v/>
      </c>
      <c r="Y708" s="11">
        <f>IF(J708="","",S708-V708-W708-X708)</f>
        <v/>
      </c>
    </row>
    <row r="709">
      <c r="A709" s="19" t="n"/>
      <c r="B709" s="19" t="n"/>
      <c r="C709" s="19" t="n"/>
      <c r="D709" s="19" t="n"/>
      <c r="E709" s="19" t="n"/>
      <c r="F709" s="20" t="n"/>
      <c r="G709" s="20" t="n"/>
      <c r="H709" s="20" t="n"/>
      <c r="I709" s="19" t="n"/>
      <c r="J709">
        <f>IFERROR(IF(C709="","",C709)&amp;"","")</f>
        <v/>
      </c>
      <c r="K709">
        <f>IFERROR(IF(D709="","",D709)&amp;"","")</f>
        <v/>
      </c>
      <c r="L709">
        <f>IFERROR(IF(I709="","",I709)&amp;"","")</f>
        <v/>
      </c>
      <c r="M709">
        <f>IF(J709="","",IFERROR(VALUE(SUBSTITUTE(SUBSTITUTE(IF(E709="","",E709)&amp;"","$",""),",","")),0))</f>
        <v/>
      </c>
      <c r="N709" s="11">
        <f>IF(J709="","",IFERROR(VALUE(SUBSTITUTE(SUBSTITUTE(IF(F709="","",F709)&amp;"","$",""),",","")),0))</f>
        <v/>
      </c>
      <c r="O709" s="11">
        <f>IF(J709="","",M709*N709)</f>
        <v/>
      </c>
      <c r="P709">
        <f>IF(J709="","",IF(L709="",1,COUNTIF($L$2:$L$1501,L709)))</f>
        <v/>
      </c>
      <c r="Q709" s="11">
        <f>IF(J709="","",IFERROR(VALUE(SUBSTITUTE(SUBSTITUTE(IF(G709="","",G709)&amp;"","$",""),",","")),0)/IF("No"="Yes",P709,1))</f>
        <v/>
      </c>
      <c r="R709" s="11">
        <f>IF(J709="","",IFERROR(VALUE(SUBSTITUTE(SUBSTITUTE(IF(H709="","",H709)&amp;"","$",""),",","")),0)/IF("No"="Yes",P709,1))</f>
        <v/>
      </c>
      <c r="S709" s="11">
        <f>IF(J709="","",O709+Q709-R709)</f>
        <v/>
      </c>
      <c r="T709">
        <f>IF(J709="","",IFERROR(IF(K709="",NA(),MATCH(K709,Products!$B$5:$B$204,0)),IFERROR(MATCH(J709,Products!$A$5:$A$204,0),"")))</f>
        <v/>
      </c>
      <c r="U709">
        <f>IF(J709="","",IF(T709="","⚠ not in Products",INDEX(Products!$A$5:$A$204,T709)))</f>
        <v/>
      </c>
      <c r="V709" s="11">
        <f>IF(J709="","",S709*(IFERROR(INDEX(Settings!$B$5:$B$9,MATCH($B709,Settings!$A$5:$A$9,0)),0)+IFERROR(INDEX(Settings!$E$5:$E$9,MATCH($B709,Settings!$A$5:$A$9,0)),0)+IFERROR(INDEX(Settings!$G$5:$G$9,MATCH($B709,Settings!$A$5:$A$9,0)),0))+(IFERROR(INDEX(Settings!$C$5:$C$9,MATCH($B709,Settings!$A$5:$A$9,0)),0)+IFERROR(INDEX(Settings!$F$5:$F$9,MATCH($B709,Settings!$A$5:$A$9,0)),0))/P709+IFERROR(INDEX(Settings!$D$5:$D$9,MATCH($B709,Settings!$A$5:$A$9,0)),0)*M709)</f>
        <v/>
      </c>
      <c r="W709" s="11">
        <f>IF(J709="","",IF(T709="",0,M709*INDEX(Products!$I$5:$I$204,T709)))</f>
        <v/>
      </c>
      <c r="X709" s="11">
        <f>IF(J709="","",IF(T709="",0,S709*INDEX(Products!$H$5:$H$204,T709)))</f>
        <v/>
      </c>
      <c r="Y709" s="11">
        <f>IF(J709="","",S709-V709-W709-X709)</f>
        <v/>
      </c>
    </row>
    <row r="710">
      <c r="A710" s="19" t="n"/>
      <c r="B710" s="19" t="n"/>
      <c r="C710" s="19" t="n"/>
      <c r="D710" s="19" t="n"/>
      <c r="E710" s="19" t="n"/>
      <c r="F710" s="20" t="n"/>
      <c r="G710" s="20" t="n"/>
      <c r="H710" s="20" t="n"/>
      <c r="I710" s="19" t="n"/>
      <c r="J710">
        <f>IFERROR(IF(C710="","",C710)&amp;"","")</f>
        <v/>
      </c>
      <c r="K710">
        <f>IFERROR(IF(D710="","",D710)&amp;"","")</f>
        <v/>
      </c>
      <c r="L710">
        <f>IFERROR(IF(I710="","",I710)&amp;"","")</f>
        <v/>
      </c>
      <c r="M710">
        <f>IF(J710="","",IFERROR(VALUE(SUBSTITUTE(SUBSTITUTE(IF(E710="","",E710)&amp;"","$",""),",","")),0))</f>
        <v/>
      </c>
      <c r="N710" s="11">
        <f>IF(J710="","",IFERROR(VALUE(SUBSTITUTE(SUBSTITUTE(IF(F710="","",F710)&amp;"","$",""),",","")),0))</f>
        <v/>
      </c>
      <c r="O710" s="11">
        <f>IF(J710="","",M710*N710)</f>
        <v/>
      </c>
      <c r="P710">
        <f>IF(J710="","",IF(L710="",1,COUNTIF($L$2:$L$1501,L710)))</f>
        <v/>
      </c>
      <c r="Q710" s="11">
        <f>IF(J710="","",IFERROR(VALUE(SUBSTITUTE(SUBSTITUTE(IF(G710="","",G710)&amp;"","$",""),",","")),0)/IF("No"="Yes",P710,1))</f>
        <v/>
      </c>
      <c r="R710" s="11">
        <f>IF(J710="","",IFERROR(VALUE(SUBSTITUTE(SUBSTITUTE(IF(H710="","",H710)&amp;"","$",""),",","")),0)/IF("No"="Yes",P710,1))</f>
        <v/>
      </c>
      <c r="S710" s="11">
        <f>IF(J710="","",O710+Q710-R710)</f>
        <v/>
      </c>
      <c r="T710">
        <f>IF(J710="","",IFERROR(IF(K710="",NA(),MATCH(K710,Products!$B$5:$B$204,0)),IFERROR(MATCH(J710,Products!$A$5:$A$204,0),"")))</f>
        <v/>
      </c>
      <c r="U710">
        <f>IF(J710="","",IF(T710="","⚠ not in Products",INDEX(Products!$A$5:$A$204,T710)))</f>
        <v/>
      </c>
      <c r="V710" s="11">
        <f>IF(J710="","",S710*(IFERROR(INDEX(Settings!$B$5:$B$9,MATCH($B710,Settings!$A$5:$A$9,0)),0)+IFERROR(INDEX(Settings!$E$5:$E$9,MATCH($B710,Settings!$A$5:$A$9,0)),0)+IFERROR(INDEX(Settings!$G$5:$G$9,MATCH($B710,Settings!$A$5:$A$9,0)),0))+(IFERROR(INDEX(Settings!$C$5:$C$9,MATCH($B710,Settings!$A$5:$A$9,0)),0)+IFERROR(INDEX(Settings!$F$5:$F$9,MATCH($B710,Settings!$A$5:$A$9,0)),0))/P710+IFERROR(INDEX(Settings!$D$5:$D$9,MATCH($B710,Settings!$A$5:$A$9,0)),0)*M710)</f>
        <v/>
      </c>
      <c r="W710" s="11">
        <f>IF(J710="","",IF(T710="",0,M710*INDEX(Products!$I$5:$I$204,T710)))</f>
        <v/>
      </c>
      <c r="X710" s="11">
        <f>IF(J710="","",IF(T710="",0,S710*INDEX(Products!$H$5:$H$204,T710)))</f>
        <v/>
      </c>
      <c r="Y710" s="11">
        <f>IF(J710="","",S710-V710-W710-X710)</f>
        <v/>
      </c>
    </row>
    <row r="711">
      <c r="A711" s="19" t="n"/>
      <c r="B711" s="19" t="n"/>
      <c r="C711" s="19" t="n"/>
      <c r="D711" s="19" t="n"/>
      <c r="E711" s="19" t="n"/>
      <c r="F711" s="20" t="n"/>
      <c r="G711" s="20" t="n"/>
      <c r="H711" s="20" t="n"/>
      <c r="I711" s="19" t="n"/>
      <c r="J711">
        <f>IFERROR(IF(C711="","",C711)&amp;"","")</f>
        <v/>
      </c>
      <c r="K711">
        <f>IFERROR(IF(D711="","",D711)&amp;"","")</f>
        <v/>
      </c>
      <c r="L711">
        <f>IFERROR(IF(I711="","",I711)&amp;"","")</f>
        <v/>
      </c>
      <c r="M711">
        <f>IF(J711="","",IFERROR(VALUE(SUBSTITUTE(SUBSTITUTE(IF(E711="","",E711)&amp;"","$",""),",","")),0))</f>
        <v/>
      </c>
      <c r="N711" s="11">
        <f>IF(J711="","",IFERROR(VALUE(SUBSTITUTE(SUBSTITUTE(IF(F711="","",F711)&amp;"","$",""),",","")),0))</f>
        <v/>
      </c>
      <c r="O711" s="11">
        <f>IF(J711="","",M711*N711)</f>
        <v/>
      </c>
      <c r="P711">
        <f>IF(J711="","",IF(L711="",1,COUNTIF($L$2:$L$1501,L711)))</f>
        <v/>
      </c>
      <c r="Q711" s="11">
        <f>IF(J711="","",IFERROR(VALUE(SUBSTITUTE(SUBSTITUTE(IF(G711="","",G711)&amp;"","$",""),",","")),0)/IF("No"="Yes",P711,1))</f>
        <v/>
      </c>
      <c r="R711" s="11">
        <f>IF(J711="","",IFERROR(VALUE(SUBSTITUTE(SUBSTITUTE(IF(H711="","",H711)&amp;"","$",""),",","")),0)/IF("No"="Yes",P711,1))</f>
        <v/>
      </c>
      <c r="S711" s="11">
        <f>IF(J711="","",O711+Q711-R711)</f>
        <v/>
      </c>
      <c r="T711">
        <f>IF(J711="","",IFERROR(IF(K711="",NA(),MATCH(K711,Products!$B$5:$B$204,0)),IFERROR(MATCH(J711,Products!$A$5:$A$204,0),"")))</f>
        <v/>
      </c>
      <c r="U711">
        <f>IF(J711="","",IF(T711="","⚠ not in Products",INDEX(Products!$A$5:$A$204,T711)))</f>
        <v/>
      </c>
      <c r="V711" s="11">
        <f>IF(J711="","",S711*(IFERROR(INDEX(Settings!$B$5:$B$9,MATCH($B711,Settings!$A$5:$A$9,0)),0)+IFERROR(INDEX(Settings!$E$5:$E$9,MATCH($B711,Settings!$A$5:$A$9,0)),0)+IFERROR(INDEX(Settings!$G$5:$G$9,MATCH($B711,Settings!$A$5:$A$9,0)),0))+(IFERROR(INDEX(Settings!$C$5:$C$9,MATCH($B711,Settings!$A$5:$A$9,0)),0)+IFERROR(INDEX(Settings!$F$5:$F$9,MATCH($B711,Settings!$A$5:$A$9,0)),0))/P711+IFERROR(INDEX(Settings!$D$5:$D$9,MATCH($B711,Settings!$A$5:$A$9,0)),0)*M711)</f>
        <v/>
      </c>
      <c r="W711" s="11">
        <f>IF(J711="","",IF(T711="",0,M711*INDEX(Products!$I$5:$I$204,T711)))</f>
        <v/>
      </c>
      <c r="X711" s="11">
        <f>IF(J711="","",IF(T711="",0,S711*INDEX(Products!$H$5:$H$204,T711)))</f>
        <v/>
      </c>
      <c r="Y711" s="11">
        <f>IF(J711="","",S711-V711-W711-X711)</f>
        <v/>
      </c>
    </row>
    <row r="712">
      <c r="A712" s="19" t="n"/>
      <c r="B712" s="19" t="n"/>
      <c r="C712" s="19" t="n"/>
      <c r="D712" s="19" t="n"/>
      <c r="E712" s="19" t="n"/>
      <c r="F712" s="20" t="n"/>
      <c r="G712" s="20" t="n"/>
      <c r="H712" s="20" t="n"/>
      <c r="I712" s="19" t="n"/>
      <c r="J712">
        <f>IFERROR(IF(C712="","",C712)&amp;"","")</f>
        <v/>
      </c>
      <c r="K712">
        <f>IFERROR(IF(D712="","",D712)&amp;"","")</f>
        <v/>
      </c>
      <c r="L712">
        <f>IFERROR(IF(I712="","",I712)&amp;"","")</f>
        <v/>
      </c>
      <c r="M712">
        <f>IF(J712="","",IFERROR(VALUE(SUBSTITUTE(SUBSTITUTE(IF(E712="","",E712)&amp;"","$",""),",","")),0))</f>
        <v/>
      </c>
      <c r="N712" s="11">
        <f>IF(J712="","",IFERROR(VALUE(SUBSTITUTE(SUBSTITUTE(IF(F712="","",F712)&amp;"","$",""),",","")),0))</f>
        <v/>
      </c>
      <c r="O712" s="11">
        <f>IF(J712="","",M712*N712)</f>
        <v/>
      </c>
      <c r="P712">
        <f>IF(J712="","",IF(L712="",1,COUNTIF($L$2:$L$1501,L712)))</f>
        <v/>
      </c>
      <c r="Q712" s="11">
        <f>IF(J712="","",IFERROR(VALUE(SUBSTITUTE(SUBSTITUTE(IF(G712="","",G712)&amp;"","$",""),",","")),0)/IF("No"="Yes",P712,1))</f>
        <v/>
      </c>
      <c r="R712" s="11">
        <f>IF(J712="","",IFERROR(VALUE(SUBSTITUTE(SUBSTITUTE(IF(H712="","",H712)&amp;"","$",""),",","")),0)/IF("No"="Yes",P712,1))</f>
        <v/>
      </c>
      <c r="S712" s="11">
        <f>IF(J712="","",O712+Q712-R712)</f>
        <v/>
      </c>
      <c r="T712">
        <f>IF(J712="","",IFERROR(IF(K712="",NA(),MATCH(K712,Products!$B$5:$B$204,0)),IFERROR(MATCH(J712,Products!$A$5:$A$204,0),"")))</f>
        <v/>
      </c>
      <c r="U712">
        <f>IF(J712="","",IF(T712="","⚠ not in Products",INDEX(Products!$A$5:$A$204,T712)))</f>
        <v/>
      </c>
      <c r="V712" s="11">
        <f>IF(J712="","",S712*(IFERROR(INDEX(Settings!$B$5:$B$9,MATCH($B712,Settings!$A$5:$A$9,0)),0)+IFERROR(INDEX(Settings!$E$5:$E$9,MATCH($B712,Settings!$A$5:$A$9,0)),0)+IFERROR(INDEX(Settings!$G$5:$G$9,MATCH($B712,Settings!$A$5:$A$9,0)),0))+(IFERROR(INDEX(Settings!$C$5:$C$9,MATCH($B712,Settings!$A$5:$A$9,0)),0)+IFERROR(INDEX(Settings!$F$5:$F$9,MATCH($B712,Settings!$A$5:$A$9,0)),0))/P712+IFERROR(INDEX(Settings!$D$5:$D$9,MATCH($B712,Settings!$A$5:$A$9,0)),0)*M712)</f>
        <v/>
      </c>
      <c r="W712" s="11">
        <f>IF(J712="","",IF(T712="",0,M712*INDEX(Products!$I$5:$I$204,T712)))</f>
        <v/>
      </c>
      <c r="X712" s="11">
        <f>IF(J712="","",IF(T712="",0,S712*INDEX(Products!$H$5:$H$204,T712)))</f>
        <v/>
      </c>
      <c r="Y712" s="11">
        <f>IF(J712="","",S712-V712-W712-X712)</f>
        <v/>
      </c>
    </row>
    <row r="713">
      <c r="A713" s="19" t="n"/>
      <c r="B713" s="19" t="n"/>
      <c r="C713" s="19" t="n"/>
      <c r="D713" s="19" t="n"/>
      <c r="E713" s="19" t="n"/>
      <c r="F713" s="20" t="n"/>
      <c r="G713" s="20" t="n"/>
      <c r="H713" s="20" t="n"/>
      <c r="I713" s="19" t="n"/>
      <c r="J713">
        <f>IFERROR(IF(C713="","",C713)&amp;"","")</f>
        <v/>
      </c>
      <c r="K713">
        <f>IFERROR(IF(D713="","",D713)&amp;"","")</f>
        <v/>
      </c>
      <c r="L713">
        <f>IFERROR(IF(I713="","",I713)&amp;"","")</f>
        <v/>
      </c>
      <c r="M713">
        <f>IF(J713="","",IFERROR(VALUE(SUBSTITUTE(SUBSTITUTE(IF(E713="","",E713)&amp;"","$",""),",","")),0))</f>
        <v/>
      </c>
      <c r="N713" s="11">
        <f>IF(J713="","",IFERROR(VALUE(SUBSTITUTE(SUBSTITUTE(IF(F713="","",F713)&amp;"","$",""),",","")),0))</f>
        <v/>
      </c>
      <c r="O713" s="11">
        <f>IF(J713="","",M713*N713)</f>
        <v/>
      </c>
      <c r="P713">
        <f>IF(J713="","",IF(L713="",1,COUNTIF($L$2:$L$1501,L713)))</f>
        <v/>
      </c>
      <c r="Q713" s="11">
        <f>IF(J713="","",IFERROR(VALUE(SUBSTITUTE(SUBSTITUTE(IF(G713="","",G713)&amp;"","$",""),",","")),0)/IF("No"="Yes",P713,1))</f>
        <v/>
      </c>
      <c r="R713" s="11">
        <f>IF(J713="","",IFERROR(VALUE(SUBSTITUTE(SUBSTITUTE(IF(H713="","",H713)&amp;"","$",""),",","")),0)/IF("No"="Yes",P713,1))</f>
        <v/>
      </c>
      <c r="S713" s="11">
        <f>IF(J713="","",O713+Q713-R713)</f>
        <v/>
      </c>
      <c r="T713">
        <f>IF(J713="","",IFERROR(IF(K713="",NA(),MATCH(K713,Products!$B$5:$B$204,0)),IFERROR(MATCH(J713,Products!$A$5:$A$204,0),"")))</f>
        <v/>
      </c>
      <c r="U713">
        <f>IF(J713="","",IF(T713="","⚠ not in Products",INDEX(Products!$A$5:$A$204,T713)))</f>
        <v/>
      </c>
      <c r="V713" s="11">
        <f>IF(J713="","",S713*(IFERROR(INDEX(Settings!$B$5:$B$9,MATCH($B713,Settings!$A$5:$A$9,0)),0)+IFERROR(INDEX(Settings!$E$5:$E$9,MATCH($B713,Settings!$A$5:$A$9,0)),0)+IFERROR(INDEX(Settings!$G$5:$G$9,MATCH($B713,Settings!$A$5:$A$9,0)),0))+(IFERROR(INDEX(Settings!$C$5:$C$9,MATCH($B713,Settings!$A$5:$A$9,0)),0)+IFERROR(INDEX(Settings!$F$5:$F$9,MATCH($B713,Settings!$A$5:$A$9,0)),0))/P713+IFERROR(INDEX(Settings!$D$5:$D$9,MATCH($B713,Settings!$A$5:$A$9,0)),0)*M713)</f>
        <v/>
      </c>
      <c r="W713" s="11">
        <f>IF(J713="","",IF(T713="",0,M713*INDEX(Products!$I$5:$I$204,T713)))</f>
        <v/>
      </c>
      <c r="X713" s="11">
        <f>IF(J713="","",IF(T713="",0,S713*INDEX(Products!$H$5:$H$204,T713)))</f>
        <v/>
      </c>
      <c r="Y713" s="11">
        <f>IF(J713="","",S713-V713-W713-X713)</f>
        <v/>
      </c>
    </row>
    <row r="714">
      <c r="A714" s="19" t="n"/>
      <c r="B714" s="19" t="n"/>
      <c r="C714" s="19" t="n"/>
      <c r="D714" s="19" t="n"/>
      <c r="E714" s="19" t="n"/>
      <c r="F714" s="20" t="n"/>
      <c r="G714" s="20" t="n"/>
      <c r="H714" s="20" t="n"/>
      <c r="I714" s="19" t="n"/>
      <c r="J714">
        <f>IFERROR(IF(C714="","",C714)&amp;"","")</f>
        <v/>
      </c>
      <c r="K714">
        <f>IFERROR(IF(D714="","",D714)&amp;"","")</f>
        <v/>
      </c>
      <c r="L714">
        <f>IFERROR(IF(I714="","",I714)&amp;"","")</f>
        <v/>
      </c>
      <c r="M714">
        <f>IF(J714="","",IFERROR(VALUE(SUBSTITUTE(SUBSTITUTE(IF(E714="","",E714)&amp;"","$",""),",","")),0))</f>
        <v/>
      </c>
      <c r="N714" s="11">
        <f>IF(J714="","",IFERROR(VALUE(SUBSTITUTE(SUBSTITUTE(IF(F714="","",F714)&amp;"","$",""),",","")),0))</f>
        <v/>
      </c>
      <c r="O714" s="11">
        <f>IF(J714="","",M714*N714)</f>
        <v/>
      </c>
      <c r="P714">
        <f>IF(J714="","",IF(L714="",1,COUNTIF($L$2:$L$1501,L714)))</f>
        <v/>
      </c>
      <c r="Q714" s="11">
        <f>IF(J714="","",IFERROR(VALUE(SUBSTITUTE(SUBSTITUTE(IF(G714="","",G714)&amp;"","$",""),",","")),0)/IF("No"="Yes",P714,1))</f>
        <v/>
      </c>
      <c r="R714" s="11">
        <f>IF(J714="","",IFERROR(VALUE(SUBSTITUTE(SUBSTITUTE(IF(H714="","",H714)&amp;"","$",""),",","")),0)/IF("No"="Yes",P714,1))</f>
        <v/>
      </c>
      <c r="S714" s="11">
        <f>IF(J714="","",O714+Q714-R714)</f>
        <v/>
      </c>
      <c r="T714">
        <f>IF(J714="","",IFERROR(IF(K714="",NA(),MATCH(K714,Products!$B$5:$B$204,0)),IFERROR(MATCH(J714,Products!$A$5:$A$204,0),"")))</f>
        <v/>
      </c>
      <c r="U714">
        <f>IF(J714="","",IF(T714="","⚠ not in Products",INDEX(Products!$A$5:$A$204,T714)))</f>
        <v/>
      </c>
      <c r="V714" s="11">
        <f>IF(J714="","",S714*(IFERROR(INDEX(Settings!$B$5:$B$9,MATCH($B714,Settings!$A$5:$A$9,0)),0)+IFERROR(INDEX(Settings!$E$5:$E$9,MATCH($B714,Settings!$A$5:$A$9,0)),0)+IFERROR(INDEX(Settings!$G$5:$G$9,MATCH($B714,Settings!$A$5:$A$9,0)),0))+(IFERROR(INDEX(Settings!$C$5:$C$9,MATCH($B714,Settings!$A$5:$A$9,0)),0)+IFERROR(INDEX(Settings!$F$5:$F$9,MATCH($B714,Settings!$A$5:$A$9,0)),0))/P714+IFERROR(INDEX(Settings!$D$5:$D$9,MATCH($B714,Settings!$A$5:$A$9,0)),0)*M714)</f>
        <v/>
      </c>
      <c r="W714" s="11">
        <f>IF(J714="","",IF(T714="",0,M714*INDEX(Products!$I$5:$I$204,T714)))</f>
        <v/>
      </c>
      <c r="X714" s="11">
        <f>IF(J714="","",IF(T714="",0,S714*INDEX(Products!$H$5:$H$204,T714)))</f>
        <v/>
      </c>
      <c r="Y714" s="11">
        <f>IF(J714="","",S714-V714-W714-X714)</f>
        <v/>
      </c>
    </row>
    <row r="715">
      <c r="A715" s="19" t="n"/>
      <c r="B715" s="19" t="n"/>
      <c r="C715" s="19" t="n"/>
      <c r="D715" s="19" t="n"/>
      <c r="E715" s="19" t="n"/>
      <c r="F715" s="20" t="n"/>
      <c r="G715" s="20" t="n"/>
      <c r="H715" s="20" t="n"/>
      <c r="I715" s="19" t="n"/>
      <c r="J715">
        <f>IFERROR(IF(C715="","",C715)&amp;"","")</f>
        <v/>
      </c>
      <c r="K715">
        <f>IFERROR(IF(D715="","",D715)&amp;"","")</f>
        <v/>
      </c>
      <c r="L715">
        <f>IFERROR(IF(I715="","",I715)&amp;"","")</f>
        <v/>
      </c>
      <c r="M715">
        <f>IF(J715="","",IFERROR(VALUE(SUBSTITUTE(SUBSTITUTE(IF(E715="","",E715)&amp;"","$",""),",","")),0))</f>
        <v/>
      </c>
      <c r="N715" s="11">
        <f>IF(J715="","",IFERROR(VALUE(SUBSTITUTE(SUBSTITUTE(IF(F715="","",F715)&amp;"","$",""),",","")),0))</f>
        <v/>
      </c>
      <c r="O715" s="11">
        <f>IF(J715="","",M715*N715)</f>
        <v/>
      </c>
      <c r="P715">
        <f>IF(J715="","",IF(L715="",1,COUNTIF($L$2:$L$1501,L715)))</f>
        <v/>
      </c>
      <c r="Q715" s="11">
        <f>IF(J715="","",IFERROR(VALUE(SUBSTITUTE(SUBSTITUTE(IF(G715="","",G715)&amp;"","$",""),",","")),0)/IF("No"="Yes",P715,1))</f>
        <v/>
      </c>
      <c r="R715" s="11">
        <f>IF(J715="","",IFERROR(VALUE(SUBSTITUTE(SUBSTITUTE(IF(H715="","",H715)&amp;"","$",""),",","")),0)/IF("No"="Yes",P715,1))</f>
        <v/>
      </c>
      <c r="S715" s="11">
        <f>IF(J715="","",O715+Q715-R715)</f>
        <v/>
      </c>
      <c r="T715">
        <f>IF(J715="","",IFERROR(IF(K715="",NA(),MATCH(K715,Products!$B$5:$B$204,0)),IFERROR(MATCH(J715,Products!$A$5:$A$204,0),"")))</f>
        <v/>
      </c>
      <c r="U715">
        <f>IF(J715="","",IF(T715="","⚠ not in Products",INDEX(Products!$A$5:$A$204,T715)))</f>
        <v/>
      </c>
      <c r="V715" s="11">
        <f>IF(J715="","",S715*(IFERROR(INDEX(Settings!$B$5:$B$9,MATCH($B715,Settings!$A$5:$A$9,0)),0)+IFERROR(INDEX(Settings!$E$5:$E$9,MATCH($B715,Settings!$A$5:$A$9,0)),0)+IFERROR(INDEX(Settings!$G$5:$G$9,MATCH($B715,Settings!$A$5:$A$9,0)),0))+(IFERROR(INDEX(Settings!$C$5:$C$9,MATCH($B715,Settings!$A$5:$A$9,0)),0)+IFERROR(INDEX(Settings!$F$5:$F$9,MATCH($B715,Settings!$A$5:$A$9,0)),0))/P715+IFERROR(INDEX(Settings!$D$5:$D$9,MATCH($B715,Settings!$A$5:$A$9,0)),0)*M715)</f>
        <v/>
      </c>
      <c r="W715" s="11">
        <f>IF(J715="","",IF(T715="",0,M715*INDEX(Products!$I$5:$I$204,T715)))</f>
        <v/>
      </c>
      <c r="X715" s="11">
        <f>IF(J715="","",IF(T715="",0,S715*INDEX(Products!$H$5:$H$204,T715)))</f>
        <v/>
      </c>
      <c r="Y715" s="11">
        <f>IF(J715="","",S715-V715-W715-X715)</f>
        <v/>
      </c>
    </row>
    <row r="716">
      <c r="A716" s="19" t="n"/>
      <c r="B716" s="19" t="n"/>
      <c r="C716" s="19" t="n"/>
      <c r="D716" s="19" t="n"/>
      <c r="E716" s="19" t="n"/>
      <c r="F716" s="20" t="n"/>
      <c r="G716" s="20" t="n"/>
      <c r="H716" s="20" t="n"/>
      <c r="I716" s="19" t="n"/>
      <c r="J716">
        <f>IFERROR(IF(C716="","",C716)&amp;"","")</f>
        <v/>
      </c>
      <c r="K716">
        <f>IFERROR(IF(D716="","",D716)&amp;"","")</f>
        <v/>
      </c>
      <c r="L716">
        <f>IFERROR(IF(I716="","",I716)&amp;"","")</f>
        <v/>
      </c>
      <c r="M716">
        <f>IF(J716="","",IFERROR(VALUE(SUBSTITUTE(SUBSTITUTE(IF(E716="","",E716)&amp;"","$",""),",","")),0))</f>
        <v/>
      </c>
      <c r="N716" s="11">
        <f>IF(J716="","",IFERROR(VALUE(SUBSTITUTE(SUBSTITUTE(IF(F716="","",F716)&amp;"","$",""),",","")),0))</f>
        <v/>
      </c>
      <c r="O716" s="11">
        <f>IF(J716="","",M716*N716)</f>
        <v/>
      </c>
      <c r="P716">
        <f>IF(J716="","",IF(L716="",1,COUNTIF($L$2:$L$1501,L716)))</f>
        <v/>
      </c>
      <c r="Q716" s="11">
        <f>IF(J716="","",IFERROR(VALUE(SUBSTITUTE(SUBSTITUTE(IF(G716="","",G716)&amp;"","$",""),",","")),0)/IF("No"="Yes",P716,1))</f>
        <v/>
      </c>
      <c r="R716" s="11">
        <f>IF(J716="","",IFERROR(VALUE(SUBSTITUTE(SUBSTITUTE(IF(H716="","",H716)&amp;"","$",""),",","")),0)/IF("No"="Yes",P716,1))</f>
        <v/>
      </c>
      <c r="S716" s="11">
        <f>IF(J716="","",O716+Q716-R716)</f>
        <v/>
      </c>
      <c r="T716">
        <f>IF(J716="","",IFERROR(IF(K716="",NA(),MATCH(K716,Products!$B$5:$B$204,0)),IFERROR(MATCH(J716,Products!$A$5:$A$204,0),"")))</f>
        <v/>
      </c>
      <c r="U716">
        <f>IF(J716="","",IF(T716="","⚠ not in Products",INDEX(Products!$A$5:$A$204,T716)))</f>
        <v/>
      </c>
      <c r="V716" s="11">
        <f>IF(J716="","",S716*(IFERROR(INDEX(Settings!$B$5:$B$9,MATCH($B716,Settings!$A$5:$A$9,0)),0)+IFERROR(INDEX(Settings!$E$5:$E$9,MATCH($B716,Settings!$A$5:$A$9,0)),0)+IFERROR(INDEX(Settings!$G$5:$G$9,MATCH($B716,Settings!$A$5:$A$9,0)),0))+(IFERROR(INDEX(Settings!$C$5:$C$9,MATCH($B716,Settings!$A$5:$A$9,0)),0)+IFERROR(INDEX(Settings!$F$5:$F$9,MATCH($B716,Settings!$A$5:$A$9,0)),0))/P716+IFERROR(INDEX(Settings!$D$5:$D$9,MATCH($B716,Settings!$A$5:$A$9,0)),0)*M716)</f>
        <v/>
      </c>
      <c r="W716" s="11">
        <f>IF(J716="","",IF(T716="",0,M716*INDEX(Products!$I$5:$I$204,T716)))</f>
        <v/>
      </c>
      <c r="X716" s="11">
        <f>IF(J716="","",IF(T716="",0,S716*INDEX(Products!$H$5:$H$204,T716)))</f>
        <v/>
      </c>
      <c r="Y716" s="11">
        <f>IF(J716="","",S716-V716-W716-X716)</f>
        <v/>
      </c>
    </row>
    <row r="717">
      <c r="A717" s="19" t="n"/>
      <c r="B717" s="19" t="n"/>
      <c r="C717" s="19" t="n"/>
      <c r="D717" s="19" t="n"/>
      <c r="E717" s="19" t="n"/>
      <c r="F717" s="20" t="n"/>
      <c r="G717" s="20" t="n"/>
      <c r="H717" s="20" t="n"/>
      <c r="I717" s="19" t="n"/>
      <c r="J717">
        <f>IFERROR(IF(C717="","",C717)&amp;"","")</f>
        <v/>
      </c>
      <c r="K717">
        <f>IFERROR(IF(D717="","",D717)&amp;"","")</f>
        <v/>
      </c>
      <c r="L717">
        <f>IFERROR(IF(I717="","",I717)&amp;"","")</f>
        <v/>
      </c>
      <c r="M717">
        <f>IF(J717="","",IFERROR(VALUE(SUBSTITUTE(SUBSTITUTE(IF(E717="","",E717)&amp;"","$",""),",","")),0))</f>
        <v/>
      </c>
      <c r="N717" s="11">
        <f>IF(J717="","",IFERROR(VALUE(SUBSTITUTE(SUBSTITUTE(IF(F717="","",F717)&amp;"","$",""),",","")),0))</f>
        <v/>
      </c>
      <c r="O717" s="11">
        <f>IF(J717="","",M717*N717)</f>
        <v/>
      </c>
      <c r="P717">
        <f>IF(J717="","",IF(L717="",1,COUNTIF($L$2:$L$1501,L717)))</f>
        <v/>
      </c>
      <c r="Q717" s="11">
        <f>IF(J717="","",IFERROR(VALUE(SUBSTITUTE(SUBSTITUTE(IF(G717="","",G717)&amp;"","$",""),",","")),0)/IF("No"="Yes",P717,1))</f>
        <v/>
      </c>
      <c r="R717" s="11">
        <f>IF(J717="","",IFERROR(VALUE(SUBSTITUTE(SUBSTITUTE(IF(H717="","",H717)&amp;"","$",""),",","")),0)/IF("No"="Yes",P717,1))</f>
        <v/>
      </c>
      <c r="S717" s="11">
        <f>IF(J717="","",O717+Q717-R717)</f>
        <v/>
      </c>
      <c r="T717">
        <f>IF(J717="","",IFERROR(IF(K717="",NA(),MATCH(K717,Products!$B$5:$B$204,0)),IFERROR(MATCH(J717,Products!$A$5:$A$204,0),"")))</f>
        <v/>
      </c>
      <c r="U717">
        <f>IF(J717="","",IF(T717="","⚠ not in Products",INDEX(Products!$A$5:$A$204,T717)))</f>
        <v/>
      </c>
      <c r="V717" s="11">
        <f>IF(J717="","",S717*(IFERROR(INDEX(Settings!$B$5:$B$9,MATCH($B717,Settings!$A$5:$A$9,0)),0)+IFERROR(INDEX(Settings!$E$5:$E$9,MATCH($B717,Settings!$A$5:$A$9,0)),0)+IFERROR(INDEX(Settings!$G$5:$G$9,MATCH($B717,Settings!$A$5:$A$9,0)),0))+(IFERROR(INDEX(Settings!$C$5:$C$9,MATCH($B717,Settings!$A$5:$A$9,0)),0)+IFERROR(INDEX(Settings!$F$5:$F$9,MATCH($B717,Settings!$A$5:$A$9,0)),0))/P717+IFERROR(INDEX(Settings!$D$5:$D$9,MATCH($B717,Settings!$A$5:$A$9,0)),0)*M717)</f>
        <v/>
      </c>
      <c r="W717" s="11">
        <f>IF(J717="","",IF(T717="",0,M717*INDEX(Products!$I$5:$I$204,T717)))</f>
        <v/>
      </c>
      <c r="X717" s="11">
        <f>IF(J717="","",IF(T717="",0,S717*INDEX(Products!$H$5:$H$204,T717)))</f>
        <v/>
      </c>
      <c r="Y717" s="11">
        <f>IF(J717="","",S717-V717-W717-X717)</f>
        <v/>
      </c>
    </row>
    <row r="718">
      <c r="A718" s="19" t="n"/>
      <c r="B718" s="19" t="n"/>
      <c r="C718" s="19" t="n"/>
      <c r="D718" s="19" t="n"/>
      <c r="E718" s="19" t="n"/>
      <c r="F718" s="20" t="n"/>
      <c r="G718" s="20" t="n"/>
      <c r="H718" s="20" t="n"/>
      <c r="I718" s="19" t="n"/>
      <c r="J718">
        <f>IFERROR(IF(C718="","",C718)&amp;"","")</f>
        <v/>
      </c>
      <c r="K718">
        <f>IFERROR(IF(D718="","",D718)&amp;"","")</f>
        <v/>
      </c>
      <c r="L718">
        <f>IFERROR(IF(I718="","",I718)&amp;"","")</f>
        <v/>
      </c>
      <c r="M718">
        <f>IF(J718="","",IFERROR(VALUE(SUBSTITUTE(SUBSTITUTE(IF(E718="","",E718)&amp;"","$",""),",","")),0))</f>
        <v/>
      </c>
      <c r="N718" s="11">
        <f>IF(J718="","",IFERROR(VALUE(SUBSTITUTE(SUBSTITUTE(IF(F718="","",F718)&amp;"","$",""),",","")),0))</f>
        <v/>
      </c>
      <c r="O718" s="11">
        <f>IF(J718="","",M718*N718)</f>
        <v/>
      </c>
      <c r="P718">
        <f>IF(J718="","",IF(L718="",1,COUNTIF($L$2:$L$1501,L718)))</f>
        <v/>
      </c>
      <c r="Q718" s="11">
        <f>IF(J718="","",IFERROR(VALUE(SUBSTITUTE(SUBSTITUTE(IF(G718="","",G718)&amp;"","$",""),",","")),0)/IF("No"="Yes",P718,1))</f>
        <v/>
      </c>
      <c r="R718" s="11">
        <f>IF(J718="","",IFERROR(VALUE(SUBSTITUTE(SUBSTITUTE(IF(H718="","",H718)&amp;"","$",""),",","")),0)/IF("No"="Yes",P718,1))</f>
        <v/>
      </c>
      <c r="S718" s="11">
        <f>IF(J718="","",O718+Q718-R718)</f>
        <v/>
      </c>
      <c r="T718">
        <f>IF(J718="","",IFERROR(IF(K718="",NA(),MATCH(K718,Products!$B$5:$B$204,0)),IFERROR(MATCH(J718,Products!$A$5:$A$204,0),"")))</f>
        <v/>
      </c>
      <c r="U718">
        <f>IF(J718="","",IF(T718="","⚠ not in Products",INDEX(Products!$A$5:$A$204,T718)))</f>
        <v/>
      </c>
      <c r="V718" s="11">
        <f>IF(J718="","",S718*(IFERROR(INDEX(Settings!$B$5:$B$9,MATCH($B718,Settings!$A$5:$A$9,0)),0)+IFERROR(INDEX(Settings!$E$5:$E$9,MATCH($B718,Settings!$A$5:$A$9,0)),0)+IFERROR(INDEX(Settings!$G$5:$G$9,MATCH($B718,Settings!$A$5:$A$9,0)),0))+(IFERROR(INDEX(Settings!$C$5:$C$9,MATCH($B718,Settings!$A$5:$A$9,0)),0)+IFERROR(INDEX(Settings!$F$5:$F$9,MATCH($B718,Settings!$A$5:$A$9,0)),0))/P718+IFERROR(INDEX(Settings!$D$5:$D$9,MATCH($B718,Settings!$A$5:$A$9,0)),0)*M718)</f>
        <v/>
      </c>
      <c r="W718" s="11">
        <f>IF(J718="","",IF(T718="",0,M718*INDEX(Products!$I$5:$I$204,T718)))</f>
        <v/>
      </c>
      <c r="X718" s="11">
        <f>IF(J718="","",IF(T718="",0,S718*INDEX(Products!$H$5:$H$204,T718)))</f>
        <v/>
      </c>
      <c r="Y718" s="11">
        <f>IF(J718="","",S718-V718-W718-X718)</f>
        <v/>
      </c>
    </row>
    <row r="719">
      <c r="A719" s="19" t="n"/>
      <c r="B719" s="19" t="n"/>
      <c r="C719" s="19" t="n"/>
      <c r="D719" s="19" t="n"/>
      <c r="E719" s="19" t="n"/>
      <c r="F719" s="20" t="n"/>
      <c r="G719" s="20" t="n"/>
      <c r="H719" s="20" t="n"/>
      <c r="I719" s="19" t="n"/>
      <c r="J719">
        <f>IFERROR(IF(C719="","",C719)&amp;"","")</f>
        <v/>
      </c>
      <c r="K719">
        <f>IFERROR(IF(D719="","",D719)&amp;"","")</f>
        <v/>
      </c>
      <c r="L719">
        <f>IFERROR(IF(I719="","",I719)&amp;"","")</f>
        <v/>
      </c>
      <c r="M719">
        <f>IF(J719="","",IFERROR(VALUE(SUBSTITUTE(SUBSTITUTE(IF(E719="","",E719)&amp;"","$",""),",","")),0))</f>
        <v/>
      </c>
      <c r="N719" s="11">
        <f>IF(J719="","",IFERROR(VALUE(SUBSTITUTE(SUBSTITUTE(IF(F719="","",F719)&amp;"","$",""),",","")),0))</f>
        <v/>
      </c>
      <c r="O719" s="11">
        <f>IF(J719="","",M719*N719)</f>
        <v/>
      </c>
      <c r="P719">
        <f>IF(J719="","",IF(L719="",1,COUNTIF($L$2:$L$1501,L719)))</f>
        <v/>
      </c>
      <c r="Q719" s="11">
        <f>IF(J719="","",IFERROR(VALUE(SUBSTITUTE(SUBSTITUTE(IF(G719="","",G719)&amp;"","$",""),",","")),0)/IF("No"="Yes",P719,1))</f>
        <v/>
      </c>
      <c r="R719" s="11">
        <f>IF(J719="","",IFERROR(VALUE(SUBSTITUTE(SUBSTITUTE(IF(H719="","",H719)&amp;"","$",""),",","")),0)/IF("No"="Yes",P719,1))</f>
        <v/>
      </c>
      <c r="S719" s="11">
        <f>IF(J719="","",O719+Q719-R719)</f>
        <v/>
      </c>
      <c r="T719">
        <f>IF(J719="","",IFERROR(IF(K719="",NA(),MATCH(K719,Products!$B$5:$B$204,0)),IFERROR(MATCH(J719,Products!$A$5:$A$204,0),"")))</f>
        <v/>
      </c>
      <c r="U719">
        <f>IF(J719="","",IF(T719="","⚠ not in Products",INDEX(Products!$A$5:$A$204,T719)))</f>
        <v/>
      </c>
      <c r="V719" s="11">
        <f>IF(J719="","",S719*(IFERROR(INDEX(Settings!$B$5:$B$9,MATCH($B719,Settings!$A$5:$A$9,0)),0)+IFERROR(INDEX(Settings!$E$5:$E$9,MATCH($B719,Settings!$A$5:$A$9,0)),0)+IFERROR(INDEX(Settings!$G$5:$G$9,MATCH($B719,Settings!$A$5:$A$9,0)),0))+(IFERROR(INDEX(Settings!$C$5:$C$9,MATCH($B719,Settings!$A$5:$A$9,0)),0)+IFERROR(INDEX(Settings!$F$5:$F$9,MATCH($B719,Settings!$A$5:$A$9,0)),0))/P719+IFERROR(INDEX(Settings!$D$5:$D$9,MATCH($B719,Settings!$A$5:$A$9,0)),0)*M719)</f>
        <v/>
      </c>
      <c r="W719" s="11">
        <f>IF(J719="","",IF(T719="",0,M719*INDEX(Products!$I$5:$I$204,T719)))</f>
        <v/>
      </c>
      <c r="X719" s="11">
        <f>IF(J719="","",IF(T719="",0,S719*INDEX(Products!$H$5:$H$204,T719)))</f>
        <v/>
      </c>
      <c r="Y719" s="11">
        <f>IF(J719="","",S719-V719-W719-X719)</f>
        <v/>
      </c>
    </row>
    <row r="720">
      <c r="A720" s="19" t="n"/>
      <c r="B720" s="19" t="n"/>
      <c r="C720" s="19" t="n"/>
      <c r="D720" s="19" t="n"/>
      <c r="E720" s="19" t="n"/>
      <c r="F720" s="20" t="n"/>
      <c r="G720" s="20" t="n"/>
      <c r="H720" s="20" t="n"/>
      <c r="I720" s="19" t="n"/>
      <c r="J720">
        <f>IFERROR(IF(C720="","",C720)&amp;"","")</f>
        <v/>
      </c>
      <c r="K720">
        <f>IFERROR(IF(D720="","",D720)&amp;"","")</f>
        <v/>
      </c>
      <c r="L720">
        <f>IFERROR(IF(I720="","",I720)&amp;"","")</f>
        <v/>
      </c>
      <c r="M720">
        <f>IF(J720="","",IFERROR(VALUE(SUBSTITUTE(SUBSTITUTE(IF(E720="","",E720)&amp;"","$",""),",","")),0))</f>
        <v/>
      </c>
      <c r="N720" s="11">
        <f>IF(J720="","",IFERROR(VALUE(SUBSTITUTE(SUBSTITUTE(IF(F720="","",F720)&amp;"","$",""),",","")),0))</f>
        <v/>
      </c>
      <c r="O720" s="11">
        <f>IF(J720="","",M720*N720)</f>
        <v/>
      </c>
      <c r="P720">
        <f>IF(J720="","",IF(L720="",1,COUNTIF($L$2:$L$1501,L720)))</f>
        <v/>
      </c>
      <c r="Q720" s="11">
        <f>IF(J720="","",IFERROR(VALUE(SUBSTITUTE(SUBSTITUTE(IF(G720="","",G720)&amp;"","$",""),",","")),0)/IF("No"="Yes",P720,1))</f>
        <v/>
      </c>
      <c r="R720" s="11">
        <f>IF(J720="","",IFERROR(VALUE(SUBSTITUTE(SUBSTITUTE(IF(H720="","",H720)&amp;"","$",""),",","")),0)/IF("No"="Yes",P720,1))</f>
        <v/>
      </c>
      <c r="S720" s="11">
        <f>IF(J720="","",O720+Q720-R720)</f>
        <v/>
      </c>
      <c r="T720">
        <f>IF(J720="","",IFERROR(IF(K720="",NA(),MATCH(K720,Products!$B$5:$B$204,0)),IFERROR(MATCH(J720,Products!$A$5:$A$204,0),"")))</f>
        <v/>
      </c>
      <c r="U720">
        <f>IF(J720="","",IF(T720="","⚠ not in Products",INDEX(Products!$A$5:$A$204,T720)))</f>
        <v/>
      </c>
      <c r="V720" s="11">
        <f>IF(J720="","",S720*(IFERROR(INDEX(Settings!$B$5:$B$9,MATCH($B720,Settings!$A$5:$A$9,0)),0)+IFERROR(INDEX(Settings!$E$5:$E$9,MATCH($B720,Settings!$A$5:$A$9,0)),0)+IFERROR(INDEX(Settings!$G$5:$G$9,MATCH($B720,Settings!$A$5:$A$9,0)),0))+(IFERROR(INDEX(Settings!$C$5:$C$9,MATCH($B720,Settings!$A$5:$A$9,0)),0)+IFERROR(INDEX(Settings!$F$5:$F$9,MATCH($B720,Settings!$A$5:$A$9,0)),0))/P720+IFERROR(INDEX(Settings!$D$5:$D$9,MATCH($B720,Settings!$A$5:$A$9,0)),0)*M720)</f>
        <v/>
      </c>
      <c r="W720" s="11">
        <f>IF(J720="","",IF(T720="",0,M720*INDEX(Products!$I$5:$I$204,T720)))</f>
        <v/>
      </c>
      <c r="X720" s="11">
        <f>IF(J720="","",IF(T720="",0,S720*INDEX(Products!$H$5:$H$204,T720)))</f>
        <v/>
      </c>
      <c r="Y720" s="11">
        <f>IF(J720="","",S720-V720-W720-X720)</f>
        <v/>
      </c>
    </row>
    <row r="721">
      <c r="A721" s="19" t="n"/>
      <c r="B721" s="19" t="n"/>
      <c r="C721" s="19" t="n"/>
      <c r="D721" s="19" t="n"/>
      <c r="E721" s="19" t="n"/>
      <c r="F721" s="20" t="n"/>
      <c r="G721" s="20" t="n"/>
      <c r="H721" s="20" t="n"/>
      <c r="I721" s="19" t="n"/>
      <c r="J721">
        <f>IFERROR(IF(C721="","",C721)&amp;"","")</f>
        <v/>
      </c>
      <c r="K721">
        <f>IFERROR(IF(D721="","",D721)&amp;"","")</f>
        <v/>
      </c>
      <c r="L721">
        <f>IFERROR(IF(I721="","",I721)&amp;"","")</f>
        <v/>
      </c>
      <c r="M721">
        <f>IF(J721="","",IFERROR(VALUE(SUBSTITUTE(SUBSTITUTE(IF(E721="","",E721)&amp;"","$",""),",","")),0))</f>
        <v/>
      </c>
      <c r="N721" s="11">
        <f>IF(J721="","",IFERROR(VALUE(SUBSTITUTE(SUBSTITUTE(IF(F721="","",F721)&amp;"","$",""),",","")),0))</f>
        <v/>
      </c>
      <c r="O721" s="11">
        <f>IF(J721="","",M721*N721)</f>
        <v/>
      </c>
      <c r="P721">
        <f>IF(J721="","",IF(L721="",1,COUNTIF($L$2:$L$1501,L721)))</f>
        <v/>
      </c>
      <c r="Q721" s="11">
        <f>IF(J721="","",IFERROR(VALUE(SUBSTITUTE(SUBSTITUTE(IF(G721="","",G721)&amp;"","$",""),",","")),0)/IF("No"="Yes",P721,1))</f>
        <v/>
      </c>
      <c r="R721" s="11">
        <f>IF(J721="","",IFERROR(VALUE(SUBSTITUTE(SUBSTITUTE(IF(H721="","",H721)&amp;"","$",""),",","")),0)/IF("No"="Yes",P721,1))</f>
        <v/>
      </c>
      <c r="S721" s="11">
        <f>IF(J721="","",O721+Q721-R721)</f>
        <v/>
      </c>
      <c r="T721">
        <f>IF(J721="","",IFERROR(IF(K721="",NA(),MATCH(K721,Products!$B$5:$B$204,0)),IFERROR(MATCH(J721,Products!$A$5:$A$204,0),"")))</f>
        <v/>
      </c>
      <c r="U721">
        <f>IF(J721="","",IF(T721="","⚠ not in Products",INDEX(Products!$A$5:$A$204,T721)))</f>
        <v/>
      </c>
      <c r="V721" s="11">
        <f>IF(J721="","",S721*(IFERROR(INDEX(Settings!$B$5:$B$9,MATCH($B721,Settings!$A$5:$A$9,0)),0)+IFERROR(INDEX(Settings!$E$5:$E$9,MATCH($B721,Settings!$A$5:$A$9,0)),0)+IFERROR(INDEX(Settings!$G$5:$G$9,MATCH($B721,Settings!$A$5:$A$9,0)),0))+(IFERROR(INDEX(Settings!$C$5:$C$9,MATCH($B721,Settings!$A$5:$A$9,0)),0)+IFERROR(INDEX(Settings!$F$5:$F$9,MATCH($B721,Settings!$A$5:$A$9,0)),0))/P721+IFERROR(INDEX(Settings!$D$5:$D$9,MATCH($B721,Settings!$A$5:$A$9,0)),0)*M721)</f>
        <v/>
      </c>
      <c r="W721" s="11">
        <f>IF(J721="","",IF(T721="",0,M721*INDEX(Products!$I$5:$I$204,T721)))</f>
        <v/>
      </c>
      <c r="X721" s="11">
        <f>IF(J721="","",IF(T721="",0,S721*INDEX(Products!$H$5:$H$204,T721)))</f>
        <v/>
      </c>
      <c r="Y721" s="11">
        <f>IF(J721="","",S721-V721-W721-X721)</f>
        <v/>
      </c>
    </row>
    <row r="722">
      <c r="A722" s="19" t="n"/>
      <c r="B722" s="19" t="n"/>
      <c r="C722" s="19" t="n"/>
      <c r="D722" s="19" t="n"/>
      <c r="E722" s="19" t="n"/>
      <c r="F722" s="20" t="n"/>
      <c r="G722" s="20" t="n"/>
      <c r="H722" s="20" t="n"/>
      <c r="I722" s="19" t="n"/>
      <c r="J722">
        <f>IFERROR(IF(C722="","",C722)&amp;"","")</f>
        <v/>
      </c>
      <c r="K722">
        <f>IFERROR(IF(D722="","",D722)&amp;"","")</f>
        <v/>
      </c>
      <c r="L722">
        <f>IFERROR(IF(I722="","",I722)&amp;"","")</f>
        <v/>
      </c>
      <c r="M722">
        <f>IF(J722="","",IFERROR(VALUE(SUBSTITUTE(SUBSTITUTE(IF(E722="","",E722)&amp;"","$",""),",","")),0))</f>
        <v/>
      </c>
      <c r="N722" s="11">
        <f>IF(J722="","",IFERROR(VALUE(SUBSTITUTE(SUBSTITUTE(IF(F722="","",F722)&amp;"","$",""),",","")),0))</f>
        <v/>
      </c>
      <c r="O722" s="11">
        <f>IF(J722="","",M722*N722)</f>
        <v/>
      </c>
      <c r="P722">
        <f>IF(J722="","",IF(L722="",1,COUNTIF($L$2:$L$1501,L722)))</f>
        <v/>
      </c>
      <c r="Q722" s="11">
        <f>IF(J722="","",IFERROR(VALUE(SUBSTITUTE(SUBSTITUTE(IF(G722="","",G722)&amp;"","$",""),",","")),0)/IF("No"="Yes",P722,1))</f>
        <v/>
      </c>
      <c r="R722" s="11">
        <f>IF(J722="","",IFERROR(VALUE(SUBSTITUTE(SUBSTITUTE(IF(H722="","",H722)&amp;"","$",""),",","")),0)/IF("No"="Yes",P722,1))</f>
        <v/>
      </c>
      <c r="S722" s="11">
        <f>IF(J722="","",O722+Q722-R722)</f>
        <v/>
      </c>
      <c r="T722">
        <f>IF(J722="","",IFERROR(IF(K722="",NA(),MATCH(K722,Products!$B$5:$B$204,0)),IFERROR(MATCH(J722,Products!$A$5:$A$204,0),"")))</f>
        <v/>
      </c>
      <c r="U722">
        <f>IF(J722="","",IF(T722="","⚠ not in Products",INDEX(Products!$A$5:$A$204,T722)))</f>
        <v/>
      </c>
      <c r="V722" s="11">
        <f>IF(J722="","",S722*(IFERROR(INDEX(Settings!$B$5:$B$9,MATCH($B722,Settings!$A$5:$A$9,0)),0)+IFERROR(INDEX(Settings!$E$5:$E$9,MATCH($B722,Settings!$A$5:$A$9,0)),0)+IFERROR(INDEX(Settings!$G$5:$G$9,MATCH($B722,Settings!$A$5:$A$9,0)),0))+(IFERROR(INDEX(Settings!$C$5:$C$9,MATCH($B722,Settings!$A$5:$A$9,0)),0)+IFERROR(INDEX(Settings!$F$5:$F$9,MATCH($B722,Settings!$A$5:$A$9,0)),0))/P722+IFERROR(INDEX(Settings!$D$5:$D$9,MATCH($B722,Settings!$A$5:$A$9,0)),0)*M722)</f>
        <v/>
      </c>
      <c r="W722" s="11">
        <f>IF(J722="","",IF(T722="",0,M722*INDEX(Products!$I$5:$I$204,T722)))</f>
        <v/>
      </c>
      <c r="X722" s="11">
        <f>IF(J722="","",IF(T722="",0,S722*INDEX(Products!$H$5:$H$204,T722)))</f>
        <v/>
      </c>
      <c r="Y722" s="11">
        <f>IF(J722="","",S722-V722-W722-X722)</f>
        <v/>
      </c>
    </row>
    <row r="723">
      <c r="A723" s="19" t="n"/>
      <c r="B723" s="19" t="n"/>
      <c r="C723" s="19" t="n"/>
      <c r="D723" s="19" t="n"/>
      <c r="E723" s="19" t="n"/>
      <c r="F723" s="20" t="n"/>
      <c r="G723" s="20" t="n"/>
      <c r="H723" s="20" t="n"/>
      <c r="I723" s="19" t="n"/>
      <c r="J723">
        <f>IFERROR(IF(C723="","",C723)&amp;"","")</f>
        <v/>
      </c>
      <c r="K723">
        <f>IFERROR(IF(D723="","",D723)&amp;"","")</f>
        <v/>
      </c>
      <c r="L723">
        <f>IFERROR(IF(I723="","",I723)&amp;"","")</f>
        <v/>
      </c>
      <c r="M723">
        <f>IF(J723="","",IFERROR(VALUE(SUBSTITUTE(SUBSTITUTE(IF(E723="","",E723)&amp;"","$",""),",","")),0))</f>
        <v/>
      </c>
      <c r="N723" s="11">
        <f>IF(J723="","",IFERROR(VALUE(SUBSTITUTE(SUBSTITUTE(IF(F723="","",F723)&amp;"","$",""),",","")),0))</f>
        <v/>
      </c>
      <c r="O723" s="11">
        <f>IF(J723="","",M723*N723)</f>
        <v/>
      </c>
      <c r="P723">
        <f>IF(J723="","",IF(L723="",1,COUNTIF($L$2:$L$1501,L723)))</f>
        <v/>
      </c>
      <c r="Q723" s="11">
        <f>IF(J723="","",IFERROR(VALUE(SUBSTITUTE(SUBSTITUTE(IF(G723="","",G723)&amp;"","$",""),",","")),0)/IF("No"="Yes",P723,1))</f>
        <v/>
      </c>
      <c r="R723" s="11">
        <f>IF(J723="","",IFERROR(VALUE(SUBSTITUTE(SUBSTITUTE(IF(H723="","",H723)&amp;"","$",""),",","")),0)/IF("No"="Yes",P723,1))</f>
        <v/>
      </c>
      <c r="S723" s="11">
        <f>IF(J723="","",O723+Q723-R723)</f>
        <v/>
      </c>
      <c r="T723">
        <f>IF(J723="","",IFERROR(IF(K723="",NA(),MATCH(K723,Products!$B$5:$B$204,0)),IFERROR(MATCH(J723,Products!$A$5:$A$204,0),"")))</f>
        <v/>
      </c>
      <c r="U723">
        <f>IF(J723="","",IF(T723="","⚠ not in Products",INDEX(Products!$A$5:$A$204,T723)))</f>
        <v/>
      </c>
      <c r="V723" s="11">
        <f>IF(J723="","",S723*(IFERROR(INDEX(Settings!$B$5:$B$9,MATCH($B723,Settings!$A$5:$A$9,0)),0)+IFERROR(INDEX(Settings!$E$5:$E$9,MATCH($B723,Settings!$A$5:$A$9,0)),0)+IFERROR(INDEX(Settings!$G$5:$G$9,MATCH($B723,Settings!$A$5:$A$9,0)),0))+(IFERROR(INDEX(Settings!$C$5:$C$9,MATCH($B723,Settings!$A$5:$A$9,0)),0)+IFERROR(INDEX(Settings!$F$5:$F$9,MATCH($B723,Settings!$A$5:$A$9,0)),0))/P723+IFERROR(INDEX(Settings!$D$5:$D$9,MATCH($B723,Settings!$A$5:$A$9,0)),0)*M723)</f>
        <v/>
      </c>
      <c r="W723" s="11">
        <f>IF(J723="","",IF(T723="",0,M723*INDEX(Products!$I$5:$I$204,T723)))</f>
        <v/>
      </c>
      <c r="X723" s="11">
        <f>IF(J723="","",IF(T723="",0,S723*INDEX(Products!$H$5:$H$204,T723)))</f>
        <v/>
      </c>
      <c r="Y723" s="11">
        <f>IF(J723="","",S723-V723-W723-X723)</f>
        <v/>
      </c>
    </row>
    <row r="724">
      <c r="A724" s="19" t="n"/>
      <c r="B724" s="19" t="n"/>
      <c r="C724" s="19" t="n"/>
      <c r="D724" s="19" t="n"/>
      <c r="E724" s="19" t="n"/>
      <c r="F724" s="20" t="n"/>
      <c r="G724" s="20" t="n"/>
      <c r="H724" s="20" t="n"/>
      <c r="I724" s="19" t="n"/>
      <c r="J724">
        <f>IFERROR(IF(C724="","",C724)&amp;"","")</f>
        <v/>
      </c>
      <c r="K724">
        <f>IFERROR(IF(D724="","",D724)&amp;"","")</f>
        <v/>
      </c>
      <c r="L724">
        <f>IFERROR(IF(I724="","",I724)&amp;"","")</f>
        <v/>
      </c>
      <c r="M724">
        <f>IF(J724="","",IFERROR(VALUE(SUBSTITUTE(SUBSTITUTE(IF(E724="","",E724)&amp;"","$",""),",","")),0))</f>
        <v/>
      </c>
      <c r="N724" s="11">
        <f>IF(J724="","",IFERROR(VALUE(SUBSTITUTE(SUBSTITUTE(IF(F724="","",F724)&amp;"","$",""),",","")),0))</f>
        <v/>
      </c>
      <c r="O724" s="11">
        <f>IF(J724="","",M724*N724)</f>
        <v/>
      </c>
      <c r="P724">
        <f>IF(J724="","",IF(L724="",1,COUNTIF($L$2:$L$1501,L724)))</f>
        <v/>
      </c>
      <c r="Q724" s="11">
        <f>IF(J724="","",IFERROR(VALUE(SUBSTITUTE(SUBSTITUTE(IF(G724="","",G724)&amp;"","$",""),",","")),0)/IF("No"="Yes",P724,1))</f>
        <v/>
      </c>
      <c r="R724" s="11">
        <f>IF(J724="","",IFERROR(VALUE(SUBSTITUTE(SUBSTITUTE(IF(H724="","",H724)&amp;"","$",""),",","")),0)/IF("No"="Yes",P724,1))</f>
        <v/>
      </c>
      <c r="S724" s="11">
        <f>IF(J724="","",O724+Q724-R724)</f>
        <v/>
      </c>
      <c r="T724">
        <f>IF(J724="","",IFERROR(IF(K724="",NA(),MATCH(K724,Products!$B$5:$B$204,0)),IFERROR(MATCH(J724,Products!$A$5:$A$204,0),"")))</f>
        <v/>
      </c>
      <c r="U724">
        <f>IF(J724="","",IF(T724="","⚠ not in Products",INDEX(Products!$A$5:$A$204,T724)))</f>
        <v/>
      </c>
      <c r="V724" s="11">
        <f>IF(J724="","",S724*(IFERROR(INDEX(Settings!$B$5:$B$9,MATCH($B724,Settings!$A$5:$A$9,0)),0)+IFERROR(INDEX(Settings!$E$5:$E$9,MATCH($B724,Settings!$A$5:$A$9,0)),0)+IFERROR(INDEX(Settings!$G$5:$G$9,MATCH($B724,Settings!$A$5:$A$9,0)),0))+(IFERROR(INDEX(Settings!$C$5:$C$9,MATCH($B724,Settings!$A$5:$A$9,0)),0)+IFERROR(INDEX(Settings!$F$5:$F$9,MATCH($B724,Settings!$A$5:$A$9,0)),0))/P724+IFERROR(INDEX(Settings!$D$5:$D$9,MATCH($B724,Settings!$A$5:$A$9,0)),0)*M724)</f>
        <v/>
      </c>
      <c r="W724" s="11">
        <f>IF(J724="","",IF(T724="",0,M724*INDEX(Products!$I$5:$I$204,T724)))</f>
        <v/>
      </c>
      <c r="X724" s="11">
        <f>IF(J724="","",IF(T724="",0,S724*INDEX(Products!$H$5:$H$204,T724)))</f>
        <v/>
      </c>
      <c r="Y724" s="11">
        <f>IF(J724="","",S724-V724-W724-X724)</f>
        <v/>
      </c>
    </row>
    <row r="725">
      <c r="A725" s="19" t="n"/>
      <c r="B725" s="19" t="n"/>
      <c r="C725" s="19" t="n"/>
      <c r="D725" s="19" t="n"/>
      <c r="E725" s="19" t="n"/>
      <c r="F725" s="20" t="n"/>
      <c r="G725" s="20" t="n"/>
      <c r="H725" s="20" t="n"/>
      <c r="I725" s="19" t="n"/>
      <c r="J725">
        <f>IFERROR(IF(C725="","",C725)&amp;"","")</f>
        <v/>
      </c>
      <c r="K725">
        <f>IFERROR(IF(D725="","",D725)&amp;"","")</f>
        <v/>
      </c>
      <c r="L725">
        <f>IFERROR(IF(I725="","",I725)&amp;"","")</f>
        <v/>
      </c>
      <c r="M725">
        <f>IF(J725="","",IFERROR(VALUE(SUBSTITUTE(SUBSTITUTE(IF(E725="","",E725)&amp;"","$",""),",","")),0))</f>
        <v/>
      </c>
      <c r="N725" s="11">
        <f>IF(J725="","",IFERROR(VALUE(SUBSTITUTE(SUBSTITUTE(IF(F725="","",F725)&amp;"","$",""),",","")),0))</f>
        <v/>
      </c>
      <c r="O725" s="11">
        <f>IF(J725="","",M725*N725)</f>
        <v/>
      </c>
      <c r="P725">
        <f>IF(J725="","",IF(L725="",1,COUNTIF($L$2:$L$1501,L725)))</f>
        <v/>
      </c>
      <c r="Q725" s="11">
        <f>IF(J725="","",IFERROR(VALUE(SUBSTITUTE(SUBSTITUTE(IF(G725="","",G725)&amp;"","$",""),",","")),0)/IF("No"="Yes",P725,1))</f>
        <v/>
      </c>
      <c r="R725" s="11">
        <f>IF(J725="","",IFERROR(VALUE(SUBSTITUTE(SUBSTITUTE(IF(H725="","",H725)&amp;"","$",""),",","")),0)/IF("No"="Yes",P725,1))</f>
        <v/>
      </c>
      <c r="S725" s="11">
        <f>IF(J725="","",O725+Q725-R725)</f>
        <v/>
      </c>
      <c r="T725">
        <f>IF(J725="","",IFERROR(IF(K725="",NA(),MATCH(K725,Products!$B$5:$B$204,0)),IFERROR(MATCH(J725,Products!$A$5:$A$204,0),"")))</f>
        <v/>
      </c>
      <c r="U725">
        <f>IF(J725="","",IF(T725="","⚠ not in Products",INDEX(Products!$A$5:$A$204,T725)))</f>
        <v/>
      </c>
      <c r="V725" s="11">
        <f>IF(J725="","",S725*(IFERROR(INDEX(Settings!$B$5:$B$9,MATCH($B725,Settings!$A$5:$A$9,0)),0)+IFERROR(INDEX(Settings!$E$5:$E$9,MATCH($B725,Settings!$A$5:$A$9,0)),0)+IFERROR(INDEX(Settings!$G$5:$G$9,MATCH($B725,Settings!$A$5:$A$9,0)),0))+(IFERROR(INDEX(Settings!$C$5:$C$9,MATCH($B725,Settings!$A$5:$A$9,0)),0)+IFERROR(INDEX(Settings!$F$5:$F$9,MATCH($B725,Settings!$A$5:$A$9,0)),0))/P725+IFERROR(INDEX(Settings!$D$5:$D$9,MATCH($B725,Settings!$A$5:$A$9,0)),0)*M725)</f>
        <v/>
      </c>
      <c r="W725" s="11">
        <f>IF(J725="","",IF(T725="",0,M725*INDEX(Products!$I$5:$I$204,T725)))</f>
        <v/>
      </c>
      <c r="X725" s="11">
        <f>IF(J725="","",IF(T725="",0,S725*INDEX(Products!$H$5:$H$204,T725)))</f>
        <v/>
      </c>
      <c r="Y725" s="11">
        <f>IF(J725="","",S725-V725-W725-X725)</f>
        <v/>
      </c>
    </row>
    <row r="726">
      <c r="A726" s="19" t="n"/>
      <c r="B726" s="19" t="n"/>
      <c r="C726" s="19" t="n"/>
      <c r="D726" s="19" t="n"/>
      <c r="E726" s="19" t="n"/>
      <c r="F726" s="20" t="n"/>
      <c r="G726" s="20" t="n"/>
      <c r="H726" s="20" t="n"/>
      <c r="I726" s="19" t="n"/>
      <c r="J726">
        <f>IFERROR(IF(C726="","",C726)&amp;"","")</f>
        <v/>
      </c>
      <c r="K726">
        <f>IFERROR(IF(D726="","",D726)&amp;"","")</f>
        <v/>
      </c>
      <c r="L726">
        <f>IFERROR(IF(I726="","",I726)&amp;"","")</f>
        <v/>
      </c>
      <c r="M726">
        <f>IF(J726="","",IFERROR(VALUE(SUBSTITUTE(SUBSTITUTE(IF(E726="","",E726)&amp;"","$",""),",","")),0))</f>
        <v/>
      </c>
      <c r="N726" s="11">
        <f>IF(J726="","",IFERROR(VALUE(SUBSTITUTE(SUBSTITUTE(IF(F726="","",F726)&amp;"","$",""),",","")),0))</f>
        <v/>
      </c>
      <c r="O726" s="11">
        <f>IF(J726="","",M726*N726)</f>
        <v/>
      </c>
      <c r="P726">
        <f>IF(J726="","",IF(L726="",1,COUNTIF($L$2:$L$1501,L726)))</f>
        <v/>
      </c>
      <c r="Q726" s="11">
        <f>IF(J726="","",IFERROR(VALUE(SUBSTITUTE(SUBSTITUTE(IF(G726="","",G726)&amp;"","$",""),",","")),0)/IF("No"="Yes",P726,1))</f>
        <v/>
      </c>
      <c r="R726" s="11">
        <f>IF(J726="","",IFERROR(VALUE(SUBSTITUTE(SUBSTITUTE(IF(H726="","",H726)&amp;"","$",""),",","")),0)/IF("No"="Yes",P726,1))</f>
        <v/>
      </c>
      <c r="S726" s="11">
        <f>IF(J726="","",O726+Q726-R726)</f>
        <v/>
      </c>
      <c r="T726">
        <f>IF(J726="","",IFERROR(IF(K726="",NA(),MATCH(K726,Products!$B$5:$B$204,0)),IFERROR(MATCH(J726,Products!$A$5:$A$204,0),"")))</f>
        <v/>
      </c>
      <c r="U726">
        <f>IF(J726="","",IF(T726="","⚠ not in Products",INDEX(Products!$A$5:$A$204,T726)))</f>
        <v/>
      </c>
      <c r="V726" s="11">
        <f>IF(J726="","",S726*(IFERROR(INDEX(Settings!$B$5:$B$9,MATCH($B726,Settings!$A$5:$A$9,0)),0)+IFERROR(INDEX(Settings!$E$5:$E$9,MATCH($B726,Settings!$A$5:$A$9,0)),0)+IFERROR(INDEX(Settings!$G$5:$G$9,MATCH($B726,Settings!$A$5:$A$9,0)),0))+(IFERROR(INDEX(Settings!$C$5:$C$9,MATCH($B726,Settings!$A$5:$A$9,0)),0)+IFERROR(INDEX(Settings!$F$5:$F$9,MATCH($B726,Settings!$A$5:$A$9,0)),0))/P726+IFERROR(INDEX(Settings!$D$5:$D$9,MATCH($B726,Settings!$A$5:$A$9,0)),0)*M726)</f>
        <v/>
      </c>
      <c r="W726" s="11">
        <f>IF(J726="","",IF(T726="",0,M726*INDEX(Products!$I$5:$I$204,T726)))</f>
        <v/>
      </c>
      <c r="X726" s="11">
        <f>IF(J726="","",IF(T726="",0,S726*INDEX(Products!$H$5:$H$204,T726)))</f>
        <v/>
      </c>
      <c r="Y726" s="11">
        <f>IF(J726="","",S726-V726-W726-X726)</f>
        <v/>
      </c>
    </row>
    <row r="727">
      <c r="A727" s="19" t="n"/>
      <c r="B727" s="19" t="n"/>
      <c r="C727" s="19" t="n"/>
      <c r="D727" s="19" t="n"/>
      <c r="E727" s="19" t="n"/>
      <c r="F727" s="20" t="n"/>
      <c r="G727" s="20" t="n"/>
      <c r="H727" s="20" t="n"/>
      <c r="I727" s="19" t="n"/>
      <c r="J727">
        <f>IFERROR(IF(C727="","",C727)&amp;"","")</f>
        <v/>
      </c>
      <c r="K727">
        <f>IFERROR(IF(D727="","",D727)&amp;"","")</f>
        <v/>
      </c>
      <c r="L727">
        <f>IFERROR(IF(I727="","",I727)&amp;"","")</f>
        <v/>
      </c>
      <c r="M727">
        <f>IF(J727="","",IFERROR(VALUE(SUBSTITUTE(SUBSTITUTE(IF(E727="","",E727)&amp;"","$",""),",","")),0))</f>
        <v/>
      </c>
      <c r="N727" s="11">
        <f>IF(J727="","",IFERROR(VALUE(SUBSTITUTE(SUBSTITUTE(IF(F727="","",F727)&amp;"","$",""),",","")),0))</f>
        <v/>
      </c>
      <c r="O727" s="11">
        <f>IF(J727="","",M727*N727)</f>
        <v/>
      </c>
      <c r="P727">
        <f>IF(J727="","",IF(L727="",1,COUNTIF($L$2:$L$1501,L727)))</f>
        <v/>
      </c>
      <c r="Q727" s="11">
        <f>IF(J727="","",IFERROR(VALUE(SUBSTITUTE(SUBSTITUTE(IF(G727="","",G727)&amp;"","$",""),",","")),0)/IF("No"="Yes",P727,1))</f>
        <v/>
      </c>
      <c r="R727" s="11">
        <f>IF(J727="","",IFERROR(VALUE(SUBSTITUTE(SUBSTITUTE(IF(H727="","",H727)&amp;"","$",""),",","")),0)/IF("No"="Yes",P727,1))</f>
        <v/>
      </c>
      <c r="S727" s="11">
        <f>IF(J727="","",O727+Q727-R727)</f>
        <v/>
      </c>
      <c r="T727">
        <f>IF(J727="","",IFERROR(IF(K727="",NA(),MATCH(K727,Products!$B$5:$B$204,0)),IFERROR(MATCH(J727,Products!$A$5:$A$204,0),"")))</f>
        <v/>
      </c>
      <c r="U727">
        <f>IF(J727="","",IF(T727="","⚠ not in Products",INDEX(Products!$A$5:$A$204,T727)))</f>
        <v/>
      </c>
      <c r="V727" s="11">
        <f>IF(J727="","",S727*(IFERROR(INDEX(Settings!$B$5:$B$9,MATCH($B727,Settings!$A$5:$A$9,0)),0)+IFERROR(INDEX(Settings!$E$5:$E$9,MATCH($B727,Settings!$A$5:$A$9,0)),0)+IFERROR(INDEX(Settings!$G$5:$G$9,MATCH($B727,Settings!$A$5:$A$9,0)),0))+(IFERROR(INDEX(Settings!$C$5:$C$9,MATCH($B727,Settings!$A$5:$A$9,0)),0)+IFERROR(INDEX(Settings!$F$5:$F$9,MATCH($B727,Settings!$A$5:$A$9,0)),0))/P727+IFERROR(INDEX(Settings!$D$5:$D$9,MATCH($B727,Settings!$A$5:$A$9,0)),0)*M727)</f>
        <v/>
      </c>
      <c r="W727" s="11">
        <f>IF(J727="","",IF(T727="",0,M727*INDEX(Products!$I$5:$I$204,T727)))</f>
        <v/>
      </c>
      <c r="X727" s="11">
        <f>IF(J727="","",IF(T727="",0,S727*INDEX(Products!$H$5:$H$204,T727)))</f>
        <v/>
      </c>
      <c r="Y727" s="11">
        <f>IF(J727="","",S727-V727-W727-X727)</f>
        <v/>
      </c>
    </row>
    <row r="728">
      <c r="A728" s="19" t="n"/>
      <c r="B728" s="19" t="n"/>
      <c r="C728" s="19" t="n"/>
      <c r="D728" s="19" t="n"/>
      <c r="E728" s="19" t="n"/>
      <c r="F728" s="20" t="n"/>
      <c r="G728" s="20" t="n"/>
      <c r="H728" s="20" t="n"/>
      <c r="I728" s="19" t="n"/>
      <c r="J728">
        <f>IFERROR(IF(C728="","",C728)&amp;"","")</f>
        <v/>
      </c>
      <c r="K728">
        <f>IFERROR(IF(D728="","",D728)&amp;"","")</f>
        <v/>
      </c>
      <c r="L728">
        <f>IFERROR(IF(I728="","",I728)&amp;"","")</f>
        <v/>
      </c>
      <c r="M728">
        <f>IF(J728="","",IFERROR(VALUE(SUBSTITUTE(SUBSTITUTE(IF(E728="","",E728)&amp;"","$",""),",","")),0))</f>
        <v/>
      </c>
      <c r="N728" s="11">
        <f>IF(J728="","",IFERROR(VALUE(SUBSTITUTE(SUBSTITUTE(IF(F728="","",F728)&amp;"","$",""),",","")),0))</f>
        <v/>
      </c>
      <c r="O728" s="11">
        <f>IF(J728="","",M728*N728)</f>
        <v/>
      </c>
      <c r="P728">
        <f>IF(J728="","",IF(L728="",1,COUNTIF($L$2:$L$1501,L728)))</f>
        <v/>
      </c>
      <c r="Q728" s="11">
        <f>IF(J728="","",IFERROR(VALUE(SUBSTITUTE(SUBSTITUTE(IF(G728="","",G728)&amp;"","$",""),",","")),0)/IF("No"="Yes",P728,1))</f>
        <v/>
      </c>
      <c r="R728" s="11">
        <f>IF(J728="","",IFERROR(VALUE(SUBSTITUTE(SUBSTITUTE(IF(H728="","",H728)&amp;"","$",""),",","")),0)/IF("No"="Yes",P728,1))</f>
        <v/>
      </c>
      <c r="S728" s="11">
        <f>IF(J728="","",O728+Q728-R728)</f>
        <v/>
      </c>
      <c r="T728">
        <f>IF(J728="","",IFERROR(IF(K728="",NA(),MATCH(K728,Products!$B$5:$B$204,0)),IFERROR(MATCH(J728,Products!$A$5:$A$204,0),"")))</f>
        <v/>
      </c>
      <c r="U728">
        <f>IF(J728="","",IF(T728="","⚠ not in Products",INDEX(Products!$A$5:$A$204,T728)))</f>
        <v/>
      </c>
      <c r="V728" s="11">
        <f>IF(J728="","",S728*(IFERROR(INDEX(Settings!$B$5:$B$9,MATCH($B728,Settings!$A$5:$A$9,0)),0)+IFERROR(INDEX(Settings!$E$5:$E$9,MATCH($B728,Settings!$A$5:$A$9,0)),0)+IFERROR(INDEX(Settings!$G$5:$G$9,MATCH($B728,Settings!$A$5:$A$9,0)),0))+(IFERROR(INDEX(Settings!$C$5:$C$9,MATCH($B728,Settings!$A$5:$A$9,0)),0)+IFERROR(INDEX(Settings!$F$5:$F$9,MATCH($B728,Settings!$A$5:$A$9,0)),0))/P728+IFERROR(INDEX(Settings!$D$5:$D$9,MATCH($B728,Settings!$A$5:$A$9,0)),0)*M728)</f>
        <v/>
      </c>
      <c r="W728" s="11">
        <f>IF(J728="","",IF(T728="",0,M728*INDEX(Products!$I$5:$I$204,T728)))</f>
        <v/>
      </c>
      <c r="X728" s="11">
        <f>IF(J728="","",IF(T728="",0,S728*INDEX(Products!$H$5:$H$204,T728)))</f>
        <v/>
      </c>
      <c r="Y728" s="11">
        <f>IF(J728="","",S728-V728-W728-X728)</f>
        <v/>
      </c>
    </row>
    <row r="729">
      <c r="A729" s="19" t="n"/>
      <c r="B729" s="19" t="n"/>
      <c r="C729" s="19" t="n"/>
      <c r="D729" s="19" t="n"/>
      <c r="E729" s="19" t="n"/>
      <c r="F729" s="20" t="n"/>
      <c r="G729" s="20" t="n"/>
      <c r="H729" s="20" t="n"/>
      <c r="I729" s="19" t="n"/>
      <c r="J729">
        <f>IFERROR(IF(C729="","",C729)&amp;"","")</f>
        <v/>
      </c>
      <c r="K729">
        <f>IFERROR(IF(D729="","",D729)&amp;"","")</f>
        <v/>
      </c>
      <c r="L729">
        <f>IFERROR(IF(I729="","",I729)&amp;"","")</f>
        <v/>
      </c>
      <c r="M729">
        <f>IF(J729="","",IFERROR(VALUE(SUBSTITUTE(SUBSTITUTE(IF(E729="","",E729)&amp;"","$",""),",","")),0))</f>
        <v/>
      </c>
      <c r="N729" s="11">
        <f>IF(J729="","",IFERROR(VALUE(SUBSTITUTE(SUBSTITUTE(IF(F729="","",F729)&amp;"","$",""),",","")),0))</f>
        <v/>
      </c>
      <c r="O729" s="11">
        <f>IF(J729="","",M729*N729)</f>
        <v/>
      </c>
      <c r="P729">
        <f>IF(J729="","",IF(L729="",1,COUNTIF($L$2:$L$1501,L729)))</f>
        <v/>
      </c>
      <c r="Q729" s="11">
        <f>IF(J729="","",IFERROR(VALUE(SUBSTITUTE(SUBSTITUTE(IF(G729="","",G729)&amp;"","$",""),",","")),0)/IF("No"="Yes",P729,1))</f>
        <v/>
      </c>
      <c r="R729" s="11">
        <f>IF(J729="","",IFERROR(VALUE(SUBSTITUTE(SUBSTITUTE(IF(H729="","",H729)&amp;"","$",""),",","")),0)/IF("No"="Yes",P729,1))</f>
        <v/>
      </c>
      <c r="S729" s="11">
        <f>IF(J729="","",O729+Q729-R729)</f>
        <v/>
      </c>
      <c r="T729">
        <f>IF(J729="","",IFERROR(IF(K729="",NA(),MATCH(K729,Products!$B$5:$B$204,0)),IFERROR(MATCH(J729,Products!$A$5:$A$204,0),"")))</f>
        <v/>
      </c>
      <c r="U729">
        <f>IF(J729="","",IF(T729="","⚠ not in Products",INDEX(Products!$A$5:$A$204,T729)))</f>
        <v/>
      </c>
      <c r="V729" s="11">
        <f>IF(J729="","",S729*(IFERROR(INDEX(Settings!$B$5:$B$9,MATCH($B729,Settings!$A$5:$A$9,0)),0)+IFERROR(INDEX(Settings!$E$5:$E$9,MATCH($B729,Settings!$A$5:$A$9,0)),0)+IFERROR(INDEX(Settings!$G$5:$G$9,MATCH($B729,Settings!$A$5:$A$9,0)),0))+(IFERROR(INDEX(Settings!$C$5:$C$9,MATCH($B729,Settings!$A$5:$A$9,0)),0)+IFERROR(INDEX(Settings!$F$5:$F$9,MATCH($B729,Settings!$A$5:$A$9,0)),0))/P729+IFERROR(INDEX(Settings!$D$5:$D$9,MATCH($B729,Settings!$A$5:$A$9,0)),0)*M729)</f>
        <v/>
      </c>
      <c r="W729" s="11">
        <f>IF(J729="","",IF(T729="",0,M729*INDEX(Products!$I$5:$I$204,T729)))</f>
        <v/>
      </c>
      <c r="X729" s="11">
        <f>IF(J729="","",IF(T729="",0,S729*INDEX(Products!$H$5:$H$204,T729)))</f>
        <v/>
      </c>
      <c r="Y729" s="11">
        <f>IF(J729="","",S729-V729-W729-X729)</f>
        <v/>
      </c>
    </row>
    <row r="730">
      <c r="A730" s="19" t="n"/>
      <c r="B730" s="19" t="n"/>
      <c r="C730" s="19" t="n"/>
      <c r="D730" s="19" t="n"/>
      <c r="E730" s="19" t="n"/>
      <c r="F730" s="20" t="n"/>
      <c r="G730" s="20" t="n"/>
      <c r="H730" s="20" t="n"/>
      <c r="I730" s="19" t="n"/>
      <c r="J730">
        <f>IFERROR(IF(C730="","",C730)&amp;"","")</f>
        <v/>
      </c>
      <c r="K730">
        <f>IFERROR(IF(D730="","",D730)&amp;"","")</f>
        <v/>
      </c>
      <c r="L730">
        <f>IFERROR(IF(I730="","",I730)&amp;"","")</f>
        <v/>
      </c>
      <c r="M730">
        <f>IF(J730="","",IFERROR(VALUE(SUBSTITUTE(SUBSTITUTE(IF(E730="","",E730)&amp;"","$",""),",","")),0))</f>
        <v/>
      </c>
      <c r="N730" s="11">
        <f>IF(J730="","",IFERROR(VALUE(SUBSTITUTE(SUBSTITUTE(IF(F730="","",F730)&amp;"","$",""),",","")),0))</f>
        <v/>
      </c>
      <c r="O730" s="11">
        <f>IF(J730="","",M730*N730)</f>
        <v/>
      </c>
      <c r="P730">
        <f>IF(J730="","",IF(L730="",1,COUNTIF($L$2:$L$1501,L730)))</f>
        <v/>
      </c>
      <c r="Q730" s="11">
        <f>IF(J730="","",IFERROR(VALUE(SUBSTITUTE(SUBSTITUTE(IF(G730="","",G730)&amp;"","$",""),",","")),0)/IF("No"="Yes",P730,1))</f>
        <v/>
      </c>
      <c r="R730" s="11">
        <f>IF(J730="","",IFERROR(VALUE(SUBSTITUTE(SUBSTITUTE(IF(H730="","",H730)&amp;"","$",""),",","")),0)/IF("No"="Yes",P730,1))</f>
        <v/>
      </c>
      <c r="S730" s="11">
        <f>IF(J730="","",O730+Q730-R730)</f>
        <v/>
      </c>
      <c r="T730">
        <f>IF(J730="","",IFERROR(IF(K730="",NA(),MATCH(K730,Products!$B$5:$B$204,0)),IFERROR(MATCH(J730,Products!$A$5:$A$204,0),"")))</f>
        <v/>
      </c>
      <c r="U730">
        <f>IF(J730="","",IF(T730="","⚠ not in Products",INDEX(Products!$A$5:$A$204,T730)))</f>
        <v/>
      </c>
      <c r="V730" s="11">
        <f>IF(J730="","",S730*(IFERROR(INDEX(Settings!$B$5:$B$9,MATCH($B730,Settings!$A$5:$A$9,0)),0)+IFERROR(INDEX(Settings!$E$5:$E$9,MATCH($B730,Settings!$A$5:$A$9,0)),0)+IFERROR(INDEX(Settings!$G$5:$G$9,MATCH($B730,Settings!$A$5:$A$9,0)),0))+(IFERROR(INDEX(Settings!$C$5:$C$9,MATCH($B730,Settings!$A$5:$A$9,0)),0)+IFERROR(INDEX(Settings!$F$5:$F$9,MATCH($B730,Settings!$A$5:$A$9,0)),0))/P730+IFERROR(INDEX(Settings!$D$5:$D$9,MATCH($B730,Settings!$A$5:$A$9,0)),0)*M730)</f>
        <v/>
      </c>
      <c r="W730" s="11">
        <f>IF(J730="","",IF(T730="",0,M730*INDEX(Products!$I$5:$I$204,T730)))</f>
        <v/>
      </c>
      <c r="X730" s="11">
        <f>IF(J730="","",IF(T730="",0,S730*INDEX(Products!$H$5:$H$204,T730)))</f>
        <v/>
      </c>
      <c r="Y730" s="11">
        <f>IF(J730="","",S730-V730-W730-X730)</f>
        <v/>
      </c>
    </row>
    <row r="731">
      <c r="A731" s="19" t="n"/>
      <c r="B731" s="19" t="n"/>
      <c r="C731" s="19" t="n"/>
      <c r="D731" s="19" t="n"/>
      <c r="E731" s="19" t="n"/>
      <c r="F731" s="20" t="n"/>
      <c r="G731" s="20" t="n"/>
      <c r="H731" s="20" t="n"/>
      <c r="I731" s="19" t="n"/>
      <c r="J731">
        <f>IFERROR(IF(C731="","",C731)&amp;"","")</f>
        <v/>
      </c>
      <c r="K731">
        <f>IFERROR(IF(D731="","",D731)&amp;"","")</f>
        <v/>
      </c>
      <c r="L731">
        <f>IFERROR(IF(I731="","",I731)&amp;"","")</f>
        <v/>
      </c>
      <c r="M731">
        <f>IF(J731="","",IFERROR(VALUE(SUBSTITUTE(SUBSTITUTE(IF(E731="","",E731)&amp;"","$",""),",","")),0))</f>
        <v/>
      </c>
      <c r="N731" s="11">
        <f>IF(J731="","",IFERROR(VALUE(SUBSTITUTE(SUBSTITUTE(IF(F731="","",F731)&amp;"","$",""),",","")),0))</f>
        <v/>
      </c>
      <c r="O731" s="11">
        <f>IF(J731="","",M731*N731)</f>
        <v/>
      </c>
      <c r="P731">
        <f>IF(J731="","",IF(L731="",1,COUNTIF($L$2:$L$1501,L731)))</f>
        <v/>
      </c>
      <c r="Q731" s="11">
        <f>IF(J731="","",IFERROR(VALUE(SUBSTITUTE(SUBSTITUTE(IF(G731="","",G731)&amp;"","$",""),",","")),0)/IF("No"="Yes",P731,1))</f>
        <v/>
      </c>
      <c r="R731" s="11">
        <f>IF(J731="","",IFERROR(VALUE(SUBSTITUTE(SUBSTITUTE(IF(H731="","",H731)&amp;"","$",""),",","")),0)/IF("No"="Yes",P731,1))</f>
        <v/>
      </c>
      <c r="S731" s="11">
        <f>IF(J731="","",O731+Q731-R731)</f>
        <v/>
      </c>
      <c r="T731">
        <f>IF(J731="","",IFERROR(IF(K731="",NA(),MATCH(K731,Products!$B$5:$B$204,0)),IFERROR(MATCH(J731,Products!$A$5:$A$204,0),"")))</f>
        <v/>
      </c>
      <c r="U731">
        <f>IF(J731="","",IF(T731="","⚠ not in Products",INDEX(Products!$A$5:$A$204,T731)))</f>
        <v/>
      </c>
      <c r="V731" s="11">
        <f>IF(J731="","",S731*(IFERROR(INDEX(Settings!$B$5:$B$9,MATCH($B731,Settings!$A$5:$A$9,0)),0)+IFERROR(INDEX(Settings!$E$5:$E$9,MATCH($B731,Settings!$A$5:$A$9,0)),0)+IFERROR(INDEX(Settings!$G$5:$G$9,MATCH($B731,Settings!$A$5:$A$9,0)),0))+(IFERROR(INDEX(Settings!$C$5:$C$9,MATCH($B731,Settings!$A$5:$A$9,0)),0)+IFERROR(INDEX(Settings!$F$5:$F$9,MATCH($B731,Settings!$A$5:$A$9,0)),0))/P731+IFERROR(INDEX(Settings!$D$5:$D$9,MATCH($B731,Settings!$A$5:$A$9,0)),0)*M731)</f>
        <v/>
      </c>
      <c r="W731" s="11">
        <f>IF(J731="","",IF(T731="",0,M731*INDEX(Products!$I$5:$I$204,T731)))</f>
        <v/>
      </c>
      <c r="X731" s="11">
        <f>IF(J731="","",IF(T731="",0,S731*INDEX(Products!$H$5:$H$204,T731)))</f>
        <v/>
      </c>
      <c r="Y731" s="11">
        <f>IF(J731="","",S731-V731-W731-X731)</f>
        <v/>
      </c>
    </row>
    <row r="732">
      <c r="A732" s="19" t="n"/>
      <c r="B732" s="19" t="n"/>
      <c r="C732" s="19" t="n"/>
      <c r="D732" s="19" t="n"/>
      <c r="E732" s="19" t="n"/>
      <c r="F732" s="20" t="n"/>
      <c r="G732" s="20" t="n"/>
      <c r="H732" s="20" t="n"/>
      <c r="I732" s="19" t="n"/>
      <c r="J732">
        <f>IFERROR(IF(C732="","",C732)&amp;"","")</f>
        <v/>
      </c>
      <c r="K732">
        <f>IFERROR(IF(D732="","",D732)&amp;"","")</f>
        <v/>
      </c>
      <c r="L732">
        <f>IFERROR(IF(I732="","",I732)&amp;"","")</f>
        <v/>
      </c>
      <c r="M732">
        <f>IF(J732="","",IFERROR(VALUE(SUBSTITUTE(SUBSTITUTE(IF(E732="","",E732)&amp;"","$",""),",","")),0))</f>
        <v/>
      </c>
      <c r="N732" s="11">
        <f>IF(J732="","",IFERROR(VALUE(SUBSTITUTE(SUBSTITUTE(IF(F732="","",F732)&amp;"","$",""),",","")),0))</f>
        <v/>
      </c>
      <c r="O732" s="11">
        <f>IF(J732="","",M732*N732)</f>
        <v/>
      </c>
      <c r="P732">
        <f>IF(J732="","",IF(L732="",1,COUNTIF($L$2:$L$1501,L732)))</f>
        <v/>
      </c>
      <c r="Q732" s="11">
        <f>IF(J732="","",IFERROR(VALUE(SUBSTITUTE(SUBSTITUTE(IF(G732="","",G732)&amp;"","$",""),",","")),0)/IF("No"="Yes",P732,1))</f>
        <v/>
      </c>
      <c r="R732" s="11">
        <f>IF(J732="","",IFERROR(VALUE(SUBSTITUTE(SUBSTITUTE(IF(H732="","",H732)&amp;"","$",""),",","")),0)/IF("No"="Yes",P732,1))</f>
        <v/>
      </c>
      <c r="S732" s="11">
        <f>IF(J732="","",O732+Q732-R732)</f>
        <v/>
      </c>
      <c r="T732">
        <f>IF(J732="","",IFERROR(IF(K732="",NA(),MATCH(K732,Products!$B$5:$B$204,0)),IFERROR(MATCH(J732,Products!$A$5:$A$204,0),"")))</f>
        <v/>
      </c>
      <c r="U732">
        <f>IF(J732="","",IF(T732="","⚠ not in Products",INDEX(Products!$A$5:$A$204,T732)))</f>
        <v/>
      </c>
      <c r="V732" s="11">
        <f>IF(J732="","",S732*(IFERROR(INDEX(Settings!$B$5:$B$9,MATCH($B732,Settings!$A$5:$A$9,0)),0)+IFERROR(INDEX(Settings!$E$5:$E$9,MATCH($B732,Settings!$A$5:$A$9,0)),0)+IFERROR(INDEX(Settings!$G$5:$G$9,MATCH($B732,Settings!$A$5:$A$9,0)),0))+(IFERROR(INDEX(Settings!$C$5:$C$9,MATCH($B732,Settings!$A$5:$A$9,0)),0)+IFERROR(INDEX(Settings!$F$5:$F$9,MATCH($B732,Settings!$A$5:$A$9,0)),0))/P732+IFERROR(INDEX(Settings!$D$5:$D$9,MATCH($B732,Settings!$A$5:$A$9,0)),0)*M732)</f>
        <v/>
      </c>
      <c r="W732" s="11">
        <f>IF(J732="","",IF(T732="",0,M732*INDEX(Products!$I$5:$I$204,T732)))</f>
        <v/>
      </c>
      <c r="X732" s="11">
        <f>IF(J732="","",IF(T732="",0,S732*INDEX(Products!$H$5:$H$204,T732)))</f>
        <v/>
      </c>
      <c r="Y732" s="11">
        <f>IF(J732="","",S732-V732-W732-X732)</f>
        <v/>
      </c>
    </row>
    <row r="733">
      <c r="A733" s="19" t="n"/>
      <c r="B733" s="19" t="n"/>
      <c r="C733" s="19" t="n"/>
      <c r="D733" s="19" t="n"/>
      <c r="E733" s="19" t="n"/>
      <c r="F733" s="20" t="n"/>
      <c r="G733" s="20" t="n"/>
      <c r="H733" s="20" t="n"/>
      <c r="I733" s="19" t="n"/>
      <c r="J733">
        <f>IFERROR(IF(C733="","",C733)&amp;"","")</f>
        <v/>
      </c>
      <c r="K733">
        <f>IFERROR(IF(D733="","",D733)&amp;"","")</f>
        <v/>
      </c>
      <c r="L733">
        <f>IFERROR(IF(I733="","",I733)&amp;"","")</f>
        <v/>
      </c>
      <c r="M733">
        <f>IF(J733="","",IFERROR(VALUE(SUBSTITUTE(SUBSTITUTE(IF(E733="","",E733)&amp;"","$",""),",","")),0))</f>
        <v/>
      </c>
      <c r="N733" s="11">
        <f>IF(J733="","",IFERROR(VALUE(SUBSTITUTE(SUBSTITUTE(IF(F733="","",F733)&amp;"","$",""),",","")),0))</f>
        <v/>
      </c>
      <c r="O733" s="11">
        <f>IF(J733="","",M733*N733)</f>
        <v/>
      </c>
      <c r="P733">
        <f>IF(J733="","",IF(L733="",1,COUNTIF($L$2:$L$1501,L733)))</f>
        <v/>
      </c>
      <c r="Q733" s="11">
        <f>IF(J733="","",IFERROR(VALUE(SUBSTITUTE(SUBSTITUTE(IF(G733="","",G733)&amp;"","$",""),",","")),0)/IF("No"="Yes",P733,1))</f>
        <v/>
      </c>
      <c r="R733" s="11">
        <f>IF(J733="","",IFERROR(VALUE(SUBSTITUTE(SUBSTITUTE(IF(H733="","",H733)&amp;"","$",""),",","")),0)/IF("No"="Yes",P733,1))</f>
        <v/>
      </c>
      <c r="S733" s="11">
        <f>IF(J733="","",O733+Q733-R733)</f>
        <v/>
      </c>
      <c r="T733">
        <f>IF(J733="","",IFERROR(IF(K733="",NA(),MATCH(K733,Products!$B$5:$B$204,0)),IFERROR(MATCH(J733,Products!$A$5:$A$204,0),"")))</f>
        <v/>
      </c>
      <c r="U733">
        <f>IF(J733="","",IF(T733="","⚠ not in Products",INDEX(Products!$A$5:$A$204,T733)))</f>
        <v/>
      </c>
      <c r="V733" s="11">
        <f>IF(J733="","",S733*(IFERROR(INDEX(Settings!$B$5:$B$9,MATCH($B733,Settings!$A$5:$A$9,0)),0)+IFERROR(INDEX(Settings!$E$5:$E$9,MATCH($B733,Settings!$A$5:$A$9,0)),0)+IFERROR(INDEX(Settings!$G$5:$G$9,MATCH($B733,Settings!$A$5:$A$9,0)),0))+(IFERROR(INDEX(Settings!$C$5:$C$9,MATCH($B733,Settings!$A$5:$A$9,0)),0)+IFERROR(INDEX(Settings!$F$5:$F$9,MATCH($B733,Settings!$A$5:$A$9,0)),0))/P733+IFERROR(INDEX(Settings!$D$5:$D$9,MATCH($B733,Settings!$A$5:$A$9,0)),0)*M733)</f>
        <v/>
      </c>
      <c r="W733" s="11">
        <f>IF(J733="","",IF(T733="",0,M733*INDEX(Products!$I$5:$I$204,T733)))</f>
        <v/>
      </c>
      <c r="X733" s="11">
        <f>IF(J733="","",IF(T733="",0,S733*INDEX(Products!$H$5:$H$204,T733)))</f>
        <v/>
      </c>
      <c r="Y733" s="11">
        <f>IF(J733="","",S733-V733-W733-X733)</f>
        <v/>
      </c>
    </row>
    <row r="734">
      <c r="A734" s="19" t="n"/>
      <c r="B734" s="19" t="n"/>
      <c r="C734" s="19" t="n"/>
      <c r="D734" s="19" t="n"/>
      <c r="E734" s="19" t="n"/>
      <c r="F734" s="20" t="n"/>
      <c r="G734" s="20" t="n"/>
      <c r="H734" s="20" t="n"/>
      <c r="I734" s="19" t="n"/>
      <c r="J734">
        <f>IFERROR(IF(C734="","",C734)&amp;"","")</f>
        <v/>
      </c>
      <c r="K734">
        <f>IFERROR(IF(D734="","",D734)&amp;"","")</f>
        <v/>
      </c>
      <c r="L734">
        <f>IFERROR(IF(I734="","",I734)&amp;"","")</f>
        <v/>
      </c>
      <c r="M734">
        <f>IF(J734="","",IFERROR(VALUE(SUBSTITUTE(SUBSTITUTE(IF(E734="","",E734)&amp;"","$",""),",","")),0))</f>
        <v/>
      </c>
      <c r="N734" s="11">
        <f>IF(J734="","",IFERROR(VALUE(SUBSTITUTE(SUBSTITUTE(IF(F734="","",F734)&amp;"","$",""),",","")),0))</f>
        <v/>
      </c>
      <c r="O734" s="11">
        <f>IF(J734="","",M734*N734)</f>
        <v/>
      </c>
      <c r="P734">
        <f>IF(J734="","",IF(L734="",1,COUNTIF($L$2:$L$1501,L734)))</f>
        <v/>
      </c>
      <c r="Q734" s="11">
        <f>IF(J734="","",IFERROR(VALUE(SUBSTITUTE(SUBSTITUTE(IF(G734="","",G734)&amp;"","$",""),",","")),0)/IF("No"="Yes",P734,1))</f>
        <v/>
      </c>
      <c r="R734" s="11">
        <f>IF(J734="","",IFERROR(VALUE(SUBSTITUTE(SUBSTITUTE(IF(H734="","",H734)&amp;"","$",""),",","")),0)/IF("No"="Yes",P734,1))</f>
        <v/>
      </c>
      <c r="S734" s="11">
        <f>IF(J734="","",O734+Q734-R734)</f>
        <v/>
      </c>
      <c r="T734">
        <f>IF(J734="","",IFERROR(IF(K734="",NA(),MATCH(K734,Products!$B$5:$B$204,0)),IFERROR(MATCH(J734,Products!$A$5:$A$204,0),"")))</f>
        <v/>
      </c>
      <c r="U734">
        <f>IF(J734="","",IF(T734="","⚠ not in Products",INDEX(Products!$A$5:$A$204,T734)))</f>
        <v/>
      </c>
      <c r="V734" s="11">
        <f>IF(J734="","",S734*(IFERROR(INDEX(Settings!$B$5:$B$9,MATCH($B734,Settings!$A$5:$A$9,0)),0)+IFERROR(INDEX(Settings!$E$5:$E$9,MATCH($B734,Settings!$A$5:$A$9,0)),0)+IFERROR(INDEX(Settings!$G$5:$G$9,MATCH($B734,Settings!$A$5:$A$9,0)),0))+(IFERROR(INDEX(Settings!$C$5:$C$9,MATCH($B734,Settings!$A$5:$A$9,0)),0)+IFERROR(INDEX(Settings!$F$5:$F$9,MATCH($B734,Settings!$A$5:$A$9,0)),0))/P734+IFERROR(INDEX(Settings!$D$5:$D$9,MATCH($B734,Settings!$A$5:$A$9,0)),0)*M734)</f>
        <v/>
      </c>
      <c r="W734" s="11">
        <f>IF(J734="","",IF(T734="",0,M734*INDEX(Products!$I$5:$I$204,T734)))</f>
        <v/>
      </c>
      <c r="X734" s="11">
        <f>IF(J734="","",IF(T734="",0,S734*INDEX(Products!$H$5:$H$204,T734)))</f>
        <v/>
      </c>
      <c r="Y734" s="11">
        <f>IF(J734="","",S734-V734-W734-X734)</f>
        <v/>
      </c>
    </row>
    <row r="735">
      <c r="A735" s="19" t="n"/>
      <c r="B735" s="19" t="n"/>
      <c r="C735" s="19" t="n"/>
      <c r="D735" s="19" t="n"/>
      <c r="E735" s="19" t="n"/>
      <c r="F735" s="20" t="n"/>
      <c r="G735" s="20" t="n"/>
      <c r="H735" s="20" t="n"/>
      <c r="I735" s="19" t="n"/>
      <c r="J735">
        <f>IFERROR(IF(C735="","",C735)&amp;"","")</f>
        <v/>
      </c>
      <c r="K735">
        <f>IFERROR(IF(D735="","",D735)&amp;"","")</f>
        <v/>
      </c>
      <c r="L735">
        <f>IFERROR(IF(I735="","",I735)&amp;"","")</f>
        <v/>
      </c>
      <c r="M735">
        <f>IF(J735="","",IFERROR(VALUE(SUBSTITUTE(SUBSTITUTE(IF(E735="","",E735)&amp;"","$",""),",","")),0))</f>
        <v/>
      </c>
      <c r="N735" s="11">
        <f>IF(J735="","",IFERROR(VALUE(SUBSTITUTE(SUBSTITUTE(IF(F735="","",F735)&amp;"","$",""),",","")),0))</f>
        <v/>
      </c>
      <c r="O735" s="11">
        <f>IF(J735="","",M735*N735)</f>
        <v/>
      </c>
      <c r="P735">
        <f>IF(J735="","",IF(L735="",1,COUNTIF($L$2:$L$1501,L735)))</f>
        <v/>
      </c>
      <c r="Q735" s="11">
        <f>IF(J735="","",IFERROR(VALUE(SUBSTITUTE(SUBSTITUTE(IF(G735="","",G735)&amp;"","$",""),",","")),0)/IF("No"="Yes",P735,1))</f>
        <v/>
      </c>
      <c r="R735" s="11">
        <f>IF(J735="","",IFERROR(VALUE(SUBSTITUTE(SUBSTITUTE(IF(H735="","",H735)&amp;"","$",""),",","")),0)/IF("No"="Yes",P735,1))</f>
        <v/>
      </c>
      <c r="S735" s="11">
        <f>IF(J735="","",O735+Q735-R735)</f>
        <v/>
      </c>
      <c r="T735">
        <f>IF(J735="","",IFERROR(IF(K735="",NA(),MATCH(K735,Products!$B$5:$B$204,0)),IFERROR(MATCH(J735,Products!$A$5:$A$204,0),"")))</f>
        <v/>
      </c>
      <c r="U735">
        <f>IF(J735="","",IF(T735="","⚠ not in Products",INDEX(Products!$A$5:$A$204,T735)))</f>
        <v/>
      </c>
      <c r="V735" s="11">
        <f>IF(J735="","",S735*(IFERROR(INDEX(Settings!$B$5:$B$9,MATCH($B735,Settings!$A$5:$A$9,0)),0)+IFERROR(INDEX(Settings!$E$5:$E$9,MATCH($B735,Settings!$A$5:$A$9,0)),0)+IFERROR(INDEX(Settings!$G$5:$G$9,MATCH($B735,Settings!$A$5:$A$9,0)),0))+(IFERROR(INDEX(Settings!$C$5:$C$9,MATCH($B735,Settings!$A$5:$A$9,0)),0)+IFERROR(INDEX(Settings!$F$5:$F$9,MATCH($B735,Settings!$A$5:$A$9,0)),0))/P735+IFERROR(INDEX(Settings!$D$5:$D$9,MATCH($B735,Settings!$A$5:$A$9,0)),0)*M735)</f>
        <v/>
      </c>
      <c r="W735" s="11">
        <f>IF(J735="","",IF(T735="",0,M735*INDEX(Products!$I$5:$I$204,T735)))</f>
        <v/>
      </c>
      <c r="X735" s="11">
        <f>IF(J735="","",IF(T735="",0,S735*INDEX(Products!$H$5:$H$204,T735)))</f>
        <v/>
      </c>
      <c r="Y735" s="11">
        <f>IF(J735="","",S735-V735-W735-X735)</f>
        <v/>
      </c>
    </row>
    <row r="736">
      <c r="A736" s="19" t="n"/>
      <c r="B736" s="19" t="n"/>
      <c r="C736" s="19" t="n"/>
      <c r="D736" s="19" t="n"/>
      <c r="E736" s="19" t="n"/>
      <c r="F736" s="20" t="n"/>
      <c r="G736" s="20" t="n"/>
      <c r="H736" s="20" t="n"/>
      <c r="I736" s="19" t="n"/>
      <c r="J736">
        <f>IFERROR(IF(C736="","",C736)&amp;"","")</f>
        <v/>
      </c>
      <c r="K736">
        <f>IFERROR(IF(D736="","",D736)&amp;"","")</f>
        <v/>
      </c>
      <c r="L736">
        <f>IFERROR(IF(I736="","",I736)&amp;"","")</f>
        <v/>
      </c>
      <c r="M736">
        <f>IF(J736="","",IFERROR(VALUE(SUBSTITUTE(SUBSTITUTE(IF(E736="","",E736)&amp;"","$",""),",","")),0))</f>
        <v/>
      </c>
      <c r="N736" s="11">
        <f>IF(J736="","",IFERROR(VALUE(SUBSTITUTE(SUBSTITUTE(IF(F736="","",F736)&amp;"","$",""),",","")),0))</f>
        <v/>
      </c>
      <c r="O736" s="11">
        <f>IF(J736="","",M736*N736)</f>
        <v/>
      </c>
      <c r="P736">
        <f>IF(J736="","",IF(L736="",1,COUNTIF($L$2:$L$1501,L736)))</f>
        <v/>
      </c>
      <c r="Q736" s="11">
        <f>IF(J736="","",IFERROR(VALUE(SUBSTITUTE(SUBSTITUTE(IF(G736="","",G736)&amp;"","$",""),",","")),0)/IF("No"="Yes",P736,1))</f>
        <v/>
      </c>
      <c r="R736" s="11">
        <f>IF(J736="","",IFERROR(VALUE(SUBSTITUTE(SUBSTITUTE(IF(H736="","",H736)&amp;"","$",""),",","")),0)/IF("No"="Yes",P736,1))</f>
        <v/>
      </c>
      <c r="S736" s="11">
        <f>IF(J736="","",O736+Q736-R736)</f>
        <v/>
      </c>
      <c r="T736">
        <f>IF(J736="","",IFERROR(IF(K736="",NA(),MATCH(K736,Products!$B$5:$B$204,0)),IFERROR(MATCH(J736,Products!$A$5:$A$204,0),"")))</f>
        <v/>
      </c>
      <c r="U736">
        <f>IF(J736="","",IF(T736="","⚠ not in Products",INDEX(Products!$A$5:$A$204,T736)))</f>
        <v/>
      </c>
      <c r="V736" s="11">
        <f>IF(J736="","",S736*(IFERROR(INDEX(Settings!$B$5:$B$9,MATCH($B736,Settings!$A$5:$A$9,0)),0)+IFERROR(INDEX(Settings!$E$5:$E$9,MATCH($B736,Settings!$A$5:$A$9,0)),0)+IFERROR(INDEX(Settings!$G$5:$G$9,MATCH($B736,Settings!$A$5:$A$9,0)),0))+(IFERROR(INDEX(Settings!$C$5:$C$9,MATCH($B736,Settings!$A$5:$A$9,0)),0)+IFERROR(INDEX(Settings!$F$5:$F$9,MATCH($B736,Settings!$A$5:$A$9,0)),0))/P736+IFERROR(INDEX(Settings!$D$5:$D$9,MATCH($B736,Settings!$A$5:$A$9,0)),0)*M736)</f>
        <v/>
      </c>
      <c r="W736" s="11">
        <f>IF(J736="","",IF(T736="",0,M736*INDEX(Products!$I$5:$I$204,T736)))</f>
        <v/>
      </c>
      <c r="X736" s="11">
        <f>IF(J736="","",IF(T736="",0,S736*INDEX(Products!$H$5:$H$204,T736)))</f>
        <v/>
      </c>
      <c r="Y736" s="11">
        <f>IF(J736="","",S736-V736-W736-X736)</f>
        <v/>
      </c>
    </row>
    <row r="737">
      <c r="A737" s="19" t="n"/>
      <c r="B737" s="19" t="n"/>
      <c r="C737" s="19" t="n"/>
      <c r="D737" s="19" t="n"/>
      <c r="E737" s="19" t="n"/>
      <c r="F737" s="20" t="n"/>
      <c r="G737" s="20" t="n"/>
      <c r="H737" s="20" t="n"/>
      <c r="I737" s="19" t="n"/>
      <c r="J737">
        <f>IFERROR(IF(C737="","",C737)&amp;"","")</f>
        <v/>
      </c>
      <c r="K737">
        <f>IFERROR(IF(D737="","",D737)&amp;"","")</f>
        <v/>
      </c>
      <c r="L737">
        <f>IFERROR(IF(I737="","",I737)&amp;"","")</f>
        <v/>
      </c>
      <c r="M737">
        <f>IF(J737="","",IFERROR(VALUE(SUBSTITUTE(SUBSTITUTE(IF(E737="","",E737)&amp;"","$",""),",","")),0))</f>
        <v/>
      </c>
      <c r="N737" s="11">
        <f>IF(J737="","",IFERROR(VALUE(SUBSTITUTE(SUBSTITUTE(IF(F737="","",F737)&amp;"","$",""),",","")),0))</f>
        <v/>
      </c>
      <c r="O737" s="11">
        <f>IF(J737="","",M737*N737)</f>
        <v/>
      </c>
      <c r="P737">
        <f>IF(J737="","",IF(L737="",1,COUNTIF($L$2:$L$1501,L737)))</f>
        <v/>
      </c>
      <c r="Q737" s="11">
        <f>IF(J737="","",IFERROR(VALUE(SUBSTITUTE(SUBSTITUTE(IF(G737="","",G737)&amp;"","$",""),",","")),0)/IF("No"="Yes",P737,1))</f>
        <v/>
      </c>
      <c r="R737" s="11">
        <f>IF(J737="","",IFERROR(VALUE(SUBSTITUTE(SUBSTITUTE(IF(H737="","",H737)&amp;"","$",""),",","")),0)/IF("No"="Yes",P737,1))</f>
        <v/>
      </c>
      <c r="S737" s="11">
        <f>IF(J737="","",O737+Q737-R737)</f>
        <v/>
      </c>
      <c r="T737">
        <f>IF(J737="","",IFERROR(IF(K737="",NA(),MATCH(K737,Products!$B$5:$B$204,0)),IFERROR(MATCH(J737,Products!$A$5:$A$204,0),"")))</f>
        <v/>
      </c>
      <c r="U737">
        <f>IF(J737="","",IF(T737="","⚠ not in Products",INDEX(Products!$A$5:$A$204,T737)))</f>
        <v/>
      </c>
      <c r="V737" s="11">
        <f>IF(J737="","",S737*(IFERROR(INDEX(Settings!$B$5:$B$9,MATCH($B737,Settings!$A$5:$A$9,0)),0)+IFERROR(INDEX(Settings!$E$5:$E$9,MATCH($B737,Settings!$A$5:$A$9,0)),0)+IFERROR(INDEX(Settings!$G$5:$G$9,MATCH($B737,Settings!$A$5:$A$9,0)),0))+(IFERROR(INDEX(Settings!$C$5:$C$9,MATCH($B737,Settings!$A$5:$A$9,0)),0)+IFERROR(INDEX(Settings!$F$5:$F$9,MATCH($B737,Settings!$A$5:$A$9,0)),0))/P737+IFERROR(INDEX(Settings!$D$5:$D$9,MATCH($B737,Settings!$A$5:$A$9,0)),0)*M737)</f>
        <v/>
      </c>
      <c r="W737" s="11">
        <f>IF(J737="","",IF(T737="",0,M737*INDEX(Products!$I$5:$I$204,T737)))</f>
        <v/>
      </c>
      <c r="X737" s="11">
        <f>IF(J737="","",IF(T737="",0,S737*INDEX(Products!$H$5:$H$204,T737)))</f>
        <v/>
      </c>
      <c r="Y737" s="11">
        <f>IF(J737="","",S737-V737-W737-X737)</f>
        <v/>
      </c>
    </row>
    <row r="738">
      <c r="A738" s="19" t="n"/>
      <c r="B738" s="19" t="n"/>
      <c r="C738" s="19" t="n"/>
      <c r="D738" s="19" t="n"/>
      <c r="E738" s="19" t="n"/>
      <c r="F738" s="20" t="n"/>
      <c r="G738" s="20" t="n"/>
      <c r="H738" s="20" t="n"/>
      <c r="I738" s="19" t="n"/>
      <c r="J738">
        <f>IFERROR(IF(C738="","",C738)&amp;"","")</f>
        <v/>
      </c>
      <c r="K738">
        <f>IFERROR(IF(D738="","",D738)&amp;"","")</f>
        <v/>
      </c>
      <c r="L738">
        <f>IFERROR(IF(I738="","",I738)&amp;"","")</f>
        <v/>
      </c>
      <c r="M738">
        <f>IF(J738="","",IFERROR(VALUE(SUBSTITUTE(SUBSTITUTE(IF(E738="","",E738)&amp;"","$",""),",","")),0))</f>
        <v/>
      </c>
      <c r="N738" s="11">
        <f>IF(J738="","",IFERROR(VALUE(SUBSTITUTE(SUBSTITUTE(IF(F738="","",F738)&amp;"","$",""),",","")),0))</f>
        <v/>
      </c>
      <c r="O738" s="11">
        <f>IF(J738="","",M738*N738)</f>
        <v/>
      </c>
      <c r="P738">
        <f>IF(J738="","",IF(L738="",1,COUNTIF($L$2:$L$1501,L738)))</f>
        <v/>
      </c>
      <c r="Q738" s="11">
        <f>IF(J738="","",IFERROR(VALUE(SUBSTITUTE(SUBSTITUTE(IF(G738="","",G738)&amp;"","$",""),",","")),0)/IF("No"="Yes",P738,1))</f>
        <v/>
      </c>
      <c r="R738" s="11">
        <f>IF(J738="","",IFERROR(VALUE(SUBSTITUTE(SUBSTITUTE(IF(H738="","",H738)&amp;"","$",""),",","")),0)/IF("No"="Yes",P738,1))</f>
        <v/>
      </c>
      <c r="S738" s="11">
        <f>IF(J738="","",O738+Q738-R738)</f>
        <v/>
      </c>
      <c r="T738">
        <f>IF(J738="","",IFERROR(IF(K738="",NA(),MATCH(K738,Products!$B$5:$B$204,0)),IFERROR(MATCH(J738,Products!$A$5:$A$204,0),"")))</f>
        <v/>
      </c>
      <c r="U738">
        <f>IF(J738="","",IF(T738="","⚠ not in Products",INDEX(Products!$A$5:$A$204,T738)))</f>
        <v/>
      </c>
      <c r="V738" s="11">
        <f>IF(J738="","",S738*(IFERROR(INDEX(Settings!$B$5:$B$9,MATCH($B738,Settings!$A$5:$A$9,0)),0)+IFERROR(INDEX(Settings!$E$5:$E$9,MATCH($B738,Settings!$A$5:$A$9,0)),0)+IFERROR(INDEX(Settings!$G$5:$G$9,MATCH($B738,Settings!$A$5:$A$9,0)),0))+(IFERROR(INDEX(Settings!$C$5:$C$9,MATCH($B738,Settings!$A$5:$A$9,0)),0)+IFERROR(INDEX(Settings!$F$5:$F$9,MATCH($B738,Settings!$A$5:$A$9,0)),0))/P738+IFERROR(INDEX(Settings!$D$5:$D$9,MATCH($B738,Settings!$A$5:$A$9,0)),0)*M738)</f>
        <v/>
      </c>
      <c r="W738" s="11">
        <f>IF(J738="","",IF(T738="",0,M738*INDEX(Products!$I$5:$I$204,T738)))</f>
        <v/>
      </c>
      <c r="X738" s="11">
        <f>IF(J738="","",IF(T738="",0,S738*INDEX(Products!$H$5:$H$204,T738)))</f>
        <v/>
      </c>
      <c r="Y738" s="11">
        <f>IF(J738="","",S738-V738-W738-X738)</f>
        <v/>
      </c>
    </row>
    <row r="739">
      <c r="A739" s="19" t="n"/>
      <c r="B739" s="19" t="n"/>
      <c r="C739" s="19" t="n"/>
      <c r="D739" s="19" t="n"/>
      <c r="E739" s="19" t="n"/>
      <c r="F739" s="20" t="n"/>
      <c r="G739" s="20" t="n"/>
      <c r="H739" s="20" t="n"/>
      <c r="I739" s="19" t="n"/>
      <c r="J739">
        <f>IFERROR(IF(C739="","",C739)&amp;"","")</f>
        <v/>
      </c>
      <c r="K739">
        <f>IFERROR(IF(D739="","",D739)&amp;"","")</f>
        <v/>
      </c>
      <c r="L739">
        <f>IFERROR(IF(I739="","",I739)&amp;"","")</f>
        <v/>
      </c>
      <c r="M739">
        <f>IF(J739="","",IFERROR(VALUE(SUBSTITUTE(SUBSTITUTE(IF(E739="","",E739)&amp;"","$",""),",","")),0))</f>
        <v/>
      </c>
      <c r="N739" s="11">
        <f>IF(J739="","",IFERROR(VALUE(SUBSTITUTE(SUBSTITUTE(IF(F739="","",F739)&amp;"","$",""),",","")),0))</f>
        <v/>
      </c>
      <c r="O739" s="11">
        <f>IF(J739="","",M739*N739)</f>
        <v/>
      </c>
      <c r="P739">
        <f>IF(J739="","",IF(L739="",1,COUNTIF($L$2:$L$1501,L739)))</f>
        <v/>
      </c>
      <c r="Q739" s="11">
        <f>IF(J739="","",IFERROR(VALUE(SUBSTITUTE(SUBSTITUTE(IF(G739="","",G739)&amp;"","$",""),",","")),0)/IF("No"="Yes",P739,1))</f>
        <v/>
      </c>
      <c r="R739" s="11">
        <f>IF(J739="","",IFERROR(VALUE(SUBSTITUTE(SUBSTITUTE(IF(H739="","",H739)&amp;"","$",""),",","")),0)/IF("No"="Yes",P739,1))</f>
        <v/>
      </c>
      <c r="S739" s="11">
        <f>IF(J739="","",O739+Q739-R739)</f>
        <v/>
      </c>
      <c r="T739">
        <f>IF(J739="","",IFERROR(IF(K739="",NA(),MATCH(K739,Products!$B$5:$B$204,0)),IFERROR(MATCH(J739,Products!$A$5:$A$204,0),"")))</f>
        <v/>
      </c>
      <c r="U739">
        <f>IF(J739="","",IF(T739="","⚠ not in Products",INDEX(Products!$A$5:$A$204,T739)))</f>
        <v/>
      </c>
      <c r="V739" s="11">
        <f>IF(J739="","",S739*(IFERROR(INDEX(Settings!$B$5:$B$9,MATCH($B739,Settings!$A$5:$A$9,0)),0)+IFERROR(INDEX(Settings!$E$5:$E$9,MATCH($B739,Settings!$A$5:$A$9,0)),0)+IFERROR(INDEX(Settings!$G$5:$G$9,MATCH($B739,Settings!$A$5:$A$9,0)),0))+(IFERROR(INDEX(Settings!$C$5:$C$9,MATCH($B739,Settings!$A$5:$A$9,0)),0)+IFERROR(INDEX(Settings!$F$5:$F$9,MATCH($B739,Settings!$A$5:$A$9,0)),0))/P739+IFERROR(INDEX(Settings!$D$5:$D$9,MATCH($B739,Settings!$A$5:$A$9,0)),0)*M739)</f>
        <v/>
      </c>
      <c r="W739" s="11">
        <f>IF(J739="","",IF(T739="",0,M739*INDEX(Products!$I$5:$I$204,T739)))</f>
        <v/>
      </c>
      <c r="X739" s="11">
        <f>IF(J739="","",IF(T739="",0,S739*INDEX(Products!$H$5:$H$204,T739)))</f>
        <v/>
      </c>
      <c r="Y739" s="11">
        <f>IF(J739="","",S739-V739-W739-X739)</f>
        <v/>
      </c>
    </row>
    <row r="740">
      <c r="A740" s="19" t="n"/>
      <c r="B740" s="19" t="n"/>
      <c r="C740" s="19" t="n"/>
      <c r="D740" s="19" t="n"/>
      <c r="E740" s="19" t="n"/>
      <c r="F740" s="20" t="n"/>
      <c r="G740" s="20" t="n"/>
      <c r="H740" s="20" t="n"/>
      <c r="I740" s="19" t="n"/>
      <c r="J740">
        <f>IFERROR(IF(C740="","",C740)&amp;"","")</f>
        <v/>
      </c>
      <c r="K740">
        <f>IFERROR(IF(D740="","",D740)&amp;"","")</f>
        <v/>
      </c>
      <c r="L740">
        <f>IFERROR(IF(I740="","",I740)&amp;"","")</f>
        <v/>
      </c>
      <c r="M740">
        <f>IF(J740="","",IFERROR(VALUE(SUBSTITUTE(SUBSTITUTE(IF(E740="","",E740)&amp;"","$",""),",","")),0))</f>
        <v/>
      </c>
      <c r="N740" s="11">
        <f>IF(J740="","",IFERROR(VALUE(SUBSTITUTE(SUBSTITUTE(IF(F740="","",F740)&amp;"","$",""),",","")),0))</f>
        <v/>
      </c>
      <c r="O740" s="11">
        <f>IF(J740="","",M740*N740)</f>
        <v/>
      </c>
      <c r="P740">
        <f>IF(J740="","",IF(L740="",1,COUNTIF($L$2:$L$1501,L740)))</f>
        <v/>
      </c>
      <c r="Q740" s="11">
        <f>IF(J740="","",IFERROR(VALUE(SUBSTITUTE(SUBSTITUTE(IF(G740="","",G740)&amp;"","$",""),",","")),0)/IF("No"="Yes",P740,1))</f>
        <v/>
      </c>
      <c r="R740" s="11">
        <f>IF(J740="","",IFERROR(VALUE(SUBSTITUTE(SUBSTITUTE(IF(H740="","",H740)&amp;"","$",""),",","")),0)/IF("No"="Yes",P740,1))</f>
        <v/>
      </c>
      <c r="S740" s="11">
        <f>IF(J740="","",O740+Q740-R740)</f>
        <v/>
      </c>
      <c r="T740">
        <f>IF(J740="","",IFERROR(IF(K740="",NA(),MATCH(K740,Products!$B$5:$B$204,0)),IFERROR(MATCH(J740,Products!$A$5:$A$204,0),"")))</f>
        <v/>
      </c>
      <c r="U740">
        <f>IF(J740="","",IF(T740="","⚠ not in Products",INDEX(Products!$A$5:$A$204,T740)))</f>
        <v/>
      </c>
      <c r="V740" s="11">
        <f>IF(J740="","",S740*(IFERROR(INDEX(Settings!$B$5:$B$9,MATCH($B740,Settings!$A$5:$A$9,0)),0)+IFERROR(INDEX(Settings!$E$5:$E$9,MATCH($B740,Settings!$A$5:$A$9,0)),0)+IFERROR(INDEX(Settings!$G$5:$G$9,MATCH($B740,Settings!$A$5:$A$9,0)),0))+(IFERROR(INDEX(Settings!$C$5:$C$9,MATCH($B740,Settings!$A$5:$A$9,0)),0)+IFERROR(INDEX(Settings!$F$5:$F$9,MATCH($B740,Settings!$A$5:$A$9,0)),0))/P740+IFERROR(INDEX(Settings!$D$5:$D$9,MATCH($B740,Settings!$A$5:$A$9,0)),0)*M740)</f>
        <v/>
      </c>
      <c r="W740" s="11">
        <f>IF(J740="","",IF(T740="",0,M740*INDEX(Products!$I$5:$I$204,T740)))</f>
        <v/>
      </c>
      <c r="X740" s="11">
        <f>IF(J740="","",IF(T740="",0,S740*INDEX(Products!$H$5:$H$204,T740)))</f>
        <v/>
      </c>
      <c r="Y740" s="11">
        <f>IF(J740="","",S740-V740-W740-X740)</f>
        <v/>
      </c>
    </row>
    <row r="741">
      <c r="A741" s="19" t="n"/>
      <c r="B741" s="19" t="n"/>
      <c r="C741" s="19" t="n"/>
      <c r="D741" s="19" t="n"/>
      <c r="E741" s="19" t="n"/>
      <c r="F741" s="20" t="n"/>
      <c r="G741" s="20" t="n"/>
      <c r="H741" s="20" t="n"/>
      <c r="I741" s="19" t="n"/>
      <c r="J741">
        <f>IFERROR(IF(C741="","",C741)&amp;"","")</f>
        <v/>
      </c>
      <c r="K741">
        <f>IFERROR(IF(D741="","",D741)&amp;"","")</f>
        <v/>
      </c>
      <c r="L741">
        <f>IFERROR(IF(I741="","",I741)&amp;"","")</f>
        <v/>
      </c>
      <c r="M741">
        <f>IF(J741="","",IFERROR(VALUE(SUBSTITUTE(SUBSTITUTE(IF(E741="","",E741)&amp;"","$",""),",","")),0))</f>
        <v/>
      </c>
      <c r="N741" s="11">
        <f>IF(J741="","",IFERROR(VALUE(SUBSTITUTE(SUBSTITUTE(IF(F741="","",F741)&amp;"","$",""),",","")),0))</f>
        <v/>
      </c>
      <c r="O741" s="11">
        <f>IF(J741="","",M741*N741)</f>
        <v/>
      </c>
      <c r="P741">
        <f>IF(J741="","",IF(L741="",1,COUNTIF($L$2:$L$1501,L741)))</f>
        <v/>
      </c>
      <c r="Q741" s="11">
        <f>IF(J741="","",IFERROR(VALUE(SUBSTITUTE(SUBSTITUTE(IF(G741="","",G741)&amp;"","$",""),",","")),0)/IF("No"="Yes",P741,1))</f>
        <v/>
      </c>
      <c r="R741" s="11">
        <f>IF(J741="","",IFERROR(VALUE(SUBSTITUTE(SUBSTITUTE(IF(H741="","",H741)&amp;"","$",""),",","")),0)/IF("No"="Yes",P741,1))</f>
        <v/>
      </c>
      <c r="S741" s="11">
        <f>IF(J741="","",O741+Q741-R741)</f>
        <v/>
      </c>
      <c r="T741">
        <f>IF(J741="","",IFERROR(IF(K741="",NA(),MATCH(K741,Products!$B$5:$B$204,0)),IFERROR(MATCH(J741,Products!$A$5:$A$204,0),"")))</f>
        <v/>
      </c>
      <c r="U741">
        <f>IF(J741="","",IF(T741="","⚠ not in Products",INDEX(Products!$A$5:$A$204,T741)))</f>
        <v/>
      </c>
      <c r="V741" s="11">
        <f>IF(J741="","",S741*(IFERROR(INDEX(Settings!$B$5:$B$9,MATCH($B741,Settings!$A$5:$A$9,0)),0)+IFERROR(INDEX(Settings!$E$5:$E$9,MATCH($B741,Settings!$A$5:$A$9,0)),0)+IFERROR(INDEX(Settings!$G$5:$G$9,MATCH($B741,Settings!$A$5:$A$9,0)),0))+(IFERROR(INDEX(Settings!$C$5:$C$9,MATCH($B741,Settings!$A$5:$A$9,0)),0)+IFERROR(INDEX(Settings!$F$5:$F$9,MATCH($B741,Settings!$A$5:$A$9,0)),0))/P741+IFERROR(INDEX(Settings!$D$5:$D$9,MATCH($B741,Settings!$A$5:$A$9,0)),0)*M741)</f>
        <v/>
      </c>
      <c r="W741" s="11">
        <f>IF(J741="","",IF(T741="",0,M741*INDEX(Products!$I$5:$I$204,T741)))</f>
        <v/>
      </c>
      <c r="X741" s="11">
        <f>IF(J741="","",IF(T741="",0,S741*INDEX(Products!$H$5:$H$204,T741)))</f>
        <v/>
      </c>
      <c r="Y741" s="11">
        <f>IF(J741="","",S741-V741-W741-X741)</f>
        <v/>
      </c>
    </row>
    <row r="742">
      <c r="A742" s="19" t="n"/>
      <c r="B742" s="19" t="n"/>
      <c r="C742" s="19" t="n"/>
      <c r="D742" s="19" t="n"/>
      <c r="E742" s="19" t="n"/>
      <c r="F742" s="20" t="n"/>
      <c r="G742" s="20" t="n"/>
      <c r="H742" s="20" t="n"/>
      <c r="I742" s="19" t="n"/>
      <c r="J742">
        <f>IFERROR(IF(C742="","",C742)&amp;"","")</f>
        <v/>
      </c>
      <c r="K742">
        <f>IFERROR(IF(D742="","",D742)&amp;"","")</f>
        <v/>
      </c>
      <c r="L742">
        <f>IFERROR(IF(I742="","",I742)&amp;"","")</f>
        <v/>
      </c>
      <c r="M742">
        <f>IF(J742="","",IFERROR(VALUE(SUBSTITUTE(SUBSTITUTE(IF(E742="","",E742)&amp;"","$",""),",","")),0))</f>
        <v/>
      </c>
      <c r="N742" s="11">
        <f>IF(J742="","",IFERROR(VALUE(SUBSTITUTE(SUBSTITUTE(IF(F742="","",F742)&amp;"","$",""),",","")),0))</f>
        <v/>
      </c>
      <c r="O742" s="11">
        <f>IF(J742="","",M742*N742)</f>
        <v/>
      </c>
      <c r="P742">
        <f>IF(J742="","",IF(L742="",1,COUNTIF($L$2:$L$1501,L742)))</f>
        <v/>
      </c>
      <c r="Q742" s="11">
        <f>IF(J742="","",IFERROR(VALUE(SUBSTITUTE(SUBSTITUTE(IF(G742="","",G742)&amp;"","$",""),",","")),0)/IF("No"="Yes",P742,1))</f>
        <v/>
      </c>
      <c r="R742" s="11">
        <f>IF(J742="","",IFERROR(VALUE(SUBSTITUTE(SUBSTITUTE(IF(H742="","",H742)&amp;"","$",""),",","")),0)/IF("No"="Yes",P742,1))</f>
        <v/>
      </c>
      <c r="S742" s="11">
        <f>IF(J742="","",O742+Q742-R742)</f>
        <v/>
      </c>
      <c r="T742">
        <f>IF(J742="","",IFERROR(IF(K742="",NA(),MATCH(K742,Products!$B$5:$B$204,0)),IFERROR(MATCH(J742,Products!$A$5:$A$204,0),"")))</f>
        <v/>
      </c>
      <c r="U742">
        <f>IF(J742="","",IF(T742="","⚠ not in Products",INDEX(Products!$A$5:$A$204,T742)))</f>
        <v/>
      </c>
      <c r="V742" s="11">
        <f>IF(J742="","",S742*(IFERROR(INDEX(Settings!$B$5:$B$9,MATCH($B742,Settings!$A$5:$A$9,0)),0)+IFERROR(INDEX(Settings!$E$5:$E$9,MATCH($B742,Settings!$A$5:$A$9,0)),0)+IFERROR(INDEX(Settings!$G$5:$G$9,MATCH($B742,Settings!$A$5:$A$9,0)),0))+(IFERROR(INDEX(Settings!$C$5:$C$9,MATCH($B742,Settings!$A$5:$A$9,0)),0)+IFERROR(INDEX(Settings!$F$5:$F$9,MATCH($B742,Settings!$A$5:$A$9,0)),0))/P742+IFERROR(INDEX(Settings!$D$5:$D$9,MATCH($B742,Settings!$A$5:$A$9,0)),0)*M742)</f>
        <v/>
      </c>
      <c r="W742" s="11">
        <f>IF(J742="","",IF(T742="",0,M742*INDEX(Products!$I$5:$I$204,T742)))</f>
        <v/>
      </c>
      <c r="X742" s="11">
        <f>IF(J742="","",IF(T742="",0,S742*INDEX(Products!$H$5:$H$204,T742)))</f>
        <v/>
      </c>
      <c r="Y742" s="11">
        <f>IF(J742="","",S742-V742-W742-X742)</f>
        <v/>
      </c>
    </row>
    <row r="743">
      <c r="A743" s="19" t="n"/>
      <c r="B743" s="19" t="n"/>
      <c r="C743" s="19" t="n"/>
      <c r="D743" s="19" t="n"/>
      <c r="E743" s="19" t="n"/>
      <c r="F743" s="20" t="n"/>
      <c r="G743" s="20" t="n"/>
      <c r="H743" s="20" t="n"/>
      <c r="I743" s="19" t="n"/>
      <c r="J743">
        <f>IFERROR(IF(C743="","",C743)&amp;"","")</f>
        <v/>
      </c>
      <c r="K743">
        <f>IFERROR(IF(D743="","",D743)&amp;"","")</f>
        <v/>
      </c>
      <c r="L743">
        <f>IFERROR(IF(I743="","",I743)&amp;"","")</f>
        <v/>
      </c>
      <c r="M743">
        <f>IF(J743="","",IFERROR(VALUE(SUBSTITUTE(SUBSTITUTE(IF(E743="","",E743)&amp;"","$",""),",","")),0))</f>
        <v/>
      </c>
      <c r="N743" s="11">
        <f>IF(J743="","",IFERROR(VALUE(SUBSTITUTE(SUBSTITUTE(IF(F743="","",F743)&amp;"","$",""),",","")),0))</f>
        <v/>
      </c>
      <c r="O743" s="11">
        <f>IF(J743="","",M743*N743)</f>
        <v/>
      </c>
      <c r="P743">
        <f>IF(J743="","",IF(L743="",1,COUNTIF($L$2:$L$1501,L743)))</f>
        <v/>
      </c>
      <c r="Q743" s="11">
        <f>IF(J743="","",IFERROR(VALUE(SUBSTITUTE(SUBSTITUTE(IF(G743="","",G743)&amp;"","$",""),",","")),0)/IF("No"="Yes",P743,1))</f>
        <v/>
      </c>
      <c r="R743" s="11">
        <f>IF(J743="","",IFERROR(VALUE(SUBSTITUTE(SUBSTITUTE(IF(H743="","",H743)&amp;"","$",""),",","")),0)/IF("No"="Yes",P743,1))</f>
        <v/>
      </c>
      <c r="S743" s="11">
        <f>IF(J743="","",O743+Q743-R743)</f>
        <v/>
      </c>
      <c r="T743">
        <f>IF(J743="","",IFERROR(IF(K743="",NA(),MATCH(K743,Products!$B$5:$B$204,0)),IFERROR(MATCH(J743,Products!$A$5:$A$204,0),"")))</f>
        <v/>
      </c>
      <c r="U743">
        <f>IF(J743="","",IF(T743="","⚠ not in Products",INDEX(Products!$A$5:$A$204,T743)))</f>
        <v/>
      </c>
      <c r="V743" s="11">
        <f>IF(J743="","",S743*(IFERROR(INDEX(Settings!$B$5:$B$9,MATCH($B743,Settings!$A$5:$A$9,0)),0)+IFERROR(INDEX(Settings!$E$5:$E$9,MATCH($B743,Settings!$A$5:$A$9,0)),0)+IFERROR(INDEX(Settings!$G$5:$G$9,MATCH($B743,Settings!$A$5:$A$9,0)),0))+(IFERROR(INDEX(Settings!$C$5:$C$9,MATCH($B743,Settings!$A$5:$A$9,0)),0)+IFERROR(INDEX(Settings!$F$5:$F$9,MATCH($B743,Settings!$A$5:$A$9,0)),0))/P743+IFERROR(INDEX(Settings!$D$5:$D$9,MATCH($B743,Settings!$A$5:$A$9,0)),0)*M743)</f>
        <v/>
      </c>
      <c r="W743" s="11">
        <f>IF(J743="","",IF(T743="",0,M743*INDEX(Products!$I$5:$I$204,T743)))</f>
        <v/>
      </c>
      <c r="X743" s="11">
        <f>IF(J743="","",IF(T743="",0,S743*INDEX(Products!$H$5:$H$204,T743)))</f>
        <v/>
      </c>
      <c r="Y743" s="11">
        <f>IF(J743="","",S743-V743-W743-X743)</f>
        <v/>
      </c>
    </row>
    <row r="744">
      <c r="A744" s="19" t="n"/>
      <c r="B744" s="19" t="n"/>
      <c r="C744" s="19" t="n"/>
      <c r="D744" s="19" t="n"/>
      <c r="E744" s="19" t="n"/>
      <c r="F744" s="20" t="n"/>
      <c r="G744" s="20" t="n"/>
      <c r="H744" s="20" t="n"/>
      <c r="I744" s="19" t="n"/>
      <c r="J744">
        <f>IFERROR(IF(C744="","",C744)&amp;"","")</f>
        <v/>
      </c>
      <c r="K744">
        <f>IFERROR(IF(D744="","",D744)&amp;"","")</f>
        <v/>
      </c>
      <c r="L744">
        <f>IFERROR(IF(I744="","",I744)&amp;"","")</f>
        <v/>
      </c>
      <c r="M744">
        <f>IF(J744="","",IFERROR(VALUE(SUBSTITUTE(SUBSTITUTE(IF(E744="","",E744)&amp;"","$",""),",","")),0))</f>
        <v/>
      </c>
      <c r="N744" s="11">
        <f>IF(J744="","",IFERROR(VALUE(SUBSTITUTE(SUBSTITUTE(IF(F744="","",F744)&amp;"","$",""),",","")),0))</f>
        <v/>
      </c>
      <c r="O744" s="11">
        <f>IF(J744="","",M744*N744)</f>
        <v/>
      </c>
      <c r="P744">
        <f>IF(J744="","",IF(L744="",1,COUNTIF($L$2:$L$1501,L744)))</f>
        <v/>
      </c>
      <c r="Q744" s="11">
        <f>IF(J744="","",IFERROR(VALUE(SUBSTITUTE(SUBSTITUTE(IF(G744="","",G744)&amp;"","$",""),",","")),0)/IF("No"="Yes",P744,1))</f>
        <v/>
      </c>
      <c r="R744" s="11">
        <f>IF(J744="","",IFERROR(VALUE(SUBSTITUTE(SUBSTITUTE(IF(H744="","",H744)&amp;"","$",""),",","")),0)/IF("No"="Yes",P744,1))</f>
        <v/>
      </c>
      <c r="S744" s="11">
        <f>IF(J744="","",O744+Q744-R744)</f>
        <v/>
      </c>
      <c r="T744">
        <f>IF(J744="","",IFERROR(IF(K744="",NA(),MATCH(K744,Products!$B$5:$B$204,0)),IFERROR(MATCH(J744,Products!$A$5:$A$204,0),"")))</f>
        <v/>
      </c>
      <c r="U744">
        <f>IF(J744="","",IF(T744="","⚠ not in Products",INDEX(Products!$A$5:$A$204,T744)))</f>
        <v/>
      </c>
      <c r="V744" s="11">
        <f>IF(J744="","",S744*(IFERROR(INDEX(Settings!$B$5:$B$9,MATCH($B744,Settings!$A$5:$A$9,0)),0)+IFERROR(INDEX(Settings!$E$5:$E$9,MATCH($B744,Settings!$A$5:$A$9,0)),0)+IFERROR(INDEX(Settings!$G$5:$G$9,MATCH($B744,Settings!$A$5:$A$9,0)),0))+(IFERROR(INDEX(Settings!$C$5:$C$9,MATCH($B744,Settings!$A$5:$A$9,0)),0)+IFERROR(INDEX(Settings!$F$5:$F$9,MATCH($B744,Settings!$A$5:$A$9,0)),0))/P744+IFERROR(INDEX(Settings!$D$5:$D$9,MATCH($B744,Settings!$A$5:$A$9,0)),0)*M744)</f>
        <v/>
      </c>
      <c r="W744" s="11">
        <f>IF(J744="","",IF(T744="",0,M744*INDEX(Products!$I$5:$I$204,T744)))</f>
        <v/>
      </c>
      <c r="X744" s="11">
        <f>IF(J744="","",IF(T744="",0,S744*INDEX(Products!$H$5:$H$204,T744)))</f>
        <v/>
      </c>
      <c r="Y744" s="11">
        <f>IF(J744="","",S744-V744-W744-X744)</f>
        <v/>
      </c>
    </row>
    <row r="745">
      <c r="A745" s="19" t="n"/>
      <c r="B745" s="19" t="n"/>
      <c r="C745" s="19" t="n"/>
      <c r="D745" s="19" t="n"/>
      <c r="E745" s="19" t="n"/>
      <c r="F745" s="20" t="n"/>
      <c r="G745" s="20" t="n"/>
      <c r="H745" s="20" t="n"/>
      <c r="I745" s="19" t="n"/>
      <c r="J745">
        <f>IFERROR(IF(C745="","",C745)&amp;"","")</f>
        <v/>
      </c>
      <c r="K745">
        <f>IFERROR(IF(D745="","",D745)&amp;"","")</f>
        <v/>
      </c>
      <c r="L745">
        <f>IFERROR(IF(I745="","",I745)&amp;"","")</f>
        <v/>
      </c>
      <c r="M745">
        <f>IF(J745="","",IFERROR(VALUE(SUBSTITUTE(SUBSTITUTE(IF(E745="","",E745)&amp;"","$",""),",","")),0))</f>
        <v/>
      </c>
      <c r="N745" s="11">
        <f>IF(J745="","",IFERROR(VALUE(SUBSTITUTE(SUBSTITUTE(IF(F745="","",F745)&amp;"","$",""),",","")),0))</f>
        <v/>
      </c>
      <c r="O745" s="11">
        <f>IF(J745="","",M745*N745)</f>
        <v/>
      </c>
      <c r="P745">
        <f>IF(J745="","",IF(L745="",1,COUNTIF($L$2:$L$1501,L745)))</f>
        <v/>
      </c>
      <c r="Q745" s="11">
        <f>IF(J745="","",IFERROR(VALUE(SUBSTITUTE(SUBSTITUTE(IF(G745="","",G745)&amp;"","$",""),",","")),0)/IF("No"="Yes",P745,1))</f>
        <v/>
      </c>
      <c r="R745" s="11">
        <f>IF(J745="","",IFERROR(VALUE(SUBSTITUTE(SUBSTITUTE(IF(H745="","",H745)&amp;"","$",""),",","")),0)/IF("No"="Yes",P745,1))</f>
        <v/>
      </c>
      <c r="S745" s="11">
        <f>IF(J745="","",O745+Q745-R745)</f>
        <v/>
      </c>
      <c r="T745">
        <f>IF(J745="","",IFERROR(IF(K745="",NA(),MATCH(K745,Products!$B$5:$B$204,0)),IFERROR(MATCH(J745,Products!$A$5:$A$204,0),"")))</f>
        <v/>
      </c>
      <c r="U745">
        <f>IF(J745="","",IF(T745="","⚠ not in Products",INDEX(Products!$A$5:$A$204,T745)))</f>
        <v/>
      </c>
      <c r="V745" s="11">
        <f>IF(J745="","",S745*(IFERROR(INDEX(Settings!$B$5:$B$9,MATCH($B745,Settings!$A$5:$A$9,0)),0)+IFERROR(INDEX(Settings!$E$5:$E$9,MATCH($B745,Settings!$A$5:$A$9,0)),0)+IFERROR(INDEX(Settings!$G$5:$G$9,MATCH($B745,Settings!$A$5:$A$9,0)),0))+(IFERROR(INDEX(Settings!$C$5:$C$9,MATCH($B745,Settings!$A$5:$A$9,0)),0)+IFERROR(INDEX(Settings!$F$5:$F$9,MATCH($B745,Settings!$A$5:$A$9,0)),0))/P745+IFERROR(INDEX(Settings!$D$5:$D$9,MATCH($B745,Settings!$A$5:$A$9,0)),0)*M745)</f>
        <v/>
      </c>
      <c r="W745" s="11">
        <f>IF(J745="","",IF(T745="",0,M745*INDEX(Products!$I$5:$I$204,T745)))</f>
        <v/>
      </c>
      <c r="X745" s="11">
        <f>IF(J745="","",IF(T745="",0,S745*INDEX(Products!$H$5:$H$204,T745)))</f>
        <v/>
      </c>
      <c r="Y745" s="11">
        <f>IF(J745="","",S745-V745-W745-X745)</f>
        <v/>
      </c>
    </row>
    <row r="746">
      <c r="A746" s="19" t="n"/>
      <c r="B746" s="19" t="n"/>
      <c r="C746" s="19" t="n"/>
      <c r="D746" s="19" t="n"/>
      <c r="E746" s="19" t="n"/>
      <c r="F746" s="20" t="n"/>
      <c r="G746" s="20" t="n"/>
      <c r="H746" s="20" t="n"/>
      <c r="I746" s="19" t="n"/>
      <c r="J746">
        <f>IFERROR(IF(C746="","",C746)&amp;"","")</f>
        <v/>
      </c>
      <c r="K746">
        <f>IFERROR(IF(D746="","",D746)&amp;"","")</f>
        <v/>
      </c>
      <c r="L746">
        <f>IFERROR(IF(I746="","",I746)&amp;"","")</f>
        <v/>
      </c>
      <c r="M746">
        <f>IF(J746="","",IFERROR(VALUE(SUBSTITUTE(SUBSTITUTE(IF(E746="","",E746)&amp;"","$",""),",","")),0))</f>
        <v/>
      </c>
      <c r="N746" s="11">
        <f>IF(J746="","",IFERROR(VALUE(SUBSTITUTE(SUBSTITUTE(IF(F746="","",F746)&amp;"","$",""),",","")),0))</f>
        <v/>
      </c>
      <c r="O746" s="11">
        <f>IF(J746="","",M746*N746)</f>
        <v/>
      </c>
      <c r="P746">
        <f>IF(J746="","",IF(L746="",1,COUNTIF($L$2:$L$1501,L746)))</f>
        <v/>
      </c>
      <c r="Q746" s="11">
        <f>IF(J746="","",IFERROR(VALUE(SUBSTITUTE(SUBSTITUTE(IF(G746="","",G746)&amp;"","$",""),",","")),0)/IF("No"="Yes",P746,1))</f>
        <v/>
      </c>
      <c r="R746" s="11">
        <f>IF(J746="","",IFERROR(VALUE(SUBSTITUTE(SUBSTITUTE(IF(H746="","",H746)&amp;"","$",""),",","")),0)/IF("No"="Yes",P746,1))</f>
        <v/>
      </c>
      <c r="S746" s="11">
        <f>IF(J746="","",O746+Q746-R746)</f>
        <v/>
      </c>
      <c r="T746">
        <f>IF(J746="","",IFERROR(IF(K746="",NA(),MATCH(K746,Products!$B$5:$B$204,0)),IFERROR(MATCH(J746,Products!$A$5:$A$204,0),"")))</f>
        <v/>
      </c>
      <c r="U746">
        <f>IF(J746="","",IF(T746="","⚠ not in Products",INDEX(Products!$A$5:$A$204,T746)))</f>
        <v/>
      </c>
      <c r="V746" s="11">
        <f>IF(J746="","",S746*(IFERROR(INDEX(Settings!$B$5:$B$9,MATCH($B746,Settings!$A$5:$A$9,0)),0)+IFERROR(INDEX(Settings!$E$5:$E$9,MATCH($B746,Settings!$A$5:$A$9,0)),0)+IFERROR(INDEX(Settings!$G$5:$G$9,MATCH($B746,Settings!$A$5:$A$9,0)),0))+(IFERROR(INDEX(Settings!$C$5:$C$9,MATCH($B746,Settings!$A$5:$A$9,0)),0)+IFERROR(INDEX(Settings!$F$5:$F$9,MATCH($B746,Settings!$A$5:$A$9,0)),0))/P746+IFERROR(INDEX(Settings!$D$5:$D$9,MATCH($B746,Settings!$A$5:$A$9,0)),0)*M746)</f>
        <v/>
      </c>
      <c r="W746" s="11">
        <f>IF(J746="","",IF(T746="",0,M746*INDEX(Products!$I$5:$I$204,T746)))</f>
        <v/>
      </c>
      <c r="X746" s="11">
        <f>IF(J746="","",IF(T746="",0,S746*INDEX(Products!$H$5:$H$204,T746)))</f>
        <v/>
      </c>
      <c r="Y746" s="11">
        <f>IF(J746="","",S746-V746-W746-X746)</f>
        <v/>
      </c>
    </row>
    <row r="747">
      <c r="A747" s="19" t="n"/>
      <c r="B747" s="19" t="n"/>
      <c r="C747" s="19" t="n"/>
      <c r="D747" s="19" t="n"/>
      <c r="E747" s="19" t="n"/>
      <c r="F747" s="20" t="n"/>
      <c r="G747" s="20" t="n"/>
      <c r="H747" s="20" t="n"/>
      <c r="I747" s="19" t="n"/>
      <c r="J747">
        <f>IFERROR(IF(C747="","",C747)&amp;"","")</f>
        <v/>
      </c>
      <c r="K747">
        <f>IFERROR(IF(D747="","",D747)&amp;"","")</f>
        <v/>
      </c>
      <c r="L747">
        <f>IFERROR(IF(I747="","",I747)&amp;"","")</f>
        <v/>
      </c>
      <c r="M747">
        <f>IF(J747="","",IFERROR(VALUE(SUBSTITUTE(SUBSTITUTE(IF(E747="","",E747)&amp;"","$",""),",","")),0))</f>
        <v/>
      </c>
      <c r="N747" s="11">
        <f>IF(J747="","",IFERROR(VALUE(SUBSTITUTE(SUBSTITUTE(IF(F747="","",F747)&amp;"","$",""),",","")),0))</f>
        <v/>
      </c>
      <c r="O747" s="11">
        <f>IF(J747="","",M747*N747)</f>
        <v/>
      </c>
      <c r="P747">
        <f>IF(J747="","",IF(L747="",1,COUNTIF($L$2:$L$1501,L747)))</f>
        <v/>
      </c>
      <c r="Q747" s="11">
        <f>IF(J747="","",IFERROR(VALUE(SUBSTITUTE(SUBSTITUTE(IF(G747="","",G747)&amp;"","$",""),",","")),0)/IF("No"="Yes",P747,1))</f>
        <v/>
      </c>
      <c r="R747" s="11">
        <f>IF(J747="","",IFERROR(VALUE(SUBSTITUTE(SUBSTITUTE(IF(H747="","",H747)&amp;"","$",""),",","")),0)/IF("No"="Yes",P747,1))</f>
        <v/>
      </c>
      <c r="S747" s="11">
        <f>IF(J747="","",O747+Q747-R747)</f>
        <v/>
      </c>
      <c r="T747">
        <f>IF(J747="","",IFERROR(IF(K747="",NA(),MATCH(K747,Products!$B$5:$B$204,0)),IFERROR(MATCH(J747,Products!$A$5:$A$204,0),"")))</f>
        <v/>
      </c>
      <c r="U747">
        <f>IF(J747="","",IF(T747="","⚠ not in Products",INDEX(Products!$A$5:$A$204,T747)))</f>
        <v/>
      </c>
      <c r="V747" s="11">
        <f>IF(J747="","",S747*(IFERROR(INDEX(Settings!$B$5:$B$9,MATCH($B747,Settings!$A$5:$A$9,0)),0)+IFERROR(INDEX(Settings!$E$5:$E$9,MATCH($B747,Settings!$A$5:$A$9,0)),0)+IFERROR(INDEX(Settings!$G$5:$G$9,MATCH($B747,Settings!$A$5:$A$9,0)),0))+(IFERROR(INDEX(Settings!$C$5:$C$9,MATCH($B747,Settings!$A$5:$A$9,0)),0)+IFERROR(INDEX(Settings!$F$5:$F$9,MATCH($B747,Settings!$A$5:$A$9,0)),0))/P747+IFERROR(INDEX(Settings!$D$5:$D$9,MATCH($B747,Settings!$A$5:$A$9,0)),0)*M747)</f>
        <v/>
      </c>
      <c r="W747" s="11">
        <f>IF(J747="","",IF(T747="",0,M747*INDEX(Products!$I$5:$I$204,T747)))</f>
        <v/>
      </c>
      <c r="X747" s="11">
        <f>IF(J747="","",IF(T747="",0,S747*INDEX(Products!$H$5:$H$204,T747)))</f>
        <v/>
      </c>
      <c r="Y747" s="11">
        <f>IF(J747="","",S747-V747-W747-X747)</f>
        <v/>
      </c>
    </row>
    <row r="748">
      <c r="A748" s="19" t="n"/>
      <c r="B748" s="19" t="n"/>
      <c r="C748" s="19" t="n"/>
      <c r="D748" s="19" t="n"/>
      <c r="E748" s="19" t="n"/>
      <c r="F748" s="20" t="n"/>
      <c r="G748" s="20" t="n"/>
      <c r="H748" s="20" t="n"/>
      <c r="I748" s="19" t="n"/>
      <c r="J748">
        <f>IFERROR(IF(C748="","",C748)&amp;"","")</f>
        <v/>
      </c>
      <c r="K748">
        <f>IFERROR(IF(D748="","",D748)&amp;"","")</f>
        <v/>
      </c>
      <c r="L748">
        <f>IFERROR(IF(I748="","",I748)&amp;"","")</f>
        <v/>
      </c>
      <c r="M748">
        <f>IF(J748="","",IFERROR(VALUE(SUBSTITUTE(SUBSTITUTE(IF(E748="","",E748)&amp;"","$",""),",","")),0))</f>
        <v/>
      </c>
      <c r="N748" s="11">
        <f>IF(J748="","",IFERROR(VALUE(SUBSTITUTE(SUBSTITUTE(IF(F748="","",F748)&amp;"","$",""),",","")),0))</f>
        <v/>
      </c>
      <c r="O748" s="11">
        <f>IF(J748="","",M748*N748)</f>
        <v/>
      </c>
      <c r="P748">
        <f>IF(J748="","",IF(L748="",1,COUNTIF($L$2:$L$1501,L748)))</f>
        <v/>
      </c>
      <c r="Q748" s="11">
        <f>IF(J748="","",IFERROR(VALUE(SUBSTITUTE(SUBSTITUTE(IF(G748="","",G748)&amp;"","$",""),",","")),0)/IF("No"="Yes",P748,1))</f>
        <v/>
      </c>
      <c r="R748" s="11">
        <f>IF(J748="","",IFERROR(VALUE(SUBSTITUTE(SUBSTITUTE(IF(H748="","",H748)&amp;"","$",""),",","")),0)/IF("No"="Yes",P748,1))</f>
        <v/>
      </c>
      <c r="S748" s="11">
        <f>IF(J748="","",O748+Q748-R748)</f>
        <v/>
      </c>
      <c r="T748">
        <f>IF(J748="","",IFERROR(IF(K748="",NA(),MATCH(K748,Products!$B$5:$B$204,0)),IFERROR(MATCH(J748,Products!$A$5:$A$204,0),"")))</f>
        <v/>
      </c>
      <c r="U748">
        <f>IF(J748="","",IF(T748="","⚠ not in Products",INDEX(Products!$A$5:$A$204,T748)))</f>
        <v/>
      </c>
      <c r="V748" s="11">
        <f>IF(J748="","",S748*(IFERROR(INDEX(Settings!$B$5:$B$9,MATCH($B748,Settings!$A$5:$A$9,0)),0)+IFERROR(INDEX(Settings!$E$5:$E$9,MATCH($B748,Settings!$A$5:$A$9,0)),0)+IFERROR(INDEX(Settings!$G$5:$G$9,MATCH($B748,Settings!$A$5:$A$9,0)),0))+(IFERROR(INDEX(Settings!$C$5:$C$9,MATCH($B748,Settings!$A$5:$A$9,0)),0)+IFERROR(INDEX(Settings!$F$5:$F$9,MATCH($B748,Settings!$A$5:$A$9,0)),0))/P748+IFERROR(INDEX(Settings!$D$5:$D$9,MATCH($B748,Settings!$A$5:$A$9,0)),0)*M748)</f>
        <v/>
      </c>
      <c r="W748" s="11">
        <f>IF(J748="","",IF(T748="",0,M748*INDEX(Products!$I$5:$I$204,T748)))</f>
        <v/>
      </c>
      <c r="X748" s="11">
        <f>IF(J748="","",IF(T748="",0,S748*INDEX(Products!$H$5:$H$204,T748)))</f>
        <v/>
      </c>
      <c r="Y748" s="11">
        <f>IF(J748="","",S748-V748-W748-X748)</f>
        <v/>
      </c>
    </row>
    <row r="749">
      <c r="A749" s="19" t="n"/>
      <c r="B749" s="19" t="n"/>
      <c r="C749" s="19" t="n"/>
      <c r="D749" s="19" t="n"/>
      <c r="E749" s="19" t="n"/>
      <c r="F749" s="20" t="n"/>
      <c r="G749" s="20" t="n"/>
      <c r="H749" s="20" t="n"/>
      <c r="I749" s="19" t="n"/>
      <c r="J749">
        <f>IFERROR(IF(C749="","",C749)&amp;"","")</f>
        <v/>
      </c>
      <c r="K749">
        <f>IFERROR(IF(D749="","",D749)&amp;"","")</f>
        <v/>
      </c>
      <c r="L749">
        <f>IFERROR(IF(I749="","",I749)&amp;"","")</f>
        <v/>
      </c>
      <c r="M749">
        <f>IF(J749="","",IFERROR(VALUE(SUBSTITUTE(SUBSTITUTE(IF(E749="","",E749)&amp;"","$",""),",","")),0))</f>
        <v/>
      </c>
      <c r="N749" s="11">
        <f>IF(J749="","",IFERROR(VALUE(SUBSTITUTE(SUBSTITUTE(IF(F749="","",F749)&amp;"","$",""),",","")),0))</f>
        <v/>
      </c>
      <c r="O749" s="11">
        <f>IF(J749="","",M749*N749)</f>
        <v/>
      </c>
      <c r="P749">
        <f>IF(J749="","",IF(L749="",1,COUNTIF($L$2:$L$1501,L749)))</f>
        <v/>
      </c>
      <c r="Q749" s="11">
        <f>IF(J749="","",IFERROR(VALUE(SUBSTITUTE(SUBSTITUTE(IF(G749="","",G749)&amp;"","$",""),",","")),0)/IF("No"="Yes",P749,1))</f>
        <v/>
      </c>
      <c r="R749" s="11">
        <f>IF(J749="","",IFERROR(VALUE(SUBSTITUTE(SUBSTITUTE(IF(H749="","",H749)&amp;"","$",""),",","")),0)/IF("No"="Yes",P749,1))</f>
        <v/>
      </c>
      <c r="S749" s="11">
        <f>IF(J749="","",O749+Q749-R749)</f>
        <v/>
      </c>
      <c r="T749">
        <f>IF(J749="","",IFERROR(IF(K749="",NA(),MATCH(K749,Products!$B$5:$B$204,0)),IFERROR(MATCH(J749,Products!$A$5:$A$204,0),"")))</f>
        <v/>
      </c>
      <c r="U749">
        <f>IF(J749="","",IF(T749="","⚠ not in Products",INDEX(Products!$A$5:$A$204,T749)))</f>
        <v/>
      </c>
      <c r="V749" s="11">
        <f>IF(J749="","",S749*(IFERROR(INDEX(Settings!$B$5:$B$9,MATCH($B749,Settings!$A$5:$A$9,0)),0)+IFERROR(INDEX(Settings!$E$5:$E$9,MATCH($B749,Settings!$A$5:$A$9,0)),0)+IFERROR(INDEX(Settings!$G$5:$G$9,MATCH($B749,Settings!$A$5:$A$9,0)),0))+(IFERROR(INDEX(Settings!$C$5:$C$9,MATCH($B749,Settings!$A$5:$A$9,0)),0)+IFERROR(INDEX(Settings!$F$5:$F$9,MATCH($B749,Settings!$A$5:$A$9,0)),0))/P749+IFERROR(INDEX(Settings!$D$5:$D$9,MATCH($B749,Settings!$A$5:$A$9,0)),0)*M749)</f>
        <v/>
      </c>
      <c r="W749" s="11">
        <f>IF(J749="","",IF(T749="",0,M749*INDEX(Products!$I$5:$I$204,T749)))</f>
        <v/>
      </c>
      <c r="X749" s="11">
        <f>IF(J749="","",IF(T749="",0,S749*INDEX(Products!$H$5:$H$204,T749)))</f>
        <v/>
      </c>
      <c r="Y749" s="11">
        <f>IF(J749="","",S749-V749-W749-X749)</f>
        <v/>
      </c>
    </row>
    <row r="750">
      <c r="A750" s="19" t="n"/>
      <c r="B750" s="19" t="n"/>
      <c r="C750" s="19" t="n"/>
      <c r="D750" s="19" t="n"/>
      <c r="E750" s="19" t="n"/>
      <c r="F750" s="20" t="n"/>
      <c r="G750" s="20" t="n"/>
      <c r="H750" s="20" t="n"/>
      <c r="I750" s="19" t="n"/>
      <c r="J750">
        <f>IFERROR(IF(C750="","",C750)&amp;"","")</f>
        <v/>
      </c>
      <c r="K750">
        <f>IFERROR(IF(D750="","",D750)&amp;"","")</f>
        <v/>
      </c>
      <c r="L750">
        <f>IFERROR(IF(I750="","",I750)&amp;"","")</f>
        <v/>
      </c>
      <c r="M750">
        <f>IF(J750="","",IFERROR(VALUE(SUBSTITUTE(SUBSTITUTE(IF(E750="","",E750)&amp;"","$",""),",","")),0))</f>
        <v/>
      </c>
      <c r="N750" s="11">
        <f>IF(J750="","",IFERROR(VALUE(SUBSTITUTE(SUBSTITUTE(IF(F750="","",F750)&amp;"","$",""),",","")),0))</f>
        <v/>
      </c>
      <c r="O750" s="11">
        <f>IF(J750="","",M750*N750)</f>
        <v/>
      </c>
      <c r="P750">
        <f>IF(J750="","",IF(L750="",1,COUNTIF($L$2:$L$1501,L750)))</f>
        <v/>
      </c>
      <c r="Q750" s="11">
        <f>IF(J750="","",IFERROR(VALUE(SUBSTITUTE(SUBSTITUTE(IF(G750="","",G750)&amp;"","$",""),",","")),0)/IF("No"="Yes",P750,1))</f>
        <v/>
      </c>
      <c r="R750" s="11">
        <f>IF(J750="","",IFERROR(VALUE(SUBSTITUTE(SUBSTITUTE(IF(H750="","",H750)&amp;"","$",""),",","")),0)/IF("No"="Yes",P750,1))</f>
        <v/>
      </c>
      <c r="S750" s="11">
        <f>IF(J750="","",O750+Q750-R750)</f>
        <v/>
      </c>
      <c r="T750">
        <f>IF(J750="","",IFERROR(IF(K750="",NA(),MATCH(K750,Products!$B$5:$B$204,0)),IFERROR(MATCH(J750,Products!$A$5:$A$204,0),"")))</f>
        <v/>
      </c>
      <c r="U750">
        <f>IF(J750="","",IF(T750="","⚠ not in Products",INDEX(Products!$A$5:$A$204,T750)))</f>
        <v/>
      </c>
      <c r="V750" s="11">
        <f>IF(J750="","",S750*(IFERROR(INDEX(Settings!$B$5:$B$9,MATCH($B750,Settings!$A$5:$A$9,0)),0)+IFERROR(INDEX(Settings!$E$5:$E$9,MATCH($B750,Settings!$A$5:$A$9,0)),0)+IFERROR(INDEX(Settings!$G$5:$G$9,MATCH($B750,Settings!$A$5:$A$9,0)),0))+(IFERROR(INDEX(Settings!$C$5:$C$9,MATCH($B750,Settings!$A$5:$A$9,0)),0)+IFERROR(INDEX(Settings!$F$5:$F$9,MATCH($B750,Settings!$A$5:$A$9,0)),0))/P750+IFERROR(INDEX(Settings!$D$5:$D$9,MATCH($B750,Settings!$A$5:$A$9,0)),0)*M750)</f>
        <v/>
      </c>
      <c r="W750" s="11">
        <f>IF(J750="","",IF(T750="",0,M750*INDEX(Products!$I$5:$I$204,T750)))</f>
        <v/>
      </c>
      <c r="X750" s="11">
        <f>IF(J750="","",IF(T750="",0,S750*INDEX(Products!$H$5:$H$204,T750)))</f>
        <v/>
      </c>
      <c r="Y750" s="11">
        <f>IF(J750="","",S750-V750-W750-X750)</f>
        <v/>
      </c>
    </row>
    <row r="751">
      <c r="A751" s="19" t="n"/>
      <c r="B751" s="19" t="n"/>
      <c r="C751" s="19" t="n"/>
      <c r="D751" s="19" t="n"/>
      <c r="E751" s="19" t="n"/>
      <c r="F751" s="20" t="n"/>
      <c r="G751" s="20" t="n"/>
      <c r="H751" s="20" t="n"/>
      <c r="I751" s="19" t="n"/>
      <c r="J751">
        <f>IFERROR(IF(C751="","",C751)&amp;"","")</f>
        <v/>
      </c>
      <c r="K751">
        <f>IFERROR(IF(D751="","",D751)&amp;"","")</f>
        <v/>
      </c>
      <c r="L751">
        <f>IFERROR(IF(I751="","",I751)&amp;"","")</f>
        <v/>
      </c>
      <c r="M751">
        <f>IF(J751="","",IFERROR(VALUE(SUBSTITUTE(SUBSTITUTE(IF(E751="","",E751)&amp;"","$",""),",","")),0))</f>
        <v/>
      </c>
      <c r="N751" s="11">
        <f>IF(J751="","",IFERROR(VALUE(SUBSTITUTE(SUBSTITUTE(IF(F751="","",F751)&amp;"","$",""),",","")),0))</f>
        <v/>
      </c>
      <c r="O751" s="11">
        <f>IF(J751="","",M751*N751)</f>
        <v/>
      </c>
      <c r="P751">
        <f>IF(J751="","",IF(L751="",1,COUNTIF($L$2:$L$1501,L751)))</f>
        <v/>
      </c>
      <c r="Q751" s="11">
        <f>IF(J751="","",IFERROR(VALUE(SUBSTITUTE(SUBSTITUTE(IF(G751="","",G751)&amp;"","$",""),",","")),0)/IF("No"="Yes",P751,1))</f>
        <v/>
      </c>
      <c r="R751" s="11">
        <f>IF(J751="","",IFERROR(VALUE(SUBSTITUTE(SUBSTITUTE(IF(H751="","",H751)&amp;"","$",""),",","")),0)/IF("No"="Yes",P751,1))</f>
        <v/>
      </c>
      <c r="S751" s="11">
        <f>IF(J751="","",O751+Q751-R751)</f>
        <v/>
      </c>
      <c r="T751">
        <f>IF(J751="","",IFERROR(IF(K751="",NA(),MATCH(K751,Products!$B$5:$B$204,0)),IFERROR(MATCH(J751,Products!$A$5:$A$204,0),"")))</f>
        <v/>
      </c>
      <c r="U751">
        <f>IF(J751="","",IF(T751="","⚠ not in Products",INDEX(Products!$A$5:$A$204,T751)))</f>
        <v/>
      </c>
      <c r="V751" s="11">
        <f>IF(J751="","",S751*(IFERROR(INDEX(Settings!$B$5:$B$9,MATCH($B751,Settings!$A$5:$A$9,0)),0)+IFERROR(INDEX(Settings!$E$5:$E$9,MATCH($B751,Settings!$A$5:$A$9,0)),0)+IFERROR(INDEX(Settings!$G$5:$G$9,MATCH($B751,Settings!$A$5:$A$9,0)),0))+(IFERROR(INDEX(Settings!$C$5:$C$9,MATCH($B751,Settings!$A$5:$A$9,0)),0)+IFERROR(INDEX(Settings!$F$5:$F$9,MATCH($B751,Settings!$A$5:$A$9,0)),0))/P751+IFERROR(INDEX(Settings!$D$5:$D$9,MATCH($B751,Settings!$A$5:$A$9,0)),0)*M751)</f>
        <v/>
      </c>
      <c r="W751" s="11">
        <f>IF(J751="","",IF(T751="",0,M751*INDEX(Products!$I$5:$I$204,T751)))</f>
        <v/>
      </c>
      <c r="X751" s="11">
        <f>IF(J751="","",IF(T751="",0,S751*INDEX(Products!$H$5:$H$204,T751)))</f>
        <v/>
      </c>
      <c r="Y751" s="11">
        <f>IF(J751="","",S751-V751-W751-X751)</f>
        <v/>
      </c>
    </row>
    <row r="752">
      <c r="A752" s="19" t="n"/>
      <c r="B752" s="19" t="n"/>
      <c r="C752" s="19" t="n"/>
      <c r="D752" s="19" t="n"/>
      <c r="E752" s="19" t="n"/>
      <c r="F752" s="20" t="n"/>
      <c r="G752" s="20" t="n"/>
      <c r="H752" s="20" t="n"/>
      <c r="I752" s="19" t="n"/>
      <c r="J752">
        <f>IFERROR(IF(C752="","",C752)&amp;"","")</f>
        <v/>
      </c>
      <c r="K752">
        <f>IFERROR(IF(D752="","",D752)&amp;"","")</f>
        <v/>
      </c>
      <c r="L752">
        <f>IFERROR(IF(I752="","",I752)&amp;"","")</f>
        <v/>
      </c>
      <c r="M752">
        <f>IF(J752="","",IFERROR(VALUE(SUBSTITUTE(SUBSTITUTE(IF(E752="","",E752)&amp;"","$",""),",","")),0))</f>
        <v/>
      </c>
      <c r="N752" s="11">
        <f>IF(J752="","",IFERROR(VALUE(SUBSTITUTE(SUBSTITUTE(IF(F752="","",F752)&amp;"","$",""),",","")),0))</f>
        <v/>
      </c>
      <c r="O752" s="11">
        <f>IF(J752="","",M752*N752)</f>
        <v/>
      </c>
      <c r="P752">
        <f>IF(J752="","",IF(L752="",1,COUNTIF($L$2:$L$1501,L752)))</f>
        <v/>
      </c>
      <c r="Q752" s="11">
        <f>IF(J752="","",IFERROR(VALUE(SUBSTITUTE(SUBSTITUTE(IF(G752="","",G752)&amp;"","$",""),",","")),0)/IF("No"="Yes",P752,1))</f>
        <v/>
      </c>
      <c r="R752" s="11">
        <f>IF(J752="","",IFERROR(VALUE(SUBSTITUTE(SUBSTITUTE(IF(H752="","",H752)&amp;"","$",""),",","")),0)/IF("No"="Yes",P752,1))</f>
        <v/>
      </c>
      <c r="S752" s="11">
        <f>IF(J752="","",O752+Q752-R752)</f>
        <v/>
      </c>
      <c r="T752">
        <f>IF(J752="","",IFERROR(IF(K752="",NA(),MATCH(K752,Products!$B$5:$B$204,0)),IFERROR(MATCH(J752,Products!$A$5:$A$204,0),"")))</f>
        <v/>
      </c>
      <c r="U752">
        <f>IF(J752="","",IF(T752="","⚠ not in Products",INDEX(Products!$A$5:$A$204,T752)))</f>
        <v/>
      </c>
      <c r="V752" s="11">
        <f>IF(J752="","",S752*(IFERROR(INDEX(Settings!$B$5:$B$9,MATCH($B752,Settings!$A$5:$A$9,0)),0)+IFERROR(INDEX(Settings!$E$5:$E$9,MATCH($B752,Settings!$A$5:$A$9,0)),0)+IFERROR(INDEX(Settings!$G$5:$G$9,MATCH($B752,Settings!$A$5:$A$9,0)),0))+(IFERROR(INDEX(Settings!$C$5:$C$9,MATCH($B752,Settings!$A$5:$A$9,0)),0)+IFERROR(INDEX(Settings!$F$5:$F$9,MATCH($B752,Settings!$A$5:$A$9,0)),0))/P752+IFERROR(INDEX(Settings!$D$5:$D$9,MATCH($B752,Settings!$A$5:$A$9,0)),0)*M752)</f>
        <v/>
      </c>
      <c r="W752" s="11">
        <f>IF(J752="","",IF(T752="",0,M752*INDEX(Products!$I$5:$I$204,T752)))</f>
        <v/>
      </c>
      <c r="X752" s="11">
        <f>IF(J752="","",IF(T752="",0,S752*INDEX(Products!$H$5:$H$204,T752)))</f>
        <v/>
      </c>
      <c r="Y752" s="11">
        <f>IF(J752="","",S752-V752-W752-X752)</f>
        <v/>
      </c>
    </row>
    <row r="753">
      <c r="A753" s="19" t="n"/>
      <c r="B753" s="19" t="n"/>
      <c r="C753" s="19" t="n"/>
      <c r="D753" s="19" t="n"/>
      <c r="E753" s="19" t="n"/>
      <c r="F753" s="20" t="n"/>
      <c r="G753" s="20" t="n"/>
      <c r="H753" s="20" t="n"/>
      <c r="I753" s="19" t="n"/>
      <c r="J753">
        <f>IFERROR(IF(C753="","",C753)&amp;"","")</f>
        <v/>
      </c>
      <c r="K753">
        <f>IFERROR(IF(D753="","",D753)&amp;"","")</f>
        <v/>
      </c>
      <c r="L753">
        <f>IFERROR(IF(I753="","",I753)&amp;"","")</f>
        <v/>
      </c>
      <c r="M753">
        <f>IF(J753="","",IFERROR(VALUE(SUBSTITUTE(SUBSTITUTE(IF(E753="","",E753)&amp;"","$",""),",","")),0))</f>
        <v/>
      </c>
      <c r="N753" s="11">
        <f>IF(J753="","",IFERROR(VALUE(SUBSTITUTE(SUBSTITUTE(IF(F753="","",F753)&amp;"","$",""),",","")),0))</f>
        <v/>
      </c>
      <c r="O753" s="11">
        <f>IF(J753="","",M753*N753)</f>
        <v/>
      </c>
      <c r="P753">
        <f>IF(J753="","",IF(L753="",1,COUNTIF($L$2:$L$1501,L753)))</f>
        <v/>
      </c>
      <c r="Q753" s="11">
        <f>IF(J753="","",IFERROR(VALUE(SUBSTITUTE(SUBSTITUTE(IF(G753="","",G753)&amp;"","$",""),",","")),0)/IF("No"="Yes",P753,1))</f>
        <v/>
      </c>
      <c r="R753" s="11">
        <f>IF(J753="","",IFERROR(VALUE(SUBSTITUTE(SUBSTITUTE(IF(H753="","",H753)&amp;"","$",""),",","")),0)/IF("No"="Yes",P753,1))</f>
        <v/>
      </c>
      <c r="S753" s="11">
        <f>IF(J753="","",O753+Q753-R753)</f>
        <v/>
      </c>
      <c r="T753">
        <f>IF(J753="","",IFERROR(IF(K753="",NA(),MATCH(K753,Products!$B$5:$B$204,0)),IFERROR(MATCH(J753,Products!$A$5:$A$204,0),"")))</f>
        <v/>
      </c>
      <c r="U753">
        <f>IF(J753="","",IF(T753="","⚠ not in Products",INDEX(Products!$A$5:$A$204,T753)))</f>
        <v/>
      </c>
      <c r="V753" s="11">
        <f>IF(J753="","",S753*(IFERROR(INDEX(Settings!$B$5:$B$9,MATCH($B753,Settings!$A$5:$A$9,0)),0)+IFERROR(INDEX(Settings!$E$5:$E$9,MATCH($B753,Settings!$A$5:$A$9,0)),0)+IFERROR(INDEX(Settings!$G$5:$G$9,MATCH($B753,Settings!$A$5:$A$9,0)),0))+(IFERROR(INDEX(Settings!$C$5:$C$9,MATCH($B753,Settings!$A$5:$A$9,0)),0)+IFERROR(INDEX(Settings!$F$5:$F$9,MATCH($B753,Settings!$A$5:$A$9,0)),0))/P753+IFERROR(INDEX(Settings!$D$5:$D$9,MATCH($B753,Settings!$A$5:$A$9,0)),0)*M753)</f>
        <v/>
      </c>
      <c r="W753" s="11">
        <f>IF(J753="","",IF(T753="",0,M753*INDEX(Products!$I$5:$I$204,T753)))</f>
        <v/>
      </c>
      <c r="X753" s="11">
        <f>IF(J753="","",IF(T753="",0,S753*INDEX(Products!$H$5:$H$204,T753)))</f>
        <v/>
      </c>
      <c r="Y753" s="11">
        <f>IF(J753="","",S753-V753-W753-X753)</f>
        <v/>
      </c>
    </row>
    <row r="754">
      <c r="A754" s="19" t="n"/>
      <c r="B754" s="19" t="n"/>
      <c r="C754" s="19" t="n"/>
      <c r="D754" s="19" t="n"/>
      <c r="E754" s="19" t="n"/>
      <c r="F754" s="20" t="n"/>
      <c r="G754" s="20" t="n"/>
      <c r="H754" s="20" t="n"/>
      <c r="I754" s="19" t="n"/>
      <c r="J754">
        <f>IFERROR(IF(C754="","",C754)&amp;"","")</f>
        <v/>
      </c>
      <c r="K754">
        <f>IFERROR(IF(D754="","",D754)&amp;"","")</f>
        <v/>
      </c>
      <c r="L754">
        <f>IFERROR(IF(I754="","",I754)&amp;"","")</f>
        <v/>
      </c>
      <c r="M754">
        <f>IF(J754="","",IFERROR(VALUE(SUBSTITUTE(SUBSTITUTE(IF(E754="","",E754)&amp;"","$",""),",","")),0))</f>
        <v/>
      </c>
      <c r="N754" s="11">
        <f>IF(J754="","",IFERROR(VALUE(SUBSTITUTE(SUBSTITUTE(IF(F754="","",F754)&amp;"","$",""),",","")),0))</f>
        <v/>
      </c>
      <c r="O754" s="11">
        <f>IF(J754="","",M754*N754)</f>
        <v/>
      </c>
      <c r="P754">
        <f>IF(J754="","",IF(L754="",1,COUNTIF($L$2:$L$1501,L754)))</f>
        <v/>
      </c>
      <c r="Q754" s="11">
        <f>IF(J754="","",IFERROR(VALUE(SUBSTITUTE(SUBSTITUTE(IF(G754="","",G754)&amp;"","$",""),",","")),0)/IF("No"="Yes",P754,1))</f>
        <v/>
      </c>
      <c r="R754" s="11">
        <f>IF(J754="","",IFERROR(VALUE(SUBSTITUTE(SUBSTITUTE(IF(H754="","",H754)&amp;"","$",""),",","")),0)/IF("No"="Yes",P754,1))</f>
        <v/>
      </c>
      <c r="S754" s="11">
        <f>IF(J754="","",O754+Q754-R754)</f>
        <v/>
      </c>
      <c r="T754">
        <f>IF(J754="","",IFERROR(IF(K754="",NA(),MATCH(K754,Products!$B$5:$B$204,0)),IFERROR(MATCH(J754,Products!$A$5:$A$204,0),"")))</f>
        <v/>
      </c>
      <c r="U754">
        <f>IF(J754="","",IF(T754="","⚠ not in Products",INDEX(Products!$A$5:$A$204,T754)))</f>
        <v/>
      </c>
      <c r="V754" s="11">
        <f>IF(J754="","",S754*(IFERROR(INDEX(Settings!$B$5:$B$9,MATCH($B754,Settings!$A$5:$A$9,0)),0)+IFERROR(INDEX(Settings!$E$5:$E$9,MATCH($B754,Settings!$A$5:$A$9,0)),0)+IFERROR(INDEX(Settings!$G$5:$G$9,MATCH($B754,Settings!$A$5:$A$9,0)),0))+(IFERROR(INDEX(Settings!$C$5:$C$9,MATCH($B754,Settings!$A$5:$A$9,0)),0)+IFERROR(INDEX(Settings!$F$5:$F$9,MATCH($B754,Settings!$A$5:$A$9,0)),0))/P754+IFERROR(INDEX(Settings!$D$5:$D$9,MATCH($B754,Settings!$A$5:$A$9,0)),0)*M754)</f>
        <v/>
      </c>
      <c r="W754" s="11">
        <f>IF(J754="","",IF(T754="",0,M754*INDEX(Products!$I$5:$I$204,T754)))</f>
        <v/>
      </c>
      <c r="X754" s="11">
        <f>IF(J754="","",IF(T754="",0,S754*INDEX(Products!$H$5:$H$204,T754)))</f>
        <v/>
      </c>
      <c r="Y754" s="11">
        <f>IF(J754="","",S754-V754-W754-X754)</f>
        <v/>
      </c>
    </row>
    <row r="755">
      <c r="A755" s="19" t="n"/>
      <c r="B755" s="19" t="n"/>
      <c r="C755" s="19" t="n"/>
      <c r="D755" s="19" t="n"/>
      <c r="E755" s="19" t="n"/>
      <c r="F755" s="20" t="n"/>
      <c r="G755" s="20" t="n"/>
      <c r="H755" s="20" t="n"/>
      <c r="I755" s="19" t="n"/>
      <c r="J755">
        <f>IFERROR(IF(C755="","",C755)&amp;"","")</f>
        <v/>
      </c>
      <c r="K755">
        <f>IFERROR(IF(D755="","",D755)&amp;"","")</f>
        <v/>
      </c>
      <c r="L755">
        <f>IFERROR(IF(I755="","",I755)&amp;"","")</f>
        <v/>
      </c>
      <c r="M755">
        <f>IF(J755="","",IFERROR(VALUE(SUBSTITUTE(SUBSTITUTE(IF(E755="","",E755)&amp;"","$",""),",","")),0))</f>
        <v/>
      </c>
      <c r="N755" s="11">
        <f>IF(J755="","",IFERROR(VALUE(SUBSTITUTE(SUBSTITUTE(IF(F755="","",F755)&amp;"","$",""),",","")),0))</f>
        <v/>
      </c>
      <c r="O755" s="11">
        <f>IF(J755="","",M755*N755)</f>
        <v/>
      </c>
      <c r="P755">
        <f>IF(J755="","",IF(L755="",1,COUNTIF($L$2:$L$1501,L755)))</f>
        <v/>
      </c>
      <c r="Q755" s="11">
        <f>IF(J755="","",IFERROR(VALUE(SUBSTITUTE(SUBSTITUTE(IF(G755="","",G755)&amp;"","$",""),",","")),0)/IF("No"="Yes",P755,1))</f>
        <v/>
      </c>
      <c r="R755" s="11">
        <f>IF(J755="","",IFERROR(VALUE(SUBSTITUTE(SUBSTITUTE(IF(H755="","",H755)&amp;"","$",""),",","")),0)/IF("No"="Yes",P755,1))</f>
        <v/>
      </c>
      <c r="S755" s="11">
        <f>IF(J755="","",O755+Q755-R755)</f>
        <v/>
      </c>
      <c r="T755">
        <f>IF(J755="","",IFERROR(IF(K755="",NA(),MATCH(K755,Products!$B$5:$B$204,0)),IFERROR(MATCH(J755,Products!$A$5:$A$204,0),"")))</f>
        <v/>
      </c>
      <c r="U755">
        <f>IF(J755="","",IF(T755="","⚠ not in Products",INDEX(Products!$A$5:$A$204,T755)))</f>
        <v/>
      </c>
      <c r="V755" s="11">
        <f>IF(J755="","",S755*(IFERROR(INDEX(Settings!$B$5:$B$9,MATCH($B755,Settings!$A$5:$A$9,0)),0)+IFERROR(INDEX(Settings!$E$5:$E$9,MATCH($B755,Settings!$A$5:$A$9,0)),0)+IFERROR(INDEX(Settings!$G$5:$G$9,MATCH($B755,Settings!$A$5:$A$9,0)),0))+(IFERROR(INDEX(Settings!$C$5:$C$9,MATCH($B755,Settings!$A$5:$A$9,0)),0)+IFERROR(INDEX(Settings!$F$5:$F$9,MATCH($B755,Settings!$A$5:$A$9,0)),0))/P755+IFERROR(INDEX(Settings!$D$5:$D$9,MATCH($B755,Settings!$A$5:$A$9,0)),0)*M755)</f>
        <v/>
      </c>
      <c r="W755" s="11">
        <f>IF(J755="","",IF(T755="",0,M755*INDEX(Products!$I$5:$I$204,T755)))</f>
        <v/>
      </c>
      <c r="X755" s="11">
        <f>IF(J755="","",IF(T755="",0,S755*INDEX(Products!$H$5:$H$204,T755)))</f>
        <v/>
      </c>
      <c r="Y755" s="11">
        <f>IF(J755="","",S755-V755-W755-X755)</f>
        <v/>
      </c>
    </row>
    <row r="756">
      <c r="A756" s="19" t="n"/>
      <c r="B756" s="19" t="n"/>
      <c r="C756" s="19" t="n"/>
      <c r="D756" s="19" t="n"/>
      <c r="E756" s="19" t="n"/>
      <c r="F756" s="20" t="n"/>
      <c r="G756" s="20" t="n"/>
      <c r="H756" s="20" t="n"/>
      <c r="I756" s="19" t="n"/>
      <c r="J756">
        <f>IFERROR(IF(C756="","",C756)&amp;"","")</f>
        <v/>
      </c>
      <c r="K756">
        <f>IFERROR(IF(D756="","",D756)&amp;"","")</f>
        <v/>
      </c>
      <c r="L756">
        <f>IFERROR(IF(I756="","",I756)&amp;"","")</f>
        <v/>
      </c>
      <c r="M756">
        <f>IF(J756="","",IFERROR(VALUE(SUBSTITUTE(SUBSTITUTE(IF(E756="","",E756)&amp;"","$",""),",","")),0))</f>
        <v/>
      </c>
      <c r="N756" s="11">
        <f>IF(J756="","",IFERROR(VALUE(SUBSTITUTE(SUBSTITUTE(IF(F756="","",F756)&amp;"","$",""),",","")),0))</f>
        <v/>
      </c>
      <c r="O756" s="11">
        <f>IF(J756="","",M756*N756)</f>
        <v/>
      </c>
      <c r="P756">
        <f>IF(J756="","",IF(L756="",1,COUNTIF($L$2:$L$1501,L756)))</f>
        <v/>
      </c>
      <c r="Q756" s="11">
        <f>IF(J756="","",IFERROR(VALUE(SUBSTITUTE(SUBSTITUTE(IF(G756="","",G756)&amp;"","$",""),",","")),0)/IF("No"="Yes",P756,1))</f>
        <v/>
      </c>
      <c r="R756" s="11">
        <f>IF(J756="","",IFERROR(VALUE(SUBSTITUTE(SUBSTITUTE(IF(H756="","",H756)&amp;"","$",""),",","")),0)/IF("No"="Yes",P756,1))</f>
        <v/>
      </c>
      <c r="S756" s="11">
        <f>IF(J756="","",O756+Q756-R756)</f>
        <v/>
      </c>
      <c r="T756">
        <f>IF(J756="","",IFERROR(IF(K756="",NA(),MATCH(K756,Products!$B$5:$B$204,0)),IFERROR(MATCH(J756,Products!$A$5:$A$204,0),"")))</f>
        <v/>
      </c>
      <c r="U756">
        <f>IF(J756="","",IF(T756="","⚠ not in Products",INDEX(Products!$A$5:$A$204,T756)))</f>
        <v/>
      </c>
      <c r="V756" s="11">
        <f>IF(J756="","",S756*(IFERROR(INDEX(Settings!$B$5:$B$9,MATCH($B756,Settings!$A$5:$A$9,0)),0)+IFERROR(INDEX(Settings!$E$5:$E$9,MATCH($B756,Settings!$A$5:$A$9,0)),0)+IFERROR(INDEX(Settings!$G$5:$G$9,MATCH($B756,Settings!$A$5:$A$9,0)),0))+(IFERROR(INDEX(Settings!$C$5:$C$9,MATCH($B756,Settings!$A$5:$A$9,0)),0)+IFERROR(INDEX(Settings!$F$5:$F$9,MATCH($B756,Settings!$A$5:$A$9,0)),0))/P756+IFERROR(INDEX(Settings!$D$5:$D$9,MATCH($B756,Settings!$A$5:$A$9,0)),0)*M756)</f>
        <v/>
      </c>
      <c r="W756" s="11">
        <f>IF(J756="","",IF(T756="",0,M756*INDEX(Products!$I$5:$I$204,T756)))</f>
        <v/>
      </c>
      <c r="X756" s="11">
        <f>IF(J756="","",IF(T756="",0,S756*INDEX(Products!$H$5:$H$204,T756)))</f>
        <v/>
      </c>
      <c r="Y756" s="11">
        <f>IF(J756="","",S756-V756-W756-X756)</f>
        <v/>
      </c>
    </row>
    <row r="757">
      <c r="A757" s="19" t="n"/>
      <c r="B757" s="19" t="n"/>
      <c r="C757" s="19" t="n"/>
      <c r="D757" s="19" t="n"/>
      <c r="E757" s="19" t="n"/>
      <c r="F757" s="20" t="n"/>
      <c r="G757" s="20" t="n"/>
      <c r="H757" s="20" t="n"/>
      <c r="I757" s="19" t="n"/>
      <c r="J757">
        <f>IFERROR(IF(C757="","",C757)&amp;"","")</f>
        <v/>
      </c>
      <c r="K757">
        <f>IFERROR(IF(D757="","",D757)&amp;"","")</f>
        <v/>
      </c>
      <c r="L757">
        <f>IFERROR(IF(I757="","",I757)&amp;"","")</f>
        <v/>
      </c>
      <c r="M757">
        <f>IF(J757="","",IFERROR(VALUE(SUBSTITUTE(SUBSTITUTE(IF(E757="","",E757)&amp;"","$",""),",","")),0))</f>
        <v/>
      </c>
      <c r="N757" s="11">
        <f>IF(J757="","",IFERROR(VALUE(SUBSTITUTE(SUBSTITUTE(IF(F757="","",F757)&amp;"","$",""),",","")),0))</f>
        <v/>
      </c>
      <c r="O757" s="11">
        <f>IF(J757="","",M757*N757)</f>
        <v/>
      </c>
      <c r="P757">
        <f>IF(J757="","",IF(L757="",1,COUNTIF($L$2:$L$1501,L757)))</f>
        <v/>
      </c>
      <c r="Q757" s="11">
        <f>IF(J757="","",IFERROR(VALUE(SUBSTITUTE(SUBSTITUTE(IF(G757="","",G757)&amp;"","$",""),",","")),0)/IF("No"="Yes",P757,1))</f>
        <v/>
      </c>
      <c r="R757" s="11">
        <f>IF(J757="","",IFERROR(VALUE(SUBSTITUTE(SUBSTITUTE(IF(H757="","",H757)&amp;"","$",""),",","")),0)/IF("No"="Yes",P757,1))</f>
        <v/>
      </c>
      <c r="S757" s="11">
        <f>IF(J757="","",O757+Q757-R757)</f>
        <v/>
      </c>
      <c r="T757">
        <f>IF(J757="","",IFERROR(IF(K757="",NA(),MATCH(K757,Products!$B$5:$B$204,0)),IFERROR(MATCH(J757,Products!$A$5:$A$204,0),"")))</f>
        <v/>
      </c>
      <c r="U757">
        <f>IF(J757="","",IF(T757="","⚠ not in Products",INDEX(Products!$A$5:$A$204,T757)))</f>
        <v/>
      </c>
      <c r="V757" s="11">
        <f>IF(J757="","",S757*(IFERROR(INDEX(Settings!$B$5:$B$9,MATCH($B757,Settings!$A$5:$A$9,0)),0)+IFERROR(INDEX(Settings!$E$5:$E$9,MATCH($B757,Settings!$A$5:$A$9,0)),0)+IFERROR(INDEX(Settings!$G$5:$G$9,MATCH($B757,Settings!$A$5:$A$9,0)),0))+(IFERROR(INDEX(Settings!$C$5:$C$9,MATCH($B757,Settings!$A$5:$A$9,0)),0)+IFERROR(INDEX(Settings!$F$5:$F$9,MATCH($B757,Settings!$A$5:$A$9,0)),0))/P757+IFERROR(INDEX(Settings!$D$5:$D$9,MATCH($B757,Settings!$A$5:$A$9,0)),0)*M757)</f>
        <v/>
      </c>
      <c r="W757" s="11">
        <f>IF(J757="","",IF(T757="",0,M757*INDEX(Products!$I$5:$I$204,T757)))</f>
        <v/>
      </c>
      <c r="X757" s="11">
        <f>IF(J757="","",IF(T757="",0,S757*INDEX(Products!$H$5:$H$204,T757)))</f>
        <v/>
      </c>
      <c r="Y757" s="11">
        <f>IF(J757="","",S757-V757-W757-X757)</f>
        <v/>
      </c>
    </row>
    <row r="758">
      <c r="A758" s="19" t="n"/>
      <c r="B758" s="19" t="n"/>
      <c r="C758" s="19" t="n"/>
      <c r="D758" s="19" t="n"/>
      <c r="E758" s="19" t="n"/>
      <c r="F758" s="20" t="n"/>
      <c r="G758" s="20" t="n"/>
      <c r="H758" s="20" t="n"/>
      <c r="I758" s="19" t="n"/>
      <c r="J758">
        <f>IFERROR(IF(C758="","",C758)&amp;"","")</f>
        <v/>
      </c>
      <c r="K758">
        <f>IFERROR(IF(D758="","",D758)&amp;"","")</f>
        <v/>
      </c>
      <c r="L758">
        <f>IFERROR(IF(I758="","",I758)&amp;"","")</f>
        <v/>
      </c>
      <c r="M758">
        <f>IF(J758="","",IFERROR(VALUE(SUBSTITUTE(SUBSTITUTE(IF(E758="","",E758)&amp;"","$",""),",","")),0))</f>
        <v/>
      </c>
      <c r="N758" s="11">
        <f>IF(J758="","",IFERROR(VALUE(SUBSTITUTE(SUBSTITUTE(IF(F758="","",F758)&amp;"","$",""),",","")),0))</f>
        <v/>
      </c>
      <c r="O758" s="11">
        <f>IF(J758="","",M758*N758)</f>
        <v/>
      </c>
      <c r="P758">
        <f>IF(J758="","",IF(L758="",1,COUNTIF($L$2:$L$1501,L758)))</f>
        <v/>
      </c>
      <c r="Q758" s="11">
        <f>IF(J758="","",IFERROR(VALUE(SUBSTITUTE(SUBSTITUTE(IF(G758="","",G758)&amp;"","$",""),",","")),0)/IF("No"="Yes",P758,1))</f>
        <v/>
      </c>
      <c r="R758" s="11">
        <f>IF(J758="","",IFERROR(VALUE(SUBSTITUTE(SUBSTITUTE(IF(H758="","",H758)&amp;"","$",""),",","")),0)/IF("No"="Yes",P758,1))</f>
        <v/>
      </c>
      <c r="S758" s="11">
        <f>IF(J758="","",O758+Q758-R758)</f>
        <v/>
      </c>
      <c r="T758">
        <f>IF(J758="","",IFERROR(IF(K758="",NA(),MATCH(K758,Products!$B$5:$B$204,0)),IFERROR(MATCH(J758,Products!$A$5:$A$204,0),"")))</f>
        <v/>
      </c>
      <c r="U758">
        <f>IF(J758="","",IF(T758="","⚠ not in Products",INDEX(Products!$A$5:$A$204,T758)))</f>
        <v/>
      </c>
      <c r="V758" s="11">
        <f>IF(J758="","",S758*(IFERROR(INDEX(Settings!$B$5:$B$9,MATCH($B758,Settings!$A$5:$A$9,0)),0)+IFERROR(INDEX(Settings!$E$5:$E$9,MATCH($B758,Settings!$A$5:$A$9,0)),0)+IFERROR(INDEX(Settings!$G$5:$G$9,MATCH($B758,Settings!$A$5:$A$9,0)),0))+(IFERROR(INDEX(Settings!$C$5:$C$9,MATCH($B758,Settings!$A$5:$A$9,0)),0)+IFERROR(INDEX(Settings!$F$5:$F$9,MATCH($B758,Settings!$A$5:$A$9,0)),0))/P758+IFERROR(INDEX(Settings!$D$5:$D$9,MATCH($B758,Settings!$A$5:$A$9,0)),0)*M758)</f>
        <v/>
      </c>
      <c r="W758" s="11">
        <f>IF(J758="","",IF(T758="",0,M758*INDEX(Products!$I$5:$I$204,T758)))</f>
        <v/>
      </c>
      <c r="X758" s="11">
        <f>IF(J758="","",IF(T758="",0,S758*INDEX(Products!$H$5:$H$204,T758)))</f>
        <v/>
      </c>
      <c r="Y758" s="11">
        <f>IF(J758="","",S758-V758-W758-X758)</f>
        <v/>
      </c>
    </row>
    <row r="759">
      <c r="A759" s="19" t="n"/>
      <c r="B759" s="19" t="n"/>
      <c r="C759" s="19" t="n"/>
      <c r="D759" s="19" t="n"/>
      <c r="E759" s="19" t="n"/>
      <c r="F759" s="20" t="n"/>
      <c r="G759" s="20" t="n"/>
      <c r="H759" s="20" t="n"/>
      <c r="I759" s="19" t="n"/>
      <c r="J759">
        <f>IFERROR(IF(C759="","",C759)&amp;"","")</f>
        <v/>
      </c>
      <c r="K759">
        <f>IFERROR(IF(D759="","",D759)&amp;"","")</f>
        <v/>
      </c>
      <c r="L759">
        <f>IFERROR(IF(I759="","",I759)&amp;"","")</f>
        <v/>
      </c>
      <c r="M759">
        <f>IF(J759="","",IFERROR(VALUE(SUBSTITUTE(SUBSTITUTE(IF(E759="","",E759)&amp;"","$",""),",","")),0))</f>
        <v/>
      </c>
      <c r="N759" s="11">
        <f>IF(J759="","",IFERROR(VALUE(SUBSTITUTE(SUBSTITUTE(IF(F759="","",F759)&amp;"","$",""),",","")),0))</f>
        <v/>
      </c>
      <c r="O759" s="11">
        <f>IF(J759="","",M759*N759)</f>
        <v/>
      </c>
      <c r="P759">
        <f>IF(J759="","",IF(L759="",1,COUNTIF($L$2:$L$1501,L759)))</f>
        <v/>
      </c>
      <c r="Q759" s="11">
        <f>IF(J759="","",IFERROR(VALUE(SUBSTITUTE(SUBSTITUTE(IF(G759="","",G759)&amp;"","$",""),",","")),0)/IF("No"="Yes",P759,1))</f>
        <v/>
      </c>
      <c r="R759" s="11">
        <f>IF(J759="","",IFERROR(VALUE(SUBSTITUTE(SUBSTITUTE(IF(H759="","",H759)&amp;"","$",""),",","")),0)/IF("No"="Yes",P759,1))</f>
        <v/>
      </c>
      <c r="S759" s="11">
        <f>IF(J759="","",O759+Q759-R759)</f>
        <v/>
      </c>
      <c r="T759">
        <f>IF(J759="","",IFERROR(IF(K759="",NA(),MATCH(K759,Products!$B$5:$B$204,0)),IFERROR(MATCH(J759,Products!$A$5:$A$204,0),"")))</f>
        <v/>
      </c>
      <c r="U759">
        <f>IF(J759="","",IF(T759="","⚠ not in Products",INDEX(Products!$A$5:$A$204,T759)))</f>
        <v/>
      </c>
      <c r="V759" s="11">
        <f>IF(J759="","",S759*(IFERROR(INDEX(Settings!$B$5:$B$9,MATCH($B759,Settings!$A$5:$A$9,0)),0)+IFERROR(INDEX(Settings!$E$5:$E$9,MATCH($B759,Settings!$A$5:$A$9,0)),0)+IFERROR(INDEX(Settings!$G$5:$G$9,MATCH($B759,Settings!$A$5:$A$9,0)),0))+(IFERROR(INDEX(Settings!$C$5:$C$9,MATCH($B759,Settings!$A$5:$A$9,0)),0)+IFERROR(INDEX(Settings!$F$5:$F$9,MATCH($B759,Settings!$A$5:$A$9,0)),0))/P759+IFERROR(INDEX(Settings!$D$5:$D$9,MATCH($B759,Settings!$A$5:$A$9,0)),0)*M759)</f>
        <v/>
      </c>
      <c r="W759" s="11">
        <f>IF(J759="","",IF(T759="",0,M759*INDEX(Products!$I$5:$I$204,T759)))</f>
        <v/>
      </c>
      <c r="X759" s="11">
        <f>IF(J759="","",IF(T759="",0,S759*INDEX(Products!$H$5:$H$204,T759)))</f>
        <v/>
      </c>
      <c r="Y759" s="11">
        <f>IF(J759="","",S759-V759-W759-X759)</f>
        <v/>
      </c>
    </row>
    <row r="760">
      <c r="A760" s="19" t="n"/>
      <c r="B760" s="19" t="n"/>
      <c r="C760" s="19" t="n"/>
      <c r="D760" s="19" t="n"/>
      <c r="E760" s="19" t="n"/>
      <c r="F760" s="20" t="n"/>
      <c r="G760" s="20" t="n"/>
      <c r="H760" s="20" t="n"/>
      <c r="I760" s="19" t="n"/>
      <c r="J760">
        <f>IFERROR(IF(C760="","",C760)&amp;"","")</f>
        <v/>
      </c>
      <c r="K760">
        <f>IFERROR(IF(D760="","",D760)&amp;"","")</f>
        <v/>
      </c>
      <c r="L760">
        <f>IFERROR(IF(I760="","",I760)&amp;"","")</f>
        <v/>
      </c>
      <c r="M760">
        <f>IF(J760="","",IFERROR(VALUE(SUBSTITUTE(SUBSTITUTE(IF(E760="","",E760)&amp;"","$",""),",","")),0))</f>
        <v/>
      </c>
      <c r="N760" s="11">
        <f>IF(J760="","",IFERROR(VALUE(SUBSTITUTE(SUBSTITUTE(IF(F760="","",F760)&amp;"","$",""),",","")),0))</f>
        <v/>
      </c>
      <c r="O760" s="11">
        <f>IF(J760="","",M760*N760)</f>
        <v/>
      </c>
      <c r="P760">
        <f>IF(J760="","",IF(L760="",1,COUNTIF($L$2:$L$1501,L760)))</f>
        <v/>
      </c>
      <c r="Q760" s="11">
        <f>IF(J760="","",IFERROR(VALUE(SUBSTITUTE(SUBSTITUTE(IF(G760="","",G760)&amp;"","$",""),",","")),0)/IF("No"="Yes",P760,1))</f>
        <v/>
      </c>
      <c r="R760" s="11">
        <f>IF(J760="","",IFERROR(VALUE(SUBSTITUTE(SUBSTITUTE(IF(H760="","",H760)&amp;"","$",""),",","")),0)/IF("No"="Yes",P760,1))</f>
        <v/>
      </c>
      <c r="S760" s="11">
        <f>IF(J760="","",O760+Q760-R760)</f>
        <v/>
      </c>
      <c r="T760">
        <f>IF(J760="","",IFERROR(IF(K760="",NA(),MATCH(K760,Products!$B$5:$B$204,0)),IFERROR(MATCH(J760,Products!$A$5:$A$204,0),"")))</f>
        <v/>
      </c>
      <c r="U760">
        <f>IF(J760="","",IF(T760="","⚠ not in Products",INDEX(Products!$A$5:$A$204,T760)))</f>
        <v/>
      </c>
      <c r="V760" s="11">
        <f>IF(J760="","",S760*(IFERROR(INDEX(Settings!$B$5:$B$9,MATCH($B760,Settings!$A$5:$A$9,0)),0)+IFERROR(INDEX(Settings!$E$5:$E$9,MATCH($B760,Settings!$A$5:$A$9,0)),0)+IFERROR(INDEX(Settings!$G$5:$G$9,MATCH($B760,Settings!$A$5:$A$9,0)),0))+(IFERROR(INDEX(Settings!$C$5:$C$9,MATCH($B760,Settings!$A$5:$A$9,0)),0)+IFERROR(INDEX(Settings!$F$5:$F$9,MATCH($B760,Settings!$A$5:$A$9,0)),0))/P760+IFERROR(INDEX(Settings!$D$5:$D$9,MATCH($B760,Settings!$A$5:$A$9,0)),0)*M760)</f>
        <v/>
      </c>
      <c r="W760" s="11">
        <f>IF(J760="","",IF(T760="",0,M760*INDEX(Products!$I$5:$I$204,T760)))</f>
        <v/>
      </c>
      <c r="X760" s="11">
        <f>IF(J760="","",IF(T760="",0,S760*INDEX(Products!$H$5:$H$204,T760)))</f>
        <v/>
      </c>
      <c r="Y760" s="11">
        <f>IF(J760="","",S760-V760-W760-X760)</f>
        <v/>
      </c>
    </row>
    <row r="761">
      <c r="A761" s="19" t="n"/>
      <c r="B761" s="19" t="n"/>
      <c r="C761" s="19" t="n"/>
      <c r="D761" s="19" t="n"/>
      <c r="E761" s="19" t="n"/>
      <c r="F761" s="20" t="n"/>
      <c r="G761" s="20" t="n"/>
      <c r="H761" s="20" t="n"/>
      <c r="I761" s="19" t="n"/>
      <c r="J761">
        <f>IFERROR(IF(C761="","",C761)&amp;"","")</f>
        <v/>
      </c>
      <c r="K761">
        <f>IFERROR(IF(D761="","",D761)&amp;"","")</f>
        <v/>
      </c>
      <c r="L761">
        <f>IFERROR(IF(I761="","",I761)&amp;"","")</f>
        <v/>
      </c>
      <c r="M761">
        <f>IF(J761="","",IFERROR(VALUE(SUBSTITUTE(SUBSTITUTE(IF(E761="","",E761)&amp;"","$",""),",","")),0))</f>
        <v/>
      </c>
      <c r="N761" s="11">
        <f>IF(J761="","",IFERROR(VALUE(SUBSTITUTE(SUBSTITUTE(IF(F761="","",F761)&amp;"","$",""),",","")),0))</f>
        <v/>
      </c>
      <c r="O761" s="11">
        <f>IF(J761="","",M761*N761)</f>
        <v/>
      </c>
      <c r="P761">
        <f>IF(J761="","",IF(L761="",1,COUNTIF($L$2:$L$1501,L761)))</f>
        <v/>
      </c>
      <c r="Q761" s="11">
        <f>IF(J761="","",IFERROR(VALUE(SUBSTITUTE(SUBSTITUTE(IF(G761="","",G761)&amp;"","$",""),",","")),0)/IF("No"="Yes",P761,1))</f>
        <v/>
      </c>
      <c r="R761" s="11">
        <f>IF(J761="","",IFERROR(VALUE(SUBSTITUTE(SUBSTITUTE(IF(H761="","",H761)&amp;"","$",""),",","")),0)/IF("No"="Yes",P761,1))</f>
        <v/>
      </c>
      <c r="S761" s="11">
        <f>IF(J761="","",O761+Q761-R761)</f>
        <v/>
      </c>
      <c r="T761">
        <f>IF(J761="","",IFERROR(IF(K761="",NA(),MATCH(K761,Products!$B$5:$B$204,0)),IFERROR(MATCH(J761,Products!$A$5:$A$204,0),"")))</f>
        <v/>
      </c>
      <c r="U761">
        <f>IF(J761="","",IF(T761="","⚠ not in Products",INDEX(Products!$A$5:$A$204,T761)))</f>
        <v/>
      </c>
      <c r="V761" s="11">
        <f>IF(J761="","",S761*(IFERROR(INDEX(Settings!$B$5:$B$9,MATCH($B761,Settings!$A$5:$A$9,0)),0)+IFERROR(INDEX(Settings!$E$5:$E$9,MATCH($B761,Settings!$A$5:$A$9,0)),0)+IFERROR(INDEX(Settings!$G$5:$G$9,MATCH($B761,Settings!$A$5:$A$9,0)),0))+(IFERROR(INDEX(Settings!$C$5:$C$9,MATCH($B761,Settings!$A$5:$A$9,0)),0)+IFERROR(INDEX(Settings!$F$5:$F$9,MATCH($B761,Settings!$A$5:$A$9,0)),0))/P761+IFERROR(INDEX(Settings!$D$5:$D$9,MATCH($B761,Settings!$A$5:$A$9,0)),0)*M761)</f>
        <v/>
      </c>
      <c r="W761" s="11">
        <f>IF(J761="","",IF(T761="",0,M761*INDEX(Products!$I$5:$I$204,T761)))</f>
        <v/>
      </c>
      <c r="X761" s="11">
        <f>IF(J761="","",IF(T761="",0,S761*INDEX(Products!$H$5:$H$204,T761)))</f>
        <v/>
      </c>
      <c r="Y761" s="11">
        <f>IF(J761="","",S761-V761-W761-X761)</f>
        <v/>
      </c>
    </row>
    <row r="762">
      <c r="A762" s="19" t="n"/>
      <c r="B762" s="19" t="n"/>
      <c r="C762" s="19" t="n"/>
      <c r="D762" s="19" t="n"/>
      <c r="E762" s="19" t="n"/>
      <c r="F762" s="20" t="n"/>
      <c r="G762" s="20" t="n"/>
      <c r="H762" s="20" t="n"/>
      <c r="I762" s="19" t="n"/>
      <c r="J762">
        <f>IFERROR(IF(C762="","",C762)&amp;"","")</f>
        <v/>
      </c>
      <c r="K762">
        <f>IFERROR(IF(D762="","",D762)&amp;"","")</f>
        <v/>
      </c>
      <c r="L762">
        <f>IFERROR(IF(I762="","",I762)&amp;"","")</f>
        <v/>
      </c>
      <c r="M762">
        <f>IF(J762="","",IFERROR(VALUE(SUBSTITUTE(SUBSTITUTE(IF(E762="","",E762)&amp;"","$",""),",","")),0))</f>
        <v/>
      </c>
      <c r="N762" s="11">
        <f>IF(J762="","",IFERROR(VALUE(SUBSTITUTE(SUBSTITUTE(IF(F762="","",F762)&amp;"","$",""),",","")),0))</f>
        <v/>
      </c>
      <c r="O762" s="11">
        <f>IF(J762="","",M762*N762)</f>
        <v/>
      </c>
      <c r="P762">
        <f>IF(J762="","",IF(L762="",1,COUNTIF($L$2:$L$1501,L762)))</f>
        <v/>
      </c>
      <c r="Q762" s="11">
        <f>IF(J762="","",IFERROR(VALUE(SUBSTITUTE(SUBSTITUTE(IF(G762="","",G762)&amp;"","$",""),",","")),0)/IF("No"="Yes",P762,1))</f>
        <v/>
      </c>
      <c r="R762" s="11">
        <f>IF(J762="","",IFERROR(VALUE(SUBSTITUTE(SUBSTITUTE(IF(H762="","",H762)&amp;"","$",""),",","")),0)/IF("No"="Yes",P762,1))</f>
        <v/>
      </c>
      <c r="S762" s="11">
        <f>IF(J762="","",O762+Q762-R762)</f>
        <v/>
      </c>
      <c r="T762">
        <f>IF(J762="","",IFERROR(IF(K762="",NA(),MATCH(K762,Products!$B$5:$B$204,0)),IFERROR(MATCH(J762,Products!$A$5:$A$204,0),"")))</f>
        <v/>
      </c>
      <c r="U762">
        <f>IF(J762="","",IF(T762="","⚠ not in Products",INDEX(Products!$A$5:$A$204,T762)))</f>
        <v/>
      </c>
      <c r="V762" s="11">
        <f>IF(J762="","",S762*(IFERROR(INDEX(Settings!$B$5:$B$9,MATCH($B762,Settings!$A$5:$A$9,0)),0)+IFERROR(INDEX(Settings!$E$5:$E$9,MATCH($B762,Settings!$A$5:$A$9,0)),0)+IFERROR(INDEX(Settings!$G$5:$G$9,MATCH($B762,Settings!$A$5:$A$9,0)),0))+(IFERROR(INDEX(Settings!$C$5:$C$9,MATCH($B762,Settings!$A$5:$A$9,0)),0)+IFERROR(INDEX(Settings!$F$5:$F$9,MATCH($B762,Settings!$A$5:$A$9,0)),0))/P762+IFERROR(INDEX(Settings!$D$5:$D$9,MATCH($B762,Settings!$A$5:$A$9,0)),0)*M762)</f>
        <v/>
      </c>
      <c r="W762" s="11">
        <f>IF(J762="","",IF(T762="",0,M762*INDEX(Products!$I$5:$I$204,T762)))</f>
        <v/>
      </c>
      <c r="X762" s="11">
        <f>IF(J762="","",IF(T762="",0,S762*INDEX(Products!$H$5:$H$204,T762)))</f>
        <v/>
      </c>
      <c r="Y762" s="11">
        <f>IF(J762="","",S762-V762-W762-X762)</f>
        <v/>
      </c>
    </row>
    <row r="763">
      <c r="A763" s="19" t="n"/>
      <c r="B763" s="19" t="n"/>
      <c r="C763" s="19" t="n"/>
      <c r="D763" s="19" t="n"/>
      <c r="E763" s="19" t="n"/>
      <c r="F763" s="20" t="n"/>
      <c r="G763" s="20" t="n"/>
      <c r="H763" s="20" t="n"/>
      <c r="I763" s="19" t="n"/>
      <c r="J763">
        <f>IFERROR(IF(C763="","",C763)&amp;"","")</f>
        <v/>
      </c>
      <c r="K763">
        <f>IFERROR(IF(D763="","",D763)&amp;"","")</f>
        <v/>
      </c>
      <c r="L763">
        <f>IFERROR(IF(I763="","",I763)&amp;"","")</f>
        <v/>
      </c>
      <c r="M763">
        <f>IF(J763="","",IFERROR(VALUE(SUBSTITUTE(SUBSTITUTE(IF(E763="","",E763)&amp;"","$",""),",","")),0))</f>
        <v/>
      </c>
      <c r="N763" s="11">
        <f>IF(J763="","",IFERROR(VALUE(SUBSTITUTE(SUBSTITUTE(IF(F763="","",F763)&amp;"","$",""),",","")),0))</f>
        <v/>
      </c>
      <c r="O763" s="11">
        <f>IF(J763="","",M763*N763)</f>
        <v/>
      </c>
      <c r="P763">
        <f>IF(J763="","",IF(L763="",1,COUNTIF($L$2:$L$1501,L763)))</f>
        <v/>
      </c>
      <c r="Q763" s="11">
        <f>IF(J763="","",IFERROR(VALUE(SUBSTITUTE(SUBSTITUTE(IF(G763="","",G763)&amp;"","$",""),",","")),0)/IF("No"="Yes",P763,1))</f>
        <v/>
      </c>
      <c r="R763" s="11">
        <f>IF(J763="","",IFERROR(VALUE(SUBSTITUTE(SUBSTITUTE(IF(H763="","",H763)&amp;"","$",""),",","")),0)/IF("No"="Yes",P763,1))</f>
        <v/>
      </c>
      <c r="S763" s="11">
        <f>IF(J763="","",O763+Q763-R763)</f>
        <v/>
      </c>
      <c r="T763">
        <f>IF(J763="","",IFERROR(IF(K763="",NA(),MATCH(K763,Products!$B$5:$B$204,0)),IFERROR(MATCH(J763,Products!$A$5:$A$204,0),"")))</f>
        <v/>
      </c>
      <c r="U763">
        <f>IF(J763="","",IF(T763="","⚠ not in Products",INDEX(Products!$A$5:$A$204,T763)))</f>
        <v/>
      </c>
      <c r="V763" s="11">
        <f>IF(J763="","",S763*(IFERROR(INDEX(Settings!$B$5:$B$9,MATCH($B763,Settings!$A$5:$A$9,0)),0)+IFERROR(INDEX(Settings!$E$5:$E$9,MATCH($B763,Settings!$A$5:$A$9,0)),0)+IFERROR(INDEX(Settings!$G$5:$G$9,MATCH($B763,Settings!$A$5:$A$9,0)),0))+(IFERROR(INDEX(Settings!$C$5:$C$9,MATCH($B763,Settings!$A$5:$A$9,0)),0)+IFERROR(INDEX(Settings!$F$5:$F$9,MATCH($B763,Settings!$A$5:$A$9,0)),0))/P763+IFERROR(INDEX(Settings!$D$5:$D$9,MATCH($B763,Settings!$A$5:$A$9,0)),0)*M763)</f>
        <v/>
      </c>
      <c r="W763" s="11">
        <f>IF(J763="","",IF(T763="",0,M763*INDEX(Products!$I$5:$I$204,T763)))</f>
        <v/>
      </c>
      <c r="X763" s="11">
        <f>IF(J763="","",IF(T763="",0,S763*INDEX(Products!$H$5:$H$204,T763)))</f>
        <v/>
      </c>
      <c r="Y763" s="11">
        <f>IF(J763="","",S763-V763-W763-X763)</f>
        <v/>
      </c>
    </row>
    <row r="764">
      <c r="A764" s="19" t="n"/>
      <c r="B764" s="19" t="n"/>
      <c r="C764" s="19" t="n"/>
      <c r="D764" s="19" t="n"/>
      <c r="E764" s="19" t="n"/>
      <c r="F764" s="20" t="n"/>
      <c r="G764" s="20" t="n"/>
      <c r="H764" s="20" t="n"/>
      <c r="I764" s="19" t="n"/>
      <c r="J764">
        <f>IFERROR(IF(C764="","",C764)&amp;"","")</f>
        <v/>
      </c>
      <c r="K764">
        <f>IFERROR(IF(D764="","",D764)&amp;"","")</f>
        <v/>
      </c>
      <c r="L764">
        <f>IFERROR(IF(I764="","",I764)&amp;"","")</f>
        <v/>
      </c>
      <c r="M764">
        <f>IF(J764="","",IFERROR(VALUE(SUBSTITUTE(SUBSTITUTE(IF(E764="","",E764)&amp;"","$",""),",","")),0))</f>
        <v/>
      </c>
      <c r="N764" s="11">
        <f>IF(J764="","",IFERROR(VALUE(SUBSTITUTE(SUBSTITUTE(IF(F764="","",F764)&amp;"","$",""),",","")),0))</f>
        <v/>
      </c>
      <c r="O764" s="11">
        <f>IF(J764="","",M764*N764)</f>
        <v/>
      </c>
      <c r="P764">
        <f>IF(J764="","",IF(L764="",1,COUNTIF($L$2:$L$1501,L764)))</f>
        <v/>
      </c>
      <c r="Q764" s="11">
        <f>IF(J764="","",IFERROR(VALUE(SUBSTITUTE(SUBSTITUTE(IF(G764="","",G764)&amp;"","$",""),",","")),0)/IF("No"="Yes",P764,1))</f>
        <v/>
      </c>
      <c r="R764" s="11">
        <f>IF(J764="","",IFERROR(VALUE(SUBSTITUTE(SUBSTITUTE(IF(H764="","",H764)&amp;"","$",""),",","")),0)/IF("No"="Yes",P764,1))</f>
        <v/>
      </c>
      <c r="S764" s="11">
        <f>IF(J764="","",O764+Q764-R764)</f>
        <v/>
      </c>
      <c r="T764">
        <f>IF(J764="","",IFERROR(IF(K764="",NA(),MATCH(K764,Products!$B$5:$B$204,0)),IFERROR(MATCH(J764,Products!$A$5:$A$204,0),"")))</f>
        <v/>
      </c>
      <c r="U764">
        <f>IF(J764="","",IF(T764="","⚠ not in Products",INDEX(Products!$A$5:$A$204,T764)))</f>
        <v/>
      </c>
      <c r="V764" s="11">
        <f>IF(J764="","",S764*(IFERROR(INDEX(Settings!$B$5:$B$9,MATCH($B764,Settings!$A$5:$A$9,0)),0)+IFERROR(INDEX(Settings!$E$5:$E$9,MATCH($B764,Settings!$A$5:$A$9,0)),0)+IFERROR(INDEX(Settings!$G$5:$G$9,MATCH($B764,Settings!$A$5:$A$9,0)),0))+(IFERROR(INDEX(Settings!$C$5:$C$9,MATCH($B764,Settings!$A$5:$A$9,0)),0)+IFERROR(INDEX(Settings!$F$5:$F$9,MATCH($B764,Settings!$A$5:$A$9,0)),0))/P764+IFERROR(INDEX(Settings!$D$5:$D$9,MATCH($B764,Settings!$A$5:$A$9,0)),0)*M764)</f>
        <v/>
      </c>
      <c r="W764" s="11">
        <f>IF(J764="","",IF(T764="",0,M764*INDEX(Products!$I$5:$I$204,T764)))</f>
        <v/>
      </c>
      <c r="X764" s="11">
        <f>IF(J764="","",IF(T764="",0,S764*INDEX(Products!$H$5:$H$204,T764)))</f>
        <v/>
      </c>
      <c r="Y764" s="11">
        <f>IF(J764="","",S764-V764-W764-X764)</f>
        <v/>
      </c>
    </row>
    <row r="765">
      <c r="A765" s="19" t="n"/>
      <c r="B765" s="19" t="n"/>
      <c r="C765" s="19" t="n"/>
      <c r="D765" s="19" t="n"/>
      <c r="E765" s="19" t="n"/>
      <c r="F765" s="20" t="n"/>
      <c r="G765" s="20" t="n"/>
      <c r="H765" s="20" t="n"/>
      <c r="I765" s="19" t="n"/>
      <c r="J765">
        <f>IFERROR(IF(C765="","",C765)&amp;"","")</f>
        <v/>
      </c>
      <c r="K765">
        <f>IFERROR(IF(D765="","",D765)&amp;"","")</f>
        <v/>
      </c>
      <c r="L765">
        <f>IFERROR(IF(I765="","",I765)&amp;"","")</f>
        <v/>
      </c>
      <c r="M765">
        <f>IF(J765="","",IFERROR(VALUE(SUBSTITUTE(SUBSTITUTE(IF(E765="","",E765)&amp;"","$",""),",","")),0))</f>
        <v/>
      </c>
      <c r="N765" s="11">
        <f>IF(J765="","",IFERROR(VALUE(SUBSTITUTE(SUBSTITUTE(IF(F765="","",F765)&amp;"","$",""),",","")),0))</f>
        <v/>
      </c>
      <c r="O765" s="11">
        <f>IF(J765="","",M765*N765)</f>
        <v/>
      </c>
      <c r="P765">
        <f>IF(J765="","",IF(L765="",1,COUNTIF($L$2:$L$1501,L765)))</f>
        <v/>
      </c>
      <c r="Q765" s="11">
        <f>IF(J765="","",IFERROR(VALUE(SUBSTITUTE(SUBSTITUTE(IF(G765="","",G765)&amp;"","$",""),",","")),0)/IF("No"="Yes",P765,1))</f>
        <v/>
      </c>
      <c r="R765" s="11">
        <f>IF(J765="","",IFERROR(VALUE(SUBSTITUTE(SUBSTITUTE(IF(H765="","",H765)&amp;"","$",""),",","")),0)/IF("No"="Yes",P765,1))</f>
        <v/>
      </c>
      <c r="S765" s="11">
        <f>IF(J765="","",O765+Q765-R765)</f>
        <v/>
      </c>
      <c r="T765">
        <f>IF(J765="","",IFERROR(IF(K765="",NA(),MATCH(K765,Products!$B$5:$B$204,0)),IFERROR(MATCH(J765,Products!$A$5:$A$204,0),"")))</f>
        <v/>
      </c>
      <c r="U765">
        <f>IF(J765="","",IF(T765="","⚠ not in Products",INDEX(Products!$A$5:$A$204,T765)))</f>
        <v/>
      </c>
      <c r="V765" s="11">
        <f>IF(J765="","",S765*(IFERROR(INDEX(Settings!$B$5:$B$9,MATCH($B765,Settings!$A$5:$A$9,0)),0)+IFERROR(INDEX(Settings!$E$5:$E$9,MATCH($B765,Settings!$A$5:$A$9,0)),0)+IFERROR(INDEX(Settings!$G$5:$G$9,MATCH($B765,Settings!$A$5:$A$9,0)),0))+(IFERROR(INDEX(Settings!$C$5:$C$9,MATCH($B765,Settings!$A$5:$A$9,0)),0)+IFERROR(INDEX(Settings!$F$5:$F$9,MATCH($B765,Settings!$A$5:$A$9,0)),0))/P765+IFERROR(INDEX(Settings!$D$5:$D$9,MATCH($B765,Settings!$A$5:$A$9,0)),0)*M765)</f>
        <v/>
      </c>
      <c r="W765" s="11">
        <f>IF(J765="","",IF(T765="",0,M765*INDEX(Products!$I$5:$I$204,T765)))</f>
        <v/>
      </c>
      <c r="X765" s="11">
        <f>IF(J765="","",IF(T765="",0,S765*INDEX(Products!$H$5:$H$204,T765)))</f>
        <v/>
      </c>
      <c r="Y765" s="11">
        <f>IF(J765="","",S765-V765-W765-X765)</f>
        <v/>
      </c>
    </row>
    <row r="766">
      <c r="A766" s="19" t="n"/>
      <c r="B766" s="19" t="n"/>
      <c r="C766" s="19" t="n"/>
      <c r="D766" s="19" t="n"/>
      <c r="E766" s="19" t="n"/>
      <c r="F766" s="20" t="n"/>
      <c r="G766" s="20" t="n"/>
      <c r="H766" s="20" t="n"/>
      <c r="I766" s="19" t="n"/>
      <c r="J766">
        <f>IFERROR(IF(C766="","",C766)&amp;"","")</f>
        <v/>
      </c>
      <c r="K766">
        <f>IFERROR(IF(D766="","",D766)&amp;"","")</f>
        <v/>
      </c>
      <c r="L766">
        <f>IFERROR(IF(I766="","",I766)&amp;"","")</f>
        <v/>
      </c>
      <c r="M766">
        <f>IF(J766="","",IFERROR(VALUE(SUBSTITUTE(SUBSTITUTE(IF(E766="","",E766)&amp;"","$",""),",","")),0))</f>
        <v/>
      </c>
      <c r="N766" s="11">
        <f>IF(J766="","",IFERROR(VALUE(SUBSTITUTE(SUBSTITUTE(IF(F766="","",F766)&amp;"","$",""),",","")),0))</f>
        <v/>
      </c>
      <c r="O766" s="11">
        <f>IF(J766="","",M766*N766)</f>
        <v/>
      </c>
      <c r="P766">
        <f>IF(J766="","",IF(L766="",1,COUNTIF($L$2:$L$1501,L766)))</f>
        <v/>
      </c>
      <c r="Q766" s="11">
        <f>IF(J766="","",IFERROR(VALUE(SUBSTITUTE(SUBSTITUTE(IF(G766="","",G766)&amp;"","$",""),",","")),0)/IF("No"="Yes",P766,1))</f>
        <v/>
      </c>
      <c r="R766" s="11">
        <f>IF(J766="","",IFERROR(VALUE(SUBSTITUTE(SUBSTITUTE(IF(H766="","",H766)&amp;"","$",""),",","")),0)/IF("No"="Yes",P766,1))</f>
        <v/>
      </c>
      <c r="S766" s="11">
        <f>IF(J766="","",O766+Q766-R766)</f>
        <v/>
      </c>
      <c r="T766">
        <f>IF(J766="","",IFERROR(IF(K766="",NA(),MATCH(K766,Products!$B$5:$B$204,0)),IFERROR(MATCH(J766,Products!$A$5:$A$204,0),"")))</f>
        <v/>
      </c>
      <c r="U766">
        <f>IF(J766="","",IF(T766="","⚠ not in Products",INDEX(Products!$A$5:$A$204,T766)))</f>
        <v/>
      </c>
      <c r="V766" s="11">
        <f>IF(J766="","",S766*(IFERROR(INDEX(Settings!$B$5:$B$9,MATCH($B766,Settings!$A$5:$A$9,0)),0)+IFERROR(INDEX(Settings!$E$5:$E$9,MATCH($B766,Settings!$A$5:$A$9,0)),0)+IFERROR(INDEX(Settings!$G$5:$G$9,MATCH($B766,Settings!$A$5:$A$9,0)),0))+(IFERROR(INDEX(Settings!$C$5:$C$9,MATCH($B766,Settings!$A$5:$A$9,0)),0)+IFERROR(INDEX(Settings!$F$5:$F$9,MATCH($B766,Settings!$A$5:$A$9,0)),0))/P766+IFERROR(INDEX(Settings!$D$5:$D$9,MATCH($B766,Settings!$A$5:$A$9,0)),0)*M766)</f>
        <v/>
      </c>
      <c r="W766" s="11">
        <f>IF(J766="","",IF(T766="",0,M766*INDEX(Products!$I$5:$I$204,T766)))</f>
        <v/>
      </c>
      <c r="X766" s="11">
        <f>IF(J766="","",IF(T766="",0,S766*INDEX(Products!$H$5:$H$204,T766)))</f>
        <v/>
      </c>
      <c r="Y766" s="11">
        <f>IF(J766="","",S766-V766-W766-X766)</f>
        <v/>
      </c>
    </row>
    <row r="767">
      <c r="A767" s="19" t="n"/>
      <c r="B767" s="19" t="n"/>
      <c r="C767" s="19" t="n"/>
      <c r="D767" s="19" t="n"/>
      <c r="E767" s="19" t="n"/>
      <c r="F767" s="20" t="n"/>
      <c r="G767" s="20" t="n"/>
      <c r="H767" s="20" t="n"/>
      <c r="I767" s="19" t="n"/>
      <c r="J767">
        <f>IFERROR(IF(C767="","",C767)&amp;"","")</f>
        <v/>
      </c>
      <c r="K767">
        <f>IFERROR(IF(D767="","",D767)&amp;"","")</f>
        <v/>
      </c>
      <c r="L767">
        <f>IFERROR(IF(I767="","",I767)&amp;"","")</f>
        <v/>
      </c>
      <c r="M767">
        <f>IF(J767="","",IFERROR(VALUE(SUBSTITUTE(SUBSTITUTE(IF(E767="","",E767)&amp;"","$",""),",","")),0))</f>
        <v/>
      </c>
      <c r="N767" s="11">
        <f>IF(J767="","",IFERROR(VALUE(SUBSTITUTE(SUBSTITUTE(IF(F767="","",F767)&amp;"","$",""),",","")),0))</f>
        <v/>
      </c>
      <c r="O767" s="11">
        <f>IF(J767="","",M767*N767)</f>
        <v/>
      </c>
      <c r="P767">
        <f>IF(J767="","",IF(L767="",1,COUNTIF($L$2:$L$1501,L767)))</f>
        <v/>
      </c>
      <c r="Q767" s="11">
        <f>IF(J767="","",IFERROR(VALUE(SUBSTITUTE(SUBSTITUTE(IF(G767="","",G767)&amp;"","$",""),",","")),0)/IF("No"="Yes",P767,1))</f>
        <v/>
      </c>
      <c r="R767" s="11">
        <f>IF(J767="","",IFERROR(VALUE(SUBSTITUTE(SUBSTITUTE(IF(H767="","",H767)&amp;"","$",""),",","")),0)/IF("No"="Yes",P767,1))</f>
        <v/>
      </c>
      <c r="S767" s="11">
        <f>IF(J767="","",O767+Q767-R767)</f>
        <v/>
      </c>
      <c r="T767">
        <f>IF(J767="","",IFERROR(IF(K767="",NA(),MATCH(K767,Products!$B$5:$B$204,0)),IFERROR(MATCH(J767,Products!$A$5:$A$204,0),"")))</f>
        <v/>
      </c>
      <c r="U767">
        <f>IF(J767="","",IF(T767="","⚠ not in Products",INDEX(Products!$A$5:$A$204,T767)))</f>
        <v/>
      </c>
      <c r="V767" s="11">
        <f>IF(J767="","",S767*(IFERROR(INDEX(Settings!$B$5:$B$9,MATCH($B767,Settings!$A$5:$A$9,0)),0)+IFERROR(INDEX(Settings!$E$5:$E$9,MATCH($B767,Settings!$A$5:$A$9,0)),0)+IFERROR(INDEX(Settings!$G$5:$G$9,MATCH($B767,Settings!$A$5:$A$9,0)),0))+(IFERROR(INDEX(Settings!$C$5:$C$9,MATCH($B767,Settings!$A$5:$A$9,0)),0)+IFERROR(INDEX(Settings!$F$5:$F$9,MATCH($B767,Settings!$A$5:$A$9,0)),0))/P767+IFERROR(INDEX(Settings!$D$5:$D$9,MATCH($B767,Settings!$A$5:$A$9,0)),0)*M767)</f>
        <v/>
      </c>
      <c r="W767" s="11">
        <f>IF(J767="","",IF(T767="",0,M767*INDEX(Products!$I$5:$I$204,T767)))</f>
        <v/>
      </c>
      <c r="X767" s="11">
        <f>IF(J767="","",IF(T767="",0,S767*INDEX(Products!$H$5:$H$204,T767)))</f>
        <v/>
      </c>
      <c r="Y767" s="11">
        <f>IF(J767="","",S767-V767-W767-X767)</f>
        <v/>
      </c>
    </row>
    <row r="768">
      <c r="A768" s="19" t="n"/>
      <c r="B768" s="19" t="n"/>
      <c r="C768" s="19" t="n"/>
      <c r="D768" s="19" t="n"/>
      <c r="E768" s="19" t="n"/>
      <c r="F768" s="20" t="n"/>
      <c r="G768" s="20" t="n"/>
      <c r="H768" s="20" t="n"/>
      <c r="I768" s="19" t="n"/>
      <c r="J768">
        <f>IFERROR(IF(C768="","",C768)&amp;"","")</f>
        <v/>
      </c>
      <c r="K768">
        <f>IFERROR(IF(D768="","",D768)&amp;"","")</f>
        <v/>
      </c>
      <c r="L768">
        <f>IFERROR(IF(I768="","",I768)&amp;"","")</f>
        <v/>
      </c>
      <c r="M768">
        <f>IF(J768="","",IFERROR(VALUE(SUBSTITUTE(SUBSTITUTE(IF(E768="","",E768)&amp;"","$",""),",","")),0))</f>
        <v/>
      </c>
      <c r="N768" s="11">
        <f>IF(J768="","",IFERROR(VALUE(SUBSTITUTE(SUBSTITUTE(IF(F768="","",F768)&amp;"","$",""),",","")),0))</f>
        <v/>
      </c>
      <c r="O768" s="11">
        <f>IF(J768="","",M768*N768)</f>
        <v/>
      </c>
      <c r="P768">
        <f>IF(J768="","",IF(L768="",1,COUNTIF($L$2:$L$1501,L768)))</f>
        <v/>
      </c>
      <c r="Q768" s="11">
        <f>IF(J768="","",IFERROR(VALUE(SUBSTITUTE(SUBSTITUTE(IF(G768="","",G768)&amp;"","$",""),",","")),0)/IF("No"="Yes",P768,1))</f>
        <v/>
      </c>
      <c r="R768" s="11">
        <f>IF(J768="","",IFERROR(VALUE(SUBSTITUTE(SUBSTITUTE(IF(H768="","",H768)&amp;"","$",""),",","")),0)/IF("No"="Yes",P768,1))</f>
        <v/>
      </c>
      <c r="S768" s="11">
        <f>IF(J768="","",O768+Q768-R768)</f>
        <v/>
      </c>
      <c r="T768">
        <f>IF(J768="","",IFERROR(IF(K768="",NA(),MATCH(K768,Products!$B$5:$B$204,0)),IFERROR(MATCH(J768,Products!$A$5:$A$204,0),"")))</f>
        <v/>
      </c>
      <c r="U768">
        <f>IF(J768="","",IF(T768="","⚠ not in Products",INDEX(Products!$A$5:$A$204,T768)))</f>
        <v/>
      </c>
      <c r="V768" s="11">
        <f>IF(J768="","",S768*(IFERROR(INDEX(Settings!$B$5:$B$9,MATCH($B768,Settings!$A$5:$A$9,0)),0)+IFERROR(INDEX(Settings!$E$5:$E$9,MATCH($B768,Settings!$A$5:$A$9,0)),0)+IFERROR(INDEX(Settings!$G$5:$G$9,MATCH($B768,Settings!$A$5:$A$9,0)),0))+(IFERROR(INDEX(Settings!$C$5:$C$9,MATCH($B768,Settings!$A$5:$A$9,0)),0)+IFERROR(INDEX(Settings!$F$5:$F$9,MATCH($B768,Settings!$A$5:$A$9,0)),0))/P768+IFERROR(INDEX(Settings!$D$5:$D$9,MATCH($B768,Settings!$A$5:$A$9,0)),0)*M768)</f>
        <v/>
      </c>
      <c r="W768" s="11">
        <f>IF(J768="","",IF(T768="",0,M768*INDEX(Products!$I$5:$I$204,T768)))</f>
        <v/>
      </c>
      <c r="X768" s="11">
        <f>IF(J768="","",IF(T768="",0,S768*INDEX(Products!$H$5:$H$204,T768)))</f>
        <v/>
      </c>
      <c r="Y768" s="11">
        <f>IF(J768="","",S768-V768-W768-X768)</f>
        <v/>
      </c>
    </row>
    <row r="769">
      <c r="A769" s="19" t="n"/>
      <c r="B769" s="19" t="n"/>
      <c r="C769" s="19" t="n"/>
      <c r="D769" s="19" t="n"/>
      <c r="E769" s="19" t="n"/>
      <c r="F769" s="20" t="n"/>
      <c r="G769" s="20" t="n"/>
      <c r="H769" s="20" t="n"/>
      <c r="I769" s="19" t="n"/>
      <c r="J769">
        <f>IFERROR(IF(C769="","",C769)&amp;"","")</f>
        <v/>
      </c>
      <c r="K769">
        <f>IFERROR(IF(D769="","",D769)&amp;"","")</f>
        <v/>
      </c>
      <c r="L769">
        <f>IFERROR(IF(I769="","",I769)&amp;"","")</f>
        <v/>
      </c>
      <c r="M769">
        <f>IF(J769="","",IFERROR(VALUE(SUBSTITUTE(SUBSTITUTE(IF(E769="","",E769)&amp;"","$",""),",","")),0))</f>
        <v/>
      </c>
      <c r="N769" s="11">
        <f>IF(J769="","",IFERROR(VALUE(SUBSTITUTE(SUBSTITUTE(IF(F769="","",F769)&amp;"","$",""),",","")),0))</f>
        <v/>
      </c>
      <c r="O769" s="11">
        <f>IF(J769="","",M769*N769)</f>
        <v/>
      </c>
      <c r="P769">
        <f>IF(J769="","",IF(L769="",1,COUNTIF($L$2:$L$1501,L769)))</f>
        <v/>
      </c>
      <c r="Q769" s="11">
        <f>IF(J769="","",IFERROR(VALUE(SUBSTITUTE(SUBSTITUTE(IF(G769="","",G769)&amp;"","$",""),",","")),0)/IF("No"="Yes",P769,1))</f>
        <v/>
      </c>
      <c r="R769" s="11">
        <f>IF(J769="","",IFERROR(VALUE(SUBSTITUTE(SUBSTITUTE(IF(H769="","",H769)&amp;"","$",""),",","")),0)/IF("No"="Yes",P769,1))</f>
        <v/>
      </c>
      <c r="S769" s="11">
        <f>IF(J769="","",O769+Q769-R769)</f>
        <v/>
      </c>
      <c r="T769">
        <f>IF(J769="","",IFERROR(IF(K769="",NA(),MATCH(K769,Products!$B$5:$B$204,0)),IFERROR(MATCH(J769,Products!$A$5:$A$204,0),"")))</f>
        <v/>
      </c>
      <c r="U769">
        <f>IF(J769="","",IF(T769="","⚠ not in Products",INDEX(Products!$A$5:$A$204,T769)))</f>
        <v/>
      </c>
      <c r="V769" s="11">
        <f>IF(J769="","",S769*(IFERROR(INDEX(Settings!$B$5:$B$9,MATCH($B769,Settings!$A$5:$A$9,0)),0)+IFERROR(INDEX(Settings!$E$5:$E$9,MATCH($B769,Settings!$A$5:$A$9,0)),0)+IFERROR(INDEX(Settings!$G$5:$G$9,MATCH($B769,Settings!$A$5:$A$9,0)),0))+(IFERROR(INDEX(Settings!$C$5:$C$9,MATCH($B769,Settings!$A$5:$A$9,0)),0)+IFERROR(INDEX(Settings!$F$5:$F$9,MATCH($B769,Settings!$A$5:$A$9,0)),0))/P769+IFERROR(INDEX(Settings!$D$5:$D$9,MATCH($B769,Settings!$A$5:$A$9,0)),0)*M769)</f>
        <v/>
      </c>
      <c r="W769" s="11">
        <f>IF(J769="","",IF(T769="",0,M769*INDEX(Products!$I$5:$I$204,T769)))</f>
        <v/>
      </c>
      <c r="X769" s="11">
        <f>IF(J769="","",IF(T769="",0,S769*INDEX(Products!$H$5:$H$204,T769)))</f>
        <v/>
      </c>
      <c r="Y769" s="11">
        <f>IF(J769="","",S769-V769-W769-X769)</f>
        <v/>
      </c>
    </row>
    <row r="770">
      <c r="A770" s="19" t="n"/>
      <c r="B770" s="19" t="n"/>
      <c r="C770" s="19" t="n"/>
      <c r="D770" s="19" t="n"/>
      <c r="E770" s="19" t="n"/>
      <c r="F770" s="20" t="n"/>
      <c r="G770" s="20" t="n"/>
      <c r="H770" s="20" t="n"/>
      <c r="I770" s="19" t="n"/>
      <c r="J770">
        <f>IFERROR(IF(C770="","",C770)&amp;"","")</f>
        <v/>
      </c>
      <c r="K770">
        <f>IFERROR(IF(D770="","",D770)&amp;"","")</f>
        <v/>
      </c>
      <c r="L770">
        <f>IFERROR(IF(I770="","",I770)&amp;"","")</f>
        <v/>
      </c>
      <c r="M770">
        <f>IF(J770="","",IFERROR(VALUE(SUBSTITUTE(SUBSTITUTE(IF(E770="","",E770)&amp;"","$",""),",","")),0))</f>
        <v/>
      </c>
      <c r="N770" s="11">
        <f>IF(J770="","",IFERROR(VALUE(SUBSTITUTE(SUBSTITUTE(IF(F770="","",F770)&amp;"","$",""),",","")),0))</f>
        <v/>
      </c>
      <c r="O770" s="11">
        <f>IF(J770="","",M770*N770)</f>
        <v/>
      </c>
      <c r="P770">
        <f>IF(J770="","",IF(L770="",1,COUNTIF($L$2:$L$1501,L770)))</f>
        <v/>
      </c>
      <c r="Q770" s="11">
        <f>IF(J770="","",IFERROR(VALUE(SUBSTITUTE(SUBSTITUTE(IF(G770="","",G770)&amp;"","$",""),",","")),0)/IF("No"="Yes",P770,1))</f>
        <v/>
      </c>
      <c r="R770" s="11">
        <f>IF(J770="","",IFERROR(VALUE(SUBSTITUTE(SUBSTITUTE(IF(H770="","",H770)&amp;"","$",""),",","")),0)/IF("No"="Yes",P770,1))</f>
        <v/>
      </c>
      <c r="S770" s="11">
        <f>IF(J770="","",O770+Q770-R770)</f>
        <v/>
      </c>
      <c r="T770">
        <f>IF(J770="","",IFERROR(IF(K770="",NA(),MATCH(K770,Products!$B$5:$B$204,0)),IFERROR(MATCH(J770,Products!$A$5:$A$204,0),"")))</f>
        <v/>
      </c>
      <c r="U770">
        <f>IF(J770="","",IF(T770="","⚠ not in Products",INDEX(Products!$A$5:$A$204,T770)))</f>
        <v/>
      </c>
      <c r="V770" s="11">
        <f>IF(J770="","",S770*(IFERROR(INDEX(Settings!$B$5:$B$9,MATCH($B770,Settings!$A$5:$A$9,0)),0)+IFERROR(INDEX(Settings!$E$5:$E$9,MATCH($B770,Settings!$A$5:$A$9,0)),0)+IFERROR(INDEX(Settings!$G$5:$G$9,MATCH($B770,Settings!$A$5:$A$9,0)),0))+(IFERROR(INDEX(Settings!$C$5:$C$9,MATCH($B770,Settings!$A$5:$A$9,0)),0)+IFERROR(INDEX(Settings!$F$5:$F$9,MATCH($B770,Settings!$A$5:$A$9,0)),0))/P770+IFERROR(INDEX(Settings!$D$5:$D$9,MATCH($B770,Settings!$A$5:$A$9,0)),0)*M770)</f>
        <v/>
      </c>
      <c r="W770" s="11">
        <f>IF(J770="","",IF(T770="",0,M770*INDEX(Products!$I$5:$I$204,T770)))</f>
        <v/>
      </c>
      <c r="X770" s="11">
        <f>IF(J770="","",IF(T770="",0,S770*INDEX(Products!$H$5:$H$204,T770)))</f>
        <v/>
      </c>
      <c r="Y770" s="11">
        <f>IF(J770="","",S770-V770-W770-X770)</f>
        <v/>
      </c>
    </row>
    <row r="771">
      <c r="A771" s="19" t="n"/>
      <c r="B771" s="19" t="n"/>
      <c r="C771" s="19" t="n"/>
      <c r="D771" s="19" t="n"/>
      <c r="E771" s="19" t="n"/>
      <c r="F771" s="20" t="n"/>
      <c r="G771" s="20" t="n"/>
      <c r="H771" s="20" t="n"/>
      <c r="I771" s="19" t="n"/>
      <c r="J771">
        <f>IFERROR(IF(C771="","",C771)&amp;"","")</f>
        <v/>
      </c>
      <c r="K771">
        <f>IFERROR(IF(D771="","",D771)&amp;"","")</f>
        <v/>
      </c>
      <c r="L771">
        <f>IFERROR(IF(I771="","",I771)&amp;"","")</f>
        <v/>
      </c>
      <c r="M771">
        <f>IF(J771="","",IFERROR(VALUE(SUBSTITUTE(SUBSTITUTE(IF(E771="","",E771)&amp;"","$",""),",","")),0))</f>
        <v/>
      </c>
      <c r="N771" s="11">
        <f>IF(J771="","",IFERROR(VALUE(SUBSTITUTE(SUBSTITUTE(IF(F771="","",F771)&amp;"","$",""),",","")),0))</f>
        <v/>
      </c>
      <c r="O771" s="11">
        <f>IF(J771="","",M771*N771)</f>
        <v/>
      </c>
      <c r="P771">
        <f>IF(J771="","",IF(L771="",1,COUNTIF($L$2:$L$1501,L771)))</f>
        <v/>
      </c>
      <c r="Q771" s="11">
        <f>IF(J771="","",IFERROR(VALUE(SUBSTITUTE(SUBSTITUTE(IF(G771="","",G771)&amp;"","$",""),",","")),0)/IF("No"="Yes",P771,1))</f>
        <v/>
      </c>
      <c r="R771" s="11">
        <f>IF(J771="","",IFERROR(VALUE(SUBSTITUTE(SUBSTITUTE(IF(H771="","",H771)&amp;"","$",""),",","")),0)/IF("No"="Yes",P771,1))</f>
        <v/>
      </c>
      <c r="S771" s="11">
        <f>IF(J771="","",O771+Q771-R771)</f>
        <v/>
      </c>
      <c r="T771">
        <f>IF(J771="","",IFERROR(IF(K771="",NA(),MATCH(K771,Products!$B$5:$B$204,0)),IFERROR(MATCH(J771,Products!$A$5:$A$204,0),"")))</f>
        <v/>
      </c>
      <c r="U771">
        <f>IF(J771="","",IF(T771="","⚠ not in Products",INDEX(Products!$A$5:$A$204,T771)))</f>
        <v/>
      </c>
      <c r="V771" s="11">
        <f>IF(J771="","",S771*(IFERROR(INDEX(Settings!$B$5:$B$9,MATCH($B771,Settings!$A$5:$A$9,0)),0)+IFERROR(INDEX(Settings!$E$5:$E$9,MATCH($B771,Settings!$A$5:$A$9,0)),0)+IFERROR(INDEX(Settings!$G$5:$G$9,MATCH($B771,Settings!$A$5:$A$9,0)),0))+(IFERROR(INDEX(Settings!$C$5:$C$9,MATCH($B771,Settings!$A$5:$A$9,0)),0)+IFERROR(INDEX(Settings!$F$5:$F$9,MATCH($B771,Settings!$A$5:$A$9,0)),0))/P771+IFERROR(INDEX(Settings!$D$5:$D$9,MATCH($B771,Settings!$A$5:$A$9,0)),0)*M771)</f>
        <v/>
      </c>
      <c r="W771" s="11">
        <f>IF(J771="","",IF(T771="",0,M771*INDEX(Products!$I$5:$I$204,T771)))</f>
        <v/>
      </c>
      <c r="X771" s="11">
        <f>IF(J771="","",IF(T771="",0,S771*INDEX(Products!$H$5:$H$204,T771)))</f>
        <v/>
      </c>
      <c r="Y771" s="11">
        <f>IF(J771="","",S771-V771-W771-X771)</f>
        <v/>
      </c>
    </row>
    <row r="772">
      <c r="A772" s="19" t="n"/>
      <c r="B772" s="19" t="n"/>
      <c r="C772" s="19" t="n"/>
      <c r="D772" s="19" t="n"/>
      <c r="E772" s="19" t="n"/>
      <c r="F772" s="20" t="n"/>
      <c r="G772" s="20" t="n"/>
      <c r="H772" s="20" t="n"/>
      <c r="I772" s="19" t="n"/>
      <c r="J772">
        <f>IFERROR(IF(C772="","",C772)&amp;"","")</f>
        <v/>
      </c>
      <c r="K772">
        <f>IFERROR(IF(D772="","",D772)&amp;"","")</f>
        <v/>
      </c>
      <c r="L772">
        <f>IFERROR(IF(I772="","",I772)&amp;"","")</f>
        <v/>
      </c>
      <c r="M772">
        <f>IF(J772="","",IFERROR(VALUE(SUBSTITUTE(SUBSTITUTE(IF(E772="","",E772)&amp;"","$",""),",","")),0))</f>
        <v/>
      </c>
      <c r="N772" s="11">
        <f>IF(J772="","",IFERROR(VALUE(SUBSTITUTE(SUBSTITUTE(IF(F772="","",F772)&amp;"","$",""),",","")),0))</f>
        <v/>
      </c>
      <c r="O772" s="11">
        <f>IF(J772="","",M772*N772)</f>
        <v/>
      </c>
      <c r="P772">
        <f>IF(J772="","",IF(L772="",1,COUNTIF($L$2:$L$1501,L772)))</f>
        <v/>
      </c>
      <c r="Q772" s="11">
        <f>IF(J772="","",IFERROR(VALUE(SUBSTITUTE(SUBSTITUTE(IF(G772="","",G772)&amp;"","$",""),",","")),0)/IF("No"="Yes",P772,1))</f>
        <v/>
      </c>
      <c r="R772" s="11">
        <f>IF(J772="","",IFERROR(VALUE(SUBSTITUTE(SUBSTITUTE(IF(H772="","",H772)&amp;"","$",""),",","")),0)/IF("No"="Yes",P772,1))</f>
        <v/>
      </c>
      <c r="S772" s="11">
        <f>IF(J772="","",O772+Q772-R772)</f>
        <v/>
      </c>
      <c r="T772">
        <f>IF(J772="","",IFERROR(IF(K772="",NA(),MATCH(K772,Products!$B$5:$B$204,0)),IFERROR(MATCH(J772,Products!$A$5:$A$204,0),"")))</f>
        <v/>
      </c>
      <c r="U772">
        <f>IF(J772="","",IF(T772="","⚠ not in Products",INDEX(Products!$A$5:$A$204,T772)))</f>
        <v/>
      </c>
      <c r="V772" s="11">
        <f>IF(J772="","",S772*(IFERROR(INDEX(Settings!$B$5:$B$9,MATCH($B772,Settings!$A$5:$A$9,0)),0)+IFERROR(INDEX(Settings!$E$5:$E$9,MATCH($B772,Settings!$A$5:$A$9,0)),0)+IFERROR(INDEX(Settings!$G$5:$G$9,MATCH($B772,Settings!$A$5:$A$9,0)),0))+(IFERROR(INDEX(Settings!$C$5:$C$9,MATCH($B772,Settings!$A$5:$A$9,0)),0)+IFERROR(INDEX(Settings!$F$5:$F$9,MATCH($B772,Settings!$A$5:$A$9,0)),0))/P772+IFERROR(INDEX(Settings!$D$5:$D$9,MATCH($B772,Settings!$A$5:$A$9,0)),0)*M772)</f>
        <v/>
      </c>
      <c r="W772" s="11">
        <f>IF(J772="","",IF(T772="",0,M772*INDEX(Products!$I$5:$I$204,T772)))</f>
        <v/>
      </c>
      <c r="X772" s="11">
        <f>IF(J772="","",IF(T772="",0,S772*INDEX(Products!$H$5:$H$204,T772)))</f>
        <v/>
      </c>
      <c r="Y772" s="11">
        <f>IF(J772="","",S772-V772-W772-X772)</f>
        <v/>
      </c>
    </row>
    <row r="773">
      <c r="A773" s="19" t="n"/>
      <c r="B773" s="19" t="n"/>
      <c r="C773" s="19" t="n"/>
      <c r="D773" s="19" t="n"/>
      <c r="E773" s="19" t="n"/>
      <c r="F773" s="20" t="n"/>
      <c r="G773" s="20" t="n"/>
      <c r="H773" s="20" t="n"/>
      <c r="I773" s="19" t="n"/>
      <c r="J773">
        <f>IFERROR(IF(C773="","",C773)&amp;"","")</f>
        <v/>
      </c>
      <c r="K773">
        <f>IFERROR(IF(D773="","",D773)&amp;"","")</f>
        <v/>
      </c>
      <c r="L773">
        <f>IFERROR(IF(I773="","",I773)&amp;"","")</f>
        <v/>
      </c>
      <c r="M773">
        <f>IF(J773="","",IFERROR(VALUE(SUBSTITUTE(SUBSTITUTE(IF(E773="","",E773)&amp;"","$",""),",","")),0))</f>
        <v/>
      </c>
      <c r="N773" s="11">
        <f>IF(J773="","",IFERROR(VALUE(SUBSTITUTE(SUBSTITUTE(IF(F773="","",F773)&amp;"","$",""),",","")),0))</f>
        <v/>
      </c>
      <c r="O773" s="11">
        <f>IF(J773="","",M773*N773)</f>
        <v/>
      </c>
      <c r="P773">
        <f>IF(J773="","",IF(L773="",1,COUNTIF($L$2:$L$1501,L773)))</f>
        <v/>
      </c>
      <c r="Q773" s="11">
        <f>IF(J773="","",IFERROR(VALUE(SUBSTITUTE(SUBSTITUTE(IF(G773="","",G773)&amp;"","$",""),",","")),0)/IF("No"="Yes",P773,1))</f>
        <v/>
      </c>
      <c r="R773" s="11">
        <f>IF(J773="","",IFERROR(VALUE(SUBSTITUTE(SUBSTITUTE(IF(H773="","",H773)&amp;"","$",""),",","")),0)/IF("No"="Yes",P773,1))</f>
        <v/>
      </c>
      <c r="S773" s="11">
        <f>IF(J773="","",O773+Q773-R773)</f>
        <v/>
      </c>
      <c r="T773">
        <f>IF(J773="","",IFERROR(IF(K773="",NA(),MATCH(K773,Products!$B$5:$B$204,0)),IFERROR(MATCH(J773,Products!$A$5:$A$204,0),"")))</f>
        <v/>
      </c>
      <c r="U773">
        <f>IF(J773="","",IF(T773="","⚠ not in Products",INDEX(Products!$A$5:$A$204,T773)))</f>
        <v/>
      </c>
      <c r="V773" s="11">
        <f>IF(J773="","",S773*(IFERROR(INDEX(Settings!$B$5:$B$9,MATCH($B773,Settings!$A$5:$A$9,0)),0)+IFERROR(INDEX(Settings!$E$5:$E$9,MATCH($B773,Settings!$A$5:$A$9,0)),0)+IFERROR(INDEX(Settings!$G$5:$G$9,MATCH($B773,Settings!$A$5:$A$9,0)),0))+(IFERROR(INDEX(Settings!$C$5:$C$9,MATCH($B773,Settings!$A$5:$A$9,0)),0)+IFERROR(INDEX(Settings!$F$5:$F$9,MATCH($B773,Settings!$A$5:$A$9,0)),0))/P773+IFERROR(INDEX(Settings!$D$5:$D$9,MATCH($B773,Settings!$A$5:$A$9,0)),0)*M773)</f>
        <v/>
      </c>
      <c r="W773" s="11">
        <f>IF(J773="","",IF(T773="",0,M773*INDEX(Products!$I$5:$I$204,T773)))</f>
        <v/>
      </c>
      <c r="X773" s="11">
        <f>IF(J773="","",IF(T773="",0,S773*INDEX(Products!$H$5:$H$204,T773)))</f>
        <v/>
      </c>
      <c r="Y773" s="11">
        <f>IF(J773="","",S773-V773-W773-X773)</f>
        <v/>
      </c>
    </row>
    <row r="774">
      <c r="A774" s="19" t="n"/>
      <c r="B774" s="19" t="n"/>
      <c r="C774" s="19" t="n"/>
      <c r="D774" s="19" t="n"/>
      <c r="E774" s="19" t="n"/>
      <c r="F774" s="20" t="n"/>
      <c r="G774" s="20" t="n"/>
      <c r="H774" s="20" t="n"/>
      <c r="I774" s="19" t="n"/>
      <c r="J774">
        <f>IFERROR(IF(C774="","",C774)&amp;"","")</f>
        <v/>
      </c>
      <c r="K774">
        <f>IFERROR(IF(D774="","",D774)&amp;"","")</f>
        <v/>
      </c>
      <c r="L774">
        <f>IFERROR(IF(I774="","",I774)&amp;"","")</f>
        <v/>
      </c>
      <c r="M774">
        <f>IF(J774="","",IFERROR(VALUE(SUBSTITUTE(SUBSTITUTE(IF(E774="","",E774)&amp;"","$",""),",","")),0))</f>
        <v/>
      </c>
      <c r="N774" s="11">
        <f>IF(J774="","",IFERROR(VALUE(SUBSTITUTE(SUBSTITUTE(IF(F774="","",F774)&amp;"","$",""),",","")),0))</f>
        <v/>
      </c>
      <c r="O774" s="11">
        <f>IF(J774="","",M774*N774)</f>
        <v/>
      </c>
      <c r="P774">
        <f>IF(J774="","",IF(L774="",1,COUNTIF($L$2:$L$1501,L774)))</f>
        <v/>
      </c>
      <c r="Q774" s="11">
        <f>IF(J774="","",IFERROR(VALUE(SUBSTITUTE(SUBSTITUTE(IF(G774="","",G774)&amp;"","$",""),",","")),0)/IF("No"="Yes",P774,1))</f>
        <v/>
      </c>
      <c r="R774" s="11">
        <f>IF(J774="","",IFERROR(VALUE(SUBSTITUTE(SUBSTITUTE(IF(H774="","",H774)&amp;"","$",""),",","")),0)/IF("No"="Yes",P774,1))</f>
        <v/>
      </c>
      <c r="S774" s="11">
        <f>IF(J774="","",O774+Q774-R774)</f>
        <v/>
      </c>
      <c r="T774">
        <f>IF(J774="","",IFERROR(IF(K774="",NA(),MATCH(K774,Products!$B$5:$B$204,0)),IFERROR(MATCH(J774,Products!$A$5:$A$204,0),"")))</f>
        <v/>
      </c>
      <c r="U774">
        <f>IF(J774="","",IF(T774="","⚠ not in Products",INDEX(Products!$A$5:$A$204,T774)))</f>
        <v/>
      </c>
      <c r="V774" s="11">
        <f>IF(J774="","",S774*(IFERROR(INDEX(Settings!$B$5:$B$9,MATCH($B774,Settings!$A$5:$A$9,0)),0)+IFERROR(INDEX(Settings!$E$5:$E$9,MATCH($B774,Settings!$A$5:$A$9,0)),0)+IFERROR(INDEX(Settings!$G$5:$G$9,MATCH($B774,Settings!$A$5:$A$9,0)),0))+(IFERROR(INDEX(Settings!$C$5:$C$9,MATCH($B774,Settings!$A$5:$A$9,0)),0)+IFERROR(INDEX(Settings!$F$5:$F$9,MATCH($B774,Settings!$A$5:$A$9,0)),0))/P774+IFERROR(INDEX(Settings!$D$5:$D$9,MATCH($B774,Settings!$A$5:$A$9,0)),0)*M774)</f>
        <v/>
      </c>
      <c r="W774" s="11">
        <f>IF(J774="","",IF(T774="",0,M774*INDEX(Products!$I$5:$I$204,T774)))</f>
        <v/>
      </c>
      <c r="X774" s="11">
        <f>IF(J774="","",IF(T774="",0,S774*INDEX(Products!$H$5:$H$204,T774)))</f>
        <v/>
      </c>
      <c r="Y774" s="11">
        <f>IF(J774="","",S774-V774-W774-X774)</f>
        <v/>
      </c>
    </row>
    <row r="775">
      <c r="A775" s="19" t="n"/>
      <c r="B775" s="19" t="n"/>
      <c r="C775" s="19" t="n"/>
      <c r="D775" s="19" t="n"/>
      <c r="E775" s="19" t="n"/>
      <c r="F775" s="20" t="n"/>
      <c r="G775" s="20" t="n"/>
      <c r="H775" s="20" t="n"/>
      <c r="I775" s="19" t="n"/>
      <c r="J775">
        <f>IFERROR(IF(C775="","",C775)&amp;"","")</f>
        <v/>
      </c>
      <c r="K775">
        <f>IFERROR(IF(D775="","",D775)&amp;"","")</f>
        <v/>
      </c>
      <c r="L775">
        <f>IFERROR(IF(I775="","",I775)&amp;"","")</f>
        <v/>
      </c>
      <c r="M775">
        <f>IF(J775="","",IFERROR(VALUE(SUBSTITUTE(SUBSTITUTE(IF(E775="","",E775)&amp;"","$",""),",","")),0))</f>
        <v/>
      </c>
      <c r="N775" s="11">
        <f>IF(J775="","",IFERROR(VALUE(SUBSTITUTE(SUBSTITUTE(IF(F775="","",F775)&amp;"","$",""),",","")),0))</f>
        <v/>
      </c>
      <c r="O775" s="11">
        <f>IF(J775="","",M775*N775)</f>
        <v/>
      </c>
      <c r="P775">
        <f>IF(J775="","",IF(L775="",1,COUNTIF($L$2:$L$1501,L775)))</f>
        <v/>
      </c>
      <c r="Q775" s="11">
        <f>IF(J775="","",IFERROR(VALUE(SUBSTITUTE(SUBSTITUTE(IF(G775="","",G775)&amp;"","$",""),",","")),0)/IF("No"="Yes",P775,1))</f>
        <v/>
      </c>
      <c r="R775" s="11">
        <f>IF(J775="","",IFERROR(VALUE(SUBSTITUTE(SUBSTITUTE(IF(H775="","",H775)&amp;"","$",""),",","")),0)/IF("No"="Yes",P775,1))</f>
        <v/>
      </c>
      <c r="S775" s="11">
        <f>IF(J775="","",O775+Q775-R775)</f>
        <v/>
      </c>
      <c r="T775">
        <f>IF(J775="","",IFERROR(IF(K775="",NA(),MATCH(K775,Products!$B$5:$B$204,0)),IFERROR(MATCH(J775,Products!$A$5:$A$204,0),"")))</f>
        <v/>
      </c>
      <c r="U775">
        <f>IF(J775="","",IF(T775="","⚠ not in Products",INDEX(Products!$A$5:$A$204,T775)))</f>
        <v/>
      </c>
      <c r="V775" s="11">
        <f>IF(J775="","",S775*(IFERROR(INDEX(Settings!$B$5:$B$9,MATCH($B775,Settings!$A$5:$A$9,0)),0)+IFERROR(INDEX(Settings!$E$5:$E$9,MATCH($B775,Settings!$A$5:$A$9,0)),0)+IFERROR(INDEX(Settings!$G$5:$G$9,MATCH($B775,Settings!$A$5:$A$9,0)),0))+(IFERROR(INDEX(Settings!$C$5:$C$9,MATCH($B775,Settings!$A$5:$A$9,0)),0)+IFERROR(INDEX(Settings!$F$5:$F$9,MATCH($B775,Settings!$A$5:$A$9,0)),0))/P775+IFERROR(INDEX(Settings!$D$5:$D$9,MATCH($B775,Settings!$A$5:$A$9,0)),0)*M775)</f>
        <v/>
      </c>
      <c r="W775" s="11">
        <f>IF(J775="","",IF(T775="",0,M775*INDEX(Products!$I$5:$I$204,T775)))</f>
        <v/>
      </c>
      <c r="X775" s="11">
        <f>IF(J775="","",IF(T775="",0,S775*INDEX(Products!$H$5:$H$204,T775)))</f>
        <v/>
      </c>
      <c r="Y775" s="11">
        <f>IF(J775="","",S775-V775-W775-X775)</f>
        <v/>
      </c>
    </row>
    <row r="776">
      <c r="A776" s="19" t="n"/>
      <c r="B776" s="19" t="n"/>
      <c r="C776" s="19" t="n"/>
      <c r="D776" s="19" t="n"/>
      <c r="E776" s="19" t="n"/>
      <c r="F776" s="20" t="n"/>
      <c r="G776" s="20" t="n"/>
      <c r="H776" s="20" t="n"/>
      <c r="I776" s="19" t="n"/>
      <c r="J776">
        <f>IFERROR(IF(C776="","",C776)&amp;"","")</f>
        <v/>
      </c>
      <c r="K776">
        <f>IFERROR(IF(D776="","",D776)&amp;"","")</f>
        <v/>
      </c>
      <c r="L776">
        <f>IFERROR(IF(I776="","",I776)&amp;"","")</f>
        <v/>
      </c>
      <c r="M776">
        <f>IF(J776="","",IFERROR(VALUE(SUBSTITUTE(SUBSTITUTE(IF(E776="","",E776)&amp;"","$",""),",","")),0))</f>
        <v/>
      </c>
      <c r="N776" s="11">
        <f>IF(J776="","",IFERROR(VALUE(SUBSTITUTE(SUBSTITUTE(IF(F776="","",F776)&amp;"","$",""),",","")),0))</f>
        <v/>
      </c>
      <c r="O776" s="11">
        <f>IF(J776="","",M776*N776)</f>
        <v/>
      </c>
      <c r="P776">
        <f>IF(J776="","",IF(L776="",1,COUNTIF($L$2:$L$1501,L776)))</f>
        <v/>
      </c>
      <c r="Q776" s="11">
        <f>IF(J776="","",IFERROR(VALUE(SUBSTITUTE(SUBSTITUTE(IF(G776="","",G776)&amp;"","$",""),",","")),0)/IF("No"="Yes",P776,1))</f>
        <v/>
      </c>
      <c r="R776" s="11">
        <f>IF(J776="","",IFERROR(VALUE(SUBSTITUTE(SUBSTITUTE(IF(H776="","",H776)&amp;"","$",""),",","")),0)/IF("No"="Yes",P776,1))</f>
        <v/>
      </c>
      <c r="S776" s="11">
        <f>IF(J776="","",O776+Q776-R776)</f>
        <v/>
      </c>
      <c r="T776">
        <f>IF(J776="","",IFERROR(IF(K776="",NA(),MATCH(K776,Products!$B$5:$B$204,0)),IFERROR(MATCH(J776,Products!$A$5:$A$204,0),"")))</f>
        <v/>
      </c>
      <c r="U776">
        <f>IF(J776="","",IF(T776="","⚠ not in Products",INDEX(Products!$A$5:$A$204,T776)))</f>
        <v/>
      </c>
      <c r="V776" s="11">
        <f>IF(J776="","",S776*(IFERROR(INDEX(Settings!$B$5:$B$9,MATCH($B776,Settings!$A$5:$A$9,0)),0)+IFERROR(INDEX(Settings!$E$5:$E$9,MATCH($B776,Settings!$A$5:$A$9,0)),0)+IFERROR(INDEX(Settings!$G$5:$G$9,MATCH($B776,Settings!$A$5:$A$9,0)),0))+(IFERROR(INDEX(Settings!$C$5:$C$9,MATCH($B776,Settings!$A$5:$A$9,0)),0)+IFERROR(INDEX(Settings!$F$5:$F$9,MATCH($B776,Settings!$A$5:$A$9,0)),0))/P776+IFERROR(INDEX(Settings!$D$5:$D$9,MATCH($B776,Settings!$A$5:$A$9,0)),0)*M776)</f>
        <v/>
      </c>
      <c r="W776" s="11">
        <f>IF(J776="","",IF(T776="",0,M776*INDEX(Products!$I$5:$I$204,T776)))</f>
        <v/>
      </c>
      <c r="X776" s="11">
        <f>IF(J776="","",IF(T776="",0,S776*INDEX(Products!$H$5:$H$204,T776)))</f>
        <v/>
      </c>
      <c r="Y776" s="11">
        <f>IF(J776="","",S776-V776-W776-X776)</f>
        <v/>
      </c>
    </row>
    <row r="777">
      <c r="A777" s="19" t="n"/>
      <c r="B777" s="19" t="n"/>
      <c r="C777" s="19" t="n"/>
      <c r="D777" s="19" t="n"/>
      <c r="E777" s="19" t="n"/>
      <c r="F777" s="20" t="n"/>
      <c r="G777" s="20" t="n"/>
      <c r="H777" s="20" t="n"/>
      <c r="I777" s="19" t="n"/>
      <c r="J777">
        <f>IFERROR(IF(C777="","",C777)&amp;"","")</f>
        <v/>
      </c>
      <c r="K777">
        <f>IFERROR(IF(D777="","",D777)&amp;"","")</f>
        <v/>
      </c>
      <c r="L777">
        <f>IFERROR(IF(I777="","",I777)&amp;"","")</f>
        <v/>
      </c>
      <c r="M777">
        <f>IF(J777="","",IFERROR(VALUE(SUBSTITUTE(SUBSTITUTE(IF(E777="","",E777)&amp;"","$",""),",","")),0))</f>
        <v/>
      </c>
      <c r="N777" s="11">
        <f>IF(J777="","",IFERROR(VALUE(SUBSTITUTE(SUBSTITUTE(IF(F777="","",F777)&amp;"","$",""),",","")),0))</f>
        <v/>
      </c>
      <c r="O777" s="11">
        <f>IF(J777="","",M777*N777)</f>
        <v/>
      </c>
      <c r="P777">
        <f>IF(J777="","",IF(L777="",1,COUNTIF($L$2:$L$1501,L777)))</f>
        <v/>
      </c>
      <c r="Q777" s="11">
        <f>IF(J777="","",IFERROR(VALUE(SUBSTITUTE(SUBSTITUTE(IF(G777="","",G777)&amp;"","$",""),",","")),0)/IF("No"="Yes",P777,1))</f>
        <v/>
      </c>
      <c r="R777" s="11">
        <f>IF(J777="","",IFERROR(VALUE(SUBSTITUTE(SUBSTITUTE(IF(H777="","",H777)&amp;"","$",""),",","")),0)/IF("No"="Yes",P777,1))</f>
        <v/>
      </c>
      <c r="S777" s="11">
        <f>IF(J777="","",O777+Q777-R777)</f>
        <v/>
      </c>
      <c r="T777">
        <f>IF(J777="","",IFERROR(IF(K777="",NA(),MATCH(K777,Products!$B$5:$B$204,0)),IFERROR(MATCH(J777,Products!$A$5:$A$204,0),"")))</f>
        <v/>
      </c>
      <c r="U777">
        <f>IF(J777="","",IF(T777="","⚠ not in Products",INDEX(Products!$A$5:$A$204,T777)))</f>
        <v/>
      </c>
      <c r="V777" s="11">
        <f>IF(J777="","",S777*(IFERROR(INDEX(Settings!$B$5:$B$9,MATCH($B777,Settings!$A$5:$A$9,0)),0)+IFERROR(INDEX(Settings!$E$5:$E$9,MATCH($B777,Settings!$A$5:$A$9,0)),0)+IFERROR(INDEX(Settings!$G$5:$G$9,MATCH($B777,Settings!$A$5:$A$9,0)),0))+(IFERROR(INDEX(Settings!$C$5:$C$9,MATCH($B777,Settings!$A$5:$A$9,0)),0)+IFERROR(INDEX(Settings!$F$5:$F$9,MATCH($B777,Settings!$A$5:$A$9,0)),0))/P777+IFERROR(INDEX(Settings!$D$5:$D$9,MATCH($B777,Settings!$A$5:$A$9,0)),0)*M777)</f>
        <v/>
      </c>
      <c r="W777" s="11">
        <f>IF(J777="","",IF(T777="",0,M777*INDEX(Products!$I$5:$I$204,T777)))</f>
        <v/>
      </c>
      <c r="X777" s="11">
        <f>IF(J777="","",IF(T777="",0,S777*INDEX(Products!$H$5:$H$204,T777)))</f>
        <v/>
      </c>
      <c r="Y777" s="11">
        <f>IF(J777="","",S777-V777-W777-X777)</f>
        <v/>
      </c>
    </row>
    <row r="778">
      <c r="A778" s="19" t="n"/>
      <c r="B778" s="19" t="n"/>
      <c r="C778" s="19" t="n"/>
      <c r="D778" s="19" t="n"/>
      <c r="E778" s="19" t="n"/>
      <c r="F778" s="20" t="n"/>
      <c r="G778" s="20" t="n"/>
      <c r="H778" s="20" t="n"/>
      <c r="I778" s="19" t="n"/>
      <c r="J778">
        <f>IFERROR(IF(C778="","",C778)&amp;"","")</f>
        <v/>
      </c>
      <c r="K778">
        <f>IFERROR(IF(D778="","",D778)&amp;"","")</f>
        <v/>
      </c>
      <c r="L778">
        <f>IFERROR(IF(I778="","",I778)&amp;"","")</f>
        <v/>
      </c>
      <c r="M778">
        <f>IF(J778="","",IFERROR(VALUE(SUBSTITUTE(SUBSTITUTE(IF(E778="","",E778)&amp;"","$",""),",","")),0))</f>
        <v/>
      </c>
      <c r="N778" s="11">
        <f>IF(J778="","",IFERROR(VALUE(SUBSTITUTE(SUBSTITUTE(IF(F778="","",F778)&amp;"","$",""),",","")),0))</f>
        <v/>
      </c>
      <c r="O778" s="11">
        <f>IF(J778="","",M778*N778)</f>
        <v/>
      </c>
      <c r="P778">
        <f>IF(J778="","",IF(L778="",1,COUNTIF($L$2:$L$1501,L778)))</f>
        <v/>
      </c>
      <c r="Q778" s="11">
        <f>IF(J778="","",IFERROR(VALUE(SUBSTITUTE(SUBSTITUTE(IF(G778="","",G778)&amp;"","$",""),",","")),0)/IF("No"="Yes",P778,1))</f>
        <v/>
      </c>
      <c r="R778" s="11">
        <f>IF(J778="","",IFERROR(VALUE(SUBSTITUTE(SUBSTITUTE(IF(H778="","",H778)&amp;"","$",""),",","")),0)/IF("No"="Yes",P778,1))</f>
        <v/>
      </c>
      <c r="S778" s="11">
        <f>IF(J778="","",O778+Q778-R778)</f>
        <v/>
      </c>
      <c r="T778">
        <f>IF(J778="","",IFERROR(IF(K778="",NA(),MATCH(K778,Products!$B$5:$B$204,0)),IFERROR(MATCH(J778,Products!$A$5:$A$204,0),"")))</f>
        <v/>
      </c>
      <c r="U778">
        <f>IF(J778="","",IF(T778="","⚠ not in Products",INDEX(Products!$A$5:$A$204,T778)))</f>
        <v/>
      </c>
      <c r="V778" s="11">
        <f>IF(J778="","",S778*(IFERROR(INDEX(Settings!$B$5:$B$9,MATCH($B778,Settings!$A$5:$A$9,0)),0)+IFERROR(INDEX(Settings!$E$5:$E$9,MATCH($B778,Settings!$A$5:$A$9,0)),0)+IFERROR(INDEX(Settings!$G$5:$G$9,MATCH($B778,Settings!$A$5:$A$9,0)),0))+(IFERROR(INDEX(Settings!$C$5:$C$9,MATCH($B778,Settings!$A$5:$A$9,0)),0)+IFERROR(INDEX(Settings!$F$5:$F$9,MATCH($B778,Settings!$A$5:$A$9,0)),0))/P778+IFERROR(INDEX(Settings!$D$5:$D$9,MATCH($B778,Settings!$A$5:$A$9,0)),0)*M778)</f>
        <v/>
      </c>
      <c r="W778" s="11">
        <f>IF(J778="","",IF(T778="",0,M778*INDEX(Products!$I$5:$I$204,T778)))</f>
        <v/>
      </c>
      <c r="X778" s="11">
        <f>IF(J778="","",IF(T778="",0,S778*INDEX(Products!$H$5:$H$204,T778)))</f>
        <v/>
      </c>
      <c r="Y778" s="11">
        <f>IF(J778="","",S778-V778-W778-X778)</f>
        <v/>
      </c>
    </row>
    <row r="779">
      <c r="A779" s="19" t="n"/>
      <c r="B779" s="19" t="n"/>
      <c r="C779" s="19" t="n"/>
      <c r="D779" s="19" t="n"/>
      <c r="E779" s="19" t="n"/>
      <c r="F779" s="20" t="n"/>
      <c r="G779" s="20" t="n"/>
      <c r="H779" s="20" t="n"/>
      <c r="I779" s="19" t="n"/>
      <c r="J779">
        <f>IFERROR(IF(C779="","",C779)&amp;"","")</f>
        <v/>
      </c>
      <c r="K779">
        <f>IFERROR(IF(D779="","",D779)&amp;"","")</f>
        <v/>
      </c>
      <c r="L779">
        <f>IFERROR(IF(I779="","",I779)&amp;"","")</f>
        <v/>
      </c>
      <c r="M779">
        <f>IF(J779="","",IFERROR(VALUE(SUBSTITUTE(SUBSTITUTE(IF(E779="","",E779)&amp;"","$",""),",","")),0))</f>
        <v/>
      </c>
      <c r="N779" s="11">
        <f>IF(J779="","",IFERROR(VALUE(SUBSTITUTE(SUBSTITUTE(IF(F779="","",F779)&amp;"","$",""),",","")),0))</f>
        <v/>
      </c>
      <c r="O779" s="11">
        <f>IF(J779="","",M779*N779)</f>
        <v/>
      </c>
      <c r="P779">
        <f>IF(J779="","",IF(L779="",1,COUNTIF($L$2:$L$1501,L779)))</f>
        <v/>
      </c>
      <c r="Q779" s="11">
        <f>IF(J779="","",IFERROR(VALUE(SUBSTITUTE(SUBSTITUTE(IF(G779="","",G779)&amp;"","$",""),",","")),0)/IF("No"="Yes",P779,1))</f>
        <v/>
      </c>
      <c r="R779" s="11">
        <f>IF(J779="","",IFERROR(VALUE(SUBSTITUTE(SUBSTITUTE(IF(H779="","",H779)&amp;"","$",""),",","")),0)/IF("No"="Yes",P779,1))</f>
        <v/>
      </c>
      <c r="S779" s="11">
        <f>IF(J779="","",O779+Q779-R779)</f>
        <v/>
      </c>
      <c r="T779">
        <f>IF(J779="","",IFERROR(IF(K779="",NA(),MATCH(K779,Products!$B$5:$B$204,0)),IFERROR(MATCH(J779,Products!$A$5:$A$204,0),"")))</f>
        <v/>
      </c>
      <c r="U779">
        <f>IF(J779="","",IF(T779="","⚠ not in Products",INDEX(Products!$A$5:$A$204,T779)))</f>
        <v/>
      </c>
      <c r="V779" s="11">
        <f>IF(J779="","",S779*(IFERROR(INDEX(Settings!$B$5:$B$9,MATCH($B779,Settings!$A$5:$A$9,0)),0)+IFERROR(INDEX(Settings!$E$5:$E$9,MATCH($B779,Settings!$A$5:$A$9,0)),0)+IFERROR(INDEX(Settings!$G$5:$G$9,MATCH($B779,Settings!$A$5:$A$9,0)),0))+(IFERROR(INDEX(Settings!$C$5:$C$9,MATCH($B779,Settings!$A$5:$A$9,0)),0)+IFERROR(INDEX(Settings!$F$5:$F$9,MATCH($B779,Settings!$A$5:$A$9,0)),0))/P779+IFERROR(INDEX(Settings!$D$5:$D$9,MATCH($B779,Settings!$A$5:$A$9,0)),0)*M779)</f>
        <v/>
      </c>
      <c r="W779" s="11">
        <f>IF(J779="","",IF(T779="",0,M779*INDEX(Products!$I$5:$I$204,T779)))</f>
        <v/>
      </c>
      <c r="X779" s="11">
        <f>IF(J779="","",IF(T779="",0,S779*INDEX(Products!$H$5:$H$204,T779)))</f>
        <v/>
      </c>
      <c r="Y779" s="11">
        <f>IF(J779="","",S779-V779-W779-X779)</f>
        <v/>
      </c>
    </row>
    <row r="780">
      <c r="A780" s="19" t="n"/>
      <c r="B780" s="19" t="n"/>
      <c r="C780" s="19" t="n"/>
      <c r="D780" s="19" t="n"/>
      <c r="E780" s="19" t="n"/>
      <c r="F780" s="20" t="n"/>
      <c r="G780" s="20" t="n"/>
      <c r="H780" s="20" t="n"/>
      <c r="I780" s="19" t="n"/>
      <c r="J780">
        <f>IFERROR(IF(C780="","",C780)&amp;"","")</f>
        <v/>
      </c>
      <c r="K780">
        <f>IFERROR(IF(D780="","",D780)&amp;"","")</f>
        <v/>
      </c>
      <c r="L780">
        <f>IFERROR(IF(I780="","",I780)&amp;"","")</f>
        <v/>
      </c>
      <c r="M780">
        <f>IF(J780="","",IFERROR(VALUE(SUBSTITUTE(SUBSTITUTE(IF(E780="","",E780)&amp;"","$",""),",","")),0))</f>
        <v/>
      </c>
      <c r="N780" s="11">
        <f>IF(J780="","",IFERROR(VALUE(SUBSTITUTE(SUBSTITUTE(IF(F780="","",F780)&amp;"","$",""),",","")),0))</f>
        <v/>
      </c>
      <c r="O780" s="11">
        <f>IF(J780="","",M780*N780)</f>
        <v/>
      </c>
      <c r="P780">
        <f>IF(J780="","",IF(L780="",1,COUNTIF($L$2:$L$1501,L780)))</f>
        <v/>
      </c>
      <c r="Q780" s="11">
        <f>IF(J780="","",IFERROR(VALUE(SUBSTITUTE(SUBSTITUTE(IF(G780="","",G780)&amp;"","$",""),",","")),0)/IF("No"="Yes",P780,1))</f>
        <v/>
      </c>
      <c r="R780" s="11">
        <f>IF(J780="","",IFERROR(VALUE(SUBSTITUTE(SUBSTITUTE(IF(H780="","",H780)&amp;"","$",""),",","")),0)/IF("No"="Yes",P780,1))</f>
        <v/>
      </c>
      <c r="S780" s="11">
        <f>IF(J780="","",O780+Q780-R780)</f>
        <v/>
      </c>
      <c r="T780">
        <f>IF(J780="","",IFERROR(IF(K780="",NA(),MATCH(K780,Products!$B$5:$B$204,0)),IFERROR(MATCH(J780,Products!$A$5:$A$204,0),"")))</f>
        <v/>
      </c>
      <c r="U780">
        <f>IF(J780="","",IF(T780="","⚠ not in Products",INDEX(Products!$A$5:$A$204,T780)))</f>
        <v/>
      </c>
      <c r="V780" s="11">
        <f>IF(J780="","",S780*(IFERROR(INDEX(Settings!$B$5:$B$9,MATCH($B780,Settings!$A$5:$A$9,0)),0)+IFERROR(INDEX(Settings!$E$5:$E$9,MATCH($B780,Settings!$A$5:$A$9,0)),0)+IFERROR(INDEX(Settings!$G$5:$G$9,MATCH($B780,Settings!$A$5:$A$9,0)),0))+(IFERROR(INDEX(Settings!$C$5:$C$9,MATCH($B780,Settings!$A$5:$A$9,0)),0)+IFERROR(INDEX(Settings!$F$5:$F$9,MATCH($B780,Settings!$A$5:$A$9,0)),0))/P780+IFERROR(INDEX(Settings!$D$5:$D$9,MATCH($B780,Settings!$A$5:$A$9,0)),0)*M780)</f>
        <v/>
      </c>
      <c r="W780" s="11">
        <f>IF(J780="","",IF(T780="",0,M780*INDEX(Products!$I$5:$I$204,T780)))</f>
        <v/>
      </c>
      <c r="X780" s="11">
        <f>IF(J780="","",IF(T780="",0,S780*INDEX(Products!$H$5:$H$204,T780)))</f>
        <v/>
      </c>
      <c r="Y780" s="11">
        <f>IF(J780="","",S780-V780-W780-X780)</f>
        <v/>
      </c>
    </row>
    <row r="781">
      <c r="A781" s="19" t="n"/>
      <c r="B781" s="19" t="n"/>
      <c r="C781" s="19" t="n"/>
      <c r="D781" s="19" t="n"/>
      <c r="E781" s="19" t="n"/>
      <c r="F781" s="20" t="n"/>
      <c r="G781" s="20" t="n"/>
      <c r="H781" s="20" t="n"/>
      <c r="I781" s="19" t="n"/>
      <c r="J781">
        <f>IFERROR(IF(C781="","",C781)&amp;"","")</f>
        <v/>
      </c>
      <c r="K781">
        <f>IFERROR(IF(D781="","",D781)&amp;"","")</f>
        <v/>
      </c>
      <c r="L781">
        <f>IFERROR(IF(I781="","",I781)&amp;"","")</f>
        <v/>
      </c>
      <c r="M781">
        <f>IF(J781="","",IFERROR(VALUE(SUBSTITUTE(SUBSTITUTE(IF(E781="","",E781)&amp;"","$",""),",","")),0))</f>
        <v/>
      </c>
      <c r="N781" s="11">
        <f>IF(J781="","",IFERROR(VALUE(SUBSTITUTE(SUBSTITUTE(IF(F781="","",F781)&amp;"","$",""),",","")),0))</f>
        <v/>
      </c>
      <c r="O781" s="11">
        <f>IF(J781="","",M781*N781)</f>
        <v/>
      </c>
      <c r="P781">
        <f>IF(J781="","",IF(L781="",1,COUNTIF($L$2:$L$1501,L781)))</f>
        <v/>
      </c>
      <c r="Q781" s="11">
        <f>IF(J781="","",IFERROR(VALUE(SUBSTITUTE(SUBSTITUTE(IF(G781="","",G781)&amp;"","$",""),",","")),0)/IF("No"="Yes",P781,1))</f>
        <v/>
      </c>
      <c r="R781" s="11">
        <f>IF(J781="","",IFERROR(VALUE(SUBSTITUTE(SUBSTITUTE(IF(H781="","",H781)&amp;"","$",""),",","")),0)/IF("No"="Yes",P781,1))</f>
        <v/>
      </c>
      <c r="S781" s="11">
        <f>IF(J781="","",O781+Q781-R781)</f>
        <v/>
      </c>
      <c r="T781">
        <f>IF(J781="","",IFERROR(IF(K781="",NA(),MATCH(K781,Products!$B$5:$B$204,0)),IFERROR(MATCH(J781,Products!$A$5:$A$204,0),"")))</f>
        <v/>
      </c>
      <c r="U781">
        <f>IF(J781="","",IF(T781="","⚠ not in Products",INDEX(Products!$A$5:$A$204,T781)))</f>
        <v/>
      </c>
      <c r="V781" s="11">
        <f>IF(J781="","",S781*(IFERROR(INDEX(Settings!$B$5:$B$9,MATCH($B781,Settings!$A$5:$A$9,0)),0)+IFERROR(INDEX(Settings!$E$5:$E$9,MATCH($B781,Settings!$A$5:$A$9,0)),0)+IFERROR(INDEX(Settings!$G$5:$G$9,MATCH($B781,Settings!$A$5:$A$9,0)),0))+(IFERROR(INDEX(Settings!$C$5:$C$9,MATCH($B781,Settings!$A$5:$A$9,0)),0)+IFERROR(INDEX(Settings!$F$5:$F$9,MATCH($B781,Settings!$A$5:$A$9,0)),0))/P781+IFERROR(INDEX(Settings!$D$5:$D$9,MATCH($B781,Settings!$A$5:$A$9,0)),0)*M781)</f>
        <v/>
      </c>
      <c r="W781" s="11">
        <f>IF(J781="","",IF(T781="",0,M781*INDEX(Products!$I$5:$I$204,T781)))</f>
        <v/>
      </c>
      <c r="X781" s="11">
        <f>IF(J781="","",IF(T781="",0,S781*INDEX(Products!$H$5:$H$204,T781)))</f>
        <v/>
      </c>
      <c r="Y781" s="11">
        <f>IF(J781="","",S781-V781-W781-X781)</f>
        <v/>
      </c>
    </row>
    <row r="782">
      <c r="A782" s="19" t="n"/>
      <c r="B782" s="19" t="n"/>
      <c r="C782" s="19" t="n"/>
      <c r="D782" s="19" t="n"/>
      <c r="E782" s="19" t="n"/>
      <c r="F782" s="20" t="n"/>
      <c r="G782" s="20" t="n"/>
      <c r="H782" s="20" t="n"/>
      <c r="I782" s="19" t="n"/>
      <c r="J782">
        <f>IFERROR(IF(C782="","",C782)&amp;"","")</f>
        <v/>
      </c>
      <c r="K782">
        <f>IFERROR(IF(D782="","",D782)&amp;"","")</f>
        <v/>
      </c>
      <c r="L782">
        <f>IFERROR(IF(I782="","",I782)&amp;"","")</f>
        <v/>
      </c>
      <c r="M782">
        <f>IF(J782="","",IFERROR(VALUE(SUBSTITUTE(SUBSTITUTE(IF(E782="","",E782)&amp;"","$",""),",","")),0))</f>
        <v/>
      </c>
      <c r="N782" s="11">
        <f>IF(J782="","",IFERROR(VALUE(SUBSTITUTE(SUBSTITUTE(IF(F782="","",F782)&amp;"","$",""),",","")),0))</f>
        <v/>
      </c>
      <c r="O782" s="11">
        <f>IF(J782="","",M782*N782)</f>
        <v/>
      </c>
      <c r="P782">
        <f>IF(J782="","",IF(L782="",1,COUNTIF($L$2:$L$1501,L782)))</f>
        <v/>
      </c>
      <c r="Q782" s="11">
        <f>IF(J782="","",IFERROR(VALUE(SUBSTITUTE(SUBSTITUTE(IF(G782="","",G782)&amp;"","$",""),",","")),0)/IF("No"="Yes",P782,1))</f>
        <v/>
      </c>
      <c r="R782" s="11">
        <f>IF(J782="","",IFERROR(VALUE(SUBSTITUTE(SUBSTITUTE(IF(H782="","",H782)&amp;"","$",""),",","")),0)/IF("No"="Yes",P782,1))</f>
        <v/>
      </c>
      <c r="S782" s="11">
        <f>IF(J782="","",O782+Q782-R782)</f>
        <v/>
      </c>
      <c r="T782">
        <f>IF(J782="","",IFERROR(IF(K782="",NA(),MATCH(K782,Products!$B$5:$B$204,0)),IFERROR(MATCH(J782,Products!$A$5:$A$204,0),"")))</f>
        <v/>
      </c>
      <c r="U782">
        <f>IF(J782="","",IF(T782="","⚠ not in Products",INDEX(Products!$A$5:$A$204,T782)))</f>
        <v/>
      </c>
      <c r="V782" s="11">
        <f>IF(J782="","",S782*(IFERROR(INDEX(Settings!$B$5:$B$9,MATCH($B782,Settings!$A$5:$A$9,0)),0)+IFERROR(INDEX(Settings!$E$5:$E$9,MATCH($B782,Settings!$A$5:$A$9,0)),0)+IFERROR(INDEX(Settings!$G$5:$G$9,MATCH($B782,Settings!$A$5:$A$9,0)),0))+(IFERROR(INDEX(Settings!$C$5:$C$9,MATCH($B782,Settings!$A$5:$A$9,0)),0)+IFERROR(INDEX(Settings!$F$5:$F$9,MATCH($B782,Settings!$A$5:$A$9,0)),0))/P782+IFERROR(INDEX(Settings!$D$5:$D$9,MATCH($B782,Settings!$A$5:$A$9,0)),0)*M782)</f>
        <v/>
      </c>
      <c r="W782" s="11">
        <f>IF(J782="","",IF(T782="",0,M782*INDEX(Products!$I$5:$I$204,T782)))</f>
        <v/>
      </c>
      <c r="X782" s="11">
        <f>IF(J782="","",IF(T782="",0,S782*INDEX(Products!$H$5:$H$204,T782)))</f>
        <v/>
      </c>
      <c r="Y782" s="11">
        <f>IF(J782="","",S782-V782-W782-X782)</f>
        <v/>
      </c>
    </row>
    <row r="783">
      <c r="A783" s="19" t="n"/>
      <c r="B783" s="19" t="n"/>
      <c r="C783" s="19" t="n"/>
      <c r="D783" s="19" t="n"/>
      <c r="E783" s="19" t="n"/>
      <c r="F783" s="20" t="n"/>
      <c r="G783" s="20" t="n"/>
      <c r="H783" s="20" t="n"/>
      <c r="I783" s="19" t="n"/>
      <c r="J783">
        <f>IFERROR(IF(C783="","",C783)&amp;"","")</f>
        <v/>
      </c>
      <c r="K783">
        <f>IFERROR(IF(D783="","",D783)&amp;"","")</f>
        <v/>
      </c>
      <c r="L783">
        <f>IFERROR(IF(I783="","",I783)&amp;"","")</f>
        <v/>
      </c>
      <c r="M783">
        <f>IF(J783="","",IFERROR(VALUE(SUBSTITUTE(SUBSTITUTE(IF(E783="","",E783)&amp;"","$",""),",","")),0))</f>
        <v/>
      </c>
      <c r="N783" s="11">
        <f>IF(J783="","",IFERROR(VALUE(SUBSTITUTE(SUBSTITUTE(IF(F783="","",F783)&amp;"","$",""),",","")),0))</f>
        <v/>
      </c>
      <c r="O783" s="11">
        <f>IF(J783="","",M783*N783)</f>
        <v/>
      </c>
      <c r="P783">
        <f>IF(J783="","",IF(L783="",1,COUNTIF($L$2:$L$1501,L783)))</f>
        <v/>
      </c>
      <c r="Q783" s="11">
        <f>IF(J783="","",IFERROR(VALUE(SUBSTITUTE(SUBSTITUTE(IF(G783="","",G783)&amp;"","$",""),",","")),0)/IF("No"="Yes",P783,1))</f>
        <v/>
      </c>
      <c r="R783" s="11">
        <f>IF(J783="","",IFERROR(VALUE(SUBSTITUTE(SUBSTITUTE(IF(H783="","",H783)&amp;"","$",""),",","")),0)/IF("No"="Yes",P783,1))</f>
        <v/>
      </c>
      <c r="S783" s="11">
        <f>IF(J783="","",O783+Q783-R783)</f>
        <v/>
      </c>
      <c r="T783">
        <f>IF(J783="","",IFERROR(IF(K783="",NA(),MATCH(K783,Products!$B$5:$B$204,0)),IFERROR(MATCH(J783,Products!$A$5:$A$204,0),"")))</f>
        <v/>
      </c>
      <c r="U783">
        <f>IF(J783="","",IF(T783="","⚠ not in Products",INDEX(Products!$A$5:$A$204,T783)))</f>
        <v/>
      </c>
      <c r="V783" s="11">
        <f>IF(J783="","",S783*(IFERROR(INDEX(Settings!$B$5:$B$9,MATCH($B783,Settings!$A$5:$A$9,0)),0)+IFERROR(INDEX(Settings!$E$5:$E$9,MATCH($B783,Settings!$A$5:$A$9,0)),0)+IFERROR(INDEX(Settings!$G$5:$G$9,MATCH($B783,Settings!$A$5:$A$9,0)),0))+(IFERROR(INDEX(Settings!$C$5:$C$9,MATCH($B783,Settings!$A$5:$A$9,0)),0)+IFERROR(INDEX(Settings!$F$5:$F$9,MATCH($B783,Settings!$A$5:$A$9,0)),0))/P783+IFERROR(INDEX(Settings!$D$5:$D$9,MATCH($B783,Settings!$A$5:$A$9,0)),0)*M783)</f>
        <v/>
      </c>
      <c r="W783" s="11">
        <f>IF(J783="","",IF(T783="",0,M783*INDEX(Products!$I$5:$I$204,T783)))</f>
        <v/>
      </c>
      <c r="X783" s="11">
        <f>IF(J783="","",IF(T783="",0,S783*INDEX(Products!$H$5:$H$204,T783)))</f>
        <v/>
      </c>
      <c r="Y783" s="11">
        <f>IF(J783="","",S783-V783-W783-X783)</f>
        <v/>
      </c>
    </row>
    <row r="784">
      <c r="A784" s="19" t="n"/>
      <c r="B784" s="19" t="n"/>
      <c r="C784" s="19" t="n"/>
      <c r="D784" s="19" t="n"/>
      <c r="E784" s="19" t="n"/>
      <c r="F784" s="20" t="n"/>
      <c r="G784" s="20" t="n"/>
      <c r="H784" s="20" t="n"/>
      <c r="I784" s="19" t="n"/>
      <c r="J784">
        <f>IFERROR(IF(C784="","",C784)&amp;"","")</f>
        <v/>
      </c>
      <c r="K784">
        <f>IFERROR(IF(D784="","",D784)&amp;"","")</f>
        <v/>
      </c>
      <c r="L784">
        <f>IFERROR(IF(I784="","",I784)&amp;"","")</f>
        <v/>
      </c>
      <c r="M784">
        <f>IF(J784="","",IFERROR(VALUE(SUBSTITUTE(SUBSTITUTE(IF(E784="","",E784)&amp;"","$",""),",","")),0))</f>
        <v/>
      </c>
      <c r="N784" s="11">
        <f>IF(J784="","",IFERROR(VALUE(SUBSTITUTE(SUBSTITUTE(IF(F784="","",F784)&amp;"","$",""),",","")),0))</f>
        <v/>
      </c>
      <c r="O784" s="11">
        <f>IF(J784="","",M784*N784)</f>
        <v/>
      </c>
      <c r="P784">
        <f>IF(J784="","",IF(L784="",1,COUNTIF($L$2:$L$1501,L784)))</f>
        <v/>
      </c>
      <c r="Q784" s="11">
        <f>IF(J784="","",IFERROR(VALUE(SUBSTITUTE(SUBSTITUTE(IF(G784="","",G784)&amp;"","$",""),",","")),0)/IF("No"="Yes",P784,1))</f>
        <v/>
      </c>
      <c r="R784" s="11">
        <f>IF(J784="","",IFERROR(VALUE(SUBSTITUTE(SUBSTITUTE(IF(H784="","",H784)&amp;"","$",""),",","")),0)/IF("No"="Yes",P784,1))</f>
        <v/>
      </c>
      <c r="S784" s="11">
        <f>IF(J784="","",O784+Q784-R784)</f>
        <v/>
      </c>
      <c r="T784">
        <f>IF(J784="","",IFERROR(IF(K784="",NA(),MATCH(K784,Products!$B$5:$B$204,0)),IFERROR(MATCH(J784,Products!$A$5:$A$204,0),"")))</f>
        <v/>
      </c>
      <c r="U784">
        <f>IF(J784="","",IF(T784="","⚠ not in Products",INDEX(Products!$A$5:$A$204,T784)))</f>
        <v/>
      </c>
      <c r="V784" s="11">
        <f>IF(J784="","",S784*(IFERROR(INDEX(Settings!$B$5:$B$9,MATCH($B784,Settings!$A$5:$A$9,0)),0)+IFERROR(INDEX(Settings!$E$5:$E$9,MATCH($B784,Settings!$A$5:$A$9,0)),0)+IFERROR(INDEX(Settings!$G$5:$G$9,MATCH($B784,Settings!$A$5:$A$9,0)),0))+(IFERROR(INDEX(Settings!$C$5:$C$9,MATCH($B784,Settings!$A$5:$A$9,0)),0)+IFERROR(INDEX(Settings!$F$5:$F$9,MATCH($B784,Settings!$A$5:$A$9,0)),0))/P784+IFERROR(INDEX(Settings!$D$5:$D$9,MATCH($B784,Settings!$A$5:$A$9,0)),0)*M784)</f>
        <v/>
      </c>
      <c r="W784" s="11">
        <f>IF(J784="","",IF(T784="",0,M784*INDEX(Products!$I$5:$I$204,T784)))</f>
        <v/>
      </c>
      <c r="X784" s="11">
        <f>IF(J784="","",IF(T784="",0,S784*INDEX(Products!$H$5:$H$204,T784)))</f>
        <v/>
      </c>
      <c r="Y784" s="11">
        <f>IF(J784="","",S784-V784-W784-X784)</f>
        <v/>
      </c>
    </row>
    <row r="785">
      <c r="A785" s="19" t="n"/>
      <c r="B785" s="19" t="n"/>
      <c r="C785" s="19" t="n"/>
      <c r="D785" s="19" t="n"/>
      <c r="E785" s="19" t="n"/>
      <c r="F785" s="20" t="n"/>
      <c r="G785" s="20" t="n"/>
      <c r="H785" s="20" t="n"/>
      <c r="I785" s="19" t="n"/>
      <c r="J785">
        <f>IFERROR(IF(C785="","",C785)&amp;"","")</f>
        <v/>
      </c>
      <c r="K785">
        <f>IFERROR(IF(D785="","",D785)&amp;"","")</f>
        <v/>
      </c>
      <c r="L785">
        <f>IFERROR(IF(I785="","",I785)&amp;"","")</f>
        <v/>
      </c>
      <c r="M785">
        <f>IF(J785="","",IFERROR(VALUE(SUBSTITUTE(SUBSTITUTE(IF(E785="","",E785)&amp;"","$",""),",","")),0))</f>
        <v/>
      </c>
      <c r="N785" s="11">
        <f>IF(J785="","",IFERROR(VALUE(SUBSTITUTE(SUBSTITUTE(IF(F785="","",F785)&amp;"","$",""),",","")),0))</f>
        <v/>
      </c>
      <c r="O785" s="11">
        <f>IF(J785="","",M785*N785)</f>
        <v/>
      </c>
      <c r="P785">
        <f>IF(J785="","",IF(L785="",1,COUNTIF($L$2:$L$1501,L785)))</f>
        <v/>
      </c>
      <c r="Q785" s="11">
        <f>IF(J785="","",IFERROR(VALUE(SUBSTITUTE(SUBSTITUTE(IF(G785="","",G785)&amp;"","$",""),",","")),0)/IF("No"="Yes",P785,1))</f>
        <v/>
      </c>
      <c r="R785" s="11">
        <f>IF(J785="","",IFERROR(VALUE(SUBSTITUTE(SUBSTITUTE(IF(H785="","",H785)&amp;"","$",""),",","")),0)/IF("No"="Yes",P785,1))</f>
        <v/>
      </c>
      <c r="S785" s="11">
        <f>IF(J785="","",O785+Q785-R785)</f>
        <v/>
      </c>
      <c r="T785">
        <f>IF(J785="","",IFERROR(IF(K785="",NA(),MATCH(K785,Products!$B$5:$B$204,0)),IFERROR(MATCH(J785,Products!$A$5:$A$204,0),"")))</f>
        <v/>
      </c>
      <c r="U785">
        <f>IF(J785="","",IF(T785="","⚠ not in Products",INDEX(Products!$A$5:$A$204,T785)))</f>
        <v/>
      </c>
      <c r="V785" s="11">
        <f>IF(J785="","",S785*(IFERROR(INDEX(Settings!$B$5:$B$9,MATCH($B785,Settings!$A$5:$A$9,0)),0)+IFERROR(INDEX(Settings!$E$5:$E$9,MATCH($B785,Settings!$A$5:$A$9,0)),0)+IFERROR(INDEX(Settings!$G$5:$G$9,MATCH($B785,Settings!$A$5:$A$9,0)),0))+(IFERROR(INDEX(Settings!$C$5:$C$9,MATCH($B785,Settings!$A$5:$A$9,0)),0)+IFERROR(INDEX(Settings!$F$5:$F$9,MATCH($B785,Settings!$A$5:$A$9,0)),0))/P785+IFERROR(INDEX(Settings!$D$5:$D$9,MATCH($B785,Settings!$A$5:$A$9,0)),0)*M785)</f>
        <v/>
      </c>
      <c r="W785" s="11">
        <f>IF(J785="","",IF(T785="",0,M785*INDEX(Products!$I$5:$I$204,T785)))</f>
        <v/>
      </c>
      <c r="X785" s="11">
        <f>IF(J785="","",IF(T785="",0,S785*INDEX(Products!$H$5:$H$204,T785)))</f>
        <v/>
      </c>
      <c r="Y785" s="11">
        <f>IF(J785="","",S785-V785-W785-X785)</f>
        <v/>
      </c>
    </row>
    <row r="786">
      <c r="A786" s="19" t="n"/>
      <c r="B786" s="19" t="n"/>
      <c r="C786" s="19" t="n"/>
      <c r="D786" s="19" t="n"/>
      <c r="E786" s="19" t="n"/>
      <c r="F786" s="20" t="n"/>
      <c r="G786" s="20" t="n"/>
      <c r="H786" s="20" t="n"/>
      <c r="I786" s="19" t="n"/>
      <c r="J786">
        <f>IFERROR(IF(C786="","",C786)&amp;"","")</f>
        <v/>
      </c>
      <c r="K786">
        <f>IFERROR(IF(D786="","",D786)&amp;"","")</f>
        <v/>
      </c>
      <c r="L786">
        <f>IFERROR(IF(I786="","",I786)&amp;"","")</f>
        <v/>
      </c>
      <c r="M786">
        <f>IF(J786="","",IFERROR(VALUE(SUBSTITUTE(SUBSTITUTE(IF(E786="","",E786)&amp;"","$",""),",","")),0))</f>
        <v/>
      </c>
      <c r="N786" s="11">
        <f>IF(J786="","",IFERROR(VALUE(SUBSTITUTE(SUBSTITUTE(IF(F786="","",F786)&amp;"","$",""),",","")),0))</f>
        <v/>
      </c>
      <c r="O786" s="11">
        <f>IF(J786="","",M786*N786)</f>
        <v/>
      </c>
      <c r="P786">
        <f>IF(J786="","",IF(L786="",1,COUNTIF($L$2:$L$1501,L786)))</f>
        <v/>
      </c>
      <c r="Q786" s="11">
        <f>IF(J786="","",IFERROR(VALUE(SUBSTITUTE(SUBSTITUTE(IF(G786="","",G786)&amp;"","$",""),",","")),0)/IF("No"="Yes",P786,1))</f>
        <v/>
      </c>
      <c r="R786" s="11">
        <f>IF(J786="","",IFERROR(VALUE(SUBSTITUTE(SUBSTITUTE(IF(H786="","",H786)&amp;"","$",""),",","")),0)/IF("No"="Yes",P786,1))</f>
        <v/>
      </c>
      <c r="S786" s="11">
        <f>IF(J786="","",O786+Q786-R786)</f>
        <v/>
      </c>
      <c r="T786">
        <f>IF(J786="","",IFERROR(IF(K786="",NA(),MATCH(K786,Products!$B$5:$B$204,0)),IFERROR(MATCH(J786,Products!$A$5:$A$204,0),"")))</f>
        <v/>
      </c>
      <c r="U786">
        <f>IF(J786="","",IF(T786="","⚠ not in Products",INDEX(Products!$A$5:$A$204,T786)))</f>
        <v/>
      </c>
      <c r="V786" s="11">
        <f>IF(J786="","",S786*(IFERROR(INDEX(Settings!$B$5:$B$9,MATCH($B786,Settings!$A$5:$A$9,0)),0)+IFERROR(INDEX(Settings!$E$5:$E$9,MATCH($B786,Settings!$A$5:$A$9,0)),0)+IFERROR(INDEX(Settings!$G$5:$G$9,MATCH($B786,Settings!$A$5:$A$9,0)),0))+(IFERROR(INDEX(Settings!$C$5:$C$9,MATCH($B786,Settings!$A$5:$A$9,0)),0)+IFERROR(INDEX(Settings!$F$5:$F$9,MATCH($B786,Settings!$A$5:$A$9,0)),0))/P786+IFERROR(INDEX(Settings!$D$5:$D$9,MATCH($B786,Settings!$A$5:$A$9,0)),0)*M786)</f>
        <v/>
      </c>
      <c r="W786" s="11">
        <f>IF(J786="","",IF(T786="",0,M786*INDEX(Products!$I$5:$I$204,T786)))</f>
        <v/>
      </c>
      <c r="X786" s="11">
        <f>IF(J786="","",IF(T786="",0,S786*INDEX(Products!$H$5:$H$204,T786)))</f>
        <v/>
      </c>
      <c r="Y786" s="11">
        <f>IF(J786="","",S786-V786-W786-X786)</f>
        <v/>
      </c>
    </row>
    <row r="787">
      <c r="A787" s="19" t="n"/>
      <c r="B787" s="19" t="n"/>
      <c r="C787" s="19" t="n"/>
      <c r="D787" s="19" t="n"/>
      <c r="E787" s="19" t="n"/>
      <c r="F787" s="20" t="n"/>
      <c r="G787" s="20" t="n"/>
      <c r="H787" s="20" t="n"/>
      <c r="I787" s="19" t="n"/>
      <c r="J787">
        <f>IFERROR(IF(C787="","",C787)&amp;"","")</f>
        <v/>
      </c>
      <c r="K787">
        <f>IFERROR(IF(D787="","",D787)&amp;"","")</f>
        <v/>
      </c>
      <c r="L787">
        <f>IFERROR(IF(I787="","",I787)&amp;"","")</f>
        <v/>
      </c>
      <c r="M787">
        <f>IF(J787="","",IFERROR(VALUE(SUBSTITUTE(SUBSTITUTE(IF(E787="","",E787)&amp;"","$",""),",","")),0))</f>
        <v/>
      </c>
      <c r="N787" s="11">
        <f>IF(J787="","",IFERROR(VALUE(SUBSTITUTE(SUBSTITUTE(IF(F787="","",F787)&amp;"","$",""),",","")),0))</f>
        <v/>
      </c>
      <c r="O787" s="11">
        <f>IF(J787="","",M787*N787)</f>
        <v/>
      </c>
      <c r="P787">
        <f>IF(J787="","",IF(L787="",1,COUNTIF($L$2:$L$1501,L787)))</f>
        <v/>
      </c>
      <c r="Q787" s="11">
        <f>IF(J787="","",IFERROR(VALUE(SUBSTITUTE(SUBSTITUTE(IF(G787="","",G787)&amp;"","$",""),",","")),0)/IF("No"="Yes",P787,1))</f>
        <v/>
      </c>
      <c r="R787" s="11">
        <f>IF(J787="","",IFERROR(VALUE(SUBSTITUTE(SUBSTITUTE(IF(H787="","",H787)&amp;"","$",""),",","")),0)/IF("No"="Yes",P787,1))</f>
        <v/>
      </c>
      <c r="S787" s="11">
        <f>IF(J787="","",O787+Q787-R787)</f>
        <v/>
      </c>
      <c r="T787">
        <f>IF(J787="","",IFERROR(IF(K787="",NA(),MATCH(K787,Products!$B$5:$B$204,0)),IFERROR(MATCH(J787,Products!$A$5:$A$204,0),"")))</f>
        <v/>
      </c>
      <c r="U787">
        <f>IF(J787="","",IF(T787="","⚠ not in Products",INDEX(Products!$A$5:$A$204,T787)))</f>
        <v/>
      </c>
      <c r="V787" s="11">
        <f>IF(J787="","",S787*(IFERROR(INDEX(Settings!$B$5:$B$9,MATCH($B787,Settings!$A$5:$A$9,0)),0)+IFERROR(INDEX(Settings!$E$5:$E$9,MATCH($B787,Settings!$A$5:$A$9,0)),0)+IFERROR(INDEX(Settings!$G$5:$G$9,MATCH($B787,Settings!$A$5:$A$9,0)),0))+(IFERROR(INDEX(Settings!$C$5:$C$9,MATCH($B787,Settings!$A$5:$A$9,0)),0)+IFERROR(INDEX(Settings!$F$5:$F$9,MATCH($B787,Settings!$A$5:$A$9,0)),0))/P787+IFERROR(INDEX(Settings!$D$5:$D$9,MATCH($B787,Settings!$A$5:$A$9,0)),0)*M787)</f>
        <v/>
      </c>
      <c r="W787" s="11">
        <f>IF(J787="","",IF(T787="",0,M787*INDEX(Products!$I$5:$I$204,T787)))</f>
        <v/>
      </c>
      <c r="X787" s="11">
        <f>IF(J787="","",IF(T787="",0,S787*INDEX(Products!$H$5:$H$204,T787)))</f>
        <v/>
      </c>
      <c r="Y787" s="11">
        <f>IF(J787="","",S787-V787-W787-X787)</f>
        <v/>
      </c>
    </row>
    <row r="788">
      <c r="A788" s="19" t="n"/>
      <c r="B788" s="19" t="n"/>
      <c r="C788" s="19" t="n"/>
      <c r="D788" s="19" t="n"/>
      <c r="E788" s="19" t="n"/>
      <c r="F788" s="20" t="n"/>
      <c r="G788" s="20" t="n"/>
      <c r="H788" s="20" t="n"/>
      <c r="I788" s="19" t="n"/>
      <c r="J788">
        <f>IFERROR(IF(C788="","",C788)&amp;"","")</f>
        <v/>
      </c>
      <c r="K788">
        <f>IFERROR(IF(D788="","",D788)&amp;"","")</f>
        <v/>
      </c>
      <c r="L788">
        <f>IFERROR(IF(I788="","",I788)&amp;"","")</f>
        <v/>
      </c>
      <c r="M788">
        <f>IF(J788="","",IFERROR(VALUE(SUBSTITUTE(SUBSTITUTE(IF(E788="","",E788)&amp;"","$",""),",","")),0))</f>
        <v/>
      </c>
      <c r="N788" s="11">
        <f>IF(J788="","",IFERROR(VALUE(SUBSTITUTE(SUBSTITUTE(IF(F788="","",F788)&amp;"","$",""),",","")),0))</f>
        <v/>
      </c>
      <c r="O788" s="11">
        <f>IF(J788="","",M788*N788)</f>
        <v/>
      </c>
      <c r="P788">
        <f>IF(J788="","",IF(L788="",1,COUNTIF($L$2:$L$1501,L788)))</f>
        <v/>
      </c>
      <c r="Q788" s="11">
        <f>IF(J788="","",IFERROR(VALUE(SUBSTITUTE(SUBSTITUTE(IF(G788="","",G788)&amp;"","$",""),",","")),0)/IF("No"="Yes",P788,1))</f>
        <v/>
      </c>
      <c r="R788" s="11">
        <f>IF(J788="","",IFERROR(VALUE(SUBSTITUTE(SUBSTITUTE(IF(H788="","",H788)&amp;"","$",""),",","")),0)/IF("No"="Yes",P788,1))</f>
        <v/>
      </c>
      <c r="S788" s="11">
        <f>IF(J788="","",O788+Q788-R788)</f>
        <v/>
      </c>
      <c r="T788">
        <f>IF(J788="","",IFERROR(IF(K788="",NA(),MATCH(K788,Products!$B$5:$B$204,0)),IFERROR(MATCH(J788,Products!$A$5:$A$204,0),"")))</f>
        <v/>
      </c>
      <c r="U788">
        <f>IF(J788="","",IF(T788="","⚠ not in Products",INDEX(Products!$A$5:$A$204,T788)))</f>
        <v/>
      </c>
      <c r="V788" s="11">
        <f>IF(J788="","",S788*(IFERROR(INDEX(Settings!$B$5:$B$9,MATCH($B788,Settings!$A$5:$A$9,0)),0)+IFERROR(INDEX(Settings!$E$5:$E$9,MATCH($B788,Settings!$A$5:$A$9,0)),0)+IFERROR(INDEX(Settings!$G$5:$G$9,MATCH($B788,Settings!$A$5:$A$9,0)),0))+(IFERROR(INDEX(Settings!$C$5:$C$9,MATCH($B788,Settings!$A$5:$A$9,0)),0)+IFERROR(INDEX(Settings!$F$5:$F$9,MATCH($B788,Settings!$A$5:$A$9,0)),0))/P788+IFERROR(INDEX(Settings!$D$5:$D$9,MATCH($B788,Settings!$A$5:$A$9,0)),0)*M788)</f>
        <v/>
      </c>
      <c r="W788" s="11">
        <f>IF(J788="","",IF(T788="",0,M788*INDEX(Products!$I$5:$I$204,T788)))</f>
        <v/>
      </c>
      <c r="X788" s="11">
        <f>IF(J788="","",IF(T788="",0,S788*INDEX(Products!$H$5:$H$204,T788)))</f>
        <v/>
      </c>
      <c r="Y788" s="11">
        <f>IF(J788="","",S788-V788-W788-X788)</f>
        <v/>
      </c>
    </row>
    <row r="789">
      <c r="A789" s="19" t="n"/>
      <c r="B789" s="19" t="n"/>
      <c r="C789" s="19" t="n"/>
      <c r="D789" s="19" t="n"/>
      <c r="E789" s="19" t="n"/>
      <c r="F789" s="20" t="n"/>
      <c r="G789" s="20" t="n"/>
      <c r="H789" s="20" t="n"/>
      <c r="I789" s="19" t="n"/>
      <c r="J789">
        <f>IFERROR(IF(C789="","",C789)&amp;"","")</f>
        <v/>
      </c>
      <c r="K789">
        <f>IFERROR(IF(D789="","",D789)&amp;"","")</f>
        <v/>
      </c>
      <c r="L789">
        <f>IFERROR(IF(I789="","",I789)&amp;"","")</f>
        <v/>
      </c>
      <c r="M789">
        <f>IF(J789="","",IFERROR(VALUE(SUBSTITUTE(SUBSTITUTE(IF(E789="","",E789)&amp;"","$",""),",","")),0))</f>
        <v/>
      </c>
      <c r="N789" s="11">
        <f>IF(J789="","",IFERROR(VALUE(SUBSTITUTE(SUBSTITUTE(IF(F789="","",F789)&amp;"","$",""),",","")),0))</f>
        <v/>
      </c>
      <c r="O789" s="11">
        <f>IF(J789="","",M789*N789)</f>
        <v/>
      </c>
      <c r="P789">
        <f>IF(J789="","",IF(L789="",1,COUNTIF($L$2:$L$1501,L789)))</f>
        <v/>
      </c>
      <c r="Q789" s="11">
        <f>IF(J789="","",IFERROR(VALUE(SUBSTITUTE(SUBSTITUTE(IF(G789="","",G789)&amp;"","$",""),",","")),0)/IF("No"="Yes",P789,1))</f>
        <v/>
      </c>
      <c r="R789" s="11">
        <f>IF(J789="","",IFERROR(VALUE(SUBSTITUTE(SUBSTITUTE(IF(H789="","",H789)&amp;"","$",""),",","")),0)/IF("No"="Yes",P789,1))</f>
        <v/>
      </c>
      <c r="S789" s="11">
        <f>IF(J789="","",O789+Q789-R789)</f>
        <v/>
      </c>
      <c r="T789">
        <f>IF(J789="","",IFERROR(IF(K789="",NA(),MATCH(K789,Products!$B$5:$B$204,0)),IFERROR(MATCH(J789,Products!$A$5:$A$204,0),"")))</f>
        <v/>
      </c>
      <c r="U789">
        <f>IF(J789="","",IF(T789="","⚠ not in Products",INDEX(Products!$A$5:$A$204,T789)))</f>
        <v/>
      </c>
      <c r="V789" s="11">
        <f>IF(J789="","",S789*(IFERROR(INDEX(Settings!$B$5:$B$9,MATCH($B789,Settings!$A$5:$A$9,0)),0)+IFERROR(INDEX(Settings!$E$5:$E$9,MATCH($B789,Settings!$A$5:$A$9,0)),0)+IFERROR(INDEX(Settings!$G$5:$G$9,MATCH($B789,Settings!$A$5:$A$9,0)),0))+(IFERROR(INDEX(Settings!$C$5:$C$9,MATCH($B789,Settings!$A$5:$A$9,0)),0)+IFERROR(INDEX(Settings!$F$5:$F$9,MATCH($B789,Settings!$A$5:$A$9,0)),0))/P789+IFERROR(INDEX(Settings!$D$5:$D$9,MATCH($B789,Settings!$A$5:$A$9,0)),0)*M789)</f>
        <v/>
      </c>
      <c r="W789" s="11">
        <f>IF(J789="","",IF(T789="",0,M789*INDEX(Products!$I$5:$I$204,T789)))</f>
        <v/>
      </c>
      <c r="X789" s="11">
        <f>IF(J789="","",IF(T789="",0,S789*INDEX(Products!$H$5:$H$204,T789)))</f>
        <v/>
      </c>
      <c r="Y789" s="11">
        <f>IF(J789="","",S789-V789-W789-X789)</f>
        <v/>
      </c>
    </row>
    <row r="790">
      <c r="A790" s="19" t="n"/>
      <c r="B790" s="19" t="n"/>
      <c r="C790" s="19" t="n"/>
      <c r="D790" s="19" t="n"/>
      <c r="E790" s="19" t="n"/>
      <c r="F790" s="20" t="n"/>
      <c r="G790" s="20" t="n"/>
      <c r="H790" s="20" t="n"/>
      <c r="I790" s="19" t="n"/>
      <c r="J790">
        <f>IFERROR(IF(C790="","",C790)&amp;"","")</f>
        <v/>
      </c>
      <c r="K790">
        <f>IFERROR(IF(D790="","",D790)&amp;"","")</f>
        <v/>
      </c>
      <c r="L790">
        <f>IFERROR(IF(I790="","",I790)&amp;"","")</f>
        <v/>
      </c>
      <c r="M790">
        <f>IF(J790="","",IFERROR(VALUE(SUBSTITUTE(SUBSTITUTE(IF(E790="","",E790)&amp;"","$",""),",","")),0))</f>
        <v/>
      </c>
      <c r="N790" s="11">
        <f>IF(J790="","",IFERROR(VALUE(SUBSTITUTE(SUBSTITUTE(IF(F790="","",F790)&amp;"","$",""),",","")),0))</f>
        <v/>
      </c>
      <c r="O790" s="11">
        <f>IF(J790="","",M790*N790)</f>
        <v/>
      </c>
      <c r="P790">
        <f>IF(J790="","",IF(L790="",1,COUNTIF($L$2:$L$1501,L790)))</f>
        <v/>
      </c>
      <c r="Q790" s="11">
        <f>IF(J790="","",IFERROR(VALUE(SUBSTITUTE(SUBSTITUTE(IF(G790="","",G790)&amp;"","$",""),",","")),0)/IF("No"="Yes",P790,1))</f>
        <v/>
      </c>
      <c r="R790" s="11">
        <f>IF(J790="","",IFERROR(VALUE(SUBSTITUTE(SUBSTITUTE(IF(H790="","",H790)&amp;"","$",""),",","")),0)/IF("No"="Yes",P790,1))</f>
        <v/>
      </c>
      <c r="S790" s="11">
        <f>IF(J790="","",O790+Q790-R790)</f>
        <v/>
      </c>
      <c r="T790">
        <f>IF(J790="","",IFERROR(IF(K790="",NA(),MATCH(K790,Products!$B$5:$B$204,0)),IFERROR(MATCH(J790,Products!$A$5:$A$204,0),"")))</f>
        <v/>
      </c>
      <c r="U790">
        <f>IF(J790="","",IF(T790="","⚠ not in Products",INDEX(Products!$A$5:$A$204,T790)))</f>
        <v/>
      </c>
      <c r="V790" s="11">
        <f>IF(J790="","",S790*(IFERROR(INDEX(Settings!$B$5:$B$9,MATCH($B790,Settings!$A$5:$A$9,0)),0)+IFERROR(INDEX(Settings!$E$5:$E$9,MATCH($B790,Settings!$A$5:$A$9,0)),0)+IFERROR(INDEX(Settings!$G$5:$G$9,MATCH($B790,Settings!$A$5:$A$9,0)),0))+(IFERROR(INDEX(Settings!$C$5:$C$9,MATCH($B790,Settings!$A$5:$A$9,0)),0)+IFERROR(INDEX(Settings!$F$5:$F$9,MATCH($B790,Settings!$A$5:$A$9,0)),0))/P790+IFERROR(INDEX(Settings!$D$5:$D$9,MATCH($B790,Settings!$A$5:$A$9,0)),0)*M790)</f>
        <v/>
      </c>
      <c r="W790" s="11">
        <f>IF(J790="","",IF(T790="",0,M790*INDEX(Products!$I$5:$I$204,T790)))</f>
        <v/>
      </c>
      <c r="X790" s="11">
        <f>IF(J790="","",IF(T790="",0,S790*INDEX(Products!$H$5:$H$204,T790)))</f>
        <v/>
      </c>
      <c r="Y790" s="11">
        <f>IF(J790="","",S790-V790-W790-X790)</f>
        <v/>
      </c>
    </row>
    <row r="791">
      <c r="A791" s="19" t="n"/>
      <c r="B791" s="19" t="n"/>
      <c r="C791" s="19" t="n"/>
      <c r="D791" s="19" t="n"/>
      <c r="E791" s="19" t="n"/>
      <c r="F791" s="20" t="n"/>
      <c r="G791" s="20" t="n"/>
      <c r="H791" s="20" t="n"/>
      <c r="I791" s="19" t="n"/>
      <c r="J791">
        <f>IFERROR(IF(C791="","",C791)&amp;"","")</f>
        <v/>
      </c>
      <c r="K791">
        <f>IFERROR(IF(D791="","",D791)&amp;"","")</f>
        <v/>
      </c>
      <c r="L791">
        <f>IFERROR(IF(I791="","",I791)&amp;"","")</f>
        <v/>
      </c>
      <c r="M791">
        <f>IF(J791="","",IFERROR(VALUE(SUBSTITUTE(SUBSTITUTE(IF(E791="","",E791)&amp;"","$",""),",","")),0))</f>
        <v/>
      </c>
      <c r="N791" s="11">
        <f>IF(J791="","",IFERROR(VALUE(SUBSTITUTE(SUBSTITUTE(IF(F791="","",F791)&amp;"","$",""),",","")),0))</f>
        <v/>
      </c>
      <c r="O791" s="11">
        <f>IF(J791="","",M791*N791)</f>
        <v/>
      </c>
      <c r="P791">
        <f>IF(J791="","",IF(L791="",1,COUNTIF($L$2:$L$1501,L791)))</f>
        <v/>
      </c>
      <c r="Q791" s="11">
        <f>IF(J791="","",IFERROR(VALUE(SUBSTITUTE(SUBSTITUTE(IF(G791="","",G791)&amp;"","$",""),",","")),0)/IF("No"="Yes",P791,1))</f>
        <v/>
      </c>
      <c r="R791" s="11">
        <f>IF(J791="","",IFERROR(VALUE(SUBSTITUTE(SUBSTITUTE(IF(H791="","",H791)&amp;"","$",""),",","")),0)/IF("No"="Yes",P791,1))</f>
        <v/>
      </c>
      <c r="S791" s="11">
        <f>IF(J791="","",O791+Q791-R791)</f>
        <v/>
      </c>
      <c r="T791">
        <f>IF(J791="","",IFERROR(IF(K791="",NA(),MATCH(K791,Products!$B$5:$B$204,0)),IFERROR(MATCH(J791,Products!$A$5:$A$204,0),"")))</f>
        <v/>
      </c>
      <c r="U791">
        <f>IF(J791="","",IF(T791="","⚠ not in Products",INDEX(Products!$A$5:$A$204,T791)))</f>
        <v/>
      </c>
      <c r="V791" s="11">
        <f>IF(J791="","",S791*(IFERROR(INDEX(Settings!$B$5:$B$9,MATCH($B791,Settings!$A$5:$A$9,0)),0)+IFERROR(INDEX(Settings!$E$5:$E$9,MATCH($B791,Settings!$A$5:$A$9,0)),0)+IFERROR(INDEX(Settings!$G$5:$G$9,MATCH($B791,Settings!$A$5:$A$9,0)),0))+(IFERROR(INDEX(Settings!$C$5:$C$9,MATCH($B791,Settings!$A$5:$A$9,0)),0)+IFERROR(INDEX(Settings!$F$5:$F$9,MATCH($B791,Settings!$A$5:$A$9,0)),0))/P791+IFERROR(INDEX(Settings!$D$5:$D$9,MATCH($B791,Settings!$A$5:$A$9,0)),0)*M791)</f>
        <v/>
      </c>
      <c r="W791" s="11">
        <f>IF(J791="","",IF(T791="",0,M791*INDEX(Products!$I$5:$I$204,T791)))</f>
        <v/>
      </c>
      <c r="X791" s="11">
        <f>IF(J791="","",IF(T791="",0,S791*INDEX(Products!$H$5:$H$204,T791)))</f>
        <v/>
      </c>
      <c r="Y791" s="11">
        <f>IF(J791="","",S791-V791-W791-X791)</f>
        <v/>
      </c>
    </row>
    <row r="792">
      <c r="A792" s="19" t="n"/>
      <c r="B792" s="19" t="n"/>
      <c r="C792" s="19" t="n"/>
      <c r="D792" s="19" t="n"/>
      <c r="E792" s="19" t="n"/>
      <c r="F792" s="20" t="n"/>
      <c r="G792" s="20" t="n"/>
      <c r="H792" s="20" t="n"/>
      <c r="I792" s="19" t="n"/>
      <c r="J792">
        <f>IFERROR(IF(C792="","",C792)&amp;"","")</f>
        <v/>
      </c>
      <c r="K792">
        <f>IFERROR(IF(D792="","",D792)&amp;"","")</f>
        <v/>
      </c>
      <c r="L792">
        <f>IFERROR(IF(I792="","",I792)&amp;"","")</f>
        <v/>
      </c>
      <c r="M792">
        <f>IF(J792="","",IFERROR(VALUE(SUBSTITUTE(SUBSTITUTE(IF(E792="","",E792)&amp;"","$",""),",","")),0))</f>
        <v/>
      </c>
      <c r="N792" s="11">
        <f>IF(J792="","",IFERROR(VALUE(SUBSTITUTE(SUBSTITUTE(IF(F792="","",F792)&amp;"","$",""),",","")),0))</f>
        <v/>
      </c>
      <c r="O792" s="11">
        <f>IF(J792="","",M792*N792)</f>
        <v/>
      </c>
      <c r="P792">
        <f>IF(J792="","",IF(L792="",1,COUNTIF($L$2:$L$1501,L792)))</f>
        <v/>
      </c>
      <c r="Q792" s="11">
        <f>IF(J792="","",IFERROR(VALUE(SUBSTITUTE(SUBSTITUTE(IF(G792="","",G792)&amp;"","$",""),",","")),0)/IF("No"="Yes",P792,1))</f>
        <v/>
      </c>
      <c r="R792" s="11">
        <f>IF(J792="","",IFERROR(VALUE(SUBSTITUTE(SUBSTITUTE(IF(H792="","",H792)&amp;"","$",""),",","")),0)/IF("No"="Yes",P792,1))</f>
        <v/>
      </c>
      <c r="S792" s="11">
        <f>IF(J792="","",O792+Q792-R792)</f>
        <v/>
      </c>
      <c r="T792">
        <f>IF(J792="","",IFERROR(IF(K792="",NA(),MATCH(K792,Products!$B$5:$B$204,0)),IFERROR(MATCH(J792,Products!$A$5:$A$204,0),"")))</f>
        <v/>
      </c>
      <c r="U792">
        <f>IF(J792="","",IF(T792="","⚠ not in Products",INDEX(Products!$A$5:$A$204,T792)))</f>
        <v/>
      </c>
      <c r="V792" s="11">
        <f>IF(J792="","",S792*(IFERROR(INDEX(Settings!$B$5:$B$9,MATCH($B792,Settings!$A$5:$A$9,0)),0)+IFERROR(INDEX(Settings!$E$5:$E$9,MATCH($B792,Settings!$A$5:$A$9,0)),0)+IFERROR(INDEX(Settings!$G$5:$G$9,MATCH($B792,Settings!$A$5:$A$9,0)),0))+(IFERROR(INDEX(Settings!$C$5:$C$9,MATCH($B792,Settings!$A$5:$A$9,0)),0)+IFERROR(INDEX(Settings!$F$5:$F$9,MATCH($B792,Settings!$A$5:$A$9,0)),0))/P792+IFERROR(INDEX(Settings!$D$5:$D$9,MATCH($B792,Settings!$A$5:$A$9,0)),0)*M792)</f>
        <v/>
      </c>
      <c r="W792" s="11">
        <f>IF(J792="","",IF(T792="",0,M792*INDEX(Products!$I$5:$I$204,T792)))</f>
        <v/>
      </c>
      <c r="X792" s="11">
        <f>IF(J792="","",IF(T792="",0,S792*INDEX(Products!$H$5:$H$204,T792)))</f>
        <v/>
      </c>
      <c r="Y792" s="11">
        <f>IF(J792="","",S792-V792-W792-X792)</f>
        <v/>
      </c>
    </row>
    <row r="793">
      <c r="A793" s="19" t="n"/>
      <c r="B793" s="19" t="n"/>
      <c r="C793" s="19" t="n"/>
      <c r="D793" s="19" t="n"/>
      <c r="E793" s="19" t="n"/>
      <c r="F793" s="20" t="n"/>
      <c r="G793" s="20" t="n"/>
      <c r="H793" s="20" t="n"/>
      <c r="I793" s="19" t="n"/>
      <c r="J793">
        <f>IFERROR(IF(C793="","",C793)&amp;"","")</f>
        <v/>
      </c>
      <c r="K793">
        <f>IFERROR(IF(D793="","",D793)&amp;"","")</f>
        <v/>
      </c>
      <c r="L793">
        <f>IFERROR(IF(I793="","",I793)&amp;"","")</f>
        <v/>
      </c>
      <c r="M793">
        <f>IF(J793="","",IFERROR(VALUE(SUBSTITUTE(SUBSTITUTE(IF(E793="","",E793)&amp;"","$",""),",","")),0))</f>
        <v/>
      </c>
      <c r="N793" s="11">
        <f>IF(J793="","",IFERROR(VALUE(SUBSTITUTE(SUBSTITUTE(IF(F793="","",F793)&amp;"","$",""),",","")),0))</f>
        <v/>
      </c>
      <c r="O793" s="11">
        <f>IF(J793="","",M793*N793)</f>
        <v/>
      </c>
      <c r="P793">
        <f>IF(J793="","",IF(L793="",1,COUNTIF($L$2:$L$1501,L793)))</f>
        <v/>
      </c>
      <c r="Q793" s="11">
        <f>IF(J793="","",IFERROR(VALUE(SUBSTITUTE(SUBSTITUTE(IF(G793="","",G793)&amp;"","$",""),",","")),0)/IF("No"="Yes",P793,1))</f>
        <v/>
      </c>
      <c r="R793" s="11">
        <f>IF(J793="","",IFERROR(VALUE(SUBSTITUTE(SUBSTITUTE(IF(H793="","",H793)&amp;"","$",""),",","")),0)/IF("No"="Yes",P793,1))</f>
        <v/>
      </c>
      <c r="S793" s="11">
        <f>IF(J793="","",O793+Q793-R793)</f>
        <v/>
      </c>
      <c r="T793">
        <f>IF(J793="","",IFERROR(IF(K793="",NA(),MATCH(K793,Products!$B$5:$B$204,0)),IFERROR(MATCH(J793,Products!$A$5:$A$204,0),"")))</f>
        <v/>
      </c>
      <c r="U793">
        <f>IF(J793="","",IF(T793="","⚠ not in Products",INDEX(Products!$A$5:$A$204,T793)))</f>
        <v/>
      </c>
      <c r="V793" s="11">
        <f>IF(J793="","",S793*(IFERROR(INDEX(Settings!$B$5:$B$9,MATCH($B793,Settings!$A$5:$A$9,0)),0)+IFERROR(INDEX(Settings!$E$5:$E$9,MATCH($B793,Settings!$A$5:$A$9,0)),0)+IFERROR(INDEX(Settings!$G$5:$G$9,MATCH($B793,Settings!$A$5:$A$9,0)),0))+(IFERROR(INDEX(Settings!$C$5:$C$9,MATCH($B793,Settings!$A$5:$A$9,0)),0)+IFERROR(INDEX(Settings!$F$5:$F$9,MATCH($B793,Settings!$A$5:$A$9,0)),0))/P793+IFERROR(INDEX(Settings!$D$5:$D$9,MATCH($B793,Settings!$A$5:$A$9,0)),0)*M793)</f>
        <v/>
      </c>
      <c r="W793" s="11">
        <f>IF(J793="","",IF(T793="",0,M793*INDEX(Products!$I$5:$I$204,T793)))</f>
        <v/>
      </c>
      <c r="X793" s="11">
        <f>IF(J793="","",IF(T793="",0,S793*INDEX(Products!$H$5:$H$204,T793)))</f>
        <v/>
      </c>
      <c r="Y793" s="11">
        <f>IF(J793="","",S793-V793-W793-X793)</f>
        <v/>
      </c>
    </row>
    <row r="794">
      <c r="A794" s="19" t="n"/>
      <c r="B794" s="19" t="n"/>
      <c r="C794" s="19" t="n"/>
      <c r="D794" s="19" t="n"/>
      <c r="E794" s="19" t="n"/>
      <c r="F794" s="20" t="n"/>
      <c r="G794" s="20" t="n"/>
      <c r="H794" s="20" t="n"/>
      <c r="I794" s="19" t="n"/>
      <c r="J794">
        <f>IFERROR(IF(C794="","",C794)&amp;"","")</f>
        <v/>
      </c>
      <c r="K794">
        <f>IFERROR(IF(D794="","",D794)&amp;"","")</f>
        <v/>
      </c>
      <c r="L794">
        <f>IFERROR(IF(I794="","",I794)&amp;"","")</f>
        <v/>
      </c>
      <c r="M794">
        <f>IF(J794="","",IFERROR(VALUE(SUBSTITUTE(SUBSTITUTE(IF(E794="","",E794)&amp;"","$",""),",","")),0))</f>
        <v/>
      </c>
      <c r="N794" s="11">
        <f>IF(J794="","",IFERROR(VALUE(SUBSTITUTE(SUBSTITUTE(IF(F794="","",F794)&amp;"","$",""),",","")),0))</f>
        <v/>
      </c>
      <c r="O794" s="11">
        <f>IF(J794="","",M794*N794)</f>
        <v/>
      </c>
      <c r="P794">
        <f>IF(J794="","",IF(L794="",1,COUNTIF($L$2:$L$1501,L794)))</f>
        <v/>
      </c>
      <c r="Q794" s="11">
        <f>IF(J794="","",IFERROR(VALUE(SUBSTITUTE(SUBSTITUTE(IF(G794="","",G794)&amp;"","$",""),",","")),0)/IF("No"="Yes",P794,1))</f>
        <v/>
      </c>
      <c r="R794" s="11">
        <f>IF(J794="","",IFERROR(VALUE(SUBSTITUTE(SUBSTITUTE(IF(H794="","",H794)&amp;"","$",""),",","")),0)/IF("No"="Yes",P794,1))</f>
        <v/>
      </c>
      <c r="S794" s="11">
        <f>IF(J794="","",O794+Q794-R794)</f>
        <v/>
      </c>
      <c r="T794">
        <f>IF(J794="","",IFERROR(IF(K794="",NA(),MATCH(K794,Products!$B$5:$B$204,0)),IFERROR(MATCH(J794,Products!$A$5:$A$204,0),"")))</f>
        <v/>
      </c>
      <c r="U794">
        <f>IF(J794="","",IF(T794="","⚠ not in Products",INDEX(Products!$A$5:$A$204,T794)))</f>
        <v/>
      </c>
      <c r="V794" s="11">
        <f>IF(J794="","",S794*(IFERROR(INDEX(Settings!$B$5:$B$9,MATCH($B794,Settings!$A$5:$A$9,0)),0)+IFERROR(INDEX(Settings!$E$5:$E$9,MATCH($B794,Settings!$A$5:$A$9,0)),0)+IFERROR(INDEX(Settings!$G$5:$G$9,MATCH($B794,Settings!$A$5:$A$9,0)),0))+(IFERROR(INDEX(Settings!$C$5:$C$9,MATCH($B794,Settings!$A$5:$A$9,0)),0)+IFERROR(INDEX(Settings!$F$5:$F$9,MATCH($B794,Settings!$A$5:$A$9,0)),0))/P794+IFERROR(INDEX(Settings!$D$5:$D$9,MATCH($B794,Settings!$A$5:$A$9,0)),0)*M794)</f>
        <v/>
      </c>
      <c r="W794" s="11">
        <f>IF(J794="","",IF(T794="",0,M794*INDEX(Products!$I$5:$I$204,T794)))</f>
        <v/>
      </c>
      <c r="X794" s="11">
        <f>IF(J794="","",IF(T794="",0,S794*INDEX(Products!$H$5:$H$204,T794)))</f>
        <v/>
      </c>
      <c r="Y794" s="11">
        <f>IF(J794="","",S794-V794-W794-X794)</f>
        <v/>
      </c>
    </row>
    <row r="795">
      <c r="A795" s="19" t="n"/>
      <c r="B795" s="19" t="n"/>
      <c r="C795" s="19" t="n"/>
      <c r="D795" s="19" t="n"/>
      <c r="E795" s="19" t="n"/>
      <c r="F795" s="20" t="n"/>
      <c r="G795" s="20" t="n"/>
      <c r="H795" s="20" t="n"/>
      <c r="I795" s="19" t="n"/>
      <c r="J795">
        <f>IFERROR(IF(C795="","",C795)&amp;"","")</f>
        <v/>
      </c>
      <c r="K795">
        <f>IFERROR(IF(D795="","",D795)&amp;"","")</f>
        <v/>
      </c>
      <c r="L795">
        <f>IFERROR(IF(I795="","",I795)&amp;"","")</f>
        <v/>
      </c>
      <c r="M795">
        <f>IF(J795="","",IFERROR(VALUE(SUBSTITUTE(SUBSTITUTE(IF(E795="","",E795)&amp;"","$",""),",","")),0))</f>
        <v/>
      </c>
      <c r="N795" s="11">
        <f>IF(J795="","",IFERROR(VALUE(SUBSTITUTE(SUBSTITUTE(IF(F795="","",F795)&amp;"","$",""),",","")),0))</f>
        <v/>
      </c>
      <c r="O795" s="11">
        <f>IF(J795="","",M795*N795)</f>
        <v/>
      </c>
      <c r="P795">
        <f>IF(J795="","",IF(L795="",1,COUNTIF($L$2:$L$1501,L795)))</f>
        <v/>
      </c>
      <c r="Q795" s="11">
        <f>IF(J795="","",IFERROR(VALUE(SUBSTITUTE(SUBSTITUTE(IF(G795="","",G795)&amp;"","$",""),",","")),0)/IF("No"="Yes",P795,1))</f>
        <v/>
      </c>
      <c r="R795" s="11">
        <f>IF(J795="","",IFERROR(VALUE(SUBSTITUTE(SUBSTITUTE(IF(H795="","",H795)&amp;"","$",""),",","")),0)/IF("No"="Yes",P795,1))</f>
        <v/>
      </c>
      <c r="S795" s="11">
        <f>IF(J795="","",O795+Q795-R795)</f>
        <v/>
      </c>
      <c r="T795">
        <f>IF(J795="","",IFERROR(IF(K795="",NA(),MATCH(K795,Products!$B$5:$B$204,0)),IFERROR(MATCH(J795,Products!$A$5:$A$204,0),"")))</f>
        <v/>
      </c>
      <c r="U795">
        <f>IF(J795="","",IF(T795="","⚠ not in Products",INDEX(Products!$A$5:$A$204,T795)))</f>
        <v/>
      </c>
      <c r="V795" s="11">
        <f>IF(J795="","",S795*(IFERROR(INDEX(Settings!$B$5:$B$9,MATCH($B795,Settings!$A$5:$A$9,0)),0)+IFERROR(INDEX(Settings!$E$5:$E$9,MATCH($B795,Settings!$A$5:$A$9,0)),0)+IFERROR(INDEX(Settings!$G$5:$G$9,MATCH($B795,Settings!$A$5:$A$9,0)),0))+(IFERROR(INDEX(Settings!$C$5:$C$9,MATCH($B795,Settings!$A$5:$A$9,0)),0)+IFERROR(INDEX(Settings!$F$5:$F$9,MATCH($B795,Settings!$A$5:$A$9,0)),0))/P795+IFERROR(INDEX(Settings!$D$5:$D$9,MATCH($B795,Settings!$A$5:$A$9,0)),0)*M795)</f>
        <v/>
      </c>
      <c r="W795" s="11">
        <f>IF(J795="","",IF(T795="",0,M795*INDEX(Products!$I$5:$I$204,T795)))</f>
        <v/>
      </c>
      <c r="X795" s="11">
        <f>IF(J795="","",IF(T795="",0,S795*INDEX(Products!$H$5:$H$204,T795)))</f>
        <v/>
      </c>
      <c r="Y795" s="11">
        <f>IF(J795="","",S795-V795-W795-X795)</f>
        <v/>
      </c>
    </row>
    <row r="796">
      <c r="A796" s="19" t="n"/>
      <c r="B796" s="19" t="n"/>
      <c r="C796" s="19" t="n"/>
      <c r="D796" s="19" t="n"/>
      <c r="E796" s="19" t="n"/>
      <c r="F796" s="20" t="n"/>
      <c r="G796" s="20" t="n"/>
      <c r="H796" s="20" t="n"/>
      <c r="I796" s="19" t="n"/>
      <c r="J796">
        <f>IFERROR(IF(C796="","",C796)&amp;"","")</f>
        <v/>
      </c>
      <c r="K796">
        <f>IFERROR(IF(D796="","",D796)&amp;"","")</f>
        <v/>
      </c>
      <c r="L796">
        <f>IFERROR(IF(I796="","",I796)&amp;"","")</f>
        <v/>
      </c>
      <c r="M796">
        <f>IF(J796="","",IFERROR(VALUE(SUBSTITUTE(SUBSTITUTE(IF(E796="","",E796)&amp;"","$",""),",","")),0))</f>
        <v/>
      </c>
      <c r="N796" s="11">
        <f>IF(J796="","",IFERROR(VALUE(SUBSTITUTE(SUBSTITUTE(IF(F796="","",F796)&amp;"","$",""),",","")),0))</f>
        <v/>
      </c>
      <c r="O796" s="11">
        <f>IF(J796="","",M796*N796)</f>
        <v/>
      </c>
      <c r="P796">
        <f>IF(J796="","",IF(L796="",1,COUNTIF($L$2:$L$1501,L796)))</f>
        <v/>
      </c>
      <c r="Q796" s="11">
        <f>IF(J796="","",IFERROR(VALUE(SUBSTITUTE(SUBSTITUTE(IF(G796="","",G796)&amp;"","$",""),",","")),0)/IF("No"="Yes",P796,1))</f>
        <v/>
      </c>
      <c r="R796" s="11">
        <f>IF(J796="","",IFERROR(VALUE(SUBSTITUTE(SUBSTITUTE(IF(H796="","",H796)&amp;"","$",""),",","")),0)/IF("No"="Yes",P796,1))</f>
        <v/>
      </c>
      <c r="S796" s="11">
        <f>IF(J796="","",O796+Q796-R796)</f>
        <v/>
      </c>
      <c r="T796">
        <f>IF(J796="","",IFERROR(IF(K796="",NA(),MATCH(K796,Products!$B$5:$B$204,0)),IFERROR(MATCH(J796,Products!$A$5:$A$204,0),"")))</f>
        <v/>
      </c>
      <c r="U796">
        <f>IF(J796="","",IF(T796="","⚠ not in Products",INDEX(Products!$A$5:$A$204,T796)))</f>
        <v/>
      </c>
      <c r="V796" s="11">
        <f>IF(J796="","",S796*(IFERROR(INDEX(Settings!$B$5:$B$9,MATCH($B796,Settings!$A$5:$A$9,0)),0)+IFERROR(INDEX(Settings!$E$5:$E$9,MATCH($B796,Settings!$A$5:$A$9,0)),0)+IFERROR(INDEX(Settings!$G$5:$G$9,MATCH($B796,Settings!$A$5:$A$9,0)),0))+(IFERROR(INDEX(Settings!$C$5:$C$9,MATCH($B796,Settings!$A$5:$A$9,0)),0)+IFERROR(INDEX(Settings!$F$5:$F$9,MATCH($B796,Settings!$A$5:$A$9,0)),0))/P796+IFERROR(INDEX(Settings!$D$5:$D$9,MATCH($B796,Settings!$A$5:$A$9,0)),0)*M796)</f>
        <v/>
      </c>
      <c r="W796" s="11">
        <f>IF(J796="","",IF(T796="",0,M796*INDEX(Products!$I$5:$I$204,T796)))</f>
        <v/>
      </c>
      <c r="X796" s="11">
        <f>IF(J796="","",IF(T796="",0,S796*INDEX(Products!$H$5:$H$204,T796)))</f>
        <v/>
      </c>
      <c r="Y796" s="11">
        <f>IF(J796="","",S796-V796-W796-X796)</f>
        <v/>
      </c>
    </row>
    <row r="797">
      <c r="A797" s="19" t="n"/>
      <c r="B797" s="19" t="n"/>
      <c r="C797" s="19" t="n"/>
      <c r="D797" s="19" t="n"/>
      <c r="E797" s="19" t="n"/>
      <c r="F797" s="20" t="n"/>
      <c r="G797" s="20" t="n"/>
      <c r="H797" s="20" t="n"/>
      <c r="I797" s="19" t="n"/>
      <c r="J797">
        <f>IFERROR(IF(C797="","",C797)&amp;"","")</f>
        <v/>
      </c>
      <c r="K797">
        <f>IFERROR(IF(D797="","",D797)&amp;"","")</f>
        <v/>
      </c>
      <c r="L797">
        <f>IFERROR(IF(I797="","",I797)&amp;"","")</f>
        <v/>
      </c>
      <c r="M797">
        <f>IF(J797="","",IFERROR(VALUE(SUBSTITUTE(SUBSTITUTE(IF(E797="","",E797)&amp;"","$",""),",","")),0))</f>
        <v/>
      </c>
      <c r="N797" s="11">
        <f>IF(J797="","",IFERROR(VALUE(SUBSTITUTE(SUBSTITUTE(IF(F797="","",F797)&amp;"","$",""),",","")),0))</f>
        <v/>
      </c>
      <c r="O797" s="11">
        <f>IF(J797="","",M797*N797)</f>
        <v/>
      </c>
      <c r="P797">
        <f>IF(J797="","",IF(L797="",1,COUNTIF($L$2:$L$1501,L797)))</f>
        <v/>
      </c>
      <c r="Q797" s="11">
        <f>IF(J797="","",IFERROR(VALUE(SUBSTITUTE(SUBSTITUTE(IF(G797="","",G797)&amp;"","$",""),",","")),0)/IF("No"="Yes",P797,1))</f>
        <v/>
      </c>
      <c r="R797" s="11">
        <f>IF(J797="","",IFERROR(VALUE(SUBSTITUTE(SUBSTITUTE(IF(H797="","",H797)&amp;"","$",""),",","")),0)/IF("No"="Yes",P797,1))</f>
        <v/>
      </c>
      <c r="S797" s="11">
        <f>IF(J797="","",O797+Q797-R797)</f>
        <v/>
      </c>
      <c r="T797">
        <f>IF(J797="","",IFERROR(IF(K797="",NA(),MATCH(K797,Products!$B$5:$B$204,0)),IFERROR(MATCH(J797,Products!$A$5:$A$204,0),"")))</f>
        <v/>
      </c>
      <c r="U797">
        <f>IF(J797="","",IF(T797="","⚠ not in Products",INDEX(Products!$A$5:$A$204,T797)))</f>
        <v/>
      </c>
      <c r="V797" s="11">
        <f>IF(J797="","",S797*(IFERROR(INDEX(Settings!$B$5:$B$9,MATCH($B797,Settings!$A$5:$A$9,0)),0)+IFERROR(INDEX(Settings!$E$5:$E$9,MATCH($B797,Settings!$A$5:$A$9,0)),0)+IFERROR(INDEX(Settings!$G$5:$G$9,MATCH($B797,Settings!$A$5:$A$9,0)),0))+(IFERROR(INDEX(Settings!$C$5:$C$9,MATCH($B797,Settings!$A$5:$A$9,0)),0)+IFERROR(INDEX(Settings!$F$5:$F$9,MATCH($B797,Settings!$A$5:$A$9,0)),0))/P797+IFERROR(INDEX(Settings!$D$5:$D$9,MATCH($B797,Settings!$A$5:$A$9,0)),0)*M797)</f>
        <v/>
      </c>
      <c r="W797" s="11">
        <f>IF(J797="","",IF(T797="",0,M797*INDEX(Products!$I$5:$I$204,T797)))</f>
        <v/>
      </c>
      <c r="X797" s="11">
        <f>IF(J797="","",IF(T797="",0,S797*INDEX(Products!$H$5:$H$204,T797)))</f>
        <v/>
      </c>
      <c r="Y797" s="11">
        <f>IF(J797="","",S797-V797-W797-X797)</f>
        <v/>
      </c>
    </row>
    <row r="798">
      <c r="A798" s="19" t="n"/>
      <c r="B798" s="19" t="n"/>
      <c r="C798" s="19" t="n"/>
      <c r="D798" s="19" t="n"/>
      <c r="E798" s="19" t="n"/>
      <c r="F798" s="20" t="n"/>
      <c r="G798" s="20" t="n"/>
      <c r="H798" s="20" t="n"/>
      <c r="I798" s="19" t="n"/>
      <c r="J798">
        <f>IFERROR(IF(C798="","",C798)&amp;"","")</f>
        <v/>
      </c>
      <c r="K798">
        <f>IFERROR(IF(D798="","",D798)&amp;"","")</f>
        <v/>
      </c>
      <c r="L798">
        <f>IFERROR(IF(I798="","",I798)&amp;"","")</f>
        <v/>
      </c>
      <c r="M798">
        <f>IF(J798="","",IFERROR(VALUE(SUBSTITUTE(SUBSTITUTE(IF(E798="","",E798)&amp;"","$",""),",","")),0))</f>
        <v/>
      </c>
      <c r="N798" s="11">
        <f>IF(J798="","",IFERROR(VALUE(SUBSTITUTE(SUBSTITUTE(IF(F798="","",F798)&amp;"","$",""),",","")),0))</f>
        <v/>
      </c>
      <c r="O798" s="11">
        <f>IF(J798="","",M798*N798)</f>
        <v/>
      </c>
      <c r="P798">
        <f>IF(J798="","",IF(L798="",1,COUNTIF($L$2:$L$1501,L798)))</f>
        <v/>
      </c>
      <c r="Q798" s="11">
        <f>IF(J798="","",IFERROR(VALUE(SUBSTITUTE(SUBSTITUTE(IF(G798="","",G798)&amp;"","$",""),",","")),0)/IF("No"="Yes",P798,1))</f>
        <v/>
      </c>
      <c r="R798" s="11">
        <f>IF(J798="","",IFERROR(VALUE(SUBSTITUTE(SUBSTITUTE(IF(H798="","",H798)&amp;"","$",""),",","")),0)/IF("No"="Yes",P798,1))</f>
        <v/>
      </c>
      <c r="S798" s="11">
        <f>IF(J798="","",O798+Q798-R798)</f>
        <v/>
      </c>
      <c r="T798">
        <f>IF(J798="","",IFERROR(IF(K798="",NA(),MATCH(K798,Products!$B$5:$B$204,0)),IFERROR(MATCH(J798,Products!$A$5:$A$204,0),"")))</f>
        <v/>
      </c>
      <c r="U798">
        <f>IF(J798="","",IF(T798="","⚠ not in Products",INDEX(Products!$A$5:$A$204,T798)))</f>
        <v/>
      </c>
      <c r="V798" s="11">
        <f>IF(J798="","",S798*(IFERROR(INDEX(Settings!$B$5:$B$9,MATCH($B798,Settings!$A$5:$A$9,0)),0)+IFERROR(INDEX(Settings!$E$5:$E$9,MATCH($B798,Settings!$A$5:$A$9,0)),0)+IFERROR(INDEX(Settings!$G$5:$G$9,MATCH($B798,Settings!$A$5:$A$9,0)),0))+(IFERROR(INDEX(Settings!$C$5:$C$9,MATCH($B798,Settings!$A$5:$A$9,0)),0)+IFERROR(INDEX(Settings!$F$5:$F$9,MATCH($B798,Settings!$A$5:$A$9,0)),0))/P798+IFERROR(INDEX(Settings!$D$5:$D$9,MATCH($B798,Settings!$A$5:$A$9,0)),0)*M798)</f>
        <v/>
      </c>
      <c r="W798" s="11">
        <f>IF(J798="","",IF(T798="",0,M798*INDEX(Products!$I$5:$I$204,T798)))</f>
        <v/>
      </c>
      <c r="X798" s="11">
        <f>IF(J798="","",IF(T798="",0,S798*INDEX(Products!$H$5:$H$204,T798)))</f>
        <v/>
      </c>
      <c r="Y798" s="11">
        <f>IF(J798="","",S798-V798-W798-X798)</f>
        <v/>
      </c>
    </row>
    <row r="799">
      <c r="A799" s="19" t="n"/>
      <c r="B799" s="19" t="n"/>
      <c r="C799" s="19" t="n"/>
      <c r="D799" s="19" t="n"/>
      <c r="E799" s="19" t="n"/>
      <c r="F799" s="20" t="n"/>
      <c r="G799" s="20" t="n"/>
      <c r="H799" s="20" t="n"/>
      <c r="I799" s="19" t="n"/>
      <c r="J799">
        <f>IFERROR(IF(C799="","",C799)&amp;"","")</f>
        <v/>
      </c>
      <c r="K799">
        <f>IFERROR(IF(D799="","",D799)&amp;"","")</f>
        <v/>
      </c>
      <c r="L799">
        <f>IFERROR(IF(I799="","",I799)&amp;"","")</f>
        <v/>
      </c>
      <c r="M799">
        <f>IF(J799="","",IFERROR(VALUE(SUBSTITUTE(SUBSTITUTE(IF(E799="","",E799)&amp;"","$",""),",","")),0))</f>
        <v/>
      </c>
      <c r="N799" s="11">
        <f>IF(J799="","",IFERROR(VALUE(SUBSTITUTE(SUBSTITUTE(IF(F799="","",F799)&amp;"","$",""),",","")),0))</f>
        <v/>
      </c>
      <c r="O799" s="11">
        <f>IF(J799="","",M799*N799)</f>
        <v/>
      </c>
      <c r="P799">
        <f>IF(J799="","",IF(L799="",1,COUNTIF($L$2:$L$1501,L799)))</f>
        <v/>
      </c>
      <c r="Q799" s="11">
        <f>IF(J799="","",IFERROR(VALUE(SUBSTITUTE(SUBSTITUTE(IF(G799="","",G799)&amp;"","$",""),",","")),0)/IF("No"="Yes",P799,1))</f>
        <v/>
      </c>
      <c r="R799" s="11">
        <f>IF(J799="","",IFERROR(VALUE(SUBSTITUTE(SUBSTITUTE(IF(H799="","",H799)&amp;"","$",""),",","")),0)/IF("No"="Yes",P799,1))</f>
        <v/>
      </c>
      <c r="S799" s="11">
        <f>IF(J799="","",O799+Q799-R799)</f>
        <v/>
      </c>
      <c r="T799">
        <f>IF(J799="","",IFERROR(IF(K799="",NA(),MATCH(K799,Products!$B$5:$B$204,0)),IFERROR(MATCH(J799,Products!$A$5:$A$204,0),"")))</f>
        <v/>
      </c>
      <c r="U799">
        <f>IF(J799="","",IF(T799="","⚠ not in Products",INDEX(Products!$A$5:$A$204,T799)))</f>
        <v/>
      </c>
      <c r="V799" s="11">
        <f>IF(J799="","",S799*(IFERROR(INDEX(Settings!$B$5:$B$9,MATCH($B799,Settings!$A$5:$A$9,0)),0)+IFERROR(INDEX(Settings!$E$5:$E$9,MATCH($B799,Settings!$A$5:$A$9,0)),0)+IFERROR(INDEX(Settings!$G$5:$G$9,MATCH($B799,Settings!$A$5:$A$9,0)),0))+(IFERROR(INDEX(Settings!$C$5:$C$9,MATCH($B799,Settings!$A$5:$A$9,0)),0)+IFERROR(INDEX(Settings!$F$5:$F$9,MATCH($B799,Settings!$A$5:$A$9,0)),0))/P799+IFERROR(INDEX(Settings!$D$5:$D$9,MATCH($B799,Settings!$A$5:$A$9,0)),0)*M799)</f>
        <v/>
      </c>
      <c r="W799" s="11">
        <f>IF(J799="","",IF(T799="",0,M799*INDEX(Products!$I$5:$I$204,T799)))</f>
        <v/>
      </c>
      <c r="X799" s="11">
        <f>IF(J799="","",IF(T799="",0,S799*INDEX(Products!$H$5:$H$204,T799)))</f>
        <v/>
      </c>
      <c r="Y799" s="11">
        <f>IF(J799="","",S799-V799-W799-X799)</f>
        <v/>
      </c>
    </row>
    <row r="800">
      <c r="A800" s="19" t="n"/>
      <c r="B800" s="19" t="n"/>
      <c r="C800" s="19" t="n"/>
      <c r="D800" s="19" t="n"/>
      <c r="E800" s="19" t="n"/>
      <c r="F800" s="20" t="n"/>
      <c r="G800" s="20" t="n"/>
      <c r="H800" s="20" t="n"/>
      <c r="I800" s="19" t="n"/>
      <c r="J800">
        <f>IFERROR(IF(C800="","",C800)&amp;"","")</f>
        <v/>
      </c>
      <c r="K800">
        <f>IFERROR(IF(D800="","",D800)&amp;"","")</f>
        <v/>
      </c>
      <c r="L800">
        <f>IFERROR(IF(I800="","",I800)&amp;"","")</f>
        <v/>
      </c>
      <c r="M800">
        <f>IF(J800="","",IFERROR(VALUE(SUBSTITUTE(SUBSTITUTE(IF(E800="","",E800)&amp;"","$",""),",","")),0))</f>
        <v/>
      </c>
      <c r="N800" s="11">
        <f>IF(J800="","",IFERROR(VALUE(SUBSTITUTE(SUBSTITUTE(IF(F800="","",F800)&amp;"","$",""),",","")),0))</f>
        <v/>
      </c>
      <c r="O800" s="11">
        <f>IF(J800="","",M800*N800)</f>
        <v/>
      </c>
      <c r="P800">
        <f>IF(J800="","",IF(L800="",1,COUNTIF($L$2:$L$1501,L800)))</f>
        <v/>
      </c>
      <c r="Q800" s="11">
        <f>IF(J800="","",IFERROR(VALUE(SUBSTITUTE(SUBSTITUTE(IF(G800="","",G800)&amp;"","$",""),",","")),0)/IF("No"="Yes",P800,1))</f>
        <v/>
      </c>
      <c r="R800" s="11">
        <f>IF(J800="","",IFERROR(VALUE(SUBSTITUTE(SUBSTITUTE(IF(H800="","",H800)&amp;"","$",""),",","")),0)/IF("No"="Yes",P800,1))</f>
        <v/>
      </c>
      <c r="S800" s="11">
        <f>IF(J800="","",O800+Q800-R800)</f>
        <v/>
      </c>
      <c r="T800">
        <f>IF(J800="","",IFERROR(IF(K800="",NA(),MATCH(K800,Products!$B$5:$B$204,0)),IFERROR(MATCH(J800,Products!$A$5:$A$204,0),"")))</f>
        <v/>
      </c>
      <c r="U800">
        <f>IF(J800="","",IF(T800="","⚠ not in Products",INDEX(Products!$A$5:$A$204,T800)))</f>
        <v/>
      </c>
      <c r="V800" s="11">
        <f>IF(J800="","",S800*(IFERROR(INDEX(Settings!$B$5:$B$9,MATCH($B800,Settings!$A$5:$A$9,0)),0)+IFERROR(INDEX(Settings!$E$5:$E$9,MATCH($B800,Settings!$A$5:$A$9,0)),0)+IFERROR(INDEX(Settings!$G$5:$G$9,MATCH($B800,Settings!$A$5:$A$9,0)),0))+(IFERROR(INDEX(Settings!$C$5:$C$9,MATCH($B800,Settings!$A$5:$A$9,0)),0)+IFERROR(INDEX(Settings!$F$5:$F$9,MATCH($B800,Settings!$A$5:$A$9,0)),0))/P800+IFERROR(INDEX(Settings!$D$5:$D$9,MATCH($B800,Settings!$A$5:$A$9,0)),0)*M800)</f>
        <v/>
      </c>
      <c r="W800" s="11">
        <f>IF(J800="","",IF(T800="",0,M800*INDEX(Products!$I$5:$I$204,T800)))</f>
        <v/>
      </c>
      <c r="X800" s="11">
        <f>IF(J800="","",IF(T800="",0,S800*INDEX(Products!$H$5:$H$204,T800)))</f>
        <v/>
      </c>
      <c r="Y800" s="11">
        <f>IF(J800="","",S800-V800-W800-X800)</f>
        <v/>
      </c>
    </row>
    <row r="801">
      <c r="A801" s="19" t="n"/>
      <c r="B801" s="19" t="n"/>
      <c r="C801" s="19" t="n"/>
      <c r="D801" s="19" t="n"/>
      <c r="E801" s="19" t="n"/>
      <c r="F801" s="20" t="n"/>
      <c r="G801" s="20" t="n"/>
      <c r="H801" s="20" t="n"/>
      <c r="I801" s="19" t="n"/>
      <c r="J801">
        <f>IFERROR(IF(C801="","",C801)&amp;"","")</f>
        <v/>
      </c>
      <c r="K801">
        <f>IFERROR(IF(D801="","",D801)&amp;"","")</f>
        <v/>
      </c>
      <c r="L801">
        <f>IFERROR(IF(I801="","",I801)&amp;"","")</f>
        <v/>
      </c>
      <c r="M801">
        <f>IF(J801="","",IFERROR(VALUE(SUBSTITUTE(SUBSTITUTE(IF(E801="","",E801)&amp;"","$",""),",","")),0))</f>
        <v/>
      </c>
      <c r="N801" s="11">
        <f>IF(J801="","",IFERROR(VALUE(SUBSTITUTE(SUBSTITUTE(IF(F801="","",F801)&amp;"","$",""),",","")),0))</f>
        <v/>
      </c>
      <c r="O801" s="11">
        <f>IF(J801="","",M801*N801)</f>
        <v/>
      </c>
      <c r="P801">
        <f>IF(J801="","",IF(L801="",1,COUNTIF($L$2:$L$1501,L801)))</f>
        <v/>
      </c>
      <c r="Q801" s="11">
        <f>IF(J801="","",IFERROR(VALUE(SUBSTITUTE(SUBSTITUTE(IF(G801="","",G801)&amp;"","$",""),",","")),0)/IF("No"="Yes",P801,1))</f>
        <v/>
      </c>
      <c r="R801" s="11">
        <f>IF(J801="","",IFERROR(VALUE(SUBSTITUTE(SUBSTITUTE(IF(H801="","",H801)&amp;"","$",""),",","")),0)/IF("No"="Yes",P801,1))</f>
        <v/>
      </c>
      <c r="S801" s="11">
        <f>IF(J801="","",O801+Q801-R801)</f>
        <v/>
      </c>
      <c r="T801">
        <f>IF(J801="","",IFERROR(IF(K801="",NA(),MATCH(K801,Products!$B$5:$B$204,0)),IFERROR(MATCH(J801,Products!$A$5:$A$204,0),"")))</f>
        <v/>
      </c>
      <c r="U801">
        <f>IF(J801="","",IF(T801="","⚠ not in Products",INDEX(Products!$A$5:$A$204,T801)))</f>
        <v/>
      </c>
      <c r="V801" s="11">
        <f>IF(J801="","",S801*(IFERROR(INDEX(Settings!$B$5:$B$9,MATCH($B801,Settings!$A$5:$A$9,0)),0)+IFERROR(INDEX(Settings!$E$5:$E$9,MATCH($B801,Settings!$A$5:$A$9,0)),0)+IFERROR(INDEX(Settings!$G$5:$G$9,MATCH($B801,Settings!$A$5:$A$9,0)),0))+(IFERROR(INDEX(Settings!$C$5:$C$9,MATCH($B801,Settings!$A$5:$A$9,0)),0)+IFERROR(INDEX(Settings!$F$5:$F$9,MATCH($B801,Settings!$A$5:$A$9,0)),0))/P801+IFERROR(INDEX(Settings!$D$5:$D$9,MATCH($B801,Settings!$A$5:$A$9,0)),0)*M801)</f>
        <v/>
      </c>
      <c r="W801" s="11">
        <f>IF(J801="","",IF(T801="",0,M801*INDEX(Products!$I$5:$I$204,T801)))</f>
        <v/>
      </c>
      <c r="X801" s="11">
        <f>IF(J801="","",IF(T801="",0,S801*INDEX(Products!$H$5:$H$204,T801)))</f>
        <v/>
      </c>
      <c r="Y801" s="11">
        <f>IF(J801="","",S801-V801-W801-X801)</f>
        <v/>
      </c>
    </row>
    <row r="802">
      <c r="A802" s="19" t="n"/>
      <c r="B802" s="19" t="n"/>
      <c r="C802" s="19" t="n"/>
      <c r="D802" s="19" t="n"/>
      <c r="E802" s="19" t="n"/>
      <c r="F802" s="20" t="n"/>
      <c r="G802" s="20" t="n"/>
      <c r="H802" s="20" t="n"/>
      <c r="I802" s="19" t="n"/>
      <c r="J802">
        <f>IFERROR(IF(C802="","",C802)&amp;"","")</f>
        <v/>
      </c>
      <c r="K802">
        <f>IFERROR(IF(D802="","",D802)&amp;"","")</f>
        <v/>
      </c>
      <c r="L802">
        <f>IFERROR(IF(I802="","",I802)&amp;"","")</f>
        <v/>
      </c>
      <c r="M802">
        <f>IF(J802="","",IFERROR(VALUE(SUBSTITUTE(SUBSTITUTE(IF(E802="","",E802)&amp;"","$",""),",","")),0))</f>
        <v/>
      </c>
      <c r="N802" s="11">
        <f>IF(J802="","",IFERROR(VALUE(SUBSTITUTE(SUBSTITUTE(IF(F802="","",F802)&amp;"","$",""),",","")),0))</f>
        <v/>
      </c>
      <c r="O802" s="11">
        <f>IF(J802="","",M802*N802)</f>
        <v/>
      </c>
      <c r="P802">
        <f>IF(J802="","",IF(L802="",1,COUNTIF($L$2:$L$1501,L802)))</f>
        <v/>
      </c>
      <c r="Q802" s="11">
        <f>IF(J802="","",IFERROR(VALUE(SUBSTITUTE(SUBSTITUTE(IF(G802="","",G802)&amp;"","$",""),",","")),0)/IF("No"="Yes",P802,1))</f>
        <v/>
      </c>
      <c r="R802" s="11">
        <f>IF(J802="","",IFERROR(VALUE(SUBSTITUTE(SUBSTITUTE(IF(H802="","",H802)&amp;"","$",""),",","")),0)/IF("No"="Yes",P802,1))</f>
        <v/>
      </c>
      <c r="S802" s="11">
        <f>IF(J802="","",O802+Q802-R802)</f>
        <v/>
      </c>
      <c r="T802">
        <f>IF(J802="","",IFERROR(IF(K802="",NA(),MATCH(K802,Products!$B$5:$B$204,0)),IFERROR(MATCH(J802,Products!$A$5:$A$204,0),"")))</f>
        <v/>
      </c>
      <c r="U802">
        <f>IF(J802="","",IF(T802="","⚠ not in Products",INDEX(Products!$A$5:$A$204,T802)))</f>
        <v/>
      </c>
      <c r="V802" s="11">
        <f>IF(J802="","",S802*(IFERROR(INDEX(Settings!$B$5:$B$9,MATCH($B802,Settings!$A$5:$A$9,0)),0)+IFERROR(INDEX(Settings!$E$5:$E$9,MATCH($B802,Settings!$A$5:$A$9,0)),0)+IFERROR(INDEX(Settings!$G$5:$G$9,MATCH($B802,Settings!$A$5:$A$9,0)),0))+(IFERROR(INDEX(Settings!$C$5:$C$9,MATCH($B802,Settings!$A$5:$A$9,0)),0)+IFERROR(INDEX(Settings!$F$5:$F$9,MATCH($B802,Settings!$A$5:$A$9,0)),0))/P802+IFERROR(INDEX(Settings!$D$5:$D$9,MATCH($B802,Settings!$A$5:$A$9,0)),0)*M802)</f>
        <v/>
      </c>
      <c r="W802" s="11">
        <f>IF(J802="","",IF(T802="",0,M802*INDEX(Products!$I$5:$I$204,T802)))</f>
        <v/>
      </c>
      <c r="X802" s="11">
        <f>IF(J802="","",IF(T802="",0,S802*INDEX(Products!$H$5:$H$204,T802)))</f>
        <v/>
      </c>
      <c r="Y802" s="11">
        <f>IF(J802="","",S802-V802-W802-X802)</f>
        <v/>
      </c>
    </row>
    <row r="803">
      <c r="A803" s="19" t="n"/>
      <c r="B803" s="19" t="n"/>
      <c r="C803" s="19" t="n"/>
      <c r="D803" s="19" t="n"/>
      <c r="E803" s="19" t="n"/>
      <c r="F803" s="20" t="n"/>
      <c r="G803" s="20" t="n"/>
      <c r="H803" s="20" t="n"/>
      <c r="I803" s="19" t="n"/>
      <c r="J803">
        <f>IFERROR(IF(C803="","",C803)&amp;"","")</f>
        <v/>
      </c>
      <c r="K803">
        <f>IFERROR(IF(D803="","",D803)&amp;"","")</f>
        <v/>
      </c>
      <c r="L803">
        <f>IFERROR(IF(I803="","",I803)&amp;"","")</f>
        <v/>
      </c>
      <c r="M803">
        <f>IF(J803="","",IFERROR(VALUE(SUBSTITUTE(SUBSTITUTE(IF(E803="","",E803)&amp;"","$",""),",","")),0))</f>
        <v/>
      </c>
      <c r="N803" s="11">
        <f>IF(J803="","",IFERROR(VALUE(SUBSTITUTE(SUBSTITUTE(IF(F803="","",F803)&amp;"","$",""),",","")),0))</f>
        <v/>
      </c>
      <c r="O803" s="11">
        <f>IF(J803="","",M803*N803)</f>
        <v/>
      </c>
      <c r="P803">
        <f>IF(J803="","",IF(L803="",1,COUNTIF($L$2:$L$1501,L803)))</f>
        <v/>
      </c>
      <c r="Q803" s="11">
        <f>IF(J803="","",IFERROR(VALUE(SUBSTITUTE(SUBSTITUTE(IF(G803="","",G803)&amp;"","$",""),",","")),0)/IF("No"="Yes",P803,1))</f>
        <v/>
      </c>
      <c r="R803" s="11">
        <f>IF(J803="","",IFERROR(VALUE(SUBSTITUTE(SUBSTITUTE(IF(H803="","",H803)&amp;"","$",""),",","")),0)/IF("No"="Yes",P803,1))</f>
        <v/>
      </c>
      <c r="S803" s="11">
        <f>IF(J803="","",O803+Q803-R803)</f>
        <v/>
      </c>
      <c r="T803">
        <f>IF(J803="","",IFERROR(IF(K803="",NA(),MATCH(K803,Products!$B$5:$B$204,0)),IFERROR(MATCH(J803,Products!$A$5:$A$204,0),"")))</f>
        <v/>
      </c>
      <c r="U803">
        <f>IF(J803="","",IF(T803="","⚠ not in Products",INDEX(Products!$A$5:$A$204,T803)))</f>
        <v/>
      </c>
      <c r="V803" s="11">
        <f>IF(J803="","",S803*(IFERROR(INDEX(Settings!$B$5:$B$9,MATCH($B803,Settings!$A$5:$A$9,0)),0)+IFERROR(INDEX(Settings!$E$5:$E$9,MATCH($B803,Settings!$A$5:$A$9,0)),0)+IFERROR(INDEX(Settings!$G$5:$G$9,MATCH($B803,Settings!$A$5:$A$9,0)),0))+(IFERROR(INDEX(Settings!$C$5:$C$9,MATCH($B803,Settings!$A$5:$A$9,0)),0)+IFERROR(INDEX(Settings!$F$5:$F$9,MATCH($B803,Settings!$A$5:$A$9,0)),0))/P803+IFERROR(INDEX(Settings!$D$5:$D$9,MATCH($B803,Settings!$A$5:$A$9,0)),0)*M803)</f>
        <v/>
      </c>
      <c r="W803" s="11">
        <f>IF(J803="","",IF(T803="",0,M803*INDEX(Products!$I$5:$I$204,T803)))</f>
        <v/>
      </c>
      <c r="X803" s="11">
        <f>IF(J803="","",IF(T803="",0,S803*INDEX(Products!$H$5:$H$204,T803)))</f>
        <v/>
      </c>
      <c r="Y803" s="11">
        <f>IF(J803="","",S803-V803-W803-X803)</f>
        <v/>
      </c>
    </row>
    <row r="804">
      <c r="A804" s="19" t="n"/>
      <c r="B804" s="19" t="n"/>
      <c r="C804" s="19" t="n"/>
      <c r="D804" s="19" t="n"/>
      <c r="E804" s="19" t="n"/>
      <c r="F804" s="20" t="n"/>
      <c r="G804" s="20" t="n"/>
      <c r="H804" s="20" t="n"/>
      <c r="I804" s="19" t="n"/>
      <c r="J804">
        <f>IFERROR(IF(C804="","",C804)&amp;"","")</f>
        <v/>
      </c>
      <c r="K804">
        <f>IFERROR(IF(D804="","",D804)&amp;"","")</f>
        <v/>
      </c>
      <c r="L804">
        <f>IFERROR(IF(I804="","",I804)&amp;"","")</f>
        <v/>
      </c>
      <c r="M804">
        <f>IF(J804="","",IFERROR(VALUE(SUBSTITUTE(SUBSTITUTE(IF(E804="","",E804)&amp;"","$",""),",","")),0))</f>
        <v/>
      </c>
      <c r="N804" s="11">
        <f>IF(J804="","",IFERROR(VALUE(SUBSTITUTE(SUBSTITUTE(IF(F804="","",F804)&amp;"","$",""),",","")),0))</f>
        <v/>
      </c>
      <c r="O804" s="11">
        <f>IF(J804="","",M804*N804)</f>
        <v/>
      </c>
      <c r="P804">
        <f>IF(J804="","",IF(L804="",1,COUNTIF($L$2:$L$1501,L804)))</f>
        <v/>
      </c>
      <c r="Q804" s="11">
        <f>IF(J804="","",IFERROR(VALUE(SUBSTITUTE(SUBSTITUTE(IF(G804="","",G804)&amp;"","$",""),",","")),0)/IF("No"="Yes",P804,1))</f>
        <v/>
      </c>
      <c r="R804" s="11">
        <f>IF(J804="","",IFERROR(VALUE(SUBSTITUTE(SUBSTITUTE(IF(H804="","",H804)&amp;"","$",""),",","")),0)/IF("No"="Yes",P804,1))</f>
        <v/>
      </c>
      <c r="S804" s="11">
        <f>IF(J804="","",O804+Q804-R804)</f>
        <v/>
      </c>
      <c r="T804">
        <f>IF(J804="","",IFERROR(IF(K804="",NA(),MATCH(K804,Products!$B$5:$B$204,0)),IFERROR(MATCH(J804,Products!$A$5:$A$204,0),"")))</f>
        <v/>
      </c>
      <c r="U804">
        <f>IF(J804="","",IF(T804="","⚠ not in Products",INDEX(Products!$A$5:$A$204,T804)))</f>
        <v/>
      </c>
      <c r="V804" s="11">
        <f>IF(J804="","",S804*(IFERROR(INDEX(Settings!$B$5:$B$9,MATCH($B804,Settings!$A$5:$A$9,0)),0)+IFERROR(INDEX(Settings!$E$5:$E$9,MATCH($B804,Settings!$A$5:$A$9,0)),0)+IFERROR(INDEX(Settings!$G$5:$G$9,MATCH($B804,Settings!$A$5:$A$9,0)),0))+(IFERROR(INDEX(Settings!$C$5:$C$9,MATCH($B804,Settings!$A$5:$A$9,0)),0)+IFERROR(INDEX(Settings!$F$5:$F$9,MATCH($B804,Settings!$A$5:$A$9,0)),0))/P804+IFERROR(INDEX(Settings!$D$5:$D$9,MATCH($B804,Settings!$A$5:$A$9,0)),0)*M804)</f>
        <v/>
      </c>
      <c r="W804" s="11">
        <f>IF(J804="","",IF(T804="",0,M804*INDEX(Products!$I$5:$I$204,T804)))</f>
        <v/>
      </c>
      <c r="X804" s="11">
        <f>IF(J804="","",IF(T804="",0,S804*INDEX(Products!$H$5:$H$204,T804)))</f>
        <v/>
      </c>
      <c r="Y804" s="11">
        <f>IF(J804="","",S804-V804-W804-X804)</f>
        <v/>
      </c>
    </row>
    <row r="805">
      <c r="A805" s="19" t="n"/>
      <c r="B805" s="19" t="n"/>
      <c r="C805" s="19" t="n"/>
      <c r="D805" s="19" t="n"/>
      <c r="E805" s="19" t="n"/>
      <c r="F805" s="20" t="n"/>
      <c r="G805" s="20" t="n"/>
      <c r="H805" s="20" t="n"/>
      <c r="I805" s="19" t="n"/>
      <c r="J805">
        <f>IFERROR(IF(C805="","",C805)&amp;"","")</f>
        <v/>
      </c>
      <c r="K805">
        <f>IFERROR(IF(D805="","",D805)&amp;"","")</f>
        <v/>
      </c>
      <c r="L805">
        <f>IFERROR(IF(I805="","",I805)&amp;"","")</f>
        <v/>
      </c>
      <c r="M805">
        <f>IF(J805="","",IFERROR(VALUE(SUBSTITUTE(SUBSTITUTE(IF(E805="","",E805)&amp;"","$",""),",","")),0))</f>
        <v/>
      </c>
      <c r="N805" s="11">
        <f>IF(J805="","",IFERROR(VALUE(SUBSTITUTE(SUBSTITUTE(IF(F805="","",F805)&amp;"","$",""),",","")),0))</f>
        <v/>
      </c>
      <c r="O805" s="11">
        <f>IF(J805="","",M805*N805)</f>
        <v/>
      </c>
      <c r="P805">
        <f>IF(J805="","",IF(L805="",1,COUNTIF($L$2:$L$1501,L805)))</f>
        <v/>
      </c>
      <c r="Q805" s="11">
        <f>IF(J805="","",IFERROR(VALUE(SUBSTITUTE(SUBSTITUTE(IF(G805="","",G805)&amp;"","$",""),",","")),0)/IF("No"="Yes",P805,1))</f>
        <v/>
      </c>
      <c r="R805" s="11">
        <f>IF(J805="","",IFERROR(VALUE(SUBSTITUTE(SUBSTITUTE(IF(H805="","",H805)&amp;"","$",""),",","")),0)/IF("No"="Yes",P805,1))</f>
        <v/>
      </c>
      <c r="S805" s="11">
        <f>IF(J805="","",O805+Q805-R805)</f>
        <v/>
      </c>
      <c r="T805">
        <f>IF(J805="","",IFERROR(IF(K805="",NA(),MATCH(K805,Products!$B$5:$B$204,0)),IFERROR(MATCH(J805,Products!$A$5:$A$204,0),"")))</f>
        <v/>
      </c>
      <c r="U805">
        <f>IF(J805="","",IF(T805="","⚠ not in Products",INDEX(Products!$A$5:$A$204,T805)))</f>
        <v/>
      </c>
      <c r="V805" s="11">
        <f>IF(J805="","",S805*(IFERROR(INDEX(Settings!$B$5:$B$9,MATCH($B805,Settings!$A$5:$A$9,0)),0)+IFERROR(INDEX(Settings!$E$5:$E$9,MATCH($B805,Settings!$A$5:$A$9,0)),0)+IFERROR(INDEX(Settings!$G$5:$G$9,MATCH($B805,Settings!$A$5:$A$9,0)),0))+(IFERROR(INDEX(Settings!$C$5:$C$9,MATCH($B805,Settings!$A$5:$A$9,0)),0)+IFERROR(INDEX(Settings!$F$5:$F$9,MATCH($B805,Settings!$A$5:$A$9,0)),0))/P805+IFERROR(INDEX(Settings!$D$5:$D$9,MATCH($B805,Settings!$A$5:$A$9,0)),0)*M805)</f>
        <v/>
      </c>
      <c r="W805" s="11">
        <f>IF(J805="","",IF(T805="",0,M805*INDEX(Products!$I$5:$I$204,T805)))</f>
        <v/>
      </c>
      <c r="X805" s="11">
        <f>IF(J805="","",IF(T805="",0,S805*INDEX(Products!$H$5:$H$204,T805)))</f>
        <v/>
      </c>
      <c r="Y805" s="11">
        <f>IF(J805="","",S805-V805-W805-X805)</f>
        <v/>
      </c>
    </row>
    <row r="806">
      <c r="A806" s="19" t="n"/>
      <c r="B806" s="19" t="n"/>
      <c r="C806" s="19" t="n"/>
      <c r="D806" s="19" t="n"/>
      <c r="E806" s="19" t="n"/>
      <c r="F806" s="20" t="n"/>
      <c r="G806" s="20" t="n"/>
      <c r="H806" s="20" t="n"/>
      <c r="I806" s="19" t="n"/>
      <c r="J806">
        <f>IFERROR(IF(C806="","",C806)&amp;"","")</f>
        <v/>
      </c>
      <c r="K806">
        <f>IFERROR(IF(D806="","",D806)&amp;"","")</f>
        <v/>
      </c>
      <c r="L806">
        <f>IFERROR(IF(I806="","",I806)&amp;"","")</f>
        <v/>
      </c>
      <c r="M806">
        <f>IF(J806="","",IFERROR(VALUE(SUBSTITUTE(SUBSTITUTE(IF(E806="","",E806)&amp;"","$",""),",","")),0))</f>
        <v/>
      </c>
      <c r="N806" s="11">
        <f>IF(J806="","",IFERROR(VALUE(SUBSTITUTE(SUBSTITUTE(IF(F806="","",F806)&amp;"","$",""),",","")),0))</f>
        <v/>
      </c>
      <c r="O806" s="11">
        <f>IF(J806="","",M806*N806)</f>
        <v/>
      </c>
      <c r="P806">
        <f>IF(J806="","",IF(L806="",1,COUNTIF($L$2:$L$1501,L806)))</f>
        <v/>
      </c>
      <c r="Q806" s="11">
        <f>IF(J806="","",IFERROR(VALUE(SUBSTITUTE(SUBSTITUTE(IF(G806="","",G806)&amp;"","$",""),",","")),0)/IF("No"="Yes",P806,1))</f>
        <v/>
      </c>
      <c r="R806" s="11">
        <f>IF(J806="","",IFERROR(VALUE(SUBSTITUTE(SUBSTITUTE(IF(H806="","",H806)&amp;"","$",""),",","")),0)/IF("No"="Yes",P806,1))</f>
        <v/>
      </c>
      <c r="S806" s="11">
        <f>IF(J806="","",O806+Q806-R806)</f>
        <v/>
      </c>
      <c r="T806">
        <f>IF(J806="","",IFERROR(IF(K806="",NA(),MATCH(K806,Products!$B$5:$B$204,0)),IFERROR(MATCH(J806,Products!$A$5:$A$204,0),"")))</f>
        <v/>
      </c>
      <c r="U806">
        <f>IF(J806="","",IF(T806="","⚠ not in Products",INDEX(Products!$A$5:$A$204,T806)))</f>
        <v/>
      </c>
      <c r="V806" s="11">
        <f>IF(J806="","",S806*(IFERROR(INDEX(Settings!$B$5:$B$9,MATCH($B806,Settings!$A$5:$A$9,0)),0)+IFERROR(INDEX(Settings!$E$5:$E$9,MATCH($B806,Settings!$A$5:$A$9,0)),0)+IFERROR(INDEX(Settings!$G$5:$G$9,MATCH($B806,Settings!$A$5:$A$9,0)),0))+(IFERROR(INDEX(Settings!$C$5:$C$9,MATCH($B806,Settings!$A$5:$A$9,0)),0)+IFERROR(INDEX(Settings!$F$5:$F$9,MATCH($B806,Settings!$A$5:$A$9,0)),0))/P806+IFERROR(INDEX(Settings!$D$5:$D$9,MATCH($B806,Settings!$A$5:$A$9,0)),0)*M806)</f>
        <v/>
      </c>
      <c r="W806" s="11">
        <f>IF(J806="","",IF(T806="",0,M806*INDEX(Products!$I$5:$I$204,T806)))</f>
        <v/>
      </c>
      <c r="X806" s="11">
        <f>IF(J806="","",IF(T806="",0,S806*INDEX(Products!$H$5:$H$204,T806)))</f>
        <v/>
      </c>
      <c r="Y806" s="11">
        <f>IF(J806="","",S806-V806-W806-X806)</f>
        <v/>
      </c>
    </row>
    <row r="807">
      <c r="A807" s="19" t="n"/>
      <c r="B807" s="19" t="n"/>
      <c r="C807" s="19" t="n"/>
      <c r="D807" s="19" t="n"/>
      <c r="E807" s="19" t="n"/>
      <c r="F807" s="20" t="n"/>
      <c r="G807" s="20" t="n"/>
      <c r="H807" s="20" t="n"/>
      <c r="I807" s="19" t="n"/>
      <c r="J807">
        <f>IFERROR(IF(C807="","",C807)&amp;"","")</f>
        <v/>
      </c>
      <c r="K807">
        <f>IFERROR(IF(D807="","",D807)&amp;"","")</f>
        <v/>
      </c>
      <c r="L807">
        <f>IFERROR(IF(I807="","",I807)&amp;"","")</f>
        <v/>
      </c>
      <c r="M807">
        <f>IF(J807="","",IFERROR(VALUE(SUBSTITUTE(SUBSTITUTE(IF(E807="","",E807)&amp;"","$",""),",","")),0))</f>
        <v/>
      </c>
      <c r="N807" s="11">
        <f>IF(J807="","",IFERROR(VALUE(SUBSTITUTE(SUBSTITUTE(IF(F807="","",F807)&amp;"","$",""),",","")),0))</f>
        <v/>
      </c>
      <c r="O807" s="11">
        <f>IF(J807="","",M807*N807)</f>
        <v/>
      </c>
      <c r="P807">
        <f>IF(J807="","",IF(L807="",1,COUNTIF($L$2:$L$1501,L807)))</f>
        <v/>
      </c>
      <c r="Q807" s="11">
        <f>IF(J807="","",IFERROR(VALUE(SUBSTITUTE(SUBSTITUTE(IF(G807="","",G807)&amp;"","$",""),",","")),0)/IF("No"="Yes",P807,1))</f>
        <v/>
      </c>
      <c r="R807" s="11">
        <f>IF(J807="","",IFERROR(VALUE(SUBSTITUTE(SUBSTITUTE(IF(H807="","",H807)&amp;"","$",""),",","")),0)/IF("No"="Yes",P807,1))</f>
        <v/>
      </c>
      <c r="S807" s="11">
        <f>IF(J807="","",O807+Q807-R807)</f>
        <v/>
      </c>
      <c r="T807">
        <f>IF(J807="","",IFERROR(IF(K807="",NA(),MATCH(K807,Products!$B$5:$B$204,0)),IFERROR(MATCH(J807,Products!$A$5:$A$204,0),"")))</f>
        <v/>
      </c>
      <c r="U807">
        <f>IF(J807="","",IF(T807="","⚠ not in Products",INDEX(Products!$A$5:$A$204,T807)))</f>
        <v/>
      </c>
      <c r="V807" s="11">
        <f>IF(J807="","",S807*(IFERROR(INDEX(Settings!$B$5:$B$9,MATCH($B807,Settings!$A$5:$A$9,0)),0)+IFERROR(INDEX(Settings!$E$5:$E$9,MATCH($B807,Settings!$A$5:$A$9,0)),0)+IFERROR(INDEX(Settings!$G$5:$G$9,MATCH($B807,Settings!$A$5:$A$9,0)),0))+(IFERROR(INDEX(Settings!$C$5:$C$9,MATCH($B807,Settings!$A$5:$A$9,0)),0)+IFERROR(INDEX(Settings!$F$5:$F$9,MATCH($B807,Settings!$A$5:$A$9,0)),0))/P807+IFERROR(INDEX(Settings!$D$5:$D$9,MATCH($B807,Settings!$A$5:$A$9,0)),0)*M807)</f>
        <v/>
      </c>
      <c r="W807" s="11">
        <f>IF(J807="","",IF(T807="",0,M807*INDEX(Products!$I$5:$I$204,T807)))</f>
        <v/>
      </c>
      <c r="X807" s="11">
        <f>IF(J807="","",IF(T807="",0,S807*INDEX(Products!$H$5:$H$204,T807)))</f>
        <v/>
      </c>
      <c r="Y807" s="11">
        <f>IF(J807="","",S807-V807-W807-X807)</f>
        <v/>
      </c>
    </row>
    <row r="808">
      <c r="A808" s="19" t="n"/>
      <c r="B808" s="19" t="n"/>
      <c r="C808" s="19" t="n"/>
      <c r="D808" s="19" t="n"/>
      <c r="E808" s="19" t="n"/>
      <c r="F808" s="20" t="n"/>
      <c r="G808" s="20" t="n"/>
      <c r="H808" s="20" t="n"/>
      <c r="I808" s="19" t="n"/>
      <c r="J808">
        <f>IFERROR(IF(C808="","",C808)&amp;"","")</f>
        <v/>
      </c>
      <c r="K808">
        <f>IFERROR(IF(D808="","",D808)&amp;"","")</f>
        <v/>
      </c>
      <c r="L808">
        <f>IFERROR(IF(I808="","",I808)&amp;"","")</f>
        <v/>
      </c>
      <c r="M808">
        <f>IF(J808="","",IFERROR(VALUE(SUBSTITUTE(SUBSTITUTE(IF(E808="","",E808)&amp;"","$",""),",","")),0))</f>
        <v/>
      </c>
      <c r="N808" s="11">
        <f>IF(J808="","",IFERROR(VALUE(SUBSTITUTE(SUBSTITUTE(IF(F808="","",F808)&amp;"","$",""),",","")),0))</f>
        <v/>
      </c>
      <c r="O808" s="11">
        <f>IF(J808="","",M808*N808)</f>
        <v/>
      </c>
      <c r="P808">
        <f>IF(J808="","",IF(L808="",1,COUNTIF($L$2:$L$1501,L808)))</f>
        <v/>
      </c>
      <c r="Q808" s="11">
        <f>IF(J808="","",IFERROR(VALUE(SUBSTITUTE(SUBSTITUTE(IF(G808="","",G808)&amp;"","$",""),",","")),0)/IF("No"="Yes",P808,1))</f>
        <v/>
      </c>
      <c r="R808" s="11">
        <f>IF(J808="","",IFERROR(VALUE(SUBSTITUTE(SUBSTITUTE(IF(H808="","",H808)&amp;"","$",""),",","")),0)/IF("No"="Yes",P808,1))</f>
        <v/>
      </c>
      <c r="S808" s="11">
        <f>IF(J808="","",O808+Q808-R808)</f>
        <v/>
      </c>
      <c r="T808">
        <f>IF(J808="","",IFERROR(IF(K808="",NA(),MATCH(K808,Products!$B$5:$B$204,0)),IFERROR(MATCH(J808,Products!$A$5:$A$204,0),"")))</f>
        <v/>
      </c>
      <c r="U808">
        <f>IF(J808="","",IF(T808="","⚠ not in Products",INDEX(Products!$A$5:$A$204,T808)))</f>
        <v/>
      </c>
      <c r="V808" s="11">
        <f>IF(J808="","",S808*(IFERROR(INDEX(Settings!$B$5:$B$9,MATCH($B808,Settings!$A$5:$A$9,0)),0)+IFERROR(INDEX(Settings!$E$5:$E$9,MATCH($B808,Settings!$A$5:$A$9,0)),0)+IFERROR(INDEX(Settings!$G$5:$G$9,MATCH($B808,Settings!$A$5:$A$9,0)),0))+(IFERROR(INDEX(Settings!$C$5:$C$9,MATCH($B808,Settings!$A$5:$A$9,0)),0)+IFERROR(INDEX(Settings!$F$5:$F$9,MATCH($B808,Settings!$A$5:$A$9,0)),0))/P808+IFERROR(INDEX(Settings!$D$5:$D$9,MATCH($B808,Settings!$A$5:$A$9,0)),0)*M808)</f>
        <v/>
      </c>
      <c r="W808" s="11">
        <f>IF(J808="","",IF(T808="",0,M808*INDEX(Products!$I$5:$I$204,T808)))</f>
        <v/>
      </c>
      <c r="X808" s="11">
        <f>IF(J808="","",IF(T808="",0,S808*INDEX(Products!$H$5:$H$204,T808)))</f>
        <v/>
      </c>
      <c r="Y808" s="11">
        <f>IF(J808="","",S808-V808-W808-X808)</f>
        <v/>
      </c>
    </row>
    <row r="809">
      <c r="A809" s="19" t="n"/>
      <c r="B809" s="19" t="n"/>
      <c r="C809" s="19" t="n"/>
      <c r="D809" s="19" t="n"/>
      <c r="E809" s="19" t="n"/>
      <c r="F809" s="20" t="n"/>
      <c r="G809" s="20" t="n"/>
      <c r="H809" s="20" t="n"/>
      <c r="I809" s="19" t="n"/>
      <c r="J809">
        <f>IFERROR(IF(C809="","",C809)&amp;"","")</f>
        <v/>
      </c>
      <c r="K809">
        <f>IFERROR(IF(D809="","",D809)&amp;"","")</f>
        <v/>
      </c>
      <c r="L809">
        <f>IFERROR(IF(I809="","",I809)&amp;"","")</f>
        <v/>
      </c>
      <c r="M809">
        <f>IF(J809="","",IFERROR(VALUE(SUBSTITUTE(SUBSTITUTE(IF(E809="","",E809)&amp;"","$",""),",","")),0))</f>
        <v/>
      </c>
      <c r="N809" s="11">
        <f>IF(J809="","",IFERROR(VALUE(SUBSTITUTE(SUBSTITUTE(IF(F809="","",F809)&amp;"","$",""),",","")),0))</f>
        <v/>
      </c>
      <c r="O809" s="11">
        <f>IF(J809="","",M809*N809)</f>
        <v/>
      </c>
      <c r="P809">
        <f>IF(J809="","",IF(L809="",1,COUNTIF($L$2:$L$1501,L809)))</f>
        <v/>
      </c>
      <c r="Q809" s="11">
        <f>IF(J809="","",IFERROR(VALUE(SUBSTITUTE(SUBSTITUTE(IF(G809="","",G809)&amp;"","$",""),",","")),0)/IF("No"="Yes",P809,1))</f>
        <v/>
      </c>
      <c r="R809" s="11">
        <f>IF(J809="","",IFERROR(VALUE(SUBSTITUTE(SUBSTITUTE(IF(H809="","",H809)&amp;"","$",""),",","")),0)/IF("No"="Yes",P809,1))</f>
        <v/>
      </c>
      <c r="S809" s="11">
        <f>IF(J809="","",O809+Q809-R809)</f>
        <v/>
      </c>
      <c r="T809">
        <f>IF(J809="","",IFERROR(IF(K809="",NA(),MATCH(K809,Products!$B$5:$B$204,0)),IFERROR(MATCH(J809,Products!$A$5:$A$204,0),"")))</f>
        <v/>
      </c>
      <c r="U809">
        <f>IF(J809="","",IF(T809="","⚠ not in Products",INDEX(Products!$A$5:$A$204,T809)))</f>
        <v/>
      </c>
      <c r="V809" s="11">
        <f>IF(J809="","",S809*(IFERROR(INDEX(Settings!$B$5:$B$9,MATCH($B809,Settings!$A$5:$A$9,0)),0)+IFERROR(INDEX(Settings!$E$5:$E$9,MATCH($B809,Settings!$A$5:$A$9,0)),0)+IFERROR(INDEX(Settings!$G$5:$G$9,MATCH($B809,Settings!$A$5:$A$9,0)),0))+(IFERROR(INDEX(Settings!$C$5:$C$9,MATCH($B809,Settings!$A$5:$A$9,0)),0)+IFERROR(INDEX(Settings!$F$5:$F$9,MATCH($B809,Settings!$A$5:$A$9,0)),0))/P809+IFERROR(INDEX(Settings!$D$5:$D$9,MATCH($B809,Settings!$A$5:$A$9,0)),0)*M809)</f>
        <v/>
      </c>
      <c r="W809" s="11">
        <f>IF(J809="","",IF(T809="",0,M809*INDEX(Products!$I$5:$I$204,T809)))</f>
        <v/>
      </c>
      <c r="X809" s="11">
        <f>IF(J809="","",IF(T809="",0,S809*INDEX(Products!$H$5:$H$204,T809)))</f>
        <v/>
      </c>
      <c r="Y809" s="11">
        <f>IF(J809="","",S809-V809-W809-X809)</f>
        <v/>
      </c>
    </row>
    <row r="810">
      <c r="A810" s="19" t="n"/>
      <c r="B810" s="19" t="n"/>
      <c r="C810" s="19" t="n"/>
      <c r="D810" s="19" t="n"/>
      <c r="E810" s="19" t="n"/>
      <c r="F810" s="20" t="n"/>
      <c r="G810" s="20" t="n"/>
      <c r="H810" s="20" t="n"/>
      <c r="I810" s="19" t="n"/>
      <c r="J810">
        <f>IFERROR(IF(C810="","",C810)&amp;"","")</f>
        <v/>
      </c>
      <c r="K810">
        <f>IFERROR(IF(D810="","",D810)&amp;"","")</f>
        <v/>
      </c>
      <c r="L810">
        <f>IFERROR(IF(I810="","",I810)&amp;"","")</f>
        <v/>
      </c>
      <c r="M810">
        <f>IF(J810="","",IFERROR(VALUE(SUBSTITUTE(SUBSTITUTE(IF(E810="","",E810)&amp;"","$",""),",","")),0))</f>
        <v/>
      </c>
      <c r="N810" s="11">
        <f>IF(J810="","",IFERROR(VALUE(SUBSTITUTE(SUBSTITUTE(IF(F810="","",F810)&amp;"","$",""),",","")),0))</f>
        <v/>
      </c>
      <c r="O810" s="11">
        <f>IF(J810="","",M810*N810)</f>
        <v/>
      </c>
      <c r="P810">
        <f>IF(J810="","",IF(L810="",1,COUNTIF($L$2:$L$1501,L810)))</f>
        <v/>
      </c>
      <c r="Q810" s="11">
        <f>IF(J810="","",IFERROR(VALUE(SUBSTITUTE(SUBSTITUTE(IF(G810="","",G810)&amp;"","$",""),",","")),0)/IF("No"="Yes",P810,1))</f>
        <v/>
      </c>
      <c r="R810" s="11">
        <f>IF(J810="","",IFERROR(VALUE(SUBSTITUTE(SUBSTITUTE(IF(H810="","",H810)&amp;"","$",""),",","")),0)/IF("No"="Yes",P810,1))</f>
        <v/>
      </c>
      <c r="S810" s="11">
        <f>IF(J810="","",O810+Q810-R810)</f>
        <v/>
      </c>
      <c r="T810">
        <f>IF(J810="","",IFERROR(IF(K810="",NA(),MATCH(K810,Products!$B$5:$B$204,0)),IFERROR(MATCH(J810,Products!$A$5:$A$204,0),"")))</f>
        <v/>
      </c>
      <c r="U810">
        <f>IF(J810="","",IF(T810="","⚠ not in Products",INDEX(Products!$A$5:$A$204,T810)))</f>
        <v/>
      </c>
      <c r="V810" s="11">
        <f>IF(J810="","",S810*(IFERROR(INDEX(Settings!$B$5:$B$9,MATCH($B810,Settings!$A$5:$A$9,0)),0)+IFERROR(INDEX(Settings!$E$5:$E$9,MATCH($B810,Settings!$A$5:$A$9,0)),0)+IFERROR(INDEX(Settings!$G$5:$G$9,MATCH($B810,Settings!$A$5:$A$9,0)),0))+(IFERROR(INDEX(Settings!$C$5:$C$9,MATCH($B810,Settings!$A$5:$A$9,0)),0)+IFERROR(INDEX(Settings!$F$5:$F$9,MATCH($B810,Settings!$A$5:$A$9,0)),0))/P810+IFERROR(INDEX(Settings!$D$5:$D$9,MATCH($B810,Settings!$A$5:$A$9,0)),0)*M810)</f>
        <v/>
      </c>
      <c r="W810" s="11">
        <f>IF(J810="","",IF(T810="",0,M810*INDEX(Products!$I$5:$I$204,T810)))</f>
        <v/>
      </c>
      <c r="X810" s="11">
        <f>IF(J810="","",IF(T810="",0,S810*INDEX(Products!$H$5:$H$204,T810)))</f>
        <v/>
      </c>
      <c r="Y810" s="11">
        <f>IF(J810="","",S810-V810-W810-X810)</f>
        <v/>
      </c>
    </row>
    <row r="811">
      <c r="A811" s="19" t="n"/>
      <c r="B811" s="19" t="n"/>
      <c r="C811" s="19" t="n"/>
      <c r="D811" s="19" t="n"/>
      <c r="E811" s="19" t="n"/>
      <c r="F811" s="20" t="n"/>
      <c r="G811" s="20" t="n"/>
      <c r="H811" s="20" t="n"/>
      <c r="I811" s="19" t="n"/>
      <c r="J811">
        <f>IFERROR(IF(C811="","",C811)&amp;"","")</f>
        <v/>
      </c>
      <c r="K811">
        <f>IFERROR(IF(D811="","",D811)&amp;"","")</f>
        <v/>
      </c>
      <c r="L811">
        <f>IFERROR(IF(I811="","",I811)&amp;"","")</f>
        <v/>
      </c>
      <c r="M811">
        <f>IF(J811="","",IFERROR(VALUE(SUBSTITUTE(SUBSTITUTE(IF(E811="","",E811)&amp;"","$",""),",","")),0))</f>
        <v/>
      </c>
      <c r="N811" s="11">
        <f>IF(J811="","",IFERROR(VALUE(SUBSTITUTE(SUBSTITUTE(IF(F811="","",F811)&amp;"","$",""),",","")),0))</f>
        <v/>
      </c>
      <c r="O811" s="11">
        <f>IF(J811="","",M811*N811)</f>
        <v/>
      </c>
      <c r="P811">
        <f>IF(J811="","",IF(L811="",1,COUNTIF($L$2:$L$1501,L811)))</f>
        <v/>
      </c>
      <c r="Q811" s="11">
        <f>IF(J811="","",IFERROR(VALUE(SUBSTITUTE(SUBSTITUTE(IF(G811="","",G811)&amp;"","$",""),",","")),0)/IF("No"="Yes",P811,1))</f>
        <v/>
      </c>
      <c r="R811" s="11">
        <f>IF(J811="","",IFERROR(VALUE(SUBSTITUTE(SUBSTITUTE(IF(H811="","",H811)&amp;"","$",""),",","")),0)/IF("No"="Yes",P811,1))</f>
        <v/>
      </c>
      <c r="S811" s="11">
        <f>IF(J811="","",O811+Q811-R811)</f>
        <v/>
      </c>
      <c r="T811">
        <f>IF(J811="","",IFERROR(IF(K811="",NA(),MATCH(K811,Products!$B$5:$B$204,0)),IFERROR(MATCH(J811,Products!$A$5:$A$204,0),"")))</f>
        <v/>
      </c>
      <c r="U811">
        <f>IF(J811="","",IF(T811="","⚠ not in Products",INDEX(Products!$A$5:$A$204,T811)))</f>
        <v/>
      </c>
      <c r="V811" s="11">
        <f>IF(J811="","",S811*(IFERROR(INDEX(Settings!$B$5:$B$9,MATCH($B811,Settings!$A$5:$A$9,0)),0)+IFERROR(INDEX(Settings!$E$5:$E$9,MATCH($B811,Settings!$A$5:$A$9,0)),0)+IFERROR(INDEX(Settings!$G$5:$G$9,MATCH($B811,Settings!$A$5:$A$9,0)),0))+(IFERROR(INDEX(Settings!$C$5:$C$9,MATCH($B811,Settings!$A$5:$A$9,0)),0)+IFERROR(INDEX(Settings!$F$5:$F$9,MATCH($B811,Settings!$A$5:$A$9,0)),0))/P811+IFERROR(INDEX(Settings!$D$5:$D$9,MATCH($B811,Settings!$A$5:$A$9,0)),0)*M811)</f>
        <v/>
      </c>
      <c r="W811" s="11">
        <f>IF(J811="","",IF(T811="",0,M811*INDEX(Products!$I$5:$I$204,T811)))</f>
        <v/>
      </c>
      <c r="X811" s="11">
        <f>IF(J811="","",IF(T811="",0,S811*INDEX(Products!$H$5:$H$204,T811)))</f>
        <v/>
      </c>
      <c r="Y811" s="11">
        <f>IF(J811="","",S811-V811-W811-X811)</f>
        <v/>
      </c>
    </row>
    <row r="812">
      <c r="A812" s="19" t="n"/>
      <c r="B812" s="19" t="n"/>
      <c r="C812" s="19" t="n"/>
      <c r="D812" s="19" t="n"/>
      <c r="E812" s="19" t="n"/>
      <c r="F812" s="20" t="n"/>
      <c r="G812" s="20" t="n"/>
      <c r="H812" s="20" t="n"/>
      <c r="I812" s="19" t="n"/>
      <c r="J812">
        <f>IFERROR(IF(C812="","",C812)&amp;"","")</f>
        <v/>
      </c>
      <c r="K812">
        <f>IFERROR(IF(D812="","",D812)&amp;"","")</f>
        <v/>
      </c>
      <c r="L812">
        <f>IFERROR(IF(I812="","",I812)&amp;"","")</f>
        <v/>
      </c>
      <c r="M812">
        <f>IF(J812="","",IFERROR(VALUE(SUBSTITUTE(SUBSTITUTE(IF(E812="","",E812)&amp;"","$",""),",","")),0))</f>
        <v/>
      </c>
      <c r="N812" s="11">
        <f>IF(J812="","",IFERROR(VALUE(SUBSTITUTE(SUBSTITUTE(IF(F812="","",F812)&amp;"","$",""),",","")),0))</f>
        <v/>
      </c>
      <c r="O812" s="11">
        <f>IF(J812="","",M812*N812)</f>
        <v/>
      </c>
      <c r="P812">
        <f>IF(J812="","",IF(L812="",1,COUNTIF($L$2:$L$1501,L812)))</f>
        <v/>
      </c>
      <c r="Q812" s="11">
        <f>IF(J812="","",IFERROR(VALUE(SUBSTITUTE(SUBSTITUTE(IF(G812="","",G812)&amp;"","$",""),",","")),0)/IF("No"="Yes",P812,1))</f>
        <v/>
      </c>
      <c r="R812" s="11">
        <f>IF(J812="","",IFERROR(VALUE(SUBSTITUTE(SUBSTITUTE(IF(H812="","",H812)&amp;"","$",""),",","")),0)/IF("No"="Yes",P812,1))</f>
        <v/>
      </c>
      <c r="S812" s="11">
        <f>IF(J812="","",O812+Q812-R812)</f>
        <v/>
      </c>
      <c r="T812">
        <f>IF(J812="","",IFERROR(IF(K812="",NA(),MATCH(K812,Products!$B$5:$B$204,0)),IFERROR(MATCH(J812,Products!$A$5:$A$204,0),"")))</f>
        <v/>
      </c>
      <c r="U812">
        <f>IF(J812="","",IF(T812="","⚠ not in Products",INDEX(Products!$A$5:$A$204,T812)))</f>
        <v/>
      </c>
      <c r="V812" s="11">
        <f>IF(J812="","",S812*(IFERROR(INDEX(Settings!$B$5:$B$9,MATCH($B812,Settings!$A$5:$A$9,0)),0)+IFERROR(INDEX(Settings!$E$5:$E$9,MATCH($B812,Settings!$A$5:$A$9,0)),0)+IFERROR(INDEX(Settings!$G$5:$G$9,MATCH($B812,Settings!$A$5:$A$9,0)),0))+(IFERROR(INDEX(Settings!$C$5:$C$9,MATCH($B812,Settings!$A$5:$A$9,0)),0)+IFERROR(INDEX(Settings!$F$5:$F$9,MATCH($B812,Settings!$A$5:$A$9,0)),0))/P812+IFERROR(INDEX(Settings!$D$5:$D$9,MATCH($B812,Settings!$A$5:$A$9,0)),0)*M812)</f>
        <v/>
      </c>
      <c r="W812" s="11">
        <f>IF(J812="","",IF(T812="",0,M812*INDEX(Products!$I$5:$I$204,T812)))</f>
        <v/>
      </c>
      <c r="X812" s="11">
        <f>IF(J812="","",IF(T812="",0,S812*INDEX(Products!$H$5:$H$204,T812)))</f>
        <v/>
      </c>
      <c r="Y812" s="11">
        <f>IF(J812="","",S812-V812-W812-X812)</f>
        <v/>
      </c>
    </row>
    <row r="813">
      <c r="A813" s="19" t="n"/>
      <c r="B813" s="19" t="n"/>
      <c r="C813" s="19" t="n"/>
      <c r="D813" s="19" t="n"/>
      <c r="E813" s="19" t="n"/>
      <c r="F813" s="20" t="n"/>
      <c r="G813" s="20" t="n"/>
      <c r="H813" s="20" t="n"/>
      <c r="I813" s="19" t="n"/>
      <c r="J813">
        <f>IFERROR(IF(C813="","",C813)&amp;"","")</f>
        <v/>
      </c>
      <c r="K813">
        <f>IFERROR(IF(D813="","",D813)&amp;"","")</f>
        <v/>
      </c>
      <c r="L813">
        <f>IFERROR(IF(I813="","",I813)&amp;"","")</f>
        <v/>
      </c>
      <c r="M813">
        <f>IF(J813="","",IFERROR(VALUE(SUBSTITUTE(SUBSTITUTE(IF(E813="","",E813)&amp;"","$",""),",","")),0))</f>
        <v/>
      </c>
      <c r="N813" s="11">
        <f>IF(J813="","",IFERROR(VALUE(SUBSTITUTE(SUBSTITUTE(IF(F813="","",F813)&amp;"","$",""),",","")),0))</f>
        <v/>
      </c>
      <c r="O813" s="11">
        <f>IF(J813="","",M813*N813)</f>
        <v/>
      </c>
      <c r="P813">
        <f>IF(J813="","",IF(L813="",1,COUNTIF($L$2:$L$1501,L813)))</f>
        <v/>
      </c>
      <c r="Q813" s="11">
        <f>IF(J813="","",IFERROR(VALUE(SUBSTITUTE(SUBSTITUTE(IF(G813="","",G813)&amp;"","$",""),",","")),0)/IF("No"="Yes",P813,1))</f>
        <v/>
      </c>
      <c r="R813" s="11">
        <f>IF(J813="","",IFERROR(VALUE(SUBSTITUTE(SUBSTITUTE(IF(H813="","",H813)&amp;"","$",""),",","")),0)/IF("No"="Yes",P813,1))</f>
        <v/>
      </c>
      <c r="S813" s="11">
        <f>IF(J813="","",O813+Q813-R813)</f>
        <v/>
      </c>
      <c r="T813">
        <f>IF(J813="","",IFERROR(IF(K813="",NA(),MATCH(K813,Products!$B$5:$B$204,0)),IFERROR(MATCH(J813,Products!$A$5:$A$204,0),"")))</f>
        <v/>
      </c>
      <c r="U813">
        <f>IF(J813="","",IF(T813="","⚠ not in Products",INDEX(Products!$A$5:$A$204,T813)))</f>
        <v/>
      </c>
      <c r="V813" s="11">
        <f>IF(J813="","",S813*(IFERROR(INDEX(Settings!$B$5:$B$9,MATCH($B813,Settings!$A$5:$A$9,0)),0)+IFERROR(INDEX(Settings!$E$5:$E$9,MATCH($B813,Settings!$A$5:$A$9,0)),0)+IFERROR(INDEX(Settings!$G$5:$G$9,MATCH($B813,Settings!$A$5:$A$9,0)),0))+(IFERROR(INDEX(Settings!$C$5:$C$9,MATCH($B813,Settings!$A$5:$A$9,0)),0)+IFERROR(INDEX(Settings!$F$5:$F$9,MATCH($B813,Settings!$A$5:$A$9,0)),0))/P813+IFERROR(INDEX(Settings!$D$5:$D$9,MATCH($B813,Settings!$A$5:$A$9,0)),0)*M813)</f>
        <v/>
      </c>
      <c r="W813" s="11">
        <f>IF(J813="","",IF(T813="",0,M813*INDEX(Products!$I$5:$I$204,T813)))</f>
        <v/>
      </c>
      <c r="X813" s="11">
        <f>IF(J813="","",IF(T813="",0,S813*INDEX(Products!$H$5:$H$204,T813)))</f>
        <v/>
      </c>
      <c r="Y813" s="11">
        <f>IF(J813="","",S813-V813-W813-X813)</f>
        <v/>
      </c>
    </row>
    <row r="814">
      <c r="A814" s="19" t="n"/>
      <c r="B814" s="19" t="n"/>
      <c r="C814" s="19" t="n"/>
      <c r="D814" s="19" t="n"/>
      <c r="E814" s="19" t="n"/>
      <c r="F814" s="20" t="n"/>
      <c r="G814" s="20" t="n"/>
      <c r="H814" s="20" t="n"/>
      <c r="I814" s="19" t="n"/>
      <c r="J814">
        <f>IFERROR(IF(C814="","",C814)&amp;"","")</f>
        <v/>
      </c>
      <c r="K814">
        <f>IFERROR(IF(D814="","",D814)&amp;"","")</f>
        <v/>
      </c>
      <c r="L814">
        <f>IFERROR(IF(I814="","",I814)&amp;"","")</f>
        <v/>
      </c>
      <c r="M814">
        <f>IF(J814="","",IFERROR(VALUE(SUBSTITUTE(SUBSTITUTE(IF(E814="","",E814)&amp;"","$",""),",","")),0))</f>
        <v/>
      </c>
      <c r="N814" s="11">
        <f>IF(J814="","",IFERROR(VALUE(SUBSTITUTE(SUBSTITUTE(IF(F814="","",F814)&amp;"","$",""),",","")),0))</f>
        <v/>
      </c>
      <c r="O814" s="11">
        <f>IF(J814="","",M814*N814)</f>
        <v/>
      </c>
      <c r="P814">
        <f>IF(J814="","",IF(L814="",1,COUNTIF($L$2:$L$1501,L814)))</f>
        <v/>
      </c>
      <c r="Q814" s="11">
        <f>IF(J814="","",IFERROR(VALUE(SUBSTITUTE(SUBSTITUTE(IF(G814="","",G814)&amp;"","$",""),",","")),0)/IF("No"="Yes",P814,1))</f>
        <v/>
      </c>
      <c r="R814" s="11">
        <f>IF(J814="","",IFERROR(VALUE(SUBSTITUTE(SUBSTITUTE(IF(H814="","",H814)&amp;"","$",""),",","")),0)/IF("No"="Yes",P814,1))</f>
        <v/>
      </c>
      <c r="S814" s="11">
        <f>IF(J814="","",O814+Q814-R814)</f>
        <v/>
      </c>
      <c r="T814">
        <f>IF(J814="","",IFERROR(IF(K814="",NA(),MATCH(K814,Products!$B$5:$B$204,0)),IFERROR(MATCH(J814,Products!$A$5:$A$204,0),"")))</f>
        <v/>
      </c>
      <c r="U814">
        <f>IF(J814="","",IF(T814="","⚠ not in Products",INDEX(Products!$A$5:$A$204,T814)))</f>
        <v/>
      </c>
      <c r="V814" s="11">
        <f>IF(J814="","",S814*(IFERROR(INDEX(Settings!$B$5:$B$9,MATCH($B814,Settings!$A$5:$A$9,0)),0)+IFERROR(INDEX(Settings!$E$5:$E$9,MATCH($B814,Settings!$A$5:$A$9,0)),0)+IFERROR(INDEX(Settings!$G$5:$G$9,MATCH($B814,Settings!$A$5:$A$9,0)),0))+(IFERROR(INDEX(Settings!$C$5:$C$9,MATCH($B814,Settings!$A$5:$A$9,0)),0)+IFERROR(INDEX(Settings!$F$5:$F$9,MATCH($B814,Settings!$A$5:$A$9,0)),0))/P814+IFERROR(INDEX(Settings!$D$5:$D$9,MATCH($B814,Settings!$A$5:$A$9,0)),0)*M814)</f>
        <v/>
      </c>
      <c r="W814" s="11">
        <f>IF(J814="","",IF(T814="",0,M814*INDEX(Products!$I$5:$I$204,T814)))</f>
        <v/>
      </c>
      <c r="X814" s="11">
        <f>IF(J814="","",IF(T814="",0,S814*INDEX(Products!$H$5:$H$204,T814)))</f>
        <v/>
      </c>
      <c r="Y814" s="11">
        <f>IF(J814="","",S814-V814-W814-X814)</f>
        <v/>
      </c>
    </row>
    <row r="815">
      <c r="A815" s="19" t="n"/>
      <c r="B815" s="19" t="n"/>
      <c r="C815" s="19" t="n"/>
      <c r="D815" s="19" t="n"/>
      <c r="E815" s="19" t="n"/>
      <c r="F815" s="20" t="n"/>
      <c r="G815" s="20" t="n"/>
      <c r="H815" s="20" t="n"/>
      <c r="I815" s="19" t="n"/>
      <c r="J815">
        <f>IFERROR(IF(C815="","",C815)&amp;"","")</f>
        <v/>
      </c>
      <c r="K815">
        <f>IFERROR(IF(D815="","",D815)&amp;"","")</f>
        <v/>
      </c>
      <c r="L815">
        <f>IFERROR(IF(I815="","",I815)&amp;"","")</f>
        <v/>
      </c>
      <c r="M815">
        <f>IF(J815="","",IFERROR(VALUE(SUBSTITUTE(SUBSTITUTE(IF(E815="","",E815)&amp;"","$",""),",","")),0))</f>
        <v/>
      </c>
      <c r="N815" s="11">
        <f>IF(J815="","",IFERROR(VALUE(SUBSTITUTE(SUBSTITUTE(IF(F815="","",F815)&amp;"","$",""),",","")),0))</f>
        <v/>
      </c>
      <c r="O815" s="11">
        <f>IF(J815="","",M815*N815)</f>
        <v/>
      </c>
      <c r="P815">
        <f>IF(J815="","",IF(L815="",1,COUNTIF($L$2:$L$1501,L815)))</f>
        <v/>
      </c>
      <c r="Q815" s="11">
        <f>IF(J815="","",IFERROR(VALUE(SUBSTITUTE(SUBSTITUTE(IF(G815="","",G815)&amp;"","$",""),",","")),0)/IF("No"="Yes",P815,1))</f>
        <v/>
      </c>
      <c r="R815" s="11">
        <f>IF(J815="","",IFERROR(VALUE(SUBSTITUTE(SUBSTITUTE(IF(H815="","",H815)&amp;"","$",""),",","")),0)/IF("No"="Yes",P815,1))</f>
        <v/>
      </c>
      <c r="S815" s="11">
        <f>IF(J815="","",O815+Q815-R815)</f>
        <v/>
      </c>
      <c r="T815">
        <f>IF(J815="","",IFERROR(IF(K815="",NA(),MATCH(K815,Products!$B$5:$B$204,0)),IFERROR(MATCH(J815,Products!$A$5:$A$204,0),"")))</f>
        <v/>
      </c>
      <c r="U815">
        <f>IF(J815="","",IF(T815="","⚠ not in Products",INDEX(Products!$A$5:$A$204,T815)))</f>
        <v/>
      </c>
      <c r="V815" s="11">
        <f>IF(J815="","",S815*(IFERROR(INDEX(Settings!$B$5:$B$9,MATCH($B815,Settings!$A$5:$A$9,0)),0)+IFERROR(INDEX(Settings!$E$5:$E$9,MATCH($B815,Settings!$A$5:$A$9,0)),0)+IFERROR(INDEX(Settings!$G$5:$G$9,MATCH($B815,Settings!$A$5:$A$9,0)),0))+(IFERROR(INDEX(Settings!$C$5:$C$9,MATCH($B815,Settings!$A$5:$A$9,0)),0)+IFERROR(INDEX(Settings!$F$5:$F$9,MATCH($B815,Settings!$A$5:$A$9,0)),0))/P815+IFERROR(INDEX(Settings!$D$5:$D$9,MATCH($B815,Settings!$A$5:$A$9,0)),0)*M815)</f>
        <v/>
      </c>
      <c r="W815" s="11">
        <f>IF(J815="","",IF(T815="",0,M815*INDEX(Products!$I$5:$I$204,T815)))</f>
        <v/>
      </c>
      <c r="X815" s="11">
        <f>IF(J815="","",IF(T815="",0,S815*INDEX(Products!$H$5:$H$204,T815)))</f>
        <v/>
      </c>
      <c r="Y815" s="11">
        <f>IF(J815="","",S815-V815-W815-X815)</f>
        <v/>
      </c>
    </row>
    <row r="816">
      <c r="A816" s="19" t="n"/>
      <c r="B816" s="19" t="n"/>
      <c r="C816" s="19" t="n"/>
      <c r="D816" s="19" t="n"/>
      <c r="E816" s="19" t="n"/>
      <c r="F816" s="20" t="n"/>
      <c r="G816" s="20" t="n"/>
      <c r="H816" s="20" t="n"/>
      <c r="I816" s="19" t="n"/>
      <c r="J816">
        <f>IFERROR(IF(C816="","",C816)&amp;"","")</f>
        <v/>
      </c>
      <c r="K816">
        <f>IFERROR(IF(D816="","",D816)&amp;"","")</f>
        <v/>
      </c>
      <c r="L816">
        <f>IFERROR(IF(I816="","",I816)&amp;"","")</f>
        <v/>
      </c>
      <c r="M816">
        <f>IF(J816="","",IFERROR(VALUE(SUBSTITUTE(SUBSTITUTE(IF(E816="","",E816)&amp;"","$",""),",","")),0))</f>
        <v/>
      </c>
      <c r="N816" s="11">
        <f>IF(J816="","",IFERROR(VALUE(SUBSTITUTE(SUBSTITUTE(IF(F816="","",F816)&amp;"","$",""),",","")),0))</f>
        <v/>
      </c>
      <c r="O816" s="11">
        <f>IF(J816="","",M816*N816)</f>
        <v/>
      </c>
      <c r="P816">
        <f>IF(J816="","",IF(L816="",1,COUNTIF($L$2:$L$1501,L816)))</f>
        <v/>
      </c>
      <c r="Q816" s="11">
        <f>IF(J816="","",IFERROR(VALUE(SUBSTITUTE(SUBSTITUTE(IF(G816="","",G816)&amp;"","$",""),",","")),0)/IF("No"="Yes",P816,1))</f>
        <v/>
      </c>
      <c r="R816" s="11">
        <f>IF(J816="","",IFERROR(VALUE(SUBSTITUTE(SUBSTITUTE(IF(H816="","",H816)&amp;"","$",""),",","")),0)/IF("No"="Yes",P816,1))</f>
        <v/>
      </c>
      <c r="S816" s="11">
        <f>IF(J816="","",O816+Q816-R816)</f>
        <v/>
      </c>
      <c r="T816">
        <f>IF(J816="","",IFERROR(IF(K816="",NA(),MATCH(K816,Products!$B$5:$B$204,0)),IFERROR(MATCH(J816,Products!$A$5:$A$204,0),"")))</f>
        <v/>
      </c>
      <c r="U816">
        <f>IF(J816="","",IF(T816="","⚠ not in Products",INDEX(Products!$A$5:$A$204,T816)))</f>
        <v/>
      </c>
      <c r="V816" s="11">
        <f>IF(J816="","",S816*(IFERROR(INDEX(Settings!$B$5:$B$9,MATCH($B816,Settings!$A$5:$A$9,0)),0)+IFERROR(INDEX(Settings!$E$5:$E$9,MATCH($B816,Settings!$A$5:$A$9,0)),0)+IFERROR(INDEX(Settings!$G$5:$G$9,MATCH($B816,Settings!$A$5:$A$9,0)),0))+(IFERROR(INDEX(Settings!$C$5:$C$9,MATCH($B816,Settings!$A$5:$A$9,0)),0)+IFERROR(INDEX(Settings!$F$5:$F$9,MATCH($B816,Settings!$A$5:$A$9,0)),0))/P816+IFERROR(INDEX(Settings!$D$5:$D$9,MATCH($B816,Settings!$A$5:$A$9,0)),0)*M816)</f>
        <v/>
      </c>
      <c r="W816" s="11">
        <f>IF(J816="","",IF(T816="",0,M816*INDEX(Products!$I$5:$I$204,T816)))</f>
        <v/>
      </c>
      <c r="X816" s="11">
        <f>IF(J816="","",IF(T816="",0,S816*INDEX(Products!$H$5:$H$204,T816)))</f>
        <v/>
      </c>
      <c r="Y816" s="11">
        <f>IF(J816="","",S816-V816-W816-X816)</f>
        <v/>
      </c>
    </row>
    <row r="817">
      <c r="A817" s="19" t="n"/>
      <c r="B817" s="19" t="n"/>
      <c r="C817" s="19" t="n"/>
      <c r="D817" s="19" t="n"/>
      <c r="E817" s="19" t="n"/>
      <c r="F817" s="20" t="n"/>
      <c r="G817" s="20" t="n"/>
      <c r="H817" s="20" t="n"/>
      <c r="I817" s="19" t="n"/>
      <c r="J817">
        <f>IFERROR(IF(C817="","",C817)&amp;"","")</f>
        <v/>
      </c>
      <c r="K817">
        <f>IFERROR(IF(D817="","",D817)&amp;"","")</f>
        <v/>
      </c>
      <c r="L817">
        <f>IFERROR(IF(I817="","",I817)&amp;"","")</f>
        <v/>
      </c>
      <c r="M817">
        <f>IF(J817="","",IFERROR(VALUE(SUBSTITUTE(SUBSTITUTE(IF(E817="","",E817)&amp;"","$",""),",","")),0))</f>
        <v/>
      </c>
      <c r="N817" s="11">
        <f>IF(J817="","",IFERROR(VALUE(SUBSTITUTE(SUBSTITUTE(IF(F817="","",F817)&amp;"","$",""),",","")),0))</f>
        <v/>
      </c>
      <c r="O817" s="11">
        <f>IF(J817="","",M817*N817)</f>
        <v/>
      </c>
      <c r="P817">
        <f>IF(J817="","",IF(L817="",1,COUNTIF($L$2:$L$1501,L817)))</f>
        <v/>
      </c>
      <c r="Q817" s="11">
        <f>IF(J817="","",IFERROR(VALUE(SUBSTITUTE(SUBSTITUTE(IF(G817="","",G817)&amp;"","$",""),",","")),0)/IF("No"="Yes",P817,1))</f>
        <v/>
      </c>
      <c r="R817" s="11">
        <f>IF(J817="","",IFERROR(VALUE(SUBSTITUTE(SUBSTITUTE(IF(H817="","",H817)&amp;"","$",""),",","")),0)/IF("No"="Yes",P817,1))</f>
        <v/>
      </c>
      <c r="S817" s="11">
        <f>IF(J817="","",O817+Q817-R817)</f>
        <v/>
      </c>
      <c r="T817">
        <f>IF(J817="","",IFERROR(IF(K817="",NA(),MATCH(K817,Products!$B$5:$B$204,0)),IFERROR(MATCH(J817,Products!$A$5:$A$204,0),"")))</f>
        <v/>
      </c>
      <c r="U817">
        <f>IF(J817="","",IF(T817="","⚠ not in Products",INDEX(Products!$A$5:$A$204,T817)))</f>
        <v/>
      </c>
      <c r="V817" s="11">
        <f>IF(J817="","",S817*(IFERROR(INDEX(Settings!$B$5:$B$9,MATCH($B817,Settings!$A$5:$A$9,0)),0)+IFERROR(INDEX(Settings!$E$5:$E$9,MATCH($B817,Settings!$A$5:$A$9,0)),0)+IFERROR(INDEX(Settings!$G$5:$G$9,MATCH($B817,Settings!$A$5:$A$9,0)),0))+(IFERROR(INDEX(Settings!$C$5:$C$9,MATCH($B817,Settings!$A$5:$A$9,0)),0)+IFERROR(INDEX(Settings!$F$5:$F$9,MATCH($B817,Settings!$A$5:$A$9,0)),0))/P817+IFERROR(INDEX(Settings!$D$5:$D$9,MATCH($B817,Settings!$A$5:$A$9,0)),0)*M817)</f>
        <v/>
      </c>
      <c r="W817" s="11">
        <f>IF(J817="","",IF(T817="",0,M817*INDEX(Products!$I$5:$I$204,T817)))</f>
        <v/>
      </c>
      <c r="X817" s="11">
        <f>IF(J817="","",IF(T817="",0,S817*INDEX(Products!$H$5:$H$204,T817)))</f>
        <v/>
      </c>
      <c r="Y817" s="11">
        <f>IF(J817="","",S817-V817-W817-X817)</f>
        <v/>
      </c>
    </row>
    <row r="818">
      <c r="A818" s="19" t="n"/>
      <c r="B818" s="19" t="n"/>
      <c r="C818" s="19" t="n"/>
      <c r="D818" s="19" t="n"/>
      <c r="E818" s="19" t="n"/>
      <c r="F818" s="20" t="n"/>
      <c r="G818" s="20" t="n"/>
      <c r="H818" s="20" t="n"/>
      <c r="I818" s="19" t="n"/>
      <c r="J818">
        <f>IFERROR(IF(C818="","",C818)&amp;"","")</f>
        <v/>
      </c>
      <c r="K818">
        <f>IFERROR(IF(D818="","",D818)&amp;"","")</f>
        <v/>
      </c>
      <c r="L818">
        <f>IFERROR(IF(I818="","",I818)&amp;"","")</f>
        <v/>
      </c>
      <c r="M818">
        <f>IF(J818="","",IFERROR(VALUE(SUBSTITUTE(SUBSTITUTE(IF(E818="","",E818)&amp;"","$",""),",","")),0))</f>
        <v/>
      </c>
      <c r="N818" s="11">
        <f>IF(J818="","",IFERROR(VALUE(SUBSTITUTE(SUBSTITUTE(IF(F818="","",F818)&amp;"","$",""),",","")),0))</f>
        <v/>
      </c>
      <c r="O818" s="11">
        <f>IF(J818="","",M818*N818)</f>
        <v/>
      </c>
      <c r="P818">
        <f>IF(J818="","",IF(L818="",1,COUNTIF($L$2:$L$1501,L818)))</f>
        <v/>
      </c>
      <c r="Q818" s="11">
        <f>IF(J818="","",IFERROR(VALUE(SUBSTITUTE(SUBSTITUTE(IF(G818="","",G818)&amp;"","$",""),",","")),0)/IF("No"="Yes",P818,1))</f>
        <v/>
      </c>
      <c r="R818" s="11">
        <f>IF(J818="","",IFERROR(VALUE(SUBSTITUTE(SUBSTITUTE(IF(H818="","",H818)&amp;"","$",""),",","")),0)/IF("No"="Yes",P818,1))</f>
        <v/>
      </c>
      <c r="S818" s="11">
        <f>IF(J818="","",O818+Q818-R818)</f>
        <v/>
      </c>
      <c r="T818">
        <f>IF(J818="","",IFERROR(IF(K818="",NA(),MATCH(K818,Products!$B$5:$B$204,0)),IFERROR(MATCH(J818,Products!$A$5:$A$204,0),"")))</f>
        <v/>
      </c>
      <c r="U818">
        <f>IF(J818="","",IF(T818="","⚠ not in Products",INDEX(Products!$A$5:$A$204,T818)))</f>
        <v/>
      </c>
      <c r="V818" s="11">
        <f>IF(J818="","",S818*(IFERROR(INDEX(Settings!$B$5:$B$9,MATCH($B818,Settings!$A$5:$A$9,0)),0)+IFERROR(INDEX(Settings!$E$5:$E$9,MATCH($B818,Settings!$A$5:$A$9,0)),0)+IFERROR(INDEX(Settings!$G$5:$G$9,MATCH($B818,Settings!$A$5:$A$9,0)),0))+(IFERROR(INDEX(Settings!$C$5:$C$9,MATCH($B818,Settings!$A$5:$A$9,0)),0)+IFERROR(INDEX(Settings!$F$5:$F$9,MATCH($B818,Settings!$A$5:$A$9,0)),0))/P818+IFERROR(INDEX(Settings!$D$5:$D$9,MATCH($B818,Settings!$A$5:$A$9,0)),0)*M818)</f>
        <v/>
      </c>
      <c r="W818" s="11">
        <f>IF(J818="","",IF(T818="",0,M818*INDEX(Products!$I$5:$I$204,T818)))</f>
        <v/>
      </c>
      <c r="X818" s="11">
        <f>IF(J818="","",IF(T818="",0,S818*INDEX(Products!$H$5:$H$204,T818)))</f>
        <v/>
      </c>
      <c r="Y818" s="11">
        <f>IF(J818="","",S818-V818-W818-X818)</f>
        <v/>
      </c>
    </row>
    <row r="819">
      <c r="A819" s="19" t="n"/>
      <c r="B819" s="19" t="n"/>
      <c r="C819" s="19" t="n"/>
      <c r="D819" s="19" t="n"/>
      <c r="E819" s="19" t="n"/>
      <c r="F819" s="20" t="n"/>
      <c r="G819" s="20" t="n"/>
      <c r="H819" s="20" t="n"/>
      <c r="I819" s="19" t="n"/>
      <c r="J819">
        <f>IFERROR(IF(C819="","",C819)&amp;"","")</f>
        <v/>
      </c>
      <c r="K819">
        <f>IFERROR(IF(D819="","",D819)&amp;"","")</f>
        <v/>
      </c>
      <c r="L819">
        <f>IFERROR(IF(I819="","",I819)&amp;"","")</f>
        <v/>
      </c>
      <c r="M819">
        <f>IF(J819="","",IFERROR(VALUE(SUBSTITUTE(SUBSTITUTE(IF(E819="","",E819)&amp;"","$",""),",","")),0))</f>
        <v/>
      </c>
      <c r="N819" s="11">
        <f>IF(J819="","",IFERROR(VALUE(SUBSTITUTE(SUBSTITUTE(IF(F819="","",F819)&amp;"","$",""),",","")),0))</f>
        <v/>
      </c>
      <c r="O819" s="11">
        <f>IF(J819="","",M819*N819)</f>
        <v/>
      </c>
      <c r="P819">
        <f>IF(J819="","",IF(L819="",1,COUNTIF($L$2:$L$1501,L819)))</f>
        <v/>
      </c>
      <c r="Q819" s="11">
        <f>IF(J819="","",IFERROR(VALUE(SUBSTITUTE(SUBSTITUTE(IF(G819="","",G819)&amp;"","$",""),",","")),0)/IF("No"="Yes",P819,1))</f>
        <v/>
      </c>
      <c r="R819" s="11">
        <f>IF(J819="","",IFERROR(VALUE(SUBSTITUTE(SUBSTITUTE(IF(H819="","",H819)&amp;"","$",""),",","")),0)/IF("No"="Yes",P819,1))</f>
        <v/>
      </c>
      <c r="S819" s="11">
        <f>IF(J819="","",O819+Q819-R819)</f>
        <v/>
      </c>
      <c r="T819">
        <f>IF(J819="","",IFERROR(IF(K819="",NA(),MATCH(K819,Products!$B$5:$B$204,0)),IFERROR(MATCH(J819,Products!$A$5:$A$204,0),"")))</f>
        <v/>
      </c>
      <c r="U819">
        <f>IF(J819="","",IF(T819="","⚠ not in Products",INDEX(Products!$A$5:$A$204,T819)))</f>
        <v/>
      </c>
      <c r="V819" s="11">
        <f>IF(J819="","",S819*(IFERROR(INDEX(Settings!$B$5:$B$9,MATCH($B819,Settings!$A$5:$A$9,0)),0)+IFERROR(INDEX(Settings!$E$5:$E$9,MATCH($B819,Settings!$A$5:$A$9,0)),0)+IFERROR(INDEX(Settings!$G$5:$G$9,MATCH($B819,Settings!$A$5:$A$9,0)),0))+(IFERROR(INDEX(Settings!$C$5:$C$9,MATCH($B819,Settings!$A$5:$A$9,0)),0)+IFERROR(INDEX(Settings!$F$5:$F$9,MATCH($B819,Settings!$A$5:$A$9,0)),0))/P819+IFERROR(INDEX(Settings!$D$5:$D$9,MATCH($B819,Settings!$A$5:$A$9,0)),0)*M819)</f>
        <v/>
      </c>
      <c r="W819" s="11">
        <f>IF(J819="","",IF(T819="",0,M819*INDEX(Products!$I$5:$I$204,T819)))</f>
        <v/>
      </c>
      <c r="X819" s="11">
        <f>IF(J819="","",IF(T819="",0,S819*INDEX(Products!$H$5:$H$204,T819)))</f>
        <v/>
      </c>
      <c r="Y819" s="11">
        <f>IF(J819="","",S819-V819-W819-X819)</f>
        <v/>
      </c>
    </row>
    <row r="820">
      <c r="A820" s="19" t="n"/>
      <c r="B820" s="19" t="n"/>
      <c r="C820" s="19" t="n"/>
      <c r="D820" s="19" t="n"/>
      <c r="E820" s="19" t="n"/>
      <c r="F820" s="20" t="n"/>
      <c r="G820" s="20" t="n"/>
      <c r="H820" s="20" t="n"/>
      <c r="I820" s="19" t="n"/>
      <c r="J820">
        <f>IFERROR(IF(C820="","",C820)&amp;"","")</f>
        <v/>
      </c>
      <c r="K820">
        <f>IFERROR(IF(D820="","",D820)&amp;"","")</f>
        <v/>
      </c>
      <c r="L820">
        <f>IFERROR(IF(I820="","",I820)&amp;"","")</f>
        <v/>
      </c>
      <c r="M820">
        <f>IF(J820="","",IFERROR(VALUE(SUBSTITUTE(SUBSTITUTE(IF(E820="","",E820)&amp;"","$",""),",","")),0))</f>
        <v/>
      </c>
      <c r="N820" s="11">
        <f>IF(J820="","",IFERROR(VALUE(SUBSTITUTE(SUBSTITUTE(IF(F820="","",F820)&amp;"","$",""),",","")),0))</f>
        <v/>
      </c>
      <c r="O820" s="11">
        <f>IF(J820="","",M820*N820)</f>
        <v/>
      </c>
      <c r="P820">
        <f>IF(J820="","",IF(L820="",1,COUNTIF($L$2:$L$1501,L820)))</f>
        <v/>
      </c>
      <c r="Q820" s="11">
        <f>IF(J820="","",IFERROR(VALUE(SUBSTITUTE(SUBSTITUTE(IF(G820="","",G820)&amp;"","$",""),",","")),0)/IF("No"="Yes",P820,1))</f>
        <v/>
      </c>
      <c r="R820" s="11">
        <f>IF(J820="","",IFERROR(VALUE(SUBSTITUTE(SUBSTITUTE(IF(H820="","",H820)&amp;"","$",""),",","")),0)/IF("No"="Yes",P820,1))</f>
        <v/>
      </c>
      <c r="S820" s="11">
        <f>IF(J820="","",O820+Q820-R820)</f>
        <v/>
      </c>
      <c r="T820">
        <f>IF(J820="","",IFERROR(IF(K820="",NA(),MATCH(K820,Products!$B$5:$B$204,0)),IFERROR(MATCH(J820,Products!$A$5:$A$204,0),"")))</f>
        <v/>
      </c>
      <c r="U820">
        <f>IF(J820="","",IF(T820="","⚠ not in Products",INDEX(Products!$A$5:$A$204,T820)))</f>
        <v/>
      </c>
      <c r="V820" s="11">
        <f>IF(J820="","",S820*(IFERROR(INDEX(Settings!$B$5:$B$9,MATCH($B820,Settings!$A$5:$A$9,0)),0)+IFERROR(INDEX(Settings!$E$5:$E$9,MATCH($B820,Settings!$A$5:$A$9,0)),0)+IFERROR(INDEX(Settings!$G$5:$G$9,MATCH($B820,Settings!$A$5:$A$9,0)),0))+(IFERROR(INDEX(Settings!$C$5:$C$9,MATCH($B820,Settings!$A$5:$A$9,0)),0)+IFERROR(INDEX(Settings!$F$5:$F$9,MATCH($B820,Settings!$A$5:$A$9,0)),0))/P820+IFERROR(INDEX(Settings!$D$5:$D$9,MATCH($B820,Settings!$A$5:$A$9,0)),0)*M820)</f>
        <v/>
      </c>
      <c r="W820" s="11">
        <f>IF(J820="","",IF(T820="",0,M820*INDEX(Products!$I$5:$I$204,T820)))</f>
        <v/>
      </c>
      <c r="X820" s="11">
        <f>IF(J820="","",IF(T820="",0,S820*INDEX(Products!$H$5:$H$204,T820)))</f>
        <v/>
      </c>
      <c r="Y820" s="11">
        <f>IF(J820="","",S820-V820-W820-X820)</f>
        <v/>
      </c>
    </row>
    <row r="821">
      <c r="A821" s="19" t="n"/>
      <c r="B821" s="19" t="n"/>
      <c r="C821" s="19" t="n"/>
      <c r="D821" s="19" t="n"/>
      <c r="E821" s="19" t="n"/>
      <c r="F821" s="20" t="n"/>
      <c r="G821" s="20" t="n"/>
      <c r="H821" s="20" t="n"/>
      <c r="I821" s="19" t="n"/>
      <c r="J821">
        <f>IFERROR(IF(C821="","",C821)&amp;"","")</f>
        <v/>
      </c>
      <c r="K821">
        <f>IFERROR(IF(D821="","",D821)&amp;"","")</f>
        <v/>
      </c>
      <c r="L821">
        <f>IFERROR(IF(I821="","",I821)&amp;"","")</f>
        <v/>
      </c>
      <c r="M821">
        <f>IF(J821="","",IFERROR(VALUE(SUBSTITUTE(SUBSTITUTE(IF(E821="","",E821)&amp;"","$",""),",","")),0))</f>
        <v/>
      </c>
      <c r="N821" s="11">
        <f>IF(J821="","",IFERROR(VALUE(SUBSTITUTE(SUBSTITUTE(IF(F821="","",F821)&amp;"","$",""),",","")),0))</f>
        <v/>
      </c>
      <c r="O821" s="11">
        <f>IF(J821="","",M821*N821)</f>
        <v/>
      </c>
      <c r="P821">
        <f>IF(J821="","",IF(L821="",1,COUNTIF($L$2:$L$1501,L821)))</f>
        <v/>
      </c>
      <c r="Q821" s="11">
        <f>IF(J821="","",IFERROR(VALUE(SUBSTITUTE(SUBSTITUTE(IF(G821="","",G821)&amp;"","$",""),",","")),0)/IF("No"="Yes",P821,1))</f>
        <v/>
      </c>
      <c r="R821" s="11">
        <f>IF(J821="","",IFERROR(VALUE(SUBSTITUTE(SUBSTITUTE(IF(H821="","",H821)&amp;"","$",""),",","")),0)/IF("No"="Yes",P821,1))</f>
        <v/>
      </c>
      <c r="S821" s="11">
        <f>IF(J821="","",O821+Q821-R821)</f>
        <v/>
      </c>
      <c r="T821">
        <f>IF(J821="","",IFERROR(IF(K821="",NA(),MATCH(K821,Products!$B$5:$B$204,0)),IFERROR(MATCH(J821,Products!$A$5:$A$204,0),"")))</f>
        <v/>
      </c>
      <c r="U821">
        <f>IF(J821="","",IF(T821="","⚠ not in Products",INDEX(Products!$A$5:$A$204,T821)))</f>
        <v/>
      </c>
      <c r="V821" s="11">
        <f>IF(J821="","",S821*(IFERROR(INDEX(Settings!$B$5:$B$9,MATCH($B821,Settings!$A$5:$A$9,0)),0)+IFERROR(INDEX(Settings!$E$5:$E$9,MATCH($B821,Settings!$A$5:$A$9,0)),0)+IFERROR(INDEX(Settings!$G$5:$G$9,MATCH($B821,Settings!$A$5:$A$9,0)),0))+(IFERROR(INDEX(Settings!$C$5:$C$9,MATCH($B821,Settings!$A$5:$A$9,0)),0)+IFERROR(INDEX(Settings!$F$5:$F$9,MATCH($B821,Settings!$A$5:$A$9,0)),0))/P821+IFERROR(INDEX(Settings!$D$5:$D$9,MATCH($B821,Settings!$A$5:$A$9,0)),0)*M821)</f>
        <v/>
      </c>
      <c r="W821" s="11">
        <f>IF(J821="","",IF(T821="",0,M821*INDEX(Products!$I$5:$I$204,T821)))</f>
        <v/>
      </c>
      <c r="X821" s="11">
        <f>IF(J821="","",IF(T821="",0,S821*INDEX(Products!$H$5:$H$204,T821)))</f>
        <v/>
      </c>
      <c r="Y821" s="11">
        <f>IF(J821="","",S821-V821-W821-X821)</f>
        <v/>
      </c>
    </row>
    <row r="822">
      <c r="A822" s="19" t="n"/>
      <c r="B822" s="19" t="n"/>
      <c r="C822" s="19" t="n"/>
      <c r="D822" s="19" t="n"/>
      <c r="E822" s="19" t="n"/>
      <c r="F822" s="20" t="n"/>
      <c r="G822" s="20" t="n"/>
      <c r="H822" s="20" t="n"/>
      <c r="I822" s="19" t="n"/>
      <c r="J822">
        <f>IFERROR(IF(C822="","",C822)&amp;"","")</f>
        <v/>
      </c>
      <c r="K822">
        <f>IFERROR(IF(D822="","",D822)&amp;"","")</f>
        <v/>
      </c>
      <c r="L822">
        <f>IFERROR(IF(I822="","",I822)&amp;"","")</f>
        <v/>
      </c>
      <c r="M822">
        <f>IF(J822="","",IFERROR(VALUE(SUBSTITUTE(SUBSTITUTE(IF(E822="","",E822)&amp;"","$",""),",","")),0))</f>
        <v/>
      </c>
      <c r="N822" s="11">
        <f>IF(J822="","",IFERROR(VALUE(SUBSTITUTE(SUBSTITUTE(IF(F822="","",F822)&amp;"","$",""),",","")),0))</f>
        <v/>
      </c>
      <c r="O822" s="11">
        <f>IF(J822="","",M822*N822)</f>
        <v/>
      </c>
      <c r="P822">
        <f>IF(J822="","",IF(L822="",1,COUNTIF($L$2:$L$1501,L822)))</f>
        <v/>
      </c>
      <c r="Q822" s="11">
        <f>IF(J822="","",IFERROR(VALUE(SUBSTITUTE(SUBSTITUTE(IF(G822="","",G822)&amp;"","$",""),",","")),0)/IF("No"="Yes",P822,1))</f>
        <v/>
      </c>
      <c r="R822" s="11">
        <f>IF(J822="","",IFERROR(VALUE(SUBSTITUTE(SUBSTITUTE(IF(H822="","",H822)&amp;"","$",""),",","")),0)/IF("No"="Yes",P822,1))</f>
        <v/>
      </c>
      <c r="S822" s="11">
        <f>IF(J822="","",O822+Q822-R822)</f>
        <v/>
      </c>
      <c r="T822">
        <f>IF(J822="","",IFERROR(IF(K822="",NA(),MATCH(K822,Products!$B$5:$B$204,0)),IFERROR(MATCH(J822,Products!$A$5:$A$204,0),"")))</f>
        <v/>
      </c>
      <c r="U822">
        <f>IF(J822="","",IF(T822="","⚠ not in Products",INDEX(Products!$A$5:$A$204,T822)))</f>
        <v/>
      </c>
      <c r="V822" s="11">
        <f>IF(J822="","",S822*(IFERROR(INDEX(Settings!$B$5:$B$9,MATCH($B822,Settings!$A$5:$A$9,0)),0)+IFERROR(INDEX(Settings!$E$5:$E$9,MATCH($B822,Settings!$A$5:$A$9,0)),0)+IFERROR(INDEX(Settings!$G$5:$G$9,MATCH($B822,Settings!$A$5:$A$9,0)),0))+(IFERROR(INDEX(Settings!$C$5:$C$9,MATCH($B822,Settings!$A$5:$A$9,0)),0)+IFERROR(INDEX(Settings!$F$5:$F$9,MATCH($B822,Settings!$A$5:$A$9,0)),0))/P822+IFERROR(INDEX(Settings!$D$5:$D$9,MATCH($B822,Settings!$A$5:$A$9,0)),0)*M822)</f>
        <v/>
      </c>
      <c r="W822" s="11">
        <f>IF(J822="","",IF(T822="",0,M822*INDEX(Products!$I$5:$I$204,T822)))</f>
        <v/>
      </c>
      <c r="X822" s="11">
        <f>IF(J822="","",IF(T822="",0,S822*INDEX(Products!$H$5:$H$204,T822)))</f>
        <v/>
      </c>
      <c r="Y822" s="11">
        <f>IF(J822="","",S822-V822-W822-X822)</f>
        <v/>
      </c>
    </row>
    <row r="823">
      <c r="A823" s="19" t="n"/>
      <c r="B823" s="19" t="n"/>
      <c r="C823" s="19" t="n"/>
      <c r="D823" s="19" t="n"/>
      <c r="E823" s="19" t="n"/>
      <c r="F823" s="20" t="n"/>
      <c r="G823" s="20" t="n"/>
      <c r="H823" s="20" t="n"/>
      <c r="I823" s="19" t="n"/>
      <c r="J823">
        <f>IFERROR(IF(C823="","",C823)&amp;"","")</f>
        <v/>
      </c>
      <c r="K823">
        <f>IFERROR(IF(D823="","",D823)&amp;"","")</f>
        <v/>
      </c>
      <c r="L823">
        <f>IFERROR(IF(I823="","",I823)&amp;"","")</f>
        <v/>
      </c>
      <c r="M823">
        <f>IF(J823="","",IFERROR(VALUE(SUBSTITUTE(SUBSTITUTE(IF(E823="","",E823)&amp;"","$",""),",","")),0))</f>
        <v/>
      </c>
      <c r="N823" s="11">
        <f>IF(J823="","",IFERROR(VALUE(SUBSTITUTE(SUBSTITUTE(IF(F823="","",F823)&amp;"","$",""),",","")),0))</f>
        <v/>
      </c>
      <c r="O823" s="11">
        <f>IF(J823="","",M823*N823)</f>
        <v/>
      </c>
      <c r="P823">
        <f>IF(J823="","",IF(L823="",1,COUNTIF($L$2:$L$1501,L823)))</f>
        <v/>
      </c>
      <c r="Q823" s="11">
        <f>IF(J823="","",IFERROR(VALUE(SUBSTITUTE(SUBSTITUTE(IF(G823="","",G823)&amp;"","$",""),",","")),0)/IF("No"="Yes",P823,1))</f>
        <v/>
      </c>
      <c r="R823" s="11">
        <f>IF(J823="","",IFERROR(VALUE(SUBSTITUTE(SUBSTITUTE(IF(H823="","",H823)&amp;"","$",""),",","")),0)/IF("No"="Yes",P823,1))</f>
        <v/>
      </c>
      <c r="S823" s="11">
        <f>IF(J823="","",O823+Q823-R823)</f>
        <v/>
      </c>
      <c r="T823">
        <f>IF(J823="","",IFERROR(IF(K823="",NA(),MATCH(K823,Products!$B$5:$B$204,0)),IFERROR(MATCH(J823,Products!$A$5:$A$204,0),"")))</f>
        <v/>
      </c>
      <c r="U823">
        <f>IF(J823="","",IF(T823="","⚠ not in Products",INDEX(Products!$A$5:$A$204,T823)))</f>
        <v/>
      </c>
      <c r="V823" s="11">
        <f>IF(J823="","",S823*(IFERROR(INDEX(Settings!$B$5:$B$9,MATCH($B823,Settings!$A$5:$A$9,0)),0)+IFERROR(INDEX(Settings!$E$5:$E$9,MATCH($B823,Settings!$A$5:$A$9,0)),0)+IFERROR(INDEX(Settings!$G$5:$G$9,MATCH($B823,Settings!$A$5:$A$9,0)),0))+(IFERROR(INDEX(Settings!$C$5:$C$9,MATCH($B823,Settings!$A$5:$A$9,0)),0)+IFERROR(INDEX(Settings!$F$5:$F$9,MATCH($B823,Settings!$A$5:$A$9,0)),0))/P823+IFERROR(INDEX(Settings!$D$5:$D$9,MATCH($B823,Settings!$A$5:$A$9,0)),0)*M823)</f>
        <v/>
      </c>
      <c r="W823" s="11">
        <f>IF(J823="","",IF(T823="",0,M823*INDEX(Products!$I$5:$I$204,T823)))</f>
        <v/>
      </c>
      <c r="X823" s="11">
        <f>IF(J823="","",IF(T823="",0,S823*INDEX(Products!$H$5:$H$204,T823)))</f>
        <v/>
      </c>
      <c r="Y823" s="11">
        <f>IF(J823="","",S823-V823-W823-X823)</f>
        <v/>
      </c>
    </row>
    <row r="824">
      <c r="A824" s="19" t="n"/>
      <c r="B824" s="19" t="n"/>
      <c r="C824" s="19" t="n"/>
      <c r="D824" s="19" t="n"/>
      <c r="E824" s="19" t="n"/>
      <c r="F824" s="20" t="n"/>
      <c r="G824" s="20" t="n"/>
      <c r="H824" s="20" t="n"/>
      <c r="I824" s="19" t="n"/>
      <c r="J824">
        <f>IFERROR(IF(C824="","",C824)&amp;"","")</f>
        <v/>
      </c>
      <c r="K824">
        <f>IFERROR(IF(D824="","",D824)&amp;"","")</f>
        <v/>
      </c>
      <c r="L824">
        <f>IFERROR(IF(I824="","",I824)&amp;"","")</f>
        <v/>
      </c>
      <c r="M824">
        <f>IF(J824="","",IFERROR(VALUE(SUBSTITUTE(SUBSTITUTE(IF(E824="","",E824)&amp;"","$",""),",","")),0))</f>
        <v/>
      </c>
      <c r="N824" s="11">
        <f>IF(J824="","",IFERROR(VALUE(SUBSTITUTE(SUBSTITUTE(IF(F824="","",F824)&amp;"","$",""),",","")),0))</f>
        <v/>
      </c>
      <c r="O824" s="11">
        <f>IF(J824="","",M824*N824)</f>
        <v/>
      </c>
      <c r="P824">
        <f>IF(J824="","",IF(L824="",1,COUNTIF($L$2:$L$1501,L824)))</f>
        <v/>
      </c>
      <c r="Q824" s="11">
        <f>IF(J824="","",IFERROR(VALUE(SUBSTITUTE(SUBSTITUTE(IF(G824="","",G824)&amp;"","$",""),",","")),0)/IF("No"="Yes",P824,1))</f>
        <v/>
      </c>
      <c r="R824" s="11">
        <f>IF(J824="","",IFERROR(VALUE(SUBSTITUTE(SUBSTITUTE(IF(H824="","",H824)&amp;"","$",""),",","")),0)/IF("No"="Yes",P824,1))</f>
        <v/>
      </c>
      <c r="S824" s="11">
        <f>IF(J824="","",O824+Q824-R824)</f>
        <v/>
      </c>
      <c r="T824">
        <f>IF(J824="","",IFERROR(IF(K824="",NA(),MATCH(K824,Products!$B$5:$B$204,0)),IFERROR(MATCH(J824,Products!$A$5:$A$204,0),"")))</f>
        <v/>
      </c>
      <c r="U824">
        <f>IF(J824="","",IF(T824="","⚠ not in Products",INDEX(Products!$A$5:$A$204,T824)))</f>
        <v/>
      </c>
      <c r="V824" s="11">
        <f>IF(J824="","",S824*(IFERROR(INDEX(Settings!$B$5:$B$9,MATCH($B824,Settings!$A$5:$A$9,0)),0)+IFERROR(INDEX(Settings!$E$5:$E$9,MATCH($B824,Settings!$A$5:$A$9,0)),0)+IFERROR(INDEX(Settings!$G$5:$G$9,MATCH($B824,Settings!$A$5:$A$9,0)),0))+(IFERROR(INDEX(Settings!$C$5:$C$9,MATCH($B824,Settings!$A$5:$A$9,0)),0)+IFERROR(INDEX(Settings!$F$5:$F$9,MATCH($B824,Settings!$A$5:$A$9,0)),0))/P824+IFERROR(INDEX(Settings!$D$5:$D$9,MATCH($B824,Settings!$A$5:$A$9,0)),0)*M824)</f>
        <v/>
      </c>
      <c r="W824" s="11">
        <f>IF(J824="","",IF(T824="",0,M824*INDEX(Products!$I$5:$I$204,T824)))</f>
        <v/>
      </c>
      <c r="X824" s="11">
        <f>IF(J824="","",IF(T824="",0,S824*INDEX(Products!$H$5:$H$204,T824)))</f>
        <v/>
      </c>
      <c r="Y824" s="11">
        <f>IF(J824="","",S824-V824-W824-X824)</f>
        <v/>
      </c>
    </row>
    <row r="825">
      <c r="A825" s="19" t="n"/>
      <c r="B825" s="19" t="n"/>
      <c r="C825" s="19" t="n"/>
      <c r="D825" s="19" t="n"/>
      <c r="E825" s="19" t="n"/>
      <c r="F825" s="20" t="n"/>
      <c r="G825" s="20" t="n"/>
      <c r="H825" s="20" t="n"/>
      <c r="I825" s="19" t="n"/>
      <c r="J825">
        <f>IFERROR(IF(C825="","",C825)&amp;"","")</f>
        <v/>
      </c>
      <c r="K825">
        <f>IFERROR(IF(D825="","",D825)&amp;"","")</f>
        <v/>
      </c>
      <c r="L825">
        <f>IFERROR(IF(I825="","",I825)&amp;"","")</f>
        <v/>
      </c>
      <c r="M825">
        <f>IF(J825="","",IFERROR(VALUE(SUBSTITUTE(SUBSTITUTE(IF(E825="","",E825)&amp;"","$",""),",","")),0))</f>
        <v/>
      </c>
      <c r="N825" s="11">
        <f>IF(J825="","",IFERROR(VALUE(SUBSTITUTE(SUBSTITUTE(IF(F825="","",F825)&amp;"","$",""),",","")),0))</f>
        <v/>
      </c>
      <c r="O825" s="11">
        <f>IF(J825="","",M825*N825)</f>
        <v/>
      </c>
      <c r="P825">
        <f>IF(J825="","",IF(L825="",1,COUNTIF($L$2:$L$1501,L825)))</f>
        <v/>
      </c>
      <c r="Q825" s="11">
        <f>IF(J825="","",IFERROR(VALUE(SUBSTITUTE(SUBSTITUTE(IF(G825="","",G825)&amp;"","$",""),",","")),0)/IF("No"="Yes",P825,1))</f>
        <v/>
      </c>
      <c r="R825" s="11">
        <f>IF(J825="","",IFERROR(VALUE(SUBSTITUTE(SUBSTITUTE(IF(H825="","",H825)&amp;"","$",""),",","")),0)/IF("No"="Yes",P825,1))</f>
        <v/>
      </c>
      <c r="S825" s="11">
        <f>IF(J825="","",O825+Q825-R825)</f>
        <v/>
      </c>
      <c r="T825">
        <f>IF(J825="","",IFERROR(IF(K825="",NA(),MATCH(K825,Products!$B$5:$B$204,0)),IFERROR(MATCH(J825,Products!$A$5:$A$204,0),"")))</f>
        <v/>
      </c>
      <c r="U825">
        <f>IF(J825="","",IF(T825="","⚠ not in Products",INDEX(Products!$A$5:$A$204,T825)))</f>
        <v/>
      </c>
      <c r="V825" s="11">
        <f>IF(J825="","",S825*(IFERROR(INDEX(Settings!$B$5:$B$9,MATCH($B825,Settings!$A$5:$A$9,0)),0)+IFERROR(INDEX(Settings!$E$5:$E$9,MATCH($B825,Settings!$A$5:$A$9,0)),0)+IFERROR(INDEX(Settings!$G$5:$G$9,MATCH($B825,Settings!$A$5:$A$9,0)),0))+(IFERROR(INDEX(Settings!$C$5:$C$9,MATCH($B825,Settings!$A$5:$A$9,0)),0)+IFERROR(INDEX(Settings!$F$5:$F$9,MATCH($B825,Settings!$A$5:$A$9,0)),0))/P825+IFERROR(INDEX(Settings!$D$5:$D$9,MATCH($B825,Settings!$A$5:$A$9,0)),0)*M825)</f>
        <v/>
      </c>
      <c r="W825" s="11">
        <f>IF(J825="","",IF(T825="",0,M825*INDEX(Products!$I$5:$I$204,T825)))</f>
        <v/>
      </c>
      <c r="X825" s="11">
        <f>IF(J825="","",IF(T825="",0,S825*INDEX(Products!$H$5:$H$204,T825)))</f>
        <v/>
      </c>
      <c r="Y825" s="11">
        <f>IF(J825="","",S825-V825-W825-X825)</f>
        <v/>
      </c>
    </row>
    <row r="826">
      <c r="A826" s="19" t="n"/>
      <c r="B826" s="19" t="n"/>
      <c r="C826" s="19" t="n"/>
      <c r="D826" s="19" t="n"/>
      <c r="E826" s="19" t="n"/>
      <c r="F826" s="20" t="n"/>
      <c r="G826" s="20" t="n"/>
      <c r="H826" s="20" t="n"/>
      <c r="I826" s="19" t="n"/>
      <c r="J826">
        <f>IFERROR(IF(C826="","",C826)&amp;"","")</f>
        <v/>
      </c>
      <c r="K826">
        <f>IFERROR(IF(D826="","",D826)&amp;"","")</f>
        <v/>
      </c>
      <c r="L826">
        <f>IFERROR(IF(I826="","",I826)&amp;"","")</f>
        <v/>
      </c>
      <c r="M826">
        <f>IF(J826="","",IFERROR(VALUE(SUBSTITUTE(SUBSTITUTE(IF(E826="","",E826)&amp;"","$",""),",","")),0))</f>
        <v/>
      </c>
      <c r="N826" s="11">
        <f>IF(J826="","",IFERROR(VALUE(SUBSTITUTE(SUBSTITUTE(IF(F826="","",F826)&amp;"","$",""),",","")),0))</f>
        <v/>
      </c>
      <c r="O826" s="11">
        <f>IF(J826="","",M826*N826)</f>
        <v/>
      </c>
      <c r="P826">
        <f>IF(J826="","",IF(L826="",1,COUNTIF($L$2:$L$1501,L826)))</f>
        <v/>
      </c>
      <c r="Q826" s="11">
        <f>IF(J826="","",IFERROR(VALUE(SUBSTITUTE(SUBSTITUTE(IF(G826="","",G826)&amp;"","$",""),",","")),0)/IF("No"="Yes",P826,1))</f>
        <v/>
      </c>
      <c r="R826" s="11">
        <f>IF(J826="","",IFERROR(VALUE(SUBSTITUTE(SUBSTITUTE(IF(H826="","",H826)&amp;"","$",""),",","")),0)/IF("No"="Yes",P826,1))</f>
        <v/>
      </c>
      <c r="S826" s="11">
        <f>IF(J826="","",O826+Q826-R826)</f>
        <v/>
      </c>
      <c r="T826">
        <f>IF(J826="","",IFERROR(IF(K826="",NA(),MATCH(K826,Products!$B$5:$B$204,0)),IFERROR(MATCH(J826,Products!$A$5:$A$204,0),"")))</f>
        <v/>
      </c>
      <c r="U826">
        <f>IF(J826="","",IF(T826="","⚠ not in Products",INDEX(Products!$A$5:$A$204,T826)))</f>
        <v/>
      </c>
      <c r="V826" s="11">
        <f>IF(J826="","",S826*(IFERROR(INDEX(Settings!$B$5:$B$9,MATCH($B826,Settings!$A$5:$A$9,0)),0)+IFERROR(INDEX(Settings!$E$5:$E$9,MATCH($B826,Settings!$A$5:$A$9,0)),0)+IFERROR(INDEX(Settings!$G$5:$G$9,MATCH($B826,Settings!$A$5:$A$9,0)),0))+(IFERROR(INDEX(Settings!$C$5:$C$9,MATCH($B826,Settings!$A$5:$A$9,0)),0)+IFERROR(INDEX(Settings!$F$5:$F$9,MATCH($B826,Settings!$A$5:$A$9,0)),0))/P826+IFERROR(INDEX(Settings!$D$5:$D$9,MATCH($B826,Settings!$A$5:$A$9,0)),0)*M826)</f>
        <v/>
      </c>
      <c r="W826" s="11">
        <f>IF(J826="","",IF(T826="",0,M826*INDEX(Products!$I$5:$I$204,T826)))</f>
        <v/>
      </c>
      <c r="X826" s="11">
        <f>IF(J826="","",IF(T826="",0,S826*INDEX(Products!$H$5:$H$204,T826)))</f>
        <v/>
      </c>
      <c r="Y826" s="11">
        <f>IF(J826="","",S826-V826-W826-X826)</f>
        <v/>
      </c>
    </row>
    <row r="827">
      <c r="A827" s="19" t="n"/>
      <c r="B827" s="19" t="n"/>
      <c r="C827" s="19" t="n"/>
      <c r="D827" s="19" t="n"/>
      <c r="E827" s="19" t="n"/>
      <c r="F827" s="20" t="n"/>
      <c r="G827" s="20" t="n"/>
      <c r="H827" s="20" t="n"/>
      <c r="I827" s="19" t="n"/>
      <c r="J827">
        <f>IFERROR(IF(C827="","",C827)&amp;"","")</f>
        <v/>
      </c>
      <c r="K827">
        <f>IFERROR(IF(D827="","",D827)&amp;"","")</f>
        <v/>
      </c>
      <c r="L827">
        <f>IFERROR(IF(I827="","",I827)&amp;"","")</f>
        <v/>
      </c>
      <c r="M827">
        <f>IF(J827="","",IFERROR(VALUE(SUBSTITUTE(SUBSTITUTE(IF(E827="","",E827)&amp;"","$",""),",","")),0))</f>
        <v/>
      </c>
      <c r="N827" s="11">
        <f>IF(J827="","",IFERROR(VALUE(SUBSTITUTE(SUBSTITUTE(IF(F827="","",F827)&amp;"","$",""),",","")),0))</f>
        <v/>
      </c>
      <c r="O827" s="11">
        <f>IF(J827="","",M827*N827)</f>
        <v/>
      </c>
      <c r="P827">
        <f>IF(J827="","",IF(L827="",1,COUNTIF($L$2:$L$1501,L827)))</f>
        <v/>
      </c>
      <c r="Q827" s="11">
        <f>IF(J827="","",IFERROR(VALUE(SUBSTITUTE(SUBSTITUTE(IF(G827="","",G827)&amp;"","$",""),",","")),0)/IF("No"="Yes",P827,1))</f>
        <v/>
      </c>
      <c r="R827" s="11">
        <f>IF(J827="","",IFERROR(VALUE(SUBSTITUTE(SUBSTITUTE(IF(H827="","",H827)&amp;"","$",""),",","")),0)/IF("No"="Yes",P827,1))</f>
        <v/>
      </c>
      <c r="S827" s="11">
        <f>IF(J827="","",O827+Q827-R827)</f>
        <v/>
      </c>
      <c r="T827">
        <f>IF(J827="","",IFERROR(IF(K827="",NA(),MATCH(K827,Products!$B$5:$B$204,0)),IFERROR(MATCH(J827,Products!$A$5:$A$204,0),"")))</f>
        <v/>
      </c>
      <c r="U827">
        <f>IF(J827="","",IF(T827="","⚠ not in Products",INDEX(Products!$A$5:$A$204,T827)))</f>
        <v/>
      </c>
      <c r="V827" s="11">
        <f>IF(J827="","",S827*(IFERROR(INDEX(Settings!$B$5:$B$9,MATCH($B827,Settings!$A$5:$A$9,0)),0)+IFERROR(INDEX(Settings!$E$5:$E$9,MATCH($B827,Settings!$A$5:$A$9,0)),0)+IFERROR(INDEX(Settings!$G$5:$G$9,MATCH($B827,Settings!$A$5:$A$9,0)),0))+(IFERROR(INDEX(Settings!$C$5:$C$9,MATCH($B827,Settings!$A$5:$A$9,0)),0)+IFERROR(INDEX(Settings!$F$5:$F$9,MATCH($B827,Settings!$A$5:$A$9,0)),0))/P827+IFERROR(INDEX(Settings!$D$5:$D$9,MATCH($B827,Settings!$A$5:$A$9,0)),0)*M827)</f>
        <v/>
      </c>
      <c r="W827" s="11">
        <f>IF(J827="","",IF(T827="",0,M827*INDEX(Products!$I$5:$I$204,T827)))</f>
        <v/>
      </c>
      <c r="X827" s="11">
        <f>IF(J827="","",IF(T827="",0,S827*INDEX(Products!$H$5:$H$204,T827)))</f>
        <v/>
      </c>
      <c r="Y827" s="11">
        <f>IF(J827="","",S827-V827-W827-X827)</f>
        <v/>
      </c>
    </row>
    <row r="828">
      <c r="A828" s="19" t="n"/>
      <c r="B828" s="19" t="n"/>
      <c r="C828" s="19" t="n"/>
      <c r="D828" s="19" t="n"/>
      <c r="E828" s="19" t="n"/>
      <c r="F828" s="20" t="n"/>
      <c r="G828" s="20" t="n"/>
      <c r="H828" s="20" t="n"/>
      <c r="I828" s="19" t="n"/>
      <c r="J828">
        <f>IFERROR(IF(C828="","",C828)&amp;"","")</f>
        <v/>
      </c>
      <c r="K828">
        <f>IFERROR(IF(D828="","",D828)&amp;"","")</f>
        <v/>
      </c>
      <c r="L828">
        <f>IFERROR(IF(I828="","",I828)&amp;"","")</f>
        <v/>
      </c>
      <c r="M828">
        <f>IF(J828="","",IFERROR(VALUE(SUBSTITUTE(SUBSTITUTE(IF(E828="","",E828)&amp;"","$",""),",","")),0))</f>
        <v/>
      </c>
      <c r="N828" s="11">
        <f>IF(J828="","",IFERROR(VALUE(SUBSTITUTE(SUBSTITUTE(IF(F828="","",F828)&amp;"","$",""),",","")),0))</f>
        <v/>
      </c>
      <c r="O828" s="11">
        <f>IF(J828="","",M828*N828)</f>
        <v/>
      </c>
      <c r="P828">
        <f>IF(J828="","",IF(L828="",1,COUNTIF($L$2:$L$1501,L828)))</f>
        <v/>
      </c>
      <c r="Q828" s="11">
        <f>IF(J828="","",IFERROR(VALUE(SUBSTITUTE(SUBSTITUTE(IF(G828="","",G828)&amp;"","$",""),",","")),0)/IF("No"="Yes",P828,1))</f>
        <v/>
      </c>
      <c r="R828" s="11">
        <f>IF(J828="","",IFERROR(VALUE(SUBSTITUTE(SUBSTITUTE(IF(H828="","",H828)&amp;"","$",""),",","")),0)/IF("No"="Yes",P828,1))</f>
        <v/>
      </c>
      <c r="S828" s="11">
        <f>IF(J828="","",O828+Q828-R828)</f>
        <v/>
      </c>
      <c r="T828">
        <f>IF(J828="","",IFERROR(IF(K828="",NA(),MATCH(K828,Products!$B$5:$B$204,0)),IFERROR(MATCH(J828,Products!$A$5:$A$204,0),"")))</f>
        <v/>
      </c>
      <c r="U828">
        <f>IF(J828="","",IF(T828="","⚠ not in Products",INDEX(Products!$A$5:$A$204,T828)))</f>
        <v/>
      </c>
      <c r="V828" s="11">
        <f>IF(J828="","",S828*(IFERROR(INDEX(Settings!$B$5:$B$9,MATCH($B828,Settings!$A$5:$A$9,0)),0)+IFERROR(INDEX(Settings!$E$5:$E$9,MATCH($B828,Settings!$A$5:$A$9,0)),0)+IFERROR(INDEX(Settings!$G$5:$G$9,MATCH($B828,Settings!$A$5:$A$9,0)),0))+(IFERROR(INDEX(Settings!$C$5:$C$9,MATCH($B828,Settings!$A$5:$A$9,0)),0)+IFERROR(INDEX(Settings!$F$5:$F$9,MATCH($B828,Settings!$A$5:$A$9,0)),0))/P828+IFERROR(INDEX(Settings!$D$5:$D$9,MATCH($B828,Settings!$A$5:$A$9,0)),0)*M828)</f>
        <v/>
      </c>
      <c r="W828" s="11">
        <f>IF(J828="","",IF(T828="",0,M828*INDEX(Products!$I$5:$I$204,T828)))</f>
        <v/>
      </c>
      <c r="X828" s="11">
        <f>IF(J828="","",IF(T828="",0,S828*INDEX(Products!$H$5:$H$204,T828)))</f>
        <v/>
      </c>
      <c r="Y828" s="11">
        <f>IF(J828="","",S828-V828-W828-X828)</f>
        <v/>
      </c>
    </row>
    <row r="829">
      <c r="A829" s="19" t="n"/>
      <c r="B829" s="19" t="n"/>
      <c r="C829" s="19" t="n"/>
      <c r="D829" s="19" t="n"/>
      <c r="E829" s="19" t="n"/>
      <c r="F829" s="20" t="n"/>
      <c r="G829" s="20" t="n"/>
      <c r="H829" s="20" t="n"/>
      <c r="I829" s="19" t="n"/>
      <c r="J829">
        <f>IFERROR(IF(C829="","",C829)&amp;"","")</f>
        <v/>
      </c>
      <c r="K829">
        <f>IFERROR(IF(D829="","",D829)&amp;"","")</f>
        <v/>
      </c>
      <c r="L829">
        <f>IFERROR(IF(I829="","",I829)&amp;"","")</f>
        <v/>
      </c>
      <c r="M829">
        <f>IF(J829="","",IFERROR(VALUE(SUBSTITUTE(SUBSTITUTE(IF(E829="","",E829)&amp;"","$",""),",","")),0))</f>
        <v/>
      </c>
      <c r="N829" s="11">
        <f>IF(J829="","",IFERROR(VALUE(SUBSTITUTE(SUBSTITUTE(IF(F829="","",F829)&amp;"","$",""),",","")),0))</f>
        <v/>
      </c>
      <c r="O829" s="11">
        <f>IF(J829="","",M829*N829)</f>
        <v/>
      </c>
      <c r="P829">
        <f>IF(J829="","",IF(L829="",1,COUNTIF($L$2:$L$1501,L829)))</f>
        <v/>
      </c>
      <c r="Q829" s="11">
        <f>IF(J829="","",IFERROR(VALUE(SUBSTITUTE(SUBSTITUTE(IF(G829="","",G829)&amp;"","$",""),",","")),0)/IF("No"="Yes",P829,1))</f>
        <v/>
      </c>
      <c r="R829" s="11">
        <f>IF(J829="","",IFERROR(VALUE(SUBSTITUTE(SUBSTITUTE(IF(H829="","",H829)&amp;"","$",""),",","")),0)/IF("No"="Yes",P829,1))</f>
        <v/>
      </c>
      <c r="S829" s="11">
        <f>IF(J829="","",O829+Q829-R829)</f>
        <v/>
      </c>
      <c r="T829">
        <f>IF(J829="","",IFERROR(IF(K829="",NA(),MATCH(K829,Products!$B$5:$B$204,0)),IFERROR(MATCH(J829,Products!$A$5:$A$204,0),"")))</f>
        <v/>
      </c>
      <c r="U829">
        <f>IF(J829="","",IF(T829="","⚠ not in Products",INDEX(Products!$A$5:$A$204,T829)))</f>
        <v/>
      </c>
      <c r="V829" s="11">
        <f>IF(J829="","",S829*(IFERROR(INDEX(Settings!$B$5:$B$9,MATCH($B829,Settings!$A$5:$A$9,0)),0)+IFERROR(INDEX(Settings!$E$5:$E$9,MATCH($B829,Settings!$A$5:$A$9,0)),0)+IFERROR(INDEX(Settings!$G$5:$G$9,MATCH($B829,Settings!$A$5:$A$9,0)),0))+(IFERROR(INDEX(Settings!$C$5:$C$9,MATCH($B829,Settings!$A$5:$A$9,0)),0)+IFERROR(INDEX(Settings!$F$5:$F$9,MATCH($B829,Settings!$A$5:$A$9,0)),0))/P829+IFERROR(INDEX(Settings!$D$5:$D$9,MATCH($B829,Settings!$A$5:$A$9,0)),0)*M829)</f>
        <v/>
      </c>
      <c r="W829" s="11">
        <f>IF(J829="","",IF(T829="",0,M829*INDEX(Products!$I$5:$I$204,T829)))</f>
        <v/>
      </c>
      <c r="X829" s="11">
        <f>IF(J829="","",IF(T829="",0,S829*INDEX(Products!$H$5:$H$204,T829)))</f>
        <v/>
      </c>
      <c r="Y829" s="11">
        <f>IF(J829="","",S829-V829-W829-X829)</f>
        <v/>
      </c>
    </row>
    <row r="830">
      <c r="A830" s="19" t="n"/>
      <c r="B830" s="19" t="n"/>
      <c r="C830" s="19" t="n"/>
      <c r="D830" s="19" t="n"/>
      <c r="E830" s="19" t="n"/>
      <c r="F830" s="20" t="n"/>
      <c r="G830" s="20" t="n"/>
      <c r="H830" s="20" t="n"/>
      <c r="I830" s="19" t="n"/>
      <c r="J830">
        <f>IFERROR(IF(C830="","",C830)&amp;"","")</f>
        <v/>
      </c>
      <c r="K830">
        <f>IFERROR(IF(D830="","",D830)&amp;"","")</f>
        <v/>
      </c>
      <c r="L830">
        <f>IFERROR(IF(I830="","",I830)&amp;"","")</f>
        <v/>
      </c>
      <c r="M830">
        <f>IF(J830="","",IFERROR(VALUE(SUBSTITUTE(SUBSTITUTE(IF(E830="","",E830)&amp;"","$",""),",","")),0))</f>
        <v/>
      </c>
      <c r="N830" s="11">
        <f>IF(J830="","",IFERROR(VALUE(SUBSTITUTE(SUBSTITUTE(IF(F830="","",F830)&amp;"","$",""),",","")),0))</f>
        <v/>
      </c>
      <c r="O830" s="11">
        <f>IF(J830="","",M830*N830)</f>
        <v/>
      </c>
      <c r="P830">
        <f>IF(J830="","",IF(L830="",1,COUNTIF($L$2:$L$1501,L830)))</f>
        <v/>
      </c>
      <c r="Q830" s="11">
        <f>IF(J830="","",IFERROR(VALUE(SUBSTITUTE(SUBSTITUTE(IF(G830="","",G830)&amp;"","$",""),",","")),0)/IF("No"="Yes",P830,1))</f>
        <v/>
      </c>
      <c r="R830" s="11">
        <f>IF(J830="","",IFERROR(VALUE(SUBSTITUTE(SUBSTITUTE(IF(H830="","",H830)&amp;"","$",""),",","")),0)/IF("No"="Yes",P830,1))</f>
        <v/>
      </c>
      <c r="S830" s="11">
        <f>IF(J830="","",O830+Q830-R830)</f>
        <v/>
      </c>
      <c r="T830">
        <f>IF(J830="","",IFERROR(IF(K830="",NA(),MATCH(K830,Products!$B$5:$B$204,0)),IFERROR(MATCH(J830,Products!$A$5:$A$204,0),"")))</f>
        <v/>
      </c>
      <c r="U830">
        <f>IF(J830="","",IF(T830="","⚠ not in Products",INDEX(Products!$A$5:$A$204,T830)))</f>
        <v/>
      </c>
      <c r="V830" s="11">
        <f>IF(J830="","",S830*(IFERROR(INDEX(Settings!$B$5:$B$9,MATCH($B830,Settings!$A$5:$A$9,0)),0)+IFERROR(INDEX(Settings!$E$5:$E$9,MATCH($B830,Settings!$A$5:$A$9,0)),0)+IFERROR(INDEX(Settings!$G$5:$G$9,MATCH($B830,Settings!$A$5:$A$9,0)),0))+(IFERROR(INDEX(Settings!$C$5:$C$9,MATCH($B830,Settings!$A$5:$A$9,0)),0)+IFERROR(INDEX(Settings!$F$5:$F$9,MATCH($B830,Settings!$A$5:$A$9,0)),0))/P830+IFERROR(INDEX(Settings!$D$5:$D$9,MATCH($B830,Settings!$A$5:$A$9,0)),0)*M830)</f>
        <v/>
      </c>
      <c r="W830" s="11">
        <f>IF(J830="","",IF(T830="",0,M830*INDEX(Products!$I$5:$I$204,T830)))</f>
        <v/>
      </c>
      <c r="X830" s="11">
        <f>IF(J830="","",IF(T830="",0,S830*INDEX(Products!$H$5:$H$204,T830)))</f>
        <v/>
      </c>
      <c r="Y830" s="11">
        <f>IF(J830="","",S830-V830-W830-X830)</f>
        <v/>
      </c>
    </row>
    <row r="831">
      <c r="A831" s="19" t="n"/>
      <c r="B831" s="19" t="n"/>
      <c r="C831" s="19" t="n"/>
      <c r="D831" s="19" t="n"/>
      <c r="E831" s="19" t="n"/>
      <c r="F831" s="20" t="n"/>
      <c r="G831" s="20" t="n"/>
      <c r="H831" s="20" t="n"/>
      <c r="I831" s="19" t="n"/>
      <c r="J831">
        <f>IFERROR(IF(C831="","",C831)&amp;"","")</f>
        <v/>
      </c>
      <c r="K831">
        <f>IFERROR(IF(D831="","",D831)&amp;"","")</f>
        <v/>
      </c>
      <c r="L831">
        <f>IFERROR(IF(I831="","",I831)&amp;"","")</f>
        <v/>
      </c>
      <c r="M831">
        <f>IF(J831="","",IFERROR(VALUE(SUBSTITUTE(SUBSTITUTE(IF(E831="","",E831)&amp;"","$",""),",","")),0))</f>
        <v/>
      </c>
      <c r="N831" s="11">
        <f>IF(J831="","",IFERROR(VALUE(SUBSTITUTE(SUBSTITUTE(IF(F831="","",F831)&amp;"","$",""),",","")),0))</f>
        <v/>
      </c>
      <c r="O831" s="11">
        <f>IF(J831="","",M831*N831)</f>
        <v/>
      </c>
      <c r="P831">
        <f>IF(J831="","",IF(L831="",1,COUNTIF($L$2:$L$1501,L831)))</f>
        <v/>
      </c>
      <c r="Q831" s="11">
        <f>IF(J831="","",IFERROR(VALUE(SUBSTITUTE(SUBSTITUTE(IF(G831="","",G831)&amp;"","$",""),",","")),0)/IF("No"="Yes",P831,1))</f>
        <v/>
      </c>
      <c r="R831" s="11">
        <f>IF(J831="","",IFERROR(VALUE(SUBSTITUTE(SUBSTITUTE(IF(H831="","",H831)&amp;"","$",""),",","")),0)/IF("No"="Yes",P831,1))</f>
        <v/>
      </c>
      <c r="S831" s="11">
        <f>IF(J831="","",O831+Q831-R831)</f>
        <v/>
      </c>
      <c r="T831">
        <f>IF(J831="","",IFERROR(IF(K831="",NA(),MATCH(K831,Products!$B$5:$B$204,0)),IFERROR(MATCH(J831,Products!$A$5:$A$204,0),"")))</f>
        <v/>
      </c>
      <c r="U831">
        <f>IF(J831="","",IF(T831="","⚠ not in Products",INDEX(Products!$A$5:$A$204,T831)))</f>
        <v/>
      </c>
      <c r="V831" s="11">
        <f>IF(J831="","",S831*(IFERROR(INDEX(Settings!$B$5:$B$9,MATCH($B831,Settings!$A$5:$A$9,0)),0)+IFERROR(INDEX(Settings!$E$5:$E$9,MATCH($B831,Settings!$A$5:$A$9,0)),0)+IFERROR(INDEX(Settings!$G$5:$G$9,MATCH($B831,Settings!$A$5:$A$9,0)),0))+(IFERROR(INDEX(Settings!$C$5:$C$9,MATCH($B831,Settings!$A$5:$A$9,0)),0)+IFERROR(INDEX(Settings!$F$5:$F$9,MATCH($B831,Settings!$A$5:$A$9,0)),0))/P831+IFERROR(INDEX(Settings!$D$5:$D$9,MATCH($B831,Settings!$A$5:$A$9,0)),0)*M831)</f>
        <v/>
      </c>
      <c r="W831" s="11">
        <f>IF(J831="","",IF(T831="",0,M831*INDEX(Products!$I$5:$I$204,T831)))</f>
        <v/>
      </c>
      <c r="X831" s="11">
        <f>IF(J831="","",IF(T831="",0,S831*INDEX(Products!$H$5:$H$204,T831)))</f>
        <v/>
      </c>
      <c r="Y831" s="11">
        <f>IF(J831="","",S831-V831-W831-X831)</f>
        <v/>
      </c>
    </row>
    <row r="832">
      <c r="A832" s="19" t="n"/>
      <c r="B832" s="19" t="n"/>
      <c r="C832" s="19" t="n"/>
      <c r="D832" s="19" t="n"/>
      <c r="E832" s="19" t="n"/>
      <c r="F832" s="20" t="n"/>
      <c r="G832" s="20" t="n"/>
      <c r="H832" s="20" t="n"/>
      <c r="I832" s="19" t="n"/>
      <c r="J832">
        <f>IFERROR(IF(C832="","",C832)&amp;"","")</f>
        <v/>
      </c>
      <c r="K832">
        <f>IFERROR(IF(D832="","",D832)&amp;"","")</f>
        <v/>
      </c>
      <c r="L832">
        <f>IFERROR(IF(I832="","",I832)&amp;"","")</f>
        <v/>
      </c>
      <c r="M832">
        <f>IF(J832="","",IFERROR(VALUE(SUBSTITUTE(SUBSTITUTE(IF(E832="","",E832)&amp;"","$",""),",","")),0))</f>
        <v/>
      </c>
      <c r="N832" s="11">
        <f>IF(J832="","",IFERROR(VALUE(SUBSTITUTE(SUBSTITUTE(IF(F832="","",F832)&amp;"","$",""),",","")),0))</f>
        <v/>
      </c>
      <c r="O832" s="11">
        <f>IF(J832="","",M832*N832)</f>
        <v/>
      </c>
      <c r="P832">
        <f>IF(J832="","",IF(L832="",1,COUNTIF($L$2:$L$1501,L832)))</f>
        <v/>
      </c>
      <c r="Q832" s="11">
        <f>IF(J832="","",IFERROR(VALUE(SUBSTITUTE(SUBSTITUTE(IF(G832="","",G832)&amp;"","$",""),",","")),0)/IF("No"="Yes",P832,1))</f>
        <v/>
      </c>
      <c r="R832" s="11">
        <f>IF(J832="","",IFERROR(VALUE(SUBSTITUTE(SUBSTITUTE(IF(H832="","",H832)&amp;"","$",""),",","")),0)/IF("No"="Yes",P832,1))</f>
        <v/>
      </c>
      <c r="S832" s="11">
        <f>IF(J832="","",O832+Q832-R832)</f>
        <v/>
      </c>
      <c r="T832">
        <f>IF(J832="","",IFERROR(IF(K832="",NA(),MATCH(K832,Products!$B$5:$B$204,0)),IFERROR(MATCH(J832,Products!$A$5:$A$204,0),"")))</f>
        <v/>
      </c>
      <c r="U832">
        <f>IF(J832="","",IF(T832="","⚠ not in Products",INDEX(Products!$A$5:$A$204,T832)))</f>
        <v/>
      </c>
      <c r="V832" s="11">
        <f>IF(J832="","",S832*(IFERROR(INDEX(Settings!$B$5:$B$9,MATCH($B832,Settings!$A$5:$A$9,0)),0)+IFERROR(INDEX(Settings!$E$5:$E$9,MATCH($B832,Settings!$A$5:$A$9,0)),0)+IFERROR(INDEX(Settings!$G$5:$G$9,MATCH($B832,Settings!$A$5:$A$9,0)),0))+(IFERROR(INDEX(Settings!$C$5:$C$9,MATCH($B832,Settings!$A$5:$A$9,0)),0)+IFERROR(INDEX(Settings!$F$5:$F$9,MATCH($B832,Settings!$A$5:$A$9,0)),0))/P832+IFERROR(INDEX(Settings!$D$5:$D$9,MATCH($B832,Settings!$A$5:$A$9,0)),0)*M832)</f>
        <v/>
      </c>
      <c r="W832" s="11">
        <f>IF(J832="","",IF(T832="",0,M832*INDEX(Products!$I$5:$I$204,T832)))</f>
        <v/>
      </c>
      <c r="X832" s="11">
        <f>IF(J832="","",IF(T832="",0,S832*INDEX(Products!$H$5:$H$204,T832)))</f>
        <v/>
      </c>
      <c r="Y832" s="11">
        <f>IF(J832="","",S832-V832-W832-X832)</f>
        <v/>
      </c>
    </row>
    <row r="833">
      <c r="A833" s="19" t="n"/>
      <c r="B833" s="19" t="n"/>
      <c r="C833" s="19" t="n"/>
      <c r="D833" s="19" t="n"/>
      <c r="E833" s="19" t="n"/>
      <c r="F833" s="20" t="n"/>
      <c r="G833" s="20" t="n"/>
      <c r="H833" s="20" t="n"/>
      <c r="I833" s="19" t="n"/>
      <c r="J833">
        <f>IFERROR(IF(C833="","",C833)&amp;"","")</f>
        <v/>
      </c>
      <c r="K833">
        <f>IFERROR(IF(D833="","",D833)&amp;"","")</f>
        <v/>
      </c>
      <c r="L833">
        <f>IFERROR(IF(I833="","",I833)&amp;"","")</f>
        <v/>
      </c>
      <c r="M833">
        <f>IF(J833="","",IFERROR(VALUE(SUBSTITUTE(SUBSTITUTE(IF(E833="","",E833)&amp;"","$",""),",","")),0))</f>
        <v/>
      </c>
      <c r="N833" s="11">
        <f>IF(J833="","",IFERROR(VALUE(SUBSTITUTE(SUBSTITUTE(IF(F833="","",F833)&amp;"","$",""),",","")),0))</f>
        <v/>
      </c>
      <c r="O833" s="11">
        <f>IF(J833="","",M833*N833)</f>
        <v/>
      </c>
      <c r="P833">
        <f>IF(J833="","",IF(L833="",1,COUNTIF($L$2:$L$1501,L833)))</f>
        <v/>
      </c>
      <c r="Q833" s="11">
        <f>IF(J833="","",IFERROR(VALUE(SUBSTITUTE(SUBSTITUTE(IF(G833="","",G833)&amp;"","$",""),",","")),0)/IF("No"="Yes",P833,1))</f>
        <v/>
      </c>
      <c r="R833" s="11">
        <f>IF(J833="","",IFERROR(VALUE(SUBSTITUTE(SUBSTITUTE(IF(H833="","",H833)&amp;"","$",""),",","")),0)/IF("No"="Yes",P833,1))</f>
        <v/>
      </c>
      <c r="S833" s="11">
        <f>IF(J833="","",O833+Q833-R833)</f>
        <v/>
      </c>
      <c r="T833">
        <f>IF(J833="","",IFERROR(IF(K833="",NA(),MATCH(K833,Products!$B$5:$B$204,0)),IFERROR(MATCH(J833,Products!$A$5:$A$204,0),"")))</f>
        <v/>
      </c>
      <c r="U833">
        <f>IF(J833="","",IF(T833="","⚠ not in Products",INDEX(Products!$A$5:$A$204,T833)))</f>
        <v/>
      </c>
      <c r="V833" s="11">
        <f>IF(J833="","",S833*(IFERROR(INDEX(Settings!$B$5:$B$9,MATCH($B833,Settings!$A$5:$A$9,0)),0)+IFERROR(INDEX(Settings!$E$5:$E$9,MATCH($B833,Settings!$A$5:$A$9,0)),0)+IFERROR(INDEX(Settings!$G$5:$G$9,MATCH($B833,Settings!$A$5:$A$9,0)),0))+(IFERROR(INDEX(Settings!$C$5:$C$9,MATCH($B833,Settings!$A$5:$A$9,0)),0)+IFERROR(INDEX(Settings!$F$5:$F$9,MATCH($B833,Settings!$A$5:$A$9,0)),0))/P833+IFERROR(INDEX(Settings!$D$5:$D$9,MATCH($B833,Settings!$A$5:$A$9,0)),0)*M833)</f>
        <v/>
      </c>
      <c r="W833" s="11">
        <f>IF(J833="","",IF(T833="",0,M833*INDEX(Products!$I$5:$I$204,T833)))</f>
        <v/>
      </c>
      <c r="X833" s="11">
        <f>IF(J833="","",IF(T833="",0,S833*INDEX(Products!$H$5:$H$204,T833)))</f>
        <v/>
      </c>
      <c r="Y833" s="11">
        <f>IF(J833="","",S833-V833-W833-X833)</f>
        <v/>
      </c>
    </row>
    <row r="834">
      <c r="A834" s="19" t="n"/>
      <c r="B834" s="19" t="n"/>
      <c r="C834" s="19" t="n"/>
      <c r="D834" s="19" t="n"/>
      <c r="E834" s="19" t="n"/>
      <c r="F834" s="20" t="n"/>
      <c r="G834" s="20" t="n"/>
      <c r="H834" s="20" t="n"/>
      <c r="I834" s="19" t="n"/>
      <c r="J834">
        <f>IFERROR(IF(C834="","",C834)&amp;"","")</f>
        <v/>
      </c>
      <c r="K834">
        <f>IFERROR(IF(D834="","",D834)&amp;"","")</f>
        <v/>
      </c>
      <c r="L834">
        <f>IFERROR(IF(I834="","",I834)&amp;"","")</f>
        <v/>
      </c>
      <c r="M834">
        <f>IF(J834="","",IFERROR(VALUE(SUBSTITUTE(SUBSTITUTE(IF(E834="","",E834)&amp;"","$",""),",","")),0))</f>
        <v/>
      </c>
      <c r="N834" s="11">
        <f>IF(J834="","",IFERROR(VALUE(SUBSTITUTE(SUBSTITUTE(IF(F834="","",F834)&amp;"","$",""),",","")),0))</f>
        <v/>
      </c>
      <c r="O834" s="11">
        <f>IF(J834="","",M834*N834)</f>
        <v/>
      </c>
      <c r="P834">
        <f>IF(J834="","",IF(L834="",1,COUNTIF($L$2:$L$1501,L834)))</f>
        <v/>
      </c>
      <c r="Q834" s="11">
        <f>IF(J834="","",IFERROR(VALUE(SUBSTITUTE(SUBSTITUTE(IF(G834="","",G834)&amp;"","$",""),",","")),0)/IF("No"="Yes",P834,1))</f>
        <v/>
      </c>
      <c r="R834" s="11">
        <f>IF(J834="","",IFERROR(VALUE(SUBSTITUTE(SUBSTITUTE(IF(H834="","",H834)&amp;"","$",""),",","")),0)/IF("No"="Yes",P834,1))</f>
        <v/>
      </c>
      <c r="S834" s="11">
        <f>IF(J834="","",O834+Q834-R834)</f>
        <v/>
      </c>
      <c r="T834">
        <f>IF(J834="","",IFERROR(IF(K834="",NA(),MATCH(K834,Products!$B$5:$B$204,0)),IFERROR(MATCH(J834,Products!$A$5:$A$204,0),"")))</f>
        <v/>
      </c>
      <c r="U834">
        <f>IF(J834="","",IF(T834="","⚠ not in Products",INDEX(Products!$A$5:$A$204,T834)))</f>
        <v/>
      </c>
      <c r="V834" s="11">
        <f>IF(J834="","",S834*(IFERROR(INDEX(Settings!$B$5:$B$9,MATCH($B834,Settings!$A$5:$A$9,0)),0)+IFERROR(INDEX(Settings!$E$5:$E$9,MATCH($B834,Settings!$A$5:$A$9,0)),0)+IFERROR(INDEX(Settings!$G$5:$G$9,MATCH($B834,Settings!$A$5:$A$9,0)),0))+(IFERROR(INDEX(Settings!$C$5:$C$9,MATCH($B834,Settings!$A$5:$A$9,0)),0)+IFERROR(INDEX(Settings!$F$5:$F$9,MATCH($B834,Settings!$A$5:$A$9,0)),0))/P834+IFERROR(INDEX(Settings!$D$5:$D$9,MATCH($B834,Settings!$A$5:$A$9,0)),0)*M834)</f>
        <v/>
      </c>
      <c r="W834" s="11">
        <f>IF(J834="","",IF(T834="",0,M834*INDEX(Products!$I$5:$I$204,T834)))</f>
        <v/>
      </c>
      <c r="X834" s="11">
        <f>IF(J834="","",IF(T834="",0,S834*INDEX(Products!$H$5:$H$204,T834)))</f>
        <v/>
      </c>
      <c r="Y834" s="11">
        <f>IF(J834="","",S834-V834-W834-X834)</f>
        <v/>
      </c>
    </row>
    <row r="835">
      <c r="A835" s="19" t="n"/>
      <c r="B835" s="19" t="n"/>
      <c r="C835" s="19" t="n"/>
      <c r="D835" s="19" t="n"/>
      <c r="E835" s="19" t="n"/>
      <c r="F835" s="20" t="n"/>
      <c r="G835" s="20" t="n"/>
      <c r="H835" s="20" t="n"/>
      <c r="I835" s="19" t="n"/>
      <c r="J835">
        <f>IFERROR(IF(C835="","",C835)&amp;"","")</f>
        <v/>
      </c>
      <c r="K835">
        <f>IFERROR(IF(D835="","",D835)&amp;"","")</f>
        <v/>
      </c>
      <c r="L835">
        <f>IFERROR(IF(I835="","",I835)&amp;"","")</f>
        <v/>
      </c>
      <c r="M835">
        <f>IF(J835="","",IFERROR(VALUE(SUBSTITUTE(SUBSTITUTE(IF(E835="","",E835)&amp;"","$",""),",","")),0))</f>
        <v/>
      </c>
      <c r="N835" s="11">
        <f>IF(J835="","",IFERROR(VALUE(SUBSTITUTE(SUBSTITUTE(IF(F835="","",F835)&amp;"","$",""),",","")),0))</f>
        <v/>
      </c>
      <c r="O835" s="11">
        <f>IF(J835="","",M835*N835)</f>
        <v/>
      </c>
      <c r="P835">
        <f>IF(J835="","",IF(L835="",1,COUNTIF($L$2:$L$1501,L835)))</f>
        <v/>
      </c>
      <c r="Q835" s="11">
        <f>IF(J835="","",IFERROR(VALUE(SUBSTITUTE(SUBSTITUTE(IF(G835="","",G835)&amp;"","$",""),",","")),0)/IF("No"="Yes",P835,1))</f>
        <v/>
      </c>
      <c r="R835" s="11">
        <f>IF(J835="","",IFERROR(VALUE(SUBSTITUTE(SUBSTITUTE(IF(H835="","",H835)&amp;"","$",""),",","")),0)/IF("No"="Yes",P835,1))</f>
        <v/>
      </c>
      <c r="S835" s="11">
        <f>IF(J835="","",O835+Q835-R835)</f>
        <v/>
      </c>
      <c r="T835">
        <f>IF(J835="","",IFERROR(IF(K835="",NA(),MATCH(K835,Products!$B$5:$B$204,0)),IFERROR(MATCH(J835,Products!$A$5:$A$204,0),"")))</f>
        <v/>
      </c>
      <c r="U835">
        <f>IF(J835="","",IF(T835="","⚠ not in Products",INDEX(Products!$A$5:$A$204,T835)))</f>
        <v/>
      </c>
      <c r="V835" s="11">
        <f>IF(J835="","",S835*(IFERROR(INDEX(Settings!$B$5:$B$9,MATCH($B835,Settings!$A$5:$A$9,0)),0)+IFERROR(INDEX(Settings!$E$5:$E$9,MATCH($B835,Settings!$A$5:$A$9,0)),0)+IFERROR(INDEX(Settings!$G$5:$G$9,MATCH($B835,Settings!$A$5:$A$9,0)),0))+(IFERROR(INDEX(Settings!$C$5:$C$9,MATCH($B835,Settings!$A$5:$A$9,0)),0)+IFERROR(INDEX(Settings!$F$5:$F$9,MATCH($B835,Settings!$A$5:$A$9,0)),0))/P835+IFERROR(INDEX(Settings!$D$5:$D$9,MATCH($B835,Settings!$A$5:$A$9,0)),0)*M835)</f>
        <v/>
      </c>
      <c r="W835" s="11">
        <f>IF(J835="","",IF(T835="",0,M835*INDEX(Products!$I$5:$I$204,T835)))</f>
        <v/>
      </c>
      <c r="X835" s="11">
        <f>IF(J835="","",IF(T835="",0,S835*INDEX(Products!$H$5:$H$204,T835)))</f>
        <v/>
      </c>
      <c r="Y835" s="11">
        <f>IF(J835="","",S835-V835-W835-X835)</f>
        <v/>
      </c>
    </row>
    <row r="836">
      <c r="A836" s="19" t="n"/>
      <c r="B836" s="19" t="n"/>
      <c r="C836" s="19" t="n"/>
      <c r="D836" s="19" t="n"/>
      <c r="E836" s="19" t="n"/>
      <c r="F836" s="20" t="n"/>
      <c r="G836" s="20" t="n"/>
      <c r="H836" s="20" t="n"/>
      <c r="I836" s="19" t="n"/>
      <c r="J836">
        <f>IFERROR(IF(C836="","",C836)&amp;"","")</f>
        <v/>
      </c>
      <c r="K836">
        <f>IFERROR(IF(D836="","",D836)&amp;"","")</f>
        <v/>
      </c>
      <c r="L836">
        <f>IFERROR(IF(I836="","",I836)&amp;"","")</f>
        <v/>
      </c>
      <c r="M836">
        <f>IF(J836="","",IFERROR(VALUE(SUBSTITUTE(SUBSTITUTE(IF(E836="","",E836)&amp;"","$",""),",","")),0))</f>
        <v/>
      </c>
      <c r="N836" s="11">
        <f>IF(J836="","",IFERROR(VALUE(SUBSTITUTE(SUBSTITUTE(IF(F836="","",F836)&amp;"","$",""),",","")),0))</f>
        <v/>
      </c>
      <c r="O836" s="11">
        <f>IF(J836="","",M836*N836)</f>
        <v/>
      </c>
      <c r="P836">
        <f>IF(J836="","",IF(L836="",1,COUNTIF($L$2:$L$1501,L836)))</f>
        <v/>
      </c>
      <c r="Q836" s="11">
        <f>IF(J836="","",IFERROR(VALUE(SUBSTITUTE(SUBSTITUTE(IF(G836="","",G836)&amp;"","$",""),",","")),0)/IF("No"="Yes",P836,1))</f>
        <v/>
      </c>
      <c r="R836" s="11">
        <f>IF(J836="","",IFERROR(VALUE(SUBSTITUTE(SUBSTITUTE(IF(H836="","",H836)&amp;"","$",""),",","")),0)/IF("No"="Yes",P836,1))</f>
        <v/>
      </c>
      <c r="S836" s="11">
        <f>IF(J836="","",O836+Q836-R836)</f>
        <v/>
      </c>
      <c r="T836">
        <f>IF(J836="","",IFERROR(IF(K836="",NA(),MATCH(K836,Products!$B$5:$B$204,0)),IFERROR(MATCH(J836,Products!$A$5:$A$204,0),"")))</f>
        <v/>
      </c>
      <c r="U836">
        <f>IF(J836="","",IF(T836="","⚠ not in Products",INDEX(Products!$A$5:$A$204,T836)))</f>
        <v/>
      </c>
      <c r="V836" s="11">
        <f>IF(J836="","",S836*(IFERROR(INDEX(Settings!$B$5:$B$9,MATCH($B836,Settings!$A$5:$A$9,0)),0)+IFERROR(INDEX(Settings!$E$5:$E$9,MATCH($B836,Settings!$A$5:$A$9,0)),0)+IFERROR(INDEX(Settings!$G$5:$G$9,MATCH($B836,Settings!$A$5:$A$9,0)),0))+(IFERROR(INDEX(Settings!$C$5:$C$9,MATCH($B836,Settings!$A$5:$A$9,0)),0)+IFERROR(INDEX(Settings!$F$5:$F$9,MATCH($B836,Settings!$A$5:$A$9,0)),0))/P836+IFERROR(INDEX(Settings!$D$5:$D$9,MATCH($B836,Settings!$A$5:$A$9,0)),0)*M836)</f>
        <v/>
      </c>
      <c r="W836" s="11">
        <f>IF(J836="","",IF(T836="",0,M836*INDEX(Products!$I$5:$I$204,T836)))</f>
        <v/>
      </c>
      <c r="X836" s="11">
        <f>IF(J836="","",IF(T836="",0,S836*INDEX(Products!$H$5:$H$204,T836)))</f>
        <v/>
      </c>
      <c r="Y836" s="11">
        <f>IF(J836="","",S836-V836-W836-X836)</f>
        <v/>
      </c>
    </row>
    <row r="837">
      <c r="A837" s="19" t="n"/>
      <c r="B837" s="19" t="n"/>
      <c r="C837" s="19" t="n"/>
      <c r="D837" s="19" t="n"/>
      <c r="E837" s="19" t="n"/>
      <c r="F837" s="20" t="n"/>
      <c r="G837" s="20" t="n"/>
      <c r="H837" s="20" t="n"/>
      <c r="I837" s="19" t="n"/>
      <c r="J837">
        <f>IFERROR(IF(C837="","",C837)&amp;"","")</f>
        <v/>
      </c>
      <c r="K837">
        <f>IFERROR(IF(D837="","",D837)&amp;"","")</f>
        <v/>
      </c>
      <c r="L837">
        <f>IFERROR(IF(I837="","",I837)&amp;"","")</f>
        <v/>
      </c>
      <c r="M837">
        <f>IF(J837="","",IFERROR(VALUE(SUBSTITUTE(SUBSTITUTE(IF(E837="","",E837)&amp;"","$",""),",","")),0))</f>
        <v/>
      </c>
      <c r="N837" s="11">
        <f>IF(J837="","",IFERROR(VALUE(SUBSTITUTE(SUBSTITUTE(IF(F837="","",F837)&amp;"","$",""),",","")),0))</f>
        <v/>
      </c>
      <c r="O837" s="11">
        <f>IF(J837="","",M837*N837)</f>
        <v/>
      </c>
      <c r="P837">
        <f>IF(J837="","",IF(L837="",1,COUNTIF($L$2:$L$1501,L837)))</f>
        <v/>
      </c>
      <c r="Q837" s="11">
        <f>IF(J837="","",IFERROR(VALUE(SUBSTITUTE(SUBSTITUTE(IF(G837="","",G837)&amp;"","$",""),",","")),0)/IF("No"="Yes",P837,1))</f>
        <v/>
      </c>
      <c r="R837" s="11">
        <f>IF(J837="","",IFERROR(VALUE(SUBSTITUTE(SUBSTITUTE(IF(H837="","",H837)&amp;"","$",""),",","")),0)/IF("No"="Yes",P837,1))</f>
        <v/>
      </c>
      <c r="S837" s="11">
        <f>IF(J837="","",O837+Q837-R837)</f>
        <v/>
      </c>
      <c r="T837">
        <f>IF(J837="","",IFERROR(IF(K837="",NA(),MATCH(K837,Products!$B$5:$B$204,0)),IFERROR(MATCH(J837,Products!$A$5:$A$204,0),"")))</f>
        <v/>
      </c>
      <c r="U837">
        <f>IF(J837="","",IF(T837="","⚠ not in Products",INDEX(Products!$A$5:$A$204,T837)))</f>
        <v/>
      </c>
      <c r="V837" s="11">
        <f>IF(J837="","",S837*(IFERROR(INDEX(Settings!$B$5:$B$9,MATCH($B837,Settings!$A$5:$A$9,0)),0)+IFERROR(INDEX(Settings!$E$5:$E$9,MATCH($B837,Settings!$A$5:$A$9,0)),0)+IFERROR(INDEX(Settings!$G$5:$G$9,MATCH($B837,Settings!$A$5:$A$9,0)),0))+(IFERROR(INDEX(Settings!$C$5:$C$9,MATCH($B837,Settings!$A$5:$A$9,0)),0)+IFERROR(INDEX(Settings!$F$5:$F$9,MATCH($B837,Settings!$A$5:$A$9,0)),0))/P837+IFERROR(INDEX(Settings!$D$5:$D$9,MATCH($B837,Settings!$A$5:$A$9,0)),0)*M837)</f>
        <v/>
      </c>
      <c r="W837" s="11">
        <f>IF(J837="","",IF(T837="",0,M837*INDEX(Products!$I$5:$I$204,T837)))</f>
        <v/>
      </c>
      <c r="X837" s="11">
        <f>IF(J837="","",IF(T837="",0,S837*INDEX(Products!$H$5:$H$204,T837)))</f>
        <v/>
      </c>
      <c r="Y837" s="11">
        <f>IF(J837="","",S837-V837-W837-X837)</f>
        <v/>
      </c>
    </row>
    <row r="838">
      <c r="A838" s="19" t="n"/>
      <c r="B838" s="19" t="n"/>
      <c r="C838" s="19" t="n"/>
      <c r="D838" s="19" t="n"/>
      <c r="E838" s="19" t="n"/>
      <c r="F838" s="20" t="n"/>
      <c r="G838" s="20" t="n"/>
      <c r="H838" s="20" t="n"/>
      <c r="I838" s="19" t="n"/>
      <c r="J838">
        <f>IFERROR(IF(C838="","",C838)&amp;"","")</f>
        <v/>
      </c>
      <c r="K838">
        <f>IFERROR(IF(D838="","",D838)&amp;"","")</f>
        <v/>
      </c>
      <c r="L838">
        <f>IFERROR(IF(I838="","",I838)&amp;"","")</f>
        <v/>
      </c>
      <c r="M838">
        <f>IF(J838="","",IFERROR(VALUE(SUBSTITUTE(SUBSTITUTE(IF(E838="","",E838)&amp;"","$",""),",","")),0))</f>
        <v/>
      </c>
      <c r="N838" s="11">
        <f>IF(J838="","",IFERROR(VALUE(SUBSTITUTE(SUBSTITUTE(IF(F838="","",F838)&amp;"","$",""),",","")),0))</f>
        <v/>
      </c>
      <c r="O838" s="11">
        <f>IF(J838="","",M838*N838)</f>
        <v/>
      </c>
      <c r="P838">
        <f>IF(J838="","",IF(L838="",1,COUNTIF($L$2:$L$1501,L838)))</f>
        <v/>
      </c>
      <c r="Q838" s="11">
        <f>IF(J838="","",IFERROR(VALUE(SUBSTITUTE(SUBSTITUTE(IF(G838="","",G838)&amp;"","$",""),",","")),0)/IF("No"="Yes",P838,1))</f>
        <v/>
      </c>
      <c r="R838" s="11">
        <f>IF(J838="","",IFERROR(VALUE(SUBSTITUTE(SUBSTITUTE(IF(H838="","",H838)&amp;"","$",""),",","")),0)/IF("No"="Yes",P838,1))</f>
        <v/>
      </c>
      <c r="S838" s="11">
        <f>IF(J838="","",O838+Q838-R838)</f>
        <v/>
      </c>
      <c r="T838">
        <f>IF(J838="","",IFERROR(IF(K838="",NA(),MATCH(K838,Products!$B$5:$B$204,0)),IFERROR(MATCH(J838,Products!$A$5:$A$204,0),"")))</f>
        <v/>
      </c>
      <c r="U838">
        <f>IF(J838="","",IF(T838="","⚠ not in Products",INDEX(Products!$A$5:$A$204,T838)))</f>
        <v/>
      </c>
      <c r="V838" s="11">
        <f>IF(J838="","",S838*(IFERROR(INDEX(Settings!$B$5:$B$9,MATCH($B838,Settings!$A$5:$A$9,0)),0)+IFERROR(INDEX(Settings!$E$5:$E$9,MATCH($B838,Settings!$A$5:$A$9,0)),0)+IFERROR(INDEX(Settings!$G$5:$G$9,MATCH($B838,Settings!$A$5:$A$9,0)),0))+(IFERROR(INDEX(Settings!$C$5:$C$9,MATCH($B838,Settings!$A$5:$A$9,0)),0)+IFERROR(INDEX(Settings!$F$5:$F$9,MATCH($B838,Settings!$A$5:$A$9,0)),0))/P838+IFERROR(INDEX(Settings!$D$5:$D$9,MATCH($B838,Settings!$A$5:$A$9,0)),0)*M838)</f>
        <v/>
      </c>
      <c r="W838" s="11">
        <f>IF(J838="","",IF(T838="",0,M838*INDEX(Products!$I$5:$I$204,T838)))</f>
        <v/>
      </c>
      <c r="X838" s="11">
        <f>IF(J838="","",IF(T838="",0,S838*INDEX(Products!$H$5:$H$204,T838)))</f>
        <v/>
      </c>
      <c r="Y838" s="11">
        <f>IF(J838="","",S838-V838-W838-X838)</f>
        <v/>
      </c>
    </row>
    <row r="839">
      <c r="A839" s="19" t="n"/>
      <c r="B839" s="19" t="n"/>
      <c r="C839" s="19" t="n"/>
      <c r="D839" s="19" t="n"/>
      <c r="E839" s="19" t="n"/>
      <c r="F839" s="20" t="n"/>
      <c r="G839" s="20" t="n"/>
      <c r="H839" s="20" t="n"/>
      <c r="I839" s="19" t="n"/>
      <c r="J839">
        <f>IFERROR(IF(C839="","",C839)&amp;"","")</f>
        <v/>
      </c>
      <c r="K839">
        <f>IFERROR(IF(D839="","",D839)&amp;"","")</f>
        <v/>
      </c>
      <c r="L839">
        <f>IFERROR(IF(I839="","",I839)&amp;"","")</f>
        <v/>
      </c>
      <c r="M839">
        <f>IF(J839="","",IFERROR(VALUE(SUBSTITUTE(SUBSTITUTE(IF(E839="","",E839)&amp;"","$",""),",","")),0))</f>
        <v/>
      </c>
      <c r="N839" s="11">
        <f>IF(J839="","",IFERROR(VALUE(SUBSTITUTE(SUBSTITUTE(IF(F839="","",F839)&amp;"","$",""),",","")),0))</f>
        <v/>
      </c>
      <c r="O839" s="11">
        <f>IF(J839="","",M839*N839)</f>
        <v/>
      </c>
      <c r="P839">
        <f>IF(J839="","",IF(L839="",1,COUNTIF($L$2:$L$1501,L839)))</f>
        <v/>
      </c>
      <c r="Q839" s="11">
        <f>IF(J839="","",IFERROR(VALUE(SUBSTITUTE(SUBSTITUTE(IF(G839="","",G839)&amp;"","$",""),",","")),0)/IF("No"="Yes",P839,1))</f>
        <v/>
      </c>
      <c r="R839" s="11">
        <f>IF(J839="","",IFERROR(VALUE(SUBSTITUTE(SUBSTITUTE(IF(H839="","",H839)&amp;"","$",""),",","")),0)/IF("No"="Yes",P839,1))</f>
        <v/>
      </c>
      <c r="S839" s="11">
        <f>IF(J839="","",O839+Q839-R839)</f>
        <v/>
      </c>
      <c r="T839">
        <f>IF(J839="","",IFERROR(IF(K839="",NA(),MATCH(K839,Products!$B$5:$B$204,0)),IFERROR(MATCH(J839,Products!$A$5:$A$204,0),"")))</f>
        <v/>
      </c>
      <c r="U839">
        <f>IF(J839="","",IF(T839="","⚠ not in Products",INDEX(Products!$A$5:$A$204,T839)))</f>
        <v/>
      </c>
      <c r="V839" s="11">
        <f>IF(J839="","",S839*(IFERROR(INDEX(Settings!$B$5:$B$9,MATCH($B839,Settings!$A$5:$A$9,0)),0)+IFERROR(INDEX(Settings!$E$5:$E$9,MATCH($B839,Settings!$A$5:$A$9,0)),0)+IFERROR(INDEX(Settings!$G$5:$G$9,MATCH($B839,Settings!$A$5:$A$9,0)),0))+(IFERROR(INDEX(Settings!$C$5:$C$9,MATCH($B839,Settings!$A$5:$A$9,0)),0)+IFERROR(INDEX(Settings!$F$5:$F$9,MATCH($B839,Settings!$A$5:$A$9,0)),0))/P839+IFERROR(INDEX(Settings!$D$5:$D$9,MATCH($B839,Settings!$A$5:$A$9,0)),0)*M839)</f>
        <v/>
      </c>
      <c r="W839" s="11">
        <f>IF(J839="","",IF(T839="",0,M839*INDEX(Products!$I$5:$I$204,T839)))</f>
        <v/>
      </c>
      <c r="X839" s="11">
        <f>IF(J839="","",IF(T839="",0,S839*INDEX(Products!$H$5:$H$204,T839)))</f>
        <v/>
      </c>
      <c r="Y839" s="11">
        <f>IF(J839="","",S839-V839-W839-X839)</f>
        <v/>
      </c>
    </row>
    <row r="840">
      <c r="A840" s="19" t="n"/>
      <c r="B840" s="19" t="n"/>
      <c r="C840" s="19" t="n"/>
      <c r="D840" s="19" t="n"/>
      <c r="E840" s="19" t="n"/>
      <c r="F840" s="20" t="n"/>
      <c r="G840" s="20" t="n"/>
      <c r="H840" s="20" t="n"/>
      <c r="I840" s="19" t="n"/>
      <c r="J840">
        <f>IFERROR(IF(C840="","",C840)&amp;"","")</f>
        <v/>
      </c>
      <c r="K840">
        <f>IFERROR(IF(D840="","",D840)&amp;"","")</f>
        <v/>
      </c>
      <c r="L840">
        <f>IFERROR(IF(I840="","",I840)&amp;"","")</f>
        <v/>
      </c>
      <c r="M840">
        <f>IF(J840="","",IFERROR(VALUE(SUBSTITUTE(SUBSTITUTE(IF(E840="","",E840)&amp;"","$",""),",","")),0))</f>
        <v/>
      </c>
      <c r="N840" s="11">
        <f>IF(J840="","",IFERROR(VALUE(SUBSTITUTE(SUBSTITUTE(IF(F840="","",F840)&amp;"","$",""),",","")),0))</f>
        <v/>
      </c>
      <c r="O840" s="11">
        <f>IF(J840="","",M840*N840)</f>
        <v/>
      </c>
      <c r="P840">
        <f>IF(J840="","",IF(L840="",1,COUNTIF($L$2:$L$1501,L840)))</f>
        <v/>
      </c>
      <c r="Q840" s="11">
        <f>IF(J840="","",IFERROR(VALUE(SUBSTITUTE(SUBSTITUTE(IF(G840="","",G840)&amp;"","$",""),",","")),0)/IF("No"="Yes",P840,1))</f>
        <v/>
      </c>
      <c r="R840" s="11">
        <f>IF(J840="","",IFERROR(VALUE(SUBSTITUTE(SUBSTITUTE(IF(H840="","",H840)&amp;"","$",""),",","")),0)/IF("No"="Yes",P840,1))</f>
        <v/>
      </c>
      <c r="S840" s="11">
        <f>IF(J840="","",O840+Q840-R840)</f>
        <v/>
      </c>
      <c r="T840">
        <f>IF(J840="","",IFERROR(IF(K840="",NA(),MATCH(K840,Products!$B$5:$B$204,0)),IFERROR(MATCH(J840,Products!$A$5:$A$204,0),"")))</f>
        <v/>
      </c>
      <c r="U840">
        <f>IF(J840="","",IF(T840="","⚠ not in Products",INDEX(Products!$A$5:$A$204,T840)))</f>
        <v/>
      </c>
      <c r="V840" s="11">
        <f>IF(J840="","",S840*(IFERROR(INDEX(Settings!$B$5:$B$9,MATCH($B840,Settings!$A$5:$A$9,0)),0)+IFERROR(INDEX(Settings!$E$5:$E$9,MATCH($B840,Settings!$A$5:$A$9,0)),0)+IFERROR(INDEX(Settings!$G$5:$G$9,MATCH($B840,Settings!$A$5:$A$9,0)),0))+(IFERROR(INDEX(Settings!$C$5:$C$9,MATCH($B840,Settings!$A$5:$A$9,0)),0)+IFERROR(INDEX(Settings!$F$5:$F$9,MATCH($B840,Settings!$A$5:$A$9,0)),0))/P840+IFERROR(INDEX(Settings!$D$5:$D$9,MATCH($B840,Settings!$A$5:$A$9,0)),0)*M840)</f>
        <v/>
      </c>
      <c r="W840" s="11">
        <f>IF(J840="","",IF(T840="",0,M840*INDEX(Products!$I$5:$I$204,T840)))</f>
        <v/>
      </c>
      <c r="X840" s="11">
        <f>IF(J840="","",IF(T840="",0,S840*INDEX(Products!$H$5:$H$204,T840)))</f>
        <v/>
      </c>
      <c r="Y840" s="11">
        <f>IF(J840="","",S840-V840-W840-X840)</f>
        <v/>
      </c>
    </row>
    <row r="841">
      <c r="A841" s="19" t="n"/>
      <c r="B841" s="19" t="n"/>
      <c r="C841" s="19" t="n"/>
      <c r="D841" s="19" t="n"/>
      <c r="E841" s="19" t="n"/>
      <c r="F841" s="20" t="n"/>
      <c r="G841" s="20" t="n"/>
      <c r="H841" s="20" t="n"/>
      <c r="I841" s="19" t="n"/>
      <c r="J841">
        <f>IFERROR(IF(C841="","",C841)&amp;"","")</f>
        <v/>
      </c>
      <c r="K841">
        <f>IFERROR(IF(D841="","",D841)&amp;"","")</f>
        <v/>
      </c>
      <c r="L841">
        <f>IFERROR(IF(I841="","",I841)&amp;"","")</f>
        <v/>
      </c>
      <c r="M841">
        <f>IF(J841="","",IFERROR(VALUE(SUBSTITUTE(SUBSTITUTE(IF(E841="","",E841)&amp;"","$",""),",","")),0))</f>
        <v/>
      </c>
      <c r="N841" s="11">
        <f>IF(J841="","",IFERROR(VALUE(SUBSTITUTE(SUBSTITUTE(IF(F841="","",F841)&amp;"","$",""),",","")),0))</f>
        <v/>
      </c>
      <c r="O841" s="11">
        <f>IF(J841="","",M841*N841)</f>
        <v/>
      </c>
      <c r="P841">
        <f>IF(J841="","",IF(L841="",1,COUNTIF($L$2:$L$1501,L841)))</f>
        <v/>
      </c>
      <c r="Q841" s="11">
        <f>IF(J841="","",IFERROR(VALUE(SUBSTITUTE(SUBSTITUTE(IF(G841="","",G841)&amp;"","$",""),",","")),0)/IF("No"="Yes",P841,1))</f>
        <v/>
      </c>
      <c r="R841" s="11">
        <f>IF(J841="","",IFERROR(VALUE(SUBSTITUTE(SUBSTITUTE(IF(H841="","",H841)&amp;"","$",""),",","")),0)/IF("No"="Yes",P841,1))</f>
        <v/>
      </c>
      <c r="S841" s="11">
        <f>IF(J841="","",O841+Q841-R841)</f>
        <v/>
      </c>
      <c r="T841">
        <f>IF(J841="","",IFERROR(IF(K841="",NA(),MATCH(K841,Products!$B$5:$B$204,0)),IFERROR(MATCH(J841,Products!$A$5:$A$204,0),"")))</f>
        <v/>
      </c>
      <c r="U841">
        <f>IF(J841="","",IF(T841="","⚠ not in Products",INDEX(Products!$A$5:$A$204,T841)))</f>
        <v/>
      </c>
      <c r="V841" s="11">
        <f>IF(J841="","",S841*(IFERROR(INDEX(Settings!$B$5:$B$9,MATCH($B841,Settings!$A$5:$A$9,0)),0)+IFERROR(INDEX(Settings!$E$5:$E$9,MATCH($B841,Settings!$A$5:$A$9,0)),0)+IFERROR(INDEX(Settings!$G$5:$G$9,MATCH($B841,Settings!$A$5:$A$9,0)),0))+(IFERROR(INDEX(Settings!$C$5:$C$9,MATCH($B841,Settings!$A$5:$A$9,0)),0)+IFERROR(INDEX(Settings!$F$5:$F$9,MATCH($B841,Settings!$A$5:$A$9,0)),0))/P841+IFERROR(INDEX(Settings!$D$5:$D$9,MATCH($B841,Settings!$A$5:$A$9,0)),0)*M841)</f>
        <v/>
      </c>
      <c r="W841" s="11">
        <f>IF(J841="","",IF(T841="",0,M841*INDEX(Products!$I$5:$I$204,T841)))</f>
        <v/>
      </c>
      <c r="X841" s="11">
        <f>IF(J841="","",IF(T841="",0,S841*INDEX(Products!$H$5:$H$204,T841)))</f>
        <v/>
      </c>
      <c r="Y841" s="11">
        <f>IF(J841="","",S841-V841-W841-X841)</f>
        <v/>
      </c>
    </row>
    <row r="842">
      <c r="A842" s="19" t="n"/>
      <c r="B842" s="19" t="n"/>
      <c r="C842" s="19" t="n"/>
      <c r="D842" s="19" t="n"/>
      <c r="E842" s="19" t="n"/>
      <c r="F842" s="20" t="n"/>
      <c r="G842" s="20" t="n"/>
      <c r="H842" s="20" t="n"/>
      <c r="I842" s="19" t="n"/>
      <c r="J842">
        <f>IFERROR(IF(C842="","",C842)&amp;"","")</f>
        <v/>
      </c>
      <c r="K842">
        <f>IFERROR(IF(D842="","",D842)&amp;"","")</f>
        <v/>
      </c>
      <c r="L842">
        <f>IFERROR(IF(I842="","",I842)&amp;"","")</f>
        <v/>
      </c>
      <c r="M842">
        <f>IF(J842="","",IFERROR(VALUE(SUBSTITUTE(SUBSTITUTE(IF(E842="","",E842)&amp;"","$",""),",","")),0))</f>
        <v/>
      </c>
      <c r="N842" s="11">
        <f>IF(J842="","",IFERROR(VALUE(SUBSTITUTE(SUBSTITUTE(IF(F842="","",F842)&amp;"","$",""),",","")),0))</f>
        <v/>
      </c>
      <c r="O842" s="11">
        <f>IF(J842="","",M842*N842)</f>
        <v/>
      </c>
      <c r="P842">
        <f>IF(J842="","",IF(L842="",1,COUNTIF($L$2:$L$1501,L842)))</f>
        <v/>
      </c>
      <c r="Q842" s="11">
        <f>IF(J842="","",IFERROR(VALUE(SUBSTITUTE(SUBSTITUTE(IF(G842="","",G842)&amp;"","$",""),",","")),0)/IF("No"="Yes",P842,1))</f>
        <v/>
      </c>
      <c r="R842" s="11">
        <f>IF(J842="","",IFERROR(VALUE(SUBSTITUTE(SUBSTITUTE(IF(H842="","",H842)&amp;"","$",""),",","")),0)/IF("No"="Yes",P842,1))</f>
        <v/>
      </c>
      <c r="S842" s="11">
        <f>IF(J842="","",O842+Q842-R842)</f>
        <v/>
      </c>
      <c r="T842">
        <f>IF(J842="","",IFERROR(IF(K842="",NA(),MATCH(K842,Products!$B$5:$B$204,0)),IFERROR(MATCH(J842,Products!$A$5:$A$204,0),"")))</f>
        <v/>
      </c>
      <c r="U842">
        <f>IF(J842="","",IF(T842="","⚠ not in Products",INDEX(Products!$A$5:$A$204,T842)))</f>
        <v/>
      </c>
      <c r="V842" s="11">
        <f>IF(J842="","",S842*(IFERROR(INDEX(Settings!$B$5:$B$9,MATCH($B842,Settings!$A$5:$A$9,0)),0)+IFERROR(INDEX(Settings!$E$5:$E$9,MATCH($B842,Settings!$A$5:$A$9,0)),0)+IFERROR(INDEX(Settings!$G$5:$G$9,MATCH($B842,Settings!$A$5:$A$9,0)),0))+(IFERROR(INDEX(Settings!$C$5:$C$9,MATCH($B842,Settings!$A$5:$A$9,0)),0)+IFERROR(INDEX(Settings!$F$5:$F$9,MATCH($B842,Settings!$A$5:$A$9,0)),0))/P842+IFERROR(INDEX(Settings!$D$5:$D$9,MATCH($B842,Settings!$A$5:$A$9,0)),0)*M842)</f>
        <v/>
      </c>
      <c r="W842" s="11">
        <f>IF(J842="","",IF(T842="",0,M842*INDEX(Products!$I$5:$I$204,T842)))</f>
        <v/>
      </c>
      <c r="X842" s="11">
        <f>IF(J842="","",IF(T842="",0,S842*INDEX(Products!$H$5:$H$204,T842)))</f>
        <v/>
      </c>
      <c r="Y842" s="11">
        <f>IF(J842="","",S842-V842-W842-X842)</f>
        <v/>
      </c>
    </row>
    <row r="843">
      <c r="A843" s="19" t="n"/>
      <c r="B843" s="19" t="n"/>
      <c r="C843" s="19" t="n"/>
      <c r="D843" s="19" t="n"/>
      <c r="E843" s="19" t="n"/>
      <c r="F843" s="20" t="n"/>
      <c r="G843" s="20" t="n"/>
      <c r="H843" s="20" t="n"/>
      <c r="I843" s="19" t="n"/>
      <c r="J843">
        <f>IFERROR(IF(C843="","",C843)&amp;"","")</f>
        <v/>
      </c>
      <c r="K843">
        <f>IFERROR(IF(D843="","",D843)&amp;"","")</f>
        <v/>
      </c>
      <c r="L843">
        <f>IFERROR(IF(I843="","",I843)&amp;"","")</f>
        <v/>
      </c>
      <c r="M843">
        <f>IF(J843="","",IFERROR(VALUE(SUBSTITUTE(SUBSTITUTE(IF(E843="","",E843)&amp;"","$",""),",","")),0))</f>
        <v/>
      </c>
      <c r="N843" s="11">
        <f>IF(J843="","",IFERROR(VALUE(SUBSTITUTE(SUBSTITUTE(IF(F843="","",F843)&amp;"","$",""),",","")),0))</f>
        <v/>
      </c>
      <c r="O843" s="11">
        <f>IF(J843="","",M843*N843)</f>
        <v/>
      </c>
      <c r="P843">
        <f>IF(J843="","",IF(L843="",1,COUNTIF($L$2:$L$1501,L843)))</f>
        <v/>
      </c>
      <c r="Q843" s="11">
        <f>IF(J843="","",IFERROR(VALUE(SUBSTITUTE(SUBSTITUTE(IF(G843="","",G843)&amp;"","$",""),",","")),0)/IF("No"="Yes",P843,1))</f>
        <v/>
      </c>
      <c r="R843" s="11">
        <f>IF(J843="","",IFERROR(VALUE(SUBSTITUTE(SUBSTITUTE(IF(H843="","",H843)&amp;"","$",""),",","")),0)/IF("No"="Yes",P843,1))</f>
        <v/>
      </c>
      <c r="S843" s="11">
        <f>IF(J843="","",O843+Q843-R843)</f>
        <v/>
      </c>
      <c r="T843">
        <f>IF(J843="","",IFERROR(IF(K843="",NA(),MATCH(K843,Products!$B$5:$B$204,0)),IFERROR(MATCH(J843,Products!$A$5:$A$204,0),"")))</f>
        <v/>
      </c>
      <c r="U843">
        <f>IF(J843="","",IF(T843="","⚠ not in Products",INDEX(Products!$A$5:$A$204,T843)))</f>
        <v/>
      </c>
      <c r="V843" s="11">
        <f>IF(J843="","",S843*(IFERROR(INDEX(Settings!$B$5:$B$9,MATCH($B843,Settings!$A$5:$A$9,0)),0)+IFERROR(INDEX(Settings!$E$5:$E$9,MATCH($B843,Settings!$A$5:$A$9,0)),0)+IFERROR(INDEX(Settings!$G$5:$G$9,MATCH($B843,Settings!$A$5:$A$9,0)),0))+(IFERROR(INDEX(Settings!$C$5:$C$9,MATCH($B843,Settings!$A$5:$A$9,0)),0)+IFERROR(INDEX(Settings!$F$5:$F$9,MATCH($B843,Settings!$A$5:$A$9,0)),0))/P843+IFERROR(INDEX(Settings!$D$5:$D$9,MATCH($B843,Settings!$A$5:$A$9,0)),0)*M843)</f>
        <v/>
      </c>
      <c r="W843" s="11">
        <f>IF(J843="","",IF(T843="",0,M843*INDEX(Products!$I$5:$I$204,T843)))</f>
        <v/>
      </c>
      <c r="X843" s="11">
        <f>IF(J843="","",IF(T843="",0,S843*INDEX(Products!$H$5:$H$204,T843)))</f>
        <v/>
      </c>
      <c r="Y843" s="11">
        <f>IF(J843="","",S843-V843-W843-X843)</f>
        <v/>
      </c>
    </row>
    <row r="844">
      <c r="A844" s="19" t="n"/>
      <c r="B844" s="19" t="n"/>
      <c r="C844" s="19" t="n"/>
      <c r="D844" s="19" t="n"/>
      <c r="E844" s="19" t="n"/>
      <c r="F844" s="20" t="n"/>
      <c r="G844" s="20" t="n"/>
      <c r="H844" s="20" t="n"/>
      <c r="I844" s="19" t="n"/>
      <c r="J844">
        <f>IFERROR(IF(C844="","",C844)&amp;"","")</f>
        <v/>
      </c>
      <c r="K844">
        <f>IFERROR(IF(D844="","",D844)&amp;"","")</f>
        <v/>
      </c>
      <c r="L844">
        <f>IFERROR(IF(I844="","",I844)&amp;"","")</f>
        <v/>
      </c>
      <c r="M844">
        <f>IF(J844="","",IFERROR(VALUE(SUBSTITUTE(SUBSTITUTE(IF(E844="","",E844)&amp;"","$",""),",","")),0))</f>
        <v/>
      </c>
      <c r="N844" s="11">
        <f>IF(J844="","",IFERROR(VALUE(SUBSTITUTE(SUBSTITUTE(IF(F844="","",F844)&amp;"","$",""),",","")),0))</f>
        <v/>
      </c>
      <c r="O844" s="11">
        <f>IF(J844="","",M844*N844)</f>
        <v/>
      </c>
      <c r="P844">
        <f>IF(J844="","",IF(L844="",1,COUNTIF($L$2:$L$1501,L844)))</f>
        <v/>
      </c>
      <c r="Q844" s="11">
        <f>IF(J844="","",IFERROR(VALUE(SUBSTITUTE(SUBSTITUTE(IF(G844="","",G844)&amp;"","$",""),",","")),0)/IF("No"="Yes",P844,1))</f>
        <v/>
      </c>
      <c r="R844" s="11">
        <f>IF(J844="","",IFERROR(VALUE(SUBSTITUTE(SUBSTITUTE(IF(H844="","",H844)&amp;"","$",""),",","")),0)/IF("No"="Yes",P844,1))</f>
        <v/>
      </c>
      <c r="S844" s="11">
        <f>IF(J844="","",O844+Q844-R844)</f>
        <v/>
      </c>
      <c r="T844">
        <f>IF(J844="","",IFERROR(IF(K844="",NA(),MATCH(K844,Products!$B$5:$B$204,0)),IFERROR(MATCH(J844,Products!$A$5:$A$204,0),"")))</f>
        <v/>
      </c>
      <c r="U844">
        <f>IF(J844="","",IF(T844="","⚠ not in Products",INDEX(Products!$A$5:$A$204,T844)))</f>
        <v/>
      </c>
      <c r="V844" s="11">
        <f>IF(J844="","",S844*(IFERROR(INDEX(Settings!$B$5:$B$9,MATCH($B844,Settings!$A$5:$A$9,0)),0)+IFERROR(INDEX(Settings!$E$5:$E$9,MATCH($B844,Settings!$A$5:$A$9,0)),0)+IFERROR(INDEX(Settings!$G$5:$G$9,MATCH($B844,Settings!$A$5:$A$9,0)),0))+(IFERROR(INDEX(Settings!$C$5:$C$9,MATCH($B844,Settings!$A$5:$A$9,0)),0)+IFERROR(INDEX(Settings!$F$5:$F$9,MATCH($B844,Settings!$A$5:$A$9,0)),0))/P844+IFERROR(INDEX(Settings!$D$5:$D$9,MATCH($B844,Settings!$A$5:$A$9,0)),0)*M844)</f>
        <v/>
      </c>
      <c r="W844" s="11">
        <f>IF(J844="","",IF(T844="",0,M844*INDEX(Products!$I$5:$I$204,T844)))</f>
        <v/>
      </c>
      <c r="X844" s="11">
        <f>IF(J844="","",IF(T844="",0,S844*INDEX(Products!$H$5:$H$204,T844)))</f>
        <v/>
      </c>
      <c r="Y844" s="11">
        <f>IF(J844="","",S844-V844-W844-X844)</f>
        <v/>
      </c>
    </row>
    <row r="845">
      <c r="A845" s="19" t="n"/>
      <c r="B845" s="19" t="n"/>
      <c r="C845" s="19" t="n"/>
      <c r="D845" s="19" t="n"/>
      <c r="E845" s="19" t="n"/>
      <c r="F845" s="20" t="n"/>
      <c r="G845" s="20" t="n"/>
      <c r="H845" s="20" t="n"/>
      <c r="I845" s="19" t="n"/>
      <c r="J845">
        <f>IFERROR(IF(C845="","",C845)&amp;"","")</f>
        <v/>
      </c>
      <c r="K845">
        <f>IFERROR(IF(D845="","",D845)&amp;"","")</f>
        <v/>
      </c>
      <c r="L845">
        <f>IFERROR(IF(I845="","",I845)&amp;"","")</f>
        <v/>
      </c>
      <c r="M845">
        <f>IF(J845="","",IFERROR(VALUE(SUBSTITUTE(SUBSTITUTE(IF(E845="","",E845)&amp;"","$",""),",","")),0))</f>
        <v/>
      </c>
      <c r="N845" s="11">
        <f>IF(J845="","",IFERROR(VALUE(SUBSTITUTE(SUBSTITUTE(IF(F845="","",F845)&amp;"","$",""),",","")),0))</f>
        <v/>
      </c>
      <c r="O845" s="11">
        <f>IF(J845="","",M845*N845)</f>
        <v/>
      </c>
      <c r="P845">
        <f>IF(J845="","",IF(L845="",1,COUNTIF($L$2:$L$1501,L845)))</f>
        <v/>
      </c>
      <c r="Q845" s="11">
        <f>IF(J845="","",IFERROR(VALUE(SUBSTITUTE(SUBSTITUTE(IF(G845="","",G845)&amp;"","$",""),",","")),0)/IF("No"="Yes",P845,1))</f>
        <v/>
      </c>
      <c r="R845" s="11">
        <f>IF(J845="","",IFERROR(VALUE(SUBSTITUTE(SUBSTITUTE(IF(H845="","",H845)&amp;"","$",""),",","")),0)/IF("No"="Yes",P845,1))</f>
        <v/>
      </c>
      <c r="S845" s="11">
        <f>IF(J845="","",O845+Q845-R845)</f>
        <v/>
      </c>
      <c r="T845">
        <f>IF(J845="","",IFERROR(IF(K845="",NA(),MATCH(K845,Products!$B$5:$B$204,0)),IFERROR(MATCH(J845,Products!$A$5:$A$204,0),"")))</f>
        <v/>
      </c>
      <c r="U845">
        <f>IF(J845="","",IF(T845="","⚠ not in Products",INDEX(Products!$A$5:$A$204,T845)))</f>
        <v/>
      </c>
      <c r="V845" s="11">
        <f>IF(J845="","",S845*(IFERROR(INDEX(Settings!$B$5:$B$9,MATCH($B845,Settings!$A$5:$A$9,0)),0)+IFERROR(INDEX(Settings!$E$5:$E$9,MATCH($B845,Settings!$A$5:$A$9,0)),0)+IFERROR(INDEX(Settings!$G$5:$G$9,MATCH($B845,Settings!$A$5:$A$9,0)),0))+(IFERROR(INDEX(Settings!$C$5:$C$9,MATCH($B845,Settings!$A$5:$A$9,0)),0)+IFERROR(INDEX(Settings!$F$5:$F$9,MATCH($B845,Settings!$A$5:$A$9,0)),0))/P845+IFERROR(INDEX(Settings!$D$5:$D$9,MATCH($B845,Settings!$A$5:$A$9,0)),0)*M845)</f>
        <v/>
      </c>
      <c r="W845" s="11">
        <f>IF(J845="","",IF(T845="",0,M845*INDEX(Products!$I$5:$I$204,T845)))</f>
        <v/>
      </c>
      <c r="X845" s="11">
        <f>IF(J845="","",IF(T845="",0,S845*INDEX(Products!$H$5:$H$204,T845)))</f>
        <v/>
      </c>
      <c r="Y845" s="11">
        <f>IF(J845="","",S845-V845-W845-X845)</f>
        <v/>
      </c>
    </row>
    <row r="846">
      <c r="A846" s="19" t="n"/>
      <c r="B846" s="19" t="n"/>
      <c r="C846" s="19" t="n"/>
      <c r="D846" s="19" t="n"/>
      <c r="E846" s="19" t="n"/>
      <c r="F846" s="20" t="n"/>
      <c r="G846" s="20" t="n"/>
      <c r="H846" s="20" t="n"/>
      <c r="I846" s="19" t="n"/>
      <c r="J846">
        <f>IFERROR(IF(C846="","",C846)&amp;"","")</f>
        <v/>
      </c>
      <c r="K846">
        <f>IFERROR(IF(D846="","",D846)&amp;"","")</f>
        <v/>
      </c>
      <c r="L846">
        <f>IFERROR(IF(I846="","",I846)&amp;"","")</f>
        <v/>
      </c>
      <c r="M846">
        <f>IF(J846="","",IFERROR(VALUE(SUBSTITUTE(SUBSTITUTE(IF(E846="","",E846)&amp;"","$",""),",","")),0))</f>
        <v/>
      </c>
      <c r="N846" s="11">
        <f>IF(J846="","",IFERROR(VALUE(SUBSTITUTE(SUBSTITUTE(IF(F846="","",F846)&amp;"","$",""),",","")),0))</f>
        <v/>
      </c>
      <c r="O846" s="11">
        <f>IF(J846="","",M846*N846)</f>
        <v/>
      </c>
      <c r="P846">
        <f>IF(J846="","",IF(L846="",1,COUNTIF($L$2:$L$1501,L846)))</f>
        <v/>
      </c>
      <c r="Q846" s="11">
        <f>IF(J846="","",IFERROR(VALUE(SUBSTITUTE(SUBSTITUTE(IF(G846="","",G846)&amp;"","$",""),",","")),0)/IF("No"="Yes",P846,1))</f>
        <v/>
      </c>
      <c r="R846" s="11">
        <f>IF(J846="","",IFERROR(VALUE(SUBSTITUTE(SUBSTITUTE(IF(H846="","",H846)&amp;"","$",""),",","")),0)/IF("No"="Yes",P846,1))</f>
        <v/>
      </c>
      <c r="S846" s="11">
        <f>IF(J846="","",O846+Q846-R846)</f>
        <v/>
      </c>
      <c r="T846">
        <f>IF(J846="","",IFERROR(IF(K846="",NA(),MATCH(K846,Products!$B$5:$B$204,0)),IFERROR(MATCH(J846,Products!$A$5:$A$204,0),"")))</f>
        <v/>
      </c>
      <c r="U846">
        <f>IF(J846="","",IF(T846="","⚠ not in Products",INDEX(Products!$A$5:$A$204,T846)))</f>
        <v/>
      </c>
      <c r="V846" s="11">
        <f>IF(J846="","",S846*(IFERROR(INDEX(Settings!$B$5:$B$9,MATCH($B846,Settings!$A$5:$A$9,0)),0)+IFERROR(INDEX(Settings!$E$5:$E$9,MATCH($B846,Settings!$A$5:$A$9,0)),0)+IFERROR(INDEX(Settings!$G$5:$G$9,MATCH($B846,Settings!$A$5:$A$9,0)),0))+(IFERROR(INDEX(Settings!$C$5:$C$9,MATCH($B846,Settings!$A$5:$A$9,0)),0)+IFERROR(INDEX(Settings!$F$5:$F$9,MATCH($B846,Settings!$A$5:$A$9,0)),0))/P846+IFERROR(INDEX(Settings!$D$5:$D$9,MATCH($B846,Settings!$A$5:$A$9,0)),0)*M846)</f>
        <v/>
      </c>
      <c r="W846" s="11">
        <f>IF(J846="","",IF(T846="",0,M846*INDEX(Products!$I$5:$I$204,T846)))</f>
        <v/>
      </c>
      <c r="X846" s="11">
        <f>IF(J846="","",IF(T846="",0,S846*INDEX(Products!$H$5:$H$204,T846)))</f>
        <v/>
      </c>
      <c r="Y846" s="11">
        <f>IF(J846="","",S846-V846-W846-X846)</f>
        <v/>
      </c>
    </row>
    <row r="847">
      <c r="A847" s="19" t="n"/>
      <c r="B847" s="19" t="n"/>
      <c r="C847" s="19" t="n"/>
      <c r="D847" s="19" t="n"/>
      <c r="E847" s="19" t="n"/>
      <c r="F847" s="20" t="n"/>
      <c r="G847" s="20" t="n"/>
      <c r="H847" s="20" t="n"/>
      <c r="I847" s="19" t="n"/>
      <c r="J847">
        <f>IFERROR(IF(C847="","",C847)&amp;"","")</f>
        <v/>
      </c>
      <c r="K847">
        <f>IFERROR(IF(D847="","",D847)&amp;"","")</f>
        <v/>
      </c>
      <c r="L847">
        <f>IFERROR(IF(I847="","",I847)&amp;"","")</f>
        <v/>
      </c>
      <c r="M847">
        <f>IF(J847="","",IFERROR(VALUE(SUBSTITUTE(SUBSTITUTE(IF(E847="","",E847)&amp;"","$",""),",","")),0))</f>
        <v/>
      </c>
      <c r="N847" s="11">
        <f>IF(J847="","",IFERROR(VALUE(SUBSTITUTE(SUBSTITUTE(IF(F847="","",F847)&amp;"","$",""),",","")),0))</f>
        <v/>
      </c>
      <c r="O847" s="11">
        <f>IF(J847="","",M847*N847)</f>
        <v/>
      </c>
      <c r="P847">
        <f>IF(J847="","",IF(L847="",1,COUNTIF($L$2:$L$1501,L847)))</f>
        <v/>
      </c>
      <c r="Q847" s="11">
        <f>IF(J847="","",IFERROR(VALUE(SUBSTITUTE(SUBSTITUTE(IF(G847="","",G847)&amp;"","$",""),",","")),0)/IF("No"="Yes",P847,1))</f>
        <v/>
      </c>
      <c r="R847" s="11">
        <f>IF(J847="","",IFERROR(VALUE(SUBSTITUTE(SUBSTITUTE(IF(H847="","",H847)&amp;"","$",""),",","")),0)/IF("No"="Yes",P847,1))</f>
        <v/>
      </c>
      <c r="S847" s="11">
        <f>IF(J847="","",O847+Q847-R847)</f>
        <v/>
      </c>
      <c r="T847">
        <f>IF(J847="","",IFERROR(IF(K847="",NA(),MATCH(K847,Products!$B$5:$B$204,0)),IFERROR(MATCH(J847,Products!$A$5:$A$204,0),"")))</f>
        <v/>
      </c>
      <c r="U847">
        <f>IF(J847="","",IF(T847="","⚠ not in Products",INDEX(Products!$A$5:$A$204,T847)))</f>
        <v/>
      </c>
      <c r="V847" s="11">
        <f>IF(J847="","",S847*(IFERROR(INDEX(Settings!$B$5:$B$9,MATCH($B847,Settings!$A$5:$A$9,0)),0)+IFERROR(INDEX(Settings!$E$5:$E$9,MATCH($B847,Settings!$A$5:$A$9,0)),0)+IFERROR(INDEX(Settings!$G$5:$G$9,MATCH($B847,Settings!$A$5:$A$9,0)),0))+(IFERROR(INDEX(Settings!$C$5:$C$9,MATCH($B847,Settings!$A$5:$A$9,0)),0)+IFERROR(INDEX(Settings!$F$5:$F$9,MATCH($B847,Settings!$A$5:$A$9,0)),0))/P847+IFERROR(INDEX(Settings!$D$5:$D$9,MATCH($B847,Settings!$A$5:$A$9,0)),0)*M847)</f>
        <v/>
      </c>
      <c r="W847" s="11">
        <f>IF(J847="","",IF(T847="",0,M847*INDEX(Products!$I$5:$I$204,T847)))</f>
        <v/>
      </c>
      <c r="X847" s="11">
        <f>IF(J847="","",IF(T847="",0,S847*INDEX(Products!$H$5:$H$204,T847)))</f>
        <v/>
      </c>
      <c r="Y847" s="11">
        <f>IF(J847="","",S847-V847-W847-X847)</f>
        <v/>
      </c>
    </row>
    <row r="848">
      <c r="A848" s="19" t="n"/>
      <c r="B848" s="19" t="n"/>
      <c r="C848" s="19" t="n"/>
      <c r="D848" s="19" t="n"/>
      <c r="E848" s="19" t="n"/>
      <c r="F848" s="20" t="n"/>
      <c r="G848" s="20" t="n"/>
      <c r="H848" s="20" t="n"/>
      <c r="I848" s="19" t="n"/>
      <c r="J848">
        <f>IFERROR(IF(C848="","",C848)&amp;"","")</f>
        <v/>
      </c>
      <c r="K848">
        <f>IFERROR(IF(D848="","",D848)&amp;"","")</f>
        <v/>
      </c>
      <c r="L848">
        <f>IFERROR(IF(I848="","",I848)&amp;"","")</f>
        <v/>
      </c>
      <c r="M848">
        <f>IF(J848="","",IFERROR(VALUE(SUBSTITUTE(SUBSTITUTE(IF(E848="","",E848)&amp;"","$",""),",","")),0))</f>
        <v/>
      </c>
      <c r="N848" s="11">
        <f>IF(J848="","",IFERROR(VALUE(SUBSTITUTE(SUBSTITUTE(IF(F848="","",F848)&amp;"","$",""),",","")),0))</f>
        <v/>
      </c>
      <c r="O848" s="11">
        <f>IF(J848="","",M848*N848)</f>
        <v/>
      </c>
      <c r="P848">
        <f>IF(J848="","",IF(L848="",1,COUNTIF($L$2:$L$1501,L848)))</f>
        <v/>
      </c>
      <c r="Q848" s="11">
        <f>IF(J848="","",IFERROR(VALUE(SUBSTITUTE(SUBSTITUTE(IF(G848="","",G848)&amp;"","$",""),",","")),0)/IF("No"="Yes",P848,1))</f>
        <v/>
      </c>
      <c r="R848" s="11">
        <f>IF(J848="","",IFERROR(VALUE(SUBSTITUTE(SUBSTITUTE(IF(H848="","",H848)&amp;"","$",""),",","")),0)/IF("No"="Yes",P848,1))</f>
        <v/>
      </c>
      <c r="S848" s="11">
        <f>IF(J848="","",O848+Q848-R848)</f>
        <v/>
      </c>
      <c r="T848">
        <f>IF(J848="","",IFERROR(IF(K848="",NA(),MATCH(K848,Products!$B$5:$B$204,0)),IFERROR(MATCH(J848,Products!$A$5:$A$204,0),"")))</f>
        <v/>
      </c>
      <c r="U848">
        <f>IF(J848="","",IF(T848="","⚠ not in Products",INDEX(Products!$A$5:$A$204,T848)))</f>
        <v/>
      </c>
      <c r="V848" s="11">
        <f>IF(J848="","",S848*(IFERROR(INDEX(Settings!$B$5:$B$9,MATCH($B848,Settings!$A$5:$A$9,0)),0)+IFERROR(INDEX(Settings!$E$5:$E$9,MATCH($B848,Settings!$A$5:$A$9,0)),0)+IFERROR(INDEX(Settings!$G$5:$G$9,MATCH($B848,Settings!$A$5:$A$9,0)),0))+(IFERROR(INDEX(Settings!$C$5:$C$9,MATCH($B848,Settings!$A$5:$A$9,0)),0)+IFERROR(INDEX(Settings!$F$5:$F$9,MATCH($B848,Settings!$A$5:$A$9,0)),0))/P848+IFERROR(INDEX(Settings!$D$5:$D$9,MATCH($B848,Settings!$A$5:$A$9,0)),0)*M848)</f>
        <v/>
      </c>
      <c r="W848" s="11">
        <f>IF(J848="","",IF(T848="",0,M848*INDEX(Products!$I$5:$I$204,T848)))</f>
        <v/>
      </c>
      <c r="X848" s="11">
        <f>IF(J848="","",IF(T848="",0,S848*INDEX(Products!$H$5:$H$204,T848)))</f>
        <v/>
      </c>
      <c r="Y848" s="11">
        <f>IF(J848="","",S848-V848-W848-X848)</f>
        <v/>
      </c>
    </row>
    <row r="849">
      <c r="A849" s="19" t="n"/>
      <c r="B849" s="19" t="n"/>
      <c r="C849" s="19" t="n"/>
      <c r="D849" s="19" t="n"/>
      <c r="E849" s="19" t="n"/>
      <c r="F849" s="20" t="n"/>
      <c r="G849" s="20" t="n"/>
      <c r="H849" s="20" t="n"/>
      <c r="I849" s="19" t="n"/>
      <c r="J849">
        <f>IFERROR(IF(C849="","",C849)&amp;"","")</f>
        <v/>
      </c>
      <c r="K849">
        <f>IFERROR(IF(D849="","",D849)&amp;"","")</f>
        <v/>
      </c>
      <c r="L849">
        <f>IFERROR(IF(I849="","",I849)&amp;"","")</f>
        <v/>
      </c>
      <c r="M849">
        <f>IF(J849="","",IFERROR(VALUE(SUBSTITUTE(SUBSTITUTE(IF(E849="","",E849)&amp;"","$",""),",","")),0))</f>
        <v/>
      </c>
      <c r="N849" s="11">
        <f>IF(J849="","",IFERROR(VALUE(SUBSTITUTE(SUBSTITUTE(IF(F849="","",F849)&amp;"","$",""),",","")),0))</f>
        <v/>
      </c>
      <c r="O849" s="11">
        <f>IF(J849="","",M849*N849)</f>
        <v/>
      </c>
      <c r="P849">
        <f>IF(J849="","",IF(L849="",1,COUNTIF($L$2:$L$1501,L849)))</f>
        <v/>
      </c>
      <c r="Q849" s="11">
        <f>IF(J849="","",IFERROR(VALUE(SUBSTITUTE(SUBSTITUTE(IF(G849="","",G849)&amp;"","$",""),",","")),0)/IF("No"="Yes",P849,1))</f>
        <v/>
      </c>
      <c r="R849" s="11">
        <f>IF(J849="","",IFERROR(VALUE(SUBSTITUTE(SUBSTITUTE(IF(H849="","",H849)&amp;"","$",""),",","")),0)/IF("No"="Yes",P849,1))</f>
        <v/>
      </c>
      <c r="S849" s="11">
        <f>IF(J849="","",O849+Q849-R849)</f>
        <v/>
      </c>
      <c r="T849">
        <f>IF(J849="","",IFERROR(IF(K849="",NA(),MATCH(K849,Products!$B$5:$B$204,0)),IFERROR(MATCH(J849,Products!$A$5:$A$204,0),"")))</f>
        <v/>
      </c>
      <c r="U849">
        <f>IF(J849="","",IF(T849="","⚠ not in Products",INDEX(Products!$A$5:$A$204,T849)))</f>
        <v/>
      </c>
      <c r="V849" s="11">
        <f>IF(J849="","",S849*(IFERROR(INDEX(Settings!$B$5:$B$9,MATCH($B849,Settings!$A$5:$A$9,0)),0)+IFERROR(INDEX(Settings!$E$5:$E$9,MATCH($B849,Settings!$A$5:$A$9,0)),0)+IFERROR(INDEX(Settings!$G$5:$G$9,MATCH($B849,Settings!$A$5:$A$9,0)),0))+(IFERROR(INDEX(Settings!$C$5:$C$9,MATCH($B849,Settings!$A$5:$A$9,0)),0)+IFERROR(INDEX(Settings!$F$5:$F$9,MATCH($B849,Settings!$A$5:$A$9,0)),0))/P849+IFERROR(INDEX(Settings!$D$5:$D$9,MATCH($B849,Settings!$A$5:$A$9,0)),0)*M849)</f>
        <v/>
      </c>
      <c r="W849" s="11">
        <f>IF(J849="","",IF(T849="",0,M849*INDEX(Products!$I$5:$I$204,T849)))</f>
        <v/>
      </c>
      <c r="X849" s="11">
        <f>IF(J849="","",IF(T849="",0,S849*INDEX(Products!$H$5:$H$204,T849)))</f>
        <v/>
      </c>
      <c r="Y849" s="11">
        <f>IF(J849="","",S849-V849-W849-X849)</f>
        <v/>
      </c>
    </row>
    <row r="850">
      <c r="A850" s="19" t="n"/>
      <c r="B850" s="19" t="n"/>
      <c r="C850" s="19" t="n"/>
      <c r="D850" s="19" t="n"/>
      <c r="E850" s="19" t="n"/>
      <c r="F850" s="20" t="n"/>
      <c r="G850" s="20" t="n"/>
      <c r="H850" s="20" t="n"/>
      <c r="I850" s="19" t="n"/>
      <c r="J850">
        <f>IFERROR(IF(C850="","",C850)&amp;"","")</f>
        <v/>
      </c>
      <c r="K850">
        <f>IFERROR(IF(D850="","",D850)&amp;"","")</f>
        <v/>
      </c>
      <c r="L850">
        <f>IFERROR(IF(I850="","",I850)&amp;"","")</f>
        <v/>
      </c>
      <c r="M850">
        <f>IF(J850="","",IFERROR(VALUE(SUBSTITUTE(SUBSTITUTE(IF(E850="","",E850)&amp;"","$",""),",","")),0))</f>
        <v/>
      </c>
      <c r="N850" s="11">
        <f>IF(J850="","",IFERROR(VALUE(SUBSTITUTE(SUBSTITUTE(IF(F850="","",F850)&amp;"","$",""),",","")),0))</f>
        <v/>
      </c>
      <c r="O850" s="11">
        <f>IF(J850="","",M850*N850)</f>
        <v/>
      </c>
      <c r="P850">
        <f>IF(J850="","",IF(L850="",1,COUNTIF($L$2:$L$1501,L850)))</f>
        <v/>
      </c>
      <c r="Q850" s="11">
        <f>IF(J850="","",IFERROR(VALUE(SUBSTITUTE(SUBSTITUTE(IF(G850="","",G850)&amp;"","$",""),",","")),0)/IF("No"="Yes",P850,1))</f>
        <v/>
      </c>
      <c r="R850" s="11">
        <f>IF(J850="","",IFERROR(VALUE(SUBSTITUTE(SUBSTITUTE(IF(H850="","",H850)&amp;"","$",""),",","")),0)/IF("No"="Yes",P850,1))</f>
        <v/>
      </c>
      <c r="S850" s="11">
        <f>IF(J850="","",O850+Q850-R850)</f>
        <v/>
      </c>
      <c r="T850">
        <f>IF(J850="","",IFERROR(IF(K850="",NA(),MATCH(K850,Products!$B$5:$B$204,0)),IFERROR(MATCH(J850,Products!$A$5:$A$204,0),"")))</f>
        <v/>
      </c>
      <c r="U850">
        <f>IF(J850="","",IF(T850="","⚠ not in Products",INDEX(Products!$A$5:$A$204,T850)))</f>
        <v/>
      </c>
      <c r="V850" s="11">
        <f>IF(J850="","",S850*(IFERROR(INDEX(Settings!$B$5:$B$9,MATCH($B850,Settings!$A$5:$A$9,0)),0)+IFERROR(INDEX(Settings!$E$5:$E$9,MATCH($B850,Settings!$A$5:$A$9,0)),0)+IFERROR(INDEX(Settings!$G$5:$G$9,MATCH($B850,Settings!$A$5:$A$9,0)),0))+(IFERROR(INDEX(Settings!$C$5:$C$9,MATCH($B850,Settings!$A$5:$A$9,0)),0)+IFERROR(INDEX(Settings!$F$5:$F$9,MATCH($B850,Settings!$A$5:$A$9,0)),0))/P850+IFERROR(INDEX(Settings!$D$5:$D$9,MATCH($B850,Settings!$A$5:$A$9,0)),0)*M850)</f>
        <v/>
      </c>
      <c r="W850" s="11">
        <f>IF(J850="","",IF(T850="",0,M850*INDEX(Products!$I$5:$I$204,T850)))</f>
        <v/>
      </c>
      <c r="X850" s="11">
        <f>IF(J850="","",IF(T850="",0,S850*INDEX(Products!$H$5:$H$204,T850)))</f>
        <v/>
      </c>
      <c r="Y850" s="11">
        <f>IF(J850="","",S850-V850-W850-X850)</f>
        <v/>
      </c>
    </row>
    <row r="851">
      <c r="A851" s="19" t="n"/>
      <c r="B851" s="19" t="n"/>
      <c r="C851" s="19" t="n"/>
      <c r="D851" s="19" t="n"/>
      <c r="E851" s="19" t="n"/>
      <c r="F851" s="20" t="n"/>
      <c r="G851" s="20" t="n"/>
      <c r="H851" s="20" t="n"/>
      <c r="I851" s="19" t="n"/>
      <c r="J851">
        <f>IFERROR(IF(C851="","",C851)&amp;"","")</f>
        <v/>
      </c>
      <c r="K851">
        <f>IFERROR(IF(D851="","",D851)&amp;"","")</f>
        <v/>
      </c>
      <c r="L851">
        <f>IFERROR(IF(I851="","",I851)&amp;"","")</f>
        <v/>
      </c>
      <c r="M851">
        <f>IF(J851="","",IFERROR(VALUE(SUBSTITUTE(SUBSTITUTE(IF(E851="","",E851)&amp;"","$",""),",","")),0))</f>
        <v/>
      </c>
      <c r="N851" s="11">
        <f>IF(J851="","",IFERROR(VALUE(SUBSTITUTE(SUBSTITUTE(IF(F851="","",F851)&amp;"","$",""),",","")),0))</f>
        <v/>
      </c>
      <c r="O851" s="11">
        <f>IF(J851="","",M851*N851)</f>
        <v/>
      </c>
      <c r="P851">
        <f>IF(J851="","",IF(L851="",1,COUNTIF($L$2:$L$1501,L851)))</f>
        <v/>
      </c>
      <c r="Q851" s="11">
        <f>IF(J851="","",IFERROR(VALUE(SUBSTITUTE(SUBSTITUTE(IF(G851="","",G851)&amp;"","$",""),",","")),0)/IF("No"="Yes",P851,1))</f>
        <v/>
      </c>
      <c r="R851" s="11">
        <f>IF(J851="","",IFERROR(VALUE(SUBSTITUTE(SUBSTITUTE(IF(H851="","",H851)&amp;"","$",""),",","")),0)/IF("No"="Yes",P851,1))</f>
        <v/>
      </c>
      <c r="S851" s="11">
        <f>IF(J851="","",O851+Q851-R851)</f>
        <v/>
      </c>
      <c r="T851">
        <f>IF(J851="","",IFERROR(IF(K851="",NA(),MATCH(K851,Products!$B$5:$B$204,0)),IFERROR(MATCH(J851,Products!$A$5:$A$204,0),"")))</f>
        <v/>
      </c>
      <c r="U851">
        <f>IF(J851="","",IF(T851="","⚠ not in Products",INDEX(Products!$A$5:$A$204,T851)))</f>
        <v/>
      </c>
      <c r="V851" s="11">
        <f>IF(J851="","",S851*(IFERROR(INDEX(Settings!$B$5:$B$9,MATCH($B851,Settings!$A$5:$A$9,0)),0)+IFERROR(INDEX(Settings!$E$5:$E$9,MATCH($B851,Settings!$A$5:$A$9,0)),0)+IFERROR(INDEX(Settings!$G$5:$G$9,MATCH($B851,Settings!$A$5:$A$9,0)),0))+(IFERROR(INDEX(Settings!$C$5:$C$9,MATCH($B851,Settings!$A$5:$A$9,0)),0)+IFERROR(INDEX(Settings!$F$5:$F$9,MATCH($B851,Settings!$A$5:$A$9,0)),0))/P851+IFERROR(INDEX(Settings!$D$5:$D$9,MATCH($B851,Settings!$A$5:$A$9,0)),0)*M851)</f>
        <v/>
      </c>
      <c r="W851" s="11">
        <f>IF(J851="","",IF(T851="",0,M851*INDEX(Products!$I$5:$I$204,T851)))</f>
        <v/>
      </c>
      <c r="X851" s="11">
        <f>IF(J851="","",IF(T851="",0,S851*INDEX(Products!$H$5:$H$204,T851)))</f>
        <v/>
      </c>
      <c r="Y851" s="11">
        <f>IF(J851="","",S851-V851-W851-X851)</f>
        <v/>
      </c>
    </row>
    <row r="852">
      <c r="A852" s="19" t="n"/>
      <c r="B852" s="19" t="n"/>
      <c r="C852" s="19" t="n"/>
      <c r="D852" s="19" t="n"/>
      <c r="E852" s="19" t="n"/>
      <c r="F852" s="20" t="n"/>
      <c r="G852" s="20" t="n"/>
      <c r="H852" s="20" t="n"/>
      <c r="I852" s="19" t="n"/>
      <c r="J852">
        <f>IFERROR(IF(C852="","",C852)&amp;"","")</f>
        <v/>
      </c>
      <c r="K852">
        <f>IFERROR(IF(D852="","",D852)&amp;"","")</f>
        <v/>
      </c>
      <c r="L852">
        <f>IFERROR(IF(I852="","",I852)&amp;"","")</f>
        <v/>
      </c>
      <c r="M852">
        <f>IF(J852="","",IFERROR(VALUE(SUBSTITUTE(SUBSTITUTE(IF(E852="","",E852)&amp;"","$",""),",","")),0))</f>
        <v/>
      </c>
      <c r="N852" s="11">
        <f>IF(J852="","",IFERROR(VALUE(SUBSTITUTE(SUBSTITUTE(IF(F852="","",F852)&amp;"","$",""),",","")),0))</f>
        <v/>
      </c>
      <c r="O852" s="11">
        <f>IF(J852="","",M852*N852)</f>
        <v/>
      </c>
      <c r="P852">
        <f>IF(J852="","",IF(L852="",1,COUNTIF($L$2:$L$1501,L852)))</f>
        <v/>
      </c>
      <c r="Q852" s="11">
        <f>IF(J852="","",IFERROR(VALUE(SUBSTITUTE(SUBSTITUTE(IF(G852="","",G852)&amp;"","$",""),",","")),0)/IF("No"="Yes",P852,1))</f>
        <v/>
      </c>
      <c r="R852" s="11">
        <f>IF(J852="","",IFERROR(VALUE(SUBSTITUTE(SUBSTITUTE(IF(H852="","",H852)&amp;"","$",""),",","")),0)/IF("No"="Yes",P852,1))</f>
        <v/>
      </c>
      <c r="S852" s="11">
        <f>IF(J852="","",O852+Q852-R852)</f>
        <v/>
      </c>
      <c r="T852">
        <f>IF(J852="","",IFERROR(IF(K852="",NA(),MATCH(K852,Products!$B$5:$B$204,0)),IFERROR(MATCH(J852,Products!$A$5:$A$204,0),"")))</f>
        <v/>
      </c>
      <c r="U852">
        <f>IF(J852="","",IF(T852="","⚠ not in Products",INDEX(Products!$A$5:$A$204,T852)))</f>
        <v/>
      </c>
      <c r="V852" s="11">
        <f>IF(J852="","",S852*(IFERROR(INDEX(Settings!$B$5:$B$9,MATCH($B852,Settings!$A$5:$A$9,0)),0)+IFERROR(INDEX(Settings!$E$5:$E$9,MATCH($B852,Settings!$A$5:$A$9,0)),0)+IFERROR(INDEX(Settings!$G$5:$G$9,MATCH($B852,Settings!$A$5:$A$9,0)),0))+(IFERROR(INDEX(Settings!$C$5:$C$9,MATCH($B852,Settings!$A$5:$A$9,0)),0)+IFERROR(INDEX(Settings!$F$5:$F$9,MATCH($B852,Settings!$A$5:$A$9,0)),0))/P852+IFERROR(INDEX(Settings!$D$5:$D$9,MATCH($B852,Settings!$A$5:$A$9,0)),0)*M852)</f>
        <v/>
      </c>
      <c r="W852" s="11">
        <f>IF(J852="","",IF(T852="",0,M852*INDEX(Products!$I$5:$I$204,T852)))</f>
        <v/>
      </c>
      <c r="X852" s="11">
        <f>IF(J852="","",IF(T852="",0,S852*INDEX(Products!$H$5:$H$204,T852)))</f>
        <v/>
      </c>
      <c r="Y852" s="11">
        <f>IF(J852="","",S852-V852-W852-X852)</f>
        <v/>
      </c>
    </row>
    <row r="853">
      <c r="A853" s="19" t="n"/>
      <c r="B853" s="19" t="n"/>
      <c r="C853" s="19" t="n"/>
      <c r="D853" s="19" t="n"/>
      <c r="E853" s="19" t="n"/>
      <c r="F853" s="20" t="n"/>
      <c r="G853" s="20" t="n"/>
      <c r="H853" s="20" t="n"/>
      <c r="I853" s="19" t="n"/>
      <c r="J853">
        <f>IFERROR(IF(C853="","",C853)&amp;"","")</f>
        <v/>
      </c>
      <c r="K853">
        <f>IFERROR(IF(D853="","",D853)&amp;"","")</f>
        <v/>
      </c>
      <c r="L853">
        <f>IFERROR(IF(I853="","",I853)&amp;"","")</f>
        <v/>
      </c>
      <c r="M853">
        <f>IF(J853="","",IFERROR(VALUE(SUBSTITUTE(SUBSTITUTE(IF(E853="","",E853)&amp;"","$",""),",","")),0))</f>
        <v/>
      </c>
      <c r="N853" s="11">
        <f>IF(J853="","",IFERROR(VALUE(SUBSTITUTE(SUBSTITUTE(IF(F853="","",F853)&amp;"","$",""),",","")),0))</f>
        <v/>
      </c>
      <c r="O853" s="11">
        <f>IF(J853="","",M853*N853)</f>
        <v/>
      </c>
      <c r="P853">
        <f>IF(J853="","",IF(L853="",1,COUNTIF($L$2:$L$1501,L853)))</f>
        <v/>
      </c>
      <c r="Q853" s="11">
        <f>IF(J853="","",IFERROR(VALUE(SUBSTITUTE(SUBSTITUTE(IF(G853="","",G853)&amp;"","$",""),",","")),0)/IF("No"="Yes",P853,1))</f>
        <v/>
      </c>
      <c r="R853" s="11">
        <f>IF(J853="","",IFERROR(VALUE(SUBSTITUTE(SUBSTITUTE(IF(H853="","",H853)&amp;"","$",""),",","")),0)/IF("No"="Yes",P853,1))</f>
        <v/>
      </c>
      <c r="S853" s="11">
        <f>IF(J853="","",O853+Q853-R853)</f>
        <v/>
      </c>
      <c r="T853">
        <f>IF(J853="","",IFERROR(IF(K853="",NA(),MATCH(K853,Products!$B$5:$B$204,0)),IFERROR(MATCH(J853,Products!$A$5:$A$204,0),"")))</f>
        <v/>
      </c>
      <c r="U853">
        <f>IF(J853="","",IF(T853="","⚠ not in Products",INDEX(Products!$A$5:$A$204,T853)))</f>
        <v/>
      </c>
      <c r="V853" s="11">
        <f>IF(J853="","",S853*(IFERROR(INDEX(Settings!$B$5:$B$9,MATCH($B853,Settings!$A$5:$A$9,0)),0)+IFERROR(INDEX(Settings!$E$5:$E$9,MATCH($B853,Settings!$A$5:$A$9,0)),0)+IFERROR(INDEX(Settings!$G$5:$G$9,MATCH($B853,Settings!$A$5:$A$9,0)),0))+(IFERROR(INDEX(Settings!$C$5:$C$9,MATCH($B853,Settings!$A$5:$A$9,0)),0)+IFERROR(INDEX(Settings!$F$5:$F$9,MATCH($B853,Settings!$A$5:$A$9,0)),0))/P853+IFERROR(INDEX(Settings!$D$5:$D$9,MATCH($B853,Settings!$A$5:$A$9,0)),0)*M853)</f>
        <v/>
      </c>
      <c r="W853" s="11">
        <f>IF(J853="","",IF(T853="",0,M853*INDEX(Products!$I$5:$I$204,T853)))</f>
        <v/>
      </c>
      <c r="X853" s="11">
        <f>IF(J853="","",IF(T853="",0,S853*INDEX(Products!$H$5:$H$204,T853)))</f>
        <v/>
      </c>
      <c r="Y853" s="11">
        <f>IF(J853="","",S853-V853-W853-X853)</f>
        <v/>
      </c>
    </row>
    <row r="854">
      <c r="A854" s="19" t="n"/>
      <c r="B854" s="19" t="n"/>
      <c r="C854" s="19" t="n"/>
      <c r="D854" s="19" t="n"/>
      <c r="E854" s="19" t="n"/>
      <c r="F854" s="20" t="n"/>
      <c r="G854" s="20" t="n"/>
      <c r="H854" s="20" t="n"/>
      <c r="I854" s="19" t="n"/>
      <c r="J854">
        <f>IFERROR(IF(C854="","",C854)&amp;"","")</f>
        <v/>
      </c>
      <c r="K854">
        <f>IFERROR(IF(D854="","",D854)&amp;"","")</f>
        <v/>
      </c>
      <c r="L854">
        <f>IFERROR(IF(I854="","",I854)&amp;"","")</f>
        <v/>
      </c>
      <c r="M854">
        <f>IF(J854="","",IFERROR(VALUE(SUBSTITUTE(SUBSTITUTE(IF(E854="","",E854)&amp;"","$",""),",","")),0))</f>
        <v/>
      </c>
      <c r="N854" s="11">
        <f>IF(J854="","",IFERROR(VALUE(SUBSTITUTE(SUBSTITUTE(IF(F854="","",F854)&amp;"","$",""),",","")),0))</f>
        <v/>
      </c>
      <c r="O854" s="11">
        <f>IF(J854="","",M854*N854)</f>
        <v/>
      </c>
      <c r="P854">
        <f>IF(J854="","",IF(L854="",1,COUNTIF($L$2:$L$1501,L854)))</f>
        <v/>
      </c>
      <c r="Q854" s="11">
        <f>IF(J854="","",IFERROR(VALUE(SUBSTITUTE(SUBSTITUTE(IF(G854="","",G854)&amp;"","$",""),",","")),0)/IF("No"="Yes",P854,1))</f>
        <v/>
      </c>
      <c r="R854" s="11">
        <f>IF(J854="","",IFERROR(VALUE(SUBSTITUTE(SUBSTITUTE(IF(H854="","",H854)&amp;"","$",""),",","")),0)/IF("No"="Yes",P854,1))</f>
        <v/>
      </c>
      <c r="S854" s="11">
        <f>IF(J854="","",O854+Q854-R854)</f>
        <v/>
      </c>
      <c r="T854">
        <f>IF(J854="","",IFERROR(IF(K854="",NA(),MATCH(K854,Products!$B$5:$B$204,0)),IFERROR(MATCH(J854,Products!$A$5:$A$204,0),"")))</f>
        <v/>
      </c>
      <c r="U854">
        <f>IF(J854="","",IF(T854="","⚠ not in Products",INDEX(Products!$A$5:$A$204,T854)))</f>
        <v/>
      </c>
      <c r="V854" s="11">
        <f>IF(J854="","",S854*(IFERROR(INDEX(Settings!$B$5:$B$9,MATCH($B854,Settings!$A$5:$A$9,0)),0)+IFERROR(INDEX(Settings!$E$5:$E$9,MATCH($B854,Settings!$A$5:$A$9,0)),0)+IFERROR(INDEX(Settings!$G$5:$G$9,MATCH($B854,Settings!$A$5:$A$9,0)),0))+(IFERROR(INDEX(Settings!$C$5:$C$9,MATCH($B854,Settings!$A$5:$A$9,0)),0)+IFERROR(INDEX(Settings!$F$5:$F$9,MATCH($B854,Settings!$A$5:$A$9,0)),0))/P854+IFERROR(INDEX(Settings!$D$5:$D$9,MATCH($B854,Settings!$A$5:$A$9,0)),0)*M854)</f>
        <v/>
      </c>
      <c r="W854" s="11">
        <f>IF(J854="","",IF(T854="",0,M854*INDEX(Products!$I$5:$I$204,T854)))</f>
        <v/>
      </c>
      <c r="X854" s="11">
        <f>IF(J854="","",IF(T854="",0,S854*INDEX(Products!$H$5:$H$204,T854)))</f>
        <v/>
      </c>
      <c r="Y854" s="11">
        <f>IF(J854="","",S854-V854-W854-X854)</f>
        <v/>
      </c>
    </row>
    <row r="855">
      <c r="A855" s="19" t="n"/>
      <c r="B855" s="19" t="n"/>
      <c r="C855" s="19" t="n"/>
      <c r="D855" s="19" t="n"/>
      <c r="E855" s="19" t="n"/>
      <c r="F855" s="20" t="n"/>
      <c r="G855" s="20" t="n"/>
      <c r="H855" s="20" t="n"/>
      <c r="I855" s="19" t="n"/>
      <c r="J855">
        <f>IFERROR(IF(C855="","",C855)&amp;"","")</f>
        <v/>
      </c>
      <c r="K855">
        <f>IFERROR(IF(D855="","",D855)&amp;"","")</f>
        <v/>
      </c>
      <c r="L855">
        <f>IFERROR(IF(I855="","",I855)&amp;"","")</f>
        <v/>
      </c>
      <c r="M855">
        <f>IF(J855="","",IFERROR(VALUE(SUBSTITUTE(SUBSTITUTE(IF(E855="","",E855)&amp;"","$",""),",","")),0))</f>
        <v/>
      </c>
      <c r="N855" s="11">
        <f>IF(J855="","",IFERROR(VALUE(SUBSTITUTE(SUBSTITUTE(IF(F855="","",F855)&amp;"","$",""),",","")),0))</f>
        <v/>
      </c>
      <c r="O855" s="11">
        <f>IF(J855="","",M855*N855)</f>
        <v/>
      </c>
      <c r="P855">
        <f>IF(J855="","",IF(L855="",1,COUNTIF($L$2:$L$1501,L855)))</f>
        <v/>
      </c>
      <c r="Q855" s="11">
        <f>IF(J855="","",IFERROR(VALUE(SUBSTITUTE(SUBSTITUTE(IF(G855="","",G855)&amp;"","$",""),",","")),0)/IF("No"="Yes",P855,1))</f>
        <v/>
      </c>
      <c r="R855" s="11">
        <f>IF(J855="","",IFERROR(VALUE(SUBSTITUTE(SUBSTITUTE(IF(H855="","",H855)&amp;"","$",""),",","")),0)/IF("No"="Yes",P855,1))</f>
        <v/>
      </c>
      <c r="S855" s="11">
        <f>IF(J855="","",O855+Q855-R855)</f>
        <v/>
      </c>
      <c r="T855">
        <f>IF(J855="","",IFERROR(IF(K855="",NA(),MATCH(K855,Products!$B$5:$B$204,0)),IFERROR(MATCH(J855,Products!$A$5:$A$204,0),"")))</f>
        <v/>
      </c>
      <c r="U855">
        <f>IF(J855="","",IF(T855="","⚠ not in Products",INDEX(Products!$A$5:$A$204,T855)))</f>
        <v/>
      </c>
      <c r="V855" s="11">
        <f>IF(J855="","",S855*(IFERROR(INDEX(Settings!$B$5:$B$9,MATCH($B855,Settings!$A$5:$A$9,0)),0)+IFERROR(INDEX(Settings!$E$5:$E$9,MATCH($B855,Settings!$A$5:$A$9,0)),0)+IFERROR(INDEX(Settings!$G$5:$G$9,MATCH($B855,Settings!$A$5:$A$9,0)),0))+(IFERROR(INDEX(Settings!$C$5:$C$9,MATCH($B855,Settings!$A$5:$A$9,0)),0)+IFERROR(INDEX(Settings!$F$5:$F$9,MATCH($B855,Settings!$A$5:$A$9,0)),0))/P855+IFERROR(INDEX(Settings!$D$5:$D$9,MATCH($B855,Settings!$A$5:$A$9,0)),0)*M855)</f>
        <v/>
      </c>
      <c r="W855" s="11">
        <f>IF(J855="","",IF(T855="",0,M855*INDEX(Products!$I$5:$I$204,T855)))</f>
        <v/>
      </c>
      <c r="X855" s="11">
        <f>IF(J855="","",IF(T855="",0,S855*INDEX(Products!$H$5:$H$204,T855)))</f>
        <v/>
      </c>
      <c r="Y855" s="11">
        <f>IF(J855="","",S855-V855-W855-X855)</f>
        <v/>
      </c>
    </row>
    <row r="856">
      <c r="A856" s="19" t="n"/>
      <c r="B856" s="19" t="n"/>
      <c r="C856" s="19" t="n"/>
      <c r="D856" s="19" t="n"/>
      <c r="E856" s="19" t="n"/>
      <c r="F856" s="20" t="n"/>
      <c r="G856" s="20" t="n"/>
      <c r="H856" s="20" t="n"/>
      <c r="I856" s="19" t="n"/>
      <c r="J856">
        <f>IFERROR(IF(C856="","",C856)&amp;"","")</f>
        <v/>
      </c>
      <c r="K856">
        <f>IFERROR(IF(D856="","",D856)&amp;"","")</f>
        <v/>
      </c>
      <c r="L856">
        <f>IFERROR(IF(I856="","",I856)&amp;"","")</f>
        <v/>
      </c>
      <c r="M856">
        <f>IF(J856="","",IFERROR(VALUE(SUBSTITUTE(SUBSTITUTE(IF(E856="","",E856)&amp;"","$",""),",","")),0))</f>
        <v/>
      </c>
      <c r="N856" s="11">
        <f>IF(J856="","",IFERROR(VALUE(SUBSTITUTE(SUBSTITUTE(IF(F856="","",F856)&amp;"","$",""),",","")),0))</f>
        <v/>
      </c>
      <c r="O856" s="11">
        <f>IF(J856="","",M856*N856)</f>
        <v/>
      </c>
      <c r="P856">
        <f>IF(J856="","",IF(L856="",1,COUNTIF($L$2:$L$1501,L856)))</f>
        <v/>
      </c>
      <c r="Q856" s="11">
        <f>IF(J856="","",IFERROR(VALUE(SUBSTITUTE(SUBSTITUTE(IF(G856="","",G856)&amp;"","$",""),",","")),0)/IF("No"="Yes",P856,1))</f>
        <v/>
      </c>
      <c r="R856" s="11">
        <f>IF(J856="","",IFERROR(VALUE(SUBSTITUTE(SUBSTITUTE(IF(H856="","",H856)&amp;"","$",""),",","")),0)/IF("No"="Yes",P856,1))</f>
        <v/>
      </c>
      <c r="S856" s="11">
        <f>IF(J856="","",O856+Q856-R856)</f>
        <v/>
      </c>
      <c r="T856">
        <f>IF(J856="","",IFERROR(IF(K856="",NA(),MATCH(K856,Products!$B$5:$B$204,0)),IFERROR(MATCH(J856,Products!$A$5:$A$204,0),"")))</f>
        <v/>
      </c>
      <c r="U856">
        <f>IF(J856="","",IF(T856="","⚠ not in Products",INDEX(Products!$A$5:$A$204,T856)))</f>
        <v/>
      </c>
      <c r="V856" s="11">
        <f>IF(J856="","",S856*(IFERROR(INDEX(Settings!$B$5:$B$9,MATCH($B856,Settings!$A$5:$A$9,0)),0)+IFERROR(INDEX(Settings!$E$5:$E$9,MATCH($B856,Settings!$A$5:$A$9,0)),0)+IFERROR(INDEX(Settings!$G$5:$G$9,MATCH($B856,Settings!$A$5:$A$9,0)),0))+(IFERROR(INDEX(Settings!$C$5:$C$9,MATCH($B856,Settings!$A$5:$A$9,0)),0)+IFERROR(INDEX(Settings!$F$5:$F$9,MATCH($B856,Settings!$A$5:$A$9,0)),0))/P856+IFERROR(INDEX(Settings!$D$5:$D$9,MATCH($B856,Settings!$A$5:$A$9,0)),0)*M856)</f>
        <v/>
      </c>
      <c r="W856" s="11">
        <f>IF(J856="","",IF(T856="",0,M856*INDEX(Products!$I$5:$I$204,T856)))</f>
        <v/>
      </c>
      <c r="X856" s="11">
        <f>IF(J856="","",IF(T856="",0,S856*INDEX(Products!$H$5:$H$204,T856)))</f>
        <v/>
      </c>
      <c r="Y856" s="11">
        <f>IF(J856="","",S856-V856-W856-X856)</f>
        <v/>
      </c>
    </row>
    <row r="857">
      <c r="A857" s="19" t="n"/>
      <c r="B857" s="19" t="n"/>
      <c r="C857" s="19" t="n"/>
      <c r="D857" s="19" t="n"/>
      <c r="E857" s="19" t="n"/>
      <c r="F857" s="20" t="n"/>
      <c r="G857" s="20" t="n"/>
      <c r="H857" s="20" t="n"/>
      <c r="I857" s="19" t="n"/>
      <c r="J857">
        <f>IFERROR(IF(C857="","",C857)&amp;"","")</f>
        <v/>
      </c>
      <c r="K857">
        <f>IFERROR(IF(D857="","",D857)&amp;"","")</f>
        <v/>
      </c>
      <c r="L857">
        <f>IFERROR(IF(I857="","",I857)&amp;"","")</f>
        <v/>
      </c>
      <c r="M857">
        <f>IF(J857="","",IFERROR(VALUE(SUBSTITUTE(SUBSTITUTE(IF(E857="","",E857)&amp;"","$",""),",","")),0))</f>
        <v/>
      </c>
      <c r="N857" s="11">
        <f>IF(J857="","",IFERROR(VALUE(SUBSTITUTE(SUBSTITUTE(IF(F857="","",F857)&amp;"","$",""),",","")),0))</f>
        <v/>
      </c>
      <c r="O857" s="11">
        <f>IF(J857="","",M857*N857)</f>
        <v/>
      </c>
      <c r="P857">
        <f>IF(J857="","",IF(L857="",1,COUNTIF($L$2:$L$1501,L857)))</f>
        <v/>
      </c>
      <c r="Q857" s="11">
        <f>IF(J857="","",IFERROR(VALUE(SUBSTITUTE(SUBSTITUTE(IF(G857="","",G857)&amp;"","$",""),",","")),0)/IF("No"="Yes",P857,1))</f>
        <v/>
      </c>
      <c r="R857" s="11">
        <f>IF(J857="","",IFERROR(VALUE(SUBSTITUTE(SUBSTITUTE(IF(H857="","",H857)&amp;"","$",""),",","")),0)/IF("No"="Yes",P857,1))</f>
        <v/>
      </c>
      <c r="S857" s="11">
        <f>IF(J857="","",O857+Q857-R857)</f>
        <v/>
      </c>
      <c r="T857">
        <f>IF(J857="","",IFERROR(IF(K857="",NA(),MATCH(K857,Products!$B$5:$B$204,0)),IFERROR(MATCH(J857,Products!$A$5:$A$204,0),"")))</f>
        <v/>
      </c>
      <c r="U857">
        <f>IF(J857="","",IF(T857="","⚠ not in Products",INDEX(Products!$A$5:$A$204,T857)))</f>
        <v/>
      </c>
      <c r="V857" s="11">
        <f>IF(J857="","",S857*(IFERROR(INDEX(Settings!$B$5:$B$9,MATCH($B857,Settings!$A$5:$A$9,0)),0)+IFERROR(INDEX(Settings!$E$5:$E$9,MATCH($B857,Settings!$A$5:$A$9,0)),0)+IFERROR(INDEX(Settings!$G$5:$G$9,MATCH($B857,Settings!$A$5:$A$9,0)),0))+(IFERROR(INDEX(Settings!$C$5:$C$9,MATCH($B857,Settings!$A$5:$A$9,0)),0)+IFERROR(INDEX(Settings!$F$5:$F$9,MATCH($B857,Settings!$A$5:$A$9,0)),0))/P857+IFERROR(INDEX(Settings!$D$5:$D$9,MATCH($B857,Settings!$A$5:$A$9,0)),0)*M857)</f>
        <v/>
      </c>
      <c r="W857" s="11">
        <f>IF(J857="","",IF(T857="",0,M857*INDEX(Products!$I$5:$I$204,T857)))</f>
        <v/>
      </c>
      <c r="X857" s="11">
        <f>IF(J857="","",IF(T857="",0,S857*INDEX(Products!$H$5:$H$204,T857)))</f>
        <v/>
      </c>
      <c r="Y857" s="11">
        <f>IF(J857="","",S857-V857-W857-X857)</f>
        <v/>
      </c>
    </row>
    <row r="858">
      <c r="A858" s="19" t="n"/>
      <c r="B858" s="19" t="n"/>
      <c r="C858" s="19" t="n"/>
      <c r="D858" s="19" t="n"/>
      <c r="E858" s="19" t="n"/>
      <c r="F858" s="20" t="n"/>
      <c r="G858" s="20" t="n"/>
      <c r="H858" s="20" t="n"/>
      <c r="I858" s="19" t="n"/>
      <c r="J858">
        <f>IFERROR(IF(C858="","",C858)&amp;"","")</f>
        <v/>
      </c>
      <c r="K858">
        <f>IFERROR(IF(D858="","",D858)&amp;"","")</f>
        <v/>
      </c>
      <c r="L858">
        <f>IFERROR(IF(I858="","",I858)&amp;"","")</f>
        <v/>
      </c>
      <c r="M858">
        <f>IF(J858="","",IFERROR(VALUE(SUBSTITUTE(SUBSTITUTE(IF(E858="","",E858)&amp;"","$",""),",","")),0))</f>
        <v/>
      </c>
      <c r="N858" s="11">
        <f>IF(J858="","",IFERROR(VALUE(SUBSTITUTE(SUBSTITUTE(IF(F858="","",F858)&amp;"","$",""),",","")),0))</f>
        <v/>
      </c>
      <c r="O858" s="11">
        <f>IF(J858="","",M858*N858)</f>
        <v/>
      </c>
      <c r="P858">
        <f>IF(J858="","",IF(L858="",1,COUNTIF($L$2:$L$1501,L858)))</f>
        <v/>
      </c>
      <c r="Q858" s="11">
        <f>IF(J858="","",IFERROR(VALUE(SUBSTITUTE(SUBSTITUTE(IF(G858="","",G858)&amp;"","$",""),",","")),0)/IF("No"="Yes",P858,1))</f>
        <v/>
      </c>
      <c r="R858" s="11">
        <f>IF(J858="","",IFERROR(VALUE(SUBSTITUTE(SUBSTITUTE(IF(H858="","",H858)&amp;"","$",""),",","")),0)/IF("No"="Yes",P858,1))</f>
        <v/>
      </c>
      <c r="S858" s="11">
        <f>IF(J858="","",O858+Q858-R858)</f>
        <v/>
      </c>
      <c r="T858">
        <f>IF(J858="","",IFERROR(IF(K858="",NA(),MATCH(K858,Products!$B$5:$B$204,0)),IFERROR(MATCH(J858,Products!$A$5:$A$204,0),"")))</f>
        <v/>
      </c>
      <c r="U858">
        <f>IF(J858="","",IF(T858="","⚠ not in Products",INDEX(Products!$A$5:$A$204,T858)))</f>
        <v/>
      </c>
      <c r="V858" s="11">
        <f>IF(J858="","",S858*(IFERROR(INDEX(Settings!$B$5:$B$9,MATCH($B858,Settings!$A$5:$A$9,0)),0)+IFERROR(INDEX(Settings!$E$5:$E$9,MATCH($B858,Settings!$A$5:$A$9,0)),0)+IFERROR(INDEX(Settings!$G$5:$G$9,MATCH($B858,Settings!$A$5:$A$9,0)),0))+(IFERROR(INDEX(Settings!$C$5:$C$9,MATCH($B858,Settings!$A$5:$A$9,0)),0)+IFERROR(INDEX(Settings!$F$5:$F$9,MATCH($B858,Settings!$A$5:$A$9,0)),0))/P858+IFERROR(INDEX(Settings!$D$5:$D$9,MATCH($B858,Settings!$A$5:$A$9,0)),0)*M858)</f>
        <v/>
      </c>
      <c r="W858" s="11">
        <f>IF(J858="","",IF(T858="",0,M858*INDEX(Products!$I$5:$I$204,T858)))</f>
        <v/>
      </c>
      <c r="X858" s="11">
        <f>IF(J858="","",IF(T858="",0,S858*INDEX(Products!$H$5:$H$204,T858)))</f>
        <v/>
      </c>
      <c r="Y858" s="11">
        <f>IF(J858="","",S858-V858-W858-X858)</f>
        <v/>
      </c>
    </row>
    <row r="859">
      <c r="A859" s="19" t="n"/>
      <c r="B859" s="19" t="n"/>
      <c r="C859" s="19" t="n"/>
      <c r="D859" s="19" t="n"/>
      <c r="E859" s="19" t="n"/>
      <c r="F859" s="20" t="n"/>
      <c r="G859" s="20" t="n"/>
      <c r="H859" s="20" t="n"/>
      <c r="I859" s="19" t="n"/>
      <c r="J859">
        <f>IFERROR(IF(C859="","",C859)&amp;"","")</f>
        <v/>
      </c>
      <c r="K859">
        <f>IFERROR(IF(D859="","",D859)&amp;"","")</f>
        <v/>
      </c>
      <c r="L859">
        <f>IFERROR(IF(I859="","",I859)&amp;"","")</f>
        <v/>
      </c>
      <c r="M859">
        <f>IF(J859="","",IFERROR(VALUE(SUBSTITUTE(SUBSTITUTE(IF(E859="","",E859)&amp;"","$",""),",","")),0))</f>
        <v/>
      </c>
      <c r="N859" s="11">
        <f>IF(J859="","",IFERROR(VALUE(SUBSTITUTE(SUBSTITUTE(IF(F859="","",F859)&amp;"","$",""),",","")),0))</f>
        <v/>
      </c>
      <c r="O859" s="11">
        <f>IF(J859="","",M859*N859)</f>
        <v/>
      </c>
      <c r="P859">
        <f>IF(J859="","",IF(L859="",1,COUNTIF($L$2:$L$1501,L859)))</f>
        <v/>
      </c>
      <c r="Q859" s="11">
        <f>IF(J859="","",IFERROR(VALUE(SUBSTITUTE(SUBSTITUTE(IF(G859="","",G859)&amp;"","$",""),",","")),0)/IF("No"="Yes",P859,1))</f>
        <v/>
      </c>
      <c r="R859" s="11">
        <f>IF(J859="","",IFERROR(VALUE(SUBSTITUTE(SUBSTITUTE(IF(H859="","",H859)&amp;"","$",""),",","")),0)/IF("No"="Yes",P859,1))</f>
        <v/>
      </c>
      <c r="S859" s="11">
        <f>IF(J859="","",O859+Q859-R859)</f>
        <v/>
      </c>
      <c r="T859">
        <f>IF(J859="","",IFERROR(IF(K859="",NA(),MATCH(K859,Products!$B$5:$B$204,0)),IFERROR(MATCH(J859,Products!$A$5:$A$204,0),"")))</f>
        <v/>
      </c>
      <c r="U859">
        <f>IF(J859="","",IF(T859="","⚠ not in Products",INDEX(Products!$A$5:$A$204,T859)))</f>
        <v/>
      </c>
      <c r="V859" s="11">
        <f>IF(J859="","",S859*(IFERROR(INDEX(Settings!$B$5:$B$9,MATCH($B859,Settings!$A$5:$A$9,0)),0)+IFERROR(INDEX(Settings!$E$5:$E$9,MATCH($B859,Settings!$A$5:$A$9,0)),0)+IFERROR(INDEX(Settings!$G$5:$G$9,MATCH($B859,Settings!$A$5:$A$9,0)),0))+(IFERROR(INDEX(Settings!$C$5:$C$9,MATCH($B859,Settings!$A$5:$A$9,0)),0)+IFERROR(INDEX(Settings!$F$5:$F$9,MATCH($B859,Settings!$A$5:$A$9,0)),0))/P859+IFERROR(INDEX(Settings!$D$5:$D$9,MATCH($B859,Settings!$A$5:$A$9,0)),0)*M859)</f>
        <v/>
      </c>
      <c r="W859" s="11">
        <f>IF(J859="","",IF(T859="",0,M859*INDEX(Products!$I$5:$I$204,T859)))</f>
        <v/>
      </c>
      <c r="X859" s="11">
        <f>IF(J859="","",IF(T859="",0,S859*INDEX(Products!$H$5:$H$204,T859)))</f>
        <v/>
      </c>
      <c r="Y859" s="11">
        <f>IF(J859="","",S859-V859-W859-X859)</f>
        <v/>
      </c>
    </row>
    <row r="860">
      <c r="A860" s="19" t="n"/>
      <c r="B860" s="19" t="n"/>
      <c r="C860" s="19" t="n"/>
      <c r="D860" s="19" t="n"/>
      <c r="E860" s="19" t="n"/>
      <c r="F860" s="20" t="n"/>
      <c r="G860" s="20" t="n"/>
      <c r="H860" s="20" t="n"/>
      <c r="I860" s="19" t="n"/>
      <c r="J860">
        <f>IFERROR(IF(C860="","",C860)&amp;"","")</f>
        <v/>
      </c>
      <c r="K860">
        <f>IFERROR(IF(D860="","",D860)&amp;"","")</f>
        <v/>
      </c>
      <c r="L860">
        <f>IFERROR(IF(I860="","",I860)&amp;"","")</f>
        <v/>
      </c>
      <c r="M860">
        <f>IF(J860="","",IFERROR(VALUE(SUBSTITUTE(SUBSTITUTE(IF(E860="","",E860)&amp;"","$",""),",","")),0))</f>
        <v/>
      </c>
      <c r="N860" s="11">
        <f>IF(J860="","",IFERROR(VALUE(SUBSTITUTE(SUBSTITUTE(IF(F860="","",F860)&amp;"","$",""),",","")),0))</f>
        <v/>
      </c>
      <c r="O860" s="11">
        <f>IF(J860="","",M860*N860)</f>
        <v/>
      </c>
      <c r="P860">
        <f>IF(J860="","",IF(L860="",1,COUNTIF($L$2:$L$1501,L860)))</f>
        <v/>
      </c>
      <c r="Q860" s="11">
        <f>IF(J860="","",IFERROR(VALUE(SUBSTITUTE(SUBSTITUTE(IF(G860="","",G860)&amp;"","$",""),",","")),0)/IF("No"="Yes",P860,1))</f>
        <v/>
      </c>
      <c r="R860" s="11">
        <f>IF(J860="","",IFERROR(VALUE(SUBSTITUTE(SUBSTITUTE(IF(H860="","",H860)&amp;"","$",""),",","")),0)/IF("No"="Yes",P860,1))</f>
        <v/>
      </c>
      <c r="S860" s="11">
        <f>IF(J860="","",O860+Q860-R860)</f>
        <v/>
      </c>
      <c r="T860">
        <f>IF(J860="","",IFERROR(IF(K860="",NA(),MATCH(K860,Products!$B$5:$B$204,0)),IFERROR(MATCH(J860,Products!$A$5:$A$204,0),"")))</f>
        <v/>
      </c>
      <c r="U860">
        <f>IF(J860="","",IF(T860="","⚠ not in Products",INDEX(Products!$A$5:$A$204,T860)))</f>
        <v/>
      </c>
      <c r="V860" s="11">
        <f>IF(J860="","",S860*(IFERROR(INDEX(Settings!$B$5:$B$9,MATCH($B860,Settings!$A$5:$A$9,0)),0)+IFERROR(INDEX(Settings!$E$5:$E$9,MATCH($B860,Settings!$A$5:$A$9,0)),0)+IFERROR(INDEX(Settings!$G$5:$G$9,MATCH($B860,Settings!$A$5:$A$9,0)),0))+(IFERROR(INDEX(Settings!$C$5:$C$9,MATCH($B860,Settings!$A$5:$A$9,0)),0)+IFERROR(INDEX(Settings!$F$5:$F$9,MATCH($B860,Settings!$A$5:$A$9,0)),0))/P860+IFERROR(INDEX(Settings!$D$5:$D$9,MATCH($B860,Settings!$A$5:$A$9,0)),0)*M860)</f>
        <v/>
      </c>
      <c r="W860" s="11">
        <f>IF(J860="","",IF(T860="",0,M860*INDEX(Products!$I$5:$I$204,T860)))</f>
        <v/>
      </c>
      <c r="X860" s="11">
        <f>IF(J860="","",IF(T860="",0,S860*INDEX(Products!$H$5:$H$204,T860)))</f>
        <v/>
      </c>
      <c r="Y860" s="11">
        <f>IF(J860="","",S860-V860-W860-X860)</f>
        <v/>
      </c>
    </row>
    <row r="861">
      <c r="A861" s="19" t="n"/>
      <c r="B861" s="19" t="n"/>
      <c r="C861" s="19" t="n"/>
      <c r="D861" s="19" t="n"/>
      <c r="E861" s="19" t="n"/>
      <c r="F861" s="20" t="n"/>
      <c r="G861" s="20" t="n"/>
      <c r="H861" s="20" t="n"/>
      <c r="I861" s="19" t="n"/>
      <c r="J861">
        <f>IFERROR(IF(C861="","",C861)&amp;"","")</f>
        <v/>
      </c>
      <c r="K861">
        <f>IFERROR(IF(D861="","",D861)&amp;"","")</f>
        <v/>
      </c>
      <c r="L861">
        <f>IFERROR(IF(I861="","",I861)&amp;"","")</f>
        <v/>
      </c>
      <c r="M861">
        <f>IF(J861="","",IFERROR(VALUE(SUBSTITUTE(SUBSTITUTE(IF(E861="","",E861)&amp;"","$",""),",","")),0))</f>
        <v/>
      </c>
      <c r="N861" s="11">
        <f>IF(J861="","",IFERROR(VALUE(SUBSTITUTE(SUBSTITUTE(IF(F861="","",F861)&amp;"","$",""),",","")),0))</f>
        <v/>
      </c>
      <c r="O861" s="11">
        <f>IF(J861="","",M861*N861)</f>
        <v/>
      </c>
      <c r="P861">
        <f>IF(J861="","",IF(L861="",1,COUNTIF($L$2:$L$1501,L861)))</f>
        <v/>
      </c>
      <c r="Q861" s="11">
        <f>IF(J861="","",IFERROR(VALUE(SUBSTITUTE(SUBSTITUTE(IF(G861="","",G861)&amp;"","$",""),",","")),0)/IF("No"="Yes",P861,1))</f>
        <v/>
      </c>
      <c r="R861" s="11">
        <f>IF(J861="","",IFERROR(VALUE(SUBSTITUTE(SUBSTITUTE(IF(H861="","",H861)&amp;"","$",""),",","")),0)/IF("No"="Yes",P861,1))</f>
        <v/>
      </c>
      <c r="S861" s="11">
        <f>IF(J861="","",O861+Q861-R861)</f>
        <v/>
      </c>
      <c r="T861">
        <f>IF(J861="","",IFERROR(IF(K861="",NA(),MATCH(K861,Products!$B$5:$B$204,0)),IFERROR(MATCH(J861,Products!$A$5:$A$204,0),"")))</f>
        <v/>
      </c>
      <c r="U861">
        <f>IF(J861="","",IF(T861="","⚠ not in Products",INDEX(Products!$A$5:$A$204,T861)))</f>
        <v/>
      </c>
      <c r="V861" s="11">
        <f>IF(J861="","",S861*(IFERROR(INDEX(Settings!$B$5:$B$9,MATCH($B861,Settings!$A$5:$A$9,0)),0)+IFERROR(INDEX(Settings!$E$5:$E$9,MATCH($B861,Settings!$A$5:$A$9,0)),0)+IFERROR(INDEX(Settings!$G$5:$G$9,MATCH($B861,Settings!$A$5:$A$9,0)),0))+(IFERROR(INDEX(Settings!$C$5:$C$9,MATCH($B861,Settings!$A$5:$A$9,0)),0)+IFERROR(INDEX(Settings!$F$5:$F$9,MATCH($B861,Settings!$A$5:$A$9,0)),0))/P861+IFERROR(INDEX(Settings!$D$5:$D$9,MATCH($B861,Settings!$A$5:$A$9,0)),0)*M861)</f>
        <v/>
      </c>
      <c r="W861" s="11">
        <f>IF(J861="","",IF(T861="",0,M861*INDEX(Products!$I$5:$I$204,T861)))</f>
        <v/>
      </c>
      <c r="X861" s="11">
        <f>IF(J861="","",IF(T861="",0,S861*INDEX(Products!$H$5:$H$204,T861)))</f>
        <v/>
      </c>
      <c r="Y861" s="11">
        <f>IF(J861="","",S861-V861-W861-X861)</f>
        <v/>
      </c>
    </row>
    <row r="862">
      <c r="A862" s="19" t="n"/>
      <c r="B862" s="19" t="n"/>
      <c r="C862" s="19" t="n"/>
      <c r="D862" s="19" t="n"/>
      <c r="E862" s="19" t="n"/>
      <c r="F862" s="20" t="n"/>
      <c r="G862" s="20" t="n"/>
      <c r="H862" s="20" t="n"/>
      <c r="I862" s="19" t="n"/>
      <c r="J862">
        <f>IFERROR(IF(C862="","",C862)&amp;"","")</f>
        <v/>
      </c>
      <c r="K862">
        <f>IFERROR(IF(D862="","",D862)&amp;"","")</f>
        <v/>
      </c>
      <c r="L862">
        <f>IFERROR(IF(I862="","",I862)&amp;"","")</f>
        <v/>
      </c>
      <c r="M862">
        <f>IF(J862="","",IFERROR(VALUE(SUBSTITUTE(SUBSTITUTE(IF(E862="","",E862)&amp;"","$",""),",","")),0))</f>
        <v/>
      </c>
      <c r="N862" s="11">
        <f>IF(J862="","",IFERROR(VALUE(SUBSTITUTE(SUBSTITUTE(IF(F862="","",F862)&amp;"","$",""),",","")),0))</f>
        <v/>
      </c>
      <c r="O862" s="11">
        <f>IF(J862="","",M862*N862)</f>
        <v/>
      </c>
      <c r="P862">
        <f>IF(J862="","",IF(L862="",1,COUNTIF($L$2:$L$1501,L862)))</f>
        <v/>
      </c>
      <c r="Q862" s="11">
        <f>IF(J862="","",IFERROR(VALUE(SUBSTITUTE(SUBSTITUTE(IF(G862="","",G862)&amp;"","$",""),",","")),0)/IF("No"="Yes",P862,1))</f>
        <v/>
      </c>
      <c r="R862" s="11">
        <f>IF(J862="","",IFERROR(VALUE(SUBSTITUTE(SUBSTITUTE(IF(H862="","",H862)&amp;"","$",""),",","")),0)/IF("No"="Yes",P862,1))</f>
        <v/>
      </c>
      <c r="S862" s="11">
        <f>IF(J862="","",O862+Q862-R862)</f>
        <v/>
      </c>
      <c r="T862">
        <f>IF(J862="","",IFERROR(IF(K862="",NA(),MATCH(K862,Products!$B$5:$B$204,0)),IFERROR(MATCH(J862,Products!$A$5:$A$204,0),"")))</f>
        <v/>
      </c>
      <c r="U862">
        <f>IF(J862="","",IF(T862="","⚠ not in Products",INDEX(Products!$A$5:$A$204,T862)))</f>
        <v/>
      </c>
      <c r="V862" s="11">
        <f>IF(J862="","",S862*(IFERROR(INDEX(Settings!$B$5:$B$9,MATCH($B862,Settings!$A$5:$A$9,0)),0)+IFERROR(INDEX(Settings!$E$5:$E$9,MATCH($B862,Settings!$A$5:$A$9,0)),0)+IFERROR(INDEX(Settings!$G$5:$G$9,MATCH($B862,Settings!$A$5:$A$9,0)),0))+(IFERROR(INDEX(Settings!$C$5:$C$9,MATCH($B862,Settings!$A$5:$A$9,0)),0)+IFERROR(INDEX(Settings!$F$5:$F$9,MATCH($B862,Settings!$A$5:$A$9,0)),0))/P862+IFERROR(INDEX(Settings!$D$5:$D$9,MATCH($B862,Settings!$A$5:$A$9,0)),0)*M862)</f>
        <v/>
      </c>
      <c r="W862" s="11">
        <f>IF(J862="","",IF(T862="",0,M862*INDEX(Products!$I$5:$I$204,T862)))</f>
        <v/>
      </c>
      <c r="X862" s="11">
        <f>IF(J862="","",IF(T862="",0,S862*INDEX(Products!$H$5:$H$204,T862)))</f>
        <v/>
      </c>
      <c r="Y862" s="11">
        <f>IF(J862="","",S862-V862-W862-X862)</f>
        <v/>
      </c>
    </row>
    <row r="863">
      <c r="A863" s="19" t="n"/>
      <c r="B863" s="19" t="n"/>
      <c r="C863" s="19" t="n"/>
      <c r="D863" s="19" t="n"/>
      <c r="E863" s="19" t="n"/>
      <c r="F863" s="20" t="n"/>
      <c r="G863" s="20" t="n"/>
      <c r="H863" s="20" t="n"/>
      <c r="I863" s="19" t="n"/>
      <c r="J863">
        <f>IFERROR(IF(C863="","",C863)&amp;"","")</f>
        <v/>
      </c>
      <c r="K863">
        <f>IFERROR(IF(D863="","",D863)&amp;"","")</f>
        <v/>
      </c>
      <c r="L863">
        <f>IFERROR(IF(I863="","",I863)&amp;"","")</f>
        <v/>
      </c>
      <c r="M863">
        <f>IF(J863="","",IFERROR(VALUE(SUBSTITUTE(SUBSTITUTE(IF(E863="","",E863)&amp;"","$",""),",","")),0))</f>
        <v/>
      </c>
      <c r="N863" s="11">
        <f>IF(J863="","",IFERROR(VALUE(SUBSTITUTE(SUBSTITUTE(IF(F863="","",F863)&amp;"","$",""),",","")),0))</f>
        <v/>
      </c>
      <c r="O863" s="11">
        <f>IF(J863="","",M863*N863)</f>
        <v/>
      </c>
      <c r="P863">
        <f>IF(J863="","",IF(L863="",1,COUNTIF($L$2:$L$1501,L863)))</f>
        <v/>
      </c>
      <c r="Q863" s="11">
        <f>IF(J863="","",IFERROR(VALUE(SUBSTITUTE(SUBSTITUTE(IF(G863="","",G863)&amp;"","$",""),",","")),0)/IF("No"="Yes",P863,1))</f>
        <v/>
      </c>
      <c r="R863" s="11">
        <f>IF(J863="","",IFERROR(VALUE(SUBSTITUTE(SUBSTITUTE(IF(H863="","",H863)&amp;"","$",""),",","")),0)/IF("No"="Yes",P863,1))</f>
        <v/>
      </c>
      <c r="S863" s="11">
        <f>IF(J863="","",O863+Q863-R863)</f>
        <v/>
      </c>
      <c r="T863">
        <f>IF(J863="","",IFERROR(IF(K863="",NA(),MATCH(K863,Products!$B$5:$B$204,0)),IFERROR(MATCH(J863,Products!$A$5:$A$204,0),"")))</f>
        <v/>
      </c>
      <c r="U863">
        <f>IF(J863="","",IF(T863="","⚠ not in Products",INDEX(Products!$A$5:$A$204,T863)))</f>
        <v/>
      </c>
      <c r="V863" s="11">
        <f>IF(J863="","",S863*(IFERROR(INDEX(Settings!$B$5:$B$9,MATCH($B863,Settings!$A$5:$A$9,0)),0)+IFERROR(INDEX(Settings!$E$5:$E$9,MATCH($B863,Settings!$A$5:$A$9,0)),0)+IFERROR(INDEX(Settings!$G$5:$G$9,MATCH($B863,Settings!$A$5:$A$9,0)),0))+(IFERROR(INDEX(Settings!$C$5:$C$9,MATCH($B863,Settings!$A$5:$A$9,0)),0)+IFERROR(INDEX(Settings!$F$5:$F$9,MATCH($B863,Settings!$A$5:$A$9,0)),0))/P863+IFERROR(INDEX(Settings!$D$5:$D$9,MATCH($B863,Settings!$A$5:$A$9,0)),0)*M863)</f>
        <v/>
      </c>
      <c r="W863" s="11">
        <f>IF(J863="","",IF(T863="",0,M863*INDEX(Products!$I$5:$I$204,T863)))</f>
        <v/>
      </c>
      <c r="X863" s="11">
        <f>IF(J863="","",IF(T863="",0,S863*INDEX(Products!$H$5:$H$204,T863)))</f>
        <v/>
      </c>
      <c r="Y863" s="11">
        <f>IF(J863="","",S863-V863-W863-X863)</f>
        <v/>
      </c>
    </row>
    <row r="864">
      <c r="A864" s="19" t="n"/>
      <c r="B864" s="19" t="n"/>
      <c r="C864" s="19" t="n"/>
      <c r="D864" s="19" t="n"/>
      <c r="E864" s="19" t="n"/>
      <c r="F864" s="20" t="n"/>
      <c r="G864" s="20" t="n"/>
      <c r="H864" s="20" t="n"/>
      <c r="I864" s="19" t="n"/>
      <c r="J864">
        <f>IFERROR(IF(C864="","",C864)&amp;"","")</f>
        <v/>
      </c>
      <c r="K864">
        <f>IFERROR(IF(D864="","",D864)&amp;"","")</f>
        <v/>
      </c>
      <c r="L864">
        <f>IFERROR(IF(I864="","",I864)&amp;"","")</f>
        <v/>
      </c>
      <c r="M864">
        <f>IF(J864="","",IFERROR(VALUE(SUBSTITUTE(SUBSTITUTE(IF(E864="","",E864)&amp;"","$",""),",","")),0))</f>
        <v/>
      </c>
      <c r="N864" s="11">
        <f>IF(J864="","",IFERROR(VALUE(SUBSTITUTE(SUBSTITUTE(IF(F864="","",F864)&amp;"","$",""),",","")),0))</f>
        <v/>
      </c>
      <c r="O864" s="11">
        <f>IF(J864="","",M864*N864)</f>
        <v/>
      </c>
      <c r="P864">
        <f>IF(J864="","",IF(L864="",1,COUNTIF($L$2:$L$1501,L864)))</f>
        <v/>
      </c>
      <c r="Q864" s="11">
        <f>IF(J864="","",IFERROR(VALUE(SUBSTITUTE(SUBSTITUTE(IF(G864="","",G864)&amp;"","$",""),",","")),0)/IF("No"="Yes",P864,1))</f>
        <v/>
      </c>
      <c r="R864" s="11">
        <f>IF(J864="","",IFERROR(VALUE(SUBSTITUTE(SUBSTITUTE(IF(H864="","",H864)&amp;"","$",""),",","")),0)/IF("No"="Yes",P864,1))</f>
        <v/>
      </c>
      <c r="S864" s="11">
        <f>IF(J864="","",O864+Q864-R864)</f>
        <v/>
      </c>
      <c r="T864">
        <f>IF(J864="","",IFERROR(IF(K864="",NA(),MATCH(K864,Products!$B$5:$B$204,0)),IFERROR(MATCH(J864,Products!$A$5:$A$204,0),"")))</f>
        <v/>
      </c>
      <c r="U864">
        <f>IF(J864="","",IF(T864="","⚠ not in Products",INDEX(Products!$A$5:$A$204,T864)))</f>
        <v/>
      </c>
      <c r="V864" s="11">
        <f>IF(J864="","",S864*(IFERROR(INDEX(Settings!$B$5:$B$9,MATCH($B864,Settings!$A$5:$A$9,0)),0)+IFERROR(INDEX(Settings!$E$5:$E$9,MATCH($B864,Settings!$A$5:$A$9,0)),0)+IFERROR(INDEX(Settings!$G$5:$G$9,MATCH($B864,Settings!$A$5:$A$9,0)),0))+(IFERROR(INDEX(Settings!$C$5:$C$9,MATCH($B864,Settings!$A$5:$A$9,0)),0)+IFERROR(INDEX(Settings!$F$5:$F$9,MATCH($B864,Settings!$A$5:$A$9,0)),0))/P864+IFERROR(INDEX(Settings!$D$5:$D$9,MATCH($B864,Settings!$A$5:$A$9,0)),0)*M864)</f>
        <v/>
      </c>
      <c r="W864" s="11">
        <f>IF(J864="","",IF(T864="",0,M864*INDEX(Products!$I$5:$I$204,T864)))</f>
        <v/>
      </c>
      <c r="X864" s="11">
        <f>IF(J864="","",IF(T864="",0,S864*INDEX(Products!$H$5:$H$204,T864)))</f>
        <v/>
      </c>
      <c r="Y864" s="11">
        <f>IF(J864="","",S864-V864-W864-X864)</f>
        <v/>
      </c>
    </row>
    <row r="865">
      <c r="A865" s="19" t="n"/>
      <c r="B865" s="19" t="n"/>
      <c r="C865" s="19" t="n"/>
      <c r="D865" s="19" t="n"/>
      <c r="E865" s="19" t="n"/>
      <c r="F865" s="20" t="n"/>
      <c r="G865" s="20" t="n"/>
      <c r="H865" s="20" t="n"/>
      <c r="I865" s="19" t="n"/>
      <c r="J865">
        <f>IFERROR(IF(C865="","",C865)&amp;"","")</f>
        <v/>
      </c>
      <c r="K865">
        <f>IFERROR(IF(D865="","",D865)&amp;"","")</f>
        <v/>
      </c>
      <c r="L865">
        <f>IFERROR(IF(I865="","",I865)&amp;"","")</f>
        <v/>
      </c>
      <c r="M865">
        <f>IF(J865="","",IFERROR(VALUE(SUBSTITUTE(SUBSTITUTE(IF(E865="","",E865)&amp;"","$",""),",","")),0))</f>
        <v/>
      </c>
      <c r="N865" s="11">
        <f>IF(J865="","",IFERROR(VALUE(SUBSTITUTE(SUBSTITUTE(IF(F865="","",F865)&amp;"","$",""),",","")),0))</f>
        <v/>
      </c>
      <c r="O865" s="11">
        <f>IF(J865="","",M865*N865)</f>
        <v/>
      </c>
      <c r="P865">
        <f>IF(J865="","",IF(L865="",1,COUNTIF($L$2:$L$1501,L865)))</f>
        <v/>
      </c>
      <c r="Q865" s="11">
        <f>IF(J865="","",IFERROR(VALUE(SUBSTITUTE(SUBSTITUTE(IF(G865="","",G865)&amp;"","$",""),",","")),0)/IF("No"="Yes",P865,1))</f>
        <v/>
      </c>
      <c r="R865" s="11">
        <f>IF(J865="","",IFERROR(VALUE(SUBSTITUTE(SUBSTITUTE(IF(H865="","",H865)&amp;"","$",""),",","")),0)/IF("No"="Yes",P865,1))</f>
        <v/>
      </c>
      <c r="S865" s="11">
        <f>IF(J865="","",O865+Q865-R865)</f>
        <v/>
      </c>
      <c r="T865">
        <f>IF(J865="","",IFERROR(IF(K865="",NA(),MATCH(K865,Products!$B$5:$B$204,0)),IFERROR(MATCH(J865,Products!$A$5:$A$204,0),"")))</f>
        <v/>
      </c>
      <c r="U865">
        <f>IF(J865="","",IF(T865="","⚠ not in Products",INDEX(Products!$A$5:$A$204,T865)))</f>
        <v/>
      </c>
      <c r="V865" s="11">
        <f>IF(J865="","",S865*(IFERROR(INDEX(Settings!$B$5:$B$9,MATCH($B865,Settings!$A$5:$A$9,0)),0)+IFERROR(INDEX(Settings!$E$5:$E$9,MATCH($B865,Settings!$A$5:$A$9,0)),0)+IFERROR(INDEX(Settings!$G$5:$G$9,MATCH($B865,Settings!$A$5:$A$9,0)),0))+(IFERROR(INDEX(Settings!$C$5:$C$9,MATCH($B865,Settings!$A$5:$A$9,0)),0)+IFERROR(INDEX(Settings!$F$5:$F$9,MATCH($B865,Settings!$A$5:$A$9,0)),0))/P865+IFERROR(INDEX(Settings!$D$5:$D$9,MATCH($B865,Settings!$A$5:$A$9,0)),0)*M865)</f>
        <v/>
      </c>
      <c r="W865" s="11">
        <f>IF(J865="","",IF(T865="",0,M865*INDEX(Products!$I$5:$I$204,T865)))</f>
        <v/>
      </c>
      <c r="X865" s="11">
        <f>IF(J865="","",IF(T865="",0,S865*INDEX(Products!$H$5:$H$204,T865)))</f>
        <v/>
      </c>
      <c r="Y865" s="11">
        <f>IF(J865="","",S865-V865-W865-X865)</f>
        <v/>
      </c>
    </row>
    <row r="866">
      <c r="A866" s="19" t="n"/>
      <c r="B866" s="19" t="n"/>
      <c r="C866" s="19" t="n"/>
      <c r="D866" s="19" t="n"/>
      <c r="E866" s="19" t="n"/>
      <c r="F866" s="20" t="n"/>
      <c r="G866" s="20" t="n"/>
      <c r="H866" s="20" t="n"/>
      <c r="I866" s="19" t="n"/>
      <c r="J866">
        <f>IFERROR(IF(C866="","",C866)&amp;"","")</f>
        <v/>
      </c>
      <c r="K866">
        <f>IFERROR(IF(D866="","",D866)&amp;"","")</f>
        <v/>
      </c>
      <c r="L866">
        <f>IFERROR(IF(I866="","",I866)&amp;"","")</f>
        <v/>
      </c>
      <c r="M866">
        <f>IF(J866="","",IFERROR(VALUE(SUBSTITUTE(SUBSTITUTE(IF(E866="","",E866)&amp;"","$",""),",","")),0))</f>
        <v/>
      </c>
      <c r="N866" s="11">
        <f>IF(J866="","",IFERROR(VALUE(SUBSTITUTE(SUBSTITUTE(IF(F866="","",F866)&amp;"","$",""),",","")),0))</f>
        <v/>
      </c>
      <c r="O866" s="11">
        <f>IF(J866="","",M866*N866)</f>
        <v/>
      </c>
      <c r="P866">
        <f>IF(J866="","",IF(L866="",1,COUNTIF($L$2:$L$1501,L866)))</f>
        <v/>
      </c>
      <c r="Q866" s="11">
        <f>IF(J866="","",IFERROR(VALUE(SUBSTITUTE(SUBSTITUTE(IF(G866="","",G866)&amp;"","$",""),",","")),0)/IF("No"="Yes",P866,1))</f>
        <v/>
      </c>
      <c r="R866" s="11">
        <f>IF(J866="","",IFERROR(VALUE(SUBSTITUTE(SUBSTITUTE(IF(H866="","",H866)&amp;"","$",""),",","")),0)/IF("No"="Yes",P866,1))</f>
        <v/>
      </c>
      <c r="S866" s="11">
        <f>IF(J866="","",O866+Q866-R866)</f>
        <v/>
      </c>
      <c r="T866">
        <f>IF(J866="","",IFERROR(IF(K866="",NA(),MATCH(K866,Products!$B$5:$B$204,0)),IFERROR(MATCH(J866,Products!$A$5:$A$204,0),"")))</f>
        <v/>
      </c>
      <c r="U866">
        <f>IF(J866="","",IF(T866="","⚠ not in Products",INDEX(Products!$A$5:$A$204,T866)))</f>
        <v/>
      </c>
      <c r="V866" s="11">
        <f>IF(J866="","",S866*(IFERROR(INDEX(Settings!$B$5:$B$9,MATCH($B866,Settings!$A$5:$A$9,0)),0)+IFERROR(INDEX(Settings!$E$5:$E$9,MATCH($B866,Settings!$A$5:$A$9,0)),0)+IFERROR(INDEX(Settings!$G$5:$G$9,MATCH($B866,Settings!$A$5:$A$9,0)),0))+(IFERROR(INDEX(Settings!$C$5:$C$9,MATCH($B866,Settings!$A$5:$A$9,0)),0)+IFERROR(INDEX(Settings!$F$5:$F$9,MATCH($B866,Settings!$A$5:$A$9,0)),0))/P866+IFERROR(INDEX(Settings!$D$5:$D$9,MATCH($B866,Settings!$A$5:$A$9,0)),0)*M866)</f>
        <v/>
      </c>
      <c r="W866" s="11">
        <f>IF(J866="","",IF(T866="",0,M866*INDEX(Products!$I$5:$I$204,T866)))</f>
        <v/>
      </c>
      <c r="X866" s="11">
        <f>IF(J866="","",IF(T866="",0,S866*INDEX(Products!$H$5:$H$204,T866)))</f>
        <v/>
      </c>
      <c r="Y866" s="11">
        <f>IF(J866="","",S866-V866-W866-X866)</f>
        <v/>
      </c>
    </row>
    <row r="867">
      <c r="A867" s="19" t="n"/>
      <c r="B867" s="19" t="n"/>
      <c r="C867" s="19" t="n"/>
      <c r="D867" s="19" t="n"/>
      <c r="E867" s="19" t="n"/>
      <c r="F867" s="20" t="n"/>
      <c r="G867" s="20" t="n"/>
      <c r="H867" s="20" t="n"/>
      <c r="I867" s="19" t="n"/>
      <c r="J867">
        <f>IFERROR(IF(C867="","",C867)&amp;"","")</f>
        <v/>
      </c>
      <c r="K867">
        <f>IFERROR(IF(D867="","",D867)&amp;"","")</f>
        <v/>
      </c>
      <c r="L867">
        <f>IFERROR(IF(I867="","",I867)&amp;"","")</f>
        <v/>
      </c>
      <c r="M867">
        <f>IF(J867="","",IFERROR(VALUE(SUBSTITUTE(SUBSTITUTE(IF(E867="","",E867)&amp;"","$",""),",","")),0))</f>
        <v/>
      </c>
      <c r="N867" s="11">
        <f>IF(J867="","",IFERROR(VALUE(SUBSTITUTE(SUBSTITUTE(IF(F867="","",F867)&amp;"","$",""),",","")),0))</f>
        <v/>
      </c>
      <c r="O867" s="11">
        <f>IF(J867="","",M867*N867)</f>
        <v/>
      </c>
      <c r="P867">
        <f>IF(J867="","",IF(L867="",1,COUNTIF($L$2:$L$1501,L867)))</f>
        <v/>
      </c>
      <c r="Q867" s="11">
        <f>IF(J867="","",IFERROR(VALUE(SUBSTITUTE(SUBSTITUTE(IF(G867="","",G867)&amp;"","$",""),",","")),0)/IF("No"="Yes",P867,1))</f>
        <v/>
      </c>
      <c r="R867" s="11">
        <f>IF(J867="","",IFERROR(VALUE(SUBSTITUTE(SUBSTITUTE(IF(H867="","",H867)&amp;"","$",""),",","")),0)/IF("No"="Yes",P867,1))</f>
        <v/>
      </c>
      <c r="S867" s="11">
        <f>IF(J867="","",O867+Q867-R867)</f>
        <v/>
      </c>
      <c r="T867">
        <f>IF(J867="","",IFERROR(IF(K867="",NA(),MATCH(K867,Products!$B$5:$B$204,0)),IFERROR(MATCH(J867,Products!$A$5:$A$204,0),"")))</f>
        <v/>
      </c>
      <c r="U867">
        <f>IF(J867="","",IF(T867="","⚠ not in Products",INDEX(Products!$A$5:$A$204,T867)))</f>
        <v/>
      </c>
      <c r="V867" s="11">
        <f>IF(J867="","",S867*(IFERROR(INDEX(Settings!$B$5:$B$9,MATCH($B867,Settings!$A$5:$A$9,0)),0)+IFERROR(INDEX(Settings!$E$5:$E$9,MATCH($B867,Settings!$A$5:$A$9,0)),0)+IFERROR(INDEX(Settings!$G$5:$G$9,MATCH($B867,Settings!$A$5:$A$9,0)),0))+(IFERROR(INDEX(Settings!$C$5:$C$9,MATCH($B867,Settings!$A$5:$A$9,0)),0)+IFERROR(INDEX(Settings!$F$5:$F$9,MATCH($B867,Settings!$A$5:$A$9,0)),0))/P867+IFERROR(INDEX(Settings!$D$5:$D$9,MATCH($B867,Settings!$A$5:$A$9,0)),0)*M867)</f>
        <v/>
      </c>
      <c r="W867" s="11">
        <f>IF(J867="","",IF(T867="",0,M867*INDEX(Products!$I$5:$I$204,T867)))</f>
        <v/>
      </c>
      <c r="X867" s="11">
        <f>IF(J867="","",IF(T867="",0,S867*INDEX(Products!$H$5:$H$204,T867)))</f>
        <v/>
      </c>
      <c r="Y867" s="11">
        <f>IF(J867="","",S867-V867-W867-X867)</f>
        <v/>
      </c>
    </row>
    <row r="868">
      <c r="A868" s="19" t="n"/>
      <c r="B868" s="19" t="n"/>
      <c r="C868" s="19" t="n"/>
      <c r="D868" s="19" t="n"/>
      <c r="E868" s="19" t="n"/>
      <c r="F868" s="20" t="n"/>
      <c r="G868" s="20" t="n"/>
      <c r="H868" s="20" t="n"/>
      <c r="I868" s="19" t="n"/>
      <c r="J868">
        <f>IFERROR(IF(C868="","",C868)&amp;"","")</f>
        <v/>
      </c>
      <c r="K868">
        <f>IFERROR(IF(D868="","",D868)&amp;"","")</f>
        <v/>
      </c>
      <c r="L868">
        <f>IFERROR(IF(I868="","",I868)&amp;"","")</f>
        <v/>
      </c>
      <c r="M868">
        <f>IF(J868="","",IFERROR(VALUE(SUBSTITUTE(SUBSTITUTE(IF(E868="","",E868)&amp;"","$",""),",","")),0))</f>
        <v/>
      </c>
      <c r="N868" s="11">
        <f>IF(J868="","",IFERROR(VALUE(SUBSTITUTE(SUBSTITUTE(IF(F868="","",F868)&amp;"","$",""),",","")),0))</f>
        <v/>
      </c>
      <c r="O868" s="11">
        <f>IF(J868="","",M868*N868)</f>
        <v/>
      </c>
      <c r="P868">
        <f>IF(J868="","",IF(L868="",1,COUNTIF($L$2:$L$1501,L868)))</f>
        <v/>
      </c>
      <c r="Q868" s="11">
        <f>IF(J868="","",IFERROR(VALUE(SUBSTITUTE(SUBSTITUTE(IF(G868="","",G868)&amp;"","$",""),",","")),0)/IF("No"="Yes",P868,1))</f>
        <v/>
      </c>
      <c r="R868" s="11">
        <f>IF(J868="","",IFERROR(VALUE(SUBSTITUTE(SUBSTITUTE(IF(H868="","",H868)&amp;"","$",""),",","")),0)/IF("No"="Yes",P868,1))</f>
        <v/>
      </c>
      <c r="S868" s="11">
        <f>IF(J868="","",O868+Q868-R868)</f>
        <v/>
      </c>
      <c r="T868">
        <f>IF(J868="","",IFERROR(IF(K868="",NA(),MATCH(K868,Products!$B$5:$B$204,0)),IFERROR(MATCH(J868,Products!$A$5:$A$204,0),"")))</f>
        <v/>
      </c>
      <c r="U868">
        <f>IF(J868="","",IF(T868="","⚠ not in Products",INDEX(Products!$A$5:$A$204,T868)))</f>
        <v/>
      </c>
      <c r="V868" s="11">
        <f>IF(J868="","",S868*(IFERROR(INDEX(Settings!$B$5:$B$9,MATCH($B868,Settings!$A$5:$A$9,0)),0)+IFERROR(INDEX(Settings!$E$5:$E$9,MATCH($B868,Settings!$A$5:$A$9,0)),0)+IFERROR(INDEX(Settings!$G$5:$G$9,MATCH($B868,Settings!$A$5:$A$9,0)),0))+(IFERROR(INDEX(Settings!$C$5:$C$9,MATCH($B868,Settings!$A$5:$A$9,0)),0)+IFERROR(INDEX(Settings!$F$5:$F$9,MATCH($B868,Settings!$A$5:$A$9,0)),0))/P868+IFERROR(INDEX(Settings!$D$5:$D$9,MATCH($B868,Settings!$A$5:$A$9,0)),0)*M868)</f>
        <v/>
      </c>
      <c r="W868" s="11">
        <f>IF(J868="","",IF(T868="",0,M868*INDEX(Products!$I$5:$I$204,T868)))</f>
        <v/>
      </c>
      <c r="X868" s="11">
        <f>IF(J868="","",IF(T868="",0,S868*INDEX(Products!$H$5:$H$204,T868)))</f>
        <v/>
      </c>
      <c r="Y868" s="11">
        <f>IF(J868="","",S868-V868-W868-X868)</f>
        <v/>
      </c>
    </row>
    <row r="869">
      <c r="A869" s="19" t="n"/>
      <c r="B869" s="19" t="n"/>
      <c r="C869" s="19" t="n"/>
      <c r="D869" s="19" t="n"/>
      <c r="E869" s="19" t="n"/>
      <c r="F869" s="20" t="n"/>
      <c r="G869" s="20" t="n"/>
      <c r="H869" s="20" t="n"/>
      <c r="I869" s="19" t="n"/>
      <c r="J869">
        <f>IFERROR(IF(C869="","",C869)&amp;"","")</f>
        <v/>
      </c>
      <c r="K869">
        <f>IFERROR(IF(D869="","",D869)&amp;"","")</f>
        <v/>
      </c>
      <c r="L869">
        <f>IFERROR(IF(I869="","",I869)&amp;"","")</f>
        <v/>
      </c>
      <c r="M869">
        <f>IF(J869="","",IFERROR(VALUE(SUBSTITUTE(SUBSTITUTE(IF(E869="","",E869)&amp;"","$",""),",","")),0))</f>
        <v/>
      </c>
      <c r="N869" s="11">
        <f>IF(J869="","",IFERROR(VALUE(SUBSTITUTE(SUBSTITUTE(IF(F869="","",F869)&amp;"","$",""),",","")),0))</f>
        <v/>
      </c>
      <c r="O869" s="11">
        <f>IF(J869="","",M869*N869)</f>
        <v/>
      </c>
      <c r="P869">
        <f>IF(J869="","",IF(L869="",1,COUNTIF($L$2:$L$1501,L869)))</f>
        <v/>
      </c>
      <c r="Q869" s="11">
        <f>IF(J869="","",IFERROR(VALUE(SUBSTITUTE(SUBSTITUTE(IF(G869="","",G869)&amp;"","$",""),",","")),0)/IF("No"="Yes",P869,1))</f>
        <v/>
      </c>
      <c r="R869" s="11">
        <f>IF(J869="","",IFERROR(VALUE(SUBSTITUTE(SUBSTITUTE(IF(H869="","",H869)&amp;"","$",""),",","")),0)/IF("No"="Yes",P869,1))</f>
        <v/>
      </c>
      <c r="S869" s="11">
        <f>IF(J869="","",O869+Q869-R869)</f>
        <v/>
      </c>
      <c r="T869">
        <f>IF(J869="","",IFERROR(IF(K869="",NA(),MATCH(K869,Products!$B$5:$B$204,0)),IFERROR(MATCH(J869,Products!$A$5:$A$204,0),"")))</f>
        <v/>
      </c>
      <c r="U869">
        <f>IF(J869="","",IF(T869="","⚠ not in Products",INDEX(Products!$A$5:$A$204,T869)))</f>
        <v/>
      </c>
      <c r="V869" s="11">
        <f>IF(J869="","",S869*(IFERROR(INDEX(Settings!$B$5:$B$9,MATCH($B869,Settings!$A$5:$A$9,0)),0)+IFERROR(INDEX(Settings!$E$5:$E$9,MATCH($B869,Settings!$A$5:$A$9,0)),0)+IFERROR(INDEX(Settings!$G$5:$G$9,MATCH($B869,Settings!$A$5:$A$9,0)),0))+(IFERROR(INDEX(Settings!$C$5:$C$9,MATCH($B869,Settings!$A$5:$A$9,0)),0)+IFERROR(INDEX(Settings!$F$5:$F$9,MATCH($B869,Settings!$A$5:$A$9,0)),0))/P869+IFERROR(INDEX(Settings!$D$5:$D$9,MATCH($B869,Settings!$A$5:$A$9,0)),0)*M869)</f>
        <v/>
      </c>
      <c r="W869" s="11">
        <f>IF(J869="","",IF(T869="",0,M869*INDEX(Products!$I$5:$I$204,T869)))</f>
        <v/>
      </c>
      <c r="X869" s="11">
        <f>IF(J869="","",IF(T869="",0,S869*INDEX(Products!$H$5:$H$204,T869)))</f>
        <v/>
      </c>
      <c r="Y869" s="11">
        <f>IF(J869="","",S869-V869-W869-X869)</f>
        <v/>
      </c>
    </row>
    <row r="870">
      <c r="A870" s="19" t="n"/>
      <c r="B870" s="19" t="n"/>
      <c r="C870" s="19" t="n"/>
      <c r="D870" s="19" t="n"/>
      <c r="E870" s="19" t="n"/>
      <c r="F870" s="20" t="n"/>
      <c r="G870" s="20" t="n"/>
      <c r="H870" s="20" t="n"/>
      <c r="I870" s="19" t="n"/>
      <c r="J870">
        <f>IFERROR(IF(C870="","",C870)&amp;"","")</f>
        <v/>
      </c>
      <c r="K870">
        <f>IFERROR(IF(D870="","",D870)&amp;"","")</f>
        <v/>
      </c>
      <c r="L870">
        <f>IFERROR(IF(I870="","",I870)&amp;"","")</f>
        <v/>
      </c>
      <c r="M870">
        <f>IF(J870="","",IFERROR(VALUE(SUBSTITUTE(SUBSTITUTE(IF(E870="","",E870)&amp;"","$",""),",","")),0))</f>
        <v/>
      </c>
      <c r="N870" s="11">
        <f>IF(J870="","",IFERROR(VALUE(SUBSTITUTE(SUBSTITUTE(IF(F870="","",F870)&amp;"","$",""),",","")),0))</f>
        <v/>
      </c>
      <c r="O870" s="11">
        <f>IF(J870="","",M870*N870)</f>
        <v/>
      </c>
      <c r="P870">
        <f>IF(J870="","",IF(L870="",1,COUNTIF($L$2:$L$1501,L870)))</f>
        <v/>
      </c>
      <c r="Q870" s="11">
        <f>IF(J870="","",IFERROR(VALUE(SUBSTITUTE(SUBSTITUTE(IF(G870="","",G870)&amp;"","$",""),",","")),0)/IF("No"="Yes",P870,1))</f>
        <v/>
      </c>
      <c r="R870" s="11">
        <f>IF(J870="","",IFERROR(VALUE(SUBSTITUTE(SUBSTITUTE(IF(H870="","",H870)&amp;"","$",""),",","")),0)/IF("No"="Yes",P870,1))</f>
        <v/>
      </c>
      <c r="S870" s="11">
        <f>IF(J870="","",O870+Q870-R870)</f>
        <v/>
      </c>
      <c r="T870">
        <f>IF(J870="","",IFERROR(IF(K870="",NA(),MATCH(K870,Products!$B$5:$B$204,0)),IFERROR(MATCH(J870,Products!$A$5:$A$204,0),"")))</f>
        <v/>
      </c>
      <c r="U870">
        <f>IF(J870="","",IF(T870="","⚠ not in Products",INDEX(Products!$A$5:$A$204,T870)))</f>
        <v/>
      </c>
      <c r="V870" s="11">
        <f>IF(J870="","",S870*(IFERROR(INDEX(Settings!$B$5:$B$9,MATCH($B870,Settings!$A$5:$A$9,0)),0)+IFERROR(INDEX(Settings!$E$5:$E$9,MATCH($B870,Settings!$A$5:$A$9,0)),0)+IFERROR(INDEX(Settings!$G$5:$G$9,MATCH($B870,Settings!$A$5:$A$9,0)),0))+(IFERROR(INDEX(Settings!$C$5:$C$9,MATCH($B870,Settings!$A$5:$A$9,0)),0)+IFERROR(INDEX(Settings!$F$5:$F$9,MATCH($B870,Settings!$A$5:$A$9,0)),0))/P870+IFERROR(INDEX(Settings!$D$5:$D$9,MATCH($B870,Settings!$A$5:$A$9,0)),0)*M870)</f>
        <v/>
      </c>
      <c r="W870" s="11">
        <f>IF(J870="","",IF(T870="",0,M870*INDEX(Products!$I$5:$I$204,T870)))</f>
        <v/>
      </c>
      <c r="X870" s="11">
        <f>IF(J870="","",IF(T870="",0,S870*INDEX(Products!$H$5:$H$204,T870)))</f>
        <v/>
      </c>
      <c r="Y870" s="11">
        <f>IF(J870="","",S870-V870-W870-X870)</f>
        <v/>
      </c>
    </row>
    <row r="871">
      <c r="A871" s="19" t="n"/>
      <c r="B871" s="19" t="n"/>
      <c r="C871" s="19" t="n"/>
      <c r="D871" s="19" t="n"/>
      <c r="E871" s="19" t="n"/>
      <c r="F871" s="20" t="n"/>
      <c r="G871" s="20" t="n"/>
      <c r="H871" s="20" t="n"/>
      <c r="I871" s="19" t="n"/>
      <c r="J871">
        <f>IFERROR(IF(C871="","",C871)&amp;"","")</f>
        <v/>
      </c>
      <c r="K871">
        <f>IFERROR(IF(D871="","",D871)&amp;"","")</f>
        <v/>
      </c>
      <c r="L871">
        <f>IFERROR(IF(I871="","",I871)&amp;"","")</f>
        <v/>
      </c>
      <c r="M871">
        <f>IF(J871="","",IFERROR(VALUE(SUBSTITUTE(SUBSTITUTE(IF(E871="","",E871)&amp;"","$",""),",","")),0))</f>
        <v/>
      </c>
      <c r="N871" s="11">
        <f>IF(J871="","",IFERROR(VALUE(SUBSTITUTE(SUBSTITUTE(IF(F871="","",F871)&amp;"","$",""),",","")),0))</f>
        <v/>
      </c>
      <c r="O871" s="11">
        <f>IF(J871="","",M871*N871)</f>
        <v/>
      </c>
      <c r="P871">
        <f>IF(J871="","",IF(L871="",1,COUNTIF($L$2:$L$1501,L871)))</f>
        <v/>
      </c>
      <c r="Q871" s="11">
        <f>IF(J871="","",IFERROR(VALUE(SUBSTITUTE(SUBSTITUTE(IF(G871="","",G871)&amp;"","$",""),",","")),0)/IF("No"="Yes",P871,1))</f>
        <v/>
      </c>
      <c r="R871" s="11">
        <f>IF(J871="","",IFERROR(VALUE(SUBSTITUTE(SUBSTITUTE(IF(H871="","",H871)&amp;"","$",""),",","")),0)/IF("No"="Yes",P871,1))</f>
        <v/>
      </c>
      <c r="S871" s="11">
        <f>IF(J871="","",O871+Q871-R871)</f>
        <v/>
      </c>
      <c r="T871">
        <f>IF(J871="","",IFERROR(IF(K871="",NA(),MATCH(K871,Products!$B$5:$B$204,0)),IFERROR(MATCH(J871,Products!$A$5:$A$204,0),"")))</f>
        <v/>
      </c>
      <c r="U871">
        <f>IF(J871="","",IF(T871="","⚠ not in Products",INDEX(Products!$A$5:$A$204,T871)))</f>
        <v/>
      </c>
      <c r="V871" s="11">
        <f>IF(J871="","",S871*(IFERROR(INDEX(Settings!$B$5:$B$9,MATCH($B871,Settings!$A$5:$A$9,0)),0)+IFERROR(INDEX(Settings!$E$5:$E$9,MATCH($B871,Settings!$A$5:$A$9,0)),0)+IFERROR(INDEX(Settings!$G$5:$G$9,MATCH($B871,Settings!$A$5:$A$9,0)),0))+(IFERROR(INDEX(Settings!$C$5:$C$9,MATCH($B871,Settings!$A$5:$A$9,0)),0)+IFERROR(INDEX(Settings!$F$5:$F$9,MATCH($B871,Settings!$A$5:$A$9,0)),0))/P871+IFERROR(INDEX(Settings!$D$5:$D$9,MATCH($B871,Settings!$A$5:$A$9,0)),0)*M871)</f>
        <v/>
      </c>
      <c r="W871" s="11">
        <f>IF(J871="","",IF(T871="",0,M871*INDEX(Products!$I$5:$I$204,T871)))</f>
        <v/>
      </c>
      <c r="X871" s="11">
        <f>IF(J871="","",IF(T871="",0,S871*INDEX(Products!$H$5:$H$204,T871)))</f>
        <v/>
      </c>
      <c r="Y871" s="11">
        <f>IF(J871="","",S871-V871-W871-X871)</f>
        <v/>
      </c>
    </row>
    <row r="872">
      <c r="A872" s="19" t="n"/>
      <c r="B872" s="19" t="n"/>
      <c r="C872" s="19" t="n"/>
      <c r="D872" s="19" t="n"/>
      <c r="E872" s="19" t="n"/>
      <c r="F872" s="20" t="n"/>
      <c r="G872" s="20" t="n"/>
      <c r="H872" s="20" t="n"/>
      <c r="I872" s="19" t="n"/>
      <c r="J872">
        <f>IFERROR(IF(C872="","",C872)&amp;"","")</f>
        <v/>
      </c>
      <c r="K872">
        <f>IFERROR(IF(D872="","",D872)&amp;"","")</f>
        <v/>
      </c>
      <c r="L872">
        <f>IFERROR(IF(I872="","",I872)&amp;"","")</f>
        <v/>
      </c>
      <c r="M872">
        <f>IF(J872="","",IFERROR(VALUE(SUBSTITUTE(SUBSTITUTE(IF(E872="","",E872)&amp;"","$",""),",","")),0))</f>
        <v/>
      </c>
      <c r="N872" s="11">
        <f>IF(J872="","",IFERROR(VALUE(SUBSTITUTE(SUBSTITUTE(IF(F872="","",F872)&amp;"","$",""),",","")),0))</f>
        <v/>
      </c>
      <c r="O872" s="11">
        <f>IF(J872="","",M872*N872)</f>
        <v/>
      </c>
      <c r="P872">
        <f>IF(J872="","",IF(L872="",1,COUNTIF($L$2:$L$1501,L872)))</f>
        <v/>
      </c>
      <c r="Q872" s="11">
        <f>IF(J872="","",IFERROR(VALUE(SUBSTITUTE(SUBSTITUTE(IF(G872="","",G872)&amp;"","$",""),",","")),0)/IF("No"="Yes",P872,1))</f>
        <v/>
      </c>
      <c r="R872" s="11">
        <f>IF(J872="","",IFERROR(VALUE(SUBSTITUTE(SUBSTITUTE(IF(H872="","",H872)&amp;"","$",""),",","")),0)/IF("No"="Yes",P872,1))</f>
        <v/>
      </c>
      <c r="S872" s="11">
        <f>IF(J872="","",O872+Q872-R872)</f>
        <v/>
      </c>
      <c r="T872">
        <f>IF(J872="","",IFERROR(IF(K872="",NA(),MATCH(K872,Products!$B$5:$B$204,0)),IFERROR(MATCH(J872,Products!$A$5:$A$204,0),"")))</f>
        <v/>
      </c>
      <c r="U872">
        <f>IF(J872="","",IF(T872="","⚠ not in Products",INDEX(Products!$A$5:$A$204,T872)))</f>
        <v/>
      </c>
      <c r="V872" s="11">
        <f>IF(J872="","",S872*(IFERROR(INDEX(Settings!$B$5:$B$9,MATCH($B872,Settings!$A$5:$A$9,0)),0)+IFERROR(INDEX(Settings!$E$5:$E$9,MATCH($B872,Settings!$A$5:$A$9,0)),0)+IFERROR(INDEX(Settings!$G$5:$G$9,MATCH($B872,Settings!$A$5:$A$9,0)),0))+(IFERROR(INDEX(Settings!$C$5:$C$9,MATCH($B872,Settings!$A$5:$A$9,0)),0)+IFERROR(INDEX(Settings!$F$5:$F$9,MATCH($B872,Settings!$A$5:$A$9,0)),0))/P872+IFERROR(INDEX(Settings!$D$5:$D$9,MATCH($B872,Settings!$A$5:$A$9,0)),0)*M872)</f>
        <v/>
      </c>
      <c r="W872" s="11">
        <f>IF(J872="","",IF(T872="",0,M872*INDEX(Products!$I$5:$I$204,T872)))</f>
        <v/>
      </c>
      <c r="X872" s="11">
        <f>IF(J872="","",IF(T872="",0,S872*INDEX(Products!$H$5:$H$204,T872)))</f>
        <v/>
      </c>
      <c r="Y872" s="11">
        <f>IF(J872="","",S872-V872-W872-X872)</f>
        <v/>
      </c>
    </row>
    <row r="873">
      <c r="A873" s="19" t="n"/>
      <c r="B873" s="19" t="n"/>
      <c r="C873" s="19" t="n"/>
      <c r="D873" s="19" t="n"/>
      <c r="E873" s="19" t="n"/>
      <c r="F873" s="20" t="n"/>
      <c r="G873" s="20" t="n"/>
      <c r="H873" s="20" t="n"/>
      <c r="I873" s="19" t="n"/>
      <c r="J873">
        <f>IFERROR(IF(C873="","",C873)&amp;"","")</f>
        <v/>
      </c>
      <c r="K873">
        <f>IFERROR(IF(D873="","",D873)&amp;"","")</f>
        <v/>
      </c>
      <c r="L873">
        <f>IFERROR(IF(I873="","",I873)&amp;"","")</f>
        <v/>
      </c>
      <c r="M873">
        <f>IF(J873="","",IFERROR(VALUE(SUBSTITUTE(SUBSTITUTE(IF(E873="","",E873)&amp;"","$",""),",","")),0))</f>
        <v/>
      </c>
      <c r="N873" s="11">
        <f>IF(J873="","",IFERROR(VALUE(SUBSTITUTE(SUBSTITUTE(IF(F873="","",F873)&amp;"","$",""),",","")),0))</f>
        <v/>
      </c>
      <c r="O873" s="11">
        <f>IF(J873="","",M873*N873)</f>
        <v/>
      </c>
      <c r="P873">
        <f>IF(J873="","",IF(L873="",1,COUNTIF($L$2:$L$1501,L873)))</f>
        <v/>
      </c>
      <c r="Q873" s="11">
        <f>IF(J873="","",IFERROR(VALUE(SUBSTITUTE(SUBSTITUTE(IF(G873="","",G873)&amp;"","$",""),",","")),0)/IF("No"="Yes",P873,1))</f>
        <v/>
      </c>
      <c r="R873" s="11">
        <f>IF(J873="","",IFERROR(VALUE(SUBSTITUTE(SUBSTITUTE(IF(H873="","",H873)&amp;"","$",""),",","")),0)/IF("No"="Yes",P873,1))</f>
        <v/>
      </c>
      <c r="S873" s="11">
        <f>IF(J873="","",O873+Q873-R873)</f>
        <v/>
      </c>
      <c r="T873">
        <f>IF(J873="","",IFERROR(IF(K873="",NA(),MATCH(K873,Products!$B$5:$B$204,0)),IFERROR(MATCH(J873,Products!$A$5:$A$204,0),"")))</f>
        <v/>
      </c>
      <c r="U873">
        <f>IF(J873="","",IF(T873="","⚠ not in Products",INDEX(Products!$A$5:$A$204,T873)))</f>
        <v/>
      </c>
      <c r="V873" s="11">
        <f>IF(J873="","",S873*(IFERROR(INDEX(Settings!$B$5:$B$9,MATCH($B873,Settings!$A$5:$A$9,0)),0)+IFERROR(INDEX(Settings!$E$5:$E$9,MATCH($B873,Settings!$A$5:$A$9,0)),0)+IFERROR(INDEX(Settings!$G$5:$G$9,MATCH($B873,Settings!$A$5:$A$9,0)),0))+(IFERROR(INDEX(Settings!$C$5:$C$9,MATCH($B873,Settings!$A$5:$A$9,0)),0)+IFERROR(INDEX(Settings!$F$5:$F$9,MATCH($B873,Settings!$A$5:$A$9,0)),0))/P873+IFERROR(INDEX(Settings!$D$5:$D$9,MATCH($B873,Settings!$A$5:$A$9,0)),0)*M873)</f>
        <v/>
      </c>
      <c r="W873" s="11">
        <f>IF(J873="","",IF(T873="",0,M873*INDEX(Products!$I$5:$I$204,T873)))</f>
        <v/>
      </c>
      <c r="X873" s="11">
        <f>IF(J873="","",IF(T873="",0,S873*INDEX(Products!$H$5:$H$204,T873)))</f>
        <v/>
      </c>
      <c r="Y873" s="11">
        <f>IF(J873="","",S873-V873-W873-X873)</f>
        <v/>
      </c>
    </row>
    <row r="874">
      <c r="A874" s="19" t="n"/>
      <c r="B874" s="19" t="n"/>
      <c r="C874" s="19" t="n"/>
      <c r="D874" s="19" t="n"/>
      <c r="E874" s="19" t="n"/>
      <c r="F874" s="20" t="n"/>
      <c r="G874" s="20" t="n"/>
      <c r="H874" s="20" t="n"/>
      <c r="I874" s="19" t="n"/>
      <c r="J874">
        <f>IFERROR(IF(C874="","",C874)&amp;"","")</f>
        <v/>
      </c>
      <c r="K874">
        <f>IFERROR(IF(D874="","",D874)&amp;"","")</f>
        <v/>
      </c>
      <c r="L874">
        <f>IFERROR(IF(I874="","",I874)&amp;"","")</f>
        <v/>
      </c>
      <c r="M874">
        <f>IF(J874="","",IFERROR(VALUE(SUBSTITUTE(SUBSTITUTE(IF(E874="","",E874)&amp;"","$",""),",","")),0))</f>
        <v/>
      </c>
      <c r="N874" s="11">
        <f>IF(J874="","",IFERROR(VALUE(SUBSTITUTE(SUBSTITUTE(IF(F874="","",F874)&amp;"","$",""),",","")),0))</f>
        <v/>
      </c>
      <c r="O874" s="11">
        <f>IF(J874="","",M874*N874)</f>
        <v/>
      </c>
      <c r="P874">
        <f>IF(J874="","",IF(L874="",1,COUNTIF($L$2:$L$1501,L874)))</f>
        <v/>
      </c>
      <c r="Q874" s="11">
        <f>IF(J874="","",IFERROR(VALUE(SUBSTITUTE(SUBSTITUTE(IF(G874="","",G874)&amp;"","$",""),",","")),0)/IF("No"="Yes",P874,1))</f>
        <v/>
      </c>
      <c r="R874" s="11">
        <f>IF(J874="","",IFERROR(VALUE(SUBSTITUTE(SUBSTITUTE(IF(H874="","",H874)&amp;"","$",""),",","")),0)/IF("No"="Yes",P874,1))</f>
        <v/>
      </c>
      <c r="S874" s="11">
        <f>IF(J874="","",O874+Q874-R874)</f>
        <v/>
      </c>
      <c r="T874">
        <f>IF(J874="","",IFERROR(IF(K874="",NA(),MATCH(K874,Products!$B$5:$B$204,0)),IFERROR(MATCH(J874,Products!$A$5:$A$204,0),"")))</f>
        <v/>
      </c>
      <c r="U874">
        <f>IF(J874="","",IF(T874="","⚠ not in Products",INDEX(Products!$A$5:$A$204,T874)))</f>
        <v/>
      </c>
      <c r="V874" s="11">
        <f>IF(J874="","",S874*(IFERROR(INDEX(Settings!$B$5:$B$9,MATCH($B874,Settings!$A$5:$A$9,0)),0)+IFERROR(INDEX(Settings!$E$5:$E$9,MATCH($B874,Settings!$A$5:$A$9,0)),0)+IFERROR(INDEX(Settings!$G$5:$G$9,MATCH($B874,Settings!$A$5:$A$9,0)),0))+(IFERROR(INDEX(Settings!$C$5:$C$9,MATCH($B874,Settings!$A$5:$A$9,0)),0)+IFERROR(INDEX(Settings!$F$5:$F$9,MATCH($B874,Settings!$A$5:$A$9,0)),0))/P874+IFERROR(INDEX(Settings!$D$5:$D$9,MATCH($B874,Settings!$A$5:$A$9,0)),0)*M874)</f>
        <v/>
      </c>
      <c r="W874" s="11">
        <f>IF(J874="","",IF(T874="",0,M874*INDEX(Products!$I$5:$I$204,T874)))</f>
        <v/>
      </c>
      <c r="X874" s="11">
        <f>IF(J874="","",IF(T874="",0,S874*INDEX(Products!$H$5:$H$204,T874)))</f>
        <v/>
      </c>
      <c r="Y874" s="11">
        <f>IF(J874="","",S874-V874-W874-X874)</f>
        <v/>
      </c>
    </row>
    <row r="875">
      <c r="A875" s="19" t="n"/>
      <c r="B875" s="19" t="n"/>
      <c r="C875" s="19" t="n"/>
      <c r="D875" s="19" t="n"/>
      <c r="E875" s="19" t="n"/>
      <c r="F875" s="20" t="n"/>
      <c r="G875" s="20" t="n"/>
      <c r="H875" s="20" t="n"/>
      <c r="I875" s="19" t="n"/>
      <c r="J875">
        <f>IFERROR(IF(C875="","",C875)&amp;"","")</f>
        <v/>
      </c>
      <c r="K875">
        <f>IFERROR(IF(D875="","",D875)&amp;"","")</f>
        <v/>
      </c>
      <c r="L875">
        <f>IFERROR(IF(I875="","",I875)&amp;"","")</f>
        <v/>
      </c>
      <c r="M875">
        <f>IF(J875="","",IFERROR(VALUE(SUBSTITUTE(SUBSTITUTE(IF(E875="","",E875)&amp;"","$",""),",","")),0))</f>
        <v/>
      </c>
      <c r="N875" s="11">
        <f>IF(J875="","",IFERROR(VALUE(SUBSTITUTE(SUBSTITUTE(IF(F875="","",F875)&amp;"","$",""),",","")),0))</f>
        <v/>
      </c>
      <c r="O875" s="11">
        <f>IF(J875="","",M875*N875)</f>
        <v/>
      </c>
      <c r="P875">
        <f>IF(J875="","",IF(L875="",1,COUNTIF($L$2:$L$1501,L875)))</f>
        <v/>
      </c>
      <c r="Q875" s="11">
        <f>IF(J875="","",IFERROR(VALUE(SUBSTITUTE(SUBSTITUTE(IF(G875="","",G875)&amp;"","$",""),",","")),0)/IF("No"="Yes",P875,1))</f>
        <v/>
      </c>
      <c r="R875" s="11">
        <f>IF(J875="","",IFERROR(VALUE(SUBSTITUTE(SUBSTITUTE(IF(H875="","",H875)&amp;"","$",""),",","")),0)/IF("No"="Yes",P875,1))</f>
        <v/>
      </c>
      <c r="S875" s="11">
        <f>IF(J875="","",O875+Q875-R875)</f>
        <v/>
      </c>
      <c r="T875">
        <f>IF(J875="","",IFERROR(IF(K875="",NA(),MATCH(K875,Products!$B$5:$B$204,0)),IFERROR(MATCH(J875,Products!$A$5:$A$204,0),"")))</f>
        <v/>
      </c>
      <c r="U875">
        <f>IF(J875="","",IF(T875="","⚠ not in Products",INDEX(Products!$A$5:$A$204,T875)))</f>
        <v/>
      </c>
      <c r="V875" s="11">
        <f>IF(J875="","",S875*(IFERROR(INDEX(Settings!$B$5:$B$9,MATCH($B875,Settings!$A$5:$A$9,0)),0)+IFERROR(INDEX(Settings!$E$5:$E$9,MATCH($B875,Settings!$A$5:$A$9,0)),0)+IFERROR(INDEX(Settings!$G$5:$G$9,MATCH($B875,Settings!$A$5:$A$9,0)),0))+(IFERROR(INDEX(Settings!$C$5:$C$9,MATCH($B875,Settings!$A$5:$A$9,0)),0)+IFERROR(INDEX(Settings!$F$5:$F$9,MATCH($B875,Settings!$A$5:$A$9,0)),0))/P875+IFERROR(INDEX(Settings!$D$5:$D$9,MATCH($B875,Settings!$A$5:$A$9,0)),0)*M875)</f>
        <v/>
      </c>
      <c r="W875" s="11">
        <f>IF(J875="","",IF(T875="",0,M875*INDEX(Products!$I$5:$I$204,T875)))</f>
        <v/>
      </c>
      <c r="X875" s="11">
        <f>IF(J875="","",IF(T875="",0,S875*INDEX(Products!$H$5:$H$204,T875)))</f>
        <v/>
      </c>
      <c r="Y875" s="11">
        <f>IF(J875="","",S875-V875-W875-X875)</f>
        <v/>
      </c>
    </row>
    <row r="876">
      <c r="A876" s="19" t="n"/>
      <c r="B876" s="19" t="n"/>
      <c r="C876" s="19" t="n"/>
      <c r="D876" s="19" t="n"/>
      <c r="E876" s="19" t="n"/>
      <c r="F876" s="20" t="n"/>
      <c r="G876" s="20" t="n"/>
      <c r="H876" s="20" t="n"/>
      <c r="I876" s="19" t="n"/>
      <c r="J876">
        <f>IFERROR(IF(C876="","",C876)&amp;"","")</f>
        <v/>
      </c>
      <c r="K876">
        <f>IFERROR(IF(D876="","",D876)&amp;"","")</f>
        <v/>
      </c>
      <c r="L876">
        <f>IFERROR(IF(I876="","",I876)&amp;"","")</f>
        <v/>
      </c>
      <c r="M876">
        <f>IF(J876="","",IFERROR(VALUE(SUBSTITUTE(SUBSTITUTE(IF(E876="","",E876)&amp;"","$",""),",","")),0))</f>
        <v/>
      </c>
      <c r="N876" s="11">
        <f>IF(J876="","",IFERROR(VALUE(SUBSTITUTE(SUBSTITUTE(IF(F876="","",F876)&amp;"","$",""),",","")),0))</f>
        <v/>
      </c>
      <c r="O876" s="11">
        <f>IF(J876="","",M876*N876)</f>
        <v/>
      </c>
      <c r="P876">
        <f>IF(J876="","",IF(L876="",1,COUNTIF($L$2:$L$1501,L876)))</f>
        <v/>
      </c>
      <c r="Q876" s="11">
        <f>IF(J876="","",IFERROR(VALUE(SUBSTITUTE(SUBSTITUTE(IF(G876="","",G876)&amp;"","$",""),",","")),0)/IF("No"="Yes",P876,1))</f>
        <v/>
      </c>
      <c r="R876" s="11">
        <f>IF(J876="","",IFERROR(VALUE(SUBSTITUTE(SUBSTITUTE(IF(H876="","",H876)&amp;"","$",""),",","")),0)/IF("No"="Yes",P876,1))</f>
        <v/>
      </c>
      <c r="S876" s="11">
        <f>IF(J876="","",O876+Q876-R876)</f>
        <v/>
      </c>
      <c r="T876">
        <f>IF(J876="","",IFERROR(IF(K876="",NA(),MATCH(K876,Products!$B$5:$B$204,0)),IFERROR(MATCH(J876,Products!$A$5:$A$204,0),"")))</f>
        <v/>
      </c>
      <c r="U876">
        <f>IF(J876="","",IF(T876="","⚠ not in Products",INDEX(Products!$A$5:$A$204,T876)))</f>
        <v/>
      </c>
      <c r="V876" s="11">
        <f>IF(J876="","",S876*(IFERROR(INDEX(Settings!$B$5:$B$9,MATCH($B876,Settings!$A$5:$A$9,0)),0)+IFERROR(INDEX(Settings!$E$5:$E$9,MATCH($B876,Settings!$A$5:$A$9,0)),0)+IFERROR(INDEX(Settings!$G$5:$G$9,MATCH($B876,Settings!$A$5:$A$9,0)),0))+(IFERROR(INDEX(Settings!$C$5:$C$9,MATCH($B876,Settings!$A$5:$A$9,0)),0)+IFERROR(INDEX(Settings!$F$5:$F$9,MATCH($B876,Settings!$A$5:$A$9,0)),0))/P876+IFERROR(INDEX(Settings!$D$5:$D$9,MATCH($B876,Settings!$A$5:$A$9,0)),0)*M876)</f>
        <v/>
      </c>
      <c r="W876" s="11">
        <f>IF(J876="","",IF(T876="",0,M876*INDEX(Products!$I$5:$I$204,T876)))</f>
        <v/>
      </c>
      <c r="X876" s="11">
        <f>IF(J876="","",IF(T876="",0,S876*INDEX(Products!$H$5:$H$204,T876)))</f>
        <v/>
      </c>
      <c r="Y876" s="11">
        <f>IF(J876="","",S876-V876-W876-X876)</f>
        <v/>
      </c>
    </row>
    <row r="877">
      <c r="A877" s="19" t="n"/>
      <c r="B877" s="19" t="n"/>
      <c r="C877" s="19" t="n"/>
      <c r="D877" s="19" t="n"/>
      <c r="E877" s="19" t="n"/>
      <c r="F877" s="20" t="n"/>
      <c r="G877" s="20" t="n"/>
      <c r="H877" s="20" t="n"/>
      <c r="I877" s="19" t="n"/>
      <c r="J877">
        <f>IFERROR(IF(C877="","",C877)&amp;"","")</f>
        <v/>
      </c>
      <c r="K877">
        <f>IFERROR(IF(D877="","",D877)&amp;"","")</f>
        <v/>
      </c>
      <c r="L877">
        <f>IFERROR(IF(I877="","",I877)&amp;"","")</f>
        <v/>
      </c>
      <c r="M877">
        <f>IF(J877="","",IFERROR(VALUE(SUBSTITUTE(SUBSTITUTE(IF(E877="","",E877)&amp;"","$",""),",","")),0))</f>
        <v/>
      </c>
      <c r="N877" s="11">
        <f>IF(J877="","",IFERROR(VALUE(SUBSTITUTE(SUBSTITUTE(IF(F877="","",F877)&amp;"","$",""),",","")),0))</f>
        <v/>
      </c>
      <c r="O877" s="11">
        <f>IF(J877="","",M877*N877)</f>
        <v/>
      </c>
      <c r="P877">
        <f>IF(J877="","",IF(L877="",1,COUNTIF($L$2:$L$1501,L877)))</f>
        <v/>
      </c>
      <c r="Q877" s="11">
        <f>IF(J877="","",IFERROR(VALUE(SUBSTITUTE(SUBSTITUTE(IF(G877="","",G877)&amp;"","$",""),",","")),0)/IF("No"="Yes",P877,1))</f>
        <v/>
      </c>
      <c r="R877" s="11">
        <f>IF(J877="","",IFERROR(VALUE(SUBSTITUTE(SUBSTITUTE(IF(H877="","",H877)&amp;"","$",""),",","")),0)/IF("No"="Yes",P877,1))</f>
        <v/>
      </c>
      <c r="S877" s="11">
        <f>IF(J877="","",O877+Q877-R877)</f>
        <v/>
      </c>
      <c r="T877">
        <f>IF(J877="","",IFERROR(IF(K877="",NA(),MATCH(K877,Products!$B$5:$B$204,0)),IFERROR(MATCH(J877,Products!$A$5:$A$204,0),"")))</f>
        <v/>
      </c>
      <c r="U877">
        <f>IF(J877="","",IF(T877="","⚠ not in Products",INDEX(Products!$A$5:$A$204,T877)))</f>
        <v/>
      </c>
      <c r="V877" s="11">
        <f>IF(J877="","",S877*(IFERROR(INDEX(Settings!$B$5:$B$9,MATCH($B877,Settings!$A$5:$A$9,0)),0)+IFERROR(INDEX(Settings!$E$5:$E$9,MATCH($B877,Settings!$A$5:$A$9,0)),0)+IFERROR(INDEX(Settings!$G$5:$G$9,MATCH($B877,Settings!$A$5:$A$9,0)),0))+(IFERROR(INDEX(Settings!$C$5:$C$9,MATCH($B877,Settings!$A$5:$A$9,0)),0)+IFERROR(INDEX(Settings!$F$5:$F$9,MATCH($B877,Settings!$A$5:$A$9,0)),0))/P877+IFERROR(INDEX(Settings!$D$5:$D$9,MATCH($B877,Settings!$A$5:$A$9,0)),0)*M877)</f>
        <v/>
      </c>
      <c r="W877" s="11">
        <f>IF(J877="","",IF(T877="",0,M877*INDEX(Products!$I$5:$I$204,T877)))</f>
        <v/>
      </c>
      <c r="X877" s="11">
        <f>IF(J877="","",IF(T877="",0,S877*INDEX(Products!$H$5:$H$204,T877)))</f>
        <v/>
      </c>
      <c r="Y877" s="11">
        <f>IF(J877="","",S877-V877-W877-X877)</f>
        <v/>
      </c>
    </row>
    <row r="878">
      <c r="A878" s="19" t="n"/>
      <c r="B878" s="19" t="n"/>
      <c r="C878" s="19" t="n"/>
      <c r="D878" s="19" t="n"/>
      <c r="E878" s="19" t="n"/>
      <c r="F878" s="20" t="n"/>
      <c r="G878" s="20" t="n"/>
      <c r="H878" s="20" t="n"/>
      <c r="I878" s="19" t="n"/>
      <c r="J878">
        <f>IFERROR(IF(C878="","",C878)&amp;"","")</f>
        <v/>
      </c>
      <c r="K878">
        <f>IFERROR(IF(D878="","",D878)&amp;"","")</f>
        <v/>
      </c>
      <c r="L878">
        <f>IFERROR(IF(I878="","",I878)&amp;"","")</f>
        <v/>
      </c>
      <c r="M878">
        <f>IF(J878="","",IFERROR(VALUE(SUBSTITUTE(SUBSTITUTE(IF(E878="","",E878)&amp;"","$",""),",","")),0))</f>
        <v/>
      </c>
      <c r="N878" s="11">
        <f>IF(J878="","",IFERROR(VALUE(SUBSTITUTE(SUBSTITUTE(IF(F878="","",F878)&amp;"","$",""),",","")),0))</f>
        <v/>
      </c>
      <c r="O878" s="11">
        <f>IF(J878="","",M878*N878)</f>
        <v/>
      </c>
      <c r="P878">
        <f>IF(J878="","",IF(L878="",1,COUNTIF($L$2:$L$1501,L878)))</f>
        <v/>
      </c>
      <c r="Q878" s="11">
        <f>IF(J878="","",IFERROR(VALUE(SUBSTITUTE(SUBSTITUTE(IF(G878="","",G878)&amp;"","$",""),",","")),0)/IF("No"="Yes",P878,1))</f>
        <v/>
      </c>
      <c r="R878" s="11">
        <f>IF(J878="","",IFERROR(VALUE(SUBSTITUTE(SUBSTITUTE(IF(H878="","",H878)&amp;"","$",""),",","")),0)/IF("No"="Yes",P878,1))</f>
        <v/>
      </c>
      <c r="S878" s="11">
        <f>IF(J878="","",O878+Q878-R878)</f>
        <v/>
      </c>
      <c r="T878">
        <f>IF(J878="","",IFERROR(IF(K878="",NA(),MATCH(K878,Products!$B$5:$B$204,0)),IFERROR(MATCH(J878,Products!$A$5:$A$204,0),"")))</f>
        <v/>
      </c>
      <c r="U878">
        <f>IF(J878="","",IF(T878="","⚠ not in Products",INDEX(Products!$A$5:$A$204,T878)))</f>
        <v/>
      </c>
      <c r="V878" s="11">
        <f>IF(J878="","",S878*(IFERROR(INDEX(Settings!$B$5:$B$9,MATCH($B878,Settings!$A$5:$A$9,0)),0)+IFERROR(INDEX(Settings!$E$5:$E$9,MATCH($B878,Settings!$A$5:$A$9,0)),0)+IFERROR(INDEX(Settings!$G$5:$G$9,MATCH($B878,Settings!$A$5:$A$9,0)),0))+(IFERROR(INDEX(Settings!$C$5:$C$9,MATCH($B878,Settings!$A$5:$A$9,0)),0)+IFERROR(INDEX(Settings!$F$5:$F$9,MATCH($B878,Settings!$A$5:$A$9,0)),0))/P878+IFERROR(INDEX(Settings!$D$5:$D$9,MATCH($B878,Settings!$A$5:$A$9,0)),0)*M878)</f>
        <v/>
      </c>
      <c r="W878" s="11">
        <f>IF(J878="","",IF(T878="",0,M878*INDEX(Products!$I$5:$I$204,T878)))</f>
        <v/>
      </c>
      <c r="X878" s="11">
        <f>IF(J878="","",IF(T878="",0,S878*INDEX(Products!$H$5:$H$204,T878)))</f>
        <v/>
      </c>
      <c r="Y878" s="11">
        <f>IF(J878="","",S878-V878-W878-X878)</f>
        <v/>
      </c>
    </row>
    <row r="879">
      <c r="A879" s="19" t="n"/>
      <c r="B879" s="19" t="n"/>
      <c r="C879" s="19" t="n"/>
      <c r="D879" s="19" t="n"/>
      <c r="E879" s="19" t="n"/>
      <c r="F879" s="20" t="n"/>
      <c r="G879" s="20" t="n"/>
      <c r="H879" s="20" t="n"/>
      <c r="I879" s="19" t="n"/>
      <c r="J879">
        <f>IFERROR(IF(C879="","",C879)&amp;"","")</f>
        <v/>
      </c>
      <c r="K879">
        <f>IFERROR(IF(D879="","",D879)&amp;"","")</f>
        <v/>
      </c>
      <c r="L879">
        <f>IFERROR(IF(I879="","",I879)&amp;"","")</f>
        <v/>
      </c>
      <c r="M879">
        <f>IF(J879="","",IFERROR(VALUE(SUBSTITUTE(SUBSTITUTE(IF(E879="","",E879)&amp;"","$",""),",","")),0))</f>
        <v/>
      </c>
      <c r="N879" s="11">
        <f>IF(J879="","",IFERROR(VALUE(SUBSTITUTE(SUBSTITUTE(IF(F879="","",F879)&amp;"","$",""),",","")),0))</f>
        <v/>
      </c>
      <c r="O879" s="11">
        <f>IF(J879="","",M879*N879)</f>
        <v/>
      </c>
      <c r="P879">
        <f>IF(J879="","",IF(L879="",1,COUNTIF($L$2:$L$1501,L879)))</f>
        <v/>
      </c>
      <c r="Q879" s="11">
        <f>IF(J879="","",IFERROR(VALUE(SUBSTITUTE(SUBSTITUTE(IF(G879="","",G879)&amp;"","$",""),",","")),0)/IF("No"="Yes",P879,1))</f>
        <v/>
      </c>
      <c r="R879" s="11">
        <f>IF(J879="","",IFERROR(VALUE(SUBSTITUTE(SUBSTITUTE(IF(H879="","",H879)&amp;"","$",""),",","")),0)/IF("No"="Yes",P879,1))</f>
        <v/>
      </c>
      <c r="S879" s="11">
        <f>IF(J879="","",O879+Q879-R879)</f>
        <v/>
      </c>
      <c r="T879">
        <f>IF(J879="","",IFERROR(IF(K879="",NA(),MATCH(K879,Products!$B$5:$B$204,0)),IFERROR(MATCH(J879,Products!$A$5:$A$204,0),"")))</f>
        <v/>
      </c>
      <c r="U879">
        <f>IF(J879="","",IF(T879="","⚠ not in Products",INDEX(Products!$A$5:$A$204,T879)))</f>
        <v/>
      </c>
      <c r="V879" s="11">
        <f>IF(J879="","",S879*(IFERROR(INDEX(Settings!$B$5:$B$9,MATCH($B879,Settings!$A$5:$A$9,0)),0)+IFERROR(INDEX(Settings!$E$5:$E$9,MATCH($B879,Settings!$A$5:$A$9,0)),0)+IFERROR(INDEX(Settings!$G$5:$G$9,MATCH($B879,Settings!$A$5:$A$9,0)),0))+(IFERROR(INDEX(Settings!$C$5:$C$9,MATCH($B879,Settings!$A$5:$A$9,0)),0)+IFERROR(INDEX(Settings!$F$5:$F$9,MATCH($B879,Settings!$A$5:$A$9,0)),0))/P879+IFERROR(INDEX(Settings!$D$5:$D$9,MATCH($B879,Settings!$A$5:$A$9,0)),0)*M879)</f>
        <v/>
      </c>
      <c r="W879" s="11">
        <f>IF(J879="","",IF(T879="",0,M879*INDEX(Products!$I$5:$I$204,T879)))</f>
        <v/>
      </c>
      <c r="X879" s="11">
        <f>IF(J879="","",IF(T879="",0,S879*INDEX(Products!$H$5:$H$204,T879)))</f>
        <v/>
      </c>
      <c r="Y879" s="11">
        <f>IF(J879="","",S879-V879-W879-X879)</f>
        <v/>
      </c>
    </row>
    <row r="880">
      <c r="A880" s="19" t="n"/>
      <c r="B880" s="19" t="n"/>
      <c r="C880" s="19" t="n"/>
      <c r="D880" s="19" t="n"/>
      <c r="E880" s="19" t="n"/>
      <c r="F880" s="20" t="n"/>
      <c r="G880" s="20" t="n"/>
      <c r="H880" s="20" t="n"/>
      <c r="I880" s="19" t="n"/>
      <c r="J880">
        <f>IFERROR(IF(C880="","",C880)&amp;"","")</f>
        <v/>
      </c>
      <c r="K880">
        <f>IFERROR(IF(D880="","",D880)&amp;"","")</f>
        <v/>
      </c>
      <c r="L880">
        <f>IFERROR(IF(I880="","",I880)&amp;"","")</f>
        <v/>
      </c>
      <c r="M880">
        <f>IF(J880="","",IFERROR(VALUE(SUBSTITUTE(SUBSTITUTE(IF(E880="","",E880)&amp;"","$",""),",","")),0))</f>
        <v/>
      </c>
      <c r="N880" s="11">
        <f>IF(J880="","",IFERROR(VALUE(SUBSTITUTE(SUBSTITUTE(IF(F880="","",F880)&amp;"","$",""),",","")),0))</f>
        <v/>
      </c>
      <c r="O880" s="11">
        <f>IF(J880="","",M880*N880)</f>
        <v/>
      </c>
      <c r="P880">
        <f>IF(J880="","",IF(L880="",1,COUNTIF($L$2:$L$1501,L880)))</f>
        <v/>
      </c>
      <c r="Q880" s="11">
        <f>IF(J880="","",IFERROR(VALUE(SUBSTITUTE(SUBSTITUTE(IF(G880="","",G880)&amp;"","$",""),",","")),0)/IF("No"="Yes",P880,1))</f>
        <v/>
      </c>
      <c r="R880" s="11">
        <f>IF(J880="","",IFERROR(VALUE(SUBSTITUTE(SUBSTITUTE(IF(H880="","",H880)&amp;"","$",""),",","")),0)/IF("No"="Yes",P880,1))</f>
        <v/>
      </c>
      <c r="S880" s="11">
        <f>IF(J880="","",O880+Q880-R880)</f>
        <v/>
      </c>
      <c r="T880">
        <f>IF(J880="","",IFERROR(IF(K880="",NA(),MATCH(K880,Products!$B$5:$B$204,0)),IFERROR(MATCH(J880,Products!$A$5:$A$204,0),"")))</f>
        <v/>
      </c>
      <c r="U880">
        <f>IF(J880="","",IF(T880="","⚠ not in Products",INDEX(Products!$A$5:$A$204,T880)))</f>
        <v/>
      </c>
      <c r="V880" s="11">
        <f>IF(J880="","",S880*(IFERROR(INDEX(Settings!$B$5:$B$9,MATCH($B880,Settings!$A$5:$A$9,0)),0)+IFERROR(INDEX(Settings!$E$5:$E$9,MATCH($B880,Settings!$A$5:$A$9,0)),0)+IFERROR(INDEX(Settings!$G$5:$G$9,MATCH($B880,Settings!$A$5:$A$9,0)),0))+(IFERROR(INDEX(Settings!$C$5:$C$9,MATCH($B880,Settings!$A$5:$A$9,0)),0)+IFERROR(INDEX(Settings!$F$5:$F$9,MATCH($B880,Settings!$A$5:$A$9,0)),0))/P880+IFERROR(INDEX(Settings!$D$5:$D$9,MATCH($B880,Settings!$A$5:$A$9,0)),0)*M880)</f>
        <v/>
      </c>
      <c r="W880" s="11">
        <f>IF(J880="","",IF(T880="",0,M880*INDEX(Products!$I$5:$I$204,T880)))</f>
        <v/>
      </c>
      <c r="X880" s="11">
        <f>IF(J880="","",IF(T880="",0,S880*INDEX(Products!$H$5:$H$204,T880)))</f>
        <v/>
      </c>
      <c r="Y880" s="11">
        <f>IF(J880="","",S880-V880-W880-X880)</f>
        <v/>
      </c>
    </row>
    <row r="881">
      <c r="A881" s="19" t="n"/>
      <c r="B881" s="19" t="n"/>
      <c r="C881" s="19" t="n"/>
      <c r="D881" s="19" t="n"/>
      <c r="E881" s="19" t="n"/>
      <c r="F881" s="20" t="n"/>
      <c r="G881" s="20" t="n"/>
      <c r="H881" s="20" t="n"/>
      <c r="I881" s="19" t="n"/>
      <c r="J881">
        <f>IFERROR(IF(C881="","",C881)&amp;"","")</f>
        <v/>
      </c>
      <c r="K881">
        <f>IFERROR(IF(D881="","",D881)&amp;"","")</f>
        <v/>
      </c>
      <c r="L881">
        <f>IFERROR(IF(I881="","",I881)&amp;"","")</f>
        <v/>
      </c>
      <c r="M881">
        <f>IF(J881="","",IFERROR(VALUE(SUBSTITUTE(SUBSTITUTE(IF(E881="","",E881)&amp;"","$",""),",","")),0))</f>
        <v/>
      </c>
      <c r="N881" s="11">
        <f>IF(J881="","",IFERROR(VALUE(SUBSTITUTE(SUBSTITUTE(IF(F881="","",F881)&amp;"","$",""),",","")),0))</f>
        <v/>
      </c>
      <c r="O881" s="11">
        <f>IF(J881="","",M881*N881)</f>
        <v/>
      </c>
      <c r="P881">
        <f>IF(J881="","",IF(L881="",1,COUNTIF($L$2:$L$1501,L881)))</f>
        <v/>
      </c>
      <c r="Q881" s="11">
        <f>IF(J881="","",IFERROR(VALUE(SUBSTITUTE(SUBSTITUTE(IF(G881="","",G881)&amp;"","$",""),",","")),0)/IF("No"="Yes",P881,1))</f>
        <v/>
      </c>
      <c r="R881" s="11">
        <f>IF(J881="","",IFERROR(VALUE(SUBSTITUTE(SUBSTITUTE(IF(H881="","",H881)&amp;"","$",""),",","")),0)/IF("No"="Yes",P881,1))</f>
        <v/>
      </c>
      <c r="S881" s="11">
        <f>IF(J881="","",O881+Q881-R881)</f>
        <v/>
      </c>
      <c r="T881">
        <f>IF(J881="","",IFERROR(IF(K881="",NA(),MATCH(K881,Products!$B$5:$B$204,0)),IFERROR(MATCH(J881,Products!$A$5:$A$204,0),"")))</f>
        <v/>
      </c>
      <c r="U881">
        <f>IF(J881="","",IF(T881="","⚠ not in Products",INDEX(Products!$A$5:$A$204,T881)))</f>
        <v/>
      </c>
      <c r="V881" s="11">
        <f>IF(J881="","",S881*(IFERROR(INDEX(Settings!$B$5:$B$9,MATCH($B881,Settings!$A$5:$A$9,0)),0)+IFERROR(INDEX(Settings!$E$5:$E$9,MATCH($B881,Settings!$A$5:$A$9,0)),0)+IFERROR(INDEX(Settings!$G$5:$G$9,MATCH($B881,Settings!$A$5:$A$9,0)),0))+(IFERROR(INDEX(Settings!$C$5:$C$9,MATCH($B881,Settings!$A$5:$A$9,0)),0)+IFERROR(INDEX(Settings!$F$5:$F$9,MATCH($B881,Settings!$A$5:$A$9,0)),0))/P881+IFERROR(INDEX(Settings!$D$5:$D$9,MATCH($B881,Settings!$A$5:$A$9,0)),0)*M881)</f>
        <v/>
      </c>
      <c r="W881" s="11">
        <f>IF(J881="","",IF(T881="",0,M881*INDEX(Products!$I$5:$I$204,T881)))</f>
        <v/>
      </c>
      <c r="X881" s="11">
        <f>IF(J881="","",IF(T881="",0,S881*INDEX(Products!$H$5:$H$204,T881)))</f>
        <v/>
      </c>
      <c r="Y881" s="11">
        <f>IF(J881="","",S881-V881-W881-X881)</f>
        <v/>
      </c>
    </row>
    <row r="882">
      <c r="A882" s="19" t="n"/>
      <c r="B882" s="19" t="n"/>
      <c r="C882" s="19" t="n"/>
      <c r="D882" s="19" t="n"/>
      <c r="E882" s="19" t="n"/>
      <c r="F882" s="20" t="n"/>
      <c r="G882" s="20" t="n"/>
      <c r="H882" s="20" t="n"/>
      <c r="I882" s="19" t="n"/>
      <c r="J882">
        <f>IFERROR(IF(C882="","",C882)&amp;"","")</f>
        <v/>
      </c>
      <c r="K882">
        <f>IFERROR(IF(D882="","",D882)&amp;"","")</f>
        <v/>
      </c>
      <c r="L882">
        <f>IFERROR(IF(I882="","",I882)&amp;"","")</f>
        <v/>
      </c>
      <c r="M882">
        <f>IF(J882="","",IFERROR(VALUE(SUBSTITUTE(SUBSTITUTE(IF(E882="","",E882)&amp;"","$",""),",","")),0))</f>
        <v/>
      </c>
      <c r="N882" s="11">
        <f>IF(J882="","",IFERROR(VALUE(SUBSTITUTE(SUBSTITUTE(IF(F882="","",F882)&amp;"","$",""),",","")),0))</f>
        <v/>
      </c>
      <c r="O882" s="11">
        <f>IF(J882="","",M882*N882)</f>
        <v/>
      </c>
      <c r="P882">
        <f>IF(J882="","",IF(L882="",1,COUNTIF($L$2:$L$1501,L882)))</f>
        <v/>
      </c>
      <c r="Q882" s="11">
        <f>IF(J882="","",IFERROR(VALUE(SUBSTITUTE(SUBSTITUTE(IF(G882="","",G882)&amp;"","$",""),",","")),0)/IF("No"="Yes",P882,1))</f>
        <v/>
      </c>
      <c r="R882" s="11">
        <f>IF(J882="","",IFERROR(VALUE(SUBSTITUTE(SUBSTITUTE(IF(H882="","",H882)&amp;"","$",""),",","")),0)/IF("No"="Yes",P882,1))</f>
        <v/>
      </c>
      <c r="S882" s="11">
        <f>IF(J882="","",O882+Q882-R882)</f>
        <v/>
      </c>
      <c r="T882">
        <f>IF(J882="","",IFERROR(IF(K882="",NA(),MATCH(K882,Products!$B$5:$B$204,0)),IFERROR(MATCH(J882,Products!$A$5:$A$204,0),"")))</f>
        <v/>
      </c>
      <c r="U882">
        <f>IF(J882="","",IF(T882="","⚠ not in Products",INDEX(Products!$A$5:$A$204,T882)))</f>
        <v/>
      </c>
      <c r="V882" s="11">
        <f>IF(J882="","",S882*(IFERROR(INDEX(Settings!$B$5:$B$9,MATCH($B882,Settings!$A$5:$A$9,0)),0)+IFERROR(INDEX(Settings!$E$5:$E$9,MATCH($B882,Settings!$A$5:$A$9,0)),0)+IFERROR(INDEX(Settings!$G$5:$G$9,MATCH($B882,Settings!$A$5:$A$9,0)),0))+(IFERROR(INDEX(Settings!$C$5:$C$9,MATCH($B882,Settings!$A$5:$A$9,0)),0)+IFERROR(INDEX(Settings!$F$5:$F$9,MATCH($B882,Settings!$A$5:$A$9,0)),0))/P882+IFERROR(INDEX(Settings!$D$5:$D$9,MATCH($B882,Settings!$A$5:$A$9,0)),0)*M882)</f>
        <v/>
      </c>
      <c r="W882" s="11">
        <f>IF(J882="","",IF(T882="",0,M882*INDEX(Products!$I$5:$I$204,T882)))</f>
        <v/>
      </c>
      <c r="X882" s="11">
        <f>IF(J882="","",IF(T882="",0,S882*INDEX(Products!$H$5:$H$204,T882)))</f>
        <v/>
      </c>
      <c r="Y882" s="11">
        <f>IF(J882="","",S882-V882-W882-X882)</f>
        <v/>
      </c>
    </row>
    <row r="883">
      <c r="A883" s="19" t="n"/>
      <c r="B883" s="19" t="n"/>
      <c r="C883" s="19" t="n"/>
      <c r="D883" s="19" t="n"/>
      <c r="E883" s="19" t="n"/>
      <c r="F883" s="20" t="n"/>
      <c r="G883" s="20" t="n"/>
      <c r="H883" s="20" t="n"/>
      <c r="I883" s="19" t="n"/>
      <c r="J883">
        <f>IFERROR(IF(C883="","",C883)&amp;"","")</f>
        <v/>
      </c>
      <c r="K883">
        <f>IFERROR(IF(D883="","",D883)&amp;"","")</f>
        <v/>
      </c>
      <c r="L883">
        <f>IFERROR(IF(I883="","",I883)&amp;"","")</f>
        <v/>
      </c>
      <c r="M883">
        <f>IF(J883="","",IFERROR(VALUE(SUBSTITUTE(SUBSTITUTE(IF(E883="","",E883)&amp;"","$",""),",","")),0))</f>
        <v/>
      </c>
      <c r="N883" s="11">
        <f>IF(J883="","",IFERROR(VALUE(SUBSTITUTE(SUBSTITUTE(IF(F883="","",F883)&amp;"","$",""),",","")),0))</f>
        <v/>
      </c>
      <c r="O883" s="11">
        <f>IF(J883="","",M883*N883)</f>
        <v/>
      </c>
      <c r="P883">
        <f>IF(J883="","",IF(L883="",1,COUNTIF($L$2:$L$1501,L883)))</f>
        <v/>
      </c>
      <c r="Q883" s="11">
        <f>IF(J883="","",IFERROR(VALUE(SUBSTITUTE(SUBSTITUTE(IF(G883="","",G883)&amp;"","$",""),",","")),0)/IF("No"="Yes",P883,1))</f>
        <v/>
      </c>
      <c r="R883" s="11">
        <f>IF(J883="","",IFERROR(VALUE(SUBSTITUTE(SUBSTITUTE(IF(H883="","",H883)&amp;"","$",""),",","")),0)/IF("No"="Yes",P883,1))</f>
        <v/>
      </c>
      <c r="S883" s="11">
        <f>IF(J883="","",O883+Q883-R883)</f>
        <v/>
      </c>
      <c r="T883">
        <f>IF(J883="","",IFERROR(IF(K883="",NA(),MATCH(K883,Products!$B$5:$B$204,0)),IFERROR(MATCH(J883,Products!$A$5:$A$204,0),"")))</f>
        <v/>
      </c>
      <c r="U883">
        <f>IF(J883="","",IF(T883="","⚠ not in Products",INDEX(Products!$A$5:$A$204,T883)))</f>
        <v/>
      </c>
      <c r="V883" s="11">
        <f>IF(J883="","",S883*(IFERROR(INDEX(Settings!$B$5:$B$9,MATCH($B883,Settings!$A$5:$A$9,0)),0)+IFERROR(INDEX(Settings!$E$5:$E$9,MATCH($B883,Settings!$A$5:$A$9,0)),0)+IFERROR(INDEX(Settings!$G$5:$G$9,MATCH($B883,Settings!$A$5:$A$9,0)),0))+(IFERROR(INDEX(Settings!$C$5:$C$9,MATCH($B883,Settings!$A$5:$A$9,0)),0)+IFERROR(INDEX(Settings!$F$5:$F$9,MATCH($B883,Settings!$A$5:$A$9,0)),0))/P883+IFERROR(INDEX(Settings!$D$5:$D$9,MATCH($B883,Settings!$A$5:$A$9,0)),0)*M883)</f>
        <v/>
      </c>
      <c r="W883" s="11">
        <f>IF(J883="","",IF(T883="",0,M883*INDEX(Products!$I$5:$I$204,T883)))</f>
        <v/>
      </c>
      <c r="X883" s="11">
        <f>IF(J883="","",IF(T883="",0,S883*INDEX(Products!$H$5:$H$204,T883)))</f>
        <v/>
      </c>
      <c r="Y883" s="11">
        <f>IF(J883="","",S883-V883-W883-X883)</f>
        <v/>
      </c>
    </row>
    <row r="884">
      <c r="A884" s="19" t="n"/>
      <c r="B884" s="19" t="n"/>
      <c r="C884" s="19" t="n"/>
      <c r="D884" s="19" t="n"/>
      <c r="E884" s="19" t="n"/>
      <c r="F884" s="20" t="n"/>
      <c r="G884" s="20" t="n"/>
      <c r="H884" s="20" t="n"/>
      <c r="I884" s="19" t="n"/>
      <c r="J884">
        <f>IFERROR(IF(C884="","",C884)&amp;"","")</f>
        <v/>
      </c>
      <c r="K884">
        <f>IFERROR(IF(D884="","",D884)&amp;"","")</f>
        <v/>
      </c>
      <c r="L884">
        <f>IFERROR(IF(I884="","",I884)&amp;"","")</f>
        <v/>
      </c>
      <c r="M884">
        <f>IF(J884="","",IFERROR(VALUE(SUBSTITUTE(SUBSTITUTE(IF(E884="","",E884)&amp;"","$",""),",","")),0))</f>
        <v/>
      </c>
      <c r="N884" s="11">
        <f>IF(J884="","",IFERROR(VALUE(SUBSTITUTE(SUBSTITUTE(IF(F884="","",F884)&amp;"","$",""),",","")),0))</f>
        <v/>
      </c>
      <c r="O884" s="11">
        <f>IF(J884="","",M884*N884)</f>
        <v/>
      </c>
      <c r="P884">
        <f>IF(J884="","",IF(L884="",1,COUNTIF($L$2:$L$1501,L884)))</f>
        <v/>
      </c>
      <c r="Q884" s="11">
        <f>IF(J884="","",IFERROR(VALUE(SUBSTITUTE(SUBSTITUTE(IF(G884="","",G884)&amp;"","$",""),",","")),0)/IF("No"="Yes",P884,1))</f>
        <v/>
      </c>
      <c r="R884" s="11">
        <f>IF(J884="","",IFERROR(VALUE(SUBSTITUTE(SUBSTITUTE(IF(H884="","",H884)&amp;"","$",""),",","")),0)/IF("No"="Yes",P884,1))</f>
        <v/>
      </c>
      <c r="S884" s="11">
        <f>IF(J884="","",O884+Q884-R884)</f>
        <v/>
      </c>
      <c r="T884">
        <f>IF(J884="","",IFERROR(IF(K884="",NA(),MATCH(K884,Products!$B$5:$B$204,0)),IFERROR(MATCH(J884,Products!$A$5:$A$204,0),"")))</f>
        <v/>
      </c>
      <c r="U884">
        <f>IF(J884="","",IF(T884="","⚠ not in Products",INDEX(Products!$A$5:$A$204,T884)))</f>
        <v/>
      </c>
      <c r="V884" s="11">
        <f>IF(J884="","",S884*(IFERROR(INDEX(Settings!$B$5:$B$9,MATCH($B884,Settings!$A$5:$A$9,0)),0)+IFERROR(INDEX(Settings!$E$5:$E$9,MATCH($B884,Settings!$A$5:$A$9,0)),0)+IFERROR(INDEX(Settings!$G$5:$G$9,MATCH($B884,Settings!$A$5:$A$9,0)),0))+(IFERROR(INDEX(Settings!$C$5:$C$9,MATCH($B884,Settings!$A$5:$A$9,0)),0)+IFERROR(INDEX(Settings!$F$5:$F$9,MATCH($B884,Settings!$A$5:$A$9,0)),0))/P884+IFERROR(INDEX(Settings!$D$5:$D$9,MATCH($B884,Settings!$A$5:$A$9,0)),0)*M884)</f>
        <v/>
      </c>
      <c r="W884" s="11">
        <f>IF(J884="","",IF(T884="",0,M884*INDEX(Products!$I$5:$I$204,T884)))</f>
        <v/>
      </c>
      <c r="X884" s="11">
        <f>IF(J884="","",IF(T884="",0,S884*INDEX(Products!$H$5:$H$204,T884)))</f>
        <v/>
      </c>
      <c r="Y884" s="11">
        <f>IF(J884="","",S884-V884-W884-X884)</f>
        <v/>
      </c>
    </row>
    <row r="885">
      <c r="A885" s="19" t="n"/>
      <c r="B885" s="19" t="n"/>
      <c r="C885" s="19" t="n"/>
      <c r="D885" s="19" t="n"/>
      <c r="E885" s="19" t="n"/>
      <c r="F885" s="20" t="n"/>
      <c r="G885" s="20" t="n"/>
      <c r="H885" s="20" t="n"/>
      <c r="I885" s="19" t="n"/>
      <c r="J885">
        <f>IFERROR(IF(C885="","",C885)&amp;"","")</f>
        <v/>
      </c>
      <c r="K885">
        <f>IFERROR(IF(D885="","",D885)&amp;"","")</f>
        <v/>
      </c>
      <c r="L885">
        <f>IFERROR(IF(I885="","",I885)&amp;"","")</f>
        <v/>
      </c>
      <c r="M885">
        <f>IF(J885="","",IFERROR(VALUE(SUBSTITUTE(SUBSTITUTE(IF(E885="","",E885)&amp;"","$",""),",","")),0))</f>
        <v/>
      </c>
      <c r="N885" s="11">
        <f>IF(J885="","",IFERROR(VALUE(SUBSTITUTE(SUBSTITUTE(IF(F885="","",F885)&amp;"","$",""),",","")),0))</f>
        <v/>
      </c>
      <c r="O885" s="11">
        <f>IF(J885="","",M885*N885)</f>
        <v/>
      </c>
      <c r="P885">
        <f>IF(J885="","",IF(L885="",1,COUNTIF($L$2:$L$1501,L885)))</f>
        <v/>
      </c>
      <c r="Q885" s="11">
        <f>IF(J885="","",IFERROR(VALUE(SUBSTITUTE(SUBSTITUTE(IF(G885="","",G885)&amp;"","$",""),",","")),0)/IF("No"="Yes",P885,1))</f>
        <v/>
      </c>
      <c r="R885" s="11">
        <f>IF(J885="","",IFERROR(VALUE(SUBSTITUTE(SUBSTITUTE(IF(H885="","",H885)&amp;"","$",""),",","")),0)/IF("No"="Yes",P885,1))</f>
        <v/>
      </c>
      <c r="S885" s="11">
        <f>IF(J885="","",O885+Q885-R885)</f>
        <v/>
      </c>
      <c r="T885">
        <f>IF(J885="","",IFERROR(IF(K885="",NA(),MATCH(K885,Products!$B$5:$B$204,0)),IFERROR(MATCH(J885,Products!$A$5:$A$204,0),"")))</f>
        <v/>
      </c>
      <c r="U885">
        <f>IF(J885="","",IF(T885="","⚠ not in Products",INDEX(Products!$A$5:$A$204,T885)))</f>
        <v/>
      </c>
      <c r="V885" s="11">
        <f>IF(J885="","",S885*(IFERROR(INDEX(Settings!$B$5:$B$9,MATCH($B885,Settings!$A$5:$A$9,0)),0)+IFERROR(INDEX(Settings!$E$5:$E$9,MATCH($B885,Settings!$A$5:$A$9,0)),0)+IFERROR(INDEX(Settings!$G$5:$G$9,MATCH($B885,Settings!$A$5:$A$9,0)),0))+(IFERROR(INDEX(Settings!$C$5:$C$9,MATCH($B885,Settings!$A$5:$A$9,0)),0)+IFERROR(INDEX(Settings!$F$5:$F$9,MATCH($B885,Settings!$A$5:$A$9,0)),0))/P885+IFERROR(INDEX(Settings!$D$5:$D$9,MATCH($B885,Settings!$A$5:$A$9,0)),0)*M885)</f>
        <v/>
      </c>
      <c r="W885" s="11">
        <f>IF(J885="","",IF(T885="",0,M885*INDEX(Products!$I$5:$I$204,T885)))</f>
        <v/>
      </c>
      <c r="X885" s="11">
        <f>IF(J885="","",IF(T885="",0,S885*INDEX(Products!$H$5:$H$204,T885)))</f>
        <v/>
      </c>
      <c r="Y885" s="11">
        <f>IF(J885="","",S885-V885-W885-X885)</f>
        <v/>
      </c>
    </row>
    <row r="886">
      <c r="A886" s="19" t="n"/>
      <c r="B886" s="19" t="n"/>
      <c r="C886" s="19" t="n"/>
      <c r="D886" s="19" t="n"/>
      <c r="E886" s="19" t="n"/>
      <c r="F886" s="20" t="n"/>
      <c r="G886" s="20" t="n"/>
      <c r="H886" s="20" t="n"/>
      <c r="I886" s="19" t="n"/>
      <c r="J886">
        <f>IFERROR(IF(C886="","",C886)&amp;"","")</f>
        <v/>
      </c>
      <c r="K886">
        <f>IFERROR(IF(D886="","",D886)&amp;"","")</f>
        <v/>
      </c>
      <c r="L886">
        <f>IFERROR(IF(I886="","",I886)&amp;"","")</f>
        <v/>
      </c>
      <c r="M886">
        <f>IF(J886="","",IFERROR(VALUE(SUBSTITUTE(SUBSTITUTE(IF(E886="","",E886)&amp;"","$",""),",","")),0))</f>
        <v/>
      </c>
      <c r="N886" s="11">
        <f>IF(J886="","",IFERROR(VALUE(SUBSTITUTE(SUBSTITUTE(IF(F886="","",F886)&amp;"","$",""),",","")),0))</f>
        <v/>
      </c>
      <c r="O886" s="11">
        <f>IF(J886="","",M886*N886)</f>
        <v/>
      </c>
      <c r="P886">
        <f>IF(J886="","",IF(L886="",1,COUNTIF($L$2:$L$1501,L886)))</f>
        <v/>
      </c>
      <c r="Q886" s="11">
        <f>IF(J886="","",IFERROR(VALUE(SUBSTITUTE(SUBSTITUTE(IF(G886="","",G886)&amp;"","$",""),",","")),0)/IF("No"="Yes",P886,1))</f>
        <v/>
      </c>
      <c r="R886" s="11">
        <f>IF(J886="","",IFERROR(VALUE(SUBSTITUTE(SUBSTITUTE(IF(H886="","",H886)&amp;"","$",""),",","")),0)/IF("No"="Yes",P886,1))</f>
        <v/>
      </c>
      <c r="S886" s="11">
        <f>IF(J886="","",O886+Q886-R886)</f>
        <v/>
      </c>
      <c r="T886">
        <f>IF(J886="","",IFERROR(IF(K886="",NA(),MATCH(K886,Products!$B$5:$B$204,0)),IFERROR(MATCH(J886,Products!$A$5:$A$204,0),"")))</f>
        <v/>
      </c>
      <c r="U886">
        <f>IF(J886="","",IF(T886="","⚠ not in Products",INDEX(Products!$A$5:$A$204,T886)))</f>
        <v/>
      </c>
      <c r="V886" s="11">
        <f>IF(J886="","",S886*(IFERROR(INDEX(Settings!$B$5:$B$9,MATCH($B886,Settings!$A$5:$A$9,0)),0)+IFERROR(INDEX(Settings!$E$5:$E$9,MATCH($B886,Settings!$A$5:$A$9,0)),0)+IFERROR(INDEX(Settings!$G$5:$G$9,MATCH($B886,Settings!$A$5:$A$9,0)),0))+(IFERROR(INDEX(Settings!$C$5:$C$9,MATCH($B886,Settings!$A$5:$A$9,0)),0)+IFERROR(INDEX(Settings!$F$5:$F$9,MATCH($B886,Settings!$A$5:$A$9,0)),0))/P886+IFERROR(INDEX(Settings!$D$5:$D$9,MATCH($B886,Settings!$A$5:$A$9,0)),0)*M886)</f>
        <v/>
      </c>
      <c r="W886" s="11">
        <f>IF(J886="","",IF(T886="",0,M886*INDEX(Products!$I$5:$I$204,T886)))</f>
        <v/>
      </c>
      <c r="X886" s="11">
        <f>IF(J886="","",IF(T886="",0,S886*INDEX(Products!$H$5:$H$204,T886)))</f>
        <v/>
      </c>
      <c r="Y886" s="11">
        <f>IF(J886="","",S886-V886-W886-X886)</f>
        <v/>
      </c>
    </row>
    <row r="887">
      <c r="A887" s="19" t="n"/>
      <c r="B887" s="19" t="n"/>
      <c r="C887" s="19" t="n"/>
      <c r="D887" s="19" t="n"/>
      <c r="E887" s="19" t="n"/>
      <c r="F887" s="20" t="n"/>
      <c r="G887" s="20" t="n"/>
      <c r="H887" s="20" t="n"/>
      <c r="I887" s="19" t="n"/>
      <c r="J887">
        <f>IFERROR(IF(C887="","",C887)&amp;"","")</f>
        <v/>
      </c>
      <c r="K887">
        <f>IFERROR(IF(D887="","",D887)&amp;"","")</f>
        <v/>
      </c>
      <c r="L887">
        <f>IFERROR(IF(I887="","",I887)&amp;"","")</f>
        <v/>
      </c>
      <c r="M887">
        <f>IF(J887="","",IFERROR(VALUE(SUBSTITUTE(SUBSTITUTE(IF(E887="","",E887)&amp;"","$",""),",","")),0))</f>
        <v/>
      </c>
      <c r="N887" s="11">
        <f>IF(J887="","",IFERROR(VALUE(SUBSTITUTE(SUBSTITUTE(IF(F887="","",F887)&amp;"","$",""),",","")),0))</f>
        <v/>
      </c>
      <c r="O887" s="11">
        <f>IF(J887="","",M887*N887)</f>
        <v/>
      </c>
      <c r="P887">
        <f>IF(J887="","",IF(L887="",1,COUNTIF($L$2:$L$1501,L887)))</f>
        <v/>
      </c>
      <c r="Q887" s="11">
        <f>IF(J887="","",IFERROR(VALUE(SUBSTITUTE(SUBSTITUTE(IF(G887="","",G887)&amp;"","$",""),",","")),0)/IF("No"="Yes",P887,1))</f>
        <v/>
      </c>
      <c r="R887" s="11">
        <f>IF(J887="","",IFERROR(VALUE(SUBSTITUTE(SUBSTITUTE(IF(H887="","",H887)&amp;"","$",""),",","")),0)/IF("No"="Yes",P887,1))</f>
        <v/>
      </c>
      <c r="S887" s="11">
        <f>IF(J887="","",O887+Q887-R887)</f>
        <v/>
      </c>
      <c r="T887">
        <f>IF(J887="","",IFERROR(IF(K887="",NA(),MATCH(K887,Products!$B$5:$B$204,0)),IFERROR(MATCH(J887,Products!$A$5:$A$204,0),"")))</f>
        <v/>
      </c>
      <c r="U887">
        <f>IF(J887="","",IF(T887="","⚠ not in Products",INDEX(Products!$A$5:$A$204,T887)))</f>
        <v/>
      </c>
      <c r="V887" s="11">
        <f>IF(J887="","",S887*(IFERROR(INDEX(Settings!$B$5:$B$9,MATCH($B887,Settings!$A$5:$A$9,0)),0)+IFERROR(INDEX(Settings!$E$5:$E$9,MATCH($B887,Settings!$A$5:$A$9,0)),0)+IFERROR(INDEX(Settings!$G$5:$G$9,MATCH($B887,Settings!$A$5:$A$9,0)),0))+(IFERROR(INDEX(Settings!$C$5:$C$9,MATCH($B887,Settings!$A$5:$A$9,0)),0)+IFERROR(INDEX(Settings!$F$5:$F$9,MATCH($B887,Settings!$A$5:$A$9,0)),0))/P887+IFERROR(INDEX(Settings!$D$5:$D$9,MATCH($B887,Settings!$A$5:$A$9,0)),0)*M887)</f>
        <v/>
      </c>
      <c r="W887" s="11">
        <f>IF(J887="","",IF(T887="",0,M887*INDEX(Products!$I$5:$I$204,T887)))</f>
        <v/>
      </c>
      <c r="X887" s="11">
        <f>IF(J887="","",IF(T887="",0,S887*INDEX(Products!$H$5:$H$204,T887)))</f>
        <v/>
      </c>
      <c r="Y887" s="11">
        <f>IF(J887="","",S887-V887-W887-X887)</f>
        <v/>
      </c>
    </row>
    <row r="888">
      <c r="A888" s="19" t="n"/>
      <c r="B888" s="19" t="n"/>
      <c r="C888" s="19" t="n"/>
      <c r="D888" s="19" t="n"/>
      <c r="E888" s="19" t="n"/>
      <c r="F888" s="20" t="n"/>
      <c r="G888" s="20" t="n"/>
      <c r="H888" s="20" t="n"/>
      <c r="I888" s="19" t="n"/>
      <c r="J888">
        <f>IFERROR(IF(C888="","",C888)&amp;"","")</f>
        <v/>
      </c>
      <c r="K888">
        <f>IFERROR(IF(D888="","",D888)&amp;"","")</f>
        <v/>
      </c>
      <c r="L888">
        <f>IFERROR(IF(I888="","",I888)&amp;"","")</f>
        <v/>
      </c>
      <c r="M888">
        <f>IF(J888="","",IFERROR(VALUE(SUBSTITUTE(SUBSTITUTE(IF(E888="","",E888)&amp;"","$",""),",","")),0))</f>
        <v/>
      </c>
      <c r="N888" s="11">
        <f>IF(J888="","",IFERROR(VALUE(SUBSTITUTE(SUBSTITUTE(IF(F888="","",F888)&amp;"","$",""),",","")),0))</f>
        <v/>
      </c>
      <c r="O888" s="11">
        <f>IF(J888="","",M888*N888)</f>
        <v/>
      </c>
      <c r="P888">
        <f>IF(J888="","",IF(L888="",1,COUNTIF($L$2:$L$1501,L888)))</f>
        <v/>
      </c>
      <c r="Q888" s="11">
        <f>IF(J888="","",IFERROR(VALUE(SUBSTITUTE(SUBSTITUTE(IF(G888="","",G888)&amp;"","$",""),",","")),0)/IF("No"="Yes",P888,1))</f>
        <v/>
      </c>
      <c r="R888" s="11">
        <f>IF(J888="","",IFERROR(VALUE(SUBSTITUTE(SUBSTITUTE(IF(H888="","",H888)&amp;"","$",""),",","")),0)/IF("No"="Yes",P888,1))</f>
        <v/>
      </c>
      <c r="S888" s="11">
        <f>IF(J888="","",O888+Q888-R888)</f>
        <v/>
      </c>
      <c r="T888">
        <f>IF(J888="","",IFERROR(IF(K888="",NA(),MATCH(K888,Products!$B$5:$B$204,0)),IFERROR(MATCH(J888,Products!$A$5:$A$204,0),"")))</f>
        <v/>
      </c>
      <c r="U888">
        <f>IF(J888="","",IF(T888="","⚠ not in Products",INDEX(Products!$A$5:$A$204,T888)))</f>
        <v/>
      </c>
      <c r="V888" s="11">
        <f>IF(J888="","",S888*(IFERROR(INDEX(Settings!$B$5:$B$9,MATCH($B888,Settings!$A$5:$A$9,0)),0)+IFERROR(INDEX(Settings!$E$5:$E$9,MATCH($B888,Settings!$A$5:$A$9,0)),0)+IFERROR(INDEX(Settings!$G$5:$G$9,MATCH($B888,Settings!$A$5:$A$9,0)),0))+(IFERROR(INDEX(Settings!$C$5:$C$9,MATCH($B888,Settings!$A$5:$A$9,0)),0)+IFERROR(INDEX(Settings!$F$5:$F$9,MATCH($B888,Settings!$A$5:$A$9,0)),0))/P888+IFERROR(INDEX(Settings!$D$5:$D$9,MATCH($B888,Settings!$A$5:$A$9,0)),0)*M888)</f>
        <v/>
      </c>
      <c r="W888" s="11">
        <f>IF(J888="","",IF(T888="",0,M888*INDEX(Products!$I$5:$I$204,T888)))</f>
        <v/>
      </c>
      <c r="X888" s="11">
        <f>IF(J888="","",IF(T888="",0,S888*INDEX(Products!$H$5:$H$204,T888)))</f>
        <v/>
      </c>
      <c r="Y888" s="11">
        <f>IF(J888="","",S888-V888-W888-X888)</f>
        <v/>
      </c>
    </row>
    <row r="889">
      <c r="A889" s="19" t="n"/>
      <c r="B889" s="19" t="n"/>
      <c r="C889" s="19" t="n"/>
      <c r="D889" s="19" t="n"/>
      <c r="E889" s="19" t="n"/>
      <c r="F889" s="20" t="n"/>
      <c r="G889" s="20" t="n"/>
      <c r="H889" s="20" t="n"/>
      <c r="I889" s="19" t="n"/>
      <c r="J889">
        <f>IFERROR(IF(C889="","",C889)&amp;"","")</f>
        <v/>
      </c>
      <c r="K889">
        <f>IFERROR(IF(D889="","",D889)&amp;"","")</f>
        <v/>
      </c>
      <c r="L889">
        <f>IFERROR(IF(I889="","",I889)&amp;"","")</f>
        <v/>
      </c>
      <c r="M889">
        <f>IF(J889="","",IFERROR(VALUE(SUBSTITUTE(SUBSTITUTE(IF(E889="","",E889)&amp;"","$",""),",","")),0))</f>
        <v/>
      </c>
      <c r="N889" s="11">
        <f>IF(J889="","",IFERROR(VALUE(SUBSTITUTE(SUBSTITUTE(IF(F889="","",F889)&amp;"","$",""),",","")),0))</f>
        <v/>
      </c>
      <c r="O889" s="11">
        <f>IF(J889="","",M889*N889)</f>
        <v/>
      </c>
      <c r="P889">
        <f>IF(J889="","",IF(L889="",1,COUNTIF($L$2:$L$1501,L889)))</f>
        <v/>
      </c>
      <c r="Q889" s="11">
        <f>IF(J889="","",IFERROR(VALUE(SUBSTITUTE(SUBSTITUTE(IF(G889="","",G889)&amp;"","$",""),",","")),0)/IF("No"="Yes",P889,1))</f>
        <v/>
      </c>
      <c r="R889" s="11">
        <f>IF(J889="","",IFERROR(VALUE(SUBSTITUTE(SUBSTITUTE(IF(H889="","",H889)&amp;"","$",""),",","")),0)/IF("No"="Yes",P889,1))</f>
        <v/>
      </c>
      <c r="S889" s="11">
        <f>IF(J889="","",O889+Q889-R889)</f>
        <v/>
      </c>
      <c r="T889">
        <f>IF(J889="","",IFERROR(IF(K889="",NA(),MATCH(K889,Products!$B$5:$B$204,0)),IFERROR(MATCH(J889,Products!$A$5:$A$204,0),"")))</f>
        <v/>
      </c>
      <c r="U889">
        <f>IF(J889="","",IF(T889="","⚠ not in Products",INDEX(Products!$A$5:$A$204,T889)))</f>
        <v/>
      </c>
      <c r="V889" s="11">
        <f>IF(J889="","",S889*(IFERROR(INDEX(Settings!$B$5:$B$9,MATCH($B889,Settings!$A$5:$A$9,0)),0)+IFERROR(INDEX(Settings!$E$5:$E$9,MATCH($B889,Settings!$A$5:$A$9,0)),0)+IFERROR(INDEX(Settings!$G$5:$G$9,MATCH($B889,Settings!$A$5:$A$9,0)),0))+(IFERROR(INDEX(Settings!$C$5:$C$9,MATCH($B889,Settings!$A$5:$A$9,0)),0)+IFERROR(INDEX(Settings!$F$5:$F$9,MATCH($B889,Settings!$A$5:$A$9,0)),0))/P889+IFERROR(INDEX(Settings!$D$5:$D$9,MATCH($B889,Settings!$A$5:$A$9,0)),0)*M889)</f>
        <v/>
      </c>
      <c r="W889" s="11">
        <f>IF(J889="","",IF(T889="",0,M889*INDEX(Products!$I$5:$I$204,T889)))</f>
        <v/>
      </c>
      <c r="X889" s="11">
        <f>IF(J889="","",IF(T889="",0,S889*INDEX(Products!$H$5:$H$204,T889)))</f>
        <v/>
      </c>
      <c r="Y889" s="11">
        <f>IF(J889="","",S889-V889-W889-X889)</f>
        <v/>
      </c>
    </row>
    <row r="890">
      <c r="A890" s="19" t="n"/>
      <c r="B890" s="19" t="n"/>
      <c r="C890" s="19" t="n"/>
      <c r="D890" s="19" t="n"/>
      <c r="E890" s="19" t="n"/>
      <c r="F890" s="20" t="n"/>
      <c r="G890" s="20" t="n"/>
      <c r="H890" s="20" t="n"/>
      <c r="I890" s="19" t="n"/>
      <c r="J890">
        <f>IFERROR(IF(C890="","",C890)&amp;"","")</f>
        <v/>
      </c>
      <c r="K890">
        <f>IFERROR(IF(D890="","",D890)&amp;"","")</f>
        <v/>
      </c>
      <c r="L890">
        <f>IFERROR(IF(I890="","",I890)&amp;"","")</f>
        <v/>
      </c>
      <c r="M890">
        <f>IF(J890="","",IFERROR(VALUE(SUBSTITUTE(SUBSTITUTE(IF(E890="","",E890)&amp;"","$",""),",","")),0))</f>
        <v/>
      </c>
      <c r="N890" s="11">
        <f>IF(J890="","",IFERROR(VALUE(SUBSTITUTE(SUBSTITUTE(IF(F890="","",F890)&amp;"","$",""),",","")),0))</f>
        <v/>
      </c>
      <c r="O890" s="11">
        <f>IF(J890="","",M890*N890)</f>
        <v/>
      </c>
      <c r="P890">
        <f>IF(J890="","",IF(L890="",1,COUNTIF($L$2:$L$1501,L890)))</f>
        <v/>
      </c>
      <c r="Q890" s="11">
        <f>IF(J890="","",IFERROR(VALUE(SUBSTITUTE(SUBSTITUTE(IF(G890="","",G890)&amp;"","$",""),",","")),0)/IF("No"="Yes",P890,1))</f>
        <v/>
      </c>
      <c r="R890" s="11">
        <f>IF(J890="","",IFERROR(VALUE(SUBSTITUTE(SUBSTITUTE(IF(H890="","",H890)&amp;"","$",""),",","")),0)/IF("No"="Yes",P890,1))</f>
        <v/>
      </c>
      <c r="S890" s="11">
        <f>IF(J890="","",O890+Q890-R890)</f>
        <v/>
      </c>
      <c r="T890">
        <f>IF(J890="","",IFERROR(IF(K890="",NA(),MATCH(K890,Products!$B$5:$B$204,0)),IFERROR(MATCH(J890,Products!$A$5:$A$204,0),"")))</f>
        <v/>
      </c>
      <c r="U890">
        <f>IF(J890="","",IF(T890="","⚠ not in Products",INDEX(Products!$A$5:$A$204,T890)))</f>
        <v/>
      </c>
      <c r="V890" s="11">
        <f>IF(J890="","",S890*(IFERROR(INDEX(Settings!$B$5:$B$9,MATCH($B890,Settings!$A$5:$A$9,0)),0)+IFERROR(INDEX(Settings!$E$5:$E$9,MATCH($B890,Settings!$A$5:$A$9,0)),0)+IFERROR(INDEX(Settings!$G$5:$G$9,MATCH($B890,Settings!$A$5:$A$9,0)),0))+(IFERROR(INDEX(Settings!$C$5:$C$9,MATCH($B890,Settings!$A$5:$A$9,0)),0)+IFERROR(INDEX(Settings!$F$5:$F$9,MATCH($B890,Settings!$A$5:$A$9,0)),0))/P890+IFERROR(INDEX(Settings!$D$5:$D$9,MATCH($B890,Settings!$A$5:$A$9,0)),0)*M890)</f>
        <v/>
      </c>
      <c r="W890" s="11">
        <f>IF(J890="","",IF(T890="",0,M890*INDEX(Products!$I$5:$I$204,T890)))</f>
        <v/>
      </c>
      <c r="X890" s="11">
        <f>IF(J890="","",IF(T890="",0,S890*INDEX(Products!$H$5:$H$204,T890)))</f>
        <v/>
      </c>
      <c r="Y890" s="11">
        <f>IF(J890="","",S890-V890-W890-X890)</f>
        <v/>
      </c>
    </row>
    <row r="891">
      <c r="A891" s="19" t="n"/>
      <c r="B891" s="19" t="n"/>
      <c r="C891" s="19" t="n"/>
      <c r="D891" s="19" t="n"/>
      <c r="E891" s="19" t="n"/>
      <c r="F891" s="20" t="n"/>
      <c r="G891" s="20" t="n"/>
      <c r="H891" s="20" t="n"/>
      <c r="I891" s="19" t="n"/>
      <c r="J891">
        <f>IFERROR(IF(C891="","",C891)&amp;"","")</f>
        <v/>
      </c>
      <c r="K891">
        <f>IFERROR(IF(D891="","",D891)&amp;"","")</f>
        <v/>
      </c>
      <c r="L891">
        <f>IFERROR(IF(I891="","",I891)&amp;"","")</f>
        <v/>
      </c>
      <c r="M891">
        <f>IF(J891="","",IFERROR(VALUE(SUBSTITUTE(SUBSTITUTE(IF(E891="","",E891)&amp;"","$",""),",","")),0))</f>
        <v/>
      </c>
      <c r="N891" s="11">
        <f>IF(J891="","",IFERROR(VALUE(SUBSTITUTE(SUBSTITUTE(IF(F891="","",F891)&amp;"","$",""),",","")),0))</f>
        <v/>
      </c>
      <c r="O891" s="11">
        <f>IF(J891="","",M891*N891)</f>
        <v/>
      </c>
      <c r="P891">
        <f>IF(J891="","",IF(L891="",1,COUNTIF($L$2:$L$1501,L891)))</f>
        <v/>
      </c>
      <c r="Q891" s="11">
        <f>IF(J891="","",IFERROR(VALUE(SUBSTITUTE(SUBSTITUTE(IF(G891="","",G891)&amp;"","$",""),",","")),0)/IF("No"="Yes",P891,1))</f>
        <v/>
      </c>
      <c r="R891" s="11">
        <f>IF(J891="","",IFERROR(VALUE(SUBSTITUTE(SUBSTITUTE(IF(H891="","",H891)&amp;"","$",""),",","")),0)/IF("No"="Yes",P891,1))</f>
        <v/>
      </c>
      <c r="S891" s="11">
        <f>IF(J891="","",O891+Q891-R891)</f>
        <v/>
      </c>
      <c r="T891">
        <f>IF(J891="","",IFERROR(IF(K891="",NA(),MATCH(K891,Products!$B$5:$B$204,0)),IFERROR(MATCH(J891,Products!$A$5:$A$204,0),"")))</f>
        <v/>
      </c>
      <c r="U891">
        <f>IF(J891="","",IF(T891="","⚠ not in Products",INDEX(Products!$A$5:$A$204,T891)))</f>
        <v/>
      </c>
      <c r="V891" s="11">
        <f>IF(J891="","",S891*(IFERROR(INDEX(Settings!$B$5:$B$9,MATCH($B891,Settings!$A$5:$A$9,0)),0)+IFERROR(INDEX(Settings!$E$5:$E$9,MATCH($B891,Settings!$A$5:$A$9,0)),0)+IFERROR(INDEX(Settings!$G$5:$G$9,MATCH($B891,Settings!$A$5:$A$9,0)),0))+(IFERROR(INDEX(Settings!$C$5:$C$9,MATCH($B891,Settings!$A$5:$A$9,0)),0)+IFERROR(INDEX(Settings!$F$5:$F$9,MATCH($B891,Settings!$A$5:$A$9,0)),0))/P891+IFERROR(INDEX(Settings!$D$5:$D$9,MATCH($B891,Settings!$A$5:$A$9,0)),0)*M891)</f>
        <v/>
      </c>
      <c r="W891" s="11">
        <f>IF(J891="","",IF(T891="",0,M891*INDEX(Products!$I$5:$I$204,T891)))</f>
        <v/>
      </c>
      <c r="X891" s="11">
        <f>IF(J891="","",IF(T891="",0,S891*INDEX(Products!$H$5:$H$204,T891)))</f>
        <v/>
      </c>
      <c r="Y891" s="11">
        <f>IF(J891="","",S891-V891-W891-X891)</f>
        <v/>
      </c>
    </row>
    <row r="892">
      <c r="A892" s="19" t="n"/>
      <c r="B892" s="19" t="n"/>
      <c r="C892" s="19" t="n"/>
      <c r="D892" s="19" t="n"/>
      <c r="E892" s="19" t="n"/>
      <c r="F892" s="20" t="n"/>
      <c r="G892" s="20" t="n"/>
      <c r="H892" s="20" t="n"/>
      <c r="I892" s="19" t="n"/>
      <c r="J892">
        <f>IFERROR(IF(C892="","",C892)&amp;"","")</f>
        <v/>
      </c>
      <c r="K892">
        <f>IFERROR(IF(D892="","",D892)&amp;"","")</f>
        <v/>
      </c>
      <c r="L892">
        <f>IFERROR(IF(I892="","",I892)&amp;"","")</f>
        <v/>
      </c>
      <c r="M892">
        <f>IF(J892="","",IFERROR(VALUE(SUBSTITUTE(SUBSTITUTE(IF(E892="","",E892)&amp;"","$",""),",","")),0))</f>
        <v/>
      </c>
      <c r="N892" s="11">
        <f>IF(J892="","",IFERROR(VALUE(SUBSTITUTE(SUBSTITUTE(IF(F892="","",F892)&amp;"","$",""),",","")),0))</f>
        <v/>
      </c>
      <c r="O892" s="11">
        <f>IF(J892="","",M892*N892)</f>
        <v/>
      </c>
      <c r="P892">
        <f>IF(J892="","",IF(L892="",1,COUNTIF($L$2:$L$1501,L892)))</f>
        <v/>
      </c>
      <c r="Q892" s="11">
        <f>IF(J892="","",IFERROR(VALUE(SUBSTITUTE(SUBSTITUTE(IF(G892="","",G892)&amp;"","$",""),",","")),0)/IF("No"="Yes",P892,1))</f>
        <v/>
      </c>
      <c r="R892" s="11">
        <f>IF(J892="","",IFERROR(VALUE(SUBSTITUTE(SUBSTITUTE(IF(H892="","",H892)&amp;"","$",""),",","")),0)/IF("No"="Yes",P892,1))</f>
        <v/>
      </c>
      <c r="S892" s="11">
        <f>IF(J892="","",O892+Q892-R892)</f>
        <v/>
      </c>
      <c r="T892">
        <f>IF(J892="","",IFERROR(IF(K892="",NA(),MATCH(K892,Products!$B$5:$B$204,0)),IFERROR(MATCH(J892,Products!$A$5:$A$204,0),"")))</f>
        <v/>
      </c>
      <c r="U892">
        <f>IF(J892="","",IF(T892="","⚠ not in Products",INDEX(Products!$A$5:$A$204,T892)))</f>
        <v/>
      </c>
      <c r="V892" s="11">
        <f>IF(J892="","",S892*(IFERROR(INDEX(Settings!$B$5:$B$9,MATCH($B892,Settings!$A$5:$A$9,0)),0)+IFERROR(INDEX(Settings!$E$5:$E$9,MATCH($B892,Settings!$A$5:$A$9,0)),0)+IFERROR(INDEX(Settings!$G$5:$G$9,MATCH($B892,Settings!$A$5:$A$9,0)),0))+(IFERROR(INDEX(Settings!$C$5:$C$9,MATCH($B892,Settings!$A$5:$A$9,0)),0)+IFERROR(INDEX(Settings!$F$5:$F$9,MATCH($B892,Settings!$A$5:$A$9,0)),0))/P892+IFERROR(INDEX(Settings!$D$5:$D$9,MATCH($B892,Settings!$A$5:$A$9,0)),0)*M892)</f>
        <v/>
      </c>
      <c r="W892" s="11">
        <f>IF(J892="","",IF(T892="",0,M892*INDEX(Products!$I$5:$I$204,T892)))</f>
        <v/>
      </c>
      <c r="X892" s="11">
        <f>IF(J892="","",IF(T892="",0,S892*INDEX(Products!$H$5:$H$204,T892)))</f>
        <v/>
      </c>
      <c r="Y892" s="11">
        <f>IF(J892="","",S892-V892-W892-X892)</f>
        <v/>
      </c>
    </row>
    <row r="893">
      <c r="A893" s="19" t="n"/>
      <c r="B893" s="19" t="n"/>
      <c r="C893" s="19" t="n"/>
      <c r="D893" s="19" t="n"/>
      <c r="E893" s="19" t="n"/>
      <c r="F893" s="20" t="n"/>
      <c r="G893" s="20" t="n"/>
      <c r="H893" s="20" t="n"/>
      <c r="I893" s="19" t="n"/>
      <c r="J893">
        <f>IFERROR(IF(C893="","",C893)&amp;"","")</f>
        <v/>
      </c>
      <c r="K893">
        <f>IFERROR(IF(D893="","",D893)&amp;"","")</f>
        <v/>
      </c>
      <c r="L893">
        <f>IFERROR(IF(I893="","",I893)&amp;"","")</f>
        <v/>
      </c>
      <c r="M893">
        <f>IF(J893="","",IFERROR(VALUE(SUBSTITUTE(SUBSTITUTE(IF(E893="","",E893)&amp;"","$",""),",","")),0))</f>
        <v/>
      </c>
      <c r="N893" s="11">
        <f>IF(J893="","",IFERROR(VALUE(SUBSTITUTE(SUBSTITUTE(IF(F893="","",F893)&amp;"","$",""),",","")),0))</f>
        <v/>
      </c>
      <c r="O893" s="11">
        <f>IF(J893="","",M893*N893)</f>
        <v/>
      </c>
      <c r="P893">
        <f>IF(J893="","",IF(L893="",1,COUNTIF($L$2:$L$1501,L893)))</f>
        <v/>
      </c>
      <c r="Q893" s="11">
        <f>IF(J893="","",IFERROR(VALUE(SUBSTITUTE(SUBSTITUTE(IF(G893="","",G893)&amp;"","$",""),",","")),0)/IF("No"="Yes",P893,1))</f>
        <v/>
      </c>
      <c r="R893" s="11">
        <f>IF(J893="","",IFERROR(VALUE(SUBSTITUTE(SUBSTITUTE(IF(H893="","",H893)&amp;"","$",""),",","")),0)/IF("No"="Yes",P893,1))</f>
        <v/>
      </c>
      <c r="S893" s="11">
        <f>IF(J893="","",O893+Q893-R893)</f>
        <v/>
      </c>
      <c r="T893">
        <f>IF(J893="","",IFERROR(IF(K893="",NA(),MATCH(K893,Products!$B$5:$B$204,0)),IFERROR(MATCH(J893,Products!$A$5:$A$204,0),"")))</f>
        <v/>
      </c>
      <c r="U893">
        <f>IF(J893="","",IF(T893="","⚠ not in Products",INDEX(Products!$A$5:$A$204,T893)))</f>
        <v/>
      </c>
      <c r="V893" s="11">
        <f>IF(J893="","",S893*(IFERROR(INDEX(Settings!$B$5:$B$9,MATCH($B893,Settings!$A$5:$A$9,0)),0)+IFERROR(INDEX(Settings!$E$5:$E$9,MATCH($B893,Settings!$A$5:$A$9,0)),0)+IFERROR(INDEX(Settings!$G$5:$G$9,MATCH($B893,Settings!$A$5:$A$9,0)),0))+(IFERROR(INDEX(Settings!$C$5:$C$9,MATCH($B893,Settings!$A$5:$A$9,0)),0)+IFERROR(INDEX(Settings!$F$5:$F$9,MATCH($B893,Settings!$A$5:$A$9,0)),0))/P893+IFERROR(INDEX(Settings!$D$5:$D$9,MATCH($B893,Settings!$A$5:$A$9,0)),0)*M893)</f>
        <v/>
      </c>
      <c r="W893" s="11">
        <f>IF(J893="","",IF(T893="",0,M893*INDEX(Products!$I$5:$I$204,T893)))</f>
        <v/>
      </c>
      <c r="X893" s="11">
        <f>IF(J893="","",IF(T893="",0,S893*INDEX(Products!$H$5:$H$204,T893)))</f>
        <v/>
      </c>
      <c r="Y893" s="11">
        <f>IF(J893="","",S893-V893-W893-X893)</f>
        <v/>
      </c>
    </row>
    <row r="894">
      <c r="A894" s="19" t="n"/>
      <c r="B894" s="19" t="n"/>
      <c r="C894" s="19" t="n"/>
      <c r="D894" s="19" t="n"/>
      <c r="E894" s="19" t="n"/>
      <c r="F894" s="20" t="n"/>
      <c r="G894" s="20" t="n"/>
      <c r="H894" s="20" t="n"/>
      <c r="I894" s="19" t="n"/>
      <c r="J894">
        <f>IFERROR(IF(C894="","",C894)&amp;"","")</f>
        <v/>
      </c>
      <c r="K894">
        <f>IFERROR(IF(D894="","",D894)&amp;"","")</f>
        <v/>
      </c>
      <c r="L894">
        <f>IFERROR(IF(I894="","",I894)&amp;"","")</f>
        <v/>
      </c>
      <c r="M894">
        <f>IF(J894="","",IFERROR(VALUE(SUBSTITUTE(SUBSTITUTE(IF(E894="","",E894)&amp;"","$",""),",","")),0))</f>
        <v/>
      </c>
      <c r="N894" s="11">
        <f>IF(J894="","",IFERROR(VALUE(SUBSTITUTE(SUBSTITUTE(IF(F894="","",F894)&amp;"","$",""),",","")),0))</f>
        <v/>
      </c>
      <c r="O894" s="11">
        <f>IF(J894="","",M894*N894)</f>
        <v/>
      </c>
      <c r="P894">
        <f>IF(J894="","",IF(L894="",1,COUNTIF($L$2:$L$1501,L894)))</f>
        <v/>
      </c>
      <c r="Q894" s="11">
        <f>IF(J894="","",IFERROR(VALUE(SUBSTITUTE(SUBSTITUTE(IF(G894="","",G894)&amp;"","$",""),",","")),0)/IF("No"="Yes",P894,1))</f>
        <v/>
      </c>
      <c r="R894" s="11">
        <f>IF(J894="","",IFERROR(VALUE(SUBSTITUTE(SUBSTITUTE(IF(H894="","",H894)&amp;"","$",""),",","")),0)/IF("No"="Yes",P894,1))</f>
        <v/>
      </c>
      <c r="S894" s="11">
        <f>IF(J894="","",O894+Q894-R894)</f>
        <v/>
      </c>
      <c r="T894">
        <f>IF(J894="","",IFERROR(IF(K894="",NA(),MATCH(K894,Products!$B$5:$B$204,0)),IFERROR(MATCH(J894,Products!$A$5:$A$204,0),"")))</f>
        <v/>
      </c>
      <c r="U894">
        <f>IF(J894="","",IF(T894="","⚠ not in Products",INDEX(Products!$A$5:$A$204,T894)))</f>
        <v/>
      </c>
      <c r="V894" s="11">
        <f>IF(J894="","",S894*(IFERROR(INDEX(Settings!$B$5:$B$9,MATCH($B894,Settings!$A$5:$A$9,0)),0)+IFERROR(INDEX(Settings!$E$5:$E$9,MATCH($B894,Settings!$A$5:$A$9,0)),0)+IFERROR(INDEX(Settings!$G$5:$G$9,MATCH($B894,Settings!$A$5:$A$9,0)),0))+(IFERROR(INDEX(Settings!$C$5:$C$9,MATCH($B894,Settings!$A$5:$A$9,0)),0)+IFERROR(INDEX(Settings!$F$5:$F$9,MATCH($B894,Settings!$A$5:$A$9,0)),0))/P894+IFERROR(INDEX(Settings!$D$5:$D$9,MATCH($B894,Settings!$A$5:$A$9,0)),0)*M894)</f>
        <v/>
      </c>
      <c r="W894" s="11">
        <f>IF(J894="","",IF(T894="",0,M894*INDEX(Products!$I$5:$I$204,T894)))</f>
        <v/>
      </c>
      <c r="X894" s="11">
        <f>IF(J894="","",IF(T894="",0,S894*INDEX(Products!$H$5:$H$204,T894)))</f>
        <v/>
      </c>
      <c r="Y894" s="11">
        <f>IF(J894="","",S894-V894-W894-X894)</f>
        <v/>
      </c>
    </row>
    <row r="895">
      <c r="A895" s="19" t="n"/>
      <c r="B895" s="19" t="n"/>
      <c r="C895" s="19" t="n"/>
      <c r="D895" s="19" t="n"/>
      <c r="E895" s="19" t="n"/>
      <c r="F895" s="20" t="n"/>
      <c r="G895" s="20" t="n"/>
      <c r="H895" s="20" t="n"/>
      <c r="I895" s="19" t="n"/>
      <c r="J895">
        <f>IFERROR(IF(C895="","",C895)&amp;"","")</f>
        <v/>
      </c>
      <c r="K895">
        <f>IFERROR(IF(D895="","",D895)&amp;"","")</f>
        <v/>
      </c>
      <c r="L895">
        <f>IFERROR(IF(I895="","",I895)&amp;"","")</f>
        <v/>
      </c>
      <c r="M895">
        <f>IF(J895="","",IFERROR(VALUE(SUBSTITUTE(SUBSTITUTE(IF(E895="","",E895)&amp;"","$",""),",","")),0))</f>
        <v/>
      </c>
      <c r="N895" s="11">
        <f>IF(J895="","",IFERROR(VALUE(SUBSTITUTE(SUBSTITUTE(IF(F895="","",F895)&amp;"","$",""),",","")),0))</f>
        <v/>
      </c>
      <c r="O895" s="11">
        <f>IF(J895="","",M895*N895)</f>
        <v/>
      </c>
      <c r="P895">
        <f>IF(J895="","",IF(L895="",1,COUNTIF($L$2:$L$1501,L895)))</f>
        <v/>
      </c>
      <c r="Q895" s="11">
        <f>IF(J895="","",IFERROR(VALUE(SUBSTITUTE(SUBSTITUTE(IF(G895="","",G895)&amp;"","$",""),",","")),0)/IF("No"="Yes",P895,1))</f>
        <v/>
      </c>
      <c r="R895" s="11">
        <f>IF(J895="","",IFERROR(VALUE(SUBSTITUTE(SUBSTITUTE(IF(H895="","",H895)&amp;"","$",""),",","")),0)/IF("No"="Yes",P895,1))</f>
        <v/>
      </c>
      <c r="S895" s="11">
        <f>IF(J895="","",O895+Q895-R895)</f>
        <v/>
      </c>
      <c r="T895">
        <f>IF(J895="","",IFERROR(IF(K895="",NA(),MATCH(K895,Products!$B$5:$B$204,0)),IFERROR(MATCH(J895,Products!$A$5:$A$204,0),"")))</f>
        <v/>
      </c>
      <c r="U895">
        <f>IF(J895="","",IF(T895="","⚠ not in Products",INDEX(Products!$A$5:$A$204,T895)))</f>
        <v/>
      </c>
      <c r="V895" s="11">
        <f>IF(J895="","",S895*(IFERROR(INDEX(Settings!$B$5:$B$9,MATCH($B895,Settings!$A$5:$A$9,0)),0)+IFERROR(INDEX(Settings!$E$5:$E$9,MATCH($B895,Settings!$A$5:$A$9,0)),0)+IFERROR(INDEX(Settings!$G$5:$G$9,MATCH($B895,Settings!$A$5:$A$9,0)),0))+(IFERROR(INDEX(Settings!$C$5:$C$9,MATCH($B895,Settings!$A$5:$A$9,0)),0)+IFERROR(INDEX(Settings!$F$5:$F$9,MATCH($B895,Settings!$A$5:$A$9,0)),0))/P895+IFERROR(INDEX(Settings!$D$5:$D$9,MATCH($B895,Settings!$A$5:$A$9,0)),0)*M895)</f>
        <v/>
      </c>
      <c r="W895" s="11">
        <f>IF(J895="","",IF(T895="",0,M895*INDEX(Products!$I$5:$I$204,T895)))</f>
        <v/>
      </c>
      <c r="X895" s="11">
        <f>IF(J895="","",IF(T895="",0,S895*INDEX(Products!$H$5:$H$204,T895)))</f>
        <v/>
      </c>
      <c r="Y895" s="11">
        <f>IF(J895="","",S895-V895-W895-X895)</f>
        <v/>
      </c>
    </row>
    <row r="896">
      <c r="A896" s="19" t="n"/>
      <c r="B896" s="19" t="n"/>
      <c r="C896" s="19" t="n"/>
      <c r="D896" s="19" t="n"/>
      <c r="E896" s="19" t="n"/>
      <c r="F896" s="20" t="n"/>
      <c r="G896" s="20" t="n"/>
      <c r="H896" s="20" t="n"/>
      <c r="I896" s="19" t="n"/>
      <c r="J896">
        <f>IFERROR(IF(C896="","",C896)&amp;"","")</f>
        <v/>
      </c>
      <c r="K896">
        <f>IFERROR(IF(D896="","",D896)&amp;"","")</f>
        <v/>
      </c>
      <c r="L896">
        <f>IFERROR(IF(I896="","",I896)&amp;"","")</f>
        <v/>
      </c>
      <c r="M896">
        <f>IF(J896="","",IFERROR(VALUE(SUBSTITUTE(SUBSTITUTE(IF(E896="","",E896)&amp;"","$",""),",","")),0))</f>
        <v/>
      </c>
      <c r="N896" s="11">
        <f>IF(J896="","",IFERROR(VALUE(SUBSTITUTE(SUBSTITUTE(IF(F896="","",F896)&amp;"","$",""),",","")),0))</f>
        <v/>
      </c>
      <c r="O896" s="11">
        <f>IF(J896="","",M896*N896)</f>
        <v/>
      </c>
      <c r="P896">
        <f>IF(J896="","",IF(L896="",1,COUNTIF($L$2:$L$1501,L896)))</f>
        <v/>
      </c>
      <c r="Q896" s="11">
        <f>IF(J896="","",IFERROR(VALUE(SUBSTITUTE(SUBSTITUTE(IF(G896="","",G896)&amp;"","$",""),",","")),0)/IF("No"="Yes",P896,1))</f>
        <v/>
      </c>
      <c r="R896" s="11">
        <f>IF(J896="","",IFERROR(VALUE(SUBSTITUTE(SUBSTITUTE(IF(H896="","",H896)&amp;"","$",""),",","")),0)/IF("No"="Yes",P896,1))</f>
        <v/>
      </c>
      <c r="S896" s="11">
        <f>IF(J896="","",O896+Q896-R896)</f>
        <v/>
      </c>
      <c r="T896">
        <f>IF(J896="","",IFERROR(IF(K896="",NA(),MATCH(K896,Products!$B$5:$B$204,0)),IFERROR(MATCH(J896,Products!$A$5:$A$204,0),"")))</f>
        <v/>
      </c>
      <c r="U896">
        <f>IF(J896="","",IF(T896="","⚠ not in Products",INDEX(Products!$A$5:$A$204,T896)))</f>
        <v/>
      </c>
      <c r="V896" s="11">
        <f>IF(J896="","",S896*(IFERROR(INDEX(Settings!$B$5:$B$9,MATCH($B896,Settings!$A$5:$A$9,0)),0)+IFERROR(INDEX(Settings!$E$5:$E$9,MATCH($B896,Settings!$A$5:$A$9,0)),0)+IFERROR(INDEX(Settings!$G$5:$G$9,MATCH($B896,Settings!$A$5:$A$9,0)),0))+(IFERROR(INDEX(Settings!$C$5:$C$9,MATCH($B896,Settings!$A$5:$A$9,0)),0)+IFERROR(INDEX(Settings!$F$5:$F$9,MATCH($B896,Settings!$A$5:$A$9,0)),0))/P896+IFERROR(INDEX(Settings!$D$5:$D$9,MATCH($B896,Settings!$A$5:$A$9,0)),0)*M896)</f>
        <v/>
      </c>
      <c r="W896" s="11">
        <f>IF(J896="","",IF(T896="",0,M896*INDEX(Products!$I$5:$I$204,T896)))</f>
        <v/>
      </c>
      <c r="X896" s="11">
        <f>IF(J896="","",IF(T896="",0,S896*INDEX(Products!$H$5:$H$204,T896)))</f>
        <v/>
      </c>
      <c r="Y896" s="11">
        <f>IF(J896="","",S896-V896-W896-X896)</f>
        <v/>
      </c>
    </row>
    <row r="897">
      <c r="A897" s="19" t="n"/>
      <c r="B897" s="19" t="n"/>
      <c r="C897" s="19" t="n"/>
      <c r="D897" s="19" t="n"/>
      <c r="E897" s="19" t="n"/>
      <c r="F897" s="20" t="n"/>
      <c r="G897" s="20" t="n"/>
      <c r="H897" s="20" t="n"/>
      <c r="I897" s="19" t="n"/>
      <c r="J897">
        <f>IFERROR(IF(C897="","",C897)&amp;"","")</f>
        <v/>
      </c>
      <c r="K897">
        <f>IFERROR(IF(D897="","",D897)&amp;"","")</f>
        <v/>
      </c>
      <c r="L897">
        <f>IFERROR(IF(I897="","",I897)&amp;"","")</f>
        <v/>
      </c>
      <c r="M897">
        <f>IF(J897="","",IFERROR(VALUE(SUBSTITUTE(SUBSTITUTE(IF(E897="","",E897)&amp;"","$",""),",","")),0))</f>
        <v/>
      </c>
      <c r="N897" s="11">
        <f>IF(J897="","",IFERROR(VALUE(SUBSTITUTE(SUBSTITUTE(IF(F897="","",F897)&amp;"","$",""),",","")),0))</f>
        <v/>
      </c>
      <c r="O897" s="11">
        <f>IF(J897="","",M897*N897)</f>
        <v/>
      </c>
      <c r="P897">
        <f>IF(J897="","",IF(L897="",1,COUNTIF($L$2:$L$1501,L897)))</f>
        <v/>
      </c>
      <c r="Q897" s="11">
        <f>IF(J897="","",IFERROR(VALUE(SUBSTITUTE(SUBSTITUTE(IF(G897="","",G897)&amp;"","$",""),",","")),0)/IF("No"="Yes",P897,1))</f>
        <v/>
      </c>
      <c r="R897" s="11">
        <f>IF(J897="","",IFERROR(VALUE(SUBSTITUTE(SUBSTITUTE(IF(H897="","",H897)&amp;"","$",""),",","")),0)/IF("No"="Yes",P897,1))</f>
        <v/>
      </c>
      <c r="S897" s="11">
        <f>IF(J897="","",O897+Q897-R897)</f>
        <v/>
      </c>
      <c r="T897">
        <f>IF(J897="","",IFERROR(IF(K897="",NA(),MATCH(K897,Products!$B$5:$B$204,0)),IFERROR(MATCH(J897,Products!$A$5:$A$204,0),"")))</f>
        <v/>
      </c>
      <c r="U897">
        <f>IF(J897="","",IF(T897="","⚠ not in Products",INDEX(Products!$A$5:$A$204,T897)))</f>
        <v/>
      </c>
      <c r="V897" s="11">
        <f>IF(J897="","",S897*(IFERROR(INDEX(Settings!$B$5:$B$9,MATCH($B897,Settings!$A$5:$A$9,0)),0)+IFERROR(INDEX(Settings!$E$5:$E$9,MATCH($B897,Settings!$A$5:$A$9,0)),0)+IFERROR(INDEX(Settings!$G$5:$G$9,MATCH($B897,Settings!$A$5:$A$9,0)),0))+(IFERROR(INDEX(Settings!$C$5:$C$9,MATCH($B897,Settings!$A$5:$A$9,0)),0)+IFERROR(INDEX(Settings!$F$5:$F$9,MATCH($B897,Settings!$A$5:$A$9,0)),0))/P897+IFERROR(INDEX(Settings!$D$5:$D$9,MATCH($B897,Settings!$A$5:$A$9,0)),0)*M897)</f>
        <v/>
      </c>
      <c r="W897" s="11">
        <f>IF(J897="","",IF(T897="",0,M897*INDEX(Products!$I$5:$I$204,T897)))</f>
        <v/>
      </c>
      <c r="X897" s="11">
        <f>IF(J897="","",IF(T897="",0,S897*INDEX(Products!$H$5:$H$204,T897)))</f>
        <v/>
      </c>
      <c r="Y897" s="11">
        <f>IF(J897="","",S897-V897-W897-X897)</f>
        <v/>
      </c>
    </row>
    <row r="898">
      <c r="A898" s="19" t="n"/>
      <c r="B898" s="19" t="n"/>
      <c r="C898" s="19" t="n"/>
      <c r="D898" s="19" t="n"/>
      <c r="E898" s="19" t="n"/>
      <c r="F898" s="20" t="n"/>
      <c r="G898" s="20" t="n"/>
      <c r="H898" s="20" t="n"/>
      <c r="I898" s="19" t="n"/>
      <c r="J898">
        <f>IFERROR(IF(C898="","",C898)&amp;"","")</f>
        <v/>
      </c>
      <c r="K898">
        <f>IFERROR(IF(D898="","",D898)&amp;"","")</f>
        <v/>
      </c>
      <c r="L898">
        <f>IFERROR(IF(I898="","",I898)&amp;"","")</f>
        <v/>
      </c>
      <c r="M898">
        <f>IF(J898="","",IFERROR(VALUE(SUBSTITUTE(SUBSTITUTE(IF(E898="","",E898)&amp;"","$",""),",","")),0))</f>
        <v/>
      </c>
      <c r="N898" s="11">
        <f>IF(J898="","",IFERROR(VALUE(SUBSTITUTE(SUBSTITUTE(IF(F898="","",F898)&amp;"","$",""),",","")),0))</f>
        <v/>
      </c>
      <c r="O898" s="11">
        <f>IF(J898="","",M898*N898)</f>
        <v/>
      </c>
      <c r="P898">
        <f>IF(J898="","",IF(L898="",1,COUNTIF($L$2:$L$1501,L898)))</f>
        <v/>
      </c>
      <c r="Q898" s="11">
        <f>IF(J898="","",IFERROR(VALUE(SUBSTITUTE(SUBSTITUTE(IF(G898="","",G898)&amp;"","$",""),",","")),0)/IF("No"="Yes",P898,1))</f>
        <v/>
      </c>
      <c r="R898" s="11">
        <f>IF(J898="","",IFERROR(VALUE(SUBSTITUTE(SUBSTITUTE(IF(H898="","",H898)&amp;"","$",""),",","")),0)/IF("No"="Yes",P898,1))</f>
        <v/>
      </c>
      <c r="S898" s="11">
        <f>IF(J898="","",O898+Q898-R898)</f>
        <v/>
      </c>
      <c r="T898">
        <f>IF(J898="","",IFERROR(IF(K898="",NA(),MATCH(K898,Products!$B$5:$B$204,0)),IFERROR(MATCH(J898,Products!$A$5:$A$204,0),"")))</f>
        <v/>
      </c>
      <c r="U898">
        <f>IF(J898="","",IF(T898="","⚠ not in Products",INDEX(Products!$A$5:$A$204,T898)))</f>
        <v/>
      </c>
      <c r="V898" s="11">
        <f>IF(J898="","",S898*(IFERROR(INDEX(Settings!$B$5:$B$9,MATCH($B898,Settings!$A$5:$A$9,0)),0)+IFERROR(INDEX(Settings!$E$5:$E$9,MATCH($B898,Settings!$A$5:$A$9,0)),0)+IFERROR(INDEX(Settings!$G$5:$G$9,MATCH($B898,Settings!$A$5:$A$9,0)),0))+(IFERROR(INDEX(Settings!$C$5:$C$9,MATCH($B898,Settings!$A$5:$A$9,0)),0)+IFERROR(INDEX(Settings!$F$5:$F$9,MATCH($B898,Settings!$A$5:$A$9,0)),0))/P898+IFERROR(INDEX(Settings!$D$5:$D$9,MATCH($B898,Settings!$A$5:$A$9,0)),0)*M898)</f>
        <v/>
      </c>
      <c r="W898" s="11">
        <f>IF(J898="","",IF(T898="",0,M898*INDEX(Products!$I$5:$I$204,T898)))</f>
        <v/>
      </c>
      <c r="X898" s="11">
        <f>IF(J898="","",IF(T898="",0,S898*INDEX(Products!$H$5:$H$204,T898)))</f>
        <v/>
      </c>
      <c r="Y898" s="11">
        <f>IF(J898="","",S898-V898-W898-X898)</f>
        <v/>
      </c>
    </row>
    <row r="899">
      <c r="A899" s="19" t="n"/>
      <c r="B899" s="19" t="n"/>
      <c r="C899" s="19" t="n"/>
      <c r="D899" s="19" t="n"/>
      <c r="E899" s="19" t="n"/>
      <c r="F899" s="20" t="n"/>
      <c r="G899" s="20" t="n"/>
      <c r="H899" s="20" t="n"/>
      <c r="I899" s="19" t="n"/>
      <c r="J899">
        <f>IFERROR(IF(C899="","",C899)&amp;"","")</f>
        <v/>
      </c>
      <c r="K899">
        <f>IFERROR(IF(D899="","",D899)&amp;"","")</f>
        <v/>
      </c>
      <c r="L899">
        <f>IFERROR(IF(I899="","",I899)&amp;"","")</f>
        <v/>
      </c>
      <c r="M899">
        <f>IF(J899="","",IFERROR(VALUE(SUBSTITUTE(SUBSTITUTE(IF(E899="","",E899)&amp;"","$",""),",","")),0))</f>
        <v/>
      </c>
      <c r="N899" s="11">
        <f>IF(J899="","",IFERROR(VALUE(SUBSTITUTE(SUBSTITUTE(IF(F899="","",F899)&amp;"","$",""),",","")),0))</f>
        <v/>
      </c>
      <c r="O899" s="11">
        <f>IF(J899="","",M899*N899)</f>
        <v/>
      </c>
      <c r="P899">
        <f>IF(J899="","",IF(L899="",1,COUNTIF($L$2:$L$1501,L899)))</f>
        <v/>
      </c>
      <c r="Q899" s="11">
        <f>IF(J899="","",IFERROR(VALUE(SUBSTITUTE(SUBSTITUTE(IF(G899="","",G899)&amp;"","$",""),",","")),0)/IF("No"="Yes",P899,1))</f>
        <v/>
      </c>
      <c r="R899" s="11">
        <f>IF(J899="","",IFERROR(VALUE(SUBSTITUTE(SUBSTITUTE(IF(H899="","",H899)&amp;"","$",""),",","")),0)/IF("No"="Yes",P899,1))</f>
        <v/>
      </c>
      <c r="S899" s="11">
        <f>IF(J899="","",O899+Q899-R899)</f>
        <v/>
      </c>
      <c r="T899">
        <f>IF(J899="","",IFERROR(IF(K899="",NA(),MATCH(K899,Products!$B$5:$B$204,0)),IFERROR(MATCH(J899,Products!$A$5:$A$204,0),"")))</f>
        <v/>
      </c>
      <c r="U899">
        <f>IF(J899="","",IF(T899="","⚠ not in Products",INDEX(Products!$A$5:$A$204,T899)))</f>
        <v/>
      </c>
      <c r="V899" s="11">
        <f>IF(J899="","",S899*(IFERROR(INDEX(Settings!$B$5:$B$9,MATCH($B899,Settings!$A$5:$A$9,0)),0)+IFERROR(INDEX(Settings!$E$5:$E$9,MATCH($B899,Settings!$A$5:$A$9,0)),0)+IFERROR(INDEX(Settings!$G$5:$G$9,MATCH($B899,Settings!$A$5:$A$9,0)),0))+(IFERROR(INDEX(Settings!$C$5:$C$9,MATCH($B899,Settings!$A$5:$A$9,0)),0)+IFERROR(INDEX(Settings!$F$5:$F$9,MATCH($B899,Settings!$A$5:$A$9,0)),0))/P899+IFERROR(INDEX(Settings!$D$5:$D$9,MATCH($B899,Settings!$A$5:$A$9,0)),0)*M899)</f>
        <v/>
      </c>
      <c r="W899" s="11">
        <f>IF(J899="","",IF(T899="",0,M899*INDEX(Products!$I$5:$I$204,T899)))</f>
        <v/>
      </c>
      <c r="X899" s="11">
        <f>IF(J899="","",IF(T899="",0,S899*INDEX(Products!$H$5:$H$204,T899)))</f>
        <v/>
      </c>
      <c r="Y899" s="11">
        <f>IF(J899="","",S899-V899-W899-X899)</f>
        <v/>
      </c>
    </row>
    <row r="900">
      <c r="A900" s="19" t="n"/>
      <c r="B900" s="19" t="n"/>
      <c r="C900" s="19" t="n"/>
      <c r="D900" s="19" t="n"/>
      <c r="E900" s="19" t="n"/>
      <c r="F900" s="20" t="n"/>
      <c r="G900" s="20" t="n"/>
      <c r="H900" s="20" t="n"/>
      <c r="I900" s="19" t="n"/>
      <c r="J900">
        <f>IFERROR(IF(C900="","",C900)&amp;"","")</f>
        <v/>
      </c>
      <c r="K900">
        <f>IFERROR(IF(D900="","",D900)&amp;"","")</f>
        <v/>
      </c>
      <c r="L900">
        <f>IFERROR(IF(I900="","",I900)&amp;"","")</f>
        <v/>
      </c>
      <c r="M900">
        <f>IF(J900="","",IFERROR(VALUE(SUBSTITUTE(SUBSTITUTE(IF(E900="","",E900)&amp;"","$",""),",","")),0))</f>
        <v/>
      </c>
      <c r="N900" s="11">
        <f>IF(J900="","",IFERROR(VALUE(SUBSTITUTE(SUBSTITUTE(IF(F900="","",F900)&amp;"","$",""),",","")),0))</f>
        <v/>
      </c>
      <c r="O900" s="11">
        <f>IF(J900="","",M900*N900)</f>
        <v/>
      </c>
      <c r="P900">
        <f>IF(J900="","",IF(L900="",1,COUNTIF($L$2:$L$1501,L900)))</f>
        <v/>
      </c>
      <c r="Q900" s="11">
        <f>IF(J900="","",IFERROR(VALUE(SUBSTITUTE(SUBSTITUTE(IF(G900="","",G900)&amp;"","$",""),",","")),0)/IF("No"="Yes",P900,1))</f>
        <v/>
      </c>
      <c r="R900" s="11">
        <f>IF(J900="","",IFERROR(VALUE(SUBSTITUTE(SUBSTITUTE(IF(H900="","",H900)&amp;"","$",""),",","")),0)/IF("No"="Yes",P900,1))</f>
        <v/>
      </c>
      <c r="S900" s="11">
        <f>IF(J900="","",O900+Q900-R900)</f>
        <v/>
      </c>
      <c r="T900">
        <f>IF(J900="","",IFERROR(IF(K900="",NA(),MATCH(K900,Products!$B$5:$B$204,0)),IFERROR(MATCH(J900,Products!$A$5:$A$204,0),"")))</f>
        <v/>
      </c>
      <c r="U900">
        <f>IF(J900="","",IF(T900="","⚠ not in Products",INDEX(Products!$A$5:$A$204,T900)))</f>
        <v/>
      </c>
      <c r="V900" s="11">
        <f>IF(J900="","",S900*(IFERROR(INDEX(Settings!$B$5:$B$9,MATCH($B900,Settings!$A$5:$A$9,0)),0)+IFERROR(INDEX(Settings!$E$5:$E$9,MATCH($B900,Settings!$A$5:$A$9,0)),0)+IFERROR(INDEX(Settings!$G$5:$G$9,MATCH($B900,Settings!$A$5:$A$9,0)),0))+(IFERROR(INDEX(Settings!$C$5:$C$9,MATCH($B900,Settings!$A$5:$A$9,0)),0)+IFERROR(INDEX(Settings!$F$5:$F$9,MATCH($B900,Settings!$A$5:$A$9,0)),0))/P900+IFERROR(INDEX(Settings!$D$5:$D$9,MATCH($B900,Settings!$A$5:$A$9,0)),0)*M900)</f>
        <v/>
      </c>
      <c r="W900" s="11">
        <f>IF(J900="","",IF(T900="",0,M900*INDEX(Products!$I$5:$I$204,T900)))</f>
        <v/>
      </c>
      <c r="X900" s="11">
        <f>IF(J900="","",IF(T900="",0,S900*INDEX(Products!$H$5:$H$204,T900)))</f>
        <v/>
      </c>
      <c r="Y900" s="11">
        <f>IF(J900="","",S900-V900-W900-X900)</f>
        <v/>
      </c>
    </row>
    <row r="901">
      <c r="A901" s="19" t="n"/>
      <c r="B901" s="19" t="n"/>
      <c r="C901" s="19" t="n"/>
      <c r="D901" s="19" t="n"/>
      <c r="E901" s="19" t="n"/>
      <c r="F901" s="20" t="n"/>
      <c r="G901" s="20" t="n"/>
      <c r="H901" s="20" t="n"/>
      <c r="I901" s="19" t="n"/>
      <c r="J901">
        <f>IFERROR(IF(C901="","",C901)&amp;"","")</f>
        <v/>
      </c>
      <c r="K901">
        <f>IFERROR(IF(D901="","",D901)&amp;"","")</f>
        <v/>
      </c>
      <c r="L901">
        <f>IFERROR(IF(I901="","",I901)&amp;"","")</f>
        <v/>
      </c>
      <c r="M901">
        <f>IF(J901="","",IFERROR(VALUE(SUBSTITUTE(SUBSTITUTE(IF(E901="","",E901)&amp;"","$",""),",","")),0))</f>
        <v/>
      </c>
      <c r="N901" s="11">
        <f>IF(J901="","",IFERROR(VALUE(SUBSTITUTE(SUBSTITUTE(IF(F901="","",F901)&amp;"","$",""),",","")),0))</f>
        <v/>
      </c>
      <c r="O901" s="11">
        <f>IF(J901="","",M901*N901)</f>
        <v/>
      </c>
      <c r="P901">
        <f>IF(J901="","",IF(L901="",1,COUNTIF($L$2:$L$1501,L901)))</f>
        <v/>
      </c>
      <c r="Q901" s="11">
        <f>IF(J901="","",IFERROR(VALUE(SUBSTITUTE(SUBSTITUTE(IF(G901="","",G901)&amp;"","$",""),",","")),0)/IF("No"="Yes",P901,1))</f>
        <v/>
      </c>
      <c r="R901" s="11">
        <f>IF(J901="","",IFERROR(VALUE(SUBSTITUTE(SUBSTITUTE(IF(H901="","",H901)&amp;"","$",""),",","")),0)/IF("No"="Yes",P901,1))</f>
        <v/>
      </c>
      <c r="S901" s="11">
        <f>IF(J901="","",O901+Q901-R901)</f>
        <v/>
      </c>
      <c r="T901">
        <f>IF(J901="","",IFERROR(IF(K901="",NA(),MATCH(K901,Products!$B$5:$B$204,0)),IFERROR(MATCH(J901,Products!$A$5:$A$204,0),"")))</f>
        <v/>
      </c>
      <c r="U901">
        <f>IF(J901="","",IF(T901="","⚠ not in Products",INDEX(Products!$A$5:$A$204,T901)))</f>
        <v/>
      </c>
      <c r="V901" s="11">
        <f>IF(J901="","",S901*(IFERROR(INDEX(Settings!$B$5:$B$9,MATCH($B901,Settings!$A$5:$A$9,0)),0)+IFERROR(INDEX(Settings!$E$5:$E$9,MATCH($B901,Settings!$A$5:$A$9,0)),0)+IFERROR(INDEX(Settings!$G$5:$G$9,MATCH($B901,Settings!$A$5:$A$9,0)),0))+(IFERROR(INDEX(Settings!$C$5:$C$9,MATCH($B901,Settings!$A$5:$A$9,0)),0)+IFERROR(INDEX(Settings!$F$5:$F$9,MATCH($B901,Settings!$A$5:$A$9,0)),0))/P901+IFERROR(INDEX(Settings!$D$5:$D$9,MATCH($B901,Settings!$A$5:$A$9,0)),0)*M901)</f>
        <v/>
      </c>
      <c r="W901" s="11">
        <f>IF(J901="","",IF(T901="",0,M901*INDEX(Products!$I$5:$I$204,T901)))</f>
        <v/>
      </c>
      <c r="X901" s="11">
        <f>IF(J901="","",IF(T901="",0,S901*INDEX(Products!$H$5:$H$204,T901)))</f>
        <v/>
      </c>
      <c r="Y901" s="11">
        <f>IF(J901="","",S901-V901-W901-X901)</f>
        <v/>
      </c>
    </row>
    <row r="902">
      <c r="A902" s="19" t="n"/>
      <c r="B902" s="19" t="n"/>
      <c r="C902" s="19" t="n"/>
      <c r="D902" s="19" t="n"/>
      <c r="E902" s="19" t="n"/>
      <c r="F902" s="20" t="n"/>
      <c r="G902" s="20" t="n"/>
      <c r="H902" s="20" t="n"/>
      <c r="I902" s="19" t="n"/>
      <c r="J902">
        <f>IFERROR(IF(C902="","",C902)&amp;"","")</f>
        <v/>
      </c>
      <c r="K902">
        <f>IFERROR(IF(D902="","",D902)&amp;"","")</f>
        <v/>
      </c>
      <c r="L902">
        <f>IFERROR(IF(I902="","",I902)&amp;"","")</f>
        <v/>
      </c>
      <c r="M902">
        <f>IF(J902="","",IFERROR(VALUE(SUBSTITUTE(SUBSTITUTE(IF(E902="","",E902)&amp;"","$",""),",","")),0))</f>
        <v/>
      </c>
      <c r="N902" s="11">
        <f>IF(J902="","",IFERROR(VALUE(SUBSTITUTE(SUBSTITUTE(IF(F902="","",F902)&amp;"","$",""),",","")),0))</f>
        <v/>
      </c>
      <c r="O902" s="11">
        <f>IF(J902="","",M902*N902)</f>
        <v/>
      </c>
      <c r="P902">
        <f>IF(J902="","",IF(L902="",1,COUNTIF($L$2:$L$1501,L902)))</f>
        <v/>
      </c>
      <c r="Q902" s="11">
        <f>IF(J902="","",IFERROR(VALUE(SUBSTITUTE(SUBSTITUTE(IF(G902="","",G902)&amp;"","$",""),",","")),0)/IF("No"="Yes",P902,1))</f>
        <v/>
      </c>
      <c r="R902" s="11">
        <f>IF(J902="","",IFERROR(VALUE(SUBSTITUTE(SUBSTITUTE(IF(H902="","",H902)&amp;"","$",""),",","")),0)/IF("No"="Yes",P902,1))</f>
        <v/>
      </c>
      <c r="S902" s="11">
        <f>IF(J902="","",O902+Q902-R902)</f>
        <v/>
      </c>
      <c r="T902">
        <f>IF(J902="","",IFERROR(IF(K902="",NA(),MATCH(K902,Products!$B$5:$B$204,0)),IFERROR(MATCH(J902,Products!$A$5:$A$204,0),"")))</f>
        <v/>
      </c>
      <c r="U902">
        <f>IF(J902="","",IF(T902="","⚠ not in Products",INDEX(Products!$A$5:$A$204,T902)))</f>
        <v/>
      </c>
      <c r="V902" s="11">
        <f>IF(J902="","",S902*(IFERROR(INDEX(Settings!$B$5:$B$9,MATCH($B902,Settings!$A$5:$A$9,0)),0)+IFERROR(INDEX(Settings!$E$5:$E$9,MATCH($B902,Settings!$A$5:$A$9,0)),0)+IFERROR(INDEX(Settings!$G$5:$G$9,MATCH($B902,Settings!$A$5:$A$9,0)),0))+(IFERROR(INDEX(Settings!$C$5:$C$9,MATCH($B902,Settings!$A$5:$A$9,0)),0)+IFERROR(INDEX(Settings!$F$5:$F$9,MATCH($B902,Settings!$A$5:$A$9,0)),0))/P902+IFERROR(INDEX(Settings!$D$5:$D$9,MATCH($B902,Settings!$A$5:$A$9,0)),0)*M902)</f>
        <v/>
      </c>
      <c r="W902" s="11">
        <f>IF(J902="","",IF(T902="",0,M902*INDEX(Products!$I$5:$I$204,T902)))</f>
        <v/>
      </c>
      <c r="X902" s="11">
        <f>IF(J902="","",IF(T902="",0,S902*INDEX(Products!$H$5:$H$204,T902)))</f>
        <v/>
      </c>
      <c r="Y902" s="11">
        <f>IF(J902="","",S902-V902-W902-X902)</f>
        <v/>
      </c>
    </row>
    <row r="903">
      <c r="A903" s="19" t="n"/>
      <c r="B903" s="19" t="n"/>
      <c r="C903" s="19" t="n"/>
      <c r="D903" s="19" t="n"/>
      <c r="E903" s="19" t="n"/>
      <c r="F903" s="20" t="n"/>
      <c r="G903" s="20" t="n"/>
      <c r="H903" s="20" t="n"/>
      <c r="I903" s="19" t="n"/>
      <c r="J903">
        <f>IFERROR(IF(C903="","",C903)&amp;"","")</f>
        <v/>
      </c>
      <c r="K903">
        <f>IFERROR(IF(D903="","",D903)&amp;"","")</f>
        <v/>
      </c>
      <c r="L903">
        <f>IFERROR(IF(I903="","",I903)&amp;"","")</f>
        <v/>
      </c>
      <c r="M903">
        <f>IF(J903="","",IFERROR(VALUE(SUBSTITUTE(SUBSTITUTE(IF(E903="","",E903)&amp;"","$",""),",","")),0))</f>
        <v/>
      </c>
      <c r="N903" s="11">
        <f>IF(J903="","",IFERROR(VALUE(SUBSTITUTE(SUBSTITUTE(IF(F903="","",F903)&amp;"","$",""),",","")),0))</f>
        <v/>
      </c>
      <c r="O903" s="11">
        <f>IF(J903="","",M903*N903)</f>
        <v/>
      </c>
      <c r="P903">
        <f>IF(J903="","",IF(L903="",1,COUNTIF($L$2:$L$1501,L903)))</f>
        <v/>
      </c>
      <c r="Q903" s="11">
        <f>IF(J903="","",IFERROR(VALUE(SUBSTITUTE(SUBSTITUTE(IF(G903="","",G903)&amp;"","$",""),",","")),0)/IF("No"="Yes",P903,1))</f>
        <v/>
      </c>
      <c r="R903" s="11">
        <f>IF(J903="","",IFERROR(VALUE(SUBSTITUTE(SUBSTITUTE(IF(H903="","",H903)&amp;"","$",""),",","")),0)/IF("No"="Yes",P903,1))</f>
        <v/>
      </c>
      <c r="S903" s="11">
        <f>IF(J903="","",O903+Q903-R903)</f>
        <v/>
      </c>
      <c r="T903">
        <f>IF(J903="","",IFERROR(IF(K903="",NA(),MATCH(K903,Products!$B$5:$B$204,0)),IFERROR(MATCH(J903,Products!$A$5:$A$204,0),"")))</f>
        <v/>
      </c>
      <c r="U903">
        <f>IF(J903="","",IF(T903="","⚠ not in Products",INDEX(Products!$A$5:$A$204,T903)))</f>
        <v/>
      </c>
      <c r="V903" s="11">
        <f>IF(J903="","",S903*(IFERROR(INDEX(Settings!$B$5:$B$9,MATCH($B903,Settings!$A$5:$A$9,0)),0)+IFERROR(INDEX(Settings!$E$5:$E$9,MATCH($B903,Settings!$A$5:$A$9,0)),0)+IFERROR(INDEX(Settings!$G$5:$G$9,MATCH($B903,Settings!$A$5:$A$9,0)),0))+(IFERROR(INDEX(Settings!$C$5:$C$9,MATCH($B903,Settings!$A$5:$A$9,0)),0)+IFERROR(INDEX(Settings!$F$5:$F$9,MATCH($B903,Settings!$A$5:$A$9,0)),0))/P903+IFERROR(INDEX(Settings!$D$5:$D$9,MATCH($B903,Settings!$A$5:$A$9,0)),0)*M903)</f>
        <v/>
      </c>
      <c r="W903" s="11">
        <f>IF(J903="","",IF(T903="",0,M903*INDEX(Products!$I$5:$I$204,T903)))</f>
        <v/>
      </c>
      <c r="X903" s="11">
        <f>IF(J903="","",IF(T903="",0,S903*INDEX(Products!$H$5:$H$204,T903)))</f>
        <v/>
      </c>
      <c r="Y903" s="11">
        <f>IF(J903="","",S903-V903-W903-X903)</f>
        <v/>
      </c>
    </row>
    <row r="904">
      <c r="A904" s="19" t="n"/>
      <c r="B904" s="19" t="n"/>
      <c r="C904" s="19" t="n"/>
      <c r="D904" s="19" t="n"/>
      <c r="E904" s="19" t="n"/>
      <c r="F904" s="20" t="n"/>
      <c r="G904" s="20" t="n"/>
      <c r="H904" s="20" t="n"/>
      <c r="I904" s="19" t="n"/>
      <c r="J904">
        <f>IFERROR(IF(C904="","",C904)&amp;"","")</f>
        <v/>
      </c>
      <c r="K904">
        <f>IFERROR(IF(D904="","",D904)&amp;"","")</f>
        <v/>
      </c>
      <c r="L904">
        <f>IFERROR(IF(I904="","",I904)&amp;"","")</f>
        <v/>
      </c>
      <c r="M904">
        <f>IF(J904="","",IFERROR(VALUE(SUBSTITUTE(SUBSTITUTE(IF(E904="","",E904)&amp;"","$",""),",","")),0))</f>
        <v/>
      </c>
      <c r="N904" s="11">
        <f>IF(J904="","",IFERROR(VALUE(SUBSTITUTE(SUBSTITUTE(IF(F904="","",F904)&amp;"","$",""),",","")),0))</f>
        <v/>
      </c>
      <c r="O904" s="11">
        <f>IF(J904="","",M904*N904)</f>
        <v/>
      </c>
      <c r="P904">
        <f>IF(J904="","",IF(L904="",1,COUNTIF($L$2:$L$1501,L904)))</f>
        <v/>
      </c>
      <c r="Q904" s="11">
        <f>IF(J904="","",IFERROR(VALUE(SUBSTITUTE(SUBSTITUTE(IF(G904="","",G904)&amp;"","$",""),",","")),0)/IF("No"="Yes",P904,1))</f>
        <v/>
      </c>
      <c r="R904" s="11">
        <f>IF(J904="","",IFERROR(VALUE(SUBSTITUTE(SUBSTITUTE(IF(H904="","",H904)&amp;"","$",""),",","")),0)/IF("No"="Yes",P904,1))</f>
        <v/>
      </c>
      <c r="S904" s="11">
        <f>IF(J904="","",O904+Q904-R904)</f>
        <v/>
      </c>
      <c r="T904">
        <f>IF(J904="","",IFERROR(IF(K904="",NA(),MATCH(K904,Products!$B$5:$B$204,0)),IFERROR(MATCH(J904,Products!$A$5:$A$204,0),"")))</f>
        <v/>
      </c>
      <c r="U904">
        <f>IF(J904="","",IF(T904="","⚠ not in Products",INDEX(Products!$A$5:$A$204,T904)))</f>
        <v/>
      </c>
      <c r="V904" s="11">
        <f>IF(J904="","",S904*(IFERROR(INDEX(Settings!$B$5:$B$9,MATCH($B904,Settings!$A$5:$A$9,0)),0)+IFERROR(INDEX(Settings!$E$5:$E$9,MATCH($B904,Settings!$A$5:$A$9,0)),0)+IFERROR(INDEX(Settings!$G$5:$G$9,MATCH($B904,Settings!$A$5:$A$9,0)),0))+(IFERROR(INDEX(Settings!$C$5:$C$9,MATCH($B904,Settings!$A$5:$A$9,0)),0)+IFERROR(INDEX(Settings!$F$5:$F$9,MATCH($B904,Settings!$A$5:$A$9,0)),0))/P904+IFERROR(INDEX(Settings!$D$5:$D$9,MATCH($B904,Settings!$A$5:$A$9,0)),0)*M904)</f>
        <v/>
      </c>
      <c r="W904" s="11">
        <f>IF(J904="","",IF(T904="",0,M904*INDEX(Products!$I$5:$I$204,T904)))</f>
        <v/>
      </c>
      <c r="X904" s="11">
        <f>IF(J904="","",IF(T904="",0,S904*INDEX(Products!$H$5:$H$204,T904)))</f>
        <v/>
      </c>
      <c r="Y904" s="11">
        <f>IF(J904="","",S904-V904-W904-X904)</f>
        <v/>
      </c>
    </row>
    <row r="905">
      <c r="A905" s="19" t="n"/>
      <c r="B905" s="19" t="n"/>
      <c r="C905" s="19" t="n"/>
      <c r="D905" s="19" t="n"/>
      <c r="E905" s="19" t="n"/>
      <c r="F905" s="20" t="n"/>
      <c r="G905" s="20" t="n"/>
      <c r="H905" s="20" t="n"/>
      <c r="I905" s="19" t="n"/>
      <c r="J905">
        <f>IFERROR(IF(C905="","",C905)&amp;"","")</f>
        <v/>
      </c>
      <c r="K905">
        <f>IFERROR(IF(D905="","",D905)&amp;"","")</f>
        <v/>
      </c>
      <c r="L905">
        <f>IFERROR(IF(I905="","",I905)&amp;"","")</f>
        <v/>
      </c>
      <c r="M905">
        <f>IF(J905="","",IFERROR(VALUE(SUBSTITUTE(SUBSTITUTE(IF(E905="","",E905)&amp;"","$",""),",","")),0))</f>
        <v/>
      </c>
      <c r="N905" s="11">
        <f>IF(J905="","",IFERROR(VALUE(SUBSTITUTE(SUBSTITUTE(IF(F905="","",F905)&amp;"","$",""),",","")),0))</f>
        <v/>
      </c>
      <c r="O905" s="11">
        <f>IF(J905="","",M905*N905)</f>
        <v/>
      </c>
      <c r="P905">
        <f>IF(J905="","",IF(L905="",1,COUNTIF($L$2:$L$1501,L905)))</f>
        <v/>
      </c>
      <c r="Q905" s="11">
        <f>IF(J905="","",IFERROR(VALUE(SUBSTITUTE(SUBSTITUTE(IF(G905="","",G905)&amp;"","$",""),",","")),0)/IF("No"="Yes",P905,1))</f>
        <v/>
      </c>
      <c r="R905" s="11">
        <f>IF(J905="","",IFERROR(VALUE(SUBSTITUTE(SUBSTITUTE(IF(H905="","",H905)&amp;"","$",""),",","")),0)/IF("No"="Yes",P905,1))</f>
        <v/>
      </c>
      <c r="S905" s="11">
        <f>IF(J905="","",O905+Q905-R905)</f>
        <v/>
      </c>
      <c r="T905">
        <f>IF(J905="","",IFERROR(IF(K905="",NA(),MATCH(K905,Products!$B$5:$B$204,0)),IFERROR(MATCH(J905,Products!$A$5:$A$204,0),"")))</f>
        <v/>
      </c>
      <c r="U905">
        <f>IF(J905="","",IF(T905="","⚠ not in Products",INDEX(Products!$A$5:$A$204,T905)))</f>
        <v/>
      </c>
      <c r="V905" s="11">
        <f>IF(J905="","",S905*(IFERROR(INDEX(Settings!$B$5:$B$9,MATCH($B905,Settings!$A$5:$A$9,0)),0)+IFERROR(INDEX(Settings!$E$5:$E$9,MATCH($B905,Settings!$A$5:$A$9,0)),0)+IFERROR(INDEX(Settings!$G$5:$G$9,MATCH($B905,Settings!$A$5:$A$9,0)),0))+(IFERROR(INDEX(Settings!$C$5:$C$9,MATCH($B905,Settings!$A$5:$A$9,0)),0)+IFERROR(INDEX(Settings!$F$5:$F$9,MATCH($B905,Settings!$A$5:$A$9,0)),0))/P905+IFERROR(INDEX(Settings!$D$5:$D$9,MATCH($B905,Settings!$A$5:$A$9,0)),0)*M905)</f>
        <v/>
      </c>
      <c r="W905" s="11">
        <f>IF(J905="","",IF(T905="",0,M905*INDEX(Products!$I$5:$I$204,T905)))</f>
        <v/>
      </c>
      <c r="X905" s="11">
        <f>IF(J905="","",IF(T905="",0,S905*INDEX(Products!$H$5:$H$204,T905)))</f>
        <v/>
      </c>
      <c r="Y905" s="11">
        <f>IF(J905="","",S905-V905-W905-X905)</f>
        <v/>
      </c>
    </row>
    <row r="906">
      <c r="A906" s="19" t="n"/>
      <c r="B906" s="19" t="n"/>
      <c r="C906" s="19" t="n"/>
      <c r="D906" s="19" t="n"/>
      <c r="E906" s="19" t="n"/>
      <c r="F906" s="20" t="n"/>
      <c r="G906" s="20" t="n"/>
      <c r="H906" s="20" t="n"/>
      <c r="I906" s="19" t="n"/>
      <c r="J906">
        <f>IFERROR(IF(C906="","",C906)&amp;"","")</f>
        <v/>
      </c>
      <c r="K906">
        <f>IFERROR(IF(D906="","",D906)&amp;"","")</f>
        <v/>
      </c>
      <c r="L906">
        <f>IFERROR(IF(I906="","",I906)&amp;"","")</f>
        <v/>
      </c>
      <c r="M906">
        <f>IF(J906="","",IFERROR(VALUE(SUBSTITUTE(SUBSTITUTE(IF(E906="","",E906)&amp;"","$",""),",","")),0))</f>
        <v/>
      </c>
      <c r="N906" s="11">
        <f>IF(J906="","",IFERROR(VALUE(SUBSTITUTE(SUBSTITUTE(IF(F906="","",F906)&amp;"","$",""),",","")),0))</f>
        <v/>
      </c>
      <c r="O906" s="11">
        <f>IF(J906="","",M906*N906)</f>
        <v/>
      </c>
      <c r="P906">
        <f>IF(J906="","",IF(L906="",1,COUNTIF($L$2:$L$1501,L906)))</f>
        <v/>
      </c>
      <c r="Q906" s="11">
        <f>IF(J906="","",IFERROR(VALUE(SUBSTITUTE(SUBSTITUTE(IF(G906="","",G906)&amp;"","$",""),",","")),0)/IF("No"="Yes",P906,1))</f>
        <v/>
      </c>
      <c r="R906" s="11">
        <f>IF(J906="","",IFERROR(VALUE(SUBSTITUTE(SUBSTITUTE(IF(H906="","",H906)&amp;"","$",""),",","")),0)/IF("No"="Yes",P906,1))</f>
        <v/>
      </c>
      <c r="S906" s="11">
        <f>IF(J906="","",O906+Q906-R906)</f>
        <v/>
      </c>
      <c r="T906">
        <f>IF(J906="","",IFERROR(IF(K906="",NA(),MATCH(K906,Products!$B$5:$B$204,0)),IFERROR(MATCH(J906,Products!$A$5:$A$204,0),"")))</f>
        <v/>
      </c>
      <c r="U906">
        <f>IF(J906="","",IF(T906="","⚠ not in Products",INDEX(Products!$A$5:$A$204,T906)))</f>
        <v/>
      </c>
      <c r="V906" s="11">
        <f>IF(J906="","",S906*(IFERROR(INDEX(Settings!$B$5:$B$9,MATCH($B906,Settings!$A$5:$A$9,0)),0)+IFERROR(INDEX(Settings!$E$5:$E$9,MATCH($B906,Settings!$A$5:$A$9,0)),0)+IFERROR(INDEX(Settings!$G$5:$G$9,MATCH($B906,Settings!$A$5:$A$9,0)),0))+(IFERROR(INDEX(Settings!$C$5:$C$9,MATCH($B906,Settings!$A$5:$A$9,0)),0)+IFERROR(INDEX(Settings!$F$5:$F$9,MATCH($B906,Settings!$A$5:$A$9,0)),0))/P906+IFERROR(INDEX(Settings!$D$5:$D$9,MATCH($B906,Settings!$A$5:$A$9,0)),0)*M906)</f>
        <v/>
      </c>
      <c r="W906" s="11">
        <f>IF(J906="","",IF(T906="",0,M906*INDEX(Products!$I$5:$I$204,T906)))</f>
        <v/>
      </c>
      <c r="X906" s="11">
        <f>IF(J906="","",IF(T906="",0,S906*INDEX(Products!$H$5:$H$204,T906)))</f>
        <v/>
      </c>
      <c r="Y906" s="11">
        <f>IF(J906="","",S906-V906-W906-X906)</f>
        <v/>
      </c>
    </row>
    <row r="907">
      <c r="A907" s="19" t="n"/>
      <c r="B907" s="19" t="n"/>
      <c r="C907" s="19" t="n"/>
      <c r="D907" s="19" t="n"/>
      <c r="E907" s="19" t="n"/>
      <c r="F907" s="20" t="n"/>
      <c r="G907" s="20" t="n"/>
      <c r="H907" s="20" t="n"/>
      <c r="I907" s="19" t="n"/>
      <c r="J907">
        <f>IFERROR(IF(C907="","",C907)&amp;"","")</f>
        <v/>
      </c>
      <c r="K907">
        <f>IFERROR(IF(D907="","",D907)&amp;"","")</f>
        <v/>
      </c>
      <c r="L907">
        <f>IFERROR(IF(I907="","",I907)&amp;"","")</f>
        <v/>
      </c>
      <c r="M907">
        <f>IF(J907="","",IFERROR(VALUE(SUBSTITUTE(SUBSTITUTE(IF(E907="","",E907)&amp;"","$",""),",","")),0))</f>
        <v/>
      </c>
      <c r="N907" s="11">
        <f>IF(J907="","",IFERROR(VALUE(SUBSTITUTE(SUBSTITUTE(IF(F907="","",F907)&amp;"","$",""),",","")),0))</f>
        <v/>
      </c>
      <c r="O907" s="11">
        <f>IF(J907="","",M907*N907)</f>
        <v/>
      </c>
      <c r="P907">
        <f>IF(J907="","",IF(L907="",1,COUNTIF($L$2:$L$1501,L907)))</f>
        <v/>
      </c>
      <c r="Q907" s="11">
        <f>IF(J907="","",IFERROR(VALUE(SUBSTITUTE(SUBSTITUTE(IF(G907="","",G907)&amp;"","$",""),",","")),0)/IF("No"="Yes",P907,1))</f>
        <v/>
      </c>
      <c r="R907" s="11">
        <f>IF(J907="","",IFERROR(VALUE(SUBSTITUTE(SUBSTITUTE(IF(H907="","",H907)&amp;"","$",""),",","")),0)/IF("No"="Yes",P907,1))</f>
        <v/>
      </c>
      <c r="S907" s="11">
        <f>IF(J907="","",O907+Q907-R907)</f>
        <v/>
      </c>
      <c r="T907">
        <f>IF(J907="","",IFERROR(IF(K907="",NA(),MATCH(K907,Products!$B$5:$B$204,0)),IFERROR(MATCH(J907,Products!$A$5:$A$204,0),"")))</f>
        <v/>
      </c>
      <c r="U907">
        <f>IF(J907="","",IF(T907="","⚠ not in Products",INDEX(Products!$A$5:$A$204,T907)))</f>
        <v/>
      </c>
      <c r="V907" s="11">
        <f>IF(J907="","",S907*(IFERROR(INDEX(Settings!$B$5:$B$9,MATCH($B907,Settings!$A$5:$A$9,0)),0)+IFERROR(INDEX(Settings!$E$5:$E$9,MATCH($B907,Settings!$A$5:$A$9,0)),0)+IFERROR(INDEX(Settings!$G$5:$G$9,MATCH($B907,Settings!$A$5:$A$9,0)),0))+(IFERROR(INDEX(Settings!$C$5:$C$9,MATCH($B907,Settings!$A$5:$A$9,0)),0)+IFERROR(INDEX(Settings!$F$5:$F$9,MATCH($B907,Settings!$A$5:$A$9,0)),0))/P907+IFERROR(INDEX(Settings!$D$5:$D$9,MATCH($B907,Settings!$A$5:$A$9,0)),0)*M907)</f>
        <v/>
      </c>
      <c r="W907" s="11">
        <f>IF(J907="","",IF(T907="",0,M907*INDEX(Products!$I$5:$I$204,T907)))</f>
        <v/>
      </c>
      <c r="X907" s="11">
        <f>IF(J907="","",IF(T907="",0,S907*INDEX(Products!$H$5:$H$204,T907)))</f>
        <v/>
      </c>
      <c r="Y907" s="11">
        <f>IF(J907="","",S907-V907-W907-X907)</f>
        <v/>
      </c>
    </row>
    <row r="908">
      <c r="A908" s="19" t="n"/>
      <c r="B908" s="19" t="n"/>
      <c r="C908" s="19" t="n"/>
      <c r="D908" s="19" t="n"/>
      <c r="E908" s="19" t="n"/>
      <c r="F908" s="20" t="n"/>
      <c r="G908" s="20" t="n"/>
      <c r="H908" s="20" t="n"/>
      <c r="I908" s="19" t="n"/>
      <c r="J908">
        <f>IFERROR(IF(C908="","",C908)&amp;"","")</f>
        <v/>
      </c>
      <c r="K908">
        <f>IFERROR(IF(D908="","",D908)&amp;"","")</f>
        <v/>
      </c>
      <c r="L908">
        <f>IFERROR(IF(I908="","",I908)&amp;"","")</f>
        <v/>
      </c>
      <c r="M908">
        <f>IF(J908="","",IFERROR(VALUE(SUBSTITUTE(SUBSTITUTE(IF(E908="","",E908)&amp;"","$",""),",","")),0))</f>
        <v/>
      </c>
      <c r="N908" s="11">
        <f>IF(J908="","",IFERROR(VALUE(SUBSTITUTE(SUBSTITUTE(IF(F908="","",F908)&amp;"","$",""),",","")),0))</f>
        <v/>
      </c>
      <c r="O908" s="11">
        <f>IF(J908="","",M908*N908)</f>
        <v/>
      </c>
      <c r="P908">
        <f>IF(J908="","",IF(L908="",1,COUNTIF($L$2:$L$1501,L908)))</f>
        <v/>
      </c>
      <c r="Q908" s="11">
        <f>IF(J908="","",IFERROR(VALUE(SUBSTITUTE(SUBSTITUTE(IF(G908="","",G908)&amp;"","$",""),",","")),0)/IF("No"="Yes",P908,1))</f>
        <v/>
      </c>
      <c r="R908" s="11">
        <f>IF(J908="","",IFERROR(VALUE(SUBSTITUTE(SUBSTITUTE(IF(H908="","",H908)&amp;"","$",""),",","")),0)/IF("No"="Yes",P908,1))</f>
        <v/>
      </c>
      <c r="S908" s="11">
        <f>IF(J908="","",O908+Q908-R908)</f>
        <v/>
      </c>
      <c r="T908">
        <f>IF(J908="","",IFERROR(IF(K908="",NA(),MATCH(K908,Products!$B$5:$B$204,0)),IFERROR(MATCH(J908,Products!$A$5:$A$204,0),"")))</f>
        <v/>
      </c>
      <c r="U908">
        <f>IF(J908="","",IF(T908="","⚠ not in Products",INDEX(Products!$A$5:$A$204,T908)))</f>
        <v/>
      </c>
      <c r="V908" s="11">
        <f>IF(J908="","",S908*(IFERROR(INDEX(Settings!$B$5:$B$9,MATCH($B908,Settings!$A$5:$A$9,0)),0)+IFERROR(INDEX(Settings!$E$5:$E$9,MATCH($B908,Settings!$A$5:$A$9,0)),0)+IFERROR(INDEX(Settings!$G$5:$G$9,MATCH($B908,Settings!$A$5:$A$9,0)),0))+(IFERROR(INDEX(Settings!$C$5:$C$9,MATCH($B908,Settings!$A$5:$A$9,0)),0)+IFERROR(INDEX(Settings!$F$5:$F$9,MATCH($B908,Settings!$A$5:$A$9,0)),0))/P908+IFERROR(INDEX(Settings!$D$5:$D$9,MATCH($B908,Settings!$A$5:$A$9,0)),0)*M908)</f>
        <v/>
      </c>
      <c r="W908" s="11">
        <f>IF(J908="","",IF(T908="",0,M908*INDEX(Products!$I$5:$I$204,T908)))</f>
        <v/>
      </c>
      <c r="X908" s="11">
        <f>IF(J908="","",IF(T908="",0,S908*INDEX(Products!$H$5:$H$204,T908)))</f>
        <v/>
      </c>
      <c r="Y908" s="11">
        <f>IF(J908="","",S908-V908-W908-X908)</f>
        <v/>
      </c>
    </row>
    <row r="909">
      <c r="A909" s="19" t="n"/>
      <c r="B909" s="19" t="n"/>
      <c r="C909" s="19" t="n"/>
      <c r="D909" s="19" t="n"/>
      <c r="E909" s="19" t="n"/>
      <c r="F909" s="20" t="n"/>
      <c r="G909" s="20" t="n"/>
      <c r="H909" s="20" t="n"/>
      <c r="I909" s="19" t="n"/>
      <c r="J909">
        <f>IFERROR(IF(C909="","",C909)&amp;"","")</f>
        <v/>
      </c>
      <c r="K909">
        <f>IFERROR(IF(D909="","",D909)&amp;"","")</f>
        <v/>
      </c>
      <c r="L909">
        <f>IFERROR(IF(I909="","",I909)&amp;"","")</f>
        <v/>
      </c>
      <c r="M909">
        <f>IF(J909="","",IFERROR(VALUE(SUBSTITUTE(SUBSTITUTE(IF(E909="","",E909)&amp;"","$",""),",","")),0))</f>
        <v/>
      </c>
      <c r="N909" s="11">
        <f>IF(J909="","",IFERROR(VALUE(SUBSTITUTE(SUBSTITUTE(IF(F909="","",F909)&amp;"","$",""),",","")),0))</f>
        <v/>
      </c>
      <c r="O909" s="11">
        <f>IF(J909="","",M909*N909)</f>
        <v/>
      </c>
      <c r="P909">
        <f>IF(J909="","",IF(L909="",1,COUNTIF($L$2:$L$1501,L909)))</f>
        <v/>
      </c>
      <c r="Q909" s="11">
        <f>IF(J909="","",IFERROR(VALUE(SUBSTITUTE(SUBSTITUTE(IF(G909="","",G909)&amp;"","$",""),",","")),0)/IF("No"="Yes",P909,1))</f>
        <v/>
      </c>
      <c r="R909" s="11">
        <f>IF(J909="","",IFERROR(VALUE(SUBSTITUTE(SUBSTITUTE(IF(H909="","",H909)&amp;"","$",""),",","")),0)/IF("No"="Yes",P909,1))</f>
        <v/>
      </c>
      <c r="S909" s="11">
        <f>IF(J909="","",O909+Q909-R909)</f>
        <v/>
      </c>
      <c r="T909">
        <f>IF(J909="","",IFERROR(IF(K909="",NA(),MATCH(K909,Products!$B$5:$B$204,0)),IFERROR(MATCH(J909,Products!$A$5:$A$204,0),"")))</f>
        <v/>
      </c>
      <c r="U909">
        <f>IF(J909="","",IF(T909="","⚠ not in Products",INDEX(Products!$A$5:$A$204,T909)))</f>
        <v/>
      </c>
      <c r="V909" s="11">
        <f>IF(J909="","",S909*(IFERROR(INDEX(Settings!$B$5:$B$9,MATCH($B909,Settings!$A$5:$A$9,0)),0)+IFERROR(INDEX(Settings!$E$5:$E$9,MATCH($B909,Settings!$A$5:$A$9,0)),0)+IFERROR(INDEX(Settings!$G$5:$G$9,MATCH($B909,Settings!$A$5:$A$9,0)),0))+(IFERROR(INDEX(Settings!$C$5:$C$9,MATCH($B909,Settings!$A$5:$A$9,0)),0)+IFERROR(INDEX(Settings!$F$5:$F$9,MATCH($B909,Settings!$A$5:$A$9,0)),0))/P909+IFERROR(INDEX(Settings!$D$5:$D$9,MATCH($B909,Settings!$A$5:$A$9,0)),0)*M909)</f>
        <v/>
      </c>
      <c r="W909" s="11">
        <f>IF(J909="","",IF(T909="",0,M909*INDEX(Products!$I$5:$I$204,T909)))</f>
        <v/>
      </c>
      <c r="X909" s="11">
        <f>IF(J909="","",IF(T909="",0,S909*INDEX(Products!$H$5:$H$204,T909)))</f>
        <v/>
      </c>
      <c r="Y909" s="11">
        <f>IF(J909="","",S909-V909-W909-X909)</f>
        <v/>
      </c>
    </row>
    <row r="910">
      <c r="A910" s="19" t="n"/>
      <c r="B910" s="19" t="n"/>
      <c r="C910" s="19" t="n"/>
      <c r="D910" s="19" t="n"/>
      <c r="E910" s="19" t="n"/>
      <c r="F910" s="20" t="n"/>
      <c r="G910" s="20" t="n"/>
      <c r="H910" s="20" t="n"/>
      <c r="I910" s="19" t="n"/>
      <c r="J910">
        <f>IFERROR(IF(C910="","",C910)&amp;"","")</f>
        <v/>
      </c>
      <c r="K910">
        <f>IFERROR(IF(D910="","",D910)&amp;"","")</f>
        <v/>
      </c>
      <c r="L910">
        <f>IFERROR(IF(I910="","",I910)&amp;"","")</f>
        <v/>
      </c>
      <c r="M910">
        <f>IF(J910="","",IFERROR(VALUE(SUBSTITUTE(SUBSTITUTE(IF(E910="","",E910)&amp;"","$",""),",","")),0))</f>
        <v/>
      </c>
      <c r="N910" s="11">
        <f>IF(J910="","",IFERROR(VALUE(SUBSTITUTE(SUBSTITUTE(IF(F910="","",F910)&amp;"","$",""),",","")),0))</f>
        <v/>
      </c>
      <c r="O910" s="11">
        <f>IF(J910="","",M910*N910)</f>
        <v/>
      </c>
      <c r="P910">
        <f>IF(J910="","",IF(L910="",1,COUNTIF($L$2:$L$1501,L910)))</f>
        <v/>
      </c>
      <c r="Q910" s="11">
        <f>IF(J910="","",IFERROR(VALUE(SUBSTITUTE(SUBSTITUTE(IF(G910="","",G910)&amp;"","$",""),",","")),0)/IF("No"="Yes",P910,1))</f>
        <v/>
      </c>
      <c r="R910" s="11">
        <f>IF(J910="","",IFERROR(VALUE(SUBSTITUTE(SUBSTITUTE(IF(H910="","",H910)&amp;"","$",""),",","")),0)/IF("No"="Yes",P910,1))</f>
        <v/>
      </c>
      <c r="S910" s="11">
        <f>IF(J910="","",O910+Q910-R910)</f>
        <v/>
      </c>
      <c r="T910">
        <f>IF(J910="","",IFERROR(IF(K910="",NA(),MATCH(K910,Products!$B$5:$B$204,0)),IFERROR(MATCH(J910,Products!$A$5:$A$204,0),"")))</f>
        <v/>
      </c>
      <c r="U910">
        <f>IF(J910="","",IF(T910="","⚠ not in Products",INDEX(Products!$A$5:$A$204,T910)))</f>
        <v/>
      </c>
      <c r="V910" s="11">
        <f>IF(J910="","",S910*(IFERROR(INDEX(Settings!$B$5:$B$9,MATCH($B910,Settings!$A$5:$A$9,0)),0)+IFERROR(INDEX(Settings!$E$5:$E$9,MATCH($B910,Settings!$A$5:$A$9,0)),0)+IFERROR(INDEX(Settings!$G$5:$G$9,MATCH($B910,Settings!$A$5:$A$9,0)),0))+(IFERROR(INDEX(Settings!$C$5:$C$9,MATCH($B910,Settings!$A$5:$A$9,0)),0)+IFERROR(INDEX(Settings!$F$5:$F$9,MATCH($B910,Settings!$A$5:$A$9,0)),0))/P910+IFERROR(INDEX(Settings!$D$5:$D$9,MATCH($B910,Settings!$A$5:$A$9,0)),0)*M910)</f>
        <v/>
      </c>
      <c r="W910" s="11">
        <f>IF(J910="","",IF(T910="",0,M910*INDEX(Products!$I$5:$I$204,T910)))</f>
        <v/>
      </c>
      <c r="X910" s="11">
        <f>IF(J910="","",IF(T910="",0,S910*INDEX(Products!$H$5:$H$204,T910)))</f>
        <v/>
      </c>
      <c r="Y910" s="11">
        <f>IF(J910="","",S910-V910-W910-X910)</f>
        <v/>
      </c>
    </row>
    <row r="911">
      <c r="A911" s="19" t="n"/>
      <c r="B911" s="19" t="n"/>
      <c r="C911" s="19" t="n"/>
      <c r="D911" s="19" t="n"/>
      <c r="E911" s="19" t="n"/>
      <c r="F911" s="20" t="n"/>
      <c r="G911" s="20" t="n"/>
      <c r="H911" s="20" t="n"/>
      <c r="I911" s="19" t="n"/>
      <c r="J911">
        <f>IFERROR(IF(C911="","",C911)&amp;"","")</f>
        <v/>
      </c>
      <c r="K911">
        <f>IFERROR(IF(D911="","",D911)&amp;"","")</f>
        <v/>
      </c>
      <c r="L911">
        <f>IFERROR(IF(I911="","",I911)&amp;"","")</f>
        <v/>
      </c>
      <c r="M911">
        <f>IF(J911="","",IFERROR(VALUE(SUBSTITUTE(SUBSTITUTE(IF(E911="","",E911)&amp;"","$",""),",","")),0))</f>
        <v/>
      </c>
      <c r="N911" s="11">
        <f>IF(J911="","",IFERROR(VALUE(SUBSTITUTE(SUBSTITUTE(IF(F911="","",F911)&amp;"","$",""),",","")),0))</f>
        <v/>
      </c>
      <c r="O911" s="11">
        <f>IF(J911="","",M911*N911)</f>
        <v/>
      </c>
      <c r="P911">
        <f>IF(J911="","",IF(L911="",1,COUNTIF($L$2:$L$1501,L911)))</f>
        <v/>
      </c>
      <c r="Q911" s="11">
        <f>IF(J911="","",IFERROR(VALUE(SUBSTITUTE(SUBSTITUTE(IF(G911="","",G911)&amp;"","$",""),",","")),0)/IF("No"="Yes",P911,1))</f>
        <v/>
      </c>
      <c r="R911" s="11">
        <f>IF(J911="","",IFERROR(VALUE(SUBSTITUTE(SUBSTITUTE(IF(H911="","",H911)&amp;"","$",""),",","")),0)/IF("No"="Yes",P911,1))</f>
        <v/>
      </c>
      <c r="S911" s="11">
        <f>IF(J911="","",O911+Q911-R911)</f>
        <v/>
      </c>
      <c r="T911">
        <f>IF(J911="","",IFERROR(IF(K911="",NA(),MATCH(K911,Products!$B$5:$B$204,0)),IFERROR(MATCH(J911,Products!$A$5:$A$204,0),"")))</f>
        <v/>
      </c>
      <c r="U911">
        <f>IF(J911="","",IF(T911="","⚠ not in Products",INDEX(Products!$A$5:$A$204,T911)))</f>
        <v/>
      </c>
      <c r="V911" s="11">
        <f>IF(J911="","",S911*(IFERROR(INDEX(Settings!$B$5:$B$9,MATCH($B911,Settings!$A$5:$A$9,0)),0)+IFERROR(INDEX(Settings!$E$5:$E$9,MATCH($B911,Settings!$A$5:$A$9,0)),0)+IFERROR(INDEX(Settings!$G$5:$G$9,MATCH($B911,Settings!$A$5:$A$9,0)),0))+(IFERROR(INDEX(Settings!$C$5:$C$9,MATCH($B911,Settings!$A$5:$A$9,0)),0)+IFERROR(INDEX(Settings!$F$5:$F$9,MATCH($B911,Settings!$A$5:$A$9,0)),0))/P911+IFERROR(INDEX(Settings!$D$5:$D$9,MATCH($B911,Settings!$A$5:$A$9,0)),0)*M911)</f>
        <v/>
      </c>
      <c r="W911" s="11">
        <f>IF(J911="","",IF(T911="",0,M911*INDEX(Products!$I$5:$I$204,T911)))</f>
        <v/>
      </c>
      <c r="X911" s="11">
        <f>IF(J911="","",IF(T911="",0,S911*INDEX(Products!$H$5:$H$204,T911)))</f>
        <v/>
      </c>
      <c r="Y911" s="11">
        <f>IF(J911="","",S911-V911-W911-X911)</f>
        <v/>
      </c>
    </row>
    <row r="912">
      <c r="A912" s="19" t="n"/>
      <c r="B912" s="19" t="n"/>
      <c r="C912" s="19" t="n"/>
      <c r="D912" s="19" t="n"/>
      <c r="E912" s="19" t="n"/>
      <c r="F912" s="20" t="n"/>
      <c r="G912" s="20" t="n"/>
      <c r="H912" s="20" t="n"/>
      <c r="I912" s="19" t="n"/>
      <c r="J912">
        <f>IFERROR(IF(C912="","",C912)&amp;"","")</f>
        <v/>
      </c>
      <c r="K912">
        <f>IFERROR(IF(D912="","",D912)&amp;"","")</f>
        <v/>
      </c>
      <c r="L912">
        <f>IFERROR(IF(I912="","",I912)&amp;"","")</f>
        <v/>
      </c>
      <c r="M912">
        <f>IF(J912="","",IFERROR(VALUE(SUBSTITUTE(SUBSTITUTE(IF(E912="","",E912)&amp;"","$",""),",","")),0))</f>
        <v/>
      </c>
      <c r="N912" s="11">
        <f>IF(J912="","",IFERROR(VALUE(SUBSTITUTE(SUBSTITUTE(IF(F912="","",F912)&amp;"","$",""),",","")),0))</f>
        <v/>
      </c>
      <c r="O912" s="11">
        <f>IF(J912="","",M912*N912)</f>
        <v/>
      </c>
      <c r="P912">
        <f>IF(J912="","",IF(L912="",1,COUNTIF($L$2:$L$1501,L912)))</f>
        <v/>
      </c>
      <c r="Q912" s="11">
        <f>IF(J912="","",IFERROR(VALUE(SUBSTITUTE(SUBSTITUTE(IF(G912="","",G912)&amp;"","$",""),",","")),0)/IF("No"="Yes",P912,1))</f>
        <v/>
      </c>
      <c r="R912" s="11">
        <f>IF(J912="","",IFERROR(VALUE(SUBSTITUTE(SUBSTITUTE(IF(H912="","",H912)&amp;"","$",""),",","")),0)/IF("No"="Yes",P912,1))</f>
        <v/>
      </c>
      <c r="S912" s="11">
        <f>IF(J912="","",O912+Q912-R912)</f>
        <v/>
      </c>
      <c r="T912">
        <f>IF(J912="","",IFERROR(IF(K912="",NA(),MATCH(K912,Products!$B$5:$B$204,0)),IFERROR(MATCH(J912,Products!$A$5:$A$204,0),"")))</f>
        <v/>
      </c>
      <c r="U912">
        <f>IF(J912="","",IF(T912="","⚠ not in Products",INDEX(Products!$A$5:$A$204,T912)))</f>
        <v/>
      </c>
      <c r="V912" s="11">
        <f>IF(J912="","",S912*(IFERROR(INDEX(Settings!$B$5:$B$9,MATCH($B912,Settings!$A$5:$A$9,0)),0)+IFERROR(INDEX(Settings!$E$5:$E$9,MATCH($B912,Settings!$A$5:$A$9,0)),0)+IFERROR(INDEX(Settings!$G$5:$G$9,MATCH($B912,Settings!$A$5:$A$9,0)),0))+(IFERROR(INDEX(Settings!$C$5:$C$9,MATCH($B912,Settings!$A$5:$A$9,0)),0)+IFERROR(INDEX(Settings!$F$5:$F$9,MATCH($B912,Settings!$A$5:$A$9,0)),0))/P912+IFERROR(INDEX(Settings!$D$5:$D$9,MATCH($B912,Settings!$A$5:$A$9,0)),0)*M912)</f>
        <v/>
      </c>
      <c r="W912" s="11">
        <f>IF(J912="","",IF(T912="",0,M912*INDEX(Products!$I$5:$I$204,T912)))</f>
        <v/>
      </c>
      <c r="X912" s="11">
        <f>IF(J912="","",IF(T912="",0,S912*INDEX(Products!$H$5:$H$204,T912)))</f>
        <v/>
      </c>
      <c r="Y912" s="11">
        <f>IF(J912="","",S912-V912-W912-X912)</f>
        <v/>
      </c>
    </row>
    <row r="913">
      <c r="A913" s="19" t="n"/>
      <c r="B913" s="19" t="n"/>
      <c r="C913" s="19" t="n"/>
      <c r="D913" s="19" t="n"/>
      <c r="E913" s="19" t="n"/>
      <c r="F913" s="20" t="n"/>
      <c r="G913" s="20" t="n"/>
      <c r="H913" s="20" t="n"/>
      <c r="I913" s="19" t="n"/>
      <c r="J913">
        <f>IFERROR(IF(C913="","",C913)&amp;"","")</f>
        <v/>
      </c>
      <c r="K913">
        <f>IFERROR(IF(D913="","",D913)&amp;"","")</f>
        <v/>
      </c>
      <c r="L913">
        <f>IFERROR(IF(I913="","",I913)&amp;"","")</f>
        <v/>
      </c>
      <c r="M913">
        <f>IF(J913="","",IFERROR(VALUE(SUBSTITUTE(SUBSTITUTE(IF(E913="","",E913)&amp;"","$",""),",","")),0))</f>
        <v/>
      </c>
      <c r="N913" s="11">
        <f>IF(J913="","",IFERROR(VALUE(SUBSTITUTE(SUBSTITUTE(IF(F913="","",F913)&amp;"","$",""),",","")),0))</f>
        <v/>
      </c>
      <c r="O913" s="11">
        <f>IF(J913="","",M913*N913)</f>
        <v/>
      </c>
      <c r="P913">
        <f>IF(J913="","",IF(L913="",1,COUNTIF($L$2:$L$1501,L913)))</f>
        <v/>
      </c>
      <c r="Q913" s="11">
        <f>IF(J913="","",IFERROR(VALUE(SUBSTITUTE(SUBSTITUTE(IF(G913="","",G913)&amp;"","$",""),",","")),0)/IF("No"="Yes",P913,1))</f>
        <v/>
      </c>
      <c r="R913" s="11">
        <f>IF(J913="","",IFERROR(VALUE(SUBSTITUTE(SUBSTITUTE(IF(H913="","",H913)&amp;"","$",""),",","")),0)/IF("No"="Yes",P913,1))</f>
        <v/>
      </c>
      <c r="S913" s="11">
        <f>IF(J913="","",O913+Q913-R913)</f>
        <v/>
      </c>
      <c r="T913">
        <f>IF(J913="","",IFERROR(IF(K913="",NA(),MATCH(K913,Products!$B$5:$B$204,0)),IFERROR(MATCH(J913,Products!$A$5:$A$204,0),"")))</f>
        <v/>
      </c>
      <c r="U913">
        <f>IF(J913="","",IF(T913="","⚠ not in Products",INDEX(Products!$A$5:$A$204,T913)))</f>
        <v/>
      </c>
      <c r="V913" s="11">
        <f>IF(J913="","",S913*(IFERROR(INDEX(Settings!$B$5:$B$9,MATCH($B913,Settings!$A$5:$A$9,0)),0)+IFERROR(INDEX(Settings!$E$5:$E$9,MATCH($B913,Settings!$A$5:$A$9,0)),0)+IFERROR(INDEX(Settings!$G$5:$G$9,MATCH($B913,Settings!$A$5:$A$9,0)),0))+(IFERROR(INDEX(Settings!$C$5:$C$9,MATCH($B913,Settings!$A$5:$A$9,0)),0)+IFERROR(INDEX(Settings!$F$5:$F$9,MATCH($B913,Settings!$A$5:$A$9,0)),0))/P913+IFERROR(INDEX(Settings!$D$5:$D$9,MATCH($B913,Settings!$A$5:$A$9,0)),0)*M913)</f>
        <v/>
      </c>
      <c r="W913" s="11">
        <f>IF(J913="","",IF(T913="",0,M913*INDEX(Products!$I$5:$I$204,T913)))</f>
        <v/>
      </c>
      <c r="X913" s="11">
        <f>IF(J913="","",IF(T913="",0,S913*INDEX(Products!$H$5:$H$204,T913)))</f>
        <v/>
      </c>
      <c r="Y913" s="11">
        <f>IF(J913="","",S913-V913-W913-X913)</f>
        <v/>
      </c>
    </row>
    <row r="914">
      <c r="A914" s="19" t="n"/>
      <c r="B914" s="19" t="n"/>
      <c r="C914" s="19" t="n"/>
      <c r="D914" s="19" t="n"/>
      <c r="E914" s="19" t="n"/>
      <c r="F914" s="20" t="n"/>
      <c r="G914" s="20" t="n"/>
      <c r="H914" s="20" t="n"/>
      <c r="I914" s="19" t="n"/>
      <c r="J914">
        <f>IFERROR(IF(C914="","",C914)&amp;"","")</f>
        <v/>
      </c>
      <c r="K914">
        <f>IFERROR(IF(D914="","",D914)&amp;"","")</f>
        <v/>
      </c>
      <c r="L914">
        <f>IFERROR(IF(I914="","",I914)&amp;"","")</f>
        <v/>
      </c>
      <c r="M914">
        <f>IF(J914="","",IFERROR(VALUE(SUBSTITUTE(SUBSTITUTE(IF(E914="","",E914)&amp;"","$",""),",","")),0))</f>
        <v/>
      </c>
      <c r="N914" s="11">
        <f>IF(J914="","",IFERROR(VALUE(SUBSTITUTE(SUBSTITUTE(IF(F914="","",F914)&amp;"","$",""),",","")),0))</f>
        <v/>
      </c>
      <c r="O914" s="11">
        <f>IF(J914="","",M914*N914)</f>
        <v/>
      </c>
      <c r="P914">
        <f>IF(J914="","",IF(L914="",1,COUNTIF($L$2:$L$1501,L914)))</f>
        <v/>
      </c>
      <c r="Q914" s="11">
        <f>IF(J914="","",IFERROR(VALUE(SUBSTITUTE(SUBSTITUTE(IF(G914="","",G914)&amp;"","$",""),",","")),0)/IF("No"="Yes",P914,1))</f>
        <v/>
      </c>
      <c r="R914" s="11">
        <f>IF(J914="","",IFERROR(VALUE(SUBSTITUTE(SUBSTITUTE(IF(H914="","",H914)&amp;"","$",""),",","")),0)/IF("No"="Yes",P914,1))</f>
        <v/>
      </c>
      <c r="S914" s="11">
        <f>IF(J914="","",O914+Q914-R914)</f>
        <v/>
      </c>
      <c r="T914">
        <f>IF(J914="","",IFERROR(IF(K914="",NA(),MATCH(K914,Products!$B$5:$B$204,0)),IFERROR(MATCH(J914,Products!$A$5:$A$204,0),"")))</f>
        <v/>
      </c>
      <c r="U914">
        <f>IF(J914="","",IF(T914="","⚠ not in Products",INDEX(Products!$A$5:$A$204,T914)))</f>
        <v/>
      </c>
      <c r="V914" s="11">
        <f>IF(J914="","",S914*(IFERROR(INDEX(Settings!$B$5:$B$9,MATCH($B914,Settings!$A$5:$A$9,0)),0)+IFERROR(INDEX(Settings!$E$5:$E$9,MATCH($B914,Settings!$A$5:$A$9,0)),0)+IFERROR(INDEX(Settings!$G$5:$G$9,MATCH($B914,Settings!$A$5:$A$9,0)),0))+(IFERROR(INDEX(Settings!$C$5:$C$9,MATCH($B914,Settings!$A$5:$A$9,0)),0)+IFERROR(INDEX(Settings!$F$5:$F$9,MATCH($B914,Settings!$A$5:$A$9,0)),0))/P914+IFERROR(INDEX(Settings!$D$5:$D$9,MATCH($B914,Settings!$A$5:$A$9,0)),0)*M914)</f>
        <v/>
      </c>
      <c r="W914" s="11">
        <f>IF(J914="","",IF(T914="",0,M914*INDEX(Products!$I$5:$I$204,T914)))</f>
        <v/>
      </c>
      <c r="X914" s="11">
        <f>IF(J914="","",IF(T914="",0,S914*INDEX(Products!$H$5:$H$204,T914)))</f>
        <v/>
      </c>
      <c r="Y914" s="11">
        <f>IF(J914="","",S914-V914-W914-X914)</f>
        <v/>
      </c>
    </row>
    <row r="915">
      <c r="A915" s="19" t="n"/>
      <c r="B915" s="19" t="n"/>
      <c r="C915" s="19" t="n"/>
      <c r="D915" s="19" t="n"/>
      <c r="E915" s="19" t="n"/>
      <c r="F915" s="20" t="n"/>
      <c r="G915" s="20" t="n"/>
      <c r="H915" s="20" t="n"/>
      <c r="I915" s="19" t="n"/>
      <c r="J915">
        <f>IFERROR(IF(C915="","",C915)&amp;"","")</f>
        <v/>
      </c>
      <c r="K915">
        <f>IFERROR(IF(D915="","",D915)&amp;"","")</f>
        <v/>
      </c>
      <c r="L915">
        <f>IFERROR(IF(I915="","",I915)&amp;"","")</f>
        <v/>
      </c>
      <c r="M915">
        <f>IF(J915="","",IFERROR(VALUE(SUBSTITUTE(SUBSTITUTE(IF(E915="","",E915)&amp;"","$",""),",","")),0))</f>
        <v/>
      </c>
      <c r="N915" s="11">
        <f>IF(J915="","",IFERROR(VALUE(SUBSTITUTE(SUBSTITUTE(IF(F915="","",F915)&amp;"","$",""),",","")),0))</f>
        <v/>
      </c>
      <c r="O915" s="11">
        <f>IF(J915="","",M915*N915)</f>
        <v/>
      </c>
      <c r="P915">
        <f>IF(J915="","",IF(L915="",1,COUNTIF($L$2:$L$1501,L915)))</f>
        <v/>
      </c>
      <c r="Q915" s="11">
        <f>IF(J915="","",IFERROR(VALUE(SUBSTITUTE(SUBSTITUTE(IF(G915="","",G915)&amp;"","$",""),",","")),0)/IF("No"="Yes",P915,1))</f>
        <v/>
      </c>
      <c r="R915" s="11">
        <f>IF(J915="","",IFERROR(VALUE(SUBSTITUTE(SUBSTITUTE(IF(H915="","",H915)&amp;"","$",""),",","")),0)/IF("No"="Yes",P915,1))</f>
        <v/>
      </c>
      <c r="S915" s="11">
        <f>IF(J915="","",O915+Q915-R915)</f>
        <v/>
      </c>
      <c r="T915">
        <f>IF(J915="","",IFERROR(IF(K915="",NA(),MATCH(K915,Products!$B$5:$B$204,0)),IFERROR(MATCH(J915,Products!$A$5:$A$204,0),"")))</f>
        <v/>
      </c>
      <c r="U915">
        <f>IF(J915="","",IF(T915="","⚠ not in Products",INDEX(Products!$A$5:$A$204,T915)))</f>
        <v/>
      </c>
      <c r="V915" s="11">
        <f>IF(J915="","",S915*(IFERROR(INDEX(Settings!$B$5:$B$9,MATCH($B915,Settings!$A$5:$A$9,0)),0)+IFERROR(INDEX(Settings!$E$5:$E$9,MATCH($B915,Settings!$A$5:$A$9,0)),0)+IFERROR(INDEX(Settings!$G$5:$G$9,MATCH($B915,Settings!$A$5:$A$9,0)),0))+(IFERROR(INDEX(Settings!$C$5:$C$9,MATCH($B915,Settings!$A$5:$A$9,0)),0)+IFERROR(INDEX(Settings!$F$5:$F$9,MATCH($B915,Settings!$A$5:$A$9,0)),0))/P915+IFERROR(INDEX(Settings!$D$5:$D$9,MATCH($B915,Settings!$A$5:$A$9,0)),0)*M915)</f>
        <v/>
      </c>
      <c r="W915" s="11">
        <f>IF(J915="","",IF(T915="",0,M915*INDEX(Products!$I$5:$I$204,T915)))</f>
        <v/>
      </c>
      <c r="X915" s="11">
        <f>IF(J915="","",IF(T915="",0,S915*INDEX(Products!$H$5:$H$204,T915)))</f>
        <v/>
      </c>
      <c r="Y915" s="11">
        <f>IF(J915="","",S915-V915-W915-X915)</f>
        <v/>
      </c>
    </row>
    <row r="916">
      <c r="A916" s="19" t="n"/>
      <c r="B916" s="19" t="n"/>
      <c r="C916" s="19" t="n"/>
      <c r="D916" s="19" t="n"/>
      <c r="E916" s="19" t="n"/>
      <c r="F916" s="20" t="n"/>
      <c r="G916" s="20" t="n"/>
      <c r="H916" s="20" t="n"/>
      <c r="I916" s="19" t="n"/>
      <c r="J916">
        <f>IFERROR(IF(C916="","",C916)&amp;"","")</f>
        <v/>
      </c>
      <c r="K916">
        <f>IFERROR(IF(D916="","",D916)&amp;"","")</f>
        <v/>
      </c>
      <c r="L916">
        <f>IFERROR(IF(I916="","",I916)&amp;"","")</f>
        <v/>
      </c>
      <c r="M916">
        <f>IF(J916="","",IFERROR(VALUE(SUBSTITUTE(SUBSTITUTE(IF(E916="","",E916)&amp;"","$",""),",","")),0))</f>
        <v/>
      </c>
      <c r="N916" s="11">
        <f>IF(J916="","",IFERROR(VALUE(SUBSTITUTE(SUBSTITUTE(IF(F916="","",F916)&amp;"","$",""),",","")),0))</f>
        <v/>
      </c>
      <c r="O916" s="11">
        <f>IF(J916="","",M916*N916)</f>
        <v/>
      </c>
      <c r="P916">
        <f>IF(J916="","",IF(L916="",1,COUNTIF($L$2:$L$1501,L916)))</f>
        <v/>
      </c>
      <c r="Q916" s="11">
        <f>IF(J916="","",IFERROR(VALUE(SUBSTITUTE(SUBSTITUTE(IF(G916="","",G916)&amp;"","$",""),",","")),0)/IF("No"="Yes",P916,1))</f>
        <v/>
      </c>
      <c r="R916" s="11">
        <f>IF(J916="","",IFERROR(VALUE(SUBSTITUTE(SUBSTITUTE(IF(H916="","",H916)&amp;"","$",""),",","")),0)/IF("No"="Yes",P916,1))</f>
        <v/>
      </c>
      <c r="S916" s="11">
        <f>IF(J916="","",O916+Q916-R916)</f>
        <v/>
      </c>
      <c r="T916">
        <f>IF(J916="","",IFERROR(IF(K916="",NA(),MATCH(K916,Products!$B$5:$B$204,0)),IFERROR(MATCH(J916,Products!$A$5:$A$204,0),"")))</f>
        <v/>
      </c>
      <c r="U916">
        <f>IF(J916="","",IF(T916="","⚠ not in Products",INDEX(Products!$A$5:$A$204,T916)))</f>
        <v/>
      </c>
      <c r="V916" s="11">
        <f>IF(J916="","",S916*(IFERROR(INDEX(Settings!$B$5:$B$9,MATCH($B916,Settings!$A$5:$A$9,0)),0)+IFERROR(INDEX(Settings!$E$5:$E$9,MATCH($B916,Settings!$A$5:$A$9,0)),0)+IFERROR(INDEX(Settings!$G$5:$G$9,MATCH($B916,Settings!$A$5:$A$9,0)),0))+(IFERROR(INDEX(Settings!$C$5:$C$9,MATCH($B916,Settings!$A$5:$A$9,0)),0)+IFERROR(INDEX(Settings!$F$5:$F$9,MATCH($B916,Settings!$A$5:$A$9,0)),0))/P916+IFERROR(INDEX(Settings!$D$5:$D$9,MATCH($B916,Settings!$A$5:$A$9,0)),0)*M916)</f>
        <v/>
      </c>
      <c r="W916" s="11">
        <f>IF(J916="","",IF(T916="",0,M916*INDEX(Products!$I$5:$I$204,T916)))</f>
        <v/>
      </c>
      <c r="X916" s="11">
        <f>IF(J916="","",IF(T916="",0,S916*INDEX(Products!$H$5:$H$204,T916)))</f>
        <v/>
      </c>
      <c r="Y916" s="11">
        <f>IF(J916="","",S916-V916-W916-X916)</f>
        <v/>
      </c>
    </row>
    <row r="917">
      <c r="A917" s="19" t="n"/>
      <c r="B917" s="19" t="n"/>
      <c r="C917" s="19" t="n"/>
      <c r="D917" s="19" t="n"/>
      <c r="E917" s="19" t="n"/>
      <c r="F917" s="20" t="n"/>
      <c r="G917" s="20" t="n"/>
      <c r="H917" s="20" t="n"/>
      <c r="I917" s="19" t="n"/>
      <c r="J917">
        <f>IFERROR(IF(C917="","",C917)&amp;"","")</f>
        <v/>
      </c>
      <c r="K917">
        <f>IFERROR(IF(D917="","",D917)&amp;"","")</f>
        <v/>
      </c>
      <c r="L917">
        <f>IFERROR(IF(I917="","",I917)&amp;"","")</f>
        <v/>
      </c>
      <c r="M917">
        <f>IF(J917="","",IFERROR(VALUE(SUBSTITUTE(SUBSTITUTE(IF(E917="","",E917)&amp;"","$",""),",","")),0))</f>
        <v/>
      </c>
      <c r="N917" s="11">
        <f>IF(J917="","",IFERROR(VALUE(SUBSTITUTE(SUBSTITUTE(IF(F917="","",F917)&amp;"","$",""),",","")),0))</f>
        <v/>
      </c>
      <c r="O917" s="11">
        <f>IF(J917="","",M917*N917)</f>
        <v/>
      </c>
      <c r="P917">
        <f>IF(J917="","",IF(L917="",1,COUNTIF($L$2:$L$1501,L917)))</f>
        <v/>
      </c>
      <c r="Q917" s="11">
        <f>IF(J917="","",IFERROR(VALUE(SUBSTITUTE(SUBSTITUTE(IF(G917="","",G917)&amp;"","$",""),",","")),0)/IF("No"="Yes",P917,1))</f>
        <v/>
      </c>
      <c r="R917" s="11">
        <f>IF(J917="","",IFERROR(VALUE(SUBSTITUTE(SUBSTITUTE(IF(H917="","",H917)&amp;"","$",""),",","")),0)/IF("No"="Yes",P917,1))</f>
        <v/>
      </c>
      <c r="S917" s="11">
        <f>IF(J917="","",O917+Q917-R917)</f>
        <v/>
      </c>
      <c r="T917">
        <f>IF(J917="","",IFERROR(IF(K917="",NA(),MATCH(K917,Products!$B$5:$B$204,0)),IFERROR(MATCH(J917,Products!$A$5:$A$204,0),"")))</f>
        <v/>
      </c>
      <c r="U917">
        <f>IF(J917="","",IF(T917="","⚠ not in Products",INDEX(Products!$A$5:$A$204,T917)))</f>
        <v/>
      </c>
      <c r="V917" s="11">
        <f>IF(J917="","",S917*(IFERROR(INDEX(Settings!$B$5:$B$9,MATCH($B917,Settings!$A$5:$A$9,0)),0)+IFERROR(INDEX(Settings!$E$5:$E$9,MATCH($B917,Settings!$A$5:$A$9,0)),0)+IFERROR(INDEX(Settings!$G$5:$G$9,MATCH($B917,Settings!$A$5:$A$9,0)),0))+(IFERROR(INDEX(Settings!$C$5:$C$9,MATCH($B917,Settings!$A$5:$A$9,0)),0)+IFERROR(INDEX(Settings!$F$5:$F$9,MATCH($B917,Settings!$A$5:$A$9,0)),0))/P917+IFERROR(INDEX(Settings!$D$5:$D$9,MATCH($B917,Settings!$A$5:$A$9,0)),0)*M917)</f>
        <v/>
      </c>
      <c r="W917" s="11">
        <f>IF(J917="","",IF(T917="",0,M917*INDEX(Products!$I$5:$I$204,T917)))</f>
        <v/>
      </c>
      <c r="X917" s="11">
        <f>IF(J917="","",IF(T917="",0,S917*INDEX(Products!$H$5:$H$204,T917)))</f>
        <v/>
      </c>
      <c r="Y917" s="11">
        <f>IF(J917="","",S917-V917-W917-X917)</f>
        <v/>
      </c>
    </row>
    <row r="918">
      <c r="A918" s="19" t="n"/>
      <c r="B918" s="19" t="n"/>
      <c r="C918" s="19" t="n"/>
      <c r="D918" s="19" t="n"/>
      <c r="E918" s="19" t="n"/>
      <c r="F918" s="20" t="n"/>
      <c r="G918" s="20" t="n"/>
      <c r="H918" s="20" t="n"/>
      <c r="I918" s="19" t="n"/>
      <c r="J918">
        <f>IFERROR(IF(C918="","",C918)&amp;"","")</f>
        <v/>
      </c>
      <c r="K918">
        <f>IFERROR(IF(D918="","",D918)&amp;"","")</f>
        <v/>
      </c>
      <c r="L918">
        <f>IFERROR(IF(I918="","",I918)&amp;"","")</f>
        <v/>
      </c>
      <c r="M918">
        <f>IF(J918="","",IFERROR(VALUE(SUBSTITUTE(SUBSTITUTE(IF(E918="","",E918)&amp;"","$",""),",","")),0))</f>
        <v/>
      </c>
      <c r="N918" s="11">
        <f>IF(J918="","",IFERROR(VALUE(SUBSTITUTE(SUBSTITUTE(IF(F918="","",F918)&amp;"","$",""),",","")),0))</f>
        <v/>
      </c>
      <c r="O918" s="11">
        <f>IF(J918="","",M918*N918)</f>
        <v/>
      </c>
      <c r="P918">
        <f>IF(J918="","",IF(L918="",1,COUNTIF($L$2:$L$1501,L918)))</f>
        <v/>
      </c>
      <c r="Q918" s="11">
        <f>IF(J918="","",IFERROR(VALUE(SUBSTITUTE(SUBSTITUTE(IF(G918="","",G918)&amp;"","$",""),",","")),0)/IF("No"="Yes",P918,1))</f>
        <v/>
      </c>
      <c r="R918" s="11">
        <f>IF(J918="","",IFERROR(VALUE(SUBSTITUTE(SUBSTITUTE(IF(H918="","",H918)&amp;"","$",""),",","")),0)/IF("No"="Yes",P918,1))</f>
        <v/>
      </c>
      <c r="S918" s="11">
        <f>IF(J918="","",O918+Q918-R918)</f>
        <v/>
      </c>
      <c r="T918">
        <f>IF(J918="","",IFERROR(IF(K918="",NA(),MATCH(K918,Products!$B$5:$B$204,0)),IFERROR(MATCH(J918,Products!$A$5:$A$204,0),"")))</f>
        <v/>
      </c>
      <c r="U918">
        <f>IF(J918="","",IF(T918="","⚠ not in Products",INDEX(Products!$A$5:$A$204,T918)))</f>
        <v/>
      </c>
      <c r="V918" s="11">
        <f>IF(J918="","",S918*(IFERROR(INDEX(Settings!$B$5:$B$9,MATCH($B918,Settings!$A$5:$A$9,0)),0)+IFERROR(INDEX(Settings!$E$5:$E$9,MATCH($B918,Settings!$A$5:$A$9,0)),0)+IFERROR(INDEX(Settings!$G$5:$G$9,MATCH($B918,Settings!$A$5:$A$9,0)),0))+(IFERROR(INDEX(Settings!$C$5:$C$9,MATCH($B918,Settings!$A$5:$A$9,0)),0)+IFERROR(INDEX(Settings!$F$5:$F$9,MATCH($B918,Settings!$A$5:$A$9,0)),0))/P918+IFERROR(INDEX(Settings!$D$5:$D$9,MATCH($B918,Settings!$A$5:$A$9,0)),0)*M918)</f>
        <v/>
      </c>
      <c r="W918" s="11">
        <f>IF(J918="","",IF(T918="",0,M918*INDEX(Products!$I$5:$I$204,T918)))</f>
        <v/>
      </c>
      <c r="X918" s="11">
        <f>IF(J918="","",IF(T918="",0,S918*INDEX(Products!$H$5:$H$204,T918)))</f>
        <v/>
      </c>
      <c r="Y918" s="11">
        <f>IF(J918="","",S918-V918-W918-X918)</f>
        <v/>
      </c>
    </row>
    <row r="919">
      <c r="A919" s="19" t="n"/>
      <c r="B919" s="19" t="n"/>
      <c r="C919" s="19" t="n"/>
      <c r="D919" s="19" t="n"/>
      <c r="E919" s="19" t="n"/>
      <c r="F919" s="20" t="n"/>
      <c r="G919" s="20" t="n"/>
      <c r="H919" s="20" t="n"/>
      <c r="I919" s="19" t="n"/>
      <c r="J919">
        <f>IFERROR(IF(C919="","",C919)&amp;"","")</f>
        <v/>
      </c>
      <c r="K919">
        <f>IFERROR(IF(D919="","",D919)&amp;"","")</f>
        <v/>
      </c>
      <c r="L919">
        <f>IFERROR(IF(I919="","",I919)&amp;"","")</f>
        <v/>
      </c>
      <c r="M919">
        <f>IF(J919="","",IFERROR(VALUE(SUBSTITUTE(SUBSTITUTE(IF(E919="","",E919)&amp;"","$",""),",","")),0))</f>
        <v/>
      </c>
      <c r="N919" s="11">
        <f>IF(J919="","",IFERROR(VALUE(SUBSTITUTE(SUBSTITUTE(IF(F919="","",F919)&amp;"","$",""),",","")),0))</f>
        <v/>
      </c>
      <c r="O919" s="11">
        <f>IF(J919="","",M919*N919)</f>
        <v/>
      </c>
      <c r="P919">
        <f>IF(J919="","",IF(L919="",1,COUNTIF($L$2:$L$1501,L919)))</f>
        <v/>
      </c>
      <c r="Q919" s="11">
        <f>IF(J919="","",IFERROR(VALUE(SUBSTITUTE(SUBSTITUTE(IF(G919="","",G919)&amp;"","$",""),",","")),0)/IF("No"="Yes",P919,1))</f>
        <v/>
      </c>
      <c r="R919" s="11">
        <f>IF(J919="","",IFERROR(VALUE(SUBSTITUTE(SUBSTITUTE(IF(H919="","",H919)&amp;"","$",""),",","")),0)/IF("No"="Yes",P919,1))</f>
        <v/>
      </c>
      <c r="S919" s="11">
        <f>IF(J919="","",O919+Q919-R919)</f>
        <v/>
      </c>
      <c r="T919">
        <f>IF(J919="","",IFERROR(IF(K919="",NA(),MATCH(K919,Products!$B$5:$B$204,0)),IFERROR(MATCH(J919,Products!$A$5:$A$204,0),"")))</f>
        <v/>
      </c>
      <c r="U919">
        <f>IF(J919="","",IF(T919="","⚠ not in Products",INDEX(Products!$A$5:$A$204,T919)))</f>
        <v/>
      </c>
      <c r="V919" s="11">
        <f>IF(J919="","",S919*(IFERROR(INDEX(Settings!$B$5:$B$9,MATCH($B919,Settings!$A$5:$A$9,0)),0)+IFERROR(INDEX(Settings!$E$5:$E$9,MATCH($B919,Settings!$A$5:$A$9,0)),0)+IFERROR(INDEX(Settings!$G$5:$G$9,MATCH($B919,Settings!$A$5:$A$9,0)),0))+(IFERROR(INDEX(Settings!$C$5:$C$9,MATCH($B919,Settings!$A$5:$A$9,0)),0)+IFERROR(INDEX(Settings!$F$5:$F$9,MATCH($B919,Settings!$A$5:$A$9,0)),0))/P919+IFERROR(INDEX(Settings!$D$5:$D$9,MATCH($B919,Settings!$A$5:$A$9,0)),0)*M919)</f>
        <v/>
      </c>
      <c r="W919" s="11">
        <f>IF(J919="","",IF(T919="",0,M919*INDEX(Products!$I$5:$I$204,T919)))</f>
        <v/>
      </c>
      <c r="X919" s="11">
        <f>IF(J919="","",IF(T919="",0,S919*INDEX(Products!$H$5:$H$204,T919)))</f>
        <v/>
      </c>
      <c r="Y919" s="11">
        <f>IF(J919="","",S919-V919-W919-X919)</f>
        <v/>
      </c>
    </row>
    <row r="920">
      <c r="A920" s="19" t="n"/>
      <c r="B920" s="19" t="n"/>
      <c r="C920" s="19" t="n"/>
      <c r="D920" s="19" t="n"/>
      <c r="E920" s="19" t="n"/>
      <c r="F920" s="20" t="n"/>
      <c r="G920" s="20" t="n"/>
      <c r="H920" s="20" t="n"/>
      <c r="I920" s="19" t="n"/>
      <c r="J920">
        <f>IFERROR(IF(C920="","",C920)&amp;"","")</f>
        <v/>
      </c>
      <c r="K920">
        <f>IFERROR(IF(D920="","",D920)&amp;"","")</f>
        <v/>
      </c>
      <c r="L920">
        <f>IFERROR(IF(I920="","",I920)&amp;"","")</f>
        <v/>
      </c>
      <c r="M920">
        <f>IF(J920="","",IFERROR(VALUE(SUBSTITUTE(SUBSTITUTE(IF(E920="","",E920)&amp;"","$",""),",","")),0))</f>
        <v/>
      </c>
      <c r="N920" s="11">
        <f>IF(J920="","",IFERROR(VALUE(SUBSTITUTE(SUBSTITUTE(IF(F920="","",F920)&amp;"","$",""),",","")),0))</f>
        <v/>
      </c>
      <c r="O920" s="11">
        <f>IF(J920="","",M920*N920)</f>
        <v/>
      </c>
      <c r="P920">
        <f>IF(J920="","",IF(L920="",1,COUNTIF($L$2:$L$1501,L920)))</f>
        <v/>
      </c>
      <c r="Q920" s="11">
        <f>IF(J920="","",IFERROR(VALUE(SUBSTITUTE(SUBSTITUTE(IF(G920="","",G920)&amp;"","$",""),",","")),0)/IF("No"="Yes",P920,1))</f>
        <v/>
      </c>
      <c r="R920" s="11">
        <f>IF(J920="","",IFERROR(VALUE(SUBSTITUTE(SUBSTITUTE(IF(H920="","",H920)&amp;"","$",""),",","")),0)/IF("No"="Yes",P920,1))</f>
        <v/>
      </c>
      <c r="S920" s="11">
        <f>IF(J920="","",O920+Q920-R920)</f>
        <v/>
      </c>
      <c r="T920">
        <f>IF(J920="","",IFERROR(IF(K920="",NA(),MATCH(K920,Products!$B$5:$B$204,0)),IFERROR(MATCH(J920,Products!$A$5:$A$204,0),"")))</f>
        <v/>
      </c>
      <c r="U920">
        <f>IF(J920="","",IF(T920="","⚠ not in Products",INDEX(Products!$A$5:$A$204,T920)))</f>
        <v/>
      </c>
      <c r="V920" s="11">
        <f>IF(J920="","",S920*(IFERROR(INDEX(Settings!$B$5:$B$9,MATCH($B920,Settings!$A$5:$A$9,0)),0)+IFERROR(INDEX(Settings!$E$5:$E$9,MATCH($B920,Settings!$A$5:$A$9,0)),0)+IFERROR(INDEX(Settings!$G$5:$G$9,MATCH($B920,Settings!$A$5:$A$9,0)),0))+(IFERROR(INDEX(Settings!$C$5:$C$9,MATCH($B920,Settings!$A$5:$A$9,0)),0)+IFERROR(INDEX(Settings!$F$5:$F$9,MATCH($B920,Settings!$A$5:$A$9,0)),0))/P920+IFERROR(INDEX(Settings!$D$5:$D$9,MATCH($B920,Settings!$A$5:$A$9,0)),0)*M920)</f>
        <v/>
      </c>
      <c r="W920" s="11">
        <f>IF(J920="","",IF(T920="",0,M920*INDEX(Products!$I$5:$I$204,T920)))</f>
        <v/>
      </c>
      <c r="X920" s="11">
        <f>IF(J920="","",IF(T920="",0,S920*INDEX(Products!$H$5:$H$204,T920)))</f>
        <v/>
      </c>
      <c r="Y920" s="11">
        <f>IF(J920="","",S920-V920-W920-X920)</f>
        <v/>
      </c>
    </row>
    <row r="921">
      <c r="A921" s="19" t="n"/>
      <c r="B921" s="19" t="n"/>
      <c r="C921" s="19" t="n"/>
      <c r="D921" s="19" t="n"/>
      <c r="E921" s="19" t="n"/>
      <c r="F921" s="20" t="n"/>
      <c r="G921" s="20" t="n"/>
      <c r="H921" s="20" t="n"/>
      <c r="I921" s="19" t="n"/>
      <c r="J921">
        <f>IFERROR(IF(C921="","",C921)&amp;"","")</f>
        <v/>
      </c>
      <c r="K921">
        <f>IFERROR(IF(D921="","",D921)&amp;"","")</f>
        <v/>
      </c>
      <c r="L921">
        <f>IFERROR(IF(I921="","",I921)&amp;"","")</f>
        <v/>
      </c>
      <c r="M921">
        <f>IF(J921="","",IFERROR(VALUE(SUBSTITUTE(SUBSTITUTE(IF(E921="","",E921)&amp;"","$",""),",","")),0))</f>
        <v/>
      </c>
      <c r="N921" s="11">
        <f>IF(J921="","",IFERROR(VALUE(SUBSTITUTE(SUBSTITUTE(IF(F921="","",F921)&amp;"","$",""),",","")),0))</f>
        <v/>
      </c>
      <c r="O921" s="11">
        <f>IF(J921="","",M921*N921)</f>
        <v/>
      </c>
      <c r="P921">
        <f>IF(J921="","",IF(L921="",1,COUNTIF($L$2:$L$1501,L921)))</f>
        <v/>
      </c>
      <c r="Q921" s="11">
        <f>IF(J921="","",IFERROR(VALUE(SUBSTITUTE(SUBSTITUTE(IF(G921="","",G921)&amp;"","$",""),",","")),0)/IF("No"="Yes",P921,1))</f>
        <v/>
      </c>
      <c r="R921" s="11">
        <f>IF(J921="","",IFERROR(VALUE(SUBSTITUTE(SUBSTITUTE(IF(H921="","",H921)&amp;"","$",""),",","")),0)/IF("No"="Yes",P921,1))</f>
        <v/>
      </c>
      <c r="S921" s="11">
        <f>IF(J921="","",O921+Q921-R921)</f>
        <v/>
      </c>
      <c r="T921">
        <f>IF(J921="","",IFERROR(IF(K921="",NA(),MATCH(K921,Products!$B$5:$B$204,0)),IFERROR(MATCH(J921,Products!$A$5:$A$204,0),"")))</f>
        <v/>
      </c>
      <c r="U921">
        <f>IF(J921="","",IF(T921="","⚠ not in Products",INDEX(Products!$A$5:$A$204,T921)))</f>
        <v/>
      </c>
      <c r="V921" s="11">
        <f>IF(J921="","",S921*(IFERROR(INDEX(Settings!$B$5:$B$9,MATCH($B921,Settings!$A$5:$A$9,0)),0)+IFERROR(INDEX(Settings!$E$5:$E$9,MATCH($B921,Settings!$A$5:$A$9,0)),0)+IFERROR(INDEX(Settings!$G$5:$G$9,MATCH($B921,Settings!$A$5:$A$9,0)),0))+(IFERROR(INDEX(Settings!$C$5:$C$9,MATCH($B921,Settings!$A$5:$A$9,0)),0)+IFERROR(INDEX(Settings!$F$5:$F$9,MATCH($B921,Settings!$A$5:$A$9,0)),0))/P921+IFERROR(INDEX(Settings!$D$5:$D$9,MATCH($B921,Settings!$A$5:$A$9,0)),0)*M921)</f>
        <v/>
      </c>
      <c r="W921" s="11">
        <f>IF(J921="","",IF(T921="",0,M921*INDEX(Products!$I$5:$I$204,T921)))</f>
        <v/>
      </c>
      <c r="X921" s="11">
        <f>IF(J921="","",IF(T921="",0,S921*INDEX(Products!$H$5:$H$204,T921)))</f>
        <v/>
      </c>
      <c r="Y921" s="11">
        <f>IF(J921="","",S921-V921-W921-X921)</f>
        <v/>
      </c>
    </row>
    <row r="922">
      <c r="A922" s="19" t="n"/>
      <c r="B922" s="19" t="n"/>
      <c r="C922" s="19" t="n"/>
      <c r="D922" s="19" t="n"/>
      <c r="E922" s="19" t="n"/>
      <c r="F922" s="20" t="n"/>
      <c r="G922" s="20" t="n"/>
      <c r="H922" s="20" t="n"/>
      <c r="I922" s="19" t="n"/>
      <c r="J922">
        <f>IFERROR(IF(C922="","",C922)&amp;"","")</f>
        <v/>
      </c>
      <c r="K922">
        <f>IFERROR(IF(D922="","",D922)&amp;"","")</f>
        <v/>
      </c>
      <c r="L922">
        <f>IFERROR(IF(I922="","",I922)&amp;"","")</f>
        <v/>
      </c>
      <c r="M922">
        <f>IF(J922="","",IFERROR(VALUE(SUBSTITUTE(SUBSTITUTE(IF(E922="","",E922)&amp;"","$",""),",","")),0))</f>
        <v/>
      </c>
      <c r="N922" s="11">
        <f>IF(J922="","",IFERROR(VALUE(SUBSTITUTE(SUBSTITUTE(IF(F922="","",F922)&amp;"","$",""),",","")),0))</f>
        <v/>
      </c>
      <c r="O922" s="11">
        <f>IF(J922="","",M922*N922)</f>
        <v/>
      </c>
      <c r="P922">
        <f>IF(J922="","",IF(L922="",1,COUNTIF($L$2:$L$1501,L922)))</f>
        <v/>
      </c>
      <c r="Q922" s="11">
        <f>IF(J922="","",IFERROR(VALUE(SUBSTITUTE(SUBSTITUTE(IF(G922="","",G922)&amp;"","$",""),",","")),0)/IF("No"="Yes",P922,1))</f>
        <v/>
      </c>
      <c r="R922" s="11">
        <f>IF(J922="","",IFERROR(VALUE(SUBSTITUTE(SUBSTITUTE(IF(H922="","",H922)&amp;"","$",""),",","")),0)/IF("No"="Yes",P922,1))</f>
        <v/>
      </c>
      <c r="S922" s="11">
        <f>IF(J922="","",O922+Q922-R922)</f>
        <v/>
      </c>
      <c r="T922">
        <f>IF(J922="","",IFERROR(IF(K922="",NA(),MATCH(K922,Products!$B$5:$B$204,0)),IFERROR(MATCH(J922,Products!$A$5:$A$204,0),"")))</f>
        <v/>
      </c>
      <c r="U922">
        <f>IF(J922="","",IF(T922="","⚠ not in Products",INDEX(Products!$A$5:$A$204,T922)))</f>
        <v/>
      </c>
      <c r="V922" s="11">
        <f>IF(J922="","",S922*(IFERROR(INDEX(Settings!$B$5:$B$9,MATCH($B922,Settings!$A$5:$A$9,0)),0)+IFERROR(INDEX(Settings!$E$5:$E$9,MATCH($B922,Settings!$A$5:$A$9,0)),0)+IFERROR(INDEX(Settings!$G$5:$G$9,MATCH($B922,Settings!$A$5:$A$9,0)),0))+(IFERROR(INDEX(Settings!$C$5:$C$9,MATCH($B922,Settings!$A$5:$A$9,0)),0)+IFERROR(INDEX(Settings!$F$5:$F$9,MATCH($B922,Settings!$A$5:$A$9,0)),0))/P922+IFERROR(INDEX(Settings!$D$5:$D$9,MATCH($B922,Settings!$A$5:$A$9,0)),0)*M922)</f>
        <v/>
      </c>
      <c r="W922" s="11">
        <f>IF(J922="","",IF(T922="",0,M922*INDEX(Products!$I$5:$I$204,T922)))</f>
        <v/>
      </c>
      <c r="X922" s="11">
        <f>IF(J922="","",IF(T922="",0,S922*INDEX(Products!$H$5:$H$204,T922)))</f>
        <v/>
      </c>
      <c r="Y922" s="11">
        <f>IF(J922="","",S922-V922-W922-X922)</f>
        <v/>
      </c>
    </row>
    <row r="923">
      <c r="A923" s="19" t="n"/>
      <c r="B923" s="19" t="n"/>
      <c r="C923" s="19" t="n"/>
      <c r="D923" s="19" t="n"/>
      <c r="E923" s="19" t="n"/>
      <c r="F923" s="20" t="n"/>
      <c r="G923" s="20" t="n"/>
      <c r="H923" s="20" t="n"/>
      <c r="I923" s="19" t="n"/>
      <c r="J923">
        <f>IFERROR(IF(C923="","",C923)&amp;"","")</f>
        <v/>
      </c>
      <c r="K923">
        <f>IFERROR(IF(D923="","",D923)&amp;"","")</f>
        <v/>
      </c>
      <c r="L923">
        <f>IFERROR(IF(I923="","",I923)&amp;"","")</f>
        <v/>
      </c>
      <c r="M923">
        <f>IF(J923="","",IFERROR(VALUE(SUBSTITUTE(SUBSTITUTE(IF(E923="","",E923)&amp;"","$",""),",","")),0))</f>
        <v/>
      </c>
      <c r="N923" s="11">
        <f>IF(J923="","",IFERROR(VALUE(SUBSTITUTE(SUBSTITUTE(IF(F923="","",F923)&amp;"","$",""),",","")),0))</f>
        <v/>
      </c>
      <c r="O923" s="11">
        <f>IF(J923="","",M923*N923)</f>
        <v/>
      </c>
      <c r="P923">
        <f>IF(J923="","",IF(L923="",1,COUNTIF($L$2:$L$1501,L923)))</f>
        <v/>
      </c>
      <c r="Q923" s="11">
        <f>IF(J923="","",IFERROR(VALUE(SUBSTITUTE(SUBSTITUTE(IF(G923="","",G923)&amp;"","$",""),",","")),0)/IF("No"="Yes",P923,1))</f>
        <v/>
      </c>
      <c r="R923" s="11">
        <f>IF(J923="","",IFERROR(VALUE(SUBSTITUTE(SUBSTITUTE(IF(H923="","",H923)&amp;"","$",""),",","")),0)/IF("No"="Yes",P923,1))</f>
        <v/>
      </c>
      <c r="S923" s="11">
        <f>IF(J923="","",O923+Q923-R923)</f>
        <v/>
      </c>
      <c r="T923">
        <f>IF(J923="","",IFERROR(IF(K923="",NA(),MATCH(K923,Products!$B$5:$B$204,0)),IFERROR(MATCH(J923,Products!$A$5:$A$204,0),"")))</f>
        <v/>
      </c>
      <c r="U923">
        <f>IF(J923="","",IF(T923="","⚠ not in Products",INDEX(Products!$A$5:$A$204,T923)))</f>
        <v/>
      </c>
      <c r="V923" s="11">
        <f>IF(J923="","",S923*(IFERROR(INDEX(Settings!$B$5:$B$9,MATCH($B923,Settings!$A$5:$A$9,0)),0)+IFERROR(INDEX(Settings!$E$5:$E$9,MATCH($B923,Settings!$A$5:$A$9,0)),0)+IFERROR(INDEX(Settings!$G$5:$G$9,MATCH($B923,Settings!$A$5:$A$9,0)),0))+(IFERROR(INDEX(Settings!$C$5:$C$9,MATCH($B923,Settings!$A$5:$A$9,0)),0)+IFERROR(INDEX(Settings!$F$5:$F$9,MATCH($B923,Settings!$A$5:$A$9,0)),0))/P923+IFERROR(INDEX(Settings!$D$5:$D$9,MATCH($B923,Settings!$A$5:$A$9,0)),0)*M923)</f>
        <v/>
      </c>
      <c r="W923" s="11">
        <f>IF(J923="","",IF(T923="",0,M923*INDEX(Products!$I$5:$I$204,T923)))</f>
        <v/>
      </c>
      <c r="X923" s="11">
        <f>IF(J923="","",IF(T923="",0,S923*INDEX(Products!$H$5:$H$204,T923)))</f>
        <v/>
      </c>
      <c r="Y923" s="11">
        <f>IF(J923="","",S923-V923-W923-X923)</f>
        <v/>
      </c>
    </row>
    <row r="924">
      <c r="A924" s="19" t="n"/>
      <c r="B924" s="19" t="n"/>
      <c r="C924" s="19" t="n"/>
      <c r="D924" s="19" t="n"/>
      <c r="E924" s="19" t="n"/>
      <c r="F924" s="20" t="n"/>
      <c r="G924" s="20" t="n"/>
      <c r="H924" s="20" t="n"/>
      <c r="I924" s="19" t="n"/>
      <c r="J924">
        <f>IFERROR(IF(C924="","",C924)&amp;"","")</f>
        <v/>
      </c>
      <c r="K924">
        <f>IFERROR(IF(D924="","",D924)&amp;"","")</f>
        <v/>
      </c>
      <c r="L924">
        <f>IFERROR(IF(I924="","",I924)&amp;"","")</f>
        <v/>
      </c>
      <c r="M924">
        <f>IF(J924="","",IFERROR(VALUE(SUBSTITUTE(SUBSTITUTE(IF(E924="","",E924)&amp;"","$",""),",","")),0))</f>
        <v/>
      </c>
      <c r="N924" s="11">
        <f>IF(J924="","",IFERROR(VALUE(SUBSTITUTE(SUBSTITUTE(IF(F924="","",F924)&amp;"","$",""),",","")),0))</f>
        <v/>
      </c>
      <c r="O924" s="11">
        <f>IF(J924="","",M924*N924)</f>
        <v/>
      </c>
      <c r="P924">
        <f>IF(J924="","",IF(L924="",1,COUNTIF($L$2:$L$1501,L924)))</f>
        <v/>
      </c>
      <c r="Q924" s="11">
        <f>IF(J924="","",IFERROR(VALUE(SUBSTITUTE(SUBSTITUTE(IF(G924="","",G924)&amp;"","$",""),",","")),0)/IF("No"="Yes",P924,1))</f>
        <v/>
      </c>
      <c r="R924" s="11">
        <f>IF(J924="","",IFERROR(VALUE(SUBSTITUTE(SUBSTITUTE(IF(H924="","",H924)&amp;"","$",""),",","")),0)/IF("No"="Yes",P924,1))</f>
        <v/>
      </c>
      <c r="S924" s="11">
        <f>IF(J924="","",O924+Q924-R924)</f>
        <v/>
      </c>
      <c r="T924">
        <f>IF(J924="","",IFERROR(IF(K924="",NA(),MATCH(K924,Products!$B$5:$B$204,0)),IFERROR(MATCH(J924,Products!$A$5:$A$204,0),"")))</f>
        <v/>
      </c>
      <c r="U924">
        <f>IF(J924="","",IF(T924="","⚠ not in Products",INDEX(Products!$A$5:$A$204,T924)))</f>
        <v/>
      </c>
      <c r="V924" s="11">
        <f>IF(J924="","",S924*(IFERROR(INDEX(Settings!$B$5:$B$9,MATCH($B924,Settings!$A$5:$A$9,0)),0)+IFERROR(INDEX(Settings!$E$5:$E$9,MATCH($B924,Settings!$A$5:$A$9,0)),0)+IFERROR(INDEX(Settings!$G$5:$G$9,MATCH($B924,Settings!$A$5:$A$9,0)),0))+(IFERROR(INDEX(Settings!$C$5:$C$9,MATCH($B924,Settings!$A$5:$A$9,0)),0)+IFERROR(INDEX(Settings!$F$5:$F$9,MATCH($B924,Settings!$A$5:$A$9,0)),0))/P924+IFERROR(INDEX(Settings!$D$5:$D$9,MATCH($B924,Settings!$A$5:$A$9,0)),0)*M924)</f>
        <v/>
      </c>
      <c r="W924" s="11">
        <f>IF(J924="","",IF(T924="",0,M924*INDEX(Products!$I$5:$I$204,T924)))</f>
        <v/>
      </c>
      <c r="X924" s="11">
        <f>IF(J924="","",IF(T924="",0,S924*INDEX(Products!$H$5:$H$204,T924)))</f>
        <v/>
      </c>
      <c r="Y924" s="11">
        <f>IF(J924="","",S924-V924-W924-X924)</f>
        <v/>
      </c>
    </row>
    <row r="925">
      <c r="A925" s="19" t="n"/>
      <c r="B925" s="19" t="n"/>
      <c r="C925" s="19" t="n"/>
      <c r="D925" s="19" t="n"/>
      <c r="E925" s="19" t="n"/>
      <c r="F925" s="20" t="n"/>
      <c r="G925" s="20" t="n"/>
      <c r="H925" s="20" t="n"/>
      <c r="I925" s="19" t="n"/>
      <c r="J925">
        <f>IFERROR(IF(C925="","",C925)&amp;"","")</f>
        <v/>
      </c>
      <c r="K925">
        <f>IFERROR(IF(D925="","",D925)&amp;"","")</f>
        <v/>
      </c>
      <c r="L925">
        <f>IFERROR(IF(I925="","",I925)&amp;"","")</f>
        <v/>
      </c>
      <c r="M925">
        <f>IF(J925="","",IFERROR(VALUE(SUBSTITUTE(SUBSTITUTE(IF(E925="","",E925)&amp;"","$",""),",","")),0))</f>
        <v/>
      </c>
      <c r="N925" s="11">
        <f>IF(J925="","",IFERROR(VALUE(SUBSTITUTE(SUBSTITUTE(IF(F925="","",F925)&amp;"","$",""),",","")),0))</f>
        <v/>
      </c>
      <c r="O925" s="11">
        <f>IF(J925="","",M925*N925)</f>
        <v/>
      </c>
      <c r="P925">
        <f>IF(J925="","",IF(L925="",1,COUNTIF($L$2:$L$1501,L925)))</f>
        <v/>
      </c>
      <c r="Q925" s="11">
        <f>IF(J925="","",IFERROR(VALUE(SUBSTITUTE(SUBSTITUTE(IF(G925="","",G925)&amp;"","$",""),",","")),0)/IF("No"="Yes",P925,1))</f>
        <v/>
      </c>
      <c r="R925" s="11">
        <f>IF(J925="","",IFERROR(VALUE(SUBSTITUTE(SUBSTITUTE(IF(H925="","",H925)&amp;"","$",""),",","")),0)/IF("No"="Yes",P925,1))</f>
        <v/>
      </c>
      <c r="S925" s="11">
        <f>IF(J925="","",O925+Q925-R925)</f>
        <v/>
      </c>
      <c r="T925">
        <f>IF(J925="","",IFERROR(IF(K925="",NA(),MATCH(K925,Products!$B$5:$B$204,0)),IFERROR(MATCH(J925,Products!$A$5:$A$204,0),"")))</f>
        <v/>
      </c>
      <c r="U925">
        <f>IF(J925="","",IF(T925="","⚠ not in Products",INDEX(Products!$A$5:$A$204,T925)))</f>
        <v/>
      </c>
      <c r="V925" s="11">
        <f>IF(J925="","",S925*(IFERROR(INDEX(Settings!$B$5:$B$9,MATCH($B925,Settings!$A$5:$A$9,0)),0)+IFERROR(INDEX(Settings!$E$5:$E$9,MATCH($B925,Settings!$A$5:$A$9,0)),0)+IFERROR(INDEX(Settings!$G$5:$G$9,MATCH($B925,Settings!$A$5:$A$9,0)),0))+(IFERROR(INDEX(Settings!$C$5:$C$9,MATCH($B925,Settings!$A$5:$A$9,0)),0)+IFERROR(INDEX(Settings!$F$5:$F$9,MATCH($B925,Settings!$A$5:$A$9,0)),0))/P925+IFERROR(INDEX(Settings!$D$5:$D$9,MATCH($B925,Settings!$A$5:$A$9,0)),0)*M925)</f>
        <v/>
      </c>
      <c r="W925" s="11">
        <f>IF(J925="","",IF(T925="",0,M925*INDEX(Products!$I$5:$I$204,T925)))</f>
        <v/>
      </c>
      <c r="X925" s="11">
        <f>IF(J925="","",IF(T925="",0,S925*INDEX(Products!$H$5:$H$204,T925)))</f>
        <v/>
      </c>
      <c r="Y925" s="11">
        <f>IF(J925="","",S925-V925-W925-X925)</f>
        <v/>
      </c>
    </row>
    <row r="926">
      <c r="A926" s="19" t="n"/>
      <c r="B926" s="19" t="n"/>
      <c r="C926" s="19" t="n"/>
      <c r="D926" s="19" t="n"/>
      <c r="E926" s="19" t="n"/>
      <c r="F926" s="20" t="n"/>
      <c r="G926" s="20" t="n"/>
      <c r="H926" s="20" t="n"/>
      <c r="I926" s="19" t="n"/>
      <c r="J926">
        <f>IFERROR(IF(C926="","",C926)&amp;"","")</f>
        <v/>
      </c>
      <c r="K926">
        <f>IFERROR(IF(D926="","",D926)&amp;"","")</f>
        <v/>
      </c>
      <c r="L926">
        <f>IFERROR(IF(I926="","",I926)&amp;"","")</f>
        <v/>
      </c>
      <c r="M926">
        <f>IF(J926="","",IFERROR(VALUE(SUBSTITUTE(SUBSTITUTE(IF(E926="","",E926)&amp;"","$",""),",","")),0))</f>
        <v/>
      </c>
      <c r="N926" s="11">
        <f>IF(J926="","",IFERROR(VALUE(SUBSTITUTE(SUBSTITUTE(IF(F926="","",F926)&amp;"","$",""),",","")),0))</f>
        <v/>
      </c>
      <c r="O926" s="11">
        <f>IF(J926="","",M926*N926)</f>
        <v/>
      </c>
      <c r="P926">
        <f>IF(J926="","",IF(L926="",1,COUNTIF($L$2:$L$1501,L926)))</f>
        <v/>
      </c>
      <c r="Q926" s="11">
        <f>IF(J926="","",IFERROR(VALUE(SUBSTITUTE(SUBSTITUTE(IF(G926="","",G926)&amp;"","$",""),",","")),0)/IF("No"="Yes",P926,1))</f>
        <v/>
      </c>
      <c r="R926" s="11">
        <f>IF(J926="","",IFERROR(VALUE(SUBSTITUTE(SUBSTITUTE(IF(H926="","",H926)&amp;"","$",""),",","")),0)/IF("No"="Yes",P926,1))</f>
        <v/>
      </c>
      <c r="S926" s="11">
        <f>IF(J926="","",O926+Q926-R926)</f>
        <v/>
      </c>
      <c r="T926">
        <f>IF(J926="","",IFERROR(IF(K926="",NA(),MATCH(K926,Products!$B$5:$B$204,0)),IFERROR(MATCH(J926,Products!$A$5:$A$204,0),"")))</f>
        <v/>
      </c>
      <c r="U926">
        <f>IF(J926="","",IF(T926="","⚠ not in Products",INDEX(Products!$A$5:$A$204,T926)))</f>
        <v/>
      </c>
      <c r="V926" s="11">
        <f>IF(J926="","",S926*(IFERROR(INDEX(Settings!$B$5:$B$9,MATCH($B926,Settings!$A$5:$A$9,0)),0)+IFERROR(INDEX(Settings!$E$5:$E$9,MATCH($B926,Settings!$A$5:$A$9,0)),0)+IFERROR(INDEX(Settings!$G$5:$G$9,MATCH($B926,Settings!$A$5:$A$9,0)),0))+(IFERROR(INDEX(Settings!$C$5:$C$9,MATCH($B926,Settings!$A$5:$A$9,0)),0)+IFERROR(INDEX(Settings!$F$5:$F$9,MATCH($B926,Settings!$A$5:$A$9,0)),0))/P926+IFERROR(INDEX(Settings!$D$5:$D$9,MATCH($B926,Settings!$A$5:$A$9,0)),0)*M926)</f>
        <v/>
      </c>
      <c r="W926" s="11">
        <f>IF(J926="","",IF(T926="",0,M926*INDEX(Products!$I$5:$I$204,T926)))</f>
        <v/>
      </c>
      <c r="X926" s="11">
        <f>IF(J926="","",IF(T926="",0,S926*INDEX(Products!$H$5:$H$204,T926)))</f>
        <v/>
      </c>
      <c r="Y926" s="11">
        <f>IF(J926="","",S926-V926-W926-X926)</f>
        <v/>
      </c>
    </row>
    <row r="927">
      <c r="A927" s="19" t="n"/>
      <c r="B927" s="19" t="n"/>
      <c r="C927" s="19" t="n"/>
      <c r="D927" s="19" t="n"/>
      <c r="E927" s="19" t="n"/>
      <c r="F927" s="20" t="n"/>
      <c r="G927" s="20" t="n"/>
      <c r="H927" s="20" t="n"/>
      <c r="I927" s="19" t="n"/>
      <c r="J927">
        <f>IFERROR(IF(C927="","",C927)&amp;"","")</f>
        <v/>
      </c>
      <c r="K927">
        <f>IFERROR(IF(D927="","",D927)&amp;"","")</f>
        <v/>
      </c>
      <c r="L927">
        <f>IFERROR(IF(I927="","",I927)&amp;"","")</f>
        <v/>
      </c>
      <c r="M927">
        <f>IF(J927="","",IFERROR(VALUE(SUBSTITUTE(SUBSTITUTE(IF(E927="","",E927)&amp;"","$",""),",","")),0))</f>
        <v/>
      </c>
      <c r="N927" s="11">
        <f>IF(J927="","",IFERROR(VALUE(SUBSTITUTE(SUBSTITUTE(IF(F927="","",F927)&amp;"","$",""),",","")),0))</f>
        <v/>
      </c>
      <c r="O927" s="11">
        <f>IF(J927="","",M927*N927)</f>
        <v/>
      </c>
      <c r="P927">
        <f>IF(J927="","",IF(L927="",1,COUNTIF($L$2:$L$1501,L927)))</f>
        <v/>
      </c>
      <c r="Q927" s="11">
        <f>IF(J927="","",IFERROR(VALUE(SUBSTITUTE(SUBSTITUTE(IF(G927="","",G927)&amp;"","$",""),",","")),0)/IF("No"="Yes",P927,1))</f>
        <v/>
      </c>
      <c r="R927" s="11">
        <f>IF(J927="","",IFERROR(VALUE(SUBSTITUTE(SUBSTITUTE(IF(H927="","",H927)&amp;"","$",""),",","")),0)/IF("No"="Yes",P927,1))</f>
        <v/>
      </c>
      <c r="S927" s="11">
        <f>IF(J927="","",O927+Q927-R927)</f>
        <v/>
      </c>
      <c r="T927">
        <f>IF(J927="","",IFERROR(IF(K927="",NA(),MATCH(K927,Products!$B$5:$B$204,0)),IFERROR(MATCH(J927,Products!$A$5:$A$204,0),"")))</f>
        <v/>
      </c>
      <c r="U927">
        <f>IF(J927="","",IF(T927="","⚠ not in Products",INDEX(Products!$A$5:$A$204,T927)))</f>
        <v/>
      </c>
      <c r="V927" s="11">
        <f>IF(J927="","",S927*(IFERROR(INDEX(Settings!$B$5:$B$9,MATCH($B927,Settings!$A$5:$A$9,0)),0)+IFERROR(INDEX(Settings!$E$5:$E$9,MATCH($B927,Settings!$A$5:$A$9,0)),0)+IFERROR(INDEX(Settings!$G$5:$G$9,MATCH($B927,Settings!$A$5:$A$9,0)),0))+(IFERROR(INDEX(Settings!$C$5:$C$9,MATCH($B927,Settings!$A$5:$A$9,0)),0)+IFERROR(INDEX(Settings!$F$5:$F$9,MATCH($B927,Settings!$A$5:$A$9,0)),0))/P927+IFERROR(INDEX(Settings!$D$5:$D$9,MATCH($B927,Settings!$A$5:$A$9,0)),0)*M927)</f>
        <v/>
      </c>
      <c r="W927" s="11">
        <f>IF(J927="","",IF(T927="",0,M927*INDEX(Products!$I$5:$I$204,T927)))</f>
        <v/>
      </c>
      <c r="X927" s="11">
        <f>IF(J927="","",IF(T927="",0,S927*INDEX(Products!$H$5:$H$204,T927)))</f>
        <v/>
      </c>
      <c r="Y927" s="11">
        <f>IF(J927="","",S927-V927-W927-X927)</f>
        <v/>
      </c>
    </row>
    <row r="928">
      <c r="A928" s="19" t="n"/>
      <c r="B928" s="19" t="n"/>
      <c r="C928" s="19" t="n"/>
      <c r="D928" s="19" t="n"/>
      <c r="E928" s="19" t="n"/>
      <c r="F928" s="20" t="n"/>
      <c r="G928" s="20" t="n"/>
      <c r="H928" s="20" t="n"/>
      <c r="I928" s="19" t="n"/>
      <c r="J928">
        <f>IFERROR(IF(C928="","",C928)&amp;"","")</f>
        <v/>
      </c>
      <c r="K928">
        <f>IFERROR(IF(D928="","",D928)&amp;"","")</f>
        <v/>
      </c>
      <c r="L928">
        <f>IFERROR(IF(I928="","",I928)&amp;"","")</f>
        <v/>
      </c>
      <c r="M928">
        <f>IF(J928="","",IFERROR(VALUE(SUBSTITUTE(SUBSTITUTE(IF(E928="","",E928)&amp;"","$",""),",","")),0))</f>
        <v/>
      </c>
      <c r="N928" s="11">
        <f>IF(J928="","",IFERROR(VALUE(SUBSTITUTE(SUBSTITUTE(IF(F928="","",F928)&amp;"","$",""),",","")),0))</f>
        <v/>
      </c>
      <c r="O928" s="11">
        <f>IF(J928="","",M928*N928)</f>
        <v/>
      </c>
      <c r="P928">
        <f>IF(J928="","",IF(L928="",1,COUNTIF($L$2:$L$1501,L928)))</f>
        <v/>
      </c>
      <c r="Q928" s="11">
        <f>IF(J928="","",IFERROR(VALUE(SUBSTITUTE(SUBSTITUTE(IF(G928="","",G928)&amp;"","$",""),",","")),0)/IF("No"="Yes",P928,1))</f>
        <v/>
      </c>
      <c r="R928" s="11">
        <f>IF(J928="","",IFERROR(VALUE(SUBSTITUTE(SUBSTITUTE(IF(H928="","",H928)&amp;"","$",""),",","")),0)/IF("No"="Yes",P928,1))</f>
        <v/>
      </c>
      <c r="S928" s="11">
        <f>IF(J928="","",O928+Q928-R928)</f>
        <v/>
      </c>
      <c r="T928">
        <f>IF(J928="","",IFERROR(IF(K928="",NA(),MATCH(K928,Products!$B$5:$B$204,0)),IFERROR(MATCH(J928,Products!$A$5:$A$204,0),"")))</f>
        <v/>
      </c>
      <c r="U928">
        <f>IF(J928="","",IF(T928="","⚠ not in Products",INDEX(Products!$A$5:$A$204,T928)))</f>
        <v/>
      </c>
      <c r="V928" s="11">
        <f>IF(J928="","",S928*(IFERROR(INDEX(Settings!$B$5:$B$9,MATCH($B928,Settings!$A$5:$A$9,0)),0)+IFERROR(INDEX(Settings!$E$5:$E$9,MATCH($B928,Settings!$A$5:$A$9,0)),0)+IFERROR(INDEX(Settings!$G$5:$G$9,MATCH($B928,Settings!$A$5:$A$9,0)),0))+(IFERROR(INDEX(Settings!$C$5:$C$9,MATCH($B928,Settings!$A$5:$A$9,0)),0)+IFERROR(INDEX(Settings!$F$5:$F$9,MATCH($B928,Settings!$A$5:$A$9,0)),0))/P928+IFERROR(INDEX(Settings!$D$5:$D$9,MATCH($B928,Settings!$A$5:$A$9,0)),0)*M928)</f>
        <v/>
      </c>
      <c r="W928" s="11">
        <f>IF(J928="","",IF(T928="",0,M928*INDEX(Products!$I$5:$I$204,T928)))</f>
        <v/>
      </c>
      <c r="X928" s="11">
        <f>IF(J928="","",IF(T928="",0,S928*INDEX(Products!$H$5:$H$204,T928)))</f>
        <v/>
      </c>
      <c r="Y928" s="11">
        <f>IF(J928="","",S928-V928-W928-X928)</f>
        <v/>
      </c>
    </row>
    <row r="929">
      <c r="A929" s="19" t="n"/>
      <c r="B929" s="19" t="n"/>
      <c r="C929" s="19" t="n"/>
      <c r="D929" s="19" t="n"/>
      <c r="E929" s="19" t="n"/>
      <c r="F929" s="20" t="n"/>
      <c r="G929" s="20" t="n"/>
      <c r="H929" s="20" t="n"/>
      <c r="I929" s="19" t="n"/>
      <c r="J929">
        <f>IFERROR(IF(C929="","",C929)&amp;"","")</f>
        <v/>
      </c>
      <c r="K929">
        <f>IFERROR(IF(D929="","",D929)&amp;"","")</f>
        <v/>
      </c>
      <c r="L929">
        <f>IFERROR(IF(I929="","",I929)&amp;"","")</f>
        <v/>
      </c>
      <c r="M929">
        <f>IF(J929="","",IFERROR(VALUE(SUBSTITUTE(SUBSTITUTE(IF(E929="","",E929)&amp;"","$",""),",","")),0))</f>
        <v/>
      </c>
      <c r="N929" s="11">
        <f>IF(J929="","",IFERROR(VALUE(SUBSTITUTE(SUBSTITUTE(IF(F929="","",F929)&amp;"","$",""),",","")),0))</f>
        <v/>
      </c>
      <c r="O929" s="11">
        <f>IF(J929="","",M929*N929)</f>
        <v/>
      </c>
      <c r="P929">
        <f>IF(J929="","",IF(L929="",1,COUNTIF($L$2:$L$1501,L929)))</f>
        <v/>
      </c>
      <c r="Q929" s="11">
        <f>IF(J929="","",IFERROR(VALUE(SUBSTITUTE(SUBSTITUTE(IF(G929="","",G929)&amp;"","$",""),",","")),0)/IF("No"="Yes",P929,1))</f>
        <v/>
      </c>
      <c r="R929" s="11">
        <f>IF(J929="","",IFERROR(VALUE(SUBSTITUTE(SUBSTITUTE(IF(H929="","",H929)&amp;"","$",""),",","")),0)/IF("No"="Yes",P929,1))</f>
        <v/>
      </c>
      <c r="S929" s="11">
        <f>IF(J929="","",O929+Q929-R929)</f>
        <v/>
      </c>
      <c r="T929">
        <f>IF(J929="","",IFERROR(IF(K929="",NA(),MATCH(K929,Products!$B$5:$B$204,0)),IFERROR(MATCH(J929,Products!$A$5:$A$204,0),"")))</f>
        <v/>
      </c>
      <c r="U929">
        <f>IF(J929="","",IF(T929="","⚠ not in Products",INDEX(Products!$A$5:$A$204,T929)))</f>
        <v/>
      </c>
      <c r="V929" s="11">
        <f>IF(J929="","",S929*(IFERROR(INDEX(Settings!$B$5:$B$9,MATCH($B929,Settings!$A$5:$A$9,0)),0)+IFERROR(INDEX(Settings!$E$5:$E$9,MATCH($B929,Settings!$A$5:$A$9,0)),0)+IFERROR(INDEX(Settings!$G$5:$G$9,MATCH($B929,Settings!$A$5:$A$9,0)),0))+(IFERROR(INDEX(Settings!$C$5:$C$9,MATCH($B929,Settings!$A$5:$A$9,0)),0)+IFERROR(INDEX(Settings!$F$5:$F$9,MATCH($B929,Settings!$A$5:$A$9,0)),0))/P929+IFERROR(INDEX(Settings!$D$5:$D$9,MATCH($B929,Settings!$A$5:$A$9,0)),0)*M929)</f>
        <v/>
      </c>
      <c r="W929" s="11">
        <f>IF(J929="","",IF(T929="",0,M929*INDEX(Products!$I$5:$I$204,T929)))</f>
        <v/>
      </c>
      <c r="X929" s="11">
        <f>IF(J929="","",IF(T929="",0,S929*INDEX(Products!$H$5:$H$204,T929)))</f>
        <v/>
      </c>
      <c r="Y929" s="11">
        <f>IF(J929="","",S929-V929-W929-X929)</f>
        <v/>
      </c>
    </row>
    <row r="930">
      <c r="A930" s="19" t="n"/>
      <c r="B930" s="19" t="n"/>
      <c r="C930" s="19" t="n"/>
      <c r="D930" s="19" t="n"/>
      <c r="E930" s="19" t="n"/>
      <c r="F930" s="20" t="n"/>
      <c r="G930" s="20" t="n"/>
      <c r="H930" s="20" t="n"/>
      <c r="I930" s="19" t="n"/>
      <c r="J930">
        <f>IFERROR(IF(C930="","",C930)&amp;"","")</f>
        <v/>
      </c>
      <c r="K930">
        <f>IFERROR(IF(D930="","",D930)&amp;"","")</f>
        <v/>
      </c>
      <c r="L930">
        <f>IFERROR(IF(I930="","",I930)&amp;"","")</f>
        <v/>
      </c>
      <c r="M930">
        <f>IF(J930="","",IFERROR(VALUE(SUBSTITUTE(SUBSTITUTE(IF(E930="","",E930)&amp;"","$",""),",","")),0))</f>
        <v/>
      </c>
      <c r="N930" s="11">
        <f>IF(J930="","",IFERROR(VALUE(SUBSTITUTE(SUBSTITUTE(IF(F930="","",F930)&amp;"","$",""),",","")),0))</f>
        <v/>
      </c>
      <c r="O930" s="11">
        <f>IF(J930="","",M930*N930)</f>
        <v/>
      </c>
      <c r="P930">
        <f>IF(J930="","",IF(L930="",1,COUNTIF($L$2:$L$1501,L930)))</f>
        <v/>
      </c>
      <c r="Q930" s="11">
        <f>IF(J930="","",IFERROR(VALUE(SUBSTITUTE(SUBSTITUTE(IF(G930="","",G930)&amp;"","$",""),",","")),0)/IF("No"="Yes",P930,1))</f>
        <v/>
      </c>
      <c r="R930" s="11">
        <f>IF(J930="","",IFERROR(VALUE(SUBSTITUTE(SUBSTITUTE(IF(H930="","",H930)&amp;"","$",""),",","")),0)/IF("No"="Yes",P930,1))</f>
        <v/>
      </c>
      <c r="S930" s="11">
        <f>IF(J930="","",O930+Q930-R930)</f>
        <v/>
      </c>
      <c r="T930">
        <f>IF(J930="","",IFERROR(IF(K930="",NA(),MATCH(K930,Products!$B$5:$B$204,0)),IFERROR(MATCH(J930,Products!$A$5:$A$204,0),"")))</f>
        <v/>
      </c>
      <c r="U930">
        <f>IF(J930="","",IF(T930="","⚠ not in Products",INDEX(Products!$A$5:$A$204,T930)))</f>
        <v/>
      </c>
      <c r="V930" s="11">
        <f>IF(J930="","",S930*(IFERROR(INDEX(Settings!$B$5:$B$9,MATCH($B930,Settings!$A$5:$A$9,0)),0)+IFERROR(INDEX(Settings!$E$5:$E$9,MATCH($B930,Settings!$A$5:$A$9,0)),0)+IFERROR(INDEX(Settings!$G$5:$G$9,MATCH($B930,Settings!$A$5:$A$9,0)),0))+(IFERROR(INDEX(Settings!$C$5:$C$9,MATCH($B930,Settings!$A$5:$A$9,0)),0)+IFERROR(INDEX(Settings!$F$5:$F$9,MATCH($B930,Settings!$A$5:$A$9,0)),0))/P930+IFERROR(INDEX(Settings!$D$5:$D$9,MATCH($B930,Settings!$A$5:$A$9,0)),0)*M930)</f>
        <v/>
      </c>
      <c r="W930" s="11">
        <f>IF(J930="","",IF(T930="",0,M930*INDEX(Products!$I$5:$I$204,T930)))</f>
        <v/>
      </c>
      <c r="X930" s="11">
        <f>IF(J930="","",IF(T930="",0,S930*INDEX(Products!$H$5:$H$204,T930)))</f>
        <v/>
      </c>
      <c r="Y930" s="11">
        <f>IF(J930="","",S930-V930-W930-X930)</f>
        <v/>
      </c>
    </row>
    <row r="931">
      <c r="A931" s="19" t="n"/>
      <c r="B931" s="19" t="n"/>
      <c r="C931" s="19" t="n"/>
      <c r="D931" s="19" t="n"/>
      <c r="E931" s="19" t="n"/>
      <c r="F931" s="20" t="n"/>
      <c r="G931" s="20" t="n"/>
      <c r="H931" s="20" t="n"/>
      <c r="I931" s="19" t="n"/>
      <c r="J931">
        <f>IFERROR(IF(C931="","",C931)&amp;"","")</f>
        <v/>
      </c>
      <c r="K931">
        <f>IFERROR(IF(D931="","",D931)&amp;"","")</f>
        <v/>
      </c>
      <c r="L931">
        <f>IFERROR(IF(I931="","",I931)&amp;"","")</f>
        <v/>
      </c>
      <c r="M931">
        <f>IF(J931="","",IFERROR(VALUE(SUBSTITUTE(SUBSTITUTE(IF(E931="","",E931)&amp;"","$",""),",","")),0))</f>
        <v/>
      </c>
      <c r="N931" s="11">
        <f>IF(J931="","",IFERROR(VALUE(SUBSTITUTE(SUBSTITUTE(IF(F931="","",F931)&amp;"","$",""),",","")),0))</f>
        <v/>
      </c>
      <c r="O931" s="11">
        <f>IF(J931="","",M931*N931)</f>
        <v/>
      </c>
      <c r="P931">
        <f>IF(J931="","",IF(L931="",1,COUNTIF($L$2:$L$1501,L931)))</f>
        <v/>
      </c>
      <c r="Q931" s="11">
        <f>IF(J931="","",IFERROR(VALUE(SUBSTITUTE(SUBSTITUTE(IF(G931="","",G931)&amp;"","$",""),",","")),0)/IF("No"="Yes",P931,1))</f>
        <v/>
      </c>
      <c r="R931" s="11">
        <f>IF(J931="","",IFERROR(VALUE(SUBSTITUTE(SUBSTITUTE(IF(H931="","",H931)&amp;"","$",""),",","")),0)/IF("No"="Yes",P931,1))</f>
        <v/>
      </c>
      <c r="S931" s="11">
        <f>IF(J931="","",O931+Q931-R931)</f>
        <v/>
      </c>
      <c r="T931">
        <f>IF(J931="","",IFERROR(IF(K931="",NA(),MATCH(K931,Products!$B$5:$B$204,0)),IFERROR(MATCH(J931,Products!$A$5:$A$204,0),"")))</f>
        <v/>
      </c>
      <c r="U931">
        <f>IF(J931="","",IF(T931="","⚠ not in Products",INDEX(Products!$A$5:$A$204,T931)))</f>
        <v/>
      </c>
      <c r="V931" s="11">
        <f>IF(J931="","",S931*(IFERROR(INDEX(Settings!$B$5:$B$9,MATCH($B931,Settings!$A$5:$A$9,0)),0)+IFERROR(INDEX(Settings!$E$5:$E$9,MATCH($B931,Settings!$A$5:$A$9,0)),0)+IFERROR(INDEX(Settings!$G$5:$G$9,MATCH($B931,Settings!$A$5:$A$9,0)),0))+(IFERROR(INDEX(Settings!$C$5:$C$9,MATCH($B931,Settings!$A$5:$A$9,0)),0)+IFERROR(INDEX(Settings!$F$5:$F$9,MATCH($B931,Settings!$A$5:$A$9,0)),0))/P931+IFERROR(INDEX(Settings!$D$5:$D$9,MATCH($B931,Settings!$A$5:$A$9,0)),0)*M931)</f>
        <v/>
      </c>
      <c r="W931" s="11">
        <f>IF(J931="","",IF(T931="",0,M931*INDEX(Products!$I$5:$I$204,T931)))</f>
        <v/>
      </c>
      <c r="X931" s="11">
        <f>IF(J931="","",IF(T931="",0,S931*INDEX(Products!$H$5:$H$204,T931)))</f>
        <v/>
      </c>
      <c r="Y931" s="11">
        <f>IF(J931="","",S931-V931-W931-X931)</f>
        <v/>
      </c>
    </row>
    <row r="932">
      <c r="A932" s="19" t="n"/>
      <c r="B932" s="19" t="n"/>
      <c r="C932" s="19" t="n"/>
      <c r="D932" s="19" t="n"/>
      <c r="E932" s="19" t="n"/>
      <c r="F932" s="20" t="n"/>
      <c r="G932" s="20" t="n"/>
      <c r="H932" s="20" t="n"/>
      <c r="I932" s="19" t="n"/>
      <c r="J932">
        <f>IFERROR(IF(C932="","",C932)&amp;"","")</f>
        <v/>
      </c>
      <c r="K932">
        <f>IFERROR(IF(D932="","",D932)&amp;"","")</f>
        <v/>
      </c>
      <c r="L932">
        <f>IFERROR(IF(I932="","",I932)&amp;"","")</f>
        <v/>
      </c>
      <c r="M932">
        <f>IF(J932="","",IFERROR(VALUE(SUBSTITUTE(SUBSTITUTE(IF(E932="","",E932)&amp;"","$",""),",","")),0))</f>
        <v/>
      </c>
      <c r="N932" s="11">
        <f>IF(J932="","",IFERROR(VALUE(SUBSTITUTE(SUBSTITUTE(IF(F932="","",F932)&amp;"","$",""),",","")),0))</f>
        <v/>
      </c>
      <c r="O932" s="11">
        <f>IF(J932="","",M932*N932)</f>
        <v/>
      </c>
      <c r="P932">
        <f>IF(J932="","",IF(L932="",1,COUNTIF($L$2:$L$1501,L932)))</f>
        <v/>
      </c>
      <c r="Q932" s="11">
        <f>IF(J932="","",IFERROR(VALUE(SUBSTITUTE(SUBSTITUTE(IF(G932="","",G932)&amp;"","$",""),",","")),0)/IF("No"="Yes",P932,1))</f>
        <v/>
      </c>
      <c r="R932" s="11">
        <f>IF(J932="","",IFERROR(VALUE(SUBSTITUTE(SUBSTITUTE(IF(H932="","",H932)&amp;"","$",""),",","")),0)/IF("No"="Yes",P932,1))</f>
        <v/>
      </c>
      <c r="S932" s="11">
        <f>IF(J932="","",O932+Q932-R932)</f>
        <v/>
      </c>
      <c r="T932">
        <f>IF(J932="","",IFERROR(IF(K932="",NA(),MATCH(K932,Products!$B$5:$B$204,0)),IFERROR(MATCH(J932,Products!$A$5:$A$204,0),"")))</f>
        <v/>
      </c>
      <c r="U932">
        <f>IF(J932="","",IF(T932="","⚠ not in Products",INDEX(Products!$A$5:$A$204,T932)))</f>
        <v/>
      </c>
      <c r="V932" s="11">
        <f>IF(J932="","",S932*(IFERROR(INDEX(Settings!$B$5:$B$9,MATCH($B932,Settings!$A$5:$A$9,0)),0)+IFERROR(INDEX(Settings!$E$5:$E$9,MATCH($B932,Settings!$A$5:$A$9,0)),0)+IFERROR(INDEX(Settings!$G$5:$G$9,MATCH($B932,Settings!$A$5:$A$9,0)),0))+(IFERROR(INDEX(Settings!$C$5:$C$9,MATCH($B932,Settings!$A$5:$A$9,0)),0)+IFERROR(INDEX(Settings!$F$5:$F$9,MATCH($B932,Settings!$A$5:$A$9,0)),0))/P932+IFERROR(INDEX(Settings!$D$5:$D$9,MATCH($B932,Settings!$A$5:$A$9,0)),0)*M932)</f>
        <v/>
      </c>
      <c r="W932" s="11">
        <f>IF(J932="","",IF(T932="",0,M932*INDEX(Products!$I$5:$I$204,T932)))</f>
        <v/>
      </c>
      <c r="X932" s="11">
        <f>IF(J932="","",IF(T932="",0,S932*INDEX(Products!$H$5:$H$204,T932)))</f>
        <v/>
      </c>
      <c r="Y932" s="11">
        <f>IF(J932="","",S932-V932-W932-X932)</f>
        <v/>
      </c>
    </row>
    <row r="933">
      <c r="A933" s="19" t="n"/>
      <c r="B933" s="19" t="n"/>
      <c r="C933" s="19" t="n"/>
      <c r="D933" s="19" t="n"/>
      <c r="E933" s="19" t="n"/>
      <c r="F933" s="20" t="n"/>
      <c r="G933" s="20" t="n"/>
      <c r="H933" s="20" t="n"/>
      <c r="I933" s="19" t="n"/>
      <c r="J933">
        <f>IFERROR(IF(C933="","",C933)&amp;"","")</f>
        <v/>
      </c>
      <c r="K933">
        <f>IFERROR(IF(D933="","",D933)&amp;"","")</f>
        <v/>
      </c>
      <c r="L933">
        <f>IFERROR(IF(I933="","",I933)&amp;"","")</f>
        <v/>
      </c>
      <c r="M933">
        <f>IF(J933="","",IFERROR(VALUE(SUBSTITUTE(SUBSTITUTE(IF(E933="","",E933)&amp;"","$",""),",","")),0))</f>
        <v/>
      </c>
      <c r="N933" s="11">
        <f>IF(J933="","",IFERROR(VALUE(SUBSTITUTE(SUBSTITUTE(IF(F933="","",F933)&amp;"","$",""),",","")),0))</f>
        <v/>
      </c>
      <c r="O933" s="11">
        <f>IF(J933="","",M933*N933)</f>
        <v/>
      </c>
      <c r="P933">
        <f>IF(J933="","",IF(L933="",1,COUNTIF($L$2:$L$1501,L933)))</f>
        <v/>
      </c>
      <c r="Q933" s="11">
        <f>IF(J933="","",IFERROR(VALUE(SUBSTITUTE(SUBSTITUTE(IF(G933="","",G933)&amp;"","$",""),",","")),0)/IF("No"="Yes",P933,1))</f>
        <v/>
      </c>
      <c r="R933" s="11">
        <f>IF(J933="","",IFERROR(VALUE(SUBSTITUTE(SUBSTITUTE(IF(H933="","",H933)&amp;"","$",""),",","")),0)/IF("No"="Yes",P933,1))</f>
        <v/>
      </c>
      <c r="S933" s="11">
        <f>IF(J933="","",O933+Q933-R933)</f>
        <v/>
      </c>
      <c r="T933">
        <f>IF(J933="","",IFERROR(IF(K933="",NA(),MATCH(K933,Products!$B$5:$B$204,0)),IFERROR(MATCH(J933,Products!$A$5:$A$204,0),"")))</f>
        <v/>
      </c>
      <c r="U933">
        <f>IF(J933="","",IF(T933="","⚠ not in Products",INDEX(Products!$A$5:$A$204,T933)))</f>
        <v/>
      </c>
      <c r="V933" s="11">
        <f>IF(J933="","",S933*(IFERROR(INDEX(Settings!$B$5:$B$9,MATCH($B933,Settings!$A$5:$A$9,0)),0)+IFERROR(INDEX(Settings!$E$5:$E$9,MATCH($B933,Settings!$A$5:$A$9,0)),0)+IFERROR(INDEX(Settings!$G$5:$G$9,MATCH($B933,Settings!$A$5:$A$9,0)),0))+(IFERROR(INDEX(Settings!$C$5:$C$9,MATCH($B933,Settings!$A$5:$A$9,0)),0)+IFERROR(INDEX(Settings!$F$5:$F$9,MATCH($B933,Settings!$A$5:$A$9,0)),0))/P933+IFERROR(INDEX(Settings!$D$5:$D$9,MATCH($B933,Settings!$A$5:$A$9,0)),0)*M933)</f>
        <v/>
      </c>
      <c r="W933" s="11">
        <f>IF(J933="","",IF(T933="",0,M933*INDEX(Products!$I$5:$I$204,T933)))</f>
        <v/>
      </c>
      <c r="X933" s="11">
        <f>IF(J933="","",IF(T933="",0,S933*INDEX(Products!$H$5:$H$204,T933)))</f>
        <v/>
      </c>
      <c r="Y933" s="11">
        <f>IF(J933="","",S933-V933-W933-X933)</f>
        <v/>
      </c>
    </row>
    <row r="934">
      <c r="A934" s="19" t="n"/>
      <c r="B934" s="19" t="n"/>
      <c r="C934" s="19" t="n"/>
      <c r="D934" s="19" t="n"/>
      <c r="E934" s="19" t="n"/>
      <c r="F934" s="20" t="n"/>
      <c r="G934" s="20" t="n"/>
      <c r="H934" s="20" t="n"/>
      <c r="I934" s="19" t="n"/>
      <c r="J934">
        <f>IFERROR(IF(C934="","",C934)&amp;"","")</f>
        <v/>
      </c>
      <c r="K934">
        <f>IFERROR(IF(D934="","",D934)&amp;"","")</f>
        <v/>
      </c>
      <c r="L934">
        <f>IFERROR(IF(I934="","",I934)&amp;"","")</f>
        <v/>
      </c>
      <c r="M934">
        <f>IF(J934="","",IFERROR(VALUE(SUBSTITUTE(SUBSTITUTE(IF(E934="","",E934)&amp;"","$",""),",","")),0))</f>
        <v/>
      </c>
      <c r="N934" s="11">
        <f>IF(J934="","",IFERROR(VALUE(SUBSTITUTE(SUBSTITUTE(IF(F934="","",F934)&amp;"","$",""),",","")),0))</f>
        <v/>
      </c>
      <c r="O934" s="11">
        <f>IF(J934="","",M934*N934)</f>
        <v/>
      </c>
      <c r="P934">
        <f>IF(J934="","",IF(L934="",1,COUNTIF($L$2:$L$1501,L934)))</f>
        <v/>
      </c>
      <c r="Q934" s="11">
        <f>IF(J934="","",IFERROR(VALUE(SUBSTITUTE(SUBSTITUTE(IF(G934="","",G934)&amp;"","$",""),",","")),0)/IF("No"="Yes",P934,1))</f>
        <v/>
      </c>
      <c r="R934" s="11">
        <f>IF(J934="","",IFERROR(VALUE(SUBSTITUTE(SUBSTITUTE(IF(H934="","",H934)&amp;"","$",""),",","")),0)/IF("No"="Yes",P934,1))</f>
        <v/>
      </c>
      <c r="S934" s="11">
        <f>IF(J934="","",O934+Q934-R934)</f>
        <v/>
      </c>
      <c r="T934">
        <f>IF(J934="","",IFERROR(IF(K934="",NA(),MATCH(K934,Products!$B$5:$B$204,0)),IFERROR(MATCH(J934,Products!$A$5:$A$204,0),"")))</f>
        <v/>
      </c>
      <c r="U934">
        <f>IF(J934="","",IF(T934="","⚠ not in Products",INDEX(Products!$A$5:$A$204,T934)))</f>
        <v/>
      </c>
      <c r="V934" s="11">
        <f>IF(J934="","",S934*(IFERROR(INDEX(Settings!$B$5:$B$9,MATCH($B934,Settings!$A$5:$A$9,0)),0)+IFERROR(INDEX(Settings!$E$5:$E$9,MATCH($B934,Settings!$A$5:$A$9,0)),0)+IFERROR(INDEX(Settings!$G$5:$G$9,MATCH($B934,Settings!$A$5:$A$9,0)),0))+(IFERROR(INDEX(Settings!$C$5:$C$9,MATCH($B934,Settings!$A$5:$A$9,0)),0)+IFERROR(INDEX(Settings!$F$5:$F$9,MATCH($B934,Settings!$A$5:$A$9,0)),0))/P934+IFERROR(INDEX(Settings!$D$5:$D$9,MATCH($B934,Settings!$A$5:$A$9,0)),0)*M934)</f>
        <v/>
      </c>
      <c r="W934" s="11">
        <f>IF(J934="","",IF(T934="",0,M934*INDEX(Products!$I$5:$I$204,T934)))</f>
        <v/>
      </c>
      <c r="X934" s="11">
        <f>IF(J934="","",IF(T934="",0,S934*INDEX(Products!$H$5:$H$204,T934)))</f>
        <v/>
      </c>
      <c r="Y934" s="11">
        <f>IF(J934="","",S934-V934-W934-X934)</f>
        <v/>
      </c>
    </row>
    <row r="935">
      <c r="A935" s="19" t="n"/>
      <c r="B935" s="19" t="n"/>
      <c r="C935" s="19" t="n"/>
      <c r="D935" s="19" t="n"/>
      <c r="E935" s="19" t="n"/>
      <c r="F935" s="20" t="n"/>
      <c r="G935" s="20" t="n"/>
      <c r="H935" s="20" t="n"/>
      <c r="I935" s="19" t="n"/>
      <c r="J935">
        <f>IFERROR(IF(C935="","",C935)&amp;"","")</f>
        <v/>
      </c>
      <c r="K935">
        <f>IFERROR(IF(D935="","",D935)&amp;"","")</f>
        <v/>
      </c>
      <c r="L935">
        <f>IFERROR(IF(I935="","",I935)&amp;"","")</f>
        <v/>
      </c>
      <c r="M935">
        <f>IF(J935="","",IFERROR(VALUE(SUBSTITUTE(SUBSTITUTE(IF(E935="","",E935)&amp;"","$",""),",","")),0))</f>
        <v/>
      </c>
      <c r="N935" s="11">
        <f>IF(J935="","",IFERROR(VALUE(SUBSTITUTE(SUBSTITUTE(IF(F935="","",F935)&amp;"","$",""),",","")),0))</f>
        <v/>
      </c>
      <c r="O935" s="11">
        <f>IF(J935="","",M935*N935)</f>
        <v/>
      </c>
      <c r="P935">
        <f>IF(J935="","",IF(L935="",1,COUNTIF($L$2:$L$1501,L935)))</f>
        <v/>
      </c>
      <c r="Q935" s="11">
        <f>IF(J935="","",IFERROR(VALUE(SUBSTITUTE(SUBSTITUTE(IF(G935="","",G935)&amp;"","$",""),",","")),0)/IF("No"="Yes",P935,1))</f>
        <v/>
      </c>
      <c r="R935" s="11">
        <f>IF(J935="","",IFERROR(VALUE(SUBSTITUTE(SUBSTITUTE(IF(H935="","",H935)&amp;"","$",""),",","")),0)/IF("No"="Yes",P935,1))</f>
        <v/>
      </c>
      <c r="S935" s="11">
        <f>IF(J935="","",O935+Q935-R935)</f>
        <v/>
      </c>
      <c r="T935">
        <f>IF(J935="","",IFERROR(IF(K935="",NA(),MATCH(K935,Products!$B$5:$B$204,0)),IFERROR(MATCH(J935,Products!$A$5:$A$204,0),"")))</f>
        <v/>
      </c>
      <c r="U935">
        <f>IF(J935="","",IF(T935="","⚠ not in Products",INDEX(Products!$A$5:$A$204,T935)))</f>
        <v/>
      </c>
      <c r="V935" s="11">
        <f>IF(J935="","",S935*(IFERROR(INDEX(Settings!$B$5:$B$9,MATCH($B935,Settings!$A$5:$A$9,0)),0)+IFERROR(INDEX(Settings!$E$5:$E$9,MATCH($B935,Settings!$A$5:$A$9,0)),0)+IFERROR(INDEX(Settings!$G$5:$G$9,MATCH($B935,Settings!$A$5:$A$9,0)),0))+(IFERROR(INDEX(Settings!$C$5:$C$9,MATCH($B935,Settings!$A$5:$A$9,0)),0)+IFERROR(INDEX(Settings!$F$5:$F$9,MATCH($B935,Settings!$A$5:$A$9,0)),0))/P935+IFERROR(INDEX(Settings!$D$5:$D$9,MATCH($B935,Settings!$A$5:$A$9,0)),0)*M935)</f>
        <v/>
      </c>
      <c r="W935" s="11">
        <f>IF(J935="","",IF(T935="",0,M935*INDEX(Products!$I$5:$I$204,T935)))</f>
        <v/>
      </c>
      <c r="X935" s="11">
        <f>IF(J935="","",IF(T935="",0,S935*INDEX(Products!$H$5:$H$204,T935)))</f>
        <v/>
      </c>
      <c r="Y935" s="11">
        <f>IF(J935="","",S935-V935-W935-X935)</f>
        <v/>
      </c>
    </row>
    <row r="936">
      <c r="A936" s="19" t="n"/>
      <c r="B936" s="19" t="n"/>
      <c r="C936" s="19" t="n"/>
      <c r="D936" s="19" t="n"/>
      <c r="E936" s="19" t="n"/>
      <c r="F936" s="20" t="n"/>
      <c r="G936" s="20" t="n"/>
      <c r="H936" s="20" t="n"/>
      <c r="I936" s="19" t="n"/>
      <c r="J936">
        <f>IFERROR(IF(C936="","",C936)&amp;"","")</f>
        <v/>
      </c>
      <c r="K936">
        <f>IFERROR(IF(D936="","",D936)&amp;"","")</f>
        <v/>
      </c>
      <c r="L936">
        <f>IFERROR(IF(I936="","",I936)&amp;"","")</f>
        <v/>
      </c>
      <c r="M936">
        <f>IF(J936="","",IFERROR(VALUE(SUBSTITUTE(SUBSTITUTE(IF(E936="","",E936)&amp;"","$",""),",","")),0))</f>
        <v/>
      </c>
      <c r="N936" s="11">
        <f>IF(J936="","",IFERROR(VALUE(SUBSTITUTE(SUBSTITUTE(IF(F936="","",F936)&amp;"","$",""),",","")),0))</f>
        <v/>
      </c>
      <c r="O936" s="11">
        <f>IF(J936="","",M936*N936)</f>
        <v/>
      </c>
      <c r="P936">
        <f>IF(J936="","",IF(L936="",1,COUNTIF($L$2:$L$1501,L936)))</f>
        <v/>
      </c>
      <c r="Q936" s="11">
        <f>IF(J936="","",IFERROR(VALUE(SUBSTITUTE(SUBSTITUTE(IF(G936="","",G936)&amp;"","$",""),",","")),0)/IF("No"="Yes",P936,1))</f>
        <v/>
      </c>
      <c r="R936" s="11">
        <f>IF(J936="","",IFERROR(VALUE(SUBSTITUTE(SUBSTITUTE(IF(H936="","",H936)&amp;"","$",""),",","")),0)/IF("No"="Yes",P936,1))</f>
        <v/>
      </c>
      <c r="S936" s="11">
        <f>IF(J936="","",O936+Q936-R936)</f>
        <v/>
      </c>
      <c r="T936">
        <f>IF(J936="","",IFERROR(IF(K936="",NA(),MATCH(K936,Products!$B$5:$B$204,0)),IFERROR(MATCH(J936,Products!$A$5:$A$204,0),"")))</f>
        <v/>
      </c>
      <c r="U936">
        <f>IF(J936="","",IF(T936="","⚠ not in Products",INDEX(Products!$A$5:$A$204,T936)))</f>
        <v/>
      </c>
      <c r="V936" s="11">
        <f>IF(J936="","",S936*(IFERROR(INDEX(Settings!$B$5:$B$9,MATCH($B936,Settings!$A$5:$A$9,0)),0)+IFERROR(INDEX(Settings!$E$5:$E$9,MATCH($B936,Settings!$A$5:$A$9,0)),0)+IFERROR(INDEX(Settings!$G$5:$G$9,MATCH($B936,Settings!$A$5:$A$9,0)),0))+(IFERROR(INDEX(Settings!$C$5:$C$9,MATCH($B936,Settings!$A$5:$A$9,0)),0)+IFERROR(INDEX(Settings!$F$5:$F$9,MATCH($B936,Settings!$A$5:$A$9,0)),0))/P936+IFERROR(INDEX(Settings!$D$5:$D$9,MATCH($B936,Settings!$A$5:$A$9,0)),0)*M936)</f>
        <v/>
      </c>
      <c r="W936" s="11">
        <f>IF(J936="","",IF(T936="",0,M936*INDEX(Products!$I$5:$I$204,T936)))</f>
        <v/>
      </c>
      <c r="X936" s="11">
        <f>IF(J936="","",IF(T936="",0,S936*INDEX(Products!$H$5:$H$204,T936)))</f>
        <v/>
      </c>
      <c r="Y936" s="11">
        <f>IF(J936="","",S936-V936-W936-X936)</f>
        <v/>
      </c>
    </row>
    <row r="937">
      <c r="A937" s="19" t="n"/>
      <c r="B937" s="19" t="n"/>
      <c r="C937" s="19" t="n"/>
      <c r="D937" s="19" t="n"/>
      <c r="E937" s="19" t="n"/>
      <c r="F937" s="20" t="n"/>
      <c r="G937" s="20" t="n"/>
      <c r="H937" s="20" t="n"/>
      <c r="I937" s="19" t="n"/>
      <c r="J937">
        <f>IFERROR(IF(C937="","",C937)&amp;"","")</f>
        <v/>
      </c>
      <c r="K937">
        <f>IFERROR(IF(D937="","",D937)&amp;"","")</f>
        <v/>
      </c>
      <c r="L937">
        <f>IFERROR(IF(I937="","",I937)&amp;"","")</f>
        <v/>
      </c>
      <c r="M937">
        <f>IF(J937="","",IFERROR(VALUE(SUBSTITUTE(SUBSTITUTE(IF(E937="","",E937)&amp;"","$",""),",","")),0))</f>
        <v/>
      </c>
      <c r="N937" s="11">
        <f>IF(J937="","",IFERROR(VALUE(SUBSTITUTE(SUBSTITUTE(IF(F937="","",F937)&amp;"","$",""),",","")),0))</f>
        <v/>
      </c>
      <c r="O937" s="11">
        <f>IF(J937="","",M937*N937)</f>
        <v/>
      </c>
      <c r="P937">
        <f>IF(J937="","",IF(L937="",1,COUNTIF($L$2:$L$1501,L937)))</f>
        <v/>
      </c>
      <c r="Q937" s="11">
        <f>IF(J937="","",IFERROR(VALUE(SUBSTITUTE(SUBSTITUTE(IF(G937="","",G937)&amp;"","$",""),",","")),0)/IF("No"="Yes",P937,1))</f>
        <v/>
      </c>
      <c r="R937" s="11">
        <f>IF(J937="","",IFERROR(VALUE(SUBSTITUTE(SUBSTITUTE(IF(H937="","",H937)&amp;"","$",""),",","")),0)/IF("No"="Yes",P937,1))</f>
        <v/>
      </c>
      <c r="S937" s="11">
        <f>IF(J937="","",O937+Q937-R937)</f>
        <v/>
      </c>
      <c r="T937">
        <f>IF(J937="","",IFERROR(IF(K937="",NA(),MATCH(K937,Products!$B$5:$B$204,0)),IFERROR(MATCH(J937,Products!$A$5:$A$204,0),"")))</f>
        <v/>
      </c>
      <c r="U937">
        <f>IF(J937="","",IF(T937="","⚠ not in Products",INDEX(Products!$A$5:$A$204,T937)))</f>
        <v/>
      </c>
      <c r="V937" s="11">
        <f>IF(J937="","",S937*(IFERROR(INDEX(Settings!$B$5:$B$9,MATCH($B937,Settings!$A$5:$A$9,0)),0)+IFERROR(INDEX(Settings!$E$5:$E$9,MATCH($B937,Settings!$A$5:$A$9,0)),0)+IFERROR(INDEX(Settings!$G$5:$G$9,MATCH($B937,Settings!$A$5:$A$9,0)),0))+(IFERROR(INDEX(Settings!$C$5:$C$9,MATCH($B937,Settings!$A$5:$A$9,0)),0)+IFERROR(INDEX(Settings!$F$5:$F$9,MATCH($B937,Settings!$A$5:$A$9,0)),0))/P937+IFERROR(INDEX(Settings!$D$5:$D$9,MATCH($B937,Settings!$A$5:$A$9,0)),0)*M937)</f>
        <v/>
      </c>
      <c r="W937" s="11">
        <f>IF(J937="","",IF(T937="",0,M937*INDEX(Products!$I$5:$I$204,T937)))</f>
        <v/>
      </c>
      <c r="X937" s="11">
        <f>IF(J937="","",IF(T937="",0,S937*INDEX(Products!$H$5:$H$204,T937)))</f>
        <v/>
      </c>
      <c r="Y937" s="11">
        <f>IF(J937="","",S937-V937-W937-X937)</f>
        <v/>
      </c>
    </row>
    <row r="938">
      <c r="A938" s="19" t="n"/>
      <c r="B938" s="19" t="n"/>
      <c r="C938" s="19" t="n"/>
      <c r="D938" s="19" t="n"/>
      <c r="E938" s="19" t="n"/>
      <c r="F938" s="20" t="n"/>
      <c r="G938" s="20" t="n"/>
      <c r="H938" s="20" t="n"/>
      <c r="I938" s="19" t="n"/>
      <c r="J938">
        <f>IFERROR(IF(C938="","",C938)&amp;"","")</f>
        <v/>
      </c>
      <c r="K938">
        <f>IFERROR(IF(D938="","",D938)&amp;"","")</f>
        <v/>
      </c>
      <c r="L938">
        <f>IFERROR(IF(I938="","",I938)&amp;"","")</f>
        <v/>
      </c>
      <c r="M938">
        <f>IF(J938="","",IFERROR(VALUE(SUBSTITUTE(SUBSTITUTE(IF(E938="","",E938)&amp;"","$",""),",","")),0))</f>
        <v/>
      </c>
      <c r="N938" s="11">
        <f>IF(J938="","",IFERROR(VALUE(SUBSTITUTE(SUBSTITUTE(IF(F938="","",F938)&amp;"","$",""),",","")),0))</f>
        <v/>
      </c>
      <c r="O938" s="11">
        <f>IF(J938="","",M938*N938)</f>
        <v/>
      </c>
      <c r="P938">
        <f>IF(J938="","",IF(L938="",1,COUNTIF($L$2:$L$1501,L938)))</f>
        <v/>
      </c>
      <c r="Q938" s="11">
        <f>IF(J938="","",IFERROR(VALUE(SUBSTITUTE(SUBSTITUTE(IF(G938="","",G938)&amp;"","$",""),",","")),0)/IF("No"="Yes",P938,1))</f>
        <v/>
      </c>
      <c r="R938" s="11">
        <f>IF(J938="","",IFERROR(VALUE(SUBSTITUTE(SUBSTITUTE(IF(H938="","",H938)&amp;"","$",""),",","")),0)/IF("No"="Yes",P938,1))</f>
        <v/>
      </c>
      <c r="S938" s="11">
        <f>IF(J938="","",O938+Q938-R938)</f>
        <v/>
      </c>
      <c r="T938">
        <f>IF(J938="","",IFERROR(IF(K938="",NA(),MATCH(K938,Products!$B$5:$B$204,0)),IFERROR(MATCH(J938,Products!$A$5:$A$204,0),"")))</f>
        <v/>
      </c>
      <c r="U938">
        <f>IF(J938="","",IF(T938="","⚠ not in Products",INDEX(Products!$A$5:$A$204,T938)))</f>
        <v/>
      </c>
      <c r="V938" s="11">
        <f>IF(J938="","",S938*(IFERROR(INDEX(Settings!$B$5:$B$9,MATCH($B938,Settings!$A$5:$A$9,0)),0)+IFERROR(INDEX(Settings!$E$5:$E$9,MATCH($B938,Settings!$A$5:$A$9,0)),0)+IFERROR(INDEX(Settings!$G$5:$G$9,MATCH($B938,Settings!$A$5:$A$9,0)),0))+(IFERROR(INDEX(Settings!$C$5:$C$9,MATCH($B938,Settings!$A$5:$A$9,0)),0)+IFERROR(INDEX(Settings!$F$5:$F$9,MATCH($B938,Settings!$A$5:$A$9,0)),0))/P938+IFERROR(INDEX(Settings!$D$5:$D$9,MATCH($B938,Settings!$A$5:$A$9,0)),0)*M938)</f>
        <v/>
      </c>
      <c r="W938" s="11">
        <f>IF(J938="","",IF(T938="",0,M938*INDEX(Products!$I$5:$I$204,T938)))</f>
        <v/>
      </c>
      <c r="X938" s="11">
        <f>IF(J938="","",IF(T938="",0,S938*INDEX(Products!$H$5:$H$204,T938)))</f>
        <v/>
      </c>
      <c r="Y938" s="11">
        <f>IF(J938="","",S938-V938-W938-X938)</f>
        <v/>
      </c>
    </row>
    <row r="939">
      <c r="A939" s="19" t="n"/>
      <c r="B939" s="19" t="n"/>
      <c r="C939" s="19" t="n"/>
      <c r="D939" s="19" t="n"/>
      <c r="E939" s="19" t="n"/>
      <c r="F939" s="20" t="n"/>
      <c r="G939" s="20" t="n"/>
      <c r="H939" s="20" t="n"/>
      <c r="I939" s="19" t="n"/>
      <c r="J939">
        <f>IFERROR(IF(C939="","",C939)&amp;"","")</f>
        <v/>
      </c>
      <c r="K939">
        <f>IFERROR(IF(D939="","",D939)&amp;"","")</f>
        <v/>
      </c>
      <c r="L939">
        <f>IFERROR(IF(I939="","",I939)&amp;"","")</f>
        <v/>
      </c>
      <c r="M939">
        <f>IF(J939="","",IFERROR(VALUE(SUBSTITUTE(SUBSTITUTE(IF(E939="","",E939)&amp;"","$",""),",","")),0))</f>
        <v/>
      </c>
      <c r="N939" s="11">
        <f>IF(J939="","",IFERROR(VALUE(SUBSTITUTE(SUBSTITUTE(IF(F939="","",F939)&amp;"","$",""),",","")),0))</f>
        <v/>
      </c>
      <c r="O939" s="11">
        <f>IF(J939="","",M939*N939)</f>
        <v/>
      </c>
      <c r="P939">
        <f>IF(J939="","",IF(L939="",1,COUNTIF($L$2:$L$1501,L939)))</f>
        <v/>
      </c>
      <c r="Q939" s="11">
        <f>IF(J939="","",IFERROR(VALUE(SUBSTITUTE(SUBSTITUTE(IF(G939="","",G939)&amp;"","$",""),",","")),0)/IF("No"="Yes",P939,1))</f>
        <v/>
      </c>
      <c r="R939" s="11">
        <f>IF(J939="","",IFERROR(VALUE(SUBSTITUTE(SUBSTITUTE(IF(H939="","",H939)&amp;"","$",""),",","")),0)/IF("No"="Yes",P939,1))</f>
        <v/>
      </c>
      <c r="S939" s="11">
        <f>IF(J939="","",O939+Q939-R939)</f>
        <v/>
      </c>
      <c r="T939">
        <f>IF(J939="","",IFERROR(IF(K939="",NA(),MATCH(K939,Products!$B$5:$B$204,0)),IFERROR(MATCH(J939,Products!$A$5:$A$204,0),"")))</f>
        <v/>
      </c>
      <c r="U939">
        <f>IF(J939="","",IF(T939="","⚠ not in Products",INDEX(Products!$A$5:$A$204,T939)))</f>
        <v/>
      </c>
      <c r="V939" s="11">
        <f>IF(J939="","",S939*(IFERROR(INDEX(Settings!$B$5:$B$9,MATCH($B939,Settings!$A$5:$A$9,0)),0)+IFERROR(INDEX(Settings!$E$5:$E$9,MATCH($B939,Settings!$A$5:$A$9,0)),0)+IFERROR(INDEX(Settings!$G$5:$G$9,MATCH($B939,Settings!$A$5:$A$9,0)),0))+(IFERROR(INDEX(Settings!$C$5:$C$9,MATCH($B939,Settings!$A$5:$A$9,0)),0)+IFERROR(INDEX(Settings!$F$5:$F$9,MATCH($B939,Settings!$A$5:$A$9,0)),0))/P939+IFERROR(INDEX(Settings!$D$5:$D$9,MATCH($B939,Settings!$A$5:$A$9,0)),0)*M939)</f>
        <v/>
      </c>
      <c r="W939" s="11">
        <f>IF(J939="","",IF(T939="",0,M939*INDEX(Products!$I$5:$I$204,T939)))</f>
        <v/>
      </c>
      <c r="X939" s="11">
        <f>IF(J939="","",IF(T939="",0,S939*INDEX(Products!$H$5:$H$204,T939)))</f>
        <v/>
      </c>
      <c r="Y939" s="11">
        <f>IF(J939="","",S939-V939-W939-X939)</f>
        <v/>
      </c>
    </row>
    <row r="940">
      <c r="A940" s="19" t="n"/>
      <c r="B940" s="19" t="n"/>
      <c r="C940" s="19" t="n"/>
      <c r="D940" s="19" t="n"/>
      <c r="E940" s="19" t="n"/>
      <c r="F940" s="20" t="n"/>
      <c r="G940" s="20" t="n"/>
      <c r="H940" s="20" t="n"/>
      <c r="I940" s="19" t="n"/>
      <c r="J940">
        <f>IFERROR(IF(C940="","",C940)&amp;"","")</f>
        <v/>
      </c>
      <c r="K940">
        <f>IFERROR(IF(D940="","",D940)&amp;"","")</f>
        <v/>
      </c>
      <c r="L940">
        <f>IFERROR(IF(I940="","",I940)&amp;"","")</f>
        <v/>
      </c>
      <c r="M940">
        <f>IF(J940="","",IFERROR(VALUE(SUBSTITUTE(SUBSTITUTE(IF(E940="","",E940)&amp;"","$",""),",","")),0))</f>
        <v/>
      </c>
      <c r="N940" s="11">
        <f>IF(J940="","",IFERROR(VALUE(SUBSTITUTE(SUBSTITUTE(IF(F940="","",F940)&amp;"","$",""),",","")),0))</f>
        <v/>
      </c>
      <c r="O940" s="11">
        <f>IF(J940="","",M940*N940)</f>
        <v/>
      </c>
      <c r="P940">
        <f>IF(J940="","",IF(L940="",1,COUNTIF($L$2:$L$1501,L940)))</f>
        <v/>
      </c>
      <c r="Q940" s="11">
        <f>IF(J940="","",IFERROR(VALUE(SUBSTITUTE(SUBSTITUTE(IF(G940="","",G940)&amp;"","$",""),",","")),0)/IF("No"="Yes",P940,1))</f>
        <v/>
      </c>
      <c r="R940" s="11">
        <f>IF(J940="","",IFERROR(VALUE(SUBSTITUTE(SUBSTITUTE(IF(H940="","",H940)&amp;"","$",""),",","")),0)/IF("No"="Yes",P940,1))</f>
        <v/>
      </c>
      <c r="S940" s="11">
        <f>IF(J940="","",O940+Q940-R940)</f>
        <v/>
      </c>
      <c r="T940">
        <f>IF(J940="","",IFERROR(IF(K940="",NA(),MATCH(K940,Products!$B$5:$B$204,0)),IFERROR(MATCH(J940,Products!$A$5:$A$204,0),"")))</f>
        <v/>
      </c>
      <c r="U940">
        <f>IF(J940="","",IF(T940="","⚠ not in Products",INDEX(Products!$A$5:$A$204,T940)))</f>
        <v/>
      </c>
      <c r="V940" s="11">
        <f>IF(J940="","",S940*(IFERROR(INDEX(Settings!$B$5:$B$9,MATCH($B940,Settings!$A$5:$A$9,0)),0)+IFERROR(INDEX(Settings!$E$5:$E$9,MATCH($B940,Settings!$A$5:$A$9,0)),0)+IFERROR(INDEX(Settings!$G$5:$G$9,MATCH($B940,Settings!$A$5:$A$9,0)),0))+(IFERROR(INDEX(Settings!$C$5:$C$9,MATCH($B940,Settings!$A$5:$A$9,0)),0)+IFERROR(INDEX(Settings!$F$5:$F$9,MATCH($B940,Settings!$A$5:$A$9,0)),0))/P940+IFERROR(INDEX(Settings!$D$5:$D$9,MATCH($B940,Settings!$A$5:$A$9,0)),0)*M940)</f>
        <v/>
      </c>
      <c r="W940" s="11">
        <f>IF(J940="","",IF(T940="",0,M940*INDEX(Products!$I$5:$I$204,T940)))</f>
        <v/>
      </c>
      <c r="X940" s="11">
        <f>IF(J940="","",IF(T940="",0,S940*INDEX(Products!$H$5:$H$204,T940)))</f>
        <v/>
      </c>
      <c r="Y940" s="11">
        <f>IF(J940="","",S940-V940-W940-X940)</f>
        <v/>
      </c>
    </row>
    <row r="941">
      <c r="A941" s="19" t="n"/>
      <c r="B941" s="19" t="n"/>
      <c r="C941" s="19" t="n"/>
      <c r="D941" s="19" t="n"/>
      <c r="E941" s="19" t="n"/>
      <c r="F941" s="20" t="n"/>
      <c r="G941" s="20" t="n"/>
      <c r="H941" s="20" t="n"/>
      <c r="I941" s="19" t="n"/>
      <c r="J941">
        <f>IFERROR(IF(C941="","",C941)&amp;"","")</f>
        <v/>
      </c>
      <c r="K941">
        <f>IFERROR(IF(D941="","",D941)&amp;"","")</f>
        <v/>
      </c>
      <c r="L941">
        <f>IFERROR(IF(I941="","",I941)&amp;"","")</f>
        <v/>
      </c>
      <c r="M941">
        <f>IF(J941="","",IFERROR(VALUE(SUBSTITUTE(SUBSTITUTE(IF(E941="","",E941)&amp;"","$",""),",","")),0))</f>
        <v/>
      </c>
      <c r="N941" s="11">
        <f>IF(J941="","",IFERROR(VALUE(SUBSTITUTE(SUBSTITUTE(IF(F941="","",F941)&amp;"","$",""),",","")),0))</f>
        <v/>
      </c>
      <c r="O941" s="11">
        <f>IF(J941="","",M941*N941)</f>
        <v/>
      </c>
      <c r="P941">
        <f>IF(J941="","",IF(L941="",1,COUNTIF($L$2:$L$1501,L941)))</f>
        <v/>
      </c>
      <c r="Q941" s="11">
        <f>IF(J941="","",IFERROR(VALUE(SUBSTITUTE(SUBSTITUTE(IF(G941="","",G941)&amp;"","$",""),",","")),0)/IF("No"="Yes",P941,1))</f>
        <v/>
      </c>
      <c r="R941" s="11">
        <f>IF(J941="","",IFERROR(VALUE(SUBSTITUTE(SUBSTITUTE(IF(H941="","",H941)&amp;"","$",""),",","")),0)/IF("No"="Yes",P941,1))</f>
        <v/>
      </c>
      <c r="S941" s="11">
        <f>IF(J941="","",O941+Q941-R941)</f>
        <v/>
      </c>
      <c r="T941">
        <f>IF(J941="","",IFERROR(IF(K941="",NA(),MATCH(K941,Products!$B$5:$B$204,0)),IFERROR(MATCH(J941,Products!$A$5:$A$204,0),"")))</f>
        <v/>
      </c>
      <c r="U941">
        <f>IF(J941="","",IF(T941="","⚠ not in Products",INDEX(Products!$A$5:$A$204,T941)))</f>
        <v/>
      </c>
      <c r="V941" s="11">
        <f>IF(J941="","",S941*(IFERROR(INDEX(Settings!$B$5:$B$9,MATCH($B941,Settings!$A$5:$A$9,0)),0)+IFERROR(INDEX(Settings!$E$5:$E$9,MATCH($B941,Settings!$A$5:$A$9,0)),0)+IFERROR(INDEX(Settings!$G$5:$G$9,MATCH($B941,Settings!$A$5:$A$9,0)),0))+(IFERROR(INDEX(Settings!$C$5:$C$9,MATCH($B941,Settings!$A$5:$A$9,0)),0)+IFERROR(INDEX(Settings!$F$5:$F$9,MATCH($B941,Settings!$A$5:$A$9,0)),0))/P941+IFERROR(INDEX(Settings!$D$5:$D$9,MATCH($B941,Settings!$A$5:$A$9,0)),0)*M941)</f>
        <v/>
      </c>
      <c r="W941" s="11">
        <f>IF(J941="","",IF(T941="",0,M941*INDEX(Products!$I$5:$I$204,T941)))</f>
        <v/>
      </c>
      <c r="X941" s="11">
        <f>IF(J941="","",IF(T941="",0,S941*INDEX(Products!$H$5:$H$204,T941)))</f>
        <v/>
      </c>
      <c r="Y941" s="11">
        <f>IF(J941="","",S941-V941-W941-X941)</f>
        <v/>
      </c>
    </row>
    <row r="942">
      <c r="A942" s="19" t="n"/>
      <c r="B942" s="19" t="n"/>
      <c r="C942" s="19" t="n"/>
      <c r="D942" s="19" t="n"/>
      <c r="E942" s="19" t="n"/>
      <c r="F942" s="20" t="n"/>
      <c r="G942" s="20" t="n"/>
      <c r="H942" s="20" t="n"/>
      <c r="I942" s="19" t="n"/>
      <c r="J942">
        <f>IFERROR(IF(C942="","",C942)&amp;"","")</f>
        <v/>
      </c>
      <c r="K942">
        <f>IFERROR(IF(D942="","",D942)&amp;"","")</f>
        <v/>
      </c>
      <c r="L942">
        <f>IFERROR(IF(I942="","",I942)&amp;"","")</f>
        <v/>
      </c>
      <c r="M942">
        <f>IF(J942="","",IFERROR(VALUE(SUBSTITUTE(SUBSTITUTE(IF(E942="","",E942)&amp;"","$",""),",","")),0))</f>
        <v/>
      </c>
      <c r="N942" s="11">
        <f>IF(J942="","",IFERROR(VALUE(SUBSTITUTE(SUBSTITUTE(IF(F942="","",F942)&amp;"","$",""),",","")),0))</f>
        <v/>
      </c>
      <c r="O942" s="11">
        <f>IF(J942="","",M942*N942)</f>
        <v/>
      </c>
      <c r="P942">
        <f>IF(J942="","",IF(L942="",1,COUNTIF($L$2:$L$1501,L942)))</f>
        <v/>
      </c>
      <c r="Q942" s="11">
        <f>IF(J942="","",IFERROR(VALUE(SUBSTITUTE(SUBSTITUTE(IF(G942="","",G942)&amp;"","$",""),",","")),0)/IF("No"="Yes",P942,1))</f>
        <v/>
      </c>
      <c r="R942" s="11">
        <f>IF(J942="","",IFERROR(VALUE(SUBSTITUTE(SUBSTITUTE(IF(H942="","",H942)&amp;"","$",""),",","")),0)/IF("No"="Yes",P942,1))</f>
        <v/>
      </c>
      <c r="S942" s="11">
        <f>IF(J942="","",O942+Q942-R942)</f>
        <v/>
      </c>
      <c r="T942">
        <f>IF(J942="","",IFERROR(IF(K942="",NA(),MATCH(K942,Products!$B$5:$B$204,0)),IFERROR(MATCH(J942,Products!$A$5:$A$204,0),"")))</f>
        <v/>
      </c>
      <c r="U942">
        <f>IF(J942="","",IF(T942="","⚠ not in Products",INDEX(Products!$A$5:$A$204,T942)))</f>
        <v/>
      </c>
      <c r="V942" s="11">
        <f>IF(J942="","",S942*(IFERROR(INDEX(Settings!$B$5:$B$9,MATCH($B942,Settings!$A$5:$A$9,0)),0)+IFERROR(INDEX(Settings!$E$5:$E$9,MATCH($B942,Settings!$A$5:$A$9,0)),0)+IFERROR(INDEX(Settings!$G$5:$G$9,MATCH($B942,Settings!$A$5:$A$9,0)),0))+(IFERROR(INDEX(Settings!$C$5:$C$9,MATCH($B942,Settings!$A$5:$A$9,0)),0)+IFERROR(INDEX(Settings!$F$5:$F$9,MATCH($B942,Settings!$A$5:$A$9,0)),0))/P942+IFERROR(INDEX(Settings!$D$5:$D$9,MATCH($B942,Settings!$A$5:$A$9,0)),0)*M942)</f>
        <v/>
      </c>
      <c r="W942" s="11">
        <f>IF(J942="","",IF(T942="",0,M942*INDEX(Products!$I$5:$I$204,T942)))</f>
        <v/>
      </c>
      <c r="X942" s="11">
        <f>IF(J942="","",IF(T942="",0,S942*INDEX(Products!$H$5:$H$204,T942)))</f>
        <v/>
      </c>
      <c r="Y942" s="11">
        <f>IF(J942="","",S942-V942-W942-X942)</f>
        <v/>
      </c>
    </row>
    <row r="943">
      <c r="A943" s="19" t="n"/>
      <c r="B943" s="19" t="n"/>
      <c r="C943" s="19" t="n"/>
      <c r="D943" s="19" t="n"/>
      <c r="E943" s="19" t="n"/>
      <c r="F943" s="20" t="n"/>
      <c r="G943" s="20" t="n"/>
      <c r="H943" s="20" t="n"/>
      <c r="I943" s="19" t="n"/>
      <c r="J943">
        <f>IFERROR(IF(C943="","",C943)&amp;"","")</f>
        <v/>
      </c>
      <c r="K943">
        <f>IFERROR(IF(D943="","",D943)&amp;"","")</f>
        <v/>
      </c>
      <c r="L943">
        <f>IFERROR(IF(I943="","",I943)&amp;"","")</f>
        <v/>
      </c>
      <c r="M943">
        <f>IF(J943="","",IFERROR(VALUE(SUBSTITUTE(SUBSTITUTE(IF(E943="","",E943)&amp;"","$",""),",","")),0))</f>
        <v/>
      </c>
      <c r="N943" s="11">
        <f>IF(J943="","",IFERROR(VALUE(SUBSTITUTE(SUBSTITUTE(IF(F943="","",F943)&amp;"","$",""),",","")),0))</f>
        <v/>
      </c>
      <c r="O943" s="11">
        <f>IF(J943="","",M943*N943)</f>
        <v/>
      </c>
      <c r="P943">
        <f>IF(J943="","",IF(L943="",1,COUNTIF($L$2:$L$1501,L943)))</f>
        <v/>
      </c>
      <c r="Q943" s="11">
        <f>IF(J943="","",IFERROR(VALUE(SUBSTITUTE(SUBSTITUTE(IF(G943="","",G943)&amp;"","$",""),",","")),0)/IF("No"="Yes",P943,1))</f>
        <v/>
      </c>
      <c r="R943" s="11">
        <f>IF(J943="","",IFERROR(VALUE(SUBSTITUTE(SUBSTITUTE(IF(H943="","",H943)&amp;"","$",""),",","")),0)/IF("No"="Yes",P943,1))</f>
        <v/>
      </c>
      <c r="S943" s="11">
        <f>IF(J943="","",O943+Q943-R943)</f>
        <v/>
      </c>
      <c r="T943">
        <f>IF(J943="","",IFERROR(IF(K943="",NA(),MATCH(K943,Products!$B$5:$B$204,0)),IFERROR(MATCH(J943,Products!$A$5:$A$204,0),"")))</f>
        <v/>
      </c>
      <c r="U943">
        <f>IF(J943="","",IF(T943="","⚠ not in Products",INDEX(Products!$A$5:$A$204,T943)))</f>
        <v/>
      </c>
      <c r="V943" s="11">
        <f>IF(J943="","",S943*(IFERROR(INDEX(Settings!$B$5:$B$9,MATCH($B943,Settings!$A$5:$A$9,0)),0)+IFERROR(INDEX(Settings!$E$5:$E$9,MATCH($B943,Settings!$A$5:$A$9,0)),0)+IFERROR(INDEX(Settings!$G$5:$G$9,MATCH($B943,Settings!$A$5:$A$9,0)),0))+(IFERROR(INDEX(Settings!$C$5:$C$9,MATCH($B943,Settings!$A$5:$A$9,0)),0)+IFERROR(INDEX(Settings!$F$5:$F$9,MATCH($B943,Settings!$A$5:$A$9,0)),0))/P943+IFERROR(INDEX(Settings!$D$5:$D$9,MATCH($B943,Settings!$A$5:$A$9,0)),0)*M943)</f>
        <v/>
      </c>
      <c r="W943" s="11">
        <f>IF(J943="","",IF(T943="",0,M943*INDEX(Products!$I$5:$I$204,T943)))</f>
        <v/>
      </c>
      <c r="X943" s="11">
        <f>IF(J943="","",IF(T943="",0,S943*INDEX(Products!$H$5:$H$204,T943)))</f>
        <v/>
      </c>
      <c r="Y943" s="11">
        <f>IF(J943="","",S943-V943-W943-X943)</f>
        <v/>
      </c>
    </row>
    <row r="944">
      <c r="A944" s="19" t="n"/>
      <c r="B944" s="19" t="n"/>
      <c r="C944" s="19" t="n"/>
      <c r="D944" s="19" t="n"/>
      <c r="E944" s="19" t="n"/>
      <c r="F944" s="20" t="n"/>
      <c r="G944" s="20" t="n"/>
      <c r="H944" s="20" t="n"/>
      <c r="I944" s="19" t="n"/>
      <c r="J944">
        <f>IFERROR(IF(C944="","",C944)&amp;"","")</f>
        <v/>
      </c>
      <c r="K944">
        <f>IFERROR(IF(D944="","",D944)&amp;"","")</f>
        <v/>
      </c>
      <c r="L944">
        <f>IFERROR(IF(I944="","",I944)&amp;"","")</f>
        <v/>
      </c>
      <c r="M944">
        <f>IF(J944="","",IFERROR(VALUE(SUBSTITUTE(SUBSTITUTE(IF(E944="","",E944)&amp;"","$",""),",","")),0))</f>
        <v/>
      </c>
      <c r="N944" s="11">
        <f>IF(J944="","",IFERROR(VALUE(SUBSTITUTE(SUBSTITUTE(IF(F944="","",F944)&amp;"","$",""),",","")),0))</f>
        <v/>
      </c>
      <c r="O944" s="11">
        <f>IF(J944="","",M944*N944)</f>
        <v/>
      </c>
      <c r="P944">
        <f>IF(J944="","",IF(L944="",1,COUNTIF($L$2:$L$1501,L944)))</f>
        <v/>
      </c>
      <c r="Q944" s="11">
        <f>IF(J944="","",IFERROR(VALUE(SUBSTITUTE(SUBSTITUTE(IF(G944="","",G944)&amp;"","$",""),",","")),0)/IF("No"="Yes",P944,1))</f>
        <v/>
      </c>
      <c r="R944" s="11">
        <f>IF(J944="","",IFERROR(VALUE(SUBSTITUTE(SUBSTITUTE(IF(H944="","",H944)&amp;"","$",""),",","")),0)/IF("No"="Yes",P944,1))</f>
        <v/>
      </c>
      <c r="S944" s="11">
        <f>IF(J944="","",O944+Q944-R944)</f>
        <v/>
      </c>
      <c r="T944">
        <f>IF(J944="","",IFERROR(IF(K944="",NA(),MATCH(K944,Products!$B$5:$B$204,0)),IFERROR(MATCH(J944,Products!$A$5:$A$204,0),"")))</f>
        <v/>
      </c>
      <c r="U944">
        <f>IF(J944="","",IF(T944="","⚠ not in Products",INDEX(Products!$A$5:$A$204,T944)))</f>
        <v/>
      </c>
      <c r="V944" s="11">
        <f>IF(J944="","",S944*(IFERROR(INDEX(Settings!$B$5:$B$9,MATCH($B944,Settings!$A$5:$A$9,0)),0)+IFERROR(INDEX(Settings!$E$5:$E$9,MATCH($B944,Settings!$A$5:$A$9,0)),0)+IFERROR(INDEX(Settings!$G$5:$G$9,MATCH($B944,Settings!$A$5:$A$9,0)),0))+(IFERROR(INDEX(Settings!$C$5:$C$9,MATCH($B944,Settings!$A$5:$A$9,0)),0)+IFERROR(INDEX(Settings!$F$5:$F$9,MATCH($B944,Settings!$A$5:$A$9,0)),0))/P944+IFERROR(INDEX(Settings!$D$5:$D$9,MATCH($B944,Settings!$A$5:$A$9,0)),0)*M944)</f>
        <v/>
      </c>
      <c r="W944" s="11">
        <f>IF(J944="","",IF(T944="",0,M944*INDEX(Products!$I$5:$I$204,T944)))</f>
        <v/>
      </c>
      <c r="X944" s="11">
        <f>IF(J944="","",IF(T944="",0,S944*INDEX(Products!$H$5:$H$204,T944)))</f>
        <v/>
      </c>
      <c r="Y944" s="11">
        <f>IF(J944="","",S944-V944-W944-X944)</f>
        <v/>
      </c>
    </row>
    <row r="945">
      <c r="A945" s="19" t="n"/>
      <c r="B945" s="19" t="n"/>
      <c r="C945" s="19" t="n"/>
      <c r="D945" s="19" t="n"/>
      <c r="E945" s="19" t="n"/>
      <c r="F945" s="20" t="n"/>
      <c r="G945" s="20" t="n"/>
      <c r="H945" s="20" t="n"/>
      <c r="I945" s="19" t="n"/>
      <c r="J945">
        <f>IFERROR(IF(C945="","",C945)&amp;"","")</f>
        <v/>
      </c>
      <c r="K945">
        <f>IFERROR(IF(D945="","",D945)&amp;"","")</f>
        <v/>
      </c>
      <c r="L945">
        <f>IFERROR(IF(I945="","",I945)&amp;"","")</f>
        <v/>
      </c>
      <c r="M945">
        <f>IF(J945="","",IFERROR(VALUE(SUBSTITUTE(SUBSTITUTE(IF(E945="","",E945)&amp;"","$",""),",","")),0))</f>
        <v/>
      </c>
      <c r="N945" s="11">
        <f>IF(J945="","",IFERROR(VALUE(SUBSTITUTE(SUBSTITUTE(IF(F945="","",F945)&amp;"","$",""),",","")),0))</f>
        <v/>
      </c>
      <c r="O945" s="11">
        <f>IF(J945="","",M945*N945)</f>
        <v/>
      </c>
      <c r="P945">
        <f>IF(J945="","",IF(L945="",1,COUNTIF($L$2:$L$1501,L945)))</f>
        <v/>
      </c>
      <c r="Q945" s="11">
        <f>IF(J945="","",IFERROR(VALUE(SUBSTITUTE(SUBSTITUTE(IF(G945="","",G945)&amp;"","$",""),",","")),0)/IF("No"="Yes",P945,1))</f>
        <v/>
      </c>
      <c r="R945" s="11">
        <f>IF(J945="","",IFERROR(VALUE(SUBSTITUTE(SUBSTITUTE(IF(H945="","",H945)&amp;"","$",""),",","")),0)/IF("No"="Yes",P945,1))</f>
        <v/>
      </c>
      <c r="S945" s="11">
        <f>IF(J945="","",O945+Q945-R945)</f>
        <v/>
      </c>
      <c r="T945">
        <f>IF(J945="","",IFERROR(IF(K945="",NA(),MATCH(K945,Products!$B$5:$B$204,0)),IFERROR(MATCH(J945,Products!$A$5:$A$204,0),"")))</f>
        <v/>
      </c>
      <c r="U945">
        <f>IF(J945="","",IF(T945="","⚠ not in Products",INDEX(Products!$A$5:$A$204,T945)))</f>
        <v/>
      </c>
      <c r="V945" s="11">
        <f>IF(J945="","",S945*(IFERROR(INDEX(Settings!$B$5:$B$9,MATCH($B945,Settings!$A$5:$A$9,0)),0)+IFERROR(INDEX(Settings!$E$5:$E$9,MATCH($B945,Settings!$A$5:$A$9,0)),0)+IFERROR(INDEX(Settings!$G$5:$G$9,MATCH($B945,Settings!$A$5:$A$9,0)),0))+(IFERROR(INDEX(Settings!$C$5:$C$9,MATCH($B945,Settings!$A$5:$A$9,0)),0)+IFERROR(INDEX(Settings!$F$5:$F$9,MATCH($B945,Settings!$A$5:$A$9,0)),0))/P945+IFERROR(INDEX(Settings!$D$5:$D$9,MATCH($B945,Settings!$A$5:$A$9,0)),0)*M945)</f>
        <v/>
      </c>
      <c r="W945" s="11">
        <f>IF(J945="","",IF(T945="",0,M945*INDEX(Products!$I$5:$I$204,T945)))</f>
        <v/>
      </c>
      <c r="X945" s="11">
        <f>IF(J945="","",IF(T945="",0,S945*INDEX(Products!$H$5:$H$204,T945)))</f>
        <v/>
      </c>
      <c r="Y945" s="11">
        <f>IF(J945="","",S945-V945-W945-X945)</f>
        <v/>
      </c>
    </row>
    <row r="946">
      <c r="A946" s="19" t="n"/>
      <c r="B946" s="19" t="n"/>
      <c r="C946" s="19" t="n"/>
      <c r="D946" s="19" t="n"/>
      <c r="E946" s="19" t="n"/>
      <c r="F946" s="20" t="n"/>
      <c r="G946" s="20" t="n"/>
      <c r="H946" s="20" t="n"/>
      <c r="I946" s="19" t="n"/>
      <c r="J946">
        <f>IFERROR(IF(C946="","",C946)&amp;"","")</f>
        <v/>
      </c>
      <c r="K946">
        <f>IFERROR(IF(D946="","",D946)&amp;"","")</f>
        <v/>
      </c>
      <c r="L946">
        <f>IFERROR(IF(I946="","",I946)&amp;"","")</f>
        <v/>
      </c>
      <c r="M946">
        <f>IF(J946="","",IFERROR(VALUE(SUBSTITUTE(SUBSTITUTE(IF(E946="","",E946)&amp;"","$",""),",","")),0))</f>
        <v/>
      </c>
      <c r="N946" s="11">
        <f>IF(J946="","",IFERROR(VALUE(SUBSTITUTE(SUBSTITUTE(IF(F946="","",F946)&amp;"","$",""),",","")),0))</f>
        <v/>
      </c>
      <c r="O946" s="11">
        <f>IF(J946="","",M946*N946)</f>
        <v/>
      </c>
      <c r="P946">
        <f>IF(J946="","",IF(L946="",1,COUNTIF($L$2:$L$1501,L946)))</f>
        <v/>
      </c>
      <c r="Q946" s="11">
        <f>IF(J946="","",IFERROR(VALUE(SUBSTITUTE(SUBSTITUTE(IF(G946="","",G946)&amp;"","$",""),",","")),0)/IF("No"="Yes",P946,1))</f>
        <v/>
      </c>
      <c r="R946" s="11">
        <f>IF(J946="","",IFERROR(VALUE(SUBSTITUTE(SUBSTITUTE(IF(H946="","",H946)&amp;"","$",""),",","")),0)/IF("No"="Yes",P946,1))</f>
        <v/>
      </c>
      <c r="S946" s="11">
        <f>IF(J946="","",O946+Q946-R946)</f>
        <v/>
      </c>
      <c r="T946">
        <f>IF(J946="","",IFERROR(IF(K946="",NA(),MATCH(K946,Products!$B$5:$B$204,0)),IFERROR(MATCH(J946,Products!$A$5:$A$204,0),"")))</f>
        <v/>
      </c>
      <c r="U946">
        <f>IF(J946="","",IF(T946="","⚠ not in Products",INDEX(Products!$A$5:$A$204,T946)))</f>
        <v/>
      </c>
      <c r="V946" s="11">
        <f>IF(J946="","",S946*(IFERROR(INDEX(Settings!$B$5:$B$9,MATCH($B946,Settings!$A$5:$A$9,0)),0)+IFERROR(INDEX(Settings!$E$5:$E$9,MATCH($B946,Settings!$A$5:$A$9,0)),0)+IFERROR(INDEX(Settings!$G$5:$G$9,MATCH($B946,Settings!$A$5:$A$9,0)),0))+(IFERROR(INDEX(Settings!$C$5:$C$9,MATCH($B946,Settings!$A$5:$A$9,0)),0)+IFERROR(INDEX(Settings!$F$5:$F$9,MATCH($B946,Settings!$A$5:$A$9,0)),0))/P946+IFERROR(INDEX(Settings!$D$5:$D$9,MATCH($B946,Settings!$A$5:$A$9,0)),0)*M946)</f>
        <v/>
      </c>
      <c r="W946" s="11">
        <f>IF(J946="","",IF(T946="",0,M946*INDEX(Products!$I$5:$I$204,T946)))</f>
        <v/>
      </c>
      <c r="X946" s="11">
        <f>IF(J946="","",IF(T946="",0,S946*INDEX(Products!$H$5:$H$204,T946)))</f>
        <v/>
      </c>
      <c r="Y946" s="11">
        <f>IF(J946="","",S946-V946-W946-X946)</f>
        <v/>
      </c>
    </row>
    <row r="947">
      <c r="A947" s="19" t="n"/>
      <c r="B947" s="19" t="n"/>
      <c r="C947" s="19" t="n"/>
      <c r="D947" s="19" t="n"/>
      <c r="E947" s="19" t="n"/>
      <c r="F947" s="20" t="n"/>
      <c r="G947" s="20" t="n"/>
      <c r="H947" s="20" t="n"/>
      <c r="I947" s="19" t="n"/>
      <c r="J947">
        <f>IFERROR(IF(C947="","",C947)&amp;"","")</f>
        <v/>
      </c>
      <c r="K947">
        <f>IFERROR(IF(D947="","",D947)&amp;"","")</f>
        <v/>
      </c>
      <c r="L947">
        <f>IFERROR(IF(I947="","",I947)&amp;"","")</f>
        <v/>
      </c>
      <c r="M947">
        <f>IF(J947="","",IFERROR(VALUE(SUBSTITUTE(SUBSTITUTE(IF(E947="","",E947)&amp;"","$",""),",","")),0))</f>
        <v/>
      </c>
      <c r="N947" s="11">
        <f>IF(J947="","",IFERROR(VALUE(SUBSTITUTE(SUBSTITUTE(IF(F947="","",F947)&amp;"","$",""),",","")),0))</f>
        <v/>
      </c>
      <c r="O947" s="11">
        <f>IF(J947="","",M947*N947)</f>
        <v/>
      </c>
      <c r="P947">
        <f>IF(J947="","",IF(L947="",1,COUNTIF($L$2:$L$1501,L947)))</f>
        <v/>
      </c>
      <c r="Q947" s="11">
        <f>IF(J947="","",IFERROR(VALUE(SUBSTITUTE(SUBSTITUTE(IF(G947="","",G947)&amp;"","$",""),",","")),0)/IF("No"="Yes",P947,1))</f>
        <v/>
      </c>
      <c r="R947" s="11">
        <f>IF(J947="","",IFERROR(VALUE(SUBSTITUTE(SUBSTITUTE(IF(H947="","",H947)&amp;"","$",""),",","")),0)/IF("No"="Yes",P947,1))</f>
        <v/>
      </c>
      <c r="S947" s="11">
        <f>IF(J947="","",O947+Q947-R947)</f>
        <v/>
      </c>
      <c r="T947">
        <f>IF(J947="","",IFERROR(IF(K947="",NA(),MATCH(K947,Products!$B$5:$B$204,0)),IFERROR(MATCH(J947,Products!$A$5:$A$204,0),"")))</f>
        <v/>
      </c>
      <c r="U947">
        <f>IF(J947="","",IF(T947="","⚠ not in Products",INDEX(Products!$A$5:$A$204,T947)))</f>
        <v/>
      </c>
      <c r="V947" s="11">
        <f>IF(J947="","",S947*(IFERROR(INDEX(Settings!$B$5:$B$9,MATCH($B947,Settings!$A$5:$A$9,0)),0)+IFERROR(INDEX(Settings!$E$5:$E$9,MATCH($B947,Settings!$A$5:$A$9,0)),0)+IFERROR(INDEX(Settings!$G$5:$G$9,MATCH($B947,Settings!$A$5:$A$9,0)),0))+(IFERROR(INDEX(Settings!$C$5:$C$9,MATCH($B947,Settings!$A$5:$A$9,0)),0)+IFERROR(INDEX(Settings!$F$5:$F$9,MATCH($B947,Settings!$A$5:$A$9,0)),0))/P947+IFERROR(INDEX(Settings!$D$5:$D$9,MATCH($B947,Settings!$A$5:$A$9,0)),0)*M947)</f>
        <v/>
      </c>
      <c r="W947" s="11">
        <f>IF(J947="","",IF(T947="",0,M947*INDEX(Products!$I$5:$I$204,T947)))</f>
        <v/>
      </c>
      <c r="X947" s="11">
        <f>IF(J947="","",IF(T947="",0,S947*INDEX(Products!$H$5:$H$204,T947)))</f>
        <v/>
      </c>
      <c r="Y947" s="11">
        <f>IF(J947="","",S947-V947-W947-X947)</f>
        <v/>
      </c>
    </row>
    <row r="948">
      <c r="A948" s="19" t="n"/>
      <c r="B948" s="19" t="n"/>
      <c r="C948" s="19" t="n"/>
      <c r="D948" s="19" t="n"/>
      <c r="E948" s="19" t="n"/>
      <c r="F948" s="20" t="n"/>
      <c r="G948" s="20" t="n"/>
      <c r="H948" s="20" t="n"/>
      <c r="I948" s="19" t="n"/>
      <c r="J948">
        <f>IFERROR(IF(C948="","",C948)&amp;"","")</f>
        <v/>
      </c>
      <c r="K948">
        <f>IFERROR(IF(D948="","",D948)&amp;"","")</f>
        <v/>
      </c>
      <c r="L948">
        <f>IFERROR(IF(I948="","",I948)&amp;"","")</f>
        <v/>
      </c>
      <c r="M948">
        <f>IF(J948="","",IFERROR(VALUE(SUBSTITUTE(SUBSTITUTE(IF(E948="","",E948)&amp;"","$",""),",","")),0))</f>
        <v/>
      </c>
      <c r="N948" s="11">
        <f>IF(J948="","",IFERROR(VALUE(SUBSTITUTE(SUBSTITUTE(IF(F948="","",F948)&amp;"","$",""),",","")),0))</f>
        <v/>
      </c>
      <c r="O948" s="11">
        <f>IF(J948="","",M948*N948)</f>
        <v/>
      </c>
      <c r="P948">
        <f>IF(J948="","",IF(L948="",1,COUNTIF($L$2:$L$1501,L948)))</f>
        <v/>
      </c>
      <c r="Q948" s="11">
        <f>IF(J948="","",IFERROR(VALUE(SUBSTITUTE(SUBSTITUTE(IF(G948="","",G948)&amp;"","$",""),",","")),0)/IF("No"="Yes",P948,1))</f>
        <v/>
      </c>
      <c r="R948" s="11">
        <f>IF(J948="","",IFERROR(VALUE(SUBSTITUTE(SUBSTITUTE(IF(H948="","",H948)&amp;"","$",""),",","")),0)/IF("No"="Yes",P948,1))</f>
        <v/>
      </c>
      <c r="S948" s="11">
        <f>IF(J948="","",O948+Q948-R948)</f>
        <v/>
      </c>
      <c r="T948">
        <f>IF(J948="","",IFERROR(IF(K948="",NA(),MATCH(K948,Products!$B$5:$B$204,0)),IFERROR(MATCH(J948,Products!$A$5:$A$204,0),"")))</f>
        <v/>
      </c>
      <c r="U948">
        <f>IF(J948="","",IF(T948="","⚠ not in Products",INDEX(Products!$A$5:$A$204,T948)))</f>
        <v/>
      </c>
      <c r="V948" s="11">
        <f>IF(J948="","",S948*(IFERROR(INDEX(Settings!$B$5:$B$9,MATCH($B948,Settings!$A$5:$A$9,0)),0)+IFERROR(INDEX(Settings!$E$5:$E$9,MATCH($B948,Settings!$A$5:$A$9,0)),0)+IFERROR(INDEX(Settings!$G$5:$G$9,MATCH($B948,Settings!$A$5:$A$9,0)),0))+(IFERROR(INDEX(Settings!$C$5:$C$9,MATCH($B948,Settings!$A$5:$A$9,0)),0)+IFERROR(INDEX(Settings!$F$5:$F$9,MATCH($B948,Settings!$A$5:$A$9,0)),0))/P948+IFERROR(INDEX(Settings!$D$5:$D$9,MATCH($B948,Settings!$A$5:$A$9,0)),0)*M948)</f>
        <v/>
      </c>
      <c r="W948" s="11">
        <f>IF(J948="","",IF(T948="",0,M948*INDEX(Products!$I$5:$I$204,T948)))</f>
        <v/>
      </c>
      <c r="X948" s="11">
        <f>IF(J948="","",IF(T948="",0,S948*INDEX(Products!$H$5:$H$204,T948)))</f>
        <v/>
      </c>
      <c r="Y948" s="11">
        <f>IF(J948="","",S948-V948-W948-X948)</f>
        <v/>
      </c>
    </row>
    <row r="949">
      <c r="A949" s="19" t="n"/>
      <c r="B949" s="19" t="n"/>
      <c r="C949" s="19" t="n"/>
      <c r="D949" s="19" t="n"/>
      <c r="E949" s="19" t="n"/>
      <c r="F949" s="20" t="n"/>
      <c r="G949" s="20" t="n"/>
      <c r="H949" s="20" t="n"/>
      <c r="I949" s="19" t="n"/>
      <c r="J949">
        <f>IFERROR(IF(C949="","",C949)&amp;"","")</f>
        <v/>
      </c>
      <c r="K949">
        <f>IFERROR(IF(D949="","",D949)&amp;"","")</f>
        <v/>
      </c>
      <c r="L949">
        <f>IFERROR(IF(I949="","",I949)&amp;"","")</f>
        <v/>
      </c>
      <c r="M949">
        <f>IF(J949="","",IFERROR(VALUE(SUBSTITUTE(SUBSTITUTE(IF(E949="","",E949)&amp;"","$",""),",","")),0))</f>
        <v/>
      </c>
      <c r="N949" s="11">
        <f>IF(J949="","",IFERROR(VALUE(SUBSTITUTE(SUBSTITUTE(IF(F949="","",F949)&amp;"","$",""),",","")),0))</f>
        <v/>
      </c>
      <c r="O949" s="11">
        <f>IF(J949="","",M949*N949)</f>
        <v/>
      </c>
      <c r="P949">
        <f>IF(J949="","",IF(L949="",1,COUNTIF($L$2:$L$1501,L949)))</f>
        <v/>
      </c>
      <c r="Q949" s="11">
        <f>IF(J949="","",IFERROR(VALUE(SUBSTITUTE(SUBSTITUTE(IF(G949="","",G949)&amp;"","$",""),",","")),0)/IF("No"="Yes",P949,1))</f>
        <v/>
      </c>
      <c r="R949" s="11">
        <f>IF(J949="","",IFERROR(VALUE(SUBSTITUTE(SUBSTITUTE(IF(H949="","",H949)&amp;"","$",""),",","")),0)/IF("No"="Yes",P949,1))</f>
        <v/>
      </c>
      <c r="S949" s="11">
        <f>IF(J949="","",O949+Q949-R949)</f>
        <v/>
      </c>
      <c r="T949">
        <f>IF(J949="","",IFERROR(IF(K949="",NA(),MATCH(K949,Products!$B$5:$B$204,0)),IFERROR(MATCH(J949,Products!$A$5:$A$204,0),"")))</f>
        <v/>
      </c>
      <c r="U949">
        <f>IF(J949="","",IF(T949="","⚠ not in Products",INDEX(Products!$A$5:$A$204,T949)))</f>
        <v/>
      </c>
      <c r="V949" s="11">
        <f>IF(J949="","",S949*(IFERROR(INDEX(Settings!$B$5:$B$9,MATCH($B949,Settings!$A$5:$A$9,0)),0)+IFERROR(INDEX(Settings!$E$5:$E$9,MATCH($B949,Settings!$A$5:$A$9,0)),0)+IFERROR(INDEX(Settings!$G$5:$G$9,MATCH($B949,Settings!$A$5:$A$9,0)),0))+(IFERROR(INDEX(Settings!$C$5:$C$9,MATCH($B949,Settings!$A$5:$A$9,0)),0)+IFERROR(INDEX(Settings!$F$5:$F$9,MATCH($B949,Settings!$A$5:$A$9,0)),0))/P949+IFERROR(INDEX(Settings!$D$5:$D$9,MATCH($B949,Settings!$A$5:$A$9,0)),0)*M949)</f>
        <v/>
      </c>
      <c r="W949" s="11">
        <f>IF(J949="","",IF(T949="",0,M949*INDEX(Products!$I$5:$I$204,T949)))</f>
        <v/>
      </c>
      <c r="X949" s="11">
        <f>IF(J949="","",IF(T949="",0,S949*INDEX(Products!$H$5:$H$204,T949)))</f>
        <v/>
      </c>
      <c r="Y949" s="11">
        <f>IF(J949="","",S949-V949-W949-X949)</f>
        <v/>
      </c>
    </row>
    <row r="950">
      <c r="A950" s="19" t="n"/>
      <c r="B950" s="19" t="n"/>
      <c r="C950" s="19" t="n"/>
      <c r="D950" s="19" t="n"/>
      <c r="E950" s="19" t="n"/>
      <c r="F950" s="20" t="n"/>
      <c r="G950" s="20" t="n"/>
      <c r="H950" s="20" t="n"/>
      <c r="I950" s="19" t="n"/>
      <c r="J950">
        <f>IFERROR(IF(C950="","",C950)&amp;"","")</f>
        <v/>
      </c>
      <c r="K950">
        <f>IFERROR(IF(D950="","",D950)&amp;"","")</f>
        <v/>
      </c>
      <c r="L950">
        <f>IFERROR(IF(I950="","",I950)&amp;"","")</f>
        <v/>
      </c>
      <c r="M950">
        <f>IF(J950="","",IFERROR(VALUE(SUBSTITUTE(SUBSTITUTE(IF(E950="","",E950)&amp;"","$",""),",","")),0))</f>
        <v/>
      </c>
      <c r="N950" s="11">
        <f>IF(J950="","",IFERROR(VALUE(SUBSTITUTE(SUBSTITUTE(IF(F950="","",F950)&amp;"","$",""),",","")),0))</f>
        <v/>
      </c>
      <c r="O950" s="11">
        <f>IF(J950="","",M950*N950)</f>
        <v/>
      </c>
      <c r="P950">
        <f>IF(J950="","",IF(L950="",1,COUNTIF($L$2:$L$1501,L950)))</f>
        <v/>
      </c>
      <c r="Q950" s="11">
        <f>IF(J950="","",IFERROR(VALUE(SUBSTITUTE(SUBSTITUTE(IF(G950="","",G950)&amp;"","$",""),",","")),0)/IF("No"="Yes",P950,1))</f>
        <v/>
      </c>
      <c r="R950" s="11">
        <f>IF(J950="","",IFERROR(VALUE(SUBSTITUTE(SUBSTITUTE(IF(H950="","",H950)&amp;"","$",""),",","")),0)/IF("No"="Yes",P950,1))</f>
        <v/>
      </c>
      <c r="S950" s="11">
        <f>IF(J950="","",O950+Q950-R950)</f>
        <v/>
      </c>
      <c r="T950">
        <f>IF(J950="","",IFERROR(IF(K950="",NA(),MATCH(K950,Products!$B$5:$B$204,0)),IFERROR(MATCH(J950,Products!$A$5:$A$204,0),"")))</f>
        <v/>
      </c>
      <c r="U950">
        <f>IF(J950="","",IF(T950="","⚠ not in Products",INDEX(Products!$A$5:$A$204,T950)))</f>
        <v/>
      </c>
      <c r="V950" s="11">
        <f>IF(J950="","",S950*(IFERROR(INDEX(Settings!$B$5:$B$9,MATCH($B950,Settings!$A$5:$A$9,0)),0)+IFERROR(INDEX(Settings!$E$5:$E$9,MATCH($B950,Settings!$A$5:$A$9,0)),0)+IFERROR(INDEX(Settings!$G$5:$G$9,MATCH($B950,Settings!$A$5:$A$9,0)),0))+(IFERROR(INDEX(Settings!$C$5:$C$9,MATCH($B950,Settings!$A$5:$A$9,0)),0)+IFERROR(INDEX(Settings!$F$5:$F$9,MATCH($B950,Settings!$A$5:$A$9,0)),0))/P950+IFERROR(INDEX(Settings!$D$5:$D$9,MATCH($B950,Settings!$A$5:$A$9,0)),0)*M950)</f>
        <v/>
      </c>
      <c r="W950" s="11">
        <f>IF(J950="","",IF(T950="",0,M950*INDEX(Products!$I$5:$I$204,T950)))</f>
        <v/>
      </c>
      <c r="X950" s="11">
        <f>IF(J950="","",IF(T950="",0,S950*INDEX(Products!$H$5:$H$204,T950)))</f>
        <v/>
      </c>
      <c r="Y950" s="11">
        <f>IF(J950="","",S950-V950-W950-X950)</f>
        <v/>
      </c>
    </row>
    <row r="951">
      <c r="A951" s="19" t="n"/>
      <c r="B951" s="19" t="n"/>
      <c r="C951" s="19" t="n"/>
      <c r="D951" s="19" t="n"/>
      <c r="E951" s="19" t="n"/>
      <c r="F951" s="20" t="n"/>
      <c r="G951" s="20" t="n"/>
      <c r="H951" s="20" t="n"/>
      <c r="I951" s="19" t="n"/>
      <c r="J951">
        <f>IFERROR(IF(C951="","",C951)&amp;"","")</f>
        <v/>
      </c>
      <c r="K951">
        <f>IFERROR(IF(D951="","",D951)&amp;"","")</f>
        <v/>
      </c>
      <c r="L951">
        <f>IFERROR(IF(I951="","",I951)&amp;"","")</f>
        <v/>
      </c>
      <c r="M951">
        <f>IF(J951="","",IFERROR(VALUE(SUBSTITUTE(SUBSTITUTE(IF(E951="","",E951)&amp;"","$",""),",","")),0))</f>
        <v/>
      </c>
      <c r="N951" s="11">
        <f>IF(J951="","",IFERROR(VALUE(SUBSTITUTE(SUBSTITUTE(IF(F951="","",F951)&amp;"","$",""),",","")),0))</f>
        <v/>
      </c>
      <c r="O951" s="11">
        <f>IF(J951="","",M951*N951)</f>
        <v/>
      </c>
      <c r="P951">
        <f>IF(J951="","",IF(L951="",1,COUNTIF($L$2:$L$1501,L951)))</f>
        <v/>
      </c>
      <c r="Q951" s="11">
        <f>IF(J951="","",IFERROR(VALUE(SUBSTITUTE(SUBSTITUTE(IF(G951="","",G951)&amp;"","$",""),",","")),0)/IF("No"="Yes",P951,1))</f>
        <v/>
      </c>
      <c r="R951" s="11">
        <f>IF(J951="","",IFERROR(VALUE(SUBSTITUTE(SUBSTITUTE(IF(H951="","",H951)&amp;"","$",""),",","")),0)/IF("No"="Yes",P951,1))</f>
        <v/>
      </c>
      <c r="S951" s="11">
        <f>IF(J951="","",O951+Q951-R951)</f>
        <v/>
      </c>
      <c r="T951">
        <f>IF(J951="","",IFERROR(IF(K951="",NA(),MATCH(K951,Products!$B$5:$B$204,0)),IFERROR(MATCH(J951,Products!$A$5:$A$204,0),"")))</f>
        <v/>
      </c>
      <c r="U951">
        <f>IF(J951="","",IF(T951="","⚠ not in Products",INDEX(Products!$A$5:$A$204,T951)))</f>
        <v/>
      </c>
      <c r="V951" s="11">
        <f>IF(J951="","",S951*(IFERROR(INDEX(Settings!$B$5:$B$9,MATCH($B951,Settings!$A$5:$A$9,0)),0)+IFERROR(INDEX(Settings!$E$5:$E$9,MATCH($B951,Settings!$A$5:$A$9,0)),0)+IFERROR(INDEX(Settings!$G$5:$G$9,MATCH($B951,Settings!$A$5:$A$9,0)),0))+(IFERROR(INDEX(Settings!$C$5:$C$9,MATCH($B951,Settings!$A$5:$A$9,0)),0)+IFERROR(INDEX(Settings!$F$5:$F$9,MATCH($B951,Settings!$A$5:$A$9,0)),0))/P951+IFERROR(INDEX(Settings!$D$5:$D$9,MATCH($B951,Settings!$A$5:$A$9,0)),0)*M951)</f>
        <v/>
      </c>
      <c r="W951" s="11">
        <f>IF(J951="","",IF(T951="",0,M951*INDEX(Products!$I$5:$I$204,T951)))</f>
        <v/>
      </c>
      <c r="X951" s="11">
        <f>IF(J951="","",IF(T951="",0,S951*INDEX(Products!$H$5:$H$204,T951)))</f>
        <v/>
      </c>
      <c r="Y951" s="11">
        <f>IF(J951="","",S951-V951-W951-X951)</f>
        <v/>
      </c>
    </row>
    <row r="952">
      <c r="A952" s="19" t="n"/>
      <c r="B952" s="19" t="n"/>
      <c r="C952" s="19" t="n"/>
      <c r="D952" s="19" t="n"/>
      <c r="E952" s="19" t="n"/>
      <c r="F952" s="20" t="n"/>
      <c r="G952" s="20" t="n"/>
      <c r="H952" s="20" t="n"/>
      <c r="I952" s="19" t="n"/>
      <c r="J952">
        <f>IFERROR(IF(C952="","",C952)&amp;"","")</f>
        <v/>
      </c>
      <c r="K952">
        <f>IFERROR(IF(D952="","",D952)&amp;"","")</f>
        <v/>
      </c>
      <c r="L952">
        <f>IFERROR(IF(I952="","",I952)&amp;"","")</f>
        <v/>
      </c>
      <c r="M952">
        <f>IF(J952="","",IFERROR(VALUE(SUBSTITUTE(SUBSTITUTE(IF(E952="","",E952)&amp;"","$",""),",","")),0))</f>
        <v/>
      </c>
      <c r="N952" s="11">
        <f>IF(J952="","",IFERROR(VALUE(SUBSTITUTE(SUBSTITUTE(IF(F952="","",F952)&amp;"","$",""),",","")),0))</f>
        <v/>
      </c>
      <c r="O952" s="11">
        <f>IF(J952="","",M952*N952)</f>
        <v/>
      </c>
      <c r="P952">
        <f>IF(J952="","",IF(L952="",1,COUNTIF($L$2:$L$1501,L952)))</f>
        <v/>
      </c>
      <c r="Q952" s="11">
        <f>IF(J952="","",IFERROR(VALUE(SUBSTITUTE(SUBSTITUTE(IF(G952="","",G952)&amp;"","$",""),",","")),0)/IF("No"="Yes",P952,1))</f>
        <v/>
      </c>
      <c r="R952" s="11">
        <f>IF(J952="","",IFERROR(VALUE(SUBSTITUTE(SUBSTITUTE(IF(H952="","",H952)&amp;"","$",""),",","")),0)/IF("No"="Yes",P952,1))</f>
        <v/>
      </c>
      <c r="S952" s="11">
        <f>IF(J952="","",O952+Q952-R952)</f>
        <v/>
      </c>
      <c r="T952">
        <f>IF(J952="","",IFERROR(IF(K952="",NA(),MATCH(K952,Products!$B$5:$B$204,0)),IFERROR(MATCH(J952,Products!$A$5:$A$204,0),"")))</f>
        <v/>
      </c>
      <c r="U952">
        <f>IF(J952="","",IF(T952="","⚠ not in Products",INDEX(Products!$A$5:$A$204,T952)))</f>
        <v/>
      </c>
      <c r="V952" s="11">
        <f>IF(J952="","",S952*(IFERROR(INDEX(Settings!$B$5:$B$9,MATCH($B952,Settings!$A$5:$A$9,0)),0)+IFERROR(INDEX(Settings!$E$5:$E$9,MATCH($B952,Settings!$A$5:$A$9,0)),0)+IFERROR(INDEX(Settings!$G$5:$G$9,MATCH($B952,Settings!$A$5:$A$9,0)),0))+(IFERROR(INDEX(Settings!$C$5:$C$9,MATCH($B952,Settings!$A$5:$A$9,0)),0)+IFERROR(INDEX(Settings!$F$5:$F$9,MATCH($B952,Settings!$A$5:$A$9,0)),0))/P952+IFERROR(INDEX(Settings!$D$5:$D$9,MATCH($B952,Settings!$A$5:$A$9,0)),0)*M952)</f>
        <v/>
      </c>
      <c r="W952" s="11">
        <f>IF(J952="","",IF(T952="",0,M952*INDEX(Products!$I$5:$I$204,T952)))</f>
        <v/>
      </c>
      <c r="X952" s="11">
        <f>IF(J952="","",IF(T952="",0,S952*INDEX(Products!$H$5:$H$204,T952)))</f>
        <v/>
      </c>
      <c r="Y952" s="11">
        <f>IF(J952="","",S952-V952-W952-X952)</f>
        <v/>
      </c>
    </row>
    <row r="953">
      <c r="A953" s="19" t="n"/>
      <c r="B953" s="19" t="n"/>
      <c r="C953" s="19" t="n"/>
      <c r="D953" s="19" t="n"/>
      <c r="E953" s="19" t="n"/>
      <c r="F953" s="20" t="n"/>
      <c r="G953" s="20" t="n"/>
      <c r="H953" s="20" t="n"/>
      <c r="I953" s="19" t="n"/>
      <c r="J953">
        <f>IFERROR(IF(C953="","",C953)&amp;"","")</f>
        <v/>
      </c>
      <c r="K953">
        <f>IFERROR(IF(D953="","",D953)&amp;"","")</f>
        <v/>
      </c>
      <c r="L953">
        <f>IFERROR(IF(I953="","",I953)&amp;"","")</f>
        <v/>
      </c>
      <c r="M953">
        <f>IF(J953="","",IFERROR(VALUE(SUBSTITUTE(SUBSTITUTE(IF(E953="","",E953)&amp;"","$",""),",","")),0))</f>
        <v/>
      </c>
      <c r="N953" s="11">
        <f>IF(J953="","",IFERROR(VALUE(SUBSTITUTE(SUBSTITUTE(IF(F953="","",F953)&amp;"","$",""),",","")),0))</f>
        <v/>
      </c>
      <c r="O953" s="11">
        <f>IF(J953="","",M953*N953)</f>
        <v/>
      </c>
      <c r="P953">
        <f>IF(J953="","",IF(L953="",1,COUNTIF($L$2:$L$1501,L953)))</f>
        <v/>
      </c>
      <c r="Q953" s="11">
        <f>IF(J953="","",IFERROR(VALUE(SUBSTITUTE(SUBSTITUTE(IF(G953="","",G953)&amp;"","$",""),",","")),0)/IF("No"="Yes",P953,1))</f>
        <v/>
      </c>
      <c r="R953" s="11">
        <f>IF(J953="","",IFERROR(VALUE(SUBSTITUTE(SUBSTITUTE(IF(H953="","",H953)&amp;"","$",""),",","")),0)/IF("No"="Yes",P953,1))</f>
        <v/>
      </c>
      <c r="S953" s="11">
        <f>IF(J953="","",O953+Q953-R953)</f>
        <v/>
      </c>
      <c r="T953">
        <f>IF(J953="","",IFERROR(IF(K953="",NA(),MATCH(K953,Products!$B$5:$B$204,0)),IFERROR(MATCH(J953,Products!$A$5:$A$204,0),"")))</f>
        <v/>
      </c>
      <c r="U953">
        <f>IF(J953="","",IF(T953="","⚠ not in Products",INDEX(Products!$A$5:$A$204,T953)))</f>
        <v/>
      </c>
      <c r="V953" s="11">
        <f>IF(J953="","",S953*(IFERROR(INDEX(Settings!$B$5:$B$9,MATCH($B953,Settings!$A$5:$A$9,0)),0)+IFERROR(INDEX(Settings!$E$5:$E$9,MATCH($B953,Settings!$A$5:$A$9,0)),0)+IFERROR(INDEX(Settings!$G$5:$G$9,MATCH($B953,Settings!$A$5:$A$9,0)),0))+(IFERROR(INDEX(Settings!$C$5:$C$9,MATCH($B953,Settings!$A$5:$A$9,0)),0)+IFERROR(INDEX(Settings!$F$5:$F$9,MATCH($B953,Settings!$A$5:$A$9,0)),0))/P953+IFERROR(INDEX(Settings!$D$5:$D$9,MATCH($B953,Settings!$A$5:$A$9,0)),0)*M953)</f>
        <v/>
      </c>
      <c r="W953" s="11">
        <f>IF(J953="","",IF(T953="",0,M953*INDEX(Products!$I$5:$I$204,T953)))</f>
        <v/>
      </c>
      <c r="X953" s="11">
        <f>IF(J953="","",IF(T953="",0,S953*INDEX(Products!$H$5:$H$204,T953)))</f>
        <v/>
      </c>
      <c r="Y953" s="11">
        <f>IF(J953="","",S953-V953-W953-X953)</f>
        <v/>
      </c>
    </row>
    <row r="954">
      <c r="A954" s="19" t="n"/>
      <c r="B954" s="19" t="n"/>
      <c r="C954" s="19" t="n"/>
      <c r="D954" s="19" t="n"/>
      <c r="E954" s="19" t="n"/>
      <c r="F954" s="20" t="n"/>
      <c r="G954" s="20" t="n"/>
      <c r="H954" s="20" t="n"/>
      <c r="I954" s="19" t="n"/>
      <c r="J954">
        <f>IFERROR(IF(C954="","",C954)&amp;"","")</f>
        <v/>
      </c>
      <c r="K954">
        <f>IFERROR(IF(D954="","",D954)&amp;"","")</f>
        <v/>
      </c>
      <c r="L954">
        <f>IFERROR(IF(I954="","",I954)&amp;"","")</f>
        <v/>
      </c>
      <c r="M954">
        <f>IF(J954="","",IFERROR(VALUE(SUBSTITUTE(SUBSTITUTE(IF(E954="","",E954)&amp;"","$",""),",","")),0))</f>
        <v/>
      </c>
      <c r="N954" s="11">
        <f>IF(J954="","",IFERROR(VALUE(SUBSTITUTE(SUBSTITUTE(IF(F954="","",F954)&amp;"","$",""),",","")),0))</f>
        <v/>
      </c>
      <c r="O954" s="11">
        <f>IF(J954="","",M954*N954)</f>
        <v/>
      </c>
      <c r="P954">
        <f>IF(J954="","",IF(L954="",1,COUNTIF($L$2:$L$1501,L954)))</f>
        <v/>
      </c>
      <c r="Q954" s="11">
        <f>IF(J954="","",IFERROR(VALUE(SUBSTITUTE(SUBSTITUTE(IF(G954="","",G954)&amp;"","$",""),",","")),0)/IF("No"="Yes",P954,1))</f>
        <v/>
      </c>
      <c r="R954" s="11">
        <f>IF(J954="","",IFERROR(VALUE(SUBSTITUTE(SUBSTITUTE(IF(H954="","",H954)&amp;"","$",""),",","")),0)/IF("No"="Yes",P954,1))</f>
        <v/>
      </c>
      <c r="S954" s="11">
        <f>IF(J954="","",O954+Q954-R954)</f>
        <v/>
      </c>
      <c r="T954">
        <f>IF(J954="","",IFERROR(IF(K954="",NA(),MATCH(K954,Products!$B$5:$B$204,0)),IFERROR(MATCH(J954,Products!$A$5:$A$204,0),"")))</f>
        <v/>
      </c>
      <c r="U954">
        <f>IF(J954="","",IF(T954="","⚠ not in Products",INDEX(Products!$A$5:$A$204,T954)))</f>
        <v/>
      </c>
      <c r="V954" s="11">
        <f>IF(J954="","",S954*(IFERROR(INDEX(Settings!$B$5:$B$9,MATCH($B954,Settings!$A$5:$A$9,0)),0)+IFERROR(INDEX(Settings!$E$5:$E$9,MATCH($B954,Settings!$A$5:$A$9,0)),0)+IFERROR(INDEX(Settings!$G$5:$G$9,MATCH($B954,Settings!$A$5:$A$9,0)),0))+(IFERROR(INDEX(Settings!$C$5:$C$9,MATCH($B954,Settings!$A$5:$A$9,0)),0)+IFERROR(INDEX(Settings!$F$5:$F$9,MATCH($B954,Settings!$A$5:$A$9,0)),0))/P954+IFERROR(INDEX(Settings!$D$5:$D$9,MATCH($B954,Settings!$A$5:$A$9,0)),0)*M954)</f>
        <v/>
      </c>
      <c r="W954" s="11">
        <f>IF(J954="","",IF(T954="",0,M954*INDEX(Products!$I$5:$I$204,T954)))</f>
        <v/>
      </c>
      <c r="X954" s="11">
        <f>IF(J954="","",IF(T954="",0,S954*INDEX(Products!$H$5:$H$204,T954)))</f>
        <v/>
      </c>
      <c r="Y954" s="11">
        <f>IF(J954="","",S954-V954-W954-X954)</f>
        <v/>
      </c>
    </row>
    <row r="955">
      <c r="A955" s="19" t="n"/>
      <c r="B955" s="19" t="n"/>
      <c r="C955" s="19" t="n"/>
      <c r="D955" s="19" t="n"/>
      <c r="E955" s="19" t="n"/>
      <c r="F955" s="20" t="n"/>
      <c r="G955" s="20" t="n"/>
      <c r="H955" s="20" t="n"/>
      <c r="I955" s="19" t="n"/>
      <c r="J955">
        <f>IFERROR(IF(C955="","",C955)&amp;"","")</f>
        <v/>
      </c>
      <c r="K955">
        <f>IFERROR(IF(D955="","",D955)&amp;"","")</f>
        <v/>
      </c>
      <c r="L955">
        <f>IFERROR(IF(I955="","",I955)&amp;"","")</f>
        <v/>
      </c>
      <c r="M955">
        <f>IF(J955="","",IFERROR(VALUE(SUBSTITUTE(SUBSTITUTE(IF(E955="","",E955)&amp;"","$",""),",","")),0))</f>
        <v/>
      </c>
      <c r="N955" s="11">
        <f>IF(J955="","",IFERROR(VALUE(SUBSTITUTE(SUBSTITUTE(IF(F955="","",F955)&amp;"","$",""),",","")),0))</f>
        <v/>
      </c>
      <c r="O955" s="11">
        <f>IF(J955="","",M955*N955)</f>
        <v/>
      </c>
      <c r="P955">
        <f>IF(J955="","",IF(L955="",1,COUNTIF($L$2:$L$1501,L955)))</f>
        <v/>
      </c>
      <c r="Q955" s="11">
        <f>IF(J955="","",IFERROR(VALUE(SUBSTITUTE(SUBSTITUTE(IF(G955="","",G955)&amp;"","$",""),",","")),0)/IF("No"="Yes",P955,1))</f>
        <v/>
      </c>
      <c r="R955" s="11">
        <f>IF(J955="","",IFERROR(VALUE(SUBSTITUTE(SUBSTITUTE(IF(H955="","",H955)&amp;"","$",""),",","")),0)/IF("No"="Yes",P955,1))</f>
        <v/>
      </c>
      <c r="S955" s="11">
        <f>IF(J955="","",O955+Q955-R955)</f>
        <v/>
      </c>
      <c r="T955">
        <f>IF(J955="","",IFERROR(IF(K955="",NA(),MATCH(K955,Products!$B$5:$B$204,0)),IFERROR(MATCH(J955,Products!$A$5:$A$204,0),"")))</f>
        <v/>
      </c>
      <c r="U955">
        <f>IF(J955="","",IF(T955="","⚠ not in Products",INDEX(Products!$A$5:$A$204,T955)))</f>
        <v/>
      </c>
      <c r="V955" s="11">
        <f>IF(J955="","",S955*(IFERROR(INDEX(Settings!$B$5:$B$9,MATCH($B955,Settings!$A$5:$A$9,0)),0)+IFERROR(INDEX(Settings!$E$5:$E$9,MATCH($B955,Settings!$A$5:$A$9,0)),0)+IFERROR(INDEX(Settings!$G$5:$G$9,MATCH($B955,Settings!$A$5:$A$9,0)),0))+(IFERROR(INDEX(Settings!$C$5:$C$9,MATCH($B955,Settings!$A$5:$A$9,0)),0)+IFERROR(INDEX(Settings!$F$5:$F$9,MATCH($B955,Settings!$A$5:$A$9,0)),0))/P955+IFERROR(INDEX(Settings!$D$5:$D$9,MATCH($B955,Settings!$A$5:$A$9,0)),0)*M955)</f>
        <v/>
      </c>
      <c r="W955" s="11">
        <f>IF(J955="","",IF(T955="",0,M955*INDEX(Products!$I$5:$I$204,T955)))</f>
        <v/>
      </c>
      <c r="X955" s="11">
        <f>IF(J955="","",IF(T955="",0,S955*INDEX(Products!$H$5:$H$204,T955)))</f>
        <v/>
      </c>
      <c r="Y955" s="11">
        <f>IF(J955="","",S955-V955-W955-X955)</f>
        <v/>
      </c>
    </row>
    <row r="956">
      <c r="A956" s="19" t="n"/>
      <c r="B956" s="19" t="n"/>
      <c r="C956" s="19" t="n"/>
      <c r="D956" s="19" t="n"/>
      <c r="E956" s="19" t="n"/>
      <c r="F956" s="20" t="n"/>
      <c r="G956" s="20" t="n"/>
      <c r="H956" s="20" t="n"/>
      <c r="I956" s="19" t="n"/>
      <c r="J956">
        <f>IFERROR(IF(C956="","",C956)&amp;"","")</f>
        <v/>
      </c>
      <c r="K956">
        <f>IFERROR(IF(D956="","",D956)&amp;"","")</f>
        <v/>
      </c>
      <c r="L956">
        <f>IFERROR(IF(I956="","",I956)&amp;"","")</f>
        <v/>
      </c>
      <c r="M956">
        <f>IF(J956="","",IFERROR(VALUE(SUBSTITUTE(SUBSTITUTE(IF(E956="","",E956)&amp;"","$",""),",","")),0))</f>
        <v/>
      </c>
      <c r="N956" s="11">
        <f>IF(J956="","",IFERROR(VALUE(SUBSTITUTE(SUBSTITUTE(IF(F956="","",F956)&amp;"","$",""),",","")),0))</f>
        <v/>
      </c>
      <c r="O956" s="11">
        <f>IF(J956="","",M956*N956)</f>
        <v/>
      </c>
      <c r="P956">
        <f>IF(J956="","",IF(L956="",1,COUNTIF($L$2:$L$1501,L956)))</f>
        <v/>
      </c>
      <c r="Q956" s="11">
        <f>IF(J956="","",IFERROR(VALUE(SUBSTITUTE(SUBSTITUTE(IF(G956="","",G956)&amp;"","$",""),",","")),0)/IF("No"="Yes",P956,1))</f>
        <v/>
      </c>
      <c r="R956" s="11">
        <f>IF(J956="","",IFERROR(VALUE(SUBSTITUTE(SUBSTITUTE(IF(H956="","",H956)&amp;"","$",""),",","")),0)/IF("No"="Yes",P956,1))</f>
        <v/>
      </c>
      <c r="S956" s="11">
        <f>IF(J956="","",O956+Q956-R956)</f>
        <v/>
      </c>
      <c r="T956">
        <f>IF(J956="","",IFERROR(IF(K956="",NA(),MATCH(K956,Products!$B$5:$B$204,0)),IFERROR(MATCH(J956,Products!$A$5:$A$204,0),"")))</f>
        <v/>
      </c>
      <c r="U956">
        <f>IF(J956="","",IF(T956="","⚠ not in Products",INDEX(Products!$A$5:$A$204,T956)))</f>
        <v/>
      </c>
      <c r="V956" s="11">
        <f>IF(J956="","",S956*(IFERROR(INDEX(Settings!$B$5:$B$9,MATCH($B956,Settings!$A$5:$A$9,0)),0)+IFERROR(INDEX(Settings!$E$5:$E$9,MATCH($B956,Settings!$A$5:$A$9,0)),0)+IFERROR(INDEX(Settings!$G$5:$G$9,MATCH($B956,Settings!$A$5:$A$9,0)),0))+(IFERROR(INDEX(Settings!$C$5:$C$9,MATCH($B956,Settings!$A$5:$A$9,0)),0)+IFERROR(INDEX(Settings!$F$5:$F$9,MATCH($B956,Settings!$A$5:$A$9,0)),0))/P956+IFERROR(INDEX(Settings!$D$5:$D$9,MATCH($B956,Settings!$A$5:$A$9,0)),0)*M956)</f>
        <v/>
      </c>
      <c r="W956" s="11">
        <f>IF(J956="","",IF(T956="",0,M956*INDEX(Products!$I$5:$I$204,T956)))</f>
        <v/>
      </c>
      <c r="X956" s="11">
        <f>IF(J956="","",IF(T956="",0,S956*INDEX(Products!$H$5:$H$204,T956)))</f>
        <v/>
      </c>
      <c r="Y956" s="11">
        <f>IF(J956="","",S956-V956-W956-X956)</f>
        <v/>
      </c>
    </row>
    <row r="957">
      <c r="A957" s="19" t="n"/>
      <c r="B957" s="19" t="n"/>
      <c r="C957" s="19" t="n"/>
      <c r="D957" s="19" t="n"/>
      <c r="E957" s="19" t="n"/>
      <c r="F957" s="20" t="n"/>
      <c r="G957" s="20" t="n"/>
      <c r="H957" s="20" t="n"/>
      <c r="I957" s="19" t="n"/>
      <c r="J957">
        <f>IFERROR(IF(C957="","",C957)&amp;"","")</f>
        <v/>
      </c>
      <c r="K957">
        <f>IFERROR(IF(D957="","",D957)&amp;"","")</f>
        <v/>
      </c>
      <c r="L957">
        <f>IFERROR(IF(I957="","",I957)&amp;"","")</f>
        <v/>
      </c>
      <c r="M957">
        <f>IF(J957="","",IFERROR(VALUE(SUBSTITUTE(SUBSTITUTE(IF(E957="","",E957)&amp;"","$",""),",","")),0))</f>
        <v/>
      </c>
      <c r="N957" s="11">
        <f>IF(J957="","",IFERROR(VALUE(SUBSTITUTE(SUBSTITUTE(IF(F957="","",F957)&amp;"","$",""),",","")),0))</f>
        <v/>
      </c>
      <c r="O957" s="11">
        <f>IF(J957="","",M957*N957)</f>
        <v/>
      </c>
      <c r="P957">
        <f>IF(J957="","",IF(L957="",1,COUNTIF($L$2:$L$1501,L957)))</f>
        <v/>
      </c>
      <c r="Q957" s="11">
        <f>IF(J957="","",IFERROR(VALUE(SUBSTITUTE(SUBSTITUTE(IF(G957="","",G957)&amp;"","$",""),",","")),0)/IF("No"="Yes",P957,1))</f>
        <v/>
      </c>
      <c r="R957" s="11">
        <f>IF(J957="","",IFERROR(VALUE(SUBSTITUTE(SUBSTITUTE(IF(H957="","",H957)&amp;"","$",""),",","")),0)/IF("No"="Yes",P957,1))</f>
        <v/>
      </c>
      <c r="S957" s="11">
        <f>IF(J957="","",O957+Q957-R957)</f>
        <v/>
      </c>
      <c r="T957">
        <f>IF(J957="","",IFERROR(IF(K957="",NA(),MATCH(K957,Products!$B$5:$B$204,0)),IFERROR(MATCH(J957,Products!$A$5:$A$204,0),"")))</f>
        <v/>
      </c>
      <c r="U957">
        <f>IF(J957="","",IF(T957="","⚠ not in Products",INDEX(Products!$A$5:$A$204,T957)))</f>
        <v/>
      </c>
      <c r="V957" s="11">
        <f>IF(J957="","",S957*(IFERROR(INDEX(Settings!$B$5:$B$9,MATCH($B957,Settings!$A$5:$A$9,0)),0)+IFERROR(INDEX(Settings!$E$5:$E$9,MATCH($B957,Settings!$A$5:$A$9,0)),0)+IFERROR(INDEX(Settings!$G$5:$G$9,MATCH($B957,Settings!$A$5:$A$9,0)),0))+(IFERROR(INDEX(Settings!$C$5:$C$9,MATCH($B957,Settings!$A$5:$A$9,0)),0)+IFERROR(INDEX(Settings!$F$5:$F$9,MATCH($B957,Settings!$A$5:$A$9,0)),0))/P957+IFERROR(INDEX(Settings!$D$5:$D$9,MATCH($B957,Settings!$A$5:$A$9,0)),0)*M957)</f>
        <v/>
      </c>
      <c r="W957" s="11">
        <f>IF(J957="","",IF(T957="",0,M957*INDEX(Products!$I$5:$I$204,T957)))</f>
        <v/>
      </c>
      <c r="X957" s="11">
        <f>IF(J957="","",IF(T957="",0,S957*INDEX(Products!$H$5:$H$204,T957)))</f>
        <v/>
      </c>
      <c r="Y957" s="11">
        <f>IF(J957="","",S957-V957-W957-X957)</f>
        <v/>
      </c>
    </row>
    <row r="958">
      <c r="A958" s="19" t="n"/>
      <c r="B958" s="19" t="n"/>
      <c r="C958" s="19" t="n"/>
      <c r="D958" s="19" t="n"/>
      <c r="E958" s="19" t="n"/>
      <c r="F958" s="20" t="n"/>
      <c r="G958" s="20" t="n"/>
      <c r="H958" s="20" t="n"/>
      <c r="I958" s="19" t="n"/>
      <c r="J958">
        <f>IFERROR(IF(C958="","",C958)&amp;"","")</f>
        <v/>
      </c>
      <c r="K958">
        <f>IFERROR(IF(D958="","",D958)&amp;"","")</f>
        <v/>
      </c>
      <c r="L958">
        <f>IFERROR(IF(I958="","",I958)&amp;"","")</f>
        <v/>
      </c>
      <c r="M958">
        <f>IF(J958="","",IFERROR(VALUE(SUBSTITUTE(SUBSTITUTE(IF(E958="","",E958)&amp;"","$",""),",","")),0))</f>
        <v/>
      </c>
      <c r="N958" s="11">
        <f>IF(J958="","",IFERROR(VALUE(SUBSTITUTE(SUBSTITUTE(IF(F958="","",F958)&amp;"","$",""),",","")),0))</f>
        <v/>
      </c>
      <c r="O958" s="11">
        <f>IF(J958="","",M958*N958)</f>
        <v/>
      </c>
      <c r="P958">
        <f>IF(J958="","",IF(L958="",1,COUNTIF($L$2:$L$1501,L958)))</f>
        <v/>
      </c>
      <c r="Q958" s="11">
        <f>IF(J958="","",IFERROR(VALUE(SUBSTITUTE(SUBSTITUTE(IF(G958="","",G958)&amp;"","$",""),",","")),0)/IF("No"="Yes",P958,1))</f>
        <v/>
      </c>
      <c r="R958" s="11">
        <f>IF(J958="","",IFERROR(VALUE(SUBSTITUTE(SUBSTITUTE(IF(H958="","",H958)&amp;"","$",""),",","")),0)/IF("No"="Yes",P958,1))</f>
        <v/>
      </c>
      <c r="S958" s="11">
        <f>IF(J958="","",O958+Q958-R958)</f>
        <v/>
      </c>
      <c r="T958">
        <f>IF(J958="","",IFERROR(IF(K958="",NA(),MATCH(K958,Products!$B$5:$B$204,0)),IFERROR(MATCH(J958,Products!$A$5:$A$204,0),"")))</f>
        <v/>
      </c>
      <c r="U958">
        <f>IF(J958="","",IF(T958="","⚠ not in Products",INDEX(Products!$A$5:$A$204,T958)))</f>
        <v/>
      </c>
      <c r="V958" s="11">
        <f>IF(J958="","",S958*(IFERROR(INDEX(Settings!$B$5:$B$9,MATCH($B958,Settings!$A$5:$A$9,0)),0)+IFERROR(INDEX(Settings!$E$5:$E$9,MATCH($B958,Settings!$A$5:$A$9,0)),0)+IFERROR(INDEX(Settings!$G$5:$G$9,MATCH($B958,Settings!$A$5:$A$9,0)),0))+(IFERROR(INDEX(Settings!$C$5:$C$9,MATCH($B958,Settings!$A$5:$A$9,0)),0)+IFERROR(INDEX(Settings!$F$5:$F$9,MATCH($B958,Settings!$A$5:$A$9,0)),0))/P958+IFERROR(INDEX(Settings!$D$5:$D$9,MATCH($B958,Settings!$A$5:$A$9,0)),0)*M958)</f>
        <v/>
      </c>
      <c r="W958" s="11">
        <f>IF(J958="","",IF(T958="",0,M958*INDEX(Products!$I$5:$I$204,T958)))</f>
        <v/>
      </c>
      <c r="X958" s="11">
        <f>IF(J958="","",IF(T958="",0,S958*INDEX(Products!$H$5:$H$204,T958)))</f>
        <v/>
      </c>
      <c r="Y958" s="11">
        <f>IF(J958="","",S958-V958-W958-X958)</f>
        <v/>
      </c>
    </row>
    <row r="959">
      <c r="A959" s="19" t="n"/>
      <c r="B959" s="19" t="n"/>
      <c r="C959" s="19" t="n"/>
      <c r="D959" s="19" t="n"/>
      <c r="E959" s="19" t="n"/>
      <c r="F959" s="20" t="n"/>
      <c r="G959" s="20" t="n"/>
      <c r="H959" s="20" t="n"/>
      <c r="I959" s="19" t="n"/>
      <c r="J959">
        <f>IFERROR(IF(C959="","",C959)&amp;"","")</f>
        <v/>
      </c>
      <c r="K959">
        <f>IFERROR(IF(D959="","",D959)&amp;"","")</f>
        <v/>
      </c>
      <c r="L959">
        <f>IFERROR(IF(I959="","",I959)&amp;"","")</f>
        <v/>
      </c>
      <c r="M959">
        <f>IF(J959="","",IFERROR(VALUE(SUBSTITUTE(SUBSTITUTE(IF(E959="","",E959)&amp;"","$",""),",","")),0))</f>
        <v/>
      </c>
      <c r="N959" s="11">
        <f>IF(J959="","",IFERROR(VALUE(SUBSTITUTE(SUBSTITUTE(IF(F959="","",F959)&amp;"","$",""),",","")),0))</f>
        <v/>
      </c>
      <c r="O959" s="11">
        <f>IF(J959="","",M959*N959)</f>
        <v/>
      </c>
      <c r="P959">
        <f>IF(J959="","",IF(L959="",1,COUNTIF($L$2:$L$1501,L959)))</f>
        <v/>
      </c>
      <c r="Q959" s="11">
        <f>IF(J959="","",IFERROR(VALUE(SUBSTITUTE(SUBSTITUTE(IF(G959="","",G959)&amp;"","$",""),",","")),0)/IF("No"="Yes",P959,1))</f>
        <v/>
      </c>
      <c r="R959" s="11">
        <f>IF(J959="","",IFERROR(VALUE(SUBSTITUTE(SUBSTITUTE(IF(H959="","",H959)&amp;"","$",""),",","")),0)/IF("No"="Yes",P959,1))</f>
        <v/>
      </c>
      <c r="S959" s="11">
        <f>IF(J959="","",O959+Q959-R959)</f>
        <v/>
      </c>
      <c r="T959">
        <f>IF(J959="","",IFERROR(IF(K959="",NA(),MATCH(K959,Products!$B$5:$B$204,0)),IFERROR(MATCH(J959,Products!$A$5:$A$204,0),"")))</f>
        <v/>
      </c>
      <c r="U959">
        <f>IF(J959="","",IF(T959="","⚠ not in Products",INDEX(Products!$A$5:$A$204,T959)))</f>
        <v/>
      </c>
      <c r="V959" s="11">
        <f>IF(J959="","",S959*(IFERROR(INDEX(Settings!$B$5:$B$9,MATCH($B959,Settings!$A$5:$A$9,0)),0)+IFERROR(INDEX(Settings!$E$5:$E$9,MATCH($B959,Settings!$A$5:$A$9,0)),0)+IFERROR(INDEX(Settings!$G$5:$G$9,MATCH($B959,Settings!$A$5:$A$9,0)),0))+(IFERROR(INDEX(Settings!$C$5:$C$9,MATCH($B959,Settings!$A$5:$A$9,0)),0)+IFERROR(INDEX(Settings!$F$5:$F$9,MATCH($B959,Settings!$A$5:$A$9,0)),0))/P959+IFERROR(INDEX(Settings!$D$5:$D$9,MATCH($B959,Settings!$A$5:$A$9,0)),0)*M959)</f>
        <v/>
      </c>
      <c r="W959" s="11">
        <f>IF(J959="","",IF(T959="",0,M959*INDEX(Products!$I$5:$I$204,T959)))</f>
        <v/>
      </c>
      <c r="X959" s="11">
        <f>IF(J959="","",IF(T959="",0,S959*INDEX(Products!$H$5:$H$204,T959)))</f>
        <v/>
      </c>
      <c r="Y959" s="11">
        <f>IF(J959="","",S959-V959-W959-X959)</f>
        <v/>
      </c>
    </row>
    <row r="960">
      <c r="A960" s="19" t="n"/>
      <c r="B960" s="19" t="n"/>
      <c r="C960" s="19" t="n"/>
      <c r="D960" s="19" t="n"/>
      <c r="E960" s="19" t="n"/>
      <c r="F960" s="20" t="n"/>
      <c r="G960" s="20" t="n"/>
      <c r="H960" s="20" t="n"/>
      <c r="I960" s="19" t="n"/>
      <c r="J960">
        <f>IFERROR(IF(C960="","",C960)&amp;"","")</f>
        <v/>
      </c>
      <c r="K960">
        <f>IFERROR(IF(D960="","",D960)&amp;"","")</f>
        <v/>
      </c>
      <c r="L960">
        <f>IFERROR(IF(I960="","",I960)&amp;"","")</f>
        <v/>
      </c>
      <c r="M960">
        <f>IF(J960="","",IFERROR(VALUE(SUBSTITUTE(SUBSTITUTE(IF(E960="","",E960)&amp;"","$",""),",","")),0))</f>
        <v/>
      </c>
      <c r="N960" s="11">
        <f>IF(J960="","",IFERROR(VALUE(SUBSTITUTE(SUBSTITUTE(IF(F960="","",F960)&amp;"","$",""),",","")),0))</f>
        <v/>
      </c>
      <c r="O960" s="11">
        <f>IF(J960="","",M960*N960)</f>
        <v/>
      </c>
      <c r="P960">
        <f>IF(J960="","",IF(L960="",1,COUNTIF($L$2:$L$1501,L960)))</f>
        <v/>
      </c>
      <c r="Q960" s="11">
        <f>IF(J960="","",IFERROR(VALUE(SUBSTITUTE(SUBSTITUTE(IF(G960="","",G960)&amp;"","$",""),",","")),0)/IF("No"="Yes",P960,1))</f>
        <v/>
      </c>
      <c r="R960" s="11">
        <f>IF(J960="","",IFERROR(VALUE(SUBSTITUTE(SUBSTITUTE(IF(H960="","",H960)&amp;"","$",""),",","")),0)/IF("No"="Yes",P960,1))</f>
        <v/>
      </c>
      <c r="S960" s="11">
        <f>IF(J960="","",O960+Q960-R960)</f>
        <v/>
      </c>
      <c r="T960">
        <f>IF(J960="","",IFERROR(IF(K960="",NA(),MATCH(K960,Products!$B$5:$B$204,0)),IFERROR(MATCH(J960,Products!$A$5:$A$204,0),"")))</f>
        <v/>
      </c>
      <c r="U960">
        <f>IF(J960="","",IF(T960="","⚠ not in Products",INDEX(Products!$A$5:$A$204,T960)))</f>
        <v/>
      </c>
      <c r="V960" s="11">
        <f>IF(J960="","",S960*(IFERROR(INDEX(Settings!$B$5:$B$9,MATCH($B960,Settings!$A$5:$A$9,0)),0)+IFERROR(INDEX(Settings!$E$5:$E$9,MATCH($B960,Settings!$A$5:$A$9,0)),0)+IFERROR(INDEX(Settings!$G$5:$G$9,MATCH($B960,Settings!$A$5:$A$9,0)),0))+(IFERROR(INDEX(Settings!$C$5:$C$9,MATCH($B960,Settings!$A$5:$A$9,0)),0)+IFERROR(INDEX(Settings!$F$5:$F$9,MATCH($B960,Settings!$A$5:$A$9,0)),0))/P960+IFERROR(INDEX(Settings!$D$5:$D$9,MATCH($B960,Settings!$A$5:$A$9,0)),0)*M960)</f>
        <v/>
      </c>
      <c r="W960" s="11">
        <f>IF(J960="","",IF(T960="",0,M960*INDEX(Products!$I$5:$I$204,T960)))</f>
        <v/>
      </c>
      <c r="X960" s="11">
        <f>IF(J960="","",IF(T960="",0,S960*INDEX(Products!$H$5:$H$204,T960)))</f>
        <v/>
      </c>
      <c r="Y960" s="11">
        <f>IF(J960="","",S960-V960-W960-X960)</f>
        <v/>
      </c>
    </row>
    <row r="961">
      <c r="A961" s="19" t="n"/>
      <c r="B961" s="19" t="n"/>
      <c r="C961" s="19" t="n"/>
      <c r="D961" s="19" t="n"/>
      <c r="E961" s="19" t="n"/>
      <c r="F961" s="20" t="n"/>
      <c r="G961" s="20" t="n"/>
      <c r="H961" s="20" t="n"/>
      <c r="I961" s="19" t="n"/>
      <c r="J961">
        <f>IFERROR(IF(C961="","",C961)&amp;"","")</f>
        <v/>
      </c>
      <c r="K961">
        <f>IFERROR(IF(D961="","",D961)&amp;"","")</f>
        <v/>
      </c>
      <c r="L961">
        <f>IFERROR(IF(I961="","",I961)&amp;"","")</f>
        <v/>
      </c>
      <c r="M961">
        <f>IF(J961="","",IFERROR(VALUE(SUBSTITUTE(SUBSTITUTE(IF(E961="","",E961)&amp;"","$",""),",","")),0))</f>
        <v/>
      </c>
      <c r="N961" s="11">
        <f>IF(J961="","",IFERROR(VALUE(SUBSTITUTE(SUBSTITUTE(IF(F961="","",F961)&amp;"","$",""),",","")),0))</f>
        <v/>
      </c>
      <c r="O961" s="11">
        <f>IF(J961="","",M961*N961)</f>
        <v/>
      </c>
      <c r="P961">
        <f>IF(J961="","",IF(L961="",1,COUNTIF($L$2:$L$1501,L961)))</f>
        <v/>
      </c>
      <c r="Q961" s="11">
        <f>IF(J961="","",IFERROR(VALUE(SUBSTITUTE(SUBSTITUTE(IF(G961="","",G961)&amp;"","$",""),",","")),0)/IF("No"="Yes",P961,1))</f>
        <v/>
      </c>
      <c r="R961" s="11">
        <f>IF(J961="","",IFERROR(VALUE(SUBSTITUTE(SUBSTITUTE(IF(H961="","",H961)&amp;"","$",""),",","")),0)/IF("No"="Yes",P961,1))</f>
        <v/>
      </c>
      <c r="S961" s="11">
        <f>IF(J961="","",O961+Q961-R961)</f>
        <v/>
      </c>
      <c r="T961">
        <f>IF(J961="","",IFERROR(IF(K961="",NA(),MATCH(K961,Products!$B$5:$B$204,0)),IFERROR(MATCH(J961,Products!$A$5:$A$204,0),"")))</f>
        <v/>
      </c>
      <c r="U961">
        <f>IF(J961="","",IF(T961="","⚠ not in Products",INDEX(Products!$A$5:$A$204,T961)))</f>
        <v/>
      </c>
      <c r="V961" s="11">
        <f>IF(J961="","",S961*(IFERROR(INDEX(Settings!$B$5:$B$9,MATCH($B961,Settings!$A$5:$A$9,0)),0)+IFERROR(INDEX(Settings!$E$5:$E$9,MATCH($B961,Settings!$A$5:$A$9,0)),0)+IFERROR(INDEX(Settings!$G$5:$G$9,MATCH($B961,Settings!$A$5:$A$9,0)),0))+(IFERROR(INDEX(Settings!$C$5:$C$9,MATCH($B961,Settings!$A$5:$A$9,0)),0)+IFERROR(INDEX(Settings!$F$5:$F$9,MATCH($B961,Settings!$A$5:$A$9,0)),0))/P961+IFERROR(INDEX(Settings!$D$5:$D$9,MATCH($B961,Settings!$A$5:$A$9,0)),0)*M961)</f>
        <v/>
      </c>
      <c r="W961" s="11">
        <f>IF(J961="","",IF(T961="",0,M961*INDEX(Products!$I$5:$I$204,T961)))</f>
        <v/>
      </c>
      <c r="X961" s="11">
        <f>IF(J961="","",IF(T961="",0,S961*INDEX(Products!$H$5:$H$204,T961)))</f>
        <v/>
      </c>
      <c r="Y961" s="11">
        <f>IF(J961="","",S961-V961-W961-X961)</f>
        <v/>
      </c>
    </row>
    <row r="962">
      <c r="A962" s="19" t="n"/>
      <c r="B962" s="19" t="n"/>
      <c r="C962" s="19" t="n"/>
      <c r="D962" s="19" t="n"/>
      <c r="E962" s="19" t="n"/>
      <c r="F962" s="20" t="n"/>
      <c r="G962" s="20" t="n"/>
      <c r="H962" s="20" t="n"/>
      <c r="I962" s="19" t="n"/>
      <c r="J962">
        <f>IFERROR(IF(C962="","",C962)&amp;"","")</f>
        <v/>
      </c>
      <c r="K962">
        <f>IFERROR(IF(D962="","",D962)&amp;"","")</f>
        <v/>
      </c>
      <c r="L962">
        <f>IFERROR(IF(I962="","",I962)&amp;"","")</f>
        <v/>
      </c>
      <c r="M962">
        <f>IF(J962="","",IFERROR(VALUE(SUBSTITUTE(SUBSTITUTE(IF(E962="","",E962)&amp;"","$",""),",","")),0))</f>
        <v/>
      </c>
      <c r="N962" s="11">
        <f>IF(J962="","",IFERROR(VALUE(SUBSTITUTE(SUBSTITUTE(IF(F962="","",F962)&amp;"","$",""),",","")),0))</f>
        <v/>
      </c>
      <c r="O962" s="11">
        <f>IF(J962="","",M962*N962)</f>
        <v/>
      </c>
      <c r="P962">
        <f>IF(J962="","",IF(L962="",1,COUNTIF($L$2:$L$1501,L962)))</f>
        <v/>
      </c>
      <c r="Q962" s="11">
        <f>IF(J962="","",IFERROR(VALUE(SUBSTITUTE(SUBSTITUTE(IF(G962="","",G962)&amp;"","$",""),",","")),0)/IF("No"="Yes",P962,1))</f>
        <v/>
      </c>
      <c r="R962" s="11">
        <f>IF(J962="","",IFERROR(VALUE(SUBSTITUTE(SUBSTITUTE(IF(H962="","",H962)&amp;"","$",""),",","")),0)/IF("No"="Yes",P962,1))</f>
        <v/>
      </c>
      <c r="S962" s="11">
        <f>IF(J962="","",O962+Q962-R962)</f>
        <v/>
      </c>
      <c r="T962">
        <f>IF(J962="","",IFERROR(IF(K962="",NA(),MATCH(K962,Products!$B$5:$B$204,0)),IFERROR(MATCH(J962,Products!$A$5:$A$204,0),"")))</f>
        <v/>
      </c>
      <c r="U962">
        <f>IF(J962="","",IF(T962="","⚠ not in Products",INDEX(Products!$A$5:$A$204,T962)))</f>
        <v/>
      </c>
      <c r="V962" s="11">
        <f>IF(J962="","",S962*(IFERROR(INDEX(Settings!$B$5:$B$9,MATCH($B962,Settings!$A$5:$A$9,0)),0)+IFERROR(INDEX(Settings!$E$5:$E$9,MATCH($B962,Settings!$A$5:$A$9,0)),0)+IFERROR(INDEX(Settings!$G$5:$G$9,MATCH($B962,Settings!$A$5:$A$9,0)),0))+(IFERROR(INDEX(Settings!$C$5:$C$9,MATCH($B962,Settings!$A$5:$A$9,0)),0)+IFERROR(INDEX(Settings!$F$5:$F$9,MATCH($B962,Settings!$A$5:$A$9,0)),0))/P962+IFERROR(INDEX(Settings!$D$5:$D$9,MATCH($B962,Settings!$A$5:$A$9,0)),0)*M962)</f>
        <v/>
      </c>
      <c r="W962" s="11">
        <f>IF(J962="","",IF(T962="",0,M962*INDEX(Products!$I$5:$I$204,T962)))</f>
        <v/>
      </c>
      <c r="X962" s="11">
        <f>IF(J962="","",IF(T962="",0,S962*INDEX(Products!$H$5:$H$204,T962)))</f>
        <v/>
      </c>
      <c r="Y962" s="11">
        <f>IF(J962="","",S962-V962-W962-X962)</f>
        <v/>
      </c>
    </row>
    <row r="963">
      <c r="A963" s="19" t="n"/>
      <c r="B963" s="19" t="n"/>
      <c r="C963" s="19" t="n"/>
      <c r="D963" s="19" t="n"/>
      <c r="E963" s="19" t="n"/>
      <c r="F963" s="20" t="n"/>
      <c r="G963" s="20" t="n"/>
      <c r="H963" s="20" t="n"/>
      <c r="I963" s="19" t="n"/>
      <c r="J963">
        <f>IFERROR(IF(C963="","",C963)&amp;"","")</f>
        <v/>
      </c>
      <c r="K963">
        <f>IFERROR(IF(D963="","",D963)&amp;"","")</f>
        <v/>
      </c>
      <c r="L963">
        <f>IFERROR(IF(I963="","",I963)&amp;"","")</f>
        <v/>
      </c>
      <c r="M963">
        <f>IF(J963="","",IFERROR(VALUE(SUBSTITUTE(SUBSTITUTE(IF(E963="","",E963)&amp;"","$",""),",","")),0))</f>
        <v/>
      </c>
      <c r="N963" s="11">
        <f>IF(J963="","",IFERROR(VALUE(SUBSTITUTE(SUBSTITUTE(IF(F963="","",F963)&amp;"","$",""),",","")),0))</f>
        <v/>
      </c>
      <c r="O963" s="11">
        <f>IF(J963="","",M963*N963)</f>
        <v/>
      </c>
      <c r="P963">
        <f>IF(J963="","",IF(L963="",1,COUNTIF($L$2:$L$1501,L963)))</f>
        <v/>
      </c>
      <c r="Q963" s="11">
        <f>IF(J963="","",IFERROR(VALUE(SUBSTITUTE(SUBSTITUTE(IF(G963="","",G963)&amp;"","$",""),",","")),0)/IF("No"="Yes",P963,1))</f>
        <v/>
      </c>
      <c r="R963" s="11">
        <f>IF(J963="","",IFERROR(VALUE(SUBSTITUTE(SUBSTITUTE(IF(H963="","",H963)&amp;"","$",""),",","")),0)/IF("No"="Yes",P963,1))</f>
        <v/>
      </c>
      <c r="S963" s="11">
        <f>IF(J963="","",O963+Q963-R963)</f>
        <v/>
      </c>
      <c r="T963">
        <f>IF(J963="","",IFERROR(IF(K963="",NA(),MATCH(K963,Products!$B$5:$B$204,0)),IFERROR(MATCH(J963,Products!$A$5:$A$204,0),"")))</f>
        <v/>
      </c>
      <c r="U963">
        <f>IF(J963="","",IF(T963="","⚠ not in Products",INDEX(Products!$A$5:$A$204,T963)))</f>
        <v/>
      </c>
      <c r="V963" s="11">
        <f>IF(J963="","",S963*(IFERROR(INDEX(Settings!$B$5:$B$9,MATCH($B963,Settings!$A$5:$A$9,0)),0)+IFERROR(INDEX(Settings!$E$5:$E$9,MATCH($B963,Settings!$A$5:$A$9,0)),0)+IFERROR(INDEX(Settings!$G$5:$G$9,MATCH($B963,Settings!$A$5:$A$9,0)),0))+(IFERROR(INDEX(Settings!$C$5:$C$9,MATCH($B963,Settings!$A$5:$A$9,0)),0)+IFERROR(INDEX(Settings!$F$5:$F$9,MATCH($B963,Settings!$A$5:$A$9,0)),0))/P963+IFERROR(INDEX(Settings!$D$5:$D$9,MATCH($B963,Settings!$A$5:$A$9,0)),0)*M963)</f>
        <v/>
      </c>
      <c r="W963" s="11">
        <f>IF(J963="","",IF(T963="",0,M963*INDEX(Products!$I$5:$I$204,T963)))</f>
        <v/>
      </c>
      <c r="X963" s="11">
        <f>IF(J963="","",IF(T963="",0,S963*INDEX(Products!$H$5:$H$204,T963)))</f>
        <v/>
      </c>
      <c r="Y963" s="11">
        <f>IF(J963="","",S963-V963-W963-X963)</f>
        <v/>
      </c>
    </row>
    <row r="964">
      <c r="A964" s="19" t="n"/>
      <c r="B964" s="19" t="n"/>
      <c r="C964" s="19" t="n"/>
      <c r="D964" s="19" t="n"/>
      <c r="E964" s="19" t="n"/>
      <c r="F964" s="20" t="n"/>
      <c r="G964" s="20" t="n"/>
      <c r="H964" s="20" t="n"/>
      <c r="I964" s="19" t="n"/>
      <c r="J964">
        <f>IFERROR(IF(C964="","",C964)&amp;"","")</f>
        <v/>
      </c>
      <c r="K964">
        <f>IFERROR(IF(D964="","",D964)&amp;"","")</f>
        <v/>
      </c>
      <c r="L964">
        <f>IFERROR(IF(I964="","",I964)&amp;"","")</f>
        <v/>
      </c>
      <c r="M964">
        <f>IF(J964="","",IFERROR(VALUE(SUBSTITUTE(SUBSTITUTE(IF(E964="","",E964)&amp;"","$",""),",","")),0))</f>
        <v/>
      </c>
      <c r="N964" s="11">
        <f>IF(J964="","",IFERROR(VALUE(SUBSTITUTE(SUBSTITUTE(IF(F964="","",F964)&amp;"","$",""),",","")),0))</f>
        <v/>
      </c>
      <c r="O964" s="11">
        <f>IF(J964="","",M964*N964)</f>
        <v/>
      </c>
      <c r="P964">
        <f>IF(J964="","",IF(L964="",1,COUNTIF($L$2:$L$1501,L964)))</f>
        <v/>
      </c>
      <c r="Q964" s="11">
        <f>IF(J964="","",IFERROR(VALUE(SUBSTITUTE(SUBSTITUTE(IF(G964="","",G964)&amp;"","$",""),",","")),0)/IF("No"="Yes",P964,1))</f>
        <v/>
      </c>
      <c r="R964" s="11">
        <f>IF(J964="","",IFERROR(VALUE(SUBSTITUTE(SUBSTITUTE(IF(H964="","",H964)&amp;"","$",""),",","")),0)/IF("No"="Yes",P964,1))</f>
        <v/>
      </c>
      <c r="S964" s="11">
        <f>IF(J964="","",O964+Q964-R964)</f>
        <v/>
      </c>
      <c r="T964">
        <f>IF(J964="","",IFERROR(IF(K964="",NA(),MATCH(K964,Products!$B$5:$B$204,0)),IFERROR(MATCH(J964,Products!$A$5:$A$204,0),"")))</f>
        <v/>
      </c>
      <c r="U964">
        <f>IF(J964="","",IF(T964="","⚠ not in Products",INDEX(Products!$A$5:$A$204,T964)))</f>
        <v/>
      </c>
      <c r="V964" s="11">
        <f>IF(J964="","",S964*(IFERROR(INDEX(Settings!$B$5:$B$9,MATCH($B964,Settings!$A$5:$A$9,0)),0)+IFERROR(INDEX(Settings!$E$5:$E$9,MATCH($B964,Settings!$A$5:$A$9,0)),0)+IFERROR(INDEX(Settings!$G$5:$G$9,MATCH($B964,Settings!$A$5:$A$9,0)),0))+(IFERROR(INDEX(Settings!$C$5:$C$9,MATCH($B964,Settings!$A$5:$A$9,0)),0)+IFERROR(INDEX(Settings!$F$5:$F$9,MATCH($B964,Settings!$A$5:$A$9,0)),0))/P964+IFERROR(INDEX(Settings!$D$5:$D$9,MATCH($B964,Settings!$A$5:$A$9,0)),0)*M964)</f>
        <v/>
      </c>
      <c r="W964" s="11">
        <f>IF(J964="","",IF(T964="",0,M964*INDEX(Products!$I$5:$I$204,T964)))</f>
        <v/>
      </c>
      <c r="X964" s="11">
        <f>IF(J964="","",IF(T964="",0,S964*INDEX(Products!$H$5:$H$204,T964)))</f>
        <v/>
      </c>
      <c r="Y964" s="11">
        <f>IF(J964="","",S964-V964-W964-X964)</f>
        <v/>
      </c>
    </row>
    <row r="965">
      <c r="A965" s="19" t="n"/>
      <c r="B965" s="19" t="n"/>
      <c r="C965" s="19" t="n"/>
      <c r="D965" s="19" t="n"/>
      <c r="E965" s="19" t="n"/>
      <c r="F965" s="20" t="n"/>
      <c r="G965" s="20" t="n"/>
      <c r="H965" s="20" t="n"/>
      <c r="I965" s="19" t="n"/>
      <c r="J965">
        <f>IFERROR(IF(C965="","",C965)&amp;"","")</f>
        <v/>
      </c>
      <c r="K965">
        <f>IFERROR(IF(D965="","",D965)&amp;"","")</f>
        <v/>
      </c>
      <c r="L965">
        <f>IFERROR(IF(I965="","",I965)&amp;"","")</f>
        <v/>
      </c>
      <c r="M965">
        <f>IF(J965="","",IFERROR(VALUE(SUBSTITUTE(SUBSTITUTE(IF(E965="","",E965)&amp;"","$",""),",","")),0))</f>
        <v/>
      </c>
      <c r="N965" s="11">
        <f>IF(J965="","",IFERROR(VALUE(SUBSTITUTE(SUBSTITUTE(IF(F965="","",F965)&amp;"","$",""),",","")),0))</f>
        <v/>
      </c>
      <c r="O965" s="11">
        <f>IF(J965="","",M965*N965)</f>
        <v/>
      </c>
      <c r="P965">
        <f>IF(J965="","",IF(L965="",1,COUNTIF($L$2:$L$1501,L965)))</f>
        <v/>
      </c>
      <c r="Q965" s="11">
        <f>IF(J965="","",IFERROR(VALUE(SUBSTITUTE(SUBSTITUTE(IF(G965="","",G965)&amp;"","$",""),",","")),0)/IF("No"="Yes",P965,1))</f>
        <v/>
      </c>
      <c r="R965" s="11">
        <f>IF(J965="","",IFERROR(VALUE(SUBSTITUTE(SUBSTITUTE(IF(H965="","",H965)&amp;"","$",""),",","")),0)/IF("No"="Yes",P965,1))</f>
        <v/>
      </c>
      <c r="S965" s="11">
        <f>IF(J965="","",O965+Q965-R965)</f>
        <v/>
      </c>
      <c r="T965">
        <f>IF(J965="","",IFERROR(IF(K965="",NA(),MATCH(K965,Products!$B$5:$B$204,0)),IFERROR(MATCH(J965,Products!$A$5:$A$204,0),"")))</f>
        <v/>
      </c>
      <c r="U965">
        <f>IF(J965="","",IF(T965="","⚠ not in Products",INDEX(Products!$A$5:$A$204,T965)))</f>
        <v/>
      </c>
      <c r="V965" s="11">
        <f>IF(J965="","",S965*(IFERROR(INDEX(Settings!$B$5:$B$9,MATCH($B965,Settings!$A$5:$A$9,0)),0)+IFERROR(INDEX(Settings!$E$5:$E$9,MATCH($B965,Settings!$A$5:$A$9,0)),0)+IFERROR(INDEX(Settings!$G$5:$G$9,MATCH($B965,Settings!$A$5:$A$9,0)),0))+(IFERROR(INDEX(Settings!$C$5:$C$9,MATCH($B965,Settings!$A$5:$A$9,0)),0)+IFERROR(INDEX(Settings!$F$5:$F$9,MATCH($B965,Settings!$A$5:$A$9,0)),0))/P965+IFERROR(INDEX(Settings!$D$5:$D$9,MATCH($B965,Settings!$A$5:$A$9,0)),0)*M965)</f>
        <v/>
      </c>
      <c r="W965" s="11">
        <f>IF(J965="","",IF(T965="",0,M965*INDEX(Products!$I$5:$I$204,T965)))</f>
        <v/>
      </c>
      <c r="X965" s="11">
        <f>IF(J965="","",IF(T965="",0,S965*INDEX(Products!$H$5:$H$204,T965)))</f>
        <v/>
      </c>
      <c r="Y965" s="11">
        <f>IF(J965="","",S965-V965-W965-X965)</f>
        <v/>
      </c>
    </row>
    <row r="966">
      <c r="A966" s="19" t="n"/>
      <c r="B966" s="19" t="n"/>
      <c r="C966" s="19" t="n"/>
      <c r="D966" s="19" t="n"/>
      <c r="E966" s="19" t="n"/>
      <c r="F966" s="20" t="n"/>
      <c r="G966" s="20" t="n"/>
      <c r="H966" s="20" t="n"/>
      <c r="I966" s="19" t="n"/>
      <c r="J966">
        <f>IFERROR(IF(C966="","",C966)&amp;"","")</f>
        <v/>
      </c>
      <c r="K966">
        <f>IFERROR(IF(D966="","",D966)&amp;"","")</f>
        <v/>
      </c>
      <c r="L966">
        <f>IFERROR(IF(I966="","",I966)&amp;"","")</f>
        <v/>
      </c>
      <c r="M966">
        <f>IF(J966="","",IFERROR(VALUE(SUBSTITUTE(SUBSTITUTE(IF(E966="","",E966)&amp;"","$",""),",","")),0))</f>
        <v/>
      </c>
      <c r="N966" s="11">
        <f>IF(J966="","",IFERROR(VALUE(SUBSTITUTE(SUBSTITUTE(IF(F966="","",F966)&amp;"","$",""),",","")),0))</f>
        <v/>
      </c>
      <c r="O966" s="11">
        <f>IF(J966="","",M966*N966)</f>
        <v/>
      </c>
      <c r="P966">
        <f>IF(J966="","",IF(L966="",1,COUNTIF($L$2:$L$1501,L966)))</f>
        <v/>
      </c>
      <c r="Q966" s="11">
        <f>IF(J966="","",IFERROR(VALUE(SUBSTITUTE(SUBSTITUTE(IF(G966="","",G966)&amp;"","$",""),",","")),0)/IF("No"="Yes",P966,1))</f>
        <v/>
      </c>
      <c r="R966" s="11">
        <f>IF(J966="","",IFERROR(VALUE(SUBSTITUTE(SUBSTITUTE(IF(H966="","",H966)&amp;"","$",""),",","")),0)/IF("No"="Yes",P966,1))</f>
        <v/>
      </c>
      <c r="S966" s="11">
        <f>IF(J966="","",O966+Q966-R966)</f>
        <v/>
      </c>
      <c r="T966">
        <f>IF(J966="","",IFERROR(IF(K966="",NA(),MATCH(K966,Products!$B$5:$B$204,0)),IFERROR(MATCH(J966,Products!$A$5:$A$204,0),"")))</f>
        <v/>
      </c>
      <c r="U966">
        <f>IF(J966="","",IF(T966="","⚠ not in Products",INDEX(Products!$A$5:$A$204,T966)))</f>
        <v/>
      </c>
      <c r="V966" s="11">
        <f>IF(J966="","",S966*(IFERROR(INDEX(Settings!$B$5:$B$9,MATCH($B966,Settings!$A$5:$A$9,0)),0)+IFERROR(INDEX(Settings!$E$5:$E$9,MATCH($B966,Settings!$A$5:$A$9,0)),0)+IFERROR(INDEX(Settings!$G$5:$G$9,MATCH($B966,Settings!$A$5:$A$9,0)),0))+(IFERROR(INDEX(Settings!$C$5:$C$9,MATCH($B966,Settings!$A$5:$A$9,0)),0)+IFERROR(INDEX(Settings!$F$5:$F$9,MATCH($B966,Settings!$A$5:$A$9,0)),0))/P966+IFERROR(INDEX(Settings!$D$5:$D$9,MATCH($B966,Settings!$A$5:$A$9,0)),0)*M966)</f>
        <v/>
      </c>
      <c r="W966" s="11">
        <f>IF(J966="","",IF(T966="",0,M966*INDEX(Products!$I$5:$I$204,T966)))</f>
        <v/>
      </c>
      <c r="X966" s="11">
        <f>IF(J966="","",IF(T966="",0,S966*INDEX(Products!$H$5:$H$204,T966)))</f>
        <v/>
      </c>
      <c r="Y966" s="11">
        <f>IF(J966="","",S966-V966-W966-X966)</f>
        <v/>
      </c>
    </row>
    <row r="967">
      <c r="A967" s="19" t="n"/>
      <c r="B967" s="19" t="n"/>
      <c r="C967" s="19" t="n"/>
      <c r="D967" s="19" t="n"/>
      <c r="E967" s="19" t="n"/>
      <c r="F967" s="20" t="n"/>
      <c r="G967" s="20" t="n"/>
      <c r="H967" s="20" t="n"/>
      <c r="I967" s="19" t="n"/>
      <c r="J967">
        <f>IFERROR(IF(C967="","",C967)&amp;"","")</f>
        <v/>
      </c>
      <c r="K967">
        <f>IFERROR(IF(D967="","",D967)&amp;"","")</f>
        <v/>
      </c>
      <c r="L967">
        <f>IFERROR(IF(I967="","",I967)&amp;"","")</f>
        <v/>
      </c>
      <c r="M967">
        <f>IF(J967="","",IFERROR(VALUE(SUBSTITUTE(SUBSTITUTE(IF(E967="","",E967)&amp;"","$",""),",","")),0))</f>
        <v/>
      </c>
      <c r="N967" s="11">
        <f>IF(J967="","",IFERROR(VALUE(SUBSTITUTE(SUBSTITUTE(IF(F967="","",F967)&amp;"","$",""),",","")),0))</f>
        <v/>
      </c>
      <c r="O967" s="11">
        <f>IF(J967="","",M967*N967)</f>
        <v/>
      </c>
      <c r="P967">
        <f>IF(J967="","",IF(L967="",1,COUNTIF($L$2:$L$1501,L967)))</f>
        <v/>
      </c>
      <c r="Q967" s="11">
        <f>IF(J967="","",IFERROR(VALUE(SUBSTITUTE(SUBSTITUTE(IF(G967="","",G967)&amp;"","$",""),",","")),0)/IF("No"="Yes",P967,1))</f>
        <v/>
      </c>
      <c r="R967" s="11">
        <f>IF(J967="","",IFERROR(VALUE(SUBSTITUTE(SUBSTITUTE(IF(H967="","",H967)&amp;"","$",""),",","")),0)/IF("No"="Yes",P967,1))</f>
        <v/>
      </c>
      <c r="S967" s="11">
        <f>IF(J967="","",O967+Q967-R967)</f>
        <v/>
      </c>
      <c r="T967">
        <f>IF(J967="","",IFERROR(IF(K967="",NA(),MATCH(K967,Products!$B$5:$B$204,0)),IFERROR(MATCH(J967,Products!$A$5:$A$204,0),"")))</f>
        <v/>
      </c>
      <c r="U967">
        <f>IF(J967="","",IF(T967="","⚠ not in Products",INDEX(Products!$A$5:$A$204,T967)))</f>
        <v/>
      </c>
      <c r="V967" s="11">
        <f>IF(J967="","",S967*(IFERROR(INDEX(Settings!$B$5:$B$9,MATCH($B967,Settings!$A$5:$A$9,0)),0)+IFERROR(INDEX(Settings!$E$5:$E$9,MATCH($B967,Settings!$A$5:$A$9,0)),0)+IFERROR(INDEX(Settings!$G$5:$G$9,MATCH($B967,Settings!$A$5:$A$9,0)),0))+(IFERROR(INDEX(Settings!$C$5:$C$9,MATCH($B967,Settings!$A$5:$A$9,0)),0)+IFERROR(INDEX(Settings!$F$5:$F$9,MATCH($B967,Settings!$A$5:$A$9,0)),0))/P967+IFERROR(INDEX(Settings!$D$5:$D$9,MATCH($B967,Settings!$A$5:$A$9,0)),0)*M967)</f>
        <v/>
      </c>
      <c r="W967" s="11">
        <f>IF(J967="","",IF(T967="",0,M967*INDEX(Products!$I$5:$I$204,T967)))</f>
        <v/>
      </c>
      <c r="X967" s="11">
        <f>IF(J967="","",IF(T967="",0,S967*INDEX(Products!$H$5:$H$204,T967)))</f>
        <v/>
      </c>
      <c r="Y967" s="11">
        <f>IF(J967="","",S967-V967-W967-X967)</f>
        <v/>
      </c>
    </row>
    <row r="968">
      <c r="A968" s="19" t="n"/>
      <c r="B968" s="19" t="n"/>
      <c r="C968" s="19" t="n"/>
      <c r="D968" s="19" t="n"/>
      <c r="E968" s="19" t="n"/>
      <c r="F968" s="20" t="n"/>
      <c r="G968" s="20" t="n"/>
      <c r="H968" s="20" t="n"/>
      <c r="I968" s="19" t="n"/>
      <c r="J968">
        <f>IFERROR(IF(C968="","",C968)&amp;"","")</f>
        <v/>
      </c>
      <c r="K968">
        <f>IFERROR(IF(D968="","",D968)&amp;"","")</f>
        <v/>
      </c>
      <c r="L968">
        <f>IFERROR(IF(I968="","",I968)&amp;"","")</f>
        <v/>
      </c>
      <c r="M968">
        <f>IF(J968="","",IFERROR(VALUE(SUBSTITUTE(SUBSTITUTE(IF(E968="","",E968)&amp;"","$",""),",","")),0))</f>
        <v/>
      </c>
      <c r="N968" s="11">
        <f>IF(J968="","",IFERROR(VALUE(SUBSTITUTE(SUBSTITUTE(IF(F968="","",F968)&amp;"","$",""),",","")),0))</f>
        <v/>
      </c>
      <c r="O968" s="11">
        <f>IF(J968="","",M968*N968)</f>
        <v/>
      </c>
      <c r="P968">
        <f>IF(J968="","",IF(L968="",1,COUNTIF($L$2:$L$1501,L968)))</f>
        <v/>
      </c>
      <c r="Q968" s="11">
        <f>IF(J968="","",IFERROR(VALUE(SUBSTITUTE(SUBSTITUTE(IF(G968="","",G968)&amp;"","$",""),",","")),0)/IF("No"="Yes",P968,1))</f>
        <v/>
      </c>
      <c r="R968" s="11">
        <f>IF(J968="","",IFERROR(VALUE(SUBSTITUTE(SUBSTITUTE(IF(H968="","",H968)&amp;"","$",""),",","")),0)/IF("No"="Yes",P968,1))</f>
        <v/>
      </c>
      <c r="S968" s="11">
        <f>IF(J968="","",O968+Q968-R968)</f>
        <v/>
      </c>
      <c r="T968">
        <f>IF(J968="","",IFERROR(IF(K968="",NA(),MATCH(K968,Products!$B$5:$B$204,0)),IFERROR(MATCH(J968,Products!$A$5:$A$204,0),"")))</f>
        <v/>
      </c>
      <c r="U968">
        <f>IF(J968="","",IF(T968="","⚠ not in Products",INDEX(Products!$A$5:$A$204,T968)))</f>
        <v/>
      </c>
      <c r="V968" s="11">
        <f>IF(J968="","",S968*(IFERROR(INDEX(Settings!$B$5:$B$9,MATCH($B968,Settings!$A$5:$A$9,0)),0)+IFERROR(INDEX(Settings!$E$5:$E$9,MATCH($B968,Settings!$A$5:$A$9,0)),0)+IFERROR(INDEX(Settings!$G$5:$G$9,MATCH($B968,Settings!$A$5:$A$9,0)),0))+(IFERROR(INDEX(Settings!$C$5:$C$9,MATCH($B968,Settings!$A$5:$A$9,0)),0)+IFERROR(INDEX(Settings!$F$5:$F$9,MATCH($B968,Settings!$A$5:$A$9,0)),0))/P968+IFERROR(INDEX(Settings!$D$5:$D$9,MATCH($B968,Settings!$A$5:$A$9,0)),0)*M968)</f>
        <v/>
      </c>
      <c r="W968" s="11">
        <f>IF(J968="","",IF(T968="",0,M968*INDEX(Products!$I$5:$I$204,T968)))</f>
        <v/>
      </c>
      <c r="X968" s="11">
        <f>IF(J968="","",IF(T968="",0,S968*INDEX(Products!$H$5:$H$204,T968)))</f>
        <v/>
      </c>
      <c r="Y968" s="11">
        <f>IF(J968="","",S968-V968-W968-X968)</f>
        <v/>
      </c>
    </row>
    <row r="969">
      <c r="A969" s="19" t="n"/>
      <c r="B969" s="19" t="n"/>
      <c r="C969" s="19" t="n"/>
      <c r="D969" s="19" t="n"/>
      <c r="E969" s="19" t="n"/>
      <c r="F969" s="20" t="n"/>
      <c r="G969" s="20" t="n"/>
      <c r="H969" s="20" t="n"/>
      <c r="I969" s="19" t="n"/>
      <c r="J969">
        <f>IFERROR(IF(C969="","",C969)&amp;"","")</f>
        <v/>
      </c>
      <c r="K969">
        <f>IFERROR(IF(D969="","",D969)&amp;"","")</f>
        <v/>
      </c>
      <c r="L969">
        <f>IFERROR(IF(I969="","",I969)&amp;"","")</f>
        <v/>
      </c>
      <c r="M969">
        <f>IF(J969="","",IFERROR(VALUE(SUBSTITUTE(SUBSTITUTE(IF(E969="","",E969)&amp;"","$",""),",","")),0))</f>
        <v/>
      </c>
      <c r="N969" s="11">
        <f>IF(J969="","",IFERROR(VALUE(SUBSTITUTE(SUBSTITUTE(IF(F969="","",F969)&amp;"","$",""),",","")),0))</f>
        <v/>
      </c>
      <c r="O969" s="11">
        <f>IF(J969="","",M969*N969)</f>
        <v/>
      </c>
      <c r="P969">
        <f>IF(J969="","",IF(L969="",1,COUNTIF($L$2:$L$1501,L969)))</f>
        <v/>
      </c>
      <c r="Q969" s="11">
        <f>IF(J969="","",IFERROR(VALUE(SUBSTITUTE(SUBSTITUTE(IF(G969="","",G969)&amp;"","$",""),",","")),0)/IF("No"="Yes",P969,1))</f>
        <v/>
      </c>
      <c r="R969" s="11">
        <f>IF(J969="","",IFERROR(VALUE(SUBSTITUTE(SUBSTITUTE(IF(H969="","",H969)&amp;"","$",""),",","")),0)/IF("No"="Yes",P969,1))</f>
        <v/>
      </c>
      <c r="S969" s="11">
        <f>IF(J969="","",O969+Q969-R969)</f>
        <v/>
      </c>
      <c r="T969">
        <f>IF(J969="","",IFERROR(IF(K969="",NA(),MATCH(K969,Products!$B$5:$B$204,0)),IFERROR(MATCH(J969,Products!$A$5:$A$204,0),"")))</f>
        <v/>
      </c>
      <c r="U969">
        <f>IF(J969="","",IF(T969="","⚠ not in Products",INDEX(Products!$A$5:$A$204,T969)))</f>
        <v/>
      </c>
      <c r="V969" s="11">
        <f>IF(J969="","",S969*(IFERROR(INDEX(Settings!$B$5:$B$9,MATCH($B969,Settings!$A$5:$A$9,0)),0)+IFERROR(INDEX(Settings!$E$5:$E$9,MATCH($B969,Settings!$A$5:$A$9,0)),0)+IFERROR(INDEX(Settings!$G$5:$G$9,MATCH($B969,Settings!$A$5:$A$9,0)),0))+(IFERROR(INDEX(Settings!$C$5:$C$9,MATCH($B969,Settings!$A$5:$A$9,0)),0)+IFERROR(INDEX(Settings!$F$5:$F$9,MATCH($B969,Settings!$A$5:$A$9,0)),0))/P969+IFERROR(INDEX(Settings!$D$5:$D$9,MATCH($B969,Settings!$A$5:$A$9,0)),0)*M969)</f>
        <v/>
      </c>
      <c r="W969" s="11">
        <f>IF(J969="","",IF(T969="",0,M969*INDEX(Products!$I$5:$I$204,T969)))</f>
        <v/>
      </c>
      <c r="X969" s="11">
        <f>IF(J969="","",IF(T969="",0,S969*INDEX(Products!$H$5:$H$204,T969)))</f>
        <v/>
      </c>
      <c r="Y969" s="11">
        <f>IF(J969="","",S969-V969-W969-X969)</f>
        <v/>
      </c>
    </row>
    <row r="970">
      <c r="A970" s="19" t="n"/>
      <c r="B970" s="19" t="n"/>
      <c r="C970" s="19" t="n"/>
      <c r="D970" s="19" t="n"/>
      <c r="E970" s="19" t="n"/>
      <c r="F970" s="20" t="n"/>
      <c r="G970" s="20" t="n"/>
      <c r="H970" s="20" t="n"/>
      <c r="I970" s="19" t="n"/>
      <c r="J970">
        <f>IFERROR(IF(C970="","",C970)&amp;"","")</f>
        <v/>
      </c>
      <c r="K970">
        <f>IFERROR(IF(D970="","",D970)&amp;"","")</f>
        <v/>
      </c>
      <c r="L970">
        <f>IFERROR(IF(I970="","",I970)&amp;"","")</f>
        <v/>
      </c>
      <c r="M970">
        <f>IF(J970="","",IFERROR(VALUE(SUBSTITUTE(SUBSTITUTE(IF(E970="","",E970)&amp;"","$",""),",","")),0))</f>
        <v/>
      </c>
      <c r="N970" s="11">
        <f>IF(J970="","",IFERROR(VALUE(SUBSTITUTE(SUBSTITUTE(IF(F970="","",F970)&amp;"","$",""),",","")),0))</f>
        <v/>
      </c>
      <c r="O970" s="11">
        <f>IF(J970="","",M970*N970)</f>
        <v/>
      </c>
      <c r="P970">
        <f>IF(J970="","",IF(L970="",1,COUNTIF($L$2:$L$1501,L970)))</f>
        <v/>
      </c>
      <c r="Q970" s="11">
        <f>IF(J970="","",IFERROR(VALUE(SUBSTITUTE(SUBSTITUTE(IF(G970="","",G970)&amp;"","$",""),",","")),0)/IF("No"="Yes",P970,1))</f>
        <v/>
      </c>
      <c r="R970" s="11">
        <f>IF(J970="","",IFERROR(VALUE(SUBSTITUTE(SUBSTITUTE(IF(H970="","",H970)&amp;"","$",""),",","")),0)/IF("No"="Yes",P970,1))</f>
        <v/>
      </c>
      <c r="S970" s="11">
        <f>IF(J970="","",O970+Q970-R970)</f>
        <v/>
      </c>
      <c r="T970">
        <f>IF(J970="","",IFERROR(IF(K970="",NA(),MATCH(K970,Products!$B$5:$B$204,0)),IFERROR(MATCH(J970,Products!$A$5:$A$204,0),"")))</f>
        <v/>
      </c>
      <c r="U970">
        <f>IF(J970="","",IF(T970="","⚠ not in Products",INDEX(Products!$A$5:$A$204,T970)))</f>
        <v/>
      </c>
      <c r="V970" s="11">
        <f>IF(J970="","",S970*(IFERROR(INDEX(Settings!$B$5:$B$9,MATCH($B970,Settings!$A$5:$A$9,0)),0)+IFERROR(INDEX(Settings!$E$5:$E$9,MATCH($B970,Settings!$A$5:$A$9,0)),0)+IFERROR(INDEX(Settings!$G$5:$G$9,MATCH($B970,Settings!$A$5:$A$9,0)),0))+(IFERROR(INDEX(Settings!$C$5:$C$9,MATCH($B970,Settings!$A$5:$A$9,0)),0)+IFERROR(INDEX(Settings!$F$5:$F$9,MATCH($B970,Settings!$A$5:$A$9,0)),0))/P970+IFERROR(INDEX(Settings!$D$5:$D$9,MATCH($B970,Settings!$A$5:$A$9,0)),0)*M970)</f>
        <v/>
      </c>
      <c r="W970" s="11">
        <f>IF(J970="","",IF(T970="",0,M970*INDEX(Products!$I$5:$I$204,T970)))</f>
        <v/>
      </c>
      <c r="X970" s="11">
        <f>IF(J970="","",IF(T970="",0,S970*INDEX(Products!$H$5:$H$204,T970)))</f>
        <v/>
      </c>
      <c r="Y970" s="11">
        <f>IF(J970="","",S970-V970-W970-X970)</f>
        <v/>
      </c>
    </row>
    <row r="971">
      <c r="A971" s="19" t="n"/>
      <c r="B971" s="19" t="n"/>
      <c r="C971" s="19" t="n"/>
      <c r="D971" s="19" t="n"/>
      <c r="E971" s="19" t="n"/>
      <c r="F971" s="20" t="n"/>
      <c r="G971" s="20" t="n"/>
      <c r="H971" s="20" t="n"/>
      <c r="I971" s="19" t="n"/>
      <c r="J971">
        <f>IFERROR(IF(C971="","",C971)&amp;"","")</f>
        <v/>
      </c>
      <c r="K971">
        <f>IFERROR(IF(D971="","",D971)&amp;"","")</f>
        <v/>
      </c>
      <c r="L971">
        <f>IFERROR(IF(I971="","",I971)&amp;"","")</f>
        <v/>
      </c>
      <c r="M971">
        <f>IF(J971="","",IFERROR(VALUE(SUBSTITUTE(SUBSTITUTE(IF(E971="","",E971)&amp;"","$",""),",","")),0))</f>
        <v/>
      </c>
      <c r="N971" s="11">
        <f>IF(J971="","",IFERROR(VALUE(SUBSTITUTE(SUBSTITUTE(IF(F971="","",F971)&amp;"","$",""),",","")),0))</f>
        <v/>
      </c>
      <c r="O971" s="11">
        <f>IF(J971="","",M971*N971)</f>
        <v/>
      </c>
      <c r="P971">
        <f>IF(J971="","",IF(L971="",1,COUNTIF($L$2:$L$1501,L971)))</f>
        <v/>
      </c>
      <c r="Q971" s="11">
        <f>IF(J971="","",IFERROR(VALUE(SUBSTITUTE(SUBSTITUTE(IF(G971="","",G971)&amp;"","$",""),",","")),0)/IF("No"="Yes",P971,1))</f>
        <v/>
      </c>
      <c r="R971" s="11">
        <f>IF(J971="","",IFERROR(VALUE(SUBSTITUTE(SUBSTITUTE(IF(H971="","",H971)&amp;"","$",""),",","")),0)/IF("No"="Yes",P971,1))</f>
        <v/>
      </c>
      <c r="S971" s="11">
        <f>IF(J971="","",O971+Q971-R971)</f>
        <v/>
      </c>
      <c r="T971">
        <f>IF(J971="","",IFERROR(IF(K971="",NA(),MATCH(K971,Products!$B$5:$B$204,0)),IFERROR(MATCH(J971,Products!$A$5:$A$204,0),"")))</f>
        <v/>
      </c>
      <c r="U971">
        <f>IF(J971="","",IF(T971="","⚠ not in Products",INDEX(Products!$A$5:$A$204,T971)))</f>
        <v/>
      </c>
      <c r="V971" s="11">
        <f>IF(J971="","",S971*(IFERROR(INDEX(Settings!$B$5:$B$9,MATCH($B971,Settings!$A$5:$A$9,0)),0)+IFERROR(INDEX(Settings!$E$5:$E$9,MATCH($B971,Settings!$A$5:$A$9,0)),0)+IFERROR(INDEX(Settings!$G$5:$G$9,MATCH($B971,Settings!$A$5:$A$9,0)),0))+(IFERROR(INDEX(Settings!$C$5:$C$9,MATCH($B971,Settings!$A$5:$A$9,0)),0)+IFERROR(INDEX(Settings!$F$5:$F$9,MATCH($B971,Settings!$A$5:$A$9,0)),0))/P971+IFERROR(INDEX(Settings!$D$5:$D$9,MATCH($B971,Settings!$A$5:$A$9,0)),0)*M971)</f>
        <v/>
      </c>
      <c r="W971" s="11">
        <f>IF(J971="","",IF(T971="",0,M971*INDEX(Products!$I$5:$I$204,T971)))</f>
        <v/>
      </c>
      <c r="X971" s="11">
        <f>IF(J971="","",IF(T971="",0,S971*INDEX(Products!$H$5:$H$204,T971)))</f>
        <v/>
      </c>
      <c r="Y971" s="11">
        <f>IF(J971="","",S971-V971-W971-X971)</f>
        <v/>
      </c>
    </row>
    <row r="972">
      <c r="A972" s="19" t="n"/>
      <c r="B972" s="19" t="n"/>
      <c r="C972" s="19" t="n"/>
      <c r="D972" s="19" t="n"/>
      <c r="E972" s="19" t="n"/>
      <c r="F972" s="20" t="n"/>
      <c r="G972" s="20" t="n"/>
      <c r="H972" s="20" t="n"/>
      <c r="I972" s="19" t="n"/>
      <c r="J972">
        <f>IFERROR(IF(C972="","",C972)&amp;"","")</f>
        <v/>
      </c>
      <c r="K972">
        <f>IFERROR(IF(D972="","",D972)&amp;"","")</f>
        <v/>
      </c>
      <c r="L972">
        <f>IFERROR(IF(I972="","",I972)&amp;"","")</f>
        <v/>
      </c>
      <c r="M972">
        <f>IF(J972="","",IFERROR(VALUE(SUBSTITUTE(SUBSTITUTE(IF(E972="","",E972)&amp;"","$",""),",","")),0))</f>
        <v/>
      </c>
      <c r="N972" s="11">
        <f>IF(J972="","",IFERROR(VALUE(SUBSTITUTE(SUBSTITUTE(IF(F972="","",F972)&amp;"","$",""),",","")),0))</f>
        <v/>
      </c>
      <c r="O972" s="11">
        <f>IF(J972="","",M972*N972)</f>
        <v/>
      </c>
      <c r="P972">
        <f>IF(J972="","",IF(L972="",1,COUNTIF($L$2:$L$1501,L972)))</f>
        <v/>
      </c>
      <c r="Q972" s="11">
        <f>IF(J972="","",IFERROR(VALUE(SUBSTITUTE(SUBSTITUTE(IF(G972="","",G972)&amp;"","$",""),",","")),0)/IF("No"="Yes",P972,1))</f>
        <v/>
      </c>
      <c r="R972" s="11">
        <f>IF(J972="","",IFERROR(VALUE(SUBSTITUTE(SUBSTITUTE(IF(H972="","",H972)&amp;"","$",""),",","")),0)/IF("No"="Yes",P972,1))</f>
        <v/>
      </c>
      <c r="S972" s="11">
        <f>IF(J972="","",O972+Q972-R972)</f>
        <v/>
      </c>
      <c r="T972">
        <f>IF(J972="","",IFERROR(IF(K972="",NA(),MATCH(K972,Products!$B$5:$B$204,0)),IFERROR(MATCH(J972,Products!$A$5:$A$204,0),"")))</f>
        <v/>
      </c>
      <c r="U972">
        <f>IF(J972="","",IF(T972="","⚠ not in Products",INDEX(Products!$A$5:$A$204,T972)))</f>
        <v/>
      </c>
      <c r="V972" s="11">
        <f>IF(J972="","",S972*(IFERROR(INDEX(Settings!$B$5:$B$9,MATCH($B972,Settings!$A$5:$A$9,0)),0)+IFERROR(INDEX(Settings!$E$5:$E$9,MATCH($B972,Settings!$A$5:$A$9,0)),0)+IFERROR(INDEX(Settings!$G$5:$G$9,MATCH($B972,Settings!$A$5:$A$9,0)),0))+(IFERROR(INDEX(Settings!$C$5:$C$9,MATCH($B972,Settings!$A$5:$A$9,0)),0)+IFERROR(INDEX(Settings!$F$5:$F$9,MATCH($B972,Settings!$A$5:$A$9,0)),0))/P972+IFERROR(INDEX(Settings!$D$5:$D$9,MATCH($B972,Settings!$A$5:$A$9,0)),0)*M972)</f>
        <v/>
      </c>
      <c r="W972" s="11">
        <f>IF(J972="","",IF(T972="",0,M972*INDEX(Products!$I$5:$I$204,T972)))</f>
        <v/>
      </c>
      <c r="X972" s="11">
        <f>IF(J972="","",IF(T972="",0,S972*INDEX(Products!$H$5:$H$204,T972)))</f>
        <v/>
      </c>
      <c r="Y972" s="11">
        <f>IF(J972="","",S972-V972-W972-X972)</f>
        <v/>
      </c>
    </row>
    <row r="973">
      <c r="A973" s="19" t="n"/>
      <c r="B973" s="19" t="n"/>
      <c r="C973" s="19" t="n"/>
      <c r="D973" s="19" t="n"/>
      <c r="E973" s="19" t="n"/>
      <c r="F973" s="20" t="n"/>
      <c r="G973" s="20" t="n"/>
      <c r="H973" s="20" t="n"/>
      <c r="I973" s="19" t="n"/>
      <c r="J973">
        <f>IFERROR(IF(C973="","",C973)&amp;"","")</f>
        <v/>
      </c>
      <c r="K973">
        <f>IFERROR(IF(D973="","",D973)&amp;"","")</f>
        <v/>
      </c>
      <c r="L973">
        <f>IFERROR(IF(I973="","",I973)&amp;"","")</f>
        <v/>
      </c>
      <c r="M973">
        <f>IF(J973="","",IFERROR(VALUE(SUBSTITUTE(SUBSTITUTE(IF(E973="","",E973)&amp;"","$",""),",","")),0))</f>
        <v/>
      </c>
      <c r="N973" s="11">
        <f>IF(J973="","",IFERROR(VALUE(SUBSTITUTE(SUBSTITUTE(IF(F973="","",F973)&amp;"","$",""),",","")),0))</f>
        <v/>
      </c>
      <c r="O973" s="11">
        <f>IF(J973="","",M973*N973)</f>
        <v/>
      </c>
      <c r="P973">
        <f>IF(J973="","",IF(L973="",1,COUNTIF($L$2:$L$1501,L973)))</f>
        <v/>
      </c>
      <c r="Q973" s="11">
        <f>IF(J973="","",IFERROR(VALUE(SUBSTITUTE(SUBSTITUTE(IF(G973="","",G973)&amp;"","$",""),",","")),0)/IF("No"="Yes",P973,1))</f>
        <v/>
      </c>
      <c r="R973" s="11">
        <f>IF(J973="","",IFERROR(VALUE(SUBSTITUTE(SUBSTITUTE(IF(H973="","",H973)&amp;"","$",""),",","")),0)/IF("No"="Yes",P973,1))</f>
        <v/>
      </c>
      <c r="S973" s="11">
        <f>IF(J973="","",O973+Q973-R973)</f>
        <v/>
      </c>
      <c r="T973">
        <f>IF(J973="","",IFERROR(IF(K973="",NA(),MATCH(K973,Products!$B$5:$B$204,0)),IFERROR(MATCH(J973,Products!$A$5:$A$204,0),"")))</f>
        <v/>
      </c>
      <c r="U973">
        <f>IF(J973="","",IF(T973="","⚠ not in Products",INDEX(Products!$A$5:$A$204,T973)))</f>
        <v/>
      </c>
      <c r="V973" s="11">
        <f>IF(J973="","",S973*(IFERROR(INDEX(Settings!$B$5:$B$9,MATCH($B973,Settings!$A$5:$A$9,0)),0)+IFERROR(INDEX(Settings!$E$5:$E$9,MATCH($B973,Settings!$A$5:$A$9,0)),0)+IFERROR(INDEX(Settings!$G$5:$G$9,MATCH($B973,Settings!$A$5:$A$9,0)),0))+(IFERROR(INDEX(Settings!$C$5:$C$9,MATCH($B973,Settings!$A$5:$A$9,0)),0)+IFERROR(INDEX(Settings!$F$5:$F$9,MATCH($B973,Settings!$A$5:$A$9,0)),0))/P973+IFERROR(INDEX(Settings!$D$5:$D$9,MATCH($B973,Settings!$A$5:$A$9,0)),0)*M973)</f>
        <v/>
      </c>
      <c r="W973" s="11">
        <f>IF(J973="","",IF(T973="",0,M973*INDEX(Products!$I$5:$I$204,T973)))</f>
        <v/>
      </c>
      <c r="X973" s="11">
        <f>IF(J973="","",IF(T973="",0,S973*INDEX(Products!$H$5:$H$204,T973)))</f>
        <v/>
      </c>
      <c r="Y973" s="11">
        <f>IF(J973="","",S973-V973-W973-X973)</f>
        <v/>
      </c>
    </row>
    <row r="974">
      <c r="A974" s="19" t="n"/>
      <c r="B974" s="19" t="n"/>
      <c r="C974" s="19" t="n"/>
      <c r="D974" s="19" t="n"/>
      <c r="E974" s="19" t="n"/>
      <c r="F974" s="20" t="n"/>
      <c r="G974" s="20" t="n"/>
      <c r="H974" s="20" t="n"/>
      <c r="I974" s="19" t="n"/>
      <c r="J974">
        <f>IFERROR(IF(C974="","",C974)&amp;"","")</f>
        <v/>
      </c>
      <c r="K974">
        <f>IFERROR(IF(D974="","",D974)&amp;"","")</f>
        <v/>
      </c>
      <c r="L974">
        <f>IFERROR(IF(I974="","",I974)&amp;"","")</f>
        <v/>
      </c>
      <c r="M974">
        <f>IF(J974="","",IFERROR(VALUE(SUBSTITUTE(SUBSTITUTE(IF(E974="","",E974)&amp;"","$",""),",","")),0))</f>
        <v/>
      </c>
      <c r="N974" s="11">
        <f>IF(J974="","",IFERROR(VALUE(SUBSTITUTE(SUBSTITUTE(IF(F974="","",F974)&amp;"","$",""),",","")),0))</f>
        <v/>
      </c>
      <c r="O974" s="11">
        <f>IF(J974="","",M974*N974)</f>
        <v/>
      </c>
      <c r="P974">
        <f>IF(J974="","",IF(L974="",1,COUNTIF($L$2:$L$1501,L974)))</f>
        <v/>
      </c>
      <c r="Q974" s="11">
        <f>IF(J974="","",IFERROR(VALUE(SUBSTITUTE(SUBSTITUTE(IF(G974="","",G974)&amp;"","$",""),",","")),0)/IF("No"="Yes",P974,1))</f>
        <v/>
      </c>
      <c r="R974" s="11">
        <f>IF(J974="","",IFERROR(VALUE(SUBSTITUTE(SUBSTITUTE(IF(H974="","",H974)&amp;"","$",""),",","")),0)/IF("No"="Yes",P974,1))</f>
        <v/>
      </c>
      <c r="S974" s="11">
        <f>IF(J974="","",O974+Q974-R974)</f>
        <v/>
      </c>
      <c r="T974">
        <f>IF(J974="","",IFERROR(IF(K974="",NA(),MATCH(K974,Products!$B$5:$B$204,0)),IFERROR(MATCH(J974,Products!$A$5:$A$204,0),"")))</f>
        <v/>
      </c>
      <c r="U974">
        <f>IF(J974="","",IF(T974="","⚠ not in Products",INDEX(Products!$A$5:$A$204,T974)))</f>
        <v/>
      </c>
      <c r="V974" s="11">
        <f>IF(J974="","",S974*(IFERROR(INDEX(Settings!$B$5:$B$9,MATCH($B974,Settings!$A$5:$A$9,0)),0)+IFERROR(INDEX(Settings!$E$5:$E$9,MATCH($B974,Settings!$A$5:$A$9,0)),0)+IFERROR(INDEX(Settings!$G$5:$G$9,MATCH($B974,Settings!$A$5:$A$9,0)),0))+(IFERROR(INDEX(Settings!$C$5:$C$9,MATCH($B974,Settings!$A$5:$A$9,0)),0)+IFERROR(INDEX(Settings!$F$5:$F$9,MATCH($B974,Settings!$A$5:$A$9,0)),0))/P974+IFERROR(INDEX(Settings!$D$5:$D$9,MATCH($B974,Settings!$A$5:$A$9,0)),0)*M974)</f>
        <v/>
      </c>
      <c r="W974" s="11">
        <f>IF(J974="","",IF(T974="",0,M974*INDEX(Products!$I$5:$I$204,T974)))</f>
        <v/>
      </c>
      <c r="X974" s="11">
        <f>IF(J974="","",IF(T974="",0,S974*INDEX(Products!$H$5:$H$204,T974)))</f>
        <v/>
      </c>
      <c r="Y974" s="11">
        <f>IF(J974="","",S974-V974-W974-X974)</f>
        <v/>
      </c>
    </row>
    <row r="975">
      <c r="A975" s="19" t="n"/>
      <c r="B975" s="19" t="n"/>
      <c r="C975" s="19" t="n"/>
      <c r="D975" s="19" t="n"/>
      <c r="E975" s="19" t="n"/>
      <c r="F975" s="20" t="n"/>
      <c r="G975" s="20" t="n"/>
      <c r="H975" s="20" t="n"/>
      <c r="I975" s="19" t="n"/>
      <c r="J975">
        <f>IFERROR(IF(C975="","",C975)&amp;"","")</f>
        <v/>
      </c>
      <c r="K975">
        <f>IFERROR(IF(D975="","",D975)&amp;"","")</f>
        <v/>
      </c>
      <c r="L975">
        <f>IFERROR(IF(I975="","",I975)&amp;"","")</f>
        <v/>
      </c>
      <c r="M975">
        <f>IF(J975="","",IFERROR(VALUE(SUBSTITUTE(SUBSTITUTE(IF(E975="","",E975)&amp;"","$",""),",","")),0))</f>
        <v/>
      </c>
      <c r="N975" s="11">
        <f>IF(J975="","",IFERROR(VALUE(SUBSTITUTE(SUBSTITUTE(IF(F975="","",F975)&amp;"","$",""),",","")),0))</f>
        <v/>
      </c>
      <c r="O975" s="11">
        <f>IF(J975="","",M975*N975)</f>
        <v/>
      </c>
      <c r="P975">
        <f>IF(J975="","",IF(L975="",1,COUNTIF($L$2:$L$1501,L975)))</f>
        <v/>
      </c>
      <c r="Q975" s="11">
        <f>IF(J975="","",IFERROR(VALUE(SUBSTITUTE(SUBSTITUTE(IF(G975="","",G975)&amp;"","$",""),",","")),0)/IF("No"="Yes",P975,1))</f>
        <v/>
      </c>
      <c r="R975" s="11">
        <f>IF(J975="","",IFERROR(VALUE(SUBSTITUTE(SUBSTITUTE(IF(H975="","",H975)&amp;"","$",""),",","")),0)/IF("No"="Yes",P975,1))</f>
        <v/>
      </c>
      <c r="S975" s="11">
        <f>IF(J975="","",O975+Q975-R975)</f>
        <v/>
      </c>
      <c r="T975">
        <f>IF(J975="","",IFERROR(IF(K975="",NA(),MATCH(K975,Products!$B$5:$B$204,0)),IFERROR(MATCH(J975,Products!$A$5:$A$204,0),"")))</f>
        <v/>
      </c>
      <c r="U975">
        <f>IF(J975="","",IF(T975="","⚠ not in Products",INDEX(Products!$A$5:$A$204,T975)))</f>
        <v/>
      </c>
      <c r="V975" s="11">
        <f>IF(J975="","",S975*(IFERROR(INDEX(Settings!$B$5:$B$9,MATCH($B975,Settings!$A$5:$A$9,0)),0)+IFERROR(INDEX(Settings!$E$5:$E$9,MATCH($B975,Settings!$A$5:$A$9,0)),0)+IFERROR(INDEX(Settings!$G$5:$G$9,MATCH($B975,Settings!$A$5:$A$9,0)),0))+(IFERROR(INDEX(Settings!$C$5:$C$9,MATCH($B975,Settings!$A$5:$A$9,0)),0)+IFERROR(INDEX(Settings!$F$5:$F$9,MATCH($B975,Settings!$A$5:$A$9,0)),0))/P975+IFERROR(INDEX(Settings!$D$5:$D$9,MATCH($B975,Settings!$A$5:$A$9,0)),0)*M975)</f>
        <v/>
      </c>
      <c r="W975" s="11">
        <f>IF(J975="","",IF(T975="",0,M975*INDEX(Products!$I$5:$I$204,T975)))</f>
        <v/>
      </c>
      <c r="X975" s="11">
        <f>IF(J975="","",IF(T975="",0,S975*INDEX(Products!$H$5:$H$204,T975)))</f>
        <v/>
      </c>
      <c r="Y975" s="11">
        <f>IF(J975="","",S975-V975-W975-X975)</f>
        <v/>
      </c>
    </row>
    <row r="976">
      <c r="A976" s="19" t="n"/>
      <c r="B976" s="19" t="n"/>
      <c r="C976" s="19" t="n"/>
      <c r="D976" s="19" t="n"/>
      <c r="E976" s="19" t="n"/>
      <c r="F976" s="20" t="n"/>
      <c r="G976" s="20" t="n"/>
      <c r="H976" s="20" t="n"/>
      <c r="I976" s="19" t="n"/>
      <c r="J976">
        <f>IFERROR(IF(C976="","",C976)&amp;"","")</f>
        <v/>
      </c>
      <c r="K976">
        <f>IFERROR(IF(D976="","",D976)&amp;"","")</f>
        <v/>
      </c>
      <c r="L976">
        <f>IFERROR(IF(I976="","",I976)&amp;"","")</f>
        <v/>
      </c>
      <c r="M976">
        <f>IF(J976="","",IFERROR(VALUE(SUBSTITUTE(SUBSTITUTE(IF(E976="","",E976)&amp;"","$",""),",","")),0))</f>
        <v/>
      </c>
      <c r="N976" s="11">
        <f>IF(J976="","",IFERROR(VALUE(SUBSTITUTE(SUBSTITUTE(IF(F976="","",F976)&amp;"","$",""),",","")),0))</f>
        <v/>
      </c>
      <c r="O976" s="11">
        <f>IF(J976="","",M976*N976)</f>
        <v/>
      </c>
      <c r="P976">
        <f>IF(J976="","",IF(L976="",1,COUNTIF($L$2:$L$1501,L976)))</f>
        <v/>
      </c>
      <c r="Q976" s="11">
        <f>IF(J976="","",IFERROR(VALUE(SUBSTITUTE(SUBSTITUTE(IF(G976="","",G976)&amp;"","$",""),",","")),0)/IF("No"="Yes",P976,1))</f>
        <v/>
      </c>
      <c r="R976" s="11">
        <f>IF(J976="","",IFERROR(VALUE(SUBSTITUTE(SUBSTITUTE(IF(H976="","",H976)&amp;"","$",""),",","")),0)/IF("No"="Yes",P976,1))</f>
        <v/>
      </c>
      <c r="S976" s="11">
        <f>IF(J976="","",O976+Q976-R976)</f>
        <v/>
      </c>
      <c r="T976">
        <f>IF(J976="","",IFERROR(IF(K976="",NA(),MATCH(K976,Products!$B$5:$B$204,0)),IFERROR(MATCH(J976,Products!$A$5:$A$204,0),"")))</f>
        <v/>
      </c>
      <c r="U976">
        <f>IF(J976="","",IF(T976="","⚠ not in Products",INDEX(Products!$A$5:$A$204,T976)))</f>
        <v/>
      </c>
      <c r="V976" s="11">
        <f>IF(J976="","",S976*(IFERROR(INDEX(Settings!$B$5:$B$9,MATCH($B976,Settings!$A$5:$A$9,0)),0)+IFERROR(INDEX(Settings!$E$5:$E$9,MATCH($B976,Settings!$A$5:$A$9,0)),0)+IFERROR(INDEX(Settings!$G$5:$G$9,MATCH($B976,Settings!$A$5:$A$9,0)),0))+(IFERROR(INDEX(Settings!$C$5:$C$9,MATCH($B976,Settings!$A$5:$A$9,0)),0)+IFERROR(INDEX(Settings!$F$5:$F$9,MATCH($B976,Settings!$A$5:$A$9,0)),0))/P976+IFERROR(INDEX(Settings!$D$5:$D$9,MATCH($B976,Settings!$A$5:$A$9,0)),0)*M976)</f>
        <v/>
      </c>
      <c r="W976" s="11">
        <f>IF(J976="","",IF(T976="",0,M976*INDEX(Products!$I$5:$I$204,T976)))</f>
        <v/>
      </c>
      <c r="X976" s="11">
        <f>IF(J976="","",IF(T976="",0,S976*INDEX(Products!$H$5:$H$204,T976)))</f>
        <v/>
      </c>
      <c r="Y976" s="11">
        <f>IF(J976="","",S976-V976-W976-X976)</f>
        <v/>
      </c>
    </row>
    <row r="977">
      <c r="A977" s="19" t="n"/>
      <c r="B977" s="19" t="n"/>
      <c r="C977" s="19" t="n"/>
      <c r="D977" s="19" t="n"/>
      <c r="E977" s="19" t="n"/>
      <c r="F977" s="20" t="n"/>
      <c r="G977" s="20" t="n"/>
      <c r="H977" s="20" t="n"/>
      <c r="I977" s="19" t="n"/>
      <c r="J977">
        <f>IFERROR(IF(C977="","",C977)&amp;"","")</f>
        <v/>
      </c>
      <c r="K977">
        <f>IFERROR(IF(D977="","",D977)&amp;"","")</f>
        <v/>
      </c>
      <c r="L977">
        <f>IFERROR(IF(I977="","",I977)&amp;"","")</f>
        <v/>
      </c>
      <c r="M977">
        <f>IF(J977="","",IFERROR(VALUE(SUBSTITUTE(SUBSTITUTE(IF(E977="","",E977)&amp;"","$",""),",","")),0))</f>
        <v/>
      </c>
      <c r="N977" s="11">
        <f>IF(J977="","",IFERROR(VALUE(SUBSTITUTE(SUBSTITUTE(IF(F977="","",F977)&amp;"","$",""),",","")),0))</f>
        <v/>
      </c>
      <c r="O977" s="11">
        <f>IF(J977="","",M977*N977)</f>
        <v/>
      </c>
      <c r="P977">
        <f>IF(J977="","",IF(L977="",1,COUNTIF($L$2:$L$1501,L977)))</f>
        <v/>
      </c>
      <c r="Q977" s="11">
        <f>IF(J977="","",IFERROR(VALUE(SUBSTITUTE(SUBSTITUTE(IF(G977="","",G977)&amp;"","$",""),",","")),0)/IF("No"="Yes",P977,1))</f>
        <v/>
      </c>
      <c r="R977" s="11">
        <f>IF(J977="","",IFERROR(VALUE(SUBSTITUTE(SUBSTITUTE(IF(H977="","",H977)&amp;"","$",""),",","")),0)/IF("No"="Yes",P977,1))</f>
        <v/>
      </c>
      <c r="S977" s="11">
        <f>IF(J977="","",O977+Q977-R977)</f>
        <v/>
      </c>
      <c r="T977">
        <f>IF(J977="","",IFERROR(IF(K977="",NA(),MATCH(K977,Products!$B$5:$B$204,0)),IFERROR(MATCH(J977,Products!$A$5:$A$204,0),"")))</f>
        <v/>
      </c>
      <c r="U977">
        <f>IF(J977="","",IF(T977="","⚠ not in Products",INDEX(Products!$A$5:$A$204,T977)))</f>
        <v/>
      </c>
      <c r="V977" s="11">
        <f>IF(J977="","",S977*(IFERROR(INDEX(Settings!$B$5:$B$9,MATCH($B977,Settings!$A$5:$A$9,0)),0)+IFERROR(INDEX(Settings!$E$5:$E$9,MATCH($B977,Settings!$A$5:$A$9,0)),0)+IFERROR(INDEX(Settings!$G$5:$G$9,MATCH($B977,Settings!$A$5:$A$9,0)),0))+(IFERROR(INDEX(Settings!$C$5:$C$9,MATCH($B977,Settings!$A$5:$A$9,0)),0)+IFERROR(INDEX(Settings!$F$5:$F$9,MATCH($B977,Settings!$A$5:$A$9,0)),0))/P977+IFERROR(INDEX(Settings!$D$5:$D$9,MATCH($B977,Settings!$A$5:$A$9,0)),0)*M977)</f>
        <v/>
      </c>
      <c r="W977" s="11">
        <f>IF(J977="","",IF(T977="",0,M977*INDEX(Products!$I$5:$I$204,T977)))</f>
        <v/>
      </c>
      <c r="X977" s="11">
        <f>IF(J977="","",IF(T977="",0,S977*INDEX(Products!$H$5:$H$204,T977)))</f>
        <v/>
      </c>
      <c r="Y977" s="11">
        <f>IF(J977="","",S977-V977-W977-X977)</f>
        <v/>
      </c>
    </row>
    <row r="978">
      <c r="A978" s="19" t="n"/>
      <c r="B978" s="19" t="n"/>
      <c r="C978" s="19" t="n"/>
      <c r="D978" s="19" t="n"/>
      <c r="E978" s="19" t="n"/>
      <c r="F978" s="20" t="n"/>
      <c r="G978" s="20" t="n"/>
      <c r="H978" s="20" t="n"/>
      <c r="I978" s="19" t="n"/>
      <c r="J978">
        <f>IFERROR(IF(C978="","",C978)&amp;"","")</f>
        <v/>
      </c>
      <c r="K978">
        <f>IFERROR(IF(D978="","",D978)&amp;"","")</f>
        <v/>
      </c>
      <c r="L978">
        <f>IFERROR(IF(I978="","",I978)&amp;"","")</f>
        <v/>
      </c>
      <c r="M978">
        <f>IF(J978="","",IFERROR(VALUE(SUBSTITUTE(SUBSTITUTE(IF(E978="","",E978)&amp;"","$",""),",","")),0))</f>
        <v/>
      </c>
      <c r="N978" s="11">
        <f>IF(J978="","",IFERROR(VALUE(SUBSTITUTE(SUBSTITUTE(IF(F978="","",F978)&amp;"","$",""),",","")),0))</f>
        <v/>
      </c>
      <c r="O978" s="11">
        <f>IF(J978="","",M978*N978)</f>
        <v/>
      </c>
      <c r="P978">
        <f>IF(J978="","",IF(L978="",1,COUNTIF($L$2:$L$1501,L978)))</f>
        <v/>
      </c>
      <c r="Q978" s="11">
        <f>IF(J978="","",IFERROR(VALUE(SUBSTITUTE(SUBSTITUTE(IF(G978="","",G978)&amp;"","$",""),",","")),0)/IF("No"="Yes",P978,1))</f>
        <v/>
      </c>
      <c r="R978" s="11">
        <f>IF(J978="","",IFERROR(VALUE(SUBSTITUTE(SUBSTITUTE(IF(H978="","",H978)&amp;"","$",""),",","")),0)/IF("No"="Yes",P978,1))</f>
        <v/>
      </c>
      <c r="S978" s="11">
        <f>IF(J978="","",O978+Q978-R978)</f>
        <v/>
      </c>
      <c r="T978">
        <f>IF(J978="","",IFERROR(IF(K978="",NA(),MATCH(K978,Products!$B$5:$B$204,0)),IFERROR(MATCH(J978,Products!$A$5:$A$204,0),"")))</f>
        <v/>
      </c>
      <c r="U978">
        <f>IF(J978="","",IF(T978="","⚠ not in Products",INDEX(Products!$A$5:$A$204,T978)))</f>
        <v/>
      </c>
      <c r="V978" s="11">
        <f>IF(J978="","",S978*(IFERROR(INDEX(Settings!$B$5:$B$9,MATCH($B978,Settings!$A$5:$A$9,0)),0)+IFERROR(INDEX(Settings!$E$5:$E$9,MATCH($B978,Settings!$A$5:$A$9,0)),0)+IFERROR(INDEX(Settings!$G$5:$G$9,MATCH($B978,Settings!$A$5:$A$9,0)),0))+(IFERROR(INDEX(Settings!$C$5:$C$9,MATCH($B978,Settings!$A$5:$A$9,0)),0)+IFERROR(INDEX(Settings!$F$5:$F$9,MATCH($B978,Settings!$A$5:$A$9,0)),0))/P978+IFERROR(INDEX(Settings!$D$5:$D$9,MATCH($B978,Settings!$A$5:$A$9,0)),0)*M978)</f>
        <v/>
      </c>
      <c r="W978" s="11">
        <f>IF(J978="","",IF(T978="",0,M978*INDEX(Products!$I$5:$I$204,T978)))</f>
        <v/>
      </c>
      <c r="X978" s="11">
        <f>IF(J978="","",IF(T978="",0,S978*INDEX(Products!$H$5:$H$204,T978)))</f>
        <v/>
      </c>
      <c r="Y978" s="11">
        <f>IF(J978="","",S978-V978-W978-X978)</f>
        <v/>
      </c>
    </row>
    <row r="979">
      <c r="A979" s="19" t="n"/>
      <c r="B979" s="19" t="n"/>
      <c r="C979" s="19" t="n"/>
      <c r="D979" s="19" t="n"/>
      <c r="E979" s="19" t="n"/>
      <c r="F979" s="20" t="n"/>
      <c r="G979" s="20" t="n"/>
      <c r="H979" s="20" t="n"/>
      <c r="I979" s="19" t="n"/>
      <c r="J979">
        <f>IFERROR(IF(C979="","",C979)&amp;"","")</f>
        <v/>
      </c>
      <c r="K979">
        <f>IFERROR(IF(D979="","",D979)&amp;"","")</f>
        <v/>
      </c>
      <c r="L979">
        <f>IFERROR(IF(I979="","",I979)&amp;"","")</f>
        <v/>
      </c>
      <c r="M979">
        <f>IF(J979="","",IFERROR(VALUE(SUBSTITUTE(SUBSTITUTE(IF(E979="","",E979)&amp;"","$",""),",","")),0))</f>
        <v/>
      </c>
      <c r="N979" s="11">
        <f>IF(J979="","",IFERROR(VALUE(SUBSTITUTE(SUBSTITUTE(IF(F979="","",F979)&amp;"","$",""),",","")),0))</f>
        <v/>
      </c>
      <c r="O979" s="11">
        <f>IF(J979="","",M979*N979)</f>
        <v/>
      </c>
      <c r="P979">
        <f>IF(J979="","",IF(L979="",1,COUNTIF($L$2:$L$1501,L979)))</f>
        <v/>
      </c>
      <c r="Q979" s="11">
        <f>IF(J979="","",IFERROR(VALUE(SUBSTITUTE(SUBSTITUTE(IF(G979="","",G979)&amp;"","$",""),",","")),0)/IF("No"="Yes",P979,1))</f>
        <v/>
      </c>
      <c r="R979" s="11">
        <f>IF(J979="","",IFERROR(VALUE(SUBSTITUTE(SUBSTITUTE(IF(H979="","",H979)&amp;"","$",""),",","")),0)/IF("No"="Yes",P979,1))</f>
        <v/>
      </c>
      <c r="S979" s="11">
        <f>IF(J979="","",O979+Q979-R979)</f>
        <v/>
      </c>
      <c r="T979">
        <f>IF(J979="","",IFERROR(IF(K979="",NA(),MATCH(K979,Products!$B$5:$B$204,0)),IFERROR(MATCH(J979,Products!$A$5:$A$204,0),"")))</f>
        <v/>
      </c>
      <c r="U979">
        <f>IF(J979="","",IF(T979="","⚠ not in Products",INDEX(Products!$A$5:$A$204,T979)))</f>
        <v/>
      </c>
      <c r="V979" s="11">
        <f>IF(J979="","",S979*(IFERROR(INDEX(Settings!$B$5:$B$9,MATCH($B979,Settings!$A$5:$A$9,0)),0)+IFERROR(INDEX(Settings!$E$5:$E$9,MATCH($B979,Settings!$A$5:$A$9,0)),0)+IFERROR(INDEX(Settings!$G$5:$G$9,MATCH($B979,Settings!$A$5:$A$9,0)),0))+(IFERROR(INDEX(Settings!$C$5:$C$9,MATCH($B979,Settings!$A$5:$A$9,0)),0)+IFERROR(INDEX(Settings!$F$5:$F$9,MATCH($B979,Settings!$A$5:$A$9,0)),0))/P979+IFERROR(INDEX(Settings!$D$5:$D$9,MATCH($B979,Settings!$A$5:$A$9,0)),0)*M979)</f>
        <v/>
      </c>
      <c r="W979" s="11">
        <f>IF(J979="","",IF(T979="",0,M979*INDEX(Products!$I$5:$I$204,T979)))</f>
        <v/>
      </c>
      <c r="X979" s="11">
        <f>IF(J979="","",IF(T979="",0,S979*INDEX(Products!$H$5:$H$204,T979)))</f>
        <v/>
      </c>
      <c r="Y979" s="11">
        <f>IF(J979="","",S979-V979-W979-X979)</f>
        <v/>
      </c>
    </row>
    <row r="980">
      <c r="A980" s="19" t="n"/>
      <c r="B980" s="19" t="n"/>
      <c r="C980" s="19" t="n"/>
      <c r="D980" s="19" t="n"/>
      <c r="E980" s="19" t="n"/>
      <c r="F980" s="20" t="n"/>
      <c r="G980" s="20" t="n"/>
      <c r="H980" s="20" t="n"/>
      <c r="I980" s="19" t="n"/>
      <c r="J980">
        <f>IFERROR(IF(C980="","",C980)&amp;"","")</f>
        <v/>
      </c>
      <c r="K980">
        <f>IFERROR(IF(D980="","",D980)&amp;"","")</f>
        <v/>
      </c>
      <c r="L980">
        <f>IFERROR(IF(I980="","",I980)&amp;"","")</f>
        <v/>
      </c>
      <c r="M980">
        <f>IF(J980="","",IFERROR(VALUE(SUBSTITUTE(SUBSTITUTE(IF(E980="","",E980)&amp;"","$",""),",","")),0))</f>
        <v/>
      </c>
      <c r="N980" s="11">
        <f>IF(J980="","",IFERROR(VALUE(SUBSTITUTE(SUBSTITUTE(IF(F980="","",F980)&amp;"","$",""),",","")),0))</f>
        <v/>
      </c>
      <c r="O980" s="11">
        <f>IF(J980="","",M980*N980)</f>
        <v/>
      </c>
      <c r="P980">
        <f>IF(J980="","",IF(L980="",1,COUNTIF($L$2:$L$1501,L980)))</f>
        <v/>
      </c>
      <c r="Q980" s="11">
        <f>IF(J980="","",IFERROR(VALUE(SUBSTITUTE(SUBSTITUTE(IF(G980="","",G980)&amp;"","$",""),",","")),0)/IF("No"="Yes",P980,1))</f>
        <v/>
      </c>
      <c r="R980" s="11">
        <f>IF(J980="","",IFERROR(VALUE(SUBSTITUTE(SUBSTITUTE(IF(H980="","",H980)&amp;"","$",""),",","")),0)/IF("No"="Yes",P980,1))</f>
        <v/>
      </c>
      <c r="S980" s="11">
        <f>IF(J980="","",O980+Q980-R980)</f>
        <v/>
      </c>
      <c r="T980">
        <f>IF(J980="","",IFERROR(IF(K980="",NA(),MATCH(K980,Products!$B$5:$B$204,0)),IFERROR(MATCH(J980,Products!$A$5:$A$204,0),"")))</f>
        <v/>
      </c>
      <c r="U980">
        <f>IF(J980="","",IF(T980="","⚠ not in Products",INDEX(Products!$A$5:$A$204,T980)))</f>
        <v/>
      </c>
      <c r="V980" s="11">
        <f>IF(J980="","",S980*(IFERROR(INDEX(Settings!$B$5:$B$9,MATCH($B980,Settings!$A$5:$A$9,0)),0)+IFERROR(INDEX(Settings!$E$5:$E$9,MATCH($B980,Settings!$A$5:$A$9,0)),0)+IFERROR(INDEX(Settings!$G$5:$G$9,MATCH($B980,Settings!$A$5:$A$9,0)),0))+(IFERROR(INDEX(Settings!$C$5:$C$9,MATCH($B980,Settings!$A$5:$A$9,0)),0)+IFERROR(INDEX(Settings!$F$5:$F$9,MATCH($B980,Settings!$A$5:$A$9,0)),0))/P980+IFERROR(INDEX(Settings!$D$5:$D$9,MATCH($B980,Settings!$A$5:$A$9,0)),0)*M980)</f>
        <v/>
      </c>
      <c r="W980" s="11">
        <f>IF(J980="","",IF(T980="",0,M980*INDEX(Products!$I$5:$I$204,T980)))</f>
        <v/>
      </c>
      <c r="X980" s="11">
        <f>IF(J980="","",IF(T980="",0,S980*INDEX(Products!$H$5:$H$204,T980)))</f>
        <v/>
      </c>
      <c r="Y980" s="11">
        <f>IF(J980="","",S980-V980-W980-X980)</f>
        <v/>
      </c>
    </row>
    <row r="981">
      <c r="A981" s="19" t="n"/>
      <c r="B981" s="19" t="n"/>
      <c r="C981" s="19" t="n"/>
      <c r="D981" s="19" t="n"/>
      <c r="E981" s="19" t="n"/>
      <c r="F981" s="20" t="n"/>
      <c r="G981" s="20" t="n"/>
      <c r="H981" s="20" t="n"/>
      <c r="I981" s="19" t="n"/>
      <c r="J981">
        <f>IFERROR(IF(C981="","",C981)&amp;"","")</f>
        <v/>
      </c>
      <c r="K981">
        <f>IFERROR(IF(D981="","",D981)&amp;"","")</f>
        <v/>
      </c>
      <c r="L981">
        <f>IFERROR(IF(I981="","",I981)&amp;"","")</f>
        <v/>
      </c>
      <c r="M981">
        <f>IF(J981="","",IFERROR(VALUE(SUBSTITUTE(SUBSTITUTE(IF(E981="","",E981)&amp;"","$",""),",","")),0))</f>
        <v/>
      </c>
      <c r="N981" s="11">
        <f>IF(J981="","",IFERROR(VALUE(SUBSTITUTE(SUBSTITUTE(IF(F981="","",F981)&amp;"","$",""),",","")),0))</f>
        <v/>
      </c>
      <c r="O981" s="11">
        <f>IF(J981="","",M981*N981)</f>
        <v/>
      </c>
      <c r="P981">
        <f>IF(J981="","",IF(L981="",1,COUNTIF($L$2:$L$1501,L981)))</f>
        <v/>
      </c>
      <c r="Q981" s="11">
        <f>IF(J981="","",IFERROR(VALUE(SUBSTITUTE(SUBSTITUTE(IF(G981="","",G981)&amp;"","$",""),",","")),0)/IF("No"="Yes",P981,1))</f>
        <v/>
      </c>
      <c r="R981" s="11">
        <f>IF(J981="","",IFERROR(VALUE(SUBSTITUTE(SUBSTITUTE(IF(H981="","",H981)&amp;"","$",""),",","")),0)/IF("No"="Yes",P981,1))</f>
        <v/>
      </c>
      <c r="S981" s="11">
        <f>IF(J981="","",O981+Q981-R981)</f>
        <v/>
      </c>
      <c r="T981">
        <f>IF(J981="","",IFERROR(IF(K981="",NA(),MATCH(K981,Products!$B$5:$B$204,0)),IFERROR(MATCH(J981,Products!$A$5:$A$204,0),"")))</f>
        <v/>
      </c>
      <c r="U981">
        <f>IF(J981="","",IF(T981="","⚠ not in Products",INDEX(Products!$A$5:$A$204,T981)))</f>
        <v/>
      </c>
      <c r="V981" s="11">
        <f>IF(J981="","",S981*(IFERROR(INDEX(Settings!$B$5:$B$9,MATCH($B981,Settings!$A$5:$A$9,0)),0)+IFERROR(INDEX(Settings!$E$5:$E$9,MATCH($B981,Settings!$A$5:$A$9,0)),0)+IFERROR(INDEX(Settings!$G$5:$G$9,MATCH($B981,Settings!$A$5:$A$9,0)),0))+(IFERROR(INDEX(Settings!$C$5:$C$9,MATCH($B981,Settings!$A$5:$A$9,0)),0)+IFERROR(INDEX(Settings!$F$5:$F$9,MATCH($B981,Settings!$A$5:$A$9,0)),0))/P981+IFERROR(INDEX(Settings!$D$5:$D$9,MATCH($B981,Settings!$A$5:$A$9,0)),0)*M981)</f>
        <v/>
      </c>
      <c r="W981" s="11">
        <f>IF(J981="","",IF(T981="",0,M981*INDEX(Products!$I$5:$I$204,T981)))</f>
        <v/>
      </c>
      <c r="X981" s="11">
        <f>IF(J981="","",IF(T981="",0,S981*INDEX(Products!$H$5:$H$204,T981)))</f>
        <v/>
      </c>
      <c r="Y981" s="11">
        <f>IF(J981="","",S981-V981-W981-X981)</f>
        <v/>
      </c>
    </row>
    <row r="982">
      <c r="A982" s="19" t="n"/>
      <c r="B982" s="19" t="n"/>
      <c r="C982" s="19" t="n"/>
      <c r="D982" s="19" t="n"/>
      <c r="E982" s="19" t="n"/>
      <c r="F982" s="20" t="n"/>
      <c r="G982" s="20" t="n"/>
      <c r="H982" s="20" t="n"/>
      <c r="I982" s="19" t="n"/>
      <c r="J982">
        <f>IFERROR(IF(C982="","",C982)&amp;"","")</f>
        <v/>
      </c>
      <c r="K982">
        <f>IFERROR(IF(D982="","",D982)&amp;"","")</f>
        <v/>
      </c>
      <c r="L982">
        <f>IFERROR(IF(I982="","",I982)&amp;"","")</f>
        <v/>
      </c>
      <c r="M982">
        <f>IF(J982="","",IFERROR(VALUE(SUBSTITUTE(SUBSTITUTE(IF(E982="","",E982)&amp;"","$",""),",","")),0))</f>
        <v/>
      </c>
      <c r="N982" s="11">
        <f>IF(J982="","",IFERROR(VALUE(SUBSTITUTE(SUBSTITUTE(IF(F982="","",F982)&amp;"","$",""),",","")),0))</f>
        <v/>
      </c>
      <c r="O982" s="11">
        <f>IF(J982="","",M982*N982)</f>
        <v/>
      </c>
      <c r="P982">
        <f>IF(J982="","",IF(L982="",1,COUNTIF($L$2:$L$1501,L982)))</f>
        <v/>
      </c>
      <c r="Q982" s="11">
        <f>IF(J982="","",IFERROR(VALUE(SUBSTITUTE(SUBSTITUTE(IF(G982="","",G982)&amp;"","$",""),",","")),0)/IF("No"="Yes",P982,1))</f>
        <v/>
      </c>
      <c r="R982" s="11">
        <f>IF(J982="","",IFERROR(VALUE(SUBSTITUTE(SUBSTITUTE(IF(H982="","",H982)&amp;"","$",""),",","")),0)/IF("No"="Yes",P982,1))</f>
        <v/>
      </c>
      <c r="S982" s="11">
        <f>IF(J982="","",O982+Q982-R982)</f>
        <v/>
      </c>
      <c r="T982">
        <f>IF(J982="","",IFERROR(IF(K982="",NA(),MATCH(K982,Products!$B$5:$B$204,0)),IFERROR(MATCH(J982,Products!$A$5:$A$204,0),"")))</f>
        <v/>
      </c>
      <c r="U982">
        <f>IF(J982="","",IF(T982="","⚠ not in Products",INDEX(Products!$A$5:$A$204,T982)))</f>
        <v/>
      </c>
      <c r="V982" s="11">
        <f>IF(J982="","",S982*(IFERROR(INDEX(Settings!$B$5:$B$9,MATCH($B982,Settings!$A$5:$A$9,0)),0)+IFERROR(INDEX(Settings!$E$5:$E$9,MATCH($B982,Settings!$A$5:$A$9,0)),0)+IFERROR(INDEX(Settings!$G$5:$G$9,MATCH($B982,Settings!$A$5:$A$9,0)),0))+(IFERROR(INDEX(Settings!$C$5:$C$9,MATCH($B982,Settings!$A$5:$A$9,0)),0)+IFERROR(INDEX(Settings!$F$5:$F$9,MATCH($B982,Settings!$A$5:$A$9,0)),0))/P982+IFERROR(INDEX(Settings!$D$5:$D$9,MATCH($B982,Settings!$A$5:$A$9,0)),0)*M982)</f>
        <v/>
      </c>
      <c r="W982" s="11">
        <f>IF(J982="","",IF(T982="",0,M982*INDEX(Products!$I$5:$I$204,T982)))</f>
        <v/>
      </c>
      <c r="X982" s="11">
        <f>IF(J982="","",IF(T982="",0,S982*INDEX(Products!$H$5:$H$204,T982)))</f>
        <v/>
      </c>
      <c r="Y982" s="11">
        <f>IF(J982="","",S982-V982-W982-X982)</f>
        <v/>
      </c>
    </row>
    <row r="983">
      <c r="A983" s="19" t="n"/>
      <c r="B983" s="19" t="n"/>
      <c r="C983" s="19" t="n"/>
      <c r="D983" s="19" t="n"/>
      <c r="E983" s="19" t="n"/>
      <c r="F983" s="20" t="n"/>
      <c r="G983" s="20" t="n"/>
      <c r="H983" s="20" t="n"/>
      <c r="I983" s="19" t="n"/>
      <c r="J983">
        <f>IFERROR(IF(C983="","",C983)&amp;"","")</f>
        <v/>
      </c>
      <c r="K983">
        <f>IFERROR(IF(D983="","",D983)&amp;"","")</f>
        <v/>
      </c>
      <c r="L983">
        <f>IFERROR(IF(I983="","",I983)&amp;"","")</f>
        <v/>
      </c>
      <c r="M983">
        <f>IF(J983="","",IFERROR(VALUE(SUBSTITUTE(SUBSTITUTE(IF(E983="","",E983)&amp;"","$",""),",","")),0))</f>
        <v/>
      </c>
      <c r="N983" s="11">
        <f>IF(J983="","",IFERROR(VALUE(SUBSTITUTE(SUBSTITUTE(IF(F983="","",F983)&amp;"","$",""),",","")),0))</f>
        <v/>
      </c>
      <c r="O983" s="11">
        <f>IF(J983="","",M983*N983)</f>
        <v/>
      </c>
      <c r="P983">
        <f>IF(J983="","",IF(L983="",1,COUNTIF($L$2:$L$1501,L983)))</f>
        <v/>
      </c>
      <c r="Q983" s="11">
        <f>IF(J983="","",IFERROR(VALUE(SUBSTITUTE(SUBSTITUTE(IF(G983="","",G983)&amp;"","$",""),",","")),0)/IF("No"="Yes",P983,1))</f>
        <v/>
      </c>
      <c r="R983" s="11">
        <f>IF(J983="","",IFERROR(VALUE(SUBSTITUTE(SUBSTITUTE(IF(H983="","",H983)&amp;"","$",""),",","")),0)/IF("No"="Yes",P983,1))</f>
        <v/>
      </c>
      <c r="S983" s="11">
        <f>IF(J983="","",O983+Q983-R983)</f>
        <v/>
      </c>
      <c r="T983">
        <f>IF(J983="","",IFERROR(IF(K983="",NA(),MATCH(K983,Products!$B$5:$B$204,0)),IFERROR(MATCH(J983,Products!$A$5:$A$204,0),"")))</f>
        <v/>
      </c>
      <c r="U983">
        <f>IF(J983="","",IF(T983="","⚠ not in Products",INDEX(Products!$A$5:$A$204,T983)))</f>
        <v/>
      </c>
      <c r="V983" s="11">
        <f>IF(J983="","",S983*(IFERROR(INDEX(Settings!$B$5:$B$9,MATCH($B983,Settings!$A$5:$A$9,0)),0)+IFERROR(INDEX(Settings!$E$5:$E$9,MATCH($B983,Settings!$A$5:$A$9,0)),0)+IFERROR(INDEX(Settings!$G$5:$G$9,MATCH($B983,Settings!$A$5:$A$9,0)),0))+(IFERROR(INDEX(Settings!$C$5:$C$9,MATCH($B983,Settings!$A$5:$A$9,0)),0)+IFERROR(INDEX(Settings!$F$5:$F$9,MATCH($B983,Settings!$A$5:$A$9,0)),0))/P983+IFERROR(INDEX(Settings!$D$5:$D$9,MATCH($B983,Settings!$A$5:$A$9,0)),0)*M983)</f>
        <v/>
      </c>
      <c r="W983" s="11">
        <f>IF(J983="","",IF(T983="",0,M983*INDEX(Products!$I$5:$I$204,T983)))</f>
        <v/>
      </c>
      <c r="X983" s="11">
        <f>IF(J983="","",IF(T983="",0,S983*INDEX(Products!$H$5:$H$204,T983)))</f>
        <v/>
      </c>
      <c r="Y983" s="11">
        <f>IF(J983="","",S983-V983-W983-X983)</f>
        <v/>
      </c>
    </row>
    <row r="984">
      <c r="A984" s="19" t="n"/>
      <c r="B984" s="19" t="n"/>
      <c r="C984" s="19" t="n"/>
      <c r="D984" s="19" t="n"/>
      <c r="E984" s="19" t="n"/>
      <c r="F984" s="20" t="n"/>
      <c r="G984" s="20" t="n"/>
      <c r="H984" s="20" t="n"/>
      <c r="I984" s="19" t="n"/>
      <c r="J984">
        <f>IFERROR(IF(C984="","",C984)&amp;"","")</f>
        <v/>
      </c>
      <c r="K984">
        <f>IFERROR(IF(D984="","",D984)&amp;"","")</f>
        <v/>
      </c>
      <c r="L984">
        <f>IFERROR(IF(I984="","",I984)&amp;"","")</f>
        <v/>
      </c>
      <c r="M984">
        <f>IF(J984="","",IFERROR(VALUE(SUBSTITUTE(SUBSTITUTE(IF(E984="","",E984)&amp;"","$",""),",","")),0))</f>
        <v/>
      </c>
      <c r="N984" s="11">
        <f>IF(J984="","",IFERROR(VALUE(SUBSTITUTE(SUBSTITUTE(IF(F984="","",F984)&amp;"","$",""),",","")),0))</f>
        <v/>
      </c>
      <c r="O984" s="11">
        <f>IF(J984="","",M984*N984)</f>
        <v/>
      </c>
      <c r="P984">
        <f>IF(J984="","",IF(L984="",1,COUNTIF($L$2:$L$1501,L984)))</f>
        <v/>
      </c>
      <c r="Q984" s="11">
        <f>IF(J984="","",IFERROR(VALUE(SUBSTITUTE(SUBSTITUTE(IF(G984="","",G984)&amp;"","$",""),",","")),0)/IF("No"="Yes",P984,1))</f>
        <v/>
      </c>
      <c r="R984" s="11">
        <f>IF(J984="","",IFERROR(VALUE(SUBSTITUTE(SUBSTITUTE(IF(H984="","",H984)&amp;"","$",""),",","")),0)/IF("No"="Yes",P984,1))</f>
        <v/>
      </c>
      <c r="S984" s="11">
        <f>IF(J984="","",O984+Q984-R984)</f>
        <v/>
      </c>
      <c r="T984">
        <f>IF(J984="","",IFERROR(IF(K984="",NA(),MATCH(K984,Products!$B$5:$B$204,0)),IFERROR(MATCH(J984,Products!$A$5:$A$204,0),"")))</f>
        <v/>
      </c>
      <c r="U984">
        <f>IF(J984="","",IF(T984="","⚠ not in Products",INDEX(Products!$A$5:$A$204,T984)))</f>
        <v/>
      </c>
      <c r="V984" s="11">
        <f>IF(J984="","",S984*(IFERROR(INDEX(Settings!$B$5:$B$9,MATCH($B984,Settings!$A$5:$A$9,0)),0)+IFERROR(INDEX(Settings!$E$5:$E$9,MATCH($B984,Settings!$A$5:$A$9,0)),0)+IFERROR(INDEX(Settings!$G$5:$G$9,MATCH($B984,Settings!$A$5:$A$9,0)),0))+(IFERROR(INDEX(Settings!$C$5:$C$9,MATCH($B984,Settings!$A$5:$A$9,0)),0)+IFERROR(INDEX(Settings!$F$5:$F$9,MATCH($B984,Settings!$A$5:$A$9,0)),0))/P984+IFERROR(INDEX(Settings!$D$5:$D$9,MATCH($B984,Settings!$A$5:$A$9,0)),0)*M984)</f>
        <v/>
      </c>
      <c r="W984" s="11">
        <f>IF(J984="","",IF(T984="",0,M984*INDEX(Products!$I$5:$I$204,T984)))</f>
        <v/>
      </c>
      <c r="X984" s="11">
        <f>IF(J984="","",IF(T984="",0,S984*INDEX(Products!$H$5:$H$204,T984)))</f>
        <v/>
      </c>
      <c r="Y984" s="11">
        <f>IF(J984="","",S984-V984-W984-X984)</f>
        <v/>
      </c>
    </row>
    <row r="985">
      <c r="A985" s="19" t="n"/>
      <c r="B985" s="19" t="n"/>
      <c r="C985" s="19" t="n"/>
      <c r="D985" s="19" t="n"/>
      <c r="E985" s="19" t="n"/>
      <c r="F985" s="20" t="n"/>
      <c r="G985" s="20" t="n"/>
      <c r="H985" s="20" t="n"/>
      <c r="I985" s="19" t="n"/>
      <c r="J985">
        <f>IFERROR(IF(C985="","",C985)&amp;"","")</f>
        <v/>
      </c>
      <c r="K985">
        <f>IFERROR(IF(D985="","",D985)&amp;"","")</f>
        <v/>
      </c>
      <c r="L985">
        <f>IFERROR(IF(I985="","",I985)&amp;"","")</f>
        <v/>
      </c>
      <c r="M985">
        <f>IF(J985="","",IFERROR(VALUE(SUBSTITUTE(SUBSTITUTE(IF(E985="","",E985)&amp;"","$",""),",","")),0))</f>
        <v/>
      </c>
      <c r="N985" s="11">
        <f>IF(J985="","",IFERROR(VALUE(SUBSTITUTE(SUBSTITUTE(IF(F985="","",F985)&amp;"","$",""),",","")),0))</f>
        <v/>
      </c>
      <c r="O985" s="11">
        <f>IF(J985="","",M985*N985)</f>
        <v/>
      </c>
      <c r="P985">
        <f>IF(J985="","",IF(L985="",1,COUNTIF($L$2:$L$1501,L985)))</f>
        <v/>
      </c>
      <c r="Q985" s="11">
        <f>IF(J985="","",IFERROR(VALUE(SUBSTITUTE(SUBSTITUTE(IF(G985="","",G985)&amp;"","$",""),",","")),0)/IF("No"="Yes",P985,1))</f>
        <v/>
      </c>
      <c r="R985" s="11">
        <f>IF(J985="","",IFERROR(VALUE(SUBSTITUTE(SUBSTITUTE(IF(H985="","",H985)&amp;"","$",""),",","")),0)/IF("No"="Yes",P985,1))</f>
        <v/>
      </c>
      <c r="S985" s="11">
        <f>IF(J985="","",O985+Q985-R985)</f>
        <v/>
      </c>
      <c r="T985">
        <f>IF(J985="","",IFERROR(IF(K985="",NA(),MATCH(K985,Products!$B$5:$B$204,0)),IFERROR(MATCH(J985,Products!$A$5:$A$204,0),"")))</f>
        <v/>
      </c>
      <c r="U985">
        <f>IF(J985="","",IF(T985="","⚠ not in Products",INDEX(Products!$A$5:$A$204,T985)))</f>
        <v/>
      </c>
      <c r="V985" s="11">
        <f>IF(J985="","",S985*(IFERROR(INDEX(Settings!$B$5:$B$9,MATCH($B985,Settings!$A$5:$A$9,0)),0)+IFERROR(INDEX(Settings!$E$5:$E$9,MATCH($B985,Settings!$A$5:$A$9,0)),0)+IFERROR(INDEX(Settings!$G$5:$G$9,MATCH($B985,Settings!$A$5:$A$9,0)),0))+(IFERROR(INDEX(Settings!$C$5:$C$9,MATCH($B985,Settings!$A$5:$A$9,0)),0)+IFERROR(INDEX(Settings!$F$5:$F$9,MATCH($B985,Settings!$A$5:$A$9,0)),0))/P985+IFERROR(INDEX(Settings!$D$5:$D$9,MATCH($B985,Settings!$A$5:$A$9,0)),0)*M985)</f>
        <v/>
      </c>
      <c r="W985" s="11">
        <f>IF(J985="","",IF(T985="",0,M985*INDEX(Products!$I$5:$I$204,T985)))</f>
        <v/>
      </c>
      <c r="X985" s="11">
        <f>IF(J985="","",IF(T985="",0,S985*INDEX(Products!$H$5:$H$204,T985)))</f>
        <v/>
      </c>
      <c r="Y985" s="11">
        <f>IF(J985="","",S985-V985-W985-X985)</f>
        <v/>
      </c>
    </row>
    <row r="986">
      <c r="A986" s="19" t="n"/>
      <c r="B986" s="19" t="n"/>
      <c r="C986" s="19" t="n"/>
      <c r="D986" s="19" t="n"/>
      <c r="E986" s="19" t="n"/>
      <c r="F986" s="20" t="n"/>
      <c r="G986" s="20" t="n"/>
      <c r="H986" s="20" t="n"/>
      <c r="I986" s="19" t="n"/>
      <c r="J986">
        <f>IFERROR(IF(C986="","",C986)&amp;"","")</f>
        <v/>
      </c>
      <c r="K986">
        <f>IFERROR(IF(D986="","",D986)&amp;"","")</f>
        <v/>
      </c>
      <c r="L986">
        <f>IFERROR(IF(I986="","",I986)&amp;"","")</f>
        <v/>
      </c>
      <c r="M986">
        <f>IF(J986="","",IFERROR(VALUE(SUBSTITUTE(SUBSTITUTE(IF(E986="","",E986)&amp;"","$",""),",","")),0))</f>
        <v/>
      </c>
      <c r="N986" s="11">
        <f>IF(J986="","",IFERROR(VALUE(SUBSTITUTE(SUBSTITUTE(IF(F986="","",F986)&amp;"","$",""),",","")),0))</f>
        <v/>
      </c>
      <c r="O986" s="11">
        <f>IF(J986="","",M986*N986)</f>
        <v/>
      </c>
      <c r="P986">
        <f>IF(J986="","",IF(L986="",1,COUNTIF($L$2:$L$1501,L986)))</f>
        <v/>
      </c>
      <c r="Q986" s="11">
        <f>IF(J986="","",IFERROR(VALUE(SUBSTITUTE(SUBSTITUTE(IF(G986="","",G986)&amp;"","$",""),",","")),0)/IF("No"="Yes",P986,1))</f>
        <v/>
      </c>
      <c r="R986" s="11">
        <f>IF(J986="","",IFERROR(VALUE(SUBSTITUTE(SUBSTITUTE(IF(H986="","",H986)&amp;"","$",""),",","")),0)/IF("No"="Yes",P986,1))</f>
        <v/>
      </c>
      <c r="S986" s="11">
        <f>IF(J986="","",O986+Q986-R986)</f>
        <v/>
      </c>
      <c r="T986">
        <f>IF(J986="","",IFERROR(IF(K986="",NA(),MATCH(K986,Products!$B$5:$B$204,0)),IFERROR(MATCH(J986,Products!$A$5:$A$204,0),"")))</f>
        <v/>
      </c>
      <c r="U986">
        <f>IF(J986="","",IF(T986="","⚠ not in Products",INDEX(Products!$A$5:$A$204,T986)))</f>
        <v/>
      </c>
      <c r="V986" s="11">
        <f>IF(J986="","",S986*(IFERROR(INDEX(Settings!$B$5:$B$9,MATCH($B986,Settings!$A$5:$A$9,0)),0)+IFERROR(INDEX(Settings!$E$5:$E$9,MATCH($B986,Settings!$A$5:$A$9,0)),0)+IFERROR(INDEX(Settings!$G$5:$G$9,MATCH($B986,Settings!$A$5:$A$9,0)),0))+(IFERROR(INDEX(Settings!$C$5:$C$9,MATCH($B986,Settings!$A$5:$A$9,0)),0)+IFERROR(INDEX(Settings!$F$5:$F$9,MATCH($B986,Settings!$A$5:$A$9,0)),0))/P986+IFERROR(INDEX(Settings!$D$5:$D$9,MATCH($B986,Settings!$A$5:$A$9,0)),0)*M986)</f>
        <v/>
      </c>
      <c r="W986" s="11">
        <f>IF(J986="","",IF(T986="",0,M986*INDEX(Products!$I$5:$I$204,T986)))</f>
        <v/>
      </c>
      <c r="X986" s="11">
        <f>IF(J986="","",IF(T986="",0,S986*INDEX(Products!$H$5:$H$204,T986)))</f>
        <v/>
      </c>
      <c r="Y986" s="11">
        <f>IF(J986="","",S986-V986-W986-X986)</f>
        <v/>
      </c>
    </row>
    <row r="987">
      <c r="A987" s="19" t="n"/>
      <c r="B987" s="19" t="n"/>
      <c r="C987" s="19" t="n"/>
      <c r="D987" s="19" t="n"/>
      <c r="E987" s="19" t="n"/>
      <c r="F987" s="20" t="n"/>
      <c r="G987" s="20" t="n"/>
      <c r="H987" s="20" t="n"/>
      <c r="I987" s="19" t="n"/>
      <c r="J987">
        <f>IFERROR(IF(C987="","",C987)&amp;"","")</f>
        <v/>
      </c>
      <c r="K987">
        <f>IFERROR(IF(D987="","",D987)&amp;"","")</f>
        <v/>
      </c>
      <c r="L987">
        <f>IFERROR(IF(I987="","",I987)&amp;"","")</f>
        <v/>
      </c>
      <c r="M987">
        <f>IF(J987="","",IFERROR(VALUE(SUBSTITUTE(SUBSTITUTE(IF(E987="","",E987)&amp;"","$",""),",","")),0))</f>
        <v/>
      </c>
      <c r="N987" s="11">
        <f>IF(J987="","",IFERROR(VALUE(SUBSTITUTE(SUBSTITUTE(IF(F987="","",F987)&amp;"","$",""),",","")),0))</f>
        <v/>
      </c>
      <c r="O987" s="11">
        <f>IF(J987="","",M987*N987)</f>
        <v/>
      </c>
      <c r="P987">
        <f>IF(J987="","",IF(L987="",1,COUNTIF($L$2:$L$1501,L987)))</f>
        <v/>
      </c>
      <c r="Q987" s="11">
        <f>IF(J987="","",IFERROR(VALUE(SUBSTITUTE(SUBSTITUTE(IF(G987="","",G987)&amp;"","$",""),",","")),0)/IF("No"="Yes",P987,1))</f>
        <v/>
      </c>
      <c r="R987" s="11">
        <f>IF(J987="","",IFERROR(VALUE(SUBSTITUTE(SUBSTITUTE(IF(H987="","",H987)&amp;"","$",""),",","")),0)/IF("No"="Yes",P987,1))</f>
        <v/>
      </c>
      <c r="S987" s="11">
        <f>IF(J987="","",O987+Q987-R987)</f>
        <v/>
      </c>
      <c r="T987">
        <f>IF(J987="","",IFERROR(IF(K987="",NA(),MATCH(K987,Products!$B$5:$B$204,0)),IFERROR(MATCH(J987,Products!$A$5:$A$204,0),"")))</f>
        <v/>
      </c>
      <c r="U987">
        <f>IF(J987="","",IF(T987="","⚠ not in Products",INDEX(Products!$A$5:$A$204,T987)))</f>
        <v/>
      </c>
      <c r="V987" s="11">
        <f>IF(J987="","",S987*(IFERROR(INDEX(Settings!$B$5:$B$9,MATCH($B987,Settings!$A$5:$A$9,0)),0)+IFERROR(INDEX(Settings!$E$5:$E$9,MATCH($B987,Settings!$A$5:$A$9,0)),0)+IFERROR(INDEX(Settings!$G$5:$G$9,MATCH($B987,Settings!$A$5:$A$9,0)),0))+(IFERROR(INDEX(Settings!$C$5:$C$9,MATCH($B987,Settings!$A$5:$A$9,0)),0)+IFERROR(INDEX(Settings!$F$5:$F$9,MATCH($B987,Settings!$A$5:$A$9,0)),0))/P987+IFERROR(INDEX(Settings!$D$5:$D$9,MATCH($B987,Settings!$A$5:$A$9,0)),0)*M987)</f>
        <v/>
      </c>
      <c r="W987" s="11">
        <f>IF(J987="","",IF(T987="",0,M987*INDEX(Products!$I$5:$I$204,T987)))</f>
        <v/>
      </c>
      <c r="X987" s="11">
        <f>IF(J987="","",IF(T987="",0,S987*INDEX(Products!$H$5:$H$204,T987)))</f>
        <v/>
      </c>
      <c r="Y987" s="11">
        <f>IF(J987="","",S987-V987-W987-X987)</f>
        <v/>
      </c>
    </row>
    <row r="988">
      <c r="A988" s="19" t="n"/>
      <c r="B988" s="19" t="n"/>
      <c r="C988" s="19" t="n"/>
      <c r="D988" s="19" t="n"/>
      <c r="E988" s="19" t="n"/>
      <c r="F988" s="20" t="n"/>
      <c r="G988" s="20" t="n"/>
      <c r="H988" s="20" t="n"/>
      <c r="I988" s="19" t="n"/>
      <c r="J988">
        <f>IFERROR(IF(C988="","",C988)&amp;"","")</f>
        <v/>
      </c>
      <c r="K988">
        <f>IFERROR(IF(D988="","",D988)&amp;"","")</f>
        <v/>
      </c>
      <c r="L988">
        <f>IFERROR(IF(I988="","",I988)&amp;"","")</f>
        <v/>
      </c>
      <c r="M988">
        <f>IF(J988="","",IFERROR(VALUE(SUBSTITUTE(SUBSTITUTE(IF(E988="","",E988)&amp;"","$",""),",","")),0))</f>
        <v/>
      </c>
      <c r="N988" s="11">
        <f>IF(J988="","",IFERROR(VALUE(SUBSTITUTE(SUBSTITUTE(IF(F988="","",F988)&amp;"","$",""),",","")),0))</f>
        <v/>
      </c>
      <c r="O988" s="11">
        <f>IF(J988="","",M988*N988)</f>
        <v/>
      </c>
      <c r="P988">
        <f>IF(J988="","",IF(L988="",1,COUNTIF($L$2:$L$1501,L988)))</f>
        <v/>
      </c>
      <c r="Q988" s="11">
        <f>IF(J988="","",IFERROR(VALUE(SUBSTITUTE(SUBSTITUTE(IF(G988="","",G988)&amp;"","$",""),",","")),0)/IF("No"="Yes",P988,1))</f>
        <v/>
      </c>
      <c r="R988" s="11">
        <f>IF(J988="","",IFERROR(VALUE(SUBSTITUTE(SUBSTITUTE(IF(H988="","",H988)&amp;"","$",""),",","")),0)/IF("No"="Yes",P988,1))</f>
        <v/>
      </c>
      <c r="S988" s="11">
        <f>IF(J988="","",O988+Q988-R988)</f>
        <v/>
      </c>
      <c r="T988">
        <f>IF(J988="","",IFERROR(IF(K988="",NA(),MATCH(K988,Products!$B$5:$B$204,0)),IFERROR(MATCH(J988,Products!$A$5:$A$204,0),"")))</f>
        <v/>
      </c>
      <c r="U988">
        <f>IF(J988="","",IF(T988="","⚠ not in Products",INDEX(Products!$A$5:$A$204,T988)))</f>
        <v/>
      </c>
      <c r="V988" s="11">
        <f>IF(J988="","",S988*(IFERROR(INDEX(Settings!$B$5:$B$9,MATCH($B988,Settings!$A$5:$A$9,0)),0)+IFERROR(INDEX(Settings!$E$5:$E$9,MATCH($B988,Settings!$A$5:$A$9,0)),0)+IFERROR(INDEX(Settings!$G$5:$G$9,MATCH($B988,Settings!$A$5:$A$9,0)),0))+(IFERROR(INDEX(Settings!$C$5:$C$9,MATCH($B988,Settings!$A$5:$A$9,0)),0)+IFERROR(INDEX(Settings!$F$5:$F$9,MATCH($B988,Settings!$A$5:$A$9,0)),0))/P988+IFERROR(INDEX(Settings!$D$5:$D$9,MATCH($B988,Settings!$A$5:$A$9,0)),0)*M988)</f>
        <v/>
      </c>
      <c r="W988" s="11">
        <f>IF(J988="","",IF(T988="",0,M988*INDEX(Products!$I$5:$I$204,T988)))</f>
        <v/>
      </c>
      <c r="X988" s="11">
        <f>IF(J988="","",IF(T988="",0,S988*INDEX(Products!$H$5:$H$204,T988)))</f>
        <v/>
      </c>
      <c r="Y988" s="11">
        <f>IF(J988="","",S988-V988-W988-X988)</f>
        <v/>
      </c>
    </row>
    <row r="989">
      <c r="A989" s="19" t="n"/>
      <c r="B989" s="19" t="n"/>
      <c r="C989" s="19" t="n"/>
      <c r="D989" s="19" t="n"/>
      <c r="E989" s="19" t="n"/>
      <c r="F989" s="20" t="n"/>
      <c r="G989" s="20" t="n"/>
      <c r="H989" s="20" t="n"/>
      <c r="I989" s="19" t="n"/>
      <c r="J989">
        <f>IFERROR(IF(C989="","",C989)&amp;"","")</f>
        <v/>
      </c>
      <c r="K989">
        <f>IFERROR(IF(D989="","",D989)&amp;"","")</f>
        <v/>
      </c>
      <c r="L989">
        <f>IFERROR(IF(I989="","",I989)&amp;"","")</f>
        <v/>
      </c>
      <c r="M989">
        <f>IF(J989="","",IFERROR(VALUE(SUBSTITUTE(SUBSTITUTE(IF(E989="","",E989)&amp;"","$",""),",","")),0))</f>
        <v/>
      </c>
      <c r="N989" s="11">
        <f>IF(J989="","",IFERROR(VALUE(SUBSTITUTE(SUBSTITUTE(IF(F989="","",F989)&amp;"","$",""),",","")),0))</f>
        <v/>
      </c>
      <c r="O989" s="11">
        <f>IF(J989="","",M989*N989)</f>
        <v/>
      </c>
      <c r="P989">
        <f>IF(J989="","",IF(L989="",1,COUNTIF($L$2:$L$1501,L989)))</f>
        <v/>
      </c>
      <c r="Q989" s="11">
        <f>IF(J989="","",IFERROR(VALUE(SUBSTITUTE(SUBSTITUTE(IF(G989="","",G989)&amp;"","$",""),",","")),0)/IF("No"="Yes",P989,1))</f>
        <v/>
      </c>
      <c r="R989" s="11">
        <f>IF(J989="","",IFERROR(VALUE(SUBSTITUTE(SUBSTITUTE(IF(H989="","",H989)&amp;"","$",""),",","")),0)/IF("No"="Yes",P989,1))</f>
        <v/>
      </c>
      <c r="S989" s="11">
        <f>IF(J989="","",O989+Q989-R989)</f>
        <v/>
      </c>
      <c r="T989">
        <f>IF(J989="","",IFERROR(IF(K989="",NA(),MATCH(K989,Products!$B$5:$B$204,0)),IFERROR(MATCH(J989,Products!$A$5:$A$204,0),"")))</f>
        <v/>
      </c>
      <c r="U989">
        <f>IF(J989="","",IF(T989="","⚠ not in Products",INDEX(Products!$A$5:$A$204,T989)))</f>
        <v/>
      </c>
      <c r="V989" s="11">
        <f>IF(J989="","",S989*(IFERROR(INDEX(Settings!$B$5:$B$9,MATCH($B989,Settings!$A$5:$A$9,0)),0)+IFERROR(INDEX(Settings!$E$5:$E$9,MATCH($B989,Settings!$A$5:$A$9,0)),0)+IFERROR(INDEX(Settings!$G$5:$G$9,MATCH($B989,Settings!$A$5:$A$9,0)),0))+(IFERROR(INDEX(Settings!$C$5:$C$9,MATCH($B989,Settings!$A$5:$A$9,0)),0)+IFERROR(INDEX(Settings!$F$5:$F$9,MATCH($B989,Settings!$A$5:$A$9,0)),0))/P989+IFERROR(INDEX(Settings!$D$5:$D$9,MATCH($B989,Settings!$A$5:$A$9,0)),0)*M989)</f>
        <v/>
      </c>
      <c r="W989" s="11">
        <f>IF(J989="","",IF(T989="",0,M989*INDEX(Products!$I$5:$I$204,T989)))</f>
        <v/>
      </c>
      <c r="X989" s="11">
        <f>IF(J989="","",IF(T989="",0,S989*INDEX(Products!$H$5:$H$204,T989)))</f>
        <v/>
      </c>
      <c r="Y989" s="11">
        <f>IF(J989="","",S989-V989-W989-X989)</f>
        <v/>
      </c>
    </row>
    <row r="990">
      <c r="A990" s="19" t="n"/>
      <c r="B990" s="19" t="n"/>
      <c r="C990" s="19" t="n"/>
      <c r="D990" s="19" t="n"/>
      <c r="E990" s="19" t="n"/>
      <c r="F990" s="20" t="n"/>
      <c r="G990" s="20" t="n"/>
      <c r="H990" s="20" t="n"/>
      <c r="I990" s="19" t="n"/>
      <c r="J990">
        <f>IFERROR(IF(C990="","",C990)&amp;"","")</f>
        <v/>
      </c>
      <c r="K990">
        <f>IFERROR(IF(D990="","",D990)&amp;"","")</f>
        <v/>
      </c>
      <c r="L990">
        <f>IFERROR(IF(I990="","",I990)&amp;"","")</f>
        <v/>
      </c>
      <c r="M990">
        <f>IF(J990="","",IFERROR(VALUE(SUBSTITUTE(SUBSTITUTE(IF(E990="","",E990)&amp;"","$",""),",","")),0))</f>
        <v/>
      </c>
      <c r="N990" s="11">
        <f>IF(J990="","",IFERROR(VALUE(SUBSTITUTE(SUBSTITUTE(IF(F990="","",F990)&amp;"","$",""),",","")),0))</f>
        <v/>
      </c>
      <c r="O990" s="11">
        <f>IF(J990="","",M990*N990)</f>
        <v/>
      </c>
      <c r="P990">
        <f>IF(J990="","",IF(L990="",1,COUNTIF($L$2:$L$1501,L990)))</f>
        <v/>
      </c>
      <c r="Q990" s="11">
        <f>IF(J990="","",IFERROR(VALUE(SUBSTITUTE(SUBSTITUTE(IF(G990="","",G990)&amp;"","$",""),",","")),0)/IF("No"="Yes",P990,1))</f>
        <v/>
      </c>
      <c r="R990" s="11">
        <f>IF(J990="","",IFERROR(VALUE(SUBSTITUTE(SUBSTITUTE(IF(H990="","",H990)&amp;"","$",""),",","")),0)/IF("No"="Yes",P990,1))</f>
        <v/>
      </c>
      <c r="S990" s="11">
        <f>IF(J990="","",O990+Q990-R990)</f>
        <v/>
      </c>
      <c r="T990">
        <f>IF(J990="","",IFERROR(IF(K990="",NA(),MATCH(K990,Products!$B$5:$B$204,0)),IFERROR(MATCH(J990,Products!$A$5:$A$204,0),"")))</f>
        <v/>
      </c>
      <c r="U990">
        <f>IF(J990="","",IF(T990="","⚠ not in Products",INDEX(Products!$A$5:$A$204,T990)))</f>
        <v/>
      </c>
      <c r="V990" s="11">
        <f>IF(J990="","",S990*(IFERROR(INDEX(Settings!$B$5:$B$9,MATCH($B990,Settings!$A$5:$A$9,0)),0)+IFERROR(INDEX(Settings!$E$5:$E$9,MATCH($B990,Settings!$A$5:$A$9,0)),0)+IFERROR(INDEX(Settings!$G$5:$G$9,MATCH($B990,Settings!$A$5:$A$9,0)),0))+(IFERROR(INDEX(Settings!$C$5:$C$9,MATCH($B990,Settings!$A$5:$A$9,0)),0)+IFERROR(INDEX(Settings!$F$5:$F$9,MATCH($B990,Settings!$A$5:$A$9,0)),0))/P990+IFERROR(INDEX(Settings!$D$5:$D$9,MATCH($B990,Settings!$A$5:$A$9,0)),0)*M990)</f>
        <v/>
      </c>
      <c r="W990" s="11">
        <f>IF(J990="","",IF(T990="",0,M990*INDEX(Products!$I$5:$I$204,T990)))</f>
        <v/>
      </c>
      <c r="X990" s="11">
        <f>IF(J990="","",IF(T990="",0,S990*INDEX(Products!$H$5:$H$204,T990)))</f>
        <v/>
      </c>
      <c r="Y990" s="11">
        <f>IF(J990="","",S990-V990-W990-X990)</f>
        <v/>
      </c>
    </row>
    <row r="991">
      <c r="A991" s="19" t="n"/>
      <c r="B991" s="19" t="n"/>
      <c r="C991" s="19" t="n"/>
      <c r="D991" s="19" t="n"/>
      <c r="E991" s="19" t="n"/>
      <c r="F991" s="20" t="n"/>
      <c r="G991" s="20" t="n"/>
      <c r="H991" s="20" t="n"/>
      <c r="I991" s="19" t="n"/>
      <c r="J991">
        <f>IFERROR(IF(C991="","",C991)&amp;"","")</f>
        <v/>
      </c>
      <c r="K991">
        <f>IFERROR(IF(D991="","",D991)&amp;"","")</f>
        <v/>
      </c>
      <c r="L991">
        <f>IFERROR(IF(I991="","",I991)&amp;"","")</f>
        <v/>
      </c>
      <c r="M991">
        <f>IF(J991="","",IFERROR(VALUE(SUBSTITUTE(SUBSTITUTE(IF(E991="","",E991)&amp;"","$",""),",","")),0))</f>
        <v/>
      </c>
      <c r="N991" s="11">
        <f>IF(J991="","",IFERROR(VALUE(SUBSTITUTE(SUBSTITUTE(IF(F991="","",F991)&amp;"","$",""),",","")),0))</f>
        <v/>
      </c>
      <c r="O991" s="11">
        <f>IF(J991="","",M991*N991)</f>
        <v/>
      </c>
      <c r="P991">
        <f>IF(J991="","",IF(L991="",1,COUNTIF($L$2:$L$1501,L991)))</f>
        <v/>
      </c>
      <c r="Q991" s="11">
        <f>IF(J991="","",IFERROR(VALUE(SUBSTITUTE(SUBSTITUTE(IF(G991="","",G991)&amp;"","$",""),",","")),0)/IF("No"="Yes",P991,1))</f>
        <v/>
      </c>
      <c r="R991" s="11">
        <f>IF(J991="","",IFERROR(VALUE(SUBSTITUTE(SUBSTITUTE(IF(H991="","",H991)&amp;"","$",""),",","")),0)/IF("No"="Yes",P991,1))</f>
        <v/>
      </c>
      <c r="S991" s="11">
        <f>IF(J991="","",O991+Q991-R991)</f>
        <v/>
      </c>
      <c r="T991">
        <f>IF(J991="","",IFERROR(IF(K991="",NA(),MATCH(K991,Products!$B$5:$B$204,0)),IFERROR(MATCH(J991,Products!$A$5:$A$204,0),"")))</f>
        <v/>
      </c>
      <c r="U991">
        <f>IF(J991="","",IF(T991="","⚠ not in Products",INDEX(Products!$A$5:$A$204,T991)))</f>
        <v/>
      </c>
      <c r="V991" s="11">
        <f>IF(J991="","",S991*(IFERROR(INDEX(Settings!$B$5:$B$9,MATCH($B991,Settings!$A$5:$A$9,0)),0)+IFERROR(INDEX(Settings!$E$5:$E$9,MATCH($B991,Settings!$A$5:$A$9,0)),0)+IFERROR(INDEX(Settings!$G$5:$G$9,MATCH($B991,Settings!$A$5:$A$9,0)),0))+(IFERROR(INDEX(Settings!$C$5:$C$9,MATCH($B991,Settings!$A$5:$A$9,0)),0)+IFERROR(INDEX(Settings!$F$5:$F$9,MATCH($B991,Settings!$A$5:$A$9,0)),0))/P991+IFERROR(INDEX(Settings!$D$5:$D$9,MATCH($B991,Settings!$A$5:$A$9,0)),0)*M991)</f>
        <v/>
      </c>
      <c r="W991" s="11">
        <f>IF(J991="","",IF(T991="",0,M991*INDEX(Products!$I$5:$I$204,T991)))</f>
        <v/>
      </c>
      <c r="X991" s="11">
        <f>IF(J991="","",IF(T991="",0,S991*INDEX(Products!$H$5:$H$204,T991)))</f>
        <v/>
      </c>
      <c r="Y991" s="11">
        <f>IF(J991="","",S991-V991-W991-X991)</f>
        <v/>
      </c>
    </row>
    <row r="992">
      <c r="A992" s="19" t="n"/>
      <c r="B992" s="19" t="n"/>
      <c r="C992" s="19" t="n"/>
      <c r="D992" s="19" t="n"/>
      <c r="E992" s="19" t="n"/>
      <c r="F992" s="20" t="n"/>
      <c r="G992" s="20" t="n"/>
      <c r="H992" s="20" t="n"/>
      <c r="I992" s="19" t="n"/>
      <c r="J992">
        <f>IFERROR(IF(C992="","",C992)&amp;"","")</f>
        <v/>
      </c>
      <c r="K992">
        <f>IFERROR(IF(D992="","",D992)&amp;"","")</f>
        <v/>
      </c>
      <c r="L992">
        <f>IFERROR(IF(I992="","",I992)&amp;"","")</f>
        <v/>
      </c>
      <c r="M992">
        <f>IF(J992="","",IFERROR(VALUE(SUBSTITUTE(SUBSTITUTE(IF(E992="","",E992)&amp;"","$",""),",","")),0))</f>
        <v/>
      </c>
      <c r="N992" s="11">
        <f>IF(J992="","",IFERROR(VALUE(SUBSTITUTE(SUBSTITUTE(IF(F992="","",F992)&amp;"","$",""),",","")),0))</f>
        <v/>
      </c>
      <c r="O992" s="11">
        <f>IF(J992="","",M992*N992)</f>
        <v/>
      </c>
      <c r="P992">
        <f>IF(J992="","",IF(L992="",1,COUNTIF($L$2:$L$1501,L992)))</f>
        <v/>
      </c>
      <c r="Q992" s="11">
        <f>IF(J992="","",IFERROR(VALUE(SUBSTITUTE(SUBSTITUTE(IF(G992="","",G992)&amp;"","$",""),",","")),0)/IF("No"="Yes",P992,1))</f>
        <v/>
      </c>
      <c r="R992" s="11">
        <f>IF(J992="","",IFERROR(VALUE(SUBSTITUTE(SUBSTITUTE(IF(H992="","",H992)&amp;"","$",""),",","")),0)/IF("No"="Yes",P992,1))</f>
        <v/>
      </c>
      <c r="S992" s="11">
        <f>IF(J992="","",O992+Q992-R992)</f>
        <v/>
      </c>
      <c r="T992">
        <f>IF(J992="","",IFERROR(IF(K992="",NA(),MATCH(K992,Products!$B$5:$B$204,0)),IFERROR(MATCH(J992,Products!$A$5:$A$204,0),"")))</f>
        <v/>
      </c>
      <c r="U992">
        <f>IF(J992="","",IF(T992="","⚠ not in Products",INDEX(Products!$A$5:$A$204,T992)))</f>
        <v/>
      </c>
      <c r="V992" s="11">
        <f>IF(J992="","",S992*(IFERROR(INDEX(Settings!$B$5:$B$9,MATCH($B992,Settings!$A$5:$A$9,0)),0)+IFERROR(INDEX(Settings!$E$5:$E$9,MATCH($B992,Settings!$A$5:$A$9,0)),0)+IFERROR(INDEX(Settings!$G$5:$G$9,MATCH($B992,Settings!$A$5:$A$9,0)),0))+(IFERROR(INDEX(Settings!$C$5:$C$9,MATCH($B992,Settings!$A$5:$A$9,0)),0)+IFERROR(INDEX(Settings!$F$5:$F$9,MATCH($B992,Settings!$A$5:$A$9,0)),0))/P992+IFERROR(INDEX(Settings!$D$5:$D$9,MATCH($B992,Settings!$A$5:$A$9,0)),0)*M992)</f>
        <v/>
      </c>
      <c r="W992" s="11">
        <f>IF(J992="","",IF(T992="",0,M992*INDEX(Products!$I$5:$I$204,T992)))</f>
        <v/>
      </c>
      <c r="X992" s="11">
        <f>IF(J992="","",IF(T992="",0,S992*INDEX(Products!$H$5:$H$204,T992)))</f>
        <v/>
      </c>
      <c r="Y992" s="11">
        <f>IF(J992="","",S992-V992-W992-X992)</f>
        <v/>
      </c>
    </row>
    <row r="993">
      <c r="A993" s="19" t="n"/>
      <c r="B993" s="19" t="n"/>
      <c r="C993" s="19" t="n"/>
      <c r="D993" s="19" t="n"/>
      <c r="E993" s="19" t="n"/>
      <c r="F993" s="20" t="n"/>
      <c r="G993" s="20" t="n"/>
      <c r="H993" s="20" t="n"/>
      <c r="I993" s="19" t="n"/>
      <c r="J993">
        <f>IFERROR(IF(C993="","",C993)&amp;"","")</f>
        <v/>
      </c>
      <c r="K993">
        <f>IFERROR(IF(D993="","",D993)&amp;"","")</f>
        <v/>
      </c>
      <c r="L993">
        <f>IFERROR(IF(I993="","",I993)&amp;"","")</f>
        <v/>
      </c>
      <c r="M993">
        <f>IF(J993="","",IFERROR(VALUE(SUBSTITUTE(SUBSTITUTE(IF(E993="","",E993)&amp;"","$",""),",","")),0))</f>
        <v/>
      </c>
      <c r="N993" s="11">
        <f>IF(J993="","",IFERROR(VALUE(SUBSTITUTE(SUBSTITUTE(IF(F993="","",F993)&amp;"","$",""),",","")),0))</f>
        <v/>
      </c>
      <c r="O993" s="11">
        <f>IF(J993="","",M993*N993)</f>
        <v/>
      </c>
      <c r="P993">
        <f>IF(J993="","",IF(L993="",1,COUNTIF($L$2:$L$1501,L993)))</f>
        <v/>
      </c>
      <c r="Q993" s="11">
        <f>IF(J993="","",IFERROR(VALUE(SUBSTITUTE(SUBSTITUTE(IF(G993="","",G993)&amp;"","$",""),",","")),0)/IF("No"="Yes",P993,1))</f>
        <v/>
      </c>
      <c r="R993" s="11">
        <f>IF(J993="","",IFERROR(VALUE(SUBSTITUTE(SUBSTITUTE(IF(H993="","",H993)&amp;"","$",""),",","")),0)/IF("No"="Yes",P993,1))</f>
        <v/>
      </c>
      <c r="S993" s="11">
        <f>IF(J993="","",O993+Q993-R993)</f>
        <v/>
      </c>
      <c r="T993">
        <f>IF(J993="","",IFERROR(IF(K993="",NA(),MATCH(K993,Products!$B$5:$B$204,0)),IFERROR(MATCH(J993,Products!$A$5:$A$204,0),"")))</f>
        <v/>
      </c>
      <c r="U993">
        <f>IF(J993="","",IF(T993="","⚠ not in Products",INDEX(Products!$A$5:$A$204,T993)))</f>
        <v/>
      </c>
      <c r="V993" s="11">
        <f>IF(J993="","",S993*(IFERROR(INDEX(Settings!$B$5:$B$9,MATCH($B993,Settings!$A$5:$A$9,0)),0)+IFERROR(INDEX(Settings!$E$5:$E$9,MATCH($B993,Settings!$A$5:$A$9,0)),0)+IFERROR(INDEX(Settings!$G$5:$G$9,MATCH($B993,Settings!$A$5:$A$9,0)),0))+(IFERROR(INDEX(Settings!$C$5:$C$9,MATCH($B993,Settings!$A$5:$A$9,0)),0)+IFERROR(INDEX(Settings!$F$5:$F$9,MATCH($B993,Settings!$A$5:$A$9,0)),0))/P993+IFERROR(INDEX(Settings!$D$5:$D$9,MATCH($B993,Settings!$A$5:$A$9,0)),0)*M993)</f>
        <v/>
      </c>
      <c r="W993" s="11">
        <f>IF(J993="","",IF(T993="",0,M993*INDEX(Products!$I$5:$I$204,T993)))</f>
        <v/>
      </c>
      <c r="X993" s="11">
        <f>IF(J993="","",IF(T993="",0,S993*INDEX(Products!$H$5:$H$204,T993)))</f>
        <v/>
      </c>
      <c r="Y993" s="11">
        <f>IF(J993="","",S993-V993-W993-X993)</f>
        <v/>
      </c>
    </row>
    <row r="994">
      <c r="A994" s="19" t="n"/>
      <c r="B994" s="19" t="n"/>
      <c r="C994" s="19" t="n"/>
      <c r="D994" s="19" t="n"/>
      <c r="E994" s="19" t="n"/>
      <c r="F994" s="20" t="n"/>
      <c r="G994" s="20" t="n"/>
      <c r="H994" s="20" t="n"/>
      <c r="I994" s="19" t="n"/>
      <c r="J994">
        <f>IFERROR(IF(C994="","",C994)&amp;"","")</f>
        <v/>
      </c>
      <c r="K994">
        <f>IFERROR(IF(D994="","",D994)&amp;"","")</f>
        <v/>
      </c>
      <c r="L994">
        <f>IFERROR(IF(I994="","",I994)&amp;"","")</f>
        <v/>
      </c>
      <c r="M994">
        <f>IF(J994="","",IFERROR(VALUE(SUBSTITUTE(SUBSTITUTE(IF(E994="","",E994)&amp;"","$",""),",","")),0))</f>
        <v/>
      </c>
      <c r="N994" s="11">
        <f>IF(J994="","",IFERROR(VALUE(SUBSTITUTE(SUBSTITUTE(IF(F994="","",F994)&amp;"","$",""),",","")),0))</f>
        <v/>
      </c>
      <c r="O994" s="11">
        <f>IF(J994="","",M994*N994)</f>
        <v/>
      </c>
      <c r="P994">
        <f>IF(J994="","",IF(L994="",1,COUNTIF($L$2:$L$1501,L994)))</f>
        <v/>
      </c>
      <c r="Q994" s="11">
        <f>IF(J994="","",IFERROR(VALUE(SUBSTITUTE(SUBSTITUTE(IF(G994="","",G994)&amp;"","$",""),",","")),0)/IF("No"="Yes",P994,1))</f>
        <v/>
      </c>
      <c r="R994" s="11">
        <f>IF(J994="","",IFERROR(VALUE(SUBSTITUTE(SUBSTITUTE(IF(H994="","",H994)&amp;"","$",""),",","")),0)/IF("No"="Yes",P994,1))</f>
        <v/>
      </c>
      <c r="S994" s="11">
        <f>IF(J994="","",O994+Q994-R994)</f>
        <v/>
      </c>
      <c r="T994">
        <f>IF(J994="","",IFERROR(IF(K994="",NA(),MATCH(K994,Products!$B$5:$B$204,0)),IFERROR(MATCH(J994,Products!$A$5:$A$204,0),"")))</f>
        <v/>
      </c>
      <c r="U994">
        <f>IF(J994="","",IF(T994="","⚠ not in Products",INDEX(Products!$A$5:$A$204,T994)))</f>
        <v/>
      </c>
      <c r="V994" s="11">
        <f>IF(J994="","",S994*(IFERROR(INDEX(Settings!$B$5:$B$9,MATCH($B994,Settings!$A$5:$A$9,0)),0)+IFERROR(INDEX(Settings!$E$5:$E$9,MATCH($B994,Settings!$A$5:$A$9,0)),0)+IFERROR(INDEX(Settings!$G$5:$G$9,MATCH($B994,Settings!$A$5:$A$9,0)),0))+(IFERROR(INDEX(Settings!$C$5:$C$9,MATCH($B994,Settings!$A$5:$A$9,0)),0)+IFERROR(INDEX(Settings!$F$5:$F$9,MATCH($B994,Settings!$A$5:$A$9,0)),0))/P994+IFERROR(INDEX(Settings!$D$5:$D$9,MATCH($B994,Settings!$A$5:$A$9,0)),0)*M994)</f>
        <v/>
      </c>
      <c r="W994" s="11">
        <f>IF(J994="","",IF(T994="",0,M994*INDEX(Products!$I$5:$I$204,T994)))</f>
        <v/>
      </c>
      <c r="X994" s="11">
        <f>IF(J994="","",IF(T994="",0,S994*INDEX(Products!$H$5:$H$204,T994)))</f>
        <v/>
      </c>
      <c r="Y994" s="11">
        <f>IF(J994="","",S994-V994-W994-X994)</f>
        <v/>
      </c>
    </row>
    <row r="995">
      <c r="A995" s="19" t="n"/>
      <c r="B995" s="19" t="n"/>
      <c r="C995" s="19" t="n"/>
      <c r="D995" s="19" t="n"/>
      <c r="E995" s="19" t="n"/>
      <c r="F995" s="20" t="n"/>
      <c r="G995" s="20" t="n"/>
      <c r="H995" s="20" t="n"/>
      <c r="I995" s="19" t="n"/>
      <c r="J995">
        <f>IFERROR(IF(C995="","",C995)&amp;"","")</f>
        <v/>
      </c>
      <c r="K995">
        <f>IFERROR(IF(D995="","",D995)&amp;"","")</f>
        <v/>
      </c>
      <c r="L995">
        <f>IFERROR(IF(I995="","",I995)&amp;"","")</f>
        <v/>
      </c>
      <c r="M995">
        <f>IF(J995="","",IFERROR(VALUE(SUBSTITUTE(SUBSTITUTE(IF(E995="","",E995)&amp;"","$",""),",","")),0))</f>
        <v/>
      </c>
      <c r="N995" s="11">
        <f>IF(J995="","",IFERROR(VALUE(SUBSTITUTE(SUBSTITUTE(IF(F995="","",F995)&amp;"","$",""),",","")),0))</f>
        <v/>
      </c>
      <c r="O995" s="11">
        <f>IF(J995="","",M995*N995)</f>
        <v/>
      </c>
      <c r="P995">
        <f>IF(J995="","",IF(L995="",1,COUNTIF($L$2:$L$1501,L995)))</f>
        <v/>
      </c>
      <c r="Q995" s="11">
        <f>IF(J995="","",IFERROR(VALUE(SUBSTITUTE(SUBSTITUTE(IF(G995="","",G995)&amp;"","$",""),",","")),0)/IF("No"="Yes",P995,1))</f>
        <v/>
      </c>
      <c r="R995" s="11">
        <f>IF(J995="","",IFERROR(VALUE(SUBSTITUTE(SUBSTITUTE(IF(H995="","",H995)&amp;"","$",""),",","")),0)/IF("No"="Yes",P995,1))</f>
        <v/>
      </c>
      <c r="S995" s="11">
        <f>IF(J995="","",O995+Q995-R995)</f>
        <v/>
      </c>
      <c r="T995">
        <f>IF(J995="","",IFERROR(IF(K995="",NA(),MATCH(K995,Products!$B$5:$B$204,0)),IFERROR(MATCH(J995,Products!$A$5:$A$204,0),"")))</f>
        <v/>
      </c>
      <c r="U995">
        <f>IF(J995="","",IF(T995="","⚠ not in Products",INDEX(Products!$A$5:$A$204,T995)))</f>
        <v/>
      </c>
      <c r="V995" s="11">
        <f>IF(J995="","",S995*(IFERROR(INDEX(Settings!$B$5:$B$9,MATCH($B995,Settings!$A$5:$A$9,0)),0)+IFERROR(INDEX(Settings!$E$5:$E$9,MATCH($B995,Settings!$A$5:$A$9,0)),0)+IFERROR(INDEX(Settings!$G$5:$G$9,MATCH($B995,Settings!$A$5:$A$9,0)),0))+(IFERROR(INDEX(Settings!$C$5:$C$9,MATCH($B995,Settings!$A$5:$A$9,0)),0)+IFERROR(INDEX(Settings!$F$5:$F$9,MATCH($B995,Settings!$A$5:$A$9,0)),0))/P995+IFERROR(INDEX(Settings!$D$5:$D$9,MATCH($B995,Settings!$A$5:$A$9,0)),0)*M995)</f>
        <v/>
      </c>
      <c r="W995" s="11">
        <f>IF(J995="","",IF(T995="",0,M995*INDEX(Products!$I$5:$I$204,T995)))</f>
        <v/>
      </c>
      <c r="X995" s="11">
        <f>IF(J995="","",IF(T995="",0,S995*INDEX(Products!$H$5:$H$204,T995)))</f>
        <v/>
      </c>
      <c r="Y995" s="11">
        <f>IF(J995="","",S995-V995-W995-X995)</f>
        <v/>
      </c>
    </row>
    <row r="996">
      <c r="A996" s="19" t="n"/>
      <c r="B996" s="19" t="n"/>
      <c r="C996" s="19" t="n"/>
      <c r="D996" s="19" t="n"/>
      <c r="E996" s="19" t="n"/>
      <c r="F996" s="20" t="n"/>
      <c r="G996" s="20" t="n"/>
      <c r="H996" s="20" t="n"/>
      <c r="I996" s="19" t="n"/>
      <c r="J996">
        <f>IFERROR(IF(C996="","",C996)&amp;"","")</f>
        <v/>
      </c>
      <c r="K996">
        <f>IFERROR(IF(D996="","",D996)&amp;"","")</f>
        <v/>
      </c>
      <c r="L996">
        <f>IFERROR(IF(I996="","",I996)&amp;"","")</f>
        <v/>
      </c>
      <c r="M996">
        <f>IF(J996="","",IFERROR(VALUE(SUBSTITUTE(SUBSTITUTE(IF(E996="","",E996)&amp;"","$",""),",","")),0))</f>
        <v/>
      </c>
      <c r="N996" s="11">
        <f>IF(J996="","",IFERROR(VALUE(SUBSTITUTE(SUBSTITUTE(IF(F996="","",F996)&amp;"","$",""),",","")),0))</f>
        <v/>
      </c>
      <c r="O996" s="11">
        <f>IF(J996="","",M996*N996)</f>
        <v/>
      </c>
      <c r="P996">
        <f>IF(J996="","",IF(L996="",1,COUNTIF($L$2:$L$1501,L996)))</f>
        <v/>
      </c>
      <c r="Q996" s="11">
        <f>IF(J996="","",IFERROR(VALUE(SUBSTITUTE(SUBSTITUTE(IF(G996="","",G996)&amp;"","$",""),",","")),0)/IF("No"="Yes",P996,1))</f>
        <v/>
      </c>
      <c r="R996" s="11">
        <f>IF(J996="","",IFERROR(VALUE(SUBSTITUTE(SUBSTITUTE(IF(H996="","",H996)&amp;"","$",""),",","")),0)/IF("No"="Yes",P996,1))</f>
        <v/>
      </c>
      <c r="S996" s="11">
        <f>IF(J996="","",O996+Q996-R996)</f>
        <v/>
      </c>
      <c r="T996">
        <f>IF(J996="","",IFERROR(IF(K996="",NA(),MATCH(K996,Products!$B$5:$B$204,0)),IFERROR(MATCH(J996,Products!$A$5:$A$204,0),"")))</f>
        <v/>
      </c>
      <c r="U996">
        <f>IF(J996="","",IF(T996="","⚠ not in Products",INDEX(Products!$A$5:$A$204,T996)))</f>
        <v/>
      </c>
      <c r="V996" s="11">
        <f>IF(J996="","",S996*(IFERROR(INDEX(Settings!$B$5:$B$9,MATCH($B996,Settings!$A$5:$A$9,0)),0)+IFERROR(INDEX(Settings!$E$5:$E$9,MATCH($B996,Settings!$A$5:$A$9,0)),0)+IFERROR(INDEX(Settings!$G$5:$G$9,MATCH($B996,Settings!$A$5:$A$9,0)),0))+(IFERROR(INDEX(Settings!$C$5:$C$9,MATCH($B996,Settings!$A$5:$A$9,0)),0)+IFERROR(INDEX(Settings!$F$5:$F$9,MATCH($B996,Settings!$A$5:$A$9,0)),0))/P996+IFERROR(INDEX(Settings!$D$5:$D$9,MATCH($B996,Settings!$A$5:$A$9,0)),0)*M996)</f>
        <v/>
      </c>
      <c r="W996" s="11">
        <f>IF(J996="","",IF(T996="",0,M996*INDEX(Products!$I$5:$I$204,T996)))</f>
        <v/>
      </c>
      <c r="X996" s="11">
        <f>IF(J996="","",IF(T996="",0,S996*INDEX(Products!$H$5:$H$204,T996)))</f>
        <v/>
      </c>
      <c r="Y996" s="11">
        <f>IF(J996="","",S996-V996-W996-X996)</f>
        <v/>
      </c>
    </row>
    <row r="997">
      <c r="A997" s="19" t="n"/>
      <c r="B997" s="19" t="n"/>
      <c r="C997" s="19" t="n"/>
      <c r="D997" s="19" t="n"/>
      <c r="E997" s="19" t="n"/>
      <c r="F997" s="20" t="n"/>
      <c r="G997" s="20" t="n"/>
      <c r="H997" s="20" t="n"/>
      <c r="I997" s="19" t="n"/>
      <c r="J997">
        <f>IFERROR(IF(C997="","",C997)&amp;"","")</f>
        <v/>
      </c>
      <c r="K997">
        <f>IFERROR(IF(D997="","",D997)&amp;"","")</f>
        <v/>
      </c>
      <c r="L997">
        <f>IFERROR(IF(I997="","",I997)&amp;"","")</f>
        <v/>
      </c>
      <c r="M997">
        <f>IF(J997="","",IFERROR(VALUE(SUBSTITUTE(SUBSTITUTE(IF(E997="","",E997)&amp;"","$",""),",","")),0))</f>
        <v/>
      </c>
      <c r="N997" s="11">
        <f>IF(J997="","",IFERROR(VALUE(SUBSTITUTE(SUBSTITUTE(IF(F997="","",F997)&amp;"","$",""),",","")),0))</f>
        <v/>
      </c>
      <c r="O997" s="11">
        <f>IF(J997="","",M997*N997)</f>
        <v/>
      </c>
      <c r="P997">
        <f>IF(J997="","",IF(L997="",1,COUNTIF($L$2:$L$1501,L997)))</f>
        <v/>
      </c>
      <c r="Q997" s="11">
        <f>IF(J997="","",IFERROR(VALUE(SUBSTITUTE(SUBSTITUTE(IF(G997="","",G997)&amp;"","$",""),",","")),0)/IF("No"="Yes",P997,1))</f>
        <v/>
      </c>
      <c r="R997" s="11">
        <f>IF(J997="","",IFERROR(VALUE(SUBSTITUTE(SUBSTITUTE(IF(H997="","",H997)&amp;"","$",""),",","")),0)/IF("No"="Yes",P997,1))</f>
        <v/>
      </c>
      <c r="S997" s="11">
        <f>IF(J997="","",O997+Q997-R997)</f>
        <v/>
      </c>
      <c r="T997">
        <f>IF(J997="","",IFERROR(IF(K997="",NA(),MATCH(K997,Products!$B$5:$B$204,0)),IFERROR(MATCH(J997,Products!$A$5:$A$204,0),"")))</f>
        <v/>
      </c>
      <c r="U997">
        <f>IF(J997="","",IF(T997="","⚠ not in Products",INDEX(Products!$A$5:$A$204,T997)))</f>
        <v/>
      </c>
      <c r="V997" s="11">
        <f>IF(J997="","",S997*(IFERROR(INDEX(Settings!$B$5:$B$9,MATCH($B997,Settings!$A$5:$A$9,0)),0)+IFERROR(INDEX(Settings!$E$5:$E$9,MATCH($B997,Settings!$A$5:$A$9,0)),0)+IFERROR(INDEX(Settings!$G$5:$G$9,MATCH($B997,Settings!$A$5:$A$9,0)),0))+(IFERROR(INDEX(Settings!$C$5:$C$9,MATCH($B997,Settings!$A$5:$A$9,0)),0)+IFERROR(INDEX(Settings!$F$5:$F$9,MATCH($B997,Settings!$A$5:$A$9,0)),0))/P997+IFERROR(INDEX(Settings!$D$5:$D$9,MATCH($B997,Settings!$A$5:$A$9,0)),0)*M997)</f>
        <v/>
      </c>
      <c r="W997" s="11">
        <f>IF(J997="","",IF(T997="",0,M997*INDEX(Products!$I$5:$I$204,T997)))</f>
        <v/>
      </c>
      <c r="X997" s="11">
        <f>IF(J997="","",IF(T997="",0,S997*INDEX(Products!$H$5:$H$204,T997)))</f>
        <v/>
      </c>
      <c r="Y997" s="11">
        <f>IF(J997="","",S997-V997-W997-X997)</f>
        <v/>
      </c>
    </row>
    <row r="998">
      <c r="A998" s="19" t="n"/>
      <c r="B998" s="19" t="n"/>
      <c r="C998" s="19" t="n"/>
      <c r="D998" s="19" t="n"/>
      <c r="E998" s="19" t="n"/>
      <c r="F998" s="20" t="n"/>
      <c r="G998" s="20" t="n"/>
      <c r="H998" s="20" t="n"/>
      <c r="I998" s="19" t="n"/>
      <c r="J998">
        <f>IFERROR(IF(C998="","",C998)&amp;"","")</f>
        <v/>
      </c>
      <c r="K998">
        <f>IFERROR(IF(D998="","",D998)&amp;"","")</f>
        <v/>
      </c>
      <c r="L998">
        <f>IFERROR(IF(I998="","",I998)&amp;"","")</f>
        <v/>
      </c>
      <c r="M998">
        <f>IF(J998="","",IFERROR(VALUE(SUBSTITUTE(SUBSTITUTE(IF(E998="","",E998)&amp;"","$",""),",","")),0))</f>
        <v/>
      </c>
      <c r="N998" s="11">
        <f>IF(J998="","",IFERROR(VALUE(SUBSTITUTE(SUBSTITUTE(IF(F998="","",F998)&amp;"","$",""),",","")),0))</f>
        <v/>
      </c>
      <c r="O998" s="11">
        <f>IF(J998="","",M998*N998)</f>
        <v/>
      </c>
      <c r="P998">
        <f>IF(J998="","",IF(L998="",1,COUNTIF($L$2:$L$1501,L998)))</f>
        <v/>
      </c>
      <c r="Q998" s="11">
        <f>IF(J998="","",IFERROR(VALUE(SUBSTITUTE(SUBSTITUTE(IF(G998="","",G998)&amp;"","$",""),",","")),0)/IF("No"="Yes",P998,1))</f>
        <v/>
      </c>
      <c r="R998" s="11">
        <f>IF(J998="","",IFERROR(VALUE(SUBSTITUTE(SUBSTITUTE(IF(H998="","",H998)&amp;"","$",""),",","")),0)/IF("No"="Yes",P998,1))</f>
        <v/>
      </c>
      <c r="S998" s="11">
        <f>IF(J998="","",O998+Q998-R998)</f>
        <v/>
      </c>
      <c r="T998">
        <f>IF(J998="","",IFERROR(IF(K998="",NA(),MATCH(K998,Products!$B$5:$B$204,0)),IFERROR(MATCH(J998,Products!$A$5:$A$204,0),"")))</f>
        <v/>
      </c>
      <c r="U998">
        <f>IF(J998="","",IF(T998="","⚠ not in Products",INDEX(Products!$A$5:$A$204,T998)))</f>
        <v/>
      </c>
      <c r="V998" s="11">
        <f>IF(J998="","",S998*(IFERROR(INDEX(Settings!$B$5:$B$9,MATCH($B998,Settings!$A$5:$A$9,0)),0)+IFERROR(INDEX(Settings!$E$5:$E$9,MATCH($B998,Settings!$A$5:$A$9,0)),0)+IFERROR(INDEX(Settings!$G$5:$G$9,MATCH($B998,Settings!$A$5:$A$9,0)),0))+(IFERROR(INDEX(Settings!$C$5:$C$9,MATCH($B998,Settings!$A$5:$A$9,0)),0)+IFERROR(INDEX(Settings!$F$5:$F$9,MATCH($B998,Settings!$A$5:$A$9,0)),0))/P998+IFERROR(INDEX(Settings!$D$5:$D$9,MATCH($B998,Settings!$A$5:$A$9,0)),0)*M998)</f>
        <v/>
      </c>
      <c r="W998" s="11">
        <f>IF(J998="","",IF(T998="",0,M998*INDEX(Products!$I$5:$I$204,T998)))</f>
        <v/>
      </c>
      <c r="X998" s="11">
        <f>IF(J998="","",IF(T998="",0,S998*INDEX(Products!$H$5:$H$204,T998)))</f>
        <v/>
      </c>
      <c r="Y998" s="11">
        <f>IF(J998="","",S998-V998-W998-X998)</f>
        <v/>
      </c>
    </row>
    <row r="999">
      <c r="A999" s="19" t="n"/>
      <c r="B999" s="19" t="n"/>
      <c r="C999" s="19" t="n"/>
      <c r="D999" s="19" t="n"/>
      <c r="E999" s="19" t="n"/>
      <c r="F999" s="20" t="n"/>
      <c r="G999" s="20" t="n"/>
      <c r="H999" s="20" t="n"/>
      <c r="I999" s="19" t="n"/>
      <c r="J999">
        <f>IFERROR(IF(C999="","",C999)&amp;"","")</f>
        <v/>
      </c>
      <c r="K999">
        <f>IFERROR(IF(D999="","",D999)&amp;"","")</f>
        <v/>
      </c>
      <c r="L999">
        <f>IFERROR(IF(I999="","",I999)&amp;"","")</f>
        <v/>
      </c>
      <c r="M999">
        <f>IF(J999="","",IFERROR(VALUE(SUBSTITUTE(SUBSTITUTE(IF(E999="","",E999)&amp;"","$",""),",","")),0))</f>
        <v/>
      </c>
      <c r="N999" s="11">
        <f>IF(J999="","",IFERROR(VALUE(SUBSTITUTE(SUBSTITUTE(IF(F999="","",F999)&amp;"","$",""),",","")),0))</f>
        <v/>
      </c>
      <c r="O999" s="11">
        <f>IF(J999="","",M999*N999)</f>
        <v/>
      </c>
      <c r="P999">
        <f>IF(J999="","",IF(L999="",1,COUNTIF($L$2:$L$1501,L999)))</f>
        <v/>
      </c>
      <c r="Q999" s="11">
        <f>IF(J999="","",IFERROR(VALUE(SUBSTITUTE(SUBSTITUTE(IF(G999="","",G999)&amp;"","$",""),",","")),0)/IF("No"="Yes",P999,1))</f>
        <v/>
      </c>
      <c r="R999" s="11">
        <f>IF(J999="","",IFERROR(VALUE(SUBSTITUTE(SUBSTITUTE(IF(H999="","",H999)&amp;"","$",""),",","")),0)/IF("No"="Yes",P999,1))</f>
        <v/>
      </c>
      <c r="S999" s="11">
        <f>IF(J999="","",O999+Q999-R999)</f>
        <v/>
      </c>
      <c r="T999">
        <f>IF(J999="","",IFERROR(IF(K999="",NA(),MATCH(K999,Products!$B$5:$B$204,0)),IFERROR(MATCH(J999,Products!$A$5:$A$204,0),"")))</f>
        <v/>
      </c>
      <c r="U999">
        <f>IF(J999="","",IF(T999="","⚠ not in Products",INDEX(Products!$A$5:$A$204,T999)))</f>
        <v/>
      </c>
      <c r="V999" s="11">
        <f>IF(J999="","",S999*(IFERROR(INDEX(Settings!$B$5:$B$9,MATCH($B999,Settings!$A$5:$A$9,0)),0)+IFERROR(INDEX(Settings!$E$5:$E$9,MATCH($B999,Settings!$A$5:$A$9,0)),0)+IFERROR(INDEX(Settings!$G$5:$G$9,MATCH($B999,Settings!$A$5:$A$9,0)),0))+(IFERROR(INDEX(Settings!$C$5:$C$9,MATCH($B999,Settings!$A$5:$A$9,0)),0)+IFERROR(INDEX(Settings!$F$5:$F$9,MATCH($B999,Settings!$A$5:$A$9,0)),0))/P999+IFERROR(INDEX(Settings!$D$5:$D$9,MATCH($B999,Settings!$A$5:$A$9,0)),0)*M999)</f>
        <v/>
      </c>
      <c r="W999" s="11">
        <f>IF(J999="","",IF(T999="",0,M999*INDEX(Products!$I$5:$I$204,T999)))</f>
        <v/>
      </c>
      <c r="X999" s="11">
        <f>IF(J999="","",IF(T999="",0,S999*INDEX(Products!$H$5:$H$204,T999)))</f>
        <v/>
      </c>
      <c r="Y999" s="11">
        <f>IF(J999="","",S999-V999-W999-X999)</f>
        <v/>
      </c>
    </row>
    <row r="1000">
      <c r="A1000" s="19" t="n"/>
      <c r="B1000" s="19" t="n"/>
      <c r="C1000" s="19" t="n"/>
      <c r="D1000" s="19" t="n"/>
      <c r="E1000" s="19" t="n"/>
      <c r="F1000" s="20" t="n"/>
      <c r="G1000" s="20" t="n"/>
      <c r="H1000" s="20" t="n"/>
      <c r="I1000" s="19" t="n"/>
      <c r="J1000">
        <f>IFERROR(IF(C1000="","",C1000)&amp;"","")</f>
        <v/>
      </c>
      <c r="K1000">
        <f>IFERROR(IF(D1000="","",D1000)&amp;"","")</f>
        <v/>
      </c>
      <c r="L1000">
        <f>IFERROR(IF(I1000="","",I1000)&amp;"","")</f>
        <v/>
      </c>
      <c r="M1000">
        <f>IF(J1000="","",IFERROR(VALUE(SUBSTITUTE(SUBSTITUTE(IF(E1000="","",E1000)&amp;"","$",""),",","")),0))</f>
        <v/>
      </c>
      <c r="N1000" s="11">
        <f>IF(J1000="","",IFERROR(VALUE(SUBSTITUTE(SUBSTITUTE(IF(F1000="","",F1000)&amp;"","$",""),",","")),0))</f>
        <v/>
      </c>
      <c r="O1000" s="11">
        <f>IF(J1000="","",M1000*N1000)</f>
        <v/>
      </c>
      <c r="P1000">
        <f>IF(J1000="","",IF(L1000="",1,COUNTIF($L$2:$L$1501,L1000)))</f>
        <v/>
      </c>
      <c r="Q1000" s="11">
        <f>IF(J1000="","",IFERROR(VALUE(SUBSTITUTE(SUBSTITUTE(IF(G1000="","",G1000)&amp;"","$",""),",","")),0)/IF("No"="Yes",P1000,1))</f>
        <v/>
      </c>
      <c r="R1000" s="11">
        <f>IF(J1000="","",IFERROR(VALUE(SUBSTITUTE(SUBSTITUTE(IF(H1000="","",H1000)&amp;"","$",""),",","")),0)/IF("No"="Yes",P1000,1))</f>
        <v/>
      </c>
      <c r="S1000" s="11">
        <f>IF(J1000="","",O1000+Q1000-R1000)</f>
        <v/>
      </c>
      <c r="T1000">
        <f>IF(J1000="","",IFERROR(IF(K1000="",NA(),MATCH(K1000,Products!$B$5:$B$204,0)),IFERROR(MATCH(J1000,Products!$A$5:$A$204,0),"")))</f>
        <v/>
      </c>
      <c r="U1000">
        <f>IF(J1000="","",IF(T1000="","⚠ not in Products",INDEX(Products!$A$5:$A$204,T1000)))</f>
        <v/>
      </c>
      <c r="V1000" s="11">
        <f>IF(J1000="","",S1000*(IFERROR(INDEX(Settings!$B$5:$B$9,MATCH($B1000,Settings!$A$5:$A$9,0)),0)+IFERROR(INDEX(Settings!$E$5:$E$9,MATCH($B1000,Settings!$A$5:$A$9,0)),0)+IFERROR(INDEX(Settings!$G$5:$G$9,MATCH($B1000,Settings!$A$5:$A$9,0)),0))+(IFERROR(INDEX(Settings!$C$5:$C$9,MATCH($B1000,Settings!$A$5:$A$9,0)),0)+IFERROR(INDEX(Settings!$F$5:$F$9,MATCH($B1000,Settings!$A$5:$A$9,0)),0))/P1000+IFERROR(INDEX(Settings!$D$5:$D$9,MATCH($B1000,Settings!$A$5:$A$9,0)),0)*M1000)</f>
        <v/>
      </c>
      <c r="W1000" s="11">
        <f>IF(J1000="","",IF(T1000="",0,M1000*INDEX(Products!$I$5:$I$204,T1000)))</f>
        <v/>
      </c>
      <c r="X1000" s="11">
        <f>IF(J1000="","",IF(T1000="",0,S1000*INDEX(Products!$H$5:$H$204,T1000)))</f>
        <v/>
      </c>
      <c r="Y1000" s="11">
        <f>IF(J1000="","",S1000-V1000-W1000-X1000)</f>
        <v/>
      </c>
    </row>
    <row r="1001">
      <c r="A1001" s="19" t="n"/>
      <c r="B1001" s="19" t="n"/>
      <c r="C1001" s="19" t="n"/>
      <c r="D1001" s="19" t="n"/>
      <c r="E1001" s="19" t="n"/>
      <c r="F1001" s="20" t="n"/>
      <c r="G1001" s="20" t="n"/>
      <c r="H1001" s="20" t="n"/>
      <c r="I1001" s="19" t="n"/>
      <c r="J1001">
        <f>IFERROR(IF(C1001="","",C1001)&amp;"","")</f>
        <v/>
      </c>
      <c r="K1001">
        <f>IFERROR(IF(D1001="","",D1001)&amp;"","")</f>
        <v/>
      </c>
      <c r="L1001">
        <f>IFERROR(IF(I1001="","",I1001)&amp;"","")</f>
        <v/>
      </c>
      <c r="M1001">
        <f>IF(J1001="","",IFERROR(VALUE(SUBSTITUTE(SUBSTITUTE(IF(E1001="","",E1001)&amp;"","$",""),",","")),0))</f>
        <v/>
      </c>
      <c r="N1001" s="11">
        <f>IF(J1001="","",IFERROR(VALUE(SUBSTITUTE(SUBSTITUTE(IF(F1001="","",F1001)&amp;"","$",""),",","")),0))</f>
        <v/>
      </c>
      <c r="O1001" s="11">
        <f>IF(J1001="","",M1001*N1001)</f>
        <v/>
      </c>
      <c r="P1001">
        <f>IF(J1001="","",IF(L1001="",1,COUNTIF($L$2:$L$1501,L1001)))</f>
        <v/>
      </c>
      <c r="Q1001" s="11">
        <f>IF(J1001="","",IFERROR(VALUE(SUBSTITUTE(SUBSTITUTE(IF(G1001="","",G1001)&amp;"","$",""),",","")),0)/IF("No"="Yes",P1001,1))</f>
        <v/>
      </c>
      <c r="R1001" s="11">
        <f>IF(J1001="","",IFERROR(VALUE(SUBSTITUTE(SUBSTITUTE(IF(H1001="","",H1001)&amp;"","$",""),",","")),0)/IF("No"="Yes",P1001,1))</f>
        <v/>
      </c>
      <c r="S1001" s="11">
        <f>IF(J1001="","",O1001+Q1001-R1001)</f>
        <v/>
      </c>
      <c r="T1001">
        <f>IF(J1001="","",IFERROR(IF(K1001="",NA(),MATCH(K1001,Products!$B$5:$B$204,0)),IFERROR(MATCH(J1001,Products!$A$5:$A$204,0),"")))</f>
        <v/>
      </c>
      <c r="U1001">
        <f>IF(J1001="","",IF(T1001="","⚠ not in Products",INDEX(Products!$A$5:$A$204,T1001)))</f>
        <v/>
      </c>
      <c r="V1001" s="11">
        <f>IF(J1001="","",S1001*(IFERROR(INDEX(Settings!$B$5:$B$9,MATCH($B1001,Settings!$A$5:$A$9,0)),0)+IFERROR(INDEX(Settings!$E$5:$E$9,MATCH($B1001,Settings!$A$5:$A$9,0)),0)+IFERROR(INDEX(Settings!$G$5:$G$9,MATCH($B1001,Settings!$A$5:$A$9,0)),0))+(IFERROR(INDEX(Settings!$C$5:$C$9,MATCH($B1001,Settings!$A$5:$A$9,0)),0)+IFERROR(INDEX(Settings!$F$5:$F$9,MATCH($B1001,Settings!$A$5:$A$9,0)),0))/P1001+IFERROR(INDEX(Settings!$D$5:$D$9,MATCH($B1001,Settings!$A$5:$A$9,0)),0)*M1001)</f>
        <v/>
      </c>
      <c r="W1001" s="11">
        <f>IF(J1001="","",IF(T1001="",0,M1001*INDEX(Products!$I$5:$I$204,T1001)))</f>
        <v/>
      </c>
      <c r="X1001" s="11">
        <f>IF(J1001="","",IF(T1001="",0,S1001*INDEX(Products!$H$5:$H$204,T1001)))</f>
        <v/>
      </c>
      <c r="Y1001" s="11">
        <f>IF(J1001="","",S1001-V1001-W1001-X1001)</f>
        <v/>
      </c>
    </row>
    <row r="1002">
      <c r="A1002" s="19" t="n"/>
      <c r="B1002" s="19" t="n"/>
      <c r="C1002" s="19" t="n"/>
      <c r="D1002" s="19" t="n"/>
      <c r="E1002" s="19" t="n"/>
      <c r="F1002" s="20" t="n"/>
      <c r="G1002" s="20" t="n"/>
      <c r="H1002" s="20" t="n"/>
      <c r="I1002" s="19" t="n"/>
      <c r="J1002">
        <f>IFERROR(IF(C1002="","",C1002)&amp;"","")</f>
        <v/>
      </c>
      <c r="K1002">
        <f>IFERROR(IF(D1002="","",D1002)&amp;"","")</f>
        <v/>
      </c>
      <c r="L1002">
        <f>IFERROR(IF(I1002="","",I1002)&amp;"","")</f>
        <v/>
      </c>
      <c r="M1002">
        <f>IF(J1002="","",IFERROR(VALUE(SUBSTITUTE(SUBSTITUTE(IF(E1002="","",E1002)&amp;"","$",""),",","")),0))</f>
        <v/>
      </c>
      <c r="N1002" s="11">
        <f>IF(J1002="","",IFERROR(VALUE(SUBSTITUTE(SUBSTITUTE(IF(F1002="","",F1002)&amp;"","$",""),",","")),0))</f>
        <v/>
      </c>
      <c r="O1002" s="11">
        <f>IF(J1002="","",M1002*N1002)</f>
        <v/>
      </c>
      <c r="P1002">
        <f>IF(J1002="","",IF(L1002="",1,COUNTIF($L$2:$L$1501,L1002)))</f>
        <v/>
      </c>
      <c r="Q1002" s="11">
        <f>IF(J1002="","",IFERROR(VALUE(SUBSTITUTE(SUBSTITUTE(IF(G1002="","",G1002)&amp;"","$",""),",","")),0)/IF("No"="Yes",P1002,1))</f>
        <v/>
      </c>
      <c r="R1002" s="11">
        <f>IF(J1002="","",IFERROR(VALUE(SUBSTITUTE(SUBSTITUTE(IF(H1002="","",H1002)&amp;"","$",""),",","")),0)/IF("No"="Yes",P1002,1))</f>
        <v/>
      </c>
      <c r="S1002" s="11">
        <f>IF(J1002="","",O1002+Q1002-R1002)</f>
        <v/>
      </c>
      <c r="T1002">
        <f>IF(J1002="","",IFERROR(IF(K1002="",NA(),MATCH(K1002,Products!$B$5:$B$204,0)),IFERROR(MATCH(J1002,Products!$A$5:$A$204,0),"")))</f>
        <v/>
      </c>
      <c r="U1002">
        <f>IF(J1002="","",IF(T1002="","⚠ not in Products",INDEX(Products!$A$5:$A$204,T1002)))</f>
        <v/>
      </c>
      <c r="V1002" s="11">
        <f>IF(J1002="","",S1002*(IFERROR(INDEX(Settings!$B$5:$B$9,MATCH($B1002,Settings!$A$5:$A$9,0)),0)+IFERROR(INDEX(Settings!$E$5:$E$9,MATCH($B1002,Settings!$A$5:$A$9,0)),0)+IFERROR(INDEX(Settings!$G$5:$G$9,MATCH($B1002,Settings!$A$5:$A$9,0)),0))+(IFERROR(INDEX(Settings!$C$5:$C$9,MATCH($B1002,Settings!$A$5:$A$9,0)),0)+IFERROR(INDEX(Settings!$F$5:$F$9,MATCH($B1002,Settings!$A$5:$A$9,0)),0))/P1002+IFERROR(INDEX(Settings!$D$5:$D$9,MATCH($B1002,Settings!$A$5:$A$9,0)),0)*M1002)</f>
        <v/>
      </c>
      <c r="W1002" s="11">
        <f>IF(J1002="","",IF(T1002="",0,M1002*INDEX(Products!$I$5:$I$204,T1002)))</f>
        <v/>
      </c>
      <c r="X1002" s="11">
        <f>IF(J1002="","",IF(T1002="",0,S1002*INDEX(Products!$H$5:$H$204,T1002)))</f>
        <v/>
      </c>
      <c r="Y1002" s="11">
        <f>IF(J1002="","",S1002-V1002-W1002-X1002)</f>
        <v/>
      </c>
    </row>
    <row r="1003">
      <c r="A1003" s="19" t="n"/>
      <c r="B1003" s="19" t="n"/>
      <c r="C1003" s="19" t="n"/>
      <c r="D1003" s="19" t="n"/>
      <c r="E1003" s="19" t="n"/>
      <c r="F1003" s="20" t="n"/>
      <c r="G1003" s="20" t="n"/>
      <c r="H1003" s="20" t="n"/>
      <c r="I1003" s="19" t="n"/>
      <c r="J1003">
        <f>IFERROR(IF(C1003="","",C1003)&amp;"","")</f>
        <v/>
      </c>
      <c r="K1003">
        <f>IFERROR(IF(D1003="","",D1003)&amp;"","")</f>
        <v/>
      </c>
      <c r="L1003">
        <f>IFERROR(IF(I1003="","",I1003)&amp;"","")</f>
        <v/>
      </c>
      <c r="M1003">
        <f>IF(J1003="","",IFERROR(VALUE(SUBSTITUTE(SUBSTITUTE(IF(E1003="","",E1003)&amp;"","$",""),",","")),0))</f>
        <v/>
      </c>
      <c r="N1003" s="11">
        <f>IF(J1003="","",IFERROR(VALUE(SUBSTITUTE(SUBSTITUTE(IF(F1003="","",F1003)&amp;"","$",""),",","")),0))</f>
        <v/>
      </c>
      <c r="O1003" s="11">
        <f>IF(J1003="","",M1003*N1003)</f>
        <v/>
      </c>
      <c r="P1003">
        <f>IF(J1003="","",IF(L1003="",1,COUNTIF($L$2:$L$1501,L1003)))</f>
        <v/>
      </c>
      <c r="Q1003" s="11">
        <f>IF(J1003="","",IFERROR(VALUE(SUBSTITUTE(SUBSTITUTE(IF(G1003="","",G1003)&amp;"","$",""),",","")),0)/IF("No"="Yes",P1003,1))</f>
        <v/>
      </c>
      <c r="R1003" s="11">
        <f>IF(J1003="","",IFERROR(VALUE(SUBSTITUTE(SUBSTITUTE(IF(H1003="","",H1003)&amp;"","$",""),",","")),0)/IF("No"="Yes",P1003,1))</f>
        <v/>
      </c>
      <c r="S1003" s="11">
        <f>IF(J1003="","",O1003+Q1003-R1003)</f>
        <v/>
      </c>
      <c r="T1003">
        <f>IF(J1003="","",IFERROR(IF(K1003="",NA(),MATCH(K1003,Products!$B$5:$B$204,0)),IFERROR(MATCH(J1003,Products!$A$5:$A$204,0),"")))</f>
        <v/>
      </c>
      <c r="U1003">
        <f>IF(J1003="","",IF(T1003="","⚠ not in Products",INDEX(Products!$A$5:$A$204,T1003)))</f>
        <v/>
      </c>
      <c r="V1003" s="11">
        <f>IF(J1003="","",S1003*(IFERROR(INDEX(Settings!$B$5:$B$9,MATCH($B1003,Settings!$A$5:$A$9,0)),0)+IFERROR(INDEX(Settings!$E$5:$E$9,MATCH($B1003,Settings!$A$5:$A$9,0)),0)+IFERROR(INDEX(Settings!$G$5:$G$9,MATCH($B1003,Settings!$A$5:$A$9,0)),0))+(IFERROR(INDEX(Settings!$C$5:$C$9,MATCH($B1003,Settings!$A$5:$A$9,0)),0)+IFERROR(INDEX(Settings!$F$5:$F$9,MATCH($B1003,Settings!$A$5:$A$9,0)),0))/P1003+IFERROR(INDEX(Settings!$D$5:$D$9,MATCH($B1003,Settings!$A$5:$A$9,0)),0)*M1003)</f>
        <v/>
      </c>
      <c r="W1003" s="11">
        <f>IF(J1003="","",IF(T1003="",0,M1003*INDEX(Products!$I$5:$I$204,T1003)))</f>
        <v/>
      </c>
      <c r="X1003" s="11">
        <f>IF(J1003="","",IF(T1003="",0,S1003*INDEX(Products!$H$5:$H$204,T1003)))</f>
        <v/>
      </c>
      <c r="Y1003" s="11">
        <f>IF(J1003="","",S1003-V1003-W1003-X1003)</f>
        <v/>
      </c>
    </row>
    <row r="1004">
      <c r="A1004" s="19" t="n"/>
      <c r="B1004" s="19" t="n"/>
      <c r="C1004" s="19" t="n"/>
      <c r="D1004" s="19" t="n"/>
      <c r="E1004" s="19" t="n"/>
      <c r="F1004" s="20" t="n"/>
      <c r="G1004" s="20" t="n"/>
      <c r="H1004" s="20" t="n"/>
      <c r="I1004" s="19" t="n"/>
      <c r="J1004">
        <f>IFERROR(IF(C1004="","",C1004)&amp;"","")</f>
        <v/>
      </c>
      <c r="K1004">
        <f>IFERROR(IF(D1004="","",D1004)&amp;"","")</f>
        <v/>
      </c>
      <c r="L1004">
        <f>IFERROR(IF(I1004="","",I1004)&amp;"","")</f>
        <v/>
      </c>
      <c r="M1004">
        <f>IF(J1004="","",IFERROR(VALUE(SUBSTITUTE(SUBSTITUTE(IF(E1004="","",E1004)&amp;"","$",""),",","")),0))</f>
        <v/>
      </c>
      <c r="N1004" s="11">
        <f>IF(J1004="","",IFERROR(VALUE(SUBSTITUTE(SUBSTITUTE(IF(F1004="","",F1004)&amp;"","$",""),",","")),0))</f>
        <v/>
      </c>
      <c r="O1004" s="11">
        <f>IF(J1004="","",M1004*N1004)</f>
        <v/>
      </c>
      <c r="P1004">
        <f>IF(J1004="","",IF(L1004="",1,COUNTIF($L$2:$L$1501,L1004)))</f>
        <v/>
      </c>
      <c r="Q1004" s="11">
        <f>IF(J1004="","",IFERROR(VALUE(SUBSTITUTE(SUBSTITUTE(IF(G1004="","",G1004)&amp;"","$",""),",","")),0)/IF("No"="Yes",P1004,1))</f>
        <v/>
      </c>
      <c r="R1004" s="11">
        <f>IF(J1004="","",IFERROR(VALUE(SUBSTITUTE(SUBSTITUTE(IF(H1004="","",H1004)&amp;"","$",""),",","")),0)/IF("No"="Yes",P1004,1))</f>
        <v/>
      </c>
      <c r="S1004" s="11">
        <f>IF(J1004="","",O1004+Q1004-R1004)</f>
        <v/>
      </c>
      <c r="T1004">
        <f>IF(J1004="","",IFERROR(IF(K1004="",NA(),MATCH(K1004,Products!$B$5:$B$204,0)),IFERROR(MATCH(J1004,Products!$A$5:$A$204,0),"")))</f>
        <v/>
      </c>
      <c r="U1004">
        <f>IF(J1004="","",IF(T1004="","⚠ not in Products",INDEX(Products!$A$5:$A$204,T1004)))</f>
        <v/>
      </c>
      <c r="V1004" s="11">
        <f>IF(J1004="","",S1004*(IFERROR(INDEX(Settings!$B$5:$B$9,MATCH($B1004,Settings!$A$5:$A$9,0)),0)+IFERROR(INDEX(Settings!$E$5:$E$9,MATCH($B1004,Settings!$A$5:$A$9,0)),0)+IFERROR(INDEX(Settings!$G$5:$G$9,MATCH($B1004,Settings!$A$5:$A$9,0)),0))+(IFERROR(INDEX(Settings!$C$5:$C$9,MATCH($B1004,Settings!$A$5:$A$9,0)),0)+IFERROR(INDEX(Settings!$F$5:$F$9,MATCH($B1004,Settings!$A$5:$A$9,0)),0))/P1004+IFERROR(INDEX(Settings!$D$5:$D$9,MATCH($B1004,Settings!$A$5:$A$9,0)),0)*M1004)</f>
        <v/>
      </c>
      <c r="W1004" s="11">
        <f>IF(J1004="","",IF(T1004="",0,M1004*INDEX(Products!$I$5:$I$204,T1004)))</f>
        <v/>
      </c>
      <c r="X1004" s="11">
        <f>IF(J1004="","",IF(T1004="",0,S1004*INDEX(Products!$H$5:$H$204,T1004)))</f>
        <v/>
      </c>
      <c r="Y1004" s="11">
        <f>IF(J1004="","",S1004-V1004-W1004-X1004)</f>
        <v/>
      </c>
    </row>
    <row r="1005">
      <c r="A1005" s="19" t="n"/>
      <c r="B1005" s="19" t="n"/>
      <c r="C1005" s="19" t="n"/>
      <c r="D1005" s="19" t="n"/>
      <c r="E1005" s="19" t="n"/>
      <c r="F1005" s="20" t="n"/>
      <c r="G1005" s="20" t="n"/>
      <c r="H1005" s="20" t="n"/>
      <c r="I1005" s="19" t="n"/>
      <c r="J1005">
        <f>IFERROR(IF(C1005="","",C1005)&amp;"","")</f>
        <v/>
      </c>
      <c r="K1005">
        <f>IFERROR(IF(D1005="","",D1005)&amp;"","")</f>
        <v/>
      </c>
      <c r="L1005">
        <f>IFERROR(IF(I1005="","",I1005)&amp;"","")</f>
        <v/>
      </c>
      <c r="M1005">
        <f>IF(J1005="","",IFERROR(VALUE(SUBSTITUTE(SUBSTITUTE(IF(E1005="","",E1005)&amp;"","$",""),",","")),0))</f>
        <v/>
      </c>
      <c r="N1005" s="11">
        <f>IF(J1005="","",IFERROR(VALUE(SUBSTITUTE(SUBSTITUTE(IF(F1005="","",F1005)&amp;"","$",""),",","")),0))</f>
        <v/>
      </c>
      <c r="O1005" s="11">
        <f>IF(J1005="","",M1005*N1005)</f>
        <v/>
      </c>
      <c r="P1005">
        <f>IF(J1005="","",IF(L1005="",1,COUNTIF($L$2:$L$1501,L1005)))</f>
        <v/>
      </c>
      <c r="Q1005" s="11">
        <f>IF(J1005="","",IFERROR(VALUE(SUBSTITUTE(SUBSTITUTE(IF(G1005="","",G1005)&amp;"","$",""),",","")),0)/IF("No"="Yes",P1005,1))</f>
        <v/>
      </c>
      <c r="R1005" s="11">
        <f>IF(J1005="","",IFERROR(VALUE(SUBSTITUTE(SUBSTITUTE(IF(H1005="","",H1005)&amp;"","$",""),",","")),0)/IF("No"="Yes",P1005,1))</f>
        <v/>
      </c>
      <c r="S1005" s="11">
        <f>IF(J1005="","",O1005+Q1005-R1005)</f>
        <v/>
      </c>
      <c r="T1005">
        <f>IF(J1005="","",IFERROR(IF(K1005="",NA(),MATCH(K1005,Products!$B$5:$B$204,0)),IFERROR(MATCH(J1005,Products!$A$5:$A$204,0),"")))</f>
        <v/>
      </c>
      <c r="U1005">
        <f>IF(J1005="","",IF(T1005="","⚠ not in Products",INDEX(Products!$A$5:$A$204,T1005)))</f>
        <v/>
      </c>
      <c r="V1005" s="11">
        <f>IF(J1005="","",S1005*(IFERROR(INDEX(Settings!$B$5:$B$9,MATCH($B1005,Settings!$A$5:$A$9,0)),0)+IFERROR(INDEX(Settings!$E$5:$E$9,MATCH($B1005,Settings!$A$5:$A$9,0)),0)+IFERROR(INDEX(Settings!$G$5:$G$9,MATCH($B1005,Settings!$A$5:$A$9,0)),0))+(IFERROR(INDEX(Settings!$C$5:$C$9,MATCH($B1005,Settings!$A$5:$A$9,0)),0)+IFERROR(INDEX(Settings!$F$5:$F$9,MATCH($B1005,Settings!$A$5:$A$9,0)),0))/P1005+IFERROR(INDEX(Settings!$D$5:$D$9,MATCH($B1005,Settings!$A$5:$A$9,0)),0)*M1005)</f>
        <v/>
      </c>
      <c r="W1005" s="11">
        <f>IF(J1005="","",IF(T1005="",0,M1005*INDEX(Products!$I$5:$I$204,T1005)))</f>
        <v/>
      </c>
      <c r="X1005" s="11">
        <f>IF(J1005="","",IF(T1005="",0,S1005*INDEX(Products!$H$5:$H$204,T1005)))</f>
        <v/>
      </c>
      <c r="Y1005" s="11">
        <f>IF(J1005="","",S1005-V1005-W1005-X1005)</f>
        <v/>
      </c>
    </row>
    <row r="1006">
      <c r="A1006" s="19" t="n"/>
      <c r="B1006" s="19" t="n"/>
      <c r="C1006" s="19" t="n"/>
      <c r="D1006" s="19" t="n"/>
      <c r="E1006" s="19" t="n"/>
      <c r="F1006" s="20" t="n"/>
      <c r="G1006" s="20" t="n"/>
      <c r="H1006" s="20" t="n"/>
      <c r="I1006" s="19" t="n"/>
      <c r="J1006">
        <f>IFERROR(IF(C1006="","",C1006)&amp;"","")</f>
        <v/>
      </c>
      <c r="K1006">
        <f>IFERROR(IF(D1006="","",D1006)&amp;"","")</f>
        <v/>
      </c>
      <c r="L1006">
        <f>IFERROR(IF(I1006="","",I1006)&amp;"","")</f>
        <v/>
      </c>
      <c r="M1006">
        <f>IF(J1006="","",IFERROR(VALUE(SUBSTITUTE(SUBSTITUTE(IF(E1006="","",E1006)&amp;"","$",""),",","")),0))</f>
        <v/>
      </c>
      <c r="N1006" s="11">
        <f>IF(J1006="","",IFERROR(VALUE(SUBSTITUTE(SUBSTITUTE(IF(F1006="","",F1006)&amp;"","$",""),",","")),0))</f>
        <v/>
      </c>
      <c r="O1006" s="11">
        <f>IF(J1006="","",M1006*N1006)</f>
        <v/>
      </c>
      <c r="P1006">
        <f>IF(J1006="","",IF(L1006="",1,COUNTIF($L$2:$L$1501,L1006)))</f>
        <v/>
      </c>
      <c r="Q1006" s="11">
        <f>IF(J1006="","",IFERROR(VALUE(SUBSTITUTE(SUBSTITUTE(IF(G1006="","",G1006)&amp;"","$",""),",","")),0)/IF("No"="Yes",P1006,1))</f>
        <v/>
      </c>
      <c r="R1006" s="11">
        <f>IF(J1006="","",IFERROR(VALUE(SUBSTITUTE(SUBSTITUTE(IF(H1006="","",H1006)&amp;"","$",""),",","")),0)/IF("No"="Yes",P1006,1))</f>
        <v/>
      </c>
      <c r="S1006" s="11">
        <f>IF(J1006="","",O1006+Q1006-R1006)</f>
        <v/>
      </c>
      <c r="T1006">
        <f>IF(J1006="","",IFERROR(IF(K1006="",NA(),MATCH(K1006,Products!$B$5:$B$204,0)),IFERROR(MATCH(J1006,Products!$A$5:$A$204,0),"")))</f>
        <v/>
      </c>
      <c r="U1006">
        <f>IF(J1006="","",IF(T1006="","⚠ not in Products",INDEX(Products!$A$5:$A$204,T1006)))</f>
        <v/>
      </c>
      <c r="V1006" s="11">
        <f>IF(J1006="","",S1006*(IFERROR(INDEX(Settings!$B$5:$B$9,MATCH($B1006,Settings!$A$5:$A$9,0)),0)+IFERROR(INDEX(Settings!$E$5:$E$9,MATCH($B1006,Settings!$A$5:$A$9,0)),0)+IFERROR(INDEX(Settings!$G$5:$G$9,MATCH($B1006,Settings!$A$5:$A$9,0)),0))+(IFERROR(INDEX(Settings!$C$5:$C$9,MATCH($B1006,Settings!$A$5:$A$9,0)),0)+IFERROR(INDEX(Settings!$F$5:$F$9,MATCH($B1006,Settings!$A$5:$A$9,0)),0))/P1006+IFERROR(INDEX(Settings!$D$5:$D$9,MATCH($B1006,Settings!$A$5:$A$9,0)),0)*M1006)</f>
        <v/>
      </c>
      <c r="W1006" s="11">
        <f>IF(J1006="","",IF(T1006="",0,M1006*INDEX(Products!$I$5:$I$204,T1006)))</f>
        <v/>
      </c>
      <c r="X1006" s="11">
        <f>IF(J1006="","",IF(T1006="",0,S1006*INDEX(Products!$H$5:$H$204,T1006)))</f>
        <v/>
      </c>
      <c r="Y1006" s="11">
        <f>IF(J1006="","",S1006-V1006-W1006-X1006)</f>
        <v/>
      </c>
    </row>
    <row r="1007">
      <c r="A1007" s="19" t="n"/>
      <c r="B1007" s="19" t="n"/>
      <c r="C1007" s="19" t="n"/>
      <c r="D1007" s="19" t="n"/>
      <c r="E1007" s="19" t="n"/>
      <c r="F1007" s="20" t="n"/>
      <c r="G1007" s="20" t="n"/>
      <c r="H1007" s="20" t="n"/>
      <c r="I1007" s="19" t="n"/>
      <c r="J1007">
        <f>IFERROR(IF(C1007="","",C1007)&amp;"","")</f>
        <v/>
      </c>
      <c r="K1007">
        <f>IFERROR(IF(D1007="","",D1007)&amp;"","")</f>
        <v/>
      </c>
      <c r="L1007">
        <f>IFERROR(IF(I1007="","",I1007)&amp;"","")</f>
        <v/>
      </c>
      <c r="M1007">
        <f>IF(J1007="","",IFERROR(VALUE(SUBSTITUTE(SUBSTITUTE(IF(E1007="","",E1007)&amp;"","$",""),",","")),0))</f>
        <v/>
      </c>
      <c r="N1007" s="11">
        <f>IF(J1007="","",IFERROR(VALUE(SUBSTITUTE(SUBSTITUTE(IF(F1007="","",F1007)&amp;"","$",""),",","")),0))</f>
        <v/>
      </c>
      <c r="O1007" s="11">
        <f>IF(J1007="","",M1007*N1007)</f>
        <v/>
      </c>
      <c r="P1007">
        <f>IF(J1007="","",IF(L1007="",1,COUNTIF($L$2:$L$1501,L1007)))</f>
        <v/>
      </c>
      <c r="Q1007" s="11">
        <f>IF(J1007="","",IFERROR(VALUE(SUBSTITUTE(SUBSTITUTE(IF(G1007="","",G1007)&amp;"","$",""),",","")),0)/IF("No"="Yes",P1007,1))</f>
        <v/>
      </c>
      <c r="R1007" s="11">
        <f>IF(J1007="","",IFERROR(VALUE(SUBSTITUTE(SUBSTITUTE(IF(H1007="","",H1007)&amp;"","$",""),",","")),0)/IF("No"="Yes",P1007,1))</f>
        <v/>
      </c>
      <c r="S1007" s="11">
        <f>IF(J1007="","",O1007+Q1007-R1007)</f>
        <v/>
      </c>
      <c r="T1007">
        <f>IF(J1007="","",IFERROR(IF(K1007="",NA(),MATCH(K1007,Products!$B$5:$B$204,0)),IFERROR(MATCH(J1007,Products!$A$5:$A$204,0),"")))</f>
        <v/>
      </c>
      <c r="U1007">
        <f>IF(J1007="","",IF(T1007="","⚠ not in Products",INDEX(Products!$A$5:$A$204,T1007)))</f>
        <v/>
      </c>
      <c r="V1007" s="11">
        <f>IF(J1007="","",S1007*(IFERROR(INDEX(Settings!$B$5:$B$9,MATCH($B1007,Settings!$A$5:$A$9,0)),0)+IFERROR(INDEX(Settings!$E$5:$E$9,MATCH($B1007,Settings!$A$5:$A$9,0)),0)+IFERROR(INDEX(Settings!$G$5:$G$9,MATCH($B1007,Settings!$A$5:$A$9,0)),0))+(IFERROR(INDEX(Settings!$C$5:$C$9,MATCH($B1007,Settings!$A$5:$A$9,0)),0)+IFERROR(INDEX(Settings!$F$5:$F$9,MATCH($B1007,Settings!$A$5:$A$9,0)),0))/P1007+IFERROR(INDEX(Settings!$D$5:$D$9,MATCH($B1007,Settings!$A$5:$A$9,0)),0)*M1007)</f>
        <v/>
      </c>
      <c r="W1007" s="11">
        <f>IF(J1007="","",IF(T1007="",0,M1007*INDEX(Products!$I$5:$I$204,T1007)))</f>
        <v/>
      </c>
      <c r="X1007" s="11">
        <f>IF(J1007="","",IF(T1007="",0,S1007*INDEX(Products!$H$5:$H$204,T1007)))</f>
        <v/>
      </c>
      <c r="Y1007" s="11">
        <f>IF(J1007="","",S1007-V1007-W1007-X1007)</f>
        <v/>
      </c>
    </row>
    <row r="1008">
      <c r="A1008" s="19" t="n"/>
      <c r="B1008" s="19" t="n"/>
      <c r="C1008" s="19" t="n"/>
      <c r="D1008" s="19" t="n"/>
      <c r="E1008" s="19" t="n"/>
      <c r="F1008" s="20" t="n"/>
      <c r="G1008" s="20" t="n"/>
      <c r="H1008" s="20" t="n"/>
      <c r="I1008" s="19" t="n"/>
      <c r="J1008">
        <f>IFERROR(IF(C1008="","",C1008)&amp;"","")</f>
        <v/>
      </c>
      <c r="K1008">
        <f>IFERROR(IF(D1008="","",D1008)&amp;"","")</f>
        <v/>
      </c>
      <c r="L1008">
        <f>IFERROR(IF(I1008="","",I1008)&amp;"","")</f>
        <v/>
      </c>
      <c r="M1008">
        <f>IF(J1008="","",IFERROR(VALUE(SUBSTITUTE(SUBSTITUTE(IF(E1008="","",E1008)&amp;"","$",""),",","")),0))</f>
        <v/>
      </c>
      <c r="N1008" s="11">
        <f>IF(J1008="","",IFERROR(VALUE(SUBSTITUTE(SUBSTITUTE(IF(F1008="","",F1008)&amp;"","$",""),",","")),0))</f>
        <v/>
      </c>
      <c r="O1008" s="11">
        <f>IF(J1008="","",M1008*N1008)</f>
        <v/>
      </c>
      <c r="P1008">
        <f>IF(J1008="","",IF(L1008="",1,COUNTIF($L$2:$L$1501,L1008)))</f>
        <v/>
      </c>
      <c r="Q1008" s="11">
        <f>IF(J1008="","",IFERROR(VALUE(SUBSTITUTE(SUBSTITUTE(IF(G1008="","",G1008)&amp;"","$",""),",","")),0)/IF("No"="Yes",P1008,1))</f>
        <v/>
      </c>
      <c r="R1008" s="11">
        <f>IF(J1008="","",IFERROR(VALUE(SUBSTITUTE(SUBSTITUTE(IF(H1008="","",H1008)&amp;"","$",""),",","")),0)/IF("No"="Yes",P1008,1))</f>
        <v/>
      </c>
      <c r="S1008" s="11">
        <f>IF(J1008="","",O1008+Q1008-R1008)</f>
        <v/>
      </c>
      <c r="T1008">
        <f>IF(J1008="","",IFERROR(IF(K1008="",NA(),MATCH(K1008,Products!$B$5:$B$204,0)),IFERROR(MATCH(J1008,Products!$A$5:$A$204,0),"")))</f>
        <v/>
      </c>
      <c r="U1008">
        <f>IF(J1008="","",IF(T1008="","⚠ not in Products",INDEX(Products!$A$5:$A$204,T1008)))</f>
        <v/>
      </c>
      <c r="V1008" s="11">
        <f>IF(J1008="","",S1008*(IFERROR(INDEX(Settings!$B$5:$B$9,MATCH($B1008,Settings!$A$5:$A$9,0)),0)+IFERROR(INDEX(Settings!$E$5:$E$9,MATCH($B1008,Settings!$A$5:$A$9,0)),0)+IFERROR(INDEX(Settings!$G$5:$G$9,MATCH($B1008,Settings!$A$5:$A$9,0)),0))+(IFERROR(INDEX(Settings!$C$5:$C$9,MATCH($B1008,Settings!$A$5:$A$9,0)),0)+IFERROR(INDEX(Settings!$F$5:$F$9,MATCH($B1008,Settings!$A$5:$A$9,0)),0))/P1008+IFERROR(INDEX(Settings!$D$5:$D$9,MATCH($B1008,Settings!$A$5:$A$9,0)),0)*M1008)</f>
        <v/>
      </c>
      <c r="W1008" s="11">
        <f>IF(J1008="","",IF(T1008="",0,M1008*INDEX(Products!$I$5:$I$204,T1008)))</f>
        <v/>
      </c>
      <c r="X1008" s="11">
        <f>IF(J1008="","",IF(T1008="",0,S1008*INDEX(Products!$H$5:$H$204,T1008)))</f>
        <v/>
      </c>
      <c r="Y1008" s="11">
        <f>IF(J1008="","",S1008-V1008-W1008-X1008)</f>
        <v/>
      </c>
    </row>
    <row r="1009">
      <c r="A1009" s="19" t="n"/>
      <c r="B1009" s="19" t="n"/>
      <c r="C1009" s="19" t="n"/>
      <c r="D1009" s="19" t="n"/>
      <c r="E1009" s="19" t="n"/>
      <c r="F1009" s="20" t="n"/>
      <c r="G1009" s="20" t="n"/>
      <c r="H1009" s="20" t="n"/>
      <c r="I1009" s="19" t="n"/>
      <c r="J1009">
        <f>IFERROR(IF(C1009="","",C1009)&amp;"","")</f>
        <v/>
      </c>
      <c r="K1009">
        <f>IFERROR(IF(D1009="","",D1009)&amp;"","")</f>
        <v/>
      </c>
      <c r="L1009">
        <f>IFERROR(IF(I1009="","",I1009)&amp;"","")</f>
        <v/>
      </c>
      <c r="M1009">
        <f>IF(J1009="","",IFERROR(VALUE(SUBSTITUTE(SUBSTITUTE(IF(E1009="","",E1009)&amp;"","$",""),",","")),0))</f>
        <v/>
      </c>
      <c r="N1009" s="11">
        <f>IF(J1009="","",IFERROR(VALUE(SUBSTITUTE(SUBSTITUTE(IF(F1009="","",F1009)&amp;"","$",""),",","")),0))</f>
        <v/>
      </c>
      <c r="O1009" s="11">
        <f>IF(J1009="","",M1009*N1009)</f>
        <v/>
      </c>
      <c r="P1009">
        <f>IF(J1009="","",IF(L1009="",1,COUNTIF($L$2:$L$1501,L1009)))</f>
        <v/>
      </c>
      <c r="Q1009" s="11">
        <f>IF(J1009="","",IFERROR(VALUE(SUBSTITUTE(SUBSTITUTE(IF(G1009="","",G1009)&amp;"","$",""),",","")),0)/IF("No"="Yes",P1009,1))</f>
        <v/>
      </c>
      <c r="R1009" s="11">
        <f>IF(J1009="","",IFERROR(VALUE(SUBSTITUTE(SUBSTITUTE(IF(H1009="","",H1009)&amp;"","$",""),",","")),0)/IF("No"="Yes",P1009,1))</f>
        <v/>
      </c>
      <c r="S1009" s="11">
        <f>IF(J1009="","",O1009+Q1009-R1009)</f>
        <v/>
      </c>
      <c r="T1009">
        <f>IF(J1009="","",IFERROR(IF(K1009="",NA(),MATCH(K1009,Products!$B$5:$B$204,0)),IFERROR(MATCH(J1009,Products!$A$5:$A$204,0),"")))</f>
        <v/>
      </c>
      <c r="U1009">
        <f>IF(J1009="","",IF(T1009="","⚠ not in Products",INDEX(Products!$A$5:$A$204,T1009)))</f>
        <v/>
      </c>
      <c r="V1009" s="11">
        <f>IF(J1009="","",S1009*(IFERROR(INDEX(Settings!$B$5:$B$9,MATCH($B1009,Settings!$A$5:$A$9,0)),0)+IFERROR(INDEX(Settings!$E$5:$E$9,MATCH($B1009,Settings!$A$5:$A$9,0)),0)+IFERROR(INDEX(Settings!$G$5:$G$9,MATCH($B1009,Settings!$A$5:$A$9,0)),0))+(IFERROR(INDEX(Settings!$C$5:$C$9,MATCH($B1009,Settings!$A$5:$A$9,0)),0)+IFERROR(INDEX(Settings!$F$5:$F$9,MATCH($B1009,Settings!$A$5:$A$9,0)),0))/P1009+IFERROR(INDEX(Settings!$D$5:$D$9,MATCH($B1009,Settings!$A$5:$A$9,0)),0)*M1009)</f>
        <v/>
      </c>
      <c r="W1009" s="11">
        <f>IF(J1009="","",IF(T1009="",0,M1009*INDEX(Products!$I$5:$I$204,T1009)))</f>
        <v/>
      </c>
      <c r="X1009" s="11">
        <f>IF(J1009="","",IF(T1009="",0,S1009*INDEX(Products!$H$5:$H$204,T1009)))</f>
        <v/>
      </c>
      <c r="Y1009" s="11">
        <f>IF(J1009="","",S1009-V1009-W1009-X1009)</f>
        <v/>
      </c>
    </row>
    <row r="1010">
      <c r="A1010" s="19" t="n"/>
      <c r="B1010" s="19" t="n"/>
      <c r="C1010" s="19" t="n"/>
      <c r="D1010" s="19" t="n"/>
      <c r="E1010" s="19" t="n"/>
      <c r="F1010" s="20" t="n"/>
      <c r="G1010" s="20" t="n"/>
      <c r="H1010" s="20" t="n"/>
      <c r="I1010" s="19" t="n"/>
      <c r="J1010">
        <f>IFERROR(IF(C1010="","",C1010)&amp;"","")</f>
        <v/>
      </c>
      <c r="K1010">
        <f>IFERROR(IF(D1010="","",D1010)&amp;"","")</f>
        <v/>
      </c>
      <c r="L1010">
        <f>IFERROR(IF(I1010="","",I1010)&amp;"","")</f>
        <v/>
      </c>
      <c r="M1010">
        <f>IF(J1010="","",IFERROR(VALUE(SUBSTITUTE(SUBSTITUTE(IF(E1010="","",E1010)&amp;"","$",""),",","")),0))</f>
        <v/>
      </c>
      <c r="N1010" s="11">
        <f>IF(J1010="","",IFERROR(VALUE(SUBSTITUTE(SUBSTITUTE(IF(F1010="","",F1010)&amp;"","$",""),",","")),0))</f>
        <v/>
      </c>
      <c r="O1010" s="11">
        <f>IF(J1010="","",M1010*N1010)</f>
        <v/>
      </c>
      <c r="P1010">
        <f>IF(J1010="","",IF(L1010="",1,COUNTIF($L$2:$L$1501,L1010)))</f>
        <v/>
      </c>
      <c r="Q1010" s="11">
        <f>IF(J1010="","",IFERROR(VALUE(SUBSTITUTE(SUBSTITUTE(IF(G1010="","",G1010)&amp;"","$",""),",","")),0)/IF("No"="Yes",P1010,1))</f>
        <v/>
      </c>
      <c r="R1010" s="11">
        <f>IF(J1010="","",IFERROR(VALUE(SUBSTITUTE(SUBSTITUTE(IF(H1010="","",H1010)&amp;"","$",""),",","")),0)/IF("No"="Yes",P1010,1))</f>
        <v/>
      </c>
      <c r="S1010" s="11">
        <f>IF(J1010="","",O1010+Q1010-R1010)</f>
        <v/>
      </c>
      <c r="T1010">
        <f>IF(J1010="","",IFERROR(IF(K1010="",NA(),MATCH(K1010,Products!$B$5:$B$204,0)),IFERROR(MATCH(J1010,Products!$A$5:$A$204,0),"")))</f>
        <v/>
      </c>
      <c r="U1010">
        <f>IF(J1010="","",IF(T1010="","⚠ not in Products",INDEX(Products!$A$5:$A$204,T1010)))</f>
        <v/>
      </c>
      <c r="V1010" s="11">
        <f>IF(J1010="","",S1010*(IFERROR(INDEX(Settings!$B$5:$B$9,MATCH($B1010,Settings!$A$5:$A$9,0)),0)+IFERROR(INDEX(Settings!$E$5:$E$9,MATCH($B1010,Settings!$A$5:$A$9,0)),0)+IFERROR(INDEX(Settings!$G$5:$G$9,MATCH($B1010,Settings!$A$5:$A$9,0)),0))+(IFERROR(INDEX(Settings!$C$5:$C$9,MATCH($B1010,Settings!$A$5:$A$9,0)),0)+IFERROR(INDEX(Settings!$F$5:$F$9,MATCH($B1010,Settings!$A$5:$A$9,0)),0))/P1010+IFERROR(INDEX(Settings!$D$5:$D$9,MATCH($B1010,Settings!$A$5:$A$9,0)),0)*M1010)</f>
        <v/>
      </c>
      <c r="W1010" s="11">
        <f>IF(J1010="","",IF(T1010="",0,M1010*INDEX(Products!$I$5:$I$204,T1010)))</f>
        <v/>
      </c>
      <c r="X1010" s="11">
        <f>IF(J1010="","",IF(T1010="",0,S1010*INDEX(Products!$H$5:$H$204,T1010)))</f>
        <v/>
      </c>
      <c r="Y1010" s="11">
        <f>IF(J1010="","",S1010-V1010-W1010-X1010)</f>
        <v/>
      </c>
    </row>
    <row r="1011">
      <c r="A1011" s="19" t="n"/>
      <c r="B1011" s="19" t="n"/>
      <c r="C1011" s="19" t="n"/>
      <c r="D1011" s="19" t="n"/>
      <c r="E1011" s="19" t="n"/>
      <c r="F1011" s="20" t="n"/>
      <c r="G1011" s="20" t="n"/>
      <c r="H1011" s="20" t="n"/>
      <c r="I1011" s="19" t="n"/>
      <c r="J1011">
        <f>IFERROR(IF(C1011="","",C1011)&amp;"","")</f>
        <v/>
      </c>
      <c r="K1011">
        <f>IFERROR(IF(D1011="","",D1011)&amp;"","")</f>
        <v/>
      </c>
      <c r="L1011">
        <f>IFERROR(IF(I1011="","",I1011)&amp;"","")</f>
        <v/>
      </c>
      <c r="M1011">
        <f>IF(J1011="","",IFERROR(VALUE(SUBSTITUTE(SUBSTITUTE(IF(E1011="","",E1011)&amp;"","$",""),",","")),0))</f>
        <v/>
      </c>
      <c r="N1011" s="11">
        <f>IF(J1011="","",IFERROR(VALUE(SUBSTITUTE(SUBSTITUTE(IF(F1011="","",F1011)&amp;"","$",""),",","")),0))</f>
        <v/>
      </c>
      <c r="O1011" s="11">
        <f>IF(J1011="","",M1011*N1011)</f>
        <v/>
      </c>
      <c r="P1011">
        <f>IF(J1011="","",IF(L1011="",1,COUNTIF($L$2:$L$1501,L1011)))</f>
        <v/>
      </c>
      <c r="Q1011" s="11">
        <f>IF(J1011="","",IFERROR(VALUE(SUBSTITUTE(SUBSTITUTE(IF(G1011="","",G1011)&amp;"","$",""),",","")),0)/IF("No"="Yes",P1011,1))</f>
        <v/>
      </c>
      <c r="R1011" s="11">
        <f>IF(J1011="","",IFERROR(VALUE(SUBSTITUTE(SUBSTITUTE(IF(H1011="","",H1011)&amp;"","$",""),",","")),0)/IF("No"="Yes",P1011,1))</f>
        <v/>
      </c>
      <c r="S1011" s="11">
        <f>IF(J1011="","",O1011+Q1011-R1011)</f>
        <v/>
      </c>
      <c r="T1011">
        <f>IF(J1011="","",IFERROR(IF(K1011="",NA(),MATCH(K1011,Products!$B$5:$B$204,0)),IFERROR(MATCH(J1011,Products!$A$5:$A$204,0),"")))</f>
        <v/>
      </c>
      <c r="U1011">
        <f>IF(J1011="","",IF(T1011="","⚠ not in Products",INDEX(Products!$A$5:$A$204,T1011)))</f>
        <v/>
      </c>
      <c r="V1011" s="11">
        <f>IF(J1011="","",S1011*(IFERROR(INDEX(Settings!$B$5:$B$9,MATCH($B1011,Settings!$A$5:$A$9,0)),0)+IFERROR(INDEX(Settings!$E$5:$E$9,MATCH($B1011,Settings!$A$5:$A$9,0)),0)+IFERROR(INDEX(Settings!$G$5:$G$9,MATCH($B1011,Settings!$A$5:$A$9,0)),0))+(IFERROR(INDEX(Settings!$C$5:$C$9,MATCH($B1011,Settings!$A$5:$A$9,0)),0)+IFERROR(INDEX(Settings!$F$5:$F$9,MATCH($B1011,Settings!$A$5:$A$9,0)),0))/P1011+IFERROR(INDEX(Settings!$D$5:$D$9,MATCH($B1011,Settings!$A$5:$A$9,0)),0)*M1011)</f>
        <v/>
      </c>
      <c r="W1011" s="11">
        <f>IF(J1011="","",IF(T1011="",0,M1011*INDEX(Products!$I$5:$I$204,T1011)))</f>
        <v/>
      </c>
      <c r="X1011" s="11">
        <f>IF(J1011="","",IF(T1011="",0,S1011*INDEX(Products!$H$5:$H$204,T1011)))</f>
        <v/>
      </c>
      <c r="Y1011" s="11">
        <f>IF(J1011="","",S1011-V1011-W1011-X1011)</f>
        <v/>
      </c>
    </row>
    <row r="1012">
      <c r="A1012" s="19" t="n"/>
      <c r="B1012" s="19" t="n"/>
      <c r="C1012" s="19" t="n"/>
      <c r="D1012" s="19" t="n"/>
      <c r="E1012" s="19" t="n"/>
      <c r="F1012" s="20" t="n"/>
      <c r="G1012" s="20" t="n"/>
      <c r="H1012" s="20" t="n"/>
      <c r="I1012" s="19" t="n"/>
      <c r="J1012">
        <f>IFERROR(IF(C1012="","",C1012)&amp;"","")</f>
        <v/>
      </c>
      <c r="K1012">
        <f>IFERROR(IF(D1012="","",D1012)&amp;"","")</f>
        <v/>
      </c>
      <c r="L1012">
        <f>IFERROR(IF(I1012="","",I1012)&amp;"","")</f>
        <v/>
      </c>
      <c r="M1012">
        <f>IF(J1012="","",IFERROR(VALUE(SUBSTITUTE(SUBSTITUTE(IF(E1012="","",E1012)&amp;"","$",""),",","")),0))</f>
        <v/>
      </c>
      <c r="N1012" s="11">
        <f>IF(J1012="","",IFERROR(VALUE(SUBSTITUTE(SUBSTITUTE(IF(F1012="","",F1012)&amp;"","$",""),",","")),0))</f>
        <v/>
      </c>
      <c r="O1012" s="11">
        <f>IF(J1012="","",M1012*N1012)</f>
        <v/>
      </c>
      <c r="P1012">
        <f>IF(J1012="","",IF(L1012="",1,COUNTIF($L$2:$L$1501,L1012)))</f>
        <v/>
      </c>
      <c r="Q1012" s="11">
        <f>IF(J1012="","",IFERROR(VALUE(SUBSTITUTE(SUBSTITUTE(IF(G1012="","",G1012)&amp;"","$",""),",","")),0)/IF("No"="Yes",P1012,1))</f>
        <v/>
      </c>
      <c r="R1012" s="11">
        <f>IF(J1012="","",IFERROR(VALUE(SUBSTITUTE(SUBSTITUTE(IF(H1012="","",H1012)&amp;"","$",""),",","")),0)/IF("No"="Yes",P1012,1))</f>
        <v/>
      </c>
      <c r="S1012" s="11">
        <f>IF(J1012="","",O1012+Q1012-R1012)</f>
        <v/>
      </c>
      <c r="T1012">
        <f>IF(J1012="","",IFERROR(IF(K1012="",NA(),MATCH(K1012,Products!$B$5:$B$204,0)),IFERROR(MATCH(J1012,Products!$A$5:$A$204,0),"")))</f>
        <v/>
      </c>
      <c r="U1012">
        <f>IF(J1012="","",IF(T1012="","⚠ not in Products",INDEX(Products!$A$5:$A$204,T1012)))</f>
        <v/>
      </c>
      <c r="V1012" s="11">
        <f>IF(J1012="","",S1012*(IFERROR(INDEX(Settings!$B$5:$B$9,MATCH($B1012,Settings!$A$5:$A$9,0)),0)+IFERROR(INDEX(Settings!$E$5:$E$9,MATCH($B1012,Settings!$A$5:$A$9,0)),0)+IFERROR(INDEX(Settings!$G$5:$G$9,MATCH($B1012,Settings!$A$5:$A$9,0)),0))+(IFERROR(INDEX(Settings!$C$5:$C$9,MATCH($B1012,Settings!$A$5:$A$9,0)),0)+IFERROR(INDEX(Settings!$F$5:$F$9,MATCH($B1012,Settings!$A$5:$A$9,0)),0))/P1012+IFERROR(INDEX(Settings!$D$5:$D$9,MATCH($B1012,Settings!$A$5:$A$9,0)),0)*M1012)</f>
        <v/>
      </c>
      <c r="W1012" s="11">
        <f>IF(J1012="","",IF(T1012="",0,M1012*INDEX(Products!$I$5:$I$204,T1012)))</f>
        <v/>
      </c>
      <c r="X1012" s="11">
        <f>IF(J1012="","",IF(T1012="",0,S1012*INDEX(Products!$H$5:$H$204,T1012)))</f>
        <v/>
      </c>
      <c r="Y1012" s="11">
        <f>IF(J1012="","",S1012-V1012-W1012-X1012)</f>
        <v/>
      </c>
    </row>
    <row r="1013">
      <c r="A1013" s="19" t="n"/>
      <c r="B1013" s="19" t="n"/>
      <c r="C1013" s="19" t="n"/>
      <c r="D1013" s="19" t="n"/>
      <c r="E1013" s="19" t="n"/>
      <c r="F1013" s="20" t="n"/>
      <c r="G1013" s="20" t="n"/>
      <c r="H1013" s="20" t="n"/>
      <c r="I1013" s="19" t="n"/>
      <c r="J1013">
        <f>IFERROR(IF(C1013="","",C1013)&amp;"","")</f>
        <v/>
      </c>
      <c r="K1013">
        <f>IFERROR(IF(D1013="","",D1013)&amp;"","")</f>
        <v/>
      </c>
      <c r="L1013">
        <f>IFERROR(IF(I1013="","",I1013)&amp;"","")</f>
        <v/>
      </c>
      <c r="M1013">
        <f>IF(J1013="","",IFERROR(VALUE(SUBSTITUTE(SUBSTITUTE(IF(E1013="","",E1013)&amp;"","$",""),",","")),0))</f>
        <v/>
      </c>
      <c r="N1013" s="11">
        <f>IF(J1013="","",IFERROR(VALUE(SUBSTITUTE(SUBSTITUTE(IF(F1013="","",F1013)&amp;"","$",""),",","")),0))</f>
        <v/>
      </c>
      <c r="O1013" s="11">
        <f>IF(J1013="","",M1013*N1013)</f>
        <v/>
      </c>
      <c r="P1013">
        <f>IF(J1013="","",IF(L1013="",1,COUNTIF($L$2:$L$1501,L1013)))</f>
        <v/>
      </c>
      <c r="Q1013" s="11">
        <f>IF(J1013="","",IFERROR(VALUE(SUBSTITUTE(SUBSTITUTE(IF(G1013="","",G1013)&amp;"","$",""),",","")),0)/IF("No"="Yes",P1013,1))</f>
        <v/>
      </c>
      <c r="R1013" s="11">
        <f>IF(J1013="","",IFERROR(VALUE(SUBSTITUTE(SUBSTITUTE(IF(H1013="","",H1013)&amp;"","$",""),",","")),0)/IF("No"="Yes",P1013,1))</f>
        <v/>
      </c>
      <c r="S1013" s="11">
        <f>IF(J1013="","",O1013+Q1013-R1013)</f>
        <v/>
      </c>
      <c r="T1013">
        <f>IF(J1013="","",IFERROR(IF(K1013="",NA(),MATCH(K1013,Products!$B$5:$B$204,0)),IFERROR(MATCH(J1013,Products!$A$5:$A$204,0),"")))</f>
        <v/>
      </c>
      <c r="U1013">
        <f>IF(J1013="","",IF(T1013="","⚠ not in Products",INDEX(Products!$A$5:$A$204,T1013)))</f>
        <v/>
      </c>
      <c r="V1013" s="11">
        <f>IF(J1013="","",S1013*(IFERROR(INDEX(Settings!$B$5:$B$9,MATCH($B1013,Settings!$A$5:$A$9,0)),0)+IFERROR(INDEX(Settings!$E$5:$E$9,MATCH($B1013,Settings!$A$5:$A$9,0)),0)+IFERROR(INDEX(Settings!$G$5:$G$9,MATCH($B1013,Settings!$A$5:$A$9,0)),0))+(IFERROR(INDEX(Settings!$C$5:$C$9,MATCH($B1013,Settings!$A$5:$A$9,0)),0)+IFERROR(INDEX(Settings!$F$5:$F$9,MATCH($B1013,Settings!$A$5:$A$9,0)),0))/P1013+IFERROR(INDEX(Settings!$D$5:$D$9,MATCH($B1013,Settings!$A$5:$A$9,0)),0)*M1013)</f>
        <v/>
      </c>
      <c r="W1013" s="11">
        <f>IF(J1013="","",IF(T1013="",0,M1013*INDEX(Products!$I$5:$I$204,T1013)))</f>
        <v/>
      </c>
      <c r="X1013" s="11">
        <f>IF(J1013="","",IF(T1013="",0,S1013*INDEX(Products!$H$5:$H$204,T1013)))</f>
        <v/>
      </c>
      <c r="Y1013" s="11">
        <f>IF(J1013="","",S1013-V1013-W1013-X1013)</f>
        <v/>
      </c>
    </row>
    <row r="1014">
      <c r="A1014" s="19" t="n"/>
      <c r="B1014" s="19" t="n"/>
      <c r="C1014" s="19" t="n"/>
      <c r="D1014" s="19" t="n"/>
      <c r="E1014" s="19" t="n"/>
      <c r="F1014" s="20" t="n"/>
      <c r="G1014" s="20" t="n"/>
      <c r="H1014" s="20" t="n"/>
      <c r="I1014" s="19" t="n"/>
      <c r="J1014">
        <f>IFERROR(IF(C1014="","",C1014)&amp;"","")</f>
        <v/>
      </c>
      <c r="K1014">
        <f>IFERROR(IF(D1014="","",D1014)&amp;"","")</f>
        <v/>
      </c>
      <c r="L1014">
        <f>IFERROR(IF(I1014="","",I1014)&amp;"","")</f>
        <v/>
      </c>
      <c r="M1014">
        <f>IF(J1014="","",IFERROR(VALUE(SUBSTITUTE(SUBSTITUTE(IF(E1014="","",E1014)&amp;"","$",""),",","")),0))</f>
        <v/>
      </c>
      <c r="N1014" s="11">
        <f>IF(J1014="","",IFERROR(VALUE(SUBSTITUTE(SUBSTITUTE(IF(F1014="","",F1014)&amp;"","$",""),",","")),0))</f>
        <v/>
      </c>
      <c r="O1014" s="11">
        <f>IF(J1014="","",M1014*N1014)</f>
        <v/>
      </c>
      <c r="P1014">
        <f>IF(J1014="","",IF(L1014="",1,COUNTIF($L$2:$L$1501,L1014)))</f>
        <v/>
      </c>
      <c r="Q1014" s="11">
        <f>IF(J1014="","",IFERROR(VALUE(SUBSTITUTE(SUBSTITUTE(IF(G1014="","",G1014)&amp;"","$",""),",","")),0)/IF("No"="Yes",P1014,1))</f>
        <v/>
      </c>
      <c r="R1014" s="11">
        <f>IF(J1014="","",IFERROR(VALUE(SUBSTITUTE(SUBSTITUTE(IF(H1014="","",H1014)&amp;"","$",""),",","")),0)/IF("No"="Yes",P1014,1))</f>
        <v/>
      </c>
      <c r="S1014" s="11">
        <f>IF(J1014="","",O1014+Q1014-R1014)</f>
        <v/>
      </c>
      <c r="T1014">
        <f>IF(J1014="","",IFERROR(IF(K1014="",NA(),MATCH(K1014,Products!$B$5:$B$204,0)),IFERROR(MATCH(J1014,Products!$A$5:$A$204,0),"")))</f>
        <v/>
      </c>
      <c r="U1014">
        <f>IF(J1014="","",IF(T1014="","⚠ not in Products",INDEX(Products!$A$5:$A$204,T1014)))</f>
        <v/>
      </c>
      <c r="V1014" s="11">
        <f>IF(J1014="","",S1014*(IFERROR(INDEX(Settings!$B$5:$B$9,MATCH($B1014,Settings!$A$5:$A$9,0)),0)+IFERROR(INDEX(Settings!$E$5:$E$9,MATCH($B1014,Settings!$A$5:$A$9,0)),0)+IFERROR(INDEX(Settings!$G$5:$G$9,MATCH($B1014,Settings!$A$5:$A$9,0)),0))+(IFERROR(INDEX(Settings!$C$5:$C$9,MATCH($B1014,Settings!$A$5:$A$9,0)),0)+IFERROR(INDEX(Settings!$F$5:$F$9,MATCH($B1014,Settings!$A$5:$A$9,0)),0))/P1014+IFERROR(INDEX(Settings!$D$5:$D$9,MATCH($B1014,Settings!$A$5:$A$9,0)),0)*M1014)</f>
        <v/>
      </c>
      <c r="W1014" s="11">
        <f>IF(J1014="","",IF(T1014="",0,M1014*INDEX(Products!$I$5:$I$204,T1014)))</f>
        <v/>
      </c>
      <c r="X1014" s="11">
        <f>IF(J1014="","",IF(T1014="",0,S1014*INDEX(Products!$H$5:$H$204,T1014)))</f>
        <v/>
      </c>
      <c r="Y1014" s="11">
        <f>IF(J1014="","",S1014-V1014-W1014-X1014)</f>
        <v/>
      </c>
    </row>
    <row r="1015">
      <c r="A1015" s="19" t="n"/>
      <c r="B1015" s="19" t="n"/>
      <c r="C1015" s="19" t="n"/>
      <c r="D1015" s="19" t="n"/>
      <c r="E1015" s="19" t="n"/>
      <c r="F1015" s="20" t="n"/>
      <c r="G1015" s="20" t="n"/>
      <c r="H1015" s="20" t="n"/>
      <c r="I1015" s="19" t="n"/>
      <c r="J1015">
        <f>IFERROR(IF(C1015="","",C1015)&amp;"","")</f>
        <v/>
      </c>
      <c r="K1015">
        <f>IFERROR(IF(D1015="","",D1015)&amp;"","")</f>
        <v/>
      </c>
      <c r="L1015">
        <f>IFERROR(IF(I1015="","",I1015)&amp;"","")</f>
        <v/>
      </c>
      <c r="M1015">
        <f>IF(J1015="","",IFERROR(VALUE(SUBSTITUTE(SUBSTITUTE(IF(E1015="","",E1015)&amp;"","$",""),",","")),0))</f>
        <v/>
      </c>
      <c r="N1015" s="11">
        <f>IF(J1015="","",IFERROR(VALUE(SUBSTITUTE(SUBSTITUTE(IF(F1015="","",F1015)&amp;"","$",""),",","")),0))</f>
        <v/>
      </c>
      <c r="O1015" s="11">
        <f>IF(J1015="","",M1015*N1015)</f>
        <v/>
      </c>
      <c r="P1015">
        <f>IF(J1015="","",IF(L1015="",1,COUNTIF($L$2:$L$1501,L1015)))</f>
        <v/>
      </c>
      <c r="Q1015" s="11">
        <f>IF(J1015="","",IFERROR(VALUE(SUBSTITUTE(SUBSTITUTE(IF(G1015="","",G1015)&amp;"","$",""),",","")),0)/IF("No"="Yes",P1015,1))</f>
        <v/>
      </c>
      <c r="R1015" s="11">
        <f>IF(J1015="","",IFERROR(VALUE(SUBSTITUTE(SUBSTITUTE(IF(H1015="","",H1015)&amp;"","$",""),",","")),0)/IF("No"="Yes",P1015,1))</f>
        <v/>
      </c>
      <c r="S1015" s="11">
        <f>IF(J1015="","",O1015+Q1015-R1015)</f>
        <v/>
      </c>
      <c r="T1015">
        <f>IF(J1015="","",IFERROR(IF(K1015="",NA(),MATCH(K1015,Products!$B$5:$B$204,0)),IFERROR(MATCH(J1015,Products!$A$5:$A$204,0),"")))</f>
        <v/>
      </c>
      <c r="U1015">
        <f>IF(J1015="","",IF(T1015="","⚠ not in Products",INDEX(Products!$A$5:$A$204,T1015)))</f>
        <v/>
      </c>
      <c r="V1015" s="11">
        <f>IF(J1015="","",S1015*(IFERROR(INDEX(Settings!$B$5:$B$9,MATCH($B1015,Settings!$A$5:$A$9,0)),0)+IFERROR(INDEX(Settings!$E$5:$E$9,MATCH($B1015,Settings!$A$5:$A$9,0)),0)+IFERROR(INDEX(Settings!$G$5:$G$9,MATCH($B1015,Settings!$A$5:$A$9,0)),0))+(IFERROR(INDEX(Settings!$C$5:$C$9,MATCH($B1015,Settings!$A$5:$A$9,0)),0)+IFERROR(INDEX(Settings!$F$5:$F$9,MATCH($B1015,Settings!$A$5:$A$9,0)),0))/P1015+IFERROR(INDEX(Settings!$D$5:$D$9,MATCH($B1015,Settings!$A$5:$A$9,0)),0)*M1015)</f>
        <v/>
      </c>
      <c r="W1015" s="11">
        <f>IF(J1015="","",IF(T1015="",0,M1015*INDEX(Products!$I$5:$I$204,T1015)))</f>
        <v/>
      </c>
      <c r="X1015" s="11">
        <f>IF(J1015="","",IF(T1015="",0,S1015*INDEX(Products!$H$5:$H$204,T1015)))</f>
        <v/>
      </c>
      <c r="Y1015" s="11">
        <f>IF(J1015="","",S1015-V1015-W1015-X1015)</f>
        <v/>
      </c>
    </row>
    <row r="1016">
      <c r="A1016" s="19" t="n"/>
      <c r="B1016" s="19" t="n"/>
      <c r="C1016" s="19" t="n"/>
      <c r="D1016" s="19" t="n"/>
      <c r="E1016" s="19" t="n"/>
      <c r="F1016" s="20" t="n"/>
      <c r="G1016" s="20" t="n"/>
      <c r="H1016" s="20" t="n"/>
      <c r="I1016" s="19" t="n"/>
      <c r="J1016">
        <f>IFERROR(IF(C1016="","",C1016)&amp;"","")</f>
        <v/>
      </c>
      <c r="K1016">
        <f>IFERROR(IF(D1016="","",D1016)&amp;"","")</f>
        <v/>
      </c>
      <c r="L1016">
        <f>IFERROR(IF(I1016="","",I1016)&amp;"","")</f>
        <v/>
      </c>
      <c r="M1016">
        <f>IF(J1016="","",IFERROR(VALUE(SUBSTITUTE(SUBSTITUTE(IF(E1016="","",E1016)&amp;"","$",""),",","")),0))</f>
        <v/>
      </c>
      <c r="N1016" s="11">
        <f>IF(J1016="","",IFERROR(VALUE(SUBSTITUTE(SUBSTITUTE(IF(F1016="","",F1016)&amp;"","$",""),",","")),0))</f>
        <v/>
      </c>
      <c r="O1016" s="11">
        <f>IF(J1016="","",M1016*N1016)</f>
        <v/>
      </c>
      <c r="P1016">
        <f>IF(J1016="","",IF(L1016="",1,COUNTIF($L$2:$L$1501,L1016)))</f>
        <v/>
      </c>
      <c r="Q1016" s="11">
        <f>IF(J1016="","",IFERROR(VALUE(SUBSTITUTE(SUBSTITUTE(IF(G1016="","",G1016)&amp;"","$",""),",","")),0)/IF("No"="Yes",P1016,1))</f>
        <v/>
      </c>
      <c r="R1016" s="11">
        <f>IF(J1016="","",IFERROR(VALUE(SUBSTITUTE(SUBSTITUTE(IF(H1016="","",H1016)&amp;"","$",""),",","")),0)/IF("No"="Yes",P1016,1))</f>
        <v/>
      </c>
      <c r="S1016" s="11">
        <f>IF(J1016="","",O1016+Q1016-R1016)</f>
        <v/>
      </c>
      <c r="T1016">
        <f>IF(J1016="","",IFERROR(IF(K1016="",NA(),MATCH(K1016,Products!$B$5:$B$204,0)),IFERROR(MATCH(J1016,Products!$A$5:$A$204,0),"")))</f>
        <v/>
      </c>
      <c r="U1016">
        <f>IF(J1016="","",IF(T1016="","⚠ not in Products",INDEX(Products!$A$5:$A$204,T1016)))</f>
        <v/>
      </c>
      <c r="V1016" s="11">
        <f>IF(J1016="","",S1016*(IFERROR(INDEX(Settings!$B$5:$B$9,MATCH($B1016,Settings!$A$5:$A$9,0)),0)+IFERROR(INDEX(Settings!$E$5:$E$9,MATCH($B1016,Settings!$A$5:$A$9,0)),0)+IFERROR(INDEX(Settings!$G$5:$G$9,MATCH($B1016,Settings!$A$5:$A$9,0)),0))+(IFERROR(INDEX(Settings!$C$5:$C$9,MATCH($B1016,Settings!$A$5:$A$9,0)),0)+IFERROR(INDEX(Settings!$F$5:$F$9,MATCH($B1016,Settings!$A$5:$A$9,0)),0))/P1016+IFERROR(INDEX(Settings!$D$5:$D$9,MATCH($B1016,Settings!$A$5:$A$9,0)),0)*M1016)</f>
        <v/>
      </c>
      <c r="W1016" s="11">
        <f>IF(J1016="","",IF(T1016="",0,M1016*INDEX(Products!$I$5:$I$204,T1016)))</f>
        <v/>
      </c>
      <c r="X1016" s="11">
        <f>IF(J1016="","",IF(T1016="",0,S1016*INDEX(Products!$H$5:$H$204,T1016)))</f>
        <v/>
      </c>
      <c r="Y1016" s="11">
        <f>IF(J1016="","",S1016-V1016-W1016-X1016)</f>
        <v/>
      </c>
    </row>
    <row r="1017">
      <c r="A1017" s="19" t="n"/>
      <c r="B1017" s="19" t="n"/>
      <c r="C1017" s="19" t="n"/>
      <c r="D1017" s="19" t="n"/>
      <c r="E1017" s="19" t="n"/>
      <c r="F1017" s="20" t="n"/>
      <c r="G1017" s="20" t="n"/>
      <c r="H1017" s="20" t="n"/>
      <c r="I1017" s="19" t="n"/>
      <c r="J1017">
        <f>IFERROR(IF(C1017="","",C1017)&amp;"","")</f>
        <v/>
      </c>
      <c r="K1017">
        <f>IFERROR(IF(D1017="","",D1017)&amp;"","")</f>
        <v/>
      </c>
      <c r="L1017">
        <f>IFERROR(IF(I1017="","",I1017)&amp;"","")</f>
        <v/>
      </c>
      <c r="M1017">
        <f>IF(J1017="","",IFERROR(VALUE(SUBSTITUTE(SUBSTITUTE(IF(E1017="","",E1017)&amp;"","$",""),",","")),0))</f>
        <v/>
      </c>
      <c r="N1017" s="11">
        <f>IF(J1017="","",IFERROR(VALUE(SUBSTITUTE(SUBSTITUTE(IF(F1017="","",F1017)&amp;"","$",""),",","")),0))</f>
        <v/>
      </c>
      <c r="O1017" s="11">
        <f>IF(J1017="","",M1017*N1017)</f>
        <v/>
      </c>
      <c r="P1017">
        <f>IF(J1017="","",IF(L1017="",1,COUNTIF($L$2:$L$1501,L1017)))</f>
        <v/>
      </c>
      <c r="Q1017" s="11">
        <f>IF(J1017="","",IFERROR(VALUE(SUBSTITUTE(SUBSTITUTE(IF(G1017="","",G1017)&amp;"","$",""),",","")),0)/IF("No"="Yes",P1017,1))</f>
        <v/>
      </c>
      <c r="R1017" s="11">
        <f>IF(J1017="","",IFERROR(VALUE(SUBSTITUTE(SUBSTITUTE(IF(H1017="","",H1017)&amp;"","$",""),",","")),0)/IF("No"="Yes",P1017,1))</f>
        <v/>
      </c>
      <c r="S1017" s="11">
        <f>IF(J1017="","",O1017+Q1017-R1017)</f>
        <v/>
      </c>
      <c r="T1017">
        <f>IF(J1017="","",IFERROR(IF(K1017="",NA(),MATCH(K1017,Products!$B$5:$B$204,0)),IFERROR(MATCH(J1017,Products!$A$5:$A$204,0),"")))</f>
        <v/>
      </c>
      <c r="U1017">
        <f>IF(J1017="","",IF(T1017="","⚠ not in Products",INDEX(Products!$A$5:$A$204,T1017)))</f>
        <v/>
      </c>
      <c r="V1017" s="11">
        <f>IF(J1017="","",S1017*(IFERROR(INDEX(Settings!$B$5:$B$9,MATCH($B1017,Settings!$A$5:$A$9,0)),0)+IFERROR(INDEX(Settings!$E$5:$E$9,MATCH($B1017,Settings!$A$5:$A$9,0)),0)+IFERROR(INDEX(Settings!$G$5:$G$9,MATCH($B1017,Settings!$A$5:$A$9,0)),0))+(IFERROR(INDEX(Settings!$C$5:$C$9,MATCH($B1017,Settings!$A$5:$A$9,0)),0)+IFERROR(INDEX(Settings!$F$5:$F$9,MATCH($B1017,Settings!$A$5:$A$9,0)),0))/P1017+IFERROR(INDEX(Settings!$D$5:$D$9,MATCH($B1017,Settings!$A$5:$A$9,0)),0)*M1017)</f>
        <v/>
      </c>
      <c r="W1017" s="11">
        <f>IF(J1017="","",IF(T1017="",0,M1017*INDEX(Products!$I$5:$I$204,T1017)))</f>
        <v/>
      </c>
      <c r="X1017" s="11">
        <f>IF(J1017="","",IF(T1017="",0,S1017*INDEX(Products!$H$5:$H$204,T1017)))</f>
        <v/>
      </c>
      <c r="Y1017" s="11">
        <f>IF(J1017="","",S1017-V1017-W1017-X1017)</f>
        <v/>
      </c>
    </row>
    <row r="1018">
      <c r="A1018" s="19" t="n"/>
      <c r="B1018" s="19" t="n"/>
      <c r="C1018" s="19" t="n"/>
      <c r="D1018" s="19" t="n"/>
      <c r="E1018" s="19" t="n"/>
      <c r="F1018" s="20" t="n"/>
      <c r="G1018" s="20" t="n"/>
      <c r="H1018" s="20" t="n"/>
      <c r="I1018" s="19" t="n"/>
      <c r="J1018">
        <f>IFERROR(IF(C1018="","",C1018)&amp;"","")</f>
        <v/>
      </c>
      <c r="K1018">
        <f>IFERROR(IF(D1018="","",D1018)&amp;"","")</f>
        <v/>
      </c>
      <c r="L1018">
        <f>IFERROR(IF(I1018="","",I1018)&amp;"","")</f>
        <v/>
      </c>
      <c r="M1018">
        <f>IF(J1018="","",IFERROR(VALUE(SUBSTITUTE(SUBSTITUTE(IF(E1018="","",E1018)&amp;"","$",""),",","")),0))</f>
        <v/>
      </c>
      <c r="N1018" s="11">
        <f>IF(J1018="","",IFERROR(VALUE(SUBSTITUTE(SUBSTITUTE(IF(F1018="","",F1018)&amp;"","$",""),",","")),0))</f>
        <v/>
      </c>
      <c r="O1018" s="11">
        <f>IF(J1018="","",M1018*N1018)</f>
        <v/>
      </c>
      <c r="P1018">
        <f>IF(J1018="","",IF(L1018="",1,COUNTIF($L$2:$L$1501,L1018)))</f>
        <v/>
      </c>
      <c r="Q1018" s="11">
        <f>IF(J1018="","",IFERROR(VALUE(SUBSTITUTE(SUBSTITUTE(IF(G1018="","",G1018)&amp;"","$",""),",","")),0)/IF("No"="Yes",P1018,1))</f>
        <v/>
      </c>
      <c r="R1018" s="11">
        <f>IF(J1018="","",IFERROR(VALUE(SUBSTITUTE(SUBSTITUTE(IF(H1018="","",H1018)&amp;"","$",""),",","")),0)/IF("No"="Yes",P1018,1))</f>
        <v/>
      </c>
      <c r="S1018" s="11">
        <f>IF(J1018="","",O1018+Q1018-R1018)</f>
        <v/>
      </c>
      <c r="T1018">
        <f>IF(J1018="","",IFERROR(IF(K1018="",NA(),MATCH(K1018,Products!$B$5:$B$204,0)),IFERROR(MATCH(J1018,Products!$A$5:$A$204,0),"")))</f>
        <v/>
      </c>
      <c r="U1018">
        <f>IF(J1018="","",IF(T1018="","⚠ not in Products",INDEX(Products!$A$5:$A$204,T1018)))</f>
        <v/>
      </c>
      <c r="V1018" s="11">
        <f>IF(J1018="","",S1018*(IFERROR(INDEX(Settings!$B$5:$B$9,MATCH($B1018,Settings!$A$5:$A$9,0)),0)+IFERROR(INDEX(Settings!$E$5:$E$9,MATCH($B1018,Settings!$A$5:$A$9,0)),0)+IFERROR(INDEX(Settings!$G$5:$G$9,MATCH($B1018,Settings!$A$5:$A$9,0)),0))+(IFERROR(INDEX(Settings!$C$5:$C$9,MATCH($B1018,Settings!$A$5:$A$9,0)),0)+IFERROR(INDEX(Settings!$F$5:$F$9,MATCH($B1018,Settings!$A$5:$A$9,0)),0))/P1018+IFERROR(INDEX(Settings!$D$5:$D$9,MATCH($B1018,Settings!$A$5:$A$9,0)),0)*M1018)</f>
        <v/>
      </c>
      <c r="W1018" s="11">
        <f>IF(J1018="","",IF(T1018="",0,M1018*INDEX(Products!$I$5:$I$204,T1018)))</f>
        <v/>
      </c>
      <c r="X1018" s="11">
        <f>IF(J1018="","",IF(T1018="",0,S1018*INDEX(Products!$H$5:$H$204,T1018)))</f>
        <v/>
      </c>
      <c r="Y1018" s="11">
        <f>IF(J1018="","",S1018-V1018-W1018-X1018)</f>
        <v/>
      </c>
    </row>
    <row r="1019">
      <c r="A1019" s="19" t="n"/>
      <c r="B1019" s="19" t="n"/>
      <c r="C1019" s="19" t="n"/>
      <c r="D1019" s="19" t="n"/>
      <c r="E1019" s="19" t="n"/>
      <c r="F1019" s="20" t="n"/>
      <c r="G1019" s="20" t="n"/>
      <c r="H1019" s="20" t="n"/>
      <c r="I1019" s="19" t="n"/>
      <c r="J1019">
        <f>IFERROR(IF(C1019="","",C1019)&amp;"","")</f>
        <v/>
      </c>
      <c r="K1019">
        <f>IFERROR(IF(D1019="","",D1019)&amp;"","")</f>
        <v/>
      </c>
      <c r="L1019">
        <f>IFERROR(IF(I1019="","",I1019)&amp;"","")</f>
        <v/>
      </c>
      <c r="M1019">
        <f>IF(J1019="","",IFERROR(VALUE(SUBSTITUTE(SUBSTITUTE(IF(E1019="","",E1019)&amp;"","$",""),",","")),0))</f>
        <v/>
      </c>
      <c r="N1019" s="11">
        <f>IF(J1019="","",IFERROR(VALUE(SUBSTITUTE(SUBSTITUTE(IF(F1019="","",F1019)&amp;"","$",""),",","")),0))</f>
        <v/>
      </c>
      <c r="O1019" s="11">
        <f>IF(J1019="","",M1019*N1019)</f>
        <v/>
      </c>
      <c r="P1019">
        <f>IF(J1019="","",IF(L1019="",1,COUNTIF($L$2:$L$1501,L1019)))</f>
        <v/>
      </c>
      <c r="Q1019" s="11">
        <f>IF(J1019="","",IFERROR(VALUE(SUBSTITUTE(SUBSTITUTE(IF(G1019="","",G1019)&amp;"","$",""),",","")),0)/IF("No"="Yes",P1019,1))</f>
        <v/>
      </c>
      <c r="R1019" s="11">
        <f>IF(J1019="","",IFERROR(VALUE(SUBSTITUTE(SUBSTITUTE(IF(H1019="","",H1019)&amp;"","$",""),",","")),0)/IF("No"="Yes",P1019,1))</f>
        <v/>
      </c>
      <c r="S1019" s="11">
        <f>IF(J1019="","",O1019+Q1019-R1019)</f>
        <v/>
      </c>
      <c r="T1019">
        <f>IF(J1019="","",IFERROR(IF(K1019="",NA(),MATCH(K1019,Products!$B$5:$B$204,0)),IFERROR(MATCH(J1019,Products!$A$5:$A$204,0),"")))</f>
        <v/>
      </c>
      <c r="U1019">
        <f>IF(J1019="","",IF(T1019="","⚠ not in Products",INDEX(Products!$A$5:$A$204,T1019)))</f>
        <v/>
      </c>
      <c r="V1019" s="11">
        <f>IF(J1019="","",S1019*(IFERROR(INDEX(Settings!$B$5:$B$9,MATCH($B1019,Settings!$A$5:$A$9,0)),0)+IFERROR(INDEX(Settings!$E$5:$E$9,MATCH($B1019,Settings!$A$5:$A$9,0)),0)+IFERROR(INDEX(Settings!$G$5:$G$9,MATCH($B1019,Settings!$A$5:$A$9,0)),0))+(IFERROR(INDEX(Settings!$C$5:$C$9,MATCH($B1019,Settings!$A$5:$A$9,0)),0)+IFERROR(INDEX(Settings!$F$5:$F$9,MATCH($B1019,Settings!$A$5:$A$9,0)),0))/P1019+IFERROR(INDEX(Settings!$D$5:$D$9,MATCH($B1019,Settings!$A$5:$A$9,0)),0)*M1019)</f>
        <v/>
      </c>
      <c r="W1019" s="11">
        <f>IF(J1019="","",IF(T1019="",0,M1019*INDEX(Products!$I$5:$I$204,T1019)))</f>
        <v/>
      </c>
      <c r="X1019" s="11">
        <f>IF(J1019="","",IF(T1019="",0,S1019*INDEX(Products!$H$5:$H$204,T1019)))</f>
        <v/>
      </c>
      <c r="Y1019" s="11">
        <f>IF(J1019="","",S1019-V1019-W1019-X1019)</f>
        <v/>
      </c>
    </row>
    <row r="1020">
      <c r="A1020" s="19" t="n"/>
      <c r="B1020" s="19" t="n"/>
      <c r="C1020" s="19" t="n"/>
      <c r="D1020" s="19" t="n"/>
      <c r="E1020" s="19" t="n"/>
      <c r="F1020" s="20" t="n"/>
      <c r="G1020" s="20" t="n"/>
      <c r="H1020" s="20" t="n"/>
      <c r="I1020" s="19" t="n"/>
      <c r="J1020">
        <f>IFERROR(IF(C1020="","",C1020)&amp;"","")</f>
        <v/>
      </c>
      <c r="K1020">
        <f>IFERROR(IF(D1020="","",D1020)&amp;"","")</f>
        <v/>
      </c>
      <c r="L1020">
        <f>IFERROR(IF(I1020="","",I1020)&amp;"","")</f>
        <v/>
      </c>
      <c r="M1020">
        <f>IF(J1020="","",IFERROR(VALUE(SUBSTITUTE(SUBSTITUTE(IF(E1020="","",E1020)&amp;"","$",""),",","")),0))</f>
        <v/>
      </c>
      <c r="N1020" s="11">
        <f>IF(J1020="","",IFERROR(VALUE(SUBSTITUTE(SUBSTITUTE(IF(F1020="","",F1020)&amp;"","$",""),",","")),0))</f>
        <v/>
      </c>
      <c r="O1020" s="11">
        <f>IF(J1020="","",M1020*N1020)</f>
        <v/>
      </c>
      <c r="P1020">
        <f>IF(J1020="","",IF(L1020="",1,COUNTIF($L$2:$L$1501,L1020)))</f>
        <v/>
      </c>
      <c r="Q1020" s="11">
        <f>IF(J1020="","",IFERROR(VALUE(SUBSTITUTE(SUBSTITUTE(IF(G1020="","",G1020)&amp;"","$",""),",","")),0)/IF("No"="Yes",P1020,1))</f>
        <v/>
      </c>
      <c r="R1020" s="11">
        <f>IF(J1020="","",IFERROR(VALUE(SUBSTITUTE(SUBSTITUTE(IF(H1020="","",H1020)&amp;"","$",""),",","")),0)/IF("No"="Yes",P1020,1))</f>
        <v/>
      </c>
      <c r="S1020" s="11">
        <f>IF(J1020="","",O1020+Q1020-R1020)</f>
        <v/>
      </c>
      <c r="T1020">
        <f>IF(J1020="","",IFERROR(IF(K1020="",NA(),MATCH(K1020,Products!$B$5:$B$204,0)),IFERROR(MATCH(J1020,Products!$A$5:$A$204,0),"")))</f>
        <v/>
      </c>
      <c r="U1020">
        <f>IF(J1020="","",IF(T1020="","⚠ not in Products",INDEX(Products!$A$5:$A$204,T1020)))</f>
        <v/>
      </c>
      <c r="V1020" s="11">
        <f>IF(J1020="","",S1020*(IFERROR(INDEX(Settings!$B$5:$B$9,MATCH($B1020,Settings!$A$5:$A$9,0)),0)+IFERROR(INDEX(Settings!$E$5:$E$9,MATCH($B1020,Settings!$A$5:$A$9,0)),0)+IFERROR(INDEX(Settings!$G$5:$G$9,MATCH($B1020,Settings!$A$5:$A$9,0)),0))+(IFERROR(INDEX(Settings!$C$5:$C$9,MATCH($B1020,Settings!$A$5:$A$9,0)),0)+IFERROR(INDEX(Settings!$F$5:$F$9,MATCH($B1020,Settings!$A$5:$A$9,0)),0))/P1020+IFERROR(INDEX(Settings!$D$5:$D$9,MATCH($B1020,Settings!$A$5:$A$9,0)),0)*M1020)</f>
        <v/>
      </c>
      <c r="W1020" s="11">
        <f>IF(J1020="","",IF(T1020="",0,M1020*INDEX(Products!$I$5:$I$204,T1020)))</f>
        <v/>
      </c>
      <c r="X1020" s="11">
        <f>IF(J1020="","",IF(T1020="",0,S1020*INDEX(Products!$H$5:$H$204,T1020)))</f>
        <v/>
      </c>
      <c r="Y1020" s="11">
        <f>IF(J1020="","",S1020-V1020-W1020-X1020)</f>
        <v/>
      </c>
    </row>
    <row r="1021">
      <c r="A1021" s="19" t="n"/>
      <c r="B1021" s="19" t="n"/>
      <c r="C1021" s="19" t="n"/>
      <c r="D1021" s="19" t="n"/>
      <c r="E1021" s="19" t="n"/>
      <c r="F1021" s="20" t="n"/>
      <c r="G1021" s="20" t="n"/>
      <c r="H1021" s="20" t="n"/>
      <c r="I1021" s="19" t="n"/>
      <c r="J1021">
        <f>IFERROR(IF(C1021="","",C1021)&amp;"","")</f>
        <v/>
      </c>
      <c r="K1021">
        <f>IFERROR(IF(D1021="","",D1021)&amp;"","")</f>
        <v/>
      </c>
      <c r="L1021">
        <f>IFERROR(IF(I1021="","",I1021)&amp;"","")</f>
        <v/>
      </c>
      <c r="M1021">
        <f>IF(J1021="","",IFERROR(VALUE(SUBSTITUTE(SUBSTITUTE(IF(E1021="","",E1021)&amp;"","$",""),",","")),0))</f>
        <v/>
      </c>
      <c r="N1021" s="11">
        <f>IF(J1021="","",IFERROR(VALUE(SUBSTITUTE(SUBSTITUTE(IF(F1021="","",F1021)&amp;"","$",""),",","")),0))</f>
        <v/>
      </c>
      <c r="O1021" s="11">
        <f>IF(J1021="","",M1021*N1021)</f>
        <v/>
      </c>
      <c r="P1021">
        <f>IF(J1021="","",IF(L1021="",1,COUNTIF($L$2:$L$1501,L1021)))</f>
        <v/>
      </c>
      <c r="Q1021" s="11">
        <f>IF(J1021="","",IFERROR(VALUE(SUBSTITUTE(SUBSTITUTE(IF(G1021="","",G1021)&amp;"","$",""),",","")),0)/IF("No"="Yes",P1021,1))</f>
        <v/>
      </c>
      <c r="R1021" s="11">
        <f>IF(J1021="","",IFERROR(VALUE(SUBSTITUTE(SUBSTITUTE(IF(H1021="","",H1021)&amp;"","$",""),",","")),0)/IF("No"="Yes",P1021,1))</f>
        <v/>
      </c>
      <c r="S1021" s="11">
        <f>IF(J1021="","",O1021+Q1021-R1021)</f>
        <v/>
      </c>
      <c r="T1021">
        <f>IF(J1021="","",IFERROR(IF(K1021="",NA(),MATCH(K1021,Products!$B$5:$B$204,0)),IFERROR(MATCH(J1021,Products!$A$5:$A$204,0),"")))</f>
        <v/>
      </c>
      <c r="U1021">
        <f>IF(J1021="","",IF(T1021="","⚠ not in Products",INDEX(Products!$A$5:$A$204,T1021)))</f>
        <v/>
      </c>
      <c r="V1021" s="11">
        <f>IF(J1021="","",S1021*(IFERROR(INDEX(Settings!$B$5:$B$9,MATCH($B1021,Settings!$A$5:$A$9,0)),0)+IFERROR(INDEX(Settings!$E$5:$E$9,MATCH($B1021,Settings!$A$5:$A$9,0)),0)+IFERROR(INDEX(Settings!$G$5:$G$9,MATCH($B1021,Settings!$A$5:$A$9,0)),0))+(IFERROR(INDEX(Settings!$C$5:$C$9,MATCH($B1021,Settings!$A$5:$A$9,0)),0)+IFERROR(INDEX(Settings!$F$5:$F$9,MATCH($B1021,Settings!$A$5:$A$9,0)),0))/P1021+IFERROR(INDEX(Settings!$D$5:$D$9,MATCH($B1021,Settings!$A$5:$A$9,0)),0)*M1021)</f>
        <v/>
      </c>
      <c r="W1021" s="11">
        <f>IF(J1021="","",IF(T1021="",0,M1021*INDEX(Products!$I$5:$I$204,T1021)))</f>
        <v/>
      </c>
      <c r="X1021" s="11">
        <f>IF(J1021="","",IF(T1021="",0,S1021*INDEX(Products!$H$5:$H$204,T1021)))</f>
        <v/>
      </c>
      <c r="Y1021" s="11">
        <f>IF(J1021="","",S1021-V1021-W1021-X1021)</f>
        <v/>
      </c>
    </row>
    <row r="1022">
      <c r="A1022" s="19" t="n"/>
      <c r="B1022" s="19" t="n"/>
      <c r="C1022" s="19" t="n"/>
      <c r="D1022" s="19" t="n"/>
      <c r="E1022" s="19" t="n"/>
      <c r="F1022" s="20" t="n"/>
      <c r="G1022" s="20" t="n"/>
      <c r="H1022" s="20" t="n"/>
      <c r="I1022" s="19" t="n"/>
      <c r="J1022">
        <f>IFERROR(IF(C1022="","",C1022)&amp;"","")</f>
        <v/>
      </c>
      <c r="K1022">
        <f>IFERROR(IF(D1022="","",D1022)&amp;"","")</f>
        <v/>
      </c>
      <c r="L1022">
        <f>IFERROR(IF(I1022="","",I1022)&amp;"","")</f>
        <v/>
      </c>
      <c r="M1022">
        <f>IF(J1022="","",IFERROR(VALUE(SUBSTITUTE(SUBSTITUTE(IF(E1022="","",E1022)&amp;"","$",""),",","")),0))</f>
        <v/>
      </c>
      <c r="N1022" s="11">
        <f>IF(J1022="","",IFERROR(VALUE(SUBSTITUTE(SUBSTITUTE(IF(F1022="","",F1022)&amp;"","$",""),",","")),0))</f>
        <v/>
      </c>
      <c r="O1022" s="11">
        <f>IF(J1022="","",M1022*N1022)</f>
        <v/>
      </c>
      <c r="P1022">
        <f>IF(J1022="","",IF(L1022="",1,COUNTIF($L$2:$L$1501,L1022)))</f>
        <v/>
      </c>
      <c r="Q1022" s="11">
        <f>IF(J1022="","",IFERROR(VALUE(SUBSTITUTE(SUBSTITUTE(IF(G1022="","",G1022)&amp;"","$",""),",","")),0)/IF("No"="Yes",P1022,1))</f>
        <v/>
      </c>
      <c r="R1022" s="11">
        <f>IF(J1022="","",IFERROR(VALUE(SUBSTITUTE(SUBSTITUTE(IF(H1022="","",H1022)&amp;"","$",""),",","")),0)/IF("No"="Yes",P1022,1))</f>
        <v/>
      </c>
      <c r="S1022" s="11">
        <f>IF(J1022="","",O1022+Q1022-R1022)</f>
        <v/>
      </c>
      <c r="T1022">
        <f>IF(J1022="","",IFERROR(IF(K1022="",NA(),MATCH(K1022,Products!$B$5:$B$204,0)),IFERROR(MATCH(J1022,Products!$A$5:$A$204,0),"")))</f>
        <v/>
      </c>
      <c r="U1022">
        <f>IF(J1022="","",IF(T1022="","⚠ not in Products",INDEX(Products!$A$5:$A$204,T1022)))</f>
        <v/>
      </c>
      <c r="V1022" s="11">
        <f>IF(J1022="","",S1022*(IFERROR(INDEX(Settings!$B$5:$B$9,MATCH($B1022,Settings!$A$5:$A$9,0)),0)+IFERROR(INDEX(Settings!$E$5:$E$9,MATCH($B1022,Settings!$A$5:$A$9,0)),0)+IFERROR(INDEX(Settings!$G$5:$G$9,MATCH($B1022,Settings!$A$5:$A$9,0)),0))+(IFERROR(INDEX(Settings!$C$5:$C$9,MATCH($B1022,Settings!$A$5:$A$9,0)),0)+IFERROR(INDEX(Settings!$F$5:$F$9,MATCH($B1022,Settings!$A$5:$A$9,0)),0))/P1022+IFERROR(INDEX(Settings!$D$5:$D$9,MATCH($B1022,Settings!$A$5:$A$9,0)),0)*M1022)</f>
        <v/>
      </c>
      <c r="W1022" s="11">
        <f>IF(J1022="","",IF(T1022="",0,M1022*INDEX(Products!$I$5:$I$204,T1022)))</f>
        <v/>
      </c>
      <c r="X1022" s="11">
        <f>IF(J1022="","",IF(T1022="",0,S1022*INDEX(Products!$H$5:$H$204,T1022)))</f>
        <v/>
      </c>
      <c r="Y1022" s="11">
        <f>IF(J1022="","",S1022-V1022-W1022-X1022)</f>
        <v/>
      </c>
    </row>
    <row r="1023">
      <c r="A1023" s="19" t="n"/>
      <c r="B1023" s="19" t="n"/>
      <c r="C1023" s="19" t="n"/>
      <c r="D1023" s="19" t="n"/>
      <c r="E1023" s="19" t="n"/>
      <c r="F1023" s="20" t="n"/>
      <c r="G1023" s="20" t="n"/>
      <c r="H1023" s="20" t="n"/>
      <c r="I1023" s="19" t="n"/>
      <c r="J1023">
        <f>IFERROR(IF(C1023="","",C1023)&amp;"","")</f>
        <v/>
      </c>
      <c r="K1023">
        <f>IFERROR(IF(D1023="","",D1023)&amp;"","")</f>
        <v/>
      </c>
      <c r="L1023">
        <f>IFERROR(IF(I1023="","",I1023)&amp;"","")</f>
        <v/>
      </c>
      <c r="M1023">
        <f>IF(J1023="","",IFERROR(VALUE(SUBSTITUTE(SUBSTITUTE(IF(E1023="","",E1023)&amp;"","$",""),",","")),0))</f>
        <v/>
      </c>
      <c r="N1023" s="11">
        <f>IF(J1023="","",IFERROR(VALUE(SUBSTITUTE(SUBSTITUTE(IF(F1023="","",F1023)&amp;"","$",""),",","")),0))</f>
        <v/>
      </c>
      <c r="O1023" s="11">
        <f>IF(J1023="","",M1023*N1023)</f>
        <v/>
      </c>
      <c r="P1023">
        <f>IF(J1023="","",IF(L1023="",1,COUNTIF($L$2:$L$1501,L1023)))</f>
        <v/>
      </c>
      <c r="Q1023" s="11">
        <f>IF(J1023="","",IFERROR(VALUE(SUBSTITUTE(SUBSTITUTE(IF(G1023="","",G1023)&amp;"","$",""),",","")),0)/IF("No"="Yes",P1023,1))</f>
        <v/>
      </c>
      <c r="R1023" s="11">
        <f>IF(J1023="","",IFERROR(VALUE(SUBSTITUTE(SUBSTITUTE(IF(H1023="","",H1023)&amp;"","$",""),",","")),0)/IF("No"="Yes",P1023,1))</f>
        <v/>
      </c>
      <c r="S1023" s="11">
        <f>IF(J1023="","",O1023+Q1023-R1023)</f>
        <v/>
      </c>
      <c r="T1023">
        <f>IF(J1023="","",IFERROR(IF(K1023="",NA(),MATCH(K1023,Products!$B$5:$B$204,0)),IFERROR(MATCH(J1023,Products!$A$5:$A$204,0),"")))</f>
        <v/>
      </c>
      <c r="U1023">
        <f>IF(J1023="","",IF(T1023="","⚠ not in Products",INDEX(Products!$A$5:$A$204,T1023)))</f>
        <v/>
      </c>
      <c r="V1023" s="11">
        <f>IF(J1023="","",S1023*(IFERROR(INDEX(Settings!$B$5:$B$9,MATCH($B1023,Settings!$A$5:$A$9,0)),0)+IFERROR(INDEX(Settings!$E$5:$E$9,MATCH($B1023,Settings!$A$5:$A$9,0)),0)+IFERROR(INDEX(Settings!$G$5:$G$9,MATCH($B1023,Settings!$A$5:$A$9,0)),0))+(IFERROR(INDEX(Settings!$C$5:$C$9,MATCH($B1023,Settings!$A$5:$A$9,0)),0)+IFERROR(INDEX(Settings!$F$5:$F$9,MATCH($B1023,Settings!$A$5:$A$9,0)),0))/P1023+IFERROR(INDEX(Settings!$D$5:$D$9,MATCH($B1023,Settings!$A$5:$A$9,0)),0)*M1023)</f>
        <v/>
      </c>
      <c r="W1023" s="11">
        <f>IF(J1023="","",IF(T1023="",0,M1023*INDEX(Products!$I$5:$I$204,T1023)))</f>
        <v/>
      </c>
      <c r="X1023" s="11">
        <f>IF(J1023="","",IF(T1023="",0,S1023*INDEX(Products!$H$5:$H$204,T1023)))</f>
        <v/>
      </c>
      <c r="Y1023" s="11">
        <f>IF(J1023="","",S1023-V1023-W1023-X1023)</f>
        <v/>
      </c>
    </row>
    <row r="1024">
      <c r="A1024" s="19" t="n"/>
      <c r="B1024" s="19" t="n"/>
      <c r="C1024" s="19" t="n"/>
      <c r="D1024" s="19" t="n"/>
      <c r="E1024" s="19" t="n"/>
      <c r="F1024" s="20" t="n"/>
      <c r="G1024" s="20" t="n"/>
      <c r="H1024" s="20" t="n"/>
      <c r="I1024" s="19" t="n"/>
      <c r="J1024">
        <f>IFERROR(IF(C1024="","",C1024)&amp;"","")</f>
        <v/>
      </c>
      <c r="K1024">
        <f>IFERROR(IF(D1024="","",D1024)&amp;"","")</f>
        <v/>
      </c>
      <c r="L1024">
        <f>IFERROR(IF(I1024="","",I1024)&amp;"","")</f>
        <v/>
      </c>
      <c r="M1024">
        <f>IF(J1024="","",IFERROR(VALUE(SUBSTITUTE(SUBSTITUTE(IF(E1024="","",E1024)&amp;"","$",""),",","")),0))</f>
        <v/>
      </c>
      <c r="N1024" s="11">
        <f>IF(J1024="","",IFERROR(VALUE(SUBSTITUTE(SUBSTITUTE(IF(F1024="","",F1024)&amp;"","$",""),",","")),0))</f>
        <v/>
      </c>
      <c r="O1024" s="11">
        <f>IF(J1024="","",M1024*N1024)</f>
        <v/>
      </c>
      <c r="P1024">
        <f>IF(J1024="","",IF(L1024="",1,COUNTIF($L$2:$L$1501,L1024)))</f>
        <v/>
      </c>
      <c r="Q1024" s="11">
        <f>IF(J1024="","",IFERROR(VALUE(SUBSTITUTE(SUBSTITUTE(IF(G1024="","",G1024)&amp;"","$",""),",","")),0)/IF("No"="Yes",P1024,1))</f>
        <v/>
      </c>
      <c r="R1024" s="11">
        <f>IF(J1024="","",IFERROR(VALUE(SUBSTITUTE(SUBSTITUTE(IF(H1024="","",H1024)&amp;"","$",""),",","")),0)/IF("No"="Yes",P1024,1))</f>
        <v/>
      </c>
      <c r="S1024" s="11">
        <f>IF(J1024="","",O1024+Q1024-R1024)</f>
        <v/>
      </c>
      <c r="T1024">
        <f>IF(J1024="","",IFERROR(IF(K1024="",NA(),MATCH(K1024,Products!$B$5:$B$204,0)),IFERROR(MATCH(J1024,Products!$A$5:$A$204,0),"")))</f>
        <v/>
      </c>
      <c r="U1024">
        <f>IF(J1024="","",IF(T1024="","⚠ not in Products",INDEX(Products!$A$5:$A$204,T1024)))</f>
        <v/>
      </c>
      <c r="V1024" s="11">
        <f>IF(J1024="","",S1024*(IFERROR(INDEX(Settings!$B$5:$B$9,MATCH($B1024,Settings!$A$5:$A$9,0)),0)+IFERROR(INDEX(Settings!$E$5:$E$9,MATCH($B1024,Settings!$A$5:$A$9,0)),0)+IFERROR(INDEX(Settings!$G$5:$G$9,MATCH($B1024,Settings!$A$5:$A$9,0)),0))+(IFERROR(INDEX(Settings!$C$5:$C$9,MATCH($B1024,Settings!$A$5:$A$9,0)),0)+IFERROR(INDEX(Settings!$F$5:$F$9,MATCH($B1024,Settings!$A$5:$A$9,0)),0))/P1024+IFERROR(INDEX(Settings!$D$5:$D$9,MATCH($B1024,Settings!$A$5:$A$9,0)),0)*M1024)</f>
        <v/>
      </c>
      <c r="W1024" s="11">
        <f>IF(J1024="","",IF(T1024="",0,M1024*INDEX(Products!$I$5:$I$204,T1024)))</f>
        <v/>
      </c>
      <c r="X1024" s="11">
        <f>IF(J1024="","",IF(T1024="",0,S1024*INDEX(Products!$H$5:$H$204,T1024)))</f>
        <v/>
      </c>
      <c r="Y1024" s="11">
        <f>IF(J1024="","",S1024-V1024-W1024-X1024)</f>
        <v/>
      </c>
    </row>
    <row r="1025">
      <c r="A1025" s="19" t="n"/>
      <c r="B1025" s="19" t="n"/>
      <c r="C1025" s="19" t="n"/>
      <c r="D1025" s="19" t="n"/>
      <c r="E1025" s="19" t="n"/>
      <c r="F1025" s="20" t="n"/>
      <c r="G1025" s="20" t="n"/>
      <c r="H1025" s="20" t="n"/>
      <c r="I1025" s="19" t="n"/>
      <c r="J1025">
        <f>IFERROR(IF(C1025="","",C1025)&amp;"","")</f>
        <v/>
      </c>
      <c r="K1025">
        <f>IFERROR(IF(D1025="","",D1025)&amp;"","")</f>
        <v/>
      </c>
      <c r="L1025">
        <f>IFERROR(IF(I1025="","",I1025)&amp;"","")</f>
        <v/>
      </c>
      <c r="M1025">
        <f>IF(J1025="","",IFERROR(VALUE(SUBSTITUTE(SUBSTITUTE(IF(E1025="","",E1025)&amp;"","$",""),",","")),0))</f>
        <v/>
      </c>
      <c r="N1025" s="11">
        <f>IF(J1025="","",IFERROR(VALUE(SUBSTITUTE(SUBSTITUTE(IF(F1025="","",F1025)&amp;"","$",""),",","")),0))</f>
        <v/>
      </c>
      <c r="O1025" s="11">
        <f>IF(J1025="","",M1025*N1025)</f>
        <v/>
      </c>
      <c r="P1025">
        <f>IF(J1025="","",IF(L1025="",1,COUNTIF($L$2:$L$1501,L1025)))</f>
        <v/>
      </c>
      <c r="Q1025" s="11">
        <f>IF(J1025="","",IFERROR(VALUE(SUBSTITUTE(SUBSTITUTE(IF(G1025="","",G1025)&amp;"","$",""),",","")),0)/IF("No"="Yes",P1025,1))</f>
        <v/>
      </c>
      <c r="R1025" s="11">
        <f>IF(J1025="","",IFERROR(VALUE(SUBSTITUTE(SUBSTITUTE(IF(H1025="","",H1025)&amp;"","$",""),",","")),0)/IF("No"="Yes",P1025,1))</f>
        <v/>
      </c>
      <c r="S1025" s="11">
        <f>IF(J1025="","",O1025+Q1025-R1025)</f>
        <v/>
      </c>
      <c r="T1025">
        <f>IF(J1025="","",IFERROR(IF(K1025="",NA(),MATCH(K1025,Products!$B$5:$B$204,0)),IFERROR(MATCH(J1025,Products!$A$5:$A$204,0),"")))</f>
        <v/>
      </c>
      <c r="U1025">
        <f>IF(J1025="","",IF(T1025="","⚠ not in Products",INDEX(Products!$A$5:$A$204,T1025)))</f>
        <v/>
      </c>
      <c r="V1025" s="11">
        <f>IF(J1025="","",S1025*(IFERROR(INDEX(Settings!$B$5:$B$9,MATCH($B1025,Settings!$A$5:$A$9,0)),0)+IFERROR(INDEX(Settings!$E$5:$E$9,MATCH($B1025,Settings!$A$5:$A$9,0)),0)+IFERROR(INDEX(Settings!$G$5:$G$9,MATCH($B1025,Settings!$A$5:$A$9,0)),0))+(IFERROR(INDEX(Settings!$C$5:$C$9,MATCH($B1025,Settings!$A$5:$A$9,0)),0)+IFERROR(INDEX(Settings!$F$5:$F$9,MATCH($B1025,Settings!$A$5:$A$9,0)),0))/P1025+IFERROR(INDEX(Settings!$D$5:$D$9,MATCH($B1025,Settings!$A$5:$A$9,0)),0)*M1025)</f>
        <v/>
      </c>
      <c r="W1025" s="11">
        <f>IF(J1025="","",IF(T1025="",0,M1025*INDEX(Products!$I$5:$I$204,T1025)))</f>
        <v/>
      </c>
      <c r="X1025" s="11">
        <f>IF(J1025="","",IF(T1025="",0,S1025*INDEX(Products!$H$5:$H$204,T1025)))</f>
        <v/>
      </c>
      <c r="Y1025" s="11">
        <f>IF(J1025="","",S1025-V1025-W1025-X1025)</f>
        <v/>
      </c>
    </row>
    <row r="1026">
      <c r="A1026" s="19" t="n"/>
      <c r="B1026" s="19" t="n"/>
      <c r="C1026" s="19" t="n"/>
      <c r="D1026" s="19" t="n"/>
      <c r="E1026" s="19" t="n"/>
      <c r="F1026" s="20" t="n"/>
      <c r="G1026" s="20" t="n"/>
      <c r="H1026" s="20" t="n"/>
      <c r="I1026" s="19" t="n"/>
      <c r="J1026">
        <f>IFERROR(IF(C1026="","",C1026)&amp;"","")</f>
        <v/>
      </c>
      <c r="K1026">
        <f>IFERROR(IF(D1026="","",D1026)&amp;"","")</f>
        <v/>
      </c>
      <c r="L1026">
        <f>IFERROR(IF(I1026="","",I1026)&amp;"","")</f>
        <v/>
      </c>
      <c r="M1026">
        <f>IF(J1026="","",IFERROR(VALUE(SUBSTITUTE(SUBSTITUTE(IF(E1026="","",E1026)&amp;"","$",""),",","")),0))</f>
        <v/>
      </c>
      <c r="N1026" s="11">
        <f>IF(J1026="","",IFERROR(VALUE(SUBSTITUTE(SUBSTITUTE(IF(F1026="","",F1026)&amp;"","$",""),",","")),0))</f>
        <v/>
      </c>
      <c r="O1026" s="11">
        <f>IF(J1026="","",M1026*N1026)</f>
        <v/>
      </c>
      <c r="P1026">
        <f>IF(J1026="","",IF(L1026="",1,COUNTIF($L$2:$L$1501,L1026)))</f>
        <v/>
      </c>
      <c r="Q1026" s="11">
        <f>IF(J1026="","",IFERROR(VALUE(SUBSTITUTE(SUBSTITUTE(IF(G1026="","",G1026)&amp;"","$",""),",","")),0)/IF("No"="Yes",P1026,1))</f>
        <v/>
      </c>
      <c r="R1026" s="11">
        <f>IF(J1026="","",IFERROR(VALUE(SUBSTITUTE(SUBSTITUTE(IF(H1026="","",H1026)&amp;"","$",""),",","")),0)/IF("No"="Yes",P1026,1))</f>
        <v/>
      </c>
      <c r="S1026" s="11">
        <f>IF(J1026="","",O1026+Q1026-R1026)</f>
        <v/>
      </c>
      <c r="T1026">
        <f>IF(J1026="","",IFERROR(IF(K1026="",NA(),MATCH(K1026,Products!$B$5:$B$204,0)),IFERROR(MATCH(J1026,Products!$A$5:$A$204,0),"")))</f>
        <v/>
      </c>
      <c r="U1026">
        <f>IF(J1026="","",IF(T1026="","⚠ not in Products",INDEX(Products!$A$5:$A$204,T1026)))</f>
        <v/>
      </c>
      <c r="V1026" s="11">
        <f>IF(J1026="","",S1026*(IFERROR(INDEX(Settings!$B$5:$B$9,MATCH($B1026,Settings!$A$5:$A$9,0)),0)+IFERROR(INDEX(Settings!$E$5:$E$9,MATCH($B1026,Settings!$A$5:$A$9,0)),0)+IFERROR(INDEX(Settings!$G$5:$G$9,MATCH($B1026,Settings!$A$5:$A$9,0)),0))+(IFERROR(INDEX(Settings!$C$5:$C$9,MATCH($B1026,Settings!$A$5:$A$9,0)),0)+IFERROR(INDEX(Settings!$F$5:$F$9,MATCH($B1026,Settings!$A$5:$A$9,0)),0))/P1026+IFERROR(INDEX(Settings!$D$5:$D$9,MATCH($B1026,Settings!$A$5:$A$9,0)),0)*M1026)</f>
        <v/>
      </c>
      <c r="W1026" s="11">
        <f>IF(J1026="","",IF(T1026="",0,M1026*INDEX(Products!$I$5:$I$204,T1026)))</f>
        <v/>
      </c>
      <c r="X1026" s="11">
        <f>IF(J1026="","",IF(T1026="",0,S1026*INDEX(Products!$H$5:$H$204,T1026)))</f>
        <v/>
      </c>
      <c r="Y1026" s="11">
        <f>IF(J1026="","",S1026-V1026-W1026-X1026)</f>
        <v/>
      </c>
    </row>
    <row r="1027">
      <c r="A1027" s="19" t="n"/>
      <c r="B1027" s="19" t="n"/>
      <c r="C1027" s="19" t="n"/>
      <c r="D1027" s="19" t="n"/>
      <c r="E1027" s="19" t="n"/>
      <c r="F1027" s="20" t="n"/>
      <c r="G1027" s="20" t="n"/>
      <c r="H1027" s="20" t="n"/>
      <c r="I1027" s="19" t="n"/>
      <c r="J1027">
        <f>IFERROR(IF(C1027="","",C1027)&amp;"","")</f>
        <v/>
      </c>
      <c r="K1027">
        <f>IFERROR(IF(D1027="","",D1027)&amp;"","")</f>
        <v/>
      </c>
      <c r="L1027">
        <f>IFERROR(IF(I1027="","",I1027)&amp;"","")</f>
        <v/>
      </c>
      <c r="M1027">
        <f>IF(J1027="","",IFERROR(VALUE(SUBSTITUTE(SUBSTITUTE(IF(E1027="","",E1027)&amp;"","$",""),",","")),0))</f>
        <v/>
      </c>
      <c r="N1027" s="11">
        <f>IF(J1027="","",IFERROR(VALUE(SUBSTITUTE(SUBSTITUTE(IF(F1027="","",F1027)&amp;"","$",""),",","")),0))</f>
        <v/>
      </c>
      <c r="O1027" s="11">
        <f>IF(J1027="","",M1027*N1027)</f>
        <v/>
      </c>
      <c r="P1027">
        <f>IF(J1027="","",IF(L1027="",1,COUNTIF($L$2:$L$1501,L1027)))</f>
        <v/>
      </c>
      <c r="Q1027" s="11">
        <f>IF(J1027="","",IFERROR(VALUE(SUBSTITUTE(SUBSTITUTE(IF(G1027="","",G1027)&amp;"","$",""),",","")),0)/IF("No"="Yes",P1027,1))</f>
        <v/>
      </c>
      <c r="R1027" s="11">
        <f>IF(J1027="","",IFERROR(VALUE(SUBSTITUTE(SUBSTITUTE(IF(H1027="","",H1027)&amp;"","$",""),",","")),0)/IF("No"="Yes",P1027,1))</f>
        <v/>
      </c>
      <c r="S1027" s="11">
        <f>IF(J1027="","",O1027+Q1027-R1027)</f>
        <v/>
      </c>
      <c r="T1027">
        <f>IF(J1027="","",IFERROR(IF(K1027="",NA(),MATCH(K1027,Products!$B$5:$B$204,0)),IFERROR(MATCH(J1027,Products!$A$5:$A$204,0),"")))</f>
        <v/>
      </c>
      <c r="U1027">
        <f>IF(J1027="","",IF(T1027="","⚠ not in Products",INDEX(Products!$A$5:$A$204,T1027)))</f>
        <v/>
      </c>
      <c r="V1027" s="11">
        <f>IF(J1027="","",S1027*(IFERROR(INDEX(Settings!$B$5:$B$9,MATCH($B1027,Settings!$A$5:$A$9,0)),0)+IFERROR(INDEX(Settings!$E$5:$E$9,MATCH($B1027,Settings!$A$5:$A$9,0)),0)+IFERROR(INDEX(Settings!$G$5:$G$9,MATCH($B1027,Settings!$A$5:$A$9,0)),0))+(IFERROR(INDEX(Settings!$C$5:$C$9,MATCH($B1027,Settings!$A$5:$A$9,0)),0)+IFERROR(INDEX(Settings!$F$5:$F$9,MATCH($B1027,Settings!$A$5:$A$9,0)),0))/P1027+IFERROR(INDEX(Settings!$D$5:$D$9,MATCH($B1027,Settings!$A$5:$A$9,0)),0)*M1027)</f>
        <v/>
      </c>
      <c r="W1027" s="11">
        <f>IF(J1027="","",IF(T1027="",0,M1027*INDEX(Products!$I$5:$I$204,T1027)))</f>
        <v/>
      </c>
      <c r="X1027" s="11">
        <f>IF(J1027="","",IF(T1027="",0,S1027*INDEX(Products!$H$5:$H$204,T1027)))</f>
        <v/>
      </c>
      <c r="Y1027" s="11">
        <f>IF(J1027="","",S1027-V1027-W1027-X1027)</f>
        <v/>
      </c>
    </row>
    <row r="1028">
      <c r="A1028" s="19" t="n"/>
      <c r="B1028" s="19" t="n"/>
      <c r="C1028" s="19" t="n"/>
      <c r="D1028" s="19" t="n"/>
      <c r="E1028" s="19" t="n"/>
      <c r="F1028" s="20" t="n"/>
      <c r="G1028" s="20" t="n"/>
      <c r="H1028" s="20" t="n"/>
      <c r="I1028" s="19" t="n"/>
      <c r="J1028">
        <f>IFERROR(IF(C1028="","",C1028)&amp;"","")</f>
        <v/>
      </c>
      <c r="K1028">
        <f>IFERROR(IF(D1028="","",D1028)&amp;"","")</f>
        <v/>
      </c>
      <c r="L1028">
        <f>IFERROR(IF(I1028="","",I1028)&amp;"","")</f>
        <v/>
      </c>
      <c r="M1028">
        <f>IF(J1028="","",IFERROR(VALUE(SUBSTITUTE(SUBSTITUTE(IF(E1028="","",E1028)&amp;"","$",""),",","")),0))</f>
        <v/>
      </c>
      <c r="N1028" s="11">
        <f>IF(J1028="","",IFERROR(VALUE(SUBSTITUTE(SUBSTITUTE(IF(F1028="","",F1028)&amp;"","$",""),",","")),0))</f>
        <v/>
      </c>
      <c r="O1028" s="11">
        <f>IF(J1028="","",M1028*N1028)</f>
        <v/>
      </c>
      <c r="P1028">
        <f>IF(J1028="","",IF(L1028="",1,COUNTIF($L$2:$L$1501,L1028)))</f>
        <v/>
      </c>
      <c r="Q1028" s="11">
        <f>IF(J1028="","",IFERROR(VALUE(SUBSTITUTE(SUBSTITUTE(IF(G1028="","",G1028)&amp;"","$",""),",","")),0)/IF("No"="Yes",P1028,1))</f>
        <v/>
      </c>
      <c r="R1028" s="11">
        <f>IF(J1028="","",IFERROR(VALUE(SUBSTITUTE(SUBSTITUTE(IF(H1028="","",H1028)&amp;"","$",""),",","")),0)/IF("No"="Yes",P1028,1))</f>
        <v/>
      </c>
      <c r="S1028" s="11">
        <f>IF(J1028="","",O1028+Q1028-R1028)</f>
        <v/>
      </c>
      <c r="T1028">
        <f>IF(J1028="","",IFERROR(IF(K1028="",NA(),MATCH(K1028,Products!$B$5:$B$204,0)),IFERROR(MATCH(J1028,Products!$A$5:$A$204,0),"")))</f>
        <v/>
      </c>
      <c r="U1028">
        <f>IF(J1028="","",IF(T1028="","⚠ not in Products",INDEX(Products!$A$5:$A$204,T1028)))</f>
        <v/>
      </c>
      <c r="V1028" s="11">
        <f>IF(J1028="","",S1028*(IFERROR(INDEX(Settings!$B$5:$B$9,MATCH($B1028,Settings!$A$5:$A$9,0)),0)+IFERROR(INDEX(Settings!$E$5:$E$9,MATCH($B1028,Settings!$A$5:$A$9,0)),0)+IFERROR(INDEX(Settings!$G$5:$G$9,MATCH($B1028,Settings!$A$5:$A$9,0)),0))+(IFERROR(INDEX(Settings!$C$5:$C$9,MATCH($B1028,Settings!$A$5:$A$9,0)),0)+IFERROR(INDEX(Settings!$F$5:$F$9,MATCH($B1028,Settings!$A$5:$A$9,0)),0))/P1028+IFERROR(INDEX(Settings!$D$5:$D$9,MATCH($B1028,Settings!$A$5:$A$9,0)),0)*M1028)</f>
        <v/>
      </c>
      <c r="W1028" s="11">
        <f>IF(J1028="","",IF(T1028="",0,M1028*INDEX(Products!$I$5:$I$204,T1028)))</f>
        <v/>
      </c>
      <c r="X1028" s="11">
        <f>IF(J1028="","",IF(T1028="",0,S1028*INDEX(Products!$H$5:$H$204,T1028)))</f>
        <v/>
      </c>
      <c r="Y1028" s="11">
        <f>IF(J1028="","",S1028-V1028-W1028-X1028)</f>
        <v/>
      </c>
    </row>
    <row r="1029">
      <c r="A1029" s="19" t="n"/>
      <c r="B1029" s="19" t="n"/>
      <c r="C1029" s="19" t="n"/>
      <c r="D1029" s="19" t="n"/>
      <c r="E1029" s="19" t="n"/>
      <c r="F1029" s="20" t="n"/>
      <c r="G1029" s="20" t="n"/>
      <c r="H1029" s="20" t="n"/>
      <c r="I1029" s="19" t="n"/>
      <c r="J1029">
        <f>IFERROR(IF(C1029="","",C1029)&amp;"","")</f>
        <v/>
      </c>
      <c r="K1029">
        <f>IFERROR(IF(D1029="","",D1029)&amp;"","")</f>
        <v/>
      </c>
      <c r="L1029">
        <f>IFERROR(IF(I1029="","",I1029)&amp;"","")</f>
        <v/>
      </c>
      <c r="M1029">
        <f>IF(J1029="","",IFERROR(VALUE(SUBSTITUTE(SUBSTITUTE(IF(E1029="","",E1029)&amp;"","$",""),",","")),0))</f>
        <v/>
      </c>
      <c r="N1029" s="11">
        <f>IF(J1029="","",IFERROR(VALUE(SUBSTITUTE(SUBSTITUTE(IF(F1029="","",F1029)&amp;"","$",""),",","")),0))</f>
        <v/>
      </c>
      <c r="O1029" s="11">
        <f>IF(J1029="","",M1029*N1029)</f>
        <v/>
      </c>
      <c r="P1029">
        <f>IF(J1029="","",IF(L1029="",1,COUNTIF($L$2:$L$1501,L1029)))</f>
        <v/>
      </c>
      <c r="Q1029" s="11">
        <f>IF(J1029="","",IFERROR(VALUE(SUBSTITUTE(SUBSTITUTE(IF(G1029="","",G1029)&amp;"","$",""),",","")),0)/IF("No"="Yes",P1029,1))</f>
        <v/>
      </c>
      <c r="R1029" s="11">
        <f>IF(J1029="","",IFERROR(VALUE(SUBSTITUTE(SUBSTITUTE(IF(H1029="","",H1029)&amp;"","$",""),",","")),0)/IF("No"="Yes",P1029,1))</f>
        <v/>
      </c>
      <c r="S1029" s="11">
        <f>IF(J1029="","",O1029+Q1029-R1029)</f>
        <v/>
      </c>
      <c r="T1029">
        <f>IF(J1029="","",IFERROR(IF(K1029="",NA(),MATCH(K1029,Products!$B$5:$B$204,0)),IFERROR(MATCH(J1029,Products!$A$5:$A$204,0),"")))</f>
        <v/>
      </c>
      <c r="U1029">
        <f>IF(J1029="","",IF(T1029="","⚠ not in Products",INDEX(Products!$A$5:$A$204,T1029)))</f>
        <v/>
      </c>
      <c r="V1029" s="11">
        <f>IF(J1029="","",S1029*(IFERROR(INDEX(Settings!$B$5:$B$9,MATCH($B1029,Settings!$A$5:$A$9,0)),0)+IFERROR(INDEX(Settings!$E$5:$E$9,MATCH($B1029,Settings!$A$5:$A$9,0)),0)+IFERROR(INDEX(Settings!$G$5:$G$9,MATCH($B1029,Settings!$A$5:$A$9,0)),0))+(IFERROR(INDEX(Settings!$C$5:$C$9,MATCH($B1029,Settings!$A$5:$A$9,0)),0)+IFERROR(INDEX(Settings!$F$5:$F$9,MATCH($B1029,Settings!$A$5:$A$9,0)),0))/P1029+IFERROR(INDEX(Settings!$D$5:$D$9,MATCH($B1029,Settings!$A$5:$A$9,0)),0)*M1029)</f>
        <v/>
      </c>
      <c r="W1029" s="11">
        <f>IF(J1029="","",IF(T1029="",0,M1029*INDEX(Products!$I$5:$I$204,T1029)))</f>
        <v/>
      </c>
      <c r="X1029" s="11">
        <f>IF(J1029="","",IF(T1029="",0,S1029*INDEX(Products!$H$5:$H$204,T1029)))</f>
        <v/>
      </c>
      <c r="Y1029" s="11">
        <f>IF(J1029="","",S1029-V1029-W1029-X1029)</f>
        <v/>
      </c>
    </row>
    <row r="1030">
      <c r="A1030" s="19" t="n"/>
      <c r="B1030" s="19" t="n"/>
      <c r="C1030" s="19" t="n"/>
      <c r="D1030" s="19" t="n"/>
      <c r="E1030" s="19" t="n"/>
      <c r="F1030" s="20" t="n"/>
      <c r="G1030" s="20" t="n"/>
      <c r="H1030" s="20" t="n"/>
      <c r="I1030" s="19" t="n"/>
      <c r="J1030">
        <f>IFERROR(IF(C1030="","",C1030)&amp;"","")</f>
        <v/>
      </c>
      <c r="K1030">
        <f>IFERROR(IF(D1030="","",D1030)&amp;"","")</f>
        <v/>
      </c>
      <c r="L1030">
        <f>IFERROR(IF(I1030="","",I1030)&amp;"","")</f>
        <v/>
      </c>
      <c r="M1030">
        <f>IF(J1030="","",IFERROR(VALUE(SUBSTITUTE(SUBSTITUTE(IF(E1030="","",E1030)&amp;"","$",""),",","")),0))</f>
        <v/>
      </c>
      <c r="N1030" s="11">
        <f>IF(J1030="","",IFERROR(VALUE(SUBSTITUTE(SUBSTITUTE(IF(F1030="","",F1030)&amp;"","$",""),",","")),0))</f>
        <v/>
      </c>
      <c r="O1030" s="11">
        <f>IF(J1030="","",M1030*N1030)</f>
        <v/>
      </c>
      <c r="P1030">
        <f>IF(J1030="","",IF(L1030="",1,COUNTIF($L$2:$L$1501,L1030)))</f>
        <v/>
      </c>
      <c r="Q1030" s="11">
        <f>IF(J1030="","",IFERROR(VALUE(SUBSTITUTE(SUBSTITUTE(IF(G1030="","",G1030)&amp;"","$",""),",","")),0)/IF("No"="Yes",P1030,1))</f>
        <v/>
      </c>
      <c r="R1030" s="11">
        <f>IF(J1030="","",IFERROR(VALUE(SUBSTITUTE(SUBSTITUTE(IF(H1030="","",H1030)&amp;"","$",""),",","")),0)/IF("No"="Yes",P1030,1))</f>
        <v/>
      </c>
      <c r="S1030" s="11">
        <f>IF(J1030="","",O1030+Q1030-R1030)</f>
        <v/>
      </c>
      <c r="T1030">
        <f>IF(J1030="","",IFERROR(IF(K1030="",NA(),MATCH(K1030,Products!$B$5:$B$204,0)),IFERROR(MATCH(J1030,Products!$A$5:$A$204,0),"")))</f>
        <v/>
      </c>
      <c r="U1030">
        <f>IF(J1030="","",IF(T1030="","⚠ not in Products",INDEX(Products!$A$5:$A$204,T1030)))</f>
        <v/>
      </c>
      <c r="V1030" s="11">
        <f>IF(J1030="","",S1030*(IFERROR(INDEX(Settings!$B$5:$B$9,MATCH($B1030,Settings!$A$5:$A$9,0)),0)+IFERROR(INDEX(Settings!$E$5:$E$9,MATCH($B1030,Settings!$A$5:$A$9,0)),0)+IFERROR(INDEX(Settings!$G$5:$G$9,MATCH($B1030,Settings!$A$5:$A$9,0)),0))+(IFERROR(INDEX(Settings!$C$5:$C$9,MATCH($B1030,Settings!$A$5:$A$9,0)),0)+IFERROR(INDEX(Settings!$F$5:$F$9,MATCH($B1030,Settings!$A$5:$A$9,0)),0))/P1030+IFERROR(INDEX(Settings!$D$5:$D$9,MATCH($B1030,Settings!$A$5:$A$9,0)),0)*M1030)</f>
        <v/>
      </c>
      <c r="W1030" s="11">
        <f>IF(J1030="","",IF(T1030="",0,M1030*INDEX(Products!$I$5:$I$204,T1030)))</f>
        <v/>
      </c>
      <c r="X1030" s="11">
        <f>IF(J1030="","",IF(T1030="",0,S1030*INDEX(Products!$H$5:$H$204,T1030)))</f>
        <v/>
      </c>
      <c r="Y1030" s="11">
        <f>IF(J1030="","",S1030-V1030-W1030-X1030)</f>
        <v/>
      </c>
    </row>
    <row r="1031">
      <c r="A1031" s="19" t="n"/>
      <c r="B1031" s="19" t="n"/>
      <c r="C1031" s="19" t="n"/>
      <c r="D1031" s="19" t="n"/>
      <c r="E1031" s="19" t="n"/>
      <c r="F1031" s="20" t="n"/>
      <c r="G1031" s="20" t="n"/>
      <c r="H1031" s="20" t="n"/>
      <c r="I1031" s="19" t="n"/>
      <c r="J1031">
        <f>IFERROR(IF(C1031="","",C1031)&amp;"","")</f>
        <v/>
      </c>
      <c r="K1031">
        <f>IFERROR(IF(D1031="","",D1031)&amp;"","")</f>
        <v/>
      </c>
      <c r="L1031">
        <f>IFERROR(IF(I1031="","",I1031)&amp;"","")</f>
        <v/>
      </c>
      <c r="M1031">
        <f>IF(J1031="","",IFERROR(VALUE(SUBSTITUTE(SUBSTITUTE(IF(E1031="","",E1031)&amp;"","$",""),",","")),0))</f>
        <v/>
      </c>
      <c r="N1031" s="11">
        <f>IF(J1031="","",IFERROR(VALUE(SUBSTITUTE(SUBSTITUTE(IF(F1031="","",F1031)&amp;"","$",""),",","")),0))</f>
        <v/>
      </c>
      <c r="O1031" s="11">
        <f>IF(J1031="","",M1031*N1031)</f>
        <v/>
      </c>
      <c r="P1031">
        <f>IF(J1031="","",IF(L1031="",1,COUNTIF($L$2:$L$1501,L1031)))</f>
        <v/>
      </c>
      <c r="Q1031" s="11">
        <f>IF(J1031="","",IFERROR(VALUE(SUBSTITUTE(SUBSTITUTE(IF(G1031="","",G1031)&amp;"","$",""),",","")),0)/IF("No"="Yes",P1031,1))</f>
        <v/>
      </c>
      <c r="R1031" s="11">
        <f>IF(J1031="","",IFERROR(VALUE(SUBSTITUTE(SUBSTITUTE(IF(H1031="","",H1031)&amp;"","$",""),",","")),0)/IF("No"="Yes",P1031,1))</f>
        <v/>
      </c>
      <c r="S1031" s="11">
        <f>IF(J1031="","",O1031+Q1031-R1031)</f>
        <v/>
      </c>
      <c r="T1031">
        <f>IF(J1031="","",IFERROR(IF(K1031="",NA(),MATCH(K1031,Products!$B$5:$B$204,0)),IFERROR(MATCH(J1031,Products!$A$5:$A$204,0),"")))</f>
        <v/>
      </c>
      <c r="U1031">
        <f>IF(J1031="","",IF(T1031="","⚠ not in Products",INDEX(Products!$A$5:$A$204,T1031)))</f>
        <v/>
      </c>
      <c r="V1031" s="11">
        <f>IF(J1031="","",S1031*(IFERROR(INDEX(Settings!$B$5:$B$9,MATCH($B1031,Settings!$A$5:$A$9,0)),0)+IFERROR(INDEX(Settings!$E$5:$E$9,MATCH($B1031,Settings!$A$5:$A$9,0)),0)+IFERROR(INDEX(Settings!$G$5:$G$9,MATCH($B1031,Settings!$A$5:$A$9,0)),0))+(IFERROR(INDEX(Settings!$C$5:$C$9,MATCH($B1031,Settings!$A$5:$A$9,0)),0)+IFERROR(INDEX(Settings!$F$5:$F$9,MATCH($B1031,Settings!$A$5:$A$9,0)),0))/P1031+IFERROR(INDEX(Settings!$D$5:$D$9,MATCH($B1031,Settings!$A$5:$A$9,0)),0)*M1031)</f>
        <v/>
      </c>
      <c r="W1031" s="11">
        <f>IF(J1031="","",IF(T1031="",0,M1031*INDEX(Products!$I$5:$I$204,T1031)))</f>
        <v/>
      </c>
      <c r="X1031" s="11">
        <f>IF(J1031="","",IF(T1031="",0,S1031*INDEX(Products!$H$5:$H$204,T1031)))</f>
        <v/>
      </c>
      <c r="Y1031" s="11">
        <f>IF(J1031="","",S1031-V1031-W1031-X1031)</f>
        <v/>
      </c>
    </row>
    <row r="1032">
      <c r="A1032" s="19" t="n"/>
      <c r="B1032" s="19" t="n"/>
      <c r="C1032" s="19" t="n"/>
      <c r="D1032" s="19" t="n"/>
      <c r="E1032" s="19" t="n"/>
      <c r="F1032" s="20" t="n"/>
      <c r="G1032" s="20" t="n"/>
      <c r="H1032" s="20" t="n"/>
      <c r="I1032" s="19" t="n"/>
      <c r="J1032">
        <f>IFERROR(IF(C1032="","",C1032)&amp;"","")</f>
        <v/>
      </c>
      <c r="K1032">
        <f>IFERROR(IF(D1032="","",D1032)&amp;"","")</f>
        <v/>
      </c>
      <c r="L1032">
        <f>IFERROR(IF(I1032="","",I1032)&amp;"","")</f>
        <v/>
      </c>
      <c r="M1032">
        <f>IF(J1032="","",IFERROR(VALUE(SUBSTITUTE(SUBSTITUTE(IF(E1032="","",E1032)&amp;"","$",""),",","")),0))</f>
        <v/>
      </c>
      <c r="N1032" s="11">
        <f>IF(J1032="","",IFERROR(VALUE(SUBSTITUTE(SUBSTITUTE(IF(F1032="","",F1032)&amp;"","$",""),",","")),0))</f>
        <v/>
      </c>
      <c r="O1032" s="11">
        <f>IF(J1032="","",M1032*N1032)</f>
        <v/>
      </c>
      <c r="P1032">
        <f>IF(J1032="","",IF(L1032="",1,COUNTIF($L$2:$L$1501,L1032)))</f>
        <v/>
      </c>
      <c r="Q1032" s="11">
        <f>IF(J1032="","",IFERROR(VALUE(SUBSTITUTE(SUBSTITUTE(IF(G1032="","",G1032)&amp;"","$",""),",","")),0)/IF("No"="Yes",P1032,1))</f>
        <v/>
      </c>
      <c r="R1032" s="11">
        <f>IF(J1032="","",IFERROR(VALUE(SUBSTITUTE(SUBSTITUTE(IF(H1032="","",H1032)&amp;"","$",""),",","")),0)/IF("No"="Yes",P1032,1))</f>
        <v/>
      </c>
      <c r="S1032" s="11">
        <f>IF(J1032="","",O1032+Q1032-R1032)</f>
        <v/>
      </c>
      <c r="T1032">
        <f>IF(J1032="","",IFERROR(IF(K1032="",NA(),MATCH(K1032,Products!$B$5:$B$204,0)),IFERROR(MATCH(J1032,Products!$A$5:$A$204,0),"")))</f>
        <v/>
      </c>
      <c r="U1032">
        <f>IF(J1032="","",IF(T1032="","⚠ not in Products",INDEX(Products!$A$5:$A$204,T1032)))</f>
        <v/>
      </c>
      <c r="V1032" s="11">
        <f>IF(J1032="","",S1032*(IFERROR(INDEX(Settings!$B$5:$B$9,MATCH($B1032,Settings!$A$5:$A$9,0)),0)+IFERROR(INDEX(Settings!$E$5:$E$9,MATCH($B1032,Settings!$A$5:$A$9,0)),0)+IFERROR(INDEX(Settings!$G$5:$G$9,MATCH($B1032,Settings!$A$5:$A$9,0)),0))+(IFERROR(INDEX(Settings!$C$5:$C$9,MATCH($B1032,Settings!$A$5:$A$9,0)),0)+IFERROR(INDEX(Settings!$F$5:$F$9,MATCH($B1032,Settings!$A$5:$A$9,0)),0))/P1032+IFERROR(INDEX(Settings!$D$5:$D$9,MATCH($B1032,Settings!$A$5:$A$9,0)),0)*M1032)</f>
        <v/>
      </c>
      <c r="W1032" s="11">
        <f>IF(J1032="","",IF(T1032="",0,M1032*INDEX(Products!$I$5:$I$204,T1032)))</f>
        <v/>
      </c>
      <c r="X1032" s="11">
        <f>IF(J1032="","",IF(T1032="",0,S1032*INDEX(Products!$H$5:$H$204,T1032)))</f>
        <v/>
      </c>
      <c r="Y1032" s="11">
        <f>IF(J1032="","",S1032-V1032-W1032-X1032)</f>
        <v/>
      </c>
    </row>
    <row r="1033">
      <c r="A1033" s="19" t="n"/>
      <c r="B1033" s="19" t="n"/>
      <c r="C1033" s="19" t="n"/>
      <c r="D1033" s="19" t="n"/>
      <c r="E1033" s="19" t="n"/>
      <c r="F1033" s="20" t="n"/>
      <c r="G1033" s="20" t="n"/>
      <c r="H1033" s="20" t="n"/>
      <c r="I1033" s="19" t="n"/>
      <c r="J1033">
        <f>IFERROR(IF(C1033="","",C1033)&amp;"","")</f>
        <v/>
      </c>
      <c r="K1033">
        <f>IFERROR(IF(D1033="","",D1033)&amp;"","")</f>
        <v/>
      </c>
      <c r="L1033">
        <f>IFERROR(IF(I1033="","",I1033)&amp;"","")</f>
        <v/>
      </c>
      <c r="M1033">
        <f>IF(J1033="","",IFERROR(VALUE(SUBSTITUTE(SUBSTITUTE(IF(E1033="","",E1033)&amp;"","$",""),",","")),0))</f>
        <v/>
      </c>
      <c r="N1033" s="11">
        <f>IF(J1033="","",IFERROR(VALUE(SUBSTITUTE(SUBSTITUTE(IF(F1033="","",F1033)&amp;"","$",""),",","")),0))</f>
        <v/>
      </c>
      <c r="O1033" s="11">
        <f>IF(J1033="","",M1033*N1033)</f>
        <v/>
      </c>
      <c r="P1033">
        <f>IF(J1033="","",IF(L1033="",1,COUNTIF($L$2:$L$1501,L1033)))</f>
        <v/>
      </c>
      <c r="Q1033" s="11">
        <f>IF(J1033="","",IFERROR(VALUE(SUBSTITUTE(SUBSTITUTE(IF(G1033="","",G1033)&amp;"","$",""),",","")),0)/IF("No"="Yes",P1033,1))</f>
        <v/>
      </c>
      <c r="R1033" s="11">
        <f>IF(J1033="","",IFERROR(VALUE(SUBSTITUTE(SUBSTITUTE(IF(H1033="","",H1033)&amp;"","$",""),",","")),0)/IF("No"="Yes",P1033,1))</f>
        <v/>
      </c>
      <c r="S1033" s="11">
        <f>IF(J1033="","",O1033+Q1033-R1033)</f>
        <v/>
      </c>
      <c r="T1033">
        <f>IF(J1033="","",IFERROR(IF(K1033="",NA(),MATCH(K1033,Products!$B$5:$B$204,0)),IFERROR(MATCH(J1033,Products!$A$5:$A$204,0),"")))</f>
        <v/>
      </c>
      <c r="U1033">
        <f>IF(J1033="","",IF(T1033="","⚠ not in Products",INDEX(Products!$A$5:$A$204,T1033)))</f>
        <v/>
      </c>
      <c r="V1033" s="11">
        <f>IF(J1033="","",S1033*(IFERROR(INDEX(Settings!$B$5:$B$9,MATCH($B1033,Settings!$A$5:$A$9,0)),0)+IFERROR(INDEX(Settings!$E$5:$E$9,MATCH($B1033,Settings!$A$5:$A$9,0)),0)+IFERROR(INDEX(Settings!$G$5:$G$9,MATCH($B1033,Settings!$A$5:$A$9,0)),0))+(IFERROR(INDEX(Settings!$C$5:$C$9,MATCH($B1033,Settings!$A$5:$A$9,0)),0)+IFERROR(INDEX(Settings!$F$5:$F$9,MATCH($B1033,Settings!$A$5:$A$9,0)),0))/P1033+IFERROR(INDEX(Settings!$D$5:$D$9,MATCH($B1033,Settings!$A$5:$A$9,0)),0)*M1033)</f>
        <v/>
      </c>
      <c r="W1033" s="11">
        <f>IF(J1033="","",IF(T1033="",0,M1033*INDEX(Products!$I$5:$I$204,T1033)))</f>
        <v/>
      </c>
      <c r="X1033" s="11">
        <f>IF(J1033="","",IF(T1033="",0,S1033*INDEX(Products!$H$5:$H$204,T1033)))</f>
        <v/>
      </c>
      <c r="Y1033" s="11">
        <f>IF(J1033="","",S1033-V1033-W1033-X1033)</f>
        <v/>
      </c>
    </row>
    <row r="1034">
      <c r="A1034" s="19" t="n"/>
      <c r="B1034" s="19" t="n"/>
      <c r="C1034" s="19" t="n"/>
      <c r="D1034" s="19" t="n"/>
      <c r="E1034" s="19" t="n"/>
      <c r="F1034" s="20" t="n"/>
      <c r="G1034" s="20" t="n"/>
      <c r="H1034" s="20" t="n"/>
      <c r="I1034" s="19" t="n"/>
      <c r="J1034">
        <f>IFERROR(IF(C1034="","",C1034)&amp;"","")</f>
        <v/>
      </c>
      <c r="K1034">
        <f>IFERROR(IF(D1034="","",D1034)&amp;"","")</f>
        <v/>
      </c>
      <c r="L1034">
        <f>IFERROR(IF(I1034="","",I1034)&amp;"","")</f>
        <v/>
      </c>
      <c r="M1034">
        <f>IF(J1034="","",IFERROR(VALUE(SUBSTITUTE(SUBSTITUTE(IF(E1034="","",E1034)&amp;"","$",""),",","")),0))</f>
        <v/>
      </c>
      <c r="N1034" s="11">
        <f>IF(J1034="","",IFERROR(VALUE(SUBSTITUTE(SUBSTITUTE(IF(F1034="","",F1034)&amp;"","$",""),",","")),0))</f>
        <v/>
      </c>
      <c r="O1034" s="11">
        <f>IF(J1034="","",M1034*N1034)</f>
        <v/>
      </c>
      <c r="P1034">
        <f>IF(J1034="","",IF(L1034="",1,COUNTIF($L$2:$L$1501,L1034)))</f>
        <v/>
      </c>
      <c r="Q1034" s="11">
        <f>IF(J1034="","",IFERROR(VALUE(SUBSTITUTE(SUBSTITUTE(IF(G1034="","",G1034)&amp;"","$",""),",","")),0)/IF("No"="Yes",P1034,1))</f>
        <v/>
      </c>
      <c r="R1034" s="11">
        <f>IF(J1034="","",IFERROR(VALUE(SUBSTITUTE(SUBSTITUTE(IF(H1034="","",H1034)&amp;"","$",""),",","")),0)/IF("No"="Yes",P1034,1))</f>
        <v/>
      </c>
      <c r="S1034" s="11">
        <f>IF(J1034="","",O1034+Q1034-R1034)</f>
        <v/>
      </c>
      <c r="T1034">
        <f>IF(J1034="","",IFERROR(IF(K1034="",NA(),MATCH(K1034,Products!$B$5:$B$204,0)),IFERROR(MATCH(J1034,Products!$A$5:$A$204,0),"")))</f>
        <v/>
      </c>
      <c r="U1034">
        <f>IF(J1034="","",IF(T1034="","⚠ not in Products",INDEX(Products!$A$5:$A$204,T1034)))</f>
        <v/>
      </c>
      <c r="V1034" s="11">
        <f>IF(J1034="","",S1034*(IFERROR(INDEX(Settings!$B$5:$B$9,MATCH($B1034,Settings!$A$5:$A$9,0)),0)+IFERROR(INDEX(Settings!$E$5:$E$9,MATCH($B1034,Settings!$A$5:$A$9,0)),0)+IFERROR(INDEX(Settings!$G$5:$G$9,MATCH($B1034,Settings!$A$5:$A$9,0)),0))+(IFERROR(INDEX(Settings!$C$5:$C$9,MATCH($B1034,Settings!$A$5:$A$9,0)),0)+IFERROR(INDEX(Settings!$F$5:$F$9,MATCH($B1034,Settings!$A$5:$A$9,0)),0))/P1034+IFERROR(INDEX(Settings!$D$5:$D$9,MATCH($B1034,Settings!$A$5:$A$9,0)),0)*M1034)</f>
        <v/>
      </c>
      <c r="W1034" s="11">
        <f>IF(J1034="","",IF(T1034="",0,M1034*INDEX(Products!$I$5:$I$204,T1034)))</f>
        <v/>
      </c>
      <c r="X1034" s="11">
        <f>IF(J1034="","",IF(T1034="",0,S1034*INDEX(Products!$H$5:$H$204,T1034)))</f>
        <v/>
      </c>
      <c r="Y1034" s="11">
        <f>IF(J1034="","",S1034-V1034-W1034-X1034)</f>
        <v/>
      </c>
    </row>
    <row r="1035">
      <c r="A1035" s="19" t="n"/>
      <c r="B1035" s="19" t="n"/>
      <c r="C1035" s="19" t="n"/>
      <c r="D1035" s="19" t="n"/>
      <c r="E1035" s="19" t="n"/>
      <c r="F1035" s="20" t="n"/>
      <c r="G1035" s="20" t="n"/>
      <c r="H1035" s="20" t="n"/>
      <c r="I1035" s="19" t="n"/>
      <c r="J1035">
        <f>IFERROR(IF(C1035="","",C1035)&amp;"","")</f>
        <v/>
      </c>
      <c r="K1035">
        <f>IFERROR(IF(D1035="","",D1035)&amp;"","")</f>
        <v/>
      </c>
      <c r="L1035">
        <f>IFERROR(IF(I1035="","",I1035)&amp;"","")</f>
        <v/>
      </c>
      <c r="M1035">
        <f>IF(J1035="","",IFERROR(VALUE(SUBSTITUTE(SUBSTITUTE(IF(E1035="","",E1035)&amp;"","$",""),",","")),0))</f>
        <v/>
      </c>
      <c r="N1035" s="11">
        <f>IF(J1035="","",IFERROR(VALUE(SUBSTITUTE(SUBSTITUTE(IF(F1035="","",F1035)&amp;"","$",""),",","")),0))</f>
        <v/>
      </c>
      <c r="O1035" s="11">
        <f>IF(J1035="","",M1035*N1035)</f>
        <v/>
      </c>
      <c r="P1035">
        <f>IF(J1035="","",IF(L1035="",1,COUNTIF($L$2:$L$1501,L1035)))</f>
        <v/>
      </c>
      <c r="Q1035" s="11">
        <f>IF(J1035="","",IFERROR(VALUE(SUBSTITUTE(SUBSTITUTE(IF(G1035="","",G1035)&amp;"","$",""),",","")),0)/IF("No"="Yes",P1035,1))</f>
        <v/>
      </c>
      <c r="R1035" s="11">
        <f>IF(J1035="","",IFERROR(VALUE(SUBSTITUTE(SUBSTITUTE(IF(H1035="","",H1035)&amp;"","$",""),",","")),0)/IF("No"="Yes",P1035,1))</f>
        <v/>
      </c>
      <c r="S1035" s="11">
        <f>IF(J1035="","",O1035+Q1035-R1035)</f>
        <v/>
      </c>
      <c r="T1035">
        <f>IF(J1035="","",IFERROR(IF(K1035="",NA(),MATCH(K1035,Products!$B$5:$B$204,0)),IFERROR(MATCH(J1035,Products!$A$5:$A$204,0),"")))</f>
        <v/>
      </c>
      <c r="U1035">
        <f>IF(J1035="","",IF(T1035="","⚠ not in Products",INDEX(Products!$A$5:$A$204,T1035)))</f>
        <v/>
      </c>
      <c r="V1035" s="11">
        <f>IF(J1035="","",S1035*(IFERROR(INDEX(Settings!$B$5:$B$9,MATCH($B1035,Settings!$A$5:$A$9,0)),0)+IFERROR(INDEX(Settings!$E$5:$E$9,MATCH($B1035,Settings!$A$5:$A$9,0)),0)+IFERROR(INDEX(Settings!$G$5:$G$9,MATCH($B1035,Settings!$A$5:$A$9,0)),0))+(IFERROR(INDEX(Settings!$C$5:$C$9,MATCH($B1035,Settings!$A$5:$A$9,0)),0)+IFERROR(INDEX(Settings!$F$5:$F$9,MATCH($B1035,Settings!$A$5:$A$9,0)),0))/P1035+IFERROR(INDEX(Settings!$D$5:$D$9,MATCH($B1035,Settings!$A$5:$A$9,0)),0)*M1035)</f>
        <v/>
      </c>
      <c r="W1035" s="11">
        <f>IF(J1035="","",IF(T1035="",0,M1035*INDEX(Products!$I$5:$I$204,T1035)))</f>
        <v/>
      </c>
      <c r="X1035" s="11">
        <f>IF(J1035="","",IF(T1035="",0,S1035*INDEX(Products!$H$5:$H$204,T1035)))</f>
        <v/>
      </c>
      <c r="Y1035" s="11">
        <f>IF(J1035="","",S1035-V1035-W1035-X1035)</f>
        <v/>
      </c>
    </row>
    <row r="1036">
      <c r="A1036" s="19" t="n"/>
      <c r="B1036" s="19" t="n"/>
      <c r="C1036" s="19" t="n"/>
      <c r="D1036" s="19" t="n"/>
      <c r="E1036" s="19" t="n"/>
      <c r="F1036" s="20" t="n"/>
      <c r="G1036" s="20" t="n"/>
      <c r="H1036" s="20" t="n"/>
      <c r="I1036" s="19" t="n"/>
      <c r="J1036">
        <f>IFERROR(IF(C1036="","",C1036)&amp;"","")</f>
        <v/>
      </c>
      <c r="K1036">
        <f>IFERROR(IF(D1036="","",D1036)&amp;"","")</f>
        <v/>
      </c>
      <c r="L1036">
        <f>IFERROR(IF(I1036="","",I1036)&amp;"","")</f>
        <v/>
      </c>
      <c r="M1036">
        <f>IF(J1036="","",IFERROR(VALUE(SUBSTITUTE(SUBSTITUTE(IF(E1036="","",E1036)&amp;"","$",""),",","")),0))</f>
        <v/>
      </c>
      <c r="N1036" s="11">
        <f>IF(J1036="","",IFERROR(VALUE(SUBSTITUTE(SUBSTITUTE(IF(F1036="","",F1036)&amp;"","$",""),",","")),0))</f>
        <v/>
      </c>
      <c r="O1036" s="11">
        <f>IF(J1036="","",M1036*N1036)</f>
        <v/>
      </c>
      <c r="P1036">
        <f>IF(J1036="","",IF(L1036="",1,COUNTIF($L$2:$L$1501,L1036)))</f>
        <v/>
      </c>
      <c r="Q1036" s="11">
        <f>IF(J1036="","",IFERROR(VALUE(SUBSTITUTE(SUBSTITUTE(IF(G1036="","",G1036)&amp;"","$",""),",","")),0)/IF("No"="Yes",P1036,1))</f>
        <v/>
      </c>
      <c r="R1036" s="11">
        <f>IF(J1036="","",IFERROR(VALUE(SUBSTITUTE(SUBSTITUTE(IF(H1036="","",H1036)&amp;"","$",""),",","")),0)/IF("No"="Yes",P1036,1))</f>
        <v/>
      </c>
      <c r="S1036" s="11">
        <f>IF(J1036="","",O1036+Q1036-R1036)</f>
        <v/>
      </c>
      <c r="T1036">
        <f>IF(J1036="","",IFERROR(IF(K1036="",NA(),MATCH(K1036,Products!$B$5:$B$204,0)),IFERROR(MATCH(J1036,Products!$A$5:$A$204,0),"")))</f>
        <v/>
      </c>
      <c r="U1036">
        <f>IF(J1036="","",IF(T1036="","⚠ not in Products",INDEX(Products!$A$5:$A$204,T1036)))</f>
        <v/>
      </c>
      <c r="V1036" s="11">
        <f>IF(J1036="","",S1036*(IFERROR(INDEX(Settings!$B$5:$B$9,MATCH($B1036,Settings!$A$5:$A$9,0)),0)+IFERROR(INDEX(Settings!$E$5:$E$9,MATCH($B1036,Settings!$A$5:$A$9,0)),0)+IFERROR(INDEX(Settings!$G$5:$G$9,MATCH($B1036,Settings!$A$5:$A$9,0)),0))+(IFERROR(INDEX(Settings!$C$5:$C$9,MATCH($B1036,Settings!$A$5:$A$9,0)),0)+IFERROR(INDEX(Settings!$F$5:$F$9,MATCH($B1036,Settings!$A$5:$A$9,0)),0))/P1036+IFERROR(INDEX(Settings!$D$5:$D$9,MATCH($B1036,Settings!$A$5:$A$9,0)),0)*M1036)</f>
        <v/>
      </c>
      <c r="W1036" s="11">
        <f>IF(J1036="","",IF(T1036="",0,M1036*INDEX(Products!$I$5:$I$204,T1036)))</f>
        <v/>
      </c>
      <c r="X1036" s="11">
        <f>IF(J1036="","",IF(T1036="",0,S1036*INDEX(Products!$H$5:$H$204,T1036)))</f>
        <v/>
      </c>
      <c r="Y1036" s="11">
        <f>IF(J1036="","",S1036-V1036-W1036-X1036)</f>
        <v/>
      </c>
    </row>
    <row r="1037">
      <c r="A1037" s="19" t="n"/>
      <c r="B1037" s="19" t="n"/>
      <c r="C1037" s="19" t="n"/>
      <c r="D1037" s="19" t="n"/>
      <c r="E1037" s="19" t="n"/>
      <c r="F1037" s="20" t="n"/>
      <c r="G1037" s="20" t="n"/>
      <c r="H1037" s="20" t="n"/>
      <c r="I1037" s="19" t="n"/>
      <c r="J1037">
        <f>IFERROR(IF(C1037="","",C1037)&amp;"","")</f>
        <v/>
      </c>
      <c r="K1037">
        <f>IFERROR(IF(D1037="","",D1037)&amp;"","")</f>
        <v/>
      </c>
      <c r="L1037">
        <f>IFERROR(IF(I1037="","",I1037)&amp;"","")</f>
        <v/>
      </c>
      <c r="M1037">
        <f>IF(J1037="","",IFERROR(VALUE(SUBSTITUTE(SUBSTITUTE(IF(E1037="","",E1037)&amp;"","$",""),",","")),0))</f>
        <v/>
      </c>
      <c r="N1037" s="11">
        <f>IF(J1037="","",IFERROR(VALUE(SUBSTITUTE(SUBSTITUTE(IF(F1037="","",F1037)&amp;"","$",""),",","")),0))</f>
        <v/>
      </c>
      <c r="O1037" s="11">
        <f>IF(J1037="","",M1037*N1037)</f>
        <v/>
      </c>
      <c r="P1037">
        <f>IF(J1037="","",IF(L1037="",1,COUNTIF($L$2:$L$1501,L1037)))</f>
        <v/>
      </c>
      <c r="Q1037" s="11">
        <f>IF(J1037="","",IFERROR(VALUE(SUBSTITUTE(SUBSTITUTE(IF(G1037="","",G1037)&amp;"","$",""),",","")),0)/IF("No"="Yes",P1037,1))</f>
        <v/>
      </c>
      <c r="R1037" s="11">
        <f>IF(J1037="","",IFERROR(VALUE(SUBSTITUTE(SUBSTITUTE(IF(H1037="","",H1037)&amp;"","$",""),",","")),0)/IF("No"="Yes",P1037,1))</f>
        <v/>
      </c>
      <c r="S1037" s="11">
        <f>IF(J1037="","",O1037+Q1037-R1037)</f>
        <v/>
      </c>
      <c r="T1037">
        <f>IF(J1037="","",IFERROR(IF(K1037="",NA(),MATCH(K1037,Products!$B$5:$B$204,0)),IFERROR(MATCH(J1037,Products!$A$5:$A$204,0),"")))</f>
        <v/>
      </c>
      <c r="U1037">
        <f>IF(J1037="","",IF(T1037="","⚠ not in Products",INDEX(Products!$A$5:$A$204,T1037)))</f>
        <v/>
      </c>
      <c r="V1037" s="11">
        <f>IF(J1037="","",S1037*(IFERROR(INDEX(Settings!$B$5:$B$9,MATCH($B1037,Settings!$A$5:$A$9,0)),0)+IFERROR(INDEX(Settings!$E$5:$E$9,MATCH($B1037,Settings!$A$5:$A$9,0)),0)+IFERROR(INDEX(Settings!$G$5:$G$9,MATCH($B1037,Settings!$A$5:$A$9,0)),0))+(IFERROR(INDEX(Settings!$C$5:$C$9,MATCH($B1037,Settings!$A$5:$A$9,0)),0)+IFERROR(INDEX(Settings!$F$5:$F$9,MATCH($B1037,Settings!$A$5:$A$9,0)),0))/P1037+IFERROR(INDEX(Settings!$D$5:$D$9,MATCH($B1037,Settings!$A$5:$A$9,0)),0)*M1037)</f>
        <v/>
      </c>
      <c r="W1037" s="11">
        <f>IF(J1037="","",IF(T1037="",0,M1037*INDEX(Products!$I$5:$I$204,T1037)))</f>
        <v/>
      </c>
      <c r="X1037" s="11">
        <f>IF(J1037="","",IF(T1037="",0,S1037*INDEX(Products!$H$5:$H$204,T1037)))</f>
        <v/>
      </c>
      <c r="Y1037" s="11">
        <f>IF(J1037="","",S1037-V1037-W1037-X1037)</f>
        <v/>
      </c>
    </row>
    <row r="1038">
      <c r="A1038" s="19" t="n"/>
      <c r="B1038" s="19" t="n"/>
      <c r="C1038" s="19" t="n"/>
      <c r="D1038" s="19" t="n"/>
      <c r="E1038" s="19" t="n"/>
      <c r="F1038" s="20" t="n"/>
      <c r="G1038" s="20" t="n"/>
      <c r="H1038" s="20" t="n"/>
      <c r="I1038" s="19" t="n"/>
      <c r="J1038">
        <f>IFERROR(IF(C1038="","",C1038)&amp;"","")</f>
        <v/>
      </c>
      <c r="K1038">
        <f>IFERROR(IF(D1038="","",D1038)&amp;"","")</f>
        <v/>
      </c>
      <c r="L1038">
        <f>IFERROR(IF(I1038="","",I1038)&amp;"","")</f>
        <v/>
      </c>
      <c r="M1038">
        <f>IF(J1038="","",IFERROR(VALUE(SUBSTITUTE(SUBSTITUTE(IF(E1038="","",E1038)&amp;"","$",""),",","")),0))</f>
        <v/>
      </c>
      <c r="N1038" s="11">
        <f>IF(J1038="","",IFERROR(VALUE(SUBSTITUTE(SUBSTITUTE(IF(F1038="","",F1038)&amp;"","$",""),",","")),0))</f>
        <v/>
      </c>
      <c r="O1038" s="11">
        <f>IF(J1038="","",M1038*N1038)</f>
        <v/>
      </c>
      <c r="P1038">
        <f>IF(J1038="","",IF(L1038="",1,COUNTIF($L$2:$L$1501,L1038)))</f>
        <v/>
      </c>
      <c r="Q1038" s="11">
        <f>IF(J1038="","",IFERROR(VALUE(SUBSTITUTE(SUBSTITUTE(IF(G1038="","",G1038)&amp;"","$",""),",","")),0)/IF("No"="Yes",P1038,1))</f>
        <v/>
      </c>
      <c r="R1038" s="11">
        <f>IF(J1038="","",IFERROR(VALUE(SUBSTITUTE(SUBSTITUTE(IF(H1038="","",H1038)&amp;"","$",""),",","")),0)/IF("No"="Yes",P1038,1))</f>
        <v/>
      </c>
      <c r="S1038" s="11">
        <f>IF(J1038="","",O1038+Q1038-R1038)</f>
        <v/>
      </c>
      <c r="T1038">
        <f>IF(J1038="","",IFERROR(IF(K1038="",NA(),MATCH(K1038,Products!$B$5:$B$204,0)),IFERROR(MATCH(J1038,Products!$A$5:$A$204,0),"")))</f>
        <v/>
      </c>
      <c r="U1038">
        <f>IF(J1038="","",IF(T1038="","⚠ not in Products",INDEX(Products!$A$5:$A$204,T1038)))</f>
        <v/>
      </c>
      <c r="V1038" s="11">
        <f>IF(J1038="","",S1038*(IFERROR(INDEX(Settings!$B$5:$B$9,MATCH($B1038,Settings!$A$5:$A$9,0)),0)+IFERROR(INDEX(Settings!$E$5:$E$9,MATCH($B1038,Settings!$A$5:$A$9,0)),0)+IFERROR(INDEX(Settings!$G$5:$G$9,MATCH($B1038,Settings!$A$5:$A$9,0)),0))+(IFERROR(INDEX(Settings!$C$5:$C$9,MATCH($B1038,Settings!$A$5:$A$9,0)),0)+IFERROR(INDEX(Settings!$F$5:$F$9,MATCH($B1038,Settings!$A$5:$A$9,0)),0))/P1038+IFERROR(INDEX(Settings!$D$5:$D$9,MATCH($B1038,Settings!$A$5:$A$9,0)),0)*M1038)</f>
        <v/>
      </c>
      <c r="W1038" s="11">
        <f>IF(J1038="","",IF(T1038="",0,M1038*INDEX(Products!$I$5:$I$204,T1038)))</f>
        <v/>
      </c>
      <c r="X1038" s="11">
        <f>IF(J1038="","",IF(T1038="",0,S1038*INDEX(Products!$H$5:$H$204,T1038)))</f>
        <v/>
      </c>
      <c r="Y1038" s="11">
        <f>IF(J1038="","",S1038-V1038-W1038-X1038)</f>
        <v/>
      </c>
    </row>
    <row r="1039">
      <c r="A1039" s="19" t="n"/>
      <c r="B1039" s="19" t="n"/>
      <c r="C1039" s="19" t="n"/>
      <c r="D1039" s="19" t="n"/>
      <c r="E1039" s="19" t="n"/>
      <c r="F1039" s="20" t="n"/>
      <c r="G1039" s="20" t="n"/>
      <c r="H1039" s="20" t="n"/>
      <c r="I1039" s="19" t="n"/>
      <c r="J1039">
        <f>IFERROR(IF(C1039="","",C1039)&amp;"","")</f>
        <v/>
      </c>
      <c r="K1039">
        <f>IFERROR(IF(D1039="","",D1039)&amp;"","")</f>
        <v/>
      </c>
      <c r="L1039">
        <f>IFERROR(IF(I1039="","",I1039)&amp;"","")</f>
        <v/>
      </c>
      <c r="M1039">
        <f>IF(J1039="","",IFERROR(VALUE(SUBSTITUTE(SUBSTITUTE(IF(E1039="","",E1039)&amp;"","$",""),",","")),0))</f>
        <v/>
      </c>
      <c r="N1039" s="11">
        <f>IF(J1039="","",IFERROR(VALUE(SUBSTITUTE(SUBSTITUTE(IF(F1039="","",F1039)&amp;"","$",""),",","")),0))</f>
        <v/>
      </c>
      <c r="O1039" s="11">
        <f>IF(J1039="","",M1039*N1039)</f>
        <v/>
      </c>
      <c r="P1039">
        <f>IF(J1039="","",IF(L1039="",1,COUNTIF($L$2:$L$1501,L1039)))</f>
        <v/>
      </c>
      <c r="Q1039" s="11">
        <f>IF(J1039="","",IFERROR(VALUE(SUBSTITUTE(SUBSTITUTE(IF(G1039="","",G1039)&amp;"","$",""),",","")),0)/IF("No"="Yes",P1039,1))</f>
        <v/>
      </c>
      <c r="R1039" s="11">
        <f>IF(J1039="","",IFERROR(VALUE(SUBSTITUTE(SUBSTITUTE(IF(H1039="","",H1039)&amp;"","$",""),",","")),0)/IF("No"="Yes",P1039,1))</f>
        <v/>
      </c>
      <c r="S1039" s="11">
        <f>IF(J1039="","",O1039+Q1039-R1039)</f>
        <v/>
      </c>
      <c r="T1039">
        <f>IF(J1039="","",IFERROR(IF(K1039="",NA(),MATCH(K1039,Products!$B$5:$B$204,0)),IFERROR(MATCH(J1039,Products!$A$5:$A$204,0),"")))</f>
        <v/>
      </c>
      <c r="U1039">
        <f>IF(J1039="","",IF(T1039="","⚠ not in Products",INDEX(Products!$A$5:$A$204,T1039)))</f>
        <v/>
      </c>
      <c r="V1039" s="11">
        <f>IF(J1039="","",S1039*(IFERROR(INDEX(Settings!$B$5:$B$9,MATCH($B1039,Settings!$A$5:$A$9,0)),0)+IFERROR(INDEX(Settings!$E$5:$E$9,MATCH($B1039,Settings!$A$5:$A$9,0)),0)+IFERROR(INDEX(Settings!$G$5:$G$9,MATCH($B1039,Settings!$A$5:$A$9,0)),0))+(IFERROR(INDEX(Settings!$C$5:$C$9,MATCH($B1039,Settings!$A$5:$A$9,0)),0)+IFERROR(INDEX(Settings!$F$5:$F$9,MATCH($B1039,Settings!$A$5:$A$9,0)),0))/P1039+IFERROR(INDEX(Settings!$D$5:$D$9,MATCH($B1039,Settings!$A$5:$A$9,0)),0)*M1039)</f>
        <v/>
      </c>
      <c r="W1039" s="11">
        <f>IF(J1039="","",IF(T1039="",0,M1039*INDEX(Products!$I$5:$I$204,T1039)))</f>
        <v/>
      </c>
      <c r="X1039" s="11">
        <f>IF(J1039="","",IF(T1039="",0,S1039*INDEX(Products!$H$5:$H$204,T1039)))</f>
        <v/>
      </c>
      <c r="Y1039" s="11">
        <f>IF(J1039="","",S1039-V1039-W1039-X1039)</f>
        <v/>
      </c>
    </row>
    <row r="1040">
      <c r="A1040" s="19" t="n"/>
      <c r="B1040" s="19" t="n"/>
      <c r="C1040" s="19" t="n"/>
      <c r="D1040" s="19" t="n"/>
      <c r="E1040" s="19" t="n"/>
      <c r="F1040" s="20" t="n"/>
      <c r="G1040" s="20" t="n"/>
      <c r="H1040" s="20" t="n"/>
      <c r="I1040" s="19" t="n"/>
      <c r="J1040">
        <f>IFERROR(IF(C1040="","",C1040)&amp;"","")</f>
        <v/>
      </c>
      <c r="K1040">
        <f>IFERROR(IF(D1040="","",D1040)&amp;"","")</f>
        <v/>
      </c>
      <c r="L1040">
        <f>IFERROR(IF(I1040="","",I1040)&amp;"","")</f>
        <v/>
      </c>
      <c r="M1040">
        <f>IF(J1040="","",IFERROR(VALUE(SUBSTITUTE(SUBSTITUTE(IF(E1040="","",E1040)&amp;"","$",""),",","")),0))</f>
        <v/>
      </c>
      <c r="N1040" s="11">
        <f>IF(J1040="","",IFERROR(VALUE(SUBSTITUTE(SUBSTITUTE(IF(F1040="","",F1040)&amp;"","$",""),",","")),0))</f>
        <v/>
      </c>
      <c r="O1040" s="11">
        <f>IF(J1040="","",M1040*N1040)</f>
        <v/>
      </c>
      <c r="P1040">
        <f>IF(J1040="","",IF(L1040="",1,COUNTIF($L$2:$L$1501,L1040)))</f>
        <v/>
      </c>
      <c r="Q1040" s="11">
        <f>IF(J1040="","",IFERROR(VALUE(SUBSTITUTE(SUBSTITUTE(IF(G1040="","",G1040)&amp;"","$",""),",","")),0)/IF("No"="Yes",P1040,1))</f>
        <v/>
      </c>
      <c r="R1040" s="11">
        <f>IF(J1040="","",IFERROR(VALUE(SUBSTITUTE(SUBSTITUTE(IF(H1040="","",H1040)&amp;"","$",""),",","")),0)/IF("No"="Yes",P1040,1))</f>
        <v/>
      </c>
      <c r="S1040" s="11">
        <f>IF(J1040="","",O1040+Q1040-R1040)</f>
        <v/>
      </c>
      <c r="T1040">
        <f>IF(J1040="","",IFERROR(IF(K1040="",NA(),MATCH(K1040,Products!$B$5:$B$204,0)),IFERROR(MATCH(J1040,Products!$A$5:$A$204,0),"")))</f>
        <v/>
      </c>
      <c r="U1040">
        <f>IF(J1040="","",IF(T1040="","⚠ not in Products",INDEX(Products!$A$5:$A$204,T1040)))</f>
        <v/>
      </c>
      <c r="V1040" s="11">
        <f>IF(J1040="","",S1040*(IFERROR(INDEX(Settings!$B$5:$B$9,MATCH($B1040,Settings!$A$5:$A$9,0)),0)+IFERROR(INDEX(Settings!$E$5:$E$9,MATCH($B1040,Settings!$A$5:$A$9,0)),0)+IFERROR(INDEX(Settings!$G$5:$G$9,MATCH($B1040,Settings!$A$5:$A$9,0)),0))+(IFERROR(INDEX(Settings!$C$5:$C$9,MATCH($B1040,Settings!$A$5:$A$9,0)),0)+IFERROR(INDEX(Settings!$F$5:$F$9,MATCH($B1040,Settings!$A$5:$A$9,0)),0))/P1040+IFERROR(INDEX(Settings!$D$5:$D$9,MATCH($B1040,Settings!$A$5:$A$9,0)),0)*M1040)</f>
        <v/>
      </c>
      <c r="W1040" s="11">
        <f>IF(J1040="","",IF(T1040="",0,M1040*INDEX(Products!$I$5:$I$204,T1040)))</f>
        <v/>
      </c>
      <c r="X1040" s="11">
        <f>IF(J1040="","",IF(T1040="",0,S1040*INDEX(Products!$H$5:$H$204,T1040)))</f>
        <v/>
      </c>
      <c r="Y1040" s="11">
        <f>IF(J1040="","",S1040-V1040-W1040-X1040)</f>
        <v/>
      </c>
    </row>
    <row r="1041">
      <c r="A1041" s="19" t="n"/>
      <c r="B1041" s="19" t="n"/>
      <c r="C1041" s="19" t="n"/>
      <c r="D1041" s="19" t="n"/>
      <c r="E1041" s="19" t="n"/>
      <c r="F1041" s="20" t="n"/>
      <c r="G1041" s="20" t="n"/>
      <c r="H1041" s="20" t="n"/>
      <c r="I1041" s="19" t="n"/>
      <c r="J1041">
        <f>IFERROR(IF(C1041="","",C1041)&amp;"","")</f>
        <v/>
      </c>
      <c r="K1041">
        <f>IFERROR(IF(D1041="","",D1041)&amp;"","")</f>
        <v/>
      </c>
      <c r="L1041">
        <f>IFERROR(IF(I1041="","",I1041)&amp;"","")</f>
        <v/>
      </c>
      <c r="M1041">
        <f>IF(J1041="","",IFERROR(VALUE(SUBSTITUTE(SUBSTITUTE(IF(E1041="","",E1041)&amp;"","$",""),",","")),0))</f>
        <v/>
      </c>
      <c r="N1041" s="11">
        <f>IF(J1041="","",IFERROR(VALUE(SUBSTITUTE(SUBSTITUTE(IF(F1041="","",F1041)&amp;"","$",""),",","")),0))</f>
        <v/>
      </c>
      <c r="O1041" s="11">
        <f>IF(J1041="","",M1041*N1041)</f>
        <v/>
      </c>
      <c r="P1041">
        <f>IF(J1041="","",IF(L1041="",1,COUNTIF($L$2:$L$1501,L1041)))</f>
        <v/>
      </c>
      <c r="Q1041" s="11">
        <f>IF(J1041="","",IFERROR(VALUE(SUBSTITUTE(SUBSTITUTE(IF(G1041="","",G1041)&amp;"","$",""),",","")),0)/IF("No"="Yes",P1041,1))</f>
        <v/>
      </c>
      <c r="R1041" s="11">
        <f>IF(J1041="","",IFERROR(VALUE(SUBSTITUTE(SUBSTITUTE(IF(H1041="","",H1041)&amp;"","$",""),",","")),0)/IF("No"="Yes",P1041,1))</f>
        <v/>
      </c>
      <c r="S1041" s="11">
        <f>IF(J1041="","",O1041+Q1041-R1041)</f>
        <v/>
      </c>
      <c r="T1041">
        <f>IF(J1041="","",IFERROR(IF(K1041="",NA(),MATCH(K1041,Products!$B$5:$B$204,0)),IFERROR(MATCH(J1041,Products!$A$5:$A$204,0),"")))</f>
        <v/>
      </c>
      <c r="U1041">
        <f>IF(J1041="","",IF(T1041="","⚠ not in Products",INDEX(Products!$A$5:$A$204,T1041)))</f>
        <v/>
      </c>
      <c r="V1041" s="11">
        <f>IF(J1041="","",S1041*(IFERROR(INDEX(Settings!$B$5:$B$9,MATCH($B1041,Settings!$A$5:$A$9,0)),0)+IFERROR(INDEX(Settings!$E$5:$E$9,MATCH($B1041,Settings!$A$5:$A$9,0)),0)+IFERROR(INDEX(Settings!$G$5:$G$9,MATCH($B1041,Settings!$A$5:$A$9,0)),0))+(IFERROR(INDEX(Settings!$C$5:$C$9,MATCH($B1041,Settings!$A$5:$A$9,0)),0)+IFERROR(INDEX(Settings!$F$5:$F$9,MATCH($B1041,Settings!$A$5:$A$9,0)),0))/P1041+IFERROR(INDEX(Settings!$D$5:$D$9,MATCH($B1041,Settings!$A$5:$A$9,0)),0)*M1041)</f>
        <v/>
      </c>
      <c r="W1041" s="11">
        <f>IF(J1041="","",IF(T1041="",0,M1041*INDEX(Products!$I$5:$I$204,T1041)))</f>
        <v/>
      </c>
      <c r="X1041" s="11">
        <f>IF(J1041="","",IF(T1041="",0,S1041*INDEX(Products!$H$5:$H$204,T1041)))</f>
        <v/>
      </c>
      <c r="Y1041" s="11">
        <f>IF(J1041="","",S1041-V1041-W1041-X1041)</f>
        <v/>
      </c>
    </row>
    <row r="1042">
      <c r="A1042" s="19" t="n"/>
      <c r="B1042" s="19" t="n"/>
      <c r="C1042" s="19" t="n"/>
      <c r="D1042" s="19" t="n"/>
      <c r="E1042" s="19" t="n"/>
      <c r="F1042" s="20" t="n"/>
      <c r="G1042" s="20" t="n"/>
      <c r="H1042" s="20" t="n"/>
      <c r="I1042" s="19" t="n"/>
      <c r="J1042">
        <f>IFERROR(IF(C1042="","",C1042)&amp;"","")</f>
        <v/>
      </c>
      <c r="K1042">
        <f>IFERROR(IF(D1042="","",D1042)&amp;"","")</f>
        <v/>
      </c>
      <c r="L1042">
        <f>IFERROR(IF(I1042="","",I1042)&amp;"","")</f>
        <v/>
      </c>
      <c r="M1042">
        <f>IF(J1042="","",IFERROR(VALUE(SUBSTITUTE(SUBSTITUTE(IF(E1042="","",E1042)&amp;"","$",""),",","")),0))</f>
        <v/>
      </c>
      <c r="N1042" s="11">
        <f>IF(J1042="","",IFERROR(VALUE(SUBSTITUTE(SUBSTITUTE(IF(F1042="","",F1042)&amp;"","$",""),",","")),0))</f>
        <v/>
      </c>
      <c r="O1042" s="11">
        <f>IF(J1042="","",M1042*N1042)</f>
        <v/>
      </c>
      <c r="P1042">
        <f>IF(J1042="","",IF(L1042="",1,COUNTIF($L$2:$L$1501,L1042)))</f>
        <v/>
      </c>
      <c r="Q1042" s="11">
        <f>IF(J1042="","",IFERROR(VALUE(SUBSTITUTE(SUBSTITUTE(IF(G1042="","",G1042)&amp;"","$",""),",","")),0)/IF("No"="Yes",P1042,1))</f>
        <v/>
      </c>
      <c r="R1042" s="11">
        <f>IF(J1042="","",IFERROR(VALUE(SUBSTITUTE(SUBSTITUTE(IF(H1042="","",H1042)&amp;"","$",""),",","")),0)/IF("No"="Yes",P1042,1))</f>
        <v/>
      </c>
      <c r="S1042" s="11">
        <f>IF(J1042="","",O1042+Q1042-R1042)</f>
        <v/>
      </c>
      <c r="T1042">
        <f>IF(J1042="","",IFERROR(IF(K1042="",NA(),MATCH(K1042,Products!$B$5:$B$204,0)),IFERROR(MATCH(J1042,Products!$A$5:$A$204,0),"")))</f>
        <v/>
      </c>
      <c r="U1042">
        <f>IF(J1042="","",IF(T1042="","⚠ not in Products",INDEX(Products!$A$5:$A$204,T1042)))</f>
        <v/>
      </c>
      <c r="V1042" s="11">
        <f>IF(J1042="","",S1042*(IFERROR(INDEX(Settings!$B$5:$B$9,MATCH($B1042,Settings!$A$5:$A$9,0)),0)+IFERROR(INDEX(Settings!$E$5:$E$9,MATCH($B1042,Settings!$A$5:$A$9,0)),0)+IFERROR(INDEX(Settings!$G$5:$G$9,MATCH($B1042,Settings!$A$5:$A$9,0)),0))+(IFERROR(INDEX(Settings!$C$5:$C$9,MATCH($B1042,Settings!$A$5:$A$9,0)),0)+IFERROR(INDEX(Settings!$F$5:$F$9,MATCH($B1042,Settings!$A$5:$A$9,0)),0))/P1042+IFERROR(INDEX(Settings!$D$5:$D$9,MATCH($B1042,Settings!$A$5:$A$9,0)),0)*M1042)</f>
        <v/>
      </c>
      <c r="W1042" s="11">
        <f>IF(J1042="","",IF(T1042="",0,M1042*INDEX(Products!$I$5:$I$204,T1042)))</f>
        <v/>
      </c>
      <c r="X1042" s="11">
        <f>IF(J1042="","",IF(T1042="",0,S1042*INDEX(Products!$H$5:$H$204,T1042)))</f>
        <v/>
      </c>
      <c r="Y1042" s="11">
        <f>IF(J1042="","",S1042-V1042-W1042-X1042)</f>
        <v/>
      </c>
    </row>
    <row r="1043">
      <c r="A1043" s="19" t="n"/>
      <c r="B1043" s="19" t="n"/>
      <c r="C1043" s="19" t="n"/>
      <c r="D1043" s="19" t="n"/>
      <c r="E1043" s="19" t="n"/>
      <c r="F1043" s="20" t="n"/>
      <c r="G1043" s="20" t="n"/>
      <c r="H1043" s="20" t="n"/>
      <c r="I1043" s="19" t="n"/>
      <c r="J1043">
        <f>IFERROR(IF(C1043="","",C1043)&amp;"","")</f>
        <v/>
      </c>
      <c r="K1043">
        <f>IFERROR(IF(D1043="","",D1043)&amp;"","")</f>
        <v/>
      </c>
      <c r="L1043">
        <f>IFERROR(IF(I1043="","",I1043)&amp;"","")</f>
        <v/>
      </c>
      <c r="M1043">
        <f>IF(J1043="","",IFERROR(VALUE(SUBSTITUTE(SUBSTITUTE(IF(E1043="","",E1043)&amp;"","$",""),",","")),0))</f>
        <v/>
      </c>
      <c r="N1043" s="11">
        <f>IF(J1043="","",IFERROR(VALUE(SUBSTITUTE(SUBSTITUTE(IF(F1043="","",F1043)&amp;"","$",""),",","")),0))</f>
        <v/>
      </c>
      <c r="O1043" s="11">
        <f>IF(J1043="","",M1043*N1043)</f>
        <v/>
      </c>
      <c r="P1043">
        <f>IF(J1043="","",IF(L1043="",1,COUNTIF($L$2:$L$1501,L1043)))</f>
        <v/>
      </c>
      <c r="Q1043" s="11">
        <f>IF(J1043="","",IFERROR(VALUE(SUBSTITUTE(SUBSTITUTE(IF(G1043="","",G1043)&amp;"","$",""),",","")),0)/IF("No"="Yes",P1043,1))</f>
        <v/>
      </c>
      <c r="R1043" s="11">
        <f>IF(J1043="","",IFERROR(VALUE(SUBSTITUTE(SUBSTITUTE(IF(H1043="","",H1043)&amp;"","$",""),",","")),0)/IF("No"="Yes",P1043,1))</f>
        <v/>
      </c>
      <c r="S1043" s="11">
        <f>IF(J1043="","",O1043+Q1043-R1043)</f>
        <v/>
      </c>
      <c r="T1043">
        <f>IF(J1043="","",IFERROR(IF(K1043="",NA(),MATCH(K1043,Products!$B$5:$B$204,0)),IFERROR(MATCH(J1043,Products!$A$5:$A$204,0),"")))</f>
        <v/>
      </c>
      <c r="U1043">
        <f>IF(J1043="","",IF(T1043="","⚠ not in Products",INDEX(Products!$A$5:$A$204,T1043)))</f>
        <v/>
      </c>
      <c r="V1043" s="11">
        <f>IF(J1043="","",S1043*(IFERROR(INDEX(Settings!$B$5:$B$9,MATCH($B1043,Settings!$A$5:$A$9,0)),0)+IFERROR(INDEX(Settings!$E$5:$E$9,MATCH($B1043,Settings!$A$5:$A$9,0)),0)+IFERROR(INDEX(Settings!$G$5:$G$9,MATCH($B1043,Settings!$A$5:$A$9,0)),0))+(IFERROR(INDEX(Settings!$C$5:$C$9,MATCH($B1043,Settings!$A$5:$A$9,0)),0)+IFERROR(INDEX(Settings!$F$5:$F$9,MATCH($B1043,Settings!$A$5:$A$9,0)),0))/P1043+IFERROR(INDEX(Settings!$D$5:$D$9,MATCH($B1043,Settings!$A$5:$A$9,0)),0)*M1043)</f>
        <v/>
      </c>
      <c r="W1043" s="11">
        <f>IF(J1043="","",IF(T1043="",0,M1043*INDEX(Products!$I$5:$I$204,T1043)))</f>
        <v/>
      </c>
      <c r="X1043" s="11">
        <f>IF(J1043="","",IF(T1043="",0,S1043*INDEX(Products!$H$5:$H$204,T1043)))</f>
        <v/>
      </c>
      <c r="Y1043" s="11">
        <f>IF(J1043="","",S1043-V1043-W1043-X1043)</f>
        <v/>
      </c>
    </row>
    <row r="1044">
      <c r="A1044" s="19" t="n"/>
      <c r="B1044" s="19" t="n"/>
      <c r="C1044" s="19" t="n"/>
      <c r="D1044" s="19" t="n"/>
      <c r="E1044" s="19" t="n"/>
      <c r="F1044" s="20" t="n"/>
      <c r="G1044" s="20" t="n"/>
      <c r="H1044" s="20" t="n"/>
      <c r="I1044" s="19" t="n"/>
      <c r="J1044">
        <f>IFERROR(IF(C1044="","",C1044)&amp;"","")</f>
        <v/>
      </c>
      <c r="K1044">
        <f>IFERROR(IF(D1044="","",D1044)&amp;"","")</f>
        <v/>
      </c>
      <c r="L1044">
        <f>IFERROR(IF(I1044="","",I1044)&amp;"","")</f>
        <v/>
      </c>
      <c r="M1044">
        <f>IF(J1044="","",IFERROR(VALUE(SUBSTITUTE(SUBSTITUTE(IF(E1044="","",E1044)&amp;"","$",""),",","")),0))</f>
        <v/>
      </c>
      <c r="N1044" s="11">
        <f>IF(J1044="","",IFERROR(VALUE(SUBSTITUTE(SUBSTITUTE(IF(F1044="","",F1044)&amp;"","$",""),",","")),0))</f>
        <v/>
      </c>
      <c r="O1044" s="11">
        <f>IF(J1044="","",M1044*N1044)</f>
        <v/>
      </c>
      <c r="P1044">
        <f>IF(J1044="","",IF(L1044="",1,COUNTIF($L$2:$L$1501,L1044)))</f>
        <v/>
      </c>
      <c r="Q1044" s="11">
        <f>IF(J1044="","",IFERROR(VALUE(SUBSTITUTE(SUBSTITUTE(IF(G1044="","",G1044)&amp;"","$",""),",","")),0)/IF("No"="Yes",P1044,1))</f>
        <v/>
      </c>
      <c r="R1044" s="11">
        <f>IF(J1044="","",IFERROR(VALUE(SUBSTITUTE(SUBSTITUTE(IF(H1044="","",H1044)&amp;"","$",""),",","")),0)/IF("No"="Yes",P1044,1))</f>
        <v/>
      </c>
      <c r="S1044" s="11">
        <f>IF(J1044="","",O1044+Q1044-R1044)</f>
        <v/>
      </c>
      <c r="T1044">
        <f>IF(J1044="","",IFERROR(IF(K1044="",NA(),MATCH(K1044,Products!$B$5:$B$204,0)),IFERROR(MATCH(J1044,Products!$A$5:$A$204,0),"")))</f>
        <v/>
      </c>
      <c r="U1044">
        <f>IF(J1044="","",IF(T1044="","⚠ not in Products",INDEX(Products!$A$5:$A$204,T1044)))</f>
        <v/>
      </c>
      <c r="V1044" s="11">
        <f>IF(J1044="","",S1044*(IFERROR(INDEX(Settings!$B$5:$B$9,MATCH($B1044,Settings!$A$5:$A$9,0)),0)+IFERROR(INDEX(Settings!$E$5:$E$9,MATCH($B1044,Settings!$A$5:$A$9,0)),0)+IFERROR(INDEX(Settings!$G$5:$G$9,MATCH($B1044,Settings!$A$5:$A$9,0)),0))+(IFERROR(INDEX(Settings!$C$5:$C$9,MATCH($B1044,Settings!$A$5:$A$9,0)),0)+IFERROR(INDEX(Settings!$F$5:$F$9,MATCH($B1044,Settings!$A$5:$A$9,0)),0))/P1044+IFERROR(INDEX(Settings!$D$5:$D$9,MATCH($B1044,Settings!$A$5:$A$9,0)),0)*M1044)</f>
        <v/>
      </c>
      <c r="W1044" s="11">
        <f>IF(J1044="","",IF(T1044="",0,M1044*INDEX(Products!$I$5:$I$204,T1044)))</f>
        <v/>
      </c>
      <c r="X1044" s="11">
        <f>IF(J1044="","",IF(T1044="",0,S1044*INDEX(Products!$H$5:$H$204,T1044)))</f>
        <v/>
      </c>
      <c r="Y1044" s="11">
        <f>IF(J1044="","",S1044-V1044-W1044-X1044)</f>
        <v/>
      </c>
    </row>
    <row r="1045">
      <c r="A1045" s="19" t="n"/>
      <c r="B1045" s="19" t="n"/>
      <c r="C1045" s="19" t="n"/>
      <c r="D1045" s="19" t="n"/>
      <c r="E1045" s="19" t="n"/>
      <c r="F1045" s="20" t="n"/>
      <c r="G1045" s="20" t="n"/>
      <c r="H1045" s="20" t="n"/>
      <c r="I1045" s="19" t="n"/>
      <c r="J1045">
        <f>IFERROR(IF(C1045="","",C1045)&amp;"","")</f>
        <v/>
      </c>
      <c r="K1045">
        <f>IFERROR(IF(D1045="","",D1045)&amp;"","")</f>
        <v/>
      </c>
      <c r="L1045">
        <f>IFERROR(IF(I1045="","",I1045)&amp;"","")</f>
        <v/>
      </c>
      <c r="M1045">
        <f>IF(J1045="","",IFERROR(VALUE(SUBSTITUTE(SUBSTITUTE(IF(E1045="","",E1045)&amp;"","$",""),",","")),0))</f>
        <v/>
      </c>
      <c r="N1045" s="11">
        <f>IF(J1045="","",IFERROR(VALUE(SUBSTITUTE(SUBSTITUTE(IF(F1045="","",F1045)&amp;"","$",""),",","")),0))</f>
        <v/>
      </c>
      <c r="O1045" s="11">
        <f>IF(J1045="","",M1045*N1045)</f>
        <v/>
      </c>
      <c r="P1045">
        <f>IF(J1045="","",IF(L1045="",1,COUNTIF($L$2:$L$1501,L1045)))</f>
        <v/>
      </c>
      <c r="Q1045" s="11">
        <f>IF(J1045="","",IFERROR(VALUE(SUBSTITUTE(SUBSTITUTE(IF(G1045="","",G1045)&amp;"","$",""),",","")),0)/IF("No"="Yes",P1045,1))</f>
        <v/>
      </c>
      <c r="R1045" s="11">
        <f>IF(J1045="","",IFERROR(VALUE(SUBSTITUTE(SUBSTITUTE(IF(H1045="","",H1045)&amp;"","$",""),",","")),0)/IF("No"="Yes",P1045,1))</f>
        <v/>
      </c>
      <c r="S1045" s="11">
        <f>IF(J1045="","",O1045+Q1045-R1045)</f>
        <v/>
      </c>
      <c r="T1045">
        <f>IF(J1045="","",IFERROR(IF(K1045="",NA(),MATCH(K1045,Products!$B$5:$B$204,0)),IFERROR(MATCH(J1045,Products!$A$5:$A$204,0),"")))</f>
        <v/>
      </c>
      <c r="U1045">
        <f>IF(J1045="","",IF(T1045="","⚠ not in Products",INDEX(Products!$A$5:$A$204,T1045)))</f>
        <v/>
      </c>
      <c r="V1045" s="11">
        <f>IF(J1045="","",S1045*(IFERROR(INDEX(Settings!$B$5:$B$9,MATCH($B1045,Settings!$A$5:$A$9,0)),0)+IFERROR(INDEX(Settings!$E$5:$E$9,MATCH($B1045,Settings!$A$5:$A$9,0)),0)+IFERROR(INDEX(Settings!$G$5:$G$9,MATCH($B1045,Settings!$A$5:$A$9,0)),0))+(IFERROR(INDEX(Settings!$C$5:$C$9,MATCH($B1045,Settings!$A$5:$A$9,0)),0)+IFERROR(INDEX(Settings!$F$5:$F$9,MATCH($B1045,Settings!$A$5:$A$9,0)),0))/P1045+IFERROR(INDEX(Settings!$D$5:$D$9,MATCH($B1045,Settings!$A$5:$A$9,0)),0)*M1045)</f>
        <v/>
      </c>
      <c r="W1045" s="11">
        <f>IF(J1045="","",IF(T1045="",0,M1045*INDEX(Products!$I$5:$I$204,T1045)))</f>
        <v/>
      </c>
      <c r="X1045" s="11">
        <f>IF(J1045="","",IF(T1045="",0,S1045*INDEX(Products!$H$5:$H$204,T1045)))</f>
        <v/>
      </c>
      <c r="Y1045" s="11">
        <f>IF(J1045="","",S1045-V1045-W1045-X1045)</f>
        <v/>
      </c>
    </row>
    <row r="1046">
      <c r="A1046" s="19" t="n"/>
      <c r="B1046" s="19" t="n"/>
      <c r="C1046" s="19" t="n"/>
      <c r="D1046" s="19" t="n"/>
      <c r="E1046" s="19" t="n"/>
      <c r="F1046" s="20" t="n"/>
      <c r="G1046" s="20" t="n"/>
      <c r="H1046" s="20" t="n"/>
      <c r="I1046" s="19" t="n"/>
      <c r="J1046">
        <f>IFERROR(IF(C1046="","",C1046)&amp;"","")</f>
        <v/>
      </c>
      <c r="K1046">
        <f>IFERROR(IF(D1046="","",D1046)&amp;"","")</f>
        <v/>
      </c>
      <c r="L1046">
        <f>IFERROR(IF(I1046="","",I1046)&amp;"","")</f>
        <v/>
      </c>
      <c r="M1046">
        <f>IF(J1046="","",IFERROR(VALUE(SUBSTITUTE(SUBSTITUTE(IF(E1046="","",E1046)&amp;"","$",""),",","")),0))</f>
        <v/>
      </c>
      <c r="N1046" s="11">
        <f>IF(J1046="","",IFERROR(VALUE(SUBSTITUTE(SUBSTITUTE(IF(F1046="","",F1046)&amp;"","$",""),",","")),0))</f>
        <v/>
      </c>
      <c r="O1046" s="11">
        <f>IF(J1046="","",M1046*N1046)</f>
        <v/>
      </c>
      <c r="P1046">
        <f>IF(J1046="","",IF(L1046="",1,COUNTIF($L$2:$L$1501,L1046)))</f>
        <v/>
      </c>
      <c r="Q1046" s="11">
        <f>IF(J1046="","",IFERROR(VALUE(SUBSTITUTE(SUBSTITUTE(IF(G1046="","",G1046)&amp;"","$",""),",","")),0)/IF("No"="Yes",P1046,1))</f>
        <v/>
      </c>
      <c r="R1046" s="11">
        <f>IF(J1046="","",IFERROR(VALUE(SUBSTITUTE(SUBSTITUTE(IF(H1046="","",H1046)&amp;"","$",""),",","")),0)/IF("No"="Yes",P1046,1))</f>
        <v/>
      </c>
      <c r="S1046" s="11">
        <f>IF(J1046="","",O1046+Q1046-R1046)</f>
        <v/>
      </c>
      <c r="T1046">
        <f>IF(J1046="","",IFERROR(IF(K1046="",NA(),MATCH(K1046,Products!$B$5:$B$204,0)),IFERROR(MATCH(J1046,Products!$A$5:$A$204,0),"")))</f>
        <v/>
      </c>
      <c r="U1046">
        <f>IF(J1046="","",IF(T1046="","⚠ not in Products",INDEX(Products!$A$5:$A$204,T1046)))</f>
        <v/>
      </c>
      <c r="V1046" s="11">
        <f>IF(J1046="","",S1046*(IFERROR(INDEX(Settings!$B$5:$B$9,MATCH($B1046,Settings!$A$5:$A$9,0)),0)+IFERROR(INDEX(Settings!$E$5:$E$9,MATCH($B1046,Settings!$A$5:$A$9,0)),0)+IFERROR(INDEX(Settings!$G$5:$G$9,MATCH($B1046,Settings!$A$5:$A$9,0)),0))+(IFERROR(INDEX(Settings!$C$5:$C$9,MATCH($B1046,Settings!$A$5:$A$9,0)),0)+IFERROR(INDEX(Settings!$F$5:$F$9,MATCH($B1046,Settings!$A$5:$A$9,0)),0))/P1046+IFERROR(INDEX(Settings!$D$5:$D$9,MATCH($B1046,Settings!$A$5:$A$9,0)),0)*M1046)</f>
        <v/>
      </c>
      <c r="W1046" s="11">
        <f>IF(J1046="","",IF(T1046="",0,M1046*INDEX(Products!$I$5:$I$204,T1046)))</f>
        <v/>
      </c>
      <c r="X1046" s="11">
        <f>IF(J1046="","",IF(T1046="",0,S1046*INDEX(Products!$H$5:$H$204,T1046)))</f>
        <v/>
      </c>
      <c r="Y1046" s="11">
        <f>IF(J1046="","",S1046-V1046-W1046-X1046)</f>
        <v/>
      </c>
    </row>
    <row r="1047">
      <c r="A1047" s="19" t="n"/>
      <c r="B1047" s="19" t="n"/>
      <c r="C1047" s="19" t="n"/>
      <c r="D1047" s="19" t="n"/>
      <c r="E1047" s="19" t="n"/>
      <c r="F1047" s="20" t="n"/>
      <c r="G1047" s="20" t="n"/>
      <c r="H1047" s="20" t="n"/>
      <c r="I1047" s="19" t="n"/>
      <c r="J1047">
        <f>IFERROR(IF(C1047="","",C1047)&amp;"","")</f>
        <v/>
      </c>
      <c r="K1047">
        <f>IFERROR(IF(D1047="","",D1047)&amp;"","")</f>
        <v/>
      </c>
      <c r="L1047">
        <f>IFERROR(IF(I1047="","",I1047)&amp;"","")</f>
        <v/>
      </c>
      <c r="M1047">
        <f>IF(J1047="","",IFERROR(VALUE(SUBSTITUTE(SUBSTITUTE(IF(E1047="","",E1047)&amp;"","$",""),",","")),0))</f>
        <v/>
      </c>
      <c r="N1047" s="11">
        <f>IF(J1047="","",IFERROR(VALUE(SUBSTITUTE(SUBSTITUTE(IF(F1047="","",F1047)&amp;"","$",""),",","")),0))</f>
        <v/>
      </c>
      <c r="O1047" s="11">
        <f>IF(J1047="","",M1047*N1047)</f>
        <v/>
      </c>
      <c r="P1047">
        <f>IF(J1047="","",IF(L1047="",1,COUNTIF($L$2:$L$1501,L1047)))</f>
        <v/>
      </c>
      <c r="Q1047" s="11">
        <f>IF(J1047="","",IFERROR(VALUE(SUBSTITUTE(SUBSTITUTE(IF(G1047="","",G1047)&amp;"","$",""),",","")),0)/IF("No"="Yes",P1047,1))</f>
        <v/>
      </c>
      <c r="R1047" s="11">
        <f>IF(J1047="","",IFERROR(VALUE(SUBSTITUTE(SUBSTITUTE(IF(H1047="","",H1047)&amp;"","$",""),",","")),0)/IF("No"="Yes",P1047,1))</f>
        <v/>
      </c>
      <c r="S1047" s="11">
        <f>IF(J1047="","",O1047+Q1047-R1047)</f>
        <v/>
      </c>
      <c r="T1047">
        <f>IF(J1047="","",IFERROR(IF(K1047="",NA(),MATCH(K1047,Products!$B$5:$B$204,0)),IFERROR(MATCH(J1047,Products!$A$5:$A$204,0),"")))</f>
        <v/>
      </c>
      <c r="U1047">
        <f>IF(J1047="","",IF(T1047="","⚠ not in Products",INDEX(Products!$A$5:$A$204,T1047)))</f>
        <v/>
      </c>
      <c r="V1047" s="11">
        <f>IF(J1047="","",S1047*(IFERROR(INDEX(Settings!$B$5:$B$9,MATCH($B1047,Settings!$A$5:$A$9,0)),0)+IFERROR(INDEX(Settings!$E$5:$E$9,MATCH($B1047,Settings!$A$5:$A$9,0)),0)+IFERROR(INDEX(Settings!$G$5:$G$9,MATCH($B1047,Settings!$A$5:$A$9,0)),0))+(IFERROR(INDEX(Settings!$C$5:$C$9,MATCH($B1047,Settings!$A$5:$A$9,0)),0)+IFERROR(INDEX(Settings!$F$5:$F$9,MATCH($B1047,Settings!$A$5:$A$9,0)),0))/P1047+IFERROR(INDEX(Settings!$D$5:$D$9,MATCH($B1047,Settings!$A$5:$A$9,0)),0)*M1047)</f>
        <v/>
      </c>
      <c r="W1047" s="11">
        <f>IF(J1047="","",IF(T1047="",0,M1047*INDEX(Products!$I$5:$I$204,T1047)))</f>
        <v/>
      </c>
      <c r="X1047" s="11">
        <f>IF(J1047="","",IF(T1047="",0,S1047*INDEX(Products!$H$5:$H$204,T1047)))</f>
        <v/>
      </c>
      <c r="Y1047" s="11">
        <f>IF(J1047="","",S1047-V1047-W1047-X1047)</f>
        <v/>
      </c>
    </row>
    <row r="1048">
      <c r="A1048" s="19" t="n"/>
      <c r="B1048" s="19" t="n"/>
      <c r="C1048" s="19" t="n"/>
      <c r="D1048" s="19" t="n"/>
      <c r="E1048" s="19" t="n"/>
      <c r="F1048" s="20" t="n"/>
      <c r="G1048" s="20" t="n"/>
      <c r="H1048" s="20" t="n"/>
      <c r="I1048" s="19" t="n"/>
      <c r="J1048">
        <f>IFERROR(IF(C1048="","",C1048)&amp;"","")</f>
        <v/>
      </c>
      <c r="K1048">
        <f>IFERROR(IF(D1048="","",D1048)&amp;"","")</f>
        <v/>
      </c>
      <c r="L1048">
        <f>IFERROR(IF(I1048="","",I1048)&amp;"","")</f>
        <v/>
      </c>
      <c r="M1048">
        <f>IF(J1048="","",IFERROR(VALUE(SUBSTITUTE(SUBSTITUTE(IF(E1048="","",E1048)&amp;"","$",""),",","")),0))</f>
        <v/>
      </c>
      <c r="N1048" s="11">
        <f>IF(J1048="","",IFERROR(VALUE(SUBSTITUTE(SUBSTITUTE(IF(F1048="","",F1048)&amp;"","$",""),",","")),0))</f>
        <v/>
      </c>
      <c r="O1048" s="11">
        <f>IF(J1048="","",M1048*N1048)</f>
        <v/>
      </c>
      <c r="P1048">
        <f>IF(J1048="","",IF(L1048="",1,COUNTIF($L$2:$L$1501,L1048)))</f>
        <v/>
      </c>
      <c r="Q1048" s="11">
        <f>IF(J1048="","",IFERROR(VALUE(SUBSTITUTE(SUBSTITUTE(IF(G1048="","",G1048)&amp;"","$",""),",","")),0)/IF("No"="Yes",P1048,1))</f>
        <v/>
      </c>
      <c r="R1048" s="11">
        <f>IF(J1048="","",IFERROR(VALUE(SUBSTITUTE(SUBSTITUTE(IF(H1048="","",H1048)&amp;"","$",""),",","")),0)/IF("No"="Yes",P1048,1))</f>
        <v/>
      </c>
      <c r="S1048" s="11">
        <f>IF(J1048="","",O1048+Q1048-R1048)</f>
        <v/>
      </c>
      <c r="T1048">
        <f>IF(J1048="","",IFERROR(IF(K1048="",NA(),MATCH(K1048,Products!$B$5:$B$204,0)),IFERROR(MATCH(J1048,Products!$A$5:$A$204,0),"")))</f>
        <v/>
      </c>
      <c r="U1048">
        <f>IF(J1048="","",IF(T1048="","⚠ not in Products",INDEX(Products!$A$5:$A$204,T1048)))</f>
        <v/>
      </c>
      <c r="V1048" s="11">
        <f>IF(J1048="","",S1048*(IFERROR(INDEX(Settings!$B$5:$B$9,MATCH($B1048,Settings!$A$5:$A$9,0)),0)+IFERROR(INDEX(Settings!$E$5:$E$9,MATCH($B1048,Settings!$A$5:$A$9,0)),0)+IFERROR(INDEX(Settings!$G$5:$G$9,MATCH($B1048,Settings!$A$5:$A$9,0)),0))+(IFERROR(INDEX(Settings!$C$5:$C$9,MATCH($B1048,Settings!$A$5:$A$9,0)),0)+IFERROR(INDEX(Settings!$F$5:$F$9,MATCH($B1048,Settings!$A$5:$A$9,0)),0))/P1048+IFERROR(INDEX(Settings!$D$5:$D$9,MATCH($B1048,Settings!$A$5:$A$9,0)),0)*M1048)</f>
        <v/>
      </c>
      <c r="W1048" s="11">
        <f>IF(J1048="","",IF(T1048="",0,M1048*INDEX(Products!$I$5:$I$204,T1048)))</f>
        <v/>
      </c>
      <c r="X1048" s="11">
        <f>IF(J1048="","",IF(T1048="",0,S1048*INDEX(Products!$H$5:$H$204,T1048)))</f>
        <v/>
      </c>
      <c r="Y1048" s="11">
        <f>IF(J1048="","",S1048-V1048-W1048-X1048)</f>
        <v/>
      </c>
    </row>
    <row r="1049">
      <c r="A1049" s="19" t="n"/>
      <c r="B1049" s="19" t="n"/>
      <c r="C1049" s="19" t="n"/>
      <c r="D1049" s="19" t="n"/>
      <c r="E1049" s="19" t="n"/>
      <c r="F1049" s="20" t="n"/>
      <c r="G1049" s="20" t="n"/>
      <c r="H1049" s="20" t="n"/>
      <c r="I1049" s="19" t="n"/>
      <c r="J1049">
        <f>IFERROR(IF(C1049="","",C1049)&amp;"","")</f>
        <v/>
      </c>
      <c r="K1049">
        <f>IFERROR(IF(D1049="","",D1049)&amp;"","")</f>
        <v/>
      </c>
      <c r="L1049">
        <f>IFERROR(IF(I1049="","",I1049)&amp;"","")</f>
        <v/>
      </c>
      <c r="M1049">
        <f>IF(J1049="","",IFERROR(VALUE(SUBSTITUTE(SUBSTITUTE(IF(E1049="","",E1049)&amp;"","$",""),",","")),0))</f>
        <v/>
      </c>
      <c r="N1049" s="11">
        <f>IF(J1049="","",IFERROR(VALUE(SUBSTITUTE(SUBSTITUTE(IF(F1049="","",F1049)&amp;"","$",""),",","")),0))</f>
        <v/>
      </c>
      <c r="O1049" s="11">
        <f>IF(J1049="","",M1049*N1049)</f>
        <v/>
      </c>
      <c r="P1049">
        <f>IF(J1049="","",IF(L1049="",1,COUNTIF($L$2:$L$1501,L1049)))</f>
        <v/>
      </c>
      <c r="Q1049" s="11">
        <f>IF(J1049="","",IFERROR(VALUE(SUBSTITUTE(SUBSTITUTE(IF(G1049="","",G1049)&amp;"","$",""),",","")),0)/IF("No"="Yes",P1049,1))</f>
        <v/>
      </c>
      <c r="R1049" s="11">
        <f>IF(J1049="","",IFERROR(VALUE(SUBSTITUTE(SUBSTITUTE(IF(H1049="","",H1049)&amp;"","$",""),",","")),0)/IF("No"="Yes",P1049,1))</f>
        <v/>
      </c>
      <c r="S1049" s="11">
        <f>IF(J1049="","",O1049+Q1049-R1049)</f>
        <v/>
      </c>
      <c r="T1049">
        <f>IF(J1049="","",IFERROR(IF(K1049="",NA(),MATCH(K1049,Products!$B$5:$B$204,0)),IFERROR(MATCH(J1049,Products!$A$5:$A$204,0),"")))</f>
        <v/>
      </c>
      <c r="U1049">
        <f>IF(J1049="","",IF(T1049="","⚠ not in Products",INDEX(Products!$A$5:$A$204,T1049)))</f>
        <v/>
      </c>
      <c r="V1049" s="11">
        <f>IF(J1049="","",S1049*(IFERROR(INDEX(Settings!$B$5:$B$9,MATCH($B1049,Settings!$A$5:$A$9,0)),0)+IFERROR(INDEX(Settings!$E$5:$E$9,MATCH($B1049,Settings!$A$5:$A$9,0)),0)+IFERROR(INDEX(Settings!$G$5:$G$9,MATCH($B1049,Settings!$A$5:$A$9,0)),0))+(IFERROR(INDEX(Settings!$C$5:$C$9,MATCH($B1049,Settings!$A$5:$A$9,0)),0)+IFERROR(INDEX(Settings!$F$5:$F$9,MATCH($B1049,Settings!$A$5:$A$9,0)),0))/P1049+IFERROR(INDEX(Settings!$D$5:$D$9,MATCH($B1049,Settings!$A$5:$A$9,0)),0)*M1049)</f>
        <v/>
      </c>
      <c r="W1049" s="11">
        <f>IF(J1049="","",IF(T1049="",0,M1049*INDEX(Products!$I$5:$I$204,T1049)))</f>
        <v/>
      </c>
      <c r="X1049" s="11">
        <f>IF(J1049="","",IF(T1049="",0,S1049*INDEX(Products!$H$5:$H$204,T1049)))</f>
        <v/>
      </c>
      <c r="Y1049" s="11">
        <f>IF(J1049="","",S1049-V1049-W1049-X1049)</f>
        <v/>
      </c>
    </row>
    <row r="1050">
      <c r="A1050" s="19" t="n"/>
      <c r="B1050" s="19" t="n"/>
      <c r="C1050" s="19" t="n"/>
      <c r="D1050" s="19" t="n"/>
      <c r="E1050" s="19" t="n"/>
      <c r="F1050" s="20" t="n"/>
      <c r="G1050" s="20" t="n"/>
      <c r="H1050" s="20" t="n"/>
      <c r="I1050" s="19" t="n"/>
      <c r="J1050">
        <f>IFERROR(IF(C1050="","",C1050)&amp;"","")</f>
        <v/>
      </c>
      <c r="K1050">
        <f>IFERROR(IF(D1050="","",D1050)&amp;"","")</f>
        <v/>
      </c>
      <c r="L1050">
        <f>IFERROR(IF(I1050="","",I1050)&amp;"","")</f>
        <v/>
      </c>
      <c r="M1050">
        <f>IF(J1050="","",IFERROR(VALUE(SUBSTITUTE(SUBSTITUTE(IF(E1050="","",E1050)&amp;"","$",""),",","")),0))</f>
        <v/>
      </c>
      <c r="N1050" s="11">
        <f>IF(J1050="","",IFERROR(VALUE(SUBSTITUTE(SUBSTITUTE(IF(F1050="","",F1050)&amp;"","$",""),",","")),0))</f>
        <v/>
      </c>
      <c r="O1050" s="11">
        <f>IF(J1050="","",M1050*N1050)</f>
        <v/>
      </c>
      <c r="P1050">
        <f>IF(J1050="","",IF(L1050="",1,COUNTIF($L$2:$L$1501,L1050)))</f>
        <v/>
      </c>
      <c r="Q1050" s="11">
        <f>IF(J1050="","",IFERROR(VALUE(SUBSTITUTE(SUBSTITUTE(IF(G1050="","",G1050)&amp;"","$",""),",","")),0)/IF("No"="Yes",P1050,1))</f>
        <v/>
      </c>
      <c r="R1050" s="11">
        <f>IF(J1050="","",IFERROR(VALUE(SUBSTITUTE(SUBSTITUTE(IF(H1050="","",H1050)&amp;"","$",""),",","")),0)/IF("No"="Yes",P1050,1))</f>
        <v/>
      </c>
      <c r="S1050" s="11">
        <f>IF(J1050="","",O1050+Q1050-R1050)</f>
        <v/>
      </c>
      <c r="T1050">
        <f>IF(J1050="","",IFERROR(IF(K1050="",NA(),MATCH(K1050,Products!$B$5:$B$204,0)),IFERROR(MATCH(J1050,Products!$A$5:$A$204,0),"")))</f>
        <v/>
      </c>
      <c r="U1050">
        <f>IF(J1050="","",IF(T1050="","⚠ not in Products",INDEX(Products!$A$5:$A$204,T1050)))</f>
        <v/>
      </c>
      <c r="V1050" s="11">
        <f>IF(J1050="","",S1050*(IFERROR(INDEX(Settings!$B$5:$B$9,MATCH($B1050,Settings!$A$5:$A$9,0)),0)+IFERROR(INDEX(Settings!$E$5:$E$9,MATCH($B1050,Settings!$A$5:$A$9,0)),0)+IFERROR(INDEX(Settings!$G$5:$G$9,MATCH($B1050,Settings!$A$5:$A$9,0)),0))+(IFERROR(INDEX(Settings!$C$5:$C$9,MATCH($B1050,Settings!$A$5:$A$9,0)),0)+IFERROR(INDEX(Settings!$F$5:$F$9,MATCH($B1050,Settings!$A$5:$A$9,0)),0))/P1050+IFERROR(INDEX(Settings!$D$5:$D$9,MATCH($B1050,Settings!$A$5:$A$9,0)),0)*M1050)</f>
        <v/>
      </c>
      <c r="W1050" s="11">
        <f>IF(J1050="","",IF(T1050="",0,M1050*INDEX(Products!$I$5:$I$204,T1050)))</f>
        <v/>
      </c>
      <c r="X1050" s="11">
        <f>IF(J1050="","",IF(T1050="",0,S1050*INDEX(Products!$H$5:$H$204,T1050)))</f>
        <v/>
      </c>
      <c r="Y1050" s="11">
        <f>IF(J1050="","",S1050-V1050-W1050-X1050)</f>
        <v/>
      </c>
    </row>
    <row r="1051">
      <c r="A1051" s="19" t="n"/>
      <c r="B1051" s="19" t="n"/>
      <c r="C1051" s="19" t="n"/>
      <c r="D1051" s="19" t="n"/>
      <c r="E1051" s="19" t="n"/>
      <c r="F1051" s="20" t="n"/>
      <c r="G1051" s="20" t="n"/>
      <c r="H1051" s="20" t="n"/>
      <c r="I1051" s="19" t="n"/>
      <c r="J1051">
        <f>IFERROR(IF(C1051="","",C1051)&amp;"","")</f>
        <v/>
      </c>
      <c r="K1051">
        <f>IFERROR(IF(D1051="","",D1051)&amp;"","")</f>
        <v/>
      </c>
      <c r="L1051">
        <f>IFERROR(IF(I1051="","",I1051)&amp;"","")</f>
        <v/>
      </c>
      <c r="M1051">
        <f>IF(J1051="","",IFERROR(VALUE(SUBSTITUTE(SUBSTITUTE(IF(E1051="","",E1051)&amp;"","$",""),",","")),0))</f>
        <v/>
      </c>
      <c r="N1051" s="11">
        <f>IF(J1051="","",IFERROR(VALUE(SUBSTITUTE(SUBSTITUTE(IF(F1051="","",F1051)&amp;"","$",""),",","")),0))</f>
        <v/>
      </c>
      <c r="O1051" s="11">
        <f>IF(J1051="","",M1051*N1051)</f>
        <v/>
      </c>
      <c r="P1051">
        <f>IF(J1051="","",IF(L1051="",1,COUNTIF($L$2:$L$1501,L1051)))</f>
        <v/>
      </c>
      <c r="Q1051" s="11">
        <f>IF(J1051="","",IFERROR(VALUE(SUBSTITUTE(SUBSTITUTE(IF(G1051="","",G1051)&amp;"","$",""),",","")),0)/IF("No"="Yes",P1051,1))</f>
        <v/>
      </c>
      <c r="R1051" s="11">
        <f>IF(J1051="","",IFERROR(VALUE(SUBSTITUTE(SUBSTITUTE(IF(H1051="","",H1051)&amp;"","$",""),",","")),0)/IF("No"="Yes",P1051,1))</f>
        <v/>
      </c>
      <c r="S1051" s="11">
        <f>IF(J1051="","",O1051+Q1051-R1051)</f>
        <v/>
      </c>
      <c r="T1051">
        <f>IF(J1051="","",IFERROR(IF(K1051="",NA(),MATCH(K1051,Products!$B$5:$B$204,0)),IFERROR(MATCH(J1051,Products!$A$5:$A$204,0),"")))</f>
        <v/>
      </c>
      <c r="U1051">
        <f>IF(J1051="","",IF(T1051="","⚠ not in Products",INDEX(Products!$A$5:$A$204,T1051)))</f>
        <v/>
      </c>
      <c r="V1051" s="11">
        <f>IF(J1051="","",S1051*(IFERROR(INDEX(Settings!$B$5:$B$9,MATCH($B1051,Settings!$A$5:$A$9,0)),0)+IFERROR(INDEX(Settings!$E$5:$E$9,MATCH($B1051,Settings!$A$5:$A$9,0)),0)+IFERROR(INDEX(Settings!$G$5:$G$9,MATCH($B1051,Settings!$A$5:$A$9,0)),0))+(IFERROR(INDEX(Settings!$C$5:$C$9,MATCH($B1051,Settings!$A$5:$A$9,0)),0)+IFERROR(INDEX(Settings!$F$5:$F$9,MATCH($B1051,Settings!$A$5:$A$9,0)),0))/P1051+IFERROR(INDEX(Settings!$D$5:$D$9,MATCH($B1051,Settings!$A$5:$A$9,0)),0)*M1051)</f>
        <v/>
      </c>
      <c r="W1051" s="11">
        <f>IF(J1051="","",IF(T1051="",0,M1051*INDEX(Products!$I$5:$I$204,T1051)))</f>
        <v/>
      </c>
      <c r="X1051" s="11">
        <f>IF(J1051="","",IF(T1051="",0,S1051*INDEX(Products!$H$5:$H$204,T1051)))</f>
        <v/>
      </c>
      <c r="Y1051" s="11">
        <f>IF(J1051="","",S1051-V1051-W1051-X1051)</f>
        <v/>
      </c>
    </row>
    <row r="1052">
      <c r="A1052" s="19" t="n"/>
      <c r="B1052" s="19" t="n"/>
      <c r="C1052" s="19" t="n"/>
      <c r="D1052" s="19" t="n"/>
      <c r="E1052" s="19" t="n"/>
      <c r="F1052" s="20" t="n"/>
      <c r="G1052" s="20" t="n"/>
      <c r="H1052" s="20" t="n"/>
      <c r="I1052" s="19" t="n"/>
      <c r="J1052">
        <f>IFERROR(IF(C1052="","",C1052)&amp;"","")</f>
        <v/>
      </c>
      <c r="K1052">
        <f>IFERROR(IF(D1052="","",D1052)&amp;"","")</f>
        <v/>
      </c>
      <c r="L1052">
        <f>IFERROR(IF(I1052="","",I1052)&amp;"","")</f>
        <v/>
      </c>
      <c r="M1052">
        <f>IF(J1052="","",IFERROR(VALUE(SUBSTITUTE(SUBSTITUTE(IF(E1052="","",E1052)&amp;"","$",""),",","")),0))</f>
        <v/>
      </c>
      <c r="N1052" s="11">
        <f>IF(J1052="","",IFERROR(VALUE(SUBSTITUTE(SUBSTITUTE(IF(F1052="","",F1052)&amp;"","$",""),",","")),0))</f>
        <v/>
      </c>
      <c r="O1052" s="11">
        <f>IF(J1052="","",M1052*N1052)</f>
        <v/>
      </c>
      <c r="P1052">
        <f>IF(J1052="","",IF(L1052="",1,COUNTIF($L$2:$L$1501,L1052)))</f>
        <v/>
      </c>
      <c r="Q1052" s="11">
        <f>IF(J1052="","",IFERROR(VALUE(SUBSTITUTE(SUBSTITUTE(IF(G1052="","",G1052)&amp;"","$",""),",","")),0)/IF("No"="Yes",P1052,1))</f>
        <v/>
      </c>
      <c r="R1052" s="11">
        <f>IF(J1052="","",IFERROR(VALUE(SUBSTITUTE(SUBSTITUTE(IF(H1052="","",H1052)&amp;"","$",""),",","")),0)/IF("No"="Yes",P1052,1))</f>
        <v/>
      </c>
      <c r="S1052" s="11">
        <f>IF(J1052="","",O1052+Q1052-R1052)</f>
        <v/>
      </c>
      <c r="T1052">
        <f>IF(J1052="","",IFERROR(IF(K1052="",NA(),MATCH(K1052,Products!$B$5:$B$204,0)),IFERROR(MATCH(J1052,Products!$A$5:$A$204,0),"")))</f>
        <v/>
      </c>
      <c r="U1052">
        <f>IF(J1052="","",IF(T1052="","⚠ not in Products",INDEX(Products!$A$5:$A$204,T1052)))</f>
        <v/>
      </c>
      <c r="V1052" s="11">
        <f>IF(J1052="","",S1052*(IFERROR(INDEX(Settings!$B$5:$B$9,MATCH($B1052,Settings!$A$5:$A$9,0)),0)+IFERROR(INDEX(Settings!$E$5:$E$9,MATCH($B1052,Settings!$A$5:$A$9,0)),0)+IFERROR(INDEX(Settings!$G$5:$G$9,MATCH($B1052,Settings!$A$5:$A$9,0)),0))+(IFERROR(INDEX(Settings!$C$5:$C$9,MATCH($B1052,Settings!$A$5:$A$9,0)),0)+IFERROR(INDEX(Settings!$F$5:$F$9,MATCH($B1052,Settings!$A$5:$A$9,0)),0))/P1052+IFERROR(INDEX(Settings!$D$5:$D$9,MATCH($B1052,Settings!$A$5:$A$9,0)),0)*M1052)</f>
        <v/>
      </c>
      <c r="W1052" s="11">
        <f>IF(J1052="","",IF(T1052="",0,M1052*INDEX(Products!$I$5:$I$204,T1052)))</f>
        <v/>
      </c>
      <c r="X1052" s="11">
        <f>IF(J1052="","",IF(T1052="",0,S1052*INDEX(Products!$H$5:$H$204,T1052)))</f>
        <v/>
      </c>
      <c r="Y1052" s="11">
        <f>IF(J1052="","",S1052-V1052-W1052-X1052)</f>
        <v/>
      </c>
    </row>
    <row r="1053">
      <c r="A1053" s="19" t="n"/>
      <c r="B1053" s="19" t="n"/>
      <c r="C1053" s="19" t="n"/>
      <c r="D1053" s="19" t="n"/>
      <c r="E1053" s="19" t="n"/>
      <c r="F1053" s="20" t="n"/>
      <c r="G1053" s="20" t="n"/>
      <c r="H1053" s="20" t="n"/>
      <c r="I1053" s="19" t="n"/>
      <c r="J1053">
        <f>IFERROR(IF(C1053="","",C1053)&amp;"","")</f>
        <v/>
      </c>
      <c r="K1053">
        <f>IFERROR(IF(D1053="","",D1053)&amp;"","")</f>
        <v/>
      </c>
      <c r="L1053">
        <f>IFERROR(IF(I1053="","",I1053)&amp;"","")</f>
        <v/>
      </c>
      <c r="M1053">
        <f>IF(J1053="","",IFERROR(VALUE(SUBSTITUTE(SUBSTITUTE(IF(E1053="","",E1053)&amp;"","$",""),",","")),0))</f>
        <v/>
      </c>
      <c r="N1053" s="11">
        <f>IF(J1053="","",IFERROR(VALUE(SUBSTITUTE(SUBSTITUTE(IF(F1053="","",F1053)&amp;"","$",""),",","")),0))</f>
        <v/>
      </c>
      <c r="O1053" s="11">
        <f>IF(J1053="","",M1053*N1053)</f>
        <v/>
      </c>
      <c r="P1053">
        <f>IF(J1053="","",IF(L1053="",1,COUNTIF($L$2:$L$1501,L1053)))</f>
        <v/>
      </c>
      <c r="Q1053" s="11">
        <f>IF(J1053="","",IFERROR(VALUE(SUBSTITUTE(SUBSTITUTE(IF(G1053="","",G1053)&amp;"","$",""),",","")),0)/IF("No"="Yes",P1053,1))</f>
        <v/>
      </c>
      <c r="R1053" s="11">
        <f>IF(J1053="","",IFERROR(VALUE(SUBSTITUTE(SUBSTITUTE(IF(H1053="","",H1053)&amp;"","$",""),",","")),0)/IF("No"="Yes",P1053,1))</f>
        <v/>
      </c>
      <c r="S1053" s="11">
        <f>IF(J1053="","",O1053+Q1053-R1053)</f>
        <v/>
      </c>
      <c r="T1053">
        <f>IF(J1053="","",IFERROR(IF(K1053="",NA(),MATCH(K1053,Products!$B$5:$B$204,0)),IFERROR(MATCH(J1053,Products!$A$5:$A$204,0),"")))</f>
        <v/>
      </c>
      <c r="U1053">
        <f>IF(J1053="","",IF(T1053="","⚠ not in Products",INDEX(Products!$A$5:$A$204,T1053)))</f>
        <v/>
      </c>
      <c r="V1053" s="11">
        <f>IF(J1053="","",S1053*(IFERROR(INDEX(Settings!$B$5:$B$9,MATCH($B1053,Settings!$A$5:$A$9,0)),0)+IFERROR(INDEX(Settings!$E$5:$E$9,MATCH($B1053,Settings!$A$5:$A$9,0)),0)+IFERROR(INDEX(Settings!$G$5:$G$9,MATCH($B1053,Settings!$A$5:$A$9,0)),0))+(IFERROR(INDEX(Settings!$C$5:$C$9,MATCH($B1053,Settings!$A$5:$A$9,0)),0)+IFERROR(INDEX(Settings!$F$5:$F$9,MATCH($B1053,Settings!$A$5:$A$9,0)),0))/P1053+IFERROR(INDEX(Settings!$D$5:$D$9,MATCH($B1053,Settings!$A$5:$A$9,0)),0)*M1053)</f>
        <v/>
      </c>
      <c r="W1053" s="11">
        <f>IF(J1053="","",IF(T1053="",0,M1053*INDEX(Products!$I$5:$I$204,T1053)))</f>
        <v/>
      </c>
      <c r="X1053" s="11">
        <f>IF(J1053="","",IF(T1053="",0,S1053*INDEX(Products!$H$5:$H$204,T1053)))</f>
        <v/>
      </c>
      <c r="Y1053" s="11">
        <f>IF(J1053="","",S1053-V1053-W1053-X1053)</f>
        <v/>
      </c>
    </row>
    <row r="1054">
      <c r="A1054" s="19" t="n"/>
      <c r="B1054" s="19" t="n"/>
      <c r="C1054" s="19" t="n"/>
      <c r="D1054" s="19" t="n"/>
      <c r="E1054" s="19" t="n"/>
      <c r="F1054" s="20" t="n"/>
      <c r="G1054" s="20" t="n"/>
      <c r="H1054" s="20" t="n"/>
      <c r="I1054" s="19" t="n"/>
      <c r="J1054">
        <f>IFERROR(IF(C1054="","",C1054)&amp;"","")</f>
        <v/>
      </c>
      <c r="K1054">
        <f>IFERROR(IF(D1054="","",D1054)&amp;"","")</f>
        <v/>
      </c>
      <c r="L1054">
        <f>IFERROR(IF(I1054="","",I1054)&amp;"","")</f>
        <v/>
      </c>
      <c r="M1054">
        <f>IF(J1054="","",IFERROR(VALUE(SUBSTITUTE(SUBSTITUTE(IF(E1054="","",E1054)&amp;"","$",""),",","")),0))</f>
        <v/>
      </c>
      <c r="N1054" s="11">
        <f>IF(J1054="","",IFERROR(VALUE(SUBSTITUTE(SUBSTITUTE(IF(F1054="","",F1054)&amp;"","$",""),",","")),0))</f>
        <v/>
      </c>
      <c r="O1054" s="11">
        <f>IF(J1054="","",M1054*N1054)</f>
        <v/>
      </c>
      <c r="P1054">
        <f>IF(J1054="","",IF(L1054="",1,COUNTIF($L$2:$L$1501,L1054)))</f>
        <v/>
      </c>
      <c r="Q1054" s="11">
        <f>IF(J1054="","",IFERROR(VALUE(SUBSTITUTE(SUBSTITUTE(IF(G1054="","",G1054)&amp;"","$",""),",","")),0)/IF("No"="Yes",P1054,1))</f>
        <v/>
      </c>
      <c r="R1054" s="11">
        <f>IF(J1054="","",IFERROR(VALUE(SUBSTITUTE(SUBSTITUTE(IF(H1054="","",H1054)&amp;"","$",""),",","")),0)/IF("No"="Yes",P1054,1))</f>
        <v/>
      </c>
      <c r="S1054" s="11">
        <f>IF(J1054="","",O1054+Q1054-R1054)</f>
        <v/>
      </c>
      <c r="T1054">
        <f>IF(J1054="","",IFERROR(IF(K1054="",NA(),MATCH(K1054,Products!$B$5:$B$204,0)),IFERROR(MATCH(J1054,Products!$A$5:$A$204,0),"")))</f>
        <v/>
      </c>
      <c r="U1054">
        <f>IF(J1054="","",IF(T1054="","⚠ not in Products",INDEX(Products!$A$5:$A$204,T1054)))</f>
        <v/>
      </c>
      <c r="V1054" s="11">
        <f>IF(J1054="","",S1054*(IFERROR(INDEX(Settings!$B$5:$B$9,MATCH($B1054,Settings!$A$5:$A$9,0)),0)+IFERROR(INDEX(Settings!$E$5:$E$9,MATCH($B1054,Settings!$A$5:$A$9,0)),0)+IFERROR(INDEX(Settings!$G$5:$G$9,MATCH($B1054,Settings!$A$5:$A$9,0)),0))+(IFERROR(INDEX(Settings!$C$5:$C$9,MATCH($B1054,Settings!$A$5:$A$9,0)),0)+IFERROR(INDEX(Settings!$F$5:$F$9,MATCH($B1054,Settings!$A$5:$A$9,0)),0))/P1054+IFERROR(INDEX(Settings!$D$5:$D$9,MATCH($B1054,Settings!$A$5:$A$9,0)),0)*M1054)</f>
        <v/>
      </c>
      <c r="W1054" s="11">
        <f>IF(J1054="","",IF(T1054="",0,M1054*INDEX(Products!$I$5:$I$204,T1054)))</f>
        <v/>
      </c>
      <c r="X1054" s="11">
        <f>IF(J1054="","",IF(T1054="",0,S1054*INDEX(Products!$H$5:$H$204,T1054)))</f>
        <v/>
      </c>
      <c r="Y1054" s="11">
        <f>IF(J1054="","",S1054-V1054-W1054-X1054)</f>
        <v/>
      </c>
    </row>
    <row r="1055">
      <c r="A1055" s="19" t="n"/>
      <c r="B1055" s="19" t="n"/>
      <c r="C1055" s="19" t="n"/>
      <c r="D1055" s="19" t="n"/>
      <c r="E1055" s="19" t="n"/>
      <c r="F1055" s="20" t="n"/>
      <c r="G1055" s="20" t="n"/>
      <c r="H1055" s="20" t="n"/>
      <c r="I1055" s="19" t="n"/>
      <c r="J1055">
        <f>IFERROR(IF(C1055="","",C1055)&amp;"","")</f>
        <v/>
      </c>
      <c r="K1055">
        <f>IFERROR(IF(D1055="","",D1055)&amp;"","")</f>
        <v/>
      </c>
      <c r="L1055">
        <f>IFERROR(IF(I1055="","",I1055)&amp;"","")</f>
        <v/>
      </c>
      <c r="M1055">
        <f>IF(J1055="","",IFERROR(VALUE(SUBSTITUTE(SUBSTITUTE(IF(E1055="","",E1055)&amp;"","$",""),",","")),0))</f>
        <v/>
      </c>
      <c r="N1055" s="11">
        <f>IF(J1055="","",IFERROR(VALUE(SUBSTITUTE(SUBSTITUTE(IF(F1055="","",F1055)&amp;"","$",""),",","")),0))</f>
        <v/>
      </c>
      <c r="O1055" s="11">
        <f>IF(J1055="","",M1055*N1055)</f>
        <v/>
      </c>
      <c r="P1055">
        <f>IF(J1055="","",IF(L1055="",1,COUNTIF($L$2:$L$1501,L1055)))</f>
        <v/>
      </c>
      <c r="Q1055" s="11">
        <f>IF(J1055="","",IFERROR(VALUE(SUBSTITUTE(SUBSTITUTE(IF(G1055="","",G1055)&amp;"","$",""),",","")),0)/IF("No"="Yes",P1055,1))</f>
        <v/>
      </c>
      <c r="R1055" s="11">
        <f>IF(J1055="","",IFERROR(VALUE(SUBSTITUTE(SUBSTITUTE(IF(H1055="","",H1055)&amp;"","$",""),",","")),0)/IF("No"="Yes",P1055,1))</f>
        <v/>
      </c>
      <c r="S1055" s="11">
        <f>IF(J1055="","",O1055+Q1055-R1055)</f>
        <v/>
      </c>
      <c r="T1055">
        <f>IF(J1055="","",IFERROR(IF(K1055="",NA(),MATCH(K1055,Products!$B$5:$B$204,0)),IFERROR(MATCH(J1055,Products!$A$5:$A$204,0),"")))</f>
        <v/>
      </c>
      <c r="U1055">
        <f>IF(J1055="","",IF(T1055="","⚠ not in Products",INDEX(Products!$A$5:$A$204,T1055)))</f>
        <v/>
      </c>
      <c r="V1055" s="11">
        <f>IF(J1055="","",S1055*(IFERROR(INDEX(Settings!$B$5:$B$9,MATCH($B1055,Settings!$A$5:$A$9,0)),0)+IFERROR(INDEX(Settings!$E$5:$E$9,MATCH($B1055,Settings!$A$5:$A$9,0)),0)+IFERROR(INDEX(Settings!$G$5:$G$9,MATCH($B1055,Settings!$A$5:$A$9,0)),0))+(IFERROR(INDEX(Settings!$C$5:$C$9,MATCH($B1055,Settings!$A$5:$A$9,0)),0)+IFERROR(INDEX(Settings!$F$5:$F$9,MATCH($B1055,Settings!$A$5:$A$9,0)),0))/P1055+IFERROR(INDEX(Settings!$D$5:$D$9,MATCH($B1055,Settings!$A$5:$A$9,0)),0)*M1055)</f>
        <v/>
      </c>
      <c r="W1055" s="11">
        <f>IF(J1055="","",IF(T1055="",0,M1055*INDEX(Products!$I$5:$I$204,T1055)))</f>
        <v/>
      </c>
      <c r="X1055" s="11">
        <f>IF(J1055="","",IF(T1055="",0,S1055*INDEX(Products!$H$5:$H$204,T1055)))</f>
        <v/>
      </c>
      <c r="Y1055" s="11">
        <f>IF(J1055="","",S1055-V1055-W1055-X1055)</f>
        <v/>
      </c>
    </row>
    <row r="1056">
      <c r="A1056" s="19" t="n"/>
      <c r="B1056" s="19" t="n"/>
      <c r="C1056" s="19" t="n"/>
      <c r="D1056" s="19" t="n"/>
      <c r="E1056" s="19" t="n"/>
      <c r="F1056" s="20" t="n"/>
      <c r="G1056" s="20" t="n"/>
      <c r="H1056" s="20" t="n"/>
      <c r="I1056" s="19" t="n"/>
      <c r="J1056">
        <f>IFERROR(IF(C1056="","",C1056)&amp;"","")</f>
        <v/>
      </c>
      <c r="K1056">
        <f>IFERROR(IF(D1056="","",D1056)&amp;"","")</f>
        <v/>
      </c>
      <c r="L1056">
        <f>IFERROR(IF(I1056="","",I1056)&amp;"","")</f>
        <v/>
      </c>
      <c r="M1056">
        <f>IF(J1056="","",IFERROR(VALUE(SUBSTITUTE(SUBSTITUTE(IF(E1056="","",E1056)&amp;"","$",""),",","")),0))</f>
        <v/>
      </c>
      <c r="N1056" s="11">
        <f>IF(J1056="","",IFERROR(VALUE(SUBSTITUTE(SUBSTITUTE(IF(F1056="","",F1056)&amp;"","$",""),",","")),0))</f>
        <v/>
      </c>
      <c r="O1056" s="11">
        <f>IF(J1056="","",M1056*N1056)</f>
        <v/>
      </c>
      <c r="P1056">
        <f>IF(J1056="","",IF(L1056="",1,COUNTIF($L$2:$L$1501,L1056)))</f>
        <v/>
      </c>
      <c r="Q1056" s="11">
        <f>IF(J1056="","",IFERROR(VALUE(SUBSTITUTE(SUBSTITUTE(IF(G1056="","",G1056)&amp;"","$",""),",","")),0)/IF("No"="Yes",P1056,1))</f>
        <v/>
      </c>
      <c r="R1056" s="11">
        <f>IF(J1056="","",IFERROR(VALUE(SUBSTITUTE(SUBSTITUTE(IF(H1056="","",H1056)&amp;"","$",""),",","")),0)/IF("No"="Yes",P1056,1))</f>
        <v/>
      </c>
      <c r="S1056" s="11">
        <f>IF(J1056="","",O1056+Q1056-R1056)</f>
        <v/>
      </c>
      <c r="T1056">
        <f>IF(J1056="","",IFERROR(IF(K1056="",NA(),MATCH(K1056,Products!$B$5:$B$204,0)),IFERROR(MATCH(J1056,Products!$A$5:$A$204,0),"")))</f>
        <v/>
      </c>
      <c r="U1056">
        <f>IF(J1056="","",IF(T1056="","⚠ not in Products",INDEX(Products!$A$5:$A$204,T1056)))</f>
        <v/>
      </c>
      <c r="V1056" s="11">
        <f>IF(J1056="","",S1056*(IFERROR(INDEX(Settings!$B$5:$B$9,MATCH($B1056,Settings!$A$5:$A$9,0)),0)+IFERROR(INDEX(Settings!$E$5:$E$9,MATCH($B1056,Settings!$A$5:$A$9,0)),0)+IFERROR(INDEX(Settings!$G$5:$G$9,MATCH($B1056,Settings!$A$5:$A$9,0)),0))+(IFERROR(INDEX(Settings!$C$5:$C$9,MATCH($B1056,Settings!$A$5:$A$9,0)),0)+IFERROR(INDEX(Settings!$F$5:$F$9,MATCH($B1056,Settings!$A$5:$A$9,0)),0))/P1056+IFERROR(INDEX(Settings!$D$5:$D$9,MATCH($B1056,Settings!$A$5:$A$9,0)),0)*M1056)</f>
        <v/>
      </c>
      <c r="W1056" s="11">
        <f>IF(J1056="","",IF(T1056="",0,M1056*INDEX(Products!$I$5:$I$204,T1056)))</f>
        <v/>
      </c>
      <c r="X1056" s="11">
        <f>IF(J1056="","",IF(T1056="",0,S1056*INDEX(Products!$H$5:$H$204,T1056)))</f>
        <v/>
      </c>
      <c r="Y1056" s="11">
        <f>IF(J1056="","",S1056-V1056-W1056-X1056)</f>
        <v/>
      </c>
    </row>
    <row r="1057">
      <c r="A1057" s="19" t="n"/>
      <c r="B1057" s="19" t="n"/>
      <c r="C1057" s="19" t="n"/>
      <c r="D1057" s="19" t="n"/>
      <c r="E1057" s="19" t="n"/>
      <c r="F1057" s="20" t="n"/>
      <c r="G1057" s="20" t="n"/>
      <c r="H1057" s="20" t="n"/>
      <c r="I1057" s="19" t="n"/>
      <c r="J1057">
        <f>IFERROR(IF(C1057="","",C1057)&amp;"","")</f>
        <v/>
      </c>
      <c r="K1057">
        <f>IFERROR(IF(D1057="","",D1057)&amp;"","")</f>
        <v/>
      </c>
      <c r="L1057">
        <f>IFERROR(IF(I1057="","",I1057)&amp;"","")</f>
        <v/>
      </c>
      <c r="M1057">
        <f>IF(J1057="","",IFERROR(VALUE(SUBSTITUTE(SUBSTITUTE(IF(E1057="","",E1057)&amp;"","$",""),",","")),0))</f>
        <v/>
      </c>
      <c r="N1057" s="11">
        <f>IF(J1057="","",IFERROR(VALUE(SUBSTITUTE(SUBSTITUTE(IF(F1057="","",F1057)&amp;"","$",""),",","")),0))</f>
        <v/>
      </c>
      <c r="O1057" s="11">
        <f>IF(J1057="","",M1057*N1057)</f>
        <v/>
      </c>
      <c r="P1057">
        <f>IF(J1057="","",IF(L1057="",1,COUNTIF($L$2:$L$1501,L1057)))</f>
        <v/>
      </c>
      <c r="Q1057" s="11">
        <f>IF(J1057="","",IFERROR(VALUE(SUBSTITUTE(SUBSTITUTE(IF(G1057="","",G1057)&amp;"","$",""),",","")),0)/IF("No"="Yes",P1057,1))</f>
        <v/>
      </c>
      <c r="R1057" s="11">
        <f>IF(J1057="","",IFERROR(VALUE(SUBSTITUTE(SUBSTITUTE(IF(H1057="","",H1057)&amp;"","$",""),",","")),0)/IF("No"="Yes",P1057,1))</f>
        <v/>
      </c>
      <c r="S1057" s="11">
        <f>IF(J1057="","",O1057+Q1057-R1057)</f>
        <v/>
      </c>
      <c r="T1057">
        <f>IF(J1057="","",IFERROR(IF(K1057="",NA(),MATCH(K1057,Products!$B$5:$B$204,0)),IFERROR(MATCH(J1057,Products!$A$5:$A$204,0),"")))</f>
        <v/>
      </c>
      <c r="U1057">
        <f>IF(J1057="","",IF(T1057="","⚠ not in Products",INDEX(Products!$A$5:$A$204,T1057)))</f>
        <v/>
      </c>
      <c r="V1057" s="11">
        <f>IF(J1057="","",S1057*(IFERROR(INDEX(Settings!$B$5:$B$9,MATCH($B1057,Settings!$A$5:$A$9,0)),0)+IFERROR(INDEX(Settings!$E$5:$E$9,MATCH($B1057,Settings!$A$5:$A$9,0)),0)+IFERROR(INDEX(Settings!$G$5:$G$9,MATCH($B1057,Settings!$A$5:$A$9,0)),0))+(IFERROR(INDEX(Settings!$C$5:$C$9,MATCH($B1057,Settings!$A$5:$A$9,0)),0)+IFERROR(INDEX(Settings!$F$5:$F$9,MATCH($B1057,Settings!$A$5:$A$9,0)),0))/P1057+IFERROR(INDEX(Settings!$D$5:$D$9,MATCH($B1057,Settings!$A$5:$A$9,0)),0)*M1057)</f>
        <v/>
      </c>
      <c r="W1057" s="11">
        <f>IF(J1057="","",IF(T1057="",0,M1057*INDEX(Products!$I$5:$I$204,T1057)))</f>
        <v/>
      </c>
      <c r="X1057" s="11">
        <f>IF(J1057="","",IF(T1057="",0,S1057*INDEX(Products!$H$5:$H$204,T1057)))</f>
        <v/>
      </c>
      <c r="Y1057" s="11">
        <f>IF(J1057="","",S1057-V1057-W1057-X1057)</f>
        <v/>
      </c>
    </row>
    <row r="1058">
      <c r="A1058" s="19" t="n"/>
      <c r="B1058" s="19" t="n"/>
      <c r="C1058" s="19" t="n"/>
      <c r="D1058" s="19" t="n"/>
      <c r="E1058" s="19" t="n"/>
      <c r="F1058" s="20" t="n"/>
      <c r="G1058" s="20" t="n"/>
      <c r="H1058" s="20" t="n"/>
      <c r="I1058" s="19" t="n"/>
      <c r="J1058">
        <f>IFERROR(IF(C1058="","",C1058)&amp;"","")</f>
        <v/>
      </c>
      <c r="K1058">
        <f>IFERROR(IF(D1058="","",D1058)&amp;"","")</f>
        <v/>
      </c>
      <c r="L1058">
        <f>IFERROR(IF(I1058="","",I1058)&amp;"","")</f>
        <v/>
      </c>
      <c r="M1058">
        <f>IF(J1058="","",IFERROR(VALUE(SUBSTITUTE(SUBSTITUTE(IF(E1058="","",E1058)&amp;"","$",""),",","")),0))</f>
        <v/>
      </c>
      <c r="N1058" s="11">
        <f>IF(J1058="","",IFERROR(VALUE(SUBSTITUTE(SUBSTITUTE(IF(F1058="","",F1058)&amp;"","$",""),",","")),0))</f>
        <v/>
      </c>
      <c r="O1058" s="11">
        <f>IF(J1058="","",M1058*N1058)</f>
        <v/>
      </c>
      <c r="P1058">
        <f>IF(J1058="","",IF(L1058="",1,COUNTIF($L$2:$L$1501,L1058)))</f>
        <v/>
      </c>
      <c r="Q1058" s="11">
        <f>IF(J1058="","",IFERROR(VALUE(SUBSTITUTE(SUBSTITUTE(IF(G1058="","",G1058)&amp;"","$",""),",","")),0)/IF("No"="Yes",P1058,1))</f>
        <v/>
      </c>
      <c r="R1058" s="11">
        <f>IF(J1058="","",IFERROR(VALUE(SUBSTITUTE(SUBSTITUTE(IF(H1058="","",H1058)&amp;"","$",""),",","")),0)/IF("No"="Yes",P1058,1))</f>
        <v/>
      </c>
      <c r="S1058" s="11">
        <f>IF(J1058="","",O1058+Q1058-R1058)</f>
        <v/>
      </c>
      <c r="T1058">
        <f>IF(J1058="","",IFERROR(IF(K1058="",NA(),MATCH(K1058,Products!$B$5:$B$204,0)),IFERROR(MATCH(J1058,Products!$A$5:$A$204,0),"")))</f>
        <v/>
      </c>
      <c r="U1058">
        <f>IF(J1058="","",IF(T1058="","⚠ not in Products",INDEX(Products!$A$5:$A$204,T1058)))</f>
        <v/>
      </c>
      <c r="V1058" s="11">
        <f>IF(J1058="","",S1058*(IFERROR(INDEX(Settings!$B$5:$B$9,MATCH($B1058,Settings!$A$5:$A$9,0)),0)+IFERROR(INDEX(Settings!$E$5:$E$9,MATCH($B1058,Settings!$A$5:$A$9,0)),0)+IFERROR(INDEX(Settings!$G$5:$G$9,MATCH($B1058,Settings!$A$5:$A$9,0)),0))+(IFERROR(INDEX(Settings!$C$5:$C$9,MATCH($B1058,Settings!$A$5:$A$9,0)),0)+IFERROR(INDEX(Settings!$F$5:$F$9,MATCH($B1058,Settings!$A$5:$A$9,0)),0))/P1058+IFERROR(INDEX(Settings!$D$5:$D$9,MATCH($B1058,Settings!$A$5:$A$9,0)),0)*M1058)</f>
        <v/>
      </c>
      <c r="W1058" s="11">
        <f>IF(J1058="","",IF(T1058="",0,M1058*INDEX(Products!$I$5:$I$204,T1058)))</f>
        <v/>
      </c>
      <c r="X1058" s="11">
        <f>IF(J1058="","",IF(T1058="",0,S1058*INDEX(Products!$H$5:$H$204,T1058)))</f>
        <v/>
      </c>
      <c r="Y1058" s="11">
        <f>IF(J1058="","",S1058-V1058-W1058-X1058)</f>
        <v/>
      </c>
    </row>
    <row r="1059">
      <c r="A1059" s="19" t="n"/>
      <c r="B1059" s="19" t="n"/>
      <c r="C1059" s="19" t="n"/>
      <c r="D1059" s="19" t="n"/>
      <c r="E1059" s="19" t="n"/>
      <c r="F1059" s="20" t="n"/>
      <c r="G1059" s="20" t="n"/>
      <c r="H1059" s="20" t="n"/>
      <c r="I1059" s="19" t="n"/>
      <c r="J1059">
        <f>IFERROR(IF(C1059="","",C1059)&amp;"","")</f>
        <v/>
      </c>
      <c r="K1059">
        <f>IFERROR(IF(D1059="","",D1059)&amp;"","")</f>
        <v/>
      </c>
      <c r="L1059">
        <f>IFERROR(IF(I1059="","",I1059)&amp;"","")</f>
        <v/>
      </c>
      <c r="M1059">
        <f>IF(J1059="","",IFERROR(VALUE(SUBSTITUTE(SUBSTITUTE(IF(E1059="","",E1059)&amp;"","$",""),",","")),0))</f>
        <v/>
      </c>
      <c r="N1059" s="11">
        <f>IF(J1059="","",IFERROR(VALUE(SUBSTITUTE(SUBSTITUTE(IF(F1059="","",F1059)&amp;"","$",""),",","")),0))</f>
        <v/>
      </c>
      <c r="O1059" s="11">
        <f>IF(J1059="","",M1059*N1059)</f>
        <v/>
      </c>
      <c r="P1059">
        <f>IF(J1059="","",IF(L1059="",1,COUNTIF($L$2:$L$1501,L1059)))</f>
        <v/>
      </c>
      <c r="Q1059" s="11">
        <f>IF(J1059="","",IFERROR(VALUE(SUBSTITUTE(SUBSTITUTE(IF(G1059="","",G1059)&amp;"","$",""),",","")),0)/IF("No"="Yes",P1059,1))</f>
        <v/>
      </c>
      <c r="R1059" s="11">
        <f>IF(J1059="","",IFERROR(VALUE(SUBSTITUTE(SUBSTITUTE(IF(H1059="","",H1059)&amp;"","$",""),",","")),0)/IF("No"="Yes",P1059,1))</f>
        <v/>
      </c>
      <c r="S1059" s="11">
        <f>IF(J1059="","",O1059+Q1059-R1059)</f>
        <v/>
      </c>
      <c r="T1059">
        <f>IF(J1059="","",IFERROR(IF(K1059="",NA(),MATCH(K1059,Products!$B$5:$B$204,0)),IFERROR(MATCH(J1059,Products!$A$5:$A$204,0),"")))</f>
        <v/>
      </c>
      <c r="U1059">
        <f>IF(J1059="","",IF(T1059="","⚠ not in Products",INDEX(Products!$A$5:$A$204,T1059)))</f>
        <v/>
      </c>
      <c r="V1059" s="11">
        <f>IF(J1059="","",S1059*(IFERROR(INDEX(Settings!$B$5:$B$9,MATCH($B1059,Settings!$A$5:$A$9,0)),0)+IFERROR(INDEX(Settings!$E$5:$E$9,MATCH($B1059,Settings!$A$5:$A$9,0)),0)+IFERROR(INDEX(Settings!$G$5:$G$9,MATCH($B1059,Settings!$A$5:$A$9,0)),0))+(IFERROR(INDEX(Settings!$C$5:$C$9,MATCH($B1059,Settings!$A$5:$A$9,0)),0)+IFERROR(INDEX(Settings!$F$5:$F$9,MATCH($B1059,Settings!$A$5:$A$9,0)),0))/P1059+IFERROR(INDEX(Settings!$D$5:$D$9,MATCH($B1059,Settings!$A$5:$A$9,0)),0)*M1059)</f>
        <v/>
      </c>
      <c r="W1059" s="11">
        <f>IF(J1059="","",IF(T1059="",0,M1059*INDEX(Products!$I$5:$I$204,T1059)))</f>
        <v/>
      </c>
      <c r="X1059" s="11">
        <f>IF(J1059="","",IF(T1059="",0,S1059*INDEX(Products!$H$5:$H$204,T1059)))</f>
        <v/>
      </c>
      <c r="Y1059" s="11">
        <f>IF(J1059="","",S1059-V1059-W1059-X1059)</f>
        <v/>
      </c>
    </row>
    <row r="1060">
      <c r="A1060" s="19" t="n"/>
      <c r="B1060" s="19" t="n"/>
      <c r="C1060" s="19" t="n"/>
      <c r="D1060" s="19" t="n"/>
      <c r="E1060" s="19" t="n"/>
      <c r="F1060" s="20" t="n"/>
      <c r="G1060" s="20" t="n"/>
      <c r="H1060" s="20" t="n"/>
      <c r="I1060" s="19" t="n"/>
      <c r="J1060">
        <f>IFERROR(IF(C1060="","",C1060)&amp;"","")</f>
        <v/>
      </c>
      <c r="K1060">
        <f>IFERROR(IF(D1060="","",D1060)&amp;"","")</f>
        <v/>
      </c>
      <c r="L1060">
        <f>IFERROR(IF(I1060="","",I1060)&amp;"","")</f>
        <v/>
      </c>
      <c r="M1060">
        <f>IF(J1060="","",IFERROR(VALUE(SUBSTITUTE(SUBSTITUTE(IF(E1060="","",E1060)&amp;"","$",""),",","")),0))</f>
        <v/>
      </c>
      <c r="N1060" s="11">
        <f>IF(J1060="","",IFERROR(VALUE(SUBSTITUTE(SUBSTITUTE(IF(F1060="","",F1060)&amp;"","$",""),",","")),0))</f>
        <v/>
      </c>
      <c r="O1060" s="11">
        <f>IF(J1060="","",M1060*N1060)</f>
        <v/>
      </c>
      <c r="P1060">
        <f>IF(J1060="","",IF(L1060="",1,COUNTIF($L$2:$L$1501,L1060)))</f>
        <v/>
      </c>
      <c r="Q1060" s="11">
        <f>IF(J1060="","",IFERROR(VALUE(SUBSTITUTE(SUBSTITUTE(IF(G1060="","",G1060)&amp;"","$",""),",","")),0)/IF("No"="Yes",P1060,1))</f>
        <v/>
      </c>
      <c r="R1060" s="11">
        <f>IF(J1060="","",IFERROR(VALUE(SUBSTITUTE(SUBSTITUTE(IF(H1060="","",H1060)&amp;"","$",""),",","")),0)/IF("No"="Yes",P1060,1))</f>
        <v/>
      </c>
      <c r="S1060" s="11">
        <f>IF(J1060="","",O1060+Q1060-R1060)</f>
        <v/>
      </c>
      <c r="T1060">
        <f>IF(J1060="","",IFERROR(IF(K1060="",NA(),MATCH(K1060,Products!$B$5:$B$204,0)),IFERROR(MATCH(J1060,Products!$A$5:$A$204,0),"")))</f>
        <v/>
      </c>
      <c r="U1060">
        <f>IF(J1060="","",IF(T1060="","⚠ not in Products",INDEX(Products!$A$5:$A$204,T1060)))</f>
        <v/>
      </c>
      <c r="V1060" s="11">
        <f>IF(J1060="","",S1060*(IFERROR(INDEX(Settings!$B$5:$B$9,MATCH($B1060,Settings!$A$5:$A$9,0)),0)+IFERROR(INDEX(Settings!$E$5:$E$9,MATCH($B1060,Settings!$A$5:$A$9,0)),0)+IFERROR(INDEX(Settings!$G$5:$G$9,MATCH($B1060,Settings!$A$5:$A$9,0)),0))+(IFERROR(INDEX(Settings!$C$5:$C$9,MATCH($B1060,Settings!$A$5:$A$9,0)),0)+IFERROR(INDEX(Settings!$F$5:$F$9,MATCH($B1060,Settings!$A$5:$A$9,0)),0))/P1060+IFERROR(INDEX(Settings!$D$5:$D$9,MATCH($B1060,Settings!$A$5:$A$9,0)),0)*M1060)</f>
        <v/>
      </c>
      <c r="W1060" s="11">
        <f>IF(J1060="","",IF(T1060="",0,M1060*INDEX(Products!$I$5:$I$204,T1060)))</f>
        <v/>
      </c>
      <c r="X1060" s="11">
        <f>IF(J1060="","",IF(T1060="",0,S1060*INDEX(Products!$H$5:$H$204,T1060)))</f>
        <v/>
      </c>
      <c r="Y1060" s="11">
        <f>IF(J1060="","",S1060-V1060-W1060-X1060)</f>
        <v/>
      </c>
    </row>
    <row r="1061">
      <c r="A1061" s="19" t="n"/>
      <c r="B1061" s="19" t="n"/>
      <c r="C1061" s="19" t="n"/>
      <c r="D1061" s="19" t="n"/>
      <c r="E1061" s="19" t="n"/>
      <c r="F1061" s="20" t="n"/>
      <c r="G1061" s="20" t="n"/>
      <c r="H1061" s="20" t="n"/>
      <c r="I1061" s="19" t="n"/>
      <c r="J1061">
        <f>IFERROR(IF(C1061="","",C1061)&amp;"","")</f>
        <v/>
      </c>
      <c r="K1061">
        <f>IFERROR(IF(D1061="","",D1061)&amp;"","")</f>
        <v/>
      </c>
      <c r="L1061">
        <f>IFERROR(IF(I1061="","",I1061)&amp;"","")</f>
        <v/>
      </c>
      <c r="M1061">
        <f>IF(J1061="","",IFERROR(VALUE(SUBSTITUTE(SUBSTITUTE(IF(E1061="","",E1061)&amp;"","$",""),",","")),0))</f>
        <v/>
      </c>
      <c r="N1061" s="11">
        <f>IF(J1061="","",IFERROR(VALUE(SUBSTITUTE(SUBSTITUTE(IF(F1061="","",F1061)&amp;"","$",""),",","")),0))</f>
        <v/>
      </c>
      <c r="O1061" s="11">
        <f>IF(J1061="","",M1061*N1061)</f>
        <v/>
      </c>
      <c r="P1061">
        <f>IF(J1061="","",IF(L1061="",1,COUNTIF($L$2:$L$1501,L1061)))</f>
        <v/>
      </c>
      <c r="Q1061" s="11">
        <f>IF(J1061="","",IFERROR(VALUE(SUBSTITUTE(SUBSTITUTE(IF(G1061="","",G1061)&amp;"","$",""),",","")),0)/IF("No"="Yes",P1061,1))</f>
        <v/>
      </c>
      <c r="R1061" s="11">
        <f>IF(J1061="","",IFERROR(VALUE(SUBSTITUTE(SUBSTITUTE(IF(H1061="","",H1061)&amp;"","$",""),",","")),0)/IF("No"="Yes",P1061,1))</f>
        <v/>
      </c>
      <c r="S1061" s="11">
        <f>IF(J1061="","",O1061+Q1061-R1061)</f>
        <v/>
      </c>
      <c r="T1061">
        <f>IF(J1061="","",IFERROR(IF(K1061="",NA(),MATCH(K1061,Products!$B$5:$B$204,0)),IFERROR(MATCH(J1061,Products!$A$5:$A$204,0),"")))</f>
        <v/>
      </c>
      <c r="U1061">
        <f>IF(J1061="","",IF(T1061="","⚠ not in Products",INDEX(Products!$A$5:$A$204,T1061)))</f>
        <v/>
      </c>
      <c r="V1061" s="11">
        <f>IF(J1061="","",S1061*(IFERROR(INDEX(Settings!$B$5:$B$9,MATCH($B1061,Settings!$A$5:$A$9,0)),0)+IFERROR(INDEX(Settings!$E$5:$E$9,MATCH($B1061,Settings!$A$5:$A$9,0)),0)+IFERROR(INDEX(Settings!$G$5:$G$9,MATCH($B1061,Settings!$A$5:$A$9,0)),0))+(IFERROR(INDEX(Settings!$C$5:$C$9,MATCH($B1061,Settings!$A$5:$A$9,0)),0)+IFERROR(INDEX(Settings!$F$5:$F$9,MATCH($B1061,Settings!$A$5:$A$9,0)),0))/P1061+IFERROR(INDEX(Settings!$D$5:$D$9,MATCH($B1061,Settings!$A$5:$A$9,0)),0)*M1061)</f>
        <v/>
      </c>
      <c r="W1061" s="11">
        <f>IF(J1061="","",IF(T1061="",0,M1061*INDEX(Products!$I$5:$I$204,T1061)))</f>
        <v/>
      </c>
      <c r="X1061" s="11">
        <f>IF(J1061="","",IF(T1061="",0,S1061*INDEX(Products!$H$5:$H$204,T1061)))</f>
        <v/>
      </c>
      <c r="Y1061" s="11">
        <f>IF(J1061="","",S1061-V1061-W1061-X1061)</f>
        <v/>
      </c>
    </row>
    <row r="1062">
      <c r="A1062" s="19" t="n"/>
      <c r="B1062" s="19" t="n"/>
      <c r="C1062" s="19" t="n"/>
      <c r="D1062" s="19" t="n"/>
      <c r="E1062" s="19" t="n"/>
      <c r="F1062" s="20" t="n"/>
      <c r="G1062" s="20" t="n"/>
      <c r="H1062" s="20" t="n"/>
      <c r="I1062" s="19" t="n"/>
      <c r="J1062">
        <f>IFERROR(IF(C1062="","",C1062)&amp;"","")</f>
        <v/>
      </c>
      <c r="K1062">
        <f>IFERROR(IF(D1062="","",D1062)&amp;"","")</f>
        <v/>
      </c>
      <c r="L1062">
        <f>IFERROR(IF(I1062="","",I1062)&amp;"","")</f>
        <v/>
      </c>
      <c r="M1062">
        <f>IF(J1062="","",IFERROR(VALUE(SUBSTITUTE(SUBSTITUTE(IF(E1062="","",E1062)&amp;"","$",""),",","")),0))</f>
        <v/>
      </c>
      <c r="N1062" s="11">
        <f>IF(J1062="","",IFERROR(VALUE(SUBSTITUTE(SUBSTITUTE(IF(F1062="","",F1062)&amp;"","$",""),",","")),0))</f>
        <v/>
      </c>
      <c r="O1062" s="11">
        <f>IF(J1062="","",M1062*N1062)</f>
        <v/>
      </c>
      <c r="P1062">
        <f>IF(J1062="","",IF(L1062="",1,COUNTIF($L$2:$L$1501,L1062)))</f>
        <v/>
      </c>
      <c r="Q1062" s="11">
        <f>IF(J1062="","",IFERROR(VALUE(SUBSTITUTE(SUBSTITUTE(IF(G1062="","",G1062)&amp;"","$",""),",","")),0)/IF("No"="Yes",P1062,1))</f>
        <v/>
      </c>
      <c r="R1062" s="11">
        <f>IF(J1062="","",IFERROR(VALUE(SUBSTITUTE(SUBSTITUTE(IF(H1062="","",H1062)&amp;"","$",""),",","")),0)/IF("No"="Yes",P1062,1))</f>
        <v/>
      </c>
      <c r="S1062" s="11">
        <f>IF(J1062="","",O1062+Q1062-R1062)</f>
        <v/>
      </c>
      <c r="T1062">
        <f>IF(J1062="","",IFERROR(IF(K1062="",NA(),MATCH(K1062,Products!$B$5:$B$204,0)),IFERROR(MATCH(J1062,Products!$A$5:$A$204,0),"")))</f>
        <v/>
      </c>
      <c r="U1062">
        <f>IF(J1062="","",IF(T1062="","⚠ not in Products",INDEX(Products!$A$5:$A$204,T1062)))</f>
        <v/>
      </c>
      <c r="V1062" s="11">
        <f>IF(J1062="","",S1062*(IFERROR(INDEX(Settings!$B$5:$B$9,MATCH($B1062,Settings!$A$5:$A$9,0)),0)+IFERROR(INDEX(Settings!$E$5:$E$9,MATCH($B1062,Settings!$A$5:$A$9,0)),0)+IFERROR(INDEX(Settings!$G$5:$G$9,MATCH($B1062,Settings!$A$5:$A$9,0)),0))+(IFERROR(INDEX(Settings!$C$5:$C$9,MATCH($B1062,Settings!$A$5:$A$9,0)),0)+IFERROR(INDEX(Settings!$F$5:$F$9,MATCH($B1062,Settings!$A$5:$A$9,0)),0))/P1062+IFERROR(INDEX(Settings!$D$5:$D$9,MATCH($B1062,Settings!$A$5:$A$9,0)),0)*M1062)</f>
        <v/>
      </c>
      <c r="W1062" s="11">
        <f>IF(J1062="","",IF(T1062="",0,M1062*INDEX(Products!$I$5:$I$204,T1062)))</f>
        <v/>
      </c>
      <c r="X1062" s="11">
        <f>IF(J1062="","",IF(T1062="",0,S1062*INDEX(Products!$H$5:$H$204,T1062)))</f>
        <v/>
      </c>
      <c r="Y1062" s="11">
        <f>IF(J1062="","",S1062-V1062-W1062-X1062)</f>
        <v/>
      </c>
    </row>
    <row r="1063">
      <c r="A1063" s="19" t="n"/>
      <c r="B1063" s="19" t="n"/>
      <c r="C1063" s="19" t="n"/>
      <c r="D1063" s="19" t="n"/>
      <c r="E1063" s="19" t="n"/>
      <c r="F1063" s="20" t="n"/>
      <c r="G1063" s="20" t="n"/>
      <c r="H1063" s="20" t="n"/>
      <c r="I1063" s="19" t="n"/>
      <c r="J1063">
        <f>IFERROR(IF(C1063="","",C1063)&amp;"","")</f>
        <v/>
      </c>
      <c r="K1063">
        <f>IFERROR(IF(D1063="","",D1063)&amp;"","")</f>
        <v/>
      </c>
      <c r="L1063">
        <f>IFERROR(IF(I1063="","",I1063)&amp;"","")</f>
        <v/>
      </c>
      <c r="M1063">
        <f>IF(J1063="","",IFERROR(VALUE(SUBSTITUTE(SUBSTITUTE(IF(E1063="","",E1063)&amp;"","$",""),",","")),0))</f>
        <v/>
      </c>
      <c r="N1063" s="11">
        <f>IF(J1063="","",IFERROR(VALUE(SUBSTITUTE(SUBSTITUTE(IF(F1063="","",F1063)&amp;"","$",""),",","")),0))</f>
        <v/>
      </c>
      <c r="O1063" s="11">
        <f>IF(J1063="","",M1063*N1063)</f>
        <v/>
      </c>
      <c r="P1063">
        <f>IF(J1063="","",IF(L1063="",1,COUNTIF($L$2:$L$1501,L1063)))</f>
        <v/>
      </c>
      <c r="Q1063" s="11">
        <f>IF(J1063="","",IFERROR(VALUE(SUBSTITUTE(SUBSTITUTE(IF(G1063="","",G1063)&amp;"","$",""),",","")),0)/IF("No"="Yes",P1063,1))</f>
        <v/>
      </c>
      <c r="R1063" s="11">
        <f>IF(J1063="","",IFERROR(VALUE(SUBSTITUTE(SUBSTITUTE(IF(H1063="","",H1063)&amp;"","$",""),",","")),0)/IF("No"="Yes",P1063,1))</f>
        <v/>
      </c>
      <c r="S1063" s="11">
        <f>IF(J1063="","",O1063+Q1063-R1063)</f>
        <v/>
      </c>
      <c r="T1063">
        <f>IF(J1063="","",IFERROR(IF(K1063="",NA(),MATCH(K1063,Products!$B$5:$B$204,0)),IFERROR(MATCH(J1063,Products!$A$5:$A$204,0),"")))</f>
        <v/>
      </c>
      <c r="U1063">
        <f>IF(J1063="","",IF(T1063="","⚠ not in Products",INDEX(Products!$A$5:$A$204,T1063)))</f>
        <v/>
      </c>
      <c r="V1063" s="11">
        <f>IF(J1063="","",S1063*(IFERROR(INDEX(Settings!$B$5:$B$9,MATCH($B1063,Settings!$A$5:$A$9,0)),0)+IFERROR(INDEX(Settings!$E$5:$E$9,MATCH($B1063,Settings!$A$5:$A$9,0)),0)+IFERROR(INDEX(Settings!$G$5:$G$9,MATCH($B1063,Settings!$A$5:$A$9,0)),0))+(IFERROR(INDEX(Settings!$C$5:$C$9,MATCH($B1063,Settings!$A$5:$A$9,0)),0)+IFERROR(INDEX(Settings!$F$5:$F$9,MATCH($B1063,Settings!$A$5:$A$9,0)),0))/P1063+IFERROR(INDEX(Settings!$D$5:$D$9,MATCH($B1063,Settings!$A$5:$A$9,0)),0)*M1063)</f>
        <v/>
      </c>
      <c r="W1063" s="11">
        <f>IF(J1063="","",IF(T1063="",0,M1063*INDEX(Products!$I$5:$I$204,T1063)))</f>
        <v/>
      </c>
      <c r="X1063" s="11">
        <f>IF(J1063="","",IF(T1063="",0,S1063*INDEX(Products!$H$5:$H$204,T1063)))</f>
        <v/>
      </c>
      <c r="Y1063" s="11">
        <f>IF(J1063="","",S1063-V1063-W1063-X1063)</f>
        <v/>
      </c>
    </row>
    <row r="1064">
      <c r="A1064" s="19" t="n"/>
      <c r="B1064" s="19" t="n"/>
      <c r="C1064" s="19" t="n"/>
      <c r="D1064" s="19" t="n"/>
      <c r="E1064" s="19" t="n"/>
      <c r="F1064" s="20" t="n"/>
      <c r="G1064" s="20" t="n"/>
      <c r="H1064" s="20" t="n"/>
      <c r="I1064" s="19" t="n"/>
      <c r="J1064">
        <f>IFERROR(IF(C1064="","",C1064)&amp;"","")</f>
        <v/>
      </c>
      <c r="K1064">
        <f>IFERROR(IF(D1064="","",D1064)&amp;"","")</f>
        <v/>
      </c>
      <c r="L1064">
        <f>IFERROR(IF(I1064="","",I1064)&amp;"","")</f>
        <v/>
      </c>
      <c r="M1064">
        <f>IF(J1064="","",IFERROR(VALUE(SUBSTITUTE(SUBSTITUTE(IF(E1064="","",E1064)&amp;"","$",""),",","")),0))</f>
        <v/>
      </c>
      <c r="N1064" s="11">
        <f>IF(J1064="","",IFERROR(VALUE(SUBSTITUTE(SUBSTITUTE(IF(F1064="","",F1064)&amp;"","$",""),",","")),0))</f>
        <v/>
      </c>
      <c r="O1064" s="11">
        <f>IF(J1064="","",M1064*N1064)</f>
        <v/>
      </c>
      <c r="P1064">
        <f>IF(J1064="","",IF(L1064="",1,COUNTIF($L$2:$L$1501,L1064)))</f>
        <v/>
      </c>
      <c r="Q1064" s="11">
        <f>IF(J1064="","",IFERROR(VALUE(SUBSTITUTE(SUBSTITUTE(IF(G1064="","",G1064)&amp;"","$",""),",","")),0)/IF("No"="Yes",P1064,1))</f>
        <v/>
      </c>
      <c r="R1064" s="11">
        <f>IF(J1064="","",IFERROR(VALUE(SUBSTITUTE(SUBSTITUTE(IF(H1064="","",H1064)&amp;"","$",""),",","")),0)/IF("No"="Yes",P1064,1))</f>
        <v/>
      </c>
      <c r="S1064" s="11">
        <f>IF(J1064="","",O1064+Q1064-R1064)</f>
        <v/>
      </c>
      <c r="T1064">
        <f>IF(J1064="","",IFERROR(IF(K1064="",NA(),MATCH(K1064,Products!$B$5:$B$204,0)),IFERROR(MATCH(J1064,Products!$A$5:$A$204,0),"")))</f>
        <v/>
      </c>
      <c r="U1064">
        <f>IF(J1064="","",IF(T1064="","⚠ not in Products",INDEX(Products!$A$5:$A$204,T1064)))</f>
        <v/>
      </c>
      <c r="V1064" s="11">
        <f>IF(J1064="","",S1064*(IFERROR(INDEX(Settings!$B$5:$B$9,MATCH($B1064,Settings!$A$5:$A$9,0)),0)+IFERROR(INDEX(Settings!$E$5:$E$9,MATCH($B1064,Settings!$A$5:$A$9,0)),0)+IFERROR(INDEX(Settings!$G$5:$G$9,MATCH($B1064,Settings!$A$5:$A$9,0)),0))+(IFERROR(INDEX(Settings!$C$5:$C$9,MATCH($B1064,Settings!$A$5:$A$9,0)),0)+IFERROR(INDEX(Settings!$F$5:$F$9,MATCH($B1064,Settings!$A$5:$A$9,0)),0))/P1064+IFERROR(INDEX(Settings!$D$5:$D$9,MATCH($B1064,Settings!$A$5:$A$9,0)),0)*M1064)</f>
        <v/>
      </c>
      <c r="W1064" s="11">
        <f>IF(J1064="","",IF(T1064="",0,M1064*INDEX(Products!$I$5:$I$204,T1064)))</f>
        <v/>
      </c>
      <c r="X1064" s="11">
        <f>IF(J1064="","",IF(T1064="",0,S1064*INDEX(Products!$H$5:$H$204,T1064)))</f>
        <v/>
      </c>
      <c r="Y1064" s="11">
        <f>IF(J1064="","",S1064-V1064-W1064-X1064)</f>
        <v/>
      </c>
    </row>
    <row r="1065">
      <c r="A1065" s="19" t="n"/>
      <c r="B1065" s="19" t="n"/>
      <c r="C1065" s="19" t="n"/>
      <c r="D1065" s="19" t="n"/>
      <c r="E1065" s="19" t="n"/>
      <c r="F1065" s="20" t="n"/>
      <c r="G1065" s="20" t="n"/>
      <c r="H1065" s="20" t="n"/>
      <c r="I1065" s="19" t="n"/>
      <c r="J1065">
        <f>IFERROR(IF(C1065="","",C1065)&amp;"","")</f>
        <v/>
      </c>
      <c r="K1065">
        <f>IFERROR(IF(D1065="","",D1065)&amp;"","")</f>
        <v/>
      </c>
      <c r="L1065">
        <f>IFERROR(IF(I1065="","",I1065)&amp;"","")</f>
        <v/>
      </c>
      <c r="M1065">
        <f>IF(J1065="","",IFERROR(VALUE(SUBSTITUTE(SUBSTITUTE(IF(E1065="","",E1065)&amp;"","$",""),",","")),0))</f>
        <v/>
      </c>
      <c r="N1065" s="11">
        <f>IF(J1065="","",IFERROR(VALUE(SUBSTITUTE(SUBSTITUTE(IF(F1065="","",F1065)&amp;"","$",""),",","")),0))</f>
        <v/>
      </c>
      <c r="O1065" s="11">
        <f>IF(J1065="","",M1065*N1065)</f>
        <v/>
      </c>
      <c r="P1065">
        <f>IF(J1065="","",IF(L1065="",1,COUNTIF($L$2:$L$1501,L1065)))</f>
        <v/>
      </c>
      <c r="Q1065" s="11">
        <f>IF(J1065="","",IFERROR(VALUE(SUBSTITUTE(SUBSTITUTE(IF(G1065="","",G1065)&amp;"","$",""),",","")),0)/IF("No"="Yes",P1065,1))</f>
        <v/>
      </c>
      <c r="R1065" s="11">
        <f>IF(J1065="","",IFERROR(VALUE(SUBSTITUTE(SUBSTITUTE(IF(H1065="","",H1065)&amp;"","$",""),",","")),0)/IF("No"="Yes",P1065,1))</f>
        <v/>
      </c>
      <c r="S1065" s="11">
        <f>IF(J1065="","",O1065+Q1065-R1065)</f>
        <v/>
      </c>
      <c r="T1065">
        <f>IF(J1065="","",IFERROR(IF(K1065="",NA(),MATCH(K1065,Products!$B$5:$B$204,0)),IFERROR(MATCH(J1065,Products!$A$5:$A$204,0),"")))</f>
        <v/>
      </c>
      <c r="U1065">
        <f>IF(J1065="","",IF(T1065="","⚠ not in Products",INDEX(Products!$A$5:$A$204,T1065)))</f>
        <v/>
      </c>
      <c r="V1065" s="11">
        <f>IF(J1065="","",S1065*(IFERROR(INDEX(Settings!$B$5:$B$9,MATCH($B1065,Settings!$A$5:$A$9,0)),0)+IFERROR(INDEX(Settings!$E$5:$E$9,MATCH($B1065,Settings!$A$5:$A$9,0)),0)+IFERROR(INDEX(Settings!$G$5:$G$9,MATCH($B1065,Settings!$A$5:$A$9,0)),0))+(IFERROR(INDEX(Settings!$C$5:$C$9,MATCH($B1065,Settings!$A$5:$A$9,0)),0)+IFERROR(INDEX(Settings!$F$5:$F$9,MATCH($B1065,Settings!$A$5:$A$9,0)),0))/P1065+IFERROR(INDEX(Settings!$D$5:$D$9,MATCH($B1065,Settings!$A$5:$A$9,0)),0)*M1065)</f>
        <v/>
      </c>
      <c r="W1065" s="11">
        <f>IF(J1065="","",IF(T1065="",0,M1065*INDEX(Products!$I$5:$I$204,T1065)))</f>
        <v/>
      </c>
      <c r="X1065" s="11">
        <f>IF(J1065="","",IF(T1065="",0,S1065*INDEX(Products!$H$5:$H$204,T1065)))</f>
        <v/>
      </c>
      <c r="Y1065" s="11">
        <f>IF(J1065="","",S1065-V1065-W1065-X1065)</f>
        <v/>
      </c>
    </row>
    <row r="1066">
      <c r="A1066" s="19" t="n"/>
      <c r="B1066" s="19" t="n"/>
      <c r="C1066" s="19" t="n"/>
      <c r="D1066" s="19" t="n"/>
      <c r="E1066" s="19" t="n"/>
      <c r="F1066" s="20" t="n"/>
      <c r="G1066" s="20" t="n"/>
      <c r="H1066" s="20" t="n"/>
      <c r="I1066" s="19" t="n"/>
      <c r="J1066">
        <f>IFERROR(IF(C1066="","",C1066)&amp;"","")</f>
        <v/>
      </c>
      <c r="K1066">
        <f>IFERROR(IF(D1066="","",D1066)&amp;"","")</f>
        <v/>
      </c>
      <c r="L1066">
        <f>IFERROR(IF(I1066="","",I1066)&amp;"","")</f>
        <v/>
      </c>
      <c r="M1066">
        <f>IF(J1066="","",IFERROR(VALUE(SUBSTITUTE(SUBSTITUTE(IF(E1066="","",E1066)&amp;"","$",""),",","")),0))</f>
        <v/>
      </c>
      <c r="N1066" s="11">
        <f>IF(J1066="","",IFERROR(VALUE(SUBSTITUTE(SUBSTITUTE(IF(F1066="","",F1066)&amp;"","$",""),",","")),0))</f>
        <v/>
      </c>
      <c r="O1066" s="11">
        <f>IF(J1066="","",M1066*N1066)</f>
        <v/>
      </c>
      <c r="P1066">
        <f>IF(J1066="","",IF(L1066="",1,COUNTIF($L$2:$L$1501,L1066)))</f>
        <v/>
      </c>
      <c r="Q1066" s="11">
        <f>IF(J1066="","",IFERROR(VALUE(SUBSTITUTE(SUBSTITUTE(IF(G1066="","",G1066)&amp;"","$",""),",","")),0)/IF("No"="Yes",P1066,1))</f>
        <v/>
      </c>
      <c r="R1066" s="11">
        <f>IF(J1066="","",IFERROR(VALUE(SUBSTITUTE(SUBSTITUTE(IF(H1066="","",H1066)&amp;"","$",""),",","")),0)/IF("No"="Yes",P1066,1))</f>
        <v/>
      </c>
      <c r="S1066" s="11">
        <f>IF(J1066="","",O1066+Q1066-R1066)</f>
        <v/>
      </c>
      <c r="T1066">
        <f>IF(J1066="","",IFERROR(IF(K1066="",NA(),MATCH(K1066,Products!$B$5:$B$204,0)),IFERROR(MATCH(J1066,Products!$A$5:$A$204,0),"")))</f>
        <v/>
      </c>
      <c r="U1066">
        <f>IF(J1066="","",IF(T1066="","⚠ not in Products",INDEX(Products!$A$5:$A$204,T1066)))</f>
        <v/>
      </c>
      <c r="V1066" s="11">
        <f>IF(J1066="","",S1066*(IFERROR(INDEX(Settings!$B$5:$B$9,MATCH($B1066,Settings!$A$5:$A$9,0)),0)+IFERROR(INDEX(Settings!$E$5:$E$9,MATCH($B1066,Settings!$A$5:$A$9,0)),0)+IFERROR(INDEX(Settings!$G$5:$G$9,MATCH($B1066,Settings!$A$5:$A$9,0)),0))+(IFERROR(INDEX(Settings!$C$5:$C$9,MATCH($B1066,Settings!$A$5:$A$9,0)),0)+IFERROR(INDEX(Settings!$F$5:$F$9,MATCH($B1066,Settings!$A$5:$A$9,0)),0))/P1066+IFERROR(INDEX(Settings!$D$5:$D$9,MATCH($B1066,Settings!$A$5:$A$9,0)),0)*M1066)</f>
        <v/>
      </c>
      <c r="W1066" s="11">
        <f>IF(J1066="","",IF(T1066="",0,M1066*INDEX(Products!$I$5:$I$204,T1066)))</f>
        <v/>
      </c>
      <c r="X1066" s="11">
        <f>IF(J1066="","",IF(T1066="",0,S1066*INDEX(Products!$H$5:$H$204,T1066)))</f>
        <v/>
      </c>
      <c r="Y1066" s="11">
        <f>IF(J1066="","",S1066-V1066-W1066-X1066)</f>
        <v/>
      </c>
    </row>
    <row r="1067">
      <c r="A1067" s="19" t="n"/>
      <c r="B1067" s="19" t="n"/>
      <c r="C1067" s="19" t="n"/>
      <c r="D1067" s="19" t="n"/>
      <c r="E1067" s="19" t="n"/>
      <c r="F1067" s="20" t="n"/>
      <c r="G1067" s="20" t="n"/>
      <c r="H1067" s="20" t="n"/>
      <c r="I1067" s="19" t="n"/>
      <c r="J1067">
        <f>IFERROR(IF(C1067="","",C1067)&amp;"","")</f>
        <v/>
      </c>
      <c r="K1067">
        <f>IFERROR(IF(D1067="","",D1067)&amp;"","")</f>
        <v/>
      </c>
      <c r="L1067">
        <f>IFERROR(IF(I1067="","",I1067)&amp;"","")</f>
        <v/>
      </c>
      <c r="M1067">
        <f>IF(J1067="","",IFERROR(VALUE(SUBSTITUTE(SUBSTITUTE(IF(E1067="","",E1067)&amp;"","$",""),",","")),0))</f>
        <v/>
      </c>
      <c r="N1067" s="11">
        <f>IF(J1067="","",IFERROR(VALUE(SUBSTITUTE(SUBSTITUTE(IF(F1067="","",F1067)&amp;"","$",""),",","")),0))</f>
        <v/>
      </c>
      <c r="O1067" s="11">
        <f>IF(J1067="","",M1067*N1067)</f>
        <v/>
      </c>
      <c r="P1067">
        <f>IF(J1067="","",IF(L1067="",1,COUNTIF($L$2:$L$1501,L1067)))</f>
        <v/>
      </c>
      <c r="Q1067" s="11">
        <f>IF(J1067="","",IFERROR(VALUE(SUBSTITUTE(SUBSTITUTE(IF(G1067="","",G1067)&amp;"","$",""),",","")),0)/IF("No"="Yes",P1067,1))</f>
        <v/>
      </c>
      <c r="R1067" s="11">
        <f>IF(J1067="","",IFERROR(VALUE(SUBSTITUTE(SUBSTITUTE(IF(H1067="","",H1067)&amp;"","$",""),",","")),0)/IF("No"="Yes",P1067,1))</f>
        <v/>
      </c>
      <c r="S1067" s="11">
        <f>IF(J1067="","",O1067+Q1067-R1067)</f>
        <v/>
      </c>
      <c r="T1067">
        <f>IF(J1067="","",IFERROR(IF(K1067="",NA(),MATCH(K1067,Products!$B$5:$B$204,0)),IFERROR(MATCH(J1067,Products!$A$5:$A$204,0),"")))</f>
        <v/>
      </c>
      <c r="U1067">
        <f>IF(J1067="","",IF(T1067="","⚠ not in Products",INDEX(Products!$A$5:$A$204,T1067)))</f>
        <v/>
      </c>
      <c r="V1067" s="11">
        <f>IF(J1067="","",S1067*(IFERROR(INDEX(Settings!$B$5:$B$9,MATCH($B1067,Settings!$A$5:$A$9,0)),0)+IFERROR(INDEX(Settings!$E$5:$E$9,MATCH($B1067,Settings!$A$5:$A$9,0)),0)+IFERROR(INDEX(Settings!$G$5:$G$9,MATCH($B1067,Settings!$A$5:$A$9,0)),0))+(IFERROR(INDEX(Settings!$C$5:$C$9,MATCH($B1067,Settings!$A$5:$A$9,0)),0)+IFERROR(INDEX(Settings!$F$5:$F$9,MATCH($B1067,Settings!$A$5:$A$9,0)),0))/P1067+IFERROR(INDEX(Settings!$D$5:$D$9,MATCH($B1067,Settings!$A$5:$A$9,0)),0)*M1067)</f>
        <v/>
      </c>
      <c r="W1067" s="11">
        <f>IF(J1067="","",IF(T1067="",0,M1067*INDEX(Products!$I$5:$I$204,T1067)))</f>
        <v/>
      </c>
      <c r="X1067" s="11">
        <f>IF(J1067="","",IF(T1067="",0,S1067*INDEX(Products!$H$5:$H$204,T1067)))</f>
        <v/>
      </c>
      <c r="Y1067" s="11">
        <f>IF(J1067="","",S1067-V1067-W1067-X1067)</f>
        <v/>
      </c>
    </row>
    <row r="1068">
      <c r="A1068" s="19" t="n"/>
      <c r="B1068" s="19" t="n"/>
      <c r="C1068" s="19" t="n"/>
      <c r="D1068" s="19" t="n"/>
      <c r="E1068" s="19" t="n"/>
      <c r="F1068" s="20" t="n"/>
      <c r="G1068" s="20" t="n"/>
      <c r="H1068" s="20" t="n"/>
      <c r="I1068" s="19" t="n"/>
      <c r="J1068">
        <f>IFERROR(IF(C1068="","",C1068)&amp;"","")</f>
        <v/>
      </c>
      <c r="K1068">
        <f>IFERROR(IF(D1068="","",D1068)&amp;"","")</f>
        <v/>
      </c>
      <c r="L1068">
        <f>IFERROR(IF(I1068="","",I1068)&amp;"","")</f>
        <v/>
      </c>
      <c r="M1068">
        <f>IF(J1068="","",IFERROR(VALUE(SUBSTITUTE(SUBSTITUTE(IF(E1068="","",E1068)&amp;"","$",""),",","")),0))</f>
        <v/>
      </c>
      <c r="N1068" s="11">
        <f>IF(J1068="","",IFERROR(VALUE(SUBSTITUTE(SUBSTITUTE(IF(F1068="","",F1068)&amp;"","$",""),",","")),0))</f>
        <v/>
      </c>
      <c r="O1068" s="11">
        <f>IF(J1068="","",M1068*N1068)</f>
        <v/>
      </c>
      <c r="P1068">
        <f>IF(J1068="","",IF(L1068="",1,COUNTIF($L$2:$L$1501,L1068)))</f>
        <v/>
      </c>
      <c r="Q1068" s="11">
        <f>IF(J1068="","",IFERROR(VALUE(SUBSTITUTE(SUBSTITUTE(IF(G1068="","",G1068)&amp;"","$",""),",","")),0)/IF("No"="Yes",P1068,1))</f>
        <v/>
      </c>
      <c r="R1068" s="11">
        <f>IF(J1068="","",IFERROR(VALUE(SUBSTITUTE(SUBSTITUTE(IF(H1068="","",H1068)&amp;"","$",""),",","")),0)/IF("No"="Yes",P1068,1))</f>
        <v/>
      </c>
      <c r="S1068" s="11">
        <f>IF(J1068="","",O1068+Q1068-R1068)</f>
        <v/>
      </c>
      <c r="T1068">
        <f>IF(J1068="","",IFERROR(IF(K1068="",NA(),MATCH(K1068,Products!$B$5:$B$204,0)),IFERROR(MATCH(J1068,Products!$A$5:$A$204,0),"")))</f>
        <v/>
      </c>
      <c r="U1068">
        <f>IF(J1068="","",IF(T1068="","⚠ not in Products",INDEX(Products!$A$5:$A$204,T1068)))</f>
        <v/>
      </c>
      <c r="V1068" s="11">
        <f>IF(J1068="","",S1068*(IFERROR(INDEX(Settings!$B$5:$B$9,MATCH($B1068,Settings!$A$5:$A$9,0)),0)+IFERROR(INDEX(Settings!$E$5:$E$9,MATCH($B1068,Settings!$A$5:$A$9,0)),0)+IFERROR(INDEX(Settings!$G$5:$G$9,MATCH($B1068,Settings!$A$5:$A$9,0)),0))+(IFERROR(INDEX(Settings!$C$5:$C$9,MATCH($B1068,Settings!$A$5:$A$9,0)),0)+IFERROR(INDEX(Settings!$F$5:$F$9,MATCH($B1068,Settings!$A$5:$A$9,0)),0))/P1068+IFERROR(INDEX(Settings!$D$5:$D$9,MATCH($B1068,Settings!$A$5:$A$9,0)),0)*M1068)</f>
        <v/>
      </c>
      <c r="W1068" s="11">
        <f>IF(J1068="","",IF(T1068="",0,M1068*INDEX(Products!$I$5:$I$204,T1068)))</f>
        <v/>
      </c>
      <c r="X1068" s="11">
        <f>IF(J1068="","",IF(T1068="",0,S1068*INDEX(Products!$H$5:$H$204,T1068)))</f>
        <v/>
      </c>
      <c r="Y1068" s="11">
        <f>IF(J1068="","",S1068-V1068-W1068-X1068)</f>
        <v/>
      </c>
    </row>
    <row r="1069">
      <c r="A1069" s="19" t="n"/>
      <c r="B1069" s="19" t="n"/>
      <c r="C1069" s="19" t="n"/>
      <c r="D1069" s="19" t="n"/>
      <c r="E1069" s="19" t="n"/>
      <c r="F1069" s="20" t="n"/>
      <c r="G1069" s="20" t="n"/>
      <c r="H1069" s="20" t="n"/>
      <c r="I1069" s="19" t="n"/>
      <c r="J1069">
        <f>IFERROR(IF(C1069="","",C1069)&amp;"","")</f>
        <v/>
      </c>
      <c r="K1069">
        <f>IFERROR(IF(D1069="","",D1069)&amp;"","")</f>
        <v/>
      </c>
      <c r="L1069">
        <f>IFERROR(IF(I1069="","",I1069)&amp;"","")</f>
        <v/>
      </c>
      <c r="M1069">
        <f>IF(J1069="","",IFERROR(VALUE(SUBSTITUTE(SUBSTITUTE(IF(E1069="","",E1069)&amp;"","$",""),",","")),0))</f>
        <v/>
      </c>
      <c r="N1069" s="11">
        <f>IF(J1069="","",IFERROR(VALUE(SUBSTITUTE(SUBSTITUTE(IF(F1069="","",F1069)&amp;"","$",""),",","")),0))</f>
        <v/>
      </c>
      <c r="O1069" s="11">
        <f>IF(J1069="","",M1069*N1069)</f>
        <v/>
      </c>
      <c r="P1069">
        <f>IF(J1069="","",IF(L1069="",1,COUNTIF($L$2:$L$1501,L1069)))</f>
        <v/>
      </c>
      <c r="Q1069" s="11">
        <f>IF(J1069="","",IFERROR(VALUE(SUBSTITUTE(SUBSTITUTE(IF(G1069="","",G1069)&amp;"","$",""),",","")),0)/IF("No"="Yes",P1069,1))</f>
        <v/>
      </c>
      <c r="R1069" s="11">
        <f>IF(J1069="","",IFERROR(VALUE(SUBSTITUTE(SUBSTITUTE(IF(H1069="","",H1069)&amp;"","$",""),",","")),0)/IF("No"="Yes",P1069,1))</f>
        <v/>
      </c>
      <c r="S1069" s="11">
        <f>IF(J1069="","",O1069+Q1069-R1069)</f>
        <v/>
      </c>
      <c r="T1069">
        <f>IF(J1069="","",IFERROR(IF(K1069="",NA(),MATCH(K1069,Products!$B$5:$B$204,0)),IFERROR(MATCH(J1069,Products!$A$5:$A$204,0),"")))</f>
        <v/>
      </c>
      <c r="U1069">
        <f>IF(J1069="","",IF(T1069="","⚠ not in Products",INDEX(Products!$A$5:$A$204,T1069)))</f>
        <v/>
      </c>
      <c r="V1069" s="11">
        <f>IF(J1069="","",S1069*(IFERROR(INDEX(Settings!$B$5:$B$9,MATCH($B1069,Settings!$A$5:$A$9,0)),0)+IFERROR(INDEX(Settings!$E$5:$E$9,MATCH($B1069,Settings!$A$5:$A$9,0)),0)+IFERROR(INDEX(Settings!$G$5:$G$9,MATCH($B1069,Settings!$A$5:$A$9,0)),0))+(IFERROR(INDEX(Settings!$C$5:$C$9,MATCH($B1069,Settings!$A$5:$A$9,0)),0)+IFERROR(INDEX(Settings!$F$5:$F$9,MATCH($B1069,Settings!$A$5:$A$9,0)),0))/P1069+IFERROR(INDEX(Settings!$D$5:$D$9,MATCH($B1069,Settings!$A$5:$A$9,0)),0)*M1069)</f>
        <v/>
      </c>
      <c r="W1069" s="11">
        <f>IF(J1069="","",IF(T1069="",0,M1069*INDEX(Products!$I$5:$I$204,T1069)))</f>
        <v/>
      </c>
      <c r="X1069" s="11">
        <f>IF(J1069="","",IF(T1069="",0,S1069*INDEX(Products!$H$5:$H$204,T1069)))</f>
        <v/>
      </c>
      <c r="Y1069" s="11">
        <f>IF(J1069="","",S1069-V1069-W1069-X1069)</f>
        <v/>
      </c>
    </row>
    <row r="1070">
      <c r="A1070" s="19" t="n"/>
      <c r="B1070" s="19" t="n"/>
      <c r="C1070" s="19" t="n"/>
      <c r="D1070" s="19" t="n"/>
      <c r="E1070" s="19" t="n"/>
      <c r="F1070" s="20" t="n"/>
      <c r="G1070" s="20" t="n"/>
      <c r="H1070" s="20" t="n"/>
      <c r="I1070" s="19" t="n"/>
      <c r="J1070">
        <f>IFERROR(IF(C1070="","",C1070)&amp;"","")</f>
        <v/>
      </c>
      <c r="K1070">
        <f>IFERROR(IF(D1070="","",D1070)&amp;"","")</f>
        <v/>
      </c>
      <c r="L1070">
        <f>IFERROR(IF(I1070="","",I1070)&amp;"","")</f>
        <v/>
      </c>
      <c r="M1070">
        <f>IF(J1070="","",IFERROR(VALUE(SUBSTITUTE(SUBSTITUTE(IF(E1070="","",E1070)&amp;"","$",""),",","")),0))</f>
        <v/>
      </c>
      <c r="N1070" s="11">
        <f>IF(J1070="","",IFERROR(VALUE(SUBSTITUTE(SUBSTITUTE(IF(F1070="","",F1070)&amp;"","$",""),",","")),0))</f>
        <v/>
      </c>
      <c r="O1070" s="11">
        <f>IF(J1070="","",M1070*N1070)</f>
        <v/>
      </c>
      <c r="P1070">
        <f>IF(J1070="","",IF(L1070="",1,COUNTIF($L$2:$L$1501,L1070)))</f>
        <v/>
      </c>
      <c r="Q1070" s="11">
        <f>IF(J1070="","",IFERROR(VALUE(SUBSTITUTE(SUBSTITUTE(IF(G1070="","",G1070)&amp;"","$",""),",","")),0)/IF("No"="Yes",P1070,1))</f>
        <v/>
      </c>
      <c r="R1070" s="11">
        <f>IF(J1070="","",IFERROR(VALUE(SUBSTITUTE(SUBSTITUTE(IF(H1070="","",H1070)&amp;"","$",""),",","")),0)/IF("No"="Yes",P1070,1))</f>
        <v/>
      </c>
      <c r="S1070" s="11">
        <f>IF(J1070="","",O1070+Q1070-R1070)</f>
        <v/>
      </c>
      <c r="T1070">
        <f>IF(J1070="","",IFERROR(IF(K1070="",NA(),MATCH(K1070,Products!$B$5:$B$204,0)),IFERROR(MATCH(J1070,Products!$A$5:$A$204,0),"")))</f>
        <v/>
      </c>
      <c r="U1070">
        <f>IF(J1070="","",IF(T1070="","⚠ not in Products",INDEX(Products!$A$5:$A$204,T1070)))</f>
        <v/>
      </c>
      <c r="V1070" s="11">
        <f>IF(J1070="","",S1070*(IFERROR(INDEX(Settings!$B$5:$B$9,MATCH($B1070,Settings!$A$5:$A$9,0)),0)+IFERROR(INDEX(Settings!$E$5:$E$9,MATCH($B1070,Settings!$A$5:$A$9,0)),0)+IFERROR(INDEX(Settings!$G$5:$G$9,MATCH($B1070,Settings!$A$5:$A$9,0)),0))+(IFERROR(INDEX(Settings!$C$5:$C$9,MATCH($B1070,Settings!$A$5:$A$9,0)),0)+IFERROR(INDEX(Settings!$F$5:$F$9,MATCH($B1070,Settings!$A$5:$A$9,0)),0))/P1070+IFERROR(INDEX(Settings!$D$5:$D$9,MATCH($B1070,Settings!$A$5:$A$9,0)),0)*M1070)</f>
        <v/>
      </c>
      <c r="W1070" s="11">
        <f>IF(J1070="","",IF(T1070="",0,M1070*INDEX(Products!$I$5:$I$204,T1070)))</f>
        <v/>
      </c>
      <c r="X1070" s="11">
        <f>IF(J1070="","",IF(T1070="",0,S1070*INDEX(Products!$H$5:$H$204,T1070)))</f>
        <v/>
      </c>
      <c r="Y1070" s="11">
        <f>IF(J1070="","",S1070-V1070-W1070-X1070)</f>
        <v/>
      </c>
    </row>
    <row r="1071">
      <c r="A1071" s="19" t="n"/>
      <c r="B1071" s="19" t="n"/>
      <c r="C1071" s="19" t="n"/>
      <c r="D1071" s="19" t="n"/>
      <c r="E1071" s="19" t="n"/>
      <c r="F1071" s="20" t="n"/>
      <c r="G1071" s="20" t="n"/>
      <c r="H1071" s="20" t="n"/>
      <c r="I1071" s="19" t="n"/>
      <c r="J1071">
        <f>IFERROR(IF(C1071="","",C1071)&amp;"","")</f>
        <v/>
      </c>
      <c r="K1071">
        <f>IFERROR(IF(D1071="","",D1071)&amp;"","")</f>
        <v/>
      </c>
      <c r="L1071">
        <f>IFERROR(IF(I1071="","",I1071)&amp;"","")</f>
        <v/>
      </c>
      <c r="M1071">
        <f>IF(J1071="","",IFERROR(VALUE(SUBSTITUTE(SUBSTITUTE(IF(E1071="","",E1071)&amp;"","$",""),",","")),0))</f>
        <v/>
      </c>
      <c r="N1071" s="11">
        <f>IF(J1071="","",IFERROR(VALUE(SUBSTITUTE(SUBSTITUTE(IF(F1071="","",F1071)&amp;"","$",""),",","")),0))</f>
        <v/>
      </c>
      <c r="O1071" s="11">
        <f>IF(J1071="","",M1071*N1071)</f>
        <v/>
      </c>
      <c r="P1071">
        <f>IF(J1071="","",IF(L1071="",1,COUNTIF($L$2:$L$1501,L1071)))</f>
        <v/>
      </c>
      <c r="Q1071" s="11">
        <f>IF(J1071="","",IFERROR(VALUE(SUBSTITUTE(SUBSTITUTE(IF(G1071="","",G1071)&amp;"","$",""),",","")),0)/IF("No"="Yes",P1071,1))</f>
        <v/>
      </c>
      <c r="R1071" s="11">
        <f>IF(J1071="","",IFERROR(VALUE(SUBSTITUTE(SUBSTITUTE(IF(H1071="","",H1071)&amp;"","$",""),",","")),0)/IF("No"="Yes",P1071,1))</f>
        <v/>
      </c>
      <c r="S1071" s="11">
        <f>IF(J1071="","",O1071+Q1071-R1071)</f>
        <v/>
      </c>
      <c r="T1071">
        <f>IF(J1071="","",IFERROR(IF(K1071="",NA(),MATCH(K1071,Products!$B$5:$B$204,0)),IFERROR(MATCH(J1071,Products!$A$5:$A$204,0),"")))</f>
        <v/>
      </c>
      <c r="U1071">
        <f>IF(J1071="","",IF(T1071="","⚠ not in Products",INDEX(Products!$A$5:$A$204,T1071)))</f>
        <v/>
      </c>
      <c r="V1071" s="11">
        <f>IF(J1071="","",S1071*(IFERROR(INDEX(Settings!$B$5:$B$9,MATCH($B1071,Settings!$A$5:$A$9,0)),0)+IFERROR(INDEX(Settings!$E$5:$E$9,MATCH($B1071,Settings!$A$5:$A$9,0)),0)+IFERROR(INDEX(Settings!$G$5:$G$9,MATCH($B1071,Settings!$A$5:$A$9,0)),0))+(IFERROR(INDEX(Settings!$C$5:$C$9,MATCH($B1071,Settings!$A$5:$A$9,0)),0)+IFERROR(INDEX(Settings!$F$5:$F$9,MATCH($B1071,Settings!$A$5:$A$9,0)),0))/P1071+IFERROR(INDEX(Settings!$D$5:$D$9,MATCH($B1071,Settings!$A$5:$A$9,0)),0)*M1071)</f>
        <v/>
      </c>
      <c r="W1071" s="11">
        <f>IF(J1071="","",IF(T1071="",0,M1071*INDEX(Products!$I$5:$I$204,T1071)))</f>
        <v/>
      </c>
      <c r="X1071" s="11">
        <f>IF(J1071="","",IF(T1071="",0,S1071*INDEX(Products!$H$5:$H$204,T1071)))</f>
        <v/>
      </c>
      <c r="Y1071" s="11">
        <f>IF(J1071="","",S1071-V1071-W1071-X1071)</f>
        <v/>
      </c>
    </row>
    <row r="1072">
      <c r="A1072" s="19" t="n"/>
      <c r="B1072" s="19" t="n"/>
      <c r="C1072" s="19" t="n"/>
      <c r="D1072" s="19" t="n"/>
      <c r="E1072" s="19" t="n"/>
      <c r="F1072" s="20" t="n"/>
      <c r="G1072" s="20" t="n"/>
      <c r="H1072" s="20" t="n"/>
      <c r="I1072" s="19" t="n"/>
      <c r="J1072">
        <f>IFERROR(IF(C1072="","",C1072)&amp;"","")</f>
        <v/>
      </c>
      <c r="K1072">
        <f>IFERROR(IF(D1072="","",D1072)&amp;"","")</f>
        <v/>
      </c>
      <c r="L1072">
        <f>IFERROR(IF(I1072="","",I1072)&amp;"","")</f>
        <v/>
      </c>
      <c r="M1072">
        <f>IF(J1072="","",IFERROR(VALUE(SUBSTITUTE(SUBSTITUTE(IF(E1072="","",E1072)&amp;"","$",""),",","")),0))</f>
        <v/>
      </c>
      <c r="N1072" s="11">
        <f>IF(J1072="","",IFERROR(VALUE(SUBSTITUTE(SUBSTITUTE(IF(F1072="","",F1072)&amp;"","$",""),",","")),0))</f>
        <v/>
      </c>
      <c r="O1072" s="11">
        <f>IF(J1072="","",M1072*N1072)</f>
        <v/>
      </c>
      <c r="P1072">
        <f>IF(J1072="","",IF(L1072="",1,COUNTIF($L$2:$L$1501,L1072)))</f>
        <v/>
      </c>
      <c r="Q1072" s="11">
        <f>IF(J1072="","",IFERROR(VALUE(SUBSTITUTE(SUBSTITUTE(IF(G1072="","",G1072)&amp;"","$",""),",","")),0)/IF("No"="Yes",P1072,1))</f>
        <v/>
      </c>
      <c r="R1072" s="11">
        <f>IF(J1072="","",IFERROR(VALUE(SUBSTITUTE(SUBSTITUTE(IF(H1072="","",H1072)&amp;"","$",""),",","")),0)/IF("No"="Yes",P1072,1))</f>
        <v/>
      </c>
      <c r="S1072" s="11">
        <f>IF(J1072="","",O1072+Q1072-R1072)</f>
        <v/>
      </c>
      <c r="T1072">
        <f>IF(J1072="","",IFERROR(IF(K1072="",NA(),MATCH(K1072,Products!$B$5:$B$204,0)),IFERROR(MATCH(J1072,Products!$A$5:$A$204,0),"")))</f>
        <v/>
      </c>
      <c r="U1072">
        <f>IF(J1072="","",IF(T1072="","⚠ not in Products",INDEX(Products!$A$5:$A$204,T1072)))</f>
        <v/>
      </c>
      <c r="V1072" s="11">
        <f>IF(J1072="","",S1072*(IFERROR(INDEX(Settings!$B$5:$B$9,MATCH($B1072,Settings!$A$5:$A$9,0)),0)+IFERROR(INDEX(Settings!$E$5:$E$9,MATCH($B1072,Settings!$A$5:$A$9,0)),0)+IFERROR(INDEX(Settings!$G$5:$G$9,MATCH($B1072,Settings!$A$5:$A$9,0)),0))+(IFERROR(INDEX(Settings!$C$5:$C$9,MATCH($B1072,Settings!$A$5:$A$9,0)),0)+IFERROR(INDEX(Settings!$F$5:$F$9,MATCH($B1072,Settings!$A$5:$A$9,0)),0))/P1072+IFERROR(INDEX(Settings!$D$5:$D$9,MATCH($B1072,Settings!$A$5:$A$9,0)),0)*M1072)</f>
        <v/>
      </c>
      <c r="W1072" s="11">
        <f>IF(J1072="","",IF(T1072="",0,M1072*INDEX(Products!$I$5:$I$204,T1072)))</f>
        <v/>
      </c>
      <c r="X1072" s="11">
        <f>IF(J1072="","",IF(T1072="",0,S1072*INDEX(Products!$H$5:$H$204,T1072)))</f>
        <v/>
      </c>
      <c r="Y1072" s="11">
        <f>IF(J1072="","",S1072-V1072-W1072-X1072)</f>
        <v/>
      </c>
    </row>
    <row r="1073">
      <c r="A1073" s="19" t="n"/>
      <c r="B1073" s="19" t="n"/>
      <c r="C1073" s="19" t="n"/>
      <c r="D1073" s="19" t="n"/>
      <c r="E1073" s="19" t="n"/>
      <c r="F1073" s="20" t="n"/>
      <c r="G1073" s="20" t="n"/>
      <c r="H1073" s="20" t="n"/>
      <c r="I1073" s="19" t="n"/>
      <c r="J1073">
        <f>IFERROR(IF(C1073="","",C1073)&amp;"","")</f>
        <v/>
      </c>
      <c r="K1073">
        <f>IFERROR(IF(D1073="","",D1073)&amp;"","")</f>
        <v/>
      </c>
      <c r="L1073">
        <f>IFERROR(IF(I1073="","",I1073)&amp;"","")</f>
        <v/>
      </c>
      <c r="M1073">
        <f>IF(J1073="","",IFERROR(VALUE(SUBSTITUTE(SUBSTITUTE(IF(E1073="","",E1073)&amp;"","$",""),",","")),0))</f>
        <v/>
      </c>
      <c r="N1073" s="11">
        <f>IF(J1073="","",IFERROR(VALUE(SUBSTITUTE(SUBSTITUTE(IF(F1073="","",F1073)&amp;"","$",""),",","")),0))</f>
        <v/>
      </c>
      <c r="O1073" s="11">
        <f>IF(J1073="","",M1073*N1073)</f>
        <v/>
      </c>
      <c r="P1073">
        <f>IF(J1073="","",IF(L1073="",1,COUNTIF($L$2:$L$1501,L1073)))</f>
        <v/>
      </c>
      <c r="Q1073" s="11">
        <f>IF(J1073="","",IFERROR(VALUE(SUBSTITUTE(SUBSTITUTE(IF(G1073="","",G1073)&amp;"","$",""),",","")),0)/IF("No"="Yes",P1073,1))</f>
        <v/>
      </c>
      <c r="R1073" s="11">
        <f>IF(J1073="","",IFERROR(VALUE(SUBSTITUTE(SUBSTITUTE(IF(H1073="","",H1073)&amp;"","$",""),",","")),0)/IF("No"="Yes",P1073,1))</f>
        <v/>
      </c>
      <c r="S1073" s="11">
        <f>IF(J1073="","",O1073+Q1073-R1073)</f>
        <v/>
      </c>
      <c r="T1073">
        <f>IF(J1073="","",IFERROR(IF(K1073="",NA(),MATCH(K1073,Products!$B$5:$B$204,0)),IFERROR(MATCH(J1073,Products!$A$5:$A$204,0),"")))</f>
        <v/>
      </c>
      <c r="U1073">
        <f>IF(J1073="","",IF(T1073="","⚠ not in Products",INDEX(Products!$A$5:$A$204,T1073)))</f>
        <v/>
      </c>
      <c r="V1073" s="11">
        <f>IF(J1073="","",S1073*(IFERROR(INDEX(Settings!$B$5:$B$9,MATCH($B1073,Settings!$A$5:$A$9,0)),0)+IFERROR(INDEX(Settings!$E$5:$E$9,MATCH($B1073,Settings!$A$5:$A$9,0)),0)+IFERROR(INDEX(Settings!$G$5:$G$9,MATCH($B1073,Settings!$A$5:$A$9,0)),0))+(IFERROR(INDEX(Settings!$C$5:$C$9,MATCH($B1073,Settings!$A$5:$A$9,0)),0)+IFERROR(INDEX(Settings!$F$5:$F$9,MATCH($B1073,Settings!$A$5:$A$9,0)),0))/P1073+IFERROR(INDEX(Settings!$D$5:$D$9,MATCH($B1073,Settings!$A$5:$A$9,0)),0)*M1073)</f>
        <v/>
      </c>
      <c r="W1073" s="11">
        <f>IF(J1073="","",IF(T1073="",0,M1073*INDEX(Products!$I$5:$I$204,T1073)))</f>
        <v/>
      </c>
      <c r="X1073" s="11">
        <f>IF(J1073="","",IF(T1073="",0,S1073*INDEX(Products!$H$5:$H$204,T1073)))</f>
        <v/>
      </c>
      <c r="Y1073" s="11">
        <f>IF(J1073="","",S1073-V1073-W1073-X1073)</f>
        <v/>
      </c>
    </row>
    <row r="1074">
      <c r="A1074" s="19" t="n"/>
      <c r="B1074" s="19" t="n"/>
      <c r="C1074" s="19" t="n"/>
      <c r="D1074" s="19" t="n"/>
      <c r="E1074" s="19" t="n"/>
      <c r="F1074" s="20" t="n"/>
      <c r="G1074" s="20" t="n"/>
      <c r="H1074" s="20" t="n"/>
      <c r="I1074" s="19" t="n"/>
      <c r="J1074">
        <f>IFERROR(IF(C1074="","",C1074)&amp;"","")</f>
        <v/>
      </c>
      <c r="K1074">
        <f>IFERROR(IF(D1074="","",D1074)&amp;"","")</f>
        <v/>
      </c>
      <c r="L1074">
        <f>IFERROR(IF(I1074="","",I1074)&amp;"","")</f>
        <v/>
      </c>
      <c r="M1074">
        <f>IF(J1074="","",IFERROR(VALUE(SUBSTITUTE(SUBSTITUTE(IF(E1074="","",E1074)&amp;"","$",""),",","")),0))</f>
        <v/>
      </c>
      <c r="N1074" s="11">
        <f>IF(J1074="","",IFERROR(VALUE(SUBSTITUTE(SUBSTITUTE(IF(F1074="","",F1074)&amp;"","$",""),",","")),0))</f>
        <v/>
      </c>
      <c r="O1074" s="11">
        <f>IF(J1074="","",M1074*N1074)</f>
        <v/>
      </c>
      <c r="P1074">
        <f>IF(J1074="","",IF(L1074="",1,COUNTIF($L$2:$L$1501,L1074)))</f>
        <v/>
      </c>
      <c r="Q1074" s="11">
        <f>IF(J1074="","",IFERROR(VALUE(SUBSTITUTE(SUBSTITUTE(IF(G1074="","",G1074)&amp;"","$",""),",","")),0)/IF("No"="Yes",P1074,1))</f>
        <v/>
      </c>
      <c r="R1074" s="11">
        <f>IF(J1074="","",IFERROR(VALUE(SUBSTITUTE(SUBSTITUTE(IF(H1074="","",H1074)&amp;"","$",""),",","")),0)/IF("No"="Yes",P1074,1))</f>
        <v/>
      </c>
      <c r="S1074" s="11">
        <f>IF(J1074="","",O1074+Q1074-R1074)</f>
        <v/>
      </c>
      <c r="T1074">
        <f>IF(J1074="","",IFERROR(IF(K1074="",NA(),MATCH(K1074,Products!$B$5:$B$204,0)),IFERROR(MATCH(J1074,Products!$A$5:$A$204,0),"")))</f>
        <v/>
      </c>
      <c r="U1074">
        <f>IF(J1074="","",IF(T1074="","⚠ not in Products",INDEX(Products!$A$5:$A$204,T1074)))</f>
        <v/>
      </c>
      <c r="V1074" s="11">
        <f>IF(J1074="","",S1074*(IFERROR(INDEX(Settings!$B$5:$B$9,MATCH($B1074,Settings!$A$5:$A$9,0)),0)+IFERROR(INDEX(Settings!$E$5:$E$9,MATCH($B1074,Settings!$A$5:$A$9,0)),0)+IFERROR(INDEX(Settings!$G$5:$G$9,MATCH($B1074,Settings!$A$5:$A$9,0)),0))+(IFERROR(INDEX(Settings!$C$5:$C$9,MATCH($B1074,Settings!$A$5:$A$9,0)),0)+IFERROR(INDEX(Settings!$F$5:$F$9,MATCH($B1074,Settings!$A$5:$A$9,0)),0))/P1074+IFERROR(INDEX(Settings!$D$5:$D$9,MATCH($B1074,Settings!$A$5:$A$9,0)),0)*M1074)</f>
        <v/>
      </c>
      <c r="W1074" s="11">
        <f>IF(J1074="","",IF(T1074="",0,M1074*INDEX(Products!$I$5:$I$204,T1074)))</f>
        <v/>
      </c>
      <c r="X1074" s="11">
        <f>IF(J1074="","",IF(T1074="",0,S1074*INDEX(Products!$H$5:$H$204,T1074)))</f>
        <v/>
      </c>
      <c r="Y1074" s="11">
        <f>IF(J1074="","",S1074-V1074-W1074-X1074)</f>
        <v/>
      </c>
    </row>
    <row r="1075">
      <c r="A1075" s="19" t="n"/>
      <c r="B1075" s="19" t="n"/>
      <c r="C1075" s="19" t="n"/>
      <c r="D1075" s="19" t="n"/>
      <c r="E1075" s="19" t="n"/>
      <c r="F1075" s="20" t="n"/>
      <c r="G1075" s="20" t="n"/>
      <c r="H1075" s="20" t="n"/>
      <c r="I1075" s="19" t="n"/>
      <c r="J1075">
        <f>IFERROR(IF(C1075="","",C1075)&amp;"","")</f>
        <v/>
      </c>
      <c r="K1075">
        <f>IFERROR(IF(D1075="","",D1075)&amp;"","")</f>
        <v/>
      </c>
      <c r="L1075">
        <f>IFERROR(IF(I1075="","",I1075)&amp;"","")</f>
        <v/>
      </c>
      <c r="M1075">
        <f>IF(J1075="","",IFERROR(VALUE(SUBSTITUTE(SUBSTITUTE(IF(E1075="","",E1075)&amp;"","$",""),",","")),0))</f>
        <v/>
      </c>
      <c r="N1075" s="11">
        <f>IF(J1075="","",IFERROR(VALUE(SUBSTITUTE(SUBSTITUTE(IF(F1075="","",F1075)&amp;"","$",""),",","")),0))</f>
        <v/>
      </c>
      <c r="O1075" s="11">
        <f>IF(J1075="","",M1075*N1075)</f>
        <v/>
      </c>
      <c r="P1075">
        <f>IF(J1075="","",IF(L1075="",1,COUNTIF($L$2:$L$1501,L1075)))</f>
        <v/>
      </c>
      <c r="Q1075" s="11">
        <f>IF(J1075="","",IFERROR(VALUE(SUBSTITUTE(SUBSTITUTE(IF(G1075="","",G1075)&amp;"","$",""),",","")),0)/IF("No"="Yes",P1075,1))</f>
        <v/>
      </c>
      <c r="R1075" s="11">
        <f>IF(J1075="","",IFERROR(VALUE(SUBSTITUTE(SUBSTITUTE(IF(H1075="","",H1075)&amp;"","$",""),",","")),0)/IF("No"="Yes",P1075,1))</f>
        <v/>
      </c>
      <c r="S1075" s="11">
        <f>IF(J1075="","",O1075+Q1075-R1075)</f>
        <v/>
      </c>
      <c r="T1075">
        <f>IF(J1075="","",IFERROR(IF(K1075="",NA(),MATCH(K1075,Products!$B$5:$B$204,0)),IFERROR(MATCH(J1075,Products!$A$5:$A$204,0),"")))</f>
        <v/>
      </c>
      <c r="U1075">
        <f>IF(J1075="","",IF(T1075="","⚠ not in Products",INDEX(Products!$A$5:$A$204,T1075)))</f>
        <v/>
      </c>
      <c r="V1075" s="11">
        <f>IF(J1075="","",S1075*(IFERROR(INDEX(Settings!$B$5:$B$9,MATCH($B1075,Settings!$A$5:$A$9,0)),0)+IFERROR(INDEX(Settings!$E$5:$E$9,MATCH($B1075,Settings!$A$5:$A$9,0)),0)+IFERROR(INDEX(Settings!$G$5:$G$9,MATCH($B1075,Settings!$A$5:$A$9,0)),0))+(IFERROR(INDEX(Settings!$C$5:$C$9,MATCH($B1075,Settings!$A$5:$A$9,0)),0)+IFERROR(INDEX(Settings!$F$5:$F$9,MATCH($B1075,Settings!$A$5:$A$9,0)),0))/P1075+IFERROR(INDEX(Settings!$D$5:$D$9,MATCH($B1075,Settings!$A$5:$A$9,0)),0)*M1075)</f>
        <v/>
      </c>
      <c r="W1075" s="11">
        <f>IF(J1075="","",IF(T1075="",0,M1075*INDEX(Products!$I$5:$I$204,T1075)))</f>
        <v/>
      </c>
      <c r="X1075" s="11">
        <f>IF(J1075="","",IF(T1075="",0,S1075*INDEX(Products!$H$5:$H$204,T1075)))</f>
        <v/>
      </c>
      <c r="Y1075" s="11">
        <f>IF(J1075="","",S1075-V1075-W1075-X1075)</f>
        <v/>
      </c>
    </row>
    <row r="1076">
      <c r="A1076" s="19" t="n"/>
      <c r="B1076" s="19" t="n"/>
      <c r="C1076" s="19" t="n"/>
      <c r="D1076" s="19" t="n"/>
      <c r="E1076" s="19" t="n"/>
      <c r="F1076" s="20" t="n"/>
      <c r="G1076" s="20" t="n"/>
      <c r="H1076" s="20" t="n"/>
      <c r="I1076" s="19" t="n"/>
      <c r="J1076">
        <f>IFERROR(IF(C1076="","",C1076)&amp;"","")</f>
        <v/>
      </c>
      <c r="K1076">
        <f>IFERROR(IF(D1076="","",D1076)&amp;"","")</f>
        <v/>
      </c>
      <c r="L1076">
        <f>IFERROR(IF(I1076="","",I1076)&amp;"","")</f>
        <v/>
      </c>
      <c r="M1076">
        <f>IF(J1076="","",IFERROR(VALUE(SUBSTITUTE(SUBSTITUTE(IF(E1076="","",E1076)&amp;"","$",""),",","")),0))</f>
        <v/>
      </c>
      <c r="N1076" s="11">
        <f>IF(J1076="","",IFERROR(VALUE(SUBSTITUTE(SUBSTITUTE(IF(F1076="","",F1076)&amp;"","$",""),",","")),0))</f>
        <v/>
      </c>
      <c r="O1076" s="11">
        <f>IF(J1076="","",M1076*N1076)</f>
        <v/>
      </c>
      <c r="P1076">
        <f>IF(J1076="","",IF(L1076="",1,COUNTIF($L$2:$L$1501,L1076)))</f>
        <v/>
      </c>
      <c r="Q1076" s="11">
        <f>IF(J1076="","",IFERROR(VALUE(SUBSTITUTE(SUBSTITUTE(IF(G1076="","",G1076)&amp;"","$",""),",","")),0)/IF("No"="Yes",P1076,1))</f>
        <v/>
      </c>
      <c r="R1076" s="11">
        <f>IF(J1076="","",IFERROR(VALUE(SUBSTITUTE(SUBSTITUTE(IF(H1076="","",H1076)&amp;"","$",""),",","")),0)/IF("No"="Yes",P1076,1))</f>
        <v/>
      </c>
      <c r="S1076" s="11">
        <f>IF(J1076="","",O1076+Q1076-R1076)</f>
        <v/>
      </c>
      <c r="T1076">
        <f>IF(J1076="","",IFERROR(IF(K1076="",NA(),MATCH(K1076,Products!$B$5:$B$204,0)),IFERROR(MATCH(J1076,Products!$A$5:$A$204,0),"")))</f>
        <v/>
      </c>
      <c r="U1076">
        <f>IF(J1076="","",IF(T1076="","⚠ not in Products",INDEX(Products!$A$5:$A$204,T1076)))</f>
        <v/>
      </c>
      <c r="V1076" s="11">
        <f>IF(J1076="","",S1076*(IFERROR(INDEX(Settings!$B$5:$B$9,MATCH($B1076,Settings!$A$5:$A$9,0)),0)+IFERROR(INDEX(Settings!$E$5:$E$9,MATCH($B1076,Settings!$A$5:$A$9,0)),0)+IFERROR(INDEX(Settings!$G$5:$G$9,MATCH($B1076,Settings!$A$5:$A$9,0)),0))+(IFERROR(INDEX(Settings!$C$5:$C$9,MATCH($B1076,Settings!$A$5:$A$9,0)),0)+IFERROR(INDEX(Settings!$F$5:$F$9,MATCH($B1076,Settings!$A$5:$A$9,0)),0))/P1076+IFERROR(INDEX(Settings!$D$5:$D$9,MATCH($B1076,Settings!$A$5:$A$9,0)),0)*M1076)</f>
        <v/>
      </c>
      <c r="W1076" s="11">
        <f>IF(J1076="","",IF(T1076="",0,M1076*INDEX(Products!$I$5:$I$204,T1076)))</f>
        <v/>
      </c>
      <c r="X1076" s="11">
        <f>IF(J1076="","",IF(T1076="",0,S1076*INDEX(Products!$H$5:$H$204,T1076)))</f>
        <v/>
      </c>
      <c r="Y1076" s="11">
        <f>IF(J1076="","",S1076-V1076-W1076-X1076)</f>
        <v/>
      </c>
    </row>
    <row r="1077">
      <c r="A1077" s="19" t="n"/>
      <c r="B1077" s="19" t="n"/>
      <c r="C1077" s="19" t="n"/>
      <c r="D1077" s="19" t="n"/>
      <c r="E1077" s="19" t="n"/>
      <c r="F1077" s="20" t="n"/>
      <c r="G1077" s="20" t="n"/>
      <c r="H1077" s="20" t="n"/>
      <c r="I1077" s="19" t="n"/>
      <c r="J1077">
        <f>IFERROR(IF(C1077="","",C1077)&amp;"","")</f>
        <v/>
      </c>
      <c r="K1077">
        <f>IFERROR(IF(D1077="","",D1077)&amp;"","")</f>
        <v/>
      </c>
      <c r="L1077">
        <f>IFERROR(IF(I1077="","",I1077)&amp;"","")</f>
        <v/>
      </c>
      <c r="M1077">
        <f>IF(J1077="","",IFERROR(VALUE(SUBSTITUTE(SUBSTITUTE(IF(E1077="","",E1077)&amp;"","$",""),",","")),0))</f>
        <v/>
      </c>
      <c r="N1077" s="11">
        <f>IF(J1077="","",IFERROR(VALUE(SUBSTITUTE(SUBSTITUTE(IF(F1077="","",F1077)&amp;"","$",""),",","")),0))</f>
        <v/>
      </c>
      <c r="O1077" s="11">
        <f>IF(J1077="","",M1077*N1077)</f>
        <v/>
      </c>
      <c r="P1077">
        <f>IF(J1077="","",IF(L1077="",1,COUNTIF($L$2:$L$1501,L1077)))</f>
        <v/>
      </c>
      <c r="Q1077" s="11">
        <f>IF(J1077="","",IFERROR(VALUE(SUBSTITUTE(SUBSTITUTE(IF(G1077="","",G1077)&amp;"","$",""),",","")),0)/IF("No"="Yes",P1077,1))</f>
        <v/>
      </c>
      <c r="R1077" s="11">
        <f>IF(J1077="","",IFERROR(VALUE(SUBSTITUTE(SUBSTITUTE(IF(H1077="","",H1077)&amp;"","$",""),",","")),0)/IF("No"="Yes",P1077,1))</f>
        <v/>
      </c>
      <c r="S1077" s="11">
        <f>IF(J1077="","",O1077+Q1077-R1077)</f>
        <v/>
      </c>
      <c r="T1077">
        <f>IF(J1077="","",IFERROR(IF(K1077="",NA(),MATCH(K1077,Products!$B$5:$B$204,0)),IFERROR(MATCH(J1077,Products!$A$5:$A$204,0),"")))</f>
        <v/>
      </c>
      <c r="U1077">
        <f>IF(J1077="","",IF(T1077="","⚠ not in Products",INDEX(Products!$A$5:$A$204,T1077)))</f>
        <v/>
      </c>
      <c r="V1077" s="11">
        <f>IF(J1077="","",S1077*(IFERROR(INDEX(Settings!$B$5:$B$9,MATCH($B1077,Settings!$A$5:$A$9,0)),0)+IFERROR(INDEX(Settings!$E$5:$E$9,MATCH($B1077,Settings!$A$5:$A$9,0)),0)+IFERROR(INDEX(Settings!$G$5:$G$9,MATCH($B1077,Settings!$A$5:$A$9,0)),0))+(IFERROR(INDEX(Settings!$C$5:$C$9,MATCH($B1077,Settings!$A$5:$A$9,0)),0)+IFERROR(INDEX(Settings!$F$5:$F$9,MATCH($B1077,Settings!$A$5:$A$9,0)),0))/P1077+IFERROR(INDEX(Settings!$D$5:$D$9,MATCH($B1077,Settings!$A$5:$A$9,0)),0)*M1077)</f>
        <v/>
      </c>
      <c r="W1077" s="11">
        <f>IF(J1077="","",IF(T1077="",0,M1077*INDEX(Products!$I$5:$I$204,T1077)))</f>
        <v/>
      </c>
      <c r="X1077" s="11">
        <f>IF(J1077="","",IF(T1077="",0,S1077*INDEX(Products!$H$5:$H$204,T1077)))</f>
        <v/>
      </c>
      <c r="Y1077" s="11">
        <f>IF(J1077="","",S1077-V1077-W1077-X1077)</f>
        <v/>
      </c>
    </row>
    <row r="1078">
      <c r="A1078" s="19" t="n"/>
      <c r="B1078" s="19" t="n"/>
      <c r="C1078" s="19" t="n"/>
      <c r="D1078" s="19" t="n"/>
      <c r="E1078" s="19" t="n"/>
      <c r="F1078" s="20" t="n"/>
      <c r="G1078" s="20" t="n"/>
      <c r="H1078" s="20" t="n"/>
      <c r="I1078" s="19" t="n"/>
      <c r="J1078">
        <f>IFERROR(IF(C1078="","",C1078)&amp;"","")</f>
        <v/>
      </c>
      <c r="K1078">
        <f>IFERROR(IF(D1078="","",D1078)&amp;"","")</f>
        <v/>
      </c>
      <c r="L1078">
        <f>IFERROR(IF(I1078="","",I1078)&amp;"","")</f>
        <v/>
      </c>
      <c r="M1078">
        <f>IF(J1078="","",IFERROR(VALUE(SUBSTITUTE(SUBSTITUTE(IF(E1078="","",E1078)&amp;"","$",""),",","")),0))</f>
        <v/>
      </c>
      <c r="N1078" s="11">
        <f>IF(J1078="","",IFERROR(VALUE(SUBSTITUTE(SUBSTITUTE(IF(F1078="","",F1078)&amp;"","$",""),",","")),0))</f>
        <v/>
      </c>
      <c r="O1078" s="11">
        <f>IF(J1078="","",M1078*N1078)</f>
        <v/>
      </c>
      <c r="P1078">
        <f>IF(J1078="","",IF(L1078="",1,COUNTIF($L$2:$L$1501,L1078)))</f>
        <v/>
      </c>
      <c r="Q1078" s="11">
        <f>IF(J1078="","",IFERROR(VALUE(SUBSTITUTE(SUBSTITUTE(IF(G1078="","",G1078)&amp;"","$",""),",","")),0)/IF("No"="Yes",P1078,1))</f>
        <v/>
      </c>
      <c r="R1078" s="11">
        <f>IF(J1078="","",IFERROR(VALUE(SUBSTITUTE(SUBSTITUTE(IF(H1078="","",H1078)&amp;"","$",""),",","")),0)/IF("No"="Yes",P1078,1))</f>
        <v/>
      </c>
      <c r="S1078" s="11">
        <f>IF(J1078="","",O1078+Q1078-R1078)</f>
        <v/>
      </c>
      <c r="T1078">
        <f>IF(J1078="","",IFERROR(IF(K1078="",NA(),MATCH(K1078,Products!$B$5:$B$204,0)),IFERROR(MATCH(J1078,Products!$A$5:$A$204,0),"")))</f>
        <v/>
      </c>
      <c r="U1078">
        <f>IF(J1078="","",IF(T1078="","⚠ not in Products",INDEX(Products!$A$5:$A$204,T1078)))</f>
        <v/>
      </c>
      <c r="V1078" s="11">
        <f>IF(J1078="","",S1078*(IFERROR(INDEX(Settings!$B$5:$B$9,MATCH($B1078,Settings!$A$5:$A$9,0)),0)+IFERROR(INDEX(Settings!$E$5:$E$9,MATCH($B1078,Settings!$A$5:$A$9,0)),0)+IFERROR(INDEX(Settings!$G$5:$G$9,MATCH($B1078,Settings!$A$5:$A$9,0)),0))+(IFERROR(INDEX(Settings!$C$5:$C$9,MATCH($B1078,Settings!$A$5:$A$9,0)),0)+IFERROR(INDEX(Settings!$F$5:$F$9,MATCH($B1078,Settings!$A$5:$A$9,0)),0))/P1078+IFERROR(INDEX(Settings!$D$5:$D$9,MATCH($B1078,Settings!$A$5:$A$9,0)),0)*M1078)</f>
        <v/>
      </c>
      <c r="W1078" s="11">
        <f>IF(J1078="","",IF(T1078="",0,M1078*INDEX(Products!$I$5:$I$204,T1078)))</f>
        <v/>
      </c>
      <c r="X1078" s="11">
        <f>IF(J1078="","",IF(T1078="",0,S1078*INDEX(Products!$H$5:$H$204,T1078)))</f>
        <v/>
      </c>
      <c r="Y1078" s="11">
        <f>IF(J1078="","",S1078-V1078-W1078-X1078)</f>
        <v/>
      </c>
    </row>
    <row r="1079">
      <c r="A1079" s="19" t="n"/>
      <c r="B1079" s="19" t="n"/>
      <c r="C1079" s="19" t="n"/>
      <c r="D1079" s="19" t="n"/>
      <c r="E1079" s="19" t="n"/>
      <c r="F1079" s="20" t="n"/>
      <c r="G1079" s="20" t="n"/>
      <c r="H1079" s="20" t="n"/>
      <c r="I1079" s="19" t="n"/>
      <c r="J1079">
        <f>IFERROR(IF(C1079="","",C1079)&amp;"","")</f>
        <v/>
      </c>
      <c r="K1079">
        <f>IFERROR(IF(D1079="","",D1079)&amp;"","")</f>
        <v/>
      </c>
      <c r="L1079">
        <f>IFERROR(IF(I1079="","",I1079)&amp;"","")</f>
        <v/>
      </c>
      <c r="M1079">
        <f>IF(J1079="","",IFERROR(VALUE(SUBSTITUTE(SUBSTITUTE(IF(E1079="","",E1079)&amp;"","$",""),",","")),0))</f>
        <v/>
      </c>
      <c r="N1079" s="11">
        <f>IF(J1079="","",IFERROR(VALUE(SUBSTITUTE(SUBSTITUTE(IF(F1079="","",F1079)&amp;"","$",""),",","")),0))</f>
        <v/>
      </c>
      <c r="O1079" s="11">
        <f>IF(J1079="","",M1079*N1079)</f>
        <v/>
      </c>
      <c r="P1079">
        <f>IF(J1079="","",IF(L1079="",1,COUNTIF($L$2:$L$1501,L1079)))</f>
        <v/>
      </c>
      <c r="Q1079" s="11">
        <f>IF(J1079="","",IFERROR(VALUE(SUBSTITUTE(SUBSTITUTE(IF(G1079="","",G1079)&amp;"","$",""),",","")),0)/IF("No"="Yes",P1079,1))</f>
        <v/>
      </c>
      <c r="R1079" s="11">
        <f>IF(J1079="","",IFERROR(VALUE(SUBSTITUTE(SUBSTITUTE(IF(H1079="","",H1079)&amp;"","$",""),",","")),0)/IF("No"="Yes",P1079,1))</f>
        <v/>
      </c>
      <c r="S1079" s="11">
        <f>IF(J1079="","",O1079+Q1079-R1079)</f>
        <v/>
      </c>
      <c r="T1079">
        <f>IF(J1079="","",IFERROR(IF(K1079="",NA(),MATCH(K1079,Products!$B$5:$B$204,0)),IFERROR(MATCH(J1079,Products!$A$5:$A$204,0),"")))</f>
        <v/>
      </c>
      <c r="U1079">
        <f>IF(J1079="","",IF(T1079="","⚠ not in Products",INDEX(Products!$A$5:$A$204,T1079)))</f>
        <v/>
      </c>
      <c r="V1079" s="11">
        <f>IF(J1079="","",S1079*(IFERROR(INDEX(Settings!$B$5:$B$9,MATCH($B1079,Settings!$A$5:$A$9,0)),0)+IFERROR(INDEX(Settings!$E$5:$E$9,MATCH($B1079,Settings!$A$5:$A$9,0)),0)+IFERROR(INDEX(Settings!$G$5:$G$9,MATCH($B1079,Settings!$A$5:$A$9,0)),0))+(IFERROR(INDEX(Settings!$C$5:$C$9,MATCH($B1079,Settings!$A$5:$A$9,0)),0)+IFERROR(INDEX(Settings!$F$5:$F$9,MATCH($B1079,Settings!$A$5:$A$9,0)),0))/P1079+IFERROR(INDEX(Settings!$D$5:$D$9,MATCH($B1079,Settings!$A$5:$A$9,0)),0)*M1079)</f>
        <v/>
      </c>
      <c r="W1079" s="11">
        <f>IF(J1079="","",IF(T1079="",0,M1079*INDEX(Products!$I$5:$I$204,T1079)))</f>
        <v/>
      </c>
      <c r="X1079" s="11">
        <f>IF(J1079="","",IF(T1079="",0,S1079*INDEX(Products!$H$5:$H$204,T1079)))</f>
        <v/>
      </c>
      <c r="Y1079" s="11">
        <f>IF(J1079="","",S1079-V1079-W1079-X1079)</f>
        <v/>
      </c>
    </row>
    <row r="1080">
      <c r="A1080" s="19" t="n"/>
      <c r="B1080" s="19" t="n"/>
      <c r="C1080" s="19" t="n"/>
      <c r="D1080" s="19" t="n"/>
      <c r="E1080" s="19" t="n"/>
      <c r="F1080" s="20" t="n"/>
      <c r="G1080" s="20" t="n"/>
      <c r="H1080" s="20" t="n"/>
      <c r="I1080" s="19" t="n"/>
      <c r="J1080">
        <f>IFERROR(IF(C1080="","",C1080)&amp;"","")</f>
        <v/>
      </c>
      <c r="K1080">
        <f>IFERROR(IF(D1080="","",D1080)&amp;"","")</f>
        <v/>
      </c>
      <c r="L1080">
        <f>IFERROR(IF(I1080="","",I1080)&amp;"","")</f>
        <v/>
      </c>
      <c r="M1080">
        <f>IF(J1080="","",IFERROR(VALUE(SUBSTITUTE(SUBSTITUTE(IF(E1080="","",E1080)&amp;"","$",""),",","")),0))</f>
        <v/>
      </c>
      <c r="N1080" s="11">
        <f>IF(J1080="","",IFERROR(VALUE(SUBSTITUTE(SUBSTITUTE(IF(F1080="","",F1080)&amp;"","$",""),",","")),0))</f>
        <v/>
      </c>
      <c r="O1080" s="11">
        <f>IF(J1080="","",M1080*N1080)</f>
        <v/>
      </c>
      <c r="P1080">
        <f>IF(J1080="","",IF(L1080="",1,COUNTIF($L$2:$L$1501,L1080)))</f>
        <v/>
      </c>
      <c r="Q1080" s="11">
        <f>IF(J1080="","",IFERROR(VALUE(SUBSTITUTE(SUBSTITUTE(IF(G1080="","",G1080)&amp;"","$",""),",","")),0)/IF("No"="Yes",P1080,1))</f>
        <v/>
      </c>
      <c r="R1080" s="11">
        <f>IF(J1080="","",IFERROR(VALUE(SUBSTITUTE(SUBSTITUTE(IF(H1080="","",H1080)&amp;"","$",""),",","")),0)/IF("No"="Yes",P1080,1))</f>
        <v/>
      </c>
      <c r="S1080" s="11">
        <f>IF(J1080="","",O1080+Q1080-R1080)</f>
        <v/>
      </c>
      <c r="T1080">
        <f>IF(J1080="","",IFERROR(IF(K1080="",NA(),MATCH(K1080,Products!$B$5:$B$204,0)),IFERROR(MATCH(J1080,Products!$A$5:$A$204,0),"")))</f>
        <v/>
      </c>
      <c r="U1080">
        <f>IF(J1080="","",IF(T1080="","⚠ not in Products",INDEX(Products!$A$5:$A$204,T1080)))</f>
        <v/>
      </c>
      <c r="V1080" s="11">
        <f>IF(J1080="","",S1080*(IFERROR(INDEX(Settings!$B$5:$B$9,MATCH($B1080,Settings!$A$5:$A$9,0)),0)+IFERROR(INDEX(Settings!$E$5:$E$9,MATCH($B1080,Settings!$A$5:$A$9,0)),0)+IFERROR(INDEX(Settings!$G$5:$G$9,MATCH($B1080,Settings!$A$5:$A$9,0)),0))+(IFERROR(INDEX(Settings!$C$5:$C$9,MATCH($B1080,Settings!$A$5:$A$9,0)),0)+IFERROR(INDEX(Settings!$F$5:$F$9,MATCH($B1080,Settings!$A$5:$A$9,0)),0))/P1080+IFERROR(INDEX(Settings!$D$5:$D$9,MATCH($B1080,Settings!$A$5:$A$9,0)),0)*M1080)</f>
        <v/>
      </c>
      <c r="W1080" s="11">
        <f>IF(J1080="","",IF(T1080="",0,M1080*INDEX(Products!$I$5:$I$204,T1080)))</f>
        <v/>
      </c>
      <c r="X1080" s="11">
        <f>IF(J1080="","",IF(T1080="",0,S1080*INDEX(Products!$H$5:$H$204,T1080)))</f>
        <v/>
      </c>
      <c r="Y1080" s="11">
        <f>IF(J1080="","",S1080-V1080-W1080-X1080)</f>
        <v/>
      </c>
    </row>
    <row r="1081">
      <c r="A1081" s="19" t="n"/>
      <c r="B1081" s="19" t="n"/>
      <c r="C1081" s="19" t="n"/>
      <c r="D1081" s="19" t="n"/>
      <c r="E1081" s="19" t="n"/>
      <c r="F1081" s="20" t="n"/>
      <c r="G1081" s="20" t="n"/>
      <c r="H1081" s="20" t="n"/>
      <c r="I1081" s="19" t="n"/>
      <c r="J1081">
        <f>IFERROR(IF(C1081="","",C1081)&amp;"","")</f>
        <v/>
      </c>
      <c r="K1081">
        <f>IFERROR(IF(D1081="","",D1081)&amp;"","")</f>
        <v/>
      </c>
      <c r="L1081">
        <f>IFERROR(IF(I1081="","",I1081)&amp;"","")</f>
        <v/>
      </c>
      <c r="M1081">
        <f>IF(J1081="","",IFERROR(VALUE(SUBSTITUTE(SUBSTITUTE(IF(E1081="","",E1081)&amp;"","$",""),",","")),0))</f>
        <v/>
      </c>
      <c r="N1081" s="11">
        <f>IF(J1081="","",IFERROR(VALUE(SUBSTITUTE(SUBSTITUTE(IF(F1081="","",F1081)&amp;"","$",""),",","")),0))</f>
        <v/>
      </c>
      <c r="O1081" s="11">
        <f>IF(J1081="","",M1081*N1081)</f>
        <v/>
      </c>
      <c r="P1081">
        <f>IF(J1081="","",IF(L1081="",1,COUNTIF($L$2:$L$1501,L1081)))</f>
        <v/>
      </c>
      <c r="Q1081" s="11">
        <f>IF(J1081="","",IFERROR(VALUE(SUBSTITUTE(SUBSTITUTE(IF(G1081="","",G1081)&amp;"","$",""),",","")),0)/IF("No"="Yes",P1081,1))</f>
        <v/>
      </c>
      <c r="R1081" s="11">
        <f>IF(J1081="","",IFERROR(VALUE(SUBSTITUTE(SUBSTITUTE(IF(H1081="","",H1081)&amp;"","$",""),",","")),0)/IF("No"="Yes",P1081,1))</f>
        <v/>
      </c>
      <c r="S1081" s="11">
        <f>IF(J1081="","",O1081+Q1081-R1081)</f>
        <v/>
      </c>
      <c r="T1081">
        <f>IF(J1081="","",IFERROR(IF(K1081="",NA(),MATCH(K1081,Products!$B$5:$B$204,0)),IFERROR(MATCH(J1081,Products!$A$5:$A$204,0),"")))</f>
        <v/>
      </c>
      <c r="U1081">
        <f>IF(J1081="","",IF(T1081="","⚠ not in Products",INDEX(Products!$A$5:$A$204,T1081)))</f>
        <v/>
      </c>
      <c r="V1081" s="11">
        <f>IF(J1081="","",S1081*(IFERROR(INDEX(Settings!$B$5:$B$9,MATCH($B1081,Settings!$A$5:$A$9,0)),0)+IFERROR(INDEX(Settings!$E$5:$E$9,MATCH($B1081,Settings!$A$5:$A$9,0)),0)+IFERROR(INDEX(Settings!$G$5:$G$9,MATCH($B1081,Settings!$A$5:$A$9,0)),0))+(IFERROR(INDEX(Settings!$C$5:$C$9,MATCH($B1081,Settings!$A$5:$A$9,0)),0)+IFERROR(INDEX(Settings!$F$5:$F$9,MATCH($B1081,Settings!$A$5:$A$9,0)),0))/P1081+IFERROR(INDEX(Settings!$D$5:$D$9,MATCH($B1081,Settings!$A$5:$A$9,0)),0)*M1081)</f>
        <v/>
      </c>
      <c r="W1081" s="11">
        <f>IF(J1081="","",IF(T1081="",0,M1081*INDEX(Products!$I$5:$I$204,T1081)))</f>
        <v/>
      </c>
      <c r="X1081" s="11">
        <f>IF(J1081="","",IF(T1081="",0,S1081*INDEX(Products!$H$5:$H$204,T1081)))</f>
        <v/>
      </c>
      <c r="Y1081" s="11">
        <f>IF(J1081="","",S1081-V1081-W1081-X1081)</f>
        <v/>
      </c>
    </row>
    <row r="1082">
      <c r="A1082" s="19" t="n"/>
      <c r="B1082" s="19" t="n"/>
      <c r="C1082" s="19" t="n"/>
      <c r="D1082" s="19" t="n"/>
      <c r="E1082" s="19" t="n"/>
      <c r="F1082" s="20" t="n"/>
      <c r="G1082" s="20" t="n"/>
      <c r="H1082" s="20" t="n"/>
      <c r="I1082" s="19" t="n"/>
      <c r="J1082">
        <f>IFERROR(IF(C1082="","",C1082)&amp;"","")</f>
        <v/>
      </c>
      <c r="K1082">
        <f>IFERROR(IF(D1082="","",D1082)&amp;"","")</f>
        <v/>
      </c>
      <c r="L1082">
        <f>IFERROR(IF(I1082="","",I1082)&amp;"","")</f>
        <v/>
      </c>
      <c r="M1082">
        <f>IF(J1082="","",IFERROR(VALUE(SUBSTITUTE(SUBSTITUTE(IF(E1082="","",E1082)&amp;"","$",""),",","")),0))</f>
        <v/>
      </c>
      <c r="N1082" s="11">
        <f>IF(J1082="","",IFERROR(VALUE(SUBSTITUTE(SUBSTITUTE(IF(F1082="","",F1082)&amp;"","$",""),",","")),0))</f>
        <v/>
      </c>
      <c r="O1082" s="11">
        <f>IF(J1082="","",M1082*N1082)</f>
        <v/>
      </c>
      <c r="P1082">
        <f>IF(J1082="","",IF(L1082="",1,COUNTIF($L$2:$L$1501,L1082)))</f>
        <v/>
      </c>
      <c r="Q1082" s="11">
        <f>IF(J1082="","",IFERROR(VALUE(SUBSTITUTE(SUBSTITUTE(IF(G1082="","",G1082)&amp;"","$",""),",","")),0)/IF("No"="Yes",P1082,1))</f>
        <v/>
      </c>
      <c r="R1082" s="11">
        <f>IF(J1082="","",IFERROR(VALUE(SUBSTITUTE(SUBSTITUTE(IF(H1082="","",H1082)&amp;"","$",""),",","")),0)/IF("No"="Yes",P1082,1))</f>
        <v/>
      </c>
      <c r="S1082" s="11">
        <f>IF(J1082="","",O1082+Q1082-R1082)</f>
        <v/>
      </c>
      <c r="T1082">
        <f>IF(J1082="","",IFERROR(IF(K1082="",NA(),MATCH(K1082,Products!$B$5:$B$204,0)),IFERROR(MATCH(J1082,Products!$A$5:$A$204,0),"")))</f>
        <v/>
      </c>
      <c r="U1082">
        <f>IF(J1082="","",IF(T1082="","⚠ not in Products",INDEX(Products!$A$5:$A$204,T1082)))</f>
        <v/>
      </c>
      <c r="V1082" s="11">
        <f>IF(J1082="","",S1082*(IFERROR(INDEX(Settings!$B$5:$B$9,MATCH($B1082,Settings!$A$5:$A$9,0)),0)+IFERROR(INDEX(Settings!$E$5:$E$9,MATCH($B1082,Settings!$A$5:$A$9,0)),0)+IFERROR(INDEX(Settings!$G$5:$G$9,MATCH($B1082,Settings!$A$5:$A$9,0)),0))+(IFERROR(INDEX(Settings!$C$5:$C$9,MATCH($B1082,Settings!$A$5:$A$9,0)),0)+IFERROR(INDEX(Settings!$F$5:$F$9,MATCH($B1082,Settings!$A$5:$A$9,0)),0))/P1082+IFERROR(INDEX(Settings!$D$5:$D$9,MATCH($B1082,Settings!$A$5:$A$9,0)),0)*M1082)</f>
        <v/>
      </c>
      <c r="W1082" s="11">
        <f>IF(J1082="","",IF(T1082="",0,M1082*INDEX(Products!$I$5:$I$204,T1082)))</f>
        <v/>
      </c>
      <c r="X1082" s="11">
        <f>IF(J1082="","",IF(T1082="",0,S1082*INDEX(Products!$H$5:$H$204,T1082)))</f>
        <v/>
      </c>
      <c r="Y1082" s="11">
        <f>IF(J1082="","",S1082-V1082-W1082-X1082)</f>
        <v/>
      </c>
    </row>
    <row r="1083">
      <c r="A1083" s="19" t="n"/>
      <c r="B1083" s="19" t="n"/>
      <c r="C1083" s="19" t="n"/>
      <c r="D1083" s="19" t="n"/>
      <c r="E1083" s="19" t="n"/>
      <c r="F1083" s="20" t="n"/>
      <c r="G1083" s="20" t="n"/>
      <c r="H1083" s="20" t="n"/>
      <c r="I1083" s="19" t="n"/>
      <c r="J1083">
        <f>IFERROR(IF(C1083="","",C1083)&amp;"","")</f>
        <v/>
      </c>
      <c r="K1083">
        <f>IFERROR(IF(D1083="","",D1083)&amp;"","")</f>
        <v/>
      </c>
      <c r="L1083">
        <f>IFERROR(IF(I1083="","",I1083)&amp;"","")</f>
        <v/>
      </c>
      <c r="M1083">
        <f>IF(J1083="","",IFERROR(VALUE(SUBSTITUTE(SUBSTITUTE(IF(E1083="","",E1083)&amp;"","$",""),",","")),0))</f>
        <v/>
      </c>
      <c r="N1083" s="11">
        <f>IF(J1083="","",IFERROR(VALUE(SUBSTITUTE(SUBSTITUTE(IF(F1083="","",F1083)&amp;"","$",""),",","")),0))</f>
        <v/>
      </c>
      <c r="O1083" s="11">
        <f>IF(J1083="","",M1083*N1083)</f>
        <v/>
      </c>
      <c r="P1083">
        <f>IF(J1083="","",IF(L1083="",1,COUNTIF($L$2:$L$1501,L1083)))</f>
        <v/>
      </c>
      <c r="Q1083" s="11">
        <f>IF(J1083="","",IFERROR(VALUE(SUBSTITUTE(SUBSTITUTE(IF(G1083="","",G1083)&amp;"","$",""),",","")),0)/IF("No"="Yes",P1083,1))</f>
        <v/>
      </c>
      <c r="R1083" s="11">
        <f>IF(J1083="","",IFERROR(VALUE(SUBSTITUTE(SUBSTITUTE(IF(H1083="","",H1083)&amp;"","$",""),",","")),0)/IF("No"="Yes",P1083,1))</f>
        <v/>
      </c>
      <c r="S1083" s="11">
        <f>IF(J1083="","",O1083+Q1083-R1083)</f>
        <v/>
      </c>
      <c r="T1083">
        <f>IF(J1083="","",IFERROR(IF(K1083="",NA(),MATCH(K1083,Products!$B$5:$B$204,0)),IFERROR(MATCH(J1083,Products!$A$5:$A$204,0),"")))</f>
        <v/>
      </c>
      <c r="U1083">
        <f>IF(J1083="","",IF(T1083="","⚠ not in Products",INDEX(Products!$A$5:$A$204,T1083)))</f>
        <v/>
      </c>
      <c r="V1083" s="11">
        <f>IF(J1083="","",S1083*(IFERROR(INDEX(Settings!$B$5:$B$9,MATCH($B1083,Settings!$A$5:$A$9,0)),0)+IFERROR(INDEX(Settings!$E$5:$E$9,MATCH($B1083,Settings!$A$5:$A$9,0)),0)+IFERROR(INDEX(Settings!$G$5:$G$9,MATCH($B1083,Settings!$A$5:$A$9,0)),0))+(IFERROR(INDEX(Settings!$C$5:$C$9,MATCH($B1083,Settings!$A$5:$A$9,0)),0)+IFERROR(INDEX(Settings!$F$5:$F$9,MATCH($B1083,Settings!$A$5:$A$9,0)),0))/P1083+IFERROR(INDEX(Settings!$D$5:$D$9,MATCH($B1083,Settings!$A$5:$A$9,0)),0)*M1083)</f>
        <v/>
      </c>
      <c r="W1083" s="11">
        <f>IF(J1083="","",IF(T1083="",0,M1083*INDEX(Products!$I$5:$I$204,T1083)))</f>
        <v/>
      </c>
      <c r="X1083" s="11">
        <f>IF(J1083="","",IF(T1083="",0,S1083*INDEX(Products!$H$5:$H$204,T1083)))</f>
        <v/>
      </c>
      <c r="Y1083" s="11">
        <f>IF(J1083="","",S1083-V1083-W1083-X1083)</f>
        <v/>
      </c>
    </row>
    <row r="1084">
      <c r="A1084" s="19" t="n"/>
      <c r="B1084" s="19" t="n"/>
      <c r="C1084" s="19" t="n"/>
      <c r="D1084" s="19" t="n"/>
      <c r="E1084" s="19" t="n"/>
      <c r="F1084" s="20" t="n"/>
      <c r="G1084" s="20" t="n"/>
      <c r="H1084" s="20" t="n"/>
      <c r="I1084" s="19" t="n"/>
      <c r="J1084">
        <f>IFERROR(IF(C1084="","",C1084)&amp;"","")</f>
        <v/>
      </c>
      <c r="K1084">
        <f>IFERROR(IF(D1084="","",D1084)&amp;"","")</f>
        <v/>
      </c>
      <c r="L1084">
        <f>IFERROR(IF(I1084="","",I1084)&amp;"","")</f>
        <v/>
      </c>
      <c r="M1084">
        <f>IF(J1084="","",IFERROR(VALUE(SUBSTITUTE(SUBSTITUTE(IF(E1084="","",E1084)&amp;"","$",""),",","")),0))</f>
        <v/>
      </c>
      <c r="N1084" s="11">
        <f>IF(J1084="","",IFERROR(VALUE(SUBSTITUTE(SUBSTITUTE(IF(F1084="","",F1084)&amp;"","$",""),",","")),0))</f>
        <v/>
      </c>
      <c r="O1084" s="11">
        <f>IF(J1084="","",M1084*N1084)</f>
        <v/>
      </c>
      <c r="P1084">
        <f>IF(J1084="","",IF(L1084="",1,COUNTIF($L$2:$L$1501,L1084)))</f>
        <v/>
      </c>
      <c r="Q1084" s="11">
        <f>IF(J1084="","",IFERROR(VALUE(SUBSTITUTE(SUBSTITUTE(IF(G1084="","",G1084)&amp;"","$",""),",","")),0)/IF("No"="Yes",P1084,1))</f>
        <v/>
      </c>
      <c r="R1084" s="11">
        <f>IF(J1084="","",IFERROR(VALUE(SUBSTITUTE(SUBSTITUTE(IF(H1084="","",H1084)&amp;"","$",""),",","")),0)/IF("No"="Yes",P1084,1))</f>
        <v/>
      </c>
      <c r="S1084" s="11">
        <f>IF(J1084="","",O1084+Q1084-R1084)</f>
        <v/>
      </c>
      <c r="T1084">
        <f>IF(J1084="","",IFERROR(IF(K1084="",NA(),MATCH(K1084,Products!$B$5:$B$204,0)),IFERROR(MATCH(J1084,Products!$A$5:$A$204,0),"")))</f>
        <v/>
      </c>
      <c r="U1084">
        <f>IF(J1084="","",IF(T1084="","⚠ not in Products",INDEX(Products!$A$5:$A$204,T1084)))</f>
        <v/>
      </c>
      <c r="V1084" s="11">
        <f>IF(J1084="","",S1084*(IFERROR(INDEX(Settings!$B$5:$B$9,MATCH($B1084,Settings!$A$5:$A$9,0)),0)+IFERROR(INDEX(Settings!$E$5:$E$9,MATCH($B1084,Settings!$A$5:$A$9,0)),0)+IFERROR(INDEX(Settings!$G$5:$G$9,MATCH($B1084,Settings!$A$5:$A$9,0)),0))+(IFERROR(INDEX(Settings!$C$5:$C$9,MATCH($B1084,Settings!$A$5:$A$9,0)),0)+IFERROR(INDEX(Settings!$F$5:$F$9,MATCH($B1084,Settings!$A$5:$A$9,0)),0))/P1084+IFERROR(INDEX(Settings!$D$5:$D$9,MATCH($B1084,Settings!$A$5:$A$9,0)),0)*M1084)</f>
        <v/>
      </c>
      <c r="W1084" s="11">
        <f>IF(J1084="","",IF(T1084="",0,M1084*INDEX(Products!$I$5:$I$204,T1084)))</f>
        <v/>
      </c>
      <c r="X1084" s="11">
        <f>IF(J1084="","",IF(T1084="",0,S1084*INDEX(Products!$H$5:$H$204,T1084)))</f>
        <v/>
      </c>
      <c r="Y1084" s="11">
        <f>IF(J1084="","",S1084-V1084-W1084-X1084)</f>
        <v/>
      </c>
    </row>
    <row r="1085">
      <c r="A1085" s="19" t="n"/>
      <c r="B1085" s="19" t="n"/>
      <c r="C1085" s="19" t="n"/>
      <c r="D1085" s="19" t="n"/>
      <c r="E1085" s="19" t="n"/>
      <c r="F1085" s="20" t="n"/>
      <c r="G1085" s="20" t="n"/>
      <c r="H1085" s="20" t="n"/>
      <c r="I1085" s="19" t="n"/>
      <c r="J1085">
        <f>IFERROR(IF(C1085="","",C1085)&amp;"","")</f>
        <v/>
      </c>
      <c r="K1085">
        <f>IFERROR(IF(D1085="","",D1085)&amp;"","")</f>
        <v/>
      </c>
      <c r="L1085">
        <f>IFERROR(IF(I1085="","",I1085)&amp;"","")</f>
        <v/>
      </c>
      <c r="M1085">
        <f>IF(J1085="","",IFERROR(VALUE(SUBSTITUTE(SUBSTITUTE(IF(E1085="","",E1085)&amp;"","$",""),",","")),0))</f>
        <v/>
      </c>
      <c r="N1085" s="11">
        <f>IF(J1085="","",IFERROR(VALUE(SUBSTITUTE(SUBSTITUTE(IF(F1085="","",F1085)&amp;"","$",""),",","")),0))</f>
        <v/>
      </c>
      <c r="O1085" s="11">
        <f>IF(J1085="","",M1085*N1085)</f>
        <v/>
      </c>
      <c r="P1085">
        <f>IF(J1085="","",IF(L1085="",1,COUNTIF($L$2:$L$1501,L1085)))</f>
        <v/>
      </c>
      <c r="Q1085" s="11">
        <f>IF(J1085="","",IFERROR(VALUE(SUBSTITUTE(SUBSTITUTE(IF(G1085="","",G1085)&amp;"","$",""),",","")),0)/IF("No"="Yes",P1085,1))</f>
        <v/>
      </c>
      <c r="R1085" s="11">
        <f>IF(J1085="","",IFERROR(VALUE(SUBSTITUTE(SUBSTITUTE(IF(H1085="","",H1085)&amp;"","$",""),",","")),0)/IF("No"="Yes",P1085,1))</f>
        <v/>
      </c>
      <c r="S1085" s="11">
        <f>IF(J1085="","",O1085+Q1085-R1085)</f>
        <v/>
      </c>
      <c r="T1085">
        <f>IF(J1085="","",IFERROR(IF(K1085="",NA(),MATCH(K1085,Products!$B$5:$B$204,0)),IFERROR(MATCH(J1085,Products!$A$5:$A$204,0),"")))</f>
        <v/>
      </c>
      <c r="U1085">
        <f>IF(J1085="","",IF(T1085="","⚠ not in Products",INDEX(Products!$A$5:$A$204,T1085)))</f>
        <v/>
      </c>
      <c r="V1085" s="11">
        <f>IF(J1085="","",S1085*(IFERROR(INDEX(Settings!$B$5:$B$9,MATCH($B1085,Settings!$A$5:$A$9,0)),0)+IFERROR(INDEX(Settings!$E$5:$E$9,MATCH($B1085,Settings!$A$5:$A$9,0)),0)+IFERROR(INDEX(Settings!$G$5:$G$9,MATCH($B1085,Settings!$A$5:$A$9,0)),0))+(IFERROR(INDEX(Settings!$C$5:$C$9,MATCH($B1085,Settings!$A$5:$A$9,0)),0)+IFERROR(INDEX(Settings!$F$5:$F$9,MATCH($B1085,Settings!$A$5:$A$9,0)),0))/P1085+IFERROR(INDEX(Settings!$D$5:$D$9,MATCH($B1085,Settings!$A$5:$A$9,0)),0)*M1085)</f>
        <v/>
      </c>
      <c r="W1085" s="11">
        <f>IF(J1085="","",IF(T1085="",0,M1085*INDEX(Products!$I$5:$I$204,T1085)))</f>
        <v/>
      </c>
      <c r="X1085" s="11">
        <f>IF(J1085="","",IF(T1085="",0,S1085*INDEX(Products!$H$5:$H$204,T1085)))</f>
        <v/>
      </c>
      <c r="Y1085" s="11">
        <f>IF(J1085="","",S1085-V1085-W1085-X1085)</f>
        <v/>
      </c>
    </row>
    <row r="1086">
      <c r="A1086" s="19" t="n"/>
      <c r="B1086" s="19" t="n"/>
      <c r="C1086" s="19" t="n"/>
      <c r="D1086" s="19" t="n"/>
      <c r="E1086" s="19" t="n"/>
      <c r="F1086" s="20" t="n"/>
      <c r="G1086" s="20" t="n"/>
      <c r="H1086" s="20" t="n"/>
      <c r="I1086" s="19" t="n"/>
      <c r="J1086">
        <f>IFERROR(IF(C1086="","",C1086)&amp;"","")</f>
        <v/>
      </c>
      <c r="K1086">
        <f>IFERROR(IF(D1086="","",D1086)&amp;"","")</f>
        <v/>
      </c>
      <c r="L1086">
        <f>IFERROR(IF(I1086="","",I1086)&amp;"","")</f>
        <v/>
      </c>
      <c r="M1086">
        <f>IF(J1086="","",IFERROR(VALUE(SUBSTITUTE(SUBSTITUTE(IF(E1086="","",E1086)&amp;"","$",""),",","")),0))</f>
        <v/>
      </c>
      <c r="N1086" s="11">
        <f>IF(J1086="","",IFERROR(VALUE(SUBSTITUTE(SUBSTITUTE(IF(F1086="","",F1086)&amp;"","$",""),",","")),0))</f>
        <v/>
      </c>
      <c r="O1086" s="11">
        <f>IF(J1086="","",M1086*N1086)</f>
        <v/>
      </c>
      <c r="P1086">
        <f>IF(J1086="","",IF(L1086="",1,COUNTIF($L$2:$L$1501,L1086)))</f>
        <v/>
      </c>
      <c r="Q1086" s="11">
        <f>IF(J1086="","",IFERROR(VALUE(SUBSTITUTE(SUBSTITUTE(IF(G1086="","",G1086)&amp;"","$",""),",","")),0)/IF("No"="Yes",P1086,1))</f>
        <v/>
      </c>
      <c r="R1086" s="11">
        <f>IF(J1086="","",IFERROR(VALUE(SUBSTITUTE(SUBSTITUTE(IF(H1086="","",H1086)&amp;"","$",""),",","")),0)/IF("No"="Yes",P1086,1))</f>
        <v/>
      </c>
      <c r="S1086" s="11">
        <f>IF(J1086="","",O1086+Q1086-R1086)</f>
        <v/>
      </c>
      <c r="T1086">
        <f>IF(J1086="","",IFERROR(IF(K1086="",NA(),MATCH(K1086,Products!$B$5:$B$204,0)),IFERROR(MATCH(J1086,Products!$A$5:$A$204,0),"")))</f>
        <v/>
      </c>
      <c r="U1086">
        <f>IF(J1086="","",IF(T1086="","⚠ not in Products",INDEX(Products!$A$5:$A$204,T1086)))</f>
        <v/>
      </c>
      <c r="V1086" s="11">
        <f>IF(J1086="","",S1086*(IFERROR(INDEX(Settings!$B$5:$B$9,MATCH($B1086,Settings!$A$5:$A$9,0)),0)+IFERROR(INDEX(Settings!$E$5:$E$9,MATCH($B1086,Settings!$A$5:$A$9,0)),0)+IFERROR(INDEX(Settings!$G$5:$G$9,MATCH($B1086,Settings!$A$5:$A$9,0)),0))+(IFERROR(INDEX(Settings!$C$5:$C$9,MATCH($B1086,Settings!$A$5:$A$9,0)),0)+IFERROR(INDEX(Settings!$F$5:$F$9,MATCH($B1086,Settings!$A$5:$A$9,0)),0))/P1086+IFERROR(INDEX(Settings!$D$5:$D$9,MATCH($B1086,Settings!$A$5:$A$9,0)),0)*M1086)</f>
        <v/>
      </c>
      <c r="W1086" s="11">
        <f>IF(J1086="","",IF(T1086="",0,M1086*INDEX(Products!$I$5:$I$204,T1086)))</f>
        <v/>
      </c>
      <c r="X1086" s="11">
        <f>IF(J1086="","",IF(T1086="",0,S1086*INDEX(Products!$H$5:$H$204,T1086)))</f>
        <v/>
      </c>
      <c r="Y1086" s="11">
        <f>IF(J1086="","",S1086-V1086-W1086-X1086)</f>
        <v/>
      </c>
    </row>
    <row r="1087">
      <c r="A1087" s="19" t="n"/>
      <c r="B1087" s="19" t="n"/>
      <c r="C1087" s="19" t="n"/>
      <c r="D1087" s="19" t="n"/>
      <c r="E1087" s="19" t="n"/>
      <c r="F1087" s="20" t="n"/>
      <c r="G1087" s="20" t="n"/>
      <c r="H1087" s="20" t="n"/>
      <c r="I1087" s="19" t="n"/>
      <c r="J1087">
        <f>IFERROR(IF(C1087="","",C1087)&amp;"","")</f>
        <v/>
      </c>
      <c r="K1087">
        <f>IFERROR(IF(D1087="","",D1087)&amp;"","")</f>
        <v/>
      </c>
      <c r="L1087">
        <f>IFERROR(IF(I1087="","",I1087)&amp;"","")</f>
        <v/>
      </c>
      <c r="M1087">
        <f>IF(J1087="","",IFERROR(VALUE(SUBSTITUTE(SUBSTITUTE(IF(E1087="","",E1087)&amp;"","$",""),",","")),0))</f>
        <v/>
      </c>
      <c r="N1087" s="11">
        <f>IF(J1087="","",IFERROR(VALUE(SUBSTITUTE(SUBSTITUTE(IF(F1087="","",F1087)&amp;"","$",""),",","")),0))</f>
        <v/>
      </c>
      <c r="O1087" s="11">
        <f>IF(J1087="","",M1087*N1087)</f>
        <v/>
      </c>
      <c r="P1087">
        <f>IF(J1087="","",IF(L1087="",1,COUNTIF($L$2:$L$1501,L1087)))</f>
        <v/>
      </c>
      <c r="Q1087" s="11">
        <f>IF(J1087="","",IFERROR(VALUE(SUBSTITUTE(SUBSTITUTE(IF(G1087="","",G1087)&amp;"","$",""),",","")),0)/IF("No"="Yes",P1087,1))</f>
        <v/>
      </c>
      <c r="R1087" s="11">
        <f>IF(J1087="","",IFERROR(VALUE(SUBSTITUTE(SUBSTITUTE(IF(H1087="","",H1087)&amp;"","$",""),",","")),0)/IF("No"="Yes",P1087,1))</f>
        <v/>
      </c>
      <c r="S1087" s="11">
        <f>IF(J1087="","",O1087+Q1087-R1087)</f>
        <v/>
      </c>
      <c r="T1087">
        <f>IF(J1087="","",IFERROR(IF(K1087="",NA(),MATCH(K1087,Products!$B$5:$B$204,0)),IFERROR(MATCH(J1087,Products!$A$5:$A$204,0),"")))</f>
        <v/>
      </c>
      <c r="U1087">
        <f>IF(J1087="","",IF(T1087="","⚠ not in Products",INDEX(Products!$A$5:$A$204,T1087)))</f>
        <v/>
      </c>
      <c r="V1087" s="11">
        <f>IF(J1087="","",S1087*(IFERROR(INDEX(Settings!$B$5:$B$9,MATCH($B1087,Settings!$A$5:$A$9,0)),0)+IFERROR(INDEX(Settings!$E$5:$E$9,MATCH($B1087,Settings!$A$5:$A$9,0)),0)+IFERROR(INDEX(Settings!$G$5:$G$9,MATCH($B1087,Settings!$A$5:$A$9,0)),0))+(IFERROR(INDEX(Settings!$C$5:$C$9,MATCH($B1087,Settings!$A$5:$A$9,0)),0)+IFERROR(INDEX(Settings!$F$5:$F$9,MATCH($B1087,Settings!$A$5:$A$9,0)),0))/P1087+IFERROR(INDEX(Settings!$D$5:$D$9,MATCH($B1087,Settings!$A$5:$A$9,0)),0)*M1087)</f>
        <v/>
      </c>
      <c r="W1087" s="11">
        <f>IF(J1087="","",IF(T1087="",0,M1087*INDEX(Products!$I$5:$I$204,T1087)))</f>
        <v/>
      </c>
      <c r="X1087" s="11">
        <f>IF(J1087="","",IF(T1087="",0,S1087*INDEX(Products!$H$5:$H$204,T1087)))</f>
        <v/>
      </c>
      <c r="Y1087" s="11">
        <f>IF(J1087="","",S1087-V1087-W1087-X1087)</f>
        <v/>
      </c>
    </row>
    <row r="1088">
      <c r="A1088" s="19" t="n"/>
      <c r="B1088" s="19" t="n"/>
      <c r="C1088" s="19" t="n"/>
      <c r="D1088" s="19" t="n"/>
      <c r="E1088" s="19" t="n"/>
      <c r="F1088" s="20" t="n"/>
      <c r="G1088" s="20" t="n"/>
      <c r="H1088" s="20" t="n"/>
      <c r="I1088" s="19" t="n"/>
      <c r="J1088">
        <f>IFERROR(IF(C1088="","",C1088)&amp;"","")</f>
        <v/>
      </c>
      <c r="K1088">
        <f>IFERROR(IF(D1088="","",D1088)&amp;"","")</f>
        <v/>
      </c>
      <c r="L1088">
        <f>IFERROR(IF(I1088="","",I1088)&amp;"","")</f>
        <v/>
      </c>
      <c r="M1088">
        <f>IF(J1088="","",IFERROR(VALUE(SUBSTITUTE(SUBSTITUTE(IF(E1088="","",E1088)&amp;"","$",""),",","")),0))</f>
        <v/>
      </c>
      <c r="N1088" s="11">
        <f>IF(J1088="","",IFERROR(VALUE(SUBSTITUTE(SUBSTITUTE(IF(F1088="","",F1088)&amp;"","$",""),",","")),0))</f>
        <v/>
      </c>
      <c r="O1088" s="11">
        <f>IF(J1088="","",M1088*N1088)</f>
        <v/>
      </c>
      <c r="P1088">
        <f>IF(J1088="","",IF(L1088="",1,COUNTIF($L$2:$L$1501,L1088)))</f>
        <v/>
      </c>
      <c r="Q1088" s="11">
        <f>IF(J1088="","",IFERROR(VALUE(SUBSTITUTE(SUBSTITUTE(IF(G1088="","",G1088)&amp;"","$",""),",","")),0)/IF("No"="Yes",P1088,1))</f>
        <v/>
      </c>
      <c r="R1088" s="11">
        <f>IF(J1088="","",IFERROR(VALUE(SUBSTITUTE(SUBSTITUTE(IF(H1088="","",H1088)&amp;"","$",""),",","")),0)/IF("No"="Yes",P1088,1))</f>
        <v/>
      </c>
      <c r="S1088" s="11">
        <f>IF(J1088="","",O1088+Q1088-R1088)</f>
        <v/>
      </c>
      <c r="T1088">
        <f>IF(J1088="","",IFERROR(IF(K1088="",NA(),MATCH(K1088,Products!$B$5:$B$204,0)),IFERROR(MATCH(J1088,Products!$A$5:$A$204,0),"")))</f>
        <v/>
      </c>
      <c r="U1088">
        <f>IF(J1088="","",IF(T1088="","⚠ not in Products",INDEX(Products!$A$5:$A$204,T1088)))</f>
        <v/>
      </c>
      <c r="V1088" s="11">
        <f>IF(J1088="","",S1088*(IFERROR(INDEX(Settings!$B$5:$B$9,MATCH($B1088,Settings!$A$5:$A$9,0)),0)+IFERROR(INDEX(Settings!$E$5:$E$9,MATCH($B1088,Settings!$A$5:$A$9,0)),0)+IFERROR(INDEX(Settings!$G$5:$G$9,MATCH($B1088,Settings!$A$5:$A$9,0)),0))+(IFERROR(INDEX(Settings!$C$5:$C$9,MATCH($B1088,Settings!$A$5:$A$9,0)),0)+IFERROR(INDEX(Settings!$F$5:$F$9,MATCH($B1088,Settings!$A$5:$A$9,0)),0))/P1088+IFERROR(INDEX(Settings!$D$5:$D$9,MATCH($B1088,Settings!$A$5:$A$9,0)),0)*M1088)</f>
        <v/>
      </c>
      <c r="W1088" s="11">
        <f>IF(J1088="","",IF(T1088="",0,M1088*INDEX(Products!$I$5:$I$204,T1088)))</f>
        <v/>
      </c>
      <c r="X1088" s="11">
        <f>IF(J1088="","",IF(T1088="",0,S1088*INDEX(Products!$H$5:$H$204,T1088)))</f>
        <v/>
      </c>
      <c r="Y1088" s="11">
        <f>IF(J1088="","",S1088-V1088-W1088-X1088)</f>
        <v/>
      </c>
    </row>
    <row r="1089">
      <c r="A1089" s="19" t="n"/>
      <c r="B1089" s="19" t="n"/>
      <c r="C1089" s="19" t="n"/>
      <c r="D1089" s="19" t="n"/>
      <c r="E1089" s="19" t="n"/>
      <c r="F1089" s="20" t="n"/>
      <c r="G1089" s="20" t="n"/>
      <c r="H1089" s="20" t="n"/>
      <c r="I1089" s="19" t="n"/>
      <c r="J1089">
        <f>IFERROR(IF(C1089="","",C1089)&amp;"","")</f>
        <v/>
      </c>
      <c r="K1089">
        <f>IFERROR(IF(D1089="","",D1089)&amp;"","")</f>
        <v/>
      </c>
      <c r="L1089">
        <f>IFERROR(IF(I1089="","",I1089)&amp;"","")</f>
        <v/>
      </c>
      <c r="M1089">
        <f>IF(J1089="","",IFERROR(VALUE(SUBSTITUTE(SUBSTITUTE(IF(E1089="","",E1089)&amp;"","$",""),",","")),0))</f>
        <v/>
      </c>
      <c r="N1089" s="11">
        <f>IF(J1089="","",IFERROR(VALUE(SUBSTITUTE(SUBSTITUTE(IF(F1089="","",F1089)&amp;"","$",""),",","")),0))</f>
        <v/>
      </c>
      <c r="O1089" s="11">
        <f>IF(J1089="","",M1089*N1089)</f>
        <v/>
      </c>
      <c r="P1089">
        <f>IF(J1089="","",IF(L1089="",1,COUNTIF($L$2:$L$1501,L1089)))</f>
        <v/>
      </c>
      <c r="Q1089" s="11">
        <f>IF(J1089="","",IFERROR(VALUE(SUBSTITUTE(SUBSTITUTE(IF(G1089="","",G1089)&amp;"","$",""),",","")),0)/IF("No"="Yes",P1089,1))</f>
        <v/>
      </c>
      <c r="R1089" s="11">
        <f>IF(J1089="","",IFERROR(VALUE(SUBSTITUTE(SUBSTITUTE(IF(H1089="","",H1089)&amp;"","$",""),",","")),0)/IF("No"="Yes",P1089,1))</f>
        <v/>
      </c>
      <c r="S1089" s="11">
        <f>IF(J1089="","",O1089+Q1089-R1089)</f>
        <v/>
      </c>
      <c r="T1089">
        <f>IF(J1089="","",IFERROR(IF(K1089="",NA(),MATCH(K1089,Products!$B$5:$B$204,0)),IFERROR(MATCH(J1089,Products!$A$5:$A$204,0),"")))</f>
        <v/>
      </c>
      <c r="U1089">
        <f>IF(J1089="","",IF(T1089="","⚠ not in Products",INDEX(Products!$A$5:$A$204,T1089)))</f>
        <v/>
      </c>
      <c r="V1089" s="11">
        <f>IF(J1089="","",S1089*(IFERROR(INDEX(Settings!$B$5:$B$9,MATCH($B1089,Settings!$A$5:$A$9,0)),0)+IFERROR(INDEX(Settings!$E$5:$E$9,MATCH($B1089,Settings!$A$5:$A$9,0)),0)+IFERROR(INDEX(Settings!$G$5:$G$9,MATCH($B1089,Settings!$A$5:$A$9,0)),0))+(IFERROR(INDEX(Settings!$C$5:$C$9,MATCH($B1089,Settings!$A$5:$A$9,0)),0)+IFERROR(INDEX(Settings!$F$5:$F$9,MATCH($B1089,Settings!$A$5:$A$9,0)),0))/P1089+IFERROR(INDEX(Settings!$D$5:$D$9,MATCH($B1089,Settings!$A$5:$A$9,0)),0)*M1089)</f>
        <v/>
      </c>
      <c r="W1089" s="11">
        <f>IF(J1089="","",IF(T1089="",0,M1089*INDEX(Products!$I$5:$I$204,T1089)))</f>
        <v/>
      </c>
      <c r="X1089" s="11">
        <f>IF(J1089="","",IF(T1089="",0,S1089*INDEX(Products!$H$5:$H$204,T1089)))</f>
        <v/>
      </c>
      <c r="Y1089" s="11">
        <f>IF(J1089="","",S1089-V1089-W1089-X1089)</f>
        <v/>
      </c>
    </row>
    <row r="1090">
      <c r="A1090" s="19" t="n"/>
      <c r="B1090" s="19" t="n"/>
      <c r="C1090" s="19" t="n"/>
      <c r="D1090" s="19" t="n"/>
      <c r="E1090" s="19" t="n"/>
      <c r="F1090" s="20" t="n"/>
      <c r="G1090" s="20" t="n"/>
      <c r="H1090" s="20" t="n"/>
      <c r="I1090" s="19" t="n"/>
      <c r="J1090">
        <f>IFERROR(IF(C1090="","",C1090)&amp;"","")</f>
        <v/>
      </c>
      <c r="K1090">
        <f>IFERROR(IF(D1090="","",D1090)&amp;"","")</f>
        <v/>
      </c>
      <c r="L1090">
        <f>IFERROR(IF(I1090="","",I1090)&amp;"","")</f>
        <v/>
      </c>
      <c r="M1090">
        <f>IF(J1090="","",IFERROR(VALUE(SUBSTITUTE(SUBSTITUTE(IF(E1090="","",E1090)&amp;"","$",""),",","")),0))</f>
        <v/>
      </c>
      <c r="N1090" s="11">
        <f>IF(J1090="","",IFERROR(VALUE(SUBSTITUTE(SUBSTITUTE(IF(F1090="","",F1090)&amp;"","$",""),",","")),0))</f>
        <v/>
      </c>
      <c r="O1090" s="11">
        <f>IF(J1090="","",M1090*N1090)</f>
        <v/>
      </c>
      <c r="P1090">
        <f>IF(J1090="","",IF(L1090="",1,COUNTIF($L$2:$L$1501,L1090)))</f>
        <v/>
      </c>
      <c r="Q1090" s="11">
        <f>IF(J1090="","",IFERROR(VALUE(SUBSTITUTE(SUBSTITUTE(IF(G1090="","",G1090)&amp;"","$",""),",","")),0)/IF("No"="Yes",P1090,1))</f>
        <v/>
      </c>
      <c r="R1090" s="11">
        <f>IF(J1090="","",IFERROR(VALUE(SUBSTITUTE(SUBSTITUTE(IF(H1090="","",H1090)&amp;"","$",""),",","")),0)/IF("No"="Yes",P1090,1))</f>
        <v/>
      </c>
      <c r="S1090" s="11">
        <f>IF(J1090="","",O1090+Q1090-R1090)</f>
        <v/>
      </c>
      <c r="T1090">
        <f>IF(J1090="","",IFERROR(IF(K1090="",NA(),MATCH(K1090,Products!$B$5:$B$204,0)),IFERROR(MATCH(J1090,Products!$A$5:$A$204,0),"")))</f>
        <v/>
      </c>
      <c r="U1090">
        <f>IF(J1090="","",IF(T1090="","⚠ not in Products",INDEX(Products!$A$5:$A$204,T1090)))</f>
        <v/>
      </c>
      <c r="V1090" s="11">
        <f>IF(J1090="","",S1090*(IFERROR(INDEX(Settings!$B$5:$B$9,MATCH($B1090,Settings!$A$5:$A$9,0)),0)+IFERROR(INDEX(Settings!$E$5:$E$9,MATCH($B1090,Settings!$A$5:$A$9,0)),0)+IFERROR(INDEX(Settings!$G$5:$G$9,MATCH($B1090,Settings!$A$5:$A$9,0)),0))+(IFERROR(INDEX(Settings!$C$5:$C$9,MATCH($B1090,Settings!$A$5:$A$9,0)),0)+IFERROR(INDEX(Settings!$F$5:$F$9,MATCH($B1090,Settings!$A$5:$A$9,0)),0))/P1090+IFERROR(INDEX(Settings!$D$5:$D$9,MATCH($B1090,Settings!$A$5:$A$9,0)),0)*M1090)</f>
        <v/>
      </c>
      <c r="W1090" s="11">
        <f>IF(J1090="","",IF(T1090="",0,M1090*INDEX(Products!$I$5:$I$204,T1090)))</f>
        <v/>
      </c>
      <c r="X1090" s="11">
        <f>IF(J1090="","",IF(T1090="",0,S1090*INDEX(Products!$H$5:$H$204,T1090)))</f>
        <v/>
      </c>
      <c r="Y1090" s="11">
        <f>IF(J1090="","",S1090-V1090-W1090-X1090)</f>
        <v/>
      </c>
    </row>
    <row r="1091">
      <c r="A1091" s="19" t="n"/>
      <c r="B1091" s="19" t="n"/>
      <c r="C1091" s="19" t="n"/>
      <c r="D1091" s="19" t="n"/>
      <c r="E1091" s="19" t="n"/>
      <c r="F1091" s="20" t="n"/>
      <c r="G1091" s="20" t="n"/>
      <c r="H1091" s="20" t="n"/>
      <c r="I1091" s="19" t="n"/>
      <c r="J1091">
        <f>IFERROR(IF(C1091="","",C1091)&amp;"","")</f>
        <v/>
      </c>
      <c r="K1091">
        <f>IFERROR(IF(D1091="","",D1091)&amp;"","")</f>
        <v/>
      </c>
      <c r="L1091">
        <f>IFERROR(IF(I1091="","",I1091)&amp;"","")</f>
        <v/>
      </c>
      <c r="M1091">
        <f>IF(J1091="","",IFERROR(VALUE(SUBSTITUTE(SUBSTITUTE(IF(E1091="","",E1091)&amp;"","$",""),",","")),0))</f>
        <v/>
      </c>
      <c r="N1091" s="11">
        <f>IF(J1091="","",IFERROR(VALUE(SUBSTITUTE(SUBSTITUTE(IF(F1091="","",F1091)&amp;"","$",""),",","")),0))</f>
        <v/>
      </c>
      <c r="O1091" s="11">
        <f>IF(J1091="","",M1091*N1091)</f>
        <v/>
      </c>
      <c r="P1091">
        <f>IF(J1091="","",IF(L1091="",1,COUNTIF($L$2:$L$1501,L1091)))</f>
        <v/>
      </c>
      <c r="Q1091" s="11">
        <f>IF(J1091="","",IFERROR(VALUE(SUBSTITUTE(SUBSTITUTE(IF(G1091="","",G1091)&amp;"","$",""),",","")),0)/IF("No"="Yes",P1091,1))</f>
        <v/>
      </c>
      <c r="R1091" s="11">
        <f>IF(J1091="","",IFERROR(VALUE(SUBSTITUTE(SUBSTITUTE(IF(H1091="","",H1091)&amp;"","$",""),",","")),0)/IF("No"="Yes",P1091,1))</f>
        <v/>
      </c>
      <c r="S1091" s="11">
        <f>IF(J1091="","",O1091+Q1091-R1091)</f>
        <v/>
      </c>
      <c r="T1091">
        <f>IF(J1091="","",IFERROR(IF(K1091="",NA(),MATCH(K1091,Products!$B$5:$B$204,0)),IFERROR(MATCH(J1091,Products!$A$5:$A$204,0),"")))</f>
        <v/>
      </c>
      <c r="U1091">
        <f>IF(J1091="","",IF(T1091="","⚠ not in Products",INDEX(Products!$A$5:$A$204,T1091)))</f>
        <v/>
      </c>
      <c r="V1091" s="11">
        <f>IF(J1091="","",S1091*(IFERROR(INDEX(Settings!$B$5:$B$9,MATCH($B1091,Settings!$A$5:$A$9,0)),0)+IFERROR(INDEX(Settings!$E$5:$E$9,MATCH($B1091,Settings!$A$5:$A$9,0)),0)+IFERROR(INDEX(Settings!$G$5:$G$9,MATCH($B1091,Settings!$A$5:$A$9,0)),0))+(IFERROR(INDEX(Settings!$C$5:$C$9,MATCH($B1091,Settings!$A$5:$A$9,0)),0)+IFERROR(INDEX(Settings!$F$5:$F$9,MATCH($B1091,Settings!$A$5:$A$9,0)),0))/P1091+IFERROR(INDEX(Settings!$D$5:$D$9,MATCH($B1091,Settings!$A$5:$A$9,0)),0)*M1091)</f>
        <v/>
      </c>
      <c r="W1091" s="11">
        <f>IF(J1091="","",IF(T1091="",0,M1091*INDEX(Products!$I$5:$I$204,T1091)))</f>
        <v/>
      </c>
      <c r="X1091" s="11">
        <f>IF(J1091="","",IF(T1091="",0,S1091*INDEX(Products!$H$5:$H$204,T1091)))</f>
        <v/>
      </c>
      <c r="Y1091" s="11">
        <f>IF(J1091="","",S1091-V1091-W1091-X1091)</f>
        <v/>
      </c>
    </row>
    <row r="1092">
      <c r="A1092" s="19" t="n"/>
      <c r="B1092" s="19" t="n"/>
      <c r="C1092" s="19" t="n"/>
      <c r="D1092" s="19" t="n"/>
      <c r="E1092" s="19" t="n"/>
      <c r="F1092" s="20" t="n"/>
      <c r="G1092" s="20" t="n"/>
      <c r="H1092" s="20" t="n"/>
      <c r="I1092" s="19" t="n"/>
      <c r="J1092">
        <f>IFERROR(IF(C1092="","",C1092)&amp;"","")</f>
        <v/>
      </c>
      <c r="K1092">
        <f>IFERROR(IF(D1092="","",D1092)&amp;"","")</f>
        <v/>
      </c>
      <c r="L1092">
        <f>IFERROR(IF(I1092="","",I1092)&amp;"","")</f>
        <v/>
      </c>
      <c r="M1092">
        <f>IF(J1092="","",IFERROR(VALUE(SUBSTITUTE(SUBSTITUTE(IF(E1092="","",E1092)&amp;"","$",""),",","")),0))</f>
        <v/>
      </c>
      <c r="N1092" s="11">
        <f>IF(J1092="","",IFERROR(VALUE(SUBSTITUTE(SUBSTITUTE(IF(F1092="","",F1092)&amp;"","$",""),",","")),0))</f>
        <v/>
      </c>
      <c r="O1092" s="11">
        <f>IF(J1092="","",M1092*N1092)</f>
        <v/>
      </c>
      <c r="P1092">
        <f>IF(J1092="","",IF(L1092="",1,COUNTIF($L$2:$L$1501,L1092)))</f>
        <v/>
      </c>
      <c r="Q1092" s="11">
        <f>IF(J1092="","",IFERROR(VALUE(SUBSTITUTE(SUBSTITUTE(IF(G1092="","",G1092)&amp;"","$",""),",","")),0)/IF("No"="Yes",P1092,1))</f>
        <v/>
      </c>
      <c r="R1092" s="11">
        <f>IF(J1092="","",IFERROR(VALUE(SUBSTITUTE(SUBSTITUTE(IF(H1092="","",H1092)&amp;"","$",""),",","")),0)/IF("No"="Yes",P1092,1))</f>
        <v/>
      </c>
      <c r="S1092" s="11">
        <f>IF(J1092="","",O1092+Q1092-R1092)</f>
        <v/>
      </c>
      <c r="T1092">
        <f>IF(J1092="","",IFERROR(IF(K1092="",NA(),MATCH(K1092,Products!$B$5:$B$204,0)),IFERROR(MATCH(J1092,Products!$A$5:$A$204,0),"")))</f>
        <v/>
      </c>
      <c r="U1092">
        <f>IF(J1092="","",IF(T1092="","⚠ not in Products",INDEX(Products!$A$5:$A$204,T1092)))</f>
        <v/>
      </c>
      <c r="V1092" s="11">
        <f>IF(J1092="","",S1092*(IFERROR(INDEX(Settings!$B$5:$B$9,MATCH($B1092,Settings!$A$5:$A$9,0)),0)+IFERROR(INDEX(Settings!$E$5:$E$9,MATCH($B1092,Settings!$A$5:$A$9,0)),0)+IFERROR(INDEX(Settings!$G$5:$G$9,MATCH($B1092,Settings!$A$5:$A$9,0)),0))+(IFERROR(INDEX(Settings!$C$5:$C$9,MATCH($B1092,Settings!$A$5:$A$9,0)),0)+IFERROR(INDEX(Settings!$F$5:$F$9,MATCH($B1092,Settings!$A$5:$A$9,0)),0))/P1092+IFERROR(INDEX(Settings!$D$5:$D$9,MATCH($B1092,Settings!$A$5:$A$9,0)),0)*M1092)</f>
        <v/>
      </c>
      <c r="W1092" s="11">
        <f>IF(J1092="","",IF(T1092="",0,M1092*INDEX(Products!$I$5:$I$204,T1092)))</f>
        <v/>
      </c>
      <c r="X1092" s="11">
        <f>IF(J1092="","",IF(T1092="",0,S1092*INDEX(Products!$H$5:$H$204,T1092)))</f>
        <v/>
      </c>
      <c r="Y1092" s="11">
        <f>IF(J1092="","",S1092-V1092-W1092-X1092)</f>
        <v/>
      </c>
    </row>
    <row r="1093">
      <c r="A1093" s="19" t="n"/>
      <c r="B1093" s="19" t="n"/>
      <c r="C1093" s="19" t="n"/>
      <c r="D1093" s="19" t="n"/>
      <c r="E1093" s="19" t="n"/>
      <c r="F1093" s="20" t="n"/>
      <c r="G1093" s="20" t="n"/>
      <c r="H1093" s="20" t="n"/>
      <c r="I1093" s="19" t="n"/>
      <c r="J1093">
        <f>IFERROR(IF(C1093="","",C1093)&amp;"","")</f>
        <v/>
      </c>
      <c r="K1093">
        <f>IFERROR(IF(D1093="","",D1093)&amp;"","")</f>
        <v/>
      </c>
      <c r="L1093">
        <f>IFERROR(IF(I1093="","",I1093)&amp;"","")</f>
        <v/>
      </c>
      <c r="M1093">
        <f>IF(J1093="","",IFERROR(VALUE(SUBSTITUTE(SUBSTITUTE(IF(E1093="","",E1093)&amp;"","$",""),",","")),0))</f>
        <v/>
      </c>
      <c r="N1093" s="11">
        <f>IF(J1093="","",IFERROR(VALUE(SUBSTITUTE(SUBSTITUTE(IF(F1093="","",F1093)&amp;"","$",""),",","")),0))</f>
        <v/>
      </c>
      <c r="O1093" s="11">
        <f>IF(J1093="","",M1093*N1093)</f>
        <v/>
      </c>
      <c r="P1093">
        <f>IF(J1093="","",IF(L1093="",1,COUNTIF($L$2:$L$1501,L1093)))</f>
        <v/>
      </c>
      <c r="Q1093" s="11">
        <f>IF(J1093="","",IFERROR(VALUE(SUBSTITUTE(SUBSTITUTE(IF(G1093="","",G1093)&amp;"","$",""),",","")),0)/IF("No"="Yes",P1093,1))</f>
        <v/>
      </c>
      <c r="R1093" s="11">
        <f>IF(J1093="","",IFERROR(VALUE(SUBSTITUTE(SUBSTITUTE(IF(H1093="","",H1093)&amp;"","$",""),",","")),0)/IF("No"="Yes",P1093,1))</f>
        <v/>
      </c>
      <c r="S1093" s="11">
        <f>IF(J1093="","",O1093+Q1093-R1093)</f>
        <v/>
      </c>
      <c r="T1093">
        <f>IF(J1093="","",IFERROR(IF(K1093="",NA(),MATCH(K1093,Products!$B$5:$B$204,0)),IFERROR(MATCH(J1093,Products!$A$5:$A$204,0),"")))</f>
        <v/>
      </c>
      <c r="U1093">
        <f>IF(J1093="","",IF(T1093="","⚠ not in Products",INDEX(Products!$A$5:$A$204,T1093)))</f>
        <v/>
      </c>
      <c r="V1093" s="11">
        <f>IF(J1093="","",S1093*(IFERROR(INDEX(Settings!$B$5:$B$9,MATCH($B1093,Settings!$A$5:$A$9,0)),0)+IFERROR(INDEX(Settings!$E$5:$E$9,MATCH($B1093,Settings!$A$5:$A$9,0)),0)+IFERROR(INDEX(Settings!$G$5:$G$9,MATCH($B1093,Settings!$A$5:$A$9,0)),0))+(IFERROR(INDEX(Settings!$C$5:$C$9,MATCH($B1093,Settings!$A$5:$A$9,0)),0)+IFERROR(INDEX(Settings!$F$5:$F$9,MATCH($B1093,Settings!$A$5:$A$9,0)),0))/P1093+IFERROR(INDEX(Settings!$D$5:$D$9,MATCH($B1093,Settings!$A$5:$A$9,0)),0)*M1093)</f>
        <v/>
      </c>
      <c r="W1093" s="11">
        <f>IF(J1093="","",IF(T1093="",0,M1093*INDEX(Products!$I$5:$I$204,T1093)))</f>
        <v/>
      </c>
      <c r="X1093" s="11">
        <f>IF(J1093="","",IF(T1093="",0,S1093*INDEX(Products!$H$5:$H$204,T1093)))</f>
        <v/>
      </c>
      <c r="Y1093" s="11">
        <f>IF(J1093="","",S1093-V1093-W1093-X1093)</f>
        <v/>
      </c>
    </row>
    <row r="1094">
      <c r="A1094" s="19" t="n"/>
      <c r="B1094" s="19" t="n"/>
      <c r="C1094" s="19" t="n"/>
      <c r="D1094" s="19" t="n"/>
      <c r="E1094" s="19" t="n"/>
      <c r="F1094" s="20" t="n"/>
      <c r="G1094" s="20" t="n"/>
      <c r="H1094" s="20" t="n"/>
      <c r="I1094" s="19" t="n"/>
      <c r="J1094">
        <f>IFERROR(IF(C1094="","",C1094)&amp;"","")</f>
        <v/>
      </c>
      <c r="K1094">
        <f>IFERROR(IF(D1094="","",D1094)&amp;"","")</f>
        <v/>
      </c>
      <c r="L1094">
        <f>IFERROR(IF(I1094="","",I1094)&amp;"","")</f>
        <v/>
      </c>
      <c r="M1094">
        <f>IF(J1094="","",IFERROR(VALUE(SUBSTITUTE(SUBSTITUTE(IF(E1094="","",E1094)&amp;"","$",""),",","")),0))</f>
        <v/>
      </c>
      <c r="N1094" s="11">
        <f>IF(J1094="","",IFERROR(VALUE(SUBSTITUTE(SUBSTITUTE(IF(F1094="","",F1094)&amp;"","$",""),",","")),0))</f>
        <v/>
      </c>
      <c r="O1094" s="11">
        <f>IF(J1094="","",M1094*N1094)</f>
        <v/>
      </c>
      <c r="P1094">
        <f>IF(J1094="","",IF(L1094="",1,COUNTIF($L$2:$L$1501,L1094)))</f>
        <v/>
      </c>
      <c r="Q1094" s="11">
        <f>IF(J1094="","",IFERROR(VALUE(SUBSTITUTE(SUBSTITUTE(IF(G1094="","",G1094)&amp;"","$",""),",","")),0)/IF("No"="Yes",P1094,1))</f>
        <v/>
      </c>
      <c r="R1094" s="11">
        <f>IF(J1094="","",IFERROR(VALUE(SUBSTITUTE(SUBSTITUTE(IF(H1094="","",H1094)&amp;"","$",""),",","")),0)/IF("No"="Yes",P1094,1))</f>
        <v/>
      </c>
      <c r="S1094" s="11">
        <f>IF(J1094="","",O1094+Q1094-R1094)</f>
        <v/>
      </c>
      <c r="T1094">
        <f>IF(J1094="","",IFERROR(IF(K1094="",NA(),MATCH(K1094,Products!$B$5:$B$204,0)),IFERROR(MATCH(J1094,Products!$A$5:$A$204,0),"")))</f>
        <v/>
      </c>
      <c r="U1094">
        <f>IF(J1094="","",IF(T1094="","⚠ not in Products",INDEX(Products!$A$5:$A$204,T1094)))</f>
        <v/>
      </c>
      <c r="V1094" s="11">
        <f>IF(J1094="","",S1094*(IFERROR(INDEX(Settings!$B$5:$B$9,MATCH($B1094,Settings!$A$5:$A$9,0)),0)+IFERROR(INDEX(Settings!$E$5:$E$9,MATCH($B1094,Settings!$A$5:$A$9,0)),0)+IFERROR(INDEX(Settings!$G$5:$G$9,MATCH($B1094,Settings!$A$5:$A$9,0)),0))+(IFERROR(INDEX(Settings!$C$5:$C$9,MATCH($B1094,Settings!$A$5:$A$9,0)),0)+IFERROR(INDEX(Settings!$F$5:$F$9,MATCH($B1094,Settings!$A$5:$A$9,0)),0))/P1094+IFERROR(INDEX(Settings!$D$5:$D$9,MATCH($B1094,Settings!$A$5:$A$9,0)),0)*M1094)</f>
        <v/>
      </c>
      <c r="W1094" s="11">
        <f>IF(J1094="","",IF(T1094="",0,M1094*INDEX(Products!$I$5:$I$204,T1094)))</f>
        <v/>
      </c>
      <c r="X1094" s="11">
        <f>IF(J1094="","",IF(T1094="",0,S1094*INDEX(Products!$H$5:$H$204,T1094)))</f>
        <v/>
      </c>
      <c r="Y1094" s="11">
        <f>IF(J1094="","",S1094-V1094-W1094-X1094)</f>
        <v/>
      </c>
    </row>
    <row r="1095">
      <c r="A1095" s="19" t="n"/>
      <c r="B1095" s="19" t="n"/>
      <c r="C1095" s="19" t="n"/>
      <c r="D1095" s="19" t="n"/>
      <c r="E1095" s="19" t="n"/>
      <c r="F1095" s="20" t="n"/>
      <c r="G1095" s="20" t="n"/>
      <c r="H1095" s="20" t="n"/>
      <c r="I1095" s="19" t="n"/>
      <c r="J1095">
        <f>IFERROR(IF(C1095="","",C1095)&amp;"","")</f>
        <v/>
      </c>
      <c r="K1095">
        <f>IFERROR(IF(D1095="","",D1095)&amp;"","")</f>
        <v/>
      </c>
      <c r="L1095">
        <f>IFERROR(IF(I1095="","",I1095)&amp;"","")</f>
        <v/>
      </c>
      <c r="M1095">
        <f>IF(J1095="","",IFERROR(VALUE(SUBSTITUTE(SUBSTITUTE(IF(E1095="","",E1095)&amp;"","$",""),",","")),0))</f>
        <v/>
      </c>
      <c r="N1095" s="11">
        <f>IF(J1095="","",IFERROR(VALUE(SUBSTITUTE(SUBSTITUTE(IF(F1095="","",F1095)&amp;"","$",""),",","")),0))</f>
        <v/>
      </c>
      <c r="O1095" s="11">
        <f>IF(J1095="","",M1095*N1095)</f>
        <v/>
      </c>
      <c r="P1095">
        <f>IF(J1095="","",IF(L1095="",1,COUNTIF($L$2:$L$1501,L1095)))</f>
        <v/>
      </c>
      <c r="Q1095" s="11">
        <f>IF(J1095="","",IFERROR(VALUE(SUBSTITUTE(SUBSTITUTE(IF(G1095="","",G1095)&amp;"","$",""),",","")),0)/IF("No"="Yes",P1095,1))</f>
        <v/>
      </c>
      <c r="R1095" s="11">
        <f>IF(J1095="","",IFERROR(VALUE(SUBSTITUTE(SUBSTITUTE(IF(H1095="","",H1095)&amp;"","$",""),",","")),0)/IF("No"="Yes",P1095,1))</f>
        <v/>
      </c>
      <c r="S1095" s="11">
        <f>IF(J1095="","",O1095+Q1095-R1095)</f>
        <v/>
      </c>
      <c r="T1095">
        <f>IF(J1095="","",IFERROR(IF(K1095="",NA(),MATCH(K1095,Products!$B$5:$B$204,0)),IFERROR(MATCH(J1095,Products!$A$5:$A$204,0),"")))</f>
        <v/>
      </c>
      <c r="U1095">
        <f>IF(J1095="","",IF(T1095="","⚠ not in Products",INDEX(Products!$A$5:$A$204,T1095)))</f>
        <v/>
      </c>
      <c r="V1095" s="11">
        <f>IF(J1095="","",S1095*(IFERROR(INDEX(Settings!$B$5:$B$9,MATCH($B1095,Settings!$A$5:$A$9,0)),0)+IFERROR(INDEX(Settings!$E$5:$E$9,MATCH($B1095,Settings!$A$5:$A$9,0)),0)+IFERROR(INDEX(Settings!$G$5:$G$9,MATCH($B1095,Settings!$A$5:$A$9,0)),0))+(IFERROR(INDEX(Settings!$C$5:$C$9,MATCH($B1095,Settings!$A$5:$A$9,0)),0)+IFERROR(INDEX(Settings!$F$5:$F$9,MATCH($B1095,Settings!$A$5:$A$9,0)),0))/P1095+IFERROR(INDEX(Settings!$D$5:$D$9,MATCH($B1095,Settings!$A$5:$A$9,0)),0)*M1095)</f>
        <v/>
      </c>
      <c r="W1095" s="11">
        <f>IF(J1095="","",IF(T1095="",0,M1095*INDEX(Products!$I$5:$I$204,T1095)))</f>
        <v/>
      </c>
      <c r="X1095" s="11">
        <f>IF(J1095="","",IF(T1095="",0,S1095*INDEX(Products!$H$5:$H$204,T1095)))</f>
        <v/>
      </c>
      <c r="Y1095" s="11">
        <f>IF(J1095="","",S1095-V1095-W1095-X1095)</f>
        <v/>
      </c>
    </row>
    <row r="1096">
      <c r="A1096" s="19" t="n"/>
      <c r="B1096" s="19" t="n"/>
      <c r="C1096" s="19" t="n"/>
      <c r="D1096" s="19" t="n"/>
      <c r="E1096" s="19" t="n"/>
      <c r="F1096" s="20" t="n"/>
      <c r="G1096" s="20" t="n"/>
      <c r="H1096" s="20" t="n"/>
      <c r="I1096" s="19" t="n"/>
      <c r="J1096">
        <f>IFERROR(IF(C1096="","",C1096)&amp;"","")</f>
        <v/>
      </c>
      <c r="K1096">
        <f>IFERROR(IF(D1096="","",D1096)&amp;"","")</f>
        <v/>
      </c>
      <c r="L1096">
        <f>IFERROR(IF(I1096="","",I1096)&amp;"","")</f>
        <v/>
      </c>
      <c r="M1096">
        <f>IF(J1096="","",IFERROR(VALUE(SUBSTITUTE(SUBSTITUTE(IF(E1096="","",E1096)&amp;"","$",""),",","")),0))</f>
        <v/>
      </c>
      <c r="N1096" s="11">
        <f>IF(J1096="","",IFERROR(VALUE(SUBSTITUTE(SUBSTITUTE(IF(F1096="","",F1096)&amp;"","$",""),",","")),0))</f>
        <v/>
      </c>
      <c r="O1096" s="11">
        <f>IF(J1096="","",M1096*N1096)</f>
        <v/>
      </c>
      <c r="P1096">
        <f>IF(J1096="","",IF(L1096="",1,COUNTIF($L$2:$L$1501,L1096)))</f>
        <v/>
      </c>
      <c r="Q1096" s="11">
        <f>IF(J1096="","",IFERROR(VALUE(SUBSTITUTE(SUBSTITUTE(IF(G1096="","",G1096)&amp;"","$",""),",","")),0)/IF("No"="Yes",P1096,1))</f>
        <v/>
      </c>
      <c r="R1096" s="11">
        <f>IF(J1096="","",IFERROR(VALUE(SUBSTITUTE(SUBSTITUTE(IF(H1096="","",H1096)&amp;"","$",""),",","")),0)/IF("No"="Yes",P1096,1))</f>
        <v/>
      </c>
      <c r="S1096" s="11">
        <f>IF(J1096="","",O1096+Q1096-R1096)</f>
        <v/>
      </c>
      <c r="T1096">
        <f>IF(J1096="","",IFERROR(IF(K1096="",NA(),MATCH(K1096,Products!$B$5:$B$204,0)),IFERROR(MATCH(J1096,Products!$A$5:$A$204,0),"")))</f>
        <v/>
      </c>
      <c r="U1096">
        <f>IF(J1096="","",IF(T1096="","⚠ not in Products",INDEX(Products!$A$5:$A$204,T1096)))</f>
        <v/>
      </c>
      <c r="V1096" s="11">
        <f>IF(J1096="","",S1096*(IFERROR(INDEX(Settings!$B$5:$B$9,MATCH($B1096,Settings!$A$5:$A$9,0)),0)+IFERROR(INDEX(Settings!$E$5:$E$9,MATCH($B1096,Settings!$A$5:$A$9,0)),0)+IFERROR(INDEX(Settings!$G$5:$G$9,MATCH($B1096,Settings!$A$5:$A$9,0)),0))+(IFERROR(INDEX(Settings!$C$5:$C$9,MATCH($B1096,Settings!$A$5:$A$9,0)),0)+IFERROR(INDEX(Settings!$F$5:$F$9,MATCH($B1096,Settings!$A$5:$A$9,0)),0))/P1096+IFERROR(INDEX(Settings!$D$5:$D$9,MATCH($B1096,Settings!$A$5:$A$9,0)),0)*M1096)</f>
        <v/>
      </c>
      <c r="W1096" s="11">
        <f>IF(J1096="","",IF(T1096="",0,M1096*INDEX(Products!$I$5:$I$204,T1096)))</f>
        <v/>
      </c>
      <c r="X1096" s="11">
        <f>IF(J1096="","",IF(T1096="",0,S1096*INDEX(Products!$H$5:$H$204,T1096)))</f>
        <v/>
      </c>
      <c r="Y1096" s="11">
        <f>IF(J1096="","",S1096-V1096-W1096-X1096)</f>
        <v/>
      </c>
    </row>
    <row r="1097">
      <c r="A1097" s="19" t="n"/>
      <c r="B1097" s="19" t="n"/>
      <c r="C1097" s="19" t="n"/>
      <c r="D1097" s="19" t="n"/>
      <c r="E1097" s="19" t="n"/>
      <c r="F1097" s="20" t="n"/>
      <c r="G1097" s="20" t="n"/>
      <c r="H1097" s="20" t="n"/>
      <c r="I1097" s="19" t="n"/>
      <c r="J1097">
        <f>IFERROR(IF(C1097="","",C1097)&amp;"","")</f>
        <v/>
      </c>
      <c r="K1097">
        <f>IFERROR(IF(D1097="","",D1097)&amp;"","")</f>
        <v/>
      </c>
      <c r="L1097">
        <f>IFERROR(IF(I1097="","",I1097)&amp;"","")</f>
        <v/>
      </c>
      <c r="M1097">
        <f>IF(J1097="","",IFERROR(VALUE(SUBSTITUTE(SUBSTITUTE(IF(E1097="","",E1097)&amp;"","$",""),",","")),0))</f>
        <v/>
      </c>
      <c r="N1097" s="11">
        <f>IF(J1097="","",IFERROR(VALUE(SUBSTITUTE(SUBSTITUTE(IF(F1097="","",F1097)&amp;"","$",""),",","")),0))</f>
        <v/>
      </c>
      <c r="O1097" s="11">
        <f>IF(J1097="","",M1097*N1097)</f>
        <v/>
      </c>
      <c r="P1097">
        <f>IF(J1097="","",IF(L1097="",1,COUNTIF($L$2:$L$1501,L1097)))</f>
        <v/>
      </c>
      <c r="Q1097" s="11">
        <f>IF(J1097="","",IFERROR(VALUE(SUBSTITUTE(SUBSTITUTE(IF(G1097="","",G1097)&amp;"","$",""),",","")),0)/IF("No"="Yes",P1097,1))</f>
        <v/>
      </c>
      <c r="R1097" s="11">
        <f>IF(J1097="","",IFERROR(VALUE(SUBSTITUTE(SUBSTITUTE(IF(H1097="","",H1097)&amp;"","$",""),",","")),0)/IF("No"="Yes",P1097,1))</f>
        <v/>
      </c>
      <c r="S1097" s="11">
        <f>IF(J1097="","",O1097+Q1097-R1097)</f>
        <v/>
      </c>
      <c r="T1097">
        <f>IF(J1097="","",IFERROR(IF(K1097="",NA(),MATCH(K1097,Products!$B$5:$B$204,0)),IFERROR(MATCH(J1097,Products!$A$5:$A$204,0),"")))</f>
        <v/>
      </c>
      <c r="U1097">
        <f>IF(J1097="","",IF(T1097="","⚠ not in Products",INDEX(Products!$A$5:$A$204,T1097)))</f>
        <v/>
      </c>
      <c r="V1097" s="11">
        <f>IF(J1097="","",S1097*(IFERROR(INDEX(Settings!$B$5:$B$9,MATCH($B1097,Settings!$A$5:$A$9,0)),0)+IFERROR(INDEX(Settings!$E$5:$E$9,MATCH($B1097,Settings!$A$5:$A$9,0)),0)+IFERROR(INDEX(Settings!$G$5:$G$9,MATCH($B1097,Settings!$A$5:$A$9,0)),0))+(IFERROR(INDEX(Settings!$C$5:$C$9,MATCH($B1097,Settings!$A$5:$A$9,0)),0)+IFERROR(INDEX(Settings!$F$5:$F$9,MATCH($B1097,Settings!$A$5:$A$9,0)),0))/P1097+IFERROR(INDEX(Settings!$D$5:$D$9,MATCH($B1097,Settings!$A$5:$A$9,0)),0)*M1097)</f>
        <v/>
      </c>
      <c r="W1097" s="11">
        <f>IF(J1097="","",IF(T1097="",0,M1097*INDEX(Products!$I$5:$I$204,T1097)))</f>
        <v/>
      </c>
      <c r="X1097" s="11">
        <f>IF(J1097="","",IF(T1097="",0,S1097*INDEX(Products!$H$5:$H$204,T1097)))</f>
        <v/>
      </c>
      <c r="Y1097" s="11">
        <f>IF(J1097="","",S1097-V1097-W1097-X1097)</f>
        <v/>
      </c>
    </row>
    <row r="1098">
      <c r="A1098" s="19" t="n"/>
      <c r="B1098" s="19" t="n"/>
      <c r="C1098" s="19" t="n"/>
      <c r="D1098" s="19" t="n"/>
      <c r="E1098" s="19" t="n"/>
      <c r="F1098" s="20" t="n"/>
      <c r="G1098" s="20" t="n"/>
      <c r="H1098" s="20" t="n"/>
      <c r="I1098" s="19" t="n"/>
      <c r="J1098">
        <f>IFERROR(IF(C1098="","",C1098)&amp;"","")</f>
        <v/>
      </c>
      <c r="K1098">
        <f>IFERROR(IF(D1098="","",D1098)&amp;"","")</f>
        <v/>
      </c>
      <c r="L1098">
        <f>IFERROR(IF(I1098="","",I1098)&amp;"","")</f>
        <v/>
      </c>
      <c r="M1098">
        <f>IF(J1098="","",IFERROR(VALUE(SUBSTITUTE(SUBSTITUTE(IF(E1098="","",E1098)&amp;"","$",""),",","")),0))</f>
        <v/>
      </c>
      <c r="N1098" s="11">
        <f>IF(J1098="","",IFERROR(VALUE(SUBSTITUTE(SUBSTITUTE(IF(F1098="","",F1098)&amp;"","$",""),",","")),0))</f>
        <v/>
      </c>
      <c r="O1098" s="11">
        <f>IF(J1098="","",M1098*N1098)</f>
        <v/>
      </c>
      <c r="P1098">
        <f>IF(J1098="","",IF(L1098="",1,COUNTIF($L$2:$L$1501,L1098)))</f>
        <v/>
      </c>
      <c r="Q1098" s="11">
        <f>IF(J1098="","",IFERROR(VALUE(SUBSTITUTE(SUBSTITUTE(IF(G1098="","",G1098)&amp;"","$",""),",","")),0)/IF("No"="Yes",P1098,1))</f>
        <v/>
      </c>
      <c r="R1098" s="11">
        <f>IF(J1098="","",IFERROR(VALUE(SUBSTITUTE(SUBSTITUTE(IF(H1098="","",H1098)&amp;"","$",""),",","")),0)/IF("No"="Yes",P1098,1))</f>
        <v/>
      </c>
      <c r="S1098" s="11">
        <f>IF(J1098="","",O1098+Q1098-R1098)</f>
        <v/>
      </c>
      <c r="T1098">
        <f>IF(J1098="","",IFERROR(IF(K1098="",NA(),MATCH(K1098,Products!$B$5:$B$204,0)),IFERROR(MATCH(J1098,Products!$A$5:$A$204,0),"")))</f>
        <v/>
      </c>
      <c r="U1098">
        <f>IF(J1098="","",IF(T1098="","⚠ not in Products",INDEX(Products!$A$5:$A$204,T1098)))</f>
        <v/>
      </c>
      <c r="V1098" s="11">
        <f>IF(J1098="","",S1098*(IFERROR(INDEX(Settings!$B$5:$B$9,MATCH($B1098,Settings!$A$5:$A$9,0)),0)+IFERROR(INDEX(Settings!$E$5:$E$9,MATCH($B1098,Settings!$A$5:$A$9,0)),0)+IFERROR(INDEX(Settings!$G$5:$G$9,MATCH($B1098,Settings!$A$5:$A$9,0)),0))+(IFERROR(INDEX(Settings!$C$5:$C$9,MATCH($B1098,Settings!$A$5:$A$9,0)),0)+IFERROR(INDEX(Settings!$F$5:$F$9,MATCH($B1098,Settings!$A$5:$A$9,0)),0))/P1098+IFERROR(INDEX(Settings!$D$5:$D$9,MATCH($B1098,Settings!$A$5:$A$9,0)),0)*M1098)</f>
        <v/>
      </c>
      <c r="W1098" s="11">
        <f>IF(J1098="","",IF(T1098="",0,M1098*INDEX(Products!$I$5:$I$204,T1098)))</f>
        <v/>
      </c>
      <c r="X1098" s="11">
        <f>IF(J1098="","",IF(T1098="",0,S1098*INDEX(Products!$H$5:$H$204,T1098)))</f>
        <v/>
      </c>
      <c r="Y1098" s="11">
        <f>IF(J1098="","",S1098-V1098-W1098-X1098)</f>
        <v/>
      </c>
    </row>
    <row r="1099">
      <c r="A1099" s="19" t="n"/>
      <c r="B1099" s="19" t="n"/>
      <c r="C1099" s="19" t="n"/>
      <c r="D1099" s="19" t="n"/>
      <c r="E1099" s="19" t="n"/>
      <c r="F1099" s="20" t="n"/>
      <c r="G1099" s="20" t="n"/>
      <c r="H1099" s="20" t="n"/>
      <c r="I1099" s="19" t="n"/>
      <c r="J1099">
        <f>IFERROR(IF(C1099="","",C1099)&amp;"","")</f>
        <v/>
      </c>
      <c r="K1099">
        <f>IFERROR(IF(D1099="","",D1099)&amp;"","")</f>
        <v/>
      </c>
      <c r="L1099">
        <f>IFERROR(IF(I1099="","",I1099)&amp;"","")</f>
        <v/>
      </c>
      <c r="M1099">
        <f>IF(J1099="","",IFERROR(VALUE(SUBSTITUTE(SUBSTITUTE(IF(E1099="","",E1099)&amp;"","$",""),",","")),0))</f>
        <v/>
      </c>
      <c r="N1099" s="11">
        <f>IF(J1099="","",IFERROR(VALUE(SUBSTITUTE(SUBSTITUTE(IF(F1099="","",F1099)&amp;"","$",""),",","")),0))</f>
        <v/>
      </c>
      <c r="O1099" s="11">
        <f>IF(J1099="","",M1099*N1099)</f>
        <v/>
      </c>
      <c r="P1099">
        <f>IF(J1099="","",IF(L1099="",1,COUNTIF($L$2:$L$1501,L1099)))</f>
        <v/>
      </c>
      <c r="Q1099" s="11">
        <f>IF(J1099="","",IFERROR(VALUE(SUBSTITUTE(SUBSTITUTE(IF(G1099="","",G1099)&amp;"","$",""),",","")),0)/IF("No"="Yes",P1099,1))</f>
        <v/>
      </c>
      <c r="R1099" s="11">
        <f>IF(J1099="","",IFERROR(VALUE(SUBSTITUTE(SUBSTITUTE(IF(H1099="","",H1099)&amp;"","$",""),",","")),0)/IF("No"="Yes",P1099,1))</f>
        <v/>
      </c>
      <c r="S1099" s="11">
        <f>IF(J1099="","",O1099+Q1099-R1099)</f>
        <v/>
      </c>
      <c r="T1099">
        <f>IF(J1099="","",IFERROR(IF(K1099="",NA(),MATCH(K1099,Products!$B$5:$B$204,0)),IFERROR(MATCH(J1099,Products!$A$5:$A$204,0),"")))</f>
        <v/>
      </c>
      <c r="U1099">
        <f>IF(J1099="","",IF(T1099="","⚠ not in Products",INDEX(Products!$A$5:$A$204,T1099)))</f>
        <v/>
      </c>
      <c r="V1099" s="11">
        <f>IF(J1099="","",S1099*(IFERROR(INDEX(Settings!$B$5:$B$9,MATCH($B1099,Settings!$A$5:$A$9,0)),0)+IFERROR(INDEX(Settings!$E$5:$E$9,MATCH($B1099,Settings!$A$5:$A$9,0)),0)+IFERROR(INDEX(Settings!$G$5:$G$9,MATCH($B1099,Settings!$A$5:$A$9,0)),0))+(IFERROR(INDEX(Settings!$C$5:$C$9,MATCH($B1099,Settings!$A$5:$A$9,0)),0)+IFERROR(INDEX(Settings!$F$5:$F$9,MATCH($B1099,Settings!$A$5:$A$9,0)),0))/P1099+IFERROR(INDEX(Settings!$D$5:$D$9,MATCH($B1099,Settings!$A$5:$A$9,0)),0)*M1099)</f>
        <v/>
      </c>
      <c r="W1099" s="11">
        <f>IF(J1099="","",IF(T1099="",0,M1099*INDEX(Products!$I$5:$I$204,T1099)))</f>
        <v/>
      </c>
      <c r="X1099" s="11">
        <f>IF(J1099="","",IF(T1099="",0,S1099*INDEX(Products!$H$5:$H$204,T1099)))</f>
        <v/>
      </c>
      <c r="Y1099" s="11">
        <f>IF(J1099="","",S1099-V1099-W1099-X1099)</f>
        <v/>
      </c>
    </row>
    <row r="1100">
      <c r="A1100" s="19" t="n"/>
      <c r="B1100" s="19" t="n"/>
      <c r="C1100" s="19" t="n"/>
      <c r="D1100" s="19" t="n"/>
      <c r="E1100" s="19" t="n"/>
      <c r="F1100" s="20" t="n"/>
      <c r="G1100" s="20" t="n"/>
      <c r="H1100" s="20" t="n"/>
      <c r="I1100" s="19" t="n"/>
      <c r="J1100">
        <f>IFERROR(IF(C1100="","",C1100)&amp;"","")</f>
        <v/>
      </c>
      <c r="K1100">
        <f>IFERROR(IF(D1100="","",D1100)&amp;"","")</f>
        <v/>
      </c>
      <c r="L1100">
        <f>IFERROR(IF(I1100="","",I1100)&amp;"","")</f>
        <v/>
      </c>
      <c r="M1100">
        <f>IF(J1100="","",IFERROR(VALUE(SUBSTITUTE(SUBSTITUTE(IF(E1100="","",E1100)&amp;"","$",""),",","")),0))</f>
        <v/>
      </c>
      <c r="N1100" s="11">
        <f>IF(J1100="","",IFERROR(VALUE(SUBSTITUTE(SUBSTITUTE(IF(F1100="","",F1100)&amp;"","$",""),",","")),0))</f>
        <v/>
      </c>
      <c r="O1100" s="11">
        <f>IF(J1100="","",M1100*N1100)</f>
        <v/>
      </c>
      <c r="P1100">
        <f>IF(J1100="","",IF(L1100="",1,COUNTIF($L$2:$L$1501,L1100)))</f>
        <v/>
      </c>
      <c r="Q1100" s="11">
        <f>IF(J1100="","",IFERROR(VALUE(SUBSTITUTE(SUBSTITUTE(IF(G1100="","",G1100)&amp;"","$",""),",","")),0)/IF("No"="Yes",P1100,1))</f>
        <v/>
      </c>
      <c r="R1100" s="11">
        <f>IF(J1100="","",IFERROR(VALUE(SUBSTITUTE(SUBSTITUTE(IF(H1100="","",H1100)&amp;"","$",""),",","")),0)/IF("No"="Yes",P1100,1))</f>
        <v/>
      </c>
      <c r="S1100" s="11">
        <f>IF(J1100="","",O1100+Q1100-R1100)</f>
        <v/>
      </c>
      <c r="T1100">
        <f>IF(J1100="","",IFERROR(IF(K1100="",NA(),MATCH(K1100,Products!$B$5:$B$204,0)),IFERROR(MATCH(J1100,Products!$A$5:$A$204,0),"")))</f>
        <v/>
      </c>
      <c r="U1100">
        <f>IF(J1100="","",IF(T1100="","⚠ not in Products",INDEX(Products!$A$5:$A$204,T1100)))</f>
        <v/>
      </c>
      <c r="V1100" s="11">
        <f>IF(J1100="","",S1100*(IFERROR(INDEX(Settings!$B$5:$B$9,MATCH($B1100,Settings!$A$5:$A$9,0)),0)+IFERROR(INDEX(Settings!$E$5:$E$9,MATCH($B1100,Settings!$A$5:$A$9,0)),0)+IFERROR(INDEX(Settings!$G$5:$G$9,MATCH($B1100,Settings!$A$5:$A$9,0)),0))+(IFERROR(INDEX(Settings!$C$5:$C$9,MATCH($B1100,Settings!$A$5:$A$9,0)),0)+IFERROR(INDEX(Settings!$F$5:$F$9,MATCH($B1100,Settings!$A$5:$A$9,0)),0))/P1100+IFERROR(INDEX(Settings!$D$5:$D$9,MATCH($B1100,Settings!$A$5:$A$9,0)),0)*M1100)</f>
        <v/>
      </c>
      <c r="W1100" s="11">
        <f>IF(J1100="","",IF(T1100="",0,M1100*INDEX(Products!$I$5:$I$204,T1100)))</f>
        <v/>
      </c>
      <c r="X1100" s="11">
        <f>IF(J1100="","",IF(T1100="",0,S1100*INDEX(Products!$H$5:$H$204,T1100)))</f>
        <v/>
      </c>
      <c r="Y1100" s="11">
        <f>IF(J1100="","",S1100-V1100-W1100-X1100)</f>
        <v/>
      </c>
    </row>
    <row r="1101">
      <c r="A1101" s="19" t="n"/>
      <c r="B1101" s="19" t="n"/>
      <c r="C1101" s="19" t="n"/>
      <c r="D1101" s="19" t="n"/>
      <c r="E1101" s="19" t="n"/>
      <c r="F1101" s="20" t="n"/>
      <c r="G1101" s="20" t="n"/>
      <c r="H1101" s="20" t="n"/>
      <c r="I1101" s="19" t="n"/>
      <c r="J1101">
        <f>IFERROR(IF(C1101="","",C1101)&amp;"","")</f>
        <v/>
      </c>
      <c r="K1101">
        <f>IFERROR(IF(D1101="","",D1101)&amp;"","")</f>
        <v/>
      </c>
      <c r="L1101">
        <f>IFERROR(IF(I1101="","",I1101)&amp;"","")</f>
        <v/>
      </c>
      <c r="M1101">
        <f>IF(J1101="","",IFERROR(VALUE(SUBSTITUTE(SUBSTITUTE(IF(E1101="","",E1101)&amp;"","$",""),",","")),0))</f>
        <v/>
      </c>
      <c r="N1101" s="11">
        <f>IF(J1101="","",IFERROR(VALUE(SUBSTITUTE(SUBSTITUTE(IF(F1101="","",F1101)&amp;"","$",""),",","")),0))</f>
        <v/>
      </c>
      <c r="O1101" s="11">
        <f>IF(J1101="","",M1101*N1101)</f>
        <v/>
      </c>
      <c r="P1101">
        <f>IF(J1101="","",IF(L1101="",1,COUNTIF($L$2:$L$1501,L1101)))</f>
        <v/>
      </c>
      <c r="Q1101" s="11">
        <f>IF(J1101="","",IFERROR(VALUE(SUBSTITUTE(SUBSTITUTE(IF(G1101="","",G1101)&amp;"","$",""),",","")),0)/IF("No"="Yes",P1101,1))</f>
        <v/>
      </c>
      <c r="R1101" s="11">
        <f>IF(J1101="","",IFERROR(VALUE(SUBSTITUTE(SUBSTITUTE(IF(H1101="","",H1101)&amp;"","$",""),",","")),0)/IF("No"="Yes",P1101,1))</f>
        <v/>
      </c>
      <c r="S1101" s="11">
        <f>IF(J1101="","",O1101+Q1101-R1101)</f>
        <v/>
      </c>
      <c r="T1101">
        <f>IF(J1101="","",IFERROR(IF(K1101="",NA(),MATCH(K1101,Products!$B$5:$B$204,0)),IFERROR(MATCH(J1101,Products!$A$5:$A$204,0),"")))</f>
        <v/>
      </c>
      <c r="U1101">
        <f>IF(J1101="","",IF(T1101="","⚠ not in Products",INDEX(Products!$A$5:$A$204,T1101)))</f>
        <v/>
      </c>
      <c r="V1101" s="11">
        <f>IF(J1101="","",S1101*(IFERROR(INDEX(Settings!$B$5:$B$9,MATCH($B1101,Settings!$A$5:$A$9,0)),0)+IFERROR(INDEX(Settings!$E$5:$E$9,MATCH($B1101,Settings!$A$5:$A$9,0)),0)+IFERROR(INDEX(Settings!$G$5:$G$9,MATCH($B1101,Settings!$A$5:$A$9,0)),0))+(IFERROR(INDEX(Settings!$C$5:$C$9,MATCH($B1101,Settings!$A$5:$A$9,0)),0)+IFERROR(INDEX(Settings!$F$5:$F$9,MATCH($B1101,Settings!$A$5:$A$9,0)),0))/P1101+IFERROR(INDEX(Settings!$D$5:$D$9,MATCH($B1101,Settings!$A$5:$A$9,0)),0)*M1101)</f>
        <v/>
      </c>
      <c r="W1101" s="11">
        <f>IF(J1101="","",IF(T1101="",0,M1101*INDEX(Products!$I$5:$I$204,T1101)))</f>
        <v/>
      </c>
      <c r="X1101" s="11">
        <f>IF(J1101="","",IF(T1101="",0,S1101*INDEX(Products!$H$5:$H$204,T1101)))</f>
        <v/>
      </c>
      <c r="Y1101" s="11">
        <f>IF(J1101="","",S1101-V1101-W1101-X1101)</f>
        <v/>
      </c>
    </row>
    <row r="1102">
      <c r="A1102" s="19" t="n"/>
      <c r="B1102" s="19" t="n"/>
      <c r="C1102" s="19" t="n"/>
      <c r="D1102" s="19" t="n"/>
      <c r="E1102" s="19" t="n"/>
      <c r="F1102" s="20" t="n"/>
      <c r="G1102" s="20" t="n"/>
      <c r="H1102" s="20" t="n"/>
      <c r="I1102" s="19" t="n"/>
      <c r="J1102">
        <f>IFERROR(IF(C1102="","",C1102)&amp;"","")</f>
        <v/>
      </c>
      <c r="K1102">
        <f>IFERROR(IF(D1102="","",D1102)&amp;"","")</f>
        <v/>
      </c>
      <c r="L1102">
        <f>IFERROR(IF(I1102="","",I1102)&amp;"","")</f>
        <v/>
      </c>
      <c r="M1102">
        <f>IF(J1102="","",IFERROR(VALUE(SUBSTITUTE(SUBSTITUTE(IF(E1102="","",E1102)&amp;"","$",""),",","")),0))</f>
        <v/>
      </c>
      <c r="N1102" s="11">
        <f>IF(J1102="","",IFERROR(VALUE(SUBSTITUTE(SUBSTITUTE(IF(F1102="","",F1102)&amp;"","$",""),",","")),0))</f>
        <v/>
      </c>
      <c r="O1102" s="11">
        <f>IF(J1102="","",M1102*N1102)</f>
        <v/>
      </c>
      <c r="P1102">
        <f>IF(J1102="","",IF(L1102="",1,COUNTIF($L$2:$L$1501,L1102)))</f>
        <v/>
      </c>
      <c r="Q1102" s="11">
        <f>IF(J1102="","",IFERROR(VALUE(SUBSTITUTE(SUBSTITUTE(IF(G1102="","",G1102)&amp;"","$",""),",","")),0)/IF("No"="Yes",P1102,1))</f>
        <v/>
      </c>
      <c r="R1102" s="11">
        <f>IF(J1102="","",IFERROR(VALUE(SUBSTITUTE(SUBSTITUTE(IF(H1102="","",H1102)&amp;"","$",""),",","")),0)/IF("No"="Yes",P1102,1))</f>
        <v/>
      </c>
      <c r="S1102" s="11">
        <f>IF(J1102="","",O1102+Q1102-R1102)</f>
        <v/>
      </c>
      <c r="T1102">
        <f>IF(J1102="","",IFERROR(IF(K1102="",NA(),MATCH(K1102,Products!$B$5:$B$204,0)),IFERROR(MATCH(J1102,Products!$A$5:$A$204,0),"")))</f>
        <v/>
      </c>
      <c r="U1102">
        <f>IF(J1102="","",IF(T1102="","⚠ not in Products",INDEX(Products!$A$5:$A$204,T1102)))</f>
        <v/>
      </c>
      <c r="V1102" s="11">
        <f>IF(J1102="","",S1102*(IFERROR(INDEX(Settings!$B$5:$B$9,MATCH($B1102,Settings!$A$5:$A$9,0)),0)+IFERROR(INDEX(Settings!$E$5:$E$9,MATCH($B1102,Settings!$A$5:$A$9,0)),0)+IFERROR(INDEX(Settings!$G$5:$G$9,MATCH($B1102,Settings!$A$5:$A$9,0)),0))+(IFERROR(INDEX(Settings!$C$5:$C$9,MATCH($B1102,Settings!$A$5:$A$9,0)),0)+IFERROR(INDEX(Settings!$F$5:$F$9,MATCH($B1102,Settings!$A$5:$A$9,0)),0))/P1102+IFERROR(INDEX(Settings!$D$5:$D$9,MATCH($B1102,Settings!$A$5:$A$9,0)),0)*M1102)</f>
        <v/>
      </c>
      <c r="W1102" s="11">
        <f>IF(J1102="","",IF(T1102="",0,M1102*INDEX(Products!$I$5:$I$204,T1102)))</f>
        <v/>
      </c>
      <c r="X1102" s="11">
        <f>IF(J1102="","",IF(T1102="",0,S1102*INDEX(Products!$H$5:$H$204,T1102)))</f>
        <v/>
      </c>
      <c r="Y1102" s="11">
        <f>IF(J1102="","",S1102-V1102-W1102-X1102)</f>
        <v/>
      </c>
    </row>
    <row r="1103">
      <c r="A1103" s="19" t="n"/>
      <c r="B1103" s="19" t="n"/>
      <c r="C1103" s="19" t="n"/>
      <c r="D1103" s="19" t="n"/>
      <c r="E1103" s="19" t="n"/>
      <c r="F1103" s="20" t="n"/>
      <c r="G1103" s="20" t="n"/>
      <c r="H1103" s="20" t="n"/>
      <c r="I1103" s="19" t="n"/>
      <c r="J1103">
        <f>IFERROR(IF(C1103="","",C1103)&amp;"","")</f>
        <v/>
      </c>
      <c r="K1103">
        <f>IFERROR(IF(D1103="","",D1103)&amp;"","")</f>
        <v/>
      </c>
      <c r="L1103">
        <f>IFERROR(IF(I1103="","",I1103)&amp;"","")</f>
        <v/>
      </c>
      <c r="M1103">
        <f>IF(J1103="","",IFERROR(VALUE(SUBSTITUTE(SUBSTITUTE(IF(E1103="","",E1103)&amp;"","$",""),",","")),0))</f>
        <v/>
      </c>
      <c r="N1103" s="11">
        <f>IF(J1103="","",IFERROR(VALUE(SUBSTITUTE(SUBSTITUTE(IF(F1103="","",F1103)&amp;"","$",""),",","")),0))</f>
        <v/>
      </c>
      <c r="O1103" s="11">
        <f>IF(J1103="","",M1103*N1103)</f>
        <v/>
      </c>
      <c r="P1103">
        <f>IF(J1103="","",IF(L1103="",1,COUNTIF($L$2:$L$1501,L1103)))</f>
        <v/>
      </c>
      <c r="Q1103" s="11">
        <f>IF(J1103="","",IFERROR(VALUE(SUBSTITUTE(SUBSTITUTE(IF(G1103="","",G1103)&amp;"","$",""),",","")),0)/IF("No"="Yes",P1103,1))</f>
        <v/>
      </c>
      <c r="R1103" s="11">
        <f>IF(J1103="","",IFERROR(VALUE(SUBSTITUTE(SUBSTITUTE(IF(H1103="","",H1103)&amp;"","$",""),",","")),0)/IF("No"="Yes",P1103,1))</f>
        <v/>
      </c>
      <c r="S1103" s="11">
        <f>IF(J1103="","",O1103+Q1103-R1103)</f>
        <v/>
      </c>
      <c r="T1103">
        <f>IF(J1103="","",IFERROR(IF(K1103="",NA(),MATCH(K1103,Products!$B$5:$B$204,0)),IFERROR(MATCH(J1103,Products!$A$5:$A$204,0),"")))</f>
        <v/>
      </c>
      <c r="U1103">
        <f>IF(J1103="","",IF(T1103="","⚠ not in Products",INDEX(Products!$A$5:$A$204,T1103)))</f>
        <v/>
      </c>
      <c r="V1103" s="11">
        <f>IF(J1103="","",S1103*(IFERROR(INDEX(Settings!$B$5:$B$9,MATCH($B1103,Settings!$A$5:$A$9,0)),0)+IFERROR(INDEX(Settings!$E$5:$E$9,MATCH($B1103,Settings!$A$5:$A$9,0)),0)+IFERROR(INDEX(Settings!$G$5:$G$9,MATCH($B1103,Settings!$A$5:$A$9,0)),0))+(IFERROR(INDEX(Settings!$C$5:$C$9,MATCH($B1103,Settings!$A$5:$A$9,0)),0)+IFERROR(INDEX(Settings!$F$5:$F$9,MATCH($B1103,Settings!$A$5:$A$9,0)),0))/P1103+IFERROR(INDEX(Settings!$D$5:$D$9,MATCH($B1103,Settings!$A$5:$A$9,0)),0)*M1103)</f>
        <v/>
      </c>
      <c r="W1103" s="11">
        <f>IF(J1103="","",IF(T1103="",0,M1103*INDEX(Products!$I$5:$I$204,T1103)))</f>
        <v/>
      </c>
      <c r="X1103" s="11">
        <f>IF(J1103="","",IF(T1103="",0,S1103*INDEX(Products!$H$5:$H$204,T1103)))</f>
        <v/>
      </c>
      <c r="Y1103" s="11">
        <f>IF(J1103="","",S1103-V1103-W1103-X1103)</f>
        <v/>
      </c>
    </row>
    <row r="1104">
      <c r="A1104" s="19" t="n"/>
      <c r="B1104" s="19" t="n"/>
      <c r="C1104" s="19" t="n"/>
      <c r="D1104" s="19" t="n"/>
      <c r="E1104" s="19" t="n"/>
      <c r="F1104" s="20" t="n"/>
      <c r="G1104" s="20" t="n"/>
      <c r="H1104" s="20" t="n"/>
      <c r="I1104" s="19" t="n"/>
      <c r="J1104">
        <f>IFERROR(IF(C1104="","",C1104)&amp;"","")</f>
        <v/>
      </c>
      <c r="K1104">
        <f>IFERROR(IF(D1104="","",D1104)&amp;"","")</f>
        <v/>
      </c>
      <c r="L1104">
        <f>IFERROR(IF(I1104="","",I1104)&amp;"","")</f>
        <v/>
      </c>
      <c r="M1104">
        <f>IF(J1104="","",IFERROR(VALUE(SUBSTITUTE(SUBSTITUTE(IF(E1104="","",E1104)&amp;"","$",""),",","")),0))</f>
        <v/>
      </c>
      <c r="N1104" s="11">
        <f>IF(J1104="","",IFERROR(VALUE(SUBSTITUTE(SUBSTITUTE(IF(F1104="","",F1104)&amp;"","$",""),",","")),0))</f>
        <v/>
      </c>
      <c r="O1104" s="11">
        <f>IF(J1104="","",M1104*N1104)</f>
        <v/>
      </c>
      <c r="P1104">
        <f>IF(J1104="","",IF(L1104="",1,COUNTIF($L$2:$L$1501,L1104)))</f>
        <v/>
      </c>
      <c r="Q1104" s="11">
        <f>IF(J1104="","",IFERROR(VALUE(SUBSTITUTE(SUBSTITUTE(IF(G1104="","",G1104)&amp;"","$",""),",","")),0)/IF("No"="Yes",P1104,1))</f>
        <v/>
      </c>
      <c r="R1104" s="11">
        <f>IF(J1104="","",IFERROR(VALUE(SUBSTITUTE(SUBSTITUTE(IF(H1104="","",H1104)&amp;"","$",""),",","")),0)/IF("No"="Yes",P1104,1))</f>
        <v/>
      </c>
      <c r="S1104" s="11">
        <f>IF(J1104="","",O1104+Q1104-R1104)</f>
        <v/>
      </c>
      <c r="T1104">
        <f>IF(J1104="","",IFERROR(IF(K1104="",NA(),MATCH(K1104,Products!$B$5:$B$204,0)),IFERROR(MATCH(J1104,Products!$A$5:$A$204,0),"")))</f>
        <v/>
      </c>
      <c r="U1104">
        <f>IF(J1104="","",IF(T1104="","⚠ not in Products",INDEX(Products!$A$5:$A$204,T1104)))</f>
        <v/>
      </c>
      <c r="V1104" s="11">
        <f>IF(J1104="","",S1104*(IFERROR(INDEX(Settings!$B$5:$B$9,MATCH($B1104,Settings!$A$5:$A$9,0)),0)+IFERROR(INDEX(Settings!$E$5:$E$9,MATCH($B1104,Settings!$A$5:$A$9,0)),0)+IFERROR(INDEX(Settings!$G$5:$G$9,MATCH($B1104,Settings!$A$5:$A$9,0)),0))+(IFERROR(INDEX(Settings!$C$5:$C$9,MATCH($B1104,Settings!$A$5:$A$9,0)),0)+IFERROR(INDEX(Settings!$F$5:$F$9,MATCH($B1104,Settings!$A$5:$A$9,0)),0))/P1104+IFERROR(INDEX(Settings!$D$5:$D$9,MATCH($B1104,Settings!$A$5:$A$9,0)),0)*M1104)</f>
        <v/>
      </c>
      <c r="W1104" s="11">
        <f>IF(J1104="","",IF(T1104="",0,M1104*INDEX(Products!$I$5:$I$204,T1104)))</f>
        <v/>
      </c>
      <c r="X1104" s="11">
        <f>IF(J1104="","",IF(T1104="",0,S1104*INDEX(Products!$H$5:$H$204,T1104)))</f>
        <v/>
      </c>
      <c r="Y1104" s="11">
        <f>IF(J1104="","",S1104-V1104-W1104-X1104)</f>
        <v/>
      </c>
    </row>
    <row r="1105">
      <c r="A1105" s="19" t="n"/>
      <c r="B1105" s="19" t="n"/>
      <c r="C1105" s="19" t="n"/>
      <c r="D1105" s="19" t="n"/>
      <c r="E1105" s="19" t="n"/>
      <c r="F1105" s="20" t="n"/>
      <c r="G1105" s="20" t="n"/>
      <c r="H1105" s="20" t="n"/>
      <c r="I1105" s="19" t="n"/>
      <c r="J1105">
        <f>IFERROR(IF(C1105="","",C1105)&amp;"","")</f>
        <v/>
      </c>
      <c r="K1105">
        <f>IFERROR(IF(D1105="","",D1105)&amp;"","")</f>
        <v/>
      </c>
      <c r="L1105">
        <f>IFERROR(IF(I1105="","",I1105)&amp;"","")</f>
        <v/>
      </c>
      <c r="M1105">
        <f>IF(J1105="","",IFERROR(VALUE(SUBSTITUTE(SUBSTITUTE(IF(E1105="","",E1105)&amp;"","$",""),",","")),0))</f>
        <v/>
      </c>
      <c r="N1105" s="11">
        <f>IF(J1105="","",IFERROR(VALUE(SUBSTITUTE(SUBSTITUTE(IF(F1105="","",F1105)&amp;"","$",""),",","")),0))</f>
        <v/>
      </c>
      <c r="O1105" s="11">
        <f>IF(J1105="","",M1105*N1105)</f>
        <v/>
      </c>
      <c r="P1105">
        <f>IF(J1105="","",IF(L1105="",1,COUNTIF($L$2:$L$1501,L1105)))</f>
        <v/>
      </c>
      <c r="Q1105" s="11">
        <f>IF(J1105="","",IFERROR(VALUE(SUBSTITUTE(SUBSTITUTE(IF(G1105="","",G1105)&amp;"","$",""),",","")),0)/IF("No"="Yes",P1105,1))</f>
        <v/>
      </c>
      <c r="R1105" s="11">
        <f>IF(J1105="","",IFERROR(VALUE(SUBSTITUTE(SUBSTITUTE(IF(H1105="","",H1105)&amp;"","$",""),",","")),0)/IF("No"="Yes",P1105,1))</f>
        <v/>
      </c>
      <c r="S1105" s="11">
        <f>IF(J1105="","",O1105+Q1105-R1105)</f>
        <v/>
      </c>
      <c r="T1105">
        <f>IF(J1105="","",IFERROR(IF(K1105="",NA(),MATCH(K1105,Products!$B$5:$B$204,0)),IFERROR(MATCH(J1105,Products!$A$5:$A$204,0),"")))</f>
        <v/>
      </c>
      <c r="U1105">
        <f>IF(J1105="","",IF(T1105="","⚠ not in Products",INDEX(Products!$A$5:$A$204,T1105)))</f>
        <v/>
      </c>
      <c r="V1105" s="11">
        <f>IF(J1105="","",S1105*(IFERROR(INDEX(Settings!$B$5:$B$9,MATCH($B1105,Settings!$A$5:$A$9,0)),0)+IFERROR(INDEX(Settings!$E$5:$E$9,MATCH($B1105,Settings!$A$5:$A$9,0)),0)+IFERROR(INDEX(Settings!$G$5:$G$9,MATCH($B1105,Settings!$A$5:$A$9,0)),0))+(IFERROR(INDEX(Settings!$C$5:$C$9,MATCH($B1105,Settings!$A$5:$A$9,0)),0)+IFERROR(INDEX(Settings!$F$5:$F$9,MATCH($B1105,Settings!$A$5:$A$9,0)),0))/P1105+IFERROR(INDEX(Settings!$D$5:$D$9,MATCH($B1105,Settings!$A$5:$A$9,0)),0)*M1105)</f>
        <v/>
      </c>
      <c r="W1105" s="11">
        <f>IF(J1105="","",IF(T1105="",0,M1105*INDEX(Products!$I$5:$I$204,T1105)))</f>
        <v/>
      </c>
      <c r="X1105" s="11">
        <f>IF(J1105="","",IF(T1105="",0,S1105*INDEX(Products!$H$5:$H$204,T1105)))</f>
        <v/>
      </c>
      <c r="Y1105" s="11">
        <f>IF(J1105="","",S1105-V1105-W1105-X1105)</f>
        <v/>
      </c>
    </row>
    <row r="1106">
      <c r="A1106" s="19" t="n"/>
      <c r="B1106" s="19" t="n"/>
      <c r="C1106" s="19" t="n"/>
      <c r="D1106" s="19" t="n"/>
      <c r="E1106" s="19" t="n"/>
      <c r="F1106" s="20" t="n"/>
      <c r="G1106" s="20" t="n"/>
      <c r="H1106" s="20" t="n"/>
      <c r="I1106" s="19" t="n"/>
      <c r="J1106">
        <f>IFERROR(IF(C1106="","",C1106)&amp;"","")</f>
        <v/>
      </c>
      <c r="K1106">
        <f>IFERROR(IF(D1106="","",D1106)&amp;"","")</f>
        <v/>
      </c>
      <c r="L1106">
        <f>IFERROR(IF(I1106="","",I1106)&amp;"","")</f>
        <v/>
      </c>
      <c r="M1106">
        <f>IF(J1106="","",IFERROR(VALUE(SUBSTITUTE(SUBSTITUTE(IF(E1106="","",E1106)&amp;"","$",""),",","")),0))</f>
        <v/>
      </c>
      <c r="N1106" s="11">
        <f>IF(J1106="","",IFERROR(VALUE(SUBSTITUTE(SUBSTITUTE(IF(F1106="","",F1106)&amp;"","$",""),",","")),0))</f>
        <v/>
      </c>
      <c r="O1106" s="11">
        <f>IF(J1106="","",M1106*N1106)</f>
        <v/>
      </c>
      <c r="P1106">
        <f>IF(J1106="","",IF(L1106="",1,COUNTIF($L$2:$L$1501,L1106)))</f>
        <v/>
      </c>
      <c r="Q1106" s="11">
        <f>IF(J1106="","",IFERROR(VALUE(SUBSTITUTE(SUBSTITUTE(IF(G1106="","",G1106)&amp;"","$",""),",","")),0)/IF("No"="Yes",P1106,1))</f>
        <v/>
      </c>
      <c r="R1106" s="11">
        <f>IF(J1106="","",IFERROR(VALUE(SUBSTITUTE(SUBSTITUTE(IF(H1106="","",H1106)&amp;"","$",""),",","")),0)/IF("No"="Yes",P1106,1))</f>
        <v/>
      </c>
      <c r="S1106" s="11">
        <f>IF(J1106="","",O1106+Q1106-R1106)</f>
        <v/>
      </c>
      <c r="T1106">
        <f>IF(J1106="","",IFERROR(IF(K1106="",NA(),MATCH(K1106,Products!$B$5:$B$204,0)),IFERROR(MATCH(J1106,Products!$A$5:$A$204,0),"")))</f>
        <v/>
      </c>
      <c r="U1106">
        <f>IF(J1106="","",IF(T1106="","⚠ not in Products",INDEX(Products!$A$5:$A$204,T1106)))</f>
        <v/>
      </c>
      <c r="V1106" s="11">
        <f>IF(J1106="","",S1106*(IFERROR(INDEX(Settings!$B$5:$B$9,MATCH($B1106,Settings!$A$5:$A$9,0)),0)+IFERROR(INDEX(Settings!$E$5:$E$9,MATCH($B1106,Settings!$A$5:$A$9,0)),0)+IFERROR(INDEX(Settings!$G$5:$G$9,MATCH($B1106,Settings!$A$5:$A$9,0)),0))+(IFERROR(INDEX(Settings!$C$5:$C$9,MATCH($B1106,Settings!$A$5:$A$9,0)),0)+IFERROR(INDEX(Settings!$F$5:$F$9,MATCH($B1106,Settings!$A$5:$A$9,0)),0))/P1106+IFERROR(INDEX(Settings!$D$5:$D$9,MATCH($B1106,Settings!$A$5:$A$9,0)),0)*M1106)</f>
        <v/>
      </c>
      <c r="W1106" s="11">
        <f>IF(J1106="","",IF(T1106="",0,M1106*INDEX(Products!$I$5:$I$204,T1106)))</f>
        <v/>
      </c>
      <c r="X1106" s="11">
        <f>IF(J1106="","",IF(T1106="",0,S1106*INDEX(Products!$H$5:$H$204,T1106)))</f>
        <v/>
      </c>
      <c r="Y1106" s="11">
        <f>IF(J1106="","",S1106-V1106-W1106-X1106)</f>
        <v/>
      </c>
    </row>
    <row r="1107">
      <c r="A1107" s="19" t="n"/>
      <c r="B1107" s="19" t="n"/>
      <c r="C1107" s="19" t="n"/>
      <c r="D1107" s="19" t="n"/>
      <c r="E1107" s="19" t="n"/>
      <c r="F1107" s="20" t="n"/>
      <c r="G1107" s="20" t="n"/>
      <c r="H1107" s="20" t="n"/>
      <c r="I1107" s="19" t="n"/>
      <c r="J1107">
        <f>IFERROR(IF(C1107="","",C1107)&amp;"","")</f>
        <v/>
      </c>
      <c r="K1107">
        <f>IFERROR(IF(D1107="","",D1107)&amp;"","")</f>
        <v/>
      </c>
      <c r="L1107">
        <f>IFERROR(IF(I1107="","",I1107)&amp;"","")</f>
        <v/>
      </c>
      <c r="M1107">
        <f>IF(J1107="","",IFERROR(VALUE(SUBSTITUTE(SUBSTITUTE(IF(E1107="","",E1107)&amp;"","$",""),",","")),0))</f>
        <v/>
      </c>
      <c r="N1107" s="11">
        <f>IF(J1107="","",IFERROR(VALUE(SUBSTITUTE(SUBSTITUTE(IF(F1107="","",F1107)&amp;"","$",""),",","")),0))</f>
        <v/>
      </c>
      <c r="O1107" s="11">
        <f>IF(J1107="","",M1107*N1107)</f>
        <v/>
      </c>
      <c r="P1107">
        <f>IF(J1107="","",IF(L1107="",1,COUNTIF($L$2:$L$1501,L1107)))</f>
        <v/>
      </c>
      <c r="Q1107" s="11">
        <f>IF(J1107="","",IFERROR(VALUE(SUBSTITUTE(SUBSTITUTE(IF(G1107="","",G1107)&amp;"","$",""),",","")),0)/IF("No"="Yes",P1107,1))</f>
        <v/>
      </c>
      <c r="R1107" s="11">
        <f>IF(J1107="","",IFERROR(VALUE(SUBSTITUTE(SUBSTITUTE(IF(H1107="","",H1107)&amp;"","$",""),",","")),0)/IF("No"="Yes",P1107,1))</f>
        <v/>
      </c>
      <c r="S1107" s="11">
        <f>IF(J1107="","",O1107+Q1107-R1107)</f>
        <v/>
      </c>
      <c r="T1107">
        <f>IF(J1107="","",IFERROR(IF(K1107="",NA(),MATCH(K1107,Products!$B$5:$B$204,0)),IFERROR(MATCH(J1107,Products!$A$5:$A$204,0),"")))</f>
        <v/>
      </c>
      <c r="U1107">
        <f>IF(J1107="","",IF(T1107="","⚠ not in Products",INDEX(Products!$A$5:$A$204,T1107)))</f>
        <v/>
      </c>
      <c r="V1107" s="11">
        <f>IF(J1107="","",S1107*(IFERROR(INDEX(Settings!$B$5:$B$9,MATCH($B1107,Settings!$A$5:$A$9,0)),0)+IFERROR(INDEX(Settings!$E$5:$E$9,MATCH($B1107,Settings!$A$5:$A$9,0)),0)+IFERROR(INDEX(Settings!$G$5:$G$9,MATCH($B1107,Settings!$A$5:$A$9,0)),0))+(IFERROR(INDEX(Settings!$C$5:$C$9,MATCH($B1107,Settings!$A$5:$A$9,0)),0)+IFERROR(INDEX(Settings!$F$5:$F$9,MATCH($B1107,Settings!$A$5:$A$9,0)),0))/P1107+IFERROR(INDEX(Settings!$D$5:$D$9,MATCH($B1107,Settings!$A$5:$A$9,0)),0)*M1107)</f>
        <v/>
      </c>
      <c r="W1107" s="11">
        <f>IF(J1107="","",IF(T1107="",0,M1107*INDEX(Products!$I$5:$I$204,T1107)))</f>
        <v/>
      </c>
      <c r="X1107" s="11">
        <f>IF(J1107="","",IF(T1107="",0,S1107*INDEX(Products!$H$5:$H$204,T1107)))</f>
        <v/>
      </c>
      <c r="Y1107" s="11">
        <f>IF(J1107="","",S1107-V1107-W1107-X1107)</f>
        <v/>
      </c>
    </row>
    <row r="1108">
      <c r="A1108" s="19" t="n"/>
      <c r="B1108" s="19" t="n"/>
      <c r="C1108" s="19" t="n"/>
      <c r="D1108" s="19" t="n"/>
      <c r="E1108" s="19" t="n"/>
      <c r="F1108" s="20" t="n"/>
      <c r="G1108" s="20" t="n"/>
      <c r="H1108" s="20" t="n"/>
      <c r="I1108" s="19" t="n"/>
      <c r="J1108">
        <f>IFERROR(IF(C1108="","",C1108)&amp;"","")</f>
        <v/>
      </c>
      <c r="K1108">
        <f>IFERROR(IF(D1108="","",D1108)&amp;"","")</f>
        <v/>
      </c>
      <c r="L1108">
        <f>IFERROR(IF(I1108="","",I1108)&amp;"","")</f>
        <v/>
      </c>
      <c r="M1108">
        <f>IF(J1108="","",IFERROR(VALUE(SUBSTITUTE(SUBSTITUTE(IF(E1108="","",E1108)&amp;"","$",""),",","")),0))</f>
        <v/>
      </c>
      <c r="N1108" s="11">
        <f>IF(J1108="","",IFERROR(VALUE(SUBSTITUTE(SUBSTITUTE(IF(F1108="","",F1108)&amp;"","$",""),",","")),0))</f>
        <v/>
      </c>
      <c r="O1108" s="11">
        <f>IF(J1108="","",M1108*N1108)</f>
        <v/>
      </c>
      <c r="P1108">
        <f>IF(J1108="","",IF(L1108="",1,COUNTIF($L$2:$L$1501,L1108)))</f>
        <v/>
      </c>
      <c r="Q1108" s="11">
        <f>IF(J1108="","",IFERROR(VALUE(SUBSTITUTE(SUBSTITUTE(IF(G1108="","",G1108)&amp;"","$",""),",","")),0)/IF("No"="Yes",P1108,1))</f>
        <v/>
      </c>
      <c r="R1108" s="11">
        <f>IF(J1108="","",IFERROR(VALUE(SUBSTITUTE(SUBSTITUTE(IF(H1108="","",H1108)&amp;"","$",""),",","")),0)/IF("No"="Yes",P1108,1))</f>
        <v/>
      </c>
      <c r="S1108" s="11">
        <f>IF(J1108="","",O1108+Q1108-R1108)</f>
        <v/>
      </c>
      <c r="T1108">
        <f>IF(J1108="","",IFERROR(IF(K1108="",NA(),MATCH(K1108,Products!$B$5:$B$204,0)),IFERROR(MATCH(J1108,Products!$A$5:$A$204,0),"")))</f>
        <v/>
      </c>
      <c r="U1108">
        <f>IF(J1108="","",IF(T1108="","⚠ not in Products",INDEX(Products!$A$5:$A$204,T1108)))</f>
        <v/>
      </c>
      <c r="V1108" s="11">
        <f>IF(J1108="","",S1108*(IFERROR(INDEX(Settings!$B$5:$B$9,MATCH($B1108,Settings!$A$5:$A$9,0)),0)+IFERROR(INDEX(Settings!$E$5:$E$9,MATCH($B1108,Settings!$A$5:$A$9,0)),0)+IFERROR(INDEX(Settings!$G$5:$G$9,MATCH($B1108,Settings!$A$5:$A$9,0)),0))+(IFERROR(INDEX(Settings!$C$5:$C$9,MATCH($B1108,Settings!$A$5:$A$9,0)),0)+IFERROR(INDEX(Settings!$F$5:$F$9,MATCH($B1108,Settings!$A$5:$A$9,0)),0))/P1108+IFERROR(INDEX(Settings!$D$5:$D$9,MATCH($B1108,Settings!$A$5:$A$9,0)),0)*M1108)</f>
        <v/>
      </c>
      <c r="W1108" s="11">
        <f>IF(J1108="","",IF(T1108="",0,M1108*INDEX(Products!$I$5:$I$204,T1108)))</f>
        <v/>
      </c>
      <c r="X1108" s="11">
        <f>IF(J1108="","",IF(T1108="",0,S1108*INDEX(Products!$H$5:$H$204,T1108)))</f>
        <v/>
      </c>
      <c r="Y1108" s="11">
        <f>IF(J1108="","",S1108-V1108-W1108-X1108)</f>
        <v/>
      </c>
    </row>
    <row r="1109">
      <c r="A1109" s="19" t="n"/>
      <c r="B1109" s="19" t="n"/>
      <c r="C1109" s="19" t="n"/>
      <c r="D1109" s="19" t="n"/>
      <c r="E1109" s="19" t="n"/>
      <c r="F1109" s="20" t="n"/>
      <c r="G1109" s="20" t="n"/>
      <c r="H1109" s="20" t="n"/>
      <c r="I1109" s="19" t="n"/>
      <c r="J1109">
        <f>IFERROR(IF(C1109="","",C1109)&amp;"","")</f>
        <v/>
      </c>
      <c r="K1109">
        <f>IFERROR(IF(D1109="","",D1109)&amp;"","")</f>
        <v/>
      </c>
      <c r="L1109">
        <f>IFERROR(IF(I1109="","",I1109)&amp;"","")</f>
        <v/>
      </c>
      <c r="M1109">
        <f>IF(J1109="","",IFERROR(VALUE(SUBSTITUTE(SUBSTITUTE(IF(E1109="","",E1109)&amp;"","$",""),",","")),0))</f>
        <v/>
      </c>
      <c r="N1109" s="11">
        <f>IF(J1109="","",IFERROR(VALUE(SUBSTITUTE(SUBSTITUTE(IF(F1109="","",F1109)&amp;"","$",""),",","")),0))</f>
        <v/>
      </c>
      <c r="O1109" s="11">
        <f>IF(J1109="","",M1109*N1109)</f>
        <v/>
      </c>
      <c r="P1109">
        <f>IF(J1109="","",IF(L1109="",1,COUNTIF($L$2:$L$1501,L1109)))</f>
        <v/>
      </c>
      <c r="Q1109" s="11">
        <f>IF(J1109="","",IFERROR(VALUE(SUBSTITUTE(SUBSTITUTE(IF(G1109="","",G1109)&amp;"","$",""),",","")),0)/IF("No"="Yes",P1109,1))</f>
        <v/>
      </c>
      <c r="R1109" s="11">
        <f>IF(J1109="","",IFERROR(VALUE(SUBSTITUTE(SUBSTITUTE(IF(H1109="","",H1109)&amp;"","$",""),",","")),0)/IF("No"="Yes",P1109,1))</f>
        <v/>
      </c>
      <c r="S1109" s="11">
        <f>IF(J1109="","",O1109+Q1109-R1109)</f>
        <v/>
      </c>
      <c r="T1109">
        <f>IF(J1109="","",IFERROR(IF(K1109="",NA(),MATCH(K1109,Products!$B$5:$B$204,0)),IFERROR(MATCH(J1109,Products!$A$5:$A$204,0),"")))</f>
        <v/>
      </c>
      <c r="U1109">
        <f>IF(J1109="","",IF(T1109="","⚠ not in Products",INDEX(Products!$A$5:$A$204,T1109)))</f>
        <v/>
      </c>
      <c r="V1109" s="11">
        <f>IF(J1109="","",S1109*(IFERROR(INDEX(Settings!$B$5:$B$9,MATCH($B1109,Settings!$A$5:$A$9,0)),0)+IFERROR(INDEX(Settings!$E$5:$E$9,MATCH($B1109,Settings!$A$5:$A$9,0)),0)+IFERROR(INDEX(Settings!$G$5:$G$9,MATCH($B1109,Settings!$A$5:$A$9,0)),0))+(IFERROR(INDEX(Settings!$C$5:$C$9,MATCH($B1109,Settings!$A$5:$A$9,0)),0)+IFERROR(INDEX(Settings!$F$5:$F$9,MATCH($B1109,Settings!$A$5:$A$9,0)),0))/P1109+IFERROR(INDEX(Settings!$D$5:$D$9,MATCH($B1109,Settings!$A$5:$A$9,0)),0)*M1109)</f>
        <v/>
      </c>
      <c r="W1109" s="11">
        <f>IF(J1109="","",IF(T1109="",0,M1109*INDEX(Products!$I$5:$I$204,T1109)))</f>
        <v/>
      </c>
      <c r="X1109" s="11">
        <f>IF(J1109="","",IF(T1109="",0,S1109*INDEX(Products!$H$5:$H$204,T1109)))</f>
        <v/>
      </c>
      <c r="Y1109" s="11">
        <f>IF(J1109="","",S1109-V1109-W1109-X1109)</f>
        <v/>
      </c>
    </row>
    <row r="1110">
      <c r="A1110" s="19" t="n"/>
      <c r="B1110" s="19" t="n"/>
      <c r="C1110" s="19" t="n"/>
      <c r="D1110" s="19" t="n"/>
      <c r="E1110" s="19" t="n"/>
      <c r="F1110" s="20" t="n"/>
      <c r="G1110" s="20" t="n"/>
      <c r="H1110" s="20" t="n"/>
      <c r="I1110" s="19" t="n"/>
      <c r="J1110">
        <f>IFERROR(IF(C1110="","",C1110)&amp;"","")</f>
        <v/>
      </c>
      <c r="K1110">
        <f>IFERROR(IF(D1110="","",D1110)&amp;"","")</f>
        <v/>
      </c>
      <c r="L1110">
        <f>IFERROR(IF(I1110="","",I1110)&amp;"","")</f>
        <v/>
      </c>
      <c r="M1110">
        <f>IF(J1110="","",IFERROR(VALUE(SUBSTITUTE(SUBSTITUTE(IF(E1110="","",E1110)&amp;"","$",""),",","")),0))</f>
        <v/>
      </c>
      <c r="N1110" s="11">
        <f>IF(J1110="","",IFERROR(VALUE(SUBSTITUTE(SUBSTITUTE(IF(F1110="","",F1110)&amp;"","$",""),",","")),0))</f>
        <v/>
      </c>
      <c r="O1110" s="11">
        <f>IF(J1110="","",M1110*N1110)</f>
        <v/>
      </c>
      <c r="P1110">
        <f>IF(J1110="","",IF(L1110="",1,COUNTIF($L$2:$L$1501,L1110)))</f>
        <v/>
      </c>
      <c r="Q1110" s="11">
        <f>IF(J1110="","",IFERROR(VALUE(SUBSTITUTE(SUBSTITUTE(IF(G1110="","",G1110)&amp;"","$",""),",","")),0)/IF("No"="Yes",P1110,1))</f>
        <v/>
      </c>
      <c r="R1110" s="11">
        <f>IF(J1110="","",IFERROR(VALUE(SUBSTITUTE(SUBSTITUTE(IF(H1110="","",H1110)&amp;"","$",""),",","")),0)/IF("No"="Yes",P1110,1))</f>
        <v/>
      </c>
      <c r="S1110" s="11">
        <f>IF(J1110="","",O1110+Q1110-R1110)</f>
        <v/>
      </c>
      <c r="T1110">
        <f>IF(J1110="","",IFERROR(IF(K1110="",NA(),MATCH(K1110,Products!$B$5:$B$204,0)),IFERROR(MATCH(J1110,Products!$A$5:$A$204,0),"")))</f>
        <v/>
      </c>
      <c r="U1110">
        <f>IF(J1110="","",IF(T1110="","⚠ not in Products",INDEX(Products!$A$5:$A$204,T1110)))</f>
        <v/>
      </c>
      <c r="V1110" s="11">
        <f>IF(J1110="","",S1110*(IFERROR(INDEX(Settings!$B$5:$B$9,MATCH($B1110,Settings!$A$5:$A$9,0)),0)+IFERROR(INDEX(Settings!$E$5:$E$9,MATCH($B1110,Settings!$A$5:$A$9,0)),0)+IFERROR(INDEX(Settings!$G$5:$G$9,MATCH($B1110,Settings!$A$5:$A$9,0)),0))+(IFERROR(INDEX(Settings!$C$5:$C$9,MATCH($B1110,Settings!$A$5:$A$9,0)),0)+IFERROR(INDEX(Settings!$F$5:$F$9,MATCH($B1110,Settings!$A$5:$A$9,0)),0))/P1110+IFERROR(INDEX(Settings!$D$5:$D$9,MATCH($B1110,Settings!$A$5:$A$9,0)),0)*M1110)</f>
        <v/>
      </c>
      <c r="W1110" s="11">
        <f>IF(J1110="","",IF(T1110="",0,M1110*INDEX(Products!$I$5:$I$204,T1110)))</f>
        <v/>
      </c>
      <c r="X1110" s="11">
        <f>IF(J1110="","",IF(T1110="",0,S1110*INDEX(Products!$H$5:$H$204,T1110)))</f>
        <v/>
      </c>
      <c r="Y1110" s="11">
        <f>IF(J1110="","",S1110-V1110-W1110-X1110)</f>
        <v/>
      </c>
    </row>
    <row r="1111">
      <c r="A1111" s="19" t="n"/>
      <c r="B1111" s="19" t="n"/>
      <c r="C1111" s="19" t="n"/>
      <c r="D1111" s="19" t="n"/>
      <c r="E1111" s="19" t="n"/>
      <c r="F1111" s="20" t="n"/>
      <c r="G1111" s="20" t="n"/>
      <c r="H1111" s="20" t="n"/>
      <c r="I1111" s="19" t="n"/>
      <c r="J1111">
        <f>IFERROR(IF(C1111="","",C1111)&amp;"","")</f>
        <v/>
      </c>
      <c r="K1111">
        <f>IFERROR(IF(D1111="","",D1111)&amp;"","")</f>
        <v/>
      </c>
      <c r="L1111">
        <f>IFERROR(IF(I1111="","",I1111)&amp;"","")</f>
        <v/>
      </c>
      <c r="M1111">
        <f>IF(J1111="","",IFERROR(VALUE(SUBSTITUTE(SUBSTITUTE(IF(E1111="","",E1111)&amp;"","$",""),",","")),0))</f>
        <v/>
      </c>
      <c r="N1111" s="11">
        <f>IF(J1111="","",IFERROR(VALUE(SUBSTITUTE(SUBSTITUTE(IF(F1111="","",F1111)&amp;"","$",""),",","")),0))</f>
        <v/>
      </c>
      <c r="O1111" s="11">
        <f>IF(J1111="","",M1111*N1111)</f>
        <v/>
      </c>
      <c r="P1111">
        <f>IF(J1111="","",IF(L1111="",1,COUNTIF($L$2:$L$1501,L1111)))</f>
        <v/>
      </c>
      <c r="Q1111" s="11">
        <f>IF(J1111="","",IFERROR(VALUE(SUBSTITUTE(SUBSTITUTE(IF(G1111="","",G1111)&amp;"","$",""),",","")),0)/IF("No"="Yes",P1111,1))</f>
        <v/>
      </c>
      <c r="R1111" s="11">
        <f>IF(J1111="","",IFERROR(VALUE(SUBSTITUTE(SUBSTITUTE(IF(H1111="","",H1111)&amp;"","$",""),",","")),0)/IF("No"="Yes",P1111,1))</f>
        <v/>
      </c>
      <c r="S1111" s="11">
        <f>IF(J1111="","",O1111+Q1111-R1111)</f>
        <v/>
      </c>
      <c r="T1111">
        <f>IF(J1111="","",IFERROR(IF(K1111="",NA(),MATCH(K1111,Products!$B$5:$B$204,0)),IFERROR(MATCH(J1111,Products!$A$5:$A$204,0),"")))</f>
        <v/>
      </c>
      <c r="U1111">
        <f>IF(J1111="","",IF(T1111="","⚠ not in Products",INDEX(Products!$A$5:$A$204,T1111)))</f>
        <v/>
      </c>
      <c r="V1111" s="11">
        <f>IF(J1111="","",S1111*(IFERROR(INDEX(Settings!$B$5:$B$9,MATCH($B1111,Settings!$A$5:$A$9,0)),0)+IFERROR(INDEX(Settings!$E$5:$E$9,MATCH($B1111,Settings!$A$5:$A$9,0)),0)+IFERROR(INDEX(Settings!$G$5:$G$9,MATCH($B1111,Settings!$A$5:$A$9,0)),0))+(IFERROR(INDEX(Settings!$C$5:$C$9,MATCH($B1111,Settings!$A$5:$A$9,0)),0)+IFERROR(INDEX(Settings!$F$5:$F$9,MATCH($B1111,Settings!$A$5:$A$9,0)),0))/P1111+IFERROR(INDEX(Settings!$D$5:$D$9,MATCH($B1111,Settings!$A$5:$A$9,0)),0)*M1111)</f>
        <v/>
      </c>
      <c r="W1111" s="11">
        <f>IF(J1111="","",IF(T1111="",0,M1111*INDEX(Products!$I$5:$I$204,T1111)))</f>
        <v/>
      </c>
      <c r="X1111" s="11">
        <f>IF(J1111="","",IF(T1111="",0,S1111*INDEX(Products!$H$5:$H$204,T1111)))</f>
        <v/>
      </c>
      <c r="Y1111" s="11">
        <f>IF(J1111="","",S1111-V1111-W1111-X1111)</f>
        <v/>
      </c>
    </row>
    <row r="1112">
      <c r="A1112" s="19" t="n"/>
      <c r="B1112" s="19" t="n"/>
      <c r="C1112" s="19" t="n"/>
      <c r="D1112" s="19" t="n"/>
      <c r="E1112" s="19" t="n"/>
      <c r="F1112" s="20" t="n"/>
      <c r="G1112" s="20" t="n"/>
      <c r="H1112" s="20" t="n"/>
      <c r="I1112" s="19" t="n"/>
      <c r="J1112">
        <f>IFERROR(IF(C1112="","",C1112)&amp;"","")</f>
        <v/>
      </c>
      <c r="K1112">
        <f>IFERROR(IF(D1112="","",D1112)&amp;"","")</f>
        <v/>
      </c>
      <c r="L1112">
        <f>IFERROR(IF(I1112="","",I1112)&amp;"","")</f>
        <v/>
      </c>
      <c r="M1112">
        <f>IF(J1112="","",IFERROR(VALUE(SUBSTITUTE(SUBSTITUTE(IF(E1112="","",E1112)&amp;"","$",""),",","")),0))</f>
        <v/>
      </c>
      <c r="N1112" s="11">
        <f>IF(J1112="","",IFERROR(VALUE(SUBSTITUTE(SUBSTITUTE(IF(F1112="","",F1112)&amp;"","$",""),",","")),0))</f>
        <v/>
      </c>
      <c r="O1112" s="11">
        <f>IF(J1112="","",M1112*N1112)</f>
        <v/>
      </c>
      <c r="P1112">
        <f>IF(J1112="","",IF(L1112="",1,COUNTIF($L$2:$L$1501,L1112)))</f>
        <v/>
      </c>
      <c r="Q1112" s="11">
        <f>IF(J1112="","",IFERROR(VALUE(SUBSTITUTE(SUBSTITUTE(IF(G1112="","",G1112)&amp;"","$",""),",","")),0)/IF("No"="Yes",P1112,1))</f>
        <v/>
      </c>
      <c r="R1112" s="11">
        <f>IF(J1112="","",IFERROR(VALUE(SUBSTITUTE(SUBSTITUTE(IF(H1112="","",H1112)&amp;"","$",""),",","")),0)/IF("No"="Yes",P1112,1))</f>
        <v/>
      </c>
      <c r="S1112" s="11">
        <f>IF(J1112="","",O1112+Q1112-R1112)</f>
        <v/>
      </c>
      <c r="T1112">
        <f>IF(J1112="","",IFERROR(IF(K1112="",NA(),MATCH(K1112,Products!$B$5:$B$204,0)),IFERROR(MATCH(J1112,Products!$A$5:$A$204,0),"")))</f>
        <v/>
      </c>
      <c r="U1112">
        <f>IF(J1112="","",IF(T1112="","⚠ not in Products",INDEX(Products!$A$5:$A$204,T1112)))</f>
        <v/>
      </c>
      <c r="V1112" s="11">
        <f>IF(J1112="","",S1112*(IFERROR(INDEX(Settings!$B$5:$B$9,MATCH($B1112,Settings!$A$5:$A$9,0)),0)+IFERROR(INDEX(Settings!$E$5:$E$9,MATCH($B1112,Settings!$A$5:$A$9,0)),0)+IFERROR(INDEX(Settings!$G$5:$G$9,MATCH($B1112,Settings!$A$5:$A$9,0)),0))+(IFERROR(INDEX(Settings!$C$5:$C$9,MATCH($B1112,Settings!$A$5:$A$9,0)),0)+IFERROR(INDEX(Settings!$F$5:$F$9,MATCH($B1112,Settings!$A$5:$A$9,0)),0))/P1112+IFERROR(INDEX(Settings!$D$5:$D$9,MATCH($B1112,Settings!$A$5:$A$9,0)),0)*M1112)</f>
        <v/>
      </c>
      <c r="W1112" s="11">
        <f>IF(J1112="","",IF(T1112="",0,M1112*INDEX(Products!$I$5:$I$204,T1112)))</f>
        <v/>
      </c>
      <c r="X1112" s="11">
        <f>IF(J1112="","",IF(T1112="",0,S1112*INDEX(Products!$H$5:$H$204,T1112)))</f>
        <v/>
      </c>
      <c r="Y1112" s="11">
        <f>IF(J1112="","",S1112-V1112-W1112-X1112)</f>
        <v/>
      </c>
    </row>
    <row r="1113">
      <c r="A1113" s="19" t="n"/>
      <c r="B1113" s="19" t="n"/>
      <c r="C1113" s="19" t="n"/>
      <c r="D1113" s="19" t="n"/>
      <c r="E1113" s="19" t="n"/>
      <c r="F1113" s="20" t="n"/>
      <c r="G1113" s="20" t="n"/>
      <c r="H1113" s="20" t="n"/>
      <c r="I1113" s="19" t="n"/>
      <c r="J1113">
        <f>IFERROR(IF(C1113="","",C1113)&amp;"","")</f>
        <v/>
      </c>
      <c r="K1113">
        <f>IFERROR(IF(D1113="","",D1113)&amp;"","")</f>
        <v/>
      </c>
      <c r="L1113">
        <f>IFERROR(IF(I1113="","",I1113)&amp;"","")</f>
        <v/>
      </c>
      <c r="M1113">
        <f>IF(J1113="","",IFERROR(VALUE(SUBSTITUTE(SUBSTITUTE(IF(E1113="","",E1113)&amp;"","$",""),",","")),0))</f>
        <v/>
      </c>
      <c r="N1113" s="11">
        <f>IF(J1113="","",IFERROR(VALUE(SUBSTITUTE(SUBSTITUTE(IF(F1113="","",F1113)&amp;"","$",""),",","")),0))</f>
        <v/>
      </c>
      <c r="O1113" s="11">
        <f>IF(J1113="","",M1113*N1113)</f>
        <v/>
      </c>
      <c r="P1113">
        <f>IF(J1113="","",IF(L1113="",1,COUNTIF($L$2:$L$1501,L1113)))</f>
        <v/>
      </c>
      <c r="Q1113" s="11">
        <f>IF(J1113="","",IFERROR(VALUE(SUBSTITUTE(SUBSTITUTE(IF(G1113="","",G1113)&amp;"","$",""),",","")),0)/IF("No"="Yes",P1113,1))</f>
        <v/>
      </c>
      <c r="R1113" s="11">
        <f>IF(J1113="","",IFERROR(VALUE(SUBSTITUTE(SUBSTITUTE(IF(H1113="","",H1113)&amp;"","$",""),",","")),0)/IF("No"="Yes",P1113,1))</f>
        <v/>
      </c>
      <c r="S1113" s="11">
        <f>IF(J1113="","",O1113+Q1113-R1113)</f>
        <v/>
      </c>
      <c r="T1113">
        <f>IF(J1113="","",IFERROR(IF(K1113="",NA(),MATCH(K1113,Products!$B$5:$B$204,0)),IFERROR(MATCH(J1113,Products!$A$5:$A$204,0),"")))</f>
        <v/>
      </c>
      <c r="U1113">
        <f>IF(J1113="","",IF(T1113="","⚠ not in Products",INDEX(Products!$A$5:$A$204,T1113)))</f>
        <v/>
      </c>
      <c r="V1113" s="11">
        <f>IF(J1113="","",S1113*(IFERROR(INDEX(Settings!$B$5:$B$9,MATCH($B1113,Settings!$A$5:$A$9,0)),0)+IFERROR(INDEX(Settings!$E$5:$E$9,MATCH($B1113,Settings!$A$5:$A$9,0)),0)+IFERROR(INDEX(Settings!$G$5:$G$9,MATCH($B1113,Settings!$A$5:$A$9,0)),0))+(IFERROR(INDEX(Settings!$C$5:$C$9,MATCH($B1113,Settings!$A$5:$A$9,0)),0)+IFERROR(INDEX(Settings!$F$5:$F$9,MATCH($B1113,Settings!$A$5:$A$9,0)),0))/P1113+IFERROR(INDEX(Settings!$D$5:$D$9,MATCH($B1113,Settings!$A$5:$A$9,0)),0)*M1113)</f>
        <v/>
      </c>
      <c r="W1113" s="11">
        <f>IF(J1113="","",IF(T1113="",0,M1113*INDEX(Products!$I$5:$I$204,T1113)))</f>
        <v/>
      </c>
      <c r="X1113" s="11">
        <f>IF(J1113="","",IF(T1113="",0,S1113*INDEX(Products!$H$5:$H$204,T1113)))</f>
        <v/>
      </c>
      <c r="Y1113" s="11">
        <f>IF(J1113="","",S1113-V1113-W1113-X1113)</f>
        <v/>
      </c>
    </row>
    <row r="1114">
      <c r="A1114" s="19" t="n"/>
      <c r="B1114" s="19" t="n"/>
      <c r="C1114" s="19" t="n"/>
      <c r="D1114" s="19" t="n"/>
      <c r="E1114" s="19" t="n"/>
      <c r="F1114" s="20" t="n"/>
      <c r="G1114" s="20" t="n"/>
      <c r="H1114" s="20" t="n"/>
      <c r="I1114" s="19" t="n"/>
      <c r="J1114">
        <f>IFERROR(IF(C1114="","",C1114)&amp;"","")</f>
        <v/>
      </c>
      <c r="K1114">
        <f>IFERROR(IF(D1114="","",D1114)&amp;"","")</f>
        <v/>
      </c>
      <c r="L1114">
        <f>IFERROR(IF(I1114="","",I1114)&amp;"","")</f>
        <v/>
      </c>
      <c r="M1114">
        <f>IF(J1114="","",IFERROR(VALUE(SUBSTITUTE(SUBSTITUTE(IF(E1114="","",E1114)&amp;"","$",""),",","")),0))</f>
        <v/>
      </c>
      <c r="N1114" s="11">
        <f>IF(J1114="","",IFERROR(VALUE(SUBSTITUTE(SUBSTITUTE(IF(F1114="","",F1114)&amp;"","$",""),",","")),0))</f>
        <v/>
      </c>
      <c r="O1114" s="11">
        <f>IF(J1114="","",M1114*N1114)</f>
        <v/>
      </c>
      <c r="P1114">
        <f>IF(J1114="","",IF(L1114="",1,COUNTIF($L$2:$L$1501,L1114)))</f>
        <v/>
      </c>
      <c r="Q1114" s="11">
        <f>IF(J1114="","",IFERROR(VALUE(SUBSTITUTE(SUBSTITUTE(IF(G1114="","",G1114)&amp;"","$",""),",","")),0)/IF("No"="Yes",P1114,1))</f>
        <v/>
      </c>
      <c r="R1114" s="11">
        <f>IF(J1114="","",IFERROR(VALUE(SUBSTITUTE(SUBSTITUTE(IF(H1114="","",H1114)&amp;"","$",""),",","")),0)/IF("No"="Yes",P1114,1))</f>
        <v/>
      </c>
      <c r="S1114" s="11">
        <f>IF(J1114="","",O1114+Q1114-R1114)</f>
        <v/>
      </c>
      <c r="T1114">
        <f>IF(J1114="","",IFERROR(IF(K1114="",NA(),MATCH(K1114,Products!$B$5:$B$204,0)),IFERROR(MATCH(J1114,Products!$A$5:$A$204,0),"")))</f>
        <v/>
      </c>
      <c r="U1114">
        <f>IF(J1114="","",IF(T1114="","⚠ not in Products",INDEX(Products!$A$5:$A$204,T1114)))</f>
        <v/>
      </c>
      <c r="V1114" s="11">
        <f>IF(J1114="","",S1114*(IFERROR(INDEX(Settings!$B$5:$B$9,MATCH($B1114,Settings!$A$5:$A$9,0)),0)+IFERROR(INDEX(Settings!$E$5:$E$9,MATCH($B1114,Settings!$A$5:$A$9,0)),0)+IFERROR(INDEX(Settings!$G$5:$G$9,MATCH($B1114,Settings!$A$5:$A$9,0)),0))+(IFERROR(INDEX(Settings!$C$5:$C$9,MATCH($B1114,Settings!$A$5:$A$9,0)),0)+IFERROR(INDEX(Settings!$F$5:$F$9,MATCH($B1114,Settings!$A$5:$A$9,0)),0))/P1114+IFERROR(INDEX(Settings!$D$5:$D$9,MATCH($B1114,Settings!$A$5:$A$9,0)),0)*M1114)</f>
        <v/>
      </c>
      <c r="W1114" s="11">
        <f>IF(J1114="","",IF(T1114="",0,M1114*INDEX(Products!$I$5:$I$204,T1114)))</f>
        <v/>
      </c>
      <c r="X1114" s="11">
        <f>IF(J1114="","",IF(T1114="",0,S1114*INDEX(Products!$H$5:$H$204,T1114)))</f>
        <v/>
      </c>
      <c r="Y1114" s="11">
        <f>IF(J1114="","",S1114-V1114-W1114-X1114)</f>
        <v/>
      </c>
    </row>
    <row r="1115">
      <c r="A1115" s="19" t="n"/>
      <c r="B1115" s="19" t="n"/>
      <c r="C1115" s="19" t="n"/>
      <c r="D1115" s="19" t="n"/>
      <c r="E1115" s="19" t="n"/>
      <c r="F1115" s="20" t="n"/>
      <c r="G1115" s="20" t="n"/>
      <c r="H1115" s="20" t="n"/>
      <c r="I1115" s="19" t="n"/>
      <c r="J1115">
        <f>IFERROR(IF(C1115="","",C1115)&amp;"","")</f>
        <v/>
      </c>
      <c r="K1115">
        <f>IFERROR(IF(D1115="","",D1115)&amp;"","")</f>
        <v/>
      </c>
      <c r="L1115">
        <f>IFERROR(IF(I1115="","",I1115)&amp;"","")</f>
        <v/>
      </c>
      <c r="M1115">
        <f>IF(J1115="","",IFERROR(VALUE(SUBSTITUTE(SUBSTITUTE(IF(E1115="","",E1115)&amp;"","$",""),",","")),0))</f>
        <v/>
      </c>
      <c r="N1115" s="11">
        <f>IF(J1115="","",IFERROR(VALUE(SUBSTITUTE(SUBSTITUTE(IF(F1115="","",F1115)&amp;"","$",""),",","")),0))</f>
        <v/>
      </c>
      <c r="O1115" s="11">
        <f>IF(J1115="","",M1115*N1115)</f>
        <v/>
      </c>
      <c r="P1115">
        <f>IF(J1115="","",IF(L1115="",1,COUNTIF($L$2:$L$1501,L1115)))</f>
        <v/>
      </c>
      <c r="Q1115" s="11">
        <f>IF(J1115="","",IFERROR(VALUE(SUBSTITUTE(SUBSTITUTE(IF(G1115="","",G1115)&amp;"","$",""),",","")),0)/IF("No"="Yes",P1115,1))</f>
        <v/>
      </c>
      <c r="R1115" s="11">
        <f>IF(J1115="","",IFERROR(VALUE(SUBSTITUTE(SUBSTITUTE(IF(H1115="","",H1115)&amp;"","$",""),",","")),0)/IF("No"="Yes",P1115,1))</f>
        <v/>
      </c>
      <c r="S1115" s="11">
        <f>IF(J1115="","",O1115+Q1115-R1115)</f>
        <v/>
      </c>
      <c r="T1115">
        <f>IF(J1115="","",IFERROR(IF(K1115="",NA(),MATCH(K1115,Products!$B$5:$B$204,0)),IFERROR(MATCH(J1115,Products!$A$5:$A$204,0),"")))</f>
        <v/>
      </c>
      <c r="U1115">
        <f>IF(J1115="","",IF(T1115="","⚠ not in Products",INDEX(Products!$A$5:$A$204,T1115)))</f>
        <v/>
      </c>
      <c r="V1115" s="11">
        <f>IF(J1115="","",S1115*(IFERROR(INDEX(Settings!$B$5:$B$9,MATCH($B1115,Settings!$A$5:$A$9,0)),0)+IFERROR(INDEX(Settings!$E$5:$E$9,MATCH($B1115,Settings!$A$5:$A$9,0)),0)+IFERROR(INDEX(Settings!$G$5:$G$9,MATCH($B1115,Settings!$A$5:$A$9,0)),0))+(IFERROR(INDEX(Settings!$C$5:$C$9,MATCH($B1115,Settings!$A$5:$A$9,0)),0)+IFERROR(INDEX(Settings!$F$5:$F$9,MATCH($B1115,Settings!$A$5:$A$9,0)),0))/P1115+IFERROR(INDEX(Settings!$D$5:$D$9,MATCH($B1115,Settings!$A$5:$A$9,0)),0)*M1115)</f>
        <v/>
      </c>
      <c r="W1115" s="11">
        <f>IF(J1115="","",IF(T1115="",0,M1115*INDEX(Products!$I$5:$I$204,T1115)))</f>
        <v/>
      </c>
      <c r="X1115" s="11">
        <f>IF(J1115="","",IF(T1115="",0,S1115*INDEX(Products!$H$5:$H$204,T1115)))</f>
        <v/>
      </c>
      <c r="Y1115" s="11">
        <f>IF(J1115="","",S1115-V1115-W1115-X1115)</f>
        <v/>
      </c>
    </row>
    <row r="1116">
      <c r="A1116" s="19" t="n"/>
      <c r="B1116" s="19" t="n"/>
      <c r="C1116" s="19" t="n"/>
      <c r="D1116" s="19" t="n"/>
      <c r="E1116" s="19" t="n"/>
      <c r="F1116" s="20" t="n"/>
      <c r="G1116" s="20" t="n"/>
      <c r="H1116" s="20" t="n"/>
      <c r="I1116" s="19" t="n"/>
      <c r="J1116">
        <f>IFERROR(IF(C1116="","",C1116)&amp;"","")</f>
        <v/>
      </c>
      <c r="K1116">
        <f>IFERROR(IF(D1116="","",D1116)&amp;"","")</f>
        <v/>
      </c>
      <c r="L1116">
        <f>IFERROR(IF(I1116="","",I1116)&amp;"","")</f>
        <v/>
      </c>
      <c r="M1116">
        <f>IF(J1116="","",IFERROR(VALUE(SUBSTITUTE(SUBSTITUTE(IF(E1116="","",E1116)&amp;"","$",""),",","")),0))</f>
        <v/>
      </c>
      <c r="N1116" s="11">
        <f>IF(J1116="","",IFERROR(VALUE(SUBSTITUTE(SUBSTITUTE(IF(F1116="","",F1116)&amp;"","$",""),",","")),0))</f>
        <v/>
      </c>
      <c r="O1116" s="11">
        <f>IF(J1116="","",M1116*N1116)</f>
        <v/>
      </c>
      <c r="P1116">
        <f>IF(J1116="","",IF(L1116="",1,COUNTIF($L$2:$L$1501,L1116)))</f>
        <v/>
      </c>
      <c r="Q1116" s="11">
        <f>IF(J1116="","",IFERROR(VALUE(SUBSTITUTE(SUBSTITUTE(IF(G1116="","",G1116)&amp;"","$",""),",","")),0)/IF("No"="Yes",P1116,1))</f>
        <v/>
      </c>
      <c r="R1116" s="11">
        <f>IF(J1116="","",IFERROR(VALUE(SUBSTITUTE(SUBSTITUTE(IF(H1116="","",H1116)&amp;"","$",""),",","")),0)/IF("No"="Yes",P1116,1))</f>
        <v/>
      </c>
      <c r="S1116" s="11">
        <f>IF(J1116="","",O1116+Q1116-R1116)</f>
        <v/>
      </c>
      <c r="T1116">
        <f>IF(J1116="","",IFERROR(IF(K1116="",NA(),MATCH(K1116,Products!$B$5:$B$204,0)),IFERROR(MATCH(J1116,Products!$A$5:$A$204,0),"")))</f>
        <v/>
      </c>
      <c r="U1116">
        <f>IF(J1116="","",IF(T1116="","⚠ not in Products",INDEX(Products!$A$5:$A$204,T1116)))</f>
        <v/>
      </c>
      <c r="V1116" s="11">
        <f>IF(J1116="","",S1116*(IFERROR(INDEX(Settings!$B$5:$B$9,MATCH($B1116,Settings!$A$5:$A$9,0)),0)+IFERROR(INDEX(Settings!$E$5:$E$9,MATCH($B1116,Settings!$A$5:$A$9,0)),0)+IFERROR(INDEX(Settings!$G$5:$G$9,MATCH($B1116,Settings!$A$5:$A$9,0)),0))+(IFERROR(INDEX(Settings!$C$5:$C$9,MATCH($B1116,Settings!$A$5:$A$9,0)),0)+IFERROR(INDEX(Settings!$F$5:$F$9,MATCH($B1116,Settings!$A$5:$A$9,0)),0))/P1116+IFERROR(INDEX(Settings!$D$5:$D$9,MATCH($B1116,Settings!$A$5:$A$9,0)),0)*M1116)</f>
        <v/>
      </c>
      <c r="W1116" s="11">
        <f>IF(J1116="","",IF(T1116="",0,M1116*INDEX(Products!$I$5:$I$204,T1116)))</f>
        <v/>
      </c>
      <c r="X1116" s="11">
        <f>IF(J1116="","",IF(T1116="",0,S1116*INDEX(Products!$H$5:$H$204,T1116)))</f>
        <v/>
      </c>
      <c r="Y1116" s="11">
        <f>IF(J1116="","",S1116-V1116-W1116-X1116)</f>
        <v/>
      </c>
    </row>
    <row r="1117">
      <c r="A1117" s="19" t="n"/>
      <c r="B1117" s="19" t="n"/>
      <c r="C1117" s="19" t="n"/>
      <c r="D1117" s="19" t="n"/>
      <c r="E1117" s="19" t="n"/>
      <c r="F1117" s="20" t="n"/>
      <c r="G1117" s="20" t="n"/>
      <c r="H1117" s="20" t="n"/>
      <c r="I1117" s="19" t="n"/>
      <c r="J1117">
        <f>IFERROR(IF(C1117="","",C1117)&amp;"","")</f>
        <v/>
      </c>
      <c r="K1117">
        <f>IFERROR(IF(D1117="","",D1117)&amp;"","")</f>
        <v/>
      </c>
      <c r="L1117">
        <f>IFERROR(IF(I1117="","",I1117)&amp;"","")</f>
        <v/>
      </c>
      <c r="M1117">
        <f>IF(J1117="","",IFERROR(VALUE(SUBSTITUTE(SUBSTITUTE(IF(E1117="","",E1117)&amp;"","$",""),",","")),0))</f>
        <v/>
      </c>
      <c r="N1117" s="11">
        <f>IF(J1117="","",IFERROR(VALUE(SUBSTITUTE(SUBSTITUTE(IF(F1117="","",F1117)&amp;"","$",""),",","")),0))</f>
        <v/>
      </c>
      <c r="O1117" s="11">
        <f>IF(J1117="","",M1117*N1117)</f>
        <v/>
      </c>
      <c r="P1117">
        <f>IF(J1117="","",IF(L1117="",1,COUNTIF($L$2:$L$1501,L1117)))</f>
        <v/>
      </c>
      <c r="Q1117" s="11">
        <f>IF(J1117="","",IFERROR(VALUE(SUBSTITUTE(SUBSTITUTE(IF(G1117="","",G1117)&amp;"","$",""),",","")),0)/IF("No"="Yes",P1117,1))</f>
        <v/>
      </c>
      <c r="R1117" s="11">
        <f>IF(J1117="","",IFERROR(VALUE(SUBSTITUTE(SUBSTITUTE(IF(H1117="","",H1117)&amp;"","$",""),",","")),0)/IF("No"="Yes",P1117,1))</f>
        <v/>
      </c>
      <c r="S1117" s="11">
        <f>IF(J1117="","",O1117+Q1117-R1117)</f>
        <v/>
      </c>
      <c r="T1117">
        <f>IF(J1117="","",IFERROR(IF(K1117="",NA(),MATCH(K1117,Products!$B$5:$B$204,0)),IFERROR(MATCH(J1117,Products!$A$5:$A$204,0),"")))</f>
        <v/>
      </c>
      <c r="U1117">
        <f>IF(J1117="","",IF(T1117="","⚠ not in Products",INDEX(Products!$A$5:$A$204,T1117)))</f>
        <v/>
      </c>
      <c r="V1117" s="11">
        <f>IF(J1117="","",S1117*(IFERROR(INDEX(Settings!$B$5:$B$9,MATCH($B1117,Settings!$A$5:$A$9,0)),0)+IFERROR(INDEX(Settings!$E$5:$E$9,MATCH($B1117,Settings!$A$5:$A$9,0)),0)+IFERROR(INDEX(Settings!$G$5:$G$9,MATCH($B1117,Settings!$A$5:$A$9,0)),0))+(IFERROR(INDEX(Settings!$C$5:$C$9,MATCH($B1117,Settings!$A$5:$A$9,0)),0)+IFERROR(INDEX(Settings!$F$5:$F$9,MATCH($B1117,Settings!$A$5:$A$9,0)),0))/P1117+IFERROR(INDEX(Settings!$D$5:$D$9,MATCH($B1117,Settings!$A$5:$A$9,0)),0)*M1117)</f>
        <v/>
      </c>
      <c r="W1117" s="11">
        <f>IF(J1117="","",IF(T1117="",0,M1117*INDEX(Products!$I$5:$I$204,T1117)))</f>
        <v/>
      </c>
      <c r="X1117" s="11">
        <f>IF(J1117="","",IF(T1117="",0,S1117*INDEX(Products!$H$5:$H$204,T1117)))</f>
        <v/>
      </c>
      <c r="Y1117" s="11">
        <f>IF(J1117="","",S1117-V1117-W1117-X1117)</f>
        <v/>
      </c>
    </row>
    <row r="1118">
      <c r="A1118" s="19" t="n"/>
      <c r="B1118" s="19" t="n"/>
      <c r="C1118" s="19" t="n"/>
      <c r="D1118" s="19" t="n"/>
      <c r="E1118" s="19" t="n"/>
      <c r="F1118" s="20" t="n"/>
      <c r="G1118" s="20" t="n"/>
      <c r="H1118" s="20" t="n"/>
      <c r="I1118" s="19" t="n"/>
      <c r="J1118">
        <f>IFERROR(IF(C1118="","",C1118)&amp;"","")</f>
        <v/>
      </c>
      <c r="K1118">
        <f>IFERROR(IF(D1118="","",D1118)&amp;"","")</f>
        <v/>
      </c>
      <c r="L1118">
        <f>IFERROR(IF(I1118="","",I1118)&amp;"","")</f>
        <v/>
      </c>
      <c r="M1118">
        <f>IF(J1118="","",IFERROR(VALUE(SUBSTITUTE(SUBSTITUTE(IF(E1118="","",E1118)&amp;"","$",""),",","")),0))</f>
        <v/>
      </c>
      <c r="N1118" s="11">
        <f>IF(J1118="","",IFERROR(VALUE(SUBSTITUTE(SUBSTITUTE(IF(F1118="","",F1118)&amp;"","$",""),",","")),0))</f>
        <v/>
      </c>
      <c r="O1118" s="11">
        <f>IF(J1118="","",M1118*N1118)</f>
        <v/>
      </c>
      <c r="P1118">
        <f>IF(J1118="","",IF(L1118="",1,COUNTIF($L$2:$L$1501,L1118)))</f>
        <v/>
      </c>
      <c r="Q1118" s="11">
        <f>IF(J1118="","",IFERROR(VALUE(SUBSTITUTE(SUBSTITUTE(IF(G1118="","",G1118)&amp;"","$",""),",","")),0)/IF("No"="Yes",P1118,1))</f>
        <v/>
      </c>
      <c r="R1118" s="11">
        <f>IF(J1118="","",IFERROR(VALUE(SUBSTITUTE(SUBSTITUTE(IF(H1118="","",H1118)&amp;"","$",""),",","")),0)/IF("No"="Yes",P1118,1))</f>
        <v/>
      </c>
      <c r="S1118" s="11">
        <f>IF(J1118="","",O1118+Q1118-R1118)</f>
        <v/>
      </c>
      <c r="T1118">
        <f>IF(J1118="","",IFERROR(IF(K1118="",NA(),MATCH(K1118,Products!$B$5:$B$204,0)),IFERROR(MATCH(J1118,Products!$A$5:$A$204,0),"")))</f>
        <v/>
      </c>
      <c r="U1118">
        <f>IF(J1118="","",IF(T1118="","⚠ not in Products",INDEX(Products!$A$5:$A$204,T1118)))</f>
        <v/>
      </c>
      <c r="V1118" s="11">
        <f>IF(J1118="","",S1118*(IFERROR(INDEX(Settings!$B$5:$B$9,MATCH($B1118,Settings!$A$5:$A$9,0)),0)+IFERROR(INDEX(Settings!$E$5:$E$9,MATCH($B1118,Settings!$A$5:$A$9,0)),0)+IFERROR(INDEX(Settings!$G$5:$G$9,MATCH($B1118,Settings!$A$5:$A$9,0)),0))+(IFERROR(INDEX(Settings!$C$5:$C$9,MATCH($B1118,Settings!$A$5:$A$9,0)),0)+IFERROR(INDEX(Settings!$F$5:$F$9,MATCH($B1118,Settings!$A$5:$A$9,0)),0))/P1118+IFERROR(INDEX(Settings!$D$5:$D$9,MATCH($B1118,Settings!$A$5:$A$9,0)),0)*M1118)</f>
        <v/>
      </c>
      <c r="W1118" s="11">
        <f>IF(J1118="","",IF(T1118="",0,M1118*INDEX(Products!$I$5:$I$204,T1118)))</f>
        <v/>
      </c>
      <c r="X1118" s="11">
        <f>IF(J1118="","",IF(T1118="",0,S1118*INDEX(Products!$H$5:$H$204,T1118)))</f>
        <v/>
      </c>
      <c r="Y1118" s="11">
        <f>IF(J1118="","",S1118-V1118-W1118-X1118)</f>
        <v/>
      </c>
    </row>
    <row r="1119">
      <c r="A1119" s="19" t="n"/>
      <c r="B1119" s="19" t="n"/>
      <c r="C1119" s="19" t="n"/>
      <c r="D1119" s="19" t="n"/>
      <c r="E1119" s="19" t="n"/>
      <c r="F1119" s="20" t="n"/>
      <c r="G1119" s="20" t="n"/>
      <c r="H1119" s="20" t="n"/>
      <c r="I1119" s="19" t="n"/>
      <c r="J1119">
        <f>IFERROR(IF(C1119="","",C1119)&amp;"","")</f>
        <v/>
      </c>
      <c r="K1119">
        <f>IFERROR(IF(D1119="","",D1119)&amp;"","")</f>
        <v/>
      </c>
      <c r="L1119">
        <f>IFERROR(IF(I1119="","",I1119)&amp;"","")</f>
        <v/>
      </c>
      <c r="M1119">
        <f>IF(J1119="","",IFERROR(VALUE(SUBSTITUTE(SUBSTITUTE(IF(E1119="","",E1119)&amp;"","$",""),",","")),0))</f>
        <v/>
      </c>
      <c r="N1119" s="11">
        <f>IF(J1119="","",IFERROR(VALUE(SUBSTITUTE(SUBSTITUTE(IF(F1119="","",F1119)&amp;"","$",""),",","")),0))</f>
        <v/>
      </c>
      <c r="O1119" s="11">
        <f>IF(J1119="","",M1119*N1119)</f>
        <v/>
      </c>
      <c r="P1119">
        <f>IF(J1119="","",IF(L1119="",1,COUNTIF($L$2:$L$1501,L1119)))</f>
        <v/>
      </c>
      <c r="Q1119" s="11">
        <f>IF(J1119="","",IFERROR(VALUE(SUBSTITUTE(SUBSTITUTE(IF(G1119="","",G1119)&amp;"","$",""),",","")),0)/IF("No"="Yes",P1119,1))</f>
        <v/>
      </c>
      <c r="R1119" s="11">
        <f>IF(J1119="","",IFERROR(VALUE(SUBSTITUTE(SUBSTITUTE(IF(H1119="","",H1119)&amp;"","$",""),",","")),0)/IF("No"="Yes",P1119,1))</f>
        <v/>
      </c>
      <c r="S1119" s="11">
        <f>IF(J1119="","",O1119+Q1119-R1119)</f>
        <v/>
      </c>
      <c r="T1119">
        <f>IF(J1119="","",IFERROR(IF(K1119="",NA(),MATCH(K1119,Products!$B$5:$B$204,0)),IFERROR(MATCH(J1119,Products!$A$5:$A$204,0),"")))</f>
        <v/>
      </c>
      <c r="U1119">
        <f>IF(J1119="","",IF(T1119="","⚠ not in Products",INDEX(Products!$A$5:$A$204,T1119)))</f>
        <v/>
      </c>
      <c r="V1119" s="11">
        <f>IF(J1119="","",S1119*(IFERROR(INDEX(Settings!$B$5:$B$9,MATCH($B1119,Settings!$A$5:$A$9,0)),0)+IFERROR(INDEX(Settings!$E$5:$E$9,MATCH($B1119,Settings!$A$5:$A$9,0)),0)+IFERROR(INDEX(Settings!$G$5:$G$9,MATCH($B1119,Settings!$A$5:$A$9,0)),0))+(IFERROR(INDEX(Settings!$C$5:$C$9,MATCH($B1119,Settings!$A$5:$A$9,0)),0)+IFERROR(INDEX(Settings!$F$5:$F$9,MATCH($B1119,Settings!$A$5:$A$9,0)),0))/P1119+IFERROR(INDEX(Settings!$D$5:$D$9,MATCH($B1119,Settings!$A$5:$A$9,0)),0)*M1119)</f>
        <v/>
      </c>
      <c r="W1119" s="11">
        <f>IF(J1119="","",IF(T1119="",0,M1119*INDEX(Products!$I$5:$I$204,T1119)))</f>
        <v/>
      </c>
      <c r="X1119" s="11">
        <f>IF(J1119="","",IF(T1119="",0,S1119*INDEX(Products!$H$5:$H$204,T1119)))</f>
        <v/>
      </c>
      <c r="Y1119" s="11">
        <f>IF(J1119="","",S1119-V1119-W1119-X1119)</f>
        <v/>
      </c>
    </row>
    <row r="1120">
      <c r="A1120" s="19" t="n"/>
      <c r="B1120" s="19" t="n"/>
      <c r="C1120" s="19" t="n"/>
      <c r="D1120" s="19" t="n"/>
      <c r="E1120" s="19" t="n"/>
      <c r="F1120" s="20" t="n"/>
      <c r="G1120" s="20" t="n"/>
      <c r="H1120" s="20" t="n"/>
      <c r="I1120" s="19" t="n"/>
      <c r="J1120">
        <f>IFERROR(IF(C1120="","",C1120)&amp;"","")</f>
        <v/>
      </c>
      <c r="K1120">
        <f>IFERROR(IF(D1120="","",D1120)&amp;"","")</f>
        <v/>
      </c>
      <c r="L1120">
        <f>IFERROR(IF(I1120="","",I1120)&amp;"","")</f>
        <v/>
      </c>
      <c r="M1120">
        <f>IF(J1120="","",IFERROR(VALUE(SUBSTITUTE(SUBSTITUTE(IF(E1120="","",E1120)&amp;"","$",""),",","")),0))</f>
        <v/>
      </c>
      <c r="N1120" s="11">
        <f>IF(J1120="","",IFERROR(VALUE(SUBSTITUTE(SUBSTITUTE(IF(F1120="","",F1120)&amp;"","$",""),",","")),0))</f>
        <v/>
      </c>
      <c r="O1120" s="11">
        <f>IF(J1120="","",M1120*N1120)</f>
        <v/>
      </c>
      <c r="P1120">
        <f>IF(J1120="","",IF(L1120="",1,COUNTIF($L$2:$L$1501,L1120)))</f>
        <v/>
      </c>
      <c r="Q1120" s="11">
        <f>IF(J1120="","",IFERROR(VALUE(SUBSTITUTE(SUBSTITUTE(IF(G1120="","",G1120)&amp;"","$",""),",","")),0)/IF("No"="Yes",P1120,1))</f>
        <v/>
      </c>
      <c r="R1120" s="11">
        <f>IF(J1120="","",IFERROR(VALUE(SUBSTITUTE(SUBSTITUTE(IF(H1120="","",H1120)&amp;"","$",""),",","")),0)/IF("No"="Yes",P1120,1))</f>
        <v/>
      </c>
      <c r="S1120" s="11">
        <f>IF(J1120="","",O1120+Q1120-R1120)</f>
        <v/>
      </c>
      <c r="T1120">
        <f>IF(J1120="","",IFERROR(IF(K1120="",NA(),MATCH(K1120,Products!$B$5:$B$204,0)),IFERROR(MATCH(J1120,Products!$A$5:$A$204,0),"")))</f>
        <v/>
      </c>
      <c r="U1120">
        <f>IF(J1120="","",IF(T1120="","⚠ not in Products",INDEX(Products!$A$5:$A$204,T1120)))</f>
        <v/>
      </c>
      <c r="V1120" s="11">
        <f>IF(J1120="","",S1120*(IFERROR(INDEX(Settings!$B$5:$B$9,MATCH($B1120,Settings!$A$5:$A$9,0)),0)+IFERROR(INDEX(Settings!$E$5:$E$9,MATCH($B1120,Settings!$A$5:$A$9,0)),0)+IFERROR(INDEX(Settings!$G$5:$G$9,MATCH($B1120,Settings!$A$5:$A$9,0)),0))+(IFERROR(INDEX(Settings!$C$5:$C$9,MATCH($B1120,Settings!$A$5:$A$9,0)),0)+IFERROR(INDEX(Settings!$F$5:$F$9,MATCH($B1120,Settings!$A$5:$A$9,0)),0))/P1120+IFERROR(INDEX(Settings!$D$5:$D$9,MATCH($B1120,Settings!$A$5:$A$9,0)),0)*M1120)</f>
        <v/>
      </c>
      <c r="W1120" s="11">
        <f>IF(J1120="","",IF(T1120="",0,M1120*INDEX(Products!$I$5:$I$204,T1120)))</f>
        <v/>
      </c>
      <c r="X1120" s="11">
        <f>IF(J1120="","",IF(T1120="",0,S1120*INDEX(Products!$H$5:$H$204,T1120)))</f>
        <v/>
      </c>
      <c r="Y1120" s="11">
        <f>IF(J1120="","",S1120-V1120-W1120-X1120)</f>
        <v/>
      </c>
    </row>
    <row r="1121">
      <c r="A1121" s="19" t="n"/>
      <c r="B1121" s="19" t="n"/>
      <c r="C1121" s="19" t="n"/>
      <c r="D1121" s="19" t="n"/>
      <c r="E1121" s="19" t="n"/>
      <c r="F1121" s="20" t="n"/>
      <c r="G1121" s="20" t="n"/>
      <c r="H1121" s="20" t="n"/>
      <c r="I1121" s="19" t="n"/>
      <c r="J1121">
        <f>IFERROR(IF(C1121="","",C1121)&amp;"","")</f>
        <v/>
      </c>
      <c r="K1121">
        <f>IFERROR(IF(D1121="","",D1121)&amp;"","")</f>
        <v/>
      </c>
      <c r="L1121">
        <f>IFERROR(IF(I1121="","",I1121)&amp;"","")</f>
        <v/>
      </c>
      <c r="M1121">
        <f>IF(J1121="","",IFERROR(VALUE(SUBSTITUTE(SUBSTITUTE(IF(E1121="","",E1121)&amp;"","$",""),",","")),0))</f>
        <v/>
      </c>
      <c r="N1121" s="11">
        <f>IF(J1121="","",IFERROR(VALUE(SUBSTITUTE(SUBSTITUTE(IF(F1121="","",F1121)&amp;"","$",""),",","")),0))</f>
        <v/>
      </c>
      <c r="O1121" s="11">
        <f>IF(J1121="","",M1121*N1121)</f>
        <v/>
      </c>
      <c r="P1121">
        <f>IF(J1121="","",IF(L1121="",1,COUNTIF($L$2:$L$1501,L1121)))</f>
        <v/>
      </c>
      <c r="Q1121" s="11">
        <f>IF(J1121="","",IFERROR(VALUE(SUBSTITUTE(SUBSTITUTE(IF(G1121="","",G1121)&amp;"","$",""),",","")),0)/IF("No"="Yes",P1121,1))</f>
        <v/>
      </c>
      <c r="R1121" s="11">
        <f>IF(J1121="","",IFERROR(VALUE(SUBSTITUTE(SUBSTITUTE(IF(H1121="","",H1121)&amp;"","$",""),",","")),0)/IF("No"="Yes",P1121,1))</f>
        <v/>
      </c>
      <c r="S1121" s="11">
        <f>IF(J1121="","",O1121+Q1121-R1121)</f>
        <v/>
      </c>
      <c r="T1121">
        <f>IF(J1121="","",IFERROR(IF(K1121="",NA(),MATCH(K1121,Products!$B$5:$B$204,0)),IFERROR(MATCH(J1121,Products!$A$5:$A$204,0),"")))</f>
        <v/>
      </c>
      <c r="U1121">
        <f>IF(J1121="","",IF(T1121="","⚠ not in Products",INDEX(Products!$A$5:$A$204,T1121)))</f>
        <v/>
      </c>
      <c r="V1121" s="11">
        <f>IF(J1121="","",S1121*(IFERROR(INDEX(Settings!$B$5:$B$9,MATCH($B1121,Settings!$A$5:$A$9,0)),0)+IFERROR(INDEX(Settings!$E$5:$E$9,MATCH($B1121,Settings!$A$5:$A$9,0)),0)+IFERROR(INDEX(Settings!$G$5:$G$9,MATCH($B1121,Settings!$A$5:$A$9,0)),0))+(IFERROR(INDEX(Settings!$C$5:$C$9,MATCH($B1121,Settings!$A$5:$A$9,0)),0)+IFERROR(INDEX(Settings!$F$5:$F$9,MATCH($B1121,Settings!$A$5:$A$9,0)),0))/P1121+IFERROR(INDEX(Settings!$D$5:$D$9,MATCH($B1121,Settings!$A$5:$A$9,0)),0)*M1121)</f>
        <v/>
      </c>
      <c r="W1121" s="11">
        <f>IF(J1121="","",IF(T1121="",0,M1121*INDEX(Products!$I$5:$I$204,T1121)))</f>
        <v/>
      </c>
      <c r="X1121" s="11">
        <f>IF(J1121="","",IF(T1121="",0,S1121*INDEX(Products!$H$5:$H$204,T1121)))</f>
        <v/>
      </c>
      <c r="Y1121" s="11">
        <f>IF(J1121="","",S1121-V1121-W1121-X1121)</f>
        <v/>
      </c>
    </row>
    <row r="1122">
      <c r="A1122" s="19" t="n"/>
      <c r="B1122" s="19" t="n"/>
      <c r="C1122" s="19" t="n"/>
      <c r="D1122" s="19" t="n"/>
      <c r="E1122" s="19" t="n"/>
      <c r="F1122" s="20" t="n"/>
      <c r="G1122" s="20" t="n"/>
      <c r="H1122" s="20" t="n"/>
      <c r="I1122" s="19" t="n"/>
      <c r="J1122">
        <f>IFERROR(IF(C1122="","",C1122)&amp;"","")</f>
        <v/>
      </c>
      <c r="K1122">
        <f>IFERROR(IF(D1122="","",D1122)&amp;"","")</f>
        <v/>
      </c>
      <c r="L1122">
        <f>IFERROR(IF(I1122="","",I1122)&amp;"","")</f>
        <v/>
      </c>
      <c r="M1122">
        <f>IF(J1122="","",IFERROR(VALUE(SUBSTITUTE(SUBSTITUTE(IF(E1122="","",E1122)&amp;"","$",""),",","")),0))</f>
        <v/>
      </c>
      <c r="N1122" s="11">
        <f>IF(J1122="","",IFERROR(VALUE(SUBSTITUTE(SUBSTITUTE(IF(F1122="","",F1122)&amp;"","$",""),",","")),0))</f>
        <v/>
      </c>
      <c r="O1122" s="11">
        <f>IF(J1122="","",M1122*N1122)</f>
        <v/>
      </c>
      <c r="P1122">
        <f>IF(J1122="","",IF(L1122="",1,COUNTIF($L$2:$L$1501,L1122)))</f>
        <v/>
      </c>
      <c r="Q1122" s="11">
        <f>IF(J1122="","",IFERROR(VALUE(SUBSTITUTE(SUBSTITUTE(IF(G1122="","",G1122)&amp;"","$",""),",","")),0)/IF("No"="Yes",P1122,1))</f>
        <v/>
      </c>
      <c r="R1122" s="11">
        <f>IF(J1122="","",IFERROR(VALUE(SUBSTITUTE(SUBSTITUTE(IF(H1122="","",H1122)&amp;"","$",""),",","")),0)/IF("No"="Yes",P1122,1))</f>
        <v/>
      </c>
      <c r="S1122" s="11">
        <f>IF(J1122="","",O1122+Q1122-R1122)</f>
        <v/>
      </c>
      <c r="T1122">
        <f>IF(J1122="","",IFERROR(IF(K1122="",NA(),MATCH(K1122,Products!$B$5:$B$204,0)),IFERROR(MATCH(J1122,Products!$A$5:$A$204,0),"")))</f>
        <v/>
      </c>
      <c r="U1122">
        <f>IF(J1122="","",IF(T1122="","⚠ not in Products",INDEX(Products!$A$5:$A$204,T1122)))</f>
        <v/>
      </c>
      <c r="V1122" s="11">
        <f>IF(J1122="","",S1122*(IFERROR(INDEX(Settings!$B$5:$B$9,MATCH($B1122,Settings!$A$5:$A$9,0)),0)+IFERROR(INDEX(Settings!$E$5:$E$9,MATCH($B1122,Settings!$A$5:$A$9,0)),0)+IFERROR(INDEX(Settings!$G$5:$G$9,MATCH($B1122,Settings!$A$5:$A$9,0)),0))+(IFERROR(INDEX(Settings!$C$5:$C$9,MATCH($B1122,Settings!$A$5:$A$9,0)),0)+IFERROR(INDEX(Settings!$F$5:$F$9,MATCH($B1122,Settings!$A$5:$A$9,0)),0))/P1122+IFERROR(INDEX(Settings!$D$5:$D$9,MATCH($B1122,Settings!$A$5:$A$9,0)),0)*M1122)</f>
        <v/>
      </c>
      <c r="W1122" s="11">
        <f>IF(J1122="","",IF(T1122="",0,M1122*INDEX(Products!$I$5:$I$204,T1122)))</f>
        <v/>
      </c>
      <c r="X1122" s="11">
        <f>IF(J1122="","",IF(T1122="",0,S1122*INDEX(Products!$H$5:$H$204,T1122)))</f>
        <v/>
      </c>
      <c r="Y1122" s="11">
        <f>IF(J1122="","",S1122-V1122-W1122-X1122)</f>
        <v/>
      </c>
    </row>
    <row r="1123">
      <c r="A1123" s="19" t="n"/>
      <c r="B1123" s="19" t="n"/>
      <c r="C1123" s="19" t="n"/>
      <c r="D1123" s="19" t="n"/>
      <c r="E1123" s="19" t="n"/>
      <c r="F1123" s="20" t="n"/>
      <c r="G1123" s="20" t="n"/>
      <c r="H1123" s="20" t="n"/>
      <c r="I1123" s="19" t="n"/>
      <c r="J1123">
        <f>IFERROR(IF(C1123="","",C1123)&amp;"","")</f>
        <v/>
      </c>
      <c r="K1123">
        <f>IFERROR(IF(D1123="","",D1123)&amp;"","")</f>
        <v/>
      </c>
      <c r="L1123">
        <f>IFERROR(IF(I1123="","",I1123)&amp;"","")</f>
        <v/>
      </c>
      <c r="M1123">
        <f>IF(J1123="","",IFERROR(VALUE(SUBSTITUTE(SUBSTITUTE(IF(E1123="","",E1123)&amp;"","$",""),",","")),0))</f>
        <v/>
      </c>
      <c r="N1123" s="11">
        <f>IF(J1123="","",IFERROR(VALUE(SUBSTITUTE(SUBSTITUTE(IF(F1123="","",F1123)&amp;"","$",""),",","")),0))</f>
        <v/>
      </c>
      <c r="O1123" s="11">
        <f>IF(J1123="","",M1123*N1123)</f>
        <v/>
      </c>
      <c r="P1123">
        <f>IF(J1123="","",IF(L1123="",1,COUNTIF($L$2:$L$1501,L1123)))</f>
        <v/>
      </c>
      <c r="Q1123" s="11">
        <f>IF(J1123="","",IFERROR(VALUE(SUBSTITUTE(SUBSTITUTE(IF(G1123="","",G1123)&amp;"","$",""),",","")),0)/IF("No"="Yes",P1123,1))</f>
        <v/>
      </c>
      <c r="R1123" s="11">
        <f>IF(J1123="","",IFERROR(VALUE(SUBSTITUTE(SUBSTITUTE(IF(H1123="","",H1123)&amp;"","$",""),",","")),0)/IF("No"="Yes",P1123,1))</f>
        <v/>
      </c>
      <c r="S1123" s="11">
        <f>IF(J1123="","",O1123+Q1123-R1123)</f>
        <v/>
      </c>
      <c r="T1123">
        <f>IF(J1123="","",IFERROR(IF(K1123="",NA(),MATCH(K1123,Products!$B$5:$B$204,0)),IFERROR(MATCH(J1123,Products!$A$5:$A$204,0),"")))</f>
        <v/>
      </c>
      <c r="U1123">
        <f>IF(J1123="","",IF(T1123="","⚠ not in Products",INDEX(Products!$A$5:$A$204,T1123)))</f>
        <v/>
      </c>
      <c r="V1123" s="11">
        <f>IF(J1123="","",S1123*(IFERROR(INDEX(Settings!$B$5:$B$9,MATCH($B1123,Settings!$A$5:$A$9,0)),0)+IFERROR(INDEX(Settings!$E$5:$E$9,MATCH($B1123,Settings!$A$5:$A$9,0)),0)+IFERROR(INDEX(Settings!$G$5:$G$9,MATCH($B1123,Settings!$A$5:$A$9,0)),0))+(IFERROR(INDEX(Settings!$C$5:$C$9,MATCH($B1123,Settings!$A$5:$A$9,0)),0)+IFERROR(INDEX(Settings!$F$5:$F$9,MATCH($B1123,Settings!$A$5:$A$9,0)),0))/P1123+IFERROR(INDEX(Settings!$D$5:$D$9,MATCH($B1123,Settings!$A$5:$A$9,0)),0)*M1123)</f>
        <v/>
      </c>
      <c r="W1123" s="11">
        <f>IF(J1123="","",IF(T1123="",0,M1123*INDEX(Products!$I$5:$I$204,T1123)))</f>
        <v/>
      </c>
      <c r="X1123" s="11">
        <f>IF(J1123="","",IF(T1123="",0,S1123*INDEX(Products!$H$5:$H$204,T1123)))</f>
        <v/>
      </c>
      <c r="Y1123" s="11">
        <f>IF(J1123="","",S1123-V1123-W1123-X1123)</f>
        <v/>
      </c>
    </row>
    <row r="1124">
      <c r="A1124" s="19" t="n"/>
      <c r="B1124" s="19" t="n"/>
      <c r="C1124" s="19" t="n"/>
      <c r="D1124" s="19" t="n"/>
      <c r="E1124" s="19" t="n"/>
      <c r="F1124" s="20" t="n"/>
      <c r="G1124" s="20" t="n"/>
      <c r="H1124" s="20" t="n"/>
      <c r="I1124" s="19" t="n"/>
      <c r="J1124">
        <f>IFERROR(IF(C1124="","",C1124)&amp;"","")</f>
        <v/>
      </c>
      <c r="K1124">
        <f>IFERROR(IF(D1124="","",D1124)&amp;"","")</f>
        <v/>
      </c>
      <c r="L1124">
        <f>IFERROR(IF(I1124="","",I1124)&amp;"","")</f>
        <v/>
      </c>
      <c r="M1124">
        <f>IF(J1124="","",IFERROR(VALUE(SUBSTITUTE(SUBSTITUTE(IF(E1124="","",E1124)&amp;"","$",""),",","")),0))</f>
        <v/>
      </c>
      <c r="N1124" s="11">
        <f>IF(J1124="","",IFERROR(VALUE(SUBSTITUTE(SUBSTITUTE(IF(F1124="","",F1124)&amp;"","$",""),",","")),0))</f>
        <v/>
      </c>
      <c r="O1124" s="11">
        <f>IF(J1124="","",M1124*N1124)</f>
        <v/>
      </c>
      <c r="P1124">
        <f>IF(J1124="","",IF(L1124="",1,COUNTIF($L$2:$L$1501,L1124)))</f>
        <v/>
      </c>
      <c r="Q1124" s="11">
        <f>IF(J1124="","",IFERROR(VALUE(SUBSTITUTE(SUBSTITUTE(IF(G1124="","",G1124)&amp;"","$",""),",","")),0)/IF("No"="Yes",P1124,1))</f>
        <v/>
      </c>
      <c r="R1124" s="11">
        <f>IF(J1124="","",IFERROR(VALUE(SUBSTITUTE(SUBSTITUTE(IF(H1124="","",H1124)&amp;"","$",""),",","")),0)/IF("No"="Yes",P1124,1))</f>
        <v/>
      </c>
      <c r="S1124" s="11">
        <f>IF(J1124="","",O1124+Q1124-R1124)</f>
        <v/>
      </c>
      <c r="T1124">
        <f>IF(J1124="","",IFERROR(IF(K1124="",NA(),MATCH(K1124,Products!$B$5:$B$204,0)),IFERROR(MATCH(J1124,Products!$A$5:$A$204,0),"")))</f>
        <v/>
      </c>
      <c r="U1124">
        <f>IF(J1124="","",IF(T1124="","⚠ not in Products",INDEX(Products!$A$5:$A$204,T1124)))</f>
        <v/>
      </c>
      <c r="V1124" s="11">
        <f>IF(J1124="","",S1124*(IFERROR(INDEX(Settings!$B$5:$B$9,MATCH($B1124,Settings!$A$5:$A$9,0)),0)+IFERROR(INDEX(Settings!$E$5:$E$9,MATCH($B1124,Settings!$A$5:$A$9,0)),0)+IFERROR(INDEX(Settings!$G$5:$G$9,MATCH($B1124,Settings!$A$5:$A$9,0)),0))+(IFERROR(INDEX(Settings!$C$5:$C$9,MATCH($B1124,Settings!$A$5:$A$9,0)),0)+IFERROR(INDEX(Settings!$F$5:$F$9,MATCH($B1124,Settings!$A$5:$A$9,0)),0))/P1124+IFERROR(INDEX(Settings!$D$5:$D$9,MATCH($B1124,Settings!$A$5:$A$9,0)),0)*M1124)</f>
        <v/>
      </c>
      <c r="W1124" s="11">
        <f>IF(J1124="","",IF(T1124="",0,M1124*INDEX(Products!$I$5:$I$204,T1124)))</f>
        <v/>
      </c>
      <c r="X1124" s="11">
        <f>IF(J1124="","",IF(T1124="",0,S1124*INDEX(Products!$H$5:$H$204,T1124)))</f>
        <v/>
      </c>
      <c r="Y1124" s="11">
        <f>IF(J1124="","",S1124-V1124-W1124-X1124)</f>
        <v/>
      </c>
    </row>
    <row r="1125">
      <c r="A1125" s="19" t="n"/>
      <c r="B1125" s="19" t="n"/>
      <c r="C1125" s="19" t="n"/>
      <c r="D1125" s="19" t="n"/>
      <c r="E1125" s="19" t="n"/>
      <c r="F1125" s="20" t="n"/>
      <c r="G1125" s="20" t="n"/>
      <c r="H1125" s="20" t="n"/>
      <c r="I1125" s="19" t="n"/>
      <c r="J1125">
        <f>IFERROR(IF(C1125="","",C1125)&amp;"","")</f>
        <v/>
      </c>
      <c r="K1125">
        <f>IFERROR(IF(D1125="","",D1125)&amp;"","")</f>
        <v/>
      </c>
      <c r="L1125">
        <f>IFERROR(IF(I1125="","",I1125)&amp;"","")</f>
        <v/>
      </c>
      <c r="M1125">
        <f>IF(J1125="","",IFERROR(VALUE(SUBSTITUTE(SUBSTITUTE(IF(E1125="","",E1125)&amp;"","$",""),",","")),0))</f>
        <v/>
      </c>
      <c r="N1125" s="11">
        <f>IF(J1125="","",IFERROR(VALUE(SUBSTITUTE(SUBSTITUTE(IF(F1125="","",F1125)&amp;"","$",""),",","")),0))</f>
        <v/>
      </c>
      <c r="O1125" s="11">
        <f>IF(J1125="","",M1125*N1125)</f>
        <v/>
      </c>
      <c r="P1125">
        <f>IF(J1125="","",IF(L1125="",1,COUNTIF($L$2:$L$1501,L1125)))</f>
        <v/>
      </c>
      <c r="Q1125" s="11">
        <f>IF(J1125="","",IFERROR(VALUE(SUBSTITUTE(SUBSTITUTE(IF(G1125="","",G1125)&amp;"","$",""),",","")),0)/IF("No"="Yes",P1125,1))</f>
        <v/>
      </c>
      <c r="R1125" s="11">
        <f>IF(J1125="","",IFERROR(VALUE(SUBSTITUTE(SUBSTITUTE(IF(H1125="","",H1125)&amp;"","$",""),",","")),0)/IF("No"="Yes",P1125,1))</f>
        <v/>
      </c>
      <c r="S1125" s="11">
        <f>IF(J1125="","",O1125+Q1125-R1125)</f>
        <v/>
      </c>
      <c r="T1125">
        <f>IF(J1125="","",IFERROR(IF(K1125="",NA(),MATCH(K1125,Products!$B$5:$B$204,0)),IFERROR(MATCH(J1125,Products!$A$5:$A$204,0),"")))</f>
        <v/>
      </c>
      <c r="U1125">
        <f>IF(J1125="","",IF(T1125="","⚠ not in Products",INDEX(Products!$A$5:$A$204,T1125)))</f>
        <v/>
      </c>
      <c r="V1125" s="11">
        <f>IF(J1125="","",S1125*(IFERROR(INDEX(Settings!$B$5:$B$9,MATCH($B1125,Settings!$A$5:$A$9,0)),0)+IFERROR(INDEX(Settings!$E$5:$E$9,MATCH($B1125,Settings!$A$5:$A$9,0)),0)+IFERROR(INDEX(Settings!$G$5:$G$9,MATCH($B1125,Settings!$A$5:$A$9,0)),0))+(IFERROR(INDEX(Settings!$C$5:$C$9,MATCH($B1125,Settings!$A$5:$A$9,0)),0)+IFERROR(INDEX(Settings!$F$5:$F$9,MATCH($B1125,Settings!$A$5:$A$9,0)),0))/P1125+IFERROR(INDEX(Settings!$D$5:$D$9,MATCH($B1125,Settings!$A$5:$A$9,0)),0)*M1125)</f>
        <v/>
      </c>
      <c r="W1125" s="11">
        <f>IF(J1125="","",IF(T1125="",0,M1125*INDEX(Products!$I$5:$I$204,T1125)))</f>
        <v/>
      </c>
      <c r="X1125" s="11">
        <f>IF(J1125="","",IF(T1125="",0,S1125*INDEX(Products!$H$5:$H$204,T1125)))</f>
        <v/>
      </c>
      <c r="Y1125" s="11">
        <f>IF(J1125="","",S1125-V1125-W1125-X1125)</f>
        <v/>
      </c>
    </row>
    <row r="1126">
      <c r="A1126" s="19" t="n"/>
      <c r="B1126" s="19" t="n"/>
      <c r="C1126" s="19" t="n"/>
      <c r="D1126" s="19" t="n"/>
      <c r="E1126" s="19" t="n"/>
      <c r="F1126" s="20" t="n"/>
      <c r="G1126" s="20" t="n"/>
      <c r="H1126" s="20" t="n"/>
      <c r="I1126" s="19" t="n"/>
      <c r="J1126">
        <f>IFERROR(IF(C1126="","",C1126)&amp;"","")</f>
        <v/>
      </c>
      <c r="K1126">
        <f>IFERROR(IF(D1126="","",D1126)&amp;"","")</f>
        <v/>
      </c>
      <c r="L1126">
        <f>IFERROR(IF(I1126="","",I1126)&amp;"","")</f>
        <v/>
      </c>
      <c r="M1126">
        <f>IF(J1126="","",IFERROR(VALUE(SUBSTITUTE(SUBSTITUTE(IF(E1126="","",E1126)&amp;"","$",""),",","")),0))</f>
        <v/>
      </c>
      <c r="N1126" s="11">
        <f>IF(J1126="","",IFERROR(VALUE(SUBSTITUTE(SUBSTITUTE(IF(F1126="","",F1126)&amp;"","$",""),",","")),0))</f>
        <v/>
      </c>
      <c r="O1126" s="11">
        <f>IF(J1126="","",M1126*N1126)</f>
        <v/>
      </c>
      <c r="P1126">
        <f>IF(J1126="","",IF(L1126="",1,COUNTIF($L$2:$L$1501,L1126)))</f>
        <v/>
      </c>
      <c r="Q1126" s="11">
        <f>IF(J1126="","",IFERROR(VALUE(SUBSTITUTE(SUBSTITUTE(IF(G1126="","",G1126)&amp;"","$",""),",","")),0)/IF("No"="Yes",P1126,1))</f>
        <v/>
      </c>
      <c r="R1126" s="11">
        <f>IF(J1126="","",IFERROR(VALUE(SUBSTITUTE(SUBSTITUTE(IF(H1126="","",H1126)&amp;"","$",""),",","")),0)/IF("No"="Yes",P1126,1))</f>
        <v/>
      </c>
      <c r="S1126" s="11">
        <f>IF(J1126="","",O1126+Q1126-R1126)</f>
        <v/>
      </c>
      <c r="T1126">
        <f>IF(J1126="","",IFERROR(IF(K1126="",NA(),MATCH(K1126,Products!$B$5:$B$204,0)),IFERROR(MATCH(J1126,Products!$A$5:$A$204,0),"")))</f>
        <v/>
      </c>
      <c r="U1126">
        <f>IF(J1126="","",IF(T1126="","⚠ not in Products",INDEX(Products!$A$5:$A$204,T1126)))</f>
        <v/>
      </c>
      <c r="V1126" s="11">
        <f>IF(J1126="","",S1126*(IFERROR(INDEX(Settings!$B$5:$B$9,MATCH($B1126,Settings!$A$5:$A$9,0)),0)+IFERROR(INDEX(Settings!$E$5:$E$9,MATCH($B1126,Settings!$A$5:$A$9,0)),0)+IFERROR(INDEX(Settings!$G$5:$G$9,MATCH($B1126,Settings!$A$5:$A$9,0)),0))+(IFERROR(INDEX(Settings!$C$5:$C$9,MATCH($B1126,Settings!$A$5:$A$9,0)),0)+IFERROR(INDEX(Settings!$F$5:$F$9,MATCH($B1126,Settings!$A$5:$A$9,0)),0))/P1126+IFERROR(INDEX(Settings!$D$5:$D$9,MATCH($B1126,Settings!$A$5:$A$9,0)),0)*M1126)</f>
        <v/>
      </c>
      <c r="W1126" s="11">
        <f>IF(J1126="","",IF(T1126="",0,M1126*INDEX(Products!$I$5:$I$204,T1126)))</f>
        <v/>
      </c>
      <c r="X1126" s="11">
        <f>IF(J1126="","",IF(T1126="",0,S1126*INDEX(Products!$H$5:$H$204,T1126)))</f>
        <v/>
      </c>
      <c r="Y1126" s="11">
        <f>IF(J1126="","",S1126-V1126-W1126-X1126)</f>
        <v/>
      </c>
    </row>
    <row r="1127">
      <c r="A1127" s="19" t="n"/>
      <c r="B1127" s="19" t="n"/>
      <c r="C1127" s="19" t="n"/>
      <c r="D1127" s="19" t="n"/>
      <c r="E1127" s="19" t="n"/>
      <c r="F1127" s="20" t="n"/>
      <c r="G1127" s="20" t="n"/>
      <c r="H1127" s="20" t="n"/>
      <c r="I1127" s="19" t="n"/>
      <c r="J1127">
        <f>IFERROR(IF(C1127="","",C1127)&amp;"","")</f>
        <v/>
      </c>
      <c r="K1127">
        <f>IFERROR(IF(D1127="","",D1127)&amp;"","")</f>
        <v/>
      </c>
      <c r="L1127">
        <f>IFERROR(IF(I1127="","",I1127)&amp;"","")</f>
        <v/>
      </c>
      <c r="M1127">
        <f>IF(J1127="","",IFERROR(VALUE(SUBSTITUTE(SUBSTITUTE(IF(E1127="","",E1127)&amp;"","$",""),",","")),0))</f>
        <v/>
      </c>
      <c r="N1127" s="11">
        <f>IF(J1127="","",IFERROR(VALUE(SUBSTITUTE(SUBSTITUTE(IF(F1127="","",F1127)&amp;"","$",""),",","")),0))</f>
        <v/>
      </c>
      <c r="O1127" s="11">
        <f>IF(J1127="","",M1127*N1127)</f>
        <v/>
      </c>
      <c r="P1127">
        <f>IF(J1127="","",IF(L1127="",1,COUNTIF($L$2:$L$1501,L1127)))</f>
        <v/>
      </c>
      <c r="Q1127" s="11">
        <f>IF(J1127="","",IFERROR(VALUE(SUBSTITUTE(SUBSTITUTE(IF(G1127="","",G1127)&amp;"","$",""),",","")),0)/IF("No"="Yes",P1127,1))</f>
        <v/>
      </c>
      <c r="R1127" s="11">
        <f>IF(J1127="","",IFERROR(VALUE(SUBSTITUTE(SUBSTITUTE(IF(H1127="","",H1127)&amp;"","$",""),",","")),0)/IF("No"="Yes",P1127,1))</f>
        <v/>
      </c>
      <c r="S1127" s="11">
        <f>IF(J1127="","",O1127+Q1127-R1127)</f>
        <v/>
      </c>
      <c r="T1127">
        <f>IF(J1127="","",IFERROR(IF(K1127="",NA(),MATCH(K1127,Products!$B$5:$B$204,0)),IFERROR(MATCH(J1127,Products!$A$5:$A$204,0),"")))</f>
        <v/>
      </c>
      <c r="U1127">
        <f>IF(J1127="","",IF(T1127="","⚠ not in Products",INDEX(Products!$A$5:$A$204,T1127)))</f>
        <v/>
      </c>
      <c r="V1127" s="11">
        <f>IF(J1127="","",S1127*(IFERROR(INDEX(Settings!$B$5:$B$9,MATCH($B1127,Settings!$A$5:$A$9,0)),0)+IFERROR(INDEX(Settings!$E$5:$E$9,MATCH($B1127,Settings!$A$5:$A$9,0)),0)+IFERROR(INDEX(Settings!$G$5:$G$9,MATCH($B1127,Settings!$A$5:$A$9,0)),0))+(IFERROR(INDEX(Settings!$C$5:$C$9,MATCH($B1127,Settings!$A$5:$A$9,0)),0)+IFERROR(INDEX(Settings!$F$5:$F$9,MATCH($B1127,Settings!$A$5:$A$9,0)),0))/P1127+IFERROR(INDEX(Settings!$D$5:$D$9,MATCH($B1127,Settings!$A$5:$A$9,0)),0)*M1127)</f>
        <v/>
      </c>
      <c r="W1127" s="11">
        <f>IF(J1127="","",IF(T1127="",0,M1127*INDEX(Products!$I$5:$I$204,T1127)))</f>
        <v/>
      </c>
      <c r="X1127" s="11">
        <f>IF(J1127="","",IF(T1127="",0,S1127*INDEX(Products!$H$5:$H$204,T1127)))</f>
        <v/>
      </c>
      <c r="Y1127" s="11">
        <f>IF(J1127="","",S1127-V1127-W1127-X1127)</f>
        <v/>
      </c>
    </row>
    <row r="1128">
      <c r="A1128" s="19" t="n"/>
      <c r="B1128" s="19" t="n"/>
      <c r="C1128" s="19" t="n"/>
      <c r="D1128" s="19" t="n"/>
      <c r="E1128" s="19" t="n"/>
      <c r="F1128" s="20" t="n"/>
      <c r="G1128" s="20" t="n"/>
      <c r="H1128" s="20" t="n"/>
      <c r="I1128" s="19" t="n"/>
      <c r="J1128">
        <f>IFERROR(IF(C1128="","",C1128)&amp;"","")</f>
        <v/>
      </c>
      <c r="K1128">
        <f>IFERROR(IF(D1128="","",D1128)&amp;"","")</f>
        <v/>
      </c>
      <c r="L1128">
        <f>IFERROR(IF(I1128="","",I1128)&amp;"","")</f>
        <v/>
      </c>
      <c r="M1128">
        <f>IF(J1128="","",IFERROR(VALUE(SUBSTITUTE(SUBSTITUTE(IF(E1128="","",E1128)&amp;"","$",""),",","")),0))</f>
        <v/>
      </c>
      <c r="N1128" s="11">
        <f>IF(J1128="","",IFERROR(VALUE(SUBSTITUTE(SUBSTITUTE(IF(F1128="","",F1128)&amp;"","$",""),",","")),0))</f>
        <v/>
      </c>
      <c r="O1128" s="11">
        <f>IF(J1128="","",M1128*N1128)</f>
        <v/>
      </c>
      <c r="P1128">
        <f>IF(J1128="","",IF(L1128="",1,COUNTIF($L$2:$L$1501,L1128)))</f>
        <v/>
      </c>
      <c r="Q1128" s="11">
        <f>IF(J1128="","",IFERROR(VALUE(SUBSTITUTE(SUBSTITUTE(IF(G1128="","",G1128)&amp;"","$",""),",","")),0)/IF("No"="Yes",P1128,1))</f>
        <v/>
      </c>
      <c r="R1128" s="11">
        <f>IF(J1128="","",IFERROR(VALUE(SUBSTITUTE(SUBSTITUTE(IF(H1128="","",H1128)&amp;"","$",""),",","")),0)/IF("No"="Yes",P1128,1))</f>
        <v/>
      </c>
      <c r="S1128" s="11">
        <f>IF(J1128="","",O1128+Q1128-R1128)</f>
        <v/>
      </c>
      <c r="T1128">
        <f>IF(J1128="","",IFERROR(IF(K1128="",NA(),MATCH(K1128,Products!$B$5:$B$204,0)),IFERROR(MATCH(J1128,Products!$A$5:$A$204,0),"")))</f>
        <v/>
      </c>
      <c r="U1128">
        <f>IF(J1128="","",IF(T1128="","⚠ not in Products",INDEX(Products!$A$5:$A$204,T1128)))</f>
        <v/>
      </c>
      <c r="V1128" s="11">
        <f>IF(J1128="","",S1128*(IFERROR(INDEX(Settings!$B$5:$B$9,MATCH($B1128,Settings!$A$5:$A$9,0)),0)+IFERROR(INDEX(Settings!$E$5:$E$9,MATCH($B1128,Settings!$A$5:$A$9,0)),0)+IFERROR(INDEX(Settings!$G$5:$G$9,MATCH($B1128,Settings!$A$5:$A$9,0)),0))+(IFERROR(INDEX(Settings!$C$5:$C$9,MATCH($B1128,Settings!$A$5:$A$9,0)),0)+IFERROR(INDEX(Settings!$F$5:$F$9,MATCH($B1128,Settings!$A$5:$A$9,0)),0))/P1128+IFERROR(INDEX(Settings!$D$5:$D$9,MATCH($B1128,Settings!$A$5:$A$9,0)),0)*M1128)</f>
        <v/>
      </c>
      <c r="W1128" s="11">
        <f>IF(J1128="","",IF(T1128="",0,M1128*INDEX(Products!$I$5:$I$204,T1128)))</f>
        <v/>
      </c>
      <c r="X1128" s="11">
        <f>IF(J1128="","",IF(T1128="",0,S1128*INDEX(Products!$H$5:$H$204,T1128)))</f>
        <v/>
      </c>
      <c r="Y1128" s="11">
        <f>IF(J1128="","",S1128-V1128-W1128-X1128)</f>
        <v/>
      </c>
    </row>
    <row r="1129">
      <c r="A1129" s="19" t="n"/>
      <c r="B1129" s="19" t="n"/>
      <c r="C1129" s="19" t="n"/>
      <c r="D1129" s="19" t="n"/>
      <c r="E1129" s="19" t="n"/>
      <c r="F1129" s="20" t="n"/>
      <c r="G1129" s="20" t="n"/>
      <c r="H1129" s="20" t="n"/>
      <c r="I1129" s="19" t="n"/>
      <c r="J1129">
        <f>IFERROR(IF(C1129="","",C1129)&amp;"","")</f>
        <v/>
      </c>
      <c r="K1129">
        <f>IFERROR(IF(D1129="","",D1129)&amp;"","")</f>
        <v/>
      </c>
      <c r="L1129">
        <f>IFERROR(IF(I1129="","",I1129)&amp;"","")</f>
        <v/>
      </c>
      <c r="M1129">
        <f>IF(J1129="","",IFERROR(VALUE(SUBSTITUTE(SUBSTITUTE(IF(E1129="","",E1129)&amp;"","$",""),",","")),0))</f>
        <v/>
      </c>
      <c r="N1129" s="11">
        <f>IF(J1129="","",IFERROR(VALUE(SUBSTITUTE(SUBSTITUTE(IF(F1129="","",F1129)&amp;"","$",""),",","")),0))</f>
        <v/>
      </c>
      <c r="O1129" s="11">
        <f>IF(J1129="","",M1129*N1129)</f>
        <v/>
      </c>
      <c r="P1129">
        <f>IF(J1129="","",IF(L1129="",1,COUNTIF($L$2:$L$1501,L1129)))</f>
        <v/>
      </c>
      <c r="Q1129" s="11">
        <f>IF(J1129="","",IFERROR(VALUE(SUBSTITUTE(SUBSTITUTE(IF(G1129="","",G1129)&amp;"","$",""),",","")),0)/IF("No"="Yes",P1129,1))</f>
        <v/>
      </c>
      <c r="R1129" s="11">
        <f>IF(J1129="","",IFERROR(VALUE(SUBSTITUTE(SUBSTITUTE(IF(H1129="","",H1129)&amp;"","$",""),",","")),0)/IF("No"="Yes",P1129,1))</f>
        <v/>
      </c>
      <c r="S1129" s="11">
        <f>IF(J1129="","",O1129+Q1129-R1129)</f>
        <v/>
      </c>
      <c r="T1129">
        <f>IF(J1129="","",IFERROR(IF(K1129="",NA(),MATCH(K1129,Products!$B$5:$B$204,0)),IFERROR(MATCH(J1129,Products!$A$5:$A$204,0),"")))</f>
        <v/>
      </c>
      <c r="U1129">
        <f>IF(J1129="","",IF(T1129="","⚠ not in Products",INDEX(Products!$A$5:$A$204,T1129)))</f>
        <v/>
      </c>
      <c r="V1129" s="11">
        <f>IF(J1129="","",S1129*(IFERROR(INDEX(Settings!$B$5:$B$9,MATCH($B1129,Settings!$A$5:$A$9,0)),0)+IFERROR(INDEX(Settings!$E$5:$E$9,MATCH($B1129,Settings!$A$5:$A$9,0)),0)+IFERROR(INDEX(Settings!$G$5:$G$9,MATCH($B1129,Settings!$A$5:$A$9,0)),0))+(IFERROR(INDEX(Settings!$C$5:$C$9,MATCH($B1129,Settings!$A$5:$A$9,0)),0)+IFERROR(INDEX(Settings!$F$5:$F$9,MATCH($B1129,Settings!$A$5:$A$9,0)),0))/P1129+IFERROR(INDEX(Settings!$D$5:$D$9,MATCH($B1129,Settings!$A$5:$A$9,0)),0)*M1129)</f>
        <v/>
      </c>
      <c r="W1129" s="11">
        <f>IF(J1129="","",IF(T1129="",0,M1129*INDEX(Products!$I$5:$I$204,T1129)))</f>
        <v/>
      </c>
      <c r="X1129" s="11">
        <f>IF(J1129="","",IF(T1129="",0,S1129*INDEX(Products!$H$5:$H$204,T1129)))</f>
        <v/>
      </c>
      <c r="Y1129" s="11">
        <f>IF(J1129="","",S1129-V1129-W1129-X1129)</f>
        <v/>
      </c>
    </row>
    <row r="1130">
      <c r="A1130" s="19" t="n"/>
      <c r="B1130" s="19" t="n"/>
      <c r="C1130" s="19" t="n"/>
      <c r="D1130" s="19" t="n"/>
      <c r="E1130" s="19" t="n"/>
      <c r="F1130" s="20" t="n"/>
      <c r="G1130" s="20" t="n"/>
      <c r="H1130" s="20" t="n"/>
      <c r="I1130" s="19" t="n"/>
      <c r="J1130">
        <f>IFERROR(IF(C1130="","",C1130)&amp;"","")</f>
        <v/>
      </c>
      <c r="K1130">
        <f>IFERROR(IF(D1130="","",D1130)&amp;"","")</f>
        <v/>
      </c>
      <c r="L1130">
        <f>IFERROR(IF(I1130="","",I1130)&amp;"","")</f>
        <v/>
      </c>
      <c r="M1130">
        <f>IF(J1130="","",IFERROR(VALUE(SUBSTITUTE(SUBSTITUTE(IF(E1130="","",E1130)&amp;"","$",""),",","")),0))</f>
        <v/>
      </c>
      <c r="N1130" s="11">
        <f>IF(J1130="","",IFERROR(VALUE(SUBSTITUTE(SUBSTITUTE(IF(F1130="","",F1130)&amp;"","$",""),",","")),0))</f>
        <v/>
      </c>
      <c r="O1130" s="11">
        <f>IF(J1130="","",M1130*N1130)</f>
        <v/>
      </c>
      <c r="P1130">
        <f>IF(J1130="","",IF(L1130="",1,COUNTIF($L$2:$L$1501,L1130)))</f>
        <v/>
      </c>
      <c r="Q1130" s="11">
        <f>IF(J1130="","",IFERROR(VALUE(SUBSTITUTE(SUBSTITUTE(IF(G1130="","",G1130)&amp;"","$",""),",","")),0)/IF("No"="Yes",P1130,1))</f>
        <v/>
      </c>
      <c r="R1130" s="11">
        <f>IF(J1130="","",IFERROR(VALUE(SUBSTITUTE(SUBSTITUTE(IF(H1130="","",H1130)&amp;"","$",""),",","")),0)/IF("No"="Yes",P1130,1))</f>
        <v/>
      </c>
      <c r="S1130" s="11">
        <f>IF(J1130="","",O1130+Q1130-R1130)</f>
        <v/>
      </c>
      <c r="T1130">
        <f>IF(J1130="","",IFERROR(IF(K1130="",NA(),MATCH(K1130,Products!$B$5:$B$204,0)),IFERROR(MATCH(J1130,Products!$A$5:$A$204,0),"")))</f>
        <v/>
      </c>
      <c r="U1130">
        <f>IF(J1130="","",IF(T1130="","⚠ not in Products",INDEX(Products!$A$5:$A$204,T1130)))</f>
        <v/>
      </c>
      <c r="V1130" s="11">
        <f>IF(J1130="","",S1130*(IFERROR(INDEX(Settings!$B$5:$B$9,MATCH($B1130,Settings!$A$5:$A$9,0)),0)+IFERROR(INDEX(Settings!$E$5:$E$9,MATCH($B1130,Settings!$A$5:$A$9,0)),0)+IFERROR(INDEX(Settings!$G$5:$G$9,MATCH($B1130,Settings!$A$5:$A$9,0)),0))+(IFERROR(INDEX(Settings!$C$5:$C$9,MATCH($B1130,Settings!$A$5:$A$9,0)),0)+IFERROR(INDEX(Settings!$F$5:$F$9,MATCH($B1130,Settings!$A$5:$A$9,0)),0))/P1130+IFERROR(INDEX(Settings!$D$5:$D$9,MATCH($B1130,Settings!$A$5:$A$9,0)),0)*M1130)</f>
        <v/>
      </c>
      <c r="W1130" s="11">
        <f>IF(J1130="","",IF(T1130="",0,M1130*INDEX(Products!$I$5:$I$204,T1130)))</f>
        <v/>
      </c>
      <c r="X1130" s="11">
        <f>IF(J1130="","",IF(T1130="",0,S1130*INDEX(Products!$H$5:$H$204,T1130)))</f>
        <v/>
      </c>
      <c r="Y1130" s="11">
        <f>IF(J1130="","",S1130-V1130-W1130-X1130)</f>
        <v/>
      </c>
    </row>
    <row r="1131">
      <c r="A1131" s="19" t="n"/>
      <c r="B1131" s="19" t="n"/>
      <c r="C1131" s="19" t="n"/>
      <c r="D1131" s="19" t="n"/>
      <c r="E1131" s="19" t="n"/>
      <c r="F1131" s="20" t="n"/>
      <c r="G1131" s="20" t="n"/>
      <c r="H1131" s="20" t="n"/>
      <c r="I1131" s="19" t="n"/>
      <c r="J1131">
        <f>IFERROR(IF(C1131="","",C1131)&amp;"","")</f>
        <v/>
      </c>
      <c r="K1131">
        <f>IFERROR(IF(D1131="","",D1131)&amp;"","")</f>
        <v/>
      </c>
      <c r="L1131">
        <f>IFERROR(IF(I1131="","",I1131)&amp;"","")</f>
        <v/>
      </c>
      <c r="M1131">
        <f>IF(J1131="","",IFERROR(VALUE(SUBSTITUTE(SUBSTITUTE(IF(E1131="","",E1131)&amp;"","$",""),",","")),0))</f>
        <v/>
      </c>
      <c r="N1131" s="11">
        <f>IF(J1131="","",IFERROR(VALUE(SUBSTITUTE(SUBSTITUTE(IF(F1131="","",F1131)&amp;"","$",""),",","")),0))</f>
        <v/>
      </c>
      <c r="O1131" s="11">
        <f>IF(J1131="","",M1131*N1131)</f>
        <v/>
      </c>
      <c r="P1131">
        <f>IF(J1131="","",IF(L1131="",1,COUNTIF($L$2:$L$1501,L1131)))</f>
        <v/>
      </c>
      <c r="Q1131" s="11">
        <f>IF(J1131="","",IFERROR(VALUE(SUBSTITUTE(SUBSTITUTE(IF(G1131="","",G1131)&amp;"","$",""),",","")),0)/IF("No"="Yes",P1131,1))</f>
        <v/>
      </c>
      <c r="R1131" s="11">
        <f>IF(J1131="","",IFERROR(VALUE(SUBSTITUTE(SUBSTITUTE(IF(H1131="","",H1131)&amp;"","$",""),",","")),0)/IF("No"="Yes",P1131,1))</f>
        <v/>
      </c>
      <c r="S1131" s="11">
        <f>IF(J1131="","",O1131+Q1131-R1131)</f>
        <v/>
      </c>
      <c r="T1131">
        <f>IF(J1131="","",IFERROR(IF(K1131="",NA(),MATCH(K1131,Products!$B$5:$B$204,0)),IFERROR(MATCH(J1131,Products!$A$5:$A$204,0),"")))</f>
        <v/>
      </c>
      <c r="U1131">
        <f>IF(J1131="","",IF(T1131="","⚠ not in Products",INDEX(Products!$A$5:$A$204,T1131)))</f>
        <v/>
      </c>
      <c r="V1131" s="11">
        <f>IF(J1131="","",S1131*(IFERROR(INDEX(Settings!$B$5:$B$9,MATCH($B1131,Settings!$A$5:$A$9,0)),0)+IFERROR(INDEX(Settings!$E$5:$E$9,MATCH($B1131,Settings!$A$5:$A$9,0)),0)+IFERROR(INDEX(Settings!$G$5:$G$9,MATCH($B1131,Settings!$A$5:$A$9,0)),0))+(IFERROR(INDEX(Settings!$C$5:$C$9,MATCH($B1131,Settings!$A$5:$A$9,0)),0)+IFERROR(INDEX(Settings!$F$5:$F$9,MATCH($B1131,Settings!$A$5:$A$9,0)),0))/P1131+IFERROR(INDEX(Settings!$D$5:$D$9,MATCH($B1131,Settings!$A$5:$A$9,0)),0)*M1131)</f>
        <v/>
      </c>
      <c r="W1131" s="11">
        <f>IF(J1131="","",IF(T1131="",0,M1131*INDEX(Products!$I$5:$I$204,T1131)))</f>
        <v/>
      </c>
      <c r="X1131" s="11">
        <f>IF(J1131="","",IF(T1131="",0,S1131*INDEX(Products!$H$5:$H$204,T1131)))</f>
        <v/>
      </c>
      <c r="Y1131" s="11">
        <f>IF(J1131="","",S1131-V1131-W1131-X1131)</f>
        <v/>
      </c>
    </row>
    <row r="1132">
      <c r="A1132" s="19" t="n"/>
      <c r="B1132" s="19" t="n"/>
      <c r="C1132" s="19" t="n"/>
      <c r="D1132" s="19" t="n"/>
      <c r="E1132" s="19" t="n"/>
      <c r="F1132" s="20" t="n"/>
      <c r="G1132" s="20" t="n"/>
      <c r="H1132" s="20" t="n"/>
      <c r="I1132" s="19" t="n"/>
      <c r="J1132">
        <f>IFERROR(IF(C1132="","",C1132)&amp;"","")</f>
        <v/>
      </c>
      <c r="K1132">
        <f>IFERROR(IF(D1132="","",D1132)&amp;"","")</f>
        <v/>
      </c>
      <c r="L1132">
        <f>IFERROR(IF(I1132="","",I1132)&amp;"","")</f>
        <v/>
      </c>
      <c r="M1132">
        <f>IF(J1132="","",IFERROR(VALUE(SUBSTITUTE(SUBSTITUTE(IF(E1132="","",E1132)&amp;"","$",""),",","")),0))</f>
        <v/>
      </c>
      <c r="N1132" s="11">
        <f>IF(J1132="","",IFERROR(VALUE(SUBSTITUTE(SUBSTITUTE(IF(F1132="","",F1132)&amp;"","$",""),",","")),0))</f>
        <v/>
      </c>
      <c r="O1132" s="11">
        <f>IF(J1132="","",M1132*N1132)</f>
        <v/>
      </c>
      <c r="P1132">
        <f>IF(J1132="","",IF(L1132="",1,COUNTIF($L$2:$L$1501,L1132)))</f>
        <v/>
      </c>
      <c r="Q1132" s="11">
        <f>IF(J1132="","",IFERROR(VALUE(SUBSTITUTE(SUBSTITUTE(IF(G1132="","",G1132)&amp;"","$",""),",","")),0)/IF("No"="Yes",P1132,1))</f>
        <v/>
      </c>
      <c r="R1132" s="11">
        <f>IF(J1132="","",IFERROR(VALUE(SUBSTITUTE(SUBSTITUTE(IF(H1132="","",H1132)&amp;"","$",""),",","")),0)/IF("No"="Yes",P1132,1))</f>
        <v/>
      </c>
      <c r="S1132" s="11">
        <f>IF(J1132="","",O1132+Q1132-R1132)</f>
        <v/>
      </c>
      <c r="T1132">
        <f>IF(J1132="","",IFERROR(IF(K1132="",NA(),MATCH(K1132,Products!$B$5:$B$204,0)),IFERROR(MATCH(J1132,Products!$A$5:$A$204,0),"")))</f>
        <v/>
      </c>
      <c r="U1132">
        <f>IF(J1132="","",IF(T1132="","⚠ not in Products",INDEX(Products!$A$5:$A$204,T1132)))</f>
        <v/>
      </c>
      <c r="V1132" s="11">
        <f>IF(J1132="","",S1132*(IFERROR(INDEX(Settings!$B$5:$B$9,MATCH($B1132,Settings!$A$5:$A$9,0)),0)+IFERROR(INDEX(Settings!$E$5:$E$9,MATCH($B1132,Settings!$A$5:$A$9,0)),0)+IFERROR(INDEX(Settings!$G$5:$G$9,MATCH($B1132,Settings!$A$5:$A$9,0)),0))+(IFERROR(INDEX(Settings!$C$5:$C$9,MATCH($B1132,Settings!$A$5:$A$9,0)),0)+IFERROR(INDEX(Settings!$F$5:$F$9,MATCH($B1132,Settings!$A$5:$A$9,0)),0))/P1132+IFERROR(INDEX(Settings!$D$5:$D$9,MATCH($B1132,Settings!$A$5:$A$9,0)),0)*M1132)</f>
        <v/>
      </c>
      <c r="W1132" s="11">
        <f>IF(J1132="","",IF(T1132="",0,M1132*INDEX(Products!$I$5:$I$204,T1132)))</f>
        <v/>
      </c>
      <c r="X1132" s="11">
        <f>IF(J1132="","",IF(T1132="",0,S1132*INDEX(Products!$H$5:$H$204,T1132)))</f>
        <v/>
      </c>
      <c r="Y1132" s="11">
        <f>IF(J1132="","",S1132-V1132-W1132-X1132)</f>
        <v/>
      </c>
    </row>
    <row r="1133">
      <c r="A1133" s="19" t="n"/>
      <c r="B1133" s="19" t="n"/>
      <c r="C1133" s="19" t="n"/>
      <c r="D1133" s="19" t="n"/>
      <c r="E1133" s="19" t="n"/>
      <c r="F1133" s="20" t="n"/>
      <c r="G1133" s="20" t="n"/>
      <c r="H1133" s="20" t="n"/>
      <c r="I1133" s="19" t="n"/>
      <c r="J1133">
        <f>IFERROR(IF(C1133="","",C1133)&amp;"","")</f>
        <v/>
      </c>
      <c r="K1133">
        <f>IFERROR(IF(D1133="","",D1133)&amp;"","")</f>
        <v/>
      </c>
      <c r="L1133">
        <f>IFERROR(IF(I1133="","",I1133)&amp;"","")</f>
        <v/>
      </c>
      <c r="M1133">
        <f>IF(J1133="","",IFERROR(VALUE(SUBSTITUTE(SUBSTITUTE(IF(E1133="","",E1133)&amp;"","$",""),",","")),0))</f>
        <v/>
      </c>
      <c r="N1133" s="11">
        <f>IF(J1133="","",IFERROR(VALUE(SUBSTITUTE(SUBSTITUTE(IF(F1133="","",F1133)&amp;"","$",""),",","")),0))</f>
        <v/>
      </c>
      <c r="O1133" s="11">
        <f>IF(J1133="","",M1133*N1133)</f>
        <v/>
      </c>
      <c r="P1133">
        <f>IF(J1133="","",IF(L1133="",1,COUNTIF($L$2:$L$1501,L1133)))</f>
        <v/>
      </c>
      <c r="Q1133" s="11">
        <f>IF(J1133="","",IFERROR(VALUE(SUBSTITUTE(SUBSTITUTE(IF(G1133="","",G1133)&amp;"","$",""),",","")),0)/IF("No"="Yes",P1133,1))</f>
        <v/>
      </c>
      <c r="R1133" s="11">
        <f>IF(J1133="","",IFERROR(VALUE(SUBSTITUTE(SUBSTITUTE(IF(H1133="","",H1133)&amp;"","$",""),",","")),0)/IF("No"="Yes",P1133,1))</f>
        <v/>
      </c>
      <c r="S1133" s="11">
        <f>IF(J1133="","",O1133+Q1133-R1133)</f>
        <v/>
      </c>
      <c r="T1133">
        <f>IF(J1133="","",IFERROR(IF(K1133="",NA(),MATCH(K1133,Products!$B$5:$B$204,0)),IFERROR(MATCH(J1133,Products!$A$5:$A$204,0),"")))</f>
        <v/>
      </c>
      <c r="U1133">
        <f>IF(J1133="","",IF(T1133="","⚠ not in Products",INDEX(Products!$A$5:$A$204,T1133)))</f>
        <v/>
      </c>
      <c r="V1133" s="11">
        <f>IF(J1133="","",S1133*(IFERROR(INDEX(Settings!$B$5:$B$9,MATCH($B1133,Settings!$A$5:$A$9,0)),0)+IFERROR(INDEX(Settings!$E$5:$E$9,MATCH($B1133,Settings!$A$5:$A$9,0)),0)+IFERROR(INDEX(Settings!$G$5:$G$9,MATCH($B1133,Settings!$A$5:$A$9,0)),0))+(IFERROR(INDEX(Settings!$C$5:$C$9,MATCH($B1133,Settings!$A$5:$A$9,0)),0)+IFERROR(INDEX(Settings!$F$5:$F$9,MATCH($B1133,Settings!$A$5:$A$9,0)),0))/P1133+IFERROR(INDEX(Settings!$D$5:$D$9,MATCH($B1133,Settings!$A$5:$A$9,0)),0)*M1133)</f>
        <v/>
      </c>
      <c r="W1133" s="11">
        <f>IF(J1133="","",IF(T1133="",0,M1133*INDEX(Products!$I$5:$I$204,T1133)))</f>
        <v/>
      </c>
      <c r="X1133" s="11">
        <f>IF(J1133="","",IF(T1133="",0,S1133*INDEX(Products!$H$5:$H$204,T1133)))</f>
        <v/>
      </c>
      <c r="Y1133" s="11">
        <f>IF(J1133="","",S1133-V1133-W1133-X1133)</f>
        <v/>
      </c>
    </row>
    <row r="1134">
      <c r="A1134" s="19" t="n"/>
      <c r="B1134" s="19" t="n"/>
      <c r="C1134" s="19" t="n"/>
      <c r="D1134" s="19" t="n"/>
      <c r="E1134" s="19" t="n"/>
      <c r="F1134" s="20" t="n"/>
      <c r="G1134" s="20" t="n"/>
      <c r="H1134" s="20" t="n"/>
      <c r="I1134" s="19" t="n"/>
      <c r="J1134">
        <f>IFERROR(IF(C1134="","",C1134)&amp;"","")</f>
        <v/>
      </c>
      <c r="K1134">
        <f>IFERROR(IF(D1134="","",D1134)&amp;"","")</f>
        <v/>
      </c>
      <c r="L1134">
        <f>IFERROR(IF(I1134="","",I1134)&amp;"","")</f>
        <v/>
      </c>
      <c r="M1134">
        <f>IF(J1134="","",IFERROR(VALUE(SUBSTITUTE(SUBSTITUTE(IF(E1134="","",E1134)&amp;"","$",""),",","")),0))</f>
        <v/>
      </c>
      <c r="N1134" s="11">
        <f>IF(J1134="","",IFERROR(VALUE(SUBSTITUTE(SUBSTITUTE(IF(F1134="","",F1134)&amp;"","$",""),",","")),0))</f>
        <v/>
      </c>
      <c r="O1134" s="11">
        <f>IF(J1134="","",M1134*N1134)</f>
        <v/>
      </c>
      <c r="P1134">
        <f>IF(J1134="","",IF(L1134="",1,COUNTIF($L$2:$L$1501,L1134)))</f>
        <v/>
      </c>
      <c r="Q1134" s="11">
        <f>IF(J1134="","",IFERROR(VALUE(SUBSTITUTE(SUBSTITUTE(IF(G1134="","",G1134)&amp;"","$",""),",","")),0)/IF("No"="Yes",P1134,1))</f>
        <v/>
      </c>
      <c r="R1134" s="11">
        <f>IF(J1134="","",IFERROR(VALUE(SUBSTITUTE(SUBSTITUTE(IF(H1134="","",H1134)&amp;"","$",""),",","")),0)/IF("No"="Yes",P1134,1))</f>
        <v/>
      </c>
      <c r="S1134" s="11">
        <f>IF(J1134="","",O1134+Q1134-R1134)</f>
        <v/>
      </c>
      <c r="T1134">
        <f>IF(J1134="","",IFERROR(IF(K1134="",NA(),MATCH(K1134,Products!$B$5:$B$204,0)),IFERROR(MATCH(J1134,Products!$A$5:$A$204,0),"")))</f>
        <v/>
      </c>
      <c r="U1134">
        <f>IF(J1134="","",IF(T1134="","⚠ not in Products",INDEX(Products!$A$5:$A$204,T1134)))</f>
        <v/>
      </c>
      <c r="V1134" s="11">
        <f>IF(J1134="","",S1134*(IFERROR(INDEX(Settings!$B$5:$B$9,MATCH($B1134,Settings!$A$5:$A$9,0)),0)+IFERROR(INDEX(Settings!$E$5:$E$9,MATCH($B1134,Settings!$A$5:$A$9,0)),0)+IFERROR(INDEX(Settings!$G$5:$G$9,MATCH($B1134,Settings!$A$5:$A$9,0)),0))+(IFERROR(INDEX(Settings!$C$5:$C$9,MATCH($B1134,Settings!$A$5:$A$9,0)),0)+IFERROR(INDEX(Settings!$F$5:$F$9,MATCH($B1134,Settings!$A$5:$A$9,0)),0))/P1134+IFERROR(INDEX(Settings!$D$5:$D$9,MATCH($B1134,Settings!$A$5:$A$9,0)),0)*M1134)</f>
        <v/>
      </c>
      <c r="W1134" s="11">
        <f>IF(J1134="","",IF(T1134="",0,M1134*INDEX(Products!$I$5:$I$204,T1134)))</f>
        <v/>
      </c>
      <c r="X1134" s="11">
        <f>IF(J1134="","",IF(T1134="",0,S1134*INDEX(Products!$H$5:$H$204,T1134)))</f>
        <v/>
      </c>
      <c r="Y1134" s="11">
        <f>IF(J1134="","",S1134-V1134-W1134-X1134)</f>
        <v/>
      </c>
    </row>
    <row r="1135">
      <c r="A1135" s="19" t="n"/>
      <c r="B1135" s="19" t="n"/>
      <c r="C1135" s="19" t="n"/>
      <c r="D1135" s="19" t="n"/>
      <c r="E1135" s="19" t="n"/>
      <c r="F1135" s="20" t="n"/>
      <c r="G1135" s="20" t="n"/>
      <c r="H1135" s="20" t="n"/>
      <c r="I1135" s="19" t="n"/>
      <c r="J1135">
        <f>IFERROR(IF(C1135="","",C1135)&amp;"","")</f>
        <v/>
      </c>
      <c r="K1135">
        <f>IFERROR(IF(D1135="","",D1135)&amp;"","")</f>
        <v/>
      </c>
      <c r="L1135">
        <f>IFERROR(IF(I1135="","",I1135)&amp;"","")</f>
        <v/>
      </c>
      <c r="M1135">
        <f>IF(J1135="","",IFERROR(VALUE(SUBSTITUTE(SUBSTITUTE(IF(E1135="","",E1135)&amp;"","$",""),",","")),0))</f>
        <v/>
      </c>
      <c r="N1135" s="11">
        <f>IF(J1135="","",IFERROR(VALUE(SUBSTITUTE(SUBSTITUTE(IF(F1135="","",F1135)&amp;"","$",""),",","")),0))</f>
        <v/>
      </c>
      <c r="O1135" s="11">
        <f>IF(J1135="","",M1135*N1135)</f>
        <v/>
      </c>
      <c r="P1135">
        <f>IF(J1135="","",IF(L1135="",1,COUNTIF($L$2:$L$1501,L1135)))</f>
        <v/>
      </c>
      <c r="Q1135" s="11">
        <f>IF(J1135="","",IFERROR(VALUE(SUBSTITUTE(SUBSTITUTE(IF(G1135="","",G1135)&amp;"","$",""),",","")),0)/IF("No"="Yes",P1135,1))</f>
        <v/>
      </c>
      <c r="R1135" s="11">
        <f>IF(J1135="","",IFERROR(VALUE(SUBSTITUTE(SUBSTITUTE(IF(H1135="","",H1135)&amp;"","$",""),",","")),0)/IF("No"="Yes",P1135,1))</f>
        <v/>
      </c>
      <c r="S1135" s="11">
        <f>IF(J1135="","",O1135+Q1135-R1135)</f>
        <v/>
      </c>
      <c r="T1135">
        <f>IF(J1135="","",IFERROR(IF(K1135="",NA(),MATCH(K1135,Products!$B$5:$B$204,0)),IFERROR(MATCH(J1135,Products!$A$5:$A$204,0),"")))</f>
        <v/>
      </c>
      <c r="U1135">
        <f>IF(J1135="","",IF(T1135="","⚠ not in Products",INDEX(Products!$A$5:$A$204,T1135)))</f>
        <v/>
      </c>
      <c r="V1135" s="11">
        <f>IF(J1135="","",S1135*(IFERROR(INDEX(Settings!$B$5:$B$9,MATCH($B1135,Settings!$A$5:$A$9,0)),0)+IFERROR(INDEX(Settings!$E$5:$E$9,MATCH($B1135,Settings!$A$5:$A$9,0)),0)+IFERROR(INDEX(Settings!$G$5:$G$9,MATCH($B1135,Settings!$A$5:$A$9,0)),0))+(IFERROR(INDEX(Settings!$C$5:$C$9,MATCH($B1135,Settings!$A$5:$A$9,0)),0)+IFERROR(INDEX(Settings!$F$5:$F$9,MATCH($B1135,Settings!$A$5:$A$9,0)),0))/P1135+IFERROR(INDEX(Settings!$D$5:$D$9,MATCH($B1135,Settings!$A$5:$A$9,0)),0)*M1135)</f>
        <v/>
      </c>
      <c r="W1135" s="11">
        <f>IF(J1135="","",IF(T1135="",0,M1135*INDEX(Products!$I$5:$I$204,T1135)))</f>
        <v/>
      </c>
      <c r="X1135" s="11">
        <f>IF(J1135="","",IF(T1135="",0,S1135*INDEX(Products!$H$5:$H$204,T1135)))</f>
        <v/>
      </c>
      <c r="Y1135" s="11">
        <f>IF(J1135="","",S1135-V1135-W1135-X1135)</f>
        <v/>
      </c>
    </row>
    <row r="1136">
      <c r="A1136" s="19" t="n"/>
      <c r="B1136" s="19" t="n"/>
      <c r="C1136" s="19" t="n"/>
      <c r="D1136" s="19" t="n"/>
      <c r="E1136" s="19" t="n"/>
      <c r="F1136" s="20" t="n"/>
      <c r="G1136" s="20" t="n"/>
      <c r="H1136" s="20" t="n"/>
      <c r="I1136" s="19" t="n"/>
      <c r="J1136">
        <f>IFERROR(IF(C1136="","",C1136)&amp;"","")</f>
        <v/>
      </c>
      <c r="K1136">
        <f>IFERROR(IF(D1136="","",D1136)&amp;"","")</f>
        <v/>
      </c>
      <c r="L1136">
        <f>IFERROR(IF(I1136="","",I1136)&amp;"","")</f>
        <v/>
      </c>
      <c r="M1136">
        <f>IF(J1136="","",IFERROR(VALUE(SUBSTITUTE(SUBSTITUTE(IF(E1136="","",E1136)&amp;"","$",""),",","")),0))</f>
        <v/>
      </c>
      <c r="N1136" s="11">
        <f>IF(J1136="","",IFERROR(VALUE(SUBSTITUTE(SUBSTITUTE(IF(F1136="","",F1136)&amp;"","$",""),",","")),0))</f>
        <v/>
      </c>
      <c r="O1136" s="11">
        <f>IF(J1136="","",M1136*N1136)</f>
        <v/>
      </c>
      <c r="P1136">
        <f>IF(J1136="","",IF(L1136="",1,COUNTIF($L$2:$L$1501,L1136)))</f>
        <v/>
      </c>
      <c r="Q1136" s="11">
        <f>IF(J1136="","",IFERROR(VALUE(SUBSTITUTE(SUBSTITUTE(IF(G1136="","",G1136)&amp;"","$",""),",","")),0)/IF("No"="Yes",P1136,1))</f>
        <v/>
      </c>
      <c r="R1136" s="11">
        <f>IF(J1136="","",IFERROR(VALUE(SUBSTITUTE(SUBSTITUTE(IF(H1136="","",H1136)&amp;"","$",""),",","")),0)/IF("No"="Yes",P1136,1))</f>
        <v/>
      </c>
      <c r="S1136" s="11">
        <f>IF(J1136="","",O1136+Q1136-R1136)</f>
        <v/>
      </c>
      <c r="T1136">
        <f>IF(J1136="","",IFERROR(IF(K1136="",NA(),MATCH(K1136,Products!$B$5:$B$204,0)),IFERROR(MATCH(J1136,Products!$A$5:$A$204,0),"")))</f>
        <v/>
      </c>
      <c r="U1136">
        <f>IF(J1136="","",IF(T1136="","⚠ not in Products",INDEX(Products!$A$5:$A$204,T1136)))</f>
        <v/>
      </c>
      <c r="V1136" s="11">
        <f>IF(J1136="","",S1136*(IFERROR(INDEX(Settings!$B$5:$B$9,MATCH($B1136,Settings!$A$5:$A$9,0)),0)+IFERROR(INDEX(Settings!$E$5:$E$9,MATCH($B1136,Settings!$A$5:$A$9,0)),0)+IFERROR(INDEX(Settings!$G$5:$G$9,MATCH($B1136,Settings!$A$5:$A$9,0)),0))+(IFERROR(INDEX(Settings!$C$5:$C$9,MATCH($B1136,Settings!$A$5:$A$9,0)),0)+IFERROR(INDEX(Settings!$F$5:$F$9,MATCH($B1136,Settings!$A$5:$A$9,0)),0))/P1136+IFERROR(INDEX(Settings!$D$5:$D$9,MATCH($B1136,Settings!$A$5:$A$9,0)),0)*M1136)</f>
        <v/>
      </c>
      <c r="W1136" s="11">
        <f>IF(J1136="","",IF(T1136="",0,M1136*INDEX(Products!$I$5:$I$204,T1136)))</f>
        <v/>
      </c>
      <c r="X1136" s="11">
        <f>IF(J1136="","",IF(T1136="",0,S1136*INDEX(Products!$H$5:$H$204,T1136)))</f>
        <v/>
      </c>
      <c r="Y1136" s="11">
        <f>IF(J1136="","",S1136-V1136-W1136-X1136)</f>
        <v/>
      </c>
    </row>
    <row r="1137">
      <c r="A1137" s="19" t="n"/>
      <c r="B1137" s="19" t="n"/>
      <c r="C1137" s="19" t="n"/>
      <c r="D1137" s="19" t="n"/>
      <c r="E1137" s="19" t="n"/>
      <c r="F1137" s="20" t="n"/>
      <c r="G1137" s="20" t="n"/>
      <c r="H1137" s="20" t="n"/>
      <c r="I1137" s="19" t="n"/>
      <c r="J1137">
        <f>IFERROR(IF(C1137="","",C1137)&amp;"","")</f>
        <v/>
      </c>
      <c r="K1137">
        <f>IFERROR(IF(D1137="","",D1137)&amp;"","")</f>
        <v/>
      </c>
      <c r="L1137">
        <f>IFERROR(IF(I1137="","",I1137)&amp;"","")</f>
        <v/>
      </c>
      <c r="M1137">
        <f>IF(J1137="","",IFERROR(VALUE(SUBSTITUTE(SUBSTITUTE(IF(E1137="","",E1137)&amp;"","$",""),",","")),0))</f>
        <v/>
      </c>
      <c r="N1137" s="11">
        <f>IF(J1137="","",IFERROR(VALUE(SUBSTITUTE(SUBSTITUTE(IF(F1137="","",F1137)&amp;"","$",""),",","")),0))</f>
        <v/>
      </c>
      <c r="O1137" s="11">
        <f>IF(J1137="","",M1137*N1137)</f>
        <v/>
      </c>
      <c r="P1137">
        <f>IF(J1137="","",IF(L1137="",1,COUNTIF($L$2:$L$1501,L1137)))</f>
        <v/>
      </c>
      <c r="Q1137" s="11">
        <f>IF(J1137="","",IFERROR(VALUE(SUBSTITUTE(SUBSTITUTE(IF(G1137="","",G1137)&amp;"","$",""),",","")),0)/IF("No"="Yes",P1137,1))</f>
        <v/>
      </c>
      <c r="R1137" s="11">
        <f>IF(J1137="","",IFERROR(VALUE(SUBSTITUTE(SUBSTITUTE(IF(H1137="","",H1137)&amp;"","$",""),",","")),0)/IF("No"="Yes",P1137,1))</f>
        <v/>
      </c>
      <c r="S1137" s="11">
        <f>IF(J1137="","",O1137+Q1137-R1137)</f>
        <v/>
      </c>
      <c r="T1137">
        <f>IF(J1137="","",IFERROR(IF(K1137="",NA(),MATCH(K1137,Products!$B$5:$B$204,0)),IFERROR(MATCH(J1137,Products!$A$5:$A$204,0),"")))</f>
        <v/>
      </c>
      <c r="U1137">
        <f>IF(J1137="","",IF(T1137="","⚠ not in Products",INDEX(Products!$A$5:$A$204,T1137)))</f>
        <v/>
      </c>
      <c r="V1137" s="11">
        <f>IF(J1137="","",S1137*(IFERROR(INDEX(Settings!$B$5:$B$9,MATCH($B1137,Settings!$A$5:$A$9,0)),0)+IFERROR(INDEX(Settings!$E$5:$E$9,MATCH($B1137,Settings!$A$5:$A$9,0)),0)+IFERROR(INDEX(Settings!$G$5:$G$9,MATCH($B1137,Settings!$A$5:$A$9,0)),0))+(IFERROR(INDEX(Settings!$C$5:$C$9,MATCH($B1137,Settings!$A$5:$A$9,0)),0)+IFERROR(INDEX(Settings!$F$5:$F$9,MATCH($B1137,Settings!$A$5:$A$9,0)),0))/P1137+IFERROR(INDEX(Settings!$D$5:$D$9,MATCH($B1137,Settings!$A$5:$A$9,0)),0)*M1137)</f>
        <v/>
      </c>
      <c r="W1137" s="11">
        <f>IF(J1137="","",IF(T1137="",0,M1137*INDEX(Products!$I$5:$I$204,T1137)))</f>
        <v/>
      </c>
      <c r="X1137" s="11">
        <f>IF(J1137="","",IF(T1137="",0,S1137*INDEX(Products!$H$5:$H$204,T1137)))</f>
        <v/>
      </c>
      <c r="Y1137" s="11">
        <f>IF(J1137="","",S1137-V1137-W1137-X1137)</f>
        <v/>
      </c>
    </row>
    <row r="1138">
      <c r="A1138" s="19" t="n"/>
      <c r="B1138" s="19" t="n"/>
      <c r="C1138" s="19" t="n"/>
      <c r="D1138" s="19" t="n"/>
      <c r="E1138" s="19" t="n"/>
      <c r="F1138" s="20" t="n"/>
      <c r="G1138" s="20" t="n"/>
      <c r="H1138" s="20" t="n"/>
      <c r="I1138" s="19" t="n"/>
      <c r="J1138">
        <f>IFERROR(IF(C1138="","",C1138)&amp;"","")</f>
        <v/>
      </c>
      <c r="K1138">
        <f>IFERROR(IF(D1138="","",D1138)&amp;"","")</f>
        <v/>
      </c>
      <c r="L1138">
        <f>IFERROR(IF(I1138="","",I1138)&amp;"","")</f>
        <v/>
      </c>
      <c r="M1138">
        <f>IF(J1138="","",IFERROR(VALUE(SUBSTITUTE(SUBSTITUTE(IF(E1138="","",E1138)&amp;"","$",""),",","")),0))</f>
        <v/>
      </c>
      <c r="N1138" s="11">
        <f>IF(J1138="","",IFERROR(VALUE(SUBSTITUTE(SUBSTITUTE(IF(F1138="","",F1138)&amp;"","$",""),",","")),0))</f>
        <v/>
      </c>
      <c r="O1138" s="11">
        <f>IF(J1138="","",M1138*N1138)</f>
        <v/>
      </c>
      <c r="P1138">
        <f>IF(J1138="","",IF(L1138="",1,COUNTIF($L$2:$L$1501,L1138)))</f>
        <v/>
      </c>
      <c r="Q1138" s="11">
        <f>IF(J1138="","",IFERROR(VALUE(SUBSTITUTE(SUBSTITUTE(IF(G1138="","",G1138)&amp;"","$",""),",","")),0)/IF("No"="Yes",P1138,1))</f>
        <v/>
      </c>
      <c r="R1138" s="11">
        <f>IF(J1138="","",IFERROR(VALUE(SUBSTITUTE(SUBSTITUTE(IF(H1138="","",H1138)&amp;"","$",""),",","")),0)/IF("No"="Yes",P1138,1))</f>
        <v/>
      </c>
      <c r="S1138" s="11">
        <f>IF(J1138="","",O1138+Q1138-R1138)</f>
        <v/>
      </c>
      <c r="T1138">
        <f>IF(J1138="","",IFERROR(IF(K1138="",NA(),MATCH(K1138,Products!$B$5:$B$204,0)),IFERROR(MATCH(J1138,Products!$A$5:$A$204,0),"")))</f>
        <v/>
      </c>
      <c r="U1138">
        <f>IF(J1138="","",IF(T1138="","⚠ not in Products",INDEX(Products!$A$5:$A$204,T1138)))</f>
        <v/>
      </c>
      <c r="V1138" s="11">
        <f>IF(J1138="","",S1138*(IFERROR(INDEX(Settings!$B$5:$B$9,MATCH($B1138,Settings!$A$5:$A$9,0)),0)+IFERROR(INDEX(Settings!$E$5:$E$9,MATCH($B1138,Settings!$A$5:$A$9,0)),0)+IFERROR(INDEX(Settings!$G$5:$G$9,MATCH($B1138,Settings!$A$5:$A$9,0)),0))+(IFERROR(INDEX(Settings!$C$5:$C$9,MATCH($B1138,Settings!$A$5:$A$9,0)),0)+IFERROR(INDEX(Settings!$F$5:$F$9,MATCH($B1138,Settings!$A$5:$A$9,0)),0))/P1138+IFERROR(INDEX(Settings!$D$5:$D$9,MATCH($B1138,Settings!$A$5:$A$9,0)),0)*M1138)</f>
        <v/>
      </c>
      <c r="W1138" s="11">
        <f>IF(J1138="","",IF(T1138="",0,M1138*INDEX(Products!$I$5:$I$204,T1138)))</f>
        <v/>
      </c>
      <c r="X1138" s="11">
        <f>IF(J1138="","",IF(T1138="",0,S1138*INDEX(Products!$H$5:$H$204,T1138)))</f>
        <v/>
      </c>
      <c r="Y1138" s="11">
        <f>IF(J1138="","",S1138-V1138-W1138-X1138)</f>
        <v/>
      </c>
    </row>
    <row r="1139">
      <c r="A1139" s="19" t="n"/>
      <c r="B1139" s="19" t="n"/>
      <c r="C1139" s="19" t="n"/>
      <c r="D1139" s="19" t="n"/>
      <c r="E1139" s="19" t="n"/>
      <c r="F1139" s="20" t="n"/>
      <c r="G1139" s="20" t="n"/>
      <c r="H1139" s="20" t="n"/>
      <c r="I1139" s="19" t="n"/>
      <c r="J1139">
        <f>IFERROR(IF(C1139="","",C1139)&amp;"","")</f>
        <v/>
      </c>
      <c r="K1139">
        <f>IFERROR(IF(D1139="","",D1139)&amp;"","")</f>
        <v/>
      </c>
      <c r="L1139">
        <f>IFERROR(IF(I1139="","",I1139)&amp;"","")</f>
        <v/>
      </c>
      <c r="M1139">
        <f>IF(J1139="","",IFERROR(VALUE(SUBSTITUTE(SUBSTITUTE(IF(E1139="","",E1139)&amp;"","$",""),",","")),0))</f>
        <v/>
      </c>
      <c r="N1139" s="11">
        <f>IF(J1139="","",IFERROR(VALUE(SUBSTITUTE(SUBSTITUTE(IF(F1139="","",F1139)&amp;"","$",""),",","")),0))</f>
        <v/>
      </c>
      <c r="O1139" s="11">
        <f>IF(J1139="","",M1139*N1139)</f>
        <v/>
      </c>
      <c r="P1139">
        <f>IF(J1139="","",IF(L1139="",1,COUNTIF($L$2:$L$1501,L1139)))</f>
        <v/>
      </c>
      <c r="Q1139" s="11">
        <f>IF(J1139="","",IFERROR(VALUE(SUBSTITUTE(SUBSTITUTE(IF(G1139="","",G1139)&amp;"","$",""),",","")),0)/IF("No"="Yes",P1139,1))</f>
        <v/>
      </c>
      <c r="R1139" s="11">
        <f>IF(J1139="","",IFERROR(VALUE(SUBSTITUTE(SUBSTITUTE(IF(H1139="","",H1139)&amp;"","$",""),",","")),0)/IF("No"="Yes",P1139,1))</f>
        <v/>
      </c>
      <c r="S1139" s="11">
        <f>IF(J1139="","",O1139+Q1139-R1139)</f>
        <v/>
      </c>
      <c r="T1139">
        <f>IF(J1139="","",IFERROR(IF(K1139="",NA(),MATCH(K1139,Products!$B$5:$B$204,0)),IFERROR(MATCH(J1139,Products!$A$5:$A$204,0),"")))</f>
        <v/>
      </c>
      <c r="U1139">
        <f>IF(J1139="","",IF(T1139="","⚠ not in Products",INDEX(Products!$A$5:$A$204,T1139)))</f>
        <v/>
      </c>
      <c r="V1139" s="11">
        <f>IF(J1139="","",S1139*(IFERROR(INDEX(Settings!$B$5:$B$9,MATCH($B1139,Settings!$A$5:$A$9,0)),0)+IFERROR(INDEX(Settings!$E$5:$E$9,MATCH($B1139,Settings!$A$5:$A$9,0)),0)+IFERROR(INDEX(Settings!$G$5:$G$9,MATCH($B1139,Settings!$A$5:$A$9,0)),0))+(IFERROR(INDEX(Settings!$C$5:$C$9,MATCH($B1139,Settings!$A$5:$A$9,0)),0)+IFERROR(INDEX(Settings!$F$5:$F$9,MATCH($B1139,Settings!$A$5:$A$9,0)),0))/P1139+IFERROR(INDEX(Settings!$D$5:$D$9,MATCH($B1139,Settings!$A$5:$A$9,0)),0)*M1139)</f>
        <v/>
      </c>
      <c r="W1139" s="11">
        <f>IF(J1139="","",IF(T1139="",0,M1139*INDEX(Products!$I$5:$I$204,T1139)))</f>
        <v/>
      </c>
      <c r="X1139" s="11">
        <f>IF(J1139="","",IF(T1139="",0,S1139*INDEX(Products!$H$5:$H$204,T1139)))</f>
        <v/>
      </c>
      <c r="Y1139" s="11">
        <f>IF(J1139="","",S1139-V1139-W1139-X1139)</f>
        <v/>
      </c>
    </row>
    <row r="1140">
      <c r="A1140" s="19" t="n"/>
      <c r="B1140" s="19" t="n"/>
      <c r="C1140" s="19" t="n"/>
      <c r="D1140" s="19" t="n"/>
      <c r="E1140" s="19" t="n"/>
      <c r="F1140" s="20" t="n"/>
      <c r="G1140" s="20" t="n"/>
      <c r="H1140" s="20" t="n"/>
      <c r="I1140" s="19" t="n"/>
      <c r="J1140">
        <f>IFERROR(IF(C1140="","",C1140)&amp;"","")</f>
        <v/>
      </c>
      <c r="K1140">
        <f>IFERROR(IF(D1140="","",D1140)&amp;"","")</f>
        <v/>
      </c>
      <c r="L1140">
        <f>IFERROR(IF(I1140="","",I1140)&amp;"","")</f>
        <v/>
      </c>
      <c r="M1140">
        <f>IF(J1140="","",IFERROR(VALUE(SUBSTITUTE(SUBSTITUTE(IF(E1140="","",E1140)&amp;"","$",""),",","")),0))</f>
        <v/>
      </c>
      <c r="N1140" s="11">
        <f>IF(J1140="","",IFERROR(VALUE(SUBSTITUTE(SUBSTITUTE(IF(F1140="","",F1140)&amp;"","$",""),",","")),0))</f>
        <v/>
      </c>
      <c r="O1140" s="11">
        <f>IF(J1140="","",M1140*N1140)</f>
        <v/>
      </c>
      <c r="P1140">
        <f>IF(J1140="","",IF(L1140="",1,COUNTIF($L$2:$L$1501,L1140)))</f>
        <v/>
      </c>
      <c r="Q1140" s="11">
        <f>IF(J1140="","",IFERROR(VALUE(SUBSTITUTE(SUBSTITUTE(IF(G1140="","",G1140)&amp;"","$",""),",","")),0)/IF("No"="Yes",P1140,1))</f>
        <v/>
      </c>
      <c r="R1140" s="11">
        <f>IF(J1140="","",IFERROR(VALUE(SUBSTITUTE(SUBSTITUTE(IF(H1140="","",H1140)&amp;"","$",""),",","")),0)/IF("No"="Yes",P1140,1))</f>
        <v/>
      </c>
      <c r="S1140" s="11">
        <f>IF(J1140="","",O1140+Q1140-R1140)</f>
        <v/>
      </c>
      <c r="T1140">
        <f>IF(J1140="","",IFERROR(IF(K1140="",NA(),MATCH(K1140,Products!$B$5:$B$204,0)),IFERROR(MATCH(J1140,Products!$A$5:$A$204,0),"")))</f>
        <v/>
      </c>
      <c r="U1140">
        <f>IF(J1140="","",IF(T1140="","⚠ not in Products",INDEX(Products!$A$5:$A$204,T1140)))</f>
        <v/>
      </c>
      <c r="V1140" s="11">
        <f>IF(J1140="","",S1140*(IFERROR(INDEX(Settings!$B$5:$B$9,MATCH($B1140,Settings!$A$5:$A$9,0)),0)+IFERROR(INDEX(Settings!$E$5:$E$9,MATCH($B1140,Settings!$A$5:$A$9,0)),0)+IFERROR(INDEX(Settings!$G$5:$G$9,MATCH($B1140,Settings!$A$5:$A$9,0)),0))+(IFERROR(INDEX(Settings!$C$5:$C$9,MATCH($B1140,Settings!$A$5:$A$9,0)),0)+IFERROR(INDEX(Settings!$F$5:$F$9,MATCH($B1140,Settings!$A$5:$A$9,0)),0))/P1140+IFERROR(INDEX(Settings!$D$5:$D$9,MATCH($B1140,Settings!$A$5:$A$9,0)),0)*M1140)</f>
        <v/>
      </c>
      <c r="W1140" s="11">
        <f>IF(J1140="","",IF(T1140="",0,M1140*INDEX(Products!$I$5:$I$204,T1140)))</f>
        <v/>
      </c>
      <c r="X1140" s="11">
        <f>IF(J1140="","",IF(T1140="",0,S1140*INDEX(Products!$H$5:$H$204,T1140)))</f>
        <v/>
      </c>
      <c r="Y1140" s="11">
        <f>IF(J1140="","",S1140-V1140-W1140-X1140)</f>
        <v/>
      </c>
    </row>
    <row r="1141">
      <c r="A1141" s="19" t="n"/>
      <c r="B1141" s="19" t="n"/>
      <c r="C1141" s="19" t="n"/>
      <c r="D1141" s="19" t="n"/>
      <c r="E1141" s="19" t="n"/>
      <c r="F1141" s="20" t="n"/>
      <c r="G1141" s="20" t="n"/>
      <c r="H1141" s="20" t="n"/>
      <c r="I1141" s="19" t="n"/>
      <c r="J1141">
        <f>IFERROR(IF(C1141="","",C1141)&amp;"","")</f>
        <v/>
      </c>
      <c r="K1141">
        <f>IFERROR(IF(D1141="","",D1141)&amp;"","")</f>
        <v/>
      </c>
      <c r="L1141">
        <f>IFERROR(IF(I1141="","",I1141)&amp;"","")</f>
        <v/>
      </c>
      <c r="M1141">
        <f>IF(J1141="","",IFERROR(VALUE(SUBSTITUTE(SUBSTITUTE(IF(E1141="","",E1141)&amp;"","$",""),",","")),0))</f>
        <v/>
      </c>
      <c r="N1141" s="11">
        <f>IF(J1141="","",IFERROR(VALUE(SUBSTITUTE(SUBSTITUTE(IF(F1141="","",F1141)&amp;"","$",""),",","")),0))</f>
        <v/>
      </c>
      <c r="O1141" s="11">
        <f>IF(J1141="","",M1141*N1141)</f>
        <v/>
      </c>
      <c r="P1141">
        <f>IF(J1141="","",IF(L1141="",1,COUNTIF($L$2:$L$1501,L1141)))</f>
        <v/>
      </c>
      <c r="Q1141" s="11">
        <f>IF(J1141="","",IFERROR(VALUE(SUBSTITUTE(SUBSTITUTE(IF(G1141="","",G1141)&amp;"","$",""),",","")),0)/IF("No"="Yes",P1141,1))</f>
        <v/>
      </c>
      <c r="R1141" s="11">
        <f>IF(J1141="","",IFERROR(VALUE(SUBSTITUTE(SUBSTITUTE(IF(H1141="","",H1141)&amp;"","$",""),",","")),0)/IF("No"="Yes",P1141,1))</f>
        <v/>
      </c>
      <c r="S1141" s="11">
        <f>IF(J1141="","",O1141+Q1141-R1141)</f>
        <v/>
      </c>
      <c r="T1141">
        <f>IF(J1141="","",IFERROR(IF(K1141="",NA(),MATCH(K1141,Products!$B$5:$B$204,0)),IFERROR(MATCH(J1141,Products!$A$5:$A$204,0),"")))</f>
        <v/>
      </c>
      <c r="U1141">
        <f>IF(J1141="","",IF(T1141="","⚠ not in Products",INDEX(Products!$A$5:$A$204,T1141)))</f>
        <v/>
      </c>
      <c r="V1141" s="11">
        <f>IF(J1141="","",S1141*(IFERROR(INDEX(Settings!$B$5:$B$9,MATCH($B1141,Settings!$A$5:$A$9,0)),0)+IFERROR(INDEX(Settings!$E$5:$E$9,MATCH($B1141,Settings!$A$5:$A$9,0)),0)+IFERROR(INDEX(Settings!$G$5:$G$9,MATCH($B1141,Settings!$A$5:$A$9,0)),0))+(IFERROR(INDEX(Settings!$C$5:$C$9,MATCH($B1141,Settings!$A$5:$A$9,0)),0)+IFERROR(INDEX(Settings!$F$5:$F$9,MATCH($B1141,Settings!$A$5:$A$9,0)),0))/P1141+IFERROR(INDEX(Settings!$D$5:$D$9,MATCH($B1141,Settings!$A$5:$A$9,0)),0)*M1141)</f>
        <v/>
      </c>
      <c r="W1141" s="11">
        <f>IF(J1141="","",IF(T1141="",0,M1141*INDEX(Products!$I$5:$I$204,T1141)))</f>
        <v/>
      </c>
      <c r="X1141" s="11">
        <f>IF(J1141="","",IF(T1141="",0,S1141*INDEX(Products!$H$5:$H$204,T1141)))</f>
        <v/>
      </c>
      <c r="Y1141" s="11">
        <f>IF(J1141="","",S1141-V1141-W1141-X1141)</f>
        <v/>
      </c>
    </row>
    <row r="1142">
      <c r="A1142" s="19" t="n"/>
      <c r="B1142" s="19" t="n"/>
      <c r="C1142" s="19" t="n"/>
      <c r="D1142" s="19" t="n"/>
      <c r="E1142" s="19" t="n"/>
      <c r="F1142" s="20" t="n"/>
      <c r="G1142" s="20" t="n"/>
      <c r="H1142" s="20" t="n"/>
      <c r="I1142" s="19" t="n"/>
      <c r="J1142">
        <f>IFERROR(IF(C1142="","",C1142)&amp;"","")</f>
        <v/>
      </c>
      <c r="K1142">
        <f>IFERROR(IF(D1142="","",D1142)&amp;"","")</f>
        <v/>
      </c>
      <c r="L1142">
        <f>IFERROR(IF(I1142="","",I1142)&amp;"","")</f>
        <v/>
      </c>
      <c r="M1142">
        <f>IF(J1142="","",IFERROR(VALUE(SUBSTITUTE(SUBSTITUTE(IF(E1142="","",E1142)&amp;"","$",""),",","")),0))</f>
        <v/>
      </c>
      <c r="N1142" s="11">
        <f>IF(J1142="","",IFERROR(VALUE(SUBSTITUTE(SUBSTITUTE(IF(F1142="","",F1142)&amp;"","$",""),",","")),0))</f>
        <v/>
      </c>
      <c r="O1142" s="11">
        <f>IF(J1142="","",M1142*N1142)</f>
        <v/>
      </c>
      <c r="P1142">
        <f>IF(J1142="","",IF(L1142="",1,COUNTIF($L$2:$L$1501,L1142)))</f>
        <v/>
      </c>
      <c r="Q1142" s="11">
        <f>IF(J1142="","",IFERROR(VALUE(SUBSTITUTE(SUBSTITUTE(IF(G1142="","",G1142)&amp;"","$",""),",","")),0)/IF("No"="Yes",P1142,1))</f>
        <v/>
      </c>
      <c r="R1142" s="11">
        <f>IF(J1142="","",IFERROR(VALUE(SUBSTITUTE(SUBSTITUTE(IF(H1142="","",H1142)&amp;"","$",""),",","")),0)/IF("No"="Yes",P1142,1))</f>
        <v/>
      </c>
      <c r="S1142" s="11">
        <f>IF(J1142="","",O1142+Q1142-R1142)</f>
        <v/>
      </c>
      <c r="T1142">
        <f>IF(J1142="","",IFERROR(IF(K1142="",NA(),MATCH(K1142,Products!$B$5:$B$204,0)),IFERROR(MATCH(J1142,Products!$A$5:$A$204,0),"")))</f>
        <v/>
      </c>
      <c r="U1142">
        <f>IF(J1142="","",IF(T1142="","⚠ not in Products",INDEX(Products!$A$5:$A$204,T1142)))</f>
        <v/>
      </c>
      <c r="V1142" s="11">
        <f>IF(J1142="","",S1142*(IFERROR(INDEX(Settings!$B$5:$B$9,MATCH($B1142,Settings!$A$5:$A$9,0)),0)+IFERROR(INDEX(Settings!$E$5:$E$9,MATCH($B1142,Settings!$A$5:$A$9,0)),0)+IFERROR(INDEX(Settings!$G$5:$G$9,MATCH($B1142,Settings!$A$5:$A$9,0)),0))+(IFERROR(INDEX(Settings!$C$5:$C$9,MATCH($B1142,Settings!$A$5:$A$9,0)),0)+IFERROR(INDEX(Settings!$F$5:$F$9,MATCH($B1142,Settings!$A$5:$A$9,0)),0))/P1142+IFERROR(INDEX(Settings!$D$5:$D$9,MATCH($B1142,Settings!$A$5:$A$9,0)),0)*M1142)</f>
        <v/>
      </c>
      <c r="W1142" s="11">
        <f>IF(J1142="","",IF(T1142="",0,M1142*INDEX(Products!$I$5:$I$204,T1142)))</f>
        <v/>
      </c>
      <c r="X1142" s="11">
        <f>IF(J1142="","",IF(T1142="",0,S1142*INDEX(Products!$H$5:$H$204,T1142)))</f>
        <v/>
      </c>
      <c r="Y1142" s="11">
        <f>IF(J1142="","",S1142-V1142-W1142-X1142)</f>
        <v/>
      </c>
    </row>
    <row r="1143">
      <c r="A1143" s="19" t="n"/>
      <c r="B1143" s="19" t="n"/>
      <c r="C1143" s="19" t="n"/>
      <c r="D1143" s="19" t="n"/>
      <c r="E1143" s="19" t="n"/>
      <c r="F1143" s="20" t="n"/>
      <c r="G1143" s="20" t="n"/>
      <c r="H1143" s="20" t="n"/>
      <c r="I1143" s="19" t="n"/>
      <c r="J1143">
        <f>IFERROR(IF(C1143="","",C1143)&amp;"","")</f>
        <v/>
      </c>
      <c r="K1143">
        <f>IFERROR(IF(D1143="","",D1143)&amp;"","")</f>
        <v/>
      </c>
      <c r="L1143">
        <f>IFERROR(IF(I1143="","",I1143)&amp;"","")</f>
        <v/>
      </c>
      <c r="M1143">
        <f>IF(J1143="","",IFERROR(VALUE(SUBSTITUTE(SUBSTITUTE(IF(E1143="","",E1143)&amp;"","$",""),",","")),0))</f>
        <v/>
      </c>
      <c r="N1143" s="11">
        <f>IF(J1143="","",IFERROR(VALUE(SUBSTITUTE(SUBSTITUTE(IF(F1143="","",F1143)&amp;"","$",""),",","")),0))</f>
        <v/>
      </c>
      <c r="O1143" s="11">
        <f>IF(J1143="","",M1143*N1143)</f>
        <v/>
      </c>
      <c r="P1143">
        <f>IF(J1143="","",IF(L1143="",1,COUNTIF($L$2:$L$1501,L1143)))</f>
        <v/>
      </c>
      <c r="Q1143" s="11">
        <f>IF(J1143="","",IFERROR(VALUE(SUBSTITUTE(SUBSTITUTE(IF(G1143="","",G1143)&amp;"","$",""),",","")),0)/IF("No"="Yes",P1143,1))</f>
        <v/>
      </c>
      <c r="R1143" s="11">
        <f>IF(J1143="","",IFERROR(VALUE(SUBSTITUTE(SUBSTITUTE(IF(H1143="","",H1143)&amp;"","$",""),",","")),0)/IF("No"="Yes",P1143,1))</f>
        <v/>
      </c>
      <c r="S1143" s="11">
        <f>IF(J1143="","",O1143+Q1143-R1143)</f>
        <v/>
      </c>
      <c r="T1143">
        <f>IF(J1143="","",IFERROR(IF(K1143="",NA(),MATCH(K1143,Products!$B$5:$B$204,0)),IFERROR(MATCH(J1143,Products!$A$5:$A$204,0),"")))</f>
        <v/>
      </c>
      <c r="U1143">
        <f>IF(J1143="","",IF(T1143="","⚠ not in Products",INDEX(Products!$A$5:$A$204,T1143)))</f>
        <v/>
      </c>
      <c r="V1143" s="11">
        <f>IF(J1143="","",S1143*(IFERROR(INDEX(Settings!$B$5:$B$9,MATCH($B1143,Settings!$A$5:$A$9,0)),0)+IFERROR(INDEX(Settings!$E$5:$E$9,MATCH($B1143,Settings!$A$5:$A$9,0)),0)+IFERROR(INDEX(Settings!$G$5:$G$9,MATCH($B1143,Settings!$A$5:$A$9,0)),0))+(IFERROR(INDEX(Settings!$C$5:$C$9,MATCH($B1143,Settings!$A$5:$A$9,0)),0)+IFERROR(INDEX(Settings!$F$5:$F$9,MATCH($B1143,Settings!$A$5:$A$9,0)),0))/P1143+IFERROR(INDEX(Settings!$D$5:$D$9,MATCH($B1143,Settings!$A$5:$A$9,0)),0)*M1143)</f>
        <v/>
      </c>
      <c r="W1143" s="11">
        <f>IF(J1143="","",IF(T1143="",0,M1143*INDEX(Products!$I$5:$I$204,T1143)))</f>
        <v/>
      </c>
      <c r="X1143" s="11">
        <f>IF(J1143="","",IF(T1143="",0,S1143*INDEX(Products!$H$5:$H$204,T1143)))</f>
        <v/>
      </c>
      <c r="Y1143" s="11">
        <f>IF(J1143="","",S1143-V1143-W1143-X1143)</f>
        <v/>
      </c>
    </row>
    <row r="1144">
      <c r="A1144" s="19" t="n"/>
      <c r="B1144" s="19" t="n"/>
      <c r="C1144" s="19" t="n"/>
      <c r="D1144" s="19" t="n"/>
      <c r="E1144" s="19" t="n"/>
      <c r="F1144" s="20" t="n"/>
      <c r="G1144" s="20" t="n"/>
      <c r="H1144" s="20" t="n"/>
      <c r="I1144" s="19" t="n"/>
      <c r="J1144">
        <f>IFERROR(IF(C1144="","",C1144)&amp;"","")</f>
        <v/>
      </c>
      <c r="K1144">
        <f>IFERROR(IF(D1144="","",D1144)&amp;"","")</f>
        <v/>
      </c>
      <c r="L1144">
        <f>IFERROR(IF(I1144="","",I1144)&amp;"","")</f>
        <v/>
      </c>
      <c r="M1144">
        <f>IF(J1144="","",IFERROR(VALUE(SUBSTITUTE(SUBSTITUTE(IF(E1144="","",E1144)&amp;"","$",""),",","")),0))</f>
        <v/>
      </c>
      <c r="N1144" s="11">
        <f>IF(J1144="","",IFERROR(VALUE(SUBSTITUTE(SUBSTITUTE(IF(F1144="","",F1144)&amp;"","$",""),",","")),0))</f>
        <v/>
      </c>
      <c r="O1144" s="11">
        <f>IF(J1144="","",M1144*N1144)</f>
        <v/>
      </c>
      <c r="P1144">
        <f>IF(J1144="","",IF(L1144="",1,COUNTIF($L$2:$L$1501,L1144)))</f>
        <v/>
      </c>
      <c r="Q1144" s="11">
        <f>IF(J1144="","",IFERROR(VALUE(SUBSTITUTE(SUBSTITUTE(IF(G1144="","",G1144)&amp;"","$",""),",","")),0)/IF("No"="Yes",P1144,1))</f>
        <v/>
      </c>
      <c r="R1144" s="11">
        <f>IF(J1144="","",IFERROR(VALUE(SUBSTITUTE(SUBSTITUTE(IF(H1144="","",H1144)&amp;"","$",""),",","")),0)/IF("No"="Yes",P1144,1))</f>
        <v/>
      </c>
      <c r="S1144" s="11">
        <f>IF(J1144="","",O1144+Q1144-R1144)</f>
        <v/>
      </c>
      <c r="T1144">
        <f>IF(J1144="","",IFERROR(IF(K1144="",NA(),MATCH(K1144,Products!$B$5:$B$204,0)),IFERROR(MATCH(J1144,Products!$A$5:$A$204,0),"")))</f>
        <v/>
      </c>
      <c r="U1144">
        <f>IF(J1144="","",IF(T1144="","⚠ not in Products",INDEX(Products!$A$5:$A$204,T1144)))</f>
        <v/>
      </c>
      <c r="V1144" s="11">
        <f>IF(J1144="","",S1144*(IFERROR(INDEX(Settings!$B$5:$B$9,MATCH($B1144,Settings!$A$5:$A$9,0)),0)+IFERROR(INDEX(Settings!$E$5:$E$9,MATCH($B1144,Settings!$A$5:$A$9,0)),0)+IFERROR(INDEX(Settings!$G$5:$G$9,MATCH($B1144,Settings!$A$5:$A$9,0)),0))+(IFERROR(INDEX(Settings!$C$5:$C$9,MATCH($B1144,Settings!$A$5:$A$9,0)),0)+IFERROR(INDEX(Settings!$F$5:$F$9,MATCH($B1144,Settings!$A$5:$A$9,0)),0))/P1144+IFERROR(INDEX(Settings!$D$5:$D$9,MATCH($B1144,Settings!$A$5:$A$9,0)),0)*M1144)</f>
        <v/>
      </c>
      <c r="W1144" s="11">
        <f>IF(J1144="","",IF(T1144="",0,M1144*INDEX(Products!$I$5:$I$204,T1144)))</f>
        <v/>
      </c>
      <c r="X1144" s="11">
        <f>IF(J1144="","",IF(T1144="",0,S1144*INDEX(Products!$H$5:$H$204,T1144)))</f>
        <v/>
      </c>
      <c r="Y1144" s="11">
        <f>IF(J1144="","",S1144-V1144-W1144-X1144)</f>
        <v/>
      </c>
    </row>
    <row r="1145">
      <c r="A1145" s="19" t="n"/>
      <c r="B1145" s="19" t="n"/>
      <c r="C1145" s="19" t="n"/>
      <c r="D1145" s="19" t="n"/>
      <c r="E1145" s="19" t="n"/>
      <c r="F1145" s="20" t="n"/>
      <c r="G1145" s="20" t="n"/>
      <c r="H1145" s="20" t="n"/>
      <c r="I1145" s="19" t="n"/>
      <c r="J1145">
        <f>IFERROR(IF(C1145="","",C1145)&amp;"","")</f>
        <v/>
      </c>
      <c r="K1145">
        <f>IFERROR(IF(D1145="","",D1145)&amp;"","")</f>
        <v/>
      </c>
      <c r="L1145">
        <f>IFERROR(IF(I1145="","",I1145)&amp;"","")</f>
        <v/>
      </c>
      <c r="M1145">
        <f>IF(J1145="","",IFERROR(VALUE(SUBSTITUTE(SUBSTITUTE(IF(E1145="","",E1145)&amp;"","$",""),",","")),0))</f>
        <v/>
      </c>
      <c r="N1145" s="11">
        <f>IF(J1145="","",IFERROR(VALUE(SUBSTITUTE(SUBSTITUTE(IF(F1145="","",F1145)&amp;"","$",""),",","")),0))</f>
        <v/>
      </c>
      <c r="O1145" s="11">
        <f>IF(J1145="","",M1145*N1145)</f>
        <v/>
      </c>
      <c r="P1145">
        <f>IF(J1145="","",IF(L1145="",1,COUNTIF($L$2:$L$1501,L1145)))</f>
        <v/>
      </c>
      <c r="Q1145" s="11">
        <f>IF(J1145="","",IFERROR(VALUE(SUBSTITUTE(SUBSTITUTE(IF(G1145="","",G1145)&amp;"","$",""),",","")),0)/IF("No"="Yes",P1145,1))</f>
        <v/>
      </c>
      <c r="R1145" s="11">
        <f>IF(J1145="","",IFERROR(VALUE(SUBSTITUTE(SUBSTITUTE(IF(H1145="","",H1145)&amp;"","$",""),",","")),0)/IF("No"="Yes",P1145,1))</f>
        <v/>
      </c>
      <c r="S1145" s="11">
        <f>IF(J1145="","",O1145+Q1145-R1145)</f>
        <v/>
      </c>
      <c r="T1145">
        <f>IF(J1145="","",IFERROR(IF(K1145="",NA(),MATCH(K1145,Products!$B$5:$B$204,0)),IFERROR(MATCH(J1145,Products!$A$5:$A$204,0),"")))</f>
        <v/>
      </c>
      <c r="U1145">
        <f>IF(J1145="","",IF(T1145="","⚠ not in Products",INDEX(Products!$A$5:$A$204,T1145)))</f>
        <v/>
      </c>
      <c r="V1145" s="11">
        <f>IF(J1145="","",S1145*(IFERROR(INDEX(Settings!$B$5:$B$9,MATCH($B1145,Settings!$A$5:$A$9,0)),0)+IFERROR(INDEX(Settings!$E$5:$E$9,MATCH($B1145,Settings!$A$5:$A$9,0)),0)+IFERROR(INDEX(Settings!$G$5:$G$9,MATCH($B1145,Settings!$A$5:$A$9,0)),0))+(IFERROR(INDEX(Settings!$C$5:$C$9,MATCH($B1145,Settings!$A$5:$A$9,0)),0)+IFERROR(INDEX(Settings!$F$5:$F$9,MATCH($B1145,Settings!$A$5:$A$9,0)),0))/P1145+IFERROR(INDEX(Settings!$D$5:$D$9,MATCH($B1145,Settings!$A$5:$A$9,0)),0)*M1145)</f>
        <v/>
      </c>
      <c r="W1145" s="11">
        <f>IF(J1145="","",IF(T1145="",0,M1145*INDEX(Products!$I$5:$I$204,T1145)))</f>
        <v/>
      </c>
      <c r="X1145" s="11">
        <f>IF(J1145="","",IF(T1145="",0,S1145*INDEX(Products!$H$5:$H$204,T1145)))</f>
        <v/>
      </c>
      <c r="Y1145" s="11">
        <f>IF(J1145="","",S1145-V1145-W1145-X1145)</f>
        <v/>
      </c>
    </row>
    <row r="1146">
      <c r="A1146" s="19" t="n"/>
      <c r="B1146" s="19" t="n"/>
      <c r="C1146" s="19" t="n"/>
      <c r="D1146" s="19" t="n"/>
      <c r="E1146" s="19" t="n"/>
      <c r="F1146" s="20" t="n"/>
      <c r="G1146" s="20" t="n"/>
      <c r="H1146" s="20" t="n"/>
      <c r="I1146" s="19" t="n"/>
      <c r="J1146">
        <f>IFERROR(IF(C1146="","",C1146)&amp;"","")</f>
        <v/>
      </c>
      <c r="K1146">
        <f>IFERROR(IF(D1146="","",D1146)&amp;"","")</f>
        <v/>
      </c>
      <c r="L1146">
        <f>IFERROR(IF(I1146="","",I1146)&amp;"","")</f>
        <v/>
      </c>
      <c r="M1146">
        <f>IF(J1146="","",IFERROR(VALUE(SUBSTITUTE(SUBSTITUTE(IF(E1146="","",E1146)&amp;"","$",""),",","")),0))</f>
        <v/>
      </c>
      <c r="N1146" s="11">
        <f>IF(J1146="","",IFERROR(VALUE(SUBSTITUTE(SUBSTITUTE(IF(F1146="","",F1146)&amp;"","$",""),",","")),0))</f>
        <v/>
      </c>
      <c r="O1146" s="11">
        <f>IF(J1146="","",M1146*N1146)</f>
        <v/>
      </c>
      <c r="P1146">
        <f>IF(J1146="","",IF(L1146="",1,COUNTIF($L$2:$L$1501,L1146)))</f>
        <v/>
      </c>
      <c r="Q1146" s="11">
        <f>IF(J1146="","",IFERROR(VALUE(SUBSTITUTE(SUBSTITUTE(IF(G1146="","",G1146)&amp;"","$",""),",","")),0)/IF("No"="Yes",P1146,1))</f>
        <v/>
      </c>
      <c r="R1146" s="11">
        <f>IF(J1146="","",IFERROR(VALUE(SUBSTITUTE(SUBSTITUTE(IF(H1146="","",H1146)&amp;"","$",""),",","")),0)/IF("No"="Yes",P1146,1))</f>
        <v/>
      </c>
      <c r="S1146" s="11">
        <f>IF(J1146="","",O1146+Q1146-R1146)</f>
        <v/>
      </c>
      <c r="T1146">
        <f>IF(J1146="","",IFERROR(IF(K1146="",NA(),MATCH(K1146,Products!$B$5:$B$204,0)),IFERROR(MATCH(J1146,Products!$A$5:$A$204,0),"")))</f>
        <v/>
      </c>
      <c r="U1146">
        <f>IF(J1146="","",IF(T1146="","⚠ not in Products",INDEX(Products!$A$5:$A$204,T1146)))</f>
        <v/>
      </c>
      <c r="V1146" s="11">
        <f>IF(J1146="","",S1146*(IFERROR(INDEX(Settings!$B$5:$B$9,MATCH($B1146,Settings!$A$5:$A$9,0)),0)+IFERROR(INDEX(Settings!$E$5:$E$9,MATCH($B1146,Settings!$A$5:$A$9,0)),0)+IFERROR(INDEX(Settings!$G$5:$G$9,MATCH($B1146,Settings!$A$5:$A$9,0)),0))+(IFERROR(INDEX(Settings!$C$5:$C$9,MATCH($B1146,Settings!$A$5:$A$9,0)),0)+IFERROR(INDEX(Settings!$F$5:$F$9,MATCH($B1146,Settings!$A$5:$A$9,0)),0))/P1146+IFERROR(INDEX(Settings!$D$5:$D$9,MATCH($B1146,Settings!$A$5:$A$9,0)),0)*M1146)</f>
        <v/>
      </c>
      <c r="W1146" s="11">
        <f>IF(J1146="","",IF(T1146="",0,M1146*INDEX(Products!$I$5:$I$204,T1146)))</f>
        <v/>
      </c>
      <c r="X1146" s="11">
        <f>IF(J1146="","",IF(T1146="",0,S1146*INDEX(Products!$H$5:$H$204,T1146)))</f>
        <v/>
      </c>
      <c r="Y1146" s="11">
        <f>IF(J1146="","",S1146-V1146-W1146-X1146)</f>
        <v/>
      </c>
    </row>
    <row r="1147">
      <c r="A1147" s="19" t="n"/>
      <c r="B1147" s="19" t="n"/>
      <c r="C1147" s="19" t="n"/>
      <c r="D1147" s="19" t="n"/>
      <c r="E1147" s="19" t="n"/>
      <c r="F1147" s="20" t="n"/>
      <c r="G1147" s="20" t="n"/>
      <c r="H1147" s="20" t="n"/>
      <c r="I1147" s="19" t="n"/>
      <c r="J1147">
        <f>IFERROR(IF(C1147="","",C1147)&amp;"","")</f>
        <v/>
      </c>
      <c r="K1147">
        <f>IFERROR(IF(D1147="","",D1147)&amp;"","")</f>
        <v/>
      </c>
      <c r="L1147">
        <f>IFERROR(IF(I1147="","",I1147)&amp;"","")</f>
        <v/>
      </c>
      <c r="M1147">
        <f>IF(J1147="","",IFERROR(VALUE(SUBSTITUTE(SUBSTITUTE(IF(E1147="","",E1147)&amp;"","$",""),",","")),0))</f>
        <v/>
      </c>
      <c r="N1147" s="11">
        <f>IF(J1147="","",IFERROR(VALUE(SUBSTITUTE(SUBSTITUTE(IF(F1147="","",F1147)&amp;"","$",""),",","")),0))</f>
        <v/>
      </c>
      <c r="O1147" s="11">
        <f>IF(J1147="","",M1147*N1147)</f>
        <v/>
      </c>
      <c r="P1147">
        <f>IF(J1147="","",IF(L1147="",1,COUNTIF($L$2:$L$1501,L1147)))</f>
        <v/>
      </c>
      <c r="Q1147" s="11">
        <f>IF(J1147="","",IFERROR(VALUE(SUBSTITUTE(SUBSTITUTE(IF(G1147="","",G1147)&amp;"","$",""),",","")),0)/IF("No"="Yes",P1147,1))</f>
        <v/>
      </c>
      <c r="R1147" s="11">
        <f>IF(J1147="","",IFERROR(VALUE(SUBSTITUTE(SUBSTITUTE(IF(H1147="","",H1147)&amp;"","$",""),",","")),0)/IF("No"="Yes",P1147,1))</f>
        <v/>
      </c>
      <c r="S1147" s="11">
        <f>IF(J1147="","",O1147+Q1147-R1147)</f>
        <v/>
      </c>
      <c r="T1147">
        <f>IF(J1147="","",IFERROR(IF(K1147="",NA(),MATCH(K1147,Products!$B$5:$B$204,0)),IFERROR(MATCH(J1147,Products!$A$5:$A$204,0),"")))</f>
        <v/>
      </c>
      <c r="U1147">
        <f>IF(J1147="","",IF(T1147="","⚠ not in Products",INDEX(Products!$A$5:$A$204,T1147)))</f>
        <v/>
      </c>
      <c r="V1147" s="11">
        <f>IF(J1147="","",S1147*(IFERROR(INDEX(Settings!$B$5:$B$9,MATCH($B1147,Settings!$A$5:$A$9,0)),0)+IFERROR(INDEX(Settings!$E$5:$E$9,MATCH($B1147,Settings!$A$5:$A$9,0)),0)+IFERROR(INDEX(Settings!$G$5:$G$9,MATCH($B1147,Settings!$A$5:$A$9,0)),0))+(IFERROR(INDEX(Settings!$C$5:$C$9,MATCH($B1147,Settings!$A$5:$A$9,0)),0)+IFERROR(INDEX(Settings!$F$5:$F$9,MATCH($B1147,Settings!$A$5:$A$9,0)),0))/P1147+IFERROR(INDEX(Settings!$D$5:$D$9,MATCH($B1147,Settings!$A$5:$A$9,0)),0)*M1147)</f>
        <v/>
      </c>
      <c r="W1147" s="11">
        <f>IF(J1147="","",IF(T1147="",0,M1147*INDEX(Products!$I$5:$I$204,T1147)))</f>
        <v/>
      </c>
      <c r="X1147" s="11">
        <f>IF(J1147="","",IF(T1147="",0,S1147*INDEX(Products!$H$5:$H$204,T1147)))</f>
        <v/>
      </c>
      <c r="Y1147" s="11">
        <f>IF(J1147="","",S1147-V1147-W1147-X1147)</f>
        <v/>
      </c>
    </row>
    <row r="1148">
      <c r="A1148" s="19" t="n"/>
      <c r="B1148" s="19" t="n"/>
      <c r="C1148" s="19" t="n"/>
      <c r="D1148" s="19" t="n"/>
      <c r="E1148" s="19" t="n"/>
      <c r="F1148" s="20" t="n"/>
      <c r="G1148" s="20" t="n"/>
      <c r="H1148" s="20" t="n"/>
      <c r="I1148" s="19" t="n"/>
      <c r="J1148">
        <f>IFERROR(IF(C1148="","",C1148)&amp;"","")</f>
        <v/>
      </c>
      <c r="K1148">
        <f>IFERROR(IF(D1148="","",D1148)&amp;"","")</f>
        <v/>
      </c>
      <c r="L1148">
        <f>IFERROR(IF(I1148="","",I1148)&amp;"","")</f>
        <v/>
      </c>
      <c r="M1148">
        <f>IF(J1148="","",IFERROR(VALUE(SUBSTITUTE(SUBSTITUTE(IF(E1148="","",E1148)&amp;"","$",""),",","")),0))</f>
        <v/>
      </c>
      <c r="N1148" s="11">
        <f>IF(J1148="","",IFERROR(VALUE(SUBSTITUTE(SUBSTITUTE(IF(F1148="","",F1148)&amp;"","$",""),",","")),0))</f>
        <v/>
      </c>
      <c r="O1148" s="11">
        <f>IF(J1148="","",M1148*N1148)</f>
        <v/>
      </c>
      <c r="P1148">
        <f>IF(J1148="","",IF(L1148="",1,COUNTIF($L$2:$L$1501,L1148)))</f>
        <v/>
      </c>
      <c r="Q1148" s="11">
        <f>IF(J1148="","",IFERROR(VALUE(SUBSTITUTE(SUBSTITUTE(IF(G1148="","",G1148)&amp;"","$",""),",","")),0)/IF("No"="Yes",P1148,1))</f>
        <v/>
      </c>
      <c r="R1148" s="11">
        <f>IF(J1148="","",IFERROR(VALUE(SUBSTITUTE(SUBSTITUTE(IF(H1148="","",H1148)&amp;"","$",""),",","")),0)/IF("No"="Yes",P1148,1))</f>
        <v/>
      </c>
      <c r="S1148" s="11">
        <f>IF(J1148="","",O1148+Q1148-R1148)</f>
        <v/>
      </c>
      <c r="T1148">
        <f>IF(J1148="","",IFERROR(IF(K1148="",NA(),MATCH(K1148,Products!$B$5:$B$204,0)),IFERROR(MATCH(J1148,Products!$A$5:$A$204,0),"")))</f>
        <v/>
      </c>
      <c r="U1148">
        <f>IF(J1148="","",IF(T1148="","⚠ not in Products",INDEX(Products!$A$5:$A$204,T1148)))</f>
        <v/>
      </c>
      <c r="V1148" s="11">
        <f>IF(J1148="","",S1148*(IFERROR(INDEX(Settings!$B$5:$B$9,MATCH($B1148,Settings!$A$5:$A$9,0)),0)+IFERROR(INDEX(Settings!$E$5:$E$9,MATCH($B1148,Settings!$A$5:$A$9,0)),0)+IFERROR(INDEX(Settings!$G$5:$G$9,MATCH($B1148,Settings!$A$5:$A$9,0)),0))+(IFERROR(INDEX(Settings!$C$5:$C$9,MATCH($B1148,Settings!$A$5:$A$9,0)),0)+IFERROR(INDEX(Settings!$F$5:$F$9,MATCH($B1148,Settings!$A$5:$A$9,0)),0))/P1148+IFERROR(INDEX(Settings!$D$5:$D$9,MATCH($B1148,Settings!$A$5:$A$9,0)),0)*M1148)</f>
        <v/>
      </c>
      <c r="W1148" s="11">
        <f>IF(J1148="","",IF(T1148="",0,M1148*INDEX(Products!$I$5:$I$204,T1148)))</f>
        <v/>
      </c>
      <c r="X1148" s="11">
        <f>IF(J1148="","",IF(T1148="",0,S1148*INDEX(Products!$H$5:$H$204,T1148)))</f>
        <v/>
      </c>
      <c r="Y1148" s="11">
        <f>IF(J1148="","",S1148-V1148-W1148-X1148)</f>
        <v/>
      </c>
    </row>
    <row r="1149">
      <c r="A1149" s="19" t="n"/>
      <c r="B1149" s="19" t="n"/>
      <c r="C1149" s="19" t="n"/>
      <c r="D1149" s="19" t="n"/>
      <c r="E1149" s="19" t="n"/>
      <c r="F1149" s="20" t="n"/>
      <c r="G1149" s="20" t="n"/>
      <c r="H1149" s="20" t="n"/>
      <c r="I1149" s="19" t="n"/>
      <c r="J1149">
        <f>IFERROR(IF(C1149="","",C1149)&amp;"","")</f>
        <v/>
      </c>
      <c r="K1149">
        <f>IFERROR(IF(D1149="","",D1149)&amp;"","")</f>
        <v/>
      </c>
      <c r="L1149">
        <f>IFERROR(IF(I1149="","",I1149)&amp;"","")</f>
        <v/>
      </c>
      <c r="M1149">
        <f>IF(J1149="","",IFERROR(VALUE(SUBSTITUTE(SUBSTITUTE(IF(E1149="","",E1149)&amp;"","$",""),",","")),0))</f>
        <v/>
      </c>
      <c r="N1149" s="11">
        <f>IF(J1149="","",IFERROR(VALUE(SUBSTITUTE(SUBSTITUTE(IF(F1149="","",F1149)&amp;"","$",""),",","")),0))</f>
        <v/>
      </c>
      <c r="O1149" s="11">
        <f>IF(J1149="","",M1149*N1149)</f>
        <v/>
      </c>
      <c r="P1149">
        <f>IF(J1149="","",IF(L1149="",1,COUNTIF($L$2:$L$1501,L1149)))</f>
        <v/>
      </c>
      <c r="Q1149" s="11">
        <f>IF(J1149="","",IFERROR(VALUE(SUBSTITUTE(SUBSTITUTE(IF(G1149="","",G1149)&amp;"","$",""),",","")),0)/IF("No"="Yes",P1149,1))</f>
        <v/>
      </c>
      <c r="R1149" s="11">
        <f>IF(J1149="","",IFERROR(VALUE(SUBSTITUTE(SUBSTITUTE(IF(H1149="","",H1149)&amp;"","$",""),",","")),0)/IF("No"="Yes",P1149,1))</f>
        <v/>
      </c>
      <c r="S1149" s="11">
        <f>IF(J1149="","",O1149+Q1149-R1149)</f>
        <v/>
      </c>
      <c r="T1149">
        <f>IF(J1149="","",IFERROR(IF(K1149="",NA(),MATCH(K1149,Products!$B$5:$B$204,0)),IFERROR(MATCH(J1149,Products!$A$5:$A$204,0),"")))</f>
        <v/>
      </c>
      <c r="U1149">
        <f>IF(J1149="","",IF(T1149="","⚠ not in Products",INDEX(Products!$A$5:$A$204,T1149)))</f>
        <v/>
      </c>
      <c r="V1149" s="11">
        <f>IF(J1149="","",S1149*(IFERROR(INDEX(Settings!$B$5:$B$9,MATCH($B1149,Settings!$A$5:$A$9,0)),0)+IFERROR(INDEX(Settings!$E$5:$E$9,MATCH($B1149,Settings!$A$5:$A$9,0)),0)+IFERROR(INDEX(Settings!$G$5:$G$9,MATCH($B1149,Settings!$A$5:$A$9,0)),0))+(IFERROR(INDEX(Settings!$C$5:$C$9,MATCH($B1149,Settings!$A$5:$A$9,0)),0)+IFERROR(INDEX(Settings!$F$5:$F$9,MATCH($B1149,Settings!$A$5:$A$9,0)),0))/P1149+IFERROR(INDEX(Settings!$D$5:$D$9,MATCH($B1149,Settings!$A$5:$A$9,0)),0)*M1149)</f>
        <v/>
      </c>
      <c r="W1149" s="11">
        <f>IF(J1149="","",IF(T1149="",0,M1149*INDEX(Products!$I$5:$I$204,T1149)))</f>
        <v/>
      </c>
      <c r="X1149" s="11">
        <f>IF(J1149="","",IF(T1149="",0,S1149*INDEX(Products!$H$5:$H$204,T1149)))</f>
        <v/>
      </c>
      <c r="Y1149" s="11">
        <f>IF(J1149="","",S1149-V1149-W1149-X1149)</f>
        <v/>
      </c>
    </row>
    <row r="1150">
      <c r="A1150" s="19" t="n"/>
      <c r="B1150" s="19" t="n"/>
      <c r="C1150" s="19" t="n"/>
      <c r="D1150" s="19" t="n"/>
      <c r="E1150" s="19" t="n"/>
      <c r="F1150" s="20" t="n"/>
      <c r="G1150" s="20" t="n"/>
      <c r="H1150" s="20" t="n"/>
      <c r="I1150" s="19" t="n"/>
      <c r="J1150">
        <f>IFERROR(IF(C1150="","",C1150)&amp;"","")</f>
        <v/>
      </c>
      <c r="K1150">
        <f>IFERROR(IF(D1150="","",D1150)&amp;"","")</f>
        <v/>
      </c>
      <c r="L1150">
        <f>IFERROR(IF(I1150="","",I1150)&amp;"","")</f>
        <v/>
      </c>
      <c r="M1150">
        <f>IF(J1150="","",IFERROR(VALUE(SUBSTITUTE(SUBSTITUTE(IF(E1150="","",E1150)&amp;"","$",""),",","")),0))</f>
        <v/>
      </c>
      <c r="N1150" s="11">
        <f>IF(J1150="","",IFERROR(VALUE(SUBSTITUTE(SUBSTITUTE(IF(F1150="","",F1150)&amp;"","$",""),",","")),0))</f>
        <v/>
      </c>
      <c r="O1150" s="11">
        <f>IF(J1150="","",M1150*N1150)</f>
        <v/>
      </c>
      <c r="P1150">
        <f>IF(J1150="","",IF(L1150="",1,COUNTIF($L$2:$L$1501,L1150)))</f>
        <v/>
      </c>
      <c r="Q1150" s="11">
        <f>IF(J1150="","",IFERROR(VALUE(SUBSTITUTE(SUBSTITUTE(IF(G1150="","",G1150)&amp;"","$",""),",","")),0)/IF("No"="Yes",P1150,1))</f>
        <v/>
      </c>
      <c r="R1150" s="11">
        <f>IF(J1150="","",IFERROR(VALUE(SUBSTITUTE(SUBSTITUTE(IF(H1150="","",H1150)&amp;"","$",""),",","")),0)/IF("No"="Yes",P1150,1))</f>
        <v/>
      </c>
      <c r="S1150" s="11">
        <f>IF(J1150="","",O1150+Q1150-R1150)</f>
        <v/>
      </c>
      <c r="T1150">
        <f>IF(J1150="","",IFERROR(IF(K1150="",NA(),MATCH(K1150,Products!$B$5:$B$204,0)),IFERROR(MATCH(J1150,Products!$A$5:$A$204,0),"")))</f>
        <v/>
      </c>
      <c r="U1150">
        <f>IF(J1150="","",IF(T1150="","⚠ not in Products",INDEX(Products!$A$5:$A$204,T1150)))</f>
        <v/>
      </c>
      <c r="V1150" s="11">
        <f>IF(J1150="","",S1150*(IFERROR(INDEX(Settings!$B$5:$B$9,MATCH($B1150,Settings!$A$5:$A$9,0)),0)+IFERROR(INDEX(Settings!$E$5:$E$9,MATCH($B1150,Settings!$A$5:$A$9,0)),0)+IFERROR(INDEX(Settings!$G$5:$G$9,MATCH($B1150,Settings!$A$5:$A$9,0)),0))+(IFERROR(INDEX(Settings!$C$5:$C$9,MATCH($B1150,Settings!$A$5:$A$9,0)),0)+IFERROR(INDEX(Settings!$F$5:$F$9,MATCH($B1150,Settings!$A$5:$A$9,0)),0))/P1150+IFERROR(INDEX(Settings!$D$5:$D$9,MATCH($B1150,Settings!$A$5:$A$9,0)),0)*M1150)</f>
        <v/>
      </c>
      <c r="W1150" s="11">
        <f>IF(J1150="","",IF(T1150="",0,M1150*INDEX(Products!$I$5:$I$204,T1150)))</f>
        <v/>
      </c>
      <c r="X1150" s="11">
        <f>IF(J1150="","",IF(T1150="",0,S1150*INDEX(Products!$H$5:$H$204,T1150)))</f>
        <v/>
      </c>
      <c r="Y1150" s="11">
        <f>IF(J1150="","",S1150-V1150-W1150-X1150)</f>
        <v/>
      </c>
    </row>
    <row r="1151">
      <c r="A1151" s="19" t="n"/>
      <c r="B1151" s="19" t="n"/>
      <c r="C1151" s="19" t="n"/>
      <c r="D1151" s="19" t="n"/>
      <c r="E1151" s="19" t="n"/>
      <c r="F1151" s="20" t="n"/>
      <c r="G1151" s="20" t="n"/>
      <c r="H1151" s="20" t="n"/>
      <c r="I1151" s="19" t="n"/>
      <c r="J1151">
        <f>IFERROR(IF(C1151="","",C1151)&amp;"","")</f>
        <v/>
      </c>
      <c r="K1151">
        <f>IFERROR(IF(D1151="","",D1151)&amp;"","")</f>
        <v/>
      </c>
      <c r="L1151">
        <f>IFERROR(IF(I1151="","",I1151)&amp;"","")</f>
        <v/>
      </c>
      <c r="M1151">
        <f>IF(J1151="","",IFERROR(VALUE(SUBSTITUTE(SUBSTITUTE(IF(E1151="","",E1151)&amp;"","$",""),",","")),0))</f>
        <v/>
      </c>
      <c r="N1151" s="11">
        <f>IF(J1151="","",IFERROR(VALUE(SUBSTITUTE(SUBSTITUTE(IF(F1151="","",F1151)&amp;"","$",""),",","")),0))</f>
        <v/>
      </c>
      <c r="O1151" s="11">
        <f>IF(J1151="","",M1151*N1151)</f>
        <v/>
      </c>
      <c r="P1151">
        <f>IF(J1151="","",IF(L1151="",1,COUNTIF($L$2:$L$1501,L1151)))</f>
        <v/>
      </c>
      <c r="Q1151" s="11">
        <f>IF(J1151="","",IFERROR(VALUE(SUBSTITUTE(SUBSTITUTE(IF(G1151="","",G1151)&amp;"","$",""),",","")),0)/IF("No"="Yes",P1151,1))</f>
        <v/>
      </c>
      <c r="R1151" s="11">
        <f>IF(J1151="","",IFERROR(VALUE(SUBSTITUTE(SUBSTITUTE(IF(H1151="","",H1151)&amp;"","$",""),",","")),0)/IF("No"="Yes",P1151,1))</f>
        <v/>
      </c>
      <c r="S1151" s="11">
        <f>IF(J1151="","",O1151+Q1151-R1151)</f>
        <v/>
      </c>
      <c r="T1151">
        <f>IF(J1151="","",IFERROR(IF(K1151="",NA(),MATCH(K1151,Products!$B$5:$B$204,0)),IFERROR(MATCH(J1151,Products!$A$5:$A$204,0),"")))</f>
        <v/>
      </c>
      <c r="U1151">
        <f>IF(J1151="","",IF(T1151="","⚠ not in Products",INDEX(Products!$A$5:$A$204,T1151)))</f>
        <v/>
      </c>
      <c r="V1151" s="11">
        <f>IF(J1151="","",S1151*(IFERROR(INDEX(Settings!$B$5:$B$9,MATCH($B1151,Settings!$A$5:$A$9,0)),0)+IFERROR(INDEX(Settings!$E$5:$E$9,MATCH($B1151,Settings!$A$5:$A$9,0)),0)+IFERROR(INDEX(Settings!$G$5:$G$9,MATCH($B1151,Settings!$A$5:$A$9,0)),0))+(IFERROR(INDEX(Settings!$C$5:$C$9,MATCH($B1151,Settings!$A$5:$A$9,0)),0)+IFERROR(INDEX(Settings!$F$5:$F$9,MATCH($B1151,Settings!$A$5:$A$9,0)),0))/P1151+IFERROR(INDEX(Settings!$D$5:$D$9,MATCH($B1151,Settings!$A$5:$A$9,0)),0)*M1151)</f>
        <v/>
      </c>
      <c r="W1151" s="11">
        <f>IF(J1151="","",IF(T1151="",0,M1151*INDEX(Products!$I$5:$I$204,T1151)))</f>
        <v/>
      </c>
      <c r="X1151" s="11">
        <f>IF(J1151="","",IF(T1151="",0,S1151*INDEX(Products!$H$5:$H$204,T1151)))</f>
        <v/>
      </c>
      <c r="Y1151" s="11">
        <f>IF(J1151="","",S1151-V1151-W1151-X1151)</f>
        <v/>
      </c>
    </row>
    <row r="1152">
      <c r="A1152" s="19" t="n"/>
      <c r="B1152" s="19" t="n"/>
      <c r="C1152" s="19" t="n"/>
      <c r="D1152" s="19" t="n"/>
      <c r="E1152" s="19" t="n"/>
      <c r="F1152" s="20" t="n"/>
      <c r="G1152" s="20" t="n"/>
      <c r="H1152" s="20" t="n"/>
      <c r="I1152" s="19" t="n"/>
      <c r="J1152">
        <f>IFERROR(IF(C1152="","",C1152)&amp;"","")</f>
        <v/>
      </c>
      <c r="K1152">
        <f>IFERROR(IF(D1152="","",D1152)&amp;"","")</f>
        <v/>
      </c>
      <c r="L1152">
        <f>IFERROR(IF(I1152="","",I1152)&amp;"","")</f>
        <v/>
      </c>
      <c r="M1152">
        <f>IF(J1152="","",IFERROR(VALUE(SUBSTITUTE(SUBSTITUTE(IF(E1152="","",E1152)&amp;"","$",""),",","")),0))</f>
        <v/>
      </c>
      <c r="N1152" s="11">
        <f>IF(J1152="","",IFERROR(VALUE(SUBSTITUTE(SUBSTITUTE(IF(F1152="","",F1152)&amp;"","$",""),",","")),0))</f>
        <v/>
      </c>
      <c r="O1152" s="11">
        <f>IF(J1152="","",M1152*N1152)</f>
        <v/>
      </c>
      <c r="P1152">
        <f>IF(J1152="","",IF(L1152="",1,COUNTIF($L$2:$L$1501,L1152)))</f>
        <v/>
      </c>
      <c r="Q1152" s="11">
        <f>IF(J1152="","",IFERROR(VALUE(SUBSTITUTE(SUBSTITUTE(IF(G1152="","",G1152)&amp;"","$",""),",","")),0)/IF("No"="Yes",P1152,1))</f>
        <v/>
      </c>
      <c r="R1152" s="11">
        <f>IF(J1152="","",IFERROR(VALUE(SUBSTITUTE(SUBSTITUTE(IF(H1152="","",H1152)&amp;"","$",""),",","")),0)/IF("No"="Yes",P1152,1))</f>
        <v/>
      </c>
      <c r="S1152" s="11">
        <f>IF(J1152="","",O1152+Q1152-R1152)</f>
        <v/>
      </c>
      <c r="T1152">
        <f>IF(J1152="","",IFERROR(IF(K1152="",NA(),MATCH(K1152,Products!$B$5:$B$204,0)),IFERROR(MATCH(J1152,Products!$A$5:$A$204,0),"")))</f>
        <v/>
      </c>
      <c r="U1152">
        <f>IF(J1152="","",IF(T1152="","⚠ not in Products",INDEX(Products!$A$5:$A$204,T1152)))</f>
        <v/>
      </c>
      <c r="V1152" s="11">
        <f>IF(J1152="","",S1152*(IFERROR(INDEX(Settings!$B$5:$B$9,MATCH($B1152,Settings!$A$5:$A$9,0)),0)+IFERROR(INDEX(Settings!$E$5:$E$9,MATCH($B1152,Settings!$A$5:$A$9,0)),0)+IFERROR(INDEX(Settings!$G$5:$G$9,MATCH($B1152,Settings!$A$5:$A$9,0)),0))+(IFERROR(INDEX(Settings!$C$5:$C$9,MATCH($B1152,Settings!$A$5:$A$9,0)),0)+IFERROR(INDEX(Settings!$F$5:$F$9,MATCH($B1152,Settings!$A$5:$A$9,0)),0))/P1152+IFERROR(INDEX(Settings!$D$5:$D$9,MATCH($B1152,Settings!$A$5:$A$9,0)),0)*M1152)</f>
        <v/>
      </c>
      <c r="W1152" s="11">
        <f>IF(J1152="","",IF(T1152="",0,M1152*INDEX(Products!$I$5:$I$204,T1152)))</f>
        <v/>
      </c>
      <c r="X1152" s="11">
        <f>IF(J1152="","",IF(T1152="",0,S1152*INDEX(Products!$H$5:$H$204,T1152)))</f>
        <v/>
      </c>
      <c r="Y1152" s="11">
        <f>IF(J1152="","",S1152-V1152-W1152-X1152)</f>
        <v/>
      </c>
    </row>
    <row r="1153">
      <c r="A1153" s="19" t="n"/>
      <c r="B1153" s="19" t="n"/>
      <c r="C1153" s="19" t="n"/>
      <c r="D1153" s="19" t="n"/>
      <c r="E1153" s="19" t="n"/>
      <c r="F1153" s="20" t="n"/>
      <c r="G1153" s="20" t="n"/>
      <c r="H1153" s="20" t="n"/>
      <c r="I1153" s="19" t="n"/>
      <c r="J1153">
        <f>IFERROR(IF(C1153="","",C1153)&amp;"","")</f>
        <v/>
      </c>
      <c r="K1153">
        <f>IFERROR(IF(D1153="","",D1153)&amp;"","")</f>
        <v/>
      </c>
      <c r="L1153">
        <f>IFERROR(IF(I1153="","",I1153)&amp;"","")</f>
        <v/>
      </c>
      <c r="M1153">
        <f>IF(J1153="","",IFERROR(VALUE(SUBSTITUTE(SUBSTITUTE(IF(E1153="","",E1153)&amp;"","$",""),",","")),0))</f>
        <v/>
      </c>
      <c r="N1153" s="11">
        <f>IF(J1153="","",IFERROR(VALUE(SUBSTITUTE(SUBSTITUTE(IF(F1153="","",F1153)&amp;"","$",""),",","")),0))</f>
        <v/>
      </c>
      <c r="O1153" s="11">
        <f>IF(J1153="","",M1153*N1153)</f>
        <v/>
      </c>
      <c r="P1153">
        <f>IF(J1153="","",IF(L1153="",1,COUNTIF($L$2:$L$1501,L1153)))</f>
        <v/>
      </c>
      <c r="Q1153" s="11">
        <f>IF(J1153="","",IFERROR(VALUE(SUBSTITUTE(SUBSTITUTE(IF(G1153="","",G1153)&amp;"","$",""),",","")),0)/IF("No"="Yes",P1153,1))</f>
        <v/>
      </c>
      <c r="R1153" s="11">
        <f>IF(J1153="","",IFERROR(VALUE(SUBSTITUTE(SUBSTITUTE(IF(H1153="","",H1153)&amp;"","$",""),",","")),0)/IF("No"="Yes",P1153,1))</f>
        <v/>
      </c>
      <c r="S1153" s="11">
        <f>IF(J1153="","",O1153+Q1153-R1153)</f>
        <v/>
      </c>
      <c r="T1153">
        <f>IF(J1153="","",IFERROR(IF(K1153="",NA(),MATCH(K1153,Products!$B$5:$B$204,0)),IFERROR(MATCH(J1153,Products!$A$5:$A$204,0),"")))</f>
        <v/>
      </c>
      <c r="U1153">
        <f>IF(J1153="","",IF(T1153="","⚠ not in Products",INDEX(Products!$A$5:$A$204,T1153)))</f>
        <v/>
      </c>
      <c r="V1153" s="11">
        <f>IF(J1153="","",S1153*(IFERROR(INDEX(Settings!$B$5:$B$9,MATCH($B1153,Settings!$A$5:$A$9,0)),0)+IFERROR(INDEX(Settings!$E$5:$E$9,MATCH($B1153,Settings!$A$5:$A$9,0)),0)+IFERROR(INDEX(Settings!$G$5:$G$9,MATCH($B1153,Settings!$A$5:$A$9,0)),0))+(IFERROR(INDEX(Settings!$C$5:$C$9,MATCH($B1153,Settings!$A$5:$A$9,0)),0)+IFERROR(INDEX(Settings!$F$5:$F$9,MATCH($B1153,Settings!$A$5:$A$9,0)),0))/P1153+IFERROR(INDEX(Settings!$D$5:$D$9,MATCH($B1153,Settings!$A$5:$A$9,0)),0)*M1153)</f>
        <v/>
      </c>
      <c r="W1153" s="11">
        <f>IF(J1153="","",IF(T1153="",0,M1153*INDEX(Products!$I$5:$I$204,T1153)))</f>
        <v/>
      </c>
      <c r="X1153" s="11">
        <f>IF(J1153="","",IF(T1153="",0,S1153*INDEX(Products!$H$5:$H$204,T1153)))</f>
        <v/>
      </c>
      <c r="Y1153" s="11">
        <f>IF(J1153="","",S1153-V1153-W1153-X1153)</f>
        <v/>
      </c>
    </row>
    <row r="1154">
      <c r="A1154" s="19" t="n"/>
      <c r="B1154" s="19" t="n"/>
      <c r="C1154" s="19" t="n"/>
      <c r="D1154" s="19" t="n"/>
      <c r="E1154" s="19" t="n"/>
      <c r="F1154" s="20" t="n"/>
      <c r="G1154" s="20" t="n"/>
      <c r="H1154" s="20" t="n"/>
      <c r="I1154" s="19" t="n"/>
      <c r="J1154">
        <f>IFERROR(IF(C1154="","",C1154)&amp;"","")</f>
        <v/>
      </c>
      <c r="K1154">
        <f>IFERROR(IF(D1154="","",D1154)&amp;"","")</f>
        <v/>
      </c>
      <c r="L1154">
        <f>IFERROR(IF(I1154="","",I1154)&amp;"","")</f>
        <v/>
      </c>
      <c r="M1154">
        <f>IF(J1154="","",IFERROR(VALUE(SUBSTITUTE(SUBSTITUTE(IF(E1154="","",E1154)&amp;"","$",""),",","")),0))</f>
        <v/>
      </c>
      <c r="N1154" s="11">
        <f>IF(J1154="","",IFERROR(VALUE(SUBSTITUTE(SUBSTITUTE(IF(F1154="","",F1154)&amp;"","$",""),",","")),0))</f>
        <v/>
      </c>
      <c r="O1154" s="11">
        <f>IF(J1154="","",M1154*N1154)</f>
        <v/>
      </c>
      <c r="P1154">
        <f>IF(J1154="","",IF(L1154="",1,COUNTIF($L$2:$L$1501,L1154)))</f>
        <v/>
      </c>
      <c r="Q1154" s="11">
        <f>IF(J1154="","",IFERROR(VALUE(SUBSTITUTE(SUBSTITUTE(IF(G1154="","",G1154)&amp;"","$",""),",","")),0)/IF("No"="Yes",P1154,1))</f>
        <v/>
      </c>
      <c r="R1154" s="11">
        <f>IF(J1154="","",IFERROR(VALUE(SUBSTITUTE(SUBSTITUTE(IF(H1154="","",H1154)&amp;"","$",""),",","")),0)/IF("No"="Yes",P1154,1))</f>
        <v/>
      </c>
      <c r="S1154" s="11">
        <f>IF(J1154="","",O1154+Q1154-R1154)</f>
        <v/>
      </c>
      <c r="T1154">
        <f>IF(J1154="","",IFERROR(IF(K1154="",NA(),MATCH(K1154,Products!$B$5:$B$204,0)),IFERROR(MATCH(J1154,Products!$A$5:$A$204,0),"")))</f>
        <v/>
      </c>
      <c r="U1154">
        <f>IF(J1154="","",IF(T1154="","⚠ not in Products",INDEX(Products!$A$5:$A$204,T1154)))</f>
        <v/>
      </c>
      <c r="V1154" s="11">
        <f>IF(J1154="","",S1154*(IFERROR(INDEX(Settings!$B$5:$B$9,MATCH($B1154,Settings!$A$5:$A$9,0)),0)+IFERROR(INDEX(Settings!$E$5:$E$9,MATCH($B1154,Settings!$A$5:$A$9,0)),0)+IFERROR(INDEX(Settings!$G$5:$G$9,MATCH($B1154,Settings!$A$5:$A$9,0)),0))+(IFERROR(INDEX(Settings!$C$5:$C$9,MATCH($B1154,Settings!$A$5:$A$9,0)),0)+IFERROR(INDEX(Settings!$F$5:$F$9,MATCH($B1154,Settings!$A$5:$A$9,0)),0))/P1154+IFERROR(INDEX(Settings!$D$5:$D$9,MATCH($B1154,Settings!$A$5:$A$9,0)),0)*M1154)</f>
        <v/>
      </c>
      <c r="W1154" s="11">
        <f>IF(J1154="","",IF(T1154="",0,M1154*INDEX(Products!$I$5:$I$204,T1154)))</f>
        <v/>
      </c>
      <c r="X1154" s="11">
        <f>IF(J1154="","",IF(T1154="",0,S1154*INDEX(Products!$H$5:$H$204,T1154)))</f>
        <v/>
      </c>
      <c r="Y1154" s="11">
        <f>IF(J1154="","",S1154-V1154-W1154-X1154)</f>
        <v/>
      </c>
    </row>
    <row r="1155">
      <c r="A1155" s="19" t="n"/>
      <c r="B1155" s="19" t="n"/>
      <c r="C1155" s="19" t="n"/>
      <c r="D1155" s="19" t="n"/>
      <c r="E1155" s="19" t="n"/>
      <c r="F1155" s="20" t="n"/>
      <c r="G1155" s="20" t="n"/>
      <c r="H1155" s="20" t="n"/>
      <c r="I1155" s="19" t="n"/>
      <c r="J1155">
        <f>IFERROR(IF(C1155="","",C1155)&amp;"","")</f>
        <v/>
      </c>
      <c r="K1155">
        <f>IFERROR(IF(D1155="","",D1155)&amp;"","")</f>
        <v/>
      </c>
      <c r="L1155">
        <f>IFERROR(IF(I1155="","",I1155)&amp;"","")</f>
        <v/>
      </c>
      <c r="M1155">
        <f>IF(J1155="","",IFERROR(VALUE(SUBSTITUTE(SUBSTITUTE(IF(E1155="","",E1155)&amp;"","$",""),",","")),0))</f>
        <v/>
      </c>
      <c r="N1155" s="11">
        <f>IF(J1155="","",IFERROR(VALUE(SUBSTITUTE(SUBSTITUTE(IF(F1155="","",F1155)&amp;"","$",""),",","")),0))</f>
        <v/>
      </c>
      <c r="O1155" s="11">
        <f>IF(J1155="","",M1155*N1155)</f>
        <v/>
      </c>
      <c r="P1155">
        <f>IF(J1155="","",IF(L1155="",1,COUNTIF($L$2:$L$1501,L1155)))</f>
        <v/>
      </c>
      <c r="Q1155" s="11">
        <f>IF(J1155="","",IFERROR(VALUE(SUBSTITUTE(SUBSTITUTE(IF(G1155="","",G1155)&amp;"","$",""),",","")),0)/IF("No"="Yes",P1155,1))</f>
        <v/>
      </c>
      <c r="R1155" s="11">
        <f>IF(J1155="","",IFERROR(VALUE(SUBSTITUTE(SUBSTITUTE(IF(H1155="","",H1155)&amp;"","$",""),",","")),0)/IF("No"="Yes",P1155,1))</f>
        <v/>
      </c>
      <c r="S1155" s="11">
        <f>IF(J1155="","",O1155+Q1155-R1155)</f>
        <v/>
      </c>
      <c r="T1155">
        <f>IF(J1155="","",IFERROR(IF(K1155="",NA(),MATCH(K1155,Products!$B$5:$B$204,0)),IFERROR(MATCH(J1155,Products!$A$5:$A$204,0),"")))</f>
        <v/>
      </c>
      <c r="U1155">
        <f>IF(J1155="","",IF(T1155="","⚠ not in Products",INDEX(Products!$A$5:$A$204,T1155)))</f>
        <v/>
      </c>
      <c r="V1155" s="11">
        <f>IF(J1155="","",S1155*(IFERROR(INDEX(Settings!$B$5:$B$9,MATCH($B1155,Settings!$A$5:$A$9,0)),0)+IFERROR(INDEX(Settings!$E$5:$E$9,MATCH($B1155,Settings!$A$5:$A$9,0)),0)+IFERROR(INDEX(Settings!$G$5:$G$9,MATCH($B1155,Settings!$A$5:$A$9,0)),0))+(IFERROR(INDEX(Settings!$C$5:$C$9,MATCH($B1155,Settings!$A$5:$A$9,0)),0)+IFERROR(INDEX(Settings!$F$5:$F$9,MATCH($B1155,Settings!$A$5:$A$9,0)),0))/P1155+IFERROR(INDEX(Settings!$D$5:$D$9,MATCH($B1155,Settings!$A$5:$A$9,0)),0)*M1155)</f>
        <v/>
      </c>
      <c r="W1155" s="11">
        <f>IF(J1155="","",IF(T1155="",0,M1155*INDEX(Products!$I$5:$I$204,T1155)))</f>
        <v/>
      </c>
      <c r="X1155" s="11">
        <f>IF(J1155="","",IF(T1155="",0,S1155*INDEX(Products!$H$5:$H$204,T1155)))</f>
        <v/>
      </c>
      <c r="Y1155" s="11">
        <f>IF(J1155="","",S1155-V1155-W1155-X1155)</f>
        <v/>
      </c>
    </row>
    <row r="1156">
      <c r="A1156" s="19" t="n"/>
      <c r="B1156" s="19" t="n"/>
      <c r="C1156" s="19" t="n"/>
      <c r="D1156" s="19" t="n"/>
      <c r="E1156" s="19" t="n"/>
      <c r="F1156" s="20" t="n"/>
      <c r="G1156" s="20" t="n"/>
      <c r="H1156" s="20" t="n"/>
      <c r="I1156" s="19" t="n"/>
      <c r="J1156">
        <f>IFERROR(IF(C1156="","",C1156)&amp;"","")</f>
        <v/>
      </c>
      <c r="K1156">
        <f>IFERROR(IF(D1156="","",D1156)&amp;"","")</f>
        <v/>
      </c>
      <c r="L1156">
        <f>IFERROR(IF(I1156="","",I1156)&amp;"","")</f>
        <v/>
      </c>
      <c r="M1156">
        <f>IF(J1156="","",IFERROR(VALUE(SUBSTITUTE(SUBSTITUTE(IF(E1156="","",E1156)&amp;"","$",""),",","")),0))</f>
        <v/>
      </c>
      <c r="N1156" s="11">
        <f>IF(J1156="","",IFERROR(VALUE(SUBSTITUTE(SUBSTITUTE(IF(F1156="","",F1156)&amp;"","$",""),",","")),0))</f>
        <v/>
      </c>
      <c r="O1156" s="11">
        <f>IF(J1156="","",M1156*N1156)</f>
        <v/>
      </c>
      <c r="P1156">
        <f>IF(J1156="","",IF(L1156="",1,COUNTIF($L$2:$L$1501,L1156)))</f>
        <v/>
      </c>
      <c r="Q1156" s="11">
        <f>IF(J1156="","",IFERROR(VALUE(SUBSTITUTE(SUBSTITUTE(IF(G1156="","",G1156)&amp;"","$",""),",","")),0)/IF("No"="Yes",P1156,1))</f>
        <v/>
      </c>
      <c r="R1156" s="11">
        <f>IF(J1156="","",IFERROR(VALUE(SUBSTITUTE(SUBSTITUTE(IF(H1156="","",H1156)&amp;"","$",""),",","")),0)/IF("No"="Yes",P1156,1))</f>
        <v/>
      </c>
      <c r="S1156" s="11">
        <f>IF(J1156="","",O1156+Q1156-R1156)</f>
        <v/>
      </c>
      <c r="T1156">
        <f>IF(J1156="","",IFERROR(IF(K1156="",NA(),MATCH(K1156,Products!$B$5:$B$204,0)),IFERROR(MATCH(J1156,Products!$A$5:$A$204,0),"")))</f>
        <v/>
      </c>
      <c r="U1156">
        <f>IF(J1156="","",IF(T1156="","⚠ not in Products",INDEX(Products!$A$5:$A$204,T1156)))</f>
        <v/>
      </c>
      <c r="V1156" s="11">
        <f>IF(J1156="","",S1156*(IFERROR(INDEX(Settings!$B$5:$B$9,MATCH($B1156,Settings!$A$5:$A$9,0)),0)+IFERROR(INDEX(Settings!$E$5:$E$9,MATCH($B1156,Settings!$A$5:$A$9,0)),0)+IFERROR(INDEX(Settings!$G$5:$G$9,MATCH($B1156,Settings!$A$5:$A$9,0)),0))+(IFERROR(INDEX(Settings!$C$5:$C$9,MATCH($B1156,Settings!$A$5:$A$9,0)),0)+IFERROR(INDEX(Settings!$F$5:$F$9,MATCH($B1156,Settings!$A$5:$A$9,0)),0))/P1156+IFERROR(INDEX(Settings!$D$5:$D$9,MATCH($B1156,Settings!$A$5:$A$9,0)),0)*M1156)</f>
        <v/>
      </c>
      <c r="W1156" s="11">
        <f>IF(J1156="","",IF(T1156="",0,M1156*INDEX(Products!$I$5:$I$204,T1156)))</f>
        <v/>
      </c>
      <c r="X1156" s="11">
        <f>IF(J1156="","",IF(T1156="",0,S1156*INDEX(Products!$H$5:$H$204,T1156)))</f>
        <v/>
      </c>
      <c r="Y1156" s="11">
        <f>IF(J1156="","",S1156-V1156-W1156-X1156)</f>
        <v/>
      </c>
    </row>
    <row r="1157">
      <c r="A1157" s="19" t="n"/>
      <c r="B1157" s="19" t="n"/>
      <c r="C1157" s="19" t="n"/>
      <c r="D1157" s="19" t="n"/>
      <c r="E1157" s="19" t="n"/>
      <c r="F1157" s="20" t="n"/>
      <c r="G1157" s="20" t="n"/>
      <c r="H1157" s="20" t="n"/>
      <c r="I1157" s="19" t="n"/>
      <c r="J1157">
        <f>IFERROR(IF(C1157="","",C1157)&amp;"","")</f>
        <v/>
      </c>
      <c r="K1157">
        <f>IFERROR(IF(D1157="","",D1157)&amp;"","")</f>
        <v/>
      </c>
      <c r="L1157">
        <f>IFERROR(IF(I1157="","",I1157)&amp;"","")</f>
        <v/>
      </c>
      <c r="M1157">
        <f>IF(J1157="","",IFERROR(VALUE(SUBSTITUTE(SUBSTITUTE(IF(E1157="","",E1157)&amp;"","$",""),",","")),0))</f>
        <v/>
      </c>
      <c r="N1157" s="11">
        <f>IF(J1157="","",IFERROR(VALUE(SUBSTITUTE(SUBSTITUTE(IF(F1157="","",F1157)&amp;"","$",""),",","")),0))</f>
        <v/>
      </c>
      <c r="O1157" s="11">
        <f>IF(J1157="","",M1157*N1157)</f>
        <v/>
      </c>
      <c r="P1157">
        <f>IF(J1157="","",IF(L1157="",1,COUNTIF($L$2:$L$1501,L1157)))</f>
        <v/>
      </c>
      <c r="Q1157" s="11">
        <f>IF(J1157="","",IFERROR(VALUE(SUBSTITUTE(SUBSTITUTE(IF(G1157="","",G1157)&amp;"","$",""),",","")),0)/IF("No"="Yes",P1157,1))</f>
        <v/>
      </c>
      <c r="R1157" s="11">
        <f>IF(J1157="","",IFERROR(VALUE(SUBSTITUTE(SUBSTITUTE(IF(H1157="","",H1157)&amp;"","$",""),",","")),0)/IF("No"="Yes",P1157,1))</f>
        <v/>
      </c>
      <c r="S1157" s="11">
        <f>IF(J1157="","",O1157+Q1157-R1157)</f>
        <v/>
      </c>
      <c r="T1157">
        <f>IF(J1157="","",IFERROR(IF(K1157="",NA(),MATCH(K1157,Products!$B$5:$B$204,0)),IFERROR(MATCH(J1157,Products!$A$5:$A$204,0),"")))</f>
        <v/>
      </c>
      <c r="U1157">
        <f>IF(J1157="","",IF(T1157="","⚠ not in Products",INDEX(Products!$A$5:$A$204,T1157)))</f>
        <v/>
      </c>
      <c r="V1157" s="11">
        <f>IF(J1157="","",S1157*(IFERROR(INDEX(Settings!$B$5:$B$9,MATCH($B1157,Settings!$A$5:$A$9,0)),0)+IFERROR(INDEX(Settings!$E$5:$E$9,MATCH($B1157,Settings!$A$5:$A$9,0)),0)+IFERROR(INDEX(Settings!$G$5:$G$9,MATCH($B1157,Settings!$A$5:$A$9,0)),0))+(IFERROR(INDEX(Settings!$C$5:$C$9,MATCH($B1157,Settings!$A$5:$A$9,0)),0)+IFERROR(INDEX(Settings!$F$5:$F$9,MATCH($B1157,Settings!$A$5:$A$9,0)),0))/P1157+IFERROR(INDEX(Settings!$D$5:$D$9,MATCH($B1157,Settings!$A$5:$A$9,0)),0)*M1157)</f>
        <v/>
      </c>
      <c r="W1157" s="11">
        <f>IF(J1157="","",IF(T1157="",0,M1157*INDEX(Products!$I$5:$I$204,T1157)))</f>
        <v/>
      </c>
      <c r="X1157" s="11">
        <f>IF(J1157="","",IF(T1157="",0,S1157*INDEX(Products!$H$5:$H$204,T1157)))</f>
        <v/>
      </c>
      <c r="Y1157" s="11">
        <f>IF(J1157="","",S1157-V1157-W1157-X1157)</f>
        <v/>
      </c>
    </row>
    <row r="1158">
      <c r="A1158" s="19" t="n"/>
      <c r="B1158" s="19" t="n"/>
      <c r="C1158" s="19" t="n"/>
      <c r="D1158" s="19" t="n"/>
      <c r="E1158" s="19" t="n"/>
      <c r="F1158" s="20" t="n"/>
      <c r="G1158" s="20" t="n"/>
      <c r="H1158" s="20" t="n"/>
      <c r="I1158" s="19" t="n"/>
      <c r="J1158">
        <f>IFERROR(IF(C1158="","",C1158)&amp;"","")</f>
        <v/>
      </c>
      <c r="K1158">
        <f>IFERROR(IF(D1158="","",D1158)&amp;"","")</f>
        <v/>
      </c>
      <c r="L1158">
        <f>IFERROR(IF(I1158="","",I1158)&amp;"","")</f>
        <v/>
      </c>
      <c r="M1158">
        <f>IF(J1158="","",IFERROR(VALUE(SUBSTITUTE(SUBSTITUTE(IF(E1158="","",E1158)&amp;"","$",""),",","")),0))</f>
        <v/>
      </c>
      <c r="N1158" s="11">
        <f>IF(J1158="","",IFERROR(VALUE(SUBSTITUTE(SUBSTITUTE(IF(F1158="","",F1158)&amp;"","$",""),",","")),0))</f>
        <v/>
      </c>
      <c r="O1158" s="11">
        <f>IF(J1158="","",M1158*N1158)</f>
        <v/>
      </c>
      <c r="P1158">
        <f>IF(J1158="","",IF(L1158="",1,COUNTIF($L$2:$L$1501,L1158)))</f>
        <v/>
      </c>
      <c r="Q1158" s="11">
        <f>IF(J1158="","",IFERROR(VALUE(SUBSTITUTE(SUBSTITUTE(IF(G1158="","",G1158)&amp;"","$",""),",","")),0)/IF("No"="Yes",P1158,1))</f>
        <v/>
      </c>
      <c r="R1158" s="11">
        <f>IF(J1158="","",IFERROR(VALUE(SUBSTITUTE(SUBSTITUTE(IF(H1158="","",H1158)&amp;"","$",""),",","")),0)/IF("No"="Yes",P1158,1))</f>
        <v/>
      </c>
      <c r="S1158" s="11">
        <f>IF(J1158="","",O1158+Q1158-R1158)</f>
        <v/>
      </c>
      <c r="T1158">
        <f>IF(J1158="","",IFERROR(IF(K1158="",NA(),MATCH(K1158,Products!$B$5:$B$204,0)),IFERROR(MATCH(J1158,Products!$A$5:$A$204,0),"")))</f>
        <v/>
      </c>
      <c r="U1158">
        <f>IF(J1158="","",IF(T1158="","⚠ not in Products",INDEX(Products!$A$5:$A$204,T1158)))</f>
        <v/>
      </c>
      <c r="V1158" s="11">
        <f>IF(J1158="","",S1158*(IFERROR(INDEX(Settings!$B$5:$B$9,MATCH($B1158,Settings!$A$5:$A$9,0)),0)+IFERROR(INDEX(Settings!$E$5:$E$9,MATCH($B1158,Settings!$A$5:$A$9,0)),0)+IFERROR(INDEX(Settings!$G$5:$G$9,MATCH($B1158,Settings!$A$5:$A$9,0)),0))+(IFERROR(INDEX(Settings!$C$5:$C$9,MATCH($B1158,Settings!$A$5:$A$9,0)),0)+IFERROR(INDEX(Settings!$F$5:$F$9,MATCH($B1158,Settings!$A$5:$A$9,0)),0))/P1158+IFERROR(INDEX(Settings!$D$5:$D$9,MATCH($B1158,Settings!$A$5:$A$9,0)),0)*M1158)</f>
        <v/>
      </c>
      <c r="W1158" s="11">
        <f>IF(J1158="","",IF(T1158="",0,M1158*INDEX(Products!$I$5:$I$204,T1158)))</f>
        <v/>
      </c>
      <c r="X1158" s="11">
        <f>IF(J1158="","",IF(T1158="",0,S1158*INDEX(Products!$H$5:$H$204,T1158)))</f>
        <v/>
      </c>
      <c r="Y1158" s="11">
        <f>IF(J1158="","",S1158-V1158-W1158-X1158)</f>
        <v/>
      </c>
    </row>
    <row r="1159">
      <c r="A1159" s="19" t="n"/>
      <c r="B1159" s="19" t="n"/>
      <c r="C1159" s="19" t="n"/>
      <c r="D1159" s="19" t="n"/>
      <c r="E1159" s="19" t="n"/>
      <c r="F1159" s="20" t="n"/>
      <c r="G1159" s="20" t="n"/>
      <c r="H1159" s="20" t="n"/>
      <c r="I1159" s="19" t="n"/>
      <c r="J1159">
        <f>IFERROR(IF(C1159="","",C1159)&amp;"","")</f>
        <v/>
      </c>
      <c r="K1159">
        <f>IFERROR(IF(D1159="","",D1159)&amp;"","")</f>
        <v/>
      </c>
      <c r="L1159">
        <f>IFERROR(IF(I1159="","",I1159)&amp;"","")</f>
        <v/>
      </c>
      <c r="M1159">
        <f>IF(J1159="","",IFERROR(VALUE(SUBSTITUTE(SUBSTITUTE(IF(E1159="","",E1159)&amp;"","$",""),",","")),0))</f>
        <v/>
      </c>
      <c r="N1159" s="11">
        <f>IF(J1159="","",IFERROR(VALUE(SUBSTITUTE(SUBSTITUTE(IF(F1159="","",F1159)&amp;"","$",""),",","")),0))</f>
        <v/>
      </c>
      <c r="O1159" s="11">
        <f>IF(J1159="","",M1159*N1159)</f>
        <v/>
      </c>
      <c r="P1159">
        <f>IF(J1159="","",IF(L1159="",1,COUNTIF($L$2:$L$1501,L1159)))</f>
        <v/>
      </c>
      <c r="Q1159" s="11">
        <f>IF(J1159="","",IFERROR(VALUE(SUBSTITUTE(SUBSTITUTE(IF(G1159="","",G1159)&amp;"","$",""),",","")),0)/IF("No"="Yes",P1159,1))</f>
        <v/>
      </c>
      <c r="R1159" s="11">
        <f>IF(J1159="","",IFERROR(VALUE(SUBSTITUTE(SUBSTITUTE(IF(H1159="","",H1159)&amp;"","$",""),",","")),0)/IF("No"="Yes",P1159,1))</f>
        <v/>
      </c>
      <c r="S1159" s="11">
        <f>IF(J1159="","",O1159+Q1159-R1159)</f>
        <v/>
      </c>
      <c r="T1159">
        <f>IF(J1159="","",IFERROR(IF(K1159="",NA(),MATCH(K1159,Products!$B$5:$B$204,0)),IFERROR(MATCH(J1159,Products!$A$5:$A$204,0),"")))</f>
        <v/>
      </c>
      <c r="U1159">
        <f>IF(J1159="","",IF(T1159="","⚠ not in Products",INDEX(Products!$A$5:$A$204,T1159)))</f>
        <v/>
      </c>
      <c r="V1159" s="11">
        <f>IF(J1159="","",S1159*(IFERROR(INDEX(Settings!$B$5:$B$9,MATCH($B1159,Settings!$A$5:$A$9,0)),0)+IFERROR(INDEX(Settings!$E$5:$E$9,MATCH($B1159,Settings!$A$5:$A$9,0)),0)+IFERROR(INDEX(Settings!$G$5:$G$9,MATCH($B1159,Settings!$A$5:$A$9,0)),0))+(IFERROR(INDEX(Settings!$C$5:$C$9,MATCH($B1159,Settings!$A$5:$A$9,0)),0)+IFERROR(INDEX(Settings!$F$5:$F$9,MATCH($B1159,Settings!$A$5:$A$9,0)),0))/P1159+IFERROR(INDEX(Settings!$D$5:$D$9,MATCH($B1159,Settings!$A$5:$A$9,0)),0)*M1159)</f>
        <v/>
      </c>
      <c r="W1159" s="11">
        <f>IF(J1159="","",IF(T1159="",0,M1159*INDEX(Products!$I$5:$I$204,T1159)))</f>
        <v/>
      </c>
      <c r="X1159" s="11">
        <f>IF(J1159="","",IF(T1159="",0,S1159*INDEX(Products!$H$5:$H$204,T1159)))</f>
        <v/>
      </c>
      <c r="Y1159" s="11">
        <f>IF(J1159="","",S1159-V1159-W1159-X1159)</f>
        <v/>
      </c>
    </row>
    <row r="1160">
      <c r="A1160" s="19" t="n"/>
      <c r="B1160" s="19" t="n"/>
      <c r="C1160" s="19" t="n"/>
      <c r="D1160" s="19" t="n"/>
      <c r="E1160" s="19" t="n"/>
      <c r="F1160" s="20" t="n"/>
      <c r="G1160" s="20" t="n"/>
      <c r="H1160" s="20" t="n"/>
      <c r="I1160" s="19" t="n"/>
      <c r="J1160">
        <f>IFERROR(IF(C1160="","",C1160)&amp;"","")</f>
        <v/>
      </c>
      <c r="K1160">
        <f>IFERROR(IF(D1160="","",D1160)&amp;"","")</f>
        <v/>
      </c>
      <c r="L1160">
        <f>IFERROR(IF(I1160="","",I1160)&amp;"","")</f>
        <v/>
      </c>
      <c r="M1160">
        <f>IF(J1160="","",IFERROR(VALUE(SUBSTITUTE(SUBSTITUTE(IF(E1160="","",E1160)&amp;"","$",""),",","")),0))</f>
        <v/>
      </c>
      <c r="N1160" s="11">
        <f>IF(J1160="","",IFERROR(VALUE(SUBSTITUTE(SUBSTITUTE(IF(F1160="","",F1160)&amp;"","$",""),",","")),0))</f>
        <v/>
      </c>
      <c r="O1160" s="11">
        <f>IF(J1160="","",M1160*N1160)</f>
        <v/>
      </c>
      <c r="P1160">
        <f>IF(J1160="","",IF(L1160="",1,COUNTIF($L$2:$L$1501,L1160)))</f>
        <v/>
      </c>
      <c r="Q1160" s="11">
        <f>IF(J1160="","",IFERROR(VALUE(SUBSTITUTE(SUBSTITUTE(IF(G1160="","",G1160)&amp;"","$",""),",","")),0)/IF("No"="Yes",P1160,1))</f>
        <v/>
      </c>
      <c r="R1160" s="11">
        <f>IF(J1160="","",IFERROR(VALUE(SUBSTITUTE(SUBSTITUTE(IF(H1160="","",H1160)&amp;"","$",""),",","")),0)/IF("No"="Yes",P1160,1))</f>
        <v/>
      </c>
      <c r="S1160" s="11">
        <f>IF(J1160="","",O1160+Q1160-R1160)</f>
        <v/>
      </c>
      <c r="T1160">
        <f>IF(J1160="","",IFERROR(IF(K1160="",NA(),MATCH(K1160,Products!$B$5:$B$204,0)),IFERROR(MATCH(J1160,Products!$A$5:$A$204,0),"")))</f>
        <v/>
      </c>
      <c r="U1160">
        <f>IF(J1160="","",IF(T1160="","⚠ not in Products",INDEX(Products!$A$5:$A$204,T1160)))</f>
        <v/>
      </c>
      <c r="V1160" s="11">
        <f>IF(J1160="","",S1160*(IFERROR(INDEX(Settings!$B$5:$B$9,MATCH($B1160,Settings!$A$5:$A$9,0)),0)+IFERROR(INDEX(Settings!$E$5:$E$9,MATCH($B1160,Settings!$A$5:$A$9,0)),0)+IFERROR(INDEX(Settings!$G$5:$G$9,MATCH($B1160,Settings!$A$5:$A$9,0)),0))+(IFERROR(INDEX(Settings!$C$5:$C$9,MATCH($B1160,Settings!$A$5:$A$9,0)),0)+IFERROR(INDEX(Settings!$F$5:$F$9,MATCH($B1160,Settings!$A$5:$A$9,0)),0))/P1160+IFERROR(INDEX(Settings!$D$5:$D$9,MATCH($B1160,Settings!$A$5:$A$9,0)),0)*M1160)</f>
        <v/>
      </c>
      <c r="W1160" s="11">
        <f>IF(J1160="","",IF(T1160="",0,M1160*INDEX(Products!$I$5:$I$204,T1160)))</f>
        <v/>
      </c>
      <c r="X1160" s="11">
        <f>IF(J1160="","",IF(T1160="",0,S1160*INDEX(Products!$H$5:$H$204,T1160)))</f>
        <v/>
      </c>
      <c r="Y1160" s="11">
        <f>IF(J1160="","",S1160-V1160-W1160-X1160)</f>
        <v/>
      </c>
    </row>
    <row r="1161">
      <c r="A1161" s="19" t="n"/>
      <c r="B1161" s="19" t="n"/>
      <c r="C1161" s="19" t="n"/>
      <c r="D1161" s="19" t="n"/>
      <c r="E1161" s="19" t="n"/>
      <c r="F1161" s="20" t="n"/>
      <c r="G1161" s="20" t="n"/>
      <c r="H1161" s="20" t="n"/>
      <c r="I1161" s="19" t="n"/>
      <c r="J1161">
        <f>IFERROR(IF(C1161="","",C1161)&amp;"","")</f>
        <v/>
      </c>
      <c r="K1161">
        <f>IFERROR(IF(D1161="","",D1161)&amp;"","")</f>
        <v/>
      </c>
      <c r="L1161">
        <f>IFERROR(IF(I1161="","",I1161)&amp;"","")</f>
        <v/>
      </c>
      <c r="M1161">
        <f>IF(J1161="","",IFERROR(VALUE(SUBSTITUTE(SUBSTITUTE(IF(E1161="","",E1161)&amp;"","$",""),",","")),0))</f>
        <v/>
      </c>
      <c r="N1161" s="11">
        <f>IF(J1161="","",IFERROR(VALUE(SUBSTITUTE(SUBSTITUTE(IF(F1161="","",F1161)&amp;"","$",""),",","")),0))</f>
        <v/>
      </c>
      <c r="O1161" s="11">
        <f>IF(J1161="","",M1161*N1161)</f>
        <v/>
      </c>
      <c r="P1161">
        <f>IF(J1161="","",IF(L1161="",1,COUNTIF($L$2:$L$1501,L1161)))</f>
        <v/>
      </c>
      <c r="Q1161" s="11">
        <f>IF(J1161="","",IFERROR(VALUE(SUBSTITUTE(SUBSTITUTE(IF(G1161="","",G1161)&amp;"","$",""),",","")),0)/IF("No"="Yes",P1161,1))</f>
        <v/>
      </c>
      <c r="R1161" s="11">
        <f>IF(J1161="","",IFERROR(VALUE(SUBSTITUTE(SUBSTITUTE(IF(H1161="","",H1161)&amp;"","$",""),",","")),0)/IF("No"="Yes",P1161,1))</f>
        <v/>
      </c>
      <c r="S1161" s="11">
        <f>IF(J1161="","",O1161+Q1161-R1161)</f>
        <v/>
      </c>
      <c r="T1161">
        <f>IF(J1161="","",IFERROR(IF(K1161="",NA(),MATCH(K1161,Products!$B$5:$B$204,0)),IFERROR(MATCH(J1161,Products!$A$5:$A$204,0),"")))</f>
        <v/>
      </c>
      <c r="U1161">
        <f>IF(J1161="","",IF(T1161="","⚠ not in Products",INDEX(Products!$A$5:$A$204,T1161)))</f>
        <v/>
      </c>
      <c r="V1161" s="11">
        <f>IF(J1161="","",S1161*(IFERROR(INDEX(Settings!$B$5:$B$9,MATCH($B1161,Settings!$A$5:$A$9,0)),0)+IFERROR(INDEX(Settings!$E$5:$E$9,MATCH($B1161,Settings!$A$5:$A$9,0)),0)+IFERROR(INDEX(Settings!$G$5:$G$9,MATCH($B1161,Settings!$A$5:$A$9,0)),0))+(IFERROR(INDEX(Settings!$C$5:$C$9,MATCH($B1161,Settings!$A$5:$A$9,0)),0)+IFERROR(INDEX(Settings!$F$5:$F$9,MATCH($B1161,Settings!$A$5:$A$9,0)),0))/P1161+IFERROR(INDEX(Settings!$D$5:$D$9,MATCH($B1161,Settings!$A$5:$A$9,0)),0)*M1161)</f>
        <v/>
      </c>
      <c r="W1161" s="11">
        <f>IF(J1161="","",IF(T1161="",0,M1161*INDEX(Products!$I$5:$I$204,T1161)))</f>
        <v/>
      </c>
      <c r="X1161" s="11">
        <f>IF(J1161="","",IF(T1161="",0,S1161*INDEX(Products!$H$5:$H$204,T1161)))</f>
        <v/>
      </c>
      <c r="Y1161" s="11">
        <f>IF(J1161="","",S1161-V1161-W1161-X1161)</f>
        <v/>
      </c>
    </row>
    <row r="1162">
      <c r="A1162" s="19" t="n"/>
      <c r="B1162" s="19" t="n"/>
      <c r="C1162" s="19" t="n"/>
      <c r="D1162" s="19" t="n"/>
      <c r="E1162" s="19" t="n"/>
      <c r="F1162" s="20" t="n"/>
      <c r="G1162" s="20" t="n"/>
      <c r="H1162" s="20" t="n"/>
      <c r="I1162" s="19" t="n"/>
      <c r="J1162">
        <f>IFERROR(IF(C1162="","",C1162)&amp;"","")</f>
        <v/>
      </c>
      <c r="K1162">
        <f>IFERROR(IF(D1162="","",D1162)&amp;"","")</f>
        <v/>
      </c>
      <c r="L1162">
        <f>IFERROR(IF(I1162="","",I1162)&amp;"","")</f>
        <v/>
      </c>
      <c r="M1162">
        <f>IF(J1162="","",IFERROR(VALUE(SUBSTITUTE(SUBSTITUTE(IF(E1162="","",E1162)&amp;"","$",""),",","")),0))</f>
        <v/>
      </c>
      <c r="N1162" s="11">
        <f>IF(J1162="","",IFERROR(VALUE(SUBSTITUTE(SUBSTITUTE(IF(F1162="","",F1162)&amp;"","$",""),",","")),0))</f>
        <v/>
      </c>
      <c r="O1162" s="11">
        <f>IF(J1162="","",M1162*N1162)</f>
        <v/>
      </c>
      <c r="P1162">
        <f>IF(J1162="","",IF(L1162="",1,COUNTIF($L$2:$L$1501,L1162)))</f>
        <v/>
      </c>
      <c r="Q1162" s="11">
        <f>IF(J1162="","",IFERROR(VALUE(SUBSTITUTE(SUBSTITUTE(IF(G1162="","",G1162)&amp;"","$",""),",","")),0)/IF("No"="Yes",P1162,1))</f>
        <v/>
      </c>
      <c r="R1162" s="11">
        <f>IF(J1162="","",IFERROR(VALUE(SUBSTITUTE(SUBSTITUTE(IF(H1162="","",H1162)&amp;"","$",""),",","")),0)/IF("No"="Yes",P1162,1))</f>
        <v/>
      </c>
      <c r="S1162" s="11">
        <f>IF(J1162="","",O1162+Q1162-R1162)</f>
        <v/>
      </c>
      <c r="T1162">
        <f>IF(J1162="","",IFERROR(IF(K1162="",NA(),MATCH(K1162,Products!$B$5:$B$204,0)),IFERROR(MATCH(J1162,Products!$A$5:$A$204,0),"")))</f>
        <v/>
      </c>
      <c r="U1162">
        <f>IF(J1162="","",IF(T1162="","⚠ not in Products",INDEX(Products!$A$5:$A$204,T1162)))</f>
        <v/>
      </c>
      <c r="V1162" s="11">
        <f>IF(J1162="","",S1162*(IFERROR(INDEX(Settings!$B$5:$B$9,MATCH($B1162,Settings!$A$5:$A$9,0)),0)+IFERROR(INDEX(Settings!$E$5:$E$9,MATCH($B1162,Settings!$A$5:$A$9,0)),0)+IFERROR(INDEX(Settings!$G$5:$G$9,MATCH($B1162,Settings!$A$5:$A$9,0)),0))+(IFERROR(INDEX(Settings!$C$5:$C$9,MATCH($B1162,Settings!$A$5:$A$9,0)),0)+IFERROR(INDEX(Settings!$F$5:$F$9,MATCH($B1162,Settings!$A$5:$A$9,0)),0))/P1162+IFERROR(INDEX(Settings!$D$5:$D$9,MATCH($B1162,Settings!$A$5:$A$9,0)),0)*M1162)</f>
        <v/>
      </c>
      <c r="W1162" s="11">
        <f>IF(J1162="","",IF(T1162="",0,M1162*INDEX(Products!$I$5:$I$204,T1162)))</f>
        <v/>
      </c>
      <c r="X1162" s="11">
        <f>IF(J1162="","",IF(T1162="",0,S1162*INDEX(Products!$H$5:$H$204,T1162)))</f>
        <v/>
      </c>
      <c r="Y1162" s="11">
        <f>IF(J1162="","",S1162-V1162-W1162-X1162)</f>
        <v/>
      </c>
    </row>
    <row r="1163">
      <c r="A1163" s="19" t="n"/>
      <c r="B1163" s="19" t="n"/>
      <c r="C1163" s="19" t="n"/>
      <c r="D1163" s="19" t="n"/>
      <c r="E1163" s="19" t="n"/>
      <c r="F1163" s="20" t="n"/>
      <c r="G1163" s="20" t="n"/>
      <c r="H1163" s="20" t="n"/>
      <c r="I1163" s="19" t="n"/>
      <c r="J1163">
        <f>IFERROR(IF(C1163="","",C1163)&amp;"","")</f>
        <v/>
      </c>
      <c r="K1163">
        <f>IFERROR(IF(D1163="","",D1163)&amp;"","")</f>
        <v/>
      </c>
      <c r="L1163">
        <f>IFERROR(IF(I1163="","",I1163)&amp;"","")</f>
        <v/>
      </c>
      <c r="M1163">
        <f>IF(J1163="","",IFERROR(VALUE(SUBSTITUTE(SUBSTITUTE(IF(E1163="","",E1163)&amp;"","$",""),",","")),0))</f>
        <v/>
      </c>
      <c r="N1163" s="11">
        <f>IF(J1163="","",IFERROR(VALUE(SUBSTITUTE(SUBSTITUTE(IF(F1163="","",F1163)&amp;"","$",""),",","")),0))</f>
        <v/>
      </c>
      <c r="O1163" s="11">
        <f>IF(J1163="","",M1163*N1163)</f>
        <v/>
      </c>
      <c r="P1163">
        <f>IF(J1163="","",IF(L1163="",1,COUNTIF($L$2:$L$1501,L1163)))</f>
        <v/>
      </c>
      <c r="Q1163" s="11">
        <f>IF(J1163="","",IFERROR(VALUE(SUBSTITUTE(SUBSTITUTE(IF(G1163="","",G1163)&amp;"","$",""),",","")),0)/IF("No"="Yes",P1163,1))</f>
        <v/>
      </c>
      <c r="R1163" s="11">
        <f>IF(J1163="","",IFERROR(VALUE(SUBSTITUTE(SUBSTITUTE(IF(H1163="","",H1163)&amp;"","$",""),",","")),0)/IF("No"="Yes",P1163,1))</f>
        <v/>
      </c>
      <c r="S1163" s="11">
        <f>IF(J1163="","",O1163+Q1163-R1163)</f>
        <v/>
      </c>
      <c r="T1163">
        <f>IF(J1163="","",IFERROR(IF(K1163="",NA(),MATCH(K1163,Products!$B$5:$B$204,0)),IFERROR(MATCH(J1163,Products!$A$5:$A$204,0),"")))</f>
        <v/>
      </c>
      <c r="U1163">
        <f>IF(J1163="","",IF(T1163="","⚠ not in Products",INDEX(Products!$A$5:$A$204,T1163)))</f>
        <v/>
      </c>
      <c r="V1163" s="11">
        <f>IF(J1163="","",S1163*(IFERROR(INDEX(Settings!$B$5:$B$9,MATCH($B1163,Settings!$A$5:$A$9,0)),0)+IFERROR(INDEX(Settings!$E$5:$E$9,MATCH($B1163,Settings!$A$5:$A$9,0)),0)+IFERROR(INDEX(Settings!$G$5:$G$9,MATCH($B1163,Settings!$A$5:$A$9,0)),0))+(IFERROR(INDEX(Settings!$C$5:$C$9,MATCH($B1163,Settings!$A$5:$A$9,0)),0)+IFERROR(INDEX(Settings!$F$5:$F$9,MATCH($B1163,Settings!$A$5:$A$9,0)),0))/P1163+IFERROR(INDEX(Settings!$D$5:$D$9,MATCH($B1163,Settings!$A$5:$A$9,0)),0)*M1163)</f>
        <v/>
      </c>
      <c r="W1163" s="11">
        <f>IF(J1163="","",IF(T1163="",0,M1163*INDEX(Products!$I$5:$I$204,T1163)))</f>
        <v/>
      </c>
      <c r="X1163" s="11">
        <f>IF(J1163="","",IF(T1163="",0,S1163*INDEX(Products!$H$5:$H$204,T1163)))</f>
        <v/>
      </c>
      <c r="Y1163" s="11">
        <f>IF(J1163="","",S1163-V1163-W1163-X1163)</f>
        <v/>
      </c>
    </row>
    <row r="1164">
      <c r="A1164" s="19" t="n"/>
      <c r="B1164" s="19" t="n"/>
      <c r="C1164" s="19" t="n"/>
      <c r="D1164" s="19" t="n"/>
      <c r="E1164" s="19" t="n"/>
      <c r="F1164" s="20" t="n"/>
      <c r="G1164" s="20" t="n"/>
      <c r="H1164" s="20" t="n"/>
      <c r="I1164" s="19" t="n"/>
      <c r="J1164">
        <f>IFERROR(IF(C1164="","",C1164)&amp;"","")</f>
        <v/>
      </c>
      <c r="K1164">
        <f>IFERROR(IF(D1164="","",D1164)&amp;"","")</f>
        <v/>
      </c>
      <c r="L1164">
        <f>IFERROR(IF(I1164="","",I1164)&amp;"","")</f>
        <v/>
      </c>
      <c r="M1164">
        <f>IF(J1164="","",IFERROR(VALUE(SUBSTITUTE(SUBSTITUTE(IF(E1164="","",E1164)&amp;"","$",""),",","")),0))</f>
        <v/>
      </c>
      <c r="N1164" s="11">
        <f>IF(J1164="","",IFERROR(VALUE(SUBSTITUTE(SUBSTITUTE(IF(F1164="","",F1164)&amp;"","$",""),",","")),0))</f>
        <v/>
      </c>
      <c r="O1164" s="11">
        <f>IF(J1164="","",M1164*N1164)</f>
        <v/>
      </c>
      <c r="P1164">
        <f>IF(J1164="","",IF(L1164="",1,COUNTIF($L$2:$L$1501,L1164)))</f>
        <v/>
      </c>
      <c r="Q1164" s="11">
        <f>IF(J1164="","",IFERROR(VALUE(SUBSTITUTE(SUBSTITUTE(IF(G1164="","",G1164)&amp;"","$",""),",","")),0)/IF("No"="Yes",P1164,1))</f>
        <v/>
      </c>
      <c r="R1164" s="11">
        <f>IF(J1164="","",IFERROR(VALUE(SUBSTITUTE(SUBSTITUTE(IF(H1164="","",H1164)&amp;"","$",""),",","")),0)/IF("No"="Yes",P1164,1))</f>
        <v/>
      </c>
      <c r="S1164" s="11">
        <f>IF(J1164="","",O1164+Q1164-R1164)</f>
        <v/>
      </c>
      <c r="T1164">
        <f>IF(J1164="","",IFERROR(IF(K1164="",NA(),MATCH(K1164,Products!$B$5:$B$204,0)),IFERROR(MATCH(J1164,Products!$A$5:$A$204,0),"")))</f>
        <v/>
      </c>
      <c r="U1164">
        <f>IF(J1164="","",IF(T1164="","⚠ not in Products",INDEX(Products!$A$5:$A$204,T1164)))</f>
        <v/>
      </c>
      <c r="V1164" s="11">
        <f>IF(J1164="","",S1164*(IFERROR(INDEX(Settings!$B$5:$B$9,MATCH($B1164,Settings!$A$5:$A$9,0)),0)+IFERROR(INDEX(Settings!$E$5:$E$9,MATCH($B1164,Settings!$A$5:$A$9,0)),0)+IFERROR(INDEX(Settings!$G$5:$G$9,MATCH($B1164,Settings!$A$5:$A$9,0)),0))+(IFERROR(INDEX(Settings!$C$5:$C$9,MATCH($B1164,Settings!$A$5:$A$9,0)),0)+IFERROR(INDEX(Settings!$F$5:$F$9,MATCH($B1164,Settings!$A$5:$A$9,0)),0))/P1164+IFERROR(INDEX(Settings!$D$5:$D$9,MATCH($B1164,Settings!$A$5:$A$9,0)),0)*M1164)</f>
        <v/>
      </c>
      <c r="W1164" s="11">
        <f>IF(J1164="","",IF(T1164="",0,M1164*INDEX(Products!$I$5:$I$204,T1164)))</f>
        <v/>
      </c>
      <c r="X1164" s="11">
        <f>IF(J1164="","",IF(T1164="",0,S1164*INDEX(Products!$H$5:$H$204,T1164)))</f>
        <v/>
      </c>
      <c r="Y1164" s="11">
        <f>IF(J1164="","",S1164-V1164-W1164-X1164)</f>
        <v/>
      </c>
    </row>
    <row r="1165">
      <c r="A1165" s="19" t="n"/>
      <c r="B1165" s="19" t="n"/>
      <c r="C1165" s="19" t="n"/>
      <c r="D1165" s="19" t="n"/>
      <c r="E1165" s="19" t="n"/>
      <c r="F1165" s="20" t="n"/>
      <c r="G1165" s="20" t="n"/>
      <c r="H1165" s="20" t="n"/>
      <c r="I1165" s="19" t="n"/>
      <c r="J1165">
        <f>IFERROR(IF(C1165="","",C1165)&amp;"","")</f>
        <v/>
      </c>
      <c r="K1165">
        <f>IFERROR(IF(D1165="","",D1165)&amp;"","")</f>
        <v/>
      </c>
      <c r="L1165">
        <f>IFERROR(IF(I1165="","",I1165)&amp;"","")</f>
        <v/>
      </c>
      <c r="M1165">
        <f>IF(J1165="","",IFERROR(VALUE(SUBSTITUTE(SUBSTITUTE(IF(E1165="","",E1165)&amp;"","$",""),",","")),0))</f>
        <v/>
      </c>
      <c r="N1165" s="11">
        <f>IF(J1165="","",IFERROR(VALUE(SUBSTITUTE(SUBSTITUTE(IF(F1165="","",F1165)&amp;"","$",""),",","")),0))</f>
        <v/>
      </c>
      <c r="O1165" s="11">
        <f>IF(J1165="","",M1165*N1165)</f>
        <v/>
      </c>
      <c r="P1165">
        <f>IF(J1165="","",IF(L1165="",1,COUNTIF($L$2:$L$1501,L1165)))</f>
        <v/>
      </c>
      <c r="Q1165" s="11">
        <f>IF(J1165="","",IFERROR(VALUE(SUBSTITUTE(SUBSTITUTE(IF(G1165="","",G1165)&amp;"","$",""),",","")),0)/IF("No"="Yes",P1165,1))</f>
        <v/>
      </c>
      <c r="R1165" s="11">
        <f>IF(J1165="","",IFERROR(VALUE(SUBSTITUTE(SUBSTITUTE(IF(H1165="","",H1165)&amp;"","$",""),",","")),0)/IF("No"="Yes",P1165,1))</f>
        <v/>
      </c>
      <c r="S1165" s="11">
        <f>IF(J1165="","",O1165+Q1165-R1165)</f>
        <v/>
      </c>
      <c r="T1165">
        <f>IF(J1165="","",IFERROR(IF(K1165="",NA(),MATCH(K1165,Products!$B$5:$B$204,0)),IFERROR(MATCH(J1165,Products!$A$5:$A$204,0),"")))</f>
        <v/>
      </c>
      <c r="U1165">
        <f>IF(J1165="","",IF(T1165="","⚠ not in Products",INDEX(Products!$A$5:$A$204,T1165)))</f>
        <v/>
      </c>
      <c r="V1165" s="11">
        <f>IF(J1165="","",S1165*(IFERROR(INDEX(Settings!$B$5:$B$9,MATCH($B1165,Settings!$A$5:$A$9,0)),0)+IFERROR(INDEX(Settings!$E$5:$E$9,MATCH($B1165,Settings!$A$5:$A$9,0)),0)+IFERROR(INDEX(Settings!$G$5:$G$9,MATCH($B1165,Settings!$A$5:$A$9,0)),0))+(IFERROR(INDEX(Settings!$C$5:$C$9,MATCH($B1165,Settings!$A$5:$A$9,0)),0)+IFERROR(INDEX(Settings!$F$5:$F$9,MATCH($B1165,Settings!$A$5:$A$9,0)),0))/P1165+IFERROR(INDEX(Settings!$D$5:$D$9,MATCH($B1165,Settings!$A$5:$A$9,0)),0)*M1165)</f>
        <v/>
      </c>
      <c r="W1165" s="11">
        <f>IF(J1165="","",IF(T1165="",0,M1165*INDEX(Products!$I$5:$I$204,T1165)))</f>
        <v/>
      </c>
      <c r="X1165" s="11">
        <f>IF(J1165="","",IF(T1165="",0,S1165*INDEX(Products!$H$5:$H$204,T1165)))</f>
        <v/>
      </c>
      <c r="Y1165" s="11">
        <f>IF(J1165="","",S1165-V1165-W1165-X1165)</f>
        <v/>
      </c>
    </row>
    <row r="1166">
      <c r="A1166" s="19" t="n"/>
      <c r="B1166" s="19" t="n"/>
      <c r="C1166" s="19" t="n"/>
      <c r="D1166" s="19" t="n"/>
      <c r="E1166" s="19" t="n"/>
      <c r="F1166" s="20" t="n"/>
      <c r="G1166" s="20" t="n"/>
      <c r="H1166" s="20" t="n"/>
      <c r="I1166" s="19" t="n"/>
      <c r="J1166">
        <f>IFERROR(IF(C1166="","",C1166)&amp;"","")</f>
        <v/>
      </c>
      <c r="K1166">
        <f>IFERROR(IF(D1166="","",D1166)&amp;"","")</f>
        <v/>
      </c>
      <c r="L1166">
        <f>IFERROR(IF(I1166="","",I1166)&amp;"","")</f>
        <v/>
      </c>
      <c r="M1166">
        <f>IF(J1166="","",IFERROR(VALUE(SUBSTITUTE(SUBSTITUTE(IF(E1166="","",E1166)&amp;"","$",""),",","")),0))</f>
        <v/>
      </c>
      <c r="N1166" s="11">
        <f>IF(J1166="","",IFERROR(VALUE(SUBSTITUTE(SUBSTITUTE(IF(F1166="","",F1166)&amp;"","$",""),",","")),0))</f>
        <v/>
      </c>
      <c r="O1166" s="11">
        <f>IF(J1166="","",M1166*N1166)</f>
        <v/>
      </c>
      <c r="P1166">
        <f>IF(J1166="","",IF(L1166="",1,COUNTIF($L$2:$L$1501,L1166)))</f>
        <v/>
      </c>
      <c r="Q1166" s="11">
        <f>IF(J1166="","",IFERROR(VALUE(SUBSTITUTE(SUBSTITUTE(IF(G1166="","",G1166)&amp;"","$",""),",","")),0)/IF("No"="Yes",P1166,1))</f>
        <v/>
      </c>
      <c r="R1166" s="11">
        <f>IF(J1166="","",IFERROR(VALUE(SUBSTITUTE(SUBSTITUTE(IF(H1166="","",H1166)&amp;"","$",""),",","")),0)/IF("No"="Yes",P1166,1))</f>
        <v/>
      </c>
      <c r="S1166" s="11">
        <f>IF(J1166="","",O1166+Q1166-R1166)</f>
        <v/>
      </c>
      <c r="T1166">
        <f>IF(J1166="","",IFERROR(IF(K1166="",NA(),MATCH(K1166,Products!$B$5:$B$204,0)),IFERROR(MATCH(J1166,Products!$A$5:$A$204,0),"")))</f>
        <v/>
      </c>
      <c r="U1166">
        <f>IF(J1166="","",IF(T1166="","⚠ not in Products",INDEX(Products!$A$5:$A$204,T1166)))</f>
        <v/>
      </c>
      <c r="V1166" s="11">
        <f>IF(J1166="","",S1166*(IFERROR(INDEX(Settings!$B$5:$B$9,MATCH($B1166,Settings!$A$5:$A$9,0)),0)+IFERROR(INDEX(Settings!$E$5:$E$9,MATCH($B1166,Settings!$A$5:$A$9,0)),0)+IFERROR(INDEX(Settings!$G$5:$G$9,MATCH($B1166,Settings!$A$5:$A$9,0)),0))+(IFERROR(INDEX(Settings!$C$5:$C$9,MATCH($B1166,Settings!$A$5:$A$9,0)),0)+IFERROR(INDEX(Settings!$F$5:$F$9,MATCH($B1166,Settings!$A$5:$A$9,0)),0))/P1166+IFERROR(INDEX(Settings!$D$5:$D$9,MATCH($B1166,Settings!$A$5:$A$9,0)),0)*M1166)</f>
        <v/>
      </c>
      <c r="W1166" s="11">
        <f>IF(J1166="","",IF(T1166="",0,M1166*INDEX(Products!$I$5:$I$204,T1166)))</f>
        <v/>
      </c>
      <c r="X1166" s="11">
        <f>IF(J1166="","",IF(T1166="",0,S1166*INDEX(Products!$H$5:$H$204,T1166)))</f>
        <v/>
      </c>
      <c r="Y1166" s="11">
        <f>IF(J1166="","",S1166-V1166-W1166-X1166)</f>
        <v/>
      </c>
    </row>
    <row r="1167">
      <c r="A1167" s="19" t="n"/>
      <c r="B1167" s="19" t="n"/>
      <c r="C1167" s="19" t="n"/>
      <c r="D1167" s="19" t="n"/>
      <c r="E1167" s="19" t="n"/>
      <c r="F1167" s="20" t="n"/>
      <c r="G1167" s="20" t="n"/>
      <c r="H1167" s="20" t="n"/>
      <c r="I1167" s="19" t="n"/>
      <c r="J1167">
        <f>IFERROR(IF(C1167="","",C1167)&amp;"","")</f>
        <v/>
      </c>
      <c r="K1167">
        <f>IFERROR(IF(D1167="","",D1167)&amp;"","")</f>
        <v/>
      </c>
      <c r="L1167">
        <f>IFERROR(IF(I1167="","",I1167)&amp;"","")</f>
        <v/>
      </c>
      <c r="M1167">
        <f>IF(J1167="","",IFERROR(VALUE(SUBSTITUTE(SUBSTITUTE(IF(E1167="","",E1167)&amp;"","$",""),",","")),0))</f>
        <v/>
      </c>
      <c r="N1167" s="11">
        <f>IF(J1167="","",IFERROR(VALUE(SUBSTITUTE(SUBSTITUTE(IF(F1167="","",F1167)&amp;"","$",""),",","")),0))</f>
        <v/>
      </c>
      <c r="O1167" s="11">
        <f>IF(J1167="","",M1167*N1167)</f>
        <v/>
      </c>
      <c r="P1167">
        <f>IF(J1167="","",IF(L1167="",1,COUNTIF($L$2:$L$1501,L1167)))</f>
        <v/>
      </c>
      <c r="Q1167" s="11">
        <f>IF(J1167="","",IFERROR(VALUE(SUBSTITUTE(SUBSTITUTE(IF(G1167="","",G1167)&amp;"","$",""),",","")),0)/IF("No"="Yes",P1167,1))</f>
        <v/>
      </c>
      <c r="R1167" s="11">
        <f>IF(J1167="","",IFERROR(VALUE(SUBSTITUTE(SUBSTITUTE(IF(H1167="","",H1167)&amp;"","$",""),",","")),0)/IF("No"="Yes",P1167,1))</f>
        <v/>
      </c>
      <c r="S1167" s="11">
        <f>IF(J1167="","",O1167+Q1167-R1167)</f>
        <v/>
      </c>
      <c r="T1167">
        <f>IF(J1167="","",IFERROR(IF(K1167="",NA(),MATCH(K1167,Products!$B$5:$B$204,0)),IFERROR(MATCH(J1167,Products!$A$5:$A$204,0),"")))</f>
        <v/>
      </c>
      <c r="U1167">
        <f>IF(J1167="","",IF(T1167="","⚠ not in Products",INDEX(Products!$A$5:$A$204,T1167)))</f>
        <v/>
      </c>
      <c r="V1167" s="11">
        <f>IF(J1167="","",S1167*(IFERROR(INDEX(Settings!$B$5:$B$9,MATCH($B1167,Settings!$A$5:$A$9,0)),0)+IFERROR(INDEX(Settings!$E$5:$E$9,MATCH($B1167,Settings!$A$5:$A$9,0)),0)+IFERROR(INDEX(Settings!$G$5:$G$9,MATCH($B1167,Settings!$A$5:$A$9,0)),0))+(IFERROR(INDEX(Settings!$C$5:$C$9,MATCH($B1167,Settings!$A$5:$A$9,0)),0)+IFERROR(INDEX(Settings!$F$5:$F$9,MATCH($B1167,Settings!$A$5:$A$9,0)),0))/P1167+IFERROR(INDEX(Settings!$D$5:$D$9,MATCH($B1167,Settings!$A$5:$A$9,0)),0)*M1167)</f>
        <v/>
      </c>
      <c r="W1167" s="11">
        <f>IF(J1167="","",IF(T1167="",0,M1167*INDEX(Products!$I$5:$I$204,T1167)))</f>
        <v/>
      </c>
      <c r="X1167" s="11">
        <f>IF(J1167="","",IF(T1167="",0,S1167*INDEX(Products!$H$5:$H$204,T1167)))</f>
        <v/>
      </c>
      <c r="Y1167" s="11">
        <f>IF(J1167="","",S1167-V1167-W1167-X1167)</f>
        <v/>
      </c>
    </row>
    <row r="1168">
      <c r="A1168" s="19" t="n"/>
      <c r="B1168" s="19" t="n"/>
      <c r="C1168" s="19" t="n"/>
      <c r="D1168" s="19" t="n"/>
      <c r="E1168" s="19" t="n"/>
      <c r="F1168" s="20" t="n"/>
      <c r="G1168" s="20" t="n"/>
      <c r="H1168" s="20" t="n"/>
      <c r="I1168" s="19" t="n"/>
      <c r="J1168">
        <f>IFERROR(IF(C1168="","",C1168)&amp;"","")</f>
        <v/>
      </c>
      <c r="K1168">
        <f>IFERROR(IF(D1168="","",D1168)&amp;"","")</f>
        <v/>
      </c>
      <c r="L1168">
        <f>IFERROR(IF(I1168="","",I1168)&amp;"","")</f>
        <v/>
      </c>
      <c r="M1168">
        <f>IF(J1168="","",IFERROR(VALUE(SUBSTITUTE(SUBSTITUTE(IF(E1168="","",E1168)&amp;"","$",""),",","")),0))</f>
        <v/>
      </c>
      <c r="N1168" s="11">
        <f>IF(J1168="","",IFERROR(VALUE(SUBSTITUTE(SUBSTITUTE(IF(F1168="","",F1168)&amp;"","$",""),",","")),0))</f>
        <v/>
      </c>
      <c r="O1168" s="11">
        <f>IF(J1168="","",M1168*N1168)</f>
        <v/>
      </c>
      <c r="P1168">
        <f>IF(J1168="","",IF(L1168="",1,COUNTIF($L$2:$L$1501,L1168)))</f>
        <v/>
      </c>
      <c r="Q1168" s="11">
        <f>IF(J1168="","",IFERROR(VALUE(SUBSTITUTE(SUBSTITUTE(IF(G1168="","",G1168)&amp;"","$",""),",","")),0)/IF("No"="Yes",P1168,1))</f>
        <v/>
      </c>
      <c r="R1168" s="11">
        <f>IF(J1168="","",IFERROR(VALUE(SUBSTITUTE(SUBSTITUTE(IF(H1168="","",H1168)&amp;"","$",""),",","")),0)/IF("No"="Yes",P1168,1))</f>
        <v/>
      </c>
      <c r="S1168" s="11">
        <f>IF(J1168="","",O1168+Q1168-R1168)</f>
        <v/>
      </c>
      <c r="T1168">
        <f>IF(J1168="","",IFERROR(IF(K1168="",NA(),MATCH(K1168,Products!$B$5:$B$204,0)),IFERROR(MATCH(J1168,Products!$A$5:$A$204,0),"")))</f>
        <v/>
      </c>
      <c r="U1168">
        <f>IF(J1168="","",IF(T1168="","⚠ not in Products",INDEX(Products!$A$5:$A$204,T1168)))</f>
        <v/>
      </c>
      <c r="V1168" s="11">
        <f>IF(J1168="","",S1168*(IFERROR(INDEX(Settings!$B$5:$B$9,MATCH($B1168,Settings!$A$5:$A$9,0)),0)+IFERROR(INDEX(Settings!$E$5:$E$9,MATCH($B1168,Settings!$A$5:$A$9,0)),0)+IFERROR(INDEX(Settings!$G$5:$G$9,MATCH($B1168,Settings!$A$5:$A$9,0)),0))+(IFERROR(INDEX(Settings!$C$5:$C$9,MATCH($B1168,Settings!$A$5:$A$9,0)),0)+IFERROR(INDEX(Settings!$F$5:$F$9,MATCH($B1168,Settings!$A$5:$A$9,0)),0))/P1168+IFERROR(INDEX(Settings!$D$5:$D$9,MATCH($B1168,Settings!$A$5:$A$9,0)),0)*M1168)</f>
        <v/>
      </c>
      <c r="W1168" s="11">
        <f>IF(J1168="","",IF(T1168="",0,M1168*INDEX(Products!$I$5:$I$204,T1168)))</f>
        <v/>
      </c>
      <c r="X1168" s="11">
        <f>IF(J1168="","",IF(T1168="",0,S1168*INDEX(Products!$H$5:$H$204,T1168)))</f>
        <v/>
      </c>
      <c r="Y1168" s="11">
        <f>IF(J1168="","",S1168-V1168-W1168-X1168)</f>
        <v/>
      </c>
    </row>
    <row r="1169">
      <c r="A1169" s="19" t="n"/>
      <c r="B1169" s="19" t="n"/>
      <c r="C1169" s="19" t="n"/>
      <c r="D1169" s="19" t="n"/>
      <c r="E1169" s="19" t="n"/>
      <c r="F1169" s="20" t="n"/>
      <c r="G1169" s="20" t="n"/>
      <c r="H1169" s="20" t="n"/>
      <c r="I1169" s="19" t="n"/>
      <c r="J1169">
        <f>IFERROR(IF(C1169="","",C1169)&amp;"","")</f>
        <v/>
      </c>
      <c r="K1169">
        <f>IFERROR(IF(D1169="","",D1169)&amp;"","")</f>
        <v/>
      </c>
      <c r="L1169">
        <f>IFERROR(IF(I1169="","",I1169)&amp;"","")</f>
        <v/>
      </c>
      <c r="M1169">
        <f>IF(J1169="","",IFERROR(VALUE(SUBSTITUTE(SUBSTITUTE(IF(E1169="","",E1169)&amp;"","$",""),",","")),0))</f>
        <v/>
      </c>
      <c r="N1169" s="11">
        <f>IF(J1169="","",IFERROR(VALUE(SUBSTITUTE(SUBSTITUTE(IF(F1169="","",F1169)&amp;"","$",""),",","")),0))</f>
        <v/>
      </c>
      <c r="O1169" s="11">
        <f>IF(J1169="","",M1169*N1169)</f>
        <v/>
      </c>
      <c r="P1169">
        <f>IF(J1169="","",IF(L1169="",1,COUNTIF($L$2:$L$1501,L1169)))</f>
        <v/>
      </c>
      <c r="Q1169" s="11">
        <f>IF(J1169="","",IFERROR(VALUE(SUBSTITUTE(SUBSTITUTE(IF(G1169="","",G1169)&amp;"","$",""),",","")),0)/IF("No"="Yes",P1169,1))</f>
        <v/>
      </c>
      <c r="R1169" s="11">
        <f>IF(J1169="","",IFERROR(VALUE(SUBSTITUTE(SUBSTITUTE(IF(H1169="","",H1169)&amp;"","$",""),",","")),0)/IF("No"="Yes",P1169,1))</f>
        <v/>
      </c>
      <c r="S1169" s="11">
        <f>IF(J1169="","",O1169+Q1169-R1169)</f>
        <v/>
      </c>
      <c r="T1169">
        <f>IF(J1169="","",IFERROR(IF(K1169="",NA(),MATCH(K1169,Products!$B$5:$B$204,0)),IFERROR(MATCH(J1169,Products!$A$5:$A$204,0),"")))</f>
        <v/>
      </c>
      <c r="U1169">
        <f>IF(J1169="","",IF(T1169="","⚠ not in Products",INDEX(Products!$A$5:$A$204,T1169)))</f>
        <v/>
      </c>
      <c r="V1169" s="11">
        <f>IF(J1169="","",S1169*(IFERROR(INDEX(Settings!$B$5:$B$9,MATCH($B1169,Settings!$A$5:$A$9,0)),0)+IFERROR(INDEX(Settings!$E$5:$E$9,MATCH($B1169,Settings!$A$5:$A$9,0)),0)+IFERROR(INDEX(Settings!$G$5:$G$9,MATCH($B1169,Settings!$A$5:$A$9,0)),0))+(IFERROR(INDEX(Settings!$C$5:$C$9,MATCH($B1169,Settings!$A$5:$A$9,0)),0)+IFERROR(INDEX(Settings!$F$5:$F$9,MATCH($B1169,Settings!$A$5:$A$9,0)),0))/P1169+IFERROR(INDEX(Settings!$D$5:$D$9,MATCH($B1169,Settings!$A$5:$A$9,0)),0)*M1169)</f>
        <v/>
      </c>
      <c r="W1169" s="11">
        <f>IF(J1169="","",IF(T1169="",0,M1169*INDEX(Products!$I$5:$I$204,T1169)))</f>
        <v/>
      </c>
      <c r="X1169" s="11">
        <f>IF(J1169="","",IF(T1169="",0,S1169*INDEX(Products!$H$5:$H$204,T1169)))</f>
        <v/>
      </c>
      <c r="Y1169" s="11">
        <f>IF(J1169="","",S1169-V1169-W1169-X1169)</f>
        <v/>
      </c>
    </row>
    <row r="1170">
      <c r="A1170" s="19" t="n"/>
      <c r="B1170" s="19" t="n"/>
      <c r="C1170" s="19" t="n"/>
      <c r="D1170" s="19" t="n"/>
      <c r="E1170" s="19" t="n"/>
      <c r="F1170" s="20" t="n"/>
      <c r="G1170" s="20" t="n"/>
      <c r="H1170" s="20" t="n"/>
      <c r="I1170" s="19" t="n"/>
      <c r="J1170">
        <f>IFERROR(IF(C1170="","",C1170)&amp;"","")</f>
        <v/>
      </c>
      <c r="K1170">
        <f>IFERROR(IF(D1170="","",D1170)&amp;"","")</f>
        <v/>
      </c>
      <c r="L1170">
        <f>IFERROR(IF(I1170="","",I1170)&amp;"","")</f>
        <v/>
      </c>
      <c r="M1170">
        <f>IF(J1170="","",IFERROR(VALUE(SUBSTITUTE(SUBSTITUTE(IF(E1170="","",E1170)&amp;"","$",""),",","")),0))</f>
        <v/>
      </c>
      <c r="N1170" s="11">
        <f>IF(J1170="","",IFERROR(VALUE(SUBSTITUTE(SUBSTITUTE(IF(F1170="","",F1170)&amp;"","$",""),",","")),0))</f>
        <v/>
      </c>
      <c r="O1170" s="11">
        <f>IF(J1170="","",M1170*N1170)</f>
        <v/>
      </c>
      <c r="P1170">
        <f>IF(J1170="","",IF(L1170="",1,COUNTIF($L$2:$L$1501,L1170)))</f>
        <v/>
      </c>
      <c r="Q1170" s="11">
        <f>IF(J1170="","",IFERROR(VALUE(SUBSTITUTE(SUBSTITUTE(IF(G1170="","",G1170)&amp;"","$",""),",","")),0)/IF("No"="Yes",P1170,1))</f>
        <v/>
      </c>
      <c r="R1170" s="11">
        <f>IF(J1170="","",IFERROR(VALUE(SUBSTITUTE(SUBSTITUTE(IF(H1170="","",H1170)&amp;"","$",""),",","")),0)/IF("No"="Yes",P1170,1))</f>
        <v/>
      </c>
      <c r="S1170" s="11">
        <f>IF(J1170="","",O1170+Q1170-R1170)</f>
        <v/>
      </c>
      <c r="T1170">
        <f>IF(J1170="","",IFERROR(IF(K1170="",NA(),MATCH(K1170,Products!$B$5:$B$204,0)),IFERROR(MATCH(J1170,Products!$A$5:$A$204,0),"")))</f>
        <v/>
      </c>
      <c r="U1170">
        <f>IF(J1170="","",IF(T1170="","⚠ not in Products",INDEX(Products!$A$5:$A$204,T1170)))</f>
        <v/>
      </c>
      <c r="V1170" s="11">
        <f>IF(J1170="","",S1170*(IFERROR(INDEX(Settings!$B$5:$B$9,MATCH($B1170,Settings!$A$5:$A$9,0)),0)+IFERROR(INDEX(Settings!$E$5:$E$9,MATCH($B1170,Settings!$A$5:$A$9,0)),0)+IFERROR(INDEX(Settings!$G$5:$G$9,MATCH($B1170,Settings!$A$5:$A$9,0)),0))+(IFERROR(INDEX(Settings!$C$5:$C$9,MATCH($B1170,Settings!$A$5:$A$9,0)),0)+IFERROR(INDEX(Settings!$F$5:$F$9,MATCH($B1170,Settings!$A$5:$A$9,0)),0))/P1170+IFERROR(INDEX(Settings!$D$5:$D$9,MATCH($B1170,Settings!$A$5:$A$9,0)),0)*M1170)</f>
        <v/>
      </c>
      <c r="W1170" s="11">
        <f>IF(J1170="","",IF(T1170="",0,M1170*INDEX(Products!$I$5:$I$204,T1170)))</f>
        <v/>
      </c>
      <c r="X1170" s="11">
        <f>IF(J1170="","",IF(T1170="",0,S1170*INDEX(Products!$H$5:$H$204,T1170)))</f>
        <v/>
      </c>
      <c r="Y1170" s="11">
        <f>IF(J1170="","",S1170-V1170-W1170-X1170)</f>
        <v/>
      </c>
    </row>
    <row r="1171">
      <c r="A1171" s="19" t="n"/>
      <c r="B1171" s="19" t="n"/>
      <c r="C1171" s="19" t="n"/>
      <c r="D1171" s="19" t="n"/>
      <c r="E1171" s="19" t="n"/>
      <c r="F1171" s="20" t="n"/>
      <c r="G1171" s="20" t="n"/>
      <c r="H1171" s="20" t="n"/>
      <c r="I1171" s="19" t="n"/>
      <c r="J1171">
        <f>IFERROR(IF(C1171="","",C1171)&amp;"","")</f>
        <v/>
      </c>
      <c r="K1171">
        <f>IFERROR(IF(D1171="","",D1171)&amp;"","")</f>
        <v/>
      </c>
      <c r="L1171">
        <f>IFERROR(IF(I1171="","",I1171)&amp;"","")</f>
        <v/>
      </c>
      <c r="M1171">
        <f>IF(J1171="","",IFERROR(VALUE(SUBSTITUTE(SUBSTITUTE(IF(E1171="","",E1171)&amp;"","$",""),",","")),0))</f>
        <v/>
      </c>
      <c r="N1171" s="11">
        <f>IF(J1171="","",IFERROR(VALUE(SUBSTITUTE(SUBSTITUTE(IF(F1171="","",F1171)&amp;"","$",""),",","")),0))</f>
        <v/>
      </c>
      <c r="O1171" s="11">
        <f>IF(J1171="","",M1171*N1171)</f>
        <v/>
      </c>
      <c r="P1171">
        <f>IF(J1171="","",IF(L1171="",1,COUNTIF($L$2:$L$1501,L1171)))</f>
        <v/>
      </c>
      <c r="Q1171" s="11">
        <f>IF(J1171="","",IFERROR(VALUE(SUBSTITUTE(SUBSTITUTE(IF(G1171="","",G1171)&amp;"","$",""),",","")),0)/IF("No"="Yes",P1171,1))</f>
        <v/>
      </c>
      <c r="R1171" s="11">
        <f>IF(J1171="","",IFERROR(VALUE(SUBSTITUTE(SUBSTITUTE(IF(H1171="","",H1171)&amp;"","$",""),",","")),0)/IF("No"="Yes",P1171,1))</f>
        <v/>
      </c>
      <c r="S1171" s="11">
        <f>IF(J1171="","",O1171+Q1171-R1171)</f>
        <v/>
      </c>
      <c r="T1171">
        <f>IF(J1171="","",IFERROR(IF(K1171="",NA(),MATCH(K1171,Products!$B$5:$B$204,0)),IFERROR(MATCH(J1171,Products!$A$5:$A$204,0),"")))</f>
        <v/>
      </c>
      <c r="U1171">
        <f>IF(J1171="","",IF(T1171="","⚠ not in Products",INDEX(Products!$A$5:$A$204,T1171)))</f>
        <v/>
      </c>
      <c r="V1171" s="11">
        <f>IF(J1171="","",S1171*(IFERROR(INDEX(Settings!$B$5:$B$9,MATCH($B1171,Settings!$A$5:$A$9,0)),0)+IFERROR(INDEX(Settings!$E$5:$E$9,MATCH($B1171,Settings!$A$5:$A$9,0)),0)+IFERROR(INDEX(Settings!$G$5:$G$9,MATCH($B1171,Settings!$A$5:$A$9,0)),0))+(IFERROR(INDEX(Settings!$C$5:$C$9,MATCH($B1171,Settings!$A$5:$A$9,0)),0)+IFERROR(INDEX(Settings!$F$5:$F$9,MATCH($B1171,Settings!$A$5:$A$9,0)),0))/P1171+IFERROR(INDEX(Settings!$D$5:$D$9,MATCH($B1171,Settings!$A$5:$A$9,0)),0)*M1171)</f>
        <v/>
      </c>
      <c r="W1171" s="11">
        <f>IF(J1171="","",IF(T1171="",0,M1171*INDEX(Products!$I$5:$I$204,T1171)))</f>
        <v/>
      </c>
      <c r="X1171" s="11">
        <f>IF(J1171="","",IF(T1171="",0,S1171*INDEX(Products!$H$5:$H$204,T1171)))</f>
        <v/>
      </c>
      <c r="Y1171" s="11">
        <f>IF(J1171="","",S1171-V1171-W1171-X1171)</f>
        <v/>
      </c>
    </row>
    <row r="1172">
      <c r="A1172" s="19" t="n"/>
      <c r="B1172" s="19" t="n"/>
      <c r="C1172" s="19" t="n"/>
      <c r="D1172" s="19" t="n"/>
      <c r="E1172" s="19" t="n"/>
      <c r="F1172" s="20" t="n"/>
      <c r="G1172" s="20" t="n"/>
      <c r="H1172" s="20" t="n"/>
      <c r="I1172" s="19" t="n"/>
      <c r="J1172">
        <f>IFERROR(IF(C1172="","",C1172)&amp;"","")</f>
        <v/>
      </c>
      <c r="K1172">
        <f>IFERROR(IF(D1172="","",D1172)&amp;"","")</f>
        <v/>
      </c>
      <c r="L1172">
        <f>IFERROR(IF(I1172="","",I1172)&amp;"","")</f>
        <v/>
      </c>
      <c r="M1172">
        <f>IF(J1172="","",IFERROR(VALUE(SUBSTITUTE(SUBSTITUTE(IF(E1172="","",E1172)&amp;"","$",""),",","")),0))</f>
        <v/>
      </c>
      <c r="N1172" s="11">
        <f>IF(J1172="","",IFERROR(VALUE(SUBSTITUTE(SUBSTITUTE(IF(F1172="","",F1172)&amp;"","$",""),",","")),0))</f>
        <v/>
      </c>
      <c r="O1172" s="11">
        <f>IF(J1172="","",M1172*N1172)</f>
        <v/>
      </c>
      <c r="P1172">
        <f>IF(J1172="","",IF(L1172="",1,COUNTIF($L$2:$L$1501,L1172)))</f>
        <v/>
      </c>
      <c r="Q1172" s="11">
        <f>IF(J1172="","",IFERROR(VALUE(SUBSTITUTE(SUBSTITUTE(IF(G1172="","",G1172)&amp;"","$",""),",","")),0)/IF("No"="Yes",P1172,1))</f>
        <v/>
      </c>
      <c r="R1172" s="11">
        <f>IF(J1172="","",IFERROR(VALUE(SUBSTITUTE(SUBSTITUTE(IF(H1172="","",H1172)&amp;"","$",""),",","")),0)/IF("No"="Yes",P1172,1))</f>
        <v/>
      </c>
      <c r="S1172" s="11">
        <f>IF(J1172="","",O1172+Q1172-R1172)</f>
        <v/>
      </c>
      <c r="T1172">
        <f>IF(J1172="","",IFERROR(IF(K1172="",NA(),MATCH(K1172,Products!$B$5:$B$204,0)),IFERROR(MATCH(J1172,Products!$A$5:$A$204,0),"")))</f>
        <v/>
      </c>
      <c r="U1172">
        <f>IF(J1172="","",IF(T1172="","⚠ not in Products",INDEX(Products!$A$5:$A$204,T1172)))</f>
        <v/>
      </c>
      <c r="V1172" s="11">
        <f>IF(J1172="","",S1172*(IFERROR(INDEX(Settings!$B$5:$B$9,MATCH($B1172,Settings!$A$5:$A$9,0)),0)+IFERROR(INDEX(Settings!$E$5:$E$9,MATCH($B1172,Settings!$A$5:$A$9,0)),0)+IFERROR(INDEX(Settings!$G$5:$G$9,MATCH($B1172,Settings!$A$5:$A$9,0)),0))+(IFERROR(INDEX(Settings!$C$5:$C$9,MATCH($B1172,Settings!$A$5:$A$9,0)),0)+IFERROR(INDEX(Settings!$F$5:$F$9,MATCH($B1172,Settings!$A$5:$A$9,0)),0))/P1172+IFERROR(INDEX(Settings!$D$5:$D$9,MATCH($B1172,Settings!$A$5:$A$9,0)),0)*M1172)</f>
        <v/>
      </c>
      <c r="W1172" s="11">
        <f>IF(J1172="","",IF(T1172="",0,M1172*INDEX(Products!$I$5:$I$204,T1172)))</f>
        <v/>
      </c>
      <c r="X1172" s="11">
        <f>IF(J1172="","",IF(T1172="",0,S1172*INDEX(Products!$H$5:$H$204,T1172)))</f>
        <v/>
      </c>
      <c r="Y1172" s="11">
        <f>IF(J1172="","",S1172-V1172-W1172-X1172)</f>
        <v/>
      </c>
    </row>
    <row r="1173">
      <c r="A1173" s="19" t="n"/>
      <c r="B1173" s="19" t="n"/>
      <c r="C1173" s="19" t="n"/>
      <c r="D1173" s="19" t="n"/>
      <c r="E1173" s="19" t="n"/>
      <c r="F1173" s="20" t="n"/>
      <c r="G1173" s="20" t="n"/>
      <c r="H1173" s="20" t="n"/>
      <c r="I1173" s="19" t="n"/>
      <c r="J1173">
        <f>IFERROR(IF(C1173="","",C1173)&amp;"","")</f>
        <v/>
      </c>
      <c r="K1173">
        <f>IFERROR(IF(D1173="","",D1173)&amp;"","")</f>
        <v/>
      </c>
      <c r="L1173">
        <f>IFERROR(IF(I1173="","",I1173)&amp;"","")</f>
        <v/>
      </c>
      <c r="M1173">
        <f>IF(J1173="","",IFERROR(VALUE(SUBSTITUTE(SUBSTITUTE(IF(E1173="","",E1173)&amp;"","$",""),",","")),0))</f>
        <v/>
      </c>
      <c r="N1173" s="11">
        <f>IF(J1173="","",IFERROR(VALUE(SUBSTITUTE(SUBSTITUTE(IF(F1173="","",F1173)&amp;"","$",""),",","")),0))</f>
        <v/>
      </c>
      <c r="O1173" s="11">
        <f>IF(J1173="","",M1173*N1173)</f>
        <v/>
      </c>
      <c r="P1173">
        <f>IF(J1173="","",IF(L1173="",1,COUNTIF($L$2:$L$1501,L1173)))</f>
        <v/>
      </c>
      <c r="Q1173" s="11">
        <f>IF(J1173="","",IFERROR(VALUE(SUBSTITUTE(SUBSTITUTE(IF(G1173="","",G1173)&amp;"","$",""),",","")),0)/IF("No"="Yes",P1173,1))</f>
        <v/>
      </c>
      <c r="R1173" s="11">
        <f>IF(J1173="","",IFERROR(VALUE(SUBSTITUTE(SUBSTITUTE(IF(H1173="","",H1173)&amp;"","$",""),",","")),0)/IF("No"="Yes",P1173,1))</f>
        <v/>
      </c>
      <c r="S1173" s="11">
        <f>IF(J1173="","",O1173+Q1173-R1173)</f>
        <v/>
      </c>
      <c r="T1173">
        <f>IF(J1173="","",IFERROR(IF(K1173="",NA(),MATCH(K1173,Products!$B$5:$B$204,0)),IFERROR(MATCH(J1173,Products!$A$5:$A$204,0),"")))</f>
        <v/>
      </c>
      <c r="U1173">
        <f>IF(J1173="","",IF(T1173="","⚠ not in Products",INDEX(Products!$A$5:$A$204,T1173)))</f>
        <v/>
      </c>
      <c r="V1173" s="11">
        <f>IF(J1173="","",S1173*(IFERROR(INDEX(Settings!$B$5:$B$9,MATCH($B1173,Settings!$A$5:$A$9,0)),0)+IFERROR(INDEX(Settings!$E$5:$E$9,MATCH($B1173,Settings!$A$5:$A$9,0)),0)+IFERROR(INDEX(Settings!$G$5:$G$9,MATCH($B1173,Settings!$A$5:$A$9,0)),0))+(IFERROR(INDEX(Settings!$C$5:$C$9,MATCH($B1173,Settings!$A$5:$A$9,0)),0)+IFERROR(INDEX(Settings!$F$5:$F$9,MATCH($B1173,Settings!$A$5:$A$9,0)),0))/P1173+IFERROR(INDEX(Settings!$D$5:$D$9,MATCH($B1173,Settings!$A$5:$A$9,0)),0)*M1173)</f>
        <v/>
      </c>
      <c r="W1173" s="11">
        <f>IF(J1173="","",IF(T1173="",0,M1173*INDEX(Products!$I$5:$I$204,T1173)))</f>
        <v/>
      </c>
      <c r="X1173" s="11">
        <f>IF(J1173="","",IF(T1173="",0,S1173*INDEX(Products!$H$5:$H$204,T1173)))</f>
        <v/>
      </c>
      <c r="Y1173" s="11">
        <f>IF(J1173="","",S1173-V1173-W1173-X1173)</f>
        <v/>
      </c>
    </row>
    <row r="1174">
      <c r="A1174" s="19" t="n"/>
      <c r="B1174" s="19" t="n"/>
      <c r="C1174" s="19" t="n"/>
      <c r="D1174" s="19" t="n"/>
      <c r="E1174" s="19" t="n"/>
      <c r="F1174" s="20" t="n"/>
      <c r="G1174" s="20" t="n"/>
      <c r="H1174" s="20" t="n"/>
      <c r="I1174" s="19" t="n"/>
      <c r="J1174">
        <f>IFERROR(IF(C1174="","",C1174)&amp;"","")</f>
        <v/>
      </c>
      <c r="K1174">
        <f>IFERROR(IF(D1174="","",D1174)&amp;"","")</f>
        <v/>
      </c>
      <c r="L1174">
        <f>IFERROR(IF(I1174="","",I1174)&amp;"","")</f>
        <v/>
      </c>
      <c r="M1174">
        <f>IF(J1174="","",IFERROR(VALUE(SUBSTITUTE(SUBSTITUTE(IF(E1174="","",E1174)&amp;"","$",""),",","")),0))</f>
        <v/>
      </c>
      <c r="N1174" s="11">
        <f>IF(J1174="","",IFERROR(VALUE(SUBSTITUTE(SUBSTITUTE(IF(F1174="","",F1174)&amp;"","$",""),",","")),0))</f>
        <v/>
      </c>
      <c r="O1174" s="11">
        <f>IF(J1174="","",M1174*N1174)</f>
        <v/>
      </c>
      <c r="P1174">
        <f>IF(J1174="","",IF(L1174="",1,COUNTIF($L$2:$L$1501,L1174)))</f>
        <v/>
      </c>
      <c r="Q1174" s="11">
        <f>IF(J1174="","",IFERROR(VALUE(SUBSTITUTE(SUBSTITUTE(IF(G1174="","",G1174)&amp;"","$",""),",","")),0)/IF("No"="Yes",P1174,1))</f>
        <v/>
      </c>
      <c r="R1174" s="11">
        <f>IF(J1174="","",IFERROR(VALUE(SUBSTITUTE(SUBSTITUTE(IF(H1174="","",H1174)&amp;"","$",""),",","")),0)/IF("No"="Yes",P1174,1))</f>
        <v/>
      </c>
      <c r="S1174" s="11">
        <f>IF(J1174="","",O1174+Q1174-R1174)</f>
        <v/>
      </c>
      <c r="T1174">
        <f>IF(J1174="","",IFERROR(IF(K1174="",NA(),MATCH(K1174,Products!$B$5:$B$204,0)),IFERROR(MATCH(J1174,Products!$A$5:$A$204,0),"")))</f>
        <v/>
      </c>
      <c r="U1174">
        <f>IF(J1174="","",IF(T1174="","⚠ not in Products",INDEX(Products!$A$5:$A$204,T1174)))</f>
        <v/>
      </c>
      <c r="V1174" s="11">
        <f>IF(J1174="","",S1174*(IFERROR(INDEX(Settings!$B$5:$B$9,MATCH($B1174,Settings!$A$5:$A$9,0)),0)+IFERROR(INDEX(Settings!$E$5:$E$9,MATCH($B1174,Settings!$A$5:$A$9,0)),0)+IFERROR(INDEX(Settings!$G$5:$G$9,MATCH($B1174,Settings!$A$5:$A$9,0)),0))+(IFERROR(INDEX(Settings!$C$5:$C$9,MATCH($B1174,Settings!$A$5:$A$9,0)),0)+IFERROR(INDEX(Settings!$F$5:$F$9,MATCH($B1174,Settings!$A$5:$A$9,0)),0))/P1174+IFERROR(INDEX(Settings!$D$5:$D$9,MATCH($B1174,Settings!$A$5:$A$9,0)),0)*M1174)</f>
        <v/>
      </c>
      <c r="W1174" s="11">
        <f>IF(J1174="","",IF(T1174="",0,M1174*INDEX(Products!$I$5:$I$204,T1174)))</f>
        <v/>
      </c>
      <c r="X1174" s="11">
        <f>IF(J1174="","",IF(T1174="",0,S1174*INDEX(Products!$H$5:$H$204,T1174)))</f>
        <v/>
      </c>
      <c r="Y1174" s="11">
        <f>IF(J1174="","",S1174-V1174-W1174-X1174)</f>
        <v/>
      </c>
    </row>
    <row r="1175">
      <c r="A1175" s="19" t="n"/>
      <c r="B1175" s="19" t="n"/>
      <c r="C1175" s="19" t="n"/>
      <c r="D1175" s="19" t="n"/>
      <c r="E1175" s="19" t="n"/>
      <c r="F1175" s="20" t="n"/>
      <c r="G1175" s="20" t="n"/>
      <c r="H1175" s="20" t="n"/>
      <c r="I1175" s="19" t="n"/>
      <c r="J1175">
        <f>IFERROR(IF(C1175="","",C1175)&amp;"","")</f>
        <v/>
      </c>
      <c r="K1175">
        <f>IFERROR(IF(D1175="","",D1175)&amp;"","")</f>
        <v/>
      </c>
      <c r="L1175">
        <f>IFERROR(IF(I1175="","",I1175)&amp;"","")</f>
        <v/>
      </c>
      <c r="M1175">
        <f>IF(J1175="","",IFERROR(VALUE(SUBSTITUTE(SUBSTITUTE(IF(E1175="","",E1175)&amp;"","$",""),",","")),0))</f>
        <v/>
      </c>
      <c r="N1175" s="11">
        <f>IF(J1175="","",IFERROR(VALUE(SUBSTITUTE(SUBSTITUTE(IF(F1175="","",F1175)&amp;"","$",""),",","")),0))</f>
        <v/>
      </c>
      <c r="O1175" s="11">
        <f>IF(J1175="","",M1175*N1175)</f>
        <v/>
      </c>
      <c r="P1175">
        <f>IF(J1175="","",IF(L1175="",1,COUNTIF($L$2:$L$1501,L1175)))</f>
        <v/>
      </c>
      <c r="Q1175" s="11">
        <f>IF(J1175="","",IFERROR(VALUE(SUBSTITUTE(SUBSTITUTE(IF(G1175="","",G1175)&amp;"","$",""),",","")),0)/IF("No"="Yes",P1175,1))</f>
        <v/>
      </c>
      <c r="R1175" s="11">
        <f>IF(J1175="","",IFERROR(VALUE(SUBSTITUTE(SUBSTITUTE(IF(H1175="","",H1175)&amp;"","$",""),",","")),0)/IF("No"="Yes",P1175,1))</f>
        <v/>
      </c>
      <c r="S1175" s="11">
        <f>IF(J1175="","",O1175+Q1175-R1175)</f>
        <v/>
      </c>
      <c r="T1175">
        <f>IF(J1175="","",IFERROR(IF(K1175="",NA(),MATCH(K1175,Products!$B$5:$B$204,0)),IFERROR(MATCH(J1175,Products!$A$5:$A$204,0),"")))</f>
        <v/>
      </c>
      <c r="U1175">
        <f>IF(J1175="","",IF(T1175="","⚠ not in Products",INDEX(Products!$A$5:$A$204,T1175)))</f>
        <v/>
      </c>
      <c r="V1175" s="11">
        <f>IF(J1175="","",S1175*(IFERROR(INDEX(Settings!$B$5:$B$9,MATCH($B1175,Settings!$A$5:$A$9,0)),0)+IFERROR(INDEX(Settings!$E$5:$E$9,MATCH($B1175,Settings!$A$5:$A$9,0)),0)+IFERROR(INDEX(Settings!$G$5:$G$9,MATCH($B1175,Settings!$A$5:$A$9,0)),0))+(IFERROR(INDEX(Settings!$C$5:$C$9,MATCH($B1175,Settings!$A$5:$A$9,0)),0)+IFERROR(INDEX(Settings!$F$5:$F$9,MATCH($B1175,Settings!$A$5:$A$9,0)),0))/P1175+IFERROR(INDEX(Settings!$D$5:$D$9,MATCH($B1175,Settings!$A$5:$A$9,0)),0)*M1175)</f>
        <v/>
      </c>
      <c r="W1175" s="11">
        <f>IF(J1175="","",IF(T1175="",0,M1175*INDEX(Products!$I$5:$I$204,T1175)))</f>
        <v/>
      </c>
      <c r="X1175" s="11">
        <f>IF(J1175="","",IF(T1175="",0,S1175*INDEX(Products!$H$5:$H$204,T1175)))</f>
        <v/>
      </c>
      <c r="Y1175" s="11">
        <f>IF(J1175="","",S1175-V1175-W1175-X1175)</f>
        <v/>
      </c>
    </row>
    <row r="1176">
      <c r="A1176" s="19" t="n"/>
      <c r="B1176" s="19" t="n"/>
      <c r="C1176" s="19" t="n"/>
      <c r="D1176" s="19" t="n"/>
      <c r="E1176" s="19" t="n"/>
      <c r="F1176" s="20" t="n"/>
      <c r="G1176" s="20" t="n"/>
      <c r="H1176" s="20" t="n"/>
      <c r="I1176" s="19" t="n"/>
      <c r="J1176">
        <f>IFERROR(IF(C1176="","",C1176)&amp;"","")</f>
        <v/>
      </c>
      <c r="K1176">
        <f>IFERROR(IF(D1176="","",D1176)&amp;"","")</f>
        <v/>
      </c>
      <c r="L1176">
        <f>IFERROR(IF(I1176="","",I1176)&amp;"","")</f>
        <v/>
      </c>
      <c r="M1176">
        <f>IF(J1176="","",IFERROR(VALUE(SUBSTITUTE(SUBSTITUTE(IF(E1176="","",E1176)&amp;"","$",""),",","")),0))</f>
        <v/>
      </c>
      <c r="N1176" s="11">
        <f>IF(J1176="","",IFERROR(VALUE(SUBSTITUTE(SUBSTITUTE(IF(F1176="","",F1176)&amp;"","$",""),",","")),0))</f>
        <v/>
      </c>
      <c r="O1176" s="11">
        <f>IF(J1176="","",M1176*N1176)</f>
        <v/>
      </c>
      <c r="P1176">
        <f>IF(J1176="","",IF(L1176="",1,COUNTIF($L$2:$L$1501,L1176)))</f>
        <v/>
      </c>
      <c r="Q1176" s="11">
        <f>IF(J1176="","",IFERROR(VALUE(SUBSTITUTE(SUBSTITUTE(IF(G1176="","",G1176)&amp;"","$",""),",","")),0)/IF("No"="Yes",P1176,1))</f>
        <v/>
      </c>
      <c r="R1176" s="11">
        <f>IF(J1176="","",IFERROR(VALUE(SUBSTITUTE(SUBSTITUTE(IF(H1176="","",H1176)&amp;"","$",""),",","")),0)/IF("No"="Yes",P1176,1))</f>
        <v/>
      </c>
      <c r="S1176" s="11">
        <f>IF(J1176="","",O1176+Q1176-R1176)</f>
        <v/>
      </c>
      <c r="T1176">
        <f>IF(J1176="","",IFERROR(IF(K1176="",NA(),MATCH(K1176,Products!$B$5:$B$204,0)),IFERROR(MATCH(J1176,Products!$A$5:$A$204,0),"")))</f>
        <v/>
      </c>
      <c r="U1176">
        <f>IF(J1176="","",IF(T1176="","⚠ not in Products",INDEX(Products!$A$5:$A$204,T1176)))</f>
        <v/>
      </c>
      <c r="V1176" s="11">
        <f>IF(J1176="","",S1176*(IFERROR(INDEX(Settings!$B$5:$B$9,MATCH($B1176,Settings!$A$5:$A$9,0)),0)+IFERROR(INDEX(Settings!$E$5:$E$9,MATCH($B1176,Settings!$A$5:$A$9,0)),0)+IFERROR(INDEX(Settings!$G$5:$G$9,MATCH($B1176,Settings!$A$5:$A$9,0)),0))+(IFERROR(INDEX(Settings!$C$5:$C$9,MATCH($B1176,Settings!$A$5:$A$9,0)),0)+IFERROR(INDEX(Settings!$F$5:$F$9,MATCH($B1176,Settings!$A$5:$A$9,0)),0))/P1176+IFERROR(INDEX(Settings!$D$5:$D$9,MATCH($B1176,Settings!$A$5:$A$9,0)),0)*M1176)</f>
        <v/>
      </c>
      <c r="W1176" s="11">
        <f>IF(J1176="","",IF(T1176="",0,M1176*INDEX(Products!$I$5:$I$204,T1176)))</f>
        <v/>
      </c>
      <c r="X1176" s="11">
        <f>IF(J1176="","",IF(T1176="",0,S1176*INDEX(Products!$H$5:$H$204,T1176)))</f>
        <v/>
      </c>
      <c r="Y1176" s="11">
        <f>IF(J1176="","",S1176-V1176-W1176-X1176)</f>
        <v/>
      </c>
    </row>
    <row r="1177">
      <c r="A1177" s="19" t="n"/>
      <c r="B1177" s="19" t="n"/>
      <c r="C1177" s="19" t="n"/>
      <c r="D1177" s="19" t="n"/>
      <c r="E1177" s="19" t="n"/>
      <c r="F1177" s="20" t="n"/>
      <c r="G1177" s="20" t="n"/>
      <c r="H1177" s="20" t="n"/>
      <c r="I1177" s="19" t="n"/>
      <c r="J1177">
        <f>IFERROR(IF(C1177="","",C1177)&amp;"","")</f>
        <v/>
      </c>
      <c r="K1177">
        <f>IFERROR(IF(D1177="","",D1177)&amp;"","")</f>
        <v/>
      </c>
      <c r="L1177">
        <f>IFERROR(IF(I1177="","",I1177)&amp;"","")</f>
        <v/>
      </c>
      <c r="M1177">
        <f>IF(J1177="","",IFERROR(VALUE(SUBSTITUTE(SUBSTITUTE(IF(E1177="","",E1177)&amp;"","$",""),",","")),0))</f>
        <v/>
      </c>
      <c r="N1177" s="11">
        <f>IF(J1177="","",IFERROR(VALUE(SUBSTITUTE(SUBSTITUTE(IF(F1177="","",F1177)&amp;"","$",""),",","")),0))</f>
        <v/>
      </c>
      <c r="O1177" s="11">
        <f>IF(J1177="","",M1177*N1177)</f>
        <v/>
      </c>
      <c r="P1177">
        <f>IF(J1177="","",IF(L1177="",1,COUNTIF($L$2:$L$1501,L1177)))</f>
        <v/>
      </c>
      <c r="Q1177" s="11">
        <f>IF(J1177="","",IFERROR(VALUE(SUBSTITUTE(SUBSTITUTE(IF(G1177="","",G1177)&amp;"","$",""),",","")),0)/IF("No"="Yes",P1177,1))</f>
        <v/>
      </c>
      <c r="R1177" s="11">
        <f>IF(J1177="","",IFERROR(VALUE(SUBSTITUTE(SUBSTITUTE(IF(H1177="","",H1177)&amp;"","$",""),",","")),0)/IF("No"="Yes",P1177,1))</f>
        <v/>
      </c>
      <c r="S1177" s="11">
        <f>IF(J1177="","",O1177+Q1177-R1177)</f>
        <v/>
      </c>
      <c r="T1177">
        <f>IF(J1177="","",IFERROR(IF(K1177="",NA(),MATCH(K1177,Products!$B$5:$B$204,0)),IFERROR(MATCH(J1177,Products!$A$5:$A$204,0),"")))</f>
        <v/>
      </c>
      <c r="U1177">
        <f>IF(J1177="","",IF(T1177="","⚠ not in Products",INDEX(Products!$A$5:$A$204,T1177)))</f>
        <v/>
      </c>
      <c r="V1177" s="11">
        <f>IF(J1177="","",S1177*(IFERROR(INDEX(Settings!$B$5:$B$9,MATCH($B1177,Settings!$A$5:$A$9,0)),0)+IFERROR(INDEX(Settings!$E$5:$E$9,MATCH($B1177,Settings!$A$5:$A$9,0)),0)+IFERROR(INDEX(Settings!$G$5:$G$9,MATCH($B1177,Settings!$A$5:$A$9,0)),0))+(IFERROR(INDEX(Settings!$C$5:$C$9,MATCH($B1177,Settings!$A$5:$A$9,0)),0)+IFERROR(INDEX(Settings!$F$5:$F$9,MATCH($B1177,Settings!$A$5:$A$9,0)),0))/P1177+IFERROR(INDEX(Settings!$D$5:$D$9,MATCH($B1177,Settings!$A$5:$A$9,0)),0)*M1177)</f>
        <v/>
      </c>
      <c r="W1177" s="11">
        <f>IF(J1177="","",IF(T1177="",0,M1177*INDEX(Products!$I$5:$I$204,T1177)))</f>
        <v/>
      </c>
      <c r="X1177" s="11">
        <f>IF(J1177="","",IF(T1177="",0,S1177*INDEX(Products!$H$5:$H$204,T1177)))</f>
        <v/>
      </c>
      <c r="Y1177" s="11">
        <f>IF(J1177="","",S1177-V1177-W1177-X1177)</f>
        <v/>
      </c>
    </row>
    <row r="1178">
      <c r="A1178" s="19" t="n"/>
      <c r="B1178" s="19" t="n"/>
      <c r="C1178" s="19" t="n"/>
      <c r="D1178" s="19" t="n"/>
      <c r="E1178" s="19" t="n"/>
      <c r="F1178" s="20" t="n"/>
      <c r="G1178" s="20" t="n"/>
      <c r="H1178" s="20" t="n"/>
      <c r="I1178" s="19" t="n"/>
      <c r="J1178">
        <f>IFERROR(IF(C1178="","",C1178)&amp;"","")</f>
        <v/>
      </c>
      <c r="K1178">
        <f>IFERROR(IF(D1178="","",D1178)&amp;"","")</f>
        <v/>
      </c>
      <c r="L1178">
        <f>IFERROR(IF(I1178="","",I1178)&amp;"","")</f>
        <v/>
      </c>
      <c r="M1178">
        <f>IF(J1178="","",IFERROR(VALUE(SUBSTITUTE(SUBSTITUTE(IF(E1178="","",E1178)&amp;"","$",""),",","")),0))</f>
        <v/>
      </c>
      <c r="N1178" s="11">
        <f>IF(J1178="","",IFERROR(VALUE(SUBSTITUTE(SUBSTITUTE(IF(F1178="","",F1178)&amp;"","$",""),",","")),0))</f>
        <v/>
      </c>
      <c r="O1178" s="11">
        <f>IF(J1178="","",M1178*N1178)</f>
        <v/>
      </c>
      <c r="P1178">
        <f>IF(J1178="","",IF(L1178="",1,COUNTIF($L$2:$L$1501,L1178)))</f>
        <v/>
      </c>
      <c r="Q1178" s="11">
        <f>IF(J1178="","",IFERROR(VALUE(SUBSTITUTE(SUBSTITUTE(IF(G1178="","",G1178)&amp;"","$",""),",","")),0)/IF("No"="Yes",P1178,1))</f>
        <v/>
      </c>
      <c r="R1178" s="11">
        <f>IF(J1178="","",IFERROR(VALUE(SUBSTITUTE(SUBSTITUTE(IF(H1178="","",H1178)&amp;"","$",""),",","")),0)/IF("No"="Yes",P1178,1))</f>
        <v/>
      </c>
      <c r="S1178" s="11">
        <f>IF(J1178="","",O1178+Q1178-R1178)</f>
        <v/>
      </c>
      <c r="T1178">
        <f>IF(J1178="","",IFERROR(IF(K1178="",NA(),MATCH(K1178,Products!$B$5:$B$204,0)),IFERROR(MATCH(J1178,Products!$A$5:$A$204,0),"")))</f>
        <v/>
      </c>
      <c r="U1178">
        <f>IF(J1178="","",IF(T1178="","⚠ not in Products",INDEX(Products!$A$5:$A$204,T1178)))</f>
        <v/>
      </c>
      <c r="V1178" s="11">
        <f>IF(J1178="","",S1178*(IFERROR(INDEX(Settings!$B$5:$B$9,MATCH($B1178,Settings!$A$5:$A$9,0)),0)+IFERROR(INDEX(Settings!$E$5:$E$9,MATCH($B1178,Settings!$A$5:$A$9,0)),0)+IFERROR(INDEX(Settings!$G$5:$G$9,MATCH($B1178,Settings!$A$5:$A$9,0)),0))+(IFERROR(INDEX(Settings!$C$5:$C$9,MATCH($B1178,Settings!$A$5:$A$9,0)),0)+IFERROR(INDEX(Settings!$F$5:$F$9,MATCH($B1178,Settings!$A$5:$A$9,0)),0))/P1178+IFERROR(INDEX(Settings!$D$5:$D$9,MATCH($B1178,Settings!$A$5:$A$9,0)),0)*M1178)</f>
        <v/>
      </c>
      <c r="W1178" s="11">
        <f>IF(J1178="","",IF(T1178="",0,M1178*INDEX(Products!$I$5:$I$204,T1178)))</f>
        <v/>
      </c>
      <c r="X1178" s="11">
        <f>IF(J1178="","",IF(T1178="",0,S1178*INDEX(Products!$H$5:$H$204,T1178)))</f>
        <v/>
      </c>
      <c r="Y1178" s="11">
        <f>IF(J1178="","",S1178-V1178-W1178-X1178)</f>
        <v/>
      </c>
    </row>
    <row r="1179">
      <c r="A1179" s="19" t="n"/>
      <c r="B1179" s="19" t="n"/>
      <c r="C1179" s="19" t="n"/>
      <c r="D1179" s="19" t="n"/>
      <c r="E1179" s="19" t="n"/>
      <c r="F1179" s="20" t="n"/>
      <c r="G1179" s="20" t="n"/>
      <c r="H1179" s="20" t="n"/>
      <c r="I1179" s="19" t="n"/>
      <c r="J1179">
        <f>IFERROR(IF(C1179="","",C1179)&amp;"","")</f>
        <v/>
      </c>
      <c r="K1179">
        <f>IFERROR(IF(D1179="","",D1179)&amp;"","")</f>
        <v/>
      </c>
      <c r="L1179">
        <f>IFERROR(IF(I1179="","",I1179)&amp;"","")</f>
        <v/>
      </c>
      <c r="M1179">
        <f>IF(J1179="","",IFERROR(VALUE(SUBSTITUTE(SUBSTITUTE(IF(E1179="","",E1179)&amp;"","$",""),",","")),0))</f>
        <v/>
      </c>
      <c r="N1179" s="11">
        <f>IF(J1179="","",IFERROR(VALUE(SUBSTITUTE(SUBSTITUTE(IF(F1179="","",F1179)&amp;"","$",""),",","")),0))</f>
        <v/>
      </c>
      <c r="O1179" s="11">
        <f>IF(J1179="","",M1179*N1179)</f>
        <v/>
      </c>
      <c r="P1179">
        <f>IF(J1179="","",IF(L1179="",1,COUNTIF($L$2:$L$1501,L1179)))</f>
        <v/>
      </c>
      <c r="Q1179" s="11">
        <f>IF(J1179="","",IFERROR(VALUE(SUBSTITUTE(SUBSTITUTE(IF(G1179="","",G1179)&amp;"","$",""),",","")),0)/IF("No"="Yes",P1179,1))</f>
        <v/>
      </c>
      <c r="R1179" s="11">
        <f>IF(J1179="","",IFERROR(VALUE(SUBSTITUTE(SUBSTITUTE(IF(H1179="","",H1179)&amp;"","$",""),",","")),0)/IF("No"="Yes",P1179,1))</f>
        <v/>
      </c>
      <c r="S1179" s="11">
        <f>IF(J1179="","",O1179+Q1179-R1179)</f>
        <v/>
      </c>
      <c r="T1179">
        <f>IF(J1179="","",IFERROR(IF(K1179="",NA(),MATCH(K1179,Products!$B$5:$B$204,0)),IFERROR(MATCH(J1179,Products!$A$5:$A$204,0),"")))</f>
        <v/>
      </c>
      <c r="U1179">
        <f>IF(J1179="","",IF(T1179="","⚠ not in Products",INDEX(Products!$A$5:$A$204,T1179)))</f>
        <v/>
      </c>
      <c r="V1179" s="11">
        <f>IF(J1179="","",S1179*(IFERROR(INDEX(Settings!$B$5:$B$9,MATCH($B1179,Settings!$A$5:$A$9,0)),0)+IFERROR(INDEX(Settings!$E$5:$E$9,MATCH($B1179,Settings!$A$5:$A$9,0)),0)+IFERROR(INDEX(Settings!$G$5:$G$9,MATCH($B1179,Settings!$A$5:$A$9,0)),0))+(IFERROR(INDEX(Settings!$C$5:$C$9,MATCH($B1179,Settings!$A$5:$A$9,0)),0)+IFERROR(INDEX(Settings!$F$5:$F$9,MATCH($B1179,Settings!$A$5:$A$9,0)),0))/P1179+IFERROR(INDEX(Settings!$D$5:$D$9,MATCH($B1179,Settings!$A$5:$A$9,0)),0)*M1179)</f>
        <v/>
      </c>
      <c r="W1179" s="11">
        <f>IF(J1179="","",IF(T1179="",0,M1179*INDEX(Products!$I$5:$I$204,T1179)))</f>
        <v/>
      </c>
      <c r="X1179" s="11">
        <f>IF(J1179="","",IF(T1179="",0,S1179*INDEX(Products!$H$5:$H$204,T1179)))</f>
        <v/>
      </c>
      <c r="Y1179" s="11">
        <f>IF(J1179="","",S1179-V1179-W1179-X1179)</f>
        <v/>
      </c>
    </row>
    <row r="1180">
      <c r="A1180" s="19" t="n"/>
      <c r="B1180" s="19" t="n"/>
      <c r="C1180" s="19" t="n"/>
      <c r="D1180" s="19" t="n"/>
      <c r="E1180" s="19" t="n"/>
      <c r="F1180" s="20" t="n"/>
      <c r="G1180" s="20" t="n"/>
      <c r="H1180" s="20" t="n"/>
      <c r="I1180" s="19" t="n"/>
      <c r="J1180">
        <f>IFERROR(IF(C1180="","",C1180)&amp;"","")</f>
        <v/>
      </c>
      <c r="K1180">
        <f>IFERROR(IF(D1180="","",D1180)&amp;"","")</f>
        <v/>
      </c>
      <c r="L1180">
        <f>IFERROR(IF(I1180="","",I1180)&amp;"","")</f>
        <v/>
      </c>
      <c r="M1180">
        <f>IF(J1180="","",IFERROR(VALUE(SUBSTITUTE(SUBSTITUTE(IF(E1180="","",E1180)&amp;"","$",""),",","")),0))</f>
        <v/>
      </c>
      <c r="N1180" s="11">
        <f>IF(J1180="","",IFERROR(VALUE(SUBSTITUTE(SUBSTITUTE(IF(F1180="","",F1180)&amp;"","$",""),",","")),0))</f>
        <v/>
      </c>
      <c r="O1180" s="11">
        <f>IF(J1180="","",M1180*N1180)</f>
        <v/>
      </c>
      <c r="P1180">
        <f>IF(J1180="","",IF(L1180="",1,COUNTIF($L$2:$L$1501,L1180)))</f>
        <v/>
      </c>
      <c r="Q1180" s="11">
        <f>IF(J1180="","",IFERROR(VALUE(SUBSTITUTE(SUBSTITUTE(IF(G1180="","",G1180)&amp;"","$",""),",","")),0)/IF("No"="Yes",P1180,1))</f>
        <v/>
      </c>
      <c r="R1180" s="11">
        <f>IF(J1180="","",IFERROR(VALUE(SUBSTITUTE(SUBSTITUTE(IF(H1180="","",H1180)&amp;"","$",""),",","")),0)/IF("No"="Yes",P1180,1))</f>
        <v/>
      </c>
      <c r="S1180" s="11">
        <f>IF(J1180="","",O1180+Q1180-R1180)</f>
        <v/>
      </c>
      <c r="T1180">
        <f>IF(J1180="","",IFERROR(IF(K1180="",NA(),MATCH(K1180,Products!$B$5:$B$204,0)),IFERROR(MATCH(J1180,Products!$A$5:$A$204,0),"")))</f>
        <v/>
      </c>
      <c r="U1180">
        <f>IF(J1180="","",IF(T1180="","⚠ not in Products",INDEX(Products!$A$5:$A$204,T1180)))</f>
        <v/>
      </c>
      <c r="V1180" s="11">
        <f>IF(J1180="","",S1180*(IFERROR(INDEX(Settings!$B$5:$B$9,MATCH($B1180,Settings!$A$5:$A$9,0)),0)+IFERROR(INDEX(Settings!$E$5:$E$9,MATCH($B1180,Settings!$A$5:$A$9,0)),0)+IFERROR(INDEX(Settings!$G$5:$G$9,MATCH($B1180,Settings!$A$5:$A$9,0)),0))+(IFERROR(INDEX(Settings!$C$5:$C$9,MATCH($B1180,Settings!$A$5:$A$9,0)),0)+IFERROR(INDEX(Settings!$F$5:$F$9,MATCH($B1180,Settings!$A$5:$A$9,0)),0))/P1180+IFERROR(INDEX(Settings!$D$5:$D$9,MATCH($B1180,Settings!$A$5:$A$9,0)),0)*M1180)</f>
        <v/>
      </c>
      <c r="W1180" s="11">
        <f>IF(J1180="","",IF(T1180="",0,M1180*INDEX(Products!$I$5:$I$204,T1180)))</f>
        <v/>
      </c>
      <c r="X1180" s="11">
        <f>IF(J1180="","",IF(T1180="",0,S1180*INDEX(Products!$H$5:$H$204,T1180)))</f>
        <v/>
      </c>
      <c r="Y1180" s="11">
        <f>IF(J1180="","",S1180-V1180-W1180-X1180)</f>
        <v/>
      </c>
    </row>
    <row r="1181">
      <c r="A1181" s="19" t="n"/>
      <c r="B1181" s="19" t="n"/>
      <c r="C1181" s="19" t="n"/>
      <c r="D1181" s="19" t="n"/>
      <c r="E1181" s="19" t="n"/>
      <c r="F1181" s="20" t="n"/>
      <c r="G1181" s="20" t="n"/>
      <c r="H1181" s="20" t="n"/>
      <c r="I1181" s="19" t="n"/>
      <c r="J1181">
        <f>IFERROR(IF(C1181="","",C1181)&amp;"","")</f>
        <v/>
      </c>
      <c r="K1181">
        <f>IFERROR(IF(D1181="","",D1181)&amp;"","")</f>
        <v/>
      </c>
      <c r="L1181">
        <f>IFERROR(IF(I1181="","",I1181)&amp;"","")</f>
        <v/>
      </c>
      <c r="M1181">
        <f>IF(J1181="","",IFERROR(VALUE(SUBSTITUTE(SUBSTITUTE(IF(E1181="","",E1181)&amp;"","$",""),",","")),0))</f>
        <v/>
      </c>
      <c r="N1181" s="11">
        <f>IF(J1181="","",IFERROR(VALUE(SUBSTITUTE(SUBSTITUTE(IF(F1181="","",F1181)&amp;"","$",""),",","")),0))</f>
        <v/>
      </c>
      <c r="O1181" s="11">
        <f>IF(J1181="","",M1181*N1181)</f>
        <v/>
      </c>
      <c r="P1181">
        <f>IF(J1181="","",IF(L1181="",1,COUNTIF($L$2:$L$1501,L1181)))</f>
        <v/>
      </c>
      <c r="Q1181" s="11">
        <f>IF(J1181="","",IFERROR(VALUE(SUBSTITUTE(SUBSTITUTE(IF(G1181="","",G1181)&amp;"","$",""),",","")),0)/IF("No"="Yes",P1181,1))</f>
        <v/>
      </c>
      <c r="R1181" s="11">
        <f>IF(J1181="","",IFERROR(VALUE(SUBSTITUTE(SUBSTITUTE(IF(H1181="","",H1181)&amp;"","$",""),",","")),0)/IF("No"="Yes",P1181,1))</f>
        <v/>
      </c>
      <c r="S1181" s="11">
        <f>IF(J1181="","",O1181+Q1181-R1181)</f>
        <v/>
      </c>
      <c r="T1181">
        <f>IF(J1181="","",IFERROR(IF(K1181="",NA(),MATCH(K1181,Products!$B$5:$B$204,0)),IFERROR(MATCH(J1181,Products!$A$5:$A$204,0),"")))</f>
        <v/>
      </c>
      <c r="U1181">
        <f>IF(J1181="","",IF(T1181="","⚠ not in Products",INDEX(Products!$A$5:$A$204,T1181)))</f>
        <v/>
      </c>
      <c r="V1181" s="11">
        <f>IF(J1181="","",S1181*(IFERROR(INDEX(Settings!$B$5:$B$9,MATCH($B1181,Settings!$A$5:$A$9,0)),0)+IFERROR(INDEX(Settings!$E$5:$E$9,MATCH($B1181,Settings!$A$5:$A$9,0)),0)+IFERROR(INDEX(Settings!$G$5:$G$9,MATCH($B1181,Settings!$A$5:$A$9,0)),0))+(IFERROR(INDEX(Settings!$C$5:$C$9,MATCH($B1181,Settings!$A$5:$A$9,0)),0)+IFERROR(INDEX(Settings!$F$5:$F$9,MATCH($B1181,Settings!$A$5:$A$9,0)),0))/P1181+IFERROR(INDEX(Settings!$D$5:$D$9,MATCH($B1181,Settings!$A$5:$A$9,0)),0)*M1181)</f>
        <v/>
      </c>
      <c r="W1181" s="11">
        <f>IF(J1181="","",IF(T1181="",0,M1181*INDEX(Products!$I$5:$I$204,T1181)))</f>
        <v/>
      </c>
      <c r="X1181" s="11">
        <f>IF(J1181="","",IF(T1181="",0,S1181*INDEX(Products!$H$5:$H$204,T1181)))</f>
        <v/>
      </c>
      <c r="Y1181" s="11">
        <f>IF(J1181="","",S1181-V1181-W1181-X1181)</f>
        <v/>
      </c>
    </row>
    <row r="1182">
      <c r="A1182" s="19" t="n"/>
      <c r="B1182" s="19" t="n"/>
      <c r="C1182" s="19" t="n"/>
      <c r="D1182" s="19" t="n"/>
      <c r="E1182" s="19" t="n"/>
      <c r="F1182" s="20" t="n"/>
      <c r="G1182" s="20" t="n"/>
      <c r="H1182" s="20" t="n"/>
      <c r="I1182" s="19" t="n"/>
      <c r="J1182">
        <f>IFERROR(IF(C1182="","",C1182)&amp;"","")</f>
        <v/>
      </c>
      <c r="K1182">
        <f>IFERROR(IF(D1182="","",D1182)&amp;"","")</f>
        <v/>
      </c>
      <c r="L1182">
        <f>IFERROR(IF(I1182="","",I1182)&amp;"","")</f>
        <v/>
      </c>
      <c r="M1182">
        <f>IF(J1182="","",IFERROR(VALUE(SUBSTITUTE(SUBSTITUTE(IF(E1182="","",E1182)&amp;"","$",""),",","")),0))</f>
        <v/>
      </c>
      <c r="N1182" s="11">
        <f>IF(J1182="","",IFERROR(VALUE(SUBSTITUTE(SUBSTITUTE(IF(F1182="","",F1182)&amp;"","$",""),",","")),0))</f>
        <v/>
      </c>
      <c r="O1182" s="11">
        <f>IF(J1182="","",M1182*N1182)</f>
        <v/>
      </c>
      <c r="P1182">
        <f>IF(J1182="","",IF(L1182="",1,COUNTIF($L$2:$L$1501,L1182)))</f>
        <v/>
      </c>
      <c r="Q1182" s="11">
        <f>IF(J1182="","",IFERROR(VALUE(SUBSTITUTE(SUBSTITUTE(IF(G1182="","",G1182)&amp;"","$",""),",","")),0)/IF("No"="Yes",P1182,1))</f>
        <v/>
      </c>
      <c r="R1182" s="11">
        <f>IF(J1182="","",IFERROR(VALUE(SUBSTITUTE(SUBSTITUTE(IF(H1182="","",H1182)&amp;"","$",""),",","")),0)/IF("No"="Yes",P1182,1))</f>
        <v/>
      </c>
      <c r="S1182" s="11">
        <f>IF(J1182="","",O1182+Q1182-R1182)</f>
        <v/>
      </c>
      <c r="T1182">
        <f>IF(J1182="","",IFERROR(IF(K1182="",NA(),MATCH(K1182,Products!$B$5:$B$204,0)),IFERROR(MATCH(J1182,Products!$A$5:$A$204,0),"")))</f>
        <v/>
      </c>
      <c r="U1182">
        <f>IF(J1182="","",IF(T1182="","⚠ not in Products",INDEX(Products!$A$5:$A$204,T1182)))</f>
        <v/>
      </c>
      <c r="V1182" s="11">
        <f>IF(J1182="","",S1182*(IFERROR(INDEX(Settings!$B$5:$B$9,MATCH($B1182,Settings!$A$5:$A$9,0)),0)+IFERROR(INDEX(Settings!$E$5:$E$9,MATCH($B1182,Settings!$A$5:$A$9,0)),0)+IFERROR(INDEX(Settings!$G$5:$G$9,MATCH($B1182,Settings!$A$5:$A$9,0)),0))+(IFERROR(INDEX(Settings!$C$5:$C$9,MATCH($B1182,Settings!$A$5:$A$9,0)),0)+IFERROR(INDEX(Settings!$F$5:$F$9,MATCH($B1182,Settings!$A$5:$A$9,0)),0))/P1182+IFERROR(INDEX(Settings!$D$5:$D$9,MATCH($B1182,Settings!$A$5:$A$9,0)),0)*M1182)</f>
        <v/>
      </c>
      <c r="W1182" s="11">
        <f>IF(J1182="","",IF(T1182="",0,M1182*INDEX(Products!$I$5:$I$204,T1182)))</f>
        <v/>
      </c>
      <c r="X1182" s="11">
        <f>IF(J1182="","",IF(T1182="",0,S1182*INDEX(Products!$H$5:$H$204,T1182)))</f>
        <v/>
      </c>
      <c r="Y1182" s="11">
        <f>IF(J1182="","",S1182-V1182-W1182-X1182)</f>
        <v/>
      </c>
    </row>
    <row r="1183">
      <c r="A1183" s="19" t="n"/>
      <c r="B1183" s="19" t="n"/>
      <c r="C1183" s="19" t="n"/>
      <c r="D1183" s="19" t="n"/>
      <c r="E1183" s="19" t="n"/>
      <c r="F1183" s="20" t="n"/>
      <c r="G1183" s="20" t="n"/>
      <c r="H1183" s="20" t="n"/>
      <c r="I1183" s="19" t="n"/>
      <c r="J1183">
        <f>IFERROR(IF(C1183="","",C1183)&amp;"","")</f>
        <v/>
      </c>
      <c r="K1183">
        <f>IFERROR(IF(D1183="","",D1183)&amp;"","")</f>
        <v/>
      </c>
      <c r="L1183">
        <f>IFERROR(IF(I1183="","",I1183)&amp;"","")</f>
        <v/>
      </c>
      <c r="M1183">
        <f>IF(J1183="","",IFERROR(VALUE(SUBSTITUTE(SUBSTITUTE(IF(E1183="","",E1183)&amp;"","$",""),",","")),0))</f>
        <v/>
      </c>
      <c r="N1183" s="11">
        <f>IF(J1183="","",IFERROR(VALUE(SUBSTITUTE(SUBSTITUTE(IF(F1183="","",F1183)&amp;"","$",""),",","")),0))</f>
        <v/>
      </c>
      <c r="O1183" s="11">
        <f>IF(J1183="","",M1183*N1183)</f>
        <v/>
      </c>
      <c r="P1183">
        <f>IF(J1183="","",IF(L1183="",1,COUNTIF($L$2:$L$1501,L1183)))</f>
        <v/>
      </c>
      <c r="Q1183" s="11">
        <f>IF(J1183="","",IFERROR(VALUE(SUBSTITUTE(SUBSTITUTE(IF(G1183="","",G1183)&amp;"","$",""),",","")),0)/IF("No"="Yes",P1183,1))</f>
        <v/>
      </c>
      <c r="R1183" s="11">
        <f>IF(J1183="","",IFERROR(VALUE(SUBSTITUTE(SUBSTITUTE(IF(H1183="","",H1183)&amp;"","$",""),",","")),0)/IF("No"="Yes",P1183,1))</f>
        <v/>
      </c>
      <c r="S1183" s="11">
        <f>IF(J1183="","",O1183+Q1183-R1183)</f>
        <v/>
      </c>
      <c r="T1183">
        <f>IF(J1183="","",IFERROR(IF(K1183="",NA(),MATCH(K1183,Products!$B$5:$B$204,0)),IFERROR(MATCH(J1183,Products!$A$5:$A$204,0),"")))</f>
        <v/>
      </c>
      <c r="U1183">
        <f>IF(J1183="","",IF(T1183="","⚠ not in Products",INDEX(Products!$A$5:$A$204,T1183)))</f>
        <v/>
      </c>
      <c r="V1183" s="11">
        <f>IF(J1183="","",S1183*(IFERROR(INDEX(Settings!$B$5:$B$9,MATCH($B1183,Settings!$A$5:$A$9,0)),0)+IFERROR(INDEX(Settings!$E$5:$E$9,MATCH($B1183,Settings!$A$5:$A$9,0)),0)+IFERROR(INDEX(Settings!$G$5:$G$9,MATCH($B1183,Settings!$A$5:$A$9,0)),0))+(IFERROR(INDEX(Settings!$C$5:$C$9,MATCH($B1183,Settings!$A$5:$A$9,0)),0)+IFERROR(INDEX(Settings!$F$5:$F$9,MATCH($B1183,Settings!$A$5:$A$9,0)),0))/P1183+IFERROR(INDEX(Settings!$D$5:$D$9,MATCH($B1183,Settings!$A$5:$A$9,0)),0)*M1183)</f>
        <v/>
      </c>
      <c r="W1183" s="11">
        <f>IF(J1183="","",IF(T1183="",0,M1183*INDEX(Products!$I$5:$I$204,T1183)))</f>
        <v/>
      </c>
      <c r="X1183" s="11">
        <f>IF(J1183="","",IF(T1183="",0,S1183*INDEX(Products!$H$5:$H$204,T1183)))</f>
        <v/>
      </c>
      <c r="Y1183" s="11">
        <f>IF(J1183="","",S1183-V1183-W1183-X1183)</f>
        <v/>
      </c>
    </row>
    <row r="1184">
      <c r="A1184" s="19" t="n"/>
      <c r="B1184" s="19" t="n"/>
      <c r="C1184" s="19" t="n"/>
      <c r="D1184" s="19" t="n"/>
      <c r="E1184" s="19" t="n"/>
      <c r="F1184" s="20" t="n"/>
      <c r="G1184" s="20" t="n"/>
      <c r="H1184" s="20" t="n"/>
      <c r="I1184" s="19" t="n"/>
      <c r="J1184">
        <f>IFERROR(IF(C1184="","",C1184)&amp;"","")</f>
        <v/>
      </c>
      <c r="K1184">
        <f>IFERROR(IF(D1184="","",D1184)&amp;"","")</f>
        <v/>
      </c>
      <c r="L1184">
        <f>IFERROR(IF(I1184="","",I1184)&amp;"","")</f>
        <v/>
      </c>
      <c r="M1184">
        <f>IF(J1184="","",IFERROR(VALUE(SUBSTITUTE(SUBSTITUTE(IF(E1184="","",E1184)&amp;"","$",""),",","")),0))</f>
        <v/>
      </c>
      <c r="N1184" s="11">
        <f>IF(J1184="","",IFERROR(VALUE(SUBSTITUTE(SUBSTITUTE(IF(F1184="","",F1184)&amp;"","$",""),",","")),0))</f>
        <v/>
      </c>
      <c r="O1184" s="11">
        <f>IF(J1184="","",M1184*N1184)</f>
        <v/>
      </c>
      <c r="P1184">
        <f>IF(J1184="","",IF(L1184="",1,COUNTIF($L$2:$L$1501,L1184)))</f>
        <v/>
      </c>
      <c r="Q1184" s="11">
        <f>IF(J1184="","",IFERROR(VALUE(SUBSTITUTE(SUBSTITUTE(IF(G1184="","",G1184)&amp;"","$",""),",","")),0)/IF("No"="Yes",P1184,1))</f>
        <v/>
      </c>
      <c r="R1184" s="11">
        <f>IF(J1184="","",IFERROR(VALUE(SUBSTITUTE(SUBSTITUTE(IF(H1184="","",H1184)&amp;"","$",""),",","")),0)/IF("No"="Yes",P1184,1))</f>
        <v/>
      </c>
      <c r="S1184" s="11">
        <f>IF(J1184="","",O1184+Q1184-R1184)</f>
        <v/>
      </c>
      <c r="T1184">
        <f>IF(J1184="","",IFERROR(IF(K1184="",NA(),MATCH(K1184,Products!$B$5:$B$204,0)),IFERROR(MATCH(J1184,Products!$A$5:$A$204,0),"")))</f>
        <v/>
      </c>
      <c r="U1184">
        <f>IF(J1184="","",IF(T1184="","⚠ not in Products",INDEX(Products!$A$5:$A$204,T1184)))</f>
        <v/>
      </c>
      <c r="V1184" s="11">
        <f>IF(J1184="","",S1184*(IFERROR(INDEX(Settings!$B$5:$B$9,MATCH($B1184,Settings!$A$5:$A$9,0)),0)+IFERROR(INDEX(Settings!$E$5:$E$9,MATCH($B1184,Settings!$A$5:$A$9,0)),0)+IFERROR(INDEX(Settings!$G$5:$G$9,MATCH($B1184,Settings!$A$5:$A$9,0)),0))+(IFERROR(INDEX(Settings!$C$5:$C$9,MATCH($B1184,Settings!$A$5:$A$9,0)),0)+IFERROR(INDEX(Settings!$F$5:$F$9,MATCH($B1184,Settings!$A$5:$A$9,0)),0))/P1184+IFERROR(INDEX(Settings!$D$5:$D$9,MATCH($B1184,Settings!$A$5:$A$9,0)),0)*M1184)</f>
        <v/>
      </c>
      <c r="W1184" s="11">
        <f>IF(J1184="","",IF(T1184="",0,M1184*INDEX(Products!$I$5:$I$204,T1184)))</f>
        <v/>
      </c>
      <c r="X1184" s="11">
        <f>IF(J1184="","",IF(T1184="",0,S1184*INDEX(Products!$H$5:$H$204,T1184)))</f>
        <v/>
      </c>
      <c r="Y1184" s="11">
        <f>IF(J1184="","",S1184-V1184-W1184-X1184)</f>
        <v/>
      </c>
    </row>
    <row r="1185">
      <c r="A1185" s="19" t="n"/>
      <c r="B1185" s="19" t="n"/>
      <c r="C1185" s="19" t="n"/>
      <c r="D1185" s="19" t="n"/>
      <c r="E1185" s="19" t="n"/>
      <c r="F1185" s="20" t="n"/>
      <c r="G1185" s="20" t="n"/>
      <c r="H1185" s="20" t="n"/>
      <c r="I1185" s="19" t="n"/>
      <c r="J1185">
        <f>IFERROR(IF(C1185="","",C1185)&amp;"","")</f>
        <v/>
      </c>
      <c r="K1185">
        <f>IFERROR(IF(D1185="","",D1185)&amp;"","")</f>
        <v/>
      </c>
      <c r="L1185">
        <f>IFERROR(IF(I1185="","",I1185)&amp;"","")</f>
        <v/>
      </c>
      <c r="M1185">
        <f>IF(J1185="","",IFERROR(VALUE(SUBSTITUTE(SUBSTITUTE(IF(E1185="","",E1185)&amp;"","$",""),",","")),0))</f>
        <v/>
      </c>
      <c r="N1185" s="11">
        <f>IF(J1185="","",IFERROR(VALUE(SUBSTITUTE(SUBSTITUTE(IF(F1185="","",F1185)&amp;"","$",""),",","")),0))</f>
        <v/>
      </c>
      <c r="O1185" s="11">
        <f>IF(J1185="","",M1185*N1185)</f>
        <v/>
      </c>
      <c r="P1185">
        <f>IF(J1185="","",IF(L1185="",1,COUNTIF($L$2:$L$1501,L1185)))</f>
        <v/>
      </c>
      <c r="Q1185" s="11">
        <f>IF(J1185="","",IFERROR(VALUE(SUBSTITUTE(SUBSTITUTE(IF(G1185="","",G1185)&amp;"","$",""),",","")),0)/IF("No"="Yes",P1185,1))</f>
        <v/>
      </c>
      <c r="R1185" s="11">
        <f>IF(J1185="","",IFERROR(VALUE(SUBSTITUTE(SUBSTITUTE(IF(H1185="","",H1185)&amp;"","$",""),",","")),0)/IF("No"="Yes",P1185,1))</f>
        <v/>
      </c>
      <c r="S1185" s="11">
        <f>IF(J1185="","",O1185+Q1185-R1185)</f>
        <v/>
      </c>
      <c r="T1185">
        <f>IF(J1185="","",IFERROR(IF(K1185="",NA(),MATCH(K1185,Products!$B$5:$B$204,0)),IFERROR(MATCH(J1185,Products!$A$5:$A$204,0),"")))</f>
        <v/>
      </c>
      <c r="U1185">
        <f>IF(J1185="","",IF(T1185="","⚠ not in Products",INDEX(Products!$A$5:$A$204,T1185)))</f>
        <v/>
      </c>
      <c r="V1185" s="11">
        <f>IF(J1185="","",S1185*(IFERROR(INDEX(Settings!$B$5:$B$9,MATCH($B1185,Settings!$A$5:$A$9,0)),0)+IFERROR(INDEX(Settings!$E$5:$E$9,MATCH($B1185,Settings!$A$5:$A$9,0)),0)+IFERROR(INDEX(Settings!$G$5:$G$9,MATCH($B1185,Settings!$A$5:$A$9,0)),0))+(IFERROR(INDEX(Settings!$C$5:$C$9,MATCH($B1185,Settings!$A$5:$A$9,0)),0)+IFERROR(INDEX(Settings!$F$5:$F$9,MATCH($B1185,Settings!$A$5:$A$9,0)),0))/P1185+IFERROR(INDEX(Settings!$D$5:$D$9,MATCH($B1185,Settings!$A$5:$A$9,0)),0)*M1185)</f>
        <v/>
      </c>
      <c r="W1185" s="11">
        <f>IF(J1185="","",IF(T1185="",0,M1185*INDEX(Products!$I$5:$I$204,T1185)))</f>
        <v/>
      </c>
      <c r="X1185" s="11">
        <f>IF(J1185="","",IF(T1185="",0,S1185*INDEX(Products!$H$5:$H$204,T1185)))</f>
        <v/>
      </c>
      <c r="Y1185" s="11">
        <f>IF(J1185="","",S1185-V1185-W1185-X1185)</f>
        <v/>
      </c>
    </row>
    <row r="1186">
      <c r="A1186" s="19" t="n"/>
      <c r="B1186" s="19" t="n"/>
      <c r="C1186" s="19" t="n"/>
      <c r="D1186" s="19" t="n"/>
      <c r="E1186" s="19" t="n"/>
      <c r="F1186" s="20" t="n"/>
      <c r="G1186" s="20" t="n"/>
      <c r="H1186" s="20" t="n"/>
      <c r="I1186" s="19" t="n"/>
      <c r="J1186">
        <f>IFERROR(IF(C1186="","",C1186)&amp;"","")</f>
        <v/>
      </c>
      <c r="K1186">
        <f>IFERROR(IF(D1186="","",D1186)&amp;"","")</f>
        <v/>
      </c>
      <c r="L1186">
        <f>IFERROR(IF(I1186="","",I1186)&amp;"","")</f>
        <v/>
      </c>
      <c r="M1186">
        <f>IF(J1186="","",IFERROR(VALUE(SUBSTITUTE(SUBSTITUTE(IF(E1186="","",E1186)&amp;"","$",""),",","")),0))</f>
        <v/>
      </c>
      <c r="N1186" s="11">
        <f>IF(J1186="","",IFERROR(VALUE(SUBSTITUTE(SUBSTITUTE(IF(F1186="","",F1186)&amp;"","$",""),",","")),0))</f>
        <v/>
      </c>
      <c r="O1186" s="11">
        <f>IF(J1186="","",M1186*N1186)</f>
        <v/>
      </c>
      <c r="P1186">
        <f>IF(J1186="","",IF(L1186="",1,COUNTIF($L$2:$L$1501,L1186)))</f>
        <v/>
      </c>
      <c r="Q1186" s="11">
        <f>IF(J1186="","",IFERROR(VALUE(SUBSTITUTE(SUBSTITUTE(IF(G1186="","",G1186)&amp;"","$",""),",","")),0)/IF("No"="Yes",P1186,1))</f>
        <v/>
      </c>
      <c r="R1186" s="11">
        <f>IF(J1186="","",IFERROR(VALUE(SUBSTITUTE(SUBSTITUTE(IF(H1186="","",H1186)&amp;"","$",""),",","")),0)/IF("No"="Yes",P1186,1))</f>
        <v/>
      </c>
      <c r="S1186" s="11">
        <f>IF(J1186="","",O1186+Q1186-R1186)</f>
        <v/>
      </c>
      <c r="T1186">
        <f>IF(J1186="","",IFERROR(IF(K1186="",NA(),MATCH(K1186,Products!$B$5:$B$204,0)),IFERROR(MATCH(J1186,Products!$A$5:$A$204,0),"")))</f>
        <v/>
      </c>
      <c r="U1186">
        <f>IF(J1186="","",IF(T1186="","⚠ not in Products",INDEX(Products!$A$5:$A$204,T1186)))</f>
        <v/>
      </c>
      <c r="V1186" s="11">
        <f>IF(J1186="","",S1186*(IFERROR(INDEX(Settings!$B$5:$B$9,MATCH($B1186,Settings!$A$5:$A$9,0)),0)+IFERROR(INDEX(Settings!$E$5:$E$9,MATCH($B1186,Settings!$A$5:$A$9,0)),0)+IFERROR(INDEX(Settings!$G$5:$G$9,MATCH($B1186,Settings!$A$5:$A$9,0)),0))+(IFERROR(INDEX(Settings!$C$5:$C$9,MATCH($B1186,Settings!$A$5:$A$9,0)),0)+IFERROR(INDEX(Settings!$F$5:$F$9,MATCH($B1186,Settings!$A$5:$A$9,0)),0))/P1186+IFERROR(INDEX(Settings!$D$5:$D$9,MATCH($B1186,Settings!$A$5:$A$9,0)),0)*M1186)</f>
        <v/>
      </c>
      <c r="W1186" s="11">
        <f>IF(J1186="","",IF(T1186="",0,M1186*INDEX(Products!$I$5:$I$204,T1186)))</f>
        <v/>
      </c>
      <c r="X1186" s="11">
        <f>IF(J1186="","",IF(T1186="",0,S1186*INDEX(Products!$H$5:$H$204,T1186)))</f>
        <v/>
      </c>
      <c r="Y1186" s="11">
        <f>IF(J1186="","",S1186-V1186-W1186-X1186)</f>
        <v/>
      </c>
    </row>
    <row r="1187">
      <c r="A1187" s="19" t="n"/>
      <c r="B1187" s="19" t="n"/>
      <c r="C1187" s="19" t="n"/>
      <c r="D1187" s="19" t="n"/>
      <c r="E1187" s="19" t="n"/>
      <c r="F1187" s="20" t="n"/>
      <c r="G1187" s="20" t="n"/>
      <c r="H1187" s="20" t="n"/>
      <c r="I1187" s="19" t="n"/>
      <c r="J1187">
        <f>IFERROR(IF(C1187="","",C1187)&amp;"","")</f>
        <v/>
      </c>
      <c r="K1187">
        <f>IFERROR(IF(D1187="","",D1187)&amp;"","")</f>
        <v/>
      </c>
      <c r="L1187">
        <f>IFERROR(IF(I1187="","",I1187)&amp;"","")</f>
        <v/>
      </c>
      <c r="M1187">
        <f>IF(J1187="","",IFERROR(VALUE(SUBSTITUTE(SUBSTITUTE(IF(E1187="","",E1187)&amp;"","$",""),",","")),0))</f>
        <v/>
      </c>
      <c r="N1187" s="11">
        <f>IF(J1187="","",IFERROR(VALUE(SUBSTITUTE(SUBSTITUTE(IF(F1187="","",F1187)&amp;"","$",""),",","")),0))</f>
        <v/>
      </c>
      <c r="O1187" s="11">
        <f>IF(J1187="","",M1187*N1187)</f>
        <v/>
      </c>
      <c r="P1187">
        <f>IF(J1187="","",IF(L1187="",1,COUNTIF($L$2:$L$1501,L1187)))</f>
        <v/>
      </c>
      <c r="Q1187" s="11">
        <f>IF(J1187="","",IFERROR(VALUE(SUBSTITUTE(SUBSTITUTE(IF(G1187="","",G1187)&amp;"","$",""),",","")),0)/IF("No"="Yes",P1187,1))</f>
        <v/>
      </c>
      <c r="R1187" s="11">
        <f>IF(J1187="","",IFERROR(VALUE(SUBSTITUTE(SUBSTITUTE(IF(H1187="","",H1187)&amp;"","$",""),",","")),0)/IF("No"="Yes",P1187,1))</f>
        <v/>
      </c>
      <c r="S1187" s="11">
        <f>IF(J1187="","",O1187+Q1187-R1187)</f>
        <v/>
      </c>
      <c r="T1187">
        <f>IF(J1187="","",IFERROR(IF(K1187="",NA(),MATCH(K1187,Products!$B$5:$B$204,0)),IFERROR(MATCH(J1187,Products!$A$5:$A$204,0),"")))</f>
        <v/>
      </c>
      <c r="U1187">
        <f>IF(J1187="","",IF(T1187="","⚠ not in Products",INDEX(Products!$A$5:$A$204,T1187)))</f>
        <v/>
      </c>
      <c r="V1187" s="11">
        <f>IF(J1187="","",S1187*(IFERROR(INDEX(Settings!$B$5:$B$9,MATCH($B1187,Settings!$A$5:$A$9,0)),0)+IFERROR(INDEX(Settings!$E$5:$E$9,MATCH($B1187,Settings!$A$5:$A$9,0)),0)+IFERROR(INDEX(Settings!$G$5:$G$9,MATCH($B1187,Settings!$A$5:$A$9,0)),0))+(IFERROR(INDEX(Settings!$C$5:$C$9,MATCH($B1187,Settings!$A$5:$A$9,0)),0)+IFERROR(INDEX(Settings!$F$5:$F$9,MATCH($B1187,Settings!$A$5:$A$9,0)),0))/P1187+IFERROR(INDEX(Settings!$D$5:$D$9,MATCH($B1187,Settings!$A$5:$A$9,0)),0)*M1187)</f>
        <v/>
      </c>
      <c r="W1187" s="11">
        <f>IF(J1187="","",IF(T1187="",0,M1187*INDEX(Products!$I$5:$I$204,T1187)))</f>
        <v/>
      </c>
      <c r="X1187" s="11">
        <f>IF(J1187="","",IF(T1187="",0,S1187*INDEX(Products!$H$5:$H$204,T1187)))</f>
        <v/>
      </c>
      <c r="Y1187" s="11">
        <f>IF(J1187="","",S1187-V1187-W1187-X1187)</f>
        <v/>
      </c>
    </row>
    <row r="1188">
      <c r="A1188" s="19" t="n"/>
      <c r="B1188" s="19" t="n"/>
      <c r="C1188" s="19" t="n"/>
      <c r="D1188" s="19" t="n"/>
      <c r="E1188" s="19" t="n"/>
      <c r="F1188" s="20" t="n"/>
      <c r="G1188" s="20" t="n"/>
      <c r="H1188" s="20" t="n"/>
      <c r="I1188" s="19" t="n"/>
      <c r="J1188">
        <f>IFERROR(IF(C1188="","",C1188)&amp;"","")</f>
        <v/>
      </c>
      <c r="K1188">
        <f>IFERROR(IF(D1188="","",D1188)&amp;"","")</f>
        <v/>
      </c>
      <c r="L1188">
        <f>IFERROR(IF(I1188="","",I1188)&amp;"","")</f>
        <v/>
      </c>
      <c r="M1188">
        <f>IF(J1188="","",IFERROR(VALUE(SUBSTITUTE(SUBSTITUTE(IF(E1188="","",E1188)&amp;"","$",""),",","")),0))</f>
        <v/>
      </c>
      <c r="N1188" s="11">
        <f>IF(J1188="","",IFERROR(VALUE(SUBSTITUTE(SUBSTITUTE(IF(F1188="","",F1188)&amp;"","$",""),",","")),0))</f>
        <v/>
      </c>
      <c r="O1188" s="11">
        <f>IF(J1188="","",M1188*N1188)</f>
        <v/>
      </c>
      <c r="P1188">
        <f>IF(J1188="","",IF(L1188="",1,COUNTIF($L$2:$L$1501,L1188)))</f>
        <v/>
      </c>
      <c r="Q1188" s="11">
        <f>IF(J1188="","",IFERROR(VALUE(SUBSTITUTE(SUBSTITUTE(IF(G1188="","",G1188)&amp;"","$",""),",","")),0)/IF("No"="Yes",P1188,1))</f>
        <v/>
      </c>
      <c r="R1188" s="11">
        <f>IF(J1188="","",IFERROR(VALUE(SUBSTITUTE(SUBSTITUTE(IF(H1188="","",H1188)&amp;"","$",""),",","")),0)/IF("No"="Yes",P1188,1))</f>
        <v/>
      </c>
      <c r="S1188" s="11">
        <f>IF(J1188="","",O1188+Q1188-R1188)</f>
        <v/>
      </c>
      <c r="T1188">
        <f>IF(J1188="","",IFERROR(IF(K1188="",NA(),MATCH(K1188,Products!$B$5:$B$204,0)),IFERROR(MATCH(J1188,Products!$A$5:$A$204,0),"")))</f>
        <v/>
      </c>
      <c r="U1188">
        <f>IF(J1188="","",IF(T1188="","⚠ not in Products",INDEX(Products!$A$5:$A$204,T1188)))</f>
        <v/>
      </c>
      <c r="V1188" s="11">
        <f>IF(J1188="","",S1188*(IFERROR(INDEX(Settings!$B$5:$B$9,MATCH($B1188,Settings!$A$5:$A$9,0)),0)+IFERROR(INDEX(Settings!$E$5:$E$9,MATCH($B1188,Settings!$A$5:$A$9,0)),0)+IFERROR(INDEX(Settings!$G$5:$G$9,MATCH($B1188,Settings!$A$5:$A$9,0)),0))+(IFERROR(INDEX(Settings!$C$5:$C$9,MATCH($B1188,Settings!$A$5:$A$9,0)),0)+IFERROR(INDEX(Settings!$F$5:$F$9,MATCH($B1188,Settings!$A$5:$A$9,0)),0))/P1188+IFERROR(INDEX(Settings!$D$5:$D$9,MATCH($B1188,Settings!$A$5:$A$9,0)),0)*M1188)</f>
        <v/>
      </c>
      <c r="W1188" s="11">
        <f>IF(J1188="","",IF(T1188="",0,M1188*INDEX(Products!$I$5:$I$204,T1188)))</f>
        <v/>
      </c>
      <c r="X1188" s="11">
        <f>IF(J1188="","",IF(T1188="",0,S1188*INDEX(Products!$H$5:$H$204,T1188)))</f>
        <v/>
      </c>
      <c r="Y1188" s="11">
        <f>IF(J1188="","",S1188-V1188-W1188-X1188)</f>
        <v/>
      </c>
    </row>
    <row r="1189">
      <c r="A1189" s="19" t="n"/>
      <c r="B1189" s="19" t="n"/>
      <c r="C1189" s="19" t="n"/>
      <c r="D1189" s="19" t="n"/>
      <c r="E1189" s="19" t="n"/>
      <c r="F1189" s="20" t="n"/>
      <c r="G1189" s="20" t="n"/>
      <c r="H1189" s="20" t="n"/>
      <c r="I1189" s="19" t="n"/>
      <c r="J1189">
        <f>IFERROR(IF(C1189="","",C1189)&amp;"","")</f>
        <v/>
      </c>
      <c r="K1189">
        <f>IFERROR(IF(D1189="","",D1189)&amp;"","")</f>
        <v/>
      </c>
      <c r="L1189">
        <f>IFERROR(IF(I1189="","",I1189)&amp;"","")</f>
        <v/>
      </c>
      <c r="M1189">
        <f>IF(J1189="","",IFERROR(VALUE(SUBSTITUTE(SUBSTITUTE(IF(E1189="","",E1189)&amp;"","$",""),",","")),0))</f>
        <v/>
      </c>
      <c r="N1189" s="11">
        <f>IF(J1189="","",IFERROR(VALUE(SUBSTITUTE(SUBSTITUTE(IF(F1189="","",F1189)&amp;"","$",""),",","")),0))</f>
        <v/>
      </c>
      <c r="O1189" s="11">
        <f>IF(J1189="","",M1189*N1189)</f>
        <v/>
      </c>
      <c r="P1189">
        <f>IF(J1189="","",IF(L1189="",1,COUNTIF($L$2:$L$1501,L1189)))</f>
        <v/>
      </c>
      <c r="Q1189" s="11">
        <f>IF(J1189="","",IFERROR(VALUE(SUBSTITUTE(SUBSTITUTE(IF(G1189="","",G1189)&amp;"","$",""),",","")),0)/IF("No"="Yes",P1189,1))</f>
        <v/>
      </c>
      <c r="R1189" s="11">
        <f>IF(J1189="","",IFERROR(VALUE(SUBSTITUTE(SUBSTITUTE(IF(H1189="","",H1189)&amp;"","$",""),",","")),0)/IF("No"="Yes",P1189,1))</f>
        <v/>
      </c>
      <c r="S1189" s="11">
        <f>IF(J1189="","",O1189+Q1189-R1189)</f>
        <v/>
      </c>
      <c r="T1189">
        <f>IF(J1189="","",IFERROR(IF(K1189="",NA(),MATCH(K1189,Products!$B$5:$B$204,0)),IFERROR(MATCH(J1189,Products!$A$5:$A$204,0),"")))</f>
        <v/>
      </c>
      <c r="U1189">
        <f>IF(J1189="","",IF(T1189="","⚠ not in Products",INDEX(Products!$A$5:$A$204,T1189)))</f>
        <v/>
      </c>
      <c r="V1189" s="11">
        <f>IF(J1189="","",S1189*(IFERROR(INDEX(Settings!$B$5:$B$9,MATCH($B1189,Settings!$A$5:$A$9,0)),0)+IFERROR(INDEX(Settings!$E$5:$E$9,MATCH($B1189,Settings!$A$5:$A$9,0)),0)+IFERROR(INDEX(Settings!$G$5:$G$9,MATCH($B1189,Settings!$A$5:$A$9,0)),0))+(IFERROR(INDEX(Settings!$C$5:$C$9,MATCH($B1189,Settings!$A$5:$A$9,0)),0)+IFERROR(INDEX(Settings!$F$5:$F$9,MATCH($B1189,Settings!$A$5:$A$9,0)),0))/P1189+IFERROR(INDEX(Settings!$D$5:$D$9,MATCH($B1189,Settings!$A$5:$A$9,0)),0)*M1189)</f>
        <v/>
      </c>
      <c r="W1189" s="11">
        <f>IF(J1189="","",IF(T1189="",0,M1189*INDEX(Products!$I$5:$I$204,T1189)))</f>
        <v/>
      </c>
      <c r="X1189" s="11">
        <f>IF(J1189="","",IF(T1189="",0,S1189*INDEX(Products!$H$5:$H$204,T1189)))</f>
        <v/>
      </c>
      <c r="Y1189" s="11">
        <f>IF(J1189="","",S1189-V1189-W1189-X1189)</f>
        <v/>
      </c>
    </row>
    <row r="1190">
      <c r="A1190" s="19" t="n"/>
      <c r="B1190" s="19" t="n"/>
      <c r="C1190" s="19" t="n"/>
      <c r="D1190" s="19" t="n"/>
      <c r="E1190" s="19" t="n"/>
      <c r="F1190" s="20" t="n"/>
      <c r="G1190" s="20" t="n"/>
      <c r="H1190" s="20" t="n"/>
      <c r="I1190" s="19" t="n"/>
      <c r="J1190">
        <f>IFERROR(IF(C1190="","",C1190)&amp;"","")</f>
        <v/>
      </c>
      <c r="K1190">
        <f>IFERROR(IF(D1190="","",D1190)&amp;"","")</f>
        <v/>
      </c>
      <c r="L1190">
        <f>IFERROR(IF(I1190="","",I1190)&amp;"","")</f>
        <v/>
      </c>
      <c r="M1190">
        <f>IF(J1190="","",IFERROR(VALUE(SUBSTITUTE(SUBSTITUTE(IF(E1190="","",E1190)&amp;"","$",""),",","")),0))</f>
        <v/>
      </c>
      <c r="N1190" s="11">
        <f>IF(J1190="","",IFERROR(VALUE(SUBSTITUTE(SUBSTITUTE(IF(F1190="","",F1190)&amp;"","$",""),",","")),0))</f>
        <v/>
      </c>
      <c r="O1190" s="11">
        <f>IF(J1190="","",M1190*N1190)</f>
        <v/>
      </c>
      <c r="P1190">
        <f>IF(J1190="","",IF(L1190="",1,COUNTIF($L$2:$L$1501,L1190)))</f>
        <v/>
      </c>
      <c r="Q1190" s="11">
        <f>IF(J1190="","",IFERROR(VALUE(SUBSTITUTE(SUBSTITUTE(IF(G1190="","",G1190)&amp;"","$",""),",","")),0)/IF("No"="Yes",P1190,1))</f>
        <v/>
      </c>
      <c r="R1190" s="11">
        <f>IF(J1190="","",IFERROR(VALUE(SUBSTITUTE(SUBSTITUTE(IF(H1190="","",H1190)&amp;"","$",""),",","")),0)/IF("No"="Yes",P1190,1))</f>
        <v/>
      </c>
      <c r="S1190" s="11">
        <f>IF(J1190="","",O1190+Q1190-R1190)</f>
        <v/>
      </c>
      <c r="T1190">
        <f>IF(J1190="","",IFERROR(IF(K1190="",NA(),MATCH(K1190,Products!$B$5:$B$204,0)),IFERROR(MATCH(J1190,Products!$A$5:$A$204,0),"")))</f>
        <v/>
      </c>
      <c r="U1190">
        <f>IF(J1190="","",IF(T1190="","⚠ not in Products",INDEX(Products!$A$5:$A$204,T1190)))</f>
        <v/>
      </c>
      <c r="V1190" s="11">
        <f>IF(J1190="","",S1190*(IFERROR(INDEX(Settings!$B$5:$B$9,MATCH($B1190,Settings!$A$5:$A$9,0)),0)+IFERROR(INDEX(Settings!$E$5:$E$9,MATCH($B1190,Settings!$A$5:$A$9,0)),0)+IFERROR(INDEX(Settings!$G$5:$G$9,MATCH($B1190,Settings!$A$5:$A$9,0)),0))+(IFERROR(INDEX(Settings!$C$5:$C$9,MATCH($B1190,Settings!$A$5:$A$9,0)),0)+IFERROR(INDEX(Settings!$F$5:$F$9,MATCH($B1190,Settings!$A$5:$A$9,0)),0))/P1190+IFERROR(INDEX(Settings!$D$5:$D$9,MATCH($B1190,Settings!$A$5:$A$9,0)),0)*M1190)</f>
        <v/>
      </c>
      <c r="W1190" s="11">
        <f>IF(J1190="","",IF(T1190="",0,M1190*INDEX(Products!$I$5:$I$204,T1190)))</f>
        <v/>
      </c>
      <c r="X1190" s="11">
        <f>IF(J1190="","",IF(T1190="",0,S1190*INDEX(Products!$H$5:$H$204,T1190)))</f>
        <v/>
      </c>
      <c r="Y1190" s="11">
        <f>IF(J1190="","",S1190-V1190-W1190-X1190)</f>
        <v/>
      </c>
    </row>
    <row r="1191">
      <c r="A1191" s="19" t="n"/>
      <c r="B1191" s="19" t="n"/>
      <c r="C1191" s="19" t="n"/>
      <c r="D1191" s="19" t="n"/>
      <c r="E1191" s="19" t="n"/>
      <c r="F1191" s="20" t="n"/>
      <c r="G1191" s="20" t="n"/>
      <c r="H1191" s="20" t="n"/>
      <c r="I1191" s="19" t="n"/>
      <c r="J1191">
        <f>IFERROR(IF(C1191="","",C1191)&amp;"","")</f>
        <v/>
      </c>
      <c r="K1191">
        <f>IFERROR(IF(D1191="","",D1191)&amp;"","")</f>
        <v/>
      </c>
      <c r="L1191">
        <f>IFERROR(IF(I1191="","",I1191)&amp;"","")</f>
        <v/>
      </c>
      <c r="M1191">
        <f>IF(J1191="","",IFERROR(VALUE(SUBSTITUTE(SUBSTITUTE(IF(E1191="","",E1191)&amp;"","$",""),",","")),0))</f>
        <v/>
      </c>
      <c r="N1191" s="11">
        <f>IF(J1191="","",IFERROR(VALUE(SUBSTITUTE(SUBSTITUTE(IF(F1191="","",F1191)&amp;"","$",""),",","")),0))</f>
        <v/>
      </c>
      <c r="O1191" s="11">
        <f>IF(J1191="","",M1191*N1191)</f>
        <v/>
      </c>
      <c r="P1191">
        <f>IF(J1191="","",IF(L1191="",1,COUNTIF($L$2:$L$1501,L1191)))</f>
        <v/>
      </c>
      <c r="Q1191" s="11">
        <f>IF(J1191="","",IFERROR(VALUE(SUBSTITUTE(SUBSTITUTE(IF(G1191="","",G1191)&amp;"","$",""),",","")),0)/IF("No"="Yes",P1191,1))</f>
        <v/>
      </c>
      <c r="R1191" s="11">
        <f>IF(J1191="","",IFERROR(VALUE(SUBSTITUTE(SUBSTITUTE(IF(H1191="","",H1191)&amp;"","$",""),",","")),0)/IF("No"="Yes",P1191,1))</f>
        <v/>
      </c>
      <c r="S1191" s="11">
        <f>IF(J1191="","",O1191+Q1191-R1191)</f>
        <v/>
      </c>
      <c r="T1191">
        <f>IF(J1191="","",IFERROR(IF(K1191="",NA(),MATCH(K1191,Products!$B$5:$B$204,0)),IFERROR(MATCH(J1191,Products!$A$5:$A$204,0),"")))</f>
        <v/>
      </c>
      <c r="U1191">
        <f>IF(J1191="","",IF(T1191="","⚠ not in Products",INDEX(Products!$A$5:$A$204,T1191)))</f>
        <v/>
      </c>
      <c r="V1191" s="11">
        <f>IF(J1191="","",S1191*(IFERROR(INDEX(Settings!$B$5:$B$9,MATCH($B1191,Settings!$A$5:$A$9,0)),0)+IFERROR(INDEX(Settings!$E$5:$E$9,MATCH($B1191,Settings!$A$5:$A$9,0)),0)+IFERROR(INDEX(Settings!$G$5:$G$9,MATCH($B1191,Settings!$A$5:$A$9,0)),0))+(IFERROR(INDEX(Settings!$C$5:$C$9,MATCH($B1191,Settings!$A$5:$A$9,0)),0)+IFERROR(INDEX(Settings!$F$5:$F$9,MATCH($B1191,Settings!$A$5:$A$9,0)),0))/P1191+IFERROR(INDEX(Settings!$D$5:$D$9,MATCH($B1191,Settings!$A$5:$A$9,0)),0)*M1191)</f>
        <v/>
      </c>
      <c r="W1191" s="11">
        <f>IF(J1191="","",IF(T1191="",0,M1191*INDEX(Products!$I$5:$I$204,T1191)))</f>
        <v/>
      </c>
      <c r="X1191" s="11">
        <f>IF(J1191="","",IF(T1191="",0,S1191*INDEX(Products!$H$5:$H$204,T1191)))</f>
        <v/>
      </c>
      <c r="Y1191" s="11">
        <f>IF(J1191="","",S1191-V1191-W1191-X1191)</f>
        <v/>
      </c>
    </row>
    <row r="1192">
      <c r="A1192" s="19" t="n"/>
      <c r="B1192" s="19" t="n"/>
      <c r="C1192" s="19" t="n"/>
      <c r="D1192" s="19" t="n"/>
      <c r="E1192" s="19" t="n"/>
      <c r="F1192" s="20" t="n"/>
      <c r="G1192" s="20" t="n"/>
      <c r="H1192" s="20" t="n"/>
      <c r="I1192" s="19" t="n"/>
      <c r="J1192">
        <f>IFERROR(IF(C1192="","",C1192)&amp;"","")</f>
        <v/>
      </c>
      <c r="K1192">
        <f>IFERROR(IF(D1192="","",D1192)&amp;"","")</f>
        <v/>
      </c>
      <c r="L1192">
        <f>IFERROR(IF(I1192="","",I1192)&amp;"","")</f>
        <v/>
      </c>
      <c r="M1192">
        <f>IF(J1192="","",IFERROR(VALUE(SUBSTITUTE(SUBSTITUTE(IF(E1192="","",E1192)&amp;"","$",""),",","")),0))</f>
        <v/>
      </c>
      <c r="N1192" s="11">
        <f>IF(J1192="","",IFERROR(VALUE(SUBSTITUTE(SUBSTITUTE(IF(F1192="","",F1192)&amp;"","$",""),",","")),0))</f>
        <v/>
      </c>
      <c r="O1192" s="11">
        <f>IF(J1192="","",M1192*N1192)</f>
        <v/>
      </c>
      <c r="P1192">
        <f>IF(J1192="","",IF(L1192="",1,COUNTIF($L$2:$L$1501,L1192)))</f>
        <v/>
      </c>
      <c r="Q1192" s="11">
        <f>IF(J1192="","",IFERROR(VALUE(SUBSTITUTE(SUBSTITUTE(IF(G1192="","",G1192)&amp;"","$",""),",","")),0)/IF("No"="Yes",P1192,1))</f>
        <v/>
      </c>
      <c r="R1192" s="11">
        <f>IF(J1192="","",IFERROR(VALUE(SUBSTITUTE(SUBSTITUTE(IF(H1192="","",H1192)&amp;"","$",""),",","")),0)/IF("No"="Yes",P1192,1))</f>
        <v/>
      </c>
      <c r="S1192" s="11">
        <f>IF(J1192="","",O1192+Q1192-R1192)</f>
        <v/>
      </c>
      <c r="T1192">
        <f>IF(J1192="","",IFERROR(IF(K1192="",NA(),MATCH(K1192,Products!$B$5:$B$204,0)),IFERROR(MATCH(J1192,Products!$A$5:$A$204,0),"")))</f>
        <v/>
      </c>
      <c r="U1192">
        <f>IF(J1192="","",IF(T1192="","⚠ not in Products",INDEX(Products!$A$5:$A$204,T1192)))</f>
        <v/>
      </c>
      <c r="V1192" s="11">
        <f>IF(J1192="","",S1192*(IFERROR(INDEX(Settings!$B$5:$B$9,MATCH($B1192,Settings!$A$5:$A$9,0)),0)+IFERROR(INDEX(Settings!$E$5:$E$9,MATCH($B1192,Settings!$A$5:$A$9,0)),0)+IFERROR(INDEX(Settings!$G$5:$G$9,MATCH($B1192,Settings!$A$5:$A$9,0)),0))+(IFERROR(INDEX(Settings!$C$5:$C$9,MATCH($B1192,Settings!$A$5:$A$9,0)),0)+IFERROR(INDEX(Settings!$F$5:$F$9,MATCH($B1192,Settings!$A$5:$A$9,0)),0))/P1192+IFERROR(INDEX(Settings!$D$5:$D$9,MATCH($B1192,Settings!$A$5:$A$9,0)),0)*M1192)</f>
        <v/>
      </c>
      <c r="W1192" s="11">
        <f>IF(J1192="","",IF(T1192="",0,M1192*INDEX(Products!$I$5:$I$204,T1192)))</f>
        <v/>
      </c>
      <c r="X1192" s="11">
        <f>IF(J1192="","",IF(T1192="",0,S1192*INDEX(Products!$H$5:$H$204,T1192)))</f>
        <v/>
      </c>
      <c r="Y1192" s="11">
        <f>IF(J1192="","",S1192-V1192-W1192-X1192)</f>
        <v/>
      </c>
    </row>
    <row r="1193">
      <c r="A1193" s="19" t="n"/>
      <c r="B1193" s="19" t="n"/>
      <c r="C1193" s="19" t="n"/>
      <c r="D1193" s="19" t="n"/>
      <c r="E1193" s="19" t="n"/>
      <c r="F1193" s="20" t="n"/>
      <c r="G1193" s="20" t="n"/>
      <c r="H1193" s="20" t="n"/>
      <c r="I1193" s="19" t="n"/>
      <c r="J1193">
        <f>IFERROR(IF(C1193="","",C1193)&amp;"","")</f>
        <v/>
      </c>
      <c r="K1193">
        <f>IFERROR(IF(D1193="","",D1193)&amp;"","")</f>
        <v/>
      </c>
      <c r="L1193">
        <f>IFERROR(IF(I1193="","",I1193)&amp;"","")</f>
        <v/>
      </c>
      <c r="M1193">
        <f>IF(J1193="","",IFERROR(VALUE(SUBSTITUTE(SUBSTITUTE(IF(E1193="","",E1193)&amp;"","$",""),",","")),0))</f>
        <v/>
      </c>
      <c r="N1193" s="11">
        <f>IF(J1193="","",IFERROR(VALUE(SUBSTITUTE(SUBSTITUTE(IF(F1193="","",F1193)&amp;"","$",""),",","")),0))</f>
        <v/>
      </c>
      <c r="O1193" s="11">
        <f>IF(J1193="","",M1193*N1193)</f>
        <v/>
      </c>
      <c r="P1193">
        <f>IF(J1193="","",IF(L1193="",1,COUNTIF($L$2:$L$1501,L1193)))</f>
        <v/>
      </c>
      <c r="Q1193" s="11">
        <f>IF(J1193="","",IFERROR(VALUE(SUBSTITUTE(SUBSTITUTE(IF(G1193="","",G1193)&amp;"","$",""),",","")),0)/IF("No"="Yes",P1193,1))</f>
        <v/>
      </c>
      <c r="R1193" s="11">
        <f>IF(J1193="","",IFERROR(VALUE(SUBSTITUTE(SUBSTITUTE(IF(H1193="","",H1193)&amp;"","$",""),",","")),0)/IF("No"="Yes",P1193,1))</f>
        <v/>
      </c>
      <c r="S1193" s="11">
        <f>IF(J1193="","",O1193+Q1193-R1193)</f>
        <v/>
      </c>
      <c r="T1193">
        <f>IF(J1193="","",IFERROR(IF(K1193="",NA(),MATCH(K1193,Products!$B$5:$B$204,0)),IFERROR(MATCH(J1193,Products!$A$5:$A$204,0),"")))</f>
        <v/>
      </c>
      <c r="U1193">
        <f>IF(J1193="","",IF(T1193="","⚠ not in Products",INDEX(Products!$A$5:$A$204,T1193)))</f>
        <v/>
      </c>
      <c r="V1193" s="11">
        <f>IF(J1193="","",S1193*(IFERROR(INDEX(Settings!$B$5:$B$9,MATCH($B1193,Settings!$A$5:$A$9,0)),0)+IFERROR(INDEX(Settings!$E$5:$E$9,MATCH($B1193,Settings!$A$5:$A$9,0)),0)+IFERROR(INDEX(Settings!$G$5:$G$9,MATCH($B1193,Settings!$A$5:$A$9,0)),0))+(IFERROR(INDEX(Settings!$C$5:$C$9,MATCH($B1193,Settings!$A$5:$A$9,0)),0)+IFERROR(INDEX(Settings!$F$5:$F$9,MATCH($B1193,Settings!$A$5:$A$9,0)),0))/P1193+IFERROR(INDEX(Settings!$D$5:$D$9,MATCH($B1193,Settings!$A$5:$A$9,0)),0)*M1193)</f>
        <v/>
      </c>
      <c r="W1193" s="11">
        <f>IF(J1193="","",IF(T1193="",0,M1193*INDEX(Products!$I$5:$I$204,T1193)))</f>
        <v/>
      </c>
      <c r="X1193" s="11">
        <f>IF(J1193="","",IF(T1193="",0,S1193*INDEX(Products!$H$5:$H$204,T1193)))</f>
        <v/>
      </c>
      <c r="Y1193" s="11">
        <f>IF(J1193="","",S1193-V1193-W1193-X1193)</f>
        <v/>
      </c>
    </row>
    <row r="1194">
      <c r="A1194" s="19" t="n"/>
      <c r="B1194" s="19" t="n"/>
      <c r="C1194" s="19" t="n"/>
      <c r="D1194" s="19" t="n"/>
      <c r="E1194" s="19" t="n"/>
      <c r="F1194" s="20" t="n"/>
      <c r="G1194" s="20" t="n"/>
      <c r="H1194" s="20" t="n"/>
      <c r="I1194" s="19" t="n"/>
      <c r="J1194">
        <f>IFERROR(IF(C1194="","",C1194)&amp;"","")</f>
        <v/>
      </c>
      <c r="K1194">
        <f>IFERROR(IF(D1194="","",D1194)&amp;"","")</f>
        <v/>
      </c>
      <c r="L1194">
        <f>IFERROR(IF(I1194="","",I1194)&amp;"","")</f>
        <v/>
      </c>
      <c r="M1194">
        <f>IF(J1194="","",IFERROR(VALUE(SUBSTITUTE(SUBSTITUTE(IF(E1194="","",E1194)&amp;"","$",""),",","")),0))</f>
        <v/>
      </c>
      <c r="N1194" s="11">
        <f>IF(J1194="","",IFERROR(VALUE(SUBSTITUTE(SUBSTITUTE(IF(F1194="","",F1194)&amp;"","$",""),",","")),0))</f>
        <v/>
      </c>
      <c r="O1194" s="11">
        <f>IF(J1194="","",M1194*N1194)</f>
        <v/>
      </c>
      <c r="P1194">
        <f>IF(J1194="","",IF(L1194="",1,COUNTIF($L$2:$L$1501,L1194)))</f>
        <v/>
      </c>
      <c r="Q1194" s="11">
        <f>IF(J1194="","",IFERROR(VALUE(SUBSTITUTE(SUBSTITUTE(IF(G1194="","",G1194)&amp;"","$",""),",","")),0)/IF("No"="Yes",P1194,1))</f>
        <v/>
      </c>
      <c r="R1194" s="11">
        <f>IF(J1194="","",IFERROR(VALUE(SUBSTITUTE(SUBSTITUTE(IF(H1194="","",H1194)&amp;"","$",""),",","")),0)/IF("No"="Yes",P1194,1))</f>
        <v/>
      </c>
      <c r="S1194" s="11">
        <f>IF(J1194="","",O1194+Q1194-R1194)</f>
        <v/>
      </c>
      <c r="T1194">
        <f>IF(J1194="","",IFERROR(IF(K1194="",NA(),MATCH(K1194,Products!$B$5:$B$204,0)),IFERROR(MATCH(J1194,Products!$A$5:$A$204,0),"")))</f>
        <v/>
      </c>
      <c r="U1194">
        <f>IF(J1194="","",IF(T1194="","⚠ not in Products",INDEX(Products!$A$5:$A$204,T1194)))</f>
        <v/>
      </c>
      <c r="V1194" s="11">
        <f>IF(J1194="","",S1194*(IFERROR(INDEX(Settings!$B$5:$B$9,MATCH($B1194,Settings!$A$5:$A$9,0)),0)+IFERROR(INDEX(Settings!$E$5:$E$9,MATCH($B1194,Settings!$A$5:$A$9,0)),0)+IFERROR(INDEX(Settings!$G$5:$G$9,MATCH($B1194,Settings!$A$5:$A$9,0)),0))+(IFERROR(INDEX(Settings!$C$5:$C$9,MATCH($B1194,Settings!$A$5:$A$9,0)),0)+IFERROR(INDEX(Settings!$F$5:$F$9,MATCH($B1194,Settings!$A$5:$A$9,0)),0))/P1194+IFERROR(INDEX(Settings!$D$5:$D$9,MATCH($B1194,Settings!$A$5:$A$9,0)),0)*M1194)</f>
        <v/>
      </c>
      <c r="W1194" s="11">
        <f>IF(J1194="","",IF(T1194="",0,M1194*INDEX(Products!$I$5:$I$204,T1194)))</f>
        <v/>
      </c>
      <c r="X1194" s="11">
        <f>IF(J1194="","",IF(T1194="",0,S1194*INDEX(Products!$H$5:$H$204,T1194)))</f>
        <v/>
      </c>
      <c r="Y1194" s="11">
        <f>IF(J1194="","",S1194-V1194-W1194-X1194)</f>
        <v/>
      </c>
    </row>
    <row r="1195">
      <c r="A1195" s="19" t="n"/>
      <c r="B1195" s="19" t="n"/>
      <c r="C1195" s="19" t="n"/>
      <c r="D1195" s="19" t="n"/>
      <c r="E1195" s="19" t="n"/>
      <c r="F1195" s="20" t="n"/>
      <c r="G1195" s="20" t="n"/>
      <c r="H1195" s="20" t="n"/>
      <c r="I1195" s="19" t="n"/>
      <c r="J1195">
        <f>IFERROR(IF(C1195="","",C1195)&amp;"","")</f>
        <v/>
      </c>
      <c r="K1195">
        <f>IFERROR(IF(D1195="","",D1195)&amp;"","")</f>
        <v/>
      </c>
      <c r="L1195">
        <f>IFERROR(IF(I1195="","",I1195)&amp;"","")</f>
        <v/>
      </c>
      <c r="M1195">
        <f>IF(J1195="","",IFERROR(VALUE(SUBSTITUTE(SUBSTITUTE(IF(E1195="","",E1195)&amp;"","$",""),",","")),0))</f>
        <v/>
      </c>
      <c r="N1195" s="11">
        <f>IF(J1195="","",IFERROR(VALUE(SUBSTITUTE(SUBSTITUTE(IF(F1195="","",F1195)&amp;"","$",""),",","")),0))</f>
        <v/>
      </c>
      <c r="O1195" s="11">
        <f>IF(J1195="","",M1195*N1195)</f>
        <v/>
      </c>
      <c r="P1195">
        <f>IF(J1195="","",IF(L1195="",1,COUNTIF($L$2:$L$1501,L1195)))</f>
        <v/>
      </c>
      <c r="Q1195" s="11">
        <f>IF(J1195="","",IFERROR(VALUE(SUBSTITUTE(SUBSTITUTE(IF(G1195="","",G1195)&amp;"","$",""),",","")),0)/IF("No"="Yes",P1195,1))</f>
        <v/>
      </c>
      <c r="R1195" s="11">
        <f>IF(J1195="","",IFERROR(VALUE(SUBSTITUTE(SUBSTITUTE(IF(H1195="","",H1195)&amp;"","$",""),",","")),0)/IF("No"="Yes",P1195,1))</f>
        <v/>
      </c>
      <c r="S1195" s="11">
        <f>IF(J1195="","",O1195+Q1195-R1195)</f>
        <v/>
      </c>
      <c r="T1195">
        <f>IF(J1195="","",IFERROR(IF(K1195="",NA(),MATCH(K1195,Products!$B$5:$B$204,0)),IFERROR(MATCH(J1195,Products!$A$5:$A$204,0),"")))</f>
        <v/>
      </c>
      <c r="U1195">
        <f>IF(J1195="","",IF(T1195="","⚠ not in Products",INDEX(Products!$A$5:$A$204,T1195)))</f>
        <v/>
      </c>
      <c r="V1195" s="11">
        <f>IF(J1195="","",S1195*(IFERROR(INDEX(Settings!$B$5:$B$9,MATCH($B1195,Settings!$A$5:$A$9,0)),0)+IFERROR(INDEX(Settings!$E$5:$E$9,MATCH($B1195,Settings!$A$5:$A$9,0)),0)+IFERROR(INDEX(Settings!$G$5:$G$9,MATCH($B1195,Settings!$A$5:$A$9,0)),0))+(IFERROR(INDEX(Settings!$C$5:$C$9,MATCH($B1195,Settings!$A$5:$A$9,0)),0)+IFERROR(INDEX(Settings!$F$5:$F$9,MATCH($B1195,Settings!$A$5:$A$9,0)),0))/P1195+IFERROR(INDEX(Settings!$D$5:$D$9,MATCH($B1195,Settings!$A$5:$A$9,0)),0)*M1195)</f>
        <v/>
      </c>
      <c r="W1195" s="11">
        <f>IF(J1195="","",IF(T1195="",0,M1195*INDEX(Products!$I$5:$I$204,T1195)))</f>
        <v/>
      </c>
      <c r="X1195" s="11">
        <f>IF(J1195="","",IF(T1195="",0,S1195*INDEX(Products!$H$5:$H$204,T1195)))</f>
        <v/>
      </c>
      <c r="Y1195" s="11">
        <f>IF(J1195="","",S1195-V1195-W1195-X1195)</f>
        <v/>
      </c>
    </row>
    <row r="1196">
      <c r="A1196" s="19" t="n"/>
      <c r="B1196" s="19" t="n"/>
      <c r="C1196" s="19" t="n"/>
      <c r="D1196" s="19" t="n"/>
      <c r="E1196" s="19" t="n"/>
      <c r="F1196" s="20" t="n"/>
      <c r="G1196" s="20" t="n"/>
      <c r="H1196" s="20" t="n"/>
      <c r="I1196" s="19" t="n"/>
      <c r="J1196">
        <f>IFERROR(IF(C1196="","",C1196)&amp;"","")</f>
        <v/>
      </c>
      <c r="K1196">
        <f>IFERROR(IF(D1196="","",D1196)&amp;"","")</f>
        <v/>
      </c>
      <c r="L1196">
        <f>IFERROR(IF(I1196="","",I1196)&amp;"","")</f>
        <v/>
      </c>
      <c r="M1196">
        <f>IF(J1196="","",IFERROR(VALUE(SUBSTITUTE(SUBSTITUTE(IF(E1196="","",E1196)&amp;"","$",""),",","")),0))</f>
        <v/>
      </c>
      <c r="N1196" s="11">
        <f>IF(J1196="","",IFERROR(VALUE(SUBSTITUTE(SUBSTITUTE(IF(F1196="","",F1196)&amp;"","$",""),",","")),0))</f>
        <v/>
      </c>
      <c r="O1196" s="11">
        <f>IF(J1196="","",M1196*N1196)</f>
        <v/>
      </c>
      <c r="P1196">
        <f>IF(J1196="","",IF(L1196="",1,COUNTIF($L$2:$L$1501,L1196)))</f>
        <v/>
      </c>
      <c r="Q1196" s="11">
        <f>IF(J1196="","",IFERROR(VALUE(SUBSTITUTE(SUBSTITUTE(IF(G1196="","",G1196)&amp;"","$",""),",","")),0)/IF("No"="Yes",P1196,1))</f>
        <v/>
      </c>
      <c r="R1196" s="11">
        <f>IF(J1196="","",IFERROR(VALUE(SUBSTITUTE(SUBSTITUTE(IF(H1196="","",H1196)&amp;"","$",""),",","")),0)/IF("No"="Yes",P1196,1))</f>
        <v/>
      </c>
      <c r="S1196" s="11">
        <f>IF(J1196="","",O1196+Q1196-R1196)</f>
        <v/>
      </c>
      <c r="T1196">
        <f>IF(J1196="","",IFERROR(IF(K1196="",NA(),MATCH(K1196,Products!$B$5:$B$204,0)),IFERROR(MATCH(J1196,Products!$A$5:$A$204,0),"")))</f>
        <v/>
      </c>
      <c r="U1196">
        <f>IF(J1196="","",IF(T1196="","⚠ not in Products",INDEX(Products!$A$5:$A$204,T1196)))</f>
        <v/>
      </c>
      <c r="V1196" s="11">
        <f>IF(J1196="","",S1196*(IFERROR(INDEX(Settings!$B$5:$B$9,MATCH($B1196,Settings!$A$5:$A$9,0)),0)+IFERROR(INDEX(Settings!$E$5:$E$9,MATCH($B1196,Settings!$A$5:$A$9,0)),0)+IFERROR(INDEX(Settings!$G$5:$G$9,MATCH($B1196,Settings!$A$5:$A$9,0)),0))+(IFERROR(INDEX(Settings!$C$5:$C$9,MATCH($B1196,Settings!$A$5:$A$9,0)),0)+IFERROR(INDEX(Settings!$F$5:$F$9,MATCH($B1196,Settings!$A$5:$A$9,0)),0))/P1196+IFERROR(INDEX(Settings!$D$5:$D$9,MATCH($B1196,Settings!$A$5:$A$9,0)),0)*M1196)</f>
        <v/>
      </c>
      <c r="W1196" s="11">
        <f>IF(J1196="","",IF(T1196="",0,M1196*INDEX(Products!$I$5:$I$204,T1196)))</f>
        <v/>
      </c>
      <c r="X1196" s="11">
        <f>IF(J1196="","",IF(T1196="",0,S1196*INDEX(Products!$H$5:$H$204,T1196)))</f>
        <v/>
      </c>
      <c r="Y1196" s="11">
        <f>IF(J1196="","",S1196-V1196-W1196-X1196)</f>
        <v/>
      </c>
    </row>
    <row r="1197">
      <c r="A1197" s="19" t="n"/>
      <c r="B1197" s="19" t="n"/>
      <c r="C1197" s="19" t="n"/>
      <c r="D1197" s="19" t="n"/>
      <c r="E1197" s="19" t="n"/>
      <c r="F1197" s="20" t="n"/>
      <c r="G1197" s="20" t="n"/>
      <c r="H1197" s="20" t="n"/>
      <c r="I1197" s="19" t="n"/>
      <c r="J1197">
        <f>IFERROR(IF(C1197="","",C1197)&amp;"","")</f>
        <v/>
      </c>
      <c r="K1197">
        <f>IFERROR(IF(D1197="","",D1197)&amp;"","")</f>
        <v/>
      </c>
      <c r="L1197">
        <f>IFERROR(IF(I1197="","",I1197)&amp;"","")</f>
        <v/>
      </c>
      <c r="M1197">
        <f>IF(J1197="","",IFERROR(VALUE(SUBSTITUTE(SUBSTITUTE(IF(E1197="","",E1197)&amp;"","$",""),",","")),0))</f>
        <v/>
      </c>
      <c r="N1197" s="11">
        <f>IF(J1197="","",IFERROR(VALUE(SUBSTITUTE(SUBSTITUTE(IF(F1197="","",F1197)&amp;"","$",""),",","")),0))</f>
        <v/>
      </c>
      <c r="O1197" s="11">
        <f>IF(J1197="","",M1197*N1197)</f>
        <v/>
      </c>
      <c r="P1197">
        <f>IF(J1197="","",IF(L1197="",1,COUNTIF($L$2:$L$1501,L1197)))</f>
        <v/>
      </c>
      <c r="Q1197" s="11">
        <f>IF(J1197="","",IFERROR(VALUE(SUBSTITUTE(SUBSTITUTE(IF(G1197="","",G1197)&amp;"","$",""),",","")),0)/IF("No"="Yes",P1197,1))</f>
        <v/>
      </c>
      <c r="R1197" s="11">
        <f>IF(J1197="","",IFERROR(VALUE(SUBSTITUTE(SUBSTITUTE(IF(H1197="","",H1197)&amp;"","$",""),",","")),0)/IF("No"="Yes",P1197,1))</f>
        <v/>
      </c>
      <c r="S1197" s="11">
        <f>IF(J1197="","",O1197+Q1197-R1197)</f>
        <v/>
      </c>
      <c r="T1197">
        <f>IF(J1197="","",IFERROR(IF(K1197="",NA(),MATCH(K1197,Products!$B$5:$B$204,0)),IFERROR(MATCH(J1197,Products!$A$5:$A$204,0),"")))</f>
        <v/>
      </c>
      <c r="U1197">
        <f>IF(J1197="","",IF(T1197="","⚠ not in Products",INDEX(Products!$A$5:$A$204,T1197)))</f>
        <v/>
      </c>
      <c r="V1197" s="11">
        <f>IF(J1197="","",S1197*(IFERROR(INDEX(Settings!$B$5:$B$9,MATCH($B1197,Settings!$A$5:$A$9,0)),0)+IFERROR(INDEX(Settings!$E$5:$E$9,MATCH($B1197,Settings!$A$5:$A$9,0)),0)+IFERROR(INDEX(Settings!$G$5:$G$9,MATCH($B1197,Settings!$A$5:$A$9,0)),0))+(IFERROR(INDEX(Settings!$C$5:$C$9,MATCH($B1197,Settings!$A$5:$A$9,0)),0)+IFERROR(INDEX(Settings!$F$5:$F$9,MATCH($B1197,Settings!$A$5:$A$9,0)),0))/P1197+IFERROR(INDEX(Settings!$D$5:$D$9,MATCH($B1197,Settings!$A$5:$A$9,0)),0)*M1197)</f>
        <v/>
      </c>
      <c r="W1197" s="11">
        <f>IF(J1197="","",IF(T1197="",0,M1197*INDEX(Products!$I$5:$I$204,T1197)))</f>
        <v/>
      </c>
      <c r="X1197" s="11">
        <f>IF(J1197="","",IF(T1197="",0,S1197*INDEX(Products!$H$5:$H$204,T1197)))</f>
        <v/>
      </c>
      <c r="Y1197" s="11">
        <f>IF(J1197="","",S1197-V1197-W1197-X1197)</f>
        <v/>
      </c>
    </row>
    <row r="1198">
      <c r="A1198" s="19" t="n"/>
      <c r="B1198" s="19" t="n"/>
      <c r="C1198" s="19" t="n"/>
      <c r="D1198" s="19" t="n"/>
      <c r="E1198" s="19" t="n"/>
      <c r="F1198" s="20" t="n"/>
      <c r="G1198" s="20" t="n"/>
      <c r="H1198" s="20" t="n"/>
      <c r="I1198" s="19" t="n"/>
      <c r="J1198">
        <f>IFERROR(IF(C1198="","",C1198)&amp;"","")</f>
        <v/>
      </c>
      <c r="K1198">
        <f>IFERROR(IF(D1198="","",D1198)&amp;"","")</f>
        <v/>
      </c>
      <c r="L1198">
        <f>IFERROR(IF(I1198="","",I1198)&amp;"","")</f>
        <v/>
      </c>
      <c r="M1198">
        <f>IF(J1198="","",IFERROR(VALUE(SUBSTITUTE(SUBSTITUTE(IF(E1198="","",E1198)&amp;"","$",""),",","")),0))</f>
        <v/>
      </c>
      <c r="N1198" s="11">
        <f>IF(J1198="","",IFERROR(VALUE(SUBSTITUTE(SUBSTITUTE(IF(F1198="","",F1198)&amp;"","$",""),",","")),0))</f>
        <v/>
      </c>
      <c r="O1198" s="11">
        <f>IF(J1198="","",M1198*N1198)</f>
        <v/>
      </c>
      <c r="P1198">
        <f>IF(J1198="","",IF(L1198="",1,COUNTIF($L$2:$L$1501,L1198)))</f>
        <v/>
      </c>
      <c r="Q1198" s="11">
        <f>IF(J1198="","",IFERROR(VALUE(SUBSTITUTE(SUBSTITUTE(IF(G1198="","",G1198)&amp;"","$",""),",","")),0)/IF("No"="Yes",P1198,1))</f>
        <v/>
      </c>
      <c r="R1198" s="11">
        <f>IF(J1198="","",IFERROR(VALUE(SUBSTITUTE(SUBSTITUTE(IF(H1198="","",H1198)&amp;"","$",""),",","")),0)/IF("No"="Yes",P1198,1))</f>
        <v/>
      </c>
      <c r="S1198" s="11">
        <f>IF(J1198="","",O1198+Q1198-R1198)</f>
        <v/>
      </c>
      <c r="T1198">
        <f>IF(J1198="","",IFERROR(IF(K1198="",NA(),MATCH(K1198,Products!$B$5:$B$204,0)),IFERROR(MATCH(J1198,Products!$A$5:$A$204,0),"")))</f>
        <v/>
      </c>
      <c r="U1198">
        <f>IF(J1198="","",IF(T1198="","⚠ not in Products",INDEX(Products!$A$5:$A$204,T1198)))</f>
        <v/>
      </c>
      <c r="V1198" s="11">
        <f>IF(J1198="","",S1198*(IFERROR(INDEX(Settings!$B$5:$B$9,MATCH($B1198,Settings!$A$5:$A$9,0)),0)+IFERROR(INDEX(Settings!$E$5:$E$9,MATCH($B1198,Settings!$A$5:$A$9,0)),0)+IFERROR(INDEX(Settings!$G$5:$G$9,MATCH($B1198,Settings!$A$5:$A$9,0)),0))+(IFERROR(INDEX(Settings!$C$5:$C$9,MATCH($B1198,Settings!$A$5:$A$9,0)),0)+IFERROR(INDEX(Settings!$F$5:$F$9,MATCH($B1198,Settings!$A$5:$A$9,0)),0))/P1198+IFERROR(INDEX(Settings!$D$5:$D$9,MATCH($B1198,Settings!$A$5:$A$9,0)),0)*M1198)</f>
        <v/>
      </c>
      <c r="W1198" s="11">
        <f>IF(J1198="","",IF(T1198="",0,M1198*INDEX(Products!$I$5:$I$204,T1198)))</f>
        <v/>
      </c>
      <c r="X1198" s="11">
        <f>IF(J1198="","",IF(T1198="",0,S1198*INDEX(Products!$H$5:$H$204,T1198)))</f>
        <v/>
      </c>
      <c r="Y1198" s="11">
        <f>IF(J1198="","",S1198-V1198-W1198-X1198)</f>
        <v/>
      </c>
    </row>
    <row r="1199">
      <c r="A1199" s="19" t="n"/>
      <c r="B1199" s="19" t="n"/>
      <c r="C1199" s="19" t="n"/>
      <c r="D1199" s="19" t="n"/>
      <c r="E1199" s="19" t="n"/>
      <c r="F1199" s="20" t="n"/>
      <c r="G1199" s="20" t="n"/>
      <c r="H1199" s="20" t="n"/>
      <c r="I1199" s="19" t="n"/>
      <c r="J1199">
        <f>IFERROR(IF(C1199="","",C1199)&amp;"","")</f>
        <v/>
      </c>
      <c r="K1199">
        <f>IFERROR(IF(D1199="","",D1199)&amp;"","")</f>
        <v/>
      </c>
      <c r="L1199">
        <f>IFERROR(IF(I1199="","",I1199)&amp;"","")</f>
        <v/>
      </c>
      <c r="M1199">
        <f>IF(J1199="","",IFERROR(VALUE(SUBSTITUTE(SUBSTITUTE(IF(E1199="","",E1199)&amp;"","$",""),",","")),0))</f>
        <v/>
      </c>
      <c r="N1199" s="11">
        <f>IF(J1199="","",IFERROR(VALUE(SUBSTITUTE(SUBSTITUTE(IF(F1199="","",F1199)&amp;"","$",""),",","")),0))</f>
        <v/>
      </c>
      <c r="O1199" s="11">
        <f>IF(J1199="","",M1199*N1199)</f>
        <v/>
      </c>
      <c r="P1199">
        <f>IF(J1199="","",IF(L1199="",1,COUNTIF($L$2:$L$1501,L1199)))</f>
        <v/>
      </c>
      <c r="Q1199" s="11">
        <f>IF(J1199="","",IFERROR(VALUE(SUBSTITUTE(SUBSTITUTE(IF(G1199="","",G1199)&amp;"","$",""),",","")),0)/IF("No"="Yes",P1199,1))</f>
        <v/>
      </c>
      <c r="R1199" s="11">
        <f>IF(J1199="","",IFERROR(VALUE(SUBSTITUTE(SUBSTITUTE(IF(H1199="","",H1199)&amp;"","$",""),",","")),0)/IF("No"="Yes",P1199,1))</f>
        <v/>
      </c>
      <c r="S1199" s="11">
        <f>IF(J1199="","",O1199+Q1199-R1199)</f>
        <v/>
      </c>
      <c r="T1199">
        <f>IF(J1199="","",IFERROR(IF(K1199="",NA(),MATCH(K1199,Products!$B$5:$B$204,0)),IFERROR(MATCH(J1199,Products!$A$5:$A$204,0),"")))</f>
        <v/>
      </c>
      <c r="U1199">
        <f>IF(J1199="","",IF(T1199="","⚠ not in Products",INDEX(Products!$A$5:$A$204,T1199)))</f>
        <v/>
      </c>
      <c r="V1199" s="11">
        <f>IF(J1199="","",S1199*(IFERROR(INDEX(Settings!$B$5:$B$9,MATCH($B1199,Settings!$A$5:$A$9,0)),0)+IFERROR(INDEX(Settings!$E$5:$E$9,MATCH($B1199,Settings!$A$5:$A$9,0)),0)+IFERROR(INDEX(Settings!$G$5:$G$9,MATCH($B1199,Settings!$A$5:$A$9,0)),0))+(IFERROR(INDEX(Settings!$C$5:$C$9,MATCH($B1199,Settings!$A$5:$A$9,0)),0)+IFERROR(INDEX(Settings!$F$5:$F$9,MATCH($B1199,Settings!$A$5:$A$9,0)),0))/P1199+IFERROR(INDEX(Settings!$D$5:$D$9,MATCH($B1199,Settings!$A$5:$A$9,0)),0)*M1199)</f>
        <v/>
      </c>
      <c r="W1199" s="11">
        <f>IF(J1199="","",IF(T1199="",0,M1199*INDEX(Products!$I$5:$I$204,T1199)))</f>
        <v/>
      </c>
      <c r="X1199" s="11">
        <f>IF(J1199="","",IF(T1199="",0,S1199*INDEX(Products!$H$5:$H$204,T1199)))</f>
        <v/>
      </c>
      <c r="Y1199" s="11">
        <f>IF(J1199="","",S1199-V1199-W1199-X1199)</f>
        <v/>
      </c>
    </row>
    <row r="1200">
      <c r="A1200" s="19" t="n"/>
      <c r="B1200" s="19" t="n"/>
      <c r="C1200" s="19" t="n"/>
      <c r="D1200" s="19" t="n"/>
      <c r="E1200" s="19" t="n"/>
      <c r="F1200" s="20" t="n"/>
      <c r="G1200" s="20" t="n"/>
      <c r="H1200" s="20" t="n"/>
      <c r="I1200" s="19" t="n"/>
      <c r="J1200">
        <f>IFERROR(IF(C1200="","",C1200)&amp;"","")</f>
        <v/>
      </c>
      <c r="K1200">
        <f>IFERROR(IF(D1200="","",D1200)&amp;"","")</f>
        <v/>
      </c>
      <c r="L1200">
        <f>IFERROR(IF(I1200="","",I1200)&amp;"","")</f>
        <v/>
      </c>
      <c r="M1200">
        <f>IF(J1200="","",IFERROR(VALUE(SUBSTITUTE(SUBSTITUTE(IF(E1200="","",E1200)&amp;"","$",""),",","")),0))</f>
        <v/>
      </c>
      <c r="N1200" s="11">
        <f>IF(J1200="","",IFERROR(VALUE(SUBSTITUTE(SUBSTITUTE(IF(F1200="","",F1200)&amp;"","$",""),",","")),0))</f>
        <v/>
      </c>
      <c r="O1200" s="11">
        <f>IF(J1200="","",M1200*N1200)</f>
        <v/>
      </c>
      <c r="P1200">
        <f>IF(J1200="","",IF(L1200="",1,COUNTIF($L$2:$L$1501,L1200)))</f>
        <v/>
      </c>
      <c r="Q1200" s="11">
        <f>IF(J1200="","",IFERROR(VALUE(SUBSTITUTE(SUBSTITUTE(IF(G1200="","",G1200)&amp;"","$",""),",","")),0)/IF("No"="Yes",P1200,1))</f>
        <v/>
      </c>
      <c r="R1200" s="11">
        <f>IF(J1200="","",IFERROR(VALUE(SUBSTITUTE(SUBSTITUTE(IF(H1200="","",H1200)&amp;"","$",""),",","")),0)/IF("No"="Yes",P1200,1))</f>
        <v/>
      </c>
      <c r="S1200" s="11">
        <f>IF(J1200="","",O1200+Q1200-R1200)</f>
        <v/>
      </c>
      <c r="T1200">
        <f>IF(J1200="","",IFERROR(IF(K1200="",NA(),MATCH(K1200,Products!$B$5:$B$204,0)),IFERROR(MATCH(J1200,Products!$A$5:$A$204,0),"")))</f>
        <v/>
      </c>
      <c r="U1200">
        <f>IF(J1200="","",IF(T1200="","⚠ not in Products",INDEX(Products!$A$5:$A$204,T1200)))</f>
        <v/>
      </c>
      <c r="V1200" s="11">
        <f>IF(J1200="","",S1200*(IFERROR(INDEX(Settings!$B$5:$B$9,MATCH($B1200,Settings!$A$5:$A$9,0)),0)+IFERROR(INDEX(Settings!$E$5:$E$9,MATCH($B1200,Settings!$A$5:$A$9,0)),0)+IFERROR(INDEX(Settings!$G$5:$G$9,MATCH($B1200,Settings!$A$5:$A$9,0)),0))+(IFERROR(INDEX(Settings!$C$5:$C$9,MATCH($B1200,Settings!$A$5:$A$9,0)),0)+IFERROR(INDEX(Settings!$F$5:$F$9,MATCH($B1200,Settings!$A$5:$A$9,0)),0))/P1200+IFERROR(INDEX(Settings!$D$5:$D$9,MATCH($B1200,Settings!$A$5:$A$9,0)),0)*M1200)</f>
        <v/>
      </c>
      <c r="W1200" s="11">
        <f>IF(J1200="","",IF(T1200="",0,M1200*INDEX(Products!$I$5:$I$204,T1200)))</f>
        <v/>
      </c>
      <c r="X1200" s="11">
        <f>IF(J1200="","",IF(T1200="",0,S1200*INDEX(Products!$H$5:$H$204,T1200)))</f>
        <v/>
      </c>
      <c r="Y1200" s="11">
        <f>IF(J1200="","",S1200-V1200-W1200-X1200)</f>
        <v/>
      </c>
    </row>
    <row r="1201">
      <c r="A1201" s="19" t="n"/>
      <c r="B1201" s="19" t="n"/>
      <c r="C1201" s="19" t="n"/>
      <c r="D1201" s="19" t="n"/>
      <c r="E1201" s="19" t="n"/>
      <c r="F1201" s="20" t="n"/>
      <c r="G1201" s="20" t="n"/>
      <c r="H1201" s="20" t="n"/>
      <c r="I1201" s="19" t="n"/>
      <c r="J1201">
        <f>IFERROR(IF(C1201="","",C1201)&amp;"","")</f>
        <v/>
      </c>
      <c r="K1201">
        <f>IFERROR(IF(D1201="","",D1201)&amp;"","")</f>
        <v/>
      </c>
      <c r="L1201">
        <f>IFERROR(IF(I1201="","",I1201)&amp;"","")</f>
        <v/>
      </c>
      <c r="M1201">
        <f>IF(J1201="","",IFERROR(VALUE(SUBSTITUTE(SUBSTITUTE(IF(E1201="","",E1201)&amp;"","$",""),",","")),0))</f>
        <v/>
      </c>
      <c r="N1201" s="11">
        <f>IF(J1201="","",IFERROR(VALUE(SUBSTITUTE(SUBSTITUTE(IF(F1201="","",F1201)&amp;"","$",""),",","")),0))</f>
        <v/>
      </c>
      <c r="O1201" s="11">
        <f>IF(J1201="","",M1201*N1201)</f>
        <v/>
      </c>
      <c r="P1201">
        <f>IF(J1201="","",IF(L1201="",1,COUNTIF($L$2:$L$1501,L1201)))</f>
        <v/>
      </c>
      <c r="Q1201" s="11">
        <f>IF(J1201="","",IFERROR(VALUE(SUBSTITUTE(SUBSTITUTE(IF(G1201="","",G1201)&amp;"","$",""),",","")),0)/IF("No"="Yes",P1201,1))</f>
        <v/>
      </c>
      <c r="R1201" s="11">
        <f>IF(J1201="","",IFERROR(VALUE(SUBSTITUTE(SUBSTITUTE(IF(H1201="","",H1201)&amp;"","$",""),",","")),0)/IF("No"="Yes",P1201,1))</f>
        <v/>
      </c>
      <c r="S1201" s="11">
        <f>IF(J1201="","",O1201+Q1201-R1201)</f>
        <v/>
      </c>
      <c r="T1201">
        <f>IF(J1201="","",IFERROR(IF(K1201="",NA(),MATCH(K1201,Products!$B$5:$B$204,0)),IFERROR(MATCH(J1201,Products!$A$5:$A$204,0),"")))</f>
        <v/>
      </c>
      <c r="U1201">
        <f>IF(J1201="","",IF(T1201="","⚠ not in Products",INDEX(Products!$A$5:$A$204,T1201)))</f>
        <v/>
      </c>
      <c r="V1201" s="11">
        <f>IF(J1201="","",S1201*(IFERROR(INDEX(Settings!$B$5:$B$9,MATCH($B1201,Settings!$A$5:$A$9,0)),0)+IFERROR(INDEX(Settings!$E$5:$E$9,MATCH($B1201,Settings!$A$5:$A$9,0)),0)+IFERROR(INDEX(Settings!$G$5:$G$9,MATCH($B1201,Settings!$A$5:$A$9,0)),0))+(IFERROR(INDEX(Settings!$C$5:$C$9,MATCH($B1201,Settings!$A$5:$A$9,0)),0)+IFERROR(INDEX(Settings!$F$5:$F$9,MATCH($B1201,Settings!$A$5:$A$9,0)),0))/P1201+IFERROR(INDEX(Settings!$D$5:$D$9,MATCH($B1201,Settings!$A$5:$A$9,0)),0)*M1201)</f>
        <v/>
      </c>
      <c r="W1201" s="11">
        <f>IF(J1201="","",IF(T1201="",0,M1201*INDEX(Products!$I$5:$I$204,T1201)))</f>
        <v/>
      </c>
      <c r="X1201" s="11">
        <f>IF(J1201="","",IF(T1201="",0,S1201*INDEX(Products!$H$5:$H$204,T1201)))</f>
        <v/>
      </c>
      <c r="Y1201" s="11">
        <f>IF(J1201="","",S1201-V1201-W1201-X1201)</f>
        <v/>
      </c>
    </row>
    <row r="1202">
      <c r="A1202" s="19" t="n"/>
      <c r="B1202" s="19" t="n"/>
      <c r="C1202" s="19" t="n"/>
      <c r="D1202" s="19" t="n"/>
      <c r="E1202" s="19" t="n"/>
      <c r="F1202" s="20" t="n"/>
      <c r="G1202" s="20" t="n"/>
      <c r="H1202" s="20" t="n"/>
      <c r="I1202" s="19" t="n"/>
      <c r="J1202">
        <f>IFERROR(IF(C1202="","",C1202)&amp;"","")</f>
        <v/>
      </c>
      <c r="K1202">
        <f>IFERROR(IF(D1202="","",D1202)&amp;"","")</f>
        <v/>
      </c>
      <c r="L1202">
        <f>IFERROR(IF(I1202="","",I1202)&amp;"","")</f>
        <v/>
      </c>
      <c r="M1202">
        <f>IF(J1202="","",IFERROR(VALUE(SUBSTITUTE(SUBSTITUTE(IF(E1202="","",E1202)&amp;"","$",""),",","")),0))</f>
        <v/>
      </c>
      <c r="N1202" s="11">
        <f>IF(J1202="","",IFERROR(VALUE(SUBSTITUTE(SUBSTITUTE(IF(F1202="","",F1202)&amp;"","$",""),",","")),0))</f>
        <v/>
      </c>
      <c r="O1202" s="11">
        <f>IF(J1202="","",M1202*N1202)</f>
        <v/>
      </c>
      <c r="P1202">
        <f>IF(J1202="","",IF(L1202="",1,COUNTIF($L$2:$L$1501,L1202)))</f>
        <v/>
      </c>
      <c r="Q1202" s="11">
        <f>IF(J1202="","",IFERROR(VALUE(SUBSTITUTE(SUBSTITUTE(IF(G1202="","",G1202)&amp;"","$",""),",","")),0)/IF("No"="Yes",P1202,1))</f>
        <v/>
      </c>
      <c r="R1202" s="11">
        <f>IF(J1202="","",IFERROR(VALUE(SUBSTITUTE(SUBSTITUTE(IF(H1202="","",H1202)&amp;"","$",""),",","")),0)/IF("No"="Yes",P1202,1))</f>
        <v/>
      </c>
      <c r="S1202" s="11">
        <f>IF(J1202="","",O1202+Q1202-R1202)</f>
        <v/>
      </c>
      <c r="T1202">
        <f>IF(J1202="","",IFERROR(IF(K1202="",NA(),MATCH(K1202,Products!$B$5:$B$204,0)),IFERROR(MATCH(J1202,Products!$A$5:$A$204,0),"")))</f>
        <v/>
      </c>
      <c r="U1202">
        <f>IF(J1202="","",IF(T1202="","⚠ not in Products",INDEX(Products!$A$5:$A$204,T1202)))</f>
        <v/>
      </c>
      <c r="V1202" s="11">
        <f>IF(J1202="","",S1202*(IFERROR(INDEX(Settings!$B$5:$B$9,MATCH($B1202,Settings!$A$5:$A$9,0)),0)+IFERROR(INDEX(Settings!$E$5:$E$9,MATCH($B1202,Settings!$A$5:$A$9,0)),0)+IFERROR(INDEX(Settings!$G$5:$G$9,MATCH($B1202,Settings!$A$5:$A$9,0)),0))+(IFERROR(INDEX(Settings!$C$5:$C$9,MATCH($B1202,Settings!$A$5:$A$9,0)),0)+IFERROR(INDEX(Settings!$F$5:$F$9,MATCH($B1202,Settings!$A$5:$A$9,0)),0))/P1202+IFERROR(INDEX(Settings!$D$5:$D$9,MATCH($B1202,Settings!$A$5:$A$9,0)),0)*M1202)</f>
        <v/>
      </c>
      <c r="W1202" s="11">
        <f>IF(J1202="","",IF(T1202="",0,M1202*INDEX(Products!$I$5:$I$204,T1202)))</f>
        <v/>
      </c>
      <c r="X1202" s="11">
        <f>IF(J1202="","",IF(T1202="",0,S1202*INDEX(Products!$H$5:$H$204,T1202)))</f>
        <v/>
      </c>
      <c r="Y1202" s="11">
        <f>IF(J1202="","",S1202-V1202-W1202-X1202)</f>
        <v/>
      </c>
    </row>
    <row r="1203">
      <c r="A1203" s="19" t="n"/>
      <c r="B1203" s="19" t="n"/>
      <c r="C1203" s="19" t="n"/>
      <c r="D1203" s="19" t="n"/>
      <c r="E1203" s="19" t="n"/>
      <c r="F1203" s="20" t="n"/>
      <c r="G1203" s="20" t="n"/>
      <c r="H1203" s="20" t="n"/>
      <c r="I1203" s="19" t="n"/>
      <c r="J1203">
        <f>IFERROR(IF(C1203="","",C1203)&amp;"","")</f>
        <v/>
      </c>
      <c r="K1203">
        <f>IFERROR(IF(D1203="","",D1203)&amp;"","")</f>
        <v/>
      </c>
      <c r="L1203">
        <f>IFERROR(IF(I1203="","",I1203)&amp;"","")</f>
        <v/>
      </c>
      <c r="M1203">
        <f>IF(J1203="","",IFERROR(VALUE(SUBSTITUTE(SUBSTITUTE(IF(E1203="","",E1203)&amp;"","$",""),",","")),0))</f>
        <v/>
      </c>
      <c r="N1203" s="11">
        <f>IF(J1203="","",IFERROR(VALUE(SUBSTITUTE(SUBSTITUTE(IF(F1203="","",F1203)&amp;"","$",""),",","")),0))</f>
        <v/>
      </c>
      <c r="O1203" s="11">
        <f>IF(J1203="","",M1203*N1203)</f>
        <v/>
      </c>
      <c r="P1203">
        <f>IF(J1203="","",IF(L1203="",1,COUNTIF($L$2:$L$1501,L1203)))</f>
        <v/>
      </c>
      <c r="Q1203" s="11">
        <f>IF(J1203="","",IFERROR(VALUE(SUBSTITUTE(SUBSTITUTE(IF(G1203="","",G1203)&amp;"","$",""),",","")),0)/IF("No"="Yes",P1203,1))</f>
        <v/>
      </c>
      <c r="R1203" s="11">
        <f>IF(J1203="","",IFERROR(VALUE(SUBSTITUTE(SUBSTITUTE(IF(H1203="","",H1203)&amp;"","$",""),",","")),0)/IF("No"="Yes",P1203,1))</f>
        <v/>
      </c>
      <c r="S1203" s="11">
        <f>IF(J1203="","",O1203+Q1203-R1203)</f>
        <v/>
      </c>
      <c r="T1203">
        <f>IF(J1203="","",IFERROR(IF(K1203="",NA(),MATCH(K1203,Products!$B$5:$B$204,0)),IFERROR(MATCH(J1203,Products!$A$5:$A$204,0),"")))</f>
        <v/>
      </c>
      <c r="U1203">
        <f>IF(J1203="","",IF(T1203="","⚠ not in Products",INDEX(Products!$A$5:$A$204,T1203)))</f>
        <v/>
      </c>
      <c r="V1203" s="11">
        <f>IF(J1203="","",S1203*(IFERROR(INDEX(Settings!$B$5:$B$9,MATCH($B1203,Settings!$A$5:$A$9,0)),0)+IFERROR(INDEX(Settings!$E$5:$E$9,MATCH($B1203,Settings!$A$5:$A$9,0)),0)+IFERROR(INDEX(Settings!$G$5:$G$9,MATCH($B1203,Settings!$A$5:$A$9,0)),0))+(IFERROR(INDEX(Settings!$C$5:$C$9,MATCH($B1203,Settings!$A$5:$A$9,0)),0)+IFERROR(INDEX(Settings!$F$5:$F$9,MATCH($B1203,Settings!$A$5:$A$9,0)),0))/P1203+IFERROR(INDEX(Settings!$D$5:$D$9,MATCH($B1203,Settings!$A$5:$A$9,0)),0)*M1203)</f>
        <v/>
      </c>
      <c r="W1203" s="11">
        <f>IF(J1203="","",IF(T1203="",0,M1203*INDEX(Products!$I$5:$I$204,T1203)))</f>
        <v/>
      </c>
      <c r="X1203" s="11">
        <f>IF(J1203="","",IF(T1203="",0,S1203*INDEX(Products!$H$5:$H$204,T1203)))</f>
        <v/>
      </c>
      <c r="Y1203" s="11">
        <f>IF(J1203="","",S1203-V1203-W1203-X1203)</f>
        <v/>
      </c>
    </row>
    <row r="1204">
      <c r="A1204" s="19" t="n"/>
      <c r="B1204" s="19" t="n"/>
      <c r="C1204" s="19" t="n"/>
      <c r="D1204" s="19" t="n"/>
      <c r="E1204" s="19" t="n"/>
      <c r="F1204" s="20" t="n"/>
      <c r="G1204" s="20" t="n"/>
      <c r="H1204" s="20" t="n"/>
      <c r="I1204" s="19" t="n"/>
      <c r="J1204">
        <f>IFERROR(IF(C1204="","",C1204)&amp;"","")</f>
        <v/>
      </c>
      <c r="K1204">
        <f>IFERROR(IF(D1204="","",D1204)&amp;"","")</f>
        <v/>
      </c>
      <c r="L1204">
        <f>IFERROR(IF(I1204="","",I1204)&amp;"","")</f>
        <v/>
      </c>
      <c r="M1204">
        <f>IF(J1204="","",IFERROR(VALUE(SUBSTITUTE(SUBSTITUTE(IF(E1204="","",E1204)&amp;"","$",""),",","")),0))</f>
        <v/>
      </c>
      <c r="N1204" s="11">
        <f>IF(J1204="","",IFERROR(VALUE(SUBSTITUTE(SUBSTITUTE(IF(F1204="","",F1204)&amp;"","$",""),",","")),0))</f>
        <v/>
      </c>
      <c r="O1204" s="11">
        <f>IF(J1204="","",M1204*N1204)</f>
        <v/>
      </c>
      <c r="P1204">
        <f>IF(J1204="","",IF(L1204="",1,COUNTIF($L$2:$L$1501,L1204)))</f>
        <v/>
      </c>
      <c r="Q1204" s="11">
        <f>IF(J1204="","",IFERROR(VALUE(SUBSTITUTE(SUBSTITUTE(IF(G1204="","",G1204)&amp;"","$",""),",","")),0)/IF("No"="Yes",P1204,1))</f>
        <v/>
      </c>
      <c r="R1204" s="11">
        <f>IF(J1204="","",IFERROR(VALUE(SUBSTITUTE(SUBSTITUTE(IF(H1204="","",H1204)&amp;"","$",""),",","")),0)/IF("No"="Yes",P1204,1))</f>
        <v/>
      </c>
      <c r="S1204" s="11">
        <f>IF(J1204="","",O1204+Q1204-R1204)</f>
        <v/>
      </c>
      <c r="T1204">
        <f>IF(J1204="","",IFERROR(IF(K1204="",NA(),MATCH(K1204,Products!$B$5:$B$204,0)),IFERROR(MATCH(J1204,Products!$A$5:$A$204,0),"")))</f>
        <v/>
      </c>
      <c r="U1204">
        <f>IF(J1204="","",IF(T1204="","⚠ not in Products",INDEX(Products!$A$5:$A$204,T1204)))</f>
        <v/>
      </c>
      <c r="V1204" s="11">
        <f>IF(J1204="","",S1204*(IFERROR(INDEX(Settings!$B$5:$B$9,MATCH($B1204,Settings!$A$5:$A$9,0)),0)+IFERROR(INDEX(Settings!$E$5:$E$9,MATCH($B1204,Settings!$A$5:$A$9,0)),0)+IFERROR(INDEX(Settings!$G$5:$G$9,MATCH($B1204,Settings!$A$5:$A$9,0)),0))+(IFERROR(INDEX(Settings!$C$5:$C$9,MATCH($B1204,Settings!$A$5:$A$9,0)),0)+IFERROR(INDEX(Settings!$F$5:$F$9,MATCH($B1204,Settings!$A$5:$A$9,0)),0))/P1204+IFERROR(INDEX(Settings!$D$5:$D$9,MATCH($B1204,Settings!$A$5:$A$9,0)),0)*M1204)</f>
        <v/>
      </c>
      <c r="W1204" s="11">
        <f>IF(J1204="","",IF(T1204="",0,M1204*INDEX(Products!$I$5:$I$204,T1204)))</f>
        <v/>
      </c>
      <c r="X1204" s="11">
        <f>IF(J1204="","",IF(T1204="",0,S1204*INDEX(Products!$H$5:$H$204,T1204)))</f>
        <v/>
      </c>
      <c r="Y1204" s="11">
        <f>IF(J1204="","",S1204-V1204-W1204-X1204)</f>
        <v/>
      </c>
    </row>
    <row r="1205">
      <c r="A1205" s="19" t="n"/>
      <c r="B1205" s="19" t="n"/>
      <c r="C1205" s="19" t="n"/>
      <c r="D1205" s="19" t="n"/>
      <c r="E1205" s="19" t="n"/>
      <c r="F1205" s="20" t="n"/>
      <c r="G1205" s="20" t="n"/>
      <c r="H1205" s="20" t="n"/>
      <c r="I1205" s="19" t="n"/>
      <c r="J1205">
        <f>IFERROR(IF(C1205="","",C1205)&amp;"","")</f>
        <v/>
      </c>
      <c r="K1205">
        <f>IFERROR(IF(D1205="","",D1205)&amp;"","")</f>
        <v/>
      </c>
      <c r="L1205">
        <f>IFERROR(IF(I1205="","",I1205)&amp;"","")</f>
        <v/>
      </c>
      <c r="M1205">
        <f>IF(J1205="","",IFERROR(VALUE(SUBSTITUTE(SUBSTITUTE(IF(E1205="","",E1205)&amp;"","$",""),",","")),0))</f>
        <v/>
      </c>
      <c r="N1205" s="11">
        <f>IF(J1205="","",IFERROR(VALUE(SUBSTITUTE(SUBSTITUTE(IF(F1205="","",F1205)&amp;"","$",""),",","")),0))</f>
        <v/>
      </c>
      <c r="O1205" s="11">
        <f>IF(J1205="","",M1205*N1205)</f>
        <v/>
      </c>
      <c r="P1205">
        <f>IF(J1205="","",IF(L1205="",1,COUNTIF($L$2:$L$1501,L1205)))</f>
        <v/>
      </c>
      <c r="Q1205" s="11">
        <f>IF(J1205="","",IFERROR(VALUE(SUBSTITUTE(SUBSTITUTE(IF(G1205="","",G1205)&amp;"","$",""),",","")),0)/IF("No"="Yes",P1205,1))</f>
        <v/>
      </c>
      <c r="R1205" s="11">
        <f>IF(J1205="","",IFERROR(VALUE(SUBSTITUTE(SUBSTITUTE(IF(H1205="","",H1205)&amp;"","$",""),",","")),0)/IF("No"="Yes",P1205,1))</f>
        <v/>
      </c>
      <c r="S1205" s="11">
        <f>IF(J1205="","",O1205+Q1205-R1205)</f>
        <v/>
      </c>
      <c r="T1205">
        <f>IF(J1205="","",IFERROR(IF(K1205="",NA(),MATCH(K1205,Products!$B$5:$B$204,0)),IFERROR(MATCH(J1205,Products!$A$5:$A$204,0),"")))</f>
        <v/>
      </c>
      <c r="U1205">
        <f>IF(J1205="","",IF(T1205="","⚠ not in Products",INDEX(Products!$A$5:$A$204,T1205)))</f>
        <v/>
      </c>
      <c r="V1205" s="11">
        <f>IF(J1205="","",S1205*(IFERROR(INDEX(Settings!$B$5:$B$9,MATCH($B1205,Settings!$A$5:$A$9,0)),0)+IFERROR(INDEX(Settings!$E$5:$E$9,MATCH($B1205,Settings!$A$5:$A$9,0)),0)+IFERROR(INDEX(Settings!$G$5:$G$9,MATCH($B1205,Settings!$A$5:$A$9,0)),0))+(IFERROR(INDEX(Settings!$C$5:$C$9,MATCH($B1205,Settings!$A$5:$A$9,0)),0)+IFERROR(INDEX(Settings!$F$5:$F$9,MATCH($B1205,Settings!$A$5:$A$9,0)),0))/P1205+IFERROR(INDEX(Settings!$D$5:$D$9,MATCH($B1205,Settings!$A$5:$A$9,0)),0)*M1205)</f>
        <v/>
      </c>
      <c r="W1205" s="11">
        <f>IF(J1205="","",IF(T1205="",0,M1205*INDEX(Products!$I$5:$I$204,T1205)))</f>
        <v/>
      </c>
      <c r="X1205" s="11">
        <f>IF(J1205="","",IF(T1205="",0,S1205*INDEX(Products!$H$5:$H$204,T1205)))</f>
        <v/>
      </c>
      <c r="Y1205" s="11">
        <f>IF(J1205="","",S1205-V1205-W1205-X1205)</f>
        <v/>
      </c>
    </row>
    <row r="1206">
      <c r="A1206" s="19" t="n"/>
      <c r="B1206" s="19" t="n"/>
      <c r="C1206" s="19" t="n"/>
      <c r="D1206" s="19" t="n"/>
      <c r="E1206" s="19" t="n"/>
      <c r="F1206" s="20" t="n"/>
      <c r="G1206" s="20" t="n"/>
      <c r="H1206" s="20" t="n"/>
      <c r="I1206" s="19" t="n"/>
      <c r="J1206">
        <f>IFERROR(IF(C1206="","",C1206)&amp;"","")</f>
        <v/>
      </c>
      <c r="K1206">
        <f>IFERROR(IF(D1206="","",D1206)&amp;"","")</f>
        <v/>
      </c>
      <c r="L1206">
        <f>IFERROR(IF(I1206="","",I1206)&amp;"","")</f>
        <v/>
      </c>
      <c r="M1206">
        <f>IF(J1206="","",IFERROR(VALUE(SUBSTITUTE(SUBSTITUTE(IF(E1206="","",E1206)&amp;"","$",""),",","")),0))</f>
        <v/>
      </c>
      <c r="N1206" s="11">
        <f>IF(J1206="","",IFERROR(VALUE(SUBSTITUTE(SUBSTITUTE(IF(F1206="","",F1206)&amp;"","$",""),",","")),0))</f>
        <v/>
      </c>
      <c r="O1206" s="11">
        <f>IF(J1206="","",M1206*N1206)</f>
        <v/>
      </c>
      <c r="P1206">
        <f>IF(J1206="","",IF(L1206="",1,COUNTIF($L$2:$L$1501,L1206)))</f>
        <v/>
      </c>
      <c r="Q1206" s="11">
        <f>IF(J1206="","",IFERROR(VALUE(SUBSTITUTE(SUBSTITUTE(IF(G1206="","",G1206)&amp;"","$",""),",","")),0)/IF("No"="Yes",P1206,1))</f>
        <v/>
      </c>
      <c r="R1206" s="11">
        <f>IF(J1206="","",IFERROR(VALUE(SUBSTITUTE(SUBSTITUTE(IF(H1206="","",H1206)&amp;"","$",""),",","")),0)/IF("No"="Yes",P1206,1))</f>
        <v/>
      </c>
      <c r="S1206" s="11">
        <f>IF(J1206="","",O1206+Q1206-R1206)</f>
        <v/>
      </c>
      <c r="T1206">
        <f>IF(J1206="","",IFERROR(IF(K1206="",NA(),MATCH(K1206,Products!$B$5:$B$204,0)),IFERROR(MATCH(J1206,Products!$A$5:$A$204,0),"")))</f>
        <v/>
      </c>
      <c r="U1206">
        <f>IF(J1206="","",IF(T1206="","⚠ not in Products",INDEX(Products!$A$5:$A$204,T1206)))</f>
        <v/>
      </c>
      <c r="V1206" s="11">
        <f>IF(J1206="","",S1206*(IFERROR(INDEX(Settings!$B$5:$B$9,MATCH($B1206,Settings!$A$5:$A$9,0)),0)+IFERROR(INDEX(Settings!$E$5:$E$9,MATCH($B1206,Settings!$A$5:$A$9,0)),0)+IFERROR(INDEX(Settings!$G$5:$G$9,MATCH($B1206,Settings!$A$5:$A$9,0)),0))+(IFERROR(INDEX(Settings!$C$5:$C$9,MATCH($B1206,Settings!$A$5:$A$9,0)),0)+IFERROR(INDEX(Settings!$F$5:$F$9,MATCH($B1206,Settings!$A$5:$A$9,0)),0))/P1206+IFERROR(INDEX(Settings!$D$5:$D$9,MATCH($B1206,Settings!$A$5:$A$9,0)),0)*M1206)</f>
        <v/>
      </c>
      <c r="W1206" s="11">
        <f>IF(J1206="","",IF(T1206="",0,M1206*INDEX(Products!$I$5:$I$204,T1206)))</f>
        <v/>
      </c>
      <c r="X1206" s="11">
        <f>IF(J1206="","",IF(T1206="",0,S1206*INDEX(Products!$H$5:$H$204,T1206)))</f>
        <v/>
      </c>
      <c r="Y1206" s="11">
        <f>IF(J1206="","",S1206-V1206-W1206-X1206)</f>
        <v/>
      </c>
    </row>
    <row r="1207">
      <c r="A1207" s="19" t="n"/>
      <c r="B1207" s="19" t="n"/>
      <c r="C1207" s="19" t="n"/>
      <c r="D1207" s="19" t="n"/>
      <c r="E1207" s="19" t="n"/>
      <c r="F1207" s="20" t="n"/>
      <c r="G1207" s="20" t="n"/>
      <c r="H1207" s="20" t="n"/>
      <c r="I1207" s="19" t="n"/>
      <c r="J1207">
        <f>IFERROR(IF(C1207="","",C1207)&amp;"","")</f>
        <v/>
      </c>
      <c r="K1207">
        <f>IFERROR(IF(D1207="","",D1207)&amp;"","")</f>
        <v/>
      </c>
      <c r="L1207">
        <f>IFERROR(IF(I1207="","",I1207)&amp;"","")</f>
        <v/>
      </c>
      <c r="M1207">
        <f>IF(J1207="","",IFERROR(VALUE(SUBSTITUTE(SUBSTITUTE(IF(E1207="","",E1207)&amp;"","$",""),",","")),0))</f>
        <v/>
      </c>
      <c r="N1207" s="11">
        <f>IF(J1207="","",IFERROR(VALUE(SUBSTITUTE(SUBSTITUTE(IF(F1207="","",F1207)&amp;"","$",""),",","")),0))</f>
        <v/>
      </c>
      <c r="O1207" s="11">
        <f>IF(J1207="","",M1207*N1207)</f>
        <v/>
      </c>
      <c r="P1207">
        <f>IF(J1207="","",IF(L1207="",1,COUNTIF($L$2:$L$1501,L1207)))</f>
        <v/>
      </c>
      <c r="Q1207" s="11">
        <f>IF(J1207="","",IFERROR(VALUE(SUBSTITUTE(SUBSTITUTE(IF(G1207="","",G1207)&amp;"","$",""),",","")),0)/IF("No"="Yes",P1207,1))</f>
        <v/>
      </c>
      <c r="R1207" s="11">
        <f>IF(J1207="","",IFERROR(VALUE(SUBSTITUTE(SUBSTITUTE(IF(H1207="","",H1207)&amp;"","$",""),",","")),0)/IF("No"="Yes",P1207,1))</f>
        <v/>
      </c>
      <c r="S1207" s="11">
        <f>IF(J1207="","",O1207+Q1207-R1207)</f>
        <v/>
      </c>
      <c r="T1207">
        <f>IF(J1207="","",IFERROR(IF(K1207="",NA(),MATCH(K1207,Products!$B$5:$B$204,0)),IFERROR(MATCH(J1207,Products!$A$5:$A$204,0),"")))</f>
        <v/>
      </c>
      <c r="U1207">
        <f>IF(J1207="","",IF(T1207="","⚠ not in Products",INDEX(Products!$A$5:$A$204,T1207)))</f>
        <v/>
      </c>
      <c r="V1207" s="11">
        <f>IF(J1207="","",S1207*(IFERROR(INDEX(Settings!$B$5:$B$9,MATCH($B1207,Settings!$A$5:$A$9,0)),0)+IFERROR(INDEX(Settings!$E$5:$E$9,MATCH($B1207,Settings!$A$5:$A$9,0)),0)+IFERROR(INDEX(Settings!$G$5:$G$9,MATCH($B1207,Settings!$A$5:$A$9,0)),0))+(IFERROR(INDEX(Settings!$C$5:$C$9,MATCH($B1207,Settings!$A$5:$A$9,0)),0)+IFERROR(INDEX(Settings!$F$5:$F$9,MATCH($B1207,Settings!$A$5:$A$9,0)),0))/P1207+IFERROR(INDEX(Settings!$D$5:$D$9,MATCH($B1207,Settings!$A$5:$A$9,0)),0)*M1207)</f>
        <v/>
      </c>
      <c r="W1207" s="11">
        <f>IF(J1207="","",IF(T1207="",0,M1207*INDEX(Products!$I$5:$I$204,T1207)))</f>
        <v/>
      </c>
      <c r="X1207" s="11">
        <f>IF(J1207="","",IF(T1207="",0,S1207*INDEX(Products!$H$5:$H$204,T1207)))</f>
        <v/>
      </c>
      <c r="Y1207" s="11">
        <f>IF(J1207="","",S1207-V1207-W1207-X1207)</f>
        <v/>
      </c>
    </row>
    <row r="1208">
      <c r="A1208" s="19" t="n"/>
      <c r="B1208" s="19" t="n"/>
      <c r="C1208" s="19" t="n"/>
      <c r="D1208" s="19" t="n"/>
      <c r="E1208" s="19" t="n"/>
      <c r="F1208" s="20" t="n"/>
      <c r="G1208" s="20" t="n"/>
      <c r="H1208" s="20" t="n"/>
      <c r="I1208" s="19" t="n"/>
      <c r="J1208">
        <f>IFERROR(IF(C1208="","",C1208)&amp;"","")</f>
        <v/>
      </c>
      <c r="K1208">
        <f>IFERROR(IF(D1208="","",D1208)&amp;"","")</f>
        <v/>
      </c>
      <c r="L1208">
        <f>IFERROR(IF(I1208="","",I1208)&amp;"","")</f>
        <v/>
      </c>
      <c r="M1208">
        <f>IF(J1208="","",IFERROR(VALUE(SUBSTITUTE(SUBSTITUTE(IF(E1208="","",E1208)&amp;"","$",""),",","")),0))</f>
        <v/>
      </c>
      <c r="N1208" s="11">
        <f>IF(J1208="","",IFERROR(VALUE(SUBSTITUTE(SUBSTITUTE(IF(F1208="","",F1208)&amp;"","$",""),",","")),0))</f>
        <v/>
      </c>
      <c r="O1208" s="11">
        <f>IF(J1208="","",M1208*N1208)</f>
        <v/>
      </c>
      <c r="P1208">
        <f>IF(J1208="","",IF(L1208="",1,COUNTIF($L$2:$L$1501,L1208)))</f>
        <v/>
      </c>
      <c r="Q1208" s="11">
        <f>IF(J1208="","",IFERROR(VALUE(SUBSTITUTE(SUBSTITUTE(IF(G1208="","",G1208)&amp;"","$",""),",","")),0)/IF("No"="Yes",P1208,1))</f>
        <v/>
      </c>
      <c r="R1208" s="11">
        <f>IF(J1208="","",IFERROR(VALUE(SUBSTITUTE(SUBSTITUTE(IF(H1208="","",H1208)&amp;"","$",""),",","")),0)/IF("No"="Yes",P1208,1))</f>
        <v/>
      </c>
      <c r="S1208" s="11">
        <f>IF(J1208="","",O1208+Q1208-R1208)</f>
        <v/>
      </c>
      <c r="T1208">
        <f>IF(J1208="","",IFERROR(IF(K1208="",NA(),MATCH(K1208,Products!$B$5:$B$204,0)),IFERROR(MATCH(J1208,Products!$A$5:$A$204,0),"")))</f>
        <v/>
      </c>
      <c r="U1208">
        <f>IF(J1208="","",IF(T1208="","⚠ not in Products",INDEX(Products!$A$5:$A$204,T1208)))</f>
        <v/>
      </c>
      <c r="V1208" s="11">
        <f>IF(J1208="","",S1208*(IFERROR(INDEX(Settings!$B$5:$B$9,MATCH($B1208,Settings!$A$5:$A$9,0)),0)+IFERROR(INDEX(Settings!$E$5:$E$9,MATCH($B1208,Settings!$A$5:$A$9,0)),0)+IFERROR(INDEX(Settings!$G$5:$G$9,MATCH($B1208,Settings!$A$5:$A$9,0)),0))+(IFERROR(INDEX(Settings!$C$5:$C$9,MATCH($B1208,Settings!$A$5:$A$9,0)),0)+IFERROR(INDEX(Settings!$F$5:$F$9,MATCH($B1208,Settings!$A$5:$A$9,0)),0))/P1208+IFERROR(INDEX(Settings!$D$5:$D$9,MATCH($B1208,Settings!$A$5:$A$9,0)),0)*M1208)</f>
        <v/>
      </c>
      <c r="W1208" s="11">
        <f>IF(J1208="","",IF(T1208="",0,M1208*INDEX(Products!$I$5:$I$204,T1208)))</f>
        <v/>
      </c>
      <c r="X1208" s="11">
        <f>IF(J1208="","",IF(T1208="",0,S1208*INDEX(Products!$H$5:$H$204,T1208)))</f>
        <v/>
      </c>
      <c r="Y1208" s="11">
        <f>IF(J1208="","",S1208-V1208-W1208-X1208)</f>
        <v/>
      </c>
    </row>
    <row r="1209">
      <c r="A1209" s="19" t="n"/>
      <c r="B1209" s="19" t="n"/>
      <c r="C1209" s="19" t="n"/>
      <c r="D1209" s="19" t="n"/>
      <c r="E1209" s="19" t="n"/>
      <c r="F1209" s="20" t="n"/>
      <c r="G1209" s="20" t="n"/>
      <c r="H1209" s="20" t="n"/>
      <c r="I1209" s="19" t="n"/>
      <c r="J1209">
        <f>IFERROR(IF(C1209="","",C1209)&amp;"","")</f>
        <v/>
      </c>
      <c r="K1209">
        <f>IFERROR(IF(D1209="","",D1209)&amp;"","")</f>
        <v/>
      </c>
      <c r="L1209">
        <f>IFERROR(IF(I1209="","",I1209)&amp;"","")</f>
        <v/>
      </c>
      <c r="M1209">
        <f>IF(J1209="","",IFERROR(VALUE(SUBSTITUTE(SUBSTITUTE(IF(E1209="","",E1209)&amp;"","$",""),",","")),0))</f>
        <v/>
      </c>
      <c r="N1209" s="11">
        <f>IF(J1209="","",IFERROR(VALUE(SUBSTITUTE(SUBSTITUTE(IF(F1209="","",F1209)&amp;"","$",""),",","")),0))</f>
        <v/>
      </c>
      <c r="O1209" s="11">
        <f>IF(J1209="","",M1209*N1209)</f>
        <v/>
      </c>
      <c r="P1209">
        <f>IF(J1209="","",IF(L1209="",1,COUNTIF($L$2:$L$1501,L1209)))</f>
        <v/>
      </c>
      <c r="Q1209" s="11">
        <f>IF(J1209="","",IFERROR(VALUE(SUBSTITUTE(SUBSTITUTE(IF(G1209="","",G1209)&amp;"","$",""),",","")),0)/IF("No"="Yes",P1209,1))</f>
        <v/>
      </c>
      <c r="R1209" s="11">
        <f>IF(J1209="","",IFERROR(VALUE(SUBSTITUTE(SUBSTITUTE(IF(H1209="","",H1209)&amp;"","$",""),",","")),0)/IF("No"="Yes",P1209,1))</f>
        <v/>
      </c>
      <c r="S1209" s="11">
        <f>IF(J1209="","",O1209+Q1209-R1209)</f>
        <v/>
      </c>
      <c r="T1209">
        <f>IF(J1209="","",IFERROR(IF(K1209="",NA(),MATCH(K1209,Products!$B$5:$B$204,0)),IFERROR(MATCH(J1209,Products!$A$5:$A$204,0),"")))</f>
        <v/>
      </c>
      <c r="U1209">
        <f>IF(J1209="","",IF(T1209="","⚠ not in Products",INDEX(Products!$A$5:$A$204,T1209)))</f>
        <v/>
      </c>
      <c r="V1209" s="11">
        <f>IF(J1209="","",S1209*(IFERROR(INDEX(Settings!$B$5:$B$9,MATCH($B1209,Settings!$A$5:$A$9,0)),0)+IFERROR(INDEX(Settings!$E$5:$E$9,MATCH($B1209,Settings!$A$5:$A$9,0)),0)+IFERROR(INDEX(Settings!$G$5:$G$9,MATCH($B1209,Settings!$A$5:$A$9,0)),0))+(IFERROR(INDEX(Settings!$C$5:$C$9,MATCH($B1209,Settings!$A$5:$A$9,0)),0)+IFERROR(INDEX(Settings!$F$5:$F$9,MATCH($B1209,Settings!$A$5:$A$9,0)),0))/P1209+IFERROR(INDEX(Settings!$D$5:$D$9,MATCH($B1209,Settings!$A$5:$A$9,0)),0)*M1209)</f>
        <v/>
      </c>
      <c r="W1209" s="11">
        <f>IF(J1209="","",IF(T1209="",0,M1209*INDEX(Products!$I$5:$I$204,T1209)))</f>
        <v/>
      </c>
      <c r="X1209" s="11">
        <f>IF(J1209="","",IF(T1209="",0,S1209*INDEX(Products!$H$5:$H$204,T1209)))</f>
        <v/>
      </c>
      <c r="Y1209" s="11">
        <f>IF(J1209="","",S1209-V1209-W1209-X1209)</f>
        <v/>
      </c>
    </row>
    <row r="1210">
      <c r="A1210" s="19" t="n"/>
      <c r="B1210" s="19" t="n"/>
      <c r="C1210" s="19" t="n"/>
      <c r="D1210" s="19" t="n"/>
      <c r="E1210" s="19" t="n"/>
      <c r="F1210" s="20" t="n"/>
      <c r="G1210" s="20" t="n"/>
      <c r="H1210" s="20" t="n"/>
      <c r="I1210" s="19" t="n"/>
      <c r="J1210">
        <f>IFERROR(IF(C1210="","",C1210)&amp;"","")</f>
        <v/>
      </c>
      <c r="K1210">
        <f>IFERROR(IF(D1210="","",D1210)&amp;"","")</f>
        <v/>
      </c>
      <c r="L1210">
        <f>IFERROR(IF(I1210="","",I1210)&amp;"","")</f>
        <v/>
      </c>
      <c r="M1210">
        <f>IF(J1210="","",IFERROR(VALUE(SUBSTITUTE(SUBSTITUTE(IF(E1210="","",E1210)&amp;"","$",""),",","")),0))</f>
        <v/>
      </c>
      <c r="N1210" s="11">
        <f>IF(J1210="","",IFERROR(VALUE(SUBSTITUTE(SUBSTITUTE(IF(F1210="","",F1210)&amp;"","$",""),",","")),0))</f>
        <v/>
      </c>
      <c r="O1210" s="11">
        <f>IF(J1210="","",M1210*N1210)</f>
        <v/>
      </c>
      <c r="P1210">
        <f>IF(J1210="","",IF(L1210="",1,COUNTIF($L$2:$L$1501,L1210)))</f>
        <v/>
      </c>
      <c r="Q1210" s="11">
        <f>IF(J1210="","",IFERROR(VALUE(SUBSTITUTE(SUBSTITUTE(IF(G1210="","",G1210)&amp;"","$",""),",","")),0)/IF("No"="Yes",P1210,1))</f>
        <v/>
      </c>
      <c r="R1210" s="11">
        <f>IF(J1210="","",IFERROR(VALUE(SUBSTITUTE(SUBSTITUTE(IF(H1210="","",H1210)&amp;"","$",""),",","")),0)/IF("No"="Yes",P1210,1))</f>
        <v/>
      </c>
      <c r="S1210" s="11">
        <f>IF(J1210="","",O1210+Q1210-R1210)</f>
        <v/>
      </c>
      <c r="T1210">
        <f>IF(J1210="","",IFERROR(IF(K1210="",NA(),MATCH(K1210,Products!$B$5:$B$204,0)),IFERROR(MATCH(J1210,Products!$A$5:$A$204,0),"")))</f>
        <v/>
      </c>
      <c r="U1210">
        <f>IF(J1210="","",IF(T1210="","⚠ not in Products",INDEX(Products!$A$5:$A$204,T1210)))</f>
        <v/>
      </c>
      <c r="V1210" s="11">
        <f>IF(J1210="","",S1210*(IFERROR(INDEX(Settings!$B$5:$B$9,MATCH($B1210,Settings!$A$5:$A$9,0)),0)+IFERROR(INDEX(Settings!$E$5:$E$9,MATCH($B1210,Settings!$A$5:$A$9,0)),0)+IFERROR(INDEX(Settings!$G$5:$G$9,MATCH($B1210,Settings!$A$5:$A$9,0)),0))+(IFERROR(INDEX(Settings!$C$5:$C$9,MATCH($B1210,Settings!$A$5:$A$9,0)),0)+IFERROR(INDEX(Settings!$F$5:$F$9,MATCH($B1210,Settings!$A$5:$A$9,0)),0))/P1210+IFERROR(INDEX(Settings!$D$5:$D$9,MATCH($B1210,Settings!$A$5:$A$9,0)),0)*M1210)</f>
        <v/>
      </c>
      <c r="W1210" s="11">
        <f>IF(J1210="","",IF(T1210="",0,M1210*INDEX(Products!$I$5:$I$204,T1210)))</f>
        <v/>
      </c>
      <c r="X1210" s="11">
        <f>IF(J1210="","",IF(T1210="",0,S1210*INDEX(Products!$H$5:$H$204,T1210)))</f>
        <v/>
      </c>
      <c r="Y1210" s="11">
        <f>IF(J1210="","",S1210-V1210-W1210-X1210)</f>
        <v/>
      </c>
    </row>
    <row r="1211">
      <c r="A1211" s="19" t="n"/>
      <c r="B1211" s="19" t="n"/>
      <c r="C1211" s="19" t="n"/>
      <c r="D1211" s="19" t="n"/>
      <c r="E1211" s="19" t="n"/>
      <c r="F1211" s="20" t="n"/>
      <c r="G1211" s="20" t="n"/>
      <c r="H1211" s="20" t="n"/>
      <c r="I1211" s="19" t="n"/>
      <c r="J1211">
        <f>IFERROR(IF(C1211="","",C1211)&amp;"","")</f>
        <v/>
      </c>
      <c r="K1211">
        <f>IFERROR(IF(D1211="","",D1211)&amp;"","")</f>
        <v/>
      </c>
      <c r="L1211">
        <f>IFERROR(IF(I1211="","",I1211)&amp;"","")</f>
        <v/>
      </c>
      <c r="M1211">
        <f>IF(J1211="","",IFERROR(VALUE(SUBSTITUTE(SUBSTITUTE(IF(E1211="","",E1211)&amp;"","$",""),",","")),0))</f>
        <v/>
      </c>
      <c r="N1211" s="11">
        <f>IF(J1211="","",IFERROR(VALUE(SUBSTITUTE(SUBSTITUTE(IF(F1211="","",F1211)&amp;"","$",""),",","")),0))</f>
        <v/>
      </c>
      <c r="O1211" s="11">
        <f>IF(J1211="","",M1211*N1211)</f>
        <v/>
      </c>
      <c r="P1211">
        <f>IF(J1211="","",IF(L1211="",1,COUNTIF($L$2:$L$1501,L1211)))</f>
        <v/>
      </c>
      <c r="Q1211" s="11">
        <f>IF(J1211="","",IFERROR(VALUE(SUBSTITUTE(SUBSTITUTE(IF(G1211="","",G1211)&amp;"","$",""),",","")),0)/IF("No"="Yes",P1211,1))</f>
        <v/>
      </c>
      <c r="R1211" s="11">
        <f>IF(J1211="","",IFERROR(VALUE(SUBSTITUTE(SUBSTITUTE(IF(H1211="","",H1211)&amp;"","$",""),",","")),0)/IF("No"="Yes",P1211,1))</f>
        <v/>
      </c>
      <c r="S1211" s="11">
        <f>IF(J1211="","",O1211+Q1211-R1211)</f>
        <v/>
      </c>
      <c r="T1211">
        <f>IF(J1211="","",IFERROR(IF(K1211="",NA(),MATCH(K1211,Products!$B$5:$B$204,0)),IFERROR(MATCH(J1211,Products!$A$5:$A$204,0),"")))</f>
        <v/>
      </c>
      <c r="U1211">
        <f>IF(J1211="","",IF(T1211="","⚠ not in Products",INDEX(Products!$A$5:$A$204,T1211)))</f>
        <v/>
      </c>
      <c r="V1211" s="11">
        <f>IF(J1211="","",S1211*(IFERROR(INDEX(Settings!$B$5:$B$9,MATCH($B1211,Settings!$A$5:$A$9,0)),0)+IFERROR(INDEX(Settings!$E$5:$E$9,MATCH($B1211,Settings!$A$5:$A$9,0)),0)+IFERROR(INDEX(Settings!$G$5:$G$9,MATCH($B1211,Settings!$A$5:$A$9,0)),0))+(IFERROR(INDEX(Settings!$C$5:$C$9,MATCH($B1211,Settings!$A$5:$A$9,0)),0)+IFERROR(INDEX(Settings!$F$5:$F$9,MATCH($B1211,Settings!$A$5:$A$9,0)),0))/P1211+IFERROR(INDEX(Settings!$D$5:$D$9,MATCH($B1211,Settings!$A$5:$A$9,0)),0)*M1211)</f>
        <v/>
      </c>
      <c r="W1211" s="11">
        <f>IF(J1211="","",IF(T1211="",0,M1211*INDEX(Products!$I$5:$I$204,T1211)))</f>
        <v/>
      </c>
      <c r="X1211" s="11">
        <f>IF(J1211="","",IF(T1211="",0,S1211*INDEX(Products!$H$5:$H$204,T1211)))</f>
        <v/>
      </c>
      <c r="Y1211" s="11">
        <f>IF(J1211="","",S1211-V1211-W1211-X1211)</f>
        <v/>
      </c>
    </row>
    <row r="1212">
      <c r="A1212" s="19" t="n"/>
      <c r="B1212" s="19" t="n"/>
      <c r="C1212" s="19" t="n"/>
      <c r="D1212" s="19" t="n"/>
      <c r="E1212" s="19" t="n"/>
      <c r="F1212" s="20" t="n"/>
      <c r="G1212" s="20" t="n"/>
      <c r="H1212" s="20" t="n"/>
      <c r="I1212" s="19" t="n"/>
      <c r="J1212">
        <f>IFERROR(IF(C1212="","",C1212)&amp;"","")</f>
        <v/>
      </c>
      <c r="K1212">
        <f>IFERROR(IF(D1212="","",D1212)&amp;"","")</f>
        <v/>
      </c>
      <c r="L1212">
        <f>IFERROR(IF(I1212="","",I1212)&amp;"","")</f>
        <v/>
      </c>
      <c r="M1212">
        <f>IF(J1212="","",IFERROR(VALUE(SUBSTITUTE(SUBSTITUTE(IF(E1212="","",E1212)&amp;"","$",""),",","")),0))</f>
        <v/>
      </c>
      <c r="N1212" s="11">
        <f>IF(J1212="","",IFERROR(VALUE(SUBSTITUTE(SUBSTITUTE(IF(F1212="","",F1212)&amp;"","$",""),",","")),0))</f>
        <v/>
      </c>
      <c r="O1212" s="11">
        <f>IF(J1212="","",M1212*N1212)</f>
        <v/>
      </c>
      <c r="P1212">
        <f>IF(J1212="","",IF(L1212="",1,COUNTIF($L$2:$L$1501,L1212)))</f>
        <v/>
      </c>
      <c r="Q1212" s="11">
        <f>IF(J1212="","",IFERROR(VALUE(SUBSTITUTE(SUBSTITUTE(IF(G1212="","",G1212)&amp;"","$",""),",","")),0)/IF("No"="Yes",P1212,1))</f>
        <v/>
      </c>
      <c r="R1212" s="11">
        <f>IF(J1212="","",IFERROR(VALUE(SUBSTITUTE(SUBSTITUTE(IF(H1212="","",H1212)&amp;"","$",""),",","")),0)/IF("No"="Yes",P1212,1))</f>
        <v/>
      </c>
      <c r="S1212" s="11">
        <f>IF(J1212="","",O1212+Q1212-R1212)</f>
        <v/>
      </c>
      <c r="T1212">
        <f>IF(J1212="","",IFERROR(IF(K1212="",NA(),MATCH(K1212,Products!$B$5:$B$204,0)),IFERROR(MATCH(J1212,Products!$A$5:$A$204,0),"")))</f>
        <v/>
      </c>
      <c r="U1212">
        <f>IF(J1212="","",IF(T1212="","⚠ not in Products",INDEX(Products!$A$5:$A$204,T1212)))</f>
        <v/>
      </c>
      <c r="V1212" s="11">
        <f>IF(J1212="","",S1212*(IFERROR(INDEX(Settings!$B$5:$B$9,MATCH($B1212,Settings!$A$5:$A$9,0)),0)+IFERROR(INDEX(Settings!$E$5:$E$9,MATCH($B1212,Settings!$A$5:$A$9,0)),0)+IFERROR(INDEX(Settings!$G$5:$G$9,MATCH($B1212,Settings!$A$5:$A$9,0)),0))+(IFERROR(INDEX(Settings!$C$5:$C$9,MATCH($B1212,Settings!$A$5:$A$9,0)),0)+IFERROR(INDEX(Settings!$F$5:$F$9,MATCH($B1212,Settings!$A$5:$A$9,0)),0))/P1212+IFERROR(INDEX(Settings!$D$5:$D$9,MATCH($B1212,Settings!$A$5:$A$9,0)),0)*M1212)</f>
        <v/>
      </c>
      <c r="W1212" s="11">
        <f>IF(J1212="","",IF(T1212="",0,M1212*INDEX(Products!$I$5:$I$204,T1212)))</f>
        <v/>
      </c>
      <c r="X1212" s="11">
        <f>IF(J1212="","",IF(T1212="",0,S1212*INDEX(Products!$H$5:$H$204,T1212)))</f>
        <v/>
      </c>
      <c r="Y1212" s="11">
        <f>IF(J1212="","",S1212-V1212-W1212-X1212)</f>
        <v/>
      </c>
    </row>
    <row r="1213">
      <c r="A1213" s="19" t="n"/>
      <c r="B1213" s="19" t="n"/>
      <c r="C1213" s="19" t="n"/>
      <c r="D1213" s="19" t="n"/>
      <c r="E1213" s="19" t="n"/>
      <c r="F1213" s="20" t="n"/>
      <c r="G1213" s="20" t="n"/>
      <c r="H1213" s="20" t="n"/>
      <c r="I1213" s="19" t="n"/>
      <c r="J1213">
        <f>IFERROR(IF(C1213="","",C1213)&amp;"","")</f>
        <v/>
      </c>
      <c r="K1213">
        <f>IFERROR(IF(D1213="","",D1213)&amp;"","")</f>
        <v/>
      </c>
      <c r="L1213">
        <f>IFERROR(IF(I1213="","",I1213)&amp;"","")</f>
        <v/>
      </c>
      <c r="M1213">
        <f>IF(J1213="","",IFERROR(VALUE(SUBSTITUTE(SUBSTITUTE(IF(E1213="","",E1213)&amp;"","$",""),",","")),0))</f>
        <v/>
      </c>
      <c r="N1213" s="11">
        <f>IF(J1213="","",IFERROR(VALUE(SUBSTITUTE(SUBSTITUTE(IF(F1213="","",F1213)&amp;"","$",""),",","")),0))</f>
        <v/>
      </c>
      <c r="O1213" s="11">
        <f>IF(J1213="","",M1213*N1213)</f>
        <v/>
      </c>
      <c r="P1213">
        <f>IF(J1213="","",IF(L1213="",1,COUNTIF($L$2:$L$1501,L1213)))</f>
        <v/>
      </c>
      <c r="Q1213" s="11">
        <f>IF(J1213="","",IFERROR(VALUE(SUBSTITUTE(SUBSTITUTE(IF(G1213="","",G1213)&amp;"","$",""),",","")),0)/IF("No"="Yes",P1213,1))</f>
        <v/>
      </c>
      <c r="R1213" s="11">
        <f>IF(J1213="","",IFERROR(VALUE(SUBSTITUTE(SUBSTITUTE(IF(H1213="","",H1213)&amp;"","$",""),",","")),0)/IF("No"="Yes",P1213,1))</f>
        <v/>
      </c>
      <c r="S1213" s="11">
        <f>IF(J1213="","",O1213+Q1213-R1213)</f>
        <v/>
      </c>
      <c r="T1213">
        <f>IF(J1213="","",IFERROR(IF(K1213="",NA(),MATCH(K1213,Products!$B$5:$B$204,0)),IFERROR(MATCH(J1213,Products!$A$5:$A$204,0),"")))</f>
        <v/>
      </c>
      <c r="U1213">
        <f>IF(J1213="","",IF(T1213="","⚠ not in Products",INDEX(Products!$A$5:$A$204,T1213)))</f>
        <v/>
      </c>
      <c r="V1213" s="11">
        <f>IF(J1213="","",S1213*(IFERROR(INDEX(Settings!$B$5:$B$9,MATCH($B1213,Settings!$A$5:$A$9,0)),0)+IFERROR(INDEX(Settings!$E$5:$E$9,MATCH($B1213,Settings!$A$5:$A$9,0)),0)+IFERROR(INDEX(Settings!$G$5:$G$9,MATCH($B1213,Settings!$A$5:$A$9,0)),0))+(IFERROR(INDEX(Settings!$C$5:$C$9,MATCH($B1213,Settings!$A$5:$A$9,0)),0)+IFERROR(INDEX(Settings!$F$5:$F$9,MATCH($B1213,Settings!$A$5:$A$9,0)),0))/P1213+IFERROR(INDEX(Settings!$D$5:$D$9,MATCH($B1213,Settings!$A$5:$A$9,0)),0)*M1213)</f>
        <v/>
      </c>
      <c r="W1213" s="11">
        <f>IF(J1213="","",IF(T1213="",0,M1213*INDEX(Products!$I$5:$I$204,T1213)))</f>
        <v/>
      </c>
      <c r="X1213" s="11">
        <f>IF(J1213="","",IF(T1213="",0,S1213*INDEX(Products!$H$5:$H$204,T1213)))</f>
        <v/>
      </c>
      <c r="Y1213" s="11">
        <f>IF(J1213="","",S1213-V1213-W1213-X1213)</f>
        <v/>
      </c>
    </row>
    <row r="1214">
      <c r="A1214" s="19" t="n"/>
      <c r="B1214" s="19" t="n"/>
      <c r="C1214" s="19" t="n"/>
      <c r="D1214" s="19" t="n"/>
      <c r="E1214" s="19" t="n"/>
      <c r="F1214" s="20" t="n"/>
      <c r="G1214" s="20" t="n"/>
      <c r="H1214" s="20" t="n"/>
      <c r="I1214" s="19" t="n"/>
      <c r="J1214">
        <f>IFERROR(IF(C1214="","",C1214)&amp;"","")</f>
        <v/>
      </c>
      <c r="K1214">
        <f>IFERROR(IF(D1214="","",D1214)&amp;"","")</f>
        <v/>
      </c>
      <c r="L1214">
        <f>IFERROR(IF(I1214="","",I1214)&amp;"","")</f>
        <v/>
      </c>
      <c r="M1214">
        <f>IF(J1214="","",IFERROR(VALUE(SUBSTITUTE(SUBSTITUTE(IF(E1214="","",E1214)&amp;"","$",""),",","")),0))</f>
        <v/>
      </c>
      <c r="N1214" s="11">
        <f>IF(J1214="","",IFERROR(VALUE(SUBSTITUTE(SUBSTITUTE(IF(F1214="","",F1214)&amp;"","$",""),",","")),0))</f>
        <v/>
      </c>
      <c r="O1214" s="11">
        <f>IF(J1214="","",M1214*N1214)</f>
        <v/>
      </c>
      <c r="P1214">
        <f>IF(J1214="","",IF(L1214="",1,COUNTIF($L$2:$L$1501,L1214)))</f>
        <v/>
      </c>
      <c r="Q1214" s="11">
        <f>IF(J1214="","",IFERROR(VALUE(SUBSTITUTE(SUBSTITUTE(IF(G1214="","",G1214)&amp;"","$",""),",","")),0)/IF("No"="Yes",P1214,1))</f>
        <v/>
      </c>
      <c r="R1214" s="11">
        <f>IF(J1214="","",IFERROR(VALUE(SUBSTITUTE(SUBSTITUTE(IF(H1214="","",H1214)&amp;"","$",""),",","")),0)/IF("No"="Yes",P1214,1))</f>
        <v/>
      </c>
      <c r="S1214" s="11">
        <f>IF(J1214="","",O1214+Q1214-R1214)</f>
        <v/>
      </c>
      <c r="T1214">
        <f>IF(J1214="","",IFERROR(IF(K1214="",NA(),MATCH(K1214,Products!$B$5:$B$204,0)),IFERROR(MATCH(J1214,Products!$A$5:$A$204,0),"")))</f>
        <v/>
      </c>
      <c r="U1214">
        <f>IF(J1214="","",IF(T1214="","⚠ not in Products",INDEX(Products!$A$5:$A$204,T1214)))</f>
        <v/>
      </c>
      <c r="V1214" s="11">
        <f>IF(J1214="","",S1214*(IFERROR(INDEX(Settings!$B$5:$B$9,MATCH($B1214,Settings!$A$5:$A$9,0)),0)+IFERROR(INDEX(Settings!$E$5:$E$9,MATCH($B1214,Settings!$A$5:$A$9,0)),0)+IFERROR(INDEX(Settings!$G$5:$G$9,MATCH($B1214,Settings!$A$5:$A$9,0)),0))+(IFERROR(INDEX(Settings!$C$5:$C$9,MATCH($B1214,Settings!$A$5:$A$9,0)),0)+IFERROR(INDEX(Settings!$F$5:$F$9,MATCH($B1214,Settings!$A$5:$A$9,0)),0))/P1214+IFERROR(INDEX(Settings!$D$5:$D$9,MATCH($B1214,Settings!$A$5:$A$9,0)),0)*M1214)</f>
        <v/>
      </c>
      <c r="W1214" s="11">
        <f>IF(J1214="","",IF(T1214="",0,M1214*INDEX(Products!$I$5:$I$204,T1214)))</f>
        <v/>
      </c>
      <c r="X1214" s="11">
        <f>IF(J1214="","",IF(T1214="",0,S1214*INDEX(Products!$H$5:$H$204,T1214)))</f>
        <v/>
      </c>
      <c r="Y1214" s="11">
        <f>IF(J1214="","",S1214-V1214-W1214-X1214)</f>
        <v/>
      </c>
    </row>
    <row r="1215">
      <c r="A1215" s="19" t="n"/>
      <c r="B1215" s="19" t="n"/>
      <c r="C1215" s="19" t="n"/>
      <c r="D1215" s="19" t="n"/>
      <c r="E1215" s="19" t="n"/>
      <c r="F1215" s="20" t="n"/>
      <c r="G1215" s="20" t="n"/>
      <c r="H1215" s="20" t="n"/>
      <c r="I1215" s="19" t="n"/>
      <c r="J1215">
        <f>IFERROR(IF(C1215="","",C1215)&amp;"","")</f>
        <v/>
      </c>
      <c r="K1215">
        <f>IFERROR(IF(D1215="","",D1215)&amp;"","")</f>
        <v/>
      </c>
      <c r="L1215">
        <f>IFERROR(IF(I1215="","",I1215)&amp;"","")</f>
        <v/>
      </c>
      <c r="M1215">
        <f>IF(J1215="","",IFERROR(VALUE(SUBSTITUTE(SUBSTITUTE(IF(E1215="","",E1215)&amp;"","$",""),",","")),0))</f>
        <v/>
      </c>
      <c r="N1215" s="11">
        <f>IF(J1215="","",IFERROR(VALUE(SUBSTITUTE(SUBSTITUTE(IF(F1215="","",F1215)&amp;"","$",""),",","")),0))</f>
        <v/>
      </c>
      <c r="O1215" s="11">
        <f>IF(J1215="","",M1215*N1215)</f>
        <v/>
      </c>
      <c r="P1215">
        <f>IF(J1215="","",IF(L1215="",1,COUNTIF($L$2:$L$1501,L1215)))</f>
        <v/>
      </c>
      <c r="Q1215" s="11">
        <f>IF(J1215="","",IFERROR(VALUE(SUBSTITUTE(SUBSTITUTE(IF(G1215="","",G1215)&amp;"","$",""),",","")),0)/IF("No"="Yes",P1215,1))</f>
        <v/>
      </c>
      <c r="R1215" s="11">
        <f>IF(J1215="","",IFERROR(VALUE(SUBSTITUTE(SUBSTITUTE(IF(H1215="","",H1215)&amp;"","$",""),",","")),0)/IF("No"="Yes",P1215,1))</f>
        <v/>
      </c>
      <c r="S1215" s="11">
        <f>IF(J1215="","",O1215+Q1215-R1215)</f>
        <v/>
      </c>
      <c r="T1215">
        <f>IF(J1215="","",IFERROR(IF(K1215="",NA(),MATCH(K1215,Products!$B$5:$B$204,0)),IFERROR(MATCH(J1215,Products!$A$5:$A$204,0),"")))</f>
        <v/>
      </c>
      <c r="U1215">
        <f>IF(J1215="","",IF(T1215="","⚠ not in Products",INDEX(Products!$A$5:$A$204,T1215)))</f>
        <v/>
      </c>
      <c r="V1215" s="11">
        <f>IF(J1215="","",S1215*(IFERROR(INDEX(Settings!$B$5:$B$9,MATCH($B1215,Settings!$A$5:$A$9,0)),0)+IFERROR(INDEX(Settings!$E$5:$E$9,MATCH($B1215,Settings!$A$5:$A$9,0)),0)+IFERROR(INDEX(Settings!$G$5:$G$9,MATCH($B1215,Settings!$A$5:$A$9,0)),0))+(IFERROR(INDEX(Settings!$C$5:$C$9,MATCH($B1215,Settings!$A$5:$A$9,0)),0)+IFERROR(INDEX(Settings!$F$5:$F$9,MATCH($B1215,Settings!$A$5:$A$9,0)),0))/P1215+IFERROR(INDEX(Settings!$D$5:$D$9,MATCH($B1215,Settings!$A$5:$A$9,0)),0)*M1215)</f>
        <v/>
      </c>
      <c r="W1215" s="11">
        <f>IF(J1215="","",IF(T1215="",0,M1215*INDEX(Products!$I$5:$I$204,T1215)))</f>
        <v/>
      </c>
      <c r="X1215" s="11">
        <f>IF(J1215="","",IF(T1215="",0,S1215*INDEX(Products!$H$5:$H$204,T1215)))</f>
        <v/>
      </c>
      <c r="Y1215" s="11">
        <f>IF(J1215="","",S1215-V1215-W1215-X1215)</f>
        <v/>
      </c>
    </row>
    <row r="1216">
      <c r="A1216" s="19" t="n"/>
      <c r="B1216" s="19" t="n"/>
      <c r="C1216" s="19" t="n"/>
      <c r="D1216" s="19" t="n"/>
      <c r="E1216" s="19" t="n"/>
      <c r="F1216" s="20" t="n"/>
      <c r="G1216" s="20" t="n"/>
      <c r="H1216" s="20" t="n"/>
      <c r="I1216" s="19" t="n"/>
      <c r="J1216">
        <f>IFERROR(IF(C1216="","",C1216)&amp;"","")</f>
        <v/>
      </c>
      <c r="K1216">
        <f>IFERROR(IF(D1216="","",D1216)&amp;"","")</f>
        <v/>
      </c>
      <c r="L1216">
        <f>IFERROR(IF(I1216="","",I1216)&amp;"","")</f>
        <v/>
      </c>
      <c r="M1216">
        <f>IF(J1216="","",IFERROR(VALUE(SUBSTITUTE(SUBSTITUTE(IF(E1216="","",E1216)&amp;"","$",""),",","")),0))</f>
        <v/>
      </c>
      <c r="N1216" s="11">
        <f>IF(J1216="","",IFERROR(VALUE(SUBSTITUTE(SUBSTITUTE(IF(F1216="","",F1216)&amp;"","$",""),",","")),0))</f>
        <v/>
      </c>
      <c r="O1216" s="11">
        <f>IF(J1216="","",M1216*N1216)</f>
        <v/>
      </c>
      <c r="P1216">
        <f>IF(J1216="","",IF(L1216="",1,COUNTIF($L$2:$L$1501,L1216)))</f>
        <v/>
      </c>
      <c r="Q1216" s="11">
        <f>IF(J1216="","",IFERROR(VALUE(SUBSTITUTE(SUBSTITUTE(IF(G1216="","",G1216)&amp;"","$",""),",","")),0)/IF("No"="Yes",P1216,1))</f>
        <v/>
      </c>
      <c r="R1216" s="11">
        <f>IF(J1216="","",IFERROR(VALUE(SUBSTITUTE(SUBSTITUTE(IF(H1216="","",H1216)&amp;"","$",""),",","")),0)/IF("No"="Yes",P1216,1))</f>
        <v/>
      </c>
      <c r="S1216" s="11">
        <f>IF(J1216="","",O1216+Q1216-R1216)</f>
        <v/>
      </c>
      <c r="T1216">
        <f>IF(J1216="","",IFERROR(IF(K1216="",NA(),MATCH(K1216,Products!$B$5:$B$204,0)),IFERROR(MATCH(J1216,Products!$A$5:$A$204,0),"")))</f>
        <v/>
      </c>
      <c r="U1216">
        <f>IF(J1216="","",IF(T1216="","⚠ not in Products",INDEX(Products!$A$5:$A$204,T1216)))</f>
        <v/>
      </c>
      <c r="V1216" s="11">
        <f>IF(J1216="","",S1216*(IFERROR(INDEX(Settings!$B$5:$B$9,MATCH($B1216,Settings!$A$5:$A$9,0)),0)+IFERROR(INDEX(Settings!$E$5:$E$9,MATCH($B1216,Settings!$A$5:$A$9,0)),0)+IFERROR(INDEX(Settings!$G$5:$G$9,MATCH($B1216,Settings!$A$5:$A$9,0)),0))+(IFERROR(INDEX(Settings!$C$5:$C$9,MATCH($B1216,Settings!$A$5:$A$9,0)),0)+IFERROR(INDEX(Settings!$F$5:$F$9,MATCH($B1216,Settings!$A$5:$A$9,0)),0))/P1216+IFERROR(INDEX(Settings!$D$5:$D$9,MATCH($B1216,Settings!$A$5:$A$9,0)),0)*M1216)</f>
        <v/>
      </c>
      <c r="W1216" s="11">
        <f>IF(J1216="","",IF(T1216="",0,M1216*INDEX(Products!$I$5:$I$204,T1216)))</f>
        <v/>
      </c>
      <c r="X1216" s="11">
        <f>IF(J1216="","",IF(T1216="",0,S1216*INDEX(Products!$H$5:$H$204,T1216)))</f>
        <v/>
      </c>
      <c r="Y1216" s="11">
        <f>IF(J1216="","",S1216-V1216-W1216-X1216)</f>
        <v/>
      </c>
    </row>
    <row r="1217">
      <c r="A1217" s="19" t="n"/>
      <c r="B1217" s="19" t="n"/>
      <c r="C1217" s="19" t="n"/>
      <c r="D1217" s="19" t="n"/>
      <c r="E1217" s="19" t="n"/>
      <c r="F1217" s="20" t="n"/>
      <c r="G1217" s="20" t="n"/>
      <c r="H1217" s="20" t="n"/>
      <c r="I1217" s="19" t="n"/>
      <c r="J1217">
        <f>IFERROR(IF(C1217="","",C1217)&amp;"","")</f>
        <v/>
      </c>
      <c r="K1217">
        <f>IFERROR(IF(D1217="","",D1217)&amp;"","")</f>
        <v/>
      </c>
      <c r="L1217">
        <f>IFERROR(IF(I1217="","",I1217)&amp;"","")</f>
        <v/>
      </c>
      <c r="M1217">
        <f>IF(J1217="","",IFERROR(VALUE(SUBSTITUTE(SUBSTITUTE(IF(E1217="","",E1217)&amp;"","$",""),",","")),0))</f>
        <v/>
      </c>
      <c r="N1217" s="11">
        <f>IF(J1217="","",IFERROR(VALUE(SUBSTITUTE(SUBSTITUTE(IF(F1217="","",F1217)&amp;"","$",""),",","")),0))</f>
        <v/>
      </c>
      <c r="O1217" s="11">
        <f>IF(J1217="","",M1217*N1217)</f>
        <v/>
      </c>
      <c r="P1217">
        <f>IF(J1217="","",IF(L1217="",1,COUNTIF($L$2:$L$1501,L1217)))</f>
        <v/>
      </c>
      <c r="Q1217" s="11">
        <f>IF(J1217="","",IFERROR(VALUE(SUBSTITUTE(SUBSTITUTE(IF(G1217="","",G1217)&amp;"","$",""),",","")),0)/IF("No"="Yes",P1217,1))</f>
        <v/>
      </c>
      <c r="R1217" s="11">
        <f>IF(J1217="","",IFERROR(VALUE(SUBSTITUTE(SUBSTITUTE(IF(H1217="","",H1217)&amp;"","$",""),",","")),0)/IF("No"="Yes",P1217,1))</f>
        <v/>
      </c>
      <c r="S1217" s="11">
        <f>IF(J1217="","",O1217+Q1217-R1217)</f>
        <v/>
      </c>
      <c r="T1217">
        <f>IF(J1217="","",IFERROR(IF(K1217="",NA(),MATCH(K1217,Products!$B$5:$B$204,0)),IFERROR(MATCH(J1217,Products!$A$5:$A$204,0),"")))</f>
        <v/>
      </c>
      <c r="U1217">
        <f>IF(J1217="","",IF(T1217="","⚠ not in Products",INDEX(Products!$A$5:$A$204,T1217)))</f>
        <v/>
      </c>
      <c r="V1217" s="11">
        <f>IF(J1217="","",S1217*(IFERROR(INDEX(Settings!$B$5:$B$9,MATCH($B1217,Settings!$A$5:$A$9,0)),0)+IFERROR(INDEX(Settings!$E$5:$E$9,MATCH($B1217,Settings!$A$5:$A$9,0)),0)+IFERROR(INDEX(Settings!$G$5:$G$9,MATCH($B1217,Settings!$A$5:$A$9,0)),0))+(IFERROR(INDEX(Settings!$C$5:$C$9,MATCH($B1217,Settings!$A$5:$A$9,0)),0)+IFERROR(INDEX(Settings!$F$5:$F$9,MATCH($B1217,Settings!$A$5:$A$9,0)),0))/P1217+IFERROR(INDEX(Settings!$D$5:$D$9,MATCH($B1217,Settings!$A$5:$A$9,0)),0)*M1217)</f>
        <v/>
      </c>
      <c r="W1217" s="11">
        <f>IF(J1217="","",IF(T1217="",0,M1217*INDEX(Products!$I$5:$I$204,T1217)))</f>
        <v/>
      </c>
      <c r="X1217" s="11">
        <f>IF(J1217="","",IF(T1217="",0,S1217*INDEX(Products!$H$5:$H$204,T1217)))</f>
        <v/>
      </c>
      <c r="Y1217" s="11">
        <f>IF(J1217="","",S1217-V1217-W1217-X1217)</f>
        <v/>
      </c>
    </row>
    <row r="1218">
      <c r="A1218" s="19" t="n"/>
      <c r="B1218" s="19" t="n"/>
      <c r="C1218" s="19" t="n"/>
      <c r="D1218" s="19" t="n"/>
      <c r="E1218" s="19" t="n"/>
      <c r="F1218" s="20" t="n"/>
      <c r="G1218" s="20" t="n"/>
      <c r="H1218" s="20" t="n"/>
      <c r="I1218" s="19" t="n"/>
      <c r="J1218">
        <f>IFERROR(IF(C1218="","",C1218)&amp;"","")</f>
        <v/>
      </c>
      <c r="K1218">
        <f>IFERROR(IF(D1218="","",D1218)&amp;"","")</f>
        <v/>
      </c>
      <c r="L1218">
        <f>IFERROR(IF(I1218="","",I1218)&amp;"","")</f>
        <v/>
      </c>
      <c r="M1218">
        <f>IF(J1218="","",IFERROR(VALUE(SUBSTITUTE(SUBSTITUTE(IF(E1218="","",E1218)&amp;"","$",""),",","")),0))</f>
        <v/>
      </c>
      <c r="N1218" s="11">
        <f>IF(J1218="","",IFERROR(VALUE(SUBSTITUTE(SUBSTITUTE(IF(F1218="","",F1218)&amp;"","$",""),",","")),0))</f>
        <v/>
      </c>
      <c r="O1218" s="11">
        <f>IF(J1218="","",M1218*N1218)</f>
        <v/>
      </c>
      <c r="P1218">
        <f>IF(J1218="","",IF(L1218="",1,COUNTIF($L$2:$L$1501,L1218)))</f>
        <v/>
      </c>
      <c r="Q1218" s="11">
        <f>IF(J1218="","",IFERROR(VALUE(SUBSTITUTE(SUBSTITUTE(IF(G1218="","",G1218)&amp;"","$",""),",","")),0)/IF("No"="Yes",P1218,1))</f>
        <v/>
      </c>
      <c r="R1218" s="11">
        <f>IF(J1218="","",IFERROR(VALUE(SUBSTITUTE(SUBSTITUTE(IF(H1218="","",H1218)&amp;"","$",""),",","")),0)/IF("No"="Yes",P1218,1))</f>
        <v/>
      </c>
      <c r="S1218" s="11">
        <f>IF(J1218="","",O1218+Q1218-R1218)</f>
        <v/>
      </c>
      <c r="T1218">
        <f>IF(J1218="","",IFERROR(IF(K1218="",NA(),MATCH(K1218,Products!$B$5:$B$204,0)),IFERROR(MATCH(J1218,Products!$A$5:$A$204,0),"")))</f>
        <v/>
      </c>
      <c r="U1218">
        <f>IF(J1218="","",IF(T1218="","⚠ not in Products",INDEX(Products!$A$5:$A$204,T1218)))</f>
        <v/>
      </c>
      <c r="V1218" s="11">
        <f>IF(J1218="","",S1218*(IFERROR(INDEX(Settings!$B$5:$B$9,MATCH($B1218,Settings!$A$5:$A$9,0)),0)+IFERROR(INDEX(Settings!$E$5:$E$9,MATCH($B1218,Settings!$A$5:$A$9,0)),0)+IFERROR(INDEX(Settings!$G$5:$G$9,MATCH($B1218,Settings!$A$5:$A$9,0)),0))+(IFERROR(INDEX(Settings!$C$5:$C$9,MATCH($B1218,Settings!$A$5:$A$9,0)),0)+IFERROR(INDEX(Settings!$F$5:$F$9,MATCH($B1218,Settings!$A$5:$A$9,0)),0))/P1218+IFERROR(INDEX(Settings!$D$5:$D$9,MATCH($B1218,Settings!$A$5:$A$9,0)),0)*M1218)</f>
        <v/>
      </c>
      <c r="W1218" s="11">
        <f>IF(J1218="","",IF(T1218="",0,M1218*INDEX(Products!$I$5:$I$204,T1218)))</f>
        <v/>
      </c>
      <c r="X1218" s="11">
        <f>IF(J1218="","",IF(T1218="",0,S1218*INDEX(Products!$H$5:$H$204,T1218)))</f>
        <v/>
      </c>
      <c r="Y1218" s="11">
        <f>IF(J1218="","",S1218-V1218-W1218-X1218)</f>
        <v/>
      </c>
    </row>
    <row r="1219">
      <c r="A1219" s="19" t="n"/>
      <c r="B1219" s="19" t="n"/>
      <c r="C1219" s="19" t="n"/>
      <c r="D1219" s="19" t="n"/>
      <c r="E1219" s="19" t="n"/>
      <c r="F1219" s="20" t="n"/>
      <c r="G1219" s="20" t="n"/>
      <c r="H1219" s="20" t="n"/>
      <c r="I1219" s="19" t="n"/>
      <c r="J1219">
        <f>IFERROR(IF(C1219="","",C1219)&amp;"","")</f>
        <v/>
      </c>
      <c r="K1219">
        <f>IFERROR(IF(D1219="","",D1219)&amp;"","")</f>
        <v/>
      </c>
      <c r="L1219">
        <f>IFERROR(IF(I1219="","",I1219)&amp;"","")</f>
        <v/>
      </c>
      <c r="M1219">
        <f>IF(J1219="","",IFERROR(VALUE(SUBSTITUTE(SUBSTITUTE(IF(E1219="","",E1219)&amp;"","$",""),",","")),0))</f>
        <v/>
      </c>
      <c r="N1219" s="11">
        <f>IF(J1219="","",IFERROR(VALUE(SUBSTITUTE(SUBSTITUTE(IF(F1219="","",F1219)&amp;"","$",""),",","")),0))</f>
        <v/>
      </c>
      <c r="O1219" s="11">
        <f>IF(J1219="","",M1219*N1219)</f>
        <v/>
      </c>
      <c r="P1219">
        <f>IF(J1219="","",IF(L1219="",1,COUNTIF($L$2:$L$1501,L1219)))</f>
        <v/>
      </c>
      <c r="Q1219" s="11">
        <f>IF(J1219="","",IFERROR(VALUE(SUBSTITUTE(SUBSTITUTE(IF(G1219="","",G1219)&amp;"","$",""),",","")),0)/IF("No"="Yes",P1219,1))</f>
        <v/>
      </c>
      <c r="R1219" s="11">
        <f>IF(J1219="","",IFERROR(VALUE(SUBSTITUTE(SUBSTITUTE(IF(H1219="","",H1219)&amp;"","$",""),",","")),0)/IF("No"="Yes",P1219,1))</f>
        <v/>
      </c>
      <c r="S1219" s="11">
        <f>IF(J1219="","",O1219+Q1219-R1219)</f>
        <v/>
      </c>
      <c r="T1219">
        <f>IF(J1219="","",IFERROR(IF(K1219="",NA(),MATCH(K1219,Products!$B$5:$B$204,0)),IFERROR(MATCH(J1219,Products!$A$5:$A$204,0),"")))</f>
        <v/>
      </c>
      <c r="U1219">
        <f>IF(J1219="","",IF(T1219="","⚠ not in Products",INDEX(Products!$A$5:$A$204,T1219)))</f>
        <v/>
      </c>
      <c r="V1219" s="11">
        <f>IF(J1219="","",S1219*(IFERROR(INDEX(Settings!$B$5:$B$9,MATCH($B1219,Settings!$A$5:$A$9,0)),0)+IFERROR(INDEX(Settings!$E$5:$E$9,MATCH($B1219,Settings!$A$5:$A$9,0)),0)+IFERROR(INDEX(Settings!$G$5:$G$9,MATCH($B1219,Settings!$A$5:$A$9,0)),0))+(IFERROR(INDEX(Settings!$C$5:$C$9,MATCH($B1219,Settings!$A$5:$A$9,0)),0)+IFERROR(INDEX(Settings!$F$5:$F$9,MATCH($B1219,Settings!$A$5:$A$9,0)),0))/P1219+IFERROR(INDEX(Settings!$D$5:$D$9,MATCH($B1219,Settings!$A$5:$A$9,0)),0)*M1219)</f>
        <v/>
      </c>
      <c r="W1219" s="11">
        <f>IF(J1219="","",IF(T1219="",0,M1219*INDEX(Products!$I$5:$I$204,T1219)))</f>
        <v/>
      </c>
      <c r="X1219" s="11">
        <f>IF(J1219="","",IF(T1219="",0,S1219*INDEX(Products!$H$5:$H$204,T1219)))</f>
        <v/>
      </c>
      <c r="Y1219" s="11">
        <f>IF(J1219="","",S1219-V1219-W1219-X1219)</f>
        <v/>
      </c>
    </row>
    <row r="1220">
      <c r="A1220" s="19" t="n"/>
      <c r="B1220" s="19" t="n"/>
      <c r="C1220" s="19" t="n"/>
      <c r="D1220" s="19" t="n"/>
      <c r="E1220" s="19" t="n"/>
      <c r="F1220" s="20" t="n"/>
      <c r="G1220" s="20" t="n"/>
      <c r="H1220" s="20" t="n"/>
      <c r="I1220" s="19" t="n"/>
      <c r="J1220">
        <f>IFERROR(IF(C1220="","",C1220)&amp;"","")</f>
        <v/>
      </c>
      <c r="K1220">
        <f>IFERROR(IF(D1220="","",D1220)&amp;"","")</f>
        <v/>
      </c>
      <c r="L1220">
        <f>IFERROR(IF(I1220="","",I1220)&amp;"","")</f>
        <v/>
      </c>
      <c r="M1220">
        <f>IF(J1220="","",IFERROR(VALUE(SUBSTITUTE(SUBSTITUTE(IF(E1220="","",E1220)&amp;"","$",""),",","")),0))</f>
        <v/>
      </c>
      <c r="N1220" s="11">
        <f>IF(J1220="","",IFERROR(VALUE(SUBSTITUTE(SUBSTITUTE(IF(F1220="","",F1220)&amp;"","$",""),",","")),0))</f>
        <v/>
      </c>
      <c r="O1220" s="11">
        <f>IF(J1220="","",M1220*N1220)</f>
        <v/>
      </c>
      <c r="P1220">
        <f>IF(J1220="","",IF(L1220="",1,COUNTIF($L$2:$L$1501,L1220)))</f>
        <v/>
      </c>
      <c r="Q1220" s="11">
        <f>IF(J1220="","",IFERROR(VALUE(SUBSTITUTE(SUBSTITUTE(IF(G1220="","",G1220)&amp;"","$",""),",","")),0)/IF("No"="Yes",P1220,1))</f>
        <v/>
      </c>
      <c r="R1220" s="11">
        <f>IF(J1220="","",IFERROR(VALUE(SUBSTITUTE(SUBSTITUTE(IF(H1220="","",H1220)&amp;"","$",""),",","")),0)/IF("No"="Yes",P1220,1))</f>
        <v/>
      </c>
      <c r="S1220" s="11">
        <f>IF(J1220="","",O1220+Q1220-R1220)</f>
        <v/>
      </c>
      <c r="T1220">
        <f>IF(J1220="","",IFERROR(IF(K1220="",NA(),MATCH(K1220,Products!$B$5:$B$204,0)),IFERROR(MATCH(J1220,Products!$A$5:$A$204,0),"")))</f>
        <v/>
      </c>
      <c r="U1220">
        <f>IF(J1220="","",IF(T1220="","⚠ not in Products",INDEX(Products!$A$5:$A$204,T1220)))</f>
        <v/>
      </c>
      <c r="V1220" s="11">
        <f>IF(J1220="","",S1220*(IFERROR(INDEX(Settings!$B$5:$B$9,MATCH($B1220,Settings!$A$5:$A$9,0)),0)+IFERROR(INDEX(Settings!$E$5:$E$9,MATCH($B1220,Settings!$A$5:$A$9,0)),0)+IFERROR(INDEX(Settings!$G$5:$G$9,MATCH($B1220,Settings!$A$5:$A$9,0)),0))+(IFERROR(INDEX(Settings!$C$5:$C$9,MATCH($B1220,Settings!$A$5:$A$9,0)),0)+IFERROR(INDEX(Settings!$F$5:$F$9,MATCH($B1220,Settings!$A$5:$A$9,0)),0))/P1220+IFERROR(INDEX(Settings!$D$5:$D$9,MATCH($B1220,Settings!$A$5:$A$9,0)),0)*M1220)</f>
        <v/>
      </c>
      <c r="W1220" s="11">
        <f>IF(J1220="","",IF(T1220="",0,M1220*INDEX(Products!$I$5:$I$204,T1220)))</f>
        <v/>
      </c>
      <c r="X1220" s="11">
        <f>IF(J1220="","",IF(T1220="",0,S1220*INDEX(Products!$H$5:$H$204,T1220)))</f>
        <v/>
      </c>
      <c r="Y1220" s="11">
        <f>IF(J1220="","",S1220-V1220-W1220-X1220)</f>
        <v/>
      </c>
    </row>
    <row r="1221">
      <c r="A1221" s="19" t="n"/>
      <c r="B1221" s="19" t="n"/>
      <c r="C1221" s="19" t="n"/>
      <c r="D1221" s="19" t="n"/>
      <c r="E1221" s="19" t="n"/>
      <c r="F1221" s="20" t="n"/>
      <c r="G1221" s="20" t="n"/>
      <c r="H1221" s="20" t="n"/>
      <c r="I1221" s="19" t="n"/>
      <c r="J1221">
        <f>IFERROR(IF(C1221="","",C1221)&amp;"","")</f>
        <v/>
      </c>
      <c r="K1221">
        <f>IFERROR(IF(D1221="","",D1221)&amp;"","")</f>
        <v/>
      </c>
      <c r="L1221">
        <f>IFERROR(IF(I1221="","",I1221)&amp;"","")</f>
        <v/>
      </c>
      <c r="M1221">
        <f>IF(J1221="","",IFERROR(VALUE(SUBSTITUTE(SUBSTITUTE(IF(E1221="","",E1221)&amp;"","$",""),",","")),0))</f>
        <v/>
      </c>
      <c r="N1221" s="11">
        <f>IF(J1221="","",IFERROR(VALUE(SUBSTITUTE(SUBSTITUTE(IF(F1221="","",F1221)&amp;"","$",""),",","")),0))</f>
        <v/>
      </c>
      <c r="O1221" s="11">
        <f>IF(J1221="","",M1221*N1221)</f>
        <v/>
      </c>
      <c r="P1221">
        <f>IF(J1221="","",IF(L1221="",1,COUNTIF($L$2:$L$1501,L1221)))</f>
        <v/>
      </c>
      <c r="Q1221" s="11">
        <f>IF(J1221="","",IFERROR(VALUE(SUBSTITUTE(SUBSTITUTE(IF(G1221="","",G1221)&amp;"","$",""),",","")),0)/IF("No"="Yes",P1221,1))</f>
        <v/>
      </c>
      <c r="R1221" s="11">
        <f>IF(J1221="","",IFERROR(VALUE(SUBSTITUTE(SUBSTITUTE(IF(H1221="","",H1221)&amp;"","$",""),",","")),0)/IF("No"="Yes",P1221,1))</f>
        <v/>
      </c>
      <c r="S1221" s="11">
        <f>IF(J1221="","",O1221+Q1221-R1221)</f>
        <v/>
      </c>
      <c r="T1221">
        <f>IF(J1221="","",IFERROR(IF(K1221="",NA(),MATCH(K1221,Products!$B$5:$B$204,0)),IFERROR(MATCH(J1221,Products!$A$5:$A$204,0),"")))</f>
        <v/>
      </c>
      <c r="U1221">
        <f>IF(J1221="","",IF(T1221="","⚠ not in Products",INDEX(Products!$A$5:$A$204,T1221)))</f>
        <v/>
      </c>
      <c r="V1221" s="11">
        <f>IF(J1221="","",S1221*(IFERROR(INDEX(Settings!$B$5:$B$9,MATCH($B1221,Settings!$A$5:$A$9,0)),0)+IFERROR(INDEX(Settings!$E$5:$E$9,MATCH($B1221,Settings!$A$5:$A$9,0)),0)+IFERROR(INDEX(Settings!$G$5:$G$9,MATCH($B1221,Settings!$A$5:$A$9,0)),0))+(IFERROR(INDEX(Settings!$C$5:$C$9,MATCH($B1221,Settings!$A$5:$A$9,0)),0)+IFERROR(INDEX(Settings!$F$5:$F$9,MATCH($B1221,Settings!$A$5:$A$9,0)),0))/P1221+IFERROR(INDEX(Settings!$D$5:$D$9,MATCH($B1221,Settings!$A$5:$A$9,0)),0)*M1221)</f>
        <v/>
      </c>
      <c r="W1221" s="11">
        <f>IF(J1221="","",IF(T1221="",0,M1221*INDEX(Products!$I$5:$I$204,T1221)))</f>
        <v/>
      </c>
      <c r="X1221" s="11">
        <f>IF(J1221="","",IF(T1221="",0,S1221*INDEX(Products!$H$5:$H$204,T1221)))</f>
        <v/>
      </c>
      <c r="Y1221" s="11">
        <f>IF(J1221="","",S1221-V1221-W1221-X1221)</f>
        <v/>
      </c>
    </row>
    <row r="1222">
      <c r="A1222" s="19" t="n"/>
      <c r="B1222" s="19" t="n"/>
      <c r="C1222" s="19" t="n"/>
      <c r="D1222" s="19" t="n"/>
      <c r="E1222" s="19" t="n"/>
      <c r="F1222" s="20" t="n"/>
      <c r="G1222" s="20" t="n"/>
      <c r="H1222" s="20" t="n"/>
      <c r="I1222" s="19" t="n"/>
      <c r="J1222">
        <f>IFERROR(IF(C1222="","",C1222)&amp;"","")</f>
        <v/>
      </c>
      <c r="K1222">
        <f>IFERROR(IF(D1222="","",D1222)&amp;"","")</f>
        <v/>
      </c>
      <c r="L1222">
        <f>IFERROR(IF(I1222="","",I1222)&amp;"","")</f>
        <v/>
      </c>
      <c r="M1222">
        <f>IF(J1222="","",IFERROR(VALUE(SUBSTITUTE(SUBSTITUTE(IF(E1222="","",E1222)&amp;"","$",""),",","")),0))</f>
        <v/>
      </c>
      <c r="N1222" s="11">
        <f>IF(J1222="","",IFERROR(VALUE(SUBSTITUTE(SUBSTITUTE(IF(F1222="","",F1222)&amp;"","$",""),",","")),0))</f>
        <v/>
      </c>
      <c r="O1222" s="11">
        <f>IF(J1222="","",M1222*N1222)</f>
        <v/>
      </c>
      <c r="P1222">
        <f>IF(J1222="","",IF(L1222="",1,COUNTIF($L$2:$L$1501,L1222)))</f>
        <v/>
      </c>
      <c r="Q1222" s="11">
        <f>IF(J1222="","",IFERROR(VALUE(SUBSTITUTE(SUBSTITUTE(IF(G1222="","",G1222)&amp;"","$",""),",","")),0)/IF("No"="Yes",P1222,1))</f>
        <v/>
      </c>
      <c r="R1222" s="11">
        <f>IF(J1222="","",IFERROR(VALUE(SUBSTITUTE(SUBSTITUTE(IF(H1222="","",H1222)&amp;"","$",""),",","")),0)/IF("No"="Yes",P1222,1))</f>
        <v/>
      </c>
      <c r="S1222" s="11">
        <f>IF(J1222="","",O1222+Q1222-R1222)</f>
        <v/>
      </c>
      <c r="T1222">
        <f>IF(J1222="","",IFERROR(IF(K1222="",NA(),MATCH(K1222,Products!$B$5:$B$204,0)),IFERROR(MATCH(J1222,Products!$A$5:$A$204,0),"")))</f>
        <v/>
      </c>
      <c r="U1222">
        <f>IF(J1222="","",IF(T1222="","⚠ not in Products",INDEX(Products!$A$5:$A$204,T1222)))</f>
        <v/>
      </c>
      <c r="V1222" s="11">
        <f>IF(J1222="","",S1222*(IFERROR(INDEX(Settings!$B$5:$B$9,MATCH($B1222,Settings!$A$5:$A$9,0)),0)+IFERROR(INDEX(Settings!$E$5:$E$9,MATCH($B1222,Settings!$A$5:$A$9,0)),0)+IFERROR(INDEX(Settings!$G$5:$G$9,MATCH($B1222,Settings!$A$5:$A$9,0)),0))+(IFERROR(INDEX(Settings!$C$5:$C$9,MATCH($B1222,Settings!$A$5:$A$9,0)),0)+IFERROR(INDEX(Settings!$F$5:$F$9,MATCH($B1222,Settings!$A$5:$A$9,0)),0))/P1222+IFERROR(INDEX(Settings!$D$5:$D$9,MATCH($B1222,Settings!$A$5:$A$9,0)),0)*M1222)</f>
        <v/>
      </c>
      <c r="W1222" s="11">
        <f>IF(J1222="","",IF(T1222="",0,M1222*INDEX(Products!$I$5:$I$204,T1222)))</f>
        <v/>
      </c>
      <c r="X1222" s="11">
        <f>IF(J1222="","",IF(T1222="",0,S1222*INDEX(Products!$H$5:$H$204,T1222)))</f>
        <v/>
      </c>
      <c r="Y1222" s="11">
        <f>IF(J1222="","",S1222-V1222-W1222-X1222)</f>
        <v/>
      </c>
    </row>
    <row r="1223">
      <c r="A1223" s="19" t="n"/>
      <c r="B1223" s="19" t="n"/>
      <c r="C1223" s="19" t="n"/>
      <c r="D1223" s="19" t="n"/>
      <c r="E1223" s="19" t="n"/>
      <c r="F1223" s="20" t="n"/>
      <c r="G1223" s="20" t="n"/>
      <c r="H1223" s="20" t="n"/>
      <c r="I1223" s="19" t="n"/>
      <c r="J1223">
        <f>IFERROR(IF(C1223="","",C1223)&amp;"","")</f>
        <v/>
      </c>
      <c r="K1223">
        <f>IFERROR(IF(D1223="","",D1223)&amp;"","")</f>
        <v/>
      </c>
      <c r="L1223">
        <f>IFERROR(IF(I1223="","",I1223)&amp;"","")</f>
        <v/>
      </c>
      <c r="M1223">
        <f>IF(J1223="","",IFERROR(VALUE(SUBSTITUTE(SUBSTITUTE(IF(E1223="","",E1223)&amp;"","$",""),",","")),0))</f>
        <v/>
      </c>
      <c r="N1223" s="11">
        <f>IF(J1223="","",IFERROR(VALUE(SUBSTITUTE(SUBSTITUTE(IF(F1223="","",F1223)&amp;"","$",""),",","")),0))</f>
        <v/>
      </c>
      <c r="O1223" s="11">
        <f>IF(J1223="","",M1223*N1223)</f>
        <v/>
      </c>
      <c r="P1223">
        <f>IF(J1223="","",IF(L1223="",1,COUNTIF($L$2:$L$1501,L1223)))</f>
        <v/>
      </c>
      <c r="Q1223" s="11">
        <f>IF(J1223="","",IFERROR(VALUE(SUBSTITUTE(SUBSTITUTE(IF(G1223="","",G1223)&amp;"","$",""),",","")),0)/IF("No"="Yes",P1223,1))</f>
        <v/>
      </c>
      <c r="R1223" s="11">
        <f>IF(J1223="","",IFERROR(VALUE(SUBSTITUTE(SUBSTITUTE(IF(H1223="","",H1223)&amp;"","$",""),",","")),0)/IF("No"="Yes",P1223,1))</f>
        <v/>
      </c>
      <c r="S1223" s="11">
        <f>IF(J1223="","",O1223+Q1223-R1223)</f>
        <v/>
      </c>
      <c r="T1223">
        <f>IF(J1223="","",IFERROR(IF(K1223="",NA(),MATCH(K1223,Products!$B$5:$B$204,0)),IFERROR(MATCH(J1223,Products!$A$5:$A$204,0),"")))</f>
        <v/>
      </c>
      <c r="U1223">
        <f>IF(J1223="","",IF(T1223="","⚠ not in Products",INDEX(Products!$A$5:$A$204,T1223)))</f>
        <v/>
      </c>
      <c r="V1223" s="11">
        <f>IF(J1223="","",S1223*(IFERROR(INDEX(Settings!$B$5:$B$9,MATCH($B1223,Settings!$A$5:$A$9,0)),0)+IFERROR(INDEX(Settings!$E$5:$E$9,MATCH($B1223,Settings!$A$5:$A$9,0)),0)+IFERROR(INDEX(Settings!$G$5:$G$9,MATCH($B1223,Settings!$A$5:$A$9,0)),0))+(IFERROR(INDEX(Settings!$C$5:$C$9,MATCH($B1223,Settings!$A$5:$A$9,0)),0)+IFERROR(INDEX(Settings!$F$5:$F$9,MATCH($B1223,Settings!$A$5:$A$9,0)),0))/P1223+IFERROR(INDEX(Settings!$D$5:$D$9,MATCH($B1223,Settings!$A$5:$A$9,0)),0)*M1223)</f>
        <v/>
      </c>
      <c r="W1223" s="11">
        <f>IF(J1223="","",IF(T1223="",0,M1223*INDEX(Products!$I$5:$I$204,T1223)))</f>
        <v/>
      </c>
      <c r="X1223" s="11">
        <f>IF(J1223="","",IF(T1223="",0,S1223*INDEX(Products!$H$5:$H$204,T1223)))</f>
        <v/>
      </c>
      <c r="Y1223" s="11">
        <f>IF(J1223="","",S1223-V1223-W1223-X1223)</f>
        <v/>
      </c>
    </row>
    <row r="1224">
      <c r="A1224" s="19" t="n"/>
      <c r="B1224" s="19" t="n"/>
      <c r="C1224" s="19" t="n"/>
      <c r="D1224" s="19" t="n"/>
      <c r="E1224" s="19" t="n"/>
      <c r="F1224" s="20" t="n"/>
      <c r="G1224" s="20" t="n"/>
      <c r="H1224" s="20" t="n"/>
      <c r="I1224" s="19" t="n"/>
      <c r="J1224">
        <f>IFERROR(IF(C1224="","",C1224)&amp;"","")</f>
        <v/>
      </c>
      <c r="K1224">
        <f>IFERROR(IF(D1224="","",D1224)&amp;"","")</f>
        <v/>
      </c>
      <c r="L1224">
        <f>IFERROR(IF(I1224="","",I1224)&amp;"","")</f>
        <v/>
      </c>
      <c r="M1224">
        <f>IF(J1224="","",IFERROR(VALUE(SUBSTITUTE(SUBSTITUTE(IF(E1224="","",E1224)&amp;"","$",""),",","")),0))</f>
        <v/>
      </c>
      <c r="N1224" s="11">
        <f>IF(J1224="","",IFERROR(VALUE(SUBSTITUTE(SUBSTITUTE(IF(F1224="","",F1224)&amp;"","$",""),",","")),0))</f>
        <v/>
      </c>
      <c r="O1224" s="11">
        <f>IF(J1224="","",M1224*N1224)</f>
        <v/>
      </c>
      <c r="P1224">
        <f>IF(J1224="","",IF(L1224="",1,COUNTIF($L$2:$L$1501,L1224)))</f>
        <v/>
      </c>
      <c r="Q1224" s="11">
        <f>IF(J1224="","",IFERROR(VALUE(SUBSTITUTE(SUBSTITUTE(IF(G1224="","",G1224)&amp;"","$",""),",","")),0)/IF("No"="Yes",P1224,1))</f>
        <v/>
      </c>
      <c r="R1224" s="11">
        <f>IF(J1224="","",IFERROR(VALUE(SUBSTITUTE(SUBSTITUTE(IF(H1224="","",H1224)&amp;"","$",""),",","")),0)/IF("No"="Yes",P1224,1))</f>
        <v/>
      </c>
      <c r="S1224" s="11">
        <f>IF(J1224="","",O1224+Q1224-R1224)</f>
        <v/>
      </c>
      <c r="T1224">
        <f>IF(J1224="","",IFERROR(IF(K1224="",NA(),MATCH(K1224,Products!$B$5:$B$204,0)),IFERROR(MATCH(J1224,Products!$A$5:$A$204,0),"")))</f>
        <v/>
      </c>
      <c r="U1224">
        <f>IF(J1224="","",IF(T1224="","⚠ not in Products",INDEX(Products!$A$5:$A$204,T1224)))</f>
        <v/>
      </c>
      <c r="V1224" s="11">
        <f>IF(J1224="","",S1224*(IFERROR(INDEX(Settings!$B$5:$B$9,MATCH($B1224,Settings!$A$5:$A$9,0)),0)+IFERROR(INDEX(Settings!$E$5:$E$9,MATCH($B1224,Settings!$A$5:$A$9,0)),0)+IFERROR(INDEX(Settings!$G$5:$G$9,MATCH($B1224,Settings!$A$5:$A$9,0)),0))+(IFERROR(INDEX(Settings!$C$5:$C$9,MATCH($B1224,Settings!$A$5:$A$9,0)),0)+IFERROR(INDEX(Settings!$F$5:$F$9,MATCH($B1224,Settings!$A$5:$A$9,0)),0))/P1224+IFERROR(INDEX(Settings!$D$5:$D$9,MATCH($B1224,Settings!$A$5:$A$9,0)),0)*M1224)</f>
        <v/>
      </c>
      <c r="W1224" s="11">
        <f>IF(J1224="","",IF(T1224="",0,M1224*INDEX(Products!$I$5:$I$204,T1224)))</f>
        <v/>
      </c>
      <c r="X1224" s="11">
        <f>IF(J1224="","",IF(T1224="",0,S1224*INDEX(Products!$H$5:$H$204,T1224)))</f>
        <v/>
      </c>
      <c r="Y1224" s="11">
        <f>IF(J1224="","",S1224-V1224-W1224-X1224)</f>
        <v/>
      </c>
    </row>
    <row r="1225">
      <c r="A1225" s="19" t="n"/>
      <c r="B1225" s="19" t="n"/>
      <c r="C1225" s="19" t="n"/>
      <c r="D1225" s="19" t="n"/>
      <c r="E1225" s="19" t="n"/>
      <c r="F1225" s="20" t="n"/>
      <c r="G1225" s="20" t="n"/>
      <c r="H1225" s="20" t="n"/>
      <c r="I1225" s="19" t="n"/>
      <c r="J1225">
        <f>IFERROR(IF(C1225="","",C1225)&amp;"","")</f>
        <v/>
      </c>
      <c r="K1225">
        <f>IFERROR(IF(D1225="","",D1225)&amp;"","")</f>
        <v/>
      </c>
      <c r="L1225">
        <f>IFERROR(IF(I1225="","",I1225)&amp;"","")</f>
        <v/>
      </c>
      <c r="M1225">
        <f>IF(J1225="","",IFERROR(VALUE(SUBSTITUTE(SUBSTITUTE(IF(E1225="","",E1225)&amp;"","$",""),",","")),0))</f>
        <v/>
      </c>
      <c r="N1225" s="11">
        <f>IF(J1225="","",IFERROR(VALUE(SUBSTITUTE(SUBSTITUTE(IF(F1225="","",F1225)&amp;"","$",""),",","")),0))</f>
        <v/>
      </c>
      <c r="O1225" s="11">
        <f>IF(J1225="","",M1225*N1225)</f>
        <v/>
      </c>
      <c r="P1225">
        <f>IF(J1225="","",IF(L1225="",1,COUNTIF($L$2:$L$1501,L1225)))</f>
        <v/>
      </c>
      <c r="Q1225" s="11">
        <f>IF(J1225="","",IFERROR(VALUE(SUBSTITUTE(SUBSTITUTE(IF(G1225="","",G1225)&amp;"","$",""),",","")),0)/IF("No"="Yes",P1225,1))</f>
        <v/>
      </c>
      <c r="R1225" s="11">
        <f>IF(J1225="","",IFERROR(VALUE(SUBSTITUTE(SUBSTITUTE(IF(H1225="","",H1225)&amp;"","$",""),",","")),0)/IF("No"="Yes",P1225,1))</f>
        <v/>
      </c>
      <c r="S1225" s="11">
        <f>IF(J1225="","",O1225+Q1225-R1225)</f>
        <v/>
      </c>
      <c r="T1225">
        <f>IF(J1225="","",IFERROR(IF(K1225="",NA(),MATCH(K1225,Products!$B$5:$B$204,0)),IFERROR(MATCH(J1225,Products!$A$5:$A$204,0),"")))</f>
        <v/>
      </c>
      <c r="U1225">
        <f>IF(J1225="","",IF(T1225="","⚠ not in Products",INDEX(Products!$A$5:$A$204,T1225)))</f>
        <v/>
      </c>
      <c r="V1225" s="11">
        <f>IF(J1225="","",S1225*(IFERROR(INDEX(Settings!$B$5:$B$9,MATCH($B1225,Settings!$A$5:$A$9,0)),0)+IFERROR(INDEX(Settings!$E$5:$E$9,MATCH($B1225,Settings!$A$5:$A$9,0)),0)+IFERROR(INDEX(Settings!$G$5:$G$9,MATCH($B1225,Settings!$A$5:$A$9,0)),0))+(IFERROR(INDEX(Settings!$C$5:$C$9,MATCH($B1225,Settings!$A$5:$A$9,0)),0)+IFERROR(INDEX(Settings!$F$5:$F$9,MATCH($B1225,Settings!$A$5:$A$9,0)),0))/P1225+IFERROR(INDEX(Settings!$D$5:$D$9,MATCH($B1225,Settings!$A$5:$A$9,0)),0)*M1225)</f>
        <v/>
      </c>
      <c r="W1225" s="11">
        <f>IF(J1225="","",IF(T1225="",0,M1225*INDEX(Products!$I$5:$I$204,T1225)))</f>
        <v/>
      </c>
      <c r="X1225" s="11">
        <f>IF(J1225="","",IF(T1225="",0,S1225*INDEX(Products!$H$5:$H$204,T1225)))</f>
        <v/>
      </c>
      <c r="Y1225" s="11">
        <f>IF(J1225="","",S1225-V1225-W1225-X1225)</f>
        <v/>
      </c>
    </row>
    <row r="1226">
      <c r="A1226" s="19" t="n"/>
      <c r="B1226" s="19" t="n"/>
      <c r="C1226" s="19" t="n"/>
      <c r="D1226" s="19" t="n"/>
      <c r="E1226" s="19" t="n"/>
      <c r="F1226" s="20" t="n"/>
      <c r="G1226" s="20" t="n"/>
      <c r="H1226" s="20" t="n"/>
      <c r="I1226" s="19" t="n"/>
      <c r="J1226">
        <f>IFERROR(IF(C1226="","",C1226)&amp;"","")</f>
        <v/>
      </c>
      <c r="K1226">
        <f>IFERROR(IF(D1226="","",D1226)&amp;"","")</f>
        <v/>
      </c>
      <c r="L1226">
        <f>IFERROR(IF(I1226="","",I1226)&amp;"","")</f>
        <v/>
      </c>
      <c r="M1226">
        <f>IF(J1226="","",IFERROR(VALUE(SUBSTITUTE(SUBSTITUTE(IF(E1226="","",E1226)&amp;"","$",""),",","")),0))</f>
        <v/>
      </c>
      <c r="N1226" s="11">
        <f>IF(J1226="","",IFERROR(VALUE(SUBSTITUTE(SUBSTITUTE(IF(F1226="","",F1226)&amp;"","$",""),",","")),0))</f>
        <v/>
      </c>
      <c r="O1226" s="11">
        <f>IF(J1226="","",M1226*N1226)</f>
        <v/>
      </c>
      <c r="P1226">
        <f>IF(J1226="","",IF(L1226="",1,COUNTIF($L$2:$L$1501,L1226)))</f>
        <v/>
      </c>
      <c r="Q1226" s="11">
        <f>IF(J1226="","",IFERROR(VALUE(SUBSTITUTE(SUBSTITUTE(IF(G1226="","",G1226)&amp;"","$",""),",","")),0)/IF("No"="Yes",P1226,1))</f>
        <v/>
      </c>
      <c r="R1226" s="11">
        <f>IF(J1226="","",IFERROR(VALUE(SUBSTITUTE(SUBSTITUTE(IF(H1226="","",H1226)&amp;"","$",""),",","")),0)/IF("No"="Yes",P1226,1))</f>
        <v/>
      </c>
      <c r="S1226" s="11">
        <f>IF(J1226="","",O1226+Q1226-R1226)</f>
        <v/>
      </c>
      <c r="T1226">
        <f>IF(J1226="","",IFERROR(IF(K1226="",NA(),MATCH(K1226,Products!$B$5:$B$204,0)),IFERROR(MATCH(J1226,Products!$A$5:$A$204,0),"")))</f>
        <v/>
      </c>
      <c r="U1226">
        <f>IF(J1226="","",IF(T1226="","⚠ not in Products",INDEX(Products!$A$5:$A$204,T1226)))</f>
        <v/>
      </c>
      <c r="V1226" s="11">
        <f>IF(J1226="","",S1226*(IFERROR(INDEX(Settings!$B$5:$B$9,MATCH($B1226,Settings!$A$5:$A$9,0)),0)+IFERROR(INDEX(Settings!$E$5:$E$9,MATCH($B1226,Settings!$A$5:$A$9,0)),0)+IFERROR(INDEX(Settings!$G$5:$G$9,MATCH($B1226,Settings!$A$5:$A$9,0)),0))+(IFERROR(INDEX(Settings!$C$5:$C$9,MATCH($B1226,Settings!$A$5:$A$9,0)),0)+IFERROR(INDEX(Settings!$F$5:$F$9,MATCH($B1226,Settings!$A$5:$A$9,0)),0))/P1226+IFERROR(INDEX(Settings!$D$5:$D$9,MATCH($B1226,Settings!$A$5:$A$9,0)),0)*M1226)</f>
        <v/>
      </c>
      <c r="W1226" s="11">
        <f>IF(J1226="","",IF(T1226="",0,M1226*INDEX(Products!$I$5:$I$204,T1226)))</f>
        <v/>
      </c>
      <c r="X1226" s="11">
        <f>IF(J1226="","",IF(T1226="",0,S1226*INDEX(Products!$H$5:$H$204,T1226)))</f>
        <v/>
      </c>
      <c r="Y1226" s="11">
        <f>IF(J1226="","",S1226-V1226-W1226-X1226)</f>
        <v/>
      </c>
    </row>
    <row r="1227">
      <c r="A1227" s="19" t="n"/>
      <c r="B1227" s="19" t="n"/>
      <c r="C1227" s="19" t="n"/>
      <c r="D1227" s="19" t="n"/>
      <c r="E1227" s="19" t="n"/>
      <c r="F1227" s="20" t="n"/>
      <c r="G1227" s="20" t="n"/>
      <c r="H1227" s="20" t="n"/>
      <c r="I1227" s="19" t="n"/>
      <c r="J1227">
        <f>IFERROR(IF(C1227="","",C1227)&amp;"","")</f>
        <v/>
      </c>
      <c r="K1227">
        <f>IFERROR(IF(D1227="","",D1227)&amp;"","")</f>
        <v/>
      </c>
      <c r="L1227">
        <f>IFERROR(IF(I1227="","",I1227)&amp;"","")</f>
        <v/>
      </c>
      <c r="M1227">
        <f>IF(J1227="","",IFERROR(VALUE(SUBSTITUTE(SUBSTITUTE(IF(E1227="","",E1227)&amp;"","$",""),",","")),0))</f>
        <v/>
      </c>
      <c r="N1227" s="11">
        <f>IF(J1227="","",IFERROR(VALUE(SUBSTITUTE(SUBSTITUTE(IF(F1227="","",F1227)&amp;"","$",""),",","")),0))</f>
        <v/>
      </c>
      <c r="O1227" s="11">
        <f>IF(J1227="","",M1227*N1227)</f>
        <v/>
      </c>
      <c r="P1227">
        <f>IF(J1227="","",IF(L1227="",1,COUNTIF($L$2:$L$1501,L1227)))</f>
        <v/>
      </c>
      <c r="Q1227" s="11">
        <f>IF(J1227="","",IFERROR(VALUE(SUBSTITUTE(SUBSTITUTE(IF(G1227="","",G1227)&amp;"","$",""),",","")),0)/IF("No"="Yes",P1227,1))</f>
        <v/>
      </c>
      <c r="R1227" s="11">
        <f>IF(J1227="","",IFERROR(VALUE(SUBSTITUTE(SUBSTITUTE(IF(H1227="","",H1227)&amp;"","$",""),",","")),0)/IF("No"="Yes",P1227,1))</f>
        <v/>
      </c>
      <c r="S1227" s="11">
        <f>IF(J1227="","",O1227+Q1227-R1227)</f>
        <v/>
      </c>
      <c r="T1227">
        <f>IF(J1227="","",IFERROR(IF(K1227="",NA(),MATCH(K1227,Products!$B$5:$B$204,0)),IFERROR(MATCH(J1227,Products!$A$5:$A$204,0),"")))</f>
        <v/>
      </c>
      <c r="U1227">
        <f>IF(J1227="","",IF(T1227="","⚠ not in Products",INDEX(Products!$A$5:$A$204,T1227)))</f>
        <v/>
      </c>
      <c r="V1227" s="11">
        <f>IF(J1227="","",S1227*(IFERROR(INDEX(Settings!$B$5:$B$9,MATCH($B1227,Settings!$A$5:$A$9,0)),0)+IFERROR(INDEX(Settings!$E$5:$E$9,MATCH($B1227,Settings!$A$5:$A$9,0)),0)+IFERROR(INDEX(Settings!$G$5:$G$9,MATCH($B1227,Settings!$A$5:$A$9,0)),0))+(IFERROR(INDEX(Settings!$C$5:$C$9,MATCH($B1227,Settings!$A$5:$A$9,0)),0)+IFERROR(INDEX(Settings!$F$5:$F$9,MATCH($B1227,Settings!$A$5:$A$9,0)),0))/P1227+IFERROR(INDEX(Settings!$D$5:$D$9,MATCH($B1227,Settings!$A$5:$A$9,0)),0)*M1227)</f>
        <v/>
      </c>
      <c r="W1227" s="11">
        <f>IF(J1227="","",IF(T1227="",0,M1227*INDEX(Products!$I$5:$I$204,T1227)))</f>
        <v/>
      </c>
      <c r="X1227" s="11">
        <f>IF(J1227="","",IF(T1227="",0,S1227*INDEX(Products!$H$5:$H$204,T1227)))</f>
        <v/>
      </c>
      <c r="Y1227" s="11">
        <f>IF(J1227="","",S1227-V1227-W1227-X1227)</f>
        <v/>
      </c>
    </row>
    <row r="1228">
      <c r="A1228" s="19" t="n"/>
      <c r="B1228" s="19" t="n"/>
      <c r="C1228" s="19" t="n"/>
      <c r="D1228" s="19" t="n"/>
      <c r="E1228" s="19" t="n"/>
      <c r="F1228" s="20" t="n"/>
      <c r="G1228" s="20" t="n"/>
      <c r="H1228" s="20" t="n"/>
      <c r="I1228" s="19" t="n"/>
      <c r="J1228">
        <f>IFERROR(IF(C1228="","",C1228)&amp;"","")</f>
        <v/>
      </c>
      <c r="K1228">
        <f>IFERROR(IF(D1228="","",D1228)&amp;"","")</f>
        <v/>
      </c>
      <c r="L1228">
        <f>IFERROR(IF(I1228="","",I1228)&amp;"","")</f>
        <v/>
      </c>
      <c r="M1228">
        <f>IF(J1228="","",IFERROR(VALUE(SUBSTITUTE(SUBSTITUTE(IF(E1228="","",E1228)&amp;"","$",""),",","")),0))</f>
        <v/>
      </c>
      <c r="N1228" s="11">
        <f>IF(J1228="","",IFERROR(VALUE(SUBSTITUTE(SUBSTITUTE(IF(F1228="","",F1228)&amp;"","$",""),",","")),0))</f>
        <v/>
      </c>
      <c r="O1228" s="11">
        <f>IF(J1228="","",M1228*N1228)</f>
        <v/>
      </c>
      <c r="P1228">
        <f>IF(J1228="","",IF(L1228="",1,COUNTIF($L$2:$L$1501,L1228)))</f>
        <v/>
      </c>
      <c r="Q1228" s="11">
        <f>IF(J1228="","",IFERROR(VALUE(SUBSTITUTE(SUBSTITUTE(IF(G1228="","",G1228)&amp;"","$",""),",","")),0)/IF("No"="Yes",P1228,1))</f>
        <v/>
      </c>
      <c r="R1228" s="11">
        <f>IF(J1228="","",IFERROR(VALUE(SUBSTITUTE(SUBSTITUTE(IF(H1228="","",H1228)&amp;"","$",""),",","")),0)/IF("No"="Yes",P1228,1))</f>
        <v/>
      </c>
      <c r="S1228" s="11">
        <f>IF(J1228="","",O1228+Q1228-R1228)</f>
        <v/>
      </c>
      <c r="T1228">
        <f>IF(J1228="","",IFERROR(IF(K1228="",NA(),MATCH(K1228,Products!$B$5:$B$204,0)),IFERROR(MATCH(J1228,Products!$A$5:$A$204,0),"")))</f>
        <v/>
      </c>
      <c r="U1228">
        <f>IF(J1228="","",IF(T1228="","⚠ not in Products",INDEX(Products!$A$5:$A$204,T1228)))</f>
        <v/>
      </c>
      <c r="V1228" s="11">
        <f>IF(J1228="","",S1228*(IFERROR(INDEX(Settings!$B$5:$B$9,MATCH($B1228,Settings!$A$5:$A$9,0)),0)+IFERROR(INDEX(Settings!$E$5:$E$9,MATCH($B1228,Settings!$A$5:$A$9,0)),0)+IFERROR(INDEX(Settings!$G$5:$G$9,MATCH($B1228,Settings!$A$5:$A$9,0)),0))+(IFERROR(INDEX(Settings!$C$5:$C$9,MATCH($B1228,Settings!$A$5:$A$9,0)),0)+IFERROR(INDEX(Settings!$F$5:$F$9,MATCH($B1228,Settings!$A$5:$A$9,0)),0))/P1228+IFERROR(INDEX(Settings!$D$5:$D$9,MATCH($B1228,Settings!$A$5:$A$9,0)),0)*M1228)</f>
        <v/>
      </c>
      <c r="W1228" s="11">
        <f>IF(J1228="","",IF(T1228="",0,M1228*INDEX(Products!$I$5:$I$204,T1228)))</f>
        <v/>
      </c>
      <c r="X1228" s="11">
        <f>IF(J1228="","",IF(T1228="",0,S1228*INDEX(Products!$H$5:$H$204,T1228)))</f>
        <v/>
      </c>
      <c r="Y1228" s="11">
        <f>IF(J1228="","",S1228-V1228-W1228-X1228)</f>
        <v/>
      </c>
    </row>
    <row r="1229">
      <c r="A1229" s="19" t="n"/>
      <c r="B1229" s="19" t="n"/>
      <c r="C1229" s="19" t="n"/>
      <c r="D1229" s="19" t="n"/>
      <c r="E1229" s="19" t="n"/>
      <c r="F1229" s="20" t="n"/>
      <c r="G1229" s="20" t="n"/>
      <c r="H1229" s="20" t="n"/>
      <c r="I1229" s="19" t="n"/>
      <c r="J1229">
        <f>IFERROR(IF(C1229="","",C1229)&amp;"","")</f>
        <v/>
      </c>
      <c r="K1229">
        <f>IFERROR(IF(D1229="","",D1229)&amp;"","")</f>
        <v/>
      </c>
      <c r="L1229">
        <f>IFERROR(IF(I1229="","",I1229)&amp;"","")</f>
        <v/>
      </c>
      <c r="M1229">
        <f>IF(J1229="","",IFERROR(VALUE(SUBSTITUTE(SUBSTITUTE(IF(E1229="","",E1229)&amp;"","$",""),",","")),0))</f>
        <v/>
      </c>
      <c r="N1229" s="11">
        <f>IF(J1229="","",IFERROR(VALUE(SUBSTITUTE(SUBSTITUTE(IF(F1229="","",F1229)&amp;"","$",""),",","")),0))</f>
        <v/>
      </c>
      <c r="O1229" s="11">
        <f>IF(J1229="","",M1229*N1229)</f>
        <v/>
      </c>
      <c r="P1229">
        <f>IF(J1229="","",IF(L1229="",1,COUNTIF($L$2:$L$1501,L1229)))</f>
        <v/>
      </c>
      <c r="Q1229" s="11">
        <f>IF(J1229="","",IFERROR(VALUE(SUBSTITUTE(SUBSTITUTE(IF(G1229="","",G1229)&amp;"","$",""),",","")),0)/IF("No"="Yes",P1229,1))</f>
        <v/>
      </c>
      <c r="R1229" s="11">
        <f>IF(J1229="","",IFERROR(VALUE(SUBSTITUTE(SUBSTITUTE(IF(H1229="","",H1229)&amp;"","$",""),",","")),0)/IF("No"="Yes",P1229,1))</f>
        <v/>
      </c>
      <c r="S1229" s="11">
        <f>IF(J1229="","",O1229+Q1229-R1229)</f>
        <v/>
      </c>
      <c r="T1229">
        <f>IF(J1229="","",IFERROR(IF(K1229="",NA(),MATCH(K1229,Products!$B$5:$B$204,0)),IFERROR(MATCH(J1229,Products!$A$5:$A$204,0),"")))</f>
        <v/>
      </c>
      <c r="U1229">
        <f>IF(J1229="","",IF(T1229="","⚠ not in Products",INDEX(Products!$A$5:$A$204,T1229)))</f>
        <v/>
      </c>
      <c r="V1229" s="11">
        <f>IF(J1229="","",S1229*(IFERROR(INDEX(Settings!$B$5:$B$9,MATCH($B1229,Settings!$A$5:$A$9,0)),0)+IFERROR(INDEX(Settings!$E$5:$E$9,MATCH($B1229,Settings!$A$5:$A$9,0)),0)+IFERROR(INDEX(Settings!$G$5:$G$9,MATCH($B1229,Settings!$A$5:$A$9,0)),0))+(IFERROR(INDEX(Settings!$C$5:$C$9,MATCH($B1229,Settings!$A$5:$A$9,0)),0)+IFERROR(INDEX(Settings!$F$5:$F$9,MATCH($B1229,Settings!$A$5:$A$9,0)),0))/P1229+IFERROR(INDEX(Settings!$D$5:$D$9,MATCH($B1229,Settings!$A$5:$A$9,0)),0)*M1229)</f>
        <v/>
      </c>
      <c r="W1229" s="11">
        <f>IF(J1229="","",IF(T1229="",0,M1229*INDEX(Products!$I$5:$I$204,T1229)))</f>
        <v/>
      </c>
      <c r="X1229" s="11">
        <f>IF(J1229="","",IF(T1229="",0,S1229*INDEX(Products!$H$5:$H$204,T1229)))</f>
        <v/>
      </c>
      <c r="Y1229" s="11">
        <f>IF(J1229="","",S1229-V1229-W1229-X1229)</f>
        <v/>
      </c>
    </row>
    <row r="1230">
      <c r="A1230" s="19" t="n"/>
      <c r="B1230" s="19" t="n"/>
      <c r="C1230" s="19" t="n"/>
      <c r="D1230" s="19" t="n"/>
      <c r="E1230" s="19" t="n"/>
      <c r="F1230" s="20" t="n"/>
      <c r="G1230" s="20" t="n"/>
      <c r="H1230" s="20" t="n"/>
      <c r="I1230" s="19" t="n"/>
      <c r="J1230">
        <f>IFERROR(IF(C1230="","",C1230)&amp;"","")</f>
        <v/>
      </c>
      <c r="K1230">
        <f>IFERROR(IF(D1230="","",D1230)&amp;"","")</f>
        <v/>
      </c>
      <c r="L1230">
        <f>IFERROR(IF(I1230="","",I1230)&amp;"","")</f>
        <v/>
      </c>
      <c r="M1230">
        <f>IF(J1230="","",IFERROR(VALUE(SUBSTITUTE(SUBSTITUTE(IF(E1230="","",E1230)&amp;"","$",""),",","")),0))</f>
        <v/>
      </c>
      <c r="N1230" s="11">
        <f>IF(J1230="","",IFERROR(VALUE(SUBSTITUTE(SUBSTITUTE(IF(F1230="","",F1230)&amp;"","$",""),",","")),0))</f>
        <v/>
      </c>
      <c r="O1230" s="11">
        <f>IF(J1230="","",M1230*N1230)</f>
        <v/>
      </c>
      <c r="P1230">
        <f>IF(J1230="","",IF(L1230="",1,COUNTIF($L$2:$L$1501,L1230)))</f>
        <v/>
      </c>
      <c r="Q1230" s="11">
        <f>IF(J1230="","",IFERROR(VALUE(SUBSTITUTE(SUBSTITUTE(IF(G1230="","",G1230)&amp;"","$",""),",","")),0)/IF("No"="Yes",P1230,1))</f>
        <v/>
      </c>
      <c r="R1230" s="11">
        <f>IF(J1230="","",IFERROR(VALUE(SUBSTITUTE(SUBSTITUTE(IF(H1230="","",H1230)&amp;"","$",""),",","")),0)/IF("No"="Yes",P1230,1))</f>
        <v/>
      </c>
      <c r="S1230" s="11">
        <f>IF(J1230="","",O1230+Q1230-R1230)</f>
        <v/>
      </c>
      <c r="T1230">
        <f>IF(J1230="","",IFERROR(IF(K1230="",NA(),MATCH(K1230,Products!$B$5:$B$204,0)),IFERROR(MATCH(J1230,Products!$A$5:$A$204,0),"")))</f>
        <v/>
      </c>
      <c r="U1230">
        <f>IF(J1230="","",IF(T1230="","⚠ not in Products",INDEX(Products!$A$5:$A$204,T1230)))</f>
        <v/>
      </c>
      <c r="V1230" s="11">
        <f>IF(J1230="","",S1230*(IFERROR(INDEX(Settings!$B$5:$B$9,MATCH($B1230,Settings!$A$5:$A$9,0)),0)+IFERROR(INDEX(Settings!$E$5:$E$9,MATCH($B1230,Settings!$A$5:$A$9,0)),0)+IFERROR(INDEX(Settings!$G$5:$G$9,MATCH($B1230,Settings!$A$5:$A$9,0)),0))+(IFERROR(INDEX(Settings!$C$5:$C$9,MATCH($B1230,Settings!$A$5:$A$9,0)),0)+IFERROR(INDEX(Settings!$F$5:$F$9,MATCH($B1230,Settings!$A$5:$A$9,0)),0))/P1230+IFERROR(INDEX(Settings!$D$5:$D$9,MATCH($B1230,Settings!$A$5:$A$9,0)),0)*M1230)</f>
        <v/>
      </c>
      <c r="W1230" s="11">
        <f>IF(J1230="","",IF(T1230="",0,M1230*INDEX(Products!$I$5:$I$204,T1230)))</f>
        <v/>
      </c>
      <c r="X1230" s="11">
        <f>IF(J1230="","",IF(T1230="",0,S1230*INDEX(Products!$H$5:$H$204,T1230)))</f>
        <v/>
      </c>
      <c r="Y1230" s="11">
        <f>IF(J1230="","",S1230-V1230-W1230-X1230)</f>
        <v/>
      </c>
    </row>
    <row r="1231">
      <c r="A1231" s="19" t="n"/>
      <c r="B1231" s="19" t="n"/>
      <c r="C1231" s="19" t="n"/>
      <c r="D1231" s="19" t="n"/>
      <c r="E1231" s="19" t="n"/>
      <c r="F1231" s="20" t="n"/>
      <c r="G1231" s="20" t="n"/>
      <c r="H1231" s="20" t="n"/>
      <c r="I1231" s="19" t="n"/>
      <c r="J1231">
        <f>IFERROR(IF(C1231="","",C1231)&amp;"","")</f>
        <v/>
      </c>
      <c r="K1231">
        <f>IFERROR(IF(D1231="","",D1231)&amp;"","")</f>
        <v/>
      </c>
      <c r="L1231">
        <f>IFERROR(IF(I1231="","",I1231)&amp;"","")</f>
        <v/>
      </c>
      <c r="M1231">
        <f>IF(J1231="","",IFERROR(VALUE(SUBSTITUTE(SUBSTITUTE(IF(E1231="","",E1231)&amp;"","$",""),",","")),0))</f>
        <v/>
      </c>
      <c r="N1231" s="11">
        <f>IF(J1231="","",IFERROR(VALUE(SUBSTITUTE(SUBSTITUTE(IF(F1231="","",F1231)&amp;"","$",""),",","")),0))</f>
        <v/>
      </c>
      <c r="O1231" s="11">
        <f>IF(J1231="","",M1231*N1231)</f>
        <v/>
      </c>
      <c r="P1231">
        <f>IF(J1231="","",IF(L1231="",1,COUNTIF($L$2:$L$1501,L1231)))</f>
        <v/>
      </c>
      <c r="Q1231" s="11">
        <f>IF(J1231="","",IFERROR(VALUE(SUBSTITUTE(SUBSTITUTE(IF(G1231="","",G1231)&amp;"","$",""),",","")),0)/IF("No"="Yes",P1231,1))</f>
        <v/>
      </c>
      <c r="R1231" s="11">
        <f>IF(J1231="","",IFERROR(VALUE(SUBSTITUTE(SUBSTITUTE(IF(H1231="","",H1231)&amp;"","$",""),",","")),0)/IF("No"="Yes",P1231,1))</f>
        <v/>
      </c>
      <c r="S1231" s="11">
        <f>IF(J1231="","",O1231+Q1231-R1231)</f>
        <v/>
      </c>
      <c r="T1231">
        <f>IF(J1231="","",IFERROR(IF(K1231="",NA(),MATCH(K1231,Products!$B$5:$B$204,0)),IFERROR(MATCH(J1231,Products!$A$5:$A$204,0),"")))</f>
        <v/>
      </c>
      <c r="U1231">
        <f>IF(J1231="","",IF(T1231="","⚠ not in Products",INDEX(Products!$A$5:$A$204,T1231)))</f>
        <v/>
      </c>
      <c r="V1231" s="11">
        <f>IF(J1231="","",S1231*(IFERROR(INDEX(Settings!$B$5:$B$9,MATCH($B1231,Settings!$A$5:$A$9,0)),0)+IFERROR(INDEX(Settings!$E$5:$E$9,MATCH($B1231,Settings!$A$5:$A$9,0)),0)+IFERROR(INDEX(Settings!$G$5:$G$9,MATCH($B1231,Settings!$A$5:$A$9,0)),0))+(IFERROR(INDEX(Settings!$C$5:$C$9,MATCH($B1231,Settings!$A$5:$A$9,0)),0)+IFERROR(INDEX(Settings!$F$5:$F$9,MATCH($B1231,Settings!$A$5:$A$9,0)),0))/P1231+IFERROR(INDEX(Settings!$D$5:$D$9,MATCH($B1231,Settings!$A$5:$A$9,0)),0)*M1231)</f>
        <v/>
      </c>
      <c r="W1231" s="11">
        <f>IF(J1231="","",IF(T1231="",0,M1231*INDEX(Products!$I$5:$I$204,T1231)))</f>
        <v/>
      </c>
      <c r="X1231" s="11">
        <f>IF(J1231="","",IF(T1231="",0,S1231*INDEX(Products!$H$5:$H$204,T1231)))</f>
        <v/>
      </c>
      <c r="Y1231" s="11">
        <f>IF(J1231="","",S1231-V1231-W1231-X1231)</f>
        <v/>
      </c>
    </row>
    <row r="1232">
      <c r="A1232" s="19" t="n"/>
      <c r="B1232" s="19" t="n"/>
      <c r="C1232" s="19" t="n"/>
      <c r="D1232" s="19" t="n"/>
      <c r="E1232" s="19" t="n"/>
      <c r="F1232" s="20" t="n"/>
      <c r="G1232" s="20" t="n"/>
      <c r="H1232" s="20" t="n"/>
      <c r="I1232" s="19" t="n"/>
      <c r="J1232">
        <f>IFERROR(IF(C1232="","",C1232)&amp;"","")</f>
        <v/>
      </c>
      <c r="K1232">
        <f>IFERROR(IF(D1232="","",D1232)&amp;"","")</f>
        <v/>
      </c>
      <c r="L1232">
        <f>IFERROR(IF(I1232="","",I1232)&amp;"","")</f>
        <v/>
      </c>
      <c r="M1232">
        <f>IF(J1232="","",IFERROR(VALUE(SUBSTITUTE(SUBSTITUTE(IF(E1232="","",E1232)&amp;"","$",""),",","")),0))</f>
        <v/>
      </c>
      <c r="N1232" s="11">
        <f>IF(J1232="","",IFERROR(VALUE(SUBSTITUTE(SUBSTITUTE(IF(F1232="","",F1232)&amp;"","$",""),",","")),0))</f>
        <v/>
      </c>
      <c r="O1232" s="11">
        <f>IF(J1232="","",M1232*N1232)</f>
        <v/>
      </c>
      <c r="P1232">
        <f>IF(J1232="","",IF(L1232="",1,COUNTIF($L$2:$L$1501,L1232)))</f>
        <v/>
      </c>
      <c r="Q1232" s="11">
        <f>IF(J1232="","",IFERROR(VALUE(SUBSTITUTE(SUBSTITUTE(IF(G1232="","",G1232)&amp;"","$",""),",","")),0)/IF("No"="Yes",P1232,1))</f>
        <v/>
      </c>
      <c r="R1232" s="11">
        <f>IF(J1232="","",IFERROR(VALUE(SUBSTITUTE(SUBSTITUTE(IF(H1232="","",H1232)&amp;"","$",""),",","")),0)/IF("No"="Yes",P1232,1))</f>
        <v/>
      </c>
      <c r="S1232" s="11">
        <f>IF(J1232="","",O1232+Q1232-R1232)</f>
        <v/>
      </c>
      <c r="T1232">
        <f>IF(J1232="","",IFERROR(IF(K1232="",NA(),MATCH(K1232,Products!$B$5:$B$204,0)),IFERROR(MATCH(J1232,Products!$A$5:$A$204,0),"")))</f>
        <v/>
      </c>
      <c r="U1232">
        <f>IF(J1232="","",IF(T1232="","⚠ not in Products",INDEX(Products!$A$5:$A$204,T1232)))</f>
        <v/>
      </c>
      <c r="V1232" s="11">
        <f>IF(J1232="","",S1232*(IFERROR(INDEX(Settings!$B$5:$B$9,MATCH($B1232,Settings!$A$5:$A$9,0)),0)+IFERROR(INDEX(Settings!$E$5:$E$9,MATCH($B1232,Settings!$A$5:$A$9,0)),0)+IFERROR(INDEX(Settings!$G$5:$G$9,MATCH($B1232,Settings!$A$5:$A$9,0)),0))+(IFERROR(INDEX(Settings!$C$5:$C$9,MATCH($B1232,Settings!$A$5:$A$9,0)),0)+IFERROR(INDEX(Settings!$F$5:$F$9,MATCH($B1232,Settings!$A$5:$A$9,0)),0))/P1232+IFERROR(INDEX(Settings!$D$5:$D$9,MATCH($B1232,Settings!$A$5:$A$9,0)),0)*M1232)</f>
        <v/>
      </c>
      <c r="W1232" s="11">
        <f>IF(J1232="","",IF(T1232="",0,M1232*INDEX(Products!$I$5:$I$204,T1232)))</f>
        <v/>
      </c>
      <c r="X1232" s="11">
        <f>IF(J1232="","",IF(T1232="",0,S1232*INDEX(Products!$H$5:$H$204,T1232)))</f>
        <v/>
      </c>
      <c r="Y1232" s="11">
        <f>IF(J1232="","",S1232-V1232-W1232-X1232)</f>
        <v/>
      </c>
    </row>
    <row r="1233">
      <c r="A1233" s="19" t="n"/>
      <c r="B1233" s="19" t="n"/>
      <c r="C1233" s="19" t="n"/>
      <c r="D1233" s="19" t="n"/>
      <c r="E1233" s="19" t="n"/>
      <c r="F1233" s="20" t="n"/>
      <c r="G1233" s="20" t="n"/>
      <c r="H1233" s="20" t="n"/>
      <c r="I1233" s="19" t="n"/>
      <c r="J1233">
        <f>IFERROR(IF(C1233="","",C1233)&amp;"","")</f>
        <v/>
      </c>
      <c r="K1233">
        <f>IFERROR(IF(D1233="","",D1233)&amp;"","")</f>
        <v/>
      </c>
      <c r="L1233">
        <f>IFERROR(IF(I1233="","",I1233)&amp;"","")</f>
        <v/>
      </c>
      <c r="M1233">
        <f>IF(J1233="","",IFERROR(VALUE(SUBSTITUTE(SUBSTITUTE(IF(E1233="","",E1233)&amp;"","$",""),",","")),0))</f>
        <v/>
      </c>
      <c r="N1233" s="11">
        <f>IF(J1233="","",IFERROR(VALUE(SUBSTITUTE(SUBSTITUTE(IF(F1233="","",F1233)&amp;"","$",""),",","")),0))</f>
        <v/>
      </c>
      <c r="O1233" s="11">
        <f>IF(J1233="","",M1233*N1233)</f>
        <v/>
      </c>
      <c r="P1233">
        <f>IF(J1233="","",IF(L1233="",1,COUNTIF($L$2:$L$1501,L1233)))</f>
        <v/>
      </c>
      <c r="Q1233" s="11">
        <f>IF(J1233="","",IFERROR(VALUE(SUBSTITUTE(SUBSTITUTE(IF(G1233="","",G1233)&amp;"","$",""),",","")),0)/IF("No"="Yes",P1233,1))</f>
        <v/>
      </c>
      <c r="R1233" s="11">
        <f>IF(J1233="","",IFERROR(VALUE(SUBSTITUTE(SUBSTITUTE(IF(H1233="","",H1233)&amp;"","$",""),",","")),0)/IF("No"="Yes",P1233,1))</f>
        <v/>
      </c>
      <c r="S1233" s="11">
        <f>IF(J1233="","",O1233+Q1233-R1233)</f>
        <v/>
      </c>
      <c r="T1233">
        <f>IF(J1233="","",IFERROR(IF(K1233="",NA(),MATCH(K1233,Products!$B$5:$B$204,0)),IFERROR(MATCH(J1233,Products!$A$5:$A$204,0),"")))</f>
        <v/>
      </c>
      <c r="U1233">
        <f>IF(J1233="","",IF(T1233="","⚠ not in Products",INDEX(Products!$A$5:$A$204,T1233)))</f>
        <v/>
      </c>
      <c r="V1233" s="11">
        <f>IF(J1233="","",S1233*(IFERROR(INDEX(Settings!$B$5:$B$9,MATCH($B1233,Settings!$A$5:$A$9,0)),0)+IFERROR(INDEX(Settings!$E$5:$E$9,MATCH($B1233,Settings!$A$5:$A$9,0)),0)+IFERROR(INDEX(Settings!$G$5:$G$9,MATCH($B1233,Settings!$A$5:$A$9,0)),0))+(IFERROR(INDEX(Settings!$C$5:$C$9,MATCH($B1233,Settings!$A$5:$A$9,0)),0)+IFERROR(INDEX(Settings!$F$5:$F$9,MATCH($B1233,Settings!$A$5:$A$9,0)),0))/P1233+IFERROR(INDEX(Settings!$D$5:$D$9,MATCH($B1233,Settings!$A$5:$A$9,0)),0)*M1233)</f>
        <v/>
      </c>
      <c r="W1233" s="11">
        <f>IF(J1233="","",IF(T1233="",0,M1233*INDEX(Products!$I$5:$I$204,T1233)))</f>
        <v/>
      </c>
      <c r="X1233" s="11">
        <f>IF(J1233="","",IF(T1233="",0,S1233*INDEX(Products!$H$5:$H$204,T1233)))</f>
        <v/>
      </c>
      <c r="Y1233" s="11">
        <f>IF(J1233="","",S1233-V1233-W1233-X1233)</f>
        <v/>
      </c>
    </row>
    <row r="1234">
      <c r="A1234" s="19" t="n"/>
      <c r="B1234" s="19" t="n"/>
      <c r="C1234" s="19" t="n"/>
      <c r="D1234" s="19" t="n"/>
      <c r="E1234" s="19" t="n"/>
      <c r="F1234" s="20" t="n"/>
      <c r="G1234" s="20" t="n"/>
      <c r="H1234" s="20" t="n"/>
      <c r="I1234" s="19" t="n"/>
      <c r="J1234">
        <f>IFERROR(IF(C1234="","",C1234)&amp;"","")</f>
        <v/>
      </c>
      <c r="K1234">
        <f>IFERROR(IF(D1234="","",D1234)&amp;"","")</f>
        <v/>
      </c>
      <c r="L1234">
        <f>IFERROR(IF(I1234="","",I1234)&amp;"","")</f>
        <v/>
      </c>
      <c r="M1234">
        <f>IF(J1234="","",IFERROR(VALUE(SUBSTITUTE(SUBSTITUTE(IF(E1234="","",E1234)&amp;"","$",""),",","")),0))</f>
        <v/>
      </c>
      <c r="N1234" s="11">
        <f>IF(J1234="","",IFERROR(VALUE(SUBSTITUTE(SUBSTITUTE(IF(F1234="","",F1234)&amp;"","$",""),",","")),0))</f>
        <v/>
      </c>
      <c r="O1234" s="11">
        <f>IF(J1234="","",M1234*N1234)</f>
        <v/>
      </c>
      <c r="P1234">
        <f>IF(J1234="","",IF(L1234="",1,COUNTIF($L$2:$L$1501,L1234)))</f>
        <v/>
      </c>
      <c r="Q1234" s="11">
        <f>IF(J1234="","",IFERROR(VALUE(SUBSTITUTE(SUBSTITUTE(IF(G1234="","",G1234)&amp;"","$",""),",","")),0)/IF("No"="Yes",P1234,1))</f>
        <v/>
      </c>
      <c r="R1234" s="11">
        <f>IF(J1234="","",IFERROR(VALUE(SUBSTITUTE(SUBSTITUTE(IF(H1234="","",H1234)&amp;"","$",""),",","")),0)/IF("No"="Yes",P1234,1))</f>
        <v/>
      </c>
      <c r="S1234" s="11">
        <f>IF(J1234="","",O1234+Q1234-R1234)</f>
        <v/>
      </c>
      <c r="T1234">
        <f>IF(J1234="","",IFERROR(IF(K1234="",NA(),MATCH(K1234,Products!$B$5:$B$204,0)),IFERROR(MATCH(J1234,Products!$A$5:$A$204,0),"")))</f>
        <v/>
      </c>
      <c r="U1234">
        <f>IF(J1234="","",IF(T1234="","⚠ not in Products",INDEX(Products!$A$5:$A$204,T1234)))</f>
        <v/>
      </c>
      <c r="V1234" s="11">
        <f>IF(J1234="","",S1234*(IFERROR(INDEX(Settings!$B$5:$B$9,MATCH($B1234,Settings!$A$5:$A$9,0)),0)+IFERROR(INDEX(Settings!$E$5:$E$9,MATCH($B1234,Settings!$A$5:$A$9,0)),0)+IFERROR(INDEX(Settings!$G$5:$G$9,MATCH($B1234,Settings!$A$5:$A$9,0)),0))+(IFERROR(INDEX(Settings!$C$5:$C$9,MATCH($B1234,Settings!$A$5:$A$9,0)),0)+IFERROR(INDEX(Settings!$F$5:$F$9,MATCH($B1234,Settings!$A$5:$A$9,0)),0))/P1234+IFERROR(INDEX(Settings!$D$5:$D$9,MATCH($B1234,Settings!$A$5:$A$9,0)),0)*M1234)</f>
        <v/>
      </c>
      <c r="W1234" s="11">
        <f>IF(J1234="","",IF(T1234="",0,M1234*INDEX(Products!$I$5:$I$204,T1234)))</f>
        <v/>
      </c>
      <c r="X1234" s="11">
        <f>IF(J1234="","",IF(T1234="",0,S1234*INDEX(Products!$H$5:$H$204,T1234)))</f>
        <v/>
      </c>
      <c r="Y1234" s="11">
        <f>IF(J1234="","",S1234-V1234-W1234-X1234)</f>
        <v/>
      </c>
    </row>
    <row r="1235">
      <c r="A1235" s="19" t="n"/>
      <c r="B1235" s="19" t="n"/>
      <c r="C1235" s="19" t="n"/>
      <c r="D1235" s="19" t="n"/>
      <c r="E1235" s="19" t="n"/>
      <c r="F1235" s="20" t="n"/>
      <c r="G1235" s="20" t="n"/>
      <c r="H1235" s="20" t="n"/>
      <c r="I1235" s="19" t="n"/>
      <c r="J1235">
        <f>IFERROR(IF(C1235="","",C1235)&amp;"","")</f>
        <v/>
      </c>
      <c r="K1235">
        <f>IFERROR(IF(D1235="","",D1235)&amp;"","")</f>
        <v/>
      </c>
      <c r="L1235">
        <f>IFERROR(IF(I1235="","",I1235)&amp;"","")</f>
        <v/>
      </c>
      <c r="M1235">
        <f>IF(J1235="","",IFERROR(VALUE(SUBSTITUTE(SUBSTITUTE(IF(E1235="","",E1235)&amp;"","$",""),",","")),0))</f>
        <v/>
      </c>
      <c r="N1235" s="11">
        <f>IF(J1235="","",IFERROR(VALUE(SUBSTITUTE(SUBSTITUTE(IF(F1235="","",F1235)&amp;"","$",""),",","")),0))</f>
        <v/>
      </c>
      <c r="O1235" s="11">
        <f>IF(J1235="","",M1235*N1235)</f>
        <v/>
      </c>
      <c r="P1235">
        <f>IF(J1235="","",IF(L1235="",1,COUNTIF($L$2:$L$1501,L1235)))</f>
        <v/>
      </c>
      <c r="Q1235" s="11">
        <f>IF(J1235="","",IFERROR(VALUE(SUBSTITUTE(SUBSTITUTE(IF(G1235="","",G1235)&amp;"","$",""),",","")),0)/IF("No"="Yes",P1235,1))</f>
        <v/>
      </c>
      <c r="R1235" s="11">
        <f>IF(J1235="","",IFERROR(VALUE(SUBSTITUTE(SUBSTITUTE(IF(H1235="","",H1235)&amp;"","$",""),",","")),0)/IF("No"="Yes",P1235,1))</f>
        <v/>
      </c>
      <c r="S1235" s="11">
        <f>IF(J1235="","",O1235+Q1235-R1235)</f>
        <v/>
      </c>
      <c r="T1235">
        <f>IF(J1235="","",IFERROR(IF(K1235="",NA(),MATCH(K1235,Products!$B$5:$B$204,0)),IFERROR(MATCH(J1235,Products!$A$5:$A$204,0),"")))</f>
        <v/>
      </c>
      <c r="U1235">
        <f>IF(J1235="","",IF(T1235="","⚠ not in Products",INDEX(Products!$A$5:$A$204,T1235)))</f>
        <v/>
      </c>
      <c r="V1235" s="11">
        <f>IF(J1235="","",S1235*(IFERROR(INDEX(Settings!$B$5:$B$9,MATCH($B1235,Settings!$A$5:$A$9,0)),0)+IFERROR(INDEX(Settings!$E$5:$E$9,MATCH($B1235,Settings!$A$5:$A$9,0)),0)+IFERROR(INDEX(Settings!$G$5:$G$9,MATCH($B1235,Settings!$A$5:$A$9,0)),0))+(IFERROR(INDEX(Settings!$C$5:$C$9,MATCH($B1235,Settings!$A$5:$A$9,0)),0)+IFERROR(INDEX(Settings!$F$5:$F$9,MATCH($B1235,Settings!$A$5:$A$9,0)),0))/P1235+IFERROR(INDEX(Settings!$D$5:$D$9,MATCH($B1235,Settings!$A$5:$A$9,0)),0)*M1235)</f>
        <v/>
      </c>
      <c r="W1235" s="11">
        <f>IF(J1235="","",IF(T1235="",0,M1235*INDEX(Products!$I$5:$I$204,T1235)))</f>
        <v/>
      </c>
      <c r="X1235" s="11">
        <f>IF(J1235="","",IF(T1235="",0,S1235*INDEX(Products!$H$5:$H$204,T1235)))</f>
        <v/>
      </c>
      <c r="Y1235" s="11">
        <f>IF(J1235="","",S1235-V1235-W1235-X1235)</f>
        <v/>
      </c>
    </row>
    <row r="1236">
      <c r="A1236" s="19" t="n"/>
      <c r="B1236" s="19" t="n"/>
      <c r="C1236" s="19" t="n"/>
      <c r="D1236" s="19" t="n"/>
      <c r="E1236" s="19" t="n"/>
      <c r="F1236" s="20" t="n"/>
      <c r="G1236" s="20" t="n"/>
      <c r="H1236" s="20" t="n"/>
      <c r="I1236" s="19" t="n"/>
      <c r="J1236">
        <f>IFERROR(IF(C1236="","",C1236)&amp;"","")</f>
        <v/>
      </c>
      <c r="K1236">
        <f>IFERROR(IF(D1236="","",D1236)&amp;"","")</f>
        <v/>
      </c>
      <c r="L1236">
        <f>IFERROR(IF(I1236="","",I1236)&amp;"","")</f>
        <v/>
      </c>
      <c r="M1236">
        <f>IF(J1236="","",IFERROR(VALUE(SUBSTITUTE(SUBSTITUTE(IF(E1236="","",E1236)&amp;"","$",""),",","")),0))</f>
        <v/>
      </c>
      <c r="N1236" s="11">
        <f>IF(J1236="","",IFERROR(VALUE(SUBSTITUTE(SUBSTITUTE(IF(F1236="","",F1236)&amp;"","$",""),",","")),0))</f>
        <v/>
      </c>
      <c r="O1236" s="11">
        <f>IF(J1236="","",M1236*N1236)</f>
        <v/>
      </c>
      <c r="P1236">
        <f>IF(J1236="","",IF(L1236="",1,COUNTIF($L$2:$L$1501,L1236)))</f>
        <v/>
      </c>
      <c r="Q1236" s="11">
        <f>IF(J1236="","",IFERROR(VALUE(SUBSTITUTE(SUBSTITUTE(IF(G1236="","",G1236)&amp;"","$",""),",","")),0)/IF("No"="Yes",P1236,1))</f>
        <v/>
      </c>
      <c r="R1236" s="11">
        <f>IF(J1236="","",IFERROR(VALUE(SUBSTITUTE(SUBSTITUTE(IF(H1236="","",H1236)&amp;"","$",""),",","")),0)/IF("No"="Yes",P1236,1))</f>
        <v/>
      </c>
      <c r="S1236" s="11">
        <f>IF(J1236="","",O1236+Q1236-R1236)</f>
        <v/>
      </c>
      <c r="T1236">
        <f>IF(J1236="","",IFERROR(IF(K1236="",NA(),MATCH(K1236,Products!$B$5:$B$204,0)),IFERROR(MATCH(J1236,Products!$A$5:$A$204,0),"")))</f>
        <v/>
      </c>
      <c r="U1236">
        <f>IF(J1236="","",IF(T1236="","⚠ not in Products",INDEX(Products!$A$5:$A$204,T1236)))</f>
        <v/>
      </c>
      <c r="V1236" s="11">
        <f>IF(J1236="","",S1236*(IFERROR(INDEX(Settings!$B$5:$B$9,MATCH($B1236,Settings!$A$5:$A$9,0)),0)+IFERROR(INDEX(Settings!$E$5:$E$9,MATCH($B1236,Settings!$A$5:$A$9,0)),0)+IFERROR(INDEX(Settings!$G$5:$G$9,MATCH($B1236,Settings!$A$5:$A$9,0)),0))+(IFERROR(INDEX(Settings!$C$5:$C$9,MATCH($B1236,Settings!$A$5:$A$9,0)),0)+IFERROR(INDEX(Settings!$F$5:$F$9,MATCH($B1236,Settings!$A$5:$A$9,0)),0))/P1236+IFERROR(INDEX(Settings!$D$5:$D$9,MATCH($B1236,Settings!$A$5:$A$9,0)),0)*M1236)</f>
        <v/>
      </c>
      <c r="W1236" s="11">
        <f>IF(J1236="","",IF(T1236="",0,M1236*INDEX(Products!$I$5:$I$204,T1236)))</f>
        <v/>
      </c>
      <c r="X1236" s="11">
        <f>IF(J1236="","",IF(T1236="",0,S1236*INDEX(Products!$H$5:$H$204,T1236)))</f>
        <v/>
      </c>
      <c r="Y1236" s="11">
        <f>IF(J1236="","",S1236-V1236-W1236-X1236)</f>
        <v/>
      </c>
    </row>
    <row r="1237">
      <c r="A1237" s="19" t="n"/>
      <c r="B1237" s="19" t="n"/>
      <c r="C1237" s="19" t="n"/>
      <c r="D1237" s="19" t="n"/>
      <c r="E1237" s="19" t="n"/>
      <c r="F1237" s="20" t="n"/>
      <c r="G1237" s="20" t="n"/>
      <c r="H1237" s="20" t="n"/>
      <c r="I1237" s="19" t="n"/>
      <c r="J1237">
        <f>IFERROR(IF(C1237="","",C1237)&amp;"","")</f>
        <v/>
      </c>
      <c r="K1237">
        <f>IFERROR(IF(D1237="","",D1237)&amp;"","")</f>
        <v/>
      </c>
      <c r="L1237">
        <f>IFERROR(IF(I1237="","",I1237)&amp;"","")</f>
        <v/>
      </c>
      <c r="M1237">
        <f>IF(J1237="","",IFERROR(VALUE(SUBSTITUTE(SUBSTITUTE(IF(E1237="","",E1237)&amp;"","$",""),",","")),0))</f>
        <v/>
      </c>
      <c r="N1237" s="11">
        <f>IF(J1237="","",IFERROR(VALUE(SUBSTITUTE(SUBSTITUTE(IF(F1237="","",F1237)&amp;"","$",""),",","")),0))</f>
        <v/>
      </c>
      <c r="O1237" s="11">
        <f>IF(J1237="","",M1237*N1237)</f>
        <v/>
      </c>
      <c r="P1237">
        <f>IF(J1237="","",IF(L1237="",1,COUNTIF($L$2:$L$1501,L1237)))</f>
        <v/>
      </c>
      <c r="Q1237" s="11">
        <f>IF(J1237="","",IFERROR(VALUE(SUBSTITUTE(SUBSTITUTE(IF(G1237="","",G1237)&amp;"","$",""),",","")),0)/IF("No"="Yes",P1237,1))</f>
        <v/>
      </c>
      <c r="R1237" s="11">
        <f>IF(J1237="","",IFERROR(VALUE(SUBSTITUTE(SUBSTITUTE(IF(H1237="","",H1237)&amp;"","$",""),",","")),0)/IF("No"="Yes",P1237,1))</f>
        <v/>
      </c>
      <c r="S1237" s="11">
        <f>IF(J1237="","",O1237+Q1237-R1237)</f>
        <v/>
      </c>
      <c r="T1237">
        <f>IF(J1237="","",IFERROR(IF(K1237="",NA(),MATCH(K1237,Products!$B$5:$B$204,0)),IFERROR(MATCH(J1237,Products!$A$5:$A$204,0),"")))</f>
        <v/>
      </c>
      <c r="U1237">
        <f>IF(J1237="","",IF(T1237="","⚠ not in Products",INDEX(Products!$A$5:$A$204,T1237)))</f>
        <v/>
      </c>
      <c r="V1237" s="11">
        <f>IF(J1237="","",S1237*(IFERROR(INDEX(Settings!$B$5:$B$9,MATCH($B1237,Settings!$A$5:$A$9,0)),0)+IFERROR(INDEX(Settings!$E$5:$E$9,MATCH($B1237,Settings!$A$5:$A$9,0)),0)+IFERROR(INDEX(Settings!$G$5:$G$9,MATCH($B1237,Settings!$A$5:$A$9,0)),0))+(IFERROR(INDEX(Settings!$C$5:$C$9,MATCH($B1237,Settings!$A$5:$A$9,0)),0)+IFERROR(INDEX(Settings!$F$5:$F$9,MATCH($B1237,Settings!$A$5:$A$9,0)),0))/P1237+IFERROR(INDEX(Settings!$D$5:$D$9,MATCH($B1237,Settings!$A$5:$A$9,0)),0)*M1237)</f>
        <v/>
      </c>
      <c r="W1237" s="11">
        <f>IF(J1237="","",IF(T1237="",0,M1237*INDEX(Products!$I$5:$I$204,T1237)))</f>
        <v/>
      </c>
      <c r="X1237" s="11">
        <f>IF(J1237="","",IF(T1237="",0,S1237*INDEX(Products!$H$5:$H$204,T1237)))</f>
        <v/>
      </c>
      <c r="Y1237" s="11">
        <f>IF(J1237="","",S1237-V1237-W1237-X1237)</f>
        <v/>
      </c>
    </row>
    <row r="1238">
      <c r="A1238" s="19" t="n"/>
      <c r="B1238" s="19" t="n"/>
      <c r="C1238" s="19" t="n"/>
      <c r="D1238" s="19" t="n"/>
      <c r="E1238" s="19" t="n"/>
      <c r="F1238" s="20" t="n"/>
      <c r="G1238" s="20" t="n"/>
      <c r="H1238" s="20" t="n"/>
      <c r="I1238" s="19" t="n"/>
      <c r="J1238">
        <f>IFERROR(IF(C1238="","",C1238)&amp;"","")</f>
        <v/>
      </c>
      <c r="K1238">
        <f>IFERROR(IF(D1238="","",D1238)&amp;"","")</f>
        <v/>
      </c>
      <c r="L1238">
        <f>IFERROR(IF(I1238="","",I1238)&amp;"","")</f>
        <v/>
      </c>
      <c r="M1238">
        <f>IF(J1238="","",IFERROR(VALUE(SUBSTITUTE(SUBSTITUTE(IF(E1238="","",E1238)&amp;"","$",""),",","")),0))</f>
        <v/>
      </c>
      <c r="N1238" s="11">
        <f>IF(J1238="","",IFERROR(VALUE(SUBSTITUTE(SUBSTITUTE(IF(F1238="","",F1238)&amp;"","$",""),",","")),0))</f>
        <v/>
      </c>
      <c r="O1238" s="11">
        <f>IF(J1238="","",M1238*N1238)</f>
        <v/>
      </c>
      <c r="P1238">
        <f>IF(J1238="","",IF(L1238="",1,COUNTIF($L$2:$L$1501,L1238)))</f>
        <v/>
      </c>
      <c r="Q1238" s="11">
        <f>IF(J1238="","",IFERROR(VALUE(SUBSTITUTE(SUBSTITUTE(IF(G1238="","",G1238)&amp;"","$",""),",","")),0)/IF("No"="Yes",P1238,1))</f>
        <v/>
      </c>
      <c r="R1238" s="11">
        <f>IF(J1238="","",IFERROR(VALUE(SUBSTITUTE(SUBSTITUTE(IF(H1238="","",H1238)&amp;"","$",""),",","")),0)/IF("No"="Yes",P1238,1))</f>
        <v/>
      </c>
      <c r="S1238" s="11">
        <f>IF(J1238="","",O1238+Q1238-R1238)</f>
        <v/>
      </c>
      <c r="T1238">
        <f>IF(J1238="","",IFERROR(IF(K1238="",NA(),MATCH(K1238,Products!$B$5:$B$204,0)),IFERROR(MATCH(J1238,Products!$A$5:$A$204,0),"")))</f>
        <v/>
      </c>
      <c r="U1238">
        <f>IF(J1238="","",IF(T1238="","⚠ not in Products",INDEX(Products!$A$5:$A$204,T1238)))</f>
        <v/>
      </c>
      <c r="V1238" s="11">
        <f>IF(J1238="","",S1238*(IFERROR(INDEX(Settings!$B$5:$B$9,MATCH($B1238,Settings!$A$5:$A$9,0)),0)+IFERROR(INDEX(Settings!$E$5:$E$9,MATCH($B1238,Settings!$A$5:$A$9,0)),0)+IFERROR(INDEX(Settings!$G$5:$G$9,MATCH($B1238,Settings!$A$5:$A$9,0)),0))+(IFERROR(INDEX(Settings!$C$5:$C$9,MATCH($B1238,Settings!$A$5:$A$9,0)),0)+IFERROR(INDEX(Settings!$F$5:$F$9,MATCH($B1238,Settings!$A$5:$A$9,0)),0))/P1238+IFERROR(INDEX(Settings!$D$5:$D$9,MATCH($B1238,Settings!$A$5:$A$9,0)),0)*M1238)</f>
        <v/>
      </c>
      <c r="W1238" s="11">
        <f>IF(J1238="","",IF(T1238="",0,M1238*INDEX(Products!$I$5:$I$204,T1238)))</f>
        <v/>
      </c>
      <c r="X1238" s="11">
        <f>IF(J1238="","",IF(T1238="",0,S1238*INDEX(Products!$H$5:$H$204,T1238)))</f>
        <v/>
      </c>
      <c r="Y1238" s="11">
        <f>IF(J1238="","",S1238-V1238-W1238-X1238)</f>
        <v/>
      </c>
    </row>
    <row r="1239">
      <c r="A1239" s="19" t="n"/>
      <c r="B1239" s="19" t="n"/>
      <c r="C1239" s="19" t="n"/>
      <c r="D1239" s="19" t="n"/>
      <c r="E1239" s="19" t="n"/>
      <c r="F1239" s="20" t="n"/>
      <c r="G1239" s="20" t="n"/>
      <c r="H1239" s="20" t="n"/>
      <c r="I1239" s="19" t="n"/>
      <c r="J1239">
        <f>IFERROR(IF(C1239="","",C1239)&amp;"","")</f>
        <v/>
      </c>
      <c r="K1239">
        <f>IFERROR(IF(D1239="","",D1239)&amp;"","")</f>
        <v/>
      </c>
      <c r="L1239">
        <f>IFERROR(IF(I1239="","",I1239)&amp;"","")</f>
        <v/>
      </c>
      <c r="M1239">
        <f>IF(J1239="","",IFERROR(VALUE(SUBSTITUTE(SUBSTITUTE(IF(E1239="","",E1239)&amp;"","$",""),",","")),0))</f>
        <v/>
      </c>
      <c r="N1239" s="11">
        <f>IF(J1239="","",IFERROR(VALUE(SUBSTITUTE(SUBSTITUTE(IF(F1239="","",F1239)&amp;"","$",""),",","")),0))</f>
        <v/>
      </c>
      <c r="O1239" s="11">
        <f>IF(J1239="","",M1239*N1239)</f>
        <v/>
      </c>
      <c r="P1239">
        <f>IF(J1239="","",IF(L1239="",1,COUNTIF($L$2:$L$1501,L1239)))</f>
        <v/>
      </c>
      <c r="Q1239" s="11">
        <f>IF(J1239="","",IFERROR(VALUE(SUBSTITUTE(SUBSTITUTE(IF(G1239="","",G1239)&amp;"","$",""),",","")),0)/IF("No"="Yes",P1239,1))</f>
        <v/>
      </c>
      <c r="R1239" s="11">
        <f>IF(J1239="","",IFERROR(VALUE(SUBSTITUTE(SUBSTITUTE(IF(H1239="","",H1239)&amp;"","$",""),",","")),0)/IF("No"="Yes",P1239,1))</f>
        <v/>
      </c>
      <c r="S1239" s="11">
        <f>IF(J1239="","",O1239+Q1239-R1239)</f>
        <v/>
      </c>
      <c r="T1239">
        <f>IF(J1239="","",IFERROR(IF(K1239="",NA(),MATCH(K1239,Products!$B$5:$B$204,0)),IFERROR(MATCH(J1239,Products!$A$5:$A$204,0),"")))</f>
        <v/>
      </c>
      <c r="U1239">
        <f>IF(J1239="","",IF(T1239="","⚠ not in Products",INDEX(Products!$A$5:$A$204,T1239)))</f>
        <v/>
      </c>
      <c r="V1239" s="11">
        <f>IF(J1239="","",S1239*(IFERROR(INDEX(Settings!$B$5:$B$9,MATCH($B1239,Settings!$A$5:$A$9,0)),0)+IFERROR(INDEX(Settings!$E$5:$E$9,MATCH($B1239,Settings!$A$5:$A$9,0)),0)+IFERROR(INDEX(Settings!$G$5:$G$9,MATCH($B1239,Settings!$A$5:$A$9,0)),0))+(IFERROR(INDEX(Settings!$C$5:$C$9,MATCH($B1239,Settings!$A$5:$A$9,0)),0)+IFERROR(INDEX(Settings!$F$5:$F$9,MATCH($B1239,Settings!$A$5:$A$9,0)),0))/P1239+IFERROR(INDEX(Settings!$D$5:$D$9,MATCH($B1239,Settings!$A$5:$A$9,0)),0)*M1239)</f>
        <v/>
      </c>
      <c r="W1239" s="11">
        <f>IF(J1239="","",IF(T1239="",0,M1239*INDEX(Products!$I$5:$I$204,T1239)))</f>
        <v/>
      </c>
      <c r="X1239" s="11">
        <f>IF(J1239="","",IF(T1239="",0,S1239*INDEX(Products!$H$5:$H$204,T1239)))</f>
        <v/>
      </c>
      <c r="Y1239" s="11">
        <f>IF(J1239="","",S1239-V1239-W1239-X1239)</f>
        <v/>
      </c>
    </row>
    <row r="1240">
      <c r="A1240" s="19" t="n"/>
      <c r="B1240" s="19" t="n"/>
      <c r="C1240" s="19" t="n"/>
      <c r="D1240" s="19" t="n"/>
      <c r="E1240" s="19" t="n"/>
      <c r="F1240" s="20" t="n"/>
      <c r="G1240" s="20" t="n"/>
      <c r="H1240" s="20" t="n"/>
      <c r="I1240" s="19" t="n"/>
      <c r="J1240">
        <f>IFERROR(IF(C1240="","",C1240)&amp;"","")</f>
        <v/>
      </c>
      <c r="K1240">
        <f>IFERROR(IF(D1240="","",D1240)&amp;"","")</f>
        <v/>
      </c>
      <c r="L1240">
        <f>IFERROR(IF(I1240="","",I1240)&amp;"","")</f>
        <v/>
      </c>
      <c r="M1240">
        <f>IF(J1240="","",IFERROR(VALUE(SUBSTITUTE(SUBSTITUTE(IF(E1240="","",E1240)&amp;"","$",""),",","")),0))</f>
        <v/>
      </c>
      <c r="N1240" s="11">
        <f>IF(J1240="","",IFERROR(VALUE(SUBSTITUTE(SUBSTITUTE(IF(F1240="","",F1240)&amp;"","$",""),",","")),0))</f>
        <v/>
      </c>
      <c r="O1240" s="11">
        <f>IF(J1240="","",M1240*N1240)</f>
        <v/>
      </c>
      <c r="P1240">
        <f>IF(J1240="","",IF(L1240="",1,COUNTIF($L$2:$L$1501,L1240)))</f>
        <v/>
      </c>
      <c r="Q1240" s="11">
        <f>IF(J1240="","",IFERROR(VALUE(SUBSTITUTE(SUBSTITUTE(IF(G1240="","",G1240)&amp;"","$",""),",","")),0)/IF("No"="Yes",P1240,1))</f>
        <v/>
      </c>
      <c r="R1240" s="11">
        <f>IF(J1240="","",IFERROR(VALUE(SUBSTITUTE(SUBSTITUTE(IF(H1240="","",H1240)&amp;"","$",""),",","")),0)/IF("No"="Yes",P1240,1))</f>
        <v/>
      </c>
      <c r="S1240" s="11">
        <f>IF(J1240="","",O1240+Q1240-R1240)</f>
        <v/>
      </c>
      <c r="T1240">
        <f>IF(J1240="","",IFERROR(IF(K1240="",NA(),MATCH(K1240,Products!$B$5:$B$204,0)),IFERROR(MATCH(J1240,Products!$A$5:$A$204,0),"")))</f>
        <v/>
      </c>
      <c r="U1240">
        <f>IF(J1240="","",IF(T1240="","⚠ not in Products",INDEX(Products!$A$5:$A$204,T1240)))</f>
        <v/>
      </c>
      <c r="V1240" s="11">
        <f>IF(J1240="","",S1240*(IFERROR(INDEX(Settings!$B$5:$B$9,MATCH($B1240,Settings!$A$5:$A$9,0)),0)+IFERROR(INDEX(Settings!$E$5:$E$9,MATCH($B1240,Settings!$A$5:$A$9,0)),0)+IFERROR(INDEX(Settings!$G$5:$G$9,MATCH($B1240,Settings!$A$5:$A$9,0)),0))+(IFERROR(INDEX(Settings!$C$5:$C$9,MATCH($B1240,Settings!$A$5:$A$9,0)),0)+IFERROR(INDEX(Settings!$F$5:$F$9,MATCH($B1240,Settings!$A$5:$A$9,0)),0))/P1240+IFERROR(INDEX(Settings!$D$5:$D$9,MATCH($B1240,Settings!$A$5:$A$9,0)),0)*M1240)</f>
        <v/>
      </c>
      <c r="W1240" s="11">
        <f>IF(J1240="","",IF(T1240="",0,M1240*INDEX(Products!$I$5:$I$204,T1240)))</f>
        <v/>
      </c>
      <c r="X1240" s="11">
        <f>IF(J1240="","",IF(T1240="",0,S1240*INDEX(Products!$H$5:$H$204,T1240)))</f>
        <v/>
      </c>
      <c r="Y1240" s="11">
        <f>IF(J1240="","",S1240-V1240-W1240-X1240)</f>
        <v/>
      </c>
    </row>
    <row r="1241">
      <c r="A1241" s="19" t="n"/>
      <c r="B1241" s="19" t="n"/>
      <c r="C1241" s="19" t="n"/>
      <c r="D1241" s="19" t="n"/>
      <c r="E1241" s="19" t="n"/>
      <c r="F1241" s="20" t="n"/>
      <c r="G1241" s="20" t="n"/>
      <c r="H1241" s="20" t="n"/>
      <c r="I1241" s="19" t="n"/>
      <c r="J1241">
        <f>IFERROR(IF(C1241="","",C1241)&amp;"","")</f>
        <v/>
      </c>
      <c r="K1241">
        <f>IFERROR(IF(D1241="","",D1241)&amp;"","")</f>
        <v/>
      </c>
      <c r="L1241">
        <f>IFERROR(IF(I1241="","",I1241)&amp;"","")</f>
        <v/>
      </c>
      <c r="M1241">
        <f>IF(J1241="","",IFERROR(VALUE(SUBSTITUTE(SUBSTITUTE(IF(E1241="","",E1241)&amp;"","$",""),",","")),0))</f>
        <v/>
      </c>
      <c r="N1241" s="11">
        <f>IF(J1241="","",IFERROR(VALUE(SUBSTITUTE(SUBSTITUTE(IF(F1241="","",F1241)&amp;"","$",""),",","")),0))</f>
        <v/>
      </c>
      <c r="O1241" s="11">
        <f>IF(J1241="","",M1241*N1241)</f>
        <v/>
      </c>
      <c r="P1241">
        <f>IF(J1241="","",IF(L1241="",1,COUNTIF($L$2:$L$1501,L1241)))</f>
        <v/>
      </c>
      <c r="Q1241" s="11">
        <f>IF(J1241="","",IFERROR(VALUE(SUBSTITUTE(SUBSTITUTE(IF(G1241="","",G1241)&amp;"","$",""),",","")),0)/IF("No"="Yes",P1241,1))</f>
        <v/>
      </c>
      <c r="R1241" s="11">
        <f>IF(J1241="","",IFERROR(VALUE(SUBSTITUTE(SUBSTITUTE(IF(H1241="","",H1241)&amp;"","$",""),",","")),0)/IF("No"="Yes",P1241,1))</f>
        <v/>
      </c>
      <c r="S1241" s="11">
        <f>IF(J1241="","",O1241+Q1241-R1241)</f>
        <v/>
      </c>
      <c r="T1241">
        <f>IF(J1241="","",IFERROR(IF(K1241="",NA(),MATCH(K1241,Products!$B$5:$B$204,0)),IFERROR(MATCH(J1241,Products!$A$5:$A$204,0),"")))</f>
        <v/>
      </c>
      <c r="U1241">
        <f>IF(J1241="","",IF(T1241="","⚠ not in Products",INDEX(Products!$A$5:$A$204,T1241)))</f>
        <v/>
      </c>
      <c r="V1241" s="11">
        <f>IF(J1241="","",S1241*(IFERROR(INDEX(Settings!$B$5:$B$9,MATCH($B1241,Settings!$A$5:$A$9,0)),0)+IFERROR(INDEX(Settings!$E$5:$E$9,MATCH($B1241,Settings!$A$5:$A$9,0)),0)+IFERROR(INDEX(Settings!$G$5:$G$9,MATCH($B1241,Settings!$A$5:$A$9,0)),0))+(IFERROR(INDEX(Settings!$C$5:$C$9,MATCH($B1241,Settings!$A$5:$A$9,0)),0)+IFERROR(INDEX(Settings!$F$5:$F$9,MATCH($B1241,Settings!$A$5:$A$9,0)),0))/P1241+IFERROR(INDEX(Settings!$D$5:$D$9,MATCH($B1241,Settings!$A$5:$A$9,0)),0)*M1241)</f>
        <v/>
      </c>
      <c r="W1241" s="11">
        <f>IF(J1241="","",IF(T1241="",0,M1241*INDEX(Products!$I$5:$I$204,T1241)))</f>
        <v/>
      </c>
      <c r="X1241" s="11">
        <f>IF(J1241="","",IF(T1241="",0,S1241*INDEX(Products!$H$5:$H$204,T1241)))</f>
        <v/>
      </c>
      <c r="Y1241" s="11">
        <f>IF(J1241="","",S1241-V1241-W1241-X1241)</f>
        <v/>
      </c>
    </row>
    <row r="1242">
      <c r="A1242" s="19" t="n"/>
      <c r="B1242" s="19" t="n"/>
      <c r="C1242" s="19" t="n"/>
      <c r="D1242" s="19" t="n"/>
      <c r="E1242" s="19" t="n"/>
      <c r="F1242" s="20" t="n"/>
      <c r="G1242" s="20" t="n"/>
      <c r="H1242" s="20" t="n"/>
      <c r="I1242" s="19" t="n"/>
      <c r="J1242">
        <f>IFERROR(IF(C1242="","",C1242)&amp;"","")</f>
        <v/>
      </c>
      <c r="K1242">
        <f>IFERROR(IF(D1242="","",D1242)&amp;"","")</f>
        <v/>
      </c>
      <c r="L1242">
        <f>IFERROR(IF(I1242="","",I1242)&amp;"","")</f>
        <v/>
      </c>
      <c r="M1242">
        <f>IF(J1242="","",IFERROR(VALUE(SUBSTITUTE(SUBSTITUTE(IF(E1242="","",E1242)&amp;"","$",""),",","")),0))</f>
        <v/>
      </c>
      <c r="N1242" s="11">
        <f>IF(J1242="","",IFERROR(VALUE(SUBSTITUTE(SUBSTITUTE(IF(F1242="","",F1242)&amp;"","$",""),",","")),0))</f>
        <v/>
      </c>
      <c r="O1242" s="11">
        <f>IF(J1242="","",M1242*N1242)</f>
        <v/>
      </c>
      <c r="P1242">
        <f>IF(J1242="","",IF(L1242="",1,COUNTIF($L$2:$L$1501,L1242)))</f>
        <v/>
      </c>
      <c r="Q1242" s="11">
        <f>IF(J1242="","",IFERROR(VALUE(SUBSTITUTE(SUBSTITUTE(IF(G1242="","",G1242)&amp;"","$",""),",","")),0)/IF("No"="Yes",P1242,1))</f>
        <v/>
      </c>
      <c r="R1242" s="11">
        <f>IF(J1242="","",IFERROR(VALUE(SUBSTITUTE(SUBSTITUTE(IF(H1242="","",H1242)&amp;"","$",""),",","")),0)/IF("No"="Yes",P1242,1))</f>
        <v/>
      </c>
      <c r="S1242" s="11">
        <f>IF(J1242="","",O1242+Q1242-R1242)</f>
        <v/>
      </c>
      <c r="T1242">
        <f>IF(J1242="","",IFERROR(IF(K1242="",NA(),MATCH(K1242,Products!$B$5:$B$204,0)),IFERROR(MATCH(J1242,Products!$A$5:$A$204,0),"")))</f>
        <v/>
      </c>
      <c r="U1242">
        <f>IF(J1242="","",IF(T1242="","⚠ not in Products",INDEX(Products!$A$5:$A$204,T1242)))</f>
        <v/>
      </c>
      <c r="V1242" s="11">
        <f>IF(J1242="","",S1242*(IFERROR(INDEX(Settings!$B$5:$B$9,MATCH($B1242,Settings!$A$5:$A$9,0)),0)+IFERROR(INDEX(Settings!$E$5:$E$9,MATCH($B1242,Settings!$A$5:$A$9,0)),0)+IFERROR(INDEX(Settings!$G$5:$G$9,MATCH($B1242,Settings!$A$5:$A$9,0)),0))+(IFERROR(INDEX(Settings!$C$5:$C$9,MATCH($B1242,Settings!$A$5:$A$9,0)),0)+IFERROR(INDEX(Settings!$F$5:$F$9,MATCH($B1242,Settings!$A$5:$A$9,0)),0))/P1242+IFERROR(INDEX(Settings!$D$5:$D$9,MATCH($B1242,Settings!$A$5:$A$9,0)),0)*M1242)</f>
        <v/>
      </c>
      <c r="W1242" s="11">
        <f>IF(J1242="","",IF(T1242="",0,M1242*INDEX(Products!$I$5:$I$204,T1242)))</f>
        <v/>
      </c>
      <c r="X1242" s="11">
        <f>IF(J1242="","",IF(T1242="",0,S1242*INDEX(Products!$H$5:$H$204,T1242)))</f>
        <v/>
      </c>
      <c r="Y1242" s="11">
        <f>IF(J1242="","",S1242-V1242-W1242-X1242)</f>
        <v/>
      </c>
    </row>
    <row r="1243">
      <c r="A1243" s="19" t="n"/>
      <c r="B1243" s="19" t="n"/>
      <c r="C1243" s="19" t="n"/>
      <c r="D1243" s="19" t="n"/>
      <c r="E1243" s="19" t="n"/>
      <c r="F1243" s="20" t="n"/>
      <c r="G1243" s="20" t="n"/>
      <c r="H1243" s="20" t="n"/>
      <c r="I1243" s="19" t="n"/>
      <c r="J1243">
        <f>IFERROR(IF(C1243="","",C1243)&amp;"","")</f>
        <v/>
      </c>
      <c r="K1243">
        <f>IFERROR(IF(D1243="","",D1243)&amp;"","")</f>
        <v/>
      </c>
      <c r="L1243">
        <f>IFERROR(IF(I1243="","",I1243)&amp;"","")</f>
        <v/>
      </c>
      <c r="M1243">
        <f>IF(J1243="","",IFERROR(VALUE(SUBSTITUTE(SUBSTITUTE(IF(E1243="","",E1243)&amp;"","$",""),",","")),0))</f>
        <v/>
      </c>
      <c r="N1243" s="11">
        <f>IF(J1243="","",IFERROR(VALUE(SUBSTITUTE(SUBSTITUTE(IF(F1243="","",F1243)&amp;"","$",""),",","")),0))</f>
        <v/>
      </c>
      <c r="O1243" s="11">
        <f>IF(J1243="","",M1243*N1243)</f>
        <v/>
      </c>
      <c r="P1243">
        <f>IF(J1243="","",IF(L1243="",1,COUNTIF($L$2:$L$1501,L1243)))</f>
        <v/>
      </c>
      <c r="Q1243" s="11">
        <f>IF(J1243="","",IFERROR(VALUE(SUBSTITUTE(SUBSTITUTE(IF(G1243="","",G1243)&amp;"","$",""),",","")),0)/IF("No"="Yes",P1243,1))</f>
        <v/>
      </c>
      <c r="R1243" s="11">
        <f>IF(J1243="","",IFERROR(VALUE(SUBSTITUTE(SUBSTITUTE(IF(H1243="","",H1243)&amp;"","$",""),",","")),0)/IF("No"="Yes",P1243,1))</f>
        <v/>
      </c>
      <c r="S1243" s="11">
        <f>IF(J1243="","",O1243+Q1243-R1243)</f>
        <v/>
      </c>
      <c r="T1243">
        <f>IF(J1243="","",IFERROR(IF(K1243="",NA(),MATCH(K1243,Products!$B$5:$B$204,0)),IFERROR(MATCH(J1243,Products!$A$5:$A$204,0),"")))</f>
        <v/>
      </c>
      <c r="U1243">
        <f>IF(J1243="","",IF(T1243="","⚠ not in Products",INDEX(Products!$A$5:$A$204,T1243)))</f>
        <v/>
      </c>
      <c r="V1243" s="11">
        <f>IF(J1243="","",S1243*(IFERROR(INDEX(Settings!$B$5:$B$9,MATCH($B1243,Settings!$A$5:$A$9,0)),0)+IFERROR(INDEX(Settings!$E$5:$E$9,MATCH($B1243,Settings!$A$5:$A$9,0)),0)+IFERROR(INDEX(Settings!$G$5:$G$9,MATCH($B1243,Settings!$A$5:$A$9,0)),0))+(IFERROR(INDEX(Settings!$C$5:$C$9,MATCH($B1243,Settings!$A$5:$A$9,0)),0)+IFERROR(INDEX(Settings!$F$5:$F$9,MATCH($B1243,Settings!$A$5:$A$9,0)),0))/P1243+IFERROR(INDEX(Settings!$D$5:$D$9,MATCH($B1243,Settings!$A$5:$A$9,0)),0)*M1243)</f>
        <v/>
      </c>
      <c r="W1243" s="11">
        <f>IF(J1243="","",IF(T1243="",0,M1243*INDEX(Products!$I$5:$I$204,T1243)))</f>
        <v/>
      </c>
      <c r="X1243" s="11">
        <f>IF(J1243="","",IF(T1243="",0,S1243*INDEX(Products!$H$5:$H$204,T1243)))</f>
        <v/>
      </c>
      <c r="Y1243" s="11">
        <f>IF(J1243="","",S1243-V1243-W1243-X1243)</f>
        <v/>
      </c>
    </row>
    <row r="1244">
      <c r="A1244" s="19" t="n"/>
      <c r="B1244" s="19" t="n"/>
      <c r="C1244" s="19" t="n"/>
      <c r="D1244" s="19" t="n"/>
      <c r="E1244" s="19" t="n"/>
      <c r="F1244" s="20" t="n"/>
      <c r="G1244" s="20" t="n"/>
      <c r="H1244" s="20" t="n"/>
      <c r="I1244" s="19" t="n"/>
      <c r="J1244">
        <f>IFERROR(IF(C1244="","",C1244)&amp;"","")</f>
        <v/>
      </c>
      <c r="K1244">
        <f>IFERROR(IF(D1244="","",D1244)&amp;"","")</f>
        <v/>
      </c>
      <c r="L1244">
        <f>IFERROR(IF(I1244="","",I1244)&amp;"","")</f>
        <v/>
      </c>
      <c r="M1244">
        <f>IF(J1244="","",IFERROR(VALUE(SUBSTITUTE(SUBSTITUTE(IF(E1244="","",E1244)&amp;"","$",""),",","")),0))</f>
        <v/>
      </c>
      <c r="N1244" s="11">
        <f>IF(J1244="","",IFERROR(VALUE(SUBSTITUTE(SUBSTITUTE(IF(F1244="","",F1244)&amp;"","$",""),",","")),0))</f>
        <v/>
      </c>
      <c r="O1244" s="11">
        <f>IF(J1244="","",M1244*N1244)</f>
        <v/>
      </c>
      <c r="P1244">
        <f>IF(J1244="","",IF(L1244="",1,COUNTIF($L$2:$L$1501,L1244)))</f>
        <v/>
      </c>
      <c r="Q1244" s="11">
        <f>IF(J1244="","",IFERROR(VALUE(SUBSTITUTE(SUBSTITUTE(IF(G1244="","",G1244)&amp;"","$",""),",","")),0)/IF("No"="Yes",P1244,1))</f>
        <v/>
      </c>
      <c r="R1244" s="11">
        <f>IF(J1244="","",IFERROR(VALUE(SUBSTITUTE(SUBSTITUTE(IF(H1244="","",H1244)&amp;"","$",""),",","")),0)/IF("No"="Yes",P1244,1))</f>
        <v/>
      </c>
      <c r="S1244" s="11">
        <f>IF(J1244="","",O1244+Q1244-R1244)</f>
        <v/>
      </c>
      <c r="T1244">
        <f>IF(J1244="","",IFERROR(IF(K1244="",NA(),MATCH(K1244,Products!$B$5:$B$204,0)),IFERROR(MATCH(J1244,Products!$A$5:$A$204,0),"")))</f>
        <v/>
      </c>
      <c r="U1244">
        <f>IF(J1244="","",IF(T1244="","⚠ not in Products",INDEX(Products!$A$5:$A$204,T1244)))</f>
        <v/>
      </c>
      <c r="V1244" s="11">
        <f>IF(J1244="","",S1244*(IFERROR(INDEX(Settings!$B$5:$B$9,MATCH($B1244,Settings!$A$5:$A$9,0)),0)+IFERROR(INDEX(Settings!$E$5:$E$9,MATCH($B1244,Settings!$A$5:$A$9,0)),0)+IFERROR(INDEX(Settings!$G$5:$G$9,MATCH($B1244,Settings!$A$5:$A$9,0)),0))+(IFERROR(INDEX(Settings!$C$5:$C$9,MATCH($B1244,Settings!$A$5:$A$9,0)),0)+IFERROR(INDEX(Settings!$F$5:$F$9,MATCH($B1244,Settings!$A$5:$A$9,0)),0))/P1244+IFERROR(INDEX(Settings!$D$5:$D$9,MATCH($B1244,Settings!$A$5:$A$9,0)),0)*M1244)</f>
        <v/>
      </c>
      <c r="W1244" s="11">
        <f>IF(J1244="","",IF(T1244="",0,M1244*INDEX(Products!$I$5:$I$204,T1244)))</f>
        <v/>
      </c>
      <c r="X1244" s="11">
        <f>IF(J1244="","",IF(T1244="",0,S1244*INDEX(Products!$H$5:$H$204,T1244)))</f>
        <v/>
      </c>
      <c r="Y1244" s="11">
        <f>IF(J1244="","",S1244-V1244-W1244-X1244)</f>
        <v/>
      </c>
    </row>
    <row r="1245">
      <c r="A1245" s="19" t="n"/>
      <c r="B1245" s="19" t="n"/>
      <c r="C1245" s="19" t="n"/>
      <c r="D1245" s="19" t="n"/>
      <c r="E1245" s="19" t="n"/>
      <c r="F1245" s="20" t="n"/>
      <c r="G1245" s="20" t="n"/>
      <c r="H1245" s="20" t="n"/>
      <c r="I1245" s="19" t="n"/>
      <c r="J1245">
        <f>IFERROR(IF(C1245="","",C1245)&amp;"","")</f>
        <v/>
      </c>
      <c r="K1245">
        <f>IFERROR(IF(D1245="","",D1245)&amp;"","")</f>
        <v/>
      </c>
      <c r="L1245">
        <f>IFERROR(IF(I1245="","",I1245)&amp;"","")</f>
        <v/>
      </c>
      <c r="M1245">
        <f>IF(J1245="","",IFERROR(VALUE(SUBSTITUTE(SUBSTITUTE(IF(E1245="","",E1245)&amp;"","$",""),",","")),0))</f>
        <v/>
      </c>
      <c r="N1245" s="11">
        <f>IF(J1245="","",IFERROR(VALUE(SUBSTITUTE(SUBSTITUTE(IF(F1245="","",F1245)&amp;"","$",""),",","")),0))</f>
        <v/>
      </c>
      <c r="O1245" s="11">
        <f>IF(J1245="","",M1245*N1245)</f>
        <v/>
      </c>
      <c r="P1245">
        <f>IF(J1245="","",IF(L1245="",1,COUNTIF($L$2:$L$1501,L1245)))</f>
        <v/>
      </c>
      <c r="Q1245" s="11">
        <f>IF(J1245="","",IFERROR(VALUE(SUBSTITUTE(SUBSTITUTE(IF(G1245="","",G1245)&amp;"","$",""),",","")),0)/IF("No"="Yes",P1245,1))</f>
        <v/>
      </c>
      <c r="R1245" s="11">
        <f>IF(J1245="","",IFERROR(VALUE(SUBSTITUTE(SUBSTITUTE(IF(H1245="","",H1245)&amp;"","$",""),",","")),0)/IF("No"="Yes",P1245,1))</f>
        <v/>
      </c>
      <c r="S1245" s="11">
        <f>IF(J1245="","",O1245+Q1245-R1245)</f>
        <v/>
      </c>
      <c r="T1245">
        <f>IF(J1245="","",IFERROR(IF(K1245="",NA(),MATCH(K1245,Products!$B$5:$B$204,0)),IFERROR(MATCH(J1245,Products!$A$5:$A$204,0),"")))</f>
        <v/>
      </c>
      <c r="U1245">
        <f>IF(J1245="","",IF(T1245="","⚠ not in Products",INDEX(Products!$A$5:$A$204,T1245)))</f>
        <v/>
      </c>
      <c r="V1245" s="11">
        <f>IF(J1245="","",S1245*(IFERROR(INDEX(Settings!$B$5:$B$9,MATCH($B1245,Settings!$A$5:$A$9,0)),0)+IFERROR(INDEX(Settings!$E$5:$E$9,MATCH($B1245,Settings!$A$5:$A$9,0)),0)+IFERROR(INDEX(Settings!$G$5:$G$9,MATCH($B1245,Settings!$A$5:$A$9,0)),0))+(IFERROR(INDEX(Settings!$C$5:$C$9,MATCH($B1245,Settings!$A$5:$A$9,0)),0)+IFERROR(INDEX(Settings!$F$5:$F$9,MATCH($B1245,Settings!$A$5:$A$9,0)),0))/P1245+IFERROR(INDEX(Settings!$D$5:$D$9,MATCH($B1245,Settings!$A$5:$A$9,0)),0)*M1245)</f>
        <v/>
      </c>
      <c r="W1245" s="11">
        <f>IF(J1245="","",IF(T1245="",0,M1245*INDEX(Products!$I$5:$I$204,T1245)))</f>
        <v/>
      </c>
      <c r="X1245" s="11">
        <f>IF(J1245="","",IF(T1245="",0,S1245*INDEX(Products!$H$5:$H$204,T1245)))</f>
        <v/>
      </c>
      <c r="Y1245" s="11">
        <f>IF(J1245="","",S1245-V1245-W1245-X1245)</f>
        <v/>
      </c>
    </row>
    <row r="1246">
      <c r="A1246" s="19" t="n"/>
      <c r="B1246" s="19" t="n"/>
      <c r="C1246" s="19" t="n"/>
      <c r="D1246" s="19" t="n"/>
      <c r="E1246" s="19" t="n"/>
      <c r="F1246" s="20" t="n"/>
      <c r="G1246" s="20" t="n"/>
      <c r="H1246" s="20" t="n"/>
      <c r="I1246" s="19" t="n"/>
      <c r="J1246">
        <f>IFERROR(IF(C1246="","",C1246)&amp;"","")</f>
        <v/>
      </c>
      <c r="K1246">
        <f>IFERROR(IF(D1246="","",D1246)&amp;"","")</f>
        <v/>
      </c>
      <c r="L1246">
        <f>IFERROR(IF(I1246="","",I1246)&amp;"","")</f>
        <v/>
      </c>
      <c r="M1246">
        <f>IF(J1246="","",IFERROR(VALUE(SUBSTITUTE(SUBSTITUTE(IF(E1246="","",E1246)&amp;"","$",""),",","")),0))</f>
        <v/>
      </c>
      <c r="N1246" s="11">
        <f>IF(J1246="","",IFERROR(VALUE(SUBSTITUTE(SUBSTITUTE(IF(F1246="","",F1246)&amp;"","$",""),",","")),0))</f>
        <v/>
      </c>
      <c r="O1246" s="11">
        <f>IF(J1246="","",M1246*N1246)</f>
        <v/>
      </c>
      <c r="P1246">
        <f>IF(J1246="","",IF(L1246="",1,COUNTIF($L$2:$L$1501,L1246)))</f>
        <v/>
      </c>
      <c r="Q1246" s="11">
        <f>IF(J1246="","",IFERROR(VALUE(SUBSTITUTE(SUBSTITUTE(IF(G1246="","",G1246)&amp;"","$",""),",","")),0)/IF("No"="Yes",P1246,1))</f>
        <v/>
      </c>
      <c r="R1246" s="11">
        <f>IF(J1246="","",IFERROR(VALUE(SUBSTITUTE(SUBSTITUTE(IF(H1246="","",H1246)&amp;"","$",""),",","")),0)/IF("No"="Yes",P1246,1))</f>
        <v/>
      </c>
      <c r="S1246" s="11">
        <f>IF(J1246="","",O1246+Q1246-R1246)</f>
        <v/>
      </c>
      <c r="T1246">
        <f>IF(J1246="","",IFERROR(IF(K1246="",NA(),MATCH(K1246,Products!$B$5:$B$204,0)),IFERROR(MATCH(J1246,Products!$A$5:$A$204,0),"")))</f>
        <v/>
      </c>
      <c r="U1246">
        <f>IF(J1246="","",IF(T1246="","⚠ not in Products",INDEX(Products!$A$5:$A$204,T1246)))</f>
        <v/>
      </c>
      <c r="V1246" s="11">
        <f>IF(J1246="","",S1246*(IFERROR(INDEX(Settings!$B$5:$B$9,MATCH($B1246,Settings!$A$5:$A$9,0)),0)+IFERROR(INDEX(Settings!$E$5:$E$9,MATCH($B1246,Settings!$A$5:$A$9,0)),0)+IFERROR(INDEX(Settings!$G$5:$G$9,MATCH($B1246,Settings!$A$5:$A$9,0)),0))+(IFERROR(INDEX(Settings!$C$5:$C$9,MATCH($B1246,Settings!$A$5:$A$9,0)),0)+IFERROR(INDEX(Settings!$F$5:$F$9,MATCH($B1246,Settings!$A$5:$A$9,0)),0))/P1246+IFERROR(INDEX(Settings!$D$5:$D$9,MATCH($B1246,Settings!$A$5:$A$9,0)),0)*M1246)</f>
        <v/>
      </c>
      <c r="W1246" s="11">
        <f>IF(J1246="","",IF(T1246="",0,M1246*INDEX(Products!$I$5:$I$204,T1246)))</f>
        <v/>
      </c>
      <c r="X1246" s="11">
        <f>IF(J1246="","",IF(T1246="",0,S1246*INDEX(Products!$H$5:$H$204,T1246)))</f>
        <v/>
      </c>
      <c r="Y1246" s="11">
        <f>IF(J1246="","",S1246-V1246-W1246-X1246)</f>
        <v/>
      </c>
    </row>
    <row r="1247">
      <c r="A1247" s="19" t="n"/>
      <c r="B1247" s="19" t="n"/>
      <c r="C1247" s="19" t="n"/>
      <c r="D1247" s="19" t="n"/>
      <c r="E1247" s="19" t="n"/>
      <c r="F1247" s="20" t="n"/>
      <c r="G1247" s="20" t="n"/>
      <c r="H1247" s="20" t="n"/>
      <c r="I1247" s="19" t="n"/>
      <c r="J1247">
        <f>IFERROR(IF(C1247="","",C1247)&amp;"","")</f>
        <v/>
      </c>
      <c r="K1247">
        <f>IFERROR(IF(D1247="","",D1247)&amp;"","")</f>
        <v/>
      </c>
      <c r="L1247">
        <f>IFERROR(IF(I1247="","",I1247)&amp;"","")</f>
        <v/>
      </c>
      <c r="M1247">
        <f>IF(J1247="","",IFERROR(VALUE(SUBSTITUTE(SUBSTITUTE(IF(E1247="","",E1247)&amp;"","$",""),",","")),0))</f>
        <v/>
      </c>
      <c r="N1247" s="11">
        <f>IF(J1247="","",IFERROR(VALUE(SUBSTITUTE(SUBSTITUTE(IF(F1247="","",F1247)&amp;"","$",""),",","")),0))</f>
        <v/>
      </c>
      <c r="O1247" s="11">
        <f>IF(J1247="","",M1247*N1247)</f>
        <v/>
      </c>
      <c r="P1247">
        <f>IF(J1247="","",IF(L1247="",1,COUNTIF($L$2:$L$1501,L1247)))</f>
        <v/>
      </c>
      <c r="Q1247" s="11">
        <f>IF(J1247="","",IFERROR(VALUE(SUBSTITUTE(SUBSTITUTE(IF(G1247="","",G1247)&amp;"","$",""),",","")),0)/IF("No"="Yes",P1247,1))</f>
        <v/>
      </c>
      <c r="R1247" s="11">
        <f>IF(J1247="","",IFERROR(VALUE(SUBSTITUTE(SUBSTITUTE(IF(H1247="","",H1247)&amp;"","$",""),",","")),0)/IF("No"="Yes",P1247,1))</f>
        <v/>
      </c>
      <c r="S1247" s="11">
        <f>IF(J1247="","",O1247+Q1247-R1247)</f>
        <v/>
      </c>
      <c r="T1247">
        <f>IF(J1247="","",IFERROR(IF(K1247="",NA(),MATCH(K1247,Products!$B$5:$B$204,0)),IFERROR(MATCH(J1247,Products!$A$5:$A$204,0),"")))</f>
        <v/>
      </c>
      <c r="U1247">
        <f>IF(J1247="","",IF(T1247="","⚠ not in Products",INDEX(Products!$A$5:$A$204,T1247)))</f>
        <v/>
      </c>
      <c r="V1247" s="11">
        <f>IF(J1247="","",S1247*(IFERROR(INDEX(Settings!$B$5:$B$9,MATCH($B1247,Settings!$A$5:$A$9,0)),0)+IFERROR(INDEX(Settings!$E$5:$E$9,MATCH($B1247,Settings!$A$5:$A$9,0)),0)+IFERROR(INDEX(Settings!$G$5:$G$9,MATCH($B1247,Settings!$A$5:$A$9,0)),0))+(IFERROR(INDEX(Settings!$C$5:$C$9,MATCH($B1247,Settings!$A$5:$A$9,0)),0)+IFERROR(INDEX(Settings!$F$5:$F$9,MATCH($B1247,Settings!$A$5:$A$9,0)),0))/P1247+IFERROR(INDEX(Settings!$D$5:$D$9,MATCH($B1247,Settings!$A$5:$A$9,0)),0)*M1247)</f>
        <v/>
      </c>
      <c r="W1247" s="11">
        <f>IF(J1247="","",IF(T1247="",0,M1247*INDEX(Products!$I$5:$I$204,T1247)))</f>
        <v/>
      </c>
      <c r="X1247" s="11">
        <f>IF(J1247="","",IF(T1247="",0,S1247*INDEX(Products!$H$5:$H$204,T1247)))</f>
        <v/>
      </c>
      <c r="Y1247" s="11">
        <f>IF(J1247="","",S1247-V1247-W1247-X1247)</f>
        <v/>
      </c>
    </row>
    <row r="1248">
      <c r="A1248" s="19" t="n"/>
      <c r="B1248" s="19" t="n"/>
      <c r="C1248" s="19" t="n"/>
      <c r="D1248" s="19" t="n"/>
      <c r="E1248" s="19" t="n"/>
      <c r="F1248" s="20" t="n"/>
      <c r="G1248" s="20" t="n"/>
      <c r="H1248" s="20" t="n"/>
      <c r="I1248" s="19" t="n"/>
      <c r="J1248">
        <f>IFERROR(IF(C1248="","",C1248)&amp;"","")</f>
        <v/>
      </c>
      <c r="K1248">
        <f>IFERROR(IF(D1248="","",D1248)&amp;"","")</f>
        <v/>
      </c>
      <c r="L1248">
        <f>IFERROR(IF(I1248="","",I1248)&amp;"","")</f>
        <v/>
      </c>
      <c r="M1248">
        <f>IF(J1248="","",IFERROR(VALUE(SUBSTITUTE(SUBSTITUTE(IF(E1248="","",E1248)&amp;"","$",""),",","")),0))</f>
        <v/>
      </c>
      <c r="N1248" s="11">
        <f>IF(J1248="","",IFERROR(VALUE(SUBSTITUTE(SUBSTITUTE(IF(F1248="","",F1248)&amp;"","$",""),",","")),0))</f>
        <v/>
      </c>
      <c r="O1248" s="11">
        <f>IF(J1248="","",M1248*N1248)</f>
        <v/>
      </c>
      <c r="P1248">
        <f>IF(J1248="","",IF(L1248="",1,COUNTIF($L$2:$L$1501,L1248)))</f>
        <v/>
      </c>
      <c r="Q1248" s="11">
        <f>IF(J1248="","",IFERROR(VALUE(SUBSTITUTE(SUBSTITUTE(IF(G1248="","",G1248)&amp;"","$",""),",","")),0)/IF("No"="Yes",P1248,1))</f>
        <v/>
      </c>
      <c r="R1248" s="11">
        <f>IF(J1248="","",IFERROR(VALUE(SUBSTITUTE(SUBSTITUTE(IF(H1248="","",H1248)&amp;"","$",""),",","")),0)/IF("No"="Yes",P1248,1))</f>
        <v/>
      </c>
      <c r="S1248" s="11">
        <f>IF(J1248="","",O1248+Q1248-R1248)</f>
        <v/>
      </c>
      <c r="T1248">
        <f>IF(J1248="","",IFERROR(IF(K1248="",NA(),MATCH(K1248,Products!$B$5:$B$204,0)),IFERROR(MATCH(J1248,Products!$A$5:$A$204,0),"")))</f>
        <v/>
      </c>
      <c r="U1248">
        <f>IF(J1248="","",IF(T1248="","⚠ not in Products",INDEX(Products!$A$5:$A$204,T1248)))</f>
        <v/>
      </c>
      <c r="V1248" s="11">
        <f>IF(J1248="","",S1248*(IFERROR(INDEX(Settings!$B$5:$B$9,MATCH($B1248,Settings!$A$5:$A$9,0)),0)+IFERROR(INDEX(Settings!$E$5:$E$9,MATCH($B1248,Settings!$A$5:$A$9,0)),0)+IFERROR(INDEX(Settings!$G$5:$G$9,MATCH($B1248,Settings!$A$5:$A$9,0)),0))+(IFERROR(INDEX(Settings!$C$5:$C$9,MATCH($B1248,Settings!$A$5:$A$9,0)),0)+IFERROR(INDEX(Settings!$F$5:$F$9,MATCH($B1248,Settings!$A$5:$A$9,0)),0))/P1248+IFERROR(INDEX(Settings!$D$5:$D$9,MATCH($B1248,Settings!$A$5:$A$9,0)),0)*M1248)</f>
        <v/>
      </c>
      <c r="W1248" s="11">
        <f>IF(J1248="","",IF(T1248="",0,M1248*INDEX(Products!$I$5:$I$204,T1248)))</f>
        <v/>
      </c>
      <c r="X1248" s="11">
        <f>IF(J1248="","",IF(T1248="",0,S1248*INDEX(Products!$H$5:$H$204,T1248)))</f>
        <v/>
      </c>
      <c r="Y1248" s="11">
        <f>IF(J1248="","",S1248-V1248-W1248-X1248)</f>
        <v/>
      </c>
    </row>
    <row r="1249">
      <c r="A1249" s="19" t="n"/>
      <c r="B1249" s="19" t="n"/>
      <c r="C1249" s="19" t="n"/>
      <c r="D1249" s="19" t="n"/>
      <c r="E1249" s="19" t="n"/>
      <c r="F1249" s="20" t="n"/>
      <c r="G1249" s="20" t="n"/>
      <c r="H1249" s="20" t="n"/>
      <c r="I1249" s="19" t="n"/>
      <c r="J1249">
        <f>IFERROR(IF(C1249="","",C1249)&amp;"","")</f>
        <v/>
      </c>
      <c r="K1249">
        <f>IFERROR(IF(D1249="","",D1249)&amp;"","")</f>
        <v/>
      </c>
      <c r="L1249">
        <f>IFERROR(IF(I1249="","",I1249)&amp;"","")</f>
        <v/>
      </c>
      <c r="M1249">
        <f>IF(J1249="","",IFERROR(VALUE(SUBSTITUTE(SUBSTITUTE(IF(E1249="","",E1249)&amp;"","$",""),",","")),0))</f>
        <v/>
      </c>
      <c r="N1249" s="11">
        <f>IF(J1249="","",IFERROR(VALUE(SUBSTITUTE(SUBSTITUTE(IF(F1249="","",F1249)&amp;"","$",""),",","")),0))</f>
        <v/>
      </c>
      <c r="O1249" s="11">
        <f>IF(J1249="","",M1249*N1249)</f>
        <v/>
      </c>
      <c r="P1249">
        <f>IF(J1249="","",IF(L1249="",1,COUNTIF($L$2:$L$1501,L1249)))</f>
        <v/>
      </c>
      <c r="Q1249" s="11">
        <f>IF(J1249="","",IFERROR(VALUE(SUBSTITUTE(SUBSTITUTE(IF(G1249="","",G1249)&amp;"","$",""),",","")),0)/IF("No"="Yes",P1249,1))</f>
        <v/>
      </c>
      <c r="R1249" s="11">
        <f>IF(J1249="","",IFERROR(VALUE(SUBSTITUTE(SUBSTITUTE(IF(H1249="","",H1249)&amp;"","$",""),",","")),0)/IF("No"="Yes",P1249,1))</f>
        <v/>
      </c>
      <c r="S1249" s="11">
        <f>IF(J1249="","",O1249+Q1249-R1249)</f>
        <v/>
      </c>
      <c r="T1249">
        <f>IF(J1249="","",IFERROR(IF(K1249="",NA(),MATCH(K1249,Products!$B$5:$B$204,0)),IFERROR(MATCH(J1249,Products!$A$5:$A$204,0),"")))</f>
        <v/>
      </c>
      <c r="U1249">
        <f>IF(J1249="","",IF(T1249="","⚠ not in Products",INDEX(Products!$A$5:$A$204,T1249)))</f>
        <v/>
      </c>
      <c r="V1249" s="11">
        <f>IF(J1249="","",S1249*(IFERROR(INDEX(Settings!$B$5:$B$9,MATCH($B1249,Settings!$A$5:$A$9,0)),0)+IFERROR(INDEX(Settings!$E$5:$E$9,MATCH($B1249,Settings!$A$5:$A$9,0)),0)+IFERROR(INDEX(Settings!$G$5:$G$9,MATCH($B1249,Settings!$A$5:$A$9,0)),0))+(IFERROR(INDEX(Settings!$C$5:$C$9,MATCH($B1249,Settings!$A$5:$A$9,0)),0)+IFERROR(INDEX(Settings!$F$5:$F$9,MATCH($B1249,Settings!$A$5:$A$9,0)),0))/P1249+IFERROR(INDEX(Settings!$D$5:$D$9,MATCH($B1249,Settings!$A$5:$A$9,0)),0)*M1249)</f>
        <v/>
      </c>
      <c r="W1249" s="11">
        <f>IF(J1249="","",IF(T1249="",0,M1249*INDEX(Products!$I$5:$I$204,T1249)))</f>
        <v/>
      </c>
      <c r="X1249" s="11">
        <f>IF(J1249="","",IF(T1249="",0,S1249*INDEX(Products!$H$5:$H$204,T1249)))</f>
        <v/>
      </c>
      <c r="Y1249" s="11">
        <f>IF(J1249="","",S1249-V1249-W1249-X1249)</f>
        <v/>
      </c>
    </row>
    <row r="1250">
      <c r="A1250" s="19" t="n"/>
      <c r="B1250" s="19" t="n"/>
      <c r="C1250" s="19" t="n"/>
      <c r="D1250" s="19" t="n"/>
      <c r="E1250" s="19" t="n"/>
      <c r="F1250" s="20" t="n"/>
      <c r="G1250" s="20" t="n"/>
      <c r="H1250" s="20" t="n"/>
      <c r="I1250" s="19" t="n"/>
      <c r="J1250">
        <f>IFERROR(IF(C1250="","",C1250)&amp;"","")</f>
        <v/>
      </c>
      <c r="K1250">
        <f>IFERROR(IF(D1250="","",D1250)&amp;"","")</f>
        <v/>
      </c>
      <c r="L1250">
        <f>IFERROR(IF(I1250="","",I1250)&amp;"","")</f>
        <v/>
      </c>
      <c r="M1250">
        <f>IF(J1250="","",IFERROR(VALUE(SUBSTITUTE(SUBSTITUTE(IF(E1250="","",E1250)&amp;"","$",""),",","")),0))</f>
        <v/>
      </c>
      <c r="N1250" s="11">
        <f>IF(J1250="","",IFERROR(VALUE(SUBSTITUTE(SUBSTITUTE(IF(F1250="","",F1250)&amp;"","$",""),",","")),0))</f>
        <v/>
      </c>
      <c r="O1250" s="11">
        <f>IF(J1250="","",M1250*N1250)</f>
        <v/>
      </c>
      <c r="P1250">
        <f>IF(J1250="","",IF(L1250="",1,COUNTIF($L$2:$L$1501,L1250)))</f>
        <v/>
      </c>
      <c r="Q1250" s="11">
        <f>IF(J1250="","",IFERROR(VALUE(SUBSTITUTE(SUBSTITUTE(IF(G1250="","",G1250)&amp;"","$",""),",","")),0)/IF("No"="Yes",P1250,1))</f>
        <v/>
      </c>
      <c r="R1250" s="11">
        <f>IF(J1250="","",IFERROR(VALUE(SUBSTITUTE(SUBSTITUTE(IF(H1250="","",H1250)&amp;"","$",""),",","")),0)/IF("No"="Yes",P1250,1))</f>
        <v/>
      </c>
      <c r="S1250" s="11">
        <f>IF(J1250="","",O1250+Q1250-R1250)</f>
        <v/>
      </c>
      <c r="T1250">
        <f>IF(J1250="","",IFERROR(IF(K1250="",NA(),MATCH(K1250,Products!$B$5:$B$204,0)),IFERROR(MATCH(J1250,Products!$A$5:$A$204,0),"")))</f>
        <v/>
      </c>
      <c r="U1250">
        <f>IF(J1250="","",IF(T1250="","⚠ not in Products",INDEX(Products!$A$5:$A$204,T1250)))</f>
        <v/>
      </c>
      <c r="V1250" s="11">
        <f>IF(J1250="","",S1250*(IFERROR(INDEX(Settings!$B$5:$B$9,MATCH($B1250,Settings!$A$5:$A$9,0)),0)+IFERROR(INDEX(Settings!$E$5:$E$9,MATCH($B1250,Settings!$A$5:$A$9,0)),0)+IFERROR(INDEX(Settings!$G$5:$G$9,MATCH($B1250,Settings!$A$5:$A$9,0)),0))+(IFERROR(INDEX(Settings!$C$5:$C$9,MATCH($B1250,Settings!$A$5:$A$9,0)),0)+IFERROR(INDEX(Settings!$F$5:$F$9,MATCH($B1250,Settings!$A$5:$A$9,0)),0))/P1250+IFERROR(INDEX(Settings!$D$5:$D$9,MATCH($B1250,Settings!$A$5:$A$9,0)),0)*M1250)</f>
        <v/>
      </c>
      <c r="W1250" s="11">
        <f>IF(J1250="","",IF(T1250="",0,M1250*INDEX(Products!$I$5:$I$204,T1250)))</f>
        <v/>
      </c>
      <c r="X1250" s="11">
        <f>IF(J1250="","",IF(T1250="",0,S1250*INDEX(Products!$H$5:$H$204,T1250)))</f>
        <v/>
      </c>
      <c r="Y1250" s="11">
        <f>IF(J1250="","",S1250-V1250-W1250-X1250)</f>
        <v/>
      </c>
    </row>
    <row r="1251">
      <c r="A1251" s="19" t="n"/>
      <c r="B1251" s="19" t="n"/>
      <c r="C1251" s="19" t="n"/>
      <c r="D1251" s="19" t="n"/>
      <c r="E1251" s="19" t="n"/>
      <c r="F1251" s="20" t="n"/>
      <c r="G1251" s="20" t="n"/>
      <c r="H1251" s="20" t="n"/>
      <c r="I1251" s="19" t="n"/>
      <c r="J1251">
        <f>IFERROR(IF(C1251="","",C1251)&amp;"","")</f>
        <v/>
      </c>
      <c r="K1251">
        <f>IFERROR(IF(D1251="","",D1251)&amp;"","")</f>
        <v/>
      </c>
      <c r="L1251">
        <f>IFERROR(IF(I1251="","",I1251)&amp;"","")</f>
        <v/>
      </c>
      <c r="M1251">
        <f>IF(J1251="","",IFERROR(VALUE(SUBSTITUTE(SUBSTITUTE(IF(E1251="","",E1251)&amp;"","$",""),",","")),0))</f>
        <v/>
      </c>
      <c r="N1251" s="11">
        <f>IF(J1251="","",IFERROR(VALUE(SUBSTITUTE(SUBSTITUTE(IF(F1251="","",F1251)&amp;"","$",""),",","")),0))</f>
        <v/>
      </c>
      <c r="O1251" s="11">
        <f>IF(J1251="","",M1251*N1251)</f>
        <v/>
      </c>
      <c r="P1251">
        <f>IF(J1251="","",IF(L1251="",1,COUNTIF($L$2:$L$1501,L1251)))</f>
        <v/>
      </c>
      <c r="Q1251" s="11">
        <f>IF(J1251="","",IFERROR(VALUE(SUBSTITUTE(SUBSTITUTE(IF(G1251="","",G1251)&amp;"","$",""),",","")),0)/IF("No"="Yes",P1251,1))</f>
        <v/>
      </c>
      <c r="R1251" s="11">
        <f>IF(J1251="","",IFERROR(VALUE(SUBSTITUTE(SUBSTITUTE(IF(H1251="","",H1251)&amp;"","$",""),",","")),0)/IF("No"="Yes",P1251,1))</f>
        <v/>
      </c>
      <c r="S1251" s="11">
        <f>IF(J1251="","",O1251+Q1251-R1251)</f>
        <v/>
      </c>
      <c r="T1251">
        <f>IF(J1251="","",IFERROR(IF(K1251="",NA(),MATCH(K1251,Products!$B$5:$B$204,0)),IFERROR(MATCH(J1251,Products!$A$5:$A$204,0),"")))</f>
        <v/>
      </c>
      <c r="U1251">
        <f>IF(J1251="","",IF(T1251="","⚠ not in Products",INDEX(Products!$A$5:$A$204,T1251)))</f>
        <v/>
      </c>
      <c r="V1251" s="11">
        <f>IF(J1251="","",S1251*(IFERROR(INDEX(Settings!$B$5:$B$9,MATCH($B1251,Settings!$A$5:$A$9,0)),0)+IFERROR(INDEX(Settings!$E$5:$E$9,MATCH($B1251,Settings!$A$5:$A$9,0)),0)+IFERROR(INDEX(Settings!$G$5:$G$9,MATCH($B1251,Settings!$A$5:$A$9,0)),0))+(IFERROR(INDEX(Settings!$C$5:$C$9,MATCH($B1251,Settings!$A$5:$A$9,0)),0)+IFERROR(INDEX(Settings!$F$5:$F$9,MATCH($B1251,Settings!$A$5:$A$9,0)),0))/P1251+IFERROR(INDEX(Settings!$D$5:$D$9,MATCH($B1251,Settings!$A$5:$A$9,0)),0)*M1251)</f>
        <v/>
      </c>
      <c r="W1251" s="11">
        <f>IF(J1251="","",IF(T1251="",0,M1251*INDEX(Products!$I$5:$I$204,T1251)))</f>
        <v/>
      </c>
      <c r="X1251" s="11">
        <f>IF(J1251="","",IF(T1251="",0,S1251*INDEX(Products!$H$5:$H$204,T1251)))</f>
        <v/>
      </c>
      <c r="Y1251" s="11">
        <f>IF(J1251="","",S1251-V1251-W1251-X1251)</f>
        <v/>
      </c>
    </row>
    <row r="1252">
      <c r="A1252" s="19" t="n"/>
      <c r="B1252" s="19" t="n"/>
      <c r="C1252" s="19" t="n"/>
      <c r="D1252" s="19" t="n"/>
      <c r="E1252" s="19" t="n"/>
      <c r="F1252" s="20" t="n"/>
      <c r="G1252" s="20" t="n"/>
      <c r="H1252" s="20" t="n"/>
      <c r="I1252" s="19" t="n"/>
      <c r="J1252">
        <f>IFERROR(IF(C1252="","",C1252)&amp;"","")</f>
        <v/>
      </c>
      <c r="K1252">
        <f>IFERROR(IF(D1252="","",D1252)&amp;"","")</f>
        <v/>
      </c>
      <c r="L1252">
        <f>IFERROR(IF(I1252="","",I1252)&amp;"","")</f>
        <v/>
      </c>
      <c r="M1252">
        <f>IF(J1252="","",IFERROR(VALUE(SUBSTITUTE(SUBSTITUTE(IF(E1252="","",E1252)&amp;"","$",""),",","")),0))</f>
        <v/>
      </c>
      <c r="N1252" s="11">
        <f>IF(J1252="","",IFERROR(VALUE(SUBSTITUTE(SUBSTITUTE(IF(F1252="","",F1252)&amp;"","$",""),",","")),0))</f>
        <v/>
      </c>
      <c r="O1252" s="11">
        <f>IF(J1252="","",M1252*N1252)</f>
        <v/>
      </c>
      <c r="P1252">
        <f>IF(J1252="","",IF(L1252="",1,COUNTIF($L$2:$L$1501,L1252)))</f>
        <v/>
      </c>
      <c r="Q1252" s="11">
        <f>IF(J1252="","",IFERROR(VALUE(SUBSTITUTE(SUBSTITUTE(IF(G1252="","",G1252)&amp;"","$",""),",","")),0)/IF("No"="Yes",P1252,1))</f>
        <v/>
      </c>
      <c r="R1252" s="11">
        <f>IF(J1252="","",IFERROR(VALUE(SUBSTITUTE(SUBSTITUTE(IF(H1252="","",H1252)&amp;"","$",""),",","")),0)/IF("No"="Yes",P1252,1))</f>
        <v/>
      </c>
      <c r="S1252" s="11">
        <f>IF(J1252="","",O1252+Q1252-R1252)</f>
        <v/>
      </c>
      <c r="T1252">
        <f>IF(J1252="","",IFERROR(IF(K1252="",NA(),MATCH(K1252,Products!$B$5:$B$204,0)),IFERROR(MATCH(J1252,Products!$A$5:$A$204,0),"")))</f>
        <v/>
      </c>
      <c r="U1252">
        <f>IF(J1252="","",IF(T1252="","⚠ not in Products",INDEX(Products!$A$5:$A$204,T1252)))</f>
        <v/>
      </c>
      <c r="V1252" s="11">
        <f>IF(J1252="","",S1252*(IFERROR(INDEX(Settings!$B$5:$B$9,MATCH($B1252,Settings!$A$5:$A$9,0)),0)+IFERROR(INDEX(Settings!$E$5:$E$9,MATCH($B1252,Settings!$A$5:$A$9,0)),0)+IFERROR(INDEX(Settings!$G$5:$G$9,MATCH($B1252,Settings!$A$5:$A$9,0)),0))+(IFERROR(INDEX(Settings!$C$5:$C$9,MATCH($B1252,Settings!$A$5:$A$9,0)),0)+IFERROR(INDEX(Settings!$F$5:$F$9,MATCH($B1252,Settings!$A$5:$A$9,0)),0))/P1252+IFERROR(INDEX(Settings!$D$5:$D$9,MATCH($B1252,Settings!$A$5:$A$9,0)),0)*M1252)</f>
        <v/>
      </c>
      <c r="W1252" s="11">
        <f>IF(J1252="","",IF(T1252="",0,M1252*INDEX(Products!$I$5:$I$204,T1252)))</f>
        <v/>
      </c>
      <c r="X1252" s="11">
        <f>IF(J1252="","",IF(T1252="",0,S1252*INDEX(Products!$H$5:$H$204,T1252)))</f>
        <v/>
      </c>
      <c r="Y1252" s="11">
        <f>IF(J1252="","",S1252-V1252-W1252-X1252)</f>
        <v/>
      </c>
    </row>
    <row r="1253">
      <c r="A1253" s="19" t="n"/>
      <c r="B1253" s="19" t="n"/>
      <c r="C1253" s="19" t="n"/>
      <c r="D1253" s="19" t="n"/>
      <c r="E1253" s="19" t="n"/>
      <c r="F1253" s="20" t="n"/>
      <c r="G1253" s="20" t="n"/>
      <c r="H1253" s="20" t="n"/>
      <c r="I1253" s="19" t="n"/>
      <c r="J1253">
        <f>IFERROR(IF(C1253="","",C1253)&amp;"","")</f>
        <v/>
      </c>
      <c r="K1253">
        <f>IFERROR(IF(D1253="","",D1253)&amp;"","")</f>
        <v/>
      </c>
      <c r="L1253">
        <f>IFERROR(IF(I1253="","",I1253)&amp;"","")</f>
        <v/>
      </c>
      <c r="M1253">
        <f>IF(J1253="","",IFERROR(VALUE(SUBSTITUTE(SUBSTITUTE(IF(E1253="","",E1253)&amp;"","$",""),",","")),0))</f>
        <v/>
      </c>
      <c r="N1253" s="11">
        <f>IF(J1253="","",IFERROR(VALUE(SUBSTITUTE(SUBSTITUTE(IF(F1253="","",F1253)&amp;"","$",""),",","")),0))</f>
        <v/>
      </c>
      <c r="O1253" s="11">
        <f>IF(J1253="","",M1253*N1253)</f>
        <v/>
      </c>
      <c r="P1253">
        <f>IF(J1253="","",IF(L1253="",1,COUNTIF($L$2:$L$1501,L1253)))</f>
        <v/>
      </c>
      <c r="Q1253" s="11">
        <f>IF(J1253="","",IFERROR(VALUE(SUBSTITUTE(SUBSTITUTE(IF(G1253="","",G1253)&amp;"","$",""),",","")),0)/IF("No"="Yes",P1253,1))</f>
        <v/>
      </c>
      <c r="R1253" s="11">
        <f>IF(J1253="","",IFERROR(VALUE(SUBSTITUTE(SUBSTITUTE(IF(H1253="","",H1253)&amp;"","$",""),",","")),0)/IF("No"="Yes",P1253,1))</f>
        <v/>
      </c>
      <c r="S1253" s="11">
        <f>IF(J1253="","",O1253+Q1253-R1253)</f>
        <v/>
      </c>
      <c r="T1253">
        <f>IF(J1253="","",IFERROR(IF(K1253="",NA(),MATCH(K1253,Products!$B$5:$B$204,0)),IFERROR(MATCH(J1253,Products!$A$5:$A$204,0),"")))</f>
        <v/>
      </c>
      <c r="U1253">
        <f>IF(J1253="","",IF(T1253="","⚠ not in Products",INDEX(Products!$A$5:$A$204,T1253)))</f>
        <v/>
      </c>
      <c r="V1253" s="11">
        <f>IF(J1253="","",S1253*(IFERROR(INDEX(Settings!$B$5:$B$9,MATCH($B1253,Settings!$A$5:$A$9,0)),0)+IFERROR(INDEX(Settings!$E$5:$E$9,MATCH($B1253,Settings!$A$5:$A$9,0)),0)+IFERROR(INDEX(Settings!$G$5:$G$9,MATCH($B1253,Settings!$A$5:$A$9,0)),0))+(IFERROR(INDEX(Settings!$C$5:$C$9,MATCH($B1253,Settings!$A$5:$A$9,0)),0)+IFERROR(INDEX(Settings!$F$5:$F$9,MATCH($B1253,Settings!$A$5:$A$9,0)),0))/P1253+IFERROR(INDEX(Settings!$D$5:$D$9,MATCH($B1253,Settings!$A$5:$A$9,0)),0)*M1253)</f>
        <v/>
      </c>
      <c r="W1253" s="11">
        <f>IF(J1253="","",IF(T1253="",0,M1253*INDEX(Products!$I$5:$I$204,T1253)))</f>
        <v/>
      </c>
      <c r="X1253" s="11">
        <f>IF(J1253="","",IF(T1253="",0,S1253*INDEX(Products!$H$5:$H$204,T1253)))</f>
        <v/>
      </c>
      <c r="Y1253" s="11">
        <f>IF(J1253="","",S1253-V1253-W1253-X1253)</f>
        <v/>
      </c>
    </row>
    <row r="1254">
      <c r="A1254" s="19" t="n"/>
      <c r="B1254" s="19" t="n"/>
      <c r="C1254" s="19" t="n"/>
      <c r="D1254" s="19" t="n"/>
      <c r="E1254" s="19" t="n"/>
      <c r="F1254" s="20" t="n"/>
      <c r="G1254" s="20" t="n"/>
      <c r="H1254" s="20" t="n"/>
      <c r="I1254" s="19" t="n"/>
      <c r="J1254">
        <f>IFERROR(IF(C1254="","",C1254)&amp;"","")</f>
        <v/>
      </c>
      <c r="K1254">
        <f>IFERROR(IF(D1254="","",D1254)&amp;"","")</f>
        <v/>
      </c>
      <c r="L1254">
        <f>IFERROR(IF(I1254="","",I1254)&amp;"","")</f>
        <v/>
      </c>
      <c r="M1254">
        <f>IF(J1254="","",IFERROR(VALUE(SUBSTITUTE(SUBSTITUTE(IF(E1254="","",E1254)&amp;"","$",""),",","")),0))</f>
        <v/>
      </c>
      <c r="N1254" s="11">
        <f>IF(J1254="","",IFERROR(VALUE(SUBSTITUTE(SUBSTITUTE(IF(F1254="","",F1254)&amp;"","$",""),",","")),0))</f>
        <v/>
      </c>
      <c r="O1254" s="11">
        <f>IF(J1254="","",M1254*N1254)</f>
        <v/>
      </c>
      <c r="P1254">
        <f>IF(J1254="","",IF(L1254="",1,COUNTIF($L$2:$L$1501,L1254)))</f>
        <v/>
      </c>
      <c r="Q1254" s="11">
        <f>IF(J1254="","",IFERROR(VALUE(SUBSTITUTE(SUBSTITUTE(IF(G1254="","",G1254)&amp;"","$",""),",","")),0)/IF("No"="Yes",P1254,1))</f>
        <v/>
      </c>
      <c r="R1254" s="11">
        <f>IF(J1254="","",IFERROR(VALUE(SUBSTITUTE(SUBSTITUTE(IF(H1254="","",H1254)&amp;"","$",""),",","")),0)/IF("No"="Yes",P1254,1))</f>
        <v/>
      </c>
      <c r="S1254" s="11">
        <f>IF(J1254="","",O1254+Q1254-R1254)</f>
        <v/>
      </c>
      <c r="T1254">
        <f>IF(J1254="","",IFERROR(IF(K1254="",NA(),MATCH(K1254,Products!$B$5:$B$204,0)),IFERROR(MATCH(J1254,Products!$A$5:$A$204,0),"")))</f>
        <v/>
      </c>
      <c r="U1254">
        <f>IF(J1254="","",IF(T1254="","⚠ not in Products",INDEX(Products!$A$5:$A$204,T1254)))</f>
        <v/>
      </c>
      <c r="V1254" s="11">
        <f>IF(J1254="","",S1254*(IFERROR(INDEX(Settings!$B$5:$B$9,MATCH($B1254,Settings!$A$5:$A$9,0)),0)+IFERROR(INDEX(Settings!$E$5:$E$9,MATCH($B1254,Settings!$A$5:$A$9,0)),0)+IFERROR(INDEX(Settings!$G$5:$G$9,MATCH($B1254,Settings!$A$5:$A$9,0)),0))+(IFERROR(INDEX(Settings!$C$5:$C$9,MATCH($B1254,Settings!$A$5:$A$9,0)),0)+IFERROR(INDEX(Settings!$F$5:$F$9,MATCH($B1254,Settings!$A$5:$A$9,0)),0))/P1254+IFERROR(INDEX(Settings!$D$5:$D$9,MATCH($B1254,Settings!$A$5:$A$9,0)),0)*M1254)</f>
        <v/>
      </c>
      <c r="W1254" s="11">
        <f>IF(J1254="","",IF(T1254="",0,M1254*INDEX(Products!$I$5:$I$204,T1254)))</f>
        <v/>
      </c>
      <c r="X1254" s="11">
        <f>IF(J1254="","",IF(T1254="",0,S1254*INDEX(Products!$H$5:$H$204,T1254)))</f>
        <v/>
      </c>
      <c r="Y1254" s="11">
        <f>IF(J1254="","",S1254-V1254-W1254-X1254)</f>
        <v/>
      </c>
    </row>
    <row r="1255">
      <c r="A1255" s="19" t="n"/>
      <c r="B1255" s="19" t="n"/>
      <c r="C1255" s="19" t="n"/>
      <c r="D1255" s="19" t="n"/>
      <c r="E1255" s="19" t="n"/>
      <c r="F1255" s="20" t="n"/>
      <c r="G1255" s="20" t="n"/>
      <c r="H1255" s="20" t="n"/>
      <c r="I1255" s="19" t="n"/>
      <c r="J1255">
        <f>IFERROR(IF(C1255="","",C1255)&amp;"","")</f>
        <v/>
      </c>
      <c r="K1255">
        <f>IFERROR(IF(D1255="","",D1255)&amp;"","")</f>
        <v/>
      </c>
      <c r="L1255">
        <f>IFERROR(IF(I1255="","",I1255)&amp;"","")</f>
        <v/>
      </c>
      <c r="M1255">
        <f>IF(J1255="","",IFERROR(VALUE(SUBSTITUTE(SUBSTITUTE(IF(E1255="","",E1255)&amp;"","$",""),",","")),0))</f>
        <v/>
      </c>
      <c r="N1255" s="11">
        <f>IF(J1255="","",IFERROR(VALUE(SUBSTITUTE(SUBSTITUTE(IF(F1255="","",F1255)&amp;"","$",""),",","")),0))</f>
        <v/>
      </c>
      <c r="O1255" s="11">
        <f>IF(J1255="","",M1255*N1255)</f>
        <v/>
      </c>
      <c r="P1255">
        <f>IF(J1255="","",IF(L1255="",1,COUNTIF($L$2:$L$1501,L1255)))</f>
        <v/>
      </c>
      <c r="Q1255" s="11">
        <f>IF(J1255="","",IFERROR(VALUE(SUBSTITUTE(SUBSTITUTE(IF(G1255="","",G1255)&amp;"","$",""),",","")),0)/IF("No"="Yes",P1255,1))</f>
        <v/>
      </c>
      <c r="R1255" s="11">
        <f>IF(J1255="","",IFERROR(VALUE(SUBSTITUTE(SUBSTITUTE(IF(H1255="","",H1255)&amp;"","$",""),",","")),0)/IF("No"="Yes",P1255,1))</f>
        <v/>
      </c>
      <c r="S1255" s="11">
        <f>IF(J1255="","",O1255+Q1255-R1255)</f>
        <v/>
      </c>
      <c r="T1255">
        <f>IF(J1255="","",IFERROR(IF(K1255="",NA(),MATCH(K1255,Products!$B$5:$B$204,0)),IFERROR(MATCH(J1255,Products!$A$5:$A$204,0),"")))</f>
        <v/>
      </c>
      <c r="U1255">
        <f>IF(J1255="","",IF(T1255="","⚠ not in Products",INDEX(Products!$A$5:$A$204,T1255)))</f>
        <v/>
      </c>
      <c r="V1255" s="11">
        <f>IF(J1255="","",S1255*(IFERROR(INDEX(Settings!$B$5:$B$9,MATCH($B1255,Settings!$A$5:$A$9,0)),0)+IFERROR(INDEX(Settings!$E$5:$E$9,MATCH($B1255,Settings!$A$5:$A$9,0)),0)+IFERROR(INDEX(Settings!$G$5:$G$9,MATCH($B1255,Settings!$A$5:$A$9,0)),0))+(IFERROR(INDEX(Settings!$C$5:$C$9,MATCH($B1255,Settings!$A$5:$A$9,0)),0)+IFERROR(INDEX(Settings!$F$5:$F$9,MATCH($B1255,Settings!$A$5:$A$9,0)),0))/P1255+IFERROR(INDEX(Settings!$D$5:$D$9,MATCH($B1255,Settings!$A$5:$A$9,0)),0)*M1255)</f>
        <v/>
      </c>
      <c r="W1255" s="11">
        <f>IF(J1255="","",IF(T1255="",0,M1255*INDEX(Products!$I$5:$I$204,T1255)))</f>
        <v/>
      </c>
      <c r="X1255" s="11">
        <f>IF(J1255="","",IF(T1255="",0,S1255*INDEX(Products!$H$5:$H$204,T1255)))</f>
        <v/>
      </c>
      <c r="Y1255" s="11">
        <f>IF(J1255="","",S1255-V1255-W1255-X1255)</f>
        <v/>
      </c>
    </row>
    <row r="1256">
      <c r="A1256" s="19" t="n"/>
      <c r="B1256" s="19" t="n"/>
      <c r="C1256" s="19" t="n"/>
      <c r="D1256" s="19" t="n"/>
      <c r="E1256" s="19" t="n"/>
      <c r="F1256" s="20" t="n"/>
      <c r="G1256" s="20" t="n"/>
      <c r="H1256" s="20" t="n"/>
      <c r="I1256" s="19" t="n"/>
      <c r="J1256">
        <f>IFERROR(IF(C1256="","",C1256)&amp;"","")</f>
        <v/>
      </c>
      <c r="K1256">
        <f>IFERROR(IF(D1256="","",D1256)&amp;"","")</f>
        <v/>
      </c>
      <c r="L1256">
        <f>IFERROR(IF(I1256="","",I1256)&amp;"","")</f>
        <v/>
      </c>
      <c r="M1256">
        <f>IF(J1256="","",IFERROR(VALUE(SUBSTITUTE(SUBSTITUTE(IF(E1256="","",E1256)&amp;"","$",""),",","")),0))</f>
        <v/>
      </c>
      <c r="N1256" s="11">
        <f>IF(J1256="","",IFERROR(VALUE(SUBSTITUTE(SUBSTITUTE(IF(F1256="","",F1256)&amp;"","$",""),",","")),0))</f>
        <v/>
      </c>
      <c r="O1256" s="11">
        <f>IF(J1256="","",M1256*N1256)</f>
        <v/>
      </c>
      <c r="P1256">
        <f>IF(J1256="","",IF(L1256="",1,COUNTIF($L$2:$L$1501,L1256)))</f>
        <v/>
      </c>
      <c r="Q1256" s="11">
        <f>IF(J1256="","",IFERROR(VALUE(SUBSTITUTE(SUBSTITUTE(IF(G1256="","",G1256)&amp;"","$",""),",","")),0)/IF("No"="Yes",P1256,1))</f>
        <v/>
      </c>
      <c r="R1256" s="11">
        <f>IF(J1256="","",IFERROR(VALUE(SUBSTITUTE(SUBSTITUTE(IF(H1256="","",H1256)&amp;"","$",""),",","")),0)/IF("No"="Yes",P1256,1))</f>
        <v/>
      </c>
      <c r="S1256" s="11">
        <f>IF(J1256="","",O1256+Q1256-R1256)</f>
        <v/>
      </c>
      <c r="T1256">
        <f>IF(J1256="","",IFERROR(IF(K1256="",NA(),MATCH(K1256,Products!$B$5:$B$204,0)),IFERROR(MATCH(J1256,Products!$A$5:$A$204,0),"")))</f>
        <v/>
      </c>
      <c r="U1256">
        <f>IF(J1256="","",IF(T1256="","⚠ not in Products",INDEX(Products!$A$5:$A$204,T1256)))</f>
        <v/>
      </c>
      <c r="V1256" s="11">
        <f>IF(J1256="","",S1256*(IFERROR(INDEX(Settings!$B$5:$B$9,MATCH($B1256,Settings!$A$5:$A$9,0)),0)+IFERROR(INDEX(Settings!$E$5:$E$9,MATCH($B1256,Settings!$A$5:$A$9,0)),0)+IFERROR(INDEX(Settings!$G$5:$G$9,MATCH($B1256,Settings!$A$5:$A$9,0)),0))+(IFERROR(INDEX(Settings!$C$5:$C$9,MATCH($B1256,Settings!$A$5:$A$9,0)),0)+IFERROR(INDEX(Settings!$F$5:$F$9,MATCH($B1256,Settings!$A$5:$A$9,0)),0))/P1256+IFERROR(INDEX(Settings!$D$5:$D$9,MATCH($B1256,Settings!$A$5:$A$9,0)),0)*M1256)</f>
        <v/>
      </c>
      <c r="W1256" s="11">
        <f>IF(J1256="","",IF(T1256="",0,M1256*INDEX(Products!$I$5:$I$204,T1256)))</f>
        <v/>
      </c>
      <c r="X1256" s="11">
        <f>IF(J1256="","",IF(T1256="",0,S1256*INDEX(Products!$H$5:$H$204,T1256)))</f>
        <v/>
      </c>
      <c r="Y1256" s="11">
        <f>IF(J1256="","",S1256-V1256-W1256-X1256)</f>
        <v/>
      </c>
    </row>
    <row r="1257">
      <c r="A1257" s="19" t="n"/>
      <c r="B1257" s="19" t="n"/>
      <c r="C1257" s="19" t="n"/>
      <c r="D1257" s="19" t="n"/>
      <c r="E1257" s="19" t="n"/>
      <c r="F1257" s="20" t="n"/>
      <c r="G1257" s="20" t="n"/>
      <c r="H1257" s="20" t="n"/>
      <c r="I1257" s="19" t="n"/>
      <c r="J1257">
        <f>IFERROR(IF(C1257="","",C1257)&amp;"","")</f>
        <v/>
      </c>
      <c r="K1257">
        <f>IFERROR(IF(D1257="","",D1257)&amp;"","")</f>
        <v/>
      </c>
      <c r="L1257">
        <f>IFERROR(IF(I1257="","",I1257)&amp;"","")</f>
        <v/>
      </c>
      <c r="M1257">
        <f>IF(J1257="","",IFERROR(VALUE(SUBSTITUTE(SUBSTITUTE(IF(E1257="","",E1257)&amp;"","$",""),",","")),0))</f>
        <v/>
      </c>
      <c r="N1257" s="11">
        <f>IF(J1257="","",IFERROR(VALUE(SUBSTITUTE(SUBSTITUTE(IF(F1257="","",F1257)&amp;"","$",""),",","")),0))</f>
        <v/>
      </c>
      <c r="O1257" s="11">
        <f>IF(J1257="","",M1257*N1257)</f>
        <v/>
      </c>
      <c r="P1257">
        <f>IF(J1257="","",IF(L1257="",1,COUNTIF($L$2:$L$1501,L1257)))</f>
        <v/>
      </c>
      <c r="Q1257" s="11">
        <f>IF(J1257="","",IFERROR(VALUE(SUBSTITUTE(SUBSTITUTE(IF(G1257="","",G1257)&amp;"","$",""),",","")),0)/IF("No"="Yes",P1257,1))</f>
        <v/>
      </c>
      <c r="R1257" s="11">
        <f>IF(J1257="","",IFERROR(VALUE(SUBSTITUTE(SUBSTITUTE(IF(H1257="","",H1257)&amp;"","$",""),",","")),0)/IF("No"="Yes",P1257,1))</f>
        <v/>
      </c>
      <c r="S1257" s="11">
        <f>IF(J1257="","",O1257+Q1257-R1257)</f>
        <v/>
      </c>
      <c r="T1257">
        <f>IF(J1257="","",IFERROR(IF(K1257="",NA(),MATCH(K1257,Products!$B$5:$B$204,0)),IFERROR(MATCH(J1257,Products!$A$5:$A$204,0),"")))</f>
        <v/>
      </c>
      <c r="U1257">
        <f>IF(J1257="","",IF(T1257="","⚠ not in Products",INDEX(Products!$A$5:$A$204,T1257)))</f>
        <v/>
      </c>
      <c r="V1257" s="11">
        <f>IF(J1257="","",S1257*(IFERROR(INDEX(Settings!$B$5:$B$9,MATCH($B1257,Settings!$A$5:$A$9,0)),0)+IFERROR(INDEX(Settings!$E$5:$E$9,MATCH($B1257,Settings!$A$5:$A$9,0)),0)+IFERROR(INDEX(Settings!$G$5:$G$9,MATCH($B1257,Settings!$A$5:$A$9,0)),0))+(IFERROR(INDEX(Settings!$C$5:$C$9,MATCH($B1257,Settings!$A$5:$A$9,0)),0)+IFERROR(INDEX(Settings!$F$5:$F$9,MATCH($B1257,Settings!$A$5:$A$9,0)),0))/P1257+IFERROR(INDEX(Settings!$D$5:$D$9,MATCH($B1257,Settings!$A$5:$A$9,0)),0)*M1257)</f>
        <v/>
      </c>
      <c r="W1257" s="11">
        <f>IF(J1257="","",IF(T1257="",0,M1257*INDEX(Products!$I$5:$I$204,T1257)))</f>
        <v/>
      </c>
      <c r="X1257" s="11">
        <f>IF(J1257="","",IF(T1257="",0,S1257*INDEX(Products!$H$5:$H$204,T1257)))</f>
        <v/>
      </c>
      <c r="Y1257" s="11">
        <f>IF(J1257="","",S1257-V1257-W1257-X1257)</f>
        <v/>
      </c>
    </row>
    <row r="1258">
      <c r="A1258" s="19" t="n"/>
      <c r="B1258" s="19" t="n"/>
      <c r="C1258" s="19" t="n"/>
      <c r="D1258" s="19" t="n"/>
      <c r="E1258" s="19" t="n"/>
      <c r="F1258" s="20" t="n"/>
      <c r="G1258" s="20" t="n"/>
      <c r="H1258" s="20" t="n"/>
      <c r="I1258" s="19" t="n"/>
      <c r="J1258">
        <f>IFERROR(IF(C1258="","",C1258)&amp;"","")</f>
        <v/>
      </c>
      <c r="K1258">
        <f>IFERROR(IF(D1258="","",D1258)&amp;"","")</f>
        <v/>
      </c>
      <c r="L1258">
        <f>IFERROR(IF(I1258="","",I1258)&amp;"","")</f>
        <v/>
      </c>
      <c r="M1258">
        <f>IF(J1258="","",IFERROR(VALUE(SUBSTITUTE(SUBSTITUTE(IF(E1258="","",E1258)&amp;"","$",""),",","")),0))</f>
        <v/>
      </c>
      <c r="N1258" s="11">
        <f>IF(J1258="","",IFERROR(VALUE(SUBSTITUTE(SUBSTITUTE(IF(F1258="","",F1258)&amp;"","$",""),",","")),0))</f>
        <v/>
      </c>
      <c r="O1258" s="11">
        <f>IF(J1258="","",M1258*N1258)</f>
        <v/>
      </c>
      <c r="P1258">
        <f>IF(J1258="","",IF(L1258="",1,COUNTIF($L$2:$L$1501,L1258)))</f>
        <v/>
      </c>
      <c r="Q1258" s="11">
        <f>IF(J1258="","",IFERROR(VALUE(SUBSTITUTE(SUBSTITUTE(IF(G1258="","",G1258)&amp;"","$",""),",","")),0)/IF("No"="Yes",P1258,1))</f>
        <v/>
      </c>
      <c r="R1258" s="11">
        <f>IF(J1258="","",IFERROR(VALUE(SUBSTITUTE(SUBSTITUTE(IF(H1258="","",H1258)&amp;"","$",""),",","")),0)/IF("No"="Yes",P1258,1))</f>
        <v/>
      </c>
      <c r="S1258" s="11">
        <f>IF(J1258="","",O1258+Q1258-R1258)</f>
        <v/>
      </c>
      <c r="T1258">
        <f>IF(J1258="","",IFERROR(IF(K1258="",NA(),MATCH(K1258,Products!$B$5:$B$204,0)),IFERROR(MATCH(J1258,Products!$A$5:$A$204,0),"")))</f>
        <v/>
      </c>
      <c r="U1258">
        <f>IF(J1258="","",IF(T1258="","⚠ not in Products",INDEX(Products!$A$5:$A$204,T1258)))</f>
        <v/>
      </c>
      <c r="V1258" s="11">
        <f>IF(J1258="","",S1258*(IFERROR(INDEX(Settings!$B$5:$B$9,MATCH($B1258,Settings!$A$5:$A$9,0)),0)+IFERROR(INDEX(Settings!$E$5:$E$9,MATCH($B1258,Settings!$A$5:$A$9,0)),0)+IFERROR(INDEX(Settings!$G$5:$G$9,MATCH($B1258,Settings!$A$5:$A$9,0)),0))+(IFERROR(INDEX(Settings!$C$5:$C$9,MATCH($B1258,Settings!$A$5:$A$9,0)),0)+IFERROR(INDEX(Settings!$F$5:$F$9,MATCH($B1258,Settings!$A$5:$A$9,0)),0))/P1258+IFERROR(INDEX(Settings!$D$5:$D$9,MATCH($B1258,Settings!$A$5:$A$9,0)),0)*M1258)</f>
        <v/>
      </c>
      <c r="W1258" s="11">
        <f>IF(J1258="","",IF(T1258="",0,M1258*INDEX(Products!$I$5:$I$204,T1258)))</f>
        <v/>
      </c>
      <c r="X1258" s="11">
        <f>IF(J1258="","",IF(T1258="",0,S1258*INDEX(Products!$H$5:$H$204,T1258)))</f>
        <v/>
      </c>
      <c r="Y1258" s="11">
        <f>IF(J1258="","",S1258-V1258-W1258-X1258)</f>
        <v/>
      </c>
    </row>
    <row r="1259">
      <c r="A1259" s="19" t="n"/>
      <c r="B1259" s="19" t="n"/>
      <c r="C1259" s="19" t="n"/>
      <c r="D1259" s="19" t="n"/>
      <c r="E1259" s="19" t="n"/>
      <c r="F1259" s="20" t="n"/>
      <c r="G1259" s="20" t="n"/>
      <c r="H1259" s="20" t="n"/>
      <c r="I1259" s="19" t="n"/>
      <c r="J1259">
        <f>IFERROR(IF(C1259="","",C1259)&amp;"","")</f>
        <v/>
      </c>
      <c r="K1259">
        <f>IFERROR(IF(D1259="","",D1259)&amp;"","")</f>
        <v/>
      </c>
      <c r="L1259">
        <f>IFERROR(IF(I1259="","",I1259)&amp;"","")</f>
        <v/>
      </c>
      <c r="M1259">
        <f>IF(J1259="","",IFERROR(VALUE(SUBSTITUTE(SUBSTITUTE(IF(E1259="","",E1259)&amp;"","$",""),",","")),0))</f>
        <v/>
      </c>
      <c r="N1259" s="11">
        <f>IF(J1259="","",IFERROR(VALUE(SUBSTITUTE(SUBSTITUTE(IF(F1259="","",F1259)&amp;"","$",""),",","")),0))</f>
        <v/>
      </c>
      <c r="O1259" s="11">
        <f>IF(J1259="","",M1259*N1259)</f>
        <v/>
      </c>
      <c r="P1259">
        <f>IF(J1259="","",IF(L1259="",1,COUNTIF($L$2:$L$1501,L1259)))</f>
        <v/>
      </c>
      <c r="Q1259" s="11">
        <f>IF(J1259="","",IFERROR(VALUE(SUBSTITUTE(SUBSTITUTE(IF(G1259="","",G1259)&amp;"","$",""),",","")),0)/IF("No"="Yes",P1259,1))</f>
        <v/>
      </c>
      <c r="R1259" s="11">
        <f>IF(J1259="","",IFERROR(VALUE(SUBSTITUTE(SUBSTITUTE(IF(H1259="","",H1259)&amp;"","$",""),",","")),0)/IF("No"="Yes",P1259,1))</f>
        <v/>
      </c>
      <c r="S1259" s="11">
        <f>IF(J1259="","",O1259+Q1259-R1259)</f>
        <v/>
      </c>
      <c r="T1259">
        <f>IF(J1259="","",IFERROR(IF(K1259="",NA(),MATCH(K1259,Products!$B$5:$B$204,0)),IFERROR(MATCH(J1259,Products!$A$5:$A$204,0),"")))</f>
        <v/>
      </c>
      <c r="U1259">
        <f>IF(J1259="","",IF(T1259="","⚠ not in Products",INDEX(Products!$A$5:$A$204,T1259)))</f>
        <v/>
      </c>
      <c r="V1259" s="11">
        <f>IF(J1259="","",S1259*(IFERROR(INDEX(Settings!$B$5:$B$9,MATCH($B1259,Settings!$A$5:$A$9,0)),0)+IFERROR(INDEX(Settings!$E$5:$E$9,MATCH($B1259,Settings!$A$5:$A$9,0)),0)+IFERROR(INDEX(Settings!$G$5:$G$9,MATCH($B1259,Settings!$A$5:$A$9,0)),0))+(IFERROR(INDEX(Settings!$C$5:$C$9,MATCH($B1259,Settings!$A$5:$A$9,0)),0)+IFERROR(INDEX(Settings!$F$5:$F$9,MATCH($B1259,Settings!$A$5:$A$9,0)),0))/P1259+IFERROR(INDEX(Settings!$D$5:$D$9,MATCH($B1259,Settings!$A$5:$A$9,0)),0)*M1259)</f>
        <v/>
      </c>
      <c r="W1259" s="11">
        <f>IF(J1259="","",IF(T1259="",0,M1259*INDEX(Products!$I$5:$I$204,T1259)))</f>
        <v/>
      </c>
      <c r="X1259" s="11">
        <f>IF(J1259="","",IF(T1259="",0,S1259*INDEX(Products!$H$5:$H$204,T1259)))</f>
        <v/>
      </c>
      <c r="Y1259" s="11">
        <f>IF(J1259="","",S1259-V1259-W1259-X1259)</f>
        <v/>
      </c>
    </row>
    <row r="1260">
      <c r="A1260" s="19" t="n"/>
      <c r="B1260" s="19" t="n"/>
      <c r="C1260" s="19" t="n"/>
      <c r="D1260" s="19" t="n"/>
      <c r="E1260" s="19" t="n"/>
      <c r="F1260" s="20" t="n"/>
      <c r="G1260" s="20" t="n"/>
      <c r="H1260" s="20" t="n"/>
      <c r="I1260" s="19" t="n"/>
      <c r="J1260">
        <f>IFERROR(IF(C1260="","",C1260)&amp;"","")</f>
        <v/>
      </c>
      <c r="K1260">
        <f>IFERROR(IF(D1260="","",D1260)&amp;"","")</f>
        <v/>
      </c>
      <c r="L1260">
        <f>IFERROR(IF(I1260="","",I1260)&amp;"","")</f>
        <v/>
      </c>
      <c r="M1260">
        <f>IF(J1260="","",IFERROR(VALUE(SUBSTITUTE(SUBSTITUTE(IF(E1260="","",E1260)&amp;"","$",""),",","")),0))</f>
        <v/>
      </c>
      <c r="N1260" s="11">
        <f>IF(J1260="","",IFERROR(VALUE(SUBSTITUTE(SUBSTITUTE(IF(F1260="","",F1260)&amp;"","$",""),",","")),0))</f>
        <v/>
      </c>
      <c r="O1260" s="11">
        <f>IF(J1260="","",M1260*N1260)</f>
        <v/>
      </c>
      <c r="P1260">
        <f>IF(J1260="","",IF(L1260="",1,COUNTIF($L$2:$L$1501,L1260)))</f>
        <v/>
      </c>
      <c r="Q1260" s="11">
        <f>IF(J1260="","",IFERROR(VALUE(SUBSTITUTE(SUBSTITUTE(IF(G1260="","",G1260)&amp;"","$",""),",","")),0)/IF("No"="Yes",P1260,1))</f>
        <v/>
      </c>
      <c r="R1260" s="11">
        <f>IF(J1260="","",IFERROR(VALUE(SUBSTITUTE(SUBSTITUTE(IF(H1260="","",H1260)&amp;"","$",""),",","")),0)/IF("No"="Yes",P1260,1))</f>
        <v/>
      </c>
      <c r="S1260" s="11">
        <f>IF(J1260="","",O1260+Q1260-R1260)</f>
        <v/>
      </c>
      <c r="T1260">
        <f>IF(J1260="","",IFERROR(IF(K1260="",NA(),MATCH(K1260,Products!$B$5:$B$204,0)),IFERROR(MATCH(J1260,Products!$A$5:$A$204,0),"")))</f>
        <v/>
      </c>
      <c r="U1260">
        <f>IF(J1260="","",IF(T1260="","⚠ not in Products",INDEX(Products!$A$5:$A$204,T1260)))</f>
        <v/>
      </c>
      <c r="V1260" s="11">
        <f>IF(J1260="","",S1260*(IFERROR(INDEX(Settings!$B$5:$B$9,MATCH($B1260,Settings!$A$5:$A$9,0)),0)+IFERROR(INDEX(Settings!$E$5:$E$9,MATCH($B1260,Settings!$A$5:$A$9,0)),0)+IFERROR(INDEX(Settings!$G$5:$G$9,MATCH($B1260,Settings!$A$5:$A$9,0)),0))+(IFERROR(INDEX(Settings!$C$5:$C$9,MATCH($B1260,Settings!$A$5:$A$9,0)),0)+IFERROR(INDEX(Settings!$F$5:$F$9,MATCH($B1260,Settings!$A$5:$A$9,0)),0))/P1260+IFERROR(INDEX(Settings!$D$5:$D$9,MATCH($B1260,Settings!$A$5:$A$9,0)),0)*M1260)</f>
        <v/>
      </c>
      <c r="W1260" s="11">
        <f>IF(J1260="","",IF(T1260="",0,M1260*INDEX(Products!$I$5:$I$204,T1260)))</f>
        <v/>
      </c>
      <c r="X1260" s="11">
        <f>IF(J1260="","",IF(T1260="",0,S1260*INDEX(Products!$H$5:$H$204,T1260)))</f>
        <v/>
      </c>
      <c r="Y1260" s="11">
        <f>IF(J1260="","",S1260-V1260-W1260-X1260)</f>
        <v/>
      </c>
    </row>
    <row r="1261">
      <c r="A1261" s="19" t="n"/>
      <c r="B1261" s="19" t="n"/>
      <c r="C1261" s="19" t="n"/>
      <c r="D1261" s="19" t="n"/>
      <c r="E1261" s="19" t="n"/>
      <c r="F1261" s="20" t="n"/>
      <c r="G1261" s="20" t="n"/>
      <c r="H1261" s="20" t="n"/>
      <c r="I1261" s="19" t="n"/>
      <c r="J1261">
        <f>IFERROR(IF(C1261="","",C1261)&amp;"","")</f>
        <v/>
      </c>
      <c r="K1261">
        <f>IFERROR(IF(D1261="","",D1261)&amp;"","")</f>
        <v/>
      </c>
      <c r="L1261">
        <f>IFERROR(IF(I1261="","",I1261)&amp;"","")</f>
        <v/>
      </c>
      <c r="M1261">
        <f>IF(J1261="","",IFERROR(VALUE(SUBSTITUTE(SUBSTITUTE(IF(E1261="","",E1261)&amp;"","$",""),",","")),0))</f>
        <v/>
      </c>
      <c r="N1261" s="11">
        <f>IF(J1261="","",IFERROR(VALUE(SUBSTITUTE(SUBSTITUTE(IF(F1261="","",F1261)&amp;"","$",""),",","")),0))</f>
        <v/>
      </c>
      <c r="O1261" s="11">
        <f>IF(J1261="","",M1261*N1261)</f>
        <v/>
      </c>
      <c r="P1261">
        <f>IF(J1261="","",IF(L1261="",1,COUNTIF($L$2:$L$1501,L1261)))</f>
        <v/>
      </c>
      <c r="Q1261" s="11">
        <f>IF(J1261="","",IFERROR(VALUE(SUBSTITUTE(SUBSTITUTE(IF(G1261="","",G1261)&amp;"","$",""),",","")),0)/IF("No"="Yes",P1261,1))</f>
        <v/>
      </c>
      <c r="R1261" s="11">
        <f>IF(J1261="","",IFERROR(VALUE(SUBSTITUTE(SUBSTITUTE(IF(H1261="","",H1261)&amp;"","$",""),",","")),0)/IF("No"="Yes",P1261,1))</f>
        <v/>
      </c>
      <c r="S1261" s="11">
        <f>IF(J1261="","",O1261+Q1261-R1261)</f>
        <v/>
      </c>
      <c r="T1261">
        <f>IF(J1261="","",IFERROR(IF(K1261="",NA(),MATCH(K1261,Products!$B$5:$B$204,0)),IFERROR(MATCH(J1261,Products!$A$5:$A$204,0),"")))</f>
        <v/>
      </c>
      <c r="U1261">
        <f>IF(J1261="","",IF(T1261="","⚠ not in Products",INDEX(Products!$A$5:$A$204,T1261)))</f>
        <v/>
      </c>
      <c r="V1261" s="11">
        <f>IF(J1261="","",S1261*(IFERROR(INDEX(Settings!$B$5:$B$9,MATCH($B1261,Settings!$A$5:$A$9,0)),0)+IFERROR(INDEX(Settings!$E$5:$E$9,MATCH($B1261,Settings!$A$5:$A$9,0)),0)+IFERROR(INDEX(Settings!$G$5:$G$9,MATCH($B1261,Settings!$A$5:$A$9,0)),0))+(IFERROR(INDEX(Settings!$C$5:$C$9,MATCH($B1261,Settings!$A$5:$A$9,0)),0)+IFERROR(INDEX(Settings!$F$5:$F$9,MATCH($B1261,Settings!$A$5:$A$9,0)),0))/P1261+IFERROR(INDEX(Settings!$D$5:$D$9,MATCH($B1261,Settings!$A$5:$A$9,0)),0)*M1261)</f>
        <v/>
      </c>
      <c r="W1261" s="11">
        <f>IF(J1261="","",IF(T1261="",0,M1261*INDEX(Products!$I$5:$I$204,T1261)))</f>
        <v/>
      </c>
      <c r="X1261" s="11">
        <f>IF(J1261="","",IF(T1261="",0,S1261*INDEX(Products!$H$5:$H$204,T1261)))</f>
        <v/>
      </c>
      <c r="Y1261" s="11">
        <f>IF(J1261="","",S1261-V1261-W1261-X1261)</f>
        <v/>
      </c>
    </row>
    <row r="1262">
      <c r="A1262" s="19" t="n"/>
      <c r="B1262" s="19" t="n"/>
      <c r="C1262" s="19" t="n"/>
      <c r="D1262" s="19" t="n"/>
      <c r="E1262" s="19" t="n"/>
      <c r="F1262" s="20" t="n"/>
      <c r="G1262" s="20" t="n"/>
      <c r="H1262" s="20" t="n"/>
      <c r="I1262" s="19" t="n"/>
      <c r="J1262">
        <f>IFERROR(IF(C1262="","",C1262)&amp;"","")</f>
        <v/>
      </c>
      <c r="K1262">
        <f>IFERROR(IF(D1262="","",D1262)&amp;"","")</f>
        <v/>
      </c>
      <c r="L1262">
        <f>IFERROR(IF(I1262="","",I1262)&amp;"","")</f>
        <v/>
      </c>
      <c r="M1262">
        <f>IF(J1262="","",IFERROR(VALUE(SUBSTITUTE(SUBSTITUTE(IF(E1262="","",E1262)&amp;"","$",""),",","")),0))</f>
        <v/>
      </c>
      <c r="N1262" s="11">
        <f>IF(J1262="","",IFERROR(VALUE(SUBSTITUTE(SUBSTITUTE(IF(F1262="","",F1262)&amp;"","$",""),",","")),0))</f>
        <v/>
      </c>
      <c r="O1262" s="11">
        <f>IF(J1262="","",M1262*N1262)</f>
        <v/>
      </c>
      <c r="P1262">
        <f>IF(J1262="","",IF(L1262="",1,COUNTIF($L$2:$L$1501,L1262)))</f>
        <v/>
      </c>
      <c r="Q1262" s="11">
        <f>IF(J1262="","",IFERROR(VALUE(SUBSTITUTE(SUBSTITUTE(IF(G1262="","",G1262)&amp;"","$",""),",","")),0)/IF("No"="Yes",P1262,1))</f>
        <v/>
      </c>
      <c r="R1262" s="11">
        <f>IF(J1262="","",IFERROR(VALUE(SUBSTITUTE(SUBSTITUTE(IF(H1262="","",H1262)&amp;"","$",""),",","")),0)/IF("No"="Yes",P1262,1))</f>
        <v/>
      </c>
      <c r="S1262" s="11">
        <f>IF(J1262="","",O1262+Q1262-R1262)</f>
        <v/>
      </c>
      <c r="T1262">
        <f>IF(J1262="","",IFERROR(IF(K1262="",NA(),MATCH(K1262,Products!$B$5:$B$204,0)),IFERROR(MATCH(J1262,Products!$A$5:$A$204,0),"")))</f>
        <v/>
      </c>
      <c r="U1262">
        <f>IF(J1262="","",IF(T1262="","⚠ not in Products",INDEX(Products!$A$5:$A$204,T1262)))</f>
        <v/>
      </c>
      <c r="V1262" s="11">
        <f>IF(J1262="","",S1262*(IFERROR(INDEX(Settings!$B$5:$B$9,MATCH($B1262,Settings!$A$5:$A$9,0)),0)+IFERROR(INDEX(Settings!$E$5:$E$9,MATCH($B1262,Settings!$A$5:$A$9,0)),0)+IFERROR(INDEX(Settings!$G$5:$G$9,MATCH($B1262,Settings!$A$5:$A$9,0)),0))+(IFERROR(INDEX(Settings!$C$5:$C$9,MATCH($B1262,Settings!$A$5:$A$9,0)),0)+IFERROR(INDEX(Settings!$F$5:$F$9,MATCH($B1262,Settings!$A$5:$A$9,0)),0))/P1262+IFERROR(INDEX(Settings!$D$5:$D$9,MATCH($B1262,Settings!$A$5:$A$9,0)),0)*M1262)</f>
        <v/>
      </c>
      <c r="W1262" s="11">
        <f>IF(J1262="","",IF(T1262="",0,M1262*INDEX(Products!$I$5:$I$204,T1262)))</f>
        <v/>
      </c>
      <c r="X1262" s="11">
        <f>IF(J1262="","",IF(T1262="",0,S1262*INDEX(Products!$H$5:$H$204,T1262)))</f>
        <v/>
      </c>
      <c r="Y1262" s="11">
        <f>IF(J1262="","",S1262-V1262-W1262-X1262)</f>
        <v/>
      </c>
    </row>
    <row r="1263">
      <c r="A1263" s="19" t="n"/>
      <c r="B1263" s="19" t="n"/>
      <c r="C1263" s="19" t="n"/>
      <c r="D1263" s="19" t="n"/>
      <c r="E1263" s="19" t="n"/>
      <c r="F1263" s="20" t="n"/>
      <c r="G1263" s="20" t="n"/>
      <c r="H1263" s="20" t="n"/>
      <c r="I1263" s="19" t="n"/>
      <c r="J1263">
        <f>IFERROR(IF(C1263="","",C1263)&amp;"","")</f>
        <v/>
      </c>
      <c r="K1263">
        <f>IFERROR(IF(D1263="","",D1263)&amp;"","")</f>
        <v/>
      </c>
      <c r="L1263">
        <f>IFERROR(IF(I1263="","",I1263)&amp;"","")</f>
        <v/>
      </c>
      <c r="M1263">
        <f>IF(J1263="","",IFERROR(VALUE(SUBSTITUTE(SUBSTITUTE(IF(E1263="","",E1263)&amp;"","$",""),",","")),0))</f>
        <v/>
      </c>
      <c r="N1263" s="11">
        <f>IF(J1263="","",IFERROR(VALUE(SUBSTITUTE(SUBSTITUTE(IF(F1263="","",F1263)&amp;"","$",""),",","")),0))</f>
        <v/>
      </c>
      <c r="O1263" s="11">
        <f>IF(J1263="","",M1263*N1263)</f>
        <v/>
      </c>
      <c r="P1263">
        <f>IF(J1263="","",IF(L1263="",1,COUNTIF($L$2:$L$1501,L1263)))</f>
        <v/>
      </c>
      <c r="Q1263" s="11">
        <f>IF(J1263="","",IFERROR(VALUE(SUBSTITUTE(SUBSTITUTE(IF(G1263="","",G1263)&amp;"","$",""),",","")),0)/IF("No"="Yes",P1263,1))</f>
        <v/>
      </c>
      <c r="R1263" s="11">
        <f>IF(J1263="","",IFERROR(VALUE(SUBSTITUTE(SUBSTITUTE(IF(H1263="","",H1263)&amp;"","$",""),",","")),0)/IF("No"="Yes",P1263,1))</f>
        <v/>
      </c>
      <c r="S1263" s="11">
        <f>IF(J1263="","",O1263+Q1263-R1263)</f>
        <v/>
      </c>
      <c r="T1263">
        <f>IF(J1263="","",IFERROR(IF(K1263="",NA(),MATCH(K1263,Products!$B$5:$B$204,0)),IFERROR(MATCH(J1263,Products!$A$5:$A$204,0),"")))</f>
        <v/>
      </c>
      <c r="U1263">
        <f>IF(J1263="","",IF(T1263="","⚠ not in Products",INDEX(Products!$A$5:$A$204,T1263)))</f>
        <v/>
      </c>
      <c r="V1263" s="11">
        <f>IF(J1263="","",S1263*(IFERROR(INDEX(Settings!$B$5:$B$9,MATCH($B1263,Settings!$A$5:$A$9,0)),0)+IFERROR(INDEX(Settings!$E$5:$E$9,MATCH($B1263,Settings!$A$5:$A$9,0)),0)+IFERROR(INDEX(Settings!$G$5:$G$9,MATCH($B1263,Settings!$A$5:$A$9,0)),0))+(IFERROR(INDEX(Settings!$C$5:$C$9,MATCH($B1263,Settings!$A$5:$A$9,0)),0)+IFERROR(INDEX(Settings!$F$5:$F$9,MATCH($B1263,Settings!$A$5:$A$9,0)),0))/P1263+IFERROR(INDEX(Settings!$D$5:$D$9,MATCH($B1263,Settings!$A$5:$A$9,0)),0)*M1263)</f>
        <v/>
      </c>
      <c r="W1263" s="11">
        <f>IF(J1263="","",IF(T1263="",0,M1263*INDEX(Products!$I$5:$I$204,T1263)))</f>
        <v/>
      </c>
      <c r="X1263" s="11">
        <f>IF(J1263="","",IF(T1263="",0,S1263*INDEX(Products!$H$5:$H$204,T1263)))</f>
        <v/>
      </c>
      <c r="Y1263" s="11">
        <f>IF(J1263="","",S1263-V1263-W1263-X1263)</f>
        <v/>
      </c>
    </row>
    <row r="1264">
      <c r="A1264" s="19" t="n"/>
      <c r="B1264" s="19" t="n"/>
      <c r="C1264" s="19" t="n"/>
      <c r="D1264" s="19" t="n"/>
      <c r="E1264" s="19" t="n"/>
      <c r="F1264" s="20" t="n"/>
      <c r="G1264" s="20" t="n"/>
      <c r="H1264" s="20" t="n"/>
      <c r="I1264" s="19" t="n"/>
      <c r="J1264">
        <f>IFERROR(IF(C1264="","",C1264)&amp;"","")</f>
        <v/>
      </c>
      <c r="K1264">
        <f>IFERROR(IF(D1264="","",D1264)&amp;"","")</f>
        <v/>
      </c>
      <c r="L1264">
        <f>IFERROR(IF(I1264="","",I1264)&amp;"","")</f>
        <v/>
      </c>
      <c r="M1264">
        <f>IF(J1264="","",IFERROR(VALUE(SUBSTITUTE(SUBSTITUTE(IF(E1264="","",E1264)&amp;"","$",""),",","")),0))</f>
        <v/>
      </c>
      <c r="N1264" s="11">
        <f>IF(J1264="","",IFERROR(VALUE(SUBSTITUTE(SUBSTITUTE(IF(F1264="","",F1264)&amp;"","$",""),",","")),0))</f>
        <v/>
      </c>
      <c r="O1264" s="11">
        <f>IF(J1264="","",M1264*N1264)</f>
        <v/>
      </c>
      <c r="P1264">
        <f>IF(J1264="","",IF(L1264="",1,COUNTIF($L$2:$L$1501,L1264)))</f>
        <v/>
      </c>
      <c r="Q1264" s="11">
        <f>IF(J1264="","",IFERROR(VALUE(SUBSTITUTE(SUBSTITUTE(IF(G1264="","",G1264)&amp;"","$",""),",","")),0)/IF("No"="Yes",P1264,1))</f>
        <v/>
      </c>
      <c r="R1264" s="11">
        <f>IF(J1264="","",IFERROR(VALUE(SUBSTITUTE(SUBSTITUTE(IF(H1264="","",H1264)&amp;"","$",""),",","")),0)/IF("No"="Yes",P1264,1))</f>
        <v/>
      </c>
      <c r="S1264" s="11">
        <f>IF(J1264="","",O1264+Q1264-R1264)</f>
        <v/>
      </c>
      <c r="T1264">
        <f>IF(J1264="","",IFERROR(IF(K1264="",NA(),MATCH(K1264,Products!$B$5:$B$204,0)),IFERROR(MATCH(J1264,Products!$A$5:$A$204,0),"")))</f>
        <v/>
      </c>
      <c r="U1264">
        <f>IF(J1264="","",IF(T1264="","⚠ not in Products",INDEX(Products!$A$5:$A$204,T1264)))</f>
        <v/>
      </c>
      <c r="V1264" s="11">
        <f>IF(J1264="","",S1264*(IFERROR(INDEX(Settings!$B$5:$B$9,MATCH($B1264,Settings!$A$5:$A$9,0)),0)+IFERROR(INDEX(Settings!$E$5:$E$9,MATCH($B1264,Settings!$A$5:$A$9,0)),0)+IFERROR(INDEX(Settings!$G$5:$G$9,MATCH($B1264,Settings!$A$5:$A$9,0)),0))+(IFERROR(INDEX(Settings!$C$5:$C$9,MATCH($B1264,Settings!$A$5:$A$9,0)),0)+IFERROR(INDEX(Settings!$F$5:$F$9,MATCH($B1264,Settings!$A$5:$A$9,0)),0))/P1264+IFERROR(INDEX(Settings!$D$5:$D$9,MATCH($B1264,Settings!$A$5:$A$9,0)),0)*M1264)</f>
        <v/>
      </c>
      <c r="W1264" s="11">
        <f>IF(J1264="","",IF(T1264="",0,M1264*INDEX(Products!$I$5:$I$204,T1264)))</f>
        <v/>
      </c>
      <c r="X1264" s="11">
        <f>IF(J1264="","",IF(T1264="",0,S1264*INDEX(Products!$H$5:$H$204,T1264)))</f>
        <v/>
      </c>
      <c r="Y1264" s="11">
        <f>IF(J1264="","",S1264-V1264-W1264-X1264)</f>
        <v/>
      </c>
    </row>
    <row r="1265">
      <c r="A1265" s="19" t="n"/>
      <c r="B1265" s="19" t="n"/>
      <c r="C1265" s="19" t="n"/>
      <c r="D1265" s="19" t="n"/>
      <c r="E1265" s="19" t="n"/>
      <c r="F1265" s="20" t="n"/>
      <c r="G1265" s="20" t="n"/>
      <c r="H1265" s="20" t="n"/>
      <c r="I1265" s="19" t="n"/>
      <c r="J1265">
        <f>IFERROR(IF(C1265="","",C1265)&amp;"","")</f>
        <v/>
      </c>
      <c r="K1265">
        <f>IFERROR(IF(D1265="","",D1265)&amp;"","")</f>
        <v/>
      </c>
      <c r="L1265">
        <f>IFERROR(IF(I1265="","",I1265)&amp;"","")</f>
        <v/>
      </c>
      <c r="M1265">
        <f>IF(J1265="","",IFERROR(VALUE(SUBSTITUTE(SUBSTITUTE(IF(E1265="","",E1265)&amp;"","$",""),",","")),0))</f>
        <v/>
      </c>
      <c r="N1265" s="11">
        <f>IF(J1265="","",IFERROR(VALUE(SUBSTITUTE(SUBSTITUTE(IF(F1265="","",F1265)&amp;"","$",""),",","")),0))</f>
        <v/>
      </c>
      <c r="O1265" s="11">
        <f>IF(J1265="","",M1265*N1265)</f>
        <v/>
      </c>
      <c r="P1265">
        <f>IF(J1265="","",IF(L1265="",1,COUNTIF($L$2:$L$1501,L1265)))</f>
        <v/>
      </c>
      <c r="Q1265" s="11">
        <f>IF(J1265="","",IFERROR(VALUE(SUBSTITUTE(SUBSTITUTE(IF(G1265="","",G1265)&amp;"","$",""),",","")),0)/IF("No"="Yes",P1265,1))</f>
        <v/>
      </c>
      <c r="R1265" s="11">
        <f>IF(J1265="","",IFERROR(VALUE(SUBSTITUTE(SUBSTITUTE(IF(H1265="","",H1265)&amp;"","$",""),",","")),0)/IF("No"="Yes",P1265,1))</f>
        <v/>
      </c>
      <c r="S1265" s="11">
        <f>IF(J1265="","",O1265+Q1265-R1265)</f>
        <v/>
      </c>
      <c r="T1265">
        <f>IF(J1265="","",IFERROR(IF(K1265="",NA(),MATCH(K1265,Products!$B$5:$B$204,0)),IFERROR(MATCH(J1265,Products!$A$5:$A$204,0),"")))</f>
        <v/>
      </c>
      <c r="U1265">
        <f>IF(J1265="","",IF(T1265="","⚠ not in Products",INDEX(Products!$A$5:$A$204,T1265)))</f>
        <v/>
      </c>
      <c r="V1265" s="11">
        <f>IF(J1265="","",S1265*(IFERROR(INDEX(Settings!$B$5:$B$9,MATCH($B1265,Settings!$A$5:$A$9,0)),0)+IFERROR(INDEX(Settings!$E$5:$E$9,MATCH($B1265,Settings!$A$5:$A$9,0)),0)+IFERROR(INDEX(Settings!$G$5:$G$9,MATCH($B1265,Settings!$A$5:$A$9,0)),0))+(IFERROR(INDEX(Settings!$C$5:$C$9,MATCH($B1265,Settings!$A$5:$A$9,0)),0)+IFERROR(INDEX(Settings!$F$5:$F$9,MATCH($B1265,Settings!$A$5:$A$9,0)),0))/P1265+IFERROR(INDEX(Settings!$D$5:$D$9,MATCH($B1265,Settings!$A$5:$A$9,0)),0)*M1265)</f>
        <v/>
      </c>
      <c r="W1265" s="11">
        <f>IF(J1265="","",IF(T1265="",0,M1265*INDEX(Products!$I$5:$I$204,T1265)))</f>
        <v/>
      </c>
      <c r="X1265" s="11">
        <f>IF(J1265="","",IF(T1265="",0,S1265*INDEX(Products!$H$5:$H$204,T1265)))</f>
        <v/>
      </c>
      <c r="Y1265" s="11">
        <f>IF(J1265="","",S1265-V1265-W1265-X1265)</f>
        <v/>
      </c>
    </row>
    <row r="1266">
      <c r="A1266" s="19" t="n"/>
      <c r="B1266" s="19" t="n"/>
      <c r="C1266" s="19" t="n"/>
      <c r="D1266" s="19" t="n"/>
      <c r="E1266" s="19" t="n"/>
      <c r="F1266" s="20" t="n"/>
      <c r="G1266" s="20" t="n"/>
      <c r="H1266" s="20" t="n"/>
      <c r="I1266" s="19" t="n"/>
      <c r="J1266">
        <f>IFERROR(IF(C1266="","",C1266)&amp;"","")</f>
        <v/>
      </c>
      <c r="K1266">
        <f>IFERROR(IF(D1266="","",D1266)&amp;"","")</f>
        <v/>
      </c>
      <c r="L1266">
        <f>IFERROR(IF(I1266="","",I1266)&amp;"","")</f>
        <v/>
      </c>
      <c r="M1266">
        <f>IF(J1266="","",IFERROR(VALUE(SUBSTITUTE(SUBSTITUTE(IF(E1266="","",E1266)&amp;"","$",""),",","")),0))</f>
        <v/>
      </c>
      <c r="N1266" s="11">
        <f>IF(J1266="","",IFERROR(VALUE(SUBSTITUTE(SUBSTITUTE(IF(F1266="","",F1266)&amp;"","$",""),",","")),0))</f>
        <v/>
      </c>
      <c r="O1266" s="11">
        <f>IF(J1266="","",M1266*N1266)</f>
        <v/>
      </c>
      <c r="P1266">
        <f>IF(J1266="","",IF(L1266="",1,COUNTIF($L$2:$L$1501,L1266)))</f>
        <v/>
      </c>
      <c r="Q1266" s="11">
        <f>IF(J1266="","",IFERROR(VALUE(SUBSTITUTE(SUBSTITUTE(IF(G1266="","",G1266)&amp;"","$",""),",","")),0)/IF("No"="Yes",P1266,1))</f>
        <v/>
      </c>
      <c r="R1266" s="11">
        <f>IF(J1266="","",IFERROR(VALUE(SUBSTITUTE(SUBSTITUTE(IF(H1266="","",H1266)&amp;"","$",""),",","")),0)/IF("No"="Yes",P1266,1))</f>
        <v/>
      </c>
      <c r="S1266" s="11">
        <f>IF(J1266="","",O1266+Q1266-R1266)</f>
        <v/>
      </c>
      <c r="T1266">
        <f>IF(J1266="","",IFERROR(IF(K1266="",NA(),MATCH(K1266,Products!$B$5:$B$204,0)),IFERROR(MATCH(J1266,Products!$A$5:$A$204,0),"")))</f>
        <v/>
      </c>
      <c r="U1266">
        <f>IF(J1266="","",IF(T1266="","⚠ not in Products",INDEX(Products!$A$5:$A$204,T1266)))</f>
        <v/>
      </c>
      <c r="V1266" s="11">
        <f>IF(J1266="","",S1266*(IFERROR(INDEX(Settings!$B$5:$B$9,MATCH($B1266,Settings!$A$5:$A$9,0)),0)+IFERROR(INDEX(Settings!$E$5:$E$9,MATCH($B1266,Settings!$A$5:$A$9,0)),0)+IFERROR(INDEX(Settings!$G$5:$G$9,MATCH($B1266,Settings!$A$5:$A$9,0)),0))+(IFERROR(INDEX(Settings!$C$5:$C$9,MATCH($B1266,Settings!$A$5:$A$9,0)),0)+IFERROR(INDEX(Settings!$F$5:$F$9,MATCH($B1266,Settings!$A$5:$A$9,0)),0))/P1266+IFERROR(INDEX(Settings!$D$5:$D$9,MATCH($B1266,Settings!$A$5:$A$9,0)),0)*M1266)</f>
        <v/>
      </c>
      <c r="W1266" s="11">
        <f>IF(J1266="","",IF(T1266="",0,M1266*INDEX(Products!$I$5:$I$204,T1266)))</f>
        <v/>
      </c>
      <c r="X1266" s="11">
        <f>IF(J1266="","",IF(T1266="",0,S1266*INDEX(Products!$H$5:$H$204,T1266)))</f>
        <v/>
      </c>
      <c r="Y1266" s="11">
        <f>IF(J1266="","",S1266-V1266-W1266-X1266)</f>
        <v/>
      </c>
    </row>
    <row r="1267">
      <c r="A1267" s="19" t="n"/>
      <c r="B1267" s="19" t="n"/>
      <c r="C1267" s="19" t="n"/>
      <c r="D1267" s="19" t="n"/>
      <c r="E1267" s="19" t="n"/>
      <c r="F1267" s="20" t="n"/>
      <c r="G1267" s="20" t="n"/>
      <c r="H1267" s="20" t="n"/>
      <c r="I1267" s="19" t="n"/>
      <c r="J1267">
        <f>IFERROR(IF(C1267="","",C1267)&amp;"","")</f>
        <v/>
      </c>
      <c r="K1267">
        <f>IFERROR(IF(D1267="","",D1267)&amp;"","")</f>
        <v/>
      </c>
      <c r="L1267">
        <f>IFERROR(IF(I1267="","",I1267)&amp;"","")</f>
        <v/>
      </c>
      <c r="M1267">
        <f>IF(J1267="","",IFERROR(VALUE(SUBSTITUTE(SUBSTITUTE(IF(E1267="","",E1267)&amp;"","$",""),",","")),0))</f>
        <v/>
      </c>
      <c r="N1267" s="11">
        <f>IF(J1267="","",IFERROR(VALUE(SUBSTITUTE(SUBSTITUTE(IF(F1267="","",F1267)&amp;"","$",""),",","")),0))</f>
        <v/>
      </c>
      <c r="O1267" s="11">
        <f>IF(J1267="","",M1267*N1267)</f>
        <v/>
      </c>
      <c r="P1267">
        <f>IF(J1267="","",IF(L1267="",1,COUNTIF($L$2:$L$1501,L1267)))</f>
        <v/>
      </c>
      <c r="Q1267" s="11">
        <f>IF(J1267="","",IFERROR(VALUE(SUBSTITUTE(SUBSTITUTE(IF(G1267="","",G1267)&amp;"","$",""),",","")),0)/IF("No"="Yes",P1267,1))</f>
        <v/>
      </c>
      <c r="R1267" s="11">
        <f>IF(J1267="","",IFERROR(VALUE(SUBSTITUTE(SUBSTITUTE(IF(H1267="","",H1267)&amp;"","$",""),",","")),0)/IF("No"="Yes",P1267,1))</f>
        <v/>
      </c>
      <c r="S1267" s="11">
        <f>IF(J1267="","",O1267+Q1267-R1267)</f>
        <v/>
      </c>
      <c r="T1267">
        <f>IF(J1267="","",IFERROR(IF(K1267="",NA(),MATCH(K1267,Products!$B$5:$B$204,0)),IFERROR(MATCH(J1267,Products!$A$5:$A$204,0),"")))</f>
        <v/>
      </c>
      <c r="U1267">
        <f>IF(J1267="","",IF(T1267="","⚠ not in Products",INDEX(Products!$A$5:$A$204,T1267)))</f>
        <v/>
      </c>
      <c r="V1267" s="11">
        <f>IF(J1267="","",S1267*(IFERROR(INDEX(Settings!$B$5:$B$9,MATCH($B1267,Settings!$A$5:$A$9,0)),0)+IFERROR(INDEX(Settings!$E$5:$E$9,MATCH($B1267,Settings!$A$5:$A$9,0)),0)+IFERROR(INDEX(Settings!$G$5:$G$9,MATCH($B1267,Settings!$A$5:$A$9,0)),0))+(IFERROR(INDEX(Settings!$C$5:$C$9,MATCH($B1267,Settings!$A$5:$A$9,0)),0)+IFERROR(INDEX(Settings!$F$5:$F$9,MATCH($B1267,Settings!$A$5:$A$9,0)),0))/P1267+IFERROR(INDEX(Settings!$D$5:$D$9,MATCH($B1267,Settings!$A$5:$A$9,0)),0)*M1267)</f>
        <v/>
      </c>
      <c r="W1267" s="11">
        <f>IF(J1267="","",IF(T1267="",0,M1267*INDEX(Products!$I$5:$I$204,T1267)))</f>
        <v/>
      </c>
      <c r="X1267" s="11">
        <f>IF(J1267="","",IF(T1267="",0,S1267*INDEX(Products!$H$5:$H$204,T1267)))</f>
        <v/>
      </c>
      <c r="Y1267" s="11">
        <f>IF(J1267="","",S1267-V1267-W1267-X1267)</f>
        <v/>
      </c>
    </row>
    <row r="1268">
      <c r="A1268" s="19" t="n"/>
      <c r="B1268" s="19" t="n"/>
      <c r="C1268" s="19" t="n"/>
      <c r="D1268" s="19" t="n"/>
      <c r="E1268" s="19" t="n"/>
      <c r="F1268" s="20" t="n"/>
      <c r="G1268" s="20" t="n"/>
      <c r="H1268" s="20" t="n"/>
      <c r="I1268" s="19" t="n"/>
      <c r="J1268">
        <f>IFERROR(IF(C1268="","",C1268)&amp;"","")</f>
        <v/>
      </c>
      <c r="K1268">
        <f>IFERROR(IF(D1268="","",D1268)&amp;"","")</f>
        <v/>
      </c>
      <c r="L1268">
        <f>IFERROR(IF(I1268="","",I1268)&amp;"","")</f>
        <v/>
      </c>
      <c r="M1268">
        <f>IF(J1268="","",IFERROR(VALUE(SUBSTITUTE(SUBSTITUTE(IF(E1268="","",E1268)&amp;"","$",""),",","")),0))</f>
        <v/>
      </c>
      <c r="N1268" s="11">
        <f>IF(J1268="","",IFERROR(VALUE(SUBSTITUTE(SUBSTITUTE(IF(F1268="","",F1268)&amp;"","$",""),",","")),0))</f>
        <v/>
      </c>
      <c r="O1268" s="11">
        <f>IF(J1268="","",M1268*N1268)</f>
        <v/>
      </c>
      <c r="P1268">
        <f>IF(J1268="","",IF(L1268="",1,COUNTIF($L$2:$L$1501,L1268)))</f>
        <v/>
      </c>
      <c r="Q1268" s="11">
        <f>IF(J1268="","",IFERROR(VALUE(SUBSTITUTE(SUBSTITUTE(IF(G1268="","",G1268)&amp;"","$",""),",","")),0)/IF("No"="Yes",P1268,1))</f>
        <v/>
      </c>
      <c r="R1268" s="11">
        <f>IF(J1268="","",IFERROR(VALUE(SUBSTITUTE(SUBSTITUTE(IF(H1268="","",H1268)&amp;"","$",""),",","")),0)/IF("No"="Yes",P1268,1))</f>
        <v/>
      </c>
      <c r="S1268" s="11">
        <f>IF(J1268="","",O1268+Q1268-R1268)</f>
        <v/>
      </c>
      <c r="T1268">
        <f>IF(J1268="","",IFERROR(IF(K1268="",NA(),MATCH(K1268,Products!$B$5:$B$204,0)),IFERROR(MATCH(J1268,Products!$A$5:$A$204,0),"")))</f>
        <v/>
      </c>
      <c r="U1268">
        <f>IF(J1268="","",IF(T1268="","⚠ not in Products",INDEX(Products!$A$5:$A$204,T1268)))</f>
        <v/>
      </c>
      <c r="V1268" s="11">
        <f>IF(J1268="","",S1268*(IFERROR(INDEX(Settings!$B$5:$B$9,MATCH($B1268,Settings!$A$5:$A$9,0)),0)+IFERROR(INDEX(Settings!$E$5:$E$9,MATCH($B1268,Settings!$A$5:$A$9,0)),0)+IFERROR(INDEX(Settings!$G$5:$G$9,MATCH($B1268,Settings!$A$5:$A$9,0)),0))+(IFERROR(INDEX(Settings!$C$5:$C$9,MATCH($B1268,Settings!$A$5:$A$9,0)),0)+IFERROR(INDEX(Settings!$F$5:$F$9,MATCH($B1268,Settings!$A$5:$A$9,0)),0))/P1268+IFERROR(INDEX(Settings!$D$5:$D$9,MATCH($B1268,Settings!$A$5:$A$9,0)),0)*M1268)</f>
        <v/>
      </c>
      <c r="W1268" s="11">
        <f>IF(J1268="","",IF(T1268="",0,M1268*INDEX(Products!$I$5:$I$204,T1268)))</f>
        <v/>
      </c>
      <c r="X1268" s="11">
        <f>IF(J1268="","",IF(T1268="",0,S1268*INDEX(Products!$H$5:$H$204,T1268)))</f>
        <v/>
      </c>
      <c r="Y1268" s="11">
        <f>IF(J1268="","",S1268-V1268-W1268-X1268)</f>
        <v/>
      </c>
    </row>
    <row r="1269">
      <c r="A1269" s="19" t="n"/>
      <c r="B1269" s="19" t="n"/>
      <c r="C1269" s="19" t="n"/>
      <c r="D1269" s="19" t="n"/>
      <c r="E1269" s="19" t="n"/>
      <c r="F1269" s="20" t="n"/>
      <c r="G1269" s="20" t="n"/>
      <c r="H1269" s="20" t="n"/>
      <c r="I1269" s="19" t="n"/>
      <c r="J1269">
        <f>IFERROR(IF(C1269="","",C1269)&amp;"","")</f>
        <v/>
      </c>
      <c r="K1269">
        <f>IFERROR(IF(D1269="","",D1269)&amp;"","")</f>
        <v/>
      </c>
      <c r="L1269">
        <f>IFERROR(IF(I1269="","",I1269)&amp;"","")</f>
        <v/>
      </c>
      <c r="M1269">
        <f>IF(J1269="","",IFERROR(VALUE(SUBSTITUTE(SUBSTITUTE(IF(E1269="","",E1269)&amp;"","$",""),",","")),0))</f>
        <v/>
      </c>
      <c r="N1269" s="11">
        <f>IF(J1269="","",IFERROR(VALUE(SUBSTITUTE(SUBSTITUTE(IF(F1269="","",F1269)&amp;"","$",""),",","")),0))</f>
        <v/>
      </c>
      <c r="O1269" s="11">
        <f>IF(J1269="","",M1269*N1269)</f>
        <v/>
      </c>
      <c r="P1269">
        <f>IF(J1269="","",IF(L1269="",1,COUNTIF($L$2:$L$1501,L1269)))</f>
        <v/>
      </c>
      <c r="Q1269" s="11">
        <f>IF(J1269="","",IFERROR(VALUE(SUBSTITUTE(SUBSTITUTE(IF(G1269="","",G1269)&amp;"","$",""),",","")),0)/IF("No"="Yes",P1269,1))</f>
        <v/>
      </c>
      <c r="R1269" s="11">
        <f>IF(J1269="","",IFERROR(VALUE(SUBSTITUTE(SUBSTITUTE(IF(H1269="","",H1269)&amp;"","$",""),",","")),0)/IF("No"="Yes",P1269,1))</f>
        <v/>
      </c>
      <c r="S1269" s="11">
        <f>IF(J1269="","",O1269+Q1269-R1269)</f>
        <v/>
      </c>
      <c r="T1269">
        <f>IF(J1269="","",IFERROR(IF(K1269="",NA(),MATCH(K1269,Products!$B$5:$B$204,0)),IFERROR(MATCH(J1269,Products!$A$5:$A$204,0),"")))</f>
        <v/>
      </c>
      <c r="U1269">
        <f>IF(J1269="","",IF(T1269="","⚠ not in Products",INDEX(Products!$A$5:$A$204,T1269)))</f>
        <v/>
      </c>
      <c r="V1269" s="11">
        <f>IF(J1269="","",S1269*(IFERROR(INDEX(Settings!$B$5:$B$9,MATCH($B1269,Settings!$A$5:$A$9,0)),0)+IFERROR(INDEX(Settings!$E$5:$E$9,MATCH($B1269,Settings!$A$5:$A$9,0)),0)+IFERROR(INDEX(Settings!$G$5:$G$9,MATCH($B1269,Settings!$A$5:$A$9,0)),0))+(IFERROR(INDEX(Settings!$C$5:$C$9,MATCH($B1269,Settings!$A$5:$A$9,0)),0)+IFERROR(INDEX(Settings!$F$5:$F$9,MATCH($B1269,Settings!$A$5:$A$9,0)),0))/P1269+IFERROR(INDEX(Settings!$D$5:$D$9,MATCH($B1269,Settings!$A$5:$A$9,0)),0)*M1269)</f>
        <v/>
      </c>
      <c r="W1269" s="11">
        <f>IF(J1269="","",IF(T1269="",0,M1269*INDEX(Products!$I$5:$I$204,T1269)))</f>
        <v/>
      </c>
      <c r="X1269" s="11">
        <f>IF(J1269="","",IF(T1269="",0,S1269*INDEX(Products!$H$5:$H$204,T1269)))</f>
        <v/>
      </c>
      <c r="Y1269" s="11">
        <f>IF(J1269="","",S1269-V1269-W1269-X1269)</f>
        <v/>
      </c>
    </row>
    <row r="1270">
      <c r="A1270" s="19" t="n"/>
      <c r="B1270" s="19" t="n"/>
      <c r="C1270" s="19" t="n"/>
      <c r="D1270" s="19" t="n"/>
      <c r="E1270" s="19" t="n"/>
      <c r="F1270" s="20" t="n"/>
      <c r="G1270" s="20" t="n"/>
      <c r="H1270" s="20" t="n"/>
      <c r="I1270" s="19" t="n"/>
      <c r="J1270">
        <f>IFERROR(IF(C1270="","",C1270)&amp;"","")</f>
        <v/>
      </c>
      <c r="K1270">
        <f>IFERROR(IF(D1270="","",D1270)&amp;"","")</f>
        <v/>
      </c>
      <c r="L1270">
        <f>IFERROR(IF(I1270="","",I1270)&amp;"","")</f>
        <v/>
      </c>
      <c r="M1270">
        <f>IF(J1270="","",IFERROR(VALUE(SUBSTITUTE(SUBSTITUTE(IF(E1270="","",E1270)&amp;"","$",""),",","")),0))</f>
        <v/>
      </c>
      <c r="N1270" s="11">
        <f>IF(J1270="","",IFERROR(VALUE(SUBSTITUTE(SUBSTITUTE(IF(F1270="","",F1270)&amp;"","$",""),",","")),0))</f>
        <v/>
      </c>
      <c r="O1270" s="11">
        <f>IF(J1270="","",M1270*N1270)</f>
        <v/>
      </c>
      <c r="P1270">
        <f>IF(J1270="","",IF(L1270="",1,COUNTIF($L$2:$L$1501,L1270)))</f>
        <v/>
      </c>
      <c r="Q1270" s="11">
        <f>IF(J1270="","",IFERROR(VALUE(SUBSTITUTE(SUBSTITUTE(IF(G1270="","",G1270)&amp;"","$",""),",","")),0)/IF("No"="Yes",P1270,1))</f>
        <v/>
      </c>
      <c r="R1270" s="11">
        <f>IF(J1270="","",IFERROR(VALUE(SUBSTITUTE(SUBSTITUTE(IF(H1270="","",H1270)&amp;"","$",""),",","")),0)/IF("No"="Yes",P1270,1))</f>
        <v/>
      </c>
      <c r="S1270" s="11">
        <f>IF(J1270="","",O1270+Q1270-R1270)</f>
        <v/>
      </c>
      <c r="T1270">
        <f>IF(J1270="","",IFERROR(IF(K1270="",NA(),MATCH(K1270,Products!$B$5:$B$204,0)),IFERROR(MATCH(J1270,Products!$A$5:$A$204,0),"")))</f>
        <v/>
      </c>
      <c r="U1270">
        <f>IF(J1270="","",IF(T1270="","⚠ not in Products",INDEX(Products!$A$5:$A$204,T1270)))</f>
        <v/>
      </c>
      <c r="V1270" s="11">
        <f>IF(J1270="","",S1270*(IFERROR(INDEX(Settings!$B$5:$B$9,MATCH($B1270,Settings!$A$5:$A$9,0)),0)+IFERROR(INDEX(Settings!$E$5:$E$9,MATCH($B1270,Settings!$A$5:$A$9,0)),0)+IFERROR(INDEX(Settings!$G$5:$G$9,MATCH($B1270,Settings!$A$5:$A$9,0)),0))+(IFERROR(INDEX(Settings!$C$5:$C$9,MATCH($B1270,Settings!$A$5:$A$9,0)),0)+IFERROR(INDEX(Settings!$F$5:$F$9,MATCH($B1270,Settings!$A$5:$A$9,0)),0))/P1270+IFERROR(INDEX(Settings!$D$5:$D$9,MATCH($B1270,Settings!$A$5:$A$9,0)),0)*M1270)</f>
        <v/>
      </c>
      <c r="W1270" s="11">
        <f>IF(J1270="","",IF(T1270="",0,M1270*INDEX(Products!$I$5:$I$204,T1270)))</f>
        <v/>
      </c>
      <c r="X1270" s="11">
        <f>IF(J1270="","",IF(T1270="",0,S1270*INDEX(Products!$H$5:$H$204,T1270)))</f>
        <v/>
      </c>
      <c r="Y1270" s="11">
        <f>IF(J1270="","",S1270-V1270-W1270-X1270)</f>
        <v/>
      </c>
    </row>
    <row r="1271">
      <c r="A1271" s="19" t="n"/>
      <c r="B1271" s="19" t="n"/>
      <c r="C1271" s="19" t="n"/>
      <c r="D1271" s="19" t="n"/>
      <c r="E1271" s="19" t="n"/>
      <c r="F1271" s="20" t="n"/>
      <c r="G1271" s="20" t="n"/>
      <c r="H1271" s="20" t="n"/>
      <c r="I1271" s="19" t="n"/>
      <c r="J1271">
        <f>IFERROR(IF(C1271="","",C1271)&amp;"","")</f>
        <v/>
      </c>
      <c r="K1271">
        <f>IFERROR(IF(D1271="","",D1271)&amp;"","")</f>
        <v/>
      </c>
      <c r="L1271">
        <f>IFERROR(IF(I1271="","",I1271)&amp;"","")</f>
        <v/>
      </c>
      <c r="M1271">
        <f>IF(J1271="","",IFERROR(VALUE(SUBSTITUTE(SUBSTITUTE(IF(E1271="","",E1271)&amp;"","$",""),",","")),0))</f>
        <v/>
      </c>
      <c r="N1271" s="11">
        <f>IF(J1271="","",IFERROR(VALUE(SUBSTITUTE(SUBSTITUTE(IF(F1271="","",F1271)&amp;"","$",""),",","")),0))</f>
        <v/>
      </c>
      <c r="O1271" s="11">
        <f>IF(J1271="","",M1271*N1271)</f>
        <v/>
      </c>
      <c r="P1271">
        <f>IF(J1271="","",IF(L1271="",1,COUNTIF($L$2:$L$1501,L1271)))</f>
        <v/>
      </c>
      <c r="Q1271" s="11">
        <f>IF(J1271="","",IFERROR(VALUE(SUBSTITUTE(SUBSTITUTE(IF(G1271="","",G1271)&amp;"","$",""),",","")),0)/IF("No"="Yes",P1271,1))</f>
        <v/>
      </c>
      <c r="R1271" s="11">
        <f>IF(J1271="","",IFERROR(VALUE(SUBSTITUTE(SUBSTITUTE(IF(H1271="","",H1271)&amp;"","$",""),",","")),0)/IF("No"="Yes",P1271,1))</f>
        <v/>
      </c>
      <c r="S1271" s="11">
        <f>IF(J1271="","",O1271+Q1271-R1271)</f>
        <v/>
      </c>
      <c r="T1271">
        <f>IF(J1271="","",IFERROR(IF(K1271="",NA(),MATCH(K1271,Products!$B$5:$B$204,0)),IFERROR(MATCH(J1271,Products!$A$5:$A$204,0),"")))</f>
        <v/>
      </c>
      <c r="U1271">
        <f>IF(J1271="","",IF(T1271="","⚠ not in Products",INDEX(Products!$A$5:$A$204,T1271)))</f>
        <v/>
      </c>
      <c r="V1271" s="11">
        <f>IF(J1271="","",S1271*(IFERROR(INDEX(Settings!$B$5:$B$9,MATCH($B1271,Settings!$A$5:$A$9,0)),0)+IFERROR(INDEX(Settings!$E$5:$E$9,MATCH($B1271,Settings!$A$5:$A$9,0)),0)+IFERROR(INDEX(Settings!$G$5:$G$9,MATCH($B1271,Settings!$A$5:$A$9,0)),0))+(IFERROR(INDEX(Settings!$C$5:$C$9,MATCH($B1271,Settings!$A$5:$A$9,0)),0)+IFERROR(INDEX(Settings!$F$5:$F$9,MATCH($B1271,Settings!$A$5:$A$9,0)),0))/P1271+IFERROR(INDEX(Settings!$D$5:$D$9,MATCH($B1271,Settings!$A$5:$A$9,0)),0)*M1271)</f>
        <v/>
      </c>
      <c r="W1271" s="11">
        <f>IF(J1271="","",IF(T1271="",0,M1271*INDEX(Products!$I$5:$I$204,T1271)))</f>
        <v/>
      </c>
      <c r="X1271" s="11">
        <f>IF(J1271="","",IF(T1271="",0,S1271*INDEX(Products!$H$5:$H$204,T1271)))</f>
        <v/>
      </c>
      <c r="Y1271" s="11">
        <f>IF(J1271="","",S1271-V1271-W1271-X1271)</f>
        <v/>
      </c>
    </row>
    <row r="1272">
      <c r="A1272" s="19" t="n"/>
      <c r="B1272" s="19" t="n"/>
      <c r="C1272" s="19" t="n"/>
      <c r="D1272" s="19" t="n"/>
      <c r="E1272" s="19" t="n"/>
      <c r="F1272" s="20" t="n"/>
      <c r="G1272" s="20" t="n"/>
      <c r="H1272" s="20" t="n"/>
      <c r="I1272" s="19" t="n"/>
      <c r="J1272">
        <f>IFERROR(IF(C1272="","",C1272)&amp;"","")</f>
        <v/>
      </c>
      <c r="K1272">
        <f>IFERROR(IF(D1272="","",D1272)&amp;"","")</f>
        <v/>
      </c>
      <c r="L1272">
        <f>IFERROR(IF(I1272="","",I1272)&amp;"","")</f>
        <v/>
      </c>
      <c r="M1272">
        <f>IF(J1272="","",IFERROR(VALUE(SUBSTITUTE(SUBSTITUTE(IF(E1272="","",E1272)&amp;"","$",""),",","")),0))</f>
        <v/>
      </c>
      <c r="N1272" s="11">
        <f>IF(J1272="","",IFERROR(VALUE(SUBSTITUTE(SUBSTITUTE(IF(F1272="","",F1272)&amp;"","$",""),",","")),0))</f>
        <v/>
      </c>
      <c r="O1272" s="11">
        <f>IF(J1272="","",M1272*N1272)</f>
        <v/>
      </c>
      <c r="P1272">
        <f>IF(J1272="","",IF(L1272="",1,COUNTIF($L$2:$L$1501,L1272)))</f>
        <v/>
      </c>
      <c r="Q1272" s="11">
        <f>IF(J1272="","",IFERROR(VALUE(SUBSTITUTE(SUBSTITUTE(IF(G1272="","",G1272)&amp;"","$",""),",","")),0)/IF("No"="Yes",P1272,1))</f>
        <v/>
      </c>
      <c r="R1272" s="11">
        <f>IF(J1272="","",IFERROR(VALUE(SUBSTITUTE(SUBSTITUTE(IF(H1272="","",H1272)&amp;"","$",""),",","")),0)/IF("No"="Yes",P1272,1))</f>
        <v/>
      </c>
      <c r="S1272" s="11">
        <f>IF(J1272="","",O1272+Q1272-R1272)</f>
        <v/>
      </c>
      <c r="T1272">
        <f>IF(J1272="","",IFERROR(IF(K1272="",NA(),MATCH(K1272,Products!$B$5:$B$204,0)),IFERROR(MATCH(J1272,Products!$A$5:$A$204,0),"")))</f>
        <v/>
      </c>
      <c r="U1272">
        <f>IF(J1272="","",IF(T1272="","⚠ not in Products",INDEX(Products!$A$5:$A$204,T1272)))</f>
        <v/>
      </c>
      <c r="V1272" s="11">
        <f>IF(J1272="","",S1272*(IFERROR(INDEX(Settings!$B$5:$B$9,MATCH($B1272,Settings!$A$5:$A$9,0)),0)+IFERROR(INDEX(Settings!$E$5:$E$9,MATCH($B1272,Settings!$A$5:$A$9,0)),0)+IFERROR(INDEX(Settings!$G$5:$G$9,MATCH($B1272,Settings!$A$5:$A$9,0)),0))+(IFERROR(INDEX(Settings!$C$5:$C$9,MATCH($B1272,Settings!$A$5:$A$9,0)),0)+IFERROR(INDEX(Settings!$F$5:$F$9,MATCH($B1272,Settings!$A$5:$A$9,0)),0))/P1272+IFERROR(INDEX(Settings!$D$5:$D$9,MATCH($B1272,Settings!$A$5:$A$9,0)),0)*M1272)</f>
        <v/>
      </c>
      <c r="W1272" s="11">
        <f>IF(J1272="","",IF(T1272="",0,M1272*INDEX(Products!$I$5:$I$204,T1272)))</f>
        <v/>
      </c>
      <c r="X1272" s="11">
        <f>IF(J1272="","",IF(T1272="",0,S1272*INDEX(Products!$H$5:$H$204,T1272)))</f>
        <v/>
      </c>
      <c r="Y1272" s="11">
        <f>IF(J1272="","",S1272-V1272-W1272-X1272)</f>
        <v/>
      </c>
    </row>
    <row r="1273">
      <c r="A1273" s="19" t="n"/>
      <c r="B1273" s="19" t="n"/>
      <c r="C1273" s="19" t="n"/>
      <c r="D1273" s="19" t="n"/>
      <c r="E1273" s="19" t="n"/>
      <c r="F1273" s="20" t="n"/>
      <c r="G1273" s="20" t="n"/>
      <c r="H1273" s="20" t="n"/>
      <c r="I1273" s="19" t="n"/>
      <c r="J1273">
        <f>IFERROR(IF(C1273="","",C1273)&amp;"","")</f>
        <v/>
      </c>
      <c r="K1273">
        <f>IFERROR(IF(D1273="","",D1273)&amp;"","")</f>
        <v/>
      </c>
      <c r="L1273">
        <f>IFERROR(IF(I1273="","",I1273)&amp;"","")</f>
        <v/>
      </c>
      <c r="M1273">
        <f>IF(J1273="","",IFERROR(VALUE(SUBSTITUTE(SUBSTITUTE(IF(E1273="","",E1273)&amp;"","$",""),",","")),0))</f>
        <v/>
      </c>
      <c r="N1273" s="11">
        <f>IF(J1273="","",IFERROR(VALUE(SUBSTITUTE(SUBSTITUTE(IF(F1273="","",F1273)&amp;"","$",""),",","")),0))</f>
        <v/>
      </c>
      <c r="O1273" s="11">
        <f>IF(J1273="","",M1273*N1273)</f>
        <v/>
      </c>
      <c r="P1273">
        <f>IF(J1273="","",IF(L1273="",1,COUNTIF($L$2:$L$1501,L1273)))</f>
        <v/>
      </c>
      <c r="Q1273" s="11">
        <f>IF(J1273="","",IFERROR(VALUE(SUBSTITUTE(SUBSTITUTE(IF(G1273="","",G1273)&amp;"","$",""),",","")),0)/IF("No"="Yes",P1273,1))</f>
        <v/>
      </c>
      <c r="R1273" s="11">
        <f>IF(J1273="","",IFERROR(VALUE(SUBSTITUTE(SUBSTITUTE(IF(H1273="","",H1273)&amp;"","$",""),",","")),0)/IF("No"="Yes",P1273,1))</f>
        <v/>
      </c>
      <c r="S1273" s="11">
        <f>IF(J1273="","",O1273+Q1273-R1273)</f>
        <v/>
      </c>
      <c r="T1273">
        <f>IF(J1273="","",IFERROR(IF(K1273="",NA(),MATCH(K1273,Products!$B$5:$B$204,0)),IFERROR(MATCH(J1273,Products!$A$5:$A$204,0),"")))</f>
        <v/>
      </c>
      <c r="U1273">
        <f>IF(J1273="","",IF(T1273="","⚠ not in Products",INDEX(Products!$A$5:$A$204,T1273)))</f>
        <v/>
      </c>
      <c r="V1273" s="11">
        <f>IF(J1273="","",S1273*(IFERROR(INDEX(Settings!$B$5:$B$9,MATCH($B1273,Settings!$A$5:$A$9,0)),0)+IFERROR(INDEX(Settings!$E$5:$E$9,MATCH($B1273,Settings!$A$5:$A$9,0)),0)+IFERROR(INDEX(Settings!$G$5:$G$9,MATCH($B1273,Settings!$A$5:$A$9,0)),0))+(IFERROR(INDEX(Settings!$C$5:$C$9,MATCH($B1273,Settings!$A$5:$A$9,0)),0)+IFERROR(INDEX(Settings!$F$5:$F$9,MATCH($B1273,Settings!$A$5:$A$9,0)),0))/P1273+IFERROR(INDEX(Settings!$D$5:$D$9,MATCH($B1273,Settings!$A$5:$A$9,0)),0)*M1273)</f>
        <v/>
      </c>
      <c r="W1273" s="11">
        <f>IF(J1273="","",IF(T1273="",0,M1273*INDEX(Products!$I$5:$I$204,T1273)))</f>
        <v/>
      </c>
      <c r="X1273" s="11">
        <f>IF(J1273="","",IF(T1273="",0,S1273*INDEX(Products!$H$5:$H$204,T1273)))</f>
        <v/>
      </c>
      <c r="Y1273" s="11">
        <f>IF(J1273="","",S1273-V1273-W1273-X1273)</f>
        <v/>
      </c>
    </row>
    <row r="1274">
      <c r="A1274" s="19" t="n"/>
      <c r="B1274" s="19" t="n"/>
      <c r="C1274" s="19" t="n"/>
      <c r="D1274" s="19" t="n"/>
      <c r="E1274" s="19" t="n"/>
      <c r="F1274" s="20" t="n"/>
      <c r="G1274" s="20" t="n"/>
      <c r="H1274" s="20" t="n"/>
      <c r="I1274" s="19" t="n"/>
      <c r="J1274">
        <f>IFERROR(IF(C1274="","",C1274)&amp;"","")</f>
        <v/>
      </c>
      <c r="K1274">
        <f>IFERROR(IF(D1274="","",D1274)&amp;"","")</f>
        <v/>
      </c>
      <c r="L1274">
        <f>IFERROR(IF(I1274="","",I1274)&amp;"","")</f>
        <v/>
      </c>
      <c r="M1274">
        <f>IF(J1274="","",IFERROR(VALUE(SUBSTITUTE(SUBSTITUTE(IF(E1274="","",E1274)&amp;"","$",""),",","")),0))</f>
        <v/>
      </c>
      <c r="N1274" s="11">
        <f>IF(J1274="","",IFERROR(VALUE(SUBSTITUTE(SUBSTITUTE(IF(F1274="","",F1274)&amp;"","$",""),",","")),0))</f>
        <v/>
      </c>
      <c r="O1274" s="11">
        <f>IF(J1274="","",M1274*N1274)</f>
        <v/>
      </c>
      <c r="P1274">
        <f>IF(J1274="","",IF(L1274="",1,COUNTIF($L$2:$L$1501,L1274)))</f>
        <v/>
      </c>
      <c r="Q1274" s="11">
        <f>IF(J1274="","",IFERROR(VALUE(SUBSTITUTE(SUBSTITUTE(IF(G1274="","",G1274)&amp;"","$",""),",","")),0)/IF("No"="Yes",P1274,1))</f>
        <v/>
      </c>
      <c r="R1274" s="11">
        <f>IF(J1274="","",IFERROR(VALUE(SUBSTITUTE(SUBSTITUTE(IF(H1274="","",H1274)&amp;"","$",""),",","")),0)/IF("No"="Yes",P1274,1))</f>
        <v/>
      </c>
      <c r="S1274" s="11">
        <f>IF(J1274="","",O1274+Q1274-R1274)</f>
        <v/>
      </c>
      <c r="T1274">
        <f>IF(J1274="","",IFERROR(IF(K1274="",NA(),MATCH(K1274,Products!$B$5:$B$204,0)),IFERROR(MATCH(J1274,Products!$A$5:$A$204,0),"")))</f>
        <v/>
      </c>
      <c r="U1274">
        <f>IF(J1274="","",IF(T1274="","⚠ not in Products",INDEX(Products!$A$5:$A$204,T1274)))</f>
        <v/>
      </c>
      <c r="V1274" s="11">
        <f>IF(J1274="","",S1274*(IFERROR(INDEX(Settings!$B$5:$B$9,MATCH($B1274,Settings!$A$5:$A$9,0)),0)+IFERROR(INDEX(Settings!$E$5:$E$9,MATCH($B1274,Settings!$A$5:$A$9,0)),0)+IFERROR(INDEX(Settings!$G$5:$G$9,MATCH($B1274,Settings!$A$5:$A$9,0)),0))+(IFERROR(INDEX(Settings!$C$5:$C$9,MATCH($B1274,Settings!$A$5:$A$9,0)),0)+IFERROR(INDEX(Settings!$F$5:$F$9,MATCH($B1274,Settings!$A$5:$A$9,0)),0))/P1274+IFERROR(INDEX(Settings!$D$5:$D$9,MATCH($B1274,Settings!$A$5:$A$9,0)),0)*M1274)</f>
        <v/>
      </c>
      <c r="W1274" s="11">
        <f>IF(J1274="","",IF(T1274="",0,M1274*INDEX(Products!$I$5:$I$204,T1274)))</f>
        <v/>
      </c>
      <c r="X1274" s="11">
        <f>IF(J1274="","",IF(T1274="",0,S1274*INDEX(Products!$H$5:$H$204,T1274)))</f>
        <v/>
      </c>
      <c r="Y1274" s="11">
        <f>IF(J1274="","",S1274-V1274-W1274-X1274)</f>
        <v/>
      </c>
    </row>
    <row r="1275">
      <c r="A1275" s="19" t="n"/>
      <c r="B1275" s="19" t="n"/>
      <c r="C1275" s="19" t="n"/>
      <c r="D1275" s="19" t="n"/>
      <c r="E1275" s="19" t="n"/>
      <c r="F1275" s="20" t="n"/>
      <c r="G1275" s="20" t="n"/>
      <c r="H1275" s="20" t="n"/>
      <c r="I1275" s="19" t="n"/>
      <c r="J1275">
        <f>IFERROR(IF(C1275="","",C1275)&amp;"","")</f>
        <v/>
      </c>
      <c r="K1275">
        <f>IFERROR(IF(D1275="","",D1275)&amp;"","")</f>
        <v/>
      </c>
      <c r="L1275">
        <f>IFERROR(IF(I1275="","",I1275)&amp;"","")</f>
        <v/>
      </c>
      <c r="M1275">
        <f>IF(J1275="","",IFERROR(VALUE(SUBSTITUTE(SUBSTITUTE(IF(E1275="","",E1275)&amp;"","$",""),",","")),0))</f>
        <v/>
      </c>
      <c r="N1275" s="11">
        <f>IF(J1275="","",IFERROR(VALUE(SUBSTITUTE(SUBSTITUTE(IF(F1275="","",F1275)&amp;"","$",""),",","")),0))</f>
        <v/>
      </c>
      <c r="O1275" s="11">
        <f>IF(J1275="","",M1275*N1275)</f>
        <v/>
      </c>
      <c r="P1275">
        <f>IF(J1275="","",IF(L1275="",1,COUNTIF($L$2:$L$1501,L1275)))</f>
        <v/>
      </c>
      <c r="Q1275" s="11">
        <f>IF(J1275="","",IFERROR(VALUE(SUBSTITUTE(SUBSTITUTE(IF(G1275="","",G1275)&amp;"","$",""),",","")),0)/IF("No"="Yes",P1275,1))</f>
        <v/>
      </c>
      <c r="R1275" s="11">
        <f>IF(J1275="","",IFERROR(VALUE(SUBSTITUTE(SUBSTITUTE(IF(H1275="","",H1275)&amp;"","$",""),",","")),0)/IF("No"="Yes",P1275,1))</f>
        <v/>
      </c>
      <c r="S1275" s="11">
        <f>IF(J1275="","",O1275+Q1275-R1275)</f>
        <v/>
      </c>
      <c r="T1275">
        <f>IF(J1275="","",IFERROR(IF(K1275="",NA(),MATCH(K1275,Products!$B$5:$B$204,0)),IFERROR(MATCH(J1275,Products!$A$5:$A$204,0),"")))</f>
        <v/>
      </c>
      <c r="U1275">
        <f>IF(J1275="","",IF(T1275="","⚠ not in Products",INDEX(Products!$A$5:$A$204,T1275)))</f>
        <v/>
      </c>
      <c r="V1275" s="11">
        <f>IF(J1275="","",S1275*(IFERROR(INDEX(Settings!$B$5:$B$9,MATCH($B1275,Settings!$A$5:$A$9,0)),0)+IFERROR(INDEX(Settings!$E$5:$E$9,MATCH($B1275,Settings!$A$5:$A$9,0)),0)+IFERROR(INDEX(Settings!$G$5:$G$9,MATCH($B1275,Settings!$A$5:$A$9,0)),0))+(IFERROR(INDEX(Settings!$C$5:$C$9,MATCH($B1275,Settings!$A$5:$A$9,0)),0)+IFERROR(INDEX(Settings!$F$5:$F$9,MATCH($B1275,Settings!$A$5:$A$9,0)),0))/P1275+IFERROR(INDEX(Settings!$D$5:$D$9,MATCH($B1275,Settings!$A$5:$A$9,0)),0)*M1275)</f>
        <v/>
      </c>
      <c r="W1275" s="11">
        <f>IF(J1275="","",IF(T1275="",0,M1275*INDEX(Products!$I$5:$I$204,T1275)))</f>
        <v/>
      </c>
      <c r="X1275" s="11">
        <f>IF(J1275="","",IF(T1275="",0,S1275*INDEX(Products!$H$5:$H$204,T1275)))</f>
        <v/>
      </c>
      <c r="Y1275" s="11">
        <f>IF(J1275="","",S1275-V1275-W1275-X1275)</f>
        <v/>
      </c>
    </row>
    <row r="1276">
      <c r="A1276" s="19" t="n"/>
      <c r="B1276" s="19" t="n"/>
      <c r="C1276" s="19" t="n"/>
      <c r="D1276" s="19" t="n"/>
      <c r="E1276" s="19" t="n"/>
      <c r="F1276" s="20" t="n"/>
      <c r="G1276" s="20" t="n"/>
      <c r="H1276" s="20" t="n"/>
      <c r="I1276" s="19" t="n"/>
      <c r="J1276">
        <f>IFERROR(IF(C1276="","",C1276)&amp;"","")</f>
        <v/>
      </c>
      <c r="K1276">
        <f>IFERROR(IF(D1276="","",D1276)&amp;"","")</f>
        <v/>
      </c>
      <c r="L1276">
        <f>IFERROR(IF(I1276="","",I1276)&amp;"","")</f>
        <v/>
      </c>
      <c r="M1276">
        <f>IF(J1276="","",IFERROR(VALUE(SUBSTITUTE(SUBSTITUTE(IF(E1276="","",E1276)&amp;"","$",""),",","")),0))</f>
        <v/>
      </c>
      <c r="N1276" s="11">
        <f>IF(J1276="","",IFERROR(VALUE(SUBSTITUTE(SUBSTITUTE(IF(F1276="","",F1276)&amp;"","$",""),",","")),0))</f>
        <v/>
      </c>
      <c r="O1276" s="11">
        <f>IF(J1276="","",M1276*N1276)</f>
        <v/>
      </c>
      <c r="P1276">
        <f>IF(J1276="","",IF(L1276="",1,COUNTIF($L$2:$L$1501,L1276)))</f>
        <v/>
      </c>
      <c r="Q1276" s="11">
        <f>IF(J1276="","",IFERROR(VALUE(SUBSTITUTE(SUBSTITUTE(IF(G1276="","",G1276)&amp;"","$",""),",","")),0)/IF("No"="Yes",P1276,1))</f>
        <v/>
      </c>
      <c r="R1276" s="11">
        <f>IF(J1276="","",IFERROR(VALUE(SUBSTITUTE(SUBSTITUTE(IF(H1276="","",H1276)&amp;"","$",""),",","")),0)/IF("No"="Yes",P1276,1))</f>
        <v/>
      </c>
      <c r="S1276" s="11">
        <f>IF(J1276="","",O1276+Q1276-R1276)</f>
        <v/>
      </c>
      <c r="T1276">
        <f>IF(J1276="","",IFERROR(IF(K1276="",NA(),MATCH(K1276,Products!$B$5:$B$204,0)),IFERROR(MATCH(J1276,Products!$A$5:$A$204,0),"")))</f>
        <v/>
      </c>
      <c r="U1276">
        <f>IF(J1276="","",IF(T1276="","⚠ not in Products",INDEX(Products!$A$5:$A$204,T1276)))</f>
        <v/>
      </c>
      <c r="V1276" s="11">
        <f>IF(J1276="","",S1276*(IFERROR(INDEX(Settings!$B$5:$B$9,MATCH($B1276,Settings!$A$5:$A$9,0)),0)+IFERROR(INDEX(Settings!$E$5:$E$9,MATCH($B1276,Settings!$A$5:$A$9,0)),0)+IFERROR(INDEX(Settings!$G$5:$G$9,MATCH($B1276,Settings!$A$5:$A$9,0)),0))+(IFERROR(INDEX(Settings!$C$5:$C$9,MATCH($B1276,Settings!$A$5:$A$9,0)),0)+IFERROR(INDEX(Settings!$F$5:$F$9,MATCH($B1276,Settings!$A$5:$A$9,0)),0))/P1276+IFERROR(INDEX(Settings!$D$5:$D$9,MATCH($B1276,Settings!$A$5:$A$9,0)),0)*M1276)</f>
        <v/>
      </c>
      <c r="W1276" s="11">
        <f>IF(J1276="","",IF(T1276="",0,M1276*INDEX(Products!$I$5:$I$204,T1276)))</f>
        <v/>
      </c>
      <c r="X1276" s="11">
        <f>IF(J1276="","",IF(T1276="",0,S1276*INDEX(Products!$H$5:$H$204,T1276)))</f>
        <v/>
      </c>
      <c r="Y1276" s="11">
        <f>IF(J1276="","",S1276-V1276-W1276-X1276)</f>
        <v/>
      </c>
    </row>
    <row r="1277">
      <c r="A1277" s="19" t="n"/>
      <c r="B1277" s="19" t="n"/>
      <c r="C1277" s="19" t="n"/>
      <c r="D1277" s="19" t="n"/>
      <c r="E1277" s="19" t="n"/>
      <c r="F1277" s="20" t="n"/>
      <c r="G1277" s="20" t="n"/>
      <c r="H1277" s="20" t="n"/>
      <c r="I1277" s="19" t="n"/>
      <c r="J1277">
        <f>IFERROR(IF(C1277="","",C1277)&amp;"","")</f>
        <v/>
      </c>
      <c r="K1277">
        <f>IFERROR(IF(D1277="","",D1277)&amp;"","")</f>
        <v/>
      </c>
      <c r="L1277">
        <f>IFERROR(IF(I1277="","",I1277)&amp;"","")</f>
        <v/>
      </c>
      <c r="M1277">
        <f>IF(J1277="","",IFERROR(VALUE(SUBSTITUTE(SUBSTITUTE(IF(E1277="","",E1277)&amp;"","$",""),",","")),0))</f>
        <v/>
      </c>
      <c r="N1277" s="11">
        <f>IF(J1277="","",IFERROR(VALUE(SUBSTITUTE(SUBSTITUTE(IF(F1277="","",F1277)&amp;"","$",""),",","")),0))</f>
        <v/>
      </c>
      <c r="O1277" s="11">
        <f>IF(J1277="","",M1277*N1277)</f>
        <v/>
      </c>
      <c r="P1277">
        <f>IF(J1277="","",IF(L1277="",1,COUNTIF($L$2:$L$1501,L1277)))</f>
        <v/>
      </c>
      <c r="Q1277" s="11">
        <f>IF(J1277="","",IFERROR(VALUE(SUBSTITUTE(SUBSTITUTE(IF(G1277="","",G1277)&amp;"","$",""),",","")),0)/IF("No"="Yes",P1277,1))</f>
        <v/>
      </c>
      <c r="R1277" s="11">
        <f>IF(J1277="","",IFERROR(VALUE(SUBSTITUTE(SUBSTITUTE(IF(H1277="","",H1277)&amp;"","$",""),",","")),0)/IF("No"="Yes",P1277,1))</f>
        <v/>
      </c>
      <c r="S1277" s="11">
        <f>IF(J1277="","",O1277+Q1277-R1277)</f>
        <v/>
      </c>
      <c r="T1277">
        <f>IF(J1277="","",IFERROR(IF(K1277="",NA(),MATCH(K1277,Products!$B$5:$B$204,0)),IFERROR(MATCH(J1277,Products!$A$5:$A$204,0),"")))</f>
        <v/>
      </c>
      <c r="U1277">
        <f>IF(J1277="","",IF(T1277="","⚠ not in Products",INDEX(Products!$A$5:$A$204,T1277)))</f>
        <v/>
      </c>
      <c r="V1277" s="11">
        <f>IF(J1277="","",S1277*(IFERROR(INDEX(Settings!$B$5:$B$9,MATCH($B1277,Settings!$A$5:$A$9,0)),0)+IFERROR(INDEX(Settings!$E$5:$E$9,MATCH($B1277,Settings!$A$5:$A$9,0)),0)+IFERROR(INDEX(Settings!$G$5:$G$9,MATCH($B1277,Settings!$A$5:$A$9,0)),0))+(IFERROR(INDEX(Settings!$C$5:$C$9,MATCH($B1277,Settings!$A$5:$A$9,0)),0)+IFERROR(INDEX(Settings!$F$5:$F$9,MATCH($B1277,Settings!$A$5:$A$9,0)),0))/P1277+IFERROR(INDEX(Settings!$D$5:$D$9,MATCH($B1277,Settings!$A$5:$A$9,0)),0)*M1277)</f>
        <v/>
      </c>
      <c r="W1277" s="11">
        <f>IF(J1277="","",IF(T1277="",0,M1277*INDEX(Products!$I$5:$I$204,T1277)))</f>
        <v/>
      </c>
      <c r="X1277" s="11">
        <f>IF(J1277="","",IF(T1277="",0,S1277*INDEX(Products!$H$5:$H$204,T1277)))</f>
        <v/>
      </c>
      <c r="Y1277" s="11">
        <f>IF(J1277="","",S1277-V1277-W1277-X1277)</f>
        <v/>
      </c>
    </row>
    <row r="1278">
      <c r="A1278" s="19" t="n"/>
      <c r="B1278" s="19" t="n"/>
      <c r="C1278" s="19" t="n"/>
      <c r="D1278" s="19" t="n"/>
      <c r="E1278" s="19" t="n"/>
      <c r="F1278" s="20" t="n"/>
      <c r="G1278" s="20" t="n"/>
      <c r="H1278" s="20" t="n"/>
      <c r="I1278" s="19" t="n"/>
      <c r="J1278">
        <f>IFERROR(IF(C1278="","",C1278)&amp;"","")</f>
        <v/>
      </c>
      <c r="K1278">
        <f>IFERROR(IF(D1278="","",D1278)&amp;"","")</f>
        <v/>
      </c>
      <c r="L1278">
        <f>IFERROR(IF(I1278="","",I1278)&amp;"","")</f>
        <v/>
      </c>
      <c r="M1278">
        <f>IF(J1278="","",IFERROR(VALUE(SUBSTITUTE(SUBSTITUTE(IF(E1278="","",E1278)&amp;"","$",""),",","")),0))</f>
        <v/>
      </c>
      <c r="N1278" s="11">
        <f>IF(J1278="","",IFERROR(VALUE(SUBSTITUTE(SUBSTITUTE(IF(F1278="","",F1278)&amp;"","$",""),",","")),0))</f>
        <v/>
      </c>
      <c r="O1278" s="11">
        <f>IF(J1278="","",M1278*N1278)</f>
        <v/>
      </c>
      <c r="P1278">
        <f>IF(J1278="","",IF(L1278="",1,COUNTIF($L$2:$L$1501,L1278)))</f>
        <v/>
      </c>
      <c r="Q1278" s="11">
        <f>IF(J1278="","",IFERROR(VALUE(SUBSTITUTE(SUBSTITUTE(IF(G1278="","",G1278)&amp;"","$",""),",","")),0)/IF("No"="Yes",P1278,1))</f>
        <v/>
      </c>
      <c r="R1278" s="11">
        <f>IF(J1278="","",IFERROR(VALUE(SUBSTITUTE(SUBSTITUTE(IF(H1278="","",H1278)&amp;"","$",""),",","")),0)/IF("No"="Yes",P1278,1))</f>
        <v/>
      </c>
      <c r="S1278" s="11">
        <f>IF(J1278="","",O1278+Q1278-R1278)</f>
        <v/>
      </c>
      <c r="T1278">
        <f>IF(J1278="","",IFERROR(IF(K1278="",NA(),MATCH(K1278,Products!$B$5:$B$204,0)),IFERROR(MATCH(J1278,Products!$A$5:$A$204,0),"")))</f>
        <v/>
      </c>
      <c r="U1278">
        <f>IF(J1278="","",IF(T1278="","⚠ not in Products",INDEX(Products!$A$5:$A$204,T1278)))</f>
        <v/>
      </c>
      <c r="V1278" s="11">
        <f>IF(J1278="","",S1278*(IFERROR(INDEX(Settings!$B$5:$B$9,MATCH($B1278,Settings!$A$5:$A$9,0)),0)+IFERROR(INDEX(Settings!$E$5:$E$9,MATCH($B1278,Settings!$A$5:$A$9,0)),0)+IFERROR(INDEX(Settings!$G$5:$G$9,MATCH($B1278,Settings!$A$5:$A$9,0)),0))+(IFERROR(INDEX(Settings!$C$5:$C$9,MATCH($B1278,Settings!$A$5:$A$9,0)),0)+IFERROR(INDEX(Settings!$F$5:$F$9,MATCH($B1278,Settings!$A$5:$A$9,0)),0))/P1278+IFERROR(INDEX(Settings!$D$5:$D$9,MATCH($B1278,Settings!$A$5:$A$9,0)),0)*M1278)</f>
        <v/>
      </c>
      <c r="W1278" s="11">
        <f>IF(J1278="","",IF(T1278="",0,M1278*INDEX(Products!$I$5:$I$204,T1278)))</f>
        <v/>
      </c>
      <c r="X1278" s="11">
        <f>IF(J1278="","",IF(T1278="",0,S1278*INDEX(Products!$H$5:$H$204,T1278)))</f>
        <v/>
      </c>
      <c r="Y1278" s="11">
        <f>IF(J1278="","",S1278-V1278-W1278-X1278)</f>
        <v/>
      </c>
    </row>
    <row r="1279">
      <c r="A1279" s="19" t="n"/>
      <c r="B1279" s="19" t="n"/>
      <c r="C1279" s="19" t="n"/>
      <c r="D1279" s="19" t="n"/>
      <c r="E1279" s="19" t="n"/>
      <c r="F1279" s="20" t="n"/>
      <c r="G1279" s="20" t="n"/>
      <c r="H1279" s="20" t="n"/>
      <c r="I1279" s="19" t="n"/>
      <c r="J1279">
        <f>IFERROR(IF(C1279="","",C1279)&amp;"","")</f>
        <v/>
      </c>
      <c r="K1279">
        <f>IFERROR(IF(D1279="","",D1279)&amp;"","")</f>
        <v/>
      </c>
      <c r="L1279">
        <f>IFERROR(IF(I1279="","",I1279)&amp;"","")</f>
        <v/>
      </c>
      <c r="M1279">
        <f>IF(J1279="","",IFERROR(VALUE(SUBSTITUTE(SUBSTITUTE(IF(E1279="","",E1279)&amp;"","$",""),",","")),0))</f>
        <v/>
      </c>
      <c r="N1279" s="11">
        <f>IF(J1279="","",IFERROR(VALUE(SUBSTITUTE(SUBSTITUTE(IF(F1279="","",F1279)&amp;"","$",""),",","")),0))</f>
        <v/>
      </c>
      <c r="O1279" s="11">
        <f>IF(J1279="","",M1279*N1279)</f>
        <v/>
      </c>
      <c r="P1279">
        <f>IF(J1279="","",IF(L1279="",1,COUNTIF($L$2:$L$1501,L1279)))</f>
        <v/>
      </c>
      <c r="Q1279" s="11">
        <f>IF(J1279="","",IFERROR(VALUE(SUBSTITUTE(SUBSTITUTE(IF(G1279="","",G1279)&amp;"","$",""),",","")),0)/IF("No"="Yes",P1279,1))</f>
        <v/>
      </c>
      <c r="R1279" s="11">
        <f>IF(J1279="","",IFERROR(VALUE(SUBSTITUTE(SUBSTITUTE(IF(H1279="","",H1279)&amp;"","$",""),",","")),0)/IF("No"="Yes",P1279,1))</f>
        <v/>
      </c>
      <c r="S1279" s="11">
        <f>IF(J1279="","",O1279+Q1279-R1279)</f>
        <v/>
      </c>
      <c r="T1279">
        <f>IF(J1279="","",IFERROR(IF(K1279="",NA(),MATCH(K1279,Products!$B$5:$B$204,0)),IFERROR(MATCH(J1279,Products!$A$5:$A$204,0),"")))</f>
        <v/>
      </c>
      <c r="U1279">
        <f>IF(J1279="","",IF(T1279="","⚠ not in Products",INDEX(Products!$A$5:$A$204,T1279)))</f>
        <v/>
      </c>
      <c r="V1279" s="11">
        <f>IF(J1279="","",S1279*(IFERROR(INDEX(Settings!$B$5:$B$9,MATCH($B1279,Settings!$A$5:$A$9,0)),0)+IFERROR(INDEX(Settings!$E$5:$E$9,MATCH($B1279,Settings!$A$5:$A$9,0)),0)+IFERROR(INDEX(Settings!$G$5:$G$9,MATCH($B1279,Settings!$A$5:$A$9,0)),0))+(IFERROR(INDEX(Settings!$C$5:$C$9,MATCH($B1279,Settings!$A$5:$A$9,0)),0)+IFERROR(INDEX(Settings!$F$5:$F$9,MATCH($B1279,Settings!$A$5:$A$9,0)),0))/P1279+IFERROR(INDEX(Settings!$D$5:$D$9,MATCH($B1279,Settings!$A$5:$A$9,0)),0)*M1279)</f>
        <v/>
      </c>
      <c r="W1279" s="11">
        <f>IF(J1279="","",IF(T1279="",0,M1279*INDEX(Products!$I$5:$I$204,T1279)))</f>
        <v/>
      </c>
      <c r="X1279" s="11">
        <f>IF(J1279="","",IF(T1279="",0,S1279*INDEX(Products!$H$5:$H$204,T1279)))</f>
        <v/>
      </c>
      <c r="Y1279" s="11">
        <f>IF(J1279="","",S1279-V1279-W1279-X1279)</f>
        <v/>
      </c>
    </row>
    <row r="1280">
      <c r="A1280" s="19" t="n"/>
      <c r="B1280" s="19" t="n"/>
      <c r="C1280" s="19" t="n"/>
      <c r="D1280" s="19" t="n"/>
      <c r="E1280" s="19" t="n"/>
      <c r="F1280" s="20" t="n"/>
      <c r="G1280" s="20" t="n"/>
      <c r="H1280" s="20" t="n"/>
      <c r="I1280" s="19" t="n"/>
      <c r="J1280">
        <f>IFERROR(IF(C1280="","",C1280)&amp;"","")</f>
        <v/>
      </c>
      <c r="K1280">
        <f>IFERROR(IF(D1280="","",D1280)&amp;"","")</f>
        <v/>
      </c>
      <c r="L1280">
        <f>IFERROR(IF(I1280="","",I1280)&amp;"","")</f>
        <v/>
      </c>
      <c r="M1280">
        <f>IF(J1280="","",IFERROR(VALUE(SUBSTITUTE(SUBSTITUTE(IF(E1280="","",E1280)&amp;"","$",""),",","")),0))</f>
        <v/>
      </c>
      <c r="N1280" s="11">
        <f>IF(J1280="","",IFERROR(VALUE(SUBSTITUTE(SUBSTITUTE(IF(F1280="","",F1280)&amp;"","$",""),",","")),0))</f>
        <v/>
      </c>
      <c r="O1280" s="11">
        <f>IF(J1280="","",M1280*N1280)</f>
        <v/>
      </c>
      <c r="P1280">
        <f>IF(J1280="","",IF(L1280="",1,COUNTIF($L$2:$L$1501,L1280)))</f>
        <v/>
      </c>
      <c r="Q1280" s="11">
        <f>IF(J1280="","",IFERROR(VALUE(SUBSTITUTE(SUBSTITUTE(IF(G1280="","",G1280)&amp;"","$",""),",","")),0)/IF("No"="Yes",P1280,1))</f>
        <v/>
      </c>
      <c r="R1280" s="11">
        <f>IF(J1280="","",IFERROR(VALUE(SUBSTITUTE(SUBSTITUTE(IF(H1280="","",H1280)&amp;"","$",""),",","")),0)/IF("No"="Yes",P1280,1))</f>
        <v/>
      </c>
      <c r="S1280" s="11">
        <f>IF(J1280="","",O1280+Q1280-R1280)</f>
        <v/>
      </c>
      <c r="T1280">
        <f>IF(J1280="","",IFERROR(IF(K1280="",NA(),MATCH(K1280,Products!$B$5:$B$204,0)),IFERROR(MATCH(J1280,Products!$A$5:$A$204,0),"")))</f>
        <v/>
      </c>
      <c r="U1280">
        <f>IF(J1280="","",IF(T1280="","⚠ not in Products",INDEX(Products!$A$5:$A$204,T1280)))</f>
        <v/>
      </c>
      <c r="V1280" s="11">
        <f>IF(J1280="","",S1280*(IFERROR(INDEX(Settings!$B$5:$B$9,MATCH($B1280,Settings!$A$5:$A$9,0)),0)+IFERROR(INDEX(Settings!$E$5:$E$9,MATCH($B1280,Settings!$A$5:$A$9,0)),0)+IFERROR(INDEX(Settings!$G$5:$G$9,MATCH($B1280,Settings!$A$5:$A$9,0)),0))+(IFERROR(INDEX(Settings!$C$5:$C$9,MATCH($B1280,Settings!$A$5:$A$9,0)),0)+IFERROR(INDEX(Settings!$F$5:$F$9,MATCH($B1280,Settings!$A$5:$A$9,0)),0))/P1280+IFERROR(INDEX(Settings!$D$5:$D$9,MATCH($B1280,Settings!$A$5:$A$9,0)),0)*M1280)</f>
        <v/>
      </c>
      <c r="W1280" s="11">
        <f>IF(J1280="","",IF(T1280="",0,M1280*INDEX(Products!$I$5:$I$204,T1280)))</f>
        <v/>
      </c>
      <c r="X1280" s="11">
        <f>IF(J1280="","",IF(T1280="",0,S1280*INDEX(Products!$H$5:$H$204,T1280)))</f>
        <v/>
      </c>
      <c r="Y1280" s="11">
        <f>IF(J1280="","",S1280-V1280-W1280-X1280)</f>
        <v/>
      </c>
    </row>
    <row r="1281">
      <c r="A1281" s="19" t="n"/>
      <c r="B1281" s="19" t="n"/>
      <c r="C1281" s="19" t="n"/>
      <c r="D1281" s="19" t="n"/>
      <c r="E1281" s="19" t="n"/>
      <c r="F1281" s="20" t="n"/>
      <c r="G1281" s="20" t="n"/>
      <c r="H1281" s="20" t="n"/>
      <c r="I1281" s="19" t="n"/>
      <c r="J1281">
        <f>IFERROR(IF(C1281="","",C1281)&amp;"","")</f>
        <v/>
      </c>
      <c r="K1281">
        <f>IFERROR(IF(D1281="","",D1281)&amp;"","")</f>
        <v/>
      </c>
      <c r="L1281">
        <f>IFERROR(IF(I1281="","",I1281)&amp;"","")</f>
        <v/>
      </c>
      <c r="M1281">
        <f>IF(J1281="","",IFERROR(VALUE(SUBSTITUTE(SUBSTITUTE(IF(E1281="","",E1281)&amp;"","$",""),",","")),0))</f>
        <v/>
      </c>
      <c r="N1281" s="11">
        <f>IF(J1281="","",IFERROR(VALUE(SUBSTITUTE(SUBSTITUTE(IF(F1281="","",F1281)&amp;"","$",""),",","")),0))</f>
        <v/>
      </c>
      <c r="O1281" s="11">
        <f>IF(J1281="","",M1281*N1281)</f>
        <v/>
      </c>
      <c r="P1281">
        <f>IF(J1281="","",IF(L1281="",1,COUNTIF($L$2:$L$1501,L1281)))</f>
        <v/>
      </c>
      <c r="Q1281" s="11">
        <f>IF(J1281="","",IFERROR(VALUE(SUBSTITUTE(SUBSTITUTE(IF(G1281="","",G1281)&amp;"","$",""),",","")),0)/IF("No"="Yes",P1281,1))</f>
        <v/>
      </c>
      <c r="R1281" s="11">
        <f>IF(J1281="","",IFERROR(VALUE(SUBSTITUTE(SUBSTITUTE(IF(H1281="","",H1281)&amp;"","$",""),",","")),0)/IF("No"="Yes",P1281,1))</f>
        <v/>
      </c>
      <c r="S1281" s="11">
        <f>IF(J1281="","",O1281+Q1281-R1281)</f>
        <v/>
      </c>
      <c r="T1281">
        <f>IF(J1281="","",IFERROR(IF(K1281="",NA(),MATCH(K1281,Products!$B$5:$B$204,0)),IFERROR(MATCH(J1281,Products!$A$5:$A$204,0),"")))</f>
        <v/>
      </c>
      <c r="U1281">
        <f>IF(J1281="","",IF(T1281="","⚠ not in Products",INDEX(Products!$A$5:$A$204,T1281)))</f>
        <v/>
      </c>
      <c r="V1281" s="11">
        <f>IF(J1281="","",S1281*(IFERROR(INDEX(Settings!$B$5:$B$9,MATCH($B1281,Settings!$A$5:$A$9,0)),0)+IFERROR(INDEX(Settings!$E$5:$E$9,MATCH($B1281,Settings!$A$5:$A$9,0)),0)+IFERROR(INDEX(Settings!$G$5:$G$9,MATCH($B1281,Settings!$A$5:$A$9,0)),0))+(IFERROR(INDEX(Settings!$C$5:$C$9,MATCH($B1281,Settings!$A$5:$A$9,0)),0)+IFERROR(INDEX(Settings!$F$5:$F$9,MATCH($B1281,Settings!$A$5:$A$9,0)),0))/P1281+IFERROR(INDEX(Settings!$D$5:$D$9,MATCH($B1281,Settings!$A$5:$A$9,0)),0)*M1281)</f>
        <v/>
      </c>
      <c r="W1281" s="11">
        <f>IF(J1281="","",IF(T1281="",0,M1281*INDEX(Products!$I$5:$I$204,T1281)))</f>
        <v/>
      </c>
      <c r="X1281" s="11">
        <f>IF(J1281="","",IF(T1281="",0,S1281*INDEX(Products!$H$5:$H$204,T1281)))</f>
        <v/>
      </c>
      <c r="Y1281" s="11">
        <f>IF(J1281="","",S1281-V1281-W1281-X1281)</f>
        <v/>
      </c>
    </row>
    <row r="1282">
      <c r="A1282" s="19" t="n"/>
      <c r="B1282" s="19" t="n"/>
      <c r="C1282" s="19" t="n"/>
      <c r="D1282" s="19" t="n"/>
      <c r="E1282" s="19" t="n"/>
      <c r="F1282" s="20" t="n"/>
      <c r="G1282" s="20" t="n"/>
      <c r="H1282" s="20" t="n"/>
      <c r="I1282" s="19" t="n"/>
      <c r="J1282">
        <f>IFERROR(IF(C1282="","",C1282)&amp;"","")</f>
        <v/>
      </c>
      <c r="K1282">
        <f>IFERROR(IF(D1282="","",D1282)&amp;"","")</f>
        <v/>
      </c>
      <c r="L1282">
        <f>IFERROR(IF(I1282="","",I1282)&amp;"","")</f>
        <v/>
      </c>
      <c r="M1282">
        <f>IF(J1282="","",IFERROR(VALUE(SUBSTITUTE(SUBSTITUTE(IF(E1282="","",E1282)&amp;"","$",""),",","")),0))</f>
        <v/>
      </c>
      <c r="N1282" s="11">
        <f>IF(J1282="","",IFERROR(VALUE(SUBSTITUTE(SUBSTITUTE(IF(F1282="","",F1282)&amp;"","$",""),",","")),0))</f>
        <v/>
      </c>
      <c r="O1282" s="11">
        <f>IF(J1282="","",M1282*N1282)</f>
        <v/>
      </c>
      <c r="P1282">
        <f>IF(J1282="","",IF(L1282="",1,COUNTIF($L$2:$L$1501,L1282)))</f>
        <v/>
      </c>
      <c r="Q1282" s="11">
        <f>IF(J1282="","",IFERROR(VALUE(SUBSTITUTE(SUBSTITUTE(IF(G1282="","",G1282)&amp;"","$",""),",","")),0)/IF("No"="Yes",P1282,1))</f>
        <v/>
      </c>
      <c r="R1282" s="11">
        <f>IF(J1282="","",IFERROR(VALUE(SUBSTITUTE(SUBSTITUTE(IF(H1282="","",H1282)&amp;"","$",""),",","")),0)/IF("No"="Yes",P1282,1))</f>
        <v/>
      </c>
      <c r="S1282" s="11">
        <f>IF(J1282="","",O1282+Q1282-R1282)</f>
        <v/>
      </c>
      <c r="T1282">
        <f>IF(J1282="","",IFERROR(IF(K1282="",NA(),MATCH(K1282,Products!$B$5:$B$204,0)),IFERROR(MATCH(J1282,Products!$A$5:$A$204,0),"")))</f>
        <v/>
      </c>
      <c r="U1282">
        <f>IF(J1282="","",IF(T1282="","⚠ not in Products",INDEX(Products!$A$5:$A$204,T1282)))</f>
        <v/>
      </c>
      <c r="V1282" s="11">
        <f>IF(J1282="","",S1282*(IFERROR(INDEX(Settings!$B$5:$B$9,MATCH($B1282,Settings!$A$5:$A$9,0)),0)+IFERROR(INDEX(Settings!$E$5:$E$9,MATCH($B1282,Settings!$A$5:$A$9,0)),0)+IFERROR(INDEX(Settings!$G$5:$G$9,MATCH($B1282,Settings!$A$5:$A$9,0)),0))+(IFERROR(INDEX(Settings!$C$5:$C$9,MATCH($B1282,Settings!$A$5:$A$9,0)),0)+IFERROR(INDEX(Settings!$F$5:$F$9,MATCH($B1282,Settings!$A$5:$A$9,0)),0))/P1282+IFERROR(INDEX(Settings!$D$5:$D$9,MATCH($B1282,Settings!$A$5:$A$9,0)),0)*M1282)</f>
        <v/>
      </c>
      <c r="W1282" s="11">
        <f>IF(J1282="","",IF(T1282="",0,M1282*INDEX(Products!$I$5:$I$204,T1282)))</f>
        <v/>
      </c>
      <c r="X1282" s="11">
        <f>IF(J1282="","",IF(T1282="",0,S1282*INDEX(Products!$H$5:$H$204,T1282)))</f>
        <v/>
      </c>
      <c r="Y1282" s="11">
        <f>IF(J1282="","",S1282-V1282-W1282-X1282)</f>
        <v/>
      </c>
    </row>
    <row r="1283">
      <c r="A1283" s="19" t="n"/>
      <c r="B1283" s="19" t="n"/>
      <c r="C1283" s="19" t="n"/>
      <c r="D1283" s="19" t="n"/>
      <c r="E1283" s="19" t="n"/>
      <c r="F1283" s="20" t="n"/>
      <c r="G1283" s="20" t="n"/>
      <c r="H1283" s="20" t="n"/>
      <c r="I1283" s="19" t="n"/>
      <c r="J1283">
        <f>IFERROR(IF(C1283="","",C1283)&amp;"","")</f>
        <v/>
      </c>
      <c r="K1283">
        <f>IFERROR(IF(D1283="","",D1283)&amp;"","")</f>
        <v/>
      </c>
      <c r="L1283">
        <f>IFERROR(IF(I1283="","",I1283)&amp;"","")</f>
        <v/>
      </c>
      <c r="M1283">
        <f>IF(J1283="","",IFERROR(VALUE(SUBSTITUTE(SUBSTITUTE(IF(E1283="","",E1283)&amp;"","$",""),",","")),0))</f>
        <v/>
      </c>
      <c r="N1283" s="11">
        <f>IF(J1283="","",IFERROR(VALUE(SUBSTITUTE(SUBSTITUTE(IF(F1283="","",F1283)&amp;"","$",""),",","")),0))</f>
        <v/>
      </c>
      <c r="O1283" s="11">
        <f>IF(J1283="","",M1283*N1283)</f>
        <v/>
      </c>
      <c r="P1283">
        <f>IF(J1283="","",IF(L1283="",1,COUNTIF($L$2:$L$1501,L1283)))</f>
        <v/>
      </c>
      <c r="Q1283" s="11">
        <f>IF(J1283="","",IFERROR(VALUE(SUBSTITUTE(SUBSTITUTE(IF(G1283="","",G1283)&amp;"","$",""),",","")),0)/IF("No"="Yes",P1283,1))</f>
        <v/>
      </c>
      <c r="R1283" s="11">
        <f>IF(J1283="","",IFERROR(VALUE(SUBSTITUTE(SUBSTITUTE(IF(H1283="","",H1283)&amp;"","$",""),",","")),0)/IF("No"="Yes",P1283,1))</f>
        <v/>
      </c>
      <c r="S1283" s="11">
        <f>IF(J1283="","",O1283+Q1283-R1283)</f>
        <v/>
      </c>
      <c r="T1283">
        <f>IF(J1283="","",IFERROR(IF(K1283="",NA(),MATCH(K1283,Products!$B$5:$B$204,0)),IFERROR(MATCH(J1283,Products!$A$5:$A$204,0),"")))</f>
        <v/>
      </c>
      <c r="U1283">
        <f>IF(J1283="","",IF(T1283="","⚠ not in Products",INDEX(Products!$A$5:$A$204,T1283)))</f>
        <v/>
      </c>
      <c r="V1283" s="11">
        <f>IF(J1283="","",S1283*(IFERROR(INDEX(Settings!$B$5:$B$9,MATCH($B1283,Settings!$A$5:$A$9,0)),0)+IFERROR(INDEX(Settings!$E$5:$E$9,MATCH($B1283,Settings!$A$5:$A$9,0)),0)+IFERROR(INDEX(Settings!$G$5:$G$9,MATCH($B1283,Settings!$A$5:$A$9,0)),0))+(IFERROR(INDEX(Settings!$C$5:$C$9,MATCH($B1283,Settings!$A$5:$A$9,0)),0)+IFERROR(INDEX(Settings!$F$5:$F$9,MATCH($B1283,Settings!$A$5:$A$9,0)),0))/P1283+IFERROR(INDEX(Settings!$D$5:$D$9,MATCH($B1283,Settings!$A$5:$A$9,0)),0)*M1283)</f>
        <v/>
      </c>
      <c r="W1283" s="11">
        <f>IF(J1283="","",IF(T1283="",0,M1283*INDEX(Products!$I$5:$I$204,T1283)))</f>
        <v/>
      </c>
      <c r="X1283" s="11">
        <f>IF(J1283="","",IF(T1283="",0,S1283*INDEX(Products!$H$5:$H$204,T1283)))</f>
        <v/>
      </c>
      <c r="Y1283" s="11">
        <f>IF(J1283="","",S1283-V1283-W1283-X1283)</f>
        <v/>
      </c>
    </row>
    <row r="1284">
      <c r="A1284" s="19" t="n"/>
      <c r="B1284" s="19" t="n"/>
      <c r="C1284" s="19" t="n"/>
      <c r="D1284" s="19" t="n"/>
      <c r="E1284" s="19" t="n"/>
      <c r="F1284" s="20" t="n"/>
      <c r="G1284" s="20" t="n"/>
      <c r="H1284" s="20" t="n"/>
      <c r="I1284" s="19" t="n"/>
      <c r="J1284">
        <f>IFERROR(IF(C1284="","",C1284)&amp;"","")</f>
        <v/>
      </c>
      <c r="K1284">
        <f>IFERROR(IF(D1284="","",D1284)&amp;"","")</f>
        <v/>
      </c>
      <c r="L1284">
        <f>IFERROR(IF(I1284="","",I1284)&amp;"","")</f>
        <v/>
      </c>
      <c r="M1284">
        <f>IF(J1284="","",IFERROR(VALUE(SUBSTITUTE(SUBSTITUTE(IF(E1284="","",E1284)&amp;"","$",""),",","")),0))</f>
        <v/>
      </c>
      <c r="N1284" s="11">
        <f>IF(J1284="","",IFERROR(VALUE(SUBSTITUTE(SUBSTITUTE(IF(F1284="","",F1284)&amp;"","$",""),",","")),0))</f>
        <v/>
      </c>
      <c r="O1284" s="11">
        <f>IF(J1284="","",M1284*N1284)</f>
        <v/>
      </c>
      <c r="P1284">
        <f>IF(J1284="","",IF(L1284="",1,COUNTIF($L$2:$L$1501,L1284)))</f>
        <v/>
      </c>
      <c r="Q1284" s="11">
        <f>IF(J1284="","",IFERROR(VALUE(SUBSTITUTE(SUBSTITUTE(IF(G1284="","",G1284)&amp;"","$",""),",","")),0)/IF("No"="Yes",P1284,1))</f>
        <v/>
      </c>
      <c r="R1284" s="11">
        <f>IF(J1284="","",IFERROR(VALUE(SUBSTITUTE(SUBSTITUTE(IF(H1284="","",H1284)&amp;"","$",""),",","")),0)/IF("No"="Yes",P1284,1))</f>
        <v/>
      </c>
      <c r="S1284" s="11">
        <f>IF(J1284="","",O1284+Q1284-R1284)</f>
        <v/>
      </c>
      <c r="T1284">
        <f>IF(J1284="","",IFERROR(IF(K1284="",NA(),MATCH(K1284,Products!$B$5:$B$204,0)),IFERROR(MATCH(J1284,Products!$A$5:$A$204,0),"")))</f>
        <v/>
      </c>
      <c r="U1284">
        <f>IF(J1284="","",IF(T1284="","⚠ not in Products",INDEX(Products!$A$5:$A$204,T1284)))</f>
        <v/>
      </c>
      <c r="V1284" s="11">
        <f>IF(J1284="","",S1284*(IFERROR(INDEX(Settings!$B$5:$B$9,MATCH($B1284,Settings!$A$5:$A$9,0)),0)+IFERROR(INDEX(Settings!$E$5:$E$9,MATCH($B1284,Settings!$A$5:$A$9,0)),0)+IFERROR(INDEX(Settings!$G$5:$G$9,MATCH($B1284,Settings!$A$5:$A$9,0)),0))+(IFERROR(INDEX(Settings!$C$5:$C$9,MATCH($B1284,Settings!$A$5:$A$9,0)),0)+IFERROR(INDEX(Settings!$F$5:$F$9,MATCH($B1284,Settings!$A$5:$A$9,0)),0))/P1284+IFERROR(INDEX(Settings!$D$5:$D$9,MATCH($B1284,Settings!$A$5:$A$9,0)),0)*M1284)</f>
        <v/>
      </c>
      <c r="W1284" s="11">
        <f>IF(J1284="","",IF(T1284="",0,M1284*INDEX(Products!$I$5:$I$204,T1284)))</f>
        <v/>
      </c>
      <c r="X1284" s="11">
        <f>IF(J1284="","",IF(T1284="",0,S1284*INDEX(Products!$H$5:$H$204,T1284)))</f>
        <v/>
      </c>
      <c r="Y1284" s="11">
        <f>IF(J1284="","",S1284-V1284-W1284-X1284)</f>
        <v/>
      </c>
    </row>
    <row r="1285">
      <c r="A1285" s="19" t="n"/>
      <c r="B1285" s="19" t="n"/>
      <c r="C1285" s="19" t="n"/>
      <c r="D1285" s="19" t="n"/>
      <c r="E1285" s="19" t="n"/>
      <c r="F1285" s="20" t="n"/>
      <c r="G1285" s="20" t="n"/>
      <c r="H1285" s="20" t="n"/>
      <c r="I1285" s="19" t="n"/>
      <c r="J1285">
        <f>IFERROR(IF(C1285="","",C1285)&amp;"","")</f>
        <v/>
      </c>
      <c r="K1285">
        <f>IFERROR(IF(D1285="","",D1285)&amp;"","")</f>
        <v/>
      </c>
      <c r="L1285">
        <f>IFERROR(IF(I1285="","",I1285)&amp;"","")</f>
        <v/>
      </c>
      <c r="M1285">
        <f>IF(J1285="","",IFERROR(VALUE(SUBSTITUTE(SUBSTITUTE(IF(E1285="","",E1285)&amp;"","$",""),",","")),0))</f>
        <v/>
      </c>
      <c r="N1285" s="11">
        <f>IF(J1285="","",IFERROR(VALUE(SUBSTITUTE(SUBSTITUTE(IF(F1285="","",F1285)&amp;"","$",""),",","")),0))</f>
        <v/>
      </c>
      <c r="O1285" s="11">
        <f>IF(J1285="","",M1285*N1285)</f>
        <v/>
      </c>
      <c r="P1285">
        <f>IF(J1285="","",IF(L1285="",1,COUNTIF($L$2:$L$1501,L1285)))</f>
        <v/>
      </c>
      <c r="Q1285" s="11">
        <f>IF(J1285="","",IFERROR(VALUE(SUBSTITUTE(SUBSTITUTE(IF(G1285="","",G1285)&amp;"","$",""),",","")),0)/IF("No"="Yes",P1285,1))</f>
        <v/>
      </c>
      <c r="R1285" s="11">
        <f>IF(J1285="","",IFERROR(VALUE(SUBSTITUTE(SUBSTITUTE(IF(H1285="","",H1285)&amp;"","$",""),",","")),0)/IF("No"="Yes",P1285,1))</f>
        <v/>
      </c>
      <c r="S1285" s="11">
        <f>IF(J1285="","",O1285+Q1285-R1285)</f>
        <v/>
      </c>
      <c r="T1285">
        <f>IF(J1285="","",IFERROR(IF(K1285="",NA(),MATCH(K1285,Products!$B$5:$B$204,0)),IFERROR(MATCH(J1285,Products!$A$5:$A$204,0),"")))</f>
        <v/>
      </c>
      <c r="U1285">
        <f>IF(J1285="","",IF(T1285="","⚠ not in Products",INDEX(Products!$A$5:$A$204,T1285)))</f>
        <v/>
      </c>
      <c r="V1285" s="11">
        <f>IF(J1285="","",S1285*(IFERROR(INDEX(Settings!$B$5:$B$9,MATCH($B1285,Settings!$A$5:$A$9,0)),0)+IFERROR(INDEX(Settings!$E$5:$E$9,MATCH($B1285,Settings!$A$5:$A$9,0)),0)+IFERROR(INDEX(Settings!$G$5:$G$9,MATCH($B1285,Settings!$A$5:$A$9,0)),0))+(IFERROR(INDEX(Settings!$C$5:$C$9,MATCH($B1285,Settings!$A$5:$A$9,0)),0)+IFERROR(INDEX(Settings!$F$5:$F$9,MATCH($B1285,Settings!$A$5:$A$9,0)),0))/P1285+IFERROR(INDEX(Settings!$D$5:$D$9,MATCH($B1285,Settings!$A$5:$A$9,0)),0)*M1285)</f>
        <v/>
      </c>
      <c r="W1285" s="11">
        <f>IF(J1285="","",IF(T1285="",0,M1285*INDEX(Products!$I$5:$I$204,T1285)))</f>
        <v/>
      </c>
      <c r="X1285" s="11">
        <f>IF(J1285="","",IF(T1285="",0,S1285*INDEX(Products!$H$5:$H$204,T1285)))</f>
        <v/>
      </c>
      <c r="Y1285" s="11">
        <f>IF(J1285="","",S1285-V1285-W1285-X1285)</f>
        <v/>
      </c>
    </row>
    <row r="1286">
      <c r="A1286" s="19" t="n"/>
      <c r="B1286" s="19" t="n"/>
      <c r="C1286" s="19" t="n"/>
      <c r="D1286" s="19" t="n"/>
      <c r="E1286" s="19" t="n"/>
      <c r="F1286" s="20" t="n"/>
      <c r="G1286" s="20" t="n"/>
      <c r="H1286" s="20" t="n"/>
      <c r="I1286" s="19" t="n"/>
      <c r="J1286">
        <f>IFERROR(IF(C1286="","",C1286)&amp;"","")</f>
        <v/>
      </c>
      <c r="K1286">
        <f>IFERROR(IF(D1286="","",D1286)&amp;"","")</f>
        <v/>
      </c>
      <c r="L1286">
        <f>IFERROR(IF(I1286="","",I1286)&amp;"","")</f>
        <v/>
      </c>
      <c r="M1286">
        <f>IF(J1286="","",IFERROR(VALUE(SUBSTITUTE(SUBSTITUTE(IF(E1286="","",E1286)&amp;"","$",""),",","")),0))</f>
        <v/>
      </c>
      <c r="N1286" s="11">
        <f>IF(J1286="","",IFERROR(VALUE(SUBSTITUTE(SUBSTITUTE(IF(F1286="","",F1286)&amp;"","$",""),",","")),0))</f>
        <v/>
      </c>
      <c r="O1286" s="11">
        <f>IF(J1286="","",M1286*N1286)</f>
        <v/>
      </c>
      <c r="P1286">
        <f>IF(J1286="","",IF(L1286="",1,COUNTIF($L$2:$L$1501,L1286)))</f>
        <v/>
      </c>
      <c r="Q1286" s="11">
        <f>IF(J1286="","",IFERROR(VALUE(SUBSTITUTE(SUBSTITUTE(IF(G1286="","",G1286)&amp;"","$",""),",","")),0)/IF("No"="Yes",P1286,1))</f>
        <v/>
      </c>
      <c r="R1286" s="11">
        <f>IF(J1286="","",IFERROR(VALUE(SUBSTITUTE(SUBSTITUTE(IF(H1286="","",H1286)&amp;"","$",""),",","")),0)/IF("No"="Yes",P1286,1))</f>
        <v/>
      </c>
      <c r="S1286" s="11">
        <f>IF(J1286="","",O1286+Q1286-R1286)</f>
        <v/>
      </c>
      <c r="T1286">
        <f>IF(J1286="","",IFERROR(IF(K1286="",NA(),MATCH(K1286,Products!$B$5:$B$204,0)),IFERROR(MATCH(J1286,Products!$A$5:$A$204,0),"")))</f>
        <v/>
      </c>
      <c r="U1286">
        <f>IF(J1286="","",IF(T1286="","⚠ not in Products",INDEX(Products!$A$5:$A$204,T1286)))</f>
        <v/>
      </c>
      <c r="V1286" s="11">
        <f>IF(J1286="","",S1286*(IFERROR(INDEX(Settings!$B$5:$B$9,MATCH($B1286,Settings!$A$5:$A$9,0)),0)+IFERROR(INDEX(Settings!$E$5:$E$9,MATCH($B1286,Settings!$A$5:$A$9,0)),0)+IFERROR(INDEX(Settings!$G$5:$G$9,MATCH($B1286,Settings!$A$5:$A$9,0)),0))+(IFERROR(INDEX(Settings!$C$5:$C$9,MATCH($B1286,Settings!$A$5:$A$9,0)),0)+IFERROR(INDEX(Settings!$F$5:$F$9,MATCH($B1286,Settings!$A$5:$A$9,0)),0))/P1286+IFERROR(INDEX(Settings!$D$5:$D$9,MATCH($B1286,Settings!$A$5:$A$9,0)),0)*M1286)</f>
        <v/>
      </c>
      <c r="W1286" s="11">
        <f>IF(J1286="","",IF(T1286="",0,M1286*INDEX(Products!$I$5:$I$204,T1286)))</f>
        <v/>
      </c>
      <c r="X1286" s="11">
        <f>IF(J1286="","",IF(T1286="",0,S1286*INDEX(Products!$H$5:$H$204,T1286)))</f>
        <v/>
      </c>
      <c r="Y1286" s="11">
        <f>IF(J1286="","",S1286-V1286-W1286-X1286)</f>
        <v/>
      </c>
    </row>
    <row r="1287">
      <c r="A1287" s="19" t="n"/>
      <c r="B1287" s="19" t="n"/>
      <c r="C1287" s="19" t="n"/>
      <c r="D1287" s="19" t="n"/>
      <c r="E1287" s="19" t="n"/>
      <c r="F1287" s="20" t="n"/>
      <c r="G1287" s="20" t="n"/>
      <c r="H1287" s="20" t="n"/>
      <c r="I1287" s="19" t="n"/>
      <c r="J1287">
        <f>IFERROR(IF(C1287="","",C1287)&amp;"","")</f>
        <v/>
      </c>
      <c r="K1287">
        <f>IFERROR(IF(D1287="","",D1287)&amp;"","")</f>
        <v/>
      </c>
      <c r="L1287">
        <f>IFERROR(IF(I1287="","",I1287)&amp;"","")</f>
        <v/>
      </c>
      <c r="M1287">
        <f>IF(J1287="","",IFERROR(VALUE(SUBSTITUTE(SUBSTITUTE(IF(E1287="","",E1287)&amp;"","$",""),",","")),0))</f>
        <v/>
      </c>
      <c r="N1287" s="11">
        <f>IF(J1287="","",IFERROR(VALUE(SUBSTITUTE(SUBSTITUTE(IF(F1287="","",F1287)&amp;"","$",""),",","")),0))</f>
        <v/>
      </c>
      <c r="O1287" s="11">
        <f>IF(J1287="","",M1287*N1287)</f>
        <v/>
      </c>
      <c r="P1287">
        <f>IF(J1287="","",IF(L1287="",1,COUNTIF($L$2:$L$1501,L1287)))</f>
        <v/>
      </c>
      <c r="Q1287" s="11">
        <f>IF(J1287="","",IFERROR(VALUE(SUBSTITUTE(SUBSTITUTE(IF(G1287="","",G1287)&amp;"","$",""),",","")),0)/IF("No"="Yes",P1287,1))</f>
        <v/>
      </c>
      <c r="R1287" s="11">
        <f>IF(J1287="","",IFERROR(VALUE(SUBSTITUTE(SUBSTITUTE(IF(H1287="","",H1287)&amp;"","$",""),",","")),0)/IF("No"="Yes",P1287,1))</f>
        <v/>
      </c>
      <c r="S1287" s="11">
        <f>IF(J1287="","",O1287+Q1287-R1287)</f>
        <v/>
      </c>
      <c r="T1287">
        <f>IF(J1287="","",IFERROR(IF(K1287="",NA(),MATCH(K1287,Products!$B$5:$B$204,0)),IFERROR(MATCH(J1287,Products!$A$5:$A$204,0),"")))</f>
        <v/>
      </c>
      <c r="U1287">
        <f>IF(J1287="","",IF(T1287="","⚠ not in Products",INDEX(Products!$A$5:$A$204,T1287)))</f>
        <v/>
      </c>
      <c r="V1287" s="11">
        <f>IF(J1287="","",S1287*(IFERROR(INDEX(Settings!$B$5:$B$9,MATCH($B1287,Settings!$A$5:$A$9,0)),0)+IFERROR(INDEX(Settings!$E$5:$E$9,MATCH($B1287,Settings!$A$5:$A$9,0)),0)+IFERROR(INDEX(Settings!$G$5:$G$9,MATCH($B1287,Settings!$A$5:$A$9,0)),0))+(IFERROR(INDEX(Settings!$C$5:$C$9,MATCH($B1287,Settings!$A$5:$A$9,0)),0)+IFERROR(INDEX(Settings!$F$5:$F$9,MATCH($B1287,Settings!$A$5:$A$9,0)),0))/P1287+IFERROR(INDEX(Settings!$D$5:$D$9,MATCH($B1287,Settings!$A$5:$A$9,0)),0)*M1287)</f>
        <v/>
      </c>
      <c r="W1287" s="11">
        <f>IF(J1287="","",IF(T1287="",0,M1287*INDEX(Products!$I$5:$I$204,T1287)))</f>
        <v/>
      </c>
      <c r="X1287" s="11">
        <f>IF(J1287="","",IF(T1287="",0,S1287*INDEX(Products!$H$5:$H$204,T1287)))</f>
        <v/>
      </c>
      <c r="Y1287" s="11">
        <f>IF(J1287="","",S1287-V1287-W1287-X1287)</f>
        <v/>
      </c>
    </row>
    <row r="1288">
      <c r="A1288" s="19" t="n"/>
      <c r="B1288" s="19" t="n"/>
      <c r="C1288" s="19" t="n"/>
      <c r="D1288" s="19" t="n"/>
      <c r="E1288" s="19" t="n"/>
      <c r="F1288" s="20" t="n"/>
      <c r="G1288" s="20" t="n"/>
      <c r="H1288" s="20" t="n"/>
      <c r="I1288" s="19" t="n"/>
      <c r="J1288">
        <f>IFERROR(IF(C1288="","",C1288)&amp;"","")</f>
        <v/>
      </c>
      <c r="K1288">
        <f>IFERROR(IF(D1288="","",D1288)&amp;"","")</f>
        <v/>
      </c>
      <c r="L1288">
        <f>IFERROR(IF(I1288="","",I1288)&amp;"","")</f>
        <v/>
      </c>
      <c r="M1288">
        <f>IF(J1288="","",IFERROR(VALUE(SUBSTITUTE(SUBSTITUTE(IF(E1288="","",E1288)&amp;"","$",""),",","")),0))</f>
        <v/>
      </c>
      <c r="N1288" s="11">
        <f>IF(J1288="","",IFERROR(VALUE(SUBSTITUTE(SUBSTITUTE(IF(F1288="","",F1288)&amp;"","$",""),",","")),0))</f>
        <v/>
      </c>
      <c r="O1288" s="11">
        <f>IF(J1288="","",M1288*N1288)</f>
        <v/>
      </c>
      <c r="P1288">
        <f>IF(J1288="","",IF(L1288="",1,COUNTIF($L$2:$L$1501,L1288)))</f>
        <v/>
      </c>
      <c r="Q1288" s="11">
        <f>IF(J1288="","",IFERROR(VALUE(SUBSTITUTE(SUBSTITUTE(IF(G1288="","",G1288)&amp;"","$",""),",","")),0)/IF("No"="Yes",P1288,1))</f>
        <v/>
      </c>
      <c r="R1288" s="11">
        <f>IF(J1288="","",IFERROR(VALUE(SUBSTITUTE(SUBSTITUTE(IF(H1288="","",H1288)&amp;"","$",""),",","")),0)/IF("No"="Yes",P1288,1))</f>
        <v/>
      </c>
      <c r="S1288" s="11">
        <f>IF(J1288="","",O1288+Q1288-R1288)</f>
        <v/>
      </c>
      <c r="T1288">
        <f>IF(J1288="","",IFERROR(IF(K1288="",NA(),MATCH(K1288,Products!$B$5:$B$204,0)),IFERROR(MATCH(J1288,Products!$A$5:$A$204,0),"")))</f>
        <v/>
      </c>
      <c r="U1288">
        <f>IF(J1288="","",IF(T1288="","⚠ not in Products",INDEX(Products!$A$5:$A$204,T1288)))</f>
        <v/>
      </c>
      <c r="V1288" s="11">
        <f>IF(J1288="","",S1288*(IFERROR(INDEX(Settings!$B$5:$B$9,MATCH($B1288,Settings!$A$5:$A$9,0)),0)+IFERROR(INDEX(Settings!$E$5:$E$9,MATCH($B1288,Settings!$A$5:$A$9,0)),0)+IFERROR(INDEX(Settings!$G$5:$G$9,MATCH($B1288,Settings!$A$5:$A$9,0)),0))+(IFERROR(INDEX(Settings!$C$5:$C$9,MATCH($B1288,Settings!$A$5:$A$9,0)),0)+IFERROR(INDEX(Settings!$F$5:$F$9,MATCH($B1288,Settings!$A$5:$A$9,0)),0))/P1288+IFERROR(INDEX(Settings!$D$5:$D$9,MATCH($B1288,Settings!$A$5:$A$9,0)),0)*M1288)</f>
        <v/>
      </c>
      <c r="W1288" s="11">
        <f>IF(J1288="","",IF(T1288="",0,M1288*INDEX(Products!$I$5:$I$204,T1288)))</f>
        <v/>
      </c>
      <c r="X1288" s="11">
        <f>IF(J1288="","",IF(T1288="",0,S1288*INDEX(Products!$H$5:$H$204,T1288)))</f>
        <v/>
      </c>
      <c r="Y1288" s="11">
        <f>IF(J1288="","",S1288-V1288-W1288-X1288)</f>
        <v/>
      </c>
    </row>
    <row r="1289">
      <c r="A1289" s="19" t="n"/>
      <c r="B1289" s="19" t="n"/>
      <c r="C1289" s="19" t="n"/>
      <c r="D1289" s="19" t="n"/>
      <c r="E1289" s="19" t="n"/>
      <c r="F1289" s="20" t="n"/>
      <c r="G1289" s="20" t="n"/>
      <c r="H1289" s="20" t="n"/>
      <c r="I1289" s="19" t="n"/>
      <c r="J1289">
        <f>IFERROR(IF(C1289="","",C1289)&amp;"","")</f>
        <v/>
      </c>
      <c r="K1289">
        <f>IFERROR(IF(D1289="","",D1289)&amp;"","")</f>
        <v/>
      </c>
      <c r="L1289">
        <f>IFERROR(IF(I1289="","",I1289)&amp;"","")</f>
        <v/>
      </c>
      <c r="M1289">
        <f>IF(J1289="","",IFERROR(VALUE(SUBSTITUTE(SUBSTITUTE(IF(E1289="","",E1289)&amp;"","$",""),",","")),0))</f>
        <v/>
      </c>
      <c r="N1289" s="11">
        <f>IF(J1289="","",IFERROR(VALUE(SUBSTITUTE(SUBSTITUTE(IF(F1289="","",F1289)&amp;"","$",""),",","")),0))</f>
        <v/>
      </c>
      <c r="O1289" s="11">
        <f>IF(J1289="","",M1289*N1289)</f>
        <v/>
      </c>
      <c r="P1289">
        <f>IF(J1289="","",IF(L1289="",1,COUNTIF($L$2:$L$1501,L1289)))</f>
        <v/>
      </c>
      <c r="Q1289" s="11">
        <f>IF(J1289="","",IFERROR(VALUE(SUBSTITUTE(SUBSTITUTE(IF(G1289="","",G1289)&amp;"","$",""),",","")),0)/IF("No"="Yes",P1289,1))</f>
        <v/>
      </c>
      <c r="R1289" s="11">
        <f>IF(J1289="","",IFERROR(VALUE(SUBSTITUTE(SUBSTITUTE(IF(H1289="","",H1289)&amp;"","$",""),",","")),0)/IF("No"="Yes",P1289,1))</f>
        <v/>
      </c>
      <c r="S1289" s="11">
        <f>IF(J1289="","",O1289+Q1289-R1289)</f>
        <v/>
      </c>
      <c r="T1289">
        <f>IF(J1289="","",IFERROR(IF(K1289="",NA(),MATCH(K1289,Products!$B$5:$B$204,0)),IFERROR(MATCH(J1289,Products!$A$5:$A$204,0),"")))</f>
        <v/>
      </c>
      <c r="U1289">
        <f>IF(J1289="","",IF(T1289="","⚠ not in Products",INDEX(Products!$A$5:$A$204,T1289)))</f>
        <v/>
      </c>
      <c r="V1289" s="11">
        <f>IF(J1289="","",S1289*(IFERROR(INDEX(Settings!$B$5:$B$9,MATCH($B1289,Settings!$A$5:$A$9,0)),0)+IFERROR(INDEX(Settings!$E$5:$E$9,MATCH($B1289,Settings!$A$5:$A$9,0)),0)+IFERROR(INDEX(Settings!$G$5:$G$9,MATCH($B1289,Settings!$A$5:$A$9,0)),0))+(IFERROR(INDEX(Settings!$C$5:$C$9,MATCH($B1289,Settings!$A$5:$A$9,0)),0)+IFERROR(INDEX(Settings!$F$5:$F$9,MATCH($B1289,Settings!$A$5:$A$9,0)),0))/P1289+IFERROR(INDEX(Settings!$D$5:$D$9,MATCH($B1289,Settings!$A$5:$A$9,0)),0)*M1289)</f>
        <v/>
      </c>
      <c r="W1289" s="11">
        <f>IF(J1289="","",IF(T1289="",0,M1289*INDEX(Products!$I$5:$I$204,T1289)))</f>
        <v/>
      </c>
      <c r="X1289" s="11">
        <f>IF(J1289="","",IF(T1289="",0,S1289*INDEX(Products!$H$5:$H$204,T1289)))</f>
        <v/>
      </c>
      <c r="Y1289" s="11">
        <f>IF(J1289="","",S1289-V1289-W1289-X1289)</f>
        <v/>
      </c>
    </row>
    <row r="1290">
      <c r="A1290" s="19" t="n"/>
      <c r="B1290" s="19" t="n"/>
      <c r="C1290" s="19" t="n"/>
      <c r="D1290" s="19" t="n"/>
      <c r="E1290" s="19" t="n"/>
      <c r="F1290" s="20" t="n"/>
      <c r="G1290" s="20" t="n"/>
      <c r="H1290" s="20" t="n"/>
      <c r="I1290" s="19" t="n"/>
      <c r="J1290">
        <f>IFERROR(IF(C1290="","",C1290)&amp;"","")</f>
        <v/>
      </c>
      <c r="K1290">
        <f>IFERROR(IF(D1290="","",D1290)&amp;"","")</f>
        <v/>
      </c>
      <c r="L1290">
        <f>IFERROR(IF(I1290="","",I1290)&amp;"","")</f>
        <v/>
      </c>
      <c r="M1290">
        <f>IF(J1290="","",IFERROR(VALUE(SUBSTITUTE(SUBSTITUTE(IF(E1290="","",E1290)&amp;"","$",""),",","")),0))</f>
        <v/>
      </c>
      <c r="N1290" s="11">
        <f>IF(J1290="","",IFERROR(VALUE(SUBSTITUTE(SUBSTITUTE(IF(F1290="","",F1290)&amp;"","$",""),",","")),0))</f>
        <v/>
      </c>
      <c r="O1290" s="11">
        <f>IF(J1290="","",M1290*N1290)</f>
        <v/>
      </c>
      <c r="P1290">
        <f>IF(J1290="","",IF(L1290="",1,COUNTIF($L$2:$L$1501,L1290)))</f>
        <v/>
      </c>
      <c r="Q1290" s="11">
        <f>IF(J1290="","",IFERROR(VALUE(SUBSTITUTE(SUBSTITUTE(IF(G1290="","",G1290)&amp;"","$",""),",","")),0)/IF("No"="Yes",P1290,1))</f>
        <v/>
      </c>
      <c r="R1290" s="11">
        <f>IF(J1290="","",IFERROR(VALUE(SUBSTITUTE(SUBSTITUTE(IF(H1290="","",H1290)&amp;"","$",""),",","")),0)/IF("No"="Yes",P1290,1))</f>
        <v/>
      </c>
      <c r="S1290" s="11">
        <f>IF(J1290="","",O1290+Q1290-R1290)</f>
        <v/>
      </c>
      <c r="T1290">
        <f>IF(J1290="","",IFERROR(IF(K1290="",NA(),MATCH(K1290,Products!$B$5:$B$204,0)),IFERROR(MATCH(J1290,Products!$A$5:$A$204,0),"")))</f>
        <v/>
      </c>
      <c r="U1290">
        <f>IF(J1290="","",IF(T1290="","⚠ not in Products",INDEX(Products!$A$5:$A$204,T1290)))</f>
        <v/>
      </c>
      <c r="V1290" s="11">
        <f>IF(J1290="","",S1290*(IFERROR(INDEX(Settings!$B$5:$B$9,MATCH($B1290,Settings!$A$5:$A$9,0)),0)+IFERROR(INDEX(Settings!$E$5:$E$9,MATCH($B1290,Settings!$A$5:$A$9,0)),0)+IFERROR(INDEX(Settings!$G$5:$G$9,MATCH($B1290,Settings!$A$5:$A$9,0)),0))+(IFERROR(INDEX(Settings!$C$5:$C$9,MATCH($B1290,Settings!$A$5:$A$9,0)),0)+IFERROR(INDEX(Settings!$F$5:$F$9,MATCH($B1290,Settings!$A$5:$A$9,0)),0))/P1290+IFERROR(INDEX(Settings!$D$5:$D$9,MATCH($B1290,Settings!$A$5:$A$9,0)),0)*M1290)</f>
        <v/>
      </c>
      <c r="W1290" s="11">
        <f>IF(J1290="","",IF(T1290="",0,M1290*INDEX(Products!$I$5:$I$204,T1290)))</f>
        <v/>
      </c>
      <c r="X1290" s="11">
        <f>IF(J1290="","",IF(T1290="",0,S1290*INDEX(Products!$H$5:$H$204,T1290)))</f>
        <v/>
      </c>
      <c r="Y1290" s="11">
        <f>IF(J1290="","",S1290-V1290-W1290-X1290)</f>
        <v/>
      </c>
    </row>
    <row r="1291">
      <c r="A1291" s="19" t="n"/>
      <c r="B1291" s="19" t="n"/>
      <c r="C1291" s="19" t="n"/>
      <c r="D1291" s="19" t="n"/>
      <c r="E1291" s="19" t="n"/>
      <c r="F1291" s="20" t="n"/>
      <c r="G1291" s="20" t="n"/>
      <c r="H1291" s="20" t="n"/>
      <c r="I1291" s="19" t="n"/>
      <c r="J1291">
        <f>IFERROR(IF(C1291="","",C1291)&amp;"","")</f>
        <v/>
      </c>
      <c r="K1291">
        <f>IFERROR(IF(D1291="","",D1291)&amp;"","")</f>
        <v/>
      </c>
      <c r="L1291">
        <f>IFERROR(IF(I1291="","",I1291)&amp;"","")</f>
        <v/>
      </c>
      <c r="M1291">
        <f>IF(J1291="","",IFERROR(VALUE(SUBSTITUTE(SUBSTITUTE(IF(E1291="","",E1291)&amp;"","$",""),",","")),0))</f>
        <v/>
      </c>
      <c r="N1291" s="11">
        <f>IF(J1291="","",IFERROR(VALUE(SUBSTITUTE(SUBSTITUTE(IF(F1291="","",F1291)&amp;"","$",""),",","")),0))</f>
        <v/>
      </c>
      <c r="O1291" s="11">
        <f>IF(J1291="","",M1291*N1291)</f>
        <v/>
      </c>
      <c r="P1291">
        <f>IF(J1291="","",IF(L1291="",1,COUNTIF($L$2:$L$1501,L1291)))</f>
        <v/>
      </c>
      <c r="Q1291" s="11">
        <f>IF(J1291="","",IFERROR(VALUE(SUBSTITUTE(SUBSTITUTE(IF(G1291="","",G1291)&amp;"","$",""),",","")),0)/IF("No"="Yes",P1291,1))</f>
        <v/>
      </c>
      <c r="R1291" s="11">
        <f>IF(J1291="","",IFERROR(VALUE(SUBSTITUTE(SUBSTITUTE(IF(H1291="","",H1291)&amp;"","$",""),",","")),0)/IF("No"="Yes",P1291,1))</f>
        <v/>
      </c>
      <c r="S1291" s="11">
        <f>IF(J1291="","",O1291+Q1291-R1291)</f>
        <v/>
      </c>
      <c r="T1291">
        <f>IF(J1291="","",IFERROR(IF(K1291="",NA(),MATCH(K1291,Products!$B$5:$B$204,0)),IFERROR(MATCH(J1291,Products!$A$5:$A$204,0),"")))</f>
        <v/>
      </c>
      <c r="U1291">
        <f>IF(J1291="","",IF(T1291="","⚠ not in Products",INDEX(Products!$A$5:$A$204,T1291)))</f>
        <v/>
      </c>
      <c r="V1291" s="11">
        <f>IF(J1291="","",S1291*(IFERROR(INDEX(Settings!$B$5:$B$9,MATCH($B1291,Settings!$A$5:$A$9,0)),0)+IFERROR(INDEX(Settings!$E$5:$E$9,MATCH($B1291,Settings!$A$5:$A$9,0)),0)+IFERROR(INDEX(Settings!$G$5:$G$9,MATCH($B1291,Settings!$A$5:$A$9,0)),0))+(IFERROR(INDEX(Settings!$C$5:$C$9,MATCH($B1291,Settings!$A$5:$A$9,0)),0)+IFERROR(INDEX(Settings!$F$5:$F$9,MATCH($B1291,Settings!$A$5:$A$9,0)),0))/P1291+IFERROR(INDEX(Settings!$D$5:$D$9,MATCH($B1291,Settings!$A$5:$A$9,0)),0)*M1291)</f>
        <v/>
      </c>
      <c r="W1291" s="11">
        <f>IF(J1291="","",IF(T1291="",0,M1291*INDEX(Products!$I$5:$I$204,T1291)))</f>
        <v/>
      </c>
      <c r="X1291" s="11">
        <f>IF(J1291="","",IF(T1291="",0,S1291*INDEX(Products!$H$5:$H$204,T1291)))</f>
        <v/>
      </c>
      <c r="Y1291" s="11">
        <f>IF(J1291="","",S1291-V1291-W1291-X1291)</f>
        <v/>
      </c>
    </row>
    <row r="1292">
      <c r="A1292" s="19" t="n"/>
      <c r="B1292" s="19" t="n"/>
      <c r="C1292" s="19" t="n"/>
      <c r="D1292" s="19" t="n"/>
      <c r="E1292" s="19" t="n"/>
      <c r="F1292" s="20" t="n"/>
      <c r="G1292" s="20" t="n"/>
      <c r="H1292" s="20" t="n"/>
      <c r="I1292" s="19" t="n"/>
      <c r="J1292">
        <f>IFERROR(IF(C1292="","",C1292)&amp;"","")</f>
        <v/>
      </c>
      <c r="K1292">
        <f>IFERROR(IF(D1292="","",D1292)&amp;"","")</f>
        <v/>
      </c>
      <c r="L1292">
        <f>IFERROR(IF(I1292="","",I1292)&amp;"","")</f>
        <v/>
      </c>
      <c r="M1292">
        <f>IF(J1292="","",IFERROR(VALUE(SUBSTITUTE(SUBSTITUTE(IF(E1292="","",E1292)&amp;"","$",""),",","")),0))</f>
        <v/>
      </c>
      <c r="N1292" s="11">
        <f>IF(J1292="","",IFERROR(VALUE(SUBSTITUTE(SUBSTITUTE(IF(F1292="","",F1292)&amp;"","$",""),",","")),0))</f>
        <v/>
      </c>
      <c r="O1292" s="11">
        <f>IF(J1292="","",M1292*N1292)</f>
        <v/>
      </c>
      <c r="P1292">
        <f>IF(J1292="","",IF(L1292="",1,COUNTIF($L$2:$L$1501,L1292)))</f>
        <v/>
      </c>
      <c r="Q1292" s="11">
        <f>IF(J1292="","",IFERROR(VALUE(SUBSTITUTE(SUBSTITUTE(IF(G1292="","",G1292)&amp;"","$",""),",","")),0)/IF("No"="Yes",P1292,1))</f>
        <v/>
      </c>
      <c r="R1292" s="11">
        <f>IF(J1292="","",IFERROR(VALUE(SUBSTITUTE(SUBSTITUTE(IF(H1292="","",H1292)&amp;"","$",""),",","")),0)/IF("No"="Yes",P1292,1))</f>
        <v/>
      </c>
      <c r="S1292" s="11">
        <f>IF(J1292="","",O1292+Q1292-R1292)</f>
        <v/>
      </c>
      <c r="T1292">
        <f>IF(J1292="","",IFERROR(IF(K1292="",NA(),MATCH(K1292,Products!$B$5:$B$204,0)),IFERROR(MATCH(J1292,Products!$A$5:$A$204,0),"")))</f>
        <v/>
      </c>
      <c r="U1292">
        <f>IF(J1292="","",IF(T1292="","⚠ not in Products",INDEX(Products!$A$5:$A$204,T1292)))</f>
        <v/>
      </c>
      <c r="V1292" s="11">
        <f>IF(J1292="","",S1292*(IFERROR(INDEX(Settings!$B$5:$B$9,MATCH($B1292,Settings!$A$5:$A$9,0)),0)+IFERROR(INDEX(Settings!$E$5:$E$9,MATCH($B1292,Settings!$A$5:$A$9,0)),0)+IFERROR(INDEX(Settings!$G$5:$G$9,MATCH($B1292,Settings!$A$5:$A$9,0)),0))+(IFERROR(INDEX(Settings!$C$5:$C$9,MATCH($B1292,Settings!$A$5:$A$9,0)),0)+IFERROR(INDEX(Settings!$F$5:$F$9,MATCH($B1292,Settings!$A$5:$A$9,0)),0))/P1292+IFERROR(INDEX(Settings!$D$5:$D$9,MATCH($B1292,Settings!$A$5:$A$9,0)),0)*M1292)</f>
        <v/>
      </c>
      <c r="W1292" s="11">
        <f>IF(J1292="","",IF(T1292="",0,M1292*INDEX(Products!$I$5:$I$204,T1292)))</f>
        <v/>
      </c>
      <c r="X1292" s="11">
        <f>IF(J1292="","",IF(T1292="",0,S1292*INDEX(Products!$H$5:$H$204,T1292)))</f>
        <v/>
      </c>
      <c r="Y1292" s="11">
        <f>IF(J1292="","",S1292-V1292-W1292-X1292)</f>
        <v/>
      </c>
    </row>
    <row r="1293">
      <c r="A1293" s="19" t="n"/>
      <c r="B1293" s="19" t="n"/>
      <c r="C1293" s="19" t="n"/>
      <c r="D1293" s="19" t="n"/>
      <c r="E1293" s="19" t="n"/>
      <c r="F1293" s="20" t="n"/>
      <c r="G1293" s="20" t="n"/>
      <c r="H1293" s="20" t="n"/>
      <c r="I1293" s="19" t="n"/>
      <c r="J1293">
        <f>IFERROR(IF(C1293="","",C1293)&amp;"","")</f>
        <v/>
      </c>
      <c r="K1293">
        <f>IFERROR(IF(D1293="","",D1293)&amp;"","")</f>
        <v/>
      </c>
      <c r="L1293">
        <f>IFERROR(IF(I1293="","",I1293)&amp;"","")</f>
        <v/>
      </c>
      <c r="M1293">
        <f>IF(J1293="","",IFERROR(VALUE(SUBSTITUTE(SUBSTITUTE(IF(E1293="","",E1293)&amp;"","$",""),",","")),0))</f>
        <v/>
      </c>
      <c r="N1293" s="11">
        <f>IF(J1293="","",IFERROR(VALUE(SUBSTITUTE(SUBSTITUTE(IF(F1293="","",F1293)&amp;"","$",""),",","")),0))</f>
        <v/>
      </c>
      <c r="O1293" s="11">
        <f>IF(J1293="","",M1293*N1293)</f>
        <v/>
      </c>
      <c r="P1293">
        <f>IF(J1293="","",IF(L1293="",1,COUNTIF($L$2:$L$1501,L1293)))</f>
        <v/>
      </c>
      <c r="Q1293" s="11">
        <f>IF(J1293="","",IFERROR(VALUE(SUBSTITUTE(SUBSTITUTE(IF(G1293="","",G1293)&amp;"","$",""),",","")),0)/IF("No"="Yes",P1293,1))</f>
        <v/>
      </c>
      <c r="R1293" s="11">
        <f>IF(J1293="","",IFERROR(VALUE(SUBSTITUTE(SUBSTITUTE(IF(H1293="","",H1293)&amp;"","$",""),",","")),0)/IF("No"="Yes",P1293,1))</f>
        <v/>
      </c>
      <c r="S1293" s="11">
        <f>IF(J1293="","",O1293+Q1293-R1293)</f>
        <v/>
      </c>
      <c r="T1293">
        <f>IF(J1293="","",IFERROR(IF(K1293="",NA(),MATCH(K1293,Products!$B$5:$B$204,0)),IFERROR(MATCH(J1293,Products!$A$5:$A$204,0),"")))</f>
        <v/>
      </c>
      <c r="U1293">
        <f>IF(J1293="","",IF(T1293="","⚠ not in Products",INDEX(Products!$A$5:$A$204,T1293)))</f>
        <v/>
      </c>
      <c r="V1293" s="11">
        <f>IF(J1293="","",S1293*(IFERROR(INDEX(Settings!$B$5:$B$9,MATCH($B1293,Settings!$A$5:$A$9,0)),0)+IFERROR(INDEX(Settings!$E$5:$E$9,MATCH($B1293,Settings!$A$5:$A$9,0)),0)+IFERROR(INDEX(Settings!$G$5:$G$9,MATCH($B1293,Settings!$A$5:$A$9,0)),0))+(IFERROR(INDEX(Settings!$C$5:$C$9,MATCH($B1293,Settings!$A$5:$A$9,0)),0)+IFERROR(INDEX(Settings!$F$5:$F$9,MATCH($B1293,Settings!$A$5:$A$9,0)),0))/P1293+IFERROR(INDEX(Settings!$D$5:$D$9,MATCH($B1293,Settings!$A$5:$A$9,0)),0)*M1293)</f>
        <v/>
      </c>
      <c r="W1293" s="11">
        <f>IF(J1293="","",IF(T1293="",0,M1293*INDEX(Products!$I$5:$I$204,T1293)))</f>
        <v/>
      </c>
      <c r="X1293" s="11">
        <f>IF(J1293="","",IF(T1293="",0,S1293*INDEX(Products!$H$5:$H$204,T1293)))</f>
        <v/>
      </c>
      <c r="Y1293" s="11">
        <f>IF(J1293="","",S1293-V1293-W1293-X1293)</f>
        <v/>
      </c>
    </row>
    <row r="1294">
      <c r="A1294" s="19" t="n"/>
      <c r="B1294" s="19" t="n"/>
      <c r="C1294" s="19" t="n"/>
      <c r="D1294" s="19" t="n"/>
      <c r="E1294" s="19" t="n"/>
      <c r="F1294" s="20" t="n"/>
      <c r="G1294" s="20" t="n"/>
      <c r="H1294" s="20" t="n"/>
      <c r="I1294" s="19" t="n"/>
      <c r="J1294">
        <f>IFERROR(IF(C1294="","",C1294)&amp;"","")</f>
        <v/>
      </c>
      <c r="K1294">
        <f>IFERROR(IF(D1294="","",D1294)&amp;"","")</f>
        <v/>
      </c>
      <c r="L1294">
        <f>IFERROR(IF(I1294="","",I1294)&amp;"","")</f>
        <v/>
      </c>
      <c r="M1294">
        <f>IF(J1294="","",IFERROR(VALUE(SUBSTITUTE(SUBSTITUTE(IF(E1294="","",E1294)&amp;"","$",""),",","")),0))</f>
        <v/>
      </c>
      <c r="N1294" s="11">
        <f>IF(J1294="","",IFERROR(VALUE(SUBSTITUTE(SUBSTITUTE(IF(F1294="","",F1294)&amp;"","$",""),",","")),0))</f>
        <v/>
      </c>
      <c r="O1294" s="11">
        <f>IF(J1294="","",M1294*N1294)</f>
        <v/>
      </c>
      <c r="P1294">
        <f>IF(J1294="","",IF(L1294="",1,COUNTIF($L$2:$L$1501,L1294)))</f>
        <v/>
      </c>
      <c r="Q1294" s="11">
        <f>IF(J1294="","",IFERROR(VALUE(SUBSTITUTE(SUBSTITUTE(IF(G1294="","",G1294)&amp;"","$",""),",","")),0)/IF("No"="Yes",P1294,1))</f>
        <v/>
      </c>
      <c r="R1294" s="11">
        <f>IF(J1294="","",IFERROR(VALUE(SUBSTITUTE(SUBSTITUTE(IF(H1294="","",H1294)&amp;"","$",""),",","")),0)/IF("No"="Yes",P1294,1))</f>
        <v/>
      </c>
      <c r="S1294" s="11">
        <f>IF(J1294="","",O1294+Q1294-R1294)</f>
        <v/>
      </c>
      <c r="T1294">
        <f>IF(J1294="","",IFERROR(IF(K1294="",NA(),MATCH(K1294,Products!$B$5:$B$204,0)),IFERROR(MATCH(J1294,Products!$A$5:$A$204,0),"")))</f>
        <v/>
      </c>
      <c r="U1294">
        <f>IF(J1294="","",IF(T1294="","⚠ not in Products",INDEX(Products!$A$5:$A$204,T1294)))</f>
        <v/>
      </c>
      <c r="V1294" s="11">
        <f>IF(J1294="","",S1294*(IFERROR(INDEX(Settings!$B$5:$B$9,MATCH($B1294,Settings!$A$5:$A$9,0)),0)+IFERROR(INDEX(Settings!$E$5:$E$9,MATCH($B1294,Settings!$A$5:$A$9,0)),0)+IFERROR(INDEX(Settings!$G$5:$G$9,MATCH($B1294,Settings!$A$5:$A$9,0)),0))+(IFERROR(INDEX(Settings!$C$5:$C$9,MATCH($B1294,Settings!$A$5:$A$9,0)),0)+IFERROR(INDEX(Settings!$F$5:$F$9,MATCH($B1294,Settings!$A$5:$A$9,0)),0))/P1294+IFERROR(INDEX(Settings!$D$5:$D$9,MATCH($B1294,Settings!$A$5:$A$9,0)),0)*M1294)</f>
        <v/>
      </c>
      <c r="W1294" s="11">
        <f>IF(J1294="","",IF(T1294="",0,M1294*INDEX(Products!$I$5:$I$204,T1294)))</f>
        <v/>
      </c>
      <c r="X1294" s="11">
        <f>IF(J1294="","",IF(T1294="",0,S1294*INDEX(Products!$H$5:$H$204,T1294)))</f>
        <v/>
      </c>
      <c r="Y1294" s="11">
        <f>IF(J1294="","",S1294-V1294-W1294-X1294)</f>
        <v/>
      </c>
    </row>
    <row r="1295">
      <c r="A1295" s="19" t="n"/>
      <c r="B1295" s="19" t="n"/>
      <c r="C1295" s="19" t="n"/>
      <c r="D1295" s="19" t="n"/>
      <c r="E1295" s="19" t="n"/>
      <c r="F1295" s="20" t="n"/>
      <c r="G1295" s="20" t="n"/>
      <c r="H1295" s="20" t="n"/>
      <c r="I1295" s="19" t="n"/>
      <c r="J1295">
        <f>IFERROR(IF(C1295="","",C1295)&amp;"","")</f>
        <v/>
      </c>
      <c r="K1295">
        <f>IFERROR(IF(D1295="","",D1295)&amp;"","")</f>
        <v/>
      </c>
      <c r="L1295">
        <f>IFERROR(IF(I1295="","",I1295)&amp;"","")</f>
        <v/>
      </c>
      <c r="M1295">
        <f>IF(J1295="","",IFERROR(VALUE(SUBSTITUTE(SUBSTITUTE(IF(E1295="","",E1295)&amp;"","$",""),",","")),0))</f>
        <v/>
      </c>
      <c r="N1295" s="11">
        <f>IF(J1295="","",IFERROR(VALUE(SUBSTITUTE(SUBSTITUTE(IF(F1295="","",F1295)&amp;"","$",""),",","")),0))</f>
        <v/>
      </c>
      <c r="O1295" s="11">
        <f>IF(J1295="","",M1295*N1295)</f>
        <v/>
      </c>
      <c r="P1295">
        <f>IF(J1295="","",IF(L1295="",1,COUNTIF($L$2:$L$1501,L1295)))</f>
        <v/>
      </c>
      <c r="Q1295" s="11">
        <f>IF(J1295="","",IFERROR(VALUE(SUBSTITUTE(SUBSTITUTE(IF(G1295="","",G1295)&amp;"","$",""),",","")),0)/IF("No"="Yes",P1295,1))</f>
        <v/>
      </c>
      <c r="R1295" s="11">
        <f>IF(J1295="","",IFERROR(VALUE(SUBSTITUTE(SUBSTITUTE(IF(H1295="","",H1295)&amp;"","$",""),",","")),0)/IF("No"="Yes",P1295,1))</f>
        <v/>
      </c>
      <c r="S1295" s="11">
        <f>IF(J1295="","",O1295+Q1295-R1295)</f>
        <v/>
      </c>
      <c r="T1295">
        <f>IF(J1295="","",IFERROR(IF(K1295="",NA(),MATCH(K1295,Products!$B$5:$B$204,0)),IFERROR(MATCH(J1295,Products!$A$5:$A$204,0),"")))</f>
        <v/>
      </c>
      <c r="U1295">
        <f>IF(J1295="","",IF(T1295="","⚠ not in Products",INDEX(Products!$A$5:$A$204,T1295)))</f>
        <v/>
      </c>
      <c r="V1295" s="11">
        <f>IF(J1295="","",S1295*(IFERROR(INDEX(Settings!$B$5:$B$9,MATCH($B1295,Settings!$A$5:$A$9,0)),0)+IFERROR(INDEX(Settings!$E$5:$E$9,MATCH($B1295,Settings!$A$5:$A$9,0)),0)+IFERROR(INDEX(Settings!$G$5:$G$9,MATCH($B1295,Settings!$A$5:$A$9,0)),0))+(IFERROR(INDEX(Settings!$C$5:$C$9,MATCH($B1295,Settings!$A$5:$A$9,0)),0)+IFERROR(INDEX(Settings!$F$5:$F$9,MATCH($B1295,Settings!$A$5:$A$9,0)),0))/P1295+IFERROR(INDEX(Settings!$D$5:$D$9,MATCH($B1295,Settings!$A$5:$A$9,0)),0)*M1295)</f>
        <v/>
      </c>
      <c r="W1295" s="11">
        <f>IF(J1295="","",IF(T1295="",0,M1295*INDEX(Products!$I$5:$I$204,T1295)))</f>
        <v/>
      </c>
      <c r="X1295" s="11">
        <f>IF(J1295="","",IF(T1295="",0,S1295*INDEX(Products!$H$5:$H$204,T1295)))</f>
        <v/>
      </c>
      <c r="Y1295" s="11">
        <f>IF(J1295="","",S1295-V1295-W1295-X1295)</f>
        <v/>
      </c>
    </row>
    <row r="1296">
      <c r="A1296" s="19" t="n"/>
      <c r="B1296" s="19" t="n"/>
      <c r="C1296" s="19" t="n"/>
      <c r="D1296" s="19" t="n"/>
      <c r="E1296" s="19" t="n"/>
      <c r="F1296" s="20" t="n"/>
      <c r="G1296" s="20" t="n"/>
      <c r="H1296" s="20" t="n"/>
      <c r="I1296" s="19" t="n"/>
      <c r="J1296">
        <f>IFERROR(IF(C1296="","",C1296)&amp;"","")</f>
        <v/>
      </c>
      <c r="K1296">
        <f>IFERROR(IF(D1296="","",D1296)&amp;"","")</f>
        <v/>
      </c>
      <c r="L1296">
        <f>IFERROR(IF(I1296="","",I1296)&amp;"","")</f>
        <v/>
      </c>
      <c r="M1296">
        <f>IF(J1296="","",IFERROR(VALUE(SUBSTITUTE(SUBSTITUTE(IF(E1296="","",E1296)&amp;"","$",""),",","")),0))</f>
        <v/>
      </c>
      <c r="N1296" s="11">
        <f>IF(J1296="","",IFERROR(VALUE(SUBSTITUTE(SUBSTITUTE(IF(F1296="","",F1296)&amp;"","$",""),",","")),0))</f>
        <v/>
      </c>
      <c r="O1296" s="11">
        <f>IF(J1296="","",M1296*N1296)</f>
        <v/>
      </c>
      <c r="P1296">
        <f>IF(J1296="","",IF(L1296="",1,COUNTIF($L$2:$L$1501,L1296)))</f>
        <v/>
      </c>
      <c r="Q1296" s="11">
        <f>IF(J1296="","",IFERROR(VALUE(SUBSTITUTE(SUBSTITUTE(IF(G1296="","",G1296)&amp;"","$",""),",","")),0)/IF("No"="Yes",P1296,1))</f>
        <v/>
      </c>
      <c r="R1296" s="11">
        <f>IF(J1296="","",IFERROR(VALUE(SUBSTITUTE(SUBSTITUTE(IF(H1296="","",H1296)&amp;"","$",""),",","")),0)/IF("No"="Yes",P1296,1))</f>
        <v/>
      </c>
      <c r="S1296" s="11">
        <f>IF(J1296="","",O1296+Q1296-R1296)</f>
        <v/>
      </c>
      <c r="T1296">
        <f>IF(J1296="","",IFERROR(IF(K1296="",NA(),MATCH(K1296,Products!$B$5:$B$204,0)),IFERROR(MATCH(J1296,Products!$A$5:$A$204,0),"")))</f>
        <v/>
      </c>
      <c r="U1296">
        <f>IF(J1296="","",IF(T1296="","⚠ not in Products",INDEX(Products!$A$5:$A$204,T1296)))</f>
        <v/>
      </c>
      <c r="V1296" s="11">
        <f>IF(J1296="","",S1296*(IFERROR(INDEX(Settings!$B$5:$B$9,MATCH($B1296,Settings!$A$5:$A$9,0)),0)+IFERROR(INDEX(Settings!$E$5:$E$9,MATCH($B1296,Settings!$A$5:$A$9,0)),0)+IFERROR(INDEX(Settings!$G$5:$G$9,MATCH($B1296,Settings!$A$5:$A$9,0)),0))+(IFERROR(INDEX(Settings!$C$5:$C$9,MATCH($B1296,Settings!$A$5:$A$9,0)),0)+IFERROR(INDEX(Settings!$F$5:$F$9,MATCH($B1296,Settings!$A$5:$A$9,0)),0))/P1296+IFERROR(INDEX(Settings!$D$5:$D$9,MATCH($B1296,Settings!$A$5:$A$9,0)),0)*M1296)</f>
        <v/>
      </c>
      <c r="W1296" s="11">
        <f>IF(J1296="","",IF(T1296="",0,M1296*INDEX(Products!$I$5:$I$204,T1296)))</f>
        <v/>
      </c>
      <c r="X1296" s="11">
        <f>IF(J1296="","",IF(T1296="",0,S1296*INDEX(Products!$H$5:$H$204,T1296)))</f>
        <v/>
      </c>
      <c r="Y1296" s="11">
        <f>IF(J1296="","",S1296-V1296-W1296-X1296)</f>
        <v/>
      </c>
    </row>
    <row r="1297">
      <c r="A1297" s="19" t="n"/>
      <c r="B1297" s="19" t="n"/>
      <c r="C1297" s="19" t="n"/>
      <c r="D1297" s="19" t="n"/>
      <c r="E1297" s="19" t="n"/>
      <c r="F1297" s="20" t="n"/>
      <c r="G1297" s="20" t="n"/>
      <c r="H1297" s="20" t="n"/>
      <c r="I1297" s="19" t="n"/>
      <c r="J1297">
        <f>IFERROR(IF(C1297="","",C1297)&amp;"","")</f>
        <v/>
      </c>
      <c r="K1297">
        <f>IFERROR(IF(D1297="","",D1297)&amp;"","")</f>
        <v/>
      </c>
      <c r="L1297">
        <f>IFERROR(IF(I1297="","",I1297)&amp;"","")</f>
        <v/>
      </c>
      <c r="M1297">
        <f>IF(J1297="","",IFERROR(VALUE(SUBSTITUTE(SUBSTITUTE(IF(E1297="","",E1297)&amp;"","$",""),",","")),0))</f>
        <v/>
      </c>
      <c r="N1297" s="11">
        <f>IF(J1297="","",IFERROR(VALUE(SUBSTITUTE(SUBSTITUTE(IF(F1297="","",F1297)&amp;"","$",""),",","")),0))</f>
        <v/>
      </c>
      <c r="O1297" s="11">
        <f>IF(J1297="","",M1297*N1297)</f>
        <v/>
      </c>
      <c r="P1297">
        <f>IF(J1297="","",IF(L1297="",1,COUNTIF($L$2:$L$1501,L1297)))</f>
        <v/>
      </c>
      <c r="Q1297" s="11">
        <f>IF(J1297="","",IFERROR(VALUE(SUBSTITUTE(SUBSTITUTE(IF(G1297="","",G1297)&amp;"","$",""),",","")),0)/IF("No"="Yes",P1297,1))</f>
        <v/>
      </c>
      <c r="R1297" s="11">
        <f>IF(J1297="","",IFERROR(VALUE(SUBSTITUTE(SUBSTITUTE(IF(H1297="","",H1297)&amp;"","$",""),",","")),0)/IF("No"="Yes",P1297,1))</f>
        <v/>
      </c>
      <c r="S1297" s="11">
        <f>IF(J1297="","",O1297+Q1297-R1297)</f>
        <v/>
      </c>
      <c r="T1297">
        <f>IF(J1297="","",IFERROR(IF(K1297="",NA(),MATCH(K1297,Products!$B$5:$B$204,0)),IFERROR(MATCH(J1297,Products!$A$5:$A$204,0),"")))</f>
        <v/>
      </c>
      <c r="U1297">
        <f>IF(J1297="","",IF(T1297="","⚠ not in Products",INDEX(Products!$A$5:$A$204,T1297)))</f>
        <v/>
      </c>
      <c r="V1297" s="11">
        <f>IF(J1297="","",S1297*(IFERROR(INDEX(Settings!$B$5:$B$9,MATCH($B1297,Settings!$A$5:$A$9,0)),0)+IFERROR(INDEX(Settings!$E$5:$E$9,MATCH($B1297,Settings!$A$5:$A$9,0)),0)+IFERROR(INDEX(Settings!$G$5:$G$9,MATCH($B1297,Settings!$A$5:$A$9,0)),0))+(IFERROR(INDEX(Settings!$C$5:$C$9,MATCH($B1297,Settings!$A$5:$A$9,0)),0)+IFERROR(INDEX(Settings!$F$5:$F$9,MATCH($B1297,Settings!$A$5:$A$9,0)),0))/P1297+IFERROR(INDEX(Settings!$D$5:$D$9,MATCH($B1297,Settings!$A$5:$A$9,0)),0)*M1297)</f>
        <v/>
      </c>
      <c r="W1297" s="11">
        <f>IF(J1297="","",IF(T1297="",0,M1297*INDEX(Products!$I$5:$I$204,T1297)))</f>
        <v/>
      </c>
      <c r="X1297" s="11">
        <f>IF(J1297="","",IF(T1297="",0,S1297*INDEX(Products!$H$5:$H$204,T1297)))</f>
        <v/>
      </c>
      <c r="Y1297" s="11">
        <f>IF(J1297="","",S1297-V1297-W1297-X1297)</f>
        <v/>
      </c>
    </row>
    <row r="1298">
      <c r="A1298" s="19" t="n"/>
      <c r="B1298" s="19" t="n"/>
      <c r="C1298" s="19" t="n"/>
      <c r="D1298" s="19" t="n"/>
      <c r="E1298" s="19" t="n"/>
      <c r="F1298" s="20" t="n"/>
      <c r="G1298" s="20" t="n"/>
      <c r="H1298" s="20" t="n"/>
      <c r="I1298" s="19" t="n"/>
      <c r="J1298">
        <f>IFERROR(IF(C1298="","",C1298)&amp;"","")</f>
        <v/>
      </c>
      <c r="K1298">
        <f>IFERROR(IF(D1298="","",D1298)&amp;"","")</f>
        <v/>
      </c>
      <c r="L1298">
        <f>IFERROR(IF(I1298="","",I1298)&amp;"","")</f>
        <v/>
      </c>
      <c r="M1298">
        <f>IF(J1298="","",IFERROR(VALUE(SUBSTITUTE(SUBSTITUTE(IF(E1298="","",E1298)&amp;"","$",""),",","")),0))</f>
        <v/>
      </c>
      <c r="N1298" s="11">
        <f>IF(J1298="","",IFERROR(VALUE(SUBSTITUTE(SUBSTITUTE(IF(F1298="","",F1298)&amp;"","$",""),",","")),0))</f>
        <v/>
      </c>
      <c r="O1298" s="11">
        <f>IF(J1298="","",M1298*N1298)</f>
        <v/>
      </c>
      <c r="P1298">
        <f>IF(J1298="","",IF(L1298="",1,COUNTIF($L$2:$L$1501,L1298)))</f>
        <v/>
      </c>
      <c r="Q1298" s="11">
        <f>IF(J1298="","",IFERROR(VALUE(SUBSTITUTE(SUBSTITUTE(IF(G1298="","",G1298)&amp;"","$",""),",","")),0)/IF("No"="Yes",P1298,1))</f>
        <v/>
      </c>
      <c r="R1298" s="11">
        <f>IF(J1298="","",IFERROR(VALUE(SUBSTITUTE(SUBSTITUTE(IF(H1298="","",H1298)&amp;"","$",""),",","")),0)/IF("No"="Yes",P1298,1))</f>
        <v/>
      </c>
      <c r="S1298" s="11">
        <f>IF(J1298="","",O1298+Q1298-R1298)</f>
        <v/>
      </c>
      <c r="T1298">
        <f>IF(J1298="","",IFERROR(IF(K1298="",NA(),MATCH(K1298,Products!$B$5:$B$204,0)),IFERROR(MATCH(J1298,Products!$A$5:$A$204,0),"")))</f>
        <v/>
      </c>
      <c r="U1298">
        <f>IF(J1298="","",IF(T1298="","⚠ not in Products",INDEX(Products!$A$5:$A$204,T1298)))</f>
        <v/>
      </c>
      <c r="V1298" s="11">
        <f>IF(J1298="","",S1298*(IFERROR(INDEX(Settings!$B$5:$B$9,MATCH($B1298,Settings!$A$5:$A$9,0)),0)+IFERROR(INDEX(Settings!$E$5:$E$9,MATCH($B1298,Settings!$A$5:$A$9,0)),0)+IFERROR(INDEX(Settings!$G$5:$G$9,MATCH($B1298,Settings!$A$5:$A$9,0)),0))+(IFERROR(INDEX(Settings!$C$5:$C$9,MATCH($B1298,Settings!$A$5:$A$9,0)),0)+IFERROR(INDEX(Settings!$F$5:$F$9,MATCH($B1298,Settings!$A$5:$A$9,0)),0))/P1298+IFERROR(INDEX(Settings!$D$5:$D$9,MATCH($B1298,Settings!$A$5:$A$9,0)),0)*M1298)</f>
        <v/>
      </c>
      <c r="W1298" s="11">
        <f>IF(J1298="","",IF(T1298="",0,M1298*INDEX(Products!$I$5:$I$204,T1298)))</f>
        <v/>
      </c>
      <c r="X1298" s="11">
        <f>IF(J1298="","",IF(T1298="",0,S1298*INDEX(Products!$H$5:$H$204,T1298)))</f>
        <v/>
      </c>
      <c r="Y1298" s="11">
        <f>IF(J1298="","",S1298-V1298-W1298-X1298)</f>
        <v/>
      </c>
    </row>
    <row r="1299">
      <c r="A1299" s="19" t="n"/>
      <c r="B1299" s="19" t="n"/>
      <c r="C1299" s="19" t="n"/>
      <c r="D1299" s="19" t="n"/>
      <c r="E1299" s="19" t="n"/>
      <c r="F1299" s="20" t="n"/>
      <c r="G1299" s="20" t="n"/>
      <c r="H1299" s="20" t="n"/>
      <c r="I1299" s="19" t="n"/>
      <c r="J1299">
        <f>IFERROR(IF(C1299="","",C1299)&amp;"","")</f>
        <v/>
      </c>
      <c r="K1299">
        <f>IFERROR(IF(D1299="","",D1299)&amp;"","")</f>
        <v/>
      </c>
      <c r="L1299">
        <f>IFERROR(IF(I1299="","",I1299)&amp;"","")</f>
        <v/>
      </c>
      <c r="M1299">
        <f>IF(J1299="","",IFERROR(VALUE(SUBSTITUTE(SUBSTITUTE(IF(E1299="","",E1299)&amp;"","$",""),",","")),0))</f>
        <v/>
      </c>
      <c r="N1299" s="11">
        <f>IF(J1299="","",IFERROR(VALUE(SUBSTITUTE(SUBSTITUTE(IF(F1299="","",F1299)&amp;"","$",""),",","")),0))</f>
        <v/>
      </c>
      <c r="O1299" s="11">
        <f>IF(J1299="","",M1299*N1299)</f>
        <v/>
      </c>
      <c r="P1299">
        <f>IF(J1299="","",IF(L1299="",1,COUNTIF($L$2:$L$1501,L1299)))</f>
        <v/>
      </c>
      <c r="Q1299" s="11">
        <f>IF(J1299="","",IFERROR(VALUE(SUBSTITUTE(SUBSTITUTE(IF(G1299="","",G1299)&amp;"","$",""),",","")),0)/IF("No"="Yes",P1299,1))</f>
        <v/>
      </c>
      <c r="R1299" s="11">
        <f>IF(J1299="","",IFERROR(VALUE(SUBSTITUTE(SUBSTITUTE(IF(H1299="","",H1299)&amp;"","$",""),",","")),0)/IF("No"="Yes",P1299,1))</f>
        <v/>
      </c>
      <c r="S1299" s="11">
        <f>IF(J1299="","",O1299+Q1299-R1299)</f>
        <v/>
      </c>
      <c r="T1299">
        <f>IF(J1299="","",IFERROR(IF(K1299="",NA(),MATCH(K1299,Products!$B$5:$B$204,0)),IFERROR(MATCH(J1299,Products!$A$5:$A$204,0),"")))</f>
        <v/>
      </c>
      <c r="U1299">
        <f>IF(J1299="","",IF(T1299="","⚠ not in Products",INDEX(Products!$A$5:$A$204,T1299)))</f>
        <v/>
      </c>
      <c r="V1299" s="11">
        <f>IF(J1299="","",S1299*(IFERROR(INDEX(Settings!$B$5:$B$9,MATCH($B1299,Settings!$A$5:$A$9,0)),0)+IFERROR(INDEX(Settings!$E$5:$E$9,MATCH($B1299,Settings!$A$5:$A$9,0)),0)+IFERROR(INDEX(Settings!$G$5:$G$9,MATCH($B1299,Settings!$A$5:$A$9,0)),0))+(IFERROR(INDEX(Settings!$C$5:$C$9,MATCH($B1299,Settings!$A$5:$A$9,0)),0)+IFERROR(INDEX(Settings!$F$5:$F$9,MATCH($B1299,Settings!$A$5:$A$9,0)),0))/P1299+IFERROR(INDEX(Settings!$D$5:$D$9,MATCH($B1299,Settings!$A$5:$A$9,0)),0)*M1299)</f>
        <v/>
      </c>
      <c r="W1299" s="11">
        <f>IF(J1299="","",IF(T1299="",0,M1299*INDEX(Products!$I$5:$I$204,T1299)))</f>
        <v/>
      </c>
      <c r="X1299" s="11">
        <f>IF(J1299="","",IF(T1299="",0,S1299*INDEX(Products!$H$5:$H$204,T1299)))</f>
        <v/>
      </c>
      <c r="Y1299" s="11">
        <f>IF(J1299="","",S1299-V1299-W1299-X1299)</f>
        <v/>
      </c>
    </row>
    <row r="1300">
      <c r="A1300" s="19" t="n"/>
      <c r="B1300" s="19" t="n"/>
      <c r="C1300" s="19" t="n"/>
      <c r="D1300" s="19" t="n"/>
      <c r="E1300" s="19" t="n"/>
      <c r="F1300" s="20" t="n"/>
      <c r="G1300" s="20" t="n"/>
      <c r="H1300" s="20" t="n"/>
      <c r="I1300" s="19" t="n"/>
      <c r="J1300">
        <f>IFERROR(IF(C1300="","",C1300)&amp;"","")</f>
        <v/>
      </c>
      <c r="K1300">
        <f>IFERROR(IF(D1300="","",D1300)&amp;"","")</f>
        <v/>
      </c>
      <c r="L1300">
        <f>IFERROR(IF(I1300="","",I1300)&amp;"","")</f>
        <v/>
      </c>
      <c r="M1300">
        <f>IF(J1300="","",IFERROR(VALUE(SUBSTITUTE(SUBSTITUTE(IF(E1300="","",E1300)&amp;"","$",""),",","")),0))</f>
        <v/>
      </c>
      <c r="N1300" s="11">
        <f>IF(J1300="","",IFERROR(VALUE(SUBSTITUTE(SUBSTITUTE(IF(F1300="","",F1300)&amp;"","$",""),",","")),0))</f>
        <v/>
      </c>
      <c r="O1300" s="11">
        <f>IF(J1300="","",M1300*N1300)</f>
        <v/>
      </c>
      <c r="P1300">
        <f>IF(J1300="","",IF(L1300="",1,COUNTIF($L$2:$L$1501,L1300)))</f>
        <v/>
      </c>
      <c r="Q1300" s="11">
        <f>IF(J1300="","",IFERROR(VALUE(SUBSTITUTE(SUBSTITUTE(IF(G1300="","",G1300)&amp;"","$",""),",","")),0)/IF("No"="Yes",P1300,1))</f>
        <v/>
      </c>
      <c r="R1300" s="11">
        <f>IF(J1300="","",IFERROR(VALUE(SUBSTITUTE(SUBSTITUTE(IF(H1300="","",H1300)&amp;"","$",""),",","")),0)/IF("No"="Yes",P1300,1))</f>
        <v/>
      </c>
      <c r="S1300" s="11">
        <f>IF(J1300="","",O1300+Q1300-R1300)</f>
        <v/>
      </c>
      <c r="T1300">
        <f>IF(J1300="","",IFERROR(IF(K1300="",NA(),MATCH(K1300,Products!$B$5:$B$204,0)),IFERROR(MATCH(J1300,Products!$A$5:$A$204,0),"")))</f>
        <v/>
      </c>
      <c r="U1300">
        <f>IF(J1300="","",IF(T1300="","⚠ not in Products",INDEX(Products!$A$5:$A$204,T1300)))</f>
        <v/>
      </c>
      <c r="V1300" s="11">
        <f>IF(J1300="","",S1300*(IFERROR(INDEX(Settings!$B$5:$B$9,MATCH($B1300,Settings!$A$5:$A$9,0)),0)+IFERROR(INDEX(Settings!$E$5:$E$9,MATCH($B1300,Settings!$A$5:$A$9,0)),0)+IFERROR(INDEX(Settings!$G$5:$G$9,MATCH($B1300,Settings!$A$5:$A$9,0)),0))+(IFERROR(INDEX(Settings!$C$5:$C$9,MATCH($B1300,Settings!$A$5:$A$9,0)),0)+IFERROR(INDEX(Settings!$F$5:$F$9,MATCH($B1300,Settings!$A$5:$A$9,0)),0))/P1300+IFERROR(INDEX(Settings!$D$5:$D$9,MATCH($B1300,Settings!$A$5:$A$9,0)),0)*M1300)</f>
        <v/>
      </c>
      <c r="W1300" s="11">
        <f>IF(J1300="","",IF(T1300="",0,M1300*INDEX(Products!$I$5:$I$204,T1300)))</f>
        <v/>
      </c>
      <c r="X1300" s="11">
        <f>IF(J1300="","",IF(T1300="",0,S1300*INDEX(Products!$H$5:$H$204,T1300)))</f>
        <v/>
      </c>
      <c r="Y1300" s="11">
        <f>IF(J1300="","",S1300-V1300-W1300-X1300)</f>
        <v/>
      </c>
    </row>
    <row r="1301">
      <c r="A1301" s="19" t="n"/>
      <c r="B1301" s="19" t="n"/>
      <c r="C1301" s="19" t="n"/>
      <c r="D1301" s="19" t="n"/>
      <c r="E1301" s="19" t="n"/>
      <c r="F1301" s="20" t="n"/>
      <c r="G1301" s="20" t="n"/>
      <c r="H1301" s="20" t="n"/>
      <c r="I1301" s="19" t="n"/>
      <c r="J1301">
        <f>IFERROR(IF(C1301="","",C1301)&amp;"","")</f>
        <v/>
      </c>
      <c r="K1301">
        <f>IFERROR(IF(D1301="","",D1301)&amp;"","")</f>
        <v/>
      </c>
      <c r="L1301">
        <f>IFERROR(IF(I1301="","",I1301)&amp;"","")</f>
        <v/>
      </c>
      <c r="M1301">
        <f>IF(J1301="","",IFERROR(VALUE(SUBSTITUTE(SUBSTITUTE(IF(E1301="","",E1301)&amp;"","$",""),",","")),0))</f>
        <v/>
      </c>
      <c r="N1301" s="11">
        <f>IF(J1301="","",IFERROR(VALUE(SUBSTITUTE(SUBSTITUTE(IF(F1301="","",F1301)&amp;"","$",""),",","")),0))</f>
        <v/>
      </c>
      <c r="O1301" s="11">
        <f>IF(J1301="","",M1301*N1301)</f>
        <v/>
      </c>
      <c r="P1301">
        <f>IF(J1301="","",IF(L1301="",1,COUNTIF($L$2:$L$1501,L1301)))</f>
        <v/>
      </c>
      <c r="Q1301" s="11">
        <f>IF(J1301="","",IFERROR(VALUE(SUBSTITUTE(SUBSTITUTE(IF(G1301="","",G1301)&amp;"","$",""),",","")),0)/IF("No"="Yes",P1301,1))</f>
        <v/>
      </c>
      <c r="R1301" s="11">
        <f>IF(J1301="","",IFERROR(VALUE(SUBSTITUTE(SUBSTITUTE(IF(H1301="","",H1301)&amp;"","$",""),",","")),0)/IF("No"="Yes",P1301,1))</f>
        <v/>
      </c>
      <c r="S1301" s="11">
        <f>IF(J1301="","",O1301+Q1301-R1301)</f>
        <v/>
      </c>
      <c r="T1301">
        <f>IF(J1301="","",IFERROR(IF(K1301="",NA(),MATCH(K1301,Products!$B$5:$B$204,0)),IFERROR(MATCH(J1301,Products!$A$5:$A$204,0),"")))</f>
        <v/>
      </c>
      <c r="U1301">
        <f>IF(J1301="","",IF(T1301="","⚠ not in Products",INDEX(Products!$A$5:$A$204,T1301)))</f>
        <v/>
      </c>
      <c r="V1301" s="11">
        <f>IF(J1301="","",S1301*(IFERROR(INDEX(Settings!$B$5:$B$9,MATCH($B1301,Settings!$A$5:$A$9,0)),0)+IFERROR(INDEX(Settings!$E$5:$E$9,MATCH($B1301,Settings!$A$5:$A$9,0)),0)+IFERROR(INDEX(Settings!$G$5:$G$9,MATCH($B1301,Settings!$A$5:$A$9,0)),0))+(IFERROR(INDEX(Settings!$C$5:$C$9,MATCH($B1301,Settings!$A$5:$A$9,0)),0)+IFERROR(INDEX(Settings!$F$5:$F$9,MATCH($B1301,Settings!$A$5:$A$9,0)),0))/P1301+IFERROR(INDEX(Settings!$D$5:$D$9,MATCH($B1301,Settings!$A$5:$A$9,0)),0)*M1301)</f>
        <v/>
      </c>
      <c r="W1301" s="11">
        <f>IF(J1301="","",IF(T1301="",0,M1301*INDEX(Products!$I$5:$I$204,T1301)))</f>
        <v/>
      </c>
      <c r="X1301" s="11">
        <f>IF(J1301="","",IF(T1301="",0,S1301*INDEX(Products!$H$5:$H$204,T1301)))</f>
        <v/>
      </c>
      <c r="Y1301" s="11">
        <f>IF(J1301="","",S1301-V1301-W1301-X1301)</f>
        <v/>
      </c>
    </row>
    <row r="1302">
      <c r="A1302" s="19" t="n"/>
      <c r="B1302" s="19" t="n"/>
      <c r="C1302" s="19" t="n"/>
      <c r="D1302" s="19" t="n"/>
      <c r="E1302" s="19" t="n"/>
      <c r="F1302" s="20" t="n"/>
      <c r="G1302" s="20" t="n"/>
      <c r="H1302" s="20" t="n"/>
      <c r="I1302" s="19" t="n"/>
      <c r="J1302">
        <f>IFERROR(IF(C1302="","",C1302)&amp;"","")</f>
        <v/>
      </c>
      <c r="K1302">
        <f>IFERROR(IF(D1302="","",D1302)&amp;"","")</f>
        <v/>
      </c>
      <c r="L1302">
        <f>IFERROR(IF(I1302="","",I1302)&amp;"","")</f>
        <v/>
      </c>
      <c r="M1302">
        <f>IF(J1302="","",IFERROR(VALUE(SUBSTITUTE(SUBSTITUTE(IF(E1302="","",E1302)&amp;"","$",""),",","")),0))</f>
        <v/>
      </c>
      <c r="N1302" s="11">
        <f>IF(J1302="","",IFERROR(VALUE(SUBSTITUTE(SUBSTITUTE(IF(F1302="","",F1302)&amp;"","$",""),",","")),0))</f>
        <v/>
      </c>
      <c r="O1302" s="11">
        <f>IF(J1302="","",M1302*N1302)</f>
        <v/>
      </c>
      <c r="P1302">
        <f>IF(J1302="","",IF(L1302="",1,COUNTIF($L$2:$L$1501,L1302)))</f>
        <v/>
      </c>
      <c r="Q1302" s="11">
        <f>IF(J1302="","",IFERROR(VALUE(SUBSTITUTE(SUBSTITUTE(IF(G1302="","",G1302)&amp;"","$",""),",","")),0)/IF("No"="Yes",P1302,1))</f>
        <v/>
      </c>
      <c r="R1302" s="11">
        <f>IF(J1302="","",IFERROR(VALUE(SUBSTITUTE(SUBSTITUTE(IF(H1302="","",H1302)&amp;"","$",""),",","")),0)/IF("No"="Yes",P1302,1))</f>
        <v/>
      </c>
      <c r="S1302" s="11">
        <f>IF(J1302="","",O1302+Q1302-R1302)</f>
        <v/>
      </c>
      <c r="T1302">
        <f>IF(J1302="","",IFERROR(IF(K1302="",NA(),MATCH(K1302,Products!$B$5:$B$204,0)),IFERROR(MATCH(J1302,Products!$A$5:$A$204,0),"")))</f>
        <v/>
      </c>
      <c r="U1302">
        <f>IF(J1302="","",IF(T1302="","⚠ not in Products",INDEX(Products!$A$5:$A$204,T1302)))</f>
        <v/>
      </c>
      <c r="V1302" s="11">
        <f>IF(J1302="","",S1302*(IFERROR(INDEX(Settings!$B$5:$B$9,MATCH($B1302,Settings!$A$5:$A$9,0)),0)+IFERROR(INDEX(Settings!$E$5:$E$9,MATCH($B1302,Settings!$A$5:$A$9,0)),0)+IFERROR(INDEX(Settings!$G$5:$G$9,MATCH($B1302,Settings!$A$5:$A$9,0)),0))+(IFERROR(INDEX(Settings!$C$5:$C$9,MATCH($B1302,Settings!$A$5:$A$9,0)),0)+IFERROR(INDEX(Settings!$F$5:$F$9,MATCH($B1302,Settings!$A$5:$A$9,0)),0))/P1302+IFERROR(INDEX(Settings!$D$5:$D$9,MATCH($B1302,Settings!$A$5:$A$9,0)),0)*M1302)</f>
        <v/>
      </c>
      <c r="W1302" s="11">
        <f>IF(J1302="","",IF(T1302="",0,M1302*INDEX(Products!$I$5:$I$204,T1302)))</f>
        <v/>
      </c>
      <c r="X1302" s="11">
        <f>IF(J1302="","",IF(T1302="",0,S1302*INDEX(Products!$H$5:$H$204,T1302)))</f>
        <v/>
      </c>
      <c r="Y1302" s="11">
        <f>IF(J1302="","",S1302-V1302-W1302-X1302)</f>
        <v/>
      </c>
    </row>
    <row r="1303">
      <c r="A1303" s="19" t="n"/>
      <c r="B1303" s="19" t="n"/>
      <c r="C1303" s="19" t="n"/>
      <c r="D1303" s="19" t="n"/>
      <c r="E1303" s="19" t="n"/>
      <c r="F1303" s="20" t="n"/>
      <c r="G1303" s="20" t="n"/>
      <c r="H1303" s="20" t="n"/>
      <c r="I1303" s="19" t="n"/>
      <c r="J1303">
        <f>IFERROR(IF(C1303="","",C1303)&amp;"","")</f>
        <v/>
      </c>
      <c r="K1303">
        <f>IFERROR(IF(D1303="","",D1303)&amp;"","")</f>
        <v/>
      </c>
      <c r="L1303">
        <f>IFERROR(IF(I1303="","",I1303)&amp;"","")</f>
        <v/>
      </c>
      <c r="M1303">
        <f>IF(J1303="","",IFERROR(VALUE(SUBSTITUTE(SUBSTITUTE(IF(E1303="","",E1303)&amp;"","$",""),",","")),0))</f>
        <v/>
      </c>
      <c r="N1303" s="11">
        <f>IF(J1303="","",IFERROR(VALUE(SUBSTITUTE(SUBSTITUTE(IF(F1303="","",F1303)&amp;"","$",""),",","")),0))</f>
        <v/>
      </c>
      <c r="O1303" s="11">
        <f>IF(J1303="","",M1303*N1303)</f>
        <v/>
      </c>
      <c r="P1303">
        <f>IF(J1303="","",IF(L1303="",1,COUNTIF($L$2:$L$1501,L1303)))</f>
        <v/>
      </c>
      <c r="Q1303" s="11">
        <f>IF(J1303="","",IFERROR(VALUE(SUBSTITUTE(SUBSTITUTE(IF(G1303="","",G1303)&amp;"","$",""),",","")),0)/IF("No"="Yes",P1303,1))</f>
        <v/>
      </c>
      <c r="R1303" s="11">
        <f>IF(J1303="","",IFERROR(VALUE(SUBSTITUTE(SUBSTITUTE(IF(H1303="","",H1303)&amp;"","$",""),",","")),0)/IF("No"="Yes",P1303,1))</f>
        <v/>
      </c>
      <c r="S1303" s="11">
        <f>IF(J1303="","",O1303+Q1303-R1303)</f>
        <v/>
      </c>
      <c r="T1303">
        <f>IF(J1303="","",IFERROR(IF(K1303="",NA(),MATCH(K1303,Products!$B$5:$B$204,0)),IFERROR(MATCH(J1303,Products!$A$5:$A$204,0),"")))</f>
        <v/>
      </c>
      <c r="U1303">
        <f>IF(J1303="","",IF(T1303="","⚠ not in Products",INDEX(Products!$A$5:$A$204,T1303)))</f>
        <v/>
      </c>
      <c r="V1303" s="11">
        <f>IF(J1303="","",S1303*(IFERROR(INDEX(Settings!$B$5:$B$9,MATCH($B1303,Settings!$A$5:$A$9,0)),0)+IFERROR(INDEX(Settings!$E$5:$E$9,MATCH($B1303,Settings!$A$5:$A$9,0)),0)+IFERROR(INDEX(Settings!$G$5:$G$9,MATCH($B1303,Settings!$A$5:$A$9,0)),0))+(IFERROR(INDEX(Settings!$C$5:$C$9,MATCH($B1303,Settings!$A$5:$A$9,0)),0)+IFERROR(INDEX(Settings!$F$5:$F$9,MATCH($B1303,Settings!$A$5:$A$9,0)),0))/P1303+IFERROR(INDEX(Settings!$D$5:$D$9,MATCH($B1303,Settings!$A$5:$A$9,0)),0)*M1303)</f>
        <v/>
      </c>
      <c r="W1303" s="11">
        <f>IF(J1303="","",IF(T1303="",0,M1303*INDEX(Products!$I$5:$I$204,T1303)))</f>
        <v/>
      </c>
      <c r="X1303" s="11">
        <f>IF(J1303="","",IF(T1303="",0,S1303*INDEX(Products!$H$5:$H$204,T1303)))</f>
        <v/>
      </c>
      <c r="Y1303" s="11">
        <f>IF(J1303="","",S1303-V1303-W1303-X1303)</f>
        <v/>
      </c>
    </row>
    <row r="1304">
      <c r="A1304" s="19" t="n"/>
      <c r="B1304" s="19" t="n"/>
      <c r="C1304" s="19" t="n"/>
      <c r="D1304" s="19" t="n"/>
      <c r="E1304" s="19" t="n"/>
      <c r="F1304" s="20" t="n"/>
      <c r="G1304" s="20" t="n"/>
      <c r="H1304" s="20" t="n"/>
      <c r="I1304" s="19" t="n"/>
      <c r="J1304">
        <f>IFERROR(IF(C1304="","",C1304)&amp;"","")</f>
        <v/>
      </c>
      <c r="K1304">
        <f>IFERROR(IF(D1304="","",D1304)&amp;"","")</f>
        <v/>
      </c>
      <c r="L1304">
        <f>IFERROR(IF(I1304="","",I1304)&amp;"","")</f>
        <v/>
      </c>
      <c r="M1304">
        <f>IF(J1304="","",IFERROR(VALUE(SUBSTITUTE(SUBSTITUTE(IF(E1304="","",E1304)&amp;"","$",""),",","")),0))</f>
        <v/>
      </c>
      <c r="N1304" s="11">
        <f>IF(J1304="","",IFERROR(VALUE(SUBSTITUTE(SUBSTITUTE(IF(F1304="","",F1304)&amp;"","$",""),",","")),0))</f>
        <v/>
      </c>
      <c r="O1304" s="11">
        <f>IF(J1304="","",M1304*N1304)</f>
        <v/>
      </c>
      <c r="P1304">
        <f>IF(J1304="","",IF(L1304="",1,COUNTIF($L$2:$L$1501,L1304)))</f>
        <v/>
      </c>
      <c r="Q1304" s="11">
        <f>IF(J1304="","",IFERROR(VALUE(SUBSTITUTE(SUBSTITUTE(IF(G1304="","",G1304)&amp;"","$",""),",","")),0)/IF("No"="Yes",P1304,1))</f>
        <v/>
      </c>
      <c r="R1304" s="11">
        <f>IF(J1304="","",IFERROR(VALUE(SUBSTITUTE(SUBSTITUTE(IF(H1304="","",H1304)&amp;"","$",""),",","")),0)/IF("No"="Yes",P1304,1))</f>
        <v/>
      </c>
      <c r="S1304" s="11">
        <f>IF(J1304="","",O1304+Q1304-R1304)</f>
        <v/>
      </c>
      <c r="T1304">
        <f>IF(J1304="","",IFERROR(IF(K1304="",NA(),MATCH(K1304,Products!$B$5:$B$204,0)),IFERROR(MATCH(J1304,Products!$A$5:$A$204,0),"")))</f>
        <v/>
      </c>
      <c r="U1304">
        <f>IF(J1304="","",IF(T1304="","⚠ not in Products",INDEX(Products!$A$5:$A$204,T1304)))</f>
        <v/>
      </c>
      <c r="V1304" s="11">
        <f>IF(J1304="","",S1304*(IFERROR(INDEX(Settings!$B$5:$B$9,MATCH($B1304,Settings!$A$5:$A$9,0)),0)+IFERROR(INDEX(Settings!$E$5:$E$9,MATCH($B1304,Settings!$A$5:$A$9,0)),0)+IFERROR(INDEX(Settings!$G$5:$G$9,MATCH($B1304,Settings!$A$5:$A$9,0)),0))+(IFERROR(INDEX(Settings!$C$5:$C$9,MATCH($B1304,Settings!$A$5:$A$9,0)),0)+IFERROR(INDEX(Settings!$F$5:$F$9,MATCH($B1304,Settings!$A$5:$A$9,0)),0))/P1304+IFERROR(INDEX(Settings!$D$5:$D$9,MATCH($B1304,Settings!$A$5:$A$9,0)),0)*M1304)</f>
        <v/>
      </c>
      <c r="W1304" s="11">
        <f>IF(J1304="","",IF(T1304="",0,M1304*INDEX(Products!$I$5:$I$204,T1304)))</f>
        <v/>
      </c>
      <c r="X1304" s="11">
        <f>IF(J1304="","",IF(T1304="",0,S1304*INDEX(Products!$H$5:$H$204,T1304)))</f>
        <v/>
      </c>
      <c r="Y1304" s="11">
        <f>IF(J1304="","",S1304-V1304-W1304-X1304)</f>
        <v/>
      </c>
    </row>
    <row r="1305">
      <c r="A1305" s="19" t="n"/>
      <c r="B1305" s="19" t="n"/>
      <c r="C1305" s="19" t="n"/>
      <c r="D1305" s="19" t="n"/>
      <c r="E1305" s="19" t="n"/>
      <c r="F1305" s="20" t="n"/>
      <c r="G1305" s="20" t="n"/>
      <c r="H1305" s="20" t="n"/>
      <c r="I1305" s="19" t="n"/>
      <c r="J1305">
        <f>IFERROR(IF(C1305="","",C1305)&amp;"","")</f>
        <v/>
      </c>
      <c r="K1305">
        <f>IFERROR(IF(D1305="","",D1305)&amp;"","")</f>
        <v/>
      </c>
      <c r="L1305">
        <f>IFERROR(IF(I1305="","",I1305)&amp;"","")</f>
        <v/>
      </c>
      <c r="M1305">
        <f>IF(J1305="","",IFERROR(VALUE(SUBSTITUTE(SUBSTITUTE(IF(E1305="","",E1305)&amp;"","$",""),",","")),0))</f>
        <v/>
      </c>
      <c r="N1305" s="11">
        <f>IF(J1305="","",IFERROR(VALUE(SUBSTITUTE(SUBSTITUTE(IF(F1305="","",F1305)&amp;"","$",""),",","")),0))</f>
        <v/>
      </c>
      <c r="O1305" s="11">
        <f>IF(J1305="","",M1305*N1305)</f>
        <v/>
      </c>
      <c r="P1305">
        <f>IF(J1305="","",IF(L1305="",1,COUNTIF($L$2:$L$1501,L1305)))</f>
        <v/>
      </c>
      <c r="Q1305" s="11">
        <f>IF(J1305="","",IFERROR(VALUE(SUBSTITUTE(SUBSTITUTE(IF(G1305="","",G1305)&amp;"","$",""),",","")),0)/IF("No"="Yes",P1305,1))</f>
        <v/>
      </c>
      <c r="R1305" s="11">
        <f>IF(J1305="","",IFERROR(VALUE(SUBSTITUTE(SUBSTITUTE(IF(H1305="","",H1305)&amp;"","$",""),",","")),0)/IF("No"="Yes",P1305,1))</f>
        <v/>
      </c>
      <c r="S1305" s="11">
        <f>IF(J1305="","",O1305+Q1305-R1305)</f>
        <v/>
      </c>
      <c r="T1305">
        <f>IF(J1305="","",IFERROR(IF(K1305="",NA(),MATCH(K1305,Products!$B$5:$B$204,0)),IFERROR(MATCH(J1305,Products!$A$5:$A$204,0),"")))</f>
        <v/>
      </c>
      <c r="U1305">
        <f>IF(J1305="","",IF(T1305="","⚠ not in Products",INDEX(Products!$A$5:$A$204,T1305)))</f>
        <v/>
      </c>
      <c r="V1305" s="11">
        <f>IF(J1305="","",S1305*(IFERROR(INDEX(Settings!$B$5:$B$9,MATCH($B1305,Settings!$A$5:$A$9,0)),0)+IFERROR(INDEX(Settings!$E$5:$E$9,MATCH($B1305,Settings!$A$5:$A$9,0)),0)+IFERROR(INDEX(Settings!$G$5:$G$9,MATCH($B1305,Settings!$A$5:$A$9,0)),0))+(IFERROR(INDEX(Settings!$C$5:$C$9,MATCH($B1305,Settings!$A$5:$A$9,0)),0)+IFERROR(INDEX(Settings!$F$5:$F$9,MATCH($B1305,Settings!$A$5:$A$9,0)),0))/P1305+IFERROR(INDEX(Settings!$D$5:$D$9,MATCH($B1305,Settings!$A$5:$A$9,0)),0)*M1305)</f>
        <v/>
      </c>
      <c r="W1305" s="11">
        <f>IF(J1305="","",IF(T1305="",0,M1305*INDEX(Products!$I$5:$I$204,T1305)))</f>
        <v/>
      </c>
      <c r="X1305" s="11">
        <f>IF(J1305="","",IF(T1305="",0,S1305*INDEX(Products!$H$5:$H$204,T1305)))</f>
        <v/>
      </c>
      <c r="Y1305" s="11">
        <f>IF(J1305="","",S1305-V1305-W1305-X1305)</f>
        <v/>
      </c>
    </row>
    <row r="1306">
      <c r="A1306" s="19" t="n"/>
      <c r="B1306" s="19" t="n"/>
      <c r="C1306" s="19" t="n"/>
      <c r="D1306" s="19" t="n"/>
      <c r="E1306" s="19" t="n"/>
      <c r="F1306" s="20" t="n"/>
      <c r="G1306" s="20" t="n"/>
      <c r="H1306" s="20" t="n"/>
      <c r="I1306" s="19" t="n"/>
      <c r="J1306">
        <f>IFERROR(IF(C1306="","",C1306)&amp;"","")</f>
        <v/>
      </c>
      <c r="K1306">
        <f>IFERROR(IF(D1306="","",D1306)&amp;"","")</f>
        <v/>
      </c>
      <c r="L1306">
        <f>IFERROR(IF(I1306="","",I1306)&amp;"","")</f>
        <v/>
      </c>
      <c r="M1306">
        <f>IF(J1306="","",IFERROR(VALUE(SUBSTITUTE(SUBSTITUTE(IF(E1306="","",E1306)&amp;"","$",""),",","")),0))</f>
        <v/>
      </c>
      <c r="N1306" s="11">
        <f>IF(J1306="","",IFERROR(VALUE(SUBSTITUTE(SUBSTITUTE(IF(F1306="","",F1306)&amp;"","$",""),",","")),0))</f>
        <v/>
      </c>
      <c r="O1306" s="11">
        <f>IF(J1306="","",M1306*N1306)</f>
        <v/>
      </c>
      <c r="P1306">
        <f>IF(J1306="","",IF(L1306="",1,COUNTIF($L$2:$L$1501,L1306)))</f>
        <v/>
      </c>
      <c r="Q1306" s="11">
        <f>IF(J1306="","",IFERROR(VALUE(SUBSTITUTE(SUBSTITUTE(IF(G1306="","",G1306)&amp;"","$",""),",","")),0)/IF("No"="Yes",P1306,1))</f>
        <v/>
      </c>
      <c r="R1306" s="11">
        <f>IF(J1306="","",IFERROR(VALUE(SUBSTITUTE(SUBSTITUTE(IF(H1306="","",H1306)&amp;"","$",""),",","")),0)/IF("No"="Yes",P1306,1))</f>
        <v/>
      </c>
      <c r="S1306" s="11">
        <f>IF(J1306="","",O1306+Q1306-R1306)</f>
        <v/>
      </c>
      <c r="T1306">
        <f>IF(J1306="","",IFERROR(IF(K1306="",NA(),MATCH(K1306,Products!$B$5:$B$204,0)),IFERROR(MATCH(J1306,Products!$A$5:$A$204,0),"")))</f>
        <v/>
      </c>
      <c r="U1306">
        <f>IF(J1306="","",IF(T1306="","⚠ not in Products",INDEX(Products!$A$5:$A$204,T1306)))</f>
        <v/>
      </c>
      <c r="V1306" s="11">
        <f>IF(J1306="","",S1306*(IFERROR(INDEX(Settings!$B$5:$B$9,MATCH($B1306,Settings!$A$5:$A$9,0)),0)+IFERROR(INDEX(Settings!$E$5:$E$9,MATCH($B1306,Settings!$A$5:$A$9,0)),0)+IFERROR(INDEX(Settings!$G$5:$G$9,MATCH($B1306,Settings!$A$5:$A$9,0)),0))+(IFERROR(INDEX(Settings!$C$5:$C$9,MATCH($B1306,Settings!$A$5:$A$9,0)),0)+IFERROR(INDEX(Settings!$F$5:$F$9,MATCH($B1306,Settings!$A$5:$A$9,0)),0))/P1306+IFERROR(INDEX(Settings!$D$5:$D$9,MATCH($B1306,Settings!$A$5:$A$9,0)),0)*M1306)</f>
        <v/>
      </c>
      <c r="W1306" s="11">
        <f>IF(J1306="","",IF(T1306="",0,M1306*INDEX(Products!$I$5:$I$204,T1306)))</f>
        <v/>
      </c>
      <c r="X1306" s="11">
        <f>IF(J1306="","",IF(T1306="",0,S1306*INDEX(Products!$H$5:$H$204,T1306)))</f>
        <v/>
      </c>
      <c r="Y1306" s="11">
        <f>IF(J1306="","",S1306-V1306-W1306-X1306)</f>
        <v/>
      </c>
    </row>
    <row r="1307">
      <c r="A1307" s="19" t="n"/>
      <c r="B1307" s="19" t="n"/>
      <c r="C1307" s="19" t="n"/>
      <c r="D1307" s="19" t="n"/>
      <c r="E1307" s="19" t="n"/>
      <c r="F1307" s="20" t="n"/>
      <c r="G1307" s="20" t="n"/>
      <c r="H1307" s="20" t="n"/>
      <c r="I1307" s="19" t="n"/>
      <c r="J1307">
        <f>IFERROR(IF(C1307="","",C1307)&amp;"","")</f>
        <v/>
      </c>
      <c r="K1307">
        <f>IFERROR(IF(D1307="","",D1307)&amp;"","")</f>
        <v/>
      </c>
      <c r="L1307">
        <f>IFERROR(IF(I1307="","",I1307)&amp;"","")</f>
        <v/>
      </c>
      <c r="M1307">
        <f>IF(J1307="","",IFERROR(VALUE(SUBSTITUTE(SUBSTITUTE(IF(E1307="","",E1307)&amp;"","$",""),",","")),0))</f>
        <v/>
      </c>
      <c r="N1307" s="11">
        <f>IF(J1307="","",IFERROR(VALUE(SUBSTITUTE(SUBSTITUTE(IF(F1307="","",F1307)&amp;"","$",""),",","")),0))</f>
        <v/>
      </c>
      <c r="O1307" s="11">
        <f>IF(J1307="","",M1307*N1307)</f>
        <v/>
      </c>
      <c r="P1307">
        <f>IF(J1307="","",IF(L1307="",1,COUNTIF($L$2:$L$1501,L1307)))</f>
        <v/>
      </c>
      <c r="Q1307" s="11">
        <f>IF(J1307="","",IFERROR(VALUE(SUBSTITUTE(SUBSTITUTE(IF(G1307="","",G1307)&amp;"","$",""),",","")),0)/IF("No"="Yes",P1307,1))</f>
        <v/>
      </c>
      <c r="R1307" s="11">
        <f>IF(J1307="","",IFERROR(VALUE(SUBSTITUTE(SUBSTITUTE(IF(H1307="","",H1307)&amp;"","$",""),",","")),0)/IF("No"="Yes",P1307,1))</f>
        <v/>
      </c>
      <c r="S1307" s="11">
        <f>IF(J1307="","",O1307+Q1307-R1307)</f>
        <v/>
      </c>
      <c r="T1307">
        <f>IF(J1307="","",IFERROR(IF(K1307="",NA(),MATCH(K1307,Products!$B$5:$B$204,0)),IFERROR(MATCH(J1307,Products!$A$5:$A$204,0),"")))</f>
        <v/>
      </c>
      <c r="U1307">
        <f>IF(J1307="","",IF(T1307="","⚠ not in Products",INDEX(Products!$A$5:$A$204,T1307)))</f>
        <v/>
      </c>
      <c r="V1307" s="11">
        <f>IF(J1307="","",S1307*(IFERROR(INDEX(Settings!$B$5:$B$9,MATCH($B1307,Settings!$A$5:$A$9,0)),0)+IFERROR(INDEX(Settings!$E$5:$E$9,MATCH($B1307,Settings!$A$5:$A$9,0)),0)+IFERROR(INDEX(Settings!$G$5:$G$9,MATCH($B1307,Settings!$A$5:$A$9,0)),0))+(IFERROR(INDEX(Settings!$C$5:$C$9,MATCH($B1307,Settings!$A$5:$A$9,0)),0)+IFERROR(INDEX(Settings!$F$5:$F$9,MATCH($B1307,Settings!$A$5:$A$9,0)),0))/P1307+IFERROR(INDEX(Settings!$D$5:$D$9,MATCH($B1307,Settings!$A$5:$A$9,0)),0)*M1307)</f>
        <v/>
      </c>
      <c r="W1307" s="11">
        <f>IF(J1307="","",IF(T1307="",0,M1307*INDEX(Products!$I$5:$I$204,T1307)))</f>
        <v/>
      </c>
      <c r="X1307" s="11">
        <f>IF(J1307="","",IF(T1307="",0,S1307*INDEX(Products!$H$5:$H$204,T1307)))</f>
        <v/>
      </c>
      <c r="Y1307" s="11">
        <f>IF(J1307="","",S1307-V1307-W1307-X1307)</f>
        <v/>
      </c>
    </row>
    <row r="1308">
      <c r="A1308" s="19" t="n"/>
      <c r="B1308" s="19" t="n"/>
      <c r="C1308" s="19" t="n"/>
      <c r="D1308" s="19" t="n"/>
      <c r="E1308" s="19" t="n"/>
      <c r="F1308" s="20" t="n"/>
      <c r="G1308" s="20" t="n"/>
      <c r="H1308" s="20" t="n"/>
      <c r="I1308" s="19" t="n"/>
      <c r="J1308">
        <f>IFERROR(IF(C1308="","",C1308)&amp;"","")</f>
        <v/>
      </c>
      <c r="K1308">
        <f>IFERROR(IF(D1308="","",D1308)&amp;"","")</f>
        <v/>
      </c>
      <c r="L1308">
        <f>IFERROR(IF(I1308="","",I1308)&amp;"","")</f>
        <v/>
      </c>
      <c r="M1308">
        <f>IF(J1308="","",IFERROR(VALUE(SUBSTITUTE(SUBSTITUTE(IF(E1308="","",E1308)&amp;"","$",""),",","")),0))</f>
        <v/>
      </c>
      <c r="N1308" s="11">
        <f>IF(J1308="","",IFERROR(VALUE(SUBSTITUTE(SUBSTITUTE(IF(F1308="","",F1308)&amp;"","$",""),",","")),0))</f>
        <v/>
      </c>
      <c r="O1308" s="11">
        <f>IF(J1308="","",M1308*N1308)</f>
        <v/>
      </c>
      <c r="P1308">
        <f>IF(J1308="","",IF(L1308="",1,COUNTIF($L$2:$L$1501,L1308)))</f>
        <v/>
      </c>
      <c r="Q1308" s="11">
        <f>IF(J1308="","",IFERROR(VALUE(SUBSTITUTE(SUBSTITUTE(IF(G1308="","",G1308)&amp;"","$",""),",","")),0)/IF("No"="Yes",P1308,1))</f>
        <v/>
      </c>
      <c r="R1308" s="11">
        <f>IF(J1308="","",IFERROR(VALUE(SUBSTITUTE(SUBSTITUTE(IF(H1308="","",H1308)&amp;"","$",""),",","")),0)/IF("No"="Yes",P1308,1))</f>
        <v/>
      </c>
      <c r="S1308" s="11">
        <f>IF(J1308="","",O1308+Q1308-R1308)</f>
        <v/>
      </c>
      <c r="T1308">
        <f>IF(J1308="","",IFERROR(IF(K1308="",NA(),MATCH(K1308,Products!$B$5:$B$204,0)),IFERROR(MATCH(J1308,Products!$A$5:$A$204,0),"")))</f>
        <v/>
      </c>
      <c r="U1308">
        <f>IF(J1308="","",IF(T1308="","⚠ not in Products",INDEX(Products!$A$5:$A$204,T1308)))</f>
        <v/>
      </c>
      <c r="V1308" s="11">
        <f>IF(J1308="","",S1308*(IFERROR(INDEX(Settings!$B$5:$B$9,MATCH($B1308,Settings!$A$5:$A$9,0)),0)+IFERROR(INDEX(Settings!$E$5:$E$9,MATCH($B1308,Settings!$A$5:$A$9,0)),0)+IFERROR(INDEX(Settings!$G$5:$G$9,MATCH($B1308,Settings!$A$5:$A$9,0)),0))+(IFERROR(INDEX(Settings!$C$5:$C$9,MATCH($B1308,Settings!$A$5:$A$9,0)),0)+IFERROR(INDEX(Settings!$F$5:$F$9,MATCH($B1308,Settings!$A$5:$A$9,0)),0))/P1308+IFERROR(INDEX(Settings!$D$5:$D$9,MATCH($B1308,Settings!$A$5:$A$9,0)),0)*M1308)</f>
        <v/>
      </c>
      <c r="W1308" s="11">
        <f>IF(J1308="","",IF(T1308="",0,M1308*INDEX(Products!$I$5:$I$204,T1308)))</f>
        <v/>
      </c>
      <c r="X1308" s="11">
        <f>IF(J1308="","",IF(T1308="",0,S1308*INDEX(Products!$H$5:$H$204,T1308)))</f>
        <v/>
      </c>
      <c r="Y1308" s="11">
        <f>IF(J1308="","",S1308-V1308-W1308-X1308)</f>
        <v/>
      </c>
    </row>
    <row r="1309">
      <c r="A1309" s="19" t="n"/>
      <c r="B1309" s="19" t="n"/>
      <c r="C1309" s="19" t="n"/>
      <c r="D1309" s="19" t="n"/>
      <c r="E1309" s="19" t="n"/>
      <c r="F1309" s="20" t="n"/>
      <c r="G1309" s="20" t="n"/>
      <c r="H1309" s="20" t="n"/>
      <c r="I1309" s="19" t="n"/>
      <c r="J1309">
        <f>IFERROR(IF(C1309="","",C1309)&amp;"","")</f>
        <v/>
      </c>
      <c r="K1309">
        <f>IFERROR(IF(D1309="","",D1309)&amp;"","")</f>
        <v/>
      </c>
      <c r="L1309">
        <f>IFERROR(IF(I1309="","",I1309)&amp;"","")</f>
        <v/>
      </c>
      <c r="M1309">
        <f>IF(J1309="","",IFERROR(VALUE(SUBSTITUTE(SUBSTITUTE(IF(E1309="","",E1309)&amp;"","$",""),",","")),0))</f>
        <v/>
      </c>
      <c r="N1309" s="11">
        <f>IF(J1309="","",IFERROR(VALUE(SUBSTITUTE(SUBSTITUTE(IF(F1309="","",F1309)&amp;"","$",""),",","")),0))</f>
        <v/>
      </c>
      <c r="O1309" s="11">
        <f>IF(J1309="","",M1309*N1309)</f>
        <v/>
      </c>
      <c r="P1309">
        <f>IF(J1309="","",IF(L1309="",1,COUNTIF($L$2:$L$1501,L1309)))</f>
        <v/>
      </c>
      <c r="Q1309" s="11">
        <f>IF(J1309="","",IFERROR(VALUE(SUBSTITUTE(SUBSTITUTE(IF(G1309="","",G1309)&amp;"","$",""),",","")),0)/IF("No"="Yes",P1309,1))</f>
        <v/>
      </c>
      <c r="R1309" s="11">
        <f>IF(J1309="","",IFERROR(VALUE(SUBSTITUTE(SUBSTITUTE(IF(H1309="","",H1309)&amp;"","$",""),",","")),0)/IF("No"="Yes",P1309,1))</f>
        <v/>
      </c>
      <c r="S1309" s="11">
        <f>IF(J1309="","",O1309+Q1309-R1309)</f>
        <v/>
      </c>
      <c r="T1309">
        <f>IF(J1309="","",IFERROR(IF(K1309="",NA(),MATCH(K1309,Products!$B$5:$B$204,0)),IFERROR(MATCH(J1309,Products!$A$5:$A$204,0),"")))</f>
        <v/>
      </c>
      <c r="U1309">
        <f>IF(J1309="","",IF(T1309="","⚠ not in Products",INDEX(Products!$A$5:$A$204,T1309)))</f>
        <v/>
      </c>
      <c r="V1309" s="11">
        <f>IF(J1309="","",S1309*(IFERROR(INDEX(Settings!$B$5:$B$9,MATCH($B1309,Settings!$A$5:$A$9,0)),0)+IFERROR(INDEX(Settings!$E$5:$E$9,MATCH($B1309,Settings!$A$5:$A$9,0)),0)+IFERROR(INDEX(Settings!$G$5:$G$9,MATCH($B1309,Settings!$A$5:$A$9,0)),0))+(IFERROR(INDEX(Settings!$C$5:$C$9,MATCH($B1309,Settings!$A$5:$A$9,0)),0)+IFERROR(INDEX(Settings!$F$5:$F$9,MATCH($B1309,Settings!$A$5:$A$9,0)),0))/P1309+IFERROR(INDEX(Settings!$D$5:$D$9,MATCH($B1309,Settings!$A$5:$A$9,0)),0)*M1309)</f>
        <v/>
      </c>
      <c r="W1309" s="11">
        <f>IF(J1309="","",IF(T1309="",0,M1309*INDEX(Products!$I$5:$I$204,T1309)))</f>
        <v/>
      </c>
      <c r="X1309" s="11">
        <f>IF(J1309="","",IF(T1309="",0,S1309*INDEX(Products!$H$5:$H$204,T1309)))</f>
        <v/>
      </c>
      <c r="Y1309" s="11">
        <f>IF(J1309="","",S1309-V1309-W1309-X1309)</f>
        <v/>
      </c>
    </row>
    <row r="1310">
      <c r="A1310" s="19" t="n"/>
      <c r="B1310" s="19" t="n"/>
      <c r="C1310" s="19" t="n"/>
      <c r="D1310" s="19" t="n"/>
      <c r="E1310" s="19" t="n"/>
      <c r="F1310" s="20" t="n"/>
      <c r="G1310" s="20" t="n"/>
      <c r="H1310" s="20" t="n"/>
      <c r="I1310" s="19" t="n"/>
      <c r="J1310">
        <f>IFERROR(IF(C1310="","",C1310)&amp;"","")</f>
        <v/>
      </c>
      <c r="K1310">
        <f>IFERROR(IF(D1310="","",D1310)&amp;"","")</f>
        <v/>
      </c>
      <c r="L1310">
        <f>IFERROR(IF(I1310="","",I1310)&amp;"","")</f>
        <v/>
      </c>
      <c r="M1310">
        <f>IF(J1310="","",IFERROR(VALUE(SUBSTITUTE(SUBSTITUTE(IF(E1310="","",E1310)&amp;"","$",""),",","")),0))</f>
        <v/>
      </c>
      <c r="N1310" s="11">
        <f>IF(J1310="","",IFERROR(VALUE(SUBSTITUTE(SUBSTITUTE(IF(F1310="","",F1310)&amp;"","$",""),",","")),0))</f>
        <v/>
      </c>
      <c r="O1310" s="11">
        <f>IF(J1310="","",M1310*N1310)</f>
        <v/>
      </c>
      <c r="P1310">
        <f>IF(J1310="","",IF(L1310="",1,COUNTIF($L$2:$L$1501,L1310)))</f>
        <v/>
      </c>
      <c r="Q1310" s="11">
        <f>IF(J1310="","",IFERROR(VALUE(SUBSTITUTE(SUBSTITUTE(IF(G1310="","",G1310)&amp;"","$",""),",","")),0)/IF("No"="Yes",P1310,1))</f>
        <v/>
      </c>
      <c r="R1310" s="11">
        <f>IF(J1310="","",IFERROR(VALUE(SUBSTITUTE(SUBSTITUTE(IF(H1310="","",H1310)&amp;"","$",""),",","")),0)/IF("No"="Yes",P1310,1))</f>
        <v/>
      </c>
      <c r="S1310" s="11">
        <f>IF(J1310="","",O1310+Q1310-R1310)</f>
        <v/>
      </c>
      <c r="T1310">
        <f>IF(J1310="","",IFERROR(IF(K1310="",NA(),MATCH(K1310,Products!$B$5:$B$204,0)),IFERROR(MATCH(J1310,Products!$A$5:$A$204,0),"")))</f>
        <v/>
      </c>
      <c r="U1310">
        <f>IF(J1310="","",IF(T1310="","⚠ not in Products",INDEX(Products!$A$5:$A$204,T1310)))</f>
        <v/>
      </c>
      <c r="V1310" s="11">
        <f>IF(J1310="","",S1310*(IFERROR(INDEX(Settings!$B$5:$B$9,MATCH($B1310,Settings!$A$5:$A$9,0)),0)+IFERROR(INDEX(Settings!$E$5:$E$9,MATCH($B1310,Settings!$A$5:$A$9,0)),0)+IFERROR(INDEX(Settings!$G$5:$G$9,MATCH($B1310,Settings!$A$5:$A$9,0)),0))+(IFERROR(INDEX(Settings!$C$5:$C$9,MATCH($B1310,Settings!$A$5:$A$9,0)),0)+IFERROR(INDEX(Settings!$F$5:$F$9,MATCH($B1310,Settings!$A$5:$A$9,0)),0))/P1310+IFERROR(INDEX(Settings!$D$5:$D$9,MATCH($B1310,Settings!$A$5:$A$9,0)),0)*M1310)</f>
        <v/>
      </c>
      <c r="W1310" s="11">
        <f>IF(J1310="","",IF(T1310="",0,M1310*INDEX(Products!$I$5:$I$204,T1310)))</f>
        <v/>
      </c>
      <c r="X1310" s="11">
        <f>IF(J1310="","",IF(T1310="",0,S1310*INDEX(Products!$H$5:$H$204,T1310)))</f>
        <v/>
      </c>
      <c r="Y1310" s="11">
        <f>IF(J1310="","",S1310-V1310-W1310-X1310)</f>
        <v/>
      </c>
    </row>
    <row r="1311">
      <c r="A1311" s="19" t="n"/>
      <c r="B1311" s="19" t="n"/>
      <c r="C1311" s="19" t="n"/>
      <c r="D1311" s="19" t="n"/>
      <c r="E1311" s="19" t="n"/>
      <c r="F1311" s="20" t="n"/>
      <c r="G1311" s="20" t="n"/>
      <c r="H1311" s="20" t="n"/>
      <c r="I1311" s="19" t="n"/>
      <c r="J1311">
        <f>IFERROR(IF(C1311="","",C1311)&amp;"","")</f>
        <v/>
      </c>
      <c r="K1311">
        <f>IFERROR(IF(D1311="","",D1311)&amp;"","")</f>
        <v/>
      </c>
      <c r="L1311">
        <f>IFERROR(IF(I1311="","",I1311)&amp;"","")</f>
        <v/>
      </c>
      <c r="M1311">
        <f>IF(J1311="","",IFERROR(VALUE(SUBSTITUTE(SUBSTITUTE(IF(E1311="","",E1311)&amp;"","$",""),",","")),0))</f>
        <v/>
      </c>
      <c r="N1311" s="11">
        <f>IF(J1311="","",IFERROR(VALUE(SUBSTITUTE(SUBSTITUTE(IF(F1311="","",F1311)&amp;"","$",""),",","")),0))</f>
        <v/>
      </c>
      <c r="O1311" s="11">
        <f>IF(J1311="","",M1311*N1311)</f>
        <v/>
      </c>
      <c r="P1311">
        <f>IF(J1311="","",IF(L1311="",1,COUNTIF($L$2:$L$1501,L1311)))</f>
        <v/>
      </c>
      <c r="Q1311" s="11">
        <f>IF(J1311="","",IFERROR(VALUE(SUBSTITUTE(SUBSTITUTE(IF(G1311="","",G1311)&amp;"","$",""),",","")),0)/IF("No"="Yes",P1311,1))</f>
        <v/>
      </c>
      <c r="R1311" s="11">
        <f>IF(J1311="","",IFERROR(VALUE(SUBSTITUTE(SUBSTITUTE(IF(H1311="","",H1311)&amp;"","$",""),",","")),0)/IF("No"="Yes",P1311,1))</f>
        <v/>
      </c>
      <c r="S1311" s="11">
        <f>IF(J1311="","",O1311+Q1311-R1311)</f>
        <v/>
      </c>
      <c r="T1311">
        <f>IF(J1311="","",IFERROR(IF(K1311="",NA(),MATCH(K1311,Products!$B$5:$B$204,0)),IFERROR(MATCH(J1311,Products!$A$5:$A$204,0),"")))</f>
        <v/>
      </c>
      <c r="U1311">
        <f>IF(J1311="","",IF(T1311="","⚠ not in Products",INDEX(Products!$A$5:$A$204,T1311)))</f>
        <v/>
      </c>
      <c r="V1311" s="11">
        <f>IF(J1311="","",S1311*(IFERROR(INDEX(Settings!$B$5:$B$9,MATCH($B1311,Settings!$A$5:$A$9,0)),0)+IFERROR(INDEX(Settings!$E$5:$E$9,MATCH($B1311,Settings!$A$5:$A$9,0)),0)+IFERROR(INDEX(Settings!$G$5:$G$9,MATCH($B1311,Settings!$A$5:$A$9,0)),0))+(IFERROR(INDEX(Settings!$C$5:$C$9,MATCH($B1311,Settings!$A$5:$A$9,0)),0)+IFERROR(INDEX(Settings!$F$5:$F$9,MATCH($B1311,Settings!$A$5:$A$9,0)),0))/P1311+IFERROR(INDEX(Settings!$D$5:$D$9,MATCH($B1311,Settings!$A$5:$A$9,0)),0)*M1311)</f>
        <v/>
      </c>
      <c r="W1311" s="11">
        <f>IF(J1311="","",IF(T1311="",0,M1311*INDEX(Products!$I$5:$I$204,T1311)))</f>
        <v/>
      </c>
      <c r="X1311" s="11">
        <f>IF(J1311="","",IF(T1311="",0,S1311*INDEX(Products!$H$5:$H$204,T1311)))</f>
        <v/>
      </c>
      <c r="Y1311" s="11">
        <f>IF(J1311="","",S1311-V1311-W1311-X1311)</f>
        <v/>
      </c>
    </row>
    <row r="1312">
      <c r="A1312" s="19" t="n"/>
      <c r="B1312" s="19" t="n"/>
      <c r="C1312" s="19" t="n"/>
      <c r="D1312" s="19" t="n"/>
      <c r="E1312" s="19" t="n"/>
      <c r="F1312" s="20" t="n"/>
      <c r="G1312" s="20" t="n"/>
      <c r="H1312" s="20" t="n"/>
      <c r="I1312" s="19" t="n"/>
      <c r="J1312">
        <f>IFERROR(IF(C1312="","",C1312)&amp;"","")</f>
        <v/>
      </c>
      <c r="K1312">
        <f>IFERROR(IF(D1312="","",D1312)&amp;"","")</f>
        <v/>
      </c>
      <c r="L1312">
        <f>IFERROR(IF(I1312="","",I1312)&amp;"","")</f>
        <v/>
      </c>
      <c r="M1312">
        <f>IF(J1312="","",IFERROR(VALUE(SUBSTITUTE(SUBSTITUTE(IF(E1312="","",E1312)&amp;"","$",""),",","")),0))</f>
        <v/>
      </c>
      <c r="N1312" s="11">
        <f>IF(J1312="","",IFERROR(VALUE(SUBSTITUTE(SUBSTITUTE(IF(F1312="","",F1312)&amp;"","$",""),",","")),0))</f>
        <v/>
      </c>
      <c r="O1312" s="11">
        <f>IF(J1312="","",M1312*N1312)</f>
        <v/>
      </c>
      <c r="P1312">
        <f>IF(J1312="","",IF(L1312="",1,COUNTIF($L$2:$L$1501,L1312)))</f>
        <v/>
      </c>
      <c r="Q1312" s="11">
        <f>IF(J1312="","",IFERROR(VALUE(SUBSTITUTE(SUBSTITUTE(IF(G1312="","",G1312)&amp;"","$",""),",","")),0)/IF("No"="Yes",P1312,1))</f>
        <v/>
      </c>
      <c r="R1312" s="11">
        <f>IF(J1312="","",IFERROR(VALUE(SUBSTITUTE(SUBSTITUTE(IF(H1312="","",H1312)&amp;"","$",""),",","")),0)/IF("No"="Yes",P1312,1))</f>
        <v/>
      </c>
      <c r="S1312" s="11">
        <f>IF(J1312="","",O1312+Q1312-R1312)</f>
        <v/>
      </c>
      <c r="T1312">
        <f>IF(J1312="","",IFERROR(IF(K1312="",NA(),MATCH(K1312,Products!$B$5:$B$204,0)),IFERROR(MATCH(J1312,Products!$A$5:$A$204,0),"")))</f>
        <v/>
      </c>
      <c r="U1312">
        <f>IF(J1312="","",IF(T1312="","⚠ not in Products",INDEX(Products!$A$5:$A$204,T1312)))</f>
        <v/>
      </c>
      <c r="V1312" s="11">
        <f>IF(J1312="","",S1312*(IFERROR(INDEX(Settings!$B$5:$B$9,MATCH($B1312,Settings!$A$5:$A$9,0)),0)+IFERROR(INDEX(Settings!$E$5:$E$9,MATCH($B1312,Settings!$A$5:$A$9,0)),0)+IFERROR(INDEX(Settings!$G$5:$G$9,MATCH($B1312,Settings!$A$5:$A$9,0)),0))+(IFERROR(INDEX(Settings!$C$5:$C$9,MATCH($B1312,Settings!$A$5:$A$9,0)),0)+IFERROR(INDEX(Settings!$F$5:$F$9,MATCH($B1312,Settings!$A$5:$A$9,0)),0))/P1312+IFERROR(INDEX(Settings!$D$5:$D$9,MATCH($B1312,Settings!$A$5:$A$9,0)),0)*M1312)</f>
        <v/>
      </c>
      <c r="W1312" s="11">
        <f>IF(J1312="","",IF(T1312="",0,M1312*INDEX(Products!$I$5:$I$204,T1312)))</f>
        <v/>
      </c>
      <c r="X1312" s="11">
        <f>IF(J1312="","",IF(T1312="",0,S1312*INDEX(Products!$H$5:$H$204,T1312)))</f>
        <v/>
      </c>
      <c r="Y1312" s="11">
        <f>IF(J1312="","",S1312-V1312-W1312-X1312)</f>
        <v/>
      </c>
    </row>
    <row r="1313">
      <c r="A1313" s="19" t="n"/>
      <c r="B1313" s="19" t="n"/>
      <c r="C1313" s="19" t="n"/>
      <c r="D1313" s="19" t="n"/>
      <c r="E1313" s="19" t="n"/>
      <c r="F1313" s="20" t="n"/>
      <c r="G1313" s="20" t="n"/>
      <c r="H1313" s="20" t="n"/>
      <c r="I1313" s="19" t="n"/>
      <c r="J1313">
        <f>IFERROR(IF(C1313="","",C1313)&amp;"","")</f>
        <v/>
      </c>
      <c r="K1313">
        <f>IFERROR(IF(D1313="","",D1313)&amp;"","")</f>
        <v/>
      </c>
      <c r="L1313">
        <f>IFERROR(IF(I1313="","",I1313)&amp;"","")</f>
        <v/>
      </c>
      <c r="M1313">
        <f>IF(J1313="","",IFERROR(VALUE(SUBSTITUTE(SUBSTITUTE(IF(E1313="","",E1313)&amp;"","$",""),",","")),0))</f>
        <v/>
      </c>
      <c r="N1313" s="11">
        <f>IF(J1313="","",IFERROR(VALUE(SUBSTITUTE(SUBSTITUTE(IF(F1313="","",F1313)&amp;"","$",""),",","")),0))</f>
        <v/>
      </c>
      <c r="O1313" s="11">
        <f>IF(J1313="","",M1313*N1313)</f>
        <v/>
      </c>
      <c r="P1313">
        <f>IF(J1313="","",IF(L1313="",1,COUNTIF($L$2:$L$1501,L1313)))</f>
        <v/>
      </c>
      <c r="Q1313" s="11">
        <f>IF(J1313="","",IFERROR(VALUE(SUBSTITUTE(SUBSTITUTE(IF(G1313="","",G1313)&amp;"","$",""),",","")),0)/IF("No"="Yes",P1313,1))</f>
        <v/>
      </c>
      <c r="R1313" s="11">
        <f>IF(J1313="","",IFERROR(VALUE(SUBSTITUTE(SUBSTITUTE(IF(H1313="","",H1313)&amp;"","$",""),",","")),0)/IF("No"="Yes",P1313,1))</f>
        <v/>
      </c>
      <c r="S1313" s="11">
        <f>IF(J1313="","",O1313+Q1313-R1313)</f>
        <v/>
      </c>
      <c r="T1313">
        <f>IF(J1313="","",IFERROR(IF(K1313="",NA(),MATCH(K1313,Products!$B$5:$B$204,0)),IFERROR(MATCH(J1313,Products!$A$5:$A$204,0),"")))</f>
        <v/>
      </c>
      <c r="U1313">
        <f>IF(J1313="","",IF(T1313="","⚠ not in Products",INDEX(Products!$A$5:$A$204,T1313)))</f>
        <v/>
      </c>
      <c r="V1313" s="11">
        <f>IF(J1313="","",S1313*(IFERROR(INDEX(Settings!$B$5:$B$9,MATCH($B1313,Settings!$A$5:$A$9,0)),0)+IFERROR(INDEX(Settings!$E$5:$E$9,MATCH($B1313,Settings!$A$5:$A$9,0)),0)+IFERROR(INDEX(Settings!$G$5:$G$9,MATCH($B1313,Settings!$A$5:$A$9,0)),0))+(IFERROR(INDEX(Settings!$C$5:$C$9,MATCH($B1313,Settings!$A$5:$A$9,0)),0)+IFERROR(INDEX(Settings!$F$5:$F$9,MATCH($B1313,Settings!$A$5:$A$9,0)),0))/P1313+IFERROR(INDEX(Settings!$D$5:$D$9,MATCH($B1313,Settings!$A$5:$A$9,0)),0)*M1313)</f>
        <v/>
      </c>
      <c r="W1313" s="11">
        <f>IF(J1313="","",IF(T1313="",0,M1313*INDEX(Products!$I$5:$I$204,T1313)))</f>
        <v/>
      </c>
      <c r="X1313" s="11">
        <f>IF(J1313="","",IF(T1313="",0,S1313*INDEX(Products!$H$5:$H$204,T1313)))</f>
        <v/>
      </c>
      <c r="Y1313" s="11">
        <f>IF(J1313="","",S1313-V1313-W1313-X1313)</f>
        <v/>
      </c>
    </row>
    <row r="1314">
      <c r="A1314" s="19" t="n"/>
      <c r="B1314" s="19" t="n"/>
      <c r="C1314" s="19" t="n"/>
      <c r="D1314" s="19" t="n"/>
      <c r="E1314" s="19" t="n"/>
      <c r="F1314" s="20" t="n"/>
      <c r="G1314" s="20" t="n"/>
      <c r="H1314" s="20" t="n"/>
      <c r="I1314" s="19" t="n"/>
      <c r="J1314">
        <f>IFERROR(IF(C1314="","",C1314)&amp;"","")</f>
        <v/>
      </c>
      <c r="K1314">
        <f>IFERROR(IF(D1314="","",D1314)&amp;"","")</f>
        <v/>
      </c>
      <c r="L1314">
        <f>IFERROR(IF(I1314="","",I1314)&amp;"","")</f>
        <v/>
      </c>
      <c r="M1314">
        <f>IF(J1314="","",IFERROR(VALUE(SUBSTITUTE(SUBSTITUTE(IF(E1314="","",E1314)&amp;"","$",""),",","")),0))</f>
        <v/>
      </c>
      <c r="N1314" s="11">
        <f>IF(J1314="","",IFERROR(VALUE(SUBSTITUTE(SUBSTITUTE(IF(F1314="","",F1314)&amp;"","$",""),",","")),0))</f>
        <v/>
      </c>
      <c r="O1314" s="11">
        <f>IF(J1314="","",M1314*N1314)</f>
        <v/>
      </c>
      <c r="P1314">
        <f>IF(J1314="","",IF(L1314="",1,COUNTIF($L$2:$L$1501,L1314)))</f>
        <v/>
      </c>
      <c r="Q1314" s="11">
        <f>IF(J1314="","",IFERROR(VALUE(SUBSTITUTE(SUBSTITUTE(IF(G1314="","",G1314)&amp;"","$",""),",","")),0)/IF("No"="Yes",P1314,1))</f>
        <v/>
      </c>
      <c r="R1314" s="11">
        <f>IF(J1314="","",IFERROR(VALUE(SUBSTITUTE(SUBSTITUTE(IF(H1314="","",H1314)&amp;"","$",""),",","")),0)/IF("No"="Yes",P1314,1))</f>
        <v/>
      </c>
      <c r="S1314" s="11">
        <f>IF(J1314="","",O1314+Q1314-R1314)</f>
        <v/>
      </c>
      <c r="T1314">
        <f>IF(J1314="","",IFERROR(IF(K1314="",NA(),MATCH(K1314,Products!$B$5:$B$204,0)),IFERROR(MATCH(J1314,Products!$A$5:$A$204,0),"")))</f>
        <v/>
      </c>
      <c r="U1314">
        <f>IF(J1314="","",IF(T1314="","⚠ not in Products",INDEX(Products!$A$5:$A$204,T1314)))</f>
        <v/>
      </c>
      <c r="V1314" s="11">
        <f>IF(J1314="","",S1314*(IFERROR(INDEX(Settings!$B$5:$B$9,MATCH($B1314,Settings!$A$5:$A$9,0)),0)+IFERROR(INDEX(Settings!$E$5:$E$9,MATCH($B1314,Settings!$A$5:$A$9,0)),0)+IFERROR(INDEX(Settings!$G$5:$G$9,MATCH($B1314,Settings!$A$5:$A$9,0)),0))+(IFERROR(INDEX(Settings!$C$5:$C$9,MATCH($B1314,Settings!$A$5:$A$9,0)),0)+IFERROR(INDEX(Settings!$F$5:$F$9,MATCH($B1314,Settings!$A$5:$A$9,0)),0))/P1314+IFERROR(INDEX(Settings!$D$5:$D$9,MATCH($B1314,Settings!$A$5:$A$9,0)),0)*M1314)</f>
        <v/>
      </c>
      <c r="W1314" s="11">
        <f>IF(J1314="","",IF(T1314="",0,M1314*INDEX(Products!$I$5:$I$204,T1314)))</f>
        <v/>
      </c>
      <c r="X1314" s="11">
        <f>IF(J1314="","",IF(T1314="",0,S1314*INDEX(Products!$H$5:$H$204,T1314)))</f>
        <v/>
      </c>
      <c r="Y1314" s="11">
        <f>IF(J1314="","",S1314-V1314-W1314-X1314)</f>
        <v/>
      </c>
    </row>
    <row r="1315">
      <c r="A1315" s="19" t="n"/>
      <c r="B1315" s="19" t="n"/>
      <c r="C1315" s="19" t="n"/>
      <c r="D1315" s="19" t="n"/>
      <c r="E1315" s="19" t="n"/>
      <c r="F1315" s="20" t="n"/>
      <c r="G1315" s="20" t="n"/>
      <c r="H1315" s="20" t="n"/>
      <c r="I1315" s="19" t="n"/>
      <c r="J1315">
        <f>IFERROR(IF(C1315="","",C1315)&amp;"","")</f>
        <v/>
      </c>
      <c r="K1315">
        <f>IFERROR(IF(D1315="","",D1315)&amp;"","")</f>
        <v/>
      </c>
      <c r="L1315">
        <f>IFERROR(IF(I1315="","",I1315)&amp;"","")</f>
        <v/>
      </c>
      <c r="M1315">
        <f>IF(J1315="","",IFERROR(VALUE(SUBSTITUTE(SUBSTITUTE(IF(E1315="","",E1315)&amp;"","$",""),",","")),0))</f>
        <v/>
      </c>
      <c r="N1315" s="11">
        <f>IF(J1315="","",IFERROR(VALUE(SUBSTITUTE(SUBSTITUTE(IF(F1315="","",F1315)&amp;"","$",""),",","")),0))</f>
        <v/>
      </c>
      <c r="O1315" s="11">
        <f>IF(J1315="","",M1315*N1315)</f>
        <v/>
      </c>
      <c r="P1315">
        <f>IF(J1315="","",IF(L1315="",1,COUNTIF($L$2:$L$1501,L1315)))</f>
        <v/>
      </c>
      <c r="Q1315" s="11">
        <f>IF(J1315="","",IFERROR(VALUE(SUBSTITUTE(SUBSTITUTE(IF(G1315="","",G1315)&amp;"","$",""),",","")),0)/IF("No"="Yes",P1315,1))</f>
        <v/>
      </c>
      <c r="R1315" s="11">
        <f>IF(J1315="","",IFERROR(VALUE(SUBSTITUTE(SUBSTITUTE(IF(H1315="","",H1315)&amp;"","$",""),",","")),0)/IF("No"="Yes",P1315,1))</f>
        <v/>
      </c>
      <c r="S1315" s="11">
        <f>IF(J1315="","",O1315+Q1315-R1315)</f>
        <v/>
      </c>
      <c r="T1315">
        <f>IF(J1315="","",IFERROR(IF(K1315="",NA(),MATCH(K1315,Products!$B$5:$B$204,0)),IFERROR(MATCH(J1315,Products!$A$5:$A$204,0),"")))</f>
        <v/>
      </c>
      <c r="U1315">
        <f>IF(J1315="","",IF(T1315="","⚠ not in Products",INDEX(Products!$A$5:$A$204,T1315)))</f>
        <v/>
      </c>
      <c r="V1315" s="11">
        <f>IF(J1315="","",S1315*(IFERROR(INDEX(Settings!$B$5:$B$9,MATCH($B1315,Settings!$A$5:$A$9,0)),0)+IFERROR(INDEX(Settings!$E$5:$E$9,MATCH($B1315,Settings!$A$5:$A$9,0)),0)+IFERROR(INDEX(Settings!$G$5:$G$9,MATCH($B1315,Settings!$A$5:$A$9,0)),0))+(IFERROR(INDEX(Settings!$C$5:$C$9,MATCH($B1315,Settings!$A$5:$A$9,0)),0)+IFERROR(INDEX(Settings!$F$5:$F$9,MATCH($B1315,Settings!$A$5:$A$9,0)),0))/P1315+IFERROR(INDEX(Settings!$D$5:$D$9,MATCH($B1315,Settings!$A$5:$A$9,0)),0)*M1315)</f>
        <v/>
      </c>
      <c r="W1315" s="11">
        <f>IF(J1315="","",IF(T1315="",0,M1315*INDEX(Products!$I$5:$I$204,T1315)))</f>
        <v/>
      </c>
      <c r="X1315" s="11">
        <f>IF(J1315="","",IF(T1315="",0,S1315*INDEX(Products!$H$5:$H$204,T1315)))</f>
        <v/>
      </c>
      <c r="Y1315" s="11">
        <f>IF(J1315="","",S1315-V1315-W1315-X1315)</f>
        <v/>
      </c>
    </row>
    <row r="1316">
      <c r="A1316" s="19" t="n"/>
      <c r="B1316" s="19" t="n"/>
      <c r="C1316" s="19" t="n"/>
      <c r="D1316" s="19" t="n"/>
      <c r="E1316" s="19" t="n"/>
      <c r="F1316" s="20" t="n"/>
      <c r="G1316" s="20" t="n"/>
      <c r="H1316" s="20" t="n"/>
      <c r="I1316" s="19" t="n"/>
      <c r="J1316">
        <f>IFERROR(IF(C1316="","",C1316)&amp;"","")</f>
        <v/>
      </c>
      <c r="K1316">
        <f>IFERROR(IF(D1316="","",D1316)&amp;"","")</f>
        <v/>
      </c>
      <c r="L1316">
        <f>IFERROR(IF(I1316="","",I1316)&amp;"","")</f>
        <v/>
      </c>
      <c r="M1316">
        <f>IF(J1316="","",IFERROR(VALUE(SUBSTITUTE(SUBSTITUTE(IF(E1316="","",E1316)&amp;"","$",""),",","")),0))</f>
        <v/>
      </c>
      <c r="N1316" s="11">
        <f>IF(J1316="","",IFERROR(VALUE(SUBSTITUTE(SUBSTITUTE(IF(F1316="","",F1316)&amp;"","$",""),",","")),0))</f>
        <v/>
      </c>
      <c r="O1316" s="11">
        <f>IF(J1316="","",M1316*N1316)</f>
        <v/>
      </c>
      <c r="P1316">
        <f>IF(J1316="","",IF(L1316="",1,COUNTIF($L$2:$L$1501,L1316)))</f>
        <v/>
      </c>
      <c r="Q1316" s="11">
        <f>IF(J1316="","",IFERROR(VALUE(SUBSTITUTE(SUBSTITUTE(IF(G1316="","",G1316)&amp;"","$",""),",","")),0)/IF("No"="Yes",P1316,1))</f>
        <v/>
      </c>
      <c r="R1316" s="11">
        <f>IF(J1316="","",IFERROR(VALUE(SUBSTITUTE(SUBSTITUTE(IF(H1316="","",H1316)&amp;"","$",""),",","")),0)/IF("No"="Yes",P1316,1))</f>
        <v/>
      </c>
      <c r="S1316" s="11">
        <f>IF(J1316="","",O1316+Q1316-R1316)</f>
        <v/>
      </c>
      <c r="T1316">
        <f>IF(J1316="","",IFERROR(IF(K1316="",NA(),MATCH(K1316,Products!$B$5:$B$204,0)),IFERROR(MATCH(J1316,Products!$A$5:$A$204,0),"")))</f>
        <v/>
      </c>
      <c r="U1316">
        <f>IF(J1316="","",IF(T1316="","⚠ not in Products",INDEX(Products!$A$5:$A$204,T1316)))</f>
        <v/>
      </c>
      <c r="V1316" s="11">
        <f>IF(J1316="","",S1316*(IFERROR(INDEX(Settings!$B$5:$B$9,MATCH($B1316,Settings!$A$5:$A$9,0)),0)+IFERROR(INDEX(Settings!$E$5:$E$9,MATCH($B1316,Settings!$A$5:$A$9,0)),0)+IFERROR(INDEX(Settings!$G$5:$G$9,MATCH($B1316,Settings!$A$5:$A$9,0)),0))+(IFERROR(INDEX(Settings!$C$5:$C$9,MATCH($B1316,Settings!$A$5:$A$9,0)),0)+IFERROR(INDEX(Settings!$F$5:$F$9,MATCH($B1316,Settings!$A$5:$A$9,0)),0))/P1316+IFERROR(INDEX(Settings!$D$5:$D$9,MATCH($B1316,Settings!$A$5:$A$9,0)),0)*M1316)</f>
        <v/>
      </c>
      <c r="W1316" s="11">
        <f>IF(J1316="","",IF(T1316="",0,M1316*INDEX(Products!$I$5:$I$204,T1316)))</f>
        <v/>
      </c>
      <c r="X1316" s="11">
        <f>IF(J1316="","",IF(T1316="",0,S1316*INDEX(Products!$H$5:$H$204,T1316)))</f>
        <v/>
      </c>
      <c r="Y1316" s="11">
        <f>IF(J1316="","",S1316-V1316-W1316-X1316)</f>
        <v/>
      </c>
    </row>
    <row r="1317">
      <c r="A1317" s="19" t="n"/>
      <c r="B1317" s="19" t="n"/>
      <c r="C1317" s="19" t="n"/>
      <c r="D1317" s="19" t="n"/>
      <c r="E1317" s="19" t="n"/>
      <c r="F1317" s="20" t="n"/>
      <c r="G1317" s="20" t="n"/>
      <c r="H1317" s="20" t="n"/>
      <c r="I1317" s="19" t="n"/>
      <c r="J1317">
        <f>IFERROR(IF(C1317="","",C1317)&amp;"","")</f>
        <v/>
      </c>
      <c r="K1317">
        <f>IFERROR(IF(D1317="","",D1317)&amp;"","")</f>
        <v/>
      </c>
      <c r="L1317">
        <f>IFERROR(IF(I1317="","",I1317)&amp;"","")</f>
        <v/>
      </c>
      <c r="M1317">
        <f>IF(J1317="","",IFERROR(VALUE(SUBSTITUTE(SUBSTITUTE(IF(E1317="","",E1317)&amp;"","$",""),",","")),0))</f>
        <v/>
      </c>
      <c r="N1317" s="11">
        <f>IF(J1317="","",IFERROR(VALUE(SUBSTITUTE(SUBSTITUTE(IF(F1317="","",F1317)&amp;"","$",""),",","")),0))</f>
        <v/>
      </c>
      <c r="O1317" s="11">
        <f>IF(J1317="","",M1317*N1317)</f>
        <v/>
      </c>
      <c r="P1317">
        <f>IF(J1317="","",IF(L1317="",1,COUNTIF($L$2:$L$1501,L1317)))</f>
        <v/>
      </c>
      <c r="Q1317" s="11">
        <f>IF(J1317="","",IFERROR(VALUE(SUBSTITUTE(SUBSTITUTE(IF(G1317="","",G1317)&amp;"","$",""),",","")),0)/IF("No"="Yes",P1317,1))</f>
        <v/>
      </c>
      <c r="R1317" s="11">
        <f>IF(J1317="","",IFERROR(VALUE(SUBSTITUTE(SUBSTITUTE(IF(H1317="","",H1317)&amp;"","$",""),",","")),0)/IF("No"="Yes",P1317,1))</f>
        <v/>
      </c>
      <c r="S1317" s="11">
        <f>IF(J1317="","",O1317+Q1317-R1317)</f>
        <v/>
      </c>
      <c r="T1317">
        <f>IF(J1317="","",IFERROR(IF(K1317="",NA(),MATCH(K1317,Products!$B$5:$B$204,0)),IFERROR(MATCH(J1317,Products!$A$5:$A$204,0),"")))</f>
        <v/>
      </c>
      <c r="U1317">
        <f>IF(J1317="","",IF(T1317="","⚠ not in Products",INDEX(Products!$A$5:$A$204,T1317)))</f>
        <v/>
      </c>
      <c r="V1317" s="11">
        <f>IF(J1317="","",S1317*(IFERROR(INDEX(Settings!$B$5:$B$9,MATCH($B1317,Settings!$A$5:$A$9,0)),0)+IFERROR(INDEX(Settings!$E$5:$E$9,MATCH($B1317,Settings!$A$5:$A$9,0)),0)+IFERROR(INDEX(Settings!$G$5:$G$9,MATCH($B1317,Settings!$A$5:$A$9,0)),0))+(IFERROR(INDEX(Settings!$C$5:$C$9,MATCH($B1317,Settings!$A$5:$A$9,0)),0)+IFERROR(INDEX(Settings!$F$5:$F$9,MATCH($B1317,Settings!$A$5:$A$9,0)),0))/P1317+IFERROR(INDEX(Settings!$D$5:$D$9,MATCH($B1317,Settings!$A$5:$A$9,0)),0)*M1317)</f>
        <v/>
      </c>
      <c r="W1317" s="11">
        <f>IF(J1317="","",IF(T1317="",0,M1317*INDEX(Products!$I$5:$I$204,T1317)))</f>
        <v/>
      </c>
      <c r="X1317" s="11">
        <f>IF(J1317="","",IF(T1317="",0,S1317*INDEX(Products!$H$5:$H$204,T1317)))</f>
        <v/>
      </c>
      <c r="Y1317" s="11">
        <f>IF(J1317="","",S1317-V1317-W1317-X1317)</f>
        <v/>
      </c>
    </row>
    <row r="1318">
      <c r="A1318" s="19" t="n"/>
      <c r="B1318" s="19" t="n"/>
      <c r="C1318" s="19" t="n"/>
      <c r="D1318" s="19" t="n"/>
      <c r="E1318" s="19" t="n"/>
      <c r="F1318" s="20" t="n"/>
      <c r="G1318" s="20" t="n"/>
      <c r="H1318" s="20" t="n"/>
      <c r="I1318" s="19" t="n"/>
      <c r="J1318">
        <f>IFERROR(IF(C1318="","",C1318)&amp;"","")</f>
        <v/>
      </c>
      <c r="K1318">
        <f>IFERROR(IF(D1318="","",D1318)&amp;"","")</f>
        <v/>
      </c>
      <c r="L1318">
        <f>IFERROR(IF(I1318="","",I1318)&amp;"","")</f>
        <v/>
      </c>
      <c r="M1318">
        <f>IF(J1318="","",IFERROR(VALUE(SUBSTITUTE(SUBSTITUTE(IF(E1318="","",E1318)&amp;"","$",""),",","")),0))</f>
        <v/>
      </c>
      <c r="N1318" s="11">
        <f>IF(J1318="","",IFERROR(VALUE(SUBSTITUTE(SUBSTITUTE(IF(F1318="","",F1318)&amp;"","$",""),",","")),0))</f>
        <v/>
      </c>
      <c r="O1318" s="11">
        <f>IF(J1318="","",M1318*N1318)</f>
        <v/>
      </c>
      <c r="P1318">
        <f>IF(J1318="","",IF(L1318="",1,COUNTIF($L$2:$L$1501,L1318)))</f>
        <v/>
      </c>
      <c r="Q1318" s="11">
        <f>IF(J1318="","",IFERROR(VALUE(SUBSTITUTE(SUBSTITUTE(IF(G1318="","",G1318)&amp;"","$",""),",","")),0)/IF("No"="Yes",P1318,1))</f>
        <v/>
      </c>
      <c r="R1318" s="11">
        <f>IF(J1318="","",IFERROR(VALUE(SUBSTITUTE(SUBSTITUTE(IF(H1318="","",H1318)&amp;"","$",""),",","")),0)/IF("No"="Yes",P1318,1))</f>
        <v/>
      </c>
      <c r="S1318" s="11">
        <f>IF(J1318="","",O1318+Q1318-R1318)</f>
        <v/>
      </c>
      <c r="T1318">
        <f>IF(J1318="","",IFERROR(IF(K1318="",NA(),MATCH(K1318,Products!$B$5:$B$204,0)),IFERROR(MATCH(J1318,Products!$A$5:$A$204,0),"")))</f>
        <v/>
      </c>
      <c r="U1318">
        <f>IF(J1318="","",IF(T1318="","⚠ not in Products",INDEX(Products!$A$5:$A$204,T1318)))</f>
        <v/>
      </c>
      <c r="V1318" s="11">
        <f>IF(J1318="","",S1318*(IFERROR(INDEX(Settings!$B$5:$B$9,MATCH($B1318,Settings!$A$5:$A$9,0)),0)+IFERROR(INDEX(Settings!$E$5:$E$9,MATCH($B1318,Settings!$A$5:$A$9,0)),0)+IFERROR(INDEX(Settings!$G$5:$G$9,MATCH($B1318,Settings!$A$5:$A$9,0)),0))+(IFERROR(INDEX(Settings!$C$5:$C$9,MATCH($B1318,Settings!$A$5:$A$9,0)),0)+IFERROR(INDEX(Settings!$F$5:$F$9,MATCH($B1318,Settings!$A$5:$A$9,0)),0))/P1318+IFERROR(INDEX(Settings!$D$5:$D$9,MATCH($B1318,Settings!$A$5:$A$9,0)),0)*M1318)</f>
        <v/>
      </c>
      <c r="W1318" s="11">
        <f>IF(J1318="","",IF(T1318="",0,M1318*INDEX(Products!$I$5:$I$204,T1318)))</f>
        <v/>
      </c>
      <c r="X1318" s="11">
        <f>IF(J1318="","",IF(T1318="",0,S1318*INDEX(Products!$H$5:$H$204,T1318)))</f>
        <v/>
      </c>
      <c r="Y1318" s="11">
        <f>IF(J1318="","",S1318-V1318-W1318-X1318)</f>
        <v/>
      </c>
    </row>
    <row r="1319">
      <c r="A1319" s="19" t="n"/>
      <c r="B1319" s="19" t="n"/>
      <c r="C1319" s="19" t="n"/>
      <c r="D1319" s="19" t="n"/>
      <c r="E1319" s="19" t="n"/>
      <c r="F1319" s="20" t="n"/>
      <c r="G1319" s="20" t="n"/>
      <c r="H1319" s="20" t="n"/>
      <c r="I1319" s="19" t="n"/>
      <c r="J1319">
        <f>IFERROR(IF(C1319="","",C1319)&amp;"","")</f>
        <v/>
      </c>
      <c r="K1319">
        <f>IFERROR(IF(D1319="","",D1319)&amp;"","")</f>
        <v/>
      </c>
      <c r="L1319">
        <f>IFERROR(IF(I1319="","",I1319)&amp;"","")</f>
        <v/>
      </c>
      <c r="M1319">
        <f>IF(J1319="","",IFERROR(VALUE(SUBSTITUTE(SUBSTITUTE(IF(E1319="","",E1319)&amp;"","$",""),",","")),0))</f>
        <v/>
      </c>
      <c r="N1319" s="11">
        <f>IF(J1319="","",IFERROR(VALUE(SUBSTITUTE(SUBSTITUTE(IF(F1319="","",F1319)&amp;"","$",""),",","")),0))</f>
        <v/>
      </c>
      <c r="O1319" s="11">
        <f>IF(J1319="","",M1319*N1319)</f>
        <v/>
      </c>
      <c r="P1319">
        <f>IF(J1319="","",IF(L1319="",1,COUNTIF($L$2:$L$1501,L1319)))</f>
        <v/>
      </c>
      <c r="Q1319" s="11">
        <f>IF(J1319="","",IFERROR(VALUE(SUBSTITUTE(SUBSTITUTE(IF(G1319="","",G1319)&amp;"","$",""),",","")),0)/IF("No"="Yes",P1319,1))</f>
        <v/>
      </c>
      <c r="R1319" s="11">
        <f>IF(J1319="","",IFERROR(VALUE(SUBSTITUTE(SUBSTITUTE(IF(H1319="","",H1319)&amp;"","$",""),",","")),0)/IF("No"="Yes",P1319,1))</f>
        <v/>
      </c>
      <c r="S1319" s="11">
        <f>IF(J1319="","",O1319+Q1319-R1319)</f>
        <v/>
      </c>
      <c r="T1319">
        <f>IF(J1319="","",IFERROR(IF(K1319="",NA(),MATCH(K1319,Products!$B$5:$B$204,0)),IFERROR(MATCH(J1319,Products!$A$5:$A$204,0),"")))</f>
        <v/>
      </c>
      <c r="U1319">
        <f>IF(J1319="","",IF(T1319="","⚠ not in Products",INDEX(Products!$A$5:$A$204,T1319)))</f>
        <v/>
      </c>
      <c r="V1319" s="11">
        <f>IF(J1319="","",S1319*(IFERROR(INDEX(Settings!$B$5:$B$9,MATCH($B1319,Settings!$A$5:$A$9,0)),0)+IFERROR(INDEX(Settings!$E$5:$E$9,MATCH($B1319,Settings!$A$5:$A$9,0)),0)+IFERROR(INDEX(Settings!$G$5:$G$9,MATCH($B1319,Settings!$A$5:$A$9,0)),0))+(IFERROR(INDEX(Settings!$C$5:$C$9,MATCH($B1319,Settings!$A$5:$A$9,0)),0)+IFERROR(INDEX(Settings!$F$5:$F$9,MATCH($B1319,Settings!$A$5:$A$9,0)),0))/P1319+IFERROR(INDEX(Settings!$D$5:$D$9,MATCH($B1319,Settings!$A$5:$A$9,0)),0)*M1319)</f>
        <v/>
      </c>
      <c r="W1319" s="11">
        <f>IF(J1319="","",IF(T1319="",0,M1319*INDEX(Products!$I$5:$I$204,T1319)))</f>
        <v/>
      </c>
      <c r="X1319" s="11">
        <f>IF(J1319="","",IF(T1319="",0,S1319*INDEX(Products!$H$5:$H$204,T1319)))</f>
        <v/>
      </c>
      <c r="Y1319" s="11">
        <f>IF(J1319="","",S1319-V1319-W1319-X1319)</f>
        <v/>
      </c>
    </row>
    <row r="1320">
      <c r="A1320" s="19" t="n"/>
      <c r="B1320" s="19" t="n"/>
      <c r="C1320" s="19" t="n"/>
      <c r="D1320" s="19" t="n"/>
      <c r="E1320" s="19" t="n"/>
      <c r="F1320" s="20" t="n"/>
      <c r="G1320" s="20" t="n"/>
      <c r="H1320" s="20" t="n"/>
      <c r="I1320" s="19" t="n"/>
      <c r="J1320">
        <f>IFERROR(IF(C1320="","",C1320)&amp;"","")</f>
        <v/>
      </c>
      <c r="K1320">
        <f>IFERROR(IF(D1320="","",D1320)&amp;"","")</f>
        <v/>
      </c>
      <c r="L1320">
        <f>IFERROR(IF(I1320="","",I1320)&amp;"","")</f>
        <v/>
      </c>
      <c r="M1320">
        <f>IF(J1320="","",IFERROR(VALUE(SUBSTITUTE(SUBSTITUTE(IF(E1320="","",E1320)&amp;"","$",""),",","")),0))</f>
        <v/>
      </c>
      <c r="N1320" s="11">
        <f>IF(J1320="","",IFERROR(VALUE(SUBSTITUTE(SUBSTITUTE(IF(F1320="","",F1320)&amp;"","$",""),",","")),0))</f>
        <v/>
      </c>
      <c r="O1320" s="11">
        <f>IF(J1320="","",M1320*N1320)</f>
        <v/>
      </c>
      <c r="P1320">
        <f>IF(J1320="","",IF(L1320="",1,COUNTIF($L$2:$L$1501,L1320)))</f>
        <v/>
      </c>
      <c r="Q1320" s="11">
        <f>IF(J1320="","",IFERROR(VALUE(SUBSTITUTE(SUBSTITUTE(IF(G1320="","",G1320)&amp;"","$",""),",","")),0)/IF("No"="Yes",P1320,1))</f>
        <v/>
      </c>
      <c r="R1320" s="11">
        <f>IF(J1320="","",IFERROR(VALUE(SUBSTITUTE(SUBSTITUTE(IF(H1320="","",H1320)&amp;"","$",""),",","")),0)/IF("No"="Yes",P1320,1))</f>
        <v/>
      </c>
      <c r="S1320" s="11">
        <f>IF(J1320="","",O1320+Q1320-R1320)</f>
        <v/>
      </c>
      <c r="T1320">
        <f>IF(J1320="","",IFERROR(IF(K1320="",NA(),MATCH(K1320,Products!$B$5:$B$204,0)),IFERROR(MATCH(J1320,Products!$A$5:$A$204,0),"")))</f>
        <v/>
      </c>
      <c r="U1320">
        <f>IF(J1320="","",IF(T1320="","⚠ not in Products",INDEX(Products!$A$5:$A$204,T1320)))</f>
        <v/>
      </c>
      <c r="V1320" s="11">
        <f>IF(J1320="","",S1320*(IFERROR(INDEX(Settings!$B$5:$B$9,MATCH($B1320,Settings!$A$5:$A$9,0)),0)+IFERROR(INDEX(Settings!$E$5:$E$9,MATCH($B1320,Settings!$A$5:$A$9,0)),0)+IFERROR(INDEX(Settings!$G$5:$G$9,MATCH($B1320,Settings!$A$5:$A$9,0)),0))+(IFERROR(INDEX(Settings!$C$5:$C$9,MATCH($B1320,Settings!$A$5:$A$9,0)),0)+IFERROR(INDEX(Settings!$F$5:$F$9,MATCH($B1320,Settings!$A$5:$A$9,0)),0))/P1320+IFERROR(INDEX(Settings!$D$5:$D$9,MATCH($B1320,Settings!$A$5:$A$9,0)),0)*M1320)</f>
        <v/>
      </c>
      <c r="W1320" s="11">
        <f>IF(J1320="","",IF(T1320="",0,M1320*INDEX(Products!$I$5:$I$204,T1320)))</f>
        <v/>
      </c>
      <c r="X1320" s="11">
        <f>IF(J1320="","",IF(T1320="",0,S1320*INDEX(Products!$H$5:$H$204,T1320)))</f>
        <v/>
      </c>
      <c r="Y1320" s="11">
        <f>IF(J1320="","",S1320-V1320-W1320-X1320)</f>
        <v/>
      </c>
    </row>
    <row r="1321">
      <c r="A1321" s="19" t="n"/>
      <c r="B1321" s="19" t="n"/>
      <c r="C1321" s="19" t="n"/>
      <c r="D1321" s="19" t="n"/>
      <c r="E1321" s="19" t="n"/>
      <c r="F1321" s="20" t="n"/>
      <c r="G1321" s="20" t="n"/>
      <c r="H1321" s="20" t="n"/>
      <c r="I1321" s="19" t="n"/>
      <c r="J1321">
        <f>IFERROR(IF(C1321="","",C1321)&amp;"","")</f>
        <v/>
      </c>
      <c r="K1321">
        <f>IFERROR(IF(D1321="","",D1321)&amp;"","")</f>
        <v/>
      </c>
      <c r="L1321">
        <f>IFERROR(IF(I1321="","",I1321)&amp;"","")</f>
        <v/>
      </c>
      <c r="M1321">
        <f>IF(J1321="","",IFERROR(VALUE(SUBSTITUTE(SUBSTITUTE(IF(E1321="","",E1321)&amp;"","$",""),",","")),0))</f>
        <v/>
      </c>
      <c r="N1321" s="11">
        <f>IF(J1321="","",IFERROR(VALUE(SUBSTITUTE(SUBSTITUTE(IF(F1321="","",F1321)&amp;"","$",""),",","")),0))</f>
        <v/>
      </c>
      <c r="O1321" s="11">
        <f>IF(J1321="","",M1321*N1321)</f>
        <v/>
      </c>
      <c r="P1321">
        <f>IF(J1321="","",IF(L1321="",1,COUNTIF($L$2:$L$1501,L1321)))</f>
        <v/>
      </c>
      <c r="Q1321" s="11">
        <f>IF(J1321="","",IFERROR(VALUE(SUBSTITUTE(SUBSTITUTE(IF(G1321="","",G1321)&amp;"","$",""),",","")),0)/IF("No"="Yes",P1321,1))</f>
        <v/>
      </c>
      <c r="R1321" s="11">
        <f>IF(J1321="","",IFERROR(VALUE(SUBSTITUTE(SUBSTITUTE(IF(H1321="","",H1321)&amp;"","$",""),",","")),0)/IF("No"="Yes",P1321,1))</f>
        <v/>
      </c>
      <c r="S1321" s="11">
        <f>IF(J1321="","",O1321+Q1321-R1321)</f>
        <v/>
      </c>
      <c r="T1321">
        <f>IF(J1321="","",IFERROR(IF(K1321="",NA(),MATCH(K1321,Products!$B$5:$B$204,0)),IFERROR(MATCH(J1321,Products!$A$5:$A$204,0),"")))</f>
        <v/>
      </c>
      <c r="U1321">
        <f>IF(J1321="","",IF(T1321="","⚠ not in Products",INDEX(Products!$A$5:$A$204,T1321)))</f>
        <v/>
      </c>
      <c r="V1321" s="11">
        <f>IF(J1321="","",S1321*(IFERROR(INDEX(Settings!$B$5:$B$9,MATCH($B1321,Settings!$A$5:$A$9,0)),0)+IFERROR(INDEX(Settings!$E$5:$E$9,MATCH($B1321,Settings!$A$5:$A$9,0)),0)+IFERROR(INDEX(Settings!$G$5:$G$9,MATCH($B1321,Settings!$A$5:$A$9,0)),0))+(IFERROR(INDEX(Settings!$C$5:$C$9,MATCH($B1321,Settings!$A$5:$A$9,0)),0)+IFERROR(INDEX(Settings!$F$5:$F$9,MATCH($B1321,Settings!$A$5:$A$9,0)),0))/P1321+IFERROR(INDEX(Settings!$D$5:$D$9,MATCH($B1321,Settings!$A$5:$A$9,0)),0)*M1321)</f>
        <v/>
      </c>
      <c r="W1321" s="11">
        <f>IF(J1321="","",IF(T1321="",0,M1321*INDEX(Products!$I$5:$I$204,T1321)))</f>
        <v/>
      </c>
      <c r="X1321" s="11">
        <f>IF(J1321="","",IF(T1321="",0,S1321*INDEX(Products!$H$5:$H$204,T1321)))</f>
        <v/>
      </c>
      <c r="Y1321" s="11">
        <f>IF(J1321="","",S1321-V1321-W1321-X1321)</f>
        <v/>
      </c>
    </row>
    <row r="1322">
      <c r="A1322" s="19" t="n"/>
      <c r="B1322" s="19" t="n"/>
      <c r="C1322" s="19" t="n"/>
      <c r="D1322" s="19" t="n"/>
      <c r="E1322" s="19" t="n"/>
      <c r="F1322" s="20" t="n"/>
      <c r="G1322" s="20" t="n"/>
      <c r="H1322" s="20" t="n"/>
      <c r="I1322" s="19" t="n"/>
      <c r="J1322">
        <f>IFERROR(IF(C1322="","",C1322)&amp;"","")</f>
        <v/>
      </c>
      <c r="K1322">
        <f>IFERROR(IF(D1322="","",D1322)&amp;"","")</f>
        <v/>
      </c>
      <c r="L1322">
        <f>IFERROR(IF(I1322="","",I1322)&amp;"","")</f>
        <v/>
      </c>
      <c r="M1322">
        <f>IF(J1322="","",IFERROR(VALUE(SUBSTITUTE(SUBSTITUTE(IF(E1322="","",E1322)&amp;"","$",""),",","")),0))</f>
        <v/>
      </c>
      <c r="N1322" s="11">
        <f>IF(J1322="","",IFERROR(VALUE(SUBSTITUTE(SUBSTITUTE(IF(F1322="","",F1322)&amp;"","$",""),",","")),0))</f>
        <v/>
      </c>
      <c r="O1322" s="11">
        <f>IF(J1322="","",M1322*N1322)</f>
        <v/>
      </c>
      <c r="P1322">
        <f>IF(J1322="","",IF(L1322="",1,COUNTIF($L$2:$L$1501,L1322)))</f>
        <v/>
      </c>
      <c r="Q1322" s="11">
        <f>IF(J1322="","",IFERROR(VALUE(SUBSTITUTE(SUBSTITUTE(IF(G1322="","",G1322)&amp;"","$",""),",","")),0)/IF("No"="Yes",P1322,1))</f>
        <v/>
      </c>
      <c r="R1322" s="11">
        <f>IF(J1322="","",IFERROR(VALUE(SUBSTITUTE(SUBSTITUTE(IF(H1322="","",H1322)&amp;"","$",""),",","")),0)/IF("No"="Yes",P1322,1))</f>
        <v/>
      </c>
      <c r="S1322" s="11">
        <f>IF(J1322="","",O1322+Q1322-R1322)</f>
        <v/>
      </c>
      <c r="T1322">
        <f>IF(J1322="","",IFERROR(IF(K1322="",NA(),MATCH(K1322,Products!$B$5:$B$204,0)),IFERROR(MATCH(J1322,Products!$A$5:$A$204,0),"")))</f>
        <v/>
      </c>
      <c r="U1322">
        <f>IF(J1322="","",IF(T1322="","⚠ not in Products",INDEX(Products!$A$5:$A$204,T1322)))</f>
        <v/>
      </c>
      <c r="V1322" s="11">
        <f>IF(J1322="","",S1322*(IFERROR(INDEX(Settings!$B$5:$B$9,MATCH($B1322,Settings!$A$5:$A$9,0)),0)+IFERROR(INDEX(Settings!$E$5:$E$9,MATCH($B1322,Settings!$A$5:$A$9,0)),0)+IFERROR(INDEX(Settings!$G$5:$G$9,MATCH($B1322,Settings!$A$5:$A$9,0)),0))+(IFERROR(INDEX(Settings!$C$5:$C$9,MATCH($B1322,Settings!$A$5:$A$9,0)),0)+IFERROR(INDEX(Settings!$F$5:$F$9,MATCH($B1322,Settings!$A$5:$A$9,0)),0))/P1322+IFERROR(INDEX(Settings!$D$5:$D$9,MATCH($B1322,Settings!$A$5:$A$9,0)),0)*M1322)</f>
        <v/>
      </c>
      <c r="W1322" s="11">
        <f>IF(J1322="","",IF(T1322="",0,M1322*INDEX(Products!$I$5:$I$204,T1322)))</f>
        <v/>
      </c>
      <c r="X1322" s="11">
        <f>IF(J1322="","",IF(T1322="",0,S1322*INDEX(Products!$H$5:$H$204,T1322)))</f>
        <v/>
      </c>
      <c r="Y1322" s="11">
        <f>IF(J1322="","",S1322-V1322-W1322-X1322)</f>
        <v/>
      </c>
    </row>
    <row r="1323">
      <c r="A1323" s="19" t="n"/>
      <c r="B1323" s="19" t="n"/>
      <c r="C1323" s="19" t="n"/>
      <c r="D1323" s="19" t="n"/>
      <c r="E1323" s="19" t="n"/>
      <c r="F1323" s="20" t="n"/>
      <c r="G1323" s="20" t="n"/>
      <c r="H1323" s="20" t="n"/>
      <c r="I1323" s="19" t="n"/>
      <c r="J1323">
        <f>IFERROR(IF(C1323="","",C1323)&amp;"","")</f>
        <v/>
      </c>
      <c r="K1323">
        <f>IFERROR(IF(D1323="","",D1323)&amp;"","")</f>
        <v/>
      </c>
      <c r="L1323">
        <f>IFERROR(IF(I1323="","",I1323)&amp;"","")</f>
        <v/>
      </c>
      <c r="M1323">
        <f>IF(J1323="","",IFERROR(VALUE(SUBSTITUTE(SUBSTITUTE(IF(E1323="","",E1323)&amp;"","$",""),",","")),0))</f>
        <v/>
      </c>
      <c r="N1323" s="11">
        <f>IF(J1323="","",IFERROR(VALUE(SUBSTITUTE(SUBSTITUTE(IF(F1323="","",F1323)&amp;"","$",""),",","")),0))</f>
        <v/>
      </c>
      <c r="O1323" s="11">
        <f>IF(J1323="","",M1323*N1323)</f>
        <v/>
      </c>
      <c r="P1323">
        <f>IF(J1323="","",IF(L1323="",1,COUNTIF($L$2:$L$1501,L1323)))</f>
        <v/>
      </c>
      <c r="Q1323" s="11">
        <f>IF(J1323="","",IFERROR(VALUE(SUBSTITUTE(SUBSTITUTE(IF(G1323="","",G1323)&amp;"","$",""),",","")),0)/IF("No"="Yes",P1323,1))</f>
        <v/>
      </c>
      <c r="R1323" s="11">
        <f>IF(J1323="","",IFERROR(VALUE(SUBSTITUTE(SUBSTITUTE(IF(H1323="","",H1323)&amp;"","$",""),",","")),0)/IF("No"="Yes",P1323,1))</f>
        <v/>
      </c>
      <c r="S1323" s="11">
        <f>IF(J1323="","",O1323+Q1323-R1323)</f>
        <v/>
      </c>
      <c r="T1323">
        <f>IF(J1323="","",IFERROR(IF(K1323="",NA(),MATCH(K1323,Products!$B$5:$B$204,0)),IFERROR(MATCH(J1323,Products!$A$5:$A$204,0),"")))</f>
        <v/>
      </c>
      <c r="U1323">
        <f>IF(J1323="","",IF(T1323="","⚠ not in Products",INDEX(Products!$A$5:$A$204,T1323)))</f>
        <v/>
      </c>
      <c r="V1323" s="11">
        <f>IF(J1323="","",S1323*(IFERROR(INDEX(Settings!$B$5:$B$9,MATCH($B1323,Settings!$A$5:$A$9,0)),0)+IFERROR(INDEX(Settings!$E$5:$E$9,MATCH($B1323,Settings!$A$5:$A$9,0)),0)+IFERROR(INDEX(Settings!$G$5:$G$9,MATCH($B1323,Settings!$A$5:$A$9,0)),0))+(IFERROR(INDEX(Settings!$C$5:$C$9,MATCH($B1323,Settings!$A$5:$A$9,0)),0)+IFERROR(INDEX(Settings!$F$5:$F$9,MATCH($B1323,Settings!$A$5:$A$9,0)),0))/P1323+IFERROR(INDEX(Settings!$D$5:$D$9,MATCH($B1323,Settings!$A$5:$A$9,0)),0)*M1323)</f>
        <v/>
      </c>
      <c r="W1323" s="11">
        <f>IF(J1323="","",IF(T1323="",0,M1323*INDEX(Products!$I$5:$I$204,T1323)))</f>
        <v/>
      </c>
      <c r="X1323" s="11">
        <f>IF(J1323="","",IF(T1323="",0,S1323*INDEX(Products!$H$5:$H$204,T1323)))</f>
        <v/>
      </c>
      <c r="Y1323" s="11">
        <f>IF(J1323="","",S1323-V1323-W1323-X1323)</f>
        <v/>
      </c>
    </row>
    <row r="1324">
      <c r="A1324" s="19" t="n"/>
      <c r="B1324" s="19" t="n"/>
      <c r="C1324" s="19" t="n"/>
      <c r="D1324" s="19" t="n"/>
      <c r="E1324" s="19" t="n"/>
      <c r="F1324" s="20" t="n"/>
      <c r="G1324" s="20" t="n"/>
      <c r="H1324" s="20" t="n"/>
      <c r="I1324" s="19" t="n"/>
      <c r="J1324">
        <f>IFERROR(IF(C1324="","",C1324)&amp;"","")</f>
        <v/>
      </c>
      <c r="K1324">
        <f>IFERROR(IF(D1324="","",D1324)&amp;"","")</f>
        <v/>
      </c>
      <c r="L1324">
        <f>IFERROR(IF(I1324="","",I1324)&amp;"","")</f>
        <v/>
      </c>
      <c r="M1324">
        <f>IF(J1324="","",IFERROR(VALUE(SUBSTITUTE(SUBSTITUTE(IF(E1324="","",E1324)&amp;"","$",""),",","")),0))</f>
        <v/>
      </c>
      <c r="N1324" s="11">
        <f>IF(J1324="","",IFERROR(VALUE(SUBSTITUTE(SUBSTITUTE(IF(F1324="","",F1324)&amp;"","$",""),",","")),0))</f>
        <v/>
      </c>
      <c r="O1324" s="11">
        <f>IF(J1324="","",M1324*N1324)</f>
        <v/>
      </c>
      <c r="P1324">
        <f>IF(J1324="","",IF(L1324="",1,COUNTIF($L$2:$L$1501,L1324)))</f>
        <v/>
      </c>
      <c r="Q1324" s="11">
        <f>IF(J1324="","",IFERROR(VALUE(SUBSTITUTE(SUBSTITUTE(IF(G1324="","",G1324)&amp;"","$",""),",","")),0)/IF("No"="Yes",P1324,1))</f>
        <v/>
      </c>
      <c r="R1324" s="11">
        <f>IF(J1324="","",IFERROR(VALUE(SUBSTITUTE(SUBSTITUTE(IF(H1324="","",H1324)&amp;"","$",""),",","")),0)/IF("No"="Yes",P1324,1))</f>
        <v/>
      </c>
      <c r="S1324" s="11">
        <f>IF(J1324="","",O1324+Q1324-R1324)</f>
        <v/>
      </c>
      <c r="T1324">
        <f>IF(J1324="","",IFERROR(IF(K1324="",NA(),MATCH(K1324,Products!$B$5:$B$204,0)),IFERROR(MATCH(J1324,Products!$A$5:$A$204,0),"")))</f>
        <v/>
      </c>
      <c r="U1324">
        <f>IF(J1324="","",IF(T1324="","⚠ not in Products",INDEX(Products!$A$5:$A$204,T1324)))</f>
        <v/>
      </c>
      <c r="V1324" s="11">
        <f>IF(J1324="","",S1324*(IFERROR(INDEX(Settings!$B$5:$B$9,MATCH($B1324,Settings!$A$5:$A$9,0)),0)+IFERROR(INDEX(Settings!$E$5:$E$9,MATCH($B1324,Settings!$A$5:$A$9,0)),0)+IFERROR(INDEX(Settings!$G$5:$G$9,MATCH($B1324,Settings!$A$5:$A$9,0)),0))+(IFERROR(INDEX(Settings!$C$5:$C$9,MATCH($B1324,Settings!$A$5:$A$9,0)),0)+IFERROR(INDEX(Settings!$F$5:$F$9,MATCH($B1324,Settings!$A$5:$A$9,0)),0))/P1324+IFERROR(INDEX(Settings!$D$5:$D$9,MATCH($B1324,Settings!$A$5:$A$9,0)),0)*M1324)</f>
        <v/>
      </c>
      <c r="W1324" s="11">
        <f>IF(J1324="","",IF(T1324="",0,M1324*INDEX(Products!$I$5:$I$204,T1324)))</f>
        <v/>
      </c>
      <c r="X1324" s="11">
        <f>IF(J1324="","",IF(T1324="",0,S1324*INDEX(Products!$H$5:$H$204,T1324)))</f>
        <v/>
      </c>
      <c r="Y1324" s="11">
        <f>IF(J1324="","",S1324-V1324-W1324-X1324)</f>
        <v/>
      </c>
    </row>
    <row r="1325">
      <c r="A1325" s="19" t="n"/>
      <c r="B1325" s="19" t="n"/>
      <c r="C1325" s="19" t="n"/>
      <c r="D1325" s="19" t="n"/>
      <c r="E1325" s="19" t="n"/>
      <c r="F1325" s="20" t="n"/>
      <c r="G1325" s="20" t="n"/>
      <c r="H1325" s="20" t="n"/>
      <c r="I1325" s="19" t="n"/>
      <c r="J1325">
        <f>IFERROR(IF(C1325="","",C1325)&amp;"","")</f>
        <v/>
      </c>
      <c r="K1325">
        <f>IFERROR(IF(D1325="","",D1325)&amp;"","")</f>
        <v/>
      </c>
      <c r="L1325">
        <f>IFERROR(IF(I1325="","",I1325)&amp;"","")</f>
        <v/>
      </c>
      <c r="M1325">
        <f>IF(J1325="","",IFERROR(VALUE(SUBSTITUTE(SUBSTITUTE(IF(E1325="","",E1325)&amp;"","$",""),",","")),0))</f>
        <v/>
      </c>
      <c r="N1325" s="11">
        <f>IF(J1325="","",IFERROR(VALUE(SUBSTITUTE(SUBSTITUTE(IF(F1325="","",F1325)&amp;"","$",""),",","")),0))</f>
        <v/>
      </c>
      <c r="O1325" s="11">
        <f>IF(J1325="","",M1325*N1325)</f>
        <v/>
      </c>
      <c r="P1325">
        <f>IF(J1325="","",IF(L1325="",1,COUNTIF($L$2:$L$1501,L1325)))</f>
        <v/>
      </c>
      <c r="Q1325" s="11">
        <f>IF(J1325="","",IFERROR(VALUE(SUBSTITUTE(SUBSTITUTE(IF(G1325="","",G1325)&amp;"","$",""),",","")),0)/IF("No"="Yes",P1325,1))</f>
        <v/>
      </c>
      <c r="R1325" s="11">
        <f>IF(J1325="","",IFERROR(VALUE(SUBSTITUTE(SUBSTITUTE(IF(H1325="","",H1325)&amp;"","$",""),",","")),0)/IF("No"="Yes",P1325,1))</f>
        <v/>
      </c>
      <c r="S1325" s="11">
        <f>IF(J1325="","",O1325+Q1325-R1325)</f>
        <v/>
      </c>
      <c r="T1325">
        <f>IF(J1325="","",IFERROR(IF(K1325="",NA(),MATCH(K1325,Products!$B$5:$B$204,0)),IFERROR(MATCH(J1325,Products!$A$5:$A$204,0),"")))</f>
        <v/>
      </c>
      <c r="U1325">
        <f>IF(J1325="","",IF(T1325="","⚠ not in Products",INDEX(Products!$A$5:$A$204,T1325)))</f>
        <v/>
      </c>
      <c r="V1325" s="11">
        <f>IF(J1325="","",S1325*(IFERROR(INDEX(Settings!$B$5:$B$9,MATCH($B1325,Settings!$A$5:$A$9,0)),0)+IFERROR(INDEX(Settings!$E$5:$E$9,MATCH($B1325,Settings!$A$5:$A$9,0)),0)+IFERROR(INDEX(Settings!$G$5:$G$9,MATCH($B1325,Settings!$A$5:$A$9,0)),0))+(IFERROR(INDEX(Settings!$C$5:$C$9,MATCH($B1325,Settings!$A$5:$A$9,0)),0)+IFERROR(INDEX(Settings!$F$5:$F$9,MATCH($B1325,Settings!$A$5:$A$9,0)),0))/P1325+IFERROR(INDEX(Settings!$D$5:$D$9,MATCH($B1325,Settings!$A$5:$A$9,0)),0)*M1325)</f>
        <v/>
      </c>
      <c r="W1325" s="11">
        <f>IF(J1325="","",IF(T1325="",0,M1325*INDEX(Products!$I$5:$I$204,T1325)))</f>
        <v/>
      </c>
      <c r="X1325" s="11">
        <f>IF(J1325="","",IF(T1325="",0,S1325*INDEX(Products!$H$5:$H$204,T1325)))</f>
        <v/>
      </c>
      <c r="Y1325" s="11">
        <f>IF(J1325="","",S1325-V1325-W1325-X1325)</f>
        <v/>
      </c>
    </row>
    <row r="1326">
      <c r="A1326" s="19" t="n"/>
      <c r="B1326" s="19" t="n"/>
      <c r="C1326" s="19" t="n"/>
      <c r="D1326" s="19" t="n"/>
      <c r="E1326" s="19" t="n"/>
      <c r="F1326" s="20" t="n"/>
      <c r="G1326" s="20" t="n"/>
      <c r="H1326" s="20" t="n"/>
      <c r="I1326" s="19" t="n"/>
      <c r="J1326">
        <f>IFERROR(IF(C1326="","",C1326)&amp;"","")</f>
        <v/>
      </c>
      <c r="K1326">
        <f>IFERROR(IF(D1326="","",D1326)&amp;"","")</f>
        <v/>
      </c>
      <c r="L1326">
        <f>IFERROR(IF(I1326="","",I1326)&amp;"","")</f>
        <v/>
      </c>
      <c r="M1326">
        <f>IF(J1326="","",IFERROR(VALUE(SUBSTITUTE(SUBSTITUTE(IF(E1326="","",E1326)&amp;"","$",""),",","")),0))</f>
        <v/>
      </c>
      <c r="N1326" s="11">
        <f>IF(J1326="","",IFERROR(VALUE(SUBSTITUTE(SUBSTITUTE(IF(F1326="","",F1326)&amp;"","$",""),",","")),0))</f>
        <v/>
      </c>
      <c r="O1326" s="11">
        <f>IF(J1326="","",M1326*N1326)</f>
        <v/>
      </c>
      <c r="P1326">
        <f>IF(J1326="","",IF(L1326="",1,COUNTIF($L$2:$L$1501,L1326)))</f>
        <v/>
      </c>
      <c r="Q1326" s="11">
        <f>IF(J1326="","",IFERROR(VALUE(SUBSTITUTE(SUBSTITUTE(IF(G1326="","",G1326)&amp;"","$",""),",","")),0)/IF("No"="Yes",P1326,1))</f>
        <v/>
      </c>
      <c r="R1326" s="11">
        <f>IF(J1326="","",IFERROR(VALUE(SUBSTITUTE(SUBSTITUTE(IF(H1326="","",H1326)&amp;"","$",""),",","")),0)/IF("No"="Yes",P1326,1))</f>
        <v/>
      </c>
      <c r="S1326" s="11">
        <f>IF(J1326="","",O1326+Q1326-R1326)</f>
        <v/>
      </c>
      <c r="T1326">
        <f>IF(J1326="","",IFERROR(IF(K1326="",NA(),MATCH(K1326,Products!$B$5:$B$204,0)),IFERROR(MATCH(J1326,Products!$A$5:$A$204,0),"")))</f>
        <v/>
      </c>
      <c r="U1326">
        <f>IF(J1326="","",IF(T1326="","⚠ not in Products",INDEX(Products!$A$5:$A$204,T1326)))</f>
        <v/>
      </c>
      <c r="V1326" s="11">
        <f>IF(J1326="","",S1326*(IFERROR(INDEX(Settings!$B$5:$B$9,MATCH($B1326,Settings!$A$5:$A$9,0)),0)+IFERROR(INDEX(Settings!$E$5:$E$9,MATCH($B1326,Settings!$A$5:$A$9,0)),0)+IFERROR(INDEX(Settings!$G$5:$G$9,MATCH($B1326,Settings!$A$5:$A$9,0)),0))+(IFERROR(INDEX(Settings!$C$5:$C$9,MATCH($B1326,Settings!$A$5:$A$9,0)),0)+IFERROR(INDEX(Settings!$F$5:$F$9,MATCH($B1326,Settings!$A$5:$A$9,0)),0))/P1326+IFERROR(INDEX(Settings!$D$5:$D$9,MATCH($B1326,Settings!$A$5:$A$9,0)),0)*M1326)</f>
        <v/>
      </c>
      <c r="W1326" s="11">
        <f>IF(J1326="","",IF(T1326="",0,M1326*INDEX(Products!$I$5:$I$204,T1326)))</f>
        <v/>
      </c>
      <c r="X1326" s="11">
        <f>IF(J1326="","",IF(T1326="",0,S1326*INDEX(Products!$H$5:$H$204,T1326)))</f>
        <v/>
      </c>
      <c r="Y1326" s="11">
        <f>IF(J1326="","",S1326-V1326-W1326-X1326)</f>
        <v/>
      </c>
    </row>
    <row r="1327">
      <c r="A1327" s="19" t="n"/>
      <c r="B1327" s="19" t="n"/>
      <c r="C1327" s="19" t="n"/>
      <c r="D1327" s="19" t="n"/>
      <c r="E1327" s="19" t="n"/>
      <c r="F1327" s="20" t="n"/>
      <c r="G1327" s="20" t="n"/>
      <c r="H1327" s="20" t="n"/>
      <c r="I1327" s="19" t="n"/>
      <c r="J1327">
        <f>IFERROR(IF(C1327="","",C1327)&amp;"","")</f>
        <v/>
      </c>
      <c r="K1327">
        <f>IFERROR(IF(D1327="","",D1327)&amp;"","")</f>
        <v/>
      </c>
      <c r="L1327">
        <f>IFERROR(IF(I1327="","",I1327)&amp;"","")</f>
        <v/>
      </c>
      <c r="M1327">
        <f>IF(J1327="","",IFERROR(VALUE(SUBSTITUTE(SUBSTITUTE(IF(E1327="","",E1327)&amp;"","$",""),",","")),0))</f>
        <v/>
      </c>
      <c r="N1327" s="11">
        <f>IF(J1327="","",IFERROR(VALUE(SUBSTITUTE(SUBSTITUTE(IF(F1327="","",F1327)&amp;"","$",""),",","")),0))</f>
        <v/>
      </c>
      <c r="O1327" s="11">
        <f>IF(J1327="","",M1327*N1327)</f>
        <v/>
      </c>
      <c r="P1327">
        <f>IF(J1327="","",IF(L1327="",1,COUNTIF($L$2:$L$1501,L1327)))</f>
        <v/>
      </c>
      <c r="Q1327" s="11">
        <f>IF(J1327="","",IFERROR(VALUE(SUBSTITUTE(SUBSTITUTE(IF(G1327="","",G1327)&amp;"","$",""),",","")),0)/IF("No"="Yes",P1327,1))</f>
        <v/>
      </c>
      <c r="R1327" s="11">
        <f>IF(J1327="","",IFERROR(VALUE(SUBSTITUTE(SUBSTITUTE(IF(H1327="","",H1327)&amp;"","$",""),",","")),0)/IF("No"="Yes",P1327,1))</f>
        <v/>
      </c>
      <c r="S1327" s="11">
        <f>IF(J1327="","",O1327+Q1327-R1327)</f>
        <v/>
      </c>
      <c r="T1327">
        <f>IF(J1327="","",IFERROR(IF(K1327="",NA(),MATCH(K1327,Products!$B$5:$B$204,0)),IFERROR(MATCH(J1327,Products!$A$5:$A$204,0),"")))</f>
        <v/>
      </c>
      <c r="U1327">
        <f>IF(J1327="","",IF(T1327="","⚠ not in Products",INDEX(Products!$A$5:$A$204,T1327)))</f>
        <v/>
      </c>
      <c r="V1327" s="11">
        <f>IF(J1327="","",S1327*(IFERROR(INDEX(Settings!$B$5:$B$9,MATCH($B1327,Settings!$A$5:$A$9,0)),0)+IFERROR(INDEX(Settings!$E$5:$E$9,MATCH($B1327,Settings!$A$5:$A$9,0)),0)+IFERROR(INDEX(Settings!$G$5:$G$9,MATCH($B1327,Settings!$A$5:$A$9,0)),0))+(IFERROR(INDEX(Settings!$C$5:$C$9,MATCH($B1327,Settings!$A$5:$A$9,0)),0)+IFERROR(INDEX(Settings!$F$5:$F$9,MATCH($B1327,Settings!$A$5:$A$9,0)),0))/P1327+IFERROR(INDEX(Settings!$D$5:$D$9,MATCH($B1327,Settings!$A$5:$A$9,0)),0)*M1327)</f>
        <v/>
      </c>
      <c r="W1327" s="11">
        <f>IF(J1327="","",IF(T1327="",0,M1327*INDEX(Products!$I$5:$I$204,T1327)))</f>
        <v/>
      </c>
      <c r="X1327" s="11">
        <f>IF(J1327="","",IF(T1327="",0,S1327*INDEX(Products!$H$5:$H$204,T1327)))</f>
        <v/>
      </c>
      <c r="Y1327" s="11">
        <f>IF(J1327="","",S1327-V1327-W1327-X1327)</f>
        <v/>
      </c>
    </row>
    <row r="1328">
      <c r="A1328" s="19" t="n"/>
      <c r="B1328" s="19" t="n"/>
      <c r="C1328" s="19" t="n"/>
      <c r="D1328" s="19" t="n"/>
      <c r="E1328" s="19" t="n"/>
      <c r="F1328" s="20" t="n"/>
      <c r="G1328" s="20" t="n"/>
      <c r="H1328" s="20" t="n"/>
      <c r="I1328" s="19" t="n"/>
      <c r="J1328">
        <f>IFERROR(IF(C1328="","",C1328)&amp;"","")</f>
        <v/>
      </c>
      <c r="K1328">
        <f>IFERROR(IF(D1328="","",D1328)&amp;"","")</f>
        <v/>
      </c>
      <c r="L1328">
        <f>IFERROR(IF(I1328="","",I1328)&amp;"","")</f>
        <v/>
      </c>
      <c r="M1328">
        <f>IF(J1328="","",IFERROR(VALUE(SUBSTITUTE(SUBSTITUTE(IF(E1328="","",E1328)&amp;"","$",""),",","")),0))</f>
        <v/>
      </c>
      <c r="N1328" s="11">
        <f>IF(J1328="","",IFERROR(VALUE(SUBSTITUTE(SUBSTITUTE(IF(F1328="","",F1328)&amp;"","$",""),",","")),0))</f>
        <v/>
      </c>
      <c r="O1328" s="11">
        <f>IF(J1328="","",M1328*N1328)</f>
        <v/>
      </c>
      <c r="P1328">
        <f>IF(J1328="","",IF(L1328="",1,COUNTIF($L$2:$L$1501,L1328)))</f>
        <v/>
      </c>
      <c r="Q1328" s="11">
        <f>IF(J1328="","",IFERROR(VALUE(SUBSTITUTE(SUBSTITUTE(IF(G1328="","",G1328)&amp;"","$",""),",","")),0)/IF("No"="Yes",P1328,1))</f>
        <v/>
      </c>
      <c r="R1328" s="11">
        <f>IF(J1328="","",IFERROR(VALUE(SUBSTITUTE(SUBSTITUTE(IF(H1328="","",H1328)&amp;"","$",""),",","")),0)/IF("No"="Yes",P1328,1))</f>
        <v/>
      </c>
      <c r="S1328" s="11">
        <f>IF(J1328="","",O1328+Q1328-R1328)</f>
        <v/>
      </c>
      <c r="T1328">
        <f>IF(J1328="","",IFERROR(IF(K1328="",NA(),MATCH(K1328,Products!$B$5:$B$204,0)),IFERROR(MATCH(J1328,Products!$A$5:$A$204,0),"")))</f>
        <v/>
      </c>
      <c r="U1328">
        <f>IF(J1328="","",IF(T1328="","⚠ not in Products",INDEX(Products!$A$5:$A$204,T1328)))</f>
        <v/>
      </c>
      <c r="V1328" s="11">
        <f>IF(J1328="","",S1328*(IFERROR(INDEX(Settings!$B$5:$B$9,MATCH($B1328,Settings!$A$5:$A$9,0)),0)+IFERROR(INDEX(Settings!$E$5:$E$9,MATCH($B1328,Settings!$A$5:$A$9,0)),0)+IFERROR(INDEX(Settings!$G$5:$G$9,MATCH($B1328,Settings!$A$5:$A$9,0)),0))+(IFERROR(INDEX(Settings!$C$5:$C$9,MATCH($B1328,Settings!$A$5:$A$9,0)),0)+IFERROR(INDEX(Settings!$F$5:$F$9,MATCH($B1328,Settings!$A$5:$A$9,0)),0))/P1328+IFERROR(INDEX(Settings!$D$5:$D$9,MATCH($B1328,Settings!$A$5:$A$9,0)),0)*M1328)</f>
        <v/>
      </c>
      <c r="W1328" s="11">
        <f>IF(J1328="","",IF(T1328="",0,M1328*INDEX(Products!$I$5:$I$204,T1328)))</f>
        <v/>
      </c>
      <c r="X1328" s="11">
        <f>IF(J1328="","",IF(T1328="",0,S1328*INDEX(Products!$H$5:$H$204,T1328)))</f>
        <v/>
      </c>
      <c r="Y1328" s="11">
        <f>IF(J1328="","",S1328-V1328-W1328-X1328)</f>
        <v/>
      </c>
    </row>
    <row r="1329">
      <c r="A1329" s="19" t="n"/>
      <c r="B1329" s="19" t="n"/>
      <c r="C1329" s="19" t="n"/>
      <c r="D1329" s="19" t="n"/>
      <c r="E1329" s="19" t="n"/>
      <c r="F1329" s="20" t="n"/>
      <c r="G1329" s="20" t="n"/>
      <c r="H1329" s="20" t="n"/>
      <c r="I1329" s="19" t="n"/>
      <c r="J1329">
        <f>IFERROR(IF(C1329="","",C1329)&amp;"","")</f>
        <v/>
      </c>
      <c r="K1329">
        <f>IFERROR(IF(D1329="","",D1329)&amp;"","")</f>
        <v/>
      </c>
      <c r="L1329">
        <f>IFERROR(IF(I1329="","",I1329)&amp;"","")</f>
        <v/>
      </c>
      <c r="M1329">
        <f>IF(J1329="","",IFERROR(VALUE(SUBSTITUTE(SUBSTITUTE(IF(E1329="","",E1329)&amp;"","$",""),",","")),0))</f>
        <v/>
      </c>
      <c r="N1329" s="11">
        <f>IF(J1329="","",IFERROR(VALUE(SUBSTITUTE(SUBSTITUTE(IF(F1329="","",F1329)&amp;"","$",""),",","")),0))</f>
        <v/>
      </c>
      <c r="O1329" s="11">
        <f>IF(J1329="","",M1329*N1329)</f>
        <v/>
      </c>
      <c r="P1329">
        <f>IF(J1329="","",IF(L1329="",1,COUNTIF($L$2:$L$1501,L1329)))</f>
        <v/>
      </c>
      <c r="Q1329" s="11">
        <f>IF(J1329="","",IFERROR(VALUE(SUBSTITUTE(SUBSTITUTE(IF(G1329="","",G1329)&amp;"","$",""),",","")),0)/IF("No"="Yes",P1329,1))</f>
        <v/>
      </c>
      <c r="R1329" s="11">
        <f>IF(J1329="","",IFERROR(VALUE(SUBSTITUTE(SUBSTITUTE(IF(H1329="","",H1329)&amp;"","$",""),",","")),0)/IF("No"="Yes",P1329,1))</f>
        <v/>
      </c>
      <c r="S1329" s="11">
        <f>IF(J1329="","",O1329+Q1329-R1329)</f>
        <v/>
      </c>
      <c r="T1329">
        <f>IF(J1329="","",IFERROR(IF(K1329="",NA(),MATCH(K1329,Products!$B$5:$B$204,0)),IFERROR(MATCH(J1329,Products!$A$5:$A$204,0),"")))</f>
        <v/>
      </c>
      <c r="U1329">
        <f>IF(J1329="","",IF(T1329="","⚠ not in Products",INDEX(Products!$A$5:$A$204,T1329)))</f>
        <v/>
      </c>
      <c r="V1329" s="11">
        <f>IF(J1329="","",S1329*(IFERROR(INDEX(Settings!$B$5:$B$9,MATCH($B1329,Settings!$A$5:$A$9,0)),0)+IFERROR(INDEX(Settings!$E$5:$E$9,MATCH($B1329,Settings!$A$5:$A$9,0)),0)+IFERROR(INDEX(Settings!$G$5:$G$9,MATCH($B1329,Settings!$A$5:$A$9,0)),0))+(IFERROR(INDEX(Settings!$C$5:$C$9,MATCH($B1329,Settings!$A$5:$A$9,0)),0)+IFERROR(INDEX(Settings!$F$5:$F$9,MATCH($B1329,Settings!$A$5:$A$9,0)),0))/P1329+IFERROR(INDEX(Settings!$D$5:$D$9,MATCH($B1329,Settings!$A$5:$A$9,0)),0)*M1329)</f>
        <v/>
      </c>
      <c r="W1329" s="11">
        <f>IF(J1329="","",IF(T1329="",0,M1329*INDEX(Products!$I$5:$I$204,T1329)))</f>
        <v/>
      </c>
      <c r="X1329" s="11">
        <f>IF(J1329="","",IF(T1329="",0,S1329*INDEX(Products!$H$5:$H$204,T1329)))</f>
        <v/>
      </c>
      <c r="Y1329" s="11">
        <f>IF(J1329="","",S1329-V1329-W1329-X1329)</f>
        <v/>
      </c>
    </row>
    <row r="1330">
      <c r="A1330" s="19" t="n"/>
      <c r="B1330" s="19" t="n"/>
      <c r="C1330" s="19" t="n"/>
      <c r="D1330" s="19" t="n"/>
      <c r="E1330" s="19" t="n"/>
      <c r="F1330" s="20" t="n"/>
      <c r="G1330" s="20" t="n"/>
      <c r="H1330" s="20" t="n"/>
      <c r="I1330" s="19" t="n"/>
      <c r="J1330">
        <f>IFERROR(IF(C1330="","",C1330)&amp;"","")</f>
        <v/>
      </c>
      <c r="K1330">
        <f>IFERROR(IF(D1330="","",D1330)&amp;"","")</f>
        <v/>
      </c>
      <c r="L1330">
        <f>IFERROR(IF(I1330="","",I1330)&amp;"","")</f>
        <v/>
      </c>
      <c r="M1330">
        <f>IF(J1330="","",IFERROR(VALUE(SUBSTITUTE(SUBSTITUTE(IF(E1330="","",E1330)&amp;"","$",""),",","")),0))</f>
        <v/>
      </c>
      <c r="N1330" s="11">
        <f>IF(J1330="","",IFERROR(VALUE(SUBSTITUTE(SUBSTITUTE(IF(F1330="","",F1330)&amp;"","$",""),",","")),0))</f>
        <v/>
      </c>
      <c r="O1330" s="11">
        <f>IF(J1330="","",M1330*N1330)</f>
        <v/>
      </c>
      <c r="P1330">
        <f>IF(J1330="","",IF(L1330="",1,COUNTIF($L$2:$L$1501,L1330)))</f>
        <v/>
      </c>
      <c r="Q1330" s="11">
        <f>IF(J1330="","",IFERROR(VALUE(SUBSTITUTE(SUBSTITUTE(IF(G1330="","",G1330)&amp;"","$",""),",","")),0)/IF("No"="Yes",P1330,1))</f>
        <v/>
      </c>
      <c r="R1330" s="11">
        <f>IF(J1330="","",IFERROR(VALUE(SUBSTITUTE(SUBSTITUTE(IF(H1330="","",H1330)&amp;"","$",""),",","")),0)/IF("No"="Yes",P1330,1))</f>
        <v/>
      </c>
      <c r="S1330" s="11">
        <f>IF(J1330="","",O1330+Q1330-R1330)</f>
        <v/>
      </c>
      <c r="T1330">
        <f>IF(J1330="","",IFERROR(IF(K1330="",NA(),MATCH(K1330,Products!$B$5:$B$204,0)),IFERROR(MATCH(J1330,Products!$A$5:$A$204,0),"")))</f>
        <v/>
      </c>
      <c r="U1330">
        <f>IF(J1330="","",IF(T1330="","⚠ not in Products",INDEX(Products!$A$5:$A$204,T1330)))</f>
        <v/>
      </c>
      <c r="V1330" s="11">
        <f>IF(J1330="","",S1330*(IFERROR(INDEX(Settings!$B$5:$B$9,MATCH($B1330,Settings!$A$5:$A$9,0)),0)+IFERROR(INDEX(Settings!$E$5:$E$9,MATCH($B1330,Settings!$A$5:$A$9,0)),0)+IFERROR(INDEX(Settings!$G$5:$G$9,MATCH($B1330,Settings!$A$5:$A$9,0)),0))+(IFERROR(INDEX(Settings!$C$5:$C$9,MATCH($B1330,Settings!$A$5:$A$9,0)),0)+IFERROR(INDEX(Settings!$F$5:$F$9,MATCH($B1330,Settings!$A$5:$A$9,0)),0))/P1330+IFERROR(INDEX(Settings!$D$5:$D$9,MATCH($B1330,Settings!$A$5:$A$9,0)),0)*M1330)</f>
        <v/>
      </c>
      <c r="W1330" s="11">
        <f>IF(J1330="","",IF(T1330="",0,M1330*INDEX(Products!$I$5:$I$204,T1330)))</f>
        <v/>
      </c>
      <c r="X1330" s="11">
        <f>IF(J1330="","",IF(T1330="",0,S1330*INDEX(Products!$H$5:$H$204,T1330)))</f>
        <v/>
      </c>
      <c r="Y1330" s="11">
        <f>IF(J1330="","",S1330-V1330-W1330-X1330)</f>
        <v/>
      </c>
    </row>
    <row r="1331">
      <c r="A1331" s="19" t="n"/>
      <c r="B1331" s="19" t="n"/>
      <c r="C1331" s="19" t="n"/>
      <c r="D1331" s="19" t="n"/>
      <c r="E1331" s="19" t="n"/>
      <c r="F1331" s="20" t="n"/>
      <c r="G1331" s="20" t="n"/>
      <c r="H1331" s="20" t="n"/>
      <c r="I1331" s="19" t="n"/>
      <c r="J1331">
        <f>IFERROR(IF(C1331="","",C1331)&amp;"","")</f>
        <v/>
      </c>
      <c r="K1331">
        <f>IFERROR(IF(D1331="","",D1331)&amp;"","")</f>
        <v/>
      </c>
      <c r="L1331">
        <f>IFERROR(IF(I1331="","",I1331)&amp;"","")</f>
        <v/>
      </c>
      <c r="M1331">
        <f>IF(J1331="","",IFERROR(VALUE(SUBSTITUTE(SUBSTITUTE(IF(E1331="","",E1331)&amp;"","$",""),",","")),0))</f>
        <v/>
      </c>
      <c r="N1331" s="11">
        <f>IF(J1331="","",IFERROR(VALUE(SUBSTITUTE(SUBSTITUTE(IF(F1331="","",F1331)&amp;"","$",""),",","")),0))</f>
        <v/>
      </c>
      <c r="O1331" s="11">
        <f>IF(J1331="","",M1331*N1331)</f>
        <v/>
      </c>
      <c r="P1331">
        <f>IF(J1331="","",IF(L1331="",1,COUNTIF($L$2:$L$1501,L1331)))</f>
        <v/>
      </c>
      <c r="Q1331" s="11">
        <f>IF(J1331="","",IFERROR(VALUE(SUBSTITUTE(SUBSTITUTE(IF(G1331="","",G1331)&amp;"","$",""),",","")),0)/IF("No"="Yes",P1331,1))</f>
        <v/>
      </c>
      <c r="R1331" s="11">
        <f>IF(J1331="","",IFERROR(VALUE(SUBSTITUTE(SUBSTITUTE(IF(H1331="","",H1331)&amp;"","$",""),",","")),0)/IF("No"="Yes",P1331,1))</f>
        <v/>
      </c>
      <c r="S1331" s="11">
        <f>IF(J1331="","",O1331+Q1331-R1331)</f>
        <v/>
      </c>
      <c r="T1331">
        <f>IF(J1331="","",IFERROR(IF(K1331="",NA(),MATCH(K1331,Products!$B$5:$B$204,0)),IFERROR(MATCH(J1331,Products!$A$5:$A$204,0),"")))</f>
        <v/>
      </c>
      <c r="U1331">
        <f>IF(J1331="","",IF(T1331="","⚠ not in Products",INDEX(Products!$A$5:$A$204,T1331)))</f>
        <v/>
      </c>
      <c r="V1331" s="11">
        <f>IF(J1331="","",S1331*(IFERROR(INDEX(Settings!$B$5:$B$9,MATCH($B1331,Settings!$A$5:$A$9,0)),0)+IFERROR(INDEX(Settings!$E$5:$E$9,MATCH($B1331,Settings!$A$5:$A$9,0)),0)+IFERROR(INDEX(Settings!$G$5:$G$9,MATCH($B1331,Settings!$A$5:$A$9,0)),0))+(IFERROR(INDEX(Settings!$C$5:$C$9,MATCH($B1331,Settings!$A$5:$A$9,0)),0)+IFERROR(INDEX(Settings!$F$5:$F$9,MATCH($B1331,Settings!$A$5:$A$9,0)),0))/P1331+IFERROR(INDEX(Settings!$D$5:$D$9,MATCH($B1331,Settings!$A$5:$A$9,0)),0)*M1331)</f>
        <v/>
      </c>
      <c r="W1331" s="11">
        <f>IF(J1331="","",IF(T1331="",0,M1331*INDEX(Products!$I$5:$I$204,T1331)))</f>
        <v/>
      </c>
      <c r="X1331" s="11">
        <f>IF(J1331="","",IF(T1331="",0,S1331*INDEX(Products!$H$5:$H$204,T1331)))</f>
        <v/>
      </c>
      <c r="Y1331" s="11">
        <f>IF(J1331="","",S1331-V1331-W1331-X1331)</f>
        <v/>
      </c>
    </row>
    <row r="1332">
      <c r="A1332" s="19" t="n"/>
      <c r="B1332" s="19" t="n"/>
      <c r="C1332" s="19" t="n"/>
      <c r="D1332" s="19" t="n"/>
      <c r="E1332" s="19" t="n"/>
      <c r="F1332" s="20" t="n"/>
      <c r="G1332" s="20" t="n"/>
      <c r="H1332" s="20" t="n"/>
      <c r="I1332" s="19" t="n"/>
      <c r="J1332">
        <f>IFERROR(IF(C1332="","",C1332)&amp;"","")</f>
        <v/>
      </c>
      <c r="K1332">
        <f>IFERROR(IF(D1332="","",D1332)&amp;"","")</f>
        <v/>
      </c>
      <c r="L1332">
        <f>IFERROR(IF(I1332="","",I1332)&amp;"","")</f>
        <v/>
      </c>
      <c r="M1332">
        <f>IF(J1332="","",IFERROR(VALUE(SUBSTITUTE(SUBSTITUTE(IF(E1332="","",E1332)&amp;"","$",""),",","")),0))</f>
        <v/>
      </c>
      <c r="N1332" s="11">
        <f>IF(J1332="","",IFERROR(VALUE(SUBSTITUTE(SUBSTITUTE(IF(F1332="","",F1332)&amp;"","$",""),",","")),0))</f>
        <v/>
      </c>
      <c r="O1332" s="11">
        <f>IF(J1332="","",M1332*N1332)</f>
        <v/>
      </c>
      <c r="P1332">
        <f>IF(J1332="","",IF(L1332="",1,COUNTIF($L$2:$L$1501,L1332)))</f>
        <v/>
      </c>
      <c r="Q1332" s="11">
        <f>IF(J1332="","",IFERROR(VALUE(SUBSTITUTE(SUBSTITUTE(IF(G1332="","",G1332)&amp;"","$",""),",","")),0)/IF("No"="Yes",P1332,1))</f>
        <v/>
      </c>
      <c r="R1332" s="11">
        <f>IF(J1332="","",IFERROR(VALUE(SUBSTITUTE(SUBSTITUTE(IF(H1332="","",H1332)&amp;"","$",""),",","")),0)/IF("No"="Yes",P1332,1))</f>
        <v/>
      </c>
      <c r="S1332" s="11">
        <f>IF(J1332="","",O1332+Q1332-R1332)</f>
        <v/>
      </c>
      <c r="T1332">
        <f>IF(J1332="","",IFERROR(IF(K1332="",NA(),MATCH(K1332,Products!$B$5:$B$204,0)),IFERROR(MATCH(J1332,Products!$A$5:$A$204,0),"")))</f>
        <v/>
      </c>
      <c r="U1332">
        <f>IF(J1332="","",IF(T1332="","⚠ not in Products",INDEX(Products!$A$5:$A$204,T1332)))</f>
        <v/>
      </c>
      <c r="V1332" s="11">
        <f>IF(J1332="","",S1332*(IFERROR(INDEX(Settings!$B$5:$B$9,MATCH($B1332,Settings!$A$5:$A$9,0)),0)+IFERROR(INDEX(Settings!$E$5:$E$9,MATCH($B1332,Settings!$A$5:$A$9,0)),0)+IFERROR(INDEX(Settings!$G$5:$G$9,MATCH($B1332,Settings!$A$5:$A$9,0)),0))+(IFERROR(INDEX(Settings!$C$5:$C$9,MATCH($B1332,Settings!$A$5:$A$9,0)),0)+IFERROR(INDEX(Settings!$F$5:$F$9,MATCH($B1332,Settings!$A$5:$A$9,0)),0))/P1332+IFERROR(INDEX(Settings!$D$5:$D$9,MATCH($B1332,Settings!$A$5:$A$9,0)),0)*M1332)</f>
        <v/>
      </c>
      <c r="W1332" s="11">
        <f>IF(J1332="","",IF(T1332="",0,M1332*INDEX(Products!$I$5:$I$204,T1332)))</f>
        <v/>
      </c>
      <c r="X1332" s="11">
        <f>IF(J1332="","",IF(T1332="",0,S1332*INDEX(Products!$H$5:$H$204,T1332)))</f>
        <v/>
      </c>
      <c r="Y1332" s="11">
        <f>IF(J1332="","",S1332-V1332-W1332-X1332)</f>
        <v/>
      </c>
    </row>
    <row r="1333">
      <c r="A1333" s="19" t="n"/>
      <c r="B1333" s="19" t="n"/>
      <c r="C1333" s="19" t="n"/>
      <c r="D1333" s="19" t="n"/>
      <c r="E1333" s="19" t="n"/>
      <c r="F1333" s="20" t="n"/>
      <c r="G1333" s="20" t="n"/>
      <c r="H1333" s="20" t="n"/>
      <c r="I1333" s="19" t="n"/>
      <c r="J1333">
        <f>IFERROR(IF(C1333="","",C1333)&amp;"","")</f>
        <v/>
      </c>
      <c r="K1333">
        <f>IFERROR(IF(D1333="","",D1333)&amp;"","")</f>
        <v/>
      </c>
      <c r="L1333">
        <f>IFERROR(IF(I1333="","",I1333)&amp;"","")</f>
        <v/>
      </c>
      <c r="M1333">
        <f>IF(J1333="","",IFERROR(VALUE(SUBSTITUTE(SUBSTITUTE(IF(E1333="","",E1333)&amp;"","$",""),",","")),0))</f>
        <v/>
      </c>
      <c r="N1333" s="11">
        <f>IF(J1333="","",IFERROR(VALUE(SUBSTITUTE(SUBSTITUTE(IF(F1333="","",F1333)&amp;"","$",""),",","")),0))</f>
        <v/>
      </c>
      <c r="O1333" s="11">
        <f>IF(J1333="","",M1333*N1333)</f>
        <v/>
      </c>
      <c r="P1333">
        <f>IF(J1333="","",IF(L1333="",1,COUNTIF($L$2:$L$1501,L1333)))</f>
        <v/>
      </c>
      <c r="Q1333" s="11">
        <f>IF(J1333="","",IFERROR(VALUE(SUBSTITUTE(SUBSTITUTE(IF(G1333="","",G1333)&amp;"","$",""),",","")),0)/IF("No"="Yes",P1333,1))</f>
        <v/>
      </c>
      <c r="R1333" s="11">
        <f>IF(J1333="","",IFERROR(VALUE(SUBSTITUTE(SUBSTITUTE(IF(H1333="","",H1333)&amp;"","$",""),",","")),0)/IF("No"="Yes",P1333,1))</f>
        <v/>
      </c>
      <c r="S1333" s="11">
        <f>IF(J1333="","",O1333+Q1333-R1333)</f>
        <v/>
      </c>
      <c r="T1333">
        <f>IF(J1333="","",IFERROR(IF(K1333="",NA(),MATCH(K1333,Products!$B$5:$B$204,0)),IFERROR(MATCH(J1333,Products!$A$5:$A$204,0),"")))</f>
        <v/>
      </c>
      <c r="U1333">
        <f>IF(J1333="","",IF(T1333="","⚠ not in Products",INDEX(Products!$A$5:$A$204,T1333)))</f>
        <v/>
      </c>
      <c r="V1333" s="11">
        <f>IF(J1333="","",S1333*(IFERROR(INDEX(Settings!$B$5:$B$9,MATCH($B1333,Settings!$A$5:$A$9,0)),0)+IFERROR(INDEX(Settings!$E$5:$E$9,MATCH($B1333,Settings!$A$5:$A$9,0)),0)+IFERROR(INDEX(Settings!$G$5:$G$9,MATCH($B1333,Settings!$A$5:$A$9,0)),0))+(IFERROR(INDEX(Settings!$C$5:$C$9,MATCH($B1333,Settings!$A$5:$A$9,0)),0)+IFERROR(INDEX(Settings!$F$5:$F$9,MATCH($B1333,Settings!$A$5:$A$9,0)),0))/P1333+IFERROR(INDEX(Settings!$D$5:$D$9,MATCH($B1333,Settings!$A$5:$A$9,0)),0)*M1333)</f>
        <v/>
      </c>
      <c r="W1333" s="11">
        <f>IF(J1333="","",IF(T1333="",0,M1333*INDEX(Products!$I$5:$I$204,T1333)))</f>
        <v/>
      </c>
      <c r="X1333" s="11">
        <f>IF(J1333="","",IF(T1333="",0,S1333*INDEX(Products!$H$5:$H$204,T1333)))</f>
        <v/>
      </c>
      <c r="Y1333" s="11">
        <f>IF(J1333="","",S1333-V1333-W1333-X1333)</f>
        <v/>
      </c>
    </row>
    <row r="1334">
      <c r="A1334" s="19" t="n"/>
      <c r="B1334" s="19" t="n"/>
      <c r="C1334" s="19" t="n"/>
      <c r="D1334" s="19" t="n"/>
      <c r="E1334" s="19" t="n"/>
      <c r="F1334" s="20" t="n"/>
      <c r="G1334" s="20" t="n"/>
      <c r="H1334" s="20" t="n"/>
      <c r="I1334" s="19" t="n"/>
      <c r="J1334">
        <f>IFERROR(IF(C1334="","",C1334)&amp;"","")</f>
        <v/>
      </c>
      <c r="K1334">
        <f>IFERROR(IF(D1334="","",D1334)&amp;"","")</f>
        <v/>
      </c>
      <c r="L1334">
        <f>IFERROR(IF(I1334="","",I1334)&amp;"","")</f>
        <v/>
      </c>
      <c r="M1334">
        <f>IF(J1334="","",IFERROR(VALUE(SUBSTITUTE(SUBSTITUTE(IF(E1334="","",E1334)&amp;"","$",""),",","")),0))</f>
        <v/>
      </c>
      <c r="N1334" s="11">
        <f>IF(J1334="","",IFERROR(VALUE(SUBSTITUTE(SUBSTITUTE(IF(F1334="","",F1334)&amp;"","$",""),",","")),0))</f>
        <v/>
      </c>
      <c r="O1334" s="11">
        <f>IF(J1334="","",M1334*N1334)</f>
        <v/>
      </c>
      <c r="P1334">
        <f>IF(J1334="","",IF(L1334="",1,COUNTIF($L$2:$L$1501,L1334)))</f>
        <v/>
      </c>
      <c r="Q1334" s="11">
        <f>IF(J1334="","",IFERROR(VALUE(SUBSTITUTE(SUBSTITUTE(IF(G1334="","",G1334)&amp;"","$",""),",","")),0)/IF("No"="Yes",P1334,1))</f>
        <v/>
      </c>
      <c r="R1334" s="11">
        <f>IF(J1334="","",IFERROR(VALUE(SUBSTITUTE(SUBSTITUTE(IF(H1334="","",H1334)&amp;"","$",""),",","")),0)/IF("No"="Yes",P1334,1))</f>
        <v/>
      </c>
      <c r="S1334" s="11">
        <f>IF(J1334="","",O1334+Q1334-R1334)</f>
        <v/>
      </c>
      <c r="T1334">
        <f>IF(J1334="","",IFERROR(IF(K1334="",NA(),MATCH(K1334,Products!$B$5:$B$204,0)),IFERROR(MATCH(J1334,Products!$A$5:$A$204,0),"")))</f>
        <v/>
      </c>
      <c r="U1334">
        <f>IF(J1334="","",IF(T1334="","⚠ not in Products",INDEX(Products!$A$5:$A$204,T1334)))</f>
        <v/>
      </c>
      <c r="V1334" s="11">
        <f>IF(J1334="","",S1334*(IFERROR(INDEX(Settings!$B$5:$B$9,MATCH($B1334,Settings!$A$5:$A$9,0)),0)+IFERROR(INDEX(Settings!$E$5:$E$9,MATCH($B1334,Settings!$A$5:$A$9,0)),0)+IFERROR(INDEX(Settings!$G$5:$G$9,MATCH($B1334,Settings!$A$5:$A$9,0)),0))+(IFERROR(INDEX(Settings!$C$5:$C$9,MATCH($B1334,Settings!$A$5:$A$9,0)),0)+IFERROR(INDEX(Settings!$F$5:$F$9,MATCH($B1334,Settings!$A$5:$A$9,0)),0))/P1334+IFERROR(INDEX(Settings!$D$5:$D$9,MATCH($B1334,Settings!$A$5:$A$9,0)),0)*M1334)</f>
        <v/>
      </c>
      <c r="W1334" s="11">
        <f>IF(J1334="","",IF(T1334="",0,M1334*INDEX(Products!$I$5:$I$204,T1334)))</f>
        <v/>
      </c>
      <c r="X1334" s="11">
        <f>IF(J1334="","",IF(T1334="",0,S1334*INDEX(Products!$H$5:$H$204,T1334)))</f>
        <v/>
      </c>
      <c r="Y1334" s="11">
        <f>IF(J1334="","",S1334-V1334-W1334-X1334)</f>
        <v/>
      </c>
    </row>
    <row r="1335">
      <c r="A1335" s="19" t="n"/>
      <c r="B1335" s="19" t="n"/>
      <c r="C1335" s="19" t="n"/>
      <c r="D1335" s="19" t="n"/>
      <c r="E1335" s="19" t="n"/>
      <c r="F1335" s="20" t="n"/>
      <c r="G1335" s="20" t="n"/>
      <c r="H1335" s="20" t="n"/>
      <c r="I1335" s="19" t="n"/>
      <c r="J1335">
        <f>IFERROR(IF(C1335="","",C1335)&amp;"","")</f>
        <v/>
      </c>
      <c r="K1335">
        <f>IFERROR(IF(D1335="","",D1335)&amp;"","")</f>
        <v/>
      </c>
      <c r="L1335">
        <f>IFERROR(IF(I1335="","",I1335)&amp;"","")</f>
        <v/>
      </c>
      <c r="M1335">
        <f>IF(J1335="","",IFERROR(VALUE(SUBSTITUTE(SUBSTITUTE(IF(E1335="","",E1335)&amp;"","$",""),",","")),0))</f>
        <v/>
      </c>
      <c r="N1335" s="11">
        <f>IF(J1335="","",IFERROR(VALUE(SUBSTITUTE(SUBSTITUTE(IF(F1335="","",F1335)&amp;"","$",""),",","")),0))</f>
        <v/>
      </c>
      <c r="O1335" s="11">
        <f>IF(J1335="","",M1335*N1335)</f>
        <v/>
      </c>
      <c r="P1335">
        <f>IF(J1335="","",IF(L1335="",1,COUNTIF($L$2:$L$1501,L1335)))</f>
        <v/>
      </c>
      <c r="Q1335" s="11">
        <f>IF(J1335="","",IFERROR(VALUE(SUBSTITUTE(SUBSTITUTE(IF(G1335="","",G1335)&amp;"","$",""),",","")),0)/IF("No"="Yes",P1335,1))</f>
        <v/>
      </c>
      <c r="R1335" s="11">
        <f>IF(J1335="","",IFERROR(VALUE(SUBSTITUTE(SUBSTITUTE(IF(H1335="","",H1335)&amp;"","$",""),",","")),0)/IF("No"="Yes",P1335,1))</f>
        <v/>
      </c>
      <c r="S1335" s="11">
        <f>IF(J1335="","",O1335+Q1335-R1335)</f>
        <v/>
      </c>
      <c r="T1335">
        <f>IF(J1335="","",IFERROR(IF(K1335="",NA(),MATCH(K1335,Products!$B$5:$B$204,0)),IFERROR(MATCH(J1335,Products!$A$5:$A$204,0),"")))</f>
        <v/>
      </c>
      <c r="U1335">
        <f>IF(J1335="","",IF(T1335="","⚠ not in Products",INDEX(Products!$A$5:$A$204,T1335)))</f>
        <v/>
      </c>
      <c r="V1335" s="11">
        <f>IF(J1335="","",S1335*(IFERROR(INDEX(Settings!$B$5:$B$9,MATCH($B1335,Settings!$A$5:$A$9,0)),0)+IFERROR(INDEX(Settings!$E$5:$E$9,MATCH($B1335,Settings!$A$5:$A$9,0)),0)+IFERROR(INDEX(Settings!$G$5:$G$9,MATCH($B1335,Settings!$A$5:$A$9,0)),0))+(IFERROR(INDEX(Settings!$C$5:$C$9,MATCH($B1335,Settings!$A$5:$A$9,0)),0)+IFERROR(INDEX(Settings!$F$5:$F$9,MATCH($B1335,Settings!$A$5:$A$9,0)),0))/P1335+IFERROR(INDEX(Settings!$D$5:$D$9,MATCH($B1335,Settings!$A$5:$A$9,0)),0)*M1335)</f>
        <v/>
      </c>
      <c r="W1335" s="11">
        <f>IF(J1335="","",IF(T1335="",0,M1335*INDEX(Products!$I$5:$I$204,T1335)))</f>
        <v/>
      </c>
      <c r="X1335" s="11">
        <f>IF(J1335="","",IF(T1335="",0,S1335*INDEX(Products!$H$5:$H$204,T1335)))</f>
        <v/>
      </c>
      <c r="Y1335" s="11">
        <f>IF(J1335="","",S1335-V1335-W1335-X1335)</f>
        <v/>
      </c>
    </row>
    <row r="1336">
      <c r="A1336" s="19" t="n"/>
      <c r="B1336" s="19" t="n"/>
      <c r="C1336" s="19" t="n"/>
      <c r="D1336" s="19" t="n"/>
      <c r="E1336" s="19" t="n"/>
      <c r="F1336" s="20" t="n"/>
      <c r="G1336" s="20" t="n"/>
      <c r="H1336" s="20" t="n"/>
      <c r="I1336" s="19" t="n"/>
      <c r="J1336">
        <f>IFERROR(IF(C1336="","",C1336)&amp;"","")</f>
        <v/>
      </c>
      <c r="K1336">
        <f>IFERROR(IF(D1336="","",D1336)&amp;"","")</f>
        <v/>
      </c>
      <c r="L1336">
        <f>IFERROR(IF(I1336="","",I1336)&amp;"","")</f>
        <v/>
      </c>
      <c r="M1336">
        <f>IF(J1336="","",IFERROR(VALUE(SUBSTITUTE(SUBSTITUTE(IF(E1336="","",E1336)&amp;"","$",""),",","")),0))</f>
        <v/>
      </c>
      <c r="N1336" s="11">
        <f>IF(J1336="","",IFERROR(VALUE(SUBSTITUTE(SUBSTITUTE(IF(F1336="","",F1336)&amp;"","$",""),",","")),0))</f>
        <v/>
      </c>
      <c r="O1336" s="11">
        <f>IF(J1336="","",M1336*N1336)</f>
        <v/>
      </c>
      <c r="P1336">
        <f>IF(J1336="","",IF(L1336="",1,COUNTIF($L$2:$L$1501,L1336)))</f>
        <v/>
      </c>
      <c r="Q1336" s="11">
        <f>IF(J1336="","",IFERROR(VALUE(SUBSTITUTE(SUBSTITUTE(IF(G1336="","",G1336)&amp;"","$",""),",","")),0)/IF("No"="Yes",P1336,1))</f>
        <v/>
      </c>
      <c r="R1336" s="11">
        <f>IF(J1336="","",IFERROR(VALUE(SUBSTITUTE(SUBSTITUTE(IF(H1336="","",H1336)&amp;"","$",""),",","")),0)/IF("No"="Yes",P1336,1))</f>
        <v/>
      </c>
      <c r="S1336" s="11">
        <f>IF(J1336="","",O1336+Q1336-R1336)</f>
        <v/>
      </c>
      <c r="T1336">
        <f>IF(J1336="","",IFERROR(IF(K1336="",NA(),MATCH(K1336,Products!$B$5:$B$204,0)),IFERROR(MATCH(J1336,Products!$A$5:$A$204,0),"")))</f>
        <v/>
      </c>
      <c r="U1336">
        <f>IF(J1336="","",IF(T1336="","⚠ not in Products",INDEX(Products!$A$5:$A$204,T1336)))</f>
        <v/>
      </c>
      <c r="V1336" s="11">
        <f>IF(J1336="","",S1336*(IFERROR(INDEX(Settings!$B$5:$B$9,MATCH($B1336,Settings!$A$5:$A$9,0)),0)+IFERROR(INDEX(Settings!$E$5:$E$9,MATCH($B1336,Settings!$A$5:$A$9,0)),0)+IFERROR(INDEX(Settings!$G$5:$G$9,MATCH($B1336,Settings!$A$5:$A$9,0)),0))+(IFERROR(INDEX(Settings!$C$5:$C$9,MATCH($B1336,Settings!$A$5:$A$9,0)),0)+IFERROR(INDEX(Settings!$F$5:$F$9,MATCH($B1336,Settings!$A$5:$A$9,0)),0))/P1336+IFERROR(INDEX(Settings!$D$5:$D$9,MATCH($B1336,Settings!$A$5:$A$9,0)),0)*M1336)</f>
        <v/>
      </c>
      <c r="W1336" s="11">
        <f>IF(J1336="","",IF(T1336="",0,M1336*INDEX(Products!$I$5:$I$204,T1336)))</f>
        <v/>
      </c>
      <c r="X1336" s="11">
        <f>IF(J1336="","",IF(T1336="",0,S1336*INDEX(Products!$H$5:$H$204,T1336)))</f>
        <v/>
      </c>
      <c r="Y1336" s="11">
        <f>IF(J1336="","",S1336-V1336-W1336-X1336)</f>
        <v/>
      </c>
    </row>
    <row r="1337">
      <c r="A1337" s="19" t="n"/>
      <c r="B1337" s="19" t="n"/>
      <c r="C1337" s="19" t="n"/>
      <c r="D1337" s="19" t="n"/>
      <c r="E1337" s="19" t="n"/>
      <c r="F1337" s="20" t="n"/>
      <c r="G1337" s="20" t="n"/>
      <c r="H1337" s="20" t="n"/>
      <c r="I1337" s="19" t="n"/>
      <c r="J1337">
        <f>IFERROR(IF(C1337="","",C1337)&amp;"","")</f>
        <v/>
      </c>
      <c r="K1337">
        <f>IFERROR(IF(D1337="","",D1337)&amp;"","")</f>
        <v/>
      </c>
      <c r="L1337">
        <f>IFERROR(IF(I1337="","",I1337)&amp;"","")</f>
        <v/>
      </c>
      <c r="M1337">
        <f>IF(J1337="","",IFERROR(VALUE(SUBSTITUTE(SUBSTITUTE(IF(E1337="","",E1337)&amp;"","$",""),",","")),0))</f>
        <v/>
      </c>
      <c r="N1337" s="11">
        <f>IF(J1337="","",IFERROR(VALUE(SUBSTITUTE(SUBSTITUTE(IF(F1337="","",F1337)&amp;"","$",""),",","")),0))</f>
        <v/>
      </c>
      <c r="O1337" s="11">
        <f>IF(J1337="","",M1337*N1337)</f>
        <v/>
      </c>
      <c r="P1337">
        <f>IF(J1337="","",IF(L1337="",1,COUNTIF($L$2:$L$1501,L1337)))</f>
        <v/>
      </c>
      <c r="Q1337" s="11">
        <f>IF(J1337="","",IFERROR(VALUE(SUBSTITUTE(SUBSTITUTE(IF(G1337="","",G1337)&amp;"","$",""),",","")),0)/IF("No"="Yes",P1337,1))</f>
        <v/>
      </c>
      <c r="R1337" s="11">
        <f>IF(J1337="","",IFERROR(VALUE(SUBSTITUTE(SUBSTITUTE(IF(H1337="","",H1337)&amp;"","$",""),",","")),0)/IF("No"="Yes",P1337,1))</f>
        <v/>
      </c>
      <c r="S1337" s="11">
        <f>IF(J1337="","",O1337+Q1337-R1337)</f>
        <v/>
      </c>
      <c r="T1337">
        <f>IF(J1337="","",IFERROR(IF(K1337="",NA(),MATCH(K1337,Products!$B$5:$B$204,0)),IFERROR(MATCH(J1337,Products!$A$5:$A$204,0),"")))</f>
        <v/>
      </c>
      <c r="U1337">
        <f>IF(J1337="","",IF(T1337="","⚠ not in Products",INDEX(Products!$A$5:$A$204,T1337)))</f>
        <v/>
      </c>
      <c r="V1337" s="11">
        <f>IF(J1337="","",S1337*(IFERROR(INDEX(Settings!$B$5:$B$9,MATCH($B1337,Settings!$A$5:$A$9,0)),0)+IFERROR(INDEX(Settings!$E$5:$E$9,MATCH($B1337,Settings!$A$5:$A$9,0)),0)+IFERROR(INDEX(Settings!$G$5:$G$9,MATCH($B1337,Settings!$A$5:$A$9,0)),0))+(IFERROR(INDEX(Settings!$C$5:$C$9,MATCH($B1337,Settings!$A$5:$A$9,0)),0)+IFERROR(INDEX(Settings!$F$5:$F$9,MATCH($B1337,Settings!$A$5:$A$9,0)),0))/P1337+IFERROR(INDEX(Settings!$D$5:$D$9,MATCH($B1337,Settings!$A$5:$A$9,0)),0)*M1337)</f>
        <v/>
      </c>
      <c r="W1337" s="11">
        <f>IF(J1337="","",IF(T1337="",0,M1337*INDEX(Products!$I$5:$I$204,T1337)))</f>
        <v/>
      </c>
      <c r="X1337" s="11">
        <f>IF(J1337="","",IF(T1337="",0,S1337*INDEX(Products!$H$5:$H$204,T1337)))</f>
        <v/>
      </c>
      <c r="Y1337" s="11">
        <f>IF(J1337="","",S1337-V1337-W1337-X1337)</f>
        <v/>
      </c>
    </row>
    <row r="1338">
      <c r="A1338" s="19" t="n"/>
      <c r="B1338" s="19" t="n"/>
      <c r="C1338" s="19" t="n"/>
      <c r="D1338" s="19" t="n"/>
      <c r="E1338" s="19" t="n"/>
      <c r="F1338" s="20" t="n"/>
      <c r="G1338" s="20" t="n"/>
      <c r="H1338" s="20" t="n"/>
      <c r="I1338" s="19" t="n"/>
      <c r="J1338">
        <f>IFERROR(IF(C1338="","",C1338)&amp;"","")</f>
        <v/>
      </c>
      <c r="K1338">
        <f>IFERROR(IF(D1338="","",D1338)&amp;"","")</f>
        <v/>
      </c>
      <c r="L1338">
        <f>IFERROR(IF(I1338="","",I1338)&amp;"","")</f>
        <v/>
      </c>
      <c r="M1338">
        <f>IF(J1338="","",IFERROR(VALUE(SUBSTITUTE(SUBSTITUTE(IF(E1338="","",E1338)&amp;"","$",""),",","")),0))</f>
        <v/>
      </c>
      <c r="N1338" s="11">
        <f>IF(J1338="","",IFERROR(VALUE(SUBSTITUTE(SUBSTITUTE(IF(F1338="","",F1338)&amp;"","$",""),",","")),0))</f>
        <v/>
      </c>
      <c r="O1338" s="11">
        <f>IF(J1338="","",M1338*N1338)</f>
        <v/>
      </c>
      <c r="P1338">
        <f>IF(J1338="","",IF(L1338="",1,COUNTIF($L$2:$L$1501,L1338)))</f>
        <v/>
      </c>
      <c r="Q1338" s="11">
        <f>IF(J1338="","",IFERROR(VALUE(SUBSTITUTE(SUBSTITUTE(IF(G1338="","",G1338)&amp;"","$",""),",","")),0)/IF("No"="Yes",P1338,1))</f>
        <v/>
      </c>
      <c r="R1338" s="11">
        <f>IF(J1338="","",IFERROR(VALUE(SUBSTITUTE(SUBSTITUTE(IF(H1338="","",H1338)&amp;"","$",""),",","")),0)/IF("No"="Yes",P1338,1))</f>
        <v/>
      </c>
      <c r="S1338" s="11">
        <f>IF(J1338="","",O1338+Q1338-R1338)</f>
        <v/>
      </c>
      <c r="T1338">
        <f>IF(J1338="","",IFERROR(IF(K1338="",NA(),MATCH(K1338,Products!$B$5:$B$204,0)),IFERROR(MATCH(J1338,Products!$A$5:$A$204,0),"")))</f>
        <v/>
      </c>
      <c r="U1338">
        <f>IF(J1338="","",IF(T1338="","⚠ not in Products",INDEX(Products!$A$5:$A$204,T1338)))</f>
        <v/>
      </c>
      <c r="V1338" s="11">
        <f>IF(J1338="","",S1338*(IFERROR(INDEX(Settings!$B$5:$B$9,MATCH($B1338,Settings!$A$5:$A$9,0)),0)+IFERROR(INDEX(Settings!$E$5:$E$9,MATCH($B1338,Settings!$A$5:$A$9,0)),0)+IFERROR(INDEX(Settings!$G$5:$G$9,MATCH($B1338,Settings!$A$5:$A$9,0)),0))+(IFERROR(INDEX(Settings!$C$5:$C$9,MATCH($B1338,Settings!$A$5:$A$9,0)),0)+IFERROR(INDEX(Settings!$F$5:$F$9,MATCH($B1338,Settings!$A$5:$A$9,0)),0))/P1338+IFERROR(INDEX(Settings!$D$5:$D$9,MATCH($B1338,Settings!$A$5:$A$9,0)),0)*M1338)</f>
        <v/>
      </c>
      <c r="W1338" s="11">
        <f>IF(J1338="","",IF(T1338="",0,M1338*INDEX(Products!$I$5:$I$204,T1338)))</f>
        <v/>
      </c>
      <c r="X1338" s="11">
        <f>IF(J1338="","",IF(T1338="",0,S1338*INDEX(Products!$H$5:$H$204,T1338)))</f>
        <v/>
      </c>
      <c r="Y1338" s="11">
        <f>IF(J1338="","",S1338-V1338-W1338-X1338)</f>
        <v/>
      </c>
    </row>
    <row r="1339">
      <c r="A1339" s="19" t="n"/>
      <c r="B1339" s="19" t="n"/>
      <c r="C1339" s="19" t="n"/>
      <c r="D1339" s="19" t="n"/>
      <c r="E1339" s="19" t="n"/>
      <c r="F1339" s="20" t="n"/>
      <c r="G1339" s="20" t="n"/>
      <c r="H1339" s="20" t="n"/>
      <c r="I1339" s="19" t="n"/>
      <c r="J1339">
        <f>IFERROR(IF(C1339="","",C1339)&amp;"","")</f>
        <v/>
      </c>
      <c r="K1339">
        <f>IFERROR(IF(D1339="","",D1339)&amp;"","")</f>
        <v/>
      </c>
      <c r="L1339">
        <f>IFERROR(IF(I1339="","",I1339)&amp;"","")</f>
        <v/>
      </c>
      <c r="M1339">
        <f>IF(J1339="","",IFERROR(VALUE(SUBSTITUTE(SUBSTITUTE(IF(E1339="","",E1339)&amp;"","$",""),",","")),0))</f>
        <v/>
      </c>
      <c r="N1339" s="11">
        <f>IF(J1339="","",IFERROR(VALUE(SUBSTITUTE(SUBSTITUTE(IF(F1339="","",F1339)&amp;"","$",""),",","")),0))</f>
        <v/>
      </c>
      <c r="O1339" s="11">
        <f>IF(J1339="","",M1339*N1339)</f>
        <v/>
      </c>
      <c r="P1339">
        <f>IF(J1339="","",IF(L1339="",1,COUNTIF($L$2:$L$1501,L1339)))</f>
        <v/>
      </c>
      <c r="Q1339" s="11">
        <f>IF(J1339="","",IFERROR(VALUE(SUBSTITUTE(SUBSTITUTE(IF(G1339="","",G1339)&amp;"","$",""),",","")),0)/IF("No"="Yes",P1339,1))</f>
        <v/>
      </c>
      <c r="R1339" s="11">
        <f>IF(J1339="","",IFERROR(VALUE(SUBSTITUTE(SUBSTITUTE(IF(H1339="","",H1339)&amp;"","$",""),",","")),0)/IF("No"="Yes",P1339,1))</f>
        <v/>
      </c>
      <c r="S1339" s="11">
        <f>IF(J1339="","",O1339+Q1339-R1339)</f>
        <v/>
      </c>
      <c r="T1339">
        <f>IF(J1339="","",IFERROR(IF(K1339="",NA(),MATCH(K1339,Products!$B$5:$B$204,0)),IFERROR(MATCH(J1339,Products!$A$5:$A$204,0),"")))</f>
        <v/>
      </c>
      <c r="U1339">
        <f>IF(J1339="","",IF(T1339="","⚠ not in Products",INDEX(Products!$A$5:$A$204,T1339)))</f>
        <v/>
      </c>
      <c r="V1339" s="11">
        <f>IF(J1339="","",S1339*(IFERROR(INDEX(Settings!$B$5:$B$9,MATCH($B1339,Settings!$A$5:$A$9,0)),0)+IFERROR(INDEX(Settings!$E$5:$E$9,MATCH($B1339,Settings!$A$5:$A$9,0)),0)+IFERROR(INDEX(Settings!$G$5:$G$9,MATCH($B1339,Settings!$A$5:$A$9,0)),0))+(IFERROR(INDEX(Settings!$C$5:$C$9,MATCH($B1339,Settings!$A$5:$A$9,0)),0)+IFERROR(INDEX(Settings!$F$5:$F$9,MATCH($B1339,Settings!$A$5:$A$9,0)),0))/P1339+IFERROR(INDEX(Settings!$D$5:$D$9,MATCH($B1339,Settings!$A$5:$A$9,0)),0)*M1339)</f>
        <v/>
      </c>
      <c r="W1339" s="11">
        <f>IF(J1339="","",IF(T1339="",0,M1339*INDEX(Products!$I$5:$I$204,T1339)))</f>
        <v/>
      </c>
      <c r="X1339" s="11">
        <f>IF(J1339="","",IF(T1339="",0,S1339*INDEX(Products!$H$5:$H$204,T1339)))</f>
        <v/>
      </c>
      <c r="Y1339" s="11">
        <f>IF(J1339="","",S1339-V1339-W1339-X1339)</f>
        <v/>
      </c>
    </row>
    <row r="1340">
      <c r="A1340" s="19" t="n"/>
      <c r="B1340" s="19" t="n"/>
      <c r="C1340" s="19" t="n"/>
      <c r="D1340" s="19" t="n"/>
      <c r="E1340" s="19" t="n"/>
      <c r="F1340" s="20" t="n"/>
      <c r="G1340" s="20" t="n"/>
      <c r="H1340" s="20" t="n"/>
      <c r="I1340" s="19" t="n"/>
      <c r="J1340">
        <f>IFERROR(IF(C1340="","",C1340)&amp;"","")</f>
        <v/>
      </c>
      <c r="K1340">
        <f>IFERROR(IF(D1340="","",D1340)&amp;"","")</f>
        <v/>
      </c>
      <c r="L1340">
        <f>IFERROR(IF(I1340="","",I1340)&amp;"","")</f>
        <v/>
      </c>
      <c r="M1340">
        <f>IF(J1340="","",IFERROR(VALUE(SUBSTITUTE(SUBSTITUTE(IF(E1340="","",E1340)&amp;"","$",""),",","")),0))</f>
        <v/>
      </c>
      <c r="N1340" s="11">
        <f>IF(J1340="","",IFERROR(VALUE(SUBSTITUTE(SUBSTITUTE(IF(F1340="","",F1340)&amp;"","$",""),",","")),0))</f>
        <v/>
      </c>
      <c r="O1340" s="11">
        <f>IF(J1340="","",M1340*N1340)</f>
        <v/>
      </c>
      <c r="P1340">
        <f>IF(J1340="","",IF(L1340="",1,COUNTIF($L$2:$L$1501,L1340)))</f>
        <v/>
      </c>
      <c r="Q1340" s="11">
        <f>IF(J1340="","",IFERROR(VALUE(SUBSTITUTE(SUBSTITUTE(IF(G1340="","",G1340)&amp;"","$",""),",","")),0)/IF("No"="Yes",P1340,1))</f>
        <v/>
      </c>
      <c r="R1340" s="11">
        <f>IF(J1340="","",IFERROR(VALUE(SUBSTITUTE(SUBSTITUTE(IF(H1340="","",H1340)&amp;"","$",""),",","")),0)/IF("No"="Yes",P1340,1))</f>
        <v/>
      </c>
      <c r="S1340" s="11">
        <f>IF(J1340="","",O1340+Q1340-R1340)</f>
        <v/>
      </c>
      <c r="T1340">
        <f>IF(J1340="","",IFERROR(IF(K1340="",NA(),MATCH(K1340,Products!$B$5:$B$204,0)),IFERROR(MATCH(J1340,Products!$A$5:$A$204,0),"")))</f>
        <v/>
      </c>
      <c r="U1340">
        <f>IF(J1340="","",IF(T1340="","⚠ not in Products",INDEX(Products!$A$5:$A$204,T1340)))</f>
        <v/>
      </c>
      <c r="V1340" s="11">
        <f>IF(J1340="","",S1340*(IFERROR(INDEX(Settings!$B$5:$B$9,MATCH($B1340,Settings!$A$5:$A$9,0)),0)+IFERROR(INDEX(Settings!$E$5:$E$9,MATCH($B1340,Settings!$A$5:$A$9,0)),0)+IFERROR(INDEX(Settings!$G$5:$G$9,MATCH($B1340,Settings!$A$5:$A$9,0)),0))+(IFERROR(INDEX(Settings!$C$5:$C$9,MATCH($B1340,Settings!$A$5:$A$9,0)),0)+IFERROR(INDEX(Settings!$F$5:$F$9,MATCH($B1340,Settings!$A$5:$A$9,0)),0))/P1340+IFERROR(INDEX(Settings!$D$5:$D$9,MATCH($B1340,Settings!$A$5:$A$9,0)),0)*M1340)</f>
        <v/>
      </c>
      <c r="W1340" s="11">
        <f>IF(J1340="","",IF(T1340="",0,M1340*INDEX(Products!$I$5:$I$204,T1340)))</f>
        <v/>
      </c>
      <c r="X1340" s="11">
        <f>IF(J1340="","",IF(T1340="",0,S1340*INDEX(Products!$H$5:$H$204,T1340)))</f>
        <v/>
      </c>
      <c r="Y1340" s="11">
        <f>IF(J1340="","",S1340-V1340-W1340-X1340)</f>
        <v/>
      </c>
    </row>
    <row r="1341">
      <c r="A1341" s="19" t="n"/>
      <c r="B1341" s="19" t="n"/>
      <c r="C1341" s="19" t="n"/>
      <c r="D1341" s="19" t="n"/>
      <c r="E1341" s="19" t="n"/>
      <c r="F1341" s="20" t="n"/>
      <c r="G1341" s="20" t="n"/>
      <c r="H1341" s="20" t="n"/>
      <c r="I1341" s="19" t="n"/>
      <c r="J1341">
        <f>IFERROR(IF(C1341="","",C1341)&amp;"","")</f>
        <v/>
      </c>
      <c r="K1341">
        <f>IFERROR(IF(D1341="","",D1341)&amp;"","")</f>
        <v/>
      </c>
      <c r="L1341">
        <f>IFERROR(IF(I1341="","",I1341)&amp;"","")</f>
        <v/>
      </c>
      <c r="M1341">
        <f>IF(J1341="","",IFERROR(VALUE(SUBSTITUTE(SUBSTITUTE(IF(E1341="","",E1341)&amp;"","$",""),",","")),0))</f>
        <v/>
      </c>
      <c r="N1341" s="11">
        <f>IF(J1341="","",IFERROR(VALUE(SUBSTITUTE(SUBSTITUTE(IF(F1341="","",F1341)&amp;"","$",""),",","")),0))</f>
        <v/>
      </c>
      <c r="O1341" s="11">
        <f>IF(J1341="","",M1341*N1341)</f>
        <v/>
      </c>
      <c r="P1341">
        <f>IF(J1341="","",IF(L1341="",1,COUNTIF($L$2:$L$1501,L1341)))</f>
        <v/>
      </c>
      <c r="Q1341" s="11">
        <f>IF(J1341="","",IFERROR(VALUE(SUBSTITUTE(SUBSTITUTE(IF(G1341="","",G1341)&amp;"","$",""),",","")),0)/IF("No"="Yes",P1341,1))</f>
        <v/>
      </c>
      <c r="R1341" s="11">
        <f>IF(J1341="","",IFERROR(VALUE(SUBSTITUTE(SUBSTITUTE(IF(H1341="","",H1341)&amp;"","$",""),",","")),0)/IF("No"="Yes",P1341,1))</f>
        <v/>
      </c>
      <c r="S1341" s="11">
        <f>IF(J1341="","",O1341+Q1341-R1341)</f>
        <v/>
      </c>
      <c r="T1341">
        <f>IF(J1341="","",IFERROR(IF(K1341="",NA(),MATCH(K1341,Products!$B$5:$B$204,0)),IFERROR(MATCH(J1341,Products!$A$5:$A$204,0),"")))</f>
        <v/>
      </c>
      <c r="U1341">
        <f>IF(J1341="","",IF(T1341="","⚠ not in Products",INDEX(Products!$A$5:$A$204,T1341)))</f>
        <v/>
      </c>
      <c r="V1341" s="11">
        <f>IF(J1341="","",S1341*(IFERROR(INDEX(Settings!$B$5:$B$9,MATCH($B1341,Settings!$A$5:$A$9,0)),0)+IFERROR(INDEX(Settings!$E$5:$E$9,MATCH($B1341,Settings!$A$5:$A$9,0)),0)+IFERROR(INDEX(Settings!$G$5:$G$9,MATCH($B1341,Settings!$A$5:$A$9,0)),0))+(IFERROR(INDEX(Settings!$C$5:$C$9,MATCH($B1341,Settings!$A$5:$A$9,0)),0)+IFERROR(INDEX(Settings!$F$5:$F$9,MATCH($B1341,Settings!$A$5:$A$9,0)),0))/P1341+IFERROR(INDEX(Settings!$D$5:$D$9,MATCH($B1341,Settings!$A$5:$A$9,0)),0)*M1341)</f>
        <v/>
      </c>
      <c r="W1341" s="11">
        <f>IF(J1341="","",IF(T1341="",0,M1341*INDEX(Products!$I$5:$I$204,T1341)))</f>
        <v/>
      </c>
      <c r="X1341" s="11">
        <f>IF(J1341="","",IF(T1341="",0,S1341*INDEX(Products!$H$5:$H$204,T1341)))</f>
        <v/>
      </c>
      <c r="Y1341" s="11">
        <f>IF(J1341="","",S1341-V1341-W1341-X1341)</f>
        <v/>
      </c>
    </row>
    <row r="1342">
      <c r="A1342" s="19" t="n"/>
      <c r="B1342" s="19" t="n"/>
      <c r="C1342" s="19" t="n"/>
      <c r="D1342" s="19" t="n"/>
      <c r="E1342" s="19" t="n"/>
      <c r="F1342" s="20" t="n"/>
      <c r="G1342" s="20" t="n"/>
      <c r="H1342" s="20" t="n"/>
      <c r="I1342" s="19" t="n"/>
      <c r="J1342">
        <f>IFERROR(IF(C1342="","",C1342)&amp;"","")</f>
        <v/>
      </c>
      <c r="K1342">
        <f>IFERROR(IF(D1342="","",D1342)&amp;"","")</f>
        <v/>
      </c>
      <c r="L1342">
        <f>IFERROR(IF(I1342="","",I1342)&amp;"","")</f>
        <v/>
      </c>
      <c r="M1342">
        <f>IF(J1342="","",IFERROR(VALUE(SUBSTITUTE(SUBSTITUTE(IF(E1342="","",E1342)&amp;"","$",""),",","")),0))</f>
        <v/>
      </c>
      <c r="N1342" s="11">
        <f>IF(J1342="","",IFERROR(VALUE(SUBSTITUTE(SUBSTITUTE(IF(F1342="","",F1342)&amp;"","$",""),",","")),0))</f>
        <v/>
      </c>
      <c r="O1342" s="11">
        <f>IF(J1342="","",M1342*N1342)</f>
        <v/>
      </c>
      <c r="P1342">
        <f>IF(J1342="","",IF(L1342="",1,COUNTIF($L$2:$L$1501,L1342)))</f>
        <v/>
      </c>
      <c r="Q1342" s="11">
        <f>IF(J1342="","",IFERROR(VALUE(SUBSTITUTE(SUBSTITUTE(IF(G1342="","",G1342)&amp;"","$",""),",","")),0)/IF("No"="Yes",P1342,1))</f>
        <v/>
      </c>
      <c r="R1342" s="11">
        <f>IF(J1342="","",IFERROR(VALUE(SUBSTITUTE(SUBSTITUTE(IF(H1342="","",H1342)&amp;"","$",""),",","")),0)/IF("No"="Yes",P1342,1))</f>
        <v/>
      </c>
      <c r="S1342" s="11">
        <f>IF(J1342="","",O1342+Q1342-R1342)</f>
        <v/>
      </c>
      <c r="T1342">
        <f>IF(J1342="","",IFERROR(IF(K1342="",NA(),MATCH(K1342,Products!$B$5:$B$204,0)),IFERROR(MATCH(J1342,Products!$A$5:$A$204,0),"")))</f>
        <v/>
      </c>
      <c r="U1342">
        <f>IF(J1342="","",IF(T1342="","⚠ not in Products",INDEX(Products!$A$5:$A$204,T1342)))</f>
        <v/>
      </c>
      <c r="V1342" s="11">
        <f>IF(J1342="","",S1342*(IFERROR(INDEX(Settings!$B$5:$B$9,MATCH($B1342,Settings!$A$5:$A$9,0)),0)+IFERROR(INDEX(Settings!$E$5:$E$9,MATCH($B1342,Settings!$A$5:$A$9,0)),0)+IFERROR(INDEX(Settings!$G$5:$G$9,MATCH($B1342,Settings!$A$5:$A$9,0)),0))+(IFERROR(INDEX(Settings!$C$5:$C$9,MATCH($B1342,Settings!$A$5:$A$9,0)),0)+IFERROR(INDEX(Settings!$F$5:$F$9,MATCH($B1342,Settings!$A$5:$A$9,0)),0))/P1342+IFERROR(INDEX(Settings!$D$5:$D$9,MATCH($B1342,Settings!$A$5:$A$9,0)),0)*M1342)</f>
        <v/>
      </c>
      <c r="W1342" s="11">
        <f>IF(J1342="","",IF(T1342="",0,M1342*INDEX(Products!$I$5:$I$204,T1342)))</f>
        <v/>
      </c>
      <c r="X1342" s="11">
        <f>IF(J1342="","",IF(T1342="",0,S1342*INDEX(Products!$H$5:$H$204,T1342)))</f>
        <v/>
      </c>
      <c r="Y1342" s="11">
        <f>IF(J1342="","",S1342-V1342-W1342-X1342)</f>
        <v/>
      </c>
    </row>
    <row r="1343">
      <c r="A1343" s="19" t="n"/>
      <c r="B1343" s="19" t="n"/>
      <c r="C1343" s="19" t="n"/>
      <c r="D1343" s="19" t="n"/>
      <c r="E1343" s="19" t="n"/>
      <c r="F1343" s="20" t="n"/>
      <c r="G1343" s="20" t="n"/>
      <c r="H1343" s="20" t="n"/>
      <c r="I1343" s="19" t="n"/>
      <c r="J1343">
        <f>IFERROR(IF(C1343="","",C1343)&amp;"","")</f>
        <v/>
      </c>
      <c r="K1343">
        <f>IFERROR(IF(D1343="","",D1343)&amp;"","")</f>
        <v/>
      </c>
      <c r="L1343">
        <f>IFERROR(IF(I1343="","",I1343)&amp;"","")</f>
        <v/>
      </c>
      <c r="M1343">
        <f>IF(J1343="","",IFERROR(VALUE(SUBSTITUTE(SUBSTITUTE(IF(E1343="","",E1343)&amp;"","$",""),",","")),0))</f>
        <v/>
      </c>
      <c r="N1343" s="11">
        <f>IF(J1343="","",IFERROR(VALUE(SUBSTITUTE(SUBSTITUTE(IF(F1343="","",F1343)&amp;"","$",""),",","")),0))</f>
        <v/>
      </c>
      <c r="O1343" s="11">
        <f>IF(J1343="","",M1343*N1343)</f>
        <v/>
      </c>
      <c r="P1343">
        <f>IF(J1343="","",IF(L1343="",1,COUNTIF($L$2:$L$1501,L1343)))</f>
        <v/>
      </c>
      <c r="Q1343" s="11">
        <f>IF(J1343="","",IFERROR(VALUE(SUBSTITUTE(SUBSTITUTE(IF(G1343="","",G1343)&amp;"","$",""),",","")),0)/IF("No"="Yes",P1343,1))</f>
        <v/>
      </c>
      <c r="R1343" s="11">
        <f>IF(J1343="","",IFERROR(VALUE(SUBSTITUTE(SUBSTITUTE(IF(H1343="","",H1343)&amp;"","$",""),",","")),0)/IF("No"="Yes",P1343,1))</f>
        <v/>
      </c>
      <c r="S1343" s="11">
        <f>IF(J1343="","",O1343+Q1343-R1343)</f>
        <v/>
      </c>
      <c r="T1343">
        <f>IF(J1343="","",IFERROR(IF(K1343="",NA(),MATCH(K1343,Products!$B$5:$B$204,0)),IFERROR(MATCH(J1343,Products!$A$5:$A$204,0),"")))</f>
        <v/>
      </c>
      <c r="U1343">
        <f>IF(J1343="","",IF(T1343="","⚠ not in Products",INDEX(Products!$A$5:$A$204,T1343)))</f>
        <v/>
      </c>
      <c r="V1343" s="11">
        <f>IF(J1343="","",S1343*(IFERROR(INDEX(Settings!$B$5:$B$9,MATCH($B1343,Settings!$A$5:$A$9,0)),0)+IFERROR(INDEX(Settings!$E$5:$E$9,MATCH($B1343,Settings!$A$5:$A$9,0)),0)+IFERROR(INDEX(Settings!$G$5:$G$9,MATCH($B1343,Settings!$A$5:$A$9,0)),0))+(IFERROR(INDEX(Settings!$C$5:$C$9,MATCH($B1343,Settings!$A$5:$A$9,0)),0)+IFERROR(INDEX(Settings!$F$5:$F$9,MATCH($B1343,Settings!$A$5:$A$9,0)),0))/P1343+IFERROR(INDEX(Settings!$D$5:$D$9,MATCH($B1343,Settings!$A$5:$A$9,0)),0)*M1343)</f>
        <v/>
      </c>
      <c r="W1343" s="11">
        <f>IF(J1343="","",IF(T1343="",0,M1343*INDEX(Products!$I$5:$I$204,T1343)))</f>
        <v/>
      </c>
      <c r="X1343" s="11">
        <f>IF(J1343="","",IF(T1343="",0,S1343*INDEX(Products!$H$5:$H$204,T1343)))</f>
        <v/>
      </c>
      <c r="Y1343" s="11">
        <f>IF(J1343="","",S1343-V1343-W1343-X1343)</f>
        <v/>
      </c>
    </row>
    <row r="1344">
      <c r="A1344" s="19" t="n"/>
      <c r="B1344" s="19" t="n"/>
      <c r="C1344" s="19" t="n"/>
      <c r="D1344" s="19" t="n"/>
      <c r="E1344" s="19" t="n"/>
      <c r="F1344" s="20" t="n"/>
      <c r="G1344" s="20" t="n"/>
      <c r="H1344" s="20" t="n"/>
      <c r="I1344" s="19" t="n"/>
      <c r="J1344">
        <f>IFERROR(IF(C1344="","",C1344)&amp;"","")</f>
        <v/>
      </c>
      <c r="K1344">
        <f>IFERROR(IF(D1344="","",D1344)&amp;"","")</f>
        <v/>
      </c>
      <c r="L1344">
        <f>IFERROR(IF(I1344="","",I1344)&amp;"","")</f>
        <v/>
      </c>
      <c r="M1344">
        <f>IF(J1344="","",IFERROR(VALUE(SUBSTITUTE(SUBSTITUTE(IF(E1344="","",E1344)&amp;"","$",""),",","")),0))</f>
        <v/>
      </c>
      <c r="N1344" s="11">
        <f>IF(J1344="","",IFERROR(VALUE(SUBSTITUTE(SUBSTITUTE(IF(F1344="","",F1344)&amp;"","$",""),",","")),0))</f>
        <v/>
      </c>
      <c r="O1344" s="11">
        <f>IF(J1344="","",M1344*N1344)</f>
        <v/>
      </c>
      <c r="P1344">
        <f>IF(J1344="","",IF(L1344="",1,COUNTIF($L$2:$L$1501,L1344)))</f>
        <v/>
      </c>
      <c r="Q1344" s="11">
        <f>IF(J1344="","",IFERROR(VALUE(SUBSTITUTE(SUBSTITUTE(IF(G1344="","",G1344)&amp;"","$",""),",","")),0)/IF("No"="Yes",P1344,1))</f>
        <v/>
      </c>
      <c r="R1344" s="11">
        <f>IF(J1344="","",IFERROR(VALUE(SUBSTITUTE(SUBSTITUTE(IF(H1344="","",H1344)&amp;"","$",""),",","")),0)/IF("No"="Yes",P1344,1))</f>
        <v/>
      </c>
      <c r="S1344" s="11">
        <f>IF(J1344="","",O1344+Q1344-R1344)</f>
        <v/>
      </c>
      <c r="T1344">
        <f>IF(J1344="","",IFERROR(IF(K1344="",NA(),MATCH(K1344,Products!$B$5:$B$204,0)),IFERROR(MATCH(J1344,Products!$A$5:$A$204,0),"")))</f>
        <v/>
      </c>
      <c r="U1344">
        <f>IF(J1344="","",IF(T1344="","⚠ not in Products",INDEX(Products!$A$5:$A$204,T1344)))</f>
        <v/>
      </c>
      <c r="V1344" s="11">
        <f>IF(J1344="","",S1344*(IFERROR(INDEX(Settings!$B$5:$B$9,MATCH($B1344,Settings!$A$5:$A$9,0)),0)+IFERROR(INDEX(Settings!$E$5:$E$9,MATCH($B1344,Settings!$A$5:$A$9,0)),0)+IFERROR(INDEX(Settings!$G$5:$G$9,MATCH($B1344,Settings!$A$5:$A$9,0)),0))+(IFERROR(INDEX(Settings!$C$5:$C$9,MATCH($B1344,Settings!$A$5:$A$9,0)),0)+IFERROR(INDEX(Settings!$F$5:$F$9,MATCH($B1344,Settings!$A$5:$A$9,0)),0))/P1344+IFERROR(INDEX(Settings!$D$5:$D$9,MATCH($B1344,Settings!$A$5:$A$9,0)),0)*M1344)</f>
        <v/>
      </c>
      <c r="W1344" s="11">
        <f>IF(J1344="","",IF(T1344="",0,M1344*INDEX(Products!$I$5:$I$204,T1344)))</f>
        <v/>
      </c>
      <c r="X1344" s="11">
        <f>IF(J1344="","",IF(T1344="",0,S1344*INDEX(Products!$H$5:$H$204,T1344)))</f>
        <v/>
      </c>
      <c r="Y1344" s="11">
        <f>IF(J1344="","",S1344-V1344-W1344-X1344)</f>
        <v/>
      </c>
    </row>
    <row r="1345">
      <c r="A1345" s="19" t="n"/>
      <c r="B1345" s="19" t="n"/>
      <c r="C1345" s="19" t="n"/>
      <c r="D1345" s="19" t="n"/>
      <c r="E1345" s="19" t="n"/>
      <c r="F1345" s="20" t="n"/>
      <c r="G1345" s="20" t="n"/>
      <c r="H1345" s="20" t="n"/>
      <c r="I1345" s="19" t="n"/>
      <c r="J1345">
        <f>IFERROR(IF(C1345="","",C1345)&amp;"","")</f>
        <v/>
      </c>
      <c r="K1345">
        <f>IFERROR(IF(D1345="","",D1345)&amp;"","")</f>
        <v/>
      </c>
      <c r="L1345">
        <f>IFERROR(IF(I1345="","",I1345)&amp;"","")</f>
        <v/>
      </c>
      <c r="M1345">
        <f>IF(J1345="","",IFERROR(VALUE(SUBSTITUTE(SUBSTITUTE(IF(E1345="","",E1345)&amp;"","$",""),",","")),0))</f>
        <v/>
      </c>
      <c r="N1345" s="11">
        <f>IF(J1345="","",IFERROR(VALUE(SUBSTITUTE(SUBSTITUTE(IF(F1345="","",F1345)&amp;"","$",""),",","")),0))</f>
        <v/>
      </c>
      <c r="O1345" s="11">
        <f>IF(J1345="","",M1345*N1345)</f>
        <v/>
      </c>
      <c r="P1345">
        <f>IF(J1345="","",IF(L1345="",1,COUNTIF($L$2:$L$1501,L1345)))</f>
        <v/>
      </c>
      <c r="Q1345" s="11">
        <f>IF(J1345="","",IFERROR(VALUE(SUBSTITUTE(SUBSTITUTE(IF(G1345="","",G1345)&amp;"","$",""),",","")),0)/IF("No"="Yes",P1345,1))</f>
        <v/>
      </c>
      <c r="R1345" s="11">
        <f>IF(J1345="","",IFERROR(VALUE(SUBSTITUTE(SUBSTITUTE(IF(H1345="","",H1345)&amp;"","$",""),",","")),0)/IF("No"="Yes",P1345,1))</f>
        <v/>
      </c>
      <c r="S1345" s="11">
        <f>IF(J1345="","",O1345+Q1345-R1345)</f>
        <v/>
      </c>
      <c r="T1345">
        <f>IF(J1345="","",IFERROR(IF(K1345="",NA(),MATCH(K1345,Products!$B$5:$B$204,0)),IFERROR(MATCH(J1345,Products!$A$5:$A$204,0),"")))</f>
        <v/>
      </c>
      <c r="U1345">
        <f>IF(J1345="","",IF(T1345="","⚠ not in Products",INDEX(Products!$A$5:$A$204,T1345)))</f>
        <v/>
      </c>
      <c r="V1345" s="11">
        <f>IF(J1345="","",S1345*(IFERROR(INDEX(Settings!$B$5:$B$9,MATCH($B1345,Settings!$A$5:$A$9,0)),0)+IFERROR(INDEX(Settings!$E$5:$E$9,MATCH($B1345,Settings!$A$5:$A$9,0)),0)+IFERROR(INDEX(Settings!$G$5:$G$9,MATCH($B1345,Settings!$A$5:$A$9,0)),0))+(IFERROR(INDEX(Settings!$C$5:$C$9,MATCH($B1345,Settings!$A$5:$A$9,0)),0)+IFERROR(INDEX(Settings!$F$5:$F$9,MATCH($B1345,Settings!$A$5:$A$9,0)),0))/P1345+IFERROR(INDEX(Settings!$D$5:$D$9,MATCH($B1345,Settings!$A$5:$A$9,0)),0)*M1345)</f>
        <v/>
      </c>
      <c r="W1345" s="11">
        <f>IF(J1345="","",IF(T1345="",0,M1345*INDEX(Products!$I$5:$I$204,T1345)))</f>
        <v/>
      </c>
      <c r="X1345" s="11">
        <f>IF(J1345="","",IF(T1345="",0,S1345*INDEX(Products!$H$5:$H$204,T1345)))</f>
        <v/>
      </c>
      <c r="Y1345" s="11">
        <f>IF(J1345="","",S1345-V1345-W1345-X1345)</f>
        <v/>
      </c>
    </row>
    <row r="1346">
      <c r="A1346" s="19" t="n"/>
      <c r="B1346" s="19" t="n"/>
      <c r="C1346" s="19" t="n"/>
      <c r="D1346" s="19" t="n"/>
      <c r="E1346" s="19" t="n"/>
      <c r="F1346" s="20" t="n"/>
      <c r="G1346" s="20" t="n"/>
      <c r="H1346" s="20" t="n"/>
      <c r="I1346" s="19" t="n"/>
      <c r="J1346">
        <f>IFERROR(IF(C1346="","",C1346)&amp;"","")</f>
        <v/>
      </c>
      <c r="K1346">
        <f>IFERROR(IF(D1346="","",D1346)&amp;"","")</f>
        <v/>
      </c>
      <c r="L1346">
        <f>IFERROR(IF(I1346="","",I1346)&amp;"","")</f>
        <v/>
      </c>
      <c r="M1346">
        <f>IF(J1346="","",IFERROR(VALUE(SUBSTITUTE(SUBSTITUTE(IF(E1346="","",E1346)&amp;"","$",""),",","")),0))</f>
        <v/>
      </c>
      <c r="N1346" s="11">
        <f>IF(J1346="","",IFERROR(VALUE(SUBSTITUTE(SUBSTITUTE(IF(F1346="","",F1346)&amp;"","$",""),",","")),0))</f>
        <v/>
      </c>
      <c r="O1346" s="11">
        <f>IF(J1346="","",M1346*N1346)</f>
        <v/>
      </c>
      <c r="P1346">
        <f>IF(J1346="","",IF(L1346="",1,COUNTIF($L$2:$L$1501,L1346)))</f>
        <v/>
      </c>
      <c r="Q1346" s="11">
        <f>IF(J1346="","",IFERROR(VALUE(SUBSTITUTE(SUBSTITUTE(IF(G1346="","",G1346)&amp;"","$",""),",","")),0)/IF("No"="Yes",P1346,1))</f>
        <v/>
      </c>
      <c r="R1346" s="11">
        <f>IF(J1346="","",IFERROR(VALUE(SUBSTITUTE(SUBSTITUTE(IF(H1346="","",H1346)&amp;"","$",""),",","")),0)/IF("No"="Yes",P1346,1))</f>
        <v/>
      </c>
      <c r="S1346" s="11">
        <f>IF(J1346="","",O1346+Q1346-R1346)</f>
        <v/>
      </c>
      <c r="T1346">
        <f>IF(J1346="","",IFERROR(IF(K1346="",NA(),MATCH(K1346,Products!$B$5:$B$204,0)),IFERROR(MATCH(J1346,Products!$A$5:$A$204,0),"")))</f>
        <v/>
      </c>
      <c r="U1346">
        <f>IF(J1346="","",IF(T1346="","⚠ not in Products",INDEX(Products!$A$5:$A$204,T1346)))</f>
        <v/>
      </c>
      <c r="V1346" s="11">
        <f>IF(J1346="","",S1346*(IFERROR(INDEX(Settings!$B$5:$B$9,MATCH($B1346,Settings!$A$5:$A$9,0)),0)+IFERROR(INDEX(Settings!$E$5:$E$9,MATCH($B1346,Settings!$A$5:$A$9,0)),0)+IFERROR(INDEX(Settings!$G$5:$G$9,MATCH($B1346,Settings!$A$5:$A$9,0)),0))+(IFERROR(INDEX(Settings!$C$5:$C$9,MATCH($B1346,Settings!$A$5:$A$9,0)),0)+IFERROR(INDEX(Settings!$F$5:$F$9,MATCH($B1346,Settings!$A$5:$A$9,0)),0))/P1346+IFERROR(INDEX(Settings!$D$5:$D$9,MATCH($B1346,Settings!$A$5:$A$9,0)),0)*M1346)</f>
        <v/>
      </c>
      <c r="W1346" s="11">
        <f>IF(J1346="","",IF(T1346="",0,M1346*INDEX(Products!$I$5:$I$204,T1346)))</f>
        <v/>
      </c>
      <c r="X1346" s="11">
        <f>IF(J1346="","",IF(T1346="",0,S1346*INDEX(Products!$H$5:$H$204,T1346)))</f>
        <v/>
      </c>
      <c r="Y1346" s="11">
        <f>IF(J1346="","",S1346-V1346-W1346-X1346)</f>
        <v/>
      </c>
    </row>
    <row r="1347">
      <c r="A1347" s="19" t="n"/>
      <c r="B1347" s="19" t="n"/>
      <c r="C1347" s="19" t="n"/>
      <c r="D1347" s="19" t="n"/>
      <c r="E1347" s="19" t="n"/>
      <c r="F1347" s="20" t="n"/>
      <c r="G1347" s="20" t="n"/>
      <c r="H1347" s="20" t="n"/>
      <c r="I1347" s="19" t="n"/>
      <c r="J1347">
        <f>IFERROR(IF(C1347="","",C1347)&amp;"","")</f>
        <v/>
      </c>
      <c r="K1347">
        <f>IFERROR(IF(D1347="","",D1347)&amp;"","")</f>
        <v/>
      </c>
      <c r="L1347">
        <f>IFERROR(IF(I1347="","",I1347)&amp;"","")</f>
        <v/>
      </c>
      <c r="M1347">
        <f>IF(J1347="","",IFERROR(VALUE(SUBSTITUTE(SUBSTITUTE(IF(E1347="","",E1347)&amp;"","$",""),",","")),0))</f>
        <v/>
      </c>
      <c r="N1347" s="11">
        <f>IF(J1347="","",IFERROR(VALUE(SUBSTITUTE(SUBSTITUTE(IF(F1347="","",F1347)&amp;"","$",""),",","")),0))</f>
        <v/>
      </c>
      <c r="O1347" s="11">
        <f>IF(J1347="","",M1347*N1347)</f>
        <v/>
      </c>
      <c r="P1347">
        <f>IF(J1347="","",IF(L1347="",1,COUNTIF($L$2:$L$1501,L1347)))</f>
        <v/>
      </c>
      <c r="Q1347" s="11">
        <f>IF(J1347="","",IFERROR(VALUE(SUBSTITUTE(SUBSTITUTE(IF(G1347="","",G1347)&amp;"","$",""),",","")),0)/IF("No"="Yes",P1347,1))</f>
        <v/>
      </c>
      <c r="R1347" s="11">
        <f>IF(J1347="","",IFERROR(VALUE(SUBSTITUTE(SUBSTITUTE(IF(H1347="","",H1347)&amp;"","$",""),",","")),0)/IF("No"="Yes",P1347,1))</f>
        <v/>
      </c>
      <c r="S1347" s="11">
        <f>IF(J1347="","",O1347+Q1347-R1347)</f>
        <v/>
      </c>
      <c r="T1347">
        <f>IF(J1347="","",IFERROR(IF(K1347="",NA(),MATCH(K1347,Products!$B$5:$B$204,0)),IFERROR(MATCH(J1347,Products!$A$5:$A$204,0),"")))</f>
        <v/>
      </c>
      <c r="U1347">
        <f>IF(J1347="","",IF(T1347="","⚠ not in Products",INDEX(Products!$A$5:$A$204,T1347)))</f>
        <v/>
      </c>
      <c r="V1347" s="11">
        <f>IF(J1347="","",S1347*(IFERROR(INDEX(Settings!$B$5:$B$9,MATCH($B1347,Settings!$A$5:$A$9,0)),0)+IFERROR(INDEX(Settings!$E$5:$E$9,MATCH($B1347,Settings!$A$5:$A$9,0)),0)+IFERROR(INDEX(Settings!$G$5:$G$9,MATCH($B1347,Settings!$A$5:$A$9,0)),0))+(IFERROR(INDEX(Settings!$C$5:$C$9,MATCH($B1347,Settings!$A$5:$A$9,0)),0)+IFERROR(INDEX(Settings!$F$5:$F$9,MATCH($B1347,Settings!$A$5:$A$9,0)),0))/P1347+IFERROR(INDEX(Settings!$D$5:$D$9,MATCH($B1347,Settings!$A$5:$A$9,0)),0)*M1347)</f>
        <v/>
      </c>
      <c r="W1347" s="11">
        <f>IF(J1347="","",IF(T1347="",0,M1347*INDEX(Products!$I$5:$I$204,T1347)))</f>
        <v/>
      </c>
      <c r="X1347" s="11">
        <f>IF(J1347="","",IF(T1347="",0,S1347*INDEX(Products!$H$5:$H$204,T1347)))</f>
        <v/>
      </c>
      <c r="Y1347" s="11">
        <f>IF(J1347="","",S1347-V1347-W1347-X1347)</f>
        <v/>
      </c>
    </row>
    <row r="1348">
      <c r="A1348" s="19" t="n"/>
      <c r="B1348" s="19" t="n"/>
      <c r="C1348" s="19" t="n"/>
      <c r="D1348" s="19" t="n"/>
      <c r="E1348" s="19" t="n"/>
      <c r="F1348" s="20" t="n"/>
      <c r="G1348" s="20" t="n"/>
      <c r="H1348" s="20" t="n"/>
      <c r="I1348" s="19" t="n"/>
      <c r="J1348">
        <f>IFERROR(IF(C1348="","",C1348)&amp;"","")</f>
        <v/>
      </c>
      <c r="K1348">
        <f>IFERROR(IF(D1348="","",D1348)&amp;"","")</f>
        <v/>
      </c>
      <c r="L1348">
        <f>IFERROR(IF(I1348="","",I1348)&amp;"","")</f>
        <v/>
      </c>
      <c r="M1348">
        <f>IF(J1348="","",IFERROR(VALUE(SUBSTITUTE(SUBSTITUTE(IF(E1348="","",E1348)&amp;"","$",""),",","")),0))</f>
        <v/>
      </c>
      <c r="N1348" s="11">
        <f>IF(J1348="","",IFERROR(VALUE(SUBSTITUTE(SUBSTITUTE(IF(F1348="","",F1348)&amp;"","$",""),",","")),0))</f>
        <v/>
      </c>
      <c r="O1348" s="11">
        <f>IF(J1348="","",M1348*N1348)</f>
        <v/>
      </c>
      <c r="P1348">
        <f>IF(J1348="","",IF(L1348="",1,COUNTIF($L$2:$L$1501,L1348)))</f>
        <v/>
      </c>
      <c r="Q1348" s="11">
        <f>IF(J1348="","",IFERROR(VALUE(SUBSTITUTE(SUBSTITUTE(IF(G1348="","",G1348)&amp;"","$",""),",","")),0)/IF("No"="Yes",P1348,1))</f>
        <v/>
      </c>
      <c r="R1348" s="11">
        <f>IF(J1348="","",IFERROR(VALUE(SUBSTITUTE(SUBSTITUTE(IF(H1348="","",H1348)&amp;"","$",""),",","")),0)/IF("No"="Yes",P1348,1))</f>
        <v/>
      </c>
      <c r="S1348" s="11">
        <f>IF(J1348="","",O1348+Q1348-R1348)</f>
        <v/>
      </c>
      <c r="T1348">
        <f>IF(J1348="","",IFERROR(IF(K1348="",NA(),MATCH(K1348,Products!$B$5:$B$204,0)),IFERROR(MATCH(J1348,Products!$A$5:$A$204,0),"")))</f>
        <v/>
      </c>
      <c r="U1348">
        <f>IF(J1348="","",IF(T1348="","⚠ not in Products",INDEX(Products!$A$5:$A$204,T1348)))</f>
        <v/>
      </c>
      <c r="V1348" s="11">
        <f>IF(J1348="","",S1348*(IFERROR(INDEX(Settings!$B$5:$B$9,MATCH($B1348,Settings!$A$5:$A$9,0)),0)+IFERROR(INDEX(Settings!$E$5:$E$9,MATCH($B1348,Settings!$A$5:$A$9,0)),0)+IFERROR(INDEX(Settings!$G$5:$G$9,MATCH($B1348,Settings!$A$5:$A$9,0)),0))+(IFERROR(INDEX(Settings!$C$5:$C$9,MATCH($B1348,Settings!$A$5:$A$9,0)),0)+IFERROR(INDEX(Settings!$F$5:$F$9,MATCH($B1348,Settings!$A$5:$A$9,0)),0))/P1348+IFERROR(INDEX(Settings!$D$5:$D$9,MATCH($B1348,Settings!$A$5:$A$9,0)),0)*M1348)</f>
        <v/>
      </c>
      <c r="W1348" s="11">
        <f>IF(J1348="","",IF(T1348="",0,M1348*INDEX(Products!$I$5:$I$204,T1348)))</f>
        <v/>
      </c>
      <c r="X1348" s="11">
        <f>IF(J1348="","",IF(T1348="",0,S1348*INDEX(Products!$H$5:$H$204,T1348)))</f>
        <v/>
      </c>
      <c r="Y1348" s="11">
        <f>IF(J1348="","",S1348-V1348-W1348-X1348)</f>
        <v/>
      </c>
    </row>
    <row r="1349">
      <c r="A1349" s="19" t="n"/>
      <c r="B1349" s="19" t="n"/>
      <c r="C1349" s="19" t="n"/>
      <c r="D1349" s="19" t="n"/>
      <c r="E1349" s="19" t="n"/>
      <c r="F1349" s="20" t="n"/>
      <c r="G1349" s="20" t="n"/>
      <c r="H1349" s="20" t="n"/>
      <c r="I1349" s="19" t="n"/>
      <c r="J1349">
        <f>IFERROR(IF(C1349="","",C1349)&amp;"","")</f>
        <v/>
      </c>
      <c r="K1349">
        <f>IFERROR(IF(D1349="","",D1349)&amp;"","")</f>
        <v/>
      </c>
      <c r="L1349">
        <f>IFERROR(IF(I1349="","",I1349)&amp;"","")</f>
        <v/>
      </c>
      <c r="M1349">
        <f>IF(J1349="","",IFERROR(VALUE(SUBSTITUTE(SUBSTITUTE(IF(E1349="","",E1349)&amp;"","$",""),",","")),0))</f>
        <v/>
      </c>
      <c r="N1349" s="11">
        <f>IF(J1349="","",IFERROR(VALUE(SUBSTITUTE(SUBSTITUTE(IF(F1349="","",F1349)&amp;"","$",""),",","")),0))</f>
        <v/>
      </c>
      <c r="O1349" s="11">
        <f>IF(J1349="","",M1349*N1349)</f>
        <v/>
      </c>
      <c r="P1349">
        <f>IF(J1349="","",IF(L1349="",1,COUNTIF($L$2:$L$1501,L1349)))</f>
        <v/>
      </c>
      <c r="Q1349" s="11">
        <f>IF(J1349="","",IFERROR(VALUE(SUBSTITUTE(SUBSTITUTE(IF(G1349="","",G1349)&amp;"","$",""),",","")),0)/IF("No"="Yes",P1349,1))</f>
        <v/>
      </c>
      <c r="R1349" s="11">
        <f>IF(J1349="","",IFERROR(VALUE(SUBSTITUTE(SUBSTITUTE(IF(H1349="","",H1349)&amp;"","$",""),",","")),0)/IF("No"="Yes",P1349,1))</f>
        <v/>
      </c>
      <c r="S1349" s="11">
        <f>IF(J1349="","",O1349+Q1349-R1349)</f>
        <v/>
      </c>
      <c r="T1349">
        <f>IF(J1349="","",IFERROR(IF(K1349="",NA(),MATCH(K1349,Products!$B$5:$B$204,0)),IFERROR(MATCH(J1349,Products!$A$5:$A$204,0),"")))</f>
        <v/>
      </c>
      <c r="U1349">
        <f>IF(J1349="","",IF(T1349="","⚠ not in Products",INDEX(Products!$A$5:$A$204,T1349)))</f>
        <v/>
      </c>
      <c r="V1349" s="11">
        <f>IF(J1349="","",S1349*(IFERROR(INDEX(Settings!$B$5:$B$9,MATCH($B1349,Settings!$A$5:$A$9,0)),0)+IFERROR(INDEX(Settings!$E$5:$E$9,MATCH($B1349,Settings!$A$5:$A$9,0)),0)+IFERROR(INDEX(Settings!$G$5:$G$9,MATCH($B1349,Settings!$A$5:$A$9,0)),0))+(IFERROR(INDEX(Settings!$C$5:$C$9,MATCH($B1349,Settings!$A$5:$A$9,0)),0)+IFERROR(INDEX(Settings!$F$5:$F$9,MATCH($B1349,Settings!$A$5:$A$9,0)),0))/P1349+IFERROR(INDEX(Settings!$D$5:$D$9,MATCH($B1349,Settings!$A$5:$A$9,0)),0)*M1349)</f>
        <v/>
      </c>
      <c r="W1349" s="11">
        <f>IF(J1349="","",IF(T1349="",0,M1349*INDEX(Products!$I$5:$I$204,T1349)))</f>
        <v/>
      </c>
      <c r="X1349" s="11">
        <f>IF(J1349="","",IF(T1349="",0,S1349*INDEX(Products!$H$5:$H$204,T1349)))</f>
        <v/>
      </c>
      <c r="Y1349" s="11">
        <f>IF(J1349="","",S1349-V1349-W1349-X1349)</f>
        <v/>
      </c>
    </row>
    <row r="1350">
      <c r="A1350" s="19" t="n"/>
      <c r="B1350" s="19" t="n"/>
      <c r="C1350" s="19" t="n"/>
      <c r="D1350" s="19" t="n"/>
      <c r="E1350" s="19" t="n"/>
      <c r="F1350" s="20" t="n"/>
      <c r="G1350" s="20" t="n"/>
      <c r="H1350" s="20" t="n"/>
      <c r="I1350" s="19" t="n"/>
      <c r="J1350">
        <f>IFERROR(IF(C1350="","",C1350)&amp;"","")</f>
        <v/>
      </c>
      <c r="K1350">
        <f>IFERROR(IF(D1350="","",D1350)&amp;"","")</f>
        <v/>
      </c>
      <c r="L1350">
        <f>IFERROR(IF(I1350="","",I1350)&amp;"","")</f>
        <v/>
      </c>
      <c r="M1350">
        <f>IF(J1350="","",IFERROR(VALUE(SUBSTITUTE(SUBSTITUTE(IF(E1350="","",E1350)&amp;"","$",""),",","")),0))</f>
        <v/>
      </c>
      <c r="N1350" s="11">
        <f>IF(J1350="","",IFERROR(VALUE(SUBSTITUTE(SUBSTITUTE(IF(F1350="","",F1350)&amp;"","$",""),",","")),0))</f>
        <v/>
      </c>
      <c r="O1350" s="11">
        <f>IF(J1350="","",M1350*N1350)</f>
        <v/>
      </c>
      <c r="P1350">
        <f>IF(J1350="","",IF(L1350="",1,COUNTIF($L$2:$L$1501,L1350)))</f>
        <v/>
      </c>
      <c r="Q1350" s="11">
        <f>IF(J1350="","",IFERROR(VALUE(SUBSTITUTE(SUBSTITUTE(IF(G1350="","",G1350)&amp;"","$",""),",","")),0)/IF("No"="Yes",P1350,1))</f>
        <v/>
      </c>
      <c r="R1350" s="11">
        <f>IF(J1350="","",IFERROR(VALUE(SUBSTITUTE(SUBSTITUTE(IF(H1350="","",H1350)&amp;"","$",""),",","")),0)/IF("No"="Yes",P1350,1))</f>
        <v/>
      </c>
      <c r="S1350" s="11">
        <f>IF(J1350="","",O1350+Q1350-R1350)</f>
        <v/>
      </c>
      <c r="T1350">
        <f>IF(J1350="","",IFERROR(IF(K1350="",NA(),MATCH(K1350,Products!$B$5:$B$204,0)),IFERROR(MATCH(J1350,Products!$A$5:$A$204,0),"")))</f>
        <v/>
      </c>
      <c r="U1350">
        <f>IF(J1350="","",IF(T1350="","⚠ not in Products",INDEX(Products!$A$5:$A$204,T1350)))</f>
        <v/>
      </c>
      <c r="V1350" s="11">
        <f>IF(J1350="","",S1350*(IFERROR(INDEX(Settings!$B$5:$B$9,MATCH($B1350,Settings!$A$5:$A$9,0)),0)+IFERROR(INDEX(Settings!$E$5:$E$9,MATCH($B1350,Settings!$A$5:$A$9,0)),0)+IFERROR(INDEX(Settings!$G$5:$G$9,MATCH($B1350,Settings!$A$5:$A$9,0)),0))+(IFERROR(INDEX(Settings!$C$5:$C$9,MATCH($B1350,Settings!$A$5:$A$9,0)),0)+IFERROR(INDEX(Settings!$F$5:$F$9,MATCH($B1350,Settings!$A$5:$A$9,0)),0))/P1350+IFERROR(INDEX(Settings!$D$5:$D$9,MATCH($B1350,Settings!$A$5:$A$9,0)),0)*M1350)</f>
        <v/>
      </c>
      <c r="W1350" s="11">
        <f>IF(J1350="","",IF(T1350="",0,M1350*INDEX(Products!$I$5:$I$204,T1350)))</f>
        <v/>
      </c>
      <c r="X1350" s="11">
        <f>IF(J1350="","",IF(T1350="",0,S1350*INDEX(Products!$H$5:$H$204,T1350)))</f>
        <v/>
      </c>
      <c r="Y1350" s="11">
        <f>IF(J1350="","",S1350-V1350-W1350-X1350)</f>
        <v/>
      </c>
    </row>
    <row r="1351">
      <c r="A1351" s="19" t="n"/>
      <c r="B1351" s="19" t="n"/>
      <c r="C1351" s="19" t="n"/>
      <c r="D1351" s="19" t="n"/>
      <c r="E1351" s="19" t="n"/>
      <c r="F1351" s="20" t="n"/>
      <c r="G1351" s="20" t="n"/>
      <c r="H1351" s="20" t="n"/>
      <c r="I1351" s="19" t="n"/>
      <c r="J1351">
        <f>IFERROR(IF(C1351="","",C1351)&amp;"","")</f>
        <v/>
      </c>
      <c r="K1351">
        <f>IFERROR(IF(D1351="","",D1351)&amp;"","")</f>
        <v/>
      </c>
      <c r="L1351">
        <f>IFERROR(IF(I1351="","",I1351)&amp;"","")</f>
        <v/>
      </c>
      <c r="M1351">
        <f>IF(J1351="","",IFERROR(VALUE(SUBSTITUTE(SUBSTITUTE(IF(E1351="","",E1351)&amp;"","$",""),",","")),0))</f>
        <v/>
      </c>
      <c r="N1351" s="11">
        <f>IF(J1351="","",IFERROR(VALUE(SUBSTITUTE(SUBSTITUTE(IF(F1351="","",F1351)&amp;"","$",""),",","")),0))</f>
        <v/>
      </c>
      <c r="O1351" s="11">
        <f>IF(J1351="","",M1351*N1351)</f>
        <v/>
      </c>
      <c r="P1351">
        <f>IF(J1351="","",IF(L1351="",1,COUNTIF($L$2:$L$1501,L1351)))</f>
        <v/>
      </c>
      <c r="Q1351" s="11">
        <f>IF(J1351="","",IFERROR(VALUE(SUBSTITUTE(SUBSTITUTE(IF(G1351="","",G1351)&amp;"","$",""),",","")),0)/IF("No"="Yes",P1351,1))</f>
        <v/>
      </c>
      <c r="R1351" s="11">
        <f>IF(J1351="","",IFERROR(VALUE(SUBSTITUTE(SUBSTITUTE(IF(H1351="","",H1351)&amp;"","$",""),",","")),0)/IF("No"="Yes",P1351,1))</f>
        <v/>
      </c>
      <c r="S1351" s="11">
        <f>IF(J1351="","",O1351+Q1351-R1351)</f>
        <v/>
      </c>
      <c r="T1351">
        <f>IF(J1351="","",IFERROR(IF(K1351="",NA(),MATCH(K1351,Products!$B$5:$B$204,0)),IFERROR(MATCH(J1351,Products!$A$5:$A$204,0),"")))</f>
        <v/>
      </c>
      <c r="U1351">
        <f>IF(J1351="","",IF(T1351="","⚠ not in Products",INDEX(Products!$A$5:$A$204,T1351)))</f>
        <v/>
      </c>
      <c r="V1351" s="11">
        <f>IF(J1351="","",S1351*(IFERROR(INDEX(Settings!$B$5:$B$9,MATCH($B1351,Settings!$A$5:$A$9,0)),0)+IFERROR(INDEX(Settings!$E$5:$E$9,MATCH($B1351,Settings!$A$5:$A$9,0)),0)+IFERROR(INDEX(Settings!$G$5:$G$9,MATCH($B1351,Settings!$A$5:$A$9,0)),0))+(IFERROR(INDEX(Settings!$C$5:$C$9,MATCH($B1351,Settings!$A$5:$A$9,0)),0)+IFERROR(INDEX(Settings!$F$5:$F$9,MATCH($B1351,Settings!$A$5:$A$9,0)),0))/P1351+IFERROR(INDEX(Settings!$D$5:$D$9,MATCH($B1351,Settings!$A$5:$A$9,0)),0)*M1351)</f>
        <v/>
      </c>
      <c r="W1351" s="11">
        <f>IF(J1351="","",IF(T1351="",0,M1351*INDEX(Products!$I$5:$I$204,T1351)))</f>
        <v/>
      </c>
      <c r="X1351" s="11">
        <f>IF(J1351="","",IF(T1351="",0,S1351*INDEX(Products!$H$5:$H$204,T1351)))</f>
        <v/>
      </c>
      <c r="Y1351" s="11">
        <f>IF(J1351="","",S1351-V1351-W1351-X1351)</f>
        <v/>
      </c>
    </row>
    <row r="1352">
      <c r="A1352" s="19" t="n"/>
      <c r="B1352" s="19" t="n"/>
      <c r="C1352" s="19" t="n"/>
      <c r="D1352" s="19" t="n"/>
      <c r="E1352" s="19" t="n"/>
      <c r="F1352" s="20" t="n"/>
      <c r="G1352" s="20" t="n"/>
      <c r="H1352" s="20" t="n"/>
      <c r="I1352" s="19" t="n"/>
      <c r="J1352">
        <f>IFERROR(IF(C1352="","",C1352)&amp;"","")</f>
        <v/>
      </c>
      <c r="K1352">
        <f>IFERROR(IF(D1352="","",D1352)&amp;"","")</f>
        <v/>
      </c>
      <c r="L1352">
        <f>IFERROR(IF(I1352="","",I1352)&amp;"","")</f>
        <v/>
      </c>
      <c r="M1352">
        <f>IF(J1352="","",IFERROR(VALUE(SUBSTITUTE(SUBSTITUTE(IF(E1352="","",E1352)&amp;"","$",""),",","")),0))</f>
        <v/>
      </c>
      <c r="N1352" s="11">
        <f>IF(J1352="","",IFERROR(VALUE(SUBSTITUTE(SUBSTITUTE(IF(F1352="","",F1352)&amp;"","$",""),",","")),0))</f>
        <v/>
      </c>
      <c r="O1352" s="11">
        <f>IF(J1352="","",M1352*N1352)</f>
        <v/>
      </c>
      <c r="P1352">
        <f>IF(J1352="","",IF(L1352="",1,COUNTIF($L$2:$L$1501,L1352)))</f>
        <v/>
      </c>
      <c r="Q1352" s="11">
        <f>IF(J1352="","",IFERROR(VALUE(SUBSTITUTE(SUBSTITUTE(IF(G1352="","",G1352)&amp;"","$",""),",","")),0)/IF("No"="Yes",P1352,1))</f>
        <v/>
      </c>
      <c r="R1352" s="11">
        <f>IF(J1352="","",IFERROR(VALUE(SUBSTITUTE(SUBSTITUTE(IF(H1352="","",H1352)&amp;"","$",""),",","")),0)/IF("No"="Yes",P1352,1))</f>
        <v/>
      </c>
      <c r="S1352" s="11">
        <f>IF(J1352="","",O1352+Q1352-R1352)</f>
        <v/>
      </c>
      <c r="T1352">
        <f>IF(J1352="","",IFERROR(IF(K1352="",NA(),MATCH(K1352,Products!$B$5:$B$204,0)),IFERROR(MATCH(J1352,Products!$A$5:$A$204,0),"")))</f>
        <v/>
      </c>
      <c r="U1352">
        <f>IF(J1352="","",IF(T1352="","⚠ not in Products",INDEX(Products!$A$5:$A$204,T1352)))</f>
        <v/>
      </c>
      <c r="V1352" s="11">
        <f>IF(J1352="","",S1352*(IFERROR(INDEX(Settings!$B$5:$B$9,MATCH($B1352,Settings!$A$5:$A$9,0)),0)+IFERROR(INDEX(Settings!$E$5:$E$9,MATCH($B1352,Settings!$A$5:$A$9,0)),0)+IFERROR(INDEX(Settings!$G$5:$G$9,MATCH($B1352,Settings!$A$5:$A$9,0)),0))+(IFERROR(INDEX(Settings!$C$5:$C$9,MATCH($B1352,Settings!$A$5:$A$9,0)),0)+IFERROR(INDEX(Settings!$F$5:$F$9,MATCH($B1352,Settings!$A$5:$A$9,0)),0))/P1352+IFERROR(INDEX(Settings!$D$5:$D$9,MATCH($B1352,Settings!$A$5:$A$9,0)),0)*M1352)</f>
        <v/>
      </c>
      <c r="W1352" s="11">
        <f>IF(J1352="","",IF(T1352="",0,M1352*INDEX(Products!$I$5:$I$204,T1352)))</f>
        <v/>
      </c>
      <c r="X1352" s="11">
        <f>IF(J1352="","",IF(T1352="",0,S1352*INDEX(Products!$H$5:$H$204,T1352)))</f>
        <v/>
      </c>
      <c r="Y1352" s="11">
        <f>IF(J1352="","",S1352-V1352-W1352-X1352)</f>
        <v/>
      </c>
    </row>
    <row r="1353">
      <c r="A1353" s="19" t="n"/>
      <c r="B1353" s="19" t="n"/>
      <c r="C1353" s="19" t="n"/>
      <c r="D1353" s="19" t="n"/>
      <c r="E1353" s="19" t="n"/>
      <c r="F1353" s="20" t="n"/>
      <c r="G1353" s="20" t="n"/>
      <c r="H1353" s="20" t="n"/>
      <c r="I1353" s="19" t="n"/>
      <c r="J1353">
        <f>IFERROR(IF(C1353="","",C1353)&amp;"","")</f>
        <v/>
      </c>
      <c r="K1353">
        <f>IFERROR(IF(D1353="","",D1353)&amp;"","")</f>
        <v/>
      </c>
      <c r="L1353">
        <f>IFERROR(IF(I1353="","",I1353)&amp;"","")</f>
        <v/>
      </c>
      <c r="M1353">
        <f>IF(J1353="","",IFERROR(VALUE(SUBSTITUTE(SUBSTITUTE(IF(E1353="","",E1353)&amp;"","$",""),",","")),0))</f>
        <v/>
      </c>
      <c r="N1353" s="11">
        <f>IF(J1353="","",IFERROR(VALUE(SUBSTITUTE(SUBSTITUTE(IF(F1353="","",F1353)&amp;"","$",""),",","")),0))</f>
        <v/>
      </c>
      <c r="O1353" s="11">
        <f>IF(J1353="","",M1353*N1353)</f>
        <v/>
      </c>
      <c r="P1353">
        <f>IF(J1353="","",IF(L1353="",1,COUNTIF($L$2:$L$1501,L1353)))</f>
        <v/>
      </c>
      <c r="Q1353" s="11">
        <f>IF(J1353="","",IFERROR(VALUE(SUBSTITUTE(SUBSTITUTE(IF(G1353="","",G1353)&amp;"","$",""),",","")),0)/IF("No"="Yes",P1353,1))</f>
        <v/>
      </c>
      <c r="R1353" s="11">
        <f>IF(J1353="","",IFERROR(VALUE(SUBSTITUTE(SUBSTITUTE(IF(H1353="","",H1353)&amp;"","$",""),",","")),0)/IF("No"="Yes",P1353,1))</f>
        <v/>
      </c>
      <c r="S1353" s="11">
        <f>IF(J1353="","",O1353+Q1353-R1353)</f>
        <v/>
      </c>
      <c r="T1353">
        <f>IF(J1353="","",IFERROR(IF(K1353="",NA(),MATCH(K1353,Products!$B$5:$B$204,0)),IFERROR(MATCH(J1353,Products!$A$5:$A$204,0),"")))</f>
        <v/>
      </c>
      <c r="U1353">
        <f>IF(J1353="","",IF(T1353="","⚠ not in Products",INDEX(Products!$A$5:$A$204,T1353)))</f>
        <v/>
      </c>
      <c r="V1353" s="11">
        <f>IF(J1353="","",S1353*(IFERROR(INDEX(Settings!$B$5:$B$9,MATCH($B1353,Settings!$A$5:$A$9,0)),0)+IFERROR(INDEX(Settings!$E$5:$E$9,MATCH($B1353,Settings!$A$5:$A$9,0)),0)+IFERROR(INDEX(Settings!$G$5:$G$9,MATCH($B1353,Settings!$A$5:$A$9,0)),0))+(IFERROR(INDEX(Settings!$C$5:$C$9,MATCH($B1353,Settings!$A$5:$A$9,0)),0)+IFERROR(INDEX(Settings!$F$5:$F$9,MATCH($B1353,Settings!$A$5:$A$9,0)),0))/P1353+IFERROR(INDEX(Settings!$D$5:$D$9,MATCH($B1353,Settings!$A$5:$A$9,0)),0)*M1353)</f>
        <v/>
      </c>
      <c r="W1353" s="11">
        <f>IF(J1353="","",IF(T1353="",0,M1353*INDEX(Products!$I$5:$I$204,T1353)))</f>
        <v/>
      </c>
      <c r="X1353" s="11">
        <f>IF(J1353="","",IF(T1353="",0,S1353*INDEX(Products!$H$5:$H$204,T1353)))</f>
        <v/>
      </c>
      <c r="Y1353" s="11">
        <f>IF(J1353="","",S1353-V1353-W1353-X1353)</f>
        <v/>
      </c>
    </row>
    <row r="1354">
      <c r="A1354" s="19" t="n"/>
      <c r="B1354" s="19" t="n"/>
      <c r="C1354" s="19" t="n"/>
      <c r="D1354" s="19" t="n"/>
      <c r="E1354" s="19" t="n"/>
      <c r="F1354" s="20" t="n"/>
      <c r="G1354" s="20" t="n"/>
      <c r="H1354" s="20" t="n"/>
      <c r="I1354" s="19" t="n"/>
      <c r="J1354">
        <f>IFERROR(IF(C1354="","",C1354)&amp;"","")</f>
        <v/>
      </c>
      <c r="K1354">
        <f>IFERROR(IF(D1354="","",D1354)&amp;"","")</f>
        <v/>
      </c>
      <c r="L1354">
        <f>IFERROR(IF(I1354="","",I1354)&amp;"","")</f>
        <v/>
      </c>
      <c r="M1354">
        <f>IF(J1354="","",IFERROR(VALUE(SUBSTITUTE(SUBSTITUTE(IF(E1354="","",E1354)&amp;"","$",""),",","")),0))</f>
        <v/>
      </c>
      <c r="N1354" s="11">
        <f>IF(J1354="","",IFERROR(VALUE(SUBSTITUTE(SUBSTITUTE(IF(F1354="","",F1354)&amp;"","$",""),",","")),0))</f>
        <v/>
      </c>
      <c r="O1354" s="11">
        <f>IF(J1354="","",M1354*N1354)</f>
        <v/>
      </c>
      <c r="P1354">
        <f>IF(J1354="","",IF(L1354="",1,COUNTIF($L$2:$L$1501,L1354)))</f>
        <v/>
      </c>
      <c r="Q1354" s="11">
        <f>IF(J1354="","",IFERROR(VALUE(SUBSTITUTE(SUBSTITUTE(IF(G1354="","",G1354)&amp;"","$",""),",","")),0)/IF("No"="Yes",P1354,1))</f>
        <v/>
      </c>
      <c r="R1354" s="11">
        <f>IF(J1354="","",IFERROR(VALUE(SUBSTITUTE(SUBSTITUTE(IF(H1354="","",H1354)&amp;"","$",""),",","")),0)/IF("No"="Yes",P1354,1))</f>
        <v/>
      </c>
      <c r="S1354" s="11">
        <f>IF(J1354="","",O1354+Q1354-R1354)</f>
        <v/>
      </c>
      <c r="T1354">
        <f>IF(J1354="","",IFERROR(IF(K1354="",NA(),MATCH(K1354,Products!$B$5:$B$204,0)),IFERROR(MATCH(J1354,Products!$A$5:$A$204,0),"")))</f>
        <v/>
      </c>
      <c r="U1354">
        <f>IF(J1354="","",IF(T1354="","⚠ not in Products",INDEX(Products!$A$5:$A$204,T1354)))</f>
        <v/>
      </c>
      <c r="V1354" s="11">
        <f>IF(J1354="","",S1354*(IFERROR(INDEX(Settings!$B$5:$B$9,MATCH($B1354,Settings!$A$5:$A$9,0)),0)+IFERROR(INDEX(Settings!$E$5:$E$9,MATCH($B1354,Settings!$A$5:$A$9,0)),0)+IFERROR(INDEX(Settings!$G$5:$G$9,MATCH($B1354,Settings!$A$5:$A$9,0)),0))+(IFERROR(INDEX(Settings!$C$5:$C$9,MATCH($B1354,Settings!$A$5:$A$9,0)),0)+IFERROR(INDEX(Settings!$F$5:$F$9,MATCH($B1354,Settings!$A$5:$A$9,0)),0))/P1354+IFERROR(INDEX(Settings!$D$5:$D$9,MATCH($B1354,Settings!$A$5:$A$9,0)),0)*M1354)</f>
        <v/>
      </c>
      <c r="W1354" s="11">
        <f>IF(J1354="","",IF(T1354="",0,M1354*INDEX(Products!$I$5:$I$204,T1354)))</f>
        <v/>
      </c>
      <c r="X1354" s="11">
        <f>IF(J1354="","",IF(T1354="",0,S1354*INDEX(Products!$H$5:$H$204,T1354)))</f>
        <v/>
      </c>
      <c r="Y1354" s="11">
        <f>IF(J1354="","",S1354-V1354-W1354-X1354)</f>
        <v/>
      </c>
    </row>
    <row r="1355">
      <c r="A1355" s="19" t="n"/>
      <c r="B1355" s="19" t="n"/>
      <c r="C1355" s="19" t="n"/>
      <c r="D1355" s="19" t="n"/>
      <c r="E1355" s="19" t="n"/>
      <c r="F1355" s="20" t="n"/>
      <c r="G1355" s="20" t="n"/>
      <c r="H1355" s="20" t="n"/>
      <c r="I1355" s="19" t="n"/>
      <c r="J1355">
        <f>IFERROR(IF(C1355="","",C1355)&amp;"","")</f>
        <v/>
      </c>
      <c r="K1355">
        <f>IFERROR(IF(D1355="","",D1355)&amp;"","")</f>
        <v/>
      </c>
      <c r="L1355">
        <f>IFERROR(IF(I1355="","",I1355)&amp;"","")</f>
        <v/>
      </c>
      <c r="M1355">
        <f>IF(J1355="","",IFERROR(VALUE(SUBSTITUTE(SUBSTITUTE(IF(E1355="","",E1355)&amp;"","$",""),",","")),0))</f>
        <v/>
      </c>
      <c r="N1355" s="11">
        <f>IF(J1355="","",IFERROR(VALUE(SUBSTITUTE(SUBSTITUTE(IF(F1355="","",F1355)&amp;"","$",""),",","")),0))</f>
        <v/>
      </c>
      <c r="O1355" s="11">
        <f>IF(J1355="","",M1355*N1355)</f>
        <v/>
      </c>
      <c r="P1355">
        <f>IF(J1355="","",IF(L1355="",1,COUNTIF($L$2:$L$1501,L1355)))</f>
        <v/>
      </c>
      <c r="Q1355" s="11">
        <f>IF(J1355="","",IFERROR(VALUE(SUBSTITUTE(SUBSTITUTE(IF(G1355="","",G1355)&amp;"","$",""),",","")),0)/IF("No"="Yes",P1355,1))</f>
        <v/>
      </c>
      <c r="R1355" s="11">
        <f>IF(J1355="","",IFERROR(VALUE(SUBSTITUTE(SUBSTITUTE(IF(H1355="","",H1355)&amp;"","$",""),",","")),0)/IF("No"="Yes",P1355,1))</f>
        <v/>
      </c>
      <c r="S1355" s="11">
        <f>IF(J1355="","",O1355+Q1355-R1355)</f>
        <v/>
      </c>
      <c r="T1355">
        <f>IF(J1355="","",IFERROR(IF(K1355="",NA(),MATCH(K1355,Products!$B$5:$B$204,0)),IFERROR(MATCH(J1355,Products!$A$5:$A$204,0),"")))</f>
        <v/>
      </c>
      <c r="U1355">
        <f>IF(J1355="","",IF(T1355="","⚠ not in Products",INDEX(Products!$A$5:$A$204,T1355)))</f>
        <v/>
      </c>
      <c r="V1355" s="11">
        <f>IF(J1355="","",S1355*(IFERROR(INDEX(Settings!$B$5:$B$9,MATCH($B1355,Settings!$A$5:$A$9,0)),0)+IFERROR(INDEX(Settings!$E$5:$E$9,MATCH($B1355,Settings!$A$5:$A$9,0)),0)+IFERROR(INDEX(Settings!$G$5:$G$9,MATCH($B1355,Settings!$A$5:$A$9,0)),0))+(IFERROR(INDEX(Settings!$C$5:$C$9,MATCH($B1355,Settings!$A$5:$A$9,0)),0)+IFERROR(INDEX(Settings!$F$5:$F$9,MATCH($B1355,Settings!$A$5:$A$9,0)),0))/P1355+IFERROR(INDEX(Settings!$D$5:$D$9,MATCH($B1355,Settings!$A$5:$A$9,0)),0)*M1355)</f>
        <v/>
      </c>
      <c r="W1355" s="11">
        <f>IF(J1355="","",IF(T1355="",0,M1355*INDEX(Products!$I$5:$I$204,T1355)))</f>
        <v/>
      </c>
      <c r="X1355" s="11">
        <f>IF(J1355="","",IF(T1355="",0,S1355*INDEX(Products!$H$5:$H$204,T1355)))</f>
        <v/>
      </c>
      <c r="Y1355" s="11">
        <f>IF(J1355="","",S1355-V1355-W1355-X1355)</f>
        <v/>
      </c>
    </row>
    <row r="1356">
      <c r="A1356" s="19" t="n"/>
      <c r="B1356" s="19" t="n"/>
      <c r="C1356" s="19" t="n"/>
      <c r="D1356" s="19" t="n"/>
      <c r="E1356" s="19" t="n"/>
      <c r="F1356" s="20" t="n"/>
      <c r="G1356" s="20" t="n"/>
      <c r="H1356" s="20" t="n"/>
      <c r="I1356" s="19" t="n"/>
      <c r="J1356">
        <f>IFERROR(IF(C1356="","",C1356)&amp;"","")</f>
        <v/>
      </c>
      <c r="K1356">
        <f>IFERROR(IF(D1356="","",D1356)&amp;"","")</f>
        <v/>
      </c>
      <c r="L1356">
        <f>IFERROR(IF(I1356="","",I1356)&amp;"","")</f>
        <v/>
      </c>
      <c r="M1356">
        <f>IF(J1356="","",IFERROR(VALUE(SUBSTITUTE(SUBSTITUTE(IF(E1356="","",E1356)&amp;"","$",""),",","")),0))</f>
        <v/>
      </c>
      <c r="N1356" s="11">
        <f>IF(J1356="","",IFERROR(VALUE(SUBSTITUTE(SUBSTITUTE(IF(F1356="","",F1356)&amp;"","$",""),",","")),0))</f>
        <v/>
      </c>
      <c r="O1356" s="11">
        <f>IF(J1356="","",M1356*N1356)</f>
        <v/>
      </c>
      <c r="P1356">
        <f>IF(J1356="","",IF(L1356="",1,COUNTIF($L$2:$L$1501,L1356)))</f>
        <v/>
      </c>
      <c r="Q1356" s="11">
        <f>IF(J1356="","",IFERROR(VALUE(SUBSTITUTE(SUBSTITUTE(IF(G1356="","",G1356)&amp;"","$",""),",","")),0)/IF("No"="Yes",P1356,1))</f>
        <v/>
      </c>
      <c r="R1356" s="11">
        <f>IF(J1356="","",IFERROR(VALUE(SUBSTITUTE(SUBSTITUTE(IF(H1356="","",H1356)&amp;"","$",""),",","")),0)/IF("No"="Yes",P1356,1))</f>
        <v/>
      </c>
      <c r="S1356" s="11">
        <f>IF(J1356="","",O1356+Q1356-R1356)</f>
        <v/>
      </c>
      <c r="T1356">
        <f>IF(J1356="","",IFERROR(IF(K1356="",NA(),MATCH(K1356,Products!$B$5:$B$204,0)),IFERROR(MATCH(J1356,Products!$A$5:$A$204,0),"")))</f>
        <v/>
      </c>
      <c r="U1356">
        <f>IF(J1356="","",IF(T1356="","⚠ not in Products",INDEX(Products!$A$5:$A$204,T1356)))</f>
        <v/>
      </c>
      <c r="V1356" s="11">
        <f>IF(J1356="","",S1356*(IFERROR(INDEX(Settings!$B$5:$B$9,MATCH($B1356,Settings!$A$5:$A$9,0)),0)+IFERROR(INDEX(Settings!$E$5:$E$9,MATCH($B1356,Settings!$A$5:$A$9,0)),0)+IFERROR(INDEX(Settings!$G$5:$G$9,MATCH($B1356,Settings!$A$5:$A$9,0)),0))+(IFERROR(INDEX(Settings!$C$5:$C$9,MATCH($B1356,Settings!$A$5:$A$9,0)),0)+IFERROR(INDEX(Settings!$F$5:$F$9,MATCH($B1356,Settings!$A$5:$A$9,0)),0))/P1356+IFERROR(INDEX(Settings!$D$5:$D$9,MATCH($B1356,Settings!$A$5:$A$9,0)),0)*M1356)</f>
        <v/>
      </c>
      <c r="W1356" s="11">
        <f>IF(J1356="","",IF(T1356="",0,M1356*INDEX(Products!$I$5:$I$204,T1356)))</f>
        <v/>
      </c>
      <c r="X1356" s="11">
        <f>IF(J1356="","",IF(T1356="",0,S1356*INDEX(Products!$H$5:$H$204,T1356)))</f>
        <v/>
      </c>
      <c r="Y1356" s="11">
        <f>IF(J1356="","",S1356-V1356-W1356-X1356)</f>
        <v/>
      </c>
    </row>
    <row r="1357">
      <c r="A1357" s="19" t="n"/>
      <c r="B1357" s="19" t="n"/>
      <c r="C1357" s="19" t="n"/>
      <c r="D1357" s="19" t="n"/>
      <c r="E1357" s="19" t="n"/>
      <c r="F1357" s="20" t="n"/>
      <c r="G1357" s="20" t="n"/>
      <c r="H1357" s="20" t="n"/>
      <c r="I1357" s="19" t="n"/>
      <c r="J1357">
        <f>IFERROR(IF(C1357="","",C1357)&amp;"","")</f>
        <v/>
      </c>
      <c r="K1357">
        <f>IFERROR(IF(D1357="","",D1357)&amp;"","")</f>
        <v/>
      </c>
      <c r="L1357">
        <f>IFERROR(IF(I1357="","",I1357)&amp;"","")</f>
        <v/>
      </c>
      <c r="M1357">
        <f>IF(J1357="","",IFERROR(VALUE(SUBSTITUTE(SUBSTITUTE(IF(E1357="","",E1357)&amp;"","$",""),",","")),0))</f>
        <v/>
      </c>
      <c r="N1357" s="11">
        <f>IF(J1357="","",IFERROR(VALUE(SUBSTITUTE(SUBSTITUTE(IF(F1357="","",F1357)&amp;"","$",""),",","")),0))</f>
        <v/>
      </c>
      <c r="O1357" s="11">
        <f>IF(J1357="","",M1357*N1357)</f>
        <v/>
      </c>
      <c r="P1357">
        <f>IF(J1357="","",IF(L1357="",1,COUNTIF($L$2:$L$1501,L1357)))</f>
        <v/>
      </c>
      <c r="Q1357" s="11">
        <f>IF(J1357="","",IFERROR(VALUE(SUBSTITUTE(SUBSTITUTE(IF(G1357="","",G1357)&amp;"","$",""),",","")),0)/IF("No"="Yes",P1357,1))</f>
        <v/>
      </c>
      <c r="R1357" s="11">
        <f>IF(J1357="","",IFERROR(VALUE(SUBSTITUTE(SUBSTITUTE(IF(H1357="","",H1357)&amp;"","$",""),",","")),0)/IF("No"="Yes",P1357,1))</f>
        <v/>
      </c>
      <c r="S1357" s="11">
        <f>IF(J1357="","",O1357+Q1357-R1357)</f>
        <v/>
      </c>
      <c r="T1357">
        <f>IF(J1357="","",IFERROR(IF(K1357="",NA(),MATCH(K1357,Products!$B$5:$B$204,0)),IFERROR(MATCH(J1357,Products!$A$5:$A$204,0),"")))</f>
        <v/>
      </c>
      <c r="U1357">
        <f>IF(J1357="","",IF(T1357="","⚠ not in Products",INDEX(Products!$A$5:$A$204,T1357)))</f>
        <v/>
      </c>
      <c r="V1357" s="11">
        <f>IF(J1357="","",S1357*(IFERROR(INDEX(Settings!$B$5:$B$9,MATCH($B1357,Settings!$A$5:$A$9,0)),0)+IFERROR(INDEX(Settings!$E$5:$E$9,MATCH($B1357,Settings!$A$5:$A$9,0)),0)+IFERROR(INDEX(Settings!$G$5:$G$9,MATCH($B1357,Settings!$A$5:$A$9,0)),0))+(IFERROR(INDEX(Settings!$C$5:$C$9,MATCH($B1357,Settings!$A$5:$A$9,0)),0)+IFERROR(INDEX(Settings!$F$5:$F$9,MATCH($B1357,Settings!$A$5:$A$9,0)),0))/P1357+IFERROR(INDEX(Settings!$D$5:$D$9,MATCH($B1357,Settings!$A$5:$A$9,0)),0)*M1357)</f>
        <v/>
      </c>
      <c r="W1357" s="11">
        <f>IF(J1357="","",IF(T1357="",0,M1357*INDEX(Products!$I$5:$I$204,T1357)))</f>
        <v/>
      </c>
      <c r="X1357" s="11">
        <f>IF(J1357="","",IF(T1357="",0,S1357*INDEX(Products!$H$5:$H$204,T1357)))</f>
        <v/>
      </c>
      <c r="Y1357" s="11">
        <f>IF(J1357="","",S1357-V1357-W1357-X1357)</f>
        <v/>
      </c>
    </row>
    <row r="1358">
      <c r="A1358" s="19" t="n"/>
      <c r="B1358" s="19" t="n"/>
      <c r="C1358" s="19" t="n"/>
      <c r="D1358" s="19" t="n"/>
      <c r="E1358" s="19" t="n"/>
      <c r="F1358" s="20" t="n"/>
      <c r="G1358" s="20" t="n"/>
      <c r="H1358" s="20" t="n"/>
      <c r="I1358" s="19" t="n"/>
      <c r="J1358">
        <f>IFERROR(IF(C1358="","",C1358)&amp;"","")</f>
        <v/>
      </c>
      <c r="K1358">
        <f>IFERROR(IF(D1358="","",D1358)&amp;"","")</f>
        <v/>
      </c>
      <c r="L1358">
        <f>IFERROR(IF(I1358="","",I1358)&amp;"","")</f>
        <v/>
      </c>
      <c r="M1358">
        <f>IF(J1358="","",IFERROR(VALUE(SUBSTITUTE(SUBSTITUTE(IF(E1358="","",E1358)&amp;"","$",""),",","")),0))</f>
        <v/>
      </c>
      <c r="N1358" s="11">
        <f>IF(J1358="","",IFERROR(VALUE(SUBSTITUTE(SUBSTITUTE(IF(F1358="","",F1358)&amp;"","$",""),",","")),0))</f>
        <v/>
      </c>
      <c r="O1358" s="11">
        <f>IF(J1358="","",M1358*N1358)</f>
        <v/>
      </c>
      <c r="P1358">
        <f>IF(J1358="","",IF(L1358="",1,COUNTIF($L$2:$L$1501,L1358)))</f>
        <v/>
      </c>
      <c r="Q1358" s="11">
        <f>IF(J1358="","",IFERROR(VALUE(SUBSTITUTE(SUBSTITUTE(IF(G1358="","",G1358)&amp;"","$",""),",","")),0)/IF("No"="Yes",P1358,1))</f>
        <v/>
      </c>
      <c r="R1358" s="11">
        <f>IF(J1358="","",IFERROR(VALUE(SUBSTITUTE(SUBSTITUTE(IF(H1358="","",H1358)&amp;"","$",""),",","")),0)/IF("No"="Yes",P1358,1))</f>
        <v/>
      </c>
      <c r="S1358" s="11">
        <f>IF(J1358="","",O1358+Q1358-R1358)</f>
        <v/>
      </c>
      <c r="T1358">
        <f>IF(J1358="","",IFERROR(IF(K1358="",NA(),MATCH(K1358,Products!$B$5:$B$204,0)),IFERROR(MATCH(J1358,Products!$A$5:$A$204,0),"")))</f>
        <v/>
      </c>
      <c r="U1358">
        <f>IF(J1358="","",IF(T1358="","⚠ not in Products",INDEX(Products!$A$5:$A$204,T1358)))</f>
        <v/>
      </c>
      <c r="V1358" s="11">
        <f>IF(J1358="","",S1358*(IFERROR(INDEX(Settings!$B$5:$B$9,MATCH($B1358,Settings!$A$5:$A$9,0)),0)+IFERROR(INDEX(Settings!$E$5:$E$9,MATCH($B1358,Settings!$A$5:$A$9,0)),0)+IFERROR(INDEX(Settings!$G$5:$G$9,MATCH($B1358,Settings!$A$5:$A$9,0)),0))+(IFERROR(INDEX(Settings!$C$5:$C$9,MATCH($B1358,Settings!$A$5:$A$9,0)),0)+IFERROR(INDEX(Settings!$F$5:$F$9,MATCH($B1358,Settings!$A$5:$A$9,0)),0))/P1358+IFERROR(INDEX(Settings!$D$5:$D$9,MATCH($B1358,Settings!$A$5:$A$9,0)),0)*M1358)</f>
        <v/>
      </c>
      <c r="W1358" s="11">
        <f>IF(J1358="","",IF(T1358="",0,M1358*INDEX(Products!$I$5:$I$204,T1358)))</f>
        <v/>
      </c>
      <c r="X1358" s="11">
        <f>IF(J1358="","",IF(T1358="",0,S1358*INDEX(Products!$H$5:$H$204,T1358)))</f>
        <v/>
      </c>
      <c r="Y1358" s="11">
        <f>IF(J1358="","",S1358-V1358-W1358-X1358)</f>
        <v/>
      </c>
    </row>
    <row r="1359">
      <c r="A1359" s="19" t="n"/>
      <c r="B1359" s="19" t="n"/>
      <c r="C1359" s="19" t="n"/>
      <c r="D1359" s="19" t="n"/>
      <c r="E1359" s="19" t="n"/>
      <c r="F1359" s="20" t="n"/>
      <c r="G1359" s="20" t="n"/>
      <c r="H1359" s="20" t="n"/>
      <c r="I1359" s="19" t="n"/>
      <c r="J1359">
        <f>IFERROR(IF(C1359="","",C1359)&amp;"","")</f>
        <v/>
      </c>
      <c r="K1359">
        <f>IFERROR(IF(D1359="","",D1359)&amp;"","")</f>
        <v/>
      </c>
      <c r="L1359">
        <f>IFERROR(IF(I1359="","",I1359)&amp;"","")</f>
        <v/>
      </c>
      <c r="M1359">
        <f>IF(J1359="","",IFERROR(VALUE(SUBSTITUTE(SUBSTITUTE(IF(E1359="","",E1359)&amp;"","$",""),",","")),0))</f>
        <v/>
      </c>
      <c r="N1359" s="11">
        <f>IF(J1359="","",IFERROR(VALUE(SUBSTITUTE(SUBSTITUTE(IF(F1359="","",F1359)&amp;"","$",""),",","")),0))</f>
        <v/>
      </c>
      <c r="O1359" s="11">
        <f>IF(J1359="","",M1359*N1359)</f>
        <v/>
      </c>
      <c r="P1359">
        <f>IF(J1359="","",IF(L1359="",1,COUNTIF($L$2:$L$1501,L1359)))</f>
        <v/>
      </c>
      <c r="Q1359" s="11">
        <f>IF(J1359="","",IFERROR(VALUE(SUBSTITUTE(SUBSTITUTE(IF(G1359="","",G1359)&amp;"","$",""),",","")),0)/IF("No"="Yes",P1359,1))</f>
        <v/>
      </c>
      <c r="R1359" s="11">
        <f>IF(J1359="","",IFERROR(VALUE(SUBSTITUTE(SUBSTITUTE(IF(H1359="","",H1359)&amp;"","$",""),",","")),0)/IF("No"="Yes",P1359,1))</f>
        <v/>
      </c>
      <c r="S1359" s="11">
        <f>IF(J1359="","",O1359+Q1359-R1359)</f>
        <v/>
      </c>
      <c r="T1359">
        <f>IF(J1359="","",IFERROR(IF(K1359="",NA(),MATCH(K1359,Products!$B$5:$B$204,0)),IFERROR(MATCH(J1359,Products!$A$5:$A$204,0),"")))</f>
        <v/>
      </c>
      <c r="U1359">
        <f>IF(J1359="","",IF(T1359="","⚠ not in Products",INDEX(Products!$A$5:$A$204,T1359)))</f>
        <v/>
      </c>
      <c r="V1359" s="11">
        <f>IF(J1359="","",S1359*(IFERROR(INDEX(Settings!$B$5:$B$9,MATCH($B1359,Settings!$A$5:$A$9,0)),0)+IFERROR(INDEX(Settings!$E$5:$E$9,MATCH($B1359,Settings!$A$5:$A$9,0)),0)+IFERROR(INDEX(Settings!$G$5:$G$9,MATCH($B1359,Settings!$A$5:$A$9,0)),0))+(IFERROR(INDEX(Settings!$C$5:$C$9,MATCH($B1359,Settings!$A$5:$A$9,0)),0)+IFERROR(INDEX(Settings!$F$5:$F$9,MATCH($B1359,Settings!$A$5:$A$9,0)),0))/P1359+IFERROR(INDEX(Settings!$D$5:$D$9,MATCH($B1359,Settings!$A$5:$A$9,0)),0)*M1359)</f>
        <v/>
      </c>
      <c r="W1359" s="11">
        <f>IF(J1359="","",IF(T1359="",0,M1359*INDEX(Products!$I$5:$I$204,T1359)))</f>
        <v/>
      </c>
      <c r="X1359" s="11">
        <f>IF(J1359="","",IF(T1359="",0,S1359*INDEX(Products!$H$5:$H$204,T1359)))</f>
        <v/>
      </c>
      <c r="Y1359" s="11">
        <f>IF(J1359="","",S1359-V1359-W1359-X1359)</f>
        <v/>
      </c>
    </row>
    <row r="1360">
      <c r="A1360" s="19" t="n"/>
      <c r="B1360" s="19" t="n"/>
      <c r="C1360" s="19" t="n"/>
      <c r="D1360" s="19" t="n"/>
      <c r="E1360" s="19" t="n"/>
      <c r="F1360" s="20" t="n"/>
      <c r="G1360" s="20" t="n"/>
      <c r="H1360" s="20" t="n"/>
      <c r="I1360" s="19" t="n"/>
      <c r="J1360">
        <f>IFERROR(IF(C1360="","",C1360)&amp;"","")</f>
        <v/>
      </c>
      <c r="K1360">
        <f>IFERROR(IF(D1360="","",D1360)&amp;"","")</f>
        <v/>
      </c>
      <c r="L1360">
        <f>IFERROR(IF(I1360="","",I1360)&amp;"","")</f>
        <v/>
      </c>
      <c r="M1360">
        <f>IF(J1360="","",IFERROR(VALUE(SUBSTITUTE(SUBSTITUTE(IF(E1360="","",E1360)&amp;"","$",""),",","")),0))</f>
        <v/>
      </c>
      <c r="N1360" s="11">
        <f>IF(J1360="","",IFERROR(VALUE(SUBSTITUTE(SUBSTITUTE(IF(F1360="","",F1360)&amp;"","$",""),",","")),0))</f>
        <v/>
      </c>
      <c r="O1360" s="11">
        <f>IF(J1360="","",M1360*N1360)</f>
        <v/>
      </c>
      <c r="P1360">
        <f>IF(J1360="","",IF(L1360="",1,COUNTIF($L$2:$L$1501,L1360)))</f>
        <v/>
      </c>
      <c r="Q1360" s="11">
        <f>IF(J1360="","",IFERROR(VALUE(SUBSTITUTE(SUBSTITUTE(IF(G1360="","",G1360)&amp;"","$",""),",","")),0)/IF("No"="Yes",P1360,1))</f>
        <v/>
      </c>
      <c r="R1360" s="11">
        <f>IF(J1360="","",IFERROR(VALUE(SUBSTITUTE(SUBSTITUTE(IF(H1360="","",H1360)&amp;"","$",""),",","")),0)/IF("No"="Yes",P1360,1))</f>
        <v/>
      </c>
      <c r="S1360" s="11">
        <f>IF(J1360="","",O1360+Q1360-R1360)</f>
        <v/>
      </c>
      <c r="T1360">
        <f>IF(J1360="","",IFERROR(IF(K1360="",NA(),MATCH(K1360,Products!$B$5:$B$204,0)),IFERROR(MATCH(J1360,Products!$A$5:$A$204,0),"")))</f>
        <v/>
      </c>
      <c r="U1360">
        <f>IF(J1360="","",IF(T1360="","⚠ not in Products",INDEX(Products!$A$5:$A$204,T1360)))</f>
        <v/>
      </c>
      <c r="V1360" s="11">
        <f>IF(J1360="","",S1360*(IFERROR(INDEX(Settings!$B$5:$B$9,MATCH($B1360,Settings!$A$5:$A$9,0)),0)+IFERROR(INDEX(Settings!$E$5:$E$9,MATCH($B1360,Settings!$A$5:$A$9,0)),0)+IFERROR(INDEX(Settings!$G$5:$G$9,MATCH($B1360,Settings!$A$5:$A$9,0)),0))+(IFERROR(INDEX(Settings!$C$5:$C$9,MATCH($B1360,Settings!$A$5:$A$9,0)),0)+IFERROR(INDEX(Settings!$F$5:$F$9,MATCH($B1360,Settings!$A$5:$A$9,0)),0))/P1360+IFERROR(INDEX(Settings!$D$5:$D$9,MATCH($B1360,Settings!$A$5:$A$9,0)),0)*M1360)</f>
        <v/>
      </c>
      <c r="W1360" s="11">
        <f>IF(J1360="","",IF(T1360="",0,M1360*INDEX(Products!$I$5:$I$204,T1360)))</f>
        <v/>
      </c>
      <c r="X1360" s="11">
        <f>IF(J1360="","",IF(T1360="",0,S1360*INDEX(Products!$H$5:$H$204,T1360)))</f>
        <v/>
      </c>
      <c r="Y1360" s="11">
        <f>IF(J1360="","",S1360-V1360-W1360-X1360)</f>
        <v/>
      </c>
    </row>
    <row r="1361">
      <c r="A1361" s="19" t="n"/>
      <c r="B1361" s="19" t="n"/>
      <c r="C1361" s="19" t="n"/>
      <c r="D1361" s="19" t="n"/>
      <c r="E1361" s="19" t="n"/>
      <c r="F1361" s="20" t="n"/>
      <c r="G1361" s="20" t="n"/>
      <c r="H1361" s="20" t="n"/>
      <c r="I1361" s="19" t="n"/>
      <c r="J1361">
        <f>IFERROR(IF(C1361="","",C1361)&amp;"","")</f>
        <v/>
      </c>
      <c r="K1361">
        <f>IFERROR(IF(D1361="","",D1361)&amp;"","")</f>
        <v/>
      </c>
      <c r="L1361">
        <f>IFERROR(IF(I1361="","",I1361)&amp;"","")</f>
        <v/>
      </c>
      <c r="M1361">
        <f>IF(J1361="","",IFERROR(VALUE(SUBSTITUTE(SUBSTITUTE(IF(E1361="","",E1361)&amp;"","$",""),",","")),0))</f>
        <v/>
      </c>
      <c r="N1361" s="11">
        <f>IF(J1361="","",IFERROR(VALUE(SUBSTITUTE(SUBSTITUTE(IF(F1361="","",F1361)&amp;"","$",""),",","")),0))</f>
        <v/>
      </c>
      <c r="O1361" s="11">
        <f>IF(J1361="","",M1361*N1361)</f>
        <v/>
      </c>
      <c r="P1361">
        <f>IF(J1361="","",IF(L1361="",1,COUNTIF($L$2:$L$1501,L1361)))</f>
        <v/>
      </c>
      <c r="Q1361" s="11">
        <f>IF(J1361="","",IFERROR(VALUE(SUBSTITUTE(SUBSTITUTE(IF(G1361="","",G1361)&amp;"","$",""),",","")),0)/IF("No"="Yes",P1361,1))</f>
        <v/>
      </c>
      <c r="R1361" s="11">
        <f>IF(J1361="","",IFERROR(VALUE(SUBSTITUTE(SUBSTITUTE(IF(H1361="","",H1361)&amp;"","$",""),",","")),0)/IF("No"="Yes",P1361,1))</f>
        <v/>
      </c>
      <c r="S1361" s="11">
        <f>IF(J1361="","",O1361+Q1361-R1361)</f>
        <v/>
      </c>
      <c r="T1361">
        <f>IF(J1361="","",IFERROR(IF(K1361="",NA(),MATCH(K1361,Products!$B$5:$B$204,0)),IFERROR(MATCH(J1361,Products!$A$5:$A$204,0),"")))</f>
        <v/>
      </c>
      <c r="U1361">
        <f>IF(J1361="","",IF(T1361="","⚠ not in Products",INDEX(Products!$A$5:$A$204,T1361)))</f>
        <v/>
      </c>
      <c r="V1361" s="11">
        <f>IF(J1361="","",S1361*(IFERROR(INDEX(Settings!$B$5:$B$9,MATCH($B1361,Settings!$A$5:$A$9,0)),0)+IFERROR(INDEX(Settings!$E$5:$E$9,MATCH($B1361,Settings!$A$5:$A$9,0)),0)+IFERROR(INDEX(Settings!$G$5:$G$9,MATCH($B1361,Settings!$A$5:$A$9,0)),0))+(IFERROR(INDEX(Settings!$C$5:$C$9,MATCH($B1361,Settings!$A$5:$A$9,0)),0)+IFERROR(INDEX(Settings!$F$5:$F$9,MATCH($B1361,Settings!$A$5:$A$9,0)),0))/P1361+IFERROR(INDEX(Settings!$D$5:$D$9,MATCH($B1361,Settings!$A$5:$A$9,0)),0)*M1361)</f>
        <v/>
      </c>
      <c r="W1361" s="11">
        <f>IF(J1361="","",IF(T1361="",0,M1361*INDEX(Products!$I$5:$I$204,T1361)))</f>
        <v/>
      </c>
      <c r="X1361" s="11">
        <f>IF(J1361="","",IF(T1361="",0,S1361*INDEX(Products!$H$5:$H$204,T1361)))</f>
        <v/>
      </c>
      <c r="Y1361" s="11">
        <f>IF(J1361="","",S1361-V1361-W1361-X1361)</f>
        <v/>
      </c>
    </row>
    <row r="1362">
      <c r="A1362" s="19" t="n"/>
      <c r="B1362" s="19" t="n"/>
      <c r="C1362" s="19" t="n"/>
      <c r="D1362" s="19" t="n"/>
      <c r="E1362" s="19" t="n"/>
      <c r="F1362" s="20" t="n"/>
      <c r="G1362" s="20" t="n"/>
      <c r="H1362" s="20" t="n"/>
      <c r="I1362" s="19" t="n"/>
      <c r="J1362">
        <f>IFERROR(IF(C1362="","",C1362)&amp;"","")</f>
        <v/>
      </c>
      <c r="K1362">
        <f>IFERROR(IF(D1362="","",D1362)&amp;"","")</f>
        <v/>
      </c>
      <c r="L1362">
        <f>IFERROR(IF(I1362="","",I1362)&amp;"","")</f>
        <v/>
      </c>
      <c r="M1362">
        <f>IF(J1362="","",IFERROR(VALUE(SUBSTITUTE(SUBSTITUTE(IF(E1362="","",E1362)&amp;"","$",""),",","")),0))</f>
        <v/>
      </c>
      <c r="N1362" s="11">
        <f>IF(J1362="","",IFERROR(VALUE(SUBSTITUTE(SUBSTITUTE(IF(F1362="","",F1362)&amp;"","$",""),",","")),0))</f>
        <v/>
      </c>
      <c r="O1362" s="11">
        <f>IF(J1362="","",M1362*N1362)</f>
        <v/>
      </c>
      <c r="P1362">
        <f>IF(J1362="","",IF(L1362="",1,COUNTIF($L$2:$L$1501,L1362)))</f>
        <v/>
      </c>
      <c r="Q1362" s="11">
        <f>IF(J1362="","",IFERROR(VALUE(SUBSTITUTE(SUBSTITUTE(IF(G1362="","",G1362)&amp;"","$",""),",","")),0)/IF("No"="Yes",P1362,1))</f>
        <v/>
      </c>
      <c r="R1362" s="11">
        <f>IF(J1362="","",IFERROR(VALUE(SUBSTITUTE(SUBSTITUTE(IF(H1362="","",H1362)&amp;"","$",""),",","")),0)/IF("No"="Yes",P1362,1))</f>
        <v/>
      </c>
      <c r="S1362" s="11">
        <f>IF(J1362="","",O1362+Q1362-R1362)</f>
        <v/>
      </c>
      <c r="T1362">
        <f>IF(J1362="","",IFERROR(IF(K1362="",NA(),MATCH(K1362,Products!$B$5:$B$204,0)),IFERROR(MATCH(J1362,Products!$A$5:$A$204,0),"")))</f>
        <v/>
      </c>
      <c r="U1362">
        <f>IF(J1362="","",IF(T1362="","⚠ not in Products",INDEX(Products!$A$5:$A$204,T1362)))</f>
        <v/>
      </c>
      <c r="V1362" s="11">
        <f>IF(J1362="","",S1362*(IFERROR(INDEX(Settings!$B$5:$B$9,MATCH($B1362,Settings!$A$5:$A$9,0)),0)+IFERROR(INDEX(Settings!$E$5:$E$9,MATCH($B1362,Settings!$A$5:$A$9,0)),0)+IFERROR(INDEX(Settings!$G$5:$G$9,MATCH($B1362,Settings!$A$5:$A$9,0)),0))+(IFERROR(INDEX(Settings!$C$5:$C$9,MATCH($B1362,Settings!$A$5:$A$9,0)),0)+IFERROR(INDEX(Settings!$F$5:$F$9,MATCH($B1362,Settings!$A$5:$A$9,0)),0))/P1362+IFERROR(INDEX(Settings!$D$5:$D$9,MATCH($B1362,Settings!$A$5:$A$9,0)),0)*M1362)</f>
        <v/>
      </c>
      <c r="W1362" s="11">
        <f>IF(J1362="","",IF(T1362="",0,M1362*INDEX(Products!$I$5:$I$204,T1362)))</f>
        <v/>
      </c>
      <c r="X1362" s="11">
        <f>IF(J1362="","",IF(T1362="",0,S1362*INDEX(Products!$H$5:$H$204,T1362)))</f>
        <v/>
      </c>
      <c r="Y1362" s="11">
        <f>IF(J1362="","",S1362-V1362-W1362-X1362)</f>
        <v/>
      </c>
    </row>
    <row r="1363">
      <c r="A1363" s="19" t="n"/>
      <c r="B1363" s="19" t="n"/>
      <c r="C1363" s="19" t="n"/>
      <c r="D1363" s="19" t="n"/>
      <c r="E1363" s="19" t="n"/>
      <c r="F1363" s="20" t="n"/>
      <c r="G1363" s="20" t="n"/>
      <c r="H1363" s="20" t="n"/>
      <c r="I1363" s="19" t="n"/>
      <c r="J1363">
        <f>IFERROR(IF(C1363="","",C1363)&amp;"","")</f>
        <v/>
      </c>
      <c r="K1363">
        <f>IFERROR(IF(D1363="","",D1363)&amp;"","")</f>
        <v/>
      </c>
      <c r="L1363">
        <f>IFERROR(IF(I1363="","",I1363)&amp;"","")</f>
        <v/>
      </c>
      <c r="M1363">
        <f>IF(J1363="","",IFERROR(VALUE(SUBSTITUTE(SUBSTITUTE(IF(E1363="","",E1363)&amp;"","$",""),",","")),0))</f>
        <v/>
      </c>
      <c r="N1363" s="11">
        <f>IF(J1363="","",IFERROR(VALUE(SUBSTITUTE(SUBSTITUTE(IF(F1363="","",F1363)&amp;"","$",""),",","")),0))</f>
        <v/>
      </c>
      <c r="O1363" s="11">
        <f>IF(J1363="","",M1363*N1363)</f>
        <v/>
      </c>
      <c r="P1363">
        <f>IF(J1363="","",IF(L1363="",1,COUNTIF($L$2:$L$1501,L1363)))</f>
        <v/>
      </c>
      <c r="Q1363" s="11">
        <f>IF(J1363="","",IFERROR(VALUE(SUBSTITUTE(SUBSTITUTE(IF(G1363="","",G1363)&amp;"","$",""),",","")),0)/IF("No"="Yes",P1363,1))</f>
        <v/>
      </c>
      <c r="R1363" s="11">
        <f>IF(J1363="","",IFERROR(VALUE(SUBSTITUTE(SUBSTITUTE(IF(H1363="","",H1363)&amp;"","$",""),",","")),0)/IF("No"="Yes",P1363,1))</f>
        <v/>
      </c>
      <c r="S1363" s="11">
        <f>IF(J1363="","",O1363+Q1363-R1363)</f>
        <v/>
      </c>
      <c r="T1363">
        <f>IF(J1363="","",IFERROR(IF(K1363="",NA(),MATCH(K1363,Products!$B$5:$B$204,0)),IFERROR(MATCH(J1363,Products!$A$5:$A$204,0),"")))</f>
        <v/>
      </c>
      <c r="U1363">
        <f>IF(J1363="","",IF(T1363="","⚠ not in Products",INDEX(Products!$A$5:$A$204,T1363)))</f>
        <v/>
      </c>
      <c r="V1363" s="11">
        <f>IF(J1363="","",S1363*(IFERROR(INDEX(Settings!$B$5:$B$9,MATCH($B1363,Settings!$A$5:$A$9,0)),0)+IFERROR(INDEX(Settings!$E$5:$E$9,MATCH($B1363,Settings!$A$5:$A$9,0)),0)+IFERROR(INDEX(Settings!$G$5:$G$9,MATCH($B1363,Settings!$A$5:$A$9,0)),0))+(IFERROR(INDEX(Settings!$C$5:$C$9,MATCH($B1363,Settings!$A$5:$A$9,0)),0)+IFERROR(INDEX(Settings!$F$5:$F$9,MATCH($B1363,Settings!$A$5:$A$9,0)),0))/P1363+IFERROR(INDEX(Settings!$D$5:$D$9,MATCH($B1363,Settings!$A$5:$A$9,0)),0)*M1363)</f>
        <v/>
      </c>
      <c r="W1363" s="11">
        <f>IF(J1363="","",IF(T1363="",0,M1363*INDEX(Products!$I$5:$I$204,T1363)))</f>
        <v/>
      </c>
      <c r="X1363" s="11">
        <f>IF(J1363="","",IF(T1363="",0,S1363*INDEX(Products!$H$5:$H$204,T1363)))</f>
        <v/>
      </c>
      <c r="Y1363" s="11">
        <f>IF(J1363="","",S1363-V1363-W1363-X1363)</f>
        <v/>
      </c>
    </row>
    <row r="1364">
      <c r="A1364" s="19" t="n"/>
      <c r="B1364" s="19" t="n"/>
      <c r="C1364" s="19" t="n"/>
      <c r="D1364" s="19" t="n"/>
      <c r="E1364" s="19" t="n"/>
      <c r="F1364" s="20" t="n"/>
      <c r="G1364" s="20" t="n"/>
      <c r="H1364" s="20" t="n"/>
      <c r="I1364" s="19" t="n"/>
      <c r="J1364">
        <f>IFERROR(IF(C1364="","",C1364)&amp;"","")</f>
        <v/>
      </c>
      <c r="K1364">
        <f>IFERROR(IF(D1364="","",D1364)&amp;"","")</f>
        <v/>
      </c>
      <c r="L1364">
        <f>IFERROR(IF(I1364="","",I1364)&amp;"","")</f>
        <v/>
      </c>
      <c r="M1364">
        <f>IF(J1364="","",IFERROR(VALUE(SUBSTITUTE(SUBSTITUTE(IF(E1364="","",E1364)&amp;"","$",""),",","")),0))</f>
        <v/>
      </c>
      <c r="N1364" s="11">
        <f>IF(J1364="","",IFERROR(VALUE(SUBSTITUTE(SUBSTITUTE(IF(F1364="","",F1364)&amp;"","$",""),",","")),0))</f>
        <v/>
      </c>
      <c r="O1364" s="11">
        <f>IF(J1364="","",M1364*N1364)</f>
        <v/>
      </c>
      <c r="P1364">
        <f>IF(J1364="","",IF(L1364="",1,COUNTIF($L$2:$L$1501,L1364)))</f>
        <v/>
      </c>
      <c r="Q1364" s="11">
        <f>IF(J1364="","",IFERROR(VALUE(SUBSTITUTE(SUBSTITUTE(IF(G1364="","",G1364)&amp;"","$",""),",","")),0)/IF("No"="Yes",P1364,1))</f>
        <v/>
      </c>
      <c r="R1364" s="11">
        <f>IF(J1364="","",IFERROR(VALUE(SUBSTITUTE(SUBSTITUTE(IF(H1364="","",H1364)&amp;"","$",""),",","")),0)/IF("No"="Yes",P1364,1))</f>
        <v/>
      </c>
      <c r="S1364" s="11">
        <f>IF(J1364="","",O1364+Q1364-R1364)</f>
        <v/>
      </c>
      <c r="T1364">
        <f>IF(J1364="","",IFERROR(IF(K1364="",NA(),MATCH(K1364,Products!$B$5:$B$204,0)),IFERROR(MATCH(J1364,Products!$A$5:$A$204,0),"")))</f>
        <v/>
      </c>
      <c r="U1364">
        <f>IF(J1364="","",IF(T1364="","⚠ not in Products",INDEX(Products!$A$5:$A$204,T1364)))</f>
        <v/>
      </c>
      <c r="V1364" s="11">
        <f>IF(J1364="","",S1364*(IFERROR(INDEX(Settings!$B$5:$B$9,MATCH($B1364,Settings!$A$5:$A$9,0)),0)+IFERROR(INDEX(Settings!$E$5:$E$9,MATCH($B1364,Settings!$A$5:$A$9,0)),0)+IFERROR(INDEX(Settings!$G$5:$G$9,MATCH($B1364,Settings!$A$5:$A$9,0)),0))+(IFERROR(INDEX(Settings!$C$5:$C$9,MATCH($B1364,Settings!$A$5:$A$9,0)),0)+IFERROR(INDEX(Settings!$F$5:$F$9,MATCH($B1364,Settings!$A$5:$A$9,0)),0))/P1364+IFERROR(INDEX(Settings!$D$5:$D$9,MATCH($B1364,Settings!$A$5:$A$9,0)),0)*M1364)</f>
        <v/>
      </c>
      <c r="W1364" s="11">
        <f>IF(J1364="","",IF(T1364="",0,M1364*INDEX(Products!$I$5:$I$204,T1364)))</f>
        <v/>
      </c>
      <c r="X1364" s="11">
        <f>IF(J1364="","",IF(T1364="",0,S1364*INDEX(Products!$H$5:$H$204,T1364)))</f>
        <v/>
      </c>
      <c r="Y1364" s="11">
        <f>IF(J1364="","",S1364-V1364-W1364-X1364)</f>
        <v/>
      </c>
    </row>
    <row r="1365">
      <c r="A1365" s="19" t="n"/>
      <c r="B1365" s="19" t="n"/>
      <c r="C1365" s="19" t="n"/>
      <c r="D1365" s="19" t="n"/>
      <c r="E1365" s="19" t="n"/>
      <c r="F1365" s="20" t="n"/>
      <c r="G1365" s="20" t="n"/>
      <c r="H1365" s="20" t="n"/>
      <c r="I1365" s="19" t="n"/>
      <c r="J1365">
        <f>IFERROR(IF(C1365="","",C1365)&amp;"","")</f>
        <v/>
      </c>
      <c r="K1365">
        <f>IFERROR(IF(D1365="","",D1365)&amp;"","")</f>
        <v/>
      </c>
      <c r="L1365">
        <f>IFERROR(IF(I1365="","",I1365)&amp;"","")</f>
        <v/>
      </c>
      <c r="M1365">
        <f>IF(J1365="","",IFERROR(VALUE(SUBSTITUTE(SUBSTITUTE(IF(E1365="","",E1365)&amp;"","$",""),",","")),0))</f>
        <v/>
      </c>
      <c r="N1365" s="11">
        <f>IF(J1365="","",IFERROR(VALUE(SUBSTITUTE(SUBSTITUTE(IF(F1365="","",F1365)&amp;"","$",""),",","")),0))</f>
        <v/>
      </c>
      <c r="O1365" s="11">
        <f>IF(J1365="","",M1365*N1365)</f>
        <v/>
      </c>
      <c r="P1365">
        <f>IF(J1365="","",IF(L1365="",1,COUNTIF($L$2:$L$1501,L1365)))</f>
        <v/>
      </c>
      <c r="Q1365" s="11">
        <f>IF(J1365="","",IFERROR(VALUE(SUBSTITUTE(SUBSTITUTE(IF(G1365="","",G1365)&amp;"","$",""),",","")),0)/IF("No"="Yes",P1365,1))</f>
        <v/>
      </c>
      <c r="R1365" s="11">
        <f>IF(J1365="","",IFERROR(VALUE(SUBSTITUTE(SUBSTITUTE(IF(H1365="","",H1365)&amp;"","$",""),",","")),0)/IF("No"="Yes",P1365,1))</f>
        <v/>
      </c>
      <c r="S1365" s="11">
        <f>IF(J1365="","",O1365+Q1365-R1365)</f>
        <v/>
      </c>
      <c r="T1365">
        <f>IF(J1365="","",IFERROR(IF(K1365="",NA(),MATCH(K1365,Products!$B$5:$B$204,0)),IFERROR(MATCH(J1365,Products!$A$5:$A$204,0),"")))</f>
        <v/>
      </c>
      <c r="U1365">
        <f>IF(J1365="","",IF(T1365="","⚠ not in Products",INDEX(Products!$A$5:$A$204,T1365)))</f>
        <v/>
      </c>
      <c r="V1365" s="11">
        <f>IF(J1365="","",S1365*(IFERROR(INDEX(Settings!$B$5:$B$9,MATCH($B1365,Settings!$A$5:$A$9,0)),0)+IFERROR(INDEX(Settings!$E$5:$E$9,MATCH($B1365,Settings!$A$5:$A$9,0)),0)+IFERROR(INDEX(Settings!$G$5:$G$9,MATCH($B1365,Settings!$A$5:$A$9,0)),0))+(IFERROR(INDEX(Settings!$C$5:$C$9,MATCH($B1365,Settings!$A$5:$A$9,0)),0)+IFERROR(INDEX(Settings!$F$5:$F$9,MATCH($B1365,Settings!$A$5:$A$9,0)),0))/P1365+IFERROR(INDEX(Settings!$D$5:$D$9,MATCH($B1365,Settings!$A$5:$A$9,0)),0)*M1365)</f>
        <v/>
      </c>
      <c r="W1365" s="11">
        <f>IF(J1365="","",IF(T1365="",0,M1365*INDEX(Products!$I$5:$I$204,T1365)))</f>
        <v/>
      </c>
      <c r="X1365" s="11">
        <f>IF(J1365="","",IF(T1365="",0,S1365*INDEX(Products!$H$5:$H$204,T1365)))</f>
        <v/>
      </c>
      <c r="Y1365" s="11">
        <f>IF(J1365="","",S1365-V1365-W1365-X1365)</f>
        <v/>
      </c>
    </row>
    <row r="1366">
      <c r="A1366" s="19" t="n"/>
      <c r="B1366" s="19" t="n"/>
      <c r="C1366" s="19" t="n"/>
      <c r="D1366" s="19" t="n"/>
      <c r="E1366" s="19" t="n"/>
      <c r="F1366" s="20" t="n"/>
      <c r="G1366" s="20" t="n"/>
      <c r="H1366" s="20" t="n"/>
      <c r="I1366" s="19" t="n"/>
      <c r="J1366">
        <f>IFERROR(IF(C1366="","",C1366)&amp;"","")</f>
        <v/>
      </c>
      <c r="K1366">
        <f>IFERROR(IF(D1366="","",D1366)&amp;"","")</f>
        <v/>
      </c>
      <c r="L1366">
        <f>IFERROR(IF(I1366="","",I1366)&amp;"","")</f>
        <v/>
      </c>
      <c r="M1366">
        <f>IF(J1366="","",IFERROR(VALUE(SUBSTITUTE(SUBSTITUTE(IF(E1366="","",E1366)&amp;"","$",""),",","")),0))</f>
        <v/>
      </c>
      <c r="N1366" s="11">
        <f>IF(J1366="","",IFERROR(VALUE(SUBSTITUTE(SUBSTITUTE(IF(F1366="","",F1366)&amp;"","$",""),",","")),0))</f>
        <v/>
      </c>
      <c r="O1366" s="11">
        <f>IF(J1366="","",M1366*N1366)</f>
        <v/>
      </c>
      <c r="P1366">
        <f>IF(J1366="","",IF(L1366="",1,COUNTIF($L$2:$L$1501,L1366)))</f>
        <v/>
      </c>
      <c r="Q1366" s="11">
        <f>IF(J1366="","",IFERROR(VALUE(SUBSTITUTE(SUBSTITUTE(IF(G1366="","",G1366)&amp;"","$",""),",","")),0)/IF("No"="Yes",P1366,1))</f>
        <v/>
      </c>
      <c r="R1366" s="11">
        <f>IF(J1366="","",IFERROR(VALUE(SUBSTITUTE(SUBSTITUTE(IF(H1366="","",H1366)&amp;"","$",""),",","")),0)/IF("No"="Yes",P1366,1))</f>
        <v/>
      </c>
      <c r="S1366" s="11">
        <f>IF(J1366="","",O1366+Q1366-R1366)</f>
        <v/>
      </c>
      <c r="T1366">
        <f>IF(J1366="","",IFERROR(IF(K1366="",NA(),MATCH(K1366,Products!$B$5:$B$204,0)),IFERROR(MATCH(J1366,Products!$A$5:$A$204,0),"")))</f>
        <v/>
      </c>
      <c r="U1366">
        <f>IF(J1366="","",IF(T1366="","⚠ not in Products",INDEX(Products!$A$5:$A$204,T1366)))</f>
        <v/>
      </c>
      <c r="V1366" s="11">
        <f>IF(J1366="","",S1366*(IFERROR(INDEX(Settings!$B$5:$B$9,MATCH($B1366,Settings!$A$5:$A$9,0)),0)+IFERROR(INDEX(Settings!$E$5:$E$9,MATCH($B1366,Settings!$A$5:$A$9,0)),0)+IFERROR(INDEX(Settings!$G$5:$G$9,MATCH($B1366,Settings!$A$5:$A$9,0)),0))+(IFERROR(INDEX(Settings!$C$5:$C$9,MATCH($B1366,Settings!$A$5:$A$9,0)),0)+IFERROR(INDEX(Settings!$F$5:$F$9,MATCH($B1366,Settings!$A$5:$A$9,0)),0))/P1366+IFERROR(INDEX(Settings!$D$5:$D$9,MATCH($B1366,Settings!$A$5:$A$9,0)),0)*M1366)</f>
        <v/>
      </c>
      <c r="W1366" s="11">
        <f>IF(J1366="","",IF(T1366="",0,M1366*INDEX(Products!$I$5:$I$204,T1366)))</f>
        <v/>
      </c>
      <c r="X1366" s="11">
        <f>IF(J1366="","",IF(T1366="",0,S1366*INDEX(Products!$H$5:$H$204,T1366)))</f>
        <v/>
      </c>
      <c r="Y1366" s="11">
        <f>IF(J1366="","",S1366-V1366-W1366-X1366)</f>
        <v/>
      </c>
    </row>
    <row r="1367">
      <c r="A1367" s="19" t="n"/>
      <c r="B1367" s="19" t="n"/>
      <c r="C1367" s="19" t="n"/>
      <c r="D1367" s="19" t="n"/>
      <c r="E1367" s="19" t="n"/>
      <c r="F1367" s="20" t="n"/>
      <c r="G1367" s="20" t="n"/>
      <c r="H1367" s="20" t="n"/>
      <c r="I1367" s="19" t="n"/>
      <c r="J1367">
        <f>IFERROR(IF(C1367="","",C1367)&amp;"","")</f>
        <v/>
      </c>
      <c r="K1367">
        <f>IFERROR(IF(D1367="","",D1367)&amp;"","")</f>
        <v/>
      </c>
      <c r="L1367">
        <f>IFERROR(IF(I1367="","",I1367)&amp;"","")</f>
        <v/>
      </c>
      <c r="M1367">
        <f>IF(J1367="","",IFERROR(VALUE(SUBSTITUTE(SUBSTITUTE(IF(E1367="","",E1367)&amp;"","$",""),",","")),0))</f>
        <v/>
      </c>
      <c r="N1367" s="11">
        <f>IF(J1367="","",IFERROR(VALUE(SUBSTITUTE(SUBSTITUTE(IF(F1367="","",F1367)&amp;"","$",""),",","")),0))</f>
        <v/>
      </c>
      <c r="O1367" s="11">
        <f>IF(J1367="","",M1367*N1367)</f>
        <v/>
      </c>
      <c r="P1367">
        <f>IF(J1367="","",IF(L1367="",1,COUNTIF($L$2:$L$1501,L1367)))</f>
        <v/>
      </c>
      <c r="Q1367" s="11">
        <f>IF(J1367="","",IFERROR(VALUE(SUBSTITUTE(SUBSTITUTE(IF(G1367="","",G1367)&amp;"","$",""),",","")),0)/IF("No"="Yes",P1367,1))</f>
        <v/>
      </c>
      <c r="R1367" s="11">
        <f>IF(J1367="","",IFERROR(VALUE(SUBSTITUTE(SUBSTITUTE(IF(H1367="","",H1367)&amp;"","$",""),",","")),0)/IF("No"="Yes",P1367,1))</f>
        <v/>
      </c>
      <c r="S1367" s="11">
        <f>IF(J1367="","",O1367+Q1367-R1367)</f>
        <v/>
      </c>
      <c r="T1367">
        <f>IF(J1367="","",IFERROR(IF(K1367="",NA(),MATCH(K1367,Products!$B$5:$B$204,0)),IFERROR(MATCH(J1367,Products!$A$5:$A$204,0),"")))</f>
        <v/>
      </c>
      <c r="U1367">
        <f>IF(J1367="","",IF(T1367="","⚠ not in Products",INDEX(Products!$A$5:$A$204,T1367)))</f>
        <v/>
      </c>
      <c r="V1367" s="11">
        <f>IF(J1367="","",S1367*(IFERROR(INDEX(Settings!$B$5:$B$9,MATCH($B1367,Settings!$A$5:$A$9,0)),0)+IFERROR(INDEX(Settings!$E$5:$E$9,MATCH($B1367,Settings!$A$5:$A$9,0)),0)+IFERROR(INDEX(Settings!$G$5:$G$9,MATCH($B1367,Settings!$A$5:$A$9,0)),0))+(IFERROR(INDEX(Settings!$C$5:$C$9,MATCH($B1367,Settings!$A$5:$A$9,0)),0)+IFERROR(INDEX(Settings!$F$5:$F$9,MATCH($B1367,Settings!$A$5:$A$9,0)),0))/P1367+IFERROR(INDEX(Settings!$D$5:$D$9,MATCH($B1367,Settings!$A$5:$A$9,0)),0)*M1367)</f>
        <v/>
      </c>
      <c r="W1367" s="11">
        <f>IF(J1367="","",IF(T1367="",0,M1367*INDEX(Products!$I$5:$I$204,T1367)))</f>
        <v/>
      </c>
      <c r="X1367" s="11">
        <f>IF(J1367="","",IF(T1367="",0,S1367*INDEX(Products!$H$5:$H$204,T1367)))</f>
        <v/>
      </c>
      <c r="Y1367" s="11">
        <f>IF(J1367="","",S1367-V1367-W1367-X1367)</f>
        <v/>
      </c>
    </row>
    <row r="1368">
      <c r="A1368" s="19" t="n"/>
      <c r="B1368" s="19" t="n"/>
      <c r="C1368" s="19" t="n"/>
      <c r="D1368" s="19" t="n"/>
      <c r="E1368" s="19" t="n"/>
      <c r="F1368" s="20" t="n"/>
      <c r="G1368" s="20" t="n"/>
      <c r="H1368" s="20" t="n"/>
      <c r="I1368" s="19" t="n"/>
      <c r="J1368">
        <f>IFERROR(IF(C1368="","",C1368)&amp;"","")</f>
        <v/>
      </c>
      <c r="K1368">
        <f>IFERROR(IF(D1368="","",D1368)&amp;"","")</f>
        <v/>
      </c>
      <c r="L1368">
        <f>IFERROR(IF(I1368="","",I1368)&amp;"","")</f>
        <v/>
      </c>
      <c r="M1368">
        <f>IF(J1368="","",IFERROR(VALUE(SUBSTITUTE(SUBSTITUTE(IF(E1368="","",E1368)&amp;"","$",""),",","")),0))</f>
        <v/>
      </c>
      <c r="N1368" s="11">
        <f>IF(J1368="","",IFERROR(VALUE(SUBSTITUTE(SUBSTITUTE(IF(F1368="","",F1368)&amp;"","$",""),",","")),0))</f>
        <v/>
      </c>
      <c r="O1368" s="11">
        <f>IF(J1368="","",M1368*N1368)</f>
        <v/>
      </c>
      <c r="P1368">
        <f>IF(J1368="","",IF(L1368="",1,COUNTIF($L$2:$L$1501,L1368)))</f>
        <v/>
      </c>
      <c r="Q1368" s="11">
        <f>IF(J1368="","",IFERROR(VALUE(SUBSTITUTE(SUBSTITUTE(IF(G1368="","",G1368)&amp;"","$",""),",","")),0)/IF("No"="Yes",P1368,1))</f>
        <v/>
      </c>
      <c r="R1368" s="11">
        <f>IF(J1368="","",IFERROR(VALUE(SUBSTITUTE(SUBSTITUTE(IF(H1368="","",H1368)&amp;"","$",""),",","")),0)/IF("No"="Yes",P1368,1))</f>
        <v/>
      </c>
      <c r="S1368" s="11">
        <f>IF(J1368="","",O1368+Q1368-R1368)</f>
        <v/>
      </c>
      <c r="T1368">
        <f>IF(J1368="","",IFERROR(IF(K1368="",NA(),MATCH(K1368,Products!$B$5:$B$204,0)),IFERROR(MATCH(J1368,Products!$A$5:$A$204,0),"")))</f>
        <v/>
      </c>
      <c r="U1368">
        <f>IF(J1368="","",IF(T1368="","⚠ not in Products",INDEX(Products!$A$5:$A$204,T1368)))</f>
        <v/>
      </c>
      <c r="V1368" s="11">
        <f>IF(J1368="","",S1368*(IFERROR(INDEX(Settings!$B$5:$B$9,MATCH($B1368,Settings!$A$5:$A$9,0)),0)+IFERROR(INDEX(Settings!$E$5:$E$9,MATCH($B1368,Settings!$A$5:$A$9,0)),0)+IFERROR(INDEX(Settings!$G$5:$G$9,MATCH($B1368,Settings!$A$5:$A$9,0)),0))+(IFERROR(INDEX(Settings!$C$5:$C$9,MATCH($B1368,Settings!$A$5:$A$9,0)),0)+IFERROR(INDEX(Settings!$F$5:$F$9,MATCH($B1368,Settings!$A$5:$A$9,0)),0))/P1368+IFERROR(INDEX(Settings!$D$5:$D$9,MATCH($B1368,Settings!$A$5:$A$9,0)),0)*M1368)</f>
        <v/>
      </c>
      <c r="W1368" s="11">
        <f>IF(J1368="","",IF(T1368="",0,M1368*INDEX(Products!$I$5:$I$204,T1368)))</f>
        <v/>
      </c>
      <c r="X1368" s="11">
        <f>IF(J1368="","",IF(T1368="",0,S1368*INDEX(Products!$H$5:$H$204,T1368)))</f>
        <v/>
      </c>
      <c r="Y1368" s="11">
        <f>IF(J1368="","",S1368-V1368-W1368-X1368)</f>
        <v/>
      </c>
    </row>
    <row r="1369">
      <c r="A1369" s="19" t="n"/>
      <c r="B1369" s="19" t="n"/>
      <c r="C1369" s="19" t="n"/>
      <c r="D1369" s="19" t="n"/>
      <c r="E1369" s="19" t="n"/>
      <c r="F1369" s="20" t="n"/>
      <c r="G1369" s="20" t="n"/>
      <c r="H1369" s="20" t="n"/>
      <c r="I1369" s="19" t="n"/>
      <c r="J1369">
        <f>IFERROR(IF(C1369="","",C1369)&amp;"","")</f>
        <v/>
      </c>
      <c r="K1369">
        <f>IFERROR(IF(D1369="","",D1369)&amp;"","")</f>
        <v/>
      </c>
      <c r="L1369">
        <f>IFERROR(IF(I1369="","",I1369)&amp;"","")</f>
        <v/>
      </c>
      <c r="M1369">
        <f>IF(J1369="","",IFERROR(VALUE(SUBSTITUTE(SUBSTITUTE(IF(E1369="","",E1369)&amp;"","$",""),",","")),0))</f>
        <v/>
      </c>
      <c r="N1369" s="11">
        <f>IF(J1369="","",IFERROR(VALUE(SUBSTITUTE(SUBSTITUTE(IF(F1369="","",F1369)&amp;"","$",""),",","")),0))</f>
        <v/>
      </c>
      <c r="O1369" s="11">
        <f>IF(J1369="","",M1369*N1369)</f>
        <v/>
      </c>
      <c r="P1369">
        <f>IF(J1369="","",IF(L1369="",1,COUNTIF($L$2:$L$1501,L1369)))</f>
        <v/>
      </c>
      <c r="Q1369" s="11">
        <f>IF(J1369="","",IFERROR(VALUE(SUBSTITUTE(SUBSTITUTE(IF(G1369="","",G1369)&amp;"","$",""),",","")),0)/IF("No"="Yes",P1369,1))</f>
        <v/>
      </c>
      <c r="R1369" s="11">
        <f>IF(J1369="","",IFERROR(VALUE(SUBSTITUTE(SUBSTITUTE(IF(H1369="","",H1369)&amp;"","$",""),",","")),0)/IF("No"="Yes",P1369,1))</f>
        <v/>
      </c>
      <c r="S1369" s="11">
        <f>IF(J1369="","",O1369+Q1369-R1369)</f>
        <v/>
      </c>
      <c r="T1369">
        <f>IF(J1369="","",IFERROR(IF(K1369="",NA(),MATCH(K1369,Products!$B$5:$B$204,0)),IFERROR(MATCH(J1369,Products!$A$5:$A$204,0),"")))</f>
        <v/>
      </c>
      <c r="U1369">
        <f>IF(J1369="","",IF(T1369="","⚠ not in Products",INDEX(Products!$A$5:$A$204,T1369)))</f>
        <v/>
      </c>
      <c r="V1369" s="11">
        <f>IF(J1369="","",S1369*(IFERROR(INDEX(Settings!$B$5:$B$9,MATCH($B1369,Settings!$A$5:$A$9,0)),0)+IFERROR(INDEX(Settings!$E$5:$E$9,MATCH($B1369,Settings!$A$5:$A$9,0)),0)+IFERROR(INDEX(Settings!$G$5:$G$9,MATCH($B1369,Settings!$A$5:$A$9,0)),0))+(IFERROR(INDEX(Settings!$C$5:$C$9,MATCH($B1369,Settings!$A$5:$A$9,0)),0)+IFERROR(INDEX(Settings!$F$5:$F$9,MATCH($B1369,Settings!$A$5:$A$9,0)),0))/P1369+IFERROR(INDEX(Settings!$D$5:$D$9,MATCH($B1369,Settings!$A$5:$A$9,0)),0)*M1369)</f>
        <v/>
      </c>
      <c r="W1369" s="11">
        <f>IF(J1369="","",IF(T1369="",0,M1369*INDEX(Products!$I$5:$I$204,T1369)))</f>
        <v/>
      </c>
      <c r="X1369" s="11">
        <f>IF(J1369="","",IF(T1369="",0,S1369*INDEX(Products!$H$5:$H$204,T1369)))</f>
        <v/>
      </c>
      <c r="Y1369" s="11">
        <f>IF(J1369="","",S1369-V1369-W1369-X1369)</f>
        <v/>
      </c>
    </row>
    <row r="1370">
      <c r="A1370" s="19" t="n"/>
      <c r="B1370" s="19" t="n"/>
      <c r="C1370" s="19" t="n"/>
      <c r="D1370" s="19" t="n"/>
      <c r="E1370" s="19" t="n"/>
      <c r="F1370" s="20" t="n"/>
      <c r="G1370" s="20" t="n"/>
      <c r="H1370" s="20" t="n"/>
      <c r="I1370" s="19" t="n"/>
      <c r="J1370">
        <f>IFERROR(IF(C1370="","",C1370)&amp;"","")</f>
        <v/>
      </c>
      <c r="K1370">
        <f>IFERROR(IF(D1370="","",D1370)&amp;"","")</f>
        <v/>
      </c>
      <c r="L1370">
        <f>IFERROR(IF(I1370="","",I1370)&amp;"","")</f>
        <v/>
      </c>
      <c r="M1370">
        <f>IF(J1370="","",IFERROR(VALUE(SUBSTITUTE(SUBSTITUTE(IF(E1370="","",E1370)&amp;"","$",""),",","")),0))</f>
        <v/>
      </c>
      <c r="N1370" s="11">
        <f>IF(J1370="","",IFERROR(VALUE(SUBSTITUTE(SUBSTITUTE(IF(F1370="","",F1370)&amp;"","$",""),",","")),0))</f>
        <v/>
      </c>
      <c r="O1370" s="11">
        <f>IF(J1370="","",M1370*N1370)</f>
        <v/>
      </c>
      <c r="P1370">
        <f>IF(J1370="","",IF(L1370="",1,COUNTIF($L$2:$L$1501,L1370)))</f>
        <v/>
      </c>
      <c r="Q1370" s="11">
        <f>IF(J1370="","",IFERROR(VALUE(SUBSTITUTE(SUBSTITUTE(IF(G1370="","",G1370)&amp;"","$",""),",","")),0)/IF("No"="Yes",P1370,1))</f>
        <v/>
      </c>
      <c r="R1370" s="11">
        <f>IF(J1370="","",IFERROR(VALUE(SUBSTITUTE(SUBSTITUTE(IF(H1370="","",H1370)&amp;"","$",""),",","")),0)/IF("No"="Yes",P1370,1))</f>
        <v/>
      </c>
      <c r="S1370" s="11">
        <f>IF(J1370="","",O1370+Q1370-R1370)</f>
        <v/>
      </c>
      <c r="T1370">
        <f>IF(J1370="","",IFERROR(IF(K1370="",NA(),MATCH(K1370,Products!$B$5:$B$204,0)),IFERROR(MATCH(J1370,Products!$A$5:$A$204,0),"")))</f>
        <v/>
      </c>
      <c r="U1370">
        <f>IF(J1370="","",IF(T1370="","⚠ not in Products",INDEX(Products!$A$5:$A$204,T1370)))</f>
        <v/>
      </c>
      <c r="V1370" s="11">
        <f>IF(J1370="","",S1370*(IFERROR(INDEX(Settings!$B$5:$B$9,MATCH($B1370,Settings!$A$5:$A$9,0)),0)+IFERROR(INDEX(Settings!$E$5:$E$9,MATCH($B1370,Settings!$A$5:$A$9,0)),0)+IFERROR(INDEX(Settings!$G$5:$G$9,MATCH($B1370,Settings!$A$5:$A$9,0)),0))+(IFERROR(INDEX(Settings!$C$5:$C$9,MATCH($B1370,Settings!$A$5:$A$9,0)),0)+IFERROR(INDEX(Settings!$F$5:$F$9,MATCH($B1370,Settings!$A$5:$A$9,0)),0))/P1370+IFERROR(INDEX(Settings!$D$5:$D$9,MATCH($B1370,Settings!$A$5:$A$9,0)),0)*M1370)</f>
        <v/>
      </c>
      <c r="W1370" s="11">
        <f>IF(J1370="","",IF(T1370="",0,M1370*INDEX(Products!$I$5:$I$204,T1370)))</f>
        <v/>
      </c>
      <c r="X1370" s="11">
        <f>IF(J1370="","",IF(T1370="",0,S1370*INDEX(Products!$H$5:$H$204,T1370)))</f>
        <v/>
      </c>
      <c r="Y1370" s="11">
        <f>IF(J1370="","",S1370-V1370-W1370-X1370)</f>
        <v/>
      </c>
    </row>
    <row r="1371">
      <c r="A1371" s="19" t="n"/>
      <c r="B1371" s="19" t="n"/>
      <c r="C1371" s="19" t="n"/>
      <c r="D1371" s="19" t="n"/>
      <c r="E1371" s="19" t="n"/>
      <c r="F1371" s="20" t="n"/>
      <c r="G1371" s="20" t="n"/>
      <c r="H1371" s="20" t="n"/>
      <c r="I1371" s="19" t="n"/>
      <c r="J1371">
        <f>IFERROR(IF(C1371="","",C1371)&amp;"","")</f>
        <v/>
      </c>
      <c r="K1371">
        <f>IFERROR(IF(D1371="","",D1371)&amp;"","")</f>
        <v/>
      </c>
      <c r="L1371">
        <f>IFERROR(IF(I1371="","",I1371)&amp;"","")</f>
        <v/>
      </c>
      <c r="M1371">
        <f>IF(J1371="","",IFERROR(VALUE(SUBSTITUTE(SUBSTITUTE(IF(E1371="","",E1371)&amp;"","$",""),",","")),0))</f>
        <v/>
      </c>
      <c r="N1371" s="11">
        <f>IF(J1371="","",IFERROR(VALUE(SUBSTITUTE(SUBSTITUTE(IF(F1371="","",F1371)&amp;"","$",""),",","")),0))</f>
        <v/>
      </c>
      <c r="O1371" s="11">
        <f>IF(J1371="","",M1371*N1371)</f>
        <v/>
      </c>
      <c r="P1371">
        <f>IF(J1371="","",IF(L1371="",1,COUNTIF($L$2:$L$1501,L1371)))</f>
        <v/>
      </c>
      <c r="Q1371" s="11">
        <f>IF(J1371="","",IFERROR(VALUE(SUBSTITUTE(SUBSTITUTE(IF(G1371="","",G1371)&amp;"","$",""),",","")),0)/IF("No"="Yes",P1371,1))</f>
        <v/>
      </c>
      <c r="R1371" s="11">
        <f>IF(J1371="","",IFERROR(VALUE(SUBSTITUTE(SUBSTITUTE(IF(H1371="","",H1371)&amp;"","$",""),",","")),0)/IF("No"="Yes",P1371,1))</f>
        <v/>
      </c>
      <c r="S1371" s="11">
        <f>IF(J1371="","",O1371+Q1371-R1371)</f>
        <v/>
      </c>
      <c r="T1371">
        <f>IF(J1371="","",IFERROR(IF(K1371="",NA(),MATCH(K1371,Products!$B$5:$B$204,0)),IFERROR(MATCH(J1371,Products!$A$5:$A$204,0),"")))</f>
        <v/>
      </c>
      <c r="U1371">
        <f>IF(J1371="","",IF(T1371="","⚠ not in Products",INDEX(Products!$A$5:$A$204,T1371)))</f>
        <v/>
      </c>
      <c r="V1371" s="11">
        <f>IF(J1371="","",S1371*(IFERROR(INDEX(Settings!$B$5:$B$9,MATCH($B1371,Settings!$A$5:$A$9,0)),0)+IFERROR(INDEX(Settings!$E$5:$E$9,MATCH($B1371,Settings!$A$5:$A$9,0)),0)+IFERROR(INDEX(Settings!$G$5:$G$9,MATCH($B1371,Settings!$A$5:$A$9,0)),0))+(IFERROR(INDEX(Settings!$C$5:$C$9,MATCH($B1371,Settings!$A$5:$A$9,0)),0)+IFERROR(INDEX(Settings!$F$5:$F$9,MATCH($B1371,Settings!$A$5:$A$9,0)),0))/P1371+IFERROR(INDEX(Settings!$D$5:$D$9,MATCH($B1371,Settings!$A$5:$A$9,0)),0)*M1371)</f>
        <v/>
      </c>
      <c r="W1371" s="11">
        <f>IF(J1371="","",IF(T1371="",0,M1371*INDEX(Products!$I$5:$I$204,T1371)))</f>
        <v/>
      </c>
      <c r="X1371" s="11">
        <f>IF(J1371="","",IF(T1371="",0,S1371*INDEX(Products!$H$5:$H$204,T1371)))</f>
        <v/>
      </c>
      <c r="Y1371" s="11">
        <f>IF(J1371="","",S1371-V1371-W1371-X1371)</f>
        <v/>
      </c>
    </row>
    <row r="1372">
      <c r="A1372" s="19" t="n"/>
      <c r="B1372" s="19" t="n"/>
      <c r="C1372" s="19" t="n"/>
      <c r="D1372" s="19" t="n"/>
      <c r="E1372" s="19" t="n"/>
      <c r="F1372" s="20" t="n"/>
      <c r="G1372" s="20" t="n"/>
      <c r="H1372" s="20" t="n"/>
      <c r="I1372" s="19" t="n"/>
      <c r="J1372">
        <f>IFERROR(IF(C1372="","",C1372)&amp;"","")</f>
        <v/>
      </c>
      <c r="K1372">
        <f>IFERROR(IF(D1372="","",D1372)&amp;"","")</f>
        <v/>
      </c>
      <c r="L1372">
        <f>IFERROR(IF(I1372="","",I1372)&amp;"","")</f>
        <v/>
      </c>
      <c r="M1372">
        <f>IF(J1372="","",IFERROR(VALUE(SUBSTITUTE(SUBSTITUTE(IF(E1372="","",E1372)&amp;"","$",""),",","")),0))</f>
        <v/>
      </c>
      <c r="N1372" s="11">
        <f>IF(J1372="","",IFERROR(VALUE(SUBSTITUTE(SUBSTITUTE(IF(F1372="","",F1372)&amp;"","$",""),",","")),0))</f>
        <v/>
      </c>
      <c r="O1372" s="11">
        <f>IF(J1372="","",M1372*N1372)</f>
        <v/>
      </c>
      <c r="P1372">
        <f>IF(J1372="","",IF(L1372="",1,COUNTIF($L$2:$L$1501,L1372)))</f>
        <v/>
      </c>
      <c r="Q1372" s="11">
        <f>IF(J1372="","",IFERROR(VALUE(SUBSTITUTE(SUBSTITUTE(IF(G1372="","",G1372)&amp;"","$",""),",","")),0)/IF("No"="Yes",P1372,1))</f>
        <v/>
      </c>
      <c r="R1372" s="11">
        <f>IF(J1372="","",IFERROR(VALUE(SUBSTITUTE(SUBSTITUTE(IF(H1372="","",H1372)&amp;"","$",""),",","")),0)/IF("No"="Yes",P1372,1))</f>
        <v/>
      </c>
      <c r="S1372" s="11">
        <f>IF(J1372="","",O1372+Q1372-R1372)</f>
        <v/>
      </c>
      <c r="T1372">
        <f>IF(J1372="","",IFERROR(IF(K1372="",NA(),MATCH(K1372,Products!$B$5:$B$204,0)),IFERROR(MATCH(J1372,Products!$A$5:$A$204,0),"")))</f>
        <v/>
      </c>
      <c r="U1372">
        <f>IF(J1372="","",IF(T1372="","⚠ not in Products",INDEX(Products!$A$5:$A$204,T1372)))</f>
        <v/>
      </c>
      <c r="V1372" s="11">
        <f>IF(J1372="","",S1372*(IFERROR(INDEX(Settings!$B$5:$B$9,MATCH($B1372,Settings!$A$5:$A$9,0)),0)+IFERROR(INDEX(Settings!$E$5:$E$9,MATCH($B1372,Settings!$A$5:$A$9,0)),0)+IFERROR(INDEX(Settings!$G$5:$G$9,MATCH($B1372,Settings!$A$5:$A$9,0)),0))+(IFERROR(INDEX(Settings!$C$5:$C$9,MATCH($B1372,Settings!$A$5:$A$9,0)),0)+IFERROR(INDEX(Settings!$F$5:$F$9,MATCH($B1372,Settings!$A$5:$A$9,0)),0))/P1372+IFERROR(INDEX(Settings!$D$5:$D$9,MATCH($B1372,Settings!$A$5:$A$9,0)),0)*M1372)</f>
        <v/>
      </c>
      <c r="W1372" s="11">
        <f>IF(J1372="","",IF(T1372="",0,M1372*INDEX(Products!$I$5:$I$204,T1372)))</f>
        <v/>
      </c>
      <c r="X1372" s="11">
        <f>IF(J1372="","",IF(T1372="",0,S1372*INDEX(Products!$H$5:$H$204,T1372)))</f>
        <v/>
      </c>
      <c r="Y1372" s="11">
        <f>IF(J1372="","",S1372-V1372-W1372-X1372)</f>
        <v/>
      </c>
    </row>
    <row r="1373">
      <c r="A1373" s="19" t="n"/>
      <c r="B1373" s="19" t="n"/>
      <c r="C1373" s="19" t="n"/>
      <c r="D1373" s="19" t="n"/>
      <c r="E1373" s="19" t="n"/>
      <c r="F1373" s="20" t="n"/>
      <c r="G1373" s="20" t="n"/>
      <c r="H1373" s="20" t="n"/>
      <c r="I1373" s="19" t="n"/>
      <c r="J1373">
        <f>IFERROR(IF(C1373="","",C1373)&amp;"","")</f>
        <v/>
      </c>
      <c r="K1373">
        <f>IFERROR(IF(D1373="","",D1373)&amp;"","")</f>
        <v/>
      </c>
      <c r="L1373">
        <f>IFERROR(IF(I1373="","",I1373)&amp;"","")</f>
        <v/>
      </c>
      <c r="M1373">
        <f>IF(J1373="","",IFERROR(VALUE(SUBSTITUTE(SUBSTITUTE(IF(E1373="","",E1373)&amp;"","$",""),",","")),0))</f>
        <v/>
      </c>
      <c r="N1373" s="11">
        <f>IF(J1373="","",IFERROR(VALUE(SUBSTITUTE(SUBSTITUTE(IF(F1373="","",F1373)&amp;"","$",""),",","")),0))</f>
        <v/>
      </c>
      <c r="O1373" s="11">
        <f>IF(J1373="","",M1373*N1373)</f>
        <v/>
      </c>
      <c r="P1373">
        <f>IF(J1373="","",IF(L1373="",1,COUNTIF($L$2:$L$1501,L1373)))</f>
        <v/>
      </c>
      <c r="Q1373" s="11">
        <f>IF(J1373="","",IFERROR(VALUE(SUBSTITUTE(SUBSTITUTE(IF(G1373="","",G1373)&amp;"","$",""),",","")),0)/IF("No"="Yes",P1373,1))</f>
        <v/>
      </c>
      <c r="R1373" s="11">
        <f>IF(J1373="","",IFERROR(VALUE(SUBSTITUTE(SUBSTITUTE(IF(H1373="","",H1373)&amp;"","$",""),",","")),0)/IF("No"="Yes",P1373,1))</f>
        <v/>
      </c>
      <c r="S1373" s="11">
        <f>IF(J1373="","",O1373+Q1373-R1373)</f>
        <v/>
      </c>
      <c r="T1373">
        <f>IF(J1373="","",IFERROR(IF(K1373="",NA(),MATCH(K1373,Products!$B$5:$B$204,0)),IFERROR(MATCH(J1373,Products!$A$5:$A$204,0),"")))</f>
        <v/>
      </c>
      <c r="U1373">
        <f>IF(J1373="","",IF(T1373="","⚠ not in Products",INDEX(Products!$A$5:$A$204,T1373)))</f>
        <v/>
      </c>
      <c r="V1373" s="11">
        <f>IF(J1373="","",S1373*(IFERROR(INDEX(Settings!$B$5:$B$9,MATCH($B1373,Settings!$A$5:$A$9,0)),0)+IFERROR(INDEX(Settings!$E$5:$E$9,MATCH($B1373,Settings!$A$5:$A$9,0)),0)+IFERROR(INDEX(Settings!$G$5:$G$9,MATCH($B1373,Settings!$A$5:$A$9,0)),0))+(IFERROR(INDEX(Settings!$C$5:$C$9,MATCH($B1373,Settings!$A$5:$A$9,0)),0)+IFERROR(INDEX(Settings!$F$5:$F$9,MATCH($B1373,Settings!$A$5:$A$9,0)),0))/P1373+IFERROR(INDEX(Settings!$D$5:$D$9,MATCH($B1373,Settings!$A$5:$A$9,0)),0)*M1373)</f>
        <v/>
      </c>
      <c r="W1373" s="11">
        <f>IF(J1373="","",IF(T1373="",0,M1373*INDEX(Products!$I$5:$I$204,T1373)))</f>
        <v/>
      </c>
      <c r="X1373" s="11">
        <f>IF(J1373="","",IF(T1373="",0,S1373*INDEX(Products!$H$5:$H$204,T1373)))</f>
        <v/>
      </c>
      <c r="Y1373" s="11">
        <f>IF(J1373="","",S1373-V1373-W1373-X1373)</f>
        <v/>
      </c>
    </row>
    <row r="1374">
      <c r="A1374" s="19" t="n"/>
      <c r="B1374" s="19" t="n"/>
      <c r="C1374" s="19" t="n"/>
      <c r="D1374" s="19" t="n"/>
      <c r="E1374" s="19" t="n"/>
      <c r="F1374" s="20" t="n"/>
      <c r="G1374" s="20" t="n"/>
      <c r="H1374" s="20" t="n"/>
      <c r="I1374" s="19" t="n"/>
      <c r="J1374">
        <f>IFERROR(IF(C1374="","",C1374)&amp;"","")</f>
        <v/>
      </c>
      <c r="K1374">
        <f>IFERROR(IF(D1374="","",D1374)&amp;"","")</f>
        <v/>
      </c>
      <c r="L1374">
        <f>IFERROR(IF(I1374="","",I1374)&amp;"","")</f>
        <v/>
      </c>
      <c r="M1374">
        <f>IF(J1374="","",IFERROR(VALUE(SUBSTITUTE(SUBSTITUTE(IF(E1374="","",E1374)&amp;"","$",""),",","")),0))</f>
        <v/>
      </c>
      <c r="N1374" s="11">
        <f>IF(J1374="","",IFERROR(VALUE(SUBSTITUTE(SUBSTITUTE(IF(F1374="","",F1374)&amp;"","$",""),",","")),0))</f>
        <v/>
      </c>
      <c r="O1374" s="11">
        <f>IF(J1374="","",M1374*N1374)</f>
        <v/>
      </c>
      <c r="P1374">
        <f>IF(J1374="","",IF(L1374="",1,COUNTIF($L$2:$L$1501,L1374)))</f>
        <v/>
      </c>
      <c r="Q1374" s="11">
        <f>IF(J1374="","",IFERROR(VALUE(SUBSTITUTE(SUBSTITUTE(IF(G1374="","",G1374)&amp;"","$",""),",","")),0)/IF("No"="Yes",P1374,1))</f>
        <v/>
      </c>
      <c r="R1374" s="11">
        <f>IF(J1374="","",IFERROR(VALUE(SUBSTITUTE(SUBSTITUTE(IF(H1374="","",H1374)&amp;"","$",""),",","")),0)/IF("No"="Yes",P1374,1))</f>
        <v/>
      </c>
      <c r="S1374" s="11">
        <f>IF(J1374="","",O1374+Q1374-R1374)</f>
        <v/>
      </c>
      <c r="T1374">
        <f>IF(J1374="","",IFERROR(IF(K1374="",NA(),MATCH(K1374,Products!$B$5:$B$204,0)),IFERROR(MATCH(J1374,Products!$A$5:$A$204,0),"")))</f>
        <v/>
      </c>
      <c r="U1374">
        <f>IF(J1374="","",IF(T1374="","⚠ not in Products",INDEX(Products!$A$5:$A$204,T1374)))</f>
        <v/>
      </c>
      <c r="V1374" s="11">
        <f>IF(J1374="","",S1374*(IFERROR(INDEX(Settings!$B$5:$B$9,MATCH($B1374,Settings!$A$5:$A$9,0)),0)+IFERROR(INDEX(Settings!$E$5:$E$9,MATCH($B1374,Settings!$A$5:$A$9,0)),0)+IFERROR(INDEX(Settings!$G$5:$G$9,MATCH($B1374,Settings!$A$5:$A$9,0)),0))+(IFERROR(INDEX(Settings!$C$5:$C$9,MATCH($B1374,Settings!$A$5:$A$9,0)),0)+IFERROR(INDEX(Settings!$F$5:$F$9,MATCH($B1374,Settings!$A$5:$A$9,0)),0))/P1374+IFERROR(INDEX(Settings!$D$5:$D$9,MATCH($B1374,Settings!$A$5:$A$9,0)),0)*M1374)</f>
        <v/>
      </c>
      <c r="W1374" s="11">
        <f>IF(J1374="","",IF(T1374="",0,M1374*INDEX(Products!$I$5:$I$204,T1374)))</f>
        <v/>
      </c>
      <c r="X1374" s="11">
        <f>IF(J1374="","",IF(T1374="",0,S1374*INDEX(Products!$H$5:$H$204,T1374)))</f>
        <v/>
      </c>
      <c r="Y1374" s="11">
        <f>IF(J1374="","",S1374-V1374-W1374-X1374)</f>
        <v/>
      </c>
    </row>
    <row r="1375">
      <c r="A1375" s="19" t="n"/>
      <c r="B1375" s="19" t="n"/>
      <c r="C1375" s="19" t="n"/>
      <c r="D1375" s="19" t="n"/>
      <c r="E1375" s="19" t="n"/>
      <c r="F1375" s="20" t="n"/>
      <c r="G1375" s="20" t="n"/>
      <c r="H1375" s="20" t="n"/>
      <c r="I1375" s="19" t="n"/>
      <c r="J1375">
        <f>IFERROR(IF(C1375="","",C1375)&amp;"","")</f>
        <v/>
      </c>
      <c r="K1375">
        <f>IFERROR(IF(D1375="","",D1375)&amp;"","")</f>
        <v/>
      </c>
      <c r="L1375">
        <f>IFERROR(IF(I1375="","",I1375)&amp;"","")</f>
        <v/>
      </c>
      <c r="M1375">
        <f>IF(J1375="","",IFERROR(VALUE(SUBSTITUTE(SUBSTITUTE(IF(E1375="","",E1375)&amp;"","$",""),",","")),0))</f>
        <v/>
      </c>
      <c r="N1375" s="11">
        <f>IF(J1375="","",IFERROR(VALUE(SUBSTITUTE(SUBSTITUTE(IF(F1375="","",F1375)&amp;"","$",""),",","")),0))</f>
        <v/>
      </c>
      <c r="O1375" s="11">
        <f>IF(J1375="","",M1375*N1375)</f>
        <v/>
      </c>
      <c r="P1375">
        <f>IF(J1375="","",IF(L1375="",1,COUNTIF($L$2:$L$1501,L1375)))</f>
        <v/>
      </c>
      <c r="Q1375" s="11">
        <f>IF(J1375="","",IFERROR(VALUE(SUBSTITUTE(SUBSTITUTE(IF(G1375="","",G1375)&amp;"","$",""),",","")),0)/IF("No"="Yes",P1375,1))</f>
        <v/>
      </c>
      <c r="R1375" s="11">
        <f>IF(J1375="","",IFERROR(VALUE(SUBSTITUTE(SUBSTITUTE(IF(H1375="","",H1375)&amp;"","$",""),",","")),0)/IF("No"="Yes",P1375,1))</f>
        <v/>
      </c>
      <c r="S1375" s="11">
        <f>IF(J1375="","",O1375+Q1375-R1375)</f>
        <v/>
      </c>
      <c r="T1375">
        <f>IF(J1375="","",IFERROR(IF(K1375="",NA(),MATCH(K1375,Products!$B$5:$B$204,0)),IFERROR(MATCH(J1375,Products!$A$5:$A$204,0),"")))</f>
        <v/>
      </c>
      <c r="U1375">
        <f>IF(J1375="","",IF(T1375="","⚠ not in Products",INDEX(Products!$A$5:$A$204,T1375)))</f>
        <v/>
      </c>
      <c r="V1375" s="11">
        <f>IF(J1375="","",S1375*(IFERROR(INDEX(Settings!$B$5:$B$9,MATCH($B1375,Settings!$A$5:$A$9,0)),0)+IFERROR(INDEX(Settings!$E$5:$E$9,MATCH($B1375,Settings!$A$5:$A$9,0)),0)+IFERROR(INDEX(Settings!$G$5:$G$9,MATCH($B1375,Settings!$A$5:$A$9,0)),0))+(IFERROR(INDEX(Settings!$C$5:$C$9,MATCH($B1375,Settings!$A$5:$A$9,0)),0)+IFERROR(INDEX(Settings!$F$5:$F$9,MATCH($B1375,Settings!$A$5:$A$9,0)),0))/P1375+IFERROR(INDEX(Settings!$D$5:$D$9,MATCH($B1375,Settings!$A$5:$A$9,0)),0)*M1375)</f>
        <v/>
      </c>
      <c r="W1375" s="11">
        <f>IF(J1375="","",IF(T1375="",0,M1375*INDEX(Products!$I$5:$I$204,T1375)))</f>
        <v/>
      </c>
      <c r="X1375" s="11">
        <f>IF(J1375="","",IF(T1375="",0,S1375*INDEX(Products!$H$5:$H$204,T1375)))</f>
        <v/>
      </c>
      <c r="Y1375" s="11">
        <f>IF(J1375="","",S1375-V1375-W1375-X1375)</f>
        <v/>
      </c>
    </row>
    <row r="1376">
      <c r="A1376" s="19" t="n"/>
      <c r="B1376" s="19" t="n"/>
      <c r="C1376" s="19" t="n"/>
      <c r="D1376" s="19" t="n"/>
      <c r="E1376" s="19" t="n"/>
      <c r="F1376" s="20" t="n"/>
      <c r="G1376" s="20" t="n"/>
      <c r="H1376" s="20" t="n"/>
      <c r="I1376" s="19" t="n"/>
      <c r="J1376">
        <f>IFERROR(IF(C1376="","",C1376)&amp;"","")</f>
        <v/>
      </c>
      <c r="K1376">
        <f>IFERROR(IF(D1376="","",D1376)&amp;"","")</f>
        <v/>
      </c>
      <c r="L1376">
        <f>IFERROR(IF(I1376="","",I1376)&amp;"","")</f>
        <v/>
      </c>
      <c r="M1376">
        <f>IF(J1376="","",IFERROR(VALUE(SUBSTITUTE(SUBSTITUTE(IF(E1376="","",E1376)&amp;"","$",""),",","")),0))</f>
        <v/>
      </c>
      <c r="N1376" s="11">
        <f>IF(J1376="","",IFERROR(VALUE(SUBSTITUTE(SUBSTITUTE(IF(F1376="","",F1376)&amp;"","$",""),",","")),0))</f>
        <v/>
      </c>
      <c r="O1376" s="11">
        <f>IF(J1376="","",M1376*N1376)</f>
        <v/>
      </c>
      <c r="P1376">
        <f>IF(J1376="","",IF(L1376="",1,COUNTIF($L$2:$L$1501,L1376)))</f>
        <v/>
      </c>
      <c r="Q1376" s="11">
        <f>IF(J1376="","",IFERROR(VALUE(SUBSTITUTE(SUBSTITUTE(IF(G1376="","",G1376)&amp;"","$",""),",","")),0)/IF("No"="Yes",P1376,1))</f>
        <v/>
      </c>
      <c r="R1376" s="11">
        <f>IF(J1376="","",IFERROR(VALUE(SUBSTITUTE(SUBSTITUTE(IF(H1376="","",H1376)&amp;"","$",""),",","")),0)/IF("No"="Yes",P1376,1))</f>
        <v/>
      </c>
      <c r="S1376" s="11">
        <f>IF(J1376="","",O1376+Q1376-R1376)</f>
        <v/>
      </c>
      <c r="T1376">
        <f>IF(J1376="","",IFERROR(IF(K1376="",NA(),MATCH(K1376,Products!$B$5:$B$204,0)),IFERROR(MATCH(J1376,Products!$A$5:$A$204,0),"")))</f>
        <v/>
      </c>
      <c r="U1376">
        <f>IF(J1376="","",IF(T1376="","⚠ not in Products",INDEX(Products!$A$5:$A$204,T1376)))</f>
        <v/>
      </c>
      <c r="V1376" s="11">
        <f>IF(J1376="","",S1376*(IFERROR(INDEX(Settings!$B$5:$B$9,MATCH($B1376,Settings!$A$5:$A$9,0)),0)+IFERROR(INDEX(Settings!$E$5:$E$9,MATCH($B1376,Settings!$A$5:$A$9,0)),0)+IFERROR(INDEX(Settings!$G$5:$G$9,MATCH($B1376,Settings!$A$5:$A$9,0)),0))+(IFERROR(INDEX(Settings!$C$5:$C$9,MATCH($B1376,Settings!$A$5:$A$9,0)),0)+IFERROR(INDEX(Settings!$F$5:$F$9,MATCH($B1376,Settings!$A$5:$A$9,0)),0))/P1376+IFERROR(INDEX(Settings!$D$5:$D$9,MATCH($B1376,Settings!$A$5:$A$9,0)),0)*M1376)</f>
        <v/>
      </c>
      <c r="W1376" s="11">
        <f>IF(J1376="","",IF(T1376="",0,M1376*INDEX(Products!$I$5:$I$204,T1376)))</f>
        <v/>
      </c>
      <c r="X1376" s="11">
        <f>IF(J1376="","",IF(T1376="",0,S1376*INDEX(Products!$H$5:$H$204,T1376)))</f>
        <v/>
      </c>
      <c r="Y1376" s="11">
        <f>IF(J1376="","",S1376-V1376-W1376-X1376)</f>
        <v/>
      </c>
    </row>
    <row r="1377">
      <c r="A1377" s="19" t="n"/>
      <c r="B1377" s="19" t="n"/>
      <c r="C1377" s="19" t="n"/>
      <c r="D1377" s="19" t="n"/>
      <c r="E1377" s="19" t="n"/>
      <c r="F1377" s="20" t="n"/>
      <c r="G1377" s="20" t="n"/>
      <c r="H1377" s="20" t="n"/>
      <c r="I1377" s="19" t="n"/>
      <c r="J1377">
        <f>IFERROR(IF(C1377="","",C1377)&amp;"","")</f>
        <v/>
      </c>
      <c r="K1377">
        <f>IFERROR(IF(D1377="","",D1377)&amp;"","")</f>
        <v/>
      </c>
      <c r="L1377">
        <f>IFERROR(IF(I1377="","",I1377)&amp;"","")</f>
        <v/>
      </c>
      <c r="M1377">
        <f>IF(J1377="","",IFERROR(VALUE(SUBSTITUTE(SUBSTITUTE(IF(E1377="","",E1377)&amp;"","$",""),",","")),0))</f>
        <v/>
      </c>
      <c r="N1377" s="11">
        <f>IF(J1377="","",IFERROR(VALUE(SUBSTITUTE(SUBSTITUTE(IF(F1377="","",F1377)&amp;"","$",""),",","")),0))</f>
        <v/>
      </c>
      <c r="O1377" s="11">
        <f>IF(J1377="","",M1377*N1377)</f>
        <v/>
      </c>
      <c r="P1377">
        <f>IF(J1377="","",IF(L1377="",1,COUNTIF($L$2:$L$1501,L1377)))</f>
        <v/>
      </c>
      <c r="Q1377" s="11">
        <f>IF(J1377="","",IFERROR(VALUE(SUBSTITUTE(SUBSTITUTE(IF(G1377="","",G1377)&amp;"","$",""),",","")),0)/IF("No"="Yes",P1377,1))</f>
        <v/>
      </c>
      <c r="R1377" s="11">
        <f>IF(J1377="","",IFERROR(VALUE(SUBSTITUTE(SUBSTITUTE(IF(H1377="","",H1377)&amp;"","$",""),",","")),0)/IF("No"="Yes",P1377,1))</f>
        <v/>
      </c>
      <c r="S1377" s="11">
        <f>IF(J1377="","",O1377+Q1377-R1377)</f>
        <v/>
      </c>
      <c r="T1377">
        <f>IF(J1377="","",IFERROR(IF(K1377="",NA(),MATCH(K1377,Products!$B$5:$B$204,0)),IFERROR(MATCH(J1377,Products!$A$5:$A$204,0),"")))</f>
        <v/>
      </c>
      <c r="U1377">
        <f>IF(J1377="","",IF(T1377="","⚠ not in Products",INDEX(Products!$A$5:$A$204,T1377)))</f>
        <v/>
      </c>
      <c r="V1377" s="11">
        <f>IF(J1377="","",S1377*(IFERROR(INDEX(Settings!$B$5:$B$9,MATCH($B1377,Settings!$A$5:$A$9,0)),0)+IFERROR(INDEX(Settings!$E$5:$E$9,MATCH($B1377,Settings!$A$5:$A$9,0)),0)+IFERROR(INDEX(Settings!$G$5:$G$9,MATCH($B1377,Settings!$A$5:$A$9,0)),0))+(IFERROR(INDEX(Settings!$C$5:$C$9,MATCH($B1377,Settings!$A$5:$A$9,0)),0)+IFERROR(INDEX(Settings!$F$5:$F$9,MATCH($B1377,Settings!$A$5:$A$9,0)),0))/P1377+IFERROR(INDEX(Settings!$D$5:$D$9,MATCH($B1377,Settings!$A$5:$A$9,0)),0)*M1377)</f>
        <v/>
      </c>
      <c r="W1377" s="11">
        <f>IF(J1377="","",IF(T1377="",0,M1377*INDEX(Products!$I$5:$I$204,T1377)))</f>
        <v/>
      </c>
      <c r="X1377" s="11">
        <f>IF(J1377="","",IF(T1377="",0,S1377*INDEX(Products!$H$5:$H$204,T1377)))</f>
        <v/>
      </c>
      <c r="Y1377" s="11">
        <f>IF(J1377="","",S1377-V1377-W1377-X1377)</f>
        <v/>
      </c>
    </row>
    <row r="1378">
      <c r="A1378" s="19" t="n"/>
      <c r="B1378" s="19" t="n"/>
      <c r="C1378" s="19" t="n"/>
      <c r="D1378" s="19" t="n"/>
      <c r="E1378" s="19" t="n"/>
      <c r="F1378" s="20" t="n"/>
      <c r="G1378" s="20" t="n"/>
      <c r="H1378" s="20" t="n"/>
      <c r="I1378" s="19" t="n"/>
      <c r="J1378">
        <f>IFERROR(IF(C1378="","",C1378)&amp;"","")</f>
        <v/>
      </c>
      <c r="K1378">
        <f>IFERROR(IF(D1378="","",D1378)&amp;"","")</f>
        <v/>
      </c>
      <c r="L1378">
        <f>IFERROR(IF(I1378="","",I1378)&amp;"","")</f>
        <v/>
      </c>
      <c r="M1378">
        <f>IF(J1378="","",IFERROR(VALUE(SUBSTITUTE(SUBSTITUTE(IF(E1378="","",E1378)&amp;"","$",""),",","")),0))</f>
        <v/>
      </c>
      <c r="N1378" s="11">
        <f>IF(J1378="","",IFERROR(VALUE(SUBSTITUTE(SUBSTITUTE(IF(F1378="","",F1378)&amp;"","$",""),",","")),0))</f>
        <v/>
      </c>
      <c r="O1378" s="11">
        <f>IF(J1378="","",M1378*N1378)</f>
        <v/>
      </c>
      <c r="P1378">
        <f>IF(J1378="","",IF(L1378="",1,COUNTIF($L$2:$L$1501,L1378)))</f>
        <v/>
      </c>
      <c r="Q1378" s="11">
        <f>IF(J1378="","",IFERROR(VALUE(SUBSTITUTE(SUBSTITUTE(IF(G1378="","",G1378)&amp;"","$",""),",","")),0)/IF("No"="Yes",P1378,1))</f>
        <v/>
      </c>
      <c r="R1378" s="11">
        <f>IF(J1378="","",IFERROR(VALUE(SUBSTITUTE(SUBSTITUTE(IF(H1378="","",H1378)&amp;"","$",""),",","")),0)/IF("No"="Yes",P1378,1))</f>
        <v/>
      </c>
      <c r="S1378" s="11">
        <f>IF(J1378="","",O1378+Q1378-R1378)</f>
        <v/>
      </c>
      <c r="T1378">
        <f>IF(J1378="","",IFERROR(IF(K1378="",NA(),MATCH(K1378,Products!$B$5:$B$204,0)),IFERROR(MATCH(J1378,Products!$A$5:$A$204,0),"")))</f>
        <v/>
      </c>
      <c r="U1378">
        <f>IF(J1378="","",IF(T1378="","⚠ not in Products",INDEX(Products!$A$5:$A$204,T1378)))</f>
        <v/>
      </c>
      <c r="V1378" s="11">
        <f>IF(J1378="","",S1378*(IFERROR(INDEX(Settings!$B$5:$B$9,MATCH($B1378,Settings!$A$5:$A$9,0)),0)+IFERROR(INDEX(Settings!$E$5:$E$9,MATCH($B1378,Settings!$A$5:$A$9,0)),0)+IFERROR(INDEX(Settings!$G$5:$G$9,MATCH($B1378,Settings!$A$5:$A$9,0)),0))+(IFERROR(INDEX(Settings!$C$5:$C$9,MATCH($B1378,Settings!$A$5:$A$9,0)),0)+IFERROR(INDEX(Settings!$F$5:$F$9,MATCH($B1378,Settings!$A$5:$A$9,0)),0))/P1378+IFERROR(INDEX(Settings!$D$5:$D$9,MATCH($B1378,Settings!$A$5:$A$9,0)),0)*M1378)</f>
        <v/>
      </c>
      <c r="W1378" s="11">
        <f>IF(J1378="","",IF(T1378="",0,M1378*INDEX(Products!$I$5:$I$204,T1378)))</f>
        <v/>
      </c>
      <c r="X1378" s="11">
        <f>IF(J1378="","",IF(T1378="",0,S1378*INDEX(Products!$H$5:$H$204,T1378)))</f>
        <v/>
      </c>
      <c r="Y1378" s="11">
        <f>IF(J1378="","",S1378-V1378-W1378-X1378)</f>
        <v/>
      </c>
    </row>
    <row r="1379">
      <c r="A1379" s="19" t="n"/>
      <c r="B1379" s="19" t="n"/>
      <c r="C1379" s="19" t="n"/>
      <c r="D1379" s="19" t="n"/>
      <c r="E1379" s="19" t="n"/>
      <c r="F1379" s="20" t="n"/>
      <c r="G1379" s="20" t="n"/>
      <c r="H1379" s="20" t="n"/>
      <c r="I1379" s="19" t="n"/>
      <c r="J1379">
        <f>IFERROR(IF(C1379="","",C1379)&amp;"","")</f>
        <v/>
      </c>
      <c r="K1379">
        <f>IFERROR(IF(D1379="","",D1379)&amp;"","")</f>
        <v/>
      </c>
      <c r="L1379">
        <f>IFERROR(IF(I1379="","",I1379)&amp;"","")</f>
        <v/>
      </c>
      <c r="M1379">
        <f>IF(J1379="","",IFERROR(VALUE(SUBSTITUTE(SUBSTITUTE(IF(E1379="","",E1379)&amp;"","$",""),",","")),0))</f>
        <v/>
      </c>
      <c r="N1379" s="11">
        <f>IF(J1379="","",IFERROR(VALUE(SUBSTITUTE(SUBSTITUTE(IF(F1379="","",F1379)&amp;"","$",""),",","")),0))</f>
        <v/>
      </c>
      <c r="O1379" s="11">
        <f>IF(J1379="","",M1379*N1379)</f>
        <v/>
      </c>
      <c r="P1379">
        <f>IF(J1379="","",IF(L1379="",1,COUNTIF($L$2:$L$1501,L1379)))</f>
        <v/>
      </c>
      <c r="Q1379" s="11">
        <f>IF(J1379="","",IFERROR(VALUE(SUBSTITUTE(SUBSTITUTE(IF(G1379="","",G1379)&amp;"","$",""),",","")),0)/IF("No"="Yes",P1379,1))</f>
        <v/>
      </c>
      <c r="R1379" s="11">
        <f>IF(J1379="","",IFERROR(VALUE(SUBSTITUTE(SUBSTITUTE(IF(H1379="","",H1379)&amp;"","$",""),",","")),0)/IF("No"="Yes",P1379,1))</f>
        <v/>
      </c>
      <c r="S1379" s="11">
        <f>IF(J1379="","",O1379+Q1379-R1379)</f>
        <v/>
      </c>
      <c r="T1379">
        <f>IF(J1379="","",IFERROR(IF(K1379="",NA(),MATCH(K1379,Products!$B$5:$B$204,0)),IFERROR(MATCH(J1379,Products!$A$5:$A$204,0),"")))</f>
        <v/>
      </c>
      <c r="U1379">
        <f>IF(J1379="","",IF(T1379="","⚠ not in Products",INDEX(Products!$A$5:$A$204,T1379)))</f>
        <v/>
      </c>
      <c r="V1379" s="11">
        <f>IF(J1379="","",S1379*(IFERROR(INDEX(Settings!$B$5:$B$9,MATCH($B1379,Settings!$A$5:$A$9,0)),0)+IFERROR(INDEX(Settings!$E$5:$E$9,MATCH($B1379,Settings!$A$5:$A$9,0)),0)+IFERROR(INDEX(Settings!$G$5:$G$9,MATCH($B1379,Settings!$A$5:$A$9,0)),0))+(IFERROR(INDEX(Settings!$C$5:$C$9,MATCH($B1379,Settings!$A$5:$A$9,0)),0)+IFERROR(INDEX(Settings!$F$5:$F$9,MATCH($B1379,Settings!$A$5:$A$9,0)),0))/P1379+IFERROR(INDEX(Settings!$D$5:$D$9,MATCH($B1379,Settings!$A$5:$A$9,0)),0)*M1379)</f>
        <v/>
      </c>
      <c r="W1379" s="11">
        <f>IF(J1379="","",IF(T1379="",0,M1379*INDEX(Products!$I$5:$I$204,T1379)))</f>
        <v/>
      </c>
      <c r="X1379" s="11">
        <f>IF(J1379="","",IF(T1379="",0,S1379*INDEX(Products!$H$5:$H$204,T1379)))</f>
        <v/>
      </c>
      <c r="Y1379" s="11">
        <f>IF(J1379="","",S1379-V1379-W1379-X1379)</f>
        <v/>
      </c>
    </row>
    <row r="1380">
      <c r="A1380" s="19" t="n"/>
      <c r="B1380" s="19" t="n"/>
      <c r="C1380" s="19" t="n"/>
      <c r="D1380" s="19" t="n"/>
      <c r="E1380" s="19" t="n"/>
      <c r="F1380" s="20" t="n"/>
      <c r="G1380" s="20" t="n"/>
      <c r="H1380" s="20" t="n"/>
      <c r="I1380" s="19" t="n"/>
      <c r="J1380">
        <f>IFERROR(IF(C1380="","",C1380)&amp;"","")</f>
        <v/>
      </c>
      <c r="K1380">
        <f>IFERROR(IF(D1380="","",D1380)&amp;"","")</f>
        <v/>
      </c>
      <c r="L1380">
        <f>IFERROR(IF(I1380="","",I1380)&amp;"","")</f>
        <v/>
      </c>
      <c r="M1380">
        <f>IF(J1380="","",IFERROR(VALUE(SUBSTITUTE(SUBSTITUTE(IF(E1380="","",E1380)&amp;"","$",""),",","")),0))</f>
        <v/>
      </c>
      <c r="N1380" s="11">
        <f>IF(J1380="","",IFERROR(VALUE(SUBSTITUTE(SUBSTITUTE(IF(F1380="","",F1380)&amp;"","$",""),",","")),0))</f>
        <v/>
      </c>
      <c r="O1380" s="11">
        <f>IF(J1380="","",M1380*N1380)</f>
        <v/>
      </c>
      <c r="P1380">
        <f>IF(J1380="","",IF(L1380="",1,COUNTIF($L$2:$L$1501,L1380)))</f>
        <v/>
      </c>
      <c r="Q1380" s="11">
        <f>IF(J1380="","",IFERROR(VALUE(SUBSTITUTE(SUBSTITUTE(IF(G1380="","",G1380)&amp;"","$",""),",","")),0)/IF("No"="Yes",P1380,1))</f>
        <v/>
      </c>
      <c r="R1380" s="11">
        <f>IF(J1380="","",IFERROR(VALUE(SUBSTITUTE(SUBSTITUTE(IF(H1380="","",H1380)&amp;"","$",""),",","")),0)/IF("No"="Yes",P1380,1))</f>
        <v/>
      </c>
      <c r="S1380" s="11">
        <f>IF(J1380="","",O1380+Q1380-R1380)</f>
        <v/>
      </c>
      <c r="T1380">
        <f>IF(J1380="","",IFERROR(IF(K1380="",NA(),MATCH(K1380,Products!$B$5:$B$204,0)),IFERROR(MATCH(J1380,Products!$A$5:$A$204,0),"")))</f>
        <v/>
      </c>
      <c r="U1380">
        <f>IF(J1380="","",IF(T1380="","⚠ not in Products",INDEX(Products!$A$5:$A$204,T1380)))</f>
        <v/>
      </c>
      <c r="V1380" s="11">
        <f>IF(J1380="","",S1380*(IFERROR(INDEX(Settings!$B$5:$B$9,MATCH($B1380,Settings!$A$5:$A$9,0)),0)+IFERROR(INDEX(Settings!$E$5:$E$9,MATCH($B1380,Settings!$A$5:$A$9,0)),0)+IFERROR(INDEX(Settings!$G$5:$G$9,MATCH($B1380,Settings!$A$5:$A$9,0)),0))+(IFERROR(INDEX(Settings!$C$5:$C$9,MATCH($B1380,Settings!$A$5:$A$9,0)),0)+IFERROR(INDEX(Settings!$F$5:$F$9,MATCH($B1380,Settings!$A$5:$A$9,0)),0))/P1380+IFERROR(INDEX(Settings!$D$5:$D$9,MATCH($B1380,Settings!$A$5:$A$9,0)),0)*M1380)</f>
        <v/>
      </c>
      <c r="W1380" s="11">
        <f>IF(J1380="","",IF(T1380="",0,M1380*INDEX(Products!$I$5:$I$204,T1380)))</f>
        <v/>
      </c>
      <c r="X1380" s="11">
        <f>IF(J1380="","",IF(T1380="",0,S1380*INDEX(Products!$H$5:$H$204,T1380)))</f>
        <v/>
      </c>
      <c r="Y1380" s="11">
        <f>IF(J1380="","",S1380-V1380-W1380-X1380)</f>
        <v/>
      </c>
    </row>
    <row r="1381">
      <c r="A1381" s="19" t="n"/>
      <c r="B1381" s="19" t="n"/>
      <c r="C1381" s="19" t="n"/>
      <c r="D1381" s="19" t="n"/>
      <c r="E1381" s="19" t="n"/>
      <c r="F1381" s="20" t="n"/>
      <c r="G1381" s="20" t="n"/>
      <c r="H1381" s="20" t="n"/>
      <c r="I1381" s="19" t="n"/>
      <c r="J1381">
        <f>IFERROR(IF(C1381="","",C1381)&amp;"","")</f>
        <v/>
      </c>
      <c r="K1381">
        <f>IFERROR(IF(D1381="","",D1381)&amp;"","")</f>
        <v/>
      </c>
      <c r="L1381">
        <f>IFERROR(IF(I1381="","",I1381)&amp;"","")</f>
        <v/>
      </c>
      <c r="M1381">
        <f>IF(J1381="","",IFERROR(VALUE(SUBSTITUTE(SUBSTITUTE(IF(E1381="","",E1381)&amp;"","$",""),",","")),0))</f>
        <v/>
      </c>
      <c r="N1381" s="11">
        <f>IF(J1381="","",IFERROR(VALUE(SUBSTITUTE(SUBSTITUTE(IF(F1381="","",F1381)&amp;"","$",""),",","")),0))</f>
        <v/>
      </c>
      <c r="O1381" s="11">
        <f>IF(J1381="","",M1381*N1381)</f>
        <v/>
      </c>
      <c r="P1381">
        <f>IF(J1381="","",IF(L1381="",1,COUNTIF($L$2:$L$1501,L1381)))</f>
        <v/>
      </c>
      <c r="Q1381" s="11">
        <f>IF(J1381="","",IFERROR(VALUE(SUBSTITUTE(SUBSTITUTE(IF(G1381="","",G1381)&amp;"","$",""),",","")),0)/IF("No"="Yes",P1381,1))</f>
        <v/>
      </c>
      <c r="R1381" s="11">
        <f>IF(J1381="","",IFERROR(VALUE(SUBSTITUTE(SUBSTITUTE(IF(H1381="","",H1381)&amp;"","$",""),",","")),0)/IF("No"="Yes",P1381,1))</f>
        <v/>
      </c>
      <c r="S1381" s="11">
        <f>IF(J1381="","",O1381+Q1381-R1381)</f>
        <v/>
      </c>
      <c r="T1381">
        <f>IF(J1381="","",IFERROR(IF(K1381="",NA(),MATCH(K1381,Products!$B$5:$B$204,0)),IFERROR(MATCH(J1381,Products!$A$5:$A$204,0),"")))</f>
        <v/>
      </c>
      <c r="U1381">
        <f>IF(J1381="","",IF(T1381="","⚠ not in Products",INDEX(Products!$A$5:$A$204,T1381)))</f>
        <v/>
      </c>
      <c r="V1381" s="11">
        <f>IF(J1381="","",S1381*(IFERROR(INDEX(Settings!$B$5:$B$9,MATCH($B1381,Settings!$A$5:$A$9,0)),0)+IFERROR(INDEX(Settings!$E$5:$E$9,MATCH($B1381,Settings!$A$5:$A$9,0)),0)+IFERROR(INDEX(Settings!$G$5:$G$9,MATCH($B1381,Settings!$A$5:$A$9,0)),0))+(IFERROR(INDEX(Settings!$C$5:$C$9,MATCH($B1381,Settings!$A$5:$A$9,0)),0)+IFERROR(INDEX(Settings!$F$5:$F$9,MATCH($B1381,Settings!$A$5:$A$9,0)),0))/P1381+IFERROR(INDEX(Settings!$D$5:$D$9,MATCH($B1381,Settings!$A$5:$A$9,0)),0)*M1381)</f>
        <v/>
      </c>
      <c r="W1381" s="11">
        <f>IF(J1381="","",IF(T1381="",0,M1381*INDEX(Products!$I$5:$I$204,T1381)))</f>
        <v/>
      </c>
      <c r="X1381" s="11">
        <f>IF(J1381="","",IF(T1381="",0,S1381*INDEX(Products!$H$5:$H$204,T1381)))</f>
        <v/>
      </c>
      <c r="Y1381" s="11">
        <f>IF(J1381="","",S1381-V1381-W1381-X1381)</f>
        <v/>
      </c>
    </row>
    <row r="1382">
      <c r="A1382" s="19" t="n"/>
      <c r="B1382" s="19" t="n"/>
      <c r="C1382" s="19" t="n"/>
      <c r="D1382" s="19" t="n"/>
      <c r="E1382" s="19" t="n"/>
      <c r="F1382" s="20" t="n"/>
      <c r="G1382" s="20" t="n"/>
      <c r="H1382" s="20" t="n"/>
      <c r="I1382" s="19" t="n"/>
      <c r="J1382">
        <f>IFERROR(IF(C1382="","",C1382)&amp;"","")</f>
        <v/>
      </c>
      <c r="K1382">
        <f>IFERROR(IF(D1382="","",D1382)&amp;"","")</f>
        <v/>
      </c>
      <c r="L1382">
        <f>IFERROR(IF(I1382="","",I1382)&amp;"","")</f>
        <v/>
      </c>
      <c r="M1382">
        <f>IF(J1382="","",IFERROR(VALUE(SUBSTITUTE(SUBSTITUTE(IF(E1382="","",E1382)&amp;"","$",""),",","")),0))</f>
        <v/>
      </c>
      <c r="N1382" s="11">
        <f>IF(J1382="","",IFERROR(VALUE(SUBSTITUTE(SUBSTITUTE(IF(F1382="","",F1382)&amp;"","$",""),",","")),0))</f>
        <v/>
      </c>
      <c r="O1382" s="11">
        <f>IF(J1382="","",M1382*N1382)</f>
        <v/>
      </c>
      <c r="P1382">
        <f>IF(J1382="","",IF(L1382="",1,COUNTIF($L$2:$L$1501,L1382)))</f>
        <v/>
      </c>
      <c r="Q1382" s="11">
        <f>IF(J1382="","",IFERROR(VALUE(SUBSTITUTE(SUBSTITUTE(IF(G1382="","",G1382)&amp;"","$",""),",","")),0)/IF("No"="Yes",P1382,1))</f>
        <v/>
      </c>
      <c r="R1382" s="11">
        <f>IF(J1382="","",IFERROR(VALUE(SUBSTITUTE(SUBSTITUTE(IF(H1382="","",H1382)&amp;"","$",""),",","")),0)/IF("No"="Yes",P1382,1))</f>
        <v/>
      </c>
      <c r="S1382" s="11">
        <f>IF(J1382="","",O1382+Q1382-R1382)</f>
        <v/>
      </c>
      <c r="T1382">
        <f>IF(J1382="","",IFERROR(IF(K1382="",NA(),MATCH(K1382,Products!$B$5:$B$204,0)),IFERROR(MATCH(J1382,Products!$A$5:$A$204,0),"")))</f>
        <v/>
      </c>
      <c r="U1382">
        <f>IF(J1382="","",IF(T1382="","⚠ not in Products",INDEX(Products!$A$5:$A$204,T1382)))</f>
        <v/>
      </c>
      <c r="V1382" s="11">
        <f>IF(J1382="","",S1382*(IFERROR(INDEX(Settings!$B$5:$B$9,MATCH($B1382,Settings!$A$5:$A$9,0)),0)+IFERROR(INDEX(Settings!$E$5:$E$9,MATCH($B1382,Settings!$A$5:$A$9,0)),0)+IFERROR(INDEX(Settings!$G$5:$G$9,MATCH($B1382,Settings!$A$5:$A$9,0)),0))+(IFERROR(INDEX(Settings!$C$5:$C$9,MATCH($B1382,Settings!$A$5:$A$9,0)),0)+IFERROR(INDEX(Settings!$F$5:$F$9,MATCH($B1382,Settings!$A$5:$A$9,0)),0))/P1382+IFERROR(INDEX(Settings!$D$5:$D$9,MATCH($B1382,Settings!$A$5:$A$9,0)),0)*M1382)</f>
        <v/>
      </c>
      <c r="W1382" s="11">
        <f>IF(J1382="","",IF(T1382="",0,M1382*INDEX(Products!$I$5:$I$204,T1382)))</f>
        <v/>
      </c>
      <c r="X1382" s="11">
        <f>IF(J1382="","",IF(T1382="",0,S1382*INDEX(Products!$H$5:$H$204,T1382)))</f>
        <v/>
      </c>
      <c r="Y1382" s="11">
        <f>IF(J1382="","",S1382-V1382-W1382-X1382)</f>
        <v/>
      </c>
    </row>
    <row r="1383">
      <c r="A1383" s="19" t="n"/>
      <c r="B1383" s="19" t="n"/>
      <c r="C1383" s="19" t="n"/>
      <c r="D1383" s="19" t="n"/>
      <c r="E1383" s="19" t="n"/>
      <c r="F1383" s="20" t="n"/>
      <c r="G1383" s="20" t="n"/>
      <c r="H1383" s="20" t="n"/>
      <c r="I1383" s="19" t="n"/>
      <c r="J1383">
        <f>IFERROR(IF(C1383="","",C1383)&amp;"","")</f>
        <v/>
      </c>
      <c r="K1383">
        <f>IFERROR(IF(D1383="","",D1383)&amp;"","")</f>
        <v/>
      </c>
      <c r="L1383">
        <f>IFERROR(IF(I1383="","",I1383)&amp;"","")</f>
        <v/>
      </c>
      <c r="M1383">
        <f>IF(J1383="","",IFERROR(VALUE(SUBSTITUTE(SUBSTITUTE(IF(E1383="","",E1383)&amp;"","$",""),",","")),0))</f>
        <v/>
      </c>
      <c r="N1383" s="11">
        <f>IF(J1383="","",IFERROR(VALUE(SUBSTITUTE(SUBSTITUTE(IF(F1383="","",F1383)&amp;"","$",""),",","")),0))</f>
        <v/>
      </c>
      <c r="O1383" s="11">
        <f>IF(J1383="","",M1383*N1383)</f>
        <v/>
      </c>
      <c r="P1383">
        <f>IF(J1383="","",IF(L1383="",1,COUNTIF($L$2:$L$1501,L1383)))</f>
        <v/>
      </c>
      <c r="Q1383" s="11">
        <f>IF(J1383="","",IFERROR(VALUE(SUBSTITUTE(SUBSTITUTE(IF(G1383="","",G1383)&amp;"","$",""),",","")),0)/IF("No"="Yes",P1383,1))</f>
        <v/>
      </c>
      <c r="R1383" s="11">
        <f>IF(J1383="","",IFERROR(VALUE(SUBSTITUTE(SUBSTITUTE(IF(H1383="","",H1383)&amp;"","$",""),",","")),0)/IF("No"="Yes",P1383,1))</f>
        <v/>
      </c>
      <c r="S1383" s="11">
        <f>IF(J1383="","",O1383+Q1383-R1383)</f>
        <v/>
      </c>
      <c r="T1383">
        <f>IF(J1383="","",IFERROR(IF(K1383="",NA(),MATCH(K1383,Products!$B$5:$B$204,0)),IFERROR(MATCH(J1383,Products!$A$5:$A$204,0),"")))</f>
        <v/>
      </c>
      <c r="U1383">
        <f>IF(J1383="","",IF(T1383="","⚠ not in Products",INDEX(Products!$A$5:$A$204,T1383)))</f>
        <v/>
      </c>
      <c r="V1383" s="11">
        <f>IF(J1383="","",S1383*(IFERROR(INDEX(Settings!$B$5:$B$9,MATCH($B1383,Settings!$A$5:$A$9,0)),0)+IFERROR(INDEX(Settings!$E$5:$E$9,MATCH($B1383,Settings!$A$5:$A$9,0)),0)+IFERROR(INDEX(Settings!$G$5:$G$9,MATCH($B1383,Settings!$A$5:$A$9,0)),0))+(IFERROR(INDEX(Settings!$C$5:$C$9,MATCH($B1383,Settings!$A$5:$A$9,0)),0)+IFERROR(INDEX(Settings!$F$5:$F$9,MATCH($B1383,Settings!$A$5:$A$9,0)),0))/P1383+IFERROR(INDEX(Settings!$D$5:$D$9,MATCH($B1383,Settings!$A$5:$A$9,0)),0)*M1383)</f>
        <v/>
      </c>
      <c r="W1383" s="11">
        <f>IF(J1383="","",IF(T1383="",0,M1383*INDEX(Products!$I$5:$I$204,T1383)))</f>
        <v/>
      </c>
      <c r="X1383" s="11">
        <f>IF(J1383="","",IF(T1383="",0,S1383*INDEX(Products!$H$5:$H$204,T1383)))</f>
        <v/>
      </c>
      <c r="Y1383" s="11">
        <f>IF(J1383="","",S1383-V1383-W1383-X1383)</f>
        <v/>
      </c>
    </row>
    <row r="1384">
      <c r="A1384" s="19" t="n"/>
      <c r="B1384" s="19" t="n"/>
      <c r="C1384" s="19" t="n"/>
      <c r="D1384" s="19" t="n"/>
      <c r="E1384" s="19" t="n"/>
      <c r="F1384" s="20" t="n"/>
      <c r="G1384" s="20" t="n"/>
      <c r="H1384" s="20" t="n"/>
      <c r="I1384" s="19" t="n"/>
      <c r="J1384">
        <f>IFERROR(IF(C1384="","",C1384)&amp;"","")</f>
        <v/>
      </c>
      <c r="K1384">
        <f>IFERROR(IF(D1384="","",D1384)&amp;"","")</f>
        <v/>
      </c>
      <c r="L1384">
        <f>IFERROR(IF(I1384="","",I1384)&amp;"","")</f>
        <v/>
      </c>
      <c r="M1384">
        <f>IF(J1384="","",IFERROR(VALUE(SUBSTITUTE(SUBSTITUTE(IF(E1384="","",E1384)&amp;"","$",""),",","")),0))</f>
        <v/>
      </c>
      <c r="N1384" s="11">
        <f>IF(J1384="","",IFERROR(VALUE(SUBSTITUTE(SUBSTITUTE(IF(F1384="","",F1384)&amp;"","$",""),",","")),0))</f>
        <v/>
      </c>
      <c r="O1384" s="11">
        <f>IF(J1384="","",M1384*N1384)</f>
        <v/>
      </c>
      <c r="P1384">
        <f>IF(J1384="","",IF(L1384="",1,COUNTIF($L$2:$L$1501,L1384)))</f>
        <v/>
      </c>
      <c r="Q1384" s="11">
        <f>IF(J1384="","",IFERROR(VALUE(SUBSTITUTE(SUBSTITUTE(IF(G1384="","",G1384)&amp;"","$",""),",","")),0)/IF("No"="Yes",P1384,1))</f>
        <v/>
      </c>
      <c r="R1384" s="11">
        <f>IF(J1384="","",IFERROR(VALUE(SUBSTITUTE(SUBSTITUTE(IF(H1384="","",H1384)&amp;"","$",""),",","")),0)/IF("No"="Yes",P1384,1))</f>
        <v/>
      </c>
      <c r="S1384" s="11">
        <f>IF(J1384="","",O1384+Q1384-R1384)</f>
        <v/>
      </c>
      <c r="T1384">
        <f>IF(J1384="","",IFERROR(IF(K1384="",NA(),MATCH(K1384,Products!$B$5:$B$204,0)),IFERROR(MATCH(J1384,Products!$A$5:$A$204,0),"")))</f>
        <v/>
      </c>
      <c r="U1384">
        <f>IF(J1384="","",IF(T1384="","⚠ not in Products",INDEX(Products!$A$5:$A$204,T1384)))</f>
        <v/>
      </c>
      <c r="V1384" s="11">
        <f>IF(J1384="","",S1384*(IFERROR(INDEX(Settings!$B$5:$B$9,MATCH($B1384,Settings!$A$5:$A$9,0)),0)+IFERROR(INDEX(Settings!$E$5:$E$9,MATCH($B1384,Settings!$A$5:$A$9,0)),0)+IFERROR(INDEX(Settings!$G$5:$G$9,MATCH($B1384,Settings!$A$5:$A$9,0)),0))+(IFERROR(INDEX(Settings!$C$5:$C$9,MATCH($B1384,Settings!$A$5:$A$9,0)),0)+IFERROR(INDEX(Settings!$F$5:$F$9,MATCH($B1384,Settings!$A$5:$A$9,0)),0))/P1384+IFERROR(INDEX(Settings!$D$5:$D$9,MATCH($B1384,Settings!$A$5:$A$9,0)),0)*M1384)</f>
        <v/>
      </c>
      <c r="W1384" s="11">
        <f>IF(J1384="","",IF(T1384="",0,M1384*INDEX(Products!$I$5:$I$204,T1384)))</f>
        <v/>
      </c>
      <c r="X1384" s="11">
        <f>IF(J1384="","",IF(T1384="",0,S1384*INDEX(Products!$H$5:$H$204,T1384)))</f>
        <v/>
      </c>
      <c r="Y1384" s="11">
        <f>IF(J1384="","",S1384-V1384-W1384-X1384)</f>
        <v/>
      </c>
    </row>
    <row r="1385">
      <c r="A1385" s="19" t="n"/>
      <c r="B1385" s="19" t="n"/>
      <c r="C1385" s="19" t="n"/>
      <c r="D1385" s="19" t="n"/>
      <c r="E1385" s="19" t="n"/>
      <c r="F1385" s="20" t="n"/>
      <c r="G1385" s="20" t="n"/>
      <c r="H1385" s="20" t="n"/>
      <c r="I1385" s="19" t="n"/>
      <c r="J1385">
        <f>IFERROR(IF(C1385="","",C1385)&amp;"","")</f>
        <v/>
      </c>
      <c r="K1385">
        <f>IFERROR(IF(D1385="","",D1385)&amp;"","")</f>
        <v/>
      </c>
      <c r="L1385">
        <f>IFERROR(IF(I1385="","",I1385)&amp;"","")</f>
        <v/>
      </c>
      <c r="M1385">
        <f>IF(J1385="","",IFERROR(VALUE(SUBSTITUTE(SUBSTITUTE(IF(E1385="","",E1385)&amp;"","$",""),",","")),0))</f>
        <v/>
      </c>
      <c r="N1385" s="11">
        <f>IF(J1385="","",IFERROR(VALUE(SUBSTITUTE(SUBSTITUTE(IF(F1385="","",F1385)&amp;"","$",""),",","")),0))</f>
        <v/>
      </c>
      <c r="O1385" s="11">
        <f>IF(J1385="","",M1385*N1385)</f>
        <v/>
      </c>
      <c r="P1385">
        <f>IF(J1385="","",IF(L1385="",1,COUNTIF($L$2:$L$1501,L1385)))</f>
        <v/>
      </c>
      <c r="Q1385" s="11">
        <f>IF(J1385="","",IFERROR(VALUE(SUBSTITUTE(SUBSTITUTE(IF(G1385="","",G1385)&amp;"","$",""),",","")),0)/IF("No"="Yes",P1385,1))</f>
        <v/>
      </c>
      <c r="R1385" s="11">
        <f>IF(J1385="","",IFERROR(VALUE(SUBSTITUTE(SUBSTITUTE(IF(H1385="","",H1385)&amp;"","$",""),",","")),0)/IF("No"="Yes",P1385,1))</f>
        <v/>
      </c>
      <c r="S1385" s="11">
        <f>IF(J1385="","",O1385+Q1385-R1385)</f>
        <v/>
      </c>
      <c r="T1385">
        <f>IF(J1385="","",IFERROR(IF(K1385="",NA(),MATCH(K1385,Products!$B$5:$B$204,0)),IFERROR(MATCH(J1385,Products!$A$5:$A$204,0),"")))</f>
        <v/>
      </c>
      <c r="U1385">
        <f>IF(J1385="","",IF(T1385="","⚠ not in Products",INDEX(Products!$A$5:$A$204,T1385)))</f>
        <v/>
      </c>
      <c r="V1385" s="11">
        <f>IF(J1385="","",S1385*(IFERROR(INDEX(Settings!$B$5:$B$9,MATCH($B1385,Settings!$A$5:$A$9,0)),0)+IFERROR(INDEX(Settings!$E$5:$E$9,MATCH($B1385,Settings!$A$5:$A$9,0)),0)+IFERROR(INDEX(Settings!$G$5:$G$9,MATCH($B1385,Settings!$A$5:$A$9,0)),0))+(IFERROR(INDEX(Settings!$C$5:$C$9,MATCH($B1385,Settings!$A$5:$A$9,0)),0)+IFERROR(INDEX(Settings!$F$5:$F$9,MATCH($B1385,Settings!$A$5:$A$9,0)),0))/P1385+IFERROR(INDEX(Settings!$D$5:$D$9,MATCH($B1385,Settings!$A$5:$A$9,0)),0)*M1385)</f>
        <v/>
      </c>
      <c r="W1385" s="11">
        <f>IF(J1385="","",IF(T1385="",0,M1385*INDEX(Products!$I$5:$I$204,T1385)))</f>
        <v/>
      </c>
      <c r="X1385" s="11">
        <f>IF(J1385="","",IF(T1385="",0,S1385*INDEX(Products!$H$5:$H$204,T1385)))</f>
        <v/>
      </c>
      <c r="Y1385" s="11">
        <f>IF(J1385="","",S1385-V1385-W1385-X1385)</f>
        <v/>
      </c>
    </row>
    <row r="1386">
      <c r="A1386" s="19" t="n"/>
      <c r="B1386" s="19" t="n"/>
      <c r="C1386" s="19" t="n"/>
      <c r="D1386" s="19" t="n"/>
      <c r="E1386" s="19" t="n"/>
      <c r="F1386" s="20" t="n"/>
      <c r="G1386" s="20" t="n"/>
      <c r="H1386" s="20" t="n"/>
      <c r="I1386" s="19" t="n"/>
      <c r="J1386">
        <f>IFERROR(IF(C1386="","",C1386)&amp;"","")</f>
        <v/>
      </c>
      <c r="K1386">
        <f>IFERROR(IF(D1386="","",D1386)&amp;"","")</f>
        <v/>
      </c>
      <c r="L1386">
        <f>IFERROR(IF(I1386="","",I1386)&amp;"","")</f>
        <v/>
      </c>
      <c r="M1386">
        <f>IF(J1386="","",IFERROR(VALUE(SUBSTITUTE(SUBSTITUTE(IF(E1386="","",E1386)&amp;"","$",""),",","")),0))</f>
        <v/>
      </c>
      <c r="N1386" s="11">
        <f>IF(J1386="","",IFERROR(VALUE(SUBSTITUTE(SUBSTITUTE(IF(F1386="","",F1386)&amp;"","$",""),",","")),0))</f>
        <v/>
      </c>
      <c r="O1386" s="11">
        <f>IF(J1386="","",M1386*N1386)</f>
        <v/>
      </c>
      <c r="P1386">
        <f>IF(J1386="","",IF(L1386="",1,COUNTIF($L$2:$L$1501,L1386)))</f>
        <v/>
      </c>
      <c r="Q1386" s="11">
        <f>IF(J1386="","",IFERROR(VALUE(SUBSTITUTE(SUBSTITUTE(IF(G1386="","",G1386)&amp;"","$",""),",","")),0)/IF("No"="Yes",P1386,1))</f>
        <v/>
      </c>
      <c r="R1386" s="11">
        <f>IF(J1386="","",IFERROR(VALUE(SUBSTITUTE(SUBSTITUTE(IF(H1386="","",H1386)&amp;"","$",""),",","")),0)/IF("No"="Yes",P1386,1))</f>
        <v/>
      </c>
      <c r="S1386" s="11">
        <f>IF(J1386="","",O1386+Q1386-R1386)</f>
        <v/>
      </c>
      <c r="T1386">
        <f>IF(J1386="","",IFERROR(IF(K1386="",NA(),MATCH(K1386,Products!$B$5:$B$204,0)),IFERROR(MATCH(J1386,Products!$A$5:$A$204,0),"")))</f>
        <v/>
      </c>
      <c r="U1386">
        <f>IF(J1386="","",IF(T1386="","⚠ not in Products",INDEX(Products!$A$5:$A$204,T1386)))</f>
        <v/>
      </c>
      <c r="V1386" s="11">
        <f>IF(J1386="","",S1386*(IFERROR(INDEX(Settings!$B$5:$B$9,MATCH($B1386,Settings!$A$5:$A$9,0)),0)+IFERROR(INDEX(Settings!$E$5:$E$9,MATCH($B1386,Settings!$A$5:$A$9,0)),0)+IFERROR(INDEX(Settings!$G$5:$G$9,MATCH($B1386,Settings!$A$5:$A$9,0)),0))+(IFERROR(INDEX(Settings!$C$5:$C$9,MATCH($B1386,Settings!$A$5:$A$9,0)),0)+IFERROR(INDEX(Settings!$F$5:$F$9,MATCH($B1386,Settings!$A$5:$A$9,0)),0))/P1386+IFERROR(INDEX(Settings!$D$5:$D$9,MATCH($B1386,Settings!$A$5:$A$9,0)),0)*M1386)</f>
        <v/>
      </c>
      <c r="W1386" s="11">
        <f>IF(J1386="","",IF(T1386="",0,M1386*INDEX(Products!$I$5:$I$204,T1386)))</f>
        <v/>
      </c>
      <c r="X1386" s="11">
        <f>IF(J1386="","",IF(T1386="",0,S1386*INDEX(Products!$H$5:$H$204,T1386)))</f>
        <v/>
      </c>
      <c r="Y1386" s="11">
        <f>IF(J1386="","",S1386-V1386-W1386-X1386)</f>
        <v/>
      </c>
    </row>
    <row r="1387">
      <c r="A1387" s="19" t="n"/>
      <c r="B1387" s="19" t="n"/>
      <c r="C1387" s="19" t="n"/>
      <c r="D1387" s="19" t="n"/>
      <c r="E1387" s="19" t="n"/>
      <c r="F1387" s="20" t="n"/>
      <c r="G1387" s="20" t="n"/>
      <c r="H1387" s="20" t="n"/>
      <c r="I1387" s="19" t="n"/>
      <c r="J1387">
        <f>IFERROR(IF(C1387="","",C1387)&amp;"","")</f>
        <v/>
      </c>
      <c r="K1387">
        <f>IFERROR(IF(D1387="","",D1387)&amp;"","")</f>
        <v/>
      </c>
      <c r="L1387">
        <f>IFERROR(IF(I1387="","",I1387)&amp;"","")</f>
        <v/>
      </c>
      <c r="M1387">
        <f>IF(J1387="","",IFERROR(VALUE(SUBSTITUTE(SUBSTITUTE(IF(E1387="","",E1387)&amp;"","$",""),",","")),0))</f>
        <v/>
      </c>
      <c r="N1387" s="11">
        <f>IF(J1387="","",IFERROR(VALUE(SUBSTITUTE(SUBSTITUTE(IF(F1387="","",F1387)&amp;"","$",""),",","")),0))</f>
        <v/>
      </c>
      <c r="O1387" s="11">
        <f>IF(J1387="","",M1387*N1387)</f>
        <v/>
      </c>
      <c r="P1387">
        <f>IF(J1387="","",IF(L1387="",1,COUNTIF($L$2:$L$1501,L1387)))</f>
        <v/>
      </c>
      <c r="Q1387" s="11">
        <f>IF(J1387="","",IFERROR(VALUE(SUBSTITUTE(SUBSTITUTE(IF(G1387="","",G1387)&amp;"","$",""),",","")),0)/IF("No"="Yes",P1387,1))</f>
        <v/>
      </c>
      <c r="R1387" s="11">
        <f>IF(J1387="","",IFERROR(VALUE(SUBSTITUTE(SUBSTITUTE(IF(H1387="","",H1387)&amp;"","$",""),",","")),0)/IF("No"="Yes",P1387,1))</f>
        <v/>
      </c>
      <c r="S1387" s="11">
        <f>IF(J1387="","",O1387+Q1387-R1387)</f>
        <v/>
      </c>
      <c r="T1387">
        <f>IF(J1387="","",IFERROR(IF(K1387="",NA(),MATCH(K1387,Products!$B$5:$B$204,0)),IFERROR(MATCH(J1387,Products!$A$5:$A$204,0),"")))</f>
        <v/>
      </c>
      <c r="U1387">
        <f>IF(J1387="","",IF(T1387="","⚠ not in Products",INDEX(Products!$A$5:$A$204,T1387)))</f>
        <v/>
      </c>
      <c r="V1387" s="11">
        <f>IF(J1387="","",S1387*(IFERROR(INDEX(Settings!$B$5:$B$9,MATCH($B1387,Settings!$A$5:$A$9,0)),0)+IFERROR(INDEX(Settings!$E$5:$E$9,MATCH($B1387,Settings!$A$5:$A$9,0)),0)+IFERROR(INDEX(Settings!$G$5:$G$9,MATCH($B1387,Settings!$A$5:$A$9,0)),0))+(IFERROR(INDEX(Settings!$C$5:$C$9,MATCH($B1387,Settings!$A$5:$A$9,0)),0)+IFERROR(INDEX(Settings!$F$5:$F$9,MATCH($B1387,Settings!$A$5:$A$9,0)),0))/P1387+IFERROR(INDEX(Settings!$D$5:$D$9,MATCH($B1387,Settings!$A$5:$A$9,0)),0)*M1387)</f>
        <v/>
      </c>
      <c r="W1387" s="11">
        <f>IF(J1387="","",IF(T1387="",0,M1387*INDEX(Products!$I$5:$I$204,T1387)))</f>
        <v/>
      </c>
      <c r="X1387" s="11">
        <f>IF(J1387="","",IF(T1387="",0,S1387*INDEX(Products!$H$5:$H$204,T1387)))</f>
        <v/>
      </c>
      <c r="Y1387" s="11">
        <f>IF(J1387="","",S1387-V1387-W1387-X1387)</f>
        <v/>
      </c>
    </row>
    <row r="1388">
      <c r="A1388" s="19" t="n"/>
      <c r="B1388" s="19" t="n"/>
      <c r="C1388" s="19" t="n"/>
      <c r="D1388" s="19" t="n"/>
      <c r="E1388" s="19" t="n"/>
      <c r="F1388" s="20" t="n"/>
      <c r="G1388" s="20" t="n"/>
      <c r="H1388" s="20" t="n"/>
      <c r="I1388" s="19" t="n"/>
      <c r="J1388">
        <f>IFERROR(IF(C1388="","",C1388)&amp;"","")</f>
        <v/>
      </c>
      <c r="K1388">
        <f>IFERROR(IF(D1388="","",D1388)&amp;"","")</f>
        <v/>
      </c>
      <c r="L1388">
        <f>IFERROR(IF(I1388="","",I1388)&amp;"","")</f>
        <v/>
      </c>
      <c r="M1388">
        <f>IF(J1388="","",IFERROR(VALUE(SUBSTITUTE(SUBSTITUTE(IF(E1388="","",E1388)&amp;"","$",""),",","")),0))</f>
        <v/>
      </c>
      <c r="N1388" s="11">
        <f>IF(J1388="","",IFERROR(VALUE(SUBSTITUTE(SUBSTITUTE(IF(F1388="","",F1388)&amp;"","$",""),",","")),0))</f>
        <v/>
      </c>
      <c r="O1388" s="11">
        <f>IF(J1388="","",M1388*N1388)</f>
        <v/>
      </c>
      <c r="P1388">
        <f>IF(J1388="","",IF(L1388="",1,COUNTIF($L$2:$L$1501,L1388)))</f>
        <v/>
      </c>
      <c r="Q1388" s="11">
        <f>IF(J1388="","",IFERROR(VALUE(SUBSTITUTE(SUBSTITUTE(IF(G1388="","",G1388)&amp;"","$",""),",","")),0)/IF("No"="Yes",P1388,1))</f>
        <v/>
      </c>
      <c r="R1388" s="11">
        <f>IF(J1388="","",IFERROR(VALUE(SUBSTITUTE(SUBSTITUTE(IF(H1388="","",H1388)&amp;"","$",""),",","")),0)/IF("No"="Yes",P1388,1))</f>
        <v/>
      </c>
      <c r="S1388" s="11">
        <f>IF(J1388="","",O1388+Q1388-R1388)</f>
        <v/>
      </c>
      <c r="T1388">
        <f>IF(J1388="","",IFERROR(IF(K1388="",NA(),MATCH(K1388,Products!$B$5:$B$204,0)),IFERROR(MATCH(J1388,Products!$A$5:$A$204,0),"")))</f>
        <v/>
      </c>
      <c r="U1388">
        <f>IF(J1388="","",IF(T1388="","⚠ not in Products",INDEX(Products!$A$5:$A$204,T1388)))</f>
        <v/>
      </c>
      <c r="V1388" s="11">
        <f>IF(J1388="","",S1388*(IFERROR(INDEX(Settings!$B$5:$B$9,MATCH($B1388,Settings!$A$5:$A$9,0)),0)+IFERROR(INDEX(Settings!$E$5:$E$9,MATCH($B1388,Settings!$A$5:$A$9,0)),0)+IFERROR(INDEX(Settings!$G$5:$G$9,MATCH($B1388,Settings!$A$5:$A$9,0)),0))+(IFERROR(INDEX(Settings!$C$5:$C$9,MATCH($B1388,Settings!$A$5:$A$9,0)),0)+IFERROR(INDEX(Settings!$F$5:$F$9,MATCH($B1388,Settings!$A$5:$A$9,0)),0))/P1388+IFERROR(INDEX(Settings!$D$5:$D$9,MATCH($B1388,Settings!$A$5:$A$9,0)),0)*M1388)</f>
        <v/>
      </c>
      <c r="W1388" s="11">
        <f>IF(J1388="","",IF(T1388="",0,M1388*INDEX(Products!$I$5:$I$204,T1388)))</f>
        <v/>
      </c>
      <c r="X1388" s="11">
        <f>IF(J1388="","",IF(T1388="",0,S1388*INDEX(Products!$H$5:$H$204,T1388)))</f>
        <v/>
      </c>
      <c r="Y1388" s="11">
        <f>IF(J1388="","",S1388-V1388-W1388-X1388)</f>
        <v/>
      </c>
    </row>
    <row r="1389">
      <c r="A1389" s="19" t="n"/>
      <c r="B1389" s="19" t="n"/>
      <c r="C1389" s="19" t="n"/>
      <c r="D1389" s="19" t="n"/>
      <c r="E1389" s="19" t="n"/>
      <c r="F1389" s="20" t="n"/>
      <c r="G1389" s="20" t="n"/>
      <c r="H1389" s="20" t="n"/>
      <c r="I1389" s="19" t="n"/>
      <c r="J1389">
        <f>IFERROR(IF(C1389="","",C1389)&amp;"","")</f>
        <v/>
      </c>
      <c r="K1389">
        <f>IFERROR(IF(D1389="","",D1389)&amp;"","")</f>
        <v/>
      </c>
      <c r="L1389">
        <f>IFERROR(IF(I1389="","",I1389)&amp;"","")</f>
        <v/>
      </c>
      <c r="M1389">
        <f>IF(J1389="","",IFERROR(VALUE(SUBSTITUTE(SUBSTITUTE(IF(E1389="","",E1389)&amp;"","$",""),",","")),0))</f>
        <v/>
      </c>
      <c r="N1389" s="11">
        <f>IF(J1389="","",IFERROR(VALUE(SUBSTITUTE(SUBSTITUTE(IF(F1389="","",F1389)&amp;"","$",""),",","")),0))</f>
        <v/>
      </c>
      <c r="O1389" s="11">
        <f>IF(J1389="","",M1389*N1389)</f>
        <v/>
      </c>
      <c r="P1389">
        <f>IF(J1389="","",IF(L1389="",1,COUNTIF($L$2:$L$1501,L1389)))</f>
        <v/>
      </c>
      <c r="Q1389" s="11">
        <f>IF(J1389="","",IFERROR(VALUE(SUBSTITUTE(SUBSTITUTE(IF(G1389="","",G1389)&amp;"","$",""),",","")),0)/IF("No"="Yes",P1389,1))</f>
        <v/>
      </c>
      <c r="R1389" s="11">
        <f>IF(J1389="","",IFERROR(VALUE(SUBSTITUTE(SUBSTITUTE(IF(H1389="","",H1389)&amp;"","$",""),",","")),0)/IF("No"="Yes",P1389,1))</f>
        <v/>
      </c>
      <c r="S1389" s="11">
        <f>IF(J1389="","",O1389+Q1389-R1389)</f>
        <v/>
      </c>
      <c r="T1389">
        <f>IF(J1389="","",IFERROR(IF(K1389="",NA(),MATCH(K1389,Products!$B$5:$B$204,0)),IFERROR(MATCH(J1389,Products!$A$5:$A$204,0),"")))</f>
        <v/>
      </c>
      <c r="U1389">
        <f>IF(J1389="","",IF(T1389="","⚠ not in Products",INDEX(Products!$A$5:$A$204,T1389)))</f>
        <v/>
      </c>
      <c r="V1389" s="11">
        <f>IF(J1389="","",S1389*(IFERROR(INDEX(Settings!$B$5:$B$9,MATCH($B1389,Settings!$A$5:$A$9,0)),0)+IFERROR(INDEX(Settings!$E$5:$E$9,MATCH($B1389,Settings!$A$5:$A$9,0)),0)+IFERROR(INDEX(Settings!$G$5:$G$9,MATCH($B1389,Settings!$A$5:$A$9,0)),0))+(IFERROR(INDEX(Settings!$C$5:$C$9,MATCH($B1389,Settings!$A$5:$A$9,0)),0)+IFERROR(INDEX(Settings!$F$5:$F$9,MATCH($B1389,Settings!$A$5:$A$9,0)),0))/P1389+IFERROR(INDEX(Settings!$D$5:$D$9,MATCH($B1389,Settings!$A$5:$A$9,0)),0)*M1389)</f>
        <v/>
      </c>
      <c r="W1389" s="11">
        <f>IF(J1389="","",IF(T1389="",0,M1389*INDEX(Products!$I$5:$I$204,T1389)))</f>
        <v/>
      </c>
      <c r="X1389" s="11">
        <f>IF(J1389="","",IF(T1389="",0,S1389*INDEX(Products!$H$5:$H$204,T1389)))</f>
        <v/>
      </c>
      <c r="Y1389" s="11">
        <f>IF(J1389="","",S1389-V1389-W1389-X1389)</f>
        <v/>
      </c>
    </row>
    <row r="1390">
      <c r="A1390" s="19" t="n"/>
      <c r="B1390" s="19" t="n"/>
      <c r="C1390" s="19" t="n"/>
      <c r="D1390" s="19" t="n"/>
      <c r="E1390" s="19" t="n"/>
      <c r="F1390" s="20" t="n"/>
      <c r="G1390" s="20" t="n"/>
      <c r="H1390" s="20" t="n"/>
      <c r="I1390" s="19" t="n"/>
      <c r="J1390">
        <f>IFERROR(IF(C1390="","",C1390)&amp;"","")</f>
        <v/>
      </c>
      <c r="K1390">
        <f>IFERROR(IF(D1390="","",D1390)&amp;"","")</f>
        <v/>
      </c>
      <c r="L1390">
        <f>IFERROR(IF(I1390="","",I1390)&amp;"","")</f>
        <v/>
      </c>
      <c r="M1390">
        <f>IF(J1390="","",IFERROR(VALUE(SUBSTITUTE(SUBSTITUTE(IF(E1390="","",E1390)&amp;"","$",""),",","")),0))</f>
        <v/>
      </c>
      <c r="N1390" s="11">
        <f>IF(J1390="","",IFERROR(VALUE(SUBSTITUTE(SUBSTITUTE(IF(F1390="","",F1390)&amp;"","$",""),",","")),0))</f>
        <v/>
      </c>
      <c r="O1390" s="11">
        <f>IF(J1390="","",M1390*N1390)</f>
        <v/>
      </c>
      <c r="P1390">
        <f>IF(J1390="","",IF(L1390="",1,COUNTIF($L$2:$L$1501,L1390)))</f>
        <v/>
      </c>
      <c r="Q1390" s="11">
        <f>IF(J1390="","",IFERROR(VALUE(SUBSTITUTE(SUBSTITUTE(IF(G1390="","",G1390)&amp;"","$",""),",","")),0)/IF("No"="Yes",P1390,1))</f>
        <v/>
      </c>
      <c r="R1390" s="11">
        <f>IF(J1390="","",IFERROR(VALUE(SUBSTITUTE(SUBSTITUTE(IF(H1390="","",H1390)&amp;"","$",""),",","")),0)/IF("No"="Yes",P1390,1))</f>
        <v/>
      </c>
      <c r="S1390" s="11">
        <f>IF(J1390="","",O1390+Q1390-R1390)</f>
        <v/>
      </c>
      <c r="T1390">
        <f>IF(J1390="","",IFERROR(IF(K1390="",NA(),MATCH(K1390,Products!$B$5:$B$204,0)),IFERROR(MATCH(J1390,Products!$A$5:$A$204,0),"")))</f>
        <v/>
      </c>
      <c r="U1390">
        <f>IF(J1390="","",IF(T1390="","⚠ not in Products",INDEX(Products!$A$5:$A$204,T1390)))</f>
        <v/>
      </c>
      <c r="V1390" s="11">
        <f>IF(J1390="","",S1390*(IFERROR(INDEX(Settings!$B$5:$B$9,MATCH($B1390,Settings!$A$5:$A$9,0)),0)+IFERROR(INDEX(Settings!$E$5:$E$9,MATCH($B1390,Settings!$A$5:$A$9,0)),0)+IFERROR(INDEX(Settings!$G$5:$G$9,MATCH($B1390,Settings!$A$5:$A$9,0)),0))+(IFERROR(INDEX(Settings!$C$5:$C$9,MATCH($B1390,Settings!$A$5:$A$9,0)),0)+IFERROR(INDEX(Settings!$F$5:$F$9,MATCH($B1390,Settings!$A$5:$A$9,0)),0))/P1390+IFERROR(INDEX(Settings!$D$5:$D$9,MATCH($B1390,Settings!$A$5:$A$9,0)),0)*M1390)</f>
        <v/>
      </c>
      <c r="W1390" s="11">
        <f>IF(J1390="","",IF(T1390="",0,M1390*INDEX(Products!$I$5:$I$204,T1390)))</f>
        <v/>
      </c>
      <c r="X1390" s="11">
        <f>IF(J1390="","",IF(T1390="",0,S1390*INDEX(Products!$H$5:$H$204,T1390)))</f>
        <v/>
      </c>
      <c r="Y1390" s="11">
        <f>IF(J1390="","",S1390-V1390-W1390-X1390)</f>
        <v/>
      </c>
    </row>
    <row r="1391">
      <c r="A1391" s="19" t="n"/>
      <c r="B1391" s="19" t="n"/>
      <c r="C1391" s="19" t="n"/>
      <c r="D1391" s="19" t="n"/>
      <c r="E1391" s="19" t="n"/>
      <c r="F1391" s="20" t="n"/>
      <c r="G1391" s="20" t="n"/>
      <c r="H1391" s="20" t="n"/>
      <c r="I1391" s="19" t="n"/>
      <c r="J1391">
        <f>IFERROR(IF(C1391="","",C1391)&amp;"","")</f>
        <v/>
      </c>
      <c r="K1391">
        <f>IFERROR(IF(D1391="","",D1391)&amp;"","")</f>
        <v/>
      </c>
      <c r="L1391">
        <f>IFERROR(IF(I1391="","",I1391)&amp;"","")</f>
        <v/>
      </c>
      <c r="M1391">
        <f>IF(J1391="","",IFERROR(VALUE(SUBSTITUTE(SUBSTITUTE(IF(E1391="","",E1391)&amp;"","$",""),",","")),0))</f>
        <v/>
      </c>
      <c r="N1391" s="11">
        <f>IF(J1391="","",IFERROR(VALUE(SUBSTITUTE(SUBSTITUTE(IF(F1391="","",F1391)&amp;"","$",""),",","")),0))</f>
        <v/>
      </c>
      <c r="O1391" s="11">
        <f>IF(J1391="","",M1391*N1391)</f>
        <v/>
      </c>
      <c r="P1391">
        <f>IF(J1391="","",IF(L1391="",1,COUNTIF($L$2:$L$1501,L1391)))</f>
        <v/>
      </c>
      <c r="Q1391" s="11">
        <f>IF(J1391="","",IFERROR(VALUE(SUBSTITUTE(SUBSTITUTE(IF(G1391="","",G1391)&amp;"","$",""),",","")),0)/IF("No"="Yes",P1391,1))</f>
        <v/>
      </c>
      <c r="R1391" s="11">
        <f>IF(J1391="","",IFERROR(VALUE(SUBSTITUTE(SUBSTITUTE(IF(H1391="","",H1391)&amp;"","$",""),",","")),0)/IF("No"="Yes",P1391,1))</f>
        <v/>
      </c>
      <c r="S1391" s="11">
        <f>IF(J1391="","",O1391+Q1391-R1391)</f>
        <v/>
      </c>
      <c r="T1391">
        <f>IF(J1391="","",IFERROR(IF(K1391="",NA(),MATCH(K1391,Products!$B$5:$B$204,0)),IFERROR(MATCH(J1391,Products!$A$5:$A$204,0),"")))</f>
        <v/>
      </c>
      <c r="U1391">
        <f>IF(J1391="","",IF(T1391="","⚠ not in Products",INDEX(Products!$A$5:$A$204,T1391)))</f>
        <v/>
      </c>
      <c r="V1391" s="11">
        <f>IF(J1391="","",S1391*(IFERROR(INDEX(Settings!$B$5:$B$9,MATCH($B1391,Settings!$A$5:$A$9,0)),0)+IFERROR(INDEX(Settings!$E$5:$E$9,MATCH($B1391,Settings!$A$5:$A$9,0)),0)+IFERROR(INDEX(Settings!$G$5:$G$9,MATCH($B1391,Settings!$A$5:$A$9,0)),0))+(IFERROR(INDEX(Settings!$C$5:$C$9,MATCH($B1391,Settings!$A$5:$A$9,0)),0)+IFERROR(INDEX(Settings!$F$5:$F$9,MATCH($B1391,Settings!$A$5:$A$9,0)),0))/P1391+IFERROR(INDEX(Settings!$D$5:$D$9,MATCH($B1391,Settings!$A$5:$A$9,0)),0)*M1391)</f>
        <v/>
      </c>
      <c r="W1391" s="11">
        <f>IF(J1391="","",IF(T1391="",0,M1391*INDEX(Products!$I$5:$I$204,T1391)))</f>
        <v/>
      </c>
      <c r="X1391" s="11">
        <f>IF(J1391="","",IF(T1391="",0,S1391*INDEX(Products!$H$5:$H$204,T1391)))</f>
        <v/>
      </c>
      <c r="Y1391" s="11">
        <f>IF(J1391="","",S1391-V1391-W1391-X1391)</f>
        <v/>
      </c>
    </row>
    <row r="1392">
      <c r="A1392" s="19" t="n"/>
      <c r="B1392" s="19" t="n"/>
      <c r="C1392" s="19" t="n"/>
      <c r="D1392" s="19" t="n"/>
      <c r="E1392" s="19" t="n"/>
      <c r="F1392" s="20" t="n"/>
      <c r="G1392" s="20" t="n"/>
      <c r="H1392" s="20" t="n"/>
      <c r="I1392" s="19" t="n"/>
      <c r="J1392">
        <f>IFERROR(IF(C1392="","",C1392)&amp;"","")</f>
        <v/>
      </c>
      <c r="K1392">
        <f>IFERROR(IF(D1392="","",D1392)&amp;"","")</f>
        <v/>
      </c>
      <c r="L1392">
        <f>IFERROR(IF(I1392="","",I1392)&amp;"","")</f>
        <v/>
      </c>
      <c r="M1392">
        <f>IF(J1392="","",IFERROR(VALUE(SUBSTITUTE(SUBSTITUTE(IF(E1392="","",E1392)&amp;"","$",""),",","")),0))</f>
        <v/>
      </c>
      <c r="N1392" s="11">
        <f>IF(J1392="","",IFERROR(VALUE(SUBSTITUTE(SUBSTITUTE(IF(F1392="","",F1392)&amp;"","$",""),",","")),0))</f>
        <v/>
      </c>
      <c r="O1392" s="11">
        <f>IF(J1392="","",M1392*N1392)</f>
        <v/>
      </c>
      <c r="P1392">
        <f>IF(J1392="","",IF(L1392="",1,COUNTIF($L$2:$L$1501,L1392)))</f>
        <v/>
      </c>
      <c r="Q1392" s="11">
        <f>IF(J1392="","",IFERROR(VALUE(SUBSTITUTE(SUBSTITUTE(IF(G1392="","",G1392)&amp;"","$",""),",","")),0)/IF("No"="Yes",P1392,1))</f>
        <v/>
      </c>
      <c r="R1392" s="11">
        <f>IF(J1392="","",IFERROR(VALUE(SUBSTITUTE(SUBSTITUTE(IF(H1392="","",H1392)&amp;"","$",""),",","")),0)/IF("No"="Yes",P1392,1))</f>
        <v/>
      </c>
      <c r="S1392" s="11">
        <f>IF(J1392="","",O1392+Q1392-R1392)</f>
        <v/>
      </c>
      <c r="T1392">
        <f>IF(J1392="","",IFERROR(IF(K1392="",NA(),MATCH(K1392,Products!$B$5:$B$204,0)),IFERROR(MATCH(J1392,Products!$A$5:$A$204,0),"")))</f>
        <v/>
      </c>
      <c r="U1392">
        <f>IF(J1392="","",IF(T1392="","⚠ not in Products",INDEX(Products!$A$5:$A$204,T1392)))</f>
        <v/>
      </c>
      <c r="V1392" s="11">
        <f>IF(J1392="","",S1392*(IFERROR(INDEX(Settings!$B$5:$B$9,MATCH($B1392,Settings!$A$5:$A$9,0)),0)+IFERROR(INDEX(Settings!$E$5:$E$9,MATCH($B1392,Settings!$A$5:$A$9,0)),0)+IFERROR(INDEX(Settings!$G$5:$G$9,MATCH($B1392,Settings!$A$5:$A$9,0)),0))+(IFERROR(INDEX(Settings!$C$5:$C$9,MATCH($B1392,Settings!$A$5:$A$9,0)),0)+IFERROR(INDEX(Settings!$F$5:$F$9,MATCH($B1392,Settings!$A$5:$A$9,0)),0))/P1392+IFERROR(INDEX(Settings!$D$5:$D$9,MATCH($B1392,Settings!$A$5:$A$9,0)),0)*M1392)</f>
        <v/>
      </c>
      <c r="W1392" s="11">
        <f>IF(J1392="","",IF(T1392="",0,M1392*INDEX(Products!$I$5:$I$204,T1392)))</f>
        <v/>
      </c>
      <c r="X1392" s="11">
        <f>IF(J1392="","",IF(T1392="",0,S1392*INDEX(Products!$H$5:$H$204,T1392)))</f>
        <v/>
      </c>
      <c r="Y1392" s="11">
        <f>IF(J1392="","",S1392-V1392-W1392-X1392)</f>
        <v/>
      </c>
    </row>
    <row r="1393">
      <c r="A1393" s="19" t="n"/>
      <c r="B1393" s="19" t="n"/>
      <c r="C1393" s="19" t="n"/>
      <c r="D1393" s="19" t="n"/>
      <c r="E1393" s="19" t="n"/>
      <c r="F1393" s="20" t="n"/>
      <c r="G1393" s="20" t="n"/>
      <c r="H1393" s="20" t="n"/>
      <c r="I1393" s="19" t="n"/>
      <c r="J1393">
        <f>IFERROR(IF(C1393="","",C1393)&amp;"","")</f>
        <v/>
      </c>
      <c r="K1393">
        <f>IFERROR(IF(D1393="","",D1393)&amp;"","")</f>
        <v/>
      </c>
      <c r="L1393">
        <f>IFERROR(IF(I1393="","",I1393)&amp;"","")</f>
        <v/>
      </c>
      <c r="M1393">
        <f>IF(J1393="","",IFERROR(VALUE(SUBSTITUTE(SUBSTITUTE(IF(E1393="","",E1393)&amp;"","$",""),",","")),0))</f>
        <v/>
      </c>
      <c r="N1393" s="11">
        <f>IF(J1393="","",IFERROR(VALUE(SUBSTITUTE(SUBSTITUTE(IF(F1393="","",F1393)&amp;"","$",""),",","")),0))</f>
        <v/>
      </c>
      <c r="O1393" s="11">
        <f>IF(J1393="","",M1393*N1393)</f>
        <v/>
      </c>
      <c r="P1393">
        <f>IF(J1393="","",IF(L1393="",1,COUNTIF($L$2:$L$1501,L1393)))</f>
        <v/>
      </c>
      <c r="Q1393" s="11">
        <f>IF(J1393="","",IFERROR(VALUE(SUBSTITUTE(SUBSTITUTE(IF(G1393="","",G1393)&amp;"","$",""),",","")),0)/IF("No"="Yes",P1393,1))</f>
        <v/>
      </c>
      <c r="R1393" s="11">
        <f>IF(J1393="","",IFERROR(VALUE(SUBSTITUTE(SUBSTITUTE(IF(H1393="","",H1393)&amp;"","$",""),",","")),0)/IF("No"="Yes",P1393,1))</f>
        <v/>
      </c>
      <c r="S1393" s="11">
        <f>IF(J1393="","",O1393+Q1393-R1393)</f>
        <v/>
      </c>
      <c r="T1393">
        <f>IF(J1393="","",IFERROR(IF(K1393="",NA(),MATCH(K1393,Products!$B$5:$B$204,0)),IFERROR(MATCH(J1393,Products!$A$5:$A$204,0),"")))</f>
        <v/>
      </c>
      <c r="U1393">
        <f>IF(J1393="","",IF(T1393="","⚠ not in Products",INDEX(Products!$A$5:$A$204,T1393)))</f>
        <v/>
      </c>
      <c r="V1393" s="11">
        <f>IF(J1393="","",S1393*(IFERROR(INDEX(Settings!$B$5:$B$9,MATCH($B1393,Settings!$A$5:$A$9,0)),0)+IFERROR(INDEX(Settings!$E$5:$E$9,MATCH($B1393,Settings!$A$5:$A$9,0)),0)+IFERROR(INDEX(Settings!$G$5:$G$9,MATCH($B1393,Settings!$A$5:$A$9,0)),0))+(IFERROR(INDEX(Settings!$C$5:$C$9,MATCH($B1393,Settings!$A$5:$A$9,0)),0)+IFERROR(INDEX(Settings!$F$5:$F$9,MATCH($B1393,Settings!$A$5:$A$9,0)),0))/P1393+IFERROR(INDEX(Settings!$D$5:$D$9,MATCH($B1393,Settings!$A$5:$A$9,0)),0)*M1393)</f>
        <v/>
      </c>
      <c r="W1393" s="11">
        <f>IF(J1393="","",IF(T1393="",0,M1393*INDEX(Products!$I$5:$I$204,T1393)))</f>
        <v/>
      </c>
      <c r="X1393" s="11">
        <f>IF(J1393="","",IF(T1393="",0,S1393*INDEX(Products!$H$5:$H$204,T1393)))</f>
        <v/>
      </c>
      <c r="Y1393" s="11">
        <f>IF(J1393="","",S1393-V1393-W1393-X1393)</f>
        <v/>
      </c>
    </row>
    <row r="1394">
      <c r="A1394" s="19" t="n"/>
      <c r="B1394" s="19" t="n"/>
      <c r="C1394" s="19" t="n"/>
      <c r="D1394" s="19" t="n"/>
      <c r="E1394" s="19" t="n"/>
      <c r="F1394" s="20" t="n"/>
      <c r="G1394" s="20" t="n"/>
      <c r="H1394" s="20" t="n"/>
      <c r="I1394" s="19" t="n"/>
      <c r="J1394">
        <f>IFERROR(IF(C1394="","",C1394)&amp;"","")</f>
        <v/>
      </c>
      <c r="K1394">
        <f>IFERROR(IF(D1394="","",D1394)&amp;"","")</f>
        <v/>
      </c>
      <c r="L1394">
        <f>IFERROR(IF(I1394="","",I1394)&amp;"","")</f>
        <v/>
      </c>
      <c r="M1394">
        <f>IF(J1394="","",IFERROR(VALUE(SUBSTITUTE(SUBSTITUTE(IF(E1394="","",E1394)&amp;"","$",""),",","")),0))</f>
        <v/>
      </c>
      <c r="N1394" s="11">
        <f>IF(J1394="","",IFERROR(VALUE(SUBSTITUTE(SUBSTITUTE(IF(F1394="","",F1394)&amp;"","$",""),",","")),0))</f>
        <v/>
      </c>
      <c r="O1394" s="11">
        <f>IF(J1394="","",M1394*N1394)</f>
        <v/>
      </c>
      <c r="P1394">
        <f>IF(J1394="","",IF(L1394="",1,COUNTIF($L$2:$L$1501,L1394)))</f>
        <v/>
      </c>
      <c r="Q1394" s="11">
        <f>IF(J1394="","",IFERROR(VALUE(SUBSTITUTE(SUBSTITUTE(IF(G1394="","",G1394)&amp;"","$",""),",","")),0)/IF("No"="Yes",P1394,1))</f>
        <v/>
      </c>
      <c r="R1394" s="11">
        <f>IF(J1394="","",IFERROR(VALUE(SUBSTITUTE(SUBSTITUTE(IF(H1394="","",H1394)&amp;"","$",""),",","")),0)/IF("No"="Yes",P1394,1))</f>
        <v/>
      </c>
      <c r="S1394" s="11">
        <f>IF(J1394="","",O1394+Q1394-R1394)</f>
        <v/>
      </c>
      <c r="T1394">
        <f>IF(J1394="","",IFERROR(IF(K1394="",NA(),MATCH(K1394,Products!$B$5:$B$204,0)),IFERROR(MATCH(J1394,Products!$A$5:$A$204,0),"")))</f>
        <v/>
      </c>
      <c r="U1394">
        <f>IF(J1394="","",IF(T1394="","⚠ not in Products",INDEX(Products!$A$5:$A$204,T1394)))</f>
        <v/>
      </c>
      <c r="V1394" s="11">
        <f>IF(J1394="","",S1394*(IFERROR(INDEX(Settings!$B$5:$B$9,MATCH($B1394,Settings!$A$5:$A$9,0)),0)+IFERROR(INDEX(Settings!$E$5:$E$9,MATCH($B1394,Settings!$A$5:$A$9,0)),0)+IFERROR(INDEX(Settings!$G$5:$G$9,MATCH($B1394,Settings!$A$5:$A$9,0)),0))+(IFERROR(INDEX(Settings!$C$5:$C$9,MATCH($B1394,Settings!$A$5:$A$9,0)),0)+IFERROR(INDEX(Settings!$F$5:$F$9,MATCH($B1394,Settings!$A$5:$A$9,0)),0))/P1394+IFERROR(INDEX(Settings!$D$5:$D$9,MATCH($B1394,Settings!$A$5:$A$9,0)),0)*M1394)</f>
        <v/>
      </c>
      <c r="W1394" s="11">
        <f>IF(J1394="","",IF(T1394="",0,M1394*INDEX(Products!$I$5:$I$204,T1394)))</f>
        <v/>
      </c>
      <c r="X1394" s="11">
        <f>IF(J1394="","",IF(T1394="",0,S1394*INDEX(Products!$H$5:$H$204,T1394)))</f>
        <v/>
      </c>
      <c r="Y1394" s="11">
        <f>IF(J1394="","",S1394-V1394-W1394-X1394)</f>
        <v/>
      </c>
    </row>
    <row r="1395">
      <c r="A1395" s="19" t="n"/>
      <c r="B1395" s="19" t="n"/>
      <c r="C1395" s="19" t="n"/>
      <c r="D1395" s="19" t="n"/>
      <c r="E1395" s="19" t="n"/>
      <c r="F1395" s="20" t="n"/>
      <c r="G1395" s="20" t="n"/>
      <c r="H1395" s="20" t="n"/>
      <c r="I1395" s="19" t="n"/>
      <c r="J1395">
        <f>IFERROR(IF(C1395="","",C1395)&amp;"","")</f>
        <v/>
      </c>
      <c r="K1395">
        <f>IFERROR(IF(D1395="","",D1395)&amp;"","")</f>
        <v/>
      </c>
      <c r="L1395">
        <f>IFERROR(IF(I1395="","",I1395)&amp;"","")</f>
        <v/>
      </c>
      <c r="M1395">
        <f>IF(J1395="","",IFERROR(VALUE(SUBSTITUTE(SUBSTITUTE(IF(E1395="","",E1395)&amp;"","$",""),",","")),0))</f>
        <v/>
      </c>
      <c r="N1395" s="11">
        <f>IF(J1395="","",IFERROR(VALUE(SUBSTITUTE(SUBSTITUTE(IF(F1395="","",F1395)&amp;"","$",""),",","")),0))</f>
        <v/>
      </c>
      <c r="O1395" s="11">
        <f>IF(J1395="","",M1395*N1395)</f>
        <v/>
      </c>
      <c r="P1395">
        <f>IF(J1395="","",IF(L1395="",1,COUNTIF($L$2:$L$1501,L1395)))</f>
        <v/>
      </c>
      <c r="Q1395" s="11">
        <f>IF(J1395="","",IFERROR(VALUE(SUBSTITUTE(SUBSTITUTE(IF(G1395="","",G1395)&amp;"","$",""),",","")),0)/IF("No"="Yes",P1395,1))</f>
        <v/>
      </c>
      <c r="R1395" s="11">
        <f>IF(J1395="","",IFERROR(VALUE(SUBSTITUTE(SUBSTITUTE(IF(H1395="","",H1395)&amp;"","$",""),",","")),0)/IF("No"="Yes",P1395,1))</f>
        <v/>
      </c>
      <c r="S1395" s="11">
        <f>IF(J1395="","",O1395+Q1395-R1395)</f>
        <v/>
      </c>
      <c r="T1395">
        <f>IF(J1395="","",IFERROR(IF(K1395="",NA(),MATCH(K1395,Products!$B$5:$B$204,0)),IFERROR(MATCH(J1395,Products!$A$5:$A$204,0),"")))</f>
        <v/>
      </c>
      <c r="U1395">
        <f>IF(J1395="","",IF(T1395="","⚠ not in Products",INDEX(Products!$A$5:$A$204,T1395)))</f>
        <v/>
      </c>
      <c r="V1395" s="11">
        <f>IF(J1395="","",S1395*(IFERROR(INDEX(Settings!$B$5:$B$9,MATCH($B1395,Settings!$A$5:$A$9,0)),0)+IFERROR(INDEX(Settings!$E$5:$E$9,MATCH($B1395,Settings!$A$5:$A$9,0)),0)+IFERROR(INDEX(Settings!$G$5:$G$9,MATCH($B1395,Settings!$A$5:$A$9,0)),0))+(IFERROR(INDEX(Settings!$C$5:$C$9,MATCH($B1395,Settings!$A$5:$A$9,0)),0)+IFERROR(INDEX(Settings!$F$5:$F$9,MATCH($B1395,Settings!$A$5:$A$9,0)),0))/P1395+IFERROR(INDEX(Settings!$D$5:$D$9,MATCH($B1395,Settings!$A$5:$A$9,0)),0)*M1395)</f>
        <v/>
      </c>
      <c r="W1395" s="11">
        <f>IF(J1395="","",IF(T1395="",0,M1395*INDEX(Products!$I$5:$I$204,T1395)))</f>
        <v/>
      </c>
      <c r="X1395" s="11">
        <f>IF(J1395="","",IF(T1395="",0,S1395*INDEX(Products!$H$5:$H$204,T1395)))</f>
        <v/>
      </c>
      <c r="Y1395" s="11">
        <f>IF(J1395="","",S1395-V1395-W1395-X1395)</f>
        <v/>
      </c>
    </row>
    <row r="1396">
      <c r="A1396" s="19" t="n"/>
      <c r="B1396" s="19" t="n"/>
      <c r="C1396" s="19" t="n"/>
      <c r="D1396" s="19" t="n"/>
      <c r="E1396" s="19" t="n"/>
      <c r="F1396" s="20" t="n"/>
      <c r="G1396" s="20" t="n"/>
      <c r="H1396" s="20" t="n"/>
      <c r="I1396" s="19" t="n"/>
      <c r="J1396">
        <f>IFERROR(IF(C1396="","",C1396)&amp;"","")</f>
        <v/>
      </c>
      <c r="K1396">
        <f>IFERROR(IF(D1396="","",D1396)&amp;"","")</f>
        <v/>
      </c>
      <c r="L1396">
        <f>IFERROR(IF(I1396="","",I1396)&amp;"","")</f>
        <v/>
      </c>
      <c r="M1396">
        <f>IF(J1396="","",IFERROR(VALUE(SUBSTITUTE(SUBSTITUTE(IF(E1396="","",E1396)&amp;"","$",""),",","")),0))</f>
        <v/>
      </c>
      <c r="N1396" s="11">
        <f>IF(J1396="","",IFERROR(VALUE(SUBSTITUTE(SUBSTITUTE(IF(F1396="","",F1396)&amp;"","$",""),",","")),0))</f>
        <v/>
      </c>
      <c r="O1396" s="11">
        <f>IF(J1396="","",M1396*N1396)</f>
        <v/>
      </c>
      <c r="P1396">
        <f>IF(J1396="","",IF(L1396="",1,COUNTIF($L$2:$L$1501,L1396)))</f>
        <v/>
      </c>
      <c r="Q1396" s="11">
        <f>IF(J1396="","",IFERROR(VALUE(SUBSTITUTE(SUBSTITUTE(IF(G1396="","",G1396)&amp;"","$",""),",","")),0)/IF("No"="Yes",P1396,1))</f>
        <v/>
      </c>
      <c r="R1396" s="11">
        <f>IF(J1396="","",IFERROR(VALUE(SUBSTITUTE(SUBSTITUTE(IF(H1396="","",H1396)&amp;"","$",""),",","")),0)/IF("No"="Yes",P1396,1))</f>
        <v/>
      </c>
      <c r="S1396" s="11">
        <f>IF(J1396="","",O1396+Q1396-R1396)</f>
        <v/>
      </c>
      <c r="T1396">
        <f>IF(J1396="","",IFERROR(IF(K1396="",NA(),MATCH(K1396,Products!$B$5:$B$204,0)),IFERROR(MATCH(J1396,Products!$A$5:$A$204,0),"")))</f>
        <v/>
      </c>
      <c r="U1396">
        <f>IF(J1396="","",IF(T1396="","⚠ not in Products",INDEX(Products!$A$5:$A$204,T1396)))</f>
        <v/>
      </c>
      <c r="V1396" s="11">
        <f>IF(J1396="","",S1396*(IFERROR(INDEX(Settings!$B$5:$B$9,MATCH($B1396,Settings!$A$5:$A$9,0)),0)+IFERROR(INDEX(Settings!$E$5:$E$9,MATCH($B1396,Settings!$A$5:$A$9,0)),0)+IFERROR(INDEX(Settings!$G$5:$G$9,MATCH($B1396,Settings!$A$5:$A$9,0)),0))+(IFERROR(INDEX(Settings!$C$5:$C$9,MATCH($B1396,Settings!$A$5:$A$9,0)),0)+IFERROR(INDEX(Settings!$F$5:$F$9,MATCH($B1396,Settings!$A$5:$A$9,0)),0))/P1396+IFERROR(INDEX(Settings!$D$5:$D$9,MATCH($B1396,Settings!$A$5:$A$9,0)),0)*M1396)</f>
        <v/>
      </c>
      <c r="W1396" s="11">
        <f>IF(J1396="","",IF(T1396="",0,M1396*INDEX(Products!$I$5:$I$204,T1396)))</f>
        <v/>
      </c>
      <c r="X1396" s="11">
        <f>IF(J1396="","",IF(T1396="",0,S1396*INDEX(Products!$H$5:$H$204,T1396)))</f>
        <v/>
      </c>
      <c r="Y1396" s="11">
        <f>IF(J1396="","",S1396-V1396-W1396-X1396)</f>
        <v/>
      </c>
    </row>
    <row r="1397">
      <c r="A1397" s="19" t="n"/>
      <c r="B1397" s="19" t="n"/>
      <c r="C1397" s="19" t="n"/>
      <c r="D1397" s="19" t="n"/>
      <c r="E1397" s="19" t="n"/>
      <c r="F1397" s="20" t="n"/>
      <c r="G1397" s="20" t="n"/>
      <c r="H1397" s="20" t="n"/>
      <c r="I1397" s="19" t="n"/>
      <c r="J1397">
        <f>IFERROR(IF(C1397="","",C1397)&amp;"","")</f>
        <v/>
      </c>
      <c r="K1397">
        <f>IFERROR(IF(D1397="","",D1397)&amp;"","")</f>
        <v/>
      </c>
      <c r="L1397">
        <f>IFERROR(IF(I1397="","",I1397)&amp;"","")</f>
        <v/>
      </c>
      <c r="M1397">
        <f>IF(J1397="","",IFERROR(VALUE(SUBSTITUTE(SUBSTITUTE(IF(E1397="","",E1397)&amp;"","$",""),",","")),0))</f>
        <v/>
      </c>
      <c r="N1397" s="11">
        <f>IF(J1397="","",IFERROR(VALUE(SUBSTITUTE(SUBSTITUTE(IF(F1397="","",F1397)&amp;"","$",""),",","")),0))</f>
        <v/>
      </c>
      <c r="O1397" s="11">
        <f>IF(J1397="","",M1397*N1397)</f>
        <v/>
      </c>
      <c r="P1397">
        <f>IF(J1397="","",IF(L1397="",1,COUNTIF($L$2:$L$1501,L1397)))</f>
        <v/>
      </c>
      <c r="Q1397" s="11">
        <f>IF(J1397="","",IFERROR(VALUE(SUBSTITUTE(SUBSTITUTE(IF(G1397="","",G1397)&amp;"","$",""),",","")),0)/IF("No"="Yes",P1397,1))</f>
        <v/>
      </c>
      <c r="R1397" s="11">
        <f>IF(J1397="","",IFERROR(VALUE(SUBSTITUTE(SUBSTITUTE(IF(H1397="","",H1397)&amp;"","$",""),",","")),0)/IF("No"="Yes",P1397,1))</f>
        <v/>
      </c>
      <c r="S1397" s="11">
        <f>IF(J1397="","",O1397+Q1397-R1397)</f>
        <v/>
      </c>
      <c r="T1397">
        <f>IF(J1397="","",IFERROR(IF(K1397="",NA(),MATCH(K1397,Products!$B$5:$B$204,0)),IFERROR(MATCH(J1397,Products!$A$5:$A$204,0),"")))</f>
        <v/>
      </c>
      <c r="U1397">
        <f>IF(J1397="","",IF(T1397="","⚠ not in Products",INDEX(Products!$A$5:$A$204,T1397)))</f>
        <v/>
      </c>
      <c r="V1397" s="11">
        <f>IF(J1397="","",S1397*(IFERROR(INDEX(Settings!$B$5:$B$9,MATCH($B1397,Settings!$A$5:$A$9,0)),0)+IFERROR(INDEX(Settings!$E$5:$E$9,MATCH($B1397,Settings!$A$5:$A$9,0)),0)+IFERROR(INDEX(Settings!$G$5:$G$9,MATCH($B1397,Settings!$A$5:$A$9,0)),0))+(IFERROR(INDEX(Settings!$C$5:$C$9,MATCH($B1397,Settings!$A$5:$A$9,0)),0)+IFERROR(INDEX(Settings!$F$5:$F$9,MATCH($B1397,Settings!$A$5:$A$9,0)),0))/P1397+IFERROR(INDEX(Settings!$D$5:$D$9,MATCH($B1397,Settings!$A$5:$A$9,0)),0)*M1397)</f>
        <v/>
      </c>
      <c r="W1397" s="11">
        <f>IF(J1397="","",IF(T1397="",0,M1397*INDEX(Products!$I$5:$I$204,T1397)))</f>
        <v/>
      </c>
      <c r="X1397" s="11">
        <f>IF(J1397="","",IF(T1397="",0,S1397*INDEX(Products!$H$5:$H$204,T1397)))</f>
        <v/>
      </c>
      <c r="Y1397" s="11">
        <f>IF(J1397="","",S1397-V1397-W1397-X1397)</f>
        <v/>
      </c>
    </row>
    <row r="1398">
      <c r="A1398" s="19" t="n"/>
      <c r="B1398" s="19" t="n"/>
      <c r="C1398" s="19" t="n"/>
      <c r="D1398" s="19" t="n"/>
      <c r="E1398" s="19" t="n"/>
      <c r="F1398" s="20" t="n"/>
      <c r="G1398" s="20" t="n"/>
      <c r="H1398" s="20" t="n"/>
      <c r="I1398" s="19" t="n"/>
      <c r="J1398">
        <f>IFERROR(IF(C1398="","",C1398)&amp;"","")</f>
        <v/>
      </c>
      <c r="K1398">
        <f>IFERROR(IF(D1398="","",D1398)&amp;"","")</f>
        <v/>
      </c>
      <c r="L1398">
        <f>IFERROR(IF(I1398="","",I1398)&amp;"","")</f>
        <v/>
      </c>
      <c r="M1398">
        <f>IF(J1398="","",IFERROR(VALUE(SUBSTITUTE(SUBSTITUTE(IF(E1398="","",E1398)&amp;"","$",""),",","")),0))</f>
        <v/>
      </c>
      <c r="N1398" s="11">
        <f>IF(J1398="","",IFERROR(VALUE(SUBSTITUTE(SUBSTITUTE(IF(F1398="","",F1398)&amp;"","$",""),",","")),0))</f>
        <v/>
      </c>
      <c r="O1398" s="11">
        <f>IF(J1398="","",M1398*N1398)</f>
        <v/>
      </c>
      <c r="P1398">
        <f>IF(J1398="","",IF(L1398="",1,COUNTIF($L$2:$L$1501,L1398)))</f>
        <v/>
      </c>
      <c r="Q1398" s="11">
        <f>IF(J1398="","",IFERROR(VALUE(SUBSTITUTE(SUBSTITUTE(IF(G1398="","",G1398)&amp;"","$",""),",","")),0)/IF("No"="Yes",P1398,1))</f>
        <v/>
      </c>
      <c r="R1398" s="11">
        <f>IF(J1398="","",IFERROR(VALUE(SUBSTITUTE(SUBSTITUTE(IF(H1398="","",H1398)&amp;"","$",""),",","")),0)/IF("No"="Yes",P1398,1))</f>
        <v/>
      </c>
      <c r="S1398" s="11">
        <f>IF(J1398="","",O1398+Q1398-R1398)</f>
        <v/>
      </c>
      <c r="T1398">
        <f>IF(J1398="","",IFERROR(IF(K1398="",NA(),MATCH(K1398,Products!$B$5:$B$204,0)),IFERROR(MATCH(J1398,Products!$A$5:$A$204,0),"")))</f>
        <v/>
      </c>
      <c r="U1398">
        <f>IF(J1398="","",IF(T1398="","⚠ not in Products",INDEX(Products!$A$5:$A$204,T1398)))</f>
        <v/>
      </c>
      <c r="V1398" s="11">
        <f>IF(J1398="","",S1398*(IFERROR(INDEX(Settings!$B$5:$B$9,MATCH($B1398,Settings!$A$5:$A$9,0)),0)+IFERROR(INDEX(Settings!$E$5:$E$9,MATCH($B1398,Settings!$A$5:$A$9,0)),0)+IFERROR(INDEX(Settings!$G$5:$G$9,MATCH($B1398,Settings!$A$5:$A$9,0)),0))+(IFERROR(INDEX(Settings!$C$5:$C$9,MATCH($B1398,Settings!$A$5:$A$9,0)),0)+IFERROR(INDEX(Settings!$F$5:$F$9,MATCH($B1398,Settings!$A$5:$A$9,0)),0))/P1398+IFERROR(INDEX(Settings!$D$5:$D$9,MATCH($B1398,Settings!$A$5:$A$9,0)),0)*M1398)</f>
        <v/>
      </c>
      <c r="W1398" s="11">
        <f>IF(J1398="","",IF(T1398="",0,M1398*INDEX(Products!$I$5:$I$204,T1398)))</f>
        <v/>
      </c>
      <c r="X1398" s="11">
        <f>IF(J1398="","",IF(T1398="",0,S1398*INDEX(Products!$H$5:$H$204,T1398)))</f>
        <v/>
      </c>
      <c r="Y1398" s="11">
        <f>IF(J1398="","",S1398-V1398-W1398-X1398)</f>
        <v/>
      </c>
    </row>
    <row r="1399">
      <c r="A1399" s="19" t="n"/>
      <c r="B1399" s="19" t="n"/>
      <c r="C1399" s="19" t="n"/>
      <c r="D1399" s="19" t="n"/>
      <c r="E1399" s="19" t="n"/>
      <c r="F1399" s="20" t="n"/>
      <c r="G1399" s="20" t="n"/>
      <c r="H1399" s="20" t="n"/>
      <c r="I1399" s="19" t="n"/>
      <c r="J1399">
        <f>IFERROR(IF(C1399="","",C1399)&amp;"","")</f>
        <v/>
      </c>
      <c r="K1399">
        <f>IFERROR(IF(D1399="","",D1399)&amp;"","")</f>
        <v/>
      </c>
      <c r="L1399">
        <f>IFERROR(IF(I1399="","",I1399)&amp;"","")</f>
        <v/>
      </c>
      <c r="M1399">
        <f>IF(J1399="","",IFERROR(VALUE(SUBSTITUTE(SUBSTITUTE(IF(E1399="","",E1399)&amp;"","$",""),",","")),0))</f>
        <v/>
      </c>
      <c r="N1399" s="11">
        <f>IF(J1399="","",IFERROR(VALUE(SUBSTITUTE(SUBSTITUTE(IF(F1399="","",F1399)&amp;"","$",""),",","")),0))</f>
        <v/>
      </c>
      <c r="O1399" s="11">
        <f>IF(J1399="","",M1399*N1399)</f>
        <v/>
      </c>
      <c r="P1399">
        <f>IF(J1399="","",IF(L1399="",1,COUNTIF($L$2:$L$1501,L1399)))</f>
        <v/>
      </c>
      <c r="Q1399" s="11">
        <f>IF(J1399="","",IFERROR(VALUE(SUBSTITUTE(SUBSTITUTE(IF(G1399="","",G1399)&amp;"","$",""),",","")),0)/IF("No"="Yes",P1399,1))</f>
        <v/>
      </c>
      <c r="R1399" s="11">
        <f>IF(J1399="","",IFERROR(VALUE(SUBSTITUTE(SUBSTITUTE(IF(H1399="","",H1399)&amp;"","$",""),",","")),0)/IF("No"="Yes",P1399,1))</f>
        <v/>
      </c>
      <c r="S1399" s="11">
        <f>IF(J1399="","",O1399+Q1399-R1399)</f>
        <v/>
      </c>
      <c r="T1399">
        <f>IF(J1399="","",IFERROR(IF(K1399="",NA(),MATCH(K1399,Products!$B$5:$B$204,0)),IFERROR(MATCH(J1399,Products!$A$5:$A$204,0),"")))</f>
        <v/>
      </c>
      <c r="U1399">
        <f>IF(J1399="","",IF(T1399="","⚠ not in Products",INDEX(Products!$A$5:$A$204,T1399)))</f>
        <v/>
      </c>
      <c r="V1399" s="11">
        <f>IF(J1399="","",S1399*(IFERROR(INDEX(Settings!$B$5:$B$9,MATCH($B1399,Settings!$A$5:$A$9,0)),0)+IFERROR(INDEX(Settings!$E$5:$E$9,MATCH($B1399,Settings!$A$5:$A$9,0)),0)+IFERROR(INDEX(Settings!$G$5:$G$9,MATCH($B1399,Settings!$A$5:$A$9,0)),0))+(IFERROR(INDEX(Settings!$C$5:$C$9,MATCH($B1399,Settings!$A$5:$A$9,0)),0)+IFERROR(INDEX(Settings!$F$5:$F$9,MATCH($B1399,Settings!$A$5:$A$9,0)),0))/P1399+IFERROR(INDEX(Settings!$D$5:$D$9,MATCH($B1399,Settings!$A$5:$A$9,0)),0)*M1399)</f>
        <v/>
      </c>
      <c r="W1399" s="11">
        <f>IF(J1399="","",IF(T1399="",0,M1399*INDEX(Products!$I$5:$I$204,T1399)))</f>
        <v/>
      </c>
      <c r="X1399" s="11">
        <f>IF(J1399="","",IF(T1399="",0,S1399*INDEX(Products!$H$5:$H$204,T1399)))</f>
        <v/>
      </c>
      <c r="Y1399" s="11">
        <f>IF(J1399="","",S1399-V1399-W1399-X1399)</f>
        <v/>
      </c>
    </row>
    <row r="1400">
      <c r="A1400" s="19" t="n"/>
      <c r="B1400" s="19" t="n"/>
      <c r="C1400" s="19" t="n"/>
      <c r="D1400" s="19" t="n"/>
      <c r="E1400" s="19" t="n"/>
      <c r="F1400" s="20" t="n"/>
      <c r="G1400" s="20" t="n"/>
      <c r="H1400" s="20" t="n"/>
      <c r="I1400" s="19" t="n"/>
      <c r="J1400">
        <f>IFERROR(IF(C1400="","",C1400)&amp;"","")</f>
        <v/>
      </c>
      <c r="K1400">
        <f>IFERROR(IF(D1400="","",D1400)&amp;"","")</f>
        <v/>
      </c>
      <c r="L1400">
        <f>IFERROR(IF(I1400="","",I1400)&amp;"","")</f>
        <v/>
      </c>
      <c r="M1400">
        <f>IF(J1400="","",IFERROR(VALUE(SUBSTITUTE(SUBSTITUTE(IF(E1400="","",E1400)&amp;"","$",""),",","")),0))</f>
        <v/>
      </c>
      <c r="N1400" s="11">
        <f>IF(J1400="","",IFERROR(VALUE(SUBSTITUTE(SUBSTITUTE(IF(F1400="","",F1400)&amp;"","$",""),",","")),0))</f>
        <v/>
      </c>
      <c r="O1400" s="11">
        <f>IF(J1400="","",M1400*N1400)</f>
        <v/>
      </c>
      <c r="P1400">
        <f>IF(J1400="","",IF(L1400="",1,COUNTIF($L$2:$L$1501,L1400)))</f>
        <v/>
      </c>
      <c r="Q1400" s="11">
        <f>IF(J1400="","",IFERROR(VALUE(SUBSTITUTE(SUBSTITUTE(IF(G1400="","",G1400)&amp;"","$",""),",","")),0)/IF("No"="Yes",P1400,1))</f>
        <v/>
      </c>
      <c r="R1400" s="11">
        <f>IF(J1400="","",IFERROR(VALUE(SUBSTITUTE(SUBSTITUTE(IF(H1400="","",H1400)&amp;"","$",""),",","")),0)/IF("No"="Yes",P1400,1))</f>
        <v/>
      </c>
      <c r="S1400" s="11">
        <f>IF(J1400="","",O1400+Q1400-R1400)</f>
        <v/>
      </c>
      <c r="T1400">
        <f>IF(J1400="","",IFERROR(IF(K1400="",NA(),MATCH(K1400,Products!$B$5:$B$204,0)),IFERROR(MATCH(J1400,Products!$A$5:$A$204,0),"")))</f>
        <v/>
      </c>
      <c r="U1400">
        <f>IF(J1400="","",IF(T1400="","⚠ not in Products",INDEX(Products!$A$5:$A$204,T1400)))</f>
        <v/>
      </c>
      <c r="V1400" s="11">
        <f>IF(J1400="","",S1400*(IFERROR(INDEX(Settings!$B$5:$B$9,MATCH($B1400,Settings!$A$5:$A$9,0)),0)+IFERROR(INDEX(Settings!$E$5:$E$9,MATCH($B1400,Settings!$A$5:$A$9,0)),0)+IFERROR(INDEX(Settings!$G$5:$G$9,MATCH($B1400,Settings!$A$5:$A$9,0)),0))+(IFERROR(INDEX(Settings!$C$5:$C$9,MATCH($B1400,Settings!$A$5:$A$9,0)),0)+IFERROR(INDEX(Settings!$F$5:$F$9,MATCH($B1400,Settings!$A$5:$A$9,0)),0))/P1400+IFERROR(INDEX(Settings!$D$5:$D$9,MATCH($B1400,Settings!$A$5:$A$9,0)),0)*M1400)</f>
        <v/>
      </c>
      <c r="W1400" s="11">
        <f>IF(J1400="","",IF(T1400="",0,M1400*INDEX(Products!$I$5:$I$204,T1400)))</f>
        <v/>
      </c>
      <c r="X1400" s="11">
        <f>IF(J1400="","",IF(T1400="",0,S1400*INDEX(Products!$H$5:$H$204,T1400)))</f>
        <v/>
      </c>
      <c r="Y1400" s="11">
        <f>IF(J1400="","",S1400-V1400-W1400-X1400)</f>
        <v/>
      </c>
    </row>
    <row r="1401">
      <c r="A1401" s="19" t="n"/>
      <c r="B1401" s="19" t="n"/>
      <c r="C1401" s="19" t="n"/>
      <c r="D1401" s="19" t="n"/>
      <c r="E1401" s="19" t="n"/>
      <c r="F1401" s="20" t="n"/>
      <c r="G1401" s="20" t="n"/>
      <c r="H1401" s="20" t="n"/>
      <c r="I1401" s="19" t="n"/>
      <c r="J1401">
        <f>IFERROR(IF(C1401="","",C1401)&amp;"","")</f>
        <v/>
      </c>
      <c r="K1401">
        <f>IFERROR(IF(D1401="","",D1401)&amp;"","")</f>
        <v/>
      </c>
      <c r="L1401">
        <f>IFERROR(IF(I1401="","",I1401)&amp;"","")</f>
        <v/>
      </c>
      <c r="M1401">
        <f>IF(J1401="","",IFERROR(VALUE(SUBSTITUTE(SUBSTITUTE(IF(E1401="","",E1401)&amp;"","$",""),",","")),0))</f>
        <v/>
      </c>
      <c r="N1401" s="11">
        <f>IF(J1401="","",IFERROR(VALUE(SUBSTITUTE(SUBSTITUTE(IF(F1401="","",F1401)&amp;"","$",""),",","")),0))</f>
        <v/>
      </c>
      <c r="O1401" s="11">
        <f>IF(J1401="","",M1401*N1401)</f>
        <v/>
      </c>
      <c r="P1401">
        <f>IF(J1401="","",IF(L1401="",1,COUNTIF($L$2:$L$1501,L1401)))</f>
        <v/>
      </c>
      <c r="Q1401" s="11">
        <f>IF(J1401="","",IFERROR(VALUE(SUBSTITUTE(SUBSTITUTE(IF(G1401="","",G1401)&amp;"","$",""),",","")),0)/IF("No"="Yes",P1401,1))</f>
        <v/>
      </c>
      <c r="R1401" s="11">
        <f>IF(J1401="","",IFERROR(VALUE(SUBSTITUTE(SUBSTITUTE(IF(H1401="","",H1401)&amp;"","$",""),",","")),0)/IF("No"="Yes",P1401,1))</f>
        <v/>
      </c>
      <c r="S1401" s="11">
        <f>IF(J1401="","",O1401+Q1401-R1401)</f>
        <v/>
      </c>
      <c r="T1401">
        <f>IF(J1401="","",IFERROR(IF(K1401="",NA(),MATCH(K1401,Products!$B$5:$B$204,0)),IFERROR(MATCH(J1401,Products!$A$5:$A$204,0),"")))</f>
        <v/>
      </c>
      <c r="U1401">
        <f>IF(J1401="","",IF(T1401="","⚠ not in Products",INDEX(Products!$A$5:$A$204,T1401)))</f>
        <v/>
      </c>
      <c r="V1401" s="11">
        <f>IF(J1401="","",S1401*(IFERROR(INDEX(Settings!$B$5:$B$9,MATCH($B1401,Settings!$A$5:$A$9,0)),0)+IFERROR(INDEX(Settings!$E$5:$E$9,MATCH($B1401,Settings!$A$5:$A$9,0)),0)+IFERROR(INDEX(Settings!$G$5:$G$9,MATCH($B1401,Settings!$A$5:$A$9,0)),0))+(IFERROR(INDEX(Settings!$C$5:$C$9,MATCH($B1401,Settings!$A$5:$A$9,0)),0)+IFERROR(INDEX(Settings!$F$5:$F$9,MATCH($B1401,Settings!$A$5:$A$9,0)),0))/P1401+IFERROR(INDEX(Settings!$D$5:$D$9,MATCH($B1401,Settings!$A$5:$A$9,0)),0)*M1401)</f>
        <v/>
      </c>
      <c r="W1401" s="11">
        <f>IF(J1401="","",IF(T1401="",0,M1401*INDEX(Products!$I$5:$I$204,T1401)))</f>
        <v/>
      </c>
      <c r="X1401" s="11">
        <f>IF(J1401="","",IF(T1401="",0,S1401*INDEX(Products!$H$5:$H$204,T1401)))</f>
        <v/>
      </c>
      <c r="Y1401" s="11">
        <f>IF(J1401="","",S1401-V1401-W1401-X1401)</f>
        <v/>
      </c>
    </row>
    <row r="1402">
      <c r="A1402" s="19" t="n"/>
      <c r="B1402" s="19" t="n"/>
      <c r="C1402" s="19" t="n"/>
      <c r="D1402" s="19" t="n"/>
      <c r="E1402" s="19" t="n"/>
      <c r="F1402" s="20" t="n"/>
      <c r="G1402" s="20" t="n"/>
      <c r="H1402" s="20" t="n"/>
      <c r="I1402" s="19" t="n"/>
      <c r="J1402">
        <f>IFERROR(IF(C1402="","",C1402)&amp;"","")</f>
        <v/>
      </c>
      <c r="K1402">
        <f>IFERROR(IF(D1402="","",D1402)&amp;"","")</f>
        <v/>
      </c>
      <c r="L1402">
        <f>IFERROR(IF(I1402="","",I1402)&amp;"","")</f>
        <v/>
      </c>
      <c r="M1402">
        <f>IF(J1402="","",IFERROR(VALUE(SUBSTITUTE(SUBSTITUTE(IF(E1402="","",E1402)&amp;"","$",""),",","")),0))</f>
        <v/>
      </c>
      <c r="N1402" s="11">
        <f>IF(J1402="","",IFERROR(VALUE(SUBSTITUTE(SUBSTITUTE(IF(F1402="","",F1402)&amp;"","$",""),",","")),0))</f>
        <v/>
      </c>
      <c r="O1402" s="11">
        <f>IF(J1402="","",M1402*N1402)</f>
        <v/>
      </c>
      <c r="P1402">
        <f>IF(J1402="","",IF(L1402="",1,COUNTIF($L$2:$L$1501,L1402)))</f>
        <v/>
      </c>
      <c r="Q1402" s="11">
        <f>IF(J1402="","",IFERROR(VALUE(SUBSTITUTE(SUBSTITUTE(IF(G1402="","",G1402)&amp;"","$",""),",","")),0)/IF("No"="Yes",P1402,1))</f>
        <v/>
      </c>
      <c r="R1402" s="11">
        <f>IF(J1402="","",IFERROR(VALUE(SUBSTITUTE(SUBSTITUTE(IF(H1402="","",H1402)&amp;"","$",""),",","")),0)/IF("No"="Yes",P1402,1))</f>
        <v/>
      </c>
      <c r="S1402" s="11">
        <f>IF(J1402="","",O1402+Q1402-R1402)</f>
        <v/>
      </c>
      <c r="T1402">
        <f>IF(J1402="","",IFERROR(IF(K1402="",NA(),MATCH(K1402,Products!$B$5:$B$204,0)),IFERROR(MATCH(J1402,Products!$A$5:$A$204,0),"")))</f>
        <v/>
      </c>
      <c r="U1402">
        <f>IF(J1402="","",IF(T1402="","⚠ not in Products",INDEX(Products!$A$5:$A$204,T1402)))</f>
        <v/>
      </c>
      <c r="V1402" s="11">
        <f>IF(J1402="","",S1402*(IFERROR(INDEX(Settings!$B$5:$B$9,MATCH($B1402,Settings!$A$5:$A$9,0)),0)+IFERROR(INDEX(Settings!$E$5:$E$9,MATCH($B1402,Settings!$A$5:$A$9,0)),0)+IFERROR(INDEX(Settings!$G$5:$G$9,MATCH($B1402,Settings!$A$5:$A$9,0)),0))+(IFERROR(INDEX(Settings!$C$5:$C$9,MATCH($B1402,Settings!$A$5:$A$9,0)),0)+IFERROR(INDEX(Settings!$F$5:$F$9,MATCH($B1402,Settings!$A$5:$A$9,0)),0))/P1402+IFERROR(INDEX(Settings!$D$5:$D$9,MATCH($B1402,Settings!$A$5:$A$9,0)),0)*M1402)</f>
        <v/>
      </c>
      <c r="W1402" s="11">
        <f>IF(J1402="","",IF(T1402="",0,M1402*INDEX(Products!$I$5:$I$204,T1402)))</f>
        <v/>
      </c>
      <c r="X1402" s="11">
        <f>IF(J1402="","",IF(T1402="",0,S1402*INDEX(Products!$H$5:$H$204,T1402)))</f>
        <v/>
      </c>
      <c r="Y1402" s="11">
        <f>IF(J1402="","",S1402-V1402-W1402-X1402)</f>
        <v/>
      </c>
    </row>
    <row r="1403">
      <c r="A1403" s="19" t="n"/>
      <c r="B1403" s="19" t="n"/>
      <c r="C1403" s="19" t="n"/>
      <c r="D1403" s="19" t="n"/>
      <c r="E1403" s="19" t="n"/>
      <c r="F1403" s="20" t="n"/>
      <c r="G1403" s="20" t="n"/>
      <c r="H1403" s="20" t="n"/>
      <c r="I1403" s="19" t="n"/>
      <c r="J1403">
        <f>IFERROR(IF(C1403="","",C1403)&amp;"","")</f>
        <v/>
      </c>
      <c r="K1403">
        <f>IFERROR(IF(D1403="","",D1403)&amp;"","")</f>
        <v/>
      </c>
      <c r="L1403">
        <f>IFERROR(IF(I1403="","",I1403)&amp;"","")</f>
        <v/>
      </c>
      <c r="M1403">
        <f>IF(J1403="","",IFERROR(VALUE(SUBSTITUTE(SUBSTITUTE(IF(E1403="","",E1403)&amp;"","$",""),",","")),0))</f>
        <v/>
      </c>
      <c r="N1403" s="11">
        <f>IF(J1403="","",IFERROR(VALUE(SUBSTITUTE(SUBSTITUTE(IF(F1403="","",F1403)&amp;"","$",""),",","")),0))</f>
        <v/>
      </c>
      <c r="O1403" s="11">
        <f>IF(J1403="","",M1403*N1403)</f>
        <v/>
      </c>
      <c r="P1403">
        <f>IF(J1403="","",IF(L1403="",1,COUNTIF($L$2:$L$1501,L1403)))</f>
        <v/>
      </c>
      <c r="Q1403" s="11">
        <f>IF(J1403="","",IFERROR(VALUE(SUBSTITUTE(SUBSTITUTE(IF(G1403="","",G1403)&amp;"","$",""),",","")),0)/IF("No"="Yes",P1403,1))</f>
        <v/>
      </c>
      <c r="R1403" s="11">
        <f>IF(J1403="","",IFERROR(VALUE(SUBSTITUTE(SUBSTITUTE(IF(H1403="","",H1403)&amp;"","$",""),",","")),0)/IF("No"="Yes",P1403,1))</f>
        <v/>
      </c>
      <c r="S1403" s="11">
        <f>IF(J1403="","",O1403+Q1403-R1403)</f>
        <v/>
      </c>
      <c r="T1403">
        <f>IF(J1403="","",IFERROR(IF(K1403="",NA(),MATCH(K1403,Products!$B$5:$B$204,0)),IFERROR(MATCH(J1403,Products!$A$5:$A$204,0),"")))</f>
        <v/>
      </c>
      <c r="U1403">
        <f>IF(J1403="","",IF(T1403="","⚠ not in Products",INDEX(Products!$A$5:$A$204,T1403)))</f>
        <v/>
      </c>
      <c r="V1403" s="11">
        <f>IF(J1403="","",S1403*(IFERROR(INDEX(Settings!$B$5:$B$9,MATCH($B1403,Settings!$A$5:$A$9,0)),0)+IFERROR(INDEX(Settings!$E$5:$E$9,MATCH($B1403,Settings!$A$5:$A$9,0)),0)+IFERROR(INDEX(Settings!$G$5:$G$9,MATCH($B1403,Settings!$A$5:$A$9,0)),0))+(IFERROR(INDEX(Settings!$C$5:$C$9,MATCH($B1403,Settings!$A$5:$A$9,0)),0)+IFERROR(INDEX(Settings!$F$5:$F$9,MATCH($B1403,Settings!$A$5:$A$9,0)),0))/P1403+IFERROR(INDEX(Settings!$D$5:$D$9,MATCH($B1403,Settings!$A$5:$A$9,0)),0)*M1403)</f>
        <v/>
      </c>
      <c r="W1403" s="11">
        <f>IF(J1403="","",IF(T1403="",0,M1403*INDEX(Products!$I$5:$I$204,T1403)))</f>
        <v/>
      </c>
      <c r="X1403" s="11">
        <f>IF(J1403="","",IF(T1403="",0,S1403*INDEX(Products!$H$5:$H$204,T1403)))</f>
        <v/>
      </c>
      <c r="Y1403" s="11">
        <f>IF(J1403="","",S1403-V1403-W1403-X1403)</f>
        <v/>
      </c>
    </row>
    <row r="1404">
      <c r="A1404" s="19" t="n"/>
      <c r="B1404" s="19" t="n"/>
      <c r="C1404" s="19" t="n"/>
      <c r="D1404" s="19" t="n"/>
      <c r="E1404" s="19" t="n"/>
      <c r="F1404" s="20" t="n"/>
      <c r="G1404" s="20" t="n"/>
      <c r="H1404" s="20" t="n"/>
      <c r="I1404" s="19" t="n"/>
      <c r="J1404">
        <f>IFERROR(IF(C1404="","",C1404)&amp;"","")</f>
        <v/>
      </c>
      <c r="K1404">
        <f>IFERROR(IF(D1404="","",D1404)&amp;"","")</f>
        <v/>
      </c>
      <c r="L1404">
        <f>IFERROR(IF(I1404="","",I1404)&amp;"","")</f>
        <v/>
      </c>
      <c r="M1404">
        <f>IF(J1404="","",IFERROR(VALUE(SUBSTITUTE(SUBSTITUTE(IF(E1404="","",E1404)&amp;"","$",""),",","")),0))</f>
        <v/>
      </c>
      <c r="N1404" s="11">
        <f>IF(J1404="","",IFERROR(VALUE(SUBSTITUTE(SUBSTITUTE(IF(F1404="","",F1404)&amp;"","$",""),",","")),0))</f>
        <v/>
      </c>
      <c r="O1404" s="11">
        <f>IF(J1404="","",M1404*N1404)</f>
        <v/>
      </c>
      <c r="P1404">
        <f>IF(J1404="","",IF(L1404="",1,COUNTIF($L$2:$L$1501,L1404)))</f>
        <v/>
      </c>
      <c r="Q1404" s="11">
        <f>IF(J1404="","",IFERROR(VALUE(SUBSTITUTE(SUBSTITUTE(IF(G1404="","",G1404)&amp;"","$",""),",","")),0)/IF("No"="Yes",P1404,1))</f>
        <v/>
      </c>
      <c r="R1404" s="11">
        <f>IF(J1404="","",IFERROR(VALUE(SUBSTITUTE(SUBSTITUTE(IF(H1404="","",H1404)&amp;"","$",""),",","")),0)/IF("No"="Yes",P1404,1))</f>
        <v/>
      </c>
      <c r="S1404" s="11">
        <f>IF(J1404="","",O1404+Q1404-R1404)</f>
        <v/>
      </c>
      <c r="T1404">
        <f>IF(J1404="","",IFERROR(IF(K1404="",NA(),MATCH(K1404,Products!$B$5:$B$204,0)),IFERROR(MATCH(J1404,Products!$A$5:$A$204,0),"")))</f>
        <v/>
      </c>
      <c r="U1404">
        <f>IF(J1404="","",IF(T1404="","⚠ not in Products",INDEX(Products!$A$5:$A$204,T1404)))</f>
        <v/>
      </c>
      <c r="V1404" s="11">
        <f>IF(J1404="","",S1404*(IFERROR(INDEX(Settings!$B$5:$B$9,MATCH($B1404,Settings!$A$5:$A$9,0)),0)+IFERROR(INDEX(Settings!$E$5:$E$9,MATCH($B1404,Settings!$A$5:$A$9,0)),0)+IFERROR(INDEX(Settings!$G$5:$G$9,MATCH($B1404,Settings!$A$5:$A$9,0)),0))+(IFERROR(INDEX(Settings!$C$5:$C$9,MATCH($B1404,Settings!$A$5:$A$9,0)),0)+IFERROR(INDEX(Settings!$F$5:$F$9,MATCH($B1404,Settings!$A$5:$A$9,0)),0))/P1404+IFERROR(INDEX(Settings!$D$5:$D$9,MATCH($B1404,Settings!$A$5:$A$9,0)),0)*M1404)</f>
        <v/>
      </c>
      <c r="W1404" s="11">
        <f>IF(J1404="","",IF(T1404="",0,M1404*INDEX(Products!$I$5:$I$204,T1404)))</f>
        <v/>
      </c>
      <c r="X1404" s="11">
        <f>IF(J1404="","",IF(T1404="",0,S1404*INDEX(Products!$H$5:$H$204,T1404)))</f>
        <v/>
      </c>
      <c r="Y1404" s="11">
        <f>IF(J1404="","",S1404-V1404-W1404-X1404)</f>
        <v/>
      </c>
    </row>
    <row r="1405">
      <c r="A1405" s="19" t="n"/>
      <c r="B1405" s="19" t="n"/>
      <c r="C1405" s="19" t="n"/>
      <c r="D1405" s="19" t="n"/>
      <c r="E1405" s="19" t="n"/>
      <c r="F1405" s="20" t="n"/>
      <c r="G1405" s="20" t="n"/>
      <c r="H1405" s="20" t="n"/>
      <c r="I1405" s="19" t="n"/>
      <c r="J1405">
        <f>IFERROR(IF(C1405="","",C1405)&amp;"","")</f>
        <v/>
      </c>
      <c r="K1405">
        <f>IFERROR(IF(D1405="","",D1405)&amp;"","")</f>
        <v/>
      </c>
      <c r="L1405">
        <f>IFERROR(IF(I1405="","",I1405)&amp;"","")</f>
        <v/>
      </c>
      <c r="M1405">
        <f>IF(J1405="","",IFERROR(VALUE(SUBSTITUTE(SUBSTITUTE(IF(E1405="","",E1405)&amp;"","$",""),",","")),0))</f>
        <v/>
      </c>
      <c r="N1405" s="11">
        <f>IF(J1405="","",IFERROR(VALUE(SUBSTITUTE(SUBSTITUTE(IF(F1405="","",F1405)&amp;"","$",""),",","")),0))</f>
        <v/>
      </c>
      <c r="O1405" s="11">
        <f>IF(J1405="","",M1405*N1405)</f>
        <v/>
      </c>
      <c r="P1405">
        <f>IF(J1405="","",IF(L1405="",1,COUNTIF($L$2:$L$1501,L1405)))</f>
        <v/>
      </c>
      <c r="Q1405" s="11">
        <f>IF(J1405="","",IFERROR(VALUE(SUBSTITUTE(SUBSTITUTE(IF(G1405="","",G1405)&amp;"","$",""),",","")),0)/IF("No"="Yes",P1405,1))</f>
        <v/>
      </c>
      <c r="R1405" s="11">
        <f>IF(J1405="","",IFERROR(VALUE(SUBSTITUTE(SUBSTITUTE(IF(H1405="","",H1405)&amp;"","$",""),",","")),0)/IF("No"="Yes",P1405,1))</f>
        <v/>
      </c>
      <c r="S1405" s="11">
        <f>IF(J1405="","",O1405+Q1405-R1405)</f>
        <v/>
      </c>
      <c r="T1405">
        <f>IF(J1405="","",IFERROR(IF(K1405="",NA(),MATCH(K1405,Products!$B$5:$B$204,0)),IFERROR(MATCH(J1405,Products!$A$5:$A$204,0),"")))</f>
        <v/>
      </c>
      <c r="U1405">
        <f>IF(J1405="","",IF(T1405="","⚠ not in Products",INDEX(Products!$A$5:$A$204,T1405)))</f>
        <v/>
      </c>
      <c r="V1405" s="11">
        <f>IF(J1405="","",S1405*(IFERROR(INDEX(Settings!$B$5:$B$9,MATCH($B1405,Settings!$A$5:$A$9,0)),0)+IFERROR(INDEX(Settings!$E$5:$E$9,MATCH($B1405,Settings!$A$5:$A$9,0)),0)+IFERROR(INDEX(Settings!$G$5:$G$9,MATCH($B1405,Settings!$A$5:$A$9,0)),0))+(IFERROR(INDEX(Settings!$C$5:$C$9,MATCH($B1405,Settings!$A$5:$A$9,0)),0)+IFERROR(INDEX(Settings!$F$5:$F$9,MATCH($B1405,Settings!$A$5:$A$9,0)),0))/P1405+IFERROR(INDEX(Settings!$D$5:$D$9,MATCH($B1405,Settings!$A$5:$A$9,0)),0)*M1405)</f>
        <v/>
      </c>
      <c r="W1405" s="11">
        <f>IF(J1405="","",IF(T1405="",0,M1405*INDEX(Products!$I$5:$I$204,T1405)))</f>
        <v/>
      </c>
      <c r="X1405" s="11">
        <f>IF(J1405="","",IF(T1405="",0,S1405*INDEX(Products!$H$5:$H$204,T1405)))</f>
        <v/>
      </c>
      <c r="Y1405" s="11">
        <f>IF(J1405="","",S1405-V1405-W1405-X1405)</f>
        <v/>
      </c>
    </row>
    <row r="1406">
      <c r="A1406" s="19" t="n"/>
      <c r="B1406" s="19" t="n"/>
      <c r="C1406" s="19" t="n"/>
      <c r="D1406" s="19" t="n"/>
      <c r="E1406" s="19" t="n"/>
      <c r="F1406" s="20" t="n"/>
      <c r="G1406" s="20" t="n"/>
      <c r="H1406" s="20" t="n"/>
      <c r="I1406" s="19" t="n"/>
      <c r="J1406">
        <f>IFERROR(IF(C1406="","",C1406)&amp;"","")</f>
        <v/>
      </c>
      <c r="K1406">
        <f>IFERROR(IF(D1406="","",D1406)&amp;"","")</f>
        <v/>
      </c>
      <c r="L1406">
        <f>IFERROR(IF(I1406="","",I1406)&amp;"","")</f>
        <v/>
      </c>
      <c r="M1406">
        <f>IF(J1406="","",IFERROR(VALUE(SUBSTITUTE(SUBSTITUTE(IF(E1406="","",E1406)&amp;"","$",""),",","")),0))</f>
        <v/>
      </c>
      <c r="N1406" s="11">
        <f>IF(J1406="","",IFERROR(VALUE(SUBSTITUTE(SUBSTITUTE(IF(F1406="","",F1406)&amp;"","$",""),",","")),0))</f>
        <v/>
      </c>
      <c r="O1406" s="11">
        <f>IF(J1406="","",M1406*N1406)</f>
        <v/>
      </c>
      <c r="P1406">
        <f>IF(J1406="","",IF(L1406="",1,COUNTIF($L$2:$L$1501,L1406)))</f>
        <v/>
      </c>
      <c r="Q1406" s="11">
        <f>IF(J1406="","",IFERROR(VALUE(SUBSTITUTE(SUBSTITUTE(IF(G1406="","",G1406)&amp;"","$",""),",","")),0)/IF("No"="Yes",P1406,1))</f>
        <v/>
      </c>
      <c r="R1406" s="11">
        <f>IF(J1406="","",IFERROR(VALUE(SUBSTITUTE(SUBSTITUTE(IF(H1406="","",H1406)&amp;"","$",""),",","")),0)/IF("No"="Yes",P1406,1))</f>
        <v/>
      </c>
      <c r="S1406" s="11">
        <f>IF(J1406="","",O1406+Q1406-R1406)</f>
        <v/>
      </c>
      <c r="T1406">
        <f>IF(J1406="","",IFERROR(IF(K1406="",NA(),MATCH(K1406,Products!$B$5:$B$204,0)),IFERROR(MATCH(J1406,Products!$A$5:$A$204,0),"")))</f>
        <v/>
      </c>
      <c r="U1406">
        <f>IF(J1406="","",IF(T1406="","⚠ not in Products",INDEX(Products!$A$5:$A$204,T1406)))</f>
        <v/>
      </c>
      <c r="V1406" s="11">
        <f>IF(J1406="","",S1406*(IFERROR(INDEX(Settings!$B$5:$B$9,MATCH($B1406,Settings!$A$5:$A$9,0)),0)+IFERROR(INDEX(Settings!$E$5:$E$9,MATCH($B1406,Settings!$A$5:$A$9,0)),0)+IFERROR(INDEX(Settings!$G$5:$G$9,MATCH($B1406,Settings!$A$5:$A$9,0)),0))+(IFERROR(INDEX(Settings!$C$5:$C$9,MATCH($B1406,Settings!$A$5:$A$9,0)),0)+IFERROR(INDEX(Settings!$F$5:$F$9,MATCH($B1406,Settings!$A$5:$A$9,0)),0))/P1406+IFERROR(INDEX(Settings!$D$5:$D$9,MATCH($B1406,Settings!$A$5:$A$9,0)),0)*M1406)</f>
        <v/>
      </c>
      <c r="W1406" s="11">
        <f>IF(J1406="","",IF(T1406="",0,M1406*INDEX(Products!$I$5:$I$204,T1406)))</f>
        <v/>
      </c>
      <c r="X1406" s="11">
        <f>IF(J1406="","",IF(T1406="",0,S1406*INDEX(Products!$H$5:$H$204,T1406)))</f>
        <v/>
      </c>
      <c r="Y1406" s="11">
        <f>IF(J1406="","",S1406-V1406-W1406-X1406)</f>
        <v/>
      </c>
    </row>
    <row r="1407">
      <c r="A1407" s="19" t="n"/>
      <c r="B1407" s="19" t="n"/>
      <c r="C1407" s="19" t="n"/>
      <c r="D1407" s="19" t="n"/>
      <c r="E1407" s="19" t="n"/>
      <c r="F1407" s="20" t="n"/>
      <c r="G1407" s="20" t="n"/>
      <c r="H1407" s="20" t="n"/>
      <c r="I1407" s="19" t="n"/>
      <c r="J1407">
        <f>IFERROR(IF(C1407="","",C1407)&amp;"","")</f>
        <v/>
      </c>
      <c r="K1407">
        <f>IFERROR(IF(D1407="","",D1407)&amp;"","")</f>
        <v/>
      </c>
      <c r="L1407">
        <f>IFERROR(IF(I1407="","",I1407)&amp;"","")</f>
        <v/>
      </c>
      <c r="M1407">
        <f>IF(J1407="","",IFERROR(VALUE(SUBSTITUTE(SUBSTITUTE(IF(E1407="","",E1407)&amp;"","$",""),",","")),0))</f>
        <v/>
      </c>
      <c r="N1407" s="11">
        <f>IF(J1407="","",IFERROR(VALUE(SUBSTITUTE(SUBSTITUTE(IF(F1407="","",F1407)&amp;"","$",""),",","")),0))</f>
        <v/>
      </c>
      <c r="O1407" s="11">
        <f>IF(J1407="","",M1407*N1407)</f>
        <v/>
      </c>
      <c r="P1407">
        <f>IF(J1407="","",IF(L1407="",1,COUNTIF($L$2:$L$1501,L1407)))</f>
        <v/>
      </c>
      <c r="Q1407" s="11">
        <f>IF(J1407="","",IFERROR(VALUE(SUBSTITUTE(SUBSTITUTE(IF(G1407="","",G1407)&amp;"","$",""),",","")),0)/IF("No"="Yes",P1407,1))</f>
        <v/>
      </c>
      <c r="R1407" s="11">
        <f>IF(J1407="","",IFERROR(VALUE(SUBSTITUTE(SUBSTITUTE(IF(H1407="","",H1407)&amp;"","$",""),",","")),0)/IF("No"="Yes",P1407,1))</f>
        <v/>
      </c>
      <c r="S1407" s="11">
        <f>IF(J1407="","",O1407+Q1407-R1407)</f>
        <v/>
      </c>
      <c r="T1407">
        <f>IF(J1407="","",IFERROR(IF(K1407="",NA(),MATCH(K1407,Products!$B$5:$B$204,0)),IFERROR(MATCH(J1407,Products!$A$5:$A$204,0),"")))</f>
        <v/>
      </c>
      <c r="U1407">
        <f>IF(J1407="","",IF(T1407="","⚠ not in Products",INDEX(Products!$A$5:$A$204,T1407)))</f>
        <v/>
      </c>
      <c r="V1407" s="11">
        <f>IF(J1407="","",S1407*(IFERROR(INDEX(Settings!$B$5:$B$9,MATCH($B1407,Settings!$A$5:$A$9,0)),0)+IFERROR(INDEX(Settings!$E$5:$E$9,MATCH($B1407,Settings!$A$5:$A$9,0)),0)+IFERROR(INDEX(Settings!$G$5:$G$9,MATCH($B1407,Settings!$A$5:$A$9,0)),0))+(IFERROR(INDEX(Settings!$C$5:$C$9,MATCH($B1407,Settings!$A$5:$A$9,0)),0)+IFERROR(INDEX(Settings!$F$5:$F$9,MATCH($B1407,Settings!$A$5:$A$9,0)),0))/P1407+IFERROR(INDEX(Settings!$D$5:$D$9,MATCH($B1407,Settings!$A$5:$A$9,0)),0)*M1407)</f>
        <v/>
      </c>
      <c r="W1407" s="11">
        <f>IF(J1407="","",IF(T1407="",0,M1407*INDEX(Products!$I$5:$I$204,T1407)))</f>
        <v/>
      </c>
      <c r="X1407" s="11">
        <f>IF(J1407="","",IF(T1407="",0,S1407*INDEX(Products!$H$5:$H$204,T1407)))</f>
        <v/>
      </c>
      <c r="Y1407" s="11">
        <f>IF(J1407="","",S1407-V1407-W1407-X1407)</f>
        <v/>
      </c>
    </row>
    <row r="1408">
      <c r="A1408" s="19" t="n"/>
      <c r="B1408" s="19" t="n"/>
      <c r="C1408" s="19" t="n"/>
      <c r="D1408" s="19" t="n"/>
      <c r="E1408" s="19" t="n"/>
      <c r="F1408" s="20" t="n"/>
      <c r="G1408" s="20" t="n"/>
      <c r="H1408" s="20" t="n"/>
      <c r="I1408" s="19" t="n"/>
      <c r="J1408">
        <f>IFERROR(IF(C1408="","",C1408)&amp;"","")</f>
        <v/>
      </c>
      <c r="K1408">
        <f>IFERROR(IF(D1408="","",D1408)&amp;"","")</f>
        <v/>
      </c>
      <c r="L1408">
        <f>IFERROR(IF(I1408="","",I1408)&amp;"","")</f>
        <v/>
      </c>
      <c r="M1408">
        <f>IF(J1408="","",IFERROR(VALUE(SUBSTITUTE(SUBSTITUTE(IF(E1408="","",E1408)&amp;"","$",""),",","")),0))</f>
        <v/>
      </c>
      <c r="N1408" s="11">
        <f>IF(J1408="","",IFERROR(VALUE(SUBSTITUTE(SUBSTITUTE(IF(F1408="","",F1408)&amp;"","$",""),",","")),0))</f>
        <v/>
      </c>
      <c r="O1408" s="11">
        <f>IF(J1408="","",M1408*N1408)</f>
        <v/>
      </c>
      <c r="P1408">
        <f>IF(J1408="","",IF(L1408="",1,COUNTIF($L$2:$L$1501,L1408)))</f>
        <v/>
      </c>
      <c r="Q1408" s="11">
        <f>IF(J1408="","",IFERROR(VALUE(SUBSTITUTE(SUBSTITUTE(IF(G1408="","",G1408)&amp;"","$",""),",","")),0)/IF("No"="Yes",P1408,1))</f>
        <v/>
      </c>
      <c r="R1408" s="11">
        <f>IF(J1408="","",IFERROR(VALUE(SUBSTITUTE(SUBSTITUTE(IF(H1408="","",H1408)&amp;"","$",""),",","")),0)/IF("No"="Yes",P1408,1))</f>
        <v/>
      </c>
      <c r="S1408" s="11">
        <f>IF(J1408="","",O1408+Q1408-R1408)</f>
        <v/>
      </c>
      <c r="T1408">
        <f>IF(J1408="","",IFERROR(IF(K1408="",NA(),MATCH(K1408,Products!$B$5:$B$204,0)),IFERROR(MATCH(J1408,Products!$A$5:$A$204,0),"")))</f>
        <v/>
      </c>
      <c r="U1408">
        <f>IF(J1408="","",IF(T1408="","⚠ not in Products",INDEX(Products!$A$5:$A$204,T1408)))</f>
        <v/>
      </c>
      <c r="V1408" s="11">
        <f>IF(J1408="","",S1408*(IFERROR(INDEX(Settings!$B$5:$B$9,MATCH($B1408,Settings!$A$5:$A$9,0)),0)+IFERROR(INDEX(Settings!$E$5:$E$9,MATCH($B1408,Settings!$A$5:$A$9,0)),0)+IFERROR(INDEX(Settings!$G$5:$G$9,MATCH($B1408,Settings!$A$5:$A$9,0)),0))+(IFERROR(INDEX(Settings!$C$5:$C$9,MATCH($B1408,Settings!$A$5:$A$9,0)),0)+IFERROR(INDEX(Settings!$F$5:$F$9,MATCH($B1408,Settings!$A$5:$A$9,0)),0))/P1408+IFERROR(INDEX(Settings!$D$5:$D$9,MATCH($B1408,Settings!$A$5:$A$9,0)),0)*M1408)</f>
        <v/>
      </c>
      <c r="W1408" s="11">
        <f>IF(J1408="","",IF(T1408="",0,M1408*INDEX(Products!$I$5:$I$204,T1408)))</f>
        <v/>
      </c>
      <c r="X1408" s="11">
        <f>IF(J1408="","",IF(T1408="",0,S1408*INDEX(Products!$H$5:$H$204,T1408)))</f>
        <v/>
      </c>
      <c r="Y1408" s="11">
        <f>IF(J1408="","",S1408-V1408-W1408-X1408)</f>
        <v/>
      </c>
    </row>
    <row r="1409">
      <c r="A1409" s="19" t="n"/>
      <c r="B1409" s="19" t="n"/>
      <c r="C1409" s="19" t="n"/>
      <c r="D1409" s="19" t="n"/>
      <c r="E1409" s="19" t="n"/>
      <c r="F1409" s="20" t="n"/>
      <c r="G1409" s="20" t="n"/>
      <c r="H1409" s="20" t="n"/>
      <c r="I1409" s="19" t="n"/>
      <c r="J1409">
        <f>IFERROR(IF(C1409="","",C1409)&amp;"","")</f>
        <v/>
      </c>
      <c r="K1409">
        <f>IFERROR(IF(D1409="","",D1409)&amp;"","")</f>
        <v/>
      </c>
      <c r="L1409">
        <f>IFERROR(IF(I1409="","",I1409)&amp;"","")</f>
        <v/>
      </c>
      <c r="M1409">
        <f>IF(J1409="","",IFERROR(VALUE(SUBSTITUTE(SUBSTITUTE(IF(E1409="","",E1409)&amp;"","$",""),",","")),0))</f>
        <v/>
      </c>
      <c r="N1409" s="11">
        <f>IF(J1409="","",IFERROR(VALUE(SUBSTITUTE(SUBSTITUTE(IF(F1409="","",F1409)&amp;"","$",""),",","")),0))</f>
        <v/>
      </c>
      <c r="O1409" s="11">
        <f>IF(J1409="","",M1409*N1409)</f>
        <v/>
      </c>
      <c r="P1409">
        <f>IF(J1409="","",IF(L1409="",1,COUNTIF($L$2:$L$1501,L1409)))</f>
        <v/>
      </c>
      <c r="Q1409" s="11">
        <f>IF(J1409="","",IFERROR(VALUE(SUBSTITUTE(SUBSTITUTE(IF(G1409="","",G1409)&amp;"","$",""),",","")),0)/IF("No"="Yes",P1409,1))</f>
        <v/>
      </c>
      <c r="R1409" s="11">
        <f>IF(J1409="","",IFERROR(VALUE(SUBSTITUTE(SUBSTITUTE(IF(H1409="","",H1409)&amp;"","$",""),",","")),0)/IF("No"="Yes",P1409,1))</f>
        <v/>
      </c>
      <c r="S1409" s="11">
        <f>IF(J1409="","",O1409+Q1409-R1409)</f>
        <v/>
      </c>
      <c r="T1409">
        <f>IF(J1409="","",IFERROR(IF(K1409="",NA(),MATCH(K1409,Products!$B$5:$B$204,0)),IFERROR(MATCH(J1409,Products!$A$5:$A$204,0),"")))</f>
        <v/>
      </c>
      <c r="U1409">
        <f>IF(J1409="","",IF(T1409="","⚠ not in Products",INDEX(Products!$A$5:$A$204,T1409)))</f>
        <v/>
      </c>
      <c r="V1409" s="11">
        <f>IF(J1409="","",S1409*(IFERROR(INDEX(Settings!$B$5:$B$9,MATCH($B1409,Settings!$A$5:$A$9,0)),0)+IFERROR(INDEX(Settings!$E$5:$E$9,MATCH($B1409,Settings!$A$5:$A$9,0)),0)+IFERROR(INDEX(Settings!$G$5:$G$9,MATCH($B1409,Settings!$A$5:$A$9,0)),0))+(IFERROR(INDEX(Settings!$C$5:$C$9,MATCH($B1409,Settings!$A$5:$A$9,0)),0)+IFERROR(INDEX(Settings!$F$5:$F$9,MATCH($B1409,Settings!$A$5:$A$9,0)),0))/P1409+IFERROR(INDEX(Settings!$D$5:$D$9,MATCH($B1409,Settings!$A$5:$A$9,0)),0)*M1409)</f>
        <v/>
      </c>
      <c r="W1409" s="11">
        <f>IF(J1409="","",IF(T1409="",0,M1409*INDEX(Products!$I$5:$I$204,T1409)))</f>
        <v/>
      </c>
      <c r="X1409" s="11">
        <f>IF(J1409="","",IF(T1409="",0,S1409*INDEX(Products!$H$5:$H$204,T1409)))</f>
        <v/>
      </c>
      <c r="Y1409" s="11">
        <f>IF(J1409="","",S1409-V1409-W1409-X1409)</f>
        <v/>
      </c>
    </row>
    <row r="1410">
      <c r="A1410" s="19" t="n"/>
      <c r="B1410" s="19" t="n"/>
      <c r="C1410" s="19" t="n"/>
      <c r="D1410" s="19" t="n"/>
      <c r="E1410" s="19" t="n"/>
      <c r="F1410" s="20" t="n"/>
      <c r="G1410" s="20" t="n"/>
      <c r="H1410" s="20" t="n"/>
      <c r="I1410" s="19" t="n"/>
      <c r="J1410">
        <f>IFERROR(IF(C1410="","",C1410)&amp;"","")</f>
        <v/>
      </c>
      <c r="K1410">
        <f>IFERROR(IF(D1410="","",D1410)&amp;"","")</f>
        <v/>
      </c>
      <c r="L1410">
        <f>IFERROR(IF(I1410="","",I1410)&amp;"","")</f>
        <v/>
      </c>
      <c r="M1410">
        <f>IF(J1410="","",IFERROR(VALUE(SUBSTITUTE(SUBSTITUTE(IF(E1410="","",E1410)&amp;"","$",""),",","")),0))</f>
        <v/>
      </c>
      <c r="N1410" s="11">
        <f>IF(J1410="","",IFERROR(VALUE(SUBSTITUTE(SUBSTITUTE(IF(F1410="","",F1410)&amp;"","$",""),",","")),0))</f>
        <v/>
      </c>
      <c r="O1410" s="11">
        <f>IF(J1410="","",M1410*N1410)</f>
        <v/>
      </c>
      <c r="P1410">
        <f>IF(J1410="","",IF(L1410="",1,COUNTIF($L$2:$L$1501,L1410)))</f>
        <v/>
      </c>
      <c r="Q1410" s="11">
        <f>IF(J1410="","",IFERROR(VALUE(SUBSTITUTE(SUBSTITUTE(IF(G1410="","",G1410)&amp;"","$",""),",","")),0)/IF("No"="Yes",P1410,1))</f>
        <v/>
      </c>
      <c r="R1410" s="11">
        <f>IF(J1410="","",IFERROR(VALUE(SUBSTITUTE(SUBSTITUTE(IF(H1410="","",H1410)&amp;"","$",""),",","")),0)/IF("No"="Yes",P1410,1))</f>
        <v/>
      </c>
      <c r="S1410" s="11">
        <f>IF(J1410="","",O1410+Q1410-R1410)</f>
        <v/>
      </c>
      <c r="T1410">
        <f>IF(J1410="","",IFERROR(IF(K1410="",NA(),MATCH(K1410,Products!$B$5:$B$204,0)),IFERROR(MATCH(J1410,Products!$A$5:$A$204,0),"")))</f>
        <v/>
      </c>
      <c r="U1410">
        <f>IF(J1410="","",IF(T1410="","⚠ not in Products",INDEX(Products!$A$5:$A$204,T1410)))</f>
        <v/>
      </c>
      <c r="V1410" s="11">
        <f>IF(J1410="","",S1410*(IFERROR(INDEX(Settings!$B$5:$B$9,MATCH($B1410,Settings!$A$5:$A$9,0)),0)+IFERROR(INDEX(Settings!$E$5:$E$9,MATCH($B1410,Settings!$A$5:$A$9,0)),0)+IFERROR(INDEX(Settings!$G$5:$G$9,MATCH($B1410,Settings!$A$5:$A$9,0)),0))+(IFERROR(INDEX(Settings!$C$5:$C$9,MATCH($B1410,Settings!$A$5:$A$9,0)),0)+IFERROR(INDEX(Settings!$F$5:$F$9,MATCH($B1410,Settings!$A$5:$A$9,0)),0))/P1410+IFERROR(INDEX(Settings!$D$5:$D$9,MATCH($B1410,Settings!$A$5:$A$9,0)),0)*M1410)</f>
        <v/>
      </c>
      <c r="W1410" s="11">
        <f>IF(J1410="","",IF(T1410="",0,M1410*INDEX(Products!$I$5:$I$204,T1410)))</f>
        <v/>
      </c>
      <c r="X1410" s="11">
        <f>IF(J1410="","",IF(T1410="",0,S1410*INDEX(Products!$H$5:$H$204,T1410)))</f>
        <v/>
      </c>
      <c r="Y1410" s="11">
        <f>IF(J1410="","",S1410-V1410-W1410-X1410)</f>
        <v/>
      </c>
    </row>
    <row r="1411">
      <c r="A1411" s="19" t="n"/>
      <c r="B1411" s="19" t="n"/>
      <c r="C1411" s="19" t="n"/>
      <c r="D1411" s="19" t="n"/>
      <c r="E1411" s="19" t="n"/>
      <c r="F1411" s="20" t="n"/>
      <c r="G1411" s="20" t="n"/>
      <c r="H1411" s="20" t="n"/>
      <c r="I1411" s="19" t="n"/>
      <c r="J1411">
        <f>IFERROR(IF(C1411="","",C1411)&amp;"","")</f>
        <v/>
      </c>
      <c r="K1411">
        <f>IFERROR(IF(D1411="","",D1411)&amp;"","")</f>
        <v/>
      </c>
      <c r="L1411">
        <f>IFERROR(IF(I1411="","",I1411)&amp;"","")</f>
        <v/>
      </c>
      <c r="M1411">
        <f>IF(J1411="","",IFERROR(VALUE(SUBSTITUTE(SUBSTITUTE(IF(E1411="","",E1411)&amp;"","$",""),",","")),0))</f>
        <v/>
      </c>
      <c r="N1411" s="11">
        <f>IF(J1411="","",IFERROR(VALUE(SUBSTITUTE(SUBSTITUTE(IF(F1411="","",F1411)&amp;"","$",""),",","")),0))</f>
        <v/>
      </c>
      <c r="O1411" s="11">
        <f>IF(J1411="","",M1411*N1411)</f>
        <v/>
      </c>
      <c r="P1411">
        <f>IF(J1411="","",IF(L1411="",1,COUNTIF($L$2:$L$1501,L1411)))</f>
        <v/>
      </c>
      <c r="Q1411" s="11">
        <f>IF(J1411="","",IFERROR(VALUE(SUBSTITUTE(SUBSTITUTE(IF(G1411="","",G1411)&amp;"","$",""),",","")),0)/IF("No"="Yes",P1411,1))</f>
        <v/>
      </c>
      <c r="R1411" s="11">
        <f>IF(J1411="","",IFERROR(VALUE(SUBSTITUTE(SUBSTITUTE(IF(H1411="","",H1411)&amp;"","$",""),",","")),0)/IF("No"="Yes",P1411,1))</f>
        <v/>
      </c>
      <c r="S1411" s="11">
        <f>IF(J1411="","",O1411+Q1411-R1411)</f>
        <v/>
      </c>
      <c r="T1411">
        <f>IF(J1411="","",IFERROR(IF(K1411="",NA(),MATCH(K1411,Products!$B$5:$B$204,0)),IFERROR(MATCH(J1411,Products!$A$5:$A$204,0),"")))</f>
        <v/>
      </c>
      <c r="U1411">
        <f>IF(J1411="","",IF(T1411="","⚠ not in Products",INDEX(Products!$A$5:$A$204,T1411)))</f>
        <v/>
      </c>
      <c r="V1411" s="11">
        <f>IF(J1411="","",S1411*(IFERROR(INDEX(Settings!$B$5:$B$9,MATCH($B1411,Settings!$A$5:$A$9,0)),0)+IFERROR(INDEX(Settings!$E$5:$E$9,MATCH($B1411,Settings!$A$5:$A$9,0)),0)+IFERROR(INDEX(Settings!$G$5:$G$9,MATCH($B1411,Settings!$A$5:$A$9,0)),0))+(IFERROR(INDEX(Settings!$C$5:$C$9,MATCH($B1411,Settings!$A$5:$A$9,0)),0)+IFERROR(INDEX(Settings!$F$5:$F$9,MATCH($B1411,Settings!$A$5:$A$9,0)),0))/P1411+IFERROR(INDEX(Settings!$D$5:$D$9,MATCH($B1411,Settings!$A$5:$A$9,0)),0)*M1411)</f>
        <v/>
      </c>
      <c r="W1411" s="11">
        <f>IF(J1411="","",IF(T1411="",0,M1411*INDEX(Products!$I$5:$I$204,T1411)))</f>
        <v/>
      </c>
      <c r="X1411" s="11">
        <f>IF(J1411="","",IF(T1411="",0,S1411*INDEX(Products!$H$5:$H$204,T1411)))</f>
        <v/>
      </c>
      <c r="Y1411" s="11">
        <f>IF(J1411="","",S1411-V1411-W1411-X1411)</f>
        <v/>
      </c>
    </row>
    <row r="1412">
      <c r="A1412" s="19" t="n"/>
      <c r="B1412" s="19" t="n"/>
      <c r="C1412" s="19" t="n"/>
      <c r="D1412" s="19" t="n"/>
      <c r="E1412" s="19" t="n"/>
      <c r="F1412" s="20" t="n"/>
      <c r="G1412" s="20" t="n"/>
      <c r="H1412" s="20" t="n"/>
      <c r="I1412" s="19" t="n"/>
      <c r="J1412">
        <f>IFERROR(IF(C1412="","",C1412)&amp;"","")</f>
        <v/>
      </c>
      <c r="K1412">
        <f>IFERROR(IF(D1412="","",D1412)&amp;"","")</f>
        <v/>
      </c>
      <c r="L1412">
        <f>IFERROR(IF(I1412="","",I1412)&amp;"","")</f>
        <v/>
      </c>
      <c r="M1412">
        <f>IF(J1412="","",IFERROR(VALUE(SUBSTITUTE(SUBSTITUTE(IF(E1412="","",E1412)&amp;"","$",""),",","")),0))</f>
        <v/>
      </c>
      <c r="N1412" s="11">
        <f>IF(J1412="","",IFERROR(VALUE(SUBSTITUTE(SUBSTITUTE(IF(F1412="","",F1412)&amp;"","$",""),",","")),0))</f>
        <v/>
      </c>
      <c r="O1412" s="11">
        <f>IF(J1412="","",M1412*N1412)</f>
        <v/>
      </c>
      <c r="P1412">
        <f>IF(J1412="","",IF(L1412="",1,COUNTIF($L$2:$L$1501,L1412)))</f>
        <v/>
      </c>
      <c r="Q1412" s="11">
        <f>IF(J1412="","",IFERROR(VALUE(SUBSTITUTE(SUBSTITUTE(IF(G1412="","",G1412)&amp;"","$",""),",","")),0)/IF("No"="Yes",P1412,1))</f>
        <v/>
      </c>
      <c r="R1412" s="11">
        <f>IF(J1412="","",IFERROR(VALUE(SUBSTITUTE(SUBSTITUTE(IF(H1412="","",H1412)&amp;"","$",""),",","")),0)/IF("No"="Yes",P1412,1))</f>
        <v/>
      </c>
      <c r="S1412" s="11">
        <f>IF(J1412="","",O1412+Q1412-R1412)</f>
        <v/>
      </c>
      <c r="T1412">
        <f>IF(J1412="","",IFERROR(IF(K1412="",NA(),MATCH(K1412,Products!$B$5:$B$204,0)),IFERROR(MATCH(J1412,Products!$A$5:$A$204,0),"")))</f>
        <v/>
      </c>
      <c r="U1412">
        <f>IF(J1412="","",IF(T1412="","⚠ not in Products",INDEX(Products!$A$5:$A$204,T1412)))</f>
        <v/>
      </c>
      <c r="V1412" s="11">
        <f>IF(J1412="","",S1412*(IFERROR(INDEX(Settings!$B$5:$B$9,MATCH($B1412,Settings!$A$5:$A$9,0)),0)+IFERROR(INDEX(Settings!$E$5:$E$9,MATCH($B1412,Settings!$A$5:$A$9,0)),0)+IFERROR(INDEX(Settings!$G$5:$G$9,MATCH($B1412,Settings!$A$5:$A$9,0)),0))+(IFERROR(INDEX(Settings!$C$5:$C$9,MATCH($B1412,Settings!$A$5:$A$9,0)),0)+IFERROR(INDEX(Settings!$F$5:$F$9,MATCH($B1412,Settings!$A$5:$A$9,0)),0))/P1412+IFERROR(INDEX(Settings!$D$5:$D$9,MATCH($B1412,Settings!$A$5:$A$9,0)),0)*M1412)</f>
        <v/>
      </c>
      <c r="W1412" s="11">
        <f>IF(J1412="","",IF(T1412="",0,M1412*INDEX(Products!$I$5:$I$204,T1412)))</f>
        <v/>
      </c>
      <c r="X1412" s="11">
        <f>IF(J1412="","",IF(T1412="",0,S1412*INDEX(Products!$H$5:$H$204,T1412)))</f>
        <v/>
      </c>
      <c r="Y1412" s="11">
        <f>IF(J1412="","",S1412-V1412-W1412-X1412)</f>
        <v/>
      </c>
    </row>
    <row r="1413">
      <c r="A1413" s="19" t="n"/>
      <c r="B1413" s="19" t="n"/>
      <c r="C1413" s="19" t="n"/>
      <c r="D1413" s="19" t="n"/>
      <c r="E1413" s="19" t="n"/>
      <c r="F1413" s="20" t="n"/>
      <c r="G1413" s="20" t="n"/>
      <c r="H1413" s="20" t="n"/>
      <c r="I1413" s="19" t="n"/>
      <c r="J1413">
        <f>IFERROR(IF(C1413="","",C1413)&amp;"","")</f>
        <v/>
      </c>
      <c r="K1413">
        <f>IFERROR(IF(D1413="","",D1413)&amp;"","")</f>
        <v/>
      </c>
      <c r="L1413">
        <f>IFERROR(IF(I1413="","",I1413)&amp;"","")</f>
        <v/>
      </c>
      <c r="M1413">
        <f>IF(J1413="","",IFERROR(VALUE(SUBSTITUTE(SUBSTITUTE(IF(E1413="","",E1413)&amp;"","$",""),",","")),0))</f>
        <v/>
      </c>
      <c r="N1413" s="11">
        <f>IF(J1413="","",IFERROR(VALUE(SUBSTITUTE(SUBSTITUTE(IF(F1413="","",F1413)&amp;"","$",""),",","")),0))</f>
        <v/>
      </c>
      <c r="O1413" s="11">
        <f>IF(J1413="","",M1413*N1413)</f>
        <v/>
      </c>
      <c r="P1413">
        <f>IF(J1413="","",IF(L1413="",1,COUNTIF($L$2:$L$1501,L1413)))</f>
        <v/>
      </c>
      <c r="Q1413" s="11">
        <f>IF(J1413="","",IFERROR(VALUE(SUBSTITUTE(SUBSTITUTE(IF(G1413="","",G1413)&amp;"","$",""),",","")),0)/IF("No"="Yes",P1413,1))</f>
        <v/>
      </c>
      <c r="R1413" s="11">
        <f>IF(J1413="","",IFERROR(VALUE(SUBSTITUTE(SUBSTITUTE(IF(H1413="","",H1413)&amp;"","$",""),",","")),0)/IF("No"="Yes",P1413,1))</f>
        <v/>
      </c>
      <c r="S1413" s="11">
        <f>IF(J1413="","",O1413+Q1413-R1413)</f>
        <v/>
      </c>
      <c r="T1413">
        <f>IF(J1413="","",IFERROR(IF(K1413="",NA(),MATCH(K1413,Products!$B$5:$B$204,0)),IFERROR(MATCH(J1413,Products!$A$5:$A$204,0),"")))</f>
        <v/>
      </c>
      <c r="U1413">
        <f>IF(J1413="","",IF(T1413="","⚠ not in Products",INDEX(Products!$A$5:$A$204,T1413)))</f>
        <v/>
      </c>
      <c r="V1413" s="11">
        <f>IF(J1413="","",S1413*(IFERROR(INDEX(Settings!$B$5:$B$9,MATCH($B1413,Settings!$A$5:$A$9,0)),0)+IFERROR(INDEX(Settings!$E$5:$E$9,MATCH($B1413,Settings!$A$5:$A$9,0)),0)+IFERROR(INDEX(Settings!$G$5:$G$9,MATCH($B1413,Settings!$A$5:$A$9,0)),0))+(IFERROR(INDEX(Settings!$C$5:$C$9,MATCH($B1413,Settings!$A$5:$A$9,0)),0)+IFERROR(INDEX(Settings!$F$5:$F$9,MATCH($B1413,Settings!$A$5:$A$9,0)),0))/P1413+IFERROR(INDEX(Settings!$D$5:$D$9,MATCH($B1413,Settings!$A$5:$A$9,0)),0)*M1413)</f>
        <v/>
      </c>
      <c r="W1413" s="11">
        <f>IF(J1413="","",IF(T1413="",0,M1413*INDEX(Products!$I$5:$I$204,T1413)))</f>
        <v/>
      </c>
      <c r="X1413" s="11">
        <f>IF(J1413="","",IF(T1413="",0,S1413*INDEX(Products!$H$5:$H$204,T1413)))</f>
        <v/>
      </c>
      <c r="Y1413" s="11">
        <f>IF(J1413="","",S1413-V1413-W1413-X1413)</f>
        <v/>
      </c>
    </row>
    <row r="1414">
      <c r="A1414" s="19" t="n"/>
      <c r="B1414" s="19" t="n"/>
      <c r="C1414" s="19" t="n"/>
      <c r="D1414" s="19" t="n"/>
      <c r="E1414" s="19" t="n"/>
      <c r="F1414" s="20" t="n"/>
      <c r="G1414" s="20" t="n"/>
      <c r="H1414" s="20" t="n"/>
      <c r="I1414" s="19" t="n"/>
      <c r="J1414">
        <f>IFERROR(IF(C1414="","",C1414)&amp;"","")</f>
        <v/>
      </c>
      <c r="K1414">
        <f>IFERROR(IF(D1414="","",D1414)&amp;"","")</f>
        <v/>
      </c>
      <c r="L1414">
        <f>IFERROR(IF(I1414="","",I1414)&amp;"","")</f>
        <v/>
      </c>
      <c r="M1414">
        <f>IF(J1414="","",IFERROR(VALUE(SUBSTITUTE(SUBSTITUTE(IF(E1414="","",E1414)&amp;"","$",""),",","")),0))</f>
        <v/>
      </c>
      <c r="N1414" s="11">
        <f>IF(J1414="","",IFERROR(VALUE(SUBSTITUTE(SUBSTITUTE(IF(F1414="","",F1414)&amp;"","$",""),",","")),0))</f>
        <v/>
      </c>
      <c r="O1414" s="11">
        <f>IF(J1414="","",M1414*N1414)</f>
        <v/>
      </c>
      <c r="P1414">
        <f>IF(J1414="","",IF(L1414="",1,COUNTIF($L$2:$L$1501,L1414)))</f>
        <v/>
      </c>
      <c r="Q1414" s="11">
        <f>IF(J1414="","",IFERROR(VALUE(SUBSTITUTE(SUBSTITUTE(IF(G1414="","",G1414)&amp;"","$",""),",","")),0)/IF("No"="Yes",P1414,1))</f>
        <v/>
      </c>
      <c r="R1414" s="11">
        <f>IF(J1414="","",IFERROR(VALUE(SUBSTITUTE(SUBSTITUTE(IF(H1414="","",H1414)&amp;"","$",""),",","")),0)/IF("No"="Yes",P1414,1))</f>
        <v/>
      </c>
      <c r="S1414" s="11">
        <f>IF(J1414="","",O1414+Q1414-R1414)</f>
        <v/>
      </c>
      <c r="T1414">
        <f>IF(J1414="","",IFERROR(IF(K1414="",NA(),MATCH(K1414,Products!$B$5:$B$204,0)),IFERROR(MATCH(J1414,Products!$A$5:$A$204,0),"")))</f>
        <v/>
      </c>
      <c r="U1414">
        <f>IF(J1414="","",IF(T1414="","⚠ not in Products",INDEX(Products!$A$5:$A$204,T1414)))</f>
        <v/>
      </c>
      <c r="V1414" s="11">
        <f>IF(J1414="","",S1414*(IFERROR(INDEX(Settings!$B$5:$B$9,MATCH($B1414,Settings!$A$5:$A$9,0)),0)+IFERROR(INDEX(Settings!$E$5:$E$9,MATCH($B1414,Settings!$A$5:$A$9,0)),0)+IFERROR(INDEX(Settings!$G$5:$G$9,MATCH($B1414,Settings!$A$5:$A$9,0)),0))+(IFERROR(INDEX(Settings!$C$5:$C$9,MATCH($B1414,Settings!$A$5:$A$9,0)),0)+IFERROR(INDEX(Settings!$F$5:$F$9,MATCH($B1414,Settings!$A$5:$A$9,0)),0))/P1414+IFERROR(INDEX(Settings!$D$5:$D$9,MATCH($B1414,Settings!$A$5:$A$9,0)),0)*M1414)</f>
        <v/>
      </c>
      <c r="W1414" s="11">
        <f>IF(J1414="","",IF(T1414="",0,M1414*INDEX(Products!$I$5:$I$204,T1414)))</f>
        <v/>
      </c>
      <c r="X1414" s="11">
        <f>IF(J1414="","",IF(T1414="",0,S1414*INDEX(Products!$H$5:$H$204,T1414)))</f>
        <v/>
      </c>
      <c r="Y1414" s="11">
        <f>IF(J1414="","",S1414-V1414-W1414-X1414)</f>
        <v/>
      </c>
    </row>
    <row r="1415">
      <c r="A1415" s="19" t="n"/>
      <c r="B1415" s="19" t="n"/>
      <c r="C1415" s="19" t="n"/>
      <c r="D1415" s="19" t="n"/>
      <c r="E1415" s="19" t="n"/>
      <c r="F1415" s="20" t="n"/>
      <c r="G1415" s="20" t="n"/>
      <c r="H1415" s="20" t="n"/>
      <c r="I1415" s="19" t="n"/>
      <c r="J1415">
        <f>IFERROR(IF(C1415="","",C1415)&amp;"","")</f>
        <v/>
      </c>
      <c r="K1415">
        <f>IFERROR(IF(D1415="","",D1415)&amp;"","")</f>
        <v/>
      </c>
      <c r="L1415">
        <f>IFERROR(IF(I1415="","",I1415)&amp;"","")</f>
        <v/>
      </c>
      <c r="M1415">
        <f>IF(J1415="","",IFERROR(VALUE(SUBSTITUTE(SUBSTITUTE(IF(E1415="","",E1415)&amp;"","$",""),",","")),0))</f>
        <v/>
      </c>
      <c r="N1415" s="11">
        <f>IF(J1415="","",IFERROR(VALUE(SUBSTITUTE(SUBSTITUTE(IF(F1415="","",F1415)&amp;"","$",""),",","")),0))</f>
        <v/>
      </c>
      <c r="O1415" s="11">
        <f>IF(J1415="","",M1415*N1415)</f>
        <v/>
      </c>
      <c r="P1415">
        <f>IF(J1415="","",IF(L1415="",1,COUNTIF($L$2:$L$1501,L1415)))</f>
        <v/>
      </c>
      <c r="Q1415" s="11">
        <f>IF(J1415="","",IFERROR(VALUE(SUBSTITUTE(SUBSTITUTE(IF(G1415="","",G1415)&amp;"","$",""),",","")),0)/IF("No"="Yes",P1415,1))</f>
        <v/>
      </c>
      <c r="R1415" s="11">
        <f>IF(J1415="","",IFERROR(VALUE(SUBSTITUTE(SUBSTITUTE(IF(H1415="","",H1415)&amp;"","$",""),",","")),0)/IF("No"="Yes",P1415,1))</f>
        <v/>
      </c>
      <c r="S1415" s="11">
        <f>IF(J1415="","",O1415+Q1415-R1415)</f>
        <v/>
      </c>
      <c r="T1415">
        <f>IF(J1415="","",IFERROR(IF(K1415="",NA(),MATCH(K1415,Products!$B$5:$B$204,0)),IFERROR(MATCH(J1415,Products!$A$5:$A$204,0),"")))</f>
        <v/>
      </c>
      <c r="U1415">
        <f>IF(J1415="","",IF(T1415="","⚠ not in Products",INDEX(Products!$A$5:$A$204,T1415)))</f>
        <v/>
      </c>
      <c r="V1415" s="11">
        <f>IF(J1415="","",S1415*(IFERROR(INDEX(Settings!$B$5:$B$9,MATCH($B1415,Settings!$A$5:$A$9,0)),0)+IFERROR(INDEX(Settings!$E$5:$E$9,MATCH($B1415,Settings!$A$5:$A$9,0)),0)+IFERROR(INDEX(Settings!$G$5:$G$9,MATCH($B1415,Settings!$A$5:$A$9,0)),0))+(IFERROR(INDEX(Settings!$C$5:$C$9,MATCH($B1415,Settings!$A$5:$A$9,0)),0)+IFERROR(INDEX(Settings!$F$5:$F$9,MATCH($B1415,Settings!$A$5:$A$9,0)),0))/P1415+IFERROR(INDEX(Settings!$D$5:$D$9,MATCH($B1415,Settings!$A$5:$A$9,0)),0)*M1415)</f>
        <v/>
      </c>
      <c r="W1415" s="11">
        <f>IF(J1415="","",IF(T1415="",0,M1415*INDEX(Products!$I$5:$I$204,T1415)))</f>
        <v/>
      </c>
      <c r="X1415" s="11">
        <f>IF(J1415="","",IF(T1415="",0,S1415*INDEX(Products!$H$5:$H$204,T1415)))</f>
        <v/>
      </c>
      <c r="Y1415" s="11">
        <f>IF(J1415="","",S1415-V1415-W1415-X1415)</f>
        <v/>
      </c>
    </row>
    <row r="1416">
      <c r="A1416" s="19" t="n"/>
      <c r="B1416" s="19" t="n"/>
      <c r="C1416" s="19" t="n"/>
      <c r="D1416" s="19" t="n"/>
      <c r="E1416" s="19" t="n"/>
      <c r="F1416" s="20" t="n"/>
      <c r="G1416" s="20" t="n"/>
      <c r="H1416" s="20" t="n"/>
      <c r="I1416" s="19" t="n"/>
      <c r="J1416">
        <f>IFERROR(IF(C1416="","",C1416)&amp;"","")</f>
        <v/>
      </c>
      <c r="K1416">
        <f>IFERROR(IF(D1416="","",D1416)&amp;"","")</f>
        <v/>
      </c>
      <c r="L1416">
        <f>IFERROR(IF(I1416="","",I1416)&amp;"","")</f>
        <v/>
      </c>
      <c r="M1416">
        <f>IF(J1416="","",IFERROR(VALUE(SUBSTITUTE(SUBSTITUTE(IF(E1416="","",E1416)&amp;"","$",""),",","")),0))</f>
        <v/>
      </c>
      <c r="N1416" s="11">
        <f>IF(J1416="","",IFERROR(VALUE(SUBSTITUTE(SUBSTITUTE(IF(F1416="","",F1416)&amp;"","$",""),",","")),0))</f>
        <v/>
      </c>
      <c r="O1416" s="11">
        <f>IF(J1416="","",M1416*N1416)</f>
        <v/>
      </c>
      <c r="P1416">
        <f>IF(J1416="","",IF(L1416="",1,COUNTIF($L$2:$L$1501,L1416)))</f>
        <v/>
      </c>
      <c r="Q1416" s="11">
        <f>IF(J1416="","",IFERROR(VALUE(SUBSTITUTE(SUBSTITUTE(IF(G1416="","",G1416)&amp;"","$",""),",","")),0)/IF("No"="Yes",P1416,1))</f>
        <v/>
      </c>
      <c r="R1416" s="11">
        <f>IF(J1416="","",IFERROR(VALUE(SUBSTITUTE(SUBSTITUTE(IF(H1416="","",H1416)&amp;"","$",""),",","")),0)/IF("No"="Yes",P1416,1))</f>
        <v/>
      </c>
      <c r="S1416" s="11">
        <f>IF(J1416="","",O1416+Q1416-R1416)</f>
        <v/>
      </c>
      <c r="T1416">
        <f>IF(J1416="","",IFERROR(IF(K1416="",NA(),MATCH(K1416,Products!$B$5:$B$204,0)),IFERROR(MATCH(J1416,Products!$A$5:$A$204,0),"")))</f>
        <v/>
      </c>
      <c r="U1416">
        <f>IF(J1416="","",IF(T1416="","⚠ not in Products",INDEX(Products!$A$5:$A$204,T1416)))</f>
        <v/>
      </c>
      <c r="V1416" s="11">
        <f>IF(J1416="","",S1416*(IFERROR(INDEX(Settings!$B$5:$B$9,MATCH($B1416,Settings!$A$5:$A$9,0)),0)+IFERROR(INDEX(Settings!$E$5:$E$9,MATCH($B1416,Settings!$A$5:$A$9,0)),0)+IFERROR(INDEX(Settings!$G$5:$G$9,MATCH($B1416,Settings!$A$5:$A$9,0)),0))+(IFERROR(INDEX(Settings!$C$5:$C$9,MATCH($B1416,Settings!$A$5:$A$9,0)),0)+IFERROR(INDEX(Settings!$F$5:$F$9,MATCH($B1416,Settings!$A$5:$A$9,0)),0))/P1416+IFERROR(INDEX(Settings!$D$5:$D$9,MATCH($B1416,Settings!$A$5:$A$9,0)),0)*M1416)</f>
        <v/>
      </c>
      <c r="W1416" s="11">
        <f>IF(J1416="","",IF(T1416="",0,M1416*INDEX(Products!$I$5:$I$204,T1416)))</f>
        <v/>
      </c>
      <c r="X1416" s="11">
        <f>IF(J1416="","",IF(T1416="",0,S1416*INDEX(Products!$H$5:$H$204,T1416)))</f>
        <v/>
      </c>
      <c r="Y1416" s="11">
        <f>IF(J1416="","",S1416-V1416-W1416-X1416)</f>
        <v/>
      </c>
    </row>
    <row r="1417">
      <c r="A1417" s="19" t="n"/>
      <c r="B1417" s="19" t="n"/>
      <c r="C1417" s="19" t="n"/>
      <c r="D1417" s="19" t="n"/>
      <c r="E1417" s="19" t="n"/>
      <c r="F1417" s="20" t="n"/>
      <c r="G1417" s="20" t="n"/>
      <c r="H1417" s="20" t="n"/>
      <c r="I1417" s="19" t="n"/>
      <c r="J1417">
        <f>IFERROR(IF(C1417="","",C1417)&amp;"","")</f>
        <v/>
      </c>
      <c r="K1417">
        <f>IFERROR(IF(D1417="","",D1417)&amp;"","")</f>
        <v/>
      </c>
      <c r="L1417">
        <f>IFERROR(IF(I1417="","",I1417)&amp;"","")</f>
        <v/>
      </c>
      <c r="M1417">
        <f>IF(J1417="","",IFERROR(VALUE(SUBSTITUTE(SUBSTITUTE(IF(E1417="","",E1417)&amp;"","$",""),",","")),0))</f>
        <v/>
      </c>
      <c r="N1417" s="11">
        <f>IF(J1417="","",IFERROR(VALUE(SUBSTITUTE(SUBSTITUTE(IF(F1417="","",F1417)&amp;"","$",""),",","")),0))</f>
        <v/>
      </c>
      <c r="O1417" s="11">
        <f>IF(J1417="","",M1417*N1417)</f>
        <v/>
      </c>
      <c r="P1417">
        <f>IF(J1417="","",IF(L1417="",1,COUNTIF($L$2:$L$1501,L1417)))</f>
        <v/>
      </c>
      <c r="Q1417" s="11">
        <f>IF(J1417="","",IFERROR(VALUE(SUBSTITUTE(SUBSTITUTE(IF(G1417="","",G1417)&amp;"","$",""),",","")),0)/IF("No"="Yes",P1417,1))</f>
        <v/>
      </c>
      <c r="R1417" s="11">
        <f>IF(J1417="","",IFERROR(VALUE(SUBSTITUTE(SUBSTITUTE(IF(H1417="","",H1417)&amp;"","$",""),",","")),0)/IF("No"="Yes",P1417,1))</f>
        <v/>
      </c>
      <c r="S1417" s="11">
        <f>IF(J1417="","",O1417+Q1417-R1417)</f>
        <v/>
      </c>
      <c r="T1417">
        <f>IF(J1417="","",IFERROR(IF(K1417="",NA(),MATCH(K1417,Products!$B$5:$B$204,0)),IFERROR(MATCH(J1417,Products!$A$5:$A$204,0),"")))</f>
        <v/>
      </c>
      <c r="U1417">
        <f>IF(J1417="","",IF(T1417="","⚠ not in Products",INDEX(Products!$A$5:$A$204,T1417)))</f>
        <v/>
      </c>
      <c r="V1417" s="11">
        <f>IF(J1417="","",S1417*(IFERROR(INDEX(Settings!$B$5:$B$9,MATCH($B1417,Settings!$A$5:$A$9,0)),0)+IFERROR(INDEX(Settings!$E$5:$E$9,MATCH($B1417,Settings!$A$5:$A$9,0)),0)+IFERROR(INDEX(Settings!$G$5:$G$9,MATCH($B1417,Settings!$A$5:$A$9,0)),0))+(IFERROR(INDEX(Settings!$C$5:$C$9,MATCH($B1417,Settings!$A$5:$A$9,0)),0)+IFERROR(INDEX(Settings!$F$5:$F$9,MATCH($B1417,Settings!$A$5:$A$9,0)),0))/P1417+IFERROR(INDEX(Settings!$D$5:$D$9,MATCH($B1417,Settings!$A$5:$A$9,0)),0)*M1417)</f>
        <v/>
      </c>
      <c r="W1417" s="11">
        <f>IF(J1417="","",IF(T1417="",0,M1417*INDEX(Products!$I$5:$I$204,T1417)))</f>
        <v/>
      </c>
      <c r="X1417" s="11">
        <f>IF(J1417="","",IF(T1417="",0,S1417*INDEX(Products!$H$5:$H$204,T1417)))</f>
        <v/>
      </c>
      <c r="Y1417" s="11">
        <f>IF(J1417="","",S1417-V1417-W1417-X1417)</f>
        <v/>
      </c>
    </row>
    <row r="1418">
      <c r="A1418" s="19" t="n"/>
      <c r="B1418" s="19" t="n"/>
      <c r="C1418" s="19" t="n"/>
      <c r="D1418" s="19" t="n"/>
      <c r="E1418" s="19" t="n"/>
      <c r="F1418" s="20" t="n"/>
      <c r="G1418" s="20" t="n"/>
      <c r="H1418" s="20" t="n"/>
      <c r="I1418" s="19" t="n"/>
      <c r="J1418">
        <f>IFERROR(IF(C1418="","",C1418)&amp;"","")</f>
        <v/>
      </c>
      <c r="K1418">
        <f>IFERROR(IF(D1418="","",D1418)&amp;"","")</f>
        <v/>
      </c>
      <c r="L1418">
        <f>IFERROR(IF(I1418="","",I1418)&amp;"","")</f>
        <v/>
      </c>
      <c r="M1418">
        <f>IF(J1418="","",IFERROR(VALUE(SUBSTITUTE(SUBSTITUTE(IF(E1418="","",E1418)&amp;"","$",""),",","")),0))</f>
        <v/>
      </c>
      <c r="N1418" s="11">
        <f>IF(J1418="","",IFERROR(VALUE(SUBSTITUTE(SUBSTITUTE(IF(F1418="","",F1418)&amp;"","$",""),",","")),0))</f>
        <v/>
      </c>
      <c r="O1418" s="11">
        <f>IF(J1418="","",M1418*N1418)</f>
        <v/>
      </c>
      <c r="P1418">
        <f>IF(J1418="","",IF(L1418="",1,COUNTIF($L$2:$L$1501,L1418)))</f>
        <v/>
      </c>
      <c r="Q1418" s="11">
        <f>IF(J1418="","",IFERROR(VALUE(SUBSTITUTE(SUBSTITUTE(IF(G1418="","",G1418)&amp;"","$",""),",","")),0)/IF("No"="Yes",P1418,1))</f>
        <v/>
      </c>
      <c r="R1418" s="11">
        <f>IF(J1418="","",IFERROR(VALUE(SUBSTITUTE(SUBSTITUTE(IF(H1418="","",H1418)&amp;"","$",""),",","")),0)/IF("No"="Yes",P1418,1))</f>
        <v/>
      </c>
      <c r="S1418" s="11">
        <f>IF(J1418="","",O1418+Q1418-R1418)</f>
        <v/>
      </c>
      <c r="T1418">
        <f>IF(J1418="","",IFERROR(IF(K1418="",NA(),MATCH(K1418,Products!$B$5:$B$204,0)),IFERROR(MATCH(J1418,Products!$A$5:$A$204,0),"")))</f>
        <v/>
      </c>
      <c r="U1418">
        <f>IF(J1418="","",IF(T1418="","⚠ not in Products",INDEX(Products!$A$5:$A$204,T1418)))</f>
        <v/>
      </c>
      <c r="V1418" s="11">
        <f>IF(J1418="","",S1418*(IFERROR(INDEX(Settings!$B$5:$B$9,MATCH($B1418,Settings!$A$5:$A$9,0)),0)+IFERROR(INDEX(Settings!$E$5:$E$9,MATCH($B1418,Settings!$A$5:$A$9,0)),0)+IFERROR(INDEX(Settings!$G$5:$G$9,MATCH($B1418,Settings!$A$5:$A$9,0)),0))+(IFERROR(INDEX(Settings!$C$5:$C$9,MATCH($B1418,Settings!$A$5:$A$9,0)),0)+IFERROR(INDEX(Settings!$F$5:$F$9,MATCH($B1418,Settings!$A$5:$A$9,0)),0))/P1418+IFERROR(INDEX(Settings!$D$5:$D$9,MATCH($B1418,Settings!$A$5:$A$9,0)),0)*M1418)</f>
        <v/>
      </c>
      <c r="W1418" s="11">
        <f>IF(J1418="","",IF(T1418="",0,M1418*INDEX(Products!$I$5:$I$204,T1418)))</f>
        <v/>
      </c>
      <c r="X1418" s="11">
        <f>IF(J1418="","",IF(T1418="",0,S1418*INDEX(Products!$H$5:$H$204,T1418)))</f>
        <v/>
      </c>
      <c r="Y1418" s="11">
        <f>IF(J1418="","",S1418-V1418-W1418-X1418)</f>
        <v/>
      </c>
    </row>
    <row r="1419">
      <c r="A1419" s="19" t="n"/>
      <c r="B1419" s="19" t="n"/>
      <c r="C1419" s="19" t="n"/>
      <c r="D1419" s="19" t="n"/>
      <c r="E1419" s="19" t="n"/>
      <c r="F1419" s="20" t="n"/>
      <c r="G1419" s="20" t="n"/>
      <c r="H1419" s="20" t="n"/>
      <c r="I1419" s="19" t="n"/>
      <c r="J1419">
        <f>IFERROR(IF(C1419="","",C1419)&amp;"","")</f>
        <v/>
      </c>
      <c r="K1419">
        <f>IFERROR(IF(D1419="","",D1419)&amp;"","")</f>
        <v/>
      </c>
      <c r="L1419">
        <f>IFERROR(IF(I1419="","",I1419)&amp;"","")</f>
        <v/>
      </c>
      <c r="M1419">
        <f>IF(J1419="","",IFERROR(VALUE(SUBSTITUTE(SUBSTITUTE(IF(E1419="","",E1419)&amp;"","$",""),",","")),0))</f>
        <v/>
      </c>
      <c r="N1419" s="11">
        <f>IF(J1419="","",IFERROR(VALUE(SUBSTITUTE(SUBSTITUTE(IF(F1419="","",F1419)&amp;"","$",""),",","")),0))</f>
        <v/>
      </c>
      <c r="O1419" s="11">
        <f>IF(J1419="","",M1419*N1419)</f>
        <v/>
      </c>
      <c r="P1419">
        <f>IF(J1419="","",IF(L1419="",1,COUNTIF($L$2:$L$1501,L1419)))</f>
        <v/>
      </c>
      <c r="Q1419" s="11">
        <f>IF(J1419="","",IFERROR(VALUE(SUBSTITUTE(SUBSTITUTE(IF(G1419="","",G1419)&amp;"","$",""),",","")),0)/IF("No"="Yes",P1419,1))</f>
        <v/>
      </c>
      <c r="R1419" s="11">
        <f>IF(J1419="","",IFERROR(VALUE(SUBSTITUTE(SUBSTITUTE(IF(H1419="","",H1419)&amp;"","$",""),",","")),0)/IF("No"="Yes",P1419,1))</f>
        <v/>
      </c>
      <c r="S1419" s="11">
        <f>IF(J1419="","",O1419+Q1419-R1419)</f>
        <v/>
      </c>
      <c r="T1419">
        <f>IF(J1419="","",IFERROR(IF(K1419="",NA(),MATCH(K1419,Products!$B$5:$B$204,0)),IFERROR(MATCH(J1419,Products!$A$5:$A$204,0),"")))</f>
        <v/>
      </c>
      <c r="U1419">
        <f>IF(J1419="","",IF(T1419="","⚠ not in Products",INDEX(Products!$A$5:$A$204,T1419)))</f>
        <v/>
      </c>
      <c r="V1419" s="11">
        <f>IF(J1419="","",S1419*(IFERROR(INDEX(Settings!$B$5:$B$9,MATCH($B1419,Settings!$A$5:$A$9,0)),0)+IFERROR(INDEX(Settings!$E$5:$E$9,MATCH($B1419,Settings!$A$5:$A$9,0)),0)+IFERROR(INDEX(Settings!$G$5:$G$9,MATCH($B1419,Settings!$A$5:$A$9,0)),0))+(IFERROR(INDEX(Settings!$C$5:$C$9,MATCH($B1419,Settings!$A$5:$A$9,0)),0)+IFERROR(INDEX(Settings!$F$5:$F$9,MATCH($B1419,Settings!$A$5:$A$9,0)),0))/P1419+IFERROR(INDEX(Settings!$D$5:$D$9,MATCH($B1419,Settings!$A$5:$A$9,0)),0)*M1419)</f>
        <v/>
      </c>
      <c r="W1419" s="11">
        <f>IF(J1419="","",IF(T1419="",0,M1419*INDEX(Products!$I$5:$I$204,T1419)))</f>
        <v/>
      </c>
      <c r="X1419" s="11">
        <f>IF(J1419="","",IF(T1419="",0,S1419*INDEX(Products!$H$5:$H$204,T1419)))</f>
        <v/>
      </c>
      <c r="Y1419" s="11">
        <f>IF(J1419="","",S1419-V1419-W1419-X1419)</f>
        <v/>
      </c>
    </row>
    <row r="1420">
      <c r="A1420" s="19" t="n"/>
      <c r="B1420" s="19" t="n"/>
      <c r="C1420" s="19" t="n"/>
      <c r="D1420" s="19" t="n"/>
      <c r="E1420" s="19" t="n"/>
      <c r="F1420" s="20" t="n"/>
      <c r="G1420" s="20" t="n"/>
      <c r="H1420" s="20" t="n"/>
      <c r="I1420" s="19" t="n"/>
      <c r="J1420">
        <f>IFERROR(IF(C1420="","",C1420)&amp;"","")</f>
        <v/>
      </c>
      <c r="K1420">
        <f>IFERROR(IF(D1420="","",D1420)&amp;"","")</f>
        <v/>
      </c>
      <c r="L1420">
        <f>IFERROR(IF(I1420="","",I1420)&amp;"","")</f>
        <v/>
      </c>
      <c r="M1420">
        <f>IF(J1420="","",IFERROR(VALUE(SUBSTITUTE(SUBSTITUTE(IF(E1420="","",E1420)&amp;"","$",""),",","")),0))</f>
        <v/>
      </c>
      <c r="N1420" s="11">
        <f>IF(J1420="","",IFERROR(VALUE(SUBSTITUTE(SUBSTITUTE(IF(F1420="","",F1420)&amp;"","$",""),",","")),0))</f>
        <v/>
      </c>
      <c r="O1420" s="11">
        <f>IF(J1420="","",M1420*N1420)</f>
        <v/>
      </c>
      <c r="P1420">
        <f>IF(J1420="","",IF(L1420="",1,COUNTIF($L$2:$L$1501,L1420)))</f>
        <v/>
      </c>
      <c r="Q1420" s="11">
        <f>IF(J1420="","",IFERROR(VALUE(SUBSTITUTE(SUBSTITUTE(IF(G1420="","",G1420)&amp;"","$",""),",","")),0)/IF("No"="Yes",P1420,1))</f>
        <v/>
      </c>
      <c r="R1420" s="11">
        <f>IF(J1420="","",IFERROR(VALUE(SUBSTITUTE(SUBSTITUTE(IF(H1420="","",H1420)&amp;"","$",""),",","")),0)/IF("No"="Yes",P1420,1))</f>
        <v/>
      </c>
      <c r="S1420" s="11">
        <f>IF(J1420="","",O1420+Q1420-R1420)</f>
        <v/>
      </c>
      <c r="T1420">
        <f>IF(J1420="","",IFERROR(IF(K1420="",NA(),MATCH(K1420,Products!$B$5:$B$204,0)),IFERROR(MATCH(J1420,Products!$A$5:$A$204,0),"")))</f>
        <v/>
      </c>
      <c r="U1420">
        <f>IF(J1420="","",IF(T1420="","⚠ not in Products",INDEX(Products!$A$5:$A$204,T1420)))</f>
        <v/>
      </c>
      <c r="V1420" s="11">
        <f>IF(J1420="","",S1420*(IFERROR(INDEX(Settings!$B$5:$B$9,MATCH($B1420,Settings!$A$5:$A$9,0)),0)+IFERROR(INDEX(Settings!$E$5:$E$9,MATCH($B1420,Settings!$A$5:$A$9,0)),0)+IFERROR(INDEX(Settings!$G$5:$G$9,MATCH($B1420,Settings!$A$5:$A$9,0)),0))+(IFERROR(INDEX(Settings!$C$5:$C$9,MATCH($B1420,Settings!$A$5:$A$9,0)),0)+IFERROR(INDEX(Settings!$F$5:$F$9,MATCH($B1420,Settings!$A$5:$A$9,0)),0))/P1420+IFERROR(INDEX(Settings!$D$5:$D$9,MATCH($B1420,Settings!$A$5:$A$9,0)),0)*M1420)</f>
        <v/>
      </c>
      <c r="W1420" s="11">
        <f>IF(J1420="","",IF(T1420="",0,M1420*INDEX(Products!$I$5:$I$204,T1420)))</f>
        <v/>
      </c>
      <c r="X1420" s="11">
        <f>IF(J1420="","",IF(T1420="",0,S1420*INDEX(Products!$H$5:$H$204,T1420)))</f>
        <v/>
      </c>
      <c r="Y1420" s="11">
        <f>IF(J1420="","",S1420-V1420-W1420-X1420)</f>
        <v/>
      </c>
    </row>
    <row r="1421">
      <c r="A1421" s="19" t="n"/>
      <c r="B1421" s="19" t="n"/>
      <c r="C1421" s="19" t="n"/>
      <c r="D1421" s="19" t="n"/>
      <c r="E1421" s="19" t="n"/>
      <c r="F1421" s="20" t="n"/>
      <c r="G1421" s="20" t="n"/>
      <c r="H1421" s="20" t="n"/>
      <c r="I1421" s="19" t="n"/>
      <c r="J1421">
        <f>IFERROR(IF(C1421="","",C1421)&amp;"","")</f>
        <v/>
      </c>
      <c r="K1421">
        <f>IFERROR(IF(D1421="","",D1421)&amp;"","")</f>
        <v/>
      </c>
      <c r="L1421">
        <f>IFERROR(IF(I1421="","",I1421)&amp;"","")</f>
        <v/>
      </c>
      <c r="M1421">
        <f>IF(J1421="","",IFERROR(VALUE(SUBSTITUTE(SUBSTITUTE(IF(E1421="","",E1421)&amp;"","$",""),",","")),0))</f>
        <v/>
      </c>
      <c r="N1421" s="11">
        <f>IF(J1421="","",IFERROR(VALUE(SUBSTITUTE(SUBSTITUTE(IF(F1421="","",F1421)&amp;"","$",""),",","")),0))</f>
        <v/>
      </c>
      <c r="O1421" s="11">
        <f>IF(J1421="","",M1421*N1421)</f>
        <v/>
      </c>
      <c r="P1421">
        <f>IF(J1421="","",IF(L1421="",1,COUNTIF($L$2:$L$1501,L1421)))</f>
        <v/>
      </c>
      <c r="Q1421" s="11">
        <f>IF(J1421="","",IFERROR(VALUE(SUBSTITUTE(SUBSTITUTE(IF(G1421="","",G1421)&amp;"","$",""),",","")),0)/IF("No"="Yes",P1421,1))</f>
        <v/>
      </c>
      <c r="R1421" s="11">
        <f>IF(J1421="","",IFERROR(VALUE(SUBSTITUTE(SUBSTITUTE(IF(H1421="","",H1421)&amp;"","$",""),",","")),0)/IF("No"="Yes",P1421,1))</f>
        <v/>
      </c>
      <c r="S1421" s="11">
        <f>IF(J1421="","",O1421+Q1421-R1421)</f>
        <v/>
      </c>
      <c r="T1421">
        <f>IF(J1421="","",IFERROR(IF(K1421="",NA(),MATCH(K1421,Products!$B$5:$B$204,0)),IFERROR(MATCH(J1421,Products!$A$5:$A$204,0),"")))</f>
        <v/>
      </c>
      <c r="U1421">
        <f>IF(J1421="","",IF(T1421="","⚠ not in Products",INDEX(Products!$A$5:$A$204,T1421)))</f>
        <v/>
      </c>
      <c r="V1421" s="11">
        <f>IF(J1421="","",S1421*(IFERROR(INDEX(Settings!$B$5:$B$9,MATCH($B1421,Settings!$A$5:$A$9,0)),0)+IFERROR(INDEX(Settings!$E$5:$E$9,MATCH($B1421,Settings!$A$5:$A$9,0)),0)+IFERROR(INDEX(Settings!$G$5:$G$9,MATCH($B1421,Settings!$A$5:$A$9,0)),0))+(IFERROR(INDEX(Settings!$C$5:$C$9,MATCH($B1421,Settings!$A$5:$A$9,0)),0)+IFERROR(INDEX(Settings!$F$5:$F$9,MATCH($B1421,Settings!$A$5:$A$9,0)),0))/P1421+IFERROR(INDEX(Settings!$D$5:$D$9,MATCH($B1421,Settings!$A$5:$A$9,0)),0)*M1421)</f>
        <v/>
      </c>
      <c r="W1421" s="11">
        <f>IF(J1421="","",IF(T1421="",0,M1421*INDEX(Products!$I$5:$I$204,T1421)))</f>
        <v/>
      </c>
      <c r="X1421" s="11">
        <f>IF(J1421="","",IF(T1421="",0,S1421*INDEX(Products!$H$5:$H$204,T1421)))</f>
        <v/>
      </c>
      <c r="Y1421" s="11">
        <f>IF(J1421="","",S1421-V1421-W1421-X1421)</f>
        <v/>
      </c>
    </row>
    <row r="1422">
      <c r="A1422" s="19" t="n"/>
      <c r="B1422" s="19" t="n"/>
      <c r="C1422" s="19" t="n"/>
      <c r="D1422" s="19" t="n"/>
      <c r="E1422" s="19" t="n"/>
      <c r="F1422" s="20" t="n"/>
      <c r="G1422" s="20" t="n"/>
      <c r="H1422" s="20" t="n"/>
      <c r="I1422" s="19" t="n"/>
      <c r="J1422">
        <f>IFERROR(IF(C1422="","",C1422)&amp;"","")</f>
        <v/>
      </c>
      <c r="K1422">
        <f>IFERROR(IF(D1422="","",D1422)&amp;"","")</f>
        <v/>
      </c>
      <c r="L1422">
        <f>IFERROR(IF(I1422="","",I1422)&amp;"","")</f>
        <v/>
      </c>
      <c r="M1422">
        <f>IF(J1422="","",IFERROR(VALUE(SUBSTITUTE(SUBSTITUTE(IF(E1422="","",E1422)&amp;"","$",""),",","")),0))</f>
        <v/>
      </c>
      <c r="N1422" s="11">
        <f>IF(J1422="","",IFERROR(VALUE(SUBSTITUTE(SUBSTITUTE(IF(F1422="","",F1422)&amp;"","$",""),",","")),0))</f>
        <v/>
      </c>
      <c r="O1422" s="11">
        <f>IF(J1422="","",M1422*N1422)</f>
        <v/>
      </c>
      <c r="P1422">
        <f>IF(J1422="","",IF(L1422="",1,COUNTIF($L$2:$L$1501,L1422)))</f>
        <v/>
      </c>
      <c r="Q1422" s="11">
        <f>IF(J1422="","",IFERROR(VALUE(SUBSTITUTE(SUBSTITUTE(IF(G1422="","",G1422)&amp;"","$",""),",","")),0)/IF("No"="Yes",P1422,1))</f>
        <v/>
      </c>
      <c r="R1422" s="11">
        <f>IF(J1422="","",IFERROR(VALUE(SUBSTITUTE(SUBSTITUTE(IF(H1422="","",H1422)&amp;"","$",""),",","")),0)/IF("No"="Yes",P1422,1))</f>
        <v/>
      </c>
      <c r="S1422" s="11">
        <f>IF(J1422="","",O1422+Q1422-R1422)</f>
        <v/>
      </c>
      <c r="T1422">
        <f>IF(J1422="","",IFERROR(IF(K1422="",NA(),MATCH(K1422,Products!$B$5:$B$204,0)),IFERROR(MATCH(J1422,Products!$A$5:$A$204,0),"")))</f>
        <v/>
      </c>
      <c r="U1422">
        <f>IF(J1422="","",IF(T1422="","⚠ not in Products",INDEX(Products!$A$5:$A$204,T1422)))</f>
        <v/>
      </c>
      <c r="V1422" s="11">
        <f>IF(J1422="","",S1422*(IFERROR(INDEX(Settings!$B$5:$B$9,MATCH($B1422,Settings!$A$5:$A$9,0)),0)+IFERROR(INDEX(Settings!$E$5:$E$9,MATCH($B1422,Settings!$A$5:$A$9,0)),0)+IFERROR(INDEX(Settings!$G$5:$G$9,MATCH($B1422,Settings!$A$5:$A$9,0)),0))+(IFERROR(INDEX(Settings!$C$5:$C$9,MATCH($B1422,Settings!$A$5:$A$9,0)),0)+IFERROR(INDEX(Settings!$F$5:$F$9,MATCH($B1422,Settings!$A$5:$A$9,0)),0))/P1422+IFERROR(INDEX(Settings!$D$5:$D$9,MATCH($B1422,Settings!$A$5:$A$9,0)),0)*M1422)</f>
        <v/>
      </c>
      <c r="W1422" s="11">
        <f>IF(J1422="","",IF(T1422="",0,M1422*INDEX(Products!$I$5:$I$204,T1422)))</f>
        <v/>
      </c>
      <c r="X1422" s="11">
        <f>IF(J1422="","",IF(T1422="",0,S1422*INDEX(Products!$H$5:$H$204,T1422)))</f>
        <v/>
      </c>
      <c r="Y1422" s="11">
        <f>IF(J1422="","",S1422-V1422-W1422-X1422)</f>
        <v/>
      </c>
    </row>
    <row r="1423">
      <c r="A1423" s="19" t="n"/>
      <c r="B1423" s="19" t="n"/>
      <c r="C1423" s="19" t="n"/>
      <c r="D1423" s="19" t="n"/>
      <c r="E1423" s="19" t="n"/>
      <c r="F1423" s="20" t="n"/>
      <c r="G1423" s="20" t="n"/>
      <c r="H1423" s="20" t="n"/>
      <c r="I1423" s="19" t="n"/>
      <c r="J1423">
        <f>IFERROR(IF(C1423="","",C1423)&amp;"","")</f>
        <v/>
      </c>
      <c r="K1423">
        <f>IFERROR(IF(D1423="","",D1423)&amp;"","")</f>
        <v/>
      </c>
      <c r="L1423">
        <f>IFERROR(IF(I1423="","",I1423)&amp;"","")</f>
        <v/>
      </c>
      <c r="M1423">
        <f>IF(J1423="","",IFERROR(VALUE(SUBSTITUTE(SUBSTITUTE(IF(E1423="","",E1423)&amp;"","$",""),",","")),0))</f>
        <v/>
      </c>
      <c r="N1423" s="11">
        <f>IF(J1423="","",IFERROR(VALUE(SUBSTITUTE(SUBSTITUTE(IF(F1423="","",F1423)&amp;"","$",""),",","")),0))</f>
        <v/>
      </c>
      <c r="O1423" s="11">
        <f>IF(J1423="","",M1423*N1423)</f>
        <v/>
      </c>
      <c r="P1423">
        <f>IF(J1423="","",IF(L1423="",1,COUNTIF($L$2:$L$1501,L1423)))</f>
        <v/>
      </c>
      <c r="Q1423" s="11">
        <f>IF(J1423="","",IFERROR(VALUE(SUBSTITUTE(SUBSTITUTE(IF(G1423="","",G1423)&amp;"","$",""),",","")),0)/IF("No"="Yes",P1423,1))</f>
        <v/>
      </c>
      <c r="R1423" s="11">
        <f>IF(J1423="","",IFERROR(VALUE(SUBSTITUTE(SUBSTITUTE(IF(H1423="","",H1423)&amp;"","$",""),",","")),0)/IF("No"="Yes",P1423,1))</f>
        <v/>
      </c>
      <c r="S1423" s="11">
        <f>IF(J1423="","",O1423+Q1423-R1423)</f>
        <v/>
      </c>
      <c r="T1423">
        <f>IF(J1423="","",IFERROR(IF(K1423="",NA(),MATCH(K1423,Products!$B$5:$B$204,0)),IFERROR(MATCH(J1423,Products!$A$5:$A$204,0),"")))</f>
        <v/>
      </c>
      <c r="U1423">
        <f>IF(J1423="","",IF(T1423="","⚠ not in Products",INDEX(Products!$A$5:$A$204,T1423)))</f>
        <v/>
      </c>
      <c r="V1423" s="11">
        <f>IF(J1423="","",S1423*(IFERROR(INDEX(Settings!$B$5:$B$9,MATCH($B1423,Settings!$A$5:$A$9,0)),0)+IFERROR(INDEX(Settings!$E$5:$E$9,MATCH($B1423,Settings!$A$5:$A$9,0)),0)+IFERROR(INDEX(Settings!$G$5:$G$9,MATCH($B1423,Settings!$A$5:$A$9,0)),0))+(IFERROR(INDEX(Settings!$C$5:$C$9,MATCH($B1423,Settings!$A$5:$A$9,0)),0)+IFERROR(INDEX(Settings!$F$5:$F$9,MATCH($B1423,Settings!$A$5:$A$9,0)),0))/P1423+IFERROR(INDEX(Settings!$D$5:$D$9,MATCH($B1423,Settings!$A$5:$A$9,0)),0)*M1423)</f>
        <v/>
      </c>
      <c r="W1423" s="11">
        <f>IF(J1423="","",IF(T1423="",0,M1423*INDEX(Products!$I$5:$I$204,T1423)))</f>
        <v/>
      </c>
      <c r="X1423" s="11">
        <f>IF(J1423="","",IF(T1423="",0,S1423*INDEX(Products!$H$5:$H$204,T1423)))</f>
        <v/>
      </c>
      <c r="Y1423" s="11">
        <f>IF(J1423="","",S1423-V1423-W1423-X1423)</f>
        <v/>
      </c>
    </row>
    <row r="1424">
      <c r="A1424" s="19" t="n"/>
      <c r="B1424" s="19" t="n"/>
      <c r="C1424" s="19" t="n"/>
      <c r="D1424" s="19" t="n"/>
      <c r="E1424" s="19" t="n"/>
      <c r="F1424" s="20" t="n"/>
      <c r="G1424" s="20" t="n"/>
      <c r="H1424" s="20" t="n"/>
      <c r="I1424" s="19" t="n"/>
      <c r="J1424">
        <f>IFERROR(IF(C1424="","",C1424)&amp;"","")</f>
        <v/>
      </c>
      <c r="K1424">
        <f>IFERROR(IF(D1424="","",D1424)&amp;"","")</f>
        <v/>
      </c>
      <c r="L1424">
        <f>IFERROR(IF(I1424="","",I1424)&amp;"","")</f>
        <v/>
      </c>
      <c r="M1424">
        <f>IF(J1424="","",IFERROR(VALUE(SUBSTITUTE(SUBSTITUTE(IF(E1424="","",E1424)&amp;"","$",""),",","")),0))</f>
        <v/>
      </c>
      <c r="N1424" s="11">
        <f>IF(J1424="","",IFERROR(VALUE(SUBSTITUTE(SUBSTITUTE(IF(F1424="","",F1424)&amp;"","$",""),",","")),0))</f>
        <v/>
      </c>
      <c r="O1424" s="11">
        <f>IF(J1424="","",M1424*N1424)</f>
        <v/>
      </c>
      <c r="P1424">
        <f>IF(J1424="","",IF(L1424="",1,COUNTIF($L$2:$L$1501,L1424)))</f>
        <v/>
      </c>
      <c r="Q1424" s="11">
        <f>IF(J1424="","",IFERROR(VALUE(SUBSTITUTE(SUBSTITUTE(IF(G1424="","",G1424)&amp;"","$",""),",","")),0)/IF("No"="Yes",P1424,1))</f>
        <v/>
      </c>
      <c r="R1424" s="11">
        <f>IF(J1424="","",IFERROR(VALUE(SUBSTITUTE(SUBSTITUTE(IF(H1424="","",H1424)&amp;"","$",""),",","")),0)/IF("No"="Yes",P1424,1))</f>
        <v/>
      </c>
      <c r="S1424" s="11">
        <f>IF(J1424="","",O1424+Q1424-R1424)</f>
        <v/>
      </c>
      <c r="T1424">
        <f>IF(J1424="","",IFERROR(IF(K1424="",NA(),MATCH(K1424,Products!$B$5:$B$204,0)),IFERROR(MATCH(J1424,Products!$A$5:$A$204,0),"")))</f>
        <v/>
      </c>
      <c r="U1424">
        <f>IF(J1424="","",IF(T1424="","⚠ not in Products",INDEX(Products!$A$5:$A$204,T1424)))</f>
        <v/>
      </c>
      <c r="V1424" s="11">
        <f>IF(J1424="","",S1424*(IFERROR(INDEX(Settings!$B$5:$B$9,MATCH($B1424,Settings!$A$5:$A$9,0)),0)+IFERROR(INDEX(Settings!$E$5:$E$9,MATCH($B1424,Settings!$A$5:$A$9,0)),0)+IFERROR(INDEX(Settings!$G$5:$G$9,MATCH($B1424,Settings!$A$5:$A$9,0)),0))+(IFERROR(INDEX(Settings!$C$5:$C$9,MATCH($B1424,Settings!$A$5:$A$9,0)),0)+IFERROR(INDEX(Settings!$F$5:$F$9,MATCH($B1424,Settings!$A$5:$A$9,0)),0))/P1424+IFERROR(INDEX(Settings!$D$5:$D$9,MATCH($B1424,Settings!$A$5:$A$9,0)),0)*M1424)</f>
        <v/>
      </c>
      <c r="W1424" s="11">
        <f>IF(J1424="","",IF(T1424="",0,M1424*INDEX(Products!$I$5:$I$204,T1424)))</f>
        <v/>
      </c>
      <c r="X1424" s="11">
        <f>IF(J1424="","",IF(T1424="",0,S1424*INDEX(Products!$H$5:$H$204,T1424)))</f>
        <v/>
      </c>
      <c r="Y1424" s="11">
        <f>IF(J1424="","",S1424-V1424-W1424-X1424)</f>
        <v/>
      </c>
    </row>
    <row r="1425">
      <c r="A1425" s="19" t="n"/>
      <c r="B1425" s="19" t="n"/>
      <c r="C1425" s="19" t="n"/>
      <c r="D1425" s="19" t="n"/>
      <c r="E1425" s="19" t="n"/>
      <c r="F1425" s="20" t="n"/>
      <c r="G1425" s="20" t="n"/>
      <c r="H1425" s="20" t="n"/>
      <c r="I1425" s="19" t="n"/>
      <c r="J1425">
        <f>IFERROR(IF(C1425="","",C1425)&amp;"","")</f>
        <v/>
      </c>
      <c r="K1425">
        <f>IFERROR(IF(D1425="","",D1425)&amp;"","")</f>
        <v/>
      </c>
      <c r="L1425">
        <f>IFERROR(IF(I1425="","",I1425)&amp;"","")</f>
        <v/>
      </c>
      <c r="M1425">
        <f>IF(J1425="","",IFERROR(VALUE(SUBSTITUTE(SUBSTITUTE(IF(E1425="","",E1425)&amp;"","$",""),",","")),0))</f>
        <v/>
      </c>
      <c r="N1425" s="11">
        <f>IF(J1425="","",IFERROR(VALUE(SUBSTITUTE(SUBSTITUTE(IF(F1425="","",F1425)&amp;"","$",""),",","")),0))</f>
        <v/>
      </c>
      <c r="O1425" s="11">
        <f>IF(J1425="","",M1425*N1425)</f>
        <v/>
      </c>
      <c r="P1425">
        <f>IF(J1425="","",IF(L1425="",1,COUNTIF($L$2:$L$1501,L1425)))</f>
        <v/>
      </c>
      <c r="Q1425" s="11">
        <f>IF(J1425="","",IFERROR(VALUE(SUBSTITUTE(SUBSTITUTE(IF(G1425="","",G1425)&amp;"","$",""),",","")),0)/IF("No"="Yes",P1425,1))</f>
        <v/>
      </c>
      <c r="R1425" s="11">
        <f>IF(J1425="","",IFERROR(VALUE(SUBSTITUTE(SUBSTITUTE(IF(H1425="","",H1425)&amp;"","$",""),",","")),0)/IF("No"="Yes",P1425,1))</f>
        <v/>
      </c>
      <c r="S1425" s="11">
        <f>IF(J1425="","",O1425+Q1425-R1425)</f>
        <v/>
      </c>
      <c r="T1425">
        <f>IF(J1425="","",IFERROR(IF(K1425="",NA(),MATCH(K1425,Products!$B$5:$B$204,0)),IFERROR(MATCH(J1425,Products!$A$5:$A$204,0),"")))</f>
        <v/>
      </c>
      <c r="U1425">
        <f>IF(J1425="","",IF(T1425="","⚠ not in Products",INDEX(Products!$A$5:$A$204,T1425)))</f>
        <v/>
      </c>
      <c r="V1425" s="11">
        <f>IF(J1425="","",S1425*(IFERROR(INDEX(Settings!$B$5:$B$9,MATCH($B1425,Settings!$A$5:$A$9,0)),0)+IFERROR(INDEX(Settings!$E$5:$E$9,MATCH($B1425,Settings!$A$5:$A$9,0)),0)+IFERROR(INDEX(Settings!$G$5:$G$9,MATCH($B1425,Settings!$A$5:$A$9,0)),0))+(IFERROR(INDEX(Settings!$C$5:$C$9,MATCH($B1425,Settings!$A$5:$A$9,0)),0)+IFERROR(INDEX(Settings!$F$5:$F$9,MATCH($B1425,Settings!$A$5:$A$9,0)),0))/P1425+IFERROR(INDEX(Settings!$D$5:$D$9,MATCH($B1425,Settings!$A$5:$A$9,0)),0)*M1425)</f>
        <v/>
      </c>
      <c r="W1425" s="11">
        <f>IF(J1425="","",IF(T1425="",0,M1425*INDEX(Products!$I$5:$I$204,T1425)))</f>
        <v/>
      </c>
      <c r="X1425" s="11">
        <f>IF(J1425="","",IF(T1425="",0,S1425*INDEX(Products!$H$5:$H$204,T1425)))</f>
        <v/>
      </c>
      <c r="Y1425" s="11">
        <f>IF(J1425="","",S1425-V1425-W1425-X1425)</f>
        <v/>
      </c>
    </row>
    <row r="1426">
      <c r="A1426" s="19" t="n"/>
      <c r="B1426" s="19" t="n"/>
      <c r="C1426" s="19" t="n"/>
      <c r="D1426" s="19" t="n"/>
      <c r="E1426" s="19" t="n"/>
      <c r="F1426" s="20" t="n"/>
      <c r="G1426" s="20" t="n"/>
      <c r="H1426" s="20" t="n"/>
      <c r="I1426" s="19" t="n"/>
      <c r="J1426">
        <f>IFERROR(IF(C1426="","",C1426)&amp;"","")</f>
        <v/>
      </c>
      <c r="K1426">
        <f>IFERROR(IF(D1426="","",D1426)&amp;"","")</f>
        <v/>
      </c>
      <c r="L1426">
        <f>IFERROR(IF(I1426="","",I1426)&amp;"","")</f>
        <v/>
      </c>
      <c r="M1426">
        <f>IF(J1426="","",IFERROR(VALUE(SUBSTITUTE(SUBSTITUTE(IF(E1426="","",E1426)&amp;"","$",""),",","")),0))</f>
        <v/>
      </c>
      <c r="N1426" s="11">
        <f>IF(J1426="","",IFERROR(VALUE(SUBSTITUTE(SUBSTITUTE(IF(F1426="","",F1426)&amp;"","$",""),",","")),0))</f>
        <v/>
      </c>
      <c r="O1426" s="11">
        <f>IF(J1426="","",M1426*N1426)</f>
        <v/>
      </c>
      <c r="P1426">
        <f>IF(J1426="","",IF(L1426="",1,COUNTIF($L$2:$L$1501,L1426)))</f>
        <v/>
      </c>
      <c r="Q1426" s="11">
        <f>IF(J1426="","",IFERROR(VALUE(SUBSTITUTE(SUBSTITUTE(IF(G1426="","",G1426)&amp;"","$",""),",","")),0)/IF("No"="Yes",P1426,1))</f>
        <v/>
      </c>
      <c r="R1426" s="11">
        <f>IF(J1426="","",IFERROR(VALUE(SUBSTITUTE(SUBSTITUTE(IF(H1426="","",H1426)&amp;"","$",""),",","")),0)/IF("No"="Yes",P1426,1))</f>
        <v/>
      </c>
      <c r="S1426" s="11">
        <f>IF(J1426="","",O1426+Q1426-R1426)</f>
        <v/>
      </c>
      <c r="T1426">
        <f>IF(J1426="","",IFERROR(IF(K1426="",NA(),MATCH(K1426,Products!$B$5:$B$204,0)),IFERROR(MATCH(J1426,Products!$A$5:$A$204,0),"")))</f>
        <v/>
      </c>
      <c r="U1426">
        <f>IF(J1426="","",IF(T1426="","⚠ not in Products",INDEX(Products!$A$5:$A$204,T1426)))</f>
        <v/>
      </c>
      <c r="V1426" s="11">
        <f>IF(J1426="","",S1426*(IFERROR(INDEX(Settings!$B$5:$B$9,MATCH($B1426,Settings!$A$5:$A$9,0)),0)+IFERROR(INDEX(Settings!$E$5:$E$9,MATCH($B1426,Settings!$A$5:$A$9,0)),0)+IFERROR(INDEX(Settings!$G$5:$G$9,MATCH($B1426,Settings!$A$5:$A$9,0)),0))+(IFERROR(INDEX(Settings!$C$5:$C$9,MATCH($B1426,Settings!$A$5:$A$9,0)),0)+IFERROR(INDEX(Settings!$F$5:$F$9,MATCH($B1426,Settings!$A$5:$A$9,0)),0))/P1426+IFERROR(INDEX(Settings!$D$5:$D$9,MATCH($B1426,Settings!$A$5:$A$9,0)),0)*M1426)</f>
        <v/>
      </c>
      <c r="W1426" s="11">
        <f>IF(J1426="","",IF(T1426="",0,M1426*INDEX(Products!$I$5:$I$204,T1426)))</f>
        <v/>
      </c>
      <c r="X1426" s="11">
        <f>IF(J1426="","",IF(T1426="",0,S1426*INDEX(Products!$H$5:$H$204,T1426)))</f>
        <v/>
      </c>
      <c r="Y1426" s="11">
        <f>IF(J1426="","",S1426-V1426-W1426-X1426)</f>
        <v/>
      </c>
    </row>
    <row r="1427">
      <c r="A1427" s="19" t="n"/>
      <c r="B1427" s="19" t="n"/>
      <c r="C1427" s="19" t="n"/>
      <c r="D1427" s="19" t="n"/>
      <c r="E1427" s="19" t="n"/>
      <c r="F1427" s="20" t="n"/>
      <c r="G1427" s="20" t="n"/>
      <c r="H1427" s="20" t="n"/>
      <c r="I1427" s="19" t="n"/>
      <c r="J1427">
        <f>IFERROR(IF(C1427="","",C1427)&amp;"","")</f>
        <v/>
      </c>
      <c r="K1427">
        <f>IFERROR(IF(D1427="","",D1427)&amp;"","")</f>
        <v/>
      </c>
      <c r="L1427">
        <f>IFERROR(IF(I1427="","",I1427)&amp;"","")</f>
        <v/>
      </c>
      <c r="M1427">
        <f>IF(J1427="","",IFERROR(VALUE(SUBSTITUTE(SUBSTITUTE(IF(E1427="","",E1427)&amp;"","$",""),",","")),0))</f>
        <v/>
      </c>
      <c r="N1427" s="11">
        <f>IF(J1427="","",IFERROR(VALUE(SUBSTITUTE(SUBSTITUTE(IF(F1427="","",F1427)&amp;"","$",""),",","")),0))</f>
        <v/>
      </c>
      <c r="O1427" s="11">
        <f>IF(J1427="","",M1427*N1427)</f>
        <v/>
      </c>
      <c r="P1427">
        <f>IF(J1427="","",IF(L1427="",1,COUNTIF($L$2:$L$1501,L1427)))</f>
        <v/>
      </c>
      <c r="Q1427" s="11">
        <f>IF(J1427="","",IFERROR(VALUE(SUBSTITUTE(SUBSTITUTE(IF(G1427="","",G1427)&amp;"","$",""),",","")),0)/IF("No"="Yes",P1427,1))</f>
        <v/>
      </c>
      <c r="R1427" s="11">
        <f>IF(J1427="","",IFERROR(VALUE(SUBSTITUTE(SUBSTITUTE(IF(H1427="","",H1427)&amp;"","$",""),",","")),0)/IF("No"="Yes",P1427,1))</f>
        <v/>
      </c>
      <c r="S1427" s="11">
        <f>IF(J1427="","",O1427+Q1427-R1427)</f>
        <v/>
      </c>
      <c r="T1427">
        <f>IF(J1427="","",IFERROR(IF(K1427="",NA(),MATCH(K1427,Products!$B$5:$B$204,0)),IFERROR(MATCH(J1427,Products!$A$5:$A$204,0),"")))</f>
        <v/>
      </c>
      <c r="U1427">
        <f>IF(J1427="","",IF(T1427="","⚠ not in Products",INDEX(Products!$A$5:$A$204,T1427)))</f>
        <v/>
      </c>
      <c r="V1427" s="11">
        <f>IF(J1427="","",S1427*(IFERROR(INDEX(Settings!$B$5:$B$9,MATCH($B1427,Settings!$A$5:$A$9,0)),0)+IFERROR(INDEX(Settings!$E$5:$E$9,MATCH($B1427,Settings!$A$5:$A$9,0)),0)+IFERROR(INDEX(Settings!$G$5:$G$9,MATCH($B1427,Settings!$A$5:$A$9,0)),0))+(IFERROR(INDEX(Settings!$C$5:$C$9,MATCH($B1427,Settings!$A$5:$A$9,0)),0)+IFERROR(INDEX(Settings!$F$5:$F$9,MATCH($B1427,Settings!$A$5:$A$9,0)),0))/P1427+IFERROR(INDEX(Settings!$D$5:$D$9,MATCH($B1427,Settings!$A$5:$A$9,0)),0)*M1427)</f>
        <v/>
      </c>
      <c r="W1427" s="11">
        <f>IF(J1427="","",IF(T1427="",0,M1427*INDEX(Products!$I$5:$I$204,T1427)))</f>
        <v/>
      </c>
      <c r="X1427" s="11">
        <f>IF(J1427="","",IF(T1427="",0,S1427*INDEX(Products!$H$5:$H$204,T1427)))</f>
        <v/>
      </c>
      <c r="Y1427" s="11">
        <f>IF(J1427="","",S1427-V1427-W1427-X1427)</f>
        <v/>
      </c>
    </row>
    <row r="1428">
      <c r="A1428" s="19" t="n"/>
      <c r="B1428" s="19" t="n"/>
      <c r="C1428" s="19" t="n"/>
      <c r="D1428" s="19" t="n"/>
      <c r="E1428" s="19" t="n"/>
      <c r="F1428" s="20" t="n"/>
      <c r="G1428" s="20" t="n"/>
      <c r="H1428" s="20" t="n"/>
      <c r="I1428" s="19" t="n"/>
      <c r="J1428">
        <f>IFERROR(IF(C1428="","",C1428)&amp;"","")</f>
        <v/>
      </c>
      <c r="K1428">
        <f>IFERROR(IF(D1428="","",D1428)&amp;"","")</f>
        <v/>
      </c>
      <c r="L1428">
        <f>IFERROR(IF(I1428="","",I1428)&amp;"","")</f>
        <v/>
      </c>
      <c r="M1428">
        <f>IF(J1428="","",IFERROR(VALUE(SUBSTITUTE(SUBSTITUTE(IF(E1428="","",E1428)&amp;"","$",""),",","")),0))</f>
        <v/>
      </c>
      <c r="N1428" s="11">
        <f>IF(J1428="","",IFERROR(VALUE(SUBSTITUTE(SUBSTITUTE(IF(F1428="","",F1428)&amp;"","$",""),",","")),0))</f>
        <v/>
      </c>
      <c r="O1428" s="11">
        <f>IF(J1428="","",M1428*N1428)</f>
        <v/>
      </c>
      <c r="P1428">
        <f>IF(J1428="","",IF(L1428="",1,COUNTIF($L$2:$L$1501,L1428)))</f>
        <v/>
      </c>
      <c r="Q1428" s="11">
        <f>IF(J1428="","",IFERROR(VALUE(SUBSTITUTE(SUBSTITUTE(IF(G1428="","",G1428)&amp;"","$",""),",","")),0)/IF("No"="Yes",P1428,1))</f>
        <v/>
      </c>
      <c r="R1428" s="11">
        <f>IF(J1428="","",IFERROR(VALUE(SUBSTITUTE(SUBSTITUTE(IF(H1428="","",H1428)&amp;"","$",""),",","")),0)/IF("No"="Yes",P1428,1))</f>
        <v/>
      </c>
      <c r="S1428" s="11">
        <f>IF(J1428="","",O1428+Q1428-R1428)</f>
        <v/>
      </c>
      <c r="T1428">
        <f>IF(J1428="","",IFERROR(IF(K1428="",NA(),MATCH(K1428,Products!$B$5:$B$204,0)),IFERROR(MATCH(J1428,Products!$A$5:$A$204,0),"")))</f>
        <v/>
      </c>
      <c r="U1428">
        <f>IF(J1428="","",IF(T1428="","⚠ not in Products",INDEX(Products!$A$5:$A$204,T1428)))</f>
        <v/>
      </c>
      <c r="V1428" s="11">
        <f>IF(J1428="","",S1428*(IFERROR(INDEX(Settings!$B$5:$B$9,MATCH($B1428,Settings!$A$5:$A$9,0)),0)+IFERROR(INDEX(Settings!$E$5:$E$9,MATCH($B1428,Settings!$A$5:$A$9,0)),0)+IFERROR(INDEX(Settings!$G$5:$G$9,MATCH($B1428,Settings!$A$5:$A$9,0)),0))+(IFERROR(INDEX(Settings!$C$5:$C$9,MATCH($B1428,Settings!$A$5:$A$9,0)),0)+IFERROR(INDEX(Settings!$F$5:$F$9,MATCH($B1428,Settings!$A$5:$A$9,0)),0))/P1428+IFERROR(INDEX(Settings!$D$5:$D$9,MATCH($B1428,Settings!$A$5:$A$9,0)),0)*M1428)</f>
        <v/>
      </c>
      <c r="W1428" s="11">
        <f>IF(J1428="","",IF(T1428="",0,M1428*INDEX(Products!$I$5:$I$204,T1428)))</f>
        <v/>
      </c>
      <c r="X1428" s="11">
        <f>IF(J1428="","",IF(T1428="",0,S1428*INDEX(Products!$H$5:$H$204,T1428)))</f>
        <v/>
      </c>
      <c r="Y1428" s="11">
        <f>IF(J1428="","",S1428-V1428-W1428-X1428)</f>
        <v/>
      </c>
    </row>
    <row r="1429">
      <c r="A1429" s="19" t="n"/>
      <c r="B1429" s="19" t="n"/>
      <c r="C1429" s="19" t="n"/>
      <c r="D1429" s="19" t="n"/>
      <c r="E1429" s="19" t="n"/>
      <c r="F1429" s="20" t="n"/>
      <c r="G1429" s="20" t="n"/>
      <c r="H1429" s="20" t="n"/>
      <c r="I1429" s="19" t="n"/>
      <c r="J1429">
        <f>IFERROR(IF(C1429="","",C1429)&amp;"","")</f>
        <v/>
      </c>
      <c r="K1429">
        <f>IFERROR(IF(D1429="","",D1429)&amp;"","")</f>
        <v/>
      </c>
      <c r="L1429">
        <f>IFERROR(IF(I1429="","",I1429)&amp;"","")</f>
        <v/>
      </c>
      <c r="M1429">
        <f>IF(J1429="","",IFERROR(VALUE(SUBSTITUTE(SUBSTITUTE(IF(E1429="","",E1429)&amp;"","$",""),",","")),0))</f>
        <v/>
      </c>
      <c r="N1429" s="11">
        <f>IF(J1429="","",IFERROR(VALUE(SUBSTITUTE(SUBSTITUTE(IF(F1429="","",F1429)&amp;"","$",""),",","")),0))</f>
        <v/>
      </c>
      <c r="O1429" s="11">
        <f>IF(J1429="","",M1429*N1429)</f>
        <v/>
      </c>
      <c r="P1429">
        <f>IF(J1429="","",IF(L1429="",1,COUNTIF($L$2:$L$1501,L1429)))</f>
        <v/>
      </c>
      <c r="Q1429" s="11">
        <f>IF(J1429="","",IFERROR(VALUE(SUBSTITUTE(SUBSTITUTE(IF(G1429="","",G1429)&amp;"","$",""),",","")),0)/IF("No"="Yes",P1429,1))</f>
        <v/>
      </c>
      <c r="R1429" s="11">
        <f>IF(J1429="","",IFERROR(VALUE(SUBSTITUTE(SUBSTITUTE(IF(H1429="","",H1429)&amp;"","$",""),",","")),0)/IF("No"="Yes",P1429,1))</f>
        <v/>
      </c>
      <c r="S1429" s="11">
        <f>IF(J1429="","",O1429+Q1429-R1429)</f>
        <v/>
      </c>
      <c r="T1429">
        <f>IF(J1429="","",IFERROR(IF(K1429="",NA(),MATCH(K1429,Products!$B$5:$B$204,0)),IFERROR(MATCH(J1429,Products!$A$5:$A$204,0),"")))</f>
        <v/>
      </c>
      <c r="U1429">
        <f>IF(J1429="","",IF(T1429="","⚠ not in Products",INDEX(Products!$A$5:$A$204,T1429)))</f>
        <v/>
      </c>
      <c r="V1429" s="11">
        <f>IF(J1429="","",S1429*(IFERROR(INDEX(Settings!$B$5:$B$9,MATCH($B1429,Settings!$A$5:$A$9,0)),0)+IFERROR(INDEX(Settings!$E$5:$E$9,MATCH($B1429,Settings!$A$5:$A$9,0)),0)+IFERROR(INDEX(Settings!$G$5:$G$9,MATCH($B1429,Settings!$A$5:$A$9,0)),0))+(IFERROR(INDEX(Settings!$C$5:$C$9,MATCH($B1429,Settings!$A$5:$A$9,0)),0)+IFERROR(INDEX(Settings!$F$5:$F$9,MATCH($B1429,Settings!$A$5:$A$9,0)),0))/P1429+IFERROR(INDEX(Settings!$D$5:$D$9,MATCH($B1429,Settings!$A$5:$A$9,0)),0)*M1429)</f>
        <v/>
      </c>
      <c r="W1429" s="11">
        <f>IF(J1429="","",IF(T1429="",0,M1429*INDEX(Products!$I$5:$I$204,T1429)))</f>
        <v/>
      </c>
      <c r="X1429" s="11">
        <f>IF(J1429="","",IF(T1429="",0,S1429*INDEX(Products!$H$5:$H$204,T1429)))</f>
        <v/>
      </c>
      <c r="Y1429" s="11">
        <f>IF(J1429="","",S1429-V1429-W1429-X1429)</f>
        <v/>
      </c>
    </row>
    <row r="1430">
      <c r="A1430" s="19" t="n"/>
      <c r="B1430" s="19" t="n"/>
      <c r="C1430" s="19" t="n"/>
      <c r="D1430" s="19" t="n"/>
      <c r="E1430" s="19" t="n"/>
      <c r="F1430" s="20" t="n"/>
      <c r="G1430" s="20" t="n"/>
      <c r="H1430" s="20" t="n"/>
      <c r="I1430" s="19" t="n"/>
      <c r="J1430">
        <f>IFERROR(IF(C1430="","",C1430)&amp;"","")</f>
        <v/>
      </c>
      <c r="K1430">
        <f>IFERROR(IF(D1430="","",D1430)&amp;"","")</f>
        <v/>
      </c>
      <c r="L1430">
        <f>IFERROR(IF(I1430="","",I1430)&amp;"","")</f>
        <v/>
      </c>
      <c r="M1430">
        <f>IF(J1430="","",IFERROR(VALUE(SUBSTITUTE(SUBSTITUTE(IF(E1430="","",E1430)&amp;"","$",""),",","")),0))</f>
        <v/>
      </c>
      <c r="N1430" s="11">
        <f>IF(J1430="","",IFERROR(VALUE(SUBSTITUTE(SUBSTITUTE(IF(F1430="","",F1430)&amp;"","$",""),",","")),0))</f>
        <v/>
      </c>
      <c r="O1430" s="11">
        <f>IF(J1430="","",M1430*N1430)</f>
        <v/>
      </c>
      <c r="P1430">
        <f>IF(J1430="","",IF(L1430="",1,COUNTIF($L$2:$L$1501,L1430)))</f>
        <v/>
      </c>
      <c r="Q1430" s="11">
        <f>IF(J1430="","",IFERROR(VALUE(SUBSTITUTE(SUBSTITUTE(IF(G1430="","",G1430)&amp;"","$",""),",","")),0)/IF("No"="Yes",P1430,1))</f>
        <v/>
      </c>
      <c r="R1430" s="11">
        <f>IF(J1430="","",IFERROR(VALUE(SUBSTITUTE(SUBSTITUTE(IF(H1430="","",H1430)&amp;"","$",""),",","")),0)/IF("No"="Yes",P1430,1))</f>
        <v/>
      </c>
      <c r="S1430" s="11">
        <f>IF(J1430="","",O1430+Q1430-R1430)</f>
        <v/>
      </c>
      <c r="T1430">
        <f>IF(J1430="","",IFERROR(IF(K1430="",NA(),MATCH(K1430,Products!$B$5:$B$204,0)),IFERROR(MATCH(J1430,Products!$A$5:$A$204,0),"")))</f>
        <v/>
      </c>
      <c r="U1430">
        <f>IF(J1430="","",IF(T1430="","⚠ not in Products",INDEX(Products!$A$5:$A$204,T1430)))</f>
        <v/>
      </c>
      <c r="V1430" s="11">
        <f>IF(J1430="","",S1430*(IFERROR(INDEX(Settings!$B$5:$B$9,MATCH($B1430,Settings!$A$5:$A$9,0)),0)+IFERROR(INDEX(Settings!$E$5:$E$9,MATCH($B1430,Settings!$A$5:$A$9,0)),0)+IFERROR(INDEX(Settings!$G$5:$G$9,MATCH($B1430,Settings!$A$5:$A$9,0)),0))+(IFERROR(INDEX(Settings!$C$5:$C$9,MATCH($B1430,Settings!$A$5:$A$9,0)),0)+IFERROR(INDEX(Settings!$F$5:$F$9,MATCH($B1430,Settings!$A$5:$A$9,0)),0))/P1430+IFERROR(INDEX(Settings!$D$5:$D$9,MATCH($B1430,Settings!$A$5:$A$9,0)),0)*M1430)</f>
        <v/>
      </c>
      <c r="W1430" s="11">
        <f>IF(J1430="","",IF(T1430="",0,M1430*INDEX(Products!$I$5:$I$204,T1430)))</f>
        <v/>
      </c>
      <c r="X1430" s="11">
        <f>IF(J1430="","",IF(T1430="",0,S1430*INDEX(Products!$H$5:$H$204,T1430)))</f>
        <v/>
      </c>
      <c r="Y1430" s="11">
        <f>IF(J1430="","",S1430-V1430-W1430-X1430)</f>
        <v/>
      </c>
    </row>
    <row r="1431">
      <c r="A1431" s="19" t="n"/>
      <c r="B1431" s="19" t="n"/>
      <c r="C1431" s="19" t="n"/>
      <c r="D1431" s="19" t="n"/>
      <c r="E1431" s="19" t="n"/>
      <c r="F1431" s="20" t="n"/>
      <c r="G1431" s="20" t="n"/>
      <c r="H1431" s="20" t="n"/>
      <c r="I1431" s="19" t="n"/>
      <c r="J1431">
        <f>IFERROR(IF(C1431="","",C1431)&amp;"","")</f>
        <v/>
      </c>
      <c r="K1431">
        <f>IFERROR(IF(D1431="","",D1431)&amp;"","")</f>
        <v/>
      </c>
      <c r="L1431">
        <f>IFERROR(IF(I1431="","",I1431)&amp;"","")</f>
        <v/>
      </c>
      <c r="M1431">
        <f>IF(J1431="","",IFERROR(VALUE(SUBSTITUTE(SUBSTITUTE(IF(E1431="","",E1431)&amp;"","$",""),",","")),0))</f>
        <v/>
      </c>
      <c r="N1431" s="11">
        <f>IF(J1431="","",IFERROR(VALUE(SUBSTITUTE(SUBSTITUTE(IF(F1431="","",F1431)&amp;"","$",""),",","")),0))</f>
        <v/>
      </c>
      <c r="O1431" s="11">
        <f>IF(J1431="","",M1431*N1431)</f>
        <v/>
      </c>
      <c r="P1431">
        <f>IF(J1431="","",IF(L1431="",1,COUNTIF($L$2:$L$1501,L1431)))</f>
        <v/>
      </c>
      <c r="Q1431" s="11">
        <f>IF(J1431="","",IFERROR(VALUE(SUBSTITUTE(SUBSTITUTE(IF(G1431="","",G1431)&amp;"","$",""),",","")),0)/IF("No"="Yes",P1431,1))</f>
        <v/>
      </c>
      <c r="R1431" s="11">
        <f>IF(J1431="","",IFERROR(VALUE(SUBSTITUTE(SUBSTITUTE(IF(H1431="","",H1431)&amp;"","$",""),",","")),0)/IF("No"="Yes",P1431,1))</f>
        <v/>
      </c>
      <c r="S1431" s="11">
        <f>IF(J1431="","",O1431+Q1431-R1431)</f>
        <v/>
      </c>
      <c r="T1431">
        <f>IF(J1431="","",IFERROR(IF(K1431="",NA(),MATCH(K1431,Products!$B$5:$B$204,0)),IFERROR(MATCH(J1431,Products!$A$5:$A$204,0),"")))</f>
        <v/>
      </c>
      <c r="U1431">
        <f>IF(J1431="","",IF(T1431="","⚠ not in Products",INDEX(Products!$A$5:$A$204,T1431)))</f>
        <v/>
      </c>
      <c r="V1431" s="11">
        <f>IF(J1431="","",S1431*(IFERROR(INDEX(Settings!$B$5:$B$9,MATCH($B1431,Settings!$A$5:$A$9,0)),0)+IFERROR(INDEX(Settings!$E$5:$E$9,MATCH($B1431,Settings!$A$5:$A$9,0)),0)+IFERROR(INDEX(Settings!$G$5:$G$9,MATCH($B1431,Settings!$A$5:$A$9,0)),0))+(IFERROR(INDEX(Settings!$C$5:$C$9,MATCH($B1431,Settings!$A$5:$A$9,0)),0)+IFERROR(INDEX(Settings!$F$5:$F$9,MATCH($B1431,Settings!$A$5:$A$9,0)),0))/P1431+IFERROR(INDEX(Settings!$D$5:$D$9,MATCH($B1431,Settings!$A$5:$A$9,0)),0)*M1431)</f>
        <v/>
      </c>
      <c r="W1431" s="11">
        <f>IF(J1431="","",IF(T1431="",0,M1431*INDEX(Products!$I$5:$I$204,T1431)))</f>
        <v/>
      </c>
      <c r="X1431" s="11">
        <f>IF(J1431="","",IF(T1431="",0,S1431*INDEX(Products!$H$5:$H$204,T1431)))</f>
        <v/>
      </c>
      <c r="Y1431" s="11">
        <f>IF(J1431="","",S1431-V1431-W1431-X1431)</f>
        <v/>
      </c>
    </row>
    <row r="1432">
      <c r="A1432" s="19" t="n"/>
      <c r="B1432" s="19" t="n"/>
      <c r="C1432" s="19" t="n"/>
      <c r="D1432" s="19" t="n"/>
      <c r="E1432" s="19" t="n"/>
      <c r="F1432" s="20" t="n"/>
      <c r="G1432" s="20" t="n"/>
      <c r="H1432" s="20" t="n"/>
      <c r="I1432" s="19" t="n"/>
      <c r="J1432">
        <f>IFERROR(IF(C1432="","",C1432)&amp;"","")</f>
        <v/>
      </c>
      <c r="K1432">
        <f>IFERROR(IF(D1432="","",D1432)&amp;"","")</f>
        <v/>
      </c>
      <c r="L1432">
        <f>IFERROR(IF(I1432="","",I1432)&amp;"","")</f>
        <v/>
      </c>
      <c r="M1432">
        <f>IF(J1432="","",IFERROR(VALUE(SUBSTITUTE(SUBSTITUTE(IF(E1432="","",E1432)&amp;"","$",""),",","")),0))</f>
        <v/>
      </c>
      <c r="N1432" s="11">
        <f>IF(J1432="","",IFERROR(VALUE(SUBSTITUTE(SUBSTITUTE(IF(F1432="","",F1432)&amp;"","$",""),",","")),0))</f>
        <v/>
      </c>
      <c r="O1432" s="11">
        <f>IF(J1432="","",M1432*N1432)</f>
        <v/>
      </c>
      <c r="P1432">
        <f>IF(J1432="","",IF(L1432="",1,COUNTIF($L$2:$L$1501,L1432)))</f>
        <v/>
      </c>
      <c r="Q1432" s="11">
        <f>IF(J1432="","",IFERROR(VALUE(SUBSTITUTE(SUBSTITUTE(IF(G1432="","",G1432)&amp;"","$",""),",","")),0)/IF("No"="Yes",P1432,1))</f>
        <v/>
      </c>
      <c r="R1432" s="11">
        <f>IF(J1432="","",IFERROR(VALUE(SUBSTITUTE(SUBSTITUTE(IF(H1432="","",H1432)&amp;"","$",""),",","")),0)/IF("No"="Yes",P1432,1))</f>
        <v/>
      </c>
      <c r="S1432" s="11">
        <f>IF(J1432="","",O1432+Q1432-R1432)</f>
        <v/>
      </c>
      <c r="T1432">
        <f>IF(J1432="","",IFERROR(IF(K1432="",NA(),MATCH(K1432,Products!$B$5:$B$204,0)),IFERROR(MATCH(J1432,Products!$A$5:$A$204,0),"")))</f>
        <v/>
      </c>
      <c r="U1432">
        <f>IF(J1432="","",IF(T1432="","⚠ not in Products",INDEX(Products!$A$5:$A$204,T1432)))</f>
        <v/>
      </c>
      <c r="V1432" s="11">
        <f>IF(J1432="","",S1432*(IFERROR(INDEX(Settings!$B$5:$B$9,MATCH($B1432,Settings!$A$5:$A$9,0)),0)+IFERROR(INDEX(Settings!$E$5:$E$9,MATCH($B1432,Settings!$A$5:$A$9,0)),0)+IFERROR(INDEX(Settings!$G$5:$G$9,MATCH($B1432,Settings!$A$5:$A$9,0)),0))+(IFERROR(INDEX(Settings!$C$5:$C$9,MATCH($B1432,Settings!$A$5:$A$9,0)),0)+IFERROR(INDEX(Settings!$F$5:$F$9,MATCH($B1432,Settings!$A$5:$A$9,0)),0))/P1432+IFERROR(INDEX(Settings!$D$5:$D$9,MATCH($B1432,Settings!$A$5:$A$9,0)),0)*M1432)</f>
        <v/>
      </c>
      <c r="W1432" s="11">
        <f>IF(J1432="","",IF(T1432="",0,M1432*INDEX(Products!$I$5:$I$204,T1432)))</f>
        <v/>
      </c>
      <c r="X1432" s="11">
        <f>IF(J1432="","",IF(T1432="",0,S1432*INDEX(Products!$H$5:$H$204,T1432)))</f>
        <v/>
      </c>
      <c r="Y1432" s="11">
        <f>IF(J1432="","",S1432-V1432-W1432-X1432)</f>
        <v/>
      </c>
    </row>
    <row r="1433">
      <c r="A1433" s="19" t="n"/>
      <c r="B1433" s="19" t="n"/>
      <c r="C1433" s="19" t="n"/>
      <c r="D1433" s="19" t="n"/>
      <c r="E1433" s="19" t="n"/>
      <c r="F1433" s="20" t="n"/>
      <c r="G1433" s="20" t="n"/>
      <c r="H1433" s="20" t="n"/>
      <c r="I1433" s="19" t="n"/>
      <c r="J1433">
        <f>IFERROR(IF(C1433="","",C1433)&amp;"","")</f>
        <v/>
      </c>
      <c r="K1433">
        <f>IFERROR(IF(D1433="","",D1433)&amp;"","")</f>
        <v/>
      </c>
      <c r="L1433">
        <f>IFERROR(IF(I1433="","",I1433)&amp;"","")</f>
        <v/>
      </c>
      <c r="M1433">
        <f>IF(J1433="","",IFERROR(VALUE(SUBSTITUTE(SUBSTITUTE(IF(E1433="","",E1433)&amp;"","$",""),",","")),0))</f>
        <v/>
      </c>
      <c r="N1433" s="11">
        <f>IF(J1433="","",IFERROR(VALUE(SUBSTITUTE(SUBSTITUTE(IF(F1433="","",F1433)&amp;"","$",""),",","")),0))</f>
        <v/>
      </c>
      <c r="O1433" s="11">
        <f>IF(J1433="","",M1433*N1433)</f>
        <v/>
      </c>
      <c r="P1433">
        <f>IF(J1433="","",IF(L1433="",1,COUNTIF($L$2:$L$1501,L1433)))</f>
        <v/>
      </c>
      <c r="Q1433" s="11">
        <f>IF(J1433="","",IFERROR(VALUE(SUBSTITUTE(SUBSTITUTE(IF(G1433="","",G1433)&amp;"","$",""),",","")),0)/IF("No"="Yes",P1433,1))</f>
        <v/>
      </c>
      <c r="R1433" s="11">
        <f>IF(J1433="","",IFERROR(VALUE(SUBSTITUTE(SUBSTITUTE(IF(H1433="","",H1433)&amp;"","$",""),",","")),0)/IF("No"="Yes",P1433,1))</f>
        <v/>
      </c>
      <c r="S1433" s="11">
        <f>IF(J1433="","",O1433+Q1433-R1433)</f>
        <v/>
      </c>
      <c r="T1433">
        <f>IF(J1433="","",IFERROR(IF(K1433="",NA(),MATCH(K1433,Products!$B$5:$B$204,0)),IFERROR(MATCH(J1433,Products!$A$5:$A$204,0),"")))</f>
        <v/>
      </c>
      <c r="U1433">
        <f>IF(J1433="","",IF(T1433="","⚠ not in Products",INDEX(Products!$A$5:$A$204,T1433)))</f>
        <v/>
      </c>
      <c r="V1433" s="11">
        <f>IF(J1433="","",S1433*(IFERROR(INDEX(Settings!$B$5:$B$9,MATCH($B1433,Settings!$A$5:$A$9,0)),0)+IFERROR(INDEX(Settings!$E$5:$E$9,MATCH($B1433,Settings!$A$5:$A$9,0)),0)+IFERROR(INDEX(Settings!$G$5:$G$9,MATCH($B1433,Settings!$A$5:$A$9,0)),0))+(IFERROR(INDEX(Settings!$C$5:$C$9,MATCH($B1433,Settings!$A$5:$A$9,0)),0)+IFERROR(INDEX(Settings!$F$5:$F$9,MATCH($B1433,Settings!$A$5:$A$9,0)),0))/P1433+IFERROR(INDEX(Settings!$D$5:$D$9,MATCH($B1433,Settings!$A$5:$A$9,0)),0)*M1433)</f>
        <v/>
      </c>
      <c r="W1433" s="11">
        <f>IF(J1433="","",IF(T1433="",0,M1433*INDEX(Products!$I$5:$I$204,T1433)))</f>
        <v/>
      </c>
      <c r="X1433" s="11">
        <f>IF(J1433="","",IF(T1433="",0,S1433*INDEX(Products!$H$5:$H$204,T1433)))</f>
        <v/>
      </c>
      <c r="Y1433" s="11">
        <f>IF(J1433="","",S1433-V1433-W1433-X1433)</f>
        <v/>
      </c>
    </row>
    <row r="1434">
      <c r="A1434" s="19" t="n"/>
      <c r="B1434" s="19" t="n"/>
      <c r="C1434" s="19" t="n"/>
      <c r="D1434" s="19" t="n"/>
      <c r="E1434" s="19" t="n"/>
      <c r="F1434" s="20" t="n"/>
      <c r="G1434" s="20" t="n"/>
      <c r="H1434" s="20" t="n"/>
      <c r="I1434" s="19" t="n"/>
      <c r="J1434">
        <f>IFERROR(IF(C1434="","",C1434)&amp;"","")</f>
        <v/>
      </c>
      <c r="K1434">
        <f>IFERROR(IF(D1434="","",D1434)&amp;"","")</f>
        <v/>
      </c>
      <c r="L1434">
        <f>IFERROR(IF(I1434="","",I1434)&amp;"","")</f>
        <v/>
      </c>
      <c r="M1434">
        <f>IF(J1434="","",IFERROR(VALUE(SUBSTITUTE(SUBSTITUTE(IF(E1434="","",E1434)&amp;"","$",""),",","")),0))</f>
        <v/>
      </c>
      <c r="N1434" s="11">
        <f>IF(J1434="","",IFERROR(VALUE(SUBSTITUTE(SUBSTITUTE(IF(F1434="","",F1434)&amp;"","$",""),",","")),0))</f>
        <v/>
      </c>
      <c r="O1434" s="11">
        <f>IF(J1434="","",M1434*N1434)</f>
        <v/>
      </c>
      <c r="P1434">
        <f>IF(J1434="","",IF(L1434="",1,COUNTIF($L$2:$L$1501,L1434)))</f>
        <v/>
      </c>
      <c r="Q1434" s="11">
        <f>IF(J1434="","",IFERROR(VALUE(SUBSTITUTE(SUBSTITUTE(IF(G1434="","",G1434)&amp;"","$",""),",","")),0)/IF("No"="Yes",P1434,1))</f>
        <v/>
      </c>
      <c r="R1434" s="11">
        <f>IF(J1434="","",IFERROR(VALUE(SUBSTITUTE(SUBSTITUTE(IF(H1434="","",H1434)&amp;"","$",""),",","")),0)/IF("No"="Yes",P1434,1))</f>
        <v/>
      </c>
      <c r="S1434" s="11">
        <f>IF(J1434="","",O1434+Q1434-R1434)</f>
        <v/>
      </c>
      <c r="T1434">
        <f>IF(J1434="","",IFERROR(IF(K1434="",NA(),MATCH(K1434,Products!$B$5:$B$204,0)),IFERROR(MATCH(J1434,Products!$A$5:$A$204,0),"")))</f>
        <v/>
      </c>
      <c r="U1434">
        <f>IF(J1434="","",IF(T1434="","⚠ not in Products",INDEX(Products!$A$5:$A$204,T1434)))</f>
        <v/>
      </c>
      <c r="V1434" s="11">
        <f>IF(J1434="","",S1434*(IFERROR(INDEX(Settings!$B$5:$B$9,MATCH($B1434,Settings!$A$5:$A$9,0)),0)+IFERROR(INDEX(Settings!$E$5:$E$9,MATCH($B1434,Settings!$A$5:$A$9,0)),0)+IFERROR(INDEX(Settings!$G$5:$G$9,MATCH($B1434,Settings!$A$5:$A$9,0)),0))+(IFERROR(INDEX(Settings!$C$5:$C$9,MATCH($B1434,Settings!$A$5:$A$9,0)),0)+IFERROR(INDEX(Settings!$F$5:$F$9,MATCH($B1434,Settings!$A$5:$A$9,0)),0))/P1434+IFERROR(INDEX(Settings!$D$5:$D$9,MATCH($B1434,Settings!$A$5:$A$9,0)),0)*M1434)</f>
        <v/>
      </c>
      <c r="W1434" s="11">
        <f>IF(J1434="","",IF(T1434="",0,M1434*INDEX(Products!$I$5:$I$204,T1434)))</f>
        <v/>
      </c>
      <c r="X1434" s="11">
        <f>IF(J1434="","",IF(T1434="",0,S1434*INDEX(Products!$H$5:$H$204,T1434)))</f>
        <v/>
      </c>
      <c r="Y1434" s="11">
        <f>IF(J1434="","",S1434-V1434-W1434-X1434)</f>
        <v/>
      </c>
    </row>
    <row r="1435">
      <c r="A1435" s="19" t="n"/>
      <c r="B1435" s="19" t="n"/>
      <c r="C1435" s="19" t="n"/>
      <c r="D1435" s="19" t="n"/>
      <c r="E1435" s="19" t="n"/>
      <c r="F1435" s="20" t="n"/>
      <c r="G1435" s="20" t="n"/>
      <c r="H1435" s="20" t="n"/>
      <c r="I1435" s="19" t="n"/>
      <c r="J1435">
        <f>IFERROR(IF(C1435="","",C1435)&amp;"","")</f>
        <v/>
      </c>
      <c r="K1435">
        <f>IFERROR(IF(D1435="","",D1435)&amp;"","")</f>
        <v/>
      </c>
      <c r="L1435">
        <f>IFERROR(IF(I1435="","",I1435)&amp;"","")</f>
        <v/>
      </c>
      <c r="M1435">
        <f>IF(J1435="","",IFERROR(VALUE(SUBSTITUTE(SUBSTITUTE(IF(E1435="","",E1435)&amp;"","$",""),",","")),0))</f>
        <v/>
      </c>
      <c r="N1435" s="11">
        <f>IF(J1435="","",IFERROR(VALUE(SUBSTITUTE(SUBSTITUTE(IF(F1435="","",F1435)&amp;"","$",""),",","")),0))</f>
        <v/>
      </c>
      <c r="O1435" s="11">
        <f>IF(J1435="","",M1435*N1435)</f>
        <v/>
      </c>
      <c r="P1435">
        <f>IF(J1435="","",IF(L1435="",1,COUNTIF($L$2:$L$1501,L1435)))</f>
        <v/>
      </c>
      <c r="Q1435" s="11">
        <f>IF(J1435="","",IFERROR(VALUE(SUBSTITUTE(SUBSTITUTE(IF(G1435="","",G1435)&amp;"","$",""),",","")),0)/IF("No"="Yes",P1435,1))</f>
        <v/>
      </c>
      <c r="R1435" s="11">
        <f>IF(J1435="","",IFERROR(VALUE(SUBSTITUTE(SUBSTITUTE(IF(H1435="","",H1435)&amp;"","$",""),",","")),0)/IF("No"="Yes",P1435,1))</f>
        <v/>
      </c>
      <c r="S1435" s="11">
        <f>IF(J1435="","",O1435+Q1435-R1435)</f>
        <v/>
      </c>
      <c r="T1435">
        <f>IF(J1435="","",IFERROR(IF(K1435="",NA(),MATCH(K1435,Products!$B$5:$B$204,0)),IFERROR(MATCH(J1435,Products!$A$5:$A$204,0),"")))</f>
        <v/>
      </c>
      <c r="U1435">
        <f>IF(J1435="","",IF(T1435="","⚠ not in Products",INDEX(Products!$A$5:$A$204,T1435)))</f>
        <v/>
      </c>
      <c r="V1435" s="11">
        <f>IF(J1435="","",S1435*(IFERROR(INDEX(Settings!$B$5:$B$9,MATCH($B1435,Settings!$A$5:$A$9,0)),0)+IFERROR(INDEX(Settings!$E$5:$E$9,MATCH($B1435,Settings!$A$5:$A$9,0)),0)+IFERROR(INDEX(Settings!$G$5:$G$9,MATCH($B1435,Settings!$A$5:$A$9,0)),0))+(IFERROR(INDEX(Settings!$C$5:$C$9,MATCH($B1435,Settings!$A$5:$A$9,0)),0)+IFERROR(INDEX(Settings!$F$5:$F$9,MATCH($B1435,Settings!$A$5:$A$9,0)),0))/P1435+IFERROR(INDEX(Settings!$D$5:$D$9,MATCH($B1435,Settings!$A$5:$A$9,0)),0)*M1435)</f>
        <v/>
      </c>
      <c r="W1435" s="11">
        <f>IF(J1435="","",IF(T1435="",0,M1435*INDEX(Products!$I$5:$I$204,T1435)))</f>
        <v/>
      </c>
      <c r="X1435" s="11">
        <f>IF(J1435="","",IF(T1435="",0,S1435*INDEX(Products!$H$5:$H$204,T1435)))</f>
        <v/>
      </c>
      <c r="Y1435" s="11">
        <f>IF(J1435="","",S1435-V1435-W1435-X1435)</f>
        <v/>
      </c>
    </row>
    <row r="1436">
      <c r="A1436" s="19" t="n"/>
      <c r="B1436" s="19" t="n"/>
      <c r="C1436" s="19" t="n"/>
      <c r="D1436" s="19" t="n"/>
      <c r="E1436" s="19" t="n"/>
      <c r="F1436" s="20" t="n"/>
      <c r="G1436" s="20" t="n"/>
      <c r="H1436" s="20" t="n"/>
      <c r="I1436" s="19" t="n"/>
      <c r="J1436">
        <f>IFERROR(IF(C1436="","",C1436)&amp;"","")</f>
        <v/>
      </c>
      <c r="K1436">
        <f>IFERROR(IF(D1436="","",D1436)&amp;"","")</f>
        <v/>
      </c>
      <c r="L1436">
        <f>IFERROR(IF(I1436="","",I1436)&amp;"","")</f>
        <v/>
      </c>
      <c r="M1436">
        <f>IF(J1436="","",IFERROR(VALUE(SUBSTITUTE(SUBSTITUTE(IF(E1436="","",E1436)&amp;"","$",""),",","")),0))</f>
        <v/>
      </c>
      <c r="N1436" s="11">
        <f>IF(J1436="","",IFERROR(VALUE(SUBSTITUTE(SUBSTITUTE(IF(F1436="","",F1436)&amp;"","$",""),",","")),0))</f>
        <v/>
      </c>
      <c r="O1436" s="11">
        <f>IF(J1436="","",M1436*N1436)</f>
        <v/>
      </c>
      <c r="P1436">
        <f>IF(J1436="","",IF(L1436="",1,COUNTIF($L$2:$L$1501,L1436)))</f>
        <v/>
      </c>
      <c r="Q1436" s="11">
        <f>IF(J1436="","",IFERROR(VALUE(SUBSTITUTE(SUBSTITUTE(IF(G1436="","",G1436)&amp;"","$",""),",","")),0)/IF("No"="Yes",P1436,1))</f>
        <v/>
      </c>
      <c r="R1436" s="11">
        <f>IF(J1436="","",IFERROR(VALUE(SUBSTITUTE(SUBSTITUTE(IF(H1436="","",H1436)&amp;"","$",""),",","")),0)/IF("No"="Yes",P1436,1))</f>
        <v/>
      </c>
      <c r="S1436" s="11">
        <f>IF(J1436="","",O1436+Q1436-R1436)</f>
        <v/>
      </c>
      <c r="T1436">
        <f>IF(J1436="","",IFERROR(IF(K1436="",NA(),MATCH(K1436,Products!$B$5:$B$204,0)),IFERROR(MATCH(J1436,Products!$A$5:$A$204,0),"")))</f>
        <v/>
      </c>
      <c r="U1436">
        <f>IF(J1436="","",IF(T1436="","⚠ not in Products",INDEX(Products!$A$5:$A$204,T1436)))</f>
        <v/>
      </c>
      <c r="V1436" s="11">
        <f>IF(J1436="","",S1436*(IFERROR(INDEX(Settings!$B$5:$B$9,MATCH($B1436,Settings!$A$5:$A$9,0)),0)+IFERROR(INDEX(Settings!$E$5:$E$9,MATCH($B1436,Settings!$A$5:$A$9,0)),0)+IFERROR(INDEX(Settings!$G$5:$G$9,MATCH($B1436,Settings!$A$5:$A$9,0)),0))+(IFERROR(INDEX(Settings!$C$5:$C$9,MATCH($B1436,Settings!$A$5:$A$9,0)),0)+IFERROR(INDEX(Settings!$F$5:$F$9,MATCH($B1436,Settings!$A$5:$A$9,0)),0))/P1436+IFERROR(INDEX(Settings!$D$5:$D$9,MATCH($B1436,Settings!$A$5:$A$9,0)),0)*M1436)</f>
        <v/>
      </c>
      <c r="W1436" s="11">
        <f>IF(J1436="","",IF(T1436="",0,M1436*INDEX(Products!$I$5:$I$204,T1436)))</f>
        <v/>
      </c>
      <c r="X1436" s="11">
        <f>IF(J1436="","",IF(T1436="",0,S1436*INDEX(Products!$H$5:$H$204,T1436)))</f>
        <v/>
      </c>
      <c r="Y1436" s="11">
        <f>IF(J1436="","",S1436-V1436-W1436-X1436)</f>
        <v/>
      </c>
    </row>
    <row r="1437">
      <c r="A1437" s="19" t="n"/>
      <c r="B1437" s="19" t="n"/>
      <c r="C1437" s="19" t="n"/>
      <c r="D1437" s="19" t="n"/>
      <c r="E1437" s="19" t="n"/>
      <c r="F1437" s="20" t="n"/>
      <c r="G1437" s="20" t="n"/>
      <c r="H1437" s="20" t="n"/>
      <c r="I1437" s="19" t="n"/>
      <c r="J1437">
        <f>IFERROR(IF(C1437="","",C1437)&amp;"","")</f>
        <v/>
      </c>
      <c r="K1437">
        <f>IFERROR(IF(D1437="","",D1437)&amp;"","")</f>
        <v/>
      </c>
      <c r="L1437">
        <f>IFERROR(IF(I1437="","",I1437)&amp;"","")</f>
        <v/>
      </c>
      <c r="M1437">
        <f>IF(J1437="","",IFERROR(VALUE(SUBSTITUTE(SUBSTITUTE(IF(E1437="","",E1437)&amp;"","$",""),",","")),0))</f>
        <v/>
      </c>
      <c r="N1437" s="11">
        <f>IF(J1437="","",IFERROR(VALUE(SUBSTITUTE(SUBSTITUTE(IF(F1437="","",F1437)&amp;"","$",""),",","")),0))</f>
        <v/>
      </c>
      <c r="O1437" s="11">
        <f>IF(J1437="","",M1437*N1437)</f>
        <v/>
      </c>
      <c r="P1437">
        <f>IF(J1437="","",IF(L1437="",1,COUNTIF($L$2:$L$1501,L1437)))</f>
        <v/>
      </c>
      <c r="Q1437" s="11">
        <f>IF(J1437="","",IFERROR(VALUE(SUBSTITUTE(SUBSTITUTE(IF(G1437="","",G1437)&amp;"","$",""),",","")),0)/IF("No"="Yes",P1437,1))</f>
        <v/>
      </c>
      <c r="R1437" s="11">
        <f>IF(J1437="","",IFERROR(VALUE(SUBSTITUTE(SUBSTITUTE(IF(H1437="","",H1437)&amp;"","$",""),",","")),0)/IF("No"="Yes",P1437,1))</f>
        <v/>
      </c>
      <c r="S1437" s="11">
        <f>IF(J1437="","",O1437+Q1437-R1437)</f>
        <v/>
      </c>
      <c r="T1437">
        <f>IF(J1437="","",IFERROR(IF(K1437="",NA(),MATCH(K1437,Products!$B$5:$B$204,0)),IFERROR(MATCH(J1437,Products!$A$5:$A$204,0),"")))</f>
        <v/>
      </c>
      <c r="U1437">
        <f>IF(J1437="","",IF(T1437="","⚠ not in Products",INDEX(Products!$A$5:$A$204,T1437)))</f>
        <v/>
      </c>
      <c r="V1437" s="11">
        <f>IF(J1437="","",S1437*(IFERROR(INDEX(Settings!$B$5:$B$9,MATCH($B1437,Settings!$A$5:$A$9,0)),0)+IFERROR(INDEX(Settings!$E$5:$E$9,MATCH($B1437,Settings!$A$5:$A$9,0)),0)+IFERROR(INDEX(Settings!$G$5:$G$9,MATCH($B1437,Settings!$A$5:$A$9,0)),0))+(IFERROR(INDEX(Settings!$C$5:$C$9,MATCH($B1437,Settings!$A$5:$A$9,0)),0)+IFERROR(INDEX(Settings!$F$5:$F$9,MATCH($B1437,Settings!$A$5:$A$9,0)),0))/P1437+IFERROR(INDEX(Settings!$D$5:$D$9,MATCH($B1437,Settings!$A$5:$A$9,0)),0)*M1437)</f>
        <v/>
      </c>
      <c r="W1437" s="11">
        <f>IF(J1437="","",IF(T1437="",0,M1437*INDEX(Products!$I$5:$I$204,T1437)))</f>
        <v/>
      </c>
      <c r="X1437" s="11">
        <f>IF(J1437="","",IF(T1437="",0,S1437*INDEX(Products!$H$5:$H$204,T1437)))</f>
        <v/>
      </c>
      <c r="Y1437" s="11">
        <f>IF(J1437="","",S1437-V1437-W1437-X1437)</f>
        <v/>
      </c>
    </row>
    <row r="1438">
      <c r="A1438" s="19" t="n"/>
      <c r="B1438" s="19" t="n"/>
      <c r="C1438" s="19" t="n"/>
      <c r="D1438" s="19" t="n"/>
      <c r="E1438" s="19" t="n"/>
      <c r="F1438" s="20" t="n"/>
      <c r="G1438" s="20" t="n"/>
      <c r="H1438" s="20" t="n"/>
      <c r="I1438" s="19" t="n"/>
      <c r="J1438">
        <f>IFERROR(IF(C1438="","",C1438)&amp;"","")</f>
        <v/>
      </c>
      <c r="K1438">
        <f>IFERROR(IF(D1438="","",D1438)&amp;"","")</f>
        <v/>
      </c>
      <c r="L1438">
        <f>IFERROR(IF(I1438="","",I1438)&amp;"","")</f>
        <v/>
      </c>
      <c r="M1438">
        <f>IF(J1438="","",IFERROR(VALUE(SUBSTITUTE(SUBSTITUTE(IF(E1438="","",E1438)&amp;"","$",""),",","")),0))</f>
        <v/>
      </c>
      <c r="N1438" s="11">
        <f>IF(J1438="","",IFERROR(VALUE(SUBSTITUTE(SUBSTITUTE(IF(F1438="","",F1438)&amp;"","$",""),",","")),0))</f>
        <v/>
      </c>
      <c r="O1438" s="11">
        <f>IF(J1438="","",M1438*N1438)</f>
        <v/>
      </c>
      <c r="P1438">
        <f>IF(J1438="","",IF(L1438="",1,COUNTIF($L$2:$L$1501,L1438)))</f>
        <v/>
      </c>
      <c r="Q1438" s="11">
        <f>IF(J1438="","",IFERROR(VALUE(SUBSTITUTE(SUBSTITUTE(IF(G1438="","",G1438)&amp;"","$",""),",","")),0)/IF("No"="Yes",P1438,1))</f>
        <v/>
      </c>
      <c r="R1438" s="11">
        <f>IF(J1438="","",IFERROR(VALUE(SUBSTITUTE(SUBSTITUTE(IF(H1438="","",H1438)&amp;"","$",""),",","")),0)/IF("No"="Yes",P1438,1))</f>
        <v/>
      </c>
      <c r="S1438" s="11">
        <f>IF(J1438="","",O1438+Q1438-R1438)</f>
        <v/>
      </c>
      <c r="T1438">
        <f>IF(J1438="","",IFERROR(IF(K1438="",NA(),MATCH(K1438,Products!$B$5:$B$204,0)),IFERROR(MATCH(J1438,Products!$A$5:$A$204,0),"")))</f>
        <v/>
      </c>
      <c r="U1438">
        <f>IF(J1438="","",IF(T1438="","⚠ not in Products",INDEX(Products!$A$5:$A$204,T1438)))</f>
        <v/>
      </c>
      <c r="V1438" s="11">
        <f>IF(J1438="","",S1438*(IFERROR(INDEX(Settings!$B$5:$B$9,MATCH($B1438,Settings!$A$5:$A$9,0)),0)+IFERROR(INDEX(Settings!$E$5:$E$9,MATCH($B1438,Settings!$A$5:$A$9,0)),0)+IFERROR(INDEX(Settings!$G$5:$G$9,MATCH($B1438,Settings!$A$5:$A$9,0)),0))+(IFERROR(INDEX(Settings!$C$5:$C$9,MATCH($B1438,Settings!$A$5:$A$9,0)),0)+IFERROR(INDEX(Settings!$F$5:$F$9,MATCH($B1438,Settings!$A$5:$A$9,0)),0))/P1438+IFERROR(INDEX(Settings!$D$5:$D$9,MATCH($B1438,Settings!$A$5:$A$9,0)),0)*M1438)</f>
        <v/>
      </c>
      <c r="W1438" s="11">
        <f>IF(J1438="","",IF(T1438="",0,M1438*INDEX(Products!$I$5:$I$204,T1438)))</f>
        <v/>
      </c>
      <c r="X1438" s="11">
        <f>IF(J1438="","",IF(T1438="",0,S1438*INDEX(Products!$H$5:$H$204,T1438)))</f>
        <v/>
      </c>
      <c r="Y1438" s="11">
        <f>IF(J1438="","",S1438-V1438-W1438-X1438)</f>
        <v/>
      </c>
    </row>
    <row r="1439">
      <c r="A1439" s="19" t="n"/>
      <c r="B1439" s="19" t="n"/>
      <c r="C1439" s="19" t="n"/>
      <c r="D1439" s="19" t="n"/>
      <c r="E1439" s="19" t="n"/>
      <c r="F1439" s="20" t="n"/>
      <c r="G1439" s="20" t="n"/>
      <c r="H1439" s="20" t="n"/>
      <c r="I1439" s="19" t="n"/>
      <c r="J1439">
        <f>IFERROR(IF(C1439="","",C1439)&amp;"","")</f>
        <v/>
      </c>
      <c r="K1439">
        <f>IFERROR(IF(D1439="","",D1439)&amp;"","")</f>
        <v/>
      </c>
      <c r="L1439">
        <f>IFERROR(IF(I1439="","",I1439)&amp;"","")</f>
        <v/>
      </c>
      <c r="M1439">
        <f>IF(J1439="","",IFERROR(VALUE(SUBSTITUTE(SUBSTITUTE(IF(E1439="","",E1439)&amp;"","$",""),",","")),0))</f>
        <v/>
      </c>
      <c r="N1439" s="11">
        <f>IF(J1439="","",IFERROR(VALUE(SUBSTITUTE(SUBSTITUTE(IF(F1439="","",F1439)&amp;"","$",""),",","")),0))</f>
        <v/>
      </c>
      <c r="O1439" s="11">
        <f>IF(J1439="","",M1439*N1439)</f>
        <v/>
      </c>
      <c r="P1439">
        <f>IF(J1439="","",IF(L1439="",1,COUNTIF($L$2:$L$1501,L1439)))</f>
        <v/>
      </c>
      <c r="Q1439" s="11">
        <f>IF(J1439="","",IFERROR(VALUE(SUBSTITUTE(SUBSTITUTE(IF(G1439="","",G1439)&amp;"","$",""),",","")),0)/IF("No"="Yes",P1439,1))</f>
        <v/>
      </c>
      <c r="R1439" s="11">
        <f>IF(J1439="","",IFERROR(VALUE(SUBSTITUTE(SUBSTITUTE(IF(H1439="","",H1439)&amp;"","$",""),",","")),0)/IF("No"="Yes",P1439,1))</f>
        <v/>
      </c>
      <c r="S1439" s="11">
        <f>IF(J1439="","",O1439+Q1439-R1439)</f>
        <v/>
      </c>
      <c r="T1439">
        <f>IF(J1439="","",IFERROR(IF(K1439="",NA(),MATCH(K1439,Products!$B$5:$B$204,0)),IFERROR(MATCH(J1439,Products!$A$5:$A$204,0),"")))</f>
        <v/>
      </c>
      <c r="U1439">
        <f>IF(J1439="","",IF(T1439="","⚠ not in Products",INDEX(Products!$A$5:$A$204,T1439)))</f>
        <v/>
      </c>
      <c r="V1439" s="11">
        <f>IF(J1439="","",S1439*(IFERROR(INDEX(Settings!$B$5:$B$9,MATCH($B1439,Settings!$A$5:$A$9,0)),0)+IFERROR(INDEX(Settings!$E$5:$E$9,MATCH($B1439,Settings!$A$5:$A$9,0)),0)+IFERROR(INDEX(Settings!$G$5:$G$9,MATCH($B1439,Settings!$A$5:$A$9,0)),0))+(IFERROR(INDEX(Settings!$C$5:$C$9,MATCH($B1439,Settings!$A$5:$A$9,0)),0)+IFERROR(INDEX(Settings!$F$5:$F$9,MATCH($B1439,Settings!$A$5:$A$9,0)),0))/P1439+IFERROR(INDEX(Settings!$D$5:$D$9,MATCH($B1439,Settings!$A$5:$A$9,0)),0)*M1439)</f>
        <v/>
      </c>
      <c r="W1439" s="11">
        <f>IF(J1439="","",IF(T1439="",0,M1439*INDEX(Products!$I$5:$I$204,T1439)))</f>
        <v/>
      </c>
      <c r="X1439" s="11">
        <f>IF(J1439="","",IF(T1439="",0,S1439*INDEX(Products!$H$5:$H$204,T1439)))</f>
        <v/>
      </c>
      <c r="Y1439" s="11">
        <f>IF(J1439="","",S1439-V1439-W1439-X1439)</f>
        <v/>
      </c>
    </row>
    <row r="1440">
      <c r="A1440" s="19" t="n"/>
      <c r="B1440" s="19" t="n"/>
      <c r="C1440" s="19" t="n"/>
      <c r="D1440" s="19" t="n"/>
      <c r="E1440" s="19" t="n"/>
      <c r="F1440" s="20" t="n"/>
      <c r="G1440" s="20" t="n"/>
      <c r="H1440" s="20" t="n"/>
      <c r="I1440" s="19" t="n"/>
      <c r="J1440">
        <f>IFERROR(IF(C1440="","",C1440)&amp;"","")</f>
        <v/>
      </c>
      <c r="K1440">
        <f>IFERROR(IF(D1440="","",D1440)&amp;"","")</f>
        <v/>
      </c>
      <c r="L1440">
        <f>IFERROR(IF(I1440="","",I1440)&amp;"","")</f>
        <v/>
      </c>
      <c r="M1440">
        <f>IF(J1440="","",IFERROR(VALUE(SUBSTITUTE(SUBSTITUTE(IF(E1440="","",E1440)&amp;"","$",""),",","")),0))</f>
        <v/>
      </c>
      <c r="N1440" s="11">
        <f>IF(J1440="","",IFERROR(VALUE(SUBSTITUTE(SUBSTITUTE(IF(F1440="","",F1440)&amp;"","$",""),",","")),0))</f>
        <v/>
      </c>
      <c r="O1440" s="11">
        <f>IF(J1440="","",M1440*N1440)</f>
        <v/>
      </c>
      <c r="P1440">
        <f>IF(J1440="","",IF(L1440="",1,COUNTIF($L$2:$L$1501,L1440)))</f>
        <v/>
      </c>
      <c r="Q1440" s="11">
        <f>IF(J1440="","",IFERROR(VALUE(SUBSTITUTE(SUBSTITUTE(IF(G1440="","",G1440)&amp;"","$",""),",","")),0)/IF("No"="Yes",P1440,1))</f>
        <v/>
      </c>
      <c r="R1440" s="11">
        <f>IF(J1440="","",IFERROR(VALUE(SUBSTITUTE(SUBSTITUTE(IF(H1440="","",H1440)&amp;"","$",""),",","")),0)/IF("No"="Yes",P1440,1))</f>
        <v/>
      </c>
      <c r="S1440" s="11">
        <f>IF(J1440="","",O1440+Q1440-R1440)</f>
        <v/>
      </c>
      <c r="T1440">
        <f>IF(J1440="","",IFERROR(IF(K1440="",NA(),MATCH(K1440,Products!$B$5:$B$204,0)),IFERROR(MATCH(J1440,Products!$A$5:$A$204,0),"")))</f>
        <v/>
      </c>
      <c r="U1440">
        <f>IF(J1440="","",IF(T1440="","⚠ not in Products",INDEX(Products!$A$5:$A$204,T1440)))</f>
        <v/>
      </c>
      <c r="V1440" s="11">
        <f>IF(J1440="","",S1440*(IFERROR(INDEX(Settings!$B$5:$B$9,MATCH($B1440,Settings!$A$5:$A$9,0)),0)+IFERROR(INDEX(Settings!$E$5:$E$9,MATCH($B1440,Settings!$A$5:$A$9,0)),0)+IFERROR(INDEX(Settings!$G$5:$G$9,MATCH($B1440,Settings!$A$5:$A$9,0)),0))+(IFERROR(INDEX(Settings!$C$5:$C$9,MATCH($B1440,Settings!$A$5:$A$9,0)),0)+IFERROR(INDEX(Settings!$F$5:$F$9,MATCH($B1440,Settings!$A$5:$A$9,0)),0))/P1440+IFERROR(INDEX(Settings!$D$5:$D$9,MATCH($B1440,Settings!$A$5:$A$9,0)),0)*M1440)</f>
        <v/>
      </c>
      <c r="W1440" s="11">
        <f>IF(J1440="","",IF(T1440="",0,M1440*INDEX(Products!$I$5:$I$204,T1440)))</f>
        <v/>
      </c>
      <c r="X1440" s="11">
        <f>IF(J1440="","",IF(T1440="",0,S1440*INDEX(Products!$H$5:$H$204,T1440)))</f>
        <v/>
      </c>
      <c r="Y1440" s="11">
        <f>IF(J1440="","",S1440-V1440-W1440-X1440)</f>
        <v/>
      </c>
    </row>
    <row r="1441">
      <c r="A1441" s="19" t="n"/>
      <c r="B1441" s="19" t="n"/>
      <c r="C1441" s="19" t="n"/>
      <c r="D1441" s="19" t="n"/>
      <c r="E1441" s="19" t="n"/>
      <c r="F1441" s="20" t="n"/>
      <c r="G1441" s="20" t="n"/>
      <c r="H1441" s="20" t="n"/>
      <c r="I1441" s="19" t="n"/>
      <c r="J1441">
        <f>IFERROR(IF(C1441="","",C1441)&amp;"","")</f>
        <v/>
      </c>
      <c r="K1441">
        <f>IFERROR(IF(D1441="","",D1441)&amp;"","")</f>
        <v/>
      </c>
      <c r="L1441">
        <f>IFERROR(IF(I1441="","",I1441)&amp;"","")</f>
        <v/>
      </c>
      <c r="M1441">
        <f>IF(J1441="","",IFERROR(VALUE(SUBSTITUTE(SUBSTITUTE(IF(E1441="","",E1441)&amp;"","$",""),",","")),0))</f>
        <v/>
      </c>
      <c r="N1441" s="11">
        <f>IF(J1441="","",IFERROR(VALUE(SUBSTITUTE(SUBSTITUTE(IF(F1441="","",F1441)&amp;"","$",""),",","")),0))</f>
        <v/>
      </c>
      <c r="O1441" s="11">
        <f>IF(J1441="","",M1441*N1441)</f>
        <v/>
      </c>
      <c r="P1441">
        <f>IF(J1441="","",IF(L1441="",1,COUNTIF($L$2:$L$1501,L1441)))</f>
        <v/>
      </c>
      <c r="Q1441" s="11">
        <f>IF(J1441="","",IFERROR(VALUE(SUBSTITUTE(SUBSTITUTE(IF(G1441="","",G1441)&amp;"","$",""),",","")),0)/IF("No"="Yes",P1441,1))</f>
        <v/>
      </c>
      <c r="R1441" s="11">
        <f>IF(J1441="","",IFERROR(VALUE(SUBSTITUTE(SUBSTITUTE(IF(H1441="","",H1441)&amp;"","$",""),",","")),0)/IF("No"="Yes",P1441,1))</f>
        <v/>
      </c>
      <c r="S1441" s="11">
        <f>IF(J1441="","",O1441+Q1441-R1441)</f>
        <v/>
      </c>
      <c r="T1441">
        <f>IF(J1441="","",IFERROR(IF(K1441="",NA(),MATCH(K1441,Products!$B$5:$B$204,0)),IFERROR(MATCH(J1441,Products!$A$5:$A$204,0),"")))</f>
        <v/>
      </c>
      <c r="U1441">
        <f>IF(J1441="","",IF(T1441="","⚠ not in Products",INDEX(Products!$A$5:$A$204,T1441)))</f>
        <v/>
      </c>
      <c r="V1441" s="11">
        <f>IF(J1441="","",S1441*(IFERROR(INDEX(Settings!$B$5:$B$9,MATCH($B1441,Settings!$A$5:$A$9,0)),0)+IFERROR(INDEX(Settings!$E$5:$E$9,MATCH($B1441,Settings!$A$5:$A$9,0)),0)+IFERROR(INDEX(Settings!$G$5:$G$9,MATCH($B1441,Settings!$A$5:$A$9,0)),0))+(IFERROR(INDEX(Settings!$C$5:$C$9,MATCH($B1441,Settings!$A$5:$A$9,0)),0)+IFERROR(INDEX(Settings!$F$5:$F$9,MATCH($B1441,Settings!$A$5:$A$9,0)),0))/P1441+IFERROR(INDEX(Settings!$D$5:$D$9,MATCH($B1441,Settings!$A$5:$A$9,0)),0)*M1441)</f>
        <v/>
      </c>
      <c r="W1441" s="11">
        <f>IF(J1441="","",IF(T1441="",0,M1441*INDEX(Products!$I$5:$I$204,T1441)))</f>
        <v/>
      </c>
      <c r="X1441" s="11">
        <f>IF(J1441="","",IF(T1441="",0,S1441*INDEX(Products!$H$5:$H$204,T1441)))</f>
        <v/>
      </c>
      <c r="Y1441" s="11">
        <f>IF(J1441="","",S1441-V1441-W1441-X1441)</f>
        <v/>
      </c>
    </row>
    <row r="1442">
      <c r="A1442" s="19" t="n"/>
      <c r="B1442" s="19" t="n"/>
      <c r="C1442" s="19" t="n"/>
      <c r="D1442" s="19" t="n"/>
      <c r="E1442" s="19" t="n"/>
      <c r="F1442" s="20" t="n"/>
      <c r="G1442" s="20" t="n"/>
      <c r="H1442" s="20" t="n"/>
      <c r="I1442" s="19" t="n"/>
      <c r="J1442">
        <f>IFERROR(IF(C1442="","",C1442)&amp;"","")</f>
        <v/>
      </c>
      <c r="K1442">
        <f>IFERROR(IF(D1442="","",D1442)&amp;"","")</f>
        <v/>
      </c>
      <c r="L1442">
        <f>IFERROR(IF(I1442="","",I1442)&amp;"","")</f>
        <v/>
      </c>
      <c r="M1442">
        <f>IF(J1442="","",IFERROR(VALUE(SUBSTITUTE(SUBSTITUTE(IF(E1442="","",E1442)&amp;"","$",""),",","")),0))</f>
        <v/>
      </c>
      <c r="N1442" s="11">
        <f>IF(J1442="","",IFERROR(VALUE(SUBSTITUTE(SUBSTITUTE(IF(F1442="","",F1442)&amp;"","$",""),",","")),0))</f>
        <v/>
      </c>
      <c r="O1442" s="11">
        <f>IF(J1442="","",M1442*N1442)</f>
        <v/>
      </c>
      <c r="P1442">
        <f>IF(J1442="","",IF(L1442="",1,COUNTIF($L$2:$L$1501,L1442)))</f>
        <v/>
      </c>
      <c r="Q1442" s="11">
        <f>IF(J1442="","",IFERROR(VALUE(SUBSTITUTE(SUBSTITUTE(IF(G1442="","",G1442)&amp;"","$",""),",","")),0)/IF("No"="Yes",P1442,1))</f>
        <v/>
      </c>
      <c r="R1442" s="11">
        <f>IF(J1442="","",IFERROR(VALUE(SUBSTITUTE(SUBSTITUTE(IF(H1442="","",H1442)&amp;"","$",""),",","")),0)/IF("No"="Yes",P1442,1))</f>
        <v/>
      </c>
      <c r="S1442" s="11">
        <f>IF(J1442="","",O1442+Q1442-R1442)</f>
        <v/>
      </c>
      <c r="T1442">
        <f>IF(J1442="","",IFERROR(IF(K1442="",NA(),MATCH(K1442,Products!$B$5:$B$204,0)),IFERROR(MATCH(J1442,Products!$A$5:$A$204,0),"")))</f>
        <v/>
      </c>
      <c r="U1442">
        <f>IF(J1442="","",IF(T1442="","⚠ not in Products",INDEX(Products!$A$5:$A$204,T1442)))</f>
        <v/>
      </c>
      <c r="V1442" s="11">
        <f>IF(J1442="","",S1442*(IFERROR(INDEX(Settings!$B$5:$B$9,MATCH($B1442,Settings!$A$5:$A$9,0)),0)+IFERROR(INDEX(Settings!$E$5:$E$9,MATCH($B1442,Settings!$A$5:$A$9,0)),0)+IFERROR(INDEX(Settings!$G$5:$G$9,MATCH($B1442,Settings!$A$5:$A$9,0)),0))+(IFERROR(INDEX(Settings!$C$5:$C$9,MATCH($B1442,Settings!$A$5:$A$9,0)),0)+IFERROR(INDEX(Settings!$F$5:$F$9,MATCH($B1442,Settings!$A$5:$A$9,0)),0))/P1442+IFERROR(INDEX(Settings!$D$5:$D$9,MATCH($B1442,Settings!$A$5:$A$9,0)),0)*M1442)</f>
        <v/>
      </c>
      <c r="W1442" s="11">
        <f>IF(J1442="","",IF(T1442="",0,M1442*INDEX(Products!$I$5:$I$204,T1442)))</f>
        <v/>
      </c>
      <c r="X1442" s="11">
        <f>IF(J1442="","",IF(T1442="",0,S1442*INDEX(Products!$H$5:$H$204,T1442)))</f>
        <v/>
      </c>
      <c r="Y1442" s="11">
        <f>IF(J1442="","",S1442-V1442-W1442-X1442)</f>
        <v/>
      </c>
    </row>
    <row r="1443">
      <c r="A1443" s="19" t="n"/>
      <c r="B1443" s="19" t="n"/>
      <c r="C1443" s="19" t="n"/>
      <c r="D1443" s="19" t="n"/>
      <c r="E1443" s="19" t="n"/>
      <c r="F1443" s="20" t="n"/>
      <c r="G1443" s="20" t="n"/>
      <c r="H1443" s="20" t="n"/>
      <c r="I1443" s="19" t="n"/>
      <c r="J1443">
        <f>IFERROR(IF(C1443="","",C1443)&amp;"","")</f>
        <v/>
      </c>
      <c r="K1443">
        <f>IFERROR(IF(D1443="","",D1443)&amp;"","")</f>
        <v/>
      </c>
      <c r="L1443">
        <f>IFERROR(IF(I1443="","",I1443)&amp;"","")</f>
        <v/>
      </c>
      <c r="M1443">
        <f>IF(J1443="","",IFERROR(VALUE(SUBSTITUTE(SUBSTITUTE(IF(E1443="","",E1443)&amp;"","$",""),",","")),0))</f>
        <v/>
      </c>
      <c r="N1443" s="11">
        <f>IF(J1443="","",IFERROR(VALUE(SUBSTITUTE(SUBSTITUTE(IF(F1443="","",F1443)&amp;"","$",""),",","")),0))</f>
        <v/>
      </c>
      <c r="O1443" s="11">
        <f>IF(J1443="","",M1443*N1443)</f>
        <v/>
      </c>
      <c r="P1443">
        <f>IF(J1443="","",IF(L1443="",1,COUNTIF($L$2:$L$1501,L1443)))</f>
        <v/>
      </c>
      <c r="Q1443" s="11">
        <f>IF(J1443="","",IFERROR(VALUE(SUBSTITUTE(SUBSTITUTE(IF(G1443="","",G1443)&amp;"","$",""),",","")),0)/IF("No"="Yes",P1443,1))</f>
        <v/>
      </c>
      <c r="R1443" s="11">
        <f>IF(J1443="","",IFERROR(VALUE(SUBSTITUTE(SUBSTITUTE(IF(H1443="","",H1443)&amp;"","$",""),",","")),0)/IF("No"="Yes",P1443,1))</f>
        <v/>
      </c>
      <c r="S1443" s="11">
        <f>IF(J1443="","",O1443+Q1443-R1443)</f>
        <v/>
      </c>
      <c r="T1443">
        <f>IF(J1443="","",IFERROR(IF(K1443="",NA(),MATCH(K1443,Products!$B$5:$B$204,0)),IFERROR(MATCH(J1443,Products!$A$5:$A$204,0),"")))</f>
        <v/>
      </c>
      <c r="U1443">
        <f>IF(J1443="","",IF(T1443="","⚠ not in Products",INDEX(Products!$A$5:$A$204,T1443)))</f>
        <v/>
      </c>
      <c r="V1443" s="11">
        <f>IF(J1443="","",S1443*(IFERROR(INDEX(Settings!$B$5:$B$9,MATCH($B1443,Settings!$A$5:$A$9,0)),0)+IFERROR(INDEX(Settings!$E$5:$E$9,MATCH($B1443,Settings!$A$5:$A$9,0)),0)+IFERROR(INDEX(Settings!$G$5:$G$9,MATCH($B1443,Settings!$A$5:$A$9,0)),0))+(IFERROR(INDEX(Settings!$C$5:$C$9,MATCH($B1443,Settings!$A$5:$A$9,0)),0)+IFERROR(INDEX(Settings!$F$5:$F$9,MATCH($B1443,Settings!$A$5:$A$9,0)),0))/P1443+IFERROR(INDEX(Settings!$D$5:$D$9,MATCH($B1443,Settings!$A$5:$A$9,0)),0)*M1443)</f>
        <v/>
      </c>
      <c r="W1443" s="11">
        <f>IF(J1443="","",IF(T1443="",0,M1443*INDEX(Products!$I$5:$I$204,T1443)))</f>
        <v/>
      </c>
      <c r="X1443" s="11">
        <f>IF(J1443="","",IF(T1443="",0,S1443*INDEX(Products!$H$5:$H$204,T1443)))</f>
        <v/>
      </c>
      <c r="Y1443" s="11">
        <f>IF(J1443="","",S1443-V1443-W1443-X1443)</f>
        <v/>
      </c>
    </row>
    <row r="1444">
      <c r="A1444" s="19" t="n"/>
      <c r="B1444" s="19" t="n"/>
      <c r="C1444" s="19" t="n"/>
      <c r="D1444" s="19" t="n"/>
      <c r="E1444" s="19" t="n"/>
      <c r="F1444" s="20" t="n"/>
      <c r="G1444" s="20" t="n"/>
      <c r="H1444" s="20" t="n"/>
      <c r="I1444" s="19" t="n"/>
      <c r="J1444">
        <f>IFERROR(IF(C1444="","",C1444)&amp;"","")</f>
        <v/>
      </c>
      <c r="K1444">
        <f>IFERROR(IF(D1444="","",D1444)&amp;"","")</f>
        <v/>
      </c>
      <c r="L1444">
        <f>IFERROR(IF(I1444="","",I1444)&amp;"","")</f>
        <v/>
      </c>
      <c r="M1444">
        <f>IF(J1444="","",IFERROR(VALUE(SUBSTITUTE(SUBSTITUTE(IF(E1444="","",E1444)&amp;"","$",""),",","")),0))</f>
        <v/>
      </c>
      <c r="N1444" s="11">
        <f>IF(J1444="","",IFERROR(VALUE(SUBSTITUTE(SUBSTITUTE(IF(F1444="","",F1444)&amp;"","$",""),",","")),0))</f>
        <v/>
      </c>
      <c r="O1444" s="11">
        <f>IF(J1444="","",M1444*N1444)</f>
        <v/>
      </c>
      <c r="P1444">
        <f>IF(J1444="","",IF(L1444="",1,COUNTIF($L$2:$L$1501,L1444)))</f>
        <v/>
      </c>
      <c r="Q1444" s="11">
        <f>IF(J1444="","",IFERROR(VALUE(SUBSTITUTE(SUBSTITUTE(IF(G1444="","",G1444)&amp;"","$",""),",","")),0)/IF("No"="Yes",P1444,1))</f>
        <v/>
      </c>
      <c r="R1444" s="11">
        <f>IF(J1444="","",IFERROR(VALUE(SUBSTITUTE(SUBSTITUTE(IF(H1444="","",H1444)&amp;"","$",""),",","")),0)/IF("No"="Yes",P1444,1))</f>
        <v/>
      </c>
      <c r="S1444" s="11">
        <f>IF(J1444="","",O1444+Q1444-R1444)</f>
        <v/>
      </c>
      <c r="T1444">
        <f>IF(J1444="","",IFERROR(IF(K1444="",NA(),MATCH(K1444,Products!$B$5:$B$204,0)),IFERROR(MATCH(J1444,Products!$A$5:$A$204,0),"")))</f>
        <v/>
      </c>
      <c r="U1444">
        <f>IF(J1444="","",IF(T1444="","⚠ not in Products",INDEX(Products!$A$5:$A$204,T1444)))</f>
        <v/>
      </c>
      <c r="V1444" s="11">
        <f>IF(J1444="","",S1444*(IFERROR(INDEX(Settings!$B$5:$B$9,MATCH($B1444,Settings!$A$5:$A$9,0)),0)+IFERROR(INDEX(Settings!$E$5:$E$9,MATCH($B1444,Settings!$A$5:$A$9,0)),0)+IFERROR(INDEX(Settings!$G$5:$G$9,MATCH($B1444,Settings!$A$5:$A$9,0)),0))+(IFERROR(INDEX(Settings!$C$5:$C$9,MATCH($B1444,Settings!$A$5:$A$9,0)),0)+IFERROR(INDEX(Settings!$F$5:$F$9,MATCH($B1444,Settings!$A$5:$A$9,0)),0))/P1444+IFERROR(INDEX(Settings!$D$5:$D$9,MATCH($B1444,Settings!$A$5:$A$9,0)),0)*M1444)</f>
        <v/>
      </c>
      <c r="W1444" s="11">
        <f>IF(J1444="","",IF(T1444="",0,M1444*INDEX(Products!$I$5:$I$204,T1444)))</f>
        <v/>
      </c>
      <c r="X1444" s="11">
        <f>IF(J1444="","",IF(T1444="",0,S1444*INDEX(Products!$H$5:$H$204,T1444)))</f>
        <v/>
      </c>
      <c r="Y1444" s="11">
        <f>IF(J1444="","",S1444-V1444-W1444-X1444)</f>
        <v/>
      </c>
    </row>
    <row r="1445">
      <c r="A1445" s="19" t="n"/>
      <c r="B1445" s="19" t="n"/>
      <c r="C1445" s="19" t="n"/>
      <c r="D1445" s="19" t="n"/>
      <c r="E1445" s="19" t="n"/>
      <c r="F1445" s="20" t="n"/>
      <c r="G1445" s="20" t="n"/>
      <c r="H1445" s="20" t="n"/>
      <c r="I1445" s="19" t="n"/>
      <c r="J1445">
        <f>IFERROR(IF(C1445="","",C1445)&amp;"","")</f>
        <v/>
      </c>
      <c r="K1445">
        <f>IFERROR(IF(D1445="","",D1445)&amp;"","")</f>
        <v/>
      </c>
      <c r="L1445">
        <f>IFERROR(IF(I1445="","",I1445)&amp;"","")</f>
        <v/>
      </c>
      <c r="M1445">
        <f>IF(J1445="","",IFERROR(VALUE(SUBSTITUTE(SUBSTITUTE(IF(E1445="","",E1445)&amp;"","$",""),",","")),0))</f>
        <v/>
      </c>
      <c r="N1445" s="11">
        <f>IF(J1445="","",IFERROR(VALUE(SUBSTITUTE(SUBSTITUTE(IF(F1445="","",F1445)&amp;"","$",""),",","")),0))</f>
        <v/>
      </c>
      <c r="O1445" s="11">
        <f>IF(J1445="","",M1445*N1445)</f>
        <v/>
      </c>
      <c r="P1445">
        <f>IF(J1445="","",IF(L1445="",1,COUNTIF($L$2:$L$1501,L1445)))</f>
        <v/>
      </c>
      <c r="Q1445" s="11">
        <f>IF(J1445="","",IFERROR(VALUE(SUBSTITUTE(SUBSTITUTE(IF(G1445="","",G1445)&amp;"","$",""),",","")),0)/IF("No"="Yes",P1445,1))</f>
        <v/>
      </c>
      <c r="R1445" s="11">
        <f>IF(J1445="","",IFERROR(VALUE(SUBSTITUTE(SUBSTITUTE(IF(H1445="","",H1445)&amp;"","$",""),",","")),0)/IF("No"="Yes",P1445,1))</f>
        <v/>
      </c>
      <c r="S1445" s="11">
        <f>IF(J1445="","",O1445+Q1445-R1445)</f>
        <v/>
      </c>
      <c r="T1445">
        <f>IF(J1445="","",IFERROR(IF(K1445="",NA(),MATCH(K1445,Products!$B$5:$B$204,0)),IFERROR(MATCH(J1445,Products!$A$5:$A$204,0),"")))</f>
        <v/>
      </c>
      <c r="U1445">
        <f>IF(J1445="","",IF(T1445="","⚠ not in Products",INDEX(Products!$A$5:$A$204,T1445)))</f>
        <v/>
      </c>
      <c r="V1445" s="11">
        <f>IF(J1445="","",S1445*(IFERROR(INDEX(Settings!$B$5:$B$9,MATCH($B1445,Settings!$A$5:$A$9,0)),0)+IFERROR(INDEX(Settings!$E$5:$E$9,MATCH($B1445,Settings!$A$5:$A$9,0)),0)+IFERROR(INDEX(Settings!$G$5:$G$9,MATCH($B1445,Settings!$A$5:$A$9,0)),0))+(IFERROR(INDEX(Settings!$C$5:$C$9,MATCH($B1445,Settings!$A$5:$A$9,0)),0)+IFERROR(INDEX(Settings!$F$5:$F$9,MATCH($B1445,Settings!$A$5:$A$9,0)),0))/P1445+IFERROR(INDEX(Settings!$D$5:$D$9,MATCH($B1445,Settings!$A$5:$A$9,0)),0)*M1445)</f>
        <v/>
      </c>
      <c r="W1445" s="11">
        <f>IF(J1445="","",IF(T1445="",0,M1445*INDEX(Products!$I$5:$I$204,T1445)))</f>
        <v/>
      </c>
      <c r="X1445" s="11">
        <f>IF(J1445="","",IF(T1445="",0,S1445*INDEX(Products!$H$5:$H$204,T1445)))</f>
        <v/>
      </c>
      <c r="Y1445" s="11">
        <f>IF(J1445="","",S1445-V1445-W1445-X1445)</f>
        <v/>
      </c>
    </row>
    <row r="1446">
      <c r="A1446" s="19" t="n"/>
      <c r="B1446" s="19" t="n"/>
      <c r="C1446" s="19" t="n"/>
      <c r="D1446" s="19" t="n"/>
      <c r="E1446" s="19" t="n"/>
      <c r="F1446" s="20" t="n"/>
      <c r="G1446" s="20" t="n"/>
      <c r="H1446" s="20" t="n"/>
      <c r="I1446" s="19" t="n"/>
      <c r="J1446">
        <f>IFERROR(IF(C1446="","",C1446)&amp;"","")</f>
        <v/>
      </c>
      <c r="K1446">
        <f>IFERROR(IF(D1446="","",D1446)&amp;"","")</f>
        <v/>
      </c>
      <c r="L1446">
        <f>IFERROR(IF(I1446="","",I1446)&amp;"","")</f>
        <v/>
      </c>
      <c r="M1446">
        <f>IF(J1446="","",IFERROR(VALUE(SUBSTITUTE(SUBSTITUTE(IF(E1446="","",E1446)&amp;"","$",""),",","")),0))</f>
        <v/>
      </c>
      <c r="N1446" s="11">
        <f>IF(J1446="","",IFERROR(VALUE(SUBSTITUTE(SUBSTITUTE(IF(F1446="","",F1446)&amp;"","$",""),",","")),0))</f>
        <v/>
      </c>
      <c r="O1446" s="11">
        <f>IF(J1446="","",M1446*N1446)</f>
        <v/>
      </c>
      <c r="P1446">
        <f>IF(J1446="","",IF(L1446="",1,COUNTIF($L$2:$L$1501,L1446)))</f>
        <v/>
      </c>
      <c r="Q1446" s="11">
        <f>IF(J1446="","",IFERROR(VALUE(SUBSTITUTE(SUBSTITUTE(IF(G1446="","",G1446)&amp;"","$",""),",","")),0)/IF("No"="Yes",P1446,1))</f>
        <v/>
      </c>
      <c r="R1446" s="11">
        <f>IF(J1446="","",IFERROR(VALUE(SUBSTITUTE(SUBSTITUTE(IF(H1446="","",H1446)&amp;"","$",""),",","")),0)/IF("No"="Yes",P1446,1))</f>
        <v/>
      </c>
      <c r="S1446" s="11">
        <f>IF(J1446="","",O1446+Q1446-R1446)</f>
        <v/>
      </c>
      <c r="T1446">
        <f>IF(J1446="","",IFERROR(IF(K1446="",NA(),MATCH(K1446,Products!$B$5:$B$204,0)),IFERROR(MATCH(J1446,Products!$A$5:$A$204,0),"")))</f>
        <v/>
      </c>
      <c r="U1446">
        <f>IF(J1446="","",IF(T1446="","⚠ not in Products",INDEX(Products!$A$5:$A$204,T1446)))</f>
        <v/>
      </c>
      <c r="V1446" s="11">
        <f>IF(J1446="","",S1446*(IFERROR(INDEX(Settings!$B$5:$B$9,MATCH($B1446,Settings!$A$5:$A$9,0)),0)+IFERROR(INDEX(Settings!$E$5:$E$9,MATCH($B1446,Settings!$A$5:$A$9,0)),0)+IFERROR(INDEX(Settings!$G$5:$G$9,MATCH($B1446,Settings!$A$5:$A$9,0)),0))+(IFERROR(INDEX(Settings!$C$5:$C$9,MATCH($B1446,Settings!$A$5:$A$9,0)),0)+IFERROR(INDEX(Settings!$F$5:$F$9,MATCH($B1446,Settings!$A$5:$A$9,0)),0))/P1446+IFERROR(INDEX(Settings!$D$5:$D$9,MATCH($B1446,Settings!$A$5:$A$9,0)),0)*M1446)</f>
        <v/>
      </c>
      <c r="W1446" s="11">
        <f>IF(J1446="","",IF(T1446="",0,M1446*INDEX(Products!$I$5:$I$204,T1446)))</f>
        <v/>
      </c>
      <c r="X1446" s="11">
        <f>IF(J1446="","",IF(T1446="",0,S1446*INDEX(Products!$H$5:$H$204,T1446)))</f>
        <v/>
      </c>
      <c r="Y1446" s="11">
        <f>IF(J1446="","",S1446-V1446-W1446-X1446)</f>
        <v/>
      </c>
    </row>
    <row r="1447">
      <c r="A1447" s="19" t="n"/>
      <c r="B1447" s="19" t="n"/>
      <c r="C1447" s="19" t="n"/>
      <c r="D1447" s="19" t="n"/>
      <c r="E1447" s="19" t="n"/>
      <c r="F1447" s="20" t="n"/>
      <c r="G1447" s="20" t="n"/>
      <c r="H1447" s="20" t="n"/>
      <c r="I1447" s="19" t="n"/>
      <c r="J1447">
        <f>IFERROR(IF(C1447="","",C1447)&amp;"","")</f>
        <v/>
      </c>
      <c r="K1447">
        <f>IFERROR(IF(D1447="","",D1447)&amp;"","")</f>
        <v/>
      </c>
      <c r="L1447">
        <f>IFERROR(IF(I1447="","",I1447)&amp;"","")</f>
        <v/>
      </c>
      <c r="M1447">
        <f>IF(J1447="","",IFERROR(VALUE(SUBSTITUTE(SUBSTITUTE(IF(E1447="","",E1447)&amp;"","$",""),",","")),0))</f>
        <v/>
      </c>
      <c r="N1447" s="11">
        <f>IF(J1447="","",IFERROR(VALUE(SUBSTITUTE(SUBSTITUTE(IF(F1447="","",F1447)&amp;"","$",""),",","")),0))</f>
        <v/>
      </c>
      <c r="O1447" s="11">
        <f>IF(J1447="","",M1447*N1447)</f>
        <v/>
      </c>
      <c r="P1447">
        <f>IF(J1447="","",IF(L1447="",1,COUNTIF($L$2:$L$1501,L1447)))</f>
        <v/>
      </c>
      <c r="Q1447" s="11">
        <f>IF(J1447="","",IFERROR(VALUE(SUBSTITUTE(SUBSTITUTE(IF(G1447="","",G1447)&amp;"","$",""),",","")),0)/IF("No"="Yes",P1447,1))</f>
        <v/>
      </c>
      <c r="R1447" s="11">
        <f>IF(J1447="","",IFERROR(VALUE(SUBSTITUTE(SUBSTITUTE(IF(H1447="","",H1447)&amp;"","$",""),",","")),0)/IF("No"="Yes",P1447,1))</f>
        <v/>
      </c>
      <c r="S1447" s="11">
        <f>IF(J1447="","",O1447+Q1447-R1447)</f>
        <v/>
      </c>
      <c r="T1447">
        <f>IF(J1447="","",IFERROR(IF(K1447="",NA(),MATCH(K1447,Products!$B$5:$B$204,0)),IFERROR(MATCH(J1447,Products!$A$5:$A$204,0),"")))</f>
        <v/>
      </c>
      <c r="U1447">
        <f>IF(J1447="","",IF(T1447="","⚠ not in Products",INDEX(Products!$A$5:$A$204,T1447)))</f>
        <v/>
      </c>
      <c r="V1447" s="11">
        <f>IF(J1447="","",S1447*(IFERROR(INDEX(Settings!$B$5:$B$9,MATCH($B1447,Settings!$A$5:$A$9,0)),0)+IFERROR(INDEX(Settings!$E$5:$E$9,MATCH($B1447,Settings!$A$5:$A$9,0)),0)+IFERROR(INDEX(Settings!$G$5:$G$9,MATCH($B1447,Settings!$A$5:$A$9,0)),0))+(IFERROR(INDEX(Settings!$C$5:$C$9,MATCH($B1447,Settings!$A$5:$A$9,0)),0)+IFERROR(INDEX(Settings!$F$5:$F$9,MATCH($B1447,Settings!$A$5:$A$9,0)),0))/P1447+IFERROR(INDEX(Settings!$D$5:$D$9,MATCH($B1447,Settings!$A$5:$A$9,0)),0)*M1447)</f>
        <v/>
      </c>
      <c r="W1447" s="11">
        <f>IF(J1447="","",IF(T1447="",0,M1447*INDEX(Products!$I$5:$I$204,T1447)))</f>
        <v/>
      </c>
      <c r="X1447" s="11">
        <f>IF(J1447="","",IF(T1447="",0,S1447*INDEX(Products!$H$5:$H$204,T1447)))</f>
        <v/>
      </c>
      <c r="Y1447" s="11">
        <f>IF(J1447="","",S1447-V1447-W1447-X1447)</f>
        <v/>
      </c>
    </row>
    <row r="1448">
      <c r="A1448" s="19" t="n"/>
      <c r="B1448" s="19" t="n"/>
      <c r="C1448" s="19" t="n"/>
      <c r="D1448" s="19" t="n"/>
      <c r="E1448" s="19" t="n"/>
      <c r="F1448" s="20" t="n"/>
      <c r="G1448" s="20" t="n"/>
      <c r="H1448" s="20" t="n"/>
      <c r="I1448" s="19" t="n"/>
      <c r="J1448">
        <f>IFERROR(IF(C1448="","",C1448)&amp;"","")</f>
        <v/>
      </c>
      <c r="K1448">
        <f>IFERROR(IF(D1448="","",D1448)&amp;"","")</f>
        <v/>
      </c>
      <c r="L1448">
        <f>IFERROR(IF(I1448="","",I1448)&amp;"","")</f>
        <v/>
      </c>
      <c r="M1448">
        <f>IF(J1448="","",IFERROR(VALUE(SUBSTITUTE(SUBSTITUTE(IF(E1448="","",E1448)&amp;"","$",""),",","")),0))</f>
        <v/>
      </c>
      <c r="N1448" s="11">
        <f>IF(J1448="","",IFERROR(VALUE(SUBSTITUTE(SUBSTITUTE(IF(F1448="","",F1448)&amp;"","$",""),",","")),0))</f>
        <v/>
      </c>
      <c r="O1448" s="11">
        <f>IF(J1448="","",M1448*N1448)</f>
        <v/>
      </c>
      <c r="P1448">
        <f>IF(J1448="","",IF(L1448="",1,COUNTIF($L$2:$L$1501,L1448)))</f>
        <v/>
      </c>
      <c r="Q1448" s="11">
        <f>IF(J1448="","",IFERROR(VALUE(SUBSTITUTE(SUBSTITUTE(IF(G1448="","",G1448)&amp;"","$",""),",","")),0)/IF("No"="Yes",P1448,1))</f>
        <v/>
      </c>
      <c r="R1448" s="11">
        <f>IF(J1448="","",IFERROR(VALUE(SUBSTITUTE(SUBSTITUTE(IF(H1448="","",H1448)&amp;"","$",""),",","")),0)/IF("No"="Yes",P1448,1))</f>
        <v/>
      </c>
      <c r="S1448" s="11">
        <f>IF(J1448="","",O1448+Q1448-R1448)</f>
        <v/>
      </c>
      <c r="T1448">
        <f>IF(J1448="","",IFERROR(IF(K1448="",NA(),MATCH(K1448,Products!$B$5:$B$204,0)),IFERROR(MATCH(J1448,Products!$A$5:$A$204,0),"")))</f>
        <v/>
      </c>
      <c r="U1448">
        <f>IF(J1448="","",IF(T1448="","⚠ not in Products",INDEX(Products!$A$5:$A$204,T1448)))</f>
        <v/>
      </c>
      <c r="V1448" s="11">
        <f>IF(J1448="","",S1448*(IFERROR(INDEX(Settings!$B$5:$B$9,MATCH($B1448,Settings!$A$5:$A$9,0)),0)+IFERROR(INDEX(Settings!$E$5:$E$9,MATCH($B1448,Settings!$A$5:$A$9,0)),0)+IFERROR(INDEX(Settings!$G$5:$G$9,MATCH($B1448,Settings!$A$5:$A$9,0)),0))+(IFERROR(INDEX(Settings!$C$5:$C$9,MATCH($B1448,Settings!$A$5:$A$9,0)),0)+IFERROR(INDEX(Settings!$F$5:$F$9,MATCH($B1448,Settings!$A$5:$A$9,0)),0))/P1448+IFERROR(INDEX(Settings!$D$5:$D$9,MATCH($B1448,Settings!$A$5:$A$9,0)),0)*M1448)</f>
        <v/>
      </c>
      <c r="W1448" s="11">
        <f>IF(J1448="","",IF(T1448="",0,M1448*INDEX(Products!$I$5:$I$204,T1448)))</f>
        <v/>
      </c>
      <c r="X1448" s="11">
        <f>IF(J1448="","",IF(T1448="",0,S1448*INDEX(Products!$H$5:$H$204,T1448)))</f>
        <v/>
      </c>
      <c r="Y1448" s="11">
        <f>IF(J1448="","",S1448-V1448-W1448-X1448)</f>
        <v/>
      </c>
    </row>
    <row r="1449">
      <c r="A1449" s="19" t="n"/>
      <c r="B1449" s="19" t="n"/>
      <c r="C1449" s="19" t="n"/>
      <c r="D1449" s="19" t="n"/>
      <c r="E1449" s="19" t="n"/>
      <c r="F1449" s="20" t="n"/>
      <c r="G1449" s="20" t="n"/>
      <c r="H1449" s="20" t="n"/>
      <c r="I1449" s="19" t="n"/>
      <c r="J1449">
        <f>IFERROR(IF(C1449="","",C1449)&amp;"","")</f>
        <v/>
      </c>
      <c r="K1449">
        <f>IFERROR(IF(D1449="","",D1449)&amp;"","")</f>
        <v/>
      </c>
      <c r="L1449">
        <f>IFERROR(IF(I1449="","",I1449)&amp;"","")</f>
        <v/>
      </c>
      <c r="M1449">
        <f>IF(J1449="","",IFERROR(VALUE(SUBSTITUTE(SUBSTITUTE(IF(E1449="","",E1449)&amp;"","$",""),",","")),0))</f>
        <v/>
      </c>
      <c r="N1449" s="11">
        <f>IF(J1449="","",IFERROR(VALUE(SUBSTITUTE(SUBSTITUTE(IF(F1449="","",F1449)&amp;"","$",""),",","")),0))</f>
        <v/>
      </c>
      <c r="O1449" s="11">
        <f>IF(J1449="","",M1449*N1449)</f>
        <v/>
      </c>
      <c r="P1449">
        <f>IF(J1449="","",IF(L1449="",1,COUNTIF($L$2:$L$1501,L1449)))</f>
        <v/>
      </c>
      <c r="Q1449" s="11">
        <f>IF(J1449="","",IFERROR(VALUE(SUBSTITUTE(SUBSTITUTE(IF(G1449="","",G1449)&amp;"","$",""),",","")),0)/IF("No"="Yes",P1449,1))</f>
        <v/>
      </c>
      <c r="R1449" s="11">
        <f>IF(J1449="","",IFERROR(VALUE(SUBSTITUTE(SUBSTITUTE(IF(H1449="","",H1449)&amp;"","$",""),",","")),0)/IF("No"="Yes",P1449,1))</f>
        <v/>
      </c>
      <c r="S1449" s="11">
        <f>IF(J1449="","",O1449+Q1449-R1449)</f>
        <v/>
      </c>
      <c r="T1449">
        <f>IF(J1449="","",IFERROR(IF(K1449="",NA(),MATCH(K1449,Products!$B$5:$B$204,0)),IFERROR(MATCH(J1449,Products!$A$5:$A$204,0),"")))</f>
        <v/>
      </c>
      <c r="U1449">
        <f>IF(J1449="","",IF(T1449="","⚠ not in Products",INDEX(Products!$A$5:$A$204,T1449)))</f>
        <v/>
      </c>
      <c r="V1449" s="11">
        <f>IF(J1449="","",S1449*(IFERROR(INDEX(Settings!$B$5:$B$9,MATCH($B1449,Settings!$A$5:$A$9,0)),0)+IFERROR(INDEX(Settings!$E$5:$E$9,MATCH($B1449,Settings!$A$5:$A$9,0)),0)+IFERROR(INDEX(Settings!$G$5:$G$9,MATCH($B1449,Settings!$A$5:$A$9,0)),0))+(IFERROR(INDEX(Settings!$C$5:$C$9,MATCH($B1449,Settings!$A$5:$A$9,0)),0)+IFERROR(INDEX(Settings!$F$5:$F$9,MATCH($B1449,Settings!$A$5:$A$9,0)),0))/P1449+IFERROR(INDEX(Settings!$D$5:$D$9,MATCH($B1449,Settings!$A$5:$A$9,0)),0)*M1449)</f>
        <v/>
      </c>
      <c r="W1449" s="11">
        <f>IF(J1449="","",IF(T1449="",0,M1449*INDEX(Products!$I$5:$I$204,T1449)))</f>
        <v/>
      </c>
      <c r="X1449" s="11">
        <f>IF(J1449="","",IF(T1449="",0,S1449*INDEX(Products!$H$5:$H$204,T1449)))</f>
        <v/>
      </c>
      <c r="Y1449" s="11">
        <f>IF(J1449="","",S1449-V1449-W1449-X1449)</f>
        <v/>
      </c>
    </row>
    <row r="1450">
      <c r="A1450" s="19" t="n"/>
      <c r="B1450" s="19" t="n"/>
      <c r="C1450" s="19" t="n"/>
      <c r="D1450" s="19" t="n"/>
      <c r="E1450" s="19" t="n"/>
      <c r="F1450" s="20" t="n"/>
      <c r="G1450" s="20" t="n"/>
      <c r="H1450" s="20" t="n"/>
      <c r="I1450" s="19" t="n"/>
      <c r="J1450">
        <f>IFERROR(IF(C1450="","",C1450)&amp;"","")</f>
        <v/>
      </c>
      <c r="K1450">
        <f>IFERROR(IF(D1450="","",D1450)&amp;"","")</f>
        <v/>
      </c>
      <c r="L1450">
        <f>IFERROR(IF(I1450="","",I1450)&amp;"","")</f>
        <v/>
      </c>
      <c r="M1450">
        <f>IF(J1450="","",IFERROR(VALUE(SUBSTITUTE(SUBSTITUTE(IF(E1450="","",E1450)&amp;"","$",""),",","")),0))</f>
        <v/>
      </c>
      <c r="N1450" s="11">
        <f>IF(J1450="","",IFERROR(VALUE(SUBSTITUTE(SUBSTITUTE(IF(F1450="","",F1450)&amp;"","$",""),",","")),0))</f>
        <v/>
      </c>
      <c r="O1450" s="11">
        <f>IF(J1450="","",M1450*N1450)</f>
        <v/>
      </c>
      <c r="P1450">
        <f>IF(J1450="","",IF(L1450="",1,COUNTIF($L$2:$L$1501,L1450)))</f>
        <v/>
      </c>
      <c r="Q1450" s="11">
        <f>IF(J1450="","",IFERROR(VALUE(SUBSTITUTE(SUBSTITUTE(IF(G1450="","",G1450)&amp;"","$",""),",","")),0)/IF("No"="Yes",P1450,1))</f>
        <v/>
      </c>
      <c r="R1450" s="11">
        <f>IF(J1450="","",IFERROR(VALUE(SUBSTITUTE(SUBSTITUTE(IF(H1450="","",H1450)&amp;"","$",""),",","")),0)/IF("No"="Yes",P1450,1))</f>
        <v/>
      </c>
      <c r="S1450" s="11">
        <f>IF(J1450="","",O1450+Q1450-R1450)</f>
        <v/>
      </c>
      <c r="T1450">
        <f>IF(J1450="","",IFERROR(IF(K1450="",NA(),MATCH(K1450,Products!$B$5:$B$204,0)),IFERROR(MATCH(J1450,Products!$A$5:$A$204,0),"")))</f>
        <v/>
      </c>
      <c r="U1450">
        <f>IF(J1450="","",IF(T1450="","⚠ not in Products",INDEX(Products!$A$5:$A$204,T1450)))</f>
        <v/>
      </c>
      <c r="V1450" s="11">
        <f>IF(J1450="","",S1450*(IFERROR(INDEX(Settings!$B$5:$B$9,MATCH($B1450,Settings!$A$5:$A$9,0)),0)+IFERROR(INDEX(Settings!$E$5:$E$9,MATCH($B1450,Settings!$A$5:$A$9,0)),0)+IFERROR(INDEX(Settings!$G$5:$G$9,MATCH($B1450,Settings!$A$5:$A$9,0)),0))+(IFERROR(INDEX(Settings!$C$5:$C$9,MATCH($B1450,Settings!$A$5:$A$9,0)),0)+IFERROR(INDEX(Settings!$F$5:$F$9,MATCH($B1450,Settings!$A$5:$A$9,0)),0))/P1450+IFERROR(INDEX(Settings!$D$5:$D$9,MATCH($B1450,Settings!$A$5:$A$9,0)),0)*M1450)</f>
        <v/>
      </c>
      <c r="W1450" s="11">
        <f>IF(J1450="","",IF(T1450="",0,M1450*INDEX(Products!$I$5:$I$204,T1450)))</f>
        <v/>
      </c>
      <c r="X1450" s="11">
        <f>IF(J1450="","",IF(T1450="",0,S1450*INDEX(Products!$H$5:$H$204,T1450)))</f>
        <v/>
      </c>
      <c r="Y1450" s="11">
        <f>IF(J1450="","",S1450-V1450-W1450-X1450)</f>
        <v/>
      </c>
    </row>
    <row r="1451">
      <c r="A1451" s="19" t="n"/>
      <c r="B1451" s="19" t="n"/>
      <c r="C1451" s="19" t="n"/>
      <c r="D1451" s="19" t="n"/>
      <c r="E1451" s="19" t="n"/>
      <c r="F1451" s="20" t="n"/>
      <c r="G1451" s="20" t="n"/>
      <c r="H1451" s="20" t="n"/>
      <c r="I1451" s="19" t="n"/>
      <c r="J1451">
        <f>IFERROR(IF(C1451="","",C1451)&amp;"","")</f>
        <v/>
      </c>
      <c r="K1451">
        <f>IFERROR(IF(D1451="","",D1451)&amp;"","")</f>
        <v/>
      </c>
      <c r="L1451">
        <f>IFERROR(IF(I1451="","",I1451)&amp;"","")</f>
        <v/>
      </c>
      <c r="M1451">
        <f>IF(J1451="","",IFERROR(VALUE(SUBSTITUTE(SUBSTITUTE(IF(E1451="","",E1451)&amp;"","$",""),",","")),0))</f>
        <v/>
      </c>
      <c r="N1451" s="11">
        <f>IF(J1451="","",IFERROR(VALUE(SUBSTITUTE(SUBSTITUTE(IF(F1451="","",F1451)&amp;"","$",""),",","")),0))</f>
        <v/>
      </c>
      <c r="O1451" s="11">
        <f>IF(J1451="","",M1451*N1451)</f>
        <v/>
      </c>
      <c r="P1451">
        <f>IF(J1451="","",IF(L1451="",1,COUNTIF($L$2:$L$1501,L1451)))</f>
        <v/>
      </c>
      <c r="Q1451" s="11">
        <f>IF(J1451="","",IFERROR(VALUE(SUBSTITUTE(SUBSTITUTE(IF(G1451="","",G1451)&amp;"","$",""),",","")),0)/IF("No"="Yes",P1451,1))</f>
        <v/>
      </c>
      <c r="R1451" s="11">
        <f>IF(J1451="","",IFERROR(VALUE(SUBSTITUTE(SUBSTITUTE(IF(H1451="","",H1451)&amp;"","$",""),",","")),0)/IF("No"="Yes",P1451,1))</f>
        <v/>
      </c>
      <c r="S1451" s="11">
        <f>IF(J1451="","",O1451+Q1451-R1451)</f>
        <v/>
      </c>
      <c r="T1451">
        <f>IF(J1451="","",IFERROR(IF(K1451="",NA(),MATCH(K1451,Products!$B$5:$B$204,0)),IFERROR(MATCH(J1451,Products!$A$5:$A$204,0),"")))</f>
        <v/>
      </c>
      <c r="U1451">
        <f>IF(J1451="","",IF(T1451="","⚠ not in Products",INDEX(Products!$A$5:$A$204,T1451)))</f>
        <v/>
      </c>
      <c r="V1451" s="11">
        <f>IF(J1451="","",S1451*(IFERROR(INDEX(Settings!$B$5:$B$9,MATCH($B1451,Settings!$A$5:$A$9,0)),0)+IFERROR(INDEX(Settings!$E$5:$E$9,MATCH($B1451,Settings!$A$5:$A$9,0)),0)+IFERROR(INDEX(Settings!$G$5:$G$9,MATCH($B1451,Settings!$A$5:$A$9,0)),0))+(IFERROR(INDEX(Settings!$C$5:$C$9,MATCH($B1451,Settings!$A$5:$A$9,0)),0)+IFERROR(INDEX(Settings!$F$5:$F$9,MATCH($B1451,Settings!$A$5:$A$9,0)),0))/P1451+IFERROR(INDEX(Settings!$D$5:$D$9,MATCH($B1451,Settings!$A$5:$A$9,0)),0)*M1451)</f>
        <v/>
      </c>
      <c r="W1451" s="11">
        <f>IF(J1451="","",IF(T1451="",0,M1451*INDEX(Products!$I$5:$I$204,T1451)))</f>
        <v/>
      </c>
      <c r="X1451" s="11">
        <f>IF(J1451="","",IF(T1451="",0,S1451*INDEX(Products!$H$5:$H$204,T1451)))</f>
        <v/>
      </c>
      <c r="Y1451" s="11">
        <f>IF(J1451="","",S1451-V1451-W1451-X1451)</f>
        <v/>
      </c>
    </row>
    <row r="1452">
      <c r="A1452" s="19" t="n"/>
      <c r="B1452" s="19" t="n"/>
      <c r="C1452" s="19" t="n"/>
      <c r="D1452" s="19" t="n"/>
      <c r="E1452" s="19" t="n"/>
      <c r="F1452" s="20" t="n"/>
      <c r="G1452" s="20" t="n"/>
      <c r="H1452" s="20" t="n"/>
      <c r="I1452" s="19" t="n"/>
      <c r="J1452">
        <f>IFERROR(IF(C1452="","",C1452)&amp;"","")</f>
        <v/>
      </c>
      <c r="K1452">
        <f>IFERROR(IF(D1452="","",D1452)&amp;"","")</f>
        <v/>
      </c>
      <c r="L1452">
        <f>IFERROR(IF(I1452="","",I1452)&amp;"","")</f>
        <v/>
      </c>
      <c r="M1452">
        <f>IF(J1452="","",IFERROR(VALUE(SUBSTITUTE(SUBSTITUTE(IF(E1452="","",E1452)&amp;"","$",""),",","")),0))</f>
        <v/>
      </c>
      <c r="N1452" s="11">
        <f>IF(J1452="","",IFERROR(VALUE(SUBSTITUTE(SUBSTITUTE(IF(F1452="","",F1452)&amp;"","$",""),",","")),0))</f>
        <v/>
      </c>
      <c r="O1452" s="11">
        <f>IF(J1452="","",M1452*N1452)</f>
        <v/>
      </c>
      <c r="P1452">
        <f>IF(J1452="","",IF(L1452="",1,COUNTIF($L$2:$L$1501,L1452)))</f>
        <v/>
      </c>
      <c r="Q1452" s="11">
        <f>IF(J1452="","",IFERROR(VALUE(SUBSTITUTE(SUBSTITUTE(IF(G1452="","",G1452)&amp;"","$",""),",","")),0)/IF("No"="Yes",P1452,1))</f>
        <v/>
      </c>
      <c r="R1452" s="11">
        <f>IF(J1452="","",IFERROR(VALUE(SUBSTITUTE(SUBSTITUTE(IF(H1452="","",H1452)&amp;"","$",""),",","")),0)/IF("No"="Yes",P1452,1))</f>
        <v/>
      </c>
      <c r="S1452" s="11">
        <f>IF(J1452="","",O1452+Q1452-R1452)</f>
        <v/>
      </c>
      <c r="T1452">
        <f>IF(J1452="","",IFERROR(IF(K1452="",NA(),MATCH(K1452,Products!$B$5:$B$204,0)),IFERROR(MATCH(J1452,Products!$A$5:$A$204,0),"")))</f>
        <v/>
      </c>
      <c r="U1452">
        <f>IF(J1452="","",IF(T1452="","⚠ not in Products",INDEX(Products!$A$5:$A$204,T1452)))</f>
        <v/>
      </c>
      <c r="V1452" s="11">
        <f>IF(J1452="","",S1452*(IFERROR(INDEX(Settings!$B$5:$B$9,MATCH($B1452,Settings!$A$5:$A$9,0)),0)+IFERROR(INDEX(Settings!$E$5:$E$9,MATCH($B1452,Settings!$A$5:$A$9,0)),0)+IFERROR(INDEX(Settings!$G$5:$G$9,MATCH($B1452,Settings!$A$5:$A$9,0)),0))+(IFERROR(INDEX(Settings!$C$5:$C$9,MATCH($B1452,Settings!$A$5:$A$9,0)),0)+IFERROR(INDEX(Settings!$F$5:$F$9,MATCH($B1452,Settings!$A$5:$A$9,0)),0))/P1452+IFERROR(INDEX(Settings!$D$5:$D$9,MATCH($B1452,Settings!$A$5:$A$9,0)),0)*M1452)</f>
        <v/>
      </c>
      <c r="W1452" s="11">
        <f>IF(J1452="","",IF(T1452="",0,M1452*INDEX(Products!$I$5:$I$204,T1452)))</f>
        <v/>
      </c>
      <c r="X1452" s="11">
        <f>IF(J1452="","",IF(T1452="",0,S1452*INDEX(Products!$H$5:$H$204,T1452)))</f>
        <v/>
      </c>
      <c r="Y1452" s="11">
        <f>IF(J1452="","",S1452-V1452-W1452-X1452)</f>
        <v/>
      </c>
    </row>
    <row r="1453">
      <c r="A1453" s="19" t="n"/>
      <c r="B1453" s="19" t="n"/>
      <c r="C1453" s="19" t="n"/>
      <c r="D1453" s="19" t="n"/>
      <c r="E1453" s="19" t="n"/>
      <c r="F1453" s="20" t="n"/>
      <c r="G1453" s="20" t="n"/>
      <c r="H1453" s="20" t="n"/>
      <c r="I1453" s="19" t="n"/>
      <c r="J1453">
        <f>IFERROR(IF(C1453="","",C1453)&amp;"","")</f>
        <v/>
      </c>
      <c r="K1453">
        <f>IFERROR(IF(D1453="","",D1453)&amp;"","")</f>
        <v/>
      </c>
      <c r="L1453">
        <f>IFERROR(IF(I1453="","",I1453)&amp;"","")</f>
        <v/>
      </c>
      <c r="M1453">
        <f>IF(J1453="","",IFERROR(VALUE(SUBSTITUTE(SUBSTITUTE(IF(E1453="","",E1453)&amp;"","$",""),",","")),0))</f>
        <v/>
      </c>
      <c r="N1453" s="11">
        <f>IF(J1453="","",IFERROR(VALUE(SUBSTITUTE(SUBSTITUTE(IF(F1453="","",F1453)&amp;"","$",""),",","")),0))</f>
        <v/>
      </c>
      <c r="O1453" s="11">
        <f>IF(J1453="","",M1453*N1453)</f>
        <v/>
      </c>
      <c r="P1453">
        <f>IF(J1453="","",IF(L1453="",1,COUNTIF($L$2:$L$1501,L1453)))</f>
        <v/>
      </c>
      <c r="Q1453" s="11">
        <f>IF(J1453="","",IFERROR(VALUE(SUBSTITUTE(SUBSTITUTE(IF(G1453="","",G1453)&amp;"","$",""),",","")),0)/IF("No"="Yes",P1453,1))</f>
        <v/>
      </c>
      <c r="R1453" s="11">
        <f>IF(J1453="","",IFERROR(VALUE(SUBSTITUTE(SUBSTITUTE(IF(H1453="","",H1453)&amp;"","$",""),",","")),0)/IF("No"="Yes",P1453,1))</f>
        <v/>
      </c>
      <c r="S1453" s="11">
        <f>IF(J1453="","",O1453+Q1453-R1453)</f>
        <v/>
      </c>
      <c r="T1453">
        <f>IF(J1453="","",IFERROR(IF(K1453="",NA(),MATCH(K1453,Products!$B$5:$B$204,0)),IFERROR(MATCH(J1453,Products!$A$5:$A$204,0),"")))</f>
        <v/>
      </c>
      <c r="U1453">
        <f>IF(J1453="","",IF(T1453="","⚠ not in Products",INDEX(Products!$A$5:$A$204,T1453)))</f>
        <v/>
      </c>
      <c r="V1453" s="11">
        <f>IF(J1453="","",S1453*(IFERROR(INDEX(Settings!$B$5:$B$9,MATCH($B1453,Settings!$A$5:$A$9,0)),0)+IFERROR(INDEX(Settings!$E$5:$E$9,MATCH($B1453,Settings!$A$5:$A$9,0)),0)+IFERROR(INDEX(Settings!$G$5:$G$9,MATCH($B1453,Settings!$A$5:$A$9,0)),0))+(IFERROR(INDEX(Settings!$C$5:$C$9,MATCH($B1453,Settings!$A$5:$A$9,0)),0)+IFERROR(INDEX(Settings!$F$5:$F$9,MATCH($B1453,Settings!$A$5:$A$9,0)),0))/P1453+IFERROR(INDEX(Settings!$D$5:$D$9,MATCH($B1453,Settings!$A$5:$A$9,0)),0)*M1453)</f>
        <v/>
      </c>
      <c r="W1453" s="11">
        <f>IF(J1453="","",IF(T1453="",0,M1453*INDEX(Products!$I$5:$I$204,T1453)))</f>
        <v/>
      </c>
      <c r="X1453" s="11">
        <f>IF(J1453="","",IF(T1453="",0,S1453*INDEX(Products!$H$5:$H$204,T1453)))</f>
        <v/>
      </c>
      <c r="Y1453" s="11">
        <f>IF(J1453="","",S1453-V1453-W1453-X1453)</f>
        <v/>
      </c>
    </row>
    <row r="1454">
      <c r="A1454" s="19" t="n"/>
      <c r="B1454" s="19" t="n"/>
      <c r="C1454" s="19" t="n"/>
      <c r="D1454" s="19" t="n"/>
      <c r="E1454" s="19" t="n"/>
      <c r="F1454" s="20" t="n"/>
      <c r="G1454" s="20" t="n"/>
      <c r="H1454" s="20" t="n"/>
      <c r="I1454" s="19" t="n"/>
      <c r="J1454">
        <f>IFERROR(IF(C1454="","",C1454)&amp;"","")</f>
        <v/>
      </c>
      <c r="K1454">
        <f>IFERROR(IF(D1454="","",D1454)&amp;"","")</f>
        <v/>
      </c>
      <c r="L1454">
        <f>IFERROR(IF(I1454="","",I1454)&amp;"","")</f>
        <v/>
      </c>
      <c r="M1454">
        <f>IF(J1454="","",IFERROR(VALUE(SUBSTITUTE(SUBSTITUTE(IF(E1454="","",E1454)&amp;"","$",""),",","")),0))</f>
        <v/>
      </c>
      <c r="N1454" s="11">
        <f>IF(J1454="","",IFERROR(VALUE(SUBSTITUTE(SUBSTITUTE(IF(F1454="","",F1454)&amp;"","$",""),",","")),0))</f>
        <v/>
      </c>
      <c r="O1454" s="11">
        <f>IF(J1454="","",M1454*N1454)</f>
        <v/>
      </c>
      <c r="P1454">
        <f>IF(J1454="","",IF(L1454="",1,COUNTIF($L$2:$L$1501,L1454)))</f>
        <v/>
      </c>
      <c r="Q1454" s="11">
        <f>IF(J1454="","",IFERROR(VALUE(SUBSTITUTE(SUBSTITUTE(IF(G1454="","",G1454)&amp;"","$",""),",","")),0)/IF("No"="Yes",P1454,1))</f>
        <v/>
      </c>
      <c r="R1454" s="11">
        <f>IF(J1454="","",IFERROR(VALUE(SUBSTITUTE(SUBSTITUTE(IF(H1454="","",H1454)&amp;"","$",""),",","")),0)/IF("No"="Yes",P1454,1))</f>
        <v/>
      </c>
      <c r="S1454" s="11">
        <f>IF(J1454="","",O1454+Q1454-R1454)</f>
        <v/>
      </c>
      <c r="T1454">
        <f>IF(J1454="","",IFERROR(IF(K1454="",NA(),MATCH(K1454,Products!$B$5:$B$204,0)),IFERROR(MATCH(J1454,Products!$A$5:$A$204,0),"")))</f>
        <v/>
      </c>
      <c r="U1454">
        <f>IF(J1454="","",IF(T1454="","⚠ not in Products",INDEX(Products!$A$5:$A$204,T1454)))</f>
        <v/>
      </c>
      <c r="V1454" s="11">
        <f>IF(J1454="","",S1454*(IFERROR(INDEX(Settings!$B$5:$B$9,MATCH($B1454,Settings!$A$5:$A$9,0)),0)+IFERROR(INDEX(Settings!$E$5:$E$9,MATCH($B1454,Settings!$A$5:$A$9,0)),0)+IFERROR(INDEX(Settings!$G$5:$G$9,MATCH($B1454,Settings!$A$5:$A$9,0)),0))+(IFERROR(INDEX(Settings!$C$5:$C$9,MATCH($B1454,Settings!$A$5:$A$9,0)),0)+IFERROR(INDEX(Settings!$F$5:$F$9,MATCH($B1454,Settings!$A$5:$A$9,0)),0))/P1454+IFERROR(INDEX(Settings!$D$5:$D$9,MATCH($B1454,Settings!$A$5:$A$9,0)),0)*M1454)</f>
        <v/>
      </c>
      <c r="W1454" s="11">
        <f>IF(J1454="","",IF(T1454="",0,M1454*INDEX(Products!$I$5:$I$204,T1454)))</f>
        <v/>
      </c>
      <c r="X1454" s="11">
        <f>IF(J1454="","",IF(T1454="",0,S1454*INDEX(Products!$H$5:$H$204,T1454)))</f>
        <v/>
      </c>
      <c r="Y1454" s="11">
        <f>IF(J1454="","",S1454-V1454-W1454-X1454)</f>
        <v/>
      </c>
    </row>
    <row r="1455">
      <c r="A1455" s="19" t="n"/>
      <c r="B1455" s="19" t="n"/>
      <c r="C1455" s="19" t="n"/>
      <c r="D1455" s="19" t="n"/>
      <c r="E1455" s="19" t="n"/>
      <c r="F1455" s="20" t="n"/>
      <c r="G1455" s="20" t="n"/>
      <c r="H1455" s="20" t="n"/>
      <c r="I1455" s="19" t="n"/>
      <c r="J1455">
        <f>IFERROR(IF(C1455="","",C1455)&amp;"","")</f>
        <v/>
      </c>
      <c r="K1455">
        <f>IFERROR(IF(D1455="","",D1455)&amp;"","")</f>
        <v/>
      </c>
      <c r="L1455">
        <f>IFERROR(IF(I1455="","",I1455)&amp;"","")</f>
        <v/>
      </c>
      <c r="M1455">
        <f>IF(J1455="","",IFERROR(VALUE(SUBSTITUTE(SUBSTITUTE(IF(E1455="","",E1455)&amp;"","$",""),",","")),0))</f>
        <v/>
      </c>
      <c r="N1455" s="11">
        <f>IF(J1455="","",IFERROR(VALUE(SUBSTITUTE(SUBSTITUTE(IF(F1455="","",F1455)&amp;"","$",""),",","")),0))</f>
        <v/>
      </c>
      <c r="O1455" s="11">
        <f>IF(J1455="","",M1455*N1455)</f>
        <v/>
      </c>
      <c r="P1455">
        <f>IF(J1455="","",IF(L1455="",1,COUNTIF($L$2:$L$1501,L1455)))</f>
        <v/>
      </c>
      <c r="Q1455" s="11">
        <f>IF(J1455="","",IFERROR(VALUE(SUBSTITUTE(SUBSTITUTE(IF(G1455="","",G1455)&amp;"","$",""),",","")),0)/IF("No"="Yes",P1455,1))</f>
        <v/>
      </c>
      <c r="R1455" s="11">
        <f>IF(J1455="","",IFERROR(VALUE(SUBSTITUTE(SUBSTITUTE(IF(H1455="","",H1455)&amp;"","$",""),",","")),0)/IF("No"="Yes",P1455,1))</f>
        <v/>
      </c>
      <c r="S1455" s="11">
        <f>IF(J1455="","",O1455+Q1455-R1455)</f>
        <v/>
      </c>
      <c r="T1455">
        <f>IF(J1455="","",IFERROR(IF(K1455="",NA(),MATCH(K1455,Products!$B$5:$B$204,0)),IFERROR(MATCH(J1455,Products!$A$5:$A$204,0),"")))</f>
        <v/>
      </c>
      <c r="U1455">
        <f>IF(J1455="","",IF(T1455="","⚠ not in Products",INDEX(Products!$A$5:$A$204,T1455)))</f>
        <v/>
      </c>
      <c r="V1455" s="11">
        <f>IF(J1455="","",S1455*(IFERROR(INDEX(Settings!$B$5:$B$9,MATCH($B1455,Settings!$A$5:$A$9,0)),0)+IFERROR(INDEX(Settings!$E$5:$E$9,MATCH($B1455,Settings!$A$5:$A$9,0)),0)+IFERROR(INDEX(Settings!$G$5:$G$9,MATCH($B1455,Settings!$A$5:$A$9,0)),0))+(IFERROR(INDEX(Settings!$C$5:$C$9,MATCH($B1455,Settings!$A$5:$A$9,0)),0)+IFERROR(INDEX(Settings!$F$5:$F$9,MATCH($B1455,Settings!$A$5:$A$9,0)),0))/P1455+IFERROR(INDEX(Settings!$D$5:$D$9,MATCH($B1455,Settings!$A$5:$A$9,0)),0)*M1455)</f>
        <v/>
      </c>
      <c r="W1455" s="11">
        <f>IF(J1455="","",IF(T1455="",0,M1455*INDEX(Products!$I$5:$I$204,T1455)))</f>
        <v/>
      </c>
      <c r="X1455" s="11">
        <f>IF(J1455="","",IF(T1455="",0,S1455*INDEX(Products!$H$5:$H$204,T1455)))</f>
        <v/>
      </c>
      <c r="Y1455" s="11">
        <f>IF(J1455="","",S1455-V1455-W1455-X1455)</f>
        <v/>
      </c>
    </row>
    <row r="1456">
      <c r="A1456" s="19" t="n"/>
      <c r="B1456" s="19" t="n"/>
      <c r="C1456" s="19" t="n"/>
      <c r="D1456" s="19" t="n"/>
      <c r="E1456" s="19" t="n"/>
      <c r="F1456" s="20" t="n"/>
      <c r="G1456" s="20" t="n"/>
      <c r="H1456" s="20" t="n"/>
      <c r="I1456" s="19" t="n"/>
      <c r="J1456">
        <f>IFERROR(IF(C1456="","",C1456)&amp;"","")</f>
        <v/>
      </c>
      <c r="K1456">
        <f>IFERROR(IF(D1456="","",D1456)&amp;"","")</f>
        <v/>
      </c>
      <c r="L1456">
        <f>IFERROR(IF(I1456="","",I1456)&amp;"","")</f>
        <v/>
      </c>
      <c r="M1456">
        <f>IF(J1456="","",IFERROR(VALUE(SUBSTITUTE(SUBSTITUTE(IF(E1456="","",E1456)&amp;"","$",""),",","")),0))</f>
        <v/>
      </c>
      <c r="N1456" s="11">
        <f>IF(J1456="","",IFERROR(VALUE(SUBSTITUTE(SUBSTITUTE(IF(F1456="","",F1456)&amp;"","$",""),",","")),0))</f>
        <v/>
      </c>
      <c r="O1456" s="11">
        <f>IF(J1456="","",M1456*N1456)</f>
        <v/>
      </c>
      <c r="P1456">
        <f>IF(J1456="","",IF(L1456="",1,COUNTIF($L$2:$L$1501,L1456)))</f>
        <v/>
      </c>
      <c r="Q1456" s="11">
        <f>IF(J1456="","",IFERROR(VALUE(SUBSTITUTE(SUBSTITUTE(IF(G1456="","",G1456)&amp;"","$",""),",","")),0)/IF("No"="Yes",P1456,1))</f>
        <v/>
      </c>
      <c r="R1456" s="11">
        <f>IF(J1456="","",IFERROR(VALUE(SUBSTITUTE(SUBSTITUTE(IF(H1456="","",H1456)&amp;"","$",""),",","")),0)/IF("No"="Yes",P1456,1))</f>
        <v/>
      </c>
      <c r="S1456" s="11">
        <f>IF(J1456="","",O1456+Q1456-R1456)</f>
        <v/>
      </c>
      <c r="T1456">
        <f>IF(J1456="","",IFERROR(IF(K1456="",NA(),MATCH(K1456,Products!$B$5:$B$204,0)),IFERROR(MATCH(J1456,Products!$A$5:$A$204,0),"")))</f>
        <v/>
      </c>
      <c r="U1456">
        <f>IF(J1456="","",IF(T1456="","⚠ not in Products",INDEX(Products!$A$5:$A$204,T1456)))</f>
        <v/>
      </c>
      <c r="V1456" s="11">
        <f>IF(J1456="","",S1456*(IFERROR(INDEX(Settings!$B$5:$B$9,MATCH($B1456,Settings!$A$5:$A$9,0)),0)+IFERROR(INDEX(Settings!$E$5:$E$9,MATCH($B1456,Settings!$A$5:$A$9,0)),0)+IFERROR(INDEX(Settings!$G$5:$G$9,MATCH($B1456,Settings!$A$5:$A$9,0)),0))+(IFERROR(INDEX(Settings!$C$5:$C$9,MATCH($B1456,Settings!$A$5:$A$9,0)),0)+IFERROR(INDEX(Settings!$F$5:$F$9,MATCH($B1456,Settings!$A$5:$A$9,0)),0))/P1456+IFERROR(INDEX(Settings!$D$5:$D$9,MATCH($B1456,Settings!$A$5:$A$9,0)),0)*M1456)</f>
        <v/>
      </c>
      <c r="W1456" s="11">
        <f>IF(J1456="","",IF(T1456="",0,M1456*INDEX(Products!$I$5:$I$204,T1456)))</f>
        <v/>
      </c>
      <c r="X1456" s="11">
        <f>IF(J1456="","",IF(T1456="",0,S1456*INDEX(Products!$H$5:$H$204,T1456)))</f>
        <v/>
      </c>
      <c r="Y1456" s="11">
        <f>IF(J1456="","",S1456-V1456-W1456-X1456)</f>
        <v/>
      </c>
    </row>
    <row r="1457">
      <c r="A1457" s="19" t="n"/>
      <c r="B1457" s="19" t="n"/>
      <c r="C1457" s="19" t="n"/>
      <c r="D1457" s="19" t="n"/>
      <c r="E1457" s="19" t="n"/>
      <c r="F1457" s="20" t="n"/>
      <c r="G1457" s="20" t="n"/>
      <c r="H1457" s="20" t="n"/>
      <c r="I1457" s="19" t="n"/>
      <c r="J1457">
        <f>IFERROR(IF(C1457="","",C1457)&amp;"","")</f>
        <v/>
      </c>
      <c r="K1457">
        <f>IFERROR(IF(D1457="","",D1457)&amp;"","")</f>
        <v/>
      </c>
      <c r="L1457">
        <f>IFERROR(IF(I1457="","",I1457)&amp;"","")</f>
        <v/>
      </c>
      <c r="M1457">
        <f>IF(J1457="","",IFERROR(VALUE(SUBSTITUTE(SUBSTITUTE(IF(E1457="","",E1457)&amp;"","$",""),",","")),0))</f>
        <v/>
      </c>
      <c r="N1457" s="11">
        <f>IF(J1457="","",IFERROR(VALUE(SUBSTITUTE(SUBSTITUTE(IF(F1457="","",F1457)&amp;"","$",""),",","")),0))</f>
        <v/>
      </c>
      <c r="O1457" s="11">
        <f>IF(J1457="","",M1457*N1457)</f>
        <v/>
      </c>
      <c r="P1457">
        <f>IF(J1457="","",IF(L1457="",1,COUNTIF($L$2:$L$1501,L1457)))</f>
        <v/>
      </c>
      <c r="Q1457" s="11">
        <f>IF(J1457="","",IFERROR(VALUE(SUBSTITUTE(SUBSTITUTE(IF(G1457="","",G1457)&amp;"","$",""),",","")),0)/IF("No"="Yes",P1457,1))</f>
        <v/>
      </c>
      <c r="R1457" s="11">
        <f>IF(J1457="","",IFERROR(VALUE(SUBSTITUTE(SUBSTITUTE(IF(H1457="","",H1457)&amp;"","$",""),",","")),0)/IF("No"="Yes",P1457,1))</f>
        <v/>
      </c>
      <c r="S1457" s="11">
        <f>IF(J1457="","",O1457+Q1457-R1457)</f>
        <v/>
      </c>
      <c r="T1457">
        <f>IF(J1457="","",IFERROR(IF(K1457="",NA(),MATCH(K1457,Products!$B$5:$B$204,0)),IFERROR(MATCH(J1457,Products!$A$5:$A$204,0),"")))</f>
        <v/>
      </c>
      <c r="U1457">
        <f>IF(J1457="","",IF(T1457="","⚠ not in Products",INDEX(Products!$A$5:$A$204,T1457)))</f>
        <v/>
      </c>
      <c r="V1457" s="11">
        <f>IF(J1457="","",S1457*(IFERROR(INDEX(Settings!$B$5:$B$9,MATCH($B1457,Settings!$A$5:$A$9,0)),0)+IFERROR(INDEX(Settings!$E$5:$E$9,MATCH($B1457,Settings!$A$5:$A$9,0)),0)+IFERROR(INDEX(Settings!$G$5:$G$9,MATCH($B1457,Settings!$A$5:$A$9,0)),0))+(IFERROR(INDEX(Settings!$C$5:$C$9,MATCH($B1457,Settings!$A$5:$A$9,0)),0)+IFERROR(INDEX(Settings!$F$5:$F$9,MATCH($B1457,Settings!$A$5:$A$9,0)),0))/P1457+IFERROR(INDEX(Settings!$D$5:$D$9,MATCH($B1457,Settings!$A$5:$A$9,0)),0)*M1457)</f>
        <v/>
      </c>
      <c r="W1457" s="11">
        <f>IF(J1457="","",IF(T1457="",0,M1457*INDEX(Products!$I$5:$I$204,T1457)))</f>
        <v/>
      </c>
      <c r="X1457" s="11">
        <f>IF(J1457="","",IF(T1457="",0,S1457*INDEX(Products!$H$5:$H$204,T1457)))</f>
        <v/>
      </c>
      <c r="Y1457" s="11">
        <f>IF(J1457="","",S1457-V1457-W1457-X1457)</f>
        <v/>
      </c>
    </row>
    <row r="1458">
      <c r="A1458" s="19" t="n"/>
      <c r="B1458" s="19" t="n"/>
      <c r="C1458" s="19" t="n"/>
      <c r="D1458" s="19" t="n"/>
      <c r="E1458" s="19" t="n"/>
      <c r="F1458" s="20" t="n"/>
      <c r="G1458" s="20" t="n"/>
      <c r="H1458" s="20" t="n"/>
      <c r="I1458" s="19" t="n"/>
      <c r="J1458">
        <f>IFERROR(IF(C1458="","",C1458)&amp;"","")</f>
        <v/>
      </c>
      <c r="K1458">
        <f>IFERROR(IF(D1458="","",D1458)&amp;"","")</f>
        <v/>
      </c>
      <c r="L1458">
        <f>IFERROR(IF(I1458="","",I1458)&amp;"","")</f>
        <v/>
      </c>
      <c r="M1458">
        <f>IF(J1458="","",IFERROR(VALUE(SUBSTITUTE(SUBSTITUTE(IF(E1458="","",E1458)&amp;"","$",""),",","")),0))</f>
        <v/>
      </c>
      <c r="N1458" s="11">
        <f>IF(J1458="","",IFERROR(VALUE(SUBSTITUTE(SUBSTITUTE(IF(F1458="","",F1458)&amp;"","$",""),",","")),0))</f>
        <v/>
      </c>
      <c r="O1458" s="11">
        <f>IF(J1458="","",M1458*N1458)</f>
        <v/>
      </c>
      <c r="P1458">
        <f>IF(J1458="","",IF(L1458="",1,COUNTIF($L$2:$L$1501,L1458)))</f>
        <v/>
      </c>
      <c r="Q1458" s="11">
        <f>IF(J1458="","",IFERROR(VALUE(SUBSTITUTE(SUBSTITUTE(IF(G1458="","",G1458)&amp;"","$",""),",","")),0)/IF("No"="Yes",P1458,1))</f>
        <v/>
      </c>
      <c r="R1458" s="11">
        <f>IF(J1458="","",IFERROR(VALUE(SUBSTITUTE(SUBSTITUTE(IF(H1458="","",H1458)&amp;"","$",""),",","")),0)/IF("No"="Yes",P1458,1))</f>
        <v/>
      </c>
      <c r="S1458" s="11">
        <f>IF(J1458="","",O1458+Q1458-R1458)</f>
        <v/>
      </c>
      <c r="T1458">
        <f>IF(J1458="","",IFERROR(IF(K1458="",NA(),MATCH(K1458,Products!$B$5:$B$204,0)),IFERROR(MATCH(J1458,Products!$A$5:$A$204,0),"")))</f>
        <v/>
      </c>
      <c r="U1458">
        <f>IF(J1458="","",IF(T1458="","⚠ not in Products",INDEX(Products!$A$5:$A$204,T1458)))</f>
        <v/>
      </c>
      <c r="V1458" s="11">
        <f>IF(J1458="","",S1458*(IFERROR(INDEX(Settings!$B$5:$B$9,MATCH($B1458,Settings!$A$5:$A$9,0)),0)+IFERROR(INDEX(Settings!$E$5:$E$9,MATCH($B1458,Settings!$A$5:$A$9,0)),0)+IFERROR(INDEX(Settings!$G$5:$G$9,MATCH($B1458,Settings!$A$5:$A$9,0)),0))+(IFERROR(INDEX(Settings!$C$5:$C$9,MATCH($B1458,Settings!$A$5:$A$9,0)),0)+IFERROR(INDEX(Settings!$F$5:$F$9,MATCH($B1458,Settings!$A$5:$A$9,0)),0))/P1458+IFERROR(INDEX(Settings!$D$5:$D$9,MATCH($B1458,Settings!$A$5:$A$9,0)),0)*M1458)</f>
        <v/>
      </c>
      <c r="W1458" s="11">
        <f>IF(J1458="","",IF(T1458="",0,M1458*INDEX(Products!$I$5:$I$204,T1458)))</f>
        <v/>
      </c>
      <c r="X1458" s="11">
        <f>IF(J1458="","",IF(T1458="",0,S1458*INDEX(Products!$H$5:$H$204,T1458)))</f>
        <v/>
      </c>
      <c r="Y1458" s="11">
        <f>IF(J1458="","",S1458-V1458-W1458-X1458)</f>
        <v/>
      </c>
    </row>
    <row r="1459">
      <c r="A1459" s="19" t="n"/>
      <c r="B1459" s="19" t="n"/>
      <c r="C1459" s="19" t="n"/>
      <c r="D1459" s="19" t="n"/>
      <c r="E1459" s="19" t="n"/>
      <c r="F1459" s="20" t="n"/>
      <c r="G1459" s="20" t="n"/>
      <c r="H1459" s="20" t="n"/>
      <c r="I1459" s="19" t="n"/>
      <c r="J1459">
        <f>IFERROR(IF(C1459="","",C1459)&amp;"","")</f>
        <v/>
      </c>
      <c r="K1459">
        <f>IFERROR(IF(D1459="","",D1459)&amp;"","")</f>
        <v/>
      </c>
      <c r="L1459">
        <f>IFERROR(IF(I1459="","",I1459)&amp;"","")</f>
        <v/>
      </c>
      <c r="M1459">
        <f>IF(J1459="","",IFERROR(VALUE(SUBSTITUTE(SUBSTITUTE(IF(E1459="","",E1459)&amp;"","$",""),",","")),0))</f>
        <v/>
      </c>
      <c r="N1459" s="11">
        <f>IF(J1459="","",IFERROR(VALUE(SUBSTITUTE(SUBSTITUTE(IF(F1459="","",F1459)&amp;"","$",""),",","")),0))</f>
        <v/>
      </c>
      <c r="O1459" s="11">
        <f>IF(J1459="","",M1459*N1459)</f>
        <v/>
      </c>
      <c r="P1459">
        <f>IF(J1459="","",IF(L1459="",1,COUNTIF($L$2:$L$1501,L1459)))</f>
        <v/>
      </c>
      <c r="Q1459" s="11">
        <f>IF(J1459="","",IFERROR(VALUE(SUBSTITUTE(SUBSTITUTE(IF(G1459="","",G1459)&amp;"","$",""),",","")),0)/IF("No"="Yes",P1459,1))</f>
        <v/>
      </c>
      <c r="R1459" s="11">
        <f>IF(J1459="","",IFERROR(VALUE(SUBSTITUTE(SUBSTITUTE(IF(H1459="","",H1459)&amp;"","$",""),",","")),0)/IF("No"="Yes",P1459,1))</f>
        <v/>
      </c>
      <c r="S1459" s="11">
        <f>IF(J1459="","",O1459+Q1459-R1459)</f>
        <v/>
      </c>
      <c r="T1459">
        <f>IF(J1459="","",IFERROR(IF(K1459="",NA(),MATCH(K1459,Products!$B$5:$B$204,0)),IFERROR(MATCH(J1459,Products!$A$5:$A$204,0),"")))</f>
        <v/>
      </c>
      <c r="U1459">
        <f>IF(J1459="","",IF(T1459="","⚠ not in Products",INDEX(Products!$A$5:$A$204,T1459)))</f>
        <v/>
      </c>
      <c r="V1459" s="11">
        <f>IF(J1459="","",S1459*(IFERROR(INDEX(Settings!$B$5:$B$9,MATCH($B1459,Settings!$A$5:$A$9,0)),0)+IFERROR(INDEX(Settings!$E$5:$E$9,MATCH($B1459,Settings!$A$5:$A$9,0)),0)+IFERROR(INDEX(Settings!$G$5:$G$9,MATCH($B1459,Settings!$A$5:$A$9,0)),0))+(IFERROR(INDEX(Settings!$C$5:$C$9,MATCH($B1459,Settings!$A$5:$A$9,0)),0)+IFERROR(INDEX(Settings!$F$5:$F$9,MATCH($B1459,Settings!$A$5:$A$9,0)),0))/P1459+IFERROR(INDEX(Settings!$D$5:$D$9,MATCH($B1459,Settings!$A$5:$A$9,0)),0)*M1459)</f>
        <v/>
      </c>
      <c r="W1459" s="11">
        <f>IF(J1459="","",IF(T1459="",0,M1459*INDEX(Products!$I$5:$I$204,T1459)))</f>
        <v/>
      </c>
      <c r="X1459" s="11">
        <f>IF(J1459="","",IF(T1459="",0,S1459*INDEX(Products!$H$5:$H$204,T1459)))</f>
        <v/>
      </c>
      <c r="Y1459" s="11">
        <f>IF(J1459="","",S1459-V1459-W1459-X1459)</f>
        <v/>
      </c>
    </row>
    <row r="1460">
      <c r="A1460" s="19" t="n"/>
      <c r="B1460" s="19" t="n"/>
      <c r="C1460" s="19" t="n"/>
      <c r="D1460" s="19" t="n"/>
      <c r="E1460" s="19" t="n"/>
      <c r="F1460" s="20" t="n"/>
      <c r="G1460" s="20" t="n"/>
      <c r="H1460" s="20" t="n"/>
      <c r="I1460" s="19" t="n"/>
      <c r="J1460">
        <f>IFERROR(IF(C1460="","",C1460)&amp;"","")</f>
        <v/>
      </c>
      <c r="K1460">
        <f>IFERROR(IF(D1460="","",D1460)&amp;"","")</f>
        <v/>
      </c>
      <c r="L1460">
        <f>IFERROR(IF(I1460="","",I1460)&amp;"","")</f>
        <v/>
      </c>
      <c r="M1460">
        <f>IF(J1460="","",IFERROR(VALUE(SUBSTITUTE(SUBSTITUTE(IF(E1460="","",E1460)&amp;"","$",""),",","")),0))</f>
        <v/>
      </c>
      <c r="N1460" s="11">
        <f>IF(J1460="","",IFERROR(VALUE(SUBSTITUTE(SUBSTITUTE(IF(F1460="","",F1460)&amp;"","$",""),",","")),0))</f>
        <v/>
      </c>
      <c r="O1460" s="11">
        <f>IF(J1460="","",M1460*N1460)</f>
        <v/>
      </c>
      <c r="P1460">
        <f>IF(J1460="","",IF(L1460="",1,COUNTIF($L$2:$L$1501,L1460)))</f>
        <v/>
      </c>
      <c r="Q1460" s="11">
        <f>IF(J1460="","",IFERROR(VALUE(SUBSTITUTE(SUBSTITUTE(IF(G1460="","",G1460)&amp;"","$",""),",","")),0)/IF("No"="Yes",P1460,1))</f>
        <v/>
      </c>
      <c r="R1460" s="11">
        <f>IF(J1460="","",IFERROR(VALUE(SUBSTITUTE(SUBSTITUTE(IF(H1460="","",H1460)&amp;"","$",""),",","")),0)/IF("No"="Yes",P1460,1))</f>
        <v/>
      </c>
      <c r="S1460" s="11">
        <f>IF(J1460="","",O1460+Q1460-R1460)</f>
        <v/>
      </c>
      <c r="T1460">
        <f>IF(J1460="","",IFERROR(IF(K1460="",NA(),MATCH(K1460,Products!$B$5:$B$204,0)),IFERROR(MATCH(J1460,Products!$A$5:$A$204,0),"")))</f>
        <v/>
      </c>
      <c r="U1460">
        <f>IF(J1460="","",IF(T1460="","⚠ not in Products",INDEX(Products!$A$5:$A$204,T1460)))</f>
        <v/>
      </c>
      <c r="V1460" s="11">
        <f>IF(J1460="","",S1460*(IFERROR(INDEX(Settings!$B$5:$B$9,MATCH($B1460,Settings!$A$5:$A$9,0)),0)+IFERROR(INDEX(Settings!$E$5:$E$9,MATCH($B1460,Settings!$A$5:$A$9,0)),0)+IFERROR(INDEX(Settings!$G$5:$G$9,MATCH($B1460,Settings!$A$5:$A$9,0)),0))+(IFERROR(INDEX(Settings!$C$5:$C$9,MATCH($B1460,Settings!$A$5:$A$9,0)),0)+IFERROR(INDEX(Settings!$F$5:$F$9,MATCH($B1460,Settings!$A$5:$A$9,0)),0))/P1460+IFERROR(INDEX(Settings!$D$5:$D$9,MATCH($B1460,Settings!$A$5:$A$9,0)),0)*M1460)</f>
        <v/>
      </c>
      <c r="W1460" s="11">
        <f>IF(J1460="","",IF(T1460="",0,M1460*INDEX(Products!$I$5:$I$204,T1460)))</f>
        <v/>
      </c>
      <c r="X1460" s="11">
        <f>IF(J1460="","",IF(T1460="",0,S1460*INDEX(Products!$H$5:$H$204,T1460)))</f>
        <v/>
      </c>
      <c r="Y1460" s="11">
        <f>IF(J1460="","",S1460-V1460-W1460-X1460)</f>
        <v/>
      </c>
    </row>
    <row r="1461">
      <c r="A1461" s="19" t="n"/>
      <c r="B1461" s="19" t="n"/>
      <c r="C1461" s="19" t="n"/>
      <c r="D1461" s="19" t="n"/>
      <c r="E1461" s="19" t="n"/>
      <c r="F1461" s="20" t="n"/>
      <c r="G1461" s="20" t="n"/>
      <c r="H1461" s="20" t="n"/>
      <c r="I1461" s="19" t="n"/>
      <c r="J1461">
        <f>IFERROR(IF(C1461="","",C1461)&amp;"","")</f>
        <v/>
      </c>
      <c r="K1461">
        <f>IFERROR(IF(D1461="","",D1461)&amp;"","")</f>
        <v/>
      </c>
      <c r="L1461">
        <f>IFERROR(IF(I1461="","",I1461)&amp;"","")</f>
        <v/>
      </c>
      <c r="M1461">
        <f>IF(J1461="","",IFERROR(VALUE(SUBSTITUTE(SUBSTITUTE(IF(E1461="","",E1461)&amp;"","$",""),",","")),0))</f>
        <v/>
      </c>
      <c r="N1461" s="11">
        <f>IF(J1461="","",IFERROR(VALUE(SUBSTITUTE(SUBSTITUTE(IF(F1461="","",F1461)&amp;"","$",""),",","")),0))</f>
        <v/>
      </c>
      <c r="O1461" s="11">
        <f>IF(J1461="","",M1461*N1461)</f>
        <v/>
      </c>
      <c r="P1461">
        <f>IF(J1461="","",IF(L1461="",1,COUNTIF($L$2:$L$1501,L1461)))</f>
        <v/>
      </c>
      <c r="Q1461" s="11">
        <f>IF(J1461="","",IFERROR(VALUE(SUBSTITUTE(SUBSTITUTE(IF(G1461="","",G1461)&amp;"","$",""),",","")),0)/IF("No"="Yes",P1461,1))</f>
        <v/>
      </c>
      <c r="R1461" s="11">
        <f>IF(J1461="","",IFERROR(VALUE(SUBSTITUTE(SUBSTITUTE(IF(H1461="","",H1461)&amp;"","$",""),",","")),0)/IF("No"="Yes",P1461,1))</f>
        <v/>
      </c>
      <c r="S1461" s="11">
        <f>IF(J1461="","",O1461+Q1461-R1461)</f>
        <v/>
      </c>
      <c r="T1461">
        <f>IF(J1461="","",IFERROR(IF(K1461="",NA(),MATCH(K1461,Products!$B$5:$B$204,0)),IFERROR(MATCH(J1461,Products!$A$5:$A$204,0),"")))</f>
        <v/>
      </c>
      <c r="U1461">
        <f>IF(J1461="","",IF(T1461="","⚠ not in Products",INDEX(Products!$A$5:$A$204,T1461)))</f>
        <v/>
      </c>
      <c r="V1461" s="11">
        <f>IF(J1461="","",S1461*(IFERROR(INDEX(Settings!$B$5:$B$9,MATCH($B1461,Settings!$A$5:$A$9,0)),0)+IFERROR(INDEX(Settings!$E$5:$E$9,MATCH($B1461,Settings!$A$5:$A$9,0)),0)+IFERROR(INDEX(Settings!$G$5:$G$9,MATCH($B1461,Settings!$A$5:$A$9,0)),0))+(IFERROR(INDEX(Settings!$C$5:$C$9,MATCH($B1461,Settings!$A$5:$A$9,0)),0)+IFERROR(INDEX(Settings!$F$5:$F$9,MATCH($B1461,Settings!$A$5:$A$9,0)),0))/P1461+IFERROR(INDEX(Settings!$D$5:$D$9,MATCH($B1461,Settings!$A$5:$A$9,0)),0)*M1461)</f>
        <v/>
      </c>
      <c r="W1461" s="11">
        <f>IF(J1461="","",IF(T1461="",0,M1461*INDEX(Products!$I$5:$I$204,T1461)))</f>
        <v/>
      </c>
      <c r="X1461" s="11">
        <f>IF(J1461="","",IF(T1461="",0,S1461*INDEX(Products!$H$5:$H$204,T1461)))</f>
        <v/>
      </c>
      <c r="Y1461" s="11">
        <f>IF(J1461="","",S1461-V1461-W1461-X1461)</f>
        <v/>
      </c>
    </row>
    <row r="1462">
      <c r="A1462" s="19" t="n"/>
      <c r="B1462" s="19" t="n"/>
      <c r="C1462" s="19" t="n"/>
      <c r="D1462" s="19" t="n"/>
      <c r="E1462" s="19" t="n"/>
      <c r="F1462" s="20" t="n"/>
      <c r="G1462" s="20" t="n"/>
      <c r="H1462" s="20" t="n"/>
      <c r="I1462" s="19" t="n"/>
      <c r="J1462">
        <f>IFERROR(IF(C1462="","",C1462)&amp;"","")</f>
        <v/>
      </c>
      <c r="K1462">
        <f>IFERROR(IF(D1462="","",D1462)&amp;"","")</f>
        <v/>
      </c>
      <c r="L1462">
        <f>IFERROR(IF(I1462="","",I1462)&amp;"","")</f>
        <v/>
      </c>
      <c r="M1462">
        <f>IF(J1462="","",IFERROR(VALUE(SUBSTITUTE(SUBSTITUTE(IF(E1462="","",E1462)&amp;"","$",""),",","")),0))</f>
        <v/>
      </c>
      <c r="N1462" s="11">
        <f>IF(J1462="","",IFERROR(VALUE(SUBSTITUTE(SUBSTITUTE(IF(F1462="","",F1462)&amp;"","$",""),",","")),0))</f>
        <v/>
      </c>
      <c r="O1462" s="11">
        <f>IF(J1462="","",M1462*N1462)</f>
        <v/>
      </c>
      <c r="P1462">
        <f>IF(J1462="","",IF(L1462="",1,COUNTIF($L$2:$L$1501,L1462)))</f>
        <v/>
      </c>
      <c r="Q1462" s="11">
        <f>IF(J1462="","",IFERROR(VALUE(SUBSTITUTE(SUBSTITUTE(IF(G1462="","",G1462)&amp;"","$",""),",","")),0)/IF("No"="Yes",P1462,1))</f>
        <v/>
      </c>
      <c r="R1462" s="11">
        <f>IF(J1462="","",IFERROR(VALUE(SUBSTITUTE(SUBSTITUTE(IF(H1462="","",H1462)&amp;"","$",""),",","")),0)/IF("No"="Yes",P1462,1))</f>
        <v/>
      </c>
      <c r="S1462" s="11">
        <f>IF(J1462="","",O1462+Q1462-R1462)</f>
        <v/>
      </c>
      <c r="T1462">
        <f>IF(J1462="","",IFERROR(IF(K1462="",NA(),MATCH(K1462,Products!$B$5:$B$204,0)),IFERROR(MATCH(J1462,Products!$A$5:$A$204,0),"")))</f>
        <v/>
      </c>
      <c r="U1462">
        <f>IF(J1462="","",IF(T1462="","⚠ not in Products",INDEX(Products!$A$5:$A$204,T1462)))</f>
        <v/>
      </c>
      <c r="V1462" s="11">
        <f>IF(J1462="","",S1462*(IFERROR(INDEX(Settings!$B$5:$B$9,MATCH($B1462,Settings!$A$5:$A$9,0)),0)+IFERROR(INDEX(Settings!$E$5:$E$9,MATCH($B1462,Settings!$A$5:$A$9,0)),0)+IFERROR(INDEX(Settings!$G$5:$G$9,MATCH($B1462,Settings!$A$5:$A$9,0)),0))+(IFERROR(INDEX(Settings!$C$5:$C$9,MATCH($B1462,Settings!$A$5:$A$9,0)),0)+IFERROR(INDEX(Settings!$F$5:$F$9,MATCH($B1462,Settings!$A$5:$A$9,0)),0))/P1462+IFERROR(INDEX(Settings!$D$5:$D$9,MATCH($B1462,Settings!$A$5:$A$9,0)),0)*M1462)</f>
        <v/>
      </c>
      <c r="W1462" s="11">
        <f>IF(J1462="","",IF(T1462="",0,M1462*INDEX(Products!$I$5:$I$204,T1462)))</f>
        <v/>
      </c>
      <c r="X1462" s="11">
        <f>IF(J1462="","",IF(T1462="",0,S1462*INDEX(Products!$H$5:$H$204,T1462)))</f>
        <v/>
      </c>
      <c r="Y1462" s="11">
        <f>IF(J1462="","",S1462-V1462-W1462-X1462)</f>
        <v/>
      </c>
    </row>
    <row r="1463">
      <c r="A1463" s="19" t="n"/>
      <c r="B1463" s="19" t="n"/>
      <c r="C1463" s="19" t="n"/>
      <c r="D1463" s="19" t="n"/>
      <c r="E1463" s="19" t="n"/>
      <c r="F1463" s="20" t="n"/>
      <c r="G1463" s="20" t="n"/>
      <c r="H1463" s="20" t="n"/>
      <c r="I1463" s="19" t="n"/>
      <c r="J1463">
        <f>IFERROR(IF(C1463="","",C1463)&amp;"","")</f>
        <v/>
      </c>
      <c r="K1463">
        <f>IFERROR(IF(D1463="","",D1463)&amp;"","")</f>
        <v/>
      </c>
      <c r="L1463">
        <f>IFERROR(IF(I1463="","",I1463)&amp;"","")</f>
        <v/>
      </c>
      <c r="M1463">
        <f>IF(J1463="","",IFERROR(VALUE(SUBSTITUTE(SUBSTITUTE(IF(E1463="","",E1463)&amp;"","$",""),",","")),0))</f>
        <v/>
      </c>
      <c r="N1463" s="11">
        <f>IF(J1463="","",IFERROR(VALUE(SUBSTITUTE(SUBSTITUTE(IF(F1463="","",F1463)&amp;"","$",""),",","")),0))</f>
        <v/>
      </c>
      <c r="O1463" s="11">
        <f>IF(J1463="","",M1463*N1463)</f>
        <v/>
      </c>
      <c r="P1463">
        <f>IF(J1463="","",IF(L1463="",1,COUNTIF($L$2:$L$1501,L1463)))</f>
        <v/>
      </c>
      <c r="Q1463" s="11">
        <f>IF(J1463="","",IFERROR(VALUE(SUBSTITUTE(SUBSTITUTE(IF(G1463="","",G1463)&amp;"","$",""),",","")),0)/IF("No"="Yes",P1463,1))</f>
        <v/>
      </c>
      <c r="R1463" s="11">
        <f>IF(J1463="","",IFERROR(VALUE(SUBSTITUTE(SUBSTITUTE(IF(H1463="","",H1463)&amp;"","$",""),",","")),0)/IF("No"="Yes",P1463,1))</f>
        <v/>
      </c>
      <c r="S1463" s="11">
        <f>IF(J1463="","",O1463+Q1463-R1463)</f>
        <v/>
      </c>
      <c r="T1463">
        <f>IF(J1463="","",IFERROR(IF(K1463="",NA(),MATCH(K1463,Products!$B$5:$B$204,0)),IFERROR(MATCH(J1463,Products!$A$5:$A$204,0),"")))</f>
        <v/>
      </c>
      <c r="U1463">
        <f>IF(J1463="","",IF(T1463="","⚠ not in Products",INDEX(Products!$A$5:$A$204,T1463)))</f>
        <v/>
      </c>
      <c r="V1463" s="11">
        <f>IF(J1463="","",S1463*(IFERROR(INDEX(Settings!$B$5:$B$9,MATCH($B1463,Settings!$A$5:$A$9,0)),0)+IFERROR(INDEX(Settings!$E$5:$E$9,MATCH($B1463,Settings!$A$5:$A$9,0)),0)+IFERROR(INDEX(Settings!$G$5:$G$9,MATCH($B1463,Settings!$A$5:$A$9,0)),0))+(IFERROR(INDEX(Settings!$C$5:$C$9,MATCH($B1463,Settings!$A$5:$A$9,0)),0)+IFERROR(INDEX(Settings!$F$5:$F$9,MATCH($B1463,Settings!$A$5:$A$9,0)),0))/P1463+IFERROR(INDEX(Settings!$D$5:$D$9,MATCH($B1463,Settings!$A$5:$A$9,0)),0)*M1463)</f>
        <v/>
      </c>
      <c r="W1463" s="11">
        <f>IF(J1463="","",IF(T1463="",0,M1463*INDEX(Products!$I$5:$I$204,T1463)))</f>
        <v/>
      </c>
      <c r="X1463" s="11">
        <f>IF(J1463="","",IF(T1463="",0,S1463*INDEX(Products!$H$5:$H$204,T1463)))</f>
        <v/>
      </c>
      <c r="Y1463" s="11">
        <f>IF(J1463="","",S1463-V1463-W1463-X1463)</f>
        <v/>
      </c>
    </row>
    <row r="1464">
      <c r="A1464" s="19" t="n"/>
      <c r="B1464" s="19" t="n"/>
      <c r="C1464" s="19" t="n"/>
      <c r="D1464" s="19" t="n"/>
      <c r="E1464" s="19" t="n"/>
      <c r="F1464" s="20" t="n"/>
      <c r="G1464" s="20" t="n"/>
      <c r="H1464" s="20" t="n"/>
      <c r="I1464" s="19" t="n"/>
      <c r="J1464">
        <f>IFERROR(IF(C1464="","",C1464)&amp;"","")</f>
        <v/>
      </c>
      <c r="K1464">
        <f>IFERROR(IF(D1464="","",D1464)&amp;"","")</f>
        <v/>
      </c>
      <c r="L1464">
        <f>IFERROR(IF(I1464="","",I1464)&amp;"","")</f>
        <v/>
      </c>
      <c r="M1464">
        <f>IF(J1464="","",IFERROR(VALUE(SUBSTITUTE(SUBSTITUTE(IF(E1464="","",E1464)&amp;"","$",""),",","")),0))</f>
        <v/>
      </c>
      <c r="N1464" s="11">
        <f>IF(J1464="","",IFERROR(VALUE(SUBSTITUTE(SUBSTITUTE(IF(F1464="","",F1464)&amp;"","$",""),",","")),0))</f>
        <v/>
      </c>
      <c r="O1464" s="11">
        <f>IF(J1464="","",M1464*N1464)</f>
        <v/>
      </c>
      <c r="P1464">
        <f>IF(J1464="","",IF(L1464="",1,COUNTIF($L$2:$L$1501,L1464)))</f>
        <v/>
      </c>
      <c r="Q1464" s="11">
        <f>IF(J1464="","",IFERROR(VALUE(SUBSTITUTE(SUBSTITUTE(IF(G1464="","",G1464)&amp;"","$",""),",","")),0)/IF("No"="Yes",P1464,1))</f>
        <v/>
      </c>
      <c r="R1464" s="11">
        <f>IF(J1464="","",IFERROR(VALUE(SUBSTITUTE(SUBSTITUTE(IF(H1464="","",H1464)&amp;"","$",""),",","")),0)/IF("No"="Yes",P1464,1))</f>
        <v/>
      </c>
      <c r="S1464" s="11">
        <f>IF(J1464="","",O1464+Q1464-R1464)</f>
        <v/>
      </c>
      <c r="T1464">
        <f>IF(J1464="","",IFERROR(IF(K1464="",NA(),MATCH(K1464,Products!$B$5:$B$204,0)),IFERROR(MATCH(J1464,Products!$A$5:$A$204,0),"")))</f>
        <v/>
      </c>
      <c r="U1464">
        <f>IF(J1464="","",IF(T1464="","⚠ not in Products",INDEX(Products!$A$5:$A$204,T1464)))</f>
        <v/>
      </c>
      <c r="V1464" s="11">
        <f>IF(J1464="","",S1464*(IFERROR(INDEX(Settings!$B$5:$B$9,MATCH($B1464,Settings!$A$5:$A$9,0)),0)+IFERROR(INDEX(Settings!$E$5:$E$9,MATCH($B1464,Settings!$A$5:$A$9,0)),0)+IFERROR(INDEX(Settings!$G$5:$G$9,MATCH($B1464,Settings!$A$5:$A$9,0)),0))+(IFERROR(INDEX(Settings!$C$5:$C$9,MATCH($B1464,Settings!$A$5:$A$9,0)),0)+IFERROR(INDEX(Settings!$F$5:$F$9,MATCH($B1464,Settings!$A$5:$A$9,0)),0))/P1464+IFERROR(INDEX(Settings!$D$5:$D$9,MATCH($B1464,Settings!$A$5:$A$9,0)),0)*M1464)</f>
        <v/>
      </c>
      <c r="W1464" s="11">
        <f>IF(J1464="","",IF(T1464="",0,M1464*INDEX(Products!$I$5:$I$204,T1464)))</f>
        <v/>
      </c>
      <c r="X1464" s="11">
        <f>IF(J1464="","",IF(T1464="",0,S1464*INDEX(Products!$H$5:$H$204,T1464)))</f>
        <v/>
      </c>
      <c r="Y1464" s="11">
        <f>IF(J1464="","",S1464-V1464-W1464-X1464)</f>
        <v/>
      </c>
    </row>
    <row r="1465">
      <c r="A1465" s="19" t="n"/>
      <c r="B1465" s="19" t="n"/>
      <c r="C1465" s="19" t="n"/>
      <c r="D1465" s="19" t="n"/>
      <c r="E1465" s="19" t="n"/>
      <c r="F1465" s="20" t="n"/>
      <c r="G1465" s="20" t="n"/>
      <c r="H1465" s="20" t="n"/>
      <c r="I1465" s="19" t="n"/>
      <c r="J1465">
        <f>IFERROR(IF(C1465="","",C1465)&amp;"","")</f>
        <v/>
      </c>
      <c r="K1465">
        <f>IFERROR(IF(D1465="","",D1465)&amp;"","")</f>
        <v/>
      </c>
      <c r="L1465">
        <f>IFERROR(IF(I1465="","",I1465)&amp;"","")</f>
        <v/>
      </c>
      <c r="M1465">
        <f>IF(J1465="","",IFERROR(VALUE(SUBSTITUTE(SUBSTITUTE(IF(E1465="","",E1465)&amp;"","$",""),",","")),0))</f>
        <v/>
      </c>
      <c r="N1465" s="11">
        <f>IF(J1465="","",IFERROR(VALUE(SUBSTITUTE(SUBSTITUTE(IF(F1465="","",F1465)&amp;"","$",""),",","")),0))</f>
        <v/>
      </c>
      <c r="O1465" s="11">
        <f>IF(J1465="","",M1465*N1465)</f>
        <v/>
      </c>
      <c r="P1465">
        <f>IF(J1465="","",IF(L1465="",1,COUNTIF($L$2:$L$1501,L1465)))</f>
        <v/>
      </c>
      <c r="Q1465" s="11">
        <f>IF(J1465="","",IFERROR(VALUE(SUBSTITUTE(SUBSTITUTE(IF(G1465="","",G1465)&amp;"","$",""),",","")),0)/IF("No"="Yes",P1465,1))</f>
        <v/>
      </c>
      <c r="R1465" s="11">
        <f>IF(J1465="","",IFERROR(VALUE(SUBSTITUTE(SUBSTITUTE(IF(H1465="","",H1465)&amp;"","$",""),",","")),0)/IF("No"="Yes",P1465,1))</f>
        <v/>
      </c>
      <c r="S1465" s="11">
        <f>IF(J1465="","",O1465+Q1465-R1465)</f>
        <v/>
      </c>
      <c r="T1465">
        <f>IF(J1465="","",IFERROR(IF(K1465="",NA(),MATCH(K1465,Products!$B$5:$B$204,0)),IFERROR(MATCH(J1465,Products!$A$5:$A$204,0),"")))</f>
        <v/>
      </c>
      <c r="U1465">
        <f>IF(J1465="","",IF(T1465="","⚠ not in Products",INDEX(Products!$A$5:$A$204,T1465)))</f>
        <v/>
      </c>
      <c r="V1465" s="11">
        <f>IF(J1465="","",S1465*(IFERROR(INDEX(Settings!$B$5:$B$9,MATCH($B1465,Settings!$A$5:$A$9,0)),0)+IFERROR(INDEX(Settings!$E$5:$E$9,MATCH($B1465,Settings!$A$5:$A$9,0)),0)+IFERROR(INDEX(Settings!$G$5:$G$9,MATCH($B1465,Settings!$A$5:$A$9,0)),0))+(IFERROR(INDEX(Settings!$C$5:$C$9,MATCH($B1465,Settings!$A$5:$A$9,0)),0)+IFERROR(INDEX(Settings!$F$5:$F$9,MATCH($B1465,Settings!$A$5:$A$9,0)),0))/P1465+IFERROR(INDEX(Settings!$D$5:$D$9,MATCH($B1465,Settings!$A$5:$A$9,0)),0)*M1465)</f>
        <v/>
      </c>
      <c r="W1465" s="11">
        <f>IF(J1465="","",IF(T1465="",0,M1465*INDEX(Products!$I$5:$I$204,T1465)))</f>
        <v/>
      </c>
      <c r="X1465" s="11">
        <f>IF(J1465="","",IF(T1465="",0,S1465*INDEX(Products!$H$5:$H$204,T1465)))</f>
        <v/>
      </c>
      <c r="Y1465" s="11">
        <f>IF(J1465="","",S1465-V1465-W1465-X1465)</f>
        <v/>
      </c>
    </row>
    <row r="1466">
      <c r="A1466" s="19" t="n"/>
      <c r="B1466" s="19" t="n"/>
      <c r="C1466" s="19" t="n"/>
      <c r="D1466" s="19" t="n"/>
      <c r="E1466" s="19" t="n"/>
      <c r="F1466" s="20" t="n"/>
      <c r="G1466" s="20" t="n"/>
      <c r="H1466" s="20" t="n"/>
      <c r="I1466" s="19" t="n"/>
      <c r="J1466">
        <f>IFERROR(IF(C1466="","",C1466)&amp;"","")</f>
        <v/>
      </c>
      <c r="K1466">
        <f>IFERROR(IF(D1466="","",D1466)&amp;"","")</f>
        <v/>
      </c>
      <c r="L1466">
        <f>IFERROR(IF(I1466="","",I1466)&amp;"","")</f>
        <v/>
      </c>
      <c r="M1466">
        <f>IF(J1466="","",IFERROR(VALUE(SUBSTITUTE(SUBSTITUTE(IF(E1466="","",E1466)&amp;"","$",""),",","")),0))</f>
        <v/>
      </c>
      <c r="N1466" s="11">
        <f>IF(J1466="","",IFERROR(VALUE(SUBSTITUTE(SUBSTITUTE(IF(F1466="","",F1466)&amp;"","$",""),",","")),0))</f>
        <v/>
      </c>
      <c r="O1466" s="11">
        <f>IF(J1466="","",M1466*N1466)</f>
        <v/>
      </c>
      <c r="P1466">
        <f>IF(J1466="","",IF(L1466="",1,COUNTIF($L$2:$L$1501,L1466)))</f>
        <v/>
      </c>
      <c r="Q1466" s="11">
        <f>IF(J1466="","",IFERROR(VALUE(SUBSTITUTE(SUBSTITUTE(IF(G1466="","",G1466)&amp;"","$",""),",","")),0)/IF("No"="Yes",P1466,1))</f>
        <v/>
      </c>
      <c r="R1466" s="11">
        <f>IF(J1466="","",IFERROR(VALUE(SUBSTITUTE(SUBSTITUTE(IF(H1466="","",H1466)&amp;"","$",""),",","")),0)/IF("No"="Yes",P1466,1))</f>
        <v/>
      </c>
      <c r="S1466" s="11">
        <f>IF(J1466="","",O1466+Q1466-R1466)</f>
        <v/>
      </c>
      <c r="T1466">
        <f>IF(J1466="","",IFERROR(IF(K1466="",NA(),MATCH(K1466,Products!$B$5:$B$204,0)),IFERROR(MATCH(J1466,Products!$A$5:$A$204,0),"")))</f>
        <v/>
      </c>
      <c r="U1466">
        <f>IF(J1466="","",IF(T1466="","⚠ not in Products",INDEX(Products!$A$5:$A$204,T1466)))</f>
        <v/>
      </c>
      <c r="V1466" s="11">
        <f>IF(J1466="","",S1466*(IFERROR(INDEX(Settings!$B$5:$B$9,MATCH($B1466,Settings!$A$5:$A$9,0)),0)+IFERROR(INDEX(Settings!$E$5:$E$9,MATCH($B1466,Settings!$A$5:$A$9,0)),0)+IFERROR(INDEX(Settings!$G$5:$G$9,MATCH($B1466,Settings!$A$5:$A$9,0)),0))+(IFERROR(INDEX(Settings!$C$5:$C$9,MATCH($B1466,Settings!$A$5:$A$9,0)),0)+IFERROR(INDEX(Settings!$F$5:$F$9,MATCH($B1466,Settings!$A$5:$A$9,0)),0))/P1466+IFERROR(INDEX(Settings!$D$5:$D$9,MATCH($B1466,Settings!$A$5:$A$9,0)),0)*M1466)</f>
        <v/>
      </c>
      <c r="W1466" s="11">
        <f>IF(J1466="","",IF(T1466="",0,M1466*INDEX(Products!$I$5:$I$204,T1466)))</f>
        <v/>
      </c>
      <c r="X1466" s="11">
        <f>IF(J1466="","",IF(T1466="",0,S1466*INDEX(Products!$H$5:$H$204,T1466)))</f>
        <v/>
      </c>
      <c r="Y1466" s="11">
        <f>IF(J1466="","",S1466-V1466-W1466-X1466)</f>
        <v/>
      </c>
    </row>
    <row r="1467">
      <c r="A1467" s="19" t="n"/>
      <c r="B1467" s="19" t="n"/>
      <c r="C1467" s="19" t="n"/>
      <c r="D1467" s="19" t="n"/>
      <c r="E1467" s="19" t="n"/>
      <c r="F1467" s="20" t="n"/>
      <c r="G1467" s="20" t="n"/>
      <c r="H1467" s="20" t="n"/>
      <c r="I1467" s="19" t="n"/>
      <c r="J1467">
        <f>IFERROR(IF(C1467="","",C1467)&amp;"","")</f>
        <v/>
      </c>
      <c r="K1467">
        <f>IFERROR(IF(D1467="","",D1467)&amp;"","")</f>
        <v/>
      </c>
      <c r="L1467">
        <f>IFERROR(IF(I1467="","",I1467)&amp;"","")</f>
        <v/>
      </c>
      <c r="M1467">
        <f>IF(J1467="","",IFERROR(VALUE(SUBSTITUTE(SUBSTITUTE(IF(E1467="","",E1467)&amp;"","$",""),",","")),0))</f>
        <v/>
      </c>
      <c r="N1467" s="11">
        <f>IF(J1467="","",IFERROR(VALUE(SUBSTITUTE(SUBSTITUTE(IF(F1467="","",F1467)&amp;"","$",""),",","")),0))</f>
        <v/>
      </c>
      <c r="O1467" s="11">
        <f>IF(J1467="","",M1467*N1467)</f>
        <v/>
      </c>
      <c r="P1467">
        <f>IF(J1467="","",IF(L1467="",1,COUNTIF($L$2:$L$1501,L1467)))</f>
        <v/>
      </c>
      <c r="Q1467" s="11">
        <f>IF(J1467="","",IFERROR(VALUE(SUBSTITUTE(SUBSTITUTE(IF(G1467="","",G1467)&amp;"","$",""),",","")),0)/IF("No"="Yes",P1467,1))</f>
        <v/>
      </c>
      <c r="R1467" s="11">
        <f>IF(J1467="","",IFERROR(VALUE(SUBSTITUTE(SUBSTITUTE(IF(H1467="","",H1467)&amp;"","$",""),",","")),0)/IF("No"="Yes",P1467,1))</f>
        <v/>
      </c>
      <c r="S1467" s="11">
        <f>IF(J1467="","",O1467+Q1467-R1467)</f>
        <v/>
      </c>
      <c r="T1467">
        <f>IF(J1467="","",IFERROR(IF(K1467="",NA(),MATCH(K1467,Products!$B$5:$B$204,0)),IFERROR(MATCH(J1467,Products!$A$5:$A$204,0),"")))</f>
        <v/>
      </c>
      <c r="U1467">
        <f>IF(J1467="","",IF(T1467="","⚠ not in Products",INDEX(Products!$A$5:$A$204,T1467)))</f>
        <v/>
      </c>
      <c r="V1467" s="11">
        <f>IF(J1467="","",S1467*(IFERROR(INDEX(Settings!$B$5:$B$9,MATCH($B1467,Settings!$A$5:$A$9,0)),0)+IFERROR(INDEX(Settings!$E$5:$E$9,MATCH($B1467,Settings!$A$5:$A$9,0)),0)+IFERROR(INDEX(Settings!$G$5:$G$9,MATCH($B1467,Settings!$A$5:$A$9,0)),0))+(IFERROR(INDEX(Settings!$C$5:$C$9,MATCH($B1467,Settings!$A$5:$A$9,0)),0)+IFERROR(INDEX(Settings!$F$5:$F$9,MATCH($B1467,Settings!$A$5:$A$9,0)),0))/P1467+IFERROR(INDEX(Settings!$D$5:$D$9,MATCH($B1467,Settings!$A$5:$A$9,0)),0)*M1467)</f>
        <v/>
      </c>
      <c r="W1467" s="11">
        <f>IF(J1467="","",IF(T1467="",0,M1467*INDEX(Products!$I$5:$I$204,T1467)))</f>
        <v/>
      </c>
      <c r="X1467" s="11">
        <f>IF(J1467="","",IF(T1467="",0,S1467*INDEX(Products!$H$5:$H$204,T1467)))</f>
        <v/>
      </c>
      <c r="Y1467" s="11">
        <f>IF(J1467="","",S1467-V1467-W1467-X1467)</f>
        <v/>
      </c>
    </row>
    <row r="1468">
      <c r="A1468" s="19" t="n"/>
      <c r="B1468" s="19" t="n"/>
      <c r="C1468" s="19" t="n"/>
      <c r="D1468" s="19" t="n"/>
      <c r="E1468" s="19" t="n"/>
      <c r="F1468" s="20" t="n"/>
      <c r="G1468" s="20" t="n"/>
      <c r="H1468" s="20" t="n"/>
      <c r="I1468" s="19" t="n"/>
      <c r="J1468">
        <f>IFERROR(IF(C1468="","",C1468)&amp;"","")</f>
        <v/>
      </c>
      <c r="K1468">
        <f>IFERROR(IF(D1468="","",D1468)&amp;"","")</f>
        <v/>
      </c>
      <c r="L1468">
        <f>IFERROR(IF(I1468="","",I1468)&amp;"","")</f>
        <v/>
      </c>
      <c r="M1468">
        <f>IF(J1468="","",IFERROR(VALUE(SUBSTITUTE(SUBSTITUTE(IF(E1468="","",E1468)&amp;"","$",""),",","")),0))</f>
        <v/>
      </c>
      <c r="N1468" s="11">
        <f>IF(J1468="","",IFERROR(VALUE(SUBSTITUTE(SUBSTITUTE(IF(F1468="","",F1468)&amp;"","$",""),",","")),0))</f>
        <v/>
      </c>
      <c r="O1468" s="11">
        <f>IF(J1468="","",M1468*N1468)</f>
        <v/>
      </c>
      <c r="P1468">
        <f>IF(J1468="","",IF(L1468="",1,COUNTIF($L$2:$L$1501,L1468)))</f>
        <v/>
      </c>
      <c r="Q1468" s="11">
        <f>IF(J1468="","",IFERROR(VALUE(SUBSTITUTE(SUBSTITUTE(IF(G1468="","",G1468)&amp;"","$",""),",","")),0)/IF("No"="Yes",P1468,1))</f>
        <v/>
      </c>
      <c r="R1468" s="11">
        <f>IF(J1468="","",IFERROR(VALUE(SUBSTITUTE(SUBSTITUTE(IF(H1468="","",H1468)&amp;"","$",""),",","")),0)/IF("No"="Yes",P1468,1))</f>
        <v/>
      </c>
      <c r="S1468" s="11">
        <f>IF(J1468="","",O1468+Q1468-R1468)</f>
        <v/>
      </c>
      <c r="T1468">
        <f>IF(J1468="","",IFERROR(IF(K1468="",NA(),MATCH(K1468,Products!$B$5:$B$204,0)),IFERROR(MATCH(J1468,Products!$A$5:$A$204,0),"")))</f>
        <v/>
      </c>
      <c r="U1468">
        <f>IF(J1468="","",IF(T1468="","⚠ not in Products",INDEX(Products!$A$5:$A$204,T1468)))</f>
        <v/>
      </c>
      <c r="V1468" s="11">
        <f>IF(J1468="","",S1468*(IFERROR(INDEX(Settings!$B$5:$B$9,MATCH($B1468,Settings!$A$5:$A$9,0)),0)+IFERROR(INDEX(Settings!$E$5:$E$9,MATCH($B1468,Settings!$A$5:$A$9,0)),0)+IFERROR(INDEX(Settings!$G$5:$G$9,MATCH($B1468,Settings!$A$5:$A$9,0)),0))+(IFERROR(INDEX(Settings!$C$5:$C$9,MATCH($B1468,Settings!$A$5:$A$9,0)),0)+IFERROR(INDEX(Settings!$F$5:$F$9,MATCH($B1468,Settings!$A$5:$A$9,0)),0))/P1468+IFERROR(INDEX(Settings!$D$5:$D$9,MATCH($B1468,Settings!$A$5:$A$9,0)),0)*M1468)</f>
        <v/>
      </c>
      <c r="W1468" s="11">
        <f>IF(J1468="","",IF(T1468="",0,M1468*INDEX(Products!$I$5:$I$204,T1468)))</f>
        <v/>
      </c>
      <c r="X1468" s="11">
        <f>IF(J1468="","",IF(T1468="",0,S1468*INDEX(Products!$H$5:$H$204,T1468)))</f>
        <v/>
      </c>
      <c r="Y1468" s="11">
        <f>IF(J1468="","",S1468-V1468-W1468-X1468)</f>
        <v/>
      </c>
    </row>
    <row r="1469">
      <c r="A1469" s="19" t="n"/>
      <c r="B1469" s="19" t="n"/>
      <c r="C1469" s="19" t="n"/>
      <c r="D1469" s="19" t="n"/>
      <c r="E1469" s="19" t="n"/>
      <c r="F1469" s="20" t="n"/>
      <c r="G1469" s="20" t="n"/>
      <c r="H1469" s="20" t="n"/>
      <c r="I1469" s="19" t="n"/>
      <c r="J1469">
        <f>IFERROR(IF(C1469="","",C1469)&amp;"","")</f>
        <v/>
      </c>
      <c r="K1469">
        <f>IFERROR(IF(D1469="","",D1469)&amp;"","")</f>
        <v/>
      </c>
      <c r="L1469">
        <f>IFERROR(IF(I1469="","",I1469)&amp;"","")</f>
        <v/>
      </c>
      <c r="M1469">
        <f>IF(J1469="","",IFERROR(VALUE(SUBSTITUTE(SUBSTITUTE(IF(E1469="","",E1469)&amp;"","$",""),",","")),0))</f>
        <v/>
      </c>
      <c r="N1469" s="11">
        <f>IF(J1469="","",IFERROR(VALUE(SUBSTITUTE(SUBSTITUTE(IF(F1469="","",F1469)&amp;"","$",""),",","")),0))</f>
        <v/>
      </c>
      <c r="O1469" s="11">
        <f>IF(J1469="","",M1469*N1469)</f>
        <v/>
      </c>
      <c r="P1469">
        <f>IF(J1469="","",IF(L1469="",1,COUNTIF($L$2:$L$1501,L1469)))</f>
        <v/>
      </c>
      <c r="Q1469" s="11">
        <f>IF(J1469="","",IFERROR(VALUE(SUBSTITUTE(SUBSTITUTE(IF(G1469="","",G1469)&amp;"","$",""),",","")),0)/IF("No"="Yes",P1469,1))</f>
        <v/>
      </c>
      <c r="R1469" s="11">
        <f>IF(J1469="","",IFERROR(VALUE(SUBSTITUTE(SUBSTITUTE(IF(H1469="","",H1469)&amp;"","$",""),",","")),0)/IF("No"="Yes",P1469,1))</f>
        <v/>
      </c>
      <c r="S1469" s="11">
        <f>IF(J1469="","",O1469+Q1469-R1469)</f>
        <v/>
      </c>
      <c r="T1469">
        <f>IF(J1469="","",IFERROR(IF(K1469="",NA(),MATCH(K1469,Products!$B$5:$B$204,0)),IFERROR(MATCH(J1469,Products!$A$5:$A$204,0),"")))</f>
        <v/>
      </c>
      <c r="U1469">
        <f>IF(J1469="","",IF(T1469="","⚠ not in Products",INDEX(Products!$A$5:$A$204,T1469)))</f>
        <v/>
      </c>
      <c r="V1469" s="11">
        <f>IF(J1469="","",S1469*(IFERROR(INDEX(Settings!$B$5:$B$9,MATCH($B1469,Settings!$A$5:$A$9,0)),0)+IFERROR(INDEX(Settings!$E$5:$E$9,MATCH($B1469,Settings!$A$5:$A$9,0)),0)+IFERROR(INDEX(Settings!$G$5:$G$9,MATCH($B1469,Settings!$A$5:$A$9,0)),0))+(IFERROR(INDEX(Settings!$C$5:$C$9,MATCH($B1469,Settings!$A$5:$A$9,0)),0)+IFERROR(INDEX(Settings!$F$5:$F$9,MATCH($B1469,Settings!$A$5:$A$9,0)),0))/P1469+IFERROR(INDEX(Settings!$D$5:$D$9,MATCH($B1469,Settings!$A$5:$A$9,0)),0)*M1469)</f>
        <v/>
      </c>
      <c r="W1469" s="11">
        <f>IF(J1469="","",IF(T1469="",0,M1469*INDEX(Products!$I$5:$I$204,T1469)))</f>
        <v/>
      </c>
      <c r="X1469" s="11">
        <f>IF(J1469="","",IF(T1469="",0,S1469*INDEX(Products!$H$5:$H$204,T1469)))</f>
        <v/>
      </c>
      <c r="Y1469" s="11">
        <f>IF(J1469="","",S1469-V1469-W1469-X1469)</f>
        <v/>
      </c>
    </row>
    <row r="1470">
      <c r="A1470" s="19" t="n"/>
      <c r="B1470" s="19" t="n"/>
      <c r="C1470" s="19" t="n"/>
      <c r="D1470" s="19" t="n"/>
      <c r="E1470" s="19" t="n"/>
      <c r="F1470" s="20" t="n"/>
      <c r="G1470" s="20" t="n"/>
      <c r="H1470" s="20" t="n"/>
      <c r="I1470" s="19" t="n"/>
      <c r="J1470">
        <f>IFERROR(IF(C1470="","",C1470)&amp;"","")</f>
        <v/>
      </c>
      <c r="K1470">
        <f>IFERROR(IF(D1470="","",D1470)&amp;"","")</f>
        <v/>
      </c>
      <c r="L1470">
        <f>IFERROR(IF(I1470="","",I1470)&amp;"","")</f>
        <v/>
      </c>
      <c r="M1470">
        <f>IF(J1470="","",IFERROR(VALUE(SUBSTITUTE(SUBSTITUTE(IF(E1470="","",E1470)&amp;"","$",""),",","")),0))</f>
        <v/>
      </c>
      <c r="N1470" s="11">
        <f>IF(J1470="","",IFERROR(VALUE(SUBSTITUTE(SUBSTITUTE(IF(F1470="","",F1470)&amp;"","$",""),",","")),0))</f>
        <v/>
      </c>
      <c r="O1470" s="11">
        <f>IF(J1470="","",M1470*N1470)</f>
        <v/>
      </c>
      <c r="P1470">
        <f>IF(J1470="","",IF(L1470="",1,COUNTIF($L$2:$L$1501,L1470)))</f>
        <v/>
      </c>
      <c r="Q1470" s="11">
        <f>IF(J1470="","",IFERROR(VALUE(SUBSTITUTE(SUBSTITUTE(IF(G1470="","",G1470)&amp;"","$",""),",","")),0)/IF("No"="Yes",P1470,1))</f>
        <v/>
      </c>
      <c r="R1470" s="11">
        <f>IF(J1470="","",IFERROR(VALUE(SUBSTITUTE(SUBSTITUTE(IF(H1470="","",H1470)&amp;"","$",""),",","")),0)/IF("No"="Yes",P1470,1))</f>
        <v/>
      </c>
      <c r="S1470" s="11">
        <f>IF(J1470="","",O1470+Q1470-R1470)</f>
        <v/>
      </c>
      <c r="T1470">
        <f>IF(J1470="","",IFERROR(IF(K1470="",NA(),MATCH(K1470,Products!$B$5:$B$204,0)),IFERROR(MATCH(J1470,Products!$A$5:$A$204,0),"")))</f>
        <v/>
      </c>
      <c r="U1470">
        <f>IF(J1470="","",IF(T1470="","⚠ not in Products",INDEX(Products!$A$5:$A$204,T1470)))</f>
        <v/>
      </c>
      <c r="V1470" s="11">
        <f>IF(J1470="","",S1470*(IFERROR(INDEX(Settings!$B$5:$B$9,MATCH($B1470,Settings!$A$5:$A$9,0)),0)+IFERROR(INDEX(Settings!$E$5:$E$9,MATCH($B1470,Settings!$A$5:$A$9,0)),0)+IFERROR(INDEX(Settings!$G$5:$G$9,MATCH($B1470,Settings!$A$5:$A$9,0)),0))+(IFERROR(INDEX(Settings!$C$5:$C$9,MATCH($B1470,Settings!$A$5:$A$9,0)),0)+IFERROR(INDEX(Settings!$F$5:$F$9,MATCH($B1470,Settings!$A$5:$A$9,0)),0))/P1470+IFERROR(INDEX(Settings!$D$5:$D$9,MATCH($B1470,Settings!$A$5:$A$9,0)),0)*M1470)</f>
        <v/>
      </c>
      <c r="W1470" s="11">
        <f>IF(J1470="","",IF(T1470="",0,M1470*INDEX(Products!$I$5:$I$204,T1470)))</f>
        <v/>
      </c>
      <c r="X1470" s="11">
        <f>IF(J1470="","",IF(T1470="",0,S1470*INDEX(Products!$H$5:$H$204,T1470)))</f>
        <v/>
      </c>
      <c r="Y1470" s="11">
        <f>IF(J1470="","",S1470-V1470-W1470-X1470)</f>
        <v/>
      </c>
    </row>
    <row r="1471">
      <c r="A1471" s="19" t="n"/>
      <c r="B1471" s="19" t="n"/>
      <c r="C1471" s="19" t="n"/>
      <c r="D1471" s="19" t="n"/>
      <c r="E1471" s="19" t="n"/>
      <c r="F1471" s="20" t="n"/>
      <c r="G1471" s="20" t="n"/>
      <c r="H1471" s="20" t="n"/>
      <c r="I1471" s="19" t="n"/>
      <c r="J1471">
        <f>IFERROR(IF(C1471="","",C1471)&amp;"","")</f>
        <v/>
      </c>
      <c r="K1471">
        <f>IFERROR(IF(D1471="","",D1471)&amp;"","")</f>
        <v/>
      </c>
      <c r="L1471">
        <f>IFERROR(IF(I1471="","",I1471)&amp;"","")</f>
        <v/>
      </c>
      <c r="M1471">
        <f>IF(J1471="","",IFERROR(VALUE(SUBSTITUTE(SUBSTITUTE(IF(E1471="","",E1471)&amp;"","$",""),",","")),0))</f>
        <v/>
      </c>
      <c r="N1471" s="11">
        <f>IF(J1471="","",IFERROR(VALUE(SUBSTITUTE(SUBSTITUTE(IF(F1471="","",F1471)&amp;"","$",""),",","")),0))</f>
        <v/>
      </c>
      <c r="O1471" s="11">
        <f>IF(J1471="","",M1471*N1471)</f>
        <v/>
      </c>
      <c r="P1471">
        <f>IF(J1471="","",IF(L1471="",1,COUNTIF($L$2:$L$1501,L1471)))</f>
        <v/>
      </c>
      <c r="Q1471" s="11">
        <f>IF(J1471="","",IFERROR(VALUE(SUBSTITUTE(SUBSTITUTE(IF(G1471="","",G1471)&amp;"","$",""),",","")),0)/IF("No"="Yes",P1471,1))</f>
        <v/>
      </c>
      <c r="R1471" s="11">
        <f>IF(J1471="","",IFERROR(VALUE(SUBSTITUTE(SUBSTITUTE(IF(H1471="","",H1471)&amp;"","$",""),",","")),0)/IF("No"="Yes",P1471,1))</f>
        <v/>
      </c>
      <c r="S1471" s="11">
        <f>IF(J1471="","",O1471+Q1471-R1471)</f>
        <v/>
      </c>
      <c r="T1471">
        <f>IF(J1471="","",IFERROR(IF(K1471="",NA(),MATCH(K1471,Products!$B$5:$B$204,0)),IFERROR(MATCH(J1471,Products!$A$5:$A$204,0),"")))</f>
        <v/>
      </c>
      <c r="U1471">
        <f>IF(J1471="","",IF(T1471="","⚠ not in Products",INDEX(Products!$A$5:$A$204,T1471)))</f>
        <v/>
      </c>
      <c r="V1471" s="11">
        <f>IF(J1471="","",S1471*(IFERROR(INDEX(Settings!$B$5:$B$9,MATCH($B1471,Settings!$A$5:$A$9,0)),0)+IFERROR(INDEX(Settings!$E$5:$E$9,MATCH($B1471,Settings!$A$5:$A$9,0)),0)+IFERROR(INDEX(Settings!$G$5:$G$9,MATCH($B1471,Settings!$A$5:$A$9,0)),0))+(IFERROR(INDEX(Settings!$C$5:$C$9,MATCH($B1471,Settings!$A$5:$A$9,0)),0)+IFERROR(INDEX(Settings!$F$5:$F$9,MATCH($B1471,Settings!$A$5:$A$9,0)),0))/P1471+IFERROR(INDEX(Settings!$D$5:$D$9,MATCH($B1471,Settings!$A$5:$A$9,0)),0)*M1471)</f>
        <v/>
      </c>
      <c r="W1471" s="11">
        <f>IF(J1471="","",IF(T1471="",0,M1471*INDEX(Products!$I$5:$I$204,T1471)))</f>
        <v/>
      </c>
      <c r="X1471" s="11">
        <f>IF(J1471="","",IF(T1471="",0,S1471*INDEX(Products!$H$5:$H$204,T1471)))</f>
        <v/>
      </c>
      <c r="Y1471" s="11">
        <f>IF(J1471="","",S1471-V1471-W1471-X1471)</f>
        <v/>
      </c>
    </row>
    <row r="1472">
      <c r="A1472" s="19" t="n"/>
      <c r="B1472" s="19" t="n"/>
      <c r="C1472" s="19" t="n"/>
      <c r="D1472" s="19" t="n"/>
      <c r="E1472" s="19" t="n"/>
      <c r="F1472" s="20" t="n"/>
      <c r="G1472" s="20" t="n"/>
      <c r="H1472" s="20" t="n"/>
      <c r="I1472" s="19" t="n"/>
      <c r="J1472">
        <f>IFERROR(IF(C1472="","",C1472)&amp;"","")</f>
        <v/>
      </c>
      <c r="K1472">
        <f>IFERROR(IF(D1472="","",D1472)&amp;"","")</f>
        <v/>
      </c>
      <c r="L1472">
        <f>IFERROR(IF(I1472="","",I1472)&amp;"","")</f>
        <v/>
      </c>
      <c r="M1472">
        <f>IF(J1472="","",IFERROR(VALUE(SUBSTITUTE(SUBSTITUTE(IF(E1472="","",E1472)&amp;"","$",""),",","")),0))</f>
        <v/>
      </c>
      <c r="N1472" s="11">
        <f>IF(J1472="","",IFERROR(VALUE(SUBSTITUTE(SUBSTITUTE(IF(F1472="","",F1472)&amp;"","$",""),",","")),0))</f>
        <v/>
      </c>
      <c r="O1472" s="11">
        <f>IF(J1472="","",M1472*N1472)</f>
        <v/>
      </c>
      <c r="P1472">
        <f>IF(J1472="","",IF(L1472="",1,COUNTIF($L$2:$L$1501,L1472)))</f>
        <v/>
      </c>
      <c r="Q1472" s="11">
        <f>IF(J1472="","",IFERROR(VALUE(SUBSTITUTE(SUBSTITUTE(IF(G1472="","",G1472)&amp;"","$",""),",","")),0)/IF("No"="Yes",P1472,1))</f>
        <v/>
      </c>
      <c r="R1472" s="11">
        <f>IF(J1472="","",IFERROR(VALUE(SUBSTITUTE(SUBSTITUTE(IF(H1472="","",H1472)&amp;"","$",""),",","")),0)/IF("No"="Yes",P1472,1))</f>
        <v/>
      </c>
      <c r="S1472" s="11">
        <f>IF(J1472="","",O1472+Q1472-R1472)</f>
        <v/>
      </c>
      <c r="T1472">
        <f>IF(J1472="","",IFERROR(IF(K1472="",NA(),MATCH(K1472,Products!$B$5:$B$204,0)),IFERROR(MATCH(J1472,Products!$A$5:$A$204,0),"")))</f>
        <v/>
      </c>
      <c r="U1472">
        <f>IF(J1472="","",IF(T1472="","⚠ not in Products",INDEX(Products!$A$5:$A$204,T1472)))</f>
        <v/>
      </c>
      <c r="V1472" s="11">
        <f>IF(J1472="","",S1472*(IFERROR(INDEX(Settings!$B$5:$B$9,MATCH($B1472,Settings!$A$5:$A$9,0)),0)+IFERROR(INDEX(Settings!$E$5:$E$9,MATCH($B1472,Settings!$A$5:$A$9,0)),0)+IFERROR(INDEX(Settings!$G$5:$G$9,MATCH($B1472,Settings!$A$5:$A$9,0)),0))+(IFERROR(INDEX(Settings!$C$5:$C$9,MATCH($B1472,Settings!$A$5:$A$9,0)),0)+IFERROR(INDEX(Settings!$F$5:$F$9,MATCH($B1472,Settings!$A$5:$A$9,0)),0))/P1472+IFERROR(INDEX(Settings!$D$5:$D$9,MATCH($B1472,Settings!$A$5:$A$9,0)),0)*M1472)</f>
        <v/>
      </c>
      <c r="W1472" s="11">
        <f>IF(J1472="","",IF(T1472="",0,M1472*INDEX(Products!$I$5:$I$204,T1472)))</f>
        <v/>
      </c>
      <c r="X1472" s="11">
        <f>IF(J1472="","",IF(T1472="",0,S1472*INDEX(Products!$H$5:$H$204,T1472)))</f>
        <v/>
      </c>
      <c r="Y1472" s="11">
        <f>IF(J1472="","",S1472-V1472-W1472-X1472)</f>
        <v/>
      </c>
    </row>
    <row r="1473">
      <c r="A1473" s="19" t="n"/>
      <c r="B1473" s="19" t="n"/>
      <c r="C1473" s="19" t="n"/>
      <c r="D1473" s="19" t="n"/>
      <c r="E1473" s="19" t="n"/>
      <c r="F1473" s="20" t="n"/>
      <c r="G1473" s="20" t="n"/>
      <c r="H1473" s="20" t="n"/>
      <c r="I1473" s="19" t="n"/>
      <c r="J1473">
        <f>IFERROR(IF(C1473="","",C1473)&amp;"","")</f>
        <v/>
      </c>
      <c r="K1473">
        <f>IFERROR(IF(D1473="","",D1473)&amp;"","")</f>
        <v/>
      </c>
      <c r="L1473">
        <f>IFERROR(IF(I1473="","",I1473)&amp;"","")</f>
        <v/>
      </c>
      <c r="M1473">
        <f>IF(J1473="","",IFERROR(VALUE(SUBSTITUTE(SUBSTITUTE(IF(E1473="","",E1473)&amp;"","$",""),",","")),0))</f>
        <v/>
      </c>
      <c r="N1473" s="11">
        <f>IF(J1473="","",IFERROR(VALUE(SUBSTITUTE(SUBSTITUTE(IF(F1473="","",F1473)&amp;"","$",""),",","")),0))</f>
        <v/>
      </c>
      <c r="O1473" s="11">
        <f>IF(J1473="","",M1473*N1473)</f>
        <v/>
      </c>
      <c r="P1473">
        <f>IF(J1473="","",IF(L1473="",1,COUNTIF($L$2:$L$1501,L1473)))</f>
        <v/>
      </c>
      <c r="Q1473" s="11">
        <f>IF(J1473="","",IFERROR(VALUE(SUBSTITUTE(SUBSTITUTE(IF(G1473="","",G1473)&amp;"","$",""),",","")),0)/IF("No"="Yes",P1473,1))</f>
        <v/>
      </c>
      <c r="R1473" s="11">
        <f>IF(J1473="","",IFERROR(VALUE(SUBSTITUTE(SUBSTITUTE(IF(H1473="","",H1473)&amp;"","$",""),",","")),0)/IF("No"="Yes",P1473,1))</f>
        <v/>
      </c>
      <c r="S1473" s="11">
        <f>IF(J1473="","",O1473+Q1473-R1473)</f>
        <v/>
      </c>
      <c r="T1473">
        <f>IF(J1473="","",IFERROR(IF(K1473="",NA(),MATCH(K1473,Products!$B$5:$B$204,0)),IFERROR(MATCH(J1473,Products!$A$5:$A$204,0),"")))</f>
        <v/>
      </c>
      <c r="U1473">
        <f>IF(J1473="","",IF(T1473="","⚠ not in Products",INDEX(Products!$A$5:$A$204,T1473)))</f>
        <v/>
      </c>
      <c r="V1473" s="11">
        <f>IF(J1473="","",S1473*(IFERROR(INDEX(Settings!$B$5:$B$9,MATCH($B1473,Settings!$A$5:$A$9,0)),0)+IFERROR(INDEX(Settings!$E$5:$E$9,MATCH($B1473,Settings!$A$5:$A$9,0)),0)+IFERROR(INDEX(Settings!$G$5:$G$9,MATCH($B1473,Settings!$A$5:$A$9,0)),0))+(IFERROR(INDEX(Settings!$C$5:$C$9,MATCH($B1473,Settings!$A$5:$A$9,0)),0)+IFERROR(INDEX(Settings!$F$5:$F$9,MATCH($B1473,Settings!$A$5:$A$9,0)),0))/P1473+IFERROR(INDEX(Settings!$D$5:$D$9,MATCH($B1473,Settings!$A$5:$A$9,0)),0)*M1473)</f>
        <v/>
      </c>
      <c r="W1473" s="11">
        <f>IF(J1473="","",IF(T1473="",0,M1473*INDEX(Products!$I$5:$I$204,T1473)))</f>
        <v/>
      </c>
      <c r="X1473" s="11">
        <f>IF(J1473="","",IF(T1473="",0,S1473*INDEX(Products!$H$5:$H$204,T1473)))</f>
        <v/>
      </c>
      <c r="Y1473" s="11">
        <f>IF(J1473="","",S1473-V1473-W1473-X1473)</f>
        <v/>
      </c>
    </row>
    <row r="1474">
      <c r="A1474" s="19" t="n"/>
      <c r="B1474" s="19" t="n"/>
      <c r="C1474" s="19" t="n"/>
      <c r="D1474" s="19" t="n"/>
      <c r="E1474" s="19" t="n"/>
      <c r="F1474" s="20" t="n"/>
      <c r="G1474" s="20" t="n"/>
      <c r="H1474" s="20" t="n"/>
      <c r="I1474" s="19" t="n"/>
      <c r="J1474">
        <f>IFERROR(IF(C1474="","",C1474)&amp;"","")</f>
        <v/>
      </c>
      <c r="K1474">
        <f>IFERROR(IF(D1474="","",D1474)&amp;"","")</f>
        <v/>
      </c>
      <c r="L1474">
        <f>IFERROR(IF(I1474="","",I1474)&amp;"","")</f>
        <v/>
      </c>
      <c r="M1474">
        <f>IF(J1474="","",IFERROR(VALUE(SUBSTITUTE(SUBSTITUTE(IF(E1474="","",E1474)&amp;"","$",""),",","")),0))</f>
        <v/>
      </c>
      <c r="N1474" s="11">
        <f>IF(J1474="","",IFERROR(VALUE(SUBSTITUTE(SUBSTITUTE(IF(F1474="","",F1474)&amp;"","$",""),",","")),0))</f>
        <v/>
      </c>
      <c r="O1474" s="11">
        <f>IF(J1474="","",M1474*N1474)</f>
        <v/>
      </c>
      <c r="P1474">
        <f>IF(J1474="","",IF(L1474="",1,COUNTIF($L$2:$L$1501,L1474)))</f>
        <v/>
      </c>
      <c r="Q1474" s="11">
        <f>IF(J1474="","",IFERROR(VALUE(SUBSTITUTE(SUBSTITUTE(IF(G1474="","",G1474)&amp;"","$",""),",","")),0)/IF("No"="Yes",P1474,1))</f>
        <v/>
      </c>
      <c r="R1474" s="11">
        <f>IF(J1474="","",IFERROR(VALUE(SUBSTITUTE(SUBSTITUTE(IF(H1474="","",H1474)&amp;"","$",""),",","")),0)/IF("No"="Yes",P1474,1))</f>
        <v/>
      </c>
      <c r="S1474" s="11">
        <f>IF(J1474="","",O1474+Q1474-R1474)</f>
        <v/>
      </c>
      <c r="T1474">
        <f>IF(J1474="","",IFERROR(IF(K1474="",NA(),MATCH(K1474,Products!$B$5:$B$204,0)),IFERROR(MATCH(J1474,Products!$A$5:$A$204,0),"")))</f>
        <v/>
      </c>
      <c r="U1474">
        <f>IF(J1474="","",IF(T1474="","⚠ not in Products",INDEX(Products!$A$5:$A$204,T1474)))</f>
        <v/>
      </c>
      <c r="V1474" s="11">
        <f>IF(J1474="","",S1474*(IFERROR(INDEX(Settings!$B$5:$B$9,MATCH($B1474,Settings!$A$5:$A$9,0)),0)+IFERROR(INDEX(Settings!$E$5:$E$9,MATCH($B1474,Settings!$A$5:$A$9,0)),0)+IFERROR(INDEX(Settings!$G$5:$G$9,MATCH($B1474,Settings!$A$5:$A$9,0)),0))+(IFERROR(INDEX(Settings!$C$5:$C$9,MATCH($B1474,Settings!$A$5:$A$9,0)),0)+IFERROR(INDEX(Settings!$F$5:$F$9,MATCH($B1474,Settings!$A$5:$A$9,0)),0))/P1474+IFERROR(INDEX(Settings!$D$5:$D$9,MATCH($B1474,Settings!$A$5:$A$9,0)),0)*M1474)</f>
        <v/>
      </c>
      <c r="W1474" s="11">
        <f>IF(J1474="","",IF(T1474="",0,M1474*INDEX(Products!$I$5:$I$204,T1474)))</f>
        <v/>
      </c>
      <c r="X1474" s="11">
        <f>IF(J1474="","",IF(T1474="",0,S1474*INDEX(Products!$H$5:$H$204,T1474)))</f>
        <v/>
      </c>
      <c r="Y1474" s="11">
        <f>IF(J1474="","",S1474-V1474-W1474-X1474)</f>
        <v/>
      </c>
    </row>
    <row r="1475">
      <c r="A1475" s="19" t="n"/>
      <c r="B1475" s="19" t="n"/>
      <c r="C1475" s="19" t="n"/>
      <c r="D1475" s="19" t="n"/>
      <c r="E1475" s="19" t="n"/>
      <c r="F1475" s="20" t="n"/>
      <c r="G1475" s="20" t="n"/>
      <c r="H1475" s="20" t="n"/>
      <c r="I1475" s="19" t="n"/>
      <c r="J1475">
        <f>IFERROR(IF(C1475="","",C1475)&amp;"","")</f>
        <v/>
      </c>
      <c r="K1475">
        <f>IFERROR(IF(D1475="","",D1475)&amp;"","")</f>
        <v/>
      </c>
      <c r="L1475">
        <f>IFERROR(IF(I1475="","",I1475)&amp;"","")</f>
        <v/>
      </c>
      <c r="M1475">
        <f>IF(J1475="","",IFERROR(VALUE(SUBSTITUTE(SUBSTITUTE(IF(E1475="","",E1475)&amp;"","$",""),",","")),0))</f>
        <v/>
      </c>
      <c r="N1475" s="11">
        <f>IF(J1475="","",IFERROR(VALUE(SUBSTITUTE(SUBSTITUTE(IF(F1475="","",F1475)&amp;"","$",""),",","")),0))</f>
        <v/>
      </c>
      <c r="O1475" s="11">
        <f>IF(J1475="","",M1475*N1475)</f>
        <v/>
      </c>
      <c r="P1475">
        <f>IF(J1475="","",IF(L1475="",1,COUNTIF($L$2:$L$1501,L1475)))</f>
        <v/>
      </c>
      <c r="Q1475" s="11">
        <f>IF(J1475="","",IFERROR(VALUE(SUBSTITUTE(SUBSTITUTE(IF(G1475="","",G1475)&amp;"","$",""),",","")),0)/IF("No"="Yes",P1475,1))</f>
        <v/>
      </c>
      <c r="R1475" s="11">
        <f>IF(J1475="","",IFERROR(VALUE(SUBSTITUTE(SUBSTITUTE(IF(H1475="","",H1475)&amp;"","$",""),",","")),0)/IF("No"="Yes",P1475,1))</f>
        <v/>
      </c>
      <c r="S1475" s="11">
        <f>IF(J1475="","",O1475+Q1475-R1475)</f>
        <v/>
      </c>
      <c r="T1475">
        <f>IF(J1475="","",IFERROR(IF(K1475="",NA(),MATCH(K1475,Products!$B$5:$B$204,0)),IFERROR(MATCH(J1475,Products!$A$5:$A$204,0),"")))</f>
        <v/>
      </c>
      <c r="U1475">
        <f>IF(J1475="","",IF(T1475="","⚠ not in Products",INDEX(Products!$A$5:$A$204,T1475)))</f>
        <v/>
      </c>
      <c r="V1475" s="11">
        <f>IF(J1475="","",S1475*(IFERROR(INDEX(Settings!$B$5:$B$9,MATCH($B1475,Settings!$A$5:$A$9,0)),0)+IFERROR(INDEX(Settings!$E$5:$E$9,MATCH($B1475,Settings!$A$5:$A$9,0)),0)+IFERROR(INDEX(Settings!$G$5:$G$9,MATCH($B1475,Settings!$A$5:$A$9,0)),0))+(IFERROR(INDEX(Settings!$C$5:$C$9,MATCH($B1475,Settings!$A$5:$A$9,0)),0)+IFERROR(INDEX(Settings!$F$5:$F$9,MATCH($B1475,Settings!$A$5:$A$9,0)),0))/P1475+IFERROR(INDEX(Settings!$D$5:$D$9,MATCH($B1475,Settings!$A$5:$A$9,0)),0)*M1475)</f>
        <v/>
      </c>
      <c r="W1475" s="11">
        <f>IF(J1475="","",IF(T1475="",0,M1475*INDEX(Products!$I$5:$I$204,T1475)))</f>
        <v/>
      </c>
      <c r="X1475" s="11">
        <f>IF(J1475="","",IF(T1475="",0,S1475*INDEX(Products!$H$5:$H$204,T1475)))</f>
        <v/>
      </c>
      <c r="Y1475" s="11">
        <f>IF(J1475="","",S1475-V1475-W1475-X1475)</f>
        <v/>
      </c>
    </row>
    <row r="1476">
      <c r="A1476" s="19" t="n"/>
      <c r="B1476" s="19" t="n"/>
      <c r="C1476" s="19" t="n"/>
      <c r="D1476" s="19" t="n"/>
      <c r="E1476" s="19" t="n"/>
      <c r="F1476" s="20" t="n"/>
      <c r="G1476" s="20" t="n"/>
      <c r="H1476" s="20" t="n"/>
      <c r="I1476" s="19" t="n"/>
      <c r="J1476">
        <f>IFERROR(IF(C1476="","",C1476)&amp;"","")</f>
        <v/>
      </c>
      <c r="K1476">
        <f>IFERROR(IF(D1476="","",D1476)&amp;"","")</f>
        <v/>
      </c>
      <c r="L1476">
        <f>IFERROR(IF(I1476="","",I1476)&amp;"","")</f>
        <v/>
      </c>
      <c r="M1476">
        <f>IF(J1476="","",IFERROR(VALUE(SUBSTITUTE(SUBSTITUTE(IF(E1476="","",E1476)&amp;"","$",""),",","")),0))</f>
        <v/>
      </c>
      <c r="N1476" s="11">
        <f>IF(J1476="","",IFERROR(VALUE(SUBSTITUTE(SUBSTITUTE(IF(F1476="","",F1476)&amp;"","$",""),",","")),0))</f>
        <v/>
      </c>
      <c r="O1476" s="11">
        <f>IF(J1476="","",M1476*N1476)</f>
        <v/>
      </c>
      <c r="P1476">
        <f>IF(J1476="","",IF(L1476="",1,COUNTIF($L$2:$L$1501,L1476)))</f>
        <v/>
      </c>
      <c r="Q1476" s="11">
        <f>IF(J1476="","",IFERROR(VALUE(SUBSTITUTE(SUBSTITUTE(IF(G1476="","",G1476)&amp;"","$",""),",","")),0)/IF("No"="Yes",P1476,1))</f>
        <v/>
      </c>
      <c r="R1476" s="11">
        <f>IF(J1476="","",IFERROR(VALUE(SUBSTITUTE(SUBSTITUTE(IF(H1476="","",H1476)&amp;"","$",""),",","")),0)/IF("No"="Yes",P1476,1))</f>
        <v/>
      </c>
      <c r="S1476" s="11">
        <f>IF(J1476="","",O1476+Q1476-R1476)</f>
        <v/>
      </c>
      <c r="T1476">
        <f>IF(J1476="","",IFERROR(IF(K1476="",NA(),MATCH(K1476,Products!$B$5:$B$204,0)),IFERROR(MATCH(J1476,Products!$A$5:$A$204,0),"")))</f>
        <v/>
      </c>
      <c r="U1476">
        <f>IF(J1476="","",IF(T1476="","⚠ not in Products",INDEX(Products!$A$5:$A$204,T1476)))</f>
        <v/>
      </c>
      <c r="V1476" s="11">
        <f>IF(J1476="","",S1476*(IFERROR(INDEX(Settings!$B$5:$B$9,MATCH($B1476,Settings!$A$5:$A$9,0)),0)+IFERROR(INDEX(Settings!$E$5:$E$9,MATCH($B1476,Settings!$A$5:$A$9,0)),0)+IFERROR(INDEX(Settings!$G$5:$G$9,MATCH($B1476,Settings!$A$5:$A$9,0)),0))+(IFERROR(INDEX(Settings!$C$5:$C$9,MATCH($B1476,Settings!$A$5:$A$9,0)),0)+IFERROR(INDEX(Settings!$F$5:$F$9,MATCH($B1476,Settings!$A$5:$A$9,0)),0))/P1476+IFERROR(INDEX(Settings!$D$5:$D$9,MATCH($B1476,Settings!$A$5:$A$9,0)),0)*M1476)</f>
        <v/>
      </c>
      <c r="W1476" s="11">
        <f>IF(J1476="","",IF(T1476="",0,M1476*INDEX(Products!$I$5:$I$204,T1476)))</f>
        <v/>
      </c>
      <c r="X1476" s="11">
        <f>IF(J1476="","",IF(T1476="",0,S1476*INDEX(Products!$H$5:$H$204,T1476)))</f>
        <v/>
      </c>
      <c r="Y1476" s="11">
        <f>IF(J1476="","",S1476-V1476-W1476-X1476)</f>
        <v/>
      </c>
    </row>
    <row r="1477">
      <c r="A1477" s="19" t="n"/>
      <c r="B1477" s="19" t="n"/>
      <c r="C1477" s="19" t="n"/>
      <c r="D1477" s="19" t="n"/>
      <c r="E1477" s="19" t="n"/>
      <c r="F1477" s="20" t="n"/>
      <c r="G1477" s="20" t="n"/>
      <c r="H1477" s="20" t="n"/>
      <c r="I1477" s="19" t="n"/>
      <c r="J1477">
        <f>IFERROR(IF(C1477="","",C1477)&amp;"","")</f>
        <v/>
      </c>
      <c r="K1477">
        <f>IFERROR(IF(D1477="","",D1477)&amp;"","")</f>
        <v/>
      </c>
      <c r="L1477">
        <f>IFERROR(IF(I1477="","",I1477)&amp;"","")</f>
        <v/>
      </c>
      <c r="M1477">
        <f>IF(J1477="","",IFERROR(VALUE(SUBSTITUTE(SUBSTITUTE(IF(E1477="","",E1477)&amp;"","$",""),",","")),0))</f>
        <v/>
      </c>
      <c r="N1477" s="11">
        <f>IF(J1477="","",IFERROR(VALUE(SUBSTITUTE(SUBSTITUTE(IF(F1477="","",F1477)&amp;"","$",""),",","")),0))</f>
        <v/>
      </c>
      <c r="O1477" s="11">
        <f>IF(J1477="","",M1477*N1477)</f>
        <v/>
      </c>
      <c r="P1477">
        <f>IF(J1477="","",IF(L1477="",1,COUNTIF($L$2:$L$1501,L1477)))</f>
        <v/>
      </c>
      <c r="Q1477" s="11">
        <f>IF(J1477="","",IFERROR(VALUE(SUBSTITUTE(SUBSTITUTE(IF(G1477="","",G1477)&amp;"","$",""),",","")),0)/IF("No"="Yes",P1477,1))</f>
        <v/>
      </c>
      <c r="R1477" s="11">
        <f>IF(J1477="","",IFERROR(VALUE(SUBSTITUTE(SUBSTITUTE(IF(H1477="","",H1477)&amp;"","$",""),",","")),0)/IF("No"="Yes",P1477,1))</f>
        <v/>
      </c>
      <c r="S1477" s="11">
        <f>IF(J1477="","",O1477+Q1477-R1477)</f>
        <v/>
      </c>
      <c r="T1477">
        <f>IF(J1477="","",IFERROR(IF(K1477="",NA(),MATCH(K1477,Products!$B$5:$B$204,0)),IFERROR(MATCH(J1477,Products!$A$5:$A$204,0),"")))</f>
        <v/>
      </c>
      <c r="U1477">
        <f>IF(J1477="","",IF(T1477="","⚠ not in Products",INDEX(Products!$A$5:$A$204,T1477)))</f>
        <v/>
      </c>
      <c r="V1477" s="11">
        <f>IF(J1477="","",S1477*(IFERROR(INDEX(Settings!$B$5:$B$9,MATCH($B1477,Settings!$A$5:$A$9,0)),0)+IFERROR(INDEX(Settings!$E$5:$E$9,MATCH($B1477,Settings!$A$5:$A$9,0)),0)+IFERROR(INDEX(Settings!$G$5:$G$9,MATCH($B1477,Settings!$A$5:$A$9,0)),0))+(IFERROR(INDEX(Settings!$C$5:$C$9,MATCH($B1477,Settings!$A$5:$A$9,0)),0)+IFERROR(INDEX(Settings!$F$5:$F$9,MATCH($B1477,Settings!$A$5:$A$9,0)),0))/P1477+IFERROR(INDEX(Settings!$D$5:$D$9,MATCH($B1477,Settings!$A$5:$A$9,0)),0)*M1477)</f>
        <v/>
      </c>
      <c r="W1477" s="11">
        <f>IF(J1477="","",IF(T1477="",0,M1477*INDEX(Products!$I$5:$I$204,T1477)))</f>
        <v/>
      </c>
      <c r="X1477" s="11">
        <f>IF(J1477="","",IF(T1477="",0,S1477*INDEX(Products!$H$5:$H$204,T1477)))</f>
        <v/>
      </c>
      <c r="Y1477" s="11">
        <f>IF(J1477="","",S1477-V1477-W1477-X1477)</f>
        <v/>
      </c>
    </row>
    <row r="1478">
      <c r="A1478" s="19" t="n"/>
      <c r="B1478" s="19" t="n"/>
      <c r="C1478" s="19" t="n"/>
      <c r="D1478" s="19" t="n"/>
      <c r="E1478" s="19" t="n"/>
      <c r="F1478" s="20" t="n"/>
      <c r="G1478" s="20" t="n"/>
      <c r="H1478" s="20" t="n"/>
      <c r="I1478" s="19" t="n"/>
      <c r="J1478">
        <f>IFERROR(IF(C1478="","",C1478)&amp;"","")</f>
        <v/>
      </c>
      <c r="K1478">
        <f>IFERROR(IF(D1478="","",D1478)&amp;"","")</f>
        <v/>
      </c>
      <c r="L1478">
        <f>IFERROR(IF(I1478="","",I1478)&amp;"","")</f>
        <v/>
      </c>
      <c r="M1478">
        <f>IF(J1478="","",IFERROR(VALUE(SUBSTITUTE(SUBSTITUTE(IF(E1478="","",E1478)&amp;"","$",""),",","")),0))</f>
        <v/>
      </c>
      <c r="N1478" s="11">
        <f>IF(J1478="","",IFERROR(VALUE(SUBSTITUTE(SUBSTITUTE(IF(F1478="","",F1478)&amp;"","$",""),",","")),0))</f>
        <v/>
      </c>
      <c r="O1478" s="11">
        <f>IF(J1478="","",M1478*N1478)</f>
        <v/>
      </c>
      <c r="P1478">
        <f>IF(J1478="","",IF(L1478="",1,COUNTIF($L$2:$L$1501,L1478)))</f>
        <v/>
      </c>
      <c r="Q1478" s="11">
        <f>IF(J1478="","",IFERROR(VALUE(SUBSTITUTE(SUBSTITUTE(IF(G1478="","",G1478)&amp;"","$",""),",","")),0)/IF("No"="Yes",P1478,1))</f>
        <v/>
      </c>
      <c r="R1478" s="11">
        <f>IF(J1478="","",IFERROR(VALUE(SUBSTITUTE(SUBSTITUTE(IF(H1478="","",H1478)&amp;"","$",""),",","")),0)/IF("No"="Yes",P1478,1))</f>
        <v/>
      </c>
      <c r="S1478" s="11">
        <f>IF(J1478="","",O1478+Q1478-R1478)</f>
        <v/>
      </c>
      <c r="T1478">
        <f>IF(J1478="","",IFERROR(IF(K1478="",NA(),MATCH(K1478,Products!$B$5:$B$204,0)),IFERROR(MATCH(J1478,Products!$A$5:$A$204,0),"")))</f>
        <v/>
      </c>
      <c r="U1478">
        <f>IF(J1478="","",IF(T1478="","⚠ not in Products",INDEX(Products!$A$5:$A$204,T1478)))</f>
        <v/>
      </c>
      <c r="V1478" s="11">
        <f>IF(J1478="","",S1478*(IFERROR(INDEX(Settings!$B$5:$B$9,MATCH($B1478,Settings!$A$5:$A$9,0)),0)+IFERROR(INDEX(Settings!$E$5:$E$9,MATCH($B1478,Settings!$A$5:$A$9,0)),0)+IFERROR(INDEX(Settings!$G$5:$G$9,MATCH($B1478,Settings!$A$5:$A$9,0)),0))+(IFERROR(INDEX(Settings!$C$5:$C$9,MATCH($B1478,Settings!$A$5:$A$9,0)),0)+IFERROR(INDEX(Settings!$F$5:$F$9,MATCH($B1478,Settings!$A$5:$A$9,0)),0))/P1478+IFERROR(INDEX(Settings!$D$5:$D$9,MATCH($B1478,Settings!$A$5:$A$9,0)),0)*M1478)</f>
        <v/>
      </c>
      <c r="W1478" s="11">
        <f>IF(J1478="","",IF(T1478="",0,M1478*INDEX(Products!$I$5:$I$204,T1478)))</f>
        <v/>
      </c>
      <c r="X1478" s="11">
        <f>IF(J1478="","",IF(T1478="",0,S1478*INDEX(Products!$H$5:$H$204,T1478)))</f>
        <v/>
      </c>
      <c r="Y1478" s="11">
        <f>IF(J1478="","",S1478-V1478-W1478-X1478)</f>
        <v/>
      </c>
    </row>
    <row r="1479">
      <c r="A1479" s="19" t="n"/>
      <c r="B1479" s="19" t="n"/>
      <c r="C1479" s="19" t="n"/>
      <c r="D1479" s="19" t="n"/>
      <c r="E1479" s="19" t="n"/>
      <c r="F1479" s="20" t="n"/>
      <c r="G1479" s="20" t="n"/>
      <c r="H1479" s="20" t="n"/>
      <c r="I1479" s="19" t="n"/>
      <c r="J1479">
        <f>IFERROR(IF(C1479="","",C1479)&amp;"","")</f>
        <v/>
      </c>
      <c r="K1479">
        <f>IFERROR(IF(D1479="","",D1479)&amp;"","")</f>
        <v/>
      </c>
      <c r="L1479">
        <f>IFERROR(IF(I1479="","",I1479)&amp;"","")</f>
        <v/>
      </c>
      <c r="M1479">
        <f>IF(J1479="","",IFERROR(VALUE(SUBSTITUTE(SUBSTITUTE(IF(E1479="","",E1479)&amp;"","$",""),",","")),0))</f>
        <v/>
      </c>
      <c r="N1479" s="11">
        <f>IF(J1479="","",IFERROR(VALUE(SUBSTITUTE(SUBSTITUTE(IF(F1479="","",F1479)&amp;"","$",""),",","")),0))</f>
        <v/>
      </c>
      <c r="O1479" s="11">
        <f>IF(J1479="","",M1479*N1479)</f>
        <v/>
      </c>
      <c r="P1479">
        <f>IF(J1479="","",IF(L1479="",1,COUNTIF($L$2:$L$1501,L1479)))</f>
        <v/>
      </c>
      <c r="Q1479" s="11">
        <f>IF(J1479="","",IFERROR(VALUE(SUBSTITUTE(SUBSTITUTE(IF(G1479="","",G1479)&amp;"","$",""),",","")),0)/IF("No"="Yes",P1479,1))</f>
        <v/>
      </c>
      <c r="R1479" s="11">
        <f>IF(J1479="","",IFERROR(VALUE(SUBSTITUTE(SUBSTITUTE(IF(H1479="","",H1479)&amp;"","$",""),",","")),0)/IF("No"="Yes",P1479,1))</f>
        <v/>
      </c>
      <c r="S1479" s="11">
        <f>IF(J1479="","",O1479+Q1479-R1479)</f>
        <v/>
      </c>
      <c r="T1479">
        <f>IF(J1479="","",IFERROR(IF(K1479="",NA(),MATCH(K1479,Products!$B$5:$B$204,0)),IFERROR(MATCH(J1479,Products!$A$5:$A$204,0),"")))</f>
        <v/>
      </c>
      <c r="U1479">
        <f>IF(J1479="","",IF(T1479="","⚠ not in Products",INDEX(Products!$A$5:$A$204,T1479)))</f>
        <v/>
      </c>
      <c r="V1479" s="11">
        <f>IF(J1479="","",S1479*(IFERROR(INDEX(Settings!$B$5:$B$9,MATCH($B1479,Settings!$A$5:$A$9,0)),0)+IFERROR(INDEX(Settings!$E$5:$E$9,MATCH($B1479,Settings!$A$5:$A$9,0)),0)+IFERROR(INDEX(Settings!$G$5:$G$9,MATCH($B1479,Settings!$A$5:$A$9,0)),0))+(IFERROR(INDEX(Settings!$C$5:$C$9,MATCH($B1479,Settings!$A$5:$A$9,0)),0)+IFERROR(INDEX(Settings!$F$5:$F$9,MATCH($B1479,Settings!$A$5:$A$9,0)),0))/P1479+IFERROR(INDEX(Settings!$D$5:$D$9,MATCH($B1479,Settings!$A$5:$A$9,0)),0)*M1479)</f>
        <v/>
      </c>
      <c r="W1479" s="11">
        <f>IF(J1479="","",IF(T1479="",0,M1479*INDEX(Products!$I$5:$I$204,T1479)))</f>
        <v/>
      </c>
      <c r="X1479" s="11">
        <f>IF(J1479="","",IF(T1479="",0,S1479*INDEX(Products!$H$5:$H$204,T1479)))</f>
        <v/>
      </c>
      <c r="Y1479" s="11">
        <f>IF(J1479="","",S1479-V1479-W1479-X1479)</f>
        <v/>
      </c>
    </row>
    <row r="1480">
      <c r="A1480" s="19" t="n"/>
      <c r="B1480" s="19" t="n"/>
      <c r="C1480" s="19" t="n"/>
      <c r="D1480" s="19" t="n"/>
      <c r="E1480" s="19" t="n"/>
      <c r="F1480" s="20" t="n"/>
      <c r="G1480" s="20" t="n"/>
      <c r="H1480" s="20" t="n"/>
      <c r="I1480" s="19" t="n"/>
      <c r="J1480">
        <f>IFERROR(IF(C1480="","",C1480)&amp;"","")</f>
        <v/>
      </c>
      <c r="K1480">
        <f>IFERROR(IF(D1480="","",D1480)&amp;"","")</f>
        <v/>
      </c>
      <c r="L1480">
        <f>IFERROR(IF(I1480="","",I1480)&amp;"","")</f>
        <v/>
      </c>
      <c r="M1480">
        <f>IF(J1480="","",IFERROR(VALUE(SUBSTITUTE(SUBSTITUTE(IF(E1480="","",E1480)&amp;"","$",""),",","")),0))</f>
        <v/>
      </c>
      <c r="N1480" s="11">
        <f>IF(J1480="","",IFERROR(VALUE(SUBSTITUTE(SUBSTITUTE(IF(F1480="","",F1480)&amp;"","$",""),",","")),0))</f>
        <v/>
      </c>
      <c r="O1480" s="11">
        <f>IF(J1480="","",M1480*N1480)</f>
        <v/>
      </c>
      <c r="P1480">
        <f>IF(J1480="","",IF(L1480="",1,COUNTIF($L$2:$L$1501,L1480)))</f>
        <v/>
      </c>
      <c r="Q1480" s="11">
        <f>IF(J1480="","",IFERROR(VALUE(SUBSTITUTE(SUBSTITUTE(IF(G1480="","",G1480)&amp;"","$",""),",","")),0)/IF("No"="Yes",P1480,1))</f>
        <v/>
      </c>
      <c r="R1480" s="11">
        <f>IF(J1480="","",IFERROR(VALUE(SUBSTITUTE(SUBSTITUTE(IF(H1480="","",H1480)&amp;"","$",""),",","")),0)/IF("No"="Yes",P1480,1))</f>
        <v/>
      </c>
      <c r="S1480" s="11">
        <f>IF(J1480="","",O1480+Q1480-R1480)</f>
        <v/>
      </c>
      <c r="T1480">
        <f>IF(J1480="","",IFERROR(IF(K1480="",NA(),MATCH(K1480,Products!$B$5:$B$204,0)),IFERROR(MATCH(J1480,Products!$A$5:$A$204,0),"")))</f>
        <v/>
      </c>
      <c r="U1480">
        <f>IF(J1480="","",IF(T1480="","⚠ not in Products",INDEX(Products!$A$5:$A$204,T1480)))</f>
        <v/>
      </c>
      <c r="V1480" s="11">
        <f>IF(J1480="","",S1480*(IFERROR(INDEX(Settings!$B$5:$B$9,MATCH($B1480,Settings!$A$5:$A$9,0)),0)+IFERROR(INDEX(Settings!$E$5:$E$9,MATCH($B1480,Settings!$A$5:$A$9,0)),0)+IFERROR(INDEX(Settings!$G$5:$G$9,MATCH($B1480,Settings!$A$5:$A$9,0)),0))+(IFERROR(INDEX(Settings!$C$5:$C$9,MATCH($B1480,Settings!$A$5:$A$9,0)),0)+IFERROR(INDEX(Settings!$F$5:$F$9,MATCH($B1480,Settings!$A$5:$A$9,0)),0))/P1480+IFERROR(INDEX(Settings!$D$5:$D$9,MATCH($B1480,Settings!$A$5:$A$9,0)),0)*M1480)</f>
        <v/>
      </c>
      <c r="W1480" s="11">
        <f>IF(J1480="","",IF(T1480="",0,M1480*INDEX(Products!$I$5:$I$204,T1480)))</f>
        <v/>
      </c>
      <c r="X1480" s="11">
        <f>IF(J1480="","",IF(T1480="",0,S1480*INDEX(Products!$H$5:$H$204,T1480)))</f>
        <v/>
      </c>
      <c r="Y1480" s="11">
        <f>IF(J1480="","",S1480-V1480-W1480-X1480)</f>
        <v/>
      </c>
    </row>
    <row r="1481">
      <c r="A1481" s="19" t="n"/>
      <c r="B1481" s="19" t="n"/>
      <c r="C1481" s="19" t="n"/>
      <c r="D1481" s="19" t="n"/>
      <c r="E1481" s="19" t="n"/>
      <c r="F1481" s="20" t="n"/>
      <c r="G1481" s="20" t="n"/>
      <c r="H1481" s="20" t="n"/>
      <c r="I1481" s="19" t="n"/>
      <c r="J1481">
        <f>IFERROR(IF(C1481="","",C1481)&amp;"","")</f>
        <v/>
      </c>
      <c r="K1481">
        <f>IFERROR(IF(D1481="","",D1481)&amp;"","")</f>
        <v/>
      </c>
      <c r="L1481">
        <f>IFERROR(IF(I1481="","",I1481)&amp;"","")</f>
        <v/>
      </c>
      <c r="M1481">
        <f>IF(J1481="","",IFERROR(VALUE(SUBSTITUTE(SUBSTITUTE(IF(E1481="","",E1481)&amp;"","$",""),",","")),0))</f>
        <v/>
      </c>
      <c r="N1481" s="11">
        <f>IF(J1481="","",IFERROR(VALUE(SUBSTITUTE(SUBSTITUTE(IF(F1481="","",F1481)&amp;"","$",""),",","")),0))</f>
        <v/>
      </c>
      <c r="O1481" s="11">
        <f>IF(J1481="","",M1481*N1481)</f>
        <v/>
      </c>
      <c r="P1481">
        <f>IF(J1481="","",IF(L1481="",1,COUNTIF($L$2:$L$1501,L1481)))</f>
        <v/>
      </c>
      <c r="Q1481" s="11">
        <f>IF(J1481="","",IFERROR(VALUE(SUBSTITUTE(SUBSTITUTE(IF(G1481="","",G1481)&amp;"","$",""),",","")),0)/IF("No"="Yes",P1481,1))</f>
        <v/>
      </c>
      <c r="R1481" s="11">
        <f>IF(J1481="","",IFERROR(VALUE(SUBSTITUTE(SUBSTITUTE(IF(H1481="","",H1481)&amp;"","$",""),",","")),0)/IF("No"="Yes",P1481,1))</f>
        <v/>
      </c>
      <c r="S1481" s="11">
        <f>IF(J1481="","",O1481+Q1481-R1481)</f>
        <v/>
      </c>
      <c r="T1481">
        <f>IF(J1481="","",IFERROR(IF(K1481="",NA(),MATCH(K1481,Products!$B$5:$B$204,0)),IFERROR(MATCH(J1481,Products!$A$5:$A$204,0),"")))</f>
        <v/>
      </c>
      <c r="U1481">
        <f>IF(J1481="","",IF(T1481="","⚠ not in Products",INDEX(Products!$A$5:$A$204,T1481)))</f>
        <v/>
      </c>
      <c r="V1481" s="11">
        <f>IF(J1481="","",S1481*(IFERROR(INDEX(Settings!$B$5:$B$9,MATCH($B1481,Settings!$A$5:$A$9,0)),0)+IFERROR(INDEX(Settings!$E$5:$E$9,MATCH($B1481,Settings!$A$5:$A$9,0)),0)+IFERROR(INDEX(Settings!$G$5:$G$9,MATCH($B1481,Settings!$A$5:$A$9,0)),0))+(IFERROR(INDEX(Settings!$C$5:$C$9,MATCH($B1481,Settings!$A$5:$A$9,0)),0)+IFERROR(INDEX(Settings!$F$5:$F$9,MATCH($B1481,Settings!$A$5:$A$9,0)),0))/P1481+IFERROR(INDEX(Settings!$D$5:$D$9,MATCH($B1481,Settings!$A$5:$A$9,0)),0)*M1481)</f>
        <v/>
      </c>
      <c r="W1481" s="11">
        <f>IF(J1481="","",IF(T1481="",0,M1481*INDEX(Products!$I$5:$I$204,T1481)))</f>
        <v/>
      </c>
      <c r="X1481" s="11">
        <f>IF(J1481="","",IF(T1481="",0,S1481*INDEX(Products!$H$5:$H$204,T1481)))</f>
        <v/>
      </c>
      <c r="Y1481" s="11">
        <f>IF(J1481="","",S1481-V1481-W1481-X1481)</f>
        <v/>
      </c>
    </row>
    <row r="1482">
      <c r="A1482" s="19" t="n"/>
      <c r="B1482" s="19" t="n"/>
      <c r="C1482" s="19" t="n"/>
      <c r="D1482" s="19" t="n"/>
      <c r="E1482" s="19" t="n"/>
      <c r="F1482" s="20" t="n"/>
      <c r="G1482" s="20" t="n"/>
      <c r="H1482" s="20" t="n"/>
      <c r="I1482" s="19" t="n"/>
      <c r="J1482">
        <f>IFERROR(IF(C1482="","",C1482)&amp;"","")</f>
        <v/>
      </c>
      <c r="K1482">
        <f>IFERROR(IF(D1482="","",D1482)&amp;"","")</f>
        <v/>
      </c>
      <c r="L1482">
        <f>IFERROR(IF(I1482="","",I1482)&amp;"","")</f>
        <v/>
      </c>
      <c r="M1482">
        <f>IF(J1482="","",IFERROR(VALUE(SUBSTITUTE(SUBSTITUTE(IF(E1482="","",E1482)&amp;"","$",""),",","")),0))</f>
        <v/>
      </c>
      <c r="N1482" s="11">
        <f>IF(J1482="","",IFERROR(VALUE(SUBSTITUTE(SUBSTITUTE(IF(F1482="","",F1482)&amp;"","$",""),",","")),0))</f>
        <v/>
      </c>
      <c r="O1482" s="11">
        <f>IF(J1482="","",M1482*N1482)</f>
        <v/>
      </c>
      <c r="P1482">
        <f>IF(J1482="","",IF(L1482="",1,COUNTIF($L$2:$L$1501,L1482)))</f>
        <v/>
      </c>
      <c r="Q1482" s="11">
        <f>IF(J1482="","",IFERROR(VALUE(SUBSTITUTE(SUBSTITUTE(IF(G1482="","",G1482)&amp;"","$",""),",","")),0)/IF("No"="Yes",P1482,1))</f>
        <v/>
      </c>
      <c r="R1482" s="11">
        <f>IF(J1482="","",IFERROR(VALUE(SUBSTITUTE(SUBSTITUTE(IF(H1482="","",H1482)&amp;"","$",""),",","")),0)/IF("No"="Yes",P1482,1))</f>
        <v/>
      </c>
      <c r="S1482" s="11">
        <f>IF(J1482="","",O1482+Q1482-R1482)</f>
        <v/>
      </c>
      <c r="T1482">
        <f>IF(J1482="","",IFERROR(IF(K1482="",NA(),MATCH(K1482,Products!$B$5:$B$204,0)),IFERROR(MATCH(J1482,Products!$A$5:$A$204,0),"")))</f>
        <v/>
      </c>
      <c r="U1482">
        <f>IF(J1482="","",IF(T1482="","⚠ not in Products",INDEX(Products!$A$5:$A$204,T1482)))</f>
        <v/>
      </c>
      <c r="V1482" s="11">
        <f>IF(J1482="","",S1482*(IFERROR(INDEX(Settings!$B$5:$B$9,MATCH($B1482,Settings!$A$5:$A$9,0)),0)+IFERROR(INDEX(Settings!$E$5:$E$9,MATCH($B1482,Settings!$A$5:$A$9,0)),0)+IFERROR(INDEX(Settings!$G$5:$G$9,MATCH($B1482,Settings!$A$5:$A$9,0)),0))+(IFERROR(INDEX(Settings!$C$5:$C$9,MATCH($B1482,Settings!$A$5:$A$9,0)),0)+IFERROR(INDEX(Settings!$F$5:$F$9,MATCH($B1482,Settings!$A$5:$A$9,0)),0))/P1482+IFERROR(INDEX(Settings!$D$5:$D$9,MATCH($B1482,Settings!$A$5:$A$9,0)),0)*M1482)</f>
        <v/>
      </c>
      <c r="W1482" s="11">
        <f>IF(J1482="","",IF(T1482="",0,M1482*INDEX(Products!$I$5:$I$204,T1482)))</f>
        <v/>
      </c>
      <c r="X1482" s="11">
        <f>IF(J1482="","",IF(T1482="",0,S1482*INDEX(Products!$H$5:$H$204,T1482)))</f>
        <v/>
      </c>
      <c r="Y1482" s="11">
        <f>IF(J1482="","",S1482-V1482-W1482-X1482)</f>
        <v/>
      </c>
    </row>
    <row r="1483">
      <c r="A1483" s="19" t="n"/>
      <c r="B1483" s="19" t="n"/>
      <c r="C1483" s="19" t="n"/>
      <c r="D1483" s="19" t="n"/>
      <c r="E1483" s="19" t="n"/>
      <c r="F1483" s="20" t="n"/>
      <c r="G1483" s="20" t="n"/>
      <c r="H1483" s="20" t="n"/>
      <c r="I1483" s="19" t="n"/>
      <c r="J1483">
        <f>IFERROR(IF(C1483="","",C1483)&amp;"","")</f>
        <v/>
      </c>
      <c r="K1483">
        <f>IFERROR(IF(D1483="","",D1483)&amp;"","")</f>
        <v/>
      </c>
      <c r="L1483">
        <f>IFERROR(IF(I1483="","",I1483)&amp;"","")</f>
        <v/>
      </c>
      <c r="M1483">
        <f>IF(J1483="","",IFERROR(VALUE(SUBSTITUTE(SUBSTITUTE(IF(E1483="","",E1483)&amp;"","$",""),",","")),0))</f>
        <v/>
      </c>
      <c r="N1483" s="11">
        <f>IF(J1483="","",IFERROR(VALUE(SUBSTITUTE(SUBSTITUTE(IF(F1483="","",F1483)&amp;"","$",""),",","")),0))</f>
        <v/>
      </c>
      <c r="O1483" s="11">
        <f>IF(J1483="","",M1483*N1483)</f>
        <v/>
      </c>
      <c r="P1483">
        <f>IF(J1483="","",IF(L1483="",1,COUNTIF($L$2:$L$1501,L1483)))</f>
        <v/>
      </c>
      <c r="Q1483" s="11">
        <f>IF(J1483="","",IFERROR(VALUE(SUBSTITUTE(SUBSTITUTE(IF(G1483="","",G1483)&amp;"","$",""),",","")),0)/IF("No"="Yes",P1483,1))</f>
        <v/>
      </c>
      <c r="R1483" s="11">
        <f>IF(J1483="","",IFERROR(VALUE(SUBSTITUTE(SUBSTITUTE(IF(H1483="","",H1483)&amp;"","$",""),",","")),0)/IF("No"="Yes",P1483,1))</f>
        <v/>
      </c>
      <c r="S1483" s="11">
        <f>IF(J1483="","",O1483+Q1483-R1483)</f>
        <v/>
      </c>
      <c r="T1483">
        <f>IF(J1483="","",IFERROR(IF(K1483="",NA(),MATCH(K1483,Products!$B$5:$B$204,0)),IFERROR(MATCH(J1483,Products!$A$5:$A$204,0),"")))</f>
        <v/>
      </c>
      <c r="U1483">
        <f>IF(J1483="","",IF(T1483="","⚠ not in Products",INDEX(Products!$A$5:$A$204,T1483)))</f>
        <v/>
      </c>
      <c r="V1483" s="11">
        <f>IF(J1483="","",S1483*(IFERROR(INDEX(Settings!$B$5:$B$9,MATCH($B1483,Settings!$A$5:$A$9,0)),0)+IFERROR(INDEX(Settings!$E$5:$E$9,MATCH($B1483,Settings!$A$5:$A$9,0)),0)+IFERROR(INDEX(Settings!$G$5:$G$9,MATCH($B1483,Settings!$A$5:$A$9,0)),0))+(IFERROR(INDEX(Settings!$C$5:$C$9,MATCH($B1483,Settings!$A$5:$A$9,0)),0)+IFERROR(INDEX(Settings!$F$5:$F$9,MATCH($B1483,Settings!$A$5:$A$9,0)),0))/P1483+IFERROR(INDEX(Settings!$D$5:$D$9,MATCH($B1483,Settings!$A$5:$A$9,0)),0)*M1483)</f>
        <v/>
      </c>
      <c r="W1483" s="11">
        <f>IF(J1483="","",IF(T1483="",0,M1483*INDEX(Products!$I$5:$I$204,T1483)))</f>
        <v/>
      </c>
      <c r="X1483" s="11">
        <f>IF(J1483="","",IF(T1483="",0,S1483*INDEX(Products!$H$5:$H$204,T1483)))</f>
        <v/>
      </c>
      <c r="Y1483" s="11">
        <f>IF(J1483="","",S1483-V1483-W1483-X1483)</f>
        <v/>
      </c>
    </row>
    <row r="1484">
      <c r="A1484" s="19" t="n"/>
      <c r="B1484" s="19" t="n"/>
      <c r="C1484" s="19" t="n"/>
      <c r="D1484" s="19" t="n"/>
      <c r="E1484" s="19" t="n"/>
      <c r="F1484" s="20" t="n"/>
      <c r="G1484" s="20" t="n"/>
      <c r="H1484" s="20" t="n"/>
      <c r="I1484" s="19" t="n"/>
      <c r="J1484">
        <f>IFERROR(IF(C1484="","",C1484)&amp;"","")</f>
        <v/>
      </c>
      <c r="K1484">
        <f>IFERROR(IF(D1484="","",D1484)&amp;"","")</f>
        <v/>
      </c>
      <c r="L1484">
        <f>IFERROR(IF(I1484="","",I1484)&amp;"","")</f>
        <v/>
      </c>
      <c r="M1484">
        <f>IF(J1484="","",IFERROR(VALUE(SUBSTITUTE(SUBSTITUTE(IF(E1484="","",E1484)&amp;"","$",""),",","")),0))</f>
        <v/>
      </c>
      <c r="N1484" s="11">
        <f>IF(J1484="","",IFERROR(VALUE(SUBSTITUTE(SUBSTITUTE(IF(F1484="","",F1484)&amp;"","$",""),",","")),0))</f>
        <v/>
      </c>
      <c r="O1484" s="11">
        <f>IF(J1484="","",M1484*N1484)</f>
        <v/>
      </c>
      <c r="P1484">
        <f>IF(J1484="","",IF(L1484="",1,COUNTIF($L$2:$L$1501,L1484)))</f>
        <v/>
      </c>
      <c r="Q1484" s="11">
        <f>IF(J1484="","",IFERROR(VALUE(SUBSTITUTE(SUBSTITUTE(IF(G1484="","",G1484)&amp;"","$",""),",","")),0)/IF("No"="Yes",P1484,1))</f>
        <v/>
      </c>
      <c r="R1484" s="11">
        <f>IF(J1484="","",IFERROR(VALUE(SUBSTITUTE(SUBSTITUTE(IF(H1484="","",H1484)&amp;"","$",""),",","")),0)/IF("No"="Yes",P1484,1))</f>
        <v/>
      </c>
      <c r="S1484" s="11">
        <f>IF(J1484="","",O1484+Q1484-R1484)</f>
        <v/>
      </c>
      <c r="T1484">
        <f>IF(J1484="","",IFERROR(IF(K1484="",NA(),MATCH(K1484,Products!$B$5:$B$204,0)),IFERROR(MATCH(J1484,Products!$A$5:$A$204,0),"")))</f>
        <v/>
      </c>
      <c r="U1484">
        <f>IF(J1484="","",IF(T1484="","⚠ not in Products",INDEX(Products!$A$5:$A$204,T1484)))</f>
        <v/>
      </c>
      <c r="V1484" s="11">
        <f>IF(J1484="","",S1484*(IFERROR(INDEX(Settings!$B$5:$B$9,MATCH($B1484,Settings!$A$5:$A$9,0)),0)+IFERROR(INDEX(Settings!$E$5:$E$9,MATCH($B1484,Settings!$A$5:$A$9,0)),0)+IFERROR(INDEX(Settings!$G$5:$G$9,MATCH($B1484,Settings!$A$5:$A$9,0)),0))+(IFERROR(INDEX(Settings!$C$5:$C$9,MATCH($B1484,Settings!$A$5:$A$9,0)),0)+IFERROR(INDEX(Settings!$F$5:$F$9,MATCH($B1484,Settings!$A$5:$A$9,0)),0))/P1484+IFERROR(INDEX(Settings!$D$5:$D$9,MATCH($B1484,Settings!$A$5:$A$9,0)),0)*M1484)</f>
        <v/>
      </c>
      <c r="W1484" s="11">
        <f>IF(J1484="","",IF(T1484="",0,M1484*INDEX(Products!$I$5:$I$204,T1484)))</f>
        <v/>
      </c>
      <c r="X1484" s="11">
        <f>IF(J1484="","",IF(T1484="",0,S1484*INDEX(Products!$H$5:$H$204,T1484)))</f>
        <v/>
      </c>
      <c r="Y1484" s="11">
        <f>IF(J1484="","",S1484-V1484-W1484-X1484)</f>
        <v/>
      </c>
    </row>
    <row r="1485">
      <c r="A1485" s="19" t="n"/>
      <c r="B1485" s="19" t="n"/>
      <c r="C1485" s="19" t="n"/>
      <c r="D1485" s="19" t="n"/>
      <c r="E1485" s="19" t="n"/>
      <c r="F1485" s="20" t="n"/>
      <c r="G1485" s="20" t="n"/>
      <c r="H1485" s="20" t="n"/>
      <c r="I1485" s="19" t="n"/>
      <c r="J1485">
        <f>IFERROR(IF(C1485="","",C1485)&amp;"","")</f>
        <v/>
      </c>
      <c r="K1485">
        <f>IFERROR(IF(D1485="","",D1485)&amp;"","")</f>
        <v/>
      </c>
      <c r="L1485">
        <f>IFERROR(IF(I1485="","",I1485)&amp;"","")</f>
        <v/>
      </c>
      <c r="M1485">
        <f>IF(J1485="","",IFERROR(VALUE(SUBSTITUTE(SUBSTITUTE(IF(E1485="","",E1485)&amp;"","$",""),",","")),0))</f>
        <v/>
      </c>
      <c r="N1485" s="11">
        <f>IF(J1485="","",IFERROR(VALUE(SUBSTITUTE(SUBSTITUTE(IF(F1485="","",F1485)&amp;"","$",""),",","")),0))</f>
        <v/>
      </c>
      <c r="O1485" s="11">
        <f>IF(J1485="","",M1485*N1485)</f>
        <v/>
      </c>
      <c r="P1485">
        <f>IF(J1485="","",IF(L1485="",1,COUNTIF($L$2:$L$1501,L1485)))</f>
        <v/>
      </c>
      <c r="Q1485" s="11">
        <f>IF(J1485="","",IFERROR(VALUE(SUBSTITUTE(SUBSTITUTE(IF(G1485="","",G1485)&amp;"","$",""),",","")),0)/IF("No"="Yes",P1485,1))</f>
        <v/>
      </c>
      <c r="R1485" s="11">
        <f>IF(J1485="","",IFERROR(VALUE(SUBSTITUTE(SUBSTITUTE(IF(H1485="","",H1485)&amp;"","$",""),",","")),0)/IF("No"="Yes",P1485,1))</f>
        <v/>
      </c>
      <c r="S1485" s="11">
        <f>IF(J1485="","",O1485+Q1485-R1485)</f>
        <v/>
      </c>
      <c r="T1485">
        <f>IF(J1485="","",IFERROR(IF(K1485="",NA(),MATCH(K1485,Products!$B$5:$B$204,0)),IFERROR(MATCH(J1485,Products!$A$5:$A$204,0),"")))</f>
        <v/>
      </c>
      <c r="U1485">
        <f>IF(J1485="","",IF(T1485="","⚠ not in Products",INDEX(Products!$A$5:$A$204,T1485)))</f>
        <v/>
      </c>
      <c r="V1485" s="11">
        <f>IF(J1485="","",S1485*(IFERROR(INDEX(Settings!$B$5:$B$9,MATCH($B1485,Settings!$A$5:$A$9,0)),0)+IFERROR(INDEX(Settings!$E$5:$E$9,MATCH($B1485,Settings!$A$5:$A$9,0)),0)+IFERROR(INDEX(Settings!$G$5:$G$9,MATCH($B1485,Settings!$A$5:$A$9,0)),0))+(IFERROR(INDEX(Settings!$C$5:$C$9,MATCH($B1485,Settings!$A$5:$A$9,0)),0)+IFERROR(INDEX(Settings!$F$5:$F$9,MATCH($B1485,Settings!$A$5:$A$9,0)),0))/P1485+IFERROR(INDEX(Settings!$D$5:$D$9,MATCH($B1485,Settings!$A$5:$A$9,0)),0)*M1485)</f>
        <v/>
      </c>
      <c r="W1485" s="11">
        <f>IF(J1485="","",IF(T1485="",0,M1485*INDEX(Products!$I$5:$I$204,T1485)))</f>
        <v/>
      </c>
      <c r="X1485" s="11">
        <f>IF(J1485="","",IF(T1485="",0,S1485*INDEX(Products!$H$5:$H$204,T1485)))</f>
        <v/>
      </c>
      <c r="Y1485" s="11">
        <f>IF(J1485="","",S1485-V1485-W1485-X1485)</f>
        <v/>
      </c>
    </row>
    <row r="1486">
      <c r="A1486" s="19" t="n"/>
      <c r="B1486" s="19" t="n"/>
      <c r="C1486" s="19" t="n"/>
      <c r="D1486" s="19" t="n"/>
      <c r="E1486" s="19" t="n"/>
      <c r="F1486" s="20" t="n"/>
      <c r="G1486" s="20" t="n"/>
      <c r="H1486" s="20" t="n"/>
      <c r="I1486" s="19" t="n"/>
      <c r="J1486">
        <f>IFERROR(IF(C1486="","",C1486)&amp;"","")</f>
        <v/>
      </c>
      <c r="K1486">
        <f>IFERROR(IF(D1486="","",D1486)&amp;"","")</f>
        <v/>
      </c>
      <c r="L1486">
        <f>IFERROR(IF(I1486="","",I1486)&amp;"","")</f>
        <v/>
      </c>
      <c r="M1486">
        <f>IF(J1486="","",IFERROR(VALUE(SUBSTITUTE(SUBSTITUTE(IF(E1486="","",E1486)&amp;"","$",""),",","")),0))</f>
        <v/>
      </c>
      <c r="N1486" s="11">
        <f>IF(J1486="","",IFERROR(VALUE(SUBSTITUTE(SUBSTITUTE(IF(F1486="","",F1486)&amp;"","$",""),",","")),0))</f>
        <v/>
      </c>
      <c r="O1486" s="11">
        <f>IF(J1486="","",M1486*N1486)</f>
        <v/>
      </c>
      <c r="P1486">
        <f>IF(J1486="","",IF(L1486="",1,COUNTIF($L$2:$L$1501,L1486)))</f>
        <v/>
      </c>
      <c r="Q1486" s="11">
        <f>IF(J1486="","",IFERROR(VALUE(SUBSTITUTE(SUBSTITUTE(IF(G1486="","",G1486)&amp;"","$",""),",","")),0)/IF("No"="Yes",P1486,1))</f>
        <v/>
      </c>
      <c r="R1486" s="11">
        <f>IF(J1486="","",IFERROR(VALUE(SUBSTITUTE(SUBSTITUTE(IF(H1486="","",H1486)&amp;"","$",""),",","")),0)/IF("No"="Yes",P1486,1))</f>
        <v/>
      </c>
      <c r="S1486" s="11">
        <f>IF(J1486="","",O1486+Q1486-R1486)</f>
        <v/>
      </c>
      <c r="T1486">
        <f>IF(J1486="","",IFERROR(IF(K1486="",NA(),MATCH(K1486,Products!$B$5:$B$204,0)),IFERROR(MATCH(J1486,Products!$A$5:$A$204,0),"")))</f>
        <v/>
      </c>
      <c r="U1486">
        <f>IF(J1486="","",IF(T1486="","⚠ not in Products",INDEX(Products!$A$5:$A$204,T1486)))</f>
        <v/>
      </c>
      <c r="V1486" s="11">
        <f>IF(J1486="","",S1486*(IFERROR(INDEX(Settings!$B$5:$B$9,MATCH($B1486,Settings!$A$5:$A$9,0)),0)+IFERROR(INDEX(Settings!$E$5:$E$9,MATCH($B1486,Settings!$A$5:$A$9,0)),0)+IFERROR(INDEX(Settings!$G$5:$G$9,MATCH($B1486,Settings!$A$5:$A$9,0)),0))+(IFERROR(INDEX(Settings!$C$5:$C$9,MATCH($B1486,Settings!$A$5:$A$9,0)),0)+IFERROR(INDEX(Settings!$F$5:$F$9,MATCH($B1486,Settings!$A$5:$A$9,0)),0))/P1486+IFERROR(INDEX(Settings!$D$5:$D$9,MATCH($B1486,Settings!$A$5:$A$9,0)),0)*M1486)</f>
        <v/>
      </c>
      <c r="W1486" s="11">
        <f>IF(J1486="","",IF(T1486="",0,M1486*INDEX(Products!$I$5:$I$204,T1486)))</f>
        <v/>
      </c>
      <c r="X1486" s="11">
        <f>IF(J1486="","",IF(T1486="",0,S1486*INDEX(Products!$H$5:$H$204,T1486)))</f>
        <v/>
      </c>
      <c r="Y1486" s="11">
        <f>IF(J1486="","",S1486-V1486-W1486-X1486)</f>
        <v/>
      </c>
    </row>
    <row r="1487">
      <c r="A1487" s="19" t="n"/>
      <c r="B1487" s="19" t="n"/>
      <c r="C1487" s="19" t="n"/>
      <c r="D1487" s="19" t="n"/>
      <c r="E1487" s="19" t="n"/>
      <c r="F1487" s="20" t="n"/>
      <c r="G1487" s="20" t="n"/>
      <c r="H1487" s="20" t="n"/>
      <c r="I1487" s="19" t="n"/>
      <c r="J1487">
        <f>IFERROR(IF(C1487="","",C1487)&amp;"","")</f>
        <v/>
      </c>
      <c r="K1487">
        <f>IFERROR(IF(D1487="","",D1487)&amp;"","")</f>
        <v/>
      </c>
      <c r="L1487">
        <f>IFERROR(IF(I1487="","",I1487)&amp;"","")</f>
        <v/>
      </c>
      <c r="M1487">
        <f>IF(J1487="","",IFERROR(VALUE(SUBSTITUTE(SUBSTITUTE(IF(E1487="","",E1487)&amp;"","$",""),",","")),0))</f>
        <v/>
      </c>
      <c r="N1487" s="11">
        <f>IF(J1487="","",IFERROR(VALUE(SUBSTITUTE(SUBSTITUTE(IF(F1487="","",F1487)&amp;"","$",""),",","")),0))</f>
        <v/>
      </c>
      <c r="O1487" s="11">
        <f>IF(J1487="","",M1487*N1487)</f>
        <v/>
      </c>
      <c r="P1487">
        <f>IF(J1487="","",IF(L1487="",1,COUNTIF($L$2:$L$1501,L1487)))</f>
        <v/>
      </c>
      <c r="Q1487" s="11">
        <f>IF(J1487="","",IFERROR(VALUE(SUBSTITUTE(SUBSTITUTE(IF(G1487="","",G1487)&amp;"","$",""),",","")),0)/IF("No"="Yes",P1487,1))</f>
        <v/>
      </c>
      <c r="R1487" s="11">
        <f>IF(J1487="","",IFERROR(VALUE(SUBSTITUTE(SUBSTITUTE(IF(H1487="","",H1487)&amp;"","$",""),",","")),0)/IF("No"="Yes",P1487,1))</f>
        <v/>
      </c>
      <c r="S1487" s="11">
        <f>IF(J1487="","",O1487+Q1487-R1487)</f>
        <v/>
      </c>
      <c r="T1487">
        <f>IF(J1487="","",IFERROR(IF(K1487="",NA(),MATCH(K1487,Products!$B$5:$B$204,0)),IFERROR(MATCH(J1487,Products!$A$5:$A$204,0),"")))</f>
        <v/>
      </c>
      <c r="U1487">
        <f>IF(J1487="","",IF(T1487="","⚠ not in Products",INDEX(Products!$A$5:$A$204,T1487)))</f>
        <v/>
      </c>
      <c r="V1487" s="11">
        <f>IF(J1487="","",S1487*(IFERROR(INDEX(Settings!$B$5:$B$9,MATCH($B1487,Settings!$A$5:$A$9,0)),0)+IFERROR(INDEX(Settings!$E$5:$E$9,MATCH($B1487,Settings!$A$5:$A$9,0)),0)+IFERROR(INDEX(Settings!$G$5:$G$9,MATCH($B1487,Settings!$A$5:$A$9,0)),0))+(IFERROR(INDEX(Settings!$C$5:$C$9,MATCH($B1487,Settings!$A$5:$A$9,0)),0)+IFERROR(INDEX(Settings!$F$5:$F$9,MATCH($B1487,Settings!$A$5:$A$9,0)),0))/P1487+IFERROR(INDEX(Settings!$D$5:$D$9,MATCH($B1487,Settings!$A$5:$A$9,0)),0)*M1487)</f>
        <v/>
      </c>
      <c r="W1487" s="11">
        <f>IF(J1487="","",IF(T1487="",0,M1487*INDEX(Products!$I$5:$I$204,T1487)))</f>
        <v/>
      </c>
      <c r="X1487" s="11">
        <f>IF(J1487="","",IF(T1487="",0,S1487*INDEX(Products!$H$5:$H$204,T1487)))</f>
        <v/>
      </c>
      <c r="Y1487" s="11">
        <f>IF(J1487="","",S1487-V1487-W1487-X1487)</f>
        <v/>
      </c>
    </row>
    <row r="1488">
      <c r="A1488" s="19" t="n"/>
      <c r="B1488" s="19" t="n"/>
      <c r="C1488" s="19" t="n"/>
      <c r="D1488" s="19" t="n"/>
      <c r="E1488" s="19" t="n"/>
      <c r="F1488" s="20" t="n"/>
      <c r="G1488" s="20" t="n"/>
      <c r="H1488" s="20" t="n"/>
      <c r="I1488" s="19" t="n"/>
      <c r="J1488">
        <f>IFERROR(IF(C1488="","",C1488)&amp;"","")</f>
        <v/>
      </c>
      <c r="K1488">
        <f>IFERROR(IF(D1488="","",D1488)&amp;"","")</f>
        <v/>
      </c>
      <c r="L1488">
        <f>IFERROR(IF(I1488="","",I1488)&amp;"","")</f>
        <v/>
      </c>
      <c r="M1488">
        <f>IF(J1488="","",IFERROR(VALUE(SUBSTITUTE(SUBSTITUTE(IF(E1488="","",E1488)&amp;"","$",""),",","")),0))</f>
        <v/>
      </c>
      <c r="N1488" s="11">
        <f>IF(J1488="","",IFERROR(VALUE(SUBSTITUTE(SUBSTITUTE(IF(F1488="","",F1488)&amp;"","$",""),",","")),0))</f>
        <v/>
      </c>
      <c r="O1488" s="11">
        <f>IF(J1488="","",M1488*N1488)</f>
        <v/>
      </c>
      <c r="P1488">
        <f>IF(J1488="","",IF(L1488="",1,COUNTIF($L$2:$L$1501,L1488)))</f>
        <v/>
      </c>
      <c r="Q1488" s="11">
        <f>IF(J1488="","",IFERROR(VALUE(SUBSTITUTE(SUBSTITUTE(IF(G1488="","",G1488)&amp;"","$",""),",","")),0)/IF("No"="Yes",P1488,1))</f>
        <v/>
      </c>
      <c r="R1488" s="11">
        <f>IF(J1488="","",IFERROR(VALUE(SUBSTITUTE(SUBSTITUTE(IF(H1488="","",H1488)&amp;"","$",""),",","")),0)/IF("No"="Yes",P1488,1))</f>
        <v/>
      </c>
      <c r="S1488" s="11">
        <f>IF(J1488="","",O1488+Q1488-R1488)</f>
        <v/>
      </c>
      <c r="T1488">
        <f>IF(J1488="","",IFERROR(IF(K1488="",NA(),MATCH(K1488,Products!$B$5:$B$204,0)),IFERROR(MATCH(J1488,Products!$A$5:$A$204,0),"")))</f>
        <v/>
      </c>
      <c r="U1488">
        <f>IF(J1488="","",IF(T1488="","⚠ not in Products",INDEX(Products!$A$5:$A$204,T1488)))</f>
        <v/>
      </c>
      <c r="V1488" s="11">
        <f>IF(J1488="","",S1488*(IFERROR(INDEX(Settings!$B$5:$B$9,MATCH($B1488,Settings!$A$5:$A$9,0)),0)+IFERROR(INDEX(Settings!$E$5:$E$9,MATCH($B1488,Settings!$A$5:$A$9,0)),0)+IFERROR(INDEX(Settings!$G$5:$G$9,MATCH($B1488,Settings!$A$5:$A$9,0)),0))+(IFERROR(INDEX(Settings!$C$5:$C$9,MATCH($B1488,Settings!$A$5:$A$9,0)),0)+IFERROR(INDEX(Settings!$F$5:$F$9,MATCH($B1488,Settings!$A$5:$A$9,0)),0))/P1488+IFERROR(INDEX(Settings!$D$5:$D$9,MATCH($B1488,Settings!$A$5:$A$9,0)),0)*M1488)</f>
        <v/>
      </c>
      <c r="W1488" s="11">
        <f>IF(J1488="","",IF(T1488="",0,M1488*INDEX(Products!$I$5:$I$204,T1488)))</f>
        <v/>
      </c>
      <c r="X1488" s="11">
        <f>IF(J1488="","",IF(T1488="",0,S1488*INDEX(Products!$H$5:$H$204,T1488)))</f>
        <v/>
      </c>
      <c r="Y1488" s="11">
        <f>IF(J1488="","",S1488-V1488-W1488-X1488)</f>
        <v/>
      </c>
    </row>
    <row r="1489">
      <c r="A1489" s="19" t="n"/>
      <c r="B1489" s="19" t="n"/>
      <c r="C1489" s="19" t="n"/>
      <c r="D1489" s="19" t="n"/>
      <c r="E1489" s="19" t="n"/>
      <c r="F1489" s="20" t="n"/>
      <c r="G1489" s="20" t="n"/>
      <c r="H1489" s="20" t="n"/>
      <c r="I1489" s="19" t="n"/>
      <c r="J1489">
        <f>IFERROR(IF(C1489="","",C1489)&amp;"","")</f>
        <v/>
      </c>
      <c r="K1489">
        <f>IFERROR(IF(D1489="","",D1489)&amp;"","")</f>
        <v/>
      </c>
      <c r="L1489">
        <f>IFERROR(IF(I1489="","",I1489)&amp;"","")</f>
        <v/>
      </c>
      <c r="M1489">
        <f>IF(J1489="","",IFERROR(VALUE(SUBSTITUTE(SUBSTITUTE(IF(E1489="","",E1489)&amp;"","$",""),",","")),0))</f>
        <v/>
      </c>
      <c r="N1489" s="11">
        <f>IF(J1489="","",IFERROR(VALUE(SUBSTITUTE(SUBSTITUTE(IF(F1489="","",F1489)&amp;"","$",""),",","")),0))</f>
        <v/>
      </c>
      <c r="O1489" s="11">
        <f>IF(J1489="","",M1489*N1489)</f>
        <v/>
      </c>
      <c r="P1489">
        <f>IF(J1489="","",IF(L1489="",1,COUNTIF($L$2:$L$1501,L1489)))</f>
        <v/>
      </c>
      <c r="Q1489" s="11">
        <f>IF(J1489="","",IFERROR(VALUE(SUBSTITUTE(SUBSTITUTE(IF(G1489="","",G1489)&amp;"","$",""),",","")),0)/IF("No"="Yes",P1489,1))</f>
        <v/>
      </c>
      <c r="R1489" s="11">
        <f>IF(J1489="","",IFERROR(VALUE(SUBSTITUTE(SUBSTITUTE(IF(H1489="","",H1489)&amp;"","$",""),",","")),0)/IF("No"="Yes",P1489,1))</f>
        <v/>
      </c>
      <c r="S1489" s="11">
        <f>IF(J1489="","",O1489+Q1489-R1489)</f>
        <v/>
      </c>
      <c r="T1489">
        <f>IF(J1489="","",IFERROR(IF(K1489="",NA(),MATCH(K1489,Products!$B$5:$B$204,0)),IFERROR(MATCH(J1489,Products!$A$5:$A$204,0),"")))</f>
        <v/>
      </c>
      <c r="U1489">
        <f>IF(J1489="","",IF(T1489="","⚠ not in Products",INDEX(Products!$A$5:$A$204,T1489)))</f>
        <v/>
      </c>
      <c r="V1489" s="11">
        <f>IF(J1489="","",S1489*(IFERROR(INDEX(Settings!$B$5:$B$9,MATCH($B1489,Settings!$A$5:$A$9,0)),0)+IFERROR(INDEX(Settings!$E$5:$E$9,MATCH($B1489,Settings!$A$5:$A$9,0)),0)+IFERROR(INDEX(Settings!$G$5:$G$9,MATCH($B1489,Settings!$A$5:$A$9,0)),0))+(IFERROR(INDEX(Settings!$C$5:$C$9,MATCH($B1489,Settings!$A$5:$A$9,0)),0)+IFERROR(INDEX(Settings!$F$5:$F$9,MATCH($B1489,Settings!$A$5:$A$9,0)),0))/P1489+IFERROR(INDEX(Settings!$D$5:$D$9,MATCH($B1489,Settings!$A$5:$A$9,0)),0)*M1489)</f>
        <v/>
      </c>
      <c r="W1489" s="11">
        <f>IF(J1489="","",IF(T1489="",0,M1489*INDEX(Products!$I$5:$I$204,T1489)))</f>
        <v/>
      </c>
      <c r="X1489" s="11">
        <f>IF(J1489="","",IF(T1489="",0,S1489*INDEX(Products!$H$5:$H$204,T1489)))</f>
        <v/>
      </c>
      <c r="Y1489" s="11">
        <f>IF(J1489="","",S1489-V1489-W1489-X1489)</f>
        <v/>
      </c>
    </row>
    <row r="1490">
      <c r="A1490" s="19" t="n"/>
      <c r="B1490" s="19" t="n"/>
      <c r="C1490" s="19" t="n"/>
      <c r="D1490" s="19" t="n"/>
      <c r="E1490" s="19" t="n"/>
      <c r="F1490" s="20" t="n"/>
      <c r="G1490" s="20" t="n"/>
      <c r="H1490" s="20" t="n"/>
      <c r="I1490" s="19" t="n"/>
      <c r="J1490">
        <f>IFERROR(IF(C1490="","",C1490)&amp;"","")</f>
        <v/>
      </c>
      <c r="K1490">
        <f>IFERROR(IF(D1490="","",D1490)&amp;"","")</f>
        <v/>
      </c>
      <c r="L1490">
        <f>IFERROR(IF(I1490="","",I1490)&amp;"","")</f>
        <v/>
      </c>
      <c r="M1490">
        <f>IF(J1490="","",IFERROR(VALUE(SUBSTITUTE(SUBSTITUTE(IF(E1490="","",E1490)&amp;"","$",""),",","")),0))</f>
        <v/>
      </c>
      <c r="N1490" s="11">
        <f>IF(J1490="","",IFERROR(VALUE(SUBSTITUTE(SUBSTITUTE(IF(F1490="","",F1490)&amp;"","$",""),",","")),0))</f>
        <v/>
      </c>
      <c r="O1490" s="11">
        <f>IF(J1490="","",M1490*N1490)</f>
        <v/>
      </c>
      <c r="P1490">
        <f>IF(J1490="","",IF(L1490="",1,COUNTIF($L$2:$L$1501,L1490)))</f>
        <v/>
      </c>
      <c r="Q1490" s="11">
        <f>IF(J1490="","",IFERROR(VALUE(SUBSTITUTE(SUBSTITUTE(IF(G1490="","",G1490)&amp;"","$",""),",","")),0)/IF("No"="Yes",P1490,1))</f>
        <v/>
      </c>
      <c r="R1490" s="11">
        <f>IF(J1490="","",IFERROR(VALUE(SUBSTITUTE(SUBSTITUTE(IF(H1490="","",H1490)&amp;"","$",""),",","")),0)/IF("No"="Yes",P1490,1))</f>
        <v/>
      </c>
      <c r="S1490" s="11">
        <f>IF(J1490="","",O1490+Q1490-R1490)</f>
        <v/>
      </c>
      <c r="T1490">
        <f>IF(J1490="","",IFERROR(IF(K1490="",NA(),MATCH(K1490,Products!$B$5:$B$204,0)),IFERROR(MATCH(J1490,Products!$A$5:$A$204,0),"")))</f>
        <v/>
      </c>
      <c r="U1490">
        <f>IF(J1490="","",IF(T1490="","⚠ not in Products",INDEX(Products!$A$5:$A$204,T1490)))</f>
        <v/>
      </c>
      <c r="V1490" s="11">
        <f>IF(J1490="","",S1490*(IFERROR(INDEX(Settings!$B$5:$B$9,MATCH($B1490,Settings!$A$5:$A$9,0)),0)+IFERROR(INDEX(Settings!$E$5:$E$9,MATCH($B1490,Settings!$A$5:$A$9,0)),0)+IFERROR(INDEX(Settings!$G$5:$G$9,MATCH($B1490,Settings!$A$5:$A$9,0)),0))+(IFERROR(INDEX(Settings!$C$5:$C$9,MATCH($B1490,Settings!$A$5:$A$9,0)),0)+IFERROR(INDEX(Settings!$F$5:$F$9,MATCH($B1490,Settings!$A$5:$A$9,0)),0))/P1490+IFERROR(INDEX(Settings!$D$5:$D$9,MATCH($B1490,Settings!$A$5:$A$9,0)),0)*M1490)</f>
        <v/>
      </c>
      <c r="W1490" s="11">
        <f>IF(J1490="","",IF(T1490="",0,M1490*INDEX(Products!$I$5:$I$204,T1490)))</f>
        <v/>
      </c>
      <c r="X1490" s="11">
        <f>IF(J1490="","",IF(T1490="",0,S1490*INDEX(Products!$H$5:$H$204,T1490)))</f>
        <v/>
      </c>
      <c r="Y1490" s="11">
        <f>IF(J1490="","",S1490-V1490-W1490-X1490)</f>
        <v/>
      </c>
    </row>
    <row r="1491">
      <c r="A1491" s="19" t="n"/>
      <c r="B1491" s="19" t="n"/>
      <c r="C1491" s="19" t="n"/>
      <c r="D1491" s="19" t="n"/>
      <c r="E1491" s="19" t="n"/>
      <c r="F1491" s="20" t="n"/>
      <c r="G1491" s="20" t="n"/>
      <c r="H1491" s="20" t="n"/>
      <c r="I1491" s="19" t="n"/>
      <c r="J1491">
        <f>IFERROR(IF(C1491="","",C1491)&amp;"","")</f>
        <v/>
      </c>
      <c r="K1491">
        <f>IFERROR(IF(D1491="","",D1491)&amp;"","")</f>
        <v/>
      </c>
      <c r="L1491">
        <f>IFERROR(IF(I1491="","",I1491)&amp;"","")</f>
        <v/>
      </c>
      <c r="M1491">
        <f>IF(J1491="","",IFERROR(VALUE(SUBSTITUTE(SUBSTITUTE(IF(E1491="","",E1491)&amp;"","$",""),",","")),0))</f>
        <v/>
      </c>
      <c r="N1491" s="11">
        <f>IF(J1491="","",IFERROR(VALUE(SUBSTITUTE(SUBSTITUTE(IF(F1491="","",F1491)&amp;"","$",""),",","")),0))</f>
        <v/>
      </c>
      <c r="O1491" s="11">
        <f>IF(J1491="","",M1491*N1491)</f>
        <v/>
      </c>
      <c r="P1491">
        <f>IF(J1491="","",IF(L1491="",1,COUNTIF($L$2:$L$1501,L1491)))</f>
        <v/>
      </c>
      <c r="Q1491" s="11">
        <f>IF(J1491="","",IFERROR(VALUE(SUBSTITUTE(SUBSTITUTE(IF(G1491="","",G1491)&amp;"","$",""),",","")),0)/IF("No"="Yes",P1491,1))</f>
        <v/>
      </c>
      <c r="R1491" s="11">
        <f>IF(J1491="","",IFERROR(VALUE(SUBSTITUTE(SUBSTITUTE(IF(H1491="","",H1491)&amp;"","$",""),",","")),0)/IF("No"="Yes",P1491,1))</f>
        <v/>
      </c>
      <c r="S1491" s="11">
        <f>IF(J1491="","",O1491+Q1491-R1491)</f>
        <v/>
      </c>
      <c r="T1491">
        <f>IF(J1491="","",IFERROR(IF(K1491="",NA(),MATCH(K1491,Products!$B$5:$B$204,0)),IFERROR(MATCH(J1491,Products!$A$5:$A$204,0),"")))</f>
        <v/>
      </c>
      <c r="U1491">
        <f>IF(J1491="","",IF(T1491="","⚠ not in Products",INDEX(Products!$A$5:$A$204,T1491)))</f>
        <v/>
      </c>
      <c r="V1491" s="11">
        <f>IF(J1491="","",S1491*(IFERROR(INDEX(Settings!$B$5:$B$9,MATCH($B1491,Settings!$A$5:$A$9,0)),0)+IFERROR(INDEX(Settings!$E$5:$E$9,MATCH($B1491,Settings!$A$5:$A$9,0)),0)+IFERROR(INDEX(Settings!$G$5:$G$9,MATCH($B1491,Settings!$A$5:$A$9,0)),0))+(IFERROR(INDEX(Settings!$C$5:$C$9,MATCH($B1491,Settings!$A$5:$A$9,0)),0)+IFERROR(INDEX(Settings!$F$5:$F$9,MATCH($B1491,Settings!$A$5:$A$9,0)),0))/P1491+IFERROR(INDEX(Settings!$D$5:$D$9,MATCH($B1491,Settings!$A$5:$A$9,0)),0)*M1491)</f>
        <v/>
      </c>
      <c r="W1491" s="11">
        <f>IF(J1491="","",IF(T1491="",0,M1491*INDEX(Products!$I$5:$I$204,T1491)))</f>
        <v/>
      </c>
      <c r="X1491" s="11">
        <f>IF(J1491="","",IF(T1491="",0,S1491*INDEX(Products!$H$5:$H$204,T1491)))</f>
        <v/>
      </c>
      <c r="Y1491" s="11">
        <f>IF(J1491="","",S1491-V1491-W1491-X1491)</f>
        <v/>
      </c>
    </row>
    <row r="1492">
      <c r="A1492" s="19" t="n"/>
      <c r="B1492" s="19" t="n"/>
      <c r="C1492" s="19" t="n"/>
      <c r="D1492" s="19" t="n"/>
      <c r="E1492" s="19" t="n"/>
      <c r="F1492" s="20" t="n"/>
      <c r="G1492" s="20" t="n"/>
      <c r="H1492" s="20" t="n"/>
      <c r="I1492" s="19" t="n"/>
      <c r="J1492">
        <f>IFERROR(IF(C1492="","",C1492)&amp;"","")</f>
        <v/>
      </c>
      <c r="K1492">
        <f>IFERROR(IF(D1492="","",D1492)&amp;"","")</f>
        <v/>
      </c>
      <c r="L1492">
        <f>IFERROR(IF(I1492="","",I1492)&amp;"","")</f>
        <v/>
      </c>
      <c r="M1492">
        <f>IF(J1492="","",IFERROR(VALUE(SUBSTITUTE(SUBSTITUTE(IF(E1492="","",E1492)&amp;"","$",""),",","")),0))</f>
        <v/>
      </c>
      <c r="N1492" s="11">
        <f>IF(J1492="","",IFERROR(VALUE(SUBSTITUTE(SUBSTITUTE(IF(F1492="","",F1492)&amp;"","$",""),",","")),0))</f>
        <v/>
      </c>
      <c r="O1492" s="11">
        <f>IF(J1492="","",M1492*N1492)</f>
        <v/>
      </c>
      <c r="P1492">
        <f>IF(J1492="","",IF(L1492="",1,COUNTIF($L$2:$L$1501,L1492)))</f>
        <v/>
      </c>
      <c r="Q1492" s="11">
        <f>IF(J1492="","",IFERROR(VALUE(SUBSTITUTE(SUBSTITUTE(IF(G1492="","",G1492)&amp;"","$",""),",","")),0)/IF("No"="Yes",P1492,1))</f>
        <v/>
      </c>
      <c r="R1492" s="11">
        <f>IF(J1492="","",IFERROR(VALUE(SUBSTITUTE(SUBSTITUTE(IF(H1492="","",H1492)&amp;"","$",""),",","")),0)/IF("No"="Yes",P1492,1))</f>
        <v/>
      </c>
      <c r="S1492" s="11">
        <f>IF(J1492="","",O1492+Q1492-R1492)</f>
        <v/>
      </c>
      <c r="T1492">
        <f>IF(J1492="","",IFERROR(IF(K1492="",NA(),MATCH(K1492,Products!$B$5:$B$204,0)),IFERROR(MATCH(J1492,Products!$A$5:$A$204,0),"")))</f>
        <v/>
      </c>
      <c r="U1492">
        <f>IF(J1492="","",IF(T1492="","⚠ not in Products",INDEX(Products!$A$5:$A$204,T1492)))</f>
        <v/>
      </c>
      <c r="V1492" s="11">
        <f>IF(J1492="","",S1492*(IFERROR(INDEX(Settings!$B$5:$B$9,MATCH($B1492,Settings!$A$5:$A$9,0)),0)+IFERROR(INDEX(Settings!$E$5:$E$9,MATCH($B1492,Settings!$A$5:$A$9,0)),0)+IFERROR(INDEX(Settings!$G$5:$G$9,MATCH($B1492,Settings!$A$5:$A$9,0)),0))+(IFERROR(INDEX(Settings!$C$5:$C$9,MATCH($B1492,Settings!$A$5:$A$9,0)),0)+IFERROR(INDEX(Settings!$F$5:$F$9,MATCH($B1492,Settings!$A$5:$A$9,0)),0))/P1492+IFERROR(INDEX(Settings!$D$5:$D$9,MATCH($B1492,Settings!$A$5:$A$9,0)),0)*M1492)</f>
        <v/>
      </c>
      <c r="W1492" s="11">
        <f>IF(J1492="","",IF(T1492="",0,M1492*INDEX(Products!$I$5:$I$204,T1492)))</f>
        <v/>
      </c>
      <c r="X1492" s="11">
        <f>IF(J1492="","",IF(T1492="",0,S1492*INDEX(Products!$H$5:$H$204,T1492)))</f>
        <v/>
      </c>
      <c r="Y1492" s="11">
        <f>IF(J1492="","",S1492-V1492-W1492-X1492)</f>
        <v/>
      </c>
    </row>
    <row r="1493">
      <c r="A1493" s="19" t="n"/>
      <c r="B1493" s="19" t="n"/>
      <c r="C1493" s="19" t="n"/>
      <c r="D1493" s="19" t="n"/>
      <c r="E1493" s="19" t="n"/>
      <c r="F1493" s="20" t="n"/>
      <c r="G1493" s="20" t="n"/>
      <c r="H1493" s="20" t="n"/>
      <c r="I1493" s="19" t="n"/>
      <c r="J1493">
        <f>IFERROR(IF(C1493="","",C1493)&amp;"","")</f>
        <v/>
      </c>
      <c r="K1493">
        <f>IFERROR(IF(D1493="","",D1493)&amp;"","")</f>
        <v/>
      </c>
      <c r="L1493">
        <f>IFERROR(IF(I1493="","",I1493)&amp;"","")</f>
        <v/>
      </c>
      <c r="M1493">
        <f>IF(J1493="","",IFERROR(VALUE(SUBSTITUTE(SUBSTITUTE(IF(E1493="","",E1493)&amp;"","$",""),",","")),0))</f>
        <v/>
      </c>
      <c r="N1493" s="11">
        <f>IF(J1493="","",IFERROR(VALUE(SUBSTITUTE(SUBSTITUTE(IF(F1493="","",F1493)&amp;"","$",""),",","")),0))</f>
        <v/>
      </c>
      <c r="O1493" s="11">
        <f>IF(J1493="","",M1493*N1493)</f>
        <v/>
      </c>
      <c r="P1493">
        <f>IF(J1493="","",IF(L1493="",1,COUNTIF($L$2:$L$1501,L1493)))</f>
        <v/>
      </c>
      <c r="Q1493" s="11">
        <f>IF(J1493="","",IFERROR(VALUE(SUBSTITUTE(SUBSTITUTE(IF(G1493="","",G1493)&amp;"","$",""),",","")),0)/IF("No"="Yes",P1493,1))</f>
        <v/>
      </c>
      <c r="R1493" s="11">
        <f>IF(J1493="","",IFERROR(VALUE(SUBSTITUTE(SUBSTITUTE(IF(H1493="","",H1493)&amp;"","$",""),",","")),0)/IF("No"="Yes",P1493,1))</f>
        <v/>
      </c>
      <c r="S1493" s="11">
        <f>IF(J1493="","",O1493+Q1493-R1493)</f>
        <v/>
      </c>
      <c r="T1493">
        <f>IF(J1493="","",IFERROR(IF(K1493="",NA(),MATCH(K1493,Products!$B$5:$B$204,0)),IFERROR(MATCH(J1493,Products!$A$5:$A$204,0),"")))</f>
        <v/>
      </c>
      <c r="U1493">
        <f>IF(J1493="","",IF(T1493="","⚠ not in Products",INDEX(Products!$A$5:$A$204,T1493)))</f>
        <v/>
      </c>
      <c r="V1493" s="11">
        <f>IF(J1493="","",S1493*(IFERROR(INDEX(Settings!$B$5:$B$9,MATCH($B1493,Settings!$A$5:$A$9,0)),0)+IFERROR(INDEX(Settings!$E$5:$E$9,MATCH($B1493,Settings!$A$5:$A$9,0)),0)+IFERROR(INDEX(Settings!$G$5:$G$9,MATCH($B1493,Settings!$A$5:$A$9,0)),0))+(IFERROR(INDEX(Settings!$C$5:$C$9,MATCH($B1493,Settings!$A$5:$A$9,0)),0)+IFERROR(INDEX(Settings!$F$5:$F$9,MATCH($B1493,Settings!$A$5:$A$9,0)),0))/P1493+IFERROR(INDEX(Settings!$D$5:$D$9,MATCH($B1493,Settings!$A$5:$A$9,0)),0)*M1493)</f>
        <v/>
      </c>
      <c r="W1493" s="11">
        <f>IF(J1493="","",IF(T1493="",0,M1493*INDEX(Products!$I$5:$I$204,T1493)))</f>
        <v/>
      </c>
      <c r="X1493" s="11">
        <f>IF(J1493="","",IF(T1493="",0,S1493*INDEX(Products!$H$5:$H$204,T1493)))</f>
        <v/>
      </c>
      <c r="Y1493" s="11">
        <f>IF(J1493="","",S1493-V1493-W1493-X1493)</f>
        <v/>
      </c>
    </row>
    <row r="1494">
      <c r="A1494" s="19" t="n"/>
      <c r="B1494" s="19" t="n"/>
      <c r="C1494" s="19" t="n"/>
      <c r="D1494" s="19" t="n"/>
      <c r="E1494" s="19" t="n"/>
      <c r="F1494" s="20" t="n"/>
      <c r="G1494" s="20" t="n"/>
      <c r="H1494" s="20" t="n"/>
      <c r="I1494" s="19" t="n"/>
      <c r="J1494">
        <f>IFERROR(IF(C1494="","",C1494)&amp;"","")</f>
        <v/>
      </c>
      <c r="K1494">
        <f>IFERROR(IF(D1494="","",D1494)&amp;"","")</f>
        <v/>
      </c>
      <c r="L1494">
        <f>IFERROR(IF(I1494="","",I1494)&amp;"","")</f>
        <v/>
      </c>
      <c r="M1494">
        <f>IF(J1494="","",IFERROR(VALUE(SUBSTITUTE(SUBSTITUTE(IF(E1494="","",E1494)&amp;"","$",""),",","")),0))</f>
        <v/>
      </c>
      <c r="N1494" s="11">
        <f>IF(J1494="","",IFERROR(VALUE(SUBSTITUTE(SUBSTITUTE(IF(F1494="","",F1494)&amp;"","$",""),",","")),0))</f>
        <v/>
      </c>
      <c r="O1494" s="11">
        <f>IF(J1494="","",M1494*N1494)</f>
        <v/>
      </c>
      <c r="P1494">
        <f>IF(J1494="","",IF(L1494="",1,COUNTIF($L$2:$L$1501,L1494)))</f>
        <v/>
      </c>
      <c r="Q1494" s="11">
        <f>IF(J1494="","",IFERROR(VALUE(SUBSTITUTE(SUBSTITUTE(IF(G1494="","",G1494)&amp;"","$",""),",","")),0)/IF("No"="Yes",P1494,1))</f>
        <v/>
      </c>
      <c r="R1494" s="11">
        <f>IF(J1494="","",IFERROR(VALUE(SUBSTITUTE(SUBSTITUTE(IF(H1494="","",H1494)&amp;"","$",""),",","")),0)/IF("No"="Yes",P1494,1))</f>
        <v/>
      </c>
      <c r="S1494" s="11">
        <f>IF(J1494="","",O1494+Q1494-R1494)</f>
        <v/>
      </c>
      <c r="T1494">
        <f>IF(J1494="","",IFERROR(IF(K1494="",NA(),MATCH(K1494,Products!$B$5:$B$204,0)),IFERROR(MATCH(J1494,Products!$A$5:$A$204,0),"")))</f>
        <v/>
      </c>
      <c r="U1494">
        <f>IF(J1494="","",IF(T1494="","⚠ not in Products",INDEX(Products!$A$5:$A$204,T1494)))</f>
        <v/>
      </c>
      <c r="V1494" s="11">
        <f>IF(J1494="","",S1494*(IFERROR(INDEX(Settings!$B$5:$B$9,MATCH($B1494,Settings!$A$5:$A$9,0)),0)+IFERROR(INDEX(Settings!$E$5:$E$9,MATCH($B1494,Settings!$A$5:$A$9,0)),0)+IFERROR(INDEX(Settings!$G$5:$G$9,MATCH($B1494,Settings!$A$5:$A$9,0)),0))+(IFERROR(INDEX(Settings!$C$5:$C$9,MATCH($B1494,Settings!$A$5:$A$9,0)),0)+IFERROR(INDEX(Settings!$F$5:$F$9,MATCH($B1494,Settings!$A$5:$A$9,0)),0))/P1494+IFERROR(INDEX(Settings!$D$5:$D$9,MATCH($B1494,Settings!$A$5:$A$9,0)),0)*M1494)</f>
        <v/>
      </c>
      <c r="W1494" s="11">
        <f>IF(J1494="","",IF(T1494="",0,M1494*INDEX(Products!$I$5:$I$204,T1494)))</f>
        <v/>
      </c>
      <c r="X1494" s="11">
        <f>IF(J1494="","",IF(T1494="",0,S1494*INDEX(Products!$H$5:$H$204,T1494)))</f>
        <v/>
      </c>
      <c r="Y1494" s="11">
        <f>IF(J1494="","",S1494-V1494-W1494-X1494)</f>
        <v/>
      </c>
    </row>
    <row r="1495">
      <c r="A1495" s="19" t="n"/>
      <c r="B1495" s="19" t="n"/>
      <c r="C1495" s="19" t="n"/>
      <c r="D1495" s="19" t="n"/>
      <c r="E1495" s="19" t="n"/>
      <c r="F1495" s="20" t="n"/>
      <c r="G1495" s="20" t="n"/>
      <c r="H1495" s="20" t="n"/>
      <c r="I1495" s="19" t="n"/>
      <c r="J1495">
        <f>IFERROR(IF(C1495="","",C1495)&amp;"","")</f>
        <v/>
      </c>
      <c r="K1495">
        <f>IFERROR(IF(D1495="","",D1495)&amp;"","")</f>
        <v/>
      </c>
      <c r="L1495">
        <f>IFERROR(IF(I1495="","",I1495)&amp;"","")</f>
        <v/>
      </c>
      <c r="M1495">
        <f>IF(J1495="","",IFERROR(VALUE(SUBSTITUTE(SUBSTITUTE(IF(E1495="","",E1495)&amp;"","$",""),",","")),0))</f>
        <v/>
      </c>
      <c r="N1495" s="11">
        <f>IF(J1495="","",IFERROR(VALUE(SUBSTITUTE(SUBSTITUTE(IF(F1495="","",F1495)&amp;"","$",""),",","")),0))</f>
        <v/>
      </c>
      <c r="O1495" s="11">
        <f>IF(J1495="","",M1495*N1495)</f>
        <v/>
      </c>
      <c r="P1495">
        <f>IF(J1495="","",IF(L1495="",1,COUNTIF($L$2:$L$1501,L1495)))</f>
        <v/>
      </c>
      <c r="Q1495" s="11">
        <f>IF(J1495="","",IFERROR(VALUE(SUBSTITUTE(SUBSTITUTE(IF(G1495="","",G1495)&amp;"","$",""),",","")),0)/IF("No"="Yes",P1495,1))</f>
        <v/>
      </c>
      <c r="R1495" s="11">
        <f>IF(J1495="","",IFERROR(VALUE(SUBSTITUTE(SUBSTITUTE(IF(H1495="","",H1495)&amp;"","$",""),",","")),0)/IF("No"="Yes",P1495,1))</f>
        <v/>
      </c>
      <c r="S1495" s="11">
        <f>IF(J1495="","",O1495+Q1495-R1495)</f>
        <v/>
      </c>
      <c r="T1495">
        <f>IF(J1495="","",IFERROR(IF(K1495="",NA(),MATCH(K1495,Products!$B$5:$B$204,0)),IFERROR(MATCH(J1495,Products!$A$5:$A$204,0),"")))</f>
        <v/>
      </c>
      <c r="U1495">
        <f>IF(J1495="","",IF(T1495="","⚠ not in Products",INDEX(Products!$A$5:$A$204,T1495)))</f>
        <v/>
      </c>
      <c r="V1495" s="11">
        <f>IF(J1495="","",S1495*(IFERROR(INDEX(Settings!$B$5:$B$9,MATCH($B1495,Settings!$A$5:$A$9,0)),0)+IFERROR(INDEX(Settings!$E$5:$E$9,MATCH($B1495,Settings!$A$5:$A$9,0)),0)+IFERROR(INDEX(Settings!$G$5:$G$9,MATCH($B1495,Settings!$A$5:$A$9,0)),0))+(IFERROR(INDEX(Settings!$C$5:$C$9,MATCH($B1495,Settings!$A$5:$A$9,0)),0)+IFERROR(INDEX(Settings!$F$5:$F$9,MATCH($B1495,Settings!$A$5:$A$9,0)),0))/P1495+IFERROR(INDEX(Settings!$D$5:$D$9,MATCH($B1495,Settings!$A$5:$A$9,0)),0)*M1495)</f>
        <v/>
      </c>
      <c r="W1495" s="11">
        <f>IF(J1495="","",IF(T1495="",0,M1495*INDEX(Products!$I$5:$I$204,T1495)))</f>
        <v/>
      </c>
      <c r="X1495" s="11">
        <f>IF(J1495="","",IF(T1495="",0,S1495*INDEX(Products!$H$5:$H$204,T1495)))</f>
        <v/>
      </c>
      <c r="Y1495" s="11">
        <f>IF(J1495="","",S1495-V1495-W1495-X1495)</f>
        <v/>
      </c>
    </row>
    <row r="1496">
      <c r="A1496" s="19" t="n"/>
      <c r="B1496" s="19" t="n"/>
      <c r="C1496" s="19" t="n"/>
      <c r="D1496" s="19" t="n"/>
      <c r="E1496" s="19" t="n"/>
      <c r="F1496" s="20" t="n"/>
      <c r="G1496" s="20" t="n"/>
      <c r="H1496" s="20" t="n"/>
      <c r="I1496" s="19" t="n"/>
      <c r="J1496">
        <f>IFERROR(IF(C1496="","",C1496)&amp;"","")</f>
        <v/>
      </c>
      <c r="K1496">
        <f>IFERROR(IF(D1496="","",D1496)&amp;"","")</f>
        <v/>
      </c>
      <c r="L1496">
        <f>IFERROR(IF(I1496="","",I1496)&amp;"","")</f>
        <v/>
      </c>
      <c r="M1496">
        <f>IF(J1496="","",IFERROR(VALUE(SUBSTITUTE(SUBSTITUTE(IF(E1496="","",E1496)&amp;"","$",""),",","")),0))</f>
        <v/>
      </c>
      <c r="N1496" s="11">
        <f>IF(J1496="","",IFERROR(VALUE(SUBSTITUTE(SUBSTITUTE(IF(F1496="","",F1496)&amp;"","$",""),",","")),0))</f>
        <v/>
      </c>
      <c r="O1496" s="11">
        <f>IF(J1496="","",M1496*N1496)</f>
        <v/>
      </c>
      <c r="P1496">
        <f>IF(J1496="","",IF(L1496="",1,COUNTIF($L$2:$L$1501,L1496)))</f>
        <v/>
      </c>
      <c r="Q1496" s="11">
        <f>IF(J1496="","",IFERROR(VALUE(SUBSTITUTE(SUBSTITUTE(IF(G1496="","",G1496)&amp;"","$",""),",","")),0)/IF("No"="Yes",P1496,1))</f>
        <v/>
      </c>
      <c r="R1496" s="11">
        <f>IF(J1496="","",IFERROR(VALUE(SUBSTITUTE(SUBSTITUTE(IF(H1496="","",H1496)&amp;"","$",""),",","")),0)/IF("No"="Yes",P1496,1))</f>
        <v/>
      </c>
      <c r="S1496" s="11">
        <f>IF(J1496="","",O1496+Q1496-R1496)</f>
        <v/>
      </c>
      <c r="T1496">
        <f>IF(J1496="","",IFERROR(IF(K1496="",NA(),MATCH(K1496,Products!$B$5:$B$204,0)),IFERROR(MATCH(J1496,Products!$A$5:$A$204,0),"")))</f>
        <v/>
      </c>
      <c r="U1496">
        <f>IF(J1496="","",IF(T1496="","⚠ not in Products",INDEX(Products!$A$5:$A$204,T1496)))</f>
        <v/>
      </c>
      <c r="V1496" s="11">
        <f>IF(J1496="","",S1496*(IFERROR(INDEX(Settings!$B$5:$B$9,MATCH($B1496,Settings!$A$5:$A$9,0)),0)+IFERROR(INDEX(Settings!$E$5:$E$9,MATCH($B1496,Settings!$A$5:$A$9,0)),0)+IFERROR(INDEX(Settings!$G$5:$G$9,MATCH($B1496,Settings!$A$5:$A$9,0)),0))+(IFERROR(INDEX(Settings!$C$5:$C$9,MATCH($B1496,Settings!$A$5:$A$9,0)),0)+IFERROR(INDEX(Settings!$F$5:$F$9,MATCH($B1496,Settings!$A$5:$A$9,0)),0))/P1496+IFERROR(INDEX(Settings!$D$5:$D$9,MATCH($B1496,Settings!$A$5:$A$9,0)),0)*M1496)</f>
        <v/>
      </c>
      <c r="W1496" s="11">
        <f>IF(J1496="","",IF(T1496="",0,M1496*INDEX(Products!$I$5:$I$204,T1496)))</f>
        <v/>
      </c>
      <c r="X1496" s="11">
        <f>IF(J1496="","",IF(T1496="",0,S1496*INDEX(Products!$H$5:$H$204,T1496)))</f>
        <v/>
      </c>
      <c r="Y1496" s="11">
        <f>IF(J1496="","",S1496-V1496-W1496-X1496)</f>
        <v/>
      </c>
    </row>
    <row r="1497">
      <c r="A1497" s="19" t="n"/>
      <c r="B1497" s="19" t="n"/>
      <c r="C1497" s="19" t="n"/>
      <c r="D1497" s="19" t="n"/>
      <c r="E1497" s="19" t="n"/>
      <c r="F1497" s="20" t="n"/>
      <c r="G1497" s="20" t="n"/>
      <c r="H1497" s="20" t="n"/>
      <c r="I1497" s="19" t="n"/>
      <c r="J1497">
        <f>IFERROR(IF(C1497="","",C1497)&amp;"","")</f>
        <v/>
      </c>
      <c r="K1497">
        <f>IFERROR(IF(D1497="","",D1497)&amp;"","")</f>
        <v/>
      </c>
      <c r="L1497">
        <f>IFERROR(IF(I1497="","",I1497)&amp;"","")</f>
        <v/>
      </c>
      <c r="M1497">
        <f>IF(J1497="","",IFERROR(VALUE(SUBSTITUTE(SUBSTITUTE(IF(E1497="","",E1497)&amp;"","$",""),",","")),0))</f>
        <v/>
      </c>
      <c r="N1497" s="11">
        <f>IF(J1497="","",IFERROR(VALUE(SUBSTITUTE(SUBSTITUTE(IF(F1497="","",F1497)&amp;"","$",""),",","")),0))</f>
        <v/>
      </c>
      <c r="O1497" s="11">
        <f>IF(J1497="","",M1497*N1497)</f>
        <v/>
      </c>
      <c r="P1497">
        <f>IF(J1497="","",IF(L1497="",1,COUNTIF($L$2:$L$1501,L1497)))</f>
        <v/>
      </c>
      <c r="Q1497" s="11">
        <f>IF(J1497="","",IFERROR(VALUE(SUBSTITUTE(SUBSTITUTE(IF(G1497="","",G1497)&amp;"","$",""),",","")),0)/IF("No"="Yes",P1497,1))</f>
        <v/>
      </c>
      <c r="R1497" s="11">
        <f>IF(J1497="","",IFERROR(VALUE(SUBSTITUTE(SUBSTITUTE(IF(H1497="","",H1497)&amp;"","$",""),",","")),0)/IF("No"="Yes",P1497,1))</f>
        <v/>
      </c>
      <c r="S1497" s="11">
        <f>IF(J1497="","",O1497+Q1497-R1497)</f>
        <v/>
      </c>
      <c r="T1497">
        <f>IF(J1497="","",IFERROR(IF(K1497="",NA(),MATCH(K1497,Products!$B$5:$B$204,0)),IFERROR(MATCH(J1497,Products!$A$5:$A$204,0),"")))</f>
        <v/>
      </c>
      <c r="U1497">
        <f>IF(J1497="","",IF(T1497="","⚠ not in Products",INDEX(Products!$A$5:$A$204,T1497)))</f>
        <v/>
      </c>
      <c r="V1497" s="11">
        <f>IF(J1497="","",S1497*(IFERROR(INDEX(Settings!$B$5:$B$9,MATCH($B1497,Settings!$A$5:$A$9,0)),0)+IFERROR(INDEX(Settings!$E$5:$E$9,MATCH($B1497,Settings!$A$5:$A$9,0)),0)+IFERROR(INDEX(Settings!$G$5:$G$9,MATCH($B1497,Settings!$A$5:$A$9,0)),0))+(IFERROR(INDEX(Settings!$C$5:$C$9,MATCH($B1497,Settings!$A$5:$A$9,0)),0)+IFERROR(INDEX(Settings!$F$5:$F$9,MATCH($B1497,Settings!$A$5:$A$9,0)),0))/P1497+IFERROR(INDEX(Settings!$D$5:$D$9,MATCH($B1497,Settings!$A$5:$A$9,0)),0)*M1497)</f>
        <v/>
      </c>
      <c r="W1497" s="11">
        <f>IF(J1497="","",IF(T1497="",0,M1497*INDEX(Products!$I$5:$I$204,T1497)))</f>
        <v/>
      </c>
      <c r="X1497" s="11">
        <f>IF(J1497="","",IF(T1497="",0,S1497*INDEX(Products!$H$5:$H$204,T1497)))</f>
        <v/>
      </c>
      <c r="Y1497" s="11">
        <f>IF(J1497="","",S1497-V1497-W1497-X1497)</f>
        <v/>
      </c>
    </row>
    <row r="1498">
      <c r="A1498" s="19" t="n"/>
      <c r="B1498" s="19" t="n"/>
      <c r="C1498" s="19" t="n"/>
      <c r="D1498" s="19" t="n"/>
      <c r="E1498" s="19" t="n"/>
      <c r="F1498" s="20" t="n"/>
      <c r="G1498" s="20" t="n"/>
      <c r="H1498" s="20" t="n"/>
      <c r="I1498" s="19" t="n"/>
      <c r="J1498">
        <f>IFERROR(IF(C1498="","",C1498)&amp;"","")</f>
        <v/>
      </c>
      <c r="K1498">
        <f>IFERROR(IF(D1498="","",D1498)&amp;"","")</f>
        <v/>
      </c>
      <c r="L1498">
        <f>IFERROR(IF(I1498="","",I1498)&amp;"","")</f>
        <v/>
      </c>
      <c r="M1498">
        <f>IF(J1498="","",IFERROR(VALUE(SUBSTITUTE(SUBSTITUTE(IF(E1498="","",E1498)&amp;"","$",""),",","")),0))</f>
        <v/>
      </c>
      <c r="N1498" s="11">
        <f>IF(J1498="","",IFERROR(VALUE(SUBSTITUTE(SUBSTITUTE(IF(F1498="","",F1498)&amp;"","$",""),",","")),0))</f>
        <v/>
      </c>
      <c r="O1498" s="11">
        <f>IF(J1498="","",M1498*N1498)</f>
        <v/>
      </c>
      <c r="P1498">
        <f>IF(J1498="","",IF(L1498="",1,COUNTIF($L$2:$L$1501,L1498)))</f>
        <v/>
      </c>
      <c r="Q1498" s="11">
        <f>IF(J1498="","",IFERROR(VALUE(SUBSTITUTE(SUBSTITUTE(IF(G1498="","",G1498)&amp;"","$",""),",","")),0)/IF("No"="Yes",P1498,1))</f>
        <v/>
      </c>
      <c r="R1498" s="11">
        <f>IF(J1498="","",IFERROR(VALUE(SUBSTITUTE(SUBSTITUTE(IF(H1498="","",H1498)&amp;"","$",""),",","")),0)/IF("No"="Yes",P1498,1))</f>
        <v/>
      </c>
      <c r="S1498" s="11">
        <f>IF(J1498="","",O1498+Q1498-R1498)</f>
        <v/>
      </c>
      <c r="T1498">
        <f>IF(J1498="","",IFERROR(IF(K1498="",NA(),MATCH(K1498,Products!$B$5:$B$204,0)),IFERROR(MATCH(J1498,Products!$A$5:$A$204,0),"")))</f>
        <v/>
      </c>
      <c r="U1498">
        <f>IF(J1498="","",IF(T1498="","⚠ not in Products",INDEX(Products!$A$5:$A$204,T1498)))</f>
        <v/>
      </c>
      <c r="V1498" s="11">
        <f>IF(J1498="","",S1498*(IFERROR(INDEX(Settings!$B$5:$B$9,MATCH($B1498,Settings!$A$5:$A$9,0)),0)+IFERROR(INDEX(Settings!$E$5:$E$9,MATCH($B1498,Settings!$A$5:$A$9,0)),0)+IFERROR(INDEX(Settings!$G$5:$G$9,MATCH($B1498,Settings!$A$5:$A$9,0)),0))+(IFERROR(INDEX(Settings!$C$5:$C$9,MATCH($B1498,Settings!$A$5:$A$9,0)),0)+IFERROR(INDEX(Settings!$F$5:$F$9,MATCH($B1498,Settings!$A$5:$A$9,0)),0))/P1498+IFERROR(INDEX(Settings!$D$5:$D$9,MATCH($B1498,Settings!$A$5:$A$9,0)),0)*M1498)</f>
        <v/>
      </c>
      <c r="W1498" s="11">
        <f>IF(J1498="","",IF(T1498="",0,M1498*INDEX(Products!$I$5:$I$204,T1498)))</f>
        <v/>
      </c>
      <c r="X1498" s="11">
        <f>IF(J1498="","",IF(T1498="",0,S1498*INDEX(Products!$H$5:$H$204,T1498)))</f>
        <v/>
      </c>
      <c r="Y1498" s="11">
        <f>IF(J1498="","",S1498-V1498-W1498-X1498)</f>
        <v/>
      </c>
    </row>
    <row r="1499">
      <c r="A1499" s="19" t="n"/>
      <c r="B1499" s="19" t="n"/>
      <c r="C1499" s="19" t="n"/>
      <c r="D1499" s="19" t="n"/>
      <c r="E1499" s="19" t="n"/>
      <c r="F1499" s="20" t="n"/>
      <c r="G1499" s="20" t="n"/>
      <c r="H1499" s="20" t="n"/>
      <c r="I1499" s="19" t="n"/>
      <c r="J1499">
        <f>IFERROR(IF(C1499="","",C1499)&amp;"","")</f>
        <v/>
      </c>
      <c r="K1499">
        <f>IFERROR(IF(D1499="","",D1499)&amp;"","")</f>
        <v/>
      </c>
      <c r="L1499">
        <f>IFERROR(IF(I1499="","",I1499)&amp;"","")</f>
        <v/>
      </c>
      <c r="M1499">
        <f>IF(J1499="","",IFERROR(VALUE(SUBSTITUTE(SUBSTITUTE(IF(E1499="","",E1499)&amp;"","$",""),",","")),0))</f>
        <v/>
      </c>
      <c r="N1499" s="11">
        <f>IF(J1499="","",IFERROR(VALUE(SUBSTITUTE(SUBSTITUTE(IF(F1499="","",F1499)&amp;"","$",""),",","")),0))</f>
        <v/>
      </c>
      <c r="O1499" s="11">
        <f>IF(J1499="","",M1499*N1499)</f>
        <v/>
      </c>
      <c r="P1499">
        <f>IF(J1499="","",IF(L1499="",1,COUNTIF($L$2:$L$1501,L1499)))</f>
        <v/>
      </c>
      <c r="Q1499" s="11">
        <f>IF(J1499="","",IFERROR(VALUE(SUBSTITUTE(SUBSTITUTE(IF(G1499="","",G1499)&amp;"","$",""),",","")),0)/IF("No"="Yes",P1499,1))</f>
        <v/>
      </c>
      <c r="R1499" s="11">
        <f>IF(J1499="","",IFERROR(VALUE(SUBSTITUTE(SUBSTITUTE(IF(H1499="","",H1499)&amp;"","$",""),",","")),0)/IF("No"="Yes",P1499,1))</f>
        <v/>
      </c>
      <c r="S1499" s="11">
        <f>IF(J1499="","",O1499+Q1499-R1499)</f>
        <v/>
      </c>
      <c r="T1499">
        <f>IF(J1499="","",IFERROR(IF(K1499="",NA(),MATCH(K1499,Products!$B$5:$B$204,0)),IFERROR(MATCH(J1499,Products!$A$5:$A$204,0),"")))</f>
        <v/>
      </c>
      <c r="U1499">
        <f>IF(J1499="","",IF(T1499="","⚠ not in Products",INDEX(Products!$A$5:$A$204,T1499)))</f>
        <v/>
      </c>
      <c r="V1499" s="11">
        <f>IF(J1499="","",S1499*(IFERROR(INDEX(Settings!$B$5:$B$9,MATCH($B1499,Settings!$A$5:$A$9,0)),0)+IFERROR(INDEX(Settings!$E$5:$E$9,MATCH($B1499,Settings!$A$5:$A$9,0)),0)+IFERROR(INDEX(Settings!$G$5:$G$9,MATCH($B1499,Settings!$A$5:$A$9,0)),0))+(IFERROR(INDEX(Settings!$C$5:$C$9,MATCH($B1499,Settings!$A$5:$A$9,0)),0)+IFERROR(INDEX(Settings!$F$5:$F$9,MATCH($B1499,Settings!$A$5:$A$9,0)),0))/P1499+IFERROR(INDEX(Settings!$D$5:$D$9,MATCH($B1499,Settings!$A$5:$A$9,0)),0)*M1499)</f>
        <v/>
      </c>
      <c r="W1499" s="11">
        <f>IF(J1499="","",IF(T1499="",0,M1499*INDEX(Products!$I$5:$I$204,T1499)))</f>
        <v/>
      </c>
      <c r="X1499" s="11">
        <f>IF(J1499="","",IF(T1499="",0,S1499*INDEX(Products!$H$5:$H$204,T1499)))</f>
        <v/>
      </c>
      <c r="Y1499" s="11">
        <f>IF(J1499="","",S1499-V1499-W1499-X1499)</f>
        <v/>
      </c>
    </row>
    <row r="1500">
      <c r="A1500" s="19" t="n"/>
      <c r="B1500" s="19" t="n"/>
      <c r="C1500" s="19" t="n"/>
      <c r="D1500" s="19" t="n"/>
      <c r="E1500" s="19" t="n"/>
      <c r="F1500" s="20" t="n"/>
      <c r="G1500" s="20" t="n"/>
      <c r="H1500" s="20" t="n"/>
      <c r="I1500" s="19" t="n"/>
      <c r="J1500">
        <f>IFERROR(IF(C1500="","",C1500)&amp;"","")</f>
        <v/>
      </c>
      <c r="K1500">
        <f>IFERROR(IF(D1500="","",D1500)&amp;"","")</f>
        <v/>
      </c>
      <c r="L1500">
        <f>IFERROR(IF(I1500="","",I1500)&amp;"","")</f>
        <v/>
      </c>
      <c r="M1500">
        <f>IF(J1500="","",IFERROR(VALUE(SUBSTITUTE(SUBSTITUTE(IF(E1500="","",E1500)&amp;"","$",""),",","")),0))</f>
        <v/>
      </c>
      <c r="N1500" s="11">
        <f>IF(J1500="","",IFERROR(VALUE(SUBSTITUTE(SUBSTITUTE(IF(F1500="","",F1500)&amp;"","$",""),",","")),0))</f>
        <v/>
      </c>
      <c r="O1500" s="11">
        <f>IF(J1500="","",M1500*N1500)</f>
        <v/>
      </c>
      <c r="P1500">
        <f>IF(J1500="","",IF(L1500="",1,COUNTIF($L$2:$L$1501,L1500)))</f>
        <v/>
      </c>
      <c r="Q1500" s="11">
        <f>IF(J1500="","",IFERROR(VALUE(SUBSTITUTE(SUBSTITUTE(IF(G1500="","",G1500)&amp;"","$",""),",","")),0)/IF("No"="Yes",P1500,1))</f>
        <v/>
      </c>
      <c r="R1500" s="11">
        <f>IF(J1500="","",IFERROR(VALUE(SUBSTITUTE(SUBSTITUTE(IF(H1500="","",H1500)&amp;"","$",""),",","")),0)/IF("No"="Yes",P1500,1))</f>
        <v/>
      </c>
      <c r="S1500" s="11">
        <f>IF(J1500="","",O1500+Q1500-R1500)</f>
        <v/>
      </c>
      <c r="T1500">
        <f>IF(J1500="","",IFERROR(IF(K1500="",NA(),MATCH(K1500,Products!$B$5:$B$204,0)),IFERROR(MATCH(J1500,Products!$A$5:$A$204,0),"")))</f>
        <v/>
      </c>
      <c r="U1500">
        <f>IF(J1500="","",IF(T1500="","⚠ not in Products",INDEX(Products!$A$5:$A$204,T1500)))</f>
        <v/>
      </c>
      <c r="V1500" s="11">
        <f>IF(J1500="","",S1500*(IFERROR(INDEX(Settings!$B$5:$B$9,MATCH($B1500,Settings!$A$5:$A$9,0)),0)+IFERROR(INDEX(Settings!$E$5:$E$9,MATCH($B1500,Settings!$A$5:$A$9,0)),0)+IFERROR(INDEX(Settings!$G$5:$G$9,MATCH($B1500,Settings!$A$5:$A$9,0)),0))+(IFERROR(INDEX(Settings!$C$5:$C$9,MATCH($B1500,Settings!$A$5:$A$9,0)),0)+IFERROR(INDEX(Settings!$F$5:$F$9,MATCH($B1500,Settings!$A$5:$A$9,0)),0))/P1500+IFERROR(INDEX(Settings!$D$5:$D$9,MATCH($B1500,Settings!$A$5:$A$9,0)),0)*M1500)</f>
        <v/>
      </c>
      <c r="W1500" s="11">
        <f>IF(J1500="","",IF(T1500="",0,M1500*INDEX(Products!$I$5:$I$204,T1500)))</f>
        <v/>
      </c>
      <c r="X1500" s="11">
        <f>IF(J1500="","",IF(T1500="",0,S1500*INDEX(Products!$H$5:$H$204,T1500)))</f>
        <v/>
      </c>
      <c r="Y1500" s="11">
        <f>IF(J1500="","",S1500-V1500-W1500-X1500)</f>
        <v/>
      </c>
    </row>
    <row r="1501">
      <c r="A1501" s="19" t="n"/>
      <c r="B1501" s="19" t="n"/>
      <c r="C1501" s="19" t="n"/>
      <c r="D1501" s="19" t="n"/>
      <c r="E1501" s="19" t="n"/>
      <c r="F1501" s="20" t="n"/>
      <c r="G1501" s="20" t="n"/>
      <c r="H1501" s="20" t="n"/>
      <c r="I1501" s="19" t="n"/>
      <c r="J1501">
        <f>IFERROR(IF(C1501="","",C1501)&amp;"","")</f>
        <v/>
      </c>
      <c r="K1501">
        <f>IFERROR(IF(D1501="","",D1501)&amp;"","")</f>
        <v/>
      </c>
      <c r="L1501">
        <f>IFERROR(IF(I1501="","",I1501)&amp;"","")</f>
        <v/>
      </c>
      <c r="M1501">
        <f>IF(J1501="","",IFERROR(VALUE(SUBSTITUTE(SUBSTITUTE(IF(E1501="","",E1501)&amp;"","$",""),",","")),0))</f>
        <v/>
      </c>
      <c r="N1501" s="11">
        <f>IF(J1501="","",IFERROR(VALUE(SUBSTITUTE(SUBSTITUTE(IF(F1501="","",F1501)&amp;"","$",""),",","")),0))</f>
        <v/>
      </c>
      <c r="O1501" s="11">
        <f>IF(J1501="","",M1501*N1501)</f>
        <v/>
      </c>
      <c r="P1501">
        <f>IF(J1501="","",IF(L1501="",1,COUNTIF($L$2:$L$1501,L1501)))</f>
        <v/>
      </c>
      <c r="Q1501" s="11">
        <f>IF(J1501="","",IFERROR(VALUE(SUBSTITUTE(SUBSTITUTE(IF(G1501="","",G1501)&amp;"","$",""),",","")),0)/IF("No"="Yes",P1501,1))</f>
        <v/>
      </c>
      <c r="R1501" s="11">
        <f>IF(J1501="","",IFERROR(VALUE(SUBSTITUTE(SUBSTITUTE(IF(H1501="","",H1501)&amp;"","$",""),",","")),0)/IF("No"="Yes",P1501,1))</f>
        <v/>
      </c>
      <c r="S1501" s="11">
        <f>IF(J1501="","",O1501+Q1501-R1501)</f>
        <v/>
      </c>
      <c r="T1501">
        <f>IF(J1501="","",IFERROR(IF(K1501="",NA(),MATCH(K1501,Products!$B$5:$B$204,0)),IFERROR(MATCH(J1501,Products!$A$5:$A$204,0),"")))</f>
        <v/>
      </c>
      <c r="U1501">
        <f>IF(J1501="","",IF(T1501="","⚠ not in Products",INDEX(Products!$A$5:$A$204,T1501)))</f>
        <v/>
      </c>
      <c r="V1501" s="11">
        <f>IF(J1501="","",S1501*(IFERROR(INDEX(Settings!$B$5:$B$9,MATCH($B1501,Settings!$A$5:$A$9,0)),0)+IFERROR(INDEX(Settings!$E$5:$E$9,MATCH($B1501,Settings!$A$5:$A$9,0)),0)+IFERROR(INDEX(Settings!$G$5:$G$9,MATCH($B1501,Settings!$A$5:$A$9,0)),0))+(IFERROR(INDEX(Settings!$C$5:$C$9,MATCH($B1501,Settings!$A$5:$A$9,0)),0)+IFERROR(INDEX(Settings!$F$5:$F$9,MATCH($B1501,Settings!$A$5:$A$9,0)),0))/P1501+IFERROR(INDEX(Settings!$D$5:$D$9,MATCH($B1501,Settings!$A$5:$A$9,0)),0)*M1501)</f>
        <v/>
      </c>
      <c r="W1501" s="11">
        <f>IF(J1501="","",IF(T1501="",0,M1501*INDEX(Products!$I$5:$I$204,T1501)))</f>
        <v/>
      </c>
      <c r="X1501" s="11">
        <f>IF(J1501="","",IF(T1501="",0,S1501*INDEX(Products!$H$5:$H$204,T1501)))</f>
        <v/>
      </c>
      <c r="Y1501" s="11">
        <f>IF(J1501="","",S1501-V1501-W1501-X1501)</f>
        <v/>
      </c>
    </row>
  </sheetData>
  <dataValidations count="1">
    <dataValidation sqref="B2:B1501" showDropDown="0" showInputMessage="0" showErrorMessage="0" allowBlank="1" type="list">
      <formula1>=Settings!$A$5:$A$9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99999"/>
    <outlinePr summaryBelow="1" summaryRight="1"/>
    <pageSetUpPr/>
  </sheetPr>
  <dimension ref="A1:P1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" customWidth="1" min="4" max="4"/>
    <col width="11" customWidth="1" min="5" max="5"/>
    <col width="12" customWidth="1" min="6" max="6"/>
    <col width="10" customWidth="1" min="7" max="7"/>
    <col width="12" customWidth="1" min="8" max="8"/>
    <col width="11" customWidth="1" min="9" max="9"/>
    <col width="12" customWidth="1" min="10" max="10"/>
    <col width="9" customWidth="1" min="11" max="11"/>
    <col width="34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2" customHeight="1">
      <c r="A1" s="10" t="inlineStr">
        <is>
          <t>Product (as sold)</t>
        </is>
      </c>
      <c r="B1" s="10" t="inlineStr">
        <is>
          <t>SKU</t>
        </is>
      </c>
      <c r="C1" s="10" t="inlineStr">
        <is>
          <t>Order ID</t>
        </is>
      </c>
      <c r="D1" s="10" t="inlineStr">
        <is>
          <t>Qty</t>
        </is>
      </c>
      <c r="E1" s="10" t="inlineStr">
        <is>
          <t>Unit price</t>
        </is>
      </c>
      <c r="F1" s="10" t="inlineStr">
        <is>
          <t>Item revenue</t>
        </is>
      </c>
      <c r="G1" s="10" t="inlineStr">
        <is>
          <t>Items in order</t>
        </is>
      </c>
      <c r="H1" s="10" t="inlineStr">
        <is>
          <t>Shipping charged</t>
        </is>
      </c>
      <c r="I1" s="10" t="inlineStr">
        <is>
          <t>Discount</t>
        </is>
      </c>
      <c r="J1" s="10" t="inlineStr">
        <is>
          <t>Gross sales</t>
        </is>
      </c>
      <c r="K1" s="10" t="inlineStr">
        <is>
          <t>Product row</t>
        </is>
      </c>
      <c r="L1" s="10" t="inlineStr">
        <is>
          <t>Matched product</t>
        </is>
      </c>
      <c r="M1" s="10" t="inlineStr">
        <is>
          <t>Platform fees</t>
        </is>
      </c>
      <c r="N1" s="10" t="inlineStr">
        <is>
          <t>Product costs</t>
        </is>
      </c>
      <c r="O1" s="10" t="inlineStr">
        <is>
          <t>Return allowance</t>
        </is>
      </c>
      <c r="P1" s="10" t="inlineStr">
        <is>
          <t>Net profit</t>
        </is>
      </c>
    </row>
    <row r="2">
      <c r="A2">
        <f>IFERROR(INDEX('Etsy Import'!$A:$CZ,2,Settings!$C$20)&amp;"","")</f>
        <v/>
      </c>
      <c r="B2">
        <f>IFERROR(INDEX('Etsy Import'!$A:$CZ,2,Settings!$C$21)&amp;"","")</f>
        <v/>
      </c>
      <c r="C2">
        <f>IFERROR(INDEX('Etsy Import'!$A:$CZ,2,Settings!$C$22)&amp;"","")</f>
        <v/>
      </c>
      <c r="D2">
        <f>IF(A2="","",IFERROR(VALUE(SUBSTITUTE(SUBSTITUTE(INDEX('Etsy Import'!$A:$CZ,2,Settings!$C$23)&amp;"","$",""),",","")),0))</f>
        <v/>
      </c>
      <c r="E2" s="11">
        <f>IF(A2="","",IFERROR(VALUE(SUBSTITUTE(SUBSTITUTE(INDEX('Etsy Import'!$A:$CZ,2,Settings!$C$24)&amp;"","$",""),",","")),0))</f>
        <v/>
      </c>
      <c r="F2" s="11">
        <f>IF(A2="","",D2*E2)</f>
        <v/>
      </c>
      <c r="G2">
        <f>IF(A2="","",IF(C2="",1,COUNTIF($C$2:$C$1501,C2)))</f>
        <v/>
      </c>
      <c r="H2" s="11">
        <f>IF(A2="","",IFERROR(VALUE(SUBSTITUTE(SUBSTITUTE(INDEX('Etsy Import'!$A:$CZ,2,Settings!$C$25)&amp;"","$",""),",","")),0)/IF(Settings!$B$27="Yes",G2,1))</f>
        <v/>
      </c>
      <c r="I2" s="11">
        <f>IF(A2="","",IFERROR(VALUE(SUBSTITUTE(SUBSTITUTE(INDEX('Etsy Import'!$A:$CZ,2,Settings!$C$26)&amp;"","$",""),",","")),0)/IF(Settings!$B$27="Yes",G2,1))</f>
        <v/>
      </c>
      <c r="J2" s="11">
        <f>IF(A2="","",F2+H2-I2)</f>
        <v/>
      </c>
      <c r="K2">
        <f>IF(A2="","",IFERROR(IF(B2="",NA(),MATCH(B2,Products!$B$5:$B$204,0)),IFERROR(MATCH(A2,Products!$A$5:$A$204,0),"")))</f>
        <v/>
      </c>
      <c r="L2">
        <f>IF(A2="","",IF(K2="","⚠ not in Products",INDEX(Products!$A$5:$A$204,K2)))</f>
        <v/>
      </c>
      <c r="M2" s="11">
        <f>IF(A2="","",J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+IFERROR(INDEX(Settings!$D$5:$D$9,MATCH("Etsy",Settings!$A$5:$A$9,0)),0)*D2)</f>
        <v/>
      </c>
      <c r="N2" s="11">
        <f>IF(A2="","",IF(K2="",0,D2*INDEX(Products!$I$5:$I$204,K2)))</f>
        <v/>
      </c>
      <c r="O2" s="11">
        <f>IF(A2="","",IF(K2="",0,J2*INDEX(Products!$H$5:$H$204,K2)))</f>
        <v/>
      </c>
      <c r="P2" s="11">
        <f>IF(A2="","",J2-M2-N2-O2)</f>
        <v/>
      </c>
    </row>
    <row r="3">
      <c r="A3">
        <f>IFERROR(INDEX('Etsy Import'!$A:$CZ,3,Settings!$C$20)&amp;"","")</f>
        <v/>
      </c>
      <c r="B3">
        <f>IFERROR(INDEX('Etsy Import'!$A:$CZ,3,Settings!$C$21)&amp;"","")</f>
        <v/>
      </c>
      <c r="C3">
        <f>IFERROR(INDEX('Etsy Import'!$A:$CZ,3,Settings!$C$22)&amp;"","")</f>
        <v/>
      </c>
      <c r="D3">
        <f>IF(A3="","",IFERROR(VALUE(SUBSTITUTE(SUBSTITUTE(INDEX('Etsy Import'!$A:$CZ,3,Settings!$C$23)&amp;"","$",""),",","")),0))</f>
        <v/>
      </c>
      <c r="E3" s="11">
        <f>IF(A3="","",IFERROR(VALUE(SUBSTITUTE(SUBSTITUTE(INDEX('Etsy Import'!$A:$CZ,3,Settings!$C$24)&amp;"","$",""),",","")),0))</f>
        <v/>
      </c>
      <c r="F3" s="11">
        <f>IF(A3="","",D3*E3)</f>
        <v/>
      </c>
      <c r="G3">
        <f>IF(A3="","",IF(C3="",1,COUNTIF($C$2:$C$1501,C3)))</f>
        <v/>
      </c>
      <c r="H3" s="11">
        <f>IF(A3="","",IFERROR(VALUE(SUBSTITUTE(SUBSTITUTE(INDEX('Etsy Import'!$A:$CZ,3,Settings!$C$25)&amp;"","$",""),",","")),0)/IF(Settings!$B$27="Yes",G3,1))</f>
        <v/>
      </c>
      <c r="I3" s="11">
        <f>IF(A3="","",IFERROR(VALUE(SUBSTITUTE(SUBSTITUTE(INDEX('Etsy Import'!$A:$CZ,3,Settings!$C$26)&amp;"","$",""),",","")),0)/IF(Settings!$B$27="Yes",G3,1))</f>
        <v/>
      </c>
      <c r="J3" s="11">
        <f>IF(A3="","",F3+H3-I3)</f>
        <v/>
      </c>
      <c r="K3">
        <f>IF(A3="","",IFERROR(IF(B3="",NA(),MATCH(B3,Products!$B$5:$B$204,0)),IFERROR(MATCH(A3,Products!$A$5:$A$204,0),"")))</f>
        <v/>
      </c>
      <c r="L3">
        <f>IF(A3="","",IF(K3="","⚠ not in Products",INDEX(Products!$A$5:$A$204,K3)))</f>
        <v/>
      </c>
      <c r="M3" s="11">
        <f>IF(A3="","",J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+IFERROR(INDEX(Settings!$D$5:$D$9,MATCH("Etsy",Settings!$A$5:$A$9,0)),0)*D3)</f>
        <v/>
      </c>
      <c r="N3" s="11">
        <f>IF(A3="","",IF(K3="",0,D3*INDEX(Products!$I$5:$I$204,K3)))</f>
        <v/>
      </c>
      <c r="O3" s="11">
        <f>IF(A3="","",IF(K3="",0,J3*INDEX(Products!$H$5:$H$204,K3)))</f>
        <v/>
      </c>
      <c r="P3" s="11">
        <f>IF(A3="","",J3-M3-N3-O3)</f>
        <v/>
      </c>
    </row>
    <row r="4">
      <c r="A4">
        <f>IFERROR(INDEX('Etsy Import'!$A:$CZ,4,Settings!$C$20)&amp;"","")</f>
        <v/>
      </c>
      <c r="B4">
        <f>IFERROR(INDEX('Etsy Import'!$A:$CZ,4,Settings!$C$21)&amp;"","")</f>
        <v/>
      </c>
      <c r="C4">
        <f>IFERROR(INDEX('Etsy Import'!$A:$CZ,4,Settings!$C$22)&amp;"","")</f>
        <v/>
      </c>
      <c r="D4">
        <f>IF(A4="","",IFERROR(VALUE(SUBSTITUTE(SUBSTITUTE(INDEX('Etsy Import'!$A:$CZ,4,Settings!$C$23)&amp;"","$",""),",","")),0))</f>
        <v/>
      </c>
      <c r="E4" s="11">
        <f>IF(A4="","",IFERROR(VALUE(SUBSTITUTE(SUBSTITUTE(INDEX('Etsy Import'!$A:$CZ,4,Settings!$C$24)&amp;"","$",""),",","")),0))</f>
        <v/>
      </c>
      <c r="F4" s="11">
        <f>IF(A4="","",D4*E4)</f>
        <v/>
      </c>
      <c r="G4">
        <f>IF(A4="","",IF(C4="",1,COUNTIF($C$2:$C$1501,C4)))</f>
        <v/>
      </c>
      <c r="H4" s="11">
        <f>IF(A4="","",IFERROR(VALUE(SUBSTITUTE(SUBSTITUTE(INDEX('Etsy Import'!$A:$CZ,4,Settings!$C$25)&amp;"","$",""),",","")),0)/IF(Settings!$B$27="Yes",G4,1))</f>
        <v/>
      </c>
      <c r="I4" s="11">
        <f>IF(A4="","",IFERROR(VALUE(SUBSTITUTE(SUBSTITUTE(INDEX('Etsy Import'!$A:$CZ,4,Settings!$C$26)&amp;"","$",""),",","")),0)/IF(Settings!$B$27="Yes",G4,1))</f>
        <v/>
      </c>
      <c r="J4" s="11">
        <f>IF(A4="","",F4+H4-I4)</f>
        <v/>
      </c>
      <c r="K4">
        <f>IF(A4="","",IFERROR(IF(B4="",NA(),MATCH(B4,Products!$B$5:$B$204,0)),IFERROR(MATCH(A4,Products!$A$5:$A$204,0),"")))</f>
        <v/>
      </c>
      <c r="L4">
        <f>IF(A4="","",IF(K4="","⚠ not in Products",INDEX(Products!$A$5:$A$204,K4)))</f>
        <v/>
      </c>
      <c r="M4" s="11">
        <f>IF(A4="","",J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+IFERROR(INDEX(Settings!$D$5:$D$9,MATCH("Etsy",Settings!$A$5:$A$9,0)),0)*D4)</f>
        <v/>
      </c>
      <c r="N4" s="11">
        <f>IF(A4="","",IF(K4="",0,D4*INDEX(Products!$I$5:$I$204,K4)))</f>
        <v/>
      </c>
      <c r="O4" s="11">
        <f>IF(A4="","",IF(K4="",0,J4*INDEX(Products!$H$5:$H$204,K4)))</f>
        <v/>
      </c>
      <c r="P4" s="11">
        <f>IF(A4="","",J4-M4-N4-O4)</f>
        <v/>
      </c>
    </row>
    <row r="5">
      <c r="A5">
        <f>IFERROR(INDEX('Etsy Import'!$A:$CZ,5,Settings!$C$20)&amp;"","")</f>
        <v/>
      </c>
      <c r="B5">
        <f>IFERROR(INDEX('Etsy Import'!$A:$CZ,5,Settings!$C$21)&amp;"","")</f>
        <v/>
      </c>
      <c r="C5">
        <f>IFERROR(INDEX('Etsy Import'!$A:$CZ,5,Settings!$C$22)&amp;"","")</f>
        <v/>
      </c>
      <c r="D5">
        <f>IF(A5="","",IFERROR(VALUE(SUBSTITUTE(SUBSTITUTE(INDEX('Etsy Import'!$A:$CZ,5,Settings!$C$23)&amp;"","$",""),",","")),0))</f>
        <v/>
      </c>
      <c r="E5" s="11">
        <f>IF(A5="","",IFERROR(VALUE(SUBSTITUTE(SUBSTITUTE(INDEX('Etsy Import'!$A:$CZ,5,Settings!$C$24)&amp;"","$",""),",","")),0))</f>
        <v/>
      </c>
      <c r="F5" s="11">
        <f>IF(A5="","",D5*E5)</f>
        <v/>
      </c>
      <c r="G5">
        <f>IF(A5="","",IF(C5="",1,COUNTIF($C$2:$C$1501,C5)))</f>
        <v/>
      </c>
      <c r="H5" s="11">
        <f>IF(A5="","",IFERROR(VALUE(SUBSTITUTE(SUBSTITUTE(INDEX('Etsy Import'!$A:$CZ,5,Settings!$C$25)&amp;"","$",""),",","")),0)/IF(Settings!$B$27="Yes",G5,1))</f>
        <v/>
      </c>
      <c r="I5" s="11">
        <f>IF(A5="","",IFERROR(VALUE(SUBSTITUTE(SUBSTITUTE(INDEX('Etsy Import'!$A:$CZ,5,Settings!$C$26)&amp;"","$",""),",","")),0)/IF(Settings!$B$27="Yes",G5,1))</f>
        <v/>
      </c>
      <c r="J5" s="11">
        <f>IF(A5="","",F5+H5-I5)</f>
        <v/>
      </c>
      <c r="K5">
        <f>IF(A5="","",IFERROR(IF(B5="",NA(),MATCH(B5,Products!$B$5:$B$204,0)),IFERROR(MATCH(A5,Products!$A$5:$A$204,0),"")))</f>
        <v/>
      </c>
      <c r="L5">
        <f>IF(A5="","",IF(K5="","⚠ not in Products",INDEX(Products!$A$5:$A$204,K5)))</f>
        <v/>
      </c>
      <c r="M5" s="11">
        <f>IF(A5="","",J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+IFERROR(INDEX(Settings!$D$5:$D$9,MATCH("Etsy",Settings!$A$5:$A$9,0)),0)*D5)</f>
        <v/>
      </c>
      <c r="N5" s="11">
        <f>IF(A5="","",IF(K5="",0,D5*INDEX(Products!$I$5:$I$204,K5)))</f>
        <v/>
      </c>
      <c r="O5" s="11">
        <f>IF(A5="","",IF(K5="",0,J5*INDEX(Products!$H$5:$H$204,K5)))</f>
        <v/>
      </c>
      <c r="P5" s="11">
        <f>IF(A5="","",J5-M5-N5-O5)</f>
        <v/>
      </c>
    </row>
    <row r="6">
      <c r="A6">
        <f>IFERROR(INDEX('Etsy Import'!$A:$CZ,6,Settings!$C$20)&amp;"","")</f>
        <v/>
      </c>
      <c r="B6">
        <f>IFERROR(INDEX('Etsy Import'!$A:$CZ,6,Settings!$C$21)&amp;"","")</f>
        <v/>
      </c>
      <c r="C6">
        <f>IFERROR(INDEX('Etsy Import'!$A:$CZ,6,Settings!$C$22)&amp;"","")</f>
        <v/>
      </c>
      <c r="D6">
        <f>IF(A6="","",IFERROR(VALUE(SUBSTITUTE(SUBSTITUTE(INDEX('Etsy Import'!$A:$CZ,6,Settings!$C$23)&amp;"","$",""),",","")),0))</f>
        <v/>
      </c>
      <c r="E6" s="11">
        <f>IF(A6="","",IFERROR(VALUE(SUBSTITUTE(SUBSTITUTE(INDEX('Etsy Import'!$A:$CZ,6,Settings!$C$24)&amp;"","$",""),",","")),0))</f>
        <v/>
      </c>
      <c r="F6" s="11">
        <f>IF(A6="","",D6*E6)</f>
        <v/>
      </c>
      <c r="G6">
        <f>IF(A6="","",IF(C6="",1,COUNTIF($C$2:$C$1501,C6)))</f>
        <v/>
      </c>
      <c r="H6" s="11">
        <f>IF(A6="","",IFERROR(VALUE(SUBSTITUTE(SUBSTITUTE(INDEX('Etsy Import'!$A:$CZ,6,Settings!$C$25)&amp;"","$",""),",","")),0)/IF(Settings!$B$27="Yes",G6,1))</f>
        <v/>
      </c>
      <c r="I6" s="11">
        <f>IF(A6="","",IFERROR(VALUE(SUBSTITUTE(SUBSTITUTE(INDEX('Etsy Import'!$A:$CZ,6,Settings!$C$26)&amp;"","$",""),",","")),0)/IF(Settings!$B$27="Yes",G6,1))</f>
        <v/>
      </c>
      <c r="J6" s="11">
        <f>IF(A6="","",F6+H6-I6)</f>
        <v/>
      </c>
      <c r="K6">
        <f>IF(A6="","",IFERROR(IF(B6="",NA(),MATCH(B6,Products!$B$5:$B$204,0)),IFERROR(MATCH(A6,Products!$A$5:$A$204,0),"")))</f>
        <v/>
      </c>
      <c r="L6">
        <f>IF(A6="","",IF(K6="","⚠ not in Products",INDEX(Products!$A$5:$A$204,K6)))</f>
        <v/>
      </c>
      <c r="M6" s="11">
        <f>IF(A6="","",J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+IFERROR(INDEX(Settings!$D$5:$D$9,MATCH("Etsy",Settings!$A$5:$A$9,0)),0)*D6)</f>
        <v/>
      </c>
      <c r="N6" s="11">
        <f>IF(A6="","",IF(K6="",0,D6*INDEX(Products!$I$5:$I$204,K6)))</f>
        <v/>
      </c>
      <c r="O6" s="11">
        <f>IF(A6="","",IF(K6="",0,J6*INDEX(Products!$H$5:$H$204,K6)))</f>
        <v/>
      </c>
      <c r="P6" s="11">
        <f>IF(A6="","",J6-M6-N6-O6)</f>
        <v/>
      </c>
    </row>
    <row r="7">
      <c r="A7">
        <f>IFERROR(INDEX('Etsy Import'!$A:$CZ,7,Settings!$C$20)&amp;"","")</f>
        <v/>
      </c>
      <c r="B7">
        <f>IFERROR(INDEX('Etsy Import'!$A:$CZ,7,Settings!$C$21)&amp;"","")</f>
        <v/>
      </c>
      <c r="C7">
        <f>IFERROR(INDEX('Etsy Import'!$A:$CZ,7,Settings!$C$22)&amp;"","")</f>
        <v/>
      </c>
      <c r="D7">
        <f>IF(A7="","",IFERROR(VALUE(SUBSTITUTE(SUBSTITUTE(INDEX('Etsy Import'!$A:$CZ,7,Settings!$C$23)&amp;"","$",""),",","")),0))</f>
        <v/>
      </c>
      <c r="E7" s="11">
        <f>IF(A7="","",IFERROR(VALUE(SUBSTITUTE(SUBSTITUTE(INDEX('Etsy Import'!$A:$CZ,7,Settings!$C$24)&amp;"","$",""),",","")),0))</f>
        <v/>
      </c>
      <c r="F7" s="11">
        <f>IF(A7="","",D7*E7)</f>
        <v/>
      </c>
      <c r="G7">
        <f>IF(A7="","",IF(C7="",1,COUNTIF($C$2:$C$1501,C7)))</f>
        <v/>
      </c>
      <c r="H7" s="11">
        <f>IF(A7="","",IFERROR(VALUE(SUBSTITUTE(SUBSTITUTE(INDEX('Etsy Import'!$A:$CZ,7,Settings!$C$25)&amp;"","$",""),",","")),0)/IF(Settings!$B$27="Yes",G7,1))</f>
        <v/>
      </c>
      <c r="I7" s="11">
        <f>IF(A7="","",IFERROR(VALUE(SUBSTITUTE(SUBSTITUTE(INDEX('Etsy Import'!$A:$CZ,7,Settings!$C$26)&amp;"","$",""),",","")),0)/IF(Settings!$B$27="Yes",G7,1))</f>
        <v/>
      </c>
      <c r="J7" s="11">
        <f>IF(A7="","",F7+H7-I7)</f>
        <v/>
      </c>
      <c r="K7">
        <f>IF(A7="","",IFERROR(IF(B7="",NA(),MATCH(B7,Products!$B$5:$B$204,0)),IFERROR(MATCH(A7,Products!$A$5:$A$204,0),"")))</f>
        <v/>
      </c>
      <c r="L7">
        <f>IF(A7="","",IF(K7="","⚠ not in Products",INDEX(Products!$A$5:$A$204,K7)))</f>
        <v/>
      </c>
      <c r="M7" s="11">
        <f>IF(A7="","",J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+IFERROR(INDEX(Settings!$D$5:$D$9,MATCH("Etsy",Settings!$A$5:$A$9,0)),0)*D7)</f>
        <v/>
      </c>
      <c r="N7" s="11">
        <f>IF(A7="","",IF(K7="",0,D7*INDEX(Products!$I$5:$I$204,K7)))</f>
        <v/>
      </c>
      <c r="O7" s="11">
        <f>IF(A7="","",IF(K7="",0,J7*INDEX(Products!$H$5:$H$204,K7)))</f>
        <v/>
      </c>
      <c r="P7" s="11">
        <f>IF(A7="","",J7-M7-N7-O7)</f>
        <v/>
      </c>
    </row>
    <row r="8">
      <c r="A8">
        <f>IFERROR(INDEX('Etsy Import'!$A:$CZ,8,Settings!$C$20)&amp;"","")</f>
        <v/>
      </c>
      <c r="B8">
        <f>IFERROR(INDEX('Etsy Import'!$A:$CZ,8,Settings!$C$21)&amp;"","")</f>
        <v/>
      </c>
      <c r="C8">
        <f>IFERROR(INDEX('Etsy Import'!$A:$CZ,8,Settings!$C$22)&amp;"","")</f>
        <v/>
      </c>
      <c r="D8">
        <f>IF(A8="","",IFERROR(VALUE(SUBSTITUTE(SUBSTITUTE(INDEX('Etsy Import'!$A:$CZ,8,Settings!$C$23)&amp;"","$",""),",","")),0))</f>
        <v/>
      </c>
      <c r="E8" s="11">
        <f>IF(A8="","",IFERROR(VALUE(SUBSTITUTE(SUBSTITUTE(INDEX('Etsy Import'!$A:$CZ,8,Settings!$C$24)&amp;"","$",""),",","")),0))</f>
        <v/>
      </c>
      <c r="F8" s="11">
        <f>IF(A8="","",D8*E8)</f>
        <v/>
      </c>
      <c r="G8">
        <f>IF(A8="","",IF(C8="",1,COUNTIF($C$2:$C$1501,C8)))</f>
        <v/>
      </c>
      <c r="H8" s="11">
        <f>IF(A8="","",IFERROR(VALUE(SUBSTITUTE(SUBSTITUTE(INDEX('Etsy Import'!$A:$CZ,8,Settings!$C$25)&amp;"","$",""),",","")),0)/IF(Settings!$B$27="Yes",G8,1))</f>
        <v/>
      </c>
      <c r="I8" s="11">
        <f>IF(A8="","",IFERROR(VALUE(SUBSTITUTE(SUBSTITUTE(INDEX('Etsy Import'!$A:$CZ,8,Settings!$C$26)&amp;"","$",""),",","")),0)/IF(Settings!$B$27="Yes",G8,1))</f>
        <v/>
      </c>
      <c r="J8" s="11">
        <f>IF(A8="","",F8+H8-I8)</f>
        <v/>
      </c>
      <c r="K8">
        <f>IF(A8="","",IFERROR(IF(B8="",NA(),MATCH(B8,Products!$B$5:$B$204,0)),IFERROR(MATCH(A8,Products!$A$5:$A$204,0),"")))</f>
        <v/>
      </c>
      <c r="L8">
        <f>IF(A8="","",IF(K8="","⚠ not in Products",INDEX(Products!$A$5:$A$204,K8)))</f>
        <v/>
      </c>
      <c r="M8" s="11">
        <f>IF(A8="","",J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+IFERROR(INDEX(Settings!$D$5:$D$9,MATCH("Etsy",Settings!$A$5:$A$9,0)),0)*D8)</f>
        <v/>
      </c>
      <c r="N8" s="11">
        <f>IF(A8="","",IF(K8="",0,D8*INDEX(Products!$I$5:$I$204,K8)))</f>
        <v/>
      </c>
      <c r="O8" s="11">
        <f>IF(A8="","",IF(K8="",0,J8*INDEX(Products!$H$5:$H$204,K8)))</f>
        <v/>
      </c>
      <c r="P8" s="11">
        <f>IF(A8="","",J8-M8-N8-O8)</f>
        <v/>
      </c>
    </row>
    <row r="9">
      <c r="A9">
        <f>IFERROR(INDEX('Etsy Import'!$A:$CZ,9,Settings!$C$20)&amp;"","")</f>
        <v/>
      </c>
      <c r="B9">
        <f>IFERROR(INDEX('Etsy Import'!$A:$CZ,9,Settings!$C$21)&amp;"","")</f>
        <v/>
      </c>
      <c r="C9">
        <f>IFERROR(INDEX('Etsy Import'!$A:$CZ,9,Settings!$C$22)&amp;"","")</f>
        <v/>
      </c>
      <c r="D9">
        <f>IF(A9="","",IFERROR(VALUE(SUBSTITUTE(SUBSTITUTE(INDEX('Etsy Import'!$A:$CZ,9,Settings!$C$23)&amp;"","$",""),",","")),0))</f>
        <v/>
      </c>
      <c r="E9" s="11">
        <f>IF(A9="","",IFERROR(VALUE(SUBSTITUTE(SUBSTITUTE(INDEX('Etsy Import'!$A:$CZ,9,Settings!$C$24)&amp;"","$",""),",","")),0))</f>
        <v/>
      </c>
      <c r="F9" s="11">
        <f>IF(A9="","",D9*E9)</f>
        <v/>
      </c>
      <c r="G9">
        <f>IF(A9="","",IF(C9="",1,COUNTIF($C$2:$C$1501,C9)))</f>
        <v/>
      </c>
      <c r="H9" s="11">
        <f>IF(A9="","",IFERROR(VALUE(SUBSTITUTE(SUBSTITUTE(INDEX('Etsy Import'!$A:$CZ,9,Settings!$C$25)&amp;"","$",""),",","")),0)/IF(Settings!$B$27="Yes",G9,1))</f>
        <v/>
      </c>
      <c r="I9" s="11">
        <f>IF(A9="","",IFERROR(VALUE(SUBSTITUTE(SUBSTITUTE(INDEX('Etsy Import'!$A:$CZ,9,Settings!$C$26)&amp;"","$",""),",","")),0)/IF(Settings!$B$27="Yes",G9,1))</f>
        <v/>
      </c>
      <c r="J9" s="11">
        <f>IF(A9="","",F9+H9-I9)</f>
        <v/>
      </c>
      <c r="K9">
        <f>IF(A9="","",IFERROR(IF(B9="",NA(),MATCH(B9,Products!$B$5:$B$204,0)),IFERROR(MATCH(A9,Products!$A$5:$A$204,0),"")))</f>
        <v/>
      </c>
      <c r="L9">
        <f>IF(A9="","",IF(K9="","⚠ not in Products",INDEX(Products!$A$5:$A$204,K9)))</f>
        <v/>
      </c>
      <c r="M9" s="11">
        <f>IF(A9="","",J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+IFERROR(INDEX(Settings!$D$5:$D$9,MATCH("Etsy",Settings!$A$5:$A$9,0)),0)*D9)</f>
        <v/>
      </c>
      <c r="N9" s="11">
        <f>IF(A9="","",IF(K9="",0,D9*INDEX(Products!$I$5:$I$204,K9)))</f>
        <v/>
      </c>
      <c r="O9" s="11">
        <f>IF(A9="","",IF(K9="",0,J9*INDEX(Products!$H$5:$H$204,K9)))</f>
        <v/>
      </c>
      <c r="P9" s="11">
        <f>IF(A9="","",J9-M9-N9-O9)</f>
        <v/>
      </c>
    </row>
    <row r="10">
      <c r="A10">
        <f>IFERROR(INDEX('Etsy Import'!$A:$CZ,10,Settings!$C$20)&amp;"","")</f>
        <v/>
      </c>
      <c r="B10">
        <f>IFERROR(INDEX('Etsy Import'!$A:$CZ,10,Settings!$C$21)&amp;"","")</f>
        <v/>
      </c>
      <c r="C10">
        <f>IFERROR(INDEX('Etsy Import'!$A:$CZ,10,Settings!$C$22)&amp;"","")</f>
        <v/>
      </c>
      <c r="D10">
        <f>IF(A10="","",IFERROR(VALUE(SUBSTITUTE(SUBSTITUTE(INDEX('Etsy Import'!$A:$CZ,10,Settings!$C$23)&amp;"","$",""),",","")),0))</f>
        <v/>
      </c>
      <c r="E10" s="11">
        <f>IF(A10="","",IFERROR(VALUE(SUBSTITUTE(SUBSTITUTE(INDEX('Etsy Import'!$A:$CZ,10,Settings!$C$24)&amp;"","$",""),",","")),0))</f>
        <v/>
      </c>
      <c r="F10" s="11">
        <f>IF(A10="","",D10*E10)</f>
        <v/>
      </c>
      <c r="G10">
        <f>IF(A10="","",IF(C10="",1,COUNTIF($C$2:$C$1501,C10)))</f>
        <v/>
      </c>
      <c r="H10" s="11">
        <f>IF(A10="","",IFERROR(VALUE(SUBSTITUTE(SUBSTITUTE(INDEX('Etsy Import'!$A:$CZ,10,Settings!$C$25)&amp;"","$",""),",","")),0)/IF(Settings!$B$27="Yes",G10,1))</f>
        <v/>
      </c>
      <c r="I10" s="11">
        <f>IF(A10="","",IFERROR(VALUE(SUBSTITUTE(SUBSTITUTE(INDEX('Etsy Import'!$A:$CZ,10,Settings!$C$26)&amp;"","$",""),",","")),0)/IF(Settings!$B$27="Yes",G10,1))</f>
        <v/>
      </c>
      <c r="J10" s="11">
        <f>IF(A10="","",F10+H10-I10)</f>
        <v/>
      </c>
      <c r="K10">
        <f>IF(A10="","",IFERROR(IF(B10="",NA(),MATCH(B10,Products!$B$5:$B$204,0)),IFERROR(MATCH(A10,Products!$A$5:$A$204,0),"")))</f>
        <v/>
      </c>
      <c r="L10">
        <f>IF(A10="","",IF(K10="","⚠ not in Products",INDEX(Products!$A$5:$A$204,K10)))</f>
        <v/>
      </c>
      <c r="M10" s="11">
        <f>IF(A10="","",J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+IFERROR(INDEX(Settings!$D$5:$D$9,MATCH("Etsy",Settings!$A$5:$A$9,0)),0)*D10)</f>
        <v/>
      </c>
      <c r="N10" s="11">
        <f>IF(A10="","",IF(K10="",0,D10*INDEX(Products!$I$5:$I$204,K10)))</f>
        <v/>
      </c>
      <c r="O10" s="11">
        <f>IF(A10="","",IF(K10="",0,J10*INDEX(Products!$H$5:$H$204,K10)))</f>
        <v/>
      </c>
      <c r="P10" s="11">
        <f>IF(A10="","",J10-M10-N10-O10)</f>
        <v/>
      </c>
    </row>
    <row r="11">
      <c r="A11">
        <f>IFERROR(INDEX('Etsy Import'!$A:$CZ,11,Settings!$C$20)&amp;"","")</f>
        <v/>
      </c>
      <c r="B11">
        <f>IFERROR(INDEX('Etsy Import'!$A:$CZ,11,Settings!$C$21)&amp;"","")</f>
        <v/>
      </c>
      <c r="C11">
        <f>IFERROR(INDEX('Etsy Import'!$A:$CZ,11,Settings!$C$22)&amp;"","")</f>
        <v/>
      </c>
      <c r="D11">
        <f>IF(A11="","",IFERROR(VALUE(SUBSTITUTE(SUBSTITUTE(INDEX('Etsy Import'!$A:$CZ,11,Settings!$C$23)&amp;"","$",""),",","")),0))</f>
        <v/>
      </c>
      <c r="E11" s="11">
        <f>IF(A11="","",IFERROR(VALUE(SUBSTITUTE(SUBSTITUTE(INDEX('Etsy Import'!$A:$CZ,11,Settings!$C$24)&amp;"","$",""),",","")),0))</f>
        <v/>
      </c>
      <c r="F11" s="11">
        <f>IF(A11="","",D11*E11)</f>
        <v/>
      </c>
      <c r="G11">
        <f>IF(A11="","",IF(C11="",1,COUNTIF($C$2:$C$1501,C11)))</f>
        <v/>
      </c>
      <c r="H11" s="11">
        <f>IF(A11="","",IFERROR(VALUE(SUBSTITUTE(SUBSTITUTE(INDEX('Etsy Import'!$A:$CZ,11,Settings!$C$25)&amp;"","$",""),",","")),0)/IF(Settings!$B$27="Yes",G11,1))</f>
        <v/>
      </c>
      <c r="I11" s="11">
        <f>IF(A11="","",IFERROR(VALUE(SUBSTITUTE(SUBSTITUTE(INDEX('Etsy Import'!$A:$CZ,11,Settings!$C$26)&amp;"","$",""),",","")),0)/IF(Settings!$B$27="Yes",G11,1))</f>
        <v/>
      </c>
      <c r="J11" s="11">
        <f>IF(A11="","",F11+H11-I11)</f>
        <v/>
      </c>
      <c r="K11">
        <f>IF(A11="","",IFERROR(IF(B11="",NA(),MATCH(B11,Products!$B$5:$B$204,0)),IFERROR(MATCH(A11,Products!$A$5:$A$204,0),"")))</f>
        <v/>
      </c>
      <c r="L11">
        <f>IF(A11="","",IF(K11="","⚠ not in Products",INDEX(Products!$A$5:$A$204,K11)))</f>
        <v/>
      </c>
      <c r="M11" s="11">
        <f>IF(A11="","",J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+IFERROR(INDEX(Settings!$D$5:$D$9,MATCH("Etsy",Settings!$A$5:$A$9,0)),0)*D11)</f>
        <v/>
      </c>
      <c r="N11" s="11">
        <f>IF(A11="","",IF(K11="",0,D11*INDEX(Products!$I$5:$I$204,K11)))</f>
        <v/>
      </c>
      <c r="O11" s="11">
        <f>IF(A11="","",IF(K11="",0,J11*INDEX(Products!$H$5:$H$204,K11)))</f>
        <v/>
      </c>
      <c r="P11" s="11">
        <f>IF(A11="","",J11-M11-N11-O11)</f>
        <v/>
      </c>
    </row>
    <row r="12">
      <c r="A12">
        <f>IFERROR(INDEX('Etsy Import'!$A:$CZ,12,Settings!$C$20)&amp;"","")</f>
        <v/>
      </c>
      <c r="B12">
        <f>IFERROR(INDEX('Etsy Import'!$A:$CZ,12,Settings!$C$21)&amp;"","")</f>
        <v/>
      </c>
      <c r="C12">
        <f>IFERROR(INDEX('Etsy Import'!$A:$CZ,12,Settings!$C$22)&amp;"","")</f>
        <v/>
      </c>
      <c r="D12">
        <f>IF(A12="","",IFERROR(VALUE(SUBSTITUTE(SUBSTITUTE(INDEX('Etsy Import'!$A:$CZ,12,Settings!$C$23)&amp;"","$",""),",","")),0))</f>
        <v/>
      </c>
      <c r="E12" s="11">
        <f>IF(A12="","",IFERROR(VALUE(SUBSTITUTE(SUBSTITUTE(INDEX('Etsy Import'!$A:$CZ,12,Settings!$C$24)&amp;"","$",""),",","")),0))</f>
        <v/>
      </c>
      <c r="F12" s="11">
        <f>IF(A12="","",D12*E12)</f>
        <v/>
      </c>
      <c r="G12">
        <f>IF(A12="","",IF(C12="",1,COUNTIF($C$2:$C$1501,C12)))</f>
        <v/>
      </c>
      <c r="H12" s="11">
        <f>IF(A12="","",IFERROR(VALUE(SUBSTITUTE(SUBSTITUTE(INDEX('Etsy Import'!$A:$CZ,12,Settings!$C$25)&amp;"","$",""),",","")),0)/IF(Settings!$B$27="Yes",G12,1))</f>
        <v/>
      </c>
      <c r="I12" s="11">
        <f>IF(A12="","",IFERROR(VALUE(SUBSTITUTE(SUBSTITUTE(INDEX('Etsy Import'!$A:$CZ,12,Settings!$C$26)&amp;"","$",""),",","")),0)/IF(Settings!$B$27="Yes",G12,1))</f>
        <v/>
      </c>
      <c r="J12" s="11">
        <f>IF(A12="","",F12+H12-I12)</f>
        <v/>
      </c>
      <c r="K12">
        <f>IF(A12="","",IFERROR(IF(B12="",NA(),MATCH(B12,Products!$B$5:$B$204,0)),IFERROR(MATCH(A12,Products!$A$5:$A$204,0),"")))</f>
        <v/>
      </c>
      <c r="L12">
        <f>IF(A12="","",IF(K12="","⚠ not in Products",INDEX(Products!$A$5:$A$204,K12)))</f>
        <v/>
      </c>
      <c r="M12" s="11">
        <f>IF(A12="","",J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+IFERROR(INDEX(Settings!$D$5:$D$9,MATCH("Etsy",Settings!$A$5:$A$9,0)),0)*D12)</f>
        <v/>
      </c>
      <c r="N12" s="11">
        <f>IF(A12="","",IF(K12="",0,D12*INDEX(Products!$I$5:$I$204,K12)))</f>
        <v/>
      </c>
      <c r="O12" s="11">
        <f>IF(A12="","",IF(K12="",0,J12*INDEX(Products!$H$5:$H$204,K12)))</f>
        <v/>
      </c>
      <c r="P12" s="11">
        <f>IF(A12="","",J12-M12-N12-O12)</f>
        <v/>
      </c>
    </row>
    <row r="13">
      <c r="A13">
        <f>IFERROR(INDEX('Etsy Import'!$A:$CZ,13,Settings!$C$20)&amp;"","")</f>
        <v/>
      </c>
      <c r="B13">
        <f>IFERROR(INDEX('Etsy Import'!$A:$CZ,13,Settings!$C$21)&amp;"","")</f>
        <v/>
      </c>
      <c r="C13">
        <f>IFERROR(INDEX('Etsy Import'!$A:$CZ,13,Settings!$C$22)&amp;"","")</f>
        <v/>
      </c>
      <c r="D13">
        <f>IF(A13="","",IFERROR(VALUE(SUBSTITUTE(SUBSTITUTE(INDEX('Etsy Import'!$A:$CZ,13,Settings!$C$23)&amp;"","$",""),",","")),0))</f>
        <v/>
      </c>
      <c r="E13" s="11">
        <f>IF(A13="","",IFERROR(VALUE(SUBSTITUTE(SUBSTITUTE(INDEX('Etsy Import'!$A:$CZ,13,Settings!$C$24)&amp;"","$",""),",","")),0))</f>
        <v/>
      </c>
      <c r="F13" s="11">
        <f>IF(A13="","",D13*E13)</f>
        <v/>
      </c>
      <c r="G13">
        <f>IF(A13="","",IF(C13="",1,COUNTIF($C$2:$C$1501,C13)))</f>
        <v/>
      </c>
      <c r="H13" s="11">
        <f>IF(A13="","",IFERROR(VALUE(SUBSTITUTE(SUBSTITUTE(INDEX('Etsy Import'!$A:$CZ,13,Settings!$C$25)&amp;"","$",""),",","")),0)/IF(Settings!$B$27="Yes",G13,1))</f>
        <v/>
      </c>
      <c r="I13" s="11">
        <f>IF(A13="","",IFERROR(VALUE(SUBSTITUTE(SUBSTITUTE(INDEX('Etsy Import'!$A:$CZ,13,Settings!$C$26)&amp;"","$",""),",","")),0)/IF(Settings!$B$27="Yes",G13,1))</f>
        <v/>
      </c>
      <c r="J13" s="11">
        <f>IF(A13="","",F13+H13-I13)</f>
        <v/>
      </c>
      <c r="K13">
        <f>IF(A13="","",IFERROR(IF(B13="",NA(),MATCH(B13,Products!$B$5:$B$204,0)),IFERROR(MATCH(A13,Products!$A$5:$A$204,0),"")))</f>
        <v/>
      </c>
      <c r="L13">
        <f>IF(A13="","",IF(K13="","⚠ not in Products",INDEX(Products!$A$5:$A$204,K13)))</f>
        <v/>
      </c>
      <c r="M13" s="11">
        <f>IF(A13="","",J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+IFERROR(INDEX(Settings!$D$5:$D$9,MATCH("Etsy",Settings!$A$5:$A$9,0)),0)*D13)</f>
        <v/>
      </c>
      <c r="N13" s="11">
        <f>IF(A13="","",IF(K13="",0,D13*INDEX(Products!$I$5:$I$204,K13)))</f>
        <v/>
      </c>
      <c r="O13" s="11">
        <f>IF(A13="","",IF(K13="",0,J13*INDEX(Products!$H$5:$H$204,K13)))</f>
        <v/>
      </c>
      <c r="P13" s="11">
        <f>IF(A13="","",J13-M13-N13-O13)</f>
        <v/>
      </c>
    </row>
    <row r="14">
      <c r="A14">
        <f>IFERROR(INDEX('Etsy Import'!$A:$CZ,14,Settings!$C$20)&amp;"","")</f>
        <v/>
      </c>
      <c r="B14">
        <f>IFERROR(INDEX('Etsy Import'!$A:$CZ,14,Settings!$C$21)&amp;"","")</f>
        <v/>
      </c>
      <c r="C14">
        <f>IFERROR(INDEX('Etsy Import'!$A:$CZ,14,Settings!$C$22)&amp;"","")</f>
        <v/>
      </c>
      <c r="D14">
        <f>IF(A14="","",IFERROR(VALUE(SUBSTITUTE(SUBSTITUTE(INDEX('Etsy Import'!$A:$CZ,14,Settings!$C$23)&amp;"","$",""),",","")),0))</f>
        <v/>
      </c>
      <c r="E14" s="11">
        <f>IF(A14="","",IFERROR(VALUE(SUBSTITUTE(SUBSTITUTE(INDEX('Etsy Import'!$A:$CZ,14,Settings!$C$24)&amp;"","$",""),",","")),0))</f>
        <v/>
      </c>
      <c r="F14" s="11">
        <f>IF(A14="","",D14*E14)</f>
        <v/>
      </c>
      <c r="G14">
        <f>IF(A14="","",IF(C14="",1,COUNTIF($C$2:$C$1501,C14)))</f>
        <v/>
      </c>
      <c r="H14" s="11">
        <f>IF(A14="","",IFERROR(VALUE(SUBSTITUTE(SUBSTITUTE(INDEX('Etsy Import'!$A:$CZ,14,Settings!$C$25)&amp;"","$",""),",","")),0)/IF(Settings!$B$27="Yes",G14,1))</f>
        <v/>
      </c>
      <c r="I14" s="11">
        <f>IF(A14="","",IFERROR(VALUE(SUBSTITUTE(SUBSTITUTE(INDEX('Etsy Import'!$A:$CZ,14,Settings!$C$26)&amp;"","$",""),",","")),0)/IF(Settings!$B$27="Yes",G14,1))</f>
        <v/>
      </c>
      <c r="J14" s="11">
        <f>IF(A14="","",F14+H14-I14)</f>
        <v/>
      </c>
      <c r="K14">
        <f>IF(A14="","",IFERROR(IF(B14="",NA(),MATCH(B14,Products!$B$5:$B$204,0)),IFERROR(MATCH(A14,Products!$A$5:$A$204,0),"")))</f>
        <v/>
      </c>
      <c r="L14">
        <f>IF(A14="","",IF(K14="","⚠ not in Products",INDEX(Products!$A$5:$A$204,K14)))</f>
        <v/>
      </c>
      <c r="M14" s="11">
        <f>IF(A14="","",J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+IFERROR(INDEX(Settings!$D$5:$D$9,MATCH("Etsy",Settings!$A$5:$A$9,0)),0)*D14)</f>
        <v/>
      </c>
      <c r="N14" s="11">
        <f>IF(A14="","",IF(K14="",0,D14*INDEX(Products!$I$5:$I$204,K14)))</f>
        <v/>
      </c>
      <c r="O14" s="11">
        <f>IF(A14="","",IF(K14="",0,J14*INDEX(Products!$H$5:$H$204,K14)))</f>
        <v/>
      </c>
      <c r="P14" s="11">
        <f>IF(A14="","",J14-M14-N14-O14)</f>
        <v/>
      </c>
    </row>
    <row r="15">
      <c r="A15">
        <f>IFERROR(INDEX('Etsy Import'!$A:$CZ,15,Settings!$C$20)&amp;"","")</f>
        <v/>
      </c>
      <c r="B15">
        <f>IFERROR(INDEX('Etsy Import'!$A:$CZ,15,Settings!$C$21)&amp;"","")</f>
        <v/>
      </c>
      <c r="C15">
        <f>IFERROR(INDEX('Etsy Import'!$A:$CZ,15,Settings!$C$22)&amp;"","")</f>
        <v/>
      </c>
      <c r="D15">
        <f>IF(A15="","",IFERROR(VALUE(SUBSTITUTE(SUBSTITUTE(INDEX('Etsy Import'!$A:$CZ,15,Settings!$C$23)&amp;"","$",""),",","")),0))</f>
        <v/>
      </c>
      <c r="E15" s="11">
        <f>IF(A15="","",IFERROR(VALUE(SUBSTITUTE(SUBSTITUTE(INDEX('Etsy Import'!$A:$CZ,15,Settings!$C$24)&amp;"","$",""),",","")),0))</f>
        <v/>
      </c>
      <c r="F15" s="11">
        <f>IF(A15="","",D15*E15)</f>
        <v/>
      </c>
      <c r="G15">
        <f>IF(A15="","",IF(C15="",1,COUNTIF($C$2:$C$1501,C15)))</f>
        <v/>
      </c>
      <c r="H15" s="11">
        <f>IF(A15="","",IFERROR(VALUE(SUBSTITUTE(SUBSTITUTE(INDEX('Etsy Import'!$A:$CZ,15,Settings!$C$25)&amp;"","$",""),",","")),0)/IF(Settings!$B$27="Yes",G15,1))</f>
        <v/>
      </c>
      <c r="I15" s="11">
        <f>IF(A15="","",IFERROR(VALUE(SUBSTITUTE(SUBSTITUTE(INDEX('Etsy Import'!$A:$CZ,15,Settings!$C$26)&amp;"","$",""),",","")),0)/IF(Settings!$B$27="Yes",G15,1))</f>
        <v/>
      </c>
      <c r="J15" s="11">
        <f>IF(A15="","",F15+H15-I15)</f>
        <v/>
      </c>
      <c r="K15">
        <f>IF(A15="","",IFERROR(IF(B15="",NA(),MATCH(B15,Products!$B$5:$B$204,0)),IFERROR(MATCH(A15,Products!$A$5:$A$204,0),"")))</f>
        <v/>
      </c>
      <c r="L15">
        <f>IF(A15="","",IF(K15="","⚠ not in Products",INDEX(Products!$A$5:$A$204,K15)))</f>
        <v/>
      </c>
      <c r="M15" s="11">
        <f>IF(A15="","",J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15+IFERROR(INDEX(Settings!$D$5:$D$9,MATCH("Etsy",Settings!$A$5:$A$9,0)),0)*D15)</f>
        <v/>
      </c>
      <c r="N15" s="11">
        <f>IF(A15="","",IF(K15="",0,D15*INDEX(Products!$I$5:$I$204,K15)))</f>
        <v/>
      </c>
      <c r="O15" s="11">
        <f>IF(A15="","",IF(K15="",0,J15*INDEX(Products!$H$5:$H$204,K15)))</f>
        <v/>
      </c>
      <c r="P15" s="11">
        <f>IF(A15="","",J15-M15-N15-O15)</f>
        <v/>
      </c>
    </row>
    <row r="16">
      <c r="A16">
        <f>IFERROR(INDEX('Etsy Import'!$A:$CZ,16,Settings!$C$20)&amp;"","")</f>
        <v/>
      </c>
      <c r="B16">
        <f>IFERROR(INDEX('Etsy Import'!$A:$CZ,16,Settings!$C$21)&amp;"","")</f>
        <v/>
      </c>
      <c r="C16">
        <f>IFERROR(INDEX('Etsy Import'!$A:$CZ,16,Settings!$C$22)&amp;"","")</f>
        <v/>
      </c>
      <c r="D16">
        <f>IF(A16="","",IFERROR(VALUE(SUBSTITUTE(SUBSTITUTE(INDEX('Etsy Import'!$A:$CZ,16,Settings!$C$23)&amp;"","$",""),",","")),0))</f>
        <v/>
      </c>
      <c r="E16" s="11">
        <f>IF(A16="","",IFERROR(VALUE(SUBSTITUTE(SUBSTITUTE(INDEX('Etsy Import'!$A:$CZ,16,Settings!$C$24)&amp;"","$",""),",","")),0))</f>
        <v/>
      </c>
      <c r="F16" s="11">
        <f>IF(A16="","",D16*E16)</f>
        <v/>
      </c>
      <c r="G16">
        <f>IF(A16="","",IF(C16="",1,COUNTIF($C$2:$C$1501,C16)))</f>
        <v/>
      </c>
      <c r="H16" s="11">
        <f>IF(A16="","",IFERROR(VALUE(SUBSTITUTE(SUBSTITUTE(INDEX('Etsy Import'!$A:$CZ,16,Settings!$C$25)&amp;"","$",""),",","")),0)/IF(Settings!$B$27="Yes",G16,1))</f>
        <v/>
      </c>
      <c r="I16" s="11">
        <f>IF(A16="","",IFERROR(VALUE(SUBSTITUTE(SUBSTITUTE(INDEX('Etsy Import'!$A:$CZ,16,Settings!$C$26)&amp;"","$",""),",","")),0)/IF(Settings!$B$27="Yes",G16,1))</f>
        <v/>
      </c>
      <c r="J16" s="11">
        <f>IF(A16="","",F16+H16-I16)</f>
        <v/>
      </c>
      <c r="K16">
        <f>IF(A16="","",IFERROR(IF(B16="",NA(),MATCH(B16,Products!$B$5:$B$204,0)),IFERROR(MATCH(A16,Products!$A$5:$A$204,0),"")))</f>
        <v/>
      </c>
      <c r="L16">
        <f>IF(A16="","",IF(K16="","⚠ not in Products",INDEX(Products!$A$5:$A$204,K16)))</f>
        <v/>
      </c>
      <c r="M16" s="11">
        <f>IF(A16="","",J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16+IFERROR(INDEX(Settings!$D$5:$D$9,MATCH("Etsy",Settings!$A$5:$A$9,0)),0)*D16)</f>
        <v/>
      </c>
      <c r="N16" s="11">
        <f>IF(A16="","",IF(K16="",0,D16*INDEX(Products!$I$5:$I$204,K16)))</f>
        <v/>
      </c>
      <c r="O16" s="11">
        <f>IF(A16="","",IF(K16="",0,J16*INDEX(Products!$H$5:$H$204,K16)))</f>
        <v/>
      </c>
      <c r="P16" s="11">
        <f>IF(A16="","",J16-M16-N16-O16)</f>
        <v/>
      </c>
    </row>
    <row r="17">
      <c r="A17">
        <f>IFERROR(INDEX('Etsy Import'!$A:$CZ,17,Settings!$C$20)&amp;"","")</f>
        <v/>
      </c>
      <c r="B17">
        <f>IFERROR(INDEX('Etsy Import'!$A:$CZ,17,Settings!$C$21)&amp;"","")</f>
        <v/>
      </c>
      <c r="C17">
        <f>IFERROR(INDEX('Etsy Import'!$A:$CZ,17,Settings!$C$22)&amp;"","")</f>
        <v/>
      </c>
      <c r="D17">
        <f>IF(A17="","",IFERROR(VALUE(SUBSTITUTE(SUBSTITUTE(INDEX('Etsy Import'!$A:$CZ,17,Settings!$C$23)&amp;"","$",""),",","")),0))</f>
        <v/>
      </c>
      <c r="E17" s="11">
        <f>IF(A17="","",IFERROR(VALUE(SUBSTITUTE(SUBSTITUTE(INDEX('Etsy Import'!$A:$CZ,17,Settings!$C$24)&amp;"","$",""),",","")),0))</f>
        <v/>
      </c>
      <c r="F17" s="11">
        <f>IF(A17="","",D17*E17)</f>
        <v/>
      </c>
      <c r="G17">
        <f>IF(A17="","",IF(C17="",1,COUNTIF($C$2:$C$1501,C17)))</f>
        <v/>
      </c>
      <c r="H17" s="11">
        <f>IF(A17="","",IFERROR(VALUE(SUBSTITUTE(SUBSTITUTE(INDEX('Etsy Import'!$A:$CZ,17,Settings!$C$25)&amp;"","$",""),",","")),0)/IF(Settings!$B$27="Yes",G17,1))</f>
        <v/>
      </c>
      <c r="I17" s="11">
        <f>IF(A17="","",IFERROR(VALUE(SUBSTITUTE(SUBSTITUTE(INDEX('Etsy Import'!$A:$CZ,17,Settings!$C$26)&amp;"","$",""),",","")),0)/IF(Settings!$B$27="Yes",G17,1))</f>
        <v/>
      </c>
      <c r="J17" s="11">
        <f>IF(A17="","",F17+H17-I17)</f>
        <v/>
      </c>
      <c r="K17">
        <f>IF(A17="","",IFERROR(IF(B17="",NA(),MATCH(B17,Products!$B$5:$B$204,0)),IFERROR(MATCH(A17,Products!$A$5:$A$204,0),"")))</f>
        <v/>
      </c>
      <c r="L17">
        <f>IF(A17="","",IF(K17="","⚠ not in Products",INDEX(Products!$A$5:$A$204,K17)))</f>
        <v/>
      </c>
      <c r="M17" s="11">
        <f>IF(A17="","",J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17+IFERROR(INDEX(Settings!$D$5:$D$9,MATCH("Etsy",Settings!$A$5:$A$9,0)),0)*D17)</f>
        <v/>
      </c>
      <c r="N17" s="11">
        <f>IF(A17="","",IF(K17="",0,D17*INDEX(Products!$I$5:$I$204,K17)))</f>
        <v/>
      </c>
      <c r="O17" s="11">
        <f>IF(A17="","",IF(K17="",0,J17*INDEX(Products!$H$5:$H$204,K17)))</f>
        <v/>
      </c>
      <c r="P17" s="11">
        <f>IF(A17="","",J17-M17-N17-O17)</f>
        <v/>
      </c>
    </row>
    <row r="18">
      <c r="A18">
        <f>IFERROR(INDEX('Etsy Import'!$A:$CZ,18,Settings!$C$20)&amp;"","")</f>
        <v/>
      </c>
      <c r="B18">
        <f>IFERROR(INDEX('Etsy Import'!$A:$CZ,18,Settings!$C$21)&amp;"","")</f>
        <v/>
      </c>
      <c r="C18">
        <f>IFERROR(INDEX('Etsy Import'!$A:$CZ,18,Settings!$C$22)&amp;"","")</f>
        <v/>
      </c>
      <c r="D18">
        <f>IF(A18="","",IFERROR(VALUE(SUBSTITUTE(SUBSTITUTE(INDEX('Etsy Import'!$A:$CZ,18,Settings!$C$23)&amp;"","$",""),",","")),0))</f>
        <v/>
      </c>
      <c r="E18" s="11">
        <f>IF(A18="","",IFERROR(VALUE(SUBSTITUTE(SUBSTITUTE(INDEX('Etsy Import'!$A:$CZ,18,Settings!$C$24)&amp;"","$",""),",","")),0))</f>
        <v/>
      </c>
      <c r="F18" s="11">
        <f>IF(A18="","",D18*E18)</f>
        <v/>
      </c>
      <c r="G18">
        <f>IF(A18="","",IF(C18="",1,COUNTIF($C$2:$C$1501,C18)))</f>
        <v/>
      </c>
      <c r="H18" s="11">
        <f>IF(A18="","",IFERROR(VALUE(SUBSTITUTE(SUBSTITUTE(INDEX('Etsy Import'!$A:$CZ,18,Settings!$C$25)&amp;"","$",""),",","")),0)/IF(Settings!$B$27="Yes",G18,1))</f>
        <v/>
      </c>
      <c r="I18" s="11">
        <f>IF(A18="","",IFERROR(VALUE(SUBSTITUTE(SUBSTITUTE(INDEX('Etsy Import'!$A:$CZ,18,Settings!$C$26)&amp;"","$",""),",","")),0)/IF(Settings!$B$27="Yes",G18,1))</f>
        <v/>
      </c>
      <c r="J18" s="11">
        <f>IF(A18="","",F18+H18-I18)</f>
        <v/>
      </c>
      <c r="K18">
        <f>IF(A18="","",IFERROR(IF(B18="",NA(),MATCH(B18,Products!$B$5:$B$204,0)),IFERROR(MATCH(A18,Products!$A$5:$A$204,0),"")))</f>
        <v/>
      </c>
      <c r="L18">
        <f>IF(A18="","",IF(K18="","⚠ not in Products",INDEX(Products!$A$5:$A$204,K18)))</f>
        <v/>
      </c>
      <c r="M18" s="11">
        <f>IF(A18="","",J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18+IFERROR(INDEX(Settings!$D$5:$D$9,MATCH("Etsy",Settings!$A$5:$A$9,0)),0)*D18)</f>
        <v/>
      </c>
      <c r="N18" s="11">
        <f>IF(A18="","",IF(K18="",0,D18*INDEX(Products!$I$5:$I$204,K18)))</f>
        <v/>
      </c>
      <c r="O18" s="11">
        <f>IF(A18="","",IF(K18="",0,J18*INDEX(Products!$H$5:$H$204,K18)))</f>
        <v/>
      </c>
      <c r="P18" s="11">
        <f>IF(A18="","",J18-M18-N18-O18)</f>
        <v/>
      </c>
    </row>
    <row r="19">
      <c r="A19">
        <f>IFERROR(INDEX('Etsy Import'!$A:$CZ,19,Settings!$C$20)&amp;"","")</f>
        <v/>
      </c>
      <c r="B19">
        <f>IFERROR(INDEX('Etsy Import'!$A:$CZ,19,Settings!$C$21)&amp;"","")</f>
        <v/>
      </c>
      <c r="C19">
        <f>IFERROR(INDEX('Etsy Import'!$A:$CZ,19,Settings!$C$22)&amp;"","")</f>
        <v/>
      </c>
      <c r="D19">
        <f>IF(A19="","",IFERROR(VALUE(SUBSTITUTE(SUBSTITUTE(INDEX('Etsy Import'!$A:$CZ,19,Settings!$C$23)&amp;"","$",""),",","")),0))</f>
        <v/>
      </c>
      <c r="E19" s="11">
        <f>IF(A19="","",IFERROR(VALUE(SUBSTITUTE(SUBSTITUTE(INDEX('Etsy Import'!$A:$CZ,19,Settings!$C$24)&amp;"","$",""),",","")),0))</f>
        <v/>
      </c>
      <c r="F19" s="11">
        <f>IF(A19="","",D19*E19)</f>
        <v/>
      </c>
      <c r="G19">
        <f>IF(A19="","",IF(C19="",1,COUNTIF($C$2:$C$1501,C19)))</f>
        <v/>
      </c>
      <c r="H19" s="11">
        <f>IF(A19="","",IFERROR(VALUE(SUBSTITUTE(SUBSTITUTE(INDEX('Etsy Import'!$A:$CZ,19,Settings!$C$25)&amp;"","$",""),",","")),0)/IF(Settings!$B$27="Yes",G19,1))</f>
        <v/>
      </c>
      <c r="I19" s="11">
        <f>IF(A19="","",IFERROR(VALUE(SUBSTITUTE(SUBSTITUTE(INDEX('Etsy Import'!$A:$CZ,19,Settings!$C$26)&amp;"","$",""),",","")),0)/IF(Settings!$B$27="Yes",G19,1))</f>
        <v/>
      </c>
      <c r="J19" s="11">
        <f>IF(A19="","",F19+H19-I19)</f>
        <v/>
      </c>
      <c r="K19">
        <f>IF(A19="","",IFERROR(IF(B19="",NA(),MATCH(B19,Products!$B$5:$B$204,0)),IFERROR(MATCH(A19,Products!$A$5:$A$204,0),"")))</f>
        <v/>
      </c>
      <c r="L19">
        <f>IF(A19="","",IF(K19="","⚠ not in Products",INDEX(Products!$A$5:$A$204,K19)))</f>
        <v/>
      </c>
      <c r="M19" s="11">
        <f>IF(A19="","",J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19+IFERROR(INDEX(Settings!$D$5:$D$9,MATCH("Etsy",Settings!$A$5:$A$9,0)),0)*D19)</f>
        <v/>
      </c>
      <c r="N19" s="11">
        <f>IF(A19="","",IF(K19="",0,D19*INDEX(Products!$I$5:$I$204,K19)))</f>
        <v/>
      </c>
      <c r="O19" s="11">
        <f>IF(A19="","",IF(K19="",0,J19*INDEX(Products!$H$5:$H$204,K19)))</f>
        <v/>
      </c>
      <c r="P19" s="11">
        <f>IF(A19="","",J19-M19-N19-O19)</f>
        <v/>
      </c>
    </row>
    <row r="20">
      <c r="A20">
        <f>IFERROR(INDEX('Etsy Import'!$A:$CZ,20,Settings!$C$20)&amp;"","")</f>
        <v/>
      </c>
      <c r="B20">
        <f>IFERROR(INDEX('Etsy Import'!$A:$CZ,20,Settings!$C$21)&amp;"","")</f>
        <v/>
      </c>
      <c r="C20">
        <f>IFERROR(INDEX('Etsy Import'!$A:$CZ,20,Settings!$C$22)&amp;"","")</f>
        <v/>
      </c>
      <c r="D20">
        <f>IF(A20="","",IFERROR(VALUE(SUBSTITUTE(SUBSTITUTE(INDEX('Etsy Import'!$A:$CZ,20,Settings!$C$23)&amp;"","$",""),",","")),0))</f>
        <v/>
      </c>
      <c r="E20" s="11">
        <f>IF(A20="","",IFERROR(VALUE(SUBSTITUTE(SUBSTITUTE(INDEX('Etsy Import'!$A:$CZ,20,Settings!$C$24)&amp;"","$",""),",","")),0))</f>
        <v/>
      </c>
      <c r="F20" s="11">
        <f>IF(A20="","",D20*E20)</f>
        <v/>
      </c>
      <c r="G20">
        <f>IF(A20="","",IF(C20="",1,COUNTIF($C$2:$C$1501,C20)))</f>
        <v/>
      </c>
      <c r="H20" s="11">
        <f>IF(A20="","",IFERROR(VALUE(SUBSTITUTE(SUBSTITUTE(INDEX('Etsy Import'!$A:$CZ,20,Settings!$C$25)&amp;"","$",""),",","")),0)/IF(Settings!$B$27="Yes",G20,1))</f>
        <v/>
      </c>
      <c r="I20" s="11">
        <f>IF(A20="","",IFERROR(VALUE(SUBSTITUTE(SUBSTITUTE(INDEX('Etsy Import'!$A:$CZ,20,Settings!$C$26)&amp;"","$",""),",","")),0)/IF(Settings!$B$27="Yes",G20,1))</f>
        <v/>
      </c>
      <c r="J20" s="11">
        <f>IF(A20="","",F20+H20-I20)</f>
        <v/>
      </c>
      <c r="K20">
        <f>IF(A20="","",IFERROR(IF(B20="",NA(),MATCH(B20,Products!$B$5:$B$204,0)),IFERROR(MATCH(A20,Products!$A$5:$A$204,0),"")))</f>
        <v/>
      </c>
      <c r="L20">
        <f>IF(A20="","",IF(K20="","⚠ not in Products",INDEX(Products!$A$5:$A$204,K20)))</f>
        <v/>
      </c>
      <c r="M20" s="11">
        <f>IF(A20="","",J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20+IFERROR(INDEX(Settings!$D$5:$D$9,MATCH("Etsy",Settings!$A$5:$A$9,0)),0)*D20)</f>
        <v/>
      </c>
      <c r="N20" s="11">
        <f>IF(A20="","",IF(K20="",0,D20*INDEX(Products!$I$5:$I$204,K20)))</f>
        <v/>
      </c>
      <c r="O20" s="11">
        <f>IF(A20="","",IF(K20="",0,J20*INDEX(Products!$H$5:$H$204,K20)))</f>
        <v/>
      </c>
      <c r="P20" s="11">
        <f>IF(A20="","",J20-M20-N20-O20)</f>
        <v/>
      </c>
    </row>
    <row r="21">
      <c r="A21">
        <f>IFERROR(INDEX('Etsy Import'!$A:$CZ,21,Settings!$C$20)&amp;"","")</f>
        <v/>
      </c>
      <c r="B21">
        <f>IFERROR(INDEX('Etsy Import'!$A:$CZ,21,Settings!$C$21)&amp;"","")</f>
        <v/>
      </c>
      <c r="C21">
        <f>IFERROR(INDEX('Etsy Import'!$A:$CZ,21,Settings!$C$22)&amp;"","")</f>
        <v/>
      </c>
      <c r="D21">
        <f>IF(A21="","",IFERROR(VALUE(SUBSTITUTE(SUBSTITUTE(INDEX('Etsy Import'!$A:$CZ,21,Settings!$C$23)&amp;"","$",""),",","")),0))</f>
        <v/>
      </c>
      <c r="E21" s="11">
        <f>IF(A21="","",IFERROR(VALUE(SUBSTITUTE(SUBSTITUTE(INDEX('Etsy Import'!$A:$CZ,21,Settings!$C$24)&amp;"","$",""),",","")),0))</f>
        <v/>
      </c>
      <c r="F21" s="11">
        <f>IF(A21="","",D21*E21)</f>
        <v/>
      </c>
      <c r="G21">
        <f>IF(A21="","",IF(C21="",1,COUNTIF($C$2:$C$1501,C21)))</f>
        <v/>
      </c>
      <c r="H21" s="11">
        <f>IF(A21="","",IFERROR(VALUE(SUBSTITUTE(SUBSTITUTE(INDEX('Etsy Import'!$A:$CZ,21,Settings!$C$25)&amp;"","$",""),",","")),0)/IF(Settings!$B$27="Yes",G21,1))</f>
        <v/>
      </c>
      <c r="I21" s="11">
        <f>IF(A21="","",IFERROR(VALUE(SUBSTITUTE(SUBSTITUTE(INDEX('Etsy Import'!$A:$CZ,21,Settings!$C$26)&amp;"","$",""),",","")),0)/IF(Settings!$B$27="Yes",G21,1))</f>
        <v/>
      </c>
      <c r="J21" s="11">
        <f>IF(A21="","",F21+H21-I21)</f>
        <v/>
      </c>
      <c r="K21">
        <f>IF(A21="","",IFERROR(IF(B21="",NA(),MATCH(B21,Products!$B$5:$B$204,0)),IFERROR(MATCH(A21,Products!$A$5:$A$204,0),"")))</f>
        <v/>
      </c>
      <c r="L21">
        <f>IF(A21="","",IF(K21="","⚠ not in Products",INDEX(Products!$A$5:$A$204,K21)))</f>
        <v/>
      </c>
      <c r="M21" s="11">
        <f>IF(A21="","",J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21+IFERROR(INDEX(Settings!$D$5:$D$9,MATCH("Etsy",Settings!$A$5:$A$9,0)),0)*D21)</f>
        <v/>
      </c>
      <c r="N21" s="11">
        <f>IF(A21="","",IF(K21="",0,D21*INDEX(Products!$I$5:$I$204,K21)))</f>
        <v/>
      </c>
      <c r="O21" s="11">
        <f>IF(A21="","",IF(K21="",0,J21*INDEX(Products!$H$5:$H$204,K21)))</f>
        <v/>
      </c>
      <c r="P21" s="11">
        <f>IF(A21="","",J21-M21-N21-O21)</f>
        <v/>
      </c>
    </row>
    <row r="22">
      <c r="A22">
        <f>IFERROR(INDEX('Etsy Import'!$A:$CZ,22,Settings!$C$20)&amp;"","")</f>
        <v/>
      </c>
      <c r="B22">
        <f>IFERROR(INDEX('Etsy Import'!$A:$CZ,22,Settings!$C$21)&amp;"","")</f>
        <v/>
      </c>
      <c r="C22">
        <f>IFERROR(INDEX('Etsy Import'!$A:$CZ,22,Settings!$C$22)&amp;"","")</f>
        <v/>
      </c>
      <c r="D22">
        <f>IF(A22="","",IFERROR(VALUE(SUBSTITUTE(SUBSTITUTE(INDEX('Etsy Import'!$A:$CZ,22,Settings!$C$23)&amp;"","$",""),",","")),0))</f>
        <v/>
      </c>
      <c r="E22" s="11">
        <f>IF(A22="","",IFERROR(VALUE(SUBSTITUTE(SUBSTITUTE(INDEX('Etsy Import'!$A:$CZ,22,Settings!$C$24)&amp;"","$",""),",","")),0))</f>
        <v/>
      </c>
      <c r="F22" s="11">
        <f>IF(A22="","",D22*E22)</f>
        <v/>
      </c>
      <c r="G22">
        <f>IF(A22="","",IF(C22="",1,COUNTIF($C$2:$C$1501,C22)))</f>
        <v/>
      </c>
      <c r="H22" s="11">
        <f>IF(A22="","",IFERROR(VALUE(SUBSTITUTE(SUBSTITUTE(INDEX('Etsy Import'!$A:$CZ,22,Settings!$C$25)&amp;"","$",""),",","")),0)/IF(Settings!$B$27="Yes",G22,1))</f>
        <v/>
      </c>
      <c r="I22" s="11">
        <f>IF(A22="","",IFERROR(VALUE(SUBSTITUTE(SUBSTITUTE(INDEX('Etsy Import'!$A:$CZ,22,Settings!$C$26)&amp;"","$",""),",","")),0)/IF(Settings!$B$27="Yes",G22,1))</f>
        <v/>
      </c>
      <c r="J22" s="11">
        <f>IF(A22="","",F22+H22-I22)</f>
        <v/>
      </c>
      <c r="K22">
        <f>IF(A22="","",IFERROR(IF(B22="",NA(),MATCH(B22,Products!$B$5:$B$204,0)),IFERROR(MATCH(A22,Products!$A$5:$A$204,0),"")))</f>
        <v/>
      </c>
      <c r="L22">
        <f>IF(A22="","",IF(K22="","⚠ not in Products",INDEX(Products!$A$5:$A$204,K22)))</f>
        <v/>
      </c>
      <c r="M22" s="11">
        <f>IF(A22="","",J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22+IFERROR(INDEX(Settings!$D$5:$D$9,MATCH("Etsy",Settings!$A$5:$A$9,0)),0)*D22)</f>
        <v/>
      </c>
      <c r="N22" s="11">
        <f>IF(A22="","",IF(K22="",0,D22*INDEX(Products!$I$5:$I$204,K22)))</f>
        <v/>
      </c>
      <c r="O22" s="11">
        <f>IF(A22="","",IF(K22="",0,J22*INDEX(Products!$H$5:$H$204,K22)))</f>
        <v/>
      </c>
      <c r="P22" s="11">
        <f>IF(A22="","",J22-M22-N22-O22)</f>
        <v/>
      </c>
    </row>
    <row r="23">
      <c r="A23">
        <f>IFERROR(INDEX('Etsy Import'!$A:$CZ,23,Settings!$C$20)&amp;"","")</f>
        <v/>
      </c>
      <c r="B23">
        <f>IFERROR(INDEX('Etsy Import'!$A:$CZ,23,Settings!$C$21)&amp;"","")</f>
        <v/>
      </c>
      <c r="C23">
        <f>IFERROR(INDEX('Etsy Import'!$A:$CZ,23,Settings!$C$22)&amp;"","")</f>
        <v/>
      </c>
      <c r="D23">
        <f>IF(A23="","",IFERROR(VALUE(SUBSTITUTE(SUBSTITUTE(INDEX('Etsy Import'!$A:$CZ,23,Settings!$C$23)&amp;"","$",""),",","")),0))</f>
        <v/>
      </c>
      <c r="E23" s="11">
        <f>IF(A23="","",IFERROR(VALUE(SUBSTITUTE(SUBSTITUTE(INDEX('Etsy Import'!$A:$CZ,23,Settings!$C$24)&amp;"","$",""),",","")),0))</f>
        <v/>
      </c>
      <c r="F23" s="11">
        <f>IF(A23="","",D23*E23)</f>
        <v/>
      </c>
      <c r="G23">
        <f>IF(A23="","",IF(C23="",1,COUNTIF($C$2:$C$1501,C23)))</f>
        <v/>
      </c>
      <c r="H23" s="11">
        <f>IF(A23="","",IFERROR(VALUE(SUBSTITUTE(SUBSTITUTE(INDEX('Etsy Import'!$A:$CZ,23,Settings!$C$25)&amp;"","$",""),",","")),0)/IF(Settings!$B$27="Yes",G23,1))</f>
        <v/>
      </c>
      <c r="I23" s="11">
        <f>IF(A23="","",IFERROR(VALUE(SUBSTITUTE(SUBSTITUTE(INDEX('Etsy Import'!$A:$CZ,23,Settings!$C$26)&amp;"","$",""),",","")),0)/IF(Settings!$B$27="Yes",G23,1))</f>
        <v/>
      </c>
      <c r="J23" s="11">
        <f>IF(A23="","",F23+H23-I23)</f>
        <v/>
      </c>
      <c r="K23">
        <f>IF(A23="","",IFERROR(IF(B23="",NA(),MATCH(B23,Products!$B$5:$B$204,0)),IFERROR(MATCH(A23,Products!$A$5:$A$204,0),"")))</f>
        <v/>
      </c>
      <c r="L23">
        <f>IF(A23="","",IF(K23="","⚠ not in Products",INDEX(Products!$A$5:$A$204,K23)))</f>
        <v/>
      </c>
      <c r="M23" s="11">
        <f>IF(A23="","",J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23+IFERROR(INDEX(Settings!$D$5:$D$9,MATCH("Etsy",Settings!$A$5:$A$9,0)),0)*D23)</f>
        <v/>
      </c>
      <c r="N23" s="11">
        <f>IF(A23="","",IF(K23="",0,D23*INDEX(Products!$I$5:$I$204,K23)))</f>
        <v/>
      </c>
      <c r="O23" s="11">
        <f>IF(A23="","",IF(K23="",0,J23*INDEX(Products!$H$5:$H$204,K23)))</f>
        <v/>
      </c>
      <c r="P23" s="11">
        <f>IF(A23="","",J23-M23-N23-O23)</f>
        <v/>
      </c>
    </row>
    <row r="24">
      <c r="A24">
        <f>IFERROR(INDEX('Etsy Import'!$A:$CZ,24,Settings!$C$20)&amp;"","")</f>
        <v/>
      </c>
      <c r="B24">
        <f>IFERROR(INDEX('Etsy Import'!$A:$CZ,24,Settings!$C$21)&amp;"","")</f>
        <v/>
      </c>
      <c r="C24">
        <f>IFERROR(INDEX('Etsy Import'!$A:$CZ,24,Settings!$C$22)&amp;"","")</f>
        <v/>
      </c>
      <c r="D24">
        <f>IF(A24="","",IFERROR(VALUE(SUBSTITUTE(SUBSTITUTE(INDEX('Etsy Import'!$A:$CZ,24,Settings!$C$23)&amp;"","$",""),",","")),0))</f>
        <v/>
      </c>
      <c r="E24" s="11">
        <f>IF(A24="","",IFERROR(VALUE(SUBSTITUTE(SUBSTITUTE(INDEX('Etsy Import'!$A:$CZ,24,Settings!$C$24)&amp;"","$",""),",","")),0))</f>
        <v/>
      </c>
      <c r="F24" s="11">
        <f>IF(A24="","",D24*E24)</f>
        <v/>
      </c>
      <c r="G24">
        <f>IF(A24="","",IF(C24="",1,COUNTIF($C$2:$C$1501,C24)))</f>
        <v/>
      </c>
      <c r="H24" s="11">
        <f>IF(A24="","",IFERROR(VALUE(SUBSTITUTE(SUBSTITUTE(INDEX('Etsy Import'!$A:$CZ,24,Settings!$C$25)&amp;"","$",""),",","")),0)/IF(Settings!$B$27="Yes",G24,1))</f>
        <v/>
      </c>
      <c r="I24" s="11">
        <f>IF(A24="","",IFERROR(VALUE(SUBSTITUTE(SUBSTITUTE(INDEX('Etsy Import'!$A:$CZ,24,Settings!$C$26)&amp;"","$",""),",","")),0)/IF(Settings!$B$27="Yes",G24,1))</f>
        <v/>
      </c>
      <c r="J24" s="11">
        <f>IF(A24="","",F24+H24-I24)</f>
        <v/>
      </c>
      <c r="K24">
        <f>IF(A24="","",IFERROR(IF(B24="",NA(),MATCH(B24,Products!$B$5:$B$204,0)),IFERROR(MATCH(A24,Products!$A$5:$A$204,0),"")))</f>
        <v/>
      </c>
      <c r="L24">
        <f>IF(A24="","",IF(K24="","⚠ not in Products",INDEX(Products!$A$5:$A$204,K24)))</f>
        <v/>
      </c>
      <c r="M24" s="11">
        <f>IF(A24="","",J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24+IFERROR(INDEX(Settings!$D$5:$D$9,MATCH("Etsy",Settings!$A$5:$A$9,0)),0)*D24)</f>
        <v/>
      </c>
      <c r="N24" s="11">
        <f>IF(A24="","",IF(K24="",0,D24*INDEX(Products!$I$5:$I$204,K24)))</f>
        <v/>
      </c>
      <c r="O24" s="11">
        <f>IF(A24="","",IF(K24="",0,J24*INDEX(Products!$H$5:$H$204,K24)))</f>
        <v/>
      </c>
      <c r="P24" s="11">
        <f>IF(A24="","",J24-M24-N24-O24)</f>
        <v/>
      </c>
    </row>
    <row r="25">
      <c r="A25">
        <f>IFERROR(INDEX('Etsy Import'!$A:$CZ,25,Settings!$C$20)&amp;"","")</f>
        <v/>
      </c>
      <c r="B25">
        <f>IFERROR(INDEX('Etsy Import'!$A:$CZ,25,Settings!$C$21)&amp;"","")</f>
        <v/>
      </c>
      <c r="C25">
        <f>IFERROR(INDEX('Etsy Import'!$A:$CZ,25,Settings!$C$22)&amp;"","")</f>
        <v/>
      </c>
      <c r="D25">
        <f>IF(A25="","",IFERROR(VALUE(SUBSTITUTE(SUBSTITUTE(INDEX('Etsy Import'!$A:$CZ,25,Settings!$C$23)&amp;"","$",""),",","")),0))</f>
        <v/>
      </c>
      <c r="E25" s="11">
        <f>IF(A25="","",IFERROR(VALUE(SUBSTITUTE(SUBSTITUTE(INDEX('Etsy Import'!$A:$CZ,25,Settings!$C$24)&amp;"","$",""),",","")),0))</f>
        <v/>
      </c>
      <c r="F25" s="11">
        <f>IF(A25="","",D25*E25)</f>
        <v/>
      </c>
      <c r="G25">
        <f>IF(A25="","",IF(C25="",1,COUNTIF($C$2:$C$1501,C25)))</f>
        <v/>
      </c>
      <c r="H25" s="11">
        <f>IF(A25="","",IFERROR(VALUE(SUBSTITUTE(SUBSTITUTE(INDEX('Etsy Import'!$A:$CZ,25,Settings!$C$25)&amp;"","$",""),",","")),0)/IF(Settings!$B$27="Yes",G25,1))</f>
        <v/>
      </c>
      <c r="I25" s="11">
        <f>IF(A25="","",IFERROR(VALUE(SUBSTITUTE(SUBSTITUTE(INDEX('Etsy Import'!$A:$CZ,25,Settings!$C$26)&amp;"","$",""),",","")),0)/IF(Settings!$B$27="Yes",G25,1))</f>
        <v/>
      </c>
      <c r="J25" s="11">
        <f>IF(A25="","",F25+H25-I25)</f>
        <v/>
      </c>
      <c r="K25">
        <f>IF(A25="","",IFERROR(IF(B25="",NA(),MATCH(B25,Products!$B$5:$B$204,0)),IFERROR(MATCH(A25,Products!$A$5:$A$204,0),"")))</f>
        <v/>
      </c>
      <c r="L25">
        <f>IF(A25="","",IF(K25="","⚠ not in Products",INDEX(Products!$A$5:$A$204,K25)))</f>
        <v/>
      </c>
      <c r="M25" s="11">
        <f>IF(A25="","",J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25+IFERROR(INDEX(Settings!$D$5:$D$9,MATCH("Etsy",Settings!$A$5:$A$9,0)),0)*D25)</f>
        <v/>
      </c>
      <c r="N25" s="11">
        <f>IF(A25="","",IF(K25="",0,D25*INDEX(Products!$I$5:$I$204,K25)))</f>
        <v/>
      </c>
      <c r="O25" s="11">
        <f>IF(A25="","",IF(K25="",0,J25*INDEX(Products!$H$5:$H$204,K25)))</f>
        <v/>
      </c>
      <c r="P25" s="11">
        <f>IF(A25="","",J25-M25-N25-O25)</f>
        <v/>
      </c>
    </row>
    <row r="26">
      <c r="A26">
        <f>IFERROR(INDEX('Etsy Import'!$A:$CZ,26,Settings!$C$20)&amp;"","")</f>
        <v/>
      </c>
      <c r="B26">
        <f>IFERROR(INDEX('Etsy Import'!$A:$CZ,26,Settings!$C$21)&amp;"","")</f>
        <v/>
      </c>
      <c r="C26">
        <f>IFERROR(INDEX('Etsy Import'!$A:$CZ,26,Settings!$C$22)&amp;"","")</f>
        <v/>
      </c>
      <c r="D26">
        <f>IF(A26="","",IFERROR(VALUE(SUBSTITUTE(SUBSTITUTE(INDEX('Etsy Import'!$A:$CZ,26,Settings!$C$23)&amp;"","$",""),",","")),0))</f>
        <v/>
      </c>
      <c r="E26" s="11">
        <f>IF(A26="","",IFERROR(VALUE(SUBSTITUTE(SUBSTITUTE(INDEX('Etsy Import'!$A:$CZ,26,Settings!$C$24)&amp;"","$",""),",","")),0))</f>
        <v/>
      </c>
      <c r="F26" s="11">
        <f>IF(A26="","",D26*E26)</f>
        <v/>
      </c>
      <c r="G26">
        <f>IF(A26="","",IF(C26="",1,COUNTIF($C$2:$C$1501,C26)))</f>
        <v/>
      </c>
      <c r="H26" s="11">
        <f>IF(A26="","",IFERROR(VALUE(SUBSTITUTE(SUBSTITUTE(INDEX('Etsy Import'!$A:$CZ,26,Settings!$C$25)&amp;"","$",""),",","")),0)/IF(Settings!$B$27="Yes",G26,1))</f>
        <v/>
      </c>
      <c r="I26" s="11">
        <f>IF(A26="","",IFERROR(VALUE(SUBSTITUTE(SUBSTITUTE(INDEX('Etsy Import'!$A:$CZ,26,Settings!$C$26)&amp;"","$",""),",","")),0)/IF(Settings!$B$27="Yes",G26,1))</f>
        <v/>
      </c>
      <c r="J26" s="11">
        <f>IF(A26="","",F26+H26-I26)</f>
        <v/>
      </c>
      <c r="K26">
        <f>IF(A26="","",IFERROR(IF(B26="",NA(),MATCH(B26,Products!$B$5:$B$204,0)),IFERROR(MATCH(A26,Products!$A$5:$A$204,0),"")))</f>
        <v/>
      </c>
      <c r="L26">
        <f>IF(A26="","",IF(K26="","⚠ not in Products",INDEX(Products!$A$5:$A$204,K26)))</f>
        <v/>
      </c>
      <c r="M26" s="11">
        <f>IF(A26="","",J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26+IFERROR(INDEX(Settings!$D$5:$D$9,MATCH("Etsy",Settings!$A$5:$A$9,0)),0)*D26)</f>
        <v/>
      </c>
      <c r="N26" s="11">
        <f>IF(A26="","",IF(K26="",0,D26*INDEX(Products!$I$5:$I$204,K26)))</f>
        <v/>
      </c>
      <c r="O26" s="11">
        <f>IF(A26="","",IF(K26="",0,J26*INDEX(Products!$H$5:$H$204,K26)))</f>
        <v/>
      </c>
      <c r="P26" s="11">
        <f>IF(A26="","",J26-M26-N26-O26)</f>
        <v/>
      </c>
    </row>
    <row r="27">
      <c r="A27">
        <f>IFERROR(INDEX('Etsy Import'!$A:$CZ,27,Settings!$C$20)&amp;"","")</f>
        <v/>
      </c>
      <c r="B27">
        <f>IFERROR(INDEX('Etsy Import'!$A:$CZ,27,Settings!$C$21)&amp;"","")</f>
        <v/>
      </c>
      <c r="C27">
        <f>IFERROR(INDEX('Etsy Import'!$A:$CZ,27,Settings!$C$22)&amp;"","")</f>
        <v/>
      </c>
      <c r="D27">
        <f>IF(A27="","",IFERROR(VALUE(SUBSTITUTE(SUBSTITUTE(INDEX('Etsy Import'!$A:$CZ,27,Settings!$C$23)&amp;"","$",""),",","")),0))</f>
        <v/>
      </c>
      <c r="E27" s="11">
        <f>IF(A27="","",IFERROR(VALUE(SUBSTITUTE(SUBSTITUTE(INDEX('Etsy Import'!$A:$CZ,27,Settings!$C$24)&amp;"","$",""),",","")),0))</f>
        <v/>
      </c>
      <c r="F27" s="11">
        <f>IF(A27="","",D27*E27)</f>
        <v/>
      </c>
      <c r="G27">
        <f>IF(A27="","",IF(C27="",1,COUNTIF($C$2:$C$1501,C27)))</f>
        <v/>
      </c>
      <c r="H27" s="11">
        <f>IF(A27="","",IFERROR(VALUE(SUBSTITUTE(SUBSTITUTE(INDEX('Etsy Import'!$A:$CZ,27,Settings!$C$25)&amp;"","$",""),",","")),0)/IF(Settings!$B$27="Yes",G27,1))</f>
        <v/>
      </c>
      <c r="I27" s="11">
        <f>IF(A27="","",IFERROR(VALUE(SUBSTITUTE(SUBSTITUTE(INDEX('Etsy Import'!$A:$CZ,27,Settings!$C$26)&amp;"","$",""),",","")),0)/IF(Settings!$B$27="Yes",G27,1))</f>
        <v/>
      </c>
      <c r="J27" s="11">
        <f>IF(A27="","",F27+H27-I27)</f>
        <v/>
      </c>
      <c r="K27">
        <f>IF(A27="","",IFERROR(IF(B27="",NA(),MATCH(B27,Products!$B$5:$B$204,0)),IFERROR(MATCH(A27,Products!$A$5:$A$204,0),"")))</f>
        <v/>
      </c>
      <c r="L27">
        <f>IF(A27="","",IF(K27="","⚠ not in Products",INDEX(Products!$A$5:$A$204,K27)))</f>
        <v/>
      </c>
      <c r="M27" s="11">
        <f>IF(A27="","",J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27+IFERROR(INDEX(Settings!$D$5:$D$9,MATCH("Etsy",Settings!$A$5:$A$9,0)),0)*D27)</f>
        <v/>
      </c>
      <c r="N27" s="11">
        <f>IF(A27="","",IF(K27="",0,D27*INDEX(Products!$I$5:$I$204,K27)))</f>
        <v/>
      </c>
      <c r="O27" s="11">
        <f>IF(A27="","",IF(K27="",0,J27*INDEX(Products!$H$5:$H$204,K27)))</f>
        <v/>
      </c>
      <c r="P27" s="11">
        <f>IF(A27="","",J27-M27-N27-O27)</f>
        <v/>
      </c>
    </row>
    <row r="28">
      <c r="A28">
        <f>IFERROR(INDEX('Etsy Import'!$A:$CZ,28,Settings!$C$20)&amp;"","")</f>
        <v/>
      </c>
      <c r="B28">
        <f>IFERROR(INDEX('Etsy Import'!$A:$CZ,28,Settings!$C$21)&amp;"","")</f>
        <v/>
      </c>
      <c r="C28">
        <f>IFERROR(INDEX('Etsy Import'!$A:$CZ,28,Settings!$C$22)&amp;"","")</f>
        <v/>
      </c>
      <c r="D28">
        <f>IF(A28="","",IFERROR(VALUE(SUBSTITUTE(SUBSTITUTE(INDEX('Etsy Import'!$A:$CZ,28,Settings!$C$23)&amp;"","$",""),",","")),0))</f>
        <v/>
      </c>
      <c r="E28" s="11">
        <f>IF(A28="","",IFERROR(VALUE(SUBSTITUTE(SUBSTITUTE(INDEX('Etsy Import'!$A:$CZ,28,Settings!$C$24)&amp;"","$",""),",","")),0))</f>
        <v/>
      </c>
      <c r="F28" s="11">
        <f>IF(A28="","",D28*E28)</f>
        <v/>
      </c>
      <c r="G28">
        <f>IF(A28="","",IF(C28="",1,COUNTIF($C$2:$C$1501,C28)))</f>
        <v/>
      </c>
      <c r="H28" s="11">
        <f>IF(A28="","",IFERROR(VALUE(SUBSTITUTE(SUBSTITUTE(INDEX('Etsy Import'!$A:$CZ,28,Settings!$C$25)&amp;"","$",""),",","")),0)/IF(Settings!$B$27="Yes",G28,1))</f>
        <v/>
      </c>
      <c r="I28" s="11">
        <f>IF(A28="","",IFERROR(VALUE(SUBSTITUTE(SUBSTITUTE(INDEX('Etsy Import'!$A:$CZ,28,Settings!$C$26)&amp;"","$",""),",","")),0)/IF(Settings!$B$27="Yes",G28,1))</f>
        <v/>
      </c>
      <c r="J28" s="11">
        <f>IF(A28="","",F28+H28-I28)</f>
        <v/>
      </c>
      <c r="K28">
        <f>IF(A28="","",IFERROR(IF(B28="",NA(),MATCH(B28,Products!$B$5:$B$204,0)),IFERROR(MATCH(A28,Products!$A$5:$A$204,0),"")))</f>
        <v/>
      </c>
      <c r="L28">
        <f>IF(A28="","",IF(K28="","⚠ not in Products",INDEX(Products!$A$5:$A$204,K28)))</f>
        <v/>
      </c>
      <c r="M28" s="11">
        <f>IF(A28="","",J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28+IFERROR(INDEX(Settings!$D$5:$D$9,MATCH("Etsy",Settings!$A$5:$A$9,0)),0)*D28)</f>
        <v/>
      </c>
      <c r="N28" s="11">
        <f>IF(A28="","",IF(K28="",0,D28*INDEX(Products!$I$5:$I$204,K28)))</f>
        <v/>
      </c>
      <c r="O28" s="11">
        <f>IF(A28="","",IF(K28="",0,J28*INDEX(Products!$H$5:$H$204,K28)))</f>
        <v/>
      </c>
      <c r="P28" s="11">
        <f>IF(A28="","",J28-M28-N28-O28)</f>
        <v/>
      </c>
    </row>
    <row r="29">
      <c r="A29">
        <f>IFERROR(INDEX('Etsy Import'!$A:$CZ,29,Settings!$C$20)&amp;"","")</f>
        <v/>
      </c>
      <c r="B29">
        <f>IFERROR(INDEX('Etsy Import'!$A:$CZ,29,Settings!$C$21)&amp;"","")</f>
        <v/>
      </c>
      <c r="C29">
        <f>IFERROR(INDEX('Etsy Import'!$A:$CZ,29,Settings!$C$22)&amp;"","")</f>
        <v/>
      </c>
      <c r="D29">
        <f>IF(A29="","",IFERROR(VALUE(SUBSTITUTE(SUBSTITUTE(INDEX('Etsy Import'!$A:$CZ,29,Settings!$C$23)&amp;"","$",""),",","")),0))</f>
        <v/>
      </c>
      <c r="E29" s="11">
        <f>IF(A29="","",IFERROR(VALUE(SUBSTITUTE(SUBSTITUTE(INDEX('Etsy Import'!$A:$CZ,29,Settings!$C$24)&amp;"","$",""),",","")),0))</f>
        <v/>
      </c>
      <c r="F29" s="11">
        <f>IF(A29="","",D29*E29)</f>
        <v/>
      </c>
      <c r="G29">
        <f>IF(A29="","",IF(C29="",1,COUNTIF($C$2:$C$1501,C29)))</f>
        <v/>
      </c>
      <c r="H29" s="11">
        <f>IF(A29="","",IFERROR(VALUE(SUBSTITUTE(SUBSTITUTE(INDEX('Etsy Import'!$A:$CZ,29,Settings!$C$25)&amp;"","$",""),",","")),0)/IF(Settings!$B$27="Yes",G29,1))</f>
        <v/>
      </c>
      <c r="I29" s="11">
        <f>IF(A29="","",IFERROR(VALUE(SUBSTITUTE(SUBSTITUTE(INDEX('Etsy Import'!$A:$CZ,29,Settings!$C$26)&amp;"","$",""),",","")),0)/IF(Settings!$B$27="Yes",G29,1))</f>
        <v/>
      </c>
      <c r="J29" s="11">
        <f>IF(A29="","",F29+H29-I29)</f>
        <v/>
      </c>
      <c r="K29">
        <f>IF(A29="","",IFERROR(IF(B29="",NA(),MATCH(B29,Products!$B$5:$B$204,0)),IFERROR(MATCH(A29,Products!$A$5:$A$204,0),"")))</f>
        <v/>
      </c>
      <c r="L29">
        <f>IF(A29="","",IF(K29="","⚠ not in Products",INDEX(Products!$A$5:$A$204,K29)))</f>
        <v/>
      </c>
      <c r="M29" s="11">
        <f>IF(A29="","",J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29+IFERROR(INDEX(Settings!$D$5:$D$9,MATCH("Etsy",Settings!$A$5:$A$9,0)),0)*D29)</f>
        <v/>
      </c>
      <c r="N29" s="11">
        <f>IF(A29="","",IF(K29="",0,D29*INDEX(Products!$I$5:$I$204,K29)))</f>
        <v/>
      </c>
      <c r="O29" s="11">
        <f>IF(A29="","",IF(K29="",0,J29*INDEX(Products!$H$5:$H$204,K29)))</f>
        <v/>
      </c>
      <c r="P29" s="11">
        <f>IF(A29="","",J29-M29-N29-O29)</f>
        <v/>
      </c>
    </row>
    <row r="30">
      <c r="A30">
        <f>IFERROR(INDEX('Etsy Import'!$A:$CZ,30,Settings!$C$20)&amp;"","")</f>
        <v/>
      </c>
      <c r="B30">
        <f>IFERROR(INDEX('Etsy Import'!$A:$CZ,30,Settings!$C$21)&amp;"","")</f>
        <v/>
      </c>
      <c r="C30">
        <f>IFERROR(INDEX('Etsy Import'!$A:$CZ,30,Settings!$C$22)&amp;"","")</f>
        <v/>
      </c>
      <c r="D30">
        <f>IF(A30="","",IFERROR(VALUE(SUBSTITUTE(SUBSTITUTE(INDEX('Etsy Import'!$A:$CZ,30,Settings!$C$23)&amp;"","$",""),",","")),0))</f>
        <v/>
      </c>
      <c r="E30" s="11">
        <f>IF(A30="","",IFERROR(VALUE(SUBSTITUTE(SUBSTITUTE(INDEX('Etsy Import'!$A:$CZ,30,Settings!$C$24)&amp;"","$",""),",","")),0))</f>
        <v/>
      </c>
      <c r="F30" s="11">
        <f>IF(A30="","",D30*E30)</f>
        <v/>
      </c>
      <c r="G30">
        <f>IF(A30="","",IF(C30="",1,COUNTIF($C$2:$C$1501,C30)))</f>
        <v/>
      </c>
      <c r="H30" s="11">
        <f>IF(A30="","",IFERROR(VALUE(SUBSTITUTE(SUBSTITUTE(INDEX('Etsy Import'!$A:$CZ,30,Settings!$C$25)&amp;"","$",""),",","")),0)/IF(Settings!$B$27="Yes",G30,1))</f>
        <v/>
      </c>
      <c r="I30" s="11">
        <f>IF(A30="","",IFERROR(VALUE(SUBSTITUTE(SUBSTITUTE(INDEX('Etsy Import'!$A:$CZ,30,Settings!$C$26)&amp;"","$",""),",","")),0)/IF(Settings!$B$27="Yes",G30,1))</f>
        <v/>
      </c>
      <c r="J30" s="11">
        <f>IF(A30="","",F30+H30-I30)</f>
        <v/>
      </c>
      <c r="K30">
        <f>IF(A30="","",IFERROR(IF(B30="",NA(),MATCH(B30,Products!$B$5:$B$204,0)),IFERROR(MATCH(A30,Products!$A$5:$A$204,0),"")))</f>
        <v/>
      </c>
      <c r="L30">
        <f>IF(A30="","",IF(K30="","⚠ not in Products",INDEX(Products!$A$5:$A$204,K30)))</f>
        <v/>
      </c>
      <c r="M30" s="11">
        <f>IF(A30="","",J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30+IFERROR(INDEX(Settings!$D$5:$D$9,MATCH("Etsy",Settings!$A$5:$A$9,0)),0)*D30)</f>
        <v/>
      </c>
      <c r="N30" s="11">
        <f>IF(A30="","",IF(K30="",0,D30*INDEX(Products!$I$5:$I$204,K30)))</f>
        <v/>
      </c>
      <c r="O30" s="11">
        <f>IF(A30="","",IF(K30="",0,J30*INDEX(Products!$H$5:$H$204,K30)))</f>
        <v/>
      </c>
      <c r="P30" s="11">
        <f>IF(A30="","",J30-M30-N30-O30)</f>
        <v/>
      </c>
    </row>
    <row r="31">
      <c r="A31">
        <f>IFERROR(INDEX('Etsy Import'!$A:$CZ,31,Settings!$C$20)&amp;"","")</f>
        <v/>
      </c>
      <c r="B31">
        <f>IFERROR(INDEX('Etsy Import'!$A:$CZ,31,Settings!$C$21)&amp;"","")</f>
        <v/>
      </c>
      <c r="C31">
        <f>IFERROR(INDEX('Etsy Import'!$A:$CZ,31,Settings!$C$22)&amp;"","")</f>
        <v/>
      </c>
      <c r="D31">
        <f>IF(A31="","",IFERROR(VALUE(SUBSTITUTE(SUBSTITUTE(INDEX('Etsy Import'!$A:$CZ,31,Settings!$C$23)&amp;"","$",""),",","")),0))</f>
        <v/>
      </c>
      <c r="E31" s="11">
        <f>IF(A31="","",IFERROR(VALUE(SUBSTITUTE(SUBSTITUTE(INDEX('Etsy Import'!$A:$CZ,31,Settings!$C$24)&amp;"","$",""),",","")),0))</f>
        <v/>
      </c>
      <c r="F31" s="11">
        <f>IF(A31="","",D31*E31)</f>
        <v/>
      </c>
      <c r="G31">
        <f>IF(A31="","",IF(C31="",1,COUNTIF($C$2:$C$1501,C31)))</f>
        <v/>
      </c>
      <c r="H31" s="11">
        <f>IF(A31="","",IFERROR(VALUE(SUBSTITUTE(SUBSTITUTE(INDEX('Etsy Import'!$A:$CZ,31,Settings!$C$25)&amp;"","$",""),",","")),0)/IF(Settings!$B$27="Yes",G31,1))</f>
        <v/>
      </c>
      <c r="I31" s="11">
        <f>IF(A31="","",IFERROR(VALUE(SUBSTITUTE(SUBSTITUTE(INDEX('Etsy Import'!$A:$CZ,31,Settings!$C$26)&amp;"","$",""),",","")),0)/IF(Settings!$B$27="Yes",G31,1))</f>
        <v/>
      </c>
      <c r="J31" s="11">
        <f>IF(A31="","",F31+H31-I31)</f>
        <v/>
      </c>
      <c r="K31">
        <f>IF(A31="","",IFERROR(IF(B31="",NA(),MATCH(B31,Products!$B$5:$B$204,0)),IFERROR(MATCH(A31,Products!$A$5:$A$204,0),"")))</f>
        <v/>
      </c>
      <c r="L31">
        <f>IF(A31="","",IF(K31="","⚠ not in Products",INDEX(Products!$A$5:$A$204,K31)))</f>
        <v/>
      </c>
      <c r="M31" s="11">
        <f>IF(A31="","",J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31+IFERROR(INDEX(Settings!$D$5:$D$9,MATCH("Etsy",Settings!$A$5:$A$9,0)),0)*D31)</f>
        <v/>
      </c>
      <c r="N31" s="11">
        <f>IF(A31="","",IF(K31="",0,D31*INDEX(Products!$I$5:$I$204,K31)))</f>
        <v/>
      </c>
      <c r="O31" s="11">
        <f>IF(A31="","",IF(K31="",0,J31*INDEX(Products!$H$5:$H$204,K31)))</f>
        <v/>
      </c>
      <c r="P31" s="11">
        <f>IF(A31="","",J31-M31-N31-O31)</f>
        <v/>
      </c>
    </row>
    <row r="32">
      <c r="A32">
        <f>IFERROR(INDEX('Etsy Import'!$A:$CZ,32,Settings!$C$20)&amp;"","")</f>
        <v/>
      </c>
      <c r="B32">
        <f>IFERROR(INDEX('Etsy Import'!$A:$CZ,32,Settings!$C$21)&amp;"","")</f>
        <v/>
      </c>
      <c r="C32">
        <f>IFERROR(INDEX('Etsy Import'!$A:$CZ,32,Settings!$C$22)&amp;"","")</f>
        <v/>
      </c>
      <c r="D32">
        <f>IF(A32="","",IFERROR(VALUE(SUBSTITUTE(SUBSTITUTE(INDEX('Etsy Import'!$A:$CZ,32,Settings!$C$23)&amp;"","$",""),",","")),0))</f>
        <v/>
      </c>
      <c r="E32" s="11">
        <f>IF(A32="","",IFERROR(VALUE(SUBSTITUTE(SUBSTITUTE(INDEX('Etsy Import'!$A:$CZ,32,Settings!$C$24)&amp;"","$",""),",","")),0))</f>
        <v/>
      </c>
      <c r="F32" s="11">
        <f>IF(A32="","",D32*E32)</f>
        <v/>
      </c>
      <c r="G32">
        <f>IF(A32="","",IF(C32="",1,COUNTIF($C$2:$C$1501,C32)))</f>
        <v/>
      </c>
      <c r="H32" s="11">
        <f>IF(A32="","",IFERROR(VALUE(SUBSTITUTE(SUBSTITUTE(INDEX('Etsy Import'!$A:$CZ,32,Settings!$C$25)&amp;"","$",""),",","")),0)/IF(Settings!$B$27="Yes",G32,1))</f>
        <v/>
      </c>
      <c r="I32" s="11">
        <f>IF(A32="","",IFERROR(VALUE(SUBSTITUTE(SUBSTITUTE(INDEX('Etsy Import'!$A:$CZ,32,Settings!$C$26)&amp;"","$",""),",","")),0)/IF(Settings!$B$27="Yes",G32,1))</f>
        <v/>
      </c>
      <c r="J32" s="11">
        <f>IF(A32="","",F32+H32-I32)</f>
        <v/>
      </c>
      <c r="K32">
        <f>IF(A32="","",IFERROR(IF(B32="",NA(),MATCH(B32,Products!$B$5:$B$204,0)),IFERROR(MATCH(A32,Products!$A$5:$A$204,0),"")))</f>
        <v/>
      </c>
      <c r="L32">
        <f>IF(A32="","",IF(K32="","⚠ not in Products",INDEX(Products!$A$5:$A$204,K32)))</f>
        <v/>
      </c>
      <c r="M32" s="11">
        <f>IF(A32="","",J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32+IFERROR(INDEX(Settings!$D$5:$D$9,MATCH("Etsy",Settings!$A$5:$A$9,0)),0)*D32)</f>
        <v/>
      </c>
      <c r="N32" s="11">
        <f>IF(A32="","",IF(K32="",0,D32*INDEX(Products!$I$5:$I$204,K32)))</f>
        <v/>
      </c>
      <c r="O32" s="11">
        <f>IF(A32="","",IF(K32="",0,J32*INDEX(Products!$H$5:$H$204,K32)))</f>
        <v/>
      </c>
      <c r="P32" s="11">
        <f>IF(A32="","",J32-M32-N32-O32)</f>
        <v/>
      </c>
    </row>
    <row r="33">
      <c r="A33">
        <f>IFERROR(INDEX('Etsy Import'!$A:$CZ,33,Settings!$C$20)&amp;"","")</f>
        <v/>
      </c>
      <c r="B33">
        <f>IFERROR(INDEX('Etsy Import'!$A:$CZ,33,Settings!$C$21)&amp;"","")</f>
        <v/>
      </c>
      <c r="C33">
        <f>IFERROR(INDEX('Etsy Import'!$A:$CZ,33,Settings!$C$22)&amp;"","")</f>
        <v/>
      </c>
      <c r="D33">
        <f>IF(A33="","",IFERROR(VALUE(SUBSTITUTE(SUBSTITUTE(INDEX('Etsy Import'!$A:$CZ,33,Settings!$C$23)&amp;"","$",""),",","")),0))</f>
        <v/>
      </c>
      <c r="E33" s="11">
        <f>IF(A33="","",IFERROR(VALUE(SUBSTITUTE(SUBSTITUTE(INDEX('Etsy Import'!$A:$CZ,33,Settings!$C$24)&amp;"","$",""),",","")),0))</f>
        <v/>
      </c>
      <c r="F33" s="11">
        <f>IF(A33="","",D33*E33)</f>
        <v/>
      </c>
      <c r="G33">
        <f>IF(A33="","",IF(C33="",1,COUNTIF($C$2:$C$1501,C33)))</f>
        <v/>
      </c>
      <c r="H33" s="11">
        <f>IF(A33="","",IFERROR(VALUE(SUBSTITUTE(SUBSTITUTE(INDEX('Etsy Import'!$A:$CZ,33,Settings!$C$25)&amp;"","$",""),",","")),0)/IF(Settings!$B$27="Yes",G33,1))</f>
        <v/>
      </c>
      <c r="I33" s="11">
        <f>IF(A33="","",IFERROR(VALUE(SUBSTITUTE(SUBSTITUTE(INDEX('Etsy Import'!$A:$CZ,33,Settings!$C$26)&amp;"","$",""),",","")),0)/IF(Settings!$B$27="Yes",G33,1))</f>
        <v/>
      </c>
      <c r="J33" s="11">
        <f>IF(A33="","",F33+H33-I33)</f>
        <v/>
      </c>
      <c r="K33">
        <f>IF(A33="","",IFERROR(IF(B33="",NA(),MATCH(B33,Products!$B$5:$B$204,0)),IFERROR(MATCH(A33,Products!$A$5:$A$204,0),"")))</f>
        <v/>
      </c>
      <c r="L33">
        <f>IF(A33="","",IF(K33="","⚠ not in Products",INDEX(Products!$A$5:$A$204,K33)))</f>
        <v/>
      </c>
      <c r="M33" s="11">
        <f>IF(A33="","",J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33+IFERROR(INDEX(Settings!$D$5:$D$9,MATCH("Etsy",Settings!$A$5:$A$9,0)),0)*D33)</f>
        <v/>
      </c>
      <c r="N33" s="11">
        <f>IF(A33="","",IF(K33="",0,D33*INDEX(Products!$I$5:$I$204,K33)))</f>
        <v/>
      </c>
      <c r="O33" s="11">
        <f>IF(A33="","",IF(K33="",0,J33*INDEX(Products!$H$5:$H$204,K33)))</f>
        <v/>
      </c>
      <c r="P33" s="11">
        <f>IF(A33="","",J33-M33-N33-O33)</f>
        <v/>
      </c>
    </row>
    <row r="34">
      <c r="A34">
        <f>IFERROR(INDEX('Etsy Import'!$A:$CZ,34,Settings!$C$20)&amp;"","")</f>
        <v/>
      </c>
      <c r="B34">
        <f>IFERROR(INDEX('Etsy Import'!$A:$CZ,34,Settings!$C$21)&amp;"","")</f>
        <v/>
      </c>
      <c r="C34">
        <f>IFERROR(INDEX('Etsy Import'!$A:$CZ,34,Settings!$C$22)&amp;"","")</f>
        <v/>
      </c>
      <c r="D34">
        <f>IF(A34="","",IFERROR(VALUE(SUBSTITUTE(SUBSTITUTE(INDEX('Etsy Import'!$A:$CZ,34,Settings!$C$23)&amp;"","$",""),",","")),0))</f>
        <v/>
      </c>
      <c r="E34" s="11">
        <f>IF(A34="","",IFERROR(VALUE(SUBSTITUTE(SUBSTITUTE(INDEX('Etsy Import'!$A:$CZ,34,Settings!$C$24)&amp;"","$",""),",","")),0))</f>
        <v/>
      </c>
      <c r="F34" s="11">
        <f>IF(A34="","",D34*E34)</f>
        <v/>
      </c>
      <c r="G34">
        <f>IF(A34="","",IF(C34="",1,COUNTIF($C$2:$C$1501,C34)))</f>
        <v/>
      </c>
      <c r="H34" s="11">
        <f>IF(A34="","",IFERROR(VALUE(SUBSTITUTE(SUBSTITUTE(INDEX('Etsy Import'!$A:$CZ,34,Settings!$C$25)&amp;"","$",""),",","")),0)/IF(Settings!$B$27="Yes",G34,1))</f>
        <v/>
      </c>
      <c r="I34" s="11">
        <f>IF(A34="","",IFERROR(VALUE(SUBSTITUTE(SUBSTITUTE(INDEX('Etsy Import'!$A:$CZ,34,Settings!$C$26)&amp;"","$",""),",","")),0)/IF(Settings!$B$27="Yes",G34,1))</f>
        <v/>
      </c>
      <c r="J34" s="11">
        <f>IF(A34="","",F34+H34-I34)</f>
        <v/>
      </c>
      <c r="K34">
        <f>IF(A34="","",IFERROR(IF(B34="",NA(),MATCH(B34,Products!$B$5:$B$204,0)),IFERROR(MATCH(A34,Products!$A$5:$A$204,0),"")))</f>
        <v/>
      </c>
      <c r="L34">
        <f>IF(A34="","",IF(K34="","⚠ not in Products",INDEX(Products!$A$5:$A$204,K34)))</f>
        <v/>
      </c>
      <c r="M34" s="11">
        <f>IF(A34="","",J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34+IFERROR(INDEX(Settings!$D$5:$D$9,MATCH("Etsy",Settings!$A$5:$A$9,0)),0)*D34)</f>
        <v/>
      </c>
      <c r="N34" s="11">
        <f>IF(A34="","",IF(K34="",0,D34*INDEX(Products!$I$5:$I$204,K34)))</f>
        <v/>
      </c>
      <c r="O34" s="11">
        <f>IF(A34="","",IF(K34="",0,J34*INDEX(Products!$H$5:$H$204,K34)))</f>
        <v/>
      </c>
      <c r="P34" s="11">
        <f>IF(A34="","",J34-M34-N34-O34)</f>
        <v/>
      </c>
    </row>
    <row r="35">
      <c r="A35">
        <f>IFERROR(INDEX('Etsy Import'!$A:$CZ,35,Settings!$C$20)&amp;"","")</f>
        <v/>
      </c>
      <c r="B35">
        <f>IFERROR(INDEX('Etsy Import'!$A:$CZ,35,Settings!$C$21)&amp;"","")</f>
        <v/>
      </c>
      <c r="C35">
        <f>IFERROR(INDEX('Etsy Import'!$A:$CZ,35,Settings!$C$22)&amp;"","")</f>
        <v/>
      </c>
      <c r="D35">
        <f>IF(A35="","",IFERROR(VALUE(SUBSTITUTE(SUBSTITUTE(INDEX('Etsy Import'!$A:$CZ,35,Settings!$C$23)&amp;"","$",""),",","")),0))</f>
        <v/>
      </c>
      <c r="E35" s="11">
        <f>IF(A35="","",IFERROR(VALUE(SUBSTITUTE(SUBSTITUTE(INDEX('Etsy Import'!$A:$CZ,35,Settings!$C$24)&amp;"","$",""),",","")),0))</f>
        <v/>
      </c>
      <c r="F35" s="11">
        <f>IF(A35="","",D35*E35)</f>
        <v/>
      </c>
      <c r="G35">
        <f>IF(A35="","",IF(C35="",1,COUNTIF($C$2:$C$1501,C35)))</f>
        <v/>
      </c>
      <c r="H35" s="11">
        <f>IF(A35="","",IFERROR(VALUE(SUBSTITUTE(SUBSTITUTE(INDEX('Etsy Import'!$A:$CZ,35,Settings!$C$25)&amp;"","$",""),",","")),0)/IF(Settings!$B$27="Yes",G35,1))</f>
        <v/>
      </c>
      <c r="I35" s="11">
        <f>IF(A35="","",IFERROR(VALUE(SUBSTITUTE(SUBSTITUTE(INDEX('Etsy Import'!$A:$CZ,35,Settings!$C$26)&amp;"","$",""),",","")),0)/IF(Settings!$B$27="Yes",G35,1))</f>
        <v/>
      </c>
      <c r="J35" s="11">
        <f>IF(A35="","",F35+H35-I35)</f>
        <v/>
      </c>
      <c r="K35">
        <f>IF(A35="","",IFERROR(IF(B35="",NA(),MATCH(B35,Products!$B$5:$B$204,0)),IFERROR(MATCH(A35,Products!$A$5:$A$204,0),"")))</f>
        <v/>
      </c>
      <c r="L35">
        <f>IF(A35="","",IF(K35="","⚠ not in Products",INDEX(Products!$A$5:$A$204,K35)))</f>
        <v/>
      </c>
      <c r="M35" s="11">
        <f>IF(A35="","",J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35+IFERROR(INDEX(Settings!$D$5:$D$9,MATCH("Etsy",Settings!$A$5:$A$9,0)),0)*D35)</f>
        <v/>
      </c>
      <c r="N35" s="11">
        <f>IF(A35="","",IF(K35="",0,D35*INDEX(Products!$I$5:$I$204,K35)))</f>
        <v/>
      </c>
      <c r="O35" s="11">
        <f>IF(A35="","",IF(K35="",0,J35*INDEX(Products!$H$5:$H$204,K35)))</f>
        <v/>
      </c>
      <c r="P35" s="11">
        <f>IF(A35="","",J35-M35-N35-O35)</f>
        <v/>
      </c>
    </row>
    <row r="36">
      <c r="A36">
        <f>IFERROR(INDEX('Etsy Import'!$A:$CZ,36,Settings!$C$20)&amp;"","")</f>
        <v/>
      </c>
      <c r="B36">
        <f>IFERROR(INDEX('Etsy Import'!$A:$CZ,36,Settings!$C$21)&amp;"","")</f>
        <v/>
      </c>
      <c r="C36">
        <f>IFERROR(INDEX('Etsy Import'!$A:$CZ,36,Settings!$C$22)&amp;"","")</f>
        <v/>
      </c>
      <c r="D36">
        <f>IF(A36="","",IFERROR(VALUE(SUBSTITUTE(SUBSTITUTE(INDEX('Etsy Import'!$A:$CZ,36,Settings!$C$23)&amp;"","$",""),",","")),0))</f>
        <v/>
      </c>
      <c r="E36" s="11">
        <f>IF(A36="","",IFERROR(VALUE(SUBSTITUTE(SUBSTITUTE(INDEX('Etsy Import'!$A:$CZ,36,Settings!$C$24)&amp;"","$",""),",","")),0))</f>
        <v/>
      </c>
      <c r="F36" s="11">
        <f>IF(A36="","",D36*E36)</f>
        <v/>
      </c>
      <c r="G36">
        <f>IF(A36="","",IF(C36="",1,COUNTIF($C$2:$C$1501,C36)))</f>
        <v/>
      </c>
      <c r="H36" s="11">
        <f>IF(A36="","",IFERROR(VALUE(SUBSTITUTE(SUBSTITUTE(INDEX('Etsy Import'!$A:$CZ,36,Settings!$C$25)&amp;"","$",""),",","")),0)/IF(Settings!$B$27="Yes",G36,1))</f>
        <v/>
      </c>
      <c r="I36" s="11">
        <f>IF(A36="","",IFERROR(VALUE(SUBSTITUTE(SUBSTITUTE(INDEX('Etsy Import'!$A:$CZ,36,Settings!$C$26)&amp;"","$",""),",","")),0)/IF(Settings!$B$27="Yes",G36,1))</f>
        <v/>
      </c>
      <c r="J36" s="11">
        <f>IF(A36="","",F36+H36-I36)</f>
        <v/>
      </c>
      <c r="K36">
        <f>IF(A36="","",IFERROR(IF(B36="",NA(),MATCH(B36,Products!$B$5:$B$204,0)),IFERROR(MATCH(A36,Products!$A$5:$A$204,0),"")))</f>
        <v/>
      </c>
      <c r="L36">
        <f>IF(A36="","",IF(K36="","⚠ not in Products",INDEX(Products!$A$5:$A$204,K36)))</f>
        <v/>
      </c>
      <c r="M36" s="11">
        <f>IF(A36="","",J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36+IFERROR(INDEX(Settings!$D$5:$D$9,MATCH("Etsy",Settings!$A$5:$A$9,0)),0)*D36)</f>
        <v/>
      </c>
      <c r="N36" s="11">
        <f>IF(A36="","",IF(K36="",0,D36*INDEX(Products!$I$5:$I$204,K36)))</f>
        <v/>
      </c>
      <c r="O36" s="11">
        <f>IF(A36="","",IF(K36="",0,J36*INDEX(Products!$H$5:$H$204,K36)))</f>
        <v/>
      </c>
      <c r="P36" s="11">
        <f>IF(A36="","",J36-M36-N36-O36)</f>
        <v/>
      </c>
    </row>
    <row r="37">
      <c r="A37">
        <f>IFERROR(INDEX('Etsy Import'!$A:$CZ,37,Settings!$C$20)&amp;"","")</f>
        <v/>
      </c>
      <c r="B37">
        <f>IFERROR(INDEX('Etsy Import'!$A:$CZ,37,Settings!$C$21)&amp;"","")</f>
        <v/>
      </c>
      <c r="C37">
        <f>IFERROR(INDEX('Etsy Import'!$A:$CZ,37,Settings!$C$22)&amp;"","")</f>
        <v/>
      </c>
      <c r="D37">
        <f>IF(A37="","",IFERROR(VALUE(SUBSTITUTE(SUBSTITUTE(INDEX('Etsy Import'!$A:$CZ,37,Settings!$C$23)&amp;"","$",""),",","")),0))</f>
        <v/>
      </c>
      <c r="E37" s="11">
        <f>IF(A37="","",IFERROR(VALUE(SUBSTITUTE(SUBSTITUTE(INDEX('Etsy Import'!$A:$CZ,37,Settings!$C$24)&amp;"","$",""),",","")),0))</f>
        <v/>
      </c>
      <c r="F37" s="11">
        <f>IF(A37="","",D37*E37)</f>
        <v/>
      </c>
      <c r="G37">
        <f>IF(A37="","",IF(C37="",1,COUNTIF($C$2:$C$1501,C37)))</f>
        <v/>
      </c>
      <c r="H37" s="11">
        <f>IF(A37="","",IFERROR(VALUE(SUBSTITUTE(SUBSTITUTE(INDEX('Etsy Import'!$A:$CZ,37,Settings!$C$25)&amp;"","$",""),",","")),0)/IF(Settings!$B$27="Yes",G37,1))</f>
        <v/>
      </c>
      <c r="I37" s="11">
        <f>IF(A37="","",IFERROR(VALUE(SUBSTITUTE(SUBSTITUTE(INDEX('Etsy Import'!$A:$CZ,37,Settings!$C$26)&amp;"","$",""),",","")),0)/IF(Settings!$B$27="Yes",G37,1))</f>
        <v/>
      </c>
      <c r="J37" s="11">
        <f>IF(A37="","",F37+H37-I37)</f>
        <v/>
      </c>
      <c r="K37">
        <f>IF(A37="","",IFERROR(IF(B37="",NA(),MATCH(B37,Products!$B$5:$B$204,0)),IFERROR(MATCH(A37,Products!$A$5:$A$204,0),"")))</f>
        <v/>
      </c>
      <c r="L37">
        <f>IF(A37="","",IF(K37="","⚠ not in Products",INDEX(Products!$A$5:$A$204,K37)))</f>
        <v/>
      </c>
      <c r="M37" s="11">
        <f>IF(A37="","",J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37+IFERROR(INDEX(Settings!$D$5:$D$9,MATCH("Etsy",Settings!$A$5:$A$9,0)),0)*D37)</f>
        <v/>
      </c>
      <c r="N37" s="11">
        <f>IF(A37="","",IF(K37="",0,D37*INDEX(Products!$I$5:$I$204,K37)))</f>
        <v/>
      </c>
      <c r="O37" s="11">
        <f>IF(A37="","",IF(K37="",0,J37*INDEX(Products!$H$5:$H$204,K37)))</f>
        <v/>
      </c>
      <c r="P37" s="11">
        <f>IF(A37="","",J37-M37-N37-O37)</f>
        <v/>
      </c>
    </row>
    <row r="38">
      <c r="A38">
        <f>IFERROR(INDEX('Etsy Import'!$A:$CZ,38,Settings!$C$20)&amp;"","")</f>
        <v/>
      </c>
      <c r="B38">
        <f>IFERROR(INDEX('Etsy Import'!$A:$CZ,38,Settings!$C$21)&amp;"","")</f>
        <v/>
      </c>
      <c r="C38">
        <f>IFERROR(INDEX('Etsy Import'!$A:$CZ,38,Settings!$C$22)&amp;"","")</f>
        <v/>
      </c>
      <c r="D38">
        <f>IF(A38="","",IFERROR(VALUE(SUBSTITUTE(SUBSTITUTE(INDEX('Etsy Import'!$A:$CZ,38,Settings!$C$23)&amp;"","$",""),",","")),0))</f>
        <v/>
      </c>
      <c r="E38" s="11">
        <f>IF(A38="","",IFERROR(VALUE(SUBSTITUTE(SUBSTITUTE(INDEX('Etsy Import'!$A:$CZ,38,Settings!$C$24)&amp;"","$",""),",","")),0))</f>
        <v/>
      </c>
      <c r="F38" s="11">
        <f>IF(A38="","",D38*E38)</f>
        <v/>
      </c>
      <c r="G38">
        <f>IF(A38="","",IF(C38="",1,COUNTIF($C$2:$C$1501,C38)))</f>
        <v/>
      </c>
      <c r="H38" s="11">
        <f>IF(A38="","",IFERROR(VALUE(SUBSTITUTE(SUBSTITUTE(INDEX('Etsy Import'!$A:$CZ,38,Settings!$C$25)&amp;"","$",""),",","")),0)/IF(Settings!$B$27="Yes",G38,1))</f>
        <v/>
      </c>
      <c r="I38" s="11">
        <f>IF(A38="","",IFERROR(VALUE(SUBSTITUTE(SUBSTITUTE(INDEX('Etsy Import'!$A:$CZ,38,Settings!$C$26)&amp;"","$",""),",","")),0)/IF(Settings!$B$27="Yes",G38,1))</f>
        <v/>
      </c>
      <c r="J38" s="11">
        <f>IF(A38="","",F38+H38-I38)</f>
        <v/>
      </c>
      <c r="K38">
        <f>IF(A38="","",IFERROR(IF(B38="",NA(),MATCH(B38,Products!$B$5:$B$204,0)),IFERROR(MATCH(A38,Products!$A$5:$A$204,0),"")))</f>
        <v/>
      </c>
      <c r="L38">
        <f>IF(A38="","",IF(K38="","⚠ not in Products",INDEX(Products!$A$5:$A$204,K38)))</f>
        <v/>
      </c>
      <c r="M38" s="11">
        <f>IF(A38="","",J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38+IFERROR(INDEX(Settings!$D$5:$D$9,MATCH("Etsy",Settings!$A$5:$A$9,0)),0)*D38)</f>
        <v/>
      </c>
      <c r="N38" s="11">
        <f>IF(A38="","",IF(K38="",0,D38*INDEX(Products!$I$5:$I$204,K38)))</f>
        <v/>
      </c>
      <c r="O38" s="11">
        <f>IF(A38="","",IF(K38="",0,J38*INDEX(Products!$H$5:$H$204,K38)))</f>
        <v/>
      </c>
      <c r="P38" s="11">
        <f>IF(A38="","",J38-M38-N38-O38)</f>
        <v/>
      </c>
    </row>
    <row r="39">
      <c r="A39">
        <f>IFERROR(INDEX('Etsy Import'!$A:$CZ,39,Settings!$C$20)&amp;"","")</f>
        <v/>
      </c>
      <c r="B39">
        <f>IFERROR(INDEX('Etsy Import'!$A:$CZ,39,Settings!$C$21)&amp;"","")</f>
        <v/>
      </c>
      <c r="C39">
        <f>IFERROR(INDEX('Etsy Import'!$A:$CZ,39,Settings!$C$22)&amp;"","")</f>
        <v/>
      </c>
      <c r="D39">
        <f>IF(A39="","",IFERROR(VALUE(SUBSTITUTE(SUBSTITUTE(INDEX('Etsy Import'!$A:$CZ,39,Settings!$C$23)&amp;"","$",""),",","")),0))</f>
        <v/>
      </c>
      <c r="E39" s="11">
        <f>IF(A39="","",IFERROR(VALUE(SUBSTITUTE(SUBSTITUTE(INDEX('Etsy Import'!$A:$CZ,39,Settings!$C$24)&amp;"","$",""),",","")),0))</f>
        <v/>
      </c>
      <c r="F39" s="11">
        <f>IF(A39="","",D39*E39)</f>
        <v/>
      </c>
      <c r="G39">
        <f>IF(A39="","",IF(C39="",1,COUNTIF($C$2:$C$1501,C39)))</f>
        <v/>
      </c>
      <c r="H39" s="11">
        <f>IF(A39="","",IFERROR(VALUE(SUBSTITUTE(SUBSTITUTE(INDEX('Etsy Import'!$A:$CZ,39,Settings!$C$25)&amp;"","$",""),",","")),0)/IF(Settings!$B$27="Yes",G39,1))</f>
        <v/>
      </c>
      <c r="I39" s="11">
        <f>IF(A39="","",IFERROR(VALUE(SUBSTITUTE(SUBSTITUTE(INDEX('Etsy Import'!$A:$CZ,39,Settings!$C$26)&amp;"","$",""),",","")),0)/IF(Settings!$B$27="Yes",G39,1))</f>
        <v/>
      </c>
      <c r="J39" s="11">
        <f>IF(A39="","",F39+H39-I39)</f>
        <v/>
      </c>
      <c r="K39">
        <f>IF(A39="","",IFERROR(IF(B39="",NA(),MATCH(B39,Products!$B$5:$B$204,0)),IFERROR(MATCH(A39,Products!$A$5:$A$204,0),"")))</f>
        <v/>
      </c>
      <c r="L39">
        <f>IF(A39="","",IF(K39="","⚠ not in Products",INDEX(Products!$A$5:$A$204,K39)))</f>
        <v/>
      </c>
      <c r="M39" s="11">
        <f>IF(A39="","",J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39+IFERROR(INDEX(Settings!$D$5:$D$9,MATCH("Etsy",Settings!$A$5:$A$9,0)),0)*D39)</f>
        <v/>
      </c>
      <c r="N39" s="11">
        <f>IF(A39="","",IF(K39="",0,D39*INDEX(Products!$I$5:$I$204,K39)))</f>
        <v/>
      </c>
      <c r="O39" s="11">
        <f>IF(A39="","",IF(K39="",0,J39*INDEX(Products!$H$5:$H$204,K39)))</f>
        <v/>
      </c>
      <c r="P39" s="11">
        <f>IF(A39="","",J39-M39-N39-O39)</f>
        <v/>
      </c>
    </row>
    <row r="40">
      <c r="A40">
        <f>IFERROR(INDEX('Etsy Import'!$A:$CZ,40,Settings!$C$20)&amp;"","")</f>
        <v/>
      </c>
      <c r="B40">
        <f>IFERROR(INDEX('Etsy Import'!$A:$CZ,40,Settings!$C$21)&amp;"","")</f>
        <v/>
      </c>
      <c r="C40">
        <f>IFERROR(INDEX('Etsy Import'!$A:$CZ,40,Settings!$C$22)&amp;"","")</f>
        <v/>
      </c>
      <c r="D40">
        <f>IF(A40="","",IFERROR(VALUE(SUBSTITUTE(SUBSTITUTE(INDEX('Etsy Import'!$A:$CZ,40,Settings!$C$23)&amp;"","$",""),",","")),0))</f>
        <v/>
      </c>
      <c r="E40" s="11">
        <f>IF(A40="","",IFERROR(VALUE(SUBSTITUTE(SUBSTITUTE(INDEX('Etsy Import'!$A:$CZ,40,Settings!$C$24)&amp;"","$",""),",","")),0))</f>
        <v/>
      </c>
      <c r="F40" s="11">
        <f>IF(A40="","",D40*E40)</f>
        <v/>
      </c>
      <c r="G40">
        <f>IF(A40="","",IF(C40="",1,COUNTIF($C$2:$C$1501,C40)))</f>
        <v/>
      </c>
      <c r="H40" s="11">
        <f>IF(A40="","",IFERROR(VALUE(SUBSTITUTE(SUBSTITUTE(INDEX('Etsy Import'!$A:$CZ,40,Settings!$C$25)&amp;"","$",""),",","")),0)/IF(Settings!$B$27="Yes",G40,1))</f>
        <v/>
      </c>
      <c r="I40" s="11">
        <f>IF(A40="","",IFERROR(VALUE(SUBSTITUTE(SUBSTITUTE(INDEX('Etsy Import'!$A:$CZ,40,Settings!$C$26)&amp;"","$",""),",","")),0)/IF(Settings!$B$27="Yes",G40,1))</f>
        <v/>
      </c>
      <c r="J40" s="11">
        <f>IF(A40="","",F40+H40-I40)</f>
        <v/>
      </c>
      <c r="K40">
        <f>IF(A40="","",IFERROR(IF(B40="",NA(),MATCH(B40,Products!$B$5:$B$204,0)),IFERROR(MATCH(A40,Products!$A$5:$A$204,0),"")))</f>
        <v/>
      </c>
      <c r="L40">
        <f>IF(A40="","",IF(K40="","⚠ not in Products",INDEX(Products!$A$5:$A$204,K40)))</f>
        <v/>
      </c>
      <c r="M40" s="11">
        <f>IF(A40="","",J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40+IFERROR(INDEX(Settings!$D$5:$D$9,MATCH("Etsy",Settings!$A$5:$A$9,0)),0)*D40)</f>
        <v/>
      </c>
      <c r="N40" s="11">
        <f>IF(A40="","",IF(K40="",0,D40*INDEX(Products!$I$5:$I$204,K40)))</f>
        <v/>
      </c>
      <c r="O40" s="11">
        <f>IF(A40="","",IF(K40="",0,J40*INDEX(Products!$H$5:$H$204,K40)))</f>
        <v/>
      </c>
      <c r="P40" s="11">
        <f>IF(A40="","",J40-M40-N40-O40)</f>
        <v/>
      </c>
    </row>
    <row r="41">
      <c r="A41">
        <f>IFERROR(INDEX('Etsy Import'!$A:$CZ,41,Settings!$C$20)&amp;"","")</f>
        <v/>
      </c>
      <c r="B41">
        <f>IFERROR(INDEX('Etsy Import'!$A:$CZ,41,Settings!$C$21)&amp;"","")</f>
        <v/>
      </c>
      <c r="C41">
        <f>IFERROR(INDEX('Etsy Import'!$A:$CZ,41,Settings!$C$22)&amp;"","")</f>
        <v/>
      </c>
      <c r="D41">
        <f>IF(A41="","",IFERROR(VALUE(SUBSTITUTE(SUBSTITUTE(INDEX('Etsy Import'!$A:$CZ,41,Settings!$C$23)&amp;"","$",""),",","")),0))</f>
        <v/>
      </c>
      <c r="E41" s="11">
        <f>IF(A41="","",IFERROR(VALUE(SUBSTITUTE(SUBSTITUTE(INDEX('Etsy Import'!$A:$CZ,41,Settings!$C$24)&amp;"","$",""),",","")),0))</f>
        <v/>
      </c>
      <c r="F41" s="11">
        <f>IF(A41="","",D41*E41)</f>
        <v/>
      </c>
      <c r="G41">
        <f>IF(A41="","",IF(C41="",1,COUNTIF($C$2:$C$1501,C41)))</f>
        <v/>
      </c>
      <c r="H41" s="11">
        <f>IF(A41="","",IFERROR(VALUE(SUBSTITUTE(SUBSTITUTE(INDEX('Etsy Import'!$A:$CZ,41,Settings!$C$25)&amp;"","$",""),",","")),0)/IF(Settings!$B$27="Yes",G41,1))</f>
        <v/>
      </c>
      <c r="I41" s="11">
        <f>IF(A41="","",IFERROR(VALUE(SUBSTITUTE(SUBSTITUTE(INDEX('Etsy Import'!$A:$CZ,41,Settings!$C$26)&amp;"","$",""),",","")),0)/IF(Settings!$B$27="Yes",G41,1))</f>
        <v/>
      </c>
      <c r="J41" s="11">
        <f>IF(A41="","",F41+H41-I41)</f>
        <v/>
      </c>
      <c r="K41">
        <f>IF(A41="","",IFERROR(IF(B41="",NA(),MATCH(B41,Products!$B$5:$B$204,0)),IFERROR(MATCH(A41,Products!$A$5:$A$204,0),"")))</f>
        <v/>
      </c>
      <c r="L41">
        <f>IF(A41="","",IF(K41="","⚠ not in Products",INDEX(Products!$A$5:$A$204,K41)))</f>
        <v/>
      </c>
      <c r="M41" s="11">
        <f>IF(A41="","",J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41+IFERROR(INDEX(Settings!$D$5:$D$9,MATCH("Etsy",Settings!$A$5:$A$9,0)),0)*D41)</f>
        <v/>
      </c>
      <c r="N41" s="11">
        <f>IF(A41="","",IF(K41="",0,D41*INDEX(Products!$I$5:$I$204,K41)))</f>
        <v/>
      </c>
      <c r="O41" s="11">
        <f>IF(A41="","",IF(K41="",0,J41*INDEX(Products!$H$5:$H$204,K41)))</f>
        <v/>
      </c>
      <c r="P41" s="11">
        <f>IF(A41="","",J41-M41-N41-O41)</f>
        <v/>
      </c>
    </row>
    <row r="42">
      <c r="A42">
        <f>IFERROR(INDEX('Etsy Import'!$A:$CZ,42,Settings!$C$20)&amp;"","")</f>
        <v/>
      </c>
      <c r="B42">
        <f>IFERROR(INDEX('Etsy Import'!$A:$CZ,42,Settings!$C$21)&amp;"","")</f>
        <v/>
      </c>
      <c r="C42">
        <f>IFERROR(INDEX('Etsy Import'!$A:$CZ,42,Settings!$C$22)&amp;"","")</f>
        <v/>
      </c>
      <c r="D42">
        <f>IF(A42="","",IFERROR(VALUE(SUBSTITUTE(SUBSTITUTE(INDEX('Etsy Import'!$A:$CZ,42,Settings!$C$23)&amp;"","$",""),",","")),0))</f>
        <v/>
      </c>
      <c r="E42" s="11">
        <f>IF(A42="","",IFERROR(VALUE(SUBSTITUTE(SUBSTITUTE(INDEX('Etsy Import'!$A:$CZ,42,Settings!$C$24)&amp;"","$",""),",","")),0))</f>
        <v/>
      </c>
      <c r="F42" s="11">
        <f>IF(A42="","",D42*E42)</f>
        <v/>
      </c>
      <c r="G42">
        <f>IF(A42="","",IF(C42="",1,COUNTIF($C$2:$C$1501,C42)))</f>
        <v/>
      </c>
      <c r="H42" s="11">
        <f>IF(A42="","",IFERROR(VALUE(SUBSTITUTE(SUBSTITUTE(INDEX('Etsy Import'!$A:$CZ,42,Settings!$C$25)&amp;"","$",""),",","")),0)/IF(Settings!$B$27="Yes",G42,1))</f>
        <v/>
      </c>
      <c r="I42" s="11">
        <f>IF(A42="","",IFERROR(VALUE(SUBSTITUTE(SUBSTITUTE(INDEX('Etsy Import'!$A:$CZ,42,Settings!$C$26)&amp;"","$",""),",","")),0)/IF(Settings!$B$27="Yes",G42,1))</f>
        <v/>
      </c>
      <c r="J42" s="11">
        <f>IF(A42="","",F42+H42-I42)</f>
        <v/>
      </c>
      <c r="K42">
        <f>IF(A42="","",IFERROR(IF(B42="",NA(),MATCH(B42,Products!$B$5:$B$204,0)),IFERROR(MATCH(A42,Products!$A$5:$A$204,0),"")))</f>
        <v/>
      </c>
      <c r="L42">
        <f>IF(A42="","",IF(K42="","⚠ not in Products",INDEX(Products!$A$5:$A$204,K42)))</f>
        <v/>
      </c>
      <c r="M42" s="11">
        <f>IF(A42="","",J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42+IFERROR(INDEX(Settings!$D$5:$D$9,MATCH("Etsy",Settings!$A$5:$A$9,0)),0)*D42)</f>
        <v/>
      </c>
      <c r="N42" s="11">
        <f>IF(A42="","",IF(K42="",0,D42*INDEX(Products!$I$5:$I$204,K42)))</f>
        <v/>
      </c>
      <c r="O42" s="11">
        <f>IF(A42="","",IF(K42="",0,J42*INDEX(Products!$H$5:$H$204,K42)))</f>
        <v/>
      </c>
      <c r="P42" s="11">
        <f>IF(A42="","",J42-M42-N42-O42)</f>
        <v/>
      </c>
    </row>
    <row r="43">
      <c r="A43">
        <f>IFERROR(INDEX('Etsy Import'!$A:$CZ,43,Settings!$C$20)&amp;"","")</f>
        <v/>
      </c>
      <c r="B43">
        <f>IFERROR(INDEX('Etsy Import'!$A:$CZ,43,Settings!$C$21)&amp;"","")</f>
        <v/>
      </c>
      <c r="C43">
        <f>IFERROR(INDEX('Etsy Import'!$A:$CZ,43,Settings!$C$22)&amp;"","")</f>
        <v/>
      </c>
      <c r="D43">
        <f>IF(A43="","",IFERROR(VALUE(SUBSTITUTE(SUBSTITUTE(INDEX('Etsy Import'!$A:$CZ,43,Settings!$C$23)&amp;"","$",""),",","")),0))</f>
        <v/>
      </c>
      <c r="E43" s="11">
        <f>IF(A43="","",IFERROR(VALUE(SUBSTITUTE(SUBSTITUTE(INDEX('Etsy Import'!$A:$CZ,43,Settings!$C$24)&amp;"","$",""),",","")),0))</f>
        <v/>
      </c>
      <c r="F43" s="11">
        <f>IF(A43="","",D43*E43)</f>
        <v/>
      </c>
      <c r="G43">
        <f>IF(A43="","",IF(C43="",1,COUNTIF($C$2:$C$1501,C43)))</f>
        <v/>
      </c>
      <c r="H43" s="11">
        <f>IF(A43="","",IFERROR(VALUE(SUBSTITUTE(SUBSTITUTE(INDEX('Etsy Import'!$A:$CZ,43,Settings!$C$25)&amp;"","$",""),",","")),0)/IF(Settings!$B$27="Yes",G43,1))</f>
        <v/>
      </c>
      <c r="I43" s="11">
        <f>IF(A43="","",IFERROR(VALUE(SUBSTITUTE(SUBSTITUTE(INDEX('Etsy Import'!$A:$CZ,43,Settings!$C$26)&amp;"","$",""),",","")),0)/IF(Settings!$B$27="Yes",G43,1))</f>
        <v/>
      </c>
      <c r="J43" s="11">
        <f>IF(A43="","",F43+H43-I43)</f>
        <v/>
      </c>
      <c r="K43">
        <f>IF(A43="","",IFERROR(IF(B43="",NA(),MATCH(B43,Products!$B$5:$B$204,0)),IFERROR(MATCH(A43,Products!$A$5:$A$204,0),"")))</f>
        <v/>
      </c>
      <c r="L43">
        <f>IF(A43="","",IF(K43="","⚠ not in Products",INDEX(Products!$A$5:$A$204,K43)))</f>
        <v/>
      </c>
      <c r="M43" s="11">
        <f>IF(A43="","",J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43+IFERROR(INDEX(Settings!$D$5:$D$9,MATCH("Etsy",Settings!$A$5:$A$9,0)),0)*D43)</f>
        <v/>
      </c>
      <c r="N43" s="11">
        <f>IF(A43="","",IF(K43="",0,D43*INDEX(Products!$I$5:$I$204,K43)))</f>
        <v/>
      </c>
      <c r="O43" s="11">
        <f>IF(A43="","",IF(K43="",0,J43*INDEX(Products!$H$5:$H$204,K43)))</f>
        <v/>
      </c>
      <c r="P43" s="11">
        <f>IF(A43="","",J43-M43-N43-O43)</f>
        <v/>
      </c>
    </row>
    <row r="44">
      <c r="A44">
        <f>IFERROR(INDEX('Etsy Import'!$A:$CZ,44,Settings!$C$20)&amp;"","")</f>
        <v/>
      </c>
      <c r="B44">
        <f>IFERROR(INDEX('Etsy Import'!$A:$CZ,44,Settings!$C$21)&amp;"","")</f>
        <v/>
      </c>
      <c r="C44">
        <f>IFERROR(INDEX('Etsy Import'!$A:$CZ,44,Settings!$C$22)&amp;"","")</f>
        <v/>
      </c>
      <c r="D44">
        <f>IF(A44="","",IFERROR(VALUE(SUBSTITUTE(SUBSTITUTE(INDEX('Etsy Import'!$A:$CZ,44,Settings!$C$23)&amp;"","$",""),",","")),0))</f>
        <v/>
      </c>
      <c r="E44" s="11">
        <f>IF(A44="","",IFERROR(VALUE(SUBSTITUTE(SUBSTITUTE(INDEX('Etsy Import'!$A:$CZ,44,Settings!$C$24)&amp;"","$",""),",","")),0))</f>
        <v/>
      </c>
      <c r="F44" s="11">
        <f>IF(A44="","",D44*E44)</f>
        <v/>
      </c>
      <c r="G44">
        <f>IF(A44="","",IF(C44="",1,COUNTIF($C$2:$C$1501,C44)))</f>
        <v/>
      </c>
      <c r="H44" s="11">
        <f>IF(A44="","",IFERROR(VALUE(SUBSTITUTE(SUBSTITUTE(INDEX('Etsy Import'!$A:$CZ,44,Settings!$C$25)&amp;"","$",""),",","")),0)/IF(Settings!$B$27="Yes",G44,1))</f>
        <v/>
      </c>
      <c r="I44" s="11">
        <f>IF(A44="","",IFERROR(VALUE(SUBSTITUTE(SUBSTITUTE(INDEX('Etsy Import'!$A:$CZ,44,Settings!$C$26)&amp;"","$",""),",","")),0)/IF(Settings!$B$27="Yes",G44,1))</f>
        <v/>
      </c>
      <c r="J44" s="11">
        <f>IF(A44="","",F44+H44-I44)</f>
        <v/>
      </c>
      <c r="K44">
        <f>IF(A44="","",IFERROR(IF(B44="",NA(),MATCH(B44,Products!$B$5:$B$204,0)),IFERROR(MATCH(A44,Products!$A$5:$A$204,0),"")))</f>
        <v/>
      </c>
      <c r="L44">
        <f>IF(A44="","",IF(K44="","⚠ not in Products",INDEX(Products!$A$5:$A$204,K44)))</f>
        <v/>
      </c>
      <c r="M44" s="11">
        <f>IF(A44="","",J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44+IFERROR(INDEX(Settings!$D$5:$D$9,MATCH("Etsy",Settings!$A$5:$A$9,0)),0)*D44)</f>
        <v/>
      </c>
      <c r="N44" s="11">
        <f>IF(A44="","",IF(K44="",0,D44*INDEX(Products!$I$5:$I$204,K44)))</f>
        <v/>
      </c>
      <c r="O44" s="11">
        <f>IF(A44="","",IF(K44="",0,J44*INDEX(Products!$H$5:$H$204,K44)))</f>
        <v/>
      </c>
      <c r="P44" s="11">
        <f>IF(A44="","",J44-M44-N44-O44)</f>
        <v/>
      </c>
    </row>
    <row r="45">
      <c r="A45">
        <f>IFERROR(INDEX('Etsy Import'!$A:$CZ,45,Settings!$C$20)&amp;"","")</f>
        <v/>
      </c>
      <c r="B45">
        <f>IFERROR(INDEX('Etsy Import'!$A:$CZ,45,Settings!$C$21)&amp;"","")</f>
        <v/>
      </c>
      <c r="C45">
        <f>IFERROR(INDEX('Etsy Import'!$A:$CZ,45,Settings!$C$22)&amp;"","")</f>
        <v/>
      </c>
      <c r="D45">
        <f>IF(A45="","",IFERROR(VALUE(SUBSTITUTE(SUBSTITUTE(INDEX('Etsy Import'!$A:$CZ,45,Settings!$C$23)&amp;"","$",""),",","")),0))</f>
        <v/>
      </c>
      <c r="E45" s="11">
        <f>IF(A45="","",IFERROR(VALUE(SUBSTITUTE(SUBSTITUTE(INDEX('Etsy Import'!$A:$CZ,45,Settings!$C$24)&amp;"","$",""),",","")),0))</f>
        <v/>
      </c>
      <c r="F45" s="11">
        <f>IF(A45="","",D45*E45)</f>
        <v/>
      </c>
      <c r="G45">
        <f>IF(A45="","",IF(C45="",1,COUNTIF($C$2:$C$1501,C45)))</f>
        <v/>
      </c>
      <c r="H45" s="11">
        <f>IF(A45="","",IFERROR(VALUE(SUBSTITUTE(SUBSTITUTE(INDEX('Etsy Import'!$A:$CZ,45,Settings!$C$25)&amp;"","$",""),",","")),0)/IF(Settings!$B$27="Yes",G45,1))</f>
        <v/>
      </c>
      <c r="I45" s="11">
        <f>IF(A45="","",IFERROR(VALUE(SUBSTITUTE(SUBSTITUTE(INDEX('Etsy Import'!$A:$CZ,45,Settings!$C$26)&amp;"","$",""),",","")),0)/IF(Settings!$B$27="Yes",G45,1))</f>
        <v/>
      </c>
      <c r="J45" s="11">
        <f>IF(A45="","",F45+H45-I45)</f>
        <v/>
      </c>
      <c r="K45">
        <f>IF(A45="","",IFERROR(IF(B45="",NA(),MATCH(B45,Products!$B$5:$B$204,0)),IFERROR(MATCH(A45,Products!$A$5:$A$204,0),"")))</f>
        <v/>
      </c>
      <c r="L45">
        <f>IF(A45="","",IF(K45="","⚠ not in Products",INDEX(Products!$A$5:$A$204,K45)))</f>
        <v/>
      </c>
      <c r="M45" s="11">
        <f>IF(A45="","",J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45+IFERROR(INDEX(Settings!$D$5:$D$9,MATCH("Etsy",Settings!$A$5:$A$9,0)),0)*D45)</f>
        <v/>
      </c>
      <c r="N45" s="11">
        <f>IF(A45="","",IF(K45="",0,D45*INDEX(Products!$I$5:$I$204,K45)))</f>
        <v/>
      </c>
      <c r="O45" s="11">
        <f>IF(A45="","",IF(K45="",0,J45*INDEX(Products!$H$5:$H$204,K45)))</f>
        <v/>
      </c>
      <c r="P45" s="11">
        <f>IF(A45="","",J45-M45-N45-O45)</f>
        <v/>
      </c>
    </row>
    <row r="46">
      <c r="A46">
        <f>IFERROR(INDEX('Etsy Import'!$A:$CZ,46,Settings!$C$20)&amp;"","")</f>
        <v/>
      </c>
      <c r="B46">
        <f>IFERROR(INDEX('Etsy Import'!$A:$CZ,46,Settings!$C$21)&amp;"","")</f>
        <v/>
      </c>
      <c r="C46">
        <f>IFERROR(INDEX('Etsy Import'!$A:$CZ,46,Settings!$C$22)&amp;"","")</f>
        <v/>
      </c>
      <c r="D46">
        <f>IF(A46="","",IFERROR(VALUE(SUBSTITUTE(SUBSTITUTE(INDEX('Etsy Import'!$A:$CZ,46,Settings!$C$23)&amp;"","$",""),",","")),0))</f>
        <v/>
      </c>
      <c r="E46" s="11">
        <f>IF(A46="","",IFERROR(VALUE(SUBSTITUTE(SUBSTITUTE(INDEX('Etsy Import'!$A:$CZ,46,Settings!$C$24)&amp;"","$",""),",","")),0))</f>
        <v/>
      </c>
      <c r="F46" s="11">
        <f>IF(A46="","",D46*E46)</f>
        <v/>
      </c>
      <c r="G46">
        <f>IF(A46="","",IF(C46="",1,COUNTIF($C$2:$C$1501,C46)))</f>
        <v/>
      </c>
      <c r="H46" s="11">
        <f>IF(A46="","",IFERROR(VALUE(SUBSTITUTE(SUBSTITUTE(INDEX('Etsy Import'!$A:$CZ,46,Settings!$C$25)&amp;"","$",""),",","")),0)/IF(Settings!$B$27="Yes",G46,1))</f>
        <v/>
      </c>
      <c r="I46" s="11">
        <f>IF(A46="","",IFERROR(VALUE(SUBSTITUTE(SUBSTITUTE(INDEX('Etsy Import'!$A:$CZ,46,Settings!$C$26)&amp;"","$",""),",","")),0)/IF(Settings!$B$27="Yes",G46,1))</f>
        <v/>
      </c>
      <c r="J46" s="11">
        <f>IF(A46="","",F46+H46-I46)</f>
        <v/>
      </c>
      <c r="K46">
        <f>IF(A46="","",IFERROR(IF(B46="",NA(),MATCH(B46,Products!$B$5:$B$204,0)),IFERROR(MATCH(A46,Products!$A$5:$A$204,0),"")))</f>
        <v/>
      </c>
      <c r="L46">
        <f>IF(A46="","",IF(K46="","⚠ not in Products",INDEX(Products!$A$5:$A$204,K46)))</f>
        <v/>
      </c>
      <c r="M46" s="11">
        <f>IF(A46="","",J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46+IFERROR(INDEX(Settings!$D$5:$D$9,MATCH("Etsy",Settings!$A$5:$A$9,0)),0)*D46)</f>
        <v/>
      </c>
      <c r="N46" s="11">
        <f>IF(A46="","",IF(K46="",0,D46*INDEX(Products!$I$5:$I$204,K46)))</f>
        <v/>
      </c>
      <c r="O46" s="11">
        <f>IF(A46="","",IF(K46="",0,J46*INDEX(Products!$H$5:$H$204,K46)))</f>
        <v/>
      </c>
      <c r="P46" s="11">
        <f>IF(A46="","",J46-M46-N46-O46)</f>
        <v/>
      </c>
    </row>
    <row r="47">
      <c r="A47">
        <f>IFERROR(INDEX('Etsy Import'!$A:$CZ,47,Settings!$C$20)&amp;"","")</f>
        <v/>
      </c>
      <c r="B47">
        <f>IFERROR(INDEX('Etsy Import'!$A:$CZ,47,Settings!$C$21)&amp;"","")</f>
        <v/>
      </c>
      <c r="C47">
        <f>IFERROR(INDEX('Etsy Import'!$A:$CZ,47,Settings!$C$22)&amp;"","")</f>
        <v/>
      </c>
      <c r="D47">
        <f>IF(A47="","",IFERROR(VALUE(SUBSTITUTE(SUBSTITUTE(INDEX('Etsy Import'!$A:$CZ,47,Settings!$C$23)&amp;"","$",""),",","")),0))</f>
        <v/>
      </c>
      <c r="E47" s="11">
        <f>IF(A47="","",IFERROR(VALUE(SUBSTITUTE(SUBSTITUTE(INDEX('Etsy Import'!$A:$CZ,47,Settings!$C$24)&amp;"","$",""),",","")),0))</f>
        <v/>
      </c>
      <c r="F47" s="11">
        <f>IF(A47="","",D47*E47)</f>
        <v/>
      </c>
      <c r="G47">
        <f>IF(A47="","",IF(C47="",1,COUNTIF($C$2:$C$1501,C47)))</f>
        <v/>
      </c>
      <c r="H47" s="11">
        <f>IF(A47="","",IFERROR(VALUE(SUBSTITUTE(SUBSTITUTE(INDEX('Etsy Import'!$A:$CZ,47,Settings!$C$25)&amp;"","$",""),",","")),0)/IF(Settings!$B$27="Yes",G47,1))</f>
        <v/>
      </c>
      <c r="I47" s="11">
        <f>IF(A47="","",IFERROR(VALUE(SUBSTITUTE(SUBSTITUTE(INDEX('Etsy Import'!$A:$CZ,47,Settings!$C$26)&amp;"","$",""),",","")),0)/IF(Settings!$B$27="Yes",G47,1))</f>
        <v/>
      </c>
      <c r="J47" s="11">
        <f>IF(A47="","",F47+H47-I47)</f>
        <v/>
      </c>
      <c r="K47">
        <f>IF(A47="","",IFERROR(IF(B47="",NA(),MATCH(B47,Products!$B$5:$B$204,0)),IFERROR(MATCH(A47,Products!$A$5:$A$204,0),"")))</f>
        <v/>
      </c>
      <c r="L47">
        <f>IF(A47="","",IF(K47="","⚠ not in Products",INDEX(Products!$A$5:$A$204,K47)))</f>
        <v/>
      </c>
      <c r="M47" s="11">
        <f>IF(A47="","",J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47+IFERROR(INDEX(Settings!$D$5:$D$9,MATCH("Etsy",Settings!$A$5:$A$9,0)),0)*D47)</f>
        <v/>
      </c>
      <c r="N47" s="11">
        <f>IF(A47="","",IF(K47="",0,D47*INDEX(Products!$I$5:$I$204,K47)))</f>
        <v/>
      </c>
      <c r="O47" s="11">
        <f>IF(A47="","",IF(K47="",0,J47*INDEX(Products!$H$5:$H$204,K47)))</f>
        <v/>
      </c>
      <c r="P47" s="11">
        <f>IF(A47="","",J47-M47-N47-O47)</f>
        <v/>
      </c>
    </row>
    <row r="48">
      <c r="A48">
        <f>IFERROR(INDEX('Etsy Import'!$A:$CZ,48,Settings!$C$20)&amp;"","")</f>
        <v/>
      </c>
      <c r="B48">
        <f>IFERROR(INDEX('Etsy Import'!$A:$CZ,48,Settings!$C$21)&amp;"","")</f>
        <v/>
      </c>
      <c r="C48">
        <f>IFERROR(INDEX('Etsy Import'!$A:$CZ,48,Settings!$C$22)&amp;"","")</f>
        <v/>
      </c>
      <c r="D48">
        <f>IF(A48="","",IFERROR(VALUE(SUBSTITUTE(SUBSTITUTE(INDEX('Etsy Import'!$A:$CZ,48,Settings!$C$23)&amp;"","$",""),",","")),0))</f>
        <v/>
      </c>
      <c r="E48" s="11">
        <f>IF(A48="","",IFERROR(VALUE(SUBSTITUTE(SUBSTITUTE(INDEX('Etsy Import'!$A:$CZ,48,Settings!$C$24)&amp;"","$",""),",","")),0))</f>
        <v/>
      </c>
      <c r="F48" s="11">
        <f>IF(A48="","",D48*E48)</f>
        <v/>
      </c>
      <c r="G48">
        <f>IF(A48="","",IF(C48="",1,COUNTIF($C$2:$C$1501,C48)))</f>
        <v/>
      </c>
      <c r="H48" s="11">
        <f>IF(A48="","",IFERROR(VALUE(SUBSTITUTE(SUBSTITUTE(INDEX('Etsy Import'!$A:$CZ,48,Settings!$C$25)&amp;"","$",""),",","")),0)/IF(Settings!$B$27="Yes",G48,1))</f>
        <v/>
      </c>
      <c r="I48" s="11">
        <f>IF(A48="","",IFERROR(VALUE(SUBSTITUTE(SUBSTITUTE(INDEX('Etsy Import'!$A:$CZ,48,Settings!$C$26)&amp;"","$",""),",","")),0)/IF(Settings!$B$27="Yes",G48,1))</f>
        <v/>
      </c>
      <c r="J48" s="11">
        <f>IF(A48="","",F48+H48-I48)</f>
        <v/>
      </c>
      <c r="K48">
        <f>IF(A48="","",IFERROR(IF(B48="",NA(),MATCH(B48,Products!$B$5:$B$204,0)),IFERROR(MATCH(A48,Products!$A$5:$A$204,0),"")))</f>
        <v/>
      </c>
      <c r="L48">
        <f>IF(A48="","",IF(K48="","⚠ not in Products",INDEX(Products!$A$5:$A$204,K48)))</f>
        <v/>
      </c>
      <c r="M48" s="11">
        <f>IF(A48="","",J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48+IFERROR(INDEX(Settings!$D$5:$D$9,MATCH("Etsy",Settings!$A$5:$A$9,0)),0)*D48)</f>
        <v/>
      </c>
      <c r="N48" s="11">
        <f>IF(A48="","",IF(K48="",0,D48*INDEX(Products!$I$5:$I$204,K48)))</f>
        <v/>
      </c>
      <c r="O48" s="11">
        <f>IF(A48="","",IF(K48="",0,J48*INDEX(Products!$H$5:$H$204,K48)))</f>
        <v/>
      </c>
      <c r="P48" s="11">
        <f>IF(A48="","",J48-M48-N48-O48)</f>
        <v/>
      </c>
    </row>
    <row r="49">
      <c r="A49">
        <f>IFERROR(INDEX('Etsy Import'!$A:$CZ,49,Settings!$C$20)&amp;"","")</f>
        <v/>
      </c>
      <c r="B49">
        <f>IFERROR(INDEX('Etsy Import'!$A:$CZ,49,Settings!$C$21)&amp;"","")</f>
        <v/>
      </c>
      <c r="C49">
        <f>IFERROR(INDEX('Etsy Import'!$A:$CZ,49,Settings!$C$22)&amp;"","")</f>
        <v/>
      </c>
      <c r="D49">
        <f>IF(A49="","",IFERROR(VALUE(SUBSTITUTE(SUBSTITUTE(INDEX('Etsy Import'!$A:$CZ,49,Settings!$C$23)&amp;"","$",""),",","")),0))</f>
        <v/>
      </c>
      <c r="E49" s="11">
        <f>IF(A49="","",IFERROR(VALUE(SUBSTITUTE(SUBSTITUTE(INDEX('Etsy Import'!$A:$CZ,49,Settings!$C$24)&amp;"","$",""),",","")),0))</f>
        <v/>
      </c>
      <c r="F49" s="11">
        <f>IF(A49="","",D49*E49)</f>
        <v/>
      </c>
      <c r="G49">
        <f>IF(A49="","",IF(C49="",1,COUNTIF($C$2:$C$1501,C49)))</f>
        <v/>
      </c>
      <c r="H49" s="11">
        <f>IF(A49="","",IFERROR(VALUE(SUBSTITUTE(SUBSTITUTE(INDEX('Etsy Import'!$A:$CZ,49,Settings!$C$25)&amp;"","$",""),",","")),0)/IF(Settings!$B$27="Yes",G49,1))</f>
        <v/>
      </c>
      <c r="I49" s="11">
        <f>IF(A49="","",IFERROR(VALUE(SUBSTITUTE(SUBSTITUTE(INDEX('Etsy Import'!$A:$CZ,49,Settings!$C$26)&amp;"","$",""),",","")),0)/IF(Settings!$B$27="Yes",G49,1))</f>
        <v/>
      </c>
      <c r="J49" s="11">
        <f>IF(A49="","",F49+H49-I49)</f>
        <v/>
      </c>
      <c r="K49">
        <f>IF(A49="","",IFERROR(IF(B49="",NA(),MATCH(B49,Products!$B$5:$B$204,0)),IFERROR(MATCH(A49,Products!$A$5:$A$204,0),"")))</f>
        <v/>
      </c>
      <c r="L49">
        <f>IF(A49="","",IF(K49="","⚠ not in Products",INDEX(Products!$A$5:$A$204,K49)))</f>
        <v/>
      </c>
      <c r="M49" s="11">
        <f>IF(A49="","",J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49+IFERROR(INDEX(Settings!$D$5:$D$9,MATCH("Etsy",Settings!$A$5:$A$9,0)),0)*D49)</f>
        <v/>
      </c>
      <c r="N49" s="11">
        <f>IF(A49="","",IF(K49="",0,D49*INDEX(Products!$I$5:$I$204,K49)))</f>
        <v/>
      </c>
      <c r="O49" s="11">
        <f>IF(A49="","",IF(K49="",0,J49*INDEX(Products!$H$5:$H$204,K49)))</f>
        <v/>
      </c>
      <c r="P49" s="11">
        <f>IF(A49="","",J49-M49-N49-O49)</f>
        <v/>
      </c>
    </row>
    <row r="50">
      <c r="A50">
        <f>IFERROR(INDEX('Etsy Import'!$A:$CZ,50,Settings!$C$20)&amp;"","")</f>
        <v/>
      </c>
      <c r="B50">
        <f>IFERROR(INDEX('Etsy Import'!$A:$CZ,50,Settings!$C$21)&amp;"","")</f>
        <v/>
      </c>
      <c r="C50">
        <f>IFERROR(INDEX('Etsy Import'!$A:$CZ,50,Settings!$C$22)&amp;"","")</f>
        <v/>
      </c>
      <c r="D50">
        <f>IF(A50="","",IFERROR(VALUE(SUBSTITUTE(SUBSTITUTE(INDEX('Etsy Import'!$A:$CZ,50,Settings!$C$23)&amp;"","$",""),",","")),0))</f>
        <v/>
      </c>
      <c r="E50" s="11">
        <f>IF(A50="","",IFERROR(VALUE(SUBSTITUTE(SUBSTITUTE(INDEX('Etsy Import'!$A:$CZ,50,Settings!$C$24)&amp;"","$",""),",","")),0))</f>
        <v/>
      </c>
      <c r="F50" s="11">
        <f>IF(A50="","",D50*E50)</f>
        <v/>
      </c>
      <c r="G50">
        <f>IF(A50="","",IF(C50="",1,COUNTIF($C$2:$C$1501,C50)))</f>
        <v/>
      </c>
      <c r="H50" s="11">
        <f>IF(A50="","",IFERROR(VALUE(SUBSTITUTE(SUBSTITUTE(INDEX('Etsy Import'!$A:$CZ,50,Settings!$C$25)&amp;"","$",""),",","")),0)/IF(Settings!$B$27="Yes",G50,1))</f>
        <v/>
      </c>
      <c r="I50" s="11">
        <f>IF(A50="","",IFERROR(VALUE(SUBSTITUTE(SUBSTITUTE(INDEX('Etsy Import'!$A:$CZ,50,Settings!$C$26)&amp;"","$",""),",","")),0)/IF(Settings!$B$27="Yes",G50,1))</f>
        <v/>
      </c>
      <c r="J50" s="11">
        <f>IF(A50="","",F50+H50-I50)</f>
        <v/>
      </c>
      <c r="K50">
        <f>IF(A50="","",IFERROR(IF(B50="",NA(),MATCH(B50,Products!$B$5:$B$204,0)),IFERROR(MATCH(A50,Products!$A$5:$A$204,0),"")))</f>
        <v/>
      </c>
      <c r="L50">
        <f>IF(A50="","",IF(K50="","⚠ not in Products",INDEX(Products!$A$5:$A$204,K50)))</f>
        <v/>
      </c>
      <c r="M50" s="11">
        <f>IF(A50="","",J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50+IFERROR(INDEX(Settings!$D$5:$D$9,MATCH("Etsy",Settings!$A$5:$A$9,0)),0)*D50)</f>
        <v/>
      </c>
      <c r="N50" s="11">
        <f>IF(A50="","",IF(K50="",0,D50*INDEX(Products!$I$5:$I$204,K50)))</f>
        <v/>
      </c>
      <c r="O50" s="11">
        <f>IF(A50="","",IF(K50="",0,J50*INDEX(Products!$H$5:$H$204,K50)))</f>
        <v/>
      </c>
      <c r="P50" s="11">
        <f>IF(A50="","",J50-M50-N50-O50)</f>
        <v/>
      </c>
    </row>
    <row r="51">
      <c r="A51">
        <f>IFERROR(INDEX('Etsy Import'!$A:$CZ,51,Settings!$C$20)&amp;"","")</f>
        <v/>
      </c>
      <c r="B51">
        <f>IFERROR(INDEX('Etsy Import'!$A:$CZ,51,Settings!$C$21)&amp;"","")</f>
        <v/>
      </c>
      <c r="C51">
        <f>IFERROR(INDEX('Etsy Import'!$A:$CZ,51,Settings!$C$22)&amp;"","")</f>
        <v/>
      </c>
      <c r="D51">
        <f>IF(A51="","",IFERROR(VALUE(SUBSTITUTE(SUBSTITUTE(INDEX('Etsy Import'!$A:$CZ,51,Settings!$C$23)&amp;"","$",""),",","")),0))</f>
        <v/>
      </c>
      <c r="E51" s="11">
        <f>IF(A51="","",IFERROR(VALUE(SUBSTITUTE(SUBSTITUTE(INDEX('Etsy Import'!$A:$CZ,51,Settings!$C$24)&amp;"","$",""),",","")),0))</f>
        <v/>
      </c>
      <c r="F51" s="11">
        <f>IF(A51="","",D51*E51)</f>
        <v/>
      </c>
      <c r="G51">
        <f>IF(A51="","",IF(C51="",1,COUNTIF($C$2:$C$1501,C51)))</f>
        <v/>
      </c>
      <c r="H51" s="11">
        <f>IF(A51="","",IFERROR(VALUE(SUBSTITUTE(SUBSTITUTE(INDEX('Etsy Import'!$A:$CZ,51,Settings!$C$25)&amp;"","$",""),",","")),0)/IF(Settings!$B$27="Yes",G51,1))</f>
        <v/>
      </c>
      <c r="I51" s="11">
        <f>IF(A51="","",IFERROR(VALUE(SUBSTITUTE(SUBSTITUTE(INDEX('Etsy Import'!$A:$CZ,51,Settings!$C$26)&amp;"","$",""),",","")),0)/IF(Settings!$B$27="Yes",G51,1))</f>
        <v/>
      </c>
      <c r="J51" s="11">
        <f>IF(A51="","",F51+H51-I51)</f>
        <v/>
      </c>
      <c r="K51">
        <f>IF(A51="","",IFERROR(IF(B51="",NA(),MATCH(B51,Products!$B$5:$B$204,0)),IFERROR(MATCH(A51,Products!$A$5:$A$204,0),"")))</f>
        <v/>
      </c>
      <c r="L51">
        <f>IF(A51="","",IF(K51="","⚠ not in Products",INDEX(Products!$A$5:$A$204,K51)))</f>
        <v/>
      </c>
      <c r="M51" s="11">
        <f>IF(A51="","",J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51+IFERROR(INDEX(Settings!$D$5:$D$9,MATCH("Etsy",Settings!$A$5:$A$9,0)),0)*D51)</f>
        <v/>
      </c>
      <c r="N51" s="11">
        <f>IF(A51="","",IF(K51="",0,D51*INDEX(Products!$I$5:$I$204,K51)))</f>
        <v/>
      </c>
      <c r="O51" s="11">
        <f>IF(A51="","",IF(K51="",0,J51*INDEX(Products!$H$5:$H$204,K51)))</f>
        <v/>
      </c>
      <c r="P51" s="11">
        <f>IF(A51="","",J51-M51-N51-O51)</f>
        <v/>
      </c>
    </row>
    <row r="52">
      <c r="A52">
        <f>IFERROR(INDEX('Etsy Import'!$A:$CZ,52,Settings!$C$20)&amp;"","")</f>
        <v/>
      </c>
      <c r="B52">
        <f>IFERROR(INDEX('Etsy Import'!$A:$CZ,52,Settings!$C$21)&amp;"","")</f>
        <v/>
      </c>
      <c r="C52">
        <f>IFERROR(INDEX('Etsy Import'!$A:$CZ,52,Settings!$C$22)&amp;"","")</f>
        <v/>
      </c>
      <c r="D52">
        <f>IF(A52="","",IFERROR(VALUE(SUBSTITUTE(SUBSTITUTE(INDEX('Etsy Import'!$A:$CZ,52,Settings!$C$23)&amp;"","$",""),",","")),0))</f>
        <v/>
      </c>
      <c r="E52" s="11">
        <f>IF(A52="","",IFERROR(VALUE(SUBSTITUTE(SUBSTITUTE(INDEX('Etsy Import'!$A:$CZ,52,Settings!$C$24)&amp;"","$",""),",","")),0))</f>
        <v/>
      </c>
      <c r="F52" s="11">
        <f>IF(A52="","",D52*E52)</f>
        <v/>
      </c>
      <c r="G52">
        <f>IF(A52="","",IF(C52="",1,COUNTIF($C$2:$C$1501,C52)))</f>
        <v/>
      </c>
      <c r="H52" s="11">
        <f>IF(A52="","",IFERROR(VALUE(SUBSTITUTE(SUBSTITUTE(INDEX('Etsy Import'!$A:$CZ,52,Settings!$C$25)&amp;"","$",""),",","")),0)/IF(Settings!$B$27="Yes",G52,1))</f>
        <v/>
      </c>
      <c r="I52" s="11">
        <f>IF(A52="","",IFERROR(VALUE(SUBSTITUTE(SUBSTITUTE(INDEX('Etsy Import'!$A:$CZ,52,Settings!$C$26)&amp;"","$",""),",","")),0)/IF(Settings!$B$27="Yes",G52,1))</f>
        <v/>
      </c>
      <c r="J52" s="11">
        <f>IF(A52="","",F52+H52-I52)</f>
        <v/>
      </c>
      <c r="K52">
        <f>IF(A52="","",IFERROR(IF(B52="",NA(),MATCH(B52,Products!$B$5:$B$204,0)),IFERROR(MATCH(A52,Products!$A$5:$A$204,0),"")))</f>
        <v/>
      </c>
      <c r="L52">
        <f>IF(A52="","",IF(K52="","⚠ not in Products",INDEX(Products!$A$5:$A$204,K52)))</f>
        <v/>
      </c>
      <c r="M52" s="11">
        <f>IF(A52="","",J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52+IFERROR(INDEX(Settings!$D$5:$D$9,MATCH("Etsy",Settings!$A$5:$A$9,0)),0)*D52)</f>
        <v/>
      </c>
      <c r="N52" s="11">
        <f>IF(A52="","",IF(K52="",0,D52*INDEX(Products!$I$5:$I$204,K52)))</f>
        <v/>
      </c>
      <c r="O52" s="11">
        <f>IF(A52="","",IF(K52="",0,J52*INDEX(Products!$H$5:$H$204,K52)))</f>
        <v/>
      </c>
      <c r="P52" s="11">
        <f>IF(A52="","",J52-M52-N52-O52)</f>
        <v/>
      </c>
    </row>
    <row r="53">
      <c r="A53">
        <f>IFERROR(INDEX('Etsy Import'!$A:$CZ,53,Settings!$C$20)&amp;"","")</f>
        <v/>
      </c>
      <c r="B53">
        <f>IFERROR(INDEX('Etsy Import'!$A:$CZ,53,Settings!$C$21)&amp;"","")</f>
        <v/>
      </c>
      <c r="C53">
        <f>IFERROR(INDEX('Etsy Import'!$A:$CZ,53,Settings!$C$22)&amp;"","")</f>
        <v/>
      </c>
      <c r="D53">
        <f>IF(A53="","",IFERROR(VALUE(SUBSTITUTE(SUBSTITUTE(INDEX('Etsy Import'!$A:$CZ,53,Settings!$C$23)&amp;"","$",""),",","")),0))</f>
        <v/>
      </c>
      <c r="E53" s="11">
        <f>IF(A53="","",IFERROR(VALUE(SUBSTITUTE(SUBSTITUTE(INDEX('Etsy Import'!$A:$CZ,53,Settings!$C$24)&amp;"","$",""),",","")),0))</f>
        <v/>
      </c>
      <c r="F53" s="11">
        <f>IF(A53="","",D53*E53)</f>
        <v/>
      </c>
      <c r="G53">
        <f>IF(A53="","",IF(C53="",1,COUNTIF($C$2:$C$1501,C53)))</f>
        <v/>
      </c>
      <c r="H53" s="11">
        <f>IF(A53="","",IFERROR(VALUE(SUBSTITUTE(SUBSTITUTE(INDEX('Etsy Import'!$A:$CZ,53,Settings!$C$25)&amp;"","$",""),",","")),0)/IF(Settings!$B$27="Yes",G53,1))</f>
        <v/>
      </c>
      <c r="I53" s="11">
        <f>IF(A53="","",IFERROR(VALUE(SUBSTITUTE(SUBSTITUTE(INDEX('Etsy Import'!$A:$CZ,53,Settings!$C$26)&amp;"","$",""),",","")),0)/IF(Settings!$B$27="Yes",G53,1))</f>
        <v/>
      </c>
      <c r="J53" s="11">
        <f>IF(A53="","",F53+H53-I53)</f>
        <v/>
      </c>
      <c r="K53">
        <f>IF(A53="","",IFERROR(IF(B53="",NA(),MATCH(B53,Products!$B$5:$B$204,0)),IFERROR(MATCH(A53,Products!$A$5:$A$204,0),"")))</f>
        <v/>
      </c>
      <c r="L53">
        <f>IF(A53="","",IF(K53="","⚠ not in Products",INDEX(Products!$A$5:$A$204,K53)))</f>
        <v/>
      </c>
      <c r="M53" s="11">
        <f>IF(A53="","",J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53+IFERROR(INDEX(Settings!$D$5:$D$9,MATCH("Etsy",Settings!$A$5:$A$9,0)),0)*D53)</f>
        <v/>
      </c>
      <c r="N53" s="11">
        <f>IF(A53="","",IF(K53="",0,D53*INDEX(Products!$I$5:$I$204,K53)))</f>
        <v/>
      </c>
      <c r="O53" s="11">
        <f>IF(A53="","",IF(K53="",0,J53*INDEX(Products!$H$5:$H$204,K53)))</f>
        <v/>
      </c>
      <c r="P53" s="11">
        <f>IF(A53="","",J53-M53-N53-O53)</f>
        <v/>
      </c>
    </row>
    <row r="54">
      <c r="A54">
        <f>IFERROR(INDEX('Etsy Import'!$A:$CZ,54,Settings!$C$20)&amp;"","")</f>
        <v/>
      </c>
      <c r="B54">
        <f>IFERROR(INDEX('Etsy Import'!$A:$CZ,54,Settings!$C$21)&amp;"","")</f>
        <v/>
      </c>
      <c r="C54">
        <f>IFERROR(INDEX('Etsy Import'!$A:$CZ,54,Settings!$C$22)&amp;"","")</f>
        <v/>
      </c>
      <c r="D54">
        <f>IF(A54="","",IFERROR(VALUE(SUBSTITUTE(SUBSTITUTE(INDEX('Etsy Import'!$A:$CZ,54,Settings!$C$23)&amp;"","$",""),",","")),0))</f>
        <v/>
      </c>
      <c r="E54" s="11">
        <f>IF(A54="","",IFERROR(VALUE(SUBSTITUTE(SUBSTITUTE(INDEX('Etsy Import'!$A:$CZ,54,Settings!$C$24)&amp;"","$",""),",","")),0))</f>
        <v/>
      </c>
      <c r="F54" s="11">
        <f>IF(A54="","",D54*E54)</f>
        <v/>
      </c>
      <c r="G54">
        <f>IF(A54="","",IF(C54="",1,COUNTIF($C$2:$C$1501,C54)))</f>
        <v/>
      </c>
      <c r="H54" s="11">
        <f>IF(A54="","",IFERROR(VALUE(SUBSTITUTE(SUBSTITUTE(INDEX('Etsy Import'!$A:$CZ,54,Settings!$C$25)&amp;"","$",""),",","")),0)/IF(Settings!$B$27="Yes",G54,1))</f>
        <v/>
      </c>
      <c r="I54" s="11">
        <f>IF(A54="","",IFERROR(VALUE(SUBSTITUTE(SUBSTITUTE(INDEX('Etsy Import'!$A:$CZ,54,Settings!$C$26)&amp;"","$",""),",","")),0)/IF(Settings!$B$27="Yes",G54,1))</f>
        <v/>
      </c>
      <c r="J54" s="11">
        <f>IF(A54="","",F54+H54-I54)</f>
        <v/>
      </c>
      <c r="K54">
        <f>IF(A54="","",IFERROR(IF(B54="",NA(),MATCH(B54,Products!$B$5:$B$204,0)),IFERROR(MATCH(A54,Products!$A$5:$A$204,0),"")))</f>
        <v/>
      </c>
      <c r="L54">
        <f>IF(A54="","",IF(K54="","⚠ not in Products",INDEX(Products!$A$5:$A$204,K54)))</f>
        <v/>
      </c>
      <c r="M54" s="11">
        <f>IF(A54="","",J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54+IFERROR(INDEX(Settings!$D$5:$D$9,MATCH("Etsy",Settings!$A$5:$A$9,0)),0)*D54)</f>
        <v/>
      </c>
      <c r="N54" s="11">
        <f>IF(A54="","",IF(K54="",0,D54*INDEX(Products!$I$5:$I$204,K54)))</f>
        <v/>
      </c>
      <c r="O54" s="11">
        <f>IF(A54="","",IF(K54="",0,J54*INDEX(Products!$H$5:$H$204,K54)))</f>
        <v/>
      </c>
      <c r="P54" s="11">
        <f>IF(A54="","",J54-M54-N54-O54)</f>
        <v/>
      </c>
    </row>
    <row r="55">
      <c r="A55">
        <f>IFERROR(INDEX('Etsy Import'!$A:$CZ,55,Settings!$C$20)&amp;"","")</f>
        <v/>
      </c>
      <c r="B55">
        <f>IFERROR(INDEX('Etsy Import'!$A:$CZ,55,Settings!$C$21)&amp;"","")</f>
        <v/>
      </c>
      <c r="C55">
        <f>IFERROR(INDEX('Etsy Import'!$A:$CZ,55,Settings!$C$22)&amp;"","")</f>
        <v/>
      </c>
      <c r="D55">
        <f>IF(A55="","",IFERROR(VALUE(SUBSTITUTE(SUBSTITUTE(INDEX('Etsy Import'!$A:$CZ,55,Settings!$C$23)&amp;"","$",""),",","")),0))</f>
        <v/>
      </c>
      <c r="E55" s="11">
        <f>IF(A55="","",IFERROR(VALUE(SUBSTITUTE(SUBSTITUTE(INDEX('Etsy Import'!$A:$CZ,55,Settings!$C$24)&amp;"","$",""),",","")),0))</f>
        <v/>
      </c>
      <c r="F55" s="11">
        <f>IF(A55="","",D55*E55)</f>
        <v/>
      </c>
      <c r="G55">
        <f>IF(A55="","",IF(C55="",1,COUNTIF($C$2:$C$1501,C55)))</f>
        <v/>
      </c>
      <c r="H55" s="11">
        <f>IF(A55="","",IFERROR(VALUE(SUBSTITUTE(SUBSTITUTE(INDEX('Etsy Import'!$A:$CZ,55,Settings!$C$25)&amp;"","$",""),",","")),0)/IF(Settings!$B$27="Yes",G55,1))</f>
        <v/>
      </c>
      <c r="I55" s="11">
        <f>IF(A55="","",IFERROR(VALUE(SUBSTITUTE(SUBSTITUTE(INDEX('Etsy Import'!$A:$CZ,55,Settings!$C$26)&amp;"","$",""),",","")),0)/IF(Settings!$B$27="Yes",G55,1))</f>
        <v/>
      </c>
      <c r="J55" s="11">
        <f>IF(A55="","",F55+H55-I55)</f>
        <v/>
      </c>
      <c r="K55">
        <f>IF(A55="","",IFERROR(IF(B55="",NA(),MATCH(B55,Products!$B$5:$B$204,0)),IFERROR(MATCH(A55,Products!$A$5:$A$204,0),"")))</f>
        <v/>
      </c>
      <c r="L55">
        <f>IF(A55="","",IF(K55="","⚠ not in Products",INDEX(Products!$A$5:$A$204,K55)))</f>
        <v/>
      </c>
      <c r="M55" s="11">
        <f>IF(A55="","",J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55+IFERROR(INDEX(Settings!$D$5:$D$9,MATCH("Etsy",Settings!$A$5:$A$9,0)),0)*D55)</f>
        <v/>
      </c>
      <c r="N55" s="11">
        <f>IF(A55="","",IF(K55="",0,D55*INDEX(Products!$I$5:$I$204,K55)))</f>
        <v/>
      </c>
      <c r="O55" s="11">
        <f>IF(A55="","",IF(K55="",0,J55*INDEX(Products!$H$5:$H$204,K55)))</f>
        <v/>
      </c>
      <c r="P55" s="11">
        <f>IF(A55="","",J55-M55-N55-O55)</f>
        <v/>
      </c>
    </row>
    <row r="56">
      <c r="A56">
        <f>IFERROR(INDEX('Etsy Import'!$A:$CZ,56,Settings!$C$20)&amp;"","")</f>
        <v/>
      </c>
      <c r="B56">
        <f>IFERROR(INDEX('Etsy Import'!$A:$CZ,56,Settings!$C$21)&amp;"","")</f>
        <v/>
      </c>
      <c r="C56">
        <f>IFERROR(INDEX('Etsy Import'!$A:$CZ,56,Settings!$C$22)&amp;"","")</f>
        <v/>
      </c>
      <c r="D56">
        <f>IF(A56="","",IFERROR(VALUE(SUBSTITUTE(SUBSTITUTE(INDEX('Etsy Import'!$A:$CZ,56,Settings!$C$23)&amp;"","$",""),",","")),0))</f>
        <v/>
      </c>
      <c r="E56" s="11">
        <f>IF(A56="","",IFERROR(VALUE(SUBSTITUTE(SUBSTITUTE(INDEX('Etsy Import'!$A:$CZ,56,Settings!$C$24)&amp;"","$",""),",","")),0))</f>
        <v/>
      </c>
      <c r="F56" s="11">
        <f>IF(A56="","",D56*E56)</f>
        <v/>
      </c>
      <c r="G56">
        <f>IF(A56="","",IF(C56="",1,COUNTIF($C$2:$C$1501,C56)))</f>
        <v/>
      </c>
      <c r="H56" s="11">
        <f>IF(A56="","",IFERROR(VALUE(SUBSTITUTE(SUBSTITUTE(INDEX('Etsy Import'!$A:$CZ,56,Settings!$C$25)&amp;"","$",""),",","")),0)/IF(Settings!$B$27="Yes",G56,1))</f>
        <v/>
      </c>
      <c r="I56" s="11">
        <f>IF(A56="","",IFERROR(VALUE(SUBSTITUTE(SUBSTITUTE(INDEX('Etsy Import'!$A:$CZ,56,Settings!$C$26)&amp;"","$",""),",","")),0)/IF(Settings!$B$27="Yes",G56,1))</f>
        <v/>
      </c>
      <c r="J56" s="11">
        <f>IF(A56="","",F56+H56-I56)</f>
        <v/>
      </c>
      <c r="K56">
        <f>IF(A56="","",IFERROR(IF(B56="",NA(),MATCH(B56,Products!$B$5:$B$204,0)),IFERROR(MATCH(A56,Products!$A$5:$A$204,0),"")))</f>
        <v/>
      </c>
      <c r="L56">
        <f>IF(A56="","",IF(K56="","⚠ not in Products",INDEX(Products!$A$5:$A$204,K56)))</f>
        <v/>
      </c>
      <c r="M56" s="11">
        <f>IF(A56="","",J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56+IFERROR(INDEX(Settings!$D$5:$D$9,MATCH("Etsy",Settings!$A$5:$A$9,0)),0)*D56)</f>
        <v/>
      </c>
      <c r="N56" s="11">
        <f>IF(A56="","",IF(K56="",0,D56*INDEX(Products!$I$5:$I$204,K56)))</f>
        <v/>
      </c>
      <c r="O56" s="11">
        <f>IF(A56="","",IF(K56="",0,J56*INDEX(Products!$H$5:$H$204,K56)))</f>
        <v/>
      </c>
      <c r="P56" s="11">
        <f>IF(A56="","",J56-M56-N56-O56)</f>
        <v/>
      </c>
    </row>
    <row r="57">
      <c r="A57">
        <f>IFERROR(INDEX('Etsy Import'!$A:$CZ,57,Settings!$C$20)&amp;"","")</f>
        <v/>
      </c>
      <c r="B57">
        <f>IFERROR(INDEX('Etsy Import'!$A:$CZ,57,Settings!$C$21)&amp;"","")</f>
        <v/>
      </c>
      <c r="C57">
        <f>IFERROR(INDEX('Etsy Import'!$A:$CZ,57,Settings!$C$22)&amp;"","")</f>
        <v/>
      </c>
      <c r="D57">
        <f>IF(A57="","",IFERROR(VALUE(SUBSTITUTE(SUBSTITUTE(INDEX('Etsy Import'!$A:$CZ,57,Settings!$C$23)&amp;"","$",""),",","")),0))</f>
        <v/>
      </c>
      <c r="E57" s="11">
        <f>IF(A57="","",IFERROR(VALUE(SUBSTITUTE(SUBSTITUTE(INDEX('Etsy Import'!$A:$CZ,57,Settings!$C$24)&amp;"","$",""),",","")),0))</f>
        <v/>
      </c>
      <c r="F57" s="11">
        <f>IF(A57="","",D57*E57)</f>
        <v/>
      </c>
      <c r="G57">
        <f>IF(A57="","",IF(C57="",1,COUNTIF($C$2:$C$1501,C57)))</f>
        <v/>
      </c>
      <c r="H57" s="11">
        <f>IF(A57="","",IFERROR(VALUE(SUBSTITUTE(SUBSTITUTE(INDEX('Etsy Import'!$A:$CZ,57,Settings!$C$25)&amp;"","$",""),",","")),0)/IF(Settings!$B$27="Yes",G57,1))</f>
        <v/>
      </c>
      <c r="I57" s="11">
        <f>IF(A57="","",IFERROR(VALUE(SUBSTITUTE(SUBSTITUTE(INDEX('Etsy Import'!$A:$CZ,57,Settings!$C$26)&amp;"","$",""),",","")),0)/IF(Settings!$B$27="Yes",G57,1))</f>
        <v/>
      </c>
      <c r="J57" s="11">
        <f>IF(A57="","",F57+H57-I57)</f>
        <v/>
      </c>
      <c r="K57">
        <f>IF(A57="","",IFERROR(IF(B57="",NA(),MATCH(B57,Products!$B$5:$B$204,0)),IFERROR(MATCH(A57,Products!$A$5:$A$204,0),"")))</f>
        <v/>
      </c>
      <c r="L57">
        <f>IF(A57="","",IF(K57="","⚠ not in Products",INDEX(Products!$A$5:$A$204,K57)))</f>
        <v/>
      </c>
      <c r="M57" s="11">
        <f>IF(A57="","",J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57+IFERROR(INDEX(Settings!$D$5:$D$9,MATCH("Etsy",Settings!$A$5:$A$9,0)),0)*D57)</f>
        <v/>
      </c>
      <c r="N57" s="11">
        <f>IF(A57="","",IF(K57="",0,D57*INDEX(Products!$I$5:$I$204,K57)))</f>
        <v/>
      </c>
      <c r="O57" s="11">
        <f>IF(A57="","",IF(K57="",0,J57*INDEX(Products!$H$5:$H$204,K57)))</f>
        <v/>
      </c>
      <c r="P57" s="11">
        <f>IF(A57="","",J57-M57-N57-O57)</f>
        <v/>
      </c>
    </row>
    <row r="58">
      <c r="A58">
        <f>IFERROR(INDEX('Etsy Import'!$A:$CZ,58,Settings!$C$20)&amp;"","")</f>
        <v/>
      </c>
      <c r="B58">
        <f>IFERROR(INDEX('Etsy Import'!$A:$CZ,58,Settings!$C$21)&amp;"","")</f>
        <v/>
      </c>
      <c r="C58">
        <f>IFERROR(INDEX('Etsy Import'!$A:$CZ,58,Settings!$C$22)&amp;"","")</f>
        <v/>
      </c>
      <c r="D58">
        <f>IF(A58="","",IFERROR(VALUE(SUBSTITUTE(SUBSTITUTE(INDEX('Etsy Import'!$A:$CZ,58,Settings!$C$23)&amp;"","$",""),",","")),0))</f>
        <v/>
      </c>
      <c r="E58" s="11">
        <f>IF(A58="","",IFERROR(VALUE(SUBSTITUTE(SUBSTITUTE(INDEX('Etsy Import'!$A:$CZ,58,Settings!$C$24)&amp;"","$",""),",","")),0))</f>
        <v/>
      </c>
      <c r="F58" s="11">
        <f>IF(A58="","",D58*E58)</f>
        <v/>
      </c>
      <c r="G58">
        <f>IF(A58="","",IF(C58="",1,COUNTIF($C$2:$C$1501,C58)))</f>
        <v/>
      </c>
      <c r="H58" s="11">
        <f>IF(A58="","",IFERROR(VALUE(SUBSTITUTE(SUBSTITUTE(INDEX('Etsy Import'!$A:$CZ,58,Settings!$C$25)&amp;"","$",""),",","")),0)/IF(Settings!$B$27="Yes",G58,1))</f>
        <v/>
      </c>
      <c r="I58" s="11">
        <f>IF(A58="","",IFERROR(VALUE(SUBSTITUTE(SUBSTITUTE(INDEX('Etsy Import'!$A:$CZ,58,Settings!$C$26)&amp;"","$",""),",","")),0)/IF(Settings!$B$27="Yes",G58,1))</f>
        <v/>
      </c>
      <c r="J58" s="11">
        <f>IF(A58="","",F58+H58-I58)</f>
        <v/>
      </c>
      <c r="K58">
        <f>IF(A58="","",IFERROR(IF(B58="",NA(),MATCH(B58,Products!$B$5:$B$204,0)),IFERROR(MATCH(A58,Products!$A$5:$A$204,0),"")))</f>
        <v/>
      </c>
      <c r="L58">
        <f>IF(A58="","",IF(K58="","⚠ not in Products",INDEX(Products!$A$5:$A$204,K58)))</f>
        <v/>
      </c>
      <c r="M58" s="11">
        <f>IF(A58="","",J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58+IFERROR(INDEX(Settings!$D$5:$D$9,MATCH("Etsy",Settings!$A$5:$A$9,0)),0)*D58)</f>
        <v/>
      </c>
      <c r="N58" s="11">
        <f>IF(A58="","",IF(K58="",0,D58*INDEX(Products!$I$5:$I$204,K58)))</f>
        <v/>
      </c>
      <c r="O58" s="11">
        <f>IF(A58="","",IF(K58="",0,J58*INDEX(Products!$H$5:$H$204,K58)))</f>
        <v/>
      </c>
      <c r="P58" s="11">
        <f>IF(A58="","",J58-M58-N58-O58)</f>
        <v/>
      </c>
    </row>
    <row r="59">
      <c r="A59">
        <f>IFERROR(INDEX('Etsy Import'!$A:$CZ,59,Settings!$C$20)&amp;"","")</f>
        <v/>
      </c>
      <c r="B59">
        <f>IFERROR(INDEX('Etsy Import'!$A:$CZ,59,Settings!$C$21)&amp;"","")</f>
        <v/>
      </c>
      <c r="C59">
        <f>IFERROR(INDEX('Etsy Import'!$A:$CZ,59,Settings!$C$22)&amp;"","")</f>
        <v/>
      </c>
      <c r="D59">
        <f>IF(A59="","",IFERROR(VALUE(SUBSTITUTE(SUBSTITUTE(INDEX('Etsy Import'!$A:$CZ,59,Settings!$C$23)&amp;"","$",""),",","")),0))</f>
        <v/>
      </c>
      <c r="E59" s="11">
        <f>IF(A59="","",IFERROR(VALUE(SUBSTITUTE(SUBSTITUTE(INDEX('Etsy Import'!$A:$CZ,59,Settings!$C$24)&amp;"","$",""),",","")),0))</f>
        <v/>
      </c>
      <c r="F59" s="11">
        <f>IF(A59="","",D59*E59)</f>
        <v/>
      </c>
      <c r="G59">
        <f>IF(A59="","",IF(C59="",1,COUNTIF($C$2:$C$1501,C59)))</f>
        <v/>
      </c>
      <c r="H59" s="11">
        <f>IF(A59="","",IFERROR(VALUE(SUBSTITUTE(SUBSTITUTE(INDEX('Etsy Import'!$A:$CZ,59,Settings!$C$25)&amp;"","$",""),",","")),0)/IF(Settings!$B$27="Yes",G59,1))</f>
        <v/>
      </c>
      <c r="I59" s="11">
        <f>IF(A59="","",IFERROR(VALUE(SUBSTITUTE(SUBSTITUTE(INDEX('Etsy Import'!$A:$CZ,59,Settings!$C$26)&amp;"","$",""),",","")),0)/IF(Settings!$B$27="Yes",G59,1))</f>
        <v/>
      </c>
      <c r="J59" s="11">
        <f>IF(A59="","",F59+H59-I59)</f>
        <v/>
      </c>
      <c r="K59">
        <f>IF(A59="","",IFERROR(IF(B59="",NA(),MATCH(B59,Products!$B$5:$B$204,0)),IFERROR(MATCH(A59,Products!$A$5:$A$204,0),"")))</f>
        <v/>
      </c>
      <c r="L59">
        <f>IF(A59="","",IF(K59="","⚠ not in Products",INDEX(Products!$A$5:$A$204,K59)))</f>
        <v/>
      </c>
      <c r="M59" s="11">
        <f>IF(A59="","",J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59+IFERROR(INDEX(Settings!$D$5:$D$9,MATCH("Etsy",Settings!$A$5:$A$9,0)),0)*D59)</f>
        <v/>
      </c>
      <c r="N59" s="11">
        <f>IF(A59="","",IF(K59="",0,D59*INDEX(Products!$I$5:$I$204,K59)))</f>
        <v/>
      </c>
      <c r="O59" s="11">
        <f>IF(A59="","",IF(K59="",0,J59*INDEX(Products!$H$5:$H$204,K59)))</f>
        <v/>
      </c>
      <c r="P59" s="11">
        <f>IF(A59="","",J59-M59-N59-O59)</f>
        <v/>
      </c>
    </row>
    <row r="60">
      <c r="A60">
        <f>IFERROR(INDEX('Etsy Import'!$A:$CZ,60,Settings!$C$20)&amp;"","")</f>
        <v/>
      </c>
      <c r="B60">
        <f>IFERROR(INDEX('Etsy Import'!$A:$CZ,60,Settings!$C$21)&amp;"","")</f>
        <v/>
      </c>
      <c r="C60">
        <f>IFERROR(INDEX('Etsy Import'!$A:$CZ,60,Settings!$C$22)&amp;"","")</f>
        <v/>
      </c>
      <c r="D60">
        <f>IF(A60="","",IFERROR(VALUE(SUBSTITUTE(SUBSTITUTE(INDEX('Etsy Import'!$A:$CZ,60,Settings!$C$23)&amp;"","$",""),",","")),0))</f>
        <v/>
      </c>
      <c r="E60" s="11">
        <f>IF(A60="","",IFERROR(VALUE(SUBSTITUTE(SUBSTITUTE(INDEX('Etsy Import'!$A:$CZ,60,Settings!$C$24)&amp;"","$",""),",","")),0))</f>
        <v/>
      </c>
      <c r="F60" s="11">
        <f>IF(A60="","",D60*E60)</f>
        <v/>
      </c>
      <c r="G60">
        <f>IF(A60="","",IF(C60="",1,COUNTIF($C$2:$C$1501,C60)))</f>
        <v/>
      </c>
      <c r="H60" s="11">
        <f>IF(A60="","",IFERROR(VALUE(SUBSTITUTE(SUBSTITUTE(INDEX('Etsy Import'!$A:$CZ,60,Settings!$C$25)&amp;"","$",""),",","")),0)/IF(Settings!$B$27="Yes",G60,1))</f>
        <v/>
      </c>
      <c r="I60" s="11">
        <f>IF(A60="","",IFERROR(VALUE(SUBSTITUTE(SUBSTITUTE(INDEX('Etsy Import'!$A:$CZ,60,Settings!$C$26)&amp;"","$",""),",","")),0)/IF(Settings!$B$27="Yes",G60,1))</f>
        <v/>
      </c>
      <c r="J60" s="11">
        <f>IF(A60="","",F60+H60-I60)</f>
        <v/>
      </c>
      <c r="K60">
        <f>IF(A60="","",IFERROR(IF(B60="",NA(),MATCH(B60,Products!$B$5:$B$204,0)),IFERROR(MATCH(A60,Products!$A$5:$A$204,0),"")))</f>
        <v/>
      </c>
      <c r="L60">
        <f>IF(A60="","",IF(K60="","⚠ not in Products",INDEX(Products!$A$5:$A$204,K60)))</f>
        <v/>
      </c>
      <c r="M60" s="11">
        <f>IF(A60="","",J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60+IFERROR(INDEX(Settings!$D$5:$D$9,MATCH("Etsy",Settings!$A$5:$A$9,0)),0)*D60)</f>
        <v/>
      </c>
      <c r="N60" s="11">
        <f>IF(A60="","",IF(K60="",0,D60*INDEX(Products!$I$5:$I$204,K60)))</f>
        <v/>
      </c>
      <c r="O60" s="11">
        <f>IF(A60="","",IF(K60="",0,J60*INDEX(Products!$H$5:$H$204,K60)))</f>
        <v/>
      </c>
      <c r="P60" s="11">
        <f>IF(A60="","",J60-M60-N60-O60)</f>
        <v/>
      </c>
    </row>
    <row r="61">
      <c r="A61">
        <f>IFERROR(INDEX('Etsy Import'!$A:$CZ,61,Settings!$C$20)&amp;"","")</f>
        <v/>
      </c>
      <c r="B61">
        <f>IFERROR(INDEX('Etsy Import'!$A:$CZ,61,Settings!$C$21)&amp;"","")</f>
        <v/>
      </c>
      <c r="C61">
        <f>IFERROR(INDEX('Etsy Import'!$A:$CZ,61,Settings!$C$22)&amp;"","")</f>
        <v/>
      </c>
      <c r="D61">
        <f>IF(A61="","",IFERROR(VALUE(SUBSTITUTE(SUBSTITUTE(INDEX('Etsy Import'!$A:$CZ,61,Settings!$C$23)&amp;"","$",""),",","")),0))</f>
        <v/>
      </c>
      <c r="E61" s="11">
        <f>IF(A61="","",IFERROR(VALUE(SUBSTITUTE(SUBSTITUTE(INDEX('Etsy Import'!$A:$CZ,61,Settings!$C$24)&amp;"","$",""),",","")),0))</f>
        <v/>
      </c>
      <c r="F61" s="11">
        <f>IF(A61="","",D61*E61)</f>
        <v/>
      </c>
      <c r="G61">
        <f>IF(A61="","",IF(C61="",1,COUNTIF($C$2:$C$1501,C61)))</f>
        <v/>
      </c>
      <c r="H61" s="11">
        <f>IF(A61="","",IFERROR(VALUE(SUBSTITUTE(SUBSTITUTE(INDEX('Etsy Import'!$A:$CZ,61,Settings!$C$25)&amp;"","$",""),",","")),0)/IF(Settings!$B$27="Yes",G61,1))</f>
        <v/>
      </c>
      <c r="I61" s="11">
        <f>IF(A61="","",IFERROR(VALUE(SUBSTITUTE(SUBSTITUTE(INDEX('Etsy Import'!$A:$CZ,61,Settings!$C$26)&amp;"","$",""),",","")),0)/IF(Settings!$B$27="Yes",G61,1))</f>
        <v/>
      </c>
      <c r="J61" s="11">
        <f>IF(A61="","",F61+H61-I61)</f>
        <v/>
      </c>
      <c r="K61">
        <f>IF(A61="","",IFERROR(IF(B61="",NA(),MATCH(B61,Products!$B$5:$B$204,0)),IFERROR(MATCH(A61,Products!$A$5:$A$204,0),"")))</f>
        <v/>
      </c>
      <c r="L61">
        <f>IF(A61="","",IF(K61="","⚠ not in Products",INDEX(Products!$A$5:$A$204,K61)))</f>
        <v/>
      </c>
      <c r="M61" s="11">
        <f>IF(A61="","",J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61+IFERROR(INDEX(Settings!$D$5:$D$9,MATCH("Etsy",Settings!$A$5:$A$9,0)),0)*D61)</f>
        <v/>
      </c>
      <c r="N61" s="11">
        <f>IF(A61="","",IF(K61="",0,D61*INDEX(Products!$I$5:$I$204,K61)))</f>
        <v/>
      </c>
      <c r="O61" s="11">
        <f>IF(A61="","",IF(K61="",0,J61*INDEX(Products!$H$5:$H$204,K61)))</f>
        <v/>
      </c>
      <c r="P61" s="11">
        <f>IF(A61="","",J61-M61-N61-O61)</f>
        <v/>
      </c>
    </row>
    <row r="62">
      <c r="A62">
        <f>IFERROR(INDEX('Etsy Import'!$A:$CZ,62,Settings!$C$20)&amp;"","")</f>
        <v/>
      </c>
      <c r="B62">
        <f>IFERROR(INDEX('Etsy Import'!$A:$CZ,62,Settings!$C$21)&amp;"","")</f>
        <v/>
      </c>
      <c r="C62">
        <f>IFERROR(INDEX('Etsy Import'!$A:$CZ,62,Settings!$C$22)&amp;"","")</f>
        <v/>
      </c>
      <c r="D62">
        <f>IF(A62="","",IFERROR(VALUE(SUBSTITUTE(SUBSTITUTE(INDEX('Etsy Import'!$A:$CZ,62,Settings!$C$23)&amp;"","$",""),",","")),0))</f>
        <v/>
      </c>
      <c r="E62" s="11">
        <f>IF(A62="","",IFERROR(VALUE(SUBSTITUTE(SUBSTITUTE(INDEX('Etsy Import'!$A:$CZ,62,Settings!$C$24)&amp;"","$",""),",","")),0))</f>
        <v/>
      </c>
      <c r="F62" s="11">
        <f>IF(A62="","",D62*E62)</f>
        <v/>
      </c>
      <c r="G62">
        <f>IF(A62="","",IF(C62="",1,COUNTIF($C$2:$C$1501,C62)))</f>
        <v/>
      </c>
      <c r="H62" s="11">
        <f>IF(A62="","",IFERROR(VALUE(SUBSTITUTE(SUBSTITUTE(INDEX('Etsy Import'!$A:$CZ,62,Settings!$C$25)&amp;"","$",""),",","")),0)/IF(Settings!$B$27="Yes",G62,1))</f>
        <v/>
      </c>
      <c r="I62" s="11">
        <f>IF(A62="","",IFERROR(VALUE(SUBSTITUTE(SUBSTITUTE(INDEX('Etsy Import'!$A:$CZ,62,Settings!$C$26)&amp;"","$",""),",","")),0)/IF(Settings!$B$27="Yes",G62,1))</f>
        <v/>
      </c>
      <c r="J62" s="11">
        <f>IF(A62="","",F62+H62-I62)</f>
        <v/>
      </c>
      <c r="K62">
        <f>IF(A62="","",IFERROR(IF(B62="",NA(),MATCH(B62,Products!$B$5:$B$204,0)),IFERROR(MATCH(A62,Products!$A$5:$A$204,0),"")))</f>
        <v/>
      </c>
      <c r="L62">
        <f>IF(A62="","",IF(K62="","⚠ not in Products",INDEX(Products!$A$5:$A$204,K62)))</f>
        <v/>
      </c>
      <c r="M62" s="11">
        <f>IF(A62="","",J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62+IFERROR(INDEX(Settings!$D$5:$D$9,MATCH("Etsy",Settings!$A$5:$A$9,0)),0)*D62)</f>
        <v/>
      </c>
      <c r="N62" s="11">
        <f>IF(A62="","",IF(K62="",0,D62*INDEX(Products!$I$5:$I$204,K62)))</f>
        <v/>
      </c>
      <c r="O62" s="11">
        <f>IF(A62="","",IF(K62="",0,J62*INDEX(Products!$H$5:$H$204,K62)))</f>
        <v/>
      </c>
      <c r="P62" s="11">
        <f>IF(A62="","",J62-M62-N62-O62)</f>
        <v/>
      </c>
    </row>
    <row r="63">
      <c r="A63">
        <f>IFERROR(INDEX('Etsy Import'!$A:$CZ,63,Settings!$C$20)&amp;"","")</f>
        <v/>
      </c>
      <c r="B63">
        <f>IFERROR(INDEX('Etsy Import'!$A:$CZ,63,Settings!$C$21)&amp;"","")</f>
        <v/>
      </c>
      <c r="C63">
        <f>IFERROR(INDEX('Etsy Import'!$A:$CZ,63,Settings!$C$22)&amp;"","")</f>
        <v/>
      </c>
      <c r="D63">
        <f>IF(A63="","",IFERROR(VALUE(SUBSTITUTE(SUBSTITUTE(INDEX('Etsy Import'!$A:$CZ,63,Settings!$C$23)&amp;"","$",""),",","")),0))</f>
        <v/>
      </c>
      <c r="E63" s="11">
        <f>IF(A63="","",IFERROR(VALUE(SUBSTITUTE(SUBSTITUTE(INDEX('Etsy Import'!$A:$CZ,63,Settings!$C$24)&amp;"","$",""),",","")),0))</f>
        <v/>
      </c>
      <c r="F63" s="11">
        <f>IF(A63="","",D63*E63)</f>
        <v/>
      </c>
      <c r="G63">
        <f>IF(A63="","",IF(C63="",1,COUNTIF($C$2:$C$1501,C63)))</f>
        <v/>
      </c>
      <c r="H63" s="11">
        <f>IF(A63="","",IFERROR(VALUE(SUBSTITUTE(SUBSTITUTE(INDEX('Etsy Import'!$A:$CZ,63,Settings!$C$25)&amp;"","$",""),",","")),0)/IF(Settings!$B$27="Yes",G63,1))</f>
        <v/>
      </c>
      <c r="I63" s="11">
        <f>IF(A63="","",IFERROR(VALUE(SUBSTITUTE(SUBSTITUTE(INDEX('Etsy Import'!$A:$CZ,63,Settings!$C$26)&amp;"","$",""),",","")),0)/IF(Settings!$B$27="Yes",G63,1))</f>
        <v/>
      </c>
      <c r="J63" s="11">
        <f>IF(A63="","",F63+H63-I63)</f>
        <v/>
      </c>
      <c r="K63">
        <f>IF(A63="","",IFERROR(IF(B63="",NA(),MATCH(B63,Products!$B$5:$B$204,0)),IFERROR(MATCH(A63,Products!$A$5:$A$204,0),"")))</f>
        <v/>
      </c>
      <c r="L63">
        <f>IF(A63="","",IF(K63="","⚠ not in Products",INDEX(Products!$A$5:$A$204,K63)))</f>
        <v/>
      </c>
      <c r="M63" s="11">
        <f>IF(A63="","",J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63+IFERROR(INDEX(Settings!$D$5:$D$9,MATCH("Etsy",Settings!$A$5:$A$9,0)),0)*D63)</f>
        <v/>
      </c>
      <c r="N63" s="11">
        <f>IF(A63="","",IF(K63="",0,D63*INDEX(Products!$I$5:$I$204,K63)))</f>
        <v/>
      </c>
      <c r="O63" s="11">
        <f>IF(A63="","",IF(K63="",0,J63*INDEX(Products!$H$5:$H$204,K63)))</f>
        <v/>
      </c>
      <c r="P63" s="11">
        <f>IF(A63="","",J63-M63-N63-O63)</f>
        <v/>
      </c>
    </row>
    <row r="64">
      <c r="A64">
        <f>IFERROR(INDEX('Etsy Import'!$A:$CZ,64,Settings!$C$20)&amp;"","")</f>
        <v/>
      </c>
      <c r="B64">
        <f>IFERROR(INDEX('Etsy Import'!$A:$CZ,64,Settings!$C$21)&amp;"","")</f>
        <v/>
      </c>
      <c r="C64">
        <f>IFERROR(INDEX('Etsy Import'!$A:$CZ,64,Settings!$C$22)&amp;"","")</f>
        <v/>
      </c>
      <c r="D64">
        <f>IF(A64="","",IFERROR(VALUE(SUBSTITUTE(SUBSTITUTE(INDEX('Etsy Import'!$A:$CZ,64,Settings!$C$23)&amp;"","$",""),",","")),0))</f>
        <v/>
      </c>
      <c r="E64" s="11">
        <f>IF(A64="","",IFERROR(VALUE(SUBSTITUTE(SUBSTITUTE(INDEX('Etsy Import'!$A:$CZ,64,Settings!$C$24)&amp;"","$",""),",","")),0))</f>
        <v/>
      </c>
      <c r="F64" s="11">
        <f>IF(A64="","",D64*E64)</f>
        <v/>
      </c>
      <c r="G64">
        <f>IF(A64="","",IF(C64="",1,COUNTIF($C$2:$C$1501,C64)))</f>
        <v/>
      </c>
      <c r="H64" s="11">
        <f>IF(A64="","",IFERROR(VALUE(SUBSTITUTE(SUBSTITUTE(INDEX('Etsy Import'!$A:$CZ,64,Settings!$C$25)&amp;"","$",""),",","")),0)/IF(Settings!$B$27="Yes",G64,1))</f>
        <v/>
      </c>
      <c r="I64" s="11">
        <f>IF(A64="","",IFERROR(VALUE(SUBSTITUTE(SUBSTITUTE(INDEX('Etsy Import'!$A:$CZ,64,Settings!$C$26)&amp;"","$",""),",","")),0)/IF(Settings!$B$27="Yes",G64,1))</f>
        <v/>
      </c>
      <c r="J64" s="11">
        <f>IF(A64="","",F64+H64-I64)</f>
        <v/>
      </c>
      <c r="K64">
        <f>IF(A64="","",IFERROR(IF(B64="",NA(),MATCH(B64,Products!$B$5:$B$204,0)),IFERROR(MATCH(A64,Products!$A$5:$A$204,0),"")))</f>
        <v/>
      </c>
      <c r="L64">
        <f>IF(A64="","",IF(K64="","⚠ not in Products",INDEX(Products!$A$5:$A$204,K64)))</f>
        <v/>
      </c>
      <c r="M64" s="11">
        <f>IF(A64="","",J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64+IFERROR(INDEX(Settings!$D$5:$D$9,MATCH("Etsy",Settings!$A$5:$A$9,0)),0)*D64)</f>
        <v/>
      </c>
      <c r="N64" s="11">
        <f>IF(A64="","",IF(K64="",0,D64*INDEX(Products!$I$5:$I$204,K64)))</f>
        <v/>
      </c>
      <c r="O64" s="11">
        <f>IF(A64="","",IF(K64="",0,J64*INDEX(Products!$H$5:$H$204,K64)))</f>
        <v/>
      </c>
      <c r="P64" s="11">
        <f>IF(A64="","",J64-M64-N64-O64)</f>
        <v/>
      </c>
    </row>
    <row r="65">
      <c r="A65">
        <f>IFERROR(INDEX('Etsy Import'!$A:$CZ,65,Settings!$C$20)&amp;"","")</f>
        <v/>
      </c>
      <c r="B65">
        <f>IFERROR(INDEX('Etsy Import'!$A:$CZ,65,Settings!$C$21)&amp;"","")</f>
        <v/>
      </c>
      <c r="C65">
        <f>IFERROR(INDEX('Etsy Import'!$A:$CZ,65,Settings!$C$22)&amp;"","")</f>
        <v/>
      </c>
      <c r="D65">
        <f>IF(A65="","",IFERROR(VALUE(SUBSTITUTE(SUBSTITUTE(INDEX('Etsy Import'!$A:$CZ,65,Settings!$C$23)&amp;"","$",""),",","")),0))</f>
        <v/>
      </c>
      <c r="E65" s="11">
        <f>IF(A65="","",IFERROR(VALUE(SUBSTITUTE(SUBSTITUTE(INDEX('Etsy Import'!$A:$CZ,65,Settings!$C$24)&amp;"","$",""),",","")),0))</f>
        <v/>
      </c>
      <c r="F65" s="11">
        <f>IF(A65="","",D65*E65)</f>
        <v/>
      </c>
      <c r="G65">
        <f>IF(A65="","",IF(C65="",1,COUNTIF($C$2:$C$1501,C65)))</f>
        <v/>
      </c>
      <c r="H65" s="11">
        <f>IF(A65="","",IFERROR(VALUE(SUBSTITUTE(SUBSTITUTE(INDEX('Etsy Import'!$A:$CZ,65,Settings!$C$25)&amp;"","$",""),",","")),0)/IF(Settings!$B$27="Yes",G65,1))</f>
        <v/>
      </c>
      <c r="I65" s="11">
        <f>IF(A65="","",IFERROR(VALUE(SUBSTITUTE(SUBSTITUTE(INDEX('Etsy Import'!$A:$CZ,65,Settings!$C$26)&amp;"","$",""),",","")),0)/IF(Settings!$B$27="Yes",G65,1))</f>
        <v/>
      </c>
      <c r="J65" s="11">
        <f>IF(A65="","",F65+H65-I65)</f>
        <v/>
      </c>
      <c r="K65">
        <f>IF(A65="","",IFERROR(IF(B65="",NA(),MATCH(B65,Products!$B$5:$B$204,0)),IFERROR(MATCH(A65,Products!$A$5:$A$204,0),"")))</f>
        <v/>
      </c>
      <c r="L65">
        <f>IF(A65="","",IF(K65="","⚠ not in Products",INDEX(Products!$A$5:$A$204,K65)))</f>
        <v/>
      </c>
      <c r="M65" s="11">
        <f>IF(A65="","",J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65+IFERROR(INDEX(Settings!$D$5:$D$9,MATCH("Etsy",Settings!$A$5:$A$9,0)),0)*D65)</f>
        <v/>
      </c>
      <c r="N65" s="11">
        <f>IF(A65="","",IF(K65="",0,D65*INDEX(Products!$I$5:$I$204,K65)))</f>
        <v/>
      </c>
      <c r="O65" s="11">
        <f>IF(A65="","",IF(K65="",0,J65*INDEX(Products!$H$5:$H$204,K65)))</f>
        <v/>
      </c>
      <c r="P65" s="11">
        <f>IF(A65="","",J65-M65-N65-O65)</f>
        <v/>
      </c>
    </row>
    <row r="66">
      <c r="A66">
        <f>IFERROR(INDEX('Etsy Import'!$A:$CZ,66,Settings!$C$20)&amp;"","")</f>
        <v/>
      </c>
      <c r="B66">
        <f>IFERROR(INDEX('Etsy Import'!$A:$CZ,66,Settings!$C$21)&amp;"","")</f>
        <v/>
      </c>
      <c r="C66">
        <f>IFERROR(INDEX('Etsy Import'!$A:$CZ,66,Settings!$C$22)&amp;"","")</f>
        <v/>
      </c>
      <c r="D66">
        <f>IF(A66="","",IFERROR(VALUE(SUBSTITUTE(SUBSTITUTE(INDEX('Etsy Import'!$A:$CZ,66,Settings!$C$23)&amp;"","$",""),",","")),0))</f>
        <v/>
      </c>
      <c r="E66" s="11">
        <f>IF(A66="","",IFERROR(VALUE(SUBSTITUTE(SUBSTITUTE(INDEX('Etsy Import'!$A:$CZ,66,Settings!$C$24)&amp;"","$",""),",","")),0))</f>
        <v/>
      </c>
      <c r="F66" s="11">
        <f>IF(A66="","",D66*E66)</f>
        <v/>
      </c>
      <c r="G66">
        <f>IF(A66="","",IF(C66="",1,COUNTIF($C$2:$C$1501,C66)))</f>
        <v/>
      </c>
      <c r="H66" s="11">
        <f>IF(A66="","",IFERROR(VALUE(SUBSTITUTE(SUBSTITUTE(INDEX('Etsy Import'!$A:$CZ,66,Settings!$C$25)&amp;"","$",""),",","")),0)/IF(Settings!$B$27="Yes",G66,1))</f>
        <v/>
      </c>
      <c r="I66" s="11">
        <f>IF(A66="","",IFERROR(VALUE(SUBSTITUTE(SUBSTITUTE(INDEX('Etsy Import'!$A:$CZ,66,Settings!$C$26)&amp;"","$",""),",","")),0)/IF(Settings!$B$27="Yes",G66,1))</f>
        <v/>
      </c>
      <c r="J66" s="11">
        <f>IF(A66="","",F66+H66-I66)</f>
        <v/>
      </c>
      <c r="K66">
        <f>IF(A66="","",IFERROR(IF(B66="",NA(),MATCH(B66,Products!$B$5:$B$204,0)),IFERROR(MATCH(A66,Products!$A$5:$A$204,0),"")))</f>
        <v/>
      </c>
      <c r="L66">
        <f>IF(A66="","",IF(K66="","⚠ not in Products",INDEX(Products!$A$5:$A$204,K66)))</f>
        <v/>
      </c>
      <c r="M66" s="11">
        <f>IF(A66="","",J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66+IFERROR(INDEX(Settings!$D$5:$D$9,MATCH("Etsy",Settings!$A$5:$A$9,0)),0)*D66)</f>
        <v/>
      </c>
      <c r="N66" s="11">
        <f>IF(A66="","",IF(K66="",0,D66*INDEX(Products!$I$5:$I$204,K66)))</f>
        <v/>
      </c>
      <c r="O66" s="11">
        <f>IF(A66="","",IF(K66="",0,J66*INDEX(Products!$H$5:$H$204,K66)))</f>
        <v/>
      </c>
      <c r="P66" s="11">
        <f>IF(A66="","",J66-M66-N66-O66)</f>
        <v/>
      </c>
    </row>
    <row r="67">
      <c r="A67">
        <f>IFERROR(INDEX('Etsy Import'!$A:$CZ,67,Settings!$C$20)&amp;"","")</f>
        <v/>
      </c>
      <c r="B67">
        <f>IFERROR(INDEX('Etsy Import'!$A:$CZ,67,Settings!$C$21)&amp;"","")</f>
        <v/>
      </c>
      <c r="C67">
        <f>IFERROR(INDEX('Etsy Import'!$A:$CZ,67,Settings!$C$22)&amp;"","")</f>
        <v/>
      </c>
      <c r="D67">
        <f>IF(A67="","",IFERROR(VALUE(SUBSTITUTE(SUBSTITUTE(INDEX('Etsy Import'!$A:$CZ,67,Settings!$C$23)&amp;"","$",""),",","")),0))</f>
        <v/>
      </c>
      <c r="E67" s="11">
        <f>IF(A67="","",IFERROR(VALUE(SUBSTITUTE(SUBSTITUTE(INDEX('Etsy Import'!$A:$CZ,67,Settings!$C$24)&amp;"","$",""),",","")),0))</f>
        <v/>
      </c>
      <c r="F67" s="11">
        <f>IF(A67="","",D67*E67)</f>
        <v/>
      </c>
      <c r="G67">
        <f>IF(A67="","",IF(C67="",1,COUNTIF($C$2:$C$1501,C67)))</f>
        <v/>
      </c>
      <c r="H67" s="11">
        <f>IF(A67="","",IFERROR(VALUE(SUBSTITUTE(SUBSTITUTE(INDEX('Etsy Import'!$A:$CZ,67,Settings!$C$25)&amp;"","$",""),",","")),0)/IF(Settings!$B$27="Yes",G67,1))</f>
        <v/>
      </c>
      <c r="I67" s="11">
        <f>IF(A67="","",IFERROR(VALUE(SUBSTITUTE(SUBSTITUTE(INDEX('Etsy Import'!$A:$CZ,67,Settings!$C$26)&amp;"","$",""),",","")),0)/IF(Settings!$B$27="Yes",G67,1))</f>
        <v/>
      </c>
      <c r="J67" s="11">
        <f>IF(A67="","",F67+H67-I67)</f>
        <v/>
      </c>
      <c r="K67">
        <f>IF(A67="","",IFERROR(IF(B67="",NA(),MATCH(B67,Products!$B$5:$B$204,0)),IFERROR(MATCH(A67,Products!$A$5:$A$204,0),"")))</f>
        <v/>
      </c>
      <c r="L67">
        <f>IF(A67="","",IF(K67="","⚠ not in Products",INDEX(Products!$A$5:$A$204,K67)))</f>
        <v/>
      </c>
      <c r="M67" s="11">
        <f>IF(A67="","",J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67+IFERROR(INDEX(Settings!$D$5:$D$9,MATCH("Etsy",Settings!$A$5:$A$9,0)),0)*D67)</f>
        <v/>
      </c>
      <c r="N67" s="11">
        <f>IF(A67="","",IF(K67="",0,D67*INDEX(Products!$I$5:$I$204,K67)))</f>
        <v/>
      </c>
      <c r="O67" s="11">
        <f>IF(A67="","",IF(K67="",0,J67*INDEX(Products!$H$5:$H$204,K67)))</f>
        <v/>
      </c>
      <c r="P67" s="11">
        <f>IF(A67="","",J67-M67-N67-O67)</f>
        <v/>
      </c>
    </row>
    <row r="68">
      <c r="A68">
        <f>IFERROR(INDEX('Etsy Import'!$A:$CZ,68,Settings!$C$20)&amp;"","")</f>
        <v/>
      </c>
      <c r="B68">
        <f>IFERROR(INDEX('Etsy Import'!$A:$CZ,68,Settings!$C$21)&amp;"","")</f>
        <v/>
      </c>
      <c r="C68">
        <f>IFERROR(INDEX('Etsy Import'!$A:$CZ,68,Settings!$C$22)&amp;"","")</f>
        <v/>
      </c>
      <c r="D68">
        <f>IF(A68="","",IFERROR(VALUE(SUBSTITUTE(SUBSTITUTE(INDEX('Etsy Import'!$A:$CZ,68,Settings!$C$23)&amp;"","$",""),",","")),0))</f>
        <v/>
      </c>
      <c r="E68" s="11">
        <f>IF(A68="","",IFERROR(VALUE(SUBSTITUTE(SUBSTITUTE(INDEX('Etsy Import'!$A:$CZ,68,Settings!$C$24)&amp;"","$",""),",","")),0))</f>
        <v/>
      </c>
      <c r="F68" s="11">
        <f>IF(A68="","",D68*E68)</f>
        <v/>
      </c>
      <c r="G68">
        <f>IF(A68="","",IF(C68="",1,COUNTIF($C$2:$C$1501,C68)))</f>
        <v/>
      </c>
      <c r="H68" s="11">
        <f>IF(A68="","",IFERROR(VALUE(SUBSTITUTE(SUBSTITUTE(INDEX('Etsy Import'!$A:$CZ,68,Settings!$C$25)&amp;"","$",""),",","")),0)/IF(Settings!$B$27="Yes",G68,1))</f>
        <v/>
      </c>
      <c r="I68" s="11">
        <f>IF(A68="","",IFERROR(VALUE(SUBSTITUTE(SUBSTITUTE(INDEX('Etsy Import'!$A:$CZ,68,Settings!$C$26)&amp;"","$",""),",","")),0)/IF(Settings!$B$27="Yes",G68,1))</f>
        <v/>
      </c>
      <c r="J68" s="11">
        <f>IF(A68="","",F68+H68-I68)</f>
        <v/>
      </c>
      <c r="K68">
        <f>IF(A68="","",IFERROR(IF(B68="",NA(),MATCH(B68,Products!$B$5:$B$204,0)),IFERROR(MATCH(A68,Products!$A$5:$A$204,0),"")))</f>
        <v/>
      </c>
      <c r="L68">
        <f>IF(A68="","",IF(K68="","⚠ not in Products",INDEX(Products!$A$5:$A$204,K68)))</f>
        <v/>
      </c>
      <c r="M68" s="11">
        <f>IF(A68="","",J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68+IFERROR(INDEX(Settings!$D$5:$D$9,MATCH("Etsy",Settings!$A$5:$A$9,0)),0)*D68)</f>
        <v/>
      </c>
      <c r="N68" s="11">
        <f>IF(A68="","",IF(K68="",0,D68*INDEX(Products!$I$5:$I$204,K68)))</f>
        <v/>
      </c>
      <c r="O68" s="11">
        <f>IF(A68="","",IF(K68="",0,J68*INDEX(Products!$H$5:$H$204,K68)))</f>
        <v/>
      </c>
      <c r="P68" s="11">
        <f>IF(A68="","",J68-M68-N68-O68)</f>
        <v/>
      </c>
    </row>
    <row r="69">
      <c r="A69">
        <f>IFERROR(INDEX('Etsy Import'!$A:$CZ,69,Settings!$C$20)&amp;"","")</f>
        <v/>
      </c>
      <c r="B69">
        <f>IFERROR(INDEX('Etsy Import'!$A:$CZ,69,Settings!$C$21)&amp;"","")</f>
        <v/>
      </c>
      <c r="C69">
        <f>IFERROR(INDEX('Etsy Import'!$A:$CZ,69,Settings!$C$22)&amp;"","")</f>
        <v/>
      </c>
      <c r="D69">
        <f>IF(A69="","",IFERROR(VALUE(SUBSTITUTE(SUBSTITUTE(INDEX('Etsy Import'!$A:$CZ,69,Settings!$C$23)&amp;"","$",""),",","")),0))</f>
        <v/>
      </c>
      <c r="E69" s="11">
        <f>IF(A69="","",IFERROR(VALUE(SUBSTITUTE(SUBSTITUTE(INDEX('Etsy Import'!$A:$CZ,69,Settings!$C$24)&amp;"","$",""),",","")),0))</f>
        <v/>
      </c>
      <c r="F69" s="11">
        <f>IF(A69="","",D69*E69)</f>
        <v/>
      </c>
      <c r="G69">
        <f>IF(A69="","",IF(C69="",1,COUNTIF($C$2:$C$1501,C69)))</f>
        <v/>
      </c>
      <c r="H69" s="11">
        <f>IF(A69="","",IFERROR(VALUE(SUBSTITUTE(SUBSTITUTE(INDEX('Etsy Import'!$A:$CZ,69,Settings!$C$25)&amp;"","$",""),",","")),0)/IF(Settings!$B$27="Yes",G69,1))</f>
        <v/>
      </c>
      <c r="I69" s="11">
        <f>IF(A69="","",IFERROR(VALUE(SUBSTITUTE(SUBSTITUTE(INDEX('Etsy Import'!$A:$CZ,69,Settings!$C$26)&amp;"","$",""),",","")),0)/IF(Settings!$B$27="Yes",G69,1))</f>
        <v/>
      </c>
      <c r="J69" s="11">
        <f>IF(A69="","",F69+H69-I69)</f>
        <v/>
      </c>
      <c r="K69">
        <f>IF(A69="","",IFERROR(IF(B69="",NA(),MATCH(B69,Products!$B$5:$B$204,0)),IFERROR(MATCH(A69,Products!$A$5:$A$204,0),"")))</f>
        <v/>
      </c>
      <c r="L69">
        <f>IF(A69="","",IF(K69="","⚠ not in Products",INDEX(Products!$A$5:$A$204,K69)))</f>
        <v/>
      </c>
      <c r="M69" s="11">
        <f>IF(A69="","",J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69+IFERROR(INDEX(Settings!$D$5:$D$9,MATCH("Etsy",Settings!$A$5:$A$9,0)),0)*D69)</f>
        <v/>
      </c>
      <c r="N69" s="11">
        <f>IF(A69="","",IF(K69="",0,D69*INDEX(Products!$I$5:$I$204,K69)))</f>
        <v/>
      </c>
      <c r="O69" s="11">
        <f>IF(A69="","",IF(K69="",0,J69*INDEX(Products!$H$5:$H$204,K69)))</f>
        <v/>
      </c>
      <c r="P69" s="11">
        <f>IF(A69="","",J69-M69-N69-O69)</f>
        <v/>
      </c>
    </row>
    <row r="70">
      <c r="A70">
        <f>IFERROR(INDEX('Etsy Import'!$A:$CZ,70,Settings!$C$20)&amp;"","")</f>
        <v/>
      </c>
      <c r="B70">
        <f>IFERROR(INDEX('Etsy Import'!$A:$CZ,70,Settings!$C$21)&amp;"","")</f>
        <v/>
      </c>
      <c r="C70">
        <f>IFERROR(INDEX('Etsy Import'!$A:$CZ,70,Settings!$C$22)&amp;"","")</f>
        <v/>
      </c>
      <c r="D70">
        <f>IF(A70="","",IFERROR(VALUE(SUBSTITUTE(SUBSTITUTE(INDEX('Etsy Import'!$A:$CZ,70,Settings!$C$23)&amp;"","$",""),",","")),0))</f>
        <v/>
      </c>
      <c r="E70" s="11">
        <f>IF(A70="","",IFERROR(VALUE(SUBSTITUTE(SUBSTITUTE(INDEX('Etsy Import'!$A:$CZ,70,Settings!$C$24)&amp;"","$",""),",","")),0))</f>
        <v/>
      </c>
      <c r="F70" s="11">
        <f>IF(A70="","",D70*E70)</f>
        <v/>
      </c>
      <c r="G70">
        <f>IF(A70="","",IF(C70="",1,COUNTIF($C$2:$C$1501,C70)))</f>
        <v/>
      </c>
      <c r="H70" s="11">
        <f>IF(A70="","",IFERROR(VALUE(SUBSTITUTE(SUBSTITUTE(INDEX('Etsy Import'!$A:$CZ,70,Settings!$C$25)&amp;"","$",""),",","")),0)/IF(Settings!$B$27="Yes",G70,1))</f>
        <v/>
      </c>
      <c r="I70" s="11">
        <f>IF(A70="","",IFERROR(VALUE(SUBSTITUTE(SUBSTITUTE(INDEX('Etsy Import'!$A:$CZ,70,Settings!$C$26)&amp;"","$",""),",","")),0)/IF(Settings!$B$27="Yes",G70,1))</f>
        <v/>
      </c>
      <c r="J70" s="11">
        <f>IF(A70="","",F70+H70-I70)</f>
        <v/>
      </c>
      <c r="K70">
        <f>IF(A70="","",IFERROR(IF(B70="",NA(),MATCH(B70,Products!$B$5:$B$204,0)),IFERROR(MATCH(A70,Products!$A$5:$A$204,0),"")))</f>
        <v/>
      </c>
      <c r="L70">
        <f>IF(A70="","",IF(K70="","⚠ not in Products",INDEX(Products!$A$5:$A$204,K70)))</f>
        <v/>
      </c>
      <c r="M70" s="11">
        <f>IF(A70="","",J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70+IFERROR(INDEX(Settings!$D$5:$D$9,MATCH("Etsy",Settings!$A$5:$A$9,0)),0)*D70)</f>
        <v/>
      </c>
      <c r="N70" s="11">
        <f>IF(A70="","",IF(K70="",0,D70*INDEX(Products!$I$5:$I$204,K70)))</f>
        <v/>
      </c>
      <c r="O70" s="11">
        <f>IF(A70="","",IF(K70="",0,J70*INDEX(Products!$H$5:$H$204,K70)))</f>
        <v/>
      </c>
      <c r="P70" s="11">
        <f>IF(A70="","",J70-M70-N70-O70)</f>
        <v/>
      </c>
    </row>
    <row r="71">
      <c r="A71">
        <f>IFERROR(INDEX('Etsy Import'!$A:$CZ,71,Settings!$C$20)&amp;"","")</f>
        <v/>
      </c>
      <c r="B71">
        <f>IFERROR(INDEX('Etsy Import'!$A:$CZ,71,Settings!$C$21)&amp;"","")</f>
        <v/>
      </c>
      <c r="C71">
        <f>IFERROR(INDEX('Etsy Import'!$A:$CZ,71,Settings!$C$22)&amp;"","")</f>
        <v/>
      </c>
      <c r="D71">
        <f>IF(A71="","",IFERROR(VALUE(SUBSTITUTE(SUBSTITUTE(INDEX('Etsy Import'!$A:$CZ,71,Settings!$C$23)&amp;"","$",""),",","")),0))</f>
        <v/>
      </c>
      <c r="E71" s="11">
        <f>IF(A71="","",IFERROR(VALUE(SUBSTITUTE(SUBSTITUTE(INDEX('Etsy Import'!$A:$CZ,71,Settings!$C$24)&amp;"","$",""),",","")),0))</f>
        <v/>
      </c>
      <c r="F71" s="11">
        <f>IF(A71="","",D71*E71)</f>
        <v/>
      </c>
      <c r="G71">
        <f>IF(A71="","",IF(C71="",1,COUNTIF($C$2:$C$1501,C71)))</f>
        <v/>
      </c>
      <c r="H71" s="11">
        <f>IF(A71="","",IFERROR(VALUE(SUBSTITUTE(SUBSTITUTE(INDEX('Etsy Import'!$A:$CZ,71,Settings!$C$25)&amp;"","$",""),",","")),0)/IF(Settings!$B$27="Yes",G71,1))</f>
        <v/>
      </c>
      <c r="I71" s="11">
        <f>IF(A71="","",IFERROR(VALUE(SUBSTITUTE(SUBSTITUTE(INDEX('Etsy Import'!$A:$CZ,71,Settings!$C$26)&amp;"","$",""),",","")),0)/IF(Settings!$B$27="Yes",G71,1))</f>
        <v/>
      </c>
      <c r="J71" s="11">
        <f>IF(A71="","",F71+H71-I71)</f>
        <v/>
      </c>
      <c r="K71">
        <f>IF(A71="","",IFERROR(IF(B71="",NA(),MATCH(B71,Products!$B$5:$B$204,0)),IFERROR(MATCH(A71,Products!$A$5:$A$204,0),"")))</f>
        <v/>
      </c>
      <c r="L71">
        <f>IF(A71="","",IF(K71="","⚠ not in Products",INDEX(Products!$A$5:$A$204,K71)))</f>
        <v/>
      </c>
      <c r="M71" s="11">
        <f>IF(A71="","",J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71+IFERROR(INDEX(Settings!$D$5:$D$9,MATCH("Etsy",Settings!$A$5:$A$9,0)),0)*D71)</f>
        <v/>
      </c>
      <c r="N71" s="11">
        <f>IF(A71="","",IF(K71="",0,D71*INDEX(Products!$I$5:$I$204,K71)))</f>
        <v/>
      </c>
      <c r="O71" s="11">
        <f>IF(A71="","",IF(K71="",0,J71*INDEX(Products!$H$5:$H$204,K71)))</f>
        <v/>
      </c>
      <c r="P71" s="11">
        <f>IF(A71="","",J71-M71-N71-O71)</f>
        <v/>
      </c>
    </row>
    <row r="72">
      <c r="A72">
        <f>IFERROR(INDEX('Etsy Import'!$A:$CZ,72,Settings!$C$20)&amp;"","")</f>
        <v/>
      </c>
      <c r="B72">
        <f>IFERROR(INDEX('Etsy Import'!$A:$CZ,72,Settings!$C$21)&amp;"","")</f>
        <v/>
      </c>
      <c r="C72">
        <f>IFERROR(INDEX('Etsy Import'!$A:$CZ,72,Settings!$C$22)&amp;"","")</f>
        <v/>
      </c>
      <c r="D72">
        <f>IF(A72="","",IFERROR(VALUE(SUBSTITUTE(SUBSTITUTE(INDEX('Etsy Import'!$A:$CZ,72,Settings!$C$23)&amp;"","$",""),",","")),0))</f>
        <v/>
      </c>
      <c r="E72" s="11">
        <f>IF(A72="","",IFERROR(VALUE(SUBSTITUTE(SUBSTITUTE(INDEX('Etsy Import'!$A:$CZ,72,Settings!$C$24)&amp;"","$",""),",","")),0))</f>
        <v/>
      </c>
      <c r="F72" s="11">
        <f>IF(A72="","",D72*E72)</f>
        <v/>
      </c>
      <c r="G72">
        <f>IF(A72="","",IF(C72="",1,COUNTIF($C$2:$C$1501,C72)))</f>
        <v/>
      </c>
      <c r="H72" s="11">
        <f>IF(A72="","",IFERROR(VALUE(SUBSTITUTE(SUBSTITUTE(INDEX('Etsy Import'!$A:$CZ,72,Settings!$C$25)&amp;"","$",""),",","")),0)/IF(Settings!$B$27="Yes",G72,1))</f>
        <v/>
      </c>
      <c r="I72" s="11">
        <f>IF(A72="","",IFERROR(VALUE(SUBSTITUTE(SUBSTITUTE(INDEX('Etsy Import'!$A:$CZ,72,Settings!$C$26)&amp;"","$",""),",","")),0)/IF(Settings!$B$27="Yes",G72,1))</f>
        <v/>
      </c>
      <c r="J72" s="11">
        <f>IF(A72="","",F72+H72-I72)</f>
        <v/>
      </c>
      <c r="K72">
        <f>IF(A72="","",IFERROR(IF(B72="",NA(),MATCH(B72,Products!$B$5:$B$204,0)),IFERROR(MATCH(A72,Products!$A$5:$A$204,0),"")))</f>
        <v/>
      </c>
      <c r="L72">
        <f>IF(A72="","",IF(K72="","⚠ not in Products",INDEX(Products!$A$5:$A$204,K72)))</f>
        <v/>
      </c>
      <c r="M72" s="11">
        <f>IF(A72="","",J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72+IFERROR(INDEX(Settings!$D$5:$D$9,MATCH("Etsy",Settings!$A$5:$A$9,0)),0)*D72)</f>
        <v/>
      </c>
      <c r="N72" s="11">
        <f>IF(A72="","",IF(K72="",0,D72*INDEX(Products!$I$5:$I$204,K72)))</f>
        <v/>
      </c>
      <c r="O72" s="11">
        <f>IF(A72="","",IF(K72="",0,J72*INDEX(Products!$H$5:$H$204,K72)))</f>
        <v/>
      </c>
      <c r="P72" s="11">
        <f>IF(A72="","",J72-M72-N72-O72)</f>
        <v/>
      </c>
    </row>
    <row r="73">
      <c r="A73">
        <f>IFERROR(INDEX('Etsy Import'!$A:$CZ,73,Settings!$C$20)&amp;"","")</f>
        <v/>
      </c>
      <c r="B73">
        <f>IFERROR(INDEX('Etsy Import'!$A:$CZ,73,Settings!$C$21)&amp;"","")</f>
        <v/>
      </c>
      <c r="C73">
        <f>IFERROR(INDEX('Etsy Import'!$A:$CZ,73,Settings!$C$22)&amp;"","")</f>
        <v/>
      </c>
      <c r="D73">
        <f>IF(A73="","",IFERROR(VALUE(SUBSTITUTE(SUBSTITUTE(INDEX('Etsy Import'!$A:$CZ,73,Settings!$C$23)&amp;"","$",""),",","")),0))</f>
        <v/>
      </c>
      <c r="E73" s="11">
        <f>IF(A73="","",IFERROR(VALUE(SUBSTITUTE(SUBSTITUTE(INDEX('Etsy Import'!$A:$CZ,73,Settings!$C$24)&amp;"","$",""),",","")),0))</f>
        <v/>
      </c>
      <c r="F73" s="11">
        <f>IF(A73="","",D73*E73)</f>
        <v/>
      </c>
      <c r="G73">
        <f>IF(A73="","",IF(C73="",1,COUNTIF($C$2:$C$1501,C73)))</f>
        <v/>
      </c>
      <c r="H73" s="11">
        <f>IF(A73="","",IFERROR(VALUE(SUBSTITUTE(SUBSTITUTE(INDEX('Etsy Import'!$A:$CZ,73,Settings!$C$25)&amp;"","$",""),",","")),0)/IF(Settings!$B$27="Yes",G73,1))</f>
        <v/>
      </c>
      <c r="I73" s="11">
        <f>IF(A73="","",IFERROR(VALUE(SUBSTITUTE(SUBSTITUTE(INDEX('Etsy Import'!$A:$CZ,73,Settings!$C$26)&amp;"","$",""),",","")),0)/IF(Settings!$B$27="Yes",G73,1))</f>
        <v/>
      </c>
      <c r="J73" s="11">
        <f>IF(A73="","",F73+H73-I73)</f>
        <v/>
      </c>
      <c r="K73">
        <f>IF(A73="","",IFERROR(IF(B73="",NA(),MATCH(B73,Products!$B$5:$B$204,0)),IFERROR(MATCH(A73,Products!$A$5:$A$204,0),"")))</f>
        <v/>
      </c>
      <c r="L73">
        <f>IF(A73="","",IF(K73="","⚠ not in Products",INDEX(Products!$A$5:$A$204,K73)))</f>
        <v/>
      </c>
      <c r="M73" s="11">
        <f>IF(A73="","",J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73+IFERROR(INDEX(Settings!$D$5:$D$9,MATCH("Etsy",Settings!$A$5:$A$9,0)),0)*D73)</f>
        <v/>
      </c>
      <c r="N73" s="11">
        <f>IF(A73="","",IF(K73="",0,D73*INDEX(Products!$I$5:$I$204,K73)))</f>
        <v/>
      </c>
      <c r="O73" s="11">
        <f>IF(A73="","",IF(K73="",0,J73*INDEX(Products!$H$5:$H$204,K73)))</f>
        <v/>
      </c>
      <c r="P73" s="11">
        <f>IF(A73="","",J73-M73-N73-O73)</f>
        <v/>
      </c>
    </row>
    <row r="74">
      <c r="A74">
        <f>IFERROR(INDEX('Etsy Import'!$A:$CZ,74,Settings!$C$20)&amp;"","")</f>
        <v/>
      </c>
      <c r="B74">
        <f>IFERROR(INDEX('Etsy Import'!$A:$CZ,74,Settings!$C$21)&amp;"","")</f>
        <v/>
      </c>
      <c r="C74">
        <f>IFERROR(INDEX('Etsy Import'!$A:$CZ,74,Settings!$C$22)&amp;"","")</f>
        <v/>
      </c>
      <c r="D74">
        <f>IF(A74="","",IFERROR(VALUE(SUBSTITUTE(SUBSTITUTE(INDEX('Etsy Import'!$A:$CZ,74,Settings!$C$23)&amp;"","$",""),",","")),0))</f>
        <v/>
      </c>
      <c r="E74" s="11">
        <f>IF(A74="","",IFERROR(VALUE(SUBSTITUTE(SUBSTITUTE(INDEX('Etsy Import'!$A:$CZ,74,Settings!$C$24)&amp;"","$",""),",","")),0))</f>
        <v/>
      </c>
      <c r="F74" s="11">
        <f>IF(A74="","",D74*E74)</f>
        <v/>
      </c>
      <c r="G74">
        <f>IF(A74="","",IF(C74="",1,COUNTIF($C$2:$C$1501,C74)))</f>
        <v/>
      </c>
      <c r="H74" s="11">
        <f>IF(A74="","",IFERROR(VALUE(SUBSTITUTE(SUBSTITUTE(INDEX('Etsy Import'!$A:$CZ,74,Settings!$C$25)&amp;"","$",""),",","")),0)/IF(Settings!$B$27="Yes",G74,1))</f>
        <v/>
      </c>
      <c r="I74" s="11">
        <f>IF(A74="","",IFERROR(VALUE(SUBSTITUTE(SUBSTITUTE(INDEX('Etsy Import'!$A:$CZ,74,Settings!$C$26)&amp;"","$",""),",","")),0)/IF(Settings!$B$27="Yes",G74,1))</f>
        <v/>
      </c>
      <c r="J74" s="11">
        <f>IF(A74="","",F74+H74-I74)</f>
        <v/>
      </c>
      <c r="K74">
        <f>IF(A74="","",IFERROR(IF(B74="",NA(),MATCH(B74,Products!$B$5:$B$204,0)),IFERROR(MATCH(A74,Products!$A$5:$A$204,0),"")))</f>
        <v/>
      </c>
      <c r="L74">
        <f>IF(A74="","",IF(K74="","⚠ not in Products",INDEX(Products!$A$5:$A$204,K74)))</f>
        <v/>
      </c>
      <c r="M74" s="11">
        <f>IF(A74="","",J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74+IFERROR(INDEX(Settings!$D$5:$D$9,MATCH("Etsy",Settings!$A$5:$A$9,0)),0)*D74)</f>
        <v/>
      </c>
      <c r="N74" s="11">
        <f>IF(A74="","",IF(K74="",0,D74*INDEX(Products!$I$5:$I$204,K74)))</f>
        <v/>
      </c>
      <c r="O74" s="11">
        <f>IF(A74="","",IF(K74="",0,J74*INDEX(Products!$H$5:$H$204,K74)))</f>
        <v/>
      </c>
      <c r="P74" s="11">
        <f>IF(A74="","",J74-M74-N74-O74)</f>
        <v/>
      </c>
    </row>
    <row r="75">
      <c r="A75">
        <f>IFERROR(INDEX('Etsy Import'!$A:$CZ,75,Settings!$C$20)&amp;"","")</f>
        <v/>
      </c>
      <c r="B75">
        <f>IFERROR(INDEX('Etsy Import'!$A:$CZ,75,Settings!$C$21)&amp;"","")</f>
        <v/>
      </c>
      <c r="C75">
        <f>IFERROR(INDEX('Etsy Import'!$A:$CZ,75,Settings!$C$22)&amp;"","")</f>
        <v/>
      </c>
      <c r="D75">
        <f>IF(A75="","",IFERROR(VALUE(SUBSTITUTE(SUBSTITUTE(INDEX('Etsy Import'!$A:$CZ,75,Settings!$C$23)&amp;"","$",""),",","")),0))</f>
        <v/>
      </c>
      <c r="E75" s="11">
        <f>IF(A75="","",IFERROR(VALUE(SUBSTITUTE(SUBSTITUTE(INDEX('Etsy Import'!$A:$CZ,75,Settings!$C$24)&amp;"","$",""),",","")),0))</f>
        <v/>
      </c>
      <c r="F75" s="11">
        <f>IF(A75="","",D75*E75)</f>
        <v/>
      </c>
      <c r="G75">
        <f>IF(A75="","",IF(C75="",1,COUNTIF($C$2:$C$1501,C75)))</f>
        <v/>
      </c>
      <c r="H75" s="11">
        <f>IF(A75="","",IFERROR(VALUE(SUBSTITUTE(SUBSTITUTE(INDEX('Etsy Import'!$A:$CZ,75,Settings!$C$25)&amp;"","$",""),",","")),0)/IF(Settings!$B$27="Yes",G75,1))</f>
        <v/>
      </c>
      <c r="I75" s="11">
        <f>IF(A75="","",IFERROR(VALUE(SUBSTITUTE(SUBSTITUTE(INDEX('Etsy Import'!$A:$CZ,75,Settings!$C$26)&amp;"","$",""),",","")),0)/IF(Settings!$B$27="Yes",G75,1))</f>
        <v/>
      </c>
      <c r="J75" s="11">
        <f>IF(A75="","",F75+H75-I75)</f>
        <v/>
      </c>
      <c r="K75">
        <f>IF(A75="","",IFERROR(IF(B75="",NA(),MATCH(B75,Products!$B$5:$B$204,0)),IFERROR(MATCH(A75,Products!$A$5:$A$204,0),"")))</f>
        <v/>
      </c>
      <c r="L75">
        <f>IF(A75="","",IF(K75="","⚠ not in Products",INDEX(Products!$A$5:$A$204,K75)))</f>
        <v/>
      </c>
      <c r="M75" s="11">
        <f>IF(A75="","",J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75+IFERROR(INDEX(Settings!$D$5:$D$9,MATCH("Etsy",Settings!$A$5:$A$9,0)),0)*D75)</f>
        <v/>
      </c>
      <c r="N75" s="11">
        <f>IF(A75="","",IF(K75="",0,D75*INDEX(Products!$I$5:$I$204,K75)))</f>
        <v/>
      </c>
      <c r="O75" s="11">
        <f>IF(A75="","",IF(K75="",0,J75*INDEX(Products!$H$5:$H$204,K75)))</f>
        <v/>
      </c>
      <c r="P75" s="11">
        <f>IF(A75="","",J75-M75-N75-O75)</f>
        <v/>
      </c>
    </row>
    <row r="76">
      <c r="A76">
        <f>IFERROR(INDEX('Etsy Import'!$A:$CZ,76,Settings!$C$20)&amp;"","")</f>
        <v/>
      </c>
      <c r="B76">
        <f>IFERROR(INDEX('Etsy Import'!$A:$CZ,76,Settings!$C$21)&amp;"","")</f>
        <v/>
      </c>
      <c r="C76">
        <f>IFERROR(INDEX('Etsy Import'!$A:$CZ,76,Settings!$C$22)&amp;"","")</f>
        <v/>
      </c>
      <c r="D76">
        <f>IF(A76="","",IFERROR(VALUE(SUBSTITUTE(SUBSTITUTE(INDEX('Etsy Import'!$A:$CZ,76,Settings!$C$23)&amp;"","$",""),",","")),0))</f>
        <v/>
      </c>
      <c r="E76" s="11">
        <f>IF(A76="","",IFERROR(VALUE(SUBSTITUTE(SUBSTITUTE(INDEX('Etsy Import'!$A:$CZ,76,Settings!$C$24)&amp;"","$",""),",","")),0))</f>
        <v/>
      </c>
      <c r="F76" s="11">
        <f>IF(A76="","",D76*E76)</f>
        <v/>
      </c>
      <c r="G76">
        <f>IF(A76="","",IF(C76="",1,COUNTIF($C$2:$C$1501,C76)))</f>
        <v/>
      </c>
      <c r="H76" s="11">
        <f>IF(A76="","",IFERROR(VALUE(SUBSTITUTE(SUBSTITUTE(INDEX('Etsy Import'!$A:$CZ,76,Settings!$C$25)&amp;"","$",""),",","")),0)/IF(Settings!$B$27="Yes",G76,1))</f>
        <v/>
      </c>
      <c r="I76" s="11">
        <f>IF(A76="","",IFERROR(VALUE(SUBSTITUTE(SUBSTITUTE(INDEX('Etsy Import'!$A:$CZ,76,Settings!$C$26)&amp;"","$",""),",","")),0)/IF(Settings!$B$27="Yes",G76,1))</f>
        <v/>
      </c>
      <c r="J76" s="11">
        <f>IF(A76="","",F76+H76-I76)</f>
        <v/>
      </c>
      <c r="K76">
        <f>IF(A76="","",IFERROR(IF(B76="",NA(),MATCH(B76,Products!$B$5:$B$204,0)),IFERROR(MATCH(A76,Products!$A$5:$A$204,0),"")))</f>
        <v/>
      </c>
      <c r="L76">
        <f>IF(A76="","",IF(K76="","⚠ not in Products",INDEX(Products!$A$5:$A$204,K76)))</f>
        <v/>
      </c>
      <c r="M76" s="11">
        <f>IF(A76="","",J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76+IFERROR(INDEX(Settings!$D$5:$D$9,MATCH("Etsy",Settings!$A$5:$A$9,0)),0)*D76)</f>
        <v/>
      </c>
      <c r="N76" s="11">
        <f>IF(A76="","",IF(K76="",0,D76*INDEX(Products!$I$5:$I$204,K76)))</f>
        <v/>
      </c>
      <c r="O76" s="11">
        <f>IF(A76="","",IF(K76="",0,J76*INDEX(Products!$H$5:$H$204,K76)))</f>
        <v/>
      </c>
      <c r="P76" s="11">
        <f>IF(A76="","",J76-M76-N76-O76)</f>
        <v/>
      </c>
    </row>
    <row r="77">
      <c r="A77">
        <f>IFERROR(INDEX('Etsy Import'!$A:$CZ,77,Settings!$C$20)&amp;"","")</f>
        <v/>
      </c>
      <c r="B77">
        <f>IFERROR(INDEX('Etsy Import'!$A:$CZ,77,Settings!$C$21)&amp;"","")</f>
        <v/>
      </c>
      <c r="C77">
        <f>IFERROR(INDEX('Etsy Import'!$A:$CZ,77,Settings!$C$22)&amp;"","")</f>
        <v/>
      </c>
      <c r="D77">
        <f>IF(A77="","",IFERROR(VALUE(SUBSTITUTE(SUBSTITUTE(INDEX('Etsy Import'!$A:$CZ,77,Settings!$C$23)&amp;"","$",""),",","")),0))</f>
        <v/>
      </c>
      <c r="E77" s="11">
        <f>IF(A77="","",IFERROR(VALUE(SUBSTITUTE(SUBSTITUTE(INDEX('Etsy Import'!$A:$CZ,77,Settings!$C$24)&amp;"","$",""),",","")),0))</f>
        <v/>
      </c>
      <c r="F77" s="11">
        <f>IF(A77="","",D77*E77)</f>
        <v/>
      </c>
      <c r="G77">
        <f>IF(A77="","",IF(C77="",1,COUNTIF($C$2:$C$1501,C77)))</f>
        <v/>
      </c>
      <c r="H77" s="11">
        <f>IF(A77="","",IFERROR(VALUE(SUBSTITUTE(SUBSTITUTE(INDEX('Etsy Import'!$A:$CZ,77,Settings!$C$25)&amp;"","$",""),",","")),0)/IF(Settings!$B$27="Yes",G77,1))</f>
        <v/>
      </c>
      <c r="I77" s="11">
        <f>IF(A77="","",IFERROR(VALUE(SUBSTITUTE(SUBSTITUTE(INDEX('Etsy Import'!$A:$CZ,77,Settings!$C$26)&amp;"","$",""),",","")),0)/IF(Settings!$B$27="Yes",G77,1))</f>
        <v/>
      </c>
      <c r="J77" s="11">
        <f>IF(A77="","",F77+H77-I77)</f>
        <v/>
      </c>
      <c r="K77">
        <f>IF(A77="","",IFERROR(IF(B77="",NA(),MATCH(B77,Products!$B$5:$B$204,0)),IFERROR(MATCH(A77,Products!$A$5:$A$204,0),"")))</f>
        <v/>
      </c>
      <c r="L77">
        <f>IF(A77="","",IF(K77="","⚠ not in Products",INDEX(Products!$A$5:$A$204,K77)))</f>
        <v/>
      </c>
      <c r="M77" s="11">
        <f>IF(A77="","",J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77+IFERROR(INDEX(Settings!$D$5:$D$9,MATCH("Etsy",Settings!$A$5:$A$9,0)),0)*D77)</f>
        <v/>
      </c>
      <c r="N77" s="11">
        <f>IF(A77="","",IF(K77="",0,D77*INDEX(Products!$I$5:$I$204,K77)))</f>
        <v/>
      </c>
      <c r="O77" s="11">
        <f>IF(A77="","",IF(K77="",0,J77*INDEX(Products!$H$5:$H$204,K77)))</f>
        <v/>
      </c>
      <c r="P77" s="11">
        <f>IF(A77="","",J77-M77-N77-O77)</f>
        <v/>
      </c>
    </row>
    <row r="78">
      <c r="A78">
        <f>IFERROR(INDEX('Etsy Import'!$A:$CZ,78,Settings!$C$20)&amp;"","")</f>
        <v/>
      </c>
      <c r="B78">
        <f>IFERROR(INDEX('Etsy Import'!$A:$CZ,78,Settings!$C$21)&amp;"","")</f>
        <v/>
      </c>
      <c r="C78">
        <f>IFERROR(INDEX('Etsy Import'!$A:$CZ,78,Settings!$C$22)&amp;"","")</f>
        <v/>
      </c>
      <c r="D78">
        <f>IF(A78="","",IFERROR(VALUE(SUBSTITUTE(SUBSTITUTE(INDEX('Etsy Import'!$A:$CZ,78,Settings!$C$23)&amp;"","$",""),",","")),0))</f>
        <v/>
      </c>
      <c r="E78" s="11">
        <f>IF(A78="","",IFERROR(VALUE(SUBSTITUTE(SUBSTITUTE(INDEX('Etsy Import'!$A:$CZ,78,Settings!$C$24)&amp;"","$",""),",","")),0))</f>
        <v/>
      </c>
      <c r="F78" s="11">
        <f>IF(A78="","",D78*E78)</f>
        <v/>
      </c>
      <c r="G78">
        <f>IF(A78="","",IF(C78="",1,COUNTIF($C$2:$C$1501,C78)))</f>
        <v/>
      </c>
      <c r="H78" s="11">
        <f>IF(A78="","",IFERROR(VALUE(SUBSTITUTE(SUBSTITUTE(INDEX('Etsy Import'!$A:$CZ,78,Settings!$C$25)&amp;"","$",""),",","")),0)/IF(Settings!$B$27="Yes",G78,1))</f>
        <v/>
      </c>
      <c r="I78" s="11">
        <f>IF(A78="","",IFERROR(VALUE(SUBSTITUTE(SUBSTITUTE(INDEX('Etsy Import'!$A:$CZ,78,Settings!$C$26)&amp;"","$",""),",","")),0)/IF(Settings!$B$27="Yes",G78,1))</f>
        <v/>
      </c>
      <c r="J78" s="11">
        <f>IF(A78="","",F78+H78-I78)</f>
        <v/>
      </c>
      <c r="K78">
        <f>IF(A78="","",IFERROR(IF(B78="",NA(),MATCH(B78,Products!$B$5:$B$204,0)),IFERROR(MATCH(A78,Products!$A$5:$A$204,0),"")))</f>
        <v/>
      </c>
      <c r="L78">
        <f>IF(A78="","",IF(K78="","⚠ not in Products",INDEX(Products!$A$5:$A$204,K78)))</f>
        <v/>
      </c>
      <c r="M78" s="11">
        <f>IF(A78="","",J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78+IFERROR(INDEX(Settings!$D$5:$D$9,MATCH("Etsy",Settings!$A$5:$A$9,0)),0)*D78)</f>
        <v/>
      </c>
      <c r="N78" s="11">
        <f>IF(A78="","",IF(K78="",0,D78*INDEX(Products!$I$5:$I$204,K78)))</f>
        <v/>
      </c>
      <c r="O78" s="11">
        <f>IF(A78="","",IF(K78="",0,J78*INDEX(Products!$H$5:$H$204,K78)))</f>
        <v/>
      </c>
      <c r="P78" s="11">
        <f>IF(A78="","",J78-M78-N78-O78)</f>
        <v/>
      </c>
    </row>
    <row r="79">
      <c r="A79">
        <f>IFERROR(INDEX('Etsy Import'!$A:$CZ,79,Settings!$C$20)&amp;"","")</f>
        <v/>
      </c>
      <c r="B79">
        <f>IFERROR(INDEX('Etsy Import'!$A:$CZ,79,Settings!$C$21)&amp;"","")</f>
        <v/>
      </c>
      <c r="C79">
        <f>IFERROR(INDEX('Etsy Import'!$A:$CZ,79,Settings!$C$22)&amp;"","")</f>
        <v/>
      </c>
      <c r="D79">
        <f>IF(A79="","",IFERROR(VALUE(SUBSTITUTE(SUBSTITUTE(INDEX('Etsy Import'!$A:$CZ,79,Settings!$C$23)&amp;"","$",""),",","")),0))</f>
        <v/>
      </c>
      <c r="E79" s="11">
        <f>IF(A79="","",IFERROR(VALUE(SUBSTITUTE(SUBSTITUTE(INDEX('Etsy Import'!$A:$CZ,79,Settings!$C$24)&amp;"","$",""),",","")),0))</f>
        <v/>
      </c>
      <c r="F79" s="11">
        <f>IF(A79="","",D79*E79)</f>
        <v/>
      </c>
      <c r="G79">
        <f>IF(A79="","",IF(C79="",1,COUNTIF($C$2:$C$1501,C79)))</f>
        <v/>
      </c>
      <c r="H79" s="11">
        <f>IF(A79="","",IFERROR(VALUE(SUBSTITUTE(SUBSTITUTE(INDEX('Etsy Import'!$A:$CZ,79,Settings!$C$25)&amp;"","$",""),",","")),0)/IF(Settings!$B$27="Yes",G79,1))</f>
        <v/>
      </c>
      <c r="I79" s="11">
        <f>IF(A79="","",IFERROR(VALUE(SUBSTITUTE(SUBSTITUTE(INDEX('Etsy Import'!$A:$CZ,79,Settings!$C$26)&amp;"","$",""),",","")),0)/IF(Settings!$B$27="Yes",G79,1))</f>
        <v/>
      </c>
      <c r="J79" s="11">
        <f>IF(A79="","",F79+H79-I79)</f>
        <v/>
      </c>
      <c r="K79">
        <f>IF(A79="","",IFERROR(IF(B79="",NA(),MATCH(B79,Products!$B$5:$B$204,0)),IFERROR(MATCH(A79,Products!$A$5:$A$204,0),"")))</f>
        <v/>
      </c>
      <c r="L79">
        <f>IF(A79="","",IF(K79="","⚠ not in Products",INDEX(Products!$A$5:$A$204,K79)))</f>
        <v/>
      </c>
      <c r="M79" s="11">
        <f>IF(A79="","",J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79+IFERROR(INDEX(Settings!$D$5:$D$9,MATCH("Etsy",Settings!$A$5:$A$9,0)),0)*D79)</f>
        <v/>
      </c>
      <c r="N79" s="11">
        <f>IF(A79="","",IF(K79="",0,D79*INDEX(Products!$I$5:$I$204,K79)))</f>
        <v/>
      </c>
      <c r="O79" s="11">
        <f>IF(A79="","",IF(K79="",0,J79*INDEX(Products!$H$5:$H$204,K79)))</f>
        <v/>
      </c>
      <c r="P79" s="11">
        <f>IF(A79="","",J79-M79-N79-O79)</f>
        <v/>
      </c>
    </row>
    <row r="80">
      <c r="A80">
        <f>IFERROR(INDEX('Etsy Import'!$A:$CZ,80,Settings!$C$20)&amp;"","")</f>
        <v/>
      </c>
      <c r="B80">
        <f>IFERROR(INDEX('Etsy Import'!$A:$CZ,80,Settings!$C$21)&amp;"","")</f>
        <v/>
      </c>
      <c r="C80">
        <f>IFERROR(INDEX('Etsy Import'!$A:$CZ,80,Settings!$C$22)&amp;"","")</f>
        <v/>
      </c>
      <c r="D80">
        <f>IF(A80="","",IFERROR(VALUE(SUBSTITUTE(SUBSTITUTE(INDEX('Etsy Import'!$A:$CZ,80,Settings!$C$23)&amp;"","$",""),",","")),0))</f>
        <v/>
      </c>
      <c r="E80" s="11">
        <f>IF(A80="","",IFERROR(VALUE(SUBSTITUTE(SUBSTITUTE(INDEX('Etsy Import'!$A:$CZ,80,Settings!$C$24)&amp;"","$",""),",","")),0))</f>
        <v/>
      </c>
      <c r="F80" s="11">
        <f>IF(A80="","",D80*E80)</f>
        <v/>
      </c>
      <c r="G80">
        <f>IF(A80="","",IF(C80="",1,COUNTIF($C$2:$C$1501,C80)))</f>
        <v/>
      </c>
      <c r="H80" s="11">
        <f>IF(A80="","",IFERROR(VALUE(SUBSTITUTE(SUBSTITUTE(INDEX('Etsy Import'!$A:$CZ,80,Settings!$C$25)&amp;"","$",""),",","")),0)/IF(Settings!$B$27="Yes",G80,1))</f>
        <v/>
      </c>
      <c r="I80" s="11">
        <f>IF(A80="","",IFERROR(VALUE(SUBSTITUTE(SUBSTITUTE(INDEX('Etsy Import'!$A:$CZ,80,Settings!$C$26)&amp;"","$",""),",","")),0)/IF(Settings!$B$27="Yes",G80,1))</f>
        <v/>
      </c>
      <c r="J80" s="11">
        <f>IF(A80="","",F80+H80-I80)</f>
        <v/>
      </c>
      <c r="K80">
        <f>IF(A80="","",IFERROR(IF(B80="",NA(),MATCH(B80,Products!$B$5:$B$204,0)),IFERROR(MATCH(A80,Products!$A$5:$A$204,0),"")))</f>
        <v/>
      </c>
      <c r="L80">
        <f>IF(A80="","",IF(K80="","⚠ not in Products",INDEX(Products!$A$5:$A$204,K80)))</f>
        <v/>
      </c>
      <c r="M80" s="11">
        <f>IF(A80="","",J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80+IFERROR(INDEX(Settings!$D$5:$D$9,MATCH("Etsy",Settings!$A$5:$A$9,0)),0)*D80)</f>
        <v/>
      </c>
      <c r="N80" s="11">
        <f>IF(A80="","",IF(K80="",0,D80*INDEX(Products!$I$5:$I$204,K80)))</f>
        <v/>
      </c>
      <c r="O80" s="11">
        <f>IF(A80="","",IF(K80="",0,J80*INDEX(Products!$H$5:$H$204,K80)))</f>
        <v/>
      </c>
      <c r="P80" s="11">
        <f>IF(A80="","",J80-M80-N80-O80)</f>
        <v/>
      </c>
    </row>
    <row r="81">
      <c r="A81">
        <f>IFERROR(INDEX('Etsy Import'!$A:$CZ,81,Settings!$C$20)&amp;"","")</f>
        <v/>
      </c>
      <c r="B81">
        <f>IFERROR(INDEX('Etsy Import'!$A:$CZ,81,Settings!$C$21)&amp;"","")</f>
        <v/>
      </c>
      <c r="C81">
        <f>IFERROR(INDEX('Etsy Import'!$A:$CZ,81,Settings!$C$22)&amp;"","")</f>
        <v/>
      </c>
      <c r="D81">
        <f>IF(A81="","",IFERROR(VALUE(SUBSTITUTE(SUBSTITUTE(INDEX('Etsy Import'!$A:$CZ,81,Settings!$C$23)&amp;"","$",""),",","")),0))</f>
        <v/>
      </c>
      <c r="E81" s="11">
        <f>IF(A81="","",IFERROR(VALUE(SUBSTITUTE(SUBSTITUTE(INDEX('Etsy Import'!$A:$CZ,81,Settings!$C$24)&amp;"","$",""),",","")),0))</f>
        <v/>
      </c>
      <c r="F81" s="11">
        <f>IF(A81="","",D81*E81)</f>
        <v/>
      </c>
      <c r="G81">
        <f>IF(A81="","",IF(C81="",1,COUNTIF($C$2:$C$1501,C81)))</f>
        <v/>
      </c>
      <c r="H81" s="11">
        <f>IF(A81="","",IFERROR(VALUE(SUBSTITUTE(SUBSTITUTE(INDEX('Etsy Import'!$A:$CZ,81,Settings!$C$25)&amp;"","$",""),",","")),0)/IF(Settings!$B$27="Yes",G81,1))</f>
        <v/>
      </c>
      <c r="I81" s="11">
        <f>IF(A81="","",IFERROR(VALUE(SUBSTITUTE(SUBSTITUTE(INDEX('Etsy Import'!$A:$CZ,81,Settings!$C$26)&amp;"","$",""),",","")),0)/IF(Settings!$B$27="Yes",G81,1))</f>
        <v/>
      </c>
      <c r="J81" s="11">
        <f>IF(A81="","",F81+H81-I81)</f>
        <v/>
      </c>
      <c r="K81">
        <f>IF(A81="","",IFERROR(IF(B81="",NA(),MATCH(B81,Products!$B$5:$B$204,0)),IFERROR(MATCH(A81,Products!$A$5:$A$204,0),"")))</f>
        <v/>
      </c>
      <c r="L81">
        <f>IF(A81="","",IF(K81="","⚠ not in Products",INDEX(Products!$A$5:$A$204,K81)))</f>
        <v/>
      </c>
      <c r="M81" s="11">
        <f>IF(A81="","",J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81+IFERROR(INDEX(Settings!$D$5:$D$9,MATCH("Etsy",Settings!$A$5:$A$9,0)),0)*D81)</f>
        <v/>
      </c>
      <c r="N81" s="11">
        <f>IF(A81="","",IF(K81="",0,D81*INDEX(Products!$I$5:$I$204,K81)))</f>
        <v/>
      </c>
      <c r="O81" s="11">
        <f>IF(A81="","",IF(K81="",0,J81*INDEX(Products!$H$5:$H$204,K81)))</f>
        <v/>
      </c>
      <c r="P81" s="11">
        <f>IF(A81="","",J81-M81-N81-O81)</f>
        <v/>
      </c>
    </row>
    <row r="82">
      <c r="A82">
        <f>IFERROR(INDEX('Etsy Import'!$A:$CZ,82,Settings!$C$20)&amp;"","")</f>
        <v/>
      </c>
      <c r="B82">
        <f>IFERROR(INDEX('Etsy Import'!$A:$CZ,82,Settings!$C$21)&amp;"","")</f>
        <v/>
      </c>
      <c r="C82">
        <f>IFERROR(INDEX('Etsy Import'!$A:$CZ,82,Settings!$C$22)&amp;"","")</f>
        <v/>
      </c>
      <c r="D82">
        <f>IF(A82="","",IFERROR(VALUE(SUBSTITUTE(SUBSTITUTE(INDEX('Etsy Import'!$A:$CZ,82,Settings!$C$23)&amp;"","$",""),",","")),0))</f>
        <v/>
      </c>
      <c r="E82" s="11">
        <f>IF(A82="","",IFERROR(VALUE(SUBSTITUTE(SUBSTITUTE(INDEX('Etsy Import'!$A:$CZ,82,Settings!$C$24)&amp;"","$",""),",","")),0))</f>
        <v/>
      </c>
      <c r="F82" s="11">
        <f>IF(A82="","",D82*E82)</f>
        <v/>
      </c>
      <c r="G82">
        <f>IF(A82="","",IF(C82="",1,COUNTIF($C$2:$C$1501,C82)))</f>
        <v/>
      </c>
      <c r="H82" s="11">
        <f>IF(A82="","",IFERROR(VALUE(SUBSTITUTE(SUBSTITUTE(INDEX('Etsy Import'!$A:$CZ,82,Settings!$C$25)&amp;"","$",""),",","")),0)/IF(Settings!$B$27="Yes",G82,1))</f>
        <v/>
      </c>
      <c r="I82" s="11">
        <f>IF(A82="","",IFERROR(VALUE(SUBSTITUTE(SUBSTITUTE(INDEX('Etsy Import'!$A:$CZ,82,Settings!$C$26)&amp;"","$",""),",","")),0)/IF(Settings!$B$27="Yes",G82,1))</f>
        <v/>
      </c>
      <c r="J82" s="11">
        <f>IF(A82="","",F82+H82-I82)</f>
        <v/>
      </c>
      <c r="K82">
        <f>IF(A82="","",IFERROR(IF(B82="",NA(),MATCH(B82,Products!$B$5:$B$204,0)),IFERROR(MATCH(A82,Products!$A$5:$A$204,0),"")))</f>
        <v/>
      </c>
      <c r="L82">
        <f>IF(A82="","",IF(K82="","⚠ not in Products",INDEX(Products!$A$5:$A$204,K82)))</f>
        <v/>
      </c>
      <c r="M82" s="11">
        <f>IF(A82="","",J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82+IFERROR(INDEX(Settings!$D$5:$D$9,MATCH("Etsy",Settings!$A$5:$A$9,0)),0)*D82)</f>
        <v/>
      </c>
      <c r="N82" s="11">
        <f>IF(A82="","",IF(K82="",0,D82*INDEX(Products!$I$5:$I$204,K82)))</f>
        <v/>
      </c>
      <c r="O82" s="11">
        <f>IF(A82="","",IF(K82="",0,J82*INDEX(Products!$H$5:$H$204,K82)))</f>
        <v/>
      </c>
      <c r="P82" s="11">
        <f>IF(A82="","",J82-M82-N82-O82)</f>
        <v/>
      </c>
    </row>
    <row r="83">
      <c r="A83">
        <f>IFERROR(INDEX('Etsy Import'!$A:$CZ,83,Settings!$C$20)&amp;"","")</f>
        <v/>
      </c>
      <c r="B83">
        <f>IFERROR(INDEX('Etsy Import'!$A:$CZ,83,Settings!$C$21)&amp;"","")</f>
        <v/>
      </c>
      <c r="C83">
        <f>IFERROR(INDEX('Etsy Import'!$A:$CZ,83,Settings!$C$22)&amp;"","")</f>
        <v/>
      </c>
      <c r="D83">
        <f>IF(A83="","",IFERROR(VALUE(SUBSTITUTE(SUBSTITUTE(INDEX('Etsy Import'!$A:$CZ,83,Settings!$C$23)&amp;"","$",""),",","")),0))</f>
        <v/>
      </c>
      <c r="E83" s="11">
        <f>IF(A83="","",IFERROR(VALUE(SUBSTITUTE(SUBSTITUTE(INDEX('Etsy Import'!$A:$CZ,83,Settings!$C$24)&amp;"","$",""),",","")),0))</f>
        <v/>
      </c>
      <c r="F83" s="11">
        <f>IF(A83="","",D83*E83)</f>
        <v/>
      </c>
      <c r="G83">
        <f>IF(A83="","",IF(C83="",1,COUNTIF($C$2:$C$1501,C83)))</f>
        <v/>
      </c>
      <c r="H83" s="11">
        <f>IF(A83="","",IFERROR(VALUE(SUBSTITUTE(SUBSTITUTE(INDEX('Etsy Import'!$A:$CZ,83,Settings!$C$25)&amp;"","$",""),",","")),0)/IF(Settings!$B$27="Yes",G83,1))</f>
        <v/>
      </c>
      <c r="I83" s="11">
        <f>IF(A83="","",IFERROR(VALUE(SUBSTITUTE(SUBSTITUTE(INDEX('Etsy Import'!$A:$CZ,83,Settings!$C$26)&amp;"","$",""),",","")),0)/IF(Settings!$B$27="Yes",G83,1))</f>
        <v/>
      </c>
      <c r="J83" s="11">
        <f>IF(A83="","",F83+H83-I83)</f>
        <v/>
      </c>
      <c r="K83">
        <f>IF(A83="","",IFERROR(IF(B83="",NA(),MATCH(B83,Products!$B$5:$B$204,0)),IFERROR(MATCH(A83,Products!$A$5:$A$204,0),"")))</f>
        <v/>
      </c>
      <c r="L83">
        <f>IF(A83="","",IF(K83="","⚠ not in Products",INDEX(Products!$A$5:$A$204,K83)))</f>
        <v/>
      </c>
      <c r="M83" s="11">
        <f>IF(A83="","",J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83+IFERROR(INDEX(Settings!$D$5:$D$9,MATCH("Etsy",Settings!$A$5:$A$9,0)),0)*D83)</f>
        <v/>
      </c>
      <c r="N83" s="11">
        <f>IF(A83="","",IF(K83="",0,D83*INDEX(Products!$I$5:$I$204,K83)))</f>
        <v/>
      </c>
      <c r="O83" s="11">
        <f>IF(A83="","",IF(K83="",0,J83*INDEX(Products!$H$5:$H$204,K83)))</f>
        <v/>
      </c>
      <c r="P83" s="11">
        <f>IF(A83="","",J83-M83-N83-O83)</f>
        <v/>
      </c>
    </row>
    <row r="84">
      <c r="A84">
        <f>IFERROR(INDEX('Etsy Import'!$A:$CZ,84,Settings!$C$20)&amp;"","")</f>
        <v/>
      </c>
      <c r="B84">
        <f>IFERROR(INDEX('Etsy Import'!$A:$CZ,84,Settings!$C$21)&amp;"","")</f>
        <v/>
      </c>
      <c r="C84">
        <f>IFERROR(INDEX('Etsy Import'!$A:$CZ,84,Settings!$C$22)&amp;"","")</f>
        <v/>
      </c>
      <c r="D84">
        <f>IF(A84="","",IFERROR(VALUE(SUBSTITUTE(SUBSTITUTE(INDEX('Etsy Import'!$A:$CZ,84,Settings!$C$23)&amp;"","$",""),",","")),0))</f>
        <v/>
      </c>
      <c r="E84" s="11">
        <f>IF(A84="","",IFERROR(VALUE(SUBSTITUTE(SUBSTITUTE(INDEX('Etsy Import'!$A:$CZ,84,Settings!$C$24)&amp;"","$",""),",","")),0))</f>
        <v/>
      </c>
      <c r="F84" s="11">
        <f>IF(A84="","",D84*E84)</f>
        <v/>
      </c>
      <c r="G84">
        <f>IF(A84="","",IF(C84="",1,COUNTIF($C$2:$C$1501,C84)))</f>
        <v/>
      </c>
      <c r="H84" s="11">
        <f>IF(A84="","",IFERROR(VALUE(SUBSTITUTE(SUBSTITUTE(INDEX('Etsy Import'!$A:$CZ,84,Settings!$C$25)&amp;"","$",""),",","")),0)/IF(Settings!$B$27="Yes",G84,1))</f>
        <v/>
      </c>
      <c r="I84" s="11">
        <f>IF(A84="","",IFERROR(VALUE(SUBSTITUTE(SUBSTITUTE(INDEX('Etsy Import'!$A:$CZ,84,Settings!$C$26)&amp;"","$",""),",","")),0)/IF(Settings!$B$27="Yes",G84,1))</f>
        <v/>
      </c>
      <c r="J84" s="11">
        <f>IF(A84="","",F84+H84-I84)</f>
        <v/>
      </c>
      <c r="K84">
        <f>IF(A84="","",IFERROR(IF(B84="",NA(),MATCH(B84,Products!$B$5:$B$204,0)),IFERROR(MATCH(A84,Products!$A$5:$A$204,0),"")))</f>
        <v/>
      </c>
      <c r="L84">
        <f>IF(A84="","",IF(K84="","⚠ not in Products",INDEX(Products!$A$5:$A$204,K84)))</f>
        <v/>
      </c>
      <c r="M84" s="11">
        <f>IF(A84="","",J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84+IFERROR(INDEX(Settings!$D$5:$D$9,MATCH("Etsy",Settings!$A$5:$A$9,0)),0)*D84)</f>
        <v/>
      </c>
      <c r="N84" s="11">
        <f>IF(A84="","",IF(K84="",0,D84*INDEX(Products!$I$5:$I$204,K84)))</f>
        <v/>
      </c>
      <c r="O84" s="11">
        <f>IF(A84="","",IF(K84="",0,J84*INDEX(Products!$H$5:$H$204,K84)))</f>
        <v/>
      </c>
      <c r="P84" s="11">
        <f>IF(A84="","",J84-M84-N84-O84)</f>
        <v/>
      </c>
    </row>
    <row r="85">
      <c r="A85">
        <f>IFERROR(INDEX('Etsy Import'!$A:$CZ,85,Settings!$C$20)&amp;"","")</f>
        <v/>
      </c>
      <c r="B85">
        <f>IFERROR(INDEX('Etsy Import'!$A:$CZ,85,Settings!$C$21)&amp;"","")</f>
        <v/>
      </c>
      <c r="C85">
        <f>IFERROR(INDEX('Etsy Import'!$A:$CZ,85,Settings!$C$22)&amp;"","")</f>
        <v/>
      </c>
      <c r="D85">
        <f>IF(A85="","",IFERROR(VALUE(SUBSTITUTE(SUBSTITUTE(INDEX('Etsy Import'!$A:$CZ,85,Settings!$C$23)&amp;"","$",""),",","")),0))</f>
        <v/>
      </c>
      <c r="E85" s="11">
        <f>IF(A85="","",IFERROR(VALUE(SUBSTITUTE(SUBSTITUTE(INDEX('Etsy Import'!$A:$CZ,85,Settings!$C$24)&amp;"","$",""),",","")),0))</f>
        <v/>
      </c>
      <c r="F85" s="11">
        <f>IF(A85="","",D85*E85)</f>
        <v/>
      </c>
      <c r="G85">
        <f>IF(A85="","",IF(C85="",1,COUNTIF($C$2:$C$1501,C85)))</f>
        <v/>
      </c>
      <c r="H85" s="11">
        <f>IF(A85="","",IFERROR(VALUE(SUBSTITUTE(SUBSTITUTE(INDEX('Etsy Import'!$A:$CZ,85,Settings!$C$25)&amp;"","$",""),",","")),0)/IF(Settings!$B$27="Yes",G85,1))</f>
        <v/>
      </c>
      <c r="I85" s="11">
        <f>IF(A85="","",IFERROR(VALUE(SUBSTITUTE(SUBSTITUTE(INDEX('Etsy Import'!$A:$CZ,85,Settings!$C$26)&amp;"","$",""),",","")),0)/IF(Settings!$B$27="Yes",G85,1))</f>
        <v/>
      </c>
      <c r="J85" s="11">
        <f>IF(A85="","",F85+H85-I85)</f>
        <v/>
      </c>
      <c r="K85">
        <f>IF(A85="","",IFERROR(IF(B85="",NA(),MATCH(B85,Products!$B$5:$B$204,0)),IFERROR(MATCH(A85,Products!$A$5:$A$204,0),"")))</f>
        <v/>
      </c>
      <c r="L85">
        <f>IF(A85="","",IF(K85="","⚠ not in Products",INDEX(Products!$A$5:$A$204,K85)))</f>
        <v/>
      </c>
      <c r="M85" s="11">
        <f>IF(A85="","",J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85+IFERROR(INDEX(Settings!$D$5:$D$9,MATCH("Etsy",Settings!$A$5:$A$9,0)),0)*D85)</f>
        <v/>
      </c>
      <c r="N85" s="11">
        <f>IF(A85="","",IF(K85="",0,D85*INDEX(Products!$I$5:$I$204,K85)))</f>
        <v/>
      </c>
      <c r="O85" s="11">
        <f>IF(A85="","",IF(K85="",0,J85*INDEX(Products!$H$5:$H$204,K85)))</f>
        <v/>
      </c>
      <c r="P85" s="11">
        <f>IF(A85="","",J85-M85-N85-O85)</f>
        <v/>
      </c>
    </row>
    <row r="86">
      <c r="A86">
        <f>IFERROR(INDEX('Etsy Import'!$A:$CZ,86,Settings!$C$20)&amp;"","")</f>
        <v/>
      </c>
      <c r="B86">
        <f>IFERROR(INDEX('Etsy Import'!$A:$CZ,86,Settings!$C$21)&amp;"","")</f>
        <v/>
      </c>
      <c r="C86">
        <f>IFERROR(INDEX('Etsy Import'!$A:$CZ,86,Settings!$C$22)&amp;"","")</f>
        <v/>
      </c>
      <c r="D86">
        <f>IF(A86="","",IFERROR(VALUE(SUBSTITUTE(SUBSTITUTE(INDEX('Etsy Import'!$A:$CZ,86,Settings!$C$23)&amp;"","$",""),",","")),0))</f>
        <v/>
      </c>
      <c r="E86" s="11">
        <f>IF(A86="","",IFERROR(VALUE(SUBSTITUTE(SUBSTITUTE(INDEX('Etsy Import'!$A:$CZ,86,Settings!$C$24)&amp;"","$",""),",","")),0))</f>
        <v/>
      </c>
      <c r="F86" s="11">
        <f>IF(A86="","",D86*E86)</f>
        <v/>
      </c>
      <c r="G86">
        <f>IF(A86="","",IF(C86="",1,COUNTIF($C$2:$C$1501,C86)))</f>
        <v/>
      </c>
      <c r="H86" s="11">
        <f>IF(A86="","",IFERROR(VALUE(SUBSTITUTE(SUBSTITUTE(INDEX('Etsy Import'!$A:$CZ,86,Settings!$C$25)&amp;"","$",""),",","")),0)/IF(Settings!$B$27="Yes",G86,1))</f>
        <v/>
      </c>
      <c r="I86" s="11">
        <f>IF(A86="","",IFERROR(VALUE(SUBSTITUTE(SUBSTITUTE(INDEX('Etsy Import'!$A:$CZ,86,Settings!$C$26)&amp;"","$",""),",","")),0)/IF(Settings!$B$27="Yes",G86,1))</f>
        <v/>
      </c>
      <c r="J86" s="11">
        <f>IF(A86="","",F86+H86-I86)</f>
        <v/>
      </c>
      <c r="K86">
        <f>IF(A86="","",IFERROR(IF(B86="",NA(),MATCH(B86,Products!$B$5:$B$204,0)),IFERROR(MATCH(A86,Products!$A$5:$A$204,0),"")))</f>
        <v/>
      </c>
      <c r="L86">
        <f>IF(A86="","",IF(K86="","⚠ not in Products",INDEX(Products!$A$5:$A$204,K86)))</f>
        <v/>
      </c>
      <c r="M86" s="11">
        <f>IF(A86="","",J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86+IFERROR(INDEX(Settings!$D$5:$D$9,MATCH("Etsy",Settings!$A$5:$A$9,0)),0)*D86)</f>
        <v/>
      </c>
      <c r="N86" s="11">
        <f>IF(A86="","",IF(K86="",0,D86*INDEX(Products!$I$5:$I$204,K86)))</f>
        <v/>
      </c>
      <c r="O86" s="11">
        <f>IF(A86="","",IF(K86="",0,J86*INDEX(Products!$H$5:$H$204,K86)))</f>
        <v/>
      </c>
      <c r="P86" s="11">
        <f>IF(A86="","",J86-M86-N86-O86)</f>
        <v/>
      </c>
    </row>
    <row r="87">
      <c r="A87">
        <f>IFERROR(INDEX('Etsy Import'!$A:$CZ,87,Settings!$C$20)&amp;"","")</f>
        <v/>
      </c>
      <c r="B87">
        <f>IFERROR(INDEX('Etsy Import'!$A:$CZ,87,Settings!$C$21)&amp;"","")</f>
        <v/>
      </c>
      <c r="C87">
        <f>IFERROR(INDEX('Etsy Import'!$A:$CZ,87,Settings!$C$22)&amp;"","")</f>
        <v/>
      </c>
      <c r="D87">
        <f>IF(A87="","",IFERROR(VALUE(SUBSTITUTE(SUBSTITUTE(INDEX('Etsy Import'!$A:$CZ,87,Settings!$C$23)&amp;"","$",""),",","")),0))</f>
        <v/>
      </c>
      <c r="E87" s="11">
        <f>IF(A87="","",IFERROR(VALUE(SUBSTITUTE(SUBSTITUTE(INDEX('Etsy Import'!$A:$CZ,87,Settings!$C$24)&amp;"","$",""),",","")),0))</f>
        <v/>
      </c>
      <c r="F87" s="11">
        <f>IF(A87="","",D87*E87)</f>
        <v/>
      </c>
      <c r="G87">
        <f>IF(A87="","",IF(C87="",1,COUNTIF($C$2:$C$1501,C87)))</f>
        <v/>
      </c>
      <c r="H87" s="11">
        <f>IF(A87="","",IFERROR(VALUE(SUBSTITUTE(SUBSTITUTE(INDEX('Etsy Import'!$A:$CZ,87,Settings!$C$25)&amp;"","$",""),",","")),0)/IF(Settings!$B$27="Yes",G87,1))</f>
        <v/>
      </c>
      <c r="I87" s="11">
        <f>IF(A87="","",IFERROR(VALUE(SUBSTITUTE(SUBSTITUTE(INDEX('Etsy Import'!$A:$CZ,87,Settings!$C$26)&amp;"","$",""),",","")),0)/IF(Settings!$B$27="Yes",G87,1))</f>
        <v/>
      </c>
      <c r="J87" s="11">
        <f>IF(A87="","",F87+H87-I87)</f>
        <v/>
      </c>
      <c r="K87">
        <f>IF(A87="","",IFERROR(IF(B87="",NA(),MATCH(B87,Products!$B$5:$B$204,0)),IFERROR(MATCH(A87,Products!$A$5:$A$204,0),"")))</f>
        <v/>
      </c>
      <c r="L87">
        <f>IF(A87="","",IF(K87="","⚠ not in Products",INDEX(Products!$A$5:$A$204,K87)))</f>
        <v/>
      </c>
      <c r="M87" s="11">
        <f>IF(A87="","",J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87+IFERROR(INDEX(Settings!$D$5:$D$9,MATCH("Etsy",Settings!$A$5:$A$9,0)),0)*D87)</f>
        <v/>
      </c>
      <c r="N87" s="11">
        <f>IF(A87="","",IF(K87="",0,D87*INDEX(Products!$I$5:$I$204,K87)))</f>
        <v/>
      </c>
      <c r="O87" s="11">
        <f>IF(A87="","",IF(K87="",0,J87*INDEX(Products!$H$5:$H$204,K87)))</f>
        <v/>
      </c>
      <c r="P87" s="11">
        <f>IF(A87="","",J87-M87-N87-O87)</f>
        <v/>
      </c>
    </row>
    <row r="88">
      <c r="A88">
        <f>IFERROR(INDEX('Etsy Import'!$A:$CZ,88,Settings!$C$20)&amp;"","")</f>
        <v/>
      </c>
      <c r="B88">
        <f>IFERROR(INDEX('Etsy Import'!$A:$CZ,88,Settings!$C$21)&amp;"","")</f>
        <v/>
      </c>
      <c r="C88">
        <f>IFERROR(INDEX('Etsy Import'!$A:$CZ,88,Settings!$C$22)&amp;"","")</f>
        <v/>
      </c>
      <c r="D88">
        <f>IF(A88="","",IFERROR(VALUE(SUBSTITUTE(SUBSTITUTE(INDEX('Etsy Import'!$A:$CZ,88,Settings!$C$23)&amp;"","$",""),",","")),0))</f>
        <v/>
      </c>
      <c r="E88" s="11">
        <f>IF(A88="","",IFERROR(VALUE(SUBSTITUTE(SUBSTITUTE(INDEX('Etsy Import'!$A:$CZ,88,Settings!$C$24)&amp;"","$",""),",","")),0))</f>
        <v/>
      </c>
      <c r="F88" s="11">
        <f>IF(A88="","",D88*E88)</f>
        <v/>
      </c>
      <c r="G88">
        <f>IF(A88="","",IF(C88="",1,COUNTIF($C$2:$C$1501,C88)))</f>
        <v/>
      </c>
      <c r="H88" s="11">
        <f>IF(A88="","",IFERROR(VALUE(SUBSTITUTE(SUBSTITUTE(INDEX('Etsy Import'!$A:$CZ,88,Settings!$C$25)&amp;"","$",""),",","")),0)/IF(Settings!$B$27="Yes",G88,1))</f>
        <v/>
      </c>
      <c r="I88" s="11">
        <f>IF(A88="","",IFERROR(VALUE(SUBSTITUTE(SUBSTITUTE(INDEX('Etsy Import'!$A:$CZ,88,Settings!$C$26)&amp;"","$",""),",","")),0)/IF(Settings!$B$27="Yes",G88,1))</f>
        <v/>
      </c>
      <c r="J88" s="11">
        <f>IF(A88="","",F88+H88-I88)</f>
        <v/>
      </c>
      <c r="K88">
        <f>IF(A88="","",IFERROR(IF(B88="",NA(),MATCH(B88,Products!$B$5:$B$204,0)),IFERROR(MATCH(A88,Products!$A$5:$A$204,0),"")))</f>
        <v/>
      </c>
      <c r="L88">
        <f>IF(A88="","",IF(K88="","⚠ not in Products",INDEX(Products!$A$5:$A$204,K88)))</f>
        <v/>
      </c>
      <c r="M88" s="11">
        <f>IF(A88="","",J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88+IFERROR(INDEX(Settings!$D$5:$D$9,MATCH("Etsy",Settings!$A$5:$A$9,0)),0)*D88)</f>
        <v/>
      </c>
      <c r="N88" s="11">
        <f>IF(A88="","",IF(K88="",0,D88*INDEX(Products!$I$5:$I$204,K88)))</f>
        <v/>
      </c>
      <c r="O88" s="11">
        <f>IF(A88="","",IF(K88="",0,J88*INDEX(Products!$H$5:$H$204,K88)))</f>
        <v/>
      </c>
      <c r="P88" s="11">
        <f>IF(A88="","",J88-M88-N88-O88)</f>
        <v/>
      </c>
    </row>
    <row r="89">
      <c r="A89">
        <f>IFERROR(INDEX('Etsy Import'!$A:$CZ,89,Settings!$C$20)&amp;"","")</f>
        <v/>
      </c>
      <c r="B89">
        <f>IFERROR(INDEX('Etsy Import'!$A:$CZ,89,Settings!$C$21)&amp;"","")</f>
        <v/>
      </c>
      <c r="C89">
        <f>IFERROR(INDEX('Etsy Import'!$A:$CZ,89,Settings!$C$22)&amp;"","")</f>
        <v/>
      </c>
      <c r="D89">
        <f>IF(A89="","",IFERROR(VALUE(SUBSTITUTE(SUBSTITUTE(INDEX('Etsy Import'!$A:$CZ,89,Settings!$C$23)&amp;"","$",""),",","")),0))</f>
        <v/>
      </c>
      <c r="E89" s="11">
        <f>IF(A89="","",IFERROR(VALUE(SUBSTITUTE(SUBSTITUTE(INDEX('Etsy Import'!$A:$CZ,89,Settings!$C$24)&amp;"","$",""),",","")),0))</f>
        <v/>
      </c>
      <c r="F89" s="11">
        <f>IF(A89="","",D89*E89)</f>
        <v/>
      </c>
      <c r="G89">
        <f>IF(A89="","",IF(C89="",1,COUNTIF($C$2:$C$1501,C89)))</f>
        <v/>
      </c>
      <c r="H89" s="11">
        <f>IF(A89="","",IFERROR(VALUE(SUBSTITUTE(SUBSTITUTE(INDEX('Etsy Import'!$A:$CZ,89,Settings!$C$25)&amp;"","$",""),",","")),0)/IF(Settings!$B$27="Yes",G89,1))</f>
        <v/>
      </c>
      <c r="I89" s="11">
        <f>IF(A89="","",IFERROR(VALUE(SUBSTITUTE(SUBSTITUTE(INDEX('Etsy Import'!$A:$CZ,89,Settings!$C$26)&amp;"","$",""),",","")),0)/IF(Settings!$B$27="Yes",G89,1))</f>
        <v/>
      </c>
      <c r="J89" s="11">
        <f>IF(A89="","",F89+H89-I89)</f>
        <v/>
      </c>
      <c r="K89">
        <f>IF(A89="","",IFERROR(IF(B89="",NA(),MATCH(B89,Products!$B$5:$B$204,0)),IFERROR(MATCH(A89,Products!$A$5:$A$204,0),"")))</f>
        <v/>
      </c>
      <c r="L89">
        <f>IF(A89="","",IF(K89="","⚠ not in Products",INDEX(Products!$A$5:$A$204,K89)))</f>
        <v/>
      </c>
      <c r="M89" s="11">
        <f>IF(A89="","",J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89+IFERROR(INDEX(Settings!$D$5:$D$9,MATCH("Etsy",Settings!$A$5:$A$9,0)),0)*D89)</f>
        <v/>
      </c>
      <c r="N89" s="11">
        <f>IF(A89="","",IF(K89="",0,D89*INDEX(Products!$I$5:$I$204,K89)))</f>
        <v/>
      </c>
      <c r="O89" s="11">
        <f>IF(A89="","",IF(K89="",0,J89*INDEX(Products!$H$5:$H$204,K89)))</f>
        <v/>
      </c>
      <c r="P89" s="11">
        <f>IF(A89="","",J89-M89-N89-O89)</f>
        <v/>
      </c>
    </row>
    <row r="90">
      <c r="A90">
        <f>IFERROR(INDEX('Etsy Import'!$A:$CZ,90,Settings!$C$20)&amp;"","")</f>
        <v/>
      </c>
      <c r="B90">
        <f>IFERROR(INDEX('Etsy Import'!$A:$CZ,90,Settings!$C$21)&amp;"","")</f>
        <v/>
      </c>
      <c r="C90">
        <f>IFERROR(INDEX('Etsy Import'!$A:$CZ,90,Settings!$C$22)&amp;"","")</f>
        <v/>
      </c>
      <c r="D90">
        <f>IF(A90="","",IFERROR(VALUE(SUBSTITUTE(SUBSTITUTE(INDEX('Etsy Import'!$A:$CZ,90,Settings!$C$23)&amp;"","$",""),",","")),0))</f>
        <v/>
      </c>
      <c r="E90" s="11">
        <f>IF(A90="","",IFERROR(VALUE(SUBSTITUTE(SUBSTITUTE(INDEX('Etsy Import'!$A:$CZ,90,Settings!$C$24)&amp;"","$",""),",","")),0))</f>
        <v/>
      </c>
      <c r="F90" s="11">
        <f>IF(A90="","",D90*E90)</f>
        <v/>
      </c>
      <c r="G90">
        <f>IF(A90="","",IF(C90="",1,COUNTIF($C$2:$C$1501,C90)))</f>
        <v/>
      </c>
      <c r="H90" s="11">
        <f>IF(A90="","",IFERROR(VALUE(SUBSTITUTE(SUBSTITUTE(INDEX('Etsy Import'!$A:$CZ,90,Settings!$C$25)&amp;"","$",""),",","")),0)/IF(Settings!$B$27="Yes",G90,1))</f>
        <v/>
      </c>
      <c r="I90" s="11">
        <f>IF(A90="","",IFERROR(VALUE(SUBSTITUTE(SUBSTITUTE(INDEX('Etsy Import'!$A:$CZ,90,Settings!$C$26)&amp;"","$",""),",","")),0)/IF(Settings!$B$27="Yes",G90,1))</f>
        <v/>
      </c>
      <c r="J90" s="11">
        <f>IF(A90="","",F90+H90-I90)</f>
        <v/>
      </c>
      <c r="K90">
        <f>IF(A90="","",IFERROR(IF(B90="",NA(),MATCH(B90,Products!$B$5:$B$204,0)),IFERROR(MATCH(A90,Products!$A$5:$A$204,0),"")))</f>
        <v/>
      </c>
      <c r="L90">
        <f>IF(A90="","",IF(K90="","⚠ not in Products",INDEX(Products!$A$5:$A$204,K90)))</f>
        <v/>
      </c>
      <c r="M90" s="11">
        <f>IF(A90="","",J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90+IFERROR(INDEX(Settings!$D$5:$D$9,MATCH("Etsy",Settings!$A$5:$A$9,0)),0)*D90)</f>
        <v/>
      </c>
      <c r="N90" s="11">
        <f>IF(A90="","",IF(K90="",0,D90*INDEX(Products!$I$5:$I$204,K90)))</f>
        <v/>
      </c>
      <c r="O90" s="11">
        <f>IF(A90="","",IF(K90="",0,J90*INDEX(Products!$H$5:$H$204,K90)))</f>
        <v/>
      </c>
      <c r="P90" s="11">
        <f>IF(A90="","",J90-M90-N90-O90)</f>
        <v/>
      </c>
    </row>
    <row r="91">
      <c r="A91">
        <f>IFERROR(INDEX('Etsy Import'!$A:$CZ,91,Settings!$C$20)&amp;"","")</f>
        <v/>
      </c>
      <c r="B91">
        <f>IFERROR(INDEX('Etsy Import'!$A:$CZ,91,Settings!$C$21)&amp;"","")</f>
        <v/>
      </c>
      <c r="C91">
        <f>IFERROR(INDEX('Etsy Import'!$A:$CZ,91,Settings!$C$22)&amp;"","")</f>
        <v/>
      </c>
      <c r="D91">
        <f>IF(A91="","",IFERROR(VALUE(SUBSTITUTE(SUBSTITUTE(INDEX('Etsy Import'!$A:$CZ,91,Settings!$C$23)&amp;"","$",""),",","")),0))</f>
        <v/>
      </c>
      <c r="E91" s="11">
        <f>IF(A91="","",IFERROR(VALUE(SUBSTITUTE(SUBSTITUTE(INDEX('Etsy Import'!$A:$CZ,91,Settings!$C$24)&amp;"","$",""),",","")),0))</f>
        <v/>
      </c>
      <c r="F91" s="11">
        <f>IF(A91="","",D91*E91)</f>
        <v/>
      </c>
      <c r="G91">
        <f>IF(A91="","",IF(C91="",1,COUNTIF($C$2:$C$1501,C91)))</f>
        <v/>
      </c>
      <c r="H91" s="11">
        <f>IF(A91="","",IFERROR(VALUE(SUBSTITUTE(SUBSTITUTE(INDEX('Etsy Import'!$A:$CZ,91,Settings!$C$25)&amp;"","$",""),",","")),0)/IF(Settings!$B$27="Yes",G91,1))</f>
        <v/>
      </c>
      <c r="I91" s="11">
        <f>IF(A91="","",IFERROR(VALUE(SUBSTITUTE(SUBSTITUTE(INDEX('Etsy Import'!$A:$CZ,91,Settings!$C$26)&amp;"","$",""),",","")),0)/IF(Settings!$B$27="Yes",G91,1))</f>
        <v/>
      </c>
      <c r="J91" s="11">
        <f>IF(A91="","",F91+H91-I91)</f>
        <v/>
      </c>
      <c r="K91">
        <f>IF(A91="","",IFERROR(IF(B91="",NA(),MATCH(B91,Products!$B$5:$B$204,0)),IFERROR(MATCH(A91,Products!$A$5:$A$204,0),"")))</f>
        <v/>
      </c>
      <c r="L91">
        <f>IF(A91="","",IF(K91="","⚠ not in Products",INDEX(Products!$A$5:$A$204,K91)))</f>
        <v/>
      </c>
      <c r="M91" s="11">
        <f>IF(A91="","",J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91+IFERROR(INDEX(Settings!$D$5:$D$9,MATCH("Etsy",Settings!$A$5:$A$9,0)),0)*D91)</f>
        <v/>
      </c>
      <c r="N91" s="11">
        <f>IF(A91="","",IF(K91="",0,D91*INDEX(Products!$I$5:$I$204,K91)))</f>
        <v/>
      </c>
      <c r="O91" s="11">
        <f>IF(A91="","",IF(K91="",0,J91*INDEX(Products!$H$5:$H$204,K91)))</f>
        <v/>
      </c>
      <c r="P91" s="11">
        <f>IF(A91="","",J91-M91-N91-O91)</f>
        <v/>
      </c>
    </row>
    <row r="92">
      <c r="A92">
        <f>IFERROR(INDEX('Etsy Import'!$A:$CZ,92,Settings!$C$20)&amp;"","")</f>
        <v/>
      </c>
      <c r="B92">
        <f>IFERROR(INDEX('Etsy Import'!$A:$CZ,92,Settings!$C$21)&amp;"","")</f>
        <v/>
      </c>
      <c r="C92">
        <f>IFERROR(INDEX('Etsy Import'!$A:$CZ,92,Settings!$C$22)&amp;"","")</f>
        <v/>
      </c>
      <c r="D92">
        <f>IF(A92="","",IFERROR(VALUE(SUBSTITUTE(SUBSTITUTE(INDEX('Etsy Import'!$A:$CZ,92,Settings!$C$23)&amp;"","$",""),",","")),0))</f>
        <v/>
      </c>
      <c r="E92" s="11">
        <f>IF(A92="","",IFERROR(VALUE(SUBSTITUTE(SUBSTITUTE(INDEX('Etsy Import'!$A:$CZ,92,Settings!$C$24)&amp;"","$",""),",","")),0))</f>
        <v/>
      </c>
      <c r="F92" s="11">
        <f>IF(A92="","",D92*E92)</f>
        <v/>
      </c>
      <c r="G92">
        <f>IF(A92="","",IF(C92="",1,COUNTIF($C$2:$C$1501,C92)))</f>
        <v/>
      </c>
      <c r="H92" s="11">
        <f>IF(A92="","",IFERROR(VALUE(SUBSTITUTE(SUBSTITUTE(INDEX('Etsy Import'!$A:$CZ,92,Settings!$C$25)&amp;"","$",""),",","")),0)/IF(Settings!$B$27="Yes",G92,1))</f>
        <v/>
      </c>
      <c r="I92" s="11">
        <f>IF(A92="","",IFERROR(VALUE(SUBSTITUTE(SUBSTITUTE(INDEX('Etsy Import'!$A:$CZ,92,Settings!$C$26)&amp;"","$",""),",","")),0)/IF(Settings!$B$27="Yes",G92,1))</f>
        <v/>
      </c>
      <c r="J92" s="11">
        <f>IF(A92="","",F92+H92-I92)</f>
        <v/>
      </c>
      <c r="K92">
        <f>IF(A92="","",IFERROR(IF(B92="",NA(),MATCH(B92,Products!$B$5:$B$204,0)),IFERROR(MATCH(A92,Products!$A$5:$A$204,0),"")))</f>
        <v/>
      </c>
      <c r="L92">
        <f>IF(A92="","",IF(K92="","⚠ not in Products",INDEX(Products!$A$5:$A$204,K92)))</f>
        <v/>
      </c>
      <c r="M92" s="11">
        <f>IF(A92="","",J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92+IFERROR(INDEX(Settings!$D$5:$D$9,MATCH("Etsy",Settings!$A$5:$A$9,0)),0)*D92)</f>
        <v/>
      </c>
      <c r="N92" s="11">
        <f>IF(A92="","",IF(K92="",0,D92*INDEX(Products!$I$5:$I$204,K92)))</f>
        <v/>
      </c>
      <c r="O92" s="11">
        <f>IF(A92="","",IF(K92="",0,J92*INDEX(Products!$H$5:$H$204,K92)))</f>
        <v/>
      </c>
      <c r="P92" s="11">
        <f>IF(A92="","",J92-M92-N92-O92)</f>
        <v/>
      </c>
    </row>
    <row r="93">
      <c r="A93">
        <f>IFERROR(INDEX('Etsy Import'!$A:$CZ,93,Settings!$C$20)&amp;"","")</f>
        <v/>
      </c>
      <c r="B93">
        <f>IFERROR(INDEX('Etsy Import'!$A:$CZ,93,Settings!$C$21)&amp;"","")</f>
        <v/>
      </c>
      <c r="C93">
        <f>IFERROR(INDEX('Etsy Import'!$A:$CZ,93,Settings!$C$22)&amp;"","")</f>
        <v/>
      </c>
      <c r="D93">
        <f>IF(A93="","",IFERROR(VALUE(SUBSTITUTE(SUBSTITUTE(INDEX('Etsy Import'!$A:$CZ,93,Settings!$C$23)&amp;"","$",""),",","")),0))</f>
        <v/>
      </c>
      <c r="E93" s="11">
        <f>IF(A93="","",IFERROR(VALUE(SUBSTITUTE(SUBSTITUTE(INDEX('Etsy Import'!$A:$CZ,93,Settings!$C$24)&amp;"","$",""),",","")),0))</f>
        <v/>
      </c>
      <c r="F93" s="11">
        <f>IF(A93="","",D93*E93)</f>
        <v/>
      </c>
      <c r="G93">
        <f>IF(A93="","",IF(C93="",1,COUNTIF($C$2:$C$1501,C93)))</f>
        <v/>
      </c>
      <c r="H93" s="11">
        <f>IF(A93="","",IFERROR(VALUE(SUBSTITUTE(SUBSTITUTE(INDEX('Etsy Import'!$A:$CZ,93,Settings!$C$25)&amp;"","$",""),",","")),0)/IF(Settings!$B$27="Yes",G93,1))</f>
        <v/>
      </c>
      <c r="I93" s="11">
        <f>IF(A93="","",IFERROR(VALUE(SUBSTITUTE(SUBSTITUTE(INDEX('Etsy Import'!$A:$CZ,93,Settings!$C$26)&amp;"","$",""),",","")),0)/IF(Settings!$B$27="Yes",G93,1))</f>
        <v/>
      </c>
      <c r="J93" s="11">
        <f>IF(A93="","",F93+H93-I93)</f>
        <v/>
      </c>
      <c r="K93">
        <f>IF(A93="","",IFERROR(IF(B93="",NA(),MATCH(B93,Products!$B$5:$B$204,0)),IFERROR(MATCH(A93,Products!$A$5:$A$204,0),"")))</f>
        <v/>
      </c>
      <c r="L93">
        <f>IF(A93="","",IF(K93="","⚠ not in Products",INDEX(Products!$A$5:$A$204,K93)))</f>
        <v/>
      </c>
      <c r="M93" s="11">
        <f>IF(A93="","",J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93+IFERROR(INDEX(Settings!$D$5:$D$9,MATCH("Etsy",Settings!$A$5:$A$9,0)),0)*D93)</f>
        <v/>
      </c>
      <c r="N93" s="11">
        <f>IF(A93="","",IF(K93="",0,D93*INDEX(Products!$I$5:$I$204,K93)))</f>
        <v/>
      </c>
      <c r="O93" s="11">
        <f>IF(A93="","",IF(K93="",0,J93*INDEX(Products!$H$5:$H$204,K93)))</f>
        <v/>
      </c>
      <c r="P93" s="11">
        <f>IF(A93="","",J93-M93-N93-O93)</f>
        <v/>
      </c>
    </row>
    <row r="94">
      <c r="A94">
        <f>IFERROR(INDEX('Etsy Import'!$A:$CZ,94,Settings!$C$20)&amp;"","")</f>
        <v/>
      </c>
      <c r="B94">
        <f>IFERROR(INDEX('Etsy Import'!$A:$CZ,94,Settings!$C$21)&amp;"","")</f>
        <v/>
      </c>
      <c r="C94">
        <f>IFERROR(INDEX('Etsy Import'!$A:$CZ,94,Settings!$C$22)&amp;"","")</f>
        <v/>
      </c>
      <c r="D94">
        <f>IF(A94="","",IFERROR(VALUE(SUBSTITUTE(SUBSTITUTE(INDEX('Etsy Import'!$A:$CZ,94,Settings!$C$23)&amp;"","$",""),",","")),0))</f>
        <v/>
      </c>
      <c r="E94" s="11">
        <f>IF(A94="","",IFERROR(VALUE(SUBSTITUTE(SUBSTITUTE(INDEX('Etsy Import'!$A:$CZ,94,Settings!$C$24)&amp;"","$",""),",","")),0))</f>
        <v/>
      </c>
      <c r="F94" s="11">
        <f>IF(A94="","",D94*E94)</f>
        <v/>
      </c>
      <c r="G94">
        <f>IF(A94="","",IF(C94="",1,COUNTIF($C$2:$C$1501,C94)))</f>
        <v/>
      </c>
      <c r="H94" s="11">
        <f>IF(A94="","",IFERROR(VALUE(SUBSTITUTE(SUBSTITUTE(INDEX('Etsy Import'!$A:$CZ,94,Settings!$C$25)&amp;"","$",""),",","")),0)/IF(Settings!$B$27="Yes",G94,1))</f>
        <v/>
      </c>
      <c r="I94" s="11">
        <f>IF(A94="","",IFERROR(VALUE(SUBSTITUTE(SUBSTITUTE(INDEX('Etsy Import'!$A:$CZ,94,Settings!$C$26)&amp;"","$",""),",","")),0)/IF(Settings!$B$27="Yes",G94,1))</f>
        <v/>
      </c>
      <c r="J94" s="11">
        <f>IF(A94="","",F94+H94-I94)</f>
        <v/>
      </c>
      <c r="K94">
        <f>IF(A94="","",IFERROR(IF(B94="",NA(),MATCH(B94,Products!$B$5:$B$204,0)),IFERROR(MATCH(A94,Products!$A$5:$A$204,0),"")))</f>
        <v/>
      </c>
      <c r="L94">
        <f>IF(A94="","",IF(K94="","⚠ not in Products",INDEX(Products!$A$5:$A$204,K94)))</f>
        <v/>
      </c>
      <c r="M94" s="11">
        <f>IF(A94="","",J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94+IFERROR(INDEX(Settings!$D$5:$D$9,MATCH("Etsy",Settings!$A$5:$A$9,0)),0)*D94)</f>
        <v/>
      </c>
      <c r="N94" s="11">
        <f>IF(A94="","",IF(K94="",0,D94*INDEX(Products!$I$5:$I$204,K94)))</f>
        <v/>
      </c>
      <c r="O94" s="11">
        <f>IF(A94="","",IF(K94="",0,J94*INDEX(Products!$H$5:$H$204,K94)))</f>
        <v/>
      </c>
      <c r="P94" s="11">
        <f>IF(A94="","",J94-M94-N94-O94)</f>
        <v/>
      </c>
    </row>
    <row r="95">
      <c r="A95">
        <f>IFERROR(INDEX('Etsy Import'!$A:$CZ,95,Settings!$C$20)&amp;"","")</f>
        <v/>
      </c>
      <c r="B95">
        <f>IFERROR(INDEX('Etsy Import'!$A:$CZ,95,Settings!$C$21)&amp;"","")</f>
        <v/>
      </c>
      <c r="C95">
        <f>IFERROR(INDEX('Etsy Import'!$A:$CZ,95,Settings!$C$22)&amp;"","")</f>
        <v/>
      </c>
      <c r="D95">
        <f>IF(A95="","",IFERROR(VALUE(SUBSTITUTE(SUBSTITUTE(INDEX('Etsy Import'!$A:$CZ,95,Settings!$C$23)&amp;"","$",""),",","")),0))</f>
        <v/>
      </c>
      <c r="E95" s="11">
        <f>IF(A95="","",IFERROR(VALUE(SUBSTITUTE(SUBSTITUTE(INDEX('Etsy Import'!$A:$CZ,95,Settings!$C$24)&amp;"","$",""),",","")),0))</f>
        <v/>
      </c>
      <c r="F95" s="11">
        <f>IF(A95="","",D95*E95)</f>
        <v/>
      </c>
      <c r="G95">
        <f>IF(A95="","",IF(C95="",1,COUNTIF($C$2:$C$1501,C95)))</f>
        <v/>
      </c>
      <c r="H95" s="11">
        <f>IF(A95="","",IFERROR(VALUE(SUBSTITUTE(SUBSTITUTE(INDEX('Etsy Import'!$A:$CZ,95,Settings!$C$25)&amp;"","$",""),",","")),0)/IF(Settings!$B$27="Yes",G95,1))</f>
        <v/>
      </c>
      <c r="I95" s="11">
        <f>IF(A95="","",IFERROR(VALUE(SUBSTITUTE(SUBSTITUTE(INDEX('Etsy Import'!$A:$CZ,95,Settings!$C$26)&amp;"","$",""),",","")),0)/IF(Settings!$B$27="Yes",G95,1))</f>
        <v/>
      </c>
      <c r="J95" s="11">
        <f>IF(A95="","",F95+H95-I95)</f>
        <v/>
      </c>
      <c r="K95">
        <f>IF(A95="","",IFERROR(IF(B95="",NA(),MATCH(B95,Products!$B$5:$B$204,0)),IFERROR(MATCH(A95,Products!$A$5:$A$204,0),"")))</f>
        <v/>
      </c>
      <c r="L95">
        <f>IF(A95="","",IF(K95="","⚠ not in Products",INDEX(Products!$A$5:$A$204,K95)))</f>
        <v/>
      </c>
      <c r="M95" s="11">
        <f>IF(A95="","",J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95+IFERROR(INDEX(Settings!$D$5:$D$9,MATCH("Etsy",Settings!$A$5:$A$9,0)),0)*D95)</f>
        <v/>
      </c>
      <c r="N95" s="11">
        <f>IF(A95="","",IF(K95="",0,D95*INDEX(Products!$I$5:$I$204,K95)))</f>
        <v/>
      </c>
      <c r="O95" s="11">
        <f>IF(A95="","",IF(K95="",0,J95*INDEX(Products!$H$5:$H$204,K95)))</f>
        <v/>
      </c>
      <c r="P95" s="11">
        <f>IF(A95="","",J95-M95-N95-O95)</f>
        <v/>
      </c>
    </row>
    <row r="96">
      <c r="A96">
        <f>IFERROR(INDEX('Etsy Import'!$A:$CZ,96,Settings!$C$20)&amp;"","")</f>
        <v/>
      </c>
      <c r="B96">
        <f>IFERROR(INDEX('Etsy Import'!$A:$CZ,96,Settings!$C$21)&amp;"","")</f>
        <v/>
      </c>
      <c r="C96">
        <f>IFERROR(INDEX('Etsy Import'!$A:$CZ,96,Settings!$C$22)&amp;"","")</f>
        <v/>
      </c>
      <c r="D96">
        <f>IF(A96="","",IFERROR(VALUE(SUBSTITUTE(SUBSTITUTE(INDEX('Etsy Import'!$A:$CZ,96,Settings!$C$23)&amp;"","$",""),",","")),0))</f>
        <v/>
      </c>
      <c r="E96" s="11">
        <f>IF(A96="","",IFERROR(VALUE(SUBSTITUTE(SUBSTITUTE(INDEX('Etsy Import'!$A:$CZ,96,Settings!$C$24)&amp;"","$",""),",","")),0))</f>
        <v/>
      </c>
      <c r="F96" s="11">
        <f>IF(A96="","",D96*E96)</f>
        <v/>
      </c>
      <c r="G96">
        <f>IF(A96="","",IF(C96="",1,COUNTIF($C$2:$C$1501,C96)))</f>
        <v/>
      </c>
      <c r="H96" s="11">
        <f>IF(A96="","",IFERROR(VALUE(SUBSTITUTE(SUBSTITUTE(INDEX('Etsy Import'!$A:$CZ,96,Settings!$C$25)&amp;"","$",""),",","")),0)/IF(Settings!$B$27="Yes",G96,1))</f>
        <v/>
      </c>
      <c r="I96" s="11">
        <f>IF(A96="","",IFERROR(VALUE(SUBSTITUTE(SUBSTITUTE(INDEX('Etsy Import'!$A:$CZ,96,Settings!$C$26)&amp;"","$",""),",","")),0)/IF(Settings!$B$27="Yes",G96,1))</f>
        <v/>
      </c>
      <c r="J96" s="11">
        <f>IF(A96="","",F96+H96-I96)</f>
        <v/>
      </c>
      <c r="K96">
        <f>IF(A96="","",IFERROR(IF(B96="",NA(),MATCH(B96,Products!$B$5:$B$204,0)),IFERROR(MATCH(A96,Products!$A$5:$A$204,0),"")))</f>
        <v/>
      </c>
      <c r="L96">
        <f>IF(A96="","",IF(K96="","⚠ not in Products",INDEX(Products!$A$5:$A$204,K96)))</f>
        <v/>
      </c>
      <c r="M96" s="11">
        <f>IF(A96="","",J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96+IFERROR(INDEX(Settings!$D$5:$D$9,MATCH("Etsy",Settings!$A$5:$A$9,0)),0)*D96)</f>
        <v/>
      </c>
      <c r="N96" s="11">
        <f>IF(A96="","",IF(K96="",0,D96*INDEX(Products!$I$5:$I$204,K96)))</f>
        <v/>
      </c>
      <c r="O96" s="11">
        <f>IF(A96="","",IF(K96="",0,J96*INDEX(Products!$H$5:$H$204,K96)))</f>
        <v/>
      </c>
      <c r="P96" s="11">
        <f>IF(A96="","",J96-M96-N96-O96)</f>
        <v/>
      </c>
    </row>
    <row r="97">
      <c r="A97">
        <f>IFERROR(INDEX('Etsy Import'!$A:$CZ,97,Settings!$C$20)&amp;"","")</f>
        <v/>
      </c>
      <c r="B97">
        <f>IFERROR(INDEX('Etsy Import'!$A:$CZ,97,Settings!$C$21)&amp;"","")</f>
        <v/>
      </c>
      <c r="C97">
        <f>IFERROR(INDEX('Etsy Import'!$A:$CZ,97,Settings!$C$22)&amp;"","")</f>
        <v/>
      </c>
      <c r="D97">
        <f>IF(A97="","",IFERROR(VALUE(SUBSTITUTE(SUBSTITUTE(INDEX('Etsy Import'!$A:$CZ,97,Settings!$C$23)&amp;"","$",""),",","")),0))</f>
        <v/>
      </c>
      <c r="E97" s="11">
        <f>IF(A97="","",IFERROR(VALUE(SUBSTITUTE(SUBSTITUTE(INDEX('Etsy Import'!$A:$CZ,97,Settings!$C$24)&amp;"","$",""),",","")),0))</f>
        <v/>
      </c>
      <c r="F97" s="11">
        <f>IF(A97="","",D97*E97)</f>
        <v/>
      </c>
      <c r="G97">
        <f>IF(A97="","",IF(C97="",1,COUNTIF($C$2:$C$1501,C97)))</f>
        <v/>
      </c>
      <c r="H97" s="11">
        <f>IF(A97="","",IFERROR(VALUE(SUBSTITUTE(SUBSTITUTE(INDEX('Etsy Import'!$A:$CZ,97,Settings!$C$25)&amp;"","$",""),",","")),0)/IF(Settings!$B$27="Yes",G97,1))</f>
        <v/>
      </c>
      <c r="I97" s="11">
        <f>IF(A97="","",IFERROR(VALUE(SUBSTITUTE(SUBSTITUTE(INDEX('Etsy Import'!$A:$CZ,97,Settings!$C$26)&amp;"","$",""),",","")),0)/IF(Settings!$B$27="Yes",G97,1))</f>
        <v/>
      </c>
      <c r="J97" s="11">
        <f>IF(A97="","",F97+H97-I97)</f>
        <v/>
      </c>
      <c r="K97">
        <f>IF(A97="","",IFERROR(IF(B97="",NA(),MATCH(B97,Products!$B$5:$B$204,0)),IFERROR(MATCH(A97,Products!$A$5:$A$204,0),"")))</f>
        <v/>
      </c>
      <c r="L97">
        <f>IF(A97="","",IF(K97="","⚠ not in Products",INDEX(Products!$A$5:$A$204,K97)))</f>
        <v/>
      </c>
      <c r="M97" s="11">
        <f>IF(A97="","",J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97+IFERROR(INDEX(Settings!$D$5:$D$9,MATCH("Etsy",Settings!$A$5:$A$9,0)),0)*D97)</f>
        <v/>
      </c>
      <c r="N97" s="11">
        <f>IF(A97="","",IF(K97="",0,D97*INDEX(Products!$I$5:$I$204,K97)))</f>
        <v/>
      </c>
      <c r="O97" s="11">
        <f>IF(A97="","",IF(K97="",0,J97*INDEX(Products!$H$5:$H$204,K97)))</f>
        <v/>
      </c>
      <c r="P97" s="11">
        <f>IF(A97="","",J97-M97-N97-O97)</f>
        <v/>
      </c>
    </row>
    <row r="98">
      <c r="A98">
        <f>IFERROR(INDEX('Etsy Import'!$A:$CZ,98,Settings!$C$20)&amp;"","")</f>
        <v/>
      </c>
      <c r="B98">
        <f>IFERROR(INDEX('Etsy Import'!$A:$CZ,98,Settings!$C$21)&amp;"","")</f>
        <v/>
      </c>
      <c r="C98">
        <f>IFERROR(INDEX('Etsy Import'!$A:$CZ,98,Settings!$C$22)&amp;"","")</f>
        <v/>
      </c>
      <c r="D98">
        <f>IF(A98="","",IFERROR(VALUE(SUBSTITUTE(SUBSTITUTE(INDEX('Etsy Import'!$A:$CZ,98,Settings!$C$23)&amp;"","$",""),",","")),0))</f>
        <v/>
      </c>
      <c r="E98" s="11">
        <f>IF(A98="","",IFERROR(VALUE(SUBSTITUTE(SUBSTITUTE(INDEX('Etsy Import'!$A:$CZ,98,Settings!$C$24)&amp;"","$",""),",","")),0))</f>
        <v/>
      </c>
      <c r="F98" s="11">
        <f>IF(A98="","",D98*E98)</f>
        <v/>
      </c>
      <c r="G98">
        <f>IF(A98="","",IF(C98="",1,COUNTIF($C$2:$C$1501,C98)))</f>
        <v/>
      </c>
      <c r="H98" s="11">
        <f>IF(A98="","",IFERROR(VALUE(SUBSTITUTE(SUBSTITUTE(INDEX('Etsy Import'!$A:$CZ,98,Settings!$C$25)&amp;"","$",""),",","")),0)/IF(Settings!$B$27="Yes",G98,1))</f>
        <v/>
      </c>
      <c r="I98" s="11">
        <f>IF(A98="","",IFERROR(VALUE(SUBSTITUTE(SUBSTITUTE(INDEX('Etsy Import'!$A:$CZ,98,Settings!$C$26)&amp;"","$",""),",","")),0)/IF(Settings!$B$27="Yes",G98,1))</f>
        <v/>
      </c>
      <c r="J98" s="11">
        <f>IF(A98="","",F98+H98-I98)</f>
        <v/>
      </c>
      <c r="K98">
        <f>IF(A98="","",IFERROR(IF(B98="",NA(),MATCH(B98,Products!$B$5:$B$204,0)),IFERROR(MATCH(A98,Products!$A$5:$A$204,0),"")))</f>
        <v/>
      </c>
      <c r="L98">
        <f>IF(A98="","",IF(K98="","⚠ not in Products",INDEX(Products!$A$5:$A$204,K98)))</f>
        <v/>
      </c>
      <c r="M98" s="11">
        <f>IF(A98="","",J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98+IFERROR(INDEX(Settings!$D$5:$D$9,MATCH("Etsy",Settings!$A$5:$A$9,0)),0)*D98)</f>
        <v/>
      </c>
      <c r="N98" s="11">
        <f>IF(A98="","",IF(K98="",0,D98*INDEX(Products!$I$5:$I$204,K98)))</f>
        <v/>
      </c>
      <c r="O98" s="11">
        <f>IF(A98="","",IF(K98="",0,J98*INDEX(Products!$H$5:$H$204,K98)))</f>
        <v/>
      </c>
      <c r="P98" s="11">
        <f>IF(A98="","",J98-M98-N98-O98)</f>
        <v/>
      </c>
    </row>
    <row r="99">
      <c r="A99">
        <f>IFERROR(INDEX('Etsy Import'!$A:$CZ,99,Settings!$C$20)&amp;"","")</f>
        <v/>
      </c>
      <c r="B99">
        <f>IFERROR(INDEX('Etsy Import'!$A:$CZ,99,Settings!$C$21)&amp;"","")</f>
        <v/>
      </c>
      <c r="C99">
        <f>IFERROR(INDEX('Etsy Import'!$A:$CZ,99,Settings!$C$22)&amp;"","")</f>
        <v/>
      </c>
      <c r="D99">
        <f>IF(A99="","",IFERROR(VALUE(SUBSTITUTE(SUBSTITUTE(INDEX('Etsy Import'!$A:$CZ,99,Settings!$C$23)&amp;"","$",""),",","")),0))</f>
        <v/>
      </c>
      <c r="E99" s="11">
        <f>IF(A99="","",IFERROR(VALUE(SUBSTITUTE(SUBSTITUTE(INDEX('Etsy Import'!$A:$CZ,99,Settings!$C$24)&amp;"","$",""),",","")),0))</f>
        <v/>
      </c>
      <c r="F99" s="11">
        <f>IF(A99="","",D99*E99)</f>
        <v/>
      </c>
      <c r="G99">
        <f>IF(A99="","",IF(C99="",1,COUNTIF($C$2:$C$1501,C99)))</f>
        <v/>
      </c>
      <c r="H99" s="11">
        <f>IF(A99="","",IFERROR(VALUE(SUBSTITUTE(SUBSTITUTE(INDEX('Etsy Import'!$A:$CZ,99,Settings!$C$25)&amp;"","$",""),",","")),0)/IF(Settings!$B$27="Yes",G99,1))</f>
        <v/>
      </c>
      <c r="I99" s="11">
        <f>IF(A99="","",IFERROR(VALUE(SUBSTITUTE(SUBSTITUTE(INDEX('Etsy Import'!$A:$CZ,99,Settings!$C$26)&amp;"","$",""),",","")),0)/IF(Settings!$B$27="Yes",G99,1))</f>
        <v/>
      </c>
      <c r="J99" s="11">
        <f>IF(A99="","",F99+H99-I99)</f>
        <v/>
      </c>
      <c r="K99">
        <f>IF(A99="","",IFERROR(IF(B99="",NA(),MATCH(B99,Products!$B$5:$B$204,0)),IFERROR(MATCH(A99,Products!$A$5:$A$204,0),"")))</f>
        <v/>
      </c>
      <c r="L99">
        <f>IF(A99="","",IF(K99="","⚠ not in Products",INDEX(Products!$A$5:$A$204,K99)))</f>
        <v/>
      </c>
      <c r="M99" s="11">
        <f>IF(A99="","",J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99+IFERROR(INDEX(Settings!$D$5:$D$9,MATCH("Etsy",Settings!$A$5:$A$9,0)),0)*D99)</f>
        <v/>
      </c>
      <c r="N99" s="11">
        <f>IF(A99="","",IF(K99="",0,D99*INDEX(Products!$I$5:$I$204,K99)))</f>
        <v/>
      </c>
      <c r="O99" s="11">
        <f>IF(A99="","",IF(K99="",0,J99*INDEX(Products!$H$5:$H$204,K99)))</f>
        <v/>
      </c>
      <c r="P99" s="11">
        <f>IF(A99="","",J99-M99-N99-O99)</f>
        <v/>
      </c>
    </row>
    <row r="100">
      <c r="A100">
        <f>IFERROR(INDEX('Etsy Import'!$A:$CZ,100,Settings!$C$20)&amp;"","")</f>
        <v/>
      </c>
      <c r="B100">
        <f>IFERROR(INDEX('Etsy Import'!$A:$CZ,100,Settings!$C$21)&amp;"","")</f>
        <v/>
      </c>
      <c r="C100">
        <f>IFERROR(INDEX('Etsy Import'!$A:$CZ,100,Settings!$C$22)&amp;"","")</f>
        <v/>
      </c>
      <c r="D100">
        <f>IF(A100="","",IFERROR(VALUE(SUBSTITUTE(SUBSTITUTE(INDEX('Etsy Import'!$A:$CZ,100,Settings!$C$23)&amp;"","$",""),",","")),0))</f>
        <v/>
      </c>
      <c r="E100" s="11">
        <f>IF(A100="","",IFERROR(VALUE(SUBSTITUTE(SUBSTITUTE(INDEX('Etsy Import'!$A:$CZ,100,Settings!$C$24)&amp;"","$",""),",","")),0))</f>
        <v/>
      </c>
      <c r="F100" s="11">
        <f>IF(A100="","",D100*E100)</f>
        <v/>
      </c>
      <c r="G100">
        <f>IF(A100="","",IF(C100="",1,COUNTIF($C$2:$C$1501,C100)))</f>
        <v/>
      </c>
      <c r="H100" s="11">
        <f>IF(A100="","",IFERROR(VALUE(SUBSTITUTE(SUBSTITUTE(INDEX('Etsy Import'!$A:$CZ,100,Settings!$C$25)&amp;"","$",""),",","")),0)/IF(Settings!$B$27="Yes",G100,1))</f>
        <v/>
      </c>
      <c r="I100" s="11">
        <f>IF(A100="","",IFERROR(VALUE(SUBSTITUTE(SUBSTITUTE(INDEX('Etsy Import'!$A:$CZ,100,Settings!$C$26)&amp;"","$",""),",","")),0)/IF(Settings!$B$27="Yes",G100,1))</f>
        <v/>
      </c>
      <c r="J100" s="11">
        <f>IF(A100="","",F100+H100-I100)</f>
        <v/>
      </c>
      <c r="K100">
        <f>IF(A100="","",IFERROR(IF(B100="",NA(),MATCH(B100,Products!$B$5:$B$204,0)),IFERROR(MATCH(A100,Products!$A$5:$A$204,0),"")))</f>
        <v/>
      </c>
      <c r="L100">
        <f>IF(A100="","",IF(K100="","⚠ not in Products",INDEX(Products!$A$5:$A$204,K100)))</f>
        <v/>
      </c>
      <c r="M100" s="11">
        <f>IF(A100="","",J100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100+IFERROR(INDEX(Settings!$D$5:$D$9,MATCH("Etsy",Settings!$A$5:$A$9,0)),0)*D100)</f>
        <v/>
      </c>
      <c r="N100" s="11">
        <f>IF(A100="","",IF(K100="",0,D100*INDEX(Products!$I$5:$I$204,K100)))</f>
        <v/>
      </c>
      <c r="O100" s="11">
        <f>IF(A100="","",IF(K100="",0,J100*INDEX(Products!$H$5:$H$204,K100)))</f>
        <v/>
      </c>
      <c r="P100" s="11">
        <f>IF(A100="","",J100-M100-N100-O100)</f>
        <v/>
      </c>
    </row>
    <row r="101">
      <c r="A101">
        <f>IFERROR(INDEX('Etsy Import'!$A:$CZ,101,Settings!$C$20)&amp;"","")</f>
        <v/>
      </c>
      <c r="B101">
        <f>IFERROR(INDEX('Etsy Import'!$A:$CZ,101,Settings!$C$21)&amp;"","")</f>
        <v/>
      </c>
      <c r="C101">
        <f>IFERROR(INDEX('Etsy Import'!$A:$CZ,101,Settings!$C$22)&amp;"","")</f>
        <v/>
      </c>
      <c r="D101">
        <f>IF(A101="","",IFERROR(VALUE(SUBSTITUTE(SUBSTITUTE(INDEX('Etsy Import'!$A:$CZ,101,Settings!$C$23)&amp;"","$",""),",","")),0))</f>
        <v/>
      </c>
      <c r="E101" s="11">
        <f>IF(A101="","",IFERROR(VALUE(SUBSTITUTE(SUBSTITUTE(INDEX('Etsy Import'!$A:$CZ,101,Settings!$C$24)&amp;"","$",""),",","")),0))</f>
        <v/>
      </c>
      <c r="F101" s="11">
        <f>IF(A101="","",D101*E101)</f>
        <v/>
      </c>
      <c r="G101">
        <f>IF(A101="","",IF(C101="",1,COUNTIF($C$2:$C$1501,C101)))</f>
        <v/>
      </c>
      <c r="H101" s="11">
        <f>IF(A101="","",IFERROR(VALUE(SUBSTITUTE(SUBSTITUTE(INDEX('Etsy Import'!$A:$CZ,101,Settings!$C$25)&amp;"","$",""),",","")),0)/IF(Settings!$B$27="Yes",G101,1))</f>
        <v/>
      </c>
      <c r="I101" s="11">
        <f>IF(A101="","",IFERROR(VALUE(SUBSTITUTE(SUBSTITUTE(INDEX('Etsy Import'!$A:$CZ,101,Settings!$C$26)&amp;"","$",""),",","")),0)/IF(Settings!$B$27="Yes",G101,1))</f>
        <v/>
      </c>
      <c r="J101" s="11">
        <f>IF(A101="","",F101+H101-I101)</f>
        <v/>
      </c>
      <c r="K101">
        <f>IF(A101="","",IFERROR(IF(B101="",NA(),MATCH(B101,Products!$B$5:$B$204,0)),IFERROR(MATCH(A101,Products!$A$5:$A$204,0),"")))</f>
        <v/>
      </c>
      <c r="L101">
        <f>IF(A101="","",IF(K101="","⚠ not in Products",INDEX(Products!$A$5:$A$204,K101)))</f>
        <v/>
      </c>
      <c r="M101" s="11">
        <f>IF(A101="","",J101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101+IFERROR(INDEX(Settings!$D$5:$D$9,MATCH("Etsy",Settings!$A$5:$A$9,0)),0)*D101)</f>
        <v/>
      </c>
      <c r="N101" s="11">
        <f>IF(A101="","",IF(K101="",0,D101*INDEX(Products!$I$5:$I$204,K101)))</f>
        <v/>
      </c>
      <c r="O101" s="11">
        <f>IF(A101="","",IF(K101="",0,J101*INDEX(Products!$H$5:$H$204,K101)))</f>
        <v/>
      </c>
      <c r="P101" s="11">
        <f>IF(A101="","",J101-M101-N101-O101)</f>
        <v/>
      </c>
    </row>
    <row r="102">
      <c r="A102">
        <f>IFERROR(INDEX('Etsy Import'!$A:$CZ,102,Settings!$C$20)&amp;"","")</f>
        <v/>
      </c>
      <c r="B102">
        <f>IFERROR(INDEX('Etsy Import'!$A:$CZ,102,Settings!$C$21)&amp;"","")</f>
        <v/>
      </c>
      <c r="C102">
        <f>IFERROR(INDEX('Etsy Import'!$A:$CZ,102,Settings!$C$22)&amp;"","")</f>
        <v/>
      </c>
      <c r="D102">
        <f>IF(A102="","",IFERROR(VALUE(SUBSTITUTE(SUBSTITUTE(INDEX('Etsy Import'!$A:$CZ,102,Settings!$C$23)&amp;"","$",""),",","")),0))</f>
        <v/>
      </c>
      <c r="E102" s="11">
        <f>IF(A102="","",IFERROR(VALUE(SUBSTITUTE(SUBSTITUTE(INDEX('Etsy Import'!$A:$CZ,102,Settings!$C$24)&amp;"","$",""),",","")),0))</f>
        <v/>
      </c>
      <c r="F102" s="11">
        <f>IF(A102="","",D102*E102)</f>
        <v/>
      </c>
      <c r="G102">
        <f>IF(A102="","",IF(C102="",1,COUNTIF($C$2:$C$1501,C102)))</f>
        <v/>
      </c>
      <c r="H102" s="11">
        <f>IF(A102="","",IFERROR(VALUE(SUBSTITUTE(SUBSTITUTE(INDEX('Etsy Import'!$A:$CZ,102,Settings!$C$25)&amp;"","$",""),",","")),0)/IF(Settings!$B$27="Yes",G102,1))</f>
        <v/>
      </c>
      <c r="I102" s="11">
        <f>IF(A102="","",IFERROR(VALUE(SUBSTITUTE(SUBSTITUTE(INDEX('Etsy Import'!$A:$CZ,102,Settings!$C$26)&amp;"","$",""),",","")),0)/IF(Settings!$B$27="Yes",G102,1))</f>
        <v/>
      </c>
      <c r="J102" s="11">
        <f>IF(A102="","",F102+H102-I102)</f>
        <v/>
      </c>
      <c r="K102">
        <f>IF(A102="","",IFERROR(IF(B102="",NA(),MATCH(B102,Products!$B$5:$B$204,0)),IFERROR(MATCH(A102,Products!$A$5:$A$204,0),"")))</f>
        <v/>
      </c>
      <c r="L102">
        <f>IF(A102="","",IF(K102="","⚠ not in Products",INDEX(Products!$A$5:$A$204,K102)))</f>
        <v/>
      </c>
      <c r="M102" s="11">
        <f>IF(A102="","",J102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102+IFERROR(INDEX(Settings!$D$5:$D$9,MATCH("Etsy",Settings!$A$5:$A$9,0)),0)*D102)</f>
        <v/>
      </c>
      <c r="N102" s="11">
        <f>IF(A102="","",IF(K102="",0,D102*INDEX(Products!$I$5:$I$204,K102)))</f>
        <v/>
      </c>
      <c r="O102" s="11">
        <f>IF(A102="","",IF(K102="",0,J102*INDEX(Products!$H$5:$H$204,K102)))</f>
        <v/>
      </c>
      <c r="P102" s="11">
        <f>IF(A102="","",J102-M102-N102-O102)</f>
        <v/>
      </c>
    </row>
    <row r="103">
      <c r="A103">
        <f>IFERROR(INDEX('Etsy Import'!$A:$CZ,103,Settings!$C$20)&amp;"","")</f>
        <v/>
      </c>
      <c r="B103">
        <f>IFERROR(INDEX('Etsy Import'!$A:$CZ,103,Settings!$C$21)&amp;"","")</f>
        <v/>
      </c>
      <c r="C103">
        <f>IFERROR(INDEX('Etsy Import'!$A:$CZ,103,Settings!$C$22)&amp;"","")</f>
        <v/>
      </c>
      <c r="D103">
        <f>IF(A103="","",IFERROR(VALUE(SUBSTITUTE(SUBSTITUTE(INDEX('Etsy Import'!$A:$CZ,103,Settings!$C$23)&amp;"","$",""),",","")),0))</f>
        <v/>
      </c>
      <c r="E103" s="11">
        <f>IF(A103="","",IFERROR(VALUE(SUBSTITUTE(SUBSTITUTE(INDEX('Etsy Import'!$A:$CZ,103,Settings!$C$24)&amp;"","$",""),",","")),0))</f>
        <v/>
      </c>
      <c r="F103" s="11">
        <f>IF(A103="","",D103*E103)</f>
        <v/>
      </c>
      <c r="G103">
        <f>IF(A103="","",IF(C103="",1,COUNTIF($C$2:$C$1501,C103)))</f>
        <v/>
      </c>
      <c r="H103" s="11">
        <f>IF(A103="","",IFERROR(VALUE(SUBSTITUTE(SUBSTITUTE(INDEX('Etsy Import'!$A:$CZ,103,Settings!$C$25)&amp;"","$",""),",","")),0)/IF(Settings!$B$27="Yes",G103,1))</f>
        <v/>
      </c>
      <c r="I103" s="11">
        <f>IF(A103="","",IFERROR(VALUE(SUBSTITUTE(SUBSTITUTE(INDEX('Etsy Import'!$A:$CZ,103,Settings!$C$26)&amp;"","$",""),",","")),0)/IF(Settings!$B$27="Yes",G103,1))</f>
        <v/>
      </c>
      <c r="J103" s="11">
        <f>IF(A103="","",F103+H103-I103)</f>
        <v/>
      </c>
      <c r="K103">
        <f>IF(A103="","",IFERROR(IF(B103="",NA(),MATCH(B103,Products!$B$5:$B$204,0)),IFERROR(MATCH(A103,Products!$A$5:$A$204,0),"")))</f>
        <v/>
      </c>
      <c r="L103">
        <f>IF(A103="","",IF(K103="","⚠ not in Products",INDEX(Products!$A$5:$A$204,K103)))</f>
        <v/>
      </c>
      <c r="M103" s="11">
        <f>IF(A103="","",J103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103+IFERROR(INDEX(Settings!$D$5:$D$9,MATCH("Etsy",Settings!$A$5:$A$9,0)),0)*D103)</f>
        <v/>
      </c>
      <c r="N103" s="11">
        <f>IF(A103="","",IF(K103="",0,D103*INDEX(Products!$I$5:$I$204,K103)))</f>
        <v/>
      </c>
      <c r="O103" s="11">
        <f>IF(A103="","",IF(K103="",0,J103*INDEX(Products!$H$5:$H$204,K103)))</f>
        <v/>
      </c>
      <c r="P103" s="11">
        <f>IF(A103="","",J103-M103-N103-O103)</f>
        <v/>
      </c>
    </row>
    <row r="104">
      <c r="A104">
        <f>IFERROR(INDEX('Etsy Import'!$A:$CZ,104,Settings!$C$20)&amp;"","")</f>
        <v/>
      </c>
      <c r="B104">
        <f>IFERROR(INDEX('Etsy Import'!$A:$CZ,104,Settings!$C$21)&amp;"","")</f>
        <v/>
      </c>
      <c r="C104">
        <f>IFERROR(INDEX('Etsy Import'!$A:$CZ,104,Settings!$C$22)&amp;"","")</f>
        <v/>
      </c>
      <c r="D104">
        <f>IF(A104="","",IFERROR(VALUE(SUBSTITUTE(SUBSTITUTE(INDEX('Etsy Import'!$A:$CZ,104,Settings!$C$23)&amp;"","$",""),",","")),0))</f>
        <v/>
      </c>
      <c r="E104" s="11">
        <f>IF(A104="","",IFERROR(VALUE(SUBSTITUTE(SUBSTITUTE(INDEX('Etsy Import'!$A:$CZ,104,Settings!$C$24)&amp;"","$",""),",","")),0))</f>
        <v/>
      </c>
      <c r="F104" s="11">
        <f>IF(A104="","",D104*E104)</f>
        <v/>
      </c>
      <c r="G104">
        <f>IF(A104="","",IF(C104="",1,COUNTIF($C$2:$C$1501,C104)))</f>
        <v/>
      </c>
      <c r="H104" s="11">
        <f>IF(A104="","",IFERROR(VALUE(SUBSTITUTE(SUBSTITUTE(INDEX('Etsy Import'!$A:$CZ,104,Settings!$C$25)&amp;"","$",""),",","")),0)/IF(Settings!$B$27="Yes",G104,1))</f>
        <v/>
      </c>
      <c r="I104" s="11">
        <f>IF(A104="","",IFERROR(VALUE(SUBSTITUTE(SUBSTITUTE(INDEX('Etsy Import'!$A:$CZ,104,Settings!$C$26)&amp;"","$",""),",","")),0)/IF(Settings!$B$27="Yes",G104,1))</f>
        <v/>
      </c>
      <c r="J104" s="11">
        <f>IF(A104="","",F104+H104-I104)</f>
        <v/>
      </c>
      <c r="K104">
        <f>IF(A104="","",IFERROR(IF(B104="",NA(),MATCH(B104,Products!$B$5:$B$204,0)),IFERROR(MATCH(A104,Products!$A$5:$A$204,0),"")))</f>
        <v/>
      </c>
      <c r="L104">
        <f>IF(A104="","",IF(K104="","⚠ not in Products",INDEX(Products!$A$5:$A$204,K104)))</f>
        <v/>
      </c>
      <c r="M104" s="11">
        <f>IF(A104="","",J104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104+IFERROR(INDEX(Settings!$D$5:$D$9,MATCH("Etsy",Settings!$A$5:$A$9,0)),0)*D104)</f>
        <v/>
      </c>
      <c r="N104" s="11">
        <f>IF(A104="","",IF(K104="",0,D104*INDEX(Products!$I$5:$I$204,K104)))</f>
        <v/>
      </c>
      <c r="O104" s="11">
        <f>IF(A104="","",IF(K104="",0,J104*INDEX(Products!$H$5:$H$204,K104)))</f>
        <v/>
      </c>
      <c r="P104" s="11">
        <f>IF(A104="","",J104-M104-N104-O104)</f>
        <v/>
      </c>
    </row>
    <row r="105">
      <c r="A105">
        <f>IFERROR(INDEX('Etsy Import'!$A:$CZ,105,Settings!$C$20)&amp;"","")</f>
        <v/>
      </c>
      <c r="B105">
        <f>IFERROR(INDEX('Etsy Import'!$A:$CZ,105,Settings!$C$21)&amp;"","")</f>
        <v/>
      </c>
      <c r="C105">
        <f>IFERROR(INDEX('Etsy Import'!$A:$CZ,105,Settings!$C$22)&amp;"","")</f>
        <v/>
      </c>
      <c r="D105">
        <f>IF(A105="","",IFERROR(VALUE(SUBSTITUTE(SUBSTITUTE(INDEX('Etsy Import'!$A:$CZ,105,Settings!$C$23)&amp;"","$",""),",","")),0))</f>
        <v/>
      </c>
      <c r="E105" s="11">
        <f>IF(A105="","",IFERROR(VALUE(SUBSTITUTE(SUBSTITUTE(INDEX('Etsy Import'!$A:$CZ,105,Settings!$C$24)&amp;"","$",""),",","")),0))</f>
        <v/>
      </c>
      <c r="F105" s="11">
        <f>IF(A105="","",D105*E105)</f>
        <v/>
      </c>
      <c r="G105">
        <f>IF(A105="","",IF(C105="",1,COUNTIF($C$2:$C$1501,C105)))</f>
        <v/>
      </c>
      <c r="H105" s="11">
        <f>IF(A105="","",IFERROR(VALUE(SUBSTITUTE(SUBSTITUTE(INDEX('Etsy Import'!$A:$CZ,105,Settings!$C$25)&amp;"","$",""),",","")),0)/IF(Settings!$B$27="Yes",G105,1))</f>
        <v/>
      </c>
      <c r="I105" s="11">
        <f>IF(A105="","",IFERROR(VALUE(SUBSTITUTE(SUBSTITUTE(INDEX('Etsy Import'!$A:$CZ,105,Settings!$C$26)&amp;"","$",""),",","")),0)/IF(Settings!$B$27="Yes",G105,1))</f>
        <v/>
      </c>
      <c r="J105" s="11">
        <f>IF(A105="","",F105+H105-I105)</f>
        <v/>
      </c>
      <c r="K105">
        <f>IF(A105="","",IFERROR(IF(B105="",NA(),MATCH(B105,Products!$B$5:$B$204,0)),IFERROR(MATCH(A105,Products!$A$5:$A$204,0),"")))</f>
        <v/>
      </c>
      <c r="L105">
        <f>IF(A105="","",IF(K105="","⚠ not in Products",INDEX(Products!$A$5:$A$204,K105)))</f>
        <v/>
      </c>
      <c r="M105" s="11">
        <f>IF(A105="","",J105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105+IFERROR(INDEX(Settings!$D$5:$D$9,MATCH("Etsy",Settings!$A$5:$A$9,0)),0)*D105)</f>
        <v/>
      </c>
      <c r="N105" s="11">
        <f>IF(A105="","",IF(K105="",0,D105*INDEX(Products!$I$5:$I$204,K105)))</f>
        <v/>
      </c>
      <c r="O105" s="11">
        <f>IF(A105="","",IF(K105="",0,J105*INDEX(Products!$H$5:$H$204,K105)))</f>
        <v/>
      </c>
      <c r="P105" s="11">
        <f>IF(A105="","",J105-M105-N105-O105)</f>
        <v/>
      </c>
    </row>
    <row r="106">
      <c r="A106">
        <f>IFERROR(INDEX('Etsy Import'!$A:$CZ,106,Settings!$C$20)&amp;"","")</f>
        <v/>
      </c>
      <c r="B106">
        <f>IFERROR(INDEX('Etsy Import'!$A:$CZ,106,Settings!$C$21)&amp;"","")</f>
        <v/>
      </c>
      <c r="C106">
        <f>IFERROR(INDEX('Etsy Import'!$A:$CZ,106,Settings!$C$22)&amp;"","")</f>
        <v/>
      </c>
      <c r="D106">
        <f>IF(A106="","",IFERROR(VALUE(SUBSTITUTE(SUBSTITUTE(INDEX('Etsy Import'!$A:$CZ,106,Settings!$C$23)&amp;"","$",""),",","")),0))</f>
        <v/>
      </c>
      <c r="E106" s="11">
        <f>IF(A106="","",IFERROR(VALUE(SUBSTITUTE(SUBSTITUTE(INDEX('Etsy Import'!$A:$CZ,106,Settings!$C$24)&amp;"","$",""),",","")),0))</f>
        <v/>
      </c>
      <c r="F106" s="11">
        <f>IF(A106="","",D106*E106)</f>
        <v/>
      </c>
      <c r="G106">
        <f>IF(A106="","",IF(C106="",1,COUNTIF($C$2:$C$1501,C106)))</f>
        <v/>
      </c>
      <c r="H106" s="11">
        <f>IF(A106="","",IFERROR(VALUE(SUBSTITUTE(SUBSTITUTE(INDEX('Etsy Import'!$A:$CZ,106,Settings!$C$25)&amp;"","$",""),",","")),0)/IF(Settings!$B$27="Yes",G106,1))</f>
        <v/>
      </c>
      <c r="I106" s="11">
        <f>IF(A106="","",IFERROR(VALUE(SUBSTITUTE(SUBSTITUTE(INDEX('Etsy Import'!$A:$CZ,106,Settings!$C$26)&amp;"","$",""),",","")),0)/IF(Settings!$B$27="Yes",G106,1))</f>
        <v/>
      </c>
      <c r="J106" s="11">
        <f>IF(A106="","",F106+H106-I106)</f>
        <v/>
      </c>
      <c r="K106">
        <f>IF(A106="","",IFERROR(IF(B106="",NA(),MATCH(B106,Products!$B$5:$B$204,0)),IFERROR(MATCH(A106,Products!$A$5:$A$204,0),"")))</f>
        <v/>
      </c>
      <c r="L106">
        <f>IF(A106="","",IF(K106="","⚠ not in Products",INDEX(Products!$A$5:$A$204,K106)))</f>
        <v/>
      </c>
      <c r="M106" s="11">
        <f>IF(A106="","",J106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106+IFERROR(INDEX(Settings!$D$5:$D$9,MATCH("Etsy",Settings!$A$5:$A$9,0)),0)*D106)</f>
        <v/>
      </c>
      <c r="N106" s="11">
        <f>IF(A106="","",IF(K106="",0,D106*INDEX(Products!$I$5:$I$204,K106)))</f>
        <v/>
      </c>
      <c r="O106" s="11">
        <f>IF(A106="","",IF(K106="",0,J106*INDEX(Products!$H$5:$H$204,K106)))</f>
        <v/>
      </c>
      <c r="P106" s="11">
        <f>IF(A106="","",J106-M106-N106-O106)</f>
        <v/>
      </c>
    </row>
    <row r="107">
      <c r="A107">
        <f>IFERROR(INDEX('Etsy Import'!$A:$CZ,107,Settings!$C$20)&amp;"","")</f>
        <v/>
      </c>
      <c r="B107">
        <f>IFERROR(INDEX('Etsy Import'!$A:$CZ,107,Settings!$C$21)&amp;"","")</f>
        <v/>
      </c>
      <c r="C107">
        <f>IFERROR(INDEX('Etsy Import'!$A:$CZ,107,Settings!$C$22)&amp;"","")</f>
        <v/>
      </c>
      <c r="D107">
        <f>IF(A107="","",IFERROR(VALUE(SUBSTITUTE(SUBSTITUTE(INDEX('Etsy Import'!$A:$CZ,107,Settings!$C$23)&amp;"","$",""),",","")),0))</f>
        <v/>
      </c>
      <c r="E107" s="11">
        <f>IF(A107="","",IFERROR(VALUE(SUBSTITUTE(SUBSTITUTE(INDEX('Etsy Import'!$A:$CZ,107,Settings!$C$24)&amp;"","$",""),",","")),0))</f>
        <v/>
      </c>
      <c r="F107" s="11">
        <f>IF(A107="","",D107*E107)</f>
        <v/>
      </c>
      <c r="G107">
        <f>IF(A107="","",IF(C107="",1,COUNTIF($C$2:$C$1501,C107)))</f>
        <v/>
      </c>
      <c r="H107" s="11">
        <f>IF(A107="","",IFERROR(VALUE(SUBSTITUTE(SUBSTITUTE(INDEX('Etsy Import'!$A:$CZ,107,Settings!$C$25)&amp;"","$",""),",","")),0)/IF(Settings!$B$27="Yes",G107,1))</f>
        <v/>
      </c>
      <c r="I107" s="11">
        <f>IF(A107="","",IFERROR(VALUE(SUBSTITUTE(SUBSTITUTE(INDEX('Etsy Import'!$A:$CZ,107,Settings!$C$26)&amp;"","$",""),",","")),0)/IF(Settings!$B$27="Yes",G107,1))</f>
        <v/>
      </c>
      <c r="J107" s="11">
        <f>IF(A107="","",F107+H107-I107)</f>
        <v/>
      </c>
      <c r="K107">
        <f>IF(A107="","",IFERROR(IF(B107="",NA(),MATCH(B107,Products!$B$5:$B$204,0)),IFERROR(MATCH(A107,Products!$A$5:$A$204,0),"")))</f>
        <v/>
      </c>
      <c r="L107">
        <f>IF(A107="","",IF(K107="","⚠ not in Products",INDEX(Products!$A$5:$A$204,K107)))</f>
        <v/>
      </c>
      <c r="M107" s="11">
        <f>IF(A107="","",J107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107+IFERROR(INDEX(Settings!$D$5:$D$9,MATCH("Etsy",Settings!$A$5:$A$9,0)),0)*D107)</f>
        <v/>
      </c>
      <c r="N107" s="11">
        <f>IF(A107="","",IF(K107="",0,D107*INDEX(Products!$I$5:$I$204,K107)))</f>
        <v/>
      </c>
      <c r="O107" s="11">
        <f>IF(A107="","",IF(K107="",0,J107*INDEX(Products!$H$5:$H$204,K107)))</f>
        <v/>
      </c>
      <c r="P107" s="11">
        <f>IF(A107="","",J107-M107-N107-O107)</f>
        <v/>
      </c>
    </row>
    <row r="108">
      <c r="A108">
        <f>IFERROR(INDEX('Etsy Import'!$A:$CZ,108,Settings!$C$20)&amp;"","")</f>
        <v/>
      </c>
      <c r="B108">
        <f>IFERROR(INDEX('Etsy Import'!$A:$CZ,108,Settings!$C$21)&amp;"","")</f>
        <v/>
      </c>
      <c r="C108">
        <f>IFERROR(INDEX('Etsy Import'!$A:$CZ,108,Settings!$C$22)&amp;"","")</f>
        <v/>
      </c>
      <c r="D108">
        <f>IF(A108="","",IFERROR(VALUE(SUBSTITUTE(SUBSTITUTE(INDEX('Etsy Import'!$A:$CZ,108,Settings!$C$23)&amp;"","$",""),",","")),0))</f>
        <v/>
      </c>
      <c r="E108" s="11">
        <f>IF(A108="","",IFERROR(VALUE(SUBSTITUTE(SUBSTITUTE(INDEX('Etsy Import'!$A:$CZ,108,Settings!$C$24)&amp;"","$",""),",","")),0))</f>
        <v/>
      </c>
      <c r="F108" s="11">
        <f>IF(A108="","",D108*E108)</f>
        <v/>
      </c>
      <c r="G108">
        <f>IF(A108="","",IF(C108="",1,COUNTIF($C$2:$C$1501,C108)))</f>
        <v/>
      </c>
      <c r="H108" s="11">
        <f>IF(A108="","",IFERROR(VALUE(SUBSTITUTE(SUBSTITUTE(INDEX('Etsy Import'!$A:$CZ,108,Settings!$C$25)&amp;"","$",""),",","")),0)/IF(Settings!$B$27="Yes",G108,1))</f>
        <v/>
      </c>
      <c r="I108" s="11">
        <f>IF(A108="","",IFERROR(VALUE(SUBSTITUTE(SUBSTITUTE(INDEX('Etsy Import'!$A:$CZ,108,Settings!$C$26)&amp;"","$",""),",","")),0)/IF(Settings!$B$27="Yes",G108,1))</f>
        <v/>
      </c>
      <c r="J108" s="11">
        <f>IF(A108="","",F108+H108-I108)</f>
        <v/>
      </c>
      <c r="K108">
        <f>IF(A108="","",IFERROR(IF(B108="",NA(),MATCH(B108,Products!$B$5:$B$204,0)),IFERROR(MATCH(A108,Products!$A$5:$A$204,0),"")))</f>
        <v/>
      </c>
      <c r="L108">
        <f>IF(A108="","",IF(K108="","⚠ not in Products",INDEX(Products!$A$5:$A$204,K108)))</f>
        <v/>
      </c>
      <c r="M108" s="11">
        <f>IF(A108="","",J108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108+IFERROR(INDEX(Settings!$D$5:$D$9,MATCH("Etsy",Settings!$A$5:$A$9,0)),0)*D108)</f>
        <v/>
      </c>
      <c r="N108" s="11">
        <f>IF(A108="","",IF(K108="",0,D108*INDEX(Products!$I$5:$I$204,K108)))</f>
        <v/>
      </c>
      <c r="O108" s="11">
        <f>IF(A108="","",IF(K108="",0,J108*INDEX(Products!$H$5:$H$204,K108)))</f>
        <v/>
      </c>
      <c r="P108" s="11">
        <f>IF(A108="","",J108-M108-N108-O108)</f>
        <v/>
      </c>
    </row>
    <row r="109">
      <c r="A109">
        <f>IFERROR(INDEX('Etsy Import'!$A:$CZ,109,Settings!$C$20)&amp;"","")</f>
        <v/>
      </c>
      <c r="B109">
        <f>IFERROR(INDEX('Etsy Import'!$A:$CZ,109,Settings!$C$21)&amp;"","")</f>
        <v/>
      </c>
      <c r="C109">
        <f>IFERROR(INDEX('Etsy Import'!$A:$CZ,109,Settings!$C$22)&amp;"","")</f>
        <v/>
      </c>
      <c r="D109">
        <f>IF(A109="","",IFERROR(VALUE(SUBSTITUTE(SUBSTITUTE(INDEX('Etsy Import'!$A:$CZ,109,Settings!$C$23)&amp;"","$",""),",","")),0))</f>
        <v/>
      </c>
      <c r="E109" s="11">
        <f>IF(A109="","",IFERROR(VALUE(SUBSTITUTE(SUBSTITUTE(INDEX('Etsy Import'!$A:$CZ,109,Settings!$C$24)&amp;"","$",""),",","")),0))</f>
        <v/>
      </c>
      <c r="F109" s="11">
        <f>IF(A109="","",D109*E109)</f>
        <v/>
      </c>
      <c r="G109">
        <f>IF(A109="","",IF(C109="",1,COUNTIF($C$2:$C$1501,C109)))</f>
        <v/>
      </c>
      <c r="H109" s="11">
        <f>IF(A109="","",IFERROR(VALUE(SUBSTITUTE(SUBSTITUTE(INDEX('Etsy Import'!$A:$CZ,109,Settings!$C$25)&amp;"","$",""),",","")),0)/IF(Settings!$B$27="Yes",G109,1))</f>
        <v/>
      </c>
      <c r="I109" s="11">
        <f>IF(A109="","",IFERROR(VALUE(SUBSTITUTE(SUBSTITUTE(INDEX('Etsy Import'!$A:$CZ,109,Settings!$C$26)&amp;"","$",""),",","")),0)/IF(Settings!$B$27="Yes",G109,1))</f>
        <v/>
      </c>
      <c r="J109" s="11">
        <f>IF(A109="","",F109+H109-I109)</f>
        <v/>
      </c>
      <c r="K109">
        <f>IF(A109="","",IFERROR(IF(B109="",NA(),MATCH(B109,Products!$B$5:$B$204,0)),IFERROR(MATCH(A109,Products!$A$5:$A$204,0),"")))</f>
        <v/>
      </c>
      <c r="L109">
        <f>IF(A109="","",IF(K109="","⚠ not in Products",INDEX(Products!$A$5:$A$204,K109)))</f>
        <v/>
      </c>
      <c r="M109" s="11">
        <f>IF(A109="","",J109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109+IFERROR(INDEX(Settings!$D$5:$D$9,MATCH("Etsy",Settings!$A$5:$A$9,0)),0)*D109)</f>
        <v/>
      </c>
      <c r="N109" s="11">
        <f>IF(A109="","",IF(K109="",0,D109*INDEX(Products!$I$5:$I$204,K109)))</f>
        <v/>
      </c>
      <c r="O109" s="11">
        <f>IF(A109="","",IF(K109="",0,J109*INDEX(Products!$H$5:$H$204,K109)))</f>
        <v/>
      </c>
      <c r="P109" s="11">
        <f>IF(A109="","",J109-M109-N109-O109)</f>
        <v/>
      </c>
    </row>
    <row r="110">
      <c r="A110">
        <f>IFERROR(INDEX('Etsy Import'!$A:$CZ,110,Settings!$C$20)&amp;"","")</f>
        <v/>
      </c>
      <c r="B110">
        <f>IFERROR(INDEX('Etsy Import'!$A:$CZ,110,Settings!$C$21)&amp;"","")</f>
        <v/>
      </c>
      <c r="C110">
        <f>IFERROR(INDEX('Etsy Import'!$A:$CZ,110,Settings!$C$22)&amp;"","")</f>
        <v/>
      </c>
      <c r="D110">
        <f>IF(A110="","",IFERROR(VALUE(SUBSTITUTE(SUBSTITUTE(INDEX('Etsy Import'!$A:$CZ,110,Settings!$C$23)&amp;"","$",""),",","")),0))</f>
        <v/>
      </c>
      <c r="E110" s="11">
        <f>IF(A110="","",IFERROR(VALUE(SUBSTITUTE(SUBSTITUTE(INDEX('Etsy Import'!$A:$CZ,110,Settings!$C$24)&amp;"","$",""),",","")),0))</f>
        <v/>
      </c>
      <c r="F110" s="11">
        <f>IF(A110="","",D110*E110)</f>
        <v/>
      </c>
      <c r="G110">
        <f>IF(A110="","",IF(C110="",1,COUNTIF($C$2:$C$1501,C110)))</f>
        <v/>
      </c>
      <c r="H110" s="11">
        <f>IF(A110="","",IFERROR(VALUE(SUBSTITUTE(SUBSTITUTE(INDEX('Etsy Import'!$A:$CZ,110,Settings!$C$25)&amp;"","$",""),",","")),0)/IF(Settings!$B$27="Yes",G110,1))</f>
        <v/>
      </c>
      <c r="I110" s="11">
        <f>IF(A110="","",IFERROR(VALUE(SUBSTITUTE(SUBSTITUTE(INDEX('Etsy Import'!$A:$CZ,110,Settings!$C$26)&amp;"","$",""),",","")),0)/IF(Settings!$B$27="Yes",G110,1))</f>
        <v/>
      </c>
      <c r="J110" s="11">
        <f>IF(A110="","",F110+H110-I110)</f>
        <v/>
      </c>
      <c r="K110">
        <f>IF(A110="","",IFERROR(IF(B110="",NA(),MATCH(B110,Products!$B$5:$B$204,0)),IFERROR(MATCH(A110,Products!$A$5:$A$204,0),"")))</f>
        <v/>
      </c>
      <c r="L110">
        <f>IF(A110="","",IF(K110="","⚠ not in Products",INDEX(Products!$A$5:$A$204,K110)))</f>
        <v/>
      </c>
      <c r="M110" s="11">
        <f>IF(A110="","",J110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110+IFERROR(INDEX(Settings!$D$5:$D$9,MATCH("Etsy",Settings!$A$5:$A$9,0)),0)*D110)</f>
        <v/>
      </c>
      <c r="N110" s="11">
        <f>IF(A110="","",IF(K110="",0,D110*INDEX(Products!$I$5:$I$204,K110)))</f>
        <v/>
      </c>
      <c r="O110" s="11">
        <f>IF(A110="","",IF(K110="",0,J110*INDEX(Products!$H$5:$H$204,K110)))</f>
        <v/>
      </c>
      <c r="P110" s="11">
        <f>IF(A110="","",J110-M110-N110-O110)</f>
        <v/>
      </c>
    </row>
    <row r="111">
      <c r="A111">
        <f>IFERROR(INDEX('Etsy Import'!$A:$CZ,111,Settings!$C$20)&amp;"","")</f>
        <v/>
      </c>
      <c r="B111">
        <f>IFERROR(INDEX('Etsy Import'!$A:$CZ,111,Settings!$C$21)&amp;"","")</f>
        <v/>
      </c>
      <c r="C111">
        <f>IFERROR(INDEX('Etsy Import'!$A:$CZ,111,Settings!$C$22)&amp;"","")</f>
        <v/>
      </c>
      <c r="D111">
        <f>IF(A111="","",IFERROR(VALUE(SUBSTITUTE(SUBSTITUTE(INDEX('Etsy Import'!$A:$CZ,111,Settings!$C$23)&amp;"","$",""),",","")),0))</f>
        <v/>
      </c>
      <c r="E111" s="11">
        <f>IF(A111="","",IFERROR(VALUE(SUBSTITUTE(SUBSTITUTE(INDEX('Etsy Import'!$A:$CZ,111,Settings!$C$24)&amp;"","$",""),",","")),0))</f>
        <v/>
      </c>
      <c r="F111" s="11">
        <f>IF(A111="","",D111*E111)</f>
        <v/>
      </c>
      <c r="G111">
        <f>IF(A111="","",IF(C111="",1,COUNTIF($C$2:$C$1501,C111)))</f>
        <v/>
      </c>
      <c r="H111" s="11">
        <f>IF(A111="","",IFERROR(VALUE(SUBSTITUTE(SUBSTITUTE(INDEX('Etsy Import'!$A:$CZ,111,Settings!$C$25)&amp;"","$",""),",","")),0)/IF(Settings!$B$27="Yes",G111,1))</f>
        <v/>
      </c>
      <c r="I111" s="11">
        <f>IF(A111="","",IFERROR(VALUE(SUBSTITUTE(SUBSTITUTE(INDEX('Etsy Import'!$A:$CZ,111,Settings!$C$26)&amp;"","$",""),",","")),0)/IF(Settings!$B$27="Yes",G111,1))</f>
        <v/>
      </c>
      <c r="J111" s="11">
        <f>IF(A111="","",F111+H111-I111)</f>
        <v/>
      </c>
      <c r="K111">
        <f>IF(A111="","",IFERROR(IF(B111="",NA(),MATCH(B111,Products!$B$5:$B$204,0)),IFERROR(MATCH(A111,Products!$A$5:$A$204,0),"")))</f>
        <v/>
      </c>
      <c r="L111">
        <f>IF(A111="","",IF(K111="","⚠ not in Products",INDEX(Products!$A$5:$A$204,K111)))</f>
        <v/>
      </c>
      <c r="M111" s="11">
        <f>IF(A111="","",J111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111+IFERROR(INDEX(Settings!$D$5:$D$9,MATCH("Etsy",Settings!$A$5:$A$9,0)),0)*D111)</f>
        <v/>
      </c>
      <c r="N111" s="11">
        <f>IF(A111="","",IF(K111="",0,D111*INDEX(Products!$I$5:$I$204,K111)))</f>
        <v/>
      </c>
      <c r="O111" s="11">
        <f>IF(A111="","",IF(K111="",0,J111*INDEX(Products!$H$5:$H$204,K111)))</f>
        <v/>
      </c>
      <c r="P111" s="11">
        <f>IF(A111="","",J111-M111-N111-O111)</f>
        <v/>
      </c>
    </row>
    <row r="112">
      <c r="A112">
        <f>IFERROR(INDEX('Etsy Import'!$A:$CZ,112,Settings!$C$20)&amp;"","")</f>
        <v/>
      </c>
      <c r="B112">
        <f>IFERROR(INDEX('Etsy Import'!$A:$CZ,112,Settings!$C$21)&amp;"","")</f>
        <v/>
      </c>
      <c r="C112">
        <f>IFERROR(INDEX('Etsy Import'!$A:$CZ,112,Settings!$C$22)&amp;"","")</f>
        <v/>
      </c>
      <c r="D112">
        <f>IF(A112="","",IFERROR(VALUE(SUBSTITUTE(SUBSTITUTE(INDEX('Etsy Import'!$A:$CZ,112,Settings!$C$23)&amp;"","$",""),",","")),0))</f>
        <v/>
      </c>
      <c r="E112" s="11">
        <f>IF(A112="","",IFERROR(VALUE(SUBSTITUTE(SUBSTITUTE(INDEX('Etsy Import'!$A:$CZ,112,Settings!$C$24)&amp;"","$",""),",","")),0))</f>
        <v/>
      </c>
      <c r="F112" s="11">
        <f>IF(A112="","",D112*E112)</f>
        <v/>
      </c>
      <c r="G112">
        <f>IF(A112="","",IF(C112="",1,COUNTIF($C$2:$C$1501,C112)))</f>
        <v/>
      </c>
      <c r="H112" s="11">
        <f>IF(A112="","",IFERROR(VALUE(SUBSTITUTE(SUBSTITUTE(INDEX('Etsy Import'!$A:$CZ,112,Settings!$C$25)&amp;"","$",""),",","")),0)/IF(Settings!$B$27="Yes",G112,1))</f>
        <v/>
      </c>
      <c r="I112" s="11">
        <f>IF(A112="","",IFERROR(VALUE(SUBSTITUTE(SUBSTITUTE(INDEX('Etsy Import'!$A:$CZ,112,Settings!$C$26)&amp;"","$",""),",","")),0)/IF(Settings!$B$27="Yes",G112,1))</f>
        <v/>
      </c>
      <c r="J112" s="11">
        <f>IF(A112="","",F112+H112-I112)</f>
        <v/>
      </c>
      <c r="K112">
        <f>IF(A112="","",IFERROR(IF(B112="",NA(),MATCH(B112,Products!$B$5:$B$204,0)),IFERROR(MATCH(A112,Products!$A$5:$A$204,0),"")))</f>
        <v/>
      </c>
      <c r="L112">
        <f>IF(A112="","",IF(K112="","⚠ not in Products",INDEX(Products!$A$5:$A$204,K112)))</f>
        <v/>
      </c>
      <c r="M112" s="11">
        <f>IF(A112="","",J112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112+IFERROR(INDEX(Settings!$D$5:$D$9,MATCH("Etsy",Settings!$A$5:$A$9,0)),0)*D112)</f>
        <v/>
      </c>
      <c r="N112" s="11">
        <f>IF(A112="","",IF(K112="",0,D112*INDEX(Products!$I$5:$I$204,K112)))</f>
        <v/>
      </c>
      <c r="O112" s="11">
        <f>IF(A112="","",IF(K112="",0,J112*INDEX(Products!$H$5:$H$204,K112)))</f>
        <v/>
      </c>
      <c r="P112" s="11">
        <f>IF(A112="","",J112-M112-N112-O112)</f>
        <v/>
      </c>
    </row>
    <row r="113">
      <c r="A113">
        <f>IFERROR(INDEX('Etsy Import'!$A:$CZ,113,Settings!$C$20)&amp;"","")</f>
        <v/>
      </c>
      <c r="B113">
        <f>IFERROR(INDEX('Etsy Import'!$A:$CZ,113,Settings!$C$21)&amp;"","")</f>
        <v/>
      </c>
      <c r="C113">
        <f>IFERROR(INDEX('Etsy Import'!$A:$CZ,113,Settings!$C$22)&amp;"","")</f>
        <v/>
      </c>
      <c r="D113">
        <f>IF(A113="","",IFERROR(VALUE(SUBSTITUTE(SUBSTITUTE(INDEX('Etsy Import'!$A:$CZ,113,Settings!$C$23)&amp;"","$",""),",","")),0))</f>
        <v/>
      </c>
      <c r="E113" s="11">
        <f>IF(A113="","",IFERROR(VALUE(SUBSTITUTE(SUBSTITUTE(INDEX('Etsy Import'!$A:$CZ,113,Settings!$C$24)&amp;"","$",""),",","")),0))</f>
        <v/>
      </c>
      <c r="F113" s="11">
        <f>IF(A113="","",D113*E113)</f>
        <v/>
      </c>
      <c r="G113">
        <f>IF(A113="","",IF(C113="",1,COUNTIF($C$2:$C$1501,C113)))</f>
        <v/>
      </c>
      <c r="H113" s="11">
        <f>IF(A113="","",IFERROR(VALUE(SUBSTITUTE(SUBSTITUTE(INDEX('Etsy Import'!$A:$CZ,113,Settings!$C$25)&amp;"","$",""),",","")),0)/IF(Settings!$B$27="Yes",G113,1))</f>
        <v/>
      </c>
      <c r="I113" s="11">
        <f>IF(A113="","",IFERROR(VALUE(SUBSTITUTE(SUBSTITUTE(INDEX('Etsy Import'!$A:$CZ,113,Settings!$C$26)&amp;"","$",""),",","")),0)/IF(Settings!$B$27="Yes",G113,1))</f>
        <v/>
      </c>
      <c r="J113" s="11">
        <f>IF(A113="","",F113+H113-I113)</f>
        <v/>
      </c>
      <c r="K113">
        <f>IF(A113="","",IFERROR(IF(B113="",NA(),MATCH(B113,Products!$B$5:$B$204,0)),IFERROR(MATCH(A113,Products!$A$5:$A$204,0),"")))</f>
        <v/>
      </c>
      <c r="L113">
        <f>IF(A113="","",IF(K113="","⚠ not in Products",INDEX(Products!$A$5:$A$204,K113)))</f>
        <v/>
      </c>
      <c r="M113" s="11">
        <f>IF(A113="","",J113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113+IFERROR(INDEX(Settings!$D$5:$D$9,MATCH("Etsy",Settings!$A$5:$A$9,0)),0)*D113)</f>
        <v/>
      </c>
      <c r="N113" s="11">
        <f>IF(A113="","",IF(K113="",0,D113*INDEX(Products!$I$5:$I$204,K113)))</f>
        <v/>
      </c>
      <c r="O113" s="11">
        <f>IF(A113="","",IF(K113="",0,J113*INDEX(Products!$H$5:$H$204,K113)))</f>
        <v/>
      </c>
      <c r="P113" s="11">
        <f>IF(A113="","",J113-M113-N113-O113)</f>
        <v/>
      </c>
    </row>
    <row r="114">
      <c r="A114">
        <f>IFERROR(INDEX('Etsy Import'!$A:$CZ,114,Settings!$C$20)&amp;"","")</f>
        <v/>
      </c>
      <c r="B114">
        <f>IFERROR(INDEX('Etsy Import'!$A:$CZ,114,Settings!$C$21)&amp;"","")</f>
        <v/>
      </c>
      <c r="C114">
        <f>IFERROR(INDEX('Etsy Import'!$A:$CZ,114,Settings!$C$22)&amp;"","")</f>
        <v/>
      </c>
      <c r="D114">
        <f>IF(A114="","",IFERROR(VALUE(SUBSTITUTE(SUBSTITUTE(INDEX('Etsy Import'!$A:$CZ,114,Settings!$C$23)&amp;"","$",""),",","")),0))</f>
        <v/>
      </c>
      <c r="E114" s="11">
        <f>IF(A114="","",IFERROR(VALUE(SUBSTITUTE(SUBSTITUTE(INDEX('Etsy Import'!$A:$CZ,114,Settings!$C$24)&amp;"","$",""),",","")),0))</f>
        <v/>
      </c>
      <c r="F114" s="11">
        <f>IF(A114="","",D114*E114)</f>
        <v/>
      </c>
      <c r="G114">
        <f>IF(A114="","",IF(C114="",1,COUNTIF($C$2:$C$1501,C114)))</f>
        <v/>
      </c>
      <c r="H114" s="11">
        <f>IF(A114="","",IFERROR(VALUE(SUBSTITUTE(SUBSTITUTE(INDEX('Etsy Import'!$A:$CZ,114,Settings!$C$25)&amp;"","$",""),",","")),0)/IF(Settings!$B$27="Yes",G114,1))</f>
        <v/>
      </c>
      <c r="I114" s="11">
        <f>IF(A114="","",IFERROR(VALUE(SUBSTITUTE(SUBSTITUTE(INDEX('Etsy Import'!$A:$CZ,114,Settings!$C$26)&amp;"","$",""),",","")),0)/IF(Settings!$B$27="Yes",G114,1))</f>
        <v/>
      </c>
      <c r="J114" s="11">
        <f>IF(A114="","",F114+H114-I114)</f>
        <v/>
      </c>
      <c r="K114">
        <f>IF(A114="","",IFERROR(IF(B114="",NA(),MATCH(B114,Products!$B$5:$B$204,0)),IFERROR(MATCH(A114,Products!$A$5:$A$204,0),"")))</f>
        <v/>
      </c>
      <c r="L114">
        <f>IF(A114="","",IF(K114="","⚠ not in Products",INDEX(Products!$A$5:$A$204,K114)))</f>
        <v/>
      </c>
      <c r="M114" s="11">
        <f>IF(A114="","",J114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114+IFERROR(INDEX(Settings!$D$5:$D$9,MATCH("Etsy",Settings!$A$5:$A$9,0)),0)*D114)</f>
        <v/>
      </c>
      <c r="N114" s="11">
        <f>IF(A114="","",IF(K114="",0,D114*INDEX(Products!$I$5:$I$204,K114)))</f>
        <v/>
      </c>
      <c r="O114" s="11">
        <f>IF(A114="","",IF(K114="",0,J114*INDEX(Products!$H$5:$H$204,K114)))</f>
        <v/>
      </c>
      <c r="P114" s="11">
        <f>IF(A114="","",J114-M114-N114-O114)</f>
        <v/>
      </c>
    </row>
    <row r="115">
      <c r="A115">
        <f>IFERROR(INDEX('Etsy Import'!$A:$CZ,115,Settings!$C$20)&amp;"","")</f>
        <v/>
      </c>
      <c r="B115">
        <f>IFERROR(INDEX('Etsy Import'!$A:$CZ,115,Settings!$C$21)&amp;"","")</f>
        <v/>
      </c>
      <c r="C115">
        <f>IFERROR(INDEX('Etsy Import'!$A:$CZ,115,Settings!$C$22)&amp;"","")</f>
        <v/>
      </c>
      <c r="D115">
        <f>IF(A115="","",IFERROR(VALUE(SUBSTITUTE(SUBSTITUTE(INDEX('Etsy Import'!$A:$CZ,115,Settings!$C$23)&amp;"","$",""),",","")),0))</f>
        <v/>
      </c>
      <c r="E115" s="11">
        <f>IF(A115="","",IFERROR(VALUE(SUBSTITUTE(SUBSTITUTE(INDEX('Etsy Import'!$A:$CZ,115,Settings!$C$24)&amp;"","$",""),",","")),0))</f>
        <v/>
      </c>
      <c r="F115" s="11">
        <f>IF(A115="","",D115*E115)</f>
        <v/>
      </c>
      <c r="G115">
        <f>IF(A115="","",IF(C115="",1,COUNTIF($C$2:$C$1501,C115)))</f>
        <v/>
      </c>
      <c r="H115" s="11">
        <f>IF(A115="","",IFERROR(VALUE(SUBSTITUTE(SUBSTITUTE(INDEX('Etsy Import'!$A:$CZ,115,Settings!$C$25)&amp;"","$",""),",","")),0)/IF(Settings!$B$27="Yes",G115,1))</f>
        <v/>
      </c>
      <c r="I115" s="11">
        <f>IF(A115="","",IFERROR(VALUE(SUBSTITUTE(SUBSTITUTE(INDEX('Etsy Import'!$A:$CZ,115,Settings!$C$26)&amp;"","$",""),",","")),0)/IF(Settings!$B$27="Yes",G115,1))</f>
        <v/>
      </c>
      <c r="J115" s="11">
        <f>IF(A115="","",F115+H115-I115)</f>
        <v/>
      </c>
      <c r="K115">
        <f>IF(A115="","",IFERROR(IF(B115="",NA(),MATCH(B115,Products!$B$5:$B$204,0)),IFERROR(MATCH(A115,Products!$A$5:$A$204,0),"")))</f>
        <v/>
      </c>
      <c r="L115">
        <f>IF(A115="","",IF(K115="","⚠ not in Products",INDEX(Products!$A$5:$A$204,K115)))</f>
        <v/>
      </c>
      <c r="M115" s="11">
        <f>IF(A115="","",J115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115+IFERROR(INDEX(Settings!$D$5:$D$9,MATCH("Etsy",Settings!$A$5:$A$9,0)),0)*D115)</f>
        <v/>
      </c>
      <c r="N115" s="11">
        <f>IF(A115="","",IF(K115="",0,D115*INDEX(Products!$I$5:$I$204,K115)))</f>
        <v/>
      </c>
      <c r="O115" s="11">
        <f>IF(A115="","",IF(K115="",0,J115*INDEX(Products!$H$5:$H$204,K115)))</f>
        <v/>
      </c>
      <c r="P115" s="11">
        <f>IF(A115="","",J115-M115-N115-O115)</f>
        <v/>
      </c>
    </row>
    <row r="116">
      <c r="A116">
        <f>IFERROR(INDEX('Etsy Import'!$A:$CZ,116,Settings!$C$20)&amp;"","")</f>
        <v/>
      </c>
      <c r="B116">
        <f>IFERROR(INDEX('Etsy Import'!$A:$CZ,116,Settings!$C$21)&amp;"","")</f>
        <v/>
      </c>
      <c r="C116">
        <f>IFERROR(INDEX('Etsy Import'!$A:$CZ,116,Settings!$C$22)&amp;"","")</f>
        <v/>
      </c>
      <c r="D116">
        <f>IF(A116="","",IFERROR(VALUE(SUBSTITUTE(SUBSTITUTE(INDEX('Etsy Import'!$A:$CZ,116,Settings!$C$23)&amp;"","$",""),",","")),0))</f>
        <v/>
      </c>
      <c r="E116" s="11">
        <f>IF(A116="","",IFERROR(VALUE(SUBSTITUTE(SUBSTITUTE(INDEX('Etsy Import'!$A:$CZ,116,Settings!$C$24)&amp;"","$",""),",","")),0))</f>
        <v/>
      </c>
      <c r="F116" s="11">
        <f>IF(A116="","",D116*E116)</f>
        <v/>
      </c>
      <c r="G116">
        <f>IF(A116="","",IF(C116="",1,COUNTIF($C$2:$C$1501,C116)))</f>
        <v/>
      </c>
      <c r="H116" s="11">
        <f>IF(A116="","",IFERROR(VALUE(SUBSTITUTE(SUBSTITUTE(INDEX('Etsy Import'!$A:$CZ,116,Settings!$C$25)&amp;"","$",""),",","")),0)/IF(Settings!$B$27="Yes",G116,1))</f>
        <v/>
      </c>
      <c r="I116" s="11">
        <f>IF(A116="","",IFERROR(VALUE(SUBSTITUTE(SUBSTITUTE(INDEX('Etsy Import'!$A:$CZ,116,Settings!$C$26)&amp;"","$",""),",","")),0)/IF(Settings!$B$27="Yes",G116,1))</f>
        <v/>
      </c>
      <c r="J116" s="11">
        <f>IF(A116="","",F116+H116-I116)</f>
        <v/>
      </c>
      <c r="K116">
        <f>IF(A116="","",IFERROR(IF(B116="",NA(),MATCH(B116,Products!$B$5:$B$204,0)),IFERROR(MATCH(A116,Products!$A$5:$A$204,0),"")))</f>
        <v/>
      </c>
      <c r="L116">
        <f>IF(A116="","",IF(K116="","⚠ not in Products",INDEX(Products!$A$5:$A$204,K116)))</f>
        <v/>
      </c>
      <c r="M116" s="11">
        <f>IF(A116="","",J116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116+IFERROR(INDEX(Settings!$D$5:$D$9,MATCH("Etsy",Settings!$A$5:$A$9,0)),0)*D116)</f>
        <v/>
      </c>
      <c r="N116" s="11">
        <f>IF(A116="","",IF(K116="",0,D116*INDEX(Products!$I$5:$I$204,K116)))</f>
        <v/>
      </c>
      <c r="O116" s="11">
        <f>IF(A116="","",IF(K116="",0,J116*INDEX(Products!$H$5:$H$204,K116)))</f>
        <v/>
      </c>
      <c r="P116" s="11">
        <f>IF(A116="","",J116-M116-N116-O116)</f>
        <v/>
      </c>
    </row>
    <row r="117">
      <c r="A117">
        <f>IFERROR(INDEX('Etsy Import'!$A:$CZ,117,Settings!$C$20)&amp;"","")</f>
        <v/>
      </c>
      <c r="B117">
        <f>IFERROR(INDEX('Etsy Import'!$A:$CZ,117,Settings!$C$21)&amp;"","")</f>
        <v/>
      </c>
      <c r="C117">
        <f>IFERROR(INDEX('Etsy Import'!$A:$CZ,117,Settings!$C$22)&amp;"","")</f>
        <v/>
      </c>
      <c r="D117">
        <f>IF(A117="","",IFERROR(VALUE(SUBSTITUTE(SUBSTITUTE(INDEX('Etsy Import'!$A:$CZ,117,Settings!$C$23)&amp;"","$",""),",","")),0))</f>
        <v/>
      </c>
      <c r="E117" s="11">
        <f>IF(A117="","",IFERROR(VALUE(SUBSTITUTE(SUBSTITUTE(INDEX('Etsy Import'!$A:$CZ,117,Settings!$C$24)&amp;"","$",""),",","")),0))</f>
        <v/>
      </c>
      <c r="F117" s="11">
        <f>IF(A117="","",D117*E117)</f>
        <v/>
      </c>
      <c r="G117">
        <f>IF(A117="","",IF(C117="",1,COUNTIF($C$2:$C$1501,C117)))</f>
        <v/>
      </c>
      <c r="H117" s="11">
        <f>IF(A117="","",IFERROR(VALUE(SUBSTITUTE(SUBSTITUTE(INDEX('Etsy Import'!$A:$CZ,117,Settings!$C$25)&amp;"","$",""),",","")),0)/IF(Settings!$B$27="Yes",G117,1))</f>
        <v/>
      </c>
      <c r="I117" s="11">
        <f>IF(A117="","",IFERROR(VALUE(SUBSTITUTE(SUBSTITUTE(INDEX('Etsy Import'!$A:$CZ,117,Settings!$C$26)&amp;"","$",""),",","")),0)/IF(Settings!$B$27="Yes",G117,1))</f>
        <v/>
      </c>
      <c r="J117" s="11">
        <f>IF(A117="","",F117+H117-I117)</f>
        <v/>
      </c>
      <c r="K117">
        <f>IF(A117="","",IFERROR(IF(B117="",NA(),MATCH(B117,Products!$B$5:$B$204,0)),IFERROR(MATCH(A117,Products!$A$5:$A$204,0),"")))</f>
        <v/>
      </c>
      <c r="L117">
        <f>IF(A117="","",IF(K117="","⚠ not in Products",INDEX(Products!$A$5:$A$204,K117)))</f>
        <v/>
      </c>
      <c r="M117" s="11">
        <f>IF(A117="","",J117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117+IFERROR(INDEX(Settings!$D$5:$D$9,MATCH("Etsy",Settings!$A$5:$A$9,0)),0)*D117)</f>
        <v/>
      </c>
      <c r="N117" s="11">
        <f>IF(A117="","",IF(K117="",0,D117*INDEX(Products!$I$5:$I$204,K117)))</f>
        <v/>
      </c>
      <c r="O117" s="11">
        <f>IF(A117="","",IF(K117="",0,J117*INDEX(Products!$H$5:$H$204,K117)))</f>
        <v/>
      </c>
      <c r="P117" s="11">
        <f>IF(A117="","",J117-M117-N117-O117)</f>
        <v/>
      </c>
    </row>
    <row r="118">
      <c r="A118">
        <f>IFERROR(INDEX('Etsy Import'!$A:$CZ,118,Settings!$C$20)&amp;"","")</f>
        <v/>
      </c>
      <c r="B118">
        <f>IFERROR(INDEX('Etsy Import'!$A:$CZ,118,Settings!$C$21)&amp;"","")</f>
        <v/>
      </c>
      <c r="C118">
        <f>IFERROR(INDEX('Etsy Import'!$A:$CZ,118,Settings!$C$22)&amp;"","")</f>
        <v/>
      </c>
      <c r="D118">
        <f>IF(A118="","",IFERROR(VALUE(SUBSTITUTE(SUBSTITUTE(INDEX('Etsy Import'!$A:$CZ,118,Settings!$C$23)&amp;"","$",""),",","")),0))</f>
        <v/>
      </c>
      <c r="E118" s="11">
        <f>IF(A118="","",IFERROR(VALUE(SUBSTITUTE(SUBSTITUTE(INDEX('Etsy Import'!$A:$CZ,118,Settings!$C$24)&amp;"","$",""),",","")),0))</f>
        <v/>
      </c>
      <c r="F118" s="11">
        <f>IF(A118="","",D118*E118)</f>
        <v/>
      </c>
      <c r="G118">
        <f>IF(A118="","",IF(C118="",1,COUNTIF($C$2:$C$1501,C118)))</f>
        <v/>
      </c>
      <c r="H118" s="11">
        <f>IF(A118="","",IFERROR(VALUE(SUBSTITUTE(SUBSTITUTE(INDEX('Etsy Import'!$A:$CZ,118,Settings!$C$25)&amp;"","$",""),",","")),0)/IF(Settings!$B$27="Yes",G118,1))</f>
        <v/>
      </c>
      <c r="I118" s="11">
        <f>IF(A118="","",IFERROR(VALUE(SUBSTITUTE(SUBSTITUTE(INDEX('Etsy Import'!$A:$CZ,118,Settings!$C$26)&amp;"","$",""),",","")),0)/IF(Settings!$B$27="Yes",G118,1))</f>
        <v/>
      </c>
      <c r="J118" s="11">
        <f>IF(A118="","",F118+H118-I118)</f>
        <v/>
      </c>
      <c r="K118">
        <f>IF(A118="","",IFERROR(IF(B118="",NA(),MATCH(B118,Products!$B$5:$B$204,0)),IFERROR(MATCH(A118,Products!$A$5:$A$204,0),"")))</f>
        <v/>
      </c>
      <c r="L118">
        <f>IF(A118="","",IF(K118="","⚠ not in Products",INDEX(Products!$A$5:$A$204,K118)))</f>
        <v/>
      </c>
      <c r="M118" s="11">
        <f>IF(A118="","",J118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118+IFERROR(INDEX(Settings!$D$5:$D$9,MATCH("Etsy",Settings!$A$5:$A$9,0)),0)*D118)</f>
        <v/>
      </c>
      <c r="N118" s="11">
        <f>IF(A118="","",IF(K118="",0,D118*INDEX(Products!$I$5:$I$204,K118)))</f>
        <v/>
      </c>
      <c r="O118" s="11">
        <f>IF(A118="","",IF(K118="",0,J118*INDEX(Products!$H$5:$H$204,K118)))</f>
        <v/>
      </c>
      <c r="P118" s="11">
        <f>IF(A118="","",J118-M118-N118-O118)</f>
        <v/>
      </c>
    </row>
    <row r="119">
      <c r="A119">
        <f>IFERROR(INDEX('Etsy Import'!$A:$CZ,119,Settings!$C$20)&amp;"","")</f>
        <v/>
      </c>
      <c r="B119">
        <f>IFERROR(INDEX('Etsy Import'!$A:$CZ,119,Settings!$C$21)&amp;"","")</f>
        <v/>
      </c>
      <c r="C119">
        <f>IFERROR(INDEX('Etsy Import'!$A:$CZ,119,Settings!$C$22)&amp;"","")</f>
        <v/>
      </c>
      <c r="D119">
        <f>IF(A119="","",IFERROR(VALUE(SUBSTITUTE(SUBSTITUTE(INDEX('Etsy Import'!$A:$CZ,119,Settings!$C$23)&amp;"","$",""),",","")),0))</f>
        <v/>
      </c>
      <c r="E119" s="11">
        <f>IF(A119="","",IFERROR(VALUE(SUBSTITUTE(SUBSTITUTE(INDEX('Etsy Import'!$A:$CZ,119,Settings!$C$24)&amp;"","$",""),",","")),0))</f>
        <v/>
      </c>
      <c r="F119" s="11">
        <f>IF(A119="","",D119*E119)</f>
        <v/>
      </c>
      <c r="G119">
        <f>IF(A119="","",IF(C119="",1,COUNTIF($C$2:$C$1501,C119)))</f>
        <v/>
      </c>
      <c r="H119" s="11">
        <f>IF(A119="","",IFERROR(VALUE(SUBSTITUTE(SUBSTITUTE(INDEX('Etsy Import'!$A:$CZ,119,Settings!$C$25)&amp;"","$",""),",","")),0)/IF(Settings!$B$27="Yes",G119,1))</f>
        <v/>
      </c>
      <c r="I119" s="11">
        <f>IF(A119="","",IFERROR(VALUE(SUBSTITUTE(SUBSTITUTE(INDEX('Etsy Import'!$A:$CZ,119,Settings!$C$26)&amp;"","$",""),",","")),0)/IF(Settings!$B$27="Yes",G119,1))</f>
        <v/>
      </c>
      <c r="J119" s="11">
        <f>IF(A119="","",F119+H119-I119)</f>
        <v/>
      </c>
      <c r="K119">
        <f>IF(A119="","",IFERROR(IF(B119="",NA(),MATCH(B119,Products!$B$5:$B$204,0)),IFERROR(MATCH(A119,Products!$A$5:$A$204,0),"")))</f>
        <v/>
      </c>
      <c r="L119">
        <f>IF(A119="","",IF(K119="","⚠ not in Products",INDEX(Products!$A$5:$A$204,K119)))</f>
        <v/>
      </c>
      <c r="M119" s="11">
        <f>IF(A119="","",J119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119+IFERROR(INDEX(Settings!$D$5:$D$9,MATCH("Etsy",Settings!$A$5:$A$9,0)),0)*D119)</f>
        <v/>
      </c>
      <c r="N119" s="11">
        <f>IF(A119="","",IF(K119="",0,D119*INDEX(Products!$I$5:$I$204,K119)))</f>
        <v/>
      </c>
      <c r="O119" s="11">
        <f>IF(A119="","",IF(K119="",0,J119*INDEX(Products!$H$5:$H$204,K119)))</f>
        <v/>
      </c>
      <c r="P119" s="11">
        <f>IF(A119="","",J119-M119-N119-O119)</f>
        <v/>
      </c>
    </row>
    <row r="120">
      <c r="A120">
        <f>IFERROR(INDEX('Etsy Import'!$A:$CZ,120,Settings!$C$20)&amp;"","")</f>
        <v/>
      </c>
      <c r="B120">
        <f>IFERROR(INDEX('Etsy Import'!$A:$CZ,120,Settings!$C$21)&amp;"","")</f>
        <v/>
      </c>
      <c r="C120">
        <f>IFERROR(INDEX('Etsy Import'!$A:$CZ,120,Settings!$C$22)&amp;"","")</f>
        <v/>
      </c>
      <c r="D120">
        <f>IF(A120="","",IFERROR(VALUE(SUBSTITUTE(SUBSTITUTE(INDEX('Etsy Import'!$A:$CZ,120,Settings!$C$23)&amp;"","$",""),",","")),0))</f>
        <v/>
      </c>
      <c r="E120" s="11">
        <f>IF(A120="","",IFERROR(VALUE(SUBSTITUTE(SUBSTITUTE(INDEX('Etsy Import'!$A:$CZ,120,Settings!$C$24)&amp;"","$",""),",","")),0))</f>
        <v/>
      </c>
      <c r="F120" s="11">
        <f>IF(A120="","",D120*E120)</f>
        <v/>
      </c>
      <c r="G120">
        <f>IF(A120="","",IF(C120="",1,COUNTIF($C$2:$C$1501,C120)))</f>
        <v/>
      </c>
      <c r="H120" s="11">
        <f>IF(A120="","",IFERROR(VALUE(SUBSTITUTE(SUBSTITUTE(INDEX('Etsy Import'!$A:$CZ,120,Settings!$C$25)&amp;"","$",""),",","")),0)/IF(Settings!$B$27="Yes",G120,1))</f>
        <v/>
      </c>
      <c r="I120" s="11">
        <f>IF(A120="","",IFERROR(VALUE(SUBSTITUTE(SUBSTITUTE(INDEX('Etsy Import'!$A:$CZ,120,Settings!$C$26)&amp;"","$",""),",","")),0)/IF(Settings!$B$27="Yes",G120,1))</f>
        <v/>
      </c>
      <c r="J120" s="11">
        <f>IF(A120="","",F120+H120-I120)</f>
        <v/>
      </c>
      <c r="K120">
        <f>IF(A120="","",IFERROR(IF(B120="",NA(),MATCH(B120,Products!$B$5:$B$204,0)),IFERROR(MATCH(A120,Products!$A$5:$A$204,0),"")))</f>
        <v/>
      </c>
      <c r="L120">
        <f>IF(A120="","",IF(K120="","⚠ not in Products",INDEX(Products!$A$5:$A$204,K120)))</f>
        <v/>
      </c>
      <c r="M120" s="11">
        <f>IF(A120="","",J120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120+IFERROR(INDEX(Settings!$D$5:$D$9,MATCH("Etsy",Settings!$A$5:$A$9,0)),0)*D120)</f>
        <v/>
      </c>
      <c r="N120" s="11">
        <f>IF(A120="","",IF(K120="",0,D120*INDEX(Products!$I$5:$I$204,K120)))</f>
        <v/>
      </c>
      <c r="O120" s="11">
        <f>IF(A120="","",IF(K120="",0,J120*INDEX(Products!$H$5:$H$204,K120)))</f>
        <v/>
      </c>
      <c r="P120" s="11">
        <f>IF(A120="","",J120-M120-N120-O120)</f>
        <v/>
      </c>
    </row>
    <row r="121">
      <c r="A121">
        <f>IFERROR(INDEX('Etsy Import'!$A:$CZ,121,Settings!$C$20)&amp;"","")</f>
        <v/>
      </c>
      <c r="B121">
        <f>IFERROR(INDEX('Etsy Import'!$A:$CZ,121,Settings!$C$21)&amp;"","")</f>
        <v/>
      </c>
      <c r="C121">
        <f>IFERROR(INDEX('Etsy Import'!$A:$CZ,121,Settings!$C$22)&amp;"","")</f>
        <v/>
      </c>
      <c r="D121">
        <f>IF(A121="","",IFERROR(VALUE(SUBSTITUTE(SUBSTITUTE(INDEX('Etsy Import'!$A:$CZ,121,Settings!$C$23)&amp;"","$",""),",","")),0))</f>
        <v/>
      </c>
      <c r="E121" s="11">
        <f>IF(A121="","",IFERROR(VALUE(SUBSTITUTE(SUBSTITUTE(INDEX('Etsy Import'!$A:$CZ,121,Settings!$C$24)&amp;"","$",""),",","")),0))</f>
        <v/>
      </c>
      <c r="F121" s="11">
        <f>IF(A121="","",D121*E121)</f>
        <v/>
      </c>
      <c r="G121">
        <f>IF(A121="","",IF(C121="",1,COUNTIF($C$2:$C$1501,C121)))</f>
        <v/>
      </c>
      <c r="H121" s="11">
        <f>IF(A121="","",IFERROR(VALUE(SUBSTITUTE(SUBSTITUTE(INDEX('Etsy Import'!$A:$CZ,121,Settings!$C$25)&amp;"","$",""),",","")),0)/IF(Settings!$B$27="Yes",G121,1))</f>
        <v/>
      </c>
      <c r="I121" s="11">
        <f>IF(A121="","",IFERROR(VALUE(SUBSTITUTE(SUBSTITUTE(INDEX('Etsy Import'!$A:$CZ,121,Settings!$C$26)&amp;"","$",""),",","")),0)/IF(Settings!$B$27="Yes",G121,1))</f>
        <v/>
      </c>
      <c r="J121" s="11">
        <f>IF(A121="","",F121+H121-I121)</f>
        <v/>
      </c>
      <c r="K121">
        <f>IF(A121="","",IFERROR(IF(B121="",NA(),MATCH(B121,Products!$B$5:$B$204,0)),IFERROR(MATCH(A121,Products!$A$5:$A$204,0),"")))</f>
        <v/>
      </c>
      <c r="L121">
        <f>IF(A121="","",IF(K121="","⚠ not in Products",INDEX(Products!$A$5:$A$204,K121)))</f>
        <v/>
      </c>
      <c r="M121" s="11">
        <f>IF(A121="","",J121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121+IFERROR(INDEX(Settings!$D$5:$D$9,MATCH("Etsy",Settings!$A$5:$A$9,0)),0)*D121)</f>
        <v/>
      </c>
      <c r="N121" s="11">
        <f>IF(A121="","",IF(K121="",0,D121*INDEX(Products!$I$5:$I$204,K121)))</f>
        <v/>
      </c>
      <c r="O121" s="11">
        <f>IF(A121="","",IF(K121="",0,J121*INDEX(Products!$H$5:$H$204,K121)))</f>
        <v/>
      </c>
      <c r="P121" s="11">
        <f>IF(A121="","",J121-M121-N121-O121)</f>
        <v/>
      </c>
    </row>
    <row r="122">
      <c r="A122">
        <f>IFERROR(INDEX('Etsy Import'!$A:$CZ,122,Settings!$C$20)&amp;"","")</f>
        <v/>
      </c>
      <c r="B122">
        <f>IFERROR(INDEX('Etsy Import'!$A:$CZ,122,Settings!$C$21)&amp;"","")</f>
        <v/>
      </c>
      <c r="C122">
        <f>IFERROR(INDEX('Etsy Import'!$A:$CZ,122,Settings!$C$22)&amp;"","")</f>
        <v/>
      </c>
      <c r="D122">
        <f>IF(A122="","",IFERROR(VALUE(SUBSTITUTE(SUBSTITUTE(INDEX('Etsy Import'!$A:$CZ,122,Settings!$C$23)&amp;"","$",""),",","")),0))</f>
        <v/>
      </c>
      <c r="E122" s="11">
        <f>IF(A122="","",IFERROR(VALUE(SUBSTITUTE(SUBSTITUTE(INDEX('Etsy Import'!$A:$CZ,122,Settings!$C$24)&amp;"","$",""),",","")),0))</f>
        <v/>
      </c>
      <c r="F122" s="11">
        <f>IF(A122="","",D122*E122)</f>
        <v/>
      </c>
      <c r="G122">
        <f>IF(A122="","",IF(C122="",1,COUNTIF($C$2:$C$1501,C122)))</f>
        <v/>
      </c>
      <c r="H122" s="11">
        <f>IF(A122="","",IFERROR(VALUE(SUBSTITUTE(SUBSTITUTE(INDEX('Etsy Import'!$A:$CZ,122,Settings!$C$25)&amp;"","$",""),",","")),0)/IF(Settings!$B$27="Yes",G122,1))</f>
        <v/>
      </c>
      <c r="I122" s="11">
        <f>IF(A122="","",IFERROR(VALUE(SUBSTITUTE(SUBSTITUTE(INDEX('Etsy Import'!$A:$CZ,122,Settings!$C$26)&amp;"","$",""),",","")),0)/IF(Settings!$B$27="Yes",G122,1))</f>
        <v/>
      </c>
      <c r="J122" s="11">
        <f>IF(A122="","",F122+H122-I122)</f>
        <v/>
      </c>
      <c r="K122">
        <f>IF(A122="","",IFERROR(IF(B122="",NA(),MATCH(B122,Products!$B$5:$B$204,0)),IFERROR(MATCH(A122,Products!$A$5:$A$204,0),"")))</f>
        <v/>
      </c>
      <c r="L122">
        <f>IF(A122="","",IF(K122="","⚠ not in Products",INDEX(Products!$A$5:$A$204,K122)))</f>
        <v/>
      </c>
      <c r="M122" s="11">
        <f>IF(A122="","",J122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122+IFERROR(INDEX(Settings!$D$5:$D$9,MATCH("Etsy",Settings!$A$5:$A$9,0)),0)*D122)</f>
        <v/>
      </c>
      <c r="N122" s="11">
        <f>IF(A122="","",IF(K122="",0,D122*INDEX(Products!$I$5:$I$204,K122)))</f>
        <v/>
      </c>
      <c r="O122" s="11">
        <f>IF(A122="","",IF(K122="",0,J122*INDEX(Products!$H$5:$H$204,K122)))</f>
        <v/>
      </c>
      <c r="P122" s="11">
        <f>IF(A122="","",J122-M122-N122-O122)</f>
        <v/>
      </c>
    </row>
    <row r="123">
      <c r="A123">
        <f>IFERROR(INDEX('Etsy Import'!$A:$CZ,123,Settings!$C$20)&amp;"","")</f>
        <v/>
      </c>
      <c r="B123">
        <f>IFERROR(INDEX('Etsy Import'!$A:$CZ,123,Settings!$C$21)&amp;"","")</f>
        <v/>
      </c>
      <c r="C123">
        <f>IFERROR(INDEX('Etsy Import'!$A:$CZ,123,Settings!$C$22)&amp;"","")</f>
        <v/>
      </c>
      <c r="D123">
        <f>IF(A123="","",IFERROR(VALUE(SUBSTITUTE(SUBSTITUTE(INDEX('Etsy Import'!$A:$CZ,123,Settings!$C$23)&amp;"","$",""),",","")),0))</f>
        <v/>
      </c>
      <c r="E123" s="11">
        <f>IF(A123="","",IFERROR(VALUE(SUBSTITUTE(SUBSTITUTE(INDEX('Etsy Import'!$A:$CZ,123,Settings!$C$24)&amp;"","$",""),",","")),0))</f>
        <v/>
      </c>
      <c r="F123" s="11">
        <f>IF(A123="","",D123*E123)</f>
        <v/>
      </c>
      <c r="G123">
        <f>IF(A123="","",IF(C123="",1,COUNTIF($C$2:$C$1501,C123)))</f>
        <v/>
      </c>
      <c r="H123" s="11">
        <f>IF(A123="","",IFERROR(VALUE(SUBSTITUTE(SUBSTITUTE(INDEX('Etsy Import'!$A:$CZ,123,Settings!$C$25)&amp;"","$",""),",","")),0)/IF(Settings!$B$27="Yes",G123,1))</f>
        <v/>
      </c>
      <c r="I123" s="11">
        <f>IF(A123="","",IFERROR(VALUE(SUBSTITUTE(SUBSTITUTE(INDEX('Etsy Import'!$A:$CZ,123,Settings!$C$26)&amp;"","$",""),",","")),0)/IF(Settings!$B$27="Yes",G123,1))</f>
        <v/>
      </c>
      <c r="J123" s="11">
        <f>IF(A123="","",F123+H123-I123)</f>
        <v/>
      </c>
      <c r="K123">
        <f>IF(A123="","",IFERROR(IF(B123="",NA(),MATCH(B123,Products!$B$5:$B$204,0)),IFERROR(MATCH(A123,Products!$A$5:$A$204,0),"")))</f>
        <v/>
      </c>
      <c r="L123">
        <f>IF(A123="","",IF(K123="","⚠ not in Products",INDEX(Products!$A$5:$A$204,K123)))</f>
        <v/>
      </c>
      <c r="M123" s="11">
        <f>IF(A123="","",J123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123+IFERROR(INDEX(Settings!$D$5:$D$9,MATCH("Etsy",Settings!$A$5:$A$9,0)),0)*D123)</f>
        <v/>
      </c>
      <c r="N123" s="11">
        <f>IF(A123="","",IF(K123="",0,D123*INDEX(Products!$I$5:$I$204,K123)))</f>
        <v/>
      </c>
      <c r="O123" s="11">
        <f>IF(A123="","",IF(K123="",0,J123*INDEX(Products!$H$5:$H$204,K123)))</f>
        <v/>
      </c>
      <c r="P123" s="11">
        <f>IF(A123="","",J123-M123-N123-O123)</f>
        <v/>
      </c>
    </row>
    <row r="124">
      <c r="A124">
        <f>IFERROR(INDEX('Etsy Import'!$A:$CZ,124,Settings!$C$20)&amp;"","")</f>
        <v/>
      </c>
      <c r="B124">
        <f>IFERROR(INDEX('Etsy Import'!$A:$CZ,124,Settings!$C$21)&amp;"","")</f>
        <v/>
      </c>
      <c r="C124">
        <f>IFERROR(INDEX('Etsy Import'!$A:$CZ,124,Settings!$C$22)&amp;"","")</f>
        <v/>
      </c>
      <c r="D124">
        <f>IF(A124="","",IFERROR(VALUE(SUBSTITUTE(SUBSTITUTE(INDEX('Etsy Import'!$A:$CZ,124,Settings!$C$23)&amp;"","$",""),",","")),0))</f>
        <v/>
      </c>
      <c r="E124" s="11">
        <f>IF(A124="","",IFERROR(VALUE(SUBSTITUTE(SUBSTITUTE(INDEX('Etsy Import'!$A:$CZ,124,Settings!$C$24)&amp;"","$",""),",","")),0))</f>
        <v/>
      </c>
      <c r="F124" s="11">
        <f>IF(A124="","",D124*E124)</f>
        <v/>
      </c>
      <c r="G124">
        <f>IF(A124="","",IF(C124="",1,COUNTIF($C$2:$C$1501,C124)))</f>
        <v/>
      </c>
      <c r="H124" s="11">
        <f>IF(A124="","",IFERROR(VALUE(SUBSTITUTE(SUBSTITUTE(INDEX('Etsy Import'!$A:$CZ,124,Settings!$C$25)&amp;"","$",""),",","")),0)/IF(Settings!$B$27="Yes",G124,1))</f>
        <v/>
      </c>
      <c r="I124" s="11">
        <f>IF(A124="","",IFERROR(VALUE(SUBSTITUTE(SUBSTITUTE(INDEX('Etsy Import'!$A:$CZ,124,Settings!$C$26)&amp;"","$",""),",","")),0)/IF(Settings!$B$27="Yes",G124,1))</f>
        <v/>
      </c>
      <c r="J124" s="11">
        <f>IF(A124="","",F124+H124-I124)</f>
        <v/>
      </c>
      <c r="K124">
        <f>IF(A124="","",IFERROR(IF(B124="",NA(),MATCH(B124,Products!$B$5:$B$204,0)),IFERROR(MATCH(A124,Products!$A$5:$A$204,0),"")))</f>
        <v/>
      </c>
      <c r="L124">
        <f>IF(A124="","",IF(K124="","⚠ not in Products",INDEX(Products!$A$5:$A$204,K124)))</f>
        <v/>
      </c>
      <c r="M124" s="11">
        <f>IF(A124="","",J124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124+IFERROR(INDEX(Settings!$D$5:$D$9,MATCH("Etsy",Settings!$A$5:$A$9,0)),0)*D124)</f>
        <v/>
      </c>
      <c r="N124" s="11">
        <f>IF(A124="","",IF(K124="",0,D124*INDEX(Products!$I$5:$I$204,K124)))</f>
        <v/>
      </c>
      <c r="O124" s="11">
        <f>IF(A124="","",IF(K124="",0,J124*INDEX(Products!$H$5:$H$204,K124)))</f>
        <v/>
      </c>
      <c r="P124" s="11">
        <f>IF(A124="","",J124-M124-N124-O124)</f>
        <v/>
      </c>
    </row>
    <row r="125">
      <c r="A125">
        <f>IFERROR(INDEX('Etsy Import'!$A:$CZ,125,Settings!$C$20)&amp;"","")</f>
        <v/>
      </c>
      <c r="B125">
        <f>IFERROR(INDEX('Etsy Import'!$A:$CZ,125,Settings!$C$21)&amp;"","")</f>
        <v/>
      </c>
      <c r="C125">
        <f>IFERROR(INDEX('Etsy Import'!$A:$CZ,125,Settings!$C$22)&amp;"","")</f>
        <v/>
      </c>
      <c r="D125">
        <f>IF(A125="","",IFERROR(VALUE(SUBSTITUTE(SUBSTITUTE(INDEX('Etsy Import'!$A:$CZ,125,Settings!$C$23)&amp;"","$",""),",","")),0))</f>
        <v/>
      </c>
      <c r="E125" s="11">
        <f>IF(A125="","",IFERROR(VALUE(SUBSTITUTE(SUBSTITUTE(INDEX('Etsy Import'!$A:$CZ,125,Settings!$C$24)&amp;"","$",""),",","")),0))</f>
        <v/>
      </c>
      <c r="F125" s="11">
        <f>IF(A125="","",D125*E125)</f>
        <v/>
      </c>
      <c r="G125">
        <f>IF(A125="","",IF(C125="",1,COUNTIF($C$2:$C$1501,C125)))</f>
        <v/>
      </c>
      <c r="H125" s="11">
        <f>IF(A125="","",IFERROR(VALUE(SUBSTITUTE(SUBSTITUTE(INDEX('Etsy Import'!$A:$CZ,125,Settings!$C$25)&amp;"","$",""),",","")),0)/IF(Settings!$B$27="Yes",G125,1))</f>
        <v/>
      </c>
      <c r="I125" s="11">
        <f>IF(A125="","",IFERROR(VALUE(SUBSTITUTE(SUBSTITUTE(INDEX('Etsy Import'!$A:$CZ,125,Settings!$C$26)&amp;"","$",""),",","")),0)/IF(Settings!$B$27="Yes",G125,1))</f>
        <v/>
      </c>
      <c r="J125" s="11">
        <f>IF(A125="","",F125+H125-I125)</f>
        <v/>
      </c>
      <c r="K125">
        <f>IF(A125="","",IFERROR(IF(B125="",NA(),MATCH(B125,Products!$B$5:$B$204,0)),IFERROR(MATCH(A125,Products!$A$5:$A$204,0),"")))</f>
        <v/>
      </c>
      <c r="L125">
        <f>IF(A125="","",IF(K125="","⚠ not in Products",INDEX(Products!$A$5:$A$204,K125)))</f>
        <v/>
      </c>
      <c r="M125" s="11">
        <f>IF(A125="","",J125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125+IFERROR(INDEX(Settings!$D$5:$D$9,MATCH("Etsy",Settings!$A$5:$A$9,0)),0)*D125)</f>
        <v/>
      </c>
      <c r="N125" s="11">
        <f>IF(A125="","",IF(K125="",0,D125*INDEX(Products!$I$5:$I$204,K125)))</f>
        <v/>
      </c>
      <c r="O125" s="11">
        <f>IF(A125="","",IF(K125="",0,J125*INDEX(Products!$H$5:$H$204,K125)))</f>
        <v/>
      </c>
      <c r="P125" s="11">
        <f>IF(A125="","",J125-M125-N125-O125)</f>
        <v/>
      </c>
    </row>
    <row r="126">
      <c r="A126">
        <f>IFERROR(INDEX('Etsy Import'!$A:$CZ,126,Settings!$C$20)&amp;"","")</f>
        <v/>
      </c>
      <c r="B126">
        <f>IFERROR(INDEX('Etsy Import'!$A:$CZ,126,Settings!$C$21)&amp;"","")</f>
        <v/>
      </c>
      <c r="C126">
        <f>IFERROR(INDEX('Etsy Import'!$A:$CZ,126,Settings!$C$22)&amp;"","")</f>
        <v/>
      </c>
      <c r="D126">
        <f>IF(A126="","",IFERROR(VALUE(SUBSTITUTE(SUBSTITUTE(INDEX('Etsy Import'!$A:$CZ,126,Settings!$C$23)&amp;"","$",""),",","")),0))</f>
        <v/>
      </c>
      <c r="E126" s="11">
        <f>IF(A126="","",IFERROR(VALUE(SUBSTITUTE(SUBSTITUTE(INDEX('Etsy Import'!$A:$CZ,126,Settings!$C$24)&amp;"","$",""),",","")),0))</f>
        <v/>
      </c>
      <c r="F126" s="11">
        <f>IF(A126="","",D126*E126)</f>
        <v/>
      </c>
      <c r="G126">
        <f>IF(A126="","",IF(C126="",1,COUNTIF($C$2:$C$1501,C126)))</f>
        <v/>
      </c>
      <c r="H126" s="11">
        <f>IF(A126="","",IFERROR(VALUE(SUBSTITUTE(SUBSTITUTE(INDEX('Etsy Import'!$A:$CZ,126,Settings!$C$25)&amp;"","$",""),",","")),0)/IF(Settings!$B$27="Yes",G126,1))</f>
        <v/>
      </c>
      <c r="I126" s="11">
        <f>IF(A126="","",IFERROR(VALUE(SUBSTITUTE(SUBSTITUTE(INDEX('Etsy Import'!$A:$CZ,126,Settings!$C$26)&amp;"","$",""),",","")),0)/IF(Settings!$B$27="Yes",G126,1))</f>
        <v/>
      </c>
      <c r="J126" s="11">
        <f>IF(A126="","",F126+H126-I126)</f>
        <v/>
      </c>
      <c r="K126">
        <f>IF(A126="","",IFERROR(IF(B126="",NA(),MATCH(B126,Products!$B$5:$B$204,0)),IFERROR(MATCH(A126,Products!$A$5:$A$204,0),"")))</f>
        <v/>
      </c>
      <c r="L126">
        <f>IF(A126="","",IF(K126="","⚠ not in Products",INDEX(Products!$A$5:$A$204,K126)))</f>
        <v/>
      </c>
      <c r="M126" s="11">
        <f>IF(A126="","",J126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126+IFERROR(INDEX(Settings!$D$5:$D$9,MATCH("Etsy",Settings!$A$5:$A$9,0)),0)*D126)</f>
        <v/>
      </c>
      <c r="N126" s="11">
        <f>IF(A126="","",IF(K126="",0,D126*INDEX(Products!$I$5:$I$204,K126)))</f>
        <v/>
      </c>
      <c r="O126" s="11">
        <f>IF(A126="","",IF(K126="",0,J126*INDEX(Products!$H$5:$H$204,K126)))</f>
        <v/>
      </c>
      <c r="P126" s="11">
        <f>IF(A126="","",J126-M126-N126-O126)</f>
        <v/>
      </c>
    </row>
    <row r="127">
      <c r="A127">
        <f>IFERROR(INDEX('Etsy Import'!$A:$CZ,127,Settings!$C$20)&amp;"","")</f>
        <v/>
      </c>
      <c r="B127">
        <f>IFERROR(INDEX('Etsy Import'!$A:$CZ,127,Settings!$C$21)&amp;"","")</f>
        <v/>
      </c>
      <c r="C127">
        <f>IFERROR(INDEX('Etsy Import'!$A:$CZ,127,Settings!$C$22)&amp;"","")</f>
        <v/>
      </c>
      <c r="D127">
        <f>IF(A127="","",IFERROR(VALUE(SUBSTITUTE(SUBSTITUTE(INDEX('Etsy Import'!$A:$CZ,127,Settings!$C$23)&amp;"","$",""),",","")),0))</f>
        <v/>
      </c>
      <c r="E127" s="11">
        <f>IF(A127="","",IFERROR(VALUE(SUBSTITUTE(SUBSTITUTE(INDEX('Etsy Import'!$A:$CZ,127,Settings!$C$24)&amp;"","$",""),",","")),0))</f>
        <v/>
      </c>
      <c r="F127" s="11">
        <f>IF(A127="","",D127*E127)</f>
        <v/>
      </c>
      <c r="G127">
        <f>IF(A127="","",IF(C127="",1,COUNTIF($C$2:$C$1501,C127)))</f>
        <v/>
      </c>
      <c r="H127" s="11">
        <f>IF(A127="","",IFERROR(VALUE(SUBSTITUTE(SUBSTITUTE(INDEX('Etsy Import'!$A:$CZ,127,Settings!$C$25)&amp;"","$",""),",","")),0)/IF(Settings!$B$27="Yes",G127,1))</f>
        <v/>
      </c>
      <c r="I127" s="11">
        <f>IF(A127="","",IFERROR(VALUE(SUBSTITUTE(SUBSTITUTE(INDEX('Etsy Import'!$A:$CZ,127,Settings!$C$26)&amp;"","$",""),",","")),0)/IF(Settings!$B$27="Yes",G127,1))</f>
        <v/>
      </c>
      <c r="J127" s="11">
        <f>IF(A127="","",F127+H127-I127)</f>
        <v/>
      </c>
      <c r="K127">
        <f>IF(A127="","",IFERROR(IF(B127="",NA(),MATCH(B127,Products!$B$5:$B$204,0)),IFERROR(MATCH(A127,Products!$A$5:$A$204,0),"")))</f>
        <v/>
      </c>
      <c r="L127">
        <f>IF(A127="","",IF(K127="","⚠ not in Products",INDEX(Products!$A$5:$A$204,K127)))</f>
        <v/>
      </c>
      <c r="M127" s="11">
        <f>IF(A127="","",J127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127+IFERROR(INDEX(Settings!$D$5:$D$9,MATCH("Etsy",Settings!$A$5:$A$9,0)),0)*D127)</f>
        <v/>
      </c>
      <c r="N127" s="11">
        <f>IF(A127="","",IF(K127="",0,D127*INDEX(Products!$I$5:$I$204,K127)))</f>
        <v/>
      </c>
      <c r="O127" s="11">
        <f>IF(A127="","",IF(K127="",0,J127*INDEX(Products!$H$5:$H$204,K127)))</f>
        <v/>
      </c>
      <c r="P127" s="11">
        <f>IF(A127="","",J127-M127-N127-O127)</f>
        <v/>
      </c>
    </row>
    <row r="128">
      <c r="A128">
        <f>IFERROR(INDEX('Etsy Import'!$A:$CZ,128,Settings!$C$20)&amp;"","")</f>
        <v/>
      </c>
      <c r="B128">
        <f>IFERROR(INDEX('Etsy Import'!$A:$CZ,128,Settings!$C$21)&amp;"","")</f>
        <v/>
      </c>
      <c r="C128">
        <f>IFERROR(INDEX('Etsy Import'!$A:$CZ,128,Settings!$C$22)&amp;"","")</f>
        <v/>
      </c>
      <c r="D128">
        <f>IF(A128="","",IFERROR(VALUE(SUBSTITUTE(SUBSTITUTE(INDEX('Etsy Import'!$A:$CZ,128,Settings!$C$23)&amp;"","$",""),",","")),0))</f>
        <v/>
      </c>
      <c r="E128" s="11">
        <f>IF(A128="","",IFERROR(VALUE(SUBSTITUTE(SUBSTITUTE(INDEX('Etsy Import'!$A:$CZ,128,Settings!$C$24)&amp;"","$",""),",","")),0))</f>
        <v/>
      </c>
      <c r="F128" s="11">
        <f>IF(A128="","",D128*E128)</f>
        <v/>
      </c>
      <c r="G128">
        <f>IF(A128="","",IF(C128="",1,COUNTIF($C$2:$C$1501,C128)))</f>
        <v/>
      </c>
      <c r="H128" s="11">
        <f>IF(A128="","",IFERROR(VALUE(SUBSTITUTE(SUBSTITUTE(INDEX('Etsy Import'!$A:$CZ,128,Settings!$C$25)&amp;"","$",""),",","")),0)/IF(Settings!$B$27="Yes",G128,1))</f>
        <v/>
      </c>
      <c r="I128" s="11">
        <f>IF(A128="","",IFERROR(VALUE(SUBSTITUTE(SUBSTITUTE(INDEX('Etsy Import'!$A:$CZ,128,Settings!$C$26)&amp;"","$",""),",","")),0)/IF(Settings!$B$27="Yes",G128,1))</f>
        <v/>
      </c>
      <c r="J128" s="11">
        <f>IF(A128="","",F128+H128-I128)</f>
        <v/>
      </c>
      <c r="K128">
        <f>IF(A128="","",IFERROR(IF(B128="",NA(),MATCH(B128,Products!$B$5:$B$204,0)),IFERROR(MATCH(A128,Products!$A$5:$A$204,0),"")))</f>
        <v/>
      </c>
      <c r="L128">
        <f>IF(A128="","",IF(K128="","⚠ not in Products",INDEX(Products!$A$5:$A$204,K128)))</f>
        <v/>
      </c>
      <c r="M128" s="11">
        <f>IF(A128="","",J128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128+IFERROR(INDEX(Settings!$D$5:$D$9,MATCH("Etsy",Settings!$A$5:$A$9,0)),0)*D128)</f>
        <v/>
      </c>
      <c r="N128" s="11">
        <f>IF(A128="","",IF(K128="",0,D128*INDEX(Products!$I$5:$I$204,K128)))</f>
        <v/>
      </c>
      <c r="O128" s="11">
        <f>IF(A128="","",IF(K128="",0,J128*INDEX(Products!$H$5:$H$204,K128)))</f>
        <v/>
      </c>
      <c r="P128" s="11">
        <f>IF(A128="","",J128-M128-N128-O128)</f>
        <v/>
      </c>
    </row>
    <row r="129">
      <c r="A129">
        <f>IFERROR(INDEX('Etsy Import'!$A:$CZ,129,Settings!$C$20)&amp;"","")</f>
        <v/>
      </c>
      <c r="B129">
        <f>IFERROR(INDEX('Etsy Import'!$A:$CZ,129,Settings!$C$21)&amp;"","")</f>
        <v/>
      </c>
      <c r="C129">
        <f>IFERROR(INDEX('Etsy Import'!$A:$CZ,129,Settings!$C$22)&amp;"","")</f>
        <v/>
      </c>
      <c r="D129">
        <f>IF(A129="","",IFERROR(VALUE(SUBSTITUTE(SUBSTITUTE(INDEX('Etsy Import'!$A:$CZ,129,Settings!$C$23)&amp;"","$",""),",","")),0))</f>
        <v/>
      </c>
      <c r="E129" s="11">
        <f>IF(A129="","",IFERROR(VALUE(SUBSTITUTE(SUBSTITUTE(INDEX('Etsy Import'!$A:$CZ,129,Settings!$C$24)&amp;"","$",""),",","")),0))</f>
        <v/>
      </c>
      <c r="F129" s="11">
        <f>IF(A129="","",D129*E129)</f>
        <v/>
      </c>
      <c r="G129">
        <f>IF(A129="","",IF(C129="",1,COUNTIF($C$2:$C$1501,C129)))</f>
        <v/>
      </c>
      <c r="H129" s="11">
        <f>IF(A129="","",IFERROR(VALUE(SUBSTITUTE(SUBSTITUTE(INDEX('Etsy Import'!$A:$CZ,129,Settings!$C$25)&amp;"","$",""),",","")),0)/IF(Settings!$B$27="Yes",G129,1))</f>
        <v/>
      </c>
      <c r="I129" s="11">
        <f>IF(A129="","",IFERROR(VALUE(SUBSTITUTE(SUBSTITUTE(INDEX('Etsy Import'!$A:$CZ,129,Settings!$C$26)&amp;"","$",""),",","")),0)/IF(Settings!$B$27="Yes",G129,1))</f>
        <v/>
      </c>
      <c r="J129" s="11">
        <f>IF(A129="","",F129+H129-I129)</f>
        <v/>
      </c>
      <c r="K129">
        <f>IF(A129="","",IFERROR(IF(B129="",NA(),MATCH(B129,Products!$B$5:$B$204,0)),IFERROR(MATCH(A129,Products!$A$5:$A$204,0),"")))</f>
        <v/>
      </c>
      <c r="L129">
        <f>IF(A129="","",IF(K129="","⚠ not in Products",INDEX(Products!$A$5:$A$204,K129)))</f>
        <v/>
      </c>
      <c r="M129" s="11">
        <f>IF(A129="","",J129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129+IFERROR(INDEX(Settings!$D$5:$D$9,MATCH("Etsy",Settings!$A$5:$A$9,0)),0)*D129)</f>
        <v/>
      </c>
      <c r="N129" s="11">
        <f>IF(A129="","",IF(K129="",0,D129*INDEX(Products!$I$5:$I$204,K129)))</f>
        <v/>
      </c>
      <c r="O129" s="11">
        <f>IF(A129="","",IF(K129="",0,J129*INDEX(Products!$H$5:$H$204,K129)))</f>
        <v/>
      </c>
      <c r="P129" s="11">
        <f>IF(A129="","",J129-M129-N129-O129)</f>
        <v/>
      </c>
    </row>
    <row r="130">
      <c r="A130">
        <f>IFERROR(INDEX('Etsy Import'!$A:$CZ,130,Settings!$C$20)&amp;"","")</f>
        <v/>
      </c>
      <c r="B130">
        <f>IFERROR(INDEX('Etsy Import'!$A:$CZ,130,Settings!$C$21)&amp;"","")</f>
        <v/>
      </c>
      <c r="C130">
        <f>IFERROR(INDEX('Etsy Import'!$A:$CZ,130,Settings!$C$22)&amp;"","")</f>
        <v/>
      </c>
      <c r="D130">
        <f>IF(A130="","",IFERROR(VALUE(SUBSTITUTE(SUBSTITUTE(INDEX('Etsy Import'!$A:$CZ,130,Settings!$C$23)&amp;"","$",""),",","")),0))</f>
        <v/>
      </c>
      <c r="E130" s="11">
        <f>IF(A130="","",IFERROR(VALUE(SUBSTITUTE(SUBSTITUTE(INDEX('Etsy Import'!$A:$CZ,130,Settings!$C$24)&amp;"","$",""),",","")),0))</f>
        <v/>
      </c>
      <c r="F130" s="11">
        <f>IF(A130="","",D130*E130)</f>
        <v/>
      </c>
      <c r="G130">
        <f>IF(A130="","",IF(C130="",1,COUNTIF($C$2:$C$1501,C130)))</f>
        <v/>
      </c>
      <c r="H130" s="11">
        <f>IF(A130="","",IFERROR(VALUE(SUBSTITUTE(SUBSTITUTE(INDEX('Etsy Import'!$A:$CZ,130,Settings!$C$25)&amp;"","$",""),",","")),0)/IF(Settings!$B$27="Yes",G130,1))</f>
        <v/>
      </c>
      <c r="I130" s="11">
        <f>IF(A130="","",IFERROR(VALUE(SUBSTITUTE(SUBSTITUTE(INDEX('Etsy Import'!$A:$CZ,130,Settings!$C$26)&amp;"","$",""),",","")),0)/IF(Settings!$B$27="Yes",G130,1))</f>
        <v/>
      </c>
      <c r="J130" s="11">
        <f>IF(A130="","",F130+H130-I130)</f>
        <v/>
      </c>
      <c r="K130">
        <f>IF(A130="","",IFERROR(IF(B130="",NA(),MATCH(B130,Products!$B$5:$B$204,0)),IFERROR(MATCH(A130,Products!$A$5:$A$204,0),"")))</f>
        <v/>
      </c>
      <c r="L130">
        <f>IF(A130="","",IF(K130="","⚠ not in Products",INDEX(Products!$A$5:$A$204,K130)))</f>
        <v/>
      </c>
      <c r="M130" s="11">
        <f>IF(A130="","",J130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130+IFERROR(INDEX(Settings!$D$5:$D$9,MATCH("Etsy",Settings!$A$5:$A$9,0)),0)*D130)</f>
        <v/>
      </c>
      <c r="N130" s="11">
        <f>IF(A130="","",IF(K130="",0,D130*INDEX(Products!$I$5:$I$204,K130)))</f>
        <v/>
      </c>
      <c r="O130" s="11">
        <f>IF(A130="","",IF(K130="",0,J130*INDEX(Products!$H$5:$H$204,K130)))</f>
        <v/>
      </c>
      <c r="P130" s="11">
        <f>IF(A130="","",J130-M130-N130-O130)</f>
        <v/>
      </c>
    </row>
    <row r="131">
      <c r="A131">
        <f>IFERROR(INDEX('Etsy Import'!$A:$CZ,131,Settings!$C$20)&amp;"","")</f>
        <v/>
      </c>
      <c r="B131">
        <f>IFERROR(INDEX('Etsy Import'!$A:$CZ,131,Settings!$C$21)&amp;"","")</f>
        <v/>
      </c>
      <c r="C131">
        <f>IFERROR(INDEX('Etsy Import'!$A:$CZ,131,Settings!$C$22)&amp;"","")</f>
        <v/>
      </c>
      <c r="D131">
        <f>IF(A131="","",IFERROR(VALUE(SUBSTITUTE(SUBSTITUTE(INDEX('Etsy Import'!$A:$CZ,131,Settings!$C$23)&amp;"","$",""),",","")),0))</f>
        <v/>
      </c>
      <c r="E131" s="11">
        <f>IF(A131="","",IFERROR(VALUE(SUBSTITUTE(SUBSTITUTE(INDEX('Etsy Import'!$A:$CZ,131,Settings!$C$24)&amp;"","$",""),",","")),0))</f>
        <v/>
      </c>
      <c r="F131" s="11">
        <f>IF(A131="","",D131*E131)</f>
        <v/>
      </c>
      <c r="G131">
        <f>IF(A131="","",IF(C131="",1,COUNTIF($C$2:$C$1501,C131)))</f>
        <v/>
      </c>
      <c r="H131" s="11">
        <f>IF(A131="","",IFERROR(VALUE(SUBSTITUTE(SUBSTITUTE(INDEX('Etsy Import'!$A:$CZ,131,Settings!$C$25)&amp;"","$",""),",","")),0)/IF(Settings!$B$27="Yes",G131,1))</f>
        <v/>
      </c>
      <c r="I131" s="11">
        <f>IF(A131="","",IFERROR(VALUE(SUBSTITUTE(SUBSTITUTE(INDEX('Etsy Import'!$A:$CZ,131,Settings!$C$26)&amp;"","$",""),",","")),0)/IF(Settings!$B$27="Yes",G131,1))</f>
        <v/>
      </c>
      <c r="J131" s="11">
        <f>IF(A131="","",F131+H131-I131)</f>
        <v/>
      </c>
      <c r="K131">
        <f>IF(A131="","",IFERROR(IF(B131="",NA(),MATCH(B131,Products!$B$5:$B$204,0)),IFERROR(MATCH(A131,Products!$A$5:$A$204,0),"")))</f>
        <v/>
      </c>
      <c r="L131">
        <f>IF(A131="","",IF(K131="","⚠ not in Products",INDEX(Products!$A$5:$A$204,K131)))</f>
        <v/>
      </c>
      <c r="M131" s="11">
        <f>IF(A131="","",J131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131+IFERROR(INDEX(Settings!$D$5:$D$9,MATCH("Etsy",Settings!$A$5:$A$9,0)),0)*D131)</f>
        <v/>
      </c>
      <c r="N131" s="11">
        <f>IF(A131="","",IF(K131="",0,D131*INDEX(Products!$I$5:$I$204,K131)))</f>
        <v/>
      </c>
      <c r="O131" s="11">
        <f>IF(A131="","",IF(K131="",0,J131*INDEX(Products!$H$5:$H$204,K131)))</f>
        <v/>
      </c>
      <c r="P131" s="11">
        <f>IF(A131="","",J131-M131-N131-O131)</f>
        <v/>
      </c>
    </row>
    <row r="132">
      <c r="A132">
        <f>IFERROR(INDEX('Etsy Import'!$A:$CZ,132,Settings!$C$20)&amp;"","")</f>
        <v/>
      </c>
      <c r="B132">
        <f>IFERROR(INDEX('Etsy Import'!$A:$CZ,132,Settings!$C$21)&amp;"","")</f>
        <v/>
      </c>
      <c r="C132">
        <f>IFERROR(INDEX('Etsy Import'!$A:$CZ,132,Settings!$C$22)&amp;"","")</f>
        <v/>
      </c>
      <c r="D132">
        <f>IF(A132="","",IFERROR(VALUE(SUBSTITUTE(SUBSTITUTE(INDEX('Etsy Import'!$A:$CZ,132,Settings!$C$23)&amp;"","$",""),",","")),0))</f>
        <v/>
      </c>
      <c r="E132" s="11">
        <f>IF(A132="","",IFERROR(VALUE(SUBSTITUTE(SUBSTITUTE(INDEX('Etsy Import'!$A:$CZ,132,Settings!$C$24)&amp;"","$",""),",","")),0))</f>
        <v/>
      </c>
      <c r="F132" s="11">
        <f>IF(A132="","",D132*E132)</f>
        <v/>
      </c>
      <c r="G132">
        <f>IF(A132="","",IF(C132="",1,COUNTIF($C$2:$C$1501,C132)))</f>
        <v/>
      </c>
      <c r="H132" s="11">
        <f>IF(A132="","",IFERROR(VALUE(SUBSTITUTE(SUBSTITUTE(INDEX('Etsy Import'!$A:$CZ,132,Settings!$C$25)&amp;"","$",""),",","")),0)/IF(Settings!$B$27="Yes",G132,1))</f>
        <v/>
      </c>
      <c r="I132" s="11">
        <f>IF(A132="","",IFERROR(VALUE(SUBSTITUTE(SUBSTITUTE(INDEX('Etsy Import'!$A:$CZ,132,Settings!$C$26)&amp;"","$",""),",","")),0)/IF(Settings!$B$27="Yes",G132,1))</f>
        <v/>
      </c>
      <c r="J132" s="11">
        <f>IF(A132="","",F132+H132-I132)</f>
        <v/>
      </c>
      <c r="K132">
        <f>IF(A132="","",IFERROR(IF(B132="",NA(),MATCH(B132,Products!$B$5:$B$204,0)),IFERROR(MATCH(A132,Products!$A$5:$A$204,0),"")))</f>
        <v/>
      </c>
      <c r="L132">
        <f>IF(A132="","",IF(K132="","⚠ not in Products",INDEX(Products!$A$5:$A$204,K132)))</f>
        <v/>
      </c>
      <c r="M132" s="11">
        <f>IF(A132="","",J132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132+IFERROR(INDEX(Settings!$D$5:$D$9,MATCH("Etsy",Settings!$A$5:$A$9,0)),0)*D132)</f>
        <v/>
      </c>
      <c r="N132" s="11">
        <f>IF(A132="","",IF(K132="",0,D132*INDEX(Products!$I$5:$I$204,K132)))</f>
        <v/>
      </c>
      <c r="O132" s="11">
        <f>IF(A132="","",IF(K132="",0,J132*INDEX(Products!$H$5:$H$204,K132)))</f>
        <v/>
      </c>
      <c r="P132" s="11">
        <f>IF(A132="","",J132-M132-N132-O132)</f>
        <v/>
      </c>
    </row>
    <row r="133">
      <c r="A133">
        <f>IFERROR(INDEX('Etsy Import'!$A:$CZ,133,Settings!$C$20)&amp;"","")</f>
        <v/>
      </c>
      <c r="B133">
        <f>IFERROR(INDEX('Etsy Import'!$A:$CZ,133,Settings!$C$21)&amp;"","")</f>
        <v/>
      </c>
      <c r="C133">
        <f>IFERROR(INDEX('Etsy Import'!$A:$CZ,133,Settings!$C$22)&amp;"","")</f>
        <v/>
      </c>
      <c r="D133">
        <f>IF(A133="","",IFERROR(VALUE(SUBSTITUTE(SUBSTITUTE(INDEX('Etsy Import'!$A:$CZ,133,Settings!$C$23)&amp;"","$",""),",","")),0))</f>
        <v/>
      </c>
      <c r="E133" s="11">
        <f>IF(A133="","",IFERROR(VALUE(SUBSTITUTE(SUBSTITUTE(INDEX('Etsy Import'!$A:$CZ,133,Settings!$C$24)&amp;"","$",""),",","")),0))</f>
        <v/>
      </c>
      <c r="F133" s="11">
        <f>IF(A133="","",D133*E133)</f>
        <v/>
      </c>
      <c r="G133">
        <f>IF(A133="","",IF(C133="",1,COUNTIF($C$2:$C$1501,C133)))</f>
        <v/>
      </c>
      <c r="H133" s="11">
        <f>IF(A133="","",IFERROR(VALUE(SUBSTITUTE(SUBSTITUTE(INDEX('Etsy Import'!$A:$CZ,133,Settings!$C$25)&amp;"","$",""),",","")),0)/IF(Settings!$B$27="Yes",G133,1))</f>
        <v/>
      </c>
      <c r="I133" s="11">
        <f>IF(A133="","",IFERROR(VALUE(SUBSTITUTE(SUBSTITUTE(INDEX('Etsy Import'!$A:$CZ,133,Settings!$C$26)&amp;"","$",""),",","")),0)/IF(Settings!$B$27="Yes",G133,1))</f>
        <v/>
      </c>
      <c r="J133" s="11">
        <f>IF(A133="","",F133+H133-I133)</f>
        <v/>
      </c>
      <c r="K133">
        <f>IF(A133="","",IFERROR(IF(B133="",NA(),MATCH(B133,Products!$B$5:$B$204,0)),IFERROR(MATCH(A133,Products!$A$5:$A$204,0),"")))</f>
        <v/>
      </c>
      <c r="L133">
        <f>IF(A133="","",IF(K133="","⚠ not in Products",INDEX(Products!$A$5:$A$204,K133)))</f>
        <v/>
      </c>
      <c r="M133" s="11">
        <f>IF(A133="","",J133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133+IFERROR(INDEX(Settings!$D$5:$D$9,MATCH("Etsy",Settings!$A$5:$A$9,0)),0)*D133)</f>
        <v/>
      </c>
      <c r="N133" s="11">
        <f>IF(A133="","",IF(K133="",0,D133*INDEX(Products!$I$5:$I$204,K133)))</f>
        <v/>
      </c>
      <c r="O133" s="11">
        <f>IF(A133="","",IF(K133="",0,J133*INDEX(Products!$H$5:$H$204,K133)))</f>
        <v/>
      </c>
      <c r="P133" s="11">
        <f>IF(A133="","",J133-M133-N133-O133)</f>
        <v/>
      </c>
    </row>
    <row r="134">
      <c r="A134">
        <f>IFERROR(INDEX('Etsy Import'!$A:$CZ,134,Settings!$C$20)&amp;"","")</f>
        <v/>
      </c>
      <c r="B134">
        <f>IFERROR(INDEX('Etsy Import'!$A:$CZ,134,Settings!$C$21)&amp;"","")</f>
        <v/>
      </c>
      <c r="C134">
        <f>IFERROR(INDEX('Etsy Import'!$A:$CZ,134,Settings!$C$22)&amp;"","")</f>
        <v/>
      </c>
      <c r="D134">
        <f>IF(A134="","",IFERROR(VALUE(SUBSTITUTE(SUBSTITUTE(INDEX('Etsy Import'!$A:$CZ,134,Settings!$C$23)&amp;"","$",""),",","")),0))</f>
        <v/>
      </c>
      <c r="E134" s="11">
        <f>IF(A134="","",IFERROR(VALUE(SUBSTITUTE(SUBSTITUTE(INDEX('Etsy Import'!$A:$CZ,134,Settings!$C$24)&amp;"","$",""),",","")),0))</f>
        <v/>
      </c>
      <c r="F134" s="11">
        <f>IF(A134="","",D134*E134)</f>
        <v/>
      </c>
      <c r="G134">
        <f>IF(A134="","",IF(C134="",1,COUNTIF($C$2:$C$1501,C134)))</f>
        <v/>
      </c>
      <c r="H134" s="11">
        <f>IF(A134="","",IFERROR(VALUE(SUBSTITUTE(SUBSTITUTE(INDEX('Etsy Import'!$A:$CZ,134,Settings!$C$25)&amp;"","$",""),",","")),0)/IF(Settings!$B$27="Yes",G134,1))</f>
        <v/>
      </c>
      <c r="I134" s="11">
        <f>IF(A134="","",IFERROR(VALUE(SUBSTITUTE(SUBSTITUTE(INDEX('Etsy Import'!$A:$CZ,134,Settings!$C$26)&amp;"","$",""),",","")),0)/IF(Settings!$B$27="Yes",G134,1))</f>
        <v/>
      </c>
      <c r="J134" s="11">
        <f>IF(A134="","",F134+H134-I134)</f>
        <v/>
      </c>
      <c r="K134">
        <f>IF(A134="","",IFERROR(IF(B134="",NA(),MATCH(B134,Products!$B$5:$B$204,0)),IFERROR(MATCH(A134,Products!$A$5:$A$204,0),"")))</f>
        <v/>
      </c>
      <c r="L134">
        <f>IF(A134="","",IF(K134="","⚠ not in Products",INDEX(Products!$A$5:$A$204,K134)))</f>
        <v/>
      </c>
      <c r="M134" s="11">
        <f>IF(A134="","",J134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134+IFERROR(INDEX(Settings!$D$5:$D$9,MATCH("Etsy",Settings!$A$5:$A$9,0)),0)*D134)</f>
        <v/>
      </c>
      <c r="N134" s="11">
        <f>IF(A134="","",IF(K134="",0,D134*INDEX(Products!$I$5:$I$204,K134)))</f>
        <v/>
      </c>
      <c r="O134" s="11">
        <f>IF(A134="","",IF(K134="",0,J134*INDEX(Products!$H$5:$H$204,K134)))</f>
        <v/>
      </c>
      <c r="P134" s="11">
        <f>IF(A134="","",J134-M134-N134-O134)</f>
        <v/>
      </c>
    </row>
    <row r="135">
      <c r="A135">
        <f>IFERROR(INDEX('Etsy Import'!$A:$CZ,135,Settings!$C$20)&amp;"","")</f>
        <v/>
      </c>
      <c r="B135">
        <f>IFERROR(INDEX('Etsy Import'!$A:$CZ,135,Settings!$C$21)&amp;"","")</f>
        <v/>
      </c>
      <c r="C135">
        <f>IFERROR(INDEX('Etsy Import'!$A:$CZ,135,Settings!$C$22)&amp;"","")</f>
        <v/>
      </c>
      <c r="D135">
        <f>IF(A135="","",IFERROR(VALUE(SUBSTITUTE(SUBSTITUTE(INDEX('Etsy Import'!$A:$CZ,135,Settings!$C$23)&amp;"","$",""),",","")),0))</f>
        <v/>
      </c>
      <c r="E135" s="11">
        <f>IF(A135="","",IFERROR(VALUE(SUBSTITUTE(SUBSTITUTE(INDEX('Etsy Import'!$A:$CZ,135,Settings!$C$24)&amp;"","$",""),",","")),0))</f>
        <v/>
      </c>
      <c r="F135" s="11">
        <f>IF(A135="","",D135*E135)</f>
        <v/>
      </c>
      <c r="G135">
        <f>IF(A135="","",IF(C135="",1,COUNTIF($C$2:$C$1501,C135)))</f>
        <v/>
      </c>
      <c r="H135" s="11">
        <f>IF(A135="","",IFERROR(VALUE(SUBSTITUTE(SUBSTITUTE(INDEX('Etsy Import'!$A:$CZ,135,Settings!$C$25)&amp;"","$",""),",","")),0)/IF(Settings!$B$27="Yes",G135,1))</f>
        <v/>
      </c>
      <c r="I135" s="11">
        <f>IF(A135="","",IFERROR(VALUE(SUBSTITUTE(SUBSTITUTE(INDEX('Etsy Import'!$A:$CZ,135,Settings!$C$26)&amp;"","$",""),",","")),0)/IF(Settings!$B$27="Yes",G135,1))</f>
        <v/>
      </c>
      <c r="J135" s="11">
        <f>IF(A135="","",F135+H135-I135)</f>
        <v/>
      </c>
      <c r="K135">
        <f>IF(A135="","",IFERROR(IF(B135="",NA(),MATCH(B135,Products!$B$5:$B$204,0)),IFERROR(MATCH(A135,Products!$A$5:$A$204,0),"")))</f>
        <v/>
      </c>
      <c r="L135">
        <f>IF(A135="","",IF(K135="","⚠ not in Products",INDEX(Products!$A$5:$A$204,K135)))</f>
        <v/>
      </c>
      <c r="M135" s="11">
        <f>IF(A135="","",J135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135+IFERROR(INDEX(Settings!$D$5:$D$9,MATCH("Etsy",Settings!$A$5:$A$9,0)),0)*D135)</f>
        <v/>
      </c>
      <c r="N135" s="11">
        <f>IF(A135="","",IF(K135="",0,D135*INDEX(Products!$I$5:$I$204,K135)))</f>
        <v/>
      </c>
      <c r="O135" s="11">
        <f>IF(A135="","",IF(K135="",0,J135*INDEX(Products!$H$5:$H$204,K135)))</f>
        <v/>
      </c>
      <c r="P135" s="11">
        <f>IF(A135="","",J135-M135-N135-O135)</f>
        <v/>
      </c>
    </row>
    <row r="136">
      <c r="A136">
        <f>IFERROR(INDEX('Etsy Import'!$A:$CZ,136,Settings!$C$20)&amp;"","")</f>
        <v/>
      </c>
      <c r="B136">
        <f>IFERROR(INDEX('Etsy Import'!$A:$CZ,136,Settings!$C$21)&amp;"","")</f>
        <v/>
      </c>
      <c r="C136">
        <f>IFERROR(INDEX('Etsy Import'!$A:$CZ,136,Settings!$C$22)&amp;"","")</f>
        <v/>
      </c>
      <c r="D136">
        <f>IF(A136="","",IFERROR(VALUE(SUBSTITUTE(SUBSTITUTE(INDEX('Etsy Import'!$A:$CZ,136,Settings!$C$23)&amp;"","$",""),",","")),0))</f>
        <v/>
      </c>
      <c r="E136" s="11">
        <f>IF(A136="","",IFERROR(VALUE(SUBSTITUTE(SUBSTITUTE(INDEX('Etsy Import'!$A:$CZ,136,Settings!$C$24)&amp;"","$",""),",","")),0))</f>
        <v/>
      </c>
      <c r="F136" s="11">
        <f>IF(A136="","",D136*E136)</f>
        <v/>
      </c>
      <c r="G136">
        <f>IF(A136="","",IF(C136="",1,COUNTIF($C$2:$C$1501,C136)))</f>
        <v/>
      </c>
      <c r="H136" s="11">
        <f>IF(A136="","",IFERROR(VALUE(SUBSTITUTE(SUBSTITUTE(INDEX('Etsy Import'!$A:$CZ,136,Settings!$C$25)&amp;"","$",""),",","")),0)/IF(Settings!$B$27="Yes",G136,1))</f>
        <v/>
      </c>
      <c r="I136" s="11">
        <f>IF(A136="","",IFERROR(VALUE(SUBSTITUTE(SUBSTITUTE(INDEX('Etsy Import'!$A:$CZ,136,Settings!$C$26)&amp;"","$",""),",","")),0)/IF(Settings!$B$27="Yes",G136,1))</f>
        <v/>
      </c>
      <c r="J136" s="11">
        <f>IF(A136="","",F136+H136-I136)</f>
        <v/>
      </c>
      <c r="K136">
        <f>IF(A136="","",IFERROR(IF(B136="",NA(),MATCH(B136,Products!$B$5:$B$204,0)),IFERROR(MATCH(A136,Products!$A$5:$A$204,0),"")))</f>
        <v/>
      </c>
      <c r="L136">
        <f>IF(A136="","",IF(K136="","⚠ not in Products",INDEX(Products!$A$5:$A$204,K136)))</f>
        <v/>
      </c>
      <c r="M136" s="11">
        <f>IF(A136="","",J136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136+IFERROR(INDEX(Settings!$D$5:$D$9,MATCH("Etsy",Settings!$A$5:$A$9,0)),0)*D136)</f>
        <v/>
      </c>
      <c r="N136" s="11">
        <f>IF(A136="","",IF(K136="",0,D136*INDEX(Products!$I$5:$I$204,K136)))</f>
        <v/>
      </c>
      <c r="O136" s="11">
        <f>IF(A136="","",IF(K136="",0,J136*INDEX(Products!$H$5:$H$204,K136)))</f>
        <v/>
      </c>
      <c r="P136" s="11">
        <f>IF(A136="","",J136-M136-N136-O136)</f>
        <v/>
      </c>
    </row>
    <row r="137">
      <c r="A137">
        <f>IFERROR(INDEX('Etsy Import'!$A:$CZ,137,Settings!$C$20)&amp;"","")</f>
        <v/>
      </c>
      <c r="B137">
        <f>IFERROR(INDEX('Etsy Import'!$A:$CZ,137,Settings!$C$21)&amp;"","")</f>
        <v/>
      </c>
      <c r="C137">
        <f>IFERROR(INDEX('Etsy Import'!$A:$CZ,137,Settings!$C$22)&amp;"","")</f>
        <v/>
      </c>
      <c r="D137">
        <f>IF(A137="","",IFERROR(VALUE(SUBSTITUTE(SUBSTITUTE(INDEX('Etsy Import'!$A:$CZ,137,Settings!$C$23)&amp;"","$",""),",","")),0))</f>
        <v/>
      </c>
      <c r="E137" s="11">
        <f>IF(A137="","",IFERROR(VALUE(SUBSTITUTE(SUBSTITUTE(INDEX('Etsy Import'!$A:$CZ,137,Settings!$C$24)&amp;"","$",""),",","")),0))</f>
        <v/>
      </c>
      <c r="F137" s="11">
        <f>IF(A137="","",D137*E137)</f>
        <v/>
      </c>
      <c r="G137">
        <f>IF(A137="","",IF(C137="",1,COUNTIF($C$2:$C$1501,C137)))</f>
        <v/>
      </c>
      <c r="H137" s="11">
        <f>IF(A137="","",IFERROR(VALUE(SUBSTITUTE(SUBSTITUTE(INDEX('Etsy Import'!$A:$CZ,137,Settings!$C$25)&amp;"","$",""),",","")),0)/IF(Settings!$B$27="Yes",G137,1))</f>
        <v/>
      </c>
      <c r="I137" s="11">
        <f>IF(A137="","",IFERROR(VALUE(SUBSTITUTE(SUBSTITUTE(INDEX('Etsy Import'!$A:$CZ,137,Settings!$C$26)&amp;"","$",""),",","")),0)/IF(Settings!$B$27="Yes",G137,1))</f>
        <v/>
      </c>
      <c r="J137" s="11">
        <f>IF(A137="","",F137+H137-I137)</f>
        <v/>
      </c>
      <c r="K137">
        <f>IF(A137="","",IFERROR(IF(B137="",NA(),MATCH(B137,Products!$B$5:$B$204,0)),IFERROR(MATCH(A137,Products!$A$5:$A$204,0),"")))</f>
        <v/>
      </c>
      <c r="L137">
        <f>IF(A137="","",IF(K137="","⚠ not in Products",INDEX(Products!$A$5:$A$204,K137)))</f>
        <v/>
      </c>
      <c r="M137" s="11">
        <f>IF(A137="","",J137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137+IFERROR(INDEX(Settings!$D$5:$D$9,MATCH("Etsy",Settings!$A$5:$A$9,0)),0)*D137)</f>
        <v/>
      </c>
      <c r="N137" s="11">
        <f>IF(A137="","",IF(K137="",0,D137*INDEX(Products!$I$5:$I$204,K137)))</f>
        <v/>
      </c>
      <c r="O137" s="11">
        <f>IF(A137="","",IF(K137="",0,J137*INDEX(Products!$H$5:$H$204,K137)))</f>
        <v/>
      </c>
      <c r="P137" s="11">
        <f>IF(A137="","",J137-M137-N137-O137)</f>
        <v/>
      </c>
    </row>
    <row r="138">
      <c r="A138">
        <f>IFERROR(INDEX('Etsy Import'!$A:$CZ,138,Settings!$C$20)&amp;"","")</f>
        <v/>
      </c>
      <c r="B138">
        <f>IFERROR(INDEX('Etsy Import'!$A:$CZ,138,Settings!$C$21)&amp;"","")</f>
        <v/>
      </c>
      <c r="C138">
        <f>IFERROR(INDEX('Etsy Import'!$A:$CZ,138,Settings!$C$22)&amp;"","")</f>
        <v/>
      </c>
      <c r="D138">
        <f>IF(A138="","",IFERROR(VALUE(SUBSTITUTE(SUBSTITUTE(INDEX('Etsy Import'!$A:$CZ,138,Settings!$C$23)&amp;"","$",""),",","")),0))</f>
        <v/>
      </c>
      <c r="E138" s="11">
        <f>IF(A138="","",IFERROR(VALUE(SUBSTITUTE(SUBSTITUTE(INDEX('Etsy Import'!$A:$CZ,138,Settings!$C$24)&amp;"","$",""),",","")),0))</f>
        <v/>
      </c>
      <c r="F138" s="11">
        <f>IF(A138="","",D138*E138)</f>
        <v/>
      </c>
      <c r="G138">
        <f>IF(A138="","",IF(C138="",1,COUNTIF($C$2:$C$1501,C138)))</f>
        <v/>
      </c>
      <c r="H138" s="11">
        <f>IF(A138="","",IFERROR(VALUE(SUBSTITUTE(SUBSTITUTE(INDEX('Etsy Import'!$A:$CZ,138,Settings!$C$25)&amp;"","$",""),",","")),0)/IF(Settings!$B$27="Yes",G138,1))</f>
        <v/>
      </c>
      <c r="I138" s="11">
        <f>IF(A138="","",IFERROR(VALUE(SUBSTITUTE(SUBSTITUTE(INDEX('Etsy Import'!$A:$CZ,138,Settings!$C$26)&amp;"","$",""),",","")),0)/IF(Settings!$B$27="Yes",G138,1))</f>
        <v/>
      </c>
      <c r="J138" s="11">
        <f>IF(A138="","",F138+H138-I138)</f>
        <v/>
      </c>
      <c r="K138">
        <f>IF(A138="","",IFERROR(IF(B138="",NA(),MATCH(B138,Products!$B$5:$B$204,0)),IFERROR(MATCH(A138,Products!$A$5:$A$204,0),"")))</f>
        <v/>
      </c>
      <c r="L138">
        <f>IF(A138="","",IF(K138="","⚠ not in Products",INDEX(Products!$A$5:$A$204,K138)))</f>
        <v/>
      </c>
      <c r="M138" s="11">
        <f>IF(A138="","",J138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138+IFERROR(INDEX(Settings!$D$5:$D$9,MATCH("Etsy",Settings!$A$5:$A$9,0)),0)*D138)</f>
        <v/>
      </c>
      <c r="N138" s="11">
        <f>IF(A138="","",IF(K138="",0,D138*INDEX(Products!$I$5:$I$204,K138)))</f>
        <v/>
      </c>
      <c r="O138" s="11">
        <f>IF(A138="","",IF(K138="",0,J138*INDEX(Products!$H$5:$H$204,K138)))</f>
        <v/>
      </c>
      <c r="P138" s="11">
        <f>IF(A138="","",J138-M138-N138-O138)</f>
        <v/>
      </c>
    </row>
    <row r="139">
      <c r="A139">
        <f>IFERROR(INDEX('Etsy Import'!$A:$CZ,139,Settings!$C$20)&amp;"","")</f>
        <v/>
      </c>
      <c r="B139">
        <f>IFERROR(INDEX('Etsy Import'!$A:$CZ,139,Settings!$C$21)&amp;"","")</f>
        <v/>
      </c>
      <c r="C139">
        <f>IFERROR(INDEX('Etsy Import'!$A:$CZ,139,Settings!$C$22)&amp;"","")</f>
        <v/>
      </c>
      <c r="D139">
        <f>IF(A139="","",IFERROR(VALUE(SUBSTITUTE(SUBSTITUTE(INDEX('Etsy Import'!$A:$CZ,139,Settings!$C$23)&amp;"","$",""),",","")),0))</f>
        <v/>
      </c>
      <c r="E139" s="11">
        <f>IF(A139="","",IFERROR(VALUE(SUBSTITUTE(SUBSTITUTE(INDEX('Etsy Import'!$A:$CZ,139,Settings!$C$24)&amp;"","$",""),",","")),0))</f>
        <v/>
      </c>
      <c r="F139" s="11">
        <f>IF(A139="","",D139*E139)</f>
        <v/>
      </c>
      <c r="G139">
        <f>IF(A139="","",IF(C139="",1,COUNTIF($C$2:$C$1501,C139)))</f>
        <v/>
      </c>
      <c r="H139" s="11">
        <f>IF(A139="","",IFERROR(VALUE(SUBSTITUTE(SUBSTITUTE(INDEX('Etsy Import'!$A:$CZ,139,Settings!$C$25)&amp;"","$",""),",","")),0)/IF(Settings!$B$27="Yes",G139,1))</f>
        <v/>
      </c>
      <c r="I139" s="11">
        <f>IF(A139="","",IFERROR(VALUE(SUBSTITUTE(SUBSTITUTE(INDEX('Etsy Import'!$A:$CZ,139,Settings!$C$26)&amp;"","$",""),",","")),0)/IF(Settings!$B$27="Yes",G139,1))</f>
        <v/>
      </c>
      <c r="J139" s="11">
        <f>IF(A139="","",F139+H139-I139)</f>
        <v/>
      </c>
      <c r="K139">
        <f>IF(A139="","",IFERROR(IF(B139="",NA(),MATCH(B139,Products!$B$5:$B$204,0)),IFERROR(MATCH(A139,Products!$A$5:$A$204,0),"")))</f>
        <v/>
      </c>
      <c r="L139">
        <f>IF(A139="","",IF(K139="","⚠ not in Products",INDEX(Products!$A$5:$A$204,K139)))</f>
        <v/>
      </c>
      <c r="M139" s="11">
        <f>IF(A139="","",J139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139+IFERROR(INDEX(Settings!$D$5:$D$9,MATCH("Etsy",Settings!$A$5:$A$9,0)),0)*D139)</f>
        <v/>
      </c>
      <c r="N139" s="11">
        <f>IF(A139="","",IF(K139="",0,D139*INDEX(Products!$I$5:$I$204,K139)))</f>
        <v/>
      </c>
      <c r="O139" s="11">
        <f>IF(A139="","",IF(K139="",0,J139*INDEX(Products!$H$5:$H$204,K139)))</f>
        <v/>
      </c>
      <c r="P139" s="11">
        <f>IF(A139="","",J139-M139-N139-O139)</f>
        <v/>
      </c>
    </row>
    <row r="140">
      <c r="A140">
        <f>IFERROR(INDEX('Etsy Import'!$A:$CZ,140,Settings!$C$20)&amp;"","")</f>
        <v/>
      </c>
      <c r="B140">
        <f>IFERROR(INDEX('Etsy Import'!$A:$CZ,140,Settings!$C$21)&amp;"","")</f>
        <v/>
      </c>
      <c r="C140">
        <f>IFERROR(INDEX('Etsy Import'!$A:$CZ,140,Settings!$C$22)&amp;"","")</f>
        <v/>
      </c>
      <c r="D140">
        <f>IF(A140="","",IFERROR(VALUE(SUBSTITUTE(SUBSTITUTE(INDEX('Etsy Import'!$A:$CZ,140,Settings!$C$23)&amp;"","$",""),",","")),0))</f>
        <v/>
      </c>
      <c r="E140" s="11">
        <f>IF(A140="","",IFERROR(VALUE(SUBSTITUTE(SUBSTITUTE(INDEX('Etsy Import'!$A:$CZ,140,Settings!$C$24)&amp;"","$",""),",","")),0))</f>
        <v/>
      </c>
      <c r="F140" s="11">
        <f>IF(A140="","",D140*E140)</f>
        <v/>
      </c>
      <c r="G140">
        <f>IF(A140="","",IF(C140="",1,COUNTIF($C$2:$C$1501,C140)))</f>
        <v/>
      </c>
      <c r="H140" s="11">
        <f>IF(A140="","",IFERROR(VALUE(SUBSTITUTE(SUBSTITUTE(INDEX('Etsy Import'!$A:$CZ,140,Settings!$C$25)&amp;"","$",""),",","")),0)/IF(Settings!$B$27="Yes",G140,1))</f>
        <v/>
      </c>
      <c r="I140" s="11">
        <f>IF(A140="","",IFERROR(VALUE(SUBSTITUTE(SUBSTITUTE(INDEX('Etsy Import'!$A:$CZ,140,Settings!$C$26)&amp;"","$",""),",","")),0)/IF(Settings!$B$27="Yes",G140,1))</f>
        <v/>
      </c>
      <c r="J140" s="11">
        <f>IF(A140="","",F140+H140-I140)</f>
        <v/>
      </c>
      <c r="K140">
        <f>IF(A140="","",IFERROR(IF(B140="",NA(),MATCH(B140,Products!$B$5:$B$204,0)),IFERROR(MATCH(A140,Products!$A$5:$A$204,0),"")))</f>
        <v/>
      </c>
      <c r="L140">
        <f>IF(A140="","",IF(K140="","⚠ not in Products",INDEX(Products!$A$5:$A$204,K140)))</f>
        <v/>
      </c>
      <c r="M140" s="11">
        <f>IF(A140="","",J140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140+IFERROR(INDEX(Settings!$D$5:$D$9,MATCH("Etsy",Settings!$A$5:$A$9,0)),0)*D140)</f>
        <v/>
      </c>
      <c r="N140" s="11">
        <f>IF(A140="","",IF(K140="",0,D140*INDEX(Products!$I$5:$I$204,K140)))</f>
        <v/>
      </c>
      <c r="O140" s="11">
        <f>IF(A140="","",IF(K140="",0,J140*INDEX(Products!$H$5:$H$204,K140)))</f>
        <v/>
      </c>
      <c r="P140" s="11">
        <f>IF(A140="","",J140-M140-N140-O140)</f>
        <v/>
      </c>
    </row>
    <row r="141">
      <c r="A141">
        <f>IFERROR(INDEX('Etsy Import'!$A:$CZ,141,Settings!$C$20)&amp;"","")</f>
        <v/>
      </c>
      <c r="B141">
        <f>IFERROR(INDEX('Etsy Import'!$A:$CZ,141,Settings!$C$21)&amp;"","")</f>
        <v/>
      </c>
      <c r="C141">
        <f>IFERROR(INDEX('Etsy Import'!$A:$CZ,141,Settings!$C$22)&amp;"","")</f>
        <v/>
      </c>
      <c r="D141">
        <f>IF(A141="","",IFERROR(VALUE(SUBSTITUTE(SUBSTITUTE(INDEX('Etsy Import'!$A:$CZ,141,Settings!$C$23)&amp;"","$",""),",","")),0))</f>
        <v/>
      </c>
      <c r="E141" s="11">
        <f>IF(A141="","",IFERROR(VALUE(SUBSTITUTE(SUBSTITUTE(INDEX('Etsy Import'!$A:$CZ,141,Settings!$C$24)&amp;"","$",""),",","")),0))</f>
        <v/>
      </c>
      <c r="F141" s="11">
        <f>IF(A141="","",D141*E141)</f>
        <v/>
      </c>
      <c r="G141">
        <f>IF(A141="","",IF(C141="",1,COUNTIF($C$2:$C$1501,C141)))</f>
        <v/>
      </c>
      <c r="H141" s="11">
        <f>IF(A141="","",IFERROR(VALUE(SUBSTITUTE(SUBSTITUTE(INDEX('Etsy Import'!$A:$CZ,141,Settings!$C$25)&amp;"","$",""),",","")),0)/IF(Settings!$B$27="Yes",G141,1))</f>
        <v/>
      </c>
      <c r="I141" s="11">
        <f>IF(A141="","",IFERROR(VALUE(SUBSTITUTE(SUBSTITUTE(INDEX('Etsy Import'!$A:$CZ,141,Settings!$C$26)&amp;"","$",""),",","")),0)/IF(Settings!$B$27="Yes",G141,1))</f>
        <v/>
      </c>
      <c r="J141" s="11">
        <f>IF(A141="","",F141+H141-I141)</f>
        <v/>
      </c>
      <c r="K141">
        <f>IF(A141="","",IFERROR(IF(B141="",NA(),MATCH(B141,Products!$B$5:$B$204,0)),IFERROR(MATCH(A141,Products!$A$5:$A$204,0),"")))</f>
        <v/>
      </c>
      <c r="L141">
        <f>IF(A141="","",IF(K141="","⚠ not in Products",INDEX(Products!$A$5:$A$204,K141)))</f>
        <v/>
      </c>
      <c r="M141" s="11">
        <f>IF(A141="","",J141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141+IFERROR(INDEX(Settings!$D$5:$D$9,MATCH("Etsy",Settings!$A$5:$A$9,0)),0)*D141)</f>
        <v/>
      </c>
      <c r="N141" s="11">
        <f>IF(A141="","",IF(K141="",0,D141*INDEX(Products!$I$5:$I$204,K141)))</f>
        <v/>
      </c>
      <c r="O141" s="11">
        <f>IF(A141="","",IF(K141="",0,J141*INDEX(Products!$H$5:$H$204,K141)))</f>
        <v/>
      </c>
      <c r="P141" s="11">
        <f>IF(A141="","",J141-M141-N141-O141)</f>
        <v/>
      </c>
    </row>
    <row r="142">
      <c r="A142">
        <f>IFERROR(INDEX('Etsy Import'!$A:$CZ,142,Settings!$C$20)&amp;"","")</f>
        <v/>
      </c>
      <c r="B142">
        <f>IFERROR(INDEX('Etsy Import'!$A:$CZ,142,Settings!$C$21)&amp;"","")</f>
        <v/>
      </c>
      <c r="C142">
        <f>IFERROR(INDEX('Etsy Import'!$A:$CZ,142,Settings!$C$22)&amp;"","")</f>
        <v/>
      </c>
      <c r="D142">
        <f>IF(A142="","",IFERROR(VALUE(SUBSTITUTE(SUBSTITUTE(INDEX('Etsy Import'!$A:$CZ,142,Settings!$C$23)&amp;"","$",""),",","")),0))</f>
        <v/>
      </c>
      <c r="E142" s="11">
        <f>IF(A142="","",IFERROR(VALUE(SUBSTITUTE(SUBSTITUTE(INDEX('Etsy Import'!$A:$CZ,142,Settings!$C$24)&amp;"","$",""),",","")),0))</f>
        <v/>
      </c>
      <c r="F142" s="11">
        <f>IF(A142="","",D142*E142)</f>
        <v/>
      </c>
      <c r="G142">
        <f>IF(A142="","",IF(C142="",1,COUNTIF($C$2:$C$1501,C142)))</f>
        <v/>
      </c>
      <c r="H142" s="11">
        <f>IF(A142="","",IFERROR(VALUE(SUBSTITUTE(SUBSTITUTE(INDEX('Etsy Import'!$A:$CZ,142,Settings!$C$25)&amp;"","$",""),",","")),0)/IF(Settings!$B$27="Yes",G142,1))</f>
        <v/>
      </c>
      <c r="I142" s="11">
        <f>IF(A142="","",IFERROR(VALUE(SUBSTITUTE(SUBSTITUTE(INDEX('Etsy Import'!$A:$CZ,142,Settings!$C$26)&amp;"","$",""),",","")),0)/IF(Settings!$B$27="Yes",G142,1))</f>
        <v/>
      </c>
      <c r="J142" s="11">
        <f>IF(A142="","",F142+H142-I142)</f>
        <v/>
      </c>
      <c r="K142">
        <f>IF(A142="","",IFERROR(IF(B142="",NA(),MATCH(B142,Products!$B$5:$B$204,0)),IFERROR(MATCH(A142,Products!$A$5:$A$204,0),"")))</f>
        <v/>
      </c>
      <c r="L142">
        <f>IF(A142="","",IF(K142="","⚠ not in Products",INDEX(Products!$A$5:$A$204,K142)))</f>
        <v/>
      </c>
      <c r="M142" s="11">
        <f>IF(A142="","",J142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142+IFERROR(INDEX(Settings!$D$5:$D$9,MATCH("Etsy",Settings!$A$5:$A$9,0)),0)*D142)</f>
        <v/>
      </c>
      <c r="N142" s="11">
        <f>IF(A142="","",IF(K142="",0,D142*INDEX(Products!$I$5:$I$204,K142)))</f>
        <v/>
      </c>
      <c r="O142" s="11">
        <f>IF(A142="","",IF(K142="",0,J142*INDEX(Products!$H$5:$H$204,K142)))</f>
        <v/>
      </c>
      <c r="P142" s="11">
        <f>IF(A142="","",J142-M142-N142-O142)</f>
        <v/>
      </c>
    </row>
    <row r="143">
      <c r="A143">
        <f>IFERROR(INDEX('Etsy Import'!$A:$CZ,143,Settings!$C$20)&amp;"","")</f>
        <v/>
      </c>
      <c r="B143">
        <f>IFERROR(INDEX('Etsy Import'!$A:$CZ,143,Settings!$C$21)&amp;"","")</f>
        <v/>
      </c>
      <c r="C143">
        <f>IFERROR(INDEX('Etsy Import'!$A:$CZ,143,Settings!$C$22)&amp;"","")</f>
        <v/>
      </c>
      <c r="D143">
        <f>IF(A143="","",IFERROR(VALUE(SUBSTITUTE(SUBSTITUTE(INDEX('Etsy Import'!$A:$CZ,143,Settings!$C$23)&amp;"","$",""),",","")),0))</f>
        <v/>
      </c>
      <c r="E143" s="11">
        <f>IF(A143="","",IFERROR(VALUE(SUBSTITUTE(SUBSTITUTE(INDEX('Etsy Import'!$A:$CZ,143,Settings!$C$24)&amp;"","$",""),",","")),0))</f>
        <v/>
      </c>
      <c r="F143" s="11">
        <f>IF(A143="","",D143*E143)</f>
        <v/>
      </c>
      <c r="G143">
        <f>IF(A143="","",IF(C143="",1,COUNTIF($C$2:$C$1501,C143)))</f>
        <v/>
      </c>
      <c r="H143" s="11">
        <f>IF(A143="","",IFERROR(VALUE(SUBSTITUTE(SUBSTITUTE(INDEX('Etsy Import'!$A:$CZ,143,Settings!$C$25)&amp;"","$",""),",","")),0)/IF(Settings!$B$27="Yes",G143,1))</f>
        <v/>
      </c>
      <c r="I143" s="11">
        <f>IF(A143="","",IFERROR(VALUE(SUBSTITUTE(SUBSTITUTE(INDEX('Etsy Import'!$A:$CZ,143,Settings!$C$26)&amp;"","$",""),",","")),0)/IF(Settings!$B$27="Yes",G143,1))</f>
        <v/>
      </c>
      <c r="J143" s="11">
        <f>IF(A143="","",F143+H143-I143)</f>
        <v/>
      </c>
      <c r="K143">
        <f>IF(A143="","",IFERROR(IF(B143="",NA(),MATCH(B143,Products!$B$5:$B$204,0)),IFERROR(MATCH(A143,Products!$A$5:$A$204,0),"")))</f>
        <v/>
      </c>
      <c r="L143">
        <f>IF(A143="","",IF(K143="","⚠ not in Products",INDEX(Products!$A$5:$A$204,K143)))</f>
        <v/>
      </c>
      <c r="M143" s="11">
        <f>IF(A143="","",J143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143+IFERROR(INDEX(Settings!$D$5:$D$9,MATCH("Etsy",Settings!$A$5:$A$9,0)),0)*D143)</f>
        <v/>
      </c>
      <c r="N143" s="11">
        <f>IF(A143="","",IF(K143="",0,D143*INDEX(Products!$I$5:$I$204,K143)))</f>
        <v/>
      </c>
      <c r="O143" s="11">
        <f>IF(A143="","",IF(K143="",0,J143*INDEX(Products!$H$5:$H$204,K143)))</f>
        <v/>
      </c>
      <c r="P143" s="11">
        <f>IF(A143="","",J143-M143-N143-O143)</f>
        <v/>
      </c>
    </row>
    <row r="144">
      <c r="A144">
        <f>IFERROR(INDEX('Etsy Import'!$A:$CZ,144,Settings!$C$20)&amp;"","")</f>
        <v/>
      </c>
      <c r="B144">
        <f>IFERROR(INDEX('Etsy Import'!$A:$CZ,144,Settings!$C$21)&amp;"","")</f>
        <v/>
      </c>
      <c r="C144">
        <f>IFERROR(INDEX('Etsy Import'!$A:$CZ,144,Settings!$C$22)&amp;"","")</f>
        <v/>
      </c>
      <c r="D144">
        <f>IF(A144="","",IFERROR(VALUE(SUBSTITUTE(SUBSTITUTE(INDEX('Etsy Import'!$A:$CZ,144,Settings!$C$23)&amp;"","$",""),",","")),0))</f>
        <v/>
      </c>
      <c r="E144" s="11">
        <f>IF(A144="","",IFERROR(VALUE(SUBSTITUTE(SUBSTITUTE(INDEX('Etsy Import'!$A:$CZ,144,Settings!$C$24)&amp;"","$",""),",","")),0))</f>
        <v/>
      </c>
      <c r="F144" s="11">
        <f>IF(A144="","",D144*E144)</f>
        <v/>
      </c>
      <c r="G144">
        <f>IF(A144="","",IF(C144="",1,COUNTIF($C$2:$C$1501,C144)))</f>
        <v/>
      </c>
      <c r="H144" s="11">
        <f>IF(A144="","",IFERROR(VALUE(SUBSTITUTE(SUBSTITUTE(INDEX('Etsy Import'!$A:$CZ,144,Settings!$C$25)&amp;"","$",""),",","")),0)/IF(Settings!$B$27="Yes",G144,1))</f>
        <v/>
      </c>
      <c r="I144" s="11">
        <f>IF(A144="","",IFERROR(VALUE(SUBSTITUTE(SUBSTITUTE(INDEX('Etsy Import'!$A:$CZ,144,Settings!$C$26)&amp;"","$",""),",","")),0)/IF(Settings!$B$27="Yes",G144,1))</f>
        <v/>
      </c>
      <c r="J144" s="11">
        <f>IF(A144="","",F144+H144-I144)</f>
        <v/>
      </c>
      <c r="K144">
        <f>IF(A144="","",IFERROR(IF(B144="",NA(),MATCH(B144,Products!$B$5:$B$204,0)),IFERROR(MATCH(A144,Products!$A$5:$A$204,0),"")))</f>
        <v/>
      </c>
      <c r="L144">
        <f>IF(A144="","",IF(K144="","⚠ not in Products",INDEX(Products!$A$5:$A$204,K144)))</f>
        <v/>
      </c>
      <c r="M144" s="11">
        <f>IF(A144="","",J144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144+IFERROR(INDEX(Settings!$D$5:$D$9,MATCH("Etsy",Settings!$A$5:$A$9,0)),0)*D144)</f>
        <v/>
      </c>
      <c r="N144" s="11">
        <f>IF(A144="","",IF(K144="",0,D144*INDEX(Products!$I$5:$I$204,K144)))</f>
        <v/>
      </c>
      <c r="O144" s="11">
        <f>IF(A144="","",IF(K144="",0,J144*INDEX(Products!$H$5:$H$204,K144)))</f>
        <v/>
      </c>
      <c r="P144" s="11">
        <f>IF(A144="","",J144-M144-N144-O144)</f>
        <v/>
      </c>
    </row>
    <row r="145">
      <c r="A145">
        <f>IFERROR(INDEX('Etsy Import'!$A:$CZ,145,Settings!$C$20)&amp;"","")</f>
        <v/>
      </c>
      <c r="B145">
        <f>IFERROR(INDEX('Etsy Import'!$A:$CZ,145,Settings!$C$21)&amp;"","")</f>
        <v/>
      </c>
      <c r="C145">
        <f>IFERROR(INDEX('Etsy Import'!$A:$CZ,145,Settings!$C$22)&amp;"","")</f>
        <v/>
      </c>
      <c r="D145">
        <f>IF(A145="","",IFERROR(VALUE(SUBSTITUTE(SUBSTITUTE(INDEX('Etsy Import'!$A:$CZ,145,Settings!$C$23)&amp;"","$",""),",","")),0))</f>
        <v/>
      </c>
      <c r="E145" s="11">
        <f>IF(A145="","",IFERROR(VALUE(SUBSTITUTE(SUBSTITUTE(INDEX('Etsy Import'!$A:$CZ,145,Settings!$C$24)&amp;"","$",""),",","")),0))</f>
        <v/>
      </c>
      <c r="F145" s="11">
        <f>IF(A145="","",D145*E145)</f>
        <v/>
      </c>
      <c r="G145">
        <f>IF(A145="","",IF(C145="",1,COUNTIF($C$2:$C$1501,C145)))</f>
        <v/>
      </c>
      <c r="H145" s="11">
        <f>IF(A145="","",IFERROR(VALUE(SUBSTITUTE(SUBSTITUTE(INDEX('Etsy Import'!$A:$CZ,145,Settings!$C$25)&amp;"","$",""),",","")),0)/IF(Settings!$B$27="Yes",G145,1))</f>
        <v/>
      </c>
      <c r="I145" s="11">
        <f>IF(A145="","",IFERROR(VALUE(SUBSTITUTE(SUBSTITUTE(INDEX('Etsy Import'!$A:$CZ,145,Settings!$C$26)&amp;"","$",""),",","")),0)/IF(Settings!$B$27="Yes",G145,1))</f>
        <v/>
      </c>
      <c r="J145" s="11">
        <f>IF(A145="","",F145+H145-I145)</f>
        <v/>
      </c>
      <c r="K145">
        <f>IF(A145="","",IFERROR(IF(B145="",NA(),MATCH(B145,Products!$B$5:$B$204,0)),IFERROR(MATCH(A145,Products!$A$5:$A$204,0),"")))</f>
        <v/>
      </c>
      <c r="L145">
        <f>IF(A145="","",IF(K145="","⚠ not in Products",INDEX(Products!$A$5:$A$204,K145)))</f>
        <v/>
      </c>
      <c r="M145" s="11">
        <f>IF(A145="","",J145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145+IFERROR(INDEX(Settings!$D$5:$D$9,MATCH("Etsy",Settings!$A$5:$A$9,0)),0)*D145)</f>
        <v/>
      </c>
      <c r="N145" s="11">
        <f>IF(A145="","",IF(K145="",0,D145*INDEX(Products!$I$5:$I$204,K145)))</f>
        <v/>
      </c>
      <c r="O145" s="11">
        <f>IF(A145="","",IF(K145="",0,J145*INDEX(Products!$H$5:$H$204,K145)))</f>
        <v/>
      </c>
      <c r="P145" s="11">
        <f>IF(A145="","",J145-M145-N145-O145)</f>
        <v/>
      </c>
    </row>
    <row r="146">
      <c r="A146">
        <f>IFERROR(INDEX('Etsy Import'!$A:$CZ,146,Settings!$C$20)&amp;"","")</f>
        <v/>
      </c>
      <c r="B146">
        <f>IFERROR(INDEX('Etsy Import'!$A:$CZ,146,Settings!$C$21)&amp;"","")</f>
        <v/>
      </c>
      <c r="C146">
        <f>IFERROR(INDEX('Etsy Import'!$A:$CZ,146,Settings!$C$22)&amp;"","")</f>
        <v/>
      </c>
      <c r="D146">
        <f>IF(A146="","",IFERROR(VALUE(SUBSTITUTE(SUBSTITUTE(INDEX('Etsy Import'!$A:$CZ,146,Settings!$C$23)&amp;"","$",""),",","")),0))</f>
        <v/>
      </c>
      <c r="E146" s="11">
        <f>IF(A146="","",IFERROR(VALUE(SUBSTITUTE(SUBSTITUTE(INDEX('Etsy Import'!$A:$CZ,146,Settings!$C$24)&amp;"","$",""),",","")),0))</f>
        <v/>
      </c>
      <c r="F146" s="11">
        <f>IF(A146="","",D146*E146)</f>
        <v/>
      </c>
      <c r="G146">
        <f>IF(A146="","",IF(C146="",1,COUNTIF($C$2:$C$1501,C146)))</f>
        <v/>
      </c>
      <c r="H146" s="11">
        <f>IF(A146="","",IFERROR(VALUE(SUBSTITUTE(SUBSTITUTE(INDEX('Etsy Import'!$A:$CZ,146,Settings!$C$25)&amp;"","$",""),",","")),0)/IF(Settings!$B$27="Yes",G146,1))</f>
        <v/>
      </c>
      <c r="I146" s="11">
        <f>IF(A146="","",IFERROR(VALUE(SUBSTITUTE(SUBSTITUTE(INDEX('Etsy Import'!$A:$CZ,146,Settings!$C$26)&amp;"","$",""),",","")),0)/IF(Settings!$B$27="Yes",G146,1))</f>
        <v/>
      </c>
      <c r="J146" s="11">
        <f>IF(A146="","",F146+H146-I146)</f>
        <v/>
      </c>
      <c r="K146">
        <f>IF(A146="","",IFERROR(IF(B146="",NA(),MATCH(B146,Products!$B$5:$B$204,0)),IFERROR(MATCH(A146,Products!$A$5:$A$204,0),"")))</f>
        <v/>
      </c>
      <c r="L146">
        <f>IF(A146="","",IF(K146="","⚠ not in Products",INDEX(Products!$A$5:$A$204,K146)))</f>
        <v/>
      </c>
      <c r="M146" s="11">
        <f>IF(A146="","",J146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146+IFERROR(INDEX(Settings!$D$5:$D$9,MATCH("Etsy",Settings!$A$5:$A$9,0)),0)*D146)</f>
        <v/>
      </c>
      <c r="N146" s="11">
        <f>IF(A146="","",IF(K146="",0,D146*INDEX(Products!$I$5:$I$204,K146)))</f>
        <v/>
      </c>
      <c r="O146" s="11">
        <f>IF(A146="","",IF(K146="",0,J146*INDEX(Products!$H$5:$H$204,K146)))</f>
        <v/>
      </c>
      <c r="P146" s="11">
        <f>IF(A146="","",J146-M146-N146-O146)</f>
        <v/>
      </c>
    </row>
    <row r="147">
      <c r="A147">
        <f>IFERROR(INDEX('Etsy Import'!$A:$CZ,147,Settings!$C$20)&amp;"","")</f>
        <v/>
      </c>
      <c r="B147">
        <f>IFERROR(INDEX('Etsy Import'!$A:$CZ,147,Settings!$C$21)&amp;"","")</f>
        <v/>
      </c>
      <c r="C147">
        <f>IFERROR(INDEX('Etsy Import'!$A:$CZ,147,Settings!$C$22)&amp;"","")</f>
        <v/>
      </c>
      <c r="D147">
        <f>IF(A147="","",IFERROR(VALUE(SUBSTITUTE(SUBSTITUTE(INDEX('Etsy Import'!$A:$CZ,147,Settings!$C$23)&amp;"","$",""),",","")),0))</f>
        <v/>
      </c>
      <c r="E147" s="11">
        <f>IF(A147="","",IFERROR(VALUE(SUBSTITUTE(SUBSTITUTE(INDEX('Etsy Import'!$A:$CZ,147,Settings!$C$24)&amp;"","$",""),",","")),0))</f>
        <v/>
      </c>
      <c r="F147" s="11">
        <f>IF(A147="","",D147*E147)</f>
        <v/>
      </c>
      <c r="G147">
        <f>IF(A147="","",IF(C147="",1,COUNTIF($C$2:$C$1501,C147)))</f>
        <v/>
      </c>
      <c r="H147" s="11">
        <f>IF(A147="","",IFERROR(VALUE(SUBSTITUTE(SUBSTITUTE(INDEX('Etsy Import'!$A:$CZ,147,Settings!$C$25)&amp;"","$",""),",","")),0)/IF(Settings!$B$27="Yes",G147,1))</f>
        <v/>
      </c>
      <c r="I147" s="11">
        <f>IF(A147="","",IFERROR(VALUE(SUBSTITUTE(SUBSTITUTE(INDEX('Etsy Import'!$A:$CZ,147,Settings!$C$26)&amp;"","$",""),",","")),0)/IF(Settings!$B$27="Yes",G147,1))</f>
        <v/>
      </c>
      <c r="J147" s="11">
        <f>IF(A147="","",F147+H147-I147)</f>
        <v/>
      </c>
      <c r="K147">
        <f>IF(A147="","",IFERROR(IF(B147="",NA(),MATCH(B147,Products!$B$5:$B$204,0)),IFERROR(MATCH(A147,Products!$A$5:$A$204,0),"")))</f>
        <v/>
      </c>
      <c r="L147">
        <f>IF(A147="","",IF(K147="","⚠ not in Products",INDEX(Products!$A$5:$A$204,K147)))</f>
        <v/>
      </c>
      <c r="M147" s="11">
        <f>IF(A147="","",J147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147+IFERROR(INDEX(Settings!$D$5:$D$9,MATCH("Etsy",Settings!$A$5:$A$9,0)),0)*D147)</f>
        <v/>
      </c>
      <c r="N147" s="11">
        <f>IF(A147="","",IF(K147="",0,D147*INDEX(Products!$I$5:$I$204,K147)))</f>
        <v/>
      </c>
      <c r="O147" s="11">
        <f>IF(A147="","",IF(K147="",0,J147*INDEX(Products!$H$5:$H$204,K147)))</f>
        <v/>
      </c>
      <c r="P147" s="11">
        <f>IF(A147="","",J147-M147-N147-O147)</f>
        <v/>
      </c>
    </row>
    <row r="148">
      <c r="A148">
        <f>IFERROR(INDEX('Etsy Import'!$A:$CZ,148,Settings!$C$20)&amp;"","")</f>
        <v/>
      </c>
      <c r="B148">
        <f>IFERROR(INDEX('Etsy Import'!$A:$CZ,148,Settings!$C$21)&amp;"","")</f>
        <v/>
      </c>
      <c r="C148">
        <f>IFERROR(INDEX('Etsy Import'!$A:$CZ,148,Settings!$C$22)&amp;"","")</f>
        <v/>
      </c>
      <c r="D148">
        <f>IF(A148="","",IFERROR(VALUE(SUBSTITUTE(SUBSTITUTE(INDEX('Etsy Import'!$A:$CZ,148,Settings!$C$23)&amp;"","$",""),",","")),0))</f>
        <v/>
      </c>
      <c r="E148" s="11">
        <f>IF(A148="","",IFERROR(VALUE(SUBSTITUTE(SUBSTITUTE(INDEX('Etsy Import'!$A:$CZ,148,Settings!$C$24)&amp;"","$",""),",","")),0))</f>
        <v/>
      </c>
      <c r="F148" s="11">
        <f>IF(A148="","",D148*E148)</f>
        <v/>
      </c>
      <c r="G148">
        <f>IF(A148="","",IF(C148="",1,COUNTIF($C$2:$C$1501,C148)))</f>
        <v/>
      </c>
      <c r="H148" s="11">
        <f>IF(A148="","",IFERROR(VALUE(SUBSTITUTE(SUBSTITUTE(INDEX('Etsy Import'!$A:$CZ,148,Settings!$C$25)&amp;"","$",""),",","")),0)/IF(Settings!$B$27="Yes",G148,1))</f>
        <v/>
      </c>
      <c r="I148" s="11">
        <f>IF(A148="","",IFERROR(VALUE(SUBSTITUTE(SUBSTITUTE(INDEX('Etsy Import'!$A:$CZ,148,Settings!$C$26)&amp;"","$",""),",","")),0)/IF(Settings!$B$27="Yes",G148,1))</f>
        <v/>
      </c>
      <c r="J148" s="11">
        <f>IF(A148="","",F148+H148-I148)</f>
        <v/>
      </c>
      <c r="K148">
        <f>IF(A148="","",IFERROR(IF(B148="",NA(),MATCH(B148,Products!$B$5:$B$204,0)),IFERROR(MATCH(A148,Products!$A$5:$A$204,0),"")))</f>
        <v/>
      </c>
      <c r="L148">
        <f>IF(A148="","",IF(K148="","⚠ not in Products",INDEX(Products!$A$5:$A$204,K148)))</f>
        <v/>
      </c>
      <c r="M148" s="11">
        <f>IF(A148="","",J148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148+IFERROR(INDEX(Settings!$D$5:$D$9,MATCH("Etsy",Settings!$A$5:$A$9,0)),0)*D148)</f>
        <v/>
      </c>
      <c r="N148" s="11">
        <f>IF(A148="","",IF(K148="",0,D148*INDEX(Products!$I$5:$I$204,K148)))</f>
        <v/>
      </c>
      <c r="O148" s="11">
        <f>IF(A148="","",IF(K148="",0,J148*INDEX(Products!$H$5:$H$204,K148)))</f>
        <v/>
      </c>
      <c r="P148" s="11">
        <f>IF(A148="","",J148-M148-N148-O148)</f>
        <v/>
      </c>
    </row>
    <row r="149">
      <c r="A149">
        <f>IFERROR(INDEX('Etsy Import'!$A:$CZ,149,Settings!$C$20)&amp;"","")</f>
        <v/>
      </c>
      <c r="B149">
        <f>IFERROR(INDEX('Etsy Import'!$A:$CZ,149,Settings!$C$21)&amp;"","")</f>
        <v/>
      </c>
      <c r="C149">
        <f>IFERROR(INDEX('Etsy Import'!$A:$CZ,149,Settings!$C$22)&amp;"","")</f>
        <v/>
      </c>
      <c r="D149">
        <f>IF(A149="","",IFERROR(VALUE(SUBSTITUTE(SUBSTITUTE(INDEX('Etsy Import'!$A:$CZ,149,Settings!$C$23)&amp;"","$",""),",","")),0))</f>
        <v/>
      </c>
      <c r="E149" s="11">
        <f>IF(A149="","",IFERROR(VALUE(SUBSTITUTE(SUBSTITUTE(INDEX('Etsy Import'!$A:$CZ,149,Settings!$C$24)&amp;"","$",""),",","")),0))</f>
        <v/>
      </c>
      <c r="F149" s="11">
        <f>IF(A149="","",D149*E149)</f>
        <v/>
      </c>
      <c r="G149">
        <f>IF(A149="","",IF(C149="",1,COUNTIF($C$2:$C$1501,C149)))</f>
        <v/>
      </c>
      <c r="H149" s="11">
        <f>IF(A149="","",IFERROR(VALUE(SUBSTITUTE(SUBSTITUTE(INDEX('Etsy Import'!$A:$CZ,149,Settings!$C$25)&amp;"","$",""),",","")),0)/IF(Settings!$B$27="Yes",G149,1))</f>
        <v/>
      </c>
      <c r="I149" s="11">
        <f>IF(A149="","",IFERROR(VALUE(SUBSTITUTE(SUBSTITUTE(INDEX('Etsy Import'!$A:$CZ,149,Settings!$C$26)&amp;"","$",""),",","")),0)/IF(Settings!$B$27="Yes",G149,1))</f>
        <v/>
      </c>
      <c r="J149" s="11">
        <f>IF(A149="","",F149+H149-I149)</f>
        <v/>
      </c>
      <c r="K149">
        <f>IF(A149="","",IFERROR(IF(B149="",NA(),MATCH(B149,Products!$B$5:$B$204,0)),IFERROR(MATCH(A149,Products!$A$5:$A$204,0),"")))</f>
        <v/>
      </c>
      <c r="L149">
        <f>IF(A149="","",IF(K149="","⚠ not in Products",INDEX(Products!$A$5:$A$204,K149)))</f>
        <v/>
      </c>
      <c r="M149" s="11">
        <f>IF(A149="","",J149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149+IFERROR(INDEX(Settings!$D$5:$D$9,MATCH("Etsy",Settings!$A$5:$A$9,0)),0)*D149)</f>
        <v/>
      </c>
      <c r="N149" s="11">
        <f>IF(A149="","",IF(K149="",0,D149*INDEX(Products!$I$5:$I$204,K149)))</f>
        <v/>
      </c>
      <c r="O149" s="11">
        <f>IF(A149="","",IF(K149="",0,J149*INDEX(Products!$H$5:$H$204,K149)))</f>
        <v/>
      </c>
      <c r="P149" s="11">
        <f>IF(A149="","",J149-M149-N149-O149)</f>
        <v/>
      </c>
    </row>
    <row r="150">
      <c r="A150">
        <f>IFERROR(INDEX('Etsy Import'!$A:$CZ,150,Settings!$C$20)&amp;"","")</f>
        <v/>
      </c>
      <c r="B150">
        <f>IFERROR(INDEX('Etsy Import'!$A:$CZ,150,Settings!$C$21)&amp;"","")</f>
        <v/>
      </c>
      <c r="C150">
        <f>IFERROR(INDEX('Etsy Import'!$A:$CZ,150,Settings!$C$22)&amp;"","")</f>
        <v/>
      </c>
      <c r="D150">
        <f>IF(A150="","",IFERROR(VALUE(SUBSTITUTE(SUBSTITUTE(INDEX('Etsy Import'!$A:$CZ,150,Settings!$C$23)&amp;"","$",""),",","")),0))</f>
        <v/>
      </c>
      <c r="E150" s="11">
        <f>IF(A150="","",IFERROR(VALUE(SUBSTITUTE(SUBSTITUTE(INDEX('Etsy Import'!$A:$CZ,150,Settings!$C$24)&amp;"","$",""),",","")),0))</f>
        <v/>
      </c>
      <c r="F150" s="11">
        <f>IF(A150="","",D150*E150)</f>
        <v/>
      </c>
      <c r="G150">
        <f>IF(A150="","",IF(C150="",1,COUNTIF($C$2:$C$1501,C150)))</f>
        <v/>
      </c>
      <c r="H150" s="11">
        <f>IF(A150="","",IFERROR(VALUE(SUBSTITUTE(SUBSTITUTE(INDEX('Etsy Import'!$A:$CZ,150,Settings!$C$25)&amp;"","$",""),",","")),0)/IF(Settings!$B$27="Yes",G150,1))</f>
        <v/>
      </c>
      <c r="I150" s="11">
        <f>IF(A150="","",IFERROR(VALUE(SUBSTITUTE(SUBSTITUTE(INDEX('Etsy Import'!$A:$CZ,150,Settings!$C$26)&amp;"","$",""),",","")),0)/IF(Settings!$B$27="Yes",G150,1))</f>
        <v/>
      </c>
      <c r="J150" s="11">
        <f>IF(A150="","",F150+H150-I150)</f>
        <v/>
      </c>
      <c r="K150">
        <f>IF(A150="","",IFERROR(IF(B150="",NA(),MATCH(B150,Products!$B$5:$B$204,0)),IFERROR(MATCH(A150,Products!$A$5:$A$204,0),"")))</f>
        <v/>
      </c>
      <c r="L150">
        <f>IF(A150="","",IF(K150="","⚠ not in Products",INDEX(Products!$A$5:$A$204,K150)))</f>
        <v/>
      </c>
      <c r="M150" s="11">
        <f>IF(A150="","",J150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150+IFERROR(INDEX(Settings!$D$5:$D$9,MATCH("Etsy",Settings!$A$5:$A$9,0)),0)*D150)</f>
        <v/>
      </c>
      <c r="N150" s="11">
        <f>IF(A150="","",IF(K150="",0,D150*INDEX(Products!$I$5:$I$204,K150)))</f>
        <v/>
      </c>
      <c r="O150" s="11">
        <f>IF(A150="","",IF(K150="",0,J150*INDEX(Products!$H$5:$H$204,K150)))</f>
        <v/>
      </c>
      <c r="P150" s="11">
        <f>IF(A150="","",J150-M150-N150-O150)</f>
        <v/>
      </c>
    </row>
    <row r="151">
      <c r="A151">
        <f>IFERROR(INDEX('Etsy Import'!$A:$CZ,151,Settings!$C$20)&amp;"","")</f>
        <v/>
      </c>
      <c r="B151">
        <f>IFERROR(INDEX('Etsy Import'!$A:$CZ,151,Settings!$C$21)&amp;"","")</f>
        <v/>
      </c>
      <c r="C151">
        <f>IFERROR(INDEX('Etsy Import'!$A:$CZ,151,Settings!$C$22)&amp;"","")</f>
        <v/>
      </c>
      <c r="D151">
        <f>IF(A151="","",IFERROR(VALUE(SUBSTITUTE(SUBSTITUTE(INDEX('Etsy Import'!$A:$CZ,151,Settings!$C$23)&amp;"","$",""),",","")),0))</f>
        <v/>
      </c>
      <c r="E151" s="11">
        <f>IF(A151="","",IFERROR(VALUE(SUBSTITUTE(SUBSTITUTE(INDEX('Etsy Import'!$A:$CZ,151,Settings!$C$24)&amp;"","$",""),",","")),0))</f>
        <v/>
      </c>
      <c r="F151" s="11">
        <f>IF(A151="","",D151*E151)</f>
        <v/>
      </c>
      <c r="G151">
        <f>IF(A151="","",IF(C151="",1,COUNTIF($C$2:$C$1501,C151)))</f>
        <v/>
      </c>
      <c r="H151" s="11">
        <f>IF(A151="","",IFERROR(VALUE(SUBSTITUTE(SUBSTITUTE(INDEX('Etsy Import'!$A:$CZ,151,Settings!$C$25)&amp;"","$",""),",","")),0)/IF(Settings!$B$27="Yes",G151,1))</f>
        <v/>
      </c>
      <c r="I151" s="11">
        <f>IF(A151="","",IFERROR(VALUE(SUBSTITUTE(SUBSTITUTE(INDEX('Etsy Import'!$A:$CZ,151,Settings!$C$26)&amp;"","$",""),",","")),0)/IF(Settings!$B$27="Yes",G151,1))</f>
        <v/>
      </c>
      <c r="J151" s="11">
        <f>IF(A151="","",F151+H151-I151)</f>
        <v/>
      </c>
      <c r="K151">
        <f>IF(A151="","",IFERROR(IF(B151="",NA(),MATCH(B151,Products!$B$5:$B$204,0)),IFERROR(MATCH(A151,Products!$A$5:$A$204,0),"")))</f>
        <v/>
      </c>
      <c r="L151">
        <f>IF(A151="","",IF(K151="","⚠ not in Products",INDEX(Products!$A$5:$A$204,K151)))</f>
        <v/>
      </c>
      <c r="M151" s="11">
        <f>IF(A151="","",J151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151+IFERROR(INDEX(Settings!$D$5:$D$9,MATCH("Etsy",Settings!$A$5:$A$9,0)),0)*D151)</f>
        <v/>
      </c>
      <c r="N151" s="11">
        <f>IF(A151="","",IF(K151="",0,D151*INDEX(Products!$I$5:$I$204,K151)))</f>
        <v/>
      </c>
      <c r="O151" s="11">
        <f>IF(A151="","",IF(K151="",0,J151*INDEX(Products!$H$5:$H$204,K151)))</f>
        <v/>
      </c>
      <c r="P151" s="11">
        <f>IF(A151="","",J151-M151-N151-O151)</f>
        <v/>
      </c>
    </row>
    <row r="152">
      <c r="A152">
        <f>IFERROR(INDEX('Etsy Import'!$A:$CZ,152,Settings!$C$20)&amp;"","")</f>
        <v/>
      </c>
      <c r="B152">
        <f>IFERROR(INDEX('Etsy Import'!$A:$CZ,152,Settings!$C$21)&amp;"","")</f>
        <v/>
      </c>
      <c r="C152">
        <f>IFERROR(INDEX('Etsy Import'!$A:$CZ,152,Settings!$C$22)&amp;"","")</f>
        <v/>
      </c>
      <c r="D152">
        <f>IF(A152="","",IFERROR(VALUE(SUBSTITUTE(SUBSTITUTE(INDEX('Etsy Import'!$A:$CZ,152,Settings!$C$23)&amp;"","$",""),",","")),0))</f>
        <v/>
      </c>
      <c r="E152" s="11">
        <f>IF(A152="","",IFERROR(VALUE(SUBSTITUTE(SUBSTITUTE(INDEX('Etsy Import'!$A:$CZ,152,Settings!$C$24)&amp;"","$",""),",","")),0))</f>
        <v/>
      </c>
      <c r="F152" s="11">
        <f>IF(A152="","",D152*E152)</f>
        <v/>
      </c>
      <c r="G152">
        <f>IF(A152="","",IF(C152="",1,COUNTIF($C$2:$C$1501,C152)))</f>
        <v/>
      </c>
      <c r="H152" s="11">
        <f>IF(A152="","",IFERROR(VALUE(SUBSTITUTE(SUBSTITUTE(INDEX('Etsy Import'!$A:$CZ,152,Settings!$C$25)&amp;"","$",""),",","")),0)/IF(Settings!$B$27="Yes",G152,1))</f>
        <v/>
      </c>
      <c r="I152" s="11">
        <f>IF(A152="","",IFERROR(VALUE(SUBSTITUTE(SUBSTITUTE(INDEX('Etsy Import'!$A:$CZ,152,Settings!$C$26)&amp;"","$",""),",","")),0)/IF(Settings!$B$27="Yes",G152,1))</f>
        <v/>
      </c>
      <c r="J152" s="11">
        <f>IF(A152="","",F152+H152-I152)</f>
        <v/>
      </c>
      <c r="K152">
        <f>IF(A152="","",IFERROR(IF(B152="",NA(),MATCH(B152,Products!$B$5:$B$204,0)),IFERROR(MATCH(A152,Products!$A$5:$A$204,0),"")))</f>
        <v/>
      </c>
      <c r="L152">
        <f>IF(A152="","",IF(K152="","⚠ not in Products",INDEX(Products!$A$5:$A$204,K152)))</f>
        <v/>
      </c>
      <c r="M152" s="11">
        <f>IF(A152="","",J152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152+IFERROR(INDEX(Settings!$D$5:$D$9,MATCH("Etsy",Settings!$A$5:$A$9,0)),0)*D152)</f>
        <v/>
      </c>
      <c r="N152" s="11">
        <f>IF(A152="","",IF(K152="",0,D152*INDEX(Products!$I$5:$I$204,K152)))</f>
        <v/>
      </c>
      <c r="O152" s="11">
        <f>IF(A152="","",IF(K152="",0,J152*INDEX(Products!$H$5:$H$204,K152)))</f>
        <v/>
      </c>
      <c r="P152" s="11">
        <f>IF(A152="","",J152-M152-N152-O152)</f>
        <v/>
      </c>
    </row>
    <row r="153">
      <c r="A153">
        <f>IFERROR(INDEX('Etsy Import'!$A:$CZ,153,Settings!$C$20)&amp;"","")</f>
        <v/>
      </c>
      <c r="B153">
        <f>IFERROR(INDEX('Etsy Import'!$A:$CZ,153,Settings!$C$21)&amp;"","")</f>
        <v/>
      </c>
      <c r="C153">
        <f>IFERROR(INDEX('Etsy Import'!$A:$CZ,153,Settings!$C$22)&amp;"","")</f>
        <v/>
      </c>
      <c r="D153">
        <f>IF(A153="","",IFERROR(VALUE(SUBSTITUTE(SUBSTITUTE(INDEX('Etsy Import'!$A:$CZ,153,Settings!$C$23)&amp;"","$",""),",","")),0))</f>
        <v/>
      </c>
      <c r="E153" s="11">
        <f>IF(A153="","",IFERROR(VALUE(SUBSTITUTE(SUBSTITUTE(INDEX('Etsy Import'!$A:$CZ,153,Settings!$C$24)&amp;"","$",""),",","")),0))</f>
        <v/>
      </c>
      <c r="F153" s="11">
        <f>IF(A153="","",D153*E153)</f>
        <v/>
      </c>
      <c r="G153">
        <f>IF(A153="","",IF(C153="",1,COUNTIF($C$2:$C$1501,C153)))</f>
        <v/>
      </c>
      <c r="H153" s="11">
        <f>IF(A153="","",IFERROR(VALUE(SUBSTITUTE(SUBSTITUTE(INDEX('Etsy Import'!$A:$CZ,153,Settings!$C$25)&amp;"","$",""),",","")),0)/IF(Settings!$B$27="Yes",G153,1))</f>
        <v/>
      </c>
      <c r="I153" s="11">
        <f>IF(A153="","",IFERROR(VALUE(SUBSTITUTE(SUBSTITUTE(INDEX('Etsy Import'!$A:$CZ,153,Settings!$C$26)&amp;"","$",""),",","")),0)/IF(Settings!$B$27="Yes",G153,1))</f>
        <v/>
      </c>
      <c r="J153" s="11">
        <f>IF(A153="","",F153+H153-I153)</f>
        <v/>
      </c>
      <c r="K153">
        <f>IF(A153="","",IFERROR(IF(B153="",NA(),MATCH(B153,Products!$B$5:$B$204,0)),IFERROR(MATCH(A153,Products!$A$5:$A$204,0),"")))</f>
        <v/>
      </c>
      <c r="L153">
        <f>IF(A153="","",IF(K153="","⚠ not in Products",INDEX(Products!$A$5:$A$204,K153)))</f>
        <v/>
      </c>
      <c r="M153" s="11">
        <f>IF(A153="","",J153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153+IFERROR(INDEX(Settings!$D$5:$D$9,MATCH("Etsy",Settings!$A$5:$A$9,0)),0)*D153)</f>
        <v/>
      </c>
      <c r="N153" s="11">
        <f>IF(A153="","",IF(K153="",0,D153*INDEX(Products!$I$5:$I$204,K153)))</f>
        <v/>
      </c>
      <c r="O153" s="11">
        <f>IF(A153="","",IF(K153="",0,J153*INDEX(Products!$H$5:$H$204,K153)))</f>
        <v/>
      </c>
      <c r="P153" s="11">
        <f>IF(A153="","",J153-M153-N153-O153)</f>
        <v/>
      </c>
    </row>
    <row r="154">
      <c r="A154">
        <f>IFERROR(INDEX('Etsy Import'!$A:$CZ,154,Settings!$C$20)&amp;"","")</f>
        <v/>
      </c>
      <c r="B154">
        <f>IFERROR(INDEX('Etsy Import'!$A:$CZ,154,Settings!$C$21)&amp;"","")</f>
        <v/>
      </c>
      <c r="C154">
        <f>IFERROR(INDEX('Etsy Import'!$A:$CZ,154,Settings!$C$22)&amp;"","")</f>
        <v/>
      </c>
      <c r="D154">
        <f>IF(A154="","",IFERROR(VALUE(SUBSTITUTE(SUBSTITUTE(INDEX('Etsy Import'!$A:$CZ,154,Settings!$C$23)&amp;"","$",""),",","")),0))</f>
        <v/>
      </c>
      <c r="E154" s="11">
        <f>IF(A154="","",IFERROR(VALUE(SUBSTITUTE(SUBSTITUTE(INDEX('Etsy Import'!$A:$CZ,154,Settings!$C$24)&amp;"","$",""),",","")),0))</f>
        <v/>
      </c>
      <c r="F154" s="11">
        <f>IF(A154="","",D154*E154)</f>
        <v/>
      </c>
      <c r="G154">
        <f>IF(A154="","",IF(C154="",1,COUNTIF($C$2:$C$1501,C154)))</f>
        <v/>
      </c>
      <c r="H154" s="11">
        <f>IF(A154="","",IFERROR(VALUE(SUBSTITUTE(SUBSTITUTE(INDEX('Etsy Import'!$A:$CZ,154,Settings!$C$25)&amp;"","$",""),",","")),0)/IF(Settings!$B$27="Yes",G154,1))</f>
        <v/>
      </c>
      <c r="I154" s="11">
        <f>IF(A154="","",IFERROR(VALUE(SUBSTITUTE(SUBSTITUTE(INDEX('Etsy Import'!$A:$CZ,154,Settings!$C$26)&amp;"","$",""),",","")),0)/IF(Settings!$B$27="Yes",G154,1))</f>
        <v/>
      </c>
      <c r="J154" s="11">
        <f>IF(A154="","",F154+H154-I154)</f>
        <v/>
      </c>
      <c r="K154">
        <f>IF(A154="","",IFERROR(IF(B154="",NA(),MATCH(B154,Products!$B$5:$B$204,0)),IFERROR(MATCH(A154,Products!$A$5:$A$204,0),"")))</f>
        <v/>
      </c>
      <c r="L154">
        <f>IF(A154="","",IF(K154="","⚠ not in Products",INDEX(Products!$A$5:$A$204,K154)))</f>
        <v/>
      </c>
      <c r="M154" s="11">
        <f>IF(A154="","",J154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154+IFERROR(INDEX(Settings!$D$5:$D$9,MATCH("Etsy",Settings!$A$5:$A$9,0)),0)*D154)</f>
        <v/>
      </c>
      <c r="N154" s="11">
        <f>IF(A154="","",IF(K154="",0,D154*INDEX(Products!$I$5:$I$204,K154)))</f>
        <v/>
      </c>
      <c r="O154" s="11">
        <f>IF(A154="","",IF(K154="",0,J154*INDEX(Products!$H$5:$H$204,K154)))</f>
        <v/>
      </c>
      <c r="P154" s="11">
        <f>IF(A154="","",J154-M154-N154-O154)</f>
        <v/>
      </c>
    </row>
    <row r="155">
      <c r="A155">
        <f>IFERROR(INDEX('Etsy Import'!$A:$CZ,155,Settings!$C$20)&amp;"","")</f>
        <v/>
      </c>
      <c r="B155">
        <f>IFERROR(INDEX('Etsy Import'!$A:$CZ,155,Settings!$C$21)&amp;"","")</f>
        <v/>
      </c>
      <c r="C155">
        <f>IFERROR(INDEX('Etsy Import'!$A:$CZ,155,Settings!$C$22)&amp;"","")</f>
        <v/>
      </c>
      <c r="D155">
        <f>IF(A155="","",IFERROR(VALUE(SUBSTITUTE(SUBSTITUTE(INDEX('Etsy Import'!$A:$CZ,155,Settings!$C$23)&amp;"","$",""),",","")),0))</f>
        <v/>
      </c>
      <c r="E155" s="11">
        <f>IF(A155="","",IFERROR(VALUE(SUBSTITUTE(SUBSTITUTE(INDEX('Etsy Import'!$A:$CZ,155,Settings!$C$24)&amp;"","$",""),",","")),0))</f>
        <v/>
      </c>
      <c r="F155" s="11">
        <f>IF(A155="","",D155*E155)</f>
        <v/>
      </c>
      <c r="G155">
        <f>IF(A155="","",IF(C155="",1,COUNTIF($C$2:$C$1501,C155)))</f>
        <v/>
      </c>
      <c r="H155" s="11">
        <f>IF(A155="","",IFERROR(VALUE(SUBSTITUTE(SUBSTITUTE(INDEX('Etsy Import'!$A:$CZ,155,Settings!$C$25)&amp;"","$",""),",","")),0)/IF(Settings!$B$27="Yes",G155,1))</f>
        <v/>
      </c>
      <c r="I155" s="11">
        <f>IF(A155="","",IFERROR(VALUE(SUBSTITUTE(SUBSTITUTE(INDEX('Etsy Import'!$A:$CZ,155,Settings!$C$26)&amp;"","$",""),",","")),0)/IF(Settings!$B$27="Yes",G155,1))</f>
        <v/>
      </c>
      <c r="J155" s="11">
        <f>IF(A155="","",F155+H155-I155)</f>
        <v/>
      </c>
      <c r="K155">
        <f>IF(A155="","",IFERROR(IF(B155="",NA(),MATCH(B155,Products!$B$5:$B$204,0)),IFERROR(MATCH(A155,Products!$A$5:$A$204,0),"")))</f>
        <v/>
      </c>
      <c r="L155">
        <f>IF(A155="","",IF(K155="","⚠ not in Products",INDEX(Products!$A$5:$A$204,K155)))</f>
        <v/>
      </c>
      <c r="M155" s="11">
        <f>IF(A155="","",J155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155+IFERROR(INDEX(Settings!$D$5:$D$9,MATCH("Etsy",Settings!$A$5:$A$9,0)),0)*D155)</f>
        <v/>
      </c>
      <c r="N155" s="11">
        <f>IF(A155="","",IF(K155="",0,D155*INDEX(Products!$I$5:$I$204,K155)))</f>
        <v/>
      </c>
      <c r="O155" s="11">
        <f>IF(A155="","",IF(K155="",0,J155*INDEX(Products!$H$5:$H$204,K155)))</f>
        <v/>
      </c>
      <c r="P155" s="11">
        <f>IF(A155="","",J155-M155-N155-O155)</f>
        <v/>
      </c>
    </row>
    <row r="156">
      <c r="A156">
        <f>IFERROR(INDEX('Etsy Import'!$A:$CZ,156,Settings!$C$20)&amp;"","")</f>
        <v/>
      </c>
      <c r="B156">
        <f>IFERROR(INDEX('Etsy Import'!$A:$CZ,156,Settings!$C$21)&amp;"","")</f>
        <v/>
      </c>
      <c r="C156">
        <f>IFERROR(INDEX('Etsy Import'!$A:$CZ,156,Settings!$C$22)&amp;"","")</f>
        <v/>
      </c>
      <c r="D156">
        <f>IF(A156="","",IFERROR(VALUE(SUBSTITUTE(SUBSTITUTE(INDEX('Etsy Import'!$A:$CZ,156,Settings!$C$23)&amp;"","$",""),",","")),0))</f>
        <v/>
      </c>
      <c r="E156" s="11">
        <f>IF(A156="","",IFERROR(VALUE(SUBSTITUTE(SUBSTITUTE(INDEX('Etsy Import'!$A:$CZ,156,Settings!$C$24)&amp;"","$",""),",","")),0))</f>
        <v/>
      </c>
      <c r="F156" s="11">
        <f>IF(A156="","",D156*E156)</f>
        <v/>
      </c>
      <c r="G156">
        <f>IF(A156="","",IF(C156="",1,COUNTIF($C$2:$C$1501,C156)))</f>
        <v/>
      </c>
      <c r="H156" s="11">
        <f>IF(A156="","",IFERROR(VALUE(SUBSTITUTE(SUBSTITUTE(INDEX('Etsy Import'!$A:$CZ,156,Settings!$C$25)&amp;"","$",""),",","")),0)/IF(Settings!$B$27="Yes",G156,1))</f>
        <v/>
      </c>
      <c r="I156" s="11">
        <f>IF(A156="","",IFERROR(VALUE(SUBSTITUTE(SUBSTITUTE(INDEX('Etsy Import'!$A:$CZ,156,Settings!$C$26)&amp;"","$",""),",","")),0)/IF(Settings!$B$27="Yes",G156,1))</f>
        <v/>
      </c>
      <c r="J156" s="11">
        <f>IF(A156="","",F156+H156-I156)</f>
        <v/>
      </c>
      <c r="K156">
        <f>IF(A156="","",IFERROR(IF(B156="",NA(),MATCH(B156,Products!$B$5:$B$204,0)),IFERROR(MATCH(A156,Products!$A$5:$A$204,0),"")))</f>
        <v/>
      </c>
      <c r="L156">
        <f>IF(A156="","",IF(K156="","⚠ not in Products",INDEX(Products!$A$5:$A$204,K156)))</f>
        <v/>
      </c>
      <c r="M156" s="11">
        <f>IF(A156="","",J156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156+IFERROR(INDEX(Settings!$D$5:$D$9,MATCH("Etsy",Settings!$A$5:$A$9,0)),0)*D156)</f>
        <v/>
      </c>
      <c r="N156" s="11">
        <f>IF(A156="","",IF(K156="",0,D156*INDEX(Products!$I$5:$I$204,K156)))</f>
        <v/>
      </c>
      <c r="O156" s="11">
        <f>IF(A156="","",IF(K156="",0,J156*INDEX(Products!$H$5:$H$204,K156)))</f>
        <v/>
      </c>
      <c r="P156" s="11">
        <f>IF(A156="","",J156-M156-N156-O156)</f>
        <v/>
      </c>
    </row>
    <row r="157">
      <c r="A157">
        <f>IFERROR(INDEX('Etsy Import'!$A:$CZ,157,Settings!$C$20)&amp;"","")</f>
        <v/>
      </c>
      <c r="B157">
        <f>IFERROR(INDEX('Etsy Import'!$A:$CZ,157,Settings!$C$21)&amp;"","")</f>
        <v/>
      </c>
      <c r="C157">
        <f>IFERROR(INDEX('Etsy Import'!$A:$CZ,157,Settings!$C$22)&amp;"","")</f>
        <v/>
      </c>
      <c r="D157">
        <f>IF(A157="","",IFERROR(VALUE(SUBSTITUTE(SUBSTITUTE(INDEX('Etsy Import'!$A:$CZ,157,Settings!$C$23)&amp;"","$",""),",","")),0))</f>
        <v/>
      </c>
      <c r="E157" s="11">
        <f>IF(A157="","",IFERROR(VALUE(SUBSTITUTE(SUBSTITUTE(INDEX('Etsy Import'!$A:$CZ,157,Settings!$C$24)&amp;"","$",""),",","")),0))</f>
        <v/>
      </c>
      <c r="F157" s="11">
        <f>IF(A157="","",D157*E157)</f>
        <v/>
      </c>
      <c r="G157">
        <f>IF(A157="","",IF(C157="",1,COUNTIF($C$2:$C$1501,C157)))</f>
        <v/>
      </c>
      <c r="H157" s="11">
        <f>IF(A157="","",IFERROR(VALUE(SUBSTITUTE(SUBSTITUTE(INDEX('Etsy Import'!$A:$CZ,157,Settings!$C$25)&amp;"","$",""),",","")),0)/IF(Settings!$B$27="Yes",G157,1))</f>
        <v/>
      </c>
      <c r="I157" s="11">
        <f>IF(A157="","",IFERROR(VALUE(SUBSTITUTE(SUBSTITUTE(INDEX('Etsy Import'!$A:$CZ,157,Settings!$C$26)&amp;"","$",""),",","")),0)/IF(Settings!$B$27="Yes",G157,1))</f>
        <v/>
      </c>
      <c r="J157" s="11">
        <f>IF(A157="","",F157+H157-I157)</f>
        <v/>
      </c>
      <c r="K157">
        <f>IF(A157="","",IFERROR(IF(B157="",NA(),MATCH(B157,Products!$B$5:$B$204,0)),IFERROR(MATCH(A157,Products!$A$5:$A$204,0),"")))</f>
        <v/>
      </c>
      <c r="L157">
        <f>IF(A157="","",IF(K157="","⚠ not in Products",INDEX(Products!$A$5:$A$204,K157)))</f>
        <v/>
      </c>
      <c r="M157" s="11">
        <f>IF(A157="","",J157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157+IFERROR(INDEX(Settings!$D$5:$D$9,MATCH("Etsy",Settings!$A$5:$A$9,0)),0)*D157)</f>
        <v/>
      </c>
      <c r="N157" s="11">
        <f>IF(A157="","",IF(K157="",0,D157*INDEX(Products!$I$5:$I$204,K157)))</f>
        <v/>
      </c>
      <c r="O157" s="11">
        <f>IF(A157="","",IF(K157="",0,J157*INDEX(Products!$H$5:$H$204,K157)))</f>
        <v/>
      </c>
      <c r="P157" s="11">
        <f>IF(A157="","",J157-M157-N157-O157)</f>
        <v/>
      </c>
    </row>
    <row r="158">
      <c r="A158">
        <f>IFERROR(INDEX('Etsy Import'!$A:$CZ,158,Settings!$C$20)&amp;"","")</f>
        <v/>
      </c>
      <c r="B158">
        <f>IFERROR(INDEX('Etsy Import'!$A:$CZ,158,Settings!$C$21)&amp;"","")</f>
        <v/>
      </c>
      <c r="C158">
        <f>IFERROR(INDEX('Etsy Import'!$A:$CZ,158,Settings!$C$22)&amp;"","")</f>
        <v/>
      </c>
      <c r="D158">
        <f>IF(A158="","",IFERROR(VALUE(SUBSTITUTE(SUBSTITUTE(INDEX('Etsy Import'!$A:$CZ,158,Settings!$C$23)&amp;"","$",""),",","")),0))</f>
        <v/>
      </c>
      <c r="E158" s="11">
        <f>IF(A158="","",IFERROR(VALUE(SUBSTITUTE(SUBSTITUTE(INDEX('Etsy Import'!$A:$CZ,158,Settings!$C$24)&amp;"","$",""),",","")),0))</f>
        <v/>
      </c>
      <c r="F158" s="11">
        <f>IF(A158="","",D158*E158)</f>
        <v/>
      </c>
      <c r="G158">
        <f>IF(A158="","",IF(C158="",1,COUNTIF($C$2:$C$1501,C158)))</f>
        <v/>
      </c>
      <c r="H158" s="11">
        <f>IF(A158="","",IFERROR(VALUE(SUBSTITUTE(SUBSTITUTE(INDEX('Etsy Import'!$A:$CZ,158,Settings!$C$25)&amp;"","$",""),",","")),0)/IF(Settings!$B$27="Yes",G158,1))</f>
        <v/>
      </c>
      <c r="I158" s="11">
        <f>IF(A158="","",IFERROR(VALUE(SUBSTITUTE(SUBSTITUTE(INDEX('Etsy Import'!$A:$CZ,158,Settings!$C$26)&amp;"","$",""),",","")),0)/IF(Settings!$B$27="Yes",G158,1))</f>
        <v/>
      </c>
      <c r="J158" s="11">
        <f>IF(A158="","",F158+H158-I158)</f>
        <v/>
      </c>
      <c r="K158">
        <f>IF(A158="","",IFERROR(IF(B158="",NA(),MATCH(B158,Products!$B$5:$B$204,0)),IFERROR(MATCH(A158,Products!$A$5:$A$204,0),"")))</f>
        <v/>
      </c>
      <c r="L158">
        <f>IF(A158="","",IF(K158="","⚠ not in Products",INDEX(Products!$A$5:$A$204,K158)))</f>
        <v/>
      </c>
      <c r="M158" s="11">
        <f>IF(A158="","",J158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158+IFERROR(INDEX(Settings!$D$5:$D$9,MATCH("Etsy",Settings!$A$5:$A$9,0)),0)*D158)</f>
        <v/>
      </c>
      <c r="N158" s="11">
        <f>IF(A158="","",IF(K158="",0,D158*INDEX(Products!$I$5:$I$204,K158)))</f>
        <v/>
      </c>
      <c r="O158" s="11">
        <f>IF(A158="","",IF(K158="",0,J158*INDEX(Products!$H$5:$H$204,K158)))</f>
        <v/>
      </c>
      <c r="P158" s="11">
        <f>IF(A158="","",J158-M158-N158-O158)</f>
        <v/>
      </c>
    </row>
    <row r="159">
      <c r="A159">
        <f>IFERROR(INDEX('Etsy Import'!$A:$CZ,159,Settings!$C$20)&amp;"","")</f>
        <v/>
      </c>
      <c r="B159">
        <f>IFERROR(INDEX('Etsy Import'!$A:$CZ,159,Settings!$C$21)&amp;"","")</f>
        <v/>
      </c>
      <c r="C159">
        <f>IFERROR(INDEX('Etsy Import'!$A:$CZ,159,Settings!$C$22)&amp;"","")</f>
        <v/>
      </c>
      <c r="D159">
        <f>IF(A159="","",IFERROR(VALUE(SUBSTITUTE(SUBSTITUTE(INDEX('Etsy Import'!$A:$CZ,159,Settings!$C$23)&amp;"","$",""),",","")),0))</f>
        <v/>
      </c>
      <c r="E159" s="11">
        <f>IF(A159="","",IFERROR(VALUE(SUBSTITUTE(SUBSTITUTE(INDEX('Etsy Import'!$A:$CZ,159,Settings!$C$24)&amp;"","$",""),",","")),0))</f>
        <v/>
      </c>
      <c r="F159" s="11">
        <f>IF(A159="","",D159*E159)</f>
        <v/>
      </c>
      <c r="G159">
        <f>IF(A159="","",IF(C159="",1,COUNTIF($C$2:$C$1501,C159)))</f>
        <v/>
      </c>
      <c r="H159" s="11">
        <f>IF(A159="","",IFERROR(VALUE(SUBSTITUTE(SUBSTITUTE(INDEX('Etsy Import'!$A:$CZ,159,Settings!$C$25)&amp;"","$",""),",","")),0)/IF(Settings!$B$27="Yes",G159,1))</f>
        <v/>
      </c>
      <c r="I159" s="11">
        <f>IF(A159="","",IFERROR(VALUE(SUBSTITUTE(SUBSTITUTE(INDEX('Etsy Import'!$A:$CZ,159,Settings!$C$26)&amp;"","$",""),",","")),0)/IF(Settings!$B$27="Yes",G159,1))</f>
        <v/>
      </c>
      <c r="J159" s="11">
        <f>IF(A159="","",F159+H159-I159)</f>
        <v/>
      </c>
      <c r="K159">
        <f>IF(A159="","",IFERROR(IF(B159="",NA(),MATCH(B159,Products!$B$5:$B$204,0)),IFERROR(MATCH(A159,Products!$A$5:$A$204,0),"")))</f>
        <v/>
      </c>
      <c r="L159">
        <f>IF(A159="","",IF(K159="","⚠ not in Products",INDEX(Products!$A$5:$A$204,K159)))</f>
        <v/>
      </c>
      <c r="M159" s="11">
        <f>IF(A159="","",J159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159+IFERROR(INDEX(Settings!$D$5:$D$9,MATCH("Etsy",Settings!$A$5:$A$9,0)),0)*D159)</f>
        <v/>
      </c>
      <c r="N159" s="11">
        <f>IF(A159="","",IF(K159="",0,D159*INDEX(Products!$I$5:$I$204,K159)))</f>
        <v/>
      </c>
      <c r="O159" s="11">
        <f>IF(A159="","",IF(K159="",0,J159*INDEX(Products!$H$5:$H$204,K159)))</f>
        <v/>
      </c>
      <c r="P159" s="11">
        <f>IF(A159="","",J159-M159-N159-O159)</f>
        <v/>
      </c>
    </row>
    <row r="160">
      <c r="A160">
        <f>IFERROR(INDEX('Etsy Import'!$A:$CZ,160,Settings!$C$20)&amp;"","")</f>
        <v/>
      </c>
      <c r="B160">
        <f>IFERROR(INDEX('Etsy Import'!$A:$CZ,160,Settings!$C$21)&amp;"","")</f>
        <v/>
      </c>
      <c r="C160">
        <f>IFERROR(INDEX('Etsy Import'!$A:$CZ,160,Settings!$C$22)&amp;"","")</f>
        <v/>
      </c>
      <c r="D160">
        <f>IF(A160="","",IFERROR(VALUE(SUBSTITUTE(SUBSTITUTE(INDEX('Etsy Import'!$A:$CZ,160,Settings!$C$23)&amp;"","$",""),",","")),0))</f>
        <v/>
      </c>
      <c r="E160" s="11">
        <f>IF(A160="","",IFERROR(VALUE(SUBSTITUTE(SUBSTITUTE(INDEX('Etsy Import'!$A:$CZ,160,Settings!$C$24)&amp;"","$",""),",","")),0))</f>
        <v/>
      </c>
      <c r="F160" s="11">
        <f>IF(A160="","",D160*E160)</f>
        <v/>
      </c>
      <c r="G160">
        <f>IF(A160="","",IF(C160="",1,COUNTIF($C$2:$C$1501,C160)))</f>
        <v/>
      </c>
      <c r="H160" s="11">
        <f>IF(A160="","",IFERROR(VALUE(SUBSTITUTE(SUBSTITUTE(INDEX('Etsy Import'!$A:$CZ,160,Settings!$C$25)&amp;"","$",""),",","")),0)/IF(Settings!$B$27="Yes",G160,1))</f>
        <v/>
      </c>
      <c r="I160" s="11">
        <f>IF(A160="","",IFERROR(VALUE(SUBSTITUTE(SUBSTITUTE(INDEX('Etsy Import'!$A:$CZ,160,Settings!$C$26)&amp;"","$",""),",","")),0)/IF(Settings!$B$27="Yes",G160,1))</f>
        <v/>
      </c>
      <c r="J160" s="11">
        <f>IF(A160="","",F160+H160-I160)</f>
        <v/>
      </c>
      <c r="K160">
        <f>IF(A160="","",IFERROR(IF(B160="",NA(),MATCH(B160,Products!$B$5:$B$204,0)),IFERROR(MATCH(A160,Products!$A$5:$A$204,0),"")))</f>
        <v/>
      </c>
      <c r="L160">
        <f>IF(A160="","",IF(K160="","⚠ not in Products",INDEX(Products!$A$5:$A$204,K160)))</f>
        <v/>
      </c>
      <c r="M160" s="11">
        <f>IF(A160="","",J160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160+IFERROR(INDEX(Settings!$D$5:$D$9,MATCH("Etsy",Settings!$A$5:$A$9,0)),0)*D160)</f>
        <v/>
      </c>
      <c r="N160" s="11">
        <f>IF(A160="","",IF(K160="",0,D160*INDEX(Products!$I$5:$I$204,K160)))</f>
        <v/>
      </c>
      <c r="O160" s="11">
        <f>IF(A160="","",IF(K160="",0,J160*INDEX(Products!$H$5:$H$204,K160)))</f>
        <v/>
      </c>
      <c r="P160" s="11">
        <f>IF(A160="","",J160-M160-N160-O160)</f>
        <v/>
      </c>
    </row>
    <row r="161">
      <c r="A161">
        <f>IFERROR(INDEX('Etsy Import'!$A:$CZ,161,Settings!$C$20)&amp;"","")</f>
        <v/>
      </c>
      <c r="B161">
        <f>IFERROR(INDEX('Etsy Import'!$A:$CZ,161,Settings!$C$21)&amp;"","")</f>
        <v/>
      </c>
      <c r="C161">
        <f>IFERROR(INDEX('Etsy Import'!$A:$CZ,161,Settings!$C$22)&amp;"","")</f>
        <v/>
      </c>
      <c r="D161">
        <f>IF(A161="","",IFERROR(VALUE(SUBSTITUTE(SUBSTITUTE(INDEX('Etsy Import'!$A:$CZ,161,Settings!$C$23)&amp;"","$",""),",","")),0))</f>
        <v/>
      </c>
      <c r="E161" s="11">
        <f>IF(A161="","",IFERROR(VALUE(SUBSTITUTE(SUBSTITUTE(INDEX('Etsy Import'!$A:$CZ,161,Settings!$C$24)&amp;"","$",""),",","")),0))</f>
        <v/>
      </c>
      <c r="F161" s="11">
        <f>IF(A161="","",D161*E161)</f>
        <v/>
      </c>
      <c r="G161">
        <f>IF(A161="","",IF(C161="",1,COUNTIF($C$2:$C$1501,C161)))</f>
        <v/>
      </c>
      <c r="H161" s="11">
        <f>IF(A161="","",IFERROR(VALUE(SUBSTITUTE(SUBSTITUTE(INDEX('Etsy Import'!$A:$CZ,161,Settings!$C$25)&amp;"","$",""),",","")),0)/IF(Settings!$B$27="Yes",G161,1))</f>
        <v/>
      </c>
      <c r="I161" s="11">
        <f>IF(A161="","",IFERROR(VALUE(SUBSTITUTE(SUBSTITUTE(INDEX('Etsy Import'!$A:$CZ,161,Settings!$C$26)&amp;"","$",""),",","")),0)/IF(Settings!$B$27="Yes",G161,1))</f>
        <v/>
      </c>
      <c r="J161" s="11">
        <f>IF(A161="","",F161+H161-I161)</f>
        <v/>
      </c>
      <c r="K161">
        <f>IF(A161="","",IFERROR(IF(B161="",NA(),MATCH(B161,Products!$B$5:$B$204,0)),IFERROR(MATCH(A161,Products!$A$5:$A$204,0),"")))</f>
        <v/>
      </c>
      <c r="L161">
        <f>IF(A161="","",IF(K161="","⚠ not in Products",INDEX(Products!$A$5:$A$204,K161)))</f>
        <v/>
      </c>
      <c r="M161" s="11">
        <f>IF(A161="","",J161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161+IFERROR(INDEX(Settings!$D$5:$D$9,MATCH("Etsy",Settings!$A$5:$A$9,0)),0)*D161)</f>
        <v/>
      </c>
      <c r="N161" s="11">
        <f>IF(A161="","",IF(K161="",0,D161*INDEX(Products!$I$5:$I$204,K161)))</f>
        <v/>
      </c>
      <c r="O161" s="11">
        <f>IF(A161="","",IF(K161="",0,J161*INDEX(Products!$H$5:$H$204,K161)))</f>
        <v/>
      </c>
      <c r="P161" s="11">
        <f>IF(A161="","",J161-M161-N161-O161)</f>
        <v/>
      </c>
    </row>
    <row r="162">
      <c r="A162">
        <f>IFERROR(INDEX('Etsy Import'!$A:$CZ,162,Settings!$C$20)&amp;"","")</f>
        <v/>
      </c>
      <c r="B162">
        <f>IFERROR(INDEX('Etsy Import'!$A:$CZ,162,Settings!$C$21)&amp;"","")</f>
        <v/>
      </c>
      <c r="C162">
        <f>IFERROR(INDEX('Etsy Import'!$A:$CZ,162,Settings!$C$22)&amp;"","")</f>
        <v/>
      </c>
      <c r="D162">
        <f>IF(A162="","",IFERROR(VALUE(SUBSTITUTE(SUBSTITUTE(INDEX('Etsy Import'!$A:$CZ,162,Settings!$C$23)&amp;"","$",""),",","")),0))</f>
        <v/>
      </c>
      <c r="E162" s="11">
        <f>IF(A162="","",IFERROR(VALUE(SUBSTITUTE(SUBSTITUTE(INDEX('Etsy Import'!$A:$CZ,162,Settings!$C$24)&amp;"","$",""),",","")),0))</f>
        <v/>
      </c>
      <c r="F162" s="11">
        <f>IF(A162="","",D162*E162)</f>
        <v/>
      </c>
      <c r="G162">
        <f>IF(A162="","",IF(C162="",1,COUNTIF($C$2:$C$1501,C162)))</f>
        <v/>
      </c>
      <c r="H162" s="11">
        <f>IF(A162="","",IFERROR(VALUE(SUBSTITUTE(SUBSTITUTE(INDEX('Etsy Import'!$A:$CZ,162,Settings!$C$25)&amp;"","$",""),",","")),0)/IF(Settings!$B$27="Yes",G162,1))</f>
        <v/>
      </c>
      <c r="I162" s="11">
        <f>IF(A162="","",IFERROR(VALUE(SUBSTITUTE(SUBSTITUTE(INDEX('Etsy Import'!$A:$CZ,162,Settings!$C$26)&amp;"","$",""),",","")),0)/IF(Settings!$B$27="Yes",G162,1))</f>
        <v/>
      </c>
      <c r="J162" s="11">
        <f>IF(A162="","",F162+H162-I162)</f>
        <v/>
      </c>
      <c r="K162">
        <f>IF(A162="","",IFERROR(IF(B162="",NA(),MATCH(B162,Products!$B$5:$B$204,0)),IFERROR(MATCH(A162,Products!$A$5:$A$204,0),"")))</f>
        <v/>
      </c>
      <c r="L162">
        <f>IF(A162="","",IF(K162="","⚠ not in Products",INDEX(Products!$A$5:$A$204,K162)))</f>
        <v/>
      </c>
      <c r="M162" s="11">
        <f>IF(A162="","",J162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162+IFERROR(INDEX(Settings!$D$5:$D$9,MATCH("Etsy",Settings!$A$5:$A$9,0)),0)*D162)</f>
        <v/>
      </c>
      <c r="N162" s="11">
        <f>IF(A162="","",IF(K162="",0,D162*INDEX(Products!$I$5:$I$204,K162)))</f>
        <v/>
      </c>
      <c r="O162" s="11">
        <f>IF(A162="","",IF(K162="",0,J162*INDEX(Products!$H$5:$H$204,K162)))</f>
        <v/>
      </c>
      <c r="P162" s="11">
        <f>IF(A162="","",J162-M162-N162-O162)</f>
        <v/>
      </c>
    </row>
    <row r="163">
      <c r="A163">
        <f>IFERROR(INDEX('Etsy Import'!$A:$CZ,163,Settings!$C$20)&amp;"","")</f>
        <v/>
      </c>
      <c r="B163">
        <f>IFERROR(INDEX('Etsy Import'!$A:$CZ,163,Settings!$C$21)&amp;"","")</f>
        <v/>
      </c>
      <c r="C163">
        <f>IFERROR(INDEX('Etsy Import'!$A:$CZ,163,Settings!$C$22)&amp;"","")</f>
        <v/>
      </c>
      <c r="D163">
        <f>IF(A163="","",IFERROR(VALUE(SUBSTITUTE(SUBSTITUTE(INDEX('Etsy Import'!$A:$CZ,163,Settings!$C$23)&amp;"","$",""),",","")),0))</f>
        <v/>
      </c>
      <c r="E163" s="11">
        <f>IF(A163="","",IFERROR(VALUE(SUBSTITUTE(SUBSTITUTE(INDEX('Etsy Import'!$A:$CZ,163,Settings!$C$24)&amp;"","$",""),",","")),0))</f>
        <v/>
      </c>
      <c r="F163" s="11">
        <f>IF(A163="","",D163*E163)</f>
        <v/>
      </c>
      <c r="G163">
        <f>IF(A163="","",IF(C163="",1,COUNTIF($C$2:$C$1501,C163)))</f>
        <v/>
      </c>
      <c r="H163" s="11">
        <f>IF(A163="","",IFERROR(VALUE(SUBSTITUTE(SUBSTITUTE(INDEX('Etsy Import'!$A:$CZ,163,Settings!$C$25)&amp;"","$",""),",","")),0)/IF(Settings!$B$27="Yes",G163,1))</f>
        <v/>
      </c>
      <c r="I163" s="11">
        <f>IF(A163="","",IFERROR(VALUE(SUBSTITUTE(SUBSTITUTE(INDEX('Etsy Import'!$A:$CZ,163,Settings!$C$26)&amp;"","$",""),",","")),0)/IF(Settings!$B$27="Yes",G163,1))</f>
        <v/>
      </c>
      <c r="J163" s="11">
        <f>IF(A163="","",F163+H163-I163)</f>
        <v/>
      </c>
      <c r="K163">
        <f>IF(A163="","",IFERROR(IF(B163="",NA(),MATCH(B163,Products!$B$5:$B$204,0)),IFERROR(MATCH(A163,Products!$A$5:$A$204,0),"")))</f>
        <v/>
      </c>
      <c r="L163">
        <f>IF(A163="","",IF(K163="","⚠ not in Products",INDEX(Products!$A$5:$A$204,K163)))</f>
        <v/>
      </c>
      <c r="M163" s="11">
        <f>IF(A163="","",J163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163+IFERROR(INDEX(Settings!$D$5:$D$9,MATCH("Etsy",Settings!$A$5:$A$9,0)),0)*D163)</f>
        <v/>
      </c>
      <c r="N163" s="11">
        <f>IF(A163="","",IF(K163="",0,D163*INDEX(Products!$I$5:$I$204,K163)))</f>
        <v/>
      </c>
      <c r="O163" s="11">
        <f>IF(A163="","",IF(K163="",0,J163*INDEX(Products!$H$5:$H$204,K163)))</f>
        <v/>
      </c>
      <c r="P163" s="11">
        <f>IF(A163="","",J163-M163-N163-O163)</f>
        <v/>
      </c>
    </row>
    <row r="164">
      <c r="A164">
        <f>IFERROR(INDEX('Etsy Import'!$A:$CZ,164,Settings!$C$20)&amp;"","")</f>
        <v/>
      </c>
      <c r="B164">
        <f>IFERROR(INDEX('Etsy Import'!$A:$CZ,164,Settings!$C$21)&amp;"","")</f>
        <v/>
      </c>
      <c r="C164">
        <f>IFERROR(INDEX('Etsy Import'!$A:$CZ,164,Settings!$C$22)&amp;"","")</f>
        <v/>
      </c>
      <c r="D164">
        <f>IF(A164="","",IFERROR(VALUE(SUBSTITUTE(SUBSTITUTE(INDEX('Etsy Import'!$A:$CZ,164,Settings!$C$23)&amp;"","$",""),",","")),0))</f>
        <v/>
      </c>
      <c r="E164" s="11">
        <f>IF(A164="","",IFERROR(VALUE(SUBSTITUTE(SUBSTITUTE(INDEX('Etsy Import'!$A:$CZ,164,Settings!$C$24)&amp;"","$",""),",","")),0))</f>
        <v/>
      </c>
      <c r="F164" s="11">
        <f>IF(A164="","",D164*E164)</f>
        <v/>
      </c>
      <c r="G164">
        <f>IF(A164="","",IF(C164="",1,COUNTIF($C$2:$C$1501,C164)))</f>
        <v/>
      </c>
      <c r="H164" s="11">
        <f>IF(A164="","",IFERROR(VALUE(SUBSTITUTE(SUBSTITUTE(INDEX('Etsy Import'!$A:$CZ,164,Settings!$C$25)&amp;"","$",""),",","")),0)/IF(Settings!$B$27="Yes",G164,1))</f>
        <v/>
      </c>
      <c r="I164" s="11">
        <f>IF(A164="","",IFERROR(VALUE(SUBSTITUTE(SUBSTITUTE(INDEX('Etsy Import'!$A:$CZ,164,Settings!$C$26)&amp;"","$",""),",","")),0)/IF(Settings!$B$27="Yes",G164,1))</f>
        <v/>
      </c>
      <c r="J164" s="11">
        <f>IF(A164="","",F164+H164-I164)</f>
        <v/>
      </c>
      <c r="K164">
        <f>IF(A164="","",IFERROR(IF(B164="",NA(),MATCH(B164,Products!$B$5:$B$204,0)),IFERROR(MATCH(A164,Products!$A$5:$A$204,0),"")))</f>
        <v/>
      </c>
      <c r="L164">
        <f>IF(A164="","",IF(K164="","⚠ not in Products",INDEX(Products!$A$5:$A$204,K164)))</f>
        <v/>
      </c>
      <c r="M164" s="11">
        <f>IF(A164="","",J164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164+IFERROR(INDEX(Settings!$D$5:$D$9,MATCH("Etsy",Settings!$A$5:$A$9,0)),0)*D164)</f>
        <v/>
      </c>
      <c r="N164" s="11">
        <f>IF(A164="","",IF(K164="",0,D164*INDEX(Products!$I$5:$I$204,K164)))</f>
        <v/>
      </c>
      <c r="O164" s="11">
        <f>IF(A164="","",IF(K164="",0,J164*INDEX(Products!$H$5:$H$204,K164)))</f>
        <v/>
      </c>
      <c r="P164" s="11">
        <f>IF(A164="","",J164-M164-N164-O164)</f>
        <v/>
      </c>
    </row>
    <row r="165">
      <c r="A165">
        <f>IFERROR(INDEX('Etsy Import'!$A:$CZ,165,Settings!$C$20)&amp;"","")</f>
        <v/>
      </c>
      <c r="B165">
        <f>IFERROR(INDEX('Etsy Import'!$A:$CZ,165,Settings!$C$21)&amp;"","")</f>
        <v/>
      </c>
      <c r="C165">
        <f>IFERROR(INDEX('Etsy Import'!$A:$CZ,165,Settings!$C$22)&amp;"","")</f>
        <v/>
      </c>
      <c r="D165">
        <f>IF(A165="","",IFERROR(VALUE(SUBSTITUTE(SUBSTITUTE(INDEX('Etsy Import'!$A:$CZ,165,Settings!$C$23)&amp;"","$",""),",","")),0))</f>
        <v/>
      </c>
      <c r="E165" s="11">
        <f>IF(A165="","",IFERROR(VALUE(SUBSTITUTE(SUBSTITUTE(INDEX('Etsy Import'!$A:$CZ,165,Settings!$C$24)&amp;"","$",""),",","")),0))</f>
        <v/>
      </c>
      <c r="F165" s="11">
        <f>IF(A165="","",D165*E165)</f>
        <v/>
      </c>
      <c r="G165">
        <f>IF(A165="","",IF(C165="",1,COUNTIF($C$2:$C$1501,C165)))</f>
        <v/>
      </c>
      <c r="H165" s="11">
        <f>IF(A165="","",IFERROR(VALUE(SUBSTITUTE(SUBSTITUTE(INDEX('Etsy Import'!$A:$CZ,165,Settings!$C$25)&amp;"","$",""),",","")),0)/IF(Settings!$B$27="Yes",G165,1))</f>
        <v/>
      </c>
      <c r="I165" s="11">
        <f>IF(A165="","",IFERROR(VALUE(SUBSTITUTE(SUBSTITUTE(INDEX('Etsy Import'!$A:$CZ,165,Settings!$C$26)&amp;"","$",""),",","")),0)/IF(Settings!$B$27="Yes",G165,1))</f>
        <v/>
      </c>
      <c r="J165" s="11">
        <f>IF(A165="","",F165+H165-I165)</f>
        <v/>
      </c>
      <c r="K165">
        <f>IF(A165="","",IFERROR(IF(B165="",NA(),MATCH(B165,Products!$B$5:$B$204,0)),IFERROR(MATCH(A165,Products!$A$5:$A$204,0),"")))</f>
        <v/>
      </c>
      <c r="L165">
        <f>IF(A165="","",IF(K165="","⚠ not in Products",INDEX(Products!$A$5:$A$204,K165)))</f>
        <v/>
      </c>
      <c r="M165" s="11">
        <f>IF(A165="","",J165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165+IFERROR(INDEX(Settings!$D$5:$D$9,MATCH("Etsy",Settings!$A$5:$A$9,0)),0)*D165)</f>
        <v/>
      </c>
      <c r="N165" s="11">
        <f>IF(A165="","",IF(K165="",0,D165*INDEX(Products!$I$5:$I$204,K165)))</f>
        <v/>
      </c>
      <c r="O165" s="11">
        <f>IF(A165="","",IF(K165="",0,J165*INDEX(Products!$H$5:$H$204,K165)))</f>
        <v/>
      </c>
      <c r="P165" s="11">
        <f>IF(A165="","",J165-M165-N165-O165)</f>
        <v/>
      </c>
    </row>
    <row r="166">
      <c r="A166">
        <f>IFERROR(INDEX('Etsy Import'!$A:$CZ,166,Settings!$C$20)&amp;"","")</f>
        <v/>
      </c>
      <c r="B166">
        <f>IFERROR(INDEX('Etsy Import'!$A:$CZ,166,Settings!$C$21)&amp;"","")</f>
        <v/>
      </c>
      <c r="C166">
        <f>IFERROR(INDEX('Etsy Import'!$A:$CZ,166,Settings!$C$22)&amp;"","")</f>
        <v/>
      </c>
      <c r="D166">
        <f>IF(A166="","",IFERROR(VALUE(SUBSTITUTE(SUBSTITUTE(INDEX('Etsy Import'!$A:$CZ,166,Settings!$C$23)&amp;"","$",""),",","")),0))</f>
        <v/>
      </c>
      <c r="E166" s="11">
        <f>IF(A166="","",IFERROR(VALUE(SUBSTITUTE(SUBSTITUTE(INDEX('Etsy Import'!$A:$CZ,166,Settings!$C$24)&amp;"","$",""),",","")),0))</f>
        <v/>
      </c>
      <c r="F166" s="11">
        <f>IF(A166="","",D166*E166)</f>
        <v/>
      </c>
      <c r="G166">
        <f>IF(A166="","",IF(C166="",1,COUNTIF($C$2:$C$1501,C166)))</f>
        <v/>
      </c>
      <c r="H166" s="11">
        <f>IF(A166="","",IFERROR(VALUE(SUBSTITUTE(SUBSTITUTE(INDEX('Etsy Import'!$A:$CZ,166,Settings!$C$25)&amp;"","$",""),",","")),0)/IF(Settings!$B$27="Yes",G166,1))</f>
        <v/>
      </c>
      <c r="I166" s="11">
        <f>IF(A166="","",IFERROR(VALUE(SUBSTITUTE(SUBSTITUTE(INDEX('Etsy Import'!$A:$CZ,166,Settings!$C$26)&amp;"","$",""),",","")),0)/IF(Settings!$B$27="Yes",G166,1))</f>
        <v/>
      </c>
      <c r="J166" s="11">
        <f>IF(A166="","",F166+H166-I166)</f>
        <v/>
      </c>
      <c r="K166">
        <f>IF(A166="","",IFERROR(IF(B166="",NA(),MATCH(B166,Products!$B$5:$B$204,0)),IFERROR(MATCH(A166,Products!$A$5:$A$204,0),"")))</f>
        <v/>
      </c>
      <c r="L166">
        <f>IF(A166="","",IF(K166="","⚠ not in Products",INDEX(Products!$A$5:$A$204,K166)))</f>
        <v/>
      </c>
      <c r="M166" s="11">
        <f>IF(A166="","",J166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166+IFERROR(INDEX(Settings!$D$5:$D$9,MATCH("Etsy",Settings!$A$5:$A$9,0)),0)*D166)</f>
        <v/>
      </c>
      <c r="N166" s="11">
        <f>IF(A166="","",IF(K166="",0,D166*INDEX(Products!$I$5:$I$204,K166)))</f>
        <v/>
      </c>
      <c r="O166" s="11">
        <f>IF(A166="","",IF(K166="",0,J166*INDEX(Products!$H$5:$H$204,K166)))</f>
        <v/>
      </c>
      <c r="P166" s="11">
        <f>IF(A166="","",J166-M166-N166-O166)</f>
        <v/>
      </c>
    </row>
    <row r="167">
      <c r="A167">
        <f>IFERROR(INDEX('Etsy Import'!$A:$CZ,167,Settings!$C$20)&amp;"","")</f>
        <v/>
      </c>
      <c r="B167">
        <f>IFERROR(INDEX('Etsy Import'!$A:$CZ,167,Settings!$C$21)&amp;"","")</f>
        <v/>
      </c>
      <c r="C167">
        <f>IFERROR(INDEX('Etsy Import'!$A:$CZ,167,Settings!$C$22)&amp;"","")</f>
        <v/>
      </c>
      <c r="D167">
        <f>IF(A167="","",IFERROR(VALUE(SUBSTITUTE(SUBSTITUTE(INDEX('Etsy Import'!$A:$CZ,167,Settings!$C$23)&amp;"","$",""),",","")),0))</f>
        <v/>
      </c>
      <c r="E167" s="11">
        <f>IF(A167="","",IFERROR(VALUE(SUBSTITUTE(SUBSTITUTE(INDEX('Etsy Import'!$A:$CZ,167,Settings!$C$24)&amp;"","$",""),",","")),0))</f>
        <v/>
      </c>
      <c r="F167" s="11">
        <f>IF(A167="","",D167*E167)</f>
        <v/>
      </c>
      <c r="G167">
        <f>IF(A167="","",IF(C167="",1,COUNTIF($C$2:$C$1501,C167)))</f>
        <v/>
      </c>
      <c r="H167" s="11">
        <f>IF(A167="","",IFERROR(VALUE(SUBSTITUTE(SUBSTITUTE(INDEX('Etsy Import'!$A:$CZ,167,Settings!$C$25)&amp;"","$",""),",","")),0)/IF(Settings!$B$27="Yes",G167,1))</f>
        <v/>
      </c>
      <c r="I167" s="11">
        <f>IF(A167="","",IFERROR(VALUE(SUBSTITUTE(SUBSTITUTE(INDEX('Etsy Import'!$A:$CZ,167,Settings!$C$26)&amp;"","$",""),",","")),0)/IF(Settings!$B$27="Yes",G167,1))</f>
        <v/>
      </c>
      <c r="J167" s="11">
        <f>IF(A167="","",F167+H167-I167)</f>
        <v/>
      </c>
      <c r="K167">
        <f>IF(A167="","",IFERROR(IF(B167="",NA(),MATCH(B167,Products!$B$5:$B$204,0)),IFERROR(MATCH(A167,Products!$A$5:$A$204,0),"")))</f>
        <v/>
      </c>
      <c r="L167">
        <f>IF(A167="","",IF(K167="","⚠ not in Products",INDEX(Products!$A$5:$A$204,K167)))</f>
        <v/>
      </c>
      <c r="M167" s="11">
        <f>IF(A167="","",J167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167+IFERROR(INDEX(Settings!$D$5:$D$9,MATCH("Etsy",Settings!$A$5:$A$9,0)),0)*D167)</f>
        <v/>
      </c>
      <c r="N167" s="11">
        <f>IF(A167="","",IF(K167="",0,D167*INDEX(Products!$I$5:$I$204,K167)))</f>
        <v/>
      </c>
      <c r="O167" s="11">
        <f>IF(A167="","",IF(K167="",0,J167*INDEX(Products!$H$5:$H$204,K167)))</f>
        <v/>
      </c>
      <c r="P167" s="11">
        <f>IF(A167="","",J167-M167-N167-O167)</f>
        <v/>
      </c>
    </row>
    <row r="168">
      <c r="A168">
        <f>IFERROR(INDEX('Etsy Import'!$A:$CZ,168,Settings!$C$20)&amp;"","")</f>
        <v/>
      </c>
      <c r="B168">
        <f>IFERROR(INDEX('Etsy Import'!$A:$CZ,168,Settings!$C$21)&amp;"","")</f>
        <v/>
      </c>
      <c r="C168">
        <f>IFERROR(INDEX('Etsy Import'!$A:$CZ,168,Settings!$C$22)&amp;"","")</f>
        <v/>
      </c>
      <c r="D168">
        <f>IF(A168="","",IFERROR(VALUE(SUBSTITUTE(SUBSTITUTE(INDEX('Etsy Import'!$A:$CZ,168,Settings!$C$23)&amp;"","$",""),",","")),0))</f>
        <v/>
      </c>
      <c r="E168" s="11">
        <f>IF(A168="","",IFERROR(VALUE(SUBSTITUTE(SUBSTITUTE(INDEX('Etsy Import'!$A:$CZ,168,Settings!$C$24)&amp;"","$",""),",","")),0))</f>
        <v/>
      </c>
      <c r="F168" s="11">
        <f>IF(A168="","",D168*E168)</f>
        <v/>
      </c>
      <c r="G168">
        <f>IF(A168="","",IF(C168="",1,COUNTIF($C$2:$C$1501,C168)))</f>
        <v/>
      </c>
      <c r="H168" s="11">
        <f>IF(A168="","",IFERROR(VALUE(SUBSTITUTE(SUBSTITUTE(INDEX('Etsy Import'!$A:$CZ,168,Settings!$C$25)&amp;"","$",""),",","")),0)/IF(Settings!$B$27="Yes",G168,1))</f>
        <v/>
      </c>
      <c r="I168" s="11">
        <f>IF(A168="","",IFERROR(VALUE(SUBSTITUTE(SUBSTITUTE(INDEX('Etsy Import'!$A:$CZ,168,Settings!$C$26)&amp;"","$",""),",","")),0)/IF(Settings!$B$27="Yes",G168,1))</f>
        <v/>
      </c>
      <c r="J168" s="11">
        <f>IF(A168="","",F168+H168-I168)</f>
        <v/>
      </c>
      <c r="K168">
        <f>IF(A168="","",IFERROR(IF(B168="",NA(),MATCH(B168,Products!$B$5:$B$204,0)),IFERROR(MATCH(A168,Products!$A$5:$A$204,0),"")))</f>
        <v/>
      </c>
      <c r="L168">
        <f>IF(A168="","",IF(K168="","⚠ not in Products",INDEX(Products!$A$5:$A$204,K168)))</f>
        <v/>
      </c>
      <c r="M168" s="11">
        <f>IF(A168="","",J168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168+IFERROR(INDEX(Settings!$D$5:$D$9,MATCH("Etsy",Settings!$A$5:$A$9,0)),0)*D168)</f>
        <v/>
      </c>
      <c r="N168" s="11">
        <f>IF(A168="","",IF(K168="",0,D168*INDEX(Products!$I$5:$I$204,K168)))</f>
        <v/>
      </c>
      <c r="O168" s="11">
        <f>IF(A168="","",IF(K168="",0,J168*INDEX(Products!$H$5:$H$204,K168)))</f>
        <v/>
      </c>
      <c r="P168" s="11">
        <f>IF(A168="","",J168-M168-N168-O168)</f>
        <v/>
      </c>
    </row>
    <row r="169">
      <c r="A169">
        <f>IFERROR(INDEX('Etsy Import'!$A:$CZ,169,Settings!$C$20)&amp;"","")</f>
        <v/>
      </c>
      <c r="B169">
        <f>IFERROR(INDEX('Etsy Import'!$A:$CZ,169,Settings!$C$21)&amp;"","")</f>
        <v/>
      </c>
      <c r="C169">
        <f>IFERROR(INDEX('Etsy Import'!$A:$CZ,169,Settings!$C$22)&amp;"","")</f>
        <v/>
      </c>
      <c r="D169">
        <f>IF(A169="","",IFERROR(VALUE(SUBSTITUTE(SUBSTITUTE(INDEX('Etsy Import'!$A:$CZ,169,Settings!$C$23)&amp;"","$",""),",","")),0))</f>
        <v/>
      </c>
      <c r="E169" s="11">
        <f>IF(A169="","",IFERROR(VALUE(SUBSTITUTE(SUBSTITUTE(INDEX('Etsy Import'!$A:$CZ,169,Settings!$C$24)&amp;"","$",""),",","")),0))</f>
        <v/>
      </c>
      <c r="F169" s="11">
        <f>IF(A169="","",D169*E169)</f>
        <v/>
      </c>
      <c r="G169">
        <f>IF(A169="","",IF(C169="",1,COUNTIF($C$2:$C$1501,C169)))</f>
        <v/>
      </c>
      <c r="H169" s="11">
        <f>IF(A169="","",IFERROR(VALUE(SUBSTITUTE(SUBSTITUTE(INDEX('Etsy Import'!$A:$CZ,169,Settings!$C$25)&amp;"","$",""),",","")),0)/IF(Settings!$B$27="Yes",G169,1))</f>
        <v/>
      </c>
      <c r="I169" s="11">
        <f>IF(A169="","",IFERROR(VALUE(SUBSTITUTE(SUBSTITUTE(INDEX('Etsy Import'!$A:$CZ,169,Settings!$C$26)&amp;"","$",""),",","")),0)/IF(Settings!$B$27="Yes",G169,1))</f>
        <v/>
      </c>
      <c r="J169" s="11">
        <f>IF(A169="","",F169+H169-I169)</f>
        <v/>
      </c>
      <c r="K169">
        <f>IF(A169="","",IFERROR(IF(B169="",NA(),MATCH(B169,Products!$B$5:$B$204,0)),IFERROR(MATCH(A169,Products!$A$5:$A$204,0),"")))</f>
        <v/>
      </c>
      <c r="L169">
        <f>IF(A169="","",IF(K169="","⚠ not in Products",INDEX(Products!$A$5:$A$204,K169)))</f>
        <v/>
      </c>
      <c r="M169" s="11">
        <f>IF(A169="","",J169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169+IFERROR(INDEX(Settings!$D$5:$D$9,MATCH("Etsy",Settings!$A$5:$A$9,0)),0)*D169)</f>
        <v/>
      </c>
      <c r="N169" s="11">
        <f>IF(A169="","",IF(K169="",0,D169*INDEX(Products!$I$5:$I$204,K169)))</f>
        <v/>
      </c>
      <c r="O169" s="11">
        <f>IF(A169="","",IF(K169="",0,J169*INDEX(Products!$H$5:$H$204,K169)))</f>
        <v/>
      </c>
      <c r="P169" s="11">
        <f>IF(A169="","",J169-M169-N169-O169)</f>
        <v/>
      </c>
    </row>
    <row r="170">
      <c r="A170">
        <f>IFERROR(INDEX('Etsy Import'!$A:$CZ,170,Settings!$C$20)&amp;"","")</f>
        <v/>
      </c>
      <c r="B170">
        <f>IFERROR(INDEX('Etsy Import'!$A:$CZ,170,Settings!$C$21)&amp;"","")</f>
        <v/>
      </c>
      <c r="C170">
        <f>IFERROR(INDEX('Etsy Import'!$A:$CZ,170,Settings!$C$22)&amp;"","")</f>
        <v/>
      </c>
      <c r="D170">
        <f>IF(A170="","",IFERROR(VALUE(SUBSTITUTE(SUBSTITUTE(INDEX('Etsy Import'!$A:$CZ,170,Settings!$C$23)&amp;"","$",""),",","")),0))</f>
        <v/>
      </c>
      <c r="E170" s="11">
        <f>IF(A170="","",IFERROR(VALUE(SUBSTITUTE(SUBSTITUTE(INDEX('Etsy Import'!$A:$CZ,170,Settings!$C$24)&amp;"","$",""),",","")),0))</f>
        <v/>
      </c>
      <c r="F170" s="11">
        <f>IF(A170="","",D170*E170)</f>
        <v/>
      </c>
      <c r="G170">
        <f>IF(A170="","",IF(C170="",1,COUNTIF($C$2:$C$1501,C170)))</f>
        <v/>
      </c>
      <c r="H170" s="11">
        <f>IF(A170="","",IFERROR(VALUE(SUBSTITUTE(SUBSTITUTE(INDEX('Etsy Import'!$A:$CZ,170,Settings!$C$25)&amp;"","$",""),",","")),0)/IF(Settings!$B$27="Yes",G170,1))</f>
        <v/>
      </c>
      <c r="I170" s="11">
        <f>IF(A170="","",IFERROR(VALUE(SUBSTITUTE(SUBSTITUTE(INDEX('Etsy Import'!$A:$CZ,170,Settings!$C$26)&amp;"","$",""),",","")),0)/IF(Settings!$B$27="Yes",G170,1))</f>
        <v/>
      </c>
      <c r="J170" s="11">
        <f>IF(A170="","",F170+H170-I170)</f>
        <v/>
      </c>
      <c r="K170">
        <f>IF(A170="","",IFERROR(IF(B170="",NA(),MATCH(B170,Products!$B$5:$B$204,0)),IFERROR(MATCH(A170,Products!$A$5:$A$204,0),"")))</f>
        <v/>
      </c>
      <c r="L170">
        <f>IF(A170="","",IF(K170="","⚠ not in Products",INDEX(Products!$A$5:$A$204,K170)))</f>
        <v/>
      </c>
      <c r="M170" s="11">
        <f>IF(A170="","",J170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170+IFERROR(INDEX(Settings!$D$5:$D$9,MATCH("Etsy",Settings!$A$5:$A$9,0)),0)*D170)</f>
        <v/>
      </c>
      <c r="N170" s="11">
        <f>IF(A170="","",IF(K170="",0,D170*INDEX(Products!$I$5:$I$204,K170)))</f>
        <v/>
      </c>
      <c r="O170" s="11">
        <f>IF(A170="","",IF(K170="",0,J170*INDEX(Products!$H$5:$H$204,K170)))</f>
        <v/>
      </c>
      <c r="P170" s="11">
        <f>IF(A170="","",J170-M170-N170-O170)</f>
        <v/>
      </c>
    </row>
    <row r="171">
      <c r="A171">
        <f>IFERROR(INDEX('Etsy Import'!$A:$CZ,171,Settings!$C$20)&amp;"","")</f>
        <v/>
      </c>
      <c r="B171">
        <f>IFERROR(INDEX('Etsy Import'!$A:$CZ,171,Settings!$C$21)&amp;"","")</f>
        <v/>
      </c>
      <c r="C171">
        <f>IFERROR(INDEX('Etsy Import'!$A:$CZ,171,Settings!$C$22)&amp;"","")</f>
        <v/>
      </c>
      <c r="D171">
        <f>IF(A171="","",IFERROR(VALUE(SUBSTITUTE(SUBSTITUTE(INDEX('Etsy Import'!$A:$CZ,171,Settings!$C$23)&amp;"","$",""),",","")),0))</f>
        <v/>
      </c>
      <c r="E171" s="11">
        <f>IF(A171="","",IFERROR(VALUE(SUBSTITUTE(SUBSTITUTE(INDEX('Etsy Import'!$A:$CZ,171,Settings!$C$24)&amp;"","$",""),",","")),0))</f>
        <v/>
      </c>
      <c r="F171" s="11">
        <f>IF(A171="","",D171*E171)</f>
        <v/>
      </c>
      <c r="G171">
        <f>IF(A171="","",IF(C171="",1,COUNTIF($C$2:$C$1501,C171)))</f>
        <v/>
      </c>
      <c r="H171" s="11">
        <f>IF(A171="","",IFERROR(VALUE(SUBSTITUTE(SUBSTITUTE(INDEX('Etsy Import'!$A:$CZ,171,Settings!$C$25)&amp;"","$",""),",","")),0)/IF(Settings!$B$27="Yes",G171,1))</f>
        <v/>
      </c>
      <c r="I171" s="11">
        <f>IF(A171="","",IFERROR(VALUE(SUBSTITUTE(SUBSTITUTE(INDEX('Etsy Import'!$A:$CZ,171,Settings!$C$26)&amp;"","$",""),",","")),0)/IF(Settings!$B$27="Yes",G171,1))</f>
        <v/>
      </c>
      <c r="J171" s="11">
        <f>IF(A171="","",F171+H171-I171)</f>
        <v/>
      </c>
      <c r="K171">
        <f>IF(A171="","",IFERROR(IF(B171="",NA(),MATCH(B171,Products!$B$5:$B$204,0)),IFERROR(MATCH(A171,Products!$A$5:$A$204,0),"")))</f>
        <v/>
      </c>
      <c r="L171">
        <f>IF(A171="","",IF(K171="","⚠ not in Products",INDEX(Products!$A$5:$A$204,K171)))</f>
        <v/>
      </c>
      <c r="M171" s="11">
        <f>IF(A171="","",J171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171+IFERROR(INDEX(Settings!$D$5:$D$9,MATCH("Etsy",Settings!$A$5:$A$9,0)),0)*D171)</f>
        <v/>
      </c>
      <c r="N171" s="11">
        <f>IF(A171="","",IF(K171="",0,D171*INDEX(Products!$I$5:$I$204,K171)))</f>
        <v/>
      </c>
      <c r="O171" s="11">
        <f>IF(A171="","",IF(K171="",0,J171*INDEX(Products!$H$5:$H$204,K171)))</f>
        <v/>
      </c>
      <c r="P171" s="11">
        <f>IF(A171="","",J171-M171-N171-O171)</f>
        <v/>
      </c>
    </row>
    <row r="172">
      <c r="A172">
        <f>IFERROR(INDEX('Etsy Import'!$A:$CZ,172,Settings!$C$20)&amp;"","")</f>
        <v/>
      </c>
      <c r="B172">
        <f>IFERROR(INDEX('Etsy Import'!$A:$CZ,172,Settings!$C$21)&amp;"","")</f>
        <v/>
      </c>
      <c r="C172">
        <f>IFERROR(INDEX('Etsy Import'!$A:$CZ,172,Settings!$C$22)&amp;"","")</f>
        <v/>
      </c>
      <c r="D172">
        <f>IF(A172="","",IFERROR(VALUE(SUBSTITUTE(SUBSTITUTE(INDEX('Etsy Import'!$A:$CZ,172,Settings!$C$23)&amp;"","$",""),",","")),0))</f>
        <v/>
      </c>
      <c r="E172" s="11">
        <f>IF(A172="","",IFERROR(VALUE(SUBSTITUTE(SUBSTITUTE(INDEX('Etsy Import'!$A:$CZ,172,Settings!$C$24)&amp;"","$",""),",","")),0))</f>
        <v/>
      </c>
      <c r="F172" s="11">
        <f>IF(A172="","",D172*E172)</f>
        <v/>
      </c>
      <c r="G172">
        <f>IF(A172="","",IF(C172="",1,COUNTIF($C$2:$C$1501,C172)))</f>
        <v/>
      </c>
      <c r="H172" s="11">
        <f>IF(A172="","",IFERROR(VALUE(SUBSTITUTE(SUBSTITUTE(INDEX('Etsy Import'!$A:$CZ,172,Settings!$C$25)&amp;"","$",""),",","")),0)/IF(Settings!$B$27="Yes",G172,1))</f>
        <v/>
      </c>
      <c r="I172" s="11">
        <f>IF(A172="","",IFERROR(VALUE(SUBSTITUTE(SUBSTITUTE(INDEX('Etsy Import'!$A:$CZ,172,Settings!$C$26)&amp;"","$",""),",","")),0)/IF(Settings!$B$27="Yes",G172,1))</f>
        <v/>
      </c>
      <c r="J172" s="11">
        <f>IF(A172="","",F172+H172-I172)</f>
        <v/>
      </c>
      <c r="K172">
        <f>IF(A172="","",IFERROR(IF(B172="",NA(),MATCH(B172,Products!$B$5:$B$204,0)),IFERROR(MATCH(A172,Products!$A$5:$A$204,0),"")))</f>
        <v/>
      </c>
      <c r="L172">
        <f>IF(A172="","",IF(K172="","⚠ not in Products",INDEX(Products!$A$5:$A$204,K172)))</f>
        <v/>
      </c>
      <c r="M172" s="11">
        <f>IF(A172="","",J172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172+IFERROR(INDEX(Settings!$D$5:$D$9,MATCH("Etsy",Settings!$A$5:$A$9,0)),0)*D172)</f>
        <v/>
      </c>
      <c r="N172" s="11">
        <f>IF(A172="","",IF(K172="",0,D172*INDEX(Products!$I$5:$I$204,K172)))</f>
        <v/>
      </c>
      <c r="O172" s="11">
        <f>IF(A172="","",IF(K172="",0,J172*INDEX(Products!$H$5:$H$204,K172)))</f>
        <v/>
      </c>
      <c r="P172" s="11">
        <f>IF(A172="","",J172-M172-N172-O172)</f>
        <v/>
      </c>
    </row>
    <row r="173">
      <c r="A173">
        <f>IFERROR(INDEX('Etsy Import'!$A:$CZ,173,Settings!$C$20)&amp;"","")</f>
        <v/>
      </c>
      <c r="B173">
        <f>IFERROR(INDEX('Etsy Import'!$A:$CZ,173,Settings!$C$21)&amp;"","")</f>
        <v/>
      </c>
      <c r="C173">
        <f>IFERROR(INDEX('Etsy Import'!$A:$CZ,173,Settings!$C$22)&amp;"","")</f>
        <v/>
      </c>
      <c r="D173">
        <f>IF(A173="","",IFERROR(VALUE(SUBSTITUTE(SUBSTITUTE(INDEX('Etsy Import'!$A:$CZ,173,Settings!$C$23)&amp;"","$",""),",","")),0))</f>
        <v/>
      </c>
      <c r="E173" s="11">
        <f>IF(A173="","",IFERROR(VALUE(SUBSTITUTE(SUBSTITUTE(INDEX('Etsy Import'!$A:$CZ,173,Settings!$C$24)&amp;"","$",""),",","")),0))</f>
        <v/>
      </c>
      <c r="F173" s="11">
        <f>IF(A173="","",D173*E173)</f>
        <v/>
      </c>
      <c r="G173">
        <f>IF(A173="","",IF(C173="",1,COUNTIF($C$2:$C$1501,C173)))</f>
        <v/>
      </c>
      <c r="H173" s="11">
        <f>IF(A173="","",IFERROR(VALUE(SUBSTITUTE(SUBSTITUTE(INDEX('Etsy Import'!$A:$CZ,173,Settings!$C$25)&amp;"","$",""),",","")),0)/IF(Settings!$B$27="Yes",G173,1))</f>
        <v/>
      </c>
      <c r="I173" s="11">
        <f>IF(A173="","",IFERROR(VALUE(SUBSTITUTE(SUBSTITUTE(INDEX('Etsy Import'!$A:$CZ,173,Settings!$C$26)&amp;"","$",""),",","")),0)/IF(Settings!$B$27="Yes",G173,1))</f>
        <v/>
      </c>
      <c r="J173" s="11">
        <f>IF(A173="","",F173+H173-I173)</f>
        <v/>
      </c>
      <c r="K173">
        <f>IF(A173="","",IFERROR(IF(B173="",NA(),MATCH(B173,Products!$B$5:$B$204,0)),IFERROR(MATCH(A173,Products!$A$5:$A$204,0),"")))</f>
        <v/>
      </c>
      <c r="L173">
        <f>IF(A173="","",IF(K173="","⚠ not in Products",INDEX(Products!$A$5:$A$204,K173)))</f>
        <v/>
      </c>
      <c r="M173" s="11">
        <f>IF(A173="","",J173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173+IFERROR(INDEX(Settings!$D$5:$D$9,MATCH("Etsy",Settings!$A$5:$A$9,0)),0)*D173)</f>
        <v/>
      </c>
      <c r="N173" s="11">
        <f>IF(A173="","",IF(K173="",0,D173*INDEX(Products!$I$5:$I$204,K173)))</f>
        <v/>
      </c>
      <c r="O173" s="11">
        <f>IF(A173="","",IF(K173="",0,J173*INDEX(Products!$H$5:$H$204,K173)))</f>
        <v/>
      </c>
      <c r="P173" s="11">
        <f>IF(A173="","",J173-M173-N173-O173)</f>
        <v/>
      </c>
    </row>
    <row r="174">
      <c r="A174">
        <f>IFERROR(INDEX('Etsy Import'!$A:$CZ,174,Settings!$C$20)&amp;"","")</f>
        <v/>
      </c>
      <c r="B174">
        <f>IFERROR(INDEX('Etsy Import'!$A:$CZ,174,Settings!$C$21)&amp;"","")</f>
        <v/>
      </c>
      <c r="C174">
        <f>IFERROR(INDEX('Etsy Import'!$A:$CZ,174,Settings!$C$22)&amp;"","")</f>
        <v/>
      </c>
      <c r="D174">
        <f>IF(A174="","",IFERROR(VALUE(SUBSTITUTE(SUBSTITUTE(INDEX('Etsy Import'!$A:$CZ,174,Settings!$C$23)&amp;"","$",""),",","")),0))</f>
        <v/>
      </c>
      <c r="E174" s="11">
        <f>IF(A174="","",IFERROR(VALUE(SUBSTITUTE(SUBSTITUTE(INDEX('Etsy Import'!$A:$CZ,174,Settings!$C$24)&amp;"","$",""),",","")),0))</f>
        <v/>
      </c>
      <c r="F174" s="11">
        <f>IF(A174="","",D174*E174)</f>
        <v/>
      </c>
      <c r="G174">
        <f>IF(A174="","",IF(C174="",1,COUNTIF($C$2:$C$1501,C174)))</f>
        <v/>
      </c>
      <c r="H174" s="11">
        <f>IF(A174="","",IFERROR(VALUE(SUBSTITUTE(SUBSTITUTE(INDEX('Etsy Import'!$A:$CZ,174,Settings!$C$25)&amp;"","$",""),",","")),0)/IF(Settings!$B$27="Yes",G174,1))</f>
        <v/>
      </c>
      <c r="I174" s="11">
        <f>IF(A174="","",IFERROR(VALUE(SUBSTITUTE(SUBSTITUTE(INDEX('Etsy Import'!$A:$CZ,174,Settings!$C$26)&amp;"","$",""),",","")),0)/IF(Settings!$B$27="Yes",G174,1))</f>
        <v/>
      </c>
      <c r="J174" s="11">
        <f>IF(A174="","",F174+H174-I174)</f>
        <v/>
      </c>
      <c r="K174">
        <f>IF(A174="","",IFERROR(IF(B174="",NA(),MATCH(B174,Products!$B$5:$B$204,0)),IFERROR(MATCH(A174,Products!$A$5:$A$204,0),"")))</f>
        <v/>
      </c>
      <c r="L174">
        <f>IF(A174="","",IF(K174="","⚠ not in Products",INDEX(Products!$A$5:$A$204,K174)))</f>
        <v/>
      </c>
      <c r="M174" s="11">
        <f>IF(A174="","",J174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174+IFERROR(INDEX(Settings!$D$5:$D$9,MATCH("Etsy",Settings!$A$5:$A$9,0)),0)*D174)</f>
        <v/>
      </c>
      <c r="N174" s="11">
        <f>IF(A174="","",IF(K174="",0,D174*INDEX(Products!$I$5:$I$204,K174)))</f>
        <v/>
      </c>
      <c r="O174" s="11">
        <f>IF(A174="","",IF(K174="",0,J174*INDEX(Products!$H$5:$H$204,K174)))</f>
        <v/>
      </c>
      <c r="P174" s="11">
        <f>IF(A174="","",J174-M174-N174-O174)</f>
        <v/>
      </c>
    </row>
    <row r="175">
      <c r="A175">
        <f>IFERROR(INDEX('Etsy Import'!$A:$CZ,175,Settings!$C$20)&amp;"","")</f>
        <v/>
      </c>
      <c r="B175">
        <f>IFERROR(INDEX('Etsy Import'!$A:$CZ,175,Settings!$C$21)&amp;"","")</f>
        <v/>
      </c>
      <c r="C175">
        <f>IFERROR(INDEX('Etsy Import'!$A:$CZ,175,Settings!$C$22)&amp;"","")</f>
        <v/>
      </c>
      <c r="D175">
        <f>IF(A175="","",IFERROR(VALUE(SUBSTITUTE(SUBSTITUTE(INDEX('Etsy Import'!$A:$CZ,175,Settings!$C$23)&amp;"","$",""),",","")),0))</f>
        <v/>
      </c>
      <c r="E175" s="11">
        <f>IF(A175="","",IFERROR(VALUE(SUBSTITUTE(SUBSTITUTE(INDEX('Etsy Import'!$A:$CZ,175,Settings!$C$24)&amp;"","$",""),",","")),0))</f>
        <v/>
      </c>
      <c r="F175" s="11">
        <f>IF(A175="","",D175*E175)</f>
        <v/>
      </c>
      <c r="G175">
        <f>IF(A175="","",IF(C175="",1,COUNTIF($C$2:$C$1501,C175)))</f>
        <v/>
      </c>
      <c r="H175" s="11">
        <f>IF(A175="","",IFERROR(VALUE(SUBSTITUTE(SUBSTITUTE(INDEX('Etsy Import'!$A:$CZ,175,Settings!$C$25)&amp;"","$",""),",","")),0)/IF(Settings!$B$27="Yes",G175,1))</f>
        <v/>
      </c>
      <c r="I175" s="11">
        <f>IF(A175="","",IFERROR(VALUE(SUBSTITUTE(SUBSTITUTE(INDEX('Etsy Import'!$A:$CZ,175,Settings!$C$26)&amp;"","$",""),",","")),0)/IF(Settings!$B$27="Yes",G175,1))</f>
        <v/>
      </c>
      <c r="J175" s="11">
        <f>IF(A175="","",F175+H175-I175)</f>
        <v/>
      </c>
      <c r="K175">
        <f>IF(A175="","",IFERROR(IF(B175="",NA(),MATCH(B175,Products!$B$5:$B$204,0)),IFERROR(MATCH(A175,Products!$A$5:$A$204,0),"")))</f>
        <v/>
      </c>
      <c r="L175">
        <f>IF(A175="","",IF(K175="","⚠ not in Products",INDEX(Products!$A$5:$A$204,K175)))</f>
        <v/>
      </c>
      <c r="M175" s="11">
        <f>IF(A175="","",J175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175+IFERROR(INDEX(Settings!$D$5:$D$9,MATCH("Etsy",Settings!$A$5:$A$9,0)),0)*D175)</f>
        <v/>
      </c>
      <c r="N175" s="11">
        <f>IF(A175="","",IF(K175="",0,D175*INDEX(Products!$I$5:$I$204,K175)))</f>
        <v/>
      </c>
      <c r="O175" s="11">
        <f>IF(A175="","",IF(K175="",0,J175*INDEX(Products!$H$5:$H$204,K175)))</f>
        <v/>
      </c>
      <c r="P175" s="11">
        <f>IF(A175="","",J175-M175-N175-O175)</f>
        <v/>
      </c>
    </row>
    <row r="176">
      <c r="A176">
        <f>IFERROR(INDEX('Etsy Import'!$A:$CZ,176,Settings!$C$20)&amp;"","")</f>
        <v/>
      </c>
      <c r="B176">
        <f>IFERROR(INDEX('Etsy Import'!$A:$CZ,176,Settings!$C$21)&amp;"","")</f>
        <v/>
      </c>
      <c r="C176">
        <f>IFERROR(INDEX('Etsy Import'!$A:$CZ,176,Settings!$C$22)&amp;"","")</f>
        <v/>
      </c>
      <c r="D176">
        <f>IF(A176="","",IFERROR(VALUE(SUBSTITUTE(SUBSTITUTE(INDEX('Etsy Import'!$A:$CZ,176,Settings!$C$23)&amp;"","$",""),",","")),0))</f>
        <v/>
      </c>
      <c r="E176" s="11">
        <f>IF(A176="","",IFERROR(VALUE(SUBSTITUTE(SUBSTITUTE(INDEX('Etsy Import'!$A:$CZ,176,Settings!$C$24)&amp;"","$",""),",","")),0))</f>
        <v/>
      </c>
      <c r="F176" s="11">
        <f>IF(A176="","",D176*E176)</f>
        <v/>
      </c>
      <c r="G176">
        <f>IF(A176="","",IF(C176="",1,COUNTIF($C$2:$C$1501,C176)))</f>
        <v/>
      </c>
      <c r="H176" s="11">
        <f>IF(A176="","",IFERROR(VALUE(SUBSTITUTE(SUBSTITUTE(INDEX('Etsy Import'!$A:$CZ,176,Settings!$C$25)&amp;"","$",""),",","")),0)/IF(Settings!$B$27="Yes",G176,1))</f>
        <v/>
      </c>
      <c r="I176" s="11">
        <f>IF(A176="","",IFERROR(VALUE(SUBSTITUTE(SUBSTITUTE(INDEX('Etsy Import'!$A:$CZ,176,Settings!$C$26)&amp;"","$",""),",","")),0)/IF(Settings!$B$27="Yes",G176,1))</f>
        <v/>
      </c>
      <c r="J176" s="11">
        <f>IF(A176="","",F176+H176-I176)</f>
        <v/>
      </c>
      <c r="K176">
        <f>IF(A176="","",IFERROR(IF(B176="",NA(),MATCH(B176,Products!$B$5:$B$204,0)),IFERROR(MATCH(A176,Products!$A$5:$A$204,0),"")))</f>
        <v/>
      </c>
      <c r="L176">
        <f>IF(A176="","",IF(K176="","⚠ not in Products",INDEX(Products!$A$5:$A$204,K176)))</f>
        <v/>
      </c>
      <c r="M176" s="11">
        <f>IF(A176="","",J176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176+IFERROR(INDEX(Settings!$D$5:$D$9,MATCH("Etsy",Settings!$A$5:$A$9,0)),0)*D176)</f>
        <v/>
      </c>
      <c r="N176" s="11">
        <f>IF(A176="","",IF(K176="",0,D176*INDEX(Products!$I$5:$I$204,K176)))</f>
        <v/>
      </c>
      <c r="O176" s="11">
        <f>IF(A176="","",IF(K176="",0,J176*INDEX(Products!$H$5:$H$204,K176)))</f>
        <v/>
      </c>
      <c r="P176" s="11">
        <f>IF(A176="","",J176-M176-N176-O176)</f>
        <v/>
      </c>
    </row>
    <row r="177">
      <c r="A177">
        <f>IFERROR(INDEX('Etsy Import'!$A:$CZ,177,Settings!$C$20)&amp;"","")</f>
        <v/>
      </c>
      <c r="B177">
        <f>IFERROR(INDEX('Etsy Import'!$A:$CZ,177,Settings!$C$21)&amp;"","")</f>
        <v/>
      </c>
      <c r="C177">
        <f>IFERROR(INDEX('Etsy Import'!$A:$CZ,177,Settings!$C$22)&amp;"","")</f>
        <v/>
      </c>
      <c r="D177">
        <f>IF(A177="","",IFERROR(VALUE(SUBSTITUTE(SUBSTITUTE(INDEX('Etsy Import'!$A:$CZ,177,Settings!$C$23)&amp;"","$",""),",","")),0))</f>
        <v/>
      </c>
      <c r="E177" s="11">
        <f>IF(A177="","",IFERROR(VALUE(SUBSTITUTE(SUBSTITUTE(INDEX('Etsy Import'!$A:$CZ,177,Settings!$C$24)&amp;"","$",""),",","")),0))</f>
        <v/>
      </c>
      <c r="F177" s="11">
        <f>IF(A177="","",D177*E177)</f>
        <v/>
      </c>
      <c r="G177">
        <f>IF(A177="","",IF(C177="",1,COUNTIF($C$2:$C$1501,C177)))</f>
        <v/>
      </c>
      <c r="H177" s="11">
        <f>IF(A177="","",IFERROR(VALUE(SUBSTITUTE(SUBSTITUTE(INDEX('Etsy Import'!$A:$CZ,177,Settings!$C$25)&amp;"","$",""),",","")),0)/IF(Settings!$B$27="Yes",G177,1))</f>
        <v/>
      </c>
      <c r="I177" s="11">
        <f>IF(A177="","",IFERROR(VALUE(SUBSTITUTE(SUBSTITUTE(INDEX('Etsy Import'!$A:$CZ,177,Settings!$C$26)&amp;"","$",""),",","")),0)/IF(Settings!$B$27="Yes",G177,1))</f>
        <v/>
      </c>
      <c r="J177" s="11">
        <f>IF(A177="","",F177+H177-I177)</f>
        <v/>
      </c>
      <c r="K177">
        <f>IF(A177="","",IFERROR(IF(B177="",NA(),MATCH(B177,Products!$B$5:$B$204,0)),IFERROR(MATCH(A177,Products!$A$5:$A$204,0),"")))</f>
        <v/>
      </c>
      <c r="L177">
        <f>IF(A177="","",IF(K177="","⚠ not in Products",INDEX(Products!$A$5:$A$204,K177)))</f>
        <v/>
      </c>
      <c r="M177" s="11">
        <f>IF(A177="","",J177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177+IFERROR(INDEX(Settings!$D$5:$D$9,MATCH("Etsy",Settings!$A$5:$A$9,0)),0)*D177)</f>
        <v/>
      </c>
      <c r="N177" s="11">
        <f>IF(A177="","",IF(K177="",0,D177*INDEX(Products!$I$5:$I$204,K177)))</f>
        <v/>
      </c>
      <c r="O177" s="11">
        <f>IF(A177="","",IF(K177="",0,J177*INDEX(Products!$H$5:$H$204,K177)))</f>
        <v/>
      </c>
      <c r="P177" s="11">
        <f>IF(A177="","",J177-M177-N177-O177)</f>
        <v/>
      </c>
    </row>
    <row r="178">
      <c r="A178">
        <f>IFERROR(INDEX('Etsy Import'!$A:$CZ,178,Settings!$C$20)&amp;"","")</f>
        <v/>
      </c>
      <c r="B178">
        <f>IFERROR(INDEX('Etsy Import'!$A:$CZ,178,Settings!$C$21)&amp;"","")</f>
        <v/>
      </c>
      <c r="C178">
        <f>IFERROR(INDEX('Etsy Import'!$A:$CZ,178,Settings!$C$22)&amp;"","")</f>
        <v/>
      </c>
      <c r="D178">
        <f>IF(A178="","",IFERROR(VALUE(SUBSTITUTE(SUBSTITUTE(INDEX('Etsy Import'!$A:$CZ,178,Settings!$C$23)&amp;"","$",""),",","")),0))</f>
        <v/>
      </c>
      <c r="E178" s="11">
        <f>IF(A178="","",IFERROR(VALUE(SUBSTITUTE(SUBSTITUTE(INDEX('Etsy Import'!$A:$CZ,178,Settings!$C$24)&amp;"","$",""),",","")),0))</f>
        <v/>
      </c>
      <c r="F178" s="11">
        <f>IF(A178="","",D178*E178)</f>
        <v/>
      </c>
      <c r="G178">
        <f>IF(A178="","",IF(C178="",1,COUNTIF($C$2:$C$1501,C178)))</f>
        <v/>
      </c>
      <c r="H178" s="11">
        <f>IF(A178="","",IFERROR(VALUE(SUBSTITUTE(SUBSTITUTE(INDEX('Etsy Import'!$A:$CZ,178,Settings!$C$25)&amp;"","$",""),",","")),0)/IF(Settings!$B$27="Yes",G178,1))</f>
        <v/>
      </c>
      <c r="I178" s="11">
        <f>IF(A178="","",IFERROR(VALUE(SUBSTITUTE(SUBSTITUTE(INDEX('Etsy Import'!$A:$CZ,178,Settings!$C$26)&amp;"","$",""),",","")),0)/IF(Settings!$B$27="Yes",G178,1))</f>
        <v/>
      </c>
      <c r="J178" s="11">
        <f>IF(A178="","",F178+H178-I178)</f>
        <v/>
      </c>
      <c r="K178">
        <f>IF(A178="","",IFERROR(IF(B178="",NA(),MATCH(B178,Products!$B$5:$B$204,0)),IFERROR(MATCH(A178,Products!$A$5:$A$204,0),"")))</f>
        <v/>
      </c>
      <c r="L178">
        <f>IF(A178="","",IF(K178="","⚠ not in Products",INDEX(Products!$A$5:$A$204,K178)))</f>
        <v/>
      </c>
      <c r="M178" s="11">
        <f>IF(A178="","",J178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178+IFERROR(INDEX(Settings!$D$5:$D$9,MATCH("Etsy",Settings!$A$5:$A$9,0)),0)*D178)</f>
        <v/>
      </c>
      <c r="N178" s="11">
        <f>IF(A178="","",IF(K178="",0,D178*INDEX(Products!$I$5:$I$204,K178)))</f>
        <v/>
      </c>
      <c r="O178" s="11">
        <f>IF(A178="","",IF(K178="",0,J178*INDEX(Products!$H$5:$H$204,K178)))</f>
        <v/>
      </c>
      <c r="P178" s="11">
        <f>IF(A178="","",J178-M178-N178-O178)</f>
        <v/>
      </c>
    </row>
    <row r="179">
      <c r="A179">
        <f>IFERROR(INDEX('Etsy Import'!$A:$CZ,179,Settings!$C$20)&amp;"","")</f>
        <v/>
      </c>
      <c r="B179">
        <f>IFERROR(INDEX('Etsy Import'!$A:$CZ,179,Settings!$C$21)&amp;"","")</f>
        <v/>
      </c>
      <c r="C179">
        <f>IFERROR(INDEX('Etsy Import'!$A:$CZ,179,Settings!$C$22)&amp;"","")</f>
        <v/>
      </c>
      <c r="D179">
        <f>IF(A179="","",IFERROR(VALUE(SUBSTITUTE(SUBSTITUTE(INDEX('Etsy Import'!$A:$CZ,179,Settings!$C$23)&amp;"","$",""),",","")),0))</f>
        <v/>
      </c>
      <c r="E179" s="11">
        <f>IF(A179="","",IFERROR(VALUE(SUBSTITUTE(SUBSTITUTE(INDEX('Etsy Import'!$A:$CZ,179,Settings!$C$24)&amp;"","$",""),",","")),0))</f>
        <v/>
      </c>
      <c r="F179" s="11">
        <f>IF(A179="","",D179*E179)</f>
        <v/>
      </c>
      <c r="G179">
        <f>IF(A179="","",IF(C179="",1,COUNTIF($C$2:$C$1501,C179)))</f>
        <v/>
      </c>
      <c r="H179" s="11">
        <f>IF(A179="","",IFERROR(VALUE(SUBSTITUTE(SUBSTITUTE(INDEX('Etsy Import'!$A:$CZ,179,Settings!$C$25)&amp;"","$",""),",","")),0)/IF(Settings!$B$27="Yes",G179,1))</f>
        <v/>
      </c>
      <c r="I179" s="11">
        <f>IF(A179="","",IFERROR(VALUE(SUBSTITUTE(SUBSTITUTE(INDEX('Etsy Import'!$A:$CZ,179,Settings!$C$26)&amp;"","$",""),",","")),0)/IF(Settings!$B$27="Yes",G179,1))</f>
        <v/>
      </c>
      <c r="J179" s="11">
        <f>IF(A179="","",F179+H179-I179)</f>
        <v/>
      </c>
      <c r="K179">
        <f>IF(A179="","",IFERROR(IF(B179="",NA(),MATCH(B179,Products!$B$5:$B$204,0)),IFERROR(MATCH(A179,Products!$A$5:$A$204,0),"")))</f>
        <v/>
      </c>
      <c r="L179">
        <f>IF(A179="","",IF(K179="","⚠ not in Products",INDEX(Products!$A$5:$A$204,K179)))</f>
        <v/>
      </c>
      <c r="M179" s="11">
        <f>IF(A179="","",J179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179+IFERROR(INDEX(Settings!$D$5:$D$9,MATCH("Etsy",Settings!$A$5:$A$9,0)),0)*D179)</f>
        <v/>
      </c>
      <c r="N179" s="11">
        <f>IF(A179="","",IF(K179="",0,D179*INDEX(Products!$I$5:$I$204,K179)))</f>
        <v/>
      </c>
      <c r="O179" s="11">
        <f>IF(A179="","",IF(K179="",0,J179*INDEX(Products!$H$5:$H$204,K179)))</f>
        <v/>
      </c>
      <c r="P179" s="11">
        <f>IF(A179="","",J179-M179-N179-O179)</f>
        <v/>
      </c>
    </row>
    <row r="180">
      <c r="A180">
        <f>IFERROR(INDEX('Etsy Import'!$A:$CZ,180,Settings!$C$20)&amp;"","")</f>
        <v/>
      </c>
      <c r="B180">
        <f>IFERROR(INDEX('Etsy Import'!$A:$CZ,180,Settings!$C$21)&amp;"","")</f>
        <v/>
      </c>
      <c r="C180">
        <f>IFERROR(INDEX('Etsy Import'!$A:$CZ,180,Settings!$C$22)&amp;"","")</f>
        <v/>
      </c>
      <c r="D180">
        <f>IF(A180="","",IFERROR(VALUE(SUBSTITUTE(SUBSTITUTE(INDEX('Etsy Import'!$A:$CZ,180,Settings!$C$23)&amp;"","$",""),",","")),0))</f>
        <v/>
      </c>
      <c r="E180" s="11">
        <f>IF(A180="","",IFERROR(VALUE(SUBSTITUTE(SUBSTITUTE(INDEX('Etsy Import'!$A:$CZ,180,Settings!$C$24)&amp;"","$",""),",","")),0))</f>
        <v/>
      </c>
      <c r="F180" s="11">
        <f>IF(A180="","",D180*E180)</f>
        <v/>
      </c>
      <c r="G180">
        <f>IF(A180="","",IF(C180="",1,COUNTIF($C$2:$C$1501,C180)))</f>
        <v/>
      </c>
      <c r="H180" s="11">
        <f>IF(A180="","",IFERROR(VALUE(SUBSTITUTE(SUBSTITUTE(INDEX('Etsy Import'!$A:$CZ,180,Settings!$C$25)&amp;"","$",""),",","")),0)/IF(Settings!$B$27="Yes",G180,1))</f>
        <v/>
      </c>
      <c r="I180" s="11">
        <f>IF(A180="","",IFERROR(VALUE(SUBSTITUTE(SUBSTITUTE(INDEX('Etsy Import'!$A:$CZ,180,Settings!$C$26)&amp;"","$",""),",","")),0)/IF(Settings!$B$27="Yes",G180,1))</f>
        <v/>
      </c>
      <c r="J180" s="11">
        <f>IF(A180="","",F180+H180-I180)</f>
        <v/>
      </c>
      <c r="K180">
        <f>IF(A180="","",IFERROR(IF(B180="",NA(),MATCH(B180,Products!$B$5:$B$204,0)),IFERROR(MATCH(A180,Products!$A$5:$A$204,0),"")))</f>
        <v/>
      </c>
      <c r="L180">
        <f>IF(A180="","",IF(K180="","⚠ not in Products",INDEX(Products!$A$5:$A$204,K180)))</f>
        <v/>
      </c>
      <c r="M180" s="11">
        <f>IF(A180="","",J180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180+IFERROR(INDEX(Settings!$D$5:$D$9,MATCH("Etsy",Settings!$A$5:$A$9,0)),0)*D180)</f>
        <v/>
      </c>
      <c r="N180" s="11">
        <f>IF(A180="","",IF(K180="",0,D180*INDEX(Products!$I$5:$I$204,K180)))</f>
        <v/>
      </c>
      <c r="O180" s="11">
        <f>IF(A180="","",IF(K180="",0,J180*INDEX(Products!$H$5:$H$204,K180)))</f>
        <v/>
      </c>
      <c r="P180" s="11">
        <f>IF(A180="","",J180-M180-N180-O180)</f>
        <v/>
      </c>
    </row>
    <row r="181">
      <c r="A181">
        <f>IFERROR(INDEX('Etsy Import'!$A:$CZ,181,Settings!$C$20)&amp;"","")</f>
        <v/>
      </c>
      <c r="B181">
        <f>IFERROR(INDEX('Etsy Import'!$A:$CZ,181,Settings!$C$21)&amp;"","")</f>
        <v/>
      </c>
      <c r="C181">
        <f>IFERROR(INDEX('Etsy Import'!$A:$CZ,181,Settings!$C$22)&amp;"","")</f>
        <v/>
      </c>
      <c r="D181">
        <f>IF(A181="","",IFERROR(VALUE(SUBSTITUTE(SUBSTITUTE(INDEX('Etsy Import'!$A:$CZ,181,Settings!$C$23)&amp;"","$",""),",","")),0))</f>
        <v/>
      </c>
      <c r="E181" s="11">
        <f>IF(A181="","",IFERROR(VALUE(SUBSTITUTE(SUBSTITUTE(INDEX('Etsy Import'!$A:$CZ,181,Settings!$C$24)&amp;"","$",""),",","")),0))</f>
        <v/>
      </c>
      <c r="F181" s="11">
        <f>IF(A181="","",D181*E181)</f>
        <v/>
      </c>
      <c r="G181">
        <f>IF(A181="","",IF(C181="",1,COUNTIF($C$2:$C$1501,C181)))</f>
        <v/>
      </c>
      <c r="H181" s="11">
        <f>IF(A181="","",IFERROR(VALUE(SUBSTITUTE(SUBSTITUTE(INDEX('Etsy Import'!$A:$CZ,181,Settings!$C$25)&amp;"","$",""),",","")),0)/IF(Settings!$B$27="Yes",G181,1))</f>
        <v/>
      </c>
      <c r="I181" s="11">
        <f>IF(A181="","",IFERROR(VALUE(SUBSTITUTE(SUBSTITUTE(INDEX('Etsy Import'!$A:$CZ,181,Settings!$C$26)&amp;"","$",""),",","")),0)/IF(Settings!$B$27="Yes",G181,1))</f>
        <v/>
      </c>
      <c r="J181" s="11">
        <f>IF(A181="","",F181+H181-I181)</f>
        <v/>
      </c>
      <c r="K181">
        <f>IF(A181="","",IFERROR(IF(B181="",NA(),MATCH(B181,Products!$B$5:$B$204,0)),IFERROR(MATCH(A181,Products!$A$5:$A$204,0),"")))</f>
        <v/>
      </c>
      <c r="L181">
        <f>IF(A181="","",IF(K181="","⚠ not in Products",INDEX(Products!$A$5:$A$204,K181)))</f>
        <v/>
      </c>
      <c r="M181" s="11">
        <f>IF(A181="","",J181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181+IFERROR(INDEX(Settings!$D$5:$D$9,MATCH("Etsy",Settings!$A$5:$A$9,0)),0)*D181)</f>
        <v/>
      </c>
      <c r="N181" s="11">
        <f>IF(A181="","",IF(K181="",0,D181*INDEX(Products!$I$5:$I$204,K181)))</f>
        <v/>
      </c>
      <c r="O181" s="11">
        <f>IF(A181="","",IF(K181="",0,J181*INDEX(Products!$H$5:$H$204,K181)))</f>
        <v/>
      </c>
      <c r="P181" s="11">
        <f>IF(A181="","",J181-M181-N181-O181)</f>
        <v/>
      </c>
    </row>
    <row r="182">
      <c r="A182">
        <f>IFERROR(INDEX('Etsy Import'!$A:$CZ,182,Settings!$C$20)&amp;"","")</f>
        <v/>
      </c>
      <c r="B182">
        <f>IFERROR(INDEX('Etsy Import'!$A:$CZ,182,Settings!$C$21)&amp;"","")</f>
        <v/>
      </c>
      <c r="C182">
        <f>IFERROR(INDEX('Etsy Import'!$A:$CZ,182,Settings!$C$22)&amp;"","")</f>
        <v/>
      </c>
      <c r="D182">
        <f>IF(A182="","",IFERROR(VALUE(SUBSTITUTE(SUBSTITUTE(INDEX('Etsy Import'!$A:$CZ,182,Settings!$C$23)&amp;"","$",""),",","")),0))</f>
        <v/>
      </c>
      <c r="E182" s="11">
        <f>IF(A182="","",IFERROR(VALUE(SUBSTITUTE(SUBSTITUTE(INDEX('Etsy Import'!$A:$CZ,182,Settings!$C$24)&amp;"","$",""),",","")),0))</f>
        <v/>
      </c>
      <c r="F182" s="11">
        <f>IF(A182="","",D182*E182)</f>
        <v/>
      </c>
      <c r="G182">
        <f>IF(A182="","",IF(C182="",1,COUNTIF($C$2:$C$1501,C182)))</f>
        <v/>
      </c>
      <c r="H182" s="11">
        <f>IF(A182="","",IFERROR(VALUE(SUBSTITUTE(SUBSTITUTE(INDEX('Etsy Import'!$A:$CZ,182,Settings!$C$25)&amp;"","$",""),",","")),0)/IF(Settings!$B$27="Yes",G182,1))</f>
        <v/>
      </c>
      <c r="I182" s="11">
        <f>IF(A182="","",IFERROR(VALUE(SUBSTITUTE(SUBSTITUTE(INDEX('Etsy Import'!$A:$CZ,182,Settings!$C$26)&amp;"","$",""),",","")),0)/IF(Settings!$B$27="Yes",G182,1))</f>
        <v/>
      </c>
      <c r="J182" s="11">
        <f>IF(A182="","",F182+H182-I182)</f>
        <v/>
      </c>
      <c r="K182">
        <f>IF(A182="","",IFERROR(IF(B182="",NA(),MATCH(B182,Products!$B$5:$B$204,0)),IFERROR(MATCH(A182,Products!$A$5:$A$204,0),"")))</f>
        <v/>
      </c>
      <c r="L182">
        <f>IF(A182="","",IF(K182="","⚠ not in Products",INDEX(Products!$A$5:$A$204,K182)))</f>
        <v/>
      </c>
      <c r="M182" s="11">
        <f>IF(A182="","",J182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182+IFERROR(INDEX(Settings!$D$5:$D$9,MATCH("Etsy",Settings!$A$5:$A$9,0)),0)*D182)</f>
        <v/>
      </c>
      <c r="N182" s="11">
        <f>IF(A182="","",IF(K182="",0,D182*INDEX(Products!$I$5:$I$204,K182)))</f>
        <v/>
      </c>
      <c r="O182" s="11">
        <f>IF(A182="","",IF(K182="",0,J182*INDEX(Products!$H$5:$H$204,K182)))</f>
        <v/>
      </c>
      <c r="P182" s="11">
        <f>IF(A182="","",J182-M182-N182-O182)</f>
        <v/>
      </c>
    </row>
    <row r="183">
      <c r="A183">
        <f>IFERROR(INDEX('Etsy Import'!$A:$CZ,183,Settings!$C$20)&amp;"","")</f>
        <v/>
      </c>
      <c r="B183">
        <f>IFERROR(INDEX('Etsy Import'!$A:$CZ,183,Settings!$C$21)&amp;"","")</f>
        <v/>
      </c>
      <c r="C183">
        <f>IFERROR(INDEX('Etsy Import'!$A:$CZ,183,Settings!$C$22)&amp;"","")</f>
        <v/>
      </c>
      <c r="D183">
        <f>IF(A183="","",IFERROR(VALUE(SUBSTITUTE(SUBSTITUTE(INDEX('Etsy Import'!$A:$CZ,183,Settings!$C$23)&amp;"","$",""),",","")),0))</f>
        <v/>
      </c>
      <c r="E183" s="11">
        <f>IF(A183="","",IFERROR(VALUE(SUBSTITUTE(SUBSTITUTE(INDEX('Etsy Import'!$A:$CZ,183,Settings!$C$24)&amp;"","$",""),",","")),0))</f>
        <v/>
      </c>
      <c r="F183" s="11">
        <f>IF(A183="","",D183*E183)</f>
        <v/>
      </c>
      <c r="G183">
        <f>IF(A183="","",IF(C183="",1,COUNTIF($C$2:$C$1501,C183)))</f>
        <v/>
      </c>
      <c r="H183" s="11">
        <f>IF(A183="","",IFERROR(VALUE(SUBSTITUTE(SUBSTITUTE(INDEX('Etsy Import'!$A:$CZ,183,Settings!$C$25)&amp;"","$",""),",","")),0)/IF(Settings!$B$27="Yes",G183,1))</f>
        <v/>
      </c>
      <c r="I183" s="11">
        <f>IF(A183="","",IFERROR(VALUE(SUBSTITUTE(SUBSTITUTE(INDEX('Etsy Import'!$A:$CZ,183,Settings!$C$26)&amp;"","$",""),",","")),0)/IF(Settings!$B$27="Yes",G183,1))</f>
        <v/>
      </c>
      <c r="J183" s="11">
        <f>IF(A183="","",F183+H183-I183)</f>
        <v/>
      </c>
      <c r="K183">
        <f>IF(A183="","",IFERROR(IF(B183="",NA(),MATCH(B183,Products!$B$5:$B$204,0)),IFERROR(MATCH(A183,Products!$A$5:$A$204,0),"")))</f>
        <v/>
      </c>
      <c r="L183">
        <f>IF(A183="","",IF(K183="","⚠ not in Products",INDEX(Products!$A$5:$A$204,K183)))</f>
        <v/>
      </c>
      <c r="M183" s="11">
        <f>IF(A183="","",J183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183+IFERROR(INDEX(Settings!$D$5:$D$9,MATCH("Etsy",Settings!$A$5:$A$9,0)),0)*D183)</f>
        <v/>
      </c>
      <c r="N183" s="11">
        <f>IF(A183="","",IF(K183="",0,D183*INDEX(Products!$I$5:$I$204,K183)))</f>
        <v/>
      </c>
      <c r="O183" s="11">
        <f>IF(A183="","",IF(K183="",0,J183*INDEX(Products!$H$5:$H$204,K183)))</f>
        <v/>
      </c>
      <c r="P183" s="11">
        <f>IF(A183="","",J183-M183-N183-O183)</f>
        <v/>
      </c>
    </row>
    <row r="184">
      <c r="A184">
        <f>IFERROR(INDEX('Etsy Import'!$A:$CZ,184,Settings!$C$20)&amp;"","")</f>
        <v/>
      </c>
      <c r="B184">
        <f>IFERROR(INDEX('Etsy Import'!$A:$CZ,184,Settings!$C$21)&amp;"","")</f>
        <v/>
      </c>
      <c r="C184">
        <f>IFERROR(INDEX('Etsy Import'!$A:$CZ,184,Settings!$C$22)&amp;"","")</f>
        <v/>
      </c>
      <c r="D184">
        <f>IF(A184="","",IFERROR(VALUE(SUBSTITUTE(SUBSTITUTE(INDEX('Etsy Import'!$A:$CZ,184,Settings!$C$23)&amp;"","$",""),",","")),0))</f>
        <v/>
      </c>
      <c r="E184" s="11">
        <f>IF(A184="","",IFERROR(VALUE(SUBSTITUTE(SUBSTITUTE(INDEX('Etsy Import'!$A:$CZ,184,Settings!$C$24)&amp;"","$",""),",","")),0))</f>
        <v/>
      </c>
      <c r="F184" s="11">
        <f>IF(A184="","",D184*E184)</f>
        <v/>
      </c>
      <c r="G184">
        <f>IF(A184="","",IF(C184="",1,COUNTIF($C$2:$C$1501,C184)))</f>
        <v/>
      </c>
      <c r="H184" s="11">
        <f>IF(A184="","",IFERROR(VALUE(SUBSTITUTE(SUBSTITUTE(INDEX('Etsy Import'!$A:$CZ,184,Settings!$C$25)&amp;"","$",""),",","")),0)/IF(Settings!$B$27="Yes",G184,1))</f>
        <v/>
      </c>
      <c r="I184" s="11">
        <f>IF(A184="","",IFERROR(VALUE(SUBSTITUTE(SUBSTITUTE(INDEX('Etsy Import'!$A:$CZ,184,Settings!$C$26)&amp;"","$",""),",","")),0)/IF(Settings!$B$27="Yes",G184,1))</f>
        <v/>
      </c>
      <c r="J184" s="11">
        <f>IF(A184="","",F184+H184-I184)</f>
        <v/>
      </c>
      <c r="K184">
        <f>IF(A184="","",IFERROR(IF(B184="",NA(),MATCH(B184,Products!$B$5:$B$204,0)),IFERROR(MATCH(A184,Products!$A$5:$A$204,0),"")))</f>
        <v/>
      </c>
      <c r="L184">
        <f>IF(A184="","",IF(K184="","⚠ not in Products",INDEX(Products!$A$5:$A$204,K184)))</f>
        <v/>
      </c>
      <c r="M184" s="11">
        <f>IF(A184="","",J184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184+IFERROR(INDEX(Settings!$D$5:$D$9,MATCH("Etsy",Settings!$A$5:$A$9,0)),0)*D184)</f>
        <v/>
      </c>
      <c r="N184" s="11">
        <f>IF(A184="","",IF(K184="",0,D184*INDEX(Products!$I$5:$I$204,K184)))</f>
        <v/>
      </c>
      <c r="O184" s="11">
        <f>IF(A184="","",IF(K184="",0,J184*INDEX(Products!$H$5:$H$204,K184)))</f>
        <v/>
      </c>
      <c r="P184" s="11">
        <f>IF(A184="","",J184-M184-N184-O184)</f>
        <v/>
      </c>
    </row>
    <row r="185">
      <c r="A185">
        <f>IFERROR(INDEX('Etsy Import'!$A:$CZ,185,Settings!$C$20)&amp;"","")</f>
        <v/>
      </c>
      <c r="B185">
        <f>IFERROR(INDEX('Etsy Import'!$A:$CZ,185,Settings!$C$21)&amp;"","")</f>
        <v/>
      </c>
      <c r="C185">
        <f>IFERROR(INDEX('Etsy Import'!$A:$CZ,185,Settings!$C$22)&amp;"","")</f>
        <v/>
      </c>
      <c r="D185">
        <f>IF(A185="","",IFERROR(VALUE(SUBSTITUTE(SUBSTITUTE(INDEX('Etsy Import'!$A:$CZ,185,Settings!$C$23)&amp;"","$",""),",","")),0))</f>
        <v/>
      </c>
      <c r="E185" s="11">
        <f>IF(A185="","",IFERROR(VALUE(SUBSTITUTE(SUBSTITUTE(INDEX('Etsy Import'!$A:$CZ,185,Settings!$C$24)&amp;"","$",""),",","")),0))</f>
        <v/>
      </c>
      <c r="F185" s="11">
        <f>IF(A185="","",D185*E185)</f>
        <v/>
      </c>
      <c r="G185">
        <f>IF(A185="","",IF(C185="",1,COUNTIF($C$2:$C$1501,C185)))</f>
        <v/>
      </c>
      <c r="H185" s="11">
        <f>IF(A185="","",IFERROR(VALUE(SUBSTITUTE(SUBSTITUTE(INDEX('Etsy Import'!$A:$CZ,185,Settings!$C$25)&amp;"","$",""),",","")),0)/IF(Settings!$B$27="Yes",G185,1))</f>
        <v/>
      </c>
      <c r="I185" s="11">
        <f>IF(A185="","",IFERROR(VALUE(SUBSTITUTE(SUBSTITUTE(INDEX('Etsy Import'!$A:$CZ,185,Settings!$C$26)&amp;"","$",""),",","")),0)/IF(Settings!$B$27="Yes",G185,1))</f>
        <v/>
      </c>
      <c r="J185" s="11">
        <f>IF(A185="","",F185+H185-I185)</f>
        <v/>
      </c>
      <c r="K185">
        <f>IF(A185="","",IFERROR(IF(B185="",NA(),MATCH(B185,Products!$B$5:$B$204,0)),IFERROR(MATCH(A185,Products!$A$5:$A$204,0),"")))</f>
        <v/>
      </c>
      <c r="L185">
        <f>IF(A185="","",IF(K185="","⚠ not in Products",INDEX(Products!$A$5:$A$204,K185)))</f>
        <v/>
      </c>
      <c r="M185" s="11">
        <f>IF(A185="","",J185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185+IFERROR(INDEX(Settings!$D$5:$D$9,MATCH("Etsy",Settings!$A$5:$A$9,0)),0)*D185)</f>
        <v/>
      </c>
      <c r="N185" s="11">
        <f>IF(A185="","",IF(K185="",0,D185*INDEX(Products!$I$5:$I$204,K185)))</f>
        <v/>
      </c>
      <c r="O185" s="11">
        <f>IF(A185="","",IF(K185="",0,J185*INDEX(Products!$H$5:$H$204,K185)))</f>
        <v/>
      </c>
      <c r="P185" s="11">
        <f>IF(A185="","",J185-M185-N185-O185)</f>
        <v/>
      </c>
    </row>
    <row r="186">
      <c r="A186">
        <f>IFERROR(INDEX('Etsy Import'!$A:$CZ,186,Settings!$C$20)&amp;"","")</f>
        <v/>
      </c>
      <c r="B186">
        <f>IFERROR(INDEX('Etsy Import'!$A:$CZ,186,Settings!$C$21)&amp;"","")</f>
        <v/>
      </c>
      <c r="C186">
        <f>IFERROR(INDEX('Etsy Import'!$A:$CZ,186,Settings!$C$22)&amp;"","")</f>
        <v/>
      </c>
      <c r="D186">
        <f>IF(A186="","",IFERROR(VALUE(SUBSTITUTE(SUBSTITUTE(INDEX('Etsy Import'!$A:$CZ,186,Settings!$C$23)&amp;"","$",""),",","")),0))</f>
        <v/>
      </c>
      <c r="E186" s="11">
        <f>IF(A186="","",IFERROR(VALUE(SUBSTITUTE(SUBSTITUTE(INDEX('Etsy Import'!$A:$CZ,186,Settings!$C$24)&amp;"","$",""),",","")),0))</f>
        <v/>
      </c>
      <c r="F186" s="11">
        <f>IF(A186="","",D186*E186)</f>
        <v/>
      </c>
      <c r="G186">
        <f>IF(A186="","",IF(C186="",1,COUNTIF($C$2:$C$1501,C186)))</f>
        <v/>
      </c>
      <c r="H186" s="11">
        <f>IF(A186="","",IFERROR(VALUE(SUBSTITUTE(SUBSTITUTE(INDEX('Etsy Import'!$A:$CZ,186,Settings!$C$25)&amp;"","$",""),",","")),0)/IF(Settings!$B$27="Yes",G186,1))</f>
        <v/>
      </c>
      <c r="I186" s="11">
        <f>IF(A186="","",IFERROR(VALUE(SUBSTITUTE(SUBSTITUTE(INDEX('Etsy Import'!$A:$CZ,186,Settings!$C$26)&amp;"","$",""),",","")),0)/IF(Settings!$B$27="Yes",G186,1))</f>
        <v/>
      </c>
      <c r="J186" s="11">
        <f>IF(A186="","",F186+H186-I186)</f>
        <v/>
      </c>
      <c r="K186">
        <f>IF(A186="","",IFERROR(IF(B186="",NA(),MATCH(B186,Products!$B$5:$B$204,0)),IFERROR(MATCH(A186,Products!$A$5:$A$204,0),"")))</f>
        <v/>
      </c>
      <c r="L186">
        <f>IF(A186="","",IF(K186="","⚠ not in Products",INDEX(Products!$A$5:$A$204,K186)))</f>
        <v/>
      </c>
      <c r="M186" s="11">
        <f>IF(A186="","",J186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186+IFERROR(INDEX(Settings!$D$5:$D$9,MATCH("Etsy",Settings!$A$5:$A$9,0)),0)*D186)</f>
        <v/>
      </c>
      <c r="N186" s="11">
        <f>IF(A186="","",IF(K186="",0,D186*INDEX(Products!$I$5:$I$204,K186)))</f>
        <v/>
      </c>
      <c r="O186" s="11">
        <f>IF(A186="","",IF(K186="",0,J186*INDEX(Products!$H$5:$H$204,K186)))</f>
        <v/>
      </c>
      <c r="P186" s="11">
        <f>IF(A186="","",J186-M186-N186-O186)</f>
        <v/>
      </c>
    </row>
    <row r="187">
      <c r="A187">
        <f>IFERROR(INDEX('Etsy Import'!$A:$CZ,187,Settings!$C$20)&amp;"","")</f>
        <v/>
      </c>
      <c r="B187">
        <f>IFERROR(INDEX('Etsy Import'!$A:$CZ,187,Settings!$C$21)&amp;"","")</f>
        <v/>
      </c>
      <c r="C187">
        <f>IFERROR(INDEX('Etsy Import'!$A:$CZ,187,Settings!$C$22)&amp;"","")</f>
        <v/>
      </c>
      <c r="D187">
        <f>IF(A187="","",IFERROR(VALUE(SUBSTITUTE(SUBSTITUTE(INDEX('Etsy Import'!$A:$CZ,187,Settings!$C$23)&amp;"","$",""),",","")),0))</f>
        <v/>
      </c>
      <c r="E187" s="11">
        <f>IF(A187="","",IFERROR(VALUE(SUBSTITUTE(SUBSTITUTE(INDEX('Etsy Import'!$A:$CZ,187,Settings!$C$24)&amp;"","$",""),",","")),0))</f>
        <v/>
      </c>
      <c r="F187" s="11">
        <f>IF(A187="","",D187*E187)</f>
        <v/>
      </c>
      <c r="G187">
        <f>IF(A187="","",IF(C187="",1,COUNTIF($C$2:$C$1501,C187)))</f>
        <v/>
      </c>
      <c r="H187" s="11">
        <f>IF(A187="","",IFERROR(VALUE(SUBSTITUTE(SUBSTITUTE(INDEX('Etsy Import'!$A:$CZ,187,Settings!$C$25)&amp;"","$",""),",","")),0)/IF(Settings!$B$27="Yes",G187,1))</f>
        <v/>
      </c>
      <c r="I187" s="11">
        <f>IF(A187="","",IFERROR(VALUE(SUBSTITUTE(SUBSTITUTE(INDEX('Etsy Import'!$A:$CZ,187,Settings!$C$26)&amp;"","$",""),",","")),0)/IF(Settings!$B$27="Yes",G187,1))</f>
        <v/>
      </c>
      <c r="J187" s="11">
        <f>IF(A187="","",F187+H187-I187)</f>
        <v/>
      </c>
      <c r="K187">
        <f>IF(A187="","",IFERROR(IF(B187="",NA(),MATCH(B187,Products!$B$5:$B$204,0)),IFERROR(MATCH(A187,Products!$A$5:$A$204,0),"")))</f>
        <v/>
      </c>
      <c r="L187">
        <f>IF(A187="","",IF(K187="","⚠ not in Products",INDEX(Products!$A$5:$A$204,K187)))</f>
        <v/>
      </c>
      <c r="M187" s="11">
        <f>IF(A187="","",J187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187+IFERROR(INDEX(Settings!$D$5:$D$9,MATCH("Etsy",Settings!$A$5:$A$9,0)),0)*D187)</f>
        <v/>
      </c>
      <c r="N187" s="11">
        <f>IF(A187="","",IF(K187="",0,D187*INDEX(Products!$I$5:$I$204,K187)))</f>
        <v/>
      </c>
      <c r="O187" s="11">
        <f>IF(A187="","",IF(K187="",0,J187*INDEX(Products!$H$5:$H$204,K187)))</f>
        <v/>
      </c>
      <c r="P187" s="11">
        <f>IF(A187="","",J187-M187-N187-O187)</f>
        <v/>
      </c>
    </row>
    <row r="188">
      <c r="A188">
        <f>IFERROR(INDEX('Etsy Import'!$A:$CZ,188,Settings!$C$20)&amp;"","")</f>
        <v/>
      </c>
      <c r="B188">
        <f>IFERROR(INDEX('Etsy Import'!$A:$CZ,188,Settings!$C$21)&amp;"","")</f>
        <v/>
      </c>
      <c r="C188">
        <f>IFERROR(INDEX('Etsy Import'!$A:$CZ,188,Settings!$C$22)&amp;"","")</f>
        <v/>
      </c>
      <c r="D188">
        <f>IF(A188="","",IFERROR(VALUE(SUBSTITUTE(SUBSTITUTE(INDEX('Etsy Import'!$A:$CZ,188,Settings!$C$23)&amp;"","$",""),",","")),0))</f>
        <v/>
      </c>
      <c r="E188" s="11">
        <f>IF(A188="","",IFERROR(VALUE(SUBSTITUTE(SUBSTITUTE(INDEX('Etsy Import'!$A:$CZ,188,Settings!$C$24)&amp;"","$",""),",","")),0))</f>
        <v/>
      </c>
      <c r="F188" s="11">
        <f>IF(A188="","",D188*E188)</f>
        <v/>
      </c>
      <c r="G188">
        <f>IF(A188="","",IF(C188="",1,COUNTIF($C$2:$C$1501,C188)))</f>
        <v/>
      </c>
      <c r="H188" s="11">
        <f>IF(A188="","",IFERROR(VALUE(SUBSTITUTE(SUBSTITUTE(INDEX('Etsy Import'!$A:$CZ,188,Settings!$C$25)&amp;"","$",""),",","")),0)/IF(Settings!$B$27="Yes",G188,1))</f>
        <v/>
      </c>
      <c r="I188" s="11">
        <f>IF(A188="","",IFERROR(VALUE(SUBSTITUTE(SUBSTITUTE(INDEX('Etsy Import'!$A:$CZ,188,Settings!$C$26)&amp;"","$",""),",","")),0)/IF(Settings!$B$27="Yes",G188,1))</f>
        <v/>
      </c>
      <c r="J188" s="11">
        <f>IF(A188="","",F188+H188-I188)</f>
        <v/>
      </c>
      <c r="K188">
        <f>IF(A188="","",IFERROR(IF(B188="",NA(),MATCH(B188,Products!$B$5:$B$204,0)),IFERROR(MATCH(A188,Products!$A$5:$A$204,0),"")))</f>
        <v/>
      </c>
      <c r="L188">
        <f>IF(A188="","",IF(K188="","⚠ not in Products",INDEX(Products!$A$5:$A$204,K188)))</f>
        <v/>
      </c>
      <c r="M188" s="11">
        <f>IF(A188="","",J188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188+IFERROR(INDEX(Settings!$D$5:$D$9,MATCH("Etsy",Settings!$A$5:$A$9,0)),0)*D188)</f>
        <v/>
      </c>
      <c r="N188" s="11">
        <f>IF(A188="","",IF(K188="",0,D188*INDEX(Products!$I$5:$I$204,K188)))</f>
        <v/>
      </c>
      <c r="O188" s="11">
        <f>IF(A188="","",IF(K188="",0,J188*INDEX(Products!$H$5:$H$204,K188)))</f>
        <v/>
      </c>
      <c r="P188" s="11">
        <f>IF(A188="","",J188-M188-N188-O188)</f>
        <v/>
      </c>
    </row>
    <row r="189">
      <c r="A189">
        <f>IFERROR(INDEX('Etsy Import'!$A:$CZ,189,Settings!$C$20)&amp;"","")</f>
        <v/>
      </c>
      <c r="B189">
        <f>IFERROR(INDEX('Etsy Import'!$A:$CZ,189,Settings!$C$21)&amp;"","")</f>
        <v/>
      </c>
      <c r="C189">
        <f>IFERROR(INDEX('Etsy Import'!$A:$CZ,189,Settings!$C$22)&amp;"","")</f>
        <v/>
      </c>
      <c r="D189">
        <f>IF(A189="","",IFERROR(VALUE(SUBSTITUTE(SUBSTITUTE(INDEX('Etsy Import'!$A:$CZ,189,Settings!$C$23)&amp;"","$",""),",","")),0))</f>
        <v/>
      </c>
      <c r="E189" s="11">
        <f>IF(A189="","",IFERROR(VALUE(SUBSTITUTE(SUBSTITUTE(INDEX('Etsy Import'!$A:$CZ,189,Settings!$C$24)&amp;"","$",""),",","")),0))</f>
        <v/>
      </c>
      <c r="F189" s="11">
        <f>IF(A189="","",D189*E189)</f>
        <v/>
      </c>
      <c r="G189">
        <f>IF(A189="","",IF(C189="",1,COUNTIF($C$2:$C$1501,C189)))</f>
        <v/>
      </c>
      <c r="H189" s="11">
        <f>IF(A189="","",IFERROR(VALUE(SUBSTITUTE(SUBSTITUTE(INDEX('Etsy Import'!$A:$CZ,189,Settings!$C$25)&amp;"","$",""),",","")),0)/IF(Settings!$B$27="Yes",G189,1))</f>
        <v/>
      </c>
      <c r="I189" s="11">
        <f>IF(A189="","",IFERROR(VALUE(SUBSTITUTE(SUBSTITUTE(INDEX('Etsy Import'!$A:$CZ,189,Settings!$C$26)&amp;"","$",""),",","")),0)/IF(Settings!$B$27="Yes",G189,1))</f>
        <v/>
      </c>
      <c r="J189" s="11">
        <f>IF(A189="","",F189+H189-I189)</f>
        <v/>
      </c>
      <c r="K189">
        <f>IF(A189="","",IFERROR(IF(B189="",NA(),MATCH(B189,Products!$B$5:$B$204,0)),IFERROR(MATCH(A189,Products!$A$5:$A$204,0),"")))</f>
        <v/>
      </c>
      <c r="L189">
        <f>IF(A189="","",IF(K189="","⚠ not in Products",INDEX(Products!$A$5:$A$204,K189)))</f>
        <v/>
      </c>
      <c r="M189" s="11">
        <f>IF(A189="","",J189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189+IFERROR(INDEX(Settings!$D$5:$D$9,MATCH("Etsy",Settings!$A$5:$A$9,0)),0)*D189)</f>
        <v/>
      </c>
      <c r="N189" s="11">
        <f>IF(A189="","",IF(K189="",0,D189*INDEX(Products!$I$5:$I$204,K189)))</f>
        <v/>
      </c>
      <c r="O189" s="11">
        <f>IF(A189="","",IF(K189="",0,J189*INDEX(Products!$H$5:$H$204,K189)))</f>
        <v/>
      </c>
      <c r="P189" s="11">
        <f>IF(A189="","",J189-M189-N189-O189)</f>
        <v/>
      </c>
    </row>
    <row r="190">
      <c r="A190">
        <f>IFERROR(INDEX('Etsy Import'!$A:$CZ,190,Settings!$C$20)&amp;"","")</f>
        <v/>
      </c>
      <c r="B190">
        <f>IFERROR(INDEX('Etsy Import'!$A:$CZ,190,Settings!$C$21)&amp;"","")</f>
        <v/>
      </c>
      <c r="C190">
        <f>IFERROR(INDEX('Etsy Import'!$A:$CZ,190,Settings!$C$22)&amp;"","")</f>
        <v/>
      </c>
      <c r="D190">
        <f>IF(A190="","",IFERROR(VALUE(SUBSTITUTE(SUBSTITUTE(INDEX('Etsy Import'!$A:$CZ,190,Settings!$C$23)&amp;"","$",""),",","")),0))</f>
        <v/>
      </c>
      <c r="E190" s="11">
        <f>IF(A190="","",IFERROR(VALUE(SUBSTITUTE(SUBSTITUTE(INDEX('Etsy Import'!$A:$CZ,190,Settings!$C$24)&amp;"","$",""),",","")),0))</f>
        <v/>
      </c>
      <c r="F190" s="11">
        <f>IF(A190="","",D190*E190)</f>
        <v/>
      </c>
      <c r="G190">
        <f>IF(A190="","",IF(C190="",1,COUNTIF($C$2:$C$1501,C190)))</f>
        <v/>
      </c>
      <c r="H190" s="11">
        <f>IF(A190="","",IFERROR(VALUE(SUBSTITUTE(SUBSTITUTE(INDEX('Etsy Import'!$A:$CZ,190,Settings!$C$25)&amp;"","$",""),",","")),0)/IF(Settings!$B$27="Yes",G190,1))</f>
        <v/>
      </c>
      <c r="I190" s="11">
        <f>IF(A190="","",IFERROR(VALUE(SUBSTITUTE(SUBSTITUTE(INDEX('Etsy Import'!$A:$CZ,190,Settings!$C$26)&amp;"","$",""),",","")),0)/IF(Settings!$B$27="Yes",G190,1))</f>
        <v/>
      </c>
      <c r="J190" s="11">
        <f>IF(A190="","",F190+H190-I190)</f>
        <v/>
      </c>
      <c r="K190">
        <f>IF(A190="","",IFERROR(IF(B190="",NA(),MATCH(B190,Products!$B$5:$B$204,0)),IFERROR(MATCH(A190,Products!$A$5:$A$204,0),"")))</f>
        <v/>
      </c>
      <c r="L190">
        <f>IF(A190="","",IF(K190="","⚠ not in Products",INDEX(Products!$A$5:$A$204,K190)))</f>
        <v/>
      </c>
      <c r="M190" s="11">
        <f>IF(A190="","",J190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190+IFERROR(INDEX(Settings!$D$5:$D$9,MATCH("Etsy",Settings!$A$5:$A$9,0)),0)*D190)</f>
        <v/>
      </c>
      <c r="N190" s="11">
        <f>IF(A190="","",IF(K190="",0,D190*INDEX(Products!$I$5:$I$204,K190)))</f>
        <v/>
      </c>
      <c r="O190" s="11">
        <f>IF(A190="","",IF(K190="",0,J190*INDEX(Products!$H$5:$H$204,K190)))</f>
        <v/>
      </c>
      <c r="P190" s="11">
        <f>IF(A190="","",J190-M190-N190-O190)</f>
        <v/>
      </c>
    </row>
    <row r="191">
      <c r="A191">
        <f>IFERROR(INDEX('Etsy Import'!$A:$CZ,191,Settings!$C$20)&amp;"","")</f>
        <v/>
      </c>
      <c r="B191">
        <f>IFERROR(INDEX('Etsy Import'!$A:$CZ,191,Settings!$C$21)&amp;"","")</f>
        <v/>
      </c>
      <c r="C191">
        <f>IFERROR(INDEX('Etsy Import'!$A:$CZ,191,Settings!$C$22)&amp;"","")</f>
        <v/>
      </c>
      <c r="D191">
        <f>IF(A191="","",IFERROR(VALUE(SUBSTITUTE(SUBSTITUTE(INDEX('Etsy Import'!$A:$CZ,191,Settings!$C$23)&amp;"","$",""),",","")),0))</f>
        <v/>
      </c>
      <c r="E191" s="11">
        <f>IF(A191="","",IFERROR(VALUE(SUBSTITUTE(SUBSTITUTE(INDEX('Etsy Import'!$A:$CZ,191,Settings!$C$24)&amp;"","$",""),",","")),0))</f>
        <v/>
      </c>
      <c r="F191" s="11">
        <f>IF(A191="","",D191*E191)</f>
        <v/>
      </c>
      <c r="G191">
        <f>IF(A191="","",IF(C191="",1,COUNTIF($C$2:$C$1501,C191)))</f>
        <v/>
      </c>
      <c r="H191" s="11">
        <f>IF(A191="","",IFERROR(VALUE(SUBSTITUTE(SUBSTITUTE(INDEX('Etsy Import'!$A:$CZ,191,Settings!$C$25)&amp;"","$",""),",","")),0)/IF(Settings!$B$27="Yes",G191,1))</f>
        <v/>
      </c>
      <c r="I191" s="11">
        <f>IF(A191="","",IFERROR(VALUE(SUBSTITUTE(SUBSTITUTE(INDEX('Etsy Import'!$A:$CZ,191,Settings!$C$26)&amp;"","$",""),",","")),0)/IF(Settings!$B$27="Yes",G191,1))</f>
        <v/>
      </c>
      <c r="J191" s="11">
        <f>IF(A191="","",F191+H191-I191)</f>
        <v/>
      </c>
      <c r="K191">
        <f>IF(A191="","",IFERROR(IF(B191="",NA(),MATCH(B191,Products!$B$5:$B$204,0)),IFERROR(MATCH(A191,Products!$A$5:$A$204,0),"")))</f>
        <v/>
      </c>
      <c r="L191">
        <f>IF(A191="","",IF(K191="","⚠ not in Products",INDEX(Products!$A$5:$A$204,K191)))</f>
        <v/>
      </c>
      <c r="M191" s="11">
        <f>IF(A191="","",J191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191+IFERROR(INDEX(Settings!$D$5:$D$9,MATCH("Etsy",Settings!$A$5:$A$9,0)),0)*D191)</f>
        <v/>
      </c>
      <c r="N191" s="11">
        <f>IF(A191="","",IF(K191="",0,D191*INDEX(Products!$I$5:$I$204,K191)))</f>
        <v/>
      </c>
      <c r="O191" s="11">
        <f>IF(A191="","",IF(K191="",0,J191*INDEX(Products!$H$5:$H$204,K191)))</f>
        <v/>
      </c>
      <c r="P191" s="11">
        <f>IF(A191="","",J191-M191-N191-O191)</f>
        <v/>
      </c>
    </row>
    <row r="192">
      <c r="A192">
        <f>IFERROR(INDEX('Etsy Import'!$A:$CZ,192,Settings!$C$20)&amp;"","")</f>
        <v/>
      </c>
      <c r="B192">
        <f>IFERROR(INDEX('Etsy Import'!$A:$CZ,192,Settings!$C$21)&amp;"","")</f>
        <v/>
      </c>
      <c r="C192">
        <f>IFERROR(INDEX('Etsy Import'!$A:$CZ,192,Settings!$C$22)&amp;"","")</f>
        <v/>
      </c>
      <c r="D192">
        <f>IF(A192="","",IFERROR(VALUE(SUBSTITUTE(SUBSTITUTE(INDEX('Etsy Import'!$A:$CZ,192,Settings!$C$23)&amp;"","$",""),",","")),0))</f>
        <v/>
      </c>
      <c r="E192" s="11">
        <f>IF(A192="","",IFERROR(VALUE(SUBSTITUTE(SUBSTITUTE(INDEX('Etsy Import'!$A:$CZ,192,Settings!$C$24)&amp;"","$",""),",","")),0))</f>
        <v/>
      </c>
      <c r="F192" s="11">
        <f>IF(A192="","",D192*E192)</f>
        <v/>
      </c>
      <c r="G192">
        <f>IF(A192="","",IF(C192="",1,COUNTIF($C$2:$C$1501,C192)))</f>
        <v/>
      </c>
      <c r="H192" s="11">
        <f>IF(A192="","",IFERROR(VALUE(SUBSTITUTE(SUBSTITUTE(INDEX('Etsy Import'!$A:$CZ,192,Settings!$C$25)&amp;"","$",""),",","")),0)/IF(Settings!$B$27="Yes",G192,1))</f>
        <v/>
      </c>
      <c r="I192" s="11">
        <f>IF(A192="","",IFERROR(VALUE(SUBSTITUTE(SUBSTITUTE(INDEX('Etsy Import'!$A:$CZ,192,Settings!$C$26)&amp;"","$",""),",","")),0)/IF(Settings!$B$27="Yes",G192,1))</f>
        <v/>
      </c>
      <c r="J192" s="11">
        <f>IF(A192="","",F192+H192-I192)</f>
        <v/>
      </c>
      <c r="K192">
        <f>IF(A192="","",IFERROR(IF(B192="",NA(),MATCH(B192,Products!$B$5:$B$204,0)),IFERROR(MATCH(A192,Products!$A$5:$A$204,0),"")))</f>
        <v/>
      </c>
      <c r="L192">
        <f>IF(A192="","",IF(K192="","⚠ not in Products",INDEX(Products!$A$5:$A$204,K192)))</f>
        <v/>
      </c>
      <c r="M192" s="11">
        <f>IF(A192="","",J192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192+IFERROR(INDEX(Settings!$D$5:$D$9,MATCH("Etsy",Settings!$A$5:$A$9,0)),0)*D192)</f>
        <v/>
      </c>
      <c r="N192" s="11">
        <f>IF(A192="","",IF(K192="",0,D192*INDEX(Products!$I$5:$I$204,K192)))</f>
        <v/>
      </c>
      <c r="O192" s="11">
        <f>IF(A192="","",IF(K192="",0,J192*INDEX(Products!$H$5:$H$204,K192)))</f>
        <v/>
      </c>
      <c r="P192" s="11">
        <f>IF(A192="","",J192-M192-N192-O192)</f>
        <v/>
      </c>
    </row>
    <row r="193">
      <c r="A193">
        <f>IFERROR(INDEX('Etsy Import'!$A:$CZ,193,Settings!$C$20)&amp;"","")</f>
        <v/>
      </c>
      <c r="B193">
        <f>IFERROR(INDEX('Etsy Import'!$A:$CZ,193,Settings!$C$21)&amp;"","")</f>
        <v/>
      </c>
      <c r="C193">
        <f>IFERROR(INDEX('Etsy Import'!$A:$CZ,193,Settings!$C$22)&amp;"","")</f>
        <v/>
      </c>
      <c r="D193">
        <f>IF(A193="","",IFERROR(VALUE(SUBSTITUTE(SUBSTITUTE(INDEX('Etsy Import'!$A:$CZ,193,Settings!$C$23)&amp;"","$",""),",","")),0))</f>
        <v/>
      </c>
      <c r="E193" s="11">
        <f>IF(A193="","",IFERROR(VALUE(SUBSTITUTE(SUBSTITUTE(INDEX('Etsy Import'!$A:$CZ,193,Settings!$C$24)&amp;"","$",""),",","")),0))</f>
        <v/>
      </c>
      <c r="F193" s="11">
        <f>IF(A193="","",D193*E193)</f>
        <v/>
      </c>
      <c r="G193">
        <f>IF(A193="","",IF(C193="",1,COUNTIF($C$2:$C$1501,C193)))</f>
        <v/>
      </c>
      <c r="H193" s="11">
        <f>IF(A193="","",IFERROR(VALUE(SUBSTITUTE(SUBSTITUTE(INDEX('Etsy Import'!$A:$CZ,193,Settings!$C$25)&amp;"","$",""),",","")),0)/IF(Settings!$B$27="Yes",G193,1))</f>
        <v/>
      </c>
      <c r="I193" s="11">
        <f>IF(A193="","",IFERROR(VALUE(SUBSTITUTE(SUBSTITUTE(INDEX('Etsy Import'!$A:$CZ,193,Settings!$C$26)&amp;"","$",""),",","")),0)/IF(Settings!$B$27="Yes",G193,1))</f>
        <v/>
      </c>
      <c r="J193" s="11">
        <f>IF(A193="","",F193+H193-I193)</f>
        <v/>
      </c>
      <c r="K193">
        <f>IF(A193="","",IFERROR(IF(B193="",NA(),MATCH(B193,Products!$B$5:$B$204,0)),IFERROR(MATCH(A193,Products!$A$5:$A$204,0),"")))</f>
        <v/>
      </c>
      <c r="L193">
        <f>IF(A193="","",IF(K193="","⚠ not in Products",INDEX(Products!$A$5:$A$204,K193)))</f>
        <v/>
      </c>
      <c r="M193" s="11">
        <f>IF(A193="","",J193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193+IFERROR(INDEX(Settings!$D$5:$D$9,MATCH("Etsy",Settings!$A$5:$A$9,0)),0)*D193)</f>
        <v/>
      </c>
      <c r="N193" s="11">
        <f>IF(A193="","",IF(K193="",0,D193*INDEX(Products!$I$5:$I$204,K193)))</f>
        <v/>
      </c>
      <c r="O193" s="11">
        <f>IF(A193="","",IF(K193="",0,J193*INDEX(Products!$H$5:$H$204,K193)))</f>
        <v/>
      </c>
      <c r="P193" s="11">
        <f>IF(A193="","",J193-M193-N193-O193)</f>
        <v/>
      </c>
    </row>
    <row r="194">
      <c r="A194">
        <f>IFERROR(INDEX('Etsy Import'!$A:$CZ,194,Settings!$C$20)&amp;"","")</f>
        <v/>
      </c>
      <c r="B194">
        <f>IFERROR(INDEX('Etsy Import'!$A:$CZ,194,Settings!$C$21)&amp;"","")</f>
        <v/>
      </c>
      <c r="C194">
        <f>IFERROR(INDEX('Etsy Import'!$A:$CZ,194,Settings!$C$22)&amp;"","")</f>
        <v/>
      </c>
      <c r="D194">
        <f>IF(A194="","",IFERROR(VALUE(SUBSTITUTE(SUBSTITUTE(INDEX('Etsy Import'!$A:$CZ,194,Settings!$C$23)&amp;"","$",""),",","")),0))</f>
        <v/>
      </c>
      <c r="E194" s="11">
        <f>IF(A194="","",IFERROR(VALUE(SUBSTITUTE(SUBSTITUTE(INDEX('Etsy Import'!$A:$CZ,194,Settings!$C$24)&amp;"","$",""),",","")),0))</f>
        <v/>
      </c>
      <c r="F194" s="11">
        <f>IF(A194="","",D194*E194)</f>
        <v/>
      </c>
      <c r="G194">
        <f>IF(A194="","",IF(C194="",1,COUNTIF($C$2:$C$1501,C194)))</f>
        <v/>
      </c>
      <c r="H194" s="11">
        <f>IF(A194="","",IFERROR(VALUE(SUBSTITUTE(SUBSTITUTE(INDEX('Etsy Import'!$A:$CZ,194,Settings!$C$25)&amp;"","$",""),",","")),0)/IF(Settings!$B$27="Yes",G194,1))</f>
        <v/>
      </c>
      <c r="I194" s="11">
        <f>IF(A194="","",IFERROR(VALUE(SUBSTITUTE(SUBSTITUTE(INDEX('Etsy Import'!$A:$CZ,194,Settings!$C$26)&amp;"","$",""),",","")),0)/IF(Settings!$B$27="Yes",G194,1))</f>
        <v/>
      </c>
      <c r="J194" s="11">
        <f>IF(A194="","",F194+H194-I194)</f>
        <v/>
      </c>
      <c r="K194">
        <f>IF(A194="","",IFERROR(IF(B194="",NA(),MATCH(B194,Products!$B$5:$B$204,0)),IFERROR(MATCH(A194,Products!$A$5:$A$204,0),"")))</f>
        <v/>
      </c>
      <c r="L194">
        <f>IF(A194="","",IF(K194="","⚠ not in Products",INDEX(Products!$A$5:$A$204,K194)))</f>
        <v/>
      </c>
      <c r="M194" s="11">
        <f>IF(A194="","",J194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194+IFERROR(INDEX(Settings!$D$5:$D$9,MATCH("Etsy",Settings!$A$5:$A$9,0)),0)*D194)</f>
        <v/>
      </c>
      <c r="N194" s="11">
        <f>IF(A194="","",IF(K194="",0,D194*INDEX(Products!$I$5:$I$204,K194)))</f>
        <v/>
      </c>
      <c r="O194" s="11">
        <f>IF(A194="","",IF(K194="",0,J194*INDEX(Products!$H$5:$H$204,K194)))</f>
        <v/>
      </c>
      <c r="P194" s="11">
        <f>IF(A194="","",J194-M194-N194-O194)</f>
        <v/>
      </c>
    </row>
    <row r="195">
      <c r="A195">
        <f>IFERROR(INDEX('Etsy Import'!$A:$CZ,195,Settings!$C$20)&amp;"","")</f>
        <v/>
      </c>
      <c r="B195">
        <f>IFERROR(INDEX('Etsy Import'!$A:$CZ,195,Settings!$C$21)&amp;"","")</f>
        <v/>
      </c>
      <c r="C195">
        <f>IFERROR(INDEX('Etsy Import'!$A:$CZ,195,Settings!$C$22)&amp;"","")</f>
        <v/>
      </c>
      <c r="D195">
        <f>IF(A195="","",IFERROR(VALUE(SUBSTITUTE(SUBSTITUTE(INDEX('Etsy Import'!$A:$CZ,195,Settings!$C$23)&amp;"","$",""),",","")),0))</f>
        <v/>
      </c>
      <c r="E195" s="11">
        <f>IF(A195="","",IFERROR(VALUE(SUBSTITUTE(SUBSTITUTE(INDEX('Etsy Import'!$A:$CZ,195,Settings!$C$24)&amp;"","$",""),",","")),0))</f>
        <v/>
      </c>
      <c r="F195" s="11">
        <f>IF(A195="","",D195*E195)</f>
        <v/>
      </c>
      <c r="G195">
        <f>IF(A195="","",IF(C195="",1,COUNTIF($C$2:$C$1501,C195)))</f>
        <v/>
      </c>
      <c r="H195" s="11">
        <f>IF(A195="","",IFERROR(VALUE(SUBSTITUTE(SUBSTITUTE(INDEX('Etsy Import'!$A:$CZ,195,Settings!$C$25)&amp;"","$",""),",","")),0)/IF(Settings!$B$27="Yes",G195,1))</f>
        <v/>
      </c>
      <c r="I195" s="11">
        <f>IF(A195="","",IFERROR(VALUE(SUBSTITUTE(SUBSTITUTE(INDEX('Etsy Import'!$A:$CZ,195,Settings!$C$26)&amp;"","$",""),",","")),0)/IF(Settings!$B$27="Yes",G195,1))</f>
        <v/>
      </c>
      <c r="J195" s="11">
        <f>IF(A195="","",F195+H195-I195)</f>
        <v/>
      </c>
      <c r="K195">
        <f>IF(A195="","",IFERROR(IF(B195="",NA(),MATCH(B195,Products!$B$5:$B$204,0)),IFERROR(MATCH(A195,Products!$A$5:$A$204,0),"")))</f>
        <v/>
      </c>
      <c r="L195">
        <f>IF(A195="","",IF(K195="","⚠ not in Products",INDEX(Products!$A$5:$A$204,K195)))</f>
        <v/>
      </c>
      <c r="M195" s="11">
        <f>IF(A195="","",J195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195+IFERROR(INDEX(Settings!$D$5:$D$9,MATCH("Etsy",Settings!$A$5:$A$9,0)),0)*D195)</f>
        <v/>
      </c>
      <c r="N195" s="11">
        <f>IF(A195="","",IF(K195="",0,D195*INDEX(Products!$I$5:$I$204,K195)))</f>
        <v/>
      </c>
      <c r="O195" s="11">
        <f>IF(A195="","",IF(K195="",0,J195*INDEX(Products!$H$5:$H$204,K195)))</f>
        <v/>
      </c>
      <c r="P195" s="11">
        <f>IF(A195="","",J195-M195-N195-O195)</f>
        <v/>
      </c>
    </row>
    <row r="196">
      <c r="A196">
        <f>IFERROR(INDEX('Etsy Import'!$A:$CZ,196,Settings!$C$20)&amp;"","")</f>
        <v/>
      </c>
      <c r="B196">
        <f>IFERROR(INDEX('Etsy Import'!$A:$CZ,196,Settings!$C$21)&amp;"","")</f>
        <v/>
      </c>
      <c r="C196">
        <f>IFERROR(INDEX('Etsy Import'!$A:$CZ,196,Settings!$C$22)&amp;"","")</f>
        <v/>
      </c>
      <c r="D196">
        <f>IF(A196="","",IFERROR(VALUE(SUBSTITUTE(SUBSTITUTE(INDEX('Etsy Import'!$A:$CZ,196,Settings!$C$23)&amp;"","$",""),",","")),0))</f>
        <v/>
      </c>
      <c r="E196" s="11">
        <f>IF(A196="","",IFERROR(VALUE(SUBSTITUTE(SUBSTITUTE(INDEX('Etsy Import'!$A:$CZ,196,Settings!$C$24)&amp;"","$",""),",","")),0))</f>
        <v/>
      </c>
      <c r="F196" s="11">
        <f>IF(A196="","",D196*E196)</f>
        <v/>
      </c>
      <c r="G196">
        <f>IF(A196="","",IF(C196="",1,COUNTIF($C$2:$C$1501,C196)))</f>
        <v/>
      </c>
      <c r="H196" s="11">
        <f>IF(A196="","",IFERROR(VALUE(SUBSTITUTE(SUBSTITUTE(INDEX('Etsy Import'!$A:$CZ,196,Settings!$C$25)&amp;"","$",""),",","")),0)/IF(Settings!$B$27="Yes",G196,1))</f>
        <v/>
      </c>
      <c r="I196" s="11">
        <f>IF(A196="","",IFERROR(VALUE(SUBSTITUTE(SUBSTITUTE(INDEX('Etsy Import'!$A:$CZ,196,Settings!$C$26)&amp;"","$",""),",","")),0)/IF(Settings!$B$27="Yes",G196,1))</f>
        <v/>
      </c>
      <c r="J196" s="11">
        <f>IF(A196="","",F196+H196-I196)</f>
        <v/>
      </c>
      <c r="K196">
        <f>IF(A196="","",IFERROR(IF(B196="",NA(),MATCH(B196,Products!$B$5:$B$204,0)),IFERROR(MATCH(A196,Products!$A$5:$A$204,0),"")))</f>
        <v/>
      </c>
      <c r="L196">
        <f>IF(A196="","",IF(K196="","⚠ not in Products",INDEX(Products!$A$5:$A$204,K196)))</f>
        <v/>
      </c>
      <c r="M196" s="11">
        <f>IF(A196="","",J196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196+IFERROR(INDEX(Settings!$D$5:$D$9,MATCH("Etsy",Settings!$A$5:$A$9,0)),0)*D196)</f>
        <v/>
      </c>
      <c r="N196" s="11">
        <f>IF(A196="","",IF(K196="",0,D196*INDEX(Products!$I$5:$I$204,K196)))</f>
        <v/>
      </c>
      <c r="O196" s="11">
        <f>IF(A196="","",IF(K196="",0,J196*INDEX(Products!$H$5:$H$204,K196)))</f>
        <v/>
      </c>
      <c r="P196" s="11">
        <f>IF(A196="","",J196-M196-N196-O196)</f>
        <v/>
      </c>
    </row>
    <row r="197">
      <c r="A197">
        <f>IFERROR(INDEX('Etsy Import'!$A:$CZ,197,Settings!$C$20)&amp;"","")</f>
        <v/>
      </c>
      <c r="B197">
        <f>IFERROR(INDEX('Etsy Import'!$A:$CZ,197,Settings!$C$21)&amp;"","")</f>
        <v/>
      </c>
      <c r="C197">
        <f>IFERROR(INDEX('Etsy Import'!$A:$CZ,197,Settings!$C$22)&amp;"","")</f>
        <v/>
      </c>
      <c r="D197">
        <f>IF(A197="","",IFERROR(VALUE(SUBSTITUTE(SUBSTITUTE(INDEX('Etsy Import'!$A:$CZ,197,Settings!$C$23)&amp;"","$",""),",","")),0))</f>
        <v/>
      </c>
      <c r="E197" s="11">
        <f>IF(A197="","",IFERROR(VALUE(SUBSTITUTE(SUBSTITUTE(INDEX('Etsy Import'!$A:$CZ,197,Settings!$C$24)&amp;"","$",""),",","")),0))</f>
        <v/>
      </c>
      <c r="F197" s="11">
        <f>IF(A197="","",D197*E197)</f>
        <v/>
      </c>
      <c r="G197">
        <f>IF(A197="","",IF(C197="",1,COUNTIF($C$2:$C$1501,C197)))</f>
        <v/>
      </c>
      <c r="H197" s="11">
        <f>IF(A197="","",IFERROR(VALUE(SUBSTITUTE(SUBSTITUTE(INDEX('Etsy Import'!$A:$CZ,197,Settings!$C$25)&amp;"","$",""),",","")),0)/IF(Settings!$B$27="Yes",G197,1))</f>
        <v/>
      </c>
      <c r="I197" s="11">
        <f>IF(A197="","",IFERROR(VALUE(SUBSTITUTE(SUBSTITUTE(INDEX('Etsy Import'!$A:$CZ,197,Settings!$C$26)&amp;"","$",""),",","")),0)/IF(Settings!$B$27="Yes",G197,1))</f>
        <v/>
      </c>
      <c r="J197" s="11">
        <f>IF(A197="","",F197+H197-I197)</f>
        <v/>
      </c>
      <c r="K197">
        <f>IF(A197="","",IFERROR(IF(B197="",NA(),MATCH(B197,Products!$B$5:$B$204,0)),IFERROR(MATCH(A197,Products!$A$5:$A$204,0),"")))</f>
        <v/>
      </c>
      <c r="L197">
        <f>IF(A197="","",IF(K197="","⚠ not in Products",INDEX(Products!$A$5:$A$204,K197)))</f>
        <v/>
      </c>
      <c r="M197" s="11">
        <f>IF(A197="","",J197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197+IFERROR(INDEX(Settings!$D$5:$D$9,MATCH("Etsy",Settings!$A$5:$A$9,0)),0)*D197)</f>
        <v/>
      </c>
      <c r="N197" s="11">
        <f>IF(A197="","",IF(K197="",0,D197*INDEX(Products!$I$5:$I$204,K197)))</f>
        <v/>
      </c>
      <c r="O197" s="11">
        <f>IF(A197="","",IF(K197="",0,J197*INDEX(Products!$H$5:$H$204,K197)))</f>
        <v/>
      </c>
      <c r="P197" s="11">
        <f>IF(A197="","",J197-M197-N197-O197)</f>
        <v/>
      </c>
    </row>
    <row r="198">
      <c r="A198">
        <f>IFERROR(INDEX('Etsy Import'!$A:$CZ,198,Settings!$C$20)&amp;"","")</f>
        <v/>
      </c>
      <c r="B198">
        <f>IFERROR(INDEX('Etsy Import'!$A:$CZ,198,Settings!$C$21)&amp;"","")</f>
        <v/>
      </c>
      <c r="C198">
        <f>IFERROR(INDEX('Etsy Import'!$A:$CZ,198,Settings!$C$22)&amp;"","")</f>
        <v/>
      </c>
      <c r="D198">
        <f>IF(A198="","",IFERROR(VALUE(SUBSTITUTE(SUBSTITUTE(INDEX('Etsy Import'!$A:$CZ,198,Settings!$C$23)&amp;"","$",""),",","")),0))</f>
        <v/>
      </c>
      <c r="E198" s="11">
        <f>IF(A198="","",IFERROR(VALUE(SUBSTITUTE(SUBSTITUTE(INDEX('Etsy Import'!$A:$CZ,198,Settings!$C$24)&amp;"","$",""),",","")),0))</f>
        <v/>
      </c>
      <c r="F198" s="11">
        <f>IF(A198="","",D198*E198)</f>
        <v/>
      </c>
      <c r="G198">
        <f>IF(A198="","",IF(C198="",1,COUNTIF($C$2:$C$1501,C198)))</f>
        <v/>
      </c>
      <c r="H198" s="11">
        <f>IF(A198="","",IFERROR(VALUE(SUBSTITUTE(SUBSTITUTE(INDEX('Etsy Import'!$A:$CZ,198,Settings!$C$25)&amp;"","$",""),",","")),0)/IF(Settings!$B$27="Yes",G198,1))</f>
        <v/>
      </c>
      <c r="I198" s="11">
        <f>IF(A198="","",IFERROR(VALUE(SUBSTITUTE(SUBSTITUTE(INDEX('Etsy Import'!$A:$CZ,198,Settings!$C$26)&amp;"","$",""),",","")),0)/IF(Settings!$B$27="Yes",G198,1))</f>
        <v/>
      </c>
      <c r="J198" s="11">
        <f>IF(A198="","",F198+H198-I198)</f>
        <v/>
      </c>
      <c r="K198">
        <f>IF(A198="","",IFERROR(IF(B198="",NA(),MATCH(B198,Products!$B$5:$B$204,0)),IFERROR(MATCH(A198,Products!$A$5:$A$204,0),"")))</f>
        <v/>
      </c>
      <c r="L198">
        <f>IF(A198="","",IF(K198="","⚠ not in Products",INDEX(Products!$A$5:$A$204,K198)))</f>
        <v/>
      </c>
      <c r="M198" s="11">
        <f>IF(A198="","",J198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198+IFERROR(INDEX(Settings!$D$5:$D$9,MATCH("Etsy",Settings!$A$5:$A$9,0)),0)*D198)</f>
        <v/>
      </c>
      <c r="N198" s="11">
        <f>IF(A198="","",IF(K198="",0,D198*INDEX(Products!$I$5:$I$204,K198)))</f>
        <v/>
      </c>
      <c r="O198" s="11">
        <f>IF(A198="","",IF(K198="",0,J198*INDEX(Products!$H$5:$H$204,K198)))</f>
        <v/>
      </c>
      <c r="P198" s="11">
        <f>IF(A198="","",J198-M198-N198-O198)</f>
        <v/>
      </c>
    </row>
    <row r="199">
      <c r="A199">
        <f>IFERROR(INDEX('Etsy Import'!$A:$CZ,199,Settings!$C$20)&amp;"","")</f>
        <v/>
      </c>
      <c r="B199">
        <f>IFERROR(INDEX('Etsy Import'!$A:$CZ,199,Settings!$C$21)&amp;"","")</f>
        <v/>
      </c>
      <c r="C199">
        <f>IFERROR(INDEX('Etsy Import'!$A:$CZ,199,Settings!$C$22)&amp;"","")</f>
        <v/>
      </c>
      <c r="D199">
        <f>IF(A199="","",IFERROR(VALUE(SUBSTITUTE(SUBSTITUTE(INDEX('Etsy Import'!$A:$CZ,199,Settings!$C$23)&amp;"","$",""),",","")),0))</f>
        <v/>
      </c>
      <c r="E199" s="11">
        <f>IF(A199="","",IFERROR(VALUE(SUBSTITUTE(SUBSTITUTE(INDEX('Etsy Import'!$A:$CZ,199,Settings!$C$24)&amp;"","$",""),",","")),0))</f>
        <v/>
      </c>
      <c r="F199" s="11">
        <f>IF(A199="","",D199*E199)</f>
        <v/>
      </c>
      <c r="G199">
        <f>IF(A199="","",IF(C199="",1,COUNTIF($C$2:$C$1501,C199)))</f>
        <v/>
      </c>
      <c r="H199" s="11">
        <f>IF(A199="","",IFERROR(VALUE(SUBSTITUTE(SUBSTITUTE(INDEX('Etsy Import'!$A:$CZ,199,Settings!$C$25)&amp;"","$",""),",","")),0)/IF(Settings!$B$27="Yes",G199,1))</f>
        <v/>
      </c>
      <c r="I199" s="11">
        <f>IF(A199="","",IFERROR(VALUE(SUBSTITUTE(SUBSTITUTE(INDEX('Etsy Import'!$A:$CZ,199,Settings!$C$26)&amp;"","$",""),",","")),0)/IF(Settings!$B$27="Yes",G199,1))</f>
        <v/>
      </c>
      <c r="J199" s="11">
        <f>IF(A199="","",F199+H199-I199)</f>
        <v/>
      </c>
      <c r="K199">
        <f>IF(A199="","",IFERROR(IF(B199="",NA(),MATCH(B199,Products!$B$5:$B$204,0)),IFERROR(MATCH(A199,Products!$A$5:$A$204,0),"")))</f>
        <v/>
      </c>
      <c r="L199">
        <f>IF(A199="","",IF(K199="","⚠ not in Products",INDEX(Products!$A$5:$A$204,K199)))</f>
        <v/>
      </c>
      <c r="M199" s="11">
        <f>IF(A199="","",J199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199+IFERROR(INDEX(Settings!$D$5:$D$9,MATCH("Etsy",Settings!$A$5:$A$9,0)),0)*D199)</f>
        <v/>
      </c>
      <c r="N199" s="11">
        <f>IF(A199="","",IF(K199="",0,D199*INDEX(Products!$I$5:$I$204,K199)))</f>
        <v/>
      </c>
      <c r="O199" s="11">
        <f>IF(A199="","",IF(K199="",0,J199*INDEX(Products!$H$5:$H$204,K199)))</f>
        <v/>
      </c>
      <c r="P199" s="11">
        <f>IF(A199="","",J199-M199-N199-O199)</f>
        <v/>
      </c>
    </row>
    <row r="200">
      <c r="A200">
        <f>IFERROR(INDEX('Etsy Import'!$A:$CZ,200,Settings!$C$20)&amp;"","")</f>
        <v/>
      </c>
      <c r="B200">
        <f>IFERROR(INDEX('Etsy Import'!$A:$CZ,200,Settings!$C$21)&amp;"","")</f>
        <v/>
      </c>
      <c r="C200">
        <f>IFERROR(INDEX('Etsy Import'!$A:$CZ,200,Settings!$C$22)&amp;"","")</f>
        <v/>
      </c>
      <c r="D200">
        <f>IF(A200="","",IFERROR(VALUE(SUBSTITUTE(SUBSTITUTE(INDEX('Etsy Import'!$A:$CZ,200,Settings!$C$23)&amp;"","$",""),",","")),0))</f>
        <v/>
      </c>
      <c r="E200" s="11">
        <f>IF(A200="","",IFERROR(VALUE(SUBSTITUTE(SUBSTITUTE(INDEX('Etsy Import'!$A:$CZ,200,Settings!$C$24)&amp;"","$",""),",","")),0))</f>
        <v/>
      </c>
      <c r="F200" s="11">
        <f>IF(A200="","",D200*E200)</f>
        <v/>
      </c>
      <c r="G200">
        <f>IF(A200="","",IF(C200="",1,COUNTIF($C$2:$C$1501,C200)))</f>
        <v/>
      </c>
      <c r="H200" s="11">
        <f>IF(A200="","",IFERROR(VALUE(SUBSTITUTE(SUBSTITUTE(INDEX('Etsy Import'!$A:$CZ,200,Settings!$C$25)&amp;"","$",""),",","")),0)/IF(Settings!$B$27="Yes",G200,1))</f>
        <v/>
      </c>
      <c r="I200" s="11">
        <f>IF(A200="","",IFERROR(VALUE(SUBSTITUTE(SUBSTITUTE(INDEX('Etsy Import'!$A:$CZ,200,Settings!$C$26)&amp;"","$",""),",","")),0)/IF(Settings!$B$27="Yes",G200,1))</f>
        <v/>
      </c>
      <c r="J200" s="11">
        <f>IF(A200="","",F200+H200-I200)</f>
        <v/>
      </c>
      <c r="K200">
        <f>IF(A200="","",IFERROR(IF(B200="",NA(),MATCH(B200,Products!$B$5:$B$204,0)),IFERROR(MATCH(A200,Products!$A$5:$A$204,0),"")))</f>
        <v/>
      </c>
      <c r="L200">
        <f>IF(A200="","",IF(K200="","⚠ not in Products",INDEX(Products!$A$5:$A$204,K200)))</f>
        <v/>
      </c>
      <c r="M200" s="11">
        <f>IF(A200="","",J200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200+IFERROR(INDEX(Settings!$D$5:$D$9,MATCH("Etsy",Settings!$A$5:$A$9,0)),0)*D200)</f>
        <v/>
      </c>
      <c r="N200" s="11">
        <f>IF(A200="","",IF(K200="",0,D200*INDEX(Products!$I$5:$I$204,K200)))</f>
        <v/>
      </c>
      <c r="O200" s="11">
        <f>IF(A200="","",IF(K200="",0,J200*INDEX(Products!$H$5:$H$204,K200)))</f>
        <v/>
      </c>
      <c r="P200" s="11">
        <f>IF(A200="","",J200-M200-N200-O200)</f>
        <v/>
      </c>
    </row>
    <row r="201">
      <c r="A201">
        <f>IFERROR(INDEX('Etsy Import'!$A:$CZ,201,Settings!$C$20)&amp;"","")</f>
        <v/>
      </c>
      <c r="B201">
        <f>IFERROR(INDEX('Etsy Import'!$A:$CZ,201,Settings!$C$21)&amp;"","")</f>
        <v/>
      </c>
      <c r="C201">
        <f>IFERROR(INDEX('Etsy Import'!$A:$CZ,201,Settings!$C$22)&amp;"","")</f>
        <v/>
      </c>
      <c r="D201">
        <f>IF(A201="","",IFERROR(VALUE(SUBSTITUTE(SUBSTITUTE(INDEX('Etsy Import'!$A:$CZ,201,Settings!$C$23)&amp;"","$",""),",","")),0))</f>
        <v/>
      </c>
      <c r="E201" s="11">
        <f>IF(A201="","",IFERROR(VALUE(SUBSTITUTE(SUBSTITUTE(INDEX('Etsy Import'!$A:$CZ,201,Settings!$C$24)&amp;"","$",""),",","")),0))</f>
        <v/>
      </c>
      <c r="F201" s="11">
        <f>IF(A201="","",D201*E201)</f>
        <v/>
      </c>
      <c r="G201">
        <f>IF(A201="","",IF(C201="",1,COUNTIF($C$2:$C$1501,C201)))</f>
        <v/>
      </c>
      <c r="H201" s="11">
        <f>IF(A201="","",IFERROR(VALUE(SUBSTITUTE(SUBSTITUTE(INDEX('Etsy Import'!$A:$CZ,201,Settings!$C$25)&amp;"","$",""),",","")),0)/IF(Settings!$B$27="Yes",G201,1))</f>
        <v/>
      </c>
      <c r="I201" s="11">
        <f>IF(A201="","",IFERROR(VALUE(SUBSTITUTE(SUBSTITUTE(INDEX('Etsy Import'!$A:$CZ,201,Settings!$C$26)&amp;"","$",""),",","")),0)/IF(Settings!$B$27="Yes",G201,1))</f>
        <v/>
      </c>
      <c r="J201" s="11">
        <f>IF(A201="","",F201+H201-I201)</f>
        <v/>
      </c>
      <c r="K201">
        <f>IF(A201="","",IFERROR(IF(B201="",NA(),MATCH(B201,Products!$B$5:$B$204,0)),IFERROR(MATCH(A201,Products!$A$5:$A$204,0),"")))</f>
        <v/>
      </c>
      <c r="L201">
        <f>IF(A201="","",IF(K201="","⚠ not in Products",INDEX(Products!$A$5:$A$204,K201)))</f>
        <v/>
      </c>
      <c r="M201" s="11">
        <f>IF(A201="","",J201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201+IFERROR(INDEX(Settings!$D$5:$D$9,MATCH("Etsy",Settings!$A$5:$A$9,0)),0)*D201)</f>
        <v/>
      </c>
      <c r="N201" s="11">
        <f>IF(A201="","",IF(K201="",0,D201*INDEX(Products!$I$5:$I$204,K201)))</f>
        <v/>
      </c>
      <c r="O201" s="11">
        <f>IF(A201="","",IF(K201="",0,J201*INDEX(Products!$H$5:$H$204,K201)))</f>
        <v/>
      </c>
      <c r="P201" s="11">
        <f>IF(A201="","",J201-M201-N201-O201)</f>
        <v/>
      </c>
    </row>
    <row r="202">
      <c r="A202">
        <f>IFERROR(INDEX('Etsy Import'!$A:$CZ,202,Settings!$C$20)&amp;"","")</f>
        <v/>
      </c>
      <c r="B202">
        <f>IFERROR(INDEX('Etsy Import'!$A:$CZ,202,Settings!$C$21)&amp;"","")</f>
        <v/>
      </c>
      <c r="C202">
        <f>IFERROR(INDEX('Etsy Import'!$A:$CZ,202,Settings!$C$22)&amp;"","")</f>
        <v/>
      </c>
      <c r="D202">
        <f>IF(A202="","",IFERROR(VALUE(SUBSTITUTE(SUBSTITUTE(INDEX('Etsy Import'!$A:$CZ,202,Settings!$C$23)&amp;"","$",""),",","")),0))</f>
        <v/>
      </c>
      <c r="E202" s="11">
        <f>IF(A202="","",IFERROR(VALUE(SUBSTITUTE(SUBSTITUTE(INDEX('Etsy Import'!$A:$CZ,202,Settings!$C$24)&amp;"","$",""),",","")),0))</f>
        <v/>
      </c>
      <c r="F202" s="11">
        <f>IF(A202="","",D202*E202)</f>
        <v/>
      </c>
      <c r="G202">
        <f>IF(A202="","",IF(C202="",1,COUNTIF($C$2:$C$1501,C202)))</f>
        <v/>
      </c>
      <c r="H202" s="11">
        <f>IF(A202="","",IFERROR(VALUE(SUBSTITUTE(SUBSTITUTE(INDEX('Etsy Import'!$A:$CZ,202,Settings!$C$25)&amp;"","$",""),",","")),0)/IF(Settings!$B$27="Yes",G202,1))</f>
        <v/>
      </c>
      <c r="I202" s="11">
        <f>IF(A202="","",IFERROR(VALUE(SUBSTITUTE(SUBSTITUTE(INDEX('Etsy Import'!$A:$CZ,202,Settings!$C$26)&amp;"","$",""),",","")),0)/IF(Settings!$B$27="Yes",G202,1))</f>
        <v/>
      </c>
      <c r="J202" s="11">
        <f>IF(A202="","",F202+H202-I202)</f>
        <v/>
      </c>
      <c r="K202">
        <f>IF(A202="","",IFERROR(IF(B202="",NA(),MATCH(B202,Products!$B$5:$B$204,0)),IFERROR(MATCH(A202,Products!$A$5:$A$204,0),"")))</f>
        <v/>
      </c>
      <c r="L202">
        <f>IF(A202="","",IF(K202="","⚠ not in Products",INDEX(Products!$A$5:$A$204,K202)))</f>
        <v/>
      </c>
      <c r="M202" s="11">
        <f>IF(A202="","",J202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202+IFERROR(INDEX(Settings!$D$5:$D$9,MATCH("Etsy",Settings!$A$5:$A$9,0)),0)*D202)</f>
        <v/>
      </c>
      <c r="N202" s="11">
        <f>IF(A202="","",IF(K202="",0,D202*INDEX(Products!$I$5:$I$204,K202)))</f>
        <v/>
      </c>
      <c r="O202" s="11">
        <f>IF(A202="","",IF(K202="",0,J202*INDEX(Products!$H$5:$H$204,K202)))</f>
        <v/>
      </c>
      <c r="P202" s="11">
        <f>IF(A202="","",J202-M202-N202-O202)</f>
        <v/>
      </c>
    </row>
    <row r="203">
      <c r="A203">
        <f>IFERROR(INDEX('Etsy Import'!$A:$CZ,203,Settings!$C$20)&amp;"","")</f>
        <v/>
      </c>
      <c r="B203">
        <f>IFERROR(INDEX('Etsy Import'!$A:$CZ,203,Settings!$C$21)&amp;"","")</f>
        <v/>
      </c>
      <c r="C203">
        <f>IFERROR(INDEX('Etsy Import'!$A:$CZ,203,Settings!$C$22)&amp;"","")</f>
        <v/>
      </c>
      <c r="D203">
        <f>IF(A203="","",IFERROR(VALUE(SUBSTITUTE(SUBSTITUTE(INDEX('Etsy Import'!$A:$CZ,203,Settings!$C$23)&amp;"","$",""),",","")),0))</f>
        <v/>
      </c>
      <c r="E203" s="11">
        <f>IF(A203="","",IFERROR(VALUE(SUBSTITUTE(SUBSTITUTE(INDEX('Etsy Import'!$A:$CZ,203,Settings!$C$24)&amp;"","$",""),",","")),0))</f>
        <v/>
      </c>
      <c r="F203" s="11">
        <f>IF(A203="","",D203*E203)</f>
        <v/>
      </c>
      <c r="G203">
        <f>IF(A203="","",IF(C203="",1,COUNTIF($C$2:$C$1501,C203)))</f>
        <v/>
      </c>
      <c r="H203" s="11">
        <f>IF(A203="","",IFERROR(VALUE(SUBSTITUTE(SUBSTITUTE(INDEX('Etsy Import'!$A:$CZ,203,Settings!$C$25)&amp;"","$",""),",","")),0)/IF(Settings!$B$27="Yes",G203,1))</f>
        <v/>
      </c>
      <c r="I203" s="11">
        <f>IF(A203="","",IFERROR(VALUE(SUBSTITUTE(SUBSTITUTE(INDEX('Etsy Import'!$A:$CZ,203,Settings!$C$26)&amp;"","$",""),",","")),0)/IF(Settings!$B$27="Yes",G203,1))</f>
        <v/>
      </c>
      <c r="J203" s="11">
        <f>IF(A203="","",F203+H203-I203)</f>
        <v/>
      </c>
      <c r="K203">
        <f>IF(A203="","",IFERROR(IF(B203="",NA(),MATCH(B203,Products!$B$5:$B$204,0)),IFERROR(MATCH(A203,Products!$A$5:$A$204,0),"")))</f>
        <v/>
      </c>
      <c r="L203">
        <f>IF(A203="","",IF(K203="","⚠ not in Products",INDEX(Products!$A$5:$A$204,K203)))</f>
        <v/>
      </c>
      <c r="M203" s="11">
        <f>IF(A203="","",J203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203+IFERROR(INDEX(Settings!$D$5:$D$9,MATCH("Etsy",Settings!$A$5:$A$9,0)),0)*D203)</f>
        <v/>
      </c>
      <c r="N203" s="11">
        <f>IF(A203="","",IF(K203="",0,D203*INDEX(Products!$I$5:$I$204,K203)))</f>
        <v/>
      </c>
      <c r="O203" s="11">
        <f>IF(A203="","",IF(K203="",0,J203*INDEX(Products!$H$5:$H$204,K203)))</f>
        <v/>
      </c>
      <c r="P203" s="11">
        <f>IF(A203="","",J203-M203-N203-O203)</f>
        <v/>
      </c>
    </row>
    <row r="204">
      <c r="A204">
        <f>IFERROR(INDEX('Etsy Import'!$A:$CZ,204,Settings!$C$20)&amp;"","")</f>
        <v/>
      </c>
      <c r="B204">
        <f>IFERROR(INDEX('Etsy Import'!$A:$CZ,204,Settings!$C$21)&amp;"","")</f>
        <v/>
      </c>
      <c r="C204">
        <f>IFERROR(INDEX('Etsy Import'!$A:$CZ,204,Settings!$C$22)&amp;"","")</f>
        <v/>
      </c>
      <c r="D204">
        <f>IF(A204="","",IFERROR(VALUE(SUBSTITUTE(SUBSTITUTE(INDEX('Etsy Import'!$A:$CZ,204,Settings!$C$23)&amp;"","$",""),",","")),0))</f>
        <v/>
      </c>
      <c r="E204" s="11">
        <f>IF(A204="","",IFERROR(VALUE(SUBSTITUTE(SUBSTITUTE(INDEX('Etsy Import'!$A:$CZ,204,Settings!$C$24)&amp;"","$",""),",","")),0))</f>
        <v/>
      </c>
      <c r="F204" s="11">
        <f>IF(A204="","",D204*E204)</f>
        <v/>
      </c>
      <c r="G204">
        <f>IF(A204="","",IF(C204="",1,COUNTIF($C$2:$C$1501,C204)))</f>
        <v/>
      </c>
      <c r="H204" s="11">
        <f>IF(A204="","",IFERROR(VALUE(SUBSTITUTE(SUBSTITUTE(INDEX('Etsy Import'!$A:$CZ,204,Settings!$C$25)&amp;"","$",""),",","")),0)/IF(Settings!$B$27="Yes",G204,1))</f>
        <v/>
      </c>
      <c r="I204" s="11">
        <f>IF(A204="","",IFERROR(VALUE(SUBSTITUTE(SUBSTITUTE(INDEX('Etsy Import'!$A:$CZ,204,Settings!$C$26)&amp;"","$",""),",","")),0)/IF(Settings!$B$27="Yes",G204,1))</f>
        <v/>
      </c>
      <c r="J204" s="11">
        <f>IF(A204="","",F204+H204-I204)</f>
        <v/>
      </c>
      <c r="K204">
        <f>IF(A204="","",IFERROR(IF(B204="",NA(),MATCH(B204,Products!$B$5:$B$204,0)),IFERROR(MATCH(A204,Products!$A$5:$A$204,0),"")))</f>
        <v/>
      </c>
      <c r="L204">
        <f>IF(A204="","",IF(K204="","⚠ not in Products",INDEX(Products!$A$5:$A$204,K204)))</f>
        <v/>
      </c>
      <c r="M204" s="11">
        <f>IF(A204="","",J204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204+IFERROR(INDEX(Settings!$D$5:$D$9,MATCH("Etsy",Settings!$A$5:$A$9,0)),0)*D204)</f>
        <v/>
      </c>
      <c r="N204" s="11">
        <f>IF(A204="","",IF(K204="",0,D204*INDEX(Products!$I$5:$I$204,K204)))</f>
        <v/>
      </c>
      <c r="O204" s="11">
        <f>IF(A204="","",IF(K204="",0,J204*INDEX(Products!$H$5:$H$204,K204)))</f>
        <v/>
      </c>
      <c r="P204" s="11">
        <f>IF(A204="","",J204-M204-N204-O204)</f>
        <v/>
      </c>
    </row>
    <row r="205">
      <c r="A205">
        <f>IFERROR(INDEX('Etsy Import'!$A:$CZ,205,Settings!$C$20)&amp;"","")</f>
        <v/>
      </c>
      <c r="B205">
        <f>IFERROR(INDEX('Etsy Import'!$A:$CZ,205,Settings!$C$21)&amp;"","")</f>
        <v/>
      </c>
      <c r="C205">
        <f>IFERROR(INDEX('Etsy Import'!$A:$CZ,205,Settings!$C$22)&amp;"","")</f>
        <v/>
      </c>
      <c r="D205">
        <f>IF(A205="","",IFERROR(VALUE(SUBSTITUTE(SUBSTITUTE(INDEX('Etsy Import'!$A:$CZ,205,Settings!$C$23)&amp;"","$",""),",","")),0))</f>
        <v/>
      </c>
      <c r="E205" s="11">
        <f>IF(A205="","",IFERROR(VALUE(SUBSTITUTE(SUBSTITUTE(INDEX('Etsy Import'!$A:$CZ,205,Settings!$C$24)&amp;"","$",""),",","")),0))</f>
        <v/>
      </c>
      <c r="F205" s="11">
        <f>IF(A205="","",D205*E205)</f>
        <v/>
      </c>
      <c r="G205">
        <f>IF(A205="","",IF(C205="",1,COUNTIF($C$2:$C$1501,C205)))</f>
        <v/>
      </c>
      <c r="H205" s="11">
        <f>IF(A205="","",IFERROR(VALUE(SUBSTITUTE(SUBSTITUTE(INDEX('Etsy Import'!$A:$CZ,205,Settings!$C$25)&amp;"","$",""),",","")),0)/IF(Settings!$B$27="Yes",G205,1))</f>
        <v/>
      </c>
      <c r="I205" s="11">
        <f>IF(A205="","",IFERROR(VALUE(SUBSTITUTE(SUBSTITUTE(INDEX('Etsy Import'!$A:$CZ,205,Settings!$C$26)&amp;"","$",""),",","")),0)/IF(Settings!$B$27="Yes",G205,1))</f>
        <v/>
      </c>
      <c r="J205" s="11">
        <f>IF(A205="","",F205+H205-I205)</f>
        <v/>
      </c>
      <c r="K205">
        <f>IF(A205="","",IFERROR(IF(B205="",NA(),MATCH(B205,Products!$B$5:$B$204,0)),IFERROR(MATCH(A205,Products!$A$5:$A$204,0),"")))</f>
        <v/>
      </c>
      <c r="L205">
        <f>IF(A205="","",IF(K205="","⚠ not in Products",INDEX(Products!$A$5:$A$204,K205)))</f>
        <v/>
      </c>
      <c r="M205" s="11">
        <f>IF(A205="","",J205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205+IFERROR(INDEX(Settings!$D$5:$D$9,MATCH("Etsy",Settings!$A$5:$A$9,0)),0)*D205)</f>
        <v/>
      </c>
      <c r="N205" s="11">
        <f>IF(A205="","",IF(K205="",0,D205*INDEX(Products!$I$5:$I$204,K205)))</f>
        <v/>
      </c>
      <c r="O205" s="11">
        <f>IF(A205="","",IF(K205="",0,J205*INDEX(Products!$H$5:$H$204,K205)))</f>
        <v/>
      </c>
      <c r="P205" s="11">
        <f>IF(A205="","",J205-M205-N205-O205)</f>
        <v/>
      </c>
    </row>
    <row r="206">
      <c r="A206">
        <f>IFERROR(INDEX('Etsy Import'!$A:$CZ,206,Settings!$C$20)&amp;"","")</f>
        <v/>
      </c>
      <c r="B206">
        <f>IFERROR(INDEX('Etsy Import'!$A:$CZ,206,Settings!$C$21)&amp;"","")</f>
        <v/>
      </c>
      <c r="C206">
        <f>IFERROR(INDEX('Etsy Import'!$A:$CZ,206,Settings!$C$22)&amp;"","")</f>
        <v/>
      </c>
      <c r="D206">
        <f>IF(A206="","",IFERROR(VALUE(SUBSTITUTE(SUBSTITUTE(INDEX('Etsy Import'!$A:$CZ,206,Settings!$C$23)&amp;"","$",""),",","")),0))</f>
        <v/>
      </c>
      <c r="E206" s="11">
        <f>IF(A206="","",IFERROR(VALUE(SUBSTITUTE(SUBSTITUTE(INDEX('Etsy Import'!$A:$CZ,206,Settings!$C$24)&amp;"","$",""),",","")),0))</f>
        <v/>
      </c>
      <c r="F206" s="11">
        <f>IF(A206="","",D206*E206)</f>
        <v/>
      </c>
      <c r="G206">
        <f>IF(A206="","",IF(C206="",1,COUNTIF($C$2:$C$1501,C206)))</f>
        <v/>
      </c>
      <c r="H206" s="11">
        <f>IF(A206="","",IFERROR(VALUE(SUBSTITUTE(SUBSTITUTE(INDEX('Etsy Import'!$A:$CZ,206,Settings!$C$25)&amp;"","$",""),",","")),0)/IF(Settings!$B$27="Yes",G206,1))</f>
        <v/>
      </c>
      <c r="I206" s="11">
        <f>IF(A206="","",IFERROR(VALUE(SUBSTITUTE(SUBSTITUTE(INDEX('Etsy Import'!$A:$CZ,206,Settings!$C$26)&amp;"","$",""),",","")),0)/IF(Settings!$B$27="Yes",G206,1))</f>
        <v/>
      </c>
      <c r="J206" s="11">
        <f>IF(A206="","",F206+H206-I206)</f>
        <v/>
      </c>
      <c r="K206">
        <f>IF(A206="","",IFERROR(IF(B206="",NA(),MATCH(B206,Products!$B$5:$B$204,0)),IFERROR(MATCH(A206,Products!$A$5:$A$204,0),"")))</f>
        <v/>
      </c>
      <c r="L206">
        <f>IF(A206="","",IF(K206="","⚠ not in Products",INDEX(Products!$A$5:$A$204,K206)))</f>
        <v/>
      </c>
      <c r="M206" s="11">
        <f>IF(A206="","",J206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206+IFERROR(INDEX(Settings!$D$5:$D$9,MATCH("Etsy",Settings!$A$5:$A$9,0)),0)*D206)</f>
        <v/>
      </c>
      <c r="N206" s="11">
        <f>IF(A206="","",IF(K206="",0,D206*INDEX(Products!$I$5:$I$204,K206)))</f>
        <v/>
      </c>
      <c r="O206" s="11">
        <f>IF(A206="","",IF(K206="",0,J206*INDEX(Products!$H$5:$H$204,K206)))</f>
        <v/>
      </c>
      <c r="P206" s="11">
        <f>IF(A206="","",J206-M206-N206-O206)</f>
        <v/>
      </c>
    </row>
    <row r="207">
      <c r="A207">
        <f>IFERROR(INDEX('Etsy Import'!$A:$CZ,207,Settings!$C$20)&amp;"","")</f>
        <v/>
      </c>
      <c r="B207">
        <f>IFERROR(INDEX('Etsy Import'!$A:$CZ,207,Settings!$C$21)&amp;"","")</f>
        <v/>
      </c>
      <c r="C207">
        <f>IFERROR(INDEX('Etsy Import'!$A:$CZ,207,Settings!$C$22)&amp;"","")</f>
        <v/>
      </c>
      <c r="D207">
        <f>IF(A207="","",IFERROR(VALUE(SUBSTITUTE(SUBSTITUTE(INDEX('Etsy Import'!$A:$CZ,207,Settings!$C$23)&amp;"","$",""),",","")),0))</f>
        <v/>
      </c>
      <c r="E207" s="11">
        <f>IF(A207="","",IFERROR(VALUE(SUBSTITUTE(SUBSTITUTE(INDEX('Etsy Import'!$A:$CZ,207,Settings!$C$24)&amp;"","$",""),",","")),0))</f>
        <v/>
      </c>
      <c r="F207" s="11">
        <f>IF(A207="","",D207*E207)</f>
        <v/>
      </c>
      <c r="G207">
        <f>IF(A207="","",IF(C207="",1,COUNTIF($C$2:$C$1501,C207)))</f>
        <v/>
      </c>
      <c r="H207" s="11">
        <f>IF(A207="","",IFERROR(VALUE(SUBSTITUTE(SUBSTITUTE(INDEX('Etsy Import'!$A:$CZ,207,Settings!$C$25)&amp;"","$",""),",","")),0)/IF(Settings!$B$27="Yes",G207,1))</f>
        <v/>
      </c>
      <c r="I207" s="11">
        <f>IF(A207="","",IFERROR(VALUE(SUBSTITUTE(SUBSTITUTE(INDEX('Etsy Import'!$A:$CZ,207,Settings!$C$26)&amp;"","$",""),",","")),0)/IF(Settings!$B$27="Yes",G207,1))</f>
        <v/>
      </c>
      <c r="J207" s="11">
        <f>IF(A207="","",F207+H207-I207)</f>
        <v/>
      </c>
      <c r="K207">
        <f>IF(A207="","",IFERROR(IF(B207="",NA(),MATCH(B207,Products!$B$5:$B$204,0)),IFERROR(MATCH(A207,Products!$A$5:$A$204,0),"")))</f>
        <v/>
      </c>
      <c r="L207">
        <f>IF(A207="","",IF(K207="","⚠ not in Products",INDEX(Products!$A$5:$A$204,K207)))</f>
        <v/>
      </c>
      <c r="M207" s="11">
        <f>IF(A207="","",J207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207+IFERROR(INDEX(Settings!$D$5:$D$9,MATCH("Etsy",Settings!$A$5:$A$9,0)),0)*D207)</f>
        <v/>
      </c>
      <c r="N207" s="11">
        <f>IF(A207="","",IF(K207="",0,D207*INDEX(Products!$I$5:$I$204,K207)))</f>
        <v/>
      </c>
      <c r="O207" s="11">
        <f>IF(A207="","",IF(K207="",0,J207*INDEX(Products!$H$5:$H$204,K207)))</f>
        <v/>
      </c>
      <c r="P207" s="11">
        <f>IF(A207="","",J207-M207-N207-O207)</f>
        <v/>
      </c>
    </row>
    <row r="208">
      <c r="A208">
        <f>IFERROR(INDEX('Etsy Import'!$A:$CZ,208,Settings!$C$20)&amp;"","")</f>
        <v/>
      </c>
      <c r="B208">
        <f>IFERROR(INDEX('Etsy Import'!$A:$CZ,208,Settings!$C$21)&amp;"","")</f>
        <v/>
      </c>
      <c r="C208">
        <f>IFERROR(INDEX('Etsy Import'!$A:$CZ,208,Settings!$C$22)&amp;"","")</f>
        <v/>
      </c>
      <c r="D208">
        <f>IF(A208="","",IFERROR(VALUE(SUBSTITUTE(SUBSTITUTE(INDEX('Etsy Import'!$A:$CZ,208,Settings!$C$23)&amp;"","$",""),",","")),0))</f>
        <v/>
      </c>
      <c r="E208" s="11">
        <f>IF(A208="","",IFERROR(VALUE(SUBSTITUTE(SUBSTITUTE(INDEX('Etsy Import'!$A:$CZ,208,Settings!$C$24)&amp;"","$",""),",","")),0))</f>
        <v/>
      </c>
      <c r="F208" s="11">
        <f>IF(A208="","",D208*E208)</f>
        <v/>
      </c>
      <c r="G208">
        <f>IF(A208="","",IF(C208="",1,COUNTIF($C$2:$C$1501,C208)))</f>
        <v/>
      </c>
      <c r="H208" s="11">
        <f>IF(A208="","",IFERROR(VALUE(SUBSTITUTE(SUBSTITUTE(INDEX('Etsy Import'!$A:$CZ,208,Settings!$C$25)&amp;"","$",""),",","")),0)/IF(Settings!$B$27="Yes",G208,1))</f>
        <v/>
      </c>
      <c r="I208" s="11">
        <f>IF(A208="","",IFERROR(VALUE(SUBSTITUTE(SUBSTITUTE(INDEX('Etsy Import'!$A:$CZ,208,Settings!$C$26)&amp;"","$",""),",","")),0)/IF(Settings!$B$27="Yes",G208,1))</f>
        <v/>
      </c>
      <c r="J208" s="11">
        <f>IF(A208="","",F208+H208-I208)</f>
        <v/>
      </c>
      <c r="K208">
        <f>IF(A208="","",IFERROR(IF(B208="",NA(),MATCH(B208,Products!$B$5:$B$204,0)),IFERROR(MATCH(A208,Products!$A$5:$A$204,0),"")))</f>
        <v/>
      </c>
      <c r="L208">
        <f>IF(A208="","",IF(K208="","⚠ not in Products",INDEX(Products!$A$5:$A$204,K208)))</f>
        <v/>
      </c>
      <c r="M208" s="11">
        <f>IF(A208="","",J208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208+IFERROR(INDEX(Settings!$D$5:$D$9,MATCH("Etsy",Settings!$A$5:$A$9,0)),0)*D208)</f>
        <v/>
      </c>
      <c r="N208" s="11">
        <f>IF(A208="","",IF(K208="",0,D208*INDEX(Products!$I$5:$I$204,K208)))</f>
        <v/>
      </c>
      <c r="O208" s="11">
        <f>IF(A208="","",IF(K208="",0,J208*INDEX(Products!$H$5:$H$204,K208)))</f>
        <v/>
      </c>
      <c r="P208" s="11">
        <f>IF(A208="","",J208-M208-N208-O208)</f>
        <v/>
      </c>
    </row>
    <row r="209">
      <c r="A209">
        <f>IFERROR(INDEX('Etsy Import'!$A:$CZ,209,Settings!$C$20)&amp;"","")</f>
        <v/>
      </c>
      <c r="B209">
        <f>IFERROR(INDEX('Etsy Import'!$A:$CZ,209,Settings!$C$21)&amp;"","")</f>
        <v/>
      </c>
      <c r="C209">
        <f>IFERROR(INDEX('Etsy Import'!$A:$CZ,209,Settings!$C$22)&amp;"","")</f>
        <v/>
      </c>
      <c r="D209">
        <f>IF(A209="","",IFERROR(VALUE(SUBSTITUTE(SUBSTITUTE(INDEX('Etsy Import'!$A:$CZ,209,Settings!$C$23)&amp;"","$",""),",","")),0))</f>
        <v/>
      </c>
      <c r="E209" s="11">
        <f>IF(A209="","",IFERROR(VALUE(SUBSTITUTE(SUBSTITUTE(INDEX('Etsy Import'!$A:$CZ,209,Settings!$C$24)&amp;"","$",""),",","")),0))</f>
        <v/>
      </c>
      <c r="F209" s="11">
        <f>IF(A209="","",D209*E209)</f>
        <v/>
      </c>
      <c r="G209">
        <f>IF(A209="","",IF(C209="",1,COUNTIF($C$2:$C$1501,C209)))</f>
        <v/>
      </c>
      <c r="H209" s="11">
        <f>IF(A209="","",IFERROR(VALUE(SUBSTITUTE(SUBSTITUTE(INDEX('Etsy Import'!$A:$CZ,209,Settings!$C$25)&amp;"","$",""),",","")),0)/IF(Settings!$B$27="Yes",G209,1))</f>
        <v/>
      </c>
      <c r="I209" s="11">
        <f>IF(A209="","",IFERROR(VALUE(SUBSTITUTE(SUBSTITUTE(INDEX('Etsy Import'!$A:$CZ,209,Settings!$C$26)&amp;"","$",""),",","")),0)/IF(Settings!$B$27="Yes",G209,1))</f>
        <v/>
      </c>
      <c r="J209" s="11">
        <f>IF(A209="","",F209+H209-I209)</f>
        <v/>
      </c>
      <c r="K209">
        <f>IF(A209="","",IFERROR(IF(B209="",NA(),MATCH(B209,Products!$B$5:$B$204,0)),IFERROR(MATCH(A209,Products!$A$5:$A$204,0),"")))</f>
        <v/>
      </c>
      <c r="L209">
        <f>IF(A209="","",IF(K209="","⚠ not in Products",INDEX(Products!$A$5:$A$204,K209)))</f>
        <v/>
      </c>
      <c r="M209" s="11">
        <f>IF(A209="","",J209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209+IFERROR(INDEX(Settings!$D$5:$D$9,MATCH("Etsy",Settings!$A$5:$A$9,0)),0)*D209)</f>
        <v/>
      </c>
      <c r="N209" s="11">
        <f>IF(A209="","",IF(K209="",0,D209*INDEX(Products!$I$5:$I$204,K209)))</f>
        <v/>
      </c>
      <c r="O209" s="11">
        <f>IF(A209="","",IF(K209="",0,J209*INDEX(Products!$H$5:$H$204,K209)))</f>
        <v/>
      </c>
      <c r="P209" s="11">
        <f>IF(A209="","",J209-M209-N209-O209)</f>
        <v/>
      </c>
    </row>
    <row r="210">
      <c r="A210">
        <f>IFERROR(INDEX('Etsy Import'!$A:$CZ,210,Settings!$C$20)&amp;"","")</f>
        <v/>
      </c>
      <c r="B210">
        <f>IFERROR(INDEX('Etsy Import'!$A:$CZ,210,Settings!$C$21)&amp;"","")</f>
        <v/>
      </c>
      <c r="C210">
        <f>IFERROR(INDEX('Etsy Import'!$A:$CZ,210,Settings!$C$22)&amp;"","")</f>
        <v/>
      </c>
      <c r="D210">
        <f>IF(A210="","",IFERROR(VALUE(SUBSTITUTE(SUBSTITUTE(INDEX('Etsy Import'!$A:$CZ,210,Settings!$C$23)&amp;"","$",""),",","")),0))</f>
        <v/>
      </c>
      <c r="E210" s="11">
        <f>IF(A210="","",IFERROR(VALUE(SUBSTITUTE(SUBSTITUTE(INDEX('Etsy Import'!$A:$CZ,210,Settings!$C$24)&amp;"","$",""),",","")),0))</f>
        <v/>
      </c>
      <c r="F210" s="11">
        <f>IF(A210="","",D210*E210)</f>
        <v/>
      </c>
      <c r="G210">
        <f>IF(A210="","",IF(C210="",1,COUNTIF($C$2:$C$1501,C210)))</f>
        <v/>
      </c>
      <c r="H210" s="11">
        <f>IF(A210="","",IFERROR(VALUE(SUBSTITUTE(SUBSTITUTE(INDEX('Etsy Import'!$A:$CZ,210,Settings!$C$25)&amp;"","$",""),",","")),0)/IF(Settings!$B$27="Yes",G210,1))</f>
        <v/>
      </c>
      <c r="I210" s="11">
        <f>IF(A210="","",IFERROR(VALUE(SUBSTITUTE(SUBSTITUTE(INDEX('Etsy Import'!$A:$CZ,210,Settings!$C$26)&amp;"","$",""),",","")),0)/IF(Settings!$B$27="Yes",G210,1))</f>
        <v/>
      </c>
      <c r="J210" s="11">
        <f>IF(A210="","",F210+H210-I210)</f>
        <v/>
      </c>
      <c r="K210">
        <f>IF(A210="","",IFERROR(IF(B210="",NA(),MATCH(B210,Products!$B$5:$B$204,0)),IFERROR(MATCH(A210,Products!$A$5:$A$204,0),"")))</f>
        <v/>
      </c>
      <c r="L210">
        <f>IF(A210="","",IF(K210="","⚠ not in Products",INDEX(Products!$A$5:$A$204,K210)))</f>
        <v/>
      </c>
      <c r="M210" s="11">
        <f>IF(A210="","",J210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210+IFERROR(INDEX(Settings!$D$5:$D$9,MATCH("Etsy",Settings!$A$5:$A$9,0)),0)*D210)</f>
        <v/>
      </c>
      <c r="N210" s="11">
        <f>IF(A210="","",IF(K210="",0,D210*INDEX(Products!$I$5:$I$204,K210)))</f>
        <v/>
      </c>
      <c r="O210" s="11">
        <f>IF(A210="","",IF(K210="",0,J210*INDEX(Products!$H$5:$H$204,K210)))</f>
        <v/>
      </c>
      <c r="P210" s="11">
        <f>IF(A210="","",J210-M210-N210-O210)</f>
        <v/>
      </c>
    </row>
    <row r="211">
      <c r="A211">
        <f>IFERROR(INDEX('Etsy Import'!$A:$CZ,211,Settings!$C$20)&amp;"","")</f>
        <v/>
      </c>
      <c r="B211">
        <f>IFERROR(INDEX('Etsy Import'!$A:$CZ,211,Settings!$C$21)&amp;"","")</f>
        <v/>
      </c>
      <c r="C211">
        <f>IFERROR(INDEX('Etsy Import'!$A:$CZ,211,Settings!$C$22)&amp;"","")</f>
        <v/>
      </c>
      <c r="D211">
        <f>IF(A211="","",IFERROR(VALUE(SUBSTITUTE(SUBSTITUTE(INDEX('Etsy Import'!$A:$CZ,211,Settings!$C$23)&amp;"","$",""),",","")),0))</f>
        <v/>
      </c>
      <c r="E211" s="11">
        <f>IF(A211="","",IFERROR(VALUE(SUBSTITUTE(SUBSTITUTE(INDEX('Etsy Import'!$A:$CZ,211,Settings!$C$24)&amp;"","$",""),",","")),0))</f>
        <v/>
      </c>
      <c r="F211" s="11">
        <f>IF(A211="","",D211*E211)</f>
        <v/>
      </c>
      <c r="G211">
        <f>IF(A211="","",IF(C211="",1,COUNTIF($C$2:$C$1501,C211)))</f>
        <v/>
      </c>
      <c r="H211" s="11">
        <f>IF(A211="","",IFERROR(VALUE(SUBSTITUTE(SUBSTITUTE(INDEX('Etsy Import'!$A:$CZ,211,Settings!$C$25)&amp;"","$",""),",","")),0)/IF(Settings!$B$27="Yes",G211,1))</f>
        <v/>
      </c>
      <c r="I211" s="11">
        <f>IF(A211="","",IFERROR(VALUE(SUBSTITUTE(SUBSTITUTE(INDEX('Etsy Import'!$A:$CZ,211,Settings!$C$26)&amp;"","$",""),",","")),0)/IF(Settings!$B$27="Yes",G211,1))</f>
        <v/>
      </c>
      <c r="J211" s="11">
        <f>IF(A211="","",F211+H211-I211)</f>
        <v/>
      </c>
      <c r="K211">
        <f>IF(A211="","",IFERROR(IF(B211="",NA(),MATCH(B211,Products!$B$5:$B$204,0)),IFERROR(MATCH(A211,Products!$A$5:$A$204,0),"")))</f>
        <v/>
      </c>
      <c r="L211">
        <f>IF(A211="","",IF(K211="","⚠ not in Products",INDEX(Products!$A$5:$A$204,K211)))</f>
        <v/>
      </c>
      <c r="M211" s="11">
        <f>IF(A211="","",J211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211+IFERROR(INDEX(Settings!$D$5:$D$9,MATCH("Etsy",Settings!$A$5:$A$9,0)),0)*D211)</f>
        <v/>
      </c>
      <c r="N211" s="11">
        <f>IF(A211="","",IF(K211="",0,D211*INDEX(Products!$I$5:$I$204,K211)))</f>
        <v/>
      </c>
      <c r="O211" s="11">
        <f>IF(A211="","",IF(K211="",0,J211*INDEX(Products!$H$5:$H$204,K211)))</f>
        <v/>
      </c>
      <c r="P211" s="11">
        <f>IF(A211="","",J211-M211-N211-O211)</f>
        <v/>
      </c>
    </row>
    <row r="212">
      <c r="A212">
        <f>IFERROR(INDEX('Etsy Import'!$A:$CZ,212,Settings!$C$20)&amp;"","")</f>
        <v/>
      </c>
      <c r="B212">
        <f>IFERROR(INDEX('Etsy Import'!$A:$CZ,212,Settings!$C$21)&amp;"","")</f>
        <v/>
      </c>
      <c r="C212">
        <f>IFERROR(INDEX('Etsy Import'!$A:$CZ,212,Settings!$C$22)&amp;"","")</f>
        <v/>
      </c>
      <c r="D212">
        <f>IF(A212="","",IFERROR(VALUE(SUBSTITUTE(SUBSTITUTE(INDEX('Etsy Import'!$A:$CZ,212,Settings!$C$23)&amp;"","$",""),",","")),0))</f>
        <v/>
      </c>
      <c r="E212" s="11">
        <f>IF(A212="","",IFERROR(VALUE(SUBSTITUTE(SUBSTITUTE(INDEX('Etsy Import'!$A:$CZ,212,Settings!$C$24)&amp;"","$",""),",","")),0))</f>
        <v/>
      </c>
      <c r="F212" s="11">
        <f>IF(A212="","",D212*E212)</f>
        <v/>
      </c>
      <c r="G212">
        <f>IF(A212="","",IF(C212="",1,COUNTIF($C$2:$C$1501,C212)))</f>
        <v/>
      </c>
      <c r="H212" s="11">
        <f>IF(A212="","",IFERROR(VALUE(SUBSTITUTE(SUBSTITUTE(INDEX('Etsy Import'!$A:$CZ,212,Settings!$C$25)&amp;"","$",""),",","")),0)/IF(Settings!$B$27="Yes",G212,1))</f>
        <v/>
      </c>
      <c r="I212" s="11">
        <f>IF(A212="","",IFERROR(VALUE(SUBSTITUTE(SUBSTITUTE(INDEX('Etsy Import'!$A:$CZ,212,Settings!$C$26)&amp;"","$",""),",","")),0)/IF(Settings!$B$27="Yes",G212,1))</f>
        <v/>
      </c>
      <c r="J212" s="11">
        <f>IF(A212="","",F212+H212-I212)</f>
        <v/>
      </c>
      <c r="K212">
        <f>IF(A212="","",IFERROR(IF(B212="",NA(),MATCH(B212,Products!$B$5:$B$204,0)),IFERROR(MATCH(A212,Products!$A$5:$A$204,0),"")))</f>
        <v/>
      </c>
      <c r="L212">
        <f>IF(A212="","",IF(K212="","⚠ not in Products",INDEX(Products!$A$5:$A$204,K212)))</f>
        <v/>
      </c>
      <c r="M212" s="11">
        <f>IF(A212="","",J212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212+IFERROR(INDEX(Settings!$D$5:$D$9,MATCH("Etsy",Settings!$A$5:$A$9,0)),0)*D212)</f>
        <v/>
      </c>
      <c r="N212" s="11">
        <f>IF(A212="","",IF(K212="",0,D212*INDEX(Products!$I$5:$I$204,K212)))</f>
        <v/>
      </c>
      <c r="O212" s="11">
        <f>IF(A212="","",IF(K212="",0,J212*INDEX(Products!$H$5:$H$204,K212)))</f>
        <v/>
      </c>
      <c r="P212" s="11">
        <f>IF(A212="","",J212-M212-N212-O212)</f>
        <v/>
      </c>
    </row>
    <row r="213">
      <c r="A213">
        <f>IFERROR(INDEX('Etsy Import'!$A:$CZ,213,Settings!$C$20)&amp;"","")</f>
        <v/>
      </c>
      <c r="B213">
        <f>IFERROR(INDEX('Etsy Import'!$A:$CZ,213,Settings!$C$21)&amp;"","")</f>
        <v/>
      </c>
      <c r="C213">
        <f>IFERROR(INDEX('Etsy Import'!$A:$CZ,213,Settings!$C$22)&amp;"","")</f>
        <v/>
      </c>
      <c r="D213">
        <f>IF(A213="","",IFERROR(VALUE(SUBSTITUTE(SUBSTITUTE(INDEX('Etsy Import'!$A:$CZ,213,Settings!$C$23)&amp;"","$",""),",","")),0))</f>
        <v/>
      </c>
      <c r="E213" s="11">
        <f>IF(A213="","",IFERROR(VALUE(SUBSTITUTE(SUBSTITUTE(INDEX('Etsy Import'!$A:$CZ,213,Settings!$C$24)&amp;"","$",""),",","")),0))</f>
        <v/>
      </c>
      <c r="F213" s="11">
        <f>IF(A213="","",D213*E213)</f>
        <v/>
      </c>
      <c r="G213">
        <f>IF(A213="","",IF(C213="",1,COUNTIF($C$2:$C$1501,C213)))</f>
        <v/>
      </c>
      <c r="H213" s="11">
        <f>IF(A213="","",IFERROR(VALUE(SUBSTITUTE(SUBSTITUTE(INDEX('Etsy Import'!$A:$CZ,213,Settings!$C$25)&amp;"","$",""),",","")),0)/IF(Settings!$B$27="Yes",G213,1))</f>
        <v/>
      </c>
      <c r="I213" s="11">
        <f>IF(A213="","",IFERROR(VALUE(SUBSTITUTE(SUBSTITUTE(INDEX('Etsy Import'!$A:$CZ,213,Settings!$C$26)&amp;"","$",""),",","")),0)/IF(Settings!$B$27="Yes",G213,1))</f>
        <v/>
      </c>
      <c r="J213" s="11">
        <f>IF(A213="","",F213+H213-I213)</f>
        <v/>
      </c>
      <c r="K213">
        <f>IF(A213="","",IFERROR(IF(B213="",NA(),MATCH(B213,Products!$B$5:$B$204,0)),IFERROR(MATCH(A213,Products!$A$5:$A$204,0),"")))</f>
        <v/>
      </c>
      <c r="L213">
        <f>IF(A213="","",IF(K213="","⚠ not in Products",INDEX(Products!$A$5:$A$204,K213)))</f>
        <v/>
      </c>
      <c r="M213" s="11">
        <f>IF(A213="","",J213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213+IFERROR(INDEX(Settings!$D$5:$D$9,MATCH("Etsy",Settings!$A$5:$A$9,0)),0)*D213)</f>
        <v/>
      </c>
      <c r="N213" s="11">
        <f>IF(A213="","",IF(K213="",0,D213*INDEX(Products!$I$5:$I$204,K213)))</f>
        <v/>
      </c>
      <c r="O213" s="11">
        <f>IF(A213="","",IF(K213="",0,J213*INDEX(Products!$H$5:$H$204,K213)))</f>
        <v/>
      </c>
      <c r="P213" s="11">
        <f>IF(A213="","",J213-M213-N213-O213)</f>
        <v/>
      </c>
    </row>
    <row r="214">
      <c r="A214">
        <f>IFERROR(INDEX('Etsy Import'!$A:$CZ,214,Settings!$C$20)&amp;"","")</f>
        <v/>
      </c>
      <c r="B214">
        <f>IFERROR(INDEX('Etsy Import'!$A:$CZ,214,Settings!$C$21)&amp;"","")</f>
        <v/>
      </c>
      <c r="C214">
        <f>IFERROR(INDEX('Etsy Import'!$A:$CZ,214,Settings!$C$22)&amp;"","")</f>
        <v/>
      </c>
      <c r="D214">
        <f>IF(A214="","",IFERROR(VALUE(SUBSTITUTE(SUBSTITUTE(INDEX('Etsy Import'!$A:$CZ,214,Settings!$C$23)&amp;"","$",""),",","")),0))</f>
        <v/>
      </c>
      <c r="E214" s="11">
        <f>IF(A214="","",IFERROR(VALUE(SUBSTITUTE(SUBSTITUTE(INDEX('Etsy Import'!$A:$CZ,214,Settings!$C$24)&amp;"","$",""),",","")),0))</f>
        <v/>
      </c>
      <c r="F214" s="11">
        <f>IF(A214="","",D214*E214)</f>
        <v/>
      </c>
      <c r="G214">
        <f>IF(A214="","",IF(C214="",1,COUNTIF($C$2:$C$1501,C214)))</f>
        <v/>
      </c>
      <c r="H214" s="11">
        <f>IF(A214="","",IFERROR(VALUE(SUBSTITUTE(SUBSTITUTE(INDEX('Etsy Import'!$A:$CZ,214,Settings!$C$25)&amp;"","$",""),",","")),0)/IF(Settings!$B$27="Yes",G214,1))</f>
        <v/>
      </c>
      <c r="I214" s="11">
        <f>IF(A214="","",IFERROR(VALUE(SUBSTITUTE(SUBSTITUTE(INDEX('Etsy Import'!$A:$CZ,214,Settings!$C$26)&amp;"","$",""),",","")),0)/IF(Settings!$B$27="Yes",G214,1))</f>
        <v/>
      </c>
      <c r="J214" s="11">
        <f>IF(A214="","",F214+H214-I214)</f>
        <v/>
      </c>
      <c r="K214">
        <f>IF(A214="","",IFERROR(IF(B214="",NA(),MATCH(B214,Products!$B$5:$B$204,0)),IFERROR(MATCH(A214,Products!$A$5:$A$204,0),"")))</f>
        <v/>
      </c>
      <c r="L214">
        <f>IF(A214="","",IF(K214="","⚠ not in Products",INDEX(Products!$A$5:$A$204,K214)))</f>
        <v/>
      </c>
      <c r="M214" s="11">
        <f>IF(A214="","",J214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214+IFERROR(INDEX(Settings!$D$5:$D$9,MATCH("Etsy",Settings!$A$5:$A$9,0)),0)*D214)</f>
        <v/>
      </c>
      <c r="N214" s="11">
        <f>IF(A214="","",IF(K214="",0,D214*INDEX(Products!$I$5:$I$204,K214)))</f>
        <v/>
      </c>
      <c r="O214" s="11">
        <f>IF(A214="","",IF(K214="",0,J214*INDEX(Products!$H$5:$H$204,K214)))</f>
        <v/>
      </c>
      <c r="P214" s="11">
        <f>IF(A214="","",J214-M214-N214-O214)</f>
        <v/>
      </c>
    </row>
    <row r="215">
      <c r="A215">
        <f>IFERROR(INDEX('Etsy Import'!$A:$CZ,215,Settings!$C$20)&amp;"","")</f>
        <v/>
      </c>
      <c r="B215">
        <f>IFERROR(INDEX('Etsy Import'!$A:$CZ,215,Settings!$C$21)&amp;"","")</f>
        <v/>
      </c>
      <c r="C215">
        <f>IFERROR(INDEX('Etsy Import'!$A:$CZ,215,Settings!$C$22)&amp;"","")</f>
        <v/>
      </c>
      <c r="D215">
        <f>IF(A215="","",IFERROR(VALUE(SUBSTITUTE(SUBSTITUTE(INDEX('Etsy Import'!$A:$CZ,215,Settings!$C$23)&amp;"","$",""),",","")),0))</f>
        <v/>
      </c>
      <c r="E215" s="11">
        <f>IF(A215="","",IFERROR(VALUE(SUBSTITUTE(SUBSTITUTE(INDEX('Etsy Import'!$A:$CZ,215,Settings!$C$24)&amp;"","$",""),",","")),0))</f>
        <v/>
      </c>
      <c r="F215" s="11">
        <f>IF(A215="","",D215*E215)</f>
        <v/>
      </c>
      <c r="G215">
        <f>IF(A215="","",IF(C215="",1,COUNTIF($C$2:$C$1501,C215)))</f>
        <v/>
      </c>
      <c r="H215" s="11">
        <f>IF(A215="","",IFERROR(VALUE(SUBSTITUTE(SUBSTITUTE(INDEX('Etsy Import'!$A:$CZ,215,Settings!$C$25)&amp;"","$",""),",","")),0)/IF(Settings!$B$27="Yes",G215,1))</f>
        <v/>
      </c>
      <c r="I215" s="11">
        <f>IF(A215="","",IFERROR(VALUE(SUBSTITUTE(SUBSTITUTE(INDEX('Etsy Import'!$A:$CZ,215,Settings!$C$26)&amp;"","$",""),",","")),0)/IF(Settings!$B$27="Yes",G215,1))</f>
        <v/>
      </c>
      <c r="J215" s="11">
        <f>IF(A215="","",F215+H215-I215)</f>
        <v/>
      </c>
      <c r="K215">
        <f>IF(A215="","",IFERROR(IF(B215="",NA(),MATCH(B215,Products!$B$5:$B$204,0)),IFERROR(MATCH(A215,Products!$A$5:$A$204,0),"")))</f>
        <v/>
      </c>
      <c r="L215">
        <f>IF(A215="","",IF(K215="","⚠ not in Products",INDEX(Products!$A$5:$A$204,K215)))</f>
        <v/>
      </c>
      <c r="M215" s="11">
        <f>IF(A215="","",J215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215+IFERROR(INDEX(Settings!$D$5:$D$9,MATCH("Etsy",Settings!$A$5:$A$9,0)),0)*D215)</f>
        <v/>
      </c>
      <c r="N215" s="11">
        <f>IF(A215="","",IF(K215="",0,D215*INDEX(Products!$I$5:$I$204,K215)))</f>
        <v/>
      </c>
      <c r="O215" s="11">
        <f>IF(A215="","",IF(K215="",0,J215*INDEX(Products!$H$5:$H$204,K215)))</f>
        <v/>
      </c>
      <c r="P215" s="11">
        <f>IF(A215="","",J215-M215-N215-O215)</f>
        <v/>
      </c>
    </row>
    <row r="216">
      <c r="A216">
        <f>IFERROR(INDEX('Etsy Import'!$A:$CZ,216,Settings!$C$20)&amp;"","")</f>
        <v/>
      </c>
      <c r="B216">
        <f>IFERROR(INDEX('Etsy Import'!$A:$CZ,216,Settings!$C$21)&amp;"","")</f>
        <v/>
      </c>
      <c r="C216">
        <f>IFERROR(INDEX('Etsy Import'!$A:$CZ,216,Settings!$C$22)&amp;"","")</f>
        <v/>
      </c>
      <c r="D216">
        <f>IF(A216="","",IFERROR(VALUE(SUBSTITUTE(SUBSTITUTE(INDEX('Etsy Import'!$A:$CZ,216,Settings!$C$23)&amp;"","$",""),",","")),0))</f>
        <v/>
      </c>
      <c r="E216" s="11">
        <f>IF(A216="","",IFERROR(VALUE(SUBSTITUTE(SUBSTITUTE(INDEX('Etsy Import'!$A:$CZ,216,Settings!$C$24)&amp;"","$",""),",","")),0))</f>
        <v/>
      </c>
      <c r="F216" s="11">
        <f>IF(A216="","",D216*E216)</f>
        <v/>
      </c>
      <c r="G216">
        <f>IF(A216="","",IF(C216="",1,COUNTIF($C$2:$C$1501,C216)))</f>
        <v/>
      </c>
      <c r="H216" s="11">
        <f>IF(A216="","",IFERROR(VALUE(SUBSTITUTE(SUBSTITUTE(INDEX('Etsy Import'!$A:$CZ,216,Settings!$C$25)&amp;"","$",""),",","")),0)/IF(Settings!$B$27="Yes",G216,1))</f>
        <v/>
      </c>
      <c r="I216" s="11">
        <f>IF(A216="","",IFERROR(VALUE(SUBSTITUTE(SUBSTITUTE(INDEX('Etsy Import'!$A:$CZ,216,Settings!$C$26)&amp;"","$",""),",","")),0)/IF(Settings!$B$27="Yes",G216,1))</f>
        <v/>
      </c>
      <c r="J216" s="11">
        <f>IF(A216="","",F216+H216-I216)</f>
        <v/>
      </c>
      <c r="K216">
        <f>IF(A216="","",IFERROR(IF(B216="",NA(),MATCH(B216,Products!$B$5:$B$204,0)),IFERROR(MATCH(A216,Products!$A$5:$A$204,0),"")))</f>
        <v/>
      </c>
      <c r="L216">
        <f>IF(A216="","",IF(K216="","⚠ not in Products",INDEX(Products!$A$5:$A$204,K216)))</f>
        <v/>
      </c>
      <c r="M216" s="11">
        <f>IF(A216="","",J216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216+IFERROR(INDEX(Settings!$D$5:$D$9,MATCH("Etsy",Settings!$A$5:$A$9,0)),0)*D216)</f>
        <v/>
      </c>
      <c r="N216" s="11">
        <f>IF(A216="","",IF(K216="",0,D216*INDEX(Products!$I$5:$I$204,K216)))</f>
        <v/>
      </c>
      <c r="O216" s="11">
        <f>IF(A216="","",IF(K216="",0,J216*INDEX(Products!$H$5:$H$204,K216)))</f>
        <v/>
      </c>
      <c r="P216" s="11">
        <f>IF(A216="","",J216-M216-N216-O216)</f>
        <v/>
      </c>
    </row>
    <row r="217">
      <c r="A217">
        <f>IFERROR(INDEX('Etsy Import'!$A:$CZ,217,Settings!$C$20)&amp;"","")</f>
        <v/>
      </c>
      <c r="B217">
        <f>IFERROR(INDEX('Etsy Import'!$A:$CZ,217,Settings!$C$21)&amp;"","")</f>
        <v/>
      </c>
      <c r="C217">
        <f>IFERROR(INDEX('Etsy Import'!$A:$CZ,217,Settings!$C$22)&amp;"","")</f>
        <v/>
      </c>
      <c r="D217">
        <f>IF(A217="","",IFERROR(VALUE(SUBSTITUTE(SUBSTITUTE(INDEX('Etsy Import'!$A:$CZ,217,Settings!$C$23)&amp;"","$",""),",","")),0))</f>
        <v/>
      </c>
      <c r="E217" s="11">
        <f>IF(A217="","",IFERROR(VALUE(SUBSTITUTE(SUBSTITUTE(INDEX('Etsy Import'!$A:$CZ,217,Settings!$C$24)&amp;"","$",""),",","")),0))</f>
        <v/>
      </c>
      <c r="F217" s="11">
        <f>IF(A217="","",D217*E217)</f>
        <v/>
      </c>
      <c r="G217">
        <f>IF(A217="","",IF(C217="",1,COUNTIF($C$2:$C$1501,C217)))</f>
        <v/>
      </c>
      <c r="H217" s="11">
        <f>IF(A217="","",IFERROR(VALUE(SUBSTITUTE(SUBSTITUTE(INDEX('Etsy Import'!$A:$CZ,217,Settings!$C$25)&amp;"","$",""),",","")),0)/IF(Settings!$B$27="Yes",G217,1))</f>
        <v/>
      </c>
      <c r="I217" s="11">
        <f>IF(A217="","",IFERROR(VALUE(SUBSTITUTE(SUBSTITUTE(INDEX('Etsy Import'!$A:$CZ,217,Settings!$C$26)&amp;"","$",""),",","")),0)/IF(Settings!$B$27="Yes",G217,1))</f>
        <v/>
      </c>
      <c r="J217" s="11">
        <f>IF(A217="","",F217+H217-I217)</f>
        <v/>
      </c>
      <c r="K217">
        <f>IF(A217="","",IFERROR(IF(B217="",NA(),MATCH(B217,Products!$B$5:$B$204,0)),IFERROR(MATCH(A217,Products!$A$5:$A$204,0),"")))</f>
        <v/>
      </c>
      <c r="L217">
        <f>IF(A217="","",IF(K217="","⚠ not in Products",INDEX(Products!$A$5:$A$204,K217)))</f>
        <v/>
      </c>
      <c r="M217" s="11">
        <f>IF(A217="","",J217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217+IFERROR(INDEX(Settings!$D$5:$D$9,MATCH("Etsy",Settings!$A$5:$A$9,0)),0)*D217)</f>
        <v/>
      </c>
      <c r="N217" s="11">
        <f>IF(A217="","",IF(K217="",0,D217*INDEX(Products!$I$5:$I$204,K217)))</f>
        <v/>
      </c>
      <c r="O217" s="11">
        <f>IF(A217="","",IF(K217="",0,J217*INDEX(Products!$H$5:$H$204,K217)))</f>
        <v/>
      </c>
      <c r="P217" s="11">
        <f>IF(A217="","",J217-M217-N217-O217)</f>
        <v/>
      </c>
    </row>
    <row r="218">
      <c r="A218">
        <f>IFERROR(INDEX('Etsy Import'!$A:$CZ,218,Settings!$C$20)&amp;"","")</f>
        <v/>
      </c>
      <c r="B218">
        <f>IFERROR(INDEX('Etsy Import'!$A:$CZ,218,Settings!$C$21)&amp;"","")</f>
        <v/>
      </c>
      <c r="C218">
        <f>IFERROR(INDEX('Etsy Import'!$A:$CZ,218,Settings!$C$22)&amp;"","")</f>
        <v/>
      </c>
      <c r="D218">
        <f>IF(A218="","",IFERROR(VALUE(SUBSTITUTE(SUBSTITUTE(INDEX('Etsy Import'!$A:$CZ,218,Settings!$C$23)&amp;"","$",""),",","")),0))</f>
        <v/>
      </c>
      <c r="E218" s="11">
        <f>IF(A218="","",IFERROR(VALUE(SUBSTITUTE(SUBSTITUTE(INDEX('Etsy Import'!$A:$CZ,218,Settings!$C$24)&amp;"","$",""),",","")),0))</f>
        <v/>
      </c>
      <c r="F218" s="11">
        <f>IF(A218="","",D218*E218)</f>
        <v/>
      </c>
      <c r="G218">
        <f>IF(A218="","",IF(C218="",1,COUNTIF($C$2:$C$1501,C218)))</f>
        <v/>
      </c>
      <c r="H218" s="11">
        <f>IF(A218="","",IFERROR(VALUE(SUBSTITUTE(SUBSTITUTE(INDEX('Etsy Import'!$A:$CZ,218,Settings!$C$25)&amp;"","$",""),",","")),0)/IF(Settings!$B$27="Yes",G218,1))</f>
        <v/>
      </c>
      <c r="I218" s="11">
        <f>IF(A218="","",IFERROR(VALUE(SUBSTITUTE(SUBSTITUTE(INDEX('Etsy Import'!$A:$CZ,218,Settings!$C$26)&amp;"","$",""),",","")),0)/IF(Settings!$B$27="Yes",G218,1))</f>
        <v/>
      </c>
      <c r="J218" s="11">
        <f>IF(A218="","",F218+H218-I218)</f>
        <v/>
      </c>
      <c r="K218">
        <f>IF(A218="","",IFERROR(IF(B218="",NA(),MATCH(B218,Products!$B$5:$B$204,0)),IFERROR(MATCH(A218,Products!$A$5:$A$204,0),"")))</f>
        <v/>
      </c>
      <c r="L218">
        <f>IF(A218="","",IF(K218="","⚠ not in Products",INDEX(Products!$A$5:$A$204,K218)))</f>
        <v/>
      </c>
      <c r="M218" s="11">
        <f>IF(A218="","",J218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218+IFERROR(INDEX(Settings!$D$5:$D$9,MATCH("Etsy",Settings!$A$5:$A$9,0)),0)*D218)</f>
        <v/>
      </c>
      <c r="N218" s="11">
        <f>IF(A218="","",IF(K218="",0,D218*INDEX(Products!$I$5:$I$204,K218)))</f>
        <v/>
      </c>
      <c r="O218" s="11">
        <f>IF(A218="","",IF(K218="",0,J218*INDEX(Products!$H$5:$H$204,K218)))</f>
        <v/>
      </c>
      <c r="P218" s="11">
        <f>IF(A218="","",J218-M218-N218-O218)</f>
        <v/>
      </c>
    </row>
    <row r="219">
      <c r="A219">
        <f>IFERROR(INDEX('Etsy Import'!$A:$CZ,219,Settings!$C$20)&amp;"","")</f>
        <v/>
      </c>
      <c r="B219">
        <f>IFERROR(INDEX('Etsy Import'!$A:$CZ,219,Settings!$C$21)&amp;"","")</f>
        <v/>
      </c>
      <c r="C219">
        <f>IFERROR(INDEX('Etsy Import'!$A:$CZ,219,Settings!$C$22)&amp;"","")</f>
        <v/>
      </c>
      <c r="D219">
        <f>IF(A219="","",IFERROR(VALUE(SUBSTITUTE(SUBSTITUTE(INDEX('Etsy Import'!$A:$CZ,219,Settings!$C$23)&amp;"","$",""),",","")),0))</f>
        <v/>
      </c>
      <c r="E219" s="11">
        <f>IF(A219="","",IFERROR(VALUE(SUBSTITUTE(SUBSTITUTE(INDEX('Etsy Import'!$A:$CZ,219,Settings!$C$24)&amp;"","$",""),",","")),0))</f>
        <v/>
      </c>
      <c r="F219" s="11">
        <f>IF(A219="","",D219*E219)</f>
        <v/>
      </c>
      <c r="G219">
        <f>IF(A219="","",IF(C219="",1,COUNTIF($C$2:$C$1501,C219)))</f>
        <v/>
      </c>
      <c r="H219" s="11">
        <f>IF(A219="","",IFERROR(VALUE(SUBSTITUTE(SUBSTITUTE(INDEX('Etsy Import'!$A:$CZ,219,Settings!$C$25)&amp;"","$",""),",","")),0)/IF(Settings!$B$27="Yes",G219,1))</f>
        <v/>
      </c>
      <c r="I219" s="11">
        <f>IF(A219="","",IFERROR(VALUE(SUBSTITUTE(SUBSTITUTE(INDEX('Etsy Import'!$A:$CZ,219,Settings!$C$26)&amp;"","$",""),",","")),0)/IF(Settings!$B$27="Yes",G219,1))</f>
        <v/>
      </c>
      <c r="J219" s="11">
        <f>IF(A219="","",F219+H219-I219)</f>
        <v/>
      </c>
      <c r="K219">
        <f>IF(A219="","",IFERROR(IF(B219="",NA(),MATCH(B219,Products!$B$5:$B$204,0)),IFERROR(MATCH(A219,Products!$A$5:$A$204,0),"")))</f>
        <v/>
      </c>
      <c r="L219">
        <f>IF(A219="","",IF(K219="","⚠ not in Products",INDEX(Products!$A$5:$A$204,K219)))</f>
        <v/>
      </c>
      <c r="M219" s="11">
        <f>IF(A219="","",J219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219+IFERROR(INDEX(Settings!$D$5:$D$9,MATCH("Etsy",Settings!$A$5:$A$9,0)),0)*D219)</f>
        <v/>
      </c>
      <c r="N219" s="11">
        <f>IF(A219="","",IF(K219="",0,D219*INDEX(Products!$I$5:$I$204,K219)))</f>
        <v/>
      </c>
      <c r="O219" s="11">
        <f>IF(A219="","",IF(K219="",0,J219*INDEX(Products!$H$5:$H$204,K219)))</f>
        <v/>
      </c>
      <c r="P219" s="11">
        <f>IF(A219="","",J219-M219-N219-O219)</f>
        <v/>
      </c>
    </row>
    <row r="220">
      <c r="A220">
        <f>IFERROR(INDEX('Etsy Import'!$A:$CZ,220,Settings!$C$20)&amp;"","")</f>
        <v/>
      </c>
      <c r="B220">
        <f>IFERROR(INDEX('Etsy Import'!$A:$CZ,220,Settings!$C$21)&amp;"","")</f>
        <v/>
      </c>
      <c r="C220">
        <f>IFERROR(INDEX('Etsy Import'!$A:$CZ,220,Settings!$C$22)&amp;"","")</f>
        <v/>
      </c>
      <c r="D220">
        <f>IF(A220="","",IFERROR(VALUE(SUBSTITUTE(SUBSTITUTE(INDEX('Etsy Import'!$A:$CZ,220,Settings!$C$23)&amp;"","$",""),",","")),0))</f>
        <v/>
      </c>
      <c r="E220" s="11">
        <f>IF(A220="","",IFERROR(VALUE(SUBSTITUTE(SUBSTITUTE(INDEX('Etsy Import'!$A:$CZ,220,Settings!$C$24)&amp;"","$",""),",","")),0))</f>
        <v/>
      </c>
      <c r="F220" s="11">
        <f>IF(A220="","",D220*E220)</f>
        <v/>
      </c>
      <c r="G220">
        <f>IF(A220="","",IF(C220="",1,COUNTIF($C$2:$C$1501,C220)))</f>
        <v/>
      </c>
      <c r="H220" s="11">
        <f>IF(A220="","",IFERROR(VALUE(SUBSTITUTE(SUBSTITUTE(INDEX('Etsy Import'!$A:$CZ,220,Settings!$C$25)&amp;"","$",""),",","")),0)/IF(Settings!$B$27="Yes",G220,1))</f>
        <v/>
      </c>
      <c r="I220" s="11">
        <f>IF(A220="","",IFERROR(VALUE(SUBSTITUTE(SUBSTITUTE(INDEX('Etsy Import'!$A:$CZ,220,Settings!$C$26)&amp;"","$",""),",","")),0)/IF(Settings!$B$27="Yes",G220,1))</f>
        <v/>
      </c>
      <c r="J220" s="11">
        <f>IF(A220="","",F220+H220-I220)</f>
        <v/>
      </c>
      <c r="K220">
        <f>IF(A220="","",IFERROR(IF(B220="",NA(),MATCH(B220,Products!$B$5:$B$204,0)),IFERROR(MATCH(A220,Products!$A$5:$A$204,0),"")))</f>
        <v/>
      </c>
      <c r="L220">
        <f>IF(A220="","",IF(K220="","⚠ not in Products",INDEX(Products!$A$5:$A$204,K220)))</f>
        <v/>
      </c>
      <c r="M220" s="11">
        <f>IF(A220="","",J220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220+IFERROR(INDEX(Settings!$D$5:$D$9,MATCH("Etsy",Settings!$A$5:$A$9,0)),0)*D220)</f>
        <v/>
      </c>
      <c r="N220" s="11">
        <f>IF(A220="","",IF(K220="",0,D220*INDEX(Products!$I$5:$I$204,K220)))</f>
        <v/>
      </c>
      <c r="O220" s="11">
        <f>IF(A220="","",IF(K220="",0,J220*INDEX(Products!$H$5:$H$204,K220)))</f>
        <v/>
      </c>
      <c r="P220" s="11">
        <f>IF(A220="","",J220-M220-N220-O220)</f>
        <v/>
      </c>
    </row>
    <row r="221">
      <c r="A221">
        <f>IFERROR(INDEX('Etsy Import'!$A:$CZ,221,Settings!$C$20)&amp;"","")</f>
        <v/>
      </c>
      <c r="B221">
        <f>IFERROR(INDEX('Etsy Import'!$A:$CZ,221,Settings!$C$21)&amp;"","")</f>
        <v/>
      </c>
      <c r="C221">
        <f>IFERROR(INDEX('Etsy Import'!$A:$CZ,221,Settings!$C$22)&amp;"","")</f>
        <v/>
      </c>
      <c r="D221">
        <f>IF(A221="","",IFERROR(VALUE(SUBSTITUTE(SUBSTITUTE(INDEX('Etsy Import'!$A:$CZ,221,Settings!$C$23)&amp;"","$",""),",","")),0))</f>
        <v/>
      </c>
      <c r="E221" s="11">
        <f>IF(A221="","",IFERROR(VALUE(SUBSTITUTE(SUBSTITUTE(INDEX('Etsy Import'!$A:$CZ,221,Settings!$C$24)&amp;"","$",""),",","")),0))</f>
        <v/>
      </c>
      <c r="F221" s="11">
        <f>IF(A221="","",D221*E221)</f>
        <v/>
      </c>
      <c r="G221">
        <f>IF(A221="","",IF(C221="",1,COUNTIF($C$2:$C$1501,C221)))</f>
        <v/>
      </c>
      <c r="H221" s="11">
        <f>IF(A221="","",IFERROR(VALUE(SUBSTITUTE(SUBSTITUTE(INDEX('Etsy Import'!$A:$CZ,221,Settings!$C$25)&amp;"","$",""),",","")),0)/IF(Settings!$B$27="Yes",G221,1))</f>
        <v/>
      </c>
      <c r="I221" s="11">
        <f>IF(A221="","",IFERROR(VALUE(SUBSTITUTE(SUBSTITUTE(INDEX('Etsy Import'!$A:$CZ,221,Settings!$C$26)&amp;"","$",""),",","")),0)/IF(Settings!$B$27="Yes",G221,1))</f>
        <v/>
      </c>
      <c r="J221" s="11">
        <f>IF(A221="","",F221+H221-I221)</f>
        <v/>
      </c>
      <c r="K221">
        <f>IF(A221="","",IFERROR(IF(B221="",NA(),MATCH(B221,Products!$B$5:$B$204,0)),IFERROR(MATCH(A221,Products!$A$5:$A$204,0),"")))</f>
        <v/>
      </c>
      <c r="L221">
        <f>IF(A221="","",IF(K221="","⚠ not in Products",INDEX(Products!$A$5:$A$204,K221)))</f>
        <v/>
      </c>
      <c r="M221" s="11">
        <f>IF(A221="","",J221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221+IFERROR(INDEX(Settings!$D$5:$D$9,MATCH("Etsy",Settings!$A$5:$A$9,0)),0)*D221)</f>
        <v/>
      </c>
      <c r="N221" s="11">
        <f>IF(A221="","",IF(K221="",0,D221*INDEX(Products!$I$5:$I$204,K221)))</f>
        <v/>
      </c>
      <c r="O221" s="11">
        <f>IF(A221="","",IF(K221="",0,J221*INDEX(Products!$H$5:$H$204,K221)))</f>
        <v/>
      </c>
      <c r="P221" s="11">
        <f>IF(A221="","",J221-M221-N221-O221)</f>
        <v/>
      </c>
    </row>
    <row r="222">
      <c r="A222">
        <f>IFERROR(INDEX('Etsy Import'!$A:$CZ,222,Settings!$C$20)&amp;"","")</f>
        <v/>
      </c>
      <c r="B222">
        <f>IFERROR(INDEX('Etsy Import'!$A:$CZ,222,Settings!$C$21)&amp;"","")</f>
        <v/>
      </c>
      <c r="C222">
        <f>IFERROR(INDEX('Etsy Import'!$A:$CZ,222,Settings!$C$22)&amp;"","")</f>
        <v/>
      </c>
      <c r="D222">
        <f>IF(A222="","",IFERROR(VALUE(SUBSTITUTE(SUBSTITUTE(INDEX('Etsy Import'!$A:$CZ,222,Settings!$C$23)&amp;"","$",""),",","")),0))</f>
        <v/>
      </c>
      <c r="E222" s="11">
        <f>IF(A222="","",IFERROR(VALUE(SUBSTITUTE(SUBSTITUTE(INDEX('Etsy Import'!$A:$CZ,222,Settings!$C$24)&amp;"","$",""),",","")),0))</f>
        <v/>
      </c>
      <c r="F222" s="11">
        <f>IF(A222="","",D222*E222)</f>
        <v/>
      </c>
      <c r="G222">
        <f>IF(A222="","",IF(C222="",1,COUNTIF($C$2:$C$1501,C222)))</f>
        <v/>
      </c>
      <c r="H222" s="11">
        <f>IF(A222="","",IFERROR(VALUE(SUBSTITUTE(SUBSTITUTE(INDEX('Etsy Import'!$A:$CZ,222,Settings!$C$25)&amp;"","$",""),",","")),0)/IF(Settings!$B$27="Yes",G222,1))</f>
        <v/>
      </c>
      <c r="I222" s="11">
        <f>IF(A222="","",IFERROR(VALUE(SUBSTITUTE(SUBSTITUTE(INDEX('Etsy Import'!$A:$CZ,222,Settings!$C$26)&amp;"","$",""),",","")),0)/IF(Settings!$B$27="Yes",G222,1))</f>
        <v/>
      </c>
      <c r="J222" s="11">
        <f>IF(A222="","",F222+H222-I222)</f>
        <v/>
      </c>
      <c r="K222">
        <f>IF(A222="","",IFERROR(IF(B222="",NA(),MATCH(B222,Products!$B$5:$B$204,0)),IFERROR(MATCH(A222,Products!$A$5:$A$204,0),"")))</f>
        <v/>
      </c>
      <c r="L222">
        <f>IF(A222="","",IF(K222="","⚠ not in Products",INDEX(Products!$A$5:$A$204,K222)))</f>
        <v/>
      </c>
      <c r="M222" s="11">
        <f>IF(A222="","",J222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222+IFERROR(INDEX(Settings!$D$5:$D$9,MATCH("Etsy",Settings!$A$5:$A$9,0)),0)*D222)</f>
        <v/>
      </c>
      <c r="N222" s="11">
        <f>IF(A222="","",IF(K222="",0,D222*INDEX(Products!$I$5:$I$204,K222)))</f>
        <v/>
      </c>
      <c r="O222" s="11">
        <f>IF(A222="","",IF(K222="",0,J222*INDEX(Products!$H$5:$H$204,K222)))</f>
        <v/>
      </c>
      <c r="P222" s="11">
        <f>IF(A222="","",J222-M222-N222-O222)</f>
        <v/>
      </c>
    </row>
    <row r="223">
      <c r="A223">
        <f>IFERROR(INDEX('Etsy Import'!$A:$CZ,223,Settings!$C$20)&amp;"","")</f>
        <v/>
      </c>
      <c r="B223">
        <f>IFERROR(INDEX('Etsy Import'!$A:$CZ,223,Settings!$C$21)&amp;"","")</f>
        <v/>
      </c>
      <c r="C223">
        <f>IFERROR(INDEX('Etsy Import'!$A:$CZ,223,Settings!$C$22)&amp;"","")</f>
        <v/>
      </c>
      <c r="D223">
        <f>IF(A223="","",IFERROR(VALUE(SUBSTITUTE(SUBSTITUTE(INDEX('Etsy Import'!$A:$CZ,223,Settings!$C$23)&amp;"","$",""),",","")),0))</f>
        <v/>
      </c>
      <c r="E223" s="11">
        <f>IF(A223="","",IFERROR(VALUE(SUBSTITUTE(SUBSTITUTE(INDEX('Etsy Import'!$A:$CZ,223,Settings!$C$24)&amp;"","$",""),",","")),0))</f>
        <v/>
      </c>
      <c r="F223" s="11">
        <f>IF(A223="","",D223*E223)</f>
        <v/>
      </c>
      <c r="G223">
        <f>IF(A223="","",IF(C223="",1,COUNTIF($C$2:$C$1501,C223)))</f>
        <v/>
      </c>
      <c r="H223" s="11">
        <f>IF(A223="","",IFERROR(VALUE(SUBSTITUTE(SUBSTITUTE(INDEX('Etsy Import'!$A:$CZ,223,Settings!$C$25)&amp;"","$",""),",","")),0)/IF(Settings!$B$27="Yes",G223,1))</f>
        <v/>
      </c>
      <c r="I223" s="11">
        <f>IF(A223="","",IFERROR(VALUE(SUBSTITUTE(SUBSTITUTE(INDEX('Etsy Import'!$A:$CZ,223,Settings!$C$26)&amp;"","$",""),",","")),0)/IF(Settings!$B$27="Yes",G223,1))</f>
        <v/>
      </c>
      <c r="J223" s="11">
        <f>IF(A223="","",F223+H223-I223)</f>
        <v/>
      </c>
      <c r="K223">
        <f>IF(A223="","",IFERROR(IF(B223="",NA(),MATCH(B223,Products!$B$5:$B$204,0)),IFERROR(MATCH(A223,Products!$A$5:$A$204,0),"")))</f>
        <v/>
      </c>
      <c r="L223">
        <f>IF(A223="","",IF(K223="","⚠ not in Products",INDEX(Products!$A$5:$A$204,K223)))</f>
        <v/>
      </c>
      <c r="M223" s="11">
        <f>IF(A223="","",J223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223+IFERROR(INDEX(Settings!$D$5:$D$9,MATCH("Etsy",Settings!$A$5:$A$9,0)),0)*D223)</f>
        <v/>
      </c>
      <c r="N223" s="11">
        <f>IF(A223="","",IF(K223="",0,D223*INDEX(Products!$I$5:$I$204,K223)))</f>
        <v/>
      </c>
      <c r="O223" s="11">
        <f>IF(A223="","",IF(K223="",0,J223*INDEX(Products!$H$5:$H$204,K223)))</f>
        <v/>
      </c>
      <c r="P223" s="11">
        <f>IF(A223="","",J223-M223-N223-O223)</f>
        <v/>
      </c>
    </row>
    <row r="224">
      <c r="A224">
        <f>IFERROR(INDEX('Etsy Import'!$A:$CZ,224,Settings!$C$20)&amp;"","")</f>
        <v/>
      </c>
      <c r="B224">
        <f>IFERROR(INDEX('Etsy Import'!$A:$CZ,224,Settings!$C$21)&amp;"","")</f>
        <v/>
      </c>
      <c r="C224">
        <f>IFERROR(INDEX('Etsy Import'!$A:$CZ,224,Settings!$C$22)&amp;"","")</f>
        <v/>
      </c>
      <c r="D224">
        <f>IF(A224="","",IFERROR(VALUE(SUBSTITUTE(SUBSTITUTE(INDEX('Etsy Import'!$A:$CZ,224,Settings!$C$23)&amp;"","$",""),",","")),0))</f>
        <v/>
      </c>
      <c r="E224" s="11">
        <f>IF(A224="","",IFERROR(VALUE(SUBSTITUTE(SUBSTITUTE(INDEX('Etsy Import'!$A:$CZ,224,Settings!$C$24)&amp;"","$",""),",","")),0))</f>
        <v/>
      </c>
      <c r="F224" s="11">
        <f>IF(A224="","",D224*E224)</f>
        <v/>
      </c>
      <c r="G224">
        <f>IF(A224="","",IF(C224="",1,COUNTIF($C$2:$C$1501,C224)))</f>
        <v/>
      </c>
      <c r="H224" s="11">
        <f>IF(A224="","",IFERROR(VALUE(SUBSTITUTE(SUBSTITUTE(INDEX('Etsy Import'!$A:$CZ,224,Settings!$C$25)&amp;"","$",""),",","")),0)/IF(Settings!$B$27="Yes",G224,1))</f>
        <v/>
      </c>
      <c r="I224" s="11">
        <f>IF(A224="","",IFERROR(VALUE(SUBSTITUTE(SUBSTITUTE(INDEX('Etsy Import'!$A:$CZ,224,Settings!$C$26)&amp;"","$",""),",","")),0)/IF(Settings!$B$27="Yes",G224,1))</f>
        <v/>
      </c>
      <c r="J224" s="11">
        <f>IF(A224="","",F224+H224-I224)</f>
        <v/>
      </c>
      <c r="K224">
        <f>IF(A224="","",IFERROR(IF(B224="",NA(),MATCH(B224,Products!$B$5:$B$204,0)),IFERROR(MATCH(A224,Products!$A$5:$A$204,0),"")))</f>
        <v/>
      </c>
      <c r="L224">
        <f>IF(A224="","",IF(K224="","⚠ not in Products",INDEX(Products!$A$5:$A$204,K224)))</f>
        <v/>
      </c>
      <c r="M224" s="11">
        <f>IF(A224="","",J224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224+IFERROR(INDEX(Settings!$D$5:$D$9,MATCH("Etsy",Settings!$A$5:$A$9,0)),0)*D224)</f>
        <v/>
      </c>
      <c r="N224" s="11">
        <f>IF(A224="","",IF(K224="",0,D224*INDEX(Products!$I$5:$I$204,K224)))</f>
        <v/>
      </c>
      <c r="O224" s="11">
        <f>IF(A224="","",IF(K224="",0,J224*INDEX(Products!$H$5:$H$204,K224)))</f>
        <v/>
      </c>
      <c r="P224" s="11">
        <f>IF(A224="","",J224-M224-N224-O224)</f>
        <v/>
      </c>
    </row>
    <row r="225">
      <c r="A225">
        <f>IFERROR(INDEX('Etsy Import'!$A:$CZ,225,Settings!$C$20)&amp;"","")</f>
        <v/>
      </c>
      <c r="B225">
        <f>IFERROR(INDEX('Etsy Import'!$A:$CZ,225,Settings!$C$21)&amp;"","")</f>
        <v/>
      </c>
      <c r="C225">
        <f>IFERROR(INDEX('Etsy Import'!$A:$CZ,225,Settings!$C$22)&amp;"","")</f>
        <v/>
      </c>
      <c r="D225">
        <f>IF(A225="","",IFERROR(VALUE(SUBSTITUTE(SUBSTITUTE(INDEX('Etsy Import'!$A:$CZ,225,Settings!$C$23)&amp;"","$",""),",","")),0))</f>
        <v/>
      </c>
      <c r="E225" s="11">
        <f>IF(A225="","",IFERROR(VALUE(SUBSTITUTE(SUBSTITUTE(INDEX('Etsy Import'!$A:$CZ,225,Settings!$C$24)&amp;"","$",""),",","")),0))</f>
        <v/>
      </c>
      <c r="F225" s="11">
        <f>IF(A225="","",D225*E225)</f>
        <v/>
      </c>
      <c r="G225">
        <f>IF(A225="","",IF(C225="",1,COUNTIF($C$2:$C$1501,C225)))</f>
        <v/>
      </c>
      <c r="H225" s="11">
        <f>IF(A225="","",IFERROR(VALUE(SUBSTITUTE(SUBSTITUTE(INDEX('Etsy Import'!$A:$CZ,225,Settings!$C$25)&amp;"","$",""),",","")),0)/IF(Settings!$B$27="Yes",G225,1))</f>
        <v/>
      </c>
      <c r="I225" s="11">
        <f>IF(A225="","",IFERROR(VALUE(SUBSTITUTE(SUBSTITUTE(INDEX('Etsy Import'!$A:$CZ,225,Settings!$C$26)&amp;"","$",""),",","")),0)/IF(Settings!$B$27="Yes",G225,1))</f>
        <v/>
      </c>
      <c r="J225" s="11">
        <f>IF(A225="","",F225+H225-I225)</f>
        <v/>
      </c>
      <c r="K225">
        <f>IF(A225="","",IFERROR(IF(B225="",NA(),MATCH(B225,Products!$B$5:$B$204,0)),IFERROR(MATCH(A225,Products!$A$5:$A$204,0),"")))</f>
        <v/>
      </c>
      <c r="L225">
        <f>IF(A225="","",IF(K225="","⚠ not in Products",INDEX(Products!$A$5:$A$204,K225)))</f>
        <v/>
      </c>
      <c r="M225" s="11">
        <f>IF(A225="","",J225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225+IFERROR(INDEX(Settings!$D$5:$D$9,MATCH("Etsy",Settings!$A$5:$A$9,0)),0)*D225)</f>
        <v/>
      </c>
      <c r="N225" s="11">
        <f>IF(A225="","",IF(K225="",0,D225*INDEX(Products!$I$5:$I$204,K225)))</f>
        <v/>
      </c>
      <c r="O225" s="11">
        <f>IF(A225="","",IF(K225="",0,J225*INDEX(Products!$H$5:$H$204,K225)))</f>
        <v/>
      </c>
      <c r="P225" s="11">
        <f>IF(A225="","",J225-M225-N225-O225)</f>
        <v/>
      </c>
    </row>
    <row r="226">
      <c r="A226">
        <f>IFERROR(INDEX('Etsy Import'!$A:$CZ,226,Settings!$C$20)&amp;"","")</f>
        <v/>
      </c>
      <c r="B226">
        <f>IFERROR(INDEX('Etsy Import'!$A:$CZ,226,Settings!$C$21)&amp;"","")</f>
        <v/>
      </c>
      <c r="C226">
        <f>IFERROR(INDEX('Etsy Import'!$A:$CZ,226,Settings!$C$22)&amp;"","")</f>
        <v/>
      </c>
      <c r="D226">
        <f>IF(A226="","",IFERROR(VALUE(SUBSTITUTE(SUBSTITUTE(INDEX('Etsy Import'!$A:$CZ,226,Settings!$C$23)&amp;"","$",""),",","")),0))</f>
        <v/>
      </c>
      <c r="E226" s="11">
        <f>IF(A226="","",IFERROR(VALUE(SUBSTITUTE(SUBSTITUTE(INDEX('Etsy Import'!$A:$CZ,226,Settings!$C$24)&amp;"","$",""),",","")),0))</f>
        <v/>
      </c>
      <c r="F226" s="11">
        <f>IF(A226="","",D226*E226)</f>
        <v/>
      </c>
      <c r="G226">
        <f>IF(A226="","",IF(C226="",1,COUNTIF($C$2:$C$1501,C226)))</f>
        <v/>
      </c>
      <c r="H226" s="11">
        <f>IF(A226="","",IFERROR(VALUE(SUBSTITUTE(SUBSTITUTE(INDEX('Etsy Import'!$A:$CZ,226,Settings!$C$25)&amp;"","$",""),",","")),0)/IF(Settings!$B$27="Yes",G226,1))</f>
        <v/>
      </c>
      <c r="I226" s="11">
        <f>IF(A226="","",IFERROR(VALUE(SUBSTITUTE(SUBSTITUTE(INDEX('Etsy Import'!$A:$CZ,226,Settings!$C$26)&amp;"","$",""),",","")),0)/IF(Settings!$B$27="Yes",G226,1))</f>
        <v/>
      </c>
      <c r="J226" s="11">
        <f>IF(A226="","",F226+H226-I226)</f>
        <v/>
      </c>
      <c r="K226">
        <f>IF(A226="","",IFERROR(IF(B226="",NA(),MATCH(B226,Products!$B$5:$B$204,0)),IFERROR(MATCH(A226,Products!$A$5:$A$204,0),"")))</f>
        <v/>
      </c>
      <c r="L226">
        <f>IF(A226="","",IF(K226="","⚠ not in Products",INDEX(Products!$A$5:$A$204,K226)))</f>
        <v/>
      </c>
      <c r="M226" s="11">
        <f>IF(A226="","",J226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226+IFERROR(INDEX(Settings!$D$5:$D$9,MATCH("Etsy",Settings!$A$5:$A$9,0)),0)*D226)</f>
        <v/>
      </c>
      <c r="N226" s="11">
        <f>IF(A226="","",IF(K226="",0,D226*INDEX(Products!$I$5:$I$204,K226)))</f>
        <v/>
      </c>
      <c r="O226" s="11">
        <f>IF(A226="","",IF(K226="",0,J226*INDEX(Products!$H$5:$H$204,K226)))</f>
        <v/>
      </c>
      <c r="P226" s="11">
        <f>IF(A226="","",J226-M226-N226-O226)</f>
        <v/>
      </c>
    </row>
    <row r="227">
      <c r="A227">
        <f>IFERROR(INDEX('Etsy Import'!$A:$CZ,227,Settings!$C$20)&amp;"","")</f>
        <v/>
      </c>
      <c r="B227">
        <f>IFERROR(INDEX('Etsy Import'!$A:$CZ,227,Settings!$C$21)&amp;"","")</f>
        <v/>
      </c>
      <c r="C227">
        <f>IFERROR(INDEX('Etsy Import'!$A:$CZ,227,Settings!$C$22)&amp;"","")</f>
        <v/>
      </c>
      <c r="D227">
        <f>IF(A227="","",IFERROR(VALUE(SUBSTITUTE(SUBSTITUTE(INDEX('Etsy Import'!$A:$CZ,227,Settings!$C$23)&amp;"","$",""),",","")),0))</f>
        <v/>
      </c>
      <c r="E227" s="11">
        <f>IF(A227="","",IFERROR(VALUE(SUBSTITUTE(SUBSTITUTE(INDEX('Etsy Import'!$A:$CZ,227,Settings!$C$24)&amp;"","$",""),",","")),0))</f>
        <v/>
      </c>
      <c r="F227" s="11">
        <f>IF(A227="","",D227*E227)</f>
        <v/>
      </c>
      <c r="G227">
        <f>IF(A227="","",IF(C227="",1,COUNTIF($C$2:$C$1501,C227)))</f>
        <v/>
      </c>
      <c r="H227" s="11">
        <f>IF(A227="","",IFERROR(VALUE(SUBSTITUTE(SUBSTITUTE(INDEX('Etsy Import'!$A:$CZ,227,Settings!$C$25)&amp;"","$",""),",","")),0)/IF(Settings!$B$27="Yes",G227,1))</f>
        <v/>
      </c>
      <c r="I227" s="11">
        <f>IF(A227="","",IFERROR(VALUE(SUBSTITUTE(SUBSTITUTE(INDEX('Etsy Import'!$A:$CZ,227,Settings!$C$26)&amp;"","$",""),",","")),0)/IF(Settings!$B$27="Yes",G227,1))</f>
        <v/>
      </c>
      <c r="J227" s="11">
        <f>IF(A227="","",F227+H227-I227)</f>
        <v/>
      </c>
      <c r="K227">
        <f>IF(A227="","",IFERROR(IF(B227="",NA(),MATCH(B227,Products!$B$5:$B$204,0)),IFERROR(MATCH(A227,Products!$A$5:$A$204,0),"")))</f>
        <v/>
      </c>
      <c r="L227">
        <f>IF(A227="","",IF(K227="","⚠ not in Products",INDEX(Products!$A$5:$A$204,K227)))</f>
        <v/>
      </c>
      <c r="M227" s="11">
        <f>IF(A227="","",J227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227+IFERROR(INDEX(Settings!$D$5:$D$9,MATCH("Etsy",Settings!$A$5:$A$9,0)),0)*D227)</f>
        <v/>
      </c>
      <c r="N227" s="11">
        <f>IF(A227="","",IF(K227="",0,D227*INDEX(Products!$I$5:$I$204,K227)))</f>
        <v/>
      </c>
      <c r="O227" s="11">
        <f>IF(A227="","",IF(K227="",0,J227*INDEX(Products!$H$5:$H$204,K227)))</f>
        <v/>
      </c>
      <c r="P227" s="11">
        <f>IF(A227="","",J227-M227-N227-O227)</f>
        <v/>
      </c>
    </row>
    <row r="228">
      <c r="A228">
        <f>IFERROR(INDEX('Etsy Import'!$A:$CZ,228,Settings!$C$20)&amp;"","")</f>
        <v/>
      </c>
      <c r="B228">
        <f>IFERROR(INDEX('Etsy Import'!$A:$CZ,228,Settings!$C$21)&amp;"","")</f>
        <v/>
      </c>
      <c r="C228">
        <f>IFERROR(INDEX('Etsy Import'!$A:$CZ,228,Settings!$C$22)&amp;"","")</f>
        <v/>
      </c>
      <c r="D228">
        <f>IF(A228="","",IFERROR(VALUE(SUBSTITUTE(SUBSTITUTE(INDEX('Etsy Import'!$A:$CZ,228,Settings!$C$23)&amp;"","$",""),",","")),0))</f>
        <v/>
      </c>
      <c r="E228" s="11">
        <f>IF(A228="","",IFERROR(VALUE(SUBSTITUTE(SUBSTITUTE(INDEX('Etsy Import'!$A:$CZ,228,Settings!$C$24)&amp;"","$",""),",","")),0))</f>
        <v/>
      </c>
      <c r="F228" s="11">
        <f>IF(A228="","",D228*E228)</f>
        <v/>
      </c>
      <c r="G228">
        <f>IF(A228="","",IF(C228="",1,COUNTIF($C$2:$C$1501,C228)))</f>
        <v/>
      </c>
      <c r="H228" s="11">
        <f>IF(A228="","",IFERROR(VALUE(SUBSTITUTE(SUBSTITUTE(INDEX('Etsy Import'!$A:$CZ,228,Settings!$C$25)&amp;"","$",""),",","")),0)/IF(Settings!$B$27="Yes",G228,1))</f>
        <v/>
      </c>
      <c r="I228" s="11">
        <f>IF(A228="","",IFERROR(VALUE(SUBSTITUTE(SUBSTITUTE(INDEX('Etsy Import'!$A:$CZ,228,Settings!$C$26)&amp;"","$",""),",","")),0)/IF(Settings!$B$27="Yes",G228,1))</f>
        <v/>
      </c>
      <c r="J228" s="11">
        <f>IF(A228="","",F228+H228-I228)</f>
        <v/>
      </c>
      <c r="K228">
        <f>IF(A228="","",IFERROR(IF(B228="",NA(),MATCH(B228,Products!$B$5:$B$204,0)),IFERROR(MATCH(A228,Products!$A$5:$A$204,0),"")))</f>
        <v/>
      </c>
      <c r="L228">
        <f>IF(A228="","",IF(K228="","⚠ not in Products",INDEX(Products!$A$5:$A$204,K228)))</f>
        <v/>
      </c>
      <c r="M228" s="11">
        <f>IF(A228="","",J228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228+IFERROR(INDEX(Settings!$D$5:$D$9,MATCH("Etsy",Settings!$A$5:$A$9,0)),0)*D228)</f>
        <v/>
      </c>
      <c r="N228" s="11">
        <f>IF(A228="","",IF(K228="",0,D228*INDEX(Products!$I$5:$I$204,K228)))</f>
        <v/>
      </c>
      <c r="O228" s="11">
        <f>IF(A228="","",IF(K228="",0,J228*INDEX(Products!$H$5:$H$204,K228)))</f>
        <v/>
      </c>
      <c r="P228" s="11">
        <f>IF(A228="","",J228-M228-N228-O228)</f>
        <v/>
      </c>
    </row>
    <row r="229">
      <c r="A229">
        <f>IFERROR(INDEX('Etsy Import'!$A:$CZ,229,Settings!$C$20)&amp;"","")</f>
        <v/>
      </c>
      <c r="B229">
        <f>IFERROR(INDEX('Etsy Import'!$A:$CZ,229,Settings!$C$21)&amp;"","")</f>
        <v/>
      </c>
      <c r="C229">
        <f>IFERROR(INDEX('Etsy Import'!$A:$CZ,229,Settings!$C$22)&amp;"","")</f>
        <v/>
      </c>
      <c r="D229">
        <f>IF(A229="","",IFERROR(VALUE(SUBSTITUTE(SUBSTITUTE(INDEX('Etsy Import'!$A:$CZ,229,Settings!$C$23)&amp;"","$",""),",","")),0))</f>
        <v/>
      </c>
      <c r="E229" s="11">
        <f>IF(A229="","",IFERROR(VALUE(SUBSTITUTE(SUBSTITUTE(INDEX('Etsy Import'!$A:$CZ,229,Settings!$C$24)&amp;"","$",""),",","")),0))</f>
        <v/>
      </c>
      <c r="F229" s="11">
        <f>IF(A229="","",D229*E229)</f>
        <v/>
      </c>
      <c r="G229">
        <f>IF(A229="","",IF(C229="",1,COUNTIF($C$2:$C$1501,C229)))</f>
        <v/>
      </c>
      <c r="H229" s="11">
        <f>IF(A229="","",IFERROR(VALUE(SUBSTITUTE(SUBSTITUTE(INDEX('Etsy Import'!$A:$CZ,229,Settings!$C$25)&amp;"","$",""),",","")),0)/IF(Settings!$B$27="Yes",G229,1))</f>
        <v/>
      </c>
      <c r="I229" s="11">
        <f>IF(A229="","",IFERROR(VALUE(SUBSTITUTE(SUBSTITUTE(INDEX('Etsy Import'!$A:$CZ,229,Settings!$C$26)&amp;"","$",""),",","")),0)/IF(Settings!$B$27="Yes",G229,1))</f>
        <v/>
      </c>
      <c r="J229" s="11">
        <f>IF(A229="","",F229+H229-I229)</f>
        <v/>
      </c>
      <c r="K229">
        <f>IF(A229="","",IFERROR(IF(B229="",NA(),MATCH(B229,Products!$B$5:$B$204,0)),IFERROR(MATCH(A229,Products!$A$5:$A$204,0),"")))</f>
        <v/>
      </c>
      <c r="L229">
        <f>IF(A229="","",IF(K229="","⚠ not in Products",INDEX(Products!$A$5:$A$204,K229)))</f>
        <v/>
      </c>
      <c r="M229" s="11">
        <f>IF(A229="","",J229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229+IFERROR(INDEX(Settings!$D$5:$D$9,MATCH("Etsy",Settings!$A$5:$A$9,0)),0)*D229)</f>
        <v/>
      </c>
      <c r="N229" s="11">
        <f>IF(A229="","",IF(K229="",0,D229*INDEX(Products!$I$5:$I$204,K229)))</f>
        <v/>
      </c>
      <c r="O229" s="11">
        <f>IF(A229="","",IF(K229="",0,J229*INDEX(Products!$H$5:$H$204,K229)))</f>
        <v/>
      </c>
      <c r="P229" s="11">
        <f>IF(A229="","",J229-M229-N229-O229)</f>
        <v/>
      </c>
    </row>
    <row r="230">
      <c r="A230">
        <f>IFERROR(INDEX('Etsy Import'!$A:$CZ,230,Settings!$C$20)&amp;"","")</f>
        <v/>
      </c>
      <c r="B230">
        <f>IFERROR(INDEX('Etsy Import'!$A:$CZ,230,Settings!$C$21)&amp;"","")</f>
        <v/>
      </c>
      <c r="C230">
        <f>IFERROR(INDEX('Etsy Import'!$A:$CZ,230,Settings!$C$22)&amp;"","")</f>
        <v/>
      </c>
      <c r="D230">
        <f>IF(A230="","",IFERROR(VALUE(SUBSTITUTE(SUBSTITUTE(INDEX('Etsy Import'!$A:$CZ,230,Settings!$C$23)&amp;"","$",""),",","")),0))</f>
        <v/>
      </c>
      <c r="E230" s="11">
        <f>IF(A230="","",IFERROR(VALUE(SUBSTITUTE(SUBSTITUTE(INDEX('Etsy Import'!$A:$CZ,230,Settings!$C$24)&amp;"","$",""),",","")),0))</f>
        <v/>
      </c>
      <c r="F230" s="11">
        <f>IF(A230="","",D230*E230)</f>
        <v/>
      </c>
      <c r="G230">
        <f>IF(A230="","",IF(C230="",1,COUNTIF($C$2:$C$1501,C230)))</f>
        <v/>
      </c>
      <c r="H230" s="11">
        <f>IF(A230="","",IFERROR(VALUE(SUBSTITUTE(SUBSTITUTE(INDEX('Etsy Import'!$A:$CZ,230,Settings!$C$25)&amp;"","$",""),",","")),0)/IF(Settings!$B$27="Yes",G230,1))</f>
        <v/>
      </c>
      <c r="I230" s="11">
        <f>IF(A230="","",IFERROR(VALUE(SUBSTITUTE(SUBSTITUTE(INDEX('Etsy Import'!$A:$CZ,230,Settings!$C$26)&amp;"","$",""),",","")),0)/IF(Settings!$B$27="Yes",G230,1))</f>
        <v/>
      </c>
      <c r="J230" s="11">
        <f>IF(A230="","",F230+H230-I230)</f>
        <v/>
      </c>
      <c r="K230">
        <f>IF(A230="","",IFERROR(IF(B230="",NA(),MATCH(B230,Products!$B$5:$B$204,0)),IFERROR(MATCH(A230,Products!$A$5:$A$204,0),"")))</f>
        <v/>
      </c>
      <c r="L230">
        <f>IF(A230="","",IF(K230="","⚠ not in Products",INDEX(Products!$A$5:$A$204,K230)))</f>
        <v/>
      </c>
      <c r="M230" s="11">
        <f>IF(A230="","",J230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230+IFERROR(INDEX(Settings!$D$5:$D$9,MATCH("Etsy",Settings!$A$5:$A$9,0)),0)*D230)</f>
        <v/>
      </c>
      <c r="N230" s="11">
        <f>IF(A230="","",IF(K230="",0,D230*INDEX(Products!$I$5:$I$204,K230)))</f>
        <v/>
      </c>
      <c r="O230" s="11">
        <f>IF(A230="","",IF(K230="",0,J230*INDEX(Products!$H$5:$H$204,K230)))</f>
        <v/>
      </c>
      <c r="P230" s="11">
        <f>IF(A230="","",J230-M230-N230-O230)</f>
        <v/>
      </c>
    </row>
    <row r="231">
      <c r="A231">
        <f>IFERROR(INDEX('Etsy Import'!$A:$CZ,231,Settings!$C$20)&amp;"","")</f>
        <v/>
      </c>
      <c r="B231">
        <f>IFERROR(INDEX('Etsy Import'!$A:$CZ,231,Settings!$C$21)&amp;"","")</f>
        <v/>
      </c>
      <c r="C231">
        <f>IFERROR(INDEX('Etsy Import'!$A:$CZ,231,Settings!$C$22)&amp;"","")</f>
        <v/>
      </c>
      <c r="D231">
        <f>IF(A231="","",IFERROR(VALUE(SUBSTITUTE(SUBSTITUTE(INDEX('Etsy Import'!$A:$CZ,231,Settings!$C$23)&amp;"","$",""),",","")),0))</f>
        <v/>
      </c>
      <c r="E231" s="11">
        <f>IF(A231="","",IFERROR(VALUE(SUBSTITUTE(SUBSTITUTE(INDEX('Etsy Import'!$A:$CZ,231,Settings!$C$24)&amp;"","$",""),",","")),0))</f>
        <v/>
      </c>
      <c r="F231" s="11">
        <f>IF(A231="","",D231*E231)</f>
        <v/>
      </c>
      <c r="G231">
        <f>IF(A231="","",IF(C231="",1,COUNTIF($C$2:$C$1501,C231)))</f>
        <v/>
      </c>
      <c r="H231" s="11">
        <f>IF(A231="","",IFERROR(VALUE(SUBSTITUTE(SUBSTITUTE(INDEX('Etsy Import'!$A:$CZ,231,Settings!$C$25)&amp;"","$",""),",","")),0)/IF(Settings!$B$27="Yes",G231,1))</f>
        <v/>
      </c>
      <c r="I231" s="11">
        <f>IF(A231="","",IFERROR(VALUE(SUBSTITUTE(SUBSTITUTE(INDEX('Etsy Import'!$A:$CZ,231,Settings!$C$26)&amp;"","$",""),",","")),0)/IF(Settings!$B$27="Yes",G231,1))</f>
        <v/>
      </c>
      <c r="J231" s="11">
        <f>IF(A231="","",F231+H231-I231)</f>
        <v/>
      </c>
      <c r="K231">
        <f>IF(A231="","",IFERROR(IF(B231="",NA(),MATCH(B231,Products!$B$5:$B$204,0)),IFERROR(MATCH(A231,Products!$A$5:$A$204,0),"")))</f>
        <v/>
      </c>
      <c r="L231">
        <f>IF(A231="","",IF(K231="","⚠ not in Products",INDEX(Products!$A$5:$A$204,K231)))</f>
        <v/>
      </c>
      <c r="M231" s="11">
        <f>IF(A231="","",J231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231+IFERROR(INDEX(Settings!$D$5:$D$9,MATCH("Etsy",Settings!$A$5:$A$9,0)),0)*D231)</f>
        <v/>
      </c>
      <c r="N231" s="11">
        <f>IF(A231="","",IF(K231="",0,D231*INDEX(Products!$I$5:$I$204,K231)))</f>
        <v/>
      </c>
      <c r="O231" s="11">
        <f>IF(A231="","",IF(K231="",0,J231*INDEX(Products!$H$5:$H$204,K231)))</f>
        <v/>
      </c>
      <c r="P231" s="11">
        <f>IF(A231="","",J231-M231-N231-O231)</f>
        <v/>
      </c>
    </row>
    <row r="232">
      <c r="A232">
        <f>IFERROR(INDEX('Etsy Import'!$A:$CZ,232,Settings!$C$20)&amp;"","")</f>
        <v/>
      </c>
      <c r="B232">
        <f>IFERROR(INDEX('Etsy Import'!$A:$CZ,232,Settings!$C$21)&amp;"","")</f>
        <v/>
      </c>
      <c r="C232">
        <f>IFERROR(INDEX('Etsy Import'!$A:$CZ,232,Settings!$C$22)&amp;"","")</f>
        <v/>
      </c>
      <c r="D232">
        <f>IF(A232="","",IFERROR(VALUE(SUBSTITUTE(SUBSTITUTE(INDEX('Etsy Import'!$A:$CZ,232,Settings!$C$23)&amp;"","$",""),",","")),0))</f>
        <v/>
      </c>
      <c r="E232" s="11">
        <f>IF(A232="","",IFERROR(VALUE(SUBSTITUTE(SUBSTITUTE(INDEX('Etsy Import'!$A:$CZ,232,Settings!$C$24)&amp;"","$",""),",","")),0))</f>
        <v/>
      </c>
      <c r="F232" s="11">
        <f>IF(A232="","",D232*E232)</f>
        <v/>
      </c>
      <c r="G232">
        <f>IF(A232="","",IF(C232="",1,COUNTIF($C$2:$C$1501,C232)))</f>
        <v/>
      </c>
      <c r="H232" s="11">
        <f>IF(A232="","",IFERROR(VALUE(SUBSTITUTE(SUBSTITUTE(INDEX('Etsy Import'!$A:$CZ,232,Settings!$C$25)&amp;"","$",""),",","")),0)/IF(Settings!$B$27="Yes",G232,1))</f>
        <v/>
      </c>
      <c r="I232" s="11">
        <f>IF(A232="","",IFERROR(VALUE(SUBSTITUTE(SUBSTITUTE(INDEX('Etsy Import'!$A:$CZ,232,Settings!$C$26)&amp;"","$",""),",","")),0)/IF(Settings!$B$27="Yes",G232,1))</f>
        <v/>
      </c>
      <c r="J232" s="11">
        <f>IF(A232="","",F232+H232-I232)</f>
        <v/>
      </c>
      <c r="K232">
        <f>IF(A232="","",IFERROR(IF(B232="",NA(),MATCH(B232,Products!$B$5:$B$204,0)),IFERROR(MATCH(A232,Products!$A$5:$A$204,0),"")))</f>
        <v/>
      </c>
      <c r="L232">
        <f>IF(A232="","",IF(K232="","⚠ not in Products",INDEX(Products!$A$5:$A$204,K232)))</f>
        <v/>
      </c>
      <c r="M232" s="11">
        <f>IF(A232="","",J232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232+IFERROR(INDEX(Settings!$D$5:$D$9,MATCH("Etsy",Settings!$A$5:$A$9,0)),0)*D232)</f>
        <v/>
      </c>
      <c r="N232" s="11">
        <f>IF(A232="","",IF(K232="",0,D232*INDEX(Products!$I$5:$I$204,K232)))</f>
        <v/>
      </c>
      <c r="O232" s="11">
        <f>IF(A232="","",IF(K232="",0,J232*INDEX(Products!$H$5:$H$204,K232)))</f>
        <v/>
      </c>
      <c r="P232" s="11">
        <f>IF(A232="","",J232-M232-N232-O232)</f>
        <v/>
      </c>
    </row>
    <row r="233">
      <c r="A233">
        <f>IFERROR(INDEX('Etsy Import'!$A:$CZ,233,Settings!$C$20)&amp;"","")</f>
        <v/>
      </c>
      <c r="B233">
        <f>IFERROR(INDEX('Etsy Import'!$A:$CZ,233,Settings!$C$21)&amp;"","")</f>
        <v/>
      </c>
      <c r="C233">
        <f>IFERROR(INDEX('Etsy Import'!$A:$CZ,233,Settings!$C$22)&amp;"","")</f>
        <v/>
      </c>
      <c r="D233">
        <f>IF(A233="","",IFERROR(VALUE(SUBSTITUTE(SUBSTITUTE(INDEX('Etsy Import'!$A:$CZ,233,Settings!$C$23)&amp;"","$",""),",","")),0))</f>
        <v/>
      </c>
      <c r="E233" s="11">
        <f>IF(A233="","",IFERROR(VALUE(SUBSTITUTE(SUBSTITUTE(INDEX('Etsy Import'!$A:$CZ,233,Settings!$C$24)&amp;"","$",""),",","")),0))</f>
        <v/>
      </c>
      <c r="F233" s="11">
        <f>IF(A233="","",D233*E233)</f>
        <v/>
      </c>
      <c r="G233">
        <f>IF(A233="","",IF(C233="",1,COUNTIF($C$2:$C$1501,C233)))</f>
        <v/>
      </c>
      <c r="H233" s="11">
        <f>IF(A233="","",IFERROR(VALUE(SUBSTITUTE(SUBSTITUTE(INDEX('Etsy Import'!$A:$CZ,233,Settings!$C$25)&amp;"","$",""),",","")),0)/IF(Settings!$B$27="Yes",G233,1))</f>
        <v/>
      </c>
      <c r="I233" s="11">
        <f>IF(A233="","",IFERROR(VALUE(SUBSTITUTE(SUBSTITUTE(INDEX('Etsy Import'!$A:$CZ,233,Settings!$C$26)&amp;"","$",""),",","")),0)/IF(Settings!$B$27="Yes",G233,1))</f>
        <v/>
      </c>
      <c r="J233" s="11">
        <f>IF(A233="","",F233+H233-I233)</f>
        <v/>
      </c>
      <c r="K233">
        <f>IF(A233="","",IFERROR(IF(B233="",NA(),MATCH(B233,Products!$B$5:$B$204,0)),IFERROR(MATCH(A233,Products!$A$5:$A$204,0),"")))</f>
        <v/>
      </c>
      <c r="L233">
        <f>IF(A233="","",IF(K233="","⚠ not in Products",INDEX(Products!$A$5:$A$204,K233)))</f>
        <v/>
      </c>
      <c r="M233" s="11">
        <f>IF(A233="","",J233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233+IFERROR(INDEX(Settings!$D$5:$D$9,MATCH("Etsy",Settings!$A$5:$A$9,0)),0)*D233)</f>
        <v/>
      </c>
      <c r="N233" s="11">
        <f>IF(A233="","",IF(K233="",0,D233*INDEX(Products!$I$5:$I$204,K233)))</f>
        <v/>
      </c>
      <c r="O233" s="11">
        <f>IF(A233="","",IF(K233="",0,J233*INDEX(Products!$H$5:$H$204,K233)))</f>
        <v/>
      </c>
      <c r="P233" s="11">
        <f>IF(A233="","",J233-M233-N233-O233)</f>
        <v/>
      </c>
    </row>
    <row r="234">
      <c r="A234">
        <f>IFERROR(INDEX('Etsy Import'!$A:$CZ,234,Settings!$C$20)&amp;"","")</f>
        <v/>
      </c>
      <c r="B234">
        <f>IFERROR(INDEX('Etsy Import'!$A:$CZ,234,Settings!$C$21)&amp;"","")</f>
        <v/>
      </c>
      <c r="C234">
        <f>IFERROR(INDEX('Etsy Import'!$A:$CZ,234,Settings!$C$22)&amp;"","")</f>
        <v/>
      </c>
      <c r="D234">
        <f>IF(A234="","",IFERROR(VALUE(SUBSTITUTE(SUBSTITUTE(INDEX('Etsy Import'!$A:$CZ,234,Settings!$C$23)&amp;"","$",""),",","")),0))</f>
        <v/>
      </c>
      <c r="E234" s="11">
        <f>IF(A234="","",IFERROR(VALUE(SUBSTITUTE(SUBSTITUTE(INDEX('Etsy Import'!$A:$CZ,234,Settings!$C$24)&amp;"","$",""),",","")),0))</f>
        <v/>
      </c>
      <c r="F234" s="11">
        <f>IF(A234="","",D234*E234)</f>
        <v/>
      </c>
      <c r="G234">
        <f>IF(A234="","",IF(C234="",1,COUNTIF($C$2:$C$1501,C234)))</f>
        <v/>
      </c>
      <c r="H234" s="11">
        <f>IF(A234="","",IFERROR(VALUE(SUBSTITUTE(SUBSTITUTE(INDEX('Etsy Import'!$A:$CZ,234,Settings!$C$25)&amp;"","$",""),",","")),0)/IF(Settings!$B$27="Yes",G234,1))</f>
        <v/>
      </c>
      <c r="I234" s="11">
        <f>IF(A234="","",IFERROR(VALUE(SUBSTITUTE(SUBSTITUTE(INDEX('Etsy Import'!$A:$CZ,234,Settings!$C$26)&amp;"","$",""),",","")),0)/IF(Settings!$B$27="Yes",G234,1))</f>
        <v/>
      </c>
      <c r="J234" s="11">
        <f>IF(A234="","",F234+H234-I234)</f>
        <v/>
      </c>
      <c r="K234">
        <f>IF(A234="","",IFERROR(IF(B234="",NA(),MATCH(B234,Products!$B$5:$B$204,0)),IFERROR(MATCH(A234,Products!$A$5:$A$204,0),"")))</f>
        <v/>
      </c>
      <c r="L234">
        <f>IF(A234="","",IF(K234="","⚠ not in Products",INDEX(Products!$A$5:$A$204,K234)))</f>
        <v/>
      </c>
      <c r="M234" s="11">
        <f>IF(A234="","",J234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234+IFERROR(INDEX(Settings!$D$5:$D$9,MATCH("Etsy",Settings!$A$5:$A$9,0)),0)*D234)</f>
        <v/>
      </c>
      <c r="N234" s="11">
        <f>IF(A234="","",IF(K234="",0,D234*INDEX(Products!$I$5:$I$204,K234)))</f>
        <v/>
      </c>
      <c r="O234" s="11">
        <f>IF(A234="","",IF(K234="",0,J234*INDEX(Products!$H$5:$H$204,K234)))</f>
        <v/>
      </c>
      <c r="P234" s="11">
        <f>IF(A234="","",J234-M234-N234-O234)</f>
        <v/>
      </c>
    </row>
    <row r="235">
      <c r="A235">
        <f>IFERROR(INDEX('Etsy Import'!$A:$CZ,235,Settings!$C$20)&amp;"","")</f>
        <v/>
      </c>
      <c r="B235">
        <f>IFERROR(INDEX('Etsy Import'!$A:$CZ,235,Settings!$C$21)&amp;"","")</f>
        <v/>
      </c>
      <c r="C235">
        <f>IFERROR(INDEX('Etsy Import'!$A:$CZ,235,Settings!$C$22)&amp;"","")</f>
        <v/>
      </c>
      <c r="D235">
        <f>IF(A235="","",IFERROR(VALUE(SUBSTITUTE(SUBSTITUTE(INDEX('Etsy Import'!$A:$CZ,235,Settings!$C$23)&amp;"","$",""),",","")),0))</f>
        <v/>
      </c>
      <c r="E235" s="11">
        <f>IF(A235="","",IFERROR(VALUE(SUBSTITUTE(SUBSTITUTE(INDEX('Etsy Import'!$A:$CZ,235,Settings!$C$24)&amp;"","$",""),",","")),0))</f>
        <v/>
      </c>
      <c r="F235" s="11">
        <f>IF(A235="","",D235*E235)</f>
        <v/>
      </c>
      <c r="G235">
        <f>IF(A235="","",IF(C235="",1,COUNTIF($C$2:$C$1501,C235)))</f>
        <v/>
      </c>
      <c r="H235" s="11">
        <f>IF(A235="","",IFERROR(VALUE(SUBSTITUTE(SUBSTITUTE(INDEX('Etsy Import'!$A:$CZ,235,Settings!$C$25)&amp;"","$",""),",","")),0)/IF(Settings!$B$27="Yes",G235,1))</f>
        <v/>
      </c>
      <c r="I235" s="11">
        <f>IF(A235="","",IFERROR(VALUE(SUBSTITUTE(SUBSTITUTE(INDEX('Etsy Import'!$A:$CZ,235,Settings!$C$26)&amp;"","$",""),",","")),0)/IF(Settings!$B$27="Yes",G235,1))</f>
        <v/>
      </c>
      <c r="J235" s="11">
        <f>IF(A235="","",F235+H235-I235)</f>
        <v/>
      </c>
      <c r="K235">
        <f>IF(A235="","",IFERROR(IF(B235="",NA(),MATCH(B235,Products!$B$5:$B$204,0)),IFERROR(MATCH(A235,Products!$A$5:$A$204,0),"")))</f>
        <v/>
      </c>
      <c r="L235">
        <f>IF(A235="","",IF(K235="","⚠ not in Products",INDEX(Products!$A$5:$A$204,K235)))</f>
        <v/>
      </c>
      <c r="M235" s="11">
        <f>IF(A235="","",J235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235+IFERROR(INDEX(Settings!$D$5:$D$9,MATCH("Etsy",Settings!$A$5:$A$9,0)),0)*D235)</f>
        <v/>
      </c>
      <c r="N235" s="11">
        <f>IF(A235="","",IF(K235="",0,D235*INDEX(Products!$I$5:$I$204,K235)))</f>
        <v/>
      </c>
      <c r="O235" s="11">
        <f>IF(A235="","",IF(K235="",0,J235*INDEX(Products!$H$5:$H$204,K235)))</f>
        <v/>
      </c>
      <c r="P235" s="11">
        <f>IF(A235="","",J235-M235-N235-O235)</f>
        <v/>
      </c>
    </row>
    <row r="236">
      <c r="A236">
        <f>IFERROR(INDEX('Etsy Import'!$A:$CZ,236,Settings!$C$20)&amp;"","")</f>
        <v/>
      </c>
      <c r="B236">
        <f>IFERROR(INDEX('Etsy Import'!$A:$CZ,236,Settings!$C$21)&amp;"","")</f>
        <v/>
      </c>
      <c r="C236">
        <f>IFERROR(INDEX('Etsy Import'!$A:$CZ,236,Settings!$C$22)&amp;"","")</f>
        <v/>
      </c>
      <c r="D236">
        <f>IF(A236="","",IFERROR(VALUE(SUBSTITUTE(SUBSTITUTE(INDEX('Etsy Import'!$A:$CZ,236,Settings!$C$23)&amp;"","$",""),",","")),0))</f>
        <v/>
      </c>
      <c r="E236" s="11">
        <f>IF(A236="","",IFERROR(VALUE(SUBSTITUTE(SUBSTITUTE(INDEX('Etsy Import'!$A:$CZ,236,Settings!$C$24)&amp;"","$",""),",","")),0))</f>
        <v/>
      </c>
      <c r="F236" s="11">
        <f>IF(A236="","",D236*E236)</f>
        <v/>
      </c>
      <c r="G236">
        <f>IF(A236="","",IF(C236="",1,COUNTIF($C$2:$C$1501,C236)))</f>
        <v/>
      </c>
      <c r="H236" s="11">
        <f>IF(A236="","",IFERROR(VALUE(SUBSTITUTE(SUBSTITUTE(INDEX('Etsy Import'!$A:$CZ,236,Settings!$C$25)&amp;"","$",""),",","")),0)/IF(Settings!$B$27="Yes",G236,1))</f>
        <v/>
      </c>
      <c r="I236" s="11">
        <f>IF(A236="","",IFERROR(VALUE(SUBSTITUTE(SUBSTITUTE(INDEX('Etsy Import'!$A:$CZ,236,Settings!$C$26)&amp;"","$",""),",","")),0)/IF(Settings!$B$27="Yes",G236,1))</f>
        <v/>
      </c>
      <c r="J236" s="11">
        <f>IF(A236="","",F236+H236-I236)</f>
        <v/>
      </c>
      <c r="K236">
        <f>IF(A236="","",IFERROR(IF(B236="",NA(),MATCH(B236,Products!$B$5:$B$204,0)),IFERROR(MATCH(A236,Products!$A$5:$A$204,0),"")))</f>
        <v/>
      </c>
      <c r="L236">
        <f>IF(A236="","",IF(K236="","⚠ not in Products",INDEX(Products!$A$5:$A$204,K236)))</f>
        <v/>
      </c>
      <c r="M236" s="11">
        <f>IF(A236="","",J236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236+IFERROR(INDEX(Settings!$D$5:$D$9,MATCH("Etsy",Settings!$A$5:$A$9,0)),0)*D236)</f>
        <v/>
      </c>
      <c r="N236" s="11">
        <f>IF(A236="","",IF(K236="",0,D236*INDEX(Products!$I$5:$I$204,K236)))</f>
        <v/>
      </c>
      <c r="O236" s="11">
        <f>IF(A236="","",IF(K236="",0,J236*INDEX(Products!$H$5:$H$204,K236)))</f>
        <v/>
      </c>
      <c r="P236" s="11">
        <f>IF(A236="","",J236-M236-N236-O236)</f>
        <v/>
      </c>
    </row>
    <row r="237">
      <c r="A237">
        <f>IFERROR(INDEX('Etsy Import'!$A:$CZ,237,Settings!$C$20)&amp;"","")</f>
        <v/>
      </c>
      <c r="B237">
        <f>IFERROR(INDEX('Etsy Import'!$A:$CZ,237,Settings!$C$21)&amp;"","")</f>
        <v/>
      </c>
      <c r="C237">
        <f>IFERROR(INDEX('Etsy Import'!$A:$CZ,237,Settings!$C$22)&amp;"","")</f>
        <v/>
      </c>
      <c r="D237">
        <f>IF(A237="","",IFERROR(VALUE(SUBSTITUTE(SUBSTITUTE(INDEX('Etsy Import'!$A:$CZ,237,Settings!$C$23)&amp;"","$",""),",","")),0))</f>
        <v/>
      </c>
      <c r="E237" s="11">
        <f>IF(A237="","",IFERROR(VALUE(SUBSTITUTE(SUBSTITUTE(INDEX('Etsy Import'!$A:$CZ,237,Settings!$C$24)&amp;"","$",""),",","")),0))</f>
        <v/>
      </c>
      <c r="F237" s="11">
        <f>IF(A237="","",D237*E237)</f>
        <v/>
      </c>
      <c r="G237">
        <f>IF(A237="","",IF(C237="",1,COUNTIF($C$2:$C$1501,C237)))</f>
        <v/>
      </c>
      <c r="H237" s="11">
        <f>IF(A237="","",IFERROR(VALUE(SUBSTITUTE(SUBSTITUTE(INDEX('Etsy Import'!$A:$CZ,237,Settings!$C$25)&amp;"","$",""),",","")),0)/IF(Settings!$B$27="Yes",G237,1))</f>
        <v/>
      </c>
      <c r="I237" s="11">
        <f>IF(A237="","",IFERROR(VALUE(SUBSTITUTE(SUBSTITUTE(INDEX('Etsy Import'!$A:$CZ,237,Settings!$C$26)&amp;"","$",""),",","")),0)/IF(Settings!$B$27="Yes",G237,1))</f>
        <v/>
      </c>
      <c r="J237" s="11">
        <f>IF(A237="","",F237+H237-I237)</f>
        <v/>
      </c>
      <c r="K237">
        <f>IF(A237="","",IFERROR(IF(B237="",NA(),MATCH(B237,Products!$B$5:$B$204,0)),IFERROR(MATCH(A237,Products!$A$5:$A$204,0),"")))</f>
        <v/>
      </c>
      <c r="L237">
        <f>IF(A237="","",IF(K237="","⚠ not in Products",INDEX(Products!$A$5:$A$204,K237)))</f>
        <v/>
      </c>
      <c r="M237" s="11">
        <f>IF(A237="","",J237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237+IFERROR(INDEX(Settings!$D$5:$D$9,MATCH("Etsy",Settings!$A$5:$A$9,0)),0)*D237)</f>
        <v/>
      </c>
      <c r="N237" s="11">
        <f>IF(A237="","",IF(K237="",0,D237*INDEX(Products!$I$5:$I$204,K237)))</f>
        <v/>
      </c>
      <c r="O237" s="11">
        <f>IF(A237="","",IF(K237="",0,J237*INDEX(Products!$H$5:$H$204,K237)))</f>
        <v/>
      </c>
      <c r="P237" s="11">
        <f>IF(A237="","",J237-M237-N237-O237)</f>
        <v/>
      </c>
    </row>
    <row r="238">
      <c r="A238">
        <f>IFERROR(INDEX('Etsy Import'!$A:$CZ,238,Settings!$C$20)&amp;"","")</f>
        <v/>
      </c>
      <c r="B238">
        <f>IFERROR(INDEX('Etsy Import'!$A:$CZ,238,Settings!$C$21)&amp;"","")</f>
        <v/>
      </c>
      <c r="C238">
        <f>IFERROR(INDEX('Etsy Import'!$A:$CZ,238,Settings!$C$22)&amp;"","")</f>
        <v/>
      </c>
      <c r="D238">
        <f>IF(A238="","",IFERROR(VALUE(SUBSTITUTE(SUBSTITUTE(INDEX('Etsy Import'!$A:$CZ,238,Settings!$C$23)&amp;"","$",""),",","")),0))</f>
        <v/>
      </c>
      <c r="E238" s="11">
        <f>IF(A238="","",IFERROR(VALUE(SUBSTITUTE(SUBSTITUTE(INDEX('Etsy Import'!$A:$CZ,238,Settings!$C$24)&amp;"","$",""),",","")),0))</f>
        <v/>
      </c>
      <c r="F238" s="11">
        <f>IF(A238="","",D238*E238)</f>
        <v/>
      </c>
      <c r="G238">
        <f>IF(A238="","",IF(C238="",1,COUNTIF($C$2:$C$1501,C238)))</f>
        <v/>
      </c>
      <c r="H238" s="11">
        <f>IF(A238="","",IFERROR(VALUE(SUBSTITUTE(SUBSTITUTE(INDEX('Etsy Import'!$A:$CZ,238,Settings!$C$25)&amp;"","$",""),",","")),0)/IF(Settings!$B$27="Yes",G238,1))</f>
        <v/>
      </c>
      <c r="I238" s="11">
        <f>IF(A238="","",IFERROR(VALUE(SUBSTITUTE(SUBSTITUTE(INDEX('Etsy Import'!$A:$CZ,238,Settings!$C$26)&amp;"","$",""),",","")),0)/IF(Settings!$B$27="Yes",G238,1))</f>
        <v/>
      </c>
      <c r="J238" s="11">
        <f>IF(A238="","",F238+H238-I238)</f>
        <v/>
      </c>
      <c r="K238">
        <f>IF(A238="","",IFERROR(IF(B238="",NA(),MATCH(B238,Products!$B$5:$B$204,0)),IFERROR(MATCH(A238,Products!$A$5:$A$204,0),"")))</f>
        <v/>
      </c>
      <c r="L238">
        <f>IF(A238="","",IF(K238="","⚠ not in Products",INDEX(Products!$A$5:$A$204,K238)))</f>
        <v/>
      </c>
      <c r="M238" s="11">
        <f>IF(A238="","",J238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238+IFERROR(INDEX(Settings!$D$5:$D$9,MATCH("Etsy",Settings!$A$5:$A$9,0)),0)*D238)</f>
        <v/>
      </c>
      <c r="N238" s="11">
        <f>IF(A238="","",IF(K238="",0,D238*INDEX(Products!$I$5:$I$204,K238)))</f>
        <v/>
      </c>
      <c r="O238" s="11">
        <f>IF(A238="","",IF(K238="",0,J238*INDEX(Products!$H$5:$H$204,K238)))</f>
        <v/>
      </c>
      <c r="P238" s="11">
        <f>IF(A238="","",J238-M238-N238-O238)</f>
        <v/>
      </c>
    </row>
    <row r="239">
      <c r="A239">
        <f>IFERROR(INDEX('Etsy Import'!$A:$CZ,239,Settings!$C$20)&amp;"","")</f>
        <v/>
      </c>
      <c r="B239">
        <f>IFERROR(INDEX('Etsy Import'!$A:$CZ,239,Settings!$C$21)&amp;"","")</f>
        <v/>
      </c>
      <c r="C239">
        <f>IFERROR(INDEX('Etsy Import'!$A:$CZ,239,Settings!$C$22)&amp;"","")</f>
        <v/>
      </c>
      <c r="D239">
        <f>IF(A239="","",IFERROR(VALUE(SUBSTITUTE(SUBSTITUTE(INDEX('Etsy Import'!$A:$CZ,239,Settings!$C$23)&amp;"","$",""),",","")),0))</f>
        <v/>
      </c>
      <c r="E239" s="11">
        <f>IF(A239="","",IFERROR(VALUE(SUBSTITUTE(SUBSTITUTE(INDEX('Etsy Import'!$A:$CZ,239,Settings!$C$24)&amp;"","$",""),",","")),0))</f>
        <v/>
      </c>
      <c r="F239" s="11">
        <f>IF(A239="","",D239*E239)</f>
        <v/>
      </c>
      <c r="G239">
        <f>IF(A239="","",IF(C239="",1,COUNTIF($C$2:$C$1501,C239)))</f>
        <v/>
      </c>
      <c r="H239" s="11">
        <f>IF(A239="","",IFERROR(VALUE(SUBSTITUTE(SUBSTITUTE(INDEX('Etsy Import'!$A:$CZ,239,Settings!$C$25)&amp;"","$",""),",","")),0)/IF(Settings!$B$27="Yes",G239,1))</f>
        <v/>
      </c>
      <c r="I239" s="11">
        <f>IF(A239="","",IFERROR(VALUE(SUBSTITUTE(SUBSTITUTE(INDEX('Etsy Import'!$A:$CZ,239,Settings!$C$26)&amp;"","$",""),",","")),0)/IF(Settings!$B$27="Yes",G239,1))</f>
        <v/>
      </c>
      <c r="J239" s="11">
        <f>IF(A239="","",F239+H239-I239)</f>
        <v/>
      </c>
      <c r="K239">
        <f>IF(A239="","",IFERROR(IF(B239="",NA(),MATCH(B239,Products!$B$5:$B$204,0)),IFERROR(MATCH(A239,Products!$A$5:$A$204,0),"")))</f>
        <v/>
      </c>
      <c r="L239">
        <f>IF(A239="","",IF(K239="","⚠ not in Products",INDEX(Products!$A$5:$A$204,K239)))</f>
        <v/>
      </c>
      <c r="M239" s="11">
        <f>IF(A239="","",J239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239+IFERROR(INDEX(Settings!$D$5:$D$9,MATCH("Etsy",Settings!$A$5:$A$9,0)),0)*D239)</f>
        <v/>
      </c>
      <c r="N239" s="11">
        <f>IF(A239="","",IF(K239="",0,D239*INDEX(Products!$I$5:$I$204,K239)))</f>
        <v/>
      </c>
      <c r="O239" s="11">
        <f>IF(A239="","",IF(K239="",0,J239*INDEX(Products!$H$5:$H$204,K239)))</f>
        <v/>
      </c>
      <c r="P239" s="11">
        <f>IF(A239="","",J239-M239-N239-O239)</f>
        <v/>
      </c>
    </row>
    <row r="240">
      <c r="A240">
        <f>IFERROR(INDEX('Etsy Import'!$A:$CZ,240,Settings!$C$20)&amp;"","")</f>
        <v/>
      </c>
      <c r="B240">
        <f>IFERROR(INDEX('Etsy Import'!$A:$CZ,240,Settings!$C$21)&amp;"","")</f>
        <v/>
      </c>
      <c r="C240">
        <f>IFERROR(INDEX('Etsy Import'!$A:$CZ,240,Settings!$C$22)&amp;"","")</f>
        <v/>
      </c>
      <c r="D240">
        <f>IF(A240="","",IFERROR(VALUE(SUBSTITUTE(SUBSTITUTE(INDEX('Etsy Import'!$A:$CZ,240,Settings!$C$23)&amp;"","$",""),",","")),0))</f>
        <v/>
      </c>
      <c r="E240" s="11">
        <f>IF(A240="","",IFERROR(VALUE(SUBSTITUTE(SUBSTITUTE(INDEX('Etsy Import'!$A:$CZ,240,Settings!$C$24)&amp;"","$",""),",","")),0))</f>
        <v/>
      </c>
      <c r="F240" s="11">
        <f>IF(A240="","",D240*E240)</f>
        <v/>
      </c>
      <c r="G240">
        <f>IF(A240="","",IF(C240="",1,COUNTIF($C$2:$C$1501,C240)))</f>
        <v/>
      </c>
      <c r="H240" s="11">
        <f>IF(A240="","",IFERROR(VALUE(SUBSTITUTE(SUBSTITUTE(INDEX('Etsy Import'!$A:$CZ,240,Settings!$C$25)&amp;"","$",""),",","")),0)/IF(Settings!$B$27="Yes",G240,1))</f>
        <v/>
      </c>
      <c r="I240" s="11">
        <f>IF(A240="","",IFERROR(VALUE(SUBSTITUTE(SUBSTITUTE(INDEX('Etsy Import'!$A:$CZ,240,Settings!$C$26)&amp;"","$",""),",","")),0)/IF(Settings!$B$27="Yes",G240,1))</f>
        <v/>
      </c>
      <c r="J240" s="11">
        <f>IF(A240="","",F240+H240-I240)</f>
        <v/>
      </c>
      <c r="K240">
        <f>IF(A240="","",IFERROR(IF(B240="",NA(),MATCH(B240,Products!$B$5:$B$204,0)),IFERROR(MATCH(A240,Products!$A$5:$A$204,0),"")))</f>
        <v/>
      </c>
      <c r="L240">
        <f>IF(A240="","",IF(K240="","⚠ not in Products",INDEX(Products!$A$5:$A$204,K240)))</f>
        <v/>
      </c>
      <c r="M240" s="11">
        <f>IF(A240="","",J240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240+IFERROR(INDEX(Settings!$D$5:$D$9,MATCH("Etsy",Settings!$A$5:$A$9,0)),0)*D240)</f>
        <v/>
      </c>
      <c r="N240" s="11">
        <f>IF(A240="","",IF(K240="",0,D240*INDEX(Products!$I$5:$I$204,K240)))</f>
        <v/>
      </c>
      <c r="O240" s="11">
        <f>IF(A240="","",IF(K240="",0,J240*INDEX(Products!$H$5:$H$204,K240)))</f>
        <v/>
      </c>
      <c r="P240" s="11">
        <f>IF(A240="","",J240-M240-N240-O240)</f>
        <v/>
      </c>
    </row>
    <row r="241">
      <c r="A241">
        <f>IFERROR(INDEX('Etsy Import'!$A:$CZ,241,Settings!$C$20)&amp;"","")</f>
        <v/>
      </c>
      <c r="B241">
        <f>IFERROR(INDEX('Etsy Import'!$A:$CZ,241,Settings!$C$21)&amp;"","")</f>
        <v/>
      </c>
      <c r="C241">
        <f>IFERROR(INDEX('Etsy Import'!$A:$CZ,241,Settings!$C$22)&amp;"","")</f>
        <v/>
      </c>
      <c r="D241">
        <f>IF(A241="","",IFERROR(VALUE(SUBSTITUTE(SUBSTITUTE(INDEX('Etsy Import'!$A:$CZ,241,Settings!$C$23)&amp;"","$",""),",","")),0))</f>
        <v/>
      </c>
      <c r="E241" s="11">
        <f>IF(A241="","",IFERROR(VALUE(SUBSTITUTE(SUBSTITUTE(INDEX('Etsy Import'!$A:$CZ,241,Settings!$C$24)&amp;"","$",""),",","")),0))</f>
        <v/>
      </c>
      <c r="F241" s="11">
        <f>IF(A241="","",D241*E241)</f>
        <v/>
      </c>
      <c r="G241">
        <f>IF(A241="","",IF(C241="",1,COUNTIF($C$2:$C$1501,C241)))</f>
        <v/>
      </c>
      <c r="H241" s="11">
        <f>IF(A241="","",IFERROR(VALUE(SUBSTITUTE(SUBSTITUTE(INDEX('Etsy Import'!$A:$CZ,241,Settings!$C$25)&amp;"","$",""),",","")),0)/IF(Settings!$B$27="Yes",G241,1))</f>
        <v/>
      </c>
      <c r="I241" s="11">
        <f>IF(A241="","",IFERROR(VALUE(SUBSTITUTE(SUBSTITUTE(INDEX('Etsy Import'!$A:$CZ,241,Settings!$C$26)&amp;"","$",""),",","")),0)/IF(Settings!$B$27="Yes",G241,1))</f>
        <v/>
      </c>
      <c r="J241" s="11">
        <f>IF(A241="","",F241+H241-I241)</f>
        <v/>
      </c>
      <c r="K241">
        <f>IF(A241="","",IFERROR(IF(B241="",NA(),MATCH(B241,Products!$B$5:$B$204,0)),IFERROR(MATCH(A241,Products!$A$5:$A$204,0),"")))</f>
        <v/>
      </c>
      <c r="L241">
        <f>IF(A241="","",IF(K241="","⚠ not in Products",INDEX(Products!$A$5:$A$204,K241)))</f>
        <v/>
      </c>
      <c r="M241" s="11">
        <f>IF(A241="","",J241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241+IFERROR(INDEX(Settings!$D$5:$D$9,MATCH("Etsy",Settings!$A$5:$A$9,0)),0)*D241)</f>
        <v/>
      </c>
      <c r="N241" s="11">
        <f>IF(A241="","",IF(K241="",0,D241*INDEX(Products!$I$5:$I$204,K241)))</f>
        <v/>
      </c>
      <c r="O241" s="11">
        <f>IF(A241="","",IF(K241="",0,J241*INDEX(Products!$H$5:$H$204,K241)))</f>
        <v/>
      </c>
      <c r="P241" s="11">
        <f>IF(A241="","",J241-M241-N241-O241)</f>
        <v/>
      </c>
    </row>
    <row r="242">
      <c r="A242">
        <f>IFERROR(INDEX('Etsy Import'!$A:$CZ,242,Settings!$C$20)&amp;"","")</f>
        <v/>
      </c>
      <c r="B242">
        <f>IFERROR(INDEX('Etsy Import'!$A:$CZ,242,Settings!$C$21)&amp;"","")</f>
        <v/>
      </c>
      <c r="C242">
        <f>IFERROR(INDEX('Etsy Import'!$A:$CZ,242,Settings!$C$22)&amp;"","")</f>
        <v/>
      </c>
      <c r="D242">
        <f>IF(A242="","",IFERROR(VALUE(SUBSTITUTE(SUBSTITUTE(INDEX('Etsy Import'!$A:$CZ,242,Settings!$C$23)&amp;"","$",""),",","")),0))</f>
        <v/>
      </c>
      <c r="E242" s="11">
        <f>IF(A242="","",IFERROR(VALUE(SUBSTITUTE(SUBSTITUTE(INDEX('Etsy Import'!$A:$CZ,242,Settings!$C$24)&amp;"","$",""),",","")),0))</f>
        <v/>
      </c>
      <c r="F242" s="11">
        <f>IF(A242="","",D242*E242)</f>
        <v/>
      </c>
      <c r="G242">
        <f>IF(A242="","",IF(C242="",1,COUNTIF($C$2:$C$1501,C242)))</f>
        <v/>
      </c>
      <c r="H242" s="11">
        <f>IF(A242="","",IFERROR(VALUE(SUBSTITUTE(SUBSTITUTE(INDEX('Etsy Import'!$A:$CZ,242,Settings!$C$25)&amp;"","$",""),",","")),0)/IF(Settings!$B$27="Yes",G242,1))</f>
        <v/>
      </c>
      <c r="I242" s="11">
        <f>IF(A242="","",IFERROR(VALUE(SUBSTITUTE(SUBSTITUTE(INDEX('Etsy Import'!$A:$CZ,242,Settings!$C$26)&amp;"","$",""),",","")),0)/IF(Settings!$B$27="Yes",G242,1))</f>
        <v/>
      </c>
      <c r="J242" s="11">
        <f>IF(A242="","",F242+H242-I242)</f>
        <v/>
      </c>
      <c r="K242">
        <f>IF(A242="","",IFERROR(IF(B242="",NA(),MATCH(B242,Products!$B$5:$B$204,0)),IFERROR(MATCH(A242,Products!$A$5:$A$204,0),"")))</f>
        <v/>
      </c>
      <c r="L242">
        <f>IF(A242="","",IF(K242="","⚠ not in Products",INDEX(Products!$A$5:$A$204,K242)))</f>
        <v/>
      </c>
      <c r="M242" s="11">
        <f>IF(A242="","",J242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242+IFERROR(INDEX(Settings!$D$5:$D$9,MATCH("Etsy",Settings!$A$5:$A$9,0)),0)*D242)</f>
        <v/>
      </c>
      <c r="N242" s="11">
        <f>IF(A242="","",IF(K242="",0,D242*INDEX(Products!$I$5:$I$204,K242)))</f>
        <v/>
      </c>
      <c r="O242" s="11">
        <f>IF(A242="","",IF(K242="",0,J242*INDEX(Products!$H$5:$H$204,K242)))</f>
        <v/>
      </c>
      <c r="P242" s="11">
        <f>IF(A242="","",J242-M242-N242-O242)</f>
        <v/>
      </c>
    </row>
    <row r="243">
      <c r="A243">
        <f>IFERROR(INDEX('Etsy Import'!$A:$CZ,243,Settings!$C$20)&amp;"","")</f>
        <v/>
      </c>
      <c r="B243">
        <f>IFERROR(INDEX('Etsy Import'!$A:$CZ,243,Settings!$C$21)&amp;"","")</f>
        <v/>
      </c>
      <c r="C243">
        <f>IFERROR(INDEX('Etsy Import'!$A:$CZ,243,Settings!$C$22)&amp;"","")</f>
        <v/>
      </c>
      <c r="D243">
        <f>IF(A243="","",IFERROR(VALUE(SUBSTITUTE(SUBSTITUTE(INDEX('Etsy Import'!$A:$CZ,243,Settings!$C$23)&amp;"","$",""),",","")),0))</f>
        <v/>
      </c>
      <c r="E243" s="11">
        <f>IF(A243="","",IFERROR(VALUE(SUBSTITUTE(SUBSTITUTE(INDEX('Etsy Import'!$A:$CZ,243,Settings!$C$24)&amp;"","$",""),",","")),0))</f>
        <v/>
      </c>
      <c r="F243" s="11">
        <f>IF(A243="","",D243*E243)</f>
        <v/>
      </c>
      <c r="G243">
        <f>IF(A243="","",IF(C243="",1,COUNTIF($C$2:$C$1501,C243)))</f>
        <v/>
      </c>
      <c r="H243" s="11">
        <f>IF(A243="","",IFERROR(VALUE(SUBSTITUTE(SUBSTITUTE(INDEX('Etsy Import'!$A:$CZ,243,Settings!$C$25)&amp;"","$",""),",","")),0)/IF(Settings!$B$27="Yes",G243,1))</f>
        <v/>
      </c>
      <c r="I243" s="11">
        <f>IF(A243="","",IFERROR(VALUE(SUBSTITUTE(SUBSTITUTE(INDEX('Etsy Import'!$A:$CZ,243,Settings!$C$26)&amp;"","$",""),",","")),0)/IF(Settings!$B$27="Yes",G243,1))</f>
        <v/>
      </c>
      <c r="J243" s="11">
        <f>IF(A243="","",F243+H243-I243)</f>
        <v/>
      </c>
      <c r="K243">
        <f>IF(A243="","",IFERROR(IF(B243="",NA(),MATCH(B243,Products!$B$5:$B$204,0)),IFERROR(MATCH(A243,Products!$A$5:$A$204,0),"")))</f>
        <v/>
      </c>
      <c r="L243">
        <f>IF(A243="","",IF(K243="","⚠ not in Products",INDEX(Products!$A$5:$A$204,K243)))</f>
        <v/>
      </c>
      <c r="M243" s="11">
        <f>IF(A243="","",J243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243+IFERROR(INDEX(Settings!$D$5:$D$9,MATCH("Etsy",Settings!$A$5:$A$9,0)),0)*D243)</f>
        <v/>
      </c>
      <c r="N243" s="11">
        <f>IF(A243="","",IF(K243="",0,D243*INDEX(Products!$I$5:$I$204,K243)))</f>
        <v/>
      </c>
      <c r="O243" s="11">
        <f>IF(A243="","",IF(K243="",0,J243*INDEX(Products!$H$5:$H$204,K243)))</f>
        <v/>
      </c>
      <c r="P243" s="11">
        <f>IF(A243="","",J243-M243-N243-O243)</f>
        <v/>
      </c>
    </row>
    <row r="244">
      <c r="A244">
        <f>IFERROR(INDEX('Etsy Import'!$A:$CZ,244,Settings!$C$20)&amp;"","")</f>
        <v/>
      </c>
      <c r="B244">
        <f>IFERROR(INDEX('Etsy Import'!$A:$CZ,244,Settings!$C$21)&amp;"","")</f>
        <v/>
      </c>
      <c r="C244">
        <f>IFERROR(INDEX('Etsy Import'!$A:$CZ,244,Settings!$C$22)&amp;"","")</f>
        <v/>
      </c>
      <c r="D244">
        <f>IF(A244="","",IFERROR(VALUE(SUBSTITUTE(SUBSTITUTE(INDEX('Etsy Import'!$A:$CZ,244,Settings!$C$23)&amp;"","$",""),",","")),0))</f>
        <v/>
      </c>
      <c r="E244" s="11">
        <f>IF(A244="","",IFERROR(VALUE(SUBSTITUTE(SUBSTITUTE(INDEX('Etsy Import'!$A:$CZ,244,Settings!$C$24)&amp;"","$",""),",","")),0))</f>
        <v/>
      </c>
      <c r="F244" s="11">
        <f>IF(A244="","",D244*E244)</f>
        <v/>
      </c>
      <c r="G244">
        <f>IF(A244="","",IF(C244="",1,COUNTIF($C$2:$C$1501,C244)))</f>
        <v/>
      </c>
      <c r="H244" s="11">
        <f>IF(A244="","",IFERROR(VALUE(SUBSTITUTE(SUBSTITUTE(INDEX('Etsy Import'!$A:$CZ,244,Settings!$C$25)&amp;"","$",""),",","")),0)/IF(Settings!$B$27="Yes",G244,1))</f>
        <v/>
      </c>
      <c r="I244" s="11">
        <f>IF(A244="","",IFERROR(VALUE(SUBSTITUTE(SUBSTITUTE(INDEX('Etsy Import'!$A:$CZ,244,Settings!$C$26)&amp;"","$",""),",","")),0)/IF(Settings!$B$27="Yes",G244,1))</f>
        <v/>
      </c>
      <c r="J244" s="11">
        <f>IF(A244="","",F244+H244-I244)</f>
        <v/>
      </c>
      <c r="K244">
        <f>IF(A244="","",IFERROR(IF(B244="",NA(),MATCH(B244,Products!$B$5:$B$204,0)),IFERROR(MATCH(A244,Products!$A$5:$A$204,0),"")))</f>
        <v/>
      </c>
      <c r="L244">
        <f>IF(A244="","",IF(K244="","⚠ not in Products",INDEX(Products!$A$5:$A$204,K244)))</f>
        <v/>
      </c>
      <c r="M244" s="11">
        <f>IF(A244="","",J244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244+IFERROR(INDEX(Settings!$D$5:$D$9,MATCH("Etsy",Settings!$A$5:$A$9,0)),0)*D244)</f>
        <v/>
      </c>
      <c r="N244" s="11">
        <f>IF(A244="","",IF(K244="",0,D244*INDEX(Products!$I$5:$I$204,K244)))</f>
        <v/>
      </c>
      <c r="O244" s="11">
        <f>IF(A244="","",IF(K244="",0,J244*INDEX(Products!$H$5:$H$204,K244)))</f>
        <v/>
      </c>
      <c r="P244" s="11">
        <f>IF(A244="","",J244-M244-N244-O244)</f>
        <v/>
      </c>
    </row>
    <row r="245">
      <c r="A245">
        <f>IFERROR(INDEX('Etsy Import'!$A:$CZ,245,Settings!$C$20)&amp;"","")</f>
        <v/>
      </c>
      <c r="B245">
        <f>IFERROR(INDEX('Etsy Import'!$A:$CZ,245,Settings!$C$21)&amp;"","")</f>
        <v/>
      </c>
      <c r="C245">
        <f>IFERROR(INDEX('Etsy Import'!$A:$CZ,245,Settings!$C$22)&amp;"","")</f>
        <v/>
      </c>
      <c r="D245">
        <f>IF(A245="","",IFERROR(VALUE(SUBSTITUTE(SUBSTITUTE(INDEX('Etsy Import'!$A:$CZ,245,Settings!$C$23)&amp;"","$",""),",","")),0))</f>
        <v/>
      </c>
      <c r="E245" s="11">
        <f>IF(A245="","",IFERROR(VALUE(SUBSTITUTE(SUBSTITUTE(INDEX('Etsy Import'!$A:$CZ,245,Settings!$C$24)&amp;"","$",""),",","")),0))</f>
        <v/>
      </c>
      <c r="F245" s="11">
        <f>IF(A245="","",D245*E245)</f>
        <v/>
      </c>
      <c r="G245">
        <f>IF(A245="","",IF(C245="",1,COUNTIF($C$2:$C$1501,C245)))</f>
        <v/>
      </c>
      <c r="H245" s="11">
        <f>IF(A245="","",IFERROR(VALUE(SUBSTITUTE(SUBSTITUTE(INDEX('Etsy Import'!$A:$CZ,245,Settings!$C$25)&amp;"","$",""),",","")),0)/IF(Settings!$B$27="Yes",G245,1))</f>
        <v/>
      </c>
      <c r="I245" s="11">
        <f>IF(A245="","",IFERROR(VALUE(SUBSTITUTE(SUBSTITUTE(INDEX('Etsy Import'!$A:$CZ,245,Settings!$C$26)&amp;"","$",""),",","")),0)/IF(Settings!$B$27="Yes",G245,1))</f>
        <v/>
      </c>
      <c r="J245" s="11">
        <f>IF(A245="","",F245+H245-I245)</f>
        <v/>
      </c>
      <c r="K245">
        <f>IF(A245="","",IFERROR(IF(B245="",NA(),MATCH(B245,Products!$B$5:$B$204,0)),IFERROR(MATCH(A245,Products!$A$5:$A$204,0),"")))</f>
        <v/>
      </c>
      <c r="L245">
        <f>IF(A245="","",IF(K245="","⚠ not in Products",INDEX(Products!$A$5:$A$204,K245)))</f>
        <v/>
      </c>
      <c r="M245" s="11">
        <f>IF(A245="","",J245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245+IFERROR(INDEX(Settings!$D$5:$D$9,MATCH("Etsy",Settings!$A$5:$A$9,0)),0)*D245)</f>
        <v/>
      </c>
      <c r="N245" s="11">
        <f>IF(A245="","",IF(K245="",0,D245*INDEX(Products!$I$5:$I$204,K245)))</f>
        <v/>
      </c>
      <c r="O245" s="11">
        <f>IF(A245="","",IF(K245="",0,J245*INDEX(Products!$H$5:$H$204,K245)))</f>
        <v/>
      </c>
      <c r="P245" s="11">
        <f>IF(A245="","",J245-M245-N245-O245)</f>
        <v/>
      </c>
    </row>
    <row r="246">
      <c r="A246">
        <f>IFERROR(INDEX('Etsy Import'!$A:$CZ,246,Settings!$C$20)&amp;"","")</f>
        <v/>
      </c>
      <c r="B246">
        <f>IFERROR(INDEX('Etsy Import'!$A:$CZ,246,Settings!$C$21)&amp;"","")</f>
        <v/>
      </c>
      <c r="C246">
        <f>IFERROR(INDEX('Etsy Import'!$A:$CZ,246,Settings!$C$22)&amp;"","")</f>
        <v/>
      </c>
      <c r="D246">
        <f>IF(A246="","",IFERROR(VALUE(SUBSTITUTE(SUBSTITUTE(INDEX('Etsy Import'!$A:$CZ,246,Settings!$C$23)&amp;"","$",""),",","")),0))</f>
        <v/>
      </c>
      <c r="E246" s="11">
        <f>IF(A246="","",IFERROR(VALUE(SUBSTITUTE(SUBSTITUTE(INDEX('Etsy Import'!$A:$CZ,246,Settings!$C$24)&amp;"","$",""),",","")),0))</f>
        <v/>
      </c>
      <c r="F246" s="11">
        <f>IF(A246="","",D246*E246)</f>
        <v/>
      </c>
      <c r="G246">
        <f>IF(A246="","",IF(C246="",1,COUNTIF($C$2:$C$1501,C246)))</f>
        <v/>
      </c>
      <c r="H246" s="11">
        <f>IF(A246="","",IFERROR(VALUE(SUBSTITUTE(SUBSTITUTE(INDEX('Etsy Import'!$A:$CZ,246,Settings!$C$25)&amp;"","$",""),",","")),0)/IF(Settings!$B$27="Yes",G246,1))</f>
        <v/>
      </c>
      <c r="I246" s="11">
        <f>IF(A246="","",IFERROR(VALUE(SUBSTITUTE(SUBSTITUTE(INDEX('Etsy Import'!$A:$CZ,246,Settings!$C$26)&amp;"","$",""),",","")),0)/IF(Settings!$B$27="Yes",G246,1))</f>
        <v/>
      </c>
      <c r="J246" s="11">
        <f>IF(A246="","",F246+H246-I246)</f>
        <v/>
      </c>
      <c r="K246">
        <f>IF(A246="","",IFERROR(IF(B246="",NA(),MATCH(B246,Products!$B$5:$B$204,0)),IFERROR(MATCH(A246,Products!$A$5:$A$204,0),"")))</f>
        <v/>
      </c>
      <c r="L246">
        <f>IF(A246="","",IF(K246="","⚠ not in Products",INDEX(Products!$A$5:$A$204,K246)))</f>
        <v/>
      </c>
      <c r="M246" s="11">
        <f>IF(A246="","",J246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246+IFERROR(INDEX(Settings!$D$5:$D$9,MATCH("Etsy",Settings!$A$5:$A$9,0)),0)*D246)</f>
        <v/>
      </c>
      <c r="N246" s="11">
        <f>IF(A246="","",IF(K246="",0,D246*INDEX(Products!$I$5:$I$204,K246)))</f>
        <v/>
      </c>
      <c r="O246" s="11">
        <f>IF(A246="","",IF(K246="",0,J246*INDEX(Products!$H$5:$H$204,K246)))</f>
        <v/>
      </c>
      <c r="P246" s="11">
        <f>IF(A246="","",J246-M246-N246-O246)</f>
        <v/>
      </c>
    </row>
    <row r="247">
      <c r="A247">
        <f>IFERROR(INDEX('Etsy Import'!$A:$CZ,247,Settings!$C$20)&amp;"","")</f>
        <v/>
      </c>
      <c r="B247">
        <f>IFERROR(INDEX('Etsy Import'!$A:$CZ,247,Settings!$C$21)&amp;"","")</f>
        <v/>
      </c>
      <c r="C247">
        <f>IFERROR(INDEX('Etsy Import'!$A:$CZ,247,Settings!$C$22)&amp;"","")</f>
        <v/>
      </c>
      <c r="D247">
        <f>IF(A247="","",IFERROR(VALUE(SUBSTITUTE(SUBSTITUTE(INDEX('Etsy Import'!$A:$CZ,247,Settings!$C$23)&amp;"","$",""),",","")),0))</f>
        <v/>
      </c>
      <c r="E247" s="11">
        <f>IF(A247="","",IFERROR(VALUE(SUBSTITUTE(SUBSTITUTE(INDEX('Etsy Import'!$A:$CZ,247,Settings!$C$24)&amp;"","$",""),",","")),0))</f>
        <v/>
      </c>
      <c r="F247" s="11">
        <f>IF(A247="","",D247*E247)</f>
        <v/>
      </c>
      <c r="G247">
        <f>IF(A247="","",IF(C247="",1,COUNTIF($C$2:$C$1501,C247)))</f>
        <v/>
      </c>
      <c r="H247" s="11">
        <f>IF(A247="","",IFERROR(VALUE(SUBSTITUTE(SUBSTITUTE(INDEX('Etsy Import'!$A:$CZ,247,Settings!$C$25)&amp;"","$",""),",","")),0)/IF(Settings!$B$27="Yes",G247,1))</f>
        <v/>
      </c>
      <c r="I247" s="11">
        <f>IF(A247="","",IFERROR(VALUE(SUBSTITUTE(SUBSTITUTE(INDEX('Etsy Import'!$A:$CZ,247,Settings!$C$26)&amp;"","$",""),",","")),0)/IF(Settings!$B$27="Yes",G247,1))</f>
        <v/>
      </c>
      <c r="J247" s="11">
        <f>IF(A247="","",F247+H247-I247)</f>
        <v/>
      </c>
      <c r="K247">
        <f>IF(A247="","",IFERROR(IF(B247="",NA(),MATCH(B247,Products!$B$5:$B$204,0)),IFERROR(MATCH(A247,Products!$A$5:$A$204,0),"")))</f>
        <v/>
      </c>
      <c r="L247">
        <f>IF(A247="","",IF(K247="","⚠ not in Products",INDEX(Products!$A$5:$A$204,K247)))</f>
        <v/>
      </c>
      <c r="M247" s="11">
        <f>IF(A247="","",J247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247+IFERROR(INDEX(Settings!$D$5:$D$9,MATCH("Etsy",Settings!$A$5:$A$9,0)),0)*D247)</f>
        <v/>
      </c>
      <c r="N247" s="11">
        <f>IF(A247="","",IF(K247="",0,D247*INDEX(Products!$I$5:$I$204,K247)))</f>
        <v/>
      </c>
      <c r="O247" s="11">
        <f>IF(A247="","",IF(K247="",0,J247*INDEX(Products!$H$5:$H$204,K247)))</f>
        <v/>
      </c>
      <c r="P247" s="11">
        <f>IF(A247="","",J247-M247-N247-O247)</f>
        <v/>
      </c>
    </row>
    <row r="248">
      <c r="A248">
        <f>IFERROR(INDEX('Etsy Import'!$A:$CZ,248,Settings!$C$20)&amp;"","")</f>
        <v/>
      </c>
      <c r="B248">
        <f>IFERROR(INDEX('Etsy Import'!$A:$CZ,248,Settings!$C$21)&amp;"","")</f>
        <v/>
      </c>
      <c r="C248">
        <f>IFERROR(INDEX('Etsy Import'!$A:$CZ,248,Settings!$C$22)&amp;"","")</f>
        <v/>
      </c>
      <c r="D248">
        <f>IF(A248="","",IFERROR(VALUE(SUBSTITUTE(SUBSTITUTE(INDEX('Etsy Import'!$A:$CZ,248,Settings!$C$23)&amp;"","$",""),",","")),0))</f>
        <v/>
      </c>
      <c r="E248" s="11">
        <f>IF(A248="","",IFERROR(VALUE(SUBSTITUTE(SUBSTITUTE(INDEX('Etsy Import'!$A:$CZ,248,Settings!$C$24)&amp;"","$",""),",","")),0))</f>
        <v/>
      </c>
      <c r="F248" s="11">
        <f>IF(A248="","",D248*E248)</f>
        <v/>
      </c>
      <c r="G248">
        <f>IF(A248="","",IF(C248="",1,COUNTIF($C$2:$C$1501,C248)))</f>
        <v/>
      </c>
      <c r="H248" s="11">
        <f>IF(A248="","",IFERROR(VALUE(SUBSTITUTE(SUBSTITUTE(INDEX('Etsy Import'!$A:$CZ,248,Settings!$C$25)&amp;"","$",""),",","")),0)/IF(Settings!$B$27="Yes",G248,1))</f>
        <v/>
      </c>
      <c r="I248" s="11">
        <f>IF(A248="","",IFERROR(VALUE(SUBSTITUTE(SUBSTITUTE(INDEX('Etsy Import'!$A:$CZ,248,Settings!$C$26)&amp;"","$",""),",","")),0)/IF(Settings!$B$27="Yes",G248,1))</f>
        <v/>
      </c>
      <c r="J248" s="11">
        <f>IF(A248="","",F248+H248-I248)</f>
        <v/>
      </c>
      <c r="K248">
        <f>IF(A248="","",IFERROR(IF(B248="",NA(),MATCH(B248,Products!$B$5:$B$204,0)),IFERROR(MATCH(A248,Products!$A$5:$A$204,0),"")))</f>
        <v/>
      </c>
      <c r="L248">
        <f>IF(A248="","",IF(K248="","⚠ not in Products",INDEX(Products!$A$5:$A$204,K248)))</f>
        <v/>
      </c>
      <c r="M248" s="11">
        <f>IF(A248="","",J248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248+IFERROR(INDEX(Settings!$D$5:$D$9,MATCH("Etsy",Settings!$A$5:$A$9,0)),0)*D248)</f>
        <v/>
      </c>
      <c r="N248" s="11">
        <f>IF(A248="","",IF(K248="",0,D248*INDEX(Products!$I$5:$I$204,K248)))</f>
        <v/>
      </c>
      <c r="O248" s="11">
        <f>IF(A248="","",IF(K248="",0,J248*INDEX(Products!$H$5:$H$204,K248)))</f>
        <v/>
      </c>
      <c r="P248" s="11">
        <f>IF(A248="","",J248-M248-N248-O248)</f>
        <v/>
      </c>
    </row>
    <row r="249">
      <c r="A249">
        <f>IFERROR(INDEX('Etsy Import'!$A:$CZ,249,Settings!$C$20)&amp;"","")</f>
        <v/>
      </c>
      <c r="B249">
        <f>IFERROR(INDEX('Etsy Import'!$A:$CZ,249,Settings!$C$21)&amp;"","")</f>
        <v/>
      </c>
      <c r="C249">
        <f>IFERROR(INDEX('Etsy Import'!$A:$CZ,249,Settings!$C$22)&amp;"","")</f>
        <v/>
      </c>
      <c r="D249">
        <f>IF(A249="","",IFERROR(VALUE(SUBSTITUTE(SUBSTITUTE(INDEX('Etsy Import'!$A:$CZ,249,Settings!$C$23)&amp;"","$",""),",","")),0))</f>
        <v/>
      </c>
      <c r="E249" s="11">
        <f>IF(A249="","",IFERROR(VALUE(SUBSTITUTE(SUBSTITUTE(INDEX('Etsy Import'!$A:$CZ,249,Settings!$C$24)&amp;"","$",""),",","")),0))</f>
        <v/>
      </c>
      <c r="F249" s="11">
        <f>IF(A249="","",D249*E249)</f>
        <v/>
      </c>
      <c r="G249">
        <f>IF(A249="","",IF(C249="",1,COUNTIF($C$2:$C$1501,C249)))</f>
        <v/>
      </c>
      <c r="H249" s="11">
        <f>IF(A249="","",IFERROR(VALUE(SUBSTITUTE(SUBSTITUTE(INDEX('Etsy Import'!$A:$CZ,249,Settings!$C$25)&amp;"","$",""),",","")),0)/IF(Settings!$B$27="Yes",G249,1))</f>
        <v/>
      </c>
      <c r="I249" s="11">
        <f>IF(A249="","",IFERROR(VALUE(SUBSTITUTE(SUBSTITUTE(INDEX('Etsy Import'!$A:$CZ,249,Settings!$C$26)&amp;"","$",""),",","")),0)/IF(Settings!$B$27="Yes",G249,1))</f>
        <v/>
      </c>
      <c r="J249" s="11">
        <f>IF(A249="","",F249+H249-I249)</f>
        <v/>
      </c>
      <c r="K249">
        <f>IF(A249="","",IFERROR(IF(B249="",NA(),MATCH(B249,Products!$B$5:$B$204,0)),IFERROR(MATCH(A249,Products!$A$5:$A$204,0),"")))</f>
        <v/>
      </c>
      <c r="L249">
        <f>IF(A249="","",IF(K249="","⚠ not in Products",INDEX(Products!$A$5:$A$204,K249)))</f>
        <v/>
      </c>
      <c r="M249" s="11">
        <f>IF(A249="","",J249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249+IFERROR(INDEX(Settings!$D$5:$D$9,MATCH("Etsy",Settings!$A$5:$A$9,0)),0)*D249)</f>
        <v/>
      </c>
      <c r="N249" s="11">
        <f>IF(A249="","",IF(K249="",0,D249*INDEX(Products!$I$5:$I$204,K249)))</f>
        <v/>
      </c>
      <c r="O249" s="11">
        <f>IF(A249="","",IF(K249="",0,J249*INDEX(Products!$H$5:$H$204,K249)))</f>
        <v/>
      </c>
      <c r="P249" s="11">
        <f>IF(A249="","",J249-M249-N249-O249)</f>
        <v/>
      </c>
    </row>
    <row r="250">
      <c r="A250">
        <f>IFERROR(INDEX('Etsy Import'!$A:$CZ,250,Settings!$C$20)&amp;"","")</f>
        <v/>
      </c>
      <c r="B250">
        <f>IFERROR(INDEX('Etsy Import'!$A:$CZ,250,Settings!$C$21)&amp;"","")</f>
        <v/>
      </c>
      <c r="C250">
        <f>IFERROR(INDEX('Etsy Import'!$A:$CZ,250,Settings!$C$22)&amp;"","")</f>
        <v/>
      </c>
      <c r="D250">
        <f>IF(A250="","",IFERROR(VALUE(SUBSTITUTE(SUBSTITUTE(INDEX('Etsy Import'!$A:$CZ,250,Settings!$C$23)&amp;"","$",""),",","")),0))</f>
        <v/>
      </c>
      <c r="E250" s="11">
        <f>IF(A250="","",IFERROR(VALUE(SUBSTITUTE(SUBSTITUTE(INDEX('Etsy Import'!$A:$CZ,250,Settings!$C$24)&amp;"","$",""),",","")),0))</f>
        <v/>
      </c>
      <c r="F250" s="11">
        <f>IF(A250="","",D250*E250)</f>
        <v/>
      </c>
      <c r="G250">
        <f>IF(A250="","",IF(C250="",1,COUNTIF($C$2:$C$1501,C250)))</f>
        <v/>
      </c>
      <c r="H250" s="11">
        <f>IF(A250="","",IFERROR(VALUE(SUBSTITUTE(SUBSTITUTE(INDEX('Etsy Import'!$A:$CZ,250,Settings!$C$25)&amp;"","$",""),",","")),0)/IF(Settings!$B$27="Yes",G250,1))</f>
        <v/>
      </c>
      <c r="I250" s="11">
        <f>IF(A250="","",IFERROR(VALUE(SUBSTITUTE(SUBSTITUTE(INDEX('Etsy Import'!$A:$CZ,250,Settings!$C$26)&amp;"","$",""),",","")),0)/IF(Settings!$B$27="Yes",G250,1))</f>
        <v/>
      </c>
      <c r="J250" s="11">
        <f>IF(A250="","",F250+H250-I250)</f>
        <v/>
      </c>
      <c r="K250">
        <f>IF(A250="","",IFERROR(IF(B250="",NA(),MATCH(B250,Products!$B$5:$B$204,0)),IFERROR(MATCH(A250,Products!$A$5:$A$204,0),"")))</f>
        <v/>
      </c>
      <c r="L250">
        <f>IF(A250="","",IF(K250="","⚠ not in Products",INDEX(Products!$A$5:$A$204,K250)))</f>
        <v/>
      </c>
      <c r="M250" s="11">
        <f>IF(A250="","",J250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250+IFERROR(INDEX(Settings!$D$5:$D$9,MATCH("Etsy",Settings!$A$5:$A$9,0)),0)*D250)</f>
        <v/>
      </c>
      <c r="N250" s="11">
        <f>IF(A250="","",IF(K250="",0,D250*INDEX(Products!$I$5:$I$204,K250)))</f>
        <v/>
      </c>
      <c r="O250" s="11">
        <f>IF(A250="","",IF(K250="",0,J250*INDEX(Products!$H$5:$H$204,K250)))</f>
        <v/>
      </c>
      <c r="P250" s="11">
        <f>IF(A250="","",J250-M250-N250-O250)</f>
        <v/>
      </c>
    </row>
    <row r="251">
      <c r="A251">
        <f>IFERROR(INDEX('Etsy Import'!$A:$CZ,251,Settings!$C$20)&amp;"","")</f>
        <v/>
      </c>
      <c r="B251">
        <f>IFERROR(INDEX('Etsy Import'!$A:$CZ,251,Settings!$C$21)&amp;"","")</f>
        <v/>
      </c>
      <c r="C251">
        <f>IFERROR(INDEX('Etsy Import'!$A:$CZ,251,Settings!$C$22)&amp;"","")</f>
        <v/>
      </c>
      <c r="D251">
        <f>IF(A251="","",IFERROR(VALUE(SUBSTITUTE(SUBSTITUTE(INDEX('Etsy Import'!$A:$CZ,251,Settings!$C$23)&amp;"","$",""),",","")),0))</f>
        <v/>
      </c>
      <c r="E251" s="11">
        <f>IF(A251="","",IFERROR(VALUE(SUBSTITUTE(SUBSTITUTE(INDEX('Etsy Import'!$A:$CZ,251,Settings!$C$24)&amp;"","$",""),",","")),0))</f>
        <v/>
      </c>
      <c r="F251" s="11">
        <f>IF(A251="","",D251*E251)</f>
        <v/>
      </c>
      <c r="G251">
        <f>IF(A251="","",IF(C251="",1,COUNTIF($C$2:$C$1501,C251)))</f>
        <v/>
      </c>
      <c r="H251" s="11">
        <f>IF(A251="","",IFERROR(VALUE(SUBSTITUTE(SUBSTITUTE(INDEX('Etsy Import'!$A:$CZ,251,Settings!$C$25)&amp;"","$",""),",","")),0)/IF(Settings!$B$27="Yes",G251,1))</f>
        <v/>
      </c>
      <c r="I251" s="11">
        <f>IF(A251="","",IFERROR(VALUE(SUBSTITUTE(SUBSTITUTE(INDEX('Etsy Import'!$A:$CZ,251,Settings!$C$26)&amp;"","$",""),",","")),0)/IF(Settings!$B$27="Yes",G251,1))</f>
        <v/>
      </c>
      <c r="J251" s="11">
        <f>IF(A251="","",F251+H251-I251)</f>
        <v/>
      </c>
      <c r="K251">
        <f>IF(A251="","",IFERROR(IF(B251="",NA(),MATCH(B251,Products!$B$5:$B$204,0)),IFERROR(MATCH(A251,Products!$A$5:$A$204,0),"")))</f>
        <v/>
      </c>
      <c r="L251">
        <f>IF(A251="","",IF(K251="","⚠ not in Products",INDEX(Products!$A$5:$A$204,K251)))</f>
        <v/>
      </c>
      <c r="M251" s="11">
        <f>IF(A251="","",J251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251+IFERROR(INDEX(Settings!$D$5:$D$9,MATCH("Etsy",Settings!$A$5:$A$9,0)),0)*D251)</f>
        <v/>
      </c>
      <c r="N251" s="11">
        <f>IF(A251="","",IF(K251="",0,D251*INDEX(Products!$I$5:$I$204,K251)))</f>
        <v/>
      </c>
      <c r="O251" s="11">
        <f>IF(A251="","",IF(K251="",0,J251*INDEX(Products!$H$5:$H$204,K251)))</f>
        <v/>
      </c>
      <c r="P251" s="11">
        <f>IF(A251="","",J251-M251-N251-O251)</f>
        <v/>
      </c>
    </row>
    <row r="252">
      <c r="A252">
        <f>IFERROR(INDEX('Etsy Import'!$A:$CZ,252,Settings!$C$20)&amp;"","")</f>
        <v/>
      </c>
      <c r="B252">
        <f>IFERROR(INDEX('Etsy Import'!$A:$CZ,252,Settings!$C$21)&amp;"","")</f>
        <v/>
      </c>
      <c r="C252">
        <f>IFERROR(INDEX('Etsy Import'!$A:$CZ,252,Settings!$C$22)&amp;"","")</f>
        <v/>
      </c>
      <c r="D252">
        <f>IF(A252="","",IFERROR(VALUE(SUBSTITUTE(SUBSTITUTE(INDEX('Etsy Import'!$A:$CZ,252,Settings!$C$23)&amp;"","$",""),",","")),0))</f>
        <v/>
      </c>
      <c r="E252" s="11">
        <f>IF(A252="","",IFERROR(VALUE(SUBSTITUTE(SUBSTITUTE(INDEX('Etsy Import'!$A:$CZ,252,Settings!$C$24)&amp;"","$",""),",","")),0))</f>
        <v/>
      </c>
      <c r="F252" s="11">
        <f>IF(A252="","",D252*E252)</f>
        <v/>
      </c>
      <c r="G252">
        <f>IF(A252="","",IF(C252="",1,COUNTIF($C$2:$C$1501,C252)))</f>
        <v/>
      </c>
      <c r="H252" s="11">
        <f>IF(A252="","",IFERROR(VALUE(SUBSTITUTE(SUBSTITUTE(INDEX('Etsy Import'!$A:$CZ,252,Settings!$C$25)&amp;"","$",""),",","")),0)/IF(Settings!$B$27="Yes",G252,1))</f>
        <v/>
      </c>
      <c r="I252" s="11">
        <f>IF(A252="","",IFERROR(VALUE(SUBSTITUTE(SUBSTITUTE(INDEX('Etsy Import'!$A:$CZ,252,Settings!$C$26)&amp;"","$",""),",","")),0)/IF(Settings!$B$27="Yes",G252,1))</f>
        <v/>
      </c>
      <c r="J252" s="11">
        <f>IF(A252="","",F252+H252-I252)</f>
        <v/>
      </c>
      <c r="K252">
        <f>IF(A252="","",IFERROR(IF(B252="",NA(),MATCH(B252,Products!$B$5:$B$204,0)),IFERROR(MATCH(A252,Products!$A$5:$A$204,0),"")))</f>
        <v/>
      </c>
      <c r="L252">
        <f>IF(A252="","",IF(K252="","⚠ not in Products",INDEX(Products!$A$5:$A$204,K252)))</f>
        <v/>
      </c>
      <c r="M252" s="11">
        <f>IF(A252="","",J252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252+IFERROR(INDEX(Settings!$D$5:$D$9,MATCH("Etsy",Settings!$A$5:$A$9,0)),0)*D252)</f>
        <v/>
      </c>
      <c r="N252" s="11">
        <f>IF(A252="","",IF(K252="",0,D252*INDEX(Products!$I$5:$I$204,K252)))</f>
        <v/>
      </c>
      <c r="O252" s="11">
        <f>IF(A252="","",IF(K252="",0,J252*INDEX(Products!$H$5:$H$204,K252)))</f>
        <v/>
      </c>
      <c r="P252" s="11">
        <f>IF(A252="","",J252-M252-N252-O252)</f>
        <v/>
      </c>
    </row>
    <row r="253">
      <c r="A253">
        <f>IFERROR(INDEX('Etsy Import'!$A:$CZ,253,Settings!$C$20)&amp;"","")</f>
        <v/>
      </c>
      <c r="B253">
        <f>IFERROR(INDEX('Etsy Import'!$A:$CZ,253,Settings!$C$21)&amp;"","")</f>
        <v/>
      </c>
      <c r="C253">
        <f>IFERROR(INDEX('Etsy Import'!$A:$CZ,253,Settings!$C$22)&amp;"","")</f>
        <v/>
      </c>
      <c r="D253">
        <f>IF(A253="","",IFERROR(VALUE(SUBSTITUTE(SUBSTITUTE(INDEX('Etsy Import'!$A:$CZ,253,Settings!$C$23)&amp;"","$",""),",","")),0))</f>
        <v/>
      </c>
      <c r="E253" s="11">
        <f>IF(A253="","",IFERROR(VALUE(SUBSTITUTE(SUBSTITUTE(INDEX('Etsy Import'!$A:$CZ,253,Settings!$C$24)&amp;"","$",""),",","")),0))</f>
        <v/>
      </c>
      <c r="F253" s="11">
        <f>IF(A253="","",D253*E253)</f>
        <v/>
      </c>
      <c r="G253">
        <f>IF(A253="","",IF(C253="",1,COUNTIF($C$2:$C$1501,C253)))</f>
        <v/>
      </c>
      <c r="H253" s="11">
        <f>IF(A253="","",IFERROR(VALUE(SUBSTITUTE(SUBSTITUTE(INDEX('Etsy Import'!$A:$CZ,253,Settings!$C$25)&amp;"","$",""),",","")),0)/IF(Settings!$B$27="Yes",G253,1))</f>
        <v/>
      </c>
      <c r="I253" s="11">
        <f>IF(A253="","",IFERROR(VALUE(SUBSTITUTE(SUBSTITUTE(INDEX('Etsy Import'!$A:$CZ,253,Settings!$C$26)&amp;"","$",""),",","")),0)/IF(Settings!$B$27="Yes",G253,1))</f>
        <v/>
      </c>
      <c r="J253" s="11">
        <f>IF(A253="","",F253+H253-I253)</f>
        <v/>
      </c>
      <c r="K253">
        <f>IF(A253="","",IFERROR(IF(B253="",NA(),MATCH(B253,Products!$B$5:$B$204,0)),IFERROR(MATCH(A253,Products!$A$5:$A$204,0),"")))</f>
        <v/>
      </c>
      <c r="L253">
        <f>IF(A253="","",IF(K253="","⚠ not in Products",INDEX(Products!$A$5:$A$204,K253)))</f>
        <v/>
      </c>
      <c r="M253" s="11">
        <f>IF(A253="","",J253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253+IFERROR(INDEX(Settings!$D$5:$D$9,MATCH("Etsy",Settings!$A$5:$A$9,0)),0)*D253)</f>
        <v/>
      </c>
      <c r="N253" s="11">
        <f>IF(A253="","",IF(K253="",0,D253*INDEX(Products!$I$5:$I$204,K253)))</f>
        <v/>
      </c>
      <c r="O253" s="11">
        <f>IF(A253="","",IF(K253="",0,J253*INDEX(Products!$H$5:$H$204,K253)))</f>
        <v/>
      </c>
      <c r="P253" s="11">
        <f>IF(A253="","",J253-M253-N253-O253)</f>
        <v/>
      </c>
    </row>
    <row r="254">
      <c r="A254">
        <f>IFERROR(INDEX('Etsy Import'!$A:$CZ,254,Settings!$C$20)&amp;"","")</f>
        <v/>
      </c>
      <c r="B254">
        <f>IFERROR(INDEX('Etsy Import'!$A:$CZ,254,Settings!$C$21)&amp;"","")</f>
        <v/>
      </c>
      <c r="C254">
        <f>IFERROR(INDEX('Etsy Import'!$A:$CZ,254,Settings!$C$22)&amp;"","")</f>
        <v/>
      </c>
      <c r="D254">
        <f>IF(A254="","",IFERROR(VALUE(SUBSTITUTE(SUBSTITUTE(INDEX('Etsy Import'!$A:$CZ,254,Settings!$C$23)&amp;"","$",""),",","")),0))</f>
        <v/>
      </c>
      <c r="E254" s="11">
        <f>IF(A254="","",IFERROR(VALUE(SUBSTITUTE(SUBSTITUTE(INDEX('Etsy Import'!$A:$CZ,254,Settings!$C$24)&amp;"","$",""),",","")),0))</f>
        <v/>
      </c>
      <c r="F254" s="11">
        <f>IF(A254="","",D254*E254)</f>
        <v/>
      </c>
      <c r="G254">
        <f>IF(A254="","",IF(C254="",1,COUNTIF($C$2:$C$1501,C254)))</f>
        <v/>
      </c>
      <c r="H254" s="11">
        <f>IF(A254="","",IFERROR(VALUE(SUBSTITUTE(SUBSTITUTE(INDEX('Etsy Import'!$A:$CZ,254,Settings!$C$25)&amp;"","$",""),",","")),0)/IF(Settings!$B$27="Yes",G254,1))</f>
        <v/>
      </c>
      <c r="I254" s="11">
        <f>IF(A254="","",IFERROR(VALUE(SUBSTITUTE(SUBSTITUTE(INDEX('Etsy Import'!$A:$CZ,254,Settings!$C$26)&amp;"","$",""),",","")),0)/IF(Settings!$B$27="Yes",G254,1))</f>
        <v/>
      </c>
      <c r="J254" s="11">
        <f>IF(A254="","",F254+H254-I254)</f>
        <v/>
      </c>
      <c r="K254">
        <f>IF(A254="","",IFERROR(IF(B254="",NA(),MATCH(B254,Products!$B$5:$B$204,0)),IFERROR(MATCH(A254,Products!$A$5:$A$204,0),"")))</f>
        <v/>
      </c>
      <c r="L254">
        <f>IF(A254="","",IF(K254="","⚠ not in Products",INDEX(Products!$A$5:$A$204,K254)))</f>
        <v/>
      </c>
      <c r="M254" s="11">
        <f>IF(A254="","",J254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254+IFERROR(INDEX(Settings!$D$5:$D$9,MATCH("Etsy",Settings!$A$5:$A$9,0)),0)*D254)</f>
        <v/>
      </c>
      <c r="N254" s="11">
        <f>IF(A254="","",IF(K254="",0,D254*INDEX(Products!$I$5:$I$204,K254)))</f>
        <v/>
      </c>
      <c r="O254" s="11">
        <f>IF(A254="","",IF(K254="",0,J254*INDEX(Products!$H$5:$H$204,K254)))</f>
        <v/>
      </c>
      <c r="P254" s="11">
        <f>IF(A254="","",J254-M254-N254-O254)</f>
        <v/>
      </c>
    </row>
    <row r="255">
      <c r="A255">
        <f>IFERROR(INDEX('Etsy Import'!$A:$CZ,255,Settings!$C$20)&amp;"","")</f>
        <v/>
      </c>
      <c r="B255">
        <f>IFERROR(INDEX('Etsy Import'!$A:$CZ,255,Settings!$C$21)&amp;"","")</f>
        <v/>
      </c>
      <c r="C255">
        <f>IFERROR(INDEX('Etsy Import'!$A:$CZ,255,Settings!$C$22)&amp;"","")</f>
        <v/>
      </c>
      <c r="D255">
        <f>IF(A255="","",IFERROR(VALUE(SUBSTITUTE(SUBSTITUTE(INDEX('Etsy Import'!$A:$CZ,255,Settings!$C$23)&amp;"","$",""),",","")),0))</f>
        <v/>
      </c>
      <c r="E255" s="11">
        <f>IF(A255="","",IFERROR(VALUE(SUBSTITUTE(SUBSTITUTE(INDEX('Etsy Import'!$A:$CZ,255,Settings!$C$24)&amp;"","$",""),",","")),0))</f>
        <v/>
      </c>
      <c r="F255" s="11">
        <f>IF(A255="","",D255*E255)</f>
        <v/>
      </c>
      <c r="G255">
        <f>IF(A255="","",IF(C255="",1,COUNTIF($C$2:$C$1501,C255)))</f>
        <v/>
      </c>
      <c r="H255" s="11">
        <f>IF(A255="","",IFERROR(VALUE(SUBSTITUTE(SUBSTITUTE(INDEX('Etsy Import'!$A:$CZ,255,Settings!$C$25)&amp;"","$",""),",","")),0)/IF(Settings!$B$27="Yes",G255,1))</f>
        <v/>
      </c>
      <c r="I255" s="11">
        <f>IF(A255="","",IFERROR(VALUE(SUBSTITUTE(SUBSTITUTE(INDEX('Etsy Import'!$A:$CZ,255,Settings!$C$26)&amp;"","$",""),",","")),0)/IF(Settings!$B$27="Yes",G255,1))</f>
        <v/>
      </c>
      <c r="J255" s="11">
        <f>IF(A255="","",F255+H255-I255)</f>
        <v/>
      </c>
      <c r="K255">
        <f>IF(A255="","",IFERROR(IF(B255="",NA(),MATCH(B255,Products!$B$5:$B$204,0)),IFERROR(MATCH(A255,Products!$A$5:$A$204,0),"")))</f>
        <v/>
      </c>
      <c r="L255">
        <f>IF(A255="","",IF(K255="","⚠ not in Products",INDEX(Products!$A$5:$A$204,K255)))</f>
        <v/>
      </c>
      <c r="M255" s="11">
        <f>IF(A255="","",J255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255+IFERROR(INDEX(Settings!$D$5:$D$9,MATCH("Etsy",Settings!$A$5:$A$9,0)),0)*D255)</f>
        <v/>
      </c>
      <c r="N255" s="11">
        <f>IF(A255="","",IF(K255="",0,D255*INDEX(Products!$I$5:$I$204,K255)))</f>
        <v/>
      </c>
      <c r="O255" s="11">
        <f>IF(A255="","",IF(K255="",0,J255*INDEX(Products!$H$5:$H$204,K255)))</f>
        <v/>
      </c>
      <c r="P255" s="11">
        <f>IF(A255="","",J255-M255-N255-O255)</f>
        <v/>
      </c>
    </row>
    <row r="256">
      <c r="A256">
        <f>IFERROR(INDEX('Etsy Import'!$A:$CZ,256,Settings!$C$20)&amp;"","")</f>
        <v/>
      </c>
      <c r="B256">
        <f>IFERROR(INDEX('Etsy Import'!$A:$CZ,256,Settings!$C$21)&amp;"","")</f>
        <v/>
      </c>
      <c r="C256">
        <f>IFERROR(INDEX('Etsy Import'!$A:$CZ,256,Settings!$C$22)&amp;"","")</f>
        <v/>
      </c>
      <c r="D256">
        <f>IF(A256="","",IFERROR(VALUE(SUBSTITUTE(SUBSTITUTE(INDEX('Etsy Import'!$A:$CZ,256,Settings!$C$23)&amp;"","$",""),",","")),0))</f>
        <v/>
      </c>
      <c r="E256" s="11">
        <f>IF(A256="","",IFERROR(VALUE(SUBSTITUTE(SUBSTITUTE(INDEX('Etsy Import'!$A:$CZ,256,Settings!$C$24)&amp;"","$",""),",","")),0))</f>
        <v/>
      </c>
      <c r="F256" s="11">
        <f>IF(A256="","",D256*E256)</f>
        <v/>
      </c>
      <c r="G256">
        <f>IF(A256="","",IF(C256="",1,COUNTIF($C$2:$C$1501,C256)))</f>
        <v/>
      </c>
      <c r="H256" s="11">
        <f>IF(A256="","",IFERROR(VALUE(SUBSTITUTE(SUBSTITUTE(INDEX('Etsy Import'!$A:$CZ,256,Settings!$C$25)&amp;"","$",""),",","")),0)/IF(Settings!$B$27="Yes",G256,1))</f>
        <v/>
      </c>
      <c r="I256" s="11">
        <f>IF(A256="","",IFERROR(VALUE(SUBSTITUTE(SUBSTITUTE(INDEX('Etsy Import'!$A:$CZ,256,Settings!$C$26)&amp;"","$",""),",","")),0)/IF(Settings!$B$27="Yes",G256,1))</f>
        <v/>
      </c>
      <c r="J256" s="11">
        <f>IF(A256="","",F256+H256-I256)</f>
        <v/>
      </c>
      <c r="K256">
        <f>IF(A256="","",IFERROR(IF(B256="",NA(),MATCH(B256,Products!$B$5:$B$204,0)),IFERROR(MATCH(A256,Products!$A$5:$A$204,0),"")))</f>
        <v/>
      </c>
      <c r="L256">
        <f>IF(A256="","",IF(K256="","⚠ not in Products",INDEX(Products!$A$5:$A$204,K256)))</f>
        <v/>
      </c>
      <c r="M256" s="11">
        <f>IF(A256="","",J256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256+IFERROR(INDEX(Settings!$D$5:$D$9,MATCH("Etsy",Settings!$A$5:$A$9,0)),0)*D256)</f>
        <v/>
      </c>
      <c r="N256" s="11">
        <f>IF(A256="","",IF(K256="",0,D256*INDEX(Products!$I$5:$I$204,K256)))</f>
        <v/>
      </c>
      <c r="O256" s="11">
        <f>IF(A256="","",IF(K256="",0,J256*INDEX(Products!$H$5:$H$204,K256)))</f>
        <v/>
      </c>
      <c r="P256" s="11">
        <f>IF(A256="","",J256-M256-N256-O256)</f>
        <v/>
      </c>
    </row>
    <row r="257">
      <c r="A257">
        <f>IFERROR(INDEX('Etsy Import'!$A:$CZ,257,Settings!$C$20)&amp;"","")</f>
        <v/>
      </c>
      <c r="B257">
        <f>IFERROR(INDEX('Etsy Import'!$A:$CZ,257,Settings!$C$21)&amp;"","")</f>
        <v/>
      </c>
      <c r="C257">
        <f>IFERROR(INDEX('Etsy Import'!$A:$CZ,257,Settings!$C$22)&amp;"","")</f>
        <v/>
      </c>
      <c r="D257">
        <f>IF(A257="","",IFERROR(VALUE(SUBSTITUTE(SUBSTITUTE(INDEX('Etsy Import'!$A:$CZ,257,Settings!$C$23)&amp;"","$",""),",","")),0))</f>
        <v/>
      </c>
      <c r="E257" s="11">
        <f>IF(A257="","",IFERROR(VALUE(SUBSTITUTE(SUBSTITUTE(INDEX('Etsy Import'!$A:$CZ,257,Settings!$C$24)&amp;"","$",""),",","")),0))</f>
        <v/>
      </c>
      <c r="F257" s="11">
        <f>IF(A257="","",D257*E257)</f>
        <v/>
      </c>
      <c r="G257">
        <f>IF(A257="","",IF(C257="",1,COUNTIF($C$2:$C$1501,C257)))</f>
        <v/>
      </c>
      <c r="H257" s="11">
        <f>IF(A257="","",IFERROR(VALUE(SUBSTITUTE(SUBSTITUTE(INDEX('Etsy Import'!$A:$CZ,257,Settings!$C$25)&amp;"","$",""),",","")),0)/IF(Settings!$B$27="Yes",G257,1))</f>
        <v/>
      </c>
      <c r="I257" s="11">
        <f>IF(A257="","",IFERROR(VALUE(SUBSTITUTE(SUBSTITUTE(INDEX('Etsy Import'!$A:$CZ,257,Settings!$C$26)&amp;"","$",""),",","")),0)/IF(Settings!$B$27="Yes",G257,1))</f>
        <v/>
      </c>
      <c r="J257" s="11">
        <f>IF(A257="","",F257+H257-I257)</f>
        <v/>
      </c>
      <c r="K257">
        <f>IF(A257="","",IFERROR(IF(B257="",NA(),MATCH(B257,Products!$B$5:$B$204,0)),IFERROR(MATCH(A257,Products!$A$5:$A$204,0),"")))</f>
        <v/>
      </c>
      <c r="L257">
        <f>IF(A257="","",IF(K257="","⚠ not in Products",INDEX(Products!$A$5:$A$204,K257)))</f>
        <v/>
      </c>
      <c r="M257" s="11">
        <f>IF(A257="","",J257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257+IFERROR(INDEX(Settings!$D$5:$D$9,MATCH("Etsy",Settings!$A$5:$A$9,0)),0)*D257)</f>
        <v/>
      </c>
      <c r="N257" s="11">
        <f>IF(A257="","",IF(K257="",0,D257*INDEX(Products!$I$5:$I$204,K257)))</f>
        <v/>
      </c>
      <c r="O257" s="11">
        <f>IF(A257="","",IF(K257="",0,J257*INDEX(Products!$H$5:$H$204,K257)))</f>
        <v/>
      </c>
      <c r="P257" s="11">
        <f>IF(A257="","",J257-M257-N257-O257)</f>
        <v/>
      </c>
    </row>
    <row r="258">
      <c r="A258">
        <f>IFERROR(INDEX('Etsy Import'!$A:$CZ,258,Settings!$C$20)&amp;"","")</f>
        <v/>
      </c>
      <c r="B258">
        <f>IFERROR(INDEX('Etsy Import'!$A:$CZ,258,Settings!$C$21)&amp;"","")</f>
        <v/>
      </c>
      <c r="C258">
        <f>IFERROR(INDEX('Etsy Import'!$A:$CZ,258,Settings!$C$22)&amp;"","")</f>
        <v/>
      </c>
      <c r="D258">
        <f>IF(A258="","",IFERROR(VALUE(SUBSTITUTE(SUBSTITUTE(INDEX('Etsy Import'!$A:$CZ,258,Settings!$C$23)&amp;"","$",""),",","")),0))</f>
        <v/>
      </c>
      <c r="E258" s="11">
        <f>IF(A258="","",IFERROR(VALUE(SUBSTITUTE(SUBSTITUTE(INDEX('Etsy Import'!$A:$CZ,258,Settings!$C$24)&amp;"","$",""),",","")),0))</f>
        <v/>
      </c>
      <c r="F258" s="11">
        <f>IF(A258="","",D258*E258)</f>
        <v/>
      </c>
      <c r="G258">
        <f>IF(A258="","",IF(C258="",1,COUNTIF($C$2:$C$1501,C258)))</f>
        <v/>
      </c>
      <c r="H258" s="11">
        <f>IF(A258="","",IFERROR(VALUE(SUBSTITUTE(SUBSTITUTE(INDEX('Etsy Import'!$A:$CZ,258,Settings!$C$25)&amp;"","$",""),",","")),0)/IF(Settings!$B$27="Yes",G258,1))</f>
        <v/>
      </c>
      <c r="I258" s="11">
        <f>IF(A258="","",IFERROR(VALUE(SUBSTITUTE(SUBSTITUTE(INDEX('Etsy Import'!$A:$CZ,258,Settings!$C$26)&amp;"","$",""),",","")),0)/IF(Settings!$B$27="Yes",G258,1))</f>
        <v/>
      </c>
      <c r="J258" s="11">
        <f>IF(A258="","",F258+H258-I258)</f>
        <v/>
      </c>
      <c r="K258">
        <f>IF(A258="","",IFERROR(IF(B258="",NA(),MATCH(B258,Products!$B$5:$B$204,0)),IFERROR(MATCH(A258,Products!$A$5:$A$204,0),"")))</f>
        <v/>
      </c>
      <c r="L258">
        <f>IF(A258="","",IF(K258="","⚠ not in Products",INDEX(Products!$A$5:$A$204,K258)))</f>
        <v/>
      </c>
      <c r="M258" s="11">
        <f>IF(A258="","",J258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258+IFERROR(INDEX(Settings!$D$5:$D$9,MATCH("Etsy",Settings!$A$5:$A$9,0)),0)*D258)</f>
        <v/>
      </c>
      <c r="N258" s="11">
        <f>IF(A258="","",IF(K258="",0,D258*INDEX(Products!$I$5:$I$204,K258)))</f>
        <v/>
      </c>
      <c r="O258" s="11">
        <f>IF(A258="","",IF(K258="",0,J258*INDEX(Products!$H$5:$H$204,K258)))</f>
        <v/>
      </c>
      <c r="P258" s="11">
        <f>IF(A258="","",J258-M258-N258-O258)</f>
        <v/>
      </c>
    </row>
    <row r="259">
      <c r="A259">
        <f>IFERROR(INDEX('Etsy Import'!$A:$CZ,259,Settings!$C$20)&amp;"","")</f>
        <v/>
      </c>
      <c r="B259">
        <f>IFERROR(INDEX('Etsy Import'!$A:$CZ,259,Settings!$C$21)&amp;"","")</f>
        <v/>
      </c>
      <c r="C259">
        <f>IFERROR(INDEX('Etsy Import'!$A:$CZ,259,Settings!$C$22)&amp;"","")</f>
        <v/>
      </c>
      <c r="D259">
        <f>IF(A259="","",IFERROR(VALUE(SUBSTITUTE(SUBSTITUTE(INDEX('Etsy Import'!$A:$CZ,259,Settings!$C$23)&amp;"","$",""),",","")),0))</f>
        <v/>
      </c>
      <c r="E259" s="11">
        <f>IF(A259="","",IFERROR(VALUE(SUBSTITUTE(SUBSTITUTE(INDEX('Etsy Import'!$A:$CZ,259,Settings!$C$24)&amp;"","$",""),",","")),0))</f>
        <v/>
      </c>
      <c r="F259" s="11">
        <f>IF(A259="","",D259*E259)</f>
        <v/>
      </c>
      <c r="G259">
        <f>IF(A259="","",IF(C259="",1,COUNTIF($C$2:$C$1501,C259)))</f>
        <v/>
      </c>
      <c r="H259" s="11">
        <f>IF(A259="","",IFERROR(VALUE(SUBSTITUTE(SUBSTITUTE(INDEX('Etsy Import'!$A:$CZ,259,Settings!$C$25)&amp;"","$",""),",","")),0)/IF(Settings!$B$27="Yes",G259,1))</f>
        <v/>
      </c>
      <c r="I259" s="11">
        <f>IF(A259="","",IFERROR(VALUE(SUBSTITUTE(SUBSTITUTE(INDEX('Etsy Import'!$A:$CZ,259,Settings!$C$26)&amp;"","$",""),",","")),0)/IF(Settings!$B$27="Yes",G259,1))</f>
        <v/>
      </c>
      <c r="J259" s="11">
        <f>IF(A259="","",F259+H259-I259)</f>
        <v/>
      </c>
      <c r="K259">
        <f>IF(A259="","",IFERROR(IF(B259="",NA(),MATCH(B259,Products!$B$5:$B$204,0)),IFERROR(MATCH(A259,Products!$A$5:$A$204,0),"")))</f>
        <v/>
      </c>
      <c r="L259">
        <f>IF(A259="","",IF(K259="","⚠ not in Products",INDEX(Products!$A$5:$A$204,K259)))</f>
        <v/>
      </c>
      <c r="M259" s="11">
        <f>IF(A259="","",J259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259+IFERROR(INDEX(Settings!$D$5:$D$9,MATCH("Etsy",Settings!$A$5:$A$9,0)),0)*D259)</f>
        <v/>
      </c>
      <c r="N259" s="11">
        <f>IF(A259="","",IF(K259="",0,D259*INDEX(Products!$I$5:$I$204,K259)))</f>
        <v/>
      </c>
      <c r="O259" s="11">
        <f>IF(A259="","",IF(K259="",0,J259*INDEX(Products!$H$5:$H$204,K259)))</f>
        <v/>
      </c>
      <c r="P259" s="11">
        <f>IF(A259="","",J259-M259-N259-O259)</f>
        <v/>
      </c>
    </row>
    <row r="260">
      <c r="A260">
        <f>IFERROR(INDEX('Etsy Import'!$A:$CZ,260,Settings!$C$20)&amp;"","")</f>
        <v/>
      </c>
      <c r="B260">
        <f>IFERROR(INDEX('Etsy Import'!$A:$CZ,260,Settings!$C$21)&amp;"","")</f>
        <v/>
      </c>
      <c r="C260">
        <f>IFERROR(INDEX('Etsy Import'!$A:$CZ,260,Settings!$C$22)&amp;"","")</f>
        <v/>
      </c>
      <c r="D260">
        <f>IF(A260="","",IFERROR(VALUE(SUBSTITUTE(SUBSTITUTE(INDEX('Etsy Import'!$A:$CZ,260,Settings!$C$23)&amp;"","$",""),",","")),0))</f>
        <v/>
      </c>
      <c r="E260" s="11">
        <f>IF(A260="","",IFERROR(VALUE(SUBSTITUTE(SUBSTITUTE(INDEX('Etsy Import'!$A:$CZ,260,Settings!$C$24)&amp;"","$",""),",","")),0))</f>
        <v/>
      </c>
      <c r="F260" s="11">
        <f>IF(A260="","",D260*E260)</f>
        <v/>
      </c>
      <c r="G260">
        <f>IF(A260="","",IF(C260="",1,COUNTIF($C$2:$C$1501,C260)))</f>
        <v/>
      </c>
      <c r="H260" s="11">
        <f>IF(A260="","",IFERROR(VALUE(SUBSTITUTE(SUBSTITUTE(INDEX('Etsy Import'!$A:$CZ,260,Settings!$C$25)&amp;"","$",""),",","")),0)/IF(Settings!$B$27="Yes",G260,1))</f>
        <v/>
      </c>
      <c r="I260" s="11">
        <f>IF(A260="","",IFERROR(VALUE(SUBSTITUTE(SUBSTITUTE(INDEX('Etsy Import'!$A:$CZ,260,Settings!$C$26)&amp;"","$",""),",","")),0)/IF(Settings!$B$27="Yes",G260,1))</f>
        <v/>
      </c>
      <c r="J260" s="11">
        <f>IF(A260="","",F260+H260-I260)</f>
        <v/>
      </c>
      <c r="K260">
        <f>IF(A260="","",IFERROR(IF(B260="",NA(),MATCH(B260,Products!$B$5:$B$204,0)),IFERROR(MATCH(A260,Products!$A$5:$A$204,0),"")))</f>
        <v/>
      </c>
      <c r="L260">
        <f>IF(A260="","",IF(K260="","⚠ not in Products",INDEX(Products!$A$5:$A$204,K260)))</f>
        <v/>
      </c>
      <c r="M260" s="11">
        <f>IF(A260="","",J260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260+IFERROR(INDEX(Settings!$D$5:$D$9,MATCH("Etsy",Settings!$A$5:$A$9,0)),0)*D260)</f>
        <v/>
      </c>
      <c r="N260" s="11">
        <f>IF(A260="","",IF(K260="",0,D260*INDEX(Products!$I$5:$I$204,K260)))</f>
        <v/>
      </c>
      <c r="O260" s="11">
        <f>IF(A260="","",IF(K260="",0,J260*INDEX(Products!$H$5:$H$204,K260)))</f>
        <v/>
      </c>
      <c r="P260" s="11">
        <f>IF(A260="","",J260-M260-N260-O260)</f>
        <v/>
      </c>
    </row>
    <row r="261">
      <c r="A261">
        <f>IFERROR(INDEX('Etsy Import'!$A:$CZ,261,Settings!$C$20)&amp;"","")</f>
        <v/>
      </c>
      <c r="B261">
        <f>IFERROR(INDEX('Etsy Import'!$A:$CZ,261,Settings!$C$21)&amp;"","")</f>
        <v/>
      </c>
      <c r="C261">
        <f>IFERROR(INDEX('Etsy Import'!$A:$CZ,261,Settings!$C$22)&amp;"","")</f>
        <v/>
      </c>
      <c r="D261">
        <f>IF(A261="","",IFERROR(VALUE(SUBSTITUTE(SUBSTITUTE(INDEX('Etsy Import'!$A:$CZ,261,Settings!$C$23)&amp;"","$",""),",","")),0))</f>
        <v/>
      </c>
      <c r="E261" s="11">
        <f>IF(A261="","",IFERROR(VALUE(SUBSTITUTE(SUBSTITUTE(INDEX('Etsy Import'!$A:$CZ,261,Settings!$C$24)&amp;"","$",""),",","")),0))</f>
        <v/>
      </c>
      <c r="F261" s="11">
        <f>IF(A261="","",D261*E261)</f>
        <v/>
      </c>
      <c r="G261">
        <f>IF(A261="","",IF(C261="",1,COUNTIF($C$2:$C$1501,C261)))</f>
        <v/>
      </c>
      <c r="H261" s="11">
        <f>IF(A261="","",IFERROR(VALUE(SUBSTITUTE(SUBSTITUTE(INDEX('Etsy Import'!$A:$CZ,261,Settings!$C$25)&amp;"","$",""),",","")),0)/IF(Settings!$B$27="Yes",G261,1))</f>
        <v/>
      </c>
      <c r="I261" s="11">
        <f>IF(A261="","",IFERROR(VALUE(SUBSTITUTE(SUBSTITUTE(INDEX('Etsy Import'!$A:$CZ,261,Settings!$C$26)&amp;"","$",""),",","")),0)/IF(Settings!$B$27="Yes",G261,1))</f>
        <v/>
      </c>
      <c r="J261" s="11">
        <f>IF(A261="","",F261+H261-I261)</f>
        <v/>
      </c>
      <c r="K261">
        <f>IF(A261="","",IFERROR(IF(B261="",NA(),MATCH(B261,Products!$B$5:$B$204,0)),IFERROR(MATCH(A261,Products!$A$5:$A$204,0),"")))</f>
        <v/>
      </c>
      <c r="L261">
        <f>IF(A261="","",IF(K261="","⚠ not in Products",INDEX(Products!$A$5:$A$204,K261)))</f>
        <v/>
      </c>
      <c r="M261" s="11">
        <f>IF(A261="","",J261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261+IFERROR(INDEX(Settings!$D$5:$D$9,MATCH("Etsy",Settings!$A$5:$A$9,0)),0)*D261)</f>
        <v/>
      </c>
      <c r="N261" s="11">
        <f>IF(A261="","",IF(K261="",0,D261*INDEX(Products!$I$5:$I$204,K261)))</f>
        <v/>
      </c>
      <c r="O261" s="11">
        <f>IF(A261="","",IF(K261="",0,J261*INDEX(Products!$H$5:$H$204,K261)))</f>
        <v/>
      </c>
      <c r="P261" s="11">
        <f>IF(A261="","",J261-M261-N261-O261)</f>
        <v/>
      </c>
    </row>
    <row r="262">
      <c r="A262">
        <f>IFERROR(INDEX('Etsy Import'!$A:$CZ,262,Settings!$C$20)&amp;"","")</f>
        <v/>
      </c>
      <c r="B262">
        <f>IFERROR(INDEX('Etsy Import'!$A:$CZ,262,Settings!$C$21)&amp;"","")</f>
        <v/>
      </c>
      <c r="C262">
        <f>IFERROR(INDEX('Etsy Import'!$A:$CZ,262,Settings!$C$22)&amp;"","")</f>
        <v/>
      </c>
      <c r="D262">
        <f>IF(A262="","",IFERROR(VALUE(SUBSTITUTE(SUBSTITUTE(INDEX('Etsy Import'!$A:$CZ,262,Settings!$C$23)&amp;"","$",""),",","")),0))</f>
        <v/>
      </c>
      <c r="E262" s="11">
        <f>IF(A262="","",IFERROR(VALUE(SUBSTITUTE(SUBSTITUTE(INDEX('Etsy Import'!$A:$CZ,262,Settings!$C$24)&amp;"","$",""),",","")),0))</f>
        <v/>
      </c>
      <c r="F262" s="11">
        <f>IF(A262="","",D262*E262)</f>
        <v/>
      </c>
      <c r="G262">
        <f>IF(A262="","",IF(C262="",1,COUNTIF($C$2:$C$1501,C262)))</f>
        <v/>
      </c>
      <c r="H262" s="11">
        <f>IF(A262="","",IFERROR(VALUE(SUBSTITUTE(SUBSTITUTE(INDEX('Etsy Import'!$A:$CZ,262,Settings!$C$25)&amp;"","$",""),",","")),0)/IF(Settings!$B$27="Yes",G262,1))</f>
        <v/>
      </c>
      <c r="I262" s="11">
        <f>IF(A262="","",IFERROR(VALUE(SUBSTITUTE(SUBSTITUTE(INDEX('Etsy Import'!$A:$CZ,262,Settings!$C$26)&amp;"","$",""),",","")),0)/IF(Settings!$B$27="Yes",G262,1))</f>
        <v/>
      </c>
      <c r="J262" s="11">
        <f>IF(A262="","",F262+H262-I262)</f>
        <v/>
      </c>
      <c r="K262">
        <f>IF(A262="","",IFERROR(IF(B262="",NA(),MATCH(B262,Products!$B$5:$B$204,0)),IFERROR(MATCH(A262,Products!$A$5:$A$204,0),"")))</f>
        <v/>
      </c>
      <c r="L262">
        <f>IF(A262="","",IF(K262="","⚠ not in Products",INDEX(Products!$A$5:$A$204,K262)))</f>
        <v/>
      </c>
      <c r="M262" s="11">
        <f>IF(A262="","",J262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262+IFERROR(INDEX(Settings!$D$5:$D$9,MATCH("Etsy",Settings!$A$5:$A$9,0)),0)*D262)</f>
        <v/>
      </c>
      <c r="N262" s="11">
        <f>IF(A262="","",IF(K262="",0,D262*INDEX(Products!$I$5:$I$204,K262)))</f>
        <v/>
      </c>
      <c r="O262" s="11">
        <f>IF(A262="","",IF(K262="",0,J262*INDEX(Products!$H$5:$H$204,K262)))</f>
        <v/>
      </c>
      <c r="P262" s="11">
        <f>IF(A262="","",J262-M262-N262-O262)</f>
        <v/>
      </c>
    </row>
    <row r="263">
      <c r="A263">
        <f>IFERROR(INDEX('Etsy Import'!$A:$CZ,263,Settings!$C$20)&amp;"","")</f>
        <v/>
      </c>
      <c r="B263">
        <f>IFERROR(INDEX('Etsy Import'!$A:$CZ,263,Settings!$C$21)&amp;"","")</f>
        <v/>
      </c>
      <c r="C263">
        <f>IFERROR(INDEX('Etsy Import'!$A:$CZ,263,Settings!$C$22)&amp;"","")</f>
        <v/>
      </c>
      <c r="D263">
        <f>IF(A263="","",IFERROR(VALUE(SUBSTITUTE(SUBSTITUTE(INDEX('Etsy Import'!$A:$CZ,263,Settings!$C$23)&amp;"","$",""),",","")),0))</f>
        <v/>
      </c>
      <c r="E263" s="11">
        <f>IF(A263="","",IFERROR(VALUE(SUBSTITUTE(SUBSTITUTE(INDEX('Etsy Import'!$A:$CZ,263,Settings!$C$24)&amp;"","$",""),",","")),0))</f>
        <v/>
      </c>
      <c r="F263" s="11">
        <f>IF(A263="","",D263*E263)</f>
        <v/>
      </c>
      <c r="G263">
        <f>IF(A263="","",IF(C263="",1,COUNTIF($C$2:$C$1501,C263)))</f>
        <v/>
      </c>
      <c r="H263" s="11">
        <f>IF(A263="","",IFERROR(VALUE(SUBSTITUTE(SUBSTITUTE(INDEX('Etsy Import'!$A:$CZ,263,Settings!$C$25)&amp;"","$",""),",","")),0)/IF(Settings!$B$27="Yes",G263,1))</f>
        <v/>
      </c>
      <c r="I263" s="11">
        <f>IF(A263="","",IFERROR(VALUE(SUBSTITUTE(SUBSTITUTE(INDEX('Etsy Import'!$A:$CZ,263,Settings!$C$26)&amp;"","$",""),",","")),0)/IF(Settings!$B$27="Yes",G263,1))</f>
        <v/>
      </c>
      <c r="J263" s="11">
        <f>IF(A263="","",F263+H263-I263)</f>
        <v/>
      </c>
      <c r="K263">
        <f>IF(A263="","",IFERROR(IF(B263="",NA(),MATCH(B263,Products!$B$5:$B$204,0)),IFERROR(MATCH(A263,Products!$A$5:$A$204,0),"")))</f>
        <v/>
      </c>
      <c r="L263">
        <f>IF(A263="","",IF(K263="","⚠ not in Products",INDEX(Products!$A$5:$A$204,K263)))</f>
        <v/>
      </c>
      <c r="M263" s="11">
        <f>IF(A263="","",J263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263+IFERROR(INDEX(Settings!$D$5:$D$9,MATCH("Etsy",Settings!$A$5:$A$9,0)),0)*D263)</f>
        <v/>
      </c>
      <c r="N263" s="11">
        <f>IF(A263="","",IF(K263="",0,D263*INDEX(Products!$I$5:$I$204,K263)))</f>
        <v/>
      </c>
      <c r="O263" s="11">
        <f>IF(A263="","",IF(K263="",0,J263*INDEX(Products!$H$5:$H$204,K263)))</f>
        <v/>
      </c>
      <c r="P263" s="11">
        <f>IF(A263="","",J263-M263-N263-O263)</f>
        <v/>
      </c>
    </row>
    <row r="264">
      <c r="A264">
        <f>IFERROR(INDEX('Etsy Import'!$A:$CZ,264,Settings!$C$20)&amp;"","")</f>
        <v/>
      </c>
      <c r="B264">
        <f>IFERROR(INDEX('Etsy Import'!$A:$CZ,264,Settings!$C$21)&amp;"","")</f>
        <v/>
      </c>
      <c r="C264">
        <f>IFERROR(INDEX('Etsy Import'!$A:$CZ,264,Settings!$C$22)&amp;"","")</f>
        <v/>
      </c>
      <c r="D264">
        <f>IF(A264="","",IFERROR(VALUE(SUBSTITUTE(SUBSTITUTE(INDEX('Etsy Import'!$A:$CZ,264,Settings!$C$23)&amp;"","$",""),",","")),0))</f>
        <v/>
      </c>
      <c r="E264" s="11">
        <f>IF(A264="","",IFERROR(VALUE(SUBSTITUTE(SUBSTITUTE(INDEX('Etsy Import'!$A:$CZ,264,Settings!$C$24)&amp;"","$",""),",","")),0))</f>
        <v/>
      </c>
      <c r="F264" s="11">
        <f>IF(A264="","",D264*E264)</f>
        <v/>
      </c>
      <c r="G264">
        <f>IF(A264="","",IF(C264="",1,COUNTIF($C$2:$C$1501,C264)))</f>
        <v/>
      </c>
      <c r="H264" s="11">
        <f>IF(A264="","",IFERROR(VALUE(SUBSTITUTE(SUBSTITUTE(INDEX('Etsy Import'!$A:$CZ,264,Settings!$C$25)&amp;"","$",""),",","")),0)/IF(Settings!$B$27="Yes",G264,1))</f>
        <v/>
      </c>
      <c r="I264" s="11">
        <f>IF(A264="","",IFERROR(VALUE(SUBSTITUTE(SUBSTITUTE(INDEX('Etsy Import'!$A:$CZ,264,Settings!$C$26)&amp;"","$",""),",","")),0)/IF(Settings!$B$27="Yes",G264,1))</f>
        <v/>
      </c>
      <c r="J264" s="11">
        <f>IF(A264="","",F264+H264-I264)</f>
        <v/>
      </c>
      <c r="K264">
        <f>IF(A264="","",IFERROR(IF(B264="",NA(),MATCH(B264,Products!$B$5:$B$204,0)),IFERROR(MATCH(A264,Products!$A$5:$A$204,0),"")))</f>
        <v/>
      </c>
      <c r="L264">
        <f>IF(A264="","",IF(K264="","⚠ not in Products",INDEX(Products!$A$5:$A$204,K264)))</f>
        <v/>
      </c>
      <c r="M264" s="11">
        <f>IF(A264="","",J264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264+IFERROR(INDEX(Settings!$D$5:$D$9,MATCH("Etsy",Settings!$A$5:$A$9,0)),0)*D264)</f>
        <v/>
      </c>
      <c r="N264" s="11">
        <f>IF(A264="","",IF(K264="",0,D264*INDEX(Products!$I$5:$I$204,K264)))</f>
        <v/>
      </c>
      <c r="O264" s="11">
        <f>IF(A264="","",IF(K264="",0,J264*INDEX(Products!$H$5:$H$204,K264)))</f>
        <v/>
      </c>
      <c r="P264" s="11">
        <f>IF(A264="","",J264-M264-N264-O264)</f>
        <v/>
      </c>
    </row>
    <row r="265">
      <c r="A265">
        <f>IFERROR(INDEX('Etsy Import'!$A:$CZ,265,Settings!$C$20)&amp;"","")</f>
        <v/>
      </c>
      <c r="B265">
        <f>IFERROR(INDEX('Etsy Import'!$A:$CZ,265,Settings!$C$21)&amp;"","")</f>
        <v/>
      </c>
      <c r="C265">
        <f>IFERROR(INDEX('Etsy Import'!$A:$CZ,265,Settings!$C$22)&amp;"","")</f>
        <v/>
      </c>
      <c r="D265">
        <f>IF(A265="","",IFERROR(VALUE(SUBSTITUTE(SUBSTITUTE(INDEX('Etsy Import'!$A:$CZ,265,Settings!$C$23)&amp;"","$",""),",","")),0))</f>
        <v/>
      </c>
      <c r="E265" s="11">
        <f>IF(A265="","",IFERROR(VALUE(SUBSTITUTE(SUBSTITUTE(INDEX('Etsy Import'!$A:$CZ,265,Settings!$C$24)&amp;"","$",""),",","")),0))</f>
        <v/>
      </c>
      <c r="F265" s="11">
        <f>IF(A265="","",D265*E265)</f>
        <v/>
      </c>
      <c r="G265">
        <f>IF(A265="","",IF(C265="",1,COUNTIF($C$2:$C$1501,C265)))</f>
        <v/>
      </c>
      <c r="H265" s="11">
        <f>IF(A265="","",IFERROR(VALUE(SUBSTITUTE(SUBSTITUTE(INDEX('Etsy Import'!$A:$CZ,265,Settings!$C$25)&amp;"","$",""),",","")),0)/IF(Settings!$B$27="Yes",G265,1))</f>
        <v/>
      </c>
      <c r="I265" s="11">
        <f>IF(A265="","",IFERROR(VALUE(SUBSTITUTE(SUBSTITUTE(INDEX('Etsy Import'!$A:$CZ,265,Settings!$C$26)&amp;"","$",""),",","")),0)/IF(Settings!$B$27="Yes",G265,1))</f>
        <v/>
      </c>
      <c r="J265" s="11">
        <f>IF(A265="","",F265+H265-I265)</f>
        <v/>
      </c>
      <c r="K265">
        <f>IF(A265="","",IFERROR(IF(B265="",NA(),MATCH(B265,Products!$B$5:$B$204,0)),IFERROR(MATCH(A265,Products!$A$5:$A$204,0),"")))</f>
        <v/>
      </c>
      <c r="L265">
        <f>IF(A265="","",IF(K265="","⚠ not in Products",INDEX(Products!$A$5:$A$204,K265)))</f>
        <v/>
      </c>
      <c r="M265" s="11">
        <f>IF(A265="","",J265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265+IFERROR(INDEX(Settings!$D$5:$D$9,MATCH("Etsy",Settings!$A$5:$A$9,0)),0)*D265)</f>
        <v/>
      </c>
      <c r="N265" s="11">
        <f>IF(A265="","",IF(K265="",0,D265*INDEX(Products!$I$5:$I$204,K265)))</f>
        <v/>
      </c>
      <c r="O265" s="11">
        <f>IF(A265="","",IF(K265="",0,J265*INDEX(Products!$H$5:$H$204,K265)))</f>
        <v/>
      </c>
      <c r="P265" s="11">
        <f>IF(A265="","",J265-M265-N265-O265)</f>
        <v/>
      </c>
    </row>
    <row r="266">
      <c r="A266">
        <f>IFERROR(INDEX('Etsy Import'!$A:$CZ,266,Settings!$C$20)&amp;"","")</f>
        <v/>
      </c>
      <c r="B266">
        <f>IFERROR(INDEX('Etsy Import'!$A:$CZ,266,Settings!$C$21)&amp;"","")</f>
        <v/>
      </c>
      <c r="C266">
        <f>IFERROR(INDEX('Etsy Import'!$A:$CZ,266,Settings!$C$22)&amp;"","")</f>
        <v/>
      </c>
      <c r="D266">
        <f>IF(A266="","",IFERROR(VALUE(SUBSTITUTE(SUBSTITUTE(INDEX('Etsy Import'!$A:$CZ,266,Settings!$C$23)&amp;"","$",""),",","")),0))</f>
        <v/>
      </c>
      <c r="E266" s="11">
        <f>IF(A266="","",IFERROR(VALUE(SUBSTITUTE(SUBSTITUTE(INDEX('Etsy Import'!$A:$CZ,266,Settings!$C$24)&amp;"","$",""),",","")),0))</f>
        <v/>
      </c>
      <c r="F266" s="11">
        <f>IF(A266="","",D266*E266)</f>
        <v/>
      </c>
      <c r="G266">
        <f>IF(A266="","",IF(C266="",1,COUNTIF($C$2:$C$1501,C266)))</f>
        <v/>
      </c>
      <c r="H266" s="11">
        <f>IF(A266="","",IFERROR(VALUE(SUBSTITUTE(SUBSTITUTE(INDEX('Etsy Import'!$A:$CZ,266,Settings!$C$25)&amp;"","$",""),",","")),0)/IF(Settings!$B$27="Yes",G266,1))</f>
        <v/>
      </c>
      <c r="I266" s="11">
        <f>IF(A266="","",IFERROR(VALUE(SUBSTITUTE(SUBSTITUTE(INDEX('Etsy Import'!$A:$CZ,266,Settings!$C$26)&amp;"","$",""),",","")),0)/IF(Settings!$B$27="Yes",G266,1))</f>
        <v/>
      </c>
      <c r="J266" s="11">
        <f>IF(A266="","",F266+H266-I266)</f>
        <v/>
      </c>
      <c r="K266">
        <f>IF(A266="","",IFERROR(IF(B266="",NA(),MATCH(B266,Products!$B$5:$B$204,0)),IFERROR(MATCH(A266,Products!$A$5:$A$204,0),"")))</f>
        <v/>
      </c>
      <c r="L266">
        <f>IF(A266="","",IF(K266="","⚠ not in Products",INDEX(Products!$A$5:$A$204,K266)))</f>
        <v/>
      </c>
      <c r="M266" s="11">
        <f>IF(A266="","",J266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266+IFERROR(INDEX(Settings!$D$5:$D$9,MATCH("Etsy",Settings!$A$5:$A$9,0)),0)*D266)</f>
        <v/>
      </c>
      <c r="N266" s="11">
        <f>IF(A266="","",IF(K266="",0,D266*INDEX(Products!$I$5:$I$204,K266)))</f>
        <v/>
      </c>
      <c r="O266" s="11">
        <f>IF(A266="","",IF(K266="",0,J266*INDEX(Products!$H$5:$H$204,K266)))</f>
        <v/>
      </c>
      <c r="P266" s="11">
        <f>IF(A266="","",J266-M266-N266-O266)</f>
        <v/>
      </c>
    </row>
    <row r="267">
      <c r="A267">
        <f>IFERROR(INDEX('Etsy Import'!$A:$CZ,267,Settings!$C$20)&amp;"","")</f>
        <v/>
      </c>
      <c r="B267">
        <f>IFERROR(INDEX('Etsy Import'!$A:$CZ,267,Settings!$C$21)&amp;"","")</f>
        <v/>
      </c>
      <c r="C267">
        <f>IFERROR(INDEX('Etsy Import'!$A:$CZ,267,Settings!$C$22)&amp;"","")</f>
        <v/>
      </c>
      <c r="D267">
        <f>IF(A267="","",IFERROR(VALUE(SUBSTITUTE(SUBSTITUTE(INDEX('Etsy Import'!$A:$CZ,267,Settings!$C$23)&amp;"","$",""),",","")),0))</f>
        <v/>
      </c>
      <c r="E267" s="11">
        <f>IF(A267="","",IFERROR(VALUE(SUBSTITUTE(SUBSTITUTE(INDEX('Etsy Import'!$A:$CZ,267,Settings!$C$24)&amp;"","$",""),",","")),0))</f>
        <v/>
      </c>
      <c r="F267" s="11">
        <f>IF(A267="","",D267*E267)</f>
        <v/>
      </c>
      <c r="G267">
        <f>IF(A267="","",IF(C267="",1,COUNTIF($C$2:$C$1501,C267)))</f>
        <v/>
      </c>
      <c r="H267" s="11">
        <f>IF(A267="","",IFERROR(VALUE(SUBSTITUTE(SUBSTITUTE(INDEX('Etsy Import'!$A:$CZ,267,Settings!$C$25)&amp;"","$",""),",","")),0)/IF(Settings!$B$27="Yes",G267,1))</f>
        <v/>
      </c>
      <c r="I267" s="11">
        <f>IF(A267="","",IFERROR(VALUE(SUBSTITUTE(SUBSTITUTE(INDEX('Etsy Import'!$A:$CZ,267,Settings!$C$26)&amp;"","$",""),",","")),0)/IF(Settings!$B$27="Yes",G267,1))</f>
        <v/>
      </c>
      <c r="J267" s="11">
        <f>IF(A267="","",F267+H267-I267)</f>
        <v/>
      </c>
      <c r="K267">
        <f>IF(A267="","",IFERROR(IF(B267="",NA(),MATCH(B267,Products!$B$5:$B$204,0)),IFERROR(MATCH(A267,Products!$A$5:$A$204,0),"")))</f>
        <v/>
      </c>
      <c r="L267">
        <f>IF(A267="","",IF(K267="","⚠ not in Products",INDEX(Products!$A$5:$A$204,K267)))</f>
        <v/>
      </c>
      <c r="M267" s="11">
        <f>IF(A267="","",J267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267+IFERROR(INDEX(Settings!$D$5:$D$9,MATCH("Etsy",Settings!$A$5:$A$9,0)),0)*D267)</f>
        <v/>
      </c>
      <c r="N267" s="11">
        <f>IF(A267="","",IF(K267="",0,D267*INDEX(Products!$I$5:$I$204,K267)))</f>
        <v/>
      </c>
      <c r="O267" s="11">
        <f>IF(A267="","",IF(K267="",0,J267*INDEX(Products!$H$5:$H$204,K267)))</f>
        <v/>
      </c>
      <c r="P267" s="11">
        <f>IF(A267="","",J267-M267-N267-O267)</f>
        <v/>
      </c>
    </row>
    <row r="268">
      <c r="A268">
        <f>IFERROR(INDEX('Etsy Import'!$A:$CZ,268,Settings!$C$20)&amp;"","")</f>
        <v/>
      </c>
      <c r="B268">
        <f>IFERROR(INDEX('Etsy Import'!$A:$CZ,268,Settings!$C$21)&amp;"","")</f>
        <v/>
      </c>
      <c r="C268">
        <f>IFERROR(INDEX('Etsy Import'!$A:$CZ,268,Settings!$C$22)&amp;"","")</f>
        <v/>
      </c>
      <c r="D268">
        <f>IF(A268="","",IFERROR(VALUE(SUBSTITUTE(SUBSTITUTE(INDEX('Etsy Import'!$A:$CZ,268,Settings!$C$23)&amp;"","$",""),",","")),0))</f>
        <v/>
      </c>
      <c r="E268" s="11">
        <f>IF(A268="","",IFERROR(VALUE(SUBSTITUTE(SUBSTITUTE(INDEX('Etsy Import'!$A:$CZ,268,Settings!$C$24)&amp;"","$",""),",","")),0))</f>
        <v/>
      </c>
      <c r="F268" s="11">
        <f>IF(A268="","",D268*E268)</f>
        <v/>
      </c>
      <c r="G268">
        <f>IF(A268="","",IF(C268="",1,COUNTIF($C$2:$C$1501,C268)))</f>
        <v/>
      </c>
      <c r="H268" s="11">
        <f>IF(A268="","",IFERROR(VALUE(SUBSTITUTE(SUBSTITUTE(INDEX('Etsy Import'!$A:$CZ,268,Settings!$C$25)&amp;"","$",""),",","")),0)/IF(Settings!$B$27="Yes",G268,1))</f>
        <v/>
      </c>
      <c r="I268" s="11">
        <f>IF(A268="","",IFERROR(VALUE(SUBSTITUTE(SUBSTITUTE(INDEX('Etsy Import'!$A:$CZ,268,Settings!$C$26)&amp;"","$",""),",","")),0)/IF(Settings!$B$27="Yes",G268,1))</f>
        <v/>
      </c>
      <c r="J268" s="11">
        <f>IF(A268="","",F268+H268-I268)</f>
        <v/>
      </c>
      <c r="K268">
        <f>IF(A268="","",IFERROR(IF(B268="",NA(),MATCH(B268,Products!$B$5:$B$204,0)),IFERROR(MATCH(A268,Products!$A$5:$A$204,0),"")))</f>
        <v/>
      </c>
      <c r="L268">
        <f>IF(A268="","",IF(K268="","⚠ not in Products",INDEX(Products!$A$5:$A$204,K268)))</f>
        <v/>
      </c>
      <c r="M268" s="11">
        <f>IF(A268="","",J268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268+IFERROR(INDEX(Settings!$D$5:$D$9,MATCH("Etsy",Settings!$A$5:$A$9,0)),0)*D268)</f>
        <v/>
      </c>
      <c r="N268" s="11">
        <f>IF(A268="","",IF(K268="",0,D268*INDEX(Products!$I$5:$I$204,K268)))</f>
        <v/>
      </c>
      <c r="O268" s="11">
        <f>IF(A268="","",IF(K268="",0,J268*INDEX(Products!$H$5:$H$204,K268)))</f>
        <v/>
      </c>
      <c r="P268" s="11">
        <f>IF(A268="","",J268-M268-N268-O268)</f>
        <v/>
      </c>
    </row>
    <row r="269">
      <c r="A269">
        <f>IFERROR(INDEX('Etsy Import'!$A:$CZ,269,Settings!$C$20)&amp;"","")</f>
        <v/>
      </c>
      <c r="B269">
        <f>IFERROR(INDEX('Etsy Import'!$A:$CZ,269,Settings!$C$21)&amp;"","")</f>
        <v/>
      </c>
      <c r="C269">
        <f>IFERROR(INDEX('Etsy Import'!$A:$CZ,269,Settings!$C$22)&amp;"","")</f>
        <v/>
      </c>
      <c r="D269">
        <f>IF(A269="","",IFERROR(VALUE(SUBSTITUTE(SUBSTITUTE(INDEX('Etsy Import'!$A:$CZ,269,Settings!$C$23)&amp;"","$",""),",","")),0))</f>
        <v/>
      </c>
      <c r="E269" s="11">
        <f>IF(A269="","",IFERROR(VALUE(SUBSTITUTE(SUBSTITUTE(INDEX('Etsy Import'!$A:$CZ,269,Settings!$C$24)&amp;"","$",""),",","")),0))</f>
        <v/>
      </c>
      <c r="F269" s="11">
        <f>IF(A269="","",D269*E269)</f>
        <v/>
      </c>
      <c r="G269">
        <f>IF(A269="","",IF(C269="",1,COUNTIF($C$2:$C$1501,C269)))</f>
        <v/>
      </c>
      <c r="H269" s="11">
        <f>IF(A269="","",IFERROR(VALUE(SUBSTITUTE(SUBSTITUTE(INDEX('Etsy Import'!$A:$CZ,269,Settings!$C$25)&amp;"","$",""),",","")),0)/IF(Settings!$B$27="Yes",G269,1))</f>
        <v/>
      </c>
      <c r="I269" s="11">
        <f>IF(A269="","",IFERROR(VALUE(SUBSTITUTE(SUBSTITUTE(INDEX('Etsy Import'!$A:$CZ,269,Settings!$C$26)&amp;"","$",""),",","")),0)/IF(Settings!$B$27="Yes",G269,1))</f>
        <v/>
      </c>
      <c r="J269" s="11">
        <f>IF(A269="","",F269+H269-I269)</f>
        <v/>
      </c>
      <c r="K269">
        <f>IF(A269="","",IFERROR(IF(B269="",NA(),MATCH(B269,Products!$B$5:$B$204,0)),IFERROR(MATCH(A269,Products!$A$5:$A$204,0),"")))</f>
        <v/>
      </c>
      <c r="L269">
        <f>IF(A269="","",IF(K269="","⚠ not in Products",INDEX(Products!$A$5:$A$204,K269)))</f>
        <v/>
      </c>
      <c r="M269" s="11">
        <f>IF(A269="","",J269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269+IFERROR(INDEX(Settings!$D$5:$D$9,MATCH("Etsy",Settings!$A$5:$A$9,0)),0)*D269)</f>
        <v/>
      </c>
      <c r="N269" s="11">
        <f>IF(A269="","",IF(K269="",0,D269*INDEX(Products!$I$5:$I$204,K269)))</f>
        <v/>
      </c>
      <c r="O269" s="11">
        <f>IF(A269="","",IF(K269="",0,J269*INDEX(Products!$H$5:$H$204,K269)))</f>
        <v/>
      </c>
      <c r="P269" s="11">
        <f>IF(A269="","",J269-M269-N269-O269)</f>
        <v/>
      </c>
    </row>
    <row r="270">
      <c r="A270">
        <f>IFERROR(INDEX('Etsy Import'!$A:$CZ,270,Settings!$C$20)&amp;"","")</f>
        <v/>
      </c>
      <c r="B270">
        <f>IFERROR(INDEX('Etsy Import'!$A:$CZ,270,Settings!$C$21)&amp;"","")</f>
        <v/>
      </c>
      <c r="C270">
        <f>IFERROR(INDEX('Etsy Import'!$A:$CZ,270,Settings!$C$22)&amp;"","")</f>
        <v/>
      </c>
      <c r="D270">
        <f>IF(A270="","",IFERROR(VALUE(SUBSTITUTE(SUBSTITUTE(INDEX('Etsy Import'!$A:$CZ,270,Settings!$C$23)&amp;"","$",""),",","")),0))</f>
        <v/>
      </c>
      <c r="E270" s="11">
        <f>IF(A270="","",IFERROR(VALUE(SUBSTITUTE(SUBSTITUTE(INDEX('Etsy Import'!$A:$CZ,270,Settings!$C$24)&amp;"","$",""),",","")),0))</f>
        <v/>
      </c>
      <c r="F270" s="11">
        <f>IF(A270="","",D270*E270)</f>
        <v/>
      </c>
      <c r="G270">
        <f>IF(A270="","",IF(C270="",1,COUNTIF($C$2:$C$1501,C270)))</f>
        <v/>
      </c>
      <c r="H270" s="11">
        <f>IF(A270="","",IFERROR(VALUE(SUBSTITUTE(SUBSTITUTE(INDEX('Etsy Import'!$A:$CZ,270,Settings!$C$25)&amp;"","$",""),",","")),0)/IF(Settings!$B$27="Yes",G270,1))</f>
        <v/>
      </c>
      <c r="I270" s="11">
        <f>IF(A270="","",IFERROR(VALUE(SUBSTITUTE(SUBSTITUTE(INDEX('Etsy Import'!$A:$CZ,270,Settings!$C$26)&amp;"","$",""),",","")),0)/IF(Settings!$B$27="Yes",G270,1))</f>
        <v/>
      </c>
      <c r="J270" s="11">
        <f>IF(A270="","",F270+H270-I270)</f>
        <v/>
      </c>
      <c r="K270">
        <f>IF(A270="","",IFERROR(IF(B270="",NA(),MATCH(B270,Products!$B$5:$B$204,0)),IFERROR(MATCH(A270,Products!$A$5:$A$204,0),"")))</f>
        <v/>
      </c>
      <c r="L270">
        <f>IF(A270="","",IF(K270="","⚠ not in Products",INDEX(Products!$A$5:$A$204,K270)))</f>
        <v/>
      </c>
      <c r="M270" s="11">
        <f>IF(A270="","",J270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270+IFERROR(INDEX(Settings!$D$5:$D$9,MATCH("Etsy",Settings!$A$5:$A$9,0)),0)*D270)</f>
        <v/>
      </c>
      <c r="N270" s="11">
        <f>IF(A270="","",IF(K270="",0,D270*INDEX(Products!$I$5:$I$204,K270)))</f>
        <v/>
      </c>
      <c r="O270" s="11">
        <f>IF(A270="","",IF(K270="",0,J270*INDEX(Products!$H$5:$H$204,K270)))</f>
        <v/>
      </c>
      <c r="P270" s="11">
        <f>IF(A270="","",J270-M270-N270-O270)</f>
        <v/>
      </c>
    </row>
    <row r="271">
      <c r="A271">
        <f>IFERROR(INDEX('Etsy Import'!$A:$CZ,271,Settings!$C$20)&amp;"","")</f>
        <v/>
      </c>
      <c r="B271">
        <f>IFERROR(INDEX('Etsy Import'!$A:$CZ,271,Settings!$C$21)&amp;"","")</f>
        <v/>
      </c>
      <c r="C271">
        <f>IFERROR(INDEX('Etsy Import'!$A:$CZ,271,Settings!$C$22)&amp;"","")</f>
        <v/>
      </c>
      <c r="D271">
        <f>IF(A271="","",IFERROR(VALUE(SUBSTITUTE(SUBSTITUTE(INDEX('Etsy Import'!$A:$CZ,271,Settings!$C$23)&amp;"","$",""),",","")),0))</f>
        <v/>
      </c>
      <c r="E271" s="11">
        <f>IF(A271="","",IFERROR(VALUE(SUBSTITUTE(SUBSTITUTE(INDEX('Etsy Import'!$A:$CZ,271,Settings!$C$24)&amp;"","$",""),",","")),0))</f>
        <v/>
      </c>
      <c r="F271" s="11">
        <f>IF(A271="","",D271*E271)</f>
        <v/>
      </c>
      <c r="G271">
        <f>IF(A271="","",IF(C271="",1,COUNTIF($C$2:$C$1501,C271)))</f>
        <v/>
      </c>
      <c r="H271" s="11">
        <f>IF(A271="","",IFERROR(VALUE(SUBSTITUTE(SUBSTITUTE(INDEX('Etsy Import'!$A:$CZ,271,Settings!$C$25)&amp;"","$",""),",","")),0)/IF(Settings!$B$27="Yes",G271,1))</f>
        <v/>
      </c>
      <c r="I271" s="11">
        <f>IF(A271="","",IFERROR(VALUE(SUBSTITUTE(SUBSTITUTE(INDEX('Etsy Import'!$A:$CZ,271,Settings!$C$26)&amp;"","$",""),",","")),0)/IF(Settings!$B$27="Yes",G271,1))</f>
        <v/>
      </c>
      <c r="J271" s="11">
        <f>IF(A271="","",F271+H271-I271)</f>
        <v/>
      </c>
      <c r="K271">
        <f>IF(A271="","",IFERROR(IF(B271="",NA(),MATCH(B271,Products!$B$5:$B$204,0)),IFERROR(MATCH(A271,Products!$A$5:$A$204,0),"")))</f>
        <v/>
      </c>
      <c r="L271">
        <f>IF(A271="","",IF(K271="","⚠ not in Products",INDEX(Products!$A$5:$A$204,K271)))</f>
        <v/>
      </c>
      <c r="M271" s="11">
        <f>IF(A271="","",J271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271+IFERROR(INDEX(Settings!$D$5:$D$9,MATCH("Etsy",Settings!$A$5:$A$9,0)),0)*D271)</f>
        <v/>
      </c>
      <c r="N271" s="11">
        <f>IF(A271="","",IF(K271="",0,D271*INDEX(Products!$I$5:$I$204,K271)))</f>
        <v/>
      </c>
      <c r="O271" s="11">
        <f>IF(A271="","",IF(K271="",0,J271*INDEX(Products!$H$5:$H$204,K271)))</f>
        <v/>
      </c>
      <c r="P271" s="11">
        <f>IF(A271="","",J271-M271-N271-O271)</f>
        <v/>
      </c>
    </row>
    <row r="272">
      <c r="A272">
        <f>IFERROR(INDEX('Etsy Import'!$A:$CZ,272,Settings!$C$20)&amp;"","")</f>
        <v/>
      </c>
      <c r="B272">
        <f>IFERROR(INDEX('Etsy Import'!$A:$CZ,272,Settings!$C$21)&amp;"","")</f>
        <v/>
      </c>
      <c r="C272">
        <f>IFERROR(INDEX('Etsy Import'!$A:$CZ,272,Settings!$C$22)&amp;"","")</f>
        <v/>
      </c>
      <c r="D272">
        <f>IF(A272="","",IFERROR(VALUE(SUBSTITUTE(SUBSTITUTE(INDEX('Etsy Import'!$A:$CZ,272,Settings!$C$23)&amp;"","$",""),",","")),0))</f>
        <v/>
      </c>
      <c r="E272" s="11">
        <f>IF(A272="","",IFERROR(VALUE(SUBSTITUTE(SUBSTITUTE(INDEX('Etsy Import'!$A:$CZ,272,Settings!$C$24)&amp;"","$",""),",","")),0))</f>
        <v/>
      </c>
      <c r="F272" s="11">
        <f>IF(A272="","",D272*E272)</f>
        <v/>
      </c>
      <c r="G272">
        <f>IF(A272="","",IF(C272="",1,COUNTIF($C$2:$C$1501,C272)))</f>
        <v/>
      </c>
      <c r="H272" s="11">
        <f>IF(A272="","",IFERROR(VALUE(SUBSTITUTE(SUBSTITUTE(INDEX('Etsy Import'!$A:$CZ,272,Settings!$C$25)&amp;"","$",""),",","")),0)/IF(Settings!$B$27="Yes",G272,1))</f>
        <v/>
      </c>
      <c r="I272" s="11">
        <f>IF(A272="","",IFERROR(VALUE(SUBSTITUTE(SUBSTITUTE(INDEX('Etsy Import'!$A:$CZ,272,Settings!$C$26)&amp;"","$",""),",","")),0)/IF(Settings!$B$27="Yes",G272,1))</f>
        <v/>
      </c>
      <c r="J272" s="11">
        <f>IF(A272="","",F272+H272-I272)</f>
        <v/>
      </c>
      <c r="K272">
        <f>IF(A272="","",IFERROR(IF(B272="",NA(),MATCH(B272,Products!$B$5:$B$204,0)),IFERROR(MATCH(A272,Products!$A$5:$A$204,0),"")))</f>
        <v/>
      </c>
      <c r="L272">
        <f>IF(A272="","",IF(K272="","⚠ not in Products",INDEX(Products!$A$5:$A$204,K272)))</f>
        <v/>
      </c>
      <c r="M272" s="11">
        <f>IF(A272="","",J272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272+IFERROR(INDEX(Settings!$D$5:$D$9,MATCH("Etsy",Settings!$A$5:$A$9,0)),0)*D272)</f>
        <v/>
      </c>
      <c r="N272" s="11">
        <f>IF(A272="","",IF(K272="",0,D272*INDEX(Products!$I$5:$I$204,K272)))</f>
        <v/>
      </c>
      <c r="O272" s="11">
        <f>IF(A272="","",IF(K272="",0,J272*INDEX(Products!$H$5:$H$204,K272)))</f>
        <v/>
      </c>
      <c r="P272" s="11">
        <f>IF(A272="","",J272-M272-N272-O272)</f>
        <v/>
      </c>
    </row>
    <row r="273">
      <c r="A273">
        <f>IFERROR(INDEX('Etsy Import'!$A:$CZ,273,Settings!$C$20)&amp;"","")</f>
        <v/>
      </c>
      <c r="B273">
        <f>IFERROR(INDEX('Etsy Import'!$A:$CZ,273,Settings!$C$21)&amp;"","")</f>
        <v/>
      </c>
      <c r="C273">
        <f>IFERROR(INDEX('Etsy Import'!$A:$CZ,273,Settings!$C$22)&amp;"","")</f>
        <v/>
      </c>
      <c r="D273">
        <f>IF(A273="","",IFERROR(VALUE(SUBSTITUTE(SUBSTITUTE(INDEX('Etsy Import'!$A:$CZ,273,Settings!$C$23)&amp;"","$",""),",","")),0))</f>
        <v/>
      </c>
      <c r="E273" s="11">
        <f>IF(A273="","",IFERROR(VALUE(SUBSTITUTE(SUBSTITUTE(INDEX('Etsy Import'!$A:$CZ,273,Settings!$C$24)&amp;"","$",""),",","")),0))</f>
        <v/>
      </c>
      <c r="F273" s="11">
        <f>IF(A273="","",D273*E273)</f>
        <v/>
      </c>
      <c r="G273">
        <f>IF(A273="","",IF(C273="",1,COUNTIF($C$2:$C$1501,C273)))</f>
        <v/>
      </c>
      <c r="H273" s="11">
        <f>IF(A273="","",IFERROR(VALUE(SUBSTITUTE(SUBSTITUTE(INDEX('Etsy Import'!$A:$CZ,273,Settings!$C$25)&amp;"","$",""),",","")),0)/IF(Settings!$B$27="Yes",G273,1))</f>
        <v/>
      </c>
      <c r="I273" s="11">
        <f>IF(A273="","",IFERROR(VALUE(SUBSTITUTE(SUBSTITUTE(INDEX('Etsy Import'!$A:$CZ,273,Settings!$C$26)&amp;"","$",""),",","")),0)/IF(Settings!$B$27="Yes",G273,1))</f>
        <v/>
      </c>
      <c r="J273" s="11">
        <f>IF(A273="","",F273+H273-I273)</f>
        <v/>
      </c>
      <c r="K273">
        <f>IF(A273="","",IFERROR(IF(B273="",NA(),MATCH(B273,Products!$B$5:$B$204,0)),IFERROR(MATCH(A273,Products!$A$5:$A$204,0),"")))</f>
        <v/>
      </c>
      <c r="L273">
        <f>IF(A273="","",IF(K273="","⚠ not in Products",INDEX(Products!$A$5:$A$204,K273)))</f>
        <v/>
      </c>
      <c r="M273" s="11">
        <f>IF(A273="","",J273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273+IFERROR(INDEX(Settings!$D$5:$D$9,MATCH("Etsy",Settings!$A$5:$A$9,0)),0)*D273)</f>
        <v/>
      </c>
      <c r="N273" s="11">
        <f>IF(A273="","",IF(K273="",0,D273*INDEX(Products!$I$5:$I$204,K273)))</f>
        <v/>
      </c>
      <c r="O273" s="11">
        <f>IF(A273="","",IF(K273="",0,J273*INDEX(Products!$H$5:$H$204,K273)))</f>
        <v/>
      </c>
      <c r="P273" s="11">
        <f>IF(A273="","",J273-M273-N273-O273)</f>
        <v/>
      </c>
    </row>
    <row r="274">
      <c r="A274">
        <f>IFERROR(INDEX('Etsy Import'!$A:$CZ,274,Settings!$C$20)&amp;"","")</f>
        <v/>
      </c>
      <c r="B274">
        <f>IFERROR(INDEX('Etsy Import'!$A:$CZ,274,Settings!$C$21)&amp;"","")</f>
        <v/>
      </c>
      <c r="C274">
        <f>IFERROR(INDEX('Etsy Import'!$A:$CZ,274,Settings!$C$22)&amp;"","")</f>
        <v/>
      </c>
      <c r="D274">
        <f>IF(A274="","",IFERROR(VALUE(SUBSTITUTE(SUBSTITUTE(INDEX('Etsy Import'!$A:$CZ,274,Settings!$C$23)&amp;"","$",""),",","")),0))</f>
        <v/>
      </c>
      <c r="E274" s="11">
        <f>IF(A274="","",IFERROR(VALUE(SUBSTITUTE(SUBSTITUTE(INDEX('Etsy Import'!$A:$CZ,274,Settings!$C$24)&amp;"","$",""),",","")),0))</f>
        <v/>
      </c>
      <c r="F274" s="11">
        <f>IF(A274="","",D274*E274)</f>
        <v/>
      </c>
      <c r="G274">
        <f>IF(A274="","",IF(C274="",1,COUNTIF($C$2:$C$1501,C274)))</f>
        <v/>
      </c>
      <c r="H274" s="11">
        <f>IF(A274="","",IFERROR(VALUE(SUBSTITUTE(SUBSTITUTE(INDEX('Etsy Import'!$A:$CZ,274,Settings!$C$25)&amp;"","$",""),",","")),0)/IF(Settings!$B$27="Yes",G274,1))</f>
        <v/>
      </c>
      <c r="I274" s="11">
        <f>IF(A274="","",IFERROR(VALUE(SUBSTITUTE(SUBSTITUTE(INDEX('Etsy Import'!$A:$CZ,274,Settings!$C$26)&amp;"","$",""),",","")),0)/IF(Settings!$B$27="Yes",G274,1))</f>
        <v/>
      </c>
      <c r="J274" s="11">
        <f>IF(A274="","",F274+H274-I274)</f>
        <v/>
      </c>
      <c r="K274">
        <f>IF(A274="","",IFERROR(IF(B274="",NA(),MATCH(B274,Products!$B$5:$B$204,0)),IFERROR(MATCH(A274,Products!$A$5:$A$204,0),"")))</f>
        <v/>
      </c>
      <c r="L274">
        <f>IF(A274="","",IF(K274="","⚠ not in Products",INDEX(Products!$A$5:$A$204,K274)))</f>
        <v/>
      </c>
      <c r="M274" s="11">
        <f>IF(A274="","",J274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274+IFERROR(INDEX(Settings!$D$5:$D$9,MATCH("Etsy",Settings!$A$5:$A$9,0)),0)*D274)</f>
        <v/>
      </c>
      <c r="N274" s="11">
        <f>IF(A274="","",IF(K274="",0,D274*INDEX(Products!$I$5:$I$204,K274)))</f>
        <v/>
      </c>
      <c r="O274" s="11">
        <f>IF(A274="","",IF(K274="",0,J274*INDEX(Products!$H$5:$H$204,K274)))</f>
        <v/>
      </c>
      <c r="P274" s="11">
        <f>IF(A274="","",J274-M274-N274-O274)</f>
        <v/>
      </c>
    </row>
    <row r="275">
      <c r="A275">
        <f>IFERROR(INDEX('Etsy Import'!$A:$CZ,275,Settings!$C$20)&amp;"","")</f>
        <v/>
      </c>
      <c r="B275">
        <f>IFERROR(INDEX('Etsy Import'!$A:$CZ,275,Settings!$C$21)&amp;"","")</f>
        <v/>
      </c>
      <c r="C275">
        <f>IFERROR(INDEX('Etsy Import'!$A:$CZ,275,Settings!$C$22)&amp;"","")</f>
        <v/>
      </c>
      <c r="D275">
        <f>IF(A275="","",IFERROR(VALUE(SUBSTITUTE(SUBSTITUTE(INDEX('Etsy Import'!$A:$CZ,275,Settings!$C$23)&amp;"","$",""),",","")),0))</f>
        <v/>
      </c>
      <c r="E275" s="11">
        <f>IF(A275="","",IFERROR(VALUE(SUBSTITUTE(SUBSTITUTE(INDEX('Etsy Import'!$A:$CZ,275,Settings!$C$24)&amp;"","$",""),",","")),0))</f>
        <v/>
      </c>
      <c r="F275" s="11">
        <f>IF(A275="","",D275*E275)</f>
        <v/>
      </c>
      <c r="G275">
        <f>IF(A275="","",IF(C275="",1,COUNTIF($C$2:$C$1501,C275)))</f>
        <v/>
      </c>
      <c r="H275" s="11">
        <f>IF(A275="","",IFERROR(VALUE(SUBSTITUTE(SUBSTITUTE(INDEX('Etsy Import'!$A:$CZ,275,Settings!$C$25)&amp;"","$",""),",","")),0)/IF(Settings!$B$27="Yes",G275,1))</f>
        <v/>
      </c>
      <c r="I275" s="11">
        <f>IF(A275="","",IFERROR(VALUE(SUBSTITUTE(SUBSTITUTE(INDEX('Etsy Import'!$A:$CZ,275,Settings!$C$26)&amp;"","$",""),",","")),0)/IF(Settings!$B$27="Yes",G275,1))</f>
        <v/>
      </c>
      <c r="J275" s="11">
        <f>IF(A275="","",F275+H275-I275)</f>
        <v/>
      </c>
      <c r="K275">
        <f>IF(A275="","",IFERROR(IF(B275="",NA(),MATCH(B275,Products!$B$5:$B$204,0)),IFERROR(MATCH(A275,Products!$A$5:$A$204,0),"")))</f>
        <v/>
      </c>
      <c r="L275">
        <f>IF(A275="","",IF(K275="","⚠ not in Products",INDEX(Products!$A$5:$A$204,K275)))</f>
        <v/>
      </c>
      <c r="M275" s="11">
        <f>IF(A275="","",J275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275+IFERROR(INDEX(Settings!$D$5:$D$9,MATCH("Etsy",Settings!$A$5:$A$9,0)),0)*D275)</f>
        <v/>
      </c>
      <c r="N275" s="11">
        <f>IF(A275="","",IF(K275="",0,D275*INDEX(Products!$I$5:$I$204,K275)))</f>
        <v/>
      </c>
      <c r="O275" s="11">
        <f>IF(A275="","",IF(K275="",0,J275*INDEX(Products!$H$5:$H$204,K275)))</f>
        <v/>
      </c>
      <c r="P275" s="11">
        <f>IF(A275="","",J275-M275-N275-O275)</f>
        <v/>
      </c>
    </row>
    <row r="276">
      <c r="A276">
        <f>IFERROR(INDEX('Etsy Import'!$A:$CZ,276,Settings!$C$20)&amp;"","")</f>
        <v/>
      </c>
      <c r="B276">
        <f>IFERROR(INDEX('Etsy Import'!$A:$CZ,276,Settings!$C$21)&amp;"","")</f>
        <v/>
      </c>
      <c r="C276">
        <f>IFERROR(INDEX('Etsy Import'!$A:$CZ,276,Settings!$C$22)&amp;"","")</f>
        <v/>
      </c>
      <c r="D276">
        <f>IF(A276="","",IFERROR(VALUE(SUBSTITUTE(SUBSTITUTE(INDEX('Etsy Import'!$A:$CZ,276,Settings!$C$23)&amp;"","$",""),",","")),0))</f>
        <v/>
      </c>
      <c r="E276" s="11">
        <f>IF(A276="","",IFERROR(VALUE(SUBSTITUTE(SUBSTITUTE(INDEX('Etsy Import'!$A:$CZ,276,Settings!$C$24)&amp;"","$",""),",","")),0))</f>
        <v/>
      </c>
      <c r="F276" s="11">
        <f>IF(A276="","",D276*E276)</f>
        <v/>
      </c>
      <c r="G276">
        <f>IF(A276="","",IF(C276="",1,COUNTIF($C$2:$C$1501,C276)))</f>
        <v/>
      </c>
      <c r="H276" s="11">
        <f>IF(A276="","",IFERROR(VALUE(SUBSTITUTE(SUBSTITUTE(INDEX('Etsy Import'!$A:$CZ,276,Settings!$C$25)&amp;"","$",""),",","")),0)/IF(Settings!$B$27="Yes",G276,1))</f>
        <v/>
      </c>
      <c r="I276" s="11">
        <f>IF(A276="","",IFERROR(VALUE(SUBSTITUTE(SUBSTITUTE(INDEX('Etsy Import'!$A:$CZ,276,Settings!$C$26)&amp;"","$",""),",","")),0)/IF(Settings!$B$27="Yes",G276,1))</f>
        <v/>
      </c>
      <c r="J276" s="11">
        <f>IF(A276="","",F276+H276-I276)</f>
        <v/>
      </c>
      <c r="K276">
        <f>IF(A276="","",IFERROR(IF(B276="",NA(),MATCH(B276,Products!$B$5:$B$204,0)),IFERROR(MATCH(A276,Products!$A$5:$A$204,0),"")))</f>
        <v/>
      </c>
      <c r="L276">
        <f>IF(A276="","",IF(K276="","⚠ not in Products",INDEX(Products!$A$5:$A$204,K276)))</f>
        <v/>
      </c>
      <c r="M276" s="11">
        <f>IF(A276="","",J276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276+IFERROR(INDEX(Settings!$D$5:$D$9,MATCH("Etsy",Settings!$A$5:$A$9,0)),0)*D276)</f>
        <v/>
      </c>
      <c r="N276" s="11">
        <f>IF(A276="","",IF(K276="",0,D276*INDEX(Products!$I$5:$I$204,K276)))</f>
        <v/>
      </c>
      <c r="O276" s="11">
        <f>IF(A276="","",IF(K276="",0,J276*INDEX(Products!$H$5:$H$204,K276)))</f>
        <v/>
      </c>
      <c r="P276" s="11">
        <f>IF(A276="","",J276-M276-N276-O276)</f>
        <v/>
      </c>
    </row>
    <row r="277">
      <c r="A277">
        <f>IFERROR(INDEX('Etsy Import'!$A:$CZ,277,Settings!$C$20)&amp;"","")</f>
        <v/>
      </c>
      <c r="B277">
        <f>IFERROR(INDEX('Etsy Import'!$A:$CZ,277,Settings!$C$21)&amp;"","")</f>
        <v/>
      </c>
      <c r="C277">
        <f>IFERROR(INDEX('Etsy Import'!$A:$CZ,277,Settings!$C$22)&amp;"","")</f>
        <v/>
      </c>
      <c r="D277">
        <f>IF(A277="","",IFERROR(VALUE(SUBSTITUTE(SUBSTITUTE(INDEX('Etsy Import'!$A:$CZ,277,Settings!$C$23)&amp;"","$",""),",","")),0))</f>
        <v/>
      </c>
      <c r="E277" s="11">
        <f>IF(A277="","",IFERROR(VALUE(SUBSTITUTE(SUBSTITUTE(INDEX('Etsy Import'!$A:$CZ,277,Settings!$C$24)&amp;"","$",""),",","")),0))</f>
        <v/>
      </c>
      <c r="F277" s="11">
        <f>IF(A277="","",D277*E277)</f>
        <v/>
      </c>
      <c r="G277">
        <f>IF(A277="","",IF(C277="",1,COUNTIF($C$2:$C$1501,C277)))</f>
        <v/>
      </c>
      <c r="H277" s="11">
        <f>IF(A277="","",IFERROR(VALUE(SUBSTITUTE(SUBSTITUTE(INDEX('Etsy Import'!$A:$CZ,277,Settings!$C$25)&amp;"","$",""),",","")),0)/IF(Settings!$B$27="Yes",G277,1))</f>
        <v/>
      </c>
      <c r="I277" s="11">
        <f>IF(A277="","",IFERROR(VALUE(SUBSTITUTE(SUBSTITUTE(INDEX('Etsy Import'!$A:$CZ,277,Settings!$C$26)&amp;"","$",""),",","")),0)/IF(Settings!$B$27="Yes",G277,1))</f>
        <v/>
      </c>
      <c r="J277" s="11">
        <f>IF(A277="","",F277+H277-I277)</f>
        <v/>
      </c>
      <c r="K277">
        <f>IF(A277="","",IFERROR(IF(B277="",NA(),MATCH(B277,Products!$B$5:$B$204,0)),IFERROR(MATCH(A277,Products!$A$5:$A$204,0),"")))</f>
        <v/>
      </c>
      <c r="L277">
        <f>IF(A277="","",IF(K277="","⚠ not in Products",INDEX(Products!$A$5:$A$204,K277)))</f>
        <v/>
      </c>
      <c r="M277" s="11">
        <f>IF(A277="","",J277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277+IFERROR(INDEX(Settings!$D$5:$D$9,MATCH("Etsy",Settings!$A$5:$A$9,0)),0)*D277)</f>
        <v/>
      </c>
      <c r="N277" s="11">
        <f>IF(A277="","",IF(K277="",0,D277*INDEX(Products!$I$5:$I$204,K277)))</f>
        <v/>
      </c>
      <c r="O277" s="11">
        <f>IF(A277="","",IF(K277="",0,J277*INDEX(Products!$H$5:$H$204,K277)))</f>
        <v/>
      </c>
      <c r="P277" s="11">
        <f>IF(A277="","",J277-M277-N277-O277)</f>
        <v/>
      </c>
    </row>
    <row r="278">
      <c r="A278">
        <f>IFERROR(INDEX('Etsy Import'!$A:$CZ,278,Settings!$C$20)&amp;"","")</f>
        <v/>
      </c>
      <c r="B278">
        <f>IFERROR(INDEX('Etsy Import'!$A:$CZ,278,Settings!$C$21)&amp;"","")</f>
        <v/>
      </c>
      <c r="C278">
        <f>IFERROR(INDEX('Etsy Import'!$A:$CZ,278,Settings!$C$22)&amp;"","")</f>
        <v/>
      </c>
      <c r="D278">
        <f>IF(A278="","",IFERROR(VALUE(SUBSTITUTE(SUBSTITUTE(INDEX('Etsy Import'!$A:$CZ,278,Settings!$C$23)&amp;"","$",""),",","")),0))</f>
        <v/>
      </c>
      <c r="E278" s="11">
        <f>IF(A278="","",IFERROR(VALUE(SUBSTITUTE(SUBSTITUTE(INDEX('Etsy Import'!$A:$CZ,278,Settings!$C$24)&amp;"","$",""),",","")),0))</f>
        <v/>
      </c>
      <c r="F278" s="11">
        <f>IF(A278="","",D278*E278)</f>
        <v/>
      </c>
      <c r="G278">
        <f>IF(A278="","",IF(C278="",1,COUNTIF($C$2:$C$1501,C278)))</f>
        <v/>
      </c>
      <c r="H278" s="11">
        <f>IF(A278="","",IFERROR(VALUE(SUBSTITUTE(SUBSTITUTE(INDEX('Etsy Import'!$A:$CZ,278,Settings!$C$25)&amp;"","$",""),",","")),0)/IF(Settings!$B$27="Yes",G278,1))</f>
        <v/>
      </c>
      <c r="I278" s="11">
        <f>IF(A278="","",IFERROR(VALUE(SUBSTITUTE(SUBSTITUTE(INDEX('Etsy Import'!$A:$CZ,278,Settings!$C$26)&amp;"","$",""),",","")),0)/IF(Settings!$B$27="Yes",G278,1))</f>
        <v/>
      </c>
      <c r="J278" s="11">
        <f>IF(A278="","",F278+H278-I278)</f>
        <v/>
      </c>
      <c r="K278">
        <f>IF(A278="","",IFERROR(IF(B278="",NA(),MATCH(B278,Products!$B$5:$B$204,0)),IFERROR(MATCH(A278,Products!$A$5:$A$204,0),"")))</f>
        <v/>
      </c>
      <c r="L278">
        <f>IF(A278="","",IF(K278="","⚠ not in Products",INDEX(Products!$A$5:$A$204,K278)))</f>
        <v/>
      </c>
      <c r="M278" s="11">
        <f>IF(A278="","",J278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278+IFERROR(INDEX(Settings!$D$5:$D$9,MATCH("Etsy",Settings!$A$5:$A$9,0)),0)*D278)</f>
        <v/>
      </c>
      <c r="N278" s="11">
        <f>IF(A278="","",IF(K278="",0,D278*INDEX(Products!$I$5:$I$204,K278)))</f>
        <v/>
      </c>
      <c r="O278" s="11">
        <f>IF(A278="","",IF(K278="",0,J278*INDEX(Products!$H$5:$H$204,K278)))</f>
        <v/>
      </c>
      <c r="P278" s="11">
        <f>IF(A278="","",J278-M278-N278-O278)</f>
        <v/>
      </c>
    </row>
    <row r="279">
      <c r="A279">
        <f>IFERROR(INDEX('Etsy Import'!$A:$CZ,279,Settings!$C$20)&amp;"","")</f>
        <v/>
      </c>
      <c r="B279">
        <f>IFERROR(INDEX('Etsy Import'!$A:$CZ,279,Settings!$C$21)&amp;"","")</f>
        <v/>
      </c>
      <c r="C279">
        <f>IFERROR(INDEX('Etsy Import'!$A:$CZ,279,Settings!$C$22)&amp;"","")</f>
        <v/>
      </c>
      <c r="D279">
        <f>IF(A279="","",IFERROR(VALUE(SUBSTITUTE(SUBSTITUTE(INDEX('Etsy Import'!$A:$CZ,279,Settings!$C$23)&amp;"","$",""),",","")),0))</f>
        <v/>
      </c>
      <c r="E279" s="11">
        <f>IF(A279="","",IFERROR(VALUE(SUBSTITUTE(SUBSTITUTE(INDEX('Etsy Import'!$A:$CZ,279,Settings!$C$24)&amp;"","$",""),",","")),0))</f>
        <v/>
      </c>
      <c r="F279" s="11">
        <f>IF(A279="","",D279*E279)</f>
        <v/>
      </c>
      <c r="G279">
        <f>IF(A279="","",IF(C279="",1,COUNTIF($C$2:$C$1501,C279)))</f>
        <v/>
      </c>
      <c r="H279" s="11">
        <f>IF(A279="","",IFERROR(VALUE(SUBSTITUTE(SUBSTITUTE(INDEX('Etsy Import'!$A:$CZ,279,Settings!$C$25)&amp;"","$",""),",","")),0)/IF(Settings!$B$27="Yes",G279,1))</f>
        <v/>
      </c>
      <c r="I279" s="11">
        <f>IF(A279="","",IFERROR(VALUE(SUBSTITUTE(SUBSTITUTE(INDEX('Etsy Import'!$A:$CZ,279,Settings!$C$26)&amp;"","$",""),",","")),0)/IF(Settings!$B$27="Yes",G279,1))</f>
        <v/>
      </c>
      <c r="J279" s="11">
        <f>IF(A279="","",F279+H279-I279)</f>
        <v/>
      </c>
      <c r="K279">
        <f>IF(A279="","",IFERROR(IF(B279="",NA(),MATCH(B279,Products!$B$5:$B$204,0)),IFERROR(MATCH(A279,Products!$A$5:$A$204,0),"")))</f>
        <v/>
      </c>
      <c r="L279">
        <f>IF(A279="","",IF(K279="","⚠ not in Products",INDEX(Products!$A$5:$A$204,K279)))</f>
        <v/>
      </c>
      <c r="M279" s="11">
        <f>IF(A279="","",J279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279+IFERROR(INDEX(Settings!$D$5:$D$9,MATCH("Etsy",Settings!$A$5:$A$9,0)),0)*D279)</f>
        <v/>
      </c>
      <c r="N279" s="11">
        <f>IF(A279="","",IF(K279="",0,D279*INDEX(Products!$I$5:$I$204,K279)))</f>
        <v/>
      </c>
      <c r="O279" s="11">
        <f>IF(A279="","",IF(K279="",0,J279*INDEX(Products!$H$5:$H$204,K279)))</f>
        <v/>
      </c>
      <c r="P279" s="11">
        <f>IF(A279="","",J279-M279-N279-O279)</f>
        <v/>
      </c>
    </row>
    <row r="280">
      <c r="A280">
        <f>IFERROR(INDEX('Etsy Import'!$A:$CZ,280,Settings!$C$20)&amp;"","")</f>
        <v/>
      </c>
      <c r="B280">
        <f>IFERROR(INDEX('Etsy Import'!$A:$CZ,280,Settings!$C$21)&amp;"","")</f>
        <v/>
      </c>
      <c r="C280">
        <f>IFERROR(INDEX('Etsy Import'!$A:$CZ,280,Settings!$C$22)&amp;"","")</f>
        <v/>
      </c>
      <c r="D280">
        <f>IF(A280="","",IFERROR(VALUE(SUBSTITUTE(SUBSTITUTE(INDEX('Etsy Import'!$A:$CZ,280,Settings!$C$23)&amp;"","$",""),",","")),0))</f>
        <v/>
      </c>
      <c r="E280" s="11">
        <f>IF(A280="","",IFERROR(VALUE(SUBSTITUTE(SUBSTITUTE(INDEX('Etsy Import'!$A:$CZ,280,Settings!$C$24)&amp;"","$",""),",","")),0))</f>
        <v/>
      </c>
      <c r="F280" s="11">
        <f>IF(A280="","",D280*E280)</f>
        <v/>
      </c>
      <c r="G280">
        <f>IF(A280="","",IF(C280="",1,COUNTIF($C$2:$C$1501,C280)))</f>
        <v/>
      </c>
      <c r="H280" s="11">
        <f>IF(A280="","",IFERROR(VALUE(SUBSTITUTE(SUBSTITUTE(INDEX('Etsy Import'!$A:$CZ,280,Settings!$C$25)&amp;"","$",""),",","")),0)/IF(Settings!$B$27="Yes",G280,1))</f>
        <v/>
      </c>
      <c r="I280" s="11">
        <f>IF(A280="","",IFERROR(VALUE(SUBSTITUTE(SUBSTITUTE(INDEX('Etsy Import'!$A:$CZ,280,Settings!$C$26)&amp;"","$",""),",","")),0)/IF(Settings!$B$27="Yes",G280,1))</f>
        <v/>
      </c>
      <c r="J280" s="11">
        <f>IF(A280="","",F280+H280-I280)</f>
        <v/>
      </c>
      <c r="K280">
        <f>IF(A280="","",IFERROR(IF(B280="",NA(),MATCH(B280,Products!$B$5:$B$204,0)),IFERROR(MATCH(A280,Products!$A$5:$A$204,0),"")))</f>
        <v/>
      </c>
      <c r="L280">
        <f>IF(A280="","",IF(K280="","⚠ not in Products",INDEX(Products!$A$5:$A$204,K280)))</f>
        <v/>
      </c>
      <c r="M280" s="11">
        <f>IF(A280="","",J280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280+IFERROR(INDEX(Settings!$D$5:$D$9,MATCH("Etsy",Settings!$A$5:$A$9,0)),0)*D280)</f>
        <v/>
      </c>
      <c r="N280" s="11">
        <f>IF(A280="","",IF(K280="",0,D280*INDEX(Products!$I$5:$I$204,K280)))</f>
        <v/>
      </c>
      <c r="O280" s="11">
        <f>IF(A280="","",IF(K280="",0,J280*INDEX(Products!$H$5:$H$204,K280)))</f>
        <v/>
      </c>
      <c r="P280" s="11">
        <f>IF(A280="","",J280-M280-N280-O280)</f>
        <v/>
      </c>
    </row>
    <row r="281">
      <c r="A281">
        <f>IFERROR(INDEX('Etsy Import'!$A:$CZ,281,Settings!$C$20)&amp;"","")</f>
        <v/>
      </c>
      <c r="B281">
        <f>IFERROR(INDEX('Etsy Import'!$A:$CZ,281,Settings!$C$21)&amp;"","")</f>
        <v/>
      </c>
      <c r="C281">
        <f>IFERROR(INDEX('Etsy Import'!$A:$CZ,281,Settings!$C$22)&amp;"","")</f>
        <v/>
      </c>
      <c r="D281">
        <f>IF(A281="","",IFERROR(VALUE(SUBSTITUTE(SUBSTITUTE(INDEX('Etsy Import'!$A:$CZ,281,Settings!$C$23)&amp;"","$",""),",","")),0))</f>
        <v/>
      </c>
      <c r="E281" s="11">
        <f>IF(A281="","",IFERROR(VALUE(SUBSTITUTE(SUBSTITUTE(INDEX('Etsy Import'!$A:$CZ,281,Settings!$C$24)&amp;"","$",""),",","")),0))</f>
        <v/>
      </c>
      <c r="F281" s="11">
        <f>IF(A281="","",D281*E281)</f>
        <v/>
      </c>
      <c r="G281">
        <f>IF(A281="","",IF(C281="",1,COUNTIF($C$2:$C$1501,C281)))</f>
        <v/>
      </c>
      <c r="H281" s="11">
        <f>IF(A281="","",IFERROR(VALUE(SUBSTITUTE(SUBSTITUTE(INDEX('Etsy Import'!$A:$CZ,281,Settings!$C$25)&amp;"","$",""),",","")),0)/IF(Settings!$B$27="Yes",G281,1))</f>
        <v/>
      </c>
      <c r="I281" s="11">
        <f>IF(A281="","",IFERROR(VALUE(SUBSTITUTE(SUBSTITUTE(INDEX('Etsy Import'!$A:$CZ,281,Settings!$C$26)&amp;"","$",""),",","")),0)/IF(Settings!$B$27="Yes",G281,1))</f>
        <v/>
      </c>
      <c r="J281" s="11">
        <f>IF(A281="","",F281+H281-I281)</f>
        <v/>
      </c>
      <c r="K281">
        <f>IF(A281="","",IFERROR(IF(B281="",NA(),MATCH(B281,Products!$B$5:$B$204,0)),IFERROR(MATCH(A281,Products!$A$5:$A$204,0),"")))</f>
        <v/>
      </c>
      <c r="L281">
        <f>IF(A281="","",IF(K281="","⚠ not in Products",INDEX(Products!$A$5:$A$204,K281)))</f>
        <v/>
      </c>
      <c r="M281" s="11">
        <f>IF(A281="","",J281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281+IFERROR(INDEX(Settings!$D$5:$D$9,MATCH("Etsy",Settings!$A$5:$A$9,0)),0)*D281)</f>
        <v/>
      </c>
      <c r="N281" s="11">
        <f>IF(A281="","",IF(K281="",0,D281*INDEX(Products!$I$5:$I$204,K281)))</f>
        <v/>
      </c>
      <c r="O281" s="11">
        <f>IF(A281="","",IF(K281="",0,J281*INDEX(Products!$H$5:$H$204,K281)))</f>
        <v/>
      </c>
      <c r="P281" s="11">
        <f>IF(A281="","",J281-M281-N281-O281)</f>
        <v/>
      </c>
    </row>
    <row r="282">
      <c r="A282">
        <f>IFERROR(INDEX('Etsy Import'!$A:$CZ,282,Settings!$C$20)&amp;"","")</f>
        <v/>
      </c>
      <c r="B282">
        <f>IFERROR(INDEX('Etsy Import'!$A:$CZ,282,Settings!$C$21)&amp;"","")</f>
        <v/>
      </c>
      <c r="C282">
        <f>IFERROR(INDEX('Etsy Import'!$A:$CZ,282,Settings!$C$22)&amp;"","")</f>
        <v/>
      </c>
      <c r="D282">
        <f>IF(A282="","",IFERROR(VALUE(SUBSTITUTE(SUBSTITUTE(INDEX('Etsy Import'!$A:$CZ,282,Settings!$C$23)&amp;"","$",""),",","")),0))</f>
        <v/>
      </c>
      <c r="E282" s="11">
        <f>IF(A282="","",IFERROR(VALUE(SUBSTITUTE(SUBSTITUTE(INDEX('Etsy Import'!$A:$CZ,282,Settings!$C$24)&amp;"","$",""),",","")),0))</f>
        <v/>
      </c>
      <c r="F282" s="11">
        <f>IF(A282="","",D282*E282)</f>
        <v/>
      </c>
      <c r="G282">
        <f>IF(A282="","",IF(C282="",1,COUNTIF($C$2:$C$1501,C282)))</f>
        <v/>
      </c>
      <c r="H282" s="11">
        <f>IF(A282="","",IFERROR(VALUE(SUBSTITUTE(SUBSTITUTE(INDEX('Etsy Import'!$A:$CZ,282,Settings!$C$25)&amp;"","$",""),",","")),0)/IF(Settings!$B$27="Yes",G282,1))</f>
        <v/>
      </c>
      <c r="I282" s="11">
        <f>IF(A282="","",IFERROR(VALUE(SUBSTITUTE(SUBSTITUTE(INDEX('Etsy Import'!$A:$CZ,282,Settings!$C$26)&amp;"","$",""),",","")),0)/IF(Settings!$B$27="Yes",G282,1))</f>
        <v/>
      </c>
      <c r="J282" s="11">
        <f>IF(A282="","",F282+H282-I282)</f>
        <v/>
      </c>
      <c r="K282">
        <f>IF(A282="","",IFERROR(IF(B282="",NA(),MATCH(B282,Products!$B$5:$B$204,0)),IFERROR(MATCH(A282,Products!$A$5:$A$204,0),"")))</f>
        <v/>
      </c>
      <c r="L282">
        <f>IF(A282="","",IF(K282="","⚠ not in Products",INDEX(Products!$A$5:$A$204,K282)))</f>
        <v/>
      </c>
      <c r="M282" s="11">
        <f>IF(A282="","",J282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282+IFERROR(INDEX(Settings!$D$5:$D$9,MATCH("Etsy",Settings!$A$5:$A$9,0)),0)*D282)</f>
        <v/>
      </c>
      <c r="N282" s="11">
        <f>IF(A282="","",IF(K282="",0,D282*INDEX(Products!$I$5:$I$204,K282)))</f>
        <v/>
      </c>
      <c r="O282" s="11">
        <f>IF(A282="","",IF(K282="",0,J282*INDEX(Products!$H$5:$H$204,K282)))</f>
        <v/>
      </c>
      <c r="P282" s="11">
        <f>IF(A282="","",J282-M282-N282-O282)</f>
        <v/>
      </c>
    </row>
    <row r="283">
      <c r="A283">
        <f>IFERROR(INDEX('Etsy Import'!$A:$CZ,283,Settings!$C$20)&amp;"","")</f>
        <v/>
      </c>
      <c r="B283">
        <f>IFERROR(INDEX('Etsy Import'!$A:$CZ,283,Settings!$C$21)&amp;"","")</f>
        <v/>
      </c>
      <c r="C283">
        <f>IFERROR(INDEX('Etsy Import'!$A:$CZ,283,Settings!$C$22)&amp;"","")</f>
        <v/>
      </c>
      <c r="D283">
        <f>IF(A283="","",IFERROR(VALUE(SUBSTITUTE(SUBSTITUTE(INDEX('Etsy Import'!$A:$CZ,283,Settings!$C$23)&amp;"","$",""),",","")),0))</f>
        <v/>
      </c>
      <c r="E283" s="11">
        <f>IF(A283="","",IFERROR(VALUE(SUBSTITUTE(SUBSTITUTE(INDEX('Etsy Import'!$A:$CZ,283,Settings!$C$24)&amp;"","$",""),",","")),0))</f>
        <v/>
      </c>
      <c r="F283" s="11">
        <f>IF(A283="","",D283*E283)</f>
        <v/>
      </c>
      <c r="G283">
        <f>IF(A283="","",IF(C283="",1,COUNTIF($C$2:$C$1501,C283)))</f>
        <v/>
      </c>
      <c r="H283" s="11">
        <f>IF(A283="","",IFERROR(VALUE(SUBSTITUTE(SUBSTITUTE(INDEX('Etsy Import'!$A:$CZ,283,Settings!$C$25)&amp;"","$",""),",","")),0)/IF(Settings!$B$27="Yes",G283,1))</f>
        <v/>
      </c>
      <c r="I283" s="11">
        <f>IF(A283="","",IFERROR(VALUE(SUBSTITUTE(SUBSTITUTE(INDEX('Etsy Import'!$A:$CZ,283,Settings!$C$26)&amp;"","$",""),",","")),0)/IF(Settings!$B$27="Yes",G283,1))</f>
        <v/>
      </c>
      <c r="J283" s="11">
        <f>IF(A283="","",F283+H283-I283)</f>
        <v/>
      </c>
      <c r="K283">
        <f>IF(A283="","",IFERROR(IF(B283="",NA(),MATCH(B283,Products!$B$5:$B$204,0)),IFERROR(MATCH(A283,Products!$A$5:$A$204,0),"")))</f>
        <v/>
      </c>
      <c r="L283">
        <f>IF(A283="","",IF(K283="","⚠ not in Products",INDEX(Products!$A$5:$A$204,K283)))</f>
        <v/>
      </c>
      <c r="M283" s="11">
        <f>IF(A283="","",J283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283+IFERROR(INDEX(Settings!$D$5:$D$9,MATCH("Etsy",Settings!$A$5:$A$9,0)),0)*D283)</f>
        <v/>
      </c>
      <c r="N283" s="11">
        <f>IF(A283="","",IF(K283="",0,D283*INDEX(Products!$I$5:$I$204,K283)))</f>
        <v/>
      </c>
      <c r="O283" s="11">
        <f>IF(A283="","",IF(K283="",0,J283*INDEX(Products!$H$5:$H$204,K283)))</f>
        <v/>
      </c>
      <c r="P283" s="11">
        <f>IF(A283="","",J283-M283-N283-O283)</f>
        <v/>
      </c>
    </row>
    <row r="284">
      <c r="A284">
        <f>IFERROR(INDEX('Etsy Import'!$A:$CZ,284,Settings!$C$20)&amp;"","")</f>
        <v/>
      </c>
      <c r="B284">
        <f>IFERROR(INDEX('Etsy Import'!$A:$CZ,284,Settings!$C$21)&amp;"","")</f>
        <v/>
      </c>
      <c r="C284">
        <f>IFERROR(INDEX('Etsy Import'!$A:$CZ,284,Settings!$C$22)&amp;"","")</f>
        <v/>
      </c>
      <c r="D284">
        <f>IF(A284="","",IFERROR(VALUE(SUBSTITUTE(SUBSTITUTE(INDEX('Etsy Import'!$A:$CZ,284,Settings!$C$23)&amp;"","$",""),",","")),0))</f>
        <v/>
      </c>
      <c r="E284" s="11">
        <f>IF(A284="","",IFERROR(VALUE(SUBSTITUTE(SUBSTITUTE(INDEX('Etsy Import'!$A:$CZ,284,Settings!$C$24)&amp;"","$",""),",","")),0))</f>
        <v/>
      </c>
      <c r="F284" s="11">
        <f>IF(A284="","",D284*E284)</f>
        <v/>
      </c>
      <c r="G284">
        <f>IF(A284="","",IF(C284="",1,COUNTIF($C$2:$C$1501,C284)))</f>
        <v/>
      </c>
      <c r="H284" s="11">
        <f>IF(A284="","",IFERROR(VALUE(SUBSTITUTE(SUBSTITUTE(INDEX('Etsy Import'!$A:$CZ,284,Settings!$C$25)&amp;"","$",""),",","")),0)/IF(Settings!$B$27="Yes",G284,1))</f>
        <v/>
      </c>
      <c r="I284" s="11">
        <f>IF(A284="","",IFERROR(VALUE(SUBSTITUTE(SUBSTITUTE(INDEX('Etsy Import'!$A:$CZ,284,Settings!$C$26)&amp;"","$",""),",","")),0)/IF(Settings!$B$27="Yes",G284,1))</f>
        <v/>
      </c>
      <c r="J284" s="11">
        <f>IF(A284="","",F284+H284-I284)</f>
        <v/>
      </c>
      <c r="K284">
        <f>IF(A284="","",IFERROR(IF(B284="",NA(),MATCH(B284,Products!$B$5:$B$204,0)),IFERROR(MATCH(A284,Products!$A$5:$A$204,0),"")))</f>
        <v/>
      </c>
      <c r="L284">
        <f>IF(A284="","",IF(K284="","⚠ not in Products",INDEX(Products!$A$5:$A$204,K284)))</f>
        <v/>
      </c>
      <c r="M284" s="11">
        <f>IF(A284="","",J284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284+IFERROR(INDEX(Settings!$D$5:$D$9,MATCH("Etsy",Settings!$A$5:$A$9,0)),0)*D284)</f>
        <v/>
      </c>
      <c r="N284" s="11">
        <f>IF(A284="","",IF(K284="",0,D284*INDEX(Products!$I$5:$I$204,K284)))</f>
        <v/>
      </c>
      <c r="O284" s="11">
        <f>IF(A284="","",IF(K284="",0,J284*INDEX(Products!$H$5:$H$204,K284)))</f>
        <v/>
      </c>
      <c r="P284" s="11">
        <f>IF(A284="","",J284-M284-N284-O284)</f>
        <v/>
      </c>
    </row>
    <row r="285">
      <c r="A285">
        <f>IFERROR(INDEX('Etsy Import'!$A:$CZ,285,Settings!$C$20)&amp;"","")</f>
        <v/>
      </c>
      <c r="B285">
        <f>IFERROR(INDEX('Etsy Import'!$A:$CZ,285,Settings!$C$21)&amp;"","")</f>
        <v/>
      </c>
      <c r="C285">
        <f>IFERROR(INDEX('Etsy Import'!$A:$CZ,285,Settings!$C$22)&amp;"","")</f>
        <v/>
      </c>
      <c r="D285">
        <f>IF(A285="","",IFERROR(VALUE(SUBSTITUTE(SUBSTITUTE(INDEX('Etsy Import'!$A:$CZ,285,Settings!$C$23)&amp;"","$",""),",","")),0))</f>
        <v/>
      </c>
      <c r="E285" s="11">
        <f>IF(A285="","",IFERROR(VALUE(SUBSTITUTE(SUBSTITUTE(INDEX('Etsy Import'!$A:$CZ,285,Settings!$C$24)&amp;"","$",""),",","")),0))</f>
        <v/>
      </c>
      <c r="F285" s="11">
        <f>IF(A285="","",D285*E285)</f>
        <v/>
      </c>
      <c r="G285">
        <f>IF(A285="","",IF(C285="",1,COUNTIF($C$2:$C$1501,C285)))</f>
        <v/>
      </c>
      <c r="H285" s="11">
        <f>IF(A285="","",IFERROR(VALUE(SUBSTITUTE(SUBSTITUTE(INDEX('Etsy Import'!$A:$CZ,285,Settings!$C$25)&amp;"","$",""),",","")),0)/IF(Settings!$B$27="Yes",G285,1))</f>
        <v/>
      </c>
      <c r="I285" s="11">
        <f>IF(A285="","",IFERROR(VALUE(SUBSTITUTE(SUBSTITUTE(INDEX('Etsy Import'!$A:$CZ,285,Settings!$C$26)&amp;"","$",""),",","")),0)/IF(Settings!$B$27="Yes",G285,1))</f>
        <v/>
      </c>
      <c r="J285" s="11">
        <f>IF(A285="","",F285+H285-I285)</f>
        <v/>
      </c>
      <c r="K285">
        <f>IF(A285="","",IFERROR(IF(B285="",NA(),MATCH(B285,Products!$B$5:$B$204,0)),IFERROR(MATCH(A285,Products!$A$5:$A$204,0),"")))</f>
        <v/>
      </c>
      <c r="L285">
        <f>IF(A285="","",IF(K285="","⚠ not in Products",INDEX(Products!$A$5:$A$204,K285)))</f>
        <v/>
      </c>
      <c r="M285" s="11">
        <f>IF(A285="","",J285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285+IFERROR(INDEX(Settings!$D$5:$D$9,MATCH("Etsy",Settings!$A$5:$A$9,0)),0)*D285)</f>
        <v/>
      </c>
      <c r="N285" s="11">
        <f>IF(A285="","",IF(K285="",0,D285*INDEX(Products!$I$5:$I$204,K285)))</f>
        <v/>
      </c>
      <c r="O285" s="11">
        <f>IF(A285="","",IF(K285="",0,J285*INDEX(Products!$H$5:$H$204,K285)))</f>
        <v/>
      </c>
      <c r="P285" s="11">
        <f>IF(A285="","",J285-M285-N285-O285)</f>
        <v/>
      </c>
    </row>
    <row r="286">
      <c r="A286">
        <f>IFERROR(INDEX('Etsy Import'!$A:$CZ,286,Settings!$C$20)&amp;"","")</f>
        <v/>
      </c>
      <c r="B286">
        <f>IFERROR(INDEX('Etsy Import'!$A:$CZ,286,Settings!$C$21)&amp;"","")</f>
        <v/>
      </c>
      <c r="C286">
        <f>IFERROR(INDEX('Etsy Import'!$A:$CZ,286,Settings!$C$22)&amp;"","")</f>
        <v/>
      </c>
      <c r="D286">
        <f>IF(A286="","",IFERROR(VALUE(SUBSTITUTE(SUBSTITUTE(INDEX('Etsy Import'!$A:$CZ,286,Settings!$C$23)&amp;"","$",""),",","")),0))</f>
        <v/>
      </c>
      <c r="E286" s="11">
        <f>IF(A286="","",IFERROR(VALUE(SUBSTITUTE(SUBSTITUTE(INDEX('Etsy Import'!$A:$CZ,286,Settings!$C$24)&amp;"","$",""),",","")),0))</f>
        <v/>
      </c>
      <c r="F286" s="11">
        <f>IF(A286="","",D286*E286)</f>
        <v/>
      </c>
      <c r="G286">
        <f>IF(A286="","",IF(C286="",1,COUNTIF($C$2:$C$1501,C286)))</f>
        <v/>
      </c>
      <c r="H286" s="11">
        <f>IF(A286="","",IFERROR(VALUE(SUBSTITUTE(SUBSTITUTE(INDEX('Etsy Import'!$A:$CZ,286,Settings!$C$25)&amp;"","$",""),",","")),0)/IF(Settings!$B$27="Yes",G286,1))</f>
        <v/>
      </c>
      <c r="I286" s="11">
        <f>IF(A286="","",IFERROR(VALUE(SUBSTITUTE(SUBSTITUTE(INDEX('Etsy Import'!$A:$CZ,286,Settings!$C$26)&amp;"","$",""),",","")),0)/IF(Settings!$B$27="Yes",G286,1))</f>
        <v/>
      </c>
      <c r="J286" s="11">
        <f>IF(A286="","",F286+H286-I286)</f>
        <v/>
      </c>
      <c r="K286">
        <f>IF(A286="","",IFERROR(IF(B286="",NA(),MATCH(B286,Products!$B$5:$B$204,0)),IFERROR(MATCH(A286,Products!$A$5:$A$204,0),"")))</f>
        <v/>
      </c>
      <c r="L286">
        <f>IF(A286="","",IF(K286="","⚠ not in Products",INDEX(Products!$A$5:$A$204,K286)))</f>
        <v/>
      </c>
      <c r="M286" s="11">
        <f>IF(A286="","",J286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286+IFERROR(INDEX(Settings!$D$5:$D$9,MATCH("Etsy",Settings!$A$5:$A$9,0)),0)*D286)</f>
        <v/>
      </c>
      <c r="N286" s="11">
        <f>IF(A286="","",IF(K286="",0,D286*INDEX(Products!$I$5:$I$204,K286)))</f>
        <v/>
      </c>
      <c r="O286" s="11">
        <f>IF(A286="","",IF(K286="",0,J286*INDEX(Products!$H$5:$H$204,K286)))</f>
        <v/>
      </c>
      <c r="P286" s="11">
        <f>IF(A286="","",J286-M286-N286-O286)</f>
        <v/>
      </c>
    </row>
    <row r="287">
      <c r="A287">
        <f>IFERROR(INDEX('Etsy Import'!$A:$CZ,287,Settings!$C$20)&amp;"","")</f>
        <v/>
      </c>
      <c r="B287">
        <f>IFERROR(INDEX('Etsy Import'!$A:$CZ,287,Settings!$C$21)&amp;"","")</f>
        <v/>
      </c>
      <c r="C287">
        <f>IFERROR(INDEX('Etsy Import'!$A:$CZ,287,Settings!$C$22)&amp;"","")</f>
        <v/>
      </c>
      <c r="D287">
        <f>IF(A287="","",IFERROR(VALUE(SUBSTITUTE(SUBSTITUTE(INDEX('Etsy Import'!$A:$CZ,287,Settings!$C$23)&amp;"","$",""),",","")),0))</f>
        <v/>
      </c>
      <c r="E287" s="11">
        <f>IF(A287="","",IFERROR(VALUE(SUBSTITUTE(SUBSTITUTE(INDEX('Etsy Import'!$A:$CZ,287,Settings!$C$24)&amp;"","$",""),",","")),0))</f>
        <v/>
      </c>
      <c r="F287" s="11">
        <f>IF(A287="","",D287*E287)</f>
        <v/>
      </c>
      <c r="G287">
        <f>IF(A287="","",IF(C287="",1,COUNTIF($C$2:$C$1501,C287)))</f>
        <v/>
      </c>
      <c r="H287" s="11">
        <f>IF(A287="","",IFERROR(VALUE(SUBSTITUTE(SUBSTITUTE(INDEX('Etsy Import'!$A:$CZ,287,Settings!$C$25)&amp;"","$",""),",","")),0)/IF(Settings!$B$27="Yes",G287,1))</f>
        <v/>
      </c>
      <c r="I287" s="11">
        <f>IF(A287="","",IFERROR(VALUE(SUBSTITUTE(SUBSTITUTE(INDEX('Etsy Import'!$A:$CZ,287,Settings!$C$26)&amp;"","$",""),",","")),0)/IF(Settings!$B$27="Yes",G287,1))</f>
        <v/>
      </c>
      <c r="J287" s="11">
        <f>IF(A287="","",F287+H287-I287)</f>
        <v/>
      </c>
      <c r="K287">
        <f>IF(A287="","",IFERROR(IF(B287="",NA(),MATCH(B287,Products!$B$5:$B$204,0)),IFERROR(MATCH(A287,Products!$A$5:$A$204,0),"")))</f>
        <v/>
      </c>
      <c r="L287">
        <f>IF(A287="","",IF(K287="","⚠ not in Products",INDEX(Products!$A$5:$A$204,K287)))</f>
        <v/>
      </c>
      <c r="M287" s="11">
        <f>IF(A287="","",J287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287+IFERROR(INDEX(Settings!$D$5:$D$9,MATCH("Etsy",Settings!$A$5:$A$9,0)),0)*D287)</f>
        <v/>
      </c>
      <c r="N287" s="11">
        <f>IF(A287="","",IF(K287="",0,D287*INDEX(Products!$I$5:$I$204,K287)))</f>
        <v/>
      </c>
      <c r="O287" s="11">
        <f>IF(A287="","",IF(K287="",0,J287*INDEX(Products!$H$5:$H$204,K287)))</f>
        <v/>
      </c>
      <c r="P287" s="11">
        <f>IF(A287="","",J287-M287-N287-O287)</f>
        <v/>
      </c>
    </row>
    <row r="288">
      <c r="A288">
        <f>IFERROR(INDEX('Etsy Import'!$A:$CZ,288,Settings!$C$20)&amp;"","")</f>
        <v/>
      </c>
      <c r="B288">
        <f>IFERROR(INDEX('Etsy Import'!$A:$CZ,288,Settings!$C$21)&amp;"","")</f>
        <v/>
      </c>
      <c r="C288">
        <f>IFERROR(INDEX('Etsy Import'!$A:$CZ,288,Settings!$C$22)&amp;"","")</f>
        <v/>
      </c>
      <c r="D288">
        <f>IF(A288="","",IFERROR(VALUE(SUBSTITUTE(SUBSTITUTE(INDEX('Etsy Import'!$A:$CZ,288,Settings!$C$23)&amp;"","$",""),",","")),0))</f>
        <v/>
      </c>
      <c r="E288" s="11">
        <f>IF(A288="","",IFERROR(VALUE(SUBSTITUTE(SUBSTITUTE(INDEX('Etsy Import'!$A:$CZ,288,Settings!$C$24)&amp;"","$",""),",","")),0))</f>
        <v/>
      </c>
      <c r="F288" s="11">
        <f>IF(A288="","",D288*E288)</f>
        <v/>
      </c>
      <c r="G288">
        <f>IF(A288="","",IF(C288="",1,COUNTIF($C$2:$C$1501,C288)))</f>
        <v/>
      </c>
      <c r="H288" s="11">
        <f>IF(A288="","",IFERROR(VALUE(SUBSTITUTE(SUBSTITUTE(INDEX('Etsy Import'!$A:$CZ,288,Settings!$C$25)&amp;"","$",""),",","")),0)/IF(Settings!$B$27="Yes",G288,1))</f>
        <v/>
      </c>
      <c r="I288" s="11">
        <f>IF(A288="","",IFERROR(VALUE(SUBSTITUTE(SUBSTITUTE(INDEX('Etsy Import'!$A:$CZ,288,Settings!$C$26)&amp;"","$",""),",","")),0)/IF(Settings!$B$27="Yes",G288,1))</f>
        <v/>
      </c>
      <c r="J288" s="11">
        <f>IF(A288="","",F288+H288-I288)</f>
        <v/>
      </c>
      <c r="K288">
        <f>IF(A288="","",IFERROR(IF(B288="",NA(),MATCH(B288,Products!$B$5:$B$204,0)),IFERROR(MATCH(A288,Products!$A$5:$A$204,0),"")))</f>
        <v/>
      </c>
      <c r="L288">
        <f>IF(A288="","",IF(K288="","⚠ not in Products",INDEX(Products!$A$5:$A$204,K288)))</f>
        <v/>
      </c>
      <c r="M288" s="11">
        <f>IF(A288="","",J288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288+IFERROR(INDEX(Settings!$D$5:$D$9,MATCH("Etsy",Settings!$A$5:$A$9,0)),0)*D288)</f>
        <v/>
      </c>
      <c r="N288" s="11">
        <f>IF(A288="","",IF(K288="",0,D288*INDEX(Products!$I$5:$I$204,K288)))</f>
        <v/>
      </c>
      <c r="O288" s="11">
        <f>IF(A288="","",IF(K288="",0,J288*INDEX(Products!$H$5:$H$204,K288)))</f>
        <v/>
      </c>
      <c r="P288" s="11">
        <f>IF(A288="","",J288-M288-N288-O288)</f>
        <v/>
      </c>
    </row>
    <row r="289">
      <c r="A289">
        <f>IFERROR(INDEX('Etsy Import'!$A:$CZ,289,Settings!$C$20)&amp;"","")</f>
        <v/>
      </c>
      <c r="B289">
        <f>IFERROR(INDEX('Etsy Import'!$A:$CZ,289,Settings!$C$21)&amp;"","")</f>
        <v/>
      </c>
      <c r="C289">
        <f>IFERROR(INDEX('Etsy Import'!$A:$CZ,289,Settings!$C$22)&amp;"","")</f>
        <v/>
      </c>
      <c r="D289">
        <f>IF(A289="","",IFERROR(VALUE(SUBSTITUTE(SUBSTITUTE(INDEX('Etsy Import'!$A:$CZ,289,Settings!$C$23)&amp;"","$",""),",","")),0))</f>
        <v/>
      </c>
      <c r="E289" s="11">
        <f>IF(A289="","",IFERROR(VALUE(SUBSTITUTE(SUBSTITUTE(INDEX('Etsy Import'!$A:$CZ,289,Settings!$C$24)&amp;"","$",""),",","")),0))</f>
        <v/>
      </c>
      <c r="F289" s="11">
        <f>IF(A289="","",D289*E289)</f>
        <v/>
      </c>
      <c r="G289">
        <f>IF(A289="","",IF(C289="",1,COUNTIF($C$2:$C$1501,C289)))</f>
        <v/>
      </c>
      <c r="H289" s="11">
        <f>IF(A289="","",IFERROR(VALUE(SUBSTITUTE(SUBSTITUTE(INDEX('Etsy Import'!$A:$CZ,289,Settings!$C$25)&amp;"","$",""),",","")),0)/IF(Settings!$B$27="Yes",G289,1))</f>
        <v/>
      </c>
      <c r="I289" s="11">
        <f>IF(A289="","",IFERROR(VALUE(SUBSTITUTE(SUBSTITUTE(INDEX('Etsy Import'!$A:$CZ,289,Settings!$C$26)&amp;"","$",""),",","")),0)/IF(Settings!$B$27="Yes",G289,1))</f>
        <v/>
      </c>
      <c r="J289" s="11">
        <f>IF(A289="","",F289+H289-I289)</f>
        <v/>
      </c>
      <c r="K289">
        <f>IF(A289="","",IFERROR(IF(B289="",NA(),MATCH(B289,Products!$B$5:$B$204,0)),IFERROR(MATCH(A289,Products!$A$5:$A$204,0),"")))</f>
        <v/>
      </c>
      <c r="L289">
        <f>IF(A289="","",IF(K289="","⚠ not in Products",INDEX(Products!$A$5:$A$204,K289)))</f>
        <v/>
      </c>
      <c r="M289" s="11">
        <f>IF(A289="","",J289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289+IFERROR(INDEX(Settings!$D$5:$D$9,MATCH("Etsy",Settings!$A$5:$A$9,0)),0)*D289)</f>
        <v/>
      </c>
      <c r="N289" s="11">
        <f>IF(A289="","",IF(K289="",0,D289*INDEX(Products!$I$5:$I$204,K289)))</f>
        <v/>
      </c>
      <c r="O289" s="11">
        <f>IF(A289="","",IF(K289="",0,J289*INDEX(Products!$H$5:$H$204,K289)))</f>
        <v/>
      </c>
      <c r="P289" s="11">
        <f>IF(A289="","",J289-M289-N289-O289)</f>
        <v/>
      </c>
    </row>
    <row r="290">
      <c r="A290">
        <f>IFERROR(INDEX('Etsy Import'!$A:$CZ,290,Settings!$C$20)&amp;"","")</f>
        <v/>
      </c>
      <c r="B290">
        <f>IFERROR(INDEX('Etsy Import'!$A:$CZ,290,Settings!$C$21)&amp;"","")</f>
        <v/>
      </c>
      <c r="C290">
        <f>IFERROR(INDEX('Etsy Import'!$A:$CZ,290,Settings!$C$22)&amp;"","")</f>
        <v/>
      </c>
      <c r="D290">
        <f>IF(A290="","",IFERROR(VALUE(SUBSTITUTE(SUBSTITUTE(INDEX('Etsy Import'!$A:$CZ,290,Settings!$C$23)&amp;"","$",""),",","")),0))</f>
        <v/>
      </c>
      <c r="E290" s="11">
        <f>IF(A290="","",IFERROR(VALUE(SUBSTITUTE(SUBSTITUTE(INDEX('Etsy Import'!$A:$CZ,290,Settings!$C$24)&amp;"","$",""),",","")),0))</f>
        <v/>
      </c>
      <c r="F290" s="11">
        <f>IF(A290="","",D290*E290)</f>
        <v/>
      </c>
      <c r="G290">
        <f>IF(A290="","",IF(C290="",1,COUNTIF($C$2:$C$1501,C290)))</f>
        <v/>
      </c>
      <c r="H290" s="11">
        <f>IF(A290="","",IFERROR(VALUE(SUBSTITUTE(SUBSTITUTE(INDEX('Etsy Import'!$A:$CZ,290,Settings!$C$25)&amp;"","$",""),",","")),0)/IF(Settings!$B$27="Yes",G290,1))</f>
        <v/>
      </c>
      <c r="I290" s="11">
        <f>IF(A290="","",IFERROR(VALUE(SUBSTITUTE(SUBSTITUTE(INDEX('Etsy Import'!$A:$CZ,290,Settings!$C$26)&amp;"","$",""),",","")),0)/IF(Settings!$B$27="Yes",G290,1))</f>
        <v/>
      </c>
      <c r="J290" s="11">
        <f>IF(A290="","",F290+H290-I290)</f>
        <v/>
      </c>
      <c r="K290">
        <f>IF(A290="","",IFERROR(IF(B290="",NA(),MATCH(B290,Products!$B$5:$B$204,0)),IFERROR(MATCH(A290,Products!$A$5:$A$204,0),"")))</f>
        <v/>
      </c>
      <c r="L290">
        <f>IF(A290="","",IF(K290="","⚠ not in Products",INDEX(Products!$A$5:$A$204,K290)))</f>
        <v/>
      </c>
      <c r="M290" s="11">
        <f>IF(A290="","",J290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290+IFERROR(INDEX(Settings!$D$5:$D$9,MATCH("Etsy",Settings!$A$5:$A$9,0)),0)*D290)</f>
        <v/>
      </c>
      <c r="N290" s="11">
        <f>IF(A290="","",IF(K290="",0,D290*INDEX(Products!$I$5:$I$204,K290)))</f>
        <v/>
      </c>
      <c r="O290" s="11">
        <f>IF(A290="","",IF(K290="",0,J290*INDEX(Products!$H$5:$H$204,K290)))</f>
        <v/>
      </c>
      <c r="P290" s="11">
        <f>IF(A290="","",J290-M290-N290-O290)</f>
        <v/>
      </c>
    </row>
    <row r="291">
      <c r="A291">
        <f>IFERROR(INDEX('Etsy Import'!$A:$CZ,291,Settings!$C$20)&amp;"","")</f>
        <v/>
      </c>
      <c r="B291">
        <f>IFERROR(INDEX('Etsy Import'!$A:$CZ,291,Settings!$C$21)&amp;"","")</f>
        <v/>
      </c>
      <c r="C291">
        <f>IFERROR(INDEX('Etsy Import'!$A:$CZ,291,Settings!$C$22)&amp;"","")</f>
        <v/>
      </c>
      <c r="D291">
        <f>IF(A291="","",IFERROR(VALUE(SUBSTITUTE(SUBSTITUTE(INDEX('Etsy Import'!$A:$CZ,291,Settings!$C$23)&amp;"","$",""),",","")),0))</f>
        <v/>
      </c>
      <c r="E291" s="11">
        <f>IF(A291="","",IFERROR(VALUE(SUBSTITUTE(SUBSTITUTE(INDEX('Etsy Import'!$A:$CZ,291,Settings!$C$24)&amp;"","$",""),",","")),0))</f>
        <v/>
      </c>
      <c r="F291" s="11">
        <f>IF(A291="","",D291*E291)</f>
        <v/>
      </c>
      <c r="G291">
        <f>IF(A291="","",IF(C291="",1,COUNTIF($C$2:$C$1501,C291)))</f>
        <v/>
      </c>
      <c r="H291" s="11">
        <f>IF(A291="","",IFERROR(VALUE(SUBSTITUTE(SUBSTITUTE(INDEX('Etsy Import'!$A:$CZ,291,Settings!$C$25)&amp;"","$",""),",","")),0)/IF(Settings!$B$27="Yes",G291,1))</f>
        <v/>
      </c>
      <c r="I291" s="11">
        <f>IF(A291="","",IFERROR(VALUE(SUBSTITUTE(SUBSTITUTE(INDEX('Etsy Import'!$A:$CZ,291,Settings!$C$26)&amp;"","$",""),",","")),0)/IF(Settings!$B$27="Yes",G291,1))</f>
        <v/>
      </c>
      <c r="J291" s="11">
        <f>IF(A291="","",F291+H291-I291)</f>
        <v/>
      </c>
      <c r="K291">
        <f>IF(A291="","",IFERROR(IF(B291="",NA(),MATCH(B291,Products!$B$5:$B$204,0)),IFERROR(MATCH(A291,Products!$A$5:$A$204,0),"")))</f>
        <v/>
      </c>
      <c r="L291">
        <f>IF(A291="","",IF(K291="","⚠ not in Products",INDEX(Products!$A$5:$A$204,K291)))</f>
        <v/>
      </c>
      <c r="M291" s="11">
        <f>IF(A291="","",J291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291+IFERROR(INDEX(Settings!$D$5:$D$9,MATCH("Etsy",Settings!$A$5:$A$9,0)),0)*D291)</f>
        <v/>
      </c>
      <c r="N291" s="11">
        <f>IF(A291="","",IF(K291="",0,D291*INDEX(Products!$I$5:$I$204,K291)))</f>
        <v/>
      </c>
      <c r="O291" s="11">
        <f>IF(A291="","",IF(K291="",0,J291*INDEX(Products!$H$5:$H$204,K291)))</f>
        <v/>
      </c>
      <c r="P291" s="11">
        <f>IF(A291="","",J291-M291-N291-O291)</f>
        <v/>
      </c>
    </row>
    <row r="292">
      <c r="A292">
        <f>IFERROR(INDEX('Etsy Import'!$A:$CZ,292,Settings!$C$20)&amp;"","")</f>
        <v/>
      </c>
      <c r="B292">
        <f>IFERROR(INDEX('Etsy Import'!$A:$CZ,292,Settings!$C$21)&amp;"","")</f>
        <v/>
      </c>
      <c r="C292">
        <f>IFERROR(INDEX('Etsy Import'!$A:$CZ,292,Settings!$C$22)&amp;"","")</f>
        <v/>
      </c>
      <c r="D292">
        <f>IF(A292="","",IFERROR(VALUE(SUBSTITUTE(SUBSTITUTE(INDEX('Etsy Import'!$A:$CZ,292,Settings!$C$23)&amp;"","$",""),",","")),0))</f>
        <v/>
      </c>
      <c r="E292" s="11">
        <f>IF(A292="","",IFERROR(VALUE(SUBSTITUTE(SUBSTITUTE(INDEX('Etsy Import'!$A:$CZ,292,Settings!$C$24)&amp;"","$",""),",","")),0))</f>
        <v/>
      </c>
      <c r="F292" s="11">
        <f>IF(A292="","",D292*E292)</f>
        <v/>
      </c>
      <c r="G292">
        <f>IF(A292="","",IF(C292="",1,COUNTIF($C$2:$C$1501,C292)))</f>
        <v/>
      </c>
      <c r="H292" s="11">
        <f>IF(A292="","",IFERROR(VALUE(SUBSTITUTE(SUBSTITUTE(INDEX('Etsy Import'!$A:$CZ,292,Settings!$C$25)&amp;"","$",""),",","")),0)/IF(Settings!$B$27="Yes",G292,1))</f>
        <v/>
      </c>
      <c r="I292" s="11">
        <f>IF(A292="","",IFERROR(VALUE(SUBSTITUTE(SUBSTITUTE(INDEX('Etsy Import'!$A:$CZ,292,Settings!$C$26)&amp;"","$",""),",","")),0)/IF(Settings!$B$27="Yes",G292,1))</f>
        <v/>
      </c>
      <c r="J292" s="11">
        <f>IF(A292="","",F292+H292-I292)</f>
        <v/>
      </c>
      <c r="K292">
        <f>IF(A292="","",IFERROR(IF(B292="",NA(),MATCH(B292,Products!$B$5:$B$204,0)),IFERROR(MATCH(A292,Products!$A$5:$A$204,0),"")))</f>
        <v/>
      </c>
      <c r="L292">
        <f>IF(A292="","",IF(K292="","⚠ not in Products",INDEX(Products!$A$5:$A$204,K292)))</f>
        <v/>
      </c>
      <c r="M292" s="11">
        <f>IF(A292="","",J292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292+IFERROR(INDEX(Settings!$D$5:$D$9,MATCH("Etsy",Settings!$A$5:$A$9,0)),0)*D292)</f>
        <v/>
      </c>
      <c r="N292" s="11">
        <f>IF(A292="","",IF(K292="",0,D292*INDEX(Products!$I$5:$I$204,K292)))</f>
        <v/>
      </c>
      <c r="O292" s="11">
        <f>IF(A292="","",IF(K292="",0,J292*INDEX(Products!$H$5:$H$204,K292)))</f>
        <v/>
      </c>
      <c r="P292" s="11">
        <f>IF(A292="","",J292-M292-N292-O292)</f>
        <v/>
      </c>
    </row>
    <row r="293">
      <c r="A293">
        <f>IFERROR(INDEX('Etsy Import'!$A:$CZ,293,Settings!$C$20)&amp;"","")</f>
        <v/>
      </c>
      <c r="B293">
        <f>IFERROR(INDEX('Etsy Import'!$A:$CZ,293,Settings!$C$21)&amp;"","")</f>
        <v/>
      </c>
      <c r="C293">
        <f>IFERROR(INDEX('Etsy Import'!$A:$CZ,293,Settings!$C$22)&amp;"","")</f>
        <v/>
      </c>
      <c r="D293">
        <f>IF(A293="","",IFERROR(VALUE(SUBSTITUTE(SUBSTITUTE(INDEX('Etsy Import'!$A:$CZ,293,Settings!$C$23)&amp;"","$",""),",","")),0))</f>
        <v/>
      </c>
      <c r="E293" s="11">
        <f>IF(A293="","",IFERROR(VALUE(SUBSTITUTE(SUBSTITUTE(INDEX('Etsy Import'!$A:$CZ,293,Settings!$C$24)&amp;"","$",""),",","")),0))</f>
        <v/>
      </c>
      <c r="F293" s="11">
        <f>IF(A293="","",D293*E293)</f>
        <v/>
      </c>
      <c r="G293">
        <f>IF(A293="","",IF(C293="",1,COUNTIF($C$2:$C$1501,C293)))</f>
        <v/>
      </c>
      <c r="H293" s="11">
        <f>IF(A293="","",IFERROR(VALUE(SUBSTITUTE(SUBSTITUTE(INDEX('Etsy Import'!$A:$CZ,293,Settings!$C$25)&amp;"","$",""),",","")),0)/IF(Settings!$B$27="Yes",G293,1))</f>
        <v/>
      </c>
      <c r="I293" s="11">
        <f>IF(A293="","",IFERROR(VALUE(SUBSTITUTE(SUBSTITUTE(INDEX('Etsy Import'!$A:$CZ,293,Settings!$C$26)&amp;"","$",""),",","")),0)/IF(Settings!$B$27="Yes",G293,1))</f>
        <v/>
      </c>
      <c r="J293" s="11">
        <f>IF(A293="","",F293+H293-I293)</f>
        <v/>
      </c>
      <c r="K293">
        <f>IF(A293="","",IFERROR(IF(B293="",NA(),MATCH(B293,Products!$B$5:$B$204,0)),IFERROR(MATCH(A293,Products!$A$5:$A$204,0),"")))</f>
        <v/>
      </c>
      <c r="L293">
        <f>IF(A293="","",IF(K293="","⚠ not in Products",INDEX(Products!$A$5:$A$204,K293)))</f>
        <v/>
      </c>
      <c r="M293" s="11">
        <f>IF(A293="","",J293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293+IFERROR(INDEX(Settings!$D$5:$D$9,MATCH("Etsy",Settings!$A$5:$A$9,0)),0)*D293)</f>
        <v/>
      </c>
      <c r="N293" s="11">
        <f>IF(A293="","",IF(K293="",0,D293*INDEX(Products!$I$5:$I$204,K293)))</f>
        <v/>
      </c>
      <c r="O293" s="11">
        <f>IF(A293="","",IF(K293="",0,J293*INDEX(Products!$H$5:$H$204,K293)))</f>
        <v/>
      </c>
      <c r="P293" s="11">
        <f>IF(A293="","",J293-M293-N293-O293)</f>
        <v/>
      </c>
    </row>
    <row r="294">
      <c r="A294">
        <f>IFERROR(INDEX('Etsy Import'!$A:$CZ,294,Settings!$C$20)&amp;"","")</f>
        <v/>
      </c>
      <c r="B294">
        <f>IFERROR(INDEX('Etsy Import'!$A:$CZ,294,Settings!$C$21)&amp;"","")</f>
        <v/>
      </c>
      <c r="C294">
        <f>IFERROR(INDEX('Etsy Import'!$A:$CZ,294,Settings!$C$22)&amp;"","")</f>
        <v/>
      </c>
      <c r="D294">
        <f>IF(A294="","",IFERROR(VALUE(SUBSTITUTE(SUBSTITUTE(INDEX('Etsy Import'!$A:$CZ,294,Settings!$C$23)&amp;"","$",""),",","")),0))</f>
        <v/>
      </c>
      <c r="E294" s="11">
        <f>IF(A294="","",IFERROR(VALUE(SUBSTITUTE(SUBSTITUTE(INDEX('Etsy Import'!$A:$CZ,294,Settings!$C$24)&amp;"","$",""),",","")),0))</f>
        <v/>
      </c>
      <c r="F294" s="11">
        <f>IF(A294="","",D294*E294)</f>
        <v/>
      </c>
      <c r="G294">
        <f>IF(A294="","",IF(C294="",1,COUNTIF($C$2:$C$1501,C294)))</f>
        <v/>
      </c>
      <c r="H294" s="11">
        <f>IF(A294="","",IFERROR(VALUE(SUBSTITUTE(SUBSTITUTE(INDEX('Etsy Import'!$A:$CZ,294,Settings!$C$25)&amp;"","$",""),",","")),0)/IF(Settings!$B$27="Yes",G294,1))</f>
        <v/>
      </c>
      <c r="I294" s="11">
        <f>IF(A294="","",IFERROR(VALUE(SUBSTITUTE(SUBSTITUTE(INDEX('Etsy Import'!$A:$CZ,294,Settings!$C$26)&amp;"","$",""),",","")),0)/IF(Settings!$B$27="Yes",G294,1))</f>
        <v/>
      </c>
      <c r="J294" s="11">
        <f>IF(A294="","",F294+H294-I294)</f>
        <v/>
      </c>
      <c r="K294">
        <f>IF(A294="","",IFERROR(IF(B294="",NA(),MATCH(B294,Products!$B$5:$B$204,0)),IFERROR(MATCH(A294,Products!$A$5:$A$204,0),"")))</f>
        <v/>
      </c>
      <c r="L294">
        <f>IF(A294="","",IF(K294="","⚠ not in Products",INDEX(Products!$A$5:$A$204,K294)))</f>
        <v/>
      </c>
      <c r="M294" s="11">
        <f>IF(A294="","",J294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294+IFERROR(INDEX(Settings!$D$5:$D$9,MATCH("Etsy",Settings!$A$5:$A$9,0)),0)*D294)</f>
        <v/>
      </c>
      <c r="N294" s="11">
        <f>IF(A294="","",IF(K294="",0,D294*INDEX(Products!$I$5:$I$204,K294)))</f>
        <v/>
      </c>
      <c r="O294" s="11">
        <f>IF(A294="","",IF(K294="",0,J294*INDEX(Products!$H$5:$H$204,K294)))</f>
        <v/>
      </c>
      <c r="P294" s="11">
        <f>IF(A294="","",J294-M294-N294-O294)</f>
        <v/>
      </c>
    </row>
    <row r="295">
      <c r="A295">
        <f>IFERROR(INDEX('Etsy Import'!$A:$CZ,295,Settings!$C$20)&amp;"","")</f>
        <v/>
      </c>
      <c r="B295">
        <f>IFERROR(INDEX('Etsy Import'!$A:$CZ,295,Settings!$C$21)&amp;"","")</f>
        <v/>
      </c>
      <c r="C295">
        <f>IFERROR(INDEX('Etsy Import'!$A:$CZ,295,Settings!$C$22)&amp;"","")</f>
        <v/>
      </c>
      <c r="D295">
        <f>IF(A295="","",IFERROR(VALUE(SUBSTITUTE(SUBSTITUTE(INDEX('Etsy Import'!$A:$CZ,295,Settings!$C$23)&amp;"","$",""),",","")),0))</f>
        <v/>
      </c>
      <c r="E295" s="11">
        <f>IF(A295="","",IFERROR(VALUE(SUBSTITUTE(SUBSTITUTE(INDEX('Etsy Import'!$A:$CZ,295,Settings!$C$24)&amp;"","$",""),",","")),0))</f>
        <v/>
      </c>
      <c r="F295" s="11">
        <f>IF(A295="","",D295*E295)</f>
        <v/>
      </c>
      <c r="G295">
        <f>IF(A295="","",IF(C295="",1,COUNTIF($C$2:$C$1501,C295)))</f>
        <v/>
      </c>
      <c r="H295" s="11">
        <f>IF(A295="","",IFERROR(VALUE(SUBSTITUTE(SUBSTITUTE(INDEX('Etsy Import'!$A:$CZ,295,Settings!$C$25)&amp;"","$",""),",","")),0)/IF(Settings!$B$27="Yes",G295,1))</f>
        <v/>
      </c>
      <c r="I295" s="11">
        <f>IF(A295="","",IFERROR(VALUE(SUBSTITUTE(SUBSTITUTE(INDEX('Etsy Import'!$A:$CZ,295,Settings!$C$26)&amp;"","$",""),",","")),0)/IF(Settings!$B$27="Yes",G295,1))</f>
        <v/>
      </c>
      <c r="J295" s="11">
        <f>IF(A295="","",F295+H295-I295)</f>
        <v/>
      </c>
      <c r="K295">
        <f>IF(A295="","",IFERROR(IF(B295="",NA(),MATCH(B295,Products!$B$5:$B$204,0)),IFERROR(MATCH(A295,Products!$A$5:$A$204,0),"")))</f>
        <v/>
      </c>
      <c r="L295">
        <f>IF(A295="","",IF(K295="","⚠ not in Products",INDEX(Products!$A$5:$A$204,K295)))</f>
        <v/>
      </c>
      <c r="M295" s="11">
        <f>IF(A295="","",J295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295+IFERROR(INDEX(Settings!$D$5:$D$9,MATCH("Etsy",Settings!$A$5:$A$9,0)),0)*D295)</f>
        <v/>
      </c>
      <c r="N295" s="11">
        <f>IF(A295="","",IF(K295="",0,D295*INDEX(Products!$I$5:$I$204,K295)))</f>
        <v/>
      </c>
      <c r="O295" s="11">
        <f>IF(A295="","",IF(K295="",0,J295*INDEX(Products!$H$5:$H$204,K295)))</f>
        <v/>
      </c>
      <c r="P295" s="11">
        <f>IF(A295="","",J295-M295-N295-O295)</f>
        <v/>
      </c>
    </row>
    <row r="296">
      <c r="A296">
        <f>IFERROR(INDEX('Etsy Import'!$A:$CZ,296,Settings!$C$20)&amp;"","")</f>
        <v/>
      </c>
      <c r="B296">
        <f>IFERROR(INDEX('Etsy Import'!$A:$CZ,296,Settings!$C$21)&amp;"","")</f>
        <v/>
      </c>
      <c r="C296">
        <f>IFERROR(INDEX('Etsy Import'!$A:$CZ,296,Settings!$C$22)&amp;"","")</f>
        <v/>
      </c>
      <c r="D296">
        <f>IF(A296="","",IFERROR(VALUE(SUBSTITUTE(SUBSTITUTE(INDEX('Etsy Import'!$A:$CZ,296,Settings!$C$23)&amp;"","$",""),",","")),0))</f>
        <v/>
      </c>
      <c r="E296" s="11">
        <f>IF(A296="","",IFERROR(VALUE(SUBSTITUTE(SUBSTITUTE(INDEX('Etsy Import'!$A:$CZ,296,Settings!$C$24)&amp;"","$",""),",","")),0))</f>
        <v/>
      </c>
      <c r="F296" s="11">
        <f>IF(A296="","",D296*E296)</f>
        <v/>
      </c>
      <c r="G296">
        <f>IF(A296="","",IF(C296="",1,COUNTIF($C$2:$C$1501,C296)))</f>
        <v/>
      </c>
      <c r="H296" s="11">
        <f>IF(A296="","",IFERROR(VALUE(SUBSTITUTE(SUBSTITUTE(INDEX('Etsy Import'!$A:$CZ,296,Settings!$C$25)&amp;"","$",""),",","")),0)/IF(Settings!$B$27="Yes",G296,1))</f>
        <v/>
      </c>
      <c r="I296" s="11">
        <f>IF(A296="","",IFERROR(VALUE(SUBSTITUTE(SUBSTITUTE(INDEX('Etsy Import'!$A:$CZ,296,Settings!$C$26)&amp;"","$",""),",","")),0)/IF(Settings!$B$27="Yes",G296,1))</f>
        <v/>
      </c>
      <c r="J296" s="11">
        <f>IF(A296="","",F296+H296-I296)</f>
        <v/>
      </c>
      <c r="K296">
        <f>IF(A296="","",IFERROR(IF(B296="",NA(),MATCH(B296,Products!$B$5:$B$204,0)),IFERROR(MATCH(A296,Products!$A$5:$A$204,0),"")))</f>
        <v/>
      </c>
      <c r="L296">
        <f>IF(A296="","",IF(K296="","⚠ not in Products",INDEX(Products!$A$5:$A$204,K296)))</f>
        <v/>
      </c>
      <c r="M296" s="11">
        <f>IF(A296="","",J296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296+IFERROR(INDEX(Settings!$D$5:$D$9,MATCH("Etsy",Settings!$A$5:$A$9,0)),0)*D296)</f>
        <v/>
      </c>
      <c r="N296" s="11">
        <f>IF(A296="","",IF(K296="",0,D296*INDEX(Products!$I$5:$I$204,K296)))</f>
        <v/>
      </c>
      <c r="O296" s="11">
        <f>IF(A296="","",IF(K296="",0,J296*INDEX(Products!$H$5:$H$204,K296)))</f>
        <v/>
      </c>
      <c r="P296" s="11">
        <f>IF(A296="","",J296-M296-N296-O296)</f>
        <v/>
      </c>
    </row>
    <row r="297">
      <c r="A297">
        <f>IFERROR(INDEX('Etsy Import'!$A:$CZ,297,Settings!$C$20)&amp;"","")</f>
        <v/>
      </c>
      <c r="B297">
        <f>IFERROR(INDEX('Etsy Import'!$A:$CZ,297,Settings!$C$21)&amp;"","")</f>
        <v/>
      </c>
      <c r="C297">
        <f>IFERROR(INDEX('Etsy Import'!$A:$CZ,297,Settings!$C$22)&amp;"","")</f>
        <v/>
      </c>
      <c r="D297">
        <f>IF(A297="","",IFERROR(VALUE(SUBSTITUTE(SUBSTITUTE(INDEX('Etsy Import'!$A:$CZ,297,Settings!$C$23)&amp;"","$",""),",","")),0))</f>
        <v/>
      </c>
      <c r="E297" s="11">
        <f>IF(A297="","",IFERROR(VALUE(SUBSTITUTE(SUBSTITUTE(INDEX('Etsy Import'!$A:$CZ,297,Settings!$C$24)&amp;"","$",""),",","")),0))</f>
        <v/>
      </c>
      <c r="F297" s="11">
        <f>IF(A297="","",D297*E297)</f>
        <v/>
      </c>
      <c r="G297">
        <f>IF(A297="","",IF(C297="",1,COUNTIF($C$2:$C$1501,C297)))</f>
        <v/>
      </c>
      <c r="H297" s="11">
        <f>IF(A297="","",IFERROR(VALUE(SUBSTITUTE(SUBSTITUTE(INDEX('Etsy Import'!$A:$CZ,297,Settings!$C$25)&amp;"","$",""),",","")),0)/IF(Settings!$B$27="Yes",G297,1))</f>
        <v/>
      </c>
      <c r="I297" s="11">
        <f>IF(A297="","",IFERROR(VALUE(SUBSTITUTE(SUBSTITUTE(INDEX('Etsy Import'!$A:$CZ,297,Settings!$C$26)&amp;"","$",""),",","")),0)/IF(Settings!$B$27="Yes",G297,1))</f>
        <v/>
      </c>
      <c r="J297" s="11">
        <f>IF(A297="","",F297+H297-I297)</f>
        <v/>
      </c>
      <c r="K297">
        <f>IF(A297="","",IFERROR(IF(B297="",NA(),MATCH(B297,Products!$B$5:$B$204,0)),IFERROR(MATCH(A297,Products!$A$5:$A$204,0),"")))</f>
        <v/>
      </c>
      <c r="L297">
        <f>IF(A297="","",IF(K297="","⚠ not in Products",INDEX(Products!$A$5:$A$204,K297)))</f>
        <v/>
      </c>
      <c r="M297" s="11">
        <f>IF(A297="","",J297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297+IFERROR(INDEX(Settings!$D$5:$D$9,MATCH("Etsy",Settings!$A$5:$A$9,0)),0)*D297)</f>
        <v/>
      </c>
      <c r="N297" s="11">
        <f>IF(A297="","",IF(K297="",0,D297*INDEX(Products!$I$5:$I$204,K297)))</f>
        <v/>
      </c>
      <c r="O297" s="11">
        <f>IF(A297="","",IF(K297="",0,J297*INDEX(Products!$H$5:$H$204,K297)))</f>
        <v/>
      </c>
      <c r="P297" s="11">
        <f>IF(A297="","",J297-M297-N297-O297)</f>
        <v/>
      </c>
    </row>
    <row r="298">
      <c r="A298">
        <f>IFERROR(INDEX('Etsy Import'!$A:$CZ,298,Settings!$C$20)&amp;"","")</f>
        <v/>
      </c>
      <c r="B298">
        <f>IFERROR(INDEX('Etsy Import'!$A:$CZ,298,Settings!$C$21)&amp;"","")</f>
        <v/>
      </c>
      <c r="C298">
        <f>IFERROR(INDEX('Etsy Import'!$A:$CZ,298,Settings!$C$22)&amp;"","")</f>
        <v/>
      </c>
      <c r="D298">
        <f>IF(A298="","",IFERROR(VALUE(SUBSTITUTE(SUBSTITUTE(INDEX('Etsy Import'!$A:$CZ,298,Settings!$C$23)&amp;"","$",""),",","")),0))</f>
        <v/>
      </c>
      <c r="E298" s="11">
        <f>IF(A298="","",IFERROR(VALUE(SUBSTITUTE(SUBSTITUTE(INDEX('Etsy Import'!$A:$CZ,298,Settings!$C$24)&amp;"","$",""),",","")),0))</f>
        <v/>
      </c>
      <c r="F298" s="11">
        <f>IF(A298="","",D298*E298)</f>
        <v/>
      </c>
      <c r="G298">
        <f>IF(A298="","",IF(C298="",1,COUNTIF($C$2:$C$1501,C298)))</f>
        <v/>
      </c>
      <c r="H298" s="11">
        <f>IF(A298="","",IFERROR(VALUE(SUBSTITUTE(SUBSTITUTE(INDEX('Etsy Import'!$A:$CZ,298,Settings!$C$25)&amp;"","$",""),",","")),0)/IF(Settings!$B$27="Yes",G298,1))</f>
        <v/>
      </c>
      <c r="I298" s="11">
        <f>IF(A298="","",IFERROR(VALUE(SUBSTITUTE(SUBSTITUTE(INDEX('Etsy Import'!$A:$CZ,298,Settings!$C$26)&amp;"","$",""),",","")),0)/IF(Settings!$B$27="Yes",G298,1))</f>
        <v/>
      </c>
      <c r="J298" s="11">
        <f>IF(A298="","",F298+H298-I298)</f>
        <v/>
      </c>
      <c r="K298">
        <f>IF(A298="","",IFERROR(IF(B298="",NA(),MATCH(B298,Products!$B$5:$B$204,0)),IFERROR(MATCH(A298,Products!$A$5:$A$204,0),"")))</f>
        <v/>
      </c>
      <c r="L298">
        <f>IF(A298="","",IF(K298="","⚠ not in Products",INDEX(Products!$A$5:$A$204,K298)))</f>
        <v/>
      </c>
      <c r="M298" s="11">
        <f>IF(A298="","",J298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298+IFERROR(INDEX(Settings!$D$5:$D$9,MATCH("Etsy",Settings!$A$5:$A$9,0)),0)*D298)</f>
        <v/>
      </c>
      <c r="N298" s="11">
        <f>IF(A298="","",IF(K298="",0,D298*INDEX(Products!$I$5:$I$204,K298)))</f>
        <v/>
      </c>
      <c r="O298" s="11">
        <f>IF(A298="","",IF(K298="",0,J298*INDEX(Products!$H$5:$H$204,K298)))</f>
        <v/>
      </c>
      <c r="P298" s="11">
        <f>IF(A298="","",J298-M298-N298-O298)</f>
        <v/>
      </c>
    </row>
    <row r="299">
      <c r="A299">
        <f>IFERROR(INDEX('Etsy Import'!$A:$CZ,299,Settings!$C$20)&amp;"","")</f>
        <v/>
      </c>
      <c r="B299">
        <f>IFERROR(INDEX('Etsy Import'!$A:$CZ,299,Settings!$C$21)&amp;"","")</f>
        <v/>
      </c>
      <c r="C299">
        <f>IFERROR(INDEX('Etsy Import'!$A:$CZ,299,Settings!$C$22)&amp;"","")</f>
        <v/>
      </c>
      <c r="D299">
        <f>IF(A299="","",IFERROR(VALUE(SUBSTITUTE(SUBSTITUTE(INDEX('Etsy Import'!$A:$CZ,299,Settings!$C$23)&amp;"","$",""),",","")),0))</f>
        <v/>
      </c>
      <c r="E299" s="11">
        <f>IF(A299="","",IFERROR(VALUE(SUBSTITUTE(SUBSTITUTE(INDEX('Etsy Import'!$A:$CZ,299,Settings!$C$24)&amp;"","$",""),",","")),0))</f>
        <v/>
      </c>
      <c r="F299" s="11">
        <f>IF(A299="","",D299*E299)</f>
        <v/>
      </c>
      <c r="G299">
        <f>IF(A299="","",IF(C299="",1,COUNTIF($C$2:$C$1501,C299)))</f>
        <v/>
      </c>
      <c r="H299" s="11">
        <f>IF(A299="","",IFERROR(VALUE(SUBSTITUTE(SUBSTITUTE(INDEX('Etsy Import'!$A:$CZ,299,Settings!$C$25)&amp;"","$",""),",","")),0)/IF(Settings!$B$27="Yes",G299,1))</f>
        <v/>
      </c>
      <c r="I299" s="11">
        <f>IF(A299="","",IFERROR(VALUE(SUBSTITUTE(SUBSTITUTE(INDEX('Etsy Import'!$A:$CZ,299,Settings!$C$26)&amp;"","$",""),",","")),0)/IF(Settings!$B$27="Yes",G299,1))</f>
        <v/>
      </c>
      <c r="J299" s="11">
        <f>IF(A299="","",F299+H299-I299)</f>
        <v/>
      </c>
      <c r="K299">
        <f>IF(A299="","",IFERROR(IF(B299="",NA(),MATCH(B299,Products!$B$5:$B$204,0)),IFERROR(MATCH(A299,Products!$A$5:$A$204,0),"")))</f>
        <v/>
      </c>
      <c r="L299">
        <f>IF(A299="","",IF(K299="","⚠ not in Products",INDEX(Products!$A$5:$A$204,K299)))</f>
        <v/>
      </c>
      <c r="M299" s="11">
        <f>IF(A299="","",J299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299+IFERROR(INDEX(Settings!$D$5:$D$9,MATCH("Etsy",Settings!$A$5:$A$9,0)),0)*D299)</f>
        <v/>
      </c>
      <c r="N299" s="11">
        <f>IF(A299="","",IF(K299="",0,D299*INDEX(Products!$I$5:$I$204,K299)))</f>
        <v/>
      </c>
      <c r="O299" s="11">
        <f>IF(A299="","",IF(K299="",0,J299*INDEX(Products!$H$5:$H$204,K299)))</f>
        <v/>
      </c>
      <c r="P299" s="11">
        <f>IF(A299="","",J299-M299-N299-O299)</f>
        <v/>
      </c>
    </row>
    <row r="300">
      <c r="A300">
        <f>IFERROR(INDEX('Etsy Import'!$A:$CZ,300,Settings!$C$20)&amp;"","")</f>
        <v/>
      </c>
      <c r="B300">
        <f>IFERROR(INDEX('Etsy Import'!$A:$CZ,300,Settings!$C$21)&amp;"","")</f>
        <v/>
      </c>
      <c r="C300">
        <f>IFERROR(INDEX('Etsy Import'!$A:$CZ,300,Settings!$C$22)&amp;"","")</f>
        <v/>
      </c>
      <c r="D300">
        <f>IF(A300="","",IFERROR(VALUE(SUBSTITUTE(SUBSTITUTE(INDEX('Etsy Import'!$A:$CZ,300,Settings!$C$23)&amp;"","$",""),",","")),0))</f>
        <v/>
      </c>
      <c r="E300" s="11">
        <f>IF(A300="","",IFERROR(VALUE(SUBSTITUTE(SUBSTITUTE(INDEX('Etsy Import'!$A:$CZ,300,Settings!$C$24)&amp;"","$",""),",","")),0))</f>
        <v/>
      </c>
      <c r="F300" s="11">
        <f>IF(A300="","",D300*E300)</f>
        <v/>
      </c>
      <c r="G300">
        <f>IF(A300="","",IF(C300="",1,COUNTIF($C$2:$C$1501,C300)))</f>
        <v/>
      </c>
      <c r="H300" s="11">
        <f>IF(A300="","",IFERROR(VALUE(SUBSTITUTE(SUBSTITUTE(INDEX('Etsy Import'!$A:$CZ,300,Settings!$C$25)&amp;"","$",""),",","")),0)/IF(Settings!$B$27="Yes",G300,1))</f>
        <v/>
      </c>
      <c r="I300" s="11">
        <f>IF(A300="","",IFERROR(VALUE(SUBSTITUTE(SUBSTITUTE(INDEX('Etsy Import'!$A:$CZ,300,Settings!$C$26)&amp;"","$",""),",","")),0)/IF(Settings!$B$27="Yes",G300,1))</f>
        <v/>
      </c>
      <c r="J300" s="11">
        <f>IF(A300="","",F300+H300-I300)</f>
        <v/>
      </c>
      <c r="K300">
        <f>IF(A300="","",IFERROR(IF(B300="",NA(),MATCH(B300,Products!$B$5:$B$204,0)),IFERROR(MATCH(A300,Products!$A$5:$A$204,0),"")))</f>
        <v/>
      </c>
      <c r="L300">
        <f>IF(A300="","",IF(K300="","⚠ not in Products",INDEX(Products!$A$5:$A$204,K300)))</f>
        <v/>
      </c>
      <c r="M300" s="11">
        <f>IF(A300="","",J300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300+IFERROR(INDEX(Settings!$D$5:$D$9,MATCH("Etsy",Settings!$A$5:$A$9,0)),0)*D300)</f>
        <v/>
      </c>
      <c r="N300" s="11">
        <f>IF(A300="","",IF(K300="",0,D300*INDEX(Products!$I$5:$I$204,K300)))</f>
        <v/>
      </c>
      <c r="O300" s="11">
        <f>IF(A300="","",IF(K300="",0,J300*INDEX(Products!$H$5:$H$204,K300)))</f>
        <v/>
      </c>
      <c r="P300" s="11">
        <f>IF(A300="","",J300-M300-N300-O300)</f>
        <v/>
      </c>
    </row>
    <row r="301">
      <c r="A301">
        <f>IFERROR(INDEX('Etsy Import'!$A:$CZ,301,Settings!$C$20)&amp;"","")</f>
        <v/>
      </c>
      <c r="B301">
        <f>IFERROR(INDEX('Etsy Import'!$A:$CZ,301,Settings!$C$21)&amp;"","")</f>
        <v/>
      </c>
      <c r="C301">
        <f>IFERROR(INDEX('Etsy Import'!$A:$CZ,301,Settings!$C$22)&amp;"","")</f>
        <v/>
      </c>
      <c r="D301">
        <f>IF(A301="","",IFERROR(VALUE(SUBSTITUTE(SUBSTITUTE(INDEX('Etsy Import'!$A:$CZ,301,Settings!$C$23)&amp;"","$",""),",","")),0))</f>
        <v/>
      </c>
      <c r="E301" s="11">
        <f>IF(A301="","",IFERROR(VALUE(SUBSTITUTE(SUBSTITUTE(INDEX('Etsy Import'!$A:$CZ,301,Settings!$C$24)&amp;"","$",""),",","")),0))</f>
        <v/>
      </c>
      <c r="F301" s="11">
        <f>IF(A301="","",D301*E301)</f>
        <v/>
      </c>
      <c r="G301">
        <f>IF(A301="","",IF(C301="",1,COUNTIF($C$2:$C$1501,C301)))</f>
        <v/>
      </c>
      <c r="H301" s="11">
        <f>IF(A301="","",IFERROR(VALUE(SUBSTITUTE(SUBSTITUTE(INDEX('Etsy Import'!$A:$CZ,301,Settings!$C$25)&amp;"","$",""),",","")),0)/IF(Settings!$B$27="Yes",G301,1))</f>
        <v/>
      </c>
      <c r="I301" s="11">
        <f>IF(A301="","",IFERROR(VALUE(SUBSTITUTE(SUBSTITUTE(INDEX('Etsy Import'!$A:$CZ,301,Settings!$C$26)&amp;"","$",""),",","")),0)/IF(Settings!$B$27="Yes",G301,1))</f>
        <v/>
      </c>
      <c r="J301" s="11">
        <f>IF(A301="","",F301+H301-I301)</f>
        <v/>
      </c>
      <c r="K301">
        <f>IF(A301="","",IFERROR(IF(B301="",NA(),MATCH(B301,Products!$B$5:$B$204,0)),IFERROR(MATCH(A301,Products!$A$5:$A$204,0),"")))</f>
        <v/>
      </c>
      <c r="L301">
        <f>IF(A301="","",IF(K301="","⚠ not in Products",INDEX(Products!$A$5:$A$204,K301)))</f>
        <v/>
      </c>
      <c r="M301" s="11">
        <f>IF(A301="","",J301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301+IFERROR(INDEX(Settings!$D$5:$D$9,MATCH("Etsy",Settings!$A$5:$A$9,0)),0)*D301)</f>
        <v/>
      </c>
      <c r="N301" s="11">
        <f>IF(A301="","",IF(K301="",0,D301*INDEX(Products!$I$5:$I$204,K301)))</f>
        <v/>
      </c>
      <c r="O301" s="11">
        <f>IF(A301="","",IF(K301="",0,J301*INDEX(Products!$H$5:$H$204,K301)))</f>
        <v/>
      </c>
      <c r="P301" s="11">
        <f>IF(A301="","",J301-M301-N301-O301)</f>
        <v/>
      </c>
    </row>
    <row r="302">
      <c r="A302">
        <f>IFERROR(INDEX('Etsy Import'!$A:$CZ,302,Settings!$C$20)&amp;"","")</f>
        <v/>
      </c>
      <c r="B302">
        <f>IFERROR(INDEX('Etsy Import'!$A:$CZ,302,Settings!$C$21)&amp;"","")</f>
        <v/>
      </c>
      <c r="C302">
        <f>IFERROR(INDEX('Etsy Import'!$A:$CZ,302,Settings!$C$22)&amp;"","")</f>
        <v/>
      </c>
      <c r="D302">
        <f>IF(A302="","",IFERROR(VALUE(SUBSTITUTE(SUBSTITUTE(INDEX('Etsy Import'!$A:$CZ,302,Settings!$C$23)&amp;"","$",""),",","")),0))</f>
        <v/>
      </c>
      <c r="E302" s="11">
        <f>IF(A302="","",IFERROR(VALUE(SUBSTITUTE(SUBSTITUTE(INDEX('Etsy Import'!$A:$CZ,302,Settings!$C$24)&amp;"","$",""),",","")),0))</f>
        <v/>
      </c>
      <c r="F302" s="11">
        <f>IF(A302="","",D302*E302)</f>
        <v/>
      </c>
      <c r="G302">
        <f>IF(A302="","",IF(C302="",1,COUNTIF($C$2:$C$1501,C302)))</f>
        <v/>
      </c>
      <c r="H302" s="11">
        <f>IF(A302="","",IFERROR(VALUE(SUBSTITUTE(SUBSTITUTE(INDEX('Etsy Import'!$A:$CZ,302,Settings!$C$25)&amp;"","$",""),",","")),0)/IF(Settings!$B$27="Yes",G302,1))</f>
        <v/>
      </c>
      <c r="I302" s="11">
        <f>IF(A302="","",IFERROR(VALUE(SUBSTITUTE(SUBSTITUTE(INDEX('Etsy Import'!$A:$CZ,302,Settings!$C$26)&amp;"","$",""),",","")),0)/IF(Settings!$B$27="Yes",G302,1))</f>
        <v/>
      </c>
      <c r="J302" s="11">
        <f>IF(A302="","",F302+H302-I302)</f>
        <v/>
      </c>
      <c r="K302">
        <f>IF(A302="","",IFERROR(IF(B302="",NA(),MATCH(B302,Products!$B$5:$B$204,0)),IFERROR(MATCH(A302,Products!$A$5:$A$204,0),"")))</f>
        <v/>
      </c>
      <c r="L302">
        <f>IF(A302="","",IF(K302="","⚠ not in Products",INDEX(Products!$A$5:$A$204,K302)))</f>
        <v/>
      </c>
      <c r="M302" s="11">
        <f>IF(A302="","",J302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302+IFERROR(INDEX(Settings!$D$5:$D$9,MATCH("Etsy",Settings!$A$5:$A$9,0)),0)*D302)</f>
        <v/>
      </c>
      <c r="N302" s="11">
        <f>IF(A302="","",IF(K302="",0,D302*INDEX(Products!$I$5:$I$204,K302)))</f>
        <v/>
      </c>
      <c r="O302" s="11">
        <f>IF(A302="","",IF(K302="",0,J302*INDEX(Products!$H$5:$H$204,K302)))</f>
        <v/>
      </c>
      <c r="P302" s="11">
        <f>IF(A302="","",J302-M302-N302-O302)</f>
        <v/>
      </c>
    </row>
    <row r="303">
      <c r="A303">
        <f>IFERROR(INDEX('Etsy Import'!$A:$CZ,303,Settings!$C$20)&amp;"","")</f>
        <v/>
      </c>
      <c r="B303">
        <f>IFERROR(INDEX('Etsy Import'!$A:$CZ,303,Settings!$C$21)&amp;"","")</f>
        <v/>
      </c>
      <c r="C303">
        <f>IFERROR(INDEX('Etsy Import'!$A:$CZ,303,Settings!$C$22)&amp;"","")</f>
        <v/>
      </c>
      <c r="D303">
        <f>IF(A303="","",IFERROR(VALUE(SUBSTITUTE(SUBSTITUTE(INDEX('Etsy Import'!$A:$CZ,303,Settings!$C$23)&amp;"","$",""),",","")),0))</f>
        <v/>
      </c>
      <c r="E303" s="11">
        <f>IF(A303="","",IFERROR(VALUE(SUBSTITUTE(SUBSTITUTE(INDEX('Etsy Import'!$A:$CZ,303,Settings!$C$24)&amp;"","$",""),",","")),0))</f>
        <v/>
      </c>
      <c r="F303" s="11">
        <f>IF(A303="","",D303*E303)</f>
        <v/>
      </c>
      <c r="G303">
        <f>IF(A303="","",IF(C303="",1,COUNTIF($C$2:$C$1501,C303)))</f>
        <v/>
      </c>
      <c r="H303" s="11">
        <f>IF(A303="","",IFERROR(VALUE(SUBSTITUTE(SUBSTITUTE(INDEX('Etsy Import'!$A:$CZ,303,Settings!$C$25)&amp;"","$",""),",","")),0)/IF(Settings!$B$27="Yes",G303,1))</f>
        <v/>
      </c>
      <c r="I303" s="11">
        <f>IF(A303="","",IFERROR(VALUE(SUBSTITUTE(SUBSTITUTE(INDEX('Etsy Import'!$A:$CZ,303,Settings!$C$26)&amp;"","$",""),",","")),0)/IF(Settings!$B$27="Yes",G303,1))</f>
        <v/>
      </c>
      <c r="J303" s="11">
        <f>IF(A303="","",F303+H303-I303)</f>
        <v/>
      </c>
      <c r="K303">
        <f>IF(A303="","",IFERROR(IF(B303="",NA(),MATCH(B303,Products!$B$5:$B$204,0)),IFERROR(MATCH(A303,Products!$A$5:$A$204,0),"")))</f>
        <v/>
      </c>
      <c r="L303">
        <f>IF(A303="","",IF(K303="","⚠ not in Products",INDEX(Products!$A$5:$A$204,K303)))</f>
        <v/>
      </c>
      <c r="M303" s="11">
        <f>IF(A303="","",J303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303+IFERROR(INDEX(Settings!$D$5:$D$9,MATCH("Etsy",Settings!$A$5:$A$9,0)),0)*D303)</f>
        <v/>
      </c>
      <c r="N303" s="11">
        <f>IF(A303="","",IF(K303="",0,D303*INDEX(Products!$I$5:$I$204,K303)))</f>
        <v/>
      </c>
      <c r="O303" s="11">
        <f>IF(A303="","",IF(K303="",0,J303*INDEX(Products!$H$5:$H$204,K303)))</f>
        <v/>
      </c>
      <c r="P303" s="11">
        <f>IF(A303="","",J303-M303-N303-O303)</f>
        <v/>
      </c>
    </row>
    <row r="304">
      <c r="A304">
        <f>IFERROR(INDEX('Etsy Import'!$A:$CZ,304,Settings!$C$20)&amp;"","")</f>
        <v/>
      </c>
      <c r="B304">
        <f>IFERROR(INDEX('Etsy Import'!$A:$CZ,304,Settings!$C$21)&amp;"","")</f>
        <v/>
      </c>
      <c r="C304">
        <f>IFERROR(INDEX('Etsy Import'!$A:$CZ,304,Settings!$C$22)&amp;"","")</f>
        <v/>
      </c>
      <c r="D304">
        <f>IF(A304="","",IFERROR(VALUE(SUBSTITUTE(SUBSTITUTE(INDEX('Etsy Import'!$A:$CZ,304,Settings!$C$23)&amp;"","$",""),",","")),0))</f>
        <v/>
      </c>
      <c r="E304" s="11">
        <f>IF(A304="","",IFERROR(VALUE(SUBSTITUTE(SUBSTITUTE(INDEX('Etsy Import'!$A:$CZ,304,Settings!$C$24)&amp;"","$",""),",","")),0))</f>
        <v/>
      </c>
      <c r="F304" s="11">
        <f>IF(A304="","",D304*E304)</f>
        <v/>
      </c>
      <c r="G304">
        <f>IF(A304="","",IF(C304="",1,COUNTIF($C$2:$C$1501,C304)))</f>
        <v/>
      </c>
      <c r="H304" s="11">
        <f>IF(A304="","",IFERROR(VALUE(SUBSTITUTE(SUBSTITUTE(INDEX('Etsy Import'!$A:$CZ,304,Settings!$C$25)&amp;"","$",""),",","")),0)/IF(Settings!$B$27="Yes",G304,1))</f>
        <v/>
      </c>
      <c r="I304" s="11">
        <f>IF(A304="","",IFERROR(VALUE(SUBSTITUTE(SUBSTITUTE(INDEX('Etsy Import'!$A:$CZ,304,Settings!$C$26)&amp;"","$",""),",","")),0)/IF(Settings!$B$27="Yes",G304,1))</f>
        <v/>
      </c>
      <c r="J304" s="11">
        <f>IF(A304="","",F304+H304-I304)</f>
        <v/>
      </c>
      <c r="K304">
        <f>IF(A304="","",IFERROR(IF(B304="",NA(),MATCH(B304,Products!$B$5:$B$204,0)),IFERROR(MATCH(A304,Products!$A$5:$A$204,0),"")))</f>
        <v/>
      </c>
      <c r="L304">
        <f>IF(A304="","",IF(K304="","⚠ not in Products",INDEX(Products!$A$5:$A$204,K304)))</f>
        <v/>
      </c>
      <c r="M304" s="11">
        <f>IF(A304="","",J304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304+IFERROR(INDEX(Settings!$D$5:$D$9,MATCH("Etsy",Settings!$A$5:$A$9,0)),0)*D304)</f>
        <v/>
      </c>
      <c r="N304" s="11">
        <f>IF(A304="","",IF(K304="",0,D304*INDEX(Products!$I$5:$I$204,K304)))</f>
        <v/>
      </c>
      <c r="O304" s="11">
        <f>IF(A304="","",IF(K304="",0,J304*INDEX(Products!$H$5:$H$204,K304)))</f>
        <v/>
      </c>
      <c r="P304" s="11">
        <f>IF(A304="","",J304-M304-N304-O304)</f>
        <v/>
      </c>
    </row>
    <row r="305">
      <c r="A305">
        <f>IFERROR(INDEX('Etsy Import'!$A:$CZ,305,Settings!$C$20)&amp;"","")</f>
        <v/>
      </c>
      <c r="B305">
        <f>IFERROR(INDEX('Etsy Import'!$A:$CZ,305,Settings!$C$21)&amp;"","")</f>
        <v/>
      </c>
      <c r="C305">
        <f>IFERROR(INDEX('Etsy Import'!$A:$CZ,305,Settings!$C$22)&amp;"","")</f>
        <v/>
      </c>
      <c r="D305">
        <f>IF(A305="","",IFERROR(VALUE(SUBSTITUTE(SUBSTITUTE(INDEX('Etsy Import'!$A:$CZ,305,Settings!$C$23)&amp;"","$",""),",","")),0))</f>
        <v/>
      </c>
      <c r="E305" s="11">
        <f>IF(A305="","",IFERROR(VALUE(SUBSTITUTE(SUBSTITUTE(INDEX('Etsy Import'!$A:$CZ,305,Settings!$C$24)&amp;"","$",""),",","")),0))</f>
        <v/>
      </c>
      <c r="F305" s="11">
        <f>IF(A305="","",D305*E305)</f>
        <v/>
      </c>
      <c r="G305">
        <f>IF(A305="","",IF(C305="",1,COUNTIF($C$2:$C$1501,C305)))</f>
        <v/>
      </c>
      <c r="H305" s="11">
        <f>IF(A305="","",IFERROR(VALUE(SUBSTITUTE(SUBSTITUTE(INDEX('Etsy Import'!$A:$CZ,305,Settings!$C$25)&amp;"","$",""),",","")),0)/IF(Settings!$B$27="Yes",G305,1))</f>
        <v/>
      </c>
      <c r="I305" s="11">
        <f>IF(A305="","",IFERROR(VALUE(SUBSTITUTE(SUBSTITUTE(INDEX('Etsy Import'!$A:$CZ,305,Settings!$C$26)&amp;"","$",""),",","")),0)/IF(Settings!$B$27="Yes",G305,1))</f>
        <v/>
      </c>
      <c r="J305" s="11">
        <f>IF(A305="","",F305+H305-I305)</f>
        <v/>
      </c>
      <c r="K305">
        <f>IF(A305="","",IFERROR(IF(B305="",NA(),MATCH(B305,Products!$B$5:$B$204,0)),IFERROR(MATCH(A305,Products!$A$5:$A$204,0),"")))</f>
        <v/>
      </c>
      <c r="L305">
        <f>IF(A305="","",IF(K305="","⚠ not in Products",INDEX(Products!$A$5:$A$204,K305)))</f>
        <v/>
      </c>
      <c r="M305" s="11">
        <f>IF(A305="","",J305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305+IFERROR(INDEX(Settings!$D$5:$D$9,MATCH("Etsy",Settings!$A$5:$A$9,0)),0)*D305)</f>
        <v/>
      </c>
      <c r="N305" s="11">
        <f>IF(A305="","",IF(K305="",0,D305*INDEX(Products!$I$5:$I$204,K305)))</f>
        <v/>
      </c>
      <c r="O305" s="11">
        <f>IF(A305="","",IF(K305="",0,J305*INDEX(Products!$H$5:$H$204,K305)))</f>
        <v/>
      </c>
      <c r="P305" s="11">
        <f>IF(A305="","",J305-M305-N305-O305)</f>
        <v/>
      </c>
    </row>
    <row r="306">
      <c r="A306">
        <f>IFERROR(INDEX('Etsy Import'!$A:$CZ,306,Settings!$C$20)&amp;"","")</f>
        <v/>
      </c>
      <c r="B306">
        <f>IFERROR(INDEX('Etsy Import'!$A:$CZ,306,Settings!$C$21)&amp;"","")</f>
        <v/>
      </c>
      <c r="C306">
        <f>IFERROR(INDEX('Etsy Import'!$A:$CZ,306,Settings!$C$22)&amp;"","")</f>
        <v/>
      </c>
      <c r="D306">
        <f>IF(A306="","",IFERROR(VALUE(SUBSTITUTE(SUBSTITUTE(INDEX('Etsy Import'!$A:$CZ,306,Settings!$C$23)&amp;"","$",""),",","")),0))</f>
        <v/>
      </c>
      <c r="E306" s="11">
        <f>IF(A306="","",IFERROR(VALUE(SUBSTITUTE(SUBSTITUTE(INDEX('Etsy Import'!$A:$CZ,306,Settings!$C$24)&amp;"","$",""),",","")),0))</f>
        <v/>
      </c>
      <c r="F306" s="11">
        <f>IF(A306="","",D306*E306)</f>
        <v/>
      </c>
      <c r="G306">
        <f>IF(A306="","",IF(C306="",1,COUNTIF($C$2:$C$1501,C306)))</f>
        <v/>
      </c>
      <c r="H306" s="11">
        <f>IF(A306="","",IFERROR(VALUE(SUBSTITUTE(SUBSTITUTE(INDEX('Etsy Import'!$A:$CZ,306,Settings!$C$25)&amp;"","$",""),",","")),0)/IF(Settings!$B$27="Yes",G306,1))</f>
        <v/>
      </c>
      <c r="I306" s="11">
        <f>IF(A306="","",IFERROR(VALUE(SUBSTITUTE(SUBSTITUTE(INDEX('Etsy Import'!$A:$CZ,306,Settings!$C$26)&amp;"","$",""),",","")),0)/IF(Settings!$B$27="Yes",G306,1))</f>
        <v/>
      </c>
      <c r="J306" s="11">
        <f>IF(A306="","",F306+H306-I306)</f>
        <v/>
      </c>
      <c r="K306">
        <f>IF(A306="","",IFERROR(IF(B306="",NA(),MATCH(B306,Products!$B$5:$B$204,0)),IFERROR(MATCH(A306,Products!$A$5:$A$204,0),"")))</f>
        <v/>
      </c>
      <c r="L306">
        <f>IF(A306="","",IF(K306="","⚠ not in Products",INDEX(Products!$A$5:$A$204,K306)))</f>
        <v/>
      </c>
      <c r="M306" s="11">
        <f>IF(A306="","",J306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306+IFERROR(INDEX(Settings!$D$5:$D$9,MATCH("Etsy",Settings!$A$5:$A$9,0)),0)*D306)</f>
        <v/>
      </c>
      <c r="N306" s="11">
        <f>IF(A306="","",IF(K306="",0,D306*INDEX(Products!$I$5:$I$204,K306)))</f>
        <v/>
      </c>
      <c r="O306" s="11">
        <f>IF(A306="","",IF(K306="",0,J306*INDEX(Products!$H$5:$H$204,K306)))</f>
        <v/>
      </c>
      <c r="P306" s="11">
        <f>IF(A306="","",J306-M306-N306-O306)</f>
        <v/>
      </c>
    </row>
    <row r="307">
      <c r="A307">
        <f>IFERROR(INDEX('Etsy Import'!$A:$CZ,307,Settings!$C$20)&amp;"","")</f>
        <v/>
      </c>
      <c r="B307">
        <f>IFERROR(INDEX('Etsy Import'!$A:$CZ,307,Settings!$C$21)&amp;"","")</f>
        <v/>
      </c>
      <c r="C307">
        <f>IFERROR(INDEX('Etsy Import'!$A:$CZ,307,Settings!$C$22)&amp;"","")</f>
        <v/>
      </c>
      <c r="D307">
        <f>IF(A307="","",IFERROR(VALUE(SUBSTITUTE(SUBSTITUTE(INDEX('Etsy Import'!$A:$CZ,307,Settings!$C$23)&amp;"","$",""),",","")),0))</f>
        <v/>
      </c>
      <c r="E307" s="11">
        <f>IF(A307="","",IFERROR(VALUE(SUBSTITUTE(SUBSTITUTE(INDEX('Etsy Import'!$A:$CZ,307,Settings!$C$24)&amp;"","$",""),",","")),0))</f>
        <v/>
      </c>
      <c r="F307" s="11">
        <f>IF(A307="","",D307*E307)</f>
        <v/>
      </c>
      <c r="G307">
        <f>IF(A307="","",IF(C307="",1,COUNTIF($C$2:$C$1501,C307)))</f>
        <v/>
      </c>
      <c r="H307" s="11">
        <f>IF(A307="","",IFERROR(VALUE(SUBSTITUTE(SUBSTITUTE(INDEX('Etsy Import'!$A:$CZ,307,Settings!$C$25)&amp;"","$",""),",","")),0)/IF(Settings!$B$27="Yes",G307,1))</f>
        <v/>
      </c>
      <c r="I307" s="11">
        <f>IF(A307="","",IFERROR(VALUE(SUBSTITUTE(SUBSTITUTE(INDEX('Etsy Import'!$A:$CZ,307,Settings!$C$26)&amp;"","$",""),",","")),0)/IF(Settings!$B$27="Yes",G307,1))</f>
        <v/>
      </c>
      <c r="J307" s="11">
        <f>IF(A307="","",F307+H307-I307)</f>
        <v/>
      </c>
      <c r="K307">
        <f>IF(A307="","",IFERROR(IF(B307="",NA(),MATCH(B307,Products!$B$5:$B$204,0)),IFERROR(MATCH(A307,Products!$A$5:$A$204,0),"")))</f>
        <v/>
      </c>
      <c r="L307">
        <f>IF(A307="","",IF(K307="","⚠ not in Products",INDEX(Products!$A$5:$A$204,K307)))</f>
        <v/>
      </c>
      <c r="M307" s="11">
        <f>IF(A307="","",J307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307+IFERROR(INDEX(Settings!$D$5:$D$9,MATCH("Etsy",Settings!$A$5:$A$9,0)),0)*D307)</f>
        <v/>
      </c>
      <c r="N307" s="11">
        <f>IF(A307="","",IF(K307="",0,D307*INDEX(Products!$I$5:$I$204,K307)))</f>
        <v/>
      </c>
      <c r="O307" s="11">
        <f>IF(A307="","",IF(K307="",0,J307*INDEX(Products!$H$5:$H$204,K307)))</f>
        <v/>
      </c>
      <c r="P307" s="11">
        <f>IF(A307="","",J307-M307-N307-O307)</f>
        <v/>
      </c>
    </row>
    <row r="308">
      <c r="A308">
        <f>IFERROR(INDEX('Etsy Import'!$A:$CZ,308,Settings!$C$20)&amp;"","")</f>
        <v/>
      </c>
      <c r="B308">
        <f>IFERROR(INDEX('Etsy Import'!$A:$CZ,308,Settings!$C$21)&amp;"","")</f>
        <v/>
      </c>
      <c r="C308">
        <f>IFERROR(INDEX('Etsy Import'!$A:$CZ,308,Settings!$C$22)&amp;"","")</f>
        <v/>
      </c>
      <c r="D308">
        <f>IF(A308="","",IFERROR(VALUE(SUBSTITUTE(SUBSTITUTE(INDEX('Etsy Import'!$A:$CZ,308,Settings!$C$23)&amp;"","$",""),",","")),0))</f>
        <v/>
      </c>
      <c r="E308" s="11">
        <f>IF(A308="","",IFERROR(VALUE(SUBSTITUTE(SUBSTITUTE(INDEX('Etsy Import'!$A:$CZ,308,Settings!$C$24)&amp;"","$",""),",","")),0))</f>
        <v/>
      </c>
      <c r="F308" s="11">
        <f>IF(A308="","",D308*E308)</f>
        <v/>
      </c>
      <c r="G308">
        <f>IF(A308="","",IF(C308="",1,COUNTIF($C$2:$C$1501,C308)))</f>
        <v/>
      </c>
      <c r="H308" s="11">
        <f>IF(A308="","",IFERROR(VALUE(SUBSTITUTE(SUBSTITUTE(INDEX('Etsy Import'!$A:$CZ,308,Settings!$C$25)&amp;"","$",""),",","")),0)/IF(Settings!$B$27="Yes",G308,1))</f>
        <v/>
      </c>
      <c r="I308" s="11">
        <f>IF(A308="","",IFERROR(VALUE(SUBSTITUTE(SUBSTITUTE(INDEX('Etsy Import'!$A:$CZ,308,Settings!$C$26)&amp;"","$",""),",","")),0)/IF(Settings!$B$27="Yes",G308,1))</f>
        <v/>
      </c>
      <c r="J308" s="11">
        <f>IF(A308="","",F308+H308-I308)</f>
        <v/>
      </c>
      <c r="K308">
        <f>IF(A308="","",IFERROR(IF(B308="",NA(),MATCH(B308,Products!$B$5:$B$204,0)),IFERROR(MATCH(A308,Products!$A$5:$A$204,0),"")))</f>
        <v/>
      </c>
      <c r="L308">
        <f>IF(A308="","",IF(K308="","⚠ not in Products",INDEX(Products!$A$5:$A$204,K308)))</f>
        <v/>
      </c>
      <c r="M308" s="11">
        <f>IF(A308="","",J308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308+IFERROR(INDEX(Settings!$D$5:$D$9,MATCH("Etsy",Settings!$A$5:$A$9,0)),0)*D308)</f>
        <v/>
      </c>
      <c r="N308" s="11">
        <f>IF(A308="","",IF(K308="",0,D308*INDEX(Products!$I$5:$I$204,K308)))</f>
        <v/>
      </c>
      <c r="O308" s="11">
        <f>IF(A308="","",IF(K308="",0,J308*INDEX(Products!$H$5:$H$204,K308)))</f>
        <v/>
      </c>
      <c r="P308" s="11">
        <f>IF(A308="","",J308-M308-N308-O308)</f>
        <v/>
      </c>
    </row>
    <row r="309">
      <c r="A309">
        <f>IFERROR(INDEX('Etsy Import'!$A:$CZ,309,Settings!$C$20)&amp;"","")</f>
        <v/>
      </c>
      <c r="B309">
        <f>IFERROR(INDEX('Etsy Import'!$A:$CZ,309,Settings!$C$21)&amp;"","")</f>
        <v/>
      </c>
      <c r="C309">
        <f>IFERROR(INDEX('Etsy Import'!$A:$CZ,309,Settings!$C$22)&amp;"","")</f>
        <v/>
      </c>
      <c r="D309">
        <f>IF(A309="","",IFERROR(VALUE(SUBSTITUTE(SUBSTITUTE(INDEX('Etsy Import'!$A:$CZ,309,Settings!$C$23)&amp;"","$",""),",","")),0))</f>
        <v/>
      </c>
      <c r="E309" s="11">
        <f>IF(A309="","",IFERROR(VALUE(SUBSTITUTE(SUBSTITUTE(INDEX('Etsy Import'!$A:$CZ,309,Settings!$C$24)&amp;"","$",""),",","")),0))</f>
        <v/>
      </c>
      <c r="F309" s="11">
        <f>IF(A309="","",D309*E309)</f>
        <v/>
      </c>
      <c r="G309">
        <f>IF(A309="","",IF(C309="",1,COUNTIF($C$2:$C$1501,C309)))</f>
        <v/>
      </c>
      <c r="H309" s="11">
        <f>IF(A309="","",IFERROR(VALUE(SUBSTITUTE(SUBSTITUTE(INDEX('Etsy Import'!$A:$CZ,309,Settings!$C$25)&amp;"","$",""),",","")),0)/IF(Settings!$B$27="Yes",G309,1))</f>
        <v/>
      </c>
      <c r="I309" s="11">
        <f>IF(A309="","",IFERROR(VALUE(SUBSTITUTE(SUBSTITUTE(INDEX('Etsy Import'!$A:$CZ,309,Settings!$C$26)&amp;"","$",""),",","")),0)/IF(Settings!$B$27="Yes",G309,1))</f>
        <v/>
      </c>
      <c r="J309" s="11">
        <f>IF(A309="","",F309+H309-I309)</f>
        <v/>
      </c>
      <c r="K309">
        <f>IF(A309="","",IFERROR(IF(B309="",NA(),MATCH(B309,Products!$B$5:$B$204,0)),IFERROR(MATCH(A309,Products!$A$5:$A$204,0),"")))</f>
        <v/>
      </c>
      <c r="L309">
        <f>IF(A309="","",IF(K309="","⚠ not in Products",INDEX(Products!$A$5:$A$204,K309)))</f>
        <v/>
      </c>
      <c r="M309" s="11">
        <f>IF(A309="","",J309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309+IFERROR(INDEX(Settings!$D$5:$D$9,MATCH("Etsy",Settings!$A$5:$A$9,0)),0)*D309)</f>
        <v/>
      </c>
      <c r="N309" s="11">
        <f>IF(A309="","",IF(K309="",0,D309*INDEX(Products!$I$5:$I$204,K309)))</f>
        <v/>
      </c>
      <c r="O309" s="11">
        <f>IF(A309="","",IF(K309="",0,J309*INDEX(Products!$H$5:$H$204,K309)))</f>
        <v/>
      </c>
      <c r="P309" s="11">
        <f>IF(A309="","",J309-M309-N309-O309)</f>
        <v/>
      </c>
    </row>
    <row r="310">
      <c r="A310">
        <f>IFERROR(INDEX('Etsy Import'!$A:$CZ,310,Settings!$C$20)&amp;"","")</f>
        <v/>
      </c>
      <c r="B310">
        <f>IFERROR(INDEX('Etsy Import'!$A:$CZ,310,Settings!$C$21)&amp;"","")</f>
        <v/>
      </c>
      <c r="C310">
        <f>IFERROR(INDEX('Etsy Import'!$A:$CZ,310,Settings!$C$22)&amp;"","")</f>
        <v/>
      </c>
      <c r="D310">
        <f>IF(A310="","",IFERROR(VALUE(SUBSTITUTE(SUBSTITUTE(INDEX('Etsy Import'!$A:$CZ,310,Settings!$C$23)&amp;"","$",""),",","")),0))</f>
        <v/>
      </c>
      <c r="E310" s="11">
        <f>IF(A310="","",IFERROR(VALUE(SUBSTITUTE(SUBSTITUTE(INDEX('Etsy Import'!$A:$CZ,310,Settings!$C$24)&amp;"","$",""),",","")),0))</f>
        <v/>
      </c>
      <c r="F310" s="11">
        <f>IF(A310="","",D310*E310)</f>
        <v/>
      </c>
      <c r="G310">
        <f>IF(A310="","",IF(C310="",1,COUNTIF($C$2:$C$1501,C310)))</f>
        <v/>
      </c>
      <c r="H310" s="11">
        <f>IF(A310="","",IFERROR(VALUE(SUBSTITUTE(SUBSTITUTE(INDEX('Etsy Import'!$A:$CZ,310,Settings!$C$25)&amp;"","$",""),",","")),0)/IF(Settings!$B$27="Yes",G310,1))</f>
        <v/>
      </c>
      <c r="I310" s="11">
        <f>IF(A310="","",IFERROR(VALUE(SUBSTITUTE(SUBSTITUTE(INDEX('Etsy Import'!$A:$CZ,310,Settings!$C$26)&amp;"","$",""),",","")),0)/IF(Settings!$B$27="Yes",G310,1))</f>
        <v/>
      </c>
      <c r="J310" s="11">
        <f>IF(A310="","",F310+H310-I310)</f>
        <v/>
      </c>
      <c r="K310">
        <f>IF(A310="","",IFERROR(IF(B310="",NA(),MATCH(B310,Products!$B$5:$B$204,0)),IFERROR(MATCH(A310,Products!$A$5:$A$204,0),"")))</f>
        <v/>
      </c>
      <c r="L310">
        <f>IF(A310="","",IF(K310="","⚠ not in Products",INDEX(Products!$A$5:$A$204,K310)))</f>
        <v/>
      </c>
      <c r="M310" s="11">
        <f>IF(A310="","",J310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310+IFERROR(INDEX(Settings!$D$5:$D$9,MATCH("Etsy",Settings!$A$5:$A$9,0)),0)*D310)</f>
        <v/>
      </c>
      <c r="N310" s="11">
        <f>IF(A310="","",IF(K310="",0,D310*INDEX(Products!$I$5:$I$204,K310)))</f>
        <v/>
      </c>
      <c r="O310" s="11">
        <f>IF(A310="","",IF(K310="",0,J310*INDEX(Products!$H$5:$H$204,K310)))</f>
        <v/>
      </c>
      <c r="P310" s="11">
        <f>IF(A310="","",J310-M310-N310-O310)</f>
        <v/>
      </c>
    </row>
    <row r="311">
      <c r="A311">
        <f>IFERROR(INDEX('Etsy Import'!$A:$CZ,311,Settings!$C$20)&amp;"","")</f>
        <v/>
      </c>
      <c r="B311">
        <f>IFERROR(INDEX('Etsy Import'!$A:$CZ,311,Settings!$C$21)&amp;"","")</f>
        <v/>
      </c>
      <c r="C311">
        <f>IFERROR(INDEX('Etsy Import'!$A:$CZ,311,Settings!$C$22)&amp;"","")</f>
        <v/>
      </c>
      <c r="D311">
        <f>IF(A311="","",IFERROR(VALUE(SUBSTITUTE(SUBSTITUTE(INDEX('Etsy Import'!$A:$CZ,311,Settings!$C$23)&amp;"","$",""),",","")),0))</f>
        <v/>
      </c>
      <c r="E311" s="11">
        <f>IF(A311="","",IFERROR(VALUE(SUBSTITUTE(SUBSTITUTE(INDEX('Etsy Import'!$A:$CZ,311,Settings!$C$24)&amp;"","$",""),",","")),0))</f>
        <v/>
      </c>
      <c r="F311" s="11">
        <f>IF(A311="","",D311*E311)</f>
        <v/>
      </c>
      <c r="G311">
        <f>IF(A311="","",IF(C311="",1,COUNTIF($C$2:$C$1501,C311)))</f>
        <v/>
      </c>
      <c r="H311" s="11">
        <f>IF(A311="","",IFERROR(VALUE(SUBSTITUTE(SUBSTITUTE(INDEX('Etsy Import'!$A:$CZ,311,Settings!$C$25)&amp;"","$",""),",","")),0)/IF(Settings!$B$27="Yes",G311,1))</f>
        <v/>
      </c>
      <c r="I311" s="11">
        <f>IF(A311="","",IFERROR(VALUE(SUBSTITUTE(SUBSTITUTE(INDEX('Etsy Import'!$A:$CZ,311,Settings!$C$26)&amp;"","$",""),",","")),0)/IF(Settings!$B$27="Yes",G311,1))</f>
        <v/>
      </c>
      <c r="J311" s="11">
        <f>IF(A311="","",F311+H311-I311)</f>
        <v/>
      </c>
      <c r="K311">
        <f>IF(A311="","",IFERROR(IF(B311="",NA(),MATCH(B311,Products!$B$5:$B$204,0)),IFERROR(MATCH(A311,Products!$A$5:$A$204,0),"")))</f>
        <v/>
      </c>
      <c r="L311">
        <f>IF(A311="","",IF(K311="","⚠ not in Products",INDEX(Products!$A$5:$A$204,K311)))</f>
        <v/>
      </c>
      <c r="M311" s="11">
        <f>IF(A311="","",J311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311+IFERROR(INDEX(Settings!$D$5:$D$9,MATCH("Etsy",Settings!$A$5:$A$9,0)),0)*D311)</f>
        <v/>
      </c>
      <c r="N311" s="11">
        <f>IF(A311="","",IF(K311="",0,D311*INDEX(Products!$I$5:$I$204,K311)))</f>
        <v/>
      </c>
      <c r="O311" s="11">
        <f>IF(A311="","",IF(K311="",0,J311*INDEX(Products!$H$5:$H$204,K311)))</f>
        <v/>
      </c>
      <c r="P311" s="11">
        <f>IF(A311="","",J311-M311-N311-O311)</f>
        <v/>
      </c>
    </row>
    <row r="312">
      <c r="A312">
        <f>IFERROR(INDEX('Etsy Import'!$A:$CZ,312,Settings!$C$20)&amp;"","")</f>
        <v/>
      </c>
      <c r="B312">
        <f>IFERROR(INDEX('Etsy Import'!$A:$CZ,312,Settings!$C$21)&amp;"","")</f>
        <v/>
      </c>
      <c r="C312">
        <f>IFERROR(INDEX('Etsy Import'!$A:$CZ,312,Settings!$C$22)&amp;"","")</f>
        <v/>
      </c>
      <c r="D312">
        <f>IF(A312="","",IFERROR(VALUE(SUBSTITUTE(SUBSTITUTE(INDEX('Etsy Import'!$A:$CZ,312,Settings!$C$23)&amp;"","$",""),",","")),0))</f>
        <v/>
      </c>
      <c r="E312" s="11">
        <f>IF(A312="","",IFERROR(VALUE(SUBSTITUTE(SUBSTITUTE(INDEX('Etsy Import'!$A:$CZ,312,Settings!$C$24)&amp;"","$",""),",","")),0))</f>
        <v/>
      </c>
      <c r="F312" s="11">
        <f>IF(A312="","",D312*E312)</f>
        <v/>
      </c>
      <c r="G312">
        <f>IF(A312="","",IF(C312="",1,COUNTIF($C$2:$C$1501,C312)))</f>
        <v/>
      </c>
      <c r="H312" s="11">
        <f>IF(A312="","",IFERROR(VALUE(SUBSTITUTE(SUBSTITUTE(INDEX('Etsy Import'!$A:$CZ,312,Settings!$C$25)&amp;"","$",""),",","")),0)/IF(Settings!$B$27="Yes",G312,1))</f>
        <v/>
      </c>
      <c r="I312" s="11">
        <f>IF(A312="","",IFERROR(VALUE(SUBSTITUTE(SUBSTITUTE(INDEX('Etsy Import'!$A:$CZ,312,Settings!$C$26)&amp;"","$",""),",","")),0)/IF(Settings!$B$27="Yes",G312,1))</f>
        <v/>
      </c>
      <c r="J312" s="11">
        <f>IF(A312="","",F312+H312-I312)</f>
        <v/>
      </c>
      <c r="K312">
        <f>IF(A312="","",IFERROR(IF(B312="",NA(),MATCH(B312,Products!$B$5:$B$204,0)),IFERROR(MATCH(A312,Products!$A$5:$A$204,0),"")))</f>
        <v/>
      </c>
      <c r="L312">
        <f>IF(A312="","",IF(K312="","⚠ not in Products",INDEX(Products!$A$5:$A$204,K312)))</f>
        <v/>
      </c>
      <c r="M312" s="11">
        <f>IF(A312="","",J312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312+IFERROR(INDEX(Settings!$D$5:$D$9,MATCH("Etsy",Settings!$A$5:$A$9,0)),0)*D312)</f>
        <v/>
      </c>
      <c r="N312" s="11">
        <f>IF(A312="","",IF(K312="",0,D312*INDEX(Products!$I$5:$I$204,K312)))</f>
        <v/>
      </c>
      <c r="O312" s="11">
        <f>IF(A312="","",IF(K312="",0,J312*INDEX(Products!$H$5:$H$204,K312)))</f>
        <v/>
      </c>
      <c r="P312" s="11">
        <f>IF(A312="","",J312-M312-N312-O312)</f>
        <v/>
      </c>
    </row>
    <row r="313">
      <c r="A313">
        <f>IFERROR(INDEX('Etsy Import'!$A:$CZ,313,Settings!$C$20)&amp;"","")</f>
        <v/>
      </c>
      <c r="B313">
        <f>IFERROR(INDEX('Etsy Import'!$A:$CZ,313,Settings!$C$21)&amp;"","")</f>
        <v/>
      </c>
      <c r="C313">
        <f>IFERROR(INDEX('Etsy Import'!$A:$CZ,313,Settings!$C$22)&amp;"","")</f>
        <v/>
      </c>
      <c r="D313">
        <f>IF(A313="","",IFERROR(VALUE(SUBSTITUTE(SUBSTITUTE(INDEX('Etsy Import'!$A:$CZ,313,Settings!$C$23)&amp;"","$",""),",","")),0))</f>
        <v/>
      </c>
      <c r="E313" s="11">
        <f>IF(A313="","",IFERROR(VALUE(SUBSTITUTE(SUBSTITUTE(INDEX('Etsy Import'!$A:$CZ,313,Settings!$C$24)&amp;"","$",""),",","")),0))</f>
        <v/>
      </c>
      <c r="F313" s="11">
        <f>IF(A313="","",D313*E313)</f>
        <v/>
      </c>
      <c r="G313">
        <f>IF(A313="","",IF(C313="",1,COUNTIF($C$2:$C$1501,C313)))</f>
        <v/>
      </c>
      <c r="H313" s="11">
        <f>IF(A313="","",IFERROR(VALUE(SUBSTITUTE(SUBSTITUTE(INDEX('Etsy Import'!$A:$CZ,313,Settings!$C$25)&amp;"","$",""),",","")),0)/IF(Settings!$B$27="Yes",G313,1))</f>
        <v/>
      </c>
      <c r="I313" s="11">
        <f>IF(A313="","",IFERROR(VALUE(SUBSTITUTE(SUBSTITUTE(INDEX('Etsy Import'!$A:$CZ,313,Settings!$C$26)&amp;"","$",""),",","")),0)/IF(Settings!$B$27="Yes",G313,1))</f>
        <v/>
      </c>
      <c r="J313" s="11">
        <f>IF(A313="","",F313+H313-I313)</f>
        <v/>
      </c>
      <c r="K313">
        <f>IF(A313="","",IFERROR(IF(B313="",NA(),MATCH(B313,Products!$B$5:$B$204,0)),IFERROR(MATCH(A313,Products!$A$5:$A$204,0),"")))</f>
        <v/>
      </c>
      <c r="L313">
        <f>IF(A313="","",IF(K313="","⚠ not in Products",INDEX(Products!$A$5:$A$204,K313)))</f>
        <v/>
      </c>
      <c r="M313" s="11">
        <f>IF(A313="","",J313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313+IFERROR(INDEX(Settings!$D$5:$D$9,MATCH("Etsy",Settings!$A$5:$A$9,0)),0)*D313)</f>
        <v/>
      </c>
      <c r="N313" s="11">
        <f>IF(A313="","",IF(K313="",0,D313*INDEX(Products!$I$5:$I$204,K313)))</f>
        <v/>
      </c>
      <c r="O313" s="11">
        <f>IF(A313="","",IF(K313="",0,J313*INDEX(Products!$H$5:$H$204,K313)))</f>
        <v/>
      </c>
      <c r="P313" s="11">
        <f>IF(A313="","",J313-M313-N313-O313)</f>
        <v/>
      </c>
    </row>
    <row r="314">
      <c r="A314">
        <f>IFERROR(INDEX('Etsy Import'!$A:$CZ,314,Settings!$C$20)&amp;"","")</f>
        <v/>
      </c>
      <c r="B314">
        <f>IFERROR(INDEX('Etsy Import'!$A:$CZ,314,Settings!$C$21)&amp;"","")</f>
        <v/>
      </c>
      <c r="C314">
        <f>IFERROR(INDEX('Etsy Import'!$A:$CZ,314,Settings!$C$22)&amp;"","")</f>
        <v/>
      </c>
      <c r="D314">
        <f>IF(A314="","",IFERROR(VALUE(SUBSTITUTE(SUBSTITUTE(INDEX('Etsy Import'!$A:$CZ,314,Settings!$C$23)&amp;"","$",""),",","")),0))</f>
        <v/>
      </c>
      <c r="E314" s="11">
        <f>IF(A314="","",IFERROR(VALUE(SUBSTITUTE(SUBSTITUTE(INDEX('Etsy Import'!$A:$CZ,314,Settings!$C$24)&amp;"","$",""),",","")),0))</f>
        <v/>
      </c>
      <c r="F314" s="11">
        <f>IF(A314="","",D314*E314)</f>
        <v/>
      </c>
      <c r="G314">
        <f>IF(A314="","",IF(C314="",1,COUNTIF($C$2:$C$1501,C314)))</f>
        <v/>
      </c>
      <c r="H314" s="11">
        <f>IF(A314="","",IFERROR(VALUE(SUBSTITUTE(SUBSTITUTE(INDEX('Etsy Import'!$A:$CZ,314,Settings!$C$25)&amp;"","$",""),",","")),0)/IF(Settings!$B$27="Yes",G314,1))</f>
        <v/>
      </c>
      <c r="I314" s="11">
        <f>IF(A314="","",IFERROR(VALUE(SUBSTITUTE(SUBSTITUTE(INDEX('Etsy Import'!$A:$CZ,314,Settings!$C$26)&amp;"","$",""),",","")),0)/IF(Settings!$B$27="Yes",G314,1))</f>
        <v/>
      </c>
      <c r="J314" s="11">
        <f>IF(A314="","",F314+H314-I314)</f>
        <v/>
      </c>
      <c r="K314">
        <f>IF(A314="","",IFERROR(IF(B314="",NA(),MATCH(B314,Products!$B$5:$B$204,0)),IFERROR(MATCH(A314,Products!$A$5:$A$204,0),"")))</f>
        <v/>
      </c>
      <c r="L314">
        <f>IF(A314="","",IF(K314="","⚠ not in Products",INDEX(Products!$A$5:$A$204,K314)))</f>
        <v/>
      </c>
      <c r="M314" s="11">
        <f>IF(A314="","",J314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314+IFERROR(INDEX(Settings!$D$5:$D$9,MATCH("Etsy",Settings!$A$5:$A$9,0)),0)*D314)</f>
        <v/>
      </c>
      <c r="N314" s="11">
        <f>IF(A314="","",IF(K314="",0,D314*INDEX(Products!$I$5:$I$204,K314)))</f>
        <v/>
      </c>
      <c r="O314" s="11">
        <f>IF(A314="","",IF(K314="",0,J314*INDEX(Products!$H$5:$H$204,K314)))</f>
        <v/>
      </c>
      <c r="P314" s="11">
        <f>IF(A314="","",J314-M314-N314-O314)</f>
        <v/>
      </c>
    </row>
    <row r="315">
      <c r="A315">
        <f>IFERROR(INDEX('Etsy Import'!$A:$CZ,315,Settings!$C$20)&amp;"","")</f>
        <v/>
      </c>
      <c r="B315">
        <f>IFERROR(INDEX('Etsy Import'!$A:$CZ,315,Settings!$C$21)&amp;"","")</f>
        <v/>
      </c>
      <c r="C315">
        <f>IFERROR(INDEX('Etsy Import'!$A:$CZ,315,Settings!$C$22)&amp;"","")</f>
        <v/>
      </c>
      <c r="D315">
        <f>IF(A315="","",IFERROR(VALUE(SUBSTITUTE(SUBSTITUTE(INDEX('Etsy Import'!$A:$CZ,315,Settings!$C$23)&amp;"","$",""),",","")),0))</f>
        <v/>
      </c>
      <c r="E315" s="11">
        <f>IF(A315="","",IFERROR(VALUE(SUBSTITUTE(SUBSTITUTE(INDEX('Etsy Import'!$A:$CZ,315,Settings!$C$24)&amp;"","$",""),",","")),0))</f>
        <v/>
      </c>
      <c r="F315" s="11">
        <f>IF(A315="","",D315*E315)</f>
        <v/>
      </c>
      <c r="G315">
        <f>IF(A315="","",IF(C315="",1,COUNTIF($C$2:$C$1501,C315)))</f>
        <v/>
      </c>
      <c r="H315" s="11">
        <f>IF(A315="","",IFERROR(VALUE(SUBSTITUTE(SUBSTITUTE(INDEX('Etsy Import'!$A:$CZ,315,Settings!$C$25)&amp;"","$",""),",","")),0)/IF(Settings!$B$27="Yes",G315,1))</f>
        <v/>
      </c>
      <c r="I315" s="11">
        <f>IF(A315="","",IFERROR(VALUE(SUBSTITUTE(SUBSTITUTE(INDEX('Etsy Import'!$A:$CZ,315,Settings!$C$26)&amp;"","$",""),",","")),0)/IF(Settings!$B$27="Yes",G315,1))</f>
        <v/>
      </c>
      <c r="J315" s="11">
        <f>IF(A315="","",F315+H315-I315)</f>
        <v/>
      </c>
      <c r="K315">
        <f>IF(A315="","",IFERROR(IF(B315="",NA(),MATCH(B315,Products!$B$5:$B$204,0)),IFERROR(MATCH(A315,Products!$A$5:$A$204,0),"")))</f>
        <v/>
      </c>
      <c r="L315">
        <f>IF(A315="","",IF(K315="","⚠ not in Products",INDEX(Products!$A$5:$A$204,K315)))</f>
        <v/>
      </c>
      <c r="M315" s="11">
        <f>IF(A315="","",J315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315+IFERROR(INDEX(Settings!$D$5:$D$9,MATCH("Etsy",Settings!$A$5:$A$9,0)),0)*D315)</f>
        <v/>
      </c>
      <c r="N315" s="11">
        <f>IF(A315="","",IF(K315="",0,D315*INDEX(Products!$I$5:$I$204,K315)))</f>
        <v/>
      </c>
      <c r="O315" s="11">
        <f>IF(A315="","",IF(K315="",0,J315*INDEX(Products!$H$5:$H$204,K315)))</f>
        <v/>
      </c>
      <c r="P315" s="11">
        <f>IF(A315="","",J315-M315-N315-O315)</f>
        <v/>
      </c>
    </row>
    <row r="316">
      <c r="A316">
        <f>IFERROR(INDEX('Etsy Import'!$A:$CZ,316,Settings!$C$20)&amp;"","")</f>
        <v/>
      </c>
      <c r="B316">
        <f>IFERROR(INDEX('Etsy Import'!$A:$CZ,316,Settings!$C$21)&amp;"","")</f>
        <v/>
      </c>
      <c r="C316">
        <f>IFERROR(INDEX('Etsy Import'!$A:$CZ,316,Settings!$C$22)&amp;"","")</f>
        <v/>
      </c>
      <c r="D316">
        <f>IF(A316="","",IFERROR(VALUE(SUBSTITUTE(SUBSTITUTE(INDEX('Etsy Import'!$A:$CZ,316,Settings!$C$23)&amp;"","$",""),",","")),0))</f>
        <v/>
      </c>
      <c r="E316" s="11">
        <f>IF(A316="","",IFERROR(VALUE(SUBSTITUTE(SUBSTITUTE(INDEX('Etsy Import'!$A:$CZ,316,Settings!$C$24)&amp;"","$",""),",","")),0))</f>
        <v/>
      </c>
      <c r="F316" s="11">
        <f>IF(A316="","",D316*E316)</f>
        <v/>
      </c>
      <c r="G316">
        <f>IF(A316="","",IF(C316="",1,COUNTIF($C$2:$C$1501,C316)))</f>
        <v/>
      </c>
      <c r="H316" s="11">
        <f>IF(A316="","",IFERROR(VALUE(SUBSTITUTE(SUBSTITUTE(INDEX('Etsy Import'!$A:$CZ,316,Settings!$C$25)&amp;"","$",""),",","")),0)/IF(Settings!$B$27="Yes",G316,1))</f>
        <v/>
      </c>
      <c r="I316" s="11">
        <f>IF(A316="","",IFERROR(VALUE(SUBSTITUTE(SUBSTITUTE(INDEX('Etsy Import'!$A:$CZ,316,Settings!$C$26)&amp;"","$",""),",","")),0)/IF(Settings!$B$27="Yes",G316,1))</f>
        <v/>
      </c>
      <c r="J316" s="11">
        <f>IF(A316="","",F316+H316-I316)</f>
        <v/>
      </c>
      <c r="K316">
        <f>IF(A316="","",IFERROR(IF(B316="",NA(),MATCH(B316,Products!$B$5:$B$204,0)),IFERROR(MATCH(A316,Products!$A$5:$A$204,0),"")))</f>
        <v/>
      </c>
      <c r="L316">
        <f>IF(A316="","",IF(K316="","⚠ not in Products",INDEX(Products!$A$5:$A$204,K316)))</f>
        <v/>
      </c>
      <c r="M316" s="11">
        <f>IF(A316="","",J316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316+IFERROR(INDEX(Settings!$D$5:$D$9,MATCH("Etsy",Settings!$A$5:$A$9,0)),0)*D316)</f>
        <v/>
      </c>
      <c r="N316" s="11">
        <f>IF(A316="","",IF(K316="",0,D316*INDEX(Products!$I$5:$I$204,K316)))</f>
        <v/>
      </c>
      <c r="O316" s="11">
        <f>IF(A316="","",IF(K316="",0,J316*INDEX(Products!$H$5:$H$204,K316)))</f>
        <v/>
      </c>
      <c r="P316" s="11">
        <f>IF(A316="","",J316-M316-N316-O316)</f>
        <v/>
      </c>
    </row>
    <row r="317">
      <c r="A317">
        <f>IFERROR(INDEX('Etsy Import'!$A:$CZ,317,Settings!$C$20)&amp;"","")</f>
        <v/>
      </c>
      <c r="B317">
        <f>IFERROR(INDEX('Etsy Import'!$A:$CZ,317,Settings!$C$21)&amp;"","")</f>
        <v/>
      </c>
      <c r="C317">
        <f>IFERROR(INDEX('Etsy Import'!$A:$CZ,317,Settings!$C$22)&amp;"","")</f>
        <v/>
      </c>
      <c r="D317">
        <f>IF(A317="","",IFERROR(VALUE(SUBSTITUTE(SUBSTITUTE(INDEX('Etsy Import'!$A:$CZ,317,Settings!$C$23)&amp;"","$",""),",","")),0))</f>
        <v/>
      </c>
      <c r="E317" s="11">
        <f>IF(A317="","",IFERROR(VALUE(SUBSTITUTE(SUBSTITUTE(INDEX('Etsy Import'!$A:$CZ,317,Settings!$C$24)&amp;"","$",""),",","")),0))</f>
        <v/>
      </c>
      <c r="F317" s="11">
        <f>IF(A317="","",D317*E317)</f>
        <v/>
      </c>
      <c r="G317">
        <f>IF(A317="","",IF(C317="",1,COUNTIF($C$2:$C$1501,C317)))</f>
        <v/>
      </c>
      <c r="H317" s="11">
        <f>IF(A317="","",IFERROR(VALUE(SUBSTITUTE(SUBSTITUTE(INDEX('Etsy Import'!$A:$CZ,317,Settings!$C$25)&amp;"","$",""),",","")),0)/IF(Settings!$B$27="Yes",G317,1))</f>
        <v/>
      </c>
      <c r="I317" s="11">
        <f>IF(A317="","",IFERROR(VALUE(SUBSTITUTE(SUBSTITUTE(INDEX('Etsy Import'!$A:$CZ,317,Settings!$C$26)&amp;"","$",""),",","")),0)/IF(Settings!$B$27="Yes",G317,1))</f>
        <v/>
      </c>
      <c r="J317" s="11">
        <f>IF(A317="","",F317+H317-I317)</f>
        <v/>
      </c>
      <c r="K317">
        <f>IF(A317="","",IFERROR(IF(B317="",NA(),MATCH(B317,Products!$B$5:$B$204,0)),IFERROR(MATCH(A317,Products!$A$5:$A$204,0),"")))</f>
        <v/>
      </c>
      <c r="L317">
        <f>IF(A317="","",IF(K317="","⚠ not in Products",INDEX(Products!$A$5:$A$204,K317)))</f>
        <v/>
      </c>
      <c r="M317" s="11">
        <f>IF(A317="","",J317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317+IFERROR(INDEX(Settings!$D$5:$D$9,MATCH("Etsy",Settings!$A$5:$A$9,0)),0)*D317)</f>
        <v/>
      </c>
      <c r="N317" s="11">
        <f>IF(A317="","",IF(K317="",0,D317*INDEX(Products!$I$5:$I$204,K317)))</f>
        <v/>
      </c>
      <c r="O317" s="11">
        <f>IF(A317="","",IF(K317="",0,J317*INDEX(Products!$H$5:$H$204,K317)))</f>
        <v/>
      </c>
      <c r="P317" s="11">
        <f>IF(A317="","",J317-M317-N317-O317)</f>
        <v/>
      </c>
    </row>
    <row r="318">
      <c r="A318">
        <f>IFERROR(INDEX('Etsy Import'!$A:$CZ,318,Settings!$C$20)&amp;"","")</f>
        <v/>
      </c>
      <c r="B318">
        <f>IFERROR(INDEX('Etsy Import'!$A:$CZ,318,Settings!$C$21)&amp;"","")</f>
        <v/>
      </c>
      <c r="C318">
        <f>IFERROR(INDEX('Etsy Import'!$A:$CZ,318,Settings!$C$22)&amp;"","")</f>
        <v/>
      </c>
      <c r="D318">
        <f>IF(A318="","",IFERROR(VALUE(SUBSTITUTE(SUBSTITUTE(INDEX('Etsy Import'!$A:$CZ,318,Settings!$C$23)&amp;"","$",""),",","")),0))</f>
        <v/>
      </c>
      <c r="E318" s="11">
        <f>IF(A318="","",IFERROR(VALUE(SUBSTITUTE(SUBSTITUTE(INDEX('Etsy Import'!$A:$CZ,318,Settings!$C$24)&amp;"","$",""),",","")),0))</f>
        <v/>
      </c>
      <c r="F318" s="11">
        <f>IF(A318="","",D318*E318)</f>
        <v/>
      </c>
      <c r="G318">
        <f>IF(A318="","",IF(C318="",1,COUNTIF($C$2:$C$1501,C318)))</f>
        <v/>
      </c>
      <c r="H318" s="11">
        <f>IF(A318="","",IFERROR(VALUE(SUBSTITUTE(SUBSTITUTE(INDEX('Etsy Import'!$A:$CZ,318,Settings!$C$25)&amp;"","$",""),",","")),0)/IF(Settings!$B$27="Yes",G318,1))</f>
        <v/>
      </c>
      <c r="I318" s="11">
        <f>IF(A318="","",IFERROR(VALUE(SUBSTITUTE(SUBSTITUTE(INDEX('Etsy Import'!$A:$CZ,318,Settings!$C$26)&amp;"","$",""),",","")),0)/IF(Settings!$B$27="Yes",G318,1))</f>
        <v/>
      </c>
      <c r="J318" s="11">
        <f>IF(A318="","",F318+H318-I318)</f>
        <v/>
      </c>
      <c r="K318">
        <f>IF(A318="","",IFERROR(IF(B318="",NA(),MATCH(B318,Products!$B$5:$B$204,0)),IFERROR(MATCH(A318,Products!$A$5:$A$204,0),"")))</f>
        <v/>
      </c>
      <c r="L318">
        <f>IF(A318="","",IF(K318="","⚠ not in Products",INDEX(Products!$A$5:$A$204,K318)))</f>
        <v/>
      </c>
      <c r="M318" s="11">
        <f>IF(A318="","",J318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318+IFERROR(INDEX(Settings!$D$5:$D$9,MATCH("Etsy",Settings!$A$5:$A$9,0)),0)*D318)</f>
        <v/>
      </c>
      <c r="N318" s="11">
        <f>IF(A318="","",IF(K318="",0,D318*INDEX(Products!$I$5:$I$204,K318)))</f>
        <v/>
      </c>
      <c r="O318" s="11">
        <f>IF(A318="","",IF(K318="",0,J318*INDEX(Products!$H$5:$H$204,K318)))</f>
        <v/>
      </c>
      <c r="P318" s="11">
        <f>IF(A318="","",J318-M318-N318-O318)</f>
        <v/>
      </c>
    </row>
    <row r="319">
      <c r="A319">
        <f>IFERROR(INDEX('Etsy Import'!$A:$CZ,319,Settings!$C$20)&amp;"","")</f>
        <v/>
      </c>
      <c r="B319">
        <f>IFERROR(INDEX('Etsy Import'!$A:$CZ,319,Settings!$C$21)&amp;"","")</f>
        <v/>
      </c>
      <c r="C319">
        <f>IFERROR(INDEX('Etsy Import'!$A:$CZ,319,Settings!$C$22)&amp;"","")</f>
        <v/>
      </c>
      <c r="D319">
        <f>IF(A319="","",IFERROR(VALUE(SUBSTITUTE(SUBSTITUTE(INDEX('Etsy Import'!$A:$CZ,319,Settings!$C$23)&amp;"","$",""),",","")),0))</f>
        <v/>
      </c>
      <c r="E319" s="11">
        <f>IF(A319="","",IFERROR(VALUE(SUBSTITUTE(SUBSTITUTE(INDEX('Etsy Import'!$A:$CZ,319,Settings!$C$24)&amp;"","$",""),",","")),0))</f>
        <v/>
      </c>
      <c r="F319" s="11">
        <f>IF(A319="","",D319*E319)</f>
        <v/>
      </c>
      <c r="G319">
        <f>IF(A319="","",IF(C319="",1,COUNTIF($C$2:$C$1501,C319)))</f>
        <v/>
      </c>
      <c r="H319" s="11">
        <f>IF(A319="","",IFERROR(VALUE(SUBSTITUTE(SUBSTITUTE(INDEX('Etsy Import'!$A:$CZ,319,Settings!$C$25)&amp;"","$",""),",","")),0)/IF(Settings!$B$27="Yes",G319,1))</f>
        <v/>
      </c>
      <c r="I319" s="11">
        <f>IF(A319="","",IFERROR(VALUE(SUBSTITUTE(SUBSTITUTE(INDEX('Etsy Import'!$A:$CZ,319,Settings!$C$26)&amp;"","$",""),",","")),0)/IF(Settings!$B$27="Yes",G319,1))</f>
        <v/>
      </c>
      <c r="J319" s="11">
        <f>IF(A319="","",F319+H319-I319)</f>
        <v/>
      </c>
      <c r="K319">
        <f>IF(A319="","",IFERROR(IF(B319="",NA(),MATCH(B319,Products!$B$5:$B$204,0)),IFERROR(MATCH(A319,Products!$A$5:$A$204,0),"")))</f>
        <v/>
      </c>
      <c r="L319">
        <f>IF(A319="","",IF(K319="","⚠ not in Products",INDEX(Products!$A$5:$A$204,K319)))</f>
        <v/>
      </c>
      <c r="M319" s="11">
        <f>IF(A319="","",J319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319+IFERROR(INDEX(Settings!$D$5:$D$9,MATCH("Etsy",Settings!$A$5:$A$9,0)),0)*D319)</f>
        <v/>
      </c>
      <c r="N319" s="11">
        <f>IF(A319="","",IF(K319="",0,D319*INDEX(Products!$I$5:$I$204,K319)))</f>
        <v/>
      </c>
      <c r="O319" s="11">
        <f>IF(A319="","",IF(K319="",0,J319*INDEX(Products!$H$5:$H$204,K319)))</f>
        <v/>
      </c>
      <c r="P319" s="11">
        <f>IF(A319="","",J319-M319-N319-O319)</f>
        <v/>
      </c>
    </row>
    <row r="320">
      <c r="A320">
        <f>IFERROR(INDEX('Etsy Import'!$A:$CZ,320,Settings!$C$20)&amp;"","")</f>
        <v/>
      </c>
      <c r="B320">
        <f>IFERROR(INDEX('Etsy Import'!$A:$CZ,320,Settings!$C$21)&amp;"","")</f>
        <v/>
      </c>
      <c r="C320">
        <f>IFERROR(INDEX('Etsy Import'!$A:$CZ,320,Settings!$C$22)&amp;"","")</f>
        <v/>
      </c>
      <c r="D320">
        <f>IF(A320="","",IFERROR(VALUE(SUBSTITUTE(SUBSTITUTE(INDEX('Etsy Import'!$A:$CZ,320,Settings!$C$23)&amp;"","$",""),",","")),0))</f>
        <v/>
      </c>
      <c r="E320" s="11">
        <f>IF(A320="","",IFERROR(VALUE(SUBSTITUTE(SUBSTITUTE(INDEX('Etsy Import'!$A:$CZ,320,Settings!$C$24)&amp;"","$",""),",","")),0))</f>
        <v/>
      </c>
      <c r="F320" s="11">
        <f>IF(A320="","",D320*E320)</f>
        <v/>
      </c>
      <c r="G320">
        <f>IF(A320="","",IF(C320="",1,COUNTIF($C$2:$C$1501,C320)))</f>
        <v/>
      </c>
      <c r="H320" s="11">
        <f>IF(A320="","",IFERROR(VALUE(SUBSTITUTE(SUBSTITUTE(INDEX('Etsy Import'!$A:$CZ,320,Settings!$C$25)&amp;"","$",""),",","")),0)/IF(Settings!$B$27="Yes",G320,1))</f>
        <v/>
      </c>
      <c r="I320" s="11">
        <f>IF(A320="","",IFERROR(VALUE(SUBSTITUTE(SUBSTITUTE(INDEX('Etsy Import'!$A:$CZ,320,Settings!$C$26)&amp;"","$",""),",","")),0)/IF(Settings!$B$27="Yes",G320,1))</f>
        <v/>
      </c>
      <c r="J320" s="11">
        <f>IF(A320="","",F320+H320-I320)</f>
        <v/>
      </c>
      <c r="K320">
        <f>IF(A320="","",IFERROR(IF(B320="",NA(),MATCH(B320,Products!$B$5:$B$204,0)),IFERROR(MATCH(A320,Products!$A$5:$A$204,0),"")))</f>
        <v/>
      </c>
      <c r="L320">
        <f>IF(A320="","",IF(K320="","⚠ not in Products",INDEX(Products!$A$5:$A$204,K320)))</f>
        <v/>
      </c>
      <c r="M320" s="11">
        <f>IF(A320="","",J320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320+IFERROR(INDEX(Settings!$D$5:$D$9,MATCH("Etsy",Settings!$A$5:$A$9,0)),0)*D320)</f>
        <v/>
      </c>
      <c r="N320" s="11">
        <f>IF(A320="","",IF(K320="",0,D320*INDEX(Products!$I$5:$I$204,K320)))</f>
        <v/>
      </c>
      <c r="O320" s="11">
        <f>IF(A320="","",IF(K320="",0,J320*INDEX(Products!$H$5:$H$204,K320)))</f>
        <v/>
      </c>
      <c r="P320" s="11">
        <f>IF(A320="","",J320-M320-N320-O320)</f>
        <v/>
      </c>
    </row>
    <row r="321">
      <c r="A321">
        <f>IFERROR(INDEX('Etsy Import'!$A:$CZ,321,Settings!$C$20)&amp;"","")</f>
        <v/>
      </c>
      <c r="B321">
        <f>IFERROR(INDEX('Etsy Import'!$A:$CZ,321,Settings!$C$21)&amp;"","")</f>
        <v/>
      </c>
      <c r="C321">
        <f>IFERROR(INDEX('Etsy Import'!$A:$CZ,321,Settings!$C$22)&amp;"","")</f>
        <v/>
      </c>
      <c r="D321">
        <f>IF(A321="","",IFERROR(VALUE(SUBSTITUTE(SUBSTITUTE(INDEX('Etsy Import'!$A:$CZ,321,Settings!$C$23)&amp;"","$",""),",","")),0))</f>
        <v/>
      </c>
      <c r="E321" s="11">
        <f>IF(A321="","",IFERROR(VALUE(SUBSTITUTE(SUBSTITUTE(INDEX('Etsy Import'!$A:$CZ,321,Settings!$C$24)&amp;"","$",""),",","")),0))</f>
        <v/>
      </c>
      <c r="F321" s="11">
        <f>IF(A321="","",D321*E321)</f>
        <v/>
      </c>
      <c r="G321">
        <f>IF(A321="","",IF(C321="",1,COUNTIF($C$2:$C$1501,C321)))</f>
        <v/>
      </c>
      <c r="H321" s="11">
        <f>IF(A321="","",IFERROR(VALUE(SUBSTITUTE(SUBSTITUTE(INDEX('Etsy Import'!$A:$CZ,321,Settings!$C$25)&amp;"","$",""),",","")),0)/IF(Settings!$B$27="Yes",G321,1))</f>
        <v/>
      </c>
      <c r="I321" s="11">
        <f>IF(A321="","",IFERROR(VALUE(SUBSTITUTE(SUBSTITUTE(INDEX('Etsy Import'!$A:$CZ,321,Settings!$C$26)&amp;"","$",""),",","")),0)/IF(Settings!$B$27="Yes",G321,1))</f>
        <v/>
      </c>
      <c r="J321" s="11">
        <f>IF(A321="","",F321+H321-I321)</f>
        <v/>
      </c>
      <c r="K321">
        <f>IF(A321="","",IFERROR(IF(B321="",NA(),MATCH(B321,Products!$B$5:$B$204,0)),IFERROR(MATCH(A321,Products!$A$5:$A$204,0),"")))</f>
        <v/>
      </c>
      <c r="L321">
        <f>IF(A321="","",IF(K321="","⚠ not in Products",INDEX(Products!$A$5:$A$204,K321)))</f>
        <v/>
      </c>
      <c r="M321" s="11">
        <f>IF(A321="","",J321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321+IFERROR(INDEX(Settings!$D$5:$D$9,MATCH("Etsy",Settings!$A$5:$A$9,0)),0)*D321)</f>
        <v/>
      </c>
      <c r="N321" s="11">
        <f>IF(A321="","",IF(K321="",0,D321*INDEX(Products!$I$5:$I$204,K321)))</f>
        <v/>
      </c>
      <c r="O321" s="11">
        <f>IF(A321="","",IF(K321="",0,J321*INDEX(Products!$H$5:$H$204,K321)))</f>
        <v/>
      </c>
      <c r="P321" s="11">
        <f>IF(A321="","",J321-M321-N321-O321)</f>
        <v/>
      </c>
    </row>
    <row r="322">
      <c r="A322">
        <f>IFERROR(INDEX('Etsy Import'!$A:$CZ,322,Settings!$C$20)&amp;"","")</f>
        <v/>
      </c>
      <c r="B322">
        <f>IFERROR(INDEX('Etsy Import'!$A:$CZ,322,Settings!$C$21)&amp;"","")</f>
        <v/>
      </c>
      <c r="C322">
        <f>IFERROR(INDEX('Etsy Import'!$A:$CZ,322,Settings!$C$22)&amp;"","")</f>
        <v/>
      </c>
      <c r="D322">
        <f>IF(A322="","",IFERROR(VALUE(SUBSTITUTE(SUBSTITUTE(INDEX('Etsy Import'!$A:$CZ,322,Settings!$C$23)&amp;"","$",""),",","")),0))</f>
        <v/>
      </c>
      <c r="E322" s="11">
        <f>IF(A322="","",IFERROR(VALUE(SUBSTITUTE(SUBSTITUTE(INDEX('Etsy Import'!$A:$CZ,322,Settings!$C$24)&amp;"","$",""),",","")),0))</f>
        <v/>
      </c>
      <c r="F322" s="11">
        <f>IF(A322="","",D322*E322)</f>
        <v/>
      </c>
      <c r="G322">
        <f>IF(A322="","",IF(C322="",1,COUNTIF($C$2:$C$1501,C322)))</f>
        <v/>
      </c>
      <c r="H322" s="11">
        <f>IF(A322="","",IFERROR(VALUE(SUBSTITUTE(SUBSTITUTE(INDEX('Etsy Import'!$A:$CZ,322,Settings!$C$25)&amp;"","$",""),",","")),0)/IF(Settings!$B$27="Yes",G322,1))</f>
        <v/>
      </c>
      <c r="I322" s="11">
        <f>IF(A322="","",IFERROR(VALUE(SUBSTITUTE(SUBSTITUTE(INDEX('Etsy Import'!$A:$CZ,322,Settings!$C$26)&amp;"","$",""),",","")),0)/IF(Settings!$B$27="Yes",G322,1))</f>
        <v/>
      </c>
      <c r="J322" s="11">
        <f>IF(A322="","",F322+H322-I322)</f>
        <v/>
      </c>
      <c r="K322">
        <f>IF(A322="","",IFERROR(IF(B322="",NA(),MATCH(B322,Products!$B$5:$B$204,0)),IFERROR(MATCH(A322,Products!$A$5:$A$204,0),"")))</f>
        <v/>
      </c>
      <c r="L322">
        <f>IF(A322="","",IF(K322="","⚠ not in Products",INDEX(Products!$A$5:$A$204,K322)))</f>
        <v/>
      </c>
      <c r="M322" s="11">
        <f>IF(A322="","",J322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322+IFERROR(INDEX(Settings!$D$5:$D$9,MATCH("Etsy",Settings!$A$5:$A$9,0)),0)*D322)</f>
        <v/>
      </c>
      <c r="N322" s="11">
        <f>IF(A322="","",IF(K322="",0,D322*INDEX(Products!$I$5:$I$204,K322)))</f>
        <v/>
      </c>
      <c r="O322" s="11">
        <f>IF(A322="","",IF(K322="",0,J322*INDEX(Products!$H$5:$H$204,K322)))</f>
        <v/>
      </c>
      <c r="P322" s="11">
        <f>IF(A322="","",J322-M322-N322-O322)</f>
        <v/>
      </c>
    </row>
    <row r="323">
      <c r="A323">
        <f>IFERROR(INDEX('Etsy Import'!$A:$CZ,323,Settings!$C$20)&amp;"","")</f>
        <v/>
      </c>
      <c r="B323">
        <f>IFERROR(INDEX('Etsy Import'!$A:$CZ,323,Settings!$C$21)&amp;"","")</f>
        <v/>
      </c>
      <c r="C323">
        <f>IFERROR(INDEX('Etsy Import'!$A:$CZ,323,Settings!$C$22)&amp;"","")</f>
        <v/>
      </c>
      <c r="D323">
        <f>IF(A323="","",IFERROR(VALUE(SUBSTITUTE(SUBSTITUTE(INDEX('Etsy Import'!$A:$CZ,323,Settings!$C$23)&amp;"","$",""),",","")),0))</f>
        <v/>
      </c>
      <c r="E323" s="11">
        <f>IF(A323="","",IFERROR(VALUE(SUBSTITUTE(SUBSTITUTE(INDEX('Etsy Import'!$A:$CZ,323,Settings!$C$24)&amp;"","$",""),",","")),0))</f>
        <v/>
      </c>
      <c r="F323" s="11">
        <f>IF(A323="","",D323*E323)</f>
        <v/>
      </c>
      <c r="G323">
        <f>IF(A323="","",IF(C323="",1,COUNTIF($C$2:$C$1501,C323)))</f>
        <v/>
      </c>
      <c r="H323" s="11">
        <f>IF(A323="","",IFERROR(VALUE(SUBSTITUTE(SUBSTITUTE(INDEX('Etsy Import'!$A:$CZ,323,Settings!$C$25)&amp;"","$",""),",","")),0)/IF(Settings!$B$27="Yes",G323,1))</f>
        <v/>
      </c>
      <c r="I323" s="11">
        <f>IF(A323="","",IFERROR(VALUE(SUBSTITUTE(SUBSTITUTE(INDEX('Etsy Import'!$A:$CZ,323,Settings!$C$26)&amp;"","$",""),",","")),0)/IF(Settings!$B$27="Yes",G323,1))</f>
        <v/>
      </c>
      <c r="J323" s="11">
        <f>IF(A323="","",F323+H323-I323)</f>
        <v/>
      </c>
      <c r="K323">
        <f>IF(A323="","",IFERROR(IF(B323="",NA(),MATCH(B323,Products!$B$5:$B$204,0)),IFERROR(MATCH(A323,Products!$A$5:$A$204,0),"")))</f>
        <v/>
      </c>
      <c r="L323">
        <f>IF(A323="","",IF(K323="","⚠ not in Products",INDEX(Products!$A$5:$A$204,K323)))</f>
        <v/>
      </c>
      <c r="M323" s="11">
        <f>IF(A323="","",J323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323+IFERROR(INDEX(Settings!$D$5:$D$9,MATCH("Etsy",Settings!$A$5:$A$9,0)),0)*D323)</f>
        <v/>
      </c>
      <c r="N323" s="11">
        <f>IF(A323="","",IF(K323="",0,D323*INDEX(Products!$I$5:$I$204,K323)))</f>
        <v/>
      </c>
      <c r="O323" s="11">
        <f>IF(A323="","",IF(K323="",0,J323*INDEX(Products!$H$5:$H$204,K323)))</f>
        <v/>
      </c>
      <c r="P323" s="11">
        <f>IF(A323="","",J323-M323-N323-O323)</f>
        <v/>
      </c>
    </row>
    <row r="324">
      <c r="A324">
        <f>IFERROR(INDEX('Etsy Import'!$A:$CZ,324,Settings!$C$20)&amp;"","")</f>
        <v/>
      </c>
      <c r="B324">
        <f>IFERROR(INDEX('Etsy Import'!$A:$CZ,324,Settings!$C$21)&amp;"","")</f>
        <v/>
      </c>
      <c r="C324">
        <f>IFERROR(INDEX('Etsy Import'!$A:$CZ,324,Settings!$C$22)&amp;"","")</f>
        <v/>
      </c>
      <c r="D324">
        <f>IF(A324="","",IFERROR(VALUE(SUBSTITUTE(SUBSTITUTE(INDEX('Etsy Import'!$A:$CZ,324,Settings!$C$23)&amp;"","$",""),",","")),0))</f>
        <v/>
      </c>
      <c r="E324" s="11">
        <f>IF(A324="","",IFERROR(VALUE(SUBSTITUTE(SUBSTITUTE(INDEX('Etsy Import'!$A:$CZ,324,Settings!$C$24)&amp;"","$",""),",","")),0))</f>
        <v/>
      </c>
      <c r="F324" s="11">
        <f>IF(A324="","",D324*E324)</f>
        <v/>
      </c>
      <c r="G324">
        <f>IF(A324="","",IF(C324="",1,COUNTIF($C$2:$C$1501,C324)))</f>
        <v/>
      </c>
      <c r="H324" s="11">
        <f>IF(A324="","",IFERROR(VALUE(SUBSTITUTE(SUBSTITUTE(INDEX('Etsy Import'!$A:$CZ,324,Settings!$C$25)&amp;"","$",""),",","")),0)/IF(Settings!$B$27="Yes",G324,1))</f>
        <v/>
      </c>
      <c r="I324" s="11">
        <f>IF(A324="","",IFERROR(VALUE(SUBSTITUTE(SUBSTITUTE(INDEX('Etsy Import'!$A:$CZ,324,Settings!$C$26)&amp;"","$",""),",","")),0)/IF(Settings!$B$27="Yes",G324,1))</f>
        <v/>
      </c>
      <c r="J324" s="11">
        <f>IF(A324="","",F324+H324-I324)</f>
        <v/>
      </c>
      <c r="K324">
        <f>IF(A324="","",IFERROR(IF(B324="",NA(),MATCH(B324,Products!$B$5:$B$204,0)),IFERROR(MATCH(A324,Products!$A$5:$A$204,0),"")))</f>
        <v/>
      </c>
      <c r="L324">
        <f>IF(A324="","",IF(K324="","⚠ not in Products",INDEX(Products!$A$5:$A$204,K324)))</f>
        <v/>
      </c>
      <c r="M324" s="11">
        <f>IF(A324="","",J324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324+IFERROR(INDEX(Settings!$D$5:$D$9,MATCH("Etsy",Settings!$A$5:$A$9,0)),0)*D324)</f>
        <v/>
      </c>
      <c r="N324" s="11">
        <f>IF(A324="","",IF(K324="",0,D324*INDEX(Products!$I$5:$I$204,K324)))</f>
        <v/>
      </c>
      <c r="O324" s="11">
        <f>IF(A324="","",IF(K324="",0,J324*INDEX(Products!$H$5:$H$204,K324)))</f>
        <v/>
      </c>
      <c r="P324" s="11">
        <f>IF(A324="","",J324-M324-N324-O324)</f>
        <v/>
      </c>
    </row>
    <row r="325">
      <c r="A325">
        <f>IFERROR(INDEX('Etsy Import'!$A:$CZ,325,Settings!$C$20)&amp;"","")</f>
        <v/>
      </c>
      <c r="B325">
        <f>IFERROR(INDEX('Etsy Import'!$A:$CZ,325,Settings!$C$21)&amp;"","")</f>
        <v/>
      </c>
      <c r="C325">
        <f>IFERROR(INDEX('Etsy Import'!$A:$CZ,325,Settings!$C$22)&amp;"","")</f>
        <v/>
      </c>
      <c r="D325">
        <f>IF(A325="","",IFERROR(VALUE(SUBSTITUTE(SUBSTITUTE(INDEX('Etsy Import'!$A:$CZ,325,Settings!$C$23)&amp;"","$",""),",","")),0))</f>
        <v/>
      </c>
      <c r="E325" s="11">
        <f>IF(A325="","",IFERROR(VALUE(SUBSTITUTE(SUBSTITUTE(INDEX('Etsy Import'!$A:$CZ,325,Settings!$C$24)&amp;"","$",""),",","")),0))</f>
        <v/>
      </c>
      <c r="F325" s="11">
        <f>IF(A325="","",D325*E325)</f>
        <v/>
      </c>
      <c r="G325">
        <f>IF(A325="","",IF(C325="",1,COUNTIF($C$2:$C$1501,C325)))</f>
        <v/>
      </c>
      <c r="H325" s="11">
        <f>IF(A325="","",IFERROR(VALUE(SUBSTITUTE(SUBSTITUTE(INDEX('Etsy Import'!$A:$CZ,325,Settings!$C$25)&amp;"","$",""),",","")),0)/IF(Settings!$B$27="Yes",G325,1))</f>
        <v/>
      </c>
      <c r="I325" s="11">
        <f>IF(A325="","",IFERROR(VALUE(SUBSTITUTE(SUBSTITUTE(INDEX('Etsy Import'!$A:$CZ,325,Settings!$C$26)&amp;"","$",""),",","")),0)/IF(Settings!$B$27="Yes",G325,1))</f>
        <v/>
      </c>
      <c r="J325" s="11">
        <f>IF(A325="","",F325+H325-I325)</f>
        <v/>
      </c>
      <c r="K325">
        <f>IF(A325="","",IFERROR(IF(B325="",NA(),MATCH(B325,Products!$B$5:$B$204,0)),IFERROR(MATCH(A325,Products!$A$5:$A$204,0),"")))</f>
        <v/>
      </c>
      <c r="L325">
        <f>IF(A325="","",IF(K325="","⚠ not in Products",INDEX(Products!$A$5:$A$204,K325)))</f>
        <v/>
      </c>
      <c r="M325" s="11">
        <f>IF(A325="","",J325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325+IFERROR(INDEX(Settings!$D$5:$D$9,MATCH("Etsy",Settings!$A$5:$A$9,0)),0)*D325)</f>
        <v/>
      </c>
      <c r="N325" s="11">
        <f>IF(A325="","",IF(K325="",0,D325*INDEX(Products!$I$5:$I$204,K325)))</f>
        <v/>
      </c>
      <c r="O325" s="11">
        <f>IF(A325="","",IF(K325="",0,J325*INDEX(Products!$H$5:$H$204,K325)))</f>
        <v/>
      </c>
      <c r="P325" s="11">
        <f>IF(A325="","",J325-M325-N325-O325)</f>
        <v/>
      </c>
    </row>
    <row r="326">
      <c r="A326">
        <f>IFERROR(INDEX('Etsy Import'!$A:$CZ,326,Settings!$C$20)&amp;"","")</f>
        <v/>
      </c>
      <c r="B326">
        <f>IFERROR(INDEX('Etsy Import'!$A:$CZ,326,Settings!$C$21)&amp;"","")</f>
        <v/>
      </c>
      <c r="C326">
        <f>IFERROR(INDEX('Etsy Import'!$A:$CZ,326,Settings!$C$22)&amp;"","")</f>
        <v/>
      </c>
      <c r="D326">
        <f>IF(A326="","",IFERROR(VALUE(SUBSTITUTE(SUBSTITUTE(INDEX('Etsy Import'!$A:$CZ,326,Settings!$C$23)&amp;"","$",""),",","")),0))</f>
        <v/>
      </c>
      <c r="E326" s="11">
        <f>IF(A326="","",IFERROR(VALUE(SUBSTITUTE(SUBSTITUTE(INDEX('Etsy Import'!$A:$CZ,326,Settings!$C$24)&amp;"","$",""),",","")),0))</f>
        <v/>
      </c>
      <c r="F326" s="11">
        <f>IF(A326="","",D326*E326)</f>
        <v/>
      </c>
      <c r="G326">
        <f>IF(A326="","",IF(C326="",1,COUNTIF($C$2:$C$1501,C326)))</f>
        <v/>
      </c>
      <c r="H326" s="11">
        <f>IF(A326="","",IFERROR(VALUE(SUBSTITUTE(SUBSTITUTE(INDEX('Etsy Import'!$A:$CZ,326,Settings!$C$25)&amp;"","$",""),",","")),0)/IF(Settings!$B$27="Yes",G326,1))</f>
        <v/>
      </c>
      <c r="I326" s="11">
        <f>IF(A326="","",IFERROR(VALUE(SUBSTITUTE(SUBSTITUTE(INDEX('Etsy Import'!$A:$CZ,326,Settings!$C$26)&amp;"","$",""),",","")),0)/IF(Settings!$B$27="Yes",G326,1))</f>
        <v/>
      </c>
      <c r="J326" s="11">
        <f>IF(A326="","",F326+H326-I326)</f>
        <v/>
      </c>
      <c r="K326">
        <f>IF(A326="","",IFERROR(IF(B326="",NA(),MATCH(B326,Products!$B$5:$B$204,0)),IFERROR(MATCH(A326,Products!$A$5:$A$204,0),"")))</f>
        <v/>
      </c>
      <c r="L326">
        <f>IF(A326="","",IF(K326="","⚠ not in Products",INDEX(Products!$A$5:$A$204,K326)))</f>
        <v/>
      </c>
      <c r="M326" s="11">
        <f>IF(A326="","",J326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326+IFERROR(INDEX(Settings!$D$5:$D$9,MATCH("Etsy",Settings!$A$5:$A$9,0)),0)*D326)</f>
        <v/>
      </c>
      <c r="N326" s="11">
        <f>IF(A326="","",IF(K326="",0,D326*INDEX(Products!$I$5:$I$204,K326)))</f>
        <v/>
      </c>
      <c r="O326" s="11">
        <f>IF(A326="","",IF(K326="",0,J326*INDEX(Products!$H$5:$H$204,K326)))</f>
        <v/>
      </c>
      <c r="P326" s="11">
        <f>IF(A326="","",J326-M326-N326-O326)</f>
        <v/>
      </c>
    </row>
    <row r="327">
      <c r="A327">
        <f>IFERROR(INDEX('Etsy Import'!$A:$CZ,327,Settings!$C$20)&amp;"","")</f>
        <v/>
      </c>
      <c r="B327">
        <f>IFERROR(INDEX('Etsy Import'!$A:$CZ,327,Settings!$C$21)&amp;"","")</f>
        <v/>
      </c>
      <c r="C327">
        <f>IFERROR(INDEX('Etsy Import'!$A:$CZ,327,Settings!$C$22)&amp;"","")</f>
        <v/>
      </c>
      <c r="D327">
        <f>IF(A327="","",IFERROR(VALUE(SUBSTITUTE(SUBSTITUTE(INDEX('Etsy Import'!$A:$CZ,327,Settings!$C$23)&amp;"","$",""),",","")),0))</f>
        <v/>
      </c>
      <c r="E327" s="11">
        <f>IF(A327="","",IFERROR(VALUE(SUBSTITUTE(SUBSTITUTE(INDEX('Etsy Import'!$A:$CZ,327,Settings!$C$24)&amp;"","$",""),",","")),0))</f>
        <v/>
      </c>
      <c r="F327" s="11">
        <f>IF(A327="","",D327*E327)</f>
        <v/>
      </c>
      <c r="G327">
        <f>IF(A327="","",IF(C327="",1,COUNTIF($C$2:$C$1501,C327)))</f>
        <v/>
      </c>
      <c r="H327" s="11">
        <f>IF(A327="","",IFERROR(VALUE(SUBSTITUTE(SUBSTITUTE(INDEX('Etsy Import'!$A:$CZ,327,Settings!$C$25)&amp;"","$",""),",","")),0)/IF(Settings!$B$27="Yes",G327,1))</f>
        <v/>
      </c>
      <c r="I327" s="11">
        <f>IF(A327="","",IFERROR(VALUE(SUBSTITUTE(SUBSTITUTE(INDEX('Etsy Import'!$A:$CZ,327,Settings!$C$26)&amp;"","$",""),",","")),0)/IF(Settings!$B$27="Yes",G327,1))</f>
        <v/>
      </c>
      <c r="J327" s="11">
        <f>IF(A327="","",F327+H327-I327)</f>
        <v/>
      </c>
      <c r="K327">
        <f>IF(A327="","",IFERROR(IF(B327="",NA(),MATCH(B327,Products!$B$5:$B$204,0)),IFERROR(MATCH(A327,Products!$A$5:$A$204,0),"")))</f>
        <v/>
      </c>
      <c r="L327">
        <f>IF(A327="","",IF(K327="","⚠ not in Products",INDEX(Products!$A$5:$A$204,K327)))</f>
        <v/>
      </c>
      <c r="M327" s="11">
        <f>IF(A327="","",J327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327+IFERROR(INDEX(Settings!$D$5:$D$9,MATCH("Etsy",Settings!$A$5:$A$9,0)),0)*D327)</f>
        <v/>
      </c>
      <c r="N327" s="11">
        <f>IF(A327="","",IF(K327="",0,D327*INDEX(Products!$I$5:$I$204,K327)))</f>
        <v/>
      </c>
      <c r="O327" s="11">
        <f>IF(A327="","",IF(K327="",0,J327*INDEX(Products!$H$5:$H$204,K327)))</f>
        <v/>
      </c>
      <c r="P327" s="11">
        <f>IF(A327="","",J327-M327-N327-O327)</f>
        <v/>
      </c>
    </row>
    <row r="328">
      <c r="A328">
        <f>IFERROR(INDEX('Etsy Import'!$A:$CZ,328,Settings!$C$20)&amp;"","")</f>
        <v/>
      </c>
      <c r="B328">
        <f>IFERROR(INDEX('Etsy Import'!$A:$CZ,328,Settings!$C$21)&amp;"","")</f>
        <v/>
      </c>
      <c r="C328">
        <f>IFERROR(INDEX('Etsy Import'!$A:$CZ,328,Settings!$C$22)&amp;"","")</f>
        <v/>
      </c>
      <c r="D328">
        <f>IF(A328="","",IFERROR(VALUE(SUBSTITUTE(SUBSTITUTE(INDEX('Etsy Import'!$A:$CZ,328,Settings!$C$23)&amp;"","$",""),",","")),0))</f>
        <v/>
      </c>
      <c r="E328" s="11">
        <f>IF(A328="","",IFERROR(VALUE(SUBSTITUTE(SUBSTITUTE(INDEX('Etsy Import'!$A:$CZ,328,Settings!$C$24)&amp;"","$",""),",","")),0))</f>
        <v/>
      </c>
      <c r="F328" s="11">
        <f>IF(A328="","",D328*E328)</f>
        <v/>
      </c>
      <c r="G328">
        <f>IF(A328="","",IF(C328="",1,COUNTIF($C$2:$C$1501,C328)))</f>
        <v/>
      </c>
      <c r="H328" s="11">
        <f>IF(A328="","",IFERROR(VALUE(SUBSTITUTE(SUBSTITUTE(INDEX('Etsy Import'!$A:$CZ,328,Settings!$C$25)&amp;"","$",""),",","")),0)/IF(Settings!$B$27="Yes",G328,1))</f>
        <v/>
      </c>
      <c r="I328" s="11">
        <f>IF(A328="","",IFERROR(VALUE(SUBSTITUTE(SUBSTITUTE(INDEX('Etsy Import'!$A:$CZ,328,Settings!$C$26)&amp;"","$",""),",","")),0)/IF(Settings!$B$27="Yes",G328,1))</f>
        <v/>
      </c>
      <c r="J328" s="11">
        <f>IF(A328="","",F328+H328-I328)</f>
        <v/>
      </c>
      <c r="K328">
        <f>IF(A328="","",IFERROR(IF(B328="",NA(),MATCH(B328,Products!$B$5:$B$204,0)),IFERROR(MATCH(A328,Products!$A$5:$A$204,0),"")))</f>
        <v/>
      </c>
      <c r="L328">
        <f>IF(A328="","",IF(K328="","⚠ not in Products",INDEX(Products!$A$5:$A$204,K328)))</f>
        <v/>
      </c>
      <c r="M328" s="11">
        <f>IF(A328="","",J328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328+IFERROR(INDEX(Settings!$D$5:$D$9,MATCH("Etsy",Settings!$A$5:$A$9,0)),0)*D328)</f>
        <v/>
      </c>
      <c r="N328" s="11">
        <f>IF(A328="","",IF(K328="",0,D328*INDEX(Products!$I$5:$I$204,K328)))</f>
        <v/>
      </c>
      <c r="O328" s="11">
        <f>IF(A328="","",IF(K328="",0,J328*INDEX(Products!$H$5:$H$204,K328)))</f>
        <v/>
      </c>
      <c r="P328" s="11">
        <f>IF(A328="","",J328-M328-N328-O328)</f>
        <v/>
      </c>
    </row>
    <row r="329">
      <c r="A329">
        <f>IFERROR(INDEX('Etsy Import'!$A:$CZ,329,Settings!$C$20)&amp;"","")</f>
        <v/>
      </c>
      <c r="B329">
        <f>IFERROR(INDEX('Etsy Import'!$A:$CZ,329,Settings!$C$21)&amp;"","")</f>
        <v/>
      </c>
      <c r="C329">
        <f>IFERROR(INDEX('Etsy Import'!$A:$CZ,329,Settings!$C$22)&amp;"","")</f>
        <v/>
      </c>
      <c r="D329">
        <f>IF(A329="","",IFERROR(VALUE(SUBSTITUTE(SUBSTITUTE(INDEX('Etsy Import'!$A:$CZ,329,Settings!$C$23)&amp;"","$",""),",","")),0))</f>
        <v/>
      </c>
      <c r="E329" s="11">
        <f>IF(A329="","",IFERROR(VALUE(SUBSTITUTE(SUBSTITUTE(INDEX('Etsy Import'!$A:$CZ,329,Settings!$C$24)&amp;"","$",""),",","")),0))</f>
        <v/>
      </c>
      <c r="F329" s="11">
        <f>IF(A329="","",D329*E329)</f>
        <v/>
      </c>
      <c r="G329">
        <f>IF(A329="","",IF(C329="",1,COUNTIF($C$2:$C$1501,C329)))</f>
        <v/>
      </c>
      <c r="H329" s="11">
        <f>IF(A329="","",IFERROR(VALUE(SUBSTITUTE(SUBSTITUTE(INDEX('Etsy Import'!$A:$CZ,329,Settings!$C$25)&amp;"","$",""),",","")),0)/IF(Settings!$B$27="Yes",G329,1))</f>
        <v/>
      </c>
      <c r="I329" s="11">
        <f>IF(A329="","",IFERROR(VALUE(SUBSTITUTE(SUBSTITUTE(INDEX('Etsy Import'!$A:$CZ,329,Settings!$C$26)&amp;"","$",""),",","")),0)/IF(Settings!$B$27="Yes",G329,1))</f>
        <v/>
      </c>
      <c r="J329" s="11">
        <f>IF(A329="","",F329+H329-I329)</f>
        <v/>
      </c>
      <c r="K329">
        <f>IF(A329="","",IFERROR(IF(B329="",NA(),MATCH(B329,Products!$B$5:$B$204,0)),IFERROR(MATCH(A329,Products!$A$5:$A$204,0),"")))</f>
        <v/>
      </c>
      <c r="L329">
        <f>IF(A329="","",IF(K329="","⚠ not in Products",INDEX(Products!$A$5:$A$204,K329)))</f>
        <v/>
      </c>
      <c r="M329" s="11">
        <f>IF(A329="","",J329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329+IFERROR(INDEX(Settings!$D$5:$D$9,MATCH("Etsy",Settings!$A$5:$A$9,0)),0)*D329)</f>
        <v/>
      </c>
      <c r="N329" s="11">
        <f>IF(A329="","",IF(K329="",0,D329*INDEX(Products!$I$5:$I$204,K329)))</f>
        <v/>
      </c>
      <c r="O329" s="11">
        <f>IF(A329="","",IF(K329="",0,J329*INDEX(Products!$H$5:$H$204,K329)))</f>
        <v/>
      </c>
      <c r="P329" s="11">
        <f>IF(A329="","",J329-M329-N329-O329)</f>
        <v/>
      </c>
    </row>
    <row r="330">
      <c r="A330">
        <f>IFERROR(INDEX('Etsy Import'!$A:$CZ,330,Settings!$C$20)&amp;"","")</f>
        <v/>
      </c>
      <c r="B330">
        <f>IFERROR(INDEX('Etsy Import'!$A:$CZ,330,Settings!$C$21)&amp;"","")</f>
        <v/>
      </c>
      <c r="C330">
        <f>IFERROR(INDEX('Etsy Import'!$A:$CZ,330,Settings!$C$22)&amp;"","")</f>
        <v/>
      </c>
      <c r="D330">
        <f>IF(A330="","",IFERROR(VALUE(SUBSTITUTE(SUBSTITUTE(INDEX('Etsy Import'!$A:$CZ,330,Settings!$C$23)&amp;"","$",""),",","")),0))</f>
        <v/>
      </c>
      <c r="E330" s="11">
        <f>IF(A330="","",IFERROR(VALUE(SUBSTITUTE(SUBSTITUTE(INDEX('Etsy Import'!$A:$CZ,330,Settings!$C$24)&amp;"","$",""),",","")),0))</f>
        <v/>
      </c>
      <c r="F330" s="11">
        <f>IF(A330="","",D330*E330)</f>
        <v/>
      </c>
      <c r="G330">
        <f>IF(A330="","",IF(C330="",1,COUNTIF($C$2:$C$1501,C330)))</f>
        <v/>
      </c>
      <c r="H330" s="11">
        <f>IF(A330="","",IFERROR(VALUE(SUBSTITUTE(SUBSTITUTE(INDEX('Etsy Import'!$A:$CZ,330,Settings!$C$25)&amp;"","$",""),",","")),0)/IF(Settings!$B$27="Yes",G330,1))</f>
        <v/>
      </c>
      <c r="I330" s="11">
        <f>IF(A330="","",IFERROR(VALUE(SUBSTITUTE(SUBSTITUTE(INDEX('Etsy Import'!$A:$CZ,330,Settings!$C$26)&amp;"","$",""),",","")),0)/IF(Settings!$B$27="Yes",G330,1))</f>
        <v/>
      </c>
      <c r="J330" s="11">
        <f>IF(A330="","",F330+H330-I330)</f>
        <v/>
      </c>
      <c r="K330">
        <f>IF(A330="","",IFERROR(IF(B330="",NA(),MATCH(B330,Products!$B$5:$B$204,0)),IFERROR(MATCH(A330,Products!$A$5:$A$204,0),"")))</f>
        <v/>
      </c>
      <c r="L330">
        <f>IF(A330="","",IF(K330="","⚠ not in Products",INDEX(Products!$A$5:$A$204,K330)))</f>
        <v/>
      </c>
      <c r="M330" s="11">
        <f>IF(A330="","",J330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330+IFERROR(INDEX(Settings!$D$5:$D$9,MATCH("Etsy",Settings!$A$5:$A$9,0)),0)*D330)</f>
        <v/>
      </c>
      <c r="N330" s="11">
        <f>IF(A330="","",IF(K330="",0,D330*INDEX(Products!$I$5:$I$204,K330)))</f>
        <v/>
      </c>
      <c r="O330" s="11">
        <f>IF(A330="","",IF(K330="",0,J330*INDEX(Products!$H$5:$H$204,K330)))</f>
        <v/>
      </c>
      <c r="P330" s="11">
        <f>IF(A330="","",J330-M330-N330-O330)</f>
        <v/>
      </c>
    </row>
    <row r="331">
      <c r="A331">
        <f>IFERROR(INDEX('Etsy Import'!$A:$CZ,331,Settings!$C$20)&amp;"","")</f>
        <v/>
      </c>
      <c r="B331">
        <f>IFERROR(INDEX('Etsy Import'!$A:$CZ,331,Settings!$C$21)&amp;"","")</f>
        <v/>
      </c>
      <c r="C331">
        <f>IFERROR(INDEX('Etsy Import'!$A:$CZ,331,Settings!$C$22)&amp;"","")</f>
        <v/>
      </c>
      <c r="D331">
        <f>IF(A331="","",IFERROR(VALUE(SUBSTITUTE(SUBSTITUTE(INDEX('Etsy Import'!$A:$CZ,331,Settings!$C$23)&amp;"","$",""),",","")),0))</f>
        <v/>
      </c>
      <c r="E331" s="11">
        <f>IF(A331="","",IFERROR(VALUE(SUBSTITUTE(SUBSTITUTE(INDEX('Etsy Import'!$A:$CZ,331,Settings!$C$24)&amp;"","$",""),",","")),0))</f>
        <v/>
      </c>
      <c r="F331" s="11">
        <f>IF(A331="","",D331*E331)</f>
        <v/>
      </c>
      <c r="G331">
        <f>IF(A331="","",IF(C331="",1,COUNTIF($C$2:$C$1501,C331)))</f>
        <v/>
      </c>
      <c r="H331" s="11">
        <f>IF(A331="","",IFERROR(VALUE(SUBSTITUTE(SUBSTITUTE(INDEX('Etsy Import'!$A:$CZ,331,Settings!$C$25)&amp;"","$",""),",","")),0)/IF(Settings!$B$27="Yes",G331,1))</f>
        <v/>
      </c>
      <c r="I331" s="11">
        <f>IF(A331="","",IFERROR(VALUE(SUBSTITUTE(SUBSTITUTE(INDEX('Etsy Import'!$A:$CZ,331,Settings!$C$26)&amp;"","$",""),",","")),0)/IF(Settings!$B$27="Yes",G331,1))</f>
        <v/>
      </c>
      <c r="J331" s="11">
        <f>IF(A331="","",F331+H331-I331)</f>
        <v/>
      </c>
      <c r="K331">
        <f>IF(A331="","",IFERROR(IF(B331="",NA(),MATCH(B331,Products!$B$5:$B$204,0)),IFERROR(MATCH(A331,Products!$A$5:$A$204,0),"")))</f>
        <v/>
      </c>
      <c r="L331">
        <f>IF(A331="","",IF(K331="","⚠ not in Products",INDEX(Products!$A$5:$A$204,K331)))</f>
        <v/>
      </c>
      <c r="M331" s="11">
        <f>IF(A331="","",J331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331+IFERROR(INDEX(Settings!$D$5:$D$9,MATCH("Etsy",Settings!$A$5:$A$9,0)),0)*D331)</f>
        <v/>
      </c>
      <c r="N331" s="11">
        <f>IF(A331="","",IF(K331="",0,D331*INDEX(Products!$I$5:$I$204,K331)))</f>
        <v/>
      </c>
      <c r="O331" s="11">
        <f>IF(A331="","",IF(K331="",0,J331*INDEX(Products!$H$5:$H$204,K331)))</f>
        <v/>
      </c>
      <c r="P331" s="11">
        <f>IF(A331="","",J331-M331-N331-O331)</f>
        <v/>
      </c>
    </row>
    <row r="332">
      <c r="A332">
        <f>IFERROR(INDEX('Etsy Import'!$A:$CZ,332,Settings!$C$20)&amp;"","")</f>
        <v/>
      </c>
      <c r="B332">
        <f>IFERROR(INDEX('Etsy Import'!$A:$CZ,332,Settings!$C$21)&amp;"","")</f>
        <v/>
      </c>
      <c r="C332">
        <f>IFERROR(INDEX('Etsy Import'!$A:$CZ,332,Settings!$C$22)&amp;"","")</f>
        <v/>
      </c>
      <c r="D332">
        <f>IF(A332="","",IFERROR(VALUE(SUBSTITUTE(SUBSTITUTE(INDEX('Etsy Import'!$A:$CZ,332,Settings!$C$23)&amp;"","$",""),",","")),0))</f>
        <v/>
      </c>
      <c r="E332" s="11">
        <f>IF(A332="","",IFERROR(VALUE(SUBSTITUTE(SUBSTITUTE(INDEX('Etsy Import'!$A:$CZ,332,Settings!$C$24)&amp;"","$",""),",","")),0))</f>
        <v/>
      </c>
      <c r="F332" s="11">
        <f>IF(A332="","",D332*E332)</f>
        <v/>
      </c>
      <c r="G332">
        <f>IF(A332="","",IF(C332="",1,COUNTIF($C$2:$C$1501,C332)))</f>
        <v/>
      </c>
      <c r="H332" s="11">
        <f>IF(A332="","",IFERROR(VALUE(SUBSTITUTE(SUBSTITUTE(INDEX('Etsy Import'!$A:$CZ,332,Settings!$C$25)&amp;"","$",""),",","")),0)/IF(Settings!$B$27="Yes",G332,1))</f>
        <v/>
      </c>
      <c r="I332" s="11">
        <f>IF(A332="","",IFERROR(VALUE(SUBSTITUTE(SUBSTITUTE(INDEX('Etsy Import'!$A:$CZ,332,Settings!$C$26)&amp;"","$",""),",","")),0)/IF(Settings!$B$27="Yes",G332,1))</f>
        <v/>
      </c>
      <c r="J332" s="11">
        <f>IF(A332="","",F332+H332-I332)</f>
        <v/>
      </c>
      <c r="K332">
        <f>IF(A332="","",IFERROR(IF(B332="",NA(),MATCH(B332,Products!$B$5:$B$204,0)),IFERROR(MATCH(A332,Products!$A$5:$A$204,0),"")))</f>
        <v/>
      </c>
      <c r="L332">
        <f>IF(A332="","",IF(K332="","⚠ not in Products",INDEX(Products!$A$5:$A$204,K332)))</f>
        <v/>
      </c>
      <c r="M332" s="11">
        <f>IF(A332="","",J332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332+IFERROR(INDEX(Settings!$D$5:$D$9,MATCH("Etsy",Settings!$A$5:$A$9,0)),0)*D332)</f>
        <v/>
      </c>
      <c r="N332" s="11">
        <f>IF(A332="","",IF(K332="",0,D332*INDEX(Products!$I$5:$I$204,K332)))</f>
        <v/>
      </c>
      <c r="O332" s="11">
        <f>IF(A332="","",IF(K332="",0,J332*INDEX(Products!$H$5:$H$204,K332)))</f>
        <v/>
      </c>
      <c r="P332" s="11">
        <f>IF(A332="","",J332-M332-N332-O332)</f>
        <v/>
      </c>
    </row>
    <row r="333">
      <c r="A333">
        <f>IFERROR(INDEX('Etsy Import'!$A:$CZ,333,Settings!$C$20)&amp;"","")</f>
        <v/>
      </c>
      <c r="B333">
        <f>IFERROR(INDEX('Etsy Import'!$A:$CZ,333,Settings!$C$21)&amp;"","")</f>
        <v/>
      </c>
      <c r="C333">
        <f>IFERROR(INDEX('Etsy Import'!$A:$CZ,333,Settings!$C$22)&amp;"","")</f>
        <v/>
      </c>
      <c r="D333">
        <f>IF(A333="","",IFERROR(VALUE(SUBSTITUTE(SUBSTITUTE(INDEX('Etsy Import'!$A:$CZ,333,Settings!$C$23)&amp;"","$",""),",","")),0))</f>
        <v/>
      </c>
      <c r="E333" s="11">
        <f>IF(A333="","",IFERROR(VALUE(SUBSTITUTE(SUBSTITUTE(INDEX('Etsy Import'!$A:$CZ,333,Settings!$C$24)&amp;"","$",""),",","")),0))</f>
        <v/>
      </c>
      <c r="F333" s="11">
        <f>IF(A333="","",D333*E333)</f>
        <v/>
      </c>
      <c r="G333">
        <f>IF(A333="","",IF(C333="",1,COUNTIF($C$2:$C$1501,C333)))</f>
        <v/>
      </c>
      <c r="H333" s="11">
        <f>IF(A333="","",IFERROR(VALUE(SUBSTITUTE(SUBSTITUTE(INDEX('Etsy Import'!$A:$CZ,333,Settings!$C$25)&amp;"","$",""),",","")),0)/IF(Settings!$B$27="Yes",G333,1))</f>
        <v/>
      </c>
      <c r="I333" s="11">
        <f>IF(A333="","",IFERROR(VALUE(SUBSTITUTE(SUBSTITUTE(INDEX('Etsy Import'!$A:$CZ,333,Settings!$C$26)&amp;"","$",""),",","")),0)/IF(Settings!$B$27="Yes",G333,1))</f>
        <v/>
      </c>
      <c r="J333" s="11">
        <f>IF(A333="","",F333+H333-I333)</f>
        <v/>
      </c>
      <c r="K333">
        <f>IF(A333="","",IFERROR(IF(B333="",NA(),MATCH(B333,Products!$B$5:$B$204,0)),IFERROR(MATCH(A333,Products!$A$5:$A$204,0),"")))</f>
        <v/>
      </c>
      <c r="L333">
        <f>IF(A333="","",IF(K333="","⚠ not in Products",INDEX(Products!$A$5:$A$204,K333)))</f>
        <v/>
      </c>
      <c r="M333" s="11">
        <f>IF(A333="","",J333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333+IFERROR(INDEX(Settings!$D$5:$D$9,MATCH("Etsy",Settings!$A$5:$A$9,0)),0)*D333)</f>
        <v/>
      </c>
      <c r="N333" s="11">
        <f>IF(A333="","",IF(K333="",0,D333*INDEX(Products!$I$5:$I$204,K333)))</f>
        <v/>
      </c>
      <c r="O333" s="11">
        <f>IF(A333="","",IF(K333="",0,J333*INDEX(Products!$H$5:$H$204,K333)))</f>
        <v/>
      </c>
      <c r="P333" s="11">
        <f>IF(A333="","",J333-M333-N333-O333)</f>
        <v/>
      </c>
    </row>
    <row r="334">
      <c r="A334">
        <f>IFERROR(INDEX('Etsy Import'!$A:$CZ,334,Settings!$C$20)&amp;"","")</f>
        <v/>
      </c>
      <c r="B334">
        <f>IFERROR(INDEX('Etsy Import'!$A:$CZ,334,Settings!$C$21)&amp;"","")</f>
        <v/>
      </c>
      <c r="C334">
        <f>IFERROR(INDEX('Etsy Import'!$A:$CZ,334,Settings!$C$22)&amp;"","")</f>
        <v/>
      </c>
      <c r="D334">
        <f>IF(A334="","",IFERROR(VALUE(SUBSTITUTE(SUBSTITUTE(INDEX('Etsy Import'!$A:$CZ,334,Settings!$C$23)&amp;"","$",""),",","")),0))</f>
        <v/>
      </c>
      <c r="E334" s="11">
        <f>IF(A334="","",IFERROR(VALUE(SUBSTITUTE(SUBSTITUTE(INDEX('Etsy Import'!$A:$CZ,334,Settings!$C$24)&amp;"","$",""),",","")),0))</f>
        <v/>
      </c>
      <c r="F334" s="11">
        <f>IF(A334="","",D334*E334)</f>
        <v/>
      </c>
      <c r="G334">
        <f>IF(A334="","",IF(C334="",1,COUNTIF($C$2:$C$1501,C334)))</f>
        <v/>
      </c>
      <c r="H334" s="11">
        <f>IF(A334="","",IFERROR(VALUE(SUBSTITUTE(SUBSTITUTE(INDEX('Etsy Import'!$A:$CZ,334,Settings!$C$25)&amp;"","$",""),",","")),0)/IF(Settings!$B$27="Yes",G334,1))</f>
        <v/>
      </c>
      <c r="I334" s="11">
        <f>IF(A334="","",IFERROR(VALUE(SUBSTITUTE(SUBSTITUTE(INDEX('Etsy Import'!$A:$CZ,334,Settings!$C$26)&amp;"","$",""),",","")),0)/IF(Settings!$B$27="Yes",G334,1))</f>
        <v/>
      </c>
      <c r="J334" s="11">
        <f>IF(A334="","",F334+H334-I334)</f>
        <v/>
      </c>
      <c r="K334">
        <f>IF(A334="","",IFERROR(IF(B334="",NA(),MATCH(B334,Products!$B$5:$B$204,0)),IFERROR(MATCH(A334,Products!$A$5:$A$204,0),"")))</f>
        <v/>
      </c>
      <c r="L334">
        <f>IF(A334="","",IF(K334="","⚠ not in Products",INDEX(Products!$A$5:$A$204,K334)))</f>
        <v/>
      </c>
      <c r="M334" s="11">
        <f>IF(A334="","",J334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334+IFERROR(INDEX(Settings!$D$5:$D$9,MATCH("Etsy",Settings!$A$5:$A$9,0)),0)*D334)</f>
        <v/>
      </c>
      <c r="N334" s="11">
        <f>IF(A334="","",IF(K334="",0,D334*INDEX(Products!$I$5:$I$204,K334)))</f>
        <v/>
      </c>
      <c r="O334" s="11">
        <f>IF(A334="","",IF(K334="",0,J334*INDEX(Products!$H$5:$H$204,K334)))</f>
        <v/>
      </c>
      <c r="P334" s="11">
        <f>IF(A334="","",J334-M334-N334-O334)</f>
        <v/>
      </c>
    </row>
    <row r="335">
      <c r="A335">
        <f>IFERROR(INDEX('Etsy Import'!$A:$CZ,335,Settings!$C$20)&amp;"","")</f>
        <v/>
      </c>
      <c r="B335">
        <f>IFERROR(INDEX('Etsy Import'!$A:$CZ,335,Settings!$C$21)&amp;"","")</f>
        <v/>
      </c>
      <c r="C335">
        <f>IFERROR(INDEX('Etsy Import'!$A:$CZ,335,Settings!$C$22)&amp;"","")</f>
        <v/>
      </c>
      <c r="D335">
        <f>IF(A335="","",IFERROR(VALUE(SUBSTITUTE(SUBSTITUTE(INDEX('Etsy Import'!$A:$CZ,335,Settings!$C$23)&amp;"","$",""),",","")),0))</f>
        <v/>
      </c>
      <c r="E335" s="11">
        <f>IF(A335="","",IFERROR(VALUE(SUBSTITUTE(SUBSTITUTE(INDEX('Etsy Import'!$A:$CZ,335,Settings!$C$24)&amp;"","$",""),",","")),0))</f>
        <v/>
      </c>
      <c r="F335" s="11">
        <f>IF(A335="","",D335*E335)</f>
        <v/>
      </c>
      <c r="G335">
        <f>IF(A335="","",IF(C335="",1,COUNTIF($C$2:$C$1501,C335)))</f>
        <v/>
      </c>
      <c r="H335" s="11">
        <f>IF(A335="","",IFERROR(VALUE(SUBSTITUTE(SUBSTITUTE(INDEX('Etsy Import'!$A:$CZ,335,Settings!$C$25)&amp;"","$",""),",","")),0)/IF(Settings!$B$27="Yes",G335,1))</f>
        <v/>
      </c>
      <c r="I335" s="11">
        <f>IF(A335="","",IFERROR(VALUE(SUBSTITUTE(SUBSTITUTE(INDEX('Etsy Import'!$A:$CZ,335,Settings!$C$26)&amp;"","$",""),",","")),0)/IF(Settings!$B$27="Yes",G335,1))</f>
        <v/>
      </c>
      <c r="J335" s="11">
        <f>IF(A335="","",F335+H335-I335)</f>
        <v/>
      </c>
      <c r="K335">
        <f>IF(A335="","",IFERROR(IF(B335="",NA(),MATCH(B335,Products!$B$5:$B$204,0)),IFERROR(MATCH(A335,Products!$A$5:$A$204,0),"")))</f>
        <v/>
      </c>
      <c r="L335">
        <f>IF(A335="","",IF(K335="","⚠ not in Products",INDEX(Products!$A$5:$A$204,K335)))</f>
        <v/>
      </c>
      <c r="M335" s="11">
        <f>IF(A335="","",J335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335+IFERROR(INDEX(Settings!$D$5:$D$9,MATCH("Etsy",Settings!$A$5:$A$9,0)),0)*D335)</f>
        <v/>
      </c>
      <c r="N335" s="11">
        <f>IF(A335="","",IF(K335="",0,D335*INDEX(Products!$I$5:$I$204,K335)))</f>
        <v/>
      </c>
      <c r="O335" s="11">
        <f>IF(A335="","",IF(K335="",0,J335*INDEX(Products!$H$5:$H$204,K335)))</f>
        <v/>
      </c>
      <c r="P335" s="11">
        <f>IF(A335="","",J335-M335-N335-O335)</f>
        <v/>
      </c>
    </row>
    <row r="336">
      <c r="A336">
        <f>IFERROR(INDEX('Etsy Import'!$A:$CZ,336,Settings!$C$20)&amp;"","")</f>
        <v/>
      </c>
      <c r="B336">
        <f>IFERROR(INDEX('Etsy Import'!$A:$CZ,336,Settings!$C$21)&amp;"","")</f>
        <v/>
      </c>
      <c r="C336">
        <f>IFERROR(INDEX('Etsy Import'!$A:$CZ,336,Settings!$C$22)&amp;"","")</f>
        <v/>
      </c>
      <c r="D336">
        <f>IF(A336="","",IFERROR(VALUE(SUBSTITUTE(SUBSTITUTE(INDEX('Etsy Import'!$A:$CZ,336,Settings!$C$23)&amp;"","$",""),",","")),0))</f>
        <v/>
      </c>
      <c r="E336" s="11">
        <f>IF(A336="","",IFERROR(VALUE(SUBSTITUTE(SUBSTITUTE(INDEX('Etsy Import'!$A:$CZ,336,Settings!$C$24)&amp;"","$",""),",","")),0))</f>
        <v/>
      </c>
      <c r="F336" s="11">
        <f>IF(A336="","",D336*E336)</f>
        <v/>
      </c>
      <c r="G336">
        <f>IF(A336="","",IF(C336="",1,COUNTIF($C$2:$C$1501,C336)))</f>
        <v/>
      </c>
      <c r="H336" s="11">
        <f>IF(A336="","",IFERROR(VALUE(SUBSTITUTE(SUBSTITUTE(INDEX('Etsy Import'!$A:$CZ,336,Settings!$C$25)&amp;"","$",""),",","")),0)/IF(Settings!$B$27="Yes",G336,1))</f>
        <v/>
      </c>
      <c r="I336" s="11">
        <f>IF(A336="","",IFERROR(VALUE(SUBSTITUTE(SUBSTITUTE(INDEX('Etsy Import'!$A:$CZ,336,Settings!$C$26)&amp;"","$",""),",","")),0)/IF(Settings!$B$27="Yes",G336,1))</f>
        <v/>
      </c>
      <c r="J336" s="11">
        <f>IF(A336="","",F336+H336-I336)</f>
        <v/>
      </c>
      <c r="K336">
        <f>IF(A336="","",IFERROR(IF(B336="",NA(),MATCH(B336,Products!$B$5:$B$204,0)),IFERROR(MATCH(A336,Products!$A$5:$A$204,0),"")))</f>
        <v/>
      </c>
      <c r="L336">
        <f>IF(A336="","",IF(K336="","⚠ not in Products",INDEX(Products!$A$5:$A$204,K336)))</f>
        <v/>
      </c>
      <c r="M336" s="11">
        <f>IF(A336="","",J336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336+IFERROR(INDEX(Settings!$D$5:$D$9,MATCH("Etsy",Settings!$A$5:$A$9,0)),0)*D336)</f>
        <v/>
      </c>
      <c r="N336" s="11">
        <f>IF(A336="","",IF(K336="",0,D336*INDEX(Products!$I$5:$I$204,K336)))</f>
        <v/>
      </c>
      <c r="O336" s="11">
        <f>IF(A336="","",IF(K336="",0,J336*INDEX(Products!$H$5:$H$204,K336)))</f>
        <v/>
      </c>
      <c r="P336" s="11">
        <f>IF(A336="","",J336-M336-N336-O336)</f>
        <v/>
      </c>
    </row>
    <row r="337">
      <c r="A337">
        <f>IFERROR(INDEX('Etsy Import'!$A:$CZ,337,Settings!$C$20)&amp;"","")</f>
        <v/>
      </c>
      <c r="B337">
        <f>IFERROR(INDEX('Etsy Import'!$A:$CZ,337,Settings!$C$21)&amp;"","")</f>
        <v/>
      </c>
      <c r="C337">
        <f>IFERROR(INDEX('Etsy Import'!$A:$CZ,337,Settings!$C$22)&amp;"","")</f>
        <v/>
      </c>
      <c r="D337">
        <f>IF(A337="","",IFERROR(VALUE(SUBSTITUTE(SUBSTITUTE(INDEX('Etsy Import'!$A:$CZ,337,Settings!$C$23)&amp;"","$",""),",","")),0))</f>
        <v/>
      </c>
      <c r="E337" s="11">
        <f>IF(A337="","",IFERROR(VALUE(SUBSTITUTE(SUBSTITUTE(INDEX('Etsy Import'!$A:$CZ,337,Settings!$C$24)&amp;"","$",""),",","")),0))</f>
        <v/>
      </c>
      <c r="F337" s="11">
        <f>IF(A337="","",D337*E337)</f>
        <v/>
      </c>
      <c r="G337">
        <f>IF(A337="","",IF(C337="",1,COUNTIF($C$2:$C$1501,C337)))</f>
        <v/>
      </c>
      <c r="H337" s="11">
        <f>IF(A337="","",IFERROR(VALUE(SUBSTITUTE(SUBSTITUTE(INDEX('Etsy Import'!$A:$CZ,337,Settings!$C$25)&amp;"","$",""),",","")),0)/IF(Settings!$B$27="Yes",G337,1))</f>
        <v/>
      </c>
      <c r="I337" s="11">
        <f>IF(A337="","",IFERROR(VALUE(SUBSTITUTE(SUBSTITUTE(INDEX('Etsy Import'!$A:$CZ,337,Settings!$C$26)&amp;"","$",""),",","")),0)/IF(Settings!$B$27="Yes",G337,1))</f>
        <v/>
      </c>
      <c r="J337" s="11">
        <f>IF(A337="","",F337+H337-I337)</f>
        <v/>
      </c>
      <c r="K337">
        <f>IF(A337="","",IFERROR(IF(B337="",NA(),MATCH(B337,Products!$B$5:$B$204,0)),IFERROR(MATCH(A337,Products!$A$5:$A$204,0),"")))</f>
        <v/>
      </c>
      <c r="L337">
        <f>IF(A337="","",IF(K337="","⚠ not in Products",INDEX(Products!$A$5:$A$204,K337)))</f>
        <v/>
      </c>
      <c r="M337" s="11">
        <f>IF(A337="","",J337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337+IFERROR(INDEX(Settings!$D$5:$D$9,MATCH("Etsy",Settings!$A$5:$A$9,0)),0)*D337)</f>
        <v/>
      </c>
      <c r="N337" s="11">
        <f>IF(A337="","",IF(K337="",0,D337*INDEX(Products!$I$5:$I$204,K337)))</f>
        <v/>
      </c>
      <c r="O337" s="11">
        <f>IF(A337="","",IF(K337="",0,J337*INDEX(Products!$H$5:$H$204,K337)))</f>
        <v/>
      </c>
      <c r="P337" s="11">
        <f>IF(A337="","",J337-M337-N337-O337)</f>
        <v/>
      </c>
    </row>
    <row r="338">
      <c r="A338">
        <f>IFERROR(INDEX('Etsy Import'!$A:$CZ,338,Settings!$C$20)&amp;"","")</f>
        <v/>
      </c>
      <c r="B338">
        <f>IFERROR(INDEX('Etsy Import'!$A:$CZ,338,Settings!$C$21)&amp;"","")</f>
        <v/>
      </c>
      <c r="C338">
        <f>IFERROR(INDEX('Etsy Import'!$A:$CZ,338,Settings!$C$22)&amp;"","")</f>
        <v/>
      </c>
      <c r="D338">
        <f>IF(A338="","",IFERROR(VALUE(SUBSTITUTE(SUBSTITUTE(INDEX('Etsy Import'!$A:$CZ,338,Settings!$C$23)&amp;"","$",""),",","")),0))</f>
        <v/>
      </c>
      <c r="E338" s="11">
        <f>IF(A338="","",IFERROR(VALUE(SUBSTITUTE(SUBSTITUTE(INDEX('Etsy Import'!$A:$CZ,338,Settings!$C$24)&amp;"","$",""),",","")),0))</f>
        <v/>
      </c>
      <c r="F338" s="11">
        <f>IF(A338="","",D338*E338)</f>
        <v/>
      </c>
      <c r="G338">
        <f>IF(A338="","",IF(C338="",1,COUNTIF($C$2:$C$1501,C338)))</f>
        <v/>
      </c>
      <c r="H338" s="11">
        <f>IF(A338="","",IFERROR(VALUE(SUBSTITUTE(SUBSTITUTE(INDEX('Etsy Import'!$A:$CZ,338,Settings!$C$25)&amp;"","$",""),",","")),0)/IF(Settings!$B$27="Yes",G338,1))</f>
        <v/>
      </c>
      <c r="I338" s="11">
        <f>IF(A338="","",IFERROR(VALUE(SUBSTITUTE(SUBSTITUTE(INDEX('Etsy Import'!$A:$CZ,338,Settings!$C$26)&amp;"","$",""),",","")),0)/IF(Settings!$B$27="Yes",G338,1))</f>
        <v/>
      </c>
      <c r="J338" s="11">
        <f>IF(A338="","",F338+H338-I338)</f>
        <v/>
      </c>
      <c r="K338">
        <f>IF(A338="","",IFERROR(IF(B338="",NA(),MATCH(B338,Products!$B$5:$B$204,0)),IFERROR(MATCH(A338,Products!$A$5:$A$204,0),"")))</f>
        <v/>
      </c>
      <c r="L338">
        <f>IF(A338="","",IF(K338="","⚠ not in Products",INDEX(Products!$A$5:$A$204,K338)))</f>
        <v/>
      </c>
      <c r="M338" s="11">
        <f>IF(A338="","",J338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338+IFERROR(INDEX(Settings!$D$5:$D$9,MATCH("Etsy",Settings!$A$5:$A$9,0)),0)*D338)</f>
        <v/>
      </c>
      <c r="N338" s="11">
        <f>IF(A338="","",IF(K338="",0,D338*INDEX(Products!$I$5:$I$204,K338)))</f>
        <v/>
      </c>
      <c r="O338" s="11">
        <f>IF(A338="","",IF(K338="",0,J338*INDEX(Products!$H$5:$H$204,K338)))</f>
        <v/>
      </c>
      <c r="P338" s="11">
        <f>IF(A338="","",J338-M338-N338-O338)</f>
        <v/>
      </c>
    </row>
    <row r="339">
      <c r="A339">
        <f>IFERROR(INDEX('Etsy Import'!$A:$CZ,339,Settings!$C$20)&amp;"","")</f>
        <v/>
      </c>
      <c r="B339">
        <f>IFERROR(INDEX('Etsy Import'!$A:$CZ,339,Settings!$C$21)&amp;"","")</f>
        <v/>
      </c>
      <c r="C339">
        <f>IFERROR(INDEX('Etsy Import'!$A:$CZ,339,Settings!$C$22)&amp;"","")</f>
        <v/>
      </c>
      <c r="D339">
        <f>IF(A339="","",IFERROR(VALUE(SUBSTITUTE(SUBSTITUTE(INDEX('Etsy Import'!$A:$CZ,339,Settings!$C$23)&amp;"","$",""),",","")),0))</f>
        <v/>
      </c>
      <c r="E339" s="11">
        <f>IF(A339="","",IFERROR(VALUE(SUBSTITUTE(SUBSTITUTE(INDEX('Etsy Import'!$A:$CZ,339,Settings!$C$24)&amp;"","$",""),",","")),0))</f>
        <v/>
      </c>
      <c r="F339" s="11">
        <f>IF(A339="","",D339*E339)</f>
        <v/>
      </c>
      <c r="G339">
        <f>IF(A339="","",IF(C339="",1,COUNTIF($C$2:$C$1501,C339)))</f>
        <v/>
      </c>
      <c r="H339" s="11">
        <f>IF(A339="","",IFERROR(VALUE(SUBSTITUTE(SUBSTITUTE(INDEX('Etsy Import'!$A:$CZ,339,Settings!$C$25)&amp;"","$",""),",","")),0)/IF(Settings!$B$27="Yes",G339,1))</f>
        <v/>
      </c>
      <c r="I339" s="11">
        <f>IF(A339="","",IFERROR(VALUE(SUBSTITUTE(SUBSTITUTE(INDEX('Etsy Import'!$A:$CZ,339,Settings!$C$26)&amp;"","$",""),",","")),0)/IF(Settings!$B$27="Yes",G339,1))</f>
        <v/>
      </c>
      <c r="J339" s="11">
        <f>IF(A339="","",F339+H339-I339)</f>
        <v/>
      </c>
      <c r="K339">
        <f>IF(A339="","",IFERROR(IF(B339="",NA(),MATCH(B339,Products!$B$5:$B$204,0)),IFERROR(MATCH(A339,Products!$A$5:$A$204,0),"")))</f>
        <v/>
      </c>
      <c r="L339">
        <f>IF(A339="","",IF(K339="","⚠ not in Products",INDEX(Products!$A$5:$A$204,K339)))</f>
        <v/>
      </c>
      <c r="M339" s="11">
        <f>IF(A339="","",J339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339+IFERROR(INDEX(Settings!$D$5:$D$9,MATCH("Etsy",Settings!$A$5:$A$9,0)),0)*D339)</f>
        <v/>
      </c>
      <c r="N339" s="11">
        <f>IF(A339="","",IF(K339="",0,D339*INDEX(Products!$I$5:$I$204,K339)))</f>
        <v/>
      </c>
      <c r="O339" s="11">
        <f>IF(A339="","",IF(K339="",0,J339*INDEX(Products!$H$5:$H$204,K339)))</f>
        <v/>
      </c>
      <c r="P339" s="11">
        <f>IF(A339="","",J339-M339-N339-O339)</f>
        <v/>
      </c>
    </row>
    <row r="340">
      <c r="A340">
        <f>IFERROR(INDEX('Etsy Import'!$A:$CZ,340,Settings!$C$20)&amp;"","")</f>
        <v/>
      </c>
      <c r="B340">
        <f>IFERROR(INDEX('Etsy Import'!$A:$CZ,340,Settings!$C$21)&amp;"","")</f>
        <v/>
      </c>
      <c r="C340">
        <f>IFERROR(INDEX('Etsy Import'!$A:$CZ,340,Settings!$C$22)&amp;"","")</f>
        <v/>
      </c>
      <c r="D340">
        <f>IF(A340="","",IFERROR(VALUE(SUBSTITUTE(SUBSTITUTE(INDEX('Etsy Import'!$A:$CZ,340,Settings!$C$23)&amp;"","$",""),",","")),0))</f>
        <v/>
      </c>
      <c r="E340" s="11">
        <f>IF(A340="","",IFERROR(VALUE(SUBSTITUTE(SUBSTITUTE(INDEX('Etsy Import'!$A:$CZ,340,Settings!$C$24)&amp;"","$",""),",","")),0))</f>
        <v/>
      </c>
      <c r="F340" s="11">
        <f>IF(A340="","",D340*E340)</f>
        <v/>
      </c>
      <c r="G340">
        <f>IF(A340="","",IF(C340="",1,COUNTIF($C$2:$C$1501,C340)))</f>
        <v/>
      </c>
      <c r="H340" s="11">
        <f>IF(A340="","",IFERROR(VALUE(SUBSTITUTE(SUBSTITUTE(INDEX('Etsy Import'!$A:$CZ,340,Settings!$C$25)&amp;"","$",""),",","")),0)/IF(Settings!$B$27="Yes",G340,1))</f>
        <v/>
      </c>
      <c r="I340" s="11">
        <f>IF(A340="","",IFERROR(VALUE(SUBSTITUTE(SUBSTITUTE(INDEX('Etsy Import'!$A:$CZ,340,Settings!$C$26)&amp;"","$",""),",","")),0)/IF(Settings!$B$27="Yes",G340,1))</f>
        <v/>
      </c>
      <c r="J340" s="11">
        <f>IF(A340="","",F340+H340-I340)</f>
        <v/>
      </c>
      <c r="K340">
        <f>IF(A340="","",IFERROR(IF(B340="",NA(),MATCH(B340,Products!$B$5:$B$204,0)),IFERROR(MATCH(A340,Products!$A$5:$A$204,0),"")))</f>
        <v/>
      </c>
      <c r="L340">
        <f>IF(A340="","",IF(K340="","⚠ not in Products",INDEX(Products!$A$5:$A$204,K340)))</f>
        <v/>
      </c>
      <c r="M340" s="11">
        <f>IF(A340="","",J340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340+IFERROR(INDEX(Settings!$D$5:$D$9,MATCH("Etsy",Settings!$A$5:$A$9,0)),0)*D340)</f>
        <v/>
      </c>
      <c r="N340" s="11">
        <f>IF(A340="","",IF(K340="",0,D340*INDEX(Products!$I$5:$I$204,K340)))</f>
        <v/>
      </c>
      <c r="O340" s="11">
        <f>IF(A340="","",IF(K340="",0,J340*INDEX(Products!$H$5:$H$204,K340)))</f>
        <v/>
      </c>
      <c r="P340" s="11">
        <f>IF(A340="","",J340-M340-N340-O340)</f>
        <v/>
      </c>
    </row>
    <row r="341">
      <c r="A341">
        <f>IFERROR(INDEX('Etsy Import'!$A:$CZ,341,Settings!$C$20)&amp;"","")</f>
        <v/>
      </c>
      <c r="B341">
        <f>IFERROR(INDEX('Etsy Import'!$A:$CZ,341,Settings!$C$21)&amp;"","")</f>
        <v/>
      </c>
      <c r="C341">
        <f>IFERROR(INDEX('Etsy Import'!$A:$CZ,341,Settings!$C$22)&amp;"","")</f>
        <v/>
      </c>
      <c r="D341">
        <f>IF(A341="","",IFERROR(VALUE(SUBSTITUTE(SUBSTITUTE(INDEX('Etsy Import'!$A:$CZ,341,Settings!$C$23)&amp;"","$",""),",","")),0))</f>
        <v/>
      </c>
      <c r="E341" s="11">
        <f>IF(A341="","",IFERROR(VALUE(SUBSTITUTE(SUBSTITUTE(INDEX('Etsy Import'!$A:$CZ,341,Settings!$C$24)&amp;"","$",""),",","")),0))</f>
        <v/>
      </c>
      <c r="F341" s="11">
        <f>IF(A341="","",D341*E341)</f>
        <v/>
      </c>
      <c r="G341">
        <f>IF(A341="","",IF(C341="",1,COUNTIF($C$2:$C$1501,C341)))</f>
        <v/>
      </c>
      <c r="H341" s="11">
        <f>IF(A341="","",IFERROR(VALUE(SUBSTITUTE(SUBSTITUTE(INDEX('Etsy Import'!$A:$CZ,341,Settings!$C$25)&amp;"","$",""),",","")),0)/IF(Settings!$B$27="Yes",G341,1))</f>
        <v/>
      </c>
      <c r="I341" s="11">
        <f>IF(A341="","",IFERROR(VALUE(SUBSTITUTE(SUBSTITUTE(INDEX('Etsy Import'!$A:$CZ,341,Settings!$C$26)&amp;"","$",""),",","")),0)/IF(Settings!$B$27="Yes",G341,1))</f>
        <v/>
      </c>
      <c r="J341" s="11">
        <f>IF(A341="","",F341+H341-I341)</f>
        <v/>
      </c>
      <c r="K341">
        <f>IF(A341="","",IFERROR(IF(B341="",NA(),MATCH(B341,Products!$B$5:$B$204,0)),IFERROR(MATCH(A341,Products!$A$5:$A$204,0),"")))</f>
        <v/>
      </c>
      <c r="L341">
        <f>IF(A341="","",IF(K341="","⚠ not in Products",INDEX(Products!$A$5:$A$204,K341)))</f>
        <v/>
      </c>
      <c r="M341" s="11">
        <f>IF(A341="","",J341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341+IFERROR(INDEX(Settings!$D$5:$D$9,MATCH("Etsy",Settings!$A$5:$A$9,0)),0)*D341)</f>
        <v/>
      </c>
      <c r="N341" s="11">
        <f>IF(A341="","",IF(K341="",0,D341*INDEX(Products!$I$5:$I$204,K341)))</f>
        <v/>
      </c>
      <c r="O341" s="11">
        <f>IF(A341="","",IF(K341="",0,J341*INDEX(Products!$H$5:$H$204,K341)))</f>
        <v/>
      </c>
      <c r="P341" s="11">
        <f>IF(A341="","",J341-M341-N341-O341)</f>
        <v/>
      </c>
    </row>
    <row r="342">
      <c r="A342">
        <f>IFERROR(INDEX('Etsy Import'!$A:$CZ,342,Settings!$C$20)&amp;"","")</f>
        <v/>
      </c>
      <c r="B342">
        <f>IFERROR(INDEX('Etsy Import'!$A:$CZ,342,Settings!$C$21)&amp;"","")</f>
        <v/>
      </c>
      <c r="C342">
        <f>IFERROR(INDEX('Etsy Import'!$A:$CZ,342,Settings!$C$22)&amp;"","")</f>
        <v/>
      </c>
      <c r="D342">
        <f>IF(A342="","",IFERROR(VALUE(SUBSTITUTE(SUBSTITUTE(INDEX('Etsy Import'!$A:$CZ,342,Settings!$C$23)&amp;"","$",""),",","")),0))</f>
        <v/>
      </c>
      <c r="E342" s="11">
        <f>IF(A342="","",IFERROR(VALUE(SUBSTITUTE(SUBSTITUTE(INDEX('Etsy Import'!$A:$CZ,342,Settings!$C$24)&amp;"","$",""),",","")),0))</f>
        <v/>
      </c>
      <c r="F342" s="11">
        <f>IF(A342="","",D342*E342)</f>
        <v/>
      </c>
      <c r="G342">
        <f>IF(A342="","",IF(C342="",1,COUNTIF($C$2:$C$1501,C342)))</f>
        <v/>
      </c>
      <c r="H342" s="11">
        <f>IF(A342="","",IFERROR(VALUE(SUBSTITUTE(SUBSTITUTE(INDEX('Etsy Import'!$A:$CZ,342,Settings!$C$25)&amp;"","$",""),",","")),0)/IF(Settings!$B$27="Yes",G342,1))</f>
        <v/>
      </c>
      <c r="I342" s="11">
        <f>IF(A342="","",IFERROR(VALUE(SUBSTITUTE(SUBSTITUTE(INDEX('Etsy Import'!$A:$CZ,342,Settings!$C$26)&amp;"","$",""),",","")),0)/IF(Settings!$B$27="Yes",G342,1))</f>
        <v/>
      </c>
      <c r="J342" s="11">
        <f>IF(A342="","",F342+H342-I342)</f>
        <v/>
      </c>
      <c r="K342">
        <f>IF(A342="","",IFERROR(IF(B342="",NA(),MATCH(B342,Products!$B$5:$B$204,0)),IFERROR(MATCH(A342,Products!$A$5:$A$204,0),"")))</f>
        <v/>
      </c>
      <c r="L342">
        <f>IF(A342="","",IF(K342="","⚠ not in Products",INDEX(Products!$A$5:$A$204,K342)))</f>
        <v/>
      </c>
      <c r="M342" s="11">
        <f>IF(A342="","",J342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342+IFERROR(INDEX(Settings!$D$5:$D$9,MATCH("Etsy",Settings!$A$5:$A$9,0)),0)*D342)</f>
        <v/>
      </c>
      <c r="N342" s="11">
        <f>IF(A342="","",IF(K342="",0,D342*INDEX(Products!$I$5:$I$204,K342)))</f>
        <v/>
      </c>
      <c r="O342" s="11">
        <f>IF(A342="","",IF(K342="",0,J342*INDEX(Products!$H$5:$H$204,K342)))</f>
        <v/>
      </c>
      <c r="P342" s="11">
        <f>IF(A342="","",J342-M342-N342-O342)</f>
        <v/>
      </c>
    </row>
    <row r="343">
      <c r="A343">
        <f>IFERROR(INDEX('Etsy Import'!$A:$CZ,343,Settings!$C$20)&amp;"","")</f>
        <v/>
      </c>
      <c r="B343">
        <f>IFERROR(INDEX('Etsy Import'!$A:$CZ,343,Settings!$C$21)&amp;"","")</f>
        <v/>
      </c>
      <c r="C343">
        <f>IFERROR(INDEX('Etsy Import'!$A:$CZ,343,Settings!$C$22)&amp;"","")</f>
        <v/>
      </c>
      <c r="D343">
        <f>IF(A343="","",IFERROR(VALUE(SUBSTITUTE(SUBSTITUTE(INDEX('Etsy Import'!$A:$CZ,343,Settings!$C$23)&amp;"","$",""),",","")),0))</f>
        <v/>
      </c>
      <c r="E343" s="11">
        <f>IF(A343="","",IFERROR(VALUE(SUBSTITUTE(SUBSTITUTE(INDEX('Etsy Import'!$A:$CZ,343,Settings!$C$24)&amp;"","$",""),",","")),0))</f>
        <v/>
      </c>
      <c r="F343" s="11">
        <f>IF(A343="","",D343*E343)</f>
        <v/>
      </c>
      <c r="G343">
        <f>IF(A343="","",IF(C343="",1,COUNTIF($C$2:$C$1501,C343)))</f>
        <v/>
      </c>
      <c r="H343" s="11">
        <f>IF(A343="","",IFERROR(VALUE(SUBSTITUTE(SUBSTITUTE(INDEX('Etsy Import'!$A:$CZ,343,Settings!$C$25)&amp;"","$",""),",","")),0)/IF(Settings!$B$27="Yes",G343,1))</f>
        <v/>
      </c>
      <c r="I343" s="11">
        <f>IF(A343="","",IFERROR(VALUE(SUBSTITUTE(SUBSTITUTE(INDEX('Etsy Import'!$A:$CZ,343,Settings!$C$26)&amp;"","$",""),",","")),0)/IF(Settings!$B$27="Yes",G343,1))</f>
        <v/>
      </c>
      <c r="J343" s="11">
        <f>IF(A343="","",F343+H343-I343)</f>
        <v/>
      </c>
      <c r="K343">
        <f>IF(A343="","",IFERROR(IF(B343="",NA(),MATCH(B343,Products!$B$5:$B$204,0)),IFERROR(MATCH(A343,Products!$A$5:$A$204,0),"")))</f>
        <v/>
      </c>
      <c r="L343">
        <f>IF(A343="","",IF(K343="","⚠ not in Products",INDEX(Products!$A$5:$A$204,K343)))</f>
        <v/>
      </c>
      <c r="M343" s="11">
        <f>IF(A343="","",J343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343+IFERROR(INDEX(Settings!$D$5:$D$9,MATCH("Etsy",Settings!$A$5:$A$9,0)),0)*D343)</f>
        <v/>
      </c>
      <c r="N343" s="11">
        <f>IF(A343="","",IF(K343="",0,D343*INDEX(Products!$I$5:$I$204,K343)))</f>
        <v/>
      </c>
      <c r="O343" s="11">
        <f>IF(A343="","",IF(K343="",0,J343*INDEX(Products!$H$5:$H$204,K343)))</f>
        <v/>
      </c>
      <c r="P343" s="11">
        <f>IF(A343="","",J343-M343-N343-O343)</f>
        <v/>
      </c>
    </row>
    <row r="344">
      <c r="A344">
        <f>IFERROR(INDEX('Etsy Import'!$A:$CZ,344,Settings!$C$20)&amp;"","")</f>
        <v/>
      </c>
      <c r="B344">
        <f>IFERROR(INDEX('Etsy Import'!$A:$CZ,344,Settings!$C$21)&amp;"","")</f>
        <v/>
      </c>
      <c r="C344">
        <f>IFERROR(INDEX('Etsy Import'!$A:$CZ,344,Settings!$C$22)&amp;"","")</f>
        <v/>
      </c>
      <c r="D344">
        <f>IF(A344="","",IFERROR(VALUE(SUBSTITUTE(SUBSTITUTE(INDEX('Etsy Import'!$A:$CZ,344,Settings!$C$23)&amp;"","$",""),",","")),0))</f>
        <v/>
      </c>
      <c r="E344" s="11">
        <f>IF(A344="","",IFERROR(VALUE(SUBSTITUTE(SUBSTITUTE(INDEX('Etsy Import'!$A:$CZ,344,Settings!$C$24)&amp;"","$",""),",","")),0))</f>
        <v/>
      </c>
      <c r="F344" s="11">
        <f>IF(A344="","",D344*E344)</f>
        <v/>
      </c>
      <c r="G344">
        <f>IF(A344="","",IF(C344="",1,COUNTIF($C$2:$C$1501,C344)))</f>
        <v/>
      </c>
      <c r="H344" s="11">
        <f>IF(A344="","",IFERROR(VALUE(SUBSTITUTE(SUBSTITUTE(INDEX('Etsy Import'!$A:$CZ,344,Settings!$C$25)&amp;"","$",""),",","")),0)/IF(Settings!$B$27="Yes",G344,1))</f>
        <v/>
      </c>
      <c r="I344" s="11">
        <f>IF(A344="","",IFERROR(VALUE(SUBSTITUTE(SUBSTITUTE(INDEX('Etsy Import'!$A:$CZ,344,Settings!$C$26)&amp;"","$",""),",","")),0)/IF(Settings!$B$27="Yes",G344,1))</f>
        <v/>
      </c>
      <c r="J344" s="11">
        <f>IF(A344="","",F344+H344-I344)</f>
        <v/>
      </c>
      <c r="K344">
        <f>IF(A344="","",IFERROR(IF(B344="",NA(),MATCH(B344,Products!$B$5:$B$204,0)),IFERROR(MATCH(A344,Products!$A$5:$A$204,0),"")))</f>
        <v/>
      </c>
      <c r="L344">
        <f>IF(A344="","",IF(K344="","⚠ not in Products",INDEX(Products!$A$5:$A$204,K344)))</f>
        <v/>
      </c>
      <c r="M344" s="11">
        <f>IF(A344="","",J344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344+IFERROR(INDEX(Settings!$D$5:$D$9,MATCH("Etsy",Settings!$A$5:$A$9,0)),0)*D344)</f>
        <v/>
      </c>
      <c r="N344" s="11">
        <f>IF(A344="","",IF(K344="",0,D344*INDEX(Products!$I$5:$I$204,K344)))</f>
        <v/>
      </c>
      <c r="O344" s="11">
        <f>IF(A344="","",IF(K344="",0,J344*INDEX(Products!$H$5:$H$204,K344)))</f>
        <v/>
      </c>
      <c r="P344" s="11">
        <f>IF(A344="","",J344-M344-N344-O344)</f>
        <v/>
      </c>
    </row>
    <row r="345">
      <c r="A345">
        <f>IFERROR(INDEX('Etsy Import'!$A:$CZ,345,Settings!$C$20)&amp;"","")</f>
        <v/>
      </c>
      <c r="B345">
        <f>IFERROR(INDEX('Etsy Import'!$A:$CZ,345,Settings!$C$21)&amp;"","")</f>
        <v/>
      </c>
      <c r="C345">
        <f>IFERROR(INDEX('Etsy Import'!$A:$CZ,345,Settings!$C$22)&amp;"","")</f>
        <v/>
      </c>
      <c r="D345">
        <f>IF(A345="","",IFERROR(VALUE(SUBSTITUTE(SUBSTITUTE(INDEX('Etsy Import'!$A:$CZ,345,Settings!$C$23)&amp;"","$",""),",","")),0))</f>
        <v/>
      </c>
      <c r="E345" s="11">
        <f>IF(A345="","",IFERROR(VALUE(SUBSTITUTE(SUBSTITUTE(INDEX('Etsy Import'!$A:$CZ,345,Settings!$C$24)&amp;"","$",""),",","")),0))</f>
        <v/>
      </c>
      <c r="F345" s="11">
        <f>IF(A345="","",D345*E345)</f>
        <v/>
      </c>
      <c r="G345">
        <f>IF(A345="","",IF(C345="",1,COUNTIF($C$2:$C$1501,C345)))</f>
        <v/>
      </c>
      <c r="H345" s="11">
        <f>IF(A345="","",IFERROR(VALUE(SUBSTITUTE(SUBSTITUTE(INDEX('Etsy Import'!$A:$CZ,345,Settings!$C$25)&amp;"","$",""),",","")),0)/IF(Settings!$B$27="Yes",G345,1))</f>
        <v/>
      </c>
      <c r="I345" s="11">
        <f>IF(A345="","",IFERROR(VALUE(SUBSTITUTE(SUBSTITUTE(INDEX('Etsy Import'!$A:$CZ,345,Settings!$C$26)&amp;"","$",""),",","")),0)/IF(Settings!$B$27="Yes",G345,1))</f>
        <v/>
      </c>
      <c r="J345" s="11">
        <f>IF(A345="","",F345+H345-I345)</f>
        <v/>
      </c>
      <c r="K345">
        <f>IF(A345="","",IFERROR(IF(B345="",NA(),MATCH(B345,Products!$B$5:$B$204,0)),IFERROR(MATCH(A345,Products!$A$5:$A$204,0),"")))</f>
        <v/>
      </c>
      <c r="L345">
        <f>IF(A345="","",IF(K345="","⚠ not in Products",INDEX(Products!$A$5:$A$204,K345)))</f>
        <v/>
      </c>
      <c r="M345" s="11">
        <f>IF(A345="","",J345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345+IFERROR(INDEX(Settings!$D$5:$D$9,MATCH("Etsy",Settings!$A$5:$A$9,0)),0)*D345)</f>
        <v/>
      </c>
      <c r="N345" s="11">
        <f>IF(A345="","",IF(K345="",0,D345*INDEX(Products!$I$5:$I$204,K345)))</f>
        <v/>
      </c>
      <c r="O345" s="11">
        <f>IF(A345="","",IF(K345="",0,J345*INDEX(Products!$H$5:$H$204,K345)))</f>
        <v/>
      </c>
      <c r="P345" s="11">
        <f>IF(A345="","",J345-M345-N345-O345)</f>
        <v/>
      </c>
    </row>
    <row r="346">
      <c r="A346">
        <f>IFERROR(INDEX('Etsy Import'!$A:$CZ,346,Settings!$C$20)&amp;"","")</f>
        <v/>
      </c>
      <c r="B346">
        <f>IFERROR(INDEX('Etsy Import'!$A:$CZ,346,Settings!$C$21)&amp;"","")</f>
        <v/>
      </c>
      <c r="C346">
        <f>IFERROR(INDEX('Etsy Import'!$A:$CZ,346,Settings!$C$22)&amp;"","")</f>
        <v/>
      </c>
      <c r="D346">
        <f>IF(A346="","",IFERROR(VALUE(SUBSTITUTE(SUBSTITUTE(INDEX('Etsy Import'!$A:$CZ,346,Settings!$C$23)&amp;"","$",""),",","")),0))</f>
        <v/>
      </c>
      <c r="E346" s="11">
        <f>IF(A346="","",IFERROR(VALUE(SUBSTITUTE(SUBSTITUTE(INDEX('Etsy Import'!$A:$CZ,346,Settings!$C$24)&amp;"","$",""),",","")),0))</f>
        <v/>
      </c>
      <c r="F346" s="11">
        <f>IF(A346="","",D346*E346)</f>
        <v/>
      </c>
      <c r="G346">
        <f>IF(A346="","",IF(C346="",1,COUNTIF($C$2:$C$1501,C346)))</f>
        <v/>
      </c>
      <c r="H346" s="11">
        <f>IF(A346="","",IFERROR(VALUE(SUBSTITUTE(SUBSTITUTE(INDEX('Etsy Import'!$A:$CZ,346,Settings!$C$25)&amp;"","$",""),",","")),0)/IF(Settings!$B$27="Yes",G346,1))</f>
        <v/>
      </c>
      <c r="I346" s="11">
        <f>IF(A346="","",IFERROR(VALUE(SUBSTITUTE(SUBSTITUTE(INDEX('Etsy Import'!$A:$CZ,346,Settings!$C$26)&amp;"","$",""),",","")),0)/IF(Settings!$B$27="Yes",G346,1))</f>
        <v/>
      </c>
      <c r="J346" s="11">
        <f>IF(A346="","",F346+H346-I346)</f>
        <v/>
      </c>
      <c r="K346">
        <f>IF(A346="","",IFERROR(IF(B346="",NA(),MATCH(B346,Products!$B$5:$B$204,0)),IFERROR(MATCH(A346,Products!$A$5:$A$204,0),"")))</f>
        <v/>
      </c>
      <c r="L346">
        <f>IF(A346="","",IF(K346="","⚠ not in Products",INDEX(Products!$A$5:$A$204,K346)))</f>
        <v/>
      </c>
      <c r="M346" s="11">
        <f>IF(A346="","",J346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346+IFERROR(INDEX(Settings!$D$5:$D$9,MATCH("Etsy",Settings!$A$5:$A$9,0)),0)*D346)</f>
        <v/>
      </c>
      <c r="N346" s="11">
        <f>IF(A346="","",IF(K346="",0,D346*INDEX(Products!$I$5:$I$204,K346)))</f>
        <v/>
      </c>
      <c r="O346" s="11">
        <f>IF(A346="","",IF(K346="",0,J346*INDEX(Products!$H$5:$H$204,K346)))</f>
        <v/>
      </c>
      <c r="P346" s="11">
        <f>IF(A346="","",J346-M346-N346-O346)</f>
        <v/>
      </c>
    </row>
    <row r="347">
      <c r="A347">
        <f>IFERROR(INDEX('Etsy Import'!$A:$CZ,347,Settings!$C$20)&amp;"","")</f>
        <v/>
      </c>
      <c r="B347">
        <f>IFERROR(INDEX('Etsy Import'!$A:$CZ,347,Settings!$C$21)&amp;"","")</f>
        <v/>
      </c>
      <c r="C347">
        <f>IFERROR(INDEX('Etsy Import'!$A:$CZ,347,Settings!$C$22)&amp;"","")</f>
        <v/>
      </c>
      <c r="D347">
        <f>IF(A347="","",IFERROR(VALUE(SUBSTITUTE(SUBSTITUTE(INDEX('Etsy Import'!$A:$CZ,347,Settings!$C$23)&amp;"","$",""),",","")),0))</f>
        <v/>
      </c>
      <c r="E347" s="11">
        <f>IF(A347="","",IFERROR(VALUE(SUBSTITUTE(SUBSTITUTE(INDEX('Etsy Import'!$A:$CZ,347,Settings!$C$24)&amp;"","$",""),",","")),0))</f>
        <v/>
      </c>
      <c r="F347" s="11">
        <f>IF(A347="","",D347*E347)</f>
        <v/>
      </c>
      <c r="G347">
        <f>IF(A347="","",IF(C347="",1,COUNTIF($C$2:$C$1501,C347)))</f>
        <v/>
      </c>
      <c r="H347" s="11">
        <f>IF(A347="","",IFERROR(VALUE(SUBSTITUTE(SUBSTITUTE(INDEX('Etsy Import'!$A:$CZ,347,Settings!$C$25)&amp;"","$",""),",","")),0)/IF(Settings!$B$27="Yes",G347,1))</f>
        <v/>
      </c>
      <c r="I347" s="11">
        <f>IF(A347="","",IFERROR(VALUE(SUBSTITUTE(SUBSTITUTE(INDEX('Etsy Import'!$A:$CZ,347,Settings!$C$26)&amp;"","$",""),",","")),0)/IF(Settings!$B$27="Yes",G347,1))</f>
        <v/>
      </c>
      <c r="J347" s="11">
        <f>IF(A347="","",F347+H347-I347)</f>
        <v/>
      </c>
      <c r="K347">
        <f>IF(A347="","",IFERROR(IF(B347="",NA(),MATCH(B347,Products!$B$5:$B$204,0)),IFERROR(MATCH(A347,Products!$A$5:$A$204,0),"")))</f>
        <v/>
      </c>
      <c r="L347">
        <f>IF(A347="","",IF(K347="","⚠ not in Products",INDEX(Products!$A$5:$A$204,K347)))</f>
        <v/>
      </c>
      <c r="M347" s="11">
        <f>IF(A347="","",J347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347+IFERROR(INDEX(Settings!$D$5:$D$9,MATCH("Etsy",Settings!$A$5:$A$9,0)),0)*D347)</f>
        <v/>
      </c>
      <c r="N347" s="11">
        <f>IF(A347="","",IF(K347="",0,D347*INDEX(Products!$I$5:$I$204,K347)))</f>
        <v/>
      </c>
      <c r="O347" s="11">
        <f>IF(A347="","",IF(K347="",0,J347*INDEX(Products!$H$5:$H$204,K347)))</f>
        <v/>
      </c>
      <c r="P347" s="11">
        <f>IF(A347="","",J347-M347-N347-O347)</f>
        <v/>
      </c>
    </row>
    <row r="348">
      <c r="A348">
        <f>IFERROR(INDEX('Etsy Import'!$A:$CZ,348,Settings!$C$20)&amp;"","")</f>
        <v/>
      </c>
      <c r="B348">
        <f>IFERROR(INDEX('Etsy Import'!$A:$CZ,348,Settings!$C$21)&amp;"","")</f>
        <v/>
      </c>
      <c r="C348">
        <f>IFERROR(INDEX('Etsy Import'!$A:$CZ,348,Settings!$C$22)&amp;"","")</f>
        <v/>
      </c>
      <c r="D348">
        <f>IF(A348="","",IFERROR(VALUE(SUBSTITUTE(SUBSTITUTE(INDEX('Etsy Import'!$A:$CZ,348,Settings!$C$23)&amp;"","$",""),",","")),0))</f>
        <v/>
      </c>
      <c r="E348" s="11">
        <f>IF(A348="","",IFERROR(VALUE(SUBSTITUTE(SUBSTITUTE(INDEX('Etsy Import'!$A:$CZ,348,Settings!$C$24)&amp;"","$",""),",","")),0))</f>
        <v/>
      </c>
      <c r="F348" s="11">
        <f>IF(A348="","",D348*E348)</f>
        <v/>
      </c>
      <c r="G348">
        <f>IF(A348="","",IF(C348="",1,COUNTIF($C$2:$C$1501,C348)))</f>
        <v/>
      </c>
      <c r="H348" s="11">
        <f>IF(A348="","",IFERROR(VALUE(SUBSTITUTE(SUBSTITUTE(INDEX('Etsy Import'!$A:$CZ,348,Settings!$C$25)&amp;"","$",""),",","")),0)/IF(Settings!$B$27="Yes",G348,1))</f>
        <v/>
      </c>
      <c r="I348" s="11">
        <f>IF(A348="","",IFERROR(VALUE(SUBSTITUTE(SUBSTITUTE(INDEX('Etsy Import'!$A:$CZ,348,Settings!$C$26)&amp;"","$",""),",","")),0)/IF(Settings!$B$27="Yes",G348,1))</f>
        <v/>
      </c>
      <c r="J348" s="11">
        <f>IF(A348="","",F348+H348-I348)</f>
        <v/>
      </c>
      <c r="K348">
        <f>IF(A348="","",IFERROR(IF(B348="",NA(),MATCH(B348,Products!$B$5:$B$204,0)),IFERROR(MATCH(A348,Products!$A$5:$A$204,0),"")))</f>
        <v/>
      </c>
      <c r="L348">
        <f>IF(A348="","",IF(K348="","⚠ not in Products",INDEX(Products!$A$5:$A$204,K348)))</f>
        <v/>
      </c>
      <c r="M348" s="11">
        <f>IF(A348="","",J348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348+IFERROR(INDEX(Settings!$D$5:$D$9,MATCH("Etsy",Settings!$A$5:$A$9,0)),0)*D348)</f>
        <v/>
      </c>
      <c r="N348" s="11">
        <f>IF(A348="","",IF(K348="",0,D348*INDEX(Products!$I$5:$I$204,K348)))</f>
        <v/>
      </c>
      <c r="O348" s="11">
        <f>IF(A348="","",IF(K348="",0,J348*INDEX(Products!$H$5:$H$204,K348)))</f>
        <v/>
      </c>
      <c r="P348" s="11">
        <f>IF(A348="","",J348-M348-N348-O348)</f>
        <v/>
      </c>
    </row>
    <row r="349">
      <c r="A349">
        <f>IFERROR(INDEX('Etsy Import'!$A:$CZ,349,Settings!$C$20)&amp;"","")</f>
        <v/>
      </c>
      <c r="B349">
        <f>IFERROR(INDEX('Etsy Import'!$A:$CZ,349,Settings!$C$21)&amp;"","")</f>
        <v/>
      </c>
      <c r="C349">
        <f>IFERROR(INDEX('Etsy Import'!$A:$CZ,349,Settings!$C$22)&amp;"","")</f>
        <v/>
      </c>
      <c r="D349">
        <f>IF(A349="","",IFERROR(VALUE(SUBSTITUTE(SUBSTITUTE(INDEX('Etsy Import'!$A:$CZ,349,Settings!$C$23)&amp;"","$",""),",","")),0))</f>
        <v/>
      </c>
      <c r="E349" s="11">
        <f>IF(A349="","",IFERROR(VALUE(SUBSTITUTE(SUBSTITUTE(INDEX('Etsy Import'!$A:$CZ,349,Settings!$C$24)&amp;"","$",""),",","")),0))</f>
        <v/>
      </c>
      <c r="F349" s="11">
        <f>IF(A349="","",D349*E349)</f>
        <v/>
      </c>
      <c r="G349">
        <f>IF(A349="","",IF(C349="",1,COUNTIF($C$2:$C$1501,C349)))</f>
        <v/>
      </c>
      <c r="H349" s="11">
        <f>IF(A349="","",IFERROR(VALUE(SUBSTITUTE(SUBSTITUTE(INDEX('Etsy Import'!$A:$CZ,349,Settings!$C$25)&amp;"","$",""),",","")),0)/IF(Settings!$B$27="Yes",G349,1))</f>
        <v/>
      </c>
      <c r="I349" s="11">
        <f>IF(A349="","",IFERROR(VALUE(SUBSTITUTE(SUBSTITUTE(INDEX('Etsy Import'!$A:$CZ,349,Settings!$C$26)&amp;"","$",""),",","")),0)/IF(Settings!$B$27="Yes",G349,1))</f>
        <v/>
      </c>
      <c r="J349" s="11">
        <f>IF(A349="","",F349+H349-I349)</f>
        <v/>
      </c>
      <c r="K349">
        <f>IF(A349="","",IFERROR(IF(B349="",NA(),MATCH(B349,Products!$B$5:$B$204,0)),IFERROR(MATCH(A349,Products!$A$5:$A$204,0),"")))</f>
        <v/>
      </c>
      <c r="L349">
        <f>IF(A349="","",IF(K349="","⚠ not in Products",INDEX(Products!$A$5:$A$204,K349)))</f>
        <v/>
      </c>
      <c r="M349" s="11">
        <f>IF(A349="","",J349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349+IFERROR(INDEX(Settings!$D$5:$D$9,MATCH("Etsy",Settings!$A$5:$A$9,0)),0)*D349)</f>
        <v/>
      </c>
      <c r="N349" s="11">
        <f>IF(A349="","",IF(K349="",0,D349*INDEX(Products!$I$5:$I$204,K349)))</f>
        <v/>
      </c>
      <c r="O349" s="11">
        <f>IF(A349="","",IF(K349="",0,J349*INDEX(Products!$H$5:$H$204,K349)))</f>
        <v/>
      </c>
      <c r="P349" s="11">
        <f>IF(A349="","",J349-M349-N349-O349)</f>
        <v/>
      </c>
    </row>
    <row r="350">
      <c r="A350">
        <f>IFERROR(INDEX('Etsy Import'!$A:$CZ,350,Settings!$C$20)&amp;"","")</f>
        <v/>
      </c>
      <c r="B350">
        <f>IFERROR(INDEX('Etsy Import'!$A:$CZ,350,Settings!$C$21)&amp;"","")</f>
        <v/>
      </c>
      <c r="C350">
        <f>IFERROR(INDEX('Etsy Import'!$A:$CZ,350,Settings!$C$22)&amp;"","")</f>
        <v/>
      </c>
      <c r="D350">
        <f>IF(A350="","",IFERROR(VALUE(SUBSTITUTE(SUBSTITUTE(INDEX('Etsy Import'!$A:$CZ,350,Settings!$C$23)&amp;"","$",""),",","")),0))</f>
        <v/>
      </c>
      <c r="E350" s="11">
        <f>IF(A350="","",IFERROR(VALUE(SUBSTITUTE(SUBSTITUTE(INDEX('Etsy Import'!$A:$CZ,350,Settings!$C$24)&amp;"","$",""),",","")),0))</f>
        <v/>
      </c>
      <c r="F350" s="11">
        <f>IF(A350="","",D350*E350)</f>
        <v/>
      </c>
      <c r="G350">
        <f>IF(A350="","",IF(C350="",1,COUNTIF($C$2:$C$1501,C350)))</f>
        <v/>
      </c>
      <c r="H350" s="11">
        <f>IF(A350="","",IFERROR(VALUE(SUBSTITUTE(SUBSTITUTE(INDEX('Etsy Import'!$A:$CZ,350,Settings!$C$25)&amp;"","$",""),",","")),0)/IF(Settings!$B$27="Yes",G350,1))</f>
        <v/>
      </c>
      <c r="I350" s="11">
        <f>IF(A350="","",IFERROR(VALUE(SUBSTITUTE(SUBSTITUTE(INDEX('Etsy Import'!$A:$CZ,350,Settings!$C$26)&amp;"","$",""),",","")),0)/IF(Settings!$B$27="Yes",G350,1))</f>
        <v/>
      </c>
      <c r="J350" s="11">
        <f>IF(A350="","",F350+H350-I350)</f>
        <v/>
      </c>
      <c r="K350">
        <f>IF(A350="","",IFERROR(IF(B350="",NA(),MATCH(B350,Products!$B$5:$B$204,0)),IFERROR(MATCH(A350,Products!$A$5:$A$204,0),"")))</f>
        <v/>
      </c>
      <c r="L350">
        <f>IF(A350="","",IF(K350="","⚠ not in Products",INDEX(Products!$A$5:$A$204,K350)))</f>
        <v/>
      </c>
      <c r="M350" s="11">
        <f>IF(A350="","",J350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350+IFERROR(INDEX(Settings!$D$5:$D$9,MATCH("Etsy",Settings!$A$5:$A$9,0)),0)*D350)</f>
        <v/>
      </c>
      <c r="N350" s="11">
        <f>IF(A350="","",IF(K350="",0,D350*INDEX(Products!$I$5:$I$204,K350)))</f>
        <v/>
      </c>
      <c r="O350" s="11">
        <f>IF(A350="","",IF(K350="",0,J350*INDEX(Products!$H$5:$H$204,K350)))</f>
        <v/>
      </c>
      <c r="P350" s="11">
        <f>IF(A350="","",J350-M350-N350-O350)</f>
        <v/>
      </c>
    </row>
    <row r="351">
      <c r="A351">
        <f>IFERROR(INDEX('Etsy Import'!$A:$CZ,351,Settings!$C$20)&amp;"","")</f>
        <v/>
      </c>
      <c r="B351">
        <f>IFERROR(INDEX('Etsy Import'!$A:$CZ,351,Settings!$C$21)&amp;"","")</f>
        <v/>
      </c>
      <c r="C351">
        <f>IFERROR(INDEX('Etsy Import'!$A:$CZ,351,Settings!$C$22)&amp;"","")</f>
        <v/>
      </c>
      <c r="D351">
        <f>IF(A351="","",IFERROR(VALUE(SUBSTITUTE(SUBSTITUTE(INDEX('Etsy Import'!$A:$CZ,351,Settings!$C$23)&amp;"","$",""),",","")),0))</f>
        <v/>
      </c>
      <c r="E351" s="11">
        <f>IF(A351="","",IFERROR(VALUE(SUBSTITUTE(SUBSTITUTE(INDEX('Etsy Import'!$A:$CZ,351,Settings!$C$24)&amp;"","$",""),",","")),0))</f>
        <v/>
      </c>
      <c r="F351" s="11">
        <f>IF(A351="","",D351*E351)</f>
        <v/>
      </c>
      <c r="G351">
        <f>IF(A351="","",IF(C351="",1,COUNTIF($C$2:$C$1501,C351)))</f>
        <v/>
      </c>
      <c r="H351" s="11">
        <f>IF(A351="","",IFERROR(VALUE(SUBSTITUTE(SUBSTITUTE(INDEX('Etsy Import'!$A:$CZ,351,Settings!$C$25)&amp;"","$",""),",","")),0)/IF(Settings!$B$27="Yes",G351,1))</f>
        <v/>
      </c>
      <c r="I351" s="11">
        <f>IF(A351="","",IFERROR(VALUE(SUBSTITUTE(SUBSTITUTE(INDEX('Etsy Import'!$A:$CZ,351,Settings!$C$26)&amp;"","$",""),",","")),0)/IF(Settings!$B$27="Yes",G351,1))</f>
        <v/>
      </c>
      <c r="J351" s="11">
        <f>IF(A351="","",F351+H351-I351)</f>
        <v/>
      </c>
      <c r="K351">
        <f>IF(A351="","",IFERROR(IF(B351="",NA(),MATCH(B351,Products!$B$5:$B$204,0)),IFERROR(MATCH(A351,Products!$A$5:$A$204,0),"")))</f>
        <v/>
      </c>
      <c r="L351">
        <f>IF(A351="","",IF(K351="","⚠ not in Products",INDEX(Products!$A$5:$A$204,K351)))</f>
        <v/>
      </c>
      <c r="M351" s="11">
        <f>IF(A351="","",J351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351+IFERROR(INDEX(Settings!$D$5:$D$9,MATCH("Etsy",Settings!$A$5:$A$9,0)),0)*D351)</f>
        <v/>
      </c>
      <c r="N351" s="11">
        <f>IF(A351="","",IF(K351="",0,D351*INDEX(Products!$I$5:$I$204,K351)))</f>
        <v/>
      </c>
      <c r="O351" s="11">
        <f>IF(A351="","",IF(K351="",0,J351*INDEX(Products!$H$5:$H$204,K351)))</f>
        <v/>
      </c>
      <c r="P351" s="11">
        <f>IF(A351="","",J351-M351-N351-O351)</f>
        <v/>
      </c>
    </row>
    <row r="352">
      <c r="A352">
        <f>IFERROR(INDEX('Etsy Import'!$A:$CZ,352,Settings!$C$20)&amp;"","")</f>
        <v/>
      </c>
      <c r="B352">
        <f>IFERROR(INDEX('Etsy Import'!$A:$CZ,352,Settings!$C$21)&amp;"","")</f>
        <v/>
      </c>
      <c r="C352">
        <f>IFERROR(INDEX('Etsy Import'!$A:$CZ,352,Settings!$C$22)&amp;"","")</f>
        <v/>
      </c>
      <c r="D352">
        <f>IF(A352="","",IFERROR(VALUE(SUBSTITUTE(SUBSTITUTE(INDEX('Etsy Import'!$A:$CZ,352,Settings!$C$23)&amp;"","$",""),",","")),0))</f>
        <v/>
      </c>
      <c r="E352" s="11">
        <f>IF(A352="","",IFERROR(VALUE(SUBSTITUTE(SUBSTITUTE(INDEX('Etsy Import'!$A:$CZ,352,Settings!$C$24)&amp;"","$",""),",","")),0))</f>
        <v/>
      </c>
      <c r="F352" s="11">
        <f>IF(A352="","",D352*E352)</f>
        <v/>
      </c>
      <c r="G352">
        <f>IF(A352="","",IF(C352="",1,COUNTIF($C$2:$C$1501,C352)))</f>
        <v/>
      </c>
      <c r="H352" s="11">
        <f>IF(A352="","",IFERROR(VALUE(SUBSTITUTE(SUBSTITUTE(INDEX('Etsy Import'!$A:$CZ,352,Settings!$C$25)&amp;"","$",""),",","")),0)/IF(Settings!$B$27="Yes",G352,1))</f>
        <v/>
      </c>
      <c r="I352" s="11">
        <f>IF(A352="","",IFERROR(VALUE(SUBSTITUTE(SUBSTITUTE(INDEX('Etsy Import'!$A:$CZ,352,Settings!$C$26)&amp;"","$",""),",","")),0)/IF(Settings!$B$27="Yes",G352,1))</f>
        <v/>
      </c>
      <c r="J352" s="11">
        <f>IF(A352="","",F352+H352-I352)</f>
        <v/>
      </c>
      <c r="K352">
        <f>IF(A352="","",IFERROR(IF(B352="",NA(),MATCH(B352,Products!$B$5:$B$204,0)),IFERROR(MATCH(A352,Products!$A$5:$A$204,0),"")))</f>
        <v/>
      </c>
      <c r="L352">
        <f>IF(A352="","",IF(K352="","⚠ not in Products",INDEX(Products!$A$5:$A$204,K352)))</f>
        <v/>
      </c>
      <c r="M352" s="11">
        <f>IF(A352="","",J352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352+IFERROR(INDEX(Settings!$D$5:$D$9,MATCH("Etsy",Settings!$A$5:$A$9,0)),0)*D352)</f>
        <v/>
      </c>
      <c r="N352" s="11">
        <f>IF(A352="","",IF(K352="",0,D352*INDEX(Products!$I$5:$I$204,K352)))</f>
        <v/>
      </c>
      <c r="O352" s="11">
        <f>IF(A352="","",IF(K352="",0,J352*INDEX(Products!$H$5:$H$204,K352)))</f>
        <v/>
      </c>
      <c r="P352" s="11">
        <f>IF(A352="","",J352-M352-N352-O352)</f>
        <v/>
      </c>
    </row>
    <row r="353">
      <c r="A353">
        <f>IFERROR(INDEX('Etsy Import'!$A:$CZ,353,Settings!$C$20)&amp;"","")</f>
        <v/>
      </c>
      <c r="B353">
        <f>IFERROR(INDEX('Etsy Import'!$A:$CZ,353,Settings!$C$21)&amp;"","")</f>
        <v/>
      </c>
      <c r="C353">
        <f>IFERROR(INDEX('Etsy Import'!$A:$CZ,353,Settings!$C$22)&amp;"","")</f>
        <v/>
      </c>
      <c r="D353">
        <f>IF(A353="","",IFERROR(VALUE(SUBSTITUTE(SUBSTITUTE(INDEX('Etsy Import'!$A:$CZ,353,Settings!$C$23)&amp;"","$",""),",","")),0))</f>
        <v/>
      </c>
      <c r="E353" s="11">
        <f>IF(A353="","",IFERROR(VALUE(SUBSTITUTE(SUBSTITUTE(INDEX('Etsy Import'!$A:$CZ,353,Settings!$C$24)&amp;"","$",""),",","")),0))</f>
        <v/>
      </c>
      <c r="F353" s="11">
        <f>IF(A353="","",D353*E353)</f>
        <v/>
      </c>
      <c r="G353">
        <f>IF(A353="","",IF(C353="",1,COUNTIF($C$2:$C$1501,C353)))</f>
        <v/>
      </c>
      <c r="H353" s="11">
        <f>IF(A353="","",IFERROR(VALUE(SUBSTITUTE(SUBSTITUTE(INDEX('Etsy Import'!$A:$CZ,353,Settings!$C$25)&amp;"","$",""),",","")),0)/IF(Settings!$B$27="Yes",G353,1))</f>
        <v/>
      </c>
      <c r="I353" s="11">
        <f>IF(A353="","",IFERROR(VALUE(SUBSTITUTE(SUBSTITUTE(INDEX('Etsy Import'!$A:$CZ,353,Settings!$C$26)&amp;"","$",""),",","")),0)/IF(Settings!$B$27="Yes",G353,1))</f>
        <v/>
      </c>
      <c r="J353" s="11">
        <f>IF(A353="","",F353+H353-I353)</f>
        <v/>
      </c>
      <c r="K353">
        <f>IF(A353="","",IFERROR(IF(B353="",NA(),MATCH(B353,Products!$B$5:$B$204,0)),IFERROR(MATCH(A353,Products!$A$5:$A$204,0),"")))</f>
        <v/>
      </c>
      <c r="L353">
        <f>IF(A353="","",IF(K353="","⚠ not in Products",INDEX(Products!$A$5:$A$204,K353)))</f>
        <v/>
      </c>
      <c r="M353" s="11">
        <f>IF(A353="","",J353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353+IFERROR(INDEX(Settings!$D$5:$D$9,MATCH("Etsy",Settings!$A$5:$A$9,0)),0)*D353)</f>
        <v/>
      </c>
      <c r="N353" s="11">
        <f>IF(A353="","",IF(K353="",0,D353*INDEX(Products!$I$5:$I$204,K353)))</f>
        <v/>
      </c>
      <c r="O353" s="11">
        <f>IF(A353="","",IF(K353="",0,J353*INDEX(Products!$H$5:$H$204,K353)))</f>
        <v/>
      </c>
      <c r="P353" s="11">
        <f>IF(A353="","",J353-M353-N353-O353)</f>
        <v/>
      </c>
    </row>
    <row r="354">
      <c r="A354">
        <f>IFERROR(INDEX('Etsy Import'!$A:$CZ,354,Settings!$C$20)&amp;"","")</f>
        <v/>
      </c>
      <c r="B354">
        <f>IFERROR(INDEX('Etsy Import'!$A:$CZ,354,Settings!$C$21)&amp;"","")</f>
        <v/>
      </c>
      <c r="C354">
        <f>IFERROR(INDEX('Etsy Import'!$A:$CZ,354,Settings!$C$22)&amp;"","")</f>
        <v/>
      </c>
      <c r="D354">
        <f>IF(A354="","",IFERROR(VALUE(SUBSTITUTE(SUBSTITUTE(INDEX('Etsy Import'!$A:$CZ,354,Settings!$C$23)&amp;"","$",""),",","")),0))</f>
        <v/>
      </c>
      <c r="E354" s="11">
        <f>IF(A354="","",IFERROR(VALUE(SUBSTITUTE(SUBSTITUTE(INDEX('Etsy Import'!$A:$CZ,354,Settings!$C$24)&amp;"","$",""),",","")),0))</f>
        <v/>
      </c>
      <c r="F354" s="11">
        <f>IF(A354="","",D354*E354)</f>
        <v/>
      </c>
      <c r="G354">
        <f>IF(A354="","",IF(C354="",1,COUNTIF($C$2:$C$1501,C354)))</f>
        <v/>
      </c>
      <c r="H354" s="11">
        <f>IF(A354="","",IFERROR(VALUE(SUBSTITUTE(SUBSTITUTE(INDEX('Etsy Import'!$A:$CZ,354,Settings!$C$25)&amp;"","$",""),",","")),0)/IF(Settings!$B$27="Yes",G354,1))</f>
        <v/>
      </c>
      <c r="I354" s="11">
        <f>IF(A354="","",IFERROR(VALUE(SUBSTITUTE(SUBSTITUTE(INDEX('Etsy Import'!$A:$CZ,354,Settings!$C$26)&amp;"","$",""),",","")),0)/IF(Settings!$B$27="Yes",G354,1))</f>
        <v/>
      </c>
      <c r="J354" s="11">
        <f>IF(A354="","",F354+H354-I354)</f>
        <v/>
      </c>
      <c r="K354">
        <f>IF(A354="","",IFERROR(IF(B354="",NA(),MATCH(B354,Products!$B$5:$B$204,0)),IFERROR(MATCH(A354,Products!$A$5:$A$204,0),"")))</f>
        <v/>
      </c>
      <c r="L354">
        <f>IF(A354="","",IF(K354="","⚠ not in Products",INDEX(Products!$A$5:$A$204,K354)))</f>
        <v/>
      </c>
      <c r="M354" s="11">
        <f>IF(A354="","",J354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354+IFERROR(INDEX(Settings!$D$5:$D$9,MATCH("Etsy",Settings!$A$5:$A$9,0)),0)*D354)</f>
        <v/>
      </c>
      <c r="N354" s="11">
        <f>IF(A354="","",IF(K354="",0,D354*INDEX(Products!$I$5:$I$204,K354)))</f>
        <v/>
      </c>
      <c r="O354" s="11">
        <f>IF(A354="","",IF(K354="",0,J354*INDEX(Products!$H$5:$H$204,K354)))</f>
        <v/>
      </c>
      <c r="P354" s="11">
        <f>IF(A354="","",J354-M354-N354-O354)</f>
        <v/>
      </c>
    </row>
    <row r="355">
      <c r="A355">
        <f>IFERROR(INDEX('Etsy Import'!$A:$CZ,355,Settings!$C$20)&amp;"","")</f>
        <v/>
      </c>
      <c r="B355">
        <f>IFERROR(INDEX('Etsy Import'!$A:$CZ,355,Settings!$C$21)&amp;"","")</f>
        <v/>
      </c>
      <c r="C355">
        <f>IFERROR(INDEX('Etsy Import'!$A:$CZ,355,Settings!$C$22)&amp;"","")</f>
        <v/>
      </c>
      <c r="D355">
        <f>IF(A355="","",IFERROR(VALUE(SUBSTITUTE(SUBSTITUTE(INDEX('Etsy Import'!$A:$CZ,355,Settings!$C$23)&amp;"","$",""),",","")),0))</f>
        <v/>
      </c>
      <c r="E355" s="11">
        <f>IF(A355="","",IFERROR(VALUE(SUBSTITUTE(SUBSTITUTE(INDEX('Etsy Import'!$A:$CZ,355,Settings!$C$24)&amp;"","$",""),",","")),0))</f>
        <v/>
      </c>
      <c r="F355" s="11">
        <f>IF(A355="","",D355*E355)</f>
        <v/>
      </c>
      <c r="G355">
        <f>IF(A355="","",IF(C355="",1,COUNTIF($C$2:$C$1501,C355)))</f>
        <v/>
      </c>
      <c r="H355" s="11">
        <f>IF(A355="","",IFERROR(VALUE(SUBSTITUTE(SUBSTITUTE(INDEX('Etsy Import'!$A:$CZ,355,Settings!$C$25)&amp;"","$",""),",","")),0)/IF(Settings!$B$27="Yes",G355,1))</f>
        <v/>
      </c>
      <c r="I355" s="11">
        <f>IF(A355="","",IFERROR(VALUE(SUBSTITUTE(SUBSTITUTE(INDEX('Etsy Import'!$A:$CZ,355,Settings!$C$26)&amp;"","$",""),",","")),0)/IF(Settings!$B$27="Yes",G355,1))</f>
        <v/>
      </c>
      <c r="J355" s="11">
        <f>IF(A355="","",F355+H355-I355)</f>
        <v/>
      </c>
      <c r="K355">
        <f>IF(A355="","",IFERROR(IF(B355="",NA(),MATCH(B355,Products!$B$5:$B$204,0)),IFERROR(MATCH(A355,Products!$A$5:$A$204,0),"")))</f>
        <v/>
      </c>
      <c r="L355">
        <f>IF(A355="","",IF(K355="","⚠ not in Products",INDEX(Products!$A$5:$A$204,K355)))</f>
        <v/>
      </c>
      <c r="M355" s="11">
        <f>IF(A355="","",J355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355+IFERROR(INDEX(Settings!$D$5:$D$9,MATCH("Etsy",Settings!$A$5:$A$9,0)),0)*D355)</f>
        <v/>
      </c>
      <c r="N355" s="11">
        <f>IF(A355="","",IF(K355="",0,D355*INDEX(Products!$I$5:$I$204,K355)))</f>
        <v/>
      </c>
      <c r="O355" s="11">
        <f>IF(A355="","",IF(K355="",0,J355*INDEX(Products!$H$5:$H$204,K355)))</f>
        <v/>
      </c>
      <c r="P355" s="11">
        <f>IF(A355="","",J355-M355-N355-O355)</f>
        <v/>
      </c>
    </row>
    <row r="356">
      <c r="A356">
        <f>IFERROR(INDEX('Etsy Import'!$A:$CZ,356,Settings!$C$20)&amp;"","")</f>
        <v/>
      </c>
      <c r="B356">
        <f>IFERROR(INDEX('Etsy Import'!$A:$CZ,356,Settings!$C$21)&amp;"","")</f>
        <v/>
      </c>
      <c r="C356">
        <f>IFERROR(INDEX('Etsy Import'!$A:$CZ,356,Settings!$C$22)&amp;"","")</f>
        <v/>
      </c>
      <c r="D356">
        <f>IF(A356="","",IFERROR(VALUE(SUBSTITUTE(SUBSTITUTE(INDEX('Etsy Import'!$A:$CZ,356,Settings!$C$23)&amp;"","$",""),",","")),0))</f>
        <v/>
      </c>
      <c r="E356" s="11">
        <f>IF(A356="","",IFERROR(VALUE(SUBSTITUTE(SUBSTITUTE(INDEX('Etsy Import'!$A:$CZ,356,Settings!$C$24)&amp;"","$",""),",","")),0))</f>
        <v/>
      </c>
      <c r="F356" s="11">
        <f>IF(A356="","",D356*E356)</f>
        <v/>
      </c>
      <c r="G356">
        <f>IF(A356="","",IF(C356="",1,COUNTIF($C$2:$C$1501,C356)))</f>
        <v/>
      </c>
      <c r="H356" s="11">
        <f>IF(A356="","",IFERROR(VALUE(SUBSTITUTE(SUBSTITUTE(INDEX('Etsy Import'!$A:$CZ,356,Settings!$C$25)&amp;"","$",""),",","")),0)/IF(Settings!$B$27="Yes",G356,1))</f>
        <v/>
      </c>
      <c r="I356" s="11">
        <f>IF(A356="","",IFERROR(VALUE(SUBSTITUTE(SUBSTITUTE(INDEX('Etsy Import'!$A:$CZ,356,Settings!$C$26)&amp;"","$",""),",","")),0)/IF(Settings!$B$27="Yes",G356,1))</f>
        <v/>
      </c>
      <c r="J356" s="11">
        <f>IF(A356="","",F356+H356-I356)</f>
        <v/>
      </c>
      <c r="K356">
        <f>IF(A356="","",IFERROR(IF(B356="",NA(),MATCH(B356,Products!$B$5:$B$204,0)),IFERROR(MATCH(A356,Products!$A$5:$A$204,0),"")))</f>
        <v/>
      </c>
      <c r="L356">
        <f>IF(A356="","",IF(K356="","⚠ not in Products",INDEX(Products!$A$5:$A$204,K356)))</f>
        <v/>
      </c>
      <c r="M356" s="11">
        <f>IF(A356="","",J356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356+IFERROR(INDEX(Settings!$D$5:$D$9,MATCH("Etsy",Settings!$A$5:$A$9,0)),0)*D356)</f>
        <v/>
      </c>
      <c r="N356" s="11">
        <f>IF(A356="","",IF(K356="",0,D356*INDEX(Products!$I$5:$I$204,K356)))</f>
        <v/>
      </c>
      <c r="O356" s="11">
        <f>IF(A356="","",IF(K356="",0,J356*INDEX(Products!$H$5:$H$204,K356)))</f>
        <v/>
      </c>
      <c r="P356" s="11">
        <f>IF(A356="","",J356-M356-N356-O356)</f>
        <v/>
      </c>
    </row>
    <row r="357">
      <c r="A357">
        <f>IFERROR(INDEX('Etsy Import'!$A:$CZ,357,Settings!$C$20)&amp;"","")</f>
        <v/>
      </c>
      <c r="B357">
        <f>IFERROR(INDEX('Etsy Import'!$A:$CZ,357,Settings!$C$21)&amp;"","")</f>
        <v/>
      </c>
      <c r="C357">
        <f>IFERROR(INDEX('Etsy Import'!$A:$CZ,357,Settings!$C$22)&amp;"","")</f>
        <v/>
      </c>
      <c r="D357">
        <f>IF(A357="","",IFERROR(VALUE(SUBSTITUTE(SUBSTITUTE(INDEX('Etsy Import'!$A:$CZ,357,Settings!$C$23)&amp;"","$",""),",","")),0))</f>
        <v/>
      </c>
      <c r="E357" s="11">
        <f>IF(A357="","",IFERROR(VALUE(SUBSTITUTE(SUBSTITUTE(INDEX('Etsy Import'!$A:$CZ,357,Settings!$C$24)&amp;"","$",""),",","")),0))</f>
        <v/>
      </c>
      <c r="F357" s="11">
        <f>IF(A357="","",D357*E357)</f>
        <v/>
      </c>
      <c r="G357">
        <f>IF(A357="","",IF(C357="",1,COUNTIF($C$2:$C$1501,C357)))</f>
        <v/>
      </c>
      <c r="H357" s="11">
        <f>IF(A357="","",IFERROR(VALUE(SUBSTITUTE(SUBSTITUTE(INDEX('Etsy Import'!$A:$CZ,357,Settings!$C$25)&amp;"","$",""),",","")),0)/IF(Settings!$B$27="Yes",G357,1))</f>
        <v/>
      </c>
      <c r="I357" s="11">
        <f>IF(A357="","",IFERROR(VALUE(SUBSTITUTE(SUBSTITUTE(INDEX('Etsy Import'!$A:$CZ,357,Settings!$C$26)&amp;"","$",""),",","")),0)/IF(Settings!$B$27="Yes",G357,1))</f>
        <v/>
      </c>
      <c r="J357" s="11">
        <f>IF(A357="","",F357+H357-I357)</f>
        <v/>
      </c>
      <c r="K357">
        <f>IF(A357="","",IFERROR(IF(B357="",NA(),MATCH(B357,Products!$B$5:$B$204,0)),IFERROR(MATCH(A357,Products!$A$5:$A$204,0),"")))</f>
        <v/>
      </c>
      <c r="L357">
        <f>IF(A357="","",IF(K357="","⚠ not in Products",INDEX(Products!$A$5:$A$204,K357)))</f>
        <v/>
      </c>
      <c r="M357" s="11">
        <f>IF(A357="","",J357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357+IFERROR(INDEX(Settings!$D$5:$D$9,MATCH("Etsy",Settings!$A$5:$A$9,0)),0)*D357)</f>
        <v/>
      </c>
      <c r="N357" s="11">
        <f>IF(A357="","",IF(K357="",0,D357*INDEX(Products!$I$5:$I$204,K357)))</f>
        <v/>
      </c>
      <c r="O357" s="11">
        <f>IF(A357="","",IF(K357="",0,J357*INDEX(Products!$H$5:$H$204,K357)))</f>
        <v/>
      </c>
      <c r="P357" s="11">
        <f>IF(A357="","",J357-M357-N357-O357)</f>
        <v/>
      </c>
    </row>
    <row r="358">
      <c r="A358">
        <f>IFERROR(INDEX('Etsy Import'!$A:$CZ,358,Settings!$C$20)&amp;"","")</f>
        <v/>
      </c>
      <c r="B358">
        <f>IFERROR(INDEX('Etsy Import'!$A:$CZ,358,Settings!$C$21)&amp;"","")</f>
        <v/>
      </c>
      <c r="C358">
        <f>IFERROR(INDEX('Etsy Import'!$A:$CZ,358,Settings!$C$22)&amp;"","")</f>
        <v/>
      </c>
      <c r="D358">
        <f>IF(A358="","",IFERROR(VALUE(SUBSTITUTE(SUBSTITUTE(INDEX('Etsy Import'!$A:$CZ,358,Settings!$C$23)&amp;"","$",""),",","")),0))</f>
        <v/>
      </c>
      <c r="E358" s="11">
        <f>IF(A358="","",IFERROR(VALUE(SUBSTITUTE(SUBSTITUTE(INDEX('Etsy Import'!$A:$CZ,358,Settings!$C$24)&amp;"","$",""),",","")),0))</f>
        <v/>
      </c>
      <c r="F358" s="11">
        <f>IF(A358="","",D358*E358)</f>
        <v/>
      </c>
      <c r="G358">
        <f>IF(A358="","",IF(C358="",1,COUNTIF($C$2:$C$1501,C358)))</f>
        <v/>
      </c>
      <c r="H358" s="11">
        <f>IF(A358="","",IFERROR(VALUE(SUBSTITUTE(SUBSTITUTE(INDEX('Etsy Import'!$A:$CZ,358,Settings!$C$25)&amp;"","$",""),",","")),0)/IF(Settings!$B$27="Yes",G358,1))</f>
        <v/>
      </c>
      <c r="I358" s="11">
        <f>IF(A358="","",IFERROR(VALUE(SUBSTITUTE(SUBSTITUTE(INDEX('Etsy Import'!$A:$CZ,358,Settings!$C$26)&amp;"","$",""),",","")),0)/IF(Settings!$B$27="Yes",G358,1))</f>
        <v/>
      </c>
      <c r="J358" s="11">
        <f>IF(A358="","",F358+H358-I358)</f>
        <v/>
      </c>
      <c r="K358">
        <f>IF(A358="","",IFERROR(IF(B358="",NA(),MATCH(B358,Products!$B$5:$B$204,0)),IFERROR(MATCH(A358,Products!$A$5:$A$204,0),"")))</f>
        <v/>
      </c>
      <c r="L358">
        <f>IF(A358="","",IF(K358="","⚠ not in Products",INDEX(Products!$A$5:$A$204,K358)))</f>
        <v/>
      </c>
      <c r="M358" s="11">
        <f>IF(A358="","",J358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358+IFERROR(INDEX(Settings!$D$5:$D$9,MATCH("Etsy",Settings!$A$5:$A$9,0)),0)*D358)</f>
        <v/>
      </c>
      <c r="N358" s="11">
        <f>IF(A358="","",IF(K358="",0,D358*INDEX(Products!$I$5:$I$204,K358)))</f>
        <v/>
      </c>
      <c r="O358" s="11">
        <f>IF(A358="","",IF(K358="",0,J358*INDEX(Products!$H$5:$H$204,K358)))</f>
        <v/>
      </c>
      <c r="P358" s="11">
        <f>IF(A358="","",J358-M358-N358-O358)</f>
        <v/>
      </c>
    </row>
    <row r="359">
      <c r="A359">
        <f>IFERROR(INDEX('Etsy Import'!$A:$CZ,359,Settings!$C$20)&amp;"","")</f>
        <v/>
      </c>
      <c r="B359">
        <f>IFERROR(INDEX('Etsy Import'!$A:$CZ,359,Settings!$C$21)&amp;"","")</f>
        <v/>
      </c>
      <c r="C359">
        <f>IFERROR(INDEX('Etsy Import'!$A:$CZ,359,Settings!$C$22)&amp;"","")</f>
        <v/>
      </c>
      <c r="D359">
        <f>IF(A359="","",IFERROR(VALUE(SUBSTITUTE(SUBSTITUTE(INDEX('Etsy Import'!$A:$CZ,359,Settings!$C$23)&amp;"","$",""),",","")),0))</f>
        <v/>
      </c>
      <c r="E359" s="11">
        <f>IF(A359="","",IFERROR(VALUE(SUBSTITUTE(SUBSTITUTE(INDEX('Etsy Import'!$A:$CZ,359,Settings!$C$24)&amp;"","$",""),",","")),0))</f>
        <v/>
      </c>
      <c r="F359" s="11">
        <f>IF(A359="","",D359*E359)</f>
        <v/>
      </c>
      <c r="G359">
        <f>IF(A359="","",IF(C359="",1,COUNTIF($C$2:$C$1501,C359)))</f>
        <v/>
      </c>
      <c r="H359" s="11">
        <f>IF(A359="","",IFERROR(VALUE(SUBSTITUTE(SUBSTITUTE(INDEX('Etsy Import'!$A:$CZ,359,Settings!$C$25)&amp;"","$",""),",","")),0)/IF(Settings!$B$27="Yes",G359,1))</f>
        <v/>
      </c>
      <c r="I359" s="11">
        <f>IF(A359="","",IFERROR(VALUE(SUBSTITUTE(SUBSTITUTE(INDEX('Etsy Import'!$A:$CZ,359,Settings!$C$26)&amp;"","$",""),",","")),0)/IF(Settings!$B$27="Yes",G359,1))</f>
        <v/>
      </c>
      <c r="J359" s="11">
        <f>IF(A359="","",F359+H359-I359)</f>
        <v/>
      </c>
      <c r="K359">
        <f>IF(A359="","",IFERROR(IF(B359="",NA(),MATCH(B359,Products!$B$5:$B$204,0)),IFERROR(MATCH(A359,Products!$A$5:$A$204,0),"")))</f>
        <v/>
      </c>
      <c r="L359">
        <f>IF(A359="","",IF(K359="","⚠ not in Products",INDEX(Products!$A$5:$A$204,K359)))</f>
        <v/>
      </c>
      <c r="M359" s="11">
        <f>IF(A359="","",J359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359+IFERROR(INDEX(Settings!$D$5:$D$9,MATCH("Etsy",Settings!$A$5:$A$9,0)),0)*D359)</f>
        <v/>
      </c>
      <c r="N359" s="11">
        <f>IF(A359="","",IF(K359="",0,D359*INDEX(Products!$I$5:$I$204,K359)))</f>
        <v/>
      </c>
      <c r="O359" s="11">
        <f>IF(A359="","",IF(K359="",0,J359*INDEX(Products!$H$5:$H$204,K359)))</f>
        <v/>
      </c>
      <c r="P359" s="11">
        <f>IF(A359="","",J359-M359-N359-O359)</f>
        <v/>
      </c>
    </row>
    <row r="360">
      <c r="A360">
        <f>IFERROR(INDEX('Etsy Import'!$A:$CZ,360,Settings!$C$20)&amp;"","")</f>
        <v/>
      </c>
      <c r="B360">
        <f>IFERROR(INDEX('Etsy Import'!$A:$CZ,360,Settings!$C$21)&amp;"","")</f>
        <v/>
      </c>
      <c r="C360">
        <f>IFERROR(INDEX('Etsy Import'!$A:$CZ,360,Settings!$C$22)&amp;"","")</f>
        <v/>
      </c>
      <c r="D360">
        <f>IF(A360="","",IFERROR(VALUE(SUBSTITUTE(SUBSTITUTE(INDEX('Etsy Import'!$A:$CZ,360,Settings!$C$23)&amp;"","$",""),",","")),0))</f>
        <v/>
      </c>
      <c r="E360" s="11">
        <f>IF(A360="","",IFERROR(VALUE(SUBSTITUTE(SUBSTITUTE(INDEX('Etsy Import'!$A:$CZ,360,Settings!$C$24)&amp;"","$",""),",","")),0))</f>
        <v/>
      </c>
      <c r="F360" s="11">
        <f>IF(A360="","",D360*E360)</f>
        <v/>
      </c>
      <c r="G360">
        <f>IF(A360="","",IF(C360="",1,COUNTIF($C$2:$C$1501,C360)))</f>
        <v/>
      </c>
      <c r="H360" s="11">
        <f>IF(A360="","",IFERROR(VALUE(SUBSTITUTE(SUBSTITUTE(INDEX('Etsy Import'!$A:$CZ,360,Settings!$C$25)&amp;"","$",""),",","")),0)/IF(Settings!$B$27="Yes",G360,1))</f>
        <v/>
      </c>
      <c r="I360" s="11">
        <f>IF(A360="","",IFERROR(VALUE(SUBSTITUTE(SUBSTITUTE(INDEX('Etsy Import'!$A:$CZ,360,Settings!$C$26)&amp;"","$",""),",","")),0)/IF(Settings!$B$27="Yes",G360,1))</f>
        <v/>
      </c>
      <c r="J360" s="11">
        <f>IF(A360="","",F360+H360-I360)</f>
        <v/>
      </c>
      <c r="K360">
        <f>IF(A360="","",IFERROR(IF(B360="",NA(),MATCH(B360,Products!$B$5:$B$204,0)),IFERROR(MATCH(A360,Products!$A$5:$A$204,0),"")))</f>
        <v/>
      </c>
      <c r="L360">
        <f>IF(A360="","",IF(K360="","⚠ not in Products",INDEX(Products!$A$5:$A$204,K360)))</f>
        <v/>
      </c>
      <c r="M360" s="11">
        <f>IF(A360="","",J360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360+IFERROR(INDEX(Settings!$D$5:$D$9,MATCH("Etsy",Settings!$A$5:$A$9,0)),0)*D360)</f>
        <v/>
      </c>
      <c r="N360" s="11">
        <f>IF(A360="","",IF(K360="",0,D360*INDEX(Products!$I$5:$I$204,K360)))</f>
        <v/>
      </c>
      <c r="O360" s="11">
        <f>IF(A360="","",IF(K360="",0,J360*INDEX(Products!$H$5:$H$204,K360)))</f>
        <v/>
      </c>
      <c r="P360" s="11">
        <f>IF(A360="","",J360-M360-N360-O360)</f>
        <v/>
      </c>
    </row>
    <row r="361">
      <c r="A361">
        <f>IFERROR(INDEX('Etsy Import'!$A:$CZ,361,Settings!$C$20)&amp;"","")</f>
        <v/>
      </c>
      <c r="B361">
        <f>IFERROR(INDEX('Etsy Import'!$A:$CZ,361,Settings!$C$21)&amp;"","")</f>
        <v/>
      </c>
      <c r="C361">
        <f>IFERROR(INDEX('Etsy Import'!$A:$CZ,361,Settings!$C$22)&amp;"","")</f>
        <v/>
      </c>
      <c r="D361">
        <f>IF(A361="","",IFERROR(VALUE(SUBSTITUTE(SUBSTITUTE(INDEX('Etsy Import'!$A:$CZ,361,Settings!$C$23)&amp;"","$",""),",","")),0))</f>
        <v/>
      </c>
      <c r="E361" s="11">
        <f>IF(A361="","",IFERROR(VALUE(SUBSTITUTE(SUBSTITUTE(INDEX('Etsy Import'!$A:$CZ,361,Settings!$C$24)&amp;"","$",""),",","")),0))</f>
        <v/>
      </c>
      <c r="F361" s="11">
        <f>IF(A361="","",D361*E361)</f>
        <v/>
      </c>
      <c r="G361">
        <f>IF(A361="","",IF(C361="",1,COUNTIF($C$2:$C$1501,C361)))</f>
        <v/>
      </c>
      <c r="H361" s="11">
        <f>IF(A361="","",IFERROR(VALUE(SUBSTITUTE(SUBSTITUTE(INDEX('Etsy Import'!$A:$CZ,361,Settings!$C$25)&amp;"","$",""),",","")),0)/IF(Settings!$B$27="Yes",G361,1))</f>
        <v/>
      </c>
      <c r="I361" s="11">
        <f>IF(A361="","",IFERROR(VALUE(SUBSTITUTE(SUBSTITUTE(INDEX('Etsy Import'!$A:$CZ,361,Settings!$C$26)&amp;"","$",""),",","")),0)/IF(Settings!$B$27="Yes",G361,1))</f>
        <v/>
      </c>
      <c r="J361" s="11">
        <f>IF(A361="","",F361+H361-I361)</f>
        <v/>
      </c>
      <c r="K361">
        <f>IF(A361="","",IFERROR(IF(B361="",NA(),MATCH(B361,Products!$B$5:$B$204,0)),IFERROR(MATCH(A361,Products!$A$5:$A$204,0),"")))</f>
        <v/>
      </c>
      <c r="L361">
        <f>IF(A361="","",IF(K361="","⚠ not in Products",INDEX(Products!$A$5:$A$204,K361)))</f>
        <v/>
      </c>
      <c r="M361" s="11">
        <f>IF(A361="","",J361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361+IFERROR(INDEX(Settings!$D$5:$D$9,MATCH("Etsy",Settings!$A$5:$A$9,0)),0)*D361)</f>
        <v/>
      </c>
      <c r="N361" s="11">
        <f>IF(A361="","",IF(K361="",0,D361*INDEX(Products!$I$5:$I$204,K361)))</f>
        <v/>
      </c>
      <c r="O361" s="11">
        <f>IF(A361="","",IF(K361="",0,J361*INDEX(Products!$H$5:$H$204,K361)))</f>
        <v/>
      </c>
      <c r="P361" s="11">
        <f>IF(A361="","",J361-M361-N361-O361)</f>
        <v/>
      </c>
    </row>
    <row r="362">
      <c r="A362">
        <f>IFERROR(INDEX('Etsy Import'!$A:$CZ,362,Settings!$C$20)&amp;"","")</f>
        <v/>
      </c>
      <c r="B362">
        <f>IFERROR(INDEX('Etsy Import'!$A:$CZ,362,Settings!$C$21)&amp;"","")</f>
        <v/>
      </c>
      <c r="C362">
        <f>IFERROR(INDEX('Etsy Import'!$A:$CZ,362,Settings!$C$22)&amp;"","")</f>
        <v/>
      </c>
      <c r="D362">
        <f>IF(A362="","",IFERROR(VALUE(SUBSTITUTE(SUBSTITUTE(INDEX('Etsy Import'!$A:$CZ,362,Settings!$C$23)&amp;"","$",""),",","")),0))</f>
        <v/>
      </c>
      <c r="E362" s="11">
        <f>IF(A362="","",IFERROR(VALUE(SUBSTITUTE(SUBSTITUTE(INDEX('Etsy Import'!$A:$CZ,362,Settings!$C$24)&amp;"","$",""),",","")),0))</f>
        <v/>
      </c>
      <c r="F362" s="11">
        <f>IF(A362="","",D362*E362)</f>
        <v/>
      </c>
      <c r="G362">
        <f>IF(A362="","",IF(C362="",1,COUNTIF($C$2:$C$1501,C362)))</f>
        <v/>
      </c>
      <c r="H362" s="11">
        <f>IF(A362="","",IFERROR(VALUE(SUBSTITUTE(SUBSTITUTE(INDEX('Etsy Import'!$A:$CZ,362,Settings!$C$25)&amp;"","$",""),",","")),0)/IF(Settings!$B$27="Yes",G362,1))</f>
        <v/>
      </c>
      <c r="I362" s="11">
        <f>IF(A362="","",IFERROR(VALUE(SUBSTITUTE(SUBSTITUTE(INDEX('Etsy Import'!$A:$CZ,362,Settings!$C$26)&amp;"","$",""),",","")),0)/IF(Settings!$B$27="Yes",G362,1))</f>
        <v/>
      </c>
      <c r="J362" s="11">
        <f>IF(A362="","",F362+H362-I362)</f>
        <v/>
      </c>
      <c r="K362">
        <f>IF(A362="","",IFERROR(IF(B362="",NA(),MATCH(B362,Products!$B$5:$B$204,0)),IFERROR(MATCH(A362,Products!$A$5:$A$204,0),"")))</f>
        <v/>
      </c>
      <c r="L362">
        <f>IF(A362="","",IF(K362="","⚠ not in Products",INDEX(Products!$A$5:$A$204,K362)))</f>
        <v/>
      </c>
      <c r="M362" s="11">
        <f>IF(A362="","",J362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362+IFERROR(INDEX(Settings!$D$5:$D$9,MATCH("Etsy",Settings!$A$5:$A$9,0)),0)*D362)</f>
        <v/>
      </c>
      <c r="N362" s="11">
        <f>IF(A362="","",IF(K362="",0,D362*INDEX(Products!$I$5:$I$204,K362)))</f>
        <v/>
      </c>
      <c r="O362" s="11">
        <f>IF(A362="","",IF(K362="",0,J362*INDEX(Products!$H$5:$H$204,K362)))</f>
        <v/>
      </c>
      <c r="P362" s="11">
        <f>IF(A362="","",J362-M362-N362-O362)</f>
        <v/>
      </c>
    </row>
    <row r="363">
      <c r="A363">
        <f>IFERROR(INDEX('Etsy Import'!$A:$CZ,363,Settings!$C$20)&amp;"","")</f>
        <v/>
      </c>
      <c r="B363">
        <f>IFERROR(INDEX('Etsy Import'!$A:$CZ,363,Settings!$C$21)&amp;"","")</f>
        <v/>
      </c>
      <c r="C363">
        <f>IFERROR(INDEX('Etsy Import'!$A:$CZ,363,Settings!$C$22)&amp;"","")</f>
        <v/>
      </c>
      <c r="D363">
        <f>IF(A363="","",IFERROR(VALUE(SUBSTITUTE(SUBSTITUTE(INDEX('Etsy Import'!$A:$CZ,363,Settings!$C$23)&amp;"","$",""),",","")),0))</f>
        <v/>
      </c>
      <c r="E363" s="11">
        <f>IF(A363="","",IFERROR(VALUE(SUBSTITUTE(SUBSTITUTE(INDEX('Etsy Import'!$A:$CZ,363,Settings!$C$24)&amp;"","$",""),",","")),0))</f>
        <v/>
      </c>
      <c r="F363" s="11">
        <f>IF(A363="","",D363*E363)</f>
        <v/>
      </c>
      <c r="G363">
        <f>IF(A363="","",IF(C363="",1,COUNTIF($C$2:$C$1501,C363)))</f>
        <v/>
      </c>
      <c r="H363" s="11">
        <f>IF(A363="","",IFERROR(VALUE(SUBSTITUTE(SUBSTITUTE(INDEX('Etsy Import'!$A:$CZ,363,Settings!$C$25)&amp;"","$",""),",","")),0)/IF(Settings!$B$27="Yes",G363,1))</f>
        <v/>
      </c>
      <c r="I363" s="11">
        <f>IF(A363="","",IFERROR(VALUE(SUBSTITUTE(SUBSTITUTE(INDEX('Etsy Import'!$A:$CZ,363,Settings!$C$26)&amp;"","$",""),",","")),0)/IF(Settings!$B$27="Yes",G363,1))</f>
        <v/>
      </c>
      <c r="J363" s="11">
        <f>IF(A363="","",F363+H363-I363)</f>
        <v/>
      </c>
      <c r="K363">
        <f>IF(A363="","",IFERROR(IF(B363="",NA(),MATCH(B363,Products!$B$5:$B$204,0)),IFERROR(MATCH(A363,Products!$A$5:$A$204,0),"")))</f>
        <v/>
      </c>
      <c r="L363">
        <f>IF(A363="","",IF(K363="","⚠ not in Products",INDEX(Products!$A$5:$A$204,K363)))</f>
        <v/>
      </c>
      <c r="M363" s="11">
        <f>IF(A363="","",J363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363+IFERROR(INDEX(Settings!$D$5:$D$9,MATCH("Etsy",Settings!$A$5:$A$9,0)),0)*D363)</f>
        <v/>
      </c>
      <c r="N363" s="11">
        <f>IF(A363="","",IF(K363="",0,D363*INDEX(Products!$I$5:$I$204,K363)))</f>
        <v/>
      </c>
      <c r="O363" s="11">
        <f>IF(A363="","",IF(K363="",0,J363*INDEX(Products!$H$5:$H$204,K363)))</f>
        <v/>
      </c>
      <c r="P363" s="11">
        <f>IF(A363="","",J363-M363-N363-O363)</f>
        <v/>
      </c>
    </row>
    <row r="364">
      <c r="A364">
        <f>IFERROR(INDEX('Etsy Import'!$A:$CZ,364,Settings!$C$20)&amp;"","")</f>
        <v/>
      </c>
      <c r="B364">
        <f>IFERROR(INDEX('Etsy Import'!$A:$CZ,364,Settings!$C$21)&amp;"","")</f>
        <v/>
      </c>
      <c r="C364">
        <f>IFERROR(INDEX('Etsy Import'!$A:$CZ,364,Settings!$C$22)&amp;"","")</f>
        <v/>
      </c>
      <c r="D364">
        <f>IF(A364="","",IFERROR(VALUE(SUBSTITUTE(SUBSTITUTE(INDEX('Etsy Import'!$A:$CZ,364,Settings!$C$23)&amp;"","$",""),",","")),0))</f>
        <v/>
      </c>
      <c r="E364" s="11">
        <f>IF(A364="","",IFERROR(VALUE(SUBSTITUTE(SUBSTITUTE(INDEX('Etsy Import'!$A:$CZ,364,Settings!$C$24)&amp;"","$",""),",","")),0))</f>
        <v/>
      </c>
      <c r="F364" s="11">
        <f>IF(A364="","",D364*E364)</f>
        <v/>
      </c>
      <c r="G364">
        <f>IF(A364="","",IF(C364="",1,COUNTIF($C$2:$C$1501,C364)))</f>
        <v/>
      </c>
      <c r="H364" s="11">
        <f>IF(A364="","",IFERROR(VALUE(SUBSTITUTE(SUBSTITUTE(INDEX('Etsy Import'!$A:$CZ,364,Settings!$C$25)&amp;"","$",""),",","")),0)/IF(Settings!$B$27="Yes",G364,1))</f>
        <v/>
      </c>
      <c r="I364" s="11">
        <f>IF(A364="","",IFERROR(VALUE(SUBSTITUTE(SUBSTITUTE(INDEX('Etsy Import'!$A:$CZ,364,Settings!$C$26)&amp;"","$",""),",","")),0)/IF(Settings!$B$27="Yes",G364,1))</f>
        <v/>
      </c>
      <c r="J364" s="11">
        <f>IF(A364="","",F364+H364-I364)</f>
        <v/>
      </c>
      <c r="K364">
        <f>IF(A364="","",IFERROR(IF(B364="",NA(),MATCH(B364,Products!$B$5:$B$204,0)),IFERROR(MATCH(A364,Products!$A$5:$A$204,0),"")))</f>
        <v/>
      </c>
      <c r="L364">
        <f>IF(A364="","",IF(K364="","⚠ not in Products",INDEX(Products!$A$5:$A$204,K364)))</f>
        <v/>
      </c>
      <c r="M364" s="11">
        <f>IF(A364="","",J364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364+IFERROR(INDEX(Settings!$D$5:$D$9,MATCH("Etsy",Settings!$A$5:$A$9,0)),0)*D364)</f>
        <v/>
      </c>
      <c r="N364" s="11">
        <f>IF(A364="","",IF(K364="",0,D364*INDEX(Products!$I$5:$I$204,K364)))</f>
        <v/>
      </c>
      <c r="O364" s="11">
        <f>IF(A364="","",IF(K364="",0,J364*INDEX(Products!$H$5:$H$204,K364)))</f>
        <v/>
      </c>
      <c r="P364" s="11">
        <f>IF(A364="","",J364-M364-N364-O364)</f>
        <v/>
      </c>
    </row>
    <row r="365">
      <c r="A365">
        <f>IFERROR(INDEX('Etsy Import'!$A:$CZ,365,Settings!$C$20)&amp;"","")</f>
        <v/>
      </c>
      <c r="B365">
        <f>IFERROR(INDEX('Etsy Import'!$A:$CZ,365,Settings!$C$21)&amp;"","")</f>
        <v/>
      </c>
      <c r="C365">
        <f>IFERROR(INDEX('Etsy Import'!$A:$CZ,365,Settings!$C$22)&amp;"","")</f>
        <v/>
      </c>
      <c r="D365">
        <f>IF(A365="","",IFERROR(VALUE(SUBSTITUTE(SUBSTITUTE(INDEX('Etsy Import'!$A:$CZ,365,Settings!$C$23)&amp;"","$",""),",","")),0))</f>
        <v/>
      </c>
      <c r="E365" s="11">
        <f>IF(A365="","",IFERROR(VALUE(SUBSTITUTE(SUBSTITUTE(INDEX('Etsy Import'!$A:$CZ,365,Settings!$C$24)&amp;"","$",""),",","")),0))</f>
        <v/>
      </c>
      <c r="F365" s="11">
        <f>IF(A365="","",D365*E365)</f>
        <v/>
      </c>
      <c r="G365">
        <f>IF(A365="","",IF(C365="",1,COUNTIF($C$2:$C$1501,C365)))</f>
        <v/>
      </c>
      <c r="H365" s="11">
        <f>IF(A365="","",IFERROR(VALUE(SUBSTITUTE(SUBSTITUTE(INDEX('Etsy Import'!$A:$CZ,365,Settings!$C$25)&amp;"","$",""),",","")),0)/IF(Settings!$B$27="Yes",G365,1))</f>
        <v/>
      </c>
      <c r="I365" s="11">
        <f>IF(A365="","",IFERROR(VALUE(SUBSTITUTE(SUBSTITUTE(INDEX('Etsy Import'!$A:$CZ,365,Settings!$C$26)&amp;"","$",""),",","")),0)/IF(Settings!$B$27="Yes",G365,1))</f>
        <v/>
      </c>
      <c r="J365" s="11">
        <f>IF(A365="","",F365+H365-I365)</f>
        <v/>
      </c>
      <c r="K365">
        <f>IF(A365="","",IFERROR(IF(B365="",NA(),MATCH(B365,Products!$B$5:$B$204,0)),IFERROR(MATCH(A365,Products!$A$5:$A$204,0),"")))</f>
        <v/>
      </c>
      <c r="L365">
        <f>IF(A365="","",IF(K365="","⚠ not in Products",INDEX(Products!$A$5:$A$204,K365)))</f>
        <v/>
      </c>
      <c r="M365" s="11">
        <f>IF(A365="","",J365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365+IFERROR(INDEX(Settings!$D$5:$D$9,MATCH("Etsy",Settings!$A$5:$A$9,0)),0)*D365)</f>
        <v/>
      </c>
      <c r="N365" s="11">
        <f>IF(A365="","",IF(K365="",0,D365*INDEX(Products!$I$5:$I$204,K365)))</f>
        <v/>
      </c>
      <c r="O365" s="11">
        <f>IF(A365="","",IF(K365="",0,J365*INDEX(Products!$H$5:$H$204,K365)))</f>
        <v/>
      </c>
      <c r="P365" s="11">
        <f>IF(A365="","",J365-M365-N365-O365)</f>
        <v/>
      </c>
    </row>
    <row r="366">
      <c r="A366">
        <f>IFERROR(INDEX('Etsy Import'!$A:$CZ,366,Settings!$C$20)&amp;"","")</f>
        <v/>
      </c>
      <c r="B366">
        <f>IFERROR(INDEX('Etsy Import'!$A:$CZ,366,Settings!$C$21)&amp;"","")</f>
        <v/>
      </c>
      <c r="C366">
        <f>IFERROR(INDEX('Etsy Import'!$A:$CZ,366,Settings!$C$22)&amp;"","")</f>
        <v/>
      </c>
      <c r="D366">
        <f>IF(A366="","",IFERROR(VALUE(SUBSTITUTE(SUBSTITUTE(INDEX('Etsy Import'!$A:$CZ,366,Settings!$C$23)&amp;"","$",""),",","")),0))</f>
        <v/>
      </c>
      <c r="E366" s="11">
        <f>IF(A366="","",IFERROR(VALUE(SUBSTITUTE(SUBSTITUTE(INDEX('Etsy Import'!$A:$CZ,366,Settings!$C$24)&amp;"","$",""),",","")),0))</f>
        <v/>
      </c>
      <c r="F366" s="11">
        <f>IF(A366="","",D366*E366)</f>
        <v/>
      </c>
      <c r="G366">
        <f>IF(A366="","",IF(C366="",1,COUNTIF($C$2:$C$1501,C366)))</f>
        <v/>
      </c>
      <c r="H366" s="11">
        <f>IF(A366="","",IFERROR(VALUE(SUBSTITUTE(SUBSTITUTE(INDEX('Etsy Import'!$A:$CZ,366,Settings!$C$25)&amp;"","$",""),",","")),0)/IF(Settings!$B$27="Yes",G366,1))</f>
        <v/>
      </c>
      <c r="I366" s="11">
        <f>IF(A366="","",IFERROR(VALUE(SUBSTITUTE(SUBSTITUTE(INDEX('Etsy Import'!$A:$CZ,366,Settings!$C$26)&amp;"","$",""),",","")),0)/IF(Settings!$B$27="Yes",G366,1))</f>
        <v/>
      </c>
      <c r="J366" s="11">
        <f>IF(A366="","",F366+H366-I366)</f>
        <v/>
      </c>
      <c r="K366">
        <f>IF(A366="","",IFERROR(IF(B366="",NA(),MATCH(B366,Products!$B$5:$B$204,0)),IFERROR(MATCH(A366,Products!$A$5:$A$204,0),"")))</f>
        <v/>
      </c>
      <c r="L366">
        <f>IF(A366="","",IF(K366="","⚠ not in Products",INDEX(Products!$A$5:$A$204,K366)))</f>
        <v/>
      </c>
      <c r="M366" s="11">
        <f>IF(A366="","",J366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366+IFERROR(INDEX(Settings!$D$5:$D$9,MATCH("Etsy",Settings!$A$5:$A$9,0)),0)*D366)</f>
        <v/>
      </c>
      <c r="N366" s="11">
        <f>IF(A366="","",IF(K366="",0,D366*INDEX(Products!$I$5:$I$204,K366)))</f>
        <v/>
      </c>
      <c r="O366" s="11">
        <f>IF(A366="","",IF(K366="",0,J366*INDEX(Products!$H$5:$H$204,K366)))</f>
        <v/>
      </c>
      <c r="P366" s="11">
        <f>IF(A366="","",J366-M366-N366-O366)</f>
        <v/>
      </c>
    </row>
    <row r="367">
      <c r="A367">
        <f>IFERROR(INDEX('Etsy Import'!$A:$CZ,367,Settings!$C$20)&amp;"","")</f>
        <v/>
      </c>
      <c r="B367">
        <f>IFERROR(INDEX('Etsy Import'!$A:$CZ,367,Settings!$C$21)&amp;"","")</f>
        <v/>
      </c>
      <c r="C367">
        <f>IFERROR(INDEX('Etsy Import'!$A:$CZ,367,Settings!$C$22)&amp;"","")</f>
        <v/>
      </c>
      <c r="D367">
        <f>IF(A367="","",IFERROR(VALUE(SUBSTITUTE(SUBSTITUTE(INDEX('Etsy Import'!$A:$CZ,367,Settings!$C$23)&amp;"","$",""),",","")),0))</f>
        <v/>
      </c>
      <c r="E367" s="11">
        <f>IF(A367="","",IFERROR(VALUE(SUBSTITUTE(SUBSTITUTE(INDEX('Etsy Import'!$A:$CZ,367,Settings!$C$24)&amp;"","$",""),",","")),0))</f>
        <v/>
      </c>
      <c r="F367" s="11">
        <f>IF(A367="","",D367*E367)</f>
        <v/>
      </c>
      <c r="G367">
        <f>IF(A367="","",IF(C367="",1,COUNTIF($C$2:$C$1501,C367)))</f>
        <v/>
      </c>
      <c r="H367" s="11">
        <f>IF(A367="","",IFERROR(VALUE(SUBSTITUTE(SUBSTITUTE(INDEX('Etsy Import'!$A:$CZ,367,Settings!$C$25)&amp;"","$",""),",","")),0)/IF(Settings!$B$27="Yes",G367,1))</f>
        <v/>
      </c>
      <c r="I367" s="11">
        <f>IF(A367="","",IFERROR(VALUE(SUBSTITUTE(SUBSTITUTE(INDEX('Etsy Import'!$A:$CZ,367,Settings!$C$26)&amp;"","$",""),",","")),0)/IF(Settings!$B$27="Yes",G367,1))</f>
        <v/>
      </c>
      <c r="J367" s="11">
        <f>IF(A367="","",F367+H367-I367)</f>
        <v/>
      </c>
      <c r="K367">
        <f>IF(A367="","",IFERROR(IF(B367="",NA(),MATCH(B367,Products!$B$5:$B$204,0)),IFERROR(MATCH(A367,Products!$A$5:$A$204,0),"")))</f>
        <v/>
      </c>
      <c r="L367">
        <f>IF(A367="","",IF(K367="","⚠ not in Products",INDEX(Products!$A$5:$A$204,K367)))</f>
        <v/>
      </c>
      <c r="M367" s="11">
        <f>IF(A367="","",J367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367+IFERROR(INDEX(Settings!$D$5:$D$9,MATCH("Etsy",Settings!$A$5:$A$9,0)),0)*D367)</f>
        <v/>
      </c>
      <c r="N367" s="11">
        <f>IF(A367="","",IF(K367="",0,D367*INDEX(Products!$I$5:$I$204,K367)))</f>
        <v/>
      </c>
      <c r="O367" s="11">
        <f>IF(A367="","",IF(K367="",0,J367*INDEX(Products!$H$5:$H$204,K367)))</f>
        <v/>
      </c>
      <c r="P367" s="11">
        <f>IF(A367="","",J367-M367-N367-O367)</f>
        <v/>
      </c>
    </row>
    <row r="368">
      <c r="A368">
        <f>IFERROR(INDEX('Etsy Import'!$A:$CZ,368,Settings!$C$20)&amp;"","")</f>
        <v/>
      </c>
      <c r="B368">
        <f>IFERROR(INDEX('Etsy Import'!$A:$CZ,368,Settings!$C$21)&amp;"","")</f>
        <v/>
      </c>
      <c r="C368">
        <f>IFERROR(INDEX('Etsy Import'!$A:$CZ,368,Settings!$C$22)&amp;"","")</f>
        <v/>
      </c>
      <c r="D368">
        <f>IF(A368="","",IFERROR(VALUE(SUBSTITUTE(SUBSTITUTE(INDEX('Etsy Import'!$A:$CZ,368,Settings!$C$23)&amp;"","$",""),",","")),0))</f>
        <v/>
      </c>
      <c r="E368" s="11">
        <f>IF(A368="","",IFERROR(VALUE(SUBSTITUTE(SUBSTITUTE(INDEX('Etsy Import'!$A:$CZ,368,Settings!$C$24)&amp;"","$",""),",","")),0))</f>
        <v/>
      </c>
      <c r="F368" s="11">
        <f>IF(A368="","",D368*E368)</f>
        <v/>
      </c>
      <c r="G368">
        <f>IF(A368="","",IF(C368="",1,COUNTIF($C$2:$C$1501,C368)))</f>
        <v/>
      </c>
      <c r="H368" s="11">
        <f>IF(A368="","",IFERROR(VALUE(SUBSTITUTE(SUBSTITUTE(INDEX('Etsy Import'!$A:$CZ,368,Settings!$C$25)&amp;"","$",""),",","")),0)/IF(Settings!$B$27="Yes",G368,1))</f>
        <v/>
      </c>
      <c r="I368" s="11">
        <f>IF(A368="","",IFERROR(VALUE(SUBSTITUTE(SUBSTITUTE(INDEX('Etsy Import'!$A:$CZ,368,Settings!$C$26)&amp;"","$",""),",","")),0)/IF(Settings!$B$27="Yes",G368,1))</f>
        <v/>
      </c>
      <c r="J368" s="11">
        <f>IF(A368="","",F368+H368-I368)</f>
        <v/>
      </c>
      <c r="K368">
        <f>IF(A368="","",IFERROR(IF(B368="",NA(),MATCH(B368,Products!$B$5:$B$204,0)),IFERROR(MATCH(A368,Products!$A$5:$A$204,0),"")))</f>
        <v/>
      </c>
      <c r="L368">
        <f>IF(A368="","",IF(K368="","⚠ not in Products",INDEX(Products!$A$5:$A$204,K368)))</f>
        <v/>
      </c>
      <c r="M368" s="11">
        <f>IF(A368="","",J368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368+IFERROR(INDEX(Settings!$D$5:$D$9,MATCH("Etsy",Settings!$A$5:$A$9,0)),0)*D368)</f>
        <v/>
      </c>
      <c r="N368" s="11">
        <f>IF(A368="","",IF(K368="",0,D368*INDEX(Products!$I$5:$I$204,K368)))</f>
        <v/>
      </c>
      <c r="O368" s="11">
        <f>IF(A368="","",IF(K368="",0,J368*INDEX(Products!$H$5:$H$204,K368)))</f>
        <v/>
      </c>
      <c r="P368" s="11">
        <f>IF(A368="","",J368-M368-N368-O368)</f>
        <v/>
      </c>
    </row>
    <row r="369">
      <c r="A369">
        <f>IFERROR(INDEX('Etsy Import'!$A:$CZ,369,Settings!$C$20)&amp;"","")</f>
        <v/>
      </c>
      <c r="B369">
        <f>IFERROR(INDEX('Etsy Import'!$A:$CZ,369,Settings!$C$21)&amp;"","")</f>
        <v/>
      </c>
      <c r="C369">
        <f>IFERROR(INDEX('Etsy Import'!$A:$CZ,369,Settings!$C$22)&amp;"","")</f>
        <v/>
      </c>
      <c r="D369">
        <f>IF(A369="","",IFERROR(VALUE(SUBSTITUTE(SUBSTITUTE(INDEX('Etsy Import'!$A:$CZ,369,Settings!$C$23)&amp;"","$",""),",","")),0))</f>
        <v/>
      </c>
      <c r="E369" s="11">
        <f>IF(A369="","",IFERROR(VALUE(SUBSTITUTE(SUBSTITUTE(INDEX('Etsy Import'!$A:$CZ,369,Settings!$C$24)&amp;"","$",""),",","")),0))</f>
        <v/>
      </c>
      <c r="F369" s="11">
        <f>IF(A369="","",D369*E369)</f>
        <v/>
      </c>
      <c r="G369">
        <f>IF(A369="","",IF(C369="",1,COUNTIF($C$2:$C$1501,C369)))</f>
        <v/>
      </c>
      <c r="H369" s="11">
        <f>IF(A369="","",IFERROR(VALUE(SUBSTITUTE(SUBSTITUTE(INDEX('Etsy Import'!$A:$CZ,369,Settings!$C$25)&amp;"","$",""),",","")),0)/IF(Settings!$B$27="Yes",G369,1))</f>
        <v/>
      </c>
      <c r="I369" s="11">
        <f>IF(A369="","",IFERROR(VALUE(SUBSTITUTE(SUBSTITUTE(INDEX('Etsy Import'!$A:$CZ,369,Settings!$C$26)&amp;"","$",""),",","")),0)/IF(Settings!$B$27="Yes",G369,1))</f>
        <v/>
      </c>
      <c r="J369" s="11">
        <f>IF(A369="","",F369+H369-I369)</f>
        <v/>
      </c>
      <c r="K369">
        <f>IF(A369="","",IFERROR(IF(B369="",NA(),MATCH(B369,Products!$B$5:$B$204,0)),IFERROR(MATCH(A369,Products!$A$5:$A$204,0),"")))</f>
        <v/>
      </c>
      <c r="L369">
        <f>IF(A369="","",IF(K369="","⚠ not in Products",INDEX(Products!$A$5:$A$204,K369)))</f>
        <v/>
      </c>
      <c r="M369" s="11">
        <f>IF(A369="","",J369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369+IFERROR(INDEX(Settings!$D$5:$D$9,MATCH("Etsy",Settings!$A$5:$A$9,0)),0)*D369)</f>
        <v/>
      </c>
      <c r="N369" s="11">
        <f>IF(A369="","",IF(K369="",0,D369*INDEX(Products!$I$5:$I$204,K369)))</f>
        <v/>
      </c>
      <c r="O369" s="11">
        <f>IF(A369="","",IF(K369="",0,J369*INDEX(Products!$H$5:$H$204,K369)))</f>
        <v/>
      </c>
      <c r="P369" s="11">
        <f>IF(A369="","",J369-M369-N369-O369)</f>
        <v/>
      </c>
    </row>
    <row r="370">
      <c r="A370">
        <f>IFERROR(INDEX('Etsy Import'!$A:$CZ,370,Settings!$C$20)&amp;"","")</f>
        <v/>
      </c>
      <c r="B370">
        <f>IFERROR(INDEX('Etsy Import'!$A:$CZ,370,Settings!$C$21)&amp;"","")</f>
        <v/>
      </c>
      <c r="C370">
        <f>IFERROR(INDEX('Etsy Import'!$A:$CZ,370,Settings!$C$22)&amp;"","")</f>
        <v/>
      </c>
      <c r="D370">
        <f>IF(A370="","",IFERROR(VALUE(SUBSTITUTE(SUBSTITUTE(INDEX('Etsy Import'!$A:$CZ,370,Settings!$C$23)&amp;"","$",""),",","")),0))</f>
        <v/>
      </c>
      <c r="E370" s="11">
        <f>IF(A370="","",IFERROR(VALUE(SUBSTITUTE(SUBSTITUTE(INDEX('Etsy Import'!$A:$CZ,370,Settings!$C$24)&amp;"","$",""),",","")),0))</f>
        <v/>
      </c>
      <c r="F370" s="11">
        <f>IF(A370="","",D370*E370)</f>
        <v/>
      </c>
      <c r="G370">
        <f>IF(A370="","",IF(C370="",1,COUNTIF($C$2:$C$1501,C370)))</f>
        <v/>
      </c>
      <c r="H370" s="11">
        <f>IF(A370="","",IFERROR(VALUE(SUBSTITUTE(SUBSTITUTE(INDEX('Etsy Import'!$A:$CZ,370,Settings!$C$25)&amp;"","$",""),",","")),0)/IF(Settings!$B$27="Yes",G370,1))</f>
        <v/>
      </c>
      <c r="I370" s="11">
        <f>IF(A370="","",IFERROR(VALUE(SUBSTITUTE(SUBSTITUTE(INDEX('Etsy Import'!$A:$CZ,370,Settings!$C$26)&amp;"","$",""),",","")),0)/IF(Settings!$B$27="Yes",G370,1))</f>
        <v/>
      </c>
      <c r="J370" s="11">
        <f>IF(A370="","",F370+H370-I370)</f>
        <v/>
      </c>
      <c r="K370">
        <f>IF(A370="","",IFERROR(IF(B370="",NA(),MATCH(B370,Products!$B$5:$B$204,0)),IFERROR(MATCH(A370,Products!$A$5:$A$204,0),"")))</f>
        <v/>
      </c>
      <c r="L370">
        <f>IF(A370="","",IF(K370="","⚠ not in Products",INDEX(Products!$A$5:$A$204,K370)))</f>
        <v/>
      </c>
      <c r="M370" s="11">
        <f>IF(A370="","",J370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370+IFERROR(INDEX(Settings!$D$5:$D$9,MATCH("Etsy",Settings!$A$5:$A$9,0)),0)*D370)</f>
        <v/>
      </c>
      <c r="N370" s="11">
        <f>IF(A370="","",IF(K370="",0,D370*INDEX(Products!$I$5:$I$204,K370)))</f>
        <v/>
      </c>
      <c r="O370" s="11">
        <f>IF(A370="","",IF(K370="",0,J370*INDEX(Products!$H$5:$H$204,K370)))</f>
        <v/>
      </c>
      <c r="P370" s="11">
        <f>IF(A370="","",J370-M370-N370-O370)</f>
        <v/>
      </c>
    </row>
    <row r="371">
      <c r="A371">
        <f>IFERROR(INDEX('Etsy Import'!$A:$CZ,371,Settings!$C$20)&amp;"","")</f>
        <v/>
      </c>
      <c r="B371">
        <f>IFERROR(INDEX('Etsy Import'!$A:$CZ,371,Settings!$C$21)&amp;"","")</f>
        <v/>
      </c>
      <c r="C371">
        <f>IFERROR(INDEX('Etsy Import'!$A:$CZ,371,Settings!$C$22)&amp;"","")</f>
        <v/>
      </c>
      <c r="D371">
        <f>IF(A371="","",IFERROR(VALUE(SUBSTITUTE(SUBSTITUTE(INDEX('Etsy Import'!$A:$CZ,371,Settings!$C$23)&amp;"","$",""),",","")),0))</f>
        <v/>
      </c>
      <c r="E371" s="11">
        <f>IF(A371="","",IFERROR(VALUE(SUBSTITUTE(SUBSTITUTE(INDEX('Etsy Import'!$A:$CZ,371,Settings!$C$24)&amp;"","$",""),",","")),0))</f>
        <v/>
      </c>
      <c r="F371" s="11">
        <f>IF(A371="","",D371*E371)</f>
        <v/>
      </c>
      <c r="G371">
        <f>IF(A371="","",IF(C371="",1,COUNTIF($C$2:$C$1501,C371)))</f>
        <v/>
      </c>
      <c r="H371" s="11">
        <f>IF(A371="","",IFERROR(VALUE(SUBSTITUTE(SUBSTITUTE(INDEX('Etsy Import'!$A:$CZ,371,Settings!$C$25)&amp;"","$",""),",","")),0)/IF(Settings!$B$27="Yes",G371,1))</f>
        <v/>
      </c>
      <c r="I371" s="11">
        <f>IF(A371="","",IFERROR(VALUE(SUBSTITUTE(SUBSTITUTE(INDEX('Etsy Import'!$A:$CZ,371,Settings!$C$26)&amp;"","$",""),",","")),0)/IF(Settings!$B$27="Yes",G371,1))</f>
        <v/>
      </c>
      <c r="J371" s="11">
        <f>IF(A371="","",F371+H371-I371)</f>
        <v/>
      </c>
      <c r="K371">
        <f>IF(A371="","",IFERROR(IF(B371="",NA(),MATCH(B371,Products!$B$5:$B$204,0)),IFERROR(MATCH(A371,Products!$A$5:$A$204,0),"")))</f>
        <v/>
      </c>
      <c r="L371">
        <f>IF(A371="","",IF(K371="","⚠ not in Products",INDEX(Products!$A$5:$A$204,K371)))</f>
        <v/>
      </c>
      <c r="M371" s="11">
        <f>IF(A371="","",J371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371+IFERROR(INDEX(Settings!$D$5:$D$9,MATCH("Etsy",Settings!$A$5:$A$9,0)),0)*D371)</f>
        <v/>
      </c>
      <c r="N371" s="11">
        <f>IF(A371="","",IF(K371="",0,D371*INDEX(Products!$I$5:$I$204,K371)))</f>
        <v/>
      </c>
      <c r="O371" s="11">
        <f>IF(A371="","",IF(K371="",0,J371*INDEX(Products!$H$5:$H$204,K371)))</f>
        <v/>
      </c>
      <c r="P371" s="11">
        <f>IF(A371="","",J371-M371-N371-O371)</f>
        <v/>
      </c>
    </row>
    <row r="372">
      <c r="A372">
        <f>IFERROR(INDEX('Etsy Import'!$A:$CZ,372,Settings!$C$20)&amp;"","")</f>
        <v/>
      </c>
      <c r="B372">
        <f>IFERROR(INDEX('Etsy Import'!$A:$CZ,372,Settings!$C$21)&amp;"","")</f>
        <v/>
      </c>
      <c r="C372">
        <f>IFERROR(INDEX('Etsy Import'!$A:$CZ,372,Settings!$C$22)&amp;"","")</f>
        <v/>
      </c>
      <c r="D372">
        <f>IF(A372="","",IFERROR(VALUE(SUBSTITUTE(SUBSTITUTE(INDEX('Etsy Import'!$A:$CZ,372,Settings!$C$23)&amp;"","$",""),",","")),0))</f>
        <v/>
      </c>
      <c r="E372" s="11">
        <f>IF(A372="","",IFERROR(VALUE(SUBSTITUTE(SUBSTITUTE(INDEX('Etsy Import'!$A:$CZ,372,Settings!$C$24)&amp;"","$",""),",","")),0))</f>
        <v/>
      </c>
      <c r="F372" s="11">
        <f>IF(A372="","",D372*E372)</f>
        <v/>
      </c>
      <c r="G372">
        <f>IF(A372="","",IF(C372="",1,COUNTIF($C$2:$C$1501,C372)))</f>
        <v/>
      </c>
      <c r="H372" s="11">
        <f>IF(A372="","",IFERROR(VALUE(SUBSTITUTE(SUBSTITUTE(INDEX('Etsy Import'!$A:$CZ,372,Settings!$C$25)&amp;"","$",""),",","")),0)/IF(Settings!$B$27="Yes",G372,1))</f>
        <v/>
      </c>
      <c r="I372" s="11">
        <f>IF(A372="","",IFERROR(VALUE(SUBSTITUTE(SUBSTITUTE(INDEX('Etsy Import'!$A:$CZ,372,Settings!$C$26)&amp;"","$",""),",","")),0)/IF(Settings!$B$27="Yes",G372,1))</f>
        <v/>
      </c>
      <c r="J372" s="11">
        <f>IF(A372="","",F372+H372-I372)</f>
        <v/>
      </c>
      <c r="K372">
        <f>IF(A372="","",IFERROR(IF(B372="",NA(),MATCH(B372,Products!$B$5:$B$204,0)),IFERROR(MATCH(A372,Products!$A$5:$A$204,0),"")))</f>
        <v/>
      </c>
      <c r="L372">
        <f>IF(A372="","",IF(K372="","⚠ not in Products",INDEX(Products!$A$5:$A$204,K372)))</f>
        <v/>
      </c>
      <c r="M372" s="11">
        <f>IF(A372="","",J372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372+IFERROR(INDEX(Settings!$D$5:$D$9,MATCH("Etsy",Settings!$A$5:$A$9,0)),0)*D372)</f>
        <v/>
      </c>
      <c r="N372" s="11">
        <f>IF(A372="","",IF(K372="",0,D372*INDEX(Products!$I$5:$I$204,K372)))</f>
        <v/>
      </c>
      <c r="O372" s="11">
        <f>IF(A372="","",IF(K372="",0,J372*INDEX(Products!$H$5:$H$204,K372)))</f>
        <v/>
      </c>
      <c r="P372" s="11">
        <f>IF(A372="","",J372-M372-N372-O372)</f>
        <v/>
      </c>
    </row>
    <row r="373">
      <c r="A373">
        <f>IFERROR(INDEX('Etsy Import'!$A:$CZ,373,Settings!$C$20)&amp;"","")</f>
        <v/>
      </c>
      <c r="B373">
        <f>IFERROR(INDEX('Etsy Import'!$A:$CZ,373,Settings!$C$21)&amp;"","")</f>
        <v/>
      </c>
      <c r="C373">
        <f>IFERROR(INDEX('Etsy Import'!$A:$CZ,373,Settings!$C$22)&amp;"","")</f>
        <v/>
      </c>
      <c r="D373">
        <f>IF(A373="","",IFERROR(VALUE(SUBSTITUTE(SUBSTITUTE(INDEX('Etsy Import'!$A:$CZ,373,Settings!$C$23)&amp;"","$",""),",","")),0))</f>
        <v/>
      </c>
      <c r="E373" s="11">
        <f>IF(A373="","",IFERROR(VALUE(SUBSTITUTE(SUBSTITUTE(INDEX('Etsy Import'!$A:$CZ,373,Settings!$C$24)&amp;"","$",""),",","")),0))</f>
        <v/>
      </c>
      <c r="F373" s="11">
        <f>IF(A373="","",D373*E373)</f>
        <v/>
      </c>
      <c r="G373">
        <f>IF(A373="","",IF(C373="",1,COUNTIF($C$2:$C$1501,C373)))</f>
        <v/>
      </c>
      <c r="H373" s="11">
        <f>IF(A373="","",IFERROR(VALUE(SUBSTITUTE(SUBSTITUTE(INDEX('Etsy Import'!$A:$CZ,373,Settings!$C$25)&amp;"","$",""),",","")),0)/IF(Settings!$B$27="Yes",G373,1))</f>
        <v/>
      </c>
      <c r="I373" s="11">
        <f>IF(A373="","",IFERROR(VALUE(SUBSTITUTE(SUBSTITUTE(INDEX('Etsy Import'!$A:$CZ,373,Settings!$C$26)&amp;"","$",""),",","")),0)/IF(Settings!$B$27="Yes",G373,1))</f>
        <v/>
      </c>
      <c r="J373" s="11">
        <f>IF(A373="","",F373+H373-I373)</f>
        <v/>
      </c>
      <c r="K373">
        <f>IF(A373="","",IFERROR(IF(B373="",NA(),MATCH(B373,Products!$B$5:$B$204,0)),IFERROR(MATCH(A373,Products!$A$5:$A$204,0),"")))</f>
        <v/>
      </c>
      <c r="L373">
        <f>IF(A373="","",IF(K373="","⚠ not in Products",INDEX(Products!$A$5:$A$204,K373)))</f>
        <v/>
      </c>
      <c r="M373" s="11">
        <f>IF(A373="","",J373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373+IFERROR(INDEX(Settings!$D$5:$D$9,MATCH("Etsy",Settings!$A$5:$A$9,0)),0)*D373)</f>
        <v/>
      </c>
      <c r="N373" s="11">
        <f>IF(A373="","",IF(K373="",0,D373*INDEX(Products!$I$5:$I$204,K373)))</f>
        <v/>
      </c>
      <c r="O373" s="11">
        <f>IF(A373="","",IF(K373="",0,J373*INDEX(Products!$H$5:$H$204,K373)))</f>
        <v/>
      </c>
      <c r="P373" s="11">
        <f>IF(A373="","",J373-M373-N373-O373)</f>
        <v/>
      </c>
    </row>
    <row r="374">
      <c r="A374">
        <f>IFERROR(INDEX('Etsy Import'!$A:$CZ,374,Settings!$C$20)&amp;"","")</f>
        <v/>
      </c>
      <c r="B374">
        <f>IFERROR(INDEX('Etsy Import'!$A:$CZ,374,Settings!$C$21)&amp;"","")</f>
        <v/>
      </c>
      <c r="C374">
        <f>IFERROR(INDEX('Etsy Import'!$A:$CZ,374,Settings!$C$22)&amp;"","")</f>
        <v/>
      </c>
      <c r="D374">
        <f>IF(A374="","",IFERROR(VALUE(SUBSTITUTE(SUBSTITUTE(INDEX('Etsy Import'!$A:$CZ,374,Settings!$C$23)&amp;"","$",""),",","")),0))</f>
        <v/>
      </c>
      <c r="E374" s="11">
        <f>IF(A374="","",IFERROR(VALUE(SUBSTITUTE(SUBSTITUTE(INDEX('Etsy Import'!$A:$CZ,374,Settings!$C$24)&amp;"","$",""),",","")),0))</f>
        <v/>
      </c>
      <c r="F374" s="11">
        <f>IF(A374="","",D374*E374)</f>
        <v/>
      </c>
      <c r="G374">
        <f>IF(A374="","",IF(C374="",1,COUNTIF($C$2:$C$1501,C374)))</f>
        <v/>
      </c>
      <c r="H374" s="11">
        <f>IF(A374="","",IFERROR(VALUE(SUBSTITUTE(SUBSTITUTE(INDEX('Etsy Import'!$A:$CZ,374,Settings!$C$25)&amp;"","$",""),",","")),0)/IF(Settings!$B$27="Yes",G374,1))</f>
        <v/>
      </c>
      <c r="I374" s="11">
        <f>IF(A374="","",IFERROR(VALUE(SUBSTITUTE(SUBSTITUTE(INDEX('Etsy Import'!$A:$CZ,374,Settings!$C$26)&amp;"","$",""),",","")),0)/IF(Settings!$B$27="Yes",G374,1))</f>
        <v/>
      </c>
      <c r="J374" s="11">
        <f>IF(A374="","",F374+H374-I374)</f>
        <v/>
      </c>
      <c r="K374">
        <f>IF(A374="","",IFERROR(IF(B374="",NA(),MATCH(B374,Products!$B$5:$B$204,0)),IFERROR(MATCH(A374,Products!$A$5:$A$204,0),"")))</f>
        <v/>
      </c>
      <c r="L374">
        <f>IF(A374="","",IF(K374="","⚠ not in Products",INDEX(Products!$A$5:$A$204,K374)))</f>
        <v/>
      </c>
      <c r="M374" s="11">
        <f>IF(A374="","",J374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374+IFERROR(INDEX(Settings!$D$5:$D$9,MATCH("Etsy",Settings!$A$5:$A$9,0)),0)*D374)</f>
        <v/>
      </c>
      <c r="N374" s="11">
        <f>IF(A374="","",IF(K374="",0,D374*INDEX(Products!$I$5:$I$204,K374)))</f>
        <v/>
      </c>
      <c r="O374" s="11">
        <f>IF(A374="","",IF(K374="",0,J374*INDEX(Products!$H$5:$H$204,K374)))</f>
        <v/>
      </c>
      <c r="P374" s="11">
        <f>IF(A374="","",J374-M374-N374-O374)</f>
        <v/>
      </c>
    </row>
    <row r="375">
      <c r="A375">
        <f>IFERROR(INDEX('Etsy Import'!$A:$CZ,375,Settings!$C$20)&amp;"","")</f>
        <v/>
      </c>
      <c r="B375">
        <f>IFERROR(INDEX('Etsy Import'!$A:$CZ,375,Settings!$C$21)&amp;"","")</f>
        <v/>
      </c>
      <c r="C375">
        <f>IFERROR(INDEX('Etsy Import'!$A:$CZ,375,Settings!$C$22)&amp;"","")</f>
        <v/>
      </c>
      <c r="D375">
        <f>IF(A375="","",IFERROR(VALUE(SUBSTITUTE(SUBSTITUTE(INDEX('Etsy Import'!$A:$CZ,375,Settings!$C$23)&amp;"","$",""),",","")),0))</f>
        <v/>
      </c>
      <c r="E375" s="11">
        <f>IF(A375="","",IFERROR(VALUE(SUBSTITUTE(SUBSTITUTE(INDEX('Etsy Import'!$A:$CZ,375,Settings!$C$24)&amp;"","$",""),",","")),0))</f>
        <v/>
      </c>
      <c r="F375" s="11">
        <f>IF(A375="","",D375*E375)</f>
        <v/>
      </c>
      <c r="G375">
        <f>IF(A375="","",IF(C375="",1,COUNTIF($C$2:$C$1501,C375)))</f>
        <v/>
      </c>
      <c r="H375" s="11">
        <f>IF(A375="","",IFERROR(VALUE(SUBSTITUTE(SUBSTITUTE(INDEX('Etsy Import'!$A:$CZ,375,Settings!$C$25)&amp;"","$",""),",","")),0)/IF(Settings!$B$27="Yes",G375,1))</f>
        <v/>
      </c>
      <c r="I375" s="11">
        <f>IF(A375="","",IFERROR(VALUE(SUBSTITUTE(SUBSTITUTE(INDEX('Etsy Import'!$A:$CZ,375,Settings!$C$26)&amp;"","$",""),",","")),0)/IF(Settings!$B$27="Yes",G375,1))</f>
        <v/>
      </c>
      <c r="J375" s="11">
        <f>IF(A375="","",F375+H375-I375)</f>
        <v/>
      </c>
      <c r="K375">
        <f>IF(A375="","",IFERROR(IF(B375="",NA(),MATCH(B375,Products!$B$5:$B$204,0)),IFERROR(MATCH(A375,Products!$A$5:$A$204,0),"")))</f>
        <v/>
      </c>
      <c r="L375">
        <f>IF(A375="","",IF(K375="","⚠ not in Products",INDEX(Products!$A$5:$A$204,K375)))</f>
        <v/>
      </c>
      <c r="M375" s="11">
        <f>IF(A375="","",J375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375+IFERROR(INDEX(Settings!$D$5:$D$9,MATCH("Etsy",Settings!$A$5:$A$9,0)),0)*D375)</f>
        <v/>
      </c>
      <c r="N375" s="11">
        <f>IF(A375="","",IF(K375="",0,D375*INDEX(Products!$I$5:$I$204,K375)))</f>
        <v/>
      </c>
      <c r="O375" s="11">
        <f>IF(A375="","",IF(K375="",0,J375*INDEX(Products!$H$5:$H$204,K375)))</f>
        <v/>
      </c>
      <c r="P375" s="11">
        <f>IF(A375="","",J375-M375-N375-O375)</f>
        <v/>
      </c>
    </row>
    <row r="376">
      <c r="A376">
        <f>IFERROR(INDEX('Etsy Import'!$A:$CZ,376,Settings!$C$20)&amp;"","")</f>
        <v/>
      </c>
      <c r="B376">
        <f>IFERROR(INDEX('Etsy Import'!$A:$CZ,376,Settings!$C$21)&amp;"","")</f>
        <v/>
      </c>
      <c r="C376">
        <f>IFERROR(INDEX('Etsy Import'!$A:$CZ,376,Settings!$C$22)&amp;"","")</f>
        <v/>
      </c>
      <c r="D376">
        <f>IF(A376="","",IFERROR(VALUE(SUBSTITUTE(SUBSTITUTE(INDEX('Etsy Import'!$A:$CZ,376,Settings!$C$23)&amp;"","$",""),",","")),0))</f>
        <v/>
      </c>
      <c r="E376" s="11">
        <f>IF(A376="","",IFERROR(VALUE(SUBSTITUTE(SUBSTITUTE(INDEX('Etsy Import'!$A:$CZ,376,Settings!$C$24)&amp;"","$",""),",","")),0))</f>
        <v/>
      </c>
      <c r="F376" s="11">
        <f>IF(A376="","",D376*E376)</f>
        <v/>
      </c>
      <c r="G376">
        <f>IF(A376="","",IF(C376="",1,COUNTIF($C$2:$C$1501,C376)))</f>
        <v/>
      </c>
      <c r="H376" s="11">
        <f>IF(A376="","",IFERROR(VALUE(SUBSTITUTE(SUBSTITUTE(INDEX('Etsy Import'!$A:$CZ,376,Settings!$C$25)&amp;"","$",""),",","")),0)/IF(Settings!$B$27="Yes",G376,1))</f>
        <v/>
      </c>
      <c r="I376" s="11">
        <f>IF(A376="","",IFERROR(VALUE(SUBSTITUTE(SUBSTITUTE(INDEX('Etsy Import'!$A:$CZ,376,Settings!$C$26)&amp;"","$",""),",","")),0)/IF(Settings!$B$27="Yes",G376,1))</f>
        <v/>
      </c>
      <c r="J376" s="11">
        <f>IF(A376="","",F376+H376-I376)</f>
        <v/>
      </c>
      <c r="K376">
        <f>IF(A376="","",IFERROR(IF(B376="",NA(),MATCH(B376,Products!$B$5:$B$204,0)),IFERROR(MATCH(A376,Products!$A$5:$A$204,0),"")))</f>
        <v/>
      </c>
      <c r="L376">
        <f>IF(A376="","",IF(K376="","⚠ not in Products",INDEX(Products!$A$5:$A$204,K376)))</f>
        <v/>
      </c>
      <c r="M376" s="11">
        <f>IF(A376="","",J376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376+IFERROR(INDEX(Settings!$D$5:$D$9,MATCH("Etsy",Settings!$A$5:$A$9,0)),0)*D376)</f>
        <v/>
      </c>
      <c r="N376" s="11">
        <f>IF(A376="","",IF(K376="",0,D376*INDEX(Products!$I$5:$I$204,K376)))</f>
        <v/>
      </c>
      <c r="O376" s="11">
        <f>IF(A376="","",IF(K376="",0,J376*INDEX(Products!$H$5:$H$204,K376)))</f>
        <v/>
      </c>
      <c r="P376" s="11">
        <f>IF(A376="","",J376-M376-N376-O376)</f>
        <v/>
      </c>
    </row>
    <row r="377">
      <c r="A377">
        <f>IFERROR(INDEX('Etsy Import'!$A:$CZ,377,Settings!$C$20)&amp;"","")</f>
        <v/>
      </c>
      <c r="B377">
        <f>IFERROR(INDEX('Etsy Import'!$A:$CZ,377,Settings!$C$21)&amp;"","")</f>
        <v/>
      </c>
      <c r="C377">
        <f>IFERROR(INDEX('Etsy Import'!$A:$CZ,377,Settings!$C$22)&amp;"","")</f>
        <v/>
      </c>
      <c r="D377">
        <f>IF(A377="","",IFERROR(VALUE(SUBSTITUTE(SUBSTITUTE(INDEX('Etsy Import'!$A:$CZ,377,Settings!$C$23)&amp;"","$",""),",","")),0))</f>
        <v/>
      </c>
      <c r="E377" s="11">
        <f>IF(A377="","",IFERROR(VALUE(SUBSTITUTE(SUBSTITUTE(INDEX('Etsy Import'!$A:$CZ,377,Settings!$C$24)&amp;"","$",""),",","")),0))</f>
        <v/>
      </c>
      <c r="F377" s="11">
        <f>IF(A377="","",D377*E377)</f>
        <v/>
      </c>
      <c r="G377">
        <f>IF(A377="","",IF(C377="",1,COUNTIF($C$2:$C$1501,C377)))</f>
        <v/>
      </c>
      <c r="H377" s="11">
        <f>IF(A377="","",IFERROR(VALUE(SUBSTITUTE(SUBSTITUTE(INDEX('Etsy Import'!$A:$CZ,377,Settings!$C$25)&amp;"","$",""),",","")),0)/IF(Settings!$B$27="Yes",G377,1))</f>
        <v/>
      </c>
      <c r="I377" s="11">
        <f>IF(A377="","",IFERROR(VALUE(SUBSTITUTE(SUBSTITUTE(INDEX('Etsy Import'!$A:$CZ,377,Settings!$C$26)&amp;"","$",""),",","")),0)/IF(Settings!$B$27="Yes",G377,1))</f>
        <v/>
      </c>
      <c r="J377" s="11">
        <f>IF(A377="","",F377+H377-I377)</f>
        <v/>
      </c>
      <c r="K377">
        <f>IF(A377="","",IFERROR(IF(B377="",NA(),MATCH(B377,Products!$B$5:$B$204,0)),IFERROR(MATCH(A377,Products!$A$5:$A$204,0),"")))</f>
        <v/>
      </c>
      <c r="L377">
        <f>IF(A377="","",IF(K377="","⚠ not in Products",INDEX(Products!$A$5:$A$204,K377)))</f>
        <v/>
      </c>
      <c r="M377" s="11">
        <f>IF(A377="","",J377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377+IFERROR(INDEX(Settings!$D$5:$D$9,MATCH("Etsy",Settings!$A$5:$A$9,0)),0)*D377)</f>
        <v/>
      </c>
      <c r="N377" s="11">
        <f>IF(A377="","",IF(K377="",0,D377*INDEX(Products!$I$5:$I$204,K377)))</f>
        <v/>
      </c>
      <c r="O377" s="11">
        <f>IF(A377="","",IF(K377="",0,J377*INDEX(Products!$H$5:$H$204,K377)))</f>
        <v/>
      </c>
      <c r="P377" s="11">
        <f>IF(A377="","",J377-M377-N377-O377)</f>
        <v/>
      </c>
    </row>
    <row r="378">
      <c r="A378">
        <f>IFERROR(INDEX('Etsy Import'!$A:$CZ,378,Settings!$C$20)&amp;"","")</f>
        <v/>
      </c>
      <c r="B378">
        <f>IFERROR(INDEX('Etsy Import'!$A:$CZ,378,Settings!$C$21)&amp;"","")</f>
        <v/>
      </c>
      <c r="C378">
        <f>IFERROR(INDEX('Etsy Import'!$A:$CZ,378,Settings!$C$22)&amp;"","")</f>
        <v/>
      </c>
      <c r="D378">
        <f>IF(A378="","",IFERROR(VALUE(SUBSTITUTE(SUBSTITUTE(INDEX('Etsy Import'!$A:$CZ,378,Settings!$C$23)&amp;"","$",""),",","")),0))</f>
        <v/>
      </c>
      <c r="E378" s="11">
        <f>IF(A378="","",IFERROR(VALUE(SUBSTITUTE(SUBSTITUTE(INDEX('Etsy Import'!$A:$CZ,378,Settings!$C$24)&amp;"","$",""),",","")),0))</f>
        <v/>
      </c>
      <c r="F378" s="11">
        <f>IF(A378="","",D378*E378)</f>
        <v/>
      </c>
      <c r="G378">
        <f>IF(A378="","",IF(C378="",1,COUNTIF($C$2:$C$1501,C378)))</f>
        <v/>
      </c>
      <c r="H378" s="11">
        <f>IF(A378="","",IFERROR(VALUE(SUBSTITUTE(SUBSTITUTE(INDEX('Etsy Import'!$A:$CZ,378,Settings!$C$25)&amp;"","$",""),",","")),0)/IF(Settings!$B$27="Yes",G378,1))</f>
        <v/>
      </c>
      <c r="I378" s="11">
        <f>IF(A378="","",IFERROR(VALUE(SUBSTITUTE(SUBSTITUTE(INDEX('Etsy Import'!$A:$CZ,378,Settings!$C$26)&amp;"","$",""),",","")),0)/IF(Settings!$B$27="Yes",G378,1))</f>
        <v/>
      </c>
      <c r="J378" s="11">
        <f>IF(A378="","",F378+H378-I378)</f>
        <v/>
      </c>
      <c r="K378">
        <f>IF(A378="","",IFERROR(IF(B378="",NA(),MATCH(B378,Products!$B$5:$B$204,0)),IFERROR(MATCH(A378,Products!$A$5:$A$204,0),"")))</f>
        <v/>
      </c>
      <c r="L378">
        <f>IF(A378="","",IF(K378="","⚠ not in Products",INDEX(Products!$A$5:$A$204,K378)))</f>
        <v/>
      </c>
      <c r="M378" s="11">
        <f>IF(A378="","",J378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378+IFERROR(INDEX(Settings!$D$5:$D$9,MATCH("Etsy",Settings!$A$5:$A$9,0)),0)*D378)</f>
        <v/>
      </c>
      <c r="N378" s="11">
        <f>IF(A378="","",IF(K378="",0,D378*INDEX(Products!$I$5:$I$204,K378)))</f>
        <v/>
      </c>
      <c r="O378" s="11">
        <f>IF(A378="","",IF(K378="",0,J378*INDEX(Products!$H$5:$H$204,K378)))</f>
        <v/>
      </c>
      <c r="P378" s="11">
        <f>IF(A378="","",J378-M378-N378-O378)</f>
        <v/>
      </c>
    </row>
    <row r="379">
      <c r="A379">
        <f>IFERROR(INDEX('Etsy Import'!$A:$CZ,379,Settings!$C$20)&amp;"","")</f>
        <v/>
      </c>
      <c r="B379">
        <f>IFERROR(INDEX('Etsy Import'!$A:$CZ,379,Settings!$C$21)&amp;"","")</f>
        <v/>
      </c>
      <c r="C379">
        <f>IFERROR(INDEX('Etsy Import'!$A:$CZ,379,Settings!$C$22)&amp;"","")</f>
        <v/>
      </c>
      <c r="D379">
        <f>IF(A379="","",IFERROR(VALUE(SUBSTITUTE(SUBSTITUTE(INDEX('Etsy Import'!$A:$CZ,379,Settings!$C$23)&amp;"","$",""),",","")),0))</f>
        <v/>
      </c>
      <c r="E379" s="11">
        <f>IF(A379="","",IFERROR(VALUE(SUBSTITUTE(SUBSTITUTE(INDEX('Etsy Import'!$A:$CZ,379,Settings!$C$24)&amp;"","$",""),",","")),0))</f>
        <v/>
      </c>
      <c r="F379" s="11">
        <f>IF(A379="","",D379*E379)</f>
        <v/>
      </c>
      <c r="G379">
        <f>IF(A379="","",IF(C379="",1,COUNTIF($C$2:$C$1501,C379)))</f>
        <v/>
      </c>
      <c r="H379" s="11">
        <f>IF(A379="","",IFERROR(VALUE(SUBSTITUTE(SUBSTITUTE(INDEX('Etsy Import'!$A:$CZ,379,Settings!$C$25)&amp;"","$",""),",","")),0)/IF(Settings!$B$27="Yes",G379,1))</f>
        <v/>
      </c>
      <c r="I379" s="11">
        <f>IF(A379="","",IFERROR(VALUE(SUBSTITUTE(SUBSTITUTE(INDEX('Etsy Import'!$A:$CZ,379,Settings!$C$26)&amp;"","$",""),",","")),0)/IF(Settings!$B$27="Yes",G379,1))</f>
        <v/>
      </c>
      <c r="J379" s="11">
        <f>IF(A379="","",F379+H379-I379)</f>
        <v/>
      </c>
      <c r="K379">
        <f>IF(A379="","",IFERROR(IF(B379="",NA(),MATCH(B379,Products!$B$5:$B$204,0)),IFERROR(MATCH(A379,Products!$A$5:$A$204,0),"")))</f>
        <v/>
      </c>
      <c r="L379">
        <f>IF(A379="","",IF(K379="","⚠ not in Products",INDEX(Products!$A$5:$A$204,K379)))</f>
        <v/>
      </c>
      <c r="M379" s="11">
        <f>IF(A379="","",J379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379+IFERROR(INDEX(Settings!$D$5:$D$9,MATCH("Etsy",Settings!$A$5:$A$9,0)),0)*D379)</f>
        <v/>
      </c>
      <c r="N379" s="11">
        <f>IF(A379="","",IF(K379="",0,D379*INDEX(Products!$I$5:$I$204,K379)))</f>
        <v/>
      </c>
      <c r="O379" s="11">
        <f>IF(A379="","",IF(K379="",0,J379*INDEX(Products!$H$5:$H$204,K379)))</f>
        <v/>
      </c>
      <c r="P379" s="11">
        <f>IF(A379="","",J379-M379-N379-O379)</f>
        <v/>
      </c>
    </row>
    <row r="380">
      <c r="A380">
        <f>IFERROR(INDEX('Etsy Import'!$A:$CZ,380,Settings!$C$20)&amp;"","")</f>
        <v/>
      </c>
      <c r="B380">
        <f>IFERROR(INDEX('Etsy Import'!$A:$CZ,380,Settings!$C$21)&amp;"","")</f>
        <v/>
      </c>
      <c r="C380">
        <f>IFERROR(INDEX('Etsy Import'!$A:$CZ,380,Settings!$C$22)&amp;"","")</f>
        <v/>
      </c>
      <c r="D380">
        <f>IF(A380="","",IFERROR(VALUE(SUBSTITUTE(SUBSTITUTE(INDEX('Etsy Import'!$A:$CZ,380,Settings!$C$23)&amp;"","$",""),",","")),0))</f>
        <v/>
      </c>
      <c r="E380" s="11">
        <f>IF(A380="","",IFERROR(VALUE(SUBSTITUTE(SUBSTITUTE(INDEX('Etsy Import'!$A:$CZ,380,Settings!$C$24)&amp;"","$",""),",","")),0))</f>
        <v/>
      </c>
      <c r="F380" s="11">
        <f>IF(A380="","",D380*E380)</f>
        <v/>
      </c>
      <c r="G380">
        <f>IF(A380="","",IF(C380="",1,COUNTIF($C$2:$C$1501,C380)))</f>
        <v/>
      </c>
      <c r="H380" s="11">
        <f>IF(A380="","",IFERROR(VALUE(SUBSTITUTE(SUBSTITUTE(INDEX('Etsy Import'!$A:$CZ,380,Settings!$C$25)&amp;"","$",""),",","")),0)/IF(Settings!$B$27="Yes",G380,1))</f>
        <v/>
      </c>
      <c r="I380" s="11">
        <f>IF(A380="","",IFERROR(VALUE(SUBSTITUTE(SUBSTITUTE(INDEX('Etsy Import'!$A:$CZ,380,Settings!$C$26)&amp;"","$",""),",","")),0)/IF(Settings!$B$27="Yes",G380,1))</f>
        <v/>
      </c>
      <c r="J380" s="11">
        <f>IF(A380="","",F380+H380-I380)</f>
        <v/>
      </c>
      <c r="K380">
        <f>IF(A380="","",IFERROR(IF(B380="",NA(),MATCH(B380,Products!$B$5:$B$204,0)),IFERROR(MATCH(A380,Products!$A$5:$A$204,0),"")))</f>
        <v/>
      </c>
      <c r="L380">
        <f>IF(A380="","",IF(K380="","⚠ not in Products",INDEX(Products!$A$5:$A$204,K380)))</f>
        <v/>
      </c>
      <c r="M380" s="11">
        <f>IF(A380="","",J380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380+IFERROR(INDEX(Settings!$D$5:$D$9,MATCH("Etsy",Settings!$A$5:$A$9,0)),0)*D380)</f>
        <v/>
      </c>
      <c r="N380" s="11">
        <f>IF(A380="","",IF(K380="",0,D380*INDEX(Products!$I$5:$I$204,K380)))</f>
        <v/>
      </c>
      <c r="O380" s="11">
        <f>IF(A380="","",IF(K380="",0,J380*INDEX(Products!$H$5:$H$204,K380)))</f>
        <v/>
      </c>
      <c r="P380" s="11">
        <f>IF(A380="","",J380-M380-N380-O380)</f>
        <v/>
      </c>
    </row>
    <row r="381">
      <c r="A381">
        <f>IFERROR(INDEX('Etsy Import'!$A:$CZ,381,Settings!$C$20)&amp;"","")</f>
        <v/>
      </c>
      <c r="B381">
        <f>IFERROR(INDEX('Etsy Import'!$A:$CZ,381,Settings!$C$21)&amp;"","")</f>
        <v/>
      </c>
      <c r="C381">
        <f>IFERROR(INDEX('Etsy Import'!$A:$CZ,381,Settings!$C$22)&amp;"","")</f>
        <v/>
      </c>
      <c r="D381">
        <f>IF(A381="","",IFERROR(VALUE(SUBSTITUTE(SUBSTITUTE(INDEX('Etsy Import'!$A:$CZ,381,Settings!$C$23)&amp;"","$",""),",","")),0))</f>
        <v/>
      </c>
      <c r="E381" s="11">
        <f>IF(A381="","",IFERROR(VALUE(SUBSTITUTE(SUBSTITUTE(INDEX('Etsy Import'!$A:$CZ,381,Settings!$C$24)&amp;"","$",""),",","")),0))</f>
        <v/>
      </c>
      <c r="F381" s="11">
        <f>IF(A381="","",D381*E381)</f>
        <v/>
      </c>
      <c r="G381">
        <f>IF(A381="","",IF(C381="",1,COUNTIF($C$2:$C$1501,C381)))</f>
        <v/>
      </c>
      <c r="H381" s="11">
        <f>IF(A381="","",IFERROR(VALUE(SUBSTITUTE(SUBSTITUTE(INDEX('Etsy Import'!$A:$CZ,381,Settings!$C$25)&amp;"","$",""),",","")),0)/IF(Settings!$B$27="Yes",G381,1))</f>
        <v/>
      </c>
      <c r="I381" s="11">
        <f>IF(A381="","",IFERROR(VALUE(SUBSTITUTE(SUBSTITUTE(INDEX('Etsy Import'!$A:$CZ,381,Settings!$C$26)&amp;"","$",""),",","")),0)/IF(Settings!$B$27="Yes",G381,1))</f>
        <v/>
      </c>
      <c r="J381" s="11">
        <f>IF(A381="","",F381+H381-I381)</f>
        <v/>
      </c>
      <c r="K381">
        <f>IF(A381="","",IFERROR(IF(B381="",NA(),MATCH(B381,Products!$B$5:$B$204,0)),IFERROR(MATCH(A381,Products!$A$5:$A$204,0),"")))</f>
        <v/>
      </c>
      <c r="L381">
        <f>IF(A381="","",IF(K381="","⚠ not in Products",INDEX(Products!$A$5:$A$204,K381)))</f>
        <v/>
      </c>
      <c r="M381" s="11">
        <f>IF(A381="","",J381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381+IFERROR(INDEX(Settings!$D$5:$D$9,MATCH("Etsy",Settings!$A$5:$A$9,0)),0)*D381)</f>
        <v/>
      </c>
      <c r="N381" s="11">
        <f>IF(A381="","",IF(K381="",0,D381*INDEX(Products!$I$5:$I$204,K381)))</f>
        <v/>
      </c>
      <c r="O381" s="11">
        <f>IF(A381="","",IF(K381="",0,J381*INDEX(Products!$H$5:$H$204,K381)))</f>
        <v/>
      </c>
      <c r="P381" s="11">
        <f>IF(A381="","",J381-M381-N381-O381)</f>
        <v/>
      </c>
    </row>
    <row r="382">
      <c r="A382">
        <f>IFERROR(INDEX('Etsy Import'!$A:$CZ,382,Settings!$C$20)&amp;"","")</f>
        <v/>
      </c>
      <c r="B382">
        <f>IFERROR(INDEX('Etsy Import'!$A:$CZ,382,Settings!$C$21)&amp;"","")</f>
        <v/>
      </c>
      <c r="C382">
        <f>IFERROR(INDEX('Etsy Import'!$A:$CZ,382,Settings!$C$22)&amp;"","")</f>
        <v/>
      </c>
      <c r="D382">
        <f>IF(A382="","",IFERROR(VALUE(SUBSTITUTE(SUBSTITUTE(INDEX('Etsy Import'!$A:$CZ,382,Settings!$C$23)&amp;"","$",""),",","")),0))</f>
        <v/>
      </c>
      <c r="E382" s="11">
        <f>IF(A382="","",IFERROR(VALUE(SUBSTITUTE(SUBSTITUTE(INDEX('Etsy Import'!$A:$CZ,382,Settings!$C$24)&amp;"","$",""),",","")),0))</f>
        <v/>
      </c>
      <c r="F382" s="11">
        <f>IF(A382="","",D382*E382)</f>
        <v/>
      </c>
      <c r="G382">
        <f>IF(A382="","",IF(C382="",1,COUNTIF($C$2:$C$1501,C382)))</f>
        <v/>
      </c>
      <c r="H382" s="11">
        <f>IF(A382="","",IFERROR(VALUE(SUBSTITUTE(SUBSTITUTE(INDEX('Etsy Import'!$A:$CZ,382,Settings!$C$25)&amp;"","$",""),",","")),0)/IF(Settings!$B$27="Yes",G382,1))</f>
        <v/>
      </c>
      <c r="I382" s="11">
        <f>IF(A382="","",IFERROR(VALUE(SUBSTITUTE(SUBSTITUTE(INDEX('Etsy Import'!$A:$CZ,382,Settings!$C$26)&amp;"","$",""),",","")),0)/IF(Settings!$B$27="Yes",G382,1))</f>
        <v/>
      </c>
      <c r="J382" s="11">
        <f>IF(A382="","",F382+H382-I382)</f>
        <v/>
      </c>
      <c r="K382">
        <f>IF(A382="","",IFERROR(IF(B382="",NA(),MATCH(B382,Products!$B$5:$B$204,0)),IFERROR(MATCH(A382,Products!$A$5:$A$204,0),"")))</f>
        <v/>
      </c>
      <c r="L382">
        <f>IF(A382="","",IF(K382="","⚠ not in Products",INDEX(Products!$A$5:$A$204,K382)))</f>
        <v/>
      </c>
      <c r="M382" s="11">
        <f>IF(A382="","",J382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382+IFERROR(INDEX(Settings!$D$5:$D$9,MATCH("Etsy",Settings!$A$5:$A$9,0)),0)*D382)</f>
        <v/>
      </c>
      <c r="N382" s="11">
        <f>IF(A382="","",IF(K382="",0,D382*INDEX(Products!$I$5:$I$204,K382)))</f>
        <v/>
      </c>
      <c r="O382" s="11">
        <f>IF(A382="","",IF(K382="",0,J382*INDEX(Products!$H$5:$H$204,K382)))</f>
        <v/>
      </c>
      <c r="P382" s="11">
        <f>IF(A382="","",J382-M382-N382-O382)</f>
        <v/>
      </c>
    </row>
    <row r="383">
      <c r="A383">
        <f>IFERROR(INDEX('Etsy Import'!$A:$CZ,383,Settings!$C$20)&amp;"","")</f>
        <v/>
      </c>
      <c r="B383">
        <f>IFERROR(INDEX('Etsy Import'!$A:$CZ,383,Settings!$C$21)&amp;"","")</f>
        <v/>
      </c>
      <c r="C383">
        <f>IFERROR(INDEX('Etsy Import'!$A:$CZ,383,Settings!$C$22)&amp;"","")</f>
        <v/>
      </c>
      <c r="D383">
        <f>IF(A383="","",IFERROR(VALUE(SUBSTITUTE(SUBSTITUTE(INDEX('Etsy Import'!$A:$CZ,383,Settings!$C$23)&amp;"","$",""),",","")),0))</f>
        <v/>
      </c>
      <c r="E383" s="11">
        <f>IF(A383="","",IFERROR(VALUE(SUBSTITUTE(SUBSTITUTE(INDEX('Etsy Import'!$A:$CZ,383,Settings!$C$24)&amp;"","$",""),",","")),0))</f>
        <v/>
      </c>
      <c r="F383" s="11">
        <f>IF(A383="","",D383*E383)</f>
        <v/>
      </c>
      <c r="G383">
        <f>IF(A383="","",IF(C383="",1,COUNTIF($C$2:$C$1501,C383)))</f>
        <v/>
      </c>
      <c r="H383" s="11">
        <f>IF(A383="","",IFERROR(VALUE(SUBSTITUTE(SUBSTITUTE(INDEX('Etsy Import'!$A:$CZ,383,Settings!$C$25)&amp;"","$",""),",","")),0)/IF(Settings!$B$27="Yes",G383,1))</f>
        <v/>
      </c>
      <c r="I383" s="11">
        <f>IF(A383="","",IFERROR(VALUE(SUBSTITUTE(SUBSTITUTE(INDEX('Etsy Import'!$A:$CZ,383,Settings!$C$26)&amp;"","$",""),",","")),0)/IF(Settings!$B$27="Yes",G383,1))</f>
        <v/>
      </c>
      <c r="J383" s="11">
        <f>IF(A383="","",F383+H383-I383)</f>
        <v/>
      </c>
      <c r="K383">
        <f>IF(A383="","",IFERROR(IF(B383="",NA(),MATCH(B383,Products!$B$5:$B$204,0)),IFERROR(MATCH(A383,Products!$A$5:$A$204,0),"")))</f>
        <v/>
      </c>
      <c r="L383">
        <f>IF(A383="","",IF(K383="","⚠ not in Products",INDEX(Products!$A$5:$A$204,K383)))</f>
        <v/>
      </c>
      <c r="M383" s="11">
        <f>IF(A383="","",J383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383+IFERROR(INDEX(Settings!$D$5:$D$9,MATCH("Etsy",Settings!$A$5:$A$9,0)),0)*D383)</f>
        <v/>
      </c>
      <c r="N383" s="11">
        <f>IF(A383="","",IF(K383="",0,D383*INDEX(Products!$I$5:$I$204,K383)))</f>
        <v/>
      </c>
      <c r="O383" s="11">
        <f>IF(A383="","",IF(K383="",0,J383*INDEX(Products!$H$5:$H$204,K383)))</f>
        <v/>
      </c>
      <c r="P383" s="11">
        <f>IF(A383="","",J383-M383-N383-O383)</f>
        <v/>
      </c>
    </row>
    <row r="384">
      <c r="A384">
        <f>IFERROR(INDEX('Etsy Import'!$A:$CZ,384,Settings!$C$20)&amp;"","")</f>
        <v/>
      </c>
      <c r="B384">
        <f>IFERROR(INDEX('Etsy Import'!$A:$CZ,384,Settings!$C$21)&amp;"","")</f>
        <v/>
      </c>
      <c r="C384">
        <f>IFERROR(INDEX('Etsy Import'!$A:$CZ,384,Settings!$C$22)&amp;"","")</f>
        <v/>
      </c>
      <c r="D384">
        <f>IF(A384="","",IFERROR(VALUE(SUBSTITUTE(SUBSTITUTE(INDEX('Etsy Import'!$A:$CZ,384,Settings!$C$23)&amp;"","$",""),",","")),0))</f>
        <v/>
      </c>
      <c r="E384" s="11">
        <f>IF(A384="","",IFERROR(VALUE(SUBSTITUTE(SUBSTITUTE(INDEX('Etsy Import'!$A:$CZ,384,Settings!$C$24)&amp;"","$",""),",","")),0))</f>
        <v/>
      </c>
      <c r="F384" s="11">
        <f>IF(A384="","",D384*E384)</f>
        <v/>
      </c>
      <c r="G384">
        <f>IF(A384="","",IF(C384="",1,COUNTIF($C$2:$C$1501,C384)))</f>
        <v/>
      </c>
      <c r="H384" s="11">
        <f>IF(A384="","",IFERROR(VALUE(SUBSTITUTE(SUBSTITUTE(INDEX('Etsy Import'!$A:$CZ,384,Settings!$C$25)&amp;"","$",""),",","")),0)/IF(Settings!$B$27="Yes",G384,1))</f>
        <v/>
      </c>
      <c r="I384" s="11">
        <f>IF(A384="","",IFERROR(VALUE(SUBSTITUTE(SUBSTITUTE(INDEX('Etsy Import'!$A:$CZ,384,Settings!$C$26)&amp;"","$",""),",","")),0)/IF(Settings!$B$27="Yes",G384,1))</f>
        <v/>
      </c>
      <c r="J384" s="11">
        <f>IF(A384="","",F384+H384-I384)</f>
        <v/>
      </c>
      <c r="K384">
        <f>IF(A384="","",IFERROR(IF(B384="",NA(),MATCH(B384,Products!$B$5:$B$204,0)),IFERROR(MATCH(A384,Products!$A$5:$A$204,0),"")))</f>
        <v/>
      </c>
      <c r="L384">
        <f>IF(A384="","",IF(K384="","⚠ not in Products",INDEX(Products!$A$5:$A$204,K384)))</f>
        <v/>
      </c>
      <c r="M384" s="11">
        <f>IF(A384="","",J384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384+IFERROR(INDEX(Settings!$D$5:$D$9,MATCH("Etsy",Settings!$A$5:$A$9,0)),0)*D384)</f>
        <v/>
      </c>
      <c r="N384" s="11">
        <f>IF(A384="","",IF(K384="",0,D384*INDEX(Products!$I$5:$I$204,K384)))</f>
        <v/>
      </c>
      <c r="O384" s="11">
        <f>IF(A384="","",IF(K384="",0,J384*INDEX(Products!$H$5:$H$204,K384)))</f>
        <v/>
      </c>
      <c r="P384" s="11">
        <f>IF(A384="","",J384-M384-N384-O384)</f>
        <v/>
      </c>
    </row>
    <row r="385">
      <c r="A385">
        <f>IFERROR(INDEX('Etsy Import'!$A:$CZ,385,Settings!$C$20)&amp;"","")</f>
        <v/>
      </c>
      <c r="B385">
        <f>IFERROR(INDEX('Etsy Import'!$A:$CZ,385,Settings!$C$21)&amp;"","")</f>
        <v/>
      </c>
      <c r="C385">
        <f>IFERROR(INDEX('Etsy Import'!$A:$CZ,385,Settings!$C$22)&amp;"","")</f>
        <v/>
      </c>
      <c r="D385">
        <f>IF(A385="","",IFERROR(VALUE(SUBSTITUTE(SUBSTITUTE(INDEX('Etsy Import'!$A:$CZ,385,Settings!$C$23)&amp;"","$",""),",","")),0))</f>
        <v/>
      </c>
      <c r="E385" s="11">
        <f>IF(A385="","",IFERROR(VALUE(SUBSTITUTE(SUBSTITUTE(INDEX('Etsy Import'!$A:$CZ,385,Settings!$C$24)&amp;"","$",""),",","")),0))</f>
        <v/>
      </c>
      <c r="F385" s="11">
        <f>IF(A385="","",D385*E385)</f>
        <v/>
      </c>
      <c r="G385">
        <f>IF(A385="","",IF(C385="",1,COUNTIF($C$2:$C$1501,C385)))</f>
        <v/>
      </c>
      <c r="H385" s="11">
        <f>IF(A385="","",IFERROR(VALUE(SUBSTITUTE(SUBSTITUTE(INDEX('Etsy Import'!$A:$CZ,385,Settings!$C$25)&amp;"","$",""),",","")),0)/IF(Settings!$B$27="Yes",G385,1))</f>
        <v/>
      </c>
      <c r="I385" s="11">
        <f>IF(A385="","",IFERROR(VALUE(SUBSTITUTE(SUBSTITUTE(INDEX('Etsy Import'!$A:$CZ,385,Settings!$C$26)&amp;"","$",""),",","")),0)/IF(Settings!$B$27="Yes",G385,1))</f>
        <v/>
      </c>
      <c r="J385" s="11">
        <f>IF(A385="","",F385+H385-I385)</f>
        <v/>
      </c>
      <c r="K385">
        <f>IF(A385="","",IFERROR(IF(B385="",NA(),MATCH(B385,Products!$B$5:$B$204,0)),IFERROR(MATCH(A385,Products!$A$5:$A$204,0),"")))</f>
        <v/>
      </c>
      <c r="L385">
        <f>IF(A385="","",IF(K385="","⚠ not in Products",INDEX(Products!$A$5:$A$204,K385)))</f>
        <v/>
      </c>
      <c r="M385" s="11">
        <f>IF(A385="","",J385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385+IFERROR(INDEX(Settings!$D$5:$D$9,MATCH("Etsy",Settings!$A$5:$A$9,0)),0)*D385)</f>
        <v/>
      </c>
      <c r="N385" s="11">
        <f>IF(A385="","",IF(K385="",0,D385*INDEX(Products!$I$5:$I$204,K385)))</f>
        <v/>
      </c>
      <c r="O385" s="11">
        <f>IF(A385="","",IF(K385="",0,J385*INDEX(Products!$H$5:$H$204,K385)))</f>
        <v/>
      </c>
      <c r="P385" s="11">
        <f>IF(A385="","",J385-M385-N385-O385)</f>
        <v/>
      </c>
    </row>
    <row r="386">
      <c r="A386">
        <f>IFERROR(INDEX('Etsy Import'!$A:$CZ,386,Settings!$C$20)&amp;"","")</f>
        <v/>
      </c>
      <c r="B386">
        <f>IFERROR(INDEX('Etsy Import'!$A:$CZ,386,Settings!$C$21)&amp;"","")</f>
        <v/>
      </c>
      <c r="C386">
        <f>IFERROR(INDEX('Etsy Import'!$A:$CZ,386,Settings!$C$22)&amp;"","")</f>
        <v/>
      </c>
      <c r="D386">
        <f>IF(A386="","",IFERROR(VALUE(SUBSTITUTE(SUBSTITUTE(INDEX('Etsy Import'!$A:$CZ,386,Settings!$C$23)&amp;"","$",""),",","")),0))</f>
        <v/>
      </c>
      <c r="E386" s="11">
        <f>IF(A386="","",IFERROR(VALUE(SUBSTITUTE(SUBSTITUTE(INDEX('Etsy Import'!$A:$CZ,386,Settings!$C$24)&amp;"","$",""),",","")),0))</f>
        <v/>
      </c>
      <c r="F386" s="11">
        <f>IF(A386="","",D386*E386)</f>
        <v/>
      </c>
      <c r="G386">
        <f>IF(A386="","",IF(C386="",1,COUNTIF($C$2:$C$1501,C386)))</f>
        <v/>
      </c>
      <c r="H386" s="11">
        <f>IF(A386="","",IFERROR(VALUE(SUBSTITUTE(SUBSTITUTE(INDEX('Etsy Import'!$A:$CZ,386,Settings!$C$25)&amp;"","$",""),",","")),0)/IF(Settings!$B$27="Yes",G386,1))</f>
        <v/>
      </c>
      <c r="I386" s="11">
        <f>IF(A386="","",IFERROR(VALUE(SUBSTITUTE(SUBSTITUTE(INDEX('Etsy Import'!$A:$CZ,386,Settings!$C$26)&amp;"","$",""),",","")),0)/IF(Settings!$B$27="Yes",G386,1))</f>
        <v/>
      </c>
      <c r="J386" s="11">
        <f>IF(A386="","",F386+H386-I386)</f>
        <v/>
      </c>
      <c r="K386">
        <f>IF(A386="","",IFERROR(IF(B386="",NA(),MATCH(B386,Products!$B$5:$B$204,0)),IFERROR(MATCH(A386,Products!$A$5:$A$204,0),"")))</f>
        <v/>
      </c>
      <c r="L386">
        <f>IF(A386="","",IF(K386="","⚠ not in Products",INDEX(Products!$A$5:$A$204,K386)))</f>
        <v/>
      </c>
      <c r="M386" s="11">
        <f>IF(A386="","",J386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386+IFERROR(INDEX(Settings!$D$5:$D$9,MATCH("Etsy",Settings!$A$5:$A$9,0)),0)*D386)</f>
        <v/>
      </c>
      <c r="N386" s="11">
        <f>IF(A386="","",IF(K386="",0,D386*INDEX(Products!$I$5:$I$204,K386)))</f>
        <v/>
      </c>
      <c r="O386" s="11">
        <f>IF(A386="","",IF(K386="",0,J386*INDEX(Products!$H$5:$H$204,K386)))</f>
        <v/>
      </c>
      <c r="P386" s="11">
        <f>IF(A386="","",J386-M386-N386-O386)</f>
        <v/>
      </c>
    </row>
    <row r="387">
      <c r="A387">
        <f>IFERROR(INDEX('Etsy Import'!$A:$CZ,387,Settings!$C$20)&amp;"","")</f>
        <v/>
      </c>
      <c r="B387">
        <f>IFERROR(INDEX('Etsy Import'!$A:$CZ,387,Settings!$C$21)&amp;"","")</f>
        <v/>
      </c>
      <c r="C387">
        <f>IFERROR(INDEX('Etsy Import'!$A:$CZ,387,Settings!$C$22)&amp;"","")</f>
        <v/>
      </c>
      <c r="D387">
        <f>IF(A387="","",IFERROR(VALUE(SUBSTITUTE(SUBSTITUTE(INDEX('Etsy Import'!$A:$CZ,387,Settings!$C$23)&amp;"","$",""),",","")),0))</f>
        <v/>
      </c>
      <c r="E387" s="11">
        <f>IF(A387="","",IFERROR(VALUE(SUBSTITUTE(SUBSTITUTE(INDEX('Etsy Import'!$A:$CZ,387,Settings!$C$24)&amp;"","$",""),",","")),0))</f>
        <v/>
      </c>
      <c r="F387" s="11">
        <f>IF(A387="","",D387*E387)</f>
        <v/>
      </c>
      <c r="G387">
        <f>IF(A387="","",IF(C387="",1,COUNTIF($C$2:$C$1501,C387)))</f>
        <v/>
      </c>
      <c r="H387" s="11">
        <f>IF(A387="","",IFERROR(VALUE(SUBSTITUTE(SUBSTITUTE(INDEX('Etsy Import'!$A:$CZ,387,Settings!$C$25)&amp;"","$",""),",","")),0)/IF(Settings!$B$27="Yes",G387,1))</f>
        <v/>
      </c>
      <c r="I387" s="11">
        <f>IF(A387="","",IFERROR(VALUE(SUBSTITUTE(SUBSTITUTE(INDEX('Etsy Import'!$A:$CZ,387,Settings!$C$26)&amp;"","$",""),",","")),0)/IF(Settings!$B$27="Yes",G387,1))</f>
        <v/>
      </c>
      <c r="J387" s="11">
        <f>IF(A387="","",F387+H387-I387)</f>
        <v/>
      </c>
      <c r="K387">
        <f>IF(A387="","",IFERROR(IF(B387="",NA(),MATCH(B387,Products!$B$5:$B$204,0)),IFERROR(MATCH(A387,Products!$A$5:$A$204,0),"")))</f>
        <v/>
      </c>
      <c r="L387">
        <f>IF(A387="","",IF(K387="","⚠ not in Products",INDEX(Products!$A$5:$A$204,K387)))</f>
        <v/>
      </c>
      <c r="M387" s="11">
        <f>IF(A387="","",J387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387+IFERROR(INDEX(Settings!$D$5:$D$9,MATCH("Etsy",Settings!$A$5:$A$9,0)),0)*D387)</f>
        <v/>
      </c>
      <c r="N387" s="11">
        <f>IF(A387="","",IF(K387="",0,D387*INDEX(Products!$I$5:$I$204,K387)))</f>
        <v/>
      </c>
      <c r="O387" s="11">
        <f>IF(A387="","",IF(K387="",0,J387*INDEX(Products!$H$5:$H$204,K387)))</f>
        <v/>
      </c>
      <c r="P387" s="11">
        <f>IF(A387="","",J387-M387-N387-O387)</f>
        <v/>
      </c>
    </row>
    <row r="388">
      <c r="A388">
        <f>IFERROR(INDEX('Etsy Import'!$A:$CZ,388,Settings!$C$20)&amp;"","")</f>
        <v/>
      </c>
      <c r="B388">
        <f>IFERROR(INDEX('Etsy Import'!$A:$CZ,388,Settings!$C$21)&amp;"","")</f>
        <v/>
      </c>
      <c r="C388">
        <f>IFERROR(INDEX('Etsy Import'!$A:$CZ,388,Settings!$C$22)&amp;"","")</f>
        <v/>
      </c>
      <c r="D388">
        <f>IF(A388="","",IFERROR(VALUE(SUBSTITUTE(SUBSTITUTE(INDEX('Etsy Import'!$A:$CZ,388,Settings!$C$23)&amp;"","$",""),",","")),0))</f>
        <v/>
      </c>
      <c r="E388" s="11">
        <f>IF(A388="","",IFERROR(VALUE(SUBSTITUTE(SUBSTITUTE(INDEX('Etsy Import'!$A:$CZ,388,Settings!$C$24)&amp;"","$",""),",","")),0))</f>
        <v/>
      </c>
      <c r="F388" s="11">
        <f>IF(A388="","",D388*E388)</f>
        <v/>
      </c>
      <c r="G388">
        <f>IF(A388="","",IF(C388="",1,COUNTIF($C$2:$C$1501,C388)))</f>
        <v/>
      </c>
      <c r="H388" s="11">
        <f>IF(A388="","",IFERROR(VALUE(SUBSTITUTE(SUBSTITUTE(INDEX('Etsy Import'!$A:$CZ,388,Settings!$C$25)&amp;"","$",""),",","")),0)/IF(Settings!$B$27="Yes",G388,1))</f>
        <v/>
      </c>
      <c r="I388" s="11">
        <f>IF(A388="","",IFERROR(VALUE(SUBSTITUTE(SUBSTITUTE(INDEX('Etsy Import'!$A:$CZ,388,Settings!$C$26)&amp;"","$",""),",","")),0)/IF(Settings!$B$27="Yes",G388,1))</f>
        <v/>
      </c>
      <c r="J388" s="11">
        <f>IF(A388="","",F388+H388-I388)</f>
        <v/>
      </c>
      <c r="K388">
        <f>IF(A388="","",IFERROR(IF(B388="",NA(),MATCH(B388,Products!$B$5:$B$204,0)),IFERROR(MATCH(A388,Products!$A$5:$A$204,0),"")))</f>
        <v/>
      </c>
      <c r="L388">
        <f>IF(A388="","",IF(K388="","⚠ not in Products",INDEX(Products!$A$5:$A$204,K388)))</f>
        <v/>
      </c>
      <c r="M388" s="11">
        <f>IF(A388="","",J388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388+IFERROR(INDEX(Settings!$D$5:$D$9,MATCH("Etsy",Settings!$A$5:$A$9,0)),0)*D388)</f>
        <v/>
      </c>
      <c r="N388" s="11">
        <f>IF(A388="","",IF(K388="",0,D388*INDEX(Products!$I$5:$I$204,K388)))</f>
        <v/>
      </c>
      <c r="O388" s="11">
        <f>IF(A388="","",IF(K388="",0,J388*INDEX(Products!$H$5:$H$204,K388)))</f>
        <v/>
      </c>
      <c r="P388" s="11">
        <f>IF(A388="","",J388-M388-N388-O388)</f>
        <v/>
      </c>
    </row>
    <row r="389">
      <c r="A389">
        <f>IFERROR(INDEX('Etsy Import'!$A:$CZ,389,Settings!$C$20)&amp;"","")</f>
        <v/>
      </c>
      <c r="B389">
        <f>IFERROR(INDEX('Etsy Import'!$A:$CZ,389,Settings!$C$21)&amp;"","")</f>
        <v/>
      </c>
      <c r="C389">
        <f>IFERROR(INDEX('Etsy Import'!$A:$CZ,389,Settings!$C$22)&amp;"","")</f>
        <v/>
      </c>
      <c r="D389">
        <f>IF(A389="","",IFERROR(VALUE(SUBSTITUTE(SUBSTITUTE(INDEX('Etsy Import'!$A:$CZ,389,Settings!$C$23)&amp;"","$",""),",","")),0))</f>
        <v/>
      </c>
      <c r="E389" s="11">
        <f>IF(A389="","",IFERROR(VALUE(SUBSTITUTE(SUBSTITUTE(INDEX('Etsy Import'!$A:$CZ,389,Settings!$C$24)&amp;"","$",""),",","")),0))</f>
        <v/>
      </c>
      <c r="F389" s="11">
        <f>IF(A389="","",D389*E389)</f>
        <v/>
      </c>
      <c r="G389">
        <f>IF(A389="","",IF(C389="",1,COUNTIF($C$2:$C$1501,C389)))</f>
        <v/>
      </c>
      <c r="H389" s="11">
        <f>IF(A389="","",IFERROR(VALUE(SUBSTITUTE(SUBSTITUTE(INDEX('Etsy Import'!$A:$CZ,389,Settings!$C$25)&amp;"","$",""),",","")),0)/IF(Settings!$B$27="Yes",G389,1))</f>
        <v/>
      </c>
      <c r="I389" s="11">
        <f>IF(A389="","",IFERROR(VALUE(SUBSTITUTE(SUBSTITUTE(INDEX('Etsy Import'!$A:$CZ,389,Settings!$C$26)&amp;"","$",""),",","")),0)/IF(Settings!$B$27="Yes",G389,1))</f>
        <v/>
      </c>
      <c r="J389" s="11">
        <f>IF(A389="","",F389+H389-I389)</f>
        <v/>
      </c>
      <c r="K389">
        <f>IF(A389="","",IFERROR(IF(B389="",NA(),MATCH(B389,Products!$B$5:$B$204,0)),IFERROR(MATCH(A389,Products!$A$5:$A$204,0),"")))</f>
        <v/>
      </c>
      <c r="L389">
        <f>IF(A389="","",IF(K389="","⚠ not in Products",INDEX(Products!$A$5:$A$204,K389)))</f>
        <v/>
      </c>
      <c r="M389" s="11">
        <f>IF(A389="","",J389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389+IFERROR(INDEX(Settings!$D$5:$D$9,MATCH("Etsy",Settings!$A$5:$A$9,0)),0)*D389)</f>
        <v/>
      </c>
      <c r="N389" s="11">
        <f>IF(A389="","",IF(K389="",0,D389*INDEX(Products!$I$5:$I$204,K389)))</f>
        <v/>
      </c>
      <c r="O389" s="11">
        <f>IF(A389="","",IF(K389="",0,J389*INDEX(Products!$H$5:$H$204,K389)))</f>
        <v/>
      </c>
      <c r="P389" s="11">
        <f>IF(A389="","",J389-M389-N389-O389)</f>
        <v/>
      </c>
    </row>
    <row r="390">
      <c r="A390">
        <f>IFERROR(INDEX('Etsy Import'!$A:$CZ,390,Settings!$C$20)&amp;"","")</f>
        <v/>
      </c>
      <c r="B390">
        <f>IFERROR(INDEX('Etsy Import'!$A:$CZ,390,Settings!$C$21)&amp;"","")</f>
        <v/>
      </c>
      <c r="C390">
        <f>IFERROR(INDEX('Etsy Import'!$A:$CZ,390,Settings!$C$22)&amp;"","")</f>
        <v/>
      </c>
      <c r="D390">
        <f>IF(A390="","",IFERROR(VALUE(SUBSTITUTE(SUBSTITUTE(INDEX('Etsy Import'!$A:$CZ,390,Settings!$C$23)&amp;"","$",""),",","")),0))</f>
        <v/>
      </c>
      <c r="E390" s="11">
        <f>IF(A390="","",IFERROR(VALUE(SUBSTITUTE(SUBSTITUTE(INDEX('Etsy Import'!$A:$CZ,390,Settings!$C$24)&amp;"","$",""),",","")),0))</f>
        <v/>
      </c>
      <c r="F390" s="11">
        <f>IF(A390="","",D390*E390)</f>
        <v/>
      </c>
      <c r="G390">
        <f>IF(A390="","",IF(C390="",1,COUNTIF($C$2:$C$1501,C390)))</f>
        <v/>
      </c>
      <c r="H390" s="11">
        <f>IF(A390="","",IFERROR(VALUE(SUBSTITUTE(SUBSTITUTE(INDEX('Etsy Import'!$A:$CZ,390,Settings!$C$25)&amp;"","$",""),",","")),0)/IF(Settings!$B$27="Yes",G390,1))</f>
        <v/>
      </c>
      <c r="I390" s="11">
        <f>IF(A390="","",IFERROR(VALUE(SUBSTITUTE(SUBSTITUTE(INDEX('Etsy Import'!$A:$CZ,390,Settings!$C$26)&amp;"","$",""),",","")),0)/IF(Settings!$B$27="Yes",G390,1))</f>
        <v/>
      </c>
      <c r="J390" s="11">
        <f>IF(A390="","",F390+H390-I390)</f>
        <v/>
      </c>
      <c r="K390">
        <f>IF(A390="","",IFERROR(IF(B390="",NA(),MATCH(B390,Products!$B$5:$B$204,0)),IFERROR(MATCH(A390,Products!$A$5:$A$204,0),"")))</f>
        <v/>
      </c>
      <c r="L390">
        <f>IF(A390="","",IF(K390="","⚠ not in Products",INDEX(Products!$A$5:$A$204,K390)))</f>
        <v/>
      </c>
      <c r="M390" s="11">
        <f>IF(A390="","",J390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390+IFERROR(INDEX(Settings!$D$5:$D$9,MATCH("Etsy",Settings!$A$5:$A$9,0)),0)*D390)</f>
        <v/>
      </c>
      <c r="N390" s="11">
        <f>IF(A390="","",IF(K390="",0,D390*INDEX(Products!$I$5:$I$204,K390)))</f>
        <v/>
      </c>
      <c r="O390" s="11">
        <f>IF(A390="","",IF(K390="",0,J390*INDEX(Products!$H$5:$H$204,K390)))</f>
        <v/>
      </c>
      <c r="P390" s="11">
        <f>IF(A390="","",J390-M390-N390-O390)</f>
        <v/>
      </c>
    </row>
    <row r="391">
      <c r="A391">
        <f>IFERROR(INDEX('Etsy Import'!$A:$CZ,391,Settings!$C$20)&amp;"","")</f>
        <v/>
      </c>
      <c r="B391">
        <f>IFERROR(INDEX('Etsy Import'!$A:$CZ,391,Settings!$C$21)&amp;"","")</f>
        <v/>
      </c>
      <c r="C391">
        <f>IFERROR(INDEX('Etsy Import'!$A:$CZ,391,Settings!$C$22)&amp;"","")</f>
        <v/>
      </c>
      <c r="D391">
        <f>IF(A391="","",IFERROR(VALUE(SUBSTITUTE(SUBSTITUTE(INDEX('Etsy Import'!$A:$CZ,391,Settings!$C$23)&amp;"","$",""),",","")),0))</f>
        <v/>
      </c>
      <c r="E391" s="11">
        <f>IF(A391="","",IFERROR(VALUE(SUBSTITUTE(SUBSTITUTE(INDEX('Etsy Import'!$A:$CZ,391,Settings!$C$24)&amp;"","$",""),",","")),0))</f>
        <v/>
      </c>
      <c r="F391" s="11">
        <f>IF(A391="","",D391*E391)</f>
        <v/>
      </c>
      <c r="G391">
        <f>IF(A391="","",IF(C391="",1,COUNTIF($C$2:$C$1501,C391)))</f>
        <v/>
      </c>
      <c r="H391" s="11">
        <f>IF(A391="","",IFERROR(VALUE(SUBSTITUTE(SUBSTITUTE(INDEX('Etsy Import'!$A:$CZ,391,Settings!$C$25)&amp;"","$",""),",","")),0)/IF(Settings!$B$27="Yes",G391,1))</f>
        <v/>
      </c>
      <c r="I391" s="11">
        <f>IF(A391="","",IFERROR(VALUE(SUBSTITUTE(SUBSTITUTE(INDEX('Etsy Import'!$A:$CZ,391,Settings!$C$26)&amp;"","$",""),",","")),0)/IF(Settings!$B$27="Yes",G391,1))</f>
        <v/>
      </c>
      <c r="J391" s="11">
        <f>IF(A391="","",F391+H391-I391)</f>
        <v/>
      </c>
      <c r="K391">
        <f>IF(A391="","",IFERROR(IF(B391="",NA(),MATCH(B391,Products!$B$5:$B$204,0)),IFERROR(MATCH(A391,Products!$A$5:$A$204,0),"")))</f>
        <v/>
      </c>
      <c r="L391">
        <f>IF(A391="","",IF(K391="","⚠ not in Products",INDEX(Products!$A$5:$A$204,K391)))</f>
        <v/>
      </c>
      <c r="M391" s="11">
        <f>IF(A391="","",J391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391+IFERROR(INDEX(Settings!$D$5:$D$9,MATCH("Etsy",Settings!$A$5:$A$9,0)),0)*D391)</f>
        <v/>
      </c>
      <c r="N391" s="11">
        <f>IF(A391="","",IF(K391="",0,D391*INDEX(Products!$I$5:$I$204,K391)))</f>
        <v/>
      </c>
      <c r="O391" s="11">
        <f>IF(A391="","",IF(K391="",0,J391*INDEX(Products!$H$5:$H$204,K391)))</f>
        <v/>
      </c>
      <c r="P391" s="11">
        <f>IF(A391="","",J391-M391-N391-O391)</f>
        <v/>
      </c>
    </row>
    <row r="392">
      <c r="A392">
        <f>IFERROR(INDEX('Etsy Import'!$A:$CZ,392,Settings!$C$20)&amp;"","")</f>
        <v/>
      </c>
      <c r="B392">
        <f>IFERROR(INDEX('Etsy Import'!$A:$CZ,392,Settings!$C$21)&amp;"","")</f>
        <v/>
      </c>
      <c r="C392">
        <f>IFERROR(INDEX('Etsy Import'!$A:$CZ,392,Settings!$C$22)&amp;"","")</f>
        <v/>
      </c>
      <c r="D392">
        <f>IF(A392="","",IFERROR(VALUE(SUBSTITUTE(SUBSTITUTE(INDEX('Etsy Import'!$A:$CZ,392,Settings!$C$23)&amp;"","$",""),",","")),0))</f>
        <v/>
      </c>
      <c r="E392" s="11">
        <f>IF(A392="","",IFERROR(VALUE(SUBSTITUTE(SUBSTITUTE(INDEX('Etsy Import'!$A:$CZ,392,Settings!$C$24)&amp;"","$",""),",","")),0))</f>
        <v/>
      </c>
      <c r="F392" s="11">
        <f>IF(A392="","",D392*E392)</f>
        <v/>
      </c>
      <c r="G392">
        <f>IF(A392="","",IF(C392="",1,COUNTIF($C$2:$C$1501,C392)))</f>
        <v/>
      </c>
      <c r="H392" s="11">
        <f>IF(A392="","",IFERROR(VALUE(SUBSTITUTE(SUBSTITUTE(INDEX('Etsy Import'!$A:$CZ,392,Settings!$C$25)&amp;"","$",""),",","")),0)/IF(Settings!$B$27="Yes",G392,1))</f>
        <v/>
      </c>
      <c r="I392" s="11">
        <f>IF(A392="","",IFERROR(VALUE(SUBSTITUTE(SUBSTITUTE(INDEX('Etsy Import'!$A:$CZ,392,Settings!$C$26)&amp;"","$",""),",","")),0)/IF(Settings!$B$27="Yes",G392,1))</f>
        <v/>
      </c>
      <c r="J392" s="11">
        <f>IF(A392="","",F392+H392-I392)</f>
        <v/>
      </c>
      <c r="K392">
        <f>IF(A392="","",IFERROR(IF(B392="",NA(),MATCH(B392,Products!$B$5:$B$204,0)),IFERROR(MATCH(A392,Products!$A$5:$A$204,0),"")))</f>
        <v/>
      </c>
      <c r="L392">
        <f>IF(A392="","",IF(K392="","⚠ not in Products",INDEX(Products!$A$5:$A$204,K392)))</f>
        <v/>
      </c>
      <c r="M392" s="11">
        <f>IF(A392="","",J392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392+IFERROR(INDEX(Settings!$D$5:$D$9,MATCH("Etsy",Settings!$A$5:$A$9,0)),0)*D392)</f>
        <v/>
      </c>
      <c r="N392" s="11">
        <f>IF(A392="","",IF(K392="",0,D392*INDEX(Products!$I$5:$I$204,K392)))</f>
        <v/>
      </c>
      <c r="O392" s="11">
        <f>IF(A392="","",IF(K392="",0,J392*INDEX(Products!$H$5:$H$204,K392)))</f>
        <v/>
      </c>
      <c r="P392" s="11">
        <f>IF(A392="","",J392-M392-N392-O392)</f>
        <v/>
      </c>
    </row>
    <row r="393">
      <c r="A393">
        <f>IFERROR(INDEX('Etsy Import'!$A:$CZ,393,Settings!$C$20)&amp;"","")</f>
        <v/>
      </c>
      <c r="B393">
        <f>IFERROR(INDEX('Etsy Import'!$A:$CZ,393,Settings!$C$21)&amp;"","")</f>
        <v/>
      </c>
      <c r="C393">
        <f>IFERROR(INDEX('Etsy Import'!$A:$CZ,393,Settings!$C$22)&amp;"","")</f>
        <v/>
      </c>
      <c r="D393">
        <f>IF(A393="","",IFERROR(VALUE(SUBSTITUTE(SUBSTITUTE(INDEX('Etsy Import'!$A:$CZ,393,Settings!$C$23)&amp;"","$",""),",","")),0))</f>
        <v/>
      </c>
      <c r="E393" s="11">
        <f>IF(A393="","",IFERROR(VALUE(SUBSTITUTE(SUBSTITUTE(INDEX('Etsy Import'!$A:$CZ,393,Settings!$C$24)&amp;"","$",""),",","")),0))</f>
        <v/>
      </c>
      <c r="F393" s="11">
        <f>IF(A393="","",D393*E393)</f>
        <v/>
      </c>
      <c r="G393">
        <f>IF(A393="","",IF(C393="",1,COUNTIF($C$2:$C$1501,C393)))</f>
        <v/>
      </c>
      <c r="H393" s="11">
        <f>IF(A393="","",IFERROR(VALUE(SUBSTITUTE(SUBSTITUTE(INDEX('Etsy Import'!$A:$CZ,393,Settings!$C$25)&amp;"","$",""),",","")),0)/IF(Settings!$B$27="Yes",G393,1))</f>
        <v/>
      </c>
      <c r="I393" s="11">
        <f>IF(A393="","",IFERROR(VALUE(SUBSTITUTE(SUBSTITUTE(INDEX('Etsy Import'!$A:$CZ,393,Settings!$C$26)&amp;"","$",""),",","")),0)/IF(Settings!$B$27="Yes",G393,1))</f>
        <v/>
      </c>
      <c r="J393" s="11">
        <f>IF(A393="","",F393+H393-I393)</f>
        <v/>
      </c>
      <c r="K393">
        <f>IF(A393="","",IFERROR(IF(B393="",NA(),MATCH(B393,Products!$B$5:$B$204,0)),IFERROR(MATCH(A393,Products!$A$5:$A$204,0),"")))</f>
        <v/>
      </c>
      <c r="L393">
        <f>IF(A393="","",IF(K393="","⚠ not in Products",INDEX(Products!$A$5:$A$204,K393)))</f>
        <v/>
      </c>
      <c r="M393" s="11">
        <f>IF(A393="","",J393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393+IFERROR(INDEX(Settings!$D$5:$D$9,MATCH("Etsy",Settings!$A$5:$A$9,0)),0)*D393)</f>
        <v/>
      </c>
      <c r="N393" s="11">
        <f>IF(A393="","",IF(K393="",0,D393*INDEX(Products!$I$5:$I$204,K393)))</f>
        <v/>
      </c>
      <c r="O393" s="11">
        <f>IF(A393="","",IF(K393="",0,J393*INDEX(Products!$H$5:$H$204,K393)))</f>
        <v/>
      </c>
      <c r="P393" s="11">
        <f>IF(A393="","",J393-M393-N393-O393)</f>
        <v/>
      </c>
    </row>
    <row r="394">
      <c r="A394">
        <f>IFERROR(INDEX('Etsy Import'!$A:$CZ,394,Settings!$C$20)&amp;"","")</f>
        <v/>
      </c>
      <c r="B394">
        <f>IFERROR(INDEX('Etsy Import'!$A:$CZ,394,Settings!$C$21)&amp;"","")</f>
        <v/>
      </c>
      <c r="C394">
        <f>IFERROR(INDEX('Etsy Import'!$A:$CZ,394,Settings!$C$22)&amp;"","")</f>
        <v/>
      </c>
      <c r="D394">
        <f>IF(A394="","",IFERROR(VALUE(SUBSTITUTE(SUBSTITUTE(INDEX('Etsy Import'!$A:$CZ,394,Settings!$C$23)&amp;"","$",""),",","")),0))</f>
        <v/>
      </c>
      <c r="E394" s="11">
        <f>IF(A394="","",IFERROR(VALUE(SUBSTITUTE(SUBSTITUTE(INDEX('Etsy Import'!$A:$CZ,394,Settings!$C$24)&amp;"","$",""),",","")),0))</f>
        <v/>
      </c>
      <c r="F394" s="11">
        <f>IF(A394="","",D394*E394)</f>
        <v/>
      </c>
      <c r="G394">
        <f>IF(A394="","",IF(C394="",1,COUNTIF($C$2:$C$1501,C394)))</f>
        <v/>
      </c>
      <c r="H394" s="11">
        <f>IF(A394="","",IFERROR(VALUE(SUBSTITUTE(SUBSTITUTE(INDEX('Etsy Import'!$A:$CZ,394,Settings!$C$25)&amp;"","$",""),",","")),0)/IF(Settings!$B$27="Yes",G394,1))</f>
        <v/>
      </c>
      <c r="I394" s="11">
        <f>IF(A394="","",IFERROR(VALUE(SUBSTITUTE(SUBSTITUTE(INDEX('Etsy Import'!$A:$CZ,394,Settings!$C$26)&amp;"","$",""),",","")),0)/IF(Settings!$B$27="Yes",G394,1))</f>
        <v/>
      </c>
      <c r="J394" s="11">
        <f>IF(A394="","",F394+H394-I394)</f>
        <v/>
      </c>
      <c r="K394">
        <f>IF(A394="","",IFERROR(IF(B394="",NA(),MATCH(B394,Products!$B$5:$B$204,0)),IFERROR(MATCH(A394,Products!$A$5:$A$204,0),"")))</f>
        <v/>
      </c>
      <c r="L394">
        <f>IF(A394="","",IF(K394="","⚠ not in Products",INDEX(Products!$A$5:$A$204,K394)))</f>
        <v/>
      </c>
      <c r="M394" s="11">
        <f>IF(A394="","",J394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394+IFERROR(INDEX(Settings!$D$5:$D$9,MATCH("Etsy",Settings!$A$5:$A$9,0)),0)*D394)</f>
        <v/>
      </c>
      <c r="N394" s="11">
        <f>IF(A394="","",IF(K394="",0,D394*INDEX(Products!$I$5:$I$204,K394)))</f>
        <v/>
      </c>
      <c r="O394" s="11">
        <f>IF(A394="","",IF(K394="",0,J394*INDEX(Products!$H$5:$H$204,K394)))</f>
        <v/>
      </c>
      <c r="P394" s="11">
        <f>IF(A394="","",J394-M394-N394-O394)</f>
        <v/>
      </c>
    </row>
    <row r="395">
      <c r="A395">
        <f>IFERROR(INDEX('Etsy Import'!$A:$CZ,395,Settings!$C$20)&amp;"","")</f>
        <v/>
      </c>
      <c r="B395">
        <f>IFERROR(INDEX('Etsy Import'!$A:$CZ,395,Settings!$C$21)&amp;"","")</f>
        <v/>
      </c>
      <c r="C395">
        <f>IFERROR(INDEX('Etsy Import'!$A:$CZ,395,Settings!$C$22)&amp;"","")</f>
        <v/>
      </c>
      <c r="D395">
        <f>IF(A395="","",IFERROR(VALUE(SUBSTITUTE(SUBSTITUTE(INDEX('Etsy Import'!$A:$CZ,395,Settings!$C$23)&amp;"","$",""),",","")),0))</f>
        <v/>
      </c>
      <c r="E395" s="11">
        <f>IF(A395="","",IFERROR(VALUE(SUBSTITUTE(SUBSTITUTE(INDEX('Etsy Import'!$A:$CZ,395,Settings!$C$24)&amp;"","$",""),",","")),0))</f>
        <v/>
      </c>
      <c r="F395" s="11">
        <f>IF(A395="","",D395*E395)</f>
        <v/>
      </c>
      <c r="G395">
        <f>IF(A395="","",IF(C395="",1,COUNTIF($C$2:$C$1501,C395)))</f>
        <v/>
      </c>
      <c r="H395" s="11">
        <f>IF(A395="","",IFERROR(VALUE(SUBSTITUTE(SUBSTITUTE(INDEX('Etsy Import'!$A:$CZ,395,Settings!$C$25)&amp;"","$",""),",","")),0)/IF(Settings!$B$27="Yes",G395,1))</f>
        <v/>
      </c>
      <c r="I395" s="11">
        <f>IF(A395="","",IFERROR(VALUE(SUBSTITUTE(SUBSTITUTE(INDEX('Etsy Import'!$A:$CZ,395,Settings!$C$26)&amp;"","$",""),",","")),0)/IF(Settings!$B$27="Yes",G395,1))</f>
        <v/>
      </c>
      <c r="J395" s="11">
        <f>IF(A395="","",F395+H395-I395)</f>
        <v/>
      </c>
      <c r="K395">
        <f>IF(A395="","",IFERROR(IF(B395="",NA(),MATCH(B395,Products!$B$5:$B$204,0)),IFERROR(MATCH(A395,Products!$A$5:$A$204,0),"")))</f>
        <v/>
      </c>
      <c r="L395">
        <f>IF(A395="","",IF(K395="","⚠ not in Products",INDEX(Products!$A$5:$A$204,K395)))</f>
        <v/>
      </c>
      <c r="M395" s="11">
        <f>IF(A395="","",J395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395+IFERROR(INDEX(Settings!$D$5:$D$9,MATCH("Etsy",Settings!$A$5:$A$9,0)),0)*D395)</f>
        <v/>
      </c>
      <c r="N395" s="11">
        <f>IF(A395="","",IF(K395="",0,D395*INDEX(Products!$I$5:$I$204,K395)))</f>
        <v/>
      </c>
      <c r="O395" s="11">
        <f>IF(A395="","",IF(K395="",0,J395*INDEX(Products!$H$5:$H$204,K395)))</f>
        <v/>
      </c>
      <c r="P395" s="11">
        <f>IF(A395="","",J395-M395-N395-O395)</f>
        <v/>
      </c>
    </row>
    <row r="396">
      <c r="A396">
        <f>IFERROR(INDEX('Etsy Import'!$A:$CZ,396,Settings!$C$20)&amp;"","")</f>
        <v/>
      </c>
      <c r="B396">
        <f>IFERROR(INDEX('Etsy Import'!$A:$CZ,396,Settings!$C$21)&amp;"","")</f>
        <v/>
      </c>
      <c r="C396">
        <f>IFERROR(INDEX('Etsy Import'!$A:$CZ,396,Settings!$C$22)&amp;"","")</f>
        <v/>
      </c>
      <c r="D396">
        <f>IF(A396="","",IFERROR(VALUE(SUBSTITUTE(SUBSTITUTE(INDEX('Etsy Import'!$A:$CZ,396,Settings!$C$23)&amp;"","$",""),",","")),0))</f>
        <v/>
      </c>
      <c r="E396" s="11">
        <f>IF(A396="","",IFERROR(VALUE(SUBSTITUTE(SUBSTITUTE(INDEX('Etsy Import'!$A:$CZ,396,Settings!$C$24)&amp;"","$",""),",","")),0))</f>
        <v/>
      </c>
      <c r="F396" s="11">
        <f>IF(A396="","",D396*E396)</f>
        <v/>
      </c>
      <c r="G396">
        <f>IF(A396="","",IF(C396="",1,COUNTIF($C$2:$C$1501,C396)))</f>
        <v/>
      </c>
      <c r="H396" s="11">
        <f>IF(A396="","",IFERROR(VALUE(SUBSTITUTE(SUBSTITUTE(INDEX('Etsy Import'!$A:$CZ,396,Settings!$C$25)&amp;"","$",""),",","")),0)/IF(Settings!$B$27="Yes",G396,1))</f>
        <v/>
      </c>
      <c r="I396" s="11">
        <f>IF(A396="","",IFERROR(VALUE(SUBSTITUTE(SUBSTITUTE(INDEX('Etsy Import'!$A:$CZ,396,Settings!$C$26)&amp;"","$",""),",","")),0)/IF(Settings!$B$27="Yes",G396,1))</f>
        <v/>
      </c>
      <c r="J396" s="11">
        <f>IF(A396="","",F396+H396-I396)</f>
        <v/>
      </c>
      <c r="K396">
        <f>IF(A396="","",IFERROR(IF(B396="",NA(),MATCH(B396,Products!$B$5:$B$204,0)),IFERROR(MATCH(A396,Products!$A$5:$A$204,0),"")))</f>
        <v/>
      </c>
      <c r="L396">
        <f>IF(A396="","",IF(K396="","⚠ not in Products",INDEX(Products!$A$5:$A$204,K396)))</f>
        <v/>
      </c>
      <c r="M396" s="11">
        <f>IF(A396="","",J396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396+IFERROR(INDEX(Settings!$D$5:$D$9,MATCH("Etsy",Settings!$A$5:$A$9,0)),0)*D396)</f>
        <v/>
      </c>
      <c r="N396" s="11">
        <f>IF(A396="","",IF(K396="",0,D396*INDEX(Products!$I$5:$I$204,K396)))</f>
        <v/>
      </c>
      <c r="O396" s="11">
        <f>IF(A396="","",IF(K396="",0,J396*INDEX(Products!$H$5:$H$204,K396)))</f>
        <v/>
      </c>
      <c r="P396" s="11">
        <f>IF(A396="","",J396-M396-N396-O396)</f>
        <v/>
      </c>
    </row>
    <row r="397">
      <c r="A397">
        <f>IFERROR(INDEX('Etsy Import'!$A:$CZ,397,Settings!$C$20)&amp;"","")</f>
        <v/>
      </c>
      <c r="B397">
        <f>IFERROR(INDEX('Etsy Import'!$A:$CZ,397,Settings!$C$21)&amp;"","")</f>
        <v/>
      </c>
      <c r="C397">
        <f>IFERROR(INDEX('Etsy Import'!$A:$CZ,397,Settings!$C$22)&amp;"","")</f>
        <v/>
      </c>
      <c r="D397">
        <f>IF(A397="","",IFERROR(VALUE(SUBSTITUTE(SUBSTITUTE(INDEX('Etsy Import'!$A:$CZ,397,Settings!$C$23)&amp;"","$",""),",","")),0))</f>
        <v/>
      </c>
      <c r="E397" s="11">
        <f>IF(A397="","",IFERROR(VALUE(SUBSTITUTE(SUBSTITUTE(INDEX('Etsy Import'!$A:$CZ,397,Settings!$C$24)&amp;"","$",""),",","")),0))</f>
        <v/>
      </c>
      <c r="F397" s="11">
        <f>IF(A397="","",D397*E397)</f>
        <v/>
      </c>
      <c r="G397">
        <f>IF(A397="","",IF(C397="",1,COUNTIF($C$2:$C$1501,C397)))</f>
        <v/>
      </c>
      <c r="H397" s="11">
        <f>IF(A397="","",IFERROR(VALUE(SUBSTITUTE(SUBSTITUTE(INDEX('Etsy Import'!$A:$CZ,397,Settings!$C$25)&amp;"","$",""),",","")),0)/IF(Settings!$B$27="Yes",G397,1))</f>
        <v/>
      </c>
      <c r="I397" s="11">
        <f>IF(A397="","",IFERROR(VALUE(SUBSTITUTE(SUBSTITUTE(INDEX('Etsy Import'!$A:$CZ,397,Settings!$C$26)&amp;"","$",""),",","")),0)/IF(Settings!$B$27="Yes",G397,1))</f>
        <v/>
      </c>
      <c r="J397" s="11">
        <f>IF(A397="","",F397+H397-I397)</f>
        <v/>
      </c>
      <c r="K397">
        <f>IF(A397="","",IFERROR(IF(B397="",NA(),MATCH(B397,Products!$B$5:$B$204,0)),IFERROR(MATCH(A397,Products!$A$5:$A$204,0),"")))</f>
        <v/>
      </c>
      <c r="L397">
        <f>IF(A397="","",IF(K397="","⚠ not in Products",INDEX(Products!$A$5:$A$204,K397)))</f>
        <v/>
      </c>
      <c r="M397" s="11">
        <f>IF(A397="","",J397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397+IFERROR(INDEX(Settings!$D$5:$D$9,MATCH("Etsy",Settings!$A$5:$A$9,0)),0)*D397)</f>
        <v/>
      </c>
      <c r="N397" s="11">
        <f>IF(A397="","",IF(K397="",0,D397*INDEX(Products!$I$5:$I$204,K397)))</f>
        <v/>
      </c>
      <c r="O397" s="11">
        <f>IF(A397="","",IF(K397="",0,J397*INDEX(Products!$H$5:$H$204,K397)))</f>
        <v/>
      </c>
      <c r="P397" s="11">
        <f>IF(A397="","",J397-M397-N397-O397)</f>
        <v/>
      </c>
    </row>
    <row r="398">
      <c r="A398">
        <f>IFERROR(INDEX('Etsy Import'!$A:$CZ,398,Settings!$C$20)&amp;"","")</f>
        <v/>
      </c>
      <c r="B398">
        <f>IFERROR(INDEX('Etsy Import'!$A:$CZ,398,Settings!$C$21)&amp;"","")</f>
        <v/>
      </c>
      <c r="C398">
        <f>IFERROR(INDEX('Etsy Import'!$A:$CZ,398,Settings!$C$22)&amp;"","")</f>
        <v/>
      </c>
      <c r="D398">
        <f>IF(A398="","",IFERROR(VALUE(SUBSTITUTE(SUBSTITUTE(INDEX('Etsy Import'!$A:$CZ,398,Settings!$C$23)&amp;"","$",""),",","")),0))</f>
        <v/>
      </c>
      <c r="E398" s="11">
        <f>IF(A398="","",IFERROR(VALUE(SUBSTITUTE(SUBSTITUTE(INDEX('Etsy Import'!$A:$CZ,398,Settings!$C$24)&amp;"","$",""),",","")),0))</f>
        <v/>
      </c>
      <c r="F398" s="11">
        <f>IF(A398="","",D398*E398)</f>
        <v/>
      </c>
      <c r="G398">
        <f>IF(A398="","",IF(C398="",1,COUNTIF($C$2:$C$1501,C398)))</f>
        <v/>
      </c>
      <c r="H398" s="11">
        <f>IF(A398="","",IFERROR(VALUE(SUBSTITUTE(SUBSTITUTE(INDEX('Etsy Import'!$A:$CZ,398,Settings!$C$25)&amp;"","$",""),",","")),0)/IF(Settings!$B$27="Yes",G398,1))</f>
        <v/>
      </c>
      <c r="I398" s="11">
        <f>IF(A398="","",IFERROR(VALUE(SUBSTITUTE(SUBSTITUTE(INDEX('Etsy Import'!$A:$CZ,398,Settings!$C$26)&amp;"","$",""),",","")),0)/IF(Settings!$B$27="Yes",G398,1))</f>
        <v/>
      </c>
      <c r="J398" s="11">
        <f>IF(A398="","",F398+H398-I398)</f>
        <v/>
      </c>
      <c r="K398">
        <f>IF(A398="","",IFERROR(IF(B398="",NA(),MATCH(B398,Products!$B$5:$B$204,0)),IFERROR(MATCH(A398,Products!$A$5:$A$204,0),"")))</f>
        <v/>
      </c>
      <c r="L398">
        <f>IF(A398="","",IF(K398="","⚠ not in Products",INDEX(Products!$A$5:$A$204,K398)))</f>
        <v/>
      </c>
      <c r="M398" s="11">
        <f>IF(A398="","",J398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398+IFERROR(INDEX(Settings!$D$5:$D$9,MATCH("Etsy",Settings!$A$5:$A$9,0)),0)*D398)</f>
        <v/>
      </c>
      <c r="N398" s="11">
        <f>IF(A398="","",IF(K398="",0,D398*INDEX(Products!$I$5:$I$204,K398)))</f>
        <v/>
      </c>
      <c r="O398" s="11">
        <f>IF(A398="","",IF(K398="",0,J398*INDEX(Products!$H$5:$H$204,K398)))</f>
        <v/>
      </c>
      <c r="P398" s="11">
        <f>IF(A398="","",J398-M398-N398-O398)</f>
        <v/>
      </c>
    </row>
    <row r="399">
      <c r="A399">
        <f>IFERROR(INDEX('Etsy Import'!$A:$CZ,399,Settings!$C$20)&amp;"","")</f>
        <v/>
      </c>
      <c r="B399">
        <f>IFERROR(INDEX('Etsy Import'!$A:$CZ,399,Settings!$C$21)&amp;"","")</f>
        <v/>
      </c>
      <c r="C399">
        <f>IFERROR(INDEX('Etsy Import'!$A:$CZ,399,Settings!$C$22)&amp;"","")</f>
        <v/>
      </c>
      <c r="D399">
        <f>IF(A399="","",IFERROR(VALUE(SUBSTITUTE(SUBSTITUTE(INDEX('Etsy Import'!$A:$CZ,399,Settings!$C$23)&amp;"","$",""),",","")),0))</f>
        <v/>
      </c>
      <c r="E399" s="11">
        <f>IF(A399="","",IFERROR(VALUE(SUBSTITUTE(SUBSTITUTE(INDEX('Etsy Import'!$A:$CZ,399,Settings!$C$24)&amp;"","$",""),",","")),0))</f>
        <v/>
      </c>
      <c r="F399" s="11">
        <f>IF(A399="","",D399*E399)</f>
        <v/>
      </c>
      <c r="G399">
        <f>IF(A399="","",IF(C399="",1,COUNTIF($C$2:$C$1501,C399)))</f>
        <v/>
      </c>
      <c r="H399" s="11">
        <f>IF(A399="","",IFERROR(VALUE(SUBSTITUTE(SUBSTITUTE(INDEX('Etsy Import'!$A:$CZ,399,Settings!$C$25)&amp;"","$",""),",","")),0)/IF(Settings!$B$27="Yes",G399,1))</f>
        <v/>
      </c>
      <c r="I399" s="11">
        <f>IF(A399="","",IFERROR(VALUE(SUBSTITUTE(SUBSTITUTE(INDEX('Etsy Import'!$A:$CZ,399,Settings!$C$26)&amp;"","$",""),",","")),0)/IF(Settings!$B$27="Yes",G399,1))</f>
        <v/>
      </c>
      <c r="J399" s="11">
        <f>IF(A399="","",F399+H399-I399)</f>
        <v/>
      </c>
      <c r="K399">
        <f>IF(A399="","",IFERROR(IF(B399="",NA(),MATCH(B399,Products!$B$5:$B$204,0)),IFERROR(MATCH(A399,Products!$A$5:$A$204,0),"")))</f>
        <v/>
      </c>
      <c r="L399">
        <f>IF(A399="","",IF(K399="","⚠ not in Products",INDEX(Products!$A$5:$A$204,K399)))</f>
        <v/>
      </c>
      <c r="M399" s="11">
        <f>IF(A399="","",J399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399+IFERROR(INDEX(Settings!$D$5:$D$9,MATCH("Etsy",Settings!$A$5:$A$9,0)),0)*D399)</f>
        <v/>
      </c>
      <c r="N399" s="11">
        <f>IF(A399="","",IF(K399="",0,D399*INDEX(Products!$I$5:$I$204,K399)))</f>
        <v/>
      </c>
      <c r="O399" s="11">
        <f>IF(A399="","",IF(K399="",0,J399*INDEX(Products!$H$5:$H$204,K399)))</f>
        <v/>
      </c>
      <c r="P399" s="11">
        <f>IF(A399="","",J399-M399-N399-O399)</f>
        <v/>
      </c>
    </row>
    <row r="400">
      <c r="A400">
        <f>IFERROR(INDEX('Etsy Import'!$A:$CZ,400,Settings!$C$20)&amp;"","")</f>
        <v/>
      </c>
      <c r="B400">
        <f>IFERROR(INDEX('Etsy Import'!$A:$CZ,400,Settings!$C$21)&amp;"","")</f>
        <v/>
      </c>
      <c r="C400">
        <f>IFERROR(INDEX('Etsy Import'!$A:$CZ,400,Settings!$C$22)&amp;"","")</f>
        <v/>
      </c>
      <c r="D400">
        <f>IF(A400="","",IFERROR(VALUE(SUBSTITUTE(SUBSTITUTE(INDEX('Etsy Import'!$A:$CZ,400,Settings!$C$23)&amp;"","$",""),",","")),0))</f>
        <v/>
      </c>
      <c r="E400" s="11">
        <f>IF(A400="","",IFERROR(VALUE(SUBSTITUTE(SUBSTITUTE(INDEX('Etsy Import'!$A:$CZ,400,Settings!$C$24)&amp;"","$",""),",","")),0))</f>
        <v/>
      </c>
      <c r="F400" s="11">
        <f>IF(A400="","",D400*E400)</f>
        <v/>
      </c>
      <c r="G400">
        <f>IF(A400="","",IF(C400="",1,COUNTIF($C$2:$C$1501,C400)))</f>
        <v/>
      </c>
      <c r="H400" s="11">
        <f>IF(A400="","",IFERROR(VALUE(SUBSTITUTE(SUBSTITUTE(INDEX('Etsy Import'!$A:$CZ,400,Settings!$C$25)&amp;"","$",""),",","")),0)/IF(Settings!$B$27="Yes",G400,1))</f>
        <v/>
      </c>
      <c r="I400" s="11">
        <f>IF(A400="","",IFERROR(VALUE(SUBSTITUTE(SUBSTITUTE(INDEX('Etsy Import'!$A:$CZ,400,Settings!$C$26)&amp;"","$",""),",","")),0)/IF(Settings!$B$27="Yes",G400,1))</f>
        <v/>
      </c>
      <c r="J400" s="11">
        <f>IF(A400="","",F400+H400-I400)</f>
        <v/>
      </c>
      <c r="K400">
        <f>IF(A400="","",IFERROR(IF(B400="",NA(),MATCH(B400,Products!$B$5:$B$204,0)),IFERROR(MATCH(A400,Products!$A$5:$A$204,0),"")))</f>
        <v/>
      </c>
      <c r="L400">
        <f>IF(A400="","",IF(K400="","⚠ not in Products",INDEX(Products!$A$5:$A$204,K400)))</f>
        <v/>
      </c>
      <c r="M400" s="11">
        <f>IF(A400="","",J400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400+IFERROR(INDEX(Settings!$D$5:$D$9,MATCH("Etsy",Settings!$A$5:$A$9,0)),0)*D400)</f>
        <v/>
      </c>
      <c r="N400" s="11">
        <f>IF(A400="","",IF(K400="",0,D400*INDEX(Products!$I$5:$I$204,K400)))</f>
        <v/>
      </c>
      <c r="O400" s="11">
        <f>IF(A400="","",IF(K400="",0,J400*INDEX(Products!$H$5:$H$204,K400)))</f>
        <v/>
      </c>
      <c r="P400" s="11">
        <f>IF(A400="","",J400-M400-N400-O400)</f>
        <v/>
      </c>
    </row>
    <row r="401">
      <c r="A401">
        <f>IFERROR(INDEX('Etsy Import'!$A:$CZ,401,Settings!$C$20)&amp;"","")</f>
        <v/>
      </c>
      <c r="B401">
        <f>IFERROR(INDEX('Etsy Import'!$A:$CZ,401,Settings!$C$21)&amp;"","")</f>
        <v/>
      </c>
      <c r="C401">
        <f>IFERROR(INDEX('Etsy Import'!$A:$CZ,401,Settings!$C$22)&amp;"","")</f>
        <v/>
      </c>
      <c r="D401">
        <f>IF(A401="","",IFERROR(VALUE(SUBSTITUTE(SUBSTITUTE(INDEX('Etsy Import'!$A:$CZ,401,Settings!$C$23)&amp;"","$",""),",","")),0))</f>
        <v/>
      </c>
      <c r="E401" s="11">
        <f>IF(A401="","",IFERROR(VALUE(SUBSTITUTE(SUBSTITUTE(INDEX('Etsy Import'!$A:$CZ,401,Settings!$C$24)&amp;"","$",""),",","")),0))</f>
        <v/>
      </c>
      <c r="F401" s="11">
        <f>IF(A401="","",D401*E401)</f>
        <v/>
      </c>
      <c r="G401">
        <f>IF(A401="","",IF(C401="",1,COUNTIF($C$2:$C$1501,C401)))</f>
        <v/>
      </c>
      <c r="H401" s="11">
        <f>IF(A401="","",IFERROR(VALUE(SUBSTITUTE(SUBSTITUTE(INDEX('Etsy Import'!$A:$CZ,401,Settings!$C$25)&amp;"","$",""),",","")),0)/IF(Settings!$B$27="Yes",G401,1))</f>
        <v/>
      </c>
      <c r="I401" s="11">
        <f>IF(A401="","",IFERROR(VALUE(SUBSTITUTE(SUBSTITUTE(INDEX('Etsy Import'!$A:$CZ,401,Settings!$C$26)&amp;"","$",""),",","")),0)/IF(Settings!$B$27="Yes",G401,1))</f>
        <v/>
      </c>
      <c r="J401" s="11">
        <f>IF(A401="","",F401+H401-I401)</f>
        <v/>
      </c>
      <c r="K401">
        <f>IF(A401="","",IFERROR(IF(B401="",NA(),MATCH(B401,Products!$B$5:$B$204,0)),IFERROR(MATCH(A401,Products!$A$5:$A$204,0),"")))</f>
        <v/>
      </c>
      <c r="L401">
        <f>IF(A401="","",IF(K401="","⚠ not in Products",INDEX(Products!$A$5:$A$204,K401)))</f>
        <v/>
      </c>
      <c r="M401" s="11">
        <f>IF(A401="","",J401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401+IFERROR(INDEX(Settings!$D$5:$D$9,MATCH("Etsy",Settings!$A$5:$A$9,0)),0)*D401)</f>
        <v/>
      </c>
      <c r="N401" s="11">
        <f>IF(A401="","",IF(K401="",0,D401*INDEX(Products!$I$5:$I$204,K401)))</f>
        <v/>
      </c>
      <c r="O401" s="11">
        <f>IF(A401="","",IF(K401="",0,J401*INDEX(Products!$H$5:$H$204,K401)))</f>
        <v/>
      </c>
      <c r="P401" s="11">
        <f>IF(A401="","",J401-M401-N401-O401)</f>
        <v/>
      </c>
    </row>
    <row r="402">
      <c r="A402">
        <f>IFERROR(INDEX('Etsy Import'!$A:$CZ,402,Settings!$C$20)&amp;"","")</f>
        <v/>
      </c>
      <c r="B402">
        <f>IFERROR(INDEX('Etsy Import'!$A:$CZ,402,Settings!$C$21)&amp;"","")</f>
        <v/>
      </c>
      <c r="C402">
        <f>IFERROR(INDEX('Etsy Import'!$A:$CZ,402,Settings!$C$22)&amp;"","")</f>
        <v/>
      </c>
      <c r="D402">
        <f>IF(A402="","",IFERROR(VALUE(SUBSTITUTE(SUBSTITUTE(INDEX('Etsy Import'!$A:$CZ,402,Settings!$C$23)&amp;"","$",""),",","")),0))</f>
        <v/>
      </c>
      <c r="E402" s="11">
        <f>IF(A402="","",IFERROR(VALUE(SUBSTITUTE(SUBSTITUTE(INDEX('Etsy Import'!$A:$CZ,402,Settings!$C$24)&amp;"","$",""),",","")),0))</f>
        <v/>
      </c>
      <c r="F402" s="11">
        <f>IF(A402="","",D402*E402)</f>
        <v/>
      </c>
      <c r="G402">
        <f>IF(A402="","",IF(C402="",1,COUNTIF($C$2:$C$1501,C402)))</f>
        <v/>
      </c>
      <c r="H402" s="11">
        <f>IF(A402="","",IFERROR(VALUE(SUBSTITUTE(SUBSTITUTE(INDEX('Etsy Import'!$A:$CZ,402,Settings!$C$25)&amp;"","$",""),",","")),0)/IF(Settings!$B$27="Yes",G402,1))</f>
        <v/>
      </c>
      <c r="I402" s="11">
        <f>IF(A402="","",IFERROR(VALUE(SUBSTITUTE(SUBSTITUTE(INDEX('Etsy Import'!$A:$CZ,402,Settings!$C$26)&amp;"","$",""),",","")),0)/IF(Settings!$B$27="Yes",G402,1))</f>
        <v/>
      </c>
      <c r="J402" s="11">
        <f>IF(A402="","",F402+H402-I402)</f>
        <v/>
      </c>
      <c r="K402">
        <f>IF(A402="","",IFERROR(IF(B402="",NA(),MATCH(B402,Products!$B$5:$B$204,0)),IFERROR(MATCH(A402,Products!$A$5:$A$204,0),"")))</f>
        <v/>
      </c>
      <c r="L402">
        <f>IF(A402="","",IF(K402="","⚠ not in Products",INDEX(Products!$A$5:$A$204,K402)))</f>
        <v/>
      </c>
      <c r="M402" s="11">
        <f>IF(A402="","",J402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402+IFERROR(INDEX(Settings!$D$5:$D$9,MATCH("Etsy",Settings!$A$5:$A$9,0)),0)*D402)</f>
        <v/>
      </c>
      <c r="N402" s="11">
        <f>IF(A402="","",IF(K402="",0,D402*INDEX(Products!$I$5:$I$204,K402)))</f>
        <v/>
      </c>
      <c r="O402" s="11">
        <f>IF(A402="","",IF(K402="",0,J402*INDEX(Products!$H$5:$H$204,K402)))</f>
        <v/>
      </c>
      <c r="P402" s="11">
        <f>IF(A402="","",J402-M402-N402-O402)</f>
        <v/>
      </c>
    </row>
    <row r="403">
      <c r="A403">
        <f>IFERROR(INDEX('Etsy Import'!$A:$CZ,403,Settings!$C$20)&amp;"","")</f>
        <v/>
      </c>
      <c r="B403">
        <f>IFERROR(INDEX('Etsy Import'!$A:$CZ,403,Settings!$C$21)&amp;"","")</f>
        <v/>
      </c>
      <c r="C403">
        <f>IFERROR(INDEX('Etsy Import'!$A:$CZ,403,Settings!$C$22)&amp;"","")</f>
        <v/>
      </c>
      <c r="D403">
        <f>IF(A403="","",IFERROR(VALUE(SUBSTITUTE(SUBSTITUTE(INDEX('Etsy Import'!$A:$CZ,403,Settings!$C$23)&amp;"","$",""),",","")),0))</f>
        <v/>
      </c>
      <c r="E403" s="11">
        <f>IF(A403="","",IFERROR(VALUE(SUBSTITUTE(SUBSTITUTE(INDEX('Etsy Import'!$A:$CZ,403,Settings!$C$24)&amp;"","$",""),",","")),0))</f>
        <v/>
      </c>
      <c r="F403" s="11">
        <f>IF(A403="","",D403*E403)</f>
        <v/>
      </c>
      <c r="G403">
        <f>IF(A403="","",IF(C403="",1,COUNTIF($C$2:$C$1501,C403)))</f>
        <v/>
      </c>
      <c r="H403" s="11">
        <f>IF(A403="","",IFERROR(VALUE(SUBSTITUTE(SUBSTITUTE(INDEX('Etsy Import'!$A:$CZ,403,Settings!$C$25)&amp;"","$",""),",","")),0)/IF(Settings!$B$27="Yes",G403,1))</f>
        <v/>
      </c>
      <c r="I403" s="11">
        <f>IF(A403="","",IFERROR(VALUE(SUBSTITUTE(SUBSTITUTE(INDEX('Etsy Import'!$A:$CZ,403,Settings!$C$26)&amp;"","$",""),",","")),0)/IF(Settings!$B$27="Yes",G403,1))</f>
        <v/>
      </c>
      <c r="J403" s="11">
        <f>IF(A403="","",F403+H403-I403)</f>
        <v/>
      </c>
      <c r="K403">
        <f>IF(A403="","",IFERROR(IF(B403="",NA(),MATCH(B403,Products!$B$5:$B$204,0)),IFERROR(MATCH(A403,Products!$A$5:$A$204,0),"")))</f>
        <v/>
      </c>
      <c r="L403">
        <f>IF(A403="","",IF(K403="","⚠ not in Products",INDEX(Products!$A$5:$A$204,K403)))</f>
        <v/>
      </c>
      <c r="M403" s="11">
        <f>IF(A403="","",J403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403+IFERROR(INDEX(Settings!$D$5:$D$9,MATCH("Etsy",Settings!$A$5:$A$9,0)),0)*D403)</f>
        <v/>
      </c>
      <c r="N403" s="11">
        <f>IF(A403="","",IF(K403="",0,D403*INDEX(Products!$I$5:$I$204,K403)))</f>
        <v/>
      </c>
      <c r="O403" s="11">
        <f>IF(A403="","",IF(K403="",0,J403*INDEX(Products!$H$5:$H$204,K403)))</f>
        <v/>
      </c>
      <c r="P403" s="11">
        <f>IF(A403="","",J403-M403-N403-O403)</f>
        <v/>
      </c>
    </row>
    <row r="404">
      <c r="A404">
        <f>IFERROR(INDEX('Etsy Import'!$A:$CZ,404,Settings!$C$20)&amp;"","")</f>
        <v/>
      </c>
      <c r="B404">
        <f>IFERROR(INDEX('Etsy Import'!$A:$CZ,404,Settings!$C$21)&amp;"","")</f>
        <v/>
      </c>
      <c r="C404">
        <f>IFERROR(INDEX('Etsy Import'!$A:$CZ,404,Settings!$C$22)&amp;"","")</f>
        <v/>
      </c>
      <c r="D404">
        <f>IF(A404="","",IFERROR(VALUE(SUBSTITUTE(SUBSTITUTE(INDEX('Etsy Import'!$A:$CZ,404,Settings!$C$23)&amp;"","$",""),",","")),0))</f>
        <v/>
      </c>
      <c r="E404" s="11">
        <f>IF(A404="","",IFERROR(VALUE(SUBSTITUTE(SUBSTITUTE(INDEX('Etsy Import'!$A:$CZ,404,Settings!$C$24)&amp;"","$",""),",","")),0))</f>
        <v/>
      </c>
      <c r="F404" s="11">
        <f>IF(A404="","",D404*E404)</f>
        <v/>
      </c>
      <c r="G404">
        <f>IF(A404="","",IF(C404="",1,COUNTIF($C$2:$C$1501,C404)))</f>
        <v/>
      </c>
      <c r="H404" s="11">
        <f>IF(A404="","",IFERROR(VALUE(SUBSTITUTE(SUBSTITUTE(INDEX('Etsy Import'!$A:$CZ,404,Settings!$C$25)&amp;"","$",""),",","")),0)/IF(Settings!$B$27="Yes",G404,1))</f>
        <v/>
      </c>
      <c r="I404" s="11">
        <f>IF(A404="","",IFERROR(VALUE(SUBSTITUTE(SUBSTITUTE(INDEX('Etsy Import'!$A:$CZ,404,Settings!$C$26)&amp;"","$",""),",","")),0)/IF(Settings!$B$27="Yes",G404,1))</f>
        <v/>
      </c>
      <c r="J404" s="11">
        <f>IF(A404="","",F404+H404-I404)</f>
        <v/>
      </c>
      <c r="K404">
        <f>IF(A404="","",IFERROR(IF(B404="",NA(),MATCH(B404,Products!$B$5:$B$204,0)),IFERROR(MATCH(A404,Products!$A$5:$A$204,0),"")))</f>
        <v/>
      </c>
      <c r="L404">
        <f>IF(A404="","",IF(K404="","⚠ not in Products",INDEX(Products!$A$5:$A$204,K404)))</f>
        <v/>
      </c>
      <c r="M404" s="11">
        <f>IF(A404="","",J404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404+IFERROR(INDEX(Settings!$D$5:$D$9,MATCH("Etsy",Settings!$A$5:$A$9,0)),0)*D404)</f>
        <v/>
      </c>
      <c r="N404" s="11">
        <f>IF(A404="","",IF(K404="",0,D404*INDEX(Products!$I$5:$I$204,K404)))</f>
        <v/>
      </c>
      <c r="O404" s="11">
        <f>IF(A404="","",IF(K404="",0,J404*INDEX(Products!$H$5:$H$204,K404)))</f>
        <v/>
      </c>
      <c r="P404" s="11">
        <f>IF(A404="","",J404-M404-N404-O404)</f>
        <v/>
      </c>
    </row>
    <row r="405">
      <c r="A405">
        <f>IFERROR(INDEX('Etsy Import'!$A:$CZ,405,Settings!$C$20)&amp;"","")</f>
        <v/>
      </c>
      <c r="B405">
        <f>IFERROR(INDEX('Etsy Import'!$A:$CZ,405,Settings!$C$21)&amp;"","")</f>
        <v/>
      </c>
      <c r="C405">
        <f>IFERROR(INDEX('Etsy Import'!$A:$CZ,405,Settings!$C$22)&amp;"","")</f>
        <v/>
      </c>
      <c r="D405">
        <f>IF(A405="","",IFERROR(VALUE(SUBSTITUTE(SUBSTITUTE(INDEX('Etsy Import'!$A:$CZ,405,Settings!$C$23)&amp;"","$",""),",","")),0))</f>
        <v/>
      </c>
      <c r="E405" s="11">
        <f>IF(A405="","",IFERROR(VALUE(SUBSTITUTE(SUBSTITUTE(INDEX('Etsy Import'!$A:$CZ,405,Settings!$C$24)&amp;"","$",""),",","")),0))</f>
        <v/>
      </c>
      <c r="F405" s="11">
        <f>IF(A405="","",D405*E405)</f>
        <v/>
      </c>
      <c r="G405">
        <f>IF(A405="","",IF(C405="",1,COUNTIF($C$2:$C$1501,C405)))</f>
        <v/>
      </c>
      <c r="H405" s="11">
        <f>IF(A405="","",IFERROR(VALUE(SUBSTITUTE(SUBSTITUTE(INDEX('Etsy Import'!$A:$CZ,405,Settings!$C$25)&amp;"","$",""),",","")),0)/IF(Settings!$B$27="Yes",G405,1))</f>
        <v/>
      </c>
      <c r="I405" s="11">
        <f>IF(A405="","",IFERROR(VALUE(SUBSTITUTE(SUBSTITUTE(INDEX('Etsy Import'!$A:$CZ,405,Settings!$C$26)&amp;"","$",""),",","")),0)/IF(Settings!$B$27="Yes",G405,1))</f>
        <v/>
      </c>
      <c r="J405" s="11">
        <f>IF(A405="","",F405+H405-I405)</f>
        <v/>
      </c>
      <c r="K405">
        <f>IF(A405="","",IFERROR(IF(B405="",NA(),MATCH(B405,Products!$B$5:$B$204,0)),IFERROR(MATCH(A405,Products!$A$5:$A$204,0),"")))</f>
        <v/>
      </c>
      <c r="L405">
        <f>IF(A405="","",IF(K405="","⚠ not in Products",INDEX(Products!$A$5:$A$204,K405)))</f>
        <v/>
      </c>
      <c r="M405" s="11">
        <f>IF(A405="","",J405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405+IFERROR(INDEX(Settings!$D$5:$D$9,MATCH("Etsy",Settings!$A$5:$A$9,0)),0)*D405)</f>
        <v/>
      </c>
      <c r="N405" s="11">
        <f>IF(A405="","",IF(K405="",0,D405*INDEX(Products!$I$5:$I$204,K405)))</f>
        <v/>
      </c>
      <c r="O405" s="11">
        <f>IF(A405="","",IF(K405="",0,J405*INDEX(Products!$H$5:$H$204,K405)))</f>
        <v/>
      </c>
      <c r="P405" s="11">
        <f>IF(A405="","",J405-M405-N405-O405)</f>
        <v/>
      </c>
    </row>
    <row r="406">
      <c r="A406">
        <f>IFERROR(INDEX('Etsy Import'!$A:$CZ,406,Settings!$C$20)&amp;"","")</f>
        <v/>
      </c>
      <c r="B406">
        <f>IFERROR(INDEX('Etsy Import'!$A:$CZ,406,Settings!$C$21)&amp;"","")</f>
        <v/>
      </c>
      <c r="C406">
        <f>IFERROR(INDEX('Etsy Import'!$A:$CZ,406,Settings!$C$22)&amp;"","")</f>
        <v/>
      </c>
      <c r="D406">
        <f>IF(A406="","",IFERROR(VALUE(SUBSTITUTE(SUBSTITUTE(INDEX('Etsy Import'!$A:$CZ,406,Settings!$C$23)&amp;"","$",""),",","")),0))</f>
        <v/>
      </c>
      <c r="E406" s="11">
        <f>IF(A406="","",IFERROR(VALUE(SUBSTITUTE(SUBSTITUTE(INDEX('Etsy Import'!$A:$CZ,406,Settings!$C$24)&amp;"","$",""),",","")),0))</f>
        <v/>
      </c>
      <c r="F406" s="11">
        <f>IF(A406="","",D406*E406)</f>
        <v/>
      </c>
      <c r="G406">
        <f>IF(A406="","",IF(C406="",1,COUNTIF($C$2:$C$1501,C406)))</f>
        <v/>
      </c>
      <c r="H406" s="11">
        <f>IF(A406="","",IFERROR(VALUE(SUBSTITUTE(SUBSTITUTE(INDEX('Etsy Import'!$A:$CZ,406,Settings!$C$25)&amp;"","$",""),",","")),0)/IF(Settings!$B$27="Yes",G406,1))</f>
        <v/>
      </c>
      <c r="I406" s="11">
        <f>IF(A406="","",IFERROR(VALUE(SUBSTITUTE(SUBSTITUTE(INDEX('Etsy Import'!$A:$CZ,406,Settings!$C$26)&amp;"","$",""),",","")),0)/IF(Settings!$B$27="Yes",G406,1))</f>
        <v/>
      </c>
      <c r="J406" s="11">
        <f>IF(A406="","",F406+H406-I406)</f>
        <v/>
      </c>
      <c r="K406">
        <f>IF(A406="","",IFERROR(IF(B406="",NA(),MATCH(B406,Products!$B$5:$B$204,0)),IFERROR(MATCH(A406,Products!$A$5:$A$204,0),"")))</f>
        <v/>
      </c>
      <c r="L406">
        <f>IF(A406="","",IF(K406="","⚠ not in Products",INDEX(Products!$A$5:$A$204,K406)))</f>
        <v/>
      </c>
      <c r="M406" s="11">
        <f>IF(A406="","",J406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406+IFERROR(INDEX(Settings!$D$5:$D$9,MATCH("Etsy",Settings!$A$5:$A$9,0)),0)*D406)</f>
        <v/>
      </c>
      <c r="N406" s="11">
        <f>IF(A406="","",IF(K406="",0,D406*INDEX(Products!$I$5:$I$204,K406)))</f>
        <v/>
      </c>
      <c r="O406" s="11">
        <f>IF(A406="","",IF(K406="",0,J406*INDEX(Products!$H$5:$H$204,K406)))</f>
        <v/>
      </c>
      <c r="P406" s="11">
        <f>IF(A406="","",J406-M406-N406-O406)</f>
        <v/>
      </c>
    </row>
    <row r="407">
      <c r="A407">
        <f>IFERROR(INDEX('Etsy Import'!$A:$CZ,407,Settings!$C$20)&amp;"","")</f>
        <v/>
      </c>
      <c r="B407">
        <f>IFERROR(INDEX('Etsy Import'!$A:$CZ,407,Settings!$C$21)&amp;"","")</f>
        <v/>
      </c>
      <c r="C407">
        <f>IFERROR(INDEX('Etsy Import'!$A:$CZ,407,Settings!$C$22)&amp;"","")</f>
        <v/>
      </c>
      <c r="D407">
        <f>IF(A407="","",IFERROR(VALUE(SUBSTITUTE(SUBSTITUTE(INDEX('Etsy Import'!$A:$CZ,407,Settings!$C$23)&amp;"","$",""),",","")),0))</f>
        <v/>
      </c>
      <c r="E407" s="11">
        <f>IF(A407="","",IFERROR(VALUE(SUBSTITUTE(SUBSTITUTE(INDEX('Etsy Import'!$A:$CZ,407,Settings!$C$24)&amp;"","$",""),",","")),0))</f>
        <v/>
      </c>
      <c r="F407" s="11">
        <f>IF(A407="","",D407*E407)</f>
        <v/>
      </c>
      <c r="G407">
        <f>IF(A407="","",IF(C407="",1,COUNTIF($C$2:$C$1501,C407)))</f>
        <v/>
      </c>
      <c r="H407" s="11">
        <f>IF(A407="","",IFERROR(VALUE(SUBSTITUTE(SUBSTITUTE(INDEX('Etsy Import'!$A:$CZ,407,Settings!$C$25)&amp;"","$",""),",","")),0)/IF(Settings!$B$27="Yes",G407,1))</f>
        <v/>
      </c>
      <c r="I407" s="11">
        <f>IF(A407="","",IFERROR(VALUE(SUBSTITUTE(SUBSTITUTE(INDEX('Etsy Import'!$A:$CZ,407,Settings!$C$26)&amp;"","$",""),",","")),0)/IF(Settings!$B$27="Yes",G407,1))</f>
        <v/>
      </c>
      <c r="J407" s="11">
        <f>IF(A407="","",F407+H407-I407)</f>
        <v/>
      </c>
      <c r="K407">
        <f>IF(A407="","",IFERROR(IF(B407="",NA(),MATCH(B407,Products!$B$5:$B$204,0)),IFERROR(MATCH(A407,Products!$A$5:$A$204,0),"")))</f>
        <v/>
      </c>
      <c r="L407">
        <f>IF(A407="","",IF(K407="","⚠ not in Products",INDEX(Products!$A$5:$A$204,K407)))</f>
        <v/>
      </c>
      <c r="M407" s="11">
        <f>IF(A407="","",J407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407+IFERROR(INDEX(Settings!$D$5:$D$9,MATCH("Etsy",Settings!$A$5:$A$9,0)),0)*D407)</f>
        <v/>
      </c>
      <c r="N407" s="11">
        <f>IF(A407="","",IF(K407="",0,D407*INDEX(Products!$I$5:$I$204,K407)))</f>
        <v/>
      </c>
      <c r="O407" s="11">
        <f>IF(A407="","",IF(K407="",0,J407*INDEX(Products!$H$5:$H$204,K407)))</f>
        <v/>
      </c>
      <c r="P407" s="11">
        <f>IF(A407="","",J407-M407-N407-O407)</f>
        <v/>
      </c>
    </row>
    <row r="408">
      <c r="A408">
        <f>IFERROR(INDEX('Etsy Import'!$A:$CZ,408,Settings!$C$20)&amp;"","")</f>
        <v/>
      </c>
      <c r="B408">
        <f>IFERROR(INDEX('Etsy Import'!$A:$CZ,408,Settings!$C$21)&amp;"","")</f>
        <v/>
      </c>
      <c r="C408">
        <f>IFERROR(INDEX('Etsy Import'!$A:$CZ,408,Settings!$C$22)&amp;"","")</f>
        <v/>
      </c>
      <c r="D408">
        <f>IF(A408="","",IFERROR(VALUE(SUBSTITUTE(SUBSTITUTE(INDEX('Etsy Import'!$A:$CZ,408,Settings!$C$23)&amp;"","$",""),",","")),0))</f>
        <v/>
      </c>
      <c r="E408" s="11">
        <f>IF(A408="","",IFERROR(VALUE(SUBSTITUTE(SUBSTITUTE(INDEX('Etsy Import'!$A:$CZ,408,Settings!$C$24)&amp;"","$",""),",","")),0))</f>
        <v/>
      </c>
      <c r="F408" s="11">
        <f>IF(A408="","",D408*E408)</f>
        <v/>
      </c>
      <c r="G408">
        <f>IF(A408="","",IF(C408="",1,COUNTIF($C$2:$C$1501,C408)))</f>
        <v/>
      </c>
      <c r="H408" s="11">
        <f>IF(A408="","",IFERROR(VALUE(SUBSTITUTE(SUBSTITUTE(INDEX('Etsy Import'!$A:$CZ,408,Settings!$C$25)&amp;"","$",""),",","")),0)/IF(Settings!$B$27="Yes",G408,1))</f>
        <v/>
      </c>
      <c r="I408" s="11">
        <f>IF(A408="","",IFERROR(VALUE(SUBSTITUTE(SUBSTITUTE(INDEX('Etsy Import'!$A:$CZ,408,Settings!$C$26)&amp;"","$",""),",","")),0)/IF(Settings!$B$27="Yes",G408,1))</f>
        <v/>
      </c>
      <c r="J408" s="11">
        <f>IF(A408="","",F408+H408-I408)</f>
        <v/>
      </c>
      <c r="K408">
        <f>IF(A408="","",IFERROR(IF(B408="",NA(),MATCH(B408,Products!$B$5:$B$204,0)),IFERROR(MATCH(A408,Products!$A$5:$A$204,0),"")))</f>
        <v/>
      </c>
      <c r="L408">
        <f>IF(A408="","",IF(K408="","⚠ not in Products",INDEX(Products!$A$5:$A$204,K408)))</f>
        <v/>
      </c>
      <c r="M408" s="11">
        <f>IF(A408="","",J408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408+IFERROR(INDEX(Settings!$D$5:$D$9,MATCH("Etsy",Settings!$A$5:$A$9,0)),0)*D408)</f>
        <v/>
      </c>
      <c r="N408" s="11">
        <f>IF(A408="","",IF(K408="",0,D408*INDEX(Products!$I$5:$I$204,K408)))</f>
        <v/>
      </c>
      <c r="O408" s="11">
        <f>IF(A408="","",IF(K408="",0,J408*INDEX(Products!$H$5:$H$204,K408)))</f>
        <v/>
      </c>
      <c r="P408" s="11">
        <f>IF(A408="","",J408-M408-N408-O408)</f>
        <v/>
      </c>
    </row>
    <row r="409">
      <c r="A409">
        <f>IFERROR(INDEX('Etsy Import'!$A:$CZ,409,Settings!$C$20)&amp;"","")</f>
        <v/>
      </c>
      <c r="B409">
        <f>IFERROR(INDEX('Etsy Import'!$A:$CZ,409,Settings!$C$21)&amp;"","")</f>
        <v/>
      </c>
      <c r="C409">
        <f>IFERROR(INDEX('Etsy Import'!$A:$CZ,409,Settings!$C$22)&amp;"","")</f>
        <v/>
      </c>
      <c r="D409">
        <f>IF(A409="","",IFERROR(VALUE(SUBSTITUTE(SUBSTITUTE(INDEX('Etsy Import'!$A:$CZ,409,Settings!$C$23)&amp;"","$",""),",","")),0))</f>
        <v/>
      </c>
      <c r="E409" s="11">
        <f>IF(A409="","",IFERROR(VALUE(SUBSTITUTE(SUBSTITUTE(INDEX('Etsy Import'!$A:$CZ,409,Settings!$C$24)&amp;"","$",""),",","")),0))</f>
        <v/>
      </c>
      <c r="F409" s="11">
        <f>IF(A409="","",D409*E409)</f>
        <v/>
      </c>
      <c r="G409">
        <f>IF(A409="","",IF(C409="",1,COUNTIF($C$2:$C$1501,C409)))</f>
        <v/>
      </c>
      <c r="H409" s="11">
        <f>IF(A409="","",IFERROR(VALUE(SUBSTITUTE(SUBSTITUTE(INDEX('Etsy Import'!$A:$CZ,409,Settings!$C$25)&amp;"","$",""),",","")),0)/IF(Settings!$B$27="Yes",G409,1))</f>
        <v/>
      </c>
      <c r="I409" s="11">
        <f>IF(A409="","",IFERROR(VALUE(SUBSTITUTE(SUBSTITUTE(INDEX('Etsy Import'!$A:$CZ,409,Settings!$C$26)&amp;"","$",""),",","")),0)/IF(Settings!$B$27="Yes",G409,1))</f>
        <v/>
      </c>
      <c r="J409" s="11">
        <f>IF(A409="","",F409+H409-I409)</f>
        <v/>
      </c>
      <c r="K409">
        <f>IF(A409="","",IFERROR(IF(B409="",NA(),MATCH(B409,Products!$B$5:$B$204,0)),IFERROR(MATCH(A409,Products!$A$5:$A$204,0),"")))</f>
        <v/>
      </c>
      <c r="L409">
        <f>IF(A409="","",IF(K409="","⚠ not in Products",INDEX(Products!$A$5:$A$204,K409)))</f>
        <v/>
      </c>
      <c r="M409" s="11">
        <f>IF(A409="","",J409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409+IFERROR(INDEX(Settings!$D$5:$D$9,MATCH("Etsy",Settings!$A$5:$A$9,0)),0)*D409)</f>
        <v/>
      </c>
      <c r="N409" s="11">
        <f>IF(A409="","",IF(K409="",0,D409*INDEX(Products!$I$5:$I$204,K409)))</f>
        <v/>
      </c>
      <c r="O409" s="11">
        <f>IF(A409="","",IF(K409="",0,J409*INDEX(Products!$H$5:$H$204,K409)))</f>
        <v/>
      </c>
      <c r="P409" s="11">
        <f>IF(A409="","",J409-M409-N409-O409)</f>
        <v/>
      </c>
    </row>
    <row r="410">
      <c r="A410">
        <f>IFERROR(INDEX('Etsy Import'!$A:$CZ,410,Settings!$C$20)&amp;"","")</f>
        <v/>
      </c>
      <c r="B410">
        <f>IFERROR(INDEX('Etsy Import'!$A:$CZ,410,Settings!$C$21)&amp;"","")</f>
        <v/>
      </c>
      <c r="C410">
        <f>IFERROR(INDEX('Etsy Import'!$A:$CZ,410,Settings!$C$22)&amp;"","")</f>
        <v/>
      </c>
      <c r="D410">
        <f>IF(A410="","",IFERROR(VALUE(SUBSTITUTE(SUBSTITUTE(INDEX('Etsy Import'!$A:$CZ,410,Settings!$C$23)&amp;"","$",""),",","")),0))</f>
        <v/>
      </c>
      <c r="E410" s="11">
        <f>IF(A410="","",IFERROR(VALUE(SUBSTITUTE(SUBSTITUTE(INDEX('Etsy Import'!$A:$CZ,410,Settings!$C$24)&amp;"","$",""),",","")),0))</f>
        <v/>
      </c>
      <c r="F410" s="11">
        <f>IF(A410="","",D410*E410)</f>
        <v/>
      </c>
      <c r="G410">
        <f>IF(A410="","",IF(C410="",1,COUNTIF($C$2:$C$1501,C410)))</f>
        <v/>
      </c>
      <c r="H410" s="11">
        <f>IF(A410="","",IFERROR(VALUE(SUBSTITUTE(SUBSTITUTE(INDEX('Etsy Import'!$A:$CZ,410,Settings!$C$25)&amp;"","$",""),",","")),0)/IF(Settings!$B$27="Yes",G410,1))</f>
        <v/>
      </c>
      <c r="I410" s="11">
        <f>IF(A410="","",IFERROR(VALUE(SUBSTITUTE(SUBSTITUTE(INDEX('Etsy Import'!$A:$CZ,410,Settings!$C$26)&amp;"","$",""),",","")),0)/IF(Settings!$B$27="Yes",G410,1))</f>
        <v/>
      </c>
      <c r="J410" s="11">
        <f>IF(A410="","",F410+H410-I410)</f>
        <v/>
      </c>
      <c r="K410">
        <f>IF(A410="","",IFERROR(IF(B410="",NA(),MATCH(B410,Products!$B$5:$B$204,0)),IFERROR(MATCH(A410,Products!$A$5:$A$204,0),"")))</f>
        <v/>
      </c>
      <c r="L410">
        <f>IF(A410="","",IF(K410="","⚠ not in Products",INDEX(Products!$A$5:$A$204,K410)))</f>
        <v/>
      </c>
      <c r="M410" s="11">
        <f>IF(A410="","",J410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410+IFERROR(INDEX(Settings!$D$5:$D$9,MATCH("Etsy",Settings!$A$5:$A$9,0)),0)*D410)</f>
        <v/>
      </c>
      <c r="N410" s="11">
        <f>IF(A410="","",IF(K410="",0,D410*INDEX(Products!$I$5:$I$204,K410)))</f>
        <v/>
      </c>
      <c r="O410" s="11">
        <f>IF(A410="","",IF(K410="",0,J410*INDEX(Products!$H$5:$H$204,K410)))</f>
        <v/>
      </c>
      <c r="P410" s="11">
        <f>IF(A410="","",J410-M410-N410-O410)</f>
        <v/>
      </c>
    </row>
    <row r="411">
      <c r="A411">
        <f>IFERROR(INDEX('Etsy Import'!$A:$CZ,411,Settings!$C$20)&amp;"","")</f>
        <v/>
      </c>
      <c r="B411">
        <f>IFERROR(INDEX('Etsy Import'!$A:$CZ,411,Settings!$C$21)&amp;"","")</f>
        <v/>
      </c>
      <c r="C411">
        <f>IFERROR(INDEX('Etsy Import'!$A:$CZ,411,Settings!$C$22)&amp;"","")</f>
        <v/>
      </c>
      <c r="D411">
        <f>IF(A411="","",IFERROR(VALUE(SUBSTITUTE(SUBSTITUTE(INDEX('Etsy Import'!$A:$CZ,411,Settings!$C$23)&amp;"","$",""),",","")),0))</f>
        <v/>
      </c>
      <c r="E411" s="11">
        <f>IF(A411="","",IFERROR(VALUE(SUBSTITUTE(SUBSTITUTE(INDEX('Etsy Import'!$A:$CZ,411,Settings!$C$24)&amp;"","$",""),",","")),0))</f>
        <v/>
      </c>
      <c r="F411" s="11">
        <f>IF(A411="","",D411*E411)</f>
        <v/>
      </c>
      <c r="G411">
        <f>IF(A411="","",IF(C411="",1,COUNTIF($C$2:$C$1501,C411)))</f>
        <v/>
      </c>
      <c r="H411" s="11">
        <f>IF(A411="","",IFERROR(VALUE(SUBSTITUTE(SUBSTITUTE(INDEX('Etsy Import'!$A:$CZ,411,Settings!$C$25)&amp;"","$",""),",","")),0)/IF(Settings!$B$27="Yes",G411,1))</f>
        <v/>
      </c>
      <c r="I411" s="11">
        <f>IF(A411="","",IFERROR(VALUE(SUBSTITUTE(SUBSTITUTE(INDEX('Etsy Import'!$A:$CZ,411,Settings!$C$26)&amp;"","$",""),",","")),0)/IF(Settings!$B$27="Yes",G411,1))</f>
        <v/>
      </c>
      <c r="J411" s="11">
        <f>IF(A411="","",F411+H411-I411)</f>
        <v/>
      </c>
      <c r="K411">
        <f>IF(A411="","",IFERROR(IF(B411="",NA(),MATCH(B411,Products!$B$5:$B$204,0)),IFERROR(MATCH(A411,Products!$A$5:$A$204,0),"")))</f>
        <v/>
      </c>
      <c r="L411">
        <f>IF(A411="","",IF(K411="","⚠ not in Products",INDEX(Products!$A$5:$A$204,K411)))</f>
        <v/>
      </c>
      <c r="M411" s="11">
        <f>IF(A411="","",J411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411+IFERROR(INDEX(Settings!$D$5:$D$9,MATCH("Etsy",Settings!$A$5:$A$9,0)),0)*D411)</f>
        <v/>
      </c>
      <c r="N411" s="11">
        <f>IF(A411="","",IF(K411="",0,D411*INDEX(Products!$I$5:$I$204,K411)))</f>
        <v/>
      </c>
      <c r="O411" s="11">
        <f>IF(A411="","",IF(K411="",0,J411*INDEX(Products!$H$5:$H$204,K411)))</f>
        <v/>
      </c>
      <c r="P411" s="11">
        <f>IF(A411="","",J411-M411-N411-O411)</f>
        <v/>
      </c>
    </row>
    <row r="412">
      <c r="A412">
        <f>IFERROR(INDEX('Etsy Import'!$A:$CZ,412,Settings!$C$20)&amp;"","")</f>
        <v/>
      </c>
      <c r="B412">
        <f>IFERROR(INDEX('Etsy Import'!$A:$CZ,412,Settings!$C$21)&amp;"","")</f>
        <v/>
      </c>
      <c r="C412">
        <f>IFERROR(INDEX('Etsy Import'!$A:$CZ,412,Settings!$C$22)&amp;"","")</f>
        <v/>
      </c>
      <c r="D412">
        <f>IF(A412="","",IFERROR(VALUE(SUBSTITUTE(SUBSTITUTE(INDEX('Etsy Import'!$A:$CZ,412,Settings!$C$23)&amp;"","$",""),",","")),0))</f>
        <v/>
      </c>
      <c r="E412" s="11">
        <f>IF(A412="","",IFERROR(VALUE(SUBSTITUTE(SUBSTITUTE(INDEX('Etsy Import'!$A:$CZ,412,Settings!$C$24)&amp;"","$",""),",","")),0))</f>
        <v/>
      </c>
      <c r="F412" s="11">
        <f>IF(A412="","",D412*E412)</f>
        <v/>
      </c>
      <c r="G412">
        <f>IF(A412="","",IF(C412="",1,COUNTIF($C$2:$C$1501,C412)))</f>
        <v/>
      </c>
      <c r="H412" s="11">
        <f>IF(A412="","",IFERROR(VALUE(SUBSTITUTE(SUBSTITUTE(INDEX('Etsy Import'!$A:$CZ,412,Settings!$C$25)&amp;"","$",""),",","")),0)/IF(Settings!$B$27="Yes",G412,1))</f>
        <v/>
      </c>
      <c r="I412" s="11">
        <f>IF(A412="","",IFERROR(VALUE(SUBSTITUTE(SUBSTITUTE(INDEX('Etsy Import'!$A:$CZ,412,Settings!$C$26)&amp;"","$",""),",","")),0)/IF(Settings!$B$27="Yes",G412,1))</f>
        <v/>
      </c>
      <c r="J412" s="11">
        <f>IF(A412="","",F412+H412-I412)</f>
        <v/>
      </c>
      <c r="K412">
        <f>IF(A412="","",IFERROR(IF(B412="",NA(),MATCH(B412,Products!$B$5:$B$204,0)),IFERROR(MATCH(A412,Products!$A$5:$A$204,0),"")))</f>
        <v/>
      </c>
      <c r="L412">
        <f>IF(A412="","",IF(K412="","⚠ not in Products",INDEX(Products!$A$5:$A$204,K412)))</f>
        <v/>
      </c>
      <c r="M412" s="11">
        <f>IF(A412="","",J412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412+IFERROR(INDEX(Settings!$D$5:$D$9,MATCH("Etsy",Settings!$A$5:$A$9,0)),0)*D412)</f>
        <v/>
      </c>
      <c r="N412" s="11">
        <f>IF(A412="","",IF(K412="",0,D412*INDEX(Products!$I$5:$I$204,K412)))</f>
        <v/>
      </c>
      <c r="O412" s="11">
        <f>IF(A412="","",IF(K412="",0,J412*INDEX(Products!$H$5:$H$204,K412)))</f>
        <v/>
      </c>
      <c r="P412" s="11">
        <f>IF(A412="","",J412-M412-N412-O412)</f>
        <v/>
      </c>
    </row>
    <row r="413">
      <c r="A413">
        <f>IFERROR(INDEX('Etsy Import'!$A:$CZ,413,Settings!$C$20)&amp;"","")</f>
        <v/>
      </c>
      <c r="B413">
        <f>IFERROR(INDEX('Etsy Import'!$A:$CZ,413,Settings!$C$21)&amp;"","")</f>
        <v/>
      </c>
      <c r="C413">
        <f>IFERROR(INDEX('Etsy Import'!$A:$CZ,413,Settings!$C$22)&amp;"","")</f>
        <v/>
      </c>
      <c r="D413">
        <f>IF(A413="","",IFERROR(VALUE(SUBSTITUTE(SUBSTITUTE(INDEX('Etsy Import'!$A:$CZ,413,Settings!$C$23)&amp;"","$",""),",","")),0))</f>
        <v/>
      </c>
      <c r="E413" s="11">
        <f>IF(A413="","",IFERROR(VALUE(SUBSTITUTE(SUBSTITUTE(INDEX('Etsy Import'!$A:$CZ,413,Settings!$C$24)&amp;"","$",""),",","")),0))</f>
        <v/>
      </c>
      <c r="F413" s="11">
        <f>IF(A413="","",D413*E413)</f>
        <v/>
      </c>
      <c r="G413">
        <f>IF(A413="","",IF(C413="",1,COUNTIF($C$2:$C$1501,C413)))</f>
        <v/>
      </c>
      <c r="H413" s="11">
        <f>IF(A413="","",IFERROR(VALUE(SUBSTITUTE(SUBSTITUTE(INDEX('Etsy Import'!$A:$CZ,413,Settings!$C$25)&amp;"","$",""),",","")),0)/IF(Settings!$B$27="Yes",G413,1))</f>
        <v/>
      </c>
      <c r="I413" s="11">
        <f>IF(A413="","",IFERROR(VALUE(SUBSTITUTE(SUBSTITUTE(INDEX('Etsy Import'!$A:$CZ,413,Settings!$C$26)&amp;"","$",""),",","")),0)/IF(Settings!$B$27="Yes",G413,1))</f>
        <v/>
      </c>
      <c r="J413" s="11">
        <f>IF(A413="","",F413+H413-I413)</f>
        <v/>
      </c>
      <c r="K413">
        <f>IF(A413="","",IFERROR(IF(B413="",NA(),MATCH(B413,Products!$B$5:$B$204,0)),IFERROR(MATCH(A413,Products!$A$5:$A$204,0),"")))</f>
        <v/>
      </c>
      <c r="L413">
        <f>IF(A413="","",IF(K413="","⚠ not in Products",INDEX(Products!$A$5:$A$204,K413)))</f>
        <v/>
      </c>
      <c r="M413" s="11">
        <f>IF(A413="","",J413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413+IFERROR(INDEX(Settings!$D$5:$D$9,MATCH("Etsy",Settings!$A$5:$A$9,0)),0)*D413)</f>
        <v/>
      </c>
      <c r="N413" s="11">
        <f>IF(A413="","",IF(K413="",0,D413*INDEX(Products!$I$5:$I$204,K413)))</f>
        <v/>
      </c>
      <c r="O413" s="11">
        <f>IF(A413="","",IF(K413="",0,J413*INDEX(Products!$H$5:$H$204,K413)))</f>
        <v/>
      </c>
      <c r="P413" s="11">
        <f>IF(A413="","",J413-M413-N413-O413)</f>
        <v/>
      </c>
    </row>
    <row r="414">
      <c r="A414">
        <f>IFERROR(INDEX('Etsy Import'!$A:$CZ,414,Settings!$C$20)&amp;"","")</f>
        <v/>
      </c>
      <c r="B414">
        <f>IFERROR(INDEX('Etsy Import'!$A:$CZ,414,Settings!$C$21)&amp;"","")</f>
        <v/>
      </c>
      <c r="C414">
        <f>IFERROR(INDEX('Etsy Import'!$A:$CZ,414,Settings!$C$22)&amp;"","")</f>
        <v/>
      </c>
      <c r="D414">
        <f>IF(A414="","",IFERROR(VALUE(SUBSTITUTE(SUBSTITUTE(INDEX('Etsy Import'!$A:$CZ,414,Settings!$C$23)&amp;"","$",""),",","")),0))</f>
        <v/>
      </c>
      <c r="E414" s="11">
        <f>IF(A414="","",IFERROR(VALUE(SUBSTITUTE(SUBSTITUTE(INDEX('Etsy Import'!$A:$CZ,414,Settings!$C$24)&amp;"","$",""),",","")),0))</f>
        <v/>
      </c>
      <c r="F414" s="11">
        <f>IF(A414="","",D414*E414)</f>
        <v/>
      </c>
      <c r="G414">
        <f>IF(A414="","",IF(C414="",1,COUNTIF($C$2:$C$1501,C414)))</f>
        <v/>
      </c>
      <c r="H414" s="11">
        <f>IF(A414="","",IFERROR(VALUE(SUBSTITUTE(SUBSTITUTE(INDEX('Etsy Import'!$A:$CZ,414,Settings!$C$25)&amp;"","$",""),",","")),0)/IF(Settings!$B$27="Yes",G414,1))</f>
        <v/>
      </c>
      <c r="I414" s="11">
        <f>IF(A414="","",IFERROR(VALUE(SUBSTITUTE(SUBSTITUTE(INDEX('Etsy Import'!$A:$CZ,414,Settings!$C$26)&amp;"","$",""),",","")),0)/IF(Settings!$B$27="Yes",G414,1))</f>
        <v/>
      </c>
      <c r="J414" s="11">
        <f>IF(A414="","",F414+H414-I414)</f>
        <v/>
      </c>
      <c r="K414">
        <f>IF(A414="","",IFERROR(IF(B414="",NA(),MATCH(B414,Products!$B$5:$B$204,0)),IFERROR(MATCH(A414,Products!$A$5:$A$204,0),"")))</f>
        <v/>
      </c>
      <c r="L414">
        <f>IF(A414="","",IF(K414="","⚠ not in Products",INDEX(Products!$A$5:$A$204,K414)))</f>
        <v/>
      </c>
      <c r="M414" s="11">
        <f>IF(A414="","",J414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414+IFERROR(INDEX(Settings!$D$5:$D$9,MATCH("Etsy",Settings!$A$5:$A$9,0)),0)*D414)</f>
        <v/>
      </c>
      <c r="N414" s="11">
        <f>IF(A414="","",IF(K414="",0,D414*INDEX(Products!$I$5:$I$204,K414)))</f>
        <v/>
      </c>
      <c r="O414" s="11">
        <f>IF(A414="","",IF(K414="",0,J414*INDEX(Products!$H$5:$H$204,K414)))</f>
        <v/>
      </c>
      <c r="P414" s="11">
        <f>IF(A414="","",J414-M414-N414-O414)</f>
        <v/>
      </c>
    </row>
    <row r="415">
      <c r="A415">
        <f>IFERROR(INDEX('Etsy Import'!$A:$CZ,415,Settings!$C$20)&amp;"","")</f>
        <v/>
      </c>
      <c r="B415">
        <f>IFERROR(INDEX('Etsy Import'!$A:$CZ,415,Settings!$C$21)&amp;"","")</f>
        <v/>
      </c>
      <c r="C415">
        <f>IFERROR(INDEX('Etsy Import'!$A:$CZ,415,Settings!$C$22)&amp;"","")</f>
        <v/>
      </c>
      <c r="D415">
        <f>IF(A415="","",IFERROR(VALUE(SUBSTITUTE(SUBSTITUTE(INDEX('Etsy Import'!$A:$CZ,415,Settings!$C$23)&amp;"","$",""),",","")),0))</f>
        <v/>
      </c>
      <c r="E415" s="11">
        <f>IF(A415="","",IFERROR(VALUE(SUBSTITUTE(SUBSTITUTE(INDEX('Etsy Import'!$A:$CZ,415,Settings!$C$24)&amp;"","$",""),",","")),0))</f>
        <v/>
      </c>
      <c r="F415" s="11">
        <f>IF(A415="","",D415*E415)</f>
        <v/>
      </c>
      <c r="G415">
        <f>IF(A415="","",IF(C415="",1,COUNTIF($C$2:$C$1501,C415)))</f>
        <v/>
      </c>
      <c r="H415" s="11">
        <f>IF(A415="","",IFERROR(VALUE(SUBSTITUTE(SUBSTITUTE(INDEX('Etsy Import'!$A:$CZ,415,Settings!$C$25)&amp;"","$",""),",","")),0)/IF(Settings!$B$27="Yes",G415,1))</f>
        <v/>
      </c>
      <c r="I415" s="11">
        <f>IF(A415="","",IFERROR(VALUE(SUBSTITUTE(SUBSTITUTE(INDEX('Etsy Import'!$A:$CZ,415,Settings!$C$26)&amp;"","$",""),",","")),0)/IF(Settings!$B$27="Yes",G415,1))</f>
        <v/>
      </c>
      <c r="J415" s="11">
        <f>IF(A415="","",F415+H415-I415)</f>
        <v/>
      </c>
      <c r="K415">
        <f>IF(A415="","",IFERROR(IF(B415="",NA(),MATCH(B415,Products!$B$5:$B$204,0)),IFERROR(MATCH(A415,Products!$A$5:$A$204,0),"")))</f>
        <v/>
      </c>
      <c r="L415">
        <f>IF(A415="","",IF(K415="","⚠ not in Products",INDEX(Products!$A$5:$A$204,K415)))</f>
        <v/>
      </c>
      <c r="M415" s="11">
        <f>IF(A415="","",J415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415+IFERROR(INDEX(Settings!$D$5:$D$9,MATCH("Etsy",Settings!$A$5:$A$9,0)),0)*D415)</f>
        <v/>
      </c>
      <c r="N415" s="11">
        <f>IF(A415="","",IF(K415="",0,D415*INDEX(Products!$I$5:$I$204,K415)))</f>
        <v/>
      </c>
      <c r="O415" s="11">
        <f>IF(A415="","",IF(K415="",0,J415*INDEX(Products!$H$5:$H$204,K415)))</f>
        <v/>
      </c>
      <c r="P415" s="11">
        <f>IF(A415="","",J415-M415-N415-O415)</f>
        <v/>
      </c>
    </row>
    <row r="416">
      <c r="A416">
        <f>IFERROR(INDEX('Etsy Import'!$A:$CZ,416,Settings!$C$20)&amp;"","")</f>
        <v/>
      </c>
      <c r="B416">
        <f>IFERROR(INDEX('Etsy Import'!$A:$CZ,416,Settings!$C$21)&amp;"","")</f>
        <v/>
      </c>
      <c r="C416">
        <f>IFERROR(INDEX('Etsy Import'!$A:$CZ,416,Settings!$C$22)&amp;"","")</f>
        <v/>
      </c>
      <c r="D416">
        <f>IF(A416="","",IFERROR(VALUE(SUBSTITUTE(SUBSTITUTE(INDEX('Etsy Import'!$A:$CZ,416,Settings!$C$23)&amp;"","$",""),",","")),0))</f>
        <v/>
      </c>
      <c r="E416" s="11">
        <f>IF(A416="","",IFERROR(VALUE(SUBSTITUTE(SUBSTITUTE(INDEX('Etsy Import'!$A:$CZ,416,Settings!$C$24)&amp;"","$",""),",","")),0))</f>
        <v/>
      </c>
      <c r="F416" s="11">
        <f>IF(A416="","",D416*E416)</f>
        <v/>
      </c>
      <c r="G416">
        <f>IF(A416="","",IF(C416="",1,COUNTIF($C$2:$C$1501,C416)))</f>
        <v/>
      </c>
      <c r="H416" s="11">
        <f>IF(A416="","",IFERROR(VALUE(SUBSTITUTE(SUBSTITUTE(INDEX('Etsy Import'!$A:$CZ,416,Settings!$C$25)&amp;"","$",""),",","")),0)/IF(Settings!$B$27="Yes",G416,1))</f>
        <v/>
      </c>
      <c r="I416" s="11">
        <f>IF(A416="","",IFERROR(VALUE(SUBSTITUTE(SUBSTITUTE(INDEX('Etsy Import'!$A:$CZ,416,Settings!$C$26)&amp;"","$",""),",","")),0)/IF(Settings!$B$27="Yes",G416,1))</f>
        <v/>
      </c>
      <c r="J416" s="11">
        <f>IF(A416="","",F416+H416-I416)</f>
        <v/>
      </c>
      <c r="K416">
        <f>IF(A416="","",IFERROR(IF(B416="",NA(),MATCH(B416,Products!$B$5:$B$204,0)),IFERROR(MATCH(A416,Products!$A$5:$A$204,0),"")))</f>
        <v/>
      </c>
      <c r="L416">
        <f>IF(A416="","",IF(K416="","⚠ not in Products",INDEX(Products!$A$5:$A$204,K416)))</f>
        <v/>
      </c>
      <c r="M416" s="11">
        <f>IF(A416="","",J416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416+IFERROR(INDEX(Settings!$D$5:$D$9,MATCH("Etsy",Settings!$A$5:$A$9,0)),0)*D416)</f>
        <v/>
      </c>
      <c r="N416" s="11">
        <f>IF(A416="","",IF(K416="",0,D416*INDEX(Products!$I$5:$I$204,K416)))</f>
        <v/>
      </c>
      <c r="O416" s="11">
        <f>IF(A416="","",IF(K416="",0,J416*INDEX(Products!$H$5:$H$204,K416)))</f>
        <v/>
      </c>
      <c r="P416" s="11">
        <f>IF(A416="","",J416-M416-N416-O416)</f>
        <v/>
      </c>
    </row>
    <row r="417">
      <c r="A417">
        <f>IFERROR(INDEX('Etsy Import'!$A:$CZ,417,Settings!$C$20)&amp;"","")</f>
        <v/>
      </c>
      <c r="B417">
        <f>IFERROR(INDEX('Etsy Import'!$A:$CZ,417,Settings!$C$21)&amp;"","")</f>
        <v/>
      </c>
      <c r="C417">
        <f>IFERROR(INDEX('Etsy Import'!$A:$CZ,417,Settings!$C$22)&amp;"","")</f>
        <v/>
      </c>
      <c r="D417">
        <f>IF(A417="","",IFERROR(VALUE(SUBSTITUTE(SUBSTITUTE(INDEX('Etsy Import'!$A:$CZ,417,Settings!$C$23)&amp;"","$",""),",","")),0))</f>
        <v/>
      </c>
      <c r="E417" s="11">
        <f>IF(A417="","",IFERROR(VALUE(SUBSTITUTE(SUBSTITUTE(INDEX('Etsy Import'!$A:$CZ,417,Settings!$C$24)&amp;"","$",""),",","")),0))</f>
        <v/>
      </c>
      <c r="F417" s="11">
        <f>IF(A417="","",D417*E417)</f>
        <v/>
      </c>
      <c r="G417">
        <f>IF(A417="","",IF(C417="",1,COUNTIF($C$2:$C$1501,C417)))</f>
        <v/>
      </c>
      <c r="H417" s="11">
        <f>IF(A417="","",IFERROR(VALUE(SUBSTITUTE(SUBSTITUTE(INDEX('Etsy Import'!$A:$CZ,417,Settings!$C$25)&amp;"","$",""),",","")),0)/IF(Settings!$B$27="Yes",G417,1))</f>
        <v/>
      </c>
      <c r="I417" s="11">
        <f>IF(A417="","",IFERROR(VALUE(SUBSTITUTE(SUBSTITUTE(INDEX('Etsy Import'!$A:$CZ,417,Settings!$C$26)&amp;"","$",""),",","")),0)/IF(Settings!$B$27="Yes",G417,1))</f>
        <v/>
      </c>
      <c r="J417" s="11">
        <f>IF(A417="","",F417+H417-I417)</f>
        <v/>
      </c>
      <c r="K417">
        <f>IF(A417="","",IFERROR(IF(B417="",NA(),MATCH(B417,Products!$B$5:$B$204,0)),IFERROR(MATCH(A417,Products!$A$5:$A$204,0),"")))</f>
        <v/>
      </c>
      <c r="L417">
        <f>IF(A417="","",IF(K417="","⚠ not in Products",INDEX(Products!$A$5:$A$204,K417)))</f>
        <v/>
      </c>
      <c r="M417" s="11">
        <f>IF(A417="","",J417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417+IFERROR(INDEX(Settings!$D$5:$D$9,MATCH("Etsy",Settings!$A$5:$A$9,0)),0)*D417)</f>
        <v/>
      </c>
      <c r="N417" s="11">
        <f>IF(A417="","",IF(K417="",0,D417*INDEX(Products!$I$5:$I$204,K417)))</f>
        <v/>
      </c>
      <c r="O417" s="11">
        <f>IF(A417="","",IF(K417="",0,J417*INDEX(Products!$H$5:$H$204,K417)))</f>
        <v/>
      </c>
      <c r="P417" s="11">
        <f>IF(A417="","",J417-M417-N417-O417)</f>
        <v/>
      </c>
    </row>
    <row r="418">
      <c r="A418">
        <f>IFERROR(INDEX('Etsy Import'!$A:$CZ,418,Settings!$C$20)&amp;"","")</f>
        <v/>
      </c>
      <c r="B418">
        <f>IFERROR(INDEX('Etsy Import'!$A:$CZ,418,Settings!$C$21)&amp;"","")</f>
        <v/>
      </c>
      <c r="C418">
        <f>IFERROR(INDEX('Etsy Import'!$A:$CZ,418,Settings!$C$22)&amp;"","")</f>
        <v/>
      </c>
      <c r="D418">
        <f>IF(A418="","",IFERROR(VALUE(SUBSTITUTE(SUBSTITUTE(INDEX('Etsy Import'!$A:$CZ,418,Settings!$C$23)&amp;"","$",""),",","")),0))</f>
        <v/>
      </c>
      <c r="E418" s="11">
        <f>IF(A418="","",IFERROR(VALUE(SUBSTITUTE(SUBSTITUTE(INDEX('Etsy Import'!$A:$CZ,418,Settings!$C$24)&amp;"","$",""),",","")),0))</f>
        <v/>
      </c>
      <c r="F418" s="11">
        <f>IF(A418="","",D418*E418)</f>
        <v/>
      </c>
      <c r="G418">
        <f>IF(A418="","",IF(C418="",1,COUNTIF($C$2:$C$1501,C418)))</f>
        <v/>
      </c>
      <c r="H418" s="11">
        <f>IF(A418="","",IFERROR(VALUE(SUBSTITUTE(SUBSTITUTE(INDEX('Etsy Import'!$A:$CZ,418,Settings!$C$25)&amp;"","$",""),",","")),0)/IF(Settings!$B$27="Yes",G418,1))</f>
        <v/>
      </c>
      <c r="I418" s="11">
        <f>IF(A418="","",IFERROR(VALUE(SUBSTITUTE(SUBSTITUTE(INDEX('Etsy Import'!$A:$CZ,418,Settings!$C$26)&amp;"","$",""),",","")),0)/IF(Settings!$B$27="Yes",G418,1))</f>
        <v/>
      </c>
      <c r="J418" s="11">
        <f>IF(A418="","",F418+H418-I418)</f>
        <v/>
      </c>
      <c r="K418">
        <f>IF(A418="","",IFERROR(IF(B418="",NA(),MATCH(B418,Products!$B$5:$B$204,0)),IFERROR(MATCH(A418,Products!$A$5:$A$204,0),"")))</f>
        <v/>
      </c>
      <c r="L418">
        <f>IF(A418="","",IF(K418="","⚠ not in Products",INDEX(Products!$A$5:$A$204,K418)))</f>
        <v/>
      </c>
      <c r="M418" s="11">
        <f>IF(A418="","",J418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418+IFERROR(INDEX(Settings!$D$5:$D$9,MATCH("Etsy",Settings!$A$5:$A$9,0)),0)*D418)</f>
        <v/>
      </c>
      <c r="N418" s="11">
        <f>IF(A418="","",IF(K418="",0,D418*INDEX(Products!$I$5:$I$204,K418)))</f>
        <v/>
      </c>
      <c r="O418" s="11">
        <f>IF(A418="","",IF(K418="",0,J418*INDEX(Products!$H$5:$H$204,K418)))</f>
        <v/>
      </c>
      <c r="P418" s="11">
        <f>IF(A418="","",J418-M418-N418-O418)</f>
        <v/>
      </c>
    </row>
    <row r="419">
      <c r="A419">
        <f>IFERROR(INDEX('Etsy Import'!$A:$CZ,419,Settings!$C$20)&amp;"","")</f>
        <v/>
      </c>
      <c r="B419">
        <f>IFERROR(INDEX('Etsy Import'!$A:$CZ,419,Settings!$C$21)&amp;"","")</f>
        <v/>
      </c>
      <c r="C419">
        <f>IFERROR(INDEX('Etsy Import'!$A:$CZ,419,Settings!$C$22)&amp;"","")</f>
        <v/>
      </c>
      <c r="D419">
        <f>IF(A419="","",IFERROR(VALUE(SUBSTITUTE(SUBSTITUTE(INDEX('Etsy Import'!$A:$CZ,419,Settings!$C$23)&amp;"","$",""),",","")),0))</f>
        <v/>
      </c>
      <c r="E419" s="11">
        <f>IF(A419="","",IFERROR(VALUE(SUBSTITUTE(SUBSTITUTE(INDEX('Etsy Import'!$A:$CZ,419,Settings!$C$24)&amp;"","$",""),",","")),0))</f>
        <v/>
      </c>
      <c r="F419" s="11">
        <f>IF(A419="","",D419*E419)</f>
        <v/>
      </c>
      <c r="G419">
        <f>IF(A419="","",IF(C419="",1,COUNTIF($C$2:$C$1501,C419)))</f>
        <v/>
      </c>
      <c r="H419" s="11">
        <f>IF(A419="","",IFERROR(VALUE(SUBSTITUTE(SUBSTITUTE(INDEX('Etsy Import'!$A:$CZ,419,Settings!$C$25)&amp;"","$",""),",","")),0)/IF(Settings!$B$27="Yes",G419,1))</f>
        <v/>
      </c>
      <c r="I419" s="11">
        <f>IF(A419="","",IFERROR(VALUE(SUBSTITUTE(SUBSTITUTE(INDEX('Etsy Import'!$A:$CZ,419,Settings!$C$26)&amp;"","$",""),",","")),0)/IF(Settings!$B$27="Yes",G419,1))</f>
        <v/>
      </c>
      <c r="J419" s="11">
        <f>IF(A419="","",F419+H419-I419)</f>
        <v/>
      </c>
      <c r="K419">
        <f>IF(A419="","",IFERROR(IF(B419="",NA(),MATCH(B419,Products!$B$5:$B$204,0)),IFERROR(MATCH(A419,Products!$A$5:$A$204,0),"")))</f>
        <v/>
      </c>
      <c r="L419">
        <f>IF(A419="","",IF(K419="","⚠ not in Products",INDEX(Products!$A$5:$A$204,K419)))</f>
        <v/>
      </c>
      <c r="M419" s="11">
        <f>IF(A419="","",J419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419+IFERROR(INDEX(Settings!$D$5:$D$9,MATCH("Etsy",Settings!$A$5:$A$9,0)),0)*D419)</f>
        <v/>
      </c>
      <c r="N419" s="11">
        <f>IF(A419="","",IF(K419="",0,D419*INDEX(Products!$I$5:$I$204,K419)))</f>
        <v/>
      </c>
      <c r="O419" s="11">
        <f>IF(A419="","",IF(K419="",0,J419*INDEX(Products!$H$5:$H$204,K419)))</f>
        <v/>
      </c>
      <c r="P419" s="11">
        <f>IF(A419="","",J419-M419-N419-O419)</f>
        <v/>
      </c>
    </row>
    <row r="420">
      <c r="A420">
        <f>IFERROR(INDEX('Etsy Import'!$A:$CZ,420,Settings!$C$20)&amp;"","")</f>
        <v/>
      </c>
      <c r="B420">
        <f>IFERROR(INDEX('Etsy Import'!$A:$CZ,420,Settings!$C$21)&amp;"","")</f>
        <v/>
      </c>
      <c r="C420">
        <f>IFERROR(INDEX('Etsy Import'!$A:$CZ,420,Settings!$C$22)&amp;"","")</f>
        <v/>
      </c>
      <c r="D420">
        <f>IF(A420="","",IFERROR(VALUE(SUBSTITUTE(SUBSTITUTE(INDEX('Etsy Import'!$A:$CZ,420,Settings!$C$23)&amp;"","$",""),",","")),0))</f>
        <v/>
      </c>
      <c r="E420" s="11">
        <f>IF(A420="","",IFERROR(VALUE(SUBSTITUTE(SUBSTITUTE(INDEX('Etsy Import'!$A:$CZ,420,Settings!$C$24)&amp;"","$",""),",","")),0))</f>
        <v/>
      </c>
      <c r="F420" s="11">
        <f>IF(A420="","",D420*E420)</f>
        <v/>
      </c>
      <c r="G420">
        <f>IF(A420="","",IF(C420="",1,COUNTIF($C$2:$C$1501,C420)))</f>
        <v/>
      </c>
      <c r="H420" s="11">
        <f>IF(A420="","",IFERROR(VALUE(SUBSTITUTE(SUBSTITUTE(INDEX('Etsy Import'!$A:$CZ,420,Settings!$C$25)&amp;"","$",""),",","")),0)/IF(Settings!$B$27="Yes",G420,1))</f>
        <v/>
      </c>
      <c r="I420" s="11">
        <f>IF(A420="","",IFERROR(VALUE(SUBSTITUTE(SUBSTITUTE(INDEX('Etsy Import'!$A:$CZ,420,Settings!$C$26)&amp;"","$",""),",","")),0)/IF(Settings!$B$27="Yes",G420,1))</f>
        <v/>
      </c>
      <c r="J420" s="11">
        <f>IF(A420="","",F420+H420-I420)</f>
        <v/>
      </c>
      <c r="K420">
        <f>IF(A420="","",IFERROR(IF(B420="",NA(),MATCH(B420,Products!$B$5:$B$204,0)),IFERROR(MATCH(A420,Products!$A$5:$A$204,0),"")))</f>
        <v/>
      </c>
      <c r="L420">
        <f>IF(A420="","",IF(K420="","⚠ not in Products",INDEX(Products!$A$5:$A$204,K420)))</f>
        <v/>
      </c>
      <c r="M420" s="11">
        <f>IF(A420="","",J420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420+IFERROR(INDEX(Settings!$D$5:$D$9,MATCH("Etsy",Settings!$A$5:$A$9,0)),0)*D420)</f>
        <v/>
      </c>
      <c r="N420" s="11">
        <f>IF(A420="","",IF(K420="",0,D420*INDEX(Products!$I$5:$I$204,K420)))</f>
        <v/>
      </c>
      <c r="O420" s="11">
        <f>IF(A420="","",IF(K420="",0,J420*INDEX(Products!$H$5:$H$204,K420)))</f>
        <v/>
      </c>
      <c r="P420" s="11">
        <f>IF(A420="","",J420-M420-N420-O420)</f>
        <v/>
      </c>
    </row>
    <row r="421">
      <c r="A421">
        <f>IFERROR(INDEX('Etsy Import'!$A:$CZ,421,Settings!$C$20)&amp;"","")</f>
        <v/>
      </c>
      <c r="B421">
        <f>IFERROR(INDEX('Etsy Import'!$A:$CZ,421,Settings!$C$21)&amp;"","")</f>
        <v/>
      </c>
      <c r="C421">
        <f>IFERROR(INDEX('Etsy Import'!$A:$CZ,421,Settings!$C$22)&amp;"","")</f>
        <v/>
      </c>
      <c r="D421">
        <f>IF(A421="","",IFERROR(VALUE(SUBSTITUTE(SUBSTITUTE(INDEX('Etsy Import'!$A:$CZ,421,Settings!$C$23)&amp;"","$",""),",","")),0))</f>
        <v/>
      </c>
      <c r="E421" s="11">
        <f>IF(A421="","",IFERROR(VALUE(SUBSTITUTE(SUBSTITUTE(INDEX('Etsy Import'!$A:$CZ,421,Settings!$C$24)&amp;"","$",""),",","")),0))</f>
        <v/>
      </c>
      <c r="F421" s="11">
        <f>IF(A421="","",D421*E421)</f>
        <v/>
      </c>
      <c r="G421">
        <f>IF(A421="","",IF(C421="",1,COUNTIF($C$2:$C$1501,C421)))</f>
        <v/>
      </c>
      <c r="H421" s="11">
        <f>IF(A421="","",IFERROR(VALUE(SUBSTITUTE(SUBSTITUTE(INDEX('Etsy Import'!$A:$CZ,421,Settings!$C$25)&amp;"","$",""),",","")),0)/IF(Settings!$B$27="Yes",G421,1))</f>
        <v/>
      </c>
      <c r="I421" s="11">
        <f>IF(A421="","",IFERROR(VALUE(SUBSTITUTE(SUBSTITUTE(INDEX('Etsy Import'!$A:$CZ,421,Settings!$C$26)&amp;"","$",""),",","")),0)/IF(Settings!$B$27="Yes",G421,1))</f>
        <v/>
      </c>
      <c r="J421" s="11">
        <f>IF(A421="","",F421+H421-I421)</f>
        <v/>
      </c>
      <c r="K421">
        <f>IF(A421="","",IFERROR(IF(B421="",NA(),MATCH(B421,Products!$B$5:$B$204,0)),IFERROR(MATCH(A421,Products!$A$5:$A$204,0),"")))</f>
        <v/>
      </c>
      <c r="L421">
        <f>IF(A421="","",IF(K421="","⚠ not in Products",INDEX(Products!$A$5:$A$204,K421)))</f>
        <v/>
      </c>
      <c r="M421" s="11">
        <f>IF(A421="","",J421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421+IFERROR(INDEX(Settings!$D$5:$D$9,MATCH("Etsy",Settings!$A$5:$A$9,0)),0)*D421)</f>
        <v/>
      </c>
      <c r="N421" s="11">
        <f>IF(A421="","",IF(K421="",0,D421*INDEX(Products!$I$5:$I$204,K421)))</f>
        <v/>
      </c>
      <c r="O421" s="11">
        <f>IF(A421="","",IF(K421="",0,J421*INDEX(Products!$H$5:$H$204,K421)))</f>
        <v/>
      </c>
      <c r="P421" s="11">
        <f>IF(A421="","",J421-M421-N421-O421)</f>
        <v/>
      </c>
    </row>
    <row r="422">
      <c r="A422">
        <f>IFERROR(INDEX('Etsy Import'!$A:$CZ,422,Settings!$C$20)&amp;"","")</f>
        <v/>
      </c>
      <c r="B422">
        <f>IFERROR(INDEX('Etsy Import'!$A:$CZ,422,Settings!$C$21)&amp;"","")</f>
        <v/>
      </c>
      <c r="C422">
        <f>IFERROR(INDEX('Etsy Import'!$A:$CZ,422,Settings!$C$22)&amp;"","")</f>
        <v/>
      </c>
      <c r="D422">
        <f>IF(A422="","",IFERROR(VALUE(SUBSTITUTE(SUBSTITUTE(INDEX('Etsy Import'!$A:$CZ,422,Settings!$C$23)&amp;"","$",""),",","")),0))</f>
        <v/>
      </c>
      <c r="E422" s="11">
        <f>IF(A422="","",IFERROR(VALUE(SUBSTITUTE(SUBSTITUTE(INDEX('Etsy Import'!$A:$CZ,422,Settings!$C$24)&amp;"","$",""),",","")),0))</f>
        <v/>
      </c>
      <c r="F422" s="11">
        <f>IF(A422="","",D422*E422)</f>
        <v/>
      </c>
      <c r="G422">
        <f>IF(A422="","",IF(C422="",1,COUNTIF($C$2:$C$1501,C422)))</f>
        <v/>
      </c>
      <c r="H422" s="11">
        <f>IF(A422="","",IFERROR(VALUE(SUBSTITUTE(SUBSTITUTE(INDEX('Etsy Import'!$A:$CZ,422,Settings!$C$25)&amp;"","$",""),",","")),0)/IF(Settings!$B$27="Yes",G422,1))</f>
        <v/>
      </c>
      <c r="I422" s="11">
        <f>IF(A422="","",IFERROR(VALUE(SUBSTITUTE(SUBSTITUTE(INDEX('Etsy Import'!$A:$CZ,422,Settings!$C$26)&amp;"","$",""),",","")),0)/IF(Settings!$B$27="Yes",G422,1))</f>
        <v/>
      </c>
      <c r="J422" s="11">
        <f>IF(A422="","",F422+H422-I422)</f>
        <v/>
      </c>
      <c r="K422">
        <f>IF(A422="","",IFERROR(IF(B422="",NA(),MATCH(B422,Products!$B$5:$B$204,0)),IFERROR(MATCH(A422,Products!$A$5:$A$204,0),"")))</f>
        <v/>
      </c>
      <c r="L422">
        <f>IF(A422="","",IF(K422="","⚠ not in Products",INDEX(Products!$A$5:$A$204,K422)))</f>
        <v/>
      </c>
      <c r="M422" s="11">
        <f>IF(A422="","",J422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422+IFERROR(INDEX(Settings!$D$5:$D$9,MATCH("Etsy",Settings!$A$5:$A$9,0)),0)*D422)</f>
        <v/>
      </c>
      <c r="N422" s="11">
        <f>IF(A422="","",IF(K422="",0,D422*INDEX(Products!$I$5:$I$204,K422)))</f>
        <v/>
      </c>
      <c r="O422" s="11">
        <f>IF(A422="","",IF(K422="",0,J422*INDEX(Products!$H$5:$H$204,K422)))</f>
        <v/>
      </c>
      <c r="P422" s="11">
        <f>IF(A422="","",J422-M422-N422-O422)</f>
        <v/>
      </c>
    </row>
    <row r="423">
      <c r="A423">
        <f>IFERROR(INDEX('Etsy Import'!$A:$CZ,423,Settings!$C$20)&amp;"","")</f>
        <v/>
      </c>
      <c r="B423">
        <f>IFERROR(INDEX('Etsy Import'!$A:$CZ,423,Settings!$C$21)&amp;"","")</f>
        <v/>
      </c>
      <c r="C423">
        <f>IFERROR(INDEX('Etsy Import'!$A:$CZ,423,Settings!$C$22)&amp;"","")</f>
        <v/>
      </c>
      <c r="D423">
        <f>IF(A423="","",IFERROR(VALUE(SUBSTITUTE(SUBSTITUTE(INDEX('Etsy Import'!$A:$CZ,423,Settings!$C$23)&amp;"","$",""),",","")),0))</f>
        <v/>
      </c>
      <c r="E423" s="11">
        <f>IF(A423="","",IFERROR(VALUE(SUBSTITUTE(SUBSTITUTE(INDEX('Etsy Import'!$A:$CZ,423,Settings!$C$24)&amp;"","$",""),",","")),0))</f>
        <v/>
      </c>
      <c r="F423" s="11">
        <f>IF(A423="","",D423*E423)</f>
        <v/>
      </c>
      <c r="G423">
        <f>IF(A423="","",IF(C423="",1,COUNTIF($C$2:$C$1501,C423)))</f>
        <v/>
      </c>
      <c r="H423" s="11">
        <f>IF(A423="","",IFERROR(VALUE(SUBSTITUTE(SUBSTITUTE(INDEX('Etsy Import'!$A:$CZ,423,Settings!$C$25)&amp;"","$",""),",","")),0)/IF(Settings!$B$27="Yes",G423,1))</f>
        <v/>
      </c>
      <c r="I423" s="11">
        <f>IF(A423="","",IFERROR(VALUE(SUBSTITUTE(SUBSTITUTE(INDEX('Etsy Import'!$A:$CZ,423,Settings!$C$26)&amp;"","$",""),",","")),0)/IF(Settings!$B$27="Yes",G423,1))</f>
        <v/>
      </c>
      <c r="J423" s="11">
        <f>IF(A423="","",F423+H423-I423)</f>
        <v/>
      </c>
      <c r="K423">
        <f>IF(A423="","",IFERROR(IF(B423="",NA(),MATCH(B423,Products!$B$5:$B$204,0)),IFERROR(MATCH(A423,Products!$A$5:$A$204,0),"")))</f>
        <v/>
      </c>
      <c r="L423">
        <f>IF(A423="","",IF(K423="","⚠ not in Products",INDEX(Products!$A$5:$A$204,K423)))</f>
        <v/>
      </c>
      <c r="M423" s="11">
        <f>IF(A423="","",J423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423+IFERROR(INDEX(Settings!$D$5:$D$9,MATCH("Etsy",Settings!$A$5:$A$9,0)),0)*D423)</f>
        <v/>
      </c>
      <c r="N423" s="11">
        <f>IF(A423="","",IF(K423="",0,D423*INDEX(Products!$I$5:$I$204,K423)))</f>
        <v/>
      </c>
      <c r="O423" s="11">
        <f>IF(A423="","",IF(K423="",0,J423*INDEX(Products!$H$5:$H$204,K423)))</f>
        <v/>
      </c>
      <c r="P423" s="11">
        <f>IF(A423="","",J423-M423-N423-O423)</f>
        <v/>
      </c>
    </row>
    <row r="424">
      <c r="A424">
        <f>IFERROR(INDEX('Etsy Import'!$A:$CZ,424,Settings!$C$20)&amp;"","")</f>
        <v/>
      </c>
      <c r="B424">
        <f>IFERROR(INDEX('Etsy Import'!$A:$CZ,424,Settings!$C$21)&amp;"","")</f>
        <v/>
      </c>
      <c r="C424">
        <f>IFERROR(INDEX('Etsy Import'!$A:$CZ,424,Settings!$C$22)&amp;"","")</f>
        <v/>
      </c>
      <c r="D424">
        <f>IF(A424="","",IFERROR(VALUE(SUBSTITUTE(SUBSTITUTE(INDEX('Etsy Import'!$A:$CZ,424,Settings!$C$23)&amp;"","$",""),",","")),0))</f>
        <v/>
      </c>
      <c r="E424" s="11">
        <f>IF(A424="","",IFERROR(VALUE(SUBSTITUTE(SUBSTITUTE(INDEX('Etsy Import'!$A:$CZ,424,Settings!$C$24)&amp;"","$",""),",","")),0))</f>
        <v/>
      </c>
      <c r="F424" s="11">
        <f>IF(A424="","",D424*E424)</f>
        <v/>
      </c>
      <c r="G424">
        <f>IF(A424="","",IF(C424="",1,COUNTIF($C$2:$C$1501,C424)))</f>
        <v/>
      </c>
      <c r="H424" s="11">
        <f>IF(A424="","",IFERROR(VALUE(SUBSTITUTE(SUBSTITUTE(INDEX('Etsy Import'!$A:$CZ,424,Settings!$C$25)&amp;"","$",""),",","")),0)/IF(Settings!$B$27="Yes",G424,1))</f>
        <v/>
      </c>
      <c r="I424" s="11">
        <f>IF(A424="","",IFERROR(VALUE(SUBSTITUTE(SUBSTITUTE(INDEX('Etsy Import'!$A:$CZ,424,Settings!$C$26)&amp;"","$",""),",","")),0)/IF(Settings!$B$27="Yes",G424,1))</f>
        <v/>
      </c>
      <c r="J424" s="11">
        <f>IF(A424="","",F424+H424-I424)</f>
        <v/>
      </c>
      <c r="K424">
        <f>IF(A424="","",IFERROR(IF(B424="",NA(),MATCH(B424,Products!$B$5:$B$204,0)),IFERROR(MATCH(A424,Products!$A$5:$A$204,0),"")))</f>
        <v/>
      </c>
      <c r="L424">
        <f>IF(A424="","",IF(K424="","⚠ not in Products",INDEX(Products!$A$5:$A$204,K424)))</f>
        <v/>
      </c>
      <c r="M424" s="11">
        <f>IF(A424="","",J424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424+IFERROR(INDEX(Settings!$D$5:$D$9,MATCH("Etsy",Settings!$A$5:$A$9,0)),0)*D424)</f>
        <v/>
      </c>
      <c r="N424" s="11">
        <f>IF(A424="","",IF(K424="",0,D424*INDEX(Products!$I$5:$I$204,K424)))</f>
        <v/>
      </c>
      <c r="O424" s="11">
        <f>IF(A424="","",IF(K424="",0,J424*INDEX(Products!$H$5:$H$204,K424)))</f>
        <v/>
      </c>
      <c r="P424" s="11">
        <f>IF(A424="","",J424-M424-N424-O424)</f>
        <v/>
      </c>
    </row>
    <row r="425">
      <c r="A425">
        <f>IFERROR(INDEX('Etsy Import'!$A:$CZ,425,Settings!$C$20)&amp;"","")</f>
        <v/>
      </c>
      <c r="B425">
        <f>IFERROR(INDEX('Etsy Import'!$A:$CZ,425,Settings!$C$21)&amp;"","")</f>
        <v/>
      </c>
      <c r="C425">
        <f>IFERROR(INDEX('Etsy Import'!$A:$CZ,425,Settings!$C$22)&amp;"","")</f>
        <v/>
      </c>
      <c r="D425">
        <f>IF(A425="","",IFERROR(VALUE(SUBSTITUTE(SUBSTITUTE(INDEX('Etsy Import'!$A:$CZ,425,Settings!$C$23)&amp;"","$",""),",","")),0))</f>
        <v/>
      </c>
      <c r="E425" s="11">
        <f>IF(A425="","",IFERROR(VALUE(SUBSTITUTE(SUBSTITUTE(INDEX('Etsy Import'!$A:$CZ,425,Settings!$C$24)&amp;"","$",""),",","")),0))</f>
        <v/>
      </c>
      <c r="F425" s="11">
        <f>IF(A425="","",D425*E425)</f>
        <v/>
      </c>
      <c r="G425">
        <f>IF(A425="","",IF(C425="",1,COUNTIF($C$2:$C$1501,C425)))</f>
        <v/>
      </c>
      <c r="H425" s="11">
        <f>IF(A425="","",IFERROR(VALUE(SUBSTITUTE(SUBSTITUTE(INDEX('Etsy Import'!$A:$CZ,425,Settings!$C$25)&amp;"","$",""),",","")),0)/IF(Settings!$B$27="Yes",G425,1))</f>
        <v/>
      </c>
      <c r="I425" s="11">
        <f>IF(A425="","",IFERROR(VALUE(SUBSTITUTE(SUBSTITUTE(INDEX('Etsy Import'!$A:$CZ,425,Settings!$C$26)&amp;"","$",""),",","")),0)/IF(Settings!$B$27="Yes",G425,1))</f>
        <v/>
      </c>
      <c r="J425" s="11">
        <f>IF(A425="","",F425+H425-I425)</f>
        <v/>
      </c>
      <c r="K425">
        <f>IF(A425="","",IFERROR(IF(B425="",NA(),MATCH(B425,Products!$B$5:$B$204,0)),IFERROR(MATCH(A425,Products!$A$5:$A$204,0),"")))</f>
        <v/>
      </c>
      <c r="L425">
        <f>IF(A425="","",IF(K425="","⚠ not in Products",INDEX(Products!$A$5:$A$204,K425)))</f>
        <v/>
      </c>
      <c r="M425" s="11">
        <f>IF(A425="","",J425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425+IFERROR(INDEX(Settings!$D$5:$D$9,MATCH("Etsy",Settings!$A$5:$A$9,0)),0)*D425)</f>
        <v/>
      </c>
      <c r="N425" s="11">
        <f>IF(A425="","",IF(K425="",0,D425*INDEX(Products!$I$5:$I$204,K425)))</f>
        <v/>
      </c>
      <c r="O425" s="11">
        <f>IF(A425="","",IF(K425="",0,J425*INDEX(Products!$H$5:$H$204,K425)))</f>
        <v/>
      </c>
      <c r="P425" s="11">
        <f>IF(A425="","",J425-M425-N425-O425)</f>
        <v/>
      </c>
    </row>
    <row r="426">
      <c r="A426">
        <f>IFERROR(INDEX('Etsy Import'!$A:$CZ,426,Settings!$C$20)&amp;"","")</f>
        <v/>
      </c>
      <c r="B426">
        <f>IFERROR(INDEX('Etsy Import'!$A:$CZ,426,Settings!$C$21)&amp;"","")</f>
        <v/>
      </c>
      <c r="C426">
        <f>IFERROR(INDEX('Etsy Import'!$A:$CZ,426,Settings!$C$22)&amp;"","")</f>
        <v/>
      </c>
      <c r="D426">
        <f>IF(A426="","",IFERROR(VALUE(SUBSTITUTE(SUBSTITUTE(INDEX('Etsy Import'!$A:$CZ,426,Settings!$C$23)&amp;"","$",""),",","")),0))</f>
        <v/>
      </c>
      <c r="E426" s="11">
        <f>IF(A426="","",IFERROR(VALUE(SUBSTITUTE(SUBSTITUTE(INDEX('Etsy Import'!$A:$CZ,426,Settings!$C$24)&amp;"","$",""),",","")),0))</f>
        <v/>
      </c>
      <c r="F426" s="11">
        <f>IF(A426="","",D426*E426)</f>
        <v/>
      </c>
      <c r="G426">
        <f>IF(A426="","",IF(C426="",1,COUNTIF($C$2:$C$1501,C426)))</f>
        <v/>
      </c>
      <c r="H426" s="11">
        <f>IF(A426="","",IFERROR(VALUE(SUBSTITUTE(SUBSTITUTE(INDEX('Etsy Import'!$A:$CZ,426,Settings!$C$25)&amp;"","$",""),",","")),0)/IF(Settings!$B$27="Yes",G426,1))</f>
        <v/>
      </c>
      <c r="I426" s="11">
        <f>IF(A426="","",IFERROR(VALUE(SUBSTITUTE(SUBSTITUTE(INDEX('Etsy Import'!$A:$CZ,426,Settings!$C$26)&amp;"","$",""),",","")),0)/IF(Settings!$B$27="Yes",G426,1))</f>
        <v/>
      </c>
      <c r="J426" s="11">
        <f>IF(A426="","",F426+H426-I426)</f>
        <v/>
      </c>
      <c r="K426">
        <f>IF(A426="","",IFERROR(IF(B426="",NA(),MATCH(B426,Products!$B$5:$B$204,0)),IFERROR(MATCH(A426,Products!$A$5:$A$204,0),"")))</f>
        <v/>
      </c>
      <c r="L426">
        <f>IF(A426="","",IF(K426="","⚠ not in Products",INDEX(Products!$A$5:$A$204,K426)))</f>
        <v/>
      </c>
      <c r="M426" s="11">
        <f>IF(A426="","",J426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426+IFERROR(INDEX(Settings!$D$5:$D$9,MATCH("Etsy",Settings!$A$5:$A$9,0)),0)*D426)</f>
        <v/>
      </c>
      <c r="N426" s="11">
        <f>IF(A426="","",IF(K426="",0,D426*INDEX(Products!$I$5:$I$204,K426)))</f>
        <v/>
      </c>
      <c r="O426" s="11">
        <f>IF(A426="","",IF(K426="",0,J426*INDEX(Products!$H$5:$H$204,K426)))</f>
        <v/>
      </c>
      <c r="P426" s="11">
        <f>IF(A426="","",J426-M426-N426-O426)</f>
        <v/>
      </c>
    </row>
    <row r="427">
      <c r="A427">
        <f>IFERROR(INDEX('Etsy Import'!$A:$CZ,427,Settings!$C$20)&amp;"","")</f>
        <v/>
      </c>
      <c r="B427">
        <f>IFERROR(INDEX('Etsy Import'!$A:$CZ,427,Settings!$C$21)&amp;"","")</f>
        <v/>
      </c>
      <c r="C427">
        <f>IFERROR(INDEX('Etsy Import'!$A:$CZ,427,Settings!$C$22)&amp;"","")</f>
        <v/>
      </c>
      <c r="D427">
        <f>IF(A427="","",IFERROR(VALUE(SUBSTITUTE(SUBSTITUTE(INDEX('Etsy Import'!$A:$CZ,427,Settings!$C$23)&amp;"","$",""),",","")),0))</f>
        <v/>
      </c>
      <c r="E427" s="11">
        <f>IF(A427="","",IFERROR(VALUE(SUBSTITUTE(SUBSTITUTE(INDEX('Etsy Import'!$A:$CZ,427,Settings!$C$24)&amp;"","$",""),",","")),0))</f>
        <v/>
      </c>
      <c r="F427" s="11">
        <f>IF(A427="","",D427*E427)</f>
        <v/>
      </c>
      <c r="G427">
        <f>IF(A427="","",IF(C427="",1,COUNTIF($C$2:$C$1501,C427)))</f>
        <v/>
      </c>
      <c r="H427" s="11">
        <f>IF(A427="","",IFERROR(VALUE(SUBSTITUTE(SUBSTITUTE(INDEX('Etsy Import'!$A:$CZ,427,Settings!$C$25)&amp;"","$",""),",","")),0)/IF(Settings!$B$27="Yes",G427,1))</f>
        <v/>
      </c>
      <c r="I427" s="11">
        <f>IF(A427="","",IFERROR(VALUE(SUBSTITUTE(SUBSTITUTE(INDEX('Etsy Import'!$A:$CZ,427,Settings!$C$26)&amp;"","$",""),",","")),0)/IF(Settings!$B$27="Yes",G427,1))</f>
        <v/>
      </c>
      <c r="J427" s="11">
        <f>IF(A427="","",F427+H427-I427)</f>
        <v/>
      </c>
      <c r="K427">
        <f>IF(A427="","",IFERROR(IF(B427="",NA(),MATCH(B427,Products!$B$5:$B$204,0)),IFERROR(MATCH(A427,Products!$A$5:$A$204,0),"")))</f>
        <v/>
      </c>
      <c r="L427">
        <f>IF(A427="","",IF(K427="","⚠ not in Products",INDEX(Products!$A$5:$A$204,K427)))</f>
        <v/>
      </c>
      <c r="M427" s="11">
        <f>IF(A427="","",J427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427+IFERROR(INDEX(Settings!$D$5:$D$9,MATCH("Etsy",Settings!$A$5:$A$9,0)),0)*D427)</f>
        <v/>
      </c>
      <c r="N427" s="11">
        <f>IF(A427="","",IF(K427="",0,D427*INDEX(Products!$I$5:$I$204,K427)))</f>
        <v/>
      </c>
      <c r="O427" s="11">
        <f>IF(A427="","",IF(K427="",0,J427*INDEX(Products!$H$5:$H$204,K427)))</f>
        <v/>
      </c>
      <c r="P427" s="11">
        <f>IF(A427="","",J427-M427-N427-O427)</f>
        <v/>
      </c>
    </row>
    <row r="428">
      <c r="A428">
        <f>IFERROR(INDEX('Etsy Import'!$A:$CZ,428,Settings!$C$20)&amp;"","")</f>
        <v/>
      </c>
      <c r="B428">
        <f>IFERROR(INDEX('Etsy Import'!$A:$CZ,428,Settings!$C$21)&amp;"","")</f>
        <v/>
      </c>
      <c r="C428">
        <f>IFERROR(INDEX('Etsy Import'!$A:$CZ,428,Settings!$C$22)&amp;"","")</f>
        <v/>
      </c>
      <c r="D428">
        <f>IF(A428="","",IFERROR(VALUE(SUBSTITUTE(SUBSTITUTE(INDEX('Etsy Import'!$A:$CZ,428,Settings!$C$23)&amp;"","$",""),",","")),0))</f>
        <v/>
      </c>
      <c r="E428" s="11">
        <f>IF(A428="","",IFERROR(VALUE(SUBSTITUTE(SUBSTITUTE(INDEX('Etsy Import'!$A:$CZ,428,Settings!$C$24)&amp;"","$",""),",","")),0))</f>
        <v/>
      </c>
      <c r="F428" s="11">
        <f>IF(A428="","",D428*E428)</f>
        <v/>
      </c>
      <c r="G428">
        <f>IF(A428="","",IF(C428="",1,COUNTIF($C$2:$C$1501,C428)))</f>
        <v/>
      </c>
      <c r="H428" s="11">
        <f>IF(A428="","",IFERROR(VALUE(SUBSTITUTE(SUBSTITUTE(INDEX('Etsy Import'!$A:$CZ,428,Settings!$C$25)&amp;"","$",""),",","")),0)/IF(Settings!$B$27="Yes",G428,1))</f>
        <v/>
      </c>
      <c r="I428" s="11">
        <f>IF(A428="","",IFERROR(VALUE(SUBSTITUTE(SUBSTITUTE(INDEX('Etsy Import'!$A:$CZ,428,Settings!$C$26)&amp;"","$",""),",","")),0)/IF(Settings!$B$27="Yes",G428,1))</f>
        <v/>
      </c>
      <c r="J428" s="11">
        <f>IF(A428="","",F428+H428-I428)</f>
        <v/>
      </c>
      <c r="K428">
        <f>IF(A428="","",IFERROR(IF(B428="",NA(),MATCH(B428,Products!$B$5:$B$204,0)),IFERROR(MATCH(A428,Products!$A$5:$A$204,0),"")))</f>
        <v/>
      </c>
      <c r="L428">
        <f>IF(A428="","",IF(K428="","⚠ not in Products",INDEX(Products!$A$5:$A$204,K428)))</f>
        <v/>
      </c>
      <c r="M428" s="11">
        <f>IF(A428="","",J428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428+IFERROR(INDEX(Settings!$D$5:$D$9,MATCH("Etsy",Settings!$A$5:$A$9,0)),0)*D428)</f>
        <v/>
      </c>
      <c r="N428" s="11">
        <f>IF(A428="","",IF(K428="",0,D428*INDEX(Products!$I$5:$I$204,K428)))</f>
        <v/>
      </c>
      <c r="O428" s="11">
        <f>IF(A428="","",IF(K428="",0,J428*INDEX(Products!$H$5:$H$204,K428)))</f>
        <v/>
      </c>
      <c r="P428" s="11">
        <f>IF(A428="","",J428-M428-N428-O428)</f>
        <v/>
      </c>
    </row>
    <row r="429">
      <c r="A429">
        <f>IFERROR(INDEX('Etsy Import'!$A:$CZ,429,Settings!$C$20)&amp;"","")</f>
        <v/>
      </c>
      <c r="B429">
        <f>IFERROR(INDEX('Etsy Import'!$A:$CZ,429,Settings!$C$21)&amp;"","")</f>
        <v/>
      </c>
      <c r="C429">
        <f>IFERROR(INDEX('Etsy Import'!$A:$CZ,429,Settings!$C$22)&amp;"","")</f>
        <v/>
      </c>
      <c r="D429">
        <f>IF(A429="","",IFERROR(VALUE(SUBSTITUTE(SUBSTITUTE(INDEX('Etsy Import'!$A:$CZ,429,Settings!$C$23)&amp;"","$",""),",","")),0))</f>
        <v/>
      </c>
      <c r="E429" s="11">
        <f>IF(A429="","",IFERROR(VALUE(SUBSTITUTE(SUBSTITUTE(INDEX('Etsy Import'!$A:$CZ,429,Settings!$C$24)&amp;"","$",""),",","")),0))</f>
        <v/>
      </c>
      <c r="F429" s="11">
        <f>IF(A429="","",D429*E429)</f>
        <v/>
      </c>
      <c r="G429">
        <f>IF(A429="","",IF(C429="",1,COUNTIF($C$2:$C$1501,C429)))</f>
        <v/>
      </c>
      <c r="H429" s="11">
        <f>IF(A429="","",IFERROR(VALUE(SUBSTITUTE(SUBSTITUTE(INDEX('Etsy Import'!$A:$CZ,429,Settings!$C$25)&amp;"","$",""),",","")),0)/IF(Settings!$B$27="Yes",G429,1))</f>
        <v/>
      </c>
      <c r="I429" s="11">
        <f>IF(A429="","",IFERROR(VALUE(SUBSTITUTE(SUBSTITUTE(INDEX('Etsy Import'!$A:$CZ,429,Settings!$C$26)&amp;"","$",""),",","")),0)/IF(Settings!$B$27="Yes",G429,1))</f>
        <v/>
      </c>
      <c r="J429" s="11">
        <f>IF(A429="","",F429+H429-I429)</f>
        <v/>
      </c>
      <c r="K429">
        <f>IF(A429="","",IFERROR(IF(B429="",NA(),MATCH(B429,Products!$B$5:$B$204,0)),IFERROR(MATCH(A429,Products!$A$5:$A$204,0),"")))</f>
        <v/>
      </c>
      <c r="L429">
        <f>IF(A429="","",IF(K429="","⚠ not in Products",INDEX(Products!$A$5:$A$204,K429)))</f>
        <v/>
      </c>
      <c r="M429" s="11">
        <f>IF(A429="","",J429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429+IFERROR(INDEX(Settings!$D$5:$D$9,MATCH("Etsy",Settings!$A$5:$A$9,0)),0)*D429)</f>
        <v/>
      </c>
      <c r="N429" s="11">
        <f>IF(A429="","",IF(K429="",0,D429*INDEX(Products!$I$5:$I$204,K429)))</f>
        <v/>
      </c>
      <c r="O429" s="11">
        <f>IF(A429="","",IF(K429="",0,J429*INDEX(Products!$H$5:$H$204,K429)))</f>
        <v/>
      </c>
      <c r="P429" s="11">
        <f>IF(A429="","",J429-M429-N429-O429)</f>
        <v/>
      </c>
    </row>
    <row r="430">
      <c r="A430">
        <f>IFERROR(INDEX('Etsy Import'!$A:$CZ,430,Settings!$C$20)&amp;"","")</f>
        <v/>
      </c>
      <c r="B430">
        <f>IFERROR(INDEX('Etsy Import'!$A:$CZ,430,Settings!$C$21)&amp;"","")</f>
        <v/>
      </c>
      <c r="C430">
        <f>IFERROR(INDEX('Etsy Import'!$A:$CZ,430,Settings!$C$22)&amp;"","")</f>
        <v/>
      </c>
      <c r="D430">
        <f>IF(A430="","",IFERROR(VALUE(SUBSTITUTE(SUBSTITUTE(INDEX('Etsy Import'!$A:$CZ,430,Settings!$C$23)&amp;"","$",""),",","")),0))</f>
        <v/>
      </c>
      <c r="E430" s="11">
        <f>IF(A430="","",IFERROR(VALUE(SUBSTITUTE(SUBSTITUTE(INDEX('Etsy Import'!$A:$CZ,430,Settings!$C$24)&amp;"","$",""),",","")),0))</f>
        <v/>
      </c>
      <c r="F430" s="11">
        <f>IF(A430="","",D430*E430)</f>
        <v/>
      </c>
      <c r="G430">
        <f>IF(A430="","",IF(C430="",1,COUNTIF($C$2:$C$1501,C430)))</f>
        <v/>
      </c>
      <c r="H430" s="11">
        <f>IF(A430="","",IFERROR(VALUE(SUBSTITUTE(SUBSTITUTE(INDEX('Etsy Import'!$A:$CZ,430,Settings!$C$25)&amp;"","$",""),",","")),0)/IF(Settings!$B$27="Yes",G430,1))</f>
        <v/>
      </c>
      <c r="I430" s="11">
        <f>IF(A430="","",IFERROR(VALUE(SUBSTITUTE(SUBSTITUTE(INDEX('Etsy Import'!$A:$CZ,430,Settings!$C$26)&amp;"","$",""),",","")),0)/IF(Settings!$B$27="Yes",G430,1))</f>
        <v/>
      </c>
      <c r="J430" s="11">
        <f>IF(A430="","",F430+H430-I430)</f>
        <v/>
      </c>
      <c r="K430">
        <f>IF(A430="","",IFERROR(IF(B430="",NA(),MATCH(B430,Products!$B$5:$B$204,0)),IFERROR(MATCH(A430,Products!$A$5:$A$204,0),"")))</f>
        <v/>
      </c>
      <c r="L430">
        <f>IF(A430="","",IF(K430="","⚠ not in Products",INDEX(Products!$A$5:$A$204,K430)))</f>
        <v/>
      </c>
      <c r="M430" s="11">
        <f>IF(A430="","",J430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430+IFERROR(INDEX(Settings!$D$5:$D$9,MATCH("Etsy",Settings!$A$5:$A$9,0)),0)*D430)</f>
        <v/>
      </c>
      <c r="N430" s="11">
        <f>IF(A430="","",IF(K430="",0,D430*INDEX(Products!$I$5:$I$204,K430)))</f>
        <v/>
      </c>
      <c r="O430" s="11">
        <f>IF(A430="","",IF(K430="",0,J430*INDEX(Products!$H$5:$H$204,K430)))</f>
        <v/>
      </c>
      <c r="P430" s="11">
        <f>IF(A430="","",J430-M430-N430-O430)</f>
        <v/>
      </c>
    </row>
    <row r="431">
      <c r="A431">
        <f>IFERROR(INDEX('Etsy Import'!$A:$CZ,431,Settings!$C$20)&amp;"","")</f>
        <v/>
      </c>
      <c r="B431">
        <f>IFERROR(INDEX('Etsy Import'!$A:$CZ,431,Settings!$C$21)&amp;"","")</f>
        <v/>
      </c>
      <c r="C431">
        <f>IFERROR(INDEX('Etsy Import'!$A:$CZ,431,Settings!$C$22)&amp;"","")</f>
        <v/>
      </c>
      <c r="D431">
        <f>IF(A431="","",IFERROR(VALUE(SUBSTITUTE(SUBSTITUTE(INDEX('Etsy Import'!$A:$CZ,431,Settings!$C$23)&amp;"","$",""),",","")),0))</f>
        <v/>
      </c>
      <c r="E431" s="11">
        <f>IF(A431="","",IFERROR(VALUE(SUBSTITUTE(SUBSTITUTE(INDEX('Etsy Import'!$A:$CZ,431,Settings!$C$24)&amp;"","$",""),",","")),0))</f>
        <v/>
      </c>
      <c r="F431" s="11">
        <f>IF(A431="","",D431*E431)</f>
        <v/>
      </c>
      <c r="G431">
        <f>IF(A431="","",IF(C431="",1,COUNTIF($C$2:$C$1501,C431)))</f>
        <v/>
      </c>
      <c r="H431" s="11">
        <f>IF(A431="","",IFERROR(VALUE(SUBSTITUTE(SUBSTITUTE(INDEX('Etsy Import'!$A:$CZ,431,Settings!$C$25)&amp;"","$",""),",","")),0)/IF(Settings!$B$27="Yes",G431,1))</f>
        <v/>
      </c>
      <c r="I431" s="11">
        <f>IF(A431="","",IFERROR(VALUE(SUBSTITUTE(SUBSTITUTE(INDEX('Etsy Import'!$A:$CZ,431,Settings!$C$26)&amp;"","$",""),",","")),0)/IF(Settings!$B$27="Yes",G431,1))</f>
        <v/>
      </c>
      <c r="J431" s="11">
        <f>IF(A431="","",F431+H431-I431)</f>
        <v/>
      </c>
      <c r="K431">
        <f>IF(A431="","",IFERROR(IF(B431="",NA(),MATCH(B431,Products!$B$5:$B$204,0)),IFERROR(MATCH(A431,Products!$A$5:$A$204,0),"")))</f>
        <v/>
      </c>
      <c r="L431">
        <f>IF(A431="","",IF(K431="","⚠ not in Products",INDEX(Products!$A$5:$A$204,K431)))</f>
        <v/>
      </c>
      <c r="M431" s="11">
        <f>IF(A431="","",J431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431+IFERROR(INDEX(Settings!$D$5:$D$9,MATCH("Etsy",Settings!$A$5:$A$9,0)),0)*D431)</f>
        <v/>
      </c>
      <c r="N431" s="11">
        <f>IF(A431="","",IF(K431="",0,D431*INDEX(Products!$I$5:$I$204,K431)))</f>
        <v/>
      </c>
      <c r="O431" s="11">
        <f>IF(A431="","",IF(K431="",0,J431*INDEX(Products!$H$5:$H$204,K431)))</f>
        <v/>
      </c>
      <c r="P431" s="11">
        <f>IF(A431="","",J431-M431-N431-O431)</f>
        <v/>
      </c>
    </row>
    <row r="432">
      <c r="A432">
        <f>IFERROR(INDEX('Etsy Import'!$A:$CZ,432,Settings!$C$20)&amp;"","")</f>
        <v/>
      </c>
      <c r="B432">
        <f>IFERROR(INDEX('Etsy Import'!$A:$CZ,432,Settings!$C$21)&amp;"","")</f>
        <v/>
      </c>
      <c r="C432">
        <f>IFERROR(INDEX('Etsy Import'!$A:$CZ,432,Settings!$C$22)&amp;"","")</f>
        <v/>
      </c>
      <c r="D432">
        <f>IF(A432="","",IFERROR(VALUE(SUBSTITUTE(SUBSTITUTE(INDEX('Etsy Import'!$A:$CZ,432,Settings!$C$23)&amp;"","$",""),",","")),0))</f>
        <v/>
      </c>
      <c r="E432" s="11">
        <f>IF(A432="","",IFERROR(VALUE(SUBSTITUTE(SUBSTITUTE(INDEX('Etsy Import'!$A:$CZ,432,Settings!$C$24)&amp;"","$",""),",","")),0))</f>
        <v/>
      </c>
      <c r="F432" s="11">
        <f>IF(A432="","",D432*E432)</f>
        <v/>
      </c>
      <c r="G432">
        <f>IF(A432="","",IF(C432="",1,COUNTIF($C$2:$C$1501,C432)))</f>
        <v/>
      </c>
      <c r="H432" s="11">
        <f>IF(A432="","",IFERROR(VALUE(SUBSTITUTE(SUBSTITUTE(INDEX('Etsy Import'!$A:$CZ,432,Settings!$C$25)&amp;"","$",""),",","")),0)/IF(Settings!$B$27="Yes",G432,1))</f>
        <v/>
      </c>
      <c r="I432" s="11">
        <f>IF(A432="","",IFERROR(VALUE(SUBSTITUTE(SUBSTITUTE(INDEX('Etsy Import'!$A:$CZ,432,Settings!$C$26)&amp;"","$",""),",","")),0)/IF(Settings!$B$27="Yes",G432,1))</f>
        <v/>
      </c>
      <c r="J432" s="11">
        <f>IF(A432="","",F432+H432-I432)</f>
        <v/>
      </c>
      <c r="K432">
        <f>IF(A432="","",IFERROR(IF(B432="",NA(),MATCH(B432,Products!$B$5:$B$204,0)),IFERROR(MATCH(A432,Products!$A$5:$A$204,0),"")))</f>
        <v/>
      </c>
      <c r="L432">
        <f>IF(A432="","",IF(K432="","⚠ not in Products",INDEX(Products!$A$5:$A$204,K432)))</f>
        <v/>
      </c>
      <c r="M432" s="11">
        <f>IF(A432="","",J432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432+IFERROR(INDEX(Settings!$D$5:$D$9,MATCH("Etsy",Settings!$A$5:$A$9,0)),0)*D432)</f>
        <v/>
      </c>
      <c r="N432" s="11">
        <f>IF(A432="","",IF(K432="",0,D432*INDEX(Products!$I$5:$I$204,K432)))</f>
        <v/>
      </c>
      <c r="O432" s="11">
        <f>IF(A432="","",IF(K432="",0,J432*INDEX(Products!$H$5:$H$204,K432)))</f>
        <v/>
      </c>
      <c r="P432" s="11">
        <f>IF(A432="","",J432-M432-N432-O432)</f>
        <v/>
      </c>
    </row>
    <row r="433">
      <c r="A433">
        <f>IFERROR(INDEX('Etsy Import'!$A:$CZ,433,Settings!$C$20)&amp;"","")</f>
        <v/>
      </c>
      <c r="B433">
        <f>IFERROR(INDEX('Etsy Import'!$A:$CZ,433,Settings!$C$21)&amp;"","")</f>
        <v/>
      </c>
      <c r="C433">
        <f>IFERROR(INDEX('Etsy Import'!$A:$CZ,433,Settings!$C$22)&amp;"","")</f>
        <v/>
      </c>
      <c r="D433">
        <f>IF(A433="","",IFERROR(VALUE(SUBSTITUTE(SUBSTITUTE(INDEX('Etsy Import'!$A:$CZ,433,Settings!$C$23)&amp;"","$",""),",","")),0))</f>
        <v/>
      </c>
      <c r="E433" s="11">
        <f>IF(A433="","",IFERROR(VALUE(SUBSTITUTE(SUBSTITUTE(INDEX('Etsy Import'!$A:$CZ,433,Settings!$C$24)&amp;"","$",""),",","")),0))</f>
        <v/>
      </c>
      <c r="F433" s="11">
        <f>IF(A433="","",D433*E433)</f>
        <v/>
      </c>
      <c r="G433">
        <f>IF(A433="","",IF(C433="",1,COUNTIF($C$2:$C$1501,C433)))</f>
        <v/>
      </c>
      <c r="H433" s="11">
        <f>IF(A433="","",IFERROR(VALUE(SUBSTITUTE(SUBSTITUTE(INDEX('Etsy Import'!$A:$CZ,433,Settings!$C$25)&amp;"","$",""),",","")),0)/IF(Settings!$B$27="Yes",G433,1))</f>
        <v/>
      </c>
      <c r="I433" s="11">
        <f>IF(A433="","",IFERROR(VALUE(SUBSTITUTE(SUBSTITUTE(INDEX('Etsy Import'!$A:$CZ,433,Settings!$C$26)&amp;"","$",""),",","")),0)/IF(Settings!$B$27="Yes",G433,1))</f>
        <v/>
      </c>
      <c r="J433" s="11">
        <f>IF(A433="","",F433+H433-I433)</f>
        <v/>
      </c>
      <c r="K433">
        <f>IF(A433="","",IFERROR(IF(B433="",NA(),MATCH(B433,Products!$B$5:$B$204,0)),IFERROR(MATCH(A433,Products!$A$5:$A$204,0),"")))</f>
        <v/>
      </c>
      <c r="L433">
        <f>IF(A433="","",IF(K433="","⚠ not in Products",INDEX(Products!$A$5:$A$204,K433)))</f>
        <v/>
      </c>
      <c r="M433" s="11">
        <f>IF(A433="","",J433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433+IFERROR(INDEX(Settings!$D$5:$D$9,MATCH("Etsy",Settings!$A$5:$A$9,0)),0)*D433)</f>
        <v/>
      </c>
      <c r="N433" s="11">
        <f>IF(A433="","",IF(K433="",0,D433*INDEX(Products!$I$5:$I$204,K433)))</f>
        <v/>
      </c>
      <c r="O433" s="11">
        <f>IF(A433="","",IF(K433="",0,J433*INDEX(Products!$H$5:$H$204,K433)))</f>
        <v/>
      </c>
      <c r="P433" s="11">
        <f>IF(A433="","",J433-M433-N433-O433)</f>
        <v/>
      </c>
    </row>
    <row r="434">
      <c r="A434">
        <f>IFERROR(INDEX('Etsy Import'!$A:$CZ,434,Settings!$C$20)&amp;"","")</f>
        <v/>
      </c>
      <c r="B434">
        <f>IFERROR(INDEX('Etsy Import'!$A:$CZ,434,Settings!$C$21)&amp;"","")</f>
        <v/>
      </c>
      <c r="C434">
        <f>IFERROR(INDEX('Etsy Import'!$A:$CZ,434,Settings!$C$22)&amp;"","")</f>
        <v/>
      </c>
      <c r="D434">
        <f>IF(A434="","",IFERROR(VALUE(SUBSTITUTE(SUBSTITUTE(INDEX('Etsy Import'!$A:$CZ,434,Settings!$C$23)&amp;"","$",""),",","")),0))</f>
        <v/>
      </c>
      <c r="E434" s="11">
        <f>IF(A434="","",IFERROR(VALUE(SUBSTITUTE(SUBSTITUTE(INDEX('Etsy Import'!$A:$CZ,434,Settings!$C$24)&amp;"","$",""),",","")),0))</f>
        <v/>
      </c>
      <c r="F434" s="11">
        <f>IF(A434="","",D434*E434)</f>
        <v/>
      </c>
      <c r="G434">
        <f>IF(A434="","",IF(C434="",1,COUNTIF($C$2:$C$1501,C434)))</f>
        <v/>
      </c>
      <c r="H434" s="11">
        <f>IF(A434="","",IFERROR(VALUE(SUBSTITUTE(SUBSTITUTE(INDEX('Etsy Import'!$A:$CZ,434,Settings!$C$25)&amp;"","$",""),",","")),0)/IF(Settings!$B$27="Yes",G434,1))</f>
        <v/>
      </c>
      <c r="I434" s="11">
        <f>IF(A434="","",IFERROR(VALUE(SUBSTITUTE(SUBSTITUTE(INDEX('Etsy Import'!$A:$CZ,434,Settings!$C$26)&amp;"","$",""),",","")),0)/IF(Settings!$B$27="Yes",G434,1))</f>
        <v/>
      </c>
      <c r="J434" s="11">
        <f>IF(A434="","",F434+H434-I434)</f>
        <v/>
      </c>
      <c r="K434">
        <f>IF(A434="","",IFERROR(IF(B434="",NA(),MATCH(B434,Products!$B$5:$B$204,0)),IFERROR(MATCH(A434,Products!$A$5:$A$204,0),"")))</f>
        <v/>
      </c>
      <c r="L434">
        <f>IF(A434="","",IF(K434="","⚠ not in Products",INDEX(Products!$A$5:$A$204,K434)))</f>
        <v/>
      </c>
      <c r="M434" s="11">
        <f>IF(A434="","",J434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434+IFERROR(INDEX(Settings!$D$5:$D$9,MATCH("Etsy",Settings!$A$5:$A$9,0)),0)*D434)</f>
        <v/>
      </c>
      <c r="N434" s="11">
        <f>IF(A434="","",IF(K434="",0,D434*INDEX(Products!$I$5:$I$204,K434)))</f>
        <v/>
      </c>
      <c r="O434" s="11">
        <f>IF(A434="","",IF(K434="",0,J434*INDEX(Products!$H$5:$H$204,K434)))</f>
        <v/>
      </c>
      <c r="P434" s="11">
        <f>IF(A434="","",J434-M434-N434-O434)</f>
        <v/>
      </c>
    </row>
    <row r="435">
      <c r="A435">
        <f>IFERROR(INDEX('Etsy Import'!$A:$CZ,435,Settings!$C$20)&amp;"","")</f>
        <v/>
      </c>
      <c r="B435">
        <f>IFERROR(INDEX('Etsy Import'!$A:$CZ,435,Settings!$C$21)&amp;"","")</f>
        <v/>
      </c>
      <c r="C435">
        <f>IFERROR(INDEX('Etsy Import'!$A:$CZ,435,Settings!$C$22)&amp;"","")</f>
        <v/>
      </c>
      <c r="D435">
        <f>IF(A435="","",IFERROR(VALUE(SUBSTITUTE(SUBSTITUTE(INDEX('Etsy Import'!$A:$CZ,435,Settings!$C$23)&amp;"","$",""),",","")),0))</f>
        <v/>
      </c>
      <c r="E435" s="11">
        <f>IF(A435="","",IFERROR(VALUE(SUBSTITUTE(SUBSTITUTE(INDEX('Etsy Import'!$A:$CZ,435,Settings!$C$24)&amp;"","$",""),",","")),0))</f>
        <v/>
      </c>
      <c r="F435" s="11">
        <f>IF(A435="","",D435*E435)</f>
        <v/>
      </c>
      <c r="G435">
        <f>IF(A435="","",IF(C435="",1,COUNTIF($C$2:$C$1501,C435)))</f>
        <v/>
      </c>
      <c r="H435" s="11">
        <f>IF(A435="","",IFERROR(VALUE(SUBSTITUTE(SUBSTITUTE(INDEX('Etsy Import'!$A:$CZ,435,Settings!$C$25)&amp;"","$",""),",","")),0)/IF(Settings!$B$27="Yes",G435,1))</f>
        <v/>
      </c>
      <c r="I435" s="11">
        <f>IF(A435="","",IFERROR(VALUE(SUBSTITUTE(SUBSTITUTE(INDEX('Etsy Import'!$A:$CZ,435,Settings!$C$26)&amp;"","$",""),",","")),0)/IF(Settings!$B$27="Yes",G435,1))</f>
        <v/>
      </c>
      <c r="J435" s="11">
        <f>IF(A435="","",F435+H435-I435)</f>
        <v/>
      </c>
      <c r="K435">
        <f>IF(A435="","",IFERROR(IF(B435="",NA(),MATCH(B435,Products!$B$5:$B$204,0)),IFERROR(MATCH(A435,Products!$A$5:$A$204,0),"")))</f>
        <v/>
      </c>
      <c r="L435">
        <f>IF(A435="","",IF(K435="","⚠ not in Products",INDEX(Products!$A$5:$A$204,K435)))</f>
        <v/>
      </c>
      <c r="M435" s="11">
        <f>IF(A435="","",J435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435+IFERROR(INDEX(Settings!$D$5:$D$9,MATCH("Etsy",Settings!$A$5:$A$9,0)),0)*D435)</f>
        <v/>
      </c>
      <c r="N435" s="11">
        <f>IF(A435="","",IF(K435="",0,D435*INDEX(Products!$I$5:$I$204,K435)))</f>
        <v/>
      </c>
      <c r="O435" s="11">
        <f>IF(A435="","",IF(K435="",0,J435*INDEX(Products!$H$5:$H$204,K435)))</f>
        <v/>
      </c>
      <c r="P435" s="11">
        <f>IF(A435="","",J435-M435-N435-O435)</f>
        <v/>
      </c>
    </row>
    <row r="436">
      <c r="A436">
        <f>IFERROR(INDEX('Etsy Import'!$A:$CZ,436,Settings!$C$20)&amp;"","")</f>
        <v/>
      </c>
      <c r="B436">
        <f>IFERROR(INDEX('Etsy Import'!$A:$CZ,436,Settings!$C$21)&amp;"","")</f>
        <v/>
      </c>
      <c r="C436">
        <f>IFERROR(INDEX('Etsy Import'!$A:$CZ,436,Settings!$C$22)&amp;"","")</f>
        <v/>
      </c>
      <c r="D436">
        <f>IF(A436="","",IFERROR(VALUE(SUBSTITUTE(SUBSTITUTE(INDEX('Etsy Import'!$A:$CZ,436,Settings!$C$23)&amp;"","$",""),",","")),0))</f>
        <v/>
      </c>
      <c r="E436" s="11">
        <f>IF(A436="","",IFERROR(VALUE(SUBSTITUTE(SUBSTITUTE(INDEX('Etsy Import'!$A:$CZ,436,Settings!$C$24)&amp;"","$",""),",","")),0))</f>
        <v/>
      </c>
      <c r="F436" s="11">
        <f>IF(A436="","",D436*E436)</f>
        <v/>
      </c>
      <c r="G436">
        <f>IF(A436="","",IF(C436="",1,COUNTIF($C$2:$C$1501,C436)))</f>
        <v/>
      </c>
      <c r="H436" s="11">
        <f>IF(A436="","",IFERROR(VALUE(SUBSTITUTE(SUBSTITUTE(INDEX('Etsy Import'!$A:$CZ,436,Settings!$C$25)&amp;"","$",""),",","")),0)/IF(Settings!$B$27="Yes",G436,1))</f>
        <v/>
      </c>
      <c r="I436" s="11">
        <f>IF(A436="","",IFERROR(VALUE(SUBSTITUTE(SUBSTITUTE(INDEX('Etsy Import'!$A:$CZ,436,Settings!$C$26)&amp;"","$",""),",","")),0)/IF(Settings!$B$27="Yes",G436,1))</f>
        <v/>
      </c>
      <c r="J436" s="11">
        <f>IF(A436="","",F436+H436-I436)</f>
        <v/>
      </c>
      <c r="K436">
        <f>IF(A436="","",IFERROR(IF(B436="",NA(),MATCH(B436,Products!$B$5:$B$204,0)),IFERROR(MATCH(A436,Products!$A$5:$A$204,0),"")))</f>
        <v/>
      </c>
      <c r="L436">
        <f>IF(A436="","",IF(K436="","⚠ not in Products",INDEX(Products!$A$5:$A$204,K436)))</f>
        <v/>
      </c>
      <c r="M436" s="11">
        <f>IF(A436="","",J436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436+IFERROR(INDEX(Settings!$D$5:$D$9,MATCH("Etsy",Settings!$A$5:$A$9,0)),0)*D436)</f>
        <v/>
      </c>
      <c r="N436" s="11">
        <f>IF(A436="","",IF(K436="",0,D436*INDEX(Products!$I$5:$I$204,K436)))</f>
        <v/>
      </c>
      <c r="O436" s="11">
        <f>IF(A436="","",IF(K436="",0,J436*INDEX(Products!$H$5:$H$204,K436)))</f>
        <v/>
      </c>
      <c r="P436" s="11">
        <f>IF(A436="","",J436-M436-N436-O436)</f>
        <v/>
      </c>
    </row>
    <row r="437">
      <c r="A437">
        <f>IFERROR(INDEX('Etsy Import'!$A:$CZ,437,Settings!$C$20)&amp;"","")</f>
        <v/>
      </c>
      <c r="B437">
        <f>IFERROR(INDEX('Etsy Import'!$A:$CZ,437,Settings!$C$21)&amp;"","")</f>
        <v/>
      </c>
      <c r="C437">
        <f>IFERROR(INDEX('Etsy Import'!$A:$CZ,437,Settings!$C$22)&amp;"","")</f>
        <v/>
      </c>
      <c r="D437">
        <f>IF(A437="","",IFERROR(VALUE(SUBSTITUTE(SUBSTITUTE(INDEX('Etsy Import'!$A:$CZ,437,Settings!$C$23)&amp;"","$",""),",","")),0))</f>
        <v/>
      </c>
      <c r="E437" s="11">
        <f>IF(A437="","",IFERROR(VALUE(SUBSTITUTE(SUBSTITUTE(INDEX('Etsy Import'!$A:$CZ,437,Settings!$C$24)&amp;"","$",""),",","")),0))</f>
        <v/>
      </c>
      <c r="F437" s="11">
        <f>IF(A437="","",D437*E437)</f>
        <v/>
      </c>
      <c r="G437">
        <f>IF(A437="","",IF(C437="",1,COUNTIF($C$2:$C$1501,C437)))</f>
        <v/>
      </c>
      <c r="H437" s="11">
        <f>IF(A437="","",IFERROR(VALUE(SUBSTITUTE(SUBSTITUTE(INDEX('Etsy Import'!$A:$CZ,437,Settings!$C$25)&amp;"","$",""),",","")),0)/IF(Settings!$B$27="Yes",G437,1))</f>
        <v/>
      </c>
      <c r="I437" s="11">
        <f>IF(A437="","",IFERROR(VALUE(SUBSTITUTE(SUBSTITUTE(INDEX('Etsy Import'!$A:$CZ,437,Settings!$C$26)&amp;"","$",""),",","")),0)/IF(Settings!$B$27="Yes",G437,1))</f>
        <v/>
      </c>
      <c r="J437" s="11">
        <f>IF(A437="","",F437+H437-I437)</f>
        <v/>
      </c>
      <c r="K437">
        <f>IF(A437="","",IFERROR(IF(B437="",NA(),MATCH(B437,Products!$B$5:$B$204,0)),IFERROR(MATCH(A437,Products!$A$5:$A$204,0),"")))</f>
        <v/>
      </c>
      <c r="L437">
        <f>IF(A437="","",IF(K437="","⚠ not in Products",INDEX(Products!$A$5:$A$204,K437)))</f>
        <v/>
      </c>
      <c r="M437" s="11">
        <f>IF(A437="","",J437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437+IFERROR(INDEX(Settings!$D$5:$D$9,MATCH("Etsy",Settings!$A$5:$A$9,0)),0)*D437)</f>
        <v/>
      </c>
      <c r="N437" s="11">
        <f>IF(A437="","",IF(K437="",0,D437*INDEX(Products!$I$5:$I$204,K437)))</f>
        <v/>
      </c>
      <c r="O437" s="11">
        <f>IF(A437="","",IF(K437="",0,J437*INDEX(Products!$H$5:$H$204,K437)))</f>
        <v/>
      </c>
      <c r="P437" s="11">
        <f>IF(A437="","",J437-M437-N437-O437)</f>
        <v/>
      </c>
    </row>
    <row r="438">
      <c r="A438">
        <f>IFERROR(INDEX('Etsy Import'!$A:$CZ,438,Settings!$C$20)&amp;"","")</f>
        <v/>
      </c>
      <c r="B438">
        <f>IFERROR(INDEX('Etsy Import'!$A:$CZ,438,Settings!$C$21)&amp;"","")</f>
        <v/>
      </c>
      <c r="C438">
        <f>IFERROR(INDEX('Etsy Import'!$A:$CZ,438,Settings!$C$22)&amp;"","")</f>
        <v/>
      </c>
      <c r="D438">
        <f>IF(A438="","",IFERROR(VALUE(SUBSTITUTE(SUBSTITUTE(INDEX('Etsy Import'!$A:$CZ,438,Settings!$C$23)&amp;"","$",""),",","")),0))</f>
        <v/>
      </c>
      <c r="E438" s="11">
        <f>IF(A438="","",IFERROR(VALUE(SUBSTITUTE(SUBSTITUTE(INDEX('Etsy Import'!$A:$CZ,438,Settings!$C$24)&amp;"","$",""),",","")),0))</f>
        <v/>
      </c>
      <c r="F438" s="11">
        <f>IF(A438="","",D438*E438)</f>
        <v/>
      </c>
      <c r="G438">
        <f>IF(A438="","",IF(C438="",1,COUNTIF($C$2:$C$1501,C438)))</f>
        <v/>
      </c>
      <c r="H438" s="11">
        <f>IF(A438="","",IFERROR(VALUE(SUBSTITUTE(SUBSTITUTE(INDEX('Etsy Import'!$A:$CZ,438,Settings!$C$25)&amp;"","$",""),",","")),0)/IF(Settings!$B$27="Yes",G438,1))</f>
        <v/>
      </c>
      <c r="I438" s="11">
        <f>IF(A438="","",IFERROR(VALUE(SUBSTITUTE(SUBSTITUTE(INDEX('Etsy Import'!$A:$CZ,438,Settings!$C$26)&amp;"","$",""),",","")),0)/IF(Settings!$B$27="Yes",G438,1))</f>
        <v/>
      </c>
      <c r="J438" s="11">
        <f>IF(A438="","",F438+H438-I438)</f>
        <v/>
      </c>
      <c r="K438">
        <f>IF(A438="","",IFERROR(IF(B438="",NA(),MATCH(B438,Products!$B$5:$B$204,0)),IFERROR(MATCH(A438,Products!$A$5:$A$204,0),"")))</f>
        <v/>
      </c>
      <c r="L438">
        <f>IF(A438="","",IF(K438="","⚠ not in Products",INDEX(Products!$A$5:$A$204,K438)))</f>
        <v/>
      </c>
      <c r="M438" s="11">
        <f>IF(A438="","",J438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438+IFERROR(INDEX(Settings!$D$5:$D$9,MATCH("Etsy",Settings!$A$5:$A$9,0)),0)*D438)</f>
        <v/>
      </c>
      <c r="N438" s="11">
        <f>IF(A438="","",IF(K438="",0,D438*INDEX(Products!$I$5:$I$204,K438)))</f>
        <v/>
      </c>
      <c r="O438" s="11">
        <f>IF(A438="","",IF(K438="",0,J438*INDEX(Products!$H$5:$H$204,K438)))</f>
        <v/>
      </c>
      <c r="P438" s="11">
        <f>IF(A438="","",J438-M438-N438-O438)</f>
        <v/>
      </c>
    </row>
    <row r="439">
      <c r="A439">
        <f>IFERROR(INDEX('Etsy Import'!$A:$CZ,439,Settings!$C$20)&amp;"","")</f>
        <v/>
      </c>
      <c r="B439">
        <f>IFERROR(INDEX('Etsy Import'!$A:$CZ,439,Settings!$C$21)&amp;"","")</f>
        <v/>
      </c>
      <c r="C439">
        <f>IFERROR(INDEX('Etsy Import'!$A:$CZ,439,Settings!$C$22)&amp;"","")</f>
        <v/>
      </c>
      <c r="D439">
        <f>IF(A439="","",IFERROR(VALUE(SUBSTITUTE(SUBSTITUTE(INDEX('Etsy Import'!$A:$CZ,439,Settings!$C$23)&amp;"","$",""),",","")),0))</f>
        <v/>
      </c>
      <c r="E439" s="11">
        <f>IF(A439="","",IFERROR(VALUE(SUBSTITUTE(SUBSTITUTE(INDEX('Etsy Import'!$A:$CZ,439,Settings!$C$24)&amp;"","$",""),",","")),0))</f>
        <v/>
      </c>
      <c r="F439" s="11">
        <f>IF(A439="","",D439*E439)</f>
        <v/>
      </c>
      <c r="G439">
        <f>IF(A439="","",IF(C439="",1,COUNTIF($C$2:$C$1501,C439)))</f>
        <v/>
      </c>
      <c r="H439" s="11">
        <f>IF(A439="","",IFERROR(VALUE(SUBSTITUTE(SUBSTITUTE(INDEX('Etsy Import'!$A:$CZ,439,Settings!$C$25)&amp;"","$",""),",","")),0)/IF(Settings!$B$27="Yes",G439,1))</f>
        <v/>
      </c>
      <c r="I439" s="11">
        <f>IF(A439="","",IFERROR(VALUE(SUBSTITUTE(SUBSTITUTE(INDEX('Etsy Import'!$A:$CZ,439,Settings!$C$26)&amp;"","$",""),",","")),0)/IF(Settings!$B$27="Yes",G439,1))</f>
        <v/>
      </c>
      <c r="J439" s="11">
        <f>IF(A439="","",F439+H439-I439)</f>
        <v/>
      </c>
      <c r="K439">
        <f>IF(A439="","",IFERROR(IF(B439="",NA(),MATCH(B439,Products!$B$5:$B$204,0)),IFERROR(MATCH(A439,Products!$A$5:$A$204,0),"")))</f>
        <v/>
      </c>
      <c r="L439">
        <f>IF(A439="","",IF(K439="","⚠ not in Products",INDEX(Products!$A$5:$A$204,K439)))</f>
        <v/>
      </c>
      <c r="M439" s="11">
        <f>IF(A439="","",J439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439+IFERROR(INDEX(Settings!$D$5:$D$9,MATCH("Etsy",Settings!$A$5:$A$9,0)),0)*D439)</f>
        <v/>
      </c>
      <c r="N439" s="11">
        <f>IF(A439="","",IF(K439="",0,D439*INDEX(Products!$I$5:$I$204,K439)))</f>
        <v/>
      </c>
      <c r="O439" s="11">
        <f>IF(A439="","",IF(K439="",0,J439*INDEX(Products!$H$5:$H$204,K439)))</f>
        <v/>
      </c>
      <c r="P439" s="11">
        <f>IF(A439="","",J439-M439-N439-O439)</f>
        <v/>
      </c>
    </row>
    <row r="440">
      <c r="A440">
        <f>IFERROR(INDEX('Etsy Import'!$A:$CZ,440,Settings!$C$20)&amp;"","")</f>
        <v/>
      </c>
      <c r="B440">
        <f>IFERROR(INDEX('Etsy Import'!$A:$CZ,440,Settings!$C$21)&amp;"","")</f>
        <v/>
      </c>
      <c r="C440">
        <f>IFERROR(INDEX('Etsy Import'!$A:$CZ,440,Settings!$C$22)&amp;"","")</f>
        <v/>
      </c>
      <c r="D440">
        <f>IF(A440="","",IFERROR(VALUE(SUBSTITUTE(SUBSTITUTE(INDEX('Etsy Import'!$A:$CZ,440,Settings!$C$23)&amp;"","$",""),",","")),0))</f>
        <v/>
      </c>
      <c r="E440" s="11">
        <f>IF(A440="","",IFERROR(VALUE(SUBSTITUTE(SUBSTITUTE(INDEX('Etsy Import'!$A:$CZ,440,Settings!$C$24)&amp;"","$",""),",","")),0))</f>
        <v/>
      </c>
      <c r="F440" s="11">
        <f>IF(A440="","",D440*E440)</f>
        <v/>
      </c>
      <c r="G440">
        <f>IF(A440="","",IF(C440="",1,COUNTIF($C$2:$C$1501,C440)))</f>
        <v/>
      </c>
      <c r="H440" s="11">
        <f>IF(A440="","",IFERROR(VALUE(SUBSTITUTE(SUBSTITUTE(INDEX('Etsy Import'!$A:$CZ,440,Settings!$C$25)&amp;"","$",""),",","")),0)/IF(Settings!$B$27="Yes",G440,1))</f>
        <v/>
      </c>
      <c r="I440" s="11">
        <f>IF(A440="","",IFERROR(VALUE(SUBSTITUTE(SUBSTITUTE(INDEX('Etsy Import'!$A:$CZ,440,Settings!$C$26)&amp;"","$",""),",","")),0)/IF(Settings!$B$27="Yes",G440,1))</f>
        <v/>
      </c>
      <c r="J440" s="11">
        <f>IF(A440="","",F440+H440-I440)</f>
        <v/>
      </c>
      <c r="K440">
        <f>IF(A440="","",IFERROR(IF(B440="",NA(),MATCH(B440,Products!$B$5:$B$204,0)),IFERROR(MATCH(A440,Products!$A$5:$A$204,0),"")))</f>
        <v/>
      </c>
      <c r="L440">
        <f>IF(A440="","",IF(K440="","⚠ not in Products",INDEX(Products!$A$5:$A$204,K440)))</f>
        <v/>
      </c>
      <c r="M440" s="11">
        <f>IF(A440="","",J440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440+IFERROR(INDEX(Settings!$D$5:$D$9,MATCH("Etsy",Settings!$A$5:$A$9,0)),0)*D440)</f>
        <v/>
      </c>
      <c r="N440" s="11">
        <f>IF(A440="","",IF(K440="",0,D440*INDEX(Products!$I$5:$I$204,K440)))</f>
        <v/>
      </c>
      <c r="O440" s="11">
        <f>IF(A440="","",IF(K440="",0,J440*INDEX(Products!$H$5:$H$204,K440)))</f>
        <v/>
      </c>
      <c r="P440" s="11">
        <f>IF(A440="","",J440-M440-N440-O440)</f>
        <v/>
      </c>
    </row>
    <row r="441">
      <c r="A441">
        <f>IFERROR(INDEX('Etsy Import'!$A:$CZ,441,Settings!$C$20)&amp;"","")</f>
        <v/>
      </c>
      <c r="B441">
        <f>IFERROR(INDEX('Etsy Import'!$A:$CZ,441,Settings!$C$21)&amp;"","")</f>
        <v/>
      </c>
      <c r="C441">
        <f>IFERROR(INDEX('Etsy Import'!$A:$CZ,441,Settings!$C$22)&amp;"","")</f>
        <v/>
      </c>
      <c r="D441">
        <f>IF(A441="","",IFERROR(VALUE(SUBSTITUTE(SUBSTITUTE(INDEX('Etsy Import'!$A:$CZ,441,Settings!$C$23)&amp;"","$",""),",","")),0))</f>
        <v/>
      </c>
      <c r="E441" s="11">
        <f>IF(A441="","",IFERROR(VALUE(SUBSTITUTE(SUBSTITUTE(INDEX('Etsy Import'!$A:$CZ,441,Settings!$C$24)&amp;"","$",""),",","")),0))</f>
        <v/>
      </c>
      <c r="F441" s="11">
        <f>IF(A441="","",D441*E441)</f>
        <v/>
      </c>
      <c r="G441">
        <f>IF(A441="","",IF(C441="",1,COUNTIF($C$2:$C$1501,C441)))</f>
        <v/>
      </c>
      <c r="H441" s="11">
        <f>IF(A441="","",IFERROR(VALUE(SUBSTITUTE(SUBSTITUTE(INDEX('Etsy Import'!$A:$CZ,441,Settings!$C$25)&amp;"","$",""),",","")),0)/IF(Settings!$B$27="Yes",G441,1))</f>
        <v/>
      </c>
      <c r="I441" s="11">
        <f>IF(A441="","",IFERROR(VALUE(SUBSTITUTE(SUBSTITUTE(INDEX('Etsy Import'!$A:$CZ,441,Settings!$C$26)&amp;"","$",""),",","")),0)/IF(Settings!$B$27="Yes",G441,1))</f>
        <v/>
      </c>
      <c r="J441" s="11">
        <f>IF(A441="","",F441+H441-I441)</f>
        <v/>
      </c>
      <c r="K441">
        <f>IF(A441="","",IFERROR(IF(B441="",NA(),MATCH(B441,Products!$B$5:$B$204,0)),IFERROR(MATCH(A441,Products!$A$5:$A$204,0),"")))</f>
        <v/>
      </c>
      <c r="L441">
        <f>IF(A441="","",IF(K441="","⚠ not in Products",INDEX(Products!$A$5:$A$204,K441)))</f>
        <v/>
      </c>
      <c r="M441" s="11">
        <f>IF(A441="","",J441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441+IFERROR(INDEX(Settings!$D$5:$D$9,MATCH("Etsy",Settings!$A$5:$A$9,0)),0)*D441)</f>
        <v/>
      </c>
      <c r="N441" s="11">
        <f>IF(A441="","",IF(K441="",0,D441*INDEX(Products!$I$5:$I$204,K441)))</f>
        <v/>
      </c>
      <c r="O441" s="11">
        <f>IF(A441="","",IF(K441="",0,J441*INDEX(Products!$H$5:$H$204,K441)))</f>
        <v/>
      </c>
      <c r="P441" s="11">
        <f>IF(A441="","",J441-M441-N441-O441)</f>
        <v/>
      </c>
    </row>
    <row r="442">
      <c r="A442">
        <f>IFERROR(INDEX('Etsy Import'!$A:$CZ,442,Settings!$C$20)&amp;"","")</f>
        <v/>
      </c>
      <c r="B442">
        <f>IFERROR(INDEX('Etsy Import'!$A:$CZ,442,Settings!$C$21)&amp;"","")</f>
        <v/>
      </c>
      <c r="C442">
        <f>IFERROR(INDEX('Etsy Import'!$A:$CZ,442,Settings!$C$22)&amp;"","")</f>
        <v/>
      </c>
      <c r="D442">
        <f>IF(A442="","",IFERROR(VALUE(SUBSTITUTE(SUBSTITUTE(INDEX('Etsy Import'!$A:$CZ,442,Settings!$C$23)&amp;"","$",""),",","")),0))</f>
        <v/>
      </c>
      <c r="E442" s="11">
        <f>IF(A442="","",IFERROR(VALUE(SUBSTITUTE(SUBSTITUTE(INDEX('Etsy Import'!$A:$CZ,442,Settings!$C$24)&amp;"","$",""),",","")),0))</f>
        <v/>
      </c>
      <c r="F442" s="11">
        <f>IF(A442="","",D442*E442)</f>
        <v/>
      </c>
      <c r="G442">
        <f>IF(A442="","",IF(C442="",1,COUNTIF($C$2:$C$1501,C442)))</f>
        <v/>
      </c>
      <c r="H442" s="11">
        <f>IF(A442="","",IFERROR(VALUE(SUBSTITUTE(SUBSTITUTE(INDEX('Etsy Import'!$A:$CZ,442,Settings!$C$25)&amp;"","$",""),",","")),0)/IF(Settings!$B$27="Yes",G442,1))</f>
        <v/>
      </c>
      <c r="I442" s="11">
        <f>IF(A442="","",IFERROR(VALUE(SUBSTITUTE(SUBSTITUTE(INDEX('Etsy Import'!$A:$CZ,442,Settings!$C$26)&amp;"","$",""),",","")),0)/IF(Settings!$B$27="Yes",G442,1))</f>
        <v/>
      </c>
      <c r="J442" s="11">
        <f>IF(A442="","",F442+H442-I442)</f>
        <v/>
      </c>
      <c r="K442">
        <f>IF(A442="","",IFERROR(IF(B442="",NA(),MATCH(B442,Products!$B$5:$B$204,0)),IFERROR(MATCH(A442,Products!$A$5:$A$204,0),"")))</f>
        <v/>
      </c>
      <c r="L442">
        <f>IF(A442="","",IF(K442="","⚠ not in Products",INDEX(Products!$A$5:$A$204,K442)))</f>
        <v/>
      </c>
      <c r="M442" s="11">
        <f>IF(A442="","",J442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442+IFERROR(INDEX(Settings!$D$5:$D$9,MATCH("Etsy",Settings!$A$5:$A$9,0)),0)*D442)</f>
        <v/>
      </c>
      <c r="N442" s="11">
        <f>IF(A442="","",IF(K442="",0,D442*INDEX(Products!$I$5:$I$204,K442)))</f>
        <v/>
      </c>
      <c r="O442" s="11">
        <f>IF(A442="","",IF(K442="",0,J442*INDEX(Products!$H$5:$H$204,K442)))</f>
        <v/>
      </c>
      <c r="P442" s="11">
        <f>IF(A442="","",J442-M442-N442-O442)</f>
        <v/>
      </c>
    </row>
    <row r="443">
      <c r="A443">
        <f>IFERROR(INDEX('Etsy Import'!$A:$CZ,443,Settings!$C$20)&amp;"","")</f>
        <v/>
      </c>
      <c r="B443">
        <f>IFERROR(INDEX('Etsy Import'!$A:$CZ,443,Settings!$C$21)&amp;"","")</f>
        <v/>
      </c>
      <c r="C443">
        <f>IFERROR(INDEX('Etsy Import'!$A:$CZ,443,Settings!$C$22)&amp;"","")</f>
        <v/>
      </c>
      <c r="D443">
        <f>IF(A443="","",IFERROR(VALUE(SUBSTITUTE(SUBSTITUTE(INDEX('Etsy Import'!$A:$CZ,443,Settings!$C$23)&amp;"","$",""),",","")),0))</f>
        <v/>
      </c>
      <c r="E443" s="11">
        <f>IF(A443="","",IFERROR(VALUE(SUBSTITUTE(SUBSTITUTE(INDEX('Etsy Import'!$A:$CZ,443,Settings!$C$24)&amp;"","$",""),",","")),0))</f>
        <v/>
      </c>
      <c r="F443" s="11">
        <f>IF(A443="","",D443*E443)</f>
        <v/>
      </c>
      <c r="G443">
        <f>IF(A443="","",IF(C443="",1,COUNTIF($C$2:$C$1501,C443)))</f>
        <v/>
      </c>
      <c r="H443" s="11">
        <f>IF(A443="","",IFERROR(VALUE(SUBSTITUTE(SUBSTITUTE(INDEX('Etsy Import'!$A:$CZ,443,Settings!$C$25)&amp;"","$",""),",","")),0)/IF(Settings!$B$27="Yes",G443,1))</f>
        <v/>
      </c>
      <c r="I443" s="11">
        <f>IF(A443="","",IFERROR(VALUE(SUBSTITUTE(SUBSTITUTE(INDEX('Etsy Import'!$A:$CZ,443,Settings!$C$26)&amp;"","$",""),",","")),0)/IF(Settings!$B$27="Yes",G443,1))</f>
        <v/>
      </c>
      <c r="J443" s="11">
        <f>IF(A443="","",F443+H443-I443)</f>
        <v/>
      </c>
      <c r="K443">
        <f>IF(A443="","",IFERROR(IF(B443="",NA(),MATCH(B443,Products!$B$5:$B$204,0)),IFERROR(MATCH(A443,Products!$A$5:$A$204,0),"")))</f>
        <v/>
      </c>
      <c r="L443">
        <f>IF(A443="","",IF(K443="","⚠ not in Products",INDEX(Products!$A$5:$A$204,K443)))</f>
        <v/>
      </c>
      <c r="M443" s="11">
        <f>IF(A443="","",J443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443+IFERROR(INDEX(Settings!$D$5:$D$9,MATCH("Etsy",Settings!$A$5:$A$9,0)),0)*D443)</f>
        <v/>
      </c>
      <c r="N443" s="11">
        <f>IF(A443="","",IF(K443="",0,D443*INDEX(Products!$I$5:$I$204,K443)))</f>
        <v/>
      </c>
      <c r="O443" s="11">
        <f>IF(A443="","",IF(K443="",0,J443*INDEX(Products!$H$5:$H$204,K443)))</f>
        <v/>
      </c>
      <c r="P443" s="11">
        <f>IF(A443="","",J443-M443-N443-O443)</f>
        <v/>
      </c>
    </row>
    <row r="444">
      <c r="A444">
        <f>IFERROR(INDEX('Etsy Import'!$A:$CZ,444,Settings!$C$20)&amp;"","")</f>
        <v/>
      </c>
      <c r="B444">
        <f>IFERROR(INDEX('Etsy Import'!$A:$CZ,444,Settings!$C$21)&amp;"","")</f>
        <v/>
      </c>
      <c r="C444">
        <f>IFERROR(INDEX('Etsy Import'!$A:$CZ,444,Settings!$C$22)&amp;"","")</f>
        <v/>
      </c>
      <c r="D444">
        <f>IF(A444="","",IFERROR(VALUE(SUBSTITUTE(SUBSTITUTE(INDEX('Etsy Import'!$A:$CZ,444,Settings!$C$23)&amp;"","$",""),",","")),0))</f>
        <v/>
      </c>
      <c r="E444" s="11">
        <f>IF(A444="","",IFERROR(VALUE(SUBSTITUTE(SUBSTITUTE(INDEX('Etsy Import'!$A:$CZ,444,Settings!$C$24)&amp;"","$",""),",","")),0))</f>
        <v/>
      </c>
      <c r="F444" s="11">
        <f>IF(A444="","",D444*E444)</f>
        <v/>
      </c>
      <c r="G444">
        <f>IF(A444="","",IF(C444="",1,COUNTIF($C$2:$C$1501,C444)))</f>
        <v/>
      </c>
      <c r="H444" s="11">
        <f>IF(A444="","",IFERROR(VALUE(SUBSTITUTE(SUBSTITUTE(INDEX('Etsy Import'!$A:$CZ,444,Settings!$C$25)&amp;"","$",""),",","")),0)/IF(Settings!$B$27="Yes",G444,1))</f>
        <v/>
      </c>
      <c r="I444" s="11">
        <f>IF(A444="","",IFERROR(VALUE(SUBSTITUTE(SUBSTITUTE(INDEX('Etsy Import'!$A:$CZ,444,Settings!$C$26)&amp;"","$",""),",","")),0)/IF(Settings!$B$27="Yes",G444,1))</f>
        <v/>
      </c>
      <c r="J444" s="11">
        <f>IF(A444="","",F444+H444-I444)</f>
        <v/>
      </c>
      <c r="K444">
        <f>IF(A444="","",IFERROR(IF(B444="",NA(),MATCH(B444,Products!$B$5:$B$204,0)),IFERROR(MATCH(A444,Products!$A$5:$A$204,0),"")))</f>
        <v/>
      </c>
      <c r="L444">
        <f>IF(A444="","",IF(K444="","⚠ not in Products",INDEX(Products!$A$5:$A$204,K444)))</f>
        <v/>
      </c>
      <c r="M444" s="11">
        <f>IF(A444="","",J444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444+IFERROR(INDEX(Settings!$D$5:$D$9,MATCH("Etsy",Settings!$A$5:$A$9,0)),0)*D444)</f>
        <v/>
      </c>
      <c r="N444" s="11">
        <f>IF(A444="","",IF(K444="",0,D444*INDEX(Products!$I$5:$I$204,K444)))</f>
        <v/>
      </c>
      <c r="O444" s="11">
        <f>IF(A444="","",IF(K444="",0,J444*INDEX(Products!$H$5:$H$204,K444)))</f>
        <v/>
      </c>
      <c r="P444" s="11">
        <f>IF(A444="","",J444-M444-N444-O444)</f>
        <v/>
      </c>
    </row>
    <row r="445">
      <c r="A445">
        <f>IFERROR(INDEX('Etsy Import'!$A:$CZ,445,Settings!$C$20)&amp;"","")</f>
        <v/>
      </c>
      <c r="B445">
        <f>IFERROR(INDEX('Etsy Import'!$A:$CZ,445,Settings!$C$21)&amp;"","")</f>
        <v/>
      </c>
      <c r="C445">
        <f>IFERROR(INDEX('Etsy Import'!$A:$CZ,445,Settings!$C$22)&amp;"","")</f>
        <v/>
      </c>
      <c r="D445">
        <f>IF(A445="","",IFERROR(VALUE(SUBSTITUTE(SUBSTITUTE(INDEX('Etsy Import'!$A:$CZ,445,Settings!$C$23)&amp;"","$",""),",","")),0))</f>
        <v/>
      </c>
      <c r="E445" s="11">
        <f>IF(A445="","",IFERROR(VALUE(SUBSTITUTE(SUBSTITUTE(INDEX('Etsy Import'!$A:$CZ,445,Settings!$C$24)&amp;"","$",""),",","")),0))</f>
        <v/>
      </c>
      <c r="F445" s="11">
        <f>IF(A445="","",D445*E445)</f>
        <v/>
      </c>
      <c r="G445">
        <f>IF(A445="","",IF(C445="",1,COUNTIF($C$2:$C$1501,C445)))</f>
        <v/>
      </c>
      <c r="H445" s="11">
        <f>IF(A445="","",IFERROR(VALUE(SUBSTITUTE(SUBSTITUTE(INDEX('Etsy Import'!$A:$CZ,445,Settings!$C$25)&amp;"","$",""),",","")),0)/IF(Settings!$B$27="Yes",G445,1))</f>
        <v/>
      </c>
      <c r="I445" s="11">
        <f>IF(A445="","",IFERROR(VALUE(SUBSTITUTE(SUBSTITUTE(INDEX('Etsy Import'!$A:$CZ,445,Settings!$C$26)&amp;"","$",""),",","")),0)/IF(Settings!$B$27="Yes",G445,1))</f>
        <v/>
      </c>
      <c r="J445" s="11">
        <f>IF(A445="","",F445+H445-I445)</f>
        <v/>
      </c>
      <c r="K445">
        <f>IF(A445="","",IFERROR(IF(B445="",NA(),MATCH(B445,Products!$B$5:$B$204,0)),IFERROR(MATCH(A445,Products!$A$5:$A$204,0),"")))</f>
        <v/>
      </c>
      <c r="L445">
        <f>IF(A445="","",IF(K445="","⚠ not in Products",INDEX(Products!$A$5:$A$204,K445)))</f>
        <v/>
      </c>
      <c r="M445" s="11">
        <f>IF(A445="","",J445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445+IFERROR(INDEX(Settings!$D$5:$D$9,MATCH("Etsy",Settings!$A$5:$A$9,0)),0)*D445)</f>
        <v/>
      </c>
      <c r="N445" s="11">
        <f>IF(A445="","",IF(K445="",0,D445*INDEX(Products!$I$5:$I$204,K445)))</f>
        <v/>
      </c>
      <c r="O445" s="11">
        <f>IF(A445="","",IF(K445="",0,J445*INDEX(Products!$H$5:$H$204,K445)))</f>
        <v/>
      </c>
      <c r="P445" s="11">
        <f>IF(A445="","",J445-M445-N445-O445)</f>
        <v/>
      </c>
    </row>
    <row r="446">
      <c r="A446">
        <f>IFERROR(INDEX('Etsy Import'!$A:$CZ,446,Settings!$C$20)&amp;"","")</f>
        <v/>
      </c>
      <c r="B446">
        <f>IFERROR(INDEX('Etsy Import'!$A:$CZ,446,Settings!$C$21)&amp;"","")</f>
        <v/>
      </c>
      <c r="C446">
        <f>IFERROR(INDEX('Etsy Import'!$A:$CZ,446,Settings!$C$22)&amp;"","")</f>
        <v/>
      </c>
      <c r="D446">
        <f>IF(A446="","",IFERROR(VALUE(SUBSTITUTE(SUBSTITUTE(INDEX('Etsy Import'!$A:$CZ,446,Settings!$C$23)&amp;"","$",""),",","")),0))</f>
        <v/>
      </c>
      <c r="E446" s="11">
        <f>IF(A446="","",IFERROR(VALUE(SUBSTITUTE(SUBSTITUTE(INDEX('Etsy Import'!$A:$CZ,446,Settings!$C$24)&amp;"","$",""),",","")),0))</f>
        <v/>
      </c>
      <c r="F446" s="11">
        <f>IF(A446="","",D446*E446)</f>
        <v/>
      </c>
      <c r="G446">
        <f>IF(A446="","",IF(C446="",1,COUNTIF($C$2:$C$1501,C446)))</f>
        <v/>
      </c>
      <c r="H446" s="11">
        <f>IF(A446="","",IFERROR(VALUE(SUBSTITUTE(SUBSTITUTE(INDEX('Etsy Import'!$A:$CZ,446,Settings!$C$25)&amp;"","$",""),",","")),0)/IF(Settings!$B$27="Yes",G446,1))</f>
        <v/>
      </c>
      <c r="I446" s="11">
        <f>IF(A446="","",IFERROR(VALUE(SUBSTITUTE(SUBSTITUTE(INDEX('Etsy Import'!$A:$CZ,446,Settings!$C$26)&amp;"","$",""),",","")),0)/IF(Settings!$B$27="Yes",G446,1))</f>
        <v/>
      </c>
      <c r="J446" s="11">
        <f>IF(A446="","",F446+H446-I446)</f>
        <v/>
      </c>
      <c r="K446">
        <f>IF(A446="","",IFERROR(IF(B446="",NA(),MATCH(B446,Products!$B$5:$B$204,0)),IFERROR(MATCH(A446,Products!$A$5:$A$204,0),"")))</f>
        <v/>
      </c>
      <c r="L446">
        <f>IF(A446="","",IF(K446="","⚠ not in Products",INDEX(Products!$A$5:$A$204,K446)))</f>
        <v/>
      </c>
      <c r="M446" s="11">
        <f>IF(A446="","",J446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446+IFERROR(INDEX(Settings!$D$5:$D$9,MATCH("Etsy",Settings!$A$5:$A$9,0)),0)*D446)</f>
        <v/>
      </c>
      <c r="N446" s="11">
        <f>IF(A446="","",IF(K446="",0,D446*INDEX(Products!$I$5:$I$204,K446)))</f>
        <v/>
      </c>
      <c r="O446" s="11">
        <f>IF(A446="","",IF(K446="",0,J446*INDEX(Products!$H$5:$H$204,K446)))</f>
        <v/>
      </c>
      <c r="P446" s="11">
        <f>IF(A446="","",J446-M446-N446-O446)</f>
        <v/>
      </c>
    </row>
    <row r="447">
      <c r="A447">
        <f>IFERROR(INDEX('Etsy Import'!$A:$CZ,447,Settings!$C$20)&amp;"","")</f>
        <v/>
      </c>
      <c r="B447">
        <f>IFERROR(INDEX('Etsy Import'!$A:$CZ,447,Settings!$C$21)&amp;"","")</f>
        <v/>
      </c>
      <c r="C447">
        <f>IFERROR(INDEX('Etsy Import'!$A:$CZ,447,Settings!$C$22)&amp;"","")</f>
        <v/>
      </c>
      <c r="D447">
        <f>IF(A447="","",IFERROR(VALUE(SUBSTITUTE(SUBSTITUTE(INDEX('Etsy Import'!$A:$CZ,447,Settings!$C$23)&amp;"","$",""),",","")),0))</f>
        <v/>
      </c>
      <c r="E447" s="11">
        <f>IF(A447="","",IFERROR(VALUE(SUBSTITUTE(SUBSTITUTE(INDEX('Etsy Import'!$A:$CZ,447,Settings!$C$24)&amp;"","$",""),",","")),0))</f>
        <v/>
      </c>
      <c r="F447" s="11">
        <f>IF(A447="","",D447*E447)</f>
        <v/>
      </c>
      <c r="G447">
        <f>IF(A447="","",IF(C447="",1,COUNTIF($C$2:$C$1501,C447)))</f>
        <v/>
      </c>
      <c r="H447" s="11">
        <f>IF(A447="","",IFERROR(VALUE(SUBSTITUTE(SUBSTITUTE(INDEX('Etsy Import'!$A:$CZ,447,Settings!$C$25)&amp;"","$",""),",","")),0)/IF(Settings!$B$27="Yes",G447,1))</f>
        <v/>
      </c>
      <c r="I447" s="11">
        <f>IF(A447="","",IFERROR(VALUE(SUBSTITUTE(SUBSTITUTE(INDEX('Etsy Import'!$A:$CZ,447,Settings!$C$26)&amp;"","$",""),",","")),0)/IF(Settings!$B$27="Yes",G447,1))</f>
        <v/>
      </c>
      <c r="J447" s="11">
        <f>IF(A447="","",F447+H447-I447)</f>
        <v/>
      </c>
      <c r="K447">
        <f>IF(A447="","",IFERROR(IF(B447="",NA(),MATCH(B447,Products!$B$5:$B$204,0)),IFERROR(MATCH(A447,Products!$A$5:$A$204,0),"")))</f>
        <v/>
      </c>
      <c r="L447">
        <f>IF(A447="","",IF(K447="","⚠ not in Products",INDEX(Products!$A$5:$A$204,K447)))</f>
        <v/>
      </c>
      <c r="M447" s="11">
        <f>IF(A447="","",J447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447+IFERROR(INDEX(Settings!$D$5:$D$9,MATCH("Etsy",Settings!$A$5:$A$9,0)),0)*D447)</f>
        <v/>
      </c>
      <c r="N447" s="11">
        <f>IF(A447="","",IF(K447="",0,D447*INDEX(Products!$I$5:$I$204,K447)))</f>
        <v/>
      </c>
      <c r="O447" s="11">
        <f>IF(A447="","",IF(K447="",0,J447*INDEX(Products!$H$5:$H$204,K447)))</f>
        <v/>
      </c>
      <c r="P447" s="11">
        <f>IF(A447="","",J447-M447-N447-O447)</f>
        <v/>
      </c>
    </row>
    <row r="448">
      <c r="A448">
        <f>IFERROR(INDEX('Etsy Import'!$A:$CZ,448,Settings!$C$20)&amp;"","")</f>
        <v/>
      </c>
      <c r="B448">
        <f>IFERROR(INDEX('Etsy Import'!$A:$CZ,448,Settings!$C$21)&amp;"","")</f>
        <v/>
      </c>
      <c r="C448">
        <f>IFERROR(INDEX('Etsy Import'!$A:$CZ,448,Settings!$C$22)&amp;"","")</f>
        <v/>
      </c>
      <c r="D448">
        <f>IF(A448="","",IFERROR(VALUE(SUBSTITUTE(SUBSTITUTE(INDEX('Etsy Import'!$A:$CZ,448,Settings!$C$23)&amp;"","$",""),",","")),0))</f>
        <v/>
      </c>
      <c r="E448" s="11">
        <f>IF(A448="","",IFERROR(VALUE(SUBSTITUTE(SUBSTITUTE(INDEX('Etsy Import'!$A:$CZ,448,Settings!$C$24)&amp;"","$",""),",","")),0))</f>
        <v/>
      </c>
      <c r="F448" s="11">
        <f>IF(A448="","",D448*E448)</f>
        <v/>
      </c>
      <c r="G448">
        <f>IF(A448="","",IF(C448="",1,COUNTIF($C$2:$C$1501,C448)))</f>
        <v/>
      </c>
      <c r="H448" s="11">
        <f>IF(A448="","",IFERROR(VALUE(SUBSTITUTE(SUBSTITUTE(INDEX('Etsy Import'!$A:$CZ,448,Settings!$C$25)&amp;"","$",""),",","")),0)/IF(Settings!$B$27="Yes",G448,1))</f>
        <v/>
      </c>
      <c r="I448" s="11">
        <f>IF(A448="","",IFERROR(VALUE(SUBSTITUTE(SUBSTITUTE(INDEX('Etsy Import'!$A:$CZ,448,Settings!$C$26)&amp;"","$",""),",","")),0)/IF(Settings!$B$27="Yes",G448,1))</f>
        <v/>
      </c>
      <c r="J448" s="11">
        <f>IF(A448="","",F448+H448-I448)</f>
        <v/>
      </c>
      <c r="K448">
        <f>IF(A448="","",IFERROR(IF(B448="",NA(),MATCH(B448,Products!$B$5:$B$204,0)),IFERROR(MATCH(A448,Products!$A$5:$A$204,0),"")))</f>
        <v/>
      </c>
      <c r="L448">
        <f>IF(A448="","",IF(K448="","⚠ not in Products",INDEX(Products!$A$5:$A$204,K448)))</f>
        <v/>
      </c>
      <c r="M448" s="11">
        <f>IF(A448="","",J448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448+IFERROR(INDEX(Settings!$D$5:$D$9,MATCH("Etsy",Settings!$A$5:$A$9,0)),0)*D448)</f>
        <v/>
      </c>
      <c r="N448" s="11">
        <f>IF(A448="","",IF(K448="",0,D448*INDEX(Products!$I$5:$I$204,K448)))</f>
        <v/>
      </c>
      <c r="O448" s="11">
        <f>IF(A448="","",IF(K448="",0,J448*INDEX(Products!$H$5:$H$204,K448)))</f>
        <v/>
      </c>
      <c r="P448" s="11">
        <f>IF(A448="","",J448-M448-N448-O448)</f>
        <v/>
      </c>
    </row>
    <row r="449">
      <c r="A449">
        <f>IFERROR(INDEX('Etsy Import'!$A:$CZ,449,Settings!$C$20)&amp;"","")</f>
        <v/>
      </c>
      <c r="B449">
        <f>IFERROR(INDEX('Etsy Import'!$A:$CZ,449,Settings!$C$21)&amp;"","")</f>
        <v/>
      </c>
      <c r="C449">
        <f>IFERROR(INDEX('Etsy Import'!$A:$CZ,449,Settings!$C$22)&amp;"","")</f>
        <v/>
      </c>
      <c r="D449">
        <f>IF(A449="","",IFERROR(VALUE(SUBSTITUTE(SUBSTITUTE(INDEX('Etsy Import'!$A:$CZ,449,Settings!$C$23)&amp;"","$",""),",","")),0))</f>
        <v/>
      </c>
      <c r="E449" s="11">
        <f>IF(A449="","",IFERROR(VALUE(SUBSTITUTE(SUBSTITUTE(INDEX('Etsy Import'!$A:$CZ,449,Settings!$C$24)&amp;"","$",""),",","")),0))</f>
        <v/>
      </c>
      <c r="F449" s="11">
        <f>IF(A449="","",D449*E449)</f>
        <v/>
      </c>
      <c r="G449">
        <f>IF(A449="","",IF(C449="",1,COUNTIF($C$2:$C$1501,C449)))</f>
        <v/>
      </c>
      <c r="H449" s="11">
        <f>IF(A449="","",IFERROR(VALUE(SUBSTITUTE(SUBSTITUTE(INDEX('Etsy Import'!$A:$CZ,449,Settings!$C$25)&amp;"","$",""),",","")),0)/IF(Settings!$B$27="Yes",G449,1))</f>
        <v/>
      </c>
      <c r="I449" s="11">
        <f>IF(A449="","",IFERROR(VALUE(SUBSTITUTE(SUBSTITUTE(INDEX('Etsy Import'!$A:$CZ,449,Settings!$C$26)&amp;"","$",""),",","")),0)/IF(Settings!$B$27="Yes",G449,1))</f>
        <v/>
      </c>
      <c r="J449" s="11">
        <f>IF(A449="","",F449+H449-I449)</f>
        <v/>
      </c>
      <c r="K449">
        <f>IF(A449="","",IFERROR(IF(B449="",NA(),MATCH(B449,Products!$B$5:$B$204,0)),IFERROR(MATCH(A449,Products!$A$5:$A$204,0),"")))</f>
        <v/>
      </c>
      <c r="L449">
        <f>IF(A449="","",IF(K449="","⚠ not in Products",INDEX(Products!$A$5:$A$204,K449)))</f>
        <v/>
      </c>
      <c r="M449" s="11">
        <f>IF(A449="","",J449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449+IFERROR(INDEX(Settings!$D$5:$D$9,MATCH("Etsy",Settings!$A$5:$A$9,0)),0)*D449)</f>
        <v/>
      </c>
      <c r="N449" s="11">
        <f>IF(A449="","",IF(K449="",0,D449*INDEX(Products!$I$5:$I$204,K449)))</f>
        <v/>
      </c>
      <c r="O449" s="11">
        <f>IF(A449="","",IF(K449="",0,J449*INDEX(Products!$H$5:$H$204,K449)))</f>
        <v/>
      </c>
      <c r="P449" s="11">
        <f>IF(A449="","",J449-M449-N449-O449)</f>
        <v/>
      </c>
    </row>
    <row r="450">
      <c r="A450">
        <f>IFERROR(INDEX('Etsy Import'!$A:$CZ,450,Settings!$C$20)&amp;"","")</f>
        <v/>
      </c>
      <c r="B450">
        <f>IFERROR(INDEX('Etsy Import'!$A:$CZ,450,Settings!$C$21)&amp;"","")</f>
        <v/>
      </c>
      <c r="C450">
        <f>IFERROR(INDEX('Etsy Import'!$A:$CZ,450,Settings!$C$22)&amp;"","")</f>
        <v/>
      </c>
      <c r="D450">
        <f>IF(A450="","",IFERROR(VALUE(SUBSTITUTE(SUBSTITUTE(INDEX('Etsy Import'!$A:$CZ,450,Settings!$C$23)&amp;"","$",""),",","")),0))</f>
        <v/>
      </c>
      <c r="E450" s="11">
        <f>IF(A450="","",IFERROR(VALUE(SUBSTITUTE(SUBSTITUTE(INDEX('Etsy Import'!$A:$CZ,450,Settings!$C$24)&amp;"","$",""),",","")),0))</f>
        <v/>
      </c>
      <c r="F450" s="11">
        <f>IF(A450="","",D450*E450)</f>
        <v/>
      </c>
      <c r="G450">
        <f>IF(A450="","",IF(C450="",1,COUNTIF($C$2:$C$1501,C450)))</f>
        <v/>
      </c>
      <c r="H450" s="11">
        <f>IF(A450="","",IFERROR(VALUE(SUBSTITUTE(SUBSTITUTE(INDEX('Etsy Import'!$A:$CZ,450,Settings!$C$25)&amp;"","$",""),",","")),0)/IF(Settings!$B$27="Yes",G450,1))</f>
        <v/>
      </c>
      <c r="I450" s="11">
        <f>IF(A450="","",IFERROR(VALUE(SUBSTITUTE(SUBSTITUTE(INDEX('Etsy Import'!$A:$CZ,450,Settings!$C$26)&amp;"","$",""),",","")),0)/IF(Settings!$B$27="Yes",G450,1))</f>
        <v/>
      </c>
      <c r="J450" s="11">
        <f>IF(A450="","",F450+H450-I450)</f>
        <v/>
      </c>
      <c r="K450">
        <f>IF(A450="","",IFERROR(IF(B450="",NA(),MATCH(B450,Products!$B$5:$B$204,0)),IFERROR(MATCH(A450,Products!$A$5:$A$204,0),"")))</f>
        <v/>
      </c>
      <c r="L450">
        <f>IF(A450="","",IF(K450="","⚠ not in Products",INDEX(Products!$A$5:$A$204,K450)))</f>
        <v/>
      </c>
      <c r="M450" s="11">
        <f>IF(A450="","",J450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450+IFERROR(INDEX(Settings!$D$5:$D$9,MATCH("Etsy",Settings!$A$5:$A$9,0)),0)*D450)</f>
        <v/>
      </c>
      <c r="N450" s="11">
        <f>IF(A450="","",IF(K450="",0,D450*INDEX(Products!$I$5:$I$204,K450)))</f>
        <v/>
      </c>
      <c r="O450" s="11">
        <f>IF(A450="","",IF(K450="",0,J450*INDEX(Products!$H$5:$H$204,K450)))</f>
        <v/>
      </c>
      <c r="P450" s="11">
        <f>IF(A450="","",J450-M450-N450-O450)</f>
        <v/>
      </c>
    </row>
    <row r="451">
      <c r="A451">
        <f>IFERROR(INDEX('Etsy Import'!$A:$CZ,451,Settings!$C$20)&amp;"","")</f>
        <v/>
      </c>
      <c r="B451">
        <f>IFERROR(INDEX('Etsy Import'!$A:$CZ,451,Settings!$C$21)&amp;"","")</f>
        <v/>
      </c>
      <c r="C451">
        <f>IFERROR(INDEX('Etsy Import'!$A:$CZ,451,Settings!$C$22)&amp;"","")</f>
        <v/>
      </c>
      <c r="D451">
        <f>IF(A451="","",IFERROR(VALUE(SUBSTITUTE(SUBSTITUTE(INDEX('Etsy Import'!$A:$CZ,451,Settings!$C$23)&amp;"","$",""),",","")),0))</f>
        <v/>
      </c>
      <c r="E451" s="11">
        <f>IF(A451="","",IFERROR(VALUE(SUBSTITUTE(SUBSTITUTE(INDEX('Etsy Import'!$A:$CZ,451,Settings!$C$24)&amp;"","$",""),",","")),0))</f>
        <v/>
      </c>
      <c r="F451" s="11">
        <f>IF(A451="","",D451*E451)</f>
        <v/>
      </c>
      <c r="G451">
        <f>IF(A451="","",IF(C451="",1,COUNTIF($C$2:$C$1501,C451)))</f>
        <v/>
      </c>
      <c r="H451" s="11">
        <f>IF(A451="","",IFERROR(VALUE(SUBSTITUTE(SUBSTITUTE(INDEX('Etsy Import'!$A:$CZ,451,Settings!$C$25)&amp;"","$",""),",","")),0)/IF(Settings!$B$27="Yes",G451,1))</f>
        <v/>
      </c>
      <c r="I451" s="11">
        <f>IF(A451="","",IFERROR(VALUE(SUBSTITUTE(SUBSTITUTE(INDEX('Etsy Import'!$A:$CZ,451,Settings!$C$26)&amp;"","$",""),",","")),0)/IF(Settings!$B$27="Yes",G451,1))</f>
        <v/>
      </c>
      <c r="J451" s="11">
        <f>IF(A451="","",F451+H451-I451)</f>
        <v/>
      </c>
      <c r="K451">
        <f>IF(A451="","",IFERROR(IF(B451="",NA(),MATCH(B451,Products!$B$5:$B$204,0)),IFERROR(MATCH(A451,Products!$A$5:$A$204,0),"")))</f>
        <v/>
      </c>
      <c r="L451">
        <f>IF(A451="","",IF(K451="","⚠ not in Products",INDEX(Products!$A$5:$A$204,K451)))</f>
        <v/>
      </c>
      <c r="M451" s="11">
        <f>IF(A451="","",J451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451+IFERROR(INDEX(Settings!$D$5:$D$9,MATCH("Etsy",Settings!$A$5:$A$9,0)),0)*D451)</f>
        <v/>
      </c>
      <c r="N451" s="11">
        <f>IF(A451="","",IF(K451="",0,D451*INDEX(Products!$I$5:$I$204,K451)))</f>
        <v/>
      </c>
      <c r="O451" s="11">
        <f>IF(A451="","",IF(K451="",0,J451*INDEX(Products!$H$5:$H$204,K451)))</f>
        <v/>
      </c>
      <c r="P451" s="11">
        <f>IF(A451="","",J451-M451-N451-O451)</f>
        <v/>
      </c>
    </row>
    <row r="452">
      <c r="A452">
        <f>IFERROR(INDEX('Etsy Import'!$A:$CZ,452,Settings!$C$20)&amp;"","")</f>
        <v/>
      </c>
      <c r="B452">
        <f>IFERROR(INDEX('Etsy Import'!$A:$CZ,452,Settings!$C$21)&amp;"","")</f>
        <v/>
      </c>
      <c r="C452">
        <f>IFERROR(INDEX('Etsy Import'!$A:$CZ,452,Settings!$C$22)&amp;"","")</f>
        <v/>
      </c>
      <c r="D452">
        <f>IF(A452="","",IFERROR(VALUE(SUBSTITUTE(SUBSTITUTE(INDEX('Etsy Import'!$A:$CZ,452,Settings!$C$23)&amp;"","$",""),",","")),0))</f>
        <v/>
      </c>
      <c r="E452" s="11">
        <f>IF(A452="","",IFERROR(VALUE(SUBSTITUTE(SUBSTITUTE(INDEX('Etsy Import'!$A:$CZ,452,Settings!$C$24)&amp;"","$",""),",","")),0))</f>
        <v/>
      </c>
      <c r="F452" s="11">
        <f>IF(A452="","",D452*E452)</f>
        <v/>
      </c>
      <c r="G452">
        <f>IF(A452="","",IF(C452="",1,COUNTIF($C$2:$C$1501,C452)))</f>
        <v/>
      </c>
      <c r="H452" s="11">
        <f>IF(A452="","",IFERROR(VALUE(SUBSTITUTE(SUBSTITUTE(INDEX('Etsy Import'!$A:$CZ,452,Settings!$C$25)&amp;"","$",""),",","")),0)/IF(Settings!$B$27="Yes",G452,1))</f>
        <v/>
      </c>
      <c r="I452" s="11">
        <f>IF(A452="","",IFERROR(VALUE(SUBSTITUTE(SUBSTITUTE(INDEX('Etsy Import'!$A:$CZ,452,Settings!$C$26)&amp;"","$",""),",","")),0)/IF(Settings!$B$27="Yes",G452,1))</f>
        <v/>
      </c>
      <c r="J452" s="11">
        <f>IF(A452="","",F452+H452-I452)</f>
        <v/>
      </c>
      <c r="K452">
        <f>IF(A452="","",IFERROR(IF(B452="",NA(),MATCH(B452,Products!$B$5:$B$204,0)),IFERROR(MATCH(A452,Products!$A$5:$A$204,0),"")))</f>
        <v/>
      </c>
      <c r="L452">
        <f>IF(A452="","",IF(K452="","⚠ not in Products",INDEX(Products!$A$5:$A$204,K452)))</f>
        <v/>
      </c>
      <c r="M452" s="11">
        <f>IF(A452="","",J452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452+IFERROR(INDEX(Settings!$D$5:$D$9,MATCH("Etsy",Settings!$A$5:$A$9,0)),0)*D452)</f>
        <v/>
      </c>
      <c r="N452" s="11">
        <f>IF(A452="","",IF(K452="",0,D452*INDEX(Products!$I$5:$I$204,K452)))</f>
        <v/>
      </c>
      <c r="O452" s="11">
        <f>IF(A452="","",IF(K452="",0,J452*INDEX(Products!$H$5:$H$204,K452)))</f>
        <v/>
      </c>
      <c r="P452" s="11">
        <f>IF(A452="","",J452-M452-N452-O452)</f>
        <v/>
      </c>
    </row>
    <row r="453">
      <c r="A453">
        <f>IFERROR(INDEX('Etsy Import'!$A:$CZ,453,Settings!$C$20)&amp;"","")</f>
        <v/>
      </c>
      <c r="B453">
        <f>IFERROR(INDEX('Etsy Import'!$A:$CZ,453,Settings!$C$21)&amp;"","")</f>
        <v/>
      </c>
      <c r="C453">
        <f>IFERROR(INDEX('Etsy Import'!$A:$CZ,453,Settings!$C$22)&amp;"","")</f>
        <v/>
      </c>
      <c r="D453">
        <f>IF(A453="","",IFERROR(VALUE(SUBSTITUTE(SUBSTITUTE(INDEX('Etsy Import'!$A:$CZ,453,Settings!$C$23)&amp;"","$",""),",","")),0))</f>
        <v/>
      </c>
      <c r="E453" s="11">
        <f>IF(A453="","",IFERROR(VALUE(SUBSTITUTE(SUBSTITUTE(INDEX('Etsy Import'!$A:$CZ,453,Settings!$C$24)&amp;"","$",""),",","")),0))</f>
        <v/>
      </c>
      <c r="F453" s="11">
        <f>IF(A453="","",D453*E453)</f>
        <v/>
      </c>
      <c r="G453">
        <f>IF(A453="","",IF(C453="",1,COUNTIF($C$2:$C$1501,C453)))</f>
        <v/>
      </c>
      <c r="H453" s="11">
        <f>IF(A453="","",IFERROR(VALUE(SUBSTITUTE(SUBSTITUTE(INDEX('Etsy Import'!$A:$CZ,453,Settings!$C$25)&amp;"","$",""),",","")),0)/IF(Settings!$B$27="Yes",G453,1))</f>
        <v/>
      </c>
      <c r="I453" s="11">
        <f>IF(A453="","",IFERROR(VALUE(SUBSTITUTE(SUBSTITUTE(INDEX('Etsy Import'!$A:$CZ,453,Settings!$C$26)&amp;"","$",""),",","")),0)/IF(Settings!$B$27="Yes",G453,1))</f>
        <v/>
      </c>
      <c r="J453" s="11">
        <f>IF(A453="","",F453+H453-I453)</f>
        <v/>
      </c>
      <c r="K453">
        <f>IF(A453="","",IFERROR(IF(B453="",NA(),MATCH(B453,Products!$B$5:$B$204,0)),IFERROR(MATCH(A453,Products!$A$5:$A$204,0),"")))</f>
        <v/>
      </c>
      <c r="L453">
        <f>IF(A453="","",IF(K453="","⚠ not in Products",INDEX(Products!$A$5:$A$204,K453)))</f>
        <v/>
      </c>
      <c r="M453" s="11">
        <f>IF(A453="","",J453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453+IFERROR(INDEX(Settings!$D$5:$D$9,MATCH("Etsy",Settings!$A$5:$A$9,0)),0)*D453)</f>
        <v/>
      </c>
      <c r="N453" s="11">
        <f>IF(A453="","",IF(K453="",0,D453*INDEX(Products!$I$5:$I$204,K453)))</f>
        <v/>
      </c>
      <c r="O453" s="11">
        <f>IF(A453="","",IF(K453="",0,J453*INDEX(Products!$H$5:$H$204,K453)))</f>
        <v/>
      </c>
      <c r="P453" s="11">
        <f>IF(A453="","",J453-M453-N453-O453)</f>
        <v/>
      </c>
    </row>
    <row r="454">
      <c r="A454">
        <f>IFERROR(INDEX('Etsy Import'!$A:$CZ,454,Settings!$C$20)&amp;"","")</f>
        <v/>
      </c>
      <c r="B454">
        <f>IFERROR(INDEX('Etsy Import'!$A:$CZ,454,Settings!$C$21)&amp;"","")</f>
        <v/>
      </c>
      <c r="C454">
        <f>IFERROR(INDEX('Etsy Import'!$A:$CZ,454,Settings!$C$22)&amp;"","")</f>
        <v/>
      </c>
      <c r="D454">
        <f>IF(A454="","",IFERROR(VALUE(SUBSTITUTE(SUBSTITUTE(INDEX('Etsy Import'!$A:$CZ,454,Settings!$C$23)&amp;"","$",""),",","")),0))</f>
        <v/>
      </c>
      <c r="E454" s="11">
        <f>IF(A454="","",IFERROR(VALUE(SUBSTITUTE(SUBSTITUTE(INDEX('Etsy Import'!$A:$CZ,454,Settings!$C$24)&amp;"","$",""),",","")),0))</f>
        <v/>
      </c>
      <c r="F454" s="11">
        <f>IF(A454="","",D454*E454)</f>
        <v/>
      </c>
      <c r="G454">
        <f>IF(A454="","",IF(C454="",1,COUNTIF($C$2:$C$1501,C454)))</f>
        <v/>
      </c>
      <c r="H454" s="11">
        <f>IF(A454="","",IFERROR(VALUE(SUBSTITUTE(SUBSTITUTE(INDEX('Etsy Import'!$A:$CZ,454,Settings!$C$25)&amp;"","$",""),",","")),0)/IF(Settings!$B$27="Yes",G454,1))</f>
        <v/>
      </c>
      <c r="I454" s="11">
        <f>IF(A454="","",IFERROR(VALUE(SUBSTITUTE(SUBSTITUTE(INDEX('Etsy Import'!$A:$CZ,454,Settings!$C$26)&amp;"","$",""),",","")),0)/IF(Settings!$B$27="Yes",G454,1))</f>
        <v/>
      </c>
      <c r="J454" s="11">
        <f>IF(A454="","",F454+H454-I454)</f>
        <v/>
      </c>
      <c r="K454">
        <f>IF(A454="","",IFERROR(IF(B454="",NA(),MATCH(B454,Products!$B$5:$B$204,0)),IFERROR(MATCH(A454,Products!$A$5:$A$204,0),"")))</f>
        <v/>
      </c>
      <c r="L454">
        <f>IF(A454="","",IF(K454="","⚠ not in Products",INDEX(Products!$A$5:$A$204,K454)))</f>
        <v/>
      </c>
      <c r="M454" s="11">
        <f>IF(A454="","",J454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454+IFERROR(INDEX(Settings!$D$5:$D$9,MATCH("Etsy",Settings!$A$5:$A$9,0)),0)*D454)</f>
        <v/>
      </c>
      <c r="N454" s="11">
        <f>IF(A454="","",IF(K454="",0,D454*INDEX(Products!$I$5:$I$204,K454)))</f>
        <v/>
      </c>
      <c r="O454" s="11">
        <f>IF(A454="","",IF(K454="",0,J454*INDEX(Products!$H$5:$H$204,K454)))</f>
        <v/>
      </c>
      <c r="P454" s="11">
        <f>IF(A454="","",J454-M454-N454-O454)</f>
        <v/>
      </c>
    </row>
    <row r="455">
      <c r="A455">
        <f>IFERROR(INDEX('Etsy Import'!$A:$CZ,455,Settings!$C$20)&amp;"","")</f>
        <v/>
      </c>
      <c r="B455">
        <f>IFERROR(INDEX('Etsy Import'!$A:$CZ,455,Settings!$C$21)&amp;"","")</f>
        <v/>
      </c>
      <c r="C455">
        <f>IFERROR(INDEX('Etsy Import'!$A:$CZ,455,Settings!$C$22)&amp;"","")</f>
        <v/>
      </c>
      <c r="D455">
        <f>IF(A455="","",IFERROR(VALUE(SUBSTITUTE(SUBSTITUTE(INDEX('Etsy Import'!$A:$CZ,455,Settings!$C$23)&amp;"","$",""),",","")),0))</f>
        <v/>
      </c>
      <c r="E455" s="11">
        <f>IF(A455="","",IFERROR(VALUE(SUBSTITUTE(SUBSTITUTE(INDEX('Etsy Import'!$A:$CZ,455,Settings!$C$24)&amp;"","$",""),",","")),0))</f>
        <v/>
      </c>
      <c r="F455" s="11">
        <f>IF(A455="","",D455*E455)</f>
        <v/>
      </c>
      <c r="G455">
        <f>IF(A455="","",IF(C455="",1,COUNTIF($C$2:$C$1501,C455)))</f>
        <v/>
      </c>
      <c r="H455" s="11">
        <f>IF(A455="","",IFERROR(VALUE(SUBSTITUTE(SUBSTITUTE(INDEX('Etsy Import'!$A:$CZ,455,Settings!$C$25)&amp;"","$",""),",","")),0)/IF(Settings!$B$27="Yes",G455,1))</f>
        <v/>
      </c>
      <c r="I455" s="11">
        <f>IF(A455="","",IFERROR(VALUE(SUBSTITUTE(SUBSTITUTE(INDEX('Etsy Import'!$A:$CZ,455,Settings!$C$26)&amp;"","$",""),",","")),0)/IF(Settings!$B$27="Yes",G455,1))</f>
        <v/>
      </c>
      <c r="J455" s="11">
        <f>IF(A455="","",F455+H455-I455)</f>
        <v/>
      </c>
      <c r="K455">
        <f>IF(A455="","",IFERROR(IF(B455="",NA(),MATCH(B455,Products!$B$5:$B$204,0)),IFERROR(MATCH(A455,Products!$A$5:$A$204,0),"")))</f>
        <v/>
      </c>
      <c r="L455">
        <f>IF(A455="","",IF(K455="","⚠ not in Products",INDEX(Products!$A$5:$A$204,K455)))</f>
        <v/>
      </c>
      <c r="M455" s="11">
        <f>IF(A455="","",J455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455+IFERROR(INDEX(Settings!$D$5:$D$9,MATCH("Etsy",Settings!$A$5:$A$9,0)),0)*D455)</f>
        <v/>
      </c>
      <c r="N455" s="11">
        <f>IF(A455="","",IF(K455="",0,D455*INDEX(Products!$I$5:$I$204,K455)))</f>
        <v/>
      </c>
      <c r="O455" s="11">
        <f>IF(A455="","",IF(K455="",0,J455*INDEX(Products!$H$5:$H$204,K455)))</f>
        <v/>
      </c>
      <c r="P455" s="11">
        <f>IF(A455="","",J455-M455-N455-O455)</f>
        <v/>
      </c>
    </row>
    <row r="456">
      <c r="A456">
        <f>IFERROR(INDEX('Etsy Import'!$A:$CZ,456,Settings!$C$20)&amp;"","")</f>
        <v/>
      </c>
      <c r="B456">
        <f>IFERROR(INDEX('Etsy Import'!$A:$CZ,456,Settings!$C$21)&amp;"","")</f>
        <v/>
      </c>
      <c r="C456">
        <f>IFERROR(INDEX('Etsy Import'!$A:$CZ,456,Settings!$C$22)&amp;"","")</f>
        <v/>
      </c>
      <c r="D456">
        <f>IF(A456="","",IFERROR(VALUE(SUBSTITUTE(SUBSTITUTE(INDEX('Etsy Import'!$A:$CZ,456,Settings!$C$23)&amp;"","$",""),",","")),0))</f>
        <v/>
      </c>
      <c r="E456" s="11">
        <f>IF(A456="","",IFERROR(VALUE(SUBSTITUTE(SUBSTITUTE(INDEX('Etsy Import'!$A:$CZ,456,Settings!$C$24)&amp;"","$",""),",","")),0))</f>
        <v/>
      </c>
      <c r="F456" s="11">
        <f>IF(A456="","",D456*E456)</f>
        <v/>
      </c>
      <c r="G456">
        <f>IF(A456="","",IF(C456="",1,COUNTIF($C$2:$C$1501,C456)))</f>
        <v/>
      </c>
      <c r="H456" s="11">
        <f>IF(A456="","",IFERROR(VALUE(SUBSTITUTE(SUBSTITUTE(INDEX('Etsy Import'!$A:$CZ,456,Settings!$C$25)&amp;"","$",""),",","")),0)/IF(Settings!$B$27="Yes",G456,1))</f>
        <v/>
      </c>
      <c r="I456" s="11">
        <f>IF(A456="","",IFERROR(VALUE(SUBSTITUTE(SUBSTITUTE(INDEX('Etsy Import'!$A:$CZ,456,Settings!$C$26)&amp;"","$",""),",","")),0)/IF(Settings!$B$27="Yes",G456,1))</f>
        <v/>
      </c>
      <c r="J456" s="11">
        <f>IF(A456="","",F456+H456-I456)</f>
        <v/>
      </c>
      <c r="K456">
        <f>IF(A456="","",IFERROR(IF(B456="",NA(),MATCH(B456,Products!$B$5:$B$204,0)),IFERROR(MATCH(A456,Products!$A$5:$A$204,0),"")))</f>
        <v/>
      </c>
      <c r="L456">
        <f>IF(A456="","",IF(K456="","⚠ not in Products",INDEX(Products!$A$5:$A$204,K456)))</f>
        <v/>
      </c>
      <c r="M456" s="11">
        <f>IF(A456="","",J456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456+IFERROR(INDEX(Settings!$D$5:$D$9,MATCH("Etsy",Settings!$A$5:$A$9,0)),0)*D456)</f>
        <v/>
      </c>
      <c r="N456" s="11">
        <f>IF(A456="","",IF(K456="",0,D456*INDEX(Products!$I$5:$I$204,K456)))</f>
        <v/>
      </c>
      <c r="O456" s="11">
        <f>IF(A456="","",IF(K456="",0,J456*INDEX(Products!$H$5:$H$204,K456)))</f>
        <v/>
      </c>
      <c r="P456" s="11">
        <f>IF(A456="","",J456-M456-N456-O456)</f>
        <v/>
      </c>
    </row>
    <row r="457">
      <c r="A457">
        <f>IFERROR(INDEX('Etsy Import'!$A:$CZ,457,Settings!$C$20)&amp;"","")</f>
        <v/>
      </c>
      <c r="B457">
        <f>IFERROR(INDEX('Etsy Import'!$A:$CZ,457,Settings!$C$21)&amp;"","")</f>
        <v/>
      </c>
      <c r="C457">
        <f>IFERROR(INDEX('Etsy Import'!$A:$CZ,457,Settings!$C$22)&amp;"","")</f>
        <v/>
      </c>
      <c r="D457">
        <f>IF(A457="","",IFERROR(VALUE(SUBSTITUTE(SUBSTITUTE(INDEX('Etsy Import'!$A:$CZ,457,Settings!$C$23)&amp;"","$",""),",","")),0))</f>
        <v/>
      </c>
      <c r="E457" s="11">
        <f>IF(A457="","",IFERROR(VALUE(SUBSTITUTE(SUBSTITUTE(INDEX('Etsy Import'!$A:$CZ,457,Settings!$C$24)&amp;"","$",""),",","")),0))</f>
        <v/>
      </c>
      <c r="F457" s="11">
        <f>IF(A457="","",D457*E457)</f>
        <v/>
      </c>
      <c r="G457">
        <f>IF(A457="","",IF(C457="",1,COUNTIF($C$2:$C$1501,C457)))</f>
        <v/>
      </c>
      <c r="H457" s="11">
        <f>IF(A457="","",IFERROR(VALUE(SUBSTITUTE(SUBSTITUTE(INDEX('Etsy Import'!$A:$CZ,457,Settings!$C$25)&amp;"","$",""),",","")),0)/IF(Settings!$B$27="Yes",G457,1))</f>
        <v/>
      </c>
      <c r="I457" s="11">
        <f>IF(A457="","",IFERROR(VALUE(SUBSTITUTE(SUBSTITUTE(INDEX('Etsy Import'!$A:$CZ,457,Settings!$C$26)&amp;"","$",""),",","")),0)/IF(Settings!$B$27="Yes",G457,1))</f>
        <v/>
      </c>
      <c r="J457" s="11">
        <f>IF(A457="","",F457+H457-I457)</f>
        <v/>
      </c>
      <c r="K457">
        <f>IF(A457="","",IFERROR(IF(B457="",NA(),MATCH(B457,Products!$B$5:$B$204,0)),IFERROR(MATCH(A457,Products!$A$5:$A$204,0),"")))</f>
        <v/>
      </c>
      <c r="L457">
        <f>IF(A457="","",IF(K457="","⚠ not in Products",INDEX(Products!$A$5:$A$204,K457)))</f>
        <v/>
      </c>
      <c r="M457" s="11">
        <f>IF(A457="","",J457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457+IFERROR(INDEX(Settings!$D$5:$D$9,MATCH("Etsy",Settings!$A$5:$A$9,0)),0)*D457)</f>
        <v/>
      </c>
      <c r="N457" s="11">
        <f>IF(A457="","",IF(K457="",0,D457*INDEX(Products!$I$5:$I$204,K457)))</f>
        <v/>
      </c>
      <c r="O457" s="11">
        <f>IF(A457="","",IF(K457="",0,J457*INDEX(Products!$H$5:$H$204,K457)))</f>
        <v/>
      </c>
      <c r="P457" s="11">
        <f>IF(A457="","",J457-M457-N457-O457)</f>
        <v/>
      </c>
    </row>
    <row r="458">
      <c r="A458">
        <f>IFERROR(INDEX('Etsy Import'!$A:$CZ,458,Settings!$C$20)&amp;"","")</f>
        <v/>
      </c>
      <c r="B458">
        <f>IFERROR(INDEX('Etsy Import'!$A:$CZ,458,Settings!$C$21)&amp;"","")</f>
        <v/>
      </c>
      <c r="C458">
        <f>IFERROR(INDEX('Etsy Import'!$A:$CZ,458,Settings!$C$22)&amp;"","")</f>
        <v/>
      </c>
      <c r="D458">
        <f>IF(A458="","",IFERROR(VALUE(SUBSTITUTE(SUBSTITUTE(INDEX('Etsy Import'!$A:$CZ,458,Settings!$C$23)&amp;"","$",""),",","")),0))</f>
        <v/>
      </c>
      <c r="E458" s="11">
        <f>IF(A458="","",IFERROR(VALUE(SUBSTITUTE(SUBSTITUTE(INDEX('Etsy Import'!$A:$CZ,458,Settings!$C$24)&amp;"","$",""),",","")),0))</f>
        <v/>
      </c>
      <c r="F458" s="11">
        <f>IF(A458="","",D458*E458)</f>
        <v/>
      </c>
      <c r="G458">
        <f>IF(A458="","",IF(C458="",1,COUNTIF($C$2:$C$1501,C458)))</f>
        <v/>
      </c>
      <c r="H458" s="11">
        <f>IF(A458="","",IFERROR(VALUE(SUBSTITUTE(SUBSTITUTE(INDEX('Etsy Import'!$A:$CZ,458,Settings!$C$25)&amp;"","$",""),",","")),0)/IF(Settings!$B$27="Yes",G458,1))</f>
        <v/>
      </c>
      <c r="I458" s="11">
        <f>IF(A458="","",IFERROR(VALUE(SUBSTITUTE(SUBSTITUTE(INDEX('Etsy Import'!$A:$CZ,458,Settings!$C$26)&amp;"","$",""),",","")),0)/IF(Settings!$B$27="Yes",G458,1))</f>
        <v/>
      </c>
      <c r="J458" s="11">
        <f>IF(A458="","",F458+H458-I458)</f>
        <v/>
      </c>
      <c r="K458">
        <f>IF(A458="","",IFERROR(IF(B458="",NA(),MATCH(B458,Products!$B$5:$B$204,0)),IFERROR(MATCH(A458,Products!$A$5:$A$204,0),"")))</f>
        <v/>
      </c>
      <c r="L458">
        <f>IF(A458="","",IF(K458="","⚠ not in Products",INDEX(Products!$A$5:$A$204,K458)))</f>
        <v/>
      </c>
      <c r="M458" s="11">
        <f>IF(A458="","",J458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458+IFERROR(INDEX(Settings!$D$5:$D$9,MATCH("Etsy",Settings!$A$5:$A$9,0)),0)*D458)</f>
        <v/>
      </c>
      <c r="N458" s="11">
        <f>IF(A458="","",IF(K458="",0,D458*INDEX(Products!$I$5:$I$204,K458)))</f>
        <v/>
      </c>
      <c r="O458" s="11">
        <f>IF(A458="","",IF(K458="",0,J458*INDEX(Products!$H$5:$H$204,K458)))</f>
        <v/>
      </c>
      <c r="P458" s="11">
        <f>IF(A458="","",J458-M458-N458-O458)</f>
        <v/>
      </c>
    </row>
    <row r="459">
      <c r="A459">
        <f>IFERROR(INDEX('Etsy Import'!$A:$CZ,459,Settings!$C$20)&amp;"","")</f>
        <v/>
      </c>
      <c r="B459">
        <f>IFERROR(INDEX('Etsy Import'!$A:$CZ,459,Settings!$C$21)&amp;"","")</f>
        <v/>
      </c>
      <c r="C459">
        <f>IFERROR(INDEX('Etsy Import'!$A:$CZ,459,Settings!$C$22)&amp;"","")</f>
        <v/>
      </c>
      <c r="D459">
        <f>IF(A459="","",IFERROR(VALUE(SUBSTITUTE(SUBSTITUTE(INDEX('Etsy Import'!$A:$CZ,459,Settings!$C$23)&amp;"","$",""),",","")),0))</f>
        <v/>
      </c>
      <c r="E459" s="11">
        <f>IF(A459="","",IFERROR(VALUE(SUBSTITUTE(SUBSTITUTE(INDEX('Etsy Import'!$A:$CZ,459,Settings!$C$24)&amp;"","$",""),",","")),0))</f>
        <v/>
      </c>
      <c r="F459" s="11">
        <f>IF(A459="","",D459*E459)</f>
        <v/>
      </c>
      <c r="G459">
        <f>IF(A459="","",IF(C459="",1,COUNTIF($C$2:$C$1501,C459)))</f>
        <v/>
      </c>
      <c r="H459" s="11">
        <f>IF(A459="","",IFERROR(VALUE(SUBSTITUTE(SUBSTITUTE(INDEX('Etsy Import'!$A:$CZ,459,Settings!$C$25)&amp;"","$",""),",","")),0)/IF(Settings!$B$27="Yes",G459,1))</f>
        <v/>
      </c>
      <c r="I459" s="11">
        <f>IF(A459="","",IFERROR(VALUE(SUBSTITUTE(SUBSTITUTE(INDEX('Etsy Import'!$A:$CZ,459,Settings!$C$26)&amp;"","$",""),",","")),0)/IF(Settings!$B$27="Yes",G459,1))</f>
        <v/>
      </c>
      <c r="J459" s="11">
        <f>IF(A459="","",F459+H459-I459)</f>
        <v/>
      </c>
      <c r="K459">
        <f>IF(A459="","",IFERROR(IF(B459="",NA(),MATCH(B459,Products!$B$5:$B$204,0)),IFERROR(MATCH(A459,Products!$A$5:$A$204,0),"")))</f>
        <v/>
      </c>
      <c r="L459">
        <f>IF(A459="","",IF(K459="","⚠ not in Products",INDEX(Products!$A$5:$A$204,K459)))</f>
        <v/>
      </c>
      <c r="M459" s="11">
        <f>IF(A459="","",J459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459+IFERROR(INDEX(Settings!$D$5:$D$9,MATCH("Etsy",Settings!$A$5:$A$9,0)),0)*D459)</f>
        <v/>
      </c>
      <c r="N459" s="11">
        <f>IF(A459="","",IF(K459="",0,D459*INDEX(Products!$I$5:$I$204,K459)))</f>
        <v/>
      </c>
      <c r="O459" s="11">
        <f>IF(A459="","",IF(K459="",0,J459*INDEX(Products!$H$5:$H$204,K459)))</f>
        <v/>
      </c>
      <c r="P459" s="11">
        <f>IF(A459="","",J459-M459-N459-O459)</f>
        <v/>
      </c>
    </row>
    <row r="460">
      <c r="A460">
        <f>IFERROR(INDEX('Etsy Import'!$A:$CZ,460,Settings!$C$20)&amp;"","")</f>
        <v/>
      </c>
      <c r="B460">
        <f>IFERROR(INDEX('Etsy Import'!$A:$CZ,460,Settings!$C$21)&amp;"","")</f>
        <v/>
      </c>
      <c r="C460">
        <f>IFERROR(INDEX('Etsy Import'!$A:$CZ,460,Settings!$C$22)&amp;"","")</f>
        <v/>
      </c>
      <c r="D460">
        <f>IF(A460="","",IFERROR(VALUE(SUBSTITUTE(SUBSTITUTE(INDEX('Etsy Import'!$A:$CZ,460,Settings!$C$23)&amp;"","$",""),",","")),0))</f>
        <v/>
      </c>
      <c r="E460" s="11">
        <f>IF(A460="","",IFERROR(VALUE(SUBSTITUTE(SUBSTITUTE(INDEX('Etsy Import'!$A:$CZ,460,Settings!$C$24)&amp;"","$",""),",","")),0))</f>
        <v/>
      </c>
      <c r="F460" s="11">
        <f>IF(A460="","",D460*E460)</f>
        <v/>
      </c>
      <c r="G460">
        <f>IF(A460="","",IF(C460="",1,COUNTIF($C$2:$C$1501,C460)))</f>
        <v/>
      </c>
      <c r="H460" s="11">
        <f>IF(A460="","",IFERROR(VALUE(SUBSTITUTE(SUBSTITUTE(INDEX('Etsy Import'!$A:$CZ,460,Settings!$C$25)&amp;"","$",""),",","")),0)/IF(Settings!$B$27="Yes",G460,1))</f>
        <v/>
      </c>
      <c r="I460" s="11">
        <f>IF(A460="","",IFERROR(VALUE(SUBSTITUTE(SUBSTITUTE(INDEX('Etsy Import'!$A:$CZ,460,Settings!$C$26)&amp;"","$",""),",","")),0)/IF(Settings!$B$27="Yes",G460,1))</f>
        <v/>
      </c>
      <c r="J460" s="11">
        <f>IF(A460="","",F460+H460-I460)</f>
        <v/>
      </c>
      <c r="K460">
        <f>IF(A460="","",IFERROR(IF(B460="",NA(),MATCH(B460,Products!$B$5:$B$204,0)),IFERROR(MATCH(A460,Products!$A$5:$A$204,0),"")))</f>
        <v/>
      </c>
      <c r="L460">
        <f>IF(A460="","",IF(K460="","⚠ not in Products",INDEX(Products!$A$5:$A$204,K460)))</f>
        <v/>
      </c>
      <c r="M460" s="11">
        <f>IF(A460="","",J460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460+IFERROR(INDEX(Settings!$D$5:$D$9,MATCH("Etsy",Settings!$A$5:$A$9,0)),0)*D460)</f>
        <v/>
      </c>
      <c r="N460" s="11">
        <f>IF(A460="","",IF(K460="",0,D460*INDEX(Products!$I$5:$I$204,K460)))</f>
        <v/>
      </c>
      <c r="O460" s="11">
        <f>IF(A460="","",IF(K460="",0,J460*INDEX(Products!$H$5:$H$204,K460)))</f>
        <v/>
      </c>
      <c r="P460" s="11">
        <f>IF(A460="","",J460-M460-N460-O460)</f>
        <v/>
      </c>
    </row>
    <row r="461">
      <c r="A461">
        <f>IFERROR(INDEX('Etsy Import'!$A:$CZ,461,Settings!$C$20)&amp;"","")</f>
        <v/>
      </c>
      <c r="B461">
        <f>IFERROR(INDEX('Etsy Import'!$A:$CZ,461,Settings!$C$21)&amp;"","")</f>
        <v/>
      </c>
      <c r="C461">
        <f>IFERROR(INDEX('Etsy Import'!$A:$CZ,461,Settings!$C$22)&amp;"","")</f>
        <v/>
      </c>
      <c r="D461">
        <f>IF(A461="","",IFERROR(VALUE(SUBSTITUTE(SUBSTITUTE(INDEX('Etsy Import'!$A:$CZ,461,Settings!$C$23)&amp;"","$",""),",","")),0))</f>
        <v/>
      </c>
      <c r="E461" s="11">
        <f>IF(A461="","",IFERROR(VALUE(SUBSTITUTE(SUBSTITUTE(INDEX('Etsy Import'!$A:$CZ,461,Settings!$C$24)&amp;"","$",""),",","")),0))</f>
        <v/>
      </c>
      <c r="F461" s="11">
        <f>IF(A461="","",D461*E461)</f>
        <v/>
      </c>
      <c r="G461">
        <f>IF(A461="","",IF(C461="",1,COUNTIF($C$2:$C$1501,C461)))</f>
        <v/>
      </c>
      <c r="H461" s="11">
        <f>IF(A461="","",IFERROR(VALUE(SUBSTITUTE(SUBSTITUTE(INDEX('Etsy Import'!$A:$CZ,461,Settings!$C$25)&amp;"","$",""),",","")),0)/IF(Settings!$B$27="Yes",G461,1))</f>
        <v/>
      </c>
      <c r="I461" s="11">
        <f>IF(A461="","",IFERROR(VALUE(SUBSTITUTE(SUBSTITUTE(INDEX('Etsy Import'!$A:$CZ,461,Settings!$C$26)&amp;"","$",""),",","")),0)/IF(Settings!$B$27="Yes",G461,1))</f>
        <v/>
      </c>
      <c r="J461" s="11">
        <f>IF(A461="","",F461+H461-I461)</f>
        <v/>
      </c>
      <c r="K461">
        <f>IF(A461="","",IFERROR(IF(B461="",NA(),MATCH(B461,Products!$B$5:$B$204,0)),IFERROR(MATCH(A461,Products!$A$5:$A$204,0),"")))</f>
        <v/>
      </c>
      <c r="L461">
        <f>IF(A461="","",IF(K461="","⚠ not in Products",INDEX(Products!$A$5:$A$204,K461)))</f>
        <v/>
      </c>
      <c r="M461" s="11">
        <f>IF(A461="","",J461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461+IFERROR(INDEX(Settings!$D$5:$D$9,MATCH("Etsy",Settings!$A$5:$A$9,0)),0)*D461)</f>
        <v/>
      </c>
      <c r="N461" s="11">
        <f>IF(A461="","",IF(K461="",0,D461*INDEX(Products!$I$5:$I$204,K461)))</f>
        <v/>
      </c>
      <c r="O461" s="11">
        <f>IF(A461="","",IF(K461="",0,J461*INDEX(Products!$H$5:$H$204,K461)))</f>
        <v/>
      </c>
      <c r="P461" s="11">
        <f>IF(A461="","",J461-M461-N461-O461)</f>
        <v/>
      </c>
    </row>
    <row r="462">
      <c r="A462">
        <f>IFERROR(INDEX('Etsy Import'!$A:$CZ,462,Settings!$C$20)&amp;"","")</f>
        <v/>
      </c>
      <c r="B462">
        <f>IFERROR(INDEX('Etsy Import'!$A:$CZ,462,Settings!$C$21)&amp;"","")</f>
        <v/>
      </c>
      <c r="C462">
        <f>IFERROR(INDEX('Etsy Import'!$A:$CZ,462,Settings!$C$22)&amp;"","")</f>
        <v/>
      </c>
      <c r="D462">
        <f>IF(A462="","",IFERROR(VALUE(SUBSTITUTE(SUBSTITUTE(INDEX('Etsy Import'!$A:$CZ,462,Settings!$C$23)&amp;"","$",""),",","")),0))</f>
        <v/>
      </c>
      <c r="E462" s="11">
        <f>IF(A462="","",IFERROR(VALUE(SUBSTITUTE(SUBSTITUTE(INDEX('Etsy Import'!$A:$CZ,462,Settings!$C$24)&amp;"","$",""),",","")),0))</f>
        <v/>
      </c>
      <c r="F462" s="11">
        <f>IF(A462="","",D462*E462)</f>
        <v/>
      </c>
      <c r="G462">
        <f>IF(A462="","",IF(C462="",1,COUNTIF($C$2:$C$1501,C462)))</f>
        <v/>
      </c>
      <c r="H462" s="11">
        <f>IF(A462="","",IFERROR(VALUE(SUBSTITUTE(SUBSTITUTE(INDEX('Etsy Import'!$A:$CZ,462,Settings!$C$25)&amp;"","$",""),",","")),0)/IF(Settings!$B$27="Yes",G462,1))</f>
        <v/>
      </c>
      <c r="I462" s="11">
        <f>IF(A462="","",IFERROR(VALUE(SUBSTITUTE(SUBSTITUTE(INDEX('Etsy Import'!$A:$CZ,462,Settings!$C$26)&amp;"","$",""),",","")),0)/IF(Settings!$B$27="Yes",G462,1))</f>
        <v/>
      </c>
      <c r="J462" s="11">
        <f>IF(A462="","",F462+H462-I462)</f>
        <v/>
      </c>
      <c r="K462">
        <f>IF(A462="","",IFERROR(IF(B462="",NA(),MATCH(B462,Products!$B$5:$B$204,0)),IFERROR(MATCH(A462,Products!$A$5:$A$204,0),"")))</f>
        <v/>
      </c>
      <c r="L462">
        <f>IF(A462="","",IF(K462="","⚠ not in Products",INDEX(Products!$A$5:$A$204,K462)))</f>
        <v/>
      </c>
      <c r="M462" s="11">
        <f>IF(A462="","",J462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462+IFERROR(INDEX(Settings!$D$5:$D$9,MATCH("Etsy",Settings!$A$5:$A$9,0)),0)*D462)</f>
        <v/>
      </c>
      <c r="N462" s="11">
        <f>IF(A462="","",IF(K462="",0,D462*INDEX(Products!$I$5:$I$204,K462)))</f>
        <v/>
      </c>
      <c r="O462" s="11">
        <f>IF(A462="","",IF(K462="",0,J462*INDEX(Products!$H$5:$H$204,K462)))</f>
        <v/>
      </c>
      <c r="P462" s="11">
        <f>IF(A462="","",J462-M462-N462-O462)</f>
        <v/>
      </c>
    </row>
    <row r="463">
      <c r="A463">
        <f>IFERROR(INDEX('Etsy Import'!$A:$CZ,463,Settings!$C$20)&amp;"","")</f>
        <v/>
      </c>
      <c r="B463">
        <f>IFERROR(INDEX('Etsy Import'!$A:$CZ,463,Settings!$C$21)&amp;"","")</f>
        <v/>
      </c>
      <c r="C463">
        <f>IFERROR(INDEX('Etsy Import'!$A:$CZ,463,Settings!$C$22)&amp;"","")</f>
        <v/>
      </c>
      <c r="D463">
        <f>IF(A463="","",IFERROR(VALUE(SUBSTITUTE(SUBSTITUTE(INDEX('Etsy Import'!$A:$CZ,463,Settings!$C$23)&amp;"","$",""),",","")),0))</f>
        <v/>
      </c>
      <c r="E463" s="11">
        <f>IF(A463="","",IFERROR(VALUE(SUBSTITUTE(SUBSTITUTE(INDEX('Etsy Import'!$A:$CZ,463,Settings!$C$24)&amp;"","$",""),",","")),0))</f>
        <v/>
      </c>
      <c r="F463" s="11">
        <f>IF(A463="","",D463*E463)</f>
        <v/>
      </c>
      <c r="G463">
        <f>IF(A463="","",IF(C463="",1,COUNTIF($C$2:$C$1501,C463)))</f>
        <v/>
      </c>
      <c r="H463" s="11">
        <f>IF(A463="","",IFERROR(VALUE(SUBSTITUTE(SUBSTITUTE(INDEX('Etsy Import'!$A:$CZ,463,Settings!$C$25)&amp;"","$",""),",","")),0)/IF(Settings!$B$27="Yes",G463,1))</f>
        <v/>
      </c>
      <c r="I463" s="11">
        <f>IF(A463="","",IFERROR(VALUE(SUBSTITUTE(SUBSTITUTE(INDEX('Etsy Import'!$A:$CZ,463,Settings!$C$26)&amp;"","$",""),",","")),0)/IF(Settings!$B$27="Yes",G463,1))</f>
        <v/>
      </c>
      <c r="J463" s="11">
        <f>IF(A463="","",F463+H463-I463)</f>
        <v/>
      </c>
      <c r="K463">
        <f>IF(A463="","",IFERROR(IF(B463="",NA(),MATCH(B463,Products!$B$5:$B$204,0)),IFERROR(MATCH(A463,Products!$A$5:$A$204,0),"")))</f>
        <v/>
      </c>
      <c r="L463">
        <f>IF(A463="","",IF(K463="","⚠ not in Products",INDEX(Products!$A$5:$A$204,K463)))</f>
        <v/>
      </c>
      <c r="M463" s="11">
        <f>IF(A463="","",J463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463+IFERROR(INDEX(Settings!$D$5:$D$9,MATCH("Etsy",Settings!$A$5:$A$9,0)),0)*D463)</f>
        <v/>
      </c>
      <c r="N463" s="11">
        <f>IF(A463="","",IF(K463="",0,D463*INDEX(Products!$I$5:$I$204,K463)))</f>
        <v/>
      </c>
      <c r="O463" s="11">
        <f>IF(A463="","",IF(K463="",0,J463*INDEX(Products!$H$5:$H$204,K463)))</f>
        <v/>
      </c>
      <c r="P463" s="11">
        <f>IF(A463="","",J463-M463-N463-O463)</f>
        <v/>
      </c>
    </row>
    <row r="464">
      <c r="A464">
        <f>IFERROR(INDEX('Etsy Import'!$A:$CZ,464,Settings!$C$20)&amp;"","")</f>
        <v/>
      </c>
      <c r="B464">
        <f>IFERROR(INDEX('Etsy Import'!$A:$CZ,464,Settings!$C$21)&amp;"","")</f>
        <v/>
      </c>
      <c r="C464">
        <f>IFERROR(INDEX('Etsy Import'!$A:$CZ,464,Settings!$C$22)&amp;"","")</f>
        <v/>
      </c>
      <c r="D464">
        <f>IF(A464="","",IFERROR(VALUE(SUBSTITUTE(SUBSTITUTE(INDEX('Etsy Import'!$A:$CZ,464,Settings!$C$23)&amp;"","$",""),",","")),0))</f>
        <v/>
      </c>
      <c r="E464" s="11">
        <f>IF(A464="","",IFERROR(VALUE(SUBSTITUTE(SUBSTITUTE(INDEX('Etsy Import'!$A:$CZ,464,Settings!$C$24)&amp;"","$",""),",","")),0))</f>
        <v/>
      </c>
      <c r="F464" s="11">
        <f>IF(A464="","",D464*E464)</f>
        <v/>
      </c>
      <c r="G464">
        <f>IF(A464="","",IF(C464="",1,COUNTIF($C$2:$C$1501,C464)))</f>
        <v/>
      </c>
      <c r="H464" s="11">
        <f>IF(A464="","",IFERROR(VALUE(SUBSTITUTE(SUBSTITUTE(INDEX('Etsy Import'!$A:$CZ,464,Settings!$C$25)&amp;"","$",""),",","")),0)/IF(Settings!$B$27="Yes",G464,1))</f>
        <v/>
      </c>
      <c r="I464" s="11">
        <f>IF(A464="","",IFERROR(VALUE(SUBSTITUTE(SUBSTITUTE(INDEX('Etsy Import'!$A:$CZ,464,Settings!$C$26)&amp;"","$",""),",","")),0)/IF(Settings!$B$27="Yes",G464,1))</f>
        <v/>
      </c>
      <c r="J464" s="11">
        <f>IF(A464="","",F464+H464-I464)</f>
        <v/>
      </c>
      <c r="K464">
        <f>IF(A464="","",IFERROR(IF(B464="",NA(),MATCH(B464,Products!$B$5:$B$204,0)),IFERROR(MATCH(A464,Products!$A$5:$A$204,0),"")))</f>
        <v/>
      </c>
      <c r="L464">
        <f>IF(A464="","",IF(K464="","⚠ not in Products",INDEX(Products!$A$5:$A$204,K464)))</f>
        <v/>
      </c>
      <c r="M464" s="11">
        <f>IF(A464="","",J464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464+IFERROR(INDEX(Settings!$D$5:$D$9,MATCH("Etsy",Settings!$A$5:$A$9,0)),0)*D464)</f>
        <v/>
      </c>
      <c r="N464" s="11">
        <f>IF(A464="","",IF(K464="",0,D464*INDEX(Products!$I$5:$I$204,K464)))</f>
        <v/>
      </c>
      <c r="O464" s="11">
        <f>IF(A464="","",IF(K464="",0,J464*INDEX(Products!$H$5:$H$204,K464)))</f>
        <v/>
      </c>
      <c r="P464" s="11">
        <f>IF(A464="","",J464-M464-N464-O464)</f>
        <v/>
      </c>
    </row>
    <row r="465">
      <c r="A465">
        <f>IFERROR(INDEX('Etsy Import'!$A:$CZ,465,Settings!$C$20)&amp;"","")</f>
        <v/>
      </c>
      <c r="B465">
        <f>IFERROR(INDEX('Etsy Import'!$A:$CZ,465,Settings!$C$21)&amp;"","")</f>
        <v/>
      </c>
      <c r="C465">
        <f>IFERROR(INDEX('Etsy Import'!$A:$CZ,465,Settings!$C$22)&amp;"","")</f>
        <v/>
      </c>
      <c r="D465">
        <f>IF(A465="","",IFERROR(VALUE(SUBSTITUTE(SUBSTITUTE(INDEX('Etsy Import'!$A:$CZ,465,Settings!$C$23)&amp;"","$",""),",","")),0))</f>
        <v/>
      </c>
      <c r="E465" s="11">
        <f>IF(A465="","",IFERROR(VALUE(SUBSTITUTE(SUBSTITUTE(INDEX('Etsy Import'!$A:$CZ,465,Settings!$C$24)&amp;"","$",""),",","")),0))</f>
        <v/>
      </c>
      <c r="F465" s="11">
        <f>IF(A465="","",D465*E465)</f>
        <v/>
      </c>
      <c r="G465">
        <f>IF(A465="","",IF(C465="",1,COUNTIF($C$2:$C$1501,C465)))</f>
        <v/>
      </c>
      <c r="H465" s="11">
        <f>IF(A465="","",IFERROR(VALUE(SUBSTITUTE(SUBSTITUTE(INDEX('Etsy Import'!$A:$CZ,465,Settings!$C$25)&amp;"","$",""),",","")),0)/IF(Settings!$B$27="Yes",G465,1))</f>
        <v/>
      </c>
      <c r="I465" s="11">
        <f>IF(A465="","",IFERROR(VALUE(SUBSTITUTE(SUBSTITUTE(INDEX('Etsy Import'!$A:$CZ,465,Settings!$C$26)&amp;"","$",""),",","")),0)/IF(Settings!$B$27="Yes",G465,1))</f>
        <v/>
      </c>
      <c r="J465" s="11">
        <f>IF(A465="","",F465+H465-I465)</f>
        <v/>
      </c>
      <c r="K465">
        <f>IF(A465="","",IFERROR(IF(B465="",NA(),MATCH(B465,Products!$B$5:$B$204,0)),IFERROR(MATCH(A465,Products!$A$5:$A$204,0),"")))</f>
        <v/>
      </c>
      <c r="L465">
        <f>IF(A465="","",IF(K465="","⚠ not in Products",INDEX(Products!$A$5:$A$204,K465)))</f>
        <v/>
      </c>
      <c r="M465" s="11">
        <f>IF(A465="","",J465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465+IFERROR(INDEX(Settings!$D$5:$D$9,MATCH("Etsy",Settings!$A$5:$A$9,0)),0)*D465)</f>
        <v/>
      </c>
      <c r="N465" s="11">
        <f>IF(A465="","",IF(K465="",0,D465*INDEX(Products!$I$5:$I$204,K465)))</f>
        <v/>
      </c>
      <c r="O465" s="11">
        <f>IF(A465="","",IF(K465="",0,J465*INDEX(Products!$H$5:$H$204,K465)))</f>
        <v/>
      </c>
      <c r="P465" s="11">
        <f>IF(A465="","",J465-M465-N465-O465)</f>
        <v/>
      </c>
    </row>
    <row r="466">
      <c r="A466">
        <f>IFERROR(INDEX('Etsy Import'!$A:$CZ,466,Settings!$C$20)&amp;"","")</f>
        <v/>
      </c>
      <c r="B466">
        <f>IFERROR(INDEX('Etsy Import'!$A:$CZ,466,Settings!$C$21)&amp;"","")</f>
        <v/>
      </c>
      <c r="C466">
        <f>IFERROR(INDEX('Etsy Import'!$A:$CZ,466,Settings!$C$22)&amp;"","")</f>
        <v/>
      </c>
      <c r="D466">
        <f>IF(A466="","",IFERROR(VALUE(SUBSTITUTE(SUBSTITUTE(INDEX('Etsy Import'!$A:$CZ,466,Settings!$C$23)&amp;"","$",""),",","")),0))</f>
        <v/>
      </c>
      <c r="E466" s="11">
        <f>IF(A466="","",IFERROR(VALUE(SUBSTITUTE(SUBSTITUTE(INDEX('Etsy Import'!$A:$CZ,466,Settings!$C$24)&amp;"","$",""),",","")),0))</f>
        <v/>
      </c>
      <c r="F466" s="11">
        <f>IF(A466="","",D466*E466)</f>
        <v/>
      </c>
      <c r="G466">
        <f>IF(A466="","",IF(C466="",1,COUNTIF($C$2:$C$1501,C466)))</f>
        <v/>
      </c>
      <c r="H466" s="11">
        <f>IF(A466="","",IFERROR(VALUE(SUBSTITUTE(SUBSTITUTE(INDEX('Etsy Import'!$A:$CZ,466,Settings!$C$25)&amp;"","$",""),",","")),0)/IF(Settings!$B$27="Yes",G466,1))</f>
        <v/>
      </c>
      <c r="I466" s="11">
        <f>IF(A466="","",IFERROR(VALUE(SUBSTITUTE(SUBSTITUTE(INDEX('Etsy Import'!$A:$CZ,466,Settings!$C$26)&amp;"","$",""),",","")),0)/IF(Settings!$B$27="Yes",G466,1))</f>
        <v/>
      </c>
      <c r="J466" s="11">
        <f>IF(A466="","",F466+H466-I466)</f>
        <v/>
      </c>
      <c r="K466">
        <f>IF(A466="","",IFERROR(IF(B466="",NA(),MATCH(B466,Products!$B$5:$B$204,0)),IFERROR(MATCH(A466,Products!$A$5:$A$204,0),"")))</f>
        <v/>
      </c>
      <c r="L466">
        <f>IF(A466="","",IF(K466="","⚠ not in Products",INDEX(Products!$A$5:$A$204,K466)))</f>
        <v/>
      </c>
      <c r="M466" s="11">
        <f>IF(A466="","",J466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466+IFERROR(INDEX(Settings!$D$5:$D$9,MATCH("Etsy",Settings!$A$5:$A$9,0)),0)*D466)</f>
        <v/>
      </c>
      <c r="N466" s="11">
        <f>IF(A466="","",IF(K466="",0,D466*INDEX(Products!$I$5:$I$204,K466)))</f>
        <v/>
      </c>
      <c r="O466" s="11">
        <f>IF(A466="","",IF(K466="",0,J466*INDEX(Products!$H$5:$H$204,K466)))</f>
        <v/>
      </c>
      <c r="P466" s="11">
        <f>IF(A466="","",J466-M466-N466-O466)</f>
        <v/>
      </c>
    </row>
    <row r="467">
      <c r="A467">
        <f>IFERROR(INDEX('Etsy Import'!$A:$CZ,467,Settings!$C$20)&amp;"","")</f>
        <v/>
      </c>
      <c r="B467">
        <f>IFERROR(INDEX('Etsy Import'!$A:$CZ,467,Settings!$C$21)&amp;"","")</f>
        <v/>
      </c>
      <c r="C467">
        <f>IFERROR(INDEX('Etsy Import'!$A:$CZ,467,Settings!$C$22)&amp;"","")</f>
        <v/>
      </c>
      <c r="D467">
        <f>IF(A467="","",IFERROR(VALUE(SUBSTITUTE(SUBSTITUTE(INDEX('Etsy Import'!$A:$CZ,467,Settings!$C$23)&amp;"","$",""),",","")),0))</f>
        <v/>
      </c>
      <c r="E467" s="11">
        <f>IF(A467="","",IFERROR(VALUE(SUBSTITUTE(SUBSTITUTE(INDEX('Etsy Import'!$A:$CZ,467,Settings!$C$24)&amp;"","$",""),",","")),0))</f>
        <v/>
      </c>
      <c r="F467" s="11">
        <f>IF(A467="","",D467*E467)</f>
        <v/>
      </c>
      <c r="G467">
        <f>IF(A467="","",IF(C467="",1,COUNTIF($C$2:$C$1501,C467)))</f>
        <v/>
      </c>
      <c r="H467" s="11">
        <f>IF(A467="","",IFERROR(VALUE(SUBSTITUTE(SUBSTITUTE(INDEX('Etsy Import'!$A:$CZ,467,Settings!$C$25)&amp;"","$",""),",","")),0)/IF(Settings!$B$27="Yes",G467,1))</f>
        <v/>
      </c>
      <c r="I467" s="11">
        <f>IF(A467="","",IFERROR(VALUE(SUBSTITUTE(SUBSTITUTE(INDEX('Etsy Import'!$A:$CZ,467,Settings!$C$26)&amp;"","$",""),",","")),0)/IF(Settings!$B$27="Yes",G467,1))</f>
        <v/>
      </c>
      <c r="J467" s="11">
        <f>IF(A467="","",F467+H467-I467)</f>
        <v/>
      </c>
      <c r="K467">
        <f>IF(A467="","",IFERROR(IF(B467="",NA(),MATCH(B467,Products!$B$5:$B$204,0)),IFERROR(MATCH(A467,Products!$A$5:$A$204,0),"")))</f>
        <v/>
      </c>
      <c r="L467">
        <f>IF(A467="","",IF(K467="","⚠ not in Products",INDEX(Products!$A$5:$A$204,K467)))</f>
        <v/>
      </c>
      <c r="M467" s="11">
        <f>IF(A467="","",J467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467+IFERROR(INDEX(Settings!$D$5:$D$9,MATCH("Etsy",Settings!$A$5:$A$9,0)),0)*D467)</f>
        <v/>
      </c>
      <c r="N467" s="11">
        <f>IF(A467="","",IF(K467="",0,D467*INDEX(Products!$I$5:$I$204,K467)))</f>
        <v/>
      </c>
      <c r="O467" s="11">
        <f>IF(A467="","",IF(K467="",0,J467*INDEX(Products!$H$5:$H$204,K467)))</f>
        <v/>
      </c>
      <c r="P467" s="11">
        <f>IF(A467="","",J467-M467-N467-O467)</f>
        <v/>
      </c>
    </row>
    <row r="468">
      <c r="A468">
        <f>IFERROR(INDEX('Etsy Import'!$A:$CZ,468,Settings!$C$20)&amp;"","")</f>
        <v/>
      </c>
      <c r="B468">
        <f>IFERROR(INDEX('Etsy Import'!$A:$CZ,468,Settings!$C$21)&amp;"","")</f>
        <v/>
      </c>
      <c r="C468">
        <f>IFERROR(INDEX('Etsy Import'!$A:$CZ,468,Settings!$C$22)&amp;"","")</f>
        <v/>
      </c>
      <c r="D468">
        <f>IF(A468="","",IFERROR(VALUE(SUBSTITUTE(SUBSTITUTE(INDEX('Etsy Import'!$A:$CZ,468,Settings!$C$23)&amp;"","$",""),",","")),0))</f>
        <v/>
      </c>
      <c r="E468" s="11">
        <f>IF(A468="","",IFERROR(VALUE(SUBSTITUTE(SUBSTITUTE(INDEX('Etsy Import'!$A:$CZ,468,Settings!$C$24)&amp;"","$",""),",","")),0))</f>
        <v/>
      </c>
      <c r="F468" s="11">
        <f>IF(A468="","",D468*E468)</f>
        <v/>
      </c>
      <c r="G468">
        <f>IF(A468="","",IF(C468="",1,COUNTIF($C$2:$C$1501,C468)))</f>
        <v/>
      </c>
      <c r="H468" s="11">
        <f>IF(A468="","",IFERROR(VALUE(SUBSTITUTE(SUBSTITUTE(INDEX('Etsy Import'!$A:$CZ,468,Settings!$C$25)&amp;"","$",""),",","")),0)/IF(Settings!$B$27="Yes",G468,1))</f>
        <v/>
      </c>
      <c r="I468" s="11">
        <f>IF(A468="","",IFERROR(VALUE(SUBSTITUTE(SUBSTITUTE(INDEX('Etsy Import'!$A:$CZ,468,Settings!$C$26)&amp;"","$",""),",","")),0)/IF(Settings!$B$27="Yes",G468,1))</f>
        <v/>
      </c>
      <c r="J468" s="11">
        <f>IF(A468="","",F468+H468-I468)</f>
        <v/>
      </c>
      <c r="K468">
        <f>IF(A468="","",IFERROR(IF(B468="",NA(),MATCH(B468,Products!$B$5:$B$204,0)),IFERROR(MATCH(A468,Products!$A$5:$A$204,0),"")))</f>
        <v/>
      </c>
      <c r="L468">
        <f>IF(A468="","",IF(K468="","⚠ not in Products",INDEX(Products!$A$5:$A$204,K468)))</f>
        <v/>
      </c>
      <c r="M468" s="11">
        <f>IF(A468="","",J468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468+IFERROR(INDEX(Settings!$D$5:$D$9,MATCH("Etsy",Settings!$A$5:$A$9,0)),0)*D468)</f>
        <v/>
      </c>
      <c r="N468" s="11">
        <f>IF(A468="","",IF(K468="",0,D468*INDEX(Products!$I$5:$I$204,K468)))</f>
        <v/>
      </c>
      <c r="O468" s="11">
        <f>IF(A468="","",IF(K468="",0,J468*INDEX(Products!$H$5:$H$204,K468)))</f>
        <v/>
      </c>
      <c r="P468" s="11">
        <f>IF(A468="","",J468-M468-N468-O468)</f>
        <v/>
      </c>
    </row>
    <row r="469">
      <c r="A469">
        <f>IFERROR(INDEX('Etsy Import'!$A:$CZ,469,Settings!$C$20)&amp;"","")</f>
        <v/>
      </c>
      <c r="B469">
        <f>IFERROR(INDEX('Etsy Import'!$A:$CZ,469,Settings!$C$21)&amp;"","")</f>
        <v/>
      </c>
      <c r="C469">
        <f>IFERROR(INDEX('Etsy Import'!$A:$CZ,469,Settings!$C$22)&amp;"","")</f>
        <v/>
      </c>
      <c r="D469">
        <f>IF(A469="","",IFERROR(VALUE(SUBSTITUTE(SUBSTITUTE(INDEX('Etsy Import'!$A:$CZ,469,Settings!$C$23)&amp;"","$",""),",","")),0))</f>
        <v/>
      </c>
      <c r="E469" s="11">
        <f>IF(A469="","",IFERROR(VALUE(SUBSTITUTE(SUBSTITUTE(INDEX('Etsy Import'!$A:$CZ,469,Settings!$C$24)&amp;"","$",""),",","")),0))</f>
        <v/>
      </c>
      <c r="F469" s="11">
        <f>IF(A469="","",D469*E469)</f>
        <v/>
      </c>
      <c r="G469">
        <f>IF(A469="","",IF(C469="",1,COUNTIF($C$2:$C$1501,C469)))</f>
        <v/>
      </c>
      <c r="H469" s="11">
        <f>IF(A469="","",IFERROR(VALUE(SUBSTITUTE(SUBSTITUTE(INDEX('Etsy Import'!$A:$CZ,469,Settings!$C$25)&amp;"","$",""),",","")),0)/IF(Settings!$B$27="Yes",G469,1))</f>
        <v/>
      </c>
      <c r="I469" s="11">
        <f>IF(A469="","",IFERROR(VALUE(SUBSTITUTE(SUBSTITUTE(INDEX('Etsy Import'!$A:$CZ,469,Settings!$C$26)&amp;"","$",""),",","")),0)/IF(Settings!$B$27="Yes",G469,1))</f>
        <v/>
      </c>
      <c r="J469" s="11">
        <f>IF(A469="","",F469+H469-I469)</f>
        <v/>
      </c>
      <c r="K469">
        <f>IF(A469="","",IFERROR(IF(B469="",NA(),MATCH(B469,Products!$B$5:$B$204,0)),IFERROR(MATCH(A469,Products!$A$5:$A$204,0),"")))</f>
        <v/>
      </c>
      <c r="L469">
        <f>IF(A469="","",IF(K469="","⚠ not in Products",INDEX(Products!$A$5:$A$204,K469)))</f>
        <v/>
      </c>
      <c r="M469" s="11">
        <f>IF(A469="","",J469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469+IFERROR(INDEX(Settings!$D$5:$D$9,MATCH("Etsy",Settings!$A$5:$A$9,0)),0)*D469)</f>
        <v/>
      </c>
      <c r="N469" s="11">
        <f>IF(A469="","",IF(K469="",0,D469*INDEX(Products!$I$5:$I$204,K469)))</f>
        <v/>
      </c>
      <c r="O469" s="11">
        <f>IF(A469="","",IF(K469="",0,J469*INDEX(Products!$H$5:$H$204,K469)))</f>
        <v/>
      </c>
      <c r="P469" s="11">
        <f>IF(A469="","",J469-M469-N469-O469)</f>
        <v/>
      </c>
    </row>
    <row r="470">
      <c r="A470">
        <f>IFERROR(INDEX('Etsy Import'!$A:$CZ,470,Settings!$C$20)&amp;"","")</f>
        <v/>
      </c>
      <c r="B470">
        <f>IFERROR(INDEX('Etsy Import'!$A:$CZ,470,Settings!$C$21)&amp;"","")</f>
        <v/>
      </c>
      <c r="C470">
        <f>IFERROR(INDEX('Etsy Import'!$A:$CZ,470,Settings!$C$22)&amp;"","")</f>
        <v/>
      </c>
      <c r="D470">
        <f>IF(A470="","",IFERROR(VALUE(SUBSTITUTE(SUBSTITUTE(INDEX('Etsy Import'!$A:$CZ,470,Settings!$C$23)&amp;"","$",""),",","")),0))</f>
        <v/>
      </c>
      <c r="E470" s="11">
        <f>IF(A470="","",IFERROR(VALUE(SUBSTITUTE(SUBSTITUTE(INDEX('Etsy Import'!$A:$CZ,470,Settings!$C$24)&amp;"","$",""),",","")),0))</f>
        <v/>
      </c>
      <c r="F470" s="11">
        <f>IF(A470="","",D470*E470)</f>
        <v/>
      </c>
      <c r="G470">
        <f>IF(A470="","",IF(C470="",1,COUNTIF($C$2:$C$1501,C470)))</f>
        <v/>
      </c>
      <c r="H470" s="11">
        <f>IF(A470="","",IFERROR(VALUE(SUBSTITUTE(SUBSTITUTE(INDEX('Etsy Import'!$A:$CZ,470,Settings!$C$25)&amp;"","$",""),",","")),0)/IF(Settings!$B$27="Yes",G470,1))</f>
        <v/>
      </c>
      <c r="I470" s="11">
        <f>IF(A470="","",IFERROR(VALUE(SUBSTITUTE(SUBSTITUTE(INDEX('Etsy Import'!$A:$CZ,470,Settings!$C$26)&amp;"","$",""),",","")),0)/IF(Settings!$B$27="Yes",G470,1))</f>
        <v/>
      </c>
      <c r="J470" s="11">
        <f>IF(A470="","",F470+H470-I470)</f>
        <v/>
      </c>
      <c r="K470">
        <f>IF(A470="","",IFERROR(IF(B470="",NA(),MATCH(B470,Products!$B$5:$B$204,0)),IFERROR(MATCH(A470,Products!$A$5:$A$204,0),"")))</f>
        <v/>
      </c>
      <c r="L470">
        <f>IF(A470="","",IF(K470="","⚠ not in Products",INDEX(Products!$A$5:$A$204,K470)))</f>
        <v/>
      </c>
      <c r="M470" s="11">
        <f>IF(A470="","",J470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470+IFERROR(INDEX(Settings!$D$5:$D$9,MATCH("Etsy",Settings!$A$5:$A$9,0)),0)*D470)</f>
        <v/>
      </c>
      <c r="N470" s="11">
        <f>IF(A470="","",IF(K470="",0,D470*INDEX(Products!$I$5:$I$204,K470)))</f>
        <v/>
      </c>
      <c r="O470" s="11">
        <f>IF(A470="","",IF(K470="",0,J470*INDEX(Products!$H$5:$H$204,K470)))</f>
        <v/>
      </c>
      <c r="P470" s="11">
        <f>IF(A470="","",J470-M470-N470-O470)</f>
        <v/>
      </c>
    </row>
    <row r="471">
      <c r="A471">
        <f>IFERROR(INDEX('Etsy Import'!$A:$CZ,471,Settings!$C$20)&amp;"","")</f>
        <v/>
      </c>
      <c r="B471">
        <f>IFERROR(INDEX('Etsy Import'!$A:$CZ,471,Settings!$C$21)&amp;"","")</f>
        <v/>
      </c>
      <c r="C471">
        <f>IFERROR(INDEX('Etsy Import'!$A:$CZ,471,Settings!$C$22)&amp;"","")</f>
        <v/>
      </c>
      <c r="D471">
        <f>IF(A471="","",IFERROR(VALUE(SUBSTITUTE(SUBSTITUTE(INDEX('Etsy Import'!$A:$CZ,471,Settings!$C$23)&amp;"","$",""),",","")),0))</f>
        <v/>
      </c>
      <c r="E471" s="11">
        <f>IF(A471="","",IFERROR(VALUE(SUBSTITUTE(SUBSTITUTE(INDEX('Etsy Import'!$A:$CZ,471,Settings!$C$24)&amp;"","$",""),",","")),0))</f>
        <v/>
      </c>
      <c r="F471" s="11">
        <f>IF(A471="","",D471*E471)</f>
        <v/>
      </c>
      <c r="G471">
        <f>IF(A471="","",IF(C471="",1,COUNTIF($C$2:$C$1501,C471)))</f>
        <v/>
      </c>
      <c r="H471" s="11">
        <f>IF(A471="","",IFERROR(VALUE(SUBSTITUTE(SUBSTITUTE(INDEX('Etsy Import'!$A:$CZ,471,Settings!$C$25)&amp;"","$",""),",","")),0)/IF(Settings!$B$27="Yes",G471,1))</f>
        <v/>
      </c>
      <c r="I471" s="11">
        <f>IF(A471="","",IFERROR(VALUE(SUBSTITUTE(SUBSTITUTE(INDEX('Etsy Import'!$A:$CZ,471,Settings!$C$26)&amp;"","$",""),",","")),0)/IF(Settings!$B$27="Yes",G471,1))</f>
        <v/>
      </c>
      <c r="J471" s="11">
        <f>IF(A471="","",F471+H471-I471)</f>
        <v/>
      </c>
      <c r="K471">
        <f>IF(A471="","",IFERROR(IF(B471="",NA(),MATCH(B471,Products!$B$5:$B$204,0)),IFERROR(MATCH(A471,Products!$A$5:$A$204,0),"")))</f>
        <v/>
      </c>
      <c r="L471">
        <f>IF(A471="","",IF(K471="","⚠ not in Products",INDEX(Products!$A$5:$A$204,K471)))</f>
        <v/>
      </c>
      <c r="M471" s="11">
        <f>IF(A471="","",J471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471+IFERROR(INDEX(Settings!$D$5:$D$9,MATCH("Etsy",Settings!$A$5:$A$9,0)),0)*D471)</f>
        <v/>
      </c>
      <c r="N471" s="11">
        <f>IF(A471="","",IF(K471="",0,D471*INDEX(Products!$I$5:$I$204,K471)))</f>
        <v/>
      </c>
      <c r="O471" s="11">
        <f>IF(A471="","",IF(K471="",0,J471*INDEX(Products!$H$5:$H$204,K471)))</f>
        <v/>
      </c>
      <c r="P471" s="11">
        <f>IF(A471="","",J471-M471-N471-O471)</f>
        <v/>
      </c>
    </row>
    <row r="472">
      <c r="A472">
        <f>IFERROR(INDEX('Etsy Import'!$A:$CZ,472,Settings!$C$20)&amp;"","")</f>
        <v/>
      </c>
      <c r="B472">
        <f>IFERROR(INDEX('Etsy Import'!$A:$CZ,472,Settings!$C$21)&amp;"","")</f>
        <v/>
      </c>
      <c r="C472">
        <f>IFERROR(INDEX('Etsy Import'!$A:$CZ,472,Settings!$C$22)&amp;"","")</f>
        <v/>
      </c>
      <c r="D472">
        <f>IF(A472="","",IFERROR(VALUE(SUBSTITUTE(SUBSTITUTE(INDEX('Etsy Import'!$A:$CZ,472,Settings!$C$23)&amp;"","$",""),",","")),0))</f>
        <v/>
      </c>
      <c r="E472" s="11">
        <f>IF(A472="","",IFERROR(VALUE(SUBSTITUTE(SUBSTITUTE(INDEX('Etsy Import'!$A:$CZ,472,Settings!$C$24)&amp;"","$",""),",","")),0))</f>
        <v/>
      </c>
      <c r="F472" s="11">
        <f>IF(A472="","",D472*E472)</f>
        <v/>
      </c>
      <c r="G472">
        <f>IF(A472="","",IF(C472="",1,COUNTIF($C$2:$C$1501,C472)))</f>
        <v/>
      </c>
      <c r="H472" s="11">
        <f>IF(A472="","",IFERROR(VALUE(SUBSTITUTE(SUBSTITUTE(INDEX('Etsy Import'!$A:$CZ,472,Settings!$C$25)&amp;"","$",""),",","")),0)/IF(Settings!$B$27="Yes",G472,1))</f>
        <v/>
      </c>
      <c r="I472" s="11">
        <f>IF(A472="","",IFERROR(VALUE(SUBSTITUTE(SUBSTITUTE(INDEX('Etsy Import'!$A:$CZ,472,Settings!$C$26)&amp;"","$",""),",","")),0)/IF(Settings!$B$27="Yes",G472,1))</f>
        <v/>
      </c>
      <c r="J472" s="11">
        <f>IF(A472="","",F472+H472-I472)</f>
        <v/>
      </c>
      <c r="K472">
        <f>IF(A472="","",IFERROR(IF(B472="",NA(),MATCH(B472,Products!$B$5:$B$204,0)),IFERROR(MATCH(A472,Products!$A$5:$A$204,0),"")))</f>
        <v/>
      </c>
      <c r="L472">
        <f>IF(A472="","",IF(K472="","⚠ not in Products",INDEX(Products!$A$5:$A$204,K472)))</f>
        <v/>
      </c>
      <c r="M472" s="11">
        <f>IF(A472="","",J472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472+IFERROR(INDEX(Settings!$D$5:$D$9,MATCH("Etsy",Settings!$A$5:$A$9,0)),0)*D472)</f>
        <v/>
      </c>
      <c r="N472" s="11">
        <f>IF(A472="","",IF(K472="",0,D472*INDEX(Products!$I$5:$I$204,K472)))</f>
        <v/>
      </c>
      <c r="O472" s="11">
        <f>IF(A472="","",IF(K472="",0,J472*INDEX(Products!$H$5:$H$204,K472)))</f>
        <v/>
      </c>
      <c r="P472" s="11">
        <f>IF(A472="","",J472-M472-N472-O472)</f>
        <v/>
      </c>
    </row>
    <row r="473">
      <c r="A473">
        <f>IFERROR(INDEX('Etsy Import'!$A:$CZ,473,Settings!$C$20)&amp;"","")</f>
        <v/>
      </c>
      <c r="B473">
        <f>IFERROR(INDEX('Etsy Import'!$A:$CZ,473,Settings!$C$21)&amp;"","")</f>
        <v/>
      </c>
      <c r="C473">
        <f>IFERROR(INDEX('Etsy Import'!$A:$CZ,473,Settings!$C$22)&amp;"","")</f>
        <v/>
      </c>
      <c r="D473">
        <f>IF(A473="","",IFERROR(VALUE(SUBSTITUTE(SUBSTITUTE(INDEX('Etsy Import'!$A:$CZ,473,Settings!$C$23)&amp;"","$",""),",","")),0))</f>
        <v/>
      </c>
      <c r="E473" s="11">
        <f>IF(A473="","",IFERROR(VALUE(SUBSTITUTE(SUBSTITUTE(INDEX('Etsy Import'!$A:$CZ,473,Settings!$C$24)&amp;"","$",""),",","")),0))</f>
        <v/>
      </c>
      <c r="F473" s="11">
        <f>IF(A473="","",D473*E473)</f>
        <v/>
      </c>
      <c r="G473">
        <f>IF(A473="","",IF(C473="",1,COUNTIF($C$2:$C$1501,C473)))</f>
        <v/>
      </c>
      <c r="H473" s="11">
        <f>IF(A473="","",IFERROR(VALUE(SUBSTITUTE(SUBSTITUTE(INDEX('Etsy Import'!$A:$CZ,473,Settings!$C$25)&amp;"","$",""),",","")),0)/IF(Settings!$B$27="Yes",G473,1))</f>
        <v/>
      </c>
      <c r="I473" s="11">
        <f>IF(A473="","",IFERROR(VALUE(SUBSTITUTE(SUBSTITUTE(INDEX('Etsy Import'!$A:$CZ,473,Settings!$C$26)&amp;"","$",""),",","")),0)/IF(Settings!$B$27="Yes",G473,1))</f>
        <v/>
      </c>
      <c r="J473" s="11">
        <f>IF(A473="","",F473+H473-I473)</f>
        <v/>
      </c>
      <c r="K473">
        <f>IF(A473="","",IFERROR(IF(B473="",NA(),MATCH(B473,Products!$B$5:$B$204,0)),IFERROR(MATCH(A473,Products!$A$5:$A$204,0),"")))</f>
        <v/>
      </c>
      <c r="L473">
        <f>IF(A473="","",IF(K473="","⚠ not in Products",INDEX(Products!$A$5:$A$204,K473)))</f>
        <v/>
      </c>
      <c r="M473" s="11">
        <f>IF(A473="","",J473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473+IFERROR(INDEX(Settings!$D$5:$D$9,MATCH("Etsy",Settings!$A$5:$A$9,0)),0)*D473)</f>
        <v/>
      </c>
      <c r="N473" s="11">
        <f>IF(A473="","",IF(K473="",0,D473*INDEX(Products!$I$5:$I$204,K473)))</f>
        <v/>
      </c>
      <c r="O473" s="11">
        <f>IF(A473="","",IF(K473="",0,J473*INDEX(Products!$H$5:$H$204,K473)))</f>
        <v/>
      </c>
      <c r="P473" s="11">
        <f>IF(A473="","",J473-M473-N473-O473)</f>
        <v/>
      </c>
    </row>
    <row r="474">
      <c r="A474">
        <f>IFERROR(INDEX('Etsy Import'!$A:$CZ,474,Settings!$C$20)&amp;"","")</f>
        <v/>
      </c>
      <c r="B474">
        <f>IFERROR(INDEX('Etsy Import'!$A:$CZ,474,Settings!$C$21)&amp;"","")</f>
        <v/>
      </c>
      <c r="C474">
        <f>IFERROR(INDEX('Etsy Import'!$A:$CZ,474,Settings!$C$22)&amp;"","")</f>
        <v/>
      </c>
      <c r="D474">
        <f>IF(A474="","",IFERROR(VALUE(SUBSTITUTE(SUBSTITUTE(INDEX('Etsy Import'!$A:$CZ,474,Settings!$C$23)&amp;"","$",""),",","")),0))</f>
        <v/>
      </c>
      <c r="E474" s="11">
        <f>IF(A474="","",IFERROR(VALUE(SUBSTITUTE(SUBSTITUTE(INDEX('Etsy Import'!$A:$CZ,474,Settings!$C$24)&amp;"","$",""),",","")),0))</f>
        <v/>
      </c>
      <c r="F474" s="11">
        <f>IF(A474="","",D474*E474)</f>
        <v/>
      </c>
      <c r="G474">
        <f>IF(A474="","",IF(C474="",1,COUNTIF($C$2:$C$1501,C474)))</f>
        <v/>
      </c>
      <c r="H474" s="11">
        <f>IF(A474="","",IFERROR(VALUE(SUBSTITUTE(SUBSTITUTE(INDEX('Etsy Import'!$A:$CZ,474,Settings!$C$25)&amp;"","$",""),",","")),0)/IF(Settings!$B$27="Yes",G474,1))</f>
        <v/>
      </c>
      <c r="I474" s="11">
        <f>IF(A474="","",IFERROR(VALUE(SUBSTITUTE(SUBSTITUTE(INDEX('Etsy Import'!$A:$CZ,474,Settings!$C$26)&amp;"","$",""),",","")),0)/IF(Settings!$B$27="Yes",G474,1))</f>
        <v/>
      </c>
      <c r="J474" s="11">
        <f>IF(A474="","",F474+H474-I474)</f>
        <v/>
      </c>
      <c r="K474">
        <f>IF(A474="","",IFERROR(IF(B474="",NA(),MATCH(B474,Products!$B$5:$B$204,0)),IFERROR(MATCH(A474,Products!$A$5:$A$204,0),"")))</f>
        <v/>
      </c>
      <c r="L474">
        <f>IF(A474="","",IF(K474="","⚠ not in Products",INDEX(Products!$A$5:$A$204,K474)))</f>
        <v/>
      </c>
      <c r="M474" s="11">
        <f>IF(A474="","",J474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474+IFERROR(INDEX(Settings!$D$5:$D$9,MATCH("Etsy",Settings!$A$5:$A$9,0)),0)*D474)</f>
        <v/>
      </c>
      <c r="N474" s="11">
        <f>IF(A474="","",IF(K474="",0,D474*INDEX(Products!$I$5:$I$204,K474)))</f>
        <v/>
      </c>
      <c r="O474" s="11">
        <f>IF(A474="","",IF(K474="",0,J474*INDEX(Products!$H$5:$H$204,K474)))</f>
        <v/>
      </c>
      <c r="P474" s="11">
        <f>IF(A474="","",J474-M474-N474-O474)</f>
        <v/>
      </c>
    </row>
    <row r="475">
      <c r="A475">
        <f>IFERROR(INDEX('Etsy Import'!$A:$CZ,475,Settings!$C$20)&amp;"","")</f>
        <v/>
      </c>
      <c r="B475">
        <f>IFERROR(INDEX('Etsy Import'!$A:$CZ,475,Settings!$C$21)&amp;"","")</f>
        <v/>
      </c>
      <c r="C475">
        <f>IFERROR(INDEX('Etsy Import'!$A:$CZ,475,Settings!$C$22)&amp;"","")</f>
        <v/>
      </c>
      <c r="D475">
        <f>IF(A475="","",IFERROR(VALUE(SUBSTITUTE(SUBSTITUTE(INDEX('Etsy Import'!$A:$CZ,475,Settings!$C$23)&amp;"","$",""),",","")),0))</f>
        <v/>
      </c>
      <c r="E475" s="11">
        <f>IF(A475="","",IFERROR(VALUE(SUBSTITUTE(SUBSTITUTE(INDEX('Etsy Import'!$A:$CZ,475,Settings!$C$24)&amp;"","$",""),",","")),0))</f>
        <v/>
      </c>
      <c r="F475" s="11">
        <f>IF(A475="","",D475*E475)</f>
        <v/>
      </c>
      <c r="G475">
        <f>IF(A475="","",IF(C475="",1,COUNTIF($C$2:$C$1501,C475)))</f>
        <v/>
      </c>
      <c r="H475" s="11">
        <f>IF(A475="","",IFERROR(VALUE(SUBSTITUTE(SUBSTITUTE(INDEX('Etsy Import'!$A:$CZ,475,Settings!$C$25)&amp;"","$",""),",","")),0)/IF(Settings!$B$27="Yes",G475,1))</f>
        <v/>
      </c>
      <c r="I475" s="11">
        <f>IF(A475="","",IFERROR(VALUE(SUBSTITUTE(SUBSTITUTE(INDEX('Etsy Import'!$A:$CZ,475,Settings!$C$26)&amp;"","$",""),",","")),0)/IF(Settings!$B$27="Yes",G475,1))</f>
        <v/>
      </c>
      <c r="J475" s="11">
        <f>IF(A475="","",F475+H475-I475)</f>
        <v/>
      </c>
      <c r="K475">
        <f>IF(A475="","",IFERROR(IF(B475="",NA(),MATCH(B475,Products!$B$5:$B$204,0)),IFERROR(MATCH(A475,Products!$A$5:$A$204,0),"")))</f>
        <v/>
      </c>
      <c r="L475">
        <f>IF(A475="","",IF(K475="","⚠ not in Products",INDEX(Products!$A$5:$A$204,K475)))</f>
        <v/>
      </c>
      <c r="M475" s="11">
        <f>IF(A475="","",J475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475+IFERROR(INDEX(Settings!$D$5:$D$9,MATCH("Etsy",Settings!$A$5:$A$9,0)),0)*D475)</f>
        <v/>
      </c>
      <c r="N475" s="11">
        <f>IF(A475="","",IF(K475="",0,D475*INDEX(Products!$I$5:$I$204,K475)))</f>
        <v/>
      </c>
      <c r="O475" s="11">
        <f>IF(A475="","",IF(K475="",0,J475*INDEX(Products!$H$5:$H$204,K475)))</f>
        <v/>
      </c>
      <c r="P475" s="11">
        <f>IF(A475="","",J475-M475-N475-O475)</f>
        <v/>
      </c>
    </row>
    <row r="476">
      <c r="A476">
        <f>IFERROR(INDEX('Etsy Import'!$A:$CZ,476,Settings!$C$20)&amp;"","")</f>
        <v/>
      </c>
      <c r="B476">
        <f>IFERROR(INDEX('Etsy Import'!$A:$CZ,476,Settings!$C$21)&amp;"","")</f>
        <v/>
      </c>
      <c r="C476">
        <f>IFERROR(INDEX('Etsy Import'!$A:$CZ,476,Settings!$C$22)&amp;"","")</f>
        <v/>
      </c>
      <c r="D476">
        <f>IF(A476="","",IFERROR(VALUE(SUBSTITUTE(SUBSTITUTE(INDEX('Etsy Import'!$A:$CZ,476,Settings!$C$23)&amp;"","$",""),",","")),0))</f>
        <v/>
      </c>
      <c r="E476" s="11">
        <f>IF(A476="","",IFERROR(VALUE(SUBSTITUTE(SUBSTITUTE(INDEX('Etsy Import'!$A:$CZ,476,Settings!$C$24)&amp;"","$",""),",","")),0))</f>
        <v/>
      </c>
      <c r="F476" s="11">
        <f>IF(A476="","",D476*E476)</f>
        <v/>
      </c>
      <c r="G476">
        <f>IF(A476="","",IF(C476="",1,COUNTIF($C$2:$C$1501,C476)))</f>
        <v/>
      </c>
      <c r="H476" s="11">
        <f>IF(A476="","",IFERROR(VALUE(SUBSTITUTE(SUBSTITUTE(INDEX('Etsy Import'!$A:$CZ,476,Settings!$C$25)&amp;"","$",""),",","")),0)/IF(Settings!$B$27="Yes",G476,1))</f>
        <v/>
      </c>
      <c r="I476" s="11">
        <f>IF(A476="","",IFERROR(VALUE(SUBSTITUTE(SUBSTITUTE(INDEX('Etsy Import'!$A:$CZ,476,Settings!$C$26)&amp;"","$",""),",","")),0)/IF(Settings!$B$27="Yes",G476,1))</f>
        <v/>
      </c>
      <c r="J476" s="11">
        <f>IF(A476="","",F476+H476-I476)</f>
        <v/>
      </c>
      <c r="K476">
        <f>IF(A476="","",IFERROR(IF(B476="",NA(),MATCH(B476,Products!$B$5:$B$204,0)),IFERROR(MATCH(A476,Products!$A$5:$A$204,0),"")))</f>
        <v/>
      </c>
      <c r="L476">
        <f>IF(A476="","",IF(K476="","⚠ not in Products",INDEX(Products!$A$5:$A$204,K476)))</f>
        <v/>
      </c>
      <c r="M476" s="11">
        <f>IF(A476="","",J476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476+IFERROR(INDEX(Settings!$D$5:$D$9,MATCH("Etsy",Settings!$A$5:$A$9,0)),0)*D476)</f>
        <v/>
      </c>
      <c r="N476" s="11">
        <f>IF(A476="","",IF(K476="",0,D476*INDEX(Products!$I$5:$I$204,K476)))</f>
        <v/>
      </c>
      <c r="O476" s="11">
        <f>IF(A476="","",IF(K476="",0,J476*INDEX(Products!$H$5:$H$204,K476)))</f>
        <v/>
      </c>
      <c r="P476" s="11">
        <f>IF(A476="","",J476-M476-N476-O476)</f>
        <v/>
      </c>
    </row>
    <row r="477">
      <c r="A477">
        <f>IFERROR(INDEX('Etsy Import'!$A:$CZ,477,Settings!$C$20)&amp;"","")</f>
        <v/>
      </c>
      <c r="B477">
        <f>IFERROR(INDEX('Etsy Import'!$A:$CZ,477,Settings!$C$21)&amp;"","")</f>
        <v/>
      </c>
      <c r="C477">
        <f>IFERROR(INDEX('Etsy Import'!$A:$CZ,477,Settings!$C$22)&amp;"","")</f>
        <v/>
      </c>
      <c r="D477">
        <f>IF(A477="","",IFERROR(VALUE(SUBSTITUTE(SUBSTITUTE(INDEX('Etsy Import'!$A:$CZ,477,Settings!$C$23)&amp;"","$",""),",","")),0))</f>
        <v/>
      </c>
      <c r="E477" s="11">
        <f>IF(A477="","",IFERROR(VALUE(SUBSTITUTE(SUBSTITUTE(INDEX('Etsy Import'!$A:$CZ,477,Settings!$C$24)&amp;"","$",""),",","")),0))</f>
        <v/>
      </c>
      <c r="F477" s="11">
        <f>IF(A477="","",D477*E477)</f>
        <v/>
      </c>
      <c r="G477">
        <f>IF(A477="","",IF(C477="",1,COUNTIF($C$2:$C$1501,C477)))</f>
        <v/>
      </c>
      <c r="H477" s="11">
        <f>IF(A477="","",IFERROR(VALUE(SUBSTITUTE(SUBSTITUTE(INDEX('Etsy Import'!$A:$CZ,477,Settings!$C$25)&amp;"","$",""),",","")),0)/IF(Settings!$B$27="Yes",G477,1))</f>
        <v/>
      </c>
      <c r="I477" s="11">
        <f>IF(A477="","",IFERROR(VALUE(SUBSTITUTE(SUBSTITUTE(INDEX('Etsy Import'!$A:$CZ,477,Settings!$C$26)&amp;"","$",""),",","")),0)/IF(Settings!$B$27="Yes",G477,1))</f>
        <v/>
      </c>
      <c r="J477" s="11">
        <f>IF(A477="","",F477+H477-I477)</f>
        <v/>
      </c>
      <c r="K477">
        <f>IF(A477="","",IFERROR(IF(B477="",NA(),MATCH(B477,Products!$B$5:$B$204,0)),IFERROR(MATCH(A477,Products!$A$5:$A$204,0),"")))</f>
        <v/>
      </c>
      <c r="L477">
        <f>IF(A477="","",IF(K477="","⚠ not in Products",INDEX(Products!$A$5:$A$204,K477)))</f>
        <v/>
      </c>
      <c r="M477" s="11">
        <f>IF(A477="","",J477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477+IFERROR(INDEX(Settings!$D$5:$D$9,MATCH("Etsy",Settings!$A$5:$A$9,0)),0)*D477)</f>
        <v/>
      </c>
      <c r="N477" s="11">
        <f>IF(A477="","",IF(K477="",0,D477*INDEX(Products!$I$5:$I$204,K477)))</f>
        <v/>
      </c>
      <c r="O477" s="11">
        <f>IF(A477="","",IF(K477="",0,J477*INDEX(Products!$H$5:$H$204,K477)))</f>
        <v/>
      </c>
      <c r="P477" s="11">
        <f>IF(A477="","",J477-M477-N477-O477)</f>
        <v/>
      </c>
    </row>
    <row r="478">
      <c r="A478">
        <f>IFERROR(INDEX('Etsy Import'!$A:$CZ,478,Settings!$C$20)&amp;"","")</f>
        <v/>
      </c>
      <c r="B478">
        <f>IFERROR(INDEX('Etsy Import'!$A:$CZ,478,Settings!$C$21)&amp;"","")</f>
        <v/>
      </c>
      <c r="C478">
        <f>IFERROR(INDEX('Etsy Import'!$A:$CZ,478,Settings!$C$22)&amp;"","")</f>
        <v/>
      </c>
      <c r="D478">
        <f>IF(A478="","",IFERROR(VALUE(SUBSTITUTE(SUBSTITUTE(INDEX('Etsy Import'!$A:$CZ,478,Settings!$C$23)&amp;"","$",""),",","")),0))</f>
        <v/>
      </c>
      <c r="E478" s="11">
        <f>IF(A478="","",IFERROR(VALUE(SUBSTITUTE(SUBSTITUTE(INDEX('Etsy Import'!$A:$CZ,478,Settings!$C$24)&amp;"","$",""),",","")),0))</f>
        <v/>
      </c>
      <c r="F478" s="11">
        <f>IF(A478="","",D478*E478)</f>
        <v/>
      </c>
      <c r="G478">
        <f>IF(A478="","",IF(C478="",1,COUNTIF($C$2:$C$1501,C478)))</f>
        <v/>
      </c>
      <c r="H478" s="11">
        <f>IF(A478="","",IFERROR(VALUE(SUBSTITUTE(SUBSTITUTE(INDEX('Etsy Import'!$A:$CZ,478,Settings!$C$25)&amp;"","$",""),",","")),0)/IF(Settings!$B$27="Yes",G478,1))</f>
        <v/>
      </c>
      <c r="I478" s="11">
        <f>IF(A478="","",IFERROR(VALUE(SUBSTITUTE(SUBSTITUTE(INDEX('Etsy Import'!$A:$CZ,478,Settings!$C$26)&amp;"","$",""),",","")),0)/IF(Settings!$B$27="Yes",G478,1))</f>
        <v/>
      </c>
      <c r="J478" s="11">
        <f>IF(A478="","",F478+H478-I478)</f>
        <v/>
      </c>
      <c r="K478">
        <f>IF(A478="","",IFERROR(IF(B478="",NA(),MATCH(B478,Products!$B$5:$B$204,0)),IFERROR(MATCH(A478,Products!$A$5:$A$204,0),"")))</f>
        <v/>
      </c>
      <c r="L478">
        <f>IF(A478="","",IF(K478="","⚠ not in Products",INDEX(Products!$A$5:$A$204,K478)))</f>
        <v/>
      </c>
      <c r="M478" s="11">
        <f>IF(A478="","",J478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478+IFERROR(INDEX(Settings!$D$5:$D$9,MATCH("Etsy",Settings!$A$5:$A$9,0)),0)*D478)</f>
        <v/>
      </c>
      <c r="N478" s="11">
        <f>IF(A478="","",IF(K478="",0,D478*INDEX(Products!$I$5:$I$204,K478)))</f>
        <v/>
      </c>
      <c r="O478" s="11">
        <f>IF(A478="","",IF(K478="",0,J478*INDEX(Products!$H$5:$H$204,K478)))</f>
        <v/>
      </c>
      <c r="P478" s="11">
        <f>IF(A478="","",J478-M478-N478-O478)</f>
        <v/>
      </c>
    </row>
    <row r="479">
      <c r="A479">
        <f>IFERROR(INDEX('Etsy Import'!$A:$CZ,479,Settings!$C$20)&amp;"","")</f>
        <v/>
      </c>
      <c r="B479">
        <f>IFERROR(INDEX('Etsy Import'!$A:$CZ,479,Settings!$C$21)&amp;"","")</f>
        <v/>
      </c>
      <c r="C479">
        <f>IFERROR(INDEX('Etsy Import'!$A:$CZ,479,Settings!$C$22)&amp;"","")</f>
        <v/>
      </c>
      <c r="D479">
        <f>IF(A479="","",IFERROR(VALUE(SUBSTITUTE(SUBSTITUTE(INDEX('Etsy Import'!$A:$CZ,479,Settings!$C$23)&amp;"","$",""),",","")),0))</f>
        <v/>
      </c>
      <c r="E479" s="11">
        <f>IF(A479="","",IFERROR(VALUE(SUBSTITUTE(SUBSTITUTE(INDEX('Etsy Import'!$A:$CZ,479,Settings!$C$24)&amp;"","$",""),",","")),0))</f>
        <v/>
      </c>
      <c r="F479" s="11">
        <f>IF(A479="","",D479*E479)</f>
        <v/>
      </c>
      <c r="G479">
        <f>IF(A479="","",IF(C479="",1,COUNTIF($C$2:$C$1501,C479)))</f>
        <v/>
      </c>
      <c r="H479" s="11">
        <f>IF(A479="","",IFERROR(VALUE(SUBSTITUTE(SUBSTITUTE(INDEX('Etsy Import'!$A:$CZ,479,Settings!$C$25)&amp;"","$",""),",","")),0)/IF(Settings!$B$27="Yes",G479,1))</f>
        <v/>
      </c>
      <c r="I479" s="11">
        <f>IF(A479="","",IFERROR(VALUE(SUBSTITUTE(SUBSTITUTE(INDEX('Etsy Import'!$A:$CZ,479,Settings!$C$26)&amp;"","$",""),",","")),0)/IF(Settings!$B$27="Yes",G479,1))</f>
        <v/>
      </c>
      <c r="J479" s="11">
        <f>IF(A479="","",F479+H479-I479)</f>
        <v/>
      </c>
      <c r="K479">
        <f>IF(A479="","",IFERROR(IF(B479="",NA(),MATCH(B479,Products!$B$5:$B$204,0)),IFERROR(MATCH(A479,Products!$A$5:$A$204,0),"")))</f>
        <v/>
      </c>
      <c r="L479">
        <f>IF(A479="","",IF(K479="","⚠ not in Products",INDEX(Products!$A$5:$A$204,K479)))</f>
        <v/>
      </c>
      <c r="M479" s="11">
        <f>IF(A479="","",J479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479+IFERROR(INDEX(Settings!$D$5:$D$9,MATCH("Etsy",Settings!$A$5:$A$9,0)),0)*D479)</f>
        <v/>
      </c>
      <c r="N479" s="11">
        <f>IF(A479="","",IF(K479="",0,D479*INDEX(Products!$I$5:$I$204,K479)))</f>
        <v/>
      </c>
      <c r="O479" s="11">
        <f>IF(A479="","",IF(K479="",0,J479*INDEX(Products!$H$5:$H$204,K479)))</f>
        <v/>
      </c>
      <c r="P479" s="11">
        <f>IF(A479="","",J479-M479-N479-O479)</f>
        <v/>
      </c>
    </row>
    <row r="480">
      <c r="A480">
        <f>IFERROR(INDEX('Etsy Import'!$A:$CZ,480,Settings!$C$20)&amp;"","")</f>
        <v/>
      </c>
      <c r="B480">
        <f>IFERROR(INDEX('Etsy Import'!$A:$CZ,480,Settings!$C$21)&amp;"","")</f>
        <v/>
      </c>
      <c r="C480">
        <f>IFERROR(INDEX('Etsy Import'!$A:$CZ,480,Settings!$C$22)&amp;"","")</f>
        <v/>
      </c>
      <c r="D480">
        <f>IF(A480="","",IFERROR(VALUE(SUBSTITUTE(SUBSTITUTE(INDEX('Etsy Import'!$A:$CZ,480,Settings!$C$23)&amp;"","$",""),",","")),0))</f>
        <v/>
      </c>
      <c r="E480" s="11">
        <f>IF(A480="","",IFERROR(VALUE(SUBSTITUTE(SUBSTITUTE(INDEX('Etsy Import'!$A:$CZ,480,Settings!$C$24)&amp;"","$",""),",","")),0))</f>
        <v/>
      </c>
      <c r="F480" s="11">
        <f>IF(A480="","",D480*E480)</f>
        <v/>
      </c>
      <c r="G480">
        <f>IF(A480="","",IF(C480="",1,COUNTIF($C$2:$C$1501,C480)))</f>
        <v/>
      </c>
      <c r="H480" s="11">
        <f>IF(A480="","",IFERROR(VALUE(SUBSTITUTE(SUBSTITUTE(INDEX('Etsy Import'!$A:$CZ,480,Settings!$C$25)&amp;"","$",""),",","")),0)/IF(Settings!$B$27="Yes",G480,1))</f>
        <v/>
      </c>
      <c r="I480" s="11">
        <f>IF(A480="","",IFERROR(VALUE(SUBSTITUTE(SUBSTITUTE(INDEX('Etsy Import'!$A:$CZ,480,Settings!$C$26)&amp;"","$",""),",","")),0)/IF(Settings!$B$27="Yes",G480,1))</f>
        <v/>
      </c>
      <c r="J480" s="11">
        <f>IF(A480="","",F480+H480-I480)</f>
        <v/>
      </c>
      <c r="K480">
        <f>IF(A480="","",IFERROR(IF(B480="",NA(),MATCH(B480,Products!$B$5:$B$204,0)),IFERROR(MATCH(A480,Products!$A$5:$A$204,0),"")))</f>
        <v/>
      </c>
      <c r="L480">
        <f>IF(A480="","",IF(K480="","⚠ not in Products",INDEX(Products!$A$5:$A$204,K480)))</f>
        <v/>
      </c>
      <c r="M480" s="11">
        <f>IF(A480="","",J480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480+IFERROR(INDEX(Settings!$D$5:$D$9,MATCH("Etsy",Settings!$A$5:$A$9,0)),0)*D480)</f>
        <v/>
      </c>
      <c r="N480" s="11">
        <f>IF(A480="","",IF(K480="",0,D480*INDEX(Products!$I$5:$I$204,K480)))</f>
        <v/>
      </c>
      <c r="O480" s="11">
        <f>IF(A480="","",IF(K480="",0,J480*INDEX(Products!$H$5:$H$204,K480)))</f>
        <v/>
      </c>
      <c r="P480" s="11">
        <f>IF(A480="","",J480-M480-N480-O480)</f>
        <v/>
      </c>
    </row>
    <row r="481">
      <c r="A481">
        <f>IFERROR(INDEX('Etsy Import'!$A:$CZ,481,Settings!$C$20)&amp;"","")</f>
        <v/>
      </c>
      <c r="B481">
        <f>IFERROR(INDEX('Etsy Import'!$A:$CZ,481,Settings!$C$21)&amp;"","")</f>
        <v/>
      </c>
      <c r="C481">
        <f>IFERROR(INDEX('Etsy Import'!$A:$CZ,481,Settings!$C$22)&amp;"","")</f>
        <v/>
      </c>
      <c r="D481">
        <f>IF(A481="","",IFERROR(VALUE(SUBSTITUTE(SUBSTITUTE(INDEX('Etsy Import'!$A:$CZ,481,Settings!$C$23)&amp;"","$",""),",","")),0))</f>
        <v/>
      </c>
      <c r="E481" s="11">
        <f>IF(A481="","",IFERROR(VALUE(SUBSTITUTE(SUBSTITUTE(INDEX('Etsy Import'!$A:$CZ,481,Settings!$C$24)&amp;"","$",""),",","")),0))</f>
        <v/>
      </c>
      <c r="F481" s="11">
        <f>IF(A481="","",D481*E481)</f>
        <v/>
      </c>
      <c r="G481">
        <f>IF(A481="","",IF(C481="",1,COUNTIF($C$2:$C$1501,C481)))</f>
        <v/>
      </c>
      <c r="H481" s="11">
        <f>IF(A481="","",IFERROR(VALUE(SUBSTITUTE(SUBSTITUTE(INDEX('Etsy Import'!$A:$CZ,481,Settings!$C$25)&amp;"","$",""),",","")),0)/IF(Settings!$B$27="Yes",G481,1))</f>
        <v/>
      </c>
      <c r="I481" s="11">
        <f>IF(A481="","",IFERROR(VALUE(SUBSTITUTE(SUBSTITUTE(INDEX('Etsy Import'!$A:$CZ,481,Settings!$C$26)&amp;"","$",""),",","")),0)/IF(Settings!$B$27="Yes",G481,1))</f>
        <v/>
      </c>
      <c r="J481" s="11">
        <f>IF(A481="","",F481+H481-I481)</f>
        <v/>
      </c>
      <c r="K481">
        <f>IF(A481="","",IFERROR(IF(B481="",NA(),MATCH(B481,Products!$B$5:$B$204,0)),IFERROR(MATCH(A481,Products!$A$5:$A$204,0),"")))</f>
        <v/>
      </c>
      <c r="L481">
        <f>IF(A481="","",IF(K481="","⚠ not in Products",INDEX(Products!$A$5:$A$204,K481)))</f>
        <v/>
      </c>
      <c r="M481" s="11">
        <f>IF(A481="","",J481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481+IFERROR(INDEX(Settings!$D$5:$D$9,MATCH("Etsy",Settings!$A$5:$A$9,0)),0)*D481)</f>
        <v/>
      </c>
      <c r="N481" s="11">
        <f>IF(A481="","",IF(K481="",0,D481*INDEX(Products!$I$5:$I$204,K481)))</f>
        <v/>
      </c>
      <c r="O481" s="11">
        <f>IF(A481="","",IF(K481="",0,J481*INDEX(Products!$H$5:$H$204,K481)))</f>
        <v/>
      </c>
      <c r="P481" s="11">
        <f>IF(A481="","",J481-M481-N481-O481)</f>
        <v/>
      </c>
    </row>
    <row r="482">
      <c r="A482">
        <f>IFERROR(INDEX('Etsy Import'!$A:$CZ,482,Settings!$C$20)&amp;"","")</f>
        <v/>
      </c>
      <c r="B482">
        <f>IFERROR(INDEX('Etsy Import'!$A:$CZ,482,Settings!$C$21)&amp;"","")</f>
        <v/>
      </c>
      <c r="C482">
        <f>IFERROR(INDEX('Etsy Import'!$A:$CZ,482,Settings!$C$22)&amp;"","")</f>
        <v/>
      </c>
      <c r="D482">
        <f>IF(A482="","",IFERROR(VALUE(SUBSTITUTE(SUBSTITUTE(INDEX('Etsy Import'!$A:$CZ,482,Settings!$C$23)&amp;"","$",""),",","")),0))</f>
        <v/>
      </c>
      <c r="E482" s="11">
        <f>IF(A482="","",IFERROR(VALUE(SUBSTITUTE(SUBSTITUTE(INDEX('Etsy Import'!$A:$CZ,482,Settings!$C$24)&amp;"","$",""),",","")),0))</f>
        <v/>
      </c>
      <c r="F482" s="11">
        <f>IF(A482="","",D482*E482)</f>
        <v/>
      </c>
      <c r="G482">
        <f>IF(A482="","",IF(C482="",1,COUNTIF($C$2:$C$1501,C482)))</f>
        <v/>
      </c>
      <c r="H482" s="11">
        <f>IF(A482="","",IFERROR(VALUE(SUBSTITUTE(SUBSTITUTE(INDEX('Etsy Import'!$A:$CZ,482,Settings!$C$25)&amp;"","$",""),",","")),0)/IF(Settings!$B$27="Yes",G482,1))</f>
        <v/>
      </c>
      <c r="I482" s="11">
        <f>IF(A482="","",IFERROR(VALUE(SUBSTITUTE(SUBSTITUTE(INDEX('Etsy Import'!$A:$CZ,482,Settings!$C$26)&amp;"","$",""),",","")),0)/IF(Settings!$B$27="Yes",G482,1))</f>
        <v/>
      </c>
      <c r="J482" s="11">
        <f>IF(A482="","",F482+H482-I482)</f>
        <v/>
      </c>
      <c r="K482">
        <f>IF(A482="","",IFERROR(IF(B482="",NA(),MATCH(B482,Products!$B$5:$B$204,0)),IFERROR(MATCH(A482,Products!$A$5:$A$204,0),"")))</f>
        <v/>
      </c>
      <c r="L482">
        <f>IF(A482="","",IF(K482="","⚠ not in Products",INDEX(Products!$A$5:$A$204,K482)))</f>
        <v/>
      </c>
      <c r="M482" s="11">
        <f>IF(A482="","",J482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482+IFERROR(INDEX(Settings!$D$5:$D$9,MATCH("Etsy",Settings!$A$5:$A$9,0)),0)*D482)</f>
        <v/>
      </c>
      <c r="N482" s="11">
        <f>IF(A482="","",IF(K482="",0,D482*INDEX(Products!$I$5:$I$204,K482)))</f>
        <v/>
      </c>
      <c r="O482" s="11">
        <f>IF(A482="","",IF(K482="",0,J482*INDEX(Products!$H$5:$H$204,K482)))</f>
        <v/>
      </c>
      <c r="P482" s="11">
        <f>IF(A482="","",J482-M482-N482-O482)</f>
        <v/>
      </c>
    </row>
    <row r="483">
      <c r="A483">
        <f>IFERROR(INDEX('Etsy Import'!$A:$CZ,483,Settings!$C$20)&amp;"","")</f>
        <v/>
      </c>
      <c r="B483">
        <f>IFERROR(INDEX('Etsy Import'!$A:$CZ,483,Settings!$C$21)&amp;"","")</f>
        <v/>
      </c>
      <c r="C483">
        <f>IFERROR(INDEX('Etsy Import'!$A:$CZ,483,Settings!$C$22)&amp;"","")</f>
        <v/>
      </c>
      <c r="D483">
        <f>IF(A483="","",IFERROR(VALUE(SUBSTITUTE(SUBSTITUTE(INDEX('Etsy Import'!$A:$CZ,483,Settings!$C$23)&amp;"","$",""),",","")),0))</f>
        <v/>
      </c>
      <c r="E483" s="11">
        <f>IF(A483="","",IFERROR(VALUE(SUBSTITUTE(SUBSTITUTE(INDEX('Etsy Import'!$A:$CZ,483,Settings!$C$24)&amp;"","$",""),",","")),0))</f>
        <v/>
      </c>
      <c r="F483" s="11">
        <f>IF(A483="","",D483*E483)</f>
        <v/>
      </c>
      <c r="G483">
        <f>IF(A483="","",IF(C483="",1,COUNTIF($C$2:$C$1501,C483)))</f>
        <v/>
      </c>
      <c r="H483" s="11">
        <f>IF(A483="","",IFERROR(VALUE(SUBSTITUTE(SUBSTITUTE(INDEX('Etsy Import'!$A:$CZ,483,Settings!$C$25)&amp;"","$",""),",","")),0)/IF(Settings!$B$27="Yes",G483,1))</f>
        <v/>
      </c>
      <c r="I483" s="11">
        <f>IF(A483="","",IFERROR(VALUE(SUBSTITUTE(SUBSTITUTE(INDEX('Etsy Import'!$A:$CZ,483,Settings!$C$26)&amp;"","$",""),",","")),0)/IF(Settings!$B$27="Yes",G483,1))</f>
        <v/>
      </c>
      <c r="J483" s="11">
        <f>IF(A483="","",F483+H483-I483)</f>
        <v/>
      </c>
      <c r="K483">
        <f>IF(A483="","",IFERROR(IF(B483="",NA(),MATCH(B483,Products!$B$5:$B$204,0)),IFERROR(MATCH(A483,Products!$A$5:$A$204,0),"")))</f>
        <v/>
      </c>
      <c r="L483">
        <f>IF(A483="","",IF(K483="","⚠ not in Products",INDEX(Products!$A$5:$A$204,K483)))</f>
        <v/>
      </c>
      <c r="M483" s="11">
        <f>IF(A483="","",J483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483+IFERROR(INDEX(Settings!$D$5:$D$9,MATCH("Etsy",Settings!$A$5:$A$9,0)),0)*D483)</f>
        <v/>
      </c>
      <c r="N483" s="11">
        <f>IF(A483="","",IF(K483="",0,D483*INDEX(Products!$I$5:$I$204,K483)))</f>
        <v/>
      </c>
      <c r="O483" s="11">
        <f>IF(A483="","",IF(K483="",0,J483*INDEX(Products!$H$5:$H$204,K483)))</f>
        <v/>
      </c>
      <c r="P483" s="11">
        <f>IF(A483="","",J483-M483-N483-O483)</f>
        <v/>
      </c>
    </row>
    <row r="484">
      <c r="A484">
        <f>IFERROR(INDEX('Etsy Import'!$A:$CZ,484,Settings!$C$20)&amp;"","")</f>
        <v/>
      </c>
      <c r="B484">
        <f>IFERROR(INDEX('Etsy Import'!$A:$CZ,484,Settings!$C$21)&amp;"","")</f>
        <v/>
      </c>
      <c r="C484">
        <f>IFERROR(INDEX('Etsy Import'!$A:$CZ,484,Settings!$C$22)&amp;"","")</f>
        <v/>
      </c>
      <c r="D484">
        <f>IF(A484="","",IFERROR(VALUE(SUBSTITUTE(SUBSTITUTE(INDEX('Etsy Import'!$A:$CZ,484,Settings!$C$23)&amp;"","$",""),",","")),0))</f>
        <v/>
      </c>
      <c r="E484" s="11">
        <f>IF(A484="","",IFERROR(VALUE(SUBSTITUTE(SUBSTITUTE(INDEX('Etsy Import'!$A:$CZ,484,Settings!$C$24)&amp;"","$",""),",","")),0))</f>
        <v/>
      </c>
      <c r="F484" s="11">
        <f>IF(A484="","",D484*E484)</f>
        <v/>
      </c>
      <c r="G484">
        <f>IF(A484="","",IF(C484="",1,COUNTIF($C$2:$C$1501,C484)))</f>
        <v/>
      </c>
      <c r="H484" s="11">
        <f>IF(A484="","",IFERROR(VALUE(SUBSTITUTE(SUBSTITUTE(INDEX('Etsy Import'!$A:$CZ,484,Settings!$C$25)&amp;"","$",""),",","")),0)/IF(Settings!$B$27="Yes",G484,1))</f>
        <v/>
      </c>
      <c r="I484" s="11">
        <f>IF(A484="","",IFERROR(VALUE(SUBSTITUTE(SUBSTITUTE(INDEX('Etsy Import'!$A:$CZ,484,Settings!$C$26)&amp;"","$",""),",","")),0)/IF(Settings!$B$27="Yes",G484,1))</f>
        <v/>
      </c>
      <c r="J484" s="11">
        <f>IF(A484="","",F484+H484-I484)</f>
        <v/>
      </c>
      <c r="K484">
        <f>IF(A484="","",IFERROR(IF(B484="",NA(),MATCH(B484,Products!$B$5:$B$204,0)),IFERROR(MATCH(A484,Products!$A$5:$A$204,0),"")))</f>
        <v/>
      </c>
      <c r="L484">
        <f>IF(A484="","",IF(K484="","⚠ not in Products",INDEX(Products!$A$5:$A$204,K484)))</f>
        <v/>
      </c>
      <c r="M484" s="11">
        <f>IF(A484="","",J484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484+IFERROR(INDEX(Settings!$D$5:$D$9,MATCH("Etsy",Settings!$A$5:$A$9,0)),0)*D484)</f>
        <v/>
      </c>
      <c r="N484" s="11">
        <f>IF(A484="","",IF(K484="",0,D484*INDEX(Products!$I$5:$I$204,K484)))</f>
        <v/>
      </c>
      <c r="O484" s="11">
        <f>IF(A484="","",IF(K484="",0,J484*INDEX(Products!$H$5:$H$204,K484)))</f>
        <v/>
      </c>
      <c r="P484" s="11">
        <f>IF(A484="","",J484-M484-N484-O484)</f>
        <v/>
      </c>
    </row>
    <row r="485">
      <c r="A485">
        <f>IFERROR(INDEX('Etsy Import'!$A:$CZ,485,Settings!$C$20)&amp;"","")</f>
        <v/>
      </c>
      <c r="B485">
        <f>IFERROR(INDEX('Etsy Import'!$A:$CZ,485,Settings!$C$21)&amp;"","")</f>
        <v/>
      </c>
      <c r="C485">
        <f>IFERROR(INDEX('Etsy Import'!$A:$CZ,485,Settings!$C$22)&amp;"","")</f>
        <v/>
      </c>
      <c r="D485">
        <f>IF(A485="","",IFERROR(VALUE(SUBSTITUTE(SUBSTITUTE(INDEX('Etsy Import'!$A:$CZ,485,Settings!$C$23)&amp;"","$",""),",","")),0))</f>
        <v/>
      </c>
      <c r="E485" s="11">
        <f>IF(A485="","",IFERROR(VALUE(SUBSTITUTE(SUBSTITUTE(INDEX('Etsy Import'!$A:$CZ,485,Settings!$C$24)&amp;"","$",""),",","")),0))</f>
        <v/>
      </c>
      <c r="F485" s="11">
        <f>IF(A485="","",D485*E485)</f>
        <v/>
      </c>
      <c r="G485">
        <f>IF(A485="","",IF(C485="",1,COUNTIF($C$2:$C$1501,C485)))</f>
        <v/>
      </c>
      <c r="H485" s="11">
        <f>IF(A485="","",IFERROR(VALUE(SUBSTITUTE(SUBSTITUTE(INDEX('Etsy Import'!$A:$CZ,485,Settings!$C$25)&amp;"","$",""),",","")),0)/IF(Settings!$B$27="Yes",G485,1))</f>
        <v/>
      </c>
      <c r="I485" s="11">
        <f>IF(A485="","",IFERROR(VALUE(SUBSTITUTE(SUBSTITUTE(INDEX('Etsy Import'!$A:$CZ,485,Settings!$C$26)&amp;"","$",""),",","")),0)/IF(Settings!$B$27="Yes",G485,1))</f>
        <v/>
      </c>
      <c r="J485" s="11">
        <f>IF(A485="","",F485+H485-I485)</f>
        <v/>
      </c>
      <c r="K485">
        <f>IF(A485="","",IFERROR(IF(B485="",NA(),MATCH(B485,Products!$B$5:$B$204,0)),IFERROR(MATCH(A485,Products!$A$5:$A$204,0),"")))</f>
        <v/>
      </c>
      <c r="L485">
        <f>IF(A485="","",IF(K485="","⚠ not in Products",INDEX(Products!$A$5:$A$204,K485)))</f>
        <v/>
      </c>
      <c r="M485" s="11">
        <f>IF(A485="","",J485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485+IFERROR(INDEX(Settings!$D$5:$D$9,MATCH("Etsy",Settings!$A$5:$A$9,0)),0)*D485)</f>
        <v/>
      </c>
      <c r="N485" s="11">
        <f>IF(A485="","",IF(K485="",0,D485*INDEX(Products!$I$5:$I$204,K485)))</f>
        <v/>
      </c>
      <c r="O485" s="11">
        <f>IF(A485="","",IF(K485="",0,J485*INDEX(Products!$H$5:$H$204,K485)))</f>
        <v/>
      </c>
      <c r="P485" s="11">
        <f>IF(A485="","",J485-M485-N485-O485)</f>
        <v/>
      </c>
    </row>
    <row r="486">
      <c r="A486">
        <f>IFERROR(INDEX('Etsy Import'!$A:$CZ,486,Settings!$C$20)&amp;"","")</f>
        <v/>
      </c>
      <c r="B486">
        <f>IFERROR(INDEX('Etsy Import'!$A:$CZ,486,Settings!$C$21)&amp;"","")</f>
        <v/>
      </c>
      <c r="C486">
        <f>IFERROR(INDEX('Etsy Import'!$A:$CZ,486,Settings!$C$22)&amp;"","")</f>
        <v/>
      </c>
      <c r="D486">
        <f>IF(A486="","",IFERROR(VALUE(SUBSTITUTE(SUBSTITUTE(INDEX('Etsy Import'!$A:$CZ,486,Settings!$C$23)&amp;"","$",""),",","")),0))</f>
        <v/>
      </c>
      <c r="E486" s="11">
        <f>IF(A486="","",IFERROR(VALUE(SUBSTITUTE(SUBSTITUTE(INDEX('Etsy Import'!$A:$CZ,486,Settings!$C$24)&amp;"","$",""),",","")),0))</f>
        <v/>
      </c>
      <c r="F486" s="11">
        <f>IF(A486="","",D486*E486)</f>
        <v/>
      </c>
      <c r="G486">
        <f>IF(A486="","",IF(C486="",1,COUNTIF($C$2:$C$1501,C486)))</f>
        <v/>
      </c>
      <c r="H486" s="11">
        <f>IF(A486="","",IFERROR(VALUE(SUBSTITUTE(SUBSTITUTE(INDEX('Etsy Import'!$A:$CZ,486,Settings!$C$25)&amp;"","$",""),",","")),0)/IF(Settings!$B$27="Yes",G486,1))</f>
        <v/>
      </c>
      <c r="I486" s="11">
        <f>IF(A486="","",IFERROR(VALUE(SUBSTITUTE(SUBSTITUTE(INDEX('Etsy Import'!$A:$CZ,486,Settings!$C$26)&amp;"","$",""),",","")),0)/IF(Settings!$B$27="Yes",G486,1))</f>
        <v/>
      </c>
      <c r="J486" s="11">
        <f>IF(A486="","",F486+H486-I486)</f>
        <v/>
      </c>
      <c r="K486">
        <f>IF(A486="","",IFERROR(IF(B486="",NA(),MATCH(B486,Products!$B$5:$B$204,0)),IFERROR(MATCH(A486,Products!$A$5:$A$204,0),"")))</f>
        <v/>
      </c>
      <c r="L486">
        <f>IF(A486="","",IF(K486="","⚠ not in Products",INDEX(Products!$A$5:$A$204,K486)))</f>
        <v/>
      </c>
      <c r="M486" s="11">
        <f>IF(A486="","",J486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486+IFERROR(INDEX(Settings!$D$5:$D$9,MATCH("Etsy",Settings!$A$5:$A$9,0)),0)*D486)</f>
        <v/>
      </c>
      <c r="N486" s="11">
        <f>IF(A486="","",IF(K486="",0,D486*INDEX(Products!$I$5:$I$204,K486)))</f>
        <v/>
      </c>
      <c r="O486" s="11">
        <f>IF(A486="","",IF(K486="",0,J486*INDEX(Products!$H$5:$H$204,K486)))</f>
        <v/>
      </c>
      <c r="P486" s="11">
        <f>IF(A486="","",J486-M486-N486-O486)</f>
        <v/>
      </c>
    </row>
    <row r="487">
      <c r="A487">
        <f>IFERROR(INDEX('Etsy Import'!$A:$CZ,487,Settings!$C$20)&amp;"","")</f>
        <v/>
      </c>
      <c r="B487">
        <f>IFERROR(INDEX('Etsy Import'!$A:$CZ,487,Settings!$C$21)&amp;"","")</f>
        <v/>
      </c>
      <c r="C487">
        <f>IFERROR(INDEX('Etsy Import'!$A:$CZ,487,Settings!$C$22)&amp;"","")</f>
        <v/>
      </c>
      <c r="D487">
        <f>IF(A487="","",IFERROR(VALUE(SUBSTITUTE(SUBSTITUTE(INDEX('Etsy Import'!$A:$CZ,487,Settings!$C$23)&amp;"","$",""),",","")),0))</f>
        <v/>
      </c>
      <c r="E487" s="11">
        <f>IF(A487="","",IFERROR(VALUE(SUBSTITUTE(SUBSTITUTE(INDEX('Etsy Import'!$A:$CZ,487,Settings!$C$24)&amp;"","$",""),",","")),0))</f>
        <v/>
      </c>
      <c r="F487" s="11">
        <f>IF(A487="","",D487*E487)</f>
        <v/>
      </c>
      <c r="G487">
        <f>IF(A487="","",IF(C487="",1,COUNTIF($C$2:$C$1501,C487)))</f>
        <v/>
      </c>
      <c r="H487" s="11">
        <f>IF(A487="","",IFERROR(VALUE(SUBSTITUTE(SUBSTITUTE(INDEX('Etsy Import'!$A:$CZ,487,Settings!$C$25)&amp;"","$",""),",","")),0)/IF(Settings!$B$27="Yes",G487,1))</f>
        <v/>
      </c>
      <c r="I487" s="11">
        <f>IF(A487="","",IFERROR(VALUE(SUBSTITUTE(SUBSTITUTE(INDEX('Etsy Import'!$A:$CZ,487,Settings!$C$26)&amp;"","$",""),",","")),0)/IF(Settings!$B$27="Yes",G487,1))</f>
        <v/>
      </c>
      <c r="J487" s="11">
        <f>IF(A487="","",F487+H487-I487)</f>
        <v/>
      </c>
      <c r="K487">
        <f>IF(A487="","",IFERROR(IF(B487="",NA(),MATCH(B487,Products!$B$5:$B$204,0)),IFERROR(MATCH(A487,Products!$A$5:$A$204,0),"")))</f>
        <v/>
      </c>
      <c r="L487">
        <f>IF(A487="","",IF(K487="","⚠ not in Products",INDEX(Products!$A$5:$A$204,K487)))</f>
        <v/>
      </c>
      <c r="M487" s="11">
        <f>IF(A487="","",J487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487+IFERROR(INDEX(Settings!$D$5:$D$9,MATCH("Etsy",Settings!$A$5:$A$9,0)),0)*D487)</f>
        <v/>
      </c>
      <c r="N487" s="11">
        <f>IF(A487="","",IF(K487="",0,D487*INDEX(Products!$I$5:$I$204,K487)))</f>
        <v/>
      </c>
      <c r="O487" s="11">
        <f>IF(A487="","",IF(K487="",0,J487*INDEX(Products!$H$5:$H$204,K487)))</f>
        <v/>
      </c>
      <c r="P487" s="11">
        <f>IF(A487="","",J487-M487-N487-O487)</f>
        <v/>
      </c>
    </row>
    <row r="488">
      <c r="A488">
        <f>IFERROR(INDEX('Etsy Import'!$A:$CZ,488,Settings!$C$20)&amp;"","")</f>
        <v/>
      </c>
      <c r="B488">
        <f>IFERROR(INDEX('Etsy Import'!$A:$CZ,488,Settings!$C$21)&amp;"","")</f>
        <v/>
      </c>
      <c r="C488">
        <f>IFERROR(INDEX('Etsy Import'!$A:$CZ,488,Settings!$C$22)&amp;"","")</f>
        <v/>
      </c>
      <c r="D488">
        <f>IF(A488="","",IFERROR(VALUE(SUBSTITUTE(SUBSTITUTE(INDEX('Etsy Import'!$A:$CZ,488,Settings!$C$23)&amp;"","$",""),",","")),0))</f>
        <v/>
      </c>
      <c r="E488" s="11">
        <f>IF(A488="","",IFERROR(VALUE(SUBSTITUTE(SUBSTITUTE(INDEX('Etsy Import'!$A:$CZ,488,Settings!$C$24)&amp;"","$",""),",","")),0))</f>
        <v/>
      </c>
      <c r="F488" s="11">
        <f>IF(A488="","",D488*E488)</f>
        <v/>
      </c>
      <c r="G488">
        <f>IF(A488="","",IF(C488="",1,COUNTIF($C$2:$C$1501,C488)))</f>
        <v/>
      </c>
      <c r="H488" s="11">
        <f>IF(A488="","",IFERROR(VALUE(SUBSTITUTE(SUBSTITUTE(INDEX('Etsy Import'!$A:$CZ,488,Settings!$C$25)&amp;"","$",""),",","")),0)/IF(Settings!$B$27="Yes",G488,1))</f>
        <v/>
      </c>
      <c r="I488" s="11">
        <f>IF(A488="","",IFERROR(VALUE(SUBSTITUTE(SUBSTITUTE(INDEX('Etsy Import'!$A:$CZ,488,Settings!$C$26)&amp;"","$",""),",","")),0)/IF(Settings!$B$27="Yes",G488,1))</f>
        <v/>
      </c>
      <c r="J488" s="11">
        <f>IF(A488="","",F488+H488-I488)</f>
        <v/>
      </c>
      <c r="K488">
        <f>IF(A488="","",IFERROR(IF(B488="",NA(),MATCH(B488,Products!$B$5:$B$204,0)),IFERROR(MATCH(A488,Products!$A$5:$A$204,0),"")))</f>
        <v/>
      </c>
      <c r="L488">
        <f>IF(A488="","",IF(K488="","⚠ not in Products",INDEX(Products!$A$5:$A$204,K488)))</f>
        <v/>
      </c>
      <c r="M488" s="11">
        <f>IF(A488="","",J488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488+IFERROR(INDEX(Settings!$D$5:$D$9,MATCH("Etsy",Settings!$A$5:$A$9,0)),0)*D488)</f>
        <v/>
      </c>
      <c r="N488" s="11">
        <f>IF(A488="","",IF(K488="",0,D488*INDEX(Products!$I$5:$I$204,K488)))</f>
        <v/>
      </c>
      <c r="O488" s="11">
        <f>IF(A488="","",IF(K488="",0,J488*INDEX(Products!$H$5:$H$204,K488)))</f>
        <v/>
      </c>
      <c r="P488" s="11">
        <f>IF(A488="","",J488-M488-N488-O488)</f>
        <v/>
      </c>
    </row>
    <row r="489">
      <c r="A489">
        <f>IFERROR(INDEX('Etsy Import'!$A:$CZ,489,Settings!$C$20)&amp;"","")</f>
        <v/>
      </c>
      <c r="B489">
        <f>IFERROR(INDEX('Etsy Import'!$A:$CZ,489,Settings!$C$21)&amp;"","")</f>
        <v/>
      </c>
      <c r="C489">
        <f>IFERROR(INDEX('Etsy Import'!$A:$CZ,489,Settings!$C$22)&amp;"","")</f>
        <v/>
      </c>
      <c r="D489">
        <f>IF(A489="","",IFERROR(VALUE(SUBSTITUTE(SUBSTITUTE(INDEX('Etsy Import'!$A:$CZ,489,Settings!$C$23)&amp;"","$",""),",","")),0))</f>
        <v/>
      </c>
      <c r="E489" s="11">
        <f>IF(A489="","",IFERROR(VALUE(SUBSTITUTE(SUBSTITUTE(INDEX('Etsy Import'!$A:$CZ,489,Settings!$C$24)&amp;"","$",""),",","")),0))</f>
        <v/>
      </c>
      <c r="F489" s="11">
        <f>IF(A489="","",D489*E489)</f>
        <v/>
      </c>
      <c r="G489">
        <f>IF(A489="","",IF(C489="",1,COUNTIF($C$2:$C$1501,C489)))</f>
        <v/>
      </c>
      <c r="H489" s="11">
        <f>IF(A489="","",IFERROR(VALUE(SUBSTITUTE(SUBSTITUTE(INDEX('Etsy Import'!$A:$CZ,489,Settings!$C$25)&amp;"","$",""),",","")),0)/IF(Settings!$B$27="Yes",G489,1))</f>
        <v/>
      </c>
      <c r="I489" s="11">
        <f>IF(A489="","",IFERROR(VALUE(SUBSTITUTE(SUBSTITUTE(INDEX('Etsy Import'!$A:$CZ,489,Settings!$C$26)&amp;"","$",""),",","")),0)/IF(Settings!$B$27="Yes",G489,1))</f>
        <v/>
      </c>
      <c r="J489" s="11">
        <f>IF(A489="","",F489+H489-I489)</f>
        <v/>
      </c>
      <c r="K489">
        <f>IF(A489="","",IFERROR(IF(B489="",NA(),MATCH(B489,Products!$B$5:$B$204,0)),IFERROR(MATCH(A489,Products!$A$5:$A$204,0),"")))</f>
        <v/>
      </c>
      <c r="L489">
        <f>IF(A489="","",IF(K489="","⚠ not in Products",INDEX(Products!$A$5:$A$204,K489)))</f>
        <v/>
      </c>
      <c r="M489" s="11">
        <f>IF(A489="","",J489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489+IFERROR(INDEX(Settings!$D$5:$D$9,MATCH("Etsy",Settings!$A$5:$A$9,0)),0)*D489)</f>
        <v/>
      </c>
      <c r="N489" s="11">
        <f>IF(A489="","",IF(K489="",0,D489*INDEX(Products!$I$5:$I$204,K489)))</f>
        <v/>
      </c>
      <c r="O489" s="11">
        <f>IF(A489="","",IF(K489="",0,J489*INDEX(Products!$H$5:$H$204,K489)))</f>
        <v/>
      </c>
      <c r="P489" s="11">
        <f>IF(A489="","",J489-M489-N489-O489)</f>
        <v/>
      </c>
    </row>
    <row r="490">
      <c r="A490">
        <f>IFERROR(INDEX('Etsy Import'!$A:$CZ,490,Settings!$C$20)&amp;"","")</f>
        <v/>
      </c>
      <c r="B490">
        <f>IFERROR(INDEX('Etsy Import'!$A:$CZ,490,Settings!$C$21)&amp;"","")</f>
        <v/>
      </c>
      <c r="C490">
        <f>IFERROR(INDEX('Etsy Import'!$A:$CZ,490,Settings!$C$22)&amp;"","")</f>
        <v/>
      </c>
      <c r="D490">
        <f>IF(A490="","",IFERROR(VALUE(SUBSTITUTE(SUBSTITUTE(INDEX('Etsy Import'!$A:$CZ,490,Settings!$C$23)&amp;"","$",""),",","")),0))</f>
        <v/>
      </c>
      <c r="E490" s="11">
        <f>IF(A490="","",IFERROR(VALUE(SUBSTITUTE(SUBSTITUTE(INDEX('Etsy Import'!$A:$CZ,490,Settings!$C$24)&amp;"","$",""),",","")),0))</f>
        <v/>
      </c>
      <c r="F490" s="11">
        <f>IF(A490="","",D490*E490)</f>
        <v/>
      </c>
      <c r="G490">
        <f>IF(A490="","",IF(C490="",1,COUNTIF($C$2:$C$1501,C490)))</f>
        <v/>
      </c>
      <c r="H490" s="11">
        <f>IF(A490="","",IFERROR(VALUE(SUBSTITUTE(SUBSTITUTE(INDEX('Etsy Import'!$A:$CZ,490,Settings!$C$25)&amp;"","$",""),",","")),0)/IF(Settings!$B$27="Yes",G490,1))</f>
        <v/>
      </c>
      <c r="I490" s="11">
        <f>IF(A490="","",IFERROR(VALUE(SUBSTITUTE(SUBSTITUTE(INDEX('Etsy Import'!$A:$CZ,490,Settings!$C$26)&amp;"","$",""),",","")),0)/IF(Settings!$B$27="Yes",G490,1))</f>
        <v/>
      </c>
      <c r="J490" s="11">
        <f>IF(A490="","",F490+H490-I490)</f>
        <v/>
      </c>
      <c r="K490">
        <f>IF(A490="","",IFERROR(IF(B490="",NA(),MATCH(B490,Products!$B$5:$B$204,0)),IFERROR(MATCH(A490,Products!$A$5:$A$204,0),"")))</f>
        <v/>
      </c>
      <c r="L490">
        <f>IF(A490="","",IF(K490="","⚠ not in Products",INDEX(Products!$A$5:$A$204,K490)))</f>
        <v/>
      </c>
      <c r="M490" s="11">
        <f>IF(A490="","",J490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490+IFERROR(INDEX(Settings!$D$5:$D$9,MATCH("Etsy",Settings!$A$5:$A$9,0)),0)*D490)</f>
        <v/>
      </c>
      <c r="N490" s="11">
        <f>IF(A490="","",IF(K490="",0,D490*INDEX(Products!$I$5:$I$204,K490)))</f>
        <v/>
      </c>
      <c r="O490" s="11">
        <f>IF(A490="","",IF(K490="",0,J490*INDEX(Products!$H$5:$H$204,K490)))</f>
        <v/>
      </c>
      <c r="P490" s="11">
        <f>IF(A490="","",J490-M490-N490-O490)</f>
        <v/>
      </c>
    </row>
    <row r="491">
      <c r="A491">
        <f>IFERROR(INDEX('Etsy Import'!$A:$CZ,491,Settings!$C$20)&amp;"","")</f>
        <v/>
      </c>
      <c r="B491">
        <f>IFERROR(INDEX('Etsy Import'!$A:$CZ,491,Settings!$C$21)&amp;"","")</f>
        <v/>
      </c>
      <c r="C491">
        <f>IFERROR(INDEX('Etsy Import'!$A:$CZ,491,Settings!$C$22)&amp;"","")</f>
        <v/>
      </c>
      <c r="D491">
        <f>IF(A491="","",IFERROR(VALUE(SUBSTITUTE(SUBSTITUTE(INDEX('Etsy Import'!$A:$CZ,491,Settings!$C$23)&amp;"","$",""),",","")),0))</f>
        <v/>
      </c>
      <c r="E491" s="11">
        <f>IF(A491="","",IFERROR(VALUE(SUBSTITUTE(SUBSTITUTE(INDEX('Etsy Import'!$A:$CZ,491,Settings!$C$24)&amp;"","$",""),",","")),0))</f>
        <v/>
      </c>
      <c r="F491" s="11">
        <f>IF(A491="","",D491*E491)</f>
        <v/>
      </c>
      <c r="G491">
        <f>IF(A491="","",IF(C491="",1,COUNTIF($C$2:$C$1501,C491)))</f>
        <v/>
      </c>
      <c r="H491" s="11">
        <f>IF(A491="","",IFERROR(VALUE(SUBSTITUTE(SUBSTITUTE(INDEX('Etsy Import'!$A:$CZ,491,Settings!$C$25)&amp;"","$",""),",","")),0)/IF(Settings!$B$27="Yes",G491,1))</f>
        <v/>
      </c>
      <c r="I491" s="11">
        <f>IF(A491="","",IFERROR(VALUE(SUBSTITUTE(SUBSTITUTE(INDEX('Etsy Import'!$A:$CZ,491,Settings!$C$26)&amp;"","$",""),",","")),0)/IF(Settings!$B$27="Yes",G491,1))</f>
        <v/>
      </c>
      <c r="J491" s="11">
        <f>IF(A491="","",F491+H491-I491)</f>
        <v/>
      </c>
      <c r="K491">
        <f>IF(A491="","",IFERROR(IF(B491="",NA(),MATCH(B491,Products!$B$5:$B$204,0)),IFERROR(MATCH(A491,Products!$A$5:$A$204,0),"")))</f>
        <v/>
      </c>
      <c r="L491">
        <f>IF(A491="","",IF(K491="","⚠ not in Products",INDEX(Products!$A$5:$A$204,K491)))</f>
        <v/>
      </c>
      <c r="M491" s="11">
        <f>IF(A491="","",J491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491+IFERROR(INDEX(Settings!$D$5:$D$9,MATCH("Etsy",Settings!$A$5:$A$9,0)),0)*D491)</f>
        <v/>
      </c>
      <c r="N491" s="11">
        <f>IF(A491="","",IF(K491="",0,D491*INDEX(Products!$I$5:$I$204,K491)))</f>
        <v/>
      </c>
      <c r="O491" s="11">
        <f>IF(A491="","",IF(K491="",0,J491*INDEX(Products!$H$5:$H$204,K491)))</f>
        <v/>
      </c>
      <c r="P491" s="11">
        <f>IF(A491="","",J491-M491-N491-O491)</f>
        <v/>
      </c>
    </row>
    <row r="492">
      <c r="A492">
        <f>IFERROR(INDEX('Etsy Import'!$A:$CZ,492,Settings!$C$20)&amp;"","")</f>
        <v/>
      </c>
      <c r="B492">
        <f>IFERROR(INDEX('Etsy Import'!$A:$CZ,492,Settings!$C$21)&amp;"","")</f>
        <v/>
      </c>
      <c r="C492">
        <f>IFERROR(INDEX('Etsy Import'!$A:$CZ,492,Settings!$C$22)&amp;"","")</f>
        <v/>
      </c>
      <c r="D492">
        <f>IF(A492="","",IFERROR(VALUE(SUBSTITUTE(SUBSTITUTE(INDEX('Etsy Import'!$A:$CZ,492,Settings!$C$23)&amp;"","$",""),",","")),0))</f>
        <v/>
      </c>
      <c r="E492" s="11">
        <f>IF(A492="","",IFERROR(VALUE(SUBSTITUTE(SUBSTITUTE(INDEX('Etsy Import'!$A:$CZ,492,Settings!$C$24)&amp;"","$",""),",","")),0))</f>
        <v/>
      </c>
      <c r="F492" s="11">
        <f>IF(A492="","",D492*E492)</f>
        <v/>
      </c>
      <c r="G492">
        <f>IF(A492="","",IF(C492="",1,COUNTIF($C$2:$C$1501,C492)))</f>
        <v/>
      </c>
      <c r="H492" s="11">
        <f>IF(A492="","",IFERROR(VALUE(SUBSTITUTE(SUBSTITUTE(INDEX('Etsy Import'!$A:$CZ,492,Settings!$C$25)&amp;"","$",""),",","")),0)/IF(Settings!$B$27="Yes",G492,1))</f>
        <v/>
      </c>
      <c r="I492" s="11">
        <f>IF(A492="","",IFERROR(VALUE(SUBSTITUTE(SUBSTITUTE(INDEX('Etsy Import'!$A:$CZ,492,Settings!$C$26)&amp;"","$",""),",","")),0)/IF(Settings!$B$27="Yes",G492,1))</f>
        <v/>
      </c>
      <c r="J492" s="11">
        <f>IF(A492="","",F492+H492-I492)</f>
        <v/>
      </c>
      <c r="K492">
        <f>IF(A492="","",IFERROR(IF(B492="",NA(),MATCH(B492,Products!$B$5:$B$204,0)),IFERROR(MATCH(A492,Products!$A$5:$A$204,0),"")))</f>
        <v/>
      </c>
      <c r="L492">
        <f>IF(A492="","",IF(K492="","⚠ not in Products",INDEX(Products!$A$5:$A$204,K492)))</f>
        <v/>
      </c>
      <c r="M492" s="11">
        <f>IF(A492="","",J492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492+IFERROR(INDEX(Settings!$D$5:$D$9,MATCH("Etsy",Settings!$A$5:$A$9,0)),0)*D492)</f>
        <v/>
      </c>
      <c r="N492" s="11">
        <f>IF(A492="","",IF(K492="",0,D492*INDEX(Products!$I$5:$I$204,K492)))</f>
        <v/>
      </c>
      <c r="O492" s="11">
        <f>IF(A492="","",IF(K492="",0,J492*INDEX(Products!$H$5:$H$204,K492)))</f>
        <v/>
      </c>
      <c r="P492" s="11">
        <f>IF(A492="","",J492-M492-N492-O492)</f>
        <v/>
      </c>
    </row>
    <row r="493">
      <c r="A493">
        <f>IFERROR(INDEX('Etsy Import'!$A:$CZ,493,Settings!$C$20)&amp;"","")</f>
        <v/>
      </c>
      <c r="B493">
        <f>IFERROR(INDEX('Etsy Import'!$A:$CZ,493,Settings!$C$21)&amp;"","")</f>
        <v/>
      </c>
      <c r="C493">
        <f>IFERROR(INDEX('Etsy Import'!$A:$CZ,493,Settings!$C$22)&amp;"","")</f>
        <v/>
      </c>
      <c r="D493">
        <f>IF(A493="","",IFERROR(VALUE(SUBSTITUTE(SUBSTITUTE(INDEX('Etsy Import'!$A:$CZ,493,Settings!$C$23)&amp;"","$",""),",","")),0))</f>
        <v/>
      </c>
      <c r="E493" s="11">
        <f>IF(A493="","",IFERROR(VALUE(SUBSTITUTE(SUBSTITUTE(INDEX('Etsy Import'!$A:$CZ,493,Settings!$C$24)&amp;"","$",""),",","")),0))</f>
        <v/>
      </c>
      <c r="F493" s="11">
        <f>IF(A493="","",D493*E493)</f>
        <v/>
      </c>
      <c r="G493">
        <f>IF(A493="","",IF(C493="",1,COUNTIF($C$2:$C$1501,C493)))</f>
        <v/>
      </c>
      <c r="H493" s="11">
        <f>IF(A493="","",IFERROR(VALUE(SUBSTITUTE(SUBSTITUTE(INDEX('Etsy Import'!$A:$CZ,493,Settings!$C$25)&amp;"","$",""),",","")),0)/IF(Settings!$B$27="Yes",G493,1))</f>
        <v/>
      </c>
      <c r="I493" s="11">
        <f>IF(A493="","",IFERROR(VALUE(SUBSTITUTE(SUBSTITUTE(INDEX('Etsy Import'!$A:$CZ,493,Settings!$C$26)&amp;"","$",""),",","")),0)/IF(Settings!$B$27="Yes",G493,1))</f>
        <v/>
      </c>
      <c r="J493" s="11">
        <f>IF(A493="","",F493+H493-I493)</f>
        <v/>
      </c>
      <c r="K493">
        <f>IF(A493="","",IFERROR(IF(B493="",NA(),MATCH(B493,Products!$B$5:$B$204,0)),IFERROR(MATCH(A493,Products!$A$5:$A$204,0),"")))</f>
        <v/>
      </c>
      <c r="L493">
        <f>IF(A493="","",IF(K493="","⚠ not in Products",INDEX(Products!$A$5:$A$204,K493)))</f>
        <v/>
      </c>
      <c r="M493" s="11">
        <f>IF(A493="","",J493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493+IFERROR(INDEX(Settings!$D$5:$D$9,MATCH("Etsy",Settings!$A$5:$A$9,0)),0)*D493)</f>
        <v/>
      </c>
      <c r="N493" s="11">
        <f>IF(A493="","",IF(K493="",0,D493*INDEX(Products!$I$5:$I$204,K493)))</f>
        <v/>
      </c>
      <c r="O493" s="11">
        <f>IF(A493="","",IF(K493="",0,J493*INDEX(Products!$H$5:$H$204,K493)))</f>
        <v/>
      </c>
      <c r="P493" s="11">
        <f>IF(A493="","",J493-M493-N493-O493)</f>
        <v/>
      </c>
    </row>
    <row r="494">
      <c r="A494">
        <f>IFERROR(INDEX('Etsy Import'!$A:$CZ,494,Settings!$C$20)&amp;"","")</f>
        <v/>
      </c>
      <c r="B494">
        <f>IFERROR(INDEX('Etsy Import'!$A:$CZ,494,Settings!$C$21)&amp;"","")</f>
        <v/>
      </c>
      <c r="C494">
        <f>IFERROR(INDEX('Etsy Import'!$A:$CZ,494,Settings!$C$22)&amp;"","")</f>
        <v/>
      </c>
      <c r="D494">
        <f>IF(A494="","",IFERROR(VALUE(SUBSTITUTE(SUBSTITUTE(INDEX('Etsy Import'!$A:$CZ,494,Settings!$C$23)&amp;"","$",""),",","")),0))</f>
        <v/>
      </c>
      <c r="E494" s="11">
        <f>IF(A494="","",IFERROR(VALUE(SUBSTITUTE(SUBSTITUTE(INDEX('Etsy Import'!$A:$CZ,494,Settings!$C$24)&amp;"","$",""),",","")),0))</f>
        <v/>
      </c>
      <c r="F494" s="11">
        <f>IF(A494="","",D494*E494)</f>
        <v/>
      </c>
      <c r="G494">
        <f>IF(A494="","",IF(C494="",1,COUNTIF($C$2:$C$1501,C494)))</f>
        <v/>
      </c>
      <c r="H494" s="11">
        <f>IF(A494="","",IFERROR(VALUE(SUBSTITUTE(SUBSTITUTE(INDEX('Etsy Import'!$A:$CZ,494,Settings!$C$25)&amp;"","$",""),",","")),0)/IF(Settings!$B$27="Yes",G494,1))</f>
        <v/>
      </c>
      <c r="I494" s="11">
        <f>IF(A494="","",IFERROR(VALUE(SUBSTITUTE(SUBSTITUTE(INDEX('Etsy Import'!$A:$CZ,494,Settings!$C$26)&amp;"","$",""),",","")),0)/IF(Settings!$B$27="Yes",G494,1))</f>
        <v/>
      </c>
      <c r="J494" s="11">
        <f>IF(A494="","",F494+H494-I494)</f>
        <v/>
      </c>
      <c r="K494">
        <f>IF(A494="","",IFERROR(IF(B494="",NA(),MATCH(B494,Products!$B$5:$B$204,0)),IFERROR(MATCH(A494,Products!$A$5:$A$204,0),"")))</f>
        <v/>
      </c>
      <c r="L494">
        <f>IF(A494="","",IF(K494="","⚠ not in Products",INDEX(Products!$A$5:$A$204,K494)))</f>
        <v/>
      </c>
      <c r="M494" s="11">
        <f>IF(A494="","",J494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494+IFERROR(INDEX(Settings!$D$5:$D$9,MATCH("Etsy",Settings!$A$5:$A$9,0)),0)*D494)</f>
        <v/>
      </c>
      <c r="N494" s="11">
        <f>IF(A494="","",IF(K494="",0,D494*INDEX(Products!$I$5:$I$204,K494)))</f>
        <v/>
      </c>
      <c r="O494" s="11">
        <f>IF(A494="","",IF(K494="",0,J494*INDEX(Products!$H$5:$H$204,K494)))</f>
        <v/>
      </c>
      <c r="P494" s="11">
        <f>IF(A494="","",J494-M494-N494-O494)</f>
        <v/>
      </c>
    </row>
    <row r="495">
      <c r="A495">
        <f>IFERROR(INDEX('Etsy Import'!$A:$CZ,495,Settings!$C$20)&amp;"","")</f>
        <v/>
      </c>
      <c r="B495">
        <f>IFERROR(INDEX('Etsy Import'!$A:$CZ,495,Settings!$C$21)&amp;"","")</f>
        <v/>
      </c>
      <c r="C495">
        <f>IFERROR(INDEX('Etsy Import'!$A:$CZ,495,Settings!$C$22)&amp;"","")</f>
        <v/>
      </c>
      <c r="D495">
        <f>IF(A495="","",IFERROR(VALUE(SUBSTITUTE(SUBSTITUTE(INDEX('Etsy Import'!$A:$CZ,495,Settings!$C$23)&amp;"","$",""),",","")),0))</f>
        <v/>
      </c>
      <c r="E495" s="11">
        <f>IF(A495="","",IFERROR(VALUE(SUBSTITUTE(SUBSTITUTE(INDEX('Etsy Import'!$A:$CZ,495,Settings!$C$24)&amp;"","$",""),",","")),0))</f>
        <v/>
      </c>
      <c r="F495" s="11">
        <f>IF(A495="","",D495*E495)</f>
        <v/>
      </c>
      <c r="G495">
        <f>IF(A495="","",IF(C495="",1,COUNTIF($C$2:$C$1501,C495)))</f>
        <v/>
      </c>
      <c r="H495" s="11">
        <f>IF(A495="","",IFERROR(VALUE(SUBSTITUTE(SUBSTITUTE(INDEX('Etsy Import'!$A:$CZ,495,Settings!$C$25)&amp;"","$",""),",","")),0)/IF(Settings!$B$27="Yes",G495,1))</f>
        <v/>
      </c>
      <c r="I495" s="11">
        <f>IF(A495="","",IFERROR(VALUE(SUBSTITUTE(SUBSTITUTE(INDEX('Etsy Import'!$A:$CZ,495,Settings!$C$26)&amp;"","$",""),",","")),0)/IF(Settings!$B$27="Yes",G495,1))</f>
        <v/>
      </c>
      <c r="J495" s="11">
        <f>IF(A495="","",F495+H495-I495)</f>
        <v/>
      </c>
      <c r="K495">
        <f>IF(A495="","",IFERROR(IF(B495="",NA(),MATCH(B495,Products!$B$5:$B$204,0)),IFERROR(MATCH(A495,Products!$A$5:$A$204,0),"")))</f>
        <v/>
      </c>
      <c r="L495">
        <f>IF(A495="","",IF(K495="","⚠ not in Products",INDEX(Products!$A$5:$A$204,K495)))</f>
        <v/>
      </c>
      <c r="M495" s="11">
        <f>IF(A495="","",J495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495+IFERROR(INDEX(Settings!$D$5:$D$9,MATCH("Etsy",Settings!$A$5:$A$9,0)),0)*D495)</f>
        <v/>
      </c>
      <c r="N495" s="11">
        <f>IF(A495="","",IF(K495="",0,D495*INDEX(Products!$I$5:$I$204,K495)))</f>
        <v/>
      </c>
      <c r="O495" s="11">
        <f>IF(A495="","",IF(K495="",0,J495*INDEX(Products!$H$5:$H$204,K495)))</f>
        <v/>
      </c>
      <c r="P495" s="11">
        <f>IF(A495="","",J495-M495-N495-O495)</f>
        <v/>
      </c>
    </row>
    <row r="496">
      <c r="A496">
        <f>IFERROR(INDEX('Etsy Import'!$A:$CZ,496,Settings!$C$20)&amp;"","")</f>
        <v/>
      </c>
      <c r="B496">
        <f>IFERROR(INDEX('Etsy Import'!$A:$CZ,496,Settings!$C$21)&amp;"","")</f>
        <v/>
      </c>
      <c r="C496">
        <f>IFERROR(INDEX('Etsy Import'!$A:$CZ,496,Settings!$C$22)&amp;"","")</f>
        <v/>
      </c>
      <c r="D496">
        <f>IF(A496="","",IFERROR(VALUE(SUBSTITUTE(SUBSTITUTE(INDEX('Etsy Import'!$A:$CZ,496,Settings!$C$23)&amp;"","$",""),",","")),0))</f>
        <v/>
      </c>
      <c r="E496" s="11">
        <f>IF(A496="","",IFERROR(VALUE(SUBSTITUTE(SUBSTITUTE(INDEX('Etsy Import'!$A:$CZ,496,Settings!$C$24)&amp;"","$",""),",","")),0))</f>
        <v/>
      </c>
      <c r="F496" s="11">
        <f>IF(A496="","",D496*E496)</f>
        <v/>
      </c>
      <c r="G496">
        <f>IF(A496="","",IF(C496="",1,COUNTIF($C$2:$C$1501,C496)))</f>
        <v/>
      </c>
      <c r="H496" s="11">
        <f>IF(A496="","",IFERROR(VALUE(SUBSTITUTE(SUBSTITUTE(INDEX('Etsy Import'!$A:$CZ,496,Settings!$C$25)&amp;"","$",""),",","")),0)/IF(Settings!$B$27="Yes",G496,1))</f>
        <v/>
      </c>
      <c r="I496" s="11">
        <f>IF(A496="","",IFERROR(VALUE(SUBSTITUTE(SUBSTITUTE(INDEX('Etsy Import'!$A:$CZ,496,Settings!$C$26)&amp;"","$",""),",","")),0)/IF(Settings!$B$27="Yes",G496,1))</f>
        <v/>
      </c>
      <c r="J496" s="11">
        <f>IF(A496="","",F496+H496-I496)</f>
        <v/>
      </c>
      <c r="K496">
        <f>IF(A496="","",IFERROR(IF(B496="",NA(),MATCH(B496,Products!$B$5:$B$204,0)),IFERROR(MATCH(A496,Products!$A$5:$A$204,0),"")))</f>
        <v/>
      </c>
      <c r="L496">
        <f>IF(A496="","",IF(K496="","⚠ not in Products",INDEX(Products!$A$5:$A$204,K496)))</f>
        <v/>
      </c>
      <c r="M496" s="11">
        <f>IF(A496="","",J496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496+IFERROR(INDEX(Settings!$D$5:$D$9,MATCH("Etsy",Settings!$A$5:$A$9,0)),0)*D496)</f>
        <v/>
      </c>
      <c r="N496" s="11">
        <f>IF(A496="","",IF(K496="",0,D496*INDEX(Products!$I$5:$I$204,K496)))</f>
        <v/>
      </c>
      <c r="O496" s="11">
        <f>IF(A496="","",IF(K496="",0,J496*INDEX(Products!$H$5:$H$204,K496)))</f>
        <v/>
      </c>
      <c r="P496" s="11">
        <f>IF(A496="","",J496-M496-N496-O496)</f>
        <v/>
      </c>
    </row>
    <row r="497">
      <c r="A497">
        <f>IFERROR(INDEX('Etsy Import'!$A:$CZ,497,Settings!$C$20)&amp;"","")</f>
        <v/>
      </c>
      <c r="B497">
        <f>IFERROR(INDEX('Etsy Import'!$A:$CZ,497,Settings!$C$21)&amp;"","")</f>
        <v/>
      </c>
      <c r="C497">
        <f>IFERROR(INDEX('Etsy Import'!$A:$CZ,497,Settings!$C$22)&amp;"","")</f>
        <v/>
      </c>
      <c r="D497">
        <f>IF(A497="","",IFERROR(VALUE(SUBSTITUTE(SUBSTITUTE(INDEX('Etsy Import'!$A:$CZ,497,Settings!$C$23)&amp;"","$",""),",","")),0))</f>
        <v/>
      </c>
      <c r="E497" s="11">
        <f>IF(A497="","",IFERROR(VALUE(SUBSTITUTE(SUBSTITUTE(INDEX('Etsy Import'!$A:$CZ,497,Settings!$C$24)&amp;"","$",""),",","")),0))</f>
        <v/>
      </c>
      <c r="F497" s="11">
        <f>IF(A497="","",D497*E497)</f>
        <v/>
      </c>
      <c r="G497">
        <f>IF(A497="","",IF(C497="",1,COUNTIF($C$2:$C$1501,C497)))</f>
        <v/>
      </c>
      <c r="H497" s="11">
        <f>IF(A497="","",IFERROR(VALUE(SUBSTITUTE(SUBSTITUTE(INDEX('Etsy Import'!$A:$CZ,497,Settings!$C$25)&amp;"","$",""),",","")),0)/IF(Settings!$B$27="Yes",G497,1))</f>
        <v/>
      </c>
      <c r="I497" s="11">
        <f>IF(A497="","",IFERROR(VALUE(SUBSTITUTE(SUBSTITUTE(INDEX('Etsy Import'!$A:$CZ,497,Settings!$C$26)&amp;"","$",""),",","")),0)/IF(Settings!$B$27="Yes",G497,1))</f>
        <v/>
      </c>
      <c r="J497" s="11">
        <f>IF(A497="","",F497+H497-I497)</f>
        <v/>
      </c>
      <c r="K497">
        <f>IF(A497="","",IFERROR(IF(B497="",NA(),MATCH(B497,Products!$B$5:$B$204,0)),IFERROR(MATCH(A497,Products!$A$5:$A$204,0),"")))</f>
        <v/>
      </c>
      <c r="L497">
        <f>IF(A497="","",IF(K497="","⚠ not in Products",INDEX(Products!$A$5:$A$204,K497)))</f>
        <v/>
      </c>
      <c r="M497" s="11">
        <f>IF(A497="","",J497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497+IFERROR(INDEX(Settings!$D$5:$D$9,MATCH("Etsy",Settings!$A$5:$A$9,0)),0)*D497)</f>
        <v/>
      </c>
      <c r="N497" s="11">
        <f>IF(A497="","",IF(K497="",0,D497*INDEX(Products!$I$5:$I$204,K497)))</f>
        <v/>
      </c>
      <c r="O497" s="11">
        <f>IF(A497="","",IF(K497="",0,J497*INDEX(Products!$H$5:$H$204,K497)))</f>
        <v/>
      </c>
      <c r="P497" s="11">
        <f>IF(A497="","",J497-M497-N497-O497)</f>
        <v/>
      </c>
    </row>
    <row r="498">
      <c r="A498">
        <f>IFERROR(INDEX('Etsy Import'!$A:$CZ,498,Settings!$C$20)&amp;"","")</f>
        <v/>
      </c>
      <c r="B498">
        <f>IFERROR(INDEX('Etsy Import'!$A:$CZ,498,Settings!$C$21)&amp;"","")</f>
        <v/>
      </c>
      <c r="C498">
        <f>IFERROR(INDEX('Etsy Import'!$A:$CZ,498,Settings!$C$22)&amp;"","")</f>
        <v/>
      </c>
      <c r="D498">
        <f>IF(A498="","",IFERROR(VALUE(SUBSTITUTE(SUBSTITUTE(INDEX('Etsy Import'!$A:$CZ,498,Settings!$C$23)&amp;"","$",""),",","")),0))</f>
        <v/>
      </c>
      <c r="E498" s="11">
        <f>IF(A498="","",IFERROR(VALUE(SUBSTITUTE(SUBSTITUTE(INDEX('Etsy Import'!$A:$CZ,498,Settings!$C$24)&amp;"","$",""),",","")),0))</f>
        <v/>
      </c>
      <c r="F498" s="11">
        <f>IF(A498="","",D498*E498)</f>
        <v/>
      </c>
      <c r="G498">
        <f>IF(A498="","",IF(C498="",1,COUNTIF($C$2:$C$1501,C498)))</f>
        <v/>
      </c>
      <c r="H498" s="11">
        <f>IF(A498="","",IFERROR(VALUE(SUBSTITUTE(SUBSTITUTE(INDEX('Etsy Import'!$A:$CZ,498,Settings!$C$25)&amp;"","$",""),",","")),0)/IF(Settings!$B$27="Yes",G498,1))</f>
        <v/>
      </c>
      <c r="I498" s="11">
        <f>IF(A498="","",IFERROR(VALUE(SUBSTITUTE(SUBSTITUTE(INDEX('Etsy Import'!$A:$CZ,498,Settings!$C$26)&amp;"","$",""),",","")),0)/IF(Settings!$B$27="Yes",G498,1))</f>
        <v/>
      </c>
      <c r="J498" s="11">
        <f>IF(A498="","",F498+H498-I498)</f>
        <v/>
      </c>
      <c r="K498">
        <f>IF(A498="","",IFERROR(IF(B498="",NA(),MATCH(B498,Products!$B$5:$B$204,0)),IFERROR(MATCH(A498,Products!$A$5:$A$204,0),"")))</f>
        <v/>
      </c>
      <c r="L498">
        <f>IF(A498="","",IF(K498="","⚠ not in Products",INDEX(Products!$A$5:$A$204,K498)))</f>
        <v/>
      </c>
      <c r="M498" s="11">
        <f>IF(A498="","",J498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498+IFERROR(INDEX(Settings!$D$5:$D$9,MATCH("Etsy",Settings!$A$5:$A$9,0)),0)*D498)</f>
        <v/>
      </c>
      <c r="N498" s="11">
        <f>IF(A498="","",IF(K498="",0,D498*INDEX(Products!$I$5:$I$204,K498)))</f>
        <v/>
      </c>
      <c r="O498" s="11">
        <f>IF(A498="","",IF(K498="",0,J498*INDEX(Products!$H$5:$H$204,K498)))</f>
        <v/>
      </c>
      <c r="P498" s="11">
        <f>IF(A498="","",J498-M498-N498-O498)</f>
        <v/>
      </c>
    </row>
    <row r="499">
      <c r="A499">
        <f>IFERROR(INDEX('Etsy Import'!$A:$CZ,499,Settings!$C$20)&amp;"","")</f>
        <v/>
      </c>
      <c r="B499">
        <f>IFERROR(INDEX('Etsy Import'!$A:$CZ,499,Settings!$C$21)&amp;"","")</f>
        <v/>
      </c>
      <c r="C499">
        <f>IFERROR(INDEX('Etsy Import'!$A:$CZ,499,Settings!$C$22)&amp;"","")</f>
        <v/>
      </c>
      <c r="D499">
        <f>IF(A499="","",IFERROR(VALUE(SUBSTITUTE(SUBSTITUTE(INDEX('Etsy Import'!$A:$CZ,499,Settings!$C$23)&amp;"","$",""),",","")),0))</f>
        <v/>
      </c>
      <c r="E499" s="11">
        <f>IF(A499="","",IFERROR(VALUE(SUBSTITUTE(SUBSTITUTE(INDEX('Etsy Import'!$A:$CZ,499,Settings!$C$24)&amp;"","$",""),",","")),0))</f>
        <v/>
      </c>
      <c r="F499" s="11">
        <f>IF(A499="","",D499*E499)</f>
        <v/>
      </c>
      <c r="G499">
        <f>IF(A499="","",IF(C499="",1,COUNTIF($C$2:$C$1501,C499)))</f>
        <v/>
      </c>
      <c r="H499" s="11">
        <f>IF(A499="","",IFERROR(VALUE(SUBSTITUTE(SUBSTITUTE(INDEX('Etsy Import'!$A:$CZ,499,Settings!$C$25)&amp;"","$",""),",","")),0)/IF(Settings!$B$27="Yes",G499,1))</f>
        <v/>
      </c>
      <c r="I499" s="11">
        <f>IF(A499="","",IFERROR(VALUE(SUBSTITUTE(SUBSTITUTE(INDEX('Etsy Import'!$A:$CZ,499,Settings!$C$26)&amp;"","$",""),",","")),0)/IF(Settings!$B$27="Yes",G499,1))</f>
        <v/>
      </c>
      <c r="J499" s="11">
        <f>IF(A499="","",F499+H499-I499)</f>
        <v/>
      </c>
      <c r="K499">
        <f>IF(A499="","",IFERROR(IF(B499="",NA(),MATCH(B499,Products!$B$5:$B$204,0)),IFERROR(MATCH(A499,Products!$A$5:$A$204,0),"")))</f>
        <v/>
      </c>
      <c r="L499">
        <f>IF(A499="","",IF(K499="","⚠ not in Products",INDEX(Products!$A$5:$A$204,K499)))</f>
        <v/>
      </c>
      <c r="M499" s="11">
        <f>IF(A499="","",J499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499+IFERROR(INDEX(Settings!$D$5:$D$9,MATCH("Etsy",Settings!$A$5:$A$9,0)),0)*D499)</f>
        <v/>
      </c>
      <c r="N499" s="11">
        <f>IF(A499="","",IF(K499="",0,D499*INDEX(Products!$I$5:$I$204,K499)))</f>
        <v/>
      </c>
      <c r="O499" s="11">
        <f>IF(A499="","",IF(K499="",0,J499*INDEX(Products!$H$5:$H$204,K499)))</f>
        <v/>
      </c>
      <c r="P499" s="11">
        <f>IF(A499="","",J499-M499-N499-O499)</f>
        <v/>
      </c>
    </row>
    <row r="500">
      <c r="A500">
        <f>IFERROR(INDEX('Etsy Import'!$A:$CZ,500,Settings!$C$20)&amp;"","")</f>
        <v/>
      </c>
      <c r="B500">
        <f>IFERROR(INDEX('Etsy Import'!$A:$CZ,500,Settings!$C$21)&amp;"","")</f>
        <v/>
      </c>
      <c r="C500">
        <f>IFERROR(INDEX('Etsy Import'!$A:$CZ,500,Settings!$C$22)&amp;"","")</f>
        <v/>
      </c>
      <c r="D500">
        <f>IF(A500="","",IFERROR(VALUE(SUBSTITUTE(SUBSTITUTE(INDEX('Etsy Import'!$A:$CZ,500,Settings!$C$23)&amp;"","$",""),",","")),0))</f>
        <v/>
      </c>
      <c r="E500" s="11">
        <f>IF(A500="","",IFERROR(VALUE(SUBSTITUTE(SUBSTITUTE(INDEX('Etsy Import'!$A:$CZ,500,Settings!$C$24)&amp;"","$",""),",","")),0))</f>
        <v/>
      </c>
      <c r="F500" s="11">
        <f>IF(A500="","",D500*E500)</f>
        <v/>
      </c>
      <c r="G500">
        <f>IF(A500="","",IF(C500="",1,COUNTIF($C$2:$C$1501,C500)))</f>
        <v/>
      </c>
      <c r="H500" s="11">
        <f>IF(A500="","",IFERROR(VALUE(SUBSTITUTE(SUBSTITUTE(INDEX('Etsy Import'!$A:$CZ,500,Settings!$C$25)&amp;"","$",""),",","")),0)/IF(Settings!$B$27="Yes",G500,1))</f>
        <v/>
      </c>
      <c r="I500" s="11">
        <f>IF(A500="","",IFERROR(VALUE(SUBSTITUTE(SUBSTITUTE(INDEX('Etsy Import'!$A:$CZ,500,Settings!$C$26)&amp;"","$",""),",","")),0)/IF(Settings!$B$27="Yes",G500,1))</f>
        <v/>
      </c>
      <c r="J500" s="11">
        <f>IF(A500="","",F500+H500-I500)</f>
        <v/>
      </c>
      <c r="K500">
        <f>IF(A500="","",IFERROR(IF(B500="",NA(),MATCH(B500,Products!$B$5:$B$204,0)),IFERROR(MATCH(A500,Products!$A$5:$A$204,0),"")))</f>
        <v/>
      </c>
      <c r="L500">
        <f>IF(A500="","",IF(K500="","⚠ not in Products",INDEX(Products!$A$5:$A$204,K500)))</f>
        <v/>
      </c>
      <c r="M500" s="11">
        <f>IF(A500="","",J500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500+IFERROR(INDEX(Settings!$D$5:$D$9,MATCH("Etsy",Settings!$A$5:$A$9,0)),0)*D500)</f>
        <v/>
      </c>
      <c r="N500" s="11">
        <f>IF(A500="","",IF(K500="",0,D500*INDEX(Products!$I$5:$I$204,K500)))</f>
        <v/>
      </c>
      <c r="O500" s="11">
        <f>IF(A500="","",IF(K500="",0,J500*INDEX(Products!$H$5:$H$204,K500)))</f>
        <v/>
      </c>
      <c r="P500" s="11">
        <f>IF(A500="","",J500-M500-N500-O500)</f>
        <v/>
      </c>
    </row>
    <row r="501">
      <c r="A501">
        <f>IFERROR(INDEX('Etsy Import'!$A:$CZ,501,Settings!$C$20)&amp;"","")</f>
        <v/>
      </c>
      <c r="B501">
        <f>IFERROR(INDEX('Etsy Import'!$A:$CZ,501,Settings!$C$21)&amp;"","")</f>
        <v/>
      </c>
      <c r="C501">
        <f>IFERROR(INDEX('Etsy Import'!$A:$CZ,501,Settings!$C$22)&amp;"","")</f>
        <v/>
      </c>
      <c r="D501">
        <f>IF(A501="","",IFERROR(VALUE(SUBSTITUTE(SUBSTITUTE(INDEX('Etsy Import'!$A:$CZ,501,Settings!$C$23)&amp;"","$",""),",","")),0))</f>
        <v/>
      </c>
      <c r="E501" s="11">
        <f>IF(A501="","",IFERROR(VALUE(SUBSTITUTE(SUBSTITUTE(INDEX('Etsy Import'!$A:$CZ,501,Settings!$C$24)&amp;"","$",""),",","")),0))</f>
        <v/>
      </c>
      <c r="F501" s="11">
        <f>IF(A501="","",D501*E501)</f>
        <v/>
      </c>
      <c r="G501">
        <f>IF(A501="","",IF(C501="",1,COUNTIF($C$2:$C$1501,C501)))</f>
        <v/>
      </c>
      <c r="H501" s="11">
        <f>IF(A501="","",IFERROR(VALUE(SUBSTITUTE(SUBSTITUTE(INDEX('Etsy Import'!$A:$CZ,501,Settings!$C$25)&amp;"","$",""),",","")),0)/IF(Settings!$B$27="Yes",G501,1))</f>
        <v/>
      </c>
      <c r="I501" s="11">
        <f>IF(A501="","",IFERROR(VALUE(SUBSTITUTE(SUBSTITUTE(INDEX('Etsy Import'!$A:$CZ,501,Settings!$C$26)&amp;"","$",""),",","")),0)/IF(Settings!$B$27="Yes",G501,1))</f>
        <v/>
      </c>
      <c r="J501" s="11">
        <f>IF(A501="","",F501+H501-I501)</f>
        <v/>
      </c>
      <c r="K501">
        <f>IF(A501="","",IFERROR(IF(B501="",NA(),MATCH(B501,Products!$B$5:$B$204,0)),IFERROR(MATCH(A501,Products!$A$5:$A$204,0),"")))</f>
        <v/>
      </c>
      <c r="L501">
        <f>IF(A501="","",IF(K501="","⚠ not in Products",INDEX(Products!$A$5:$A$204,K501)))</f>
        <v/>
      </c>
      <c r="M501" s="11">
        <f>IF(A501="","",J501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501+IFERROR(INDEX(Settings!$D$5:$D$9,MATCH("Etsy",Settings!$A$5:$A$9,0)),0)*D501)</f>
        <v/>
      </c>
      <c r="N501" s="11">
        <f>IF(A501="","",IF(K501="",0,D501*INDEX(Products!$I$5:$I$204,K501)))</f>
        <v/>
      </c>
      <c r="O501" s="11">
        <f>IF(A501="","",IF(K501="",0,J501*INDEX(Products!$H$5:$H$204,K501)))</f>
        <v/>
      </c>
      <c r="P501" s="11">
        <f>IF(A501="","",J501-M501-N501-O501)</f>
        <v/>
      </c>
    </row>
    <row r="502">
      <c r="A502">
        <f>IFERROR(INDEX('Etsy Import'!$A:$CZ,502,Settings!$C$20)&amp;"","")</f>
        <v/>
      </c>
      <c r="B502">
        <f>IFERROR(INDEX('Etsy Import'!$A:$CZ,502,Settings!$C$21)&amp;"","")</f>
        <v/>
      </c>
      <c r="C502">
        <f>IFERROR(INDEX('Etsy Import'!$A:$CZ,502,Settings!$C$22)&amp;"","")</f>
        <v/>
      </c>
      <c r="D502">
        <f>IF(A502="","",IFERROR(VALUE(SUBSTITUTE(SUBSTITUTE(INDEX('Etsy Import'!$A:$CZ,502,Settings!$C$23)&amp;"","$",""),",","")),0))</f>
        <v/>
      </c>
      <c r="E502" s="11">
        <f>IF(A502="","",IFERROR(VALUE(SUBSTITUTE(SUBSTITUTE(INDEX('Etsy Import'!$A:$CZ,502,Settings!$C$24)&amp;"","$",""),",","")),0))</f>
        <v/>
      </c>
      <c r="F502" s="11">
        <f>IF(A502="","",D502*E502)</f>
        <v/>
      </c>
      <c r="G502">
        <f>IF(A502="","",IF(C502="",1,COUNTIF($C$2:$C$1501,C502)))</f>
        <v/>
      </c>
      <c r="H502" s="11">
        <f>IF(A502="","",IFERROR(VALUE(SUBSTITUTE(SUBSTITUTE(INDEX('Etsy Import'!$A:$CZ,502,Settings!$C$25)&amp;"","$",""),",","")),0)/IF(Settings!$B$27="Yes",G502,1))</f>
        <v/>
      </c>
      <c r="I502" s="11">
        <f>IF(A502="","",IFERROR(VALUE(SUBSTITUTE(SUBSTITUTE(INDEX('Etsy Import'!$A:$CZ,502,Settings!$C$26)&amp;"","$",""),",","")),0)/IF(Settings!$B$27="Yes",G502,1))</f>
        <v/>
      </c>
      <c r="J502" s="11">
        <f>IF(A502="","",F502+H502-I502)</f>
        <v/>
      </c>
      <c r="K502">
        <f>IF(A502="","",IFERROR(IF(B502="",NA(),MATCH(B502,Products!$B$5:$B$204,0)),IFERROR(MATCH(A502,Products!$A$5:$A$204,0),"")))</f>
        <v/>
      </c>
      <c r="L502">
        <f>IF(A502="","",IF(K502="","⚠ not in Products",INDEX(Products!$A$5:$A$204,K502)))</f>
        <v/>
      </c>
      <c r="M502" s="11">
        <f>IF(A502="","",J502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502+IFERROR(INDEX(Settings!$D$5:$D$9,MATCH("Etsy",Settings!$A$5:$A$9,0)),0)*D502)</f>
        <v/>
      </c>
      <c r="N502" s="11">
        <f>IF(A502="","",IF(K502="",0,D502*INDEX(Products!$I$5:$I$204,K502)))</f>
        <v/>
      </c>
      <c r="O502" s="11">
        <f>IF(A502="","",IF(K502="",0,J502*INDEX(Products!$H$5:$H$204,K502)))</f>
        <v/>
      </c>
      <c r="P502" s="11">
        <f>IF(A502="","",J502-M502-N502-O502)</f>
        <v/>
      </c>
    </row>
    <row r="503">
      <c r="A503">
        <f>IFERROR(INDEX('Etsy Import'!$A:$CZ,503,Settings!$C$20)&amp;"","")</f>
        <v/>
      </c>
      <c r="B503">
        <f>IFERROR(INDEX('Etsy Import'!$A:$CZ,503,Settings!$C$21)&amp;"","")</f>
        <v/>
      </c>
      <c r="C503">
        <f>IFERROR(INDEX('Etsy Import'!$A:$CZ,503,Settings!$C$22)&amp;"","")</f>
        <v/>
      </c>
      <c r="D503">
        <f>IF(A503="","",IFERROR(VALUE(SUBSTITUTE(SUBSTITUTE(INDEX('Etsy Import'!$A:$CZ,503,Settings!$C$23)&amp;"","$",""),",","")),0))</f>
        <v/>
      </c>
      <c r="E503" s="11">
        <f>IF(A503="","",IFERROR(VALUE(SUBSTITUTE(SUBSTITUTE(INDEX('Etsy Import'!$A:$CZ,503,Settings!$C$24)&amp;"","$",""),",","")),0))</f>
        <v/>
      </c>
      <c r="F503" s="11">
        <f>IF(A503="","",D503*E503)</f>
        <v/>
      </c>
      <c r="G503">
        <f>IF(A503="","",IF(C503="",1,COUNTIF($C$2:$C$1501,C503)))</f>
        <v/>
      </c>
      <c r="H503" s="11">
        <f>IF(A503="","",IFERROR(VALUE(SUBSTITUTE(SUBSTITUTE(INDEX('Etsy Import'!$A:$CZ,503,Settings!$C$25)&amp;"","$",""),",","")),0)/IF(Settings!$B$27="Yes",G503,1))</f>
        <v/>
      </c>
      <c r="I503" s="11">
        <f>IF(A503="","",IFERROR(VALUE(SUBSTITUTE(SUBSTITUTE(INDEX('Etsy Import'!$A:$CZ,503,Settings!$C$26)&amp;"","$",""),",","")),0)/IF(Settings!$B$27="Yes",G503,1))</f>
        <v/>
      </c>
      <c r="J503" s="11">
        <f>IF(A503="","",F503+H503-I503)</f>
        <v/>
      </c>
      <c r="K503">
        <f>IF(A503="","",IFERROR(IF(B503="",NA(),MATCH(B503,Products!$B$5:$B$204,0)),IFERROR(MATCH(A503,Products!$A$5:$A$204,0),"")))</f>
        <v/>
      </c>
      <c r="L503">
        <f>IF(A503="","",IF(K503="","⚠ not in Products",INDEX(Products!$A$5:$A$204,K503)))</f>
        <v/>
      </c>
      <c r="M503" s="11">
        <f>IF(A503="","",J503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503+IFERROR(INDEX(Settings!$D$5:$D$9,MATCH("Etsy",Settings!$A$5:$A$9,0)),0)*D503)</f>
        <v/>
      </c>
      <c r="N503" s="11">
        <f>IF(A503="","",IF(K503="",0,D503*INDEX(Products!$I$5:$I$204,K503)))</f>
        <v/>
      </c>
      <c r="O503" s="11">
        <f>IF(A503="","",IF(K503="",0,J503*INDEX(Products!$H$5:$H$204,K503)))</f>
        <v/>
      </c>
      <c r="P503" s="11">
        <f>IF(A503="","",J503-M503-N503-O503)</f>
        <v/>
      </c>
    </row>
    <row r="504">
      <c r="A504">
        <f>IFERROR(INDEX('Etsy Import'!$A:$CZ,504,Settings!$C$20)&amp;"","")</f>
        <v/>
      </c>
      <c r="B504">
        <f>IFERROR(INDEX('Etsy Import'!$A:$CZ,504,Settings!$C$21)&amp;"","")</f>
        <v/>
      </c>
      <c r="C504">
        <f>IFERROR(INDEX('Etsy Import'!$A:$CZ,504,Settings!$C$22)&amp;"","")</f>
        <v/>
      </c>
      <c r="D504">
        <f>IF(A504="","",IFERROR(VALUE(SUBSTITUTE(SUBSTITUTE(INDEX('Etsy Import'!$A:$CZ,504,Settings!$C$23)&amp;"","$",""),",","")),0))</f>
        <v/>
      </c>
      <c r="E504" s="11">
        <f>IF(A504="","",IFERROR(VALUE(SUBSTITUTE(SUBSTITUTE(INDEX('Etsy Import'!$A:$CZ,504,Settings!$C$24)&amp;"","$",""),",","")),0))</f>
        <v/>
      </c>
      <c r="F504" s="11">
        <f>IF(A504="","",D504*E504)</f>
        <v/>
      </c>
      <c r="G504">
        <f>IF(A504="","",IF(C504="",1,COUNTIF($C$2:$C$1501,C504)))</f>
        <v/>
      </c>
      <c r="H504" s="11">
        <f>IF(A504="","",IFERROR(VALUE(SUBSTITUTE(SUBSTITUTE(INDEX('Etsy Import'!$A:$CZ,504,Settings!$C$25)&amp;"","$",""),",","")),0)/IF(Settings!$B$27="Yes",G504,1))</f>
        <v/>
      </c>
      <c r="I504" s="11">
        <f>IF(A504="","",IFERROR(VALUE(SUBSTITUTE(SUBSTITUTE(INDEX('Etsy Import'!$A:$CZ,504,Settings!$C$26)&amp;"","$",""),",","")),0)/IF(Settings!$B$27="Yes",G504,1))</f>
        <v/>
      </c>
      <c r="J504" s="11">
        <f>IF(A504="","",F504+H504-I504)</f>
        <v/>
      </c>
      <c r="K504">
        <f>IF(A504="","",IFERROR(IF(B504="",NA(),MATCH(B504,Products!$B$5:$B$204,0)),IFERROR(MATCH(A504,Products!$A$5:$A$204,0),"")))</f>
        <v/>
      </c>
      <c r="L504">
        <f>IF(A504="","",IF(K504="","⚠ not in Products",INDEX(Products!$A$5:$A$204,K504)))</f>
        <v/>
      </c>
      <c r="M504" s="11">
        <f>IF(A504="","",J504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504+IFERROR(INDEX(Settings!$D$5:$D$9,MATCH("Etsy",Settings!$A$5:$A$9,0)),0)*D504)</f>
        <v/>
      </c>
      <c r="N504" s="11">
        <f>IF(A504="","",IF(K504="",0,D504*INDEX(Products!$I$5:$I$204,K504)))</f>
        <v/>
      </c>
      <c r="O504" s="11">
        <f>IF(A504="","",IF(K504="",0,J504*INDEX(Products!$H$5:$H$204,K504)))</f>
        <v/>
      </c>
      <c r="P504" s="11">
        <f>IF(A504="","",J504-M504-N504-O504)</f>
        <v/>
      </c>
    </row>
    <row r="505">
      <c r="A505">
        <f>IFERROR(INDEX('Etsy Import'!$A:$CZ,505,Settings!$C$20)&amp;"","")</f>
        <v/>
      </c>
      <c r="B505">
        <f>IFERROR(INDEX('Etsy Import'!$A:$CZ,505,Settings!$C$21)&amp;"","")</f>
        <v/>
      </c>
      <c r="C505">
        <f>IFERROR(INDEX('Etsy Import'!$A:$CZ,505,Settings!$C$22)&amp;"","")</f>
        <v/>
      </c>
      <c r="D505">
        <f>IF(A505="","",IFERROR(VALUE(SUBSTITUTE(SUBSTITUTE(INDEX('Etsy Import'!$A:$CZ,505,Settings!$C$23)&amp;"","$",""),",","")),0))</f>
        <v/>
      </c>
      <c r="E505" s="11">
        <f>IF(A505="","",IFERROR(VALUE(SUBSTITUTE(SUBSTITUTE(INDEX('Etsy Import'!$A:$CZ,505,Settings!$C$24)&amp;"","$",""),",","")),0))</f>
        <v/>
      </c>
      <c r="F505" s="11">
        <f>IF(A505="","",D505*E505)</f>
        <v/>
      </c>
      <c r="G505">
        <f>IF(A505="","",IF(C505="",1,COUNTIF($C$2:$C$1501,C505)))</f>
        <v/>
      </c>
      <c r="H505" s="11">
        <f>IF(A505="","",IFERROR(VALUE(SUBSTITUTE(SUBSTITUTE(INDEX('Etsy Import'!$A:$CZ,505,Settings!$C$25)&amp;"","$",""),",","")),0)/IF(Settings!$B$27="Yes",G505,1))</f>
        <v/>
      </c>
      <c r="I505" s="11">
        <f>IF(A505="","",IFERROR(VALUE(SUBSTITUTE(SUBSTITUTE(INDEX('Etsy Import'!$A:$CZ,505,Settings!$C$26)&amp;"","$",""),",","")),0)/IF(Settings!$B$27="Yes",G505,1))</f>
        <v/>
      </c>
      <c r="J505" s="11">
        <f>IF(A505="","",F505+H505-I505)</f>
        <v/>
      </c>
      <c r="K505">
        <f>IF(A505="","",IFERROR(IF(B505="",NA(),MATCH(B505,Products!$B$5:$B$204,0)),IFERROR(MATCH(A505,Products!$A$5:$A$204,0),"")))</f>
        <v/>
      </c>
      <c r="L505">
        <f>IF(A505="","",IF(K505="","⚠ not in Products",INDEX(Products!$A$5:$A$204,K505)))</f>
        <v/>
      </c>
      <c r="M505" s="11">
        <f>IF(A505="","",J505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505+IFERROR(INDEX(Settings!$D$5:$D$9,MATCH("Etsy",Settings!$A$5:$A$9,0)),0)*D505)</f>
        <v/>
      </c>
      <c r="N505" s="11">
        <f>IF(A505="","",IF(K505="",0,D505*INDEX(Products!$I$5:$I$204,K505)))</f>
        <v/>
      </c>
      <c r="O505" s="11">
        <f>IF(A505="","",IF(K505="",0,J505*INDEX(Products!$H$5:$H$204,K505)))</f>
        <v/>
      </c>
      <c r="P505" s="11">
        <f>IF(A505="","",J505-M505-N505-O505)</f>
        <v/>
      </c>
    </row>
    <row r="506">
      <c r="A506">
        <f>IFERROR(INDEX('Etsy Import'!$A:$CZ,506,Settings!$C$20)&amp;"","")</f>
        <v/>
      </c>
      <c r="B506">
        <f>IFERROR(INDEX('Etsy Import'!$A:$CZ,506,Settings!$C$21)&amp;"","")</f>
        <v/>
      </c>
      <c r="C506">
        <f>IFERROR(INDEX('Etsy Import'!$A:$CZ,506,Settings!$C$22)&amp;"","")</f>
        <v/>
      </c>
      <c r="D506">
        <f>IF(A506="","",IFERROR(VALUE(SUBSTITUTE(SUBSTITUTE(INDEX('Etsy Import'!$A:$CZ,506,Settings!$C$23)&amp;"","$",""),",","")),0))</f>
        <v/>
      </c>
      <c r="E506" s="11">
        <f>IF(A506="","",IFERROR(VALUE(SUBSTITUTE(SUBSTITUTE(INDEX('Etsy Import'!$A:$CZ,506,Settings!$C$24)&amp;"","$",""),",","")),0))</f>
        <v/>
      </c>
      <c r="F506" s="11">
        <f>IF(A506="","",D506*E506)</f>
        <v/>
      </c>
      <c r="G506">
        <f>IF(A506="","",IF(C506="",1,COUNTIF($C$2:$C$1501,C506)))</f>
        <v/>
      </c>
      <c r="H506" s="11">
        <f>IF(A506="","",IFERROR(VALUE(SUBSTITUTE(SUBSTITUTE(INDEX('Etsy Import'!$A:$CZ,506,Settings!$C$25)&amp;"","$",""),",","")),0)/IF(Settings!$B$27="Yes",G506,1))</f>
        <v/>
      </c>
      <c r="I506" s="11">
        <f>IF(A506="","",IFERROR(VALUE(SUBSTITUTE(SUBSTITUTE(INDEX('Etsy Import'!$A:$CZ,506,Settings!$C$26)&amp;"","$",""),",","")),0)/IF(Settings!$B$27="Yes",G506,1))</f>
        <v/>
      </c>
      <c r="J506" s="11">
        <f>IF(A506="","",F506+H506-I506)</f>
        <v/>
      </c>
      <c r="K506">
        <f>IF(A506="","",IFERROR(IF(B506="",NA(),MATCH(B506,Products!$B$5:$B$204,0)),IFERROR(MATCH(A506,Products!$A$5:$A$204,0),"")))</f>
        <v/>
      </c>
      <c r="L506">
        <f>IF(A506="","",IF(K506="","⚠ not in Products",INDEX(Products!$A$5:$A$204,K506)))</f>
        <v/>
      </c>
      <c r="M506" s="11">
        <f>IF(A506="","",J506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506+IFERROR(INDEX(Settings!$D$5:$D$9,MATCH("Etsy",Settings!$A$5:$A$9,0)),0)*D506)</f>
        <v/>
      </c>
      <c r="N506" s="11">
        <f>IF(A506="","",IF(K506="",0,D506*INDEX(Products!$I$5:$I$204,K506)))</f>
        <v/>
      </c>
      <c r="O506" s="11">
        <f>IF(A506="","",IF(K506="",0,J506*INDEX(Products!$H$5:$H$204,K506)))</f>
        <v/>
      </c>
      <c r="P506" s="11">
        <f>IF(A506="","",J506-M506-N506-O506)</f>
        <v/>
      </c>
    </row>
    <row r="507">
      <c r="A507">
        <f>IFERROR(INDEX('Etsy Import'!$A:$CZ,507,Settings!$C$20)&amp;"","")</f>
        <v/>
      </c>
      <c r="B507">
        <f>IFERROR(INDEX('Etsy Import'!$A:$CZ,507,Settings!$C$21)&amp;"","")</f>
        <v/>
      </c>
      <c r="C507">
        <f>IFERROR(INDEX('Etsy Import'!$A:$CZ,507,Settings!$C$22)&amp;"","")</f>
        <v/>
      </c>
      <c r="D507">
        <f>IF(A507="","",IFERROR(VALUE(SUBSTITUTE(SUBSTITUTE(INDEX('Etsy Import'!$A:$CZ,507,Settings!$C$23)&amp;"","$",""),",","")),0))</f>
        <v/>
      </c>
      <c r="E507" s="11">
        <f>IF(A507="","",IFERROR(VALUE(SUBSTITUTE(SUBSTITUTE(INDEX('Etsy Import'!$A:$CZ,507,Settings!$C$24)&amp;"","$",""),",","")),0))</f>
        <v/>
      </c>
      <c r="F507" s="11">
        <f>IF(A507="","",D507*E507)</f>
        <v/>
      </c>
      <c r="G507">
        <f>IF(A507="","",IF(C507="",1,COUNTIF($C$2:$C$1501,C507)))</f>
        <v/>
      </c>
      <c r="H507" s="11">
        <f>IF(A507="","",IFERROR(VALUE(SUBSTITUTE(SUBSTITUTE(INDEX('Etsy Import'!$A:$CZ,507,Settings!$C$25)&amp;"","$",""),",","")),0)/IF(Settings!$B$27="Yes",G507,1))</f>
        <v/>
      </c>
      <c r="I507" s="11">
        <f>IF(A507="","",IFERROR(VALUE(SUBSTITUTE(SUBSTITUTE(INDEX('Etsy Import'!$A:$CZ,507,Settings!$C$26)&amp;"","$",""),",","")),0)/IF(Settings!$B$27="Yes",G507,1))</f>
        <v/>
      </c>
      <c r="J507" s="11">
        <f>IF(A507="","",F507+H507-I507)</f>
        <v/>
      </c>
      <c r="K507">
        <f>IF(A507="","",IFERROR(IF(B507="",NA(),MATCH(B507,Products!$B$5:$B$204,0)),IFERROR(MATCH(A507,Products!$A$5:$A$204,0),"")))</f>
        <v/>
      </c>
      <c r="L507">
        <f>IF(A507="","",IF(K507="","⚠ not in Products",INDEX(Products!$A$5:$A$204,K507)))</f>
        <v/>
      </c>
      <c r="M507" s="11">
        <f>IF(A507="","",J507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507+IFERROR(INDEX(Settings!$D$5:$D$9,MATCH("Etsy",Settings!$A$5:$A$9,0)),0)*D507)</f>
        <v/>
      </c>
      <c r="N507" s="11">
        <f>IF(A507="","",IF(K507="",0,D507*INDEX(Products!$I$5:$I$204,K507)))</f>
        <v/>
      </c>
      <c r="O507" s="11">
        <f>IF(A507="","",IF(K507="",0,J507*INDEX(Products!$H$5:$H$204,K507)))</f>
        <v/>
      </c>
      <c r="P507" s="11">
        <f>IF(A507="","",J507-M507-N507-O507)</f>
        <v/>
      </c>
    </row>
    <row r="508">
      <c r="A508">
        <f>IFERROR(INDEX('Etsy Import'!$A:$CZ,508,Settings!$C$20)&amp;"","")</f>
        <v/>
      </c>
      <c r="B508">
        <f>IFERROR(INDEX('Etsy Import'!$A:$CZ,508,Settings!$C$21)&amp;"","")</f>
        <v/>
      </c>
      <c r="C508">
        <f>IFERROR(INDEX('Etsy Import'!$A:$CZ,508,Settings!$C$22)&amp;"","")</f>
        <v/>
      </c>
      <c r="D508">
        <f>IF(A508="","",IFERROR(VALUE(SUBSTITUTE(SUBSTITUTE(INDEX('Etsy Import'!$A:$CZ,508,Settings!$C$23)&amp;"","$",""),",","")),0))</f>
        <v/>
      </c>
      <c r="E508" s="11">
        <f>IF(A508="","",IFERROR(VALUE(SUBSTITUTE(SUBSTITUTE(INDEX('Etsy Import'!$A:$CZ,508,Settings!$C$24)&amp;"","$",""),",","")),0))</f>
        <v/>
      </c>
      <c r="F508" s="11">
        <f>IF(A508="","",D508*E508)</f>
        <v/>
      </c>
      <c r="G508">
        <f>IF(A508="","",IF(C508="",1,COUNTIF($C$2:$C$1501,C508)))</f>
        <v/>
      </c>
      <c r="H508" s="11">
        <f>IF(A508="","",IFERROR(VALUE(SUBSTITUTE(SUBSTITUTE(INDEX('Etsy Import'!$A:$CZ,508,Settings!$C$25)&amp;"","$",""),",","")),0)/IF(Settings!$B$27="Yes",G508,1))</f>
        <v/>
      </c>
      <c r="I508" s="11">
        <f>IF(A508="","",IFERROR(VALUE(SUBSTITUTE(SUBSTITUTE(INDEX('Etsy Import'!$A:$CZ,508,Settings!$C$26)&amp;"","$",""),",","")),0)/IF(Settings!$B$27="Yes",G508,1))</f>
        <v/>
      </c>
      <c r="J508" s="11">
        <f>IF(A508="","",F508+H508-I508)</f>
        <v/>
      </c>
      <c r="K508">
        <f>IF(A508="","",IFERROR(IF(B508="",NA(),MATCH(B508,Products!$B$5:$B$204,0)),IFERROR(MATCH(A508,Products!$A$5:$A$204,0),"")))</f>
        <v/>
      </c>
      <c r="L508">
        <f>IF(A508="","",IF(K508="","⚠ not in Products",INDEX(Products!$A$5:$A$204,K508)))</f>
        <v/>
      </c>
      <c r="M508" s="11">
        <f>IF(A508="","",J508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508+IFERROR(INDEX(Settings!$D$5:$D$9,MATCH("Etsy",Settings!$A$5:$A$9,0)),0)*D508)</f>
        <v/>
      </c>
      <c r="N508" s="11">
        <f>IF(A508="","",IF(K508="",0,D508*INDEX(Products!$I$5:$I$204,K508)))</f>
        <v/>
      </c>
      <c r="O508" s="11">
        <f>IF(A508="","",IF(K508="",0,J508*INDEX(Products!$H$5:$H$204,K508)))</f>
        <v/>
      </c>
      <c r="P508" s="11">
        <f>IF(A508="","",J508-M508-N508-O508)</f>
        <v/>
      </c>
    </row>
    <row r="509">
      <c r="A509">
        <f>IFERROR(INDEX('Etsy Import'!$A:$CZ,509,Settings!$C$20)&amp;"","")</f>
        <v/>
      </c>
      <c r="B509">
        <f>IFERROR(INDEX('Etsy Import'!$A:$CZ,509,Settings!$C$21)&amp;"","")</f>
        <v/>
      </c>
      <c r="C509">
        <f>IFERROR(INDEX('Etsy Import'!$A:$CZ,509,Settings!$C$22)&amp;"","")</f>
        <v/>
      </c>
      <c r="D509">
        <f>IF(A509="","",IFERROR(VALUE(SUBSTITUTE(SUBSTITUTE(INDEX('Etsy Import'!$A:$CZ,509,Settings!$C$23)&amp;"","$",""),",","")),0))</f>
        <v/>
      </c>
      <c r="E509" s="11">
        <f>IF(A509="","",IFERROR(VALUE(SUBSTITUTE(SUBSTITUTE(INDEX('Etsy Import'!$A:$CZ,509,Settings!$C$24)&amp;"","$",""),",","")),0))</f>
        <v/>
      </c>
      <c r="F509" s="11">
        <f>IF(A509="","",D509*E509)</f>
        <v/>
      </c>
      <c r="G509">
        <f>IF(A509="","",IF(C509="",1,COUNTIF($C$2:$C$1501,C509)))</f>
        <v/>
      </c>
      <c r="H509" s="11">
        <f>IF(A509="","",IFERROR(VALUE(SUBSTITUTE(SUBSTITUTE(INDEX('Etsy Import'!$A:$CZ,509,Settings!$C$25)&amp;"","$",""),",","")),0)/IF(Settings!$B$27="Yes",G509,1))</f>
        <v/>
      </c>
      <c r="I509" s="11">
        <f>IF(A509="","",IFERROR(VALUE(SUBSTITUTE(SUBSTITUTE(INDEX('Etsy Import'!$A:$CZ,509,Settings!$C$26)&amp;"","$",""),",","")),0)/IF(Settings!$B$27="Yes",G509,1))</f>
        <v/>
      </c>
      <c r="J509" s="11">
        <f>IF(A509="","",F509+H509-I509)</f>
        <v/>
      </c>
      <c r="K509">
        <f>IF(A509="","",IFERROR(IF(B509="",NA(),MATCH(B509,Products!$B$5:$B$204,0)),IFERROR(MATCH(A509,Products!$A$5:$A$204,0),"")))</f>
        <v/>
      </c>
      <c r="L509">
        <f>IF(A509="","",IF(K509="","⚠ not in Products",INDEX(Products!$A$5:$A$204,K509)))</f>
        <v/>
      </c>
      <c r="M509" s="11">
        <f>IF(A509="","",J509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509+IFERROR(INDEX(Settings!$D$5:$D$9,MATCH("Etsy",Settings!$A$5:$A$9,0)),0)*D509)</f>
        <v/>
      </c>
      <c r="N509" s="11">
        <f>IF(A509="","",IF(K509="",0,D509*INDEX(Products!$I$5:$I$204,K509)))</f>
        <v/>
      </c>
      <c r="O509" s="11">
        <f>IF(A509="","",IF(K509="",0,J509*INDEX(Products!$H$5:$H$204,K509)))</f>
        <v/>
      </c>
      <c r="P509" s="11">
        <f>IF(A509="","",J509-M509-N509-O509)</f>
        <v/>
      </c>
    </row>
    <row r="510">
      <c r="A510">
        <f>IFERROR(INDEX('Etsy Import'!$A:$CZ,510,Settings!$C$20)&amp;"","")</f>
        <v/>
      </c>
      <c r="B510">
        <f>IFERROR(INDEX('Etsy Import'!$A:$CZ,510,Settings!$C$21)&amp;"","")</f>
        <v/>
      </c>
      <c r="C510">
        <f>IFERROR(INDEX('Etsy Import'!$A:$CZ,510,Settings!$C$22)&amp;"","")</f>
        <v/>
      </c>
      <c r="D510">
        <f>IF(A510="","",IFERROR(VALUE(SUBSTITUTE(SUBSTITUTE(INDEX('Etsy Import'!$A:$CZ,510,Settings!$C$23)&amp;"","$",""),",","")),0))</f>
        <v/>
      </c>
      <c r="E510" s="11">
        <f>IF(A510="","",IFERROR(VALUE(SUBSTITUTE(SUBSTITUTE(INDEX('Etsy Import'!$A:$CZ,510,Settings!$C$24)&amp;"","$",""),",","")),0))</f>
        <v/>
      </c>
      <c r="F510" s="11">
        <f>IF(A510="","",D510*E510)</f>
        <v/>
      </c>
      <c r="G510">
        <f>IF(A510="","",IF(C510="",1,COUNTIF($C$2:$C$1501,C510)))</f>
        <v/>
      </c>
      <c r="H510" s="11">
        <f>IF(A510="","",IFERROR(VALUE(SUBSTITUTE(SUBSTITUTE(INDEX('Etsy Import'!$A:$CZ,510,Settings!$C$25)&amp;"","$",""),",","")),0)/IF(Settings!$B$27="Yes",G510,1))</f>
        <v/>
      </c>
      <c r="I510" s="11">
        <f>IF(A510="","",IFERROR(VALUE(SUBSTITUTE(SUBSTITUTE(INDEX('Etsy Import'!$A:$CZ,510,Settings!$C$26)&amp;"","$",""),",","")),0)/IF(Settings!$B$27="Yes",G510,1))</f>
        <v/>
      </c>
      <c r="J510" s="11">
        <f>IF(A510="","",F510+H510-I510)</f>
        <v/>
      </c>
      <c r="K510">
        <f>IF(A510="","",IFERROR(IF(B510="",NA(),MATCH(B510,Products!$B$5:$B$204,0)),IFERROR(MATCH(A510,Products!$A$5:$A$204,0),"")))</f>
        <v/>
      </c>
      <c r="L510">
        <f>IF(A510="","",IF(K510="","⚠ not in Products",INDEX(Products!$A$5:$A$204,K510)))</f>
        <v/>
      </c>
      <c r="M510" s="11">
        <f>IF(A510="","",J510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510+IFERROR(INDEX(Settings!$D$5:$D$9,MATCH("Etsy",Settings!$A$5:$A$9,0)),0)*D510)</f>
        <v/>
      </c>
      <c r="N510" s="11">
        <f>IF(A510="","",IF(K510="",0,D510*INDEX(Products!$I$5:$I$204,K510)))</f>
        <v/>
      </c>
      <c r="O510" s="11">
        <f>IF(A510="","",IF(K510="",0,J510*INDEX(Products!$H$5:$H$204,K510)))</f>
        <v/>
      </c>
      <c r="P510" s="11">
        <f>IF(A510="","",J510-M510-N510-O510)</f>
        <v/>
      </c>
    </row>
    <row r="511">
      <c r="A511">
        <f>IFERROR(INDEX('Etsy Import'!$A:$CZ,511,Settings!$C$20)&amp;"","")</f>
        <v/>
      </c>
      <c r="B511">
        <f>IFERROR(INDEX('Etsy Import'!$A:$CZ,511,Settings!$C$21)&amp;"","")</f>
        <v/>
      </c>
      <c r="C511">
        <f>IFERROR(INDEX('Etsy Import'!$A:$CZ,511,Settings!$C$22)&amp;"","")</f>
        <v/>
      </c>
      <c r="D511">
        <f>IF(A511="","",IFERROR(VALUE(SUBSTITUTE(SUBSTITUTE(INDEX('Etsy Import'!$A:$CZ,511,Settings!$C$23)&amp;"","$",""),",","")),0))</f>
        <v/>
      </c>
      <c r="E511" s="11">
        <f>IF(A511="","",IFERROR(VALUE(SUBSTITUTE(SUBSTITUTE(INDEX('Etsy Import'!$A:$CZ,511,Settings!$C$24)&amp;"","$",""),",","")),0))</f>
        <v/>
      </c>
      <c r="F511" s="11">
        <f>IF(A511="","",D511*E511)</f>
        <v/>
      </c>
      <c r="G511">
        <f>IF(A511="","",IF(C511="",1,COUNTIF($C$2:$C$1501,C511)))</f>
        <v/>
      </c>
      <c r="H511" s="11">
        <f>IF(A511="","",IFERROR(VALUE(SUBSTITUTE(SUBSTITUTE(INDEX('Etsy Import'!$A:$CZ,511,Settings!$C$25)&amp;"","$",""),",","")),0)/IF(Settings!$B$27="Yes",G511,1))</f>
        <v/>
      </c>
      <c r="I511" s="11">
        <f>IF(A511="","",IFERROR(VALUE(SUBSTITUTE(SUBSTITUTE(INDEX('Etsy Import'!$A:$CZ,511,Settings!$C$26)&amp;"","$",""),",","")),0)/IF(Settings!$B$27="Yes",G511,1))</f>
        <v/>
      </c>
      <c r="J511" s="11">
        <f>IF(A511="","",F511+H511-I511)</f>
        <v/>
      </c>
      <c r="K511">
        <f>IF(A511="","",IFERROR(IF(B511="",NA(),MATCH(B511,Products!$B$5:$B$204,0)),IFERROR(MATCH(A511,Products!$A$5:$A$204,0),"")))</f>
        <v/>
      </c>
      <c r="L511">
        <f>IF(A511="","",IF(K511="","⚠ not in Products",INDEX(Products!$A$5:$A$204,K511)))</f>
        <v/>
      </c>
      <c r="M511" s="11">
        <f>IF(A511="","",J511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511+IFERROR(INDEX(Settings!$D$5:$D$9,MATCH("Etsy",Settings!$A$5:$A$9,0)),0)*D511)</f>
        <v/>
      </c>
      <c r="N511" s="11">
        <f>IF(A511="","",IF(K511="",0,D511*INDEX(Products!$I$5:$I$204,K511)))</f>
        <v/>
      </c>
      <c r="O511" s="11">
        <f>IF(A511="","",IF(K511="",0,J511*INDEX(Products!$H$5:$H$204,K511)))</f>
        <v/>
      </c>
      <c r="P511" s="11">
        <f>IF(A511="","",J511-M511-N511-O511)</f>
        <v/>
      </c>
    </row>
    <row r="512">
      <c r="A512">
        <f>IFERROR(INDEX('Etsy Import'!$A:$CZ,512,Settings!$C$20)&amp;"","")</f>
        <v/>
      </c>
      <c r="B512">
        <f>IFERROR(INDEX('Etsy Import'!$A:$CZ,512,Settings!$C$21)&amp;"","")</f>
        <v/>
      </c>
      <c r="C512">
        <f>IFERROR(INDEX('Etsy Import'!$A:$CZ,512,Settings!$C$22)&amp;"","")</f>
        <v/>
      </c>
      <c r="D512">
        <f>IF(A512="","",IFERROR(VALUE(SUBSTITUTE(SUBSTITUTE(INDEX('Etsy Import'!$A:$CZ,512,Settings!$C$23)&amp;"","$",""),",","")),0))</f>
        <v/>
      </c>
      <c r="E512" s="11">
        <f>IF(A512="","",IFERROR(VALUE(SUBSTITUTE(SUBSTITUTE(INDEX('Etsy Import'!$A:$CZ,512,Settings!$C$24)&amp;"","$",""),",","")),0))</f>
        <v/>
      </c>
      <c r="F512" s="11">
        <f>IF(A512="","",D512*E512)</f>
        <v/>
      </c>
      <c r="G512">
        <f>IF(A512="","",IF(C512="",1,COUNTIF($C$2:$C$1501,C512)))</f>
        <v/>
      </c>
      <c r="H512" s="11">
        <f>IF(A512="","",IFERROR(VALUE(SUBSTITUTE(SUBSTITUTE(INDEX('Etsy Import'!$A:$CZ,512,Settings!$C$25)&amp;"","$",""),",","")),0)/IF(Settings!$B$27="Yes",G512,1))</f>
        <v/>
      </c>
      <c r="I512" s="11">
        <f>IF(A512="","",IFERROR(VALUE(SUBSTITUTE(SUBSTITUTE(INDEX('Etsy Import'!$A:$CZ,512,Settings!$C$26)&amp;"","$",""),",","")),0)/IF(Settings!$B$27="Yes",G512,1))</f>
        <v/>
      </c>
      <c r="J512" s="11">
        <f>IF(A512="","",F512+H512-I512)</f>
        <v/>
      </c>
      <c r="K512">
        <f>IF(A512="","",IFERROR(IF(B512="",NA(),MATCH(B512,Products!$B$5:$B$204,0)),IFERROR(MATCH(A512,Products!$A$5:$A$204,0),"")))</f>
        <v/>
      </c>
      <c r="L512">
        <f>IF(A512="","",IF(K512="","⚠ not in Products",INDEX(Products!$A$5:$A$204,K512)))</f>
        <v/>
      </c>
      <c r="M512" s="11">
        <f>IF(A512="","",J512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512+IFERROR(INDEX(Settings!$D$5:$D$9,MATCH("Etsy",Settings!$A$5:$A$9,0)),0)*D512)</f>
        <v/>
      </c>
      <c r="N512" s="11">
        <f>IF(A512="","",IF(K512="",0,D512*INDEX(Products!$I$5:$I$204,K512)))</f>
        <v/>
      </c>
      <c r="O512" s="11">
        <f>IF(A512="","",IF(K512="",0,J512*INDEX(Products!$H$5:$H$204,K512)))</f>
        <v/>
      </c>
      <c r="P512" s="11">
        <f>IF(A512="","",J512-M512-N512-O512)</f>
        <v/>
      </c>
    </row>
    <row r="513">
      <c r="A513">
        <f>IFERROR(INDEX('Etsy Import'!$A:$CZ,513,Settings!$C$20)&amp;"","")</f>
        <v/>
      </c>
      <c r="B513">
        <f>IFERROR(INDEX('Etsy Import'!$A:$CZ,513,Settings!$C$21)&amp;"","")</f>
        <v/>
      </c>
      <c r="C513">
        <f>IFERROR(INDEX('Etsy Import'!$A:$CZ,513,Settings!$C$22)&amp;"","")</f>
        <v/>
      </c>
      <c r="D513">
        <f>IF(A513="","",IFERROR(VALUE(SUBSTITUTE(SUBSTITUTE(INDEX('Etsy Import'!$A:$CZ,513,Settings!$C$23)&amp;"","$",""),",","")),0))</f>
        <v/>
      </c>
      <c r="E513" s="11">
        <f>IF(A513="","",IFERROR(VALUE(SUBSTITUTE(SUBSTITUTE(INDEX('Etsy Import'!$A:$CZ,513,Settings!$C$24)&amp;"","$",""),",","")),0))</f>
        <v/>
      </c>
      <c r="F513" s="11">
        <f>IF(A513="","",D513*E513)</f>
        <v/>
      </c>
      <c r="G513">
        <f>IF(A513="","",IF(C513="",1,COUNTIF($C$2:$C$1501,C513)))</f>
        <v/>
      </c>
      <c r="H513" s="11">
        <f>IF(A513="","",IFERROR(VALUE(SUBSTITUTE(SUBSTITUTE(INDEX('Etsy Import'!$A:$CZ,513,Settings!$C$25)&amp;"","$",""),",","")),0)/IF(Settings!$B$27="Yes",G513,1))</f>
        <v/>
      </c>
      <c r="I513" s="11">
        <f>IF(A513="","",IFERROR(VALUE(SUBSTITUTE(SUBSTITUTE(INDEX('Etsy Import'!$A:$CZ,513,Settings!$C$26)&amp;"","$",""),",","")),0)/IF(Settings!$B$27="Yes",G513,1))</f>
        <v/>
      </c>
      <c r="J513" s="11">
        <f>IF(A513="","",F513+H513-I513)</f>
        <v/>
      </c>
      <c r="K513">
        <f>IF(A513="","",IFERROR(IF(B513="",NA(),MATCH(B513,Products!$B$5:$B$204,0)),IFERROR(MATCH(A513,Products!$A$5:$A$204,0),"")))</f>
        <v/>
      </c>
      <c r="L513">
        <f>IF(A513="","",IF(K513="","⚠ not in Products",INDEX(Products!$A$5:$A$204,K513)))</f>
        <v/>
      </c>
      <c r="M513" s="11">
        <f>IF(A513="","",J513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513+IFERROR(INDEX(Settings!$D$5:$D$9,MATCH("Etsy",Settings!$A$5:$A$9,0)),0)*D513)</f>
        <v/>
      </c>
      <c r="N513" s="11">
        <f>IF(A513="","",IF(K513="",0,D513*INDEX(Products!$I$5:$I$204,K513)))</f>
        <v/>
      </c>
      <c r="O513" s="11">
        <f>IF(A513="","",IF(K513="",0,J513*INDEX(Products!$H$5:$H$204,K513)))</f>
        <v/>
      </c>
      <c r="P513" s="11">
        <f>IF(A513="","",J513-M513-N513-O513)</f>
        <v/>
      </c>
    </row>
    <row r="514">
      <c r="A514">
        <f>IFERROR(INDEX('Etsy Import'!$A:$CZ,514,Settings!$C$20)&amp;"","")</f>
        <v/>
      </c>
      <c r="B514">
        <f>IFERROR(INDEX('Etsy Import'!$A:$CZ,514,Settings!$C$21)&amp;"","")</f>
        <v/>
      </c>
      <c r="C514">
        <f>IFERROR(INDEX('Etsy Import'!$A:$CZ,514,Settings!$C$22)&amp;"","")</f>
        <v/>
      </c>
      <c r="D514">
        <f>IF(A514="","",IFERROR(VALUE(SUBSTITUTE(SUBSTITUTE(INDEX('Etsy Import'!$A:$CZ,514,Settings!$C$23)&amp;"","$",""),",","")),0))</f>
        <v/>
      </c>
      <c r="E514" s="11">
        <f>IF(A514="","",IFERROR(VALUE(SUBSTITUTE(SUBSTITUTE(INDEX('Etsy Import'!$A:$CZ,514,Settings!$C$24)&amp;"","$",""),",","")),0))</f>
        <v/>
      </c>
      <c r="F514" s="11">
        <f>IF(A514="","",D514*E514)</f>
        <v/>
      </c>
      <c r="G514">
        <f>IF(A514="","",IF(C514="",1,COUNTIF($C$2:$C$1501,C514)))</f>
        <v/>
      </c>
      <c r="H514" s="11">
        <f>IF(A514="","",IFERROR(VALUE(SUBSTITUTE(SUBSTITUTE(INDEX('Etsy Import'!$A:$CZ,514,Settings!$C$25)&amp;"","$",""),",","")),0)/IF(Settings!$B$27="Yes",G514,1))</f>
        <v/>
      </c>
      <c r="I514" s="11">
        <f>IF(A514="","",IFERROR(VALUE(SUBSTITUTE(SUBSTITUTE(INDEX('Etsy Import'!$A:$CZ,514,Settings!$C$26)&amp;"","$",""),",","")),0)/IF(Settings!$B$27="Yes",G514,1))</f>
        <v/>
      </c>
      <c r="J514" s="11">
        <f>IF(A514="","",F514+H514-I514)</f>
        <v/>
      </c>
      <c r="K514">
        <f>IF(A514="","",IFERROR(IF(B514="",NA(),MATCH(B514,Products!$B$5:$B$204,0)),IFERROR(MATCH(A514,Products!$A$5:$A$204,0),"")))</f>
        <v/>
      </c>
      <c r="L514">
        <f>IF(A514="","",IF(K514="","⚠ not in Products",INDEX(Products!$A$5:$A$204,K514)))</f>
        <v/>
      </c>
      <c r="M514" s="11">
        <f>IF(A514="","",J514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514+IFERROR(INDEX(Settings!$D$5:$D$9,MATCH("Etsy",Settings!$A$5:$A$9,0)),0)*D514)</f>
        <v/>
      </c>
      <c r="N514" s="11">
        <f>IF(A514="","",IF(K514="",0,D514*INDEX(Products!$I$5:$I$204,K514)))</f>
        <v/>
      </c>
      <c r="O514" s="11">
        <f>IF(A514="","",IF(K514="",0,J514*INDEX(Products!$H$5:$H$204,K514)))</f>
        <v/>
      </c>
      <c r="P514" s="11">
        <f>IF(A514="","",J514-M514-N514-O514)</f>
        <v/>
      </c>
    </row>
    <row r="515">
      <c r="A515">
        <f>IFERROR(INDEX('Etsy Import'!$A:$CZ,515,Settings!$C$20)&amp;"","")</f>
        <v/>
      </c>
      <c r="B515">
        <f>IFERROR(INDEX('Etsy Import'!$A:$CZ,515,Settings!$C$21)&amp;"","")</f>
        <v/>
      </c>
      <c r="C515">
        <f>IFERROR(INDEX('Etsy Import'!$A:$CZ,515,Settings!$C$22)&amp;"","")</f>
        <v/>
      </c>
      <c r="D515">
        <f>IF(A515="","",IFERROR(VALUE(SUBSTITUTE(SUBSTITUTE(INDEX('Etsy Import'!$A:$CZ,515,Settings!$C$23)&amp;"","$",""),",","")),0))</f>
        <v/>
      </c>
      <c r="E515" s="11">
        <f>IF(A515="","",IFERROR(VALUE(SUBSTITUTE(SUBSTITUTE(INDEX('Etsy Import'!$A:$CZ,515,Settings!$C$24)&amp;"","$",""),",","")),0))</f>
        <v/>
      </c>
      <c r="F515" s="11">
        <f>IF(A515="","",D515*E515)</f>
        <v/>
      </c>
      <c r="G515">
        <f>IF(A515="","",IF(C515="",1,COUNTIF($C$2:$C$1501,C515)))</f>
        <v/>
      </c>
      <c r="H515" s="11">
        <f>IF(A515="","",IFERROR(VALUE(SUBSTITUTE(SUBSTITUTE(INDEX('Etsy Import'!$A:$CZ,515,Settings!$C$25)&amp;"","$",""),",","")),0)/IF(Settings!$B$27="Yes",G515,1))</f>
        <v/>
      </c>
      <c r="I515" s="11">
        <f>IF(A515="","",IFERROR(VALUE(SUBSTITUTE(SUBSTITUTE(INDEX('Etsy Import'!$A:$CZ,515,Settings!$C$26)&amp;"","$",""),",","")),0)/IF(Settings!$B$27="Yes",G515,1))</f>
        <v/>
      </c>
      <c r="J515" s="11">
        <f>IF(A515="","",F515+H515-I515)</f>
        <v/>
      </c>
      <c r="K515">
        <f>IF(A515="","",IFERROR(IF(B515="",NA(),MATCH(B515,Products!$B$5:$B$204,0)),IFERROR(MATCH(A515,Products!$A$5:$A$204,0),"")))</f>
        <v/>
      </c>
      <c r="L515">
        <f>IF(A515="","",IF(K515="","⚠ not in Products",INDEX(Products!$A$5:$A$204,K515)))</f>
        <v/>
      </c>
      <c r="M515" s="11">
        <f>IF(A515="","",J515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515+IFERROR(INDEX(Settings!$D$5:$D$9,MATCH("Etsy",Settings!$A$5:$A$9,0)),0)*D515)</f>
        <v/>
      </c>
      <c r="N515" s="11">
        <f>IF(A515="","",IF(K515="",0,D515*INDEX(Products!$I$5:$I$204,K515)))</f>
        <v/>
      </c>
      <c r="O515" s="11">
        <f>IF(A515="","",IF(K515="",0,J515*INDEX(Products!$H$5:$H$204,K515)))</f>
        <v/>
      </c>
      <c r="P515" s="11">
        <f>IF(A515="","",J515-M515-N515-O515)</f>
        <v/>
      </c>
    </row>
    <row r="516">
      <c r="A516">
        <f>IFERROR(INDEX('Etsy Import'!$A:$CZ,516,Settings!$C$20)&amp;"","")</f>
        <v/>
      </c>
      <c r="B516">
        <f>IFERROR(INDEX('Etsy Import'!$A:$CZ,516,Settings!$C$21)&amp;"","")</f>
        <v/>
      </c>
      <c r="C516">
        <f>IFERROR(INDEX('Etsy Import'!$A:$CZ,516,Settings!$C$22)&amp;"","")</f>
        <v/>
      </c>
      <c r="D516">
        <f>IF(A516="","",IFERROR(VALUE(SUBSTITUTE(SUBSTITUTE(INDEX('Etsy Import'!$A:$CZ,516,Settings!$C$23)&amp;"","$",""),",","")),0))</f>
        <v/>
      </c>
      <c r="E516" s="11">
        <f>IF(A516="","",IFERROR(VALUE(SUBSTITUTE(SUBSTITUTE(INDEX('Etsy Import'!$A:$CZ,516,Settings!$C$24)&amp;"","$",""),",","")),0))</f>
        <v/>
      </c>
      <c r="F516" s="11">
        <f>IF(A516="","",D516*E516)</f>
        <v/>
      </c>
      <c r="G516">
        <f>IF(A516="","",IF(C516="",1,COUNTIF($C$2:$C$1501,C516)))</f>
        <v/>
      </c>
      <c r="H516" s="11">
        <f>IF(A516="","",IFERROR(VALUE(SUBSTITUTE(SUBSTITUTE(INDEX('Etsy Import'!$A:$CZ,516,Settings!$C$25)&amp;"","$",""),",","")),0)/IF(Settings!$B$27="Yes",G516,1))</f>
        <v/>
      </c>
      <c r="I516" s="11">
        <f>IF(A516="","",IFERROR(VALUE(SUBSTITUTE(SUBSTITUTE(INDEX('Etsy Import'!$A:$CZ,516,Settings!$C$26)&amp;"","$",""),",","")),0)/IF(Settings!$B$27="Yes",G516,1))</f>
        <v/>
      </c>
      <c r="J516" s="11">
        <f>IF(A516="","",F516+H516-I516)</f>
        <v/>
      </c>
      <c r="K516">
        <f>IF(A516="","",IFERROR(IF(B516="",NA(),MATCH(B516,Products!$B$5:$B$204,0)),IFERROR(MATCH(A516,Products!$A$5:$A$204,0),"")))</f>
        <v/>
      </c>
      <c r="L516">
        <f>IF(A516="","",IF(K516="","⚠ not in Products",INDEX(Products!$A$5:$A$204,K516)))</f>
        <v/>
      </c>
      <c r="M516" s="11">
        <f>IF(A516="","",J516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516+IFERROR(INDEX(Settings!$D$5:$D$9,MATCH("Etsy",Settings!$A$5:$A$9,0)),0)*D516)</f>
        <v/>
      </c>
      <c r="N516" s="11">
        <f>IF(A516="","",IF(K516="",0,D516*INDEX(Products!$I$5:$I$204,K516)))</f>
        <v/>
      </c>
      <c r="O516" s="11">
        <f>IF(A516="","",IF(K516="",0,J516*INDEX(Products!$H$5:$H$204,K516)))</f>
        <v/>
      </c>
      <c r="P516" s="11">
        <f>IF(A516="","",J516-M516-N516-O516)</f>
        <v/>
      </c>
    </row>
    <row r="517">
      <c r="A517">
        <f>IFERROR(INDEX('Etsy Import'!$A:$CZ,517,Settings!$C$20)&amp;"","")</f>
        <v/>
      </c>
      <c r="B517">
        <f>IFERROR(INDEX('Etsy Import'!$A:$CZ,517,Settings!$C$21)&amp;"","")</f>
        <v/>
      </c>
      <c r="C517">
        <f>IFERROR(INDEX('Etsy Import'!$A:$CZ,517,Settings!$C$22)&amp;"","")</f>
        <v/>
      </c>
      <c r="D517">
        <f>IF(A517="","",IFERROR(VALUE(SUBSTITUTE(SUBSTITUTE(INDEX('Etsy Import'!$A:$CZ,517,Settings!$C$23)&amp;"","$",""),",","")),0))</f>
        <v/>
      </c>
      <c r="E517" s="11">
        <f>IF(A517="","",IFERROR(VALUE(SUBSTITUTE(SUBSTITUTE(INDEX('Etsy Import'!$A:$CZ,517,Settings!$C$24)&amp;"","$",""),",","")),0))</f>
        <v/>
      </c>
      <c r="F517" s="11">
        <f>IF(A517="","",D517*E517)</f>
        <v/>
      </c>
      <c r="G517">
        <f>IF(A517="","",IF(C517="",1,COUNTIF($C$2:$C$1501,C517)))</f>
        <v/>
      </c>
      <c r="H517" s="11">
        <f>IF(A517="","",IFERROR(VALUE(SUBSTITUTE(SUBSTITUTE(INDEX('Etsy Import'!$A:$CZ,517,Settings!$C$25)&amp;"","$",""),",","")),0)/IF(Settings!$B$27="Yes",G517,1))</f>
        <v/>
      </c>
      <c r="I517" s="11">
        <f>IF(A517="","",IFERROR(VALUE(SUBSTITUTE(SUBSTITUTE(INDEX('Etsy Import'!$A:$CZ,517,Settings!$C$26)&amp;"","$",""),",","")),0)/IF(Settings!$B$27="Yes",G517,1))</f>
        <v/>
      </c>
      <c r="J517" s="11">
        <f>IF(A517="","",F517+H517-I517)</f>
        <v/>
      </c>
      <c r="K517">
        <f>IF(A517="","",IFERROR(IF(B517="",NA(),MATCH(B517,Products!$B$5:$B$204,0)),IFERROR(MATCH(A517,Products!$A$5:$A$204,0),"")))</f>
        <v/>
      </c>
      <c r="L517">
        <f>IF(A517="","",IF(K517="","⚠ not in Products",INDEX(Products!$A$5:$A$204,K517)))</f>
        <v/>
      </c>
      <c r="M517" s="11">
        <f>IF(A517="","",J517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517+IFERROR(INDEX(Settings!$D$5:$D$9,MATCH("Etsy",Settings!$A$5:$A$9,0)),0)*D517)</f>
        <v/>
      </c>
      <c r="N517" s="11">
        <f>IF(A517="","",IF(K517="",0,D517*INDEX(Products!$I$5:$I$204,K517)))</f>
        <v/>
      </c>
      <c r="O517" s="11">
        <f>IF(A517="","",IF(K517="",0,J517*INDEX(Products!$H$5:$H$204,K517)))</f>
        <v/>
      </c>
      <c r="P517" s="11">
        <f>IF(A517="","",J517-M517-N517-O517)</f>
        <v/>
      </c>
    </row>
    <row r="518">
      <c r="A518">
        <f>IFERROR(INDEX('Etsy Import'!$A:$CZ,518,Settings!$C$20)&amp;"","")</f>
        <v/>
      </c>
      <c r="B518">
        <f>IFERROR(INDEX('Etsy Import'!$A:$CZ,518,Settings!$C$21)&amp;"","")</f>
        <v/>
      </c>
      <c r="C518">
        <f>IFERROR(INDEX('Etsy Import'!$A:$CZ,518,Settings!$C$22)&amp;"","")</f>
        <v/>
      </c>
      <c r="D518">
        <f>IF(A518="","",IFERROR(VALUE(SUBSTITUTE(SUBSTITUTE(INDEX('Etsy Import'!$A:$CZ,518,Settings!$C$23)&amp;"","$",""),",","")),0))</f>
        <v/>
      </c>
      <c r="E518" s="11">
        <f>IF(A518="","",IFERROR(VALUE(SUBSTITUTE(SUBSTITUTE(INDEX('Etsy Import'!$A:$CZ,518,Settings!$C$24)&amp;"","$",""),",","")),0))</f>
        <v/>
      </c>
      <c r="F518" s="11">
        <f>IF(A518="","",D518*E518)</f>
        <v/>
      </c>
      <c r="G518">
        <f>IF(A518="","",IF(C518="",1,COUNTIF($C$2:$C$1501,C518)))</f>
        <v/>
      </c>
      <c r="H518" s="11">
        <f>IF(A518="","",IFERROR(VALUE(SUBSTITUTE(SUBSTITUTE(INDEX('Etsy Import'!$A:$CZ,518,Settings!$C$25)&amp;"","$",""),",","")),0)/IF(Settings!$B$27="Yes",G518,1))</f>
        <v/>
      </c>
      <c r="I518" s="11">
        <f>IF(A518="","",IFERROR(VALUE(SUBSTITUTE(SUBSTITUTE(INDEX('Etsy Import'!$A:$CZ,518,Settings!$C$26)&amp;"","$",""),",","")),0)/IF(Settings!$B$27="Yes",G518,1))</f>
        <v/>
      </c>
      <c r="J518" s="11">
        <f>IF(A518="","",F518+H518-I518)</f>
        <v/>
      </c>
      <c r="K518">
        <f>IF(A518="","",IFERROR(IF(B518="",NA(),MATCH(B518,Products!$B$5:$B$204,0)),IFERROR(MATCH(A518,Products!$A$5:$A$204,0),"")))</f>
        <v/>
      </c>
      <c r="L518">
        <f>IF(A518="","",IF(K518="","⚠ not in Products",INDEX(Products!$A$5:$A$204,K518)))</f>
        <v/>
      </c>
      <c r="M518" s="11">
        <f>IF(A518="","",J518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518+IFERROR(INDEX(Settings!$D$5:$D$9,MATCH("Etsy",Settings!$A$5:$A$9,0)),0)*D518)</f>
        <v/>
      </c>
      <c r="N518" s="11">
        <f>IF(A518="","",IF(K518="",0,D518*INDEX(Products!$I$5:$I$204,K518)))</f>
        <v/>
      </c>
      <c r="O518" s="11">
        <f>IF(A518="","",IF(K518="",0,J518*INDEX(Products!$H$5:$H$204,K518)))</f>
        <v/>
      </c>
      <c r="P518" s="11">
        <f>IF(A518="","",J518-M518-N518-O518)</f>
        <v/>
      </c>
    </row>
    <row r="519">
      <c r="A519">
        <f>IFERROR(INDEX('Etsy Import'!$A:$CZ,519,Settings!$C$20)&amp;"","")</f>
        <v/>
      </c>
      <c r="B519">
        <f>IFERROR(INDEX('Etsy Import'!$A:$CZ,519,Settings!$C$21)&amp;"","")</f>
        <v/>
      </c>
      <c r="C519">
        <f>IFERROR(INDEX('Etsy Import'!$A:$CZ,519,Settings!$C$22)&amp;"","")</f>
        <v/>
      </c>
      <c r="D519">
        <f>IF(A519="","",IFERROR(VALUE(SUBSTITUTE(SUBSTITUTE(INDEX('Etsy Import'!$A:$CZ,519,Settings!$C$23)&amp;"","$",""),",","")),0))</f>
        <v/>
      </c>
      <c r="E519" s="11">
        <f>IF(A519="","",IFERROR(VALUE(SUBSTITUTE(SUBSTITUTE(INDEX('Etsy Import'!$A:$CZ,519,Settings!$C$24)&amp;"","$",""),",","")),0))</f>
        <v/>
      </c>
      <c r="F519" s="11">
        <f>IF(A519="","",D519*E519)</f>
        <v/>
      </c>
      <c r="G519">
        <f>IF(A519="","",IF(C519="",1,COUNTIF($C$2:$C$1501,C519)))</f>
        <v/>
      </c>
      <c r="H519" s="11">
        <f>IF(A519="","",IFERROR(VALUE(SUBSTITUTE(SUBSTITUTE(INDEX('Etsy Import'!$A:$CZ,519,Settings!$C$25)&amp;"","$",""),",","")),0)/IF(Settings!$B$27="Yes",G519,1))</f>
        <v/>
      </c>
      <c r="I519" s="11">
        <f>IF(A519="","",IFERROR(VALUE(SUBSTITUTE(SUBSTITUTE(INDEX('Etsy Import'!$A:$CZ,519,Settings!$C$26)&amp;"","$",""),",","")),0)/IF(Settings!$B$27="Yes",G519,1))</f>
        <v/>
      </c>
      <c r="J519" s="11">
        <f>IF(A519="","",F519+H519-I519)</f>
        <v/>
      </c>
      <c r="K519">
        <f>IF(A519="","",IFERROR(IF(B519="",NA(),MATCH(B519,Products!$B$5:$B$204,0)),IFERROR(MATCH(A519,Products!$A$5:$A$204,0),"")))</f>
        <v/>
      </c>
      <c r="L519">
        <f>IF(A519="","",IF(K519="","⚠ not in Products",INDEX(Products!$A$5:$A$204,K519)))</f>
        <v/>
      </c>
      <c r="M519" s="11">
        <f>IF(A519="","",J519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519+IFERROR(INDEX(Settings!$D$5:$D$9,MATCH("Etsy",Settings!$A$5:$A$9,0)),0)*D519)</f>
        <v/>
      </c>
      <c r="N519" s="11">
        <f>IF(A519="","",IF(K519="",0,D519*INDEX(Products!$I$5:$I$204,K519)))</f>
        <v/>
      </c>
      <c r="O519" s="11">
        <f>IF(A519="","",IF(K519="",0,J519*INDEX(Products!$H$5:$H$204,K519)))</f>
        <v/>
      </c>
      <c r="P519" s="11">
        <f>IF(A519="","",J519-M519-N519-O519)</f>
        <v/>
      </c>
    </row>
    <row r="520">
      <c r="A520">
        <f>IFERROR(INDEX('Etsy Import'!$A:$CZ,520,Settings!$C$20)&amp;"","")</f>
        <v/>
      </c>
      <c r="B520">
        <f>IFERROR(INDEX('Etsy Import'!$A:$CZ,520,Settings!$C$21)&amp;"","")</f>
        <v/>
      </c>
      <c r="C520">
        <f>IFERROR(INDEX('Etsy Import'!$A:$CZ,520,Settings!$C$22)&amp;"","")</f>
        <v/>
      </c>
      <c r="D520">
        <f>IF(A520="","",IFERROR(VALUE(SUBSTITUTE(SUBSTITUTE(INDEX('Etsy Import'!$A:$CZ,520,Settings!$C$23)&amp;"","$",""),",","")),0))</f>
        <v/>
      </c>
      <c r="E520" s="11">
        <f>IF(A520="","",IFERROR(VALUE(SUBSTITUTE(SUBSTITUTE(INDEX('Etsy Import'!$A:$CZ,520,Settings!$C$24)&amp;"","$",""),",","")),0))</f>
        <v/>
      </c>
      <c r="F520" s="11">
        <f>IF(A520="","",D520*E520)</f>
        <v/>
      </c>
      <c r="G520">
        <f>IF(A520="","",IF(C520="",1,COUNTIF($C$2:$C$1501,C520)))</f>
        <v/>
      </c>
      <c r="H520" s="11">
        <f>IF(A520="","",IFERROR(VALUE(SUBSTITUTE(SUBSTITUTE(INDEX('Etsy Import'!$A:$CZ,520,Settings!$C$25)&amp;"","$",""),",","")),0)/IF(Settings!$B$27="Yes",G520,1))</f>
        <v/>
      </c>
      <c r="I520" s="11">
        <f>IF(A520="","",IFERROR(VALUE(SUBSTITUTE(SUBSTITUTE(INDEX('Etsy Import'!$A:$CZ,520,Settings!$C$26)&amp;"","$",""),",","")),0)/IF(Settings!$B$27="Yes",G520,1))</f>
        <v/>
      </c>
      <c r="J520" s="11">
        <f>IF(A520="","",F520+H520-I520)</f>
        <v/>
      </c>
      <c r="K520">
        <f>IF(A520="","",IFERROR(IF(B520="",NA(),MATCH(B520,Products!$B$5:$B$204,0)),IFERROR(MATCH(A520,Products!$A$5:$A$204,0),"")))</f>
        <v/>
      </c>
      <c r="L520">
        <f>IF(A520="","",IF(K520="","⚠ not in Products",INDEX(Products!$A$5:$A$204,K520)))</f>
        <v/>
      </c>
      <c r="M520" s="11">
        <f>IF(A520="","",J520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520+IFERROR(INDEX(Settings!$D$5:$D$9,MATCH("Etsy",Settings!$A$5:$A$9,0)),0)*D520)</f>
        <v/>
      </c>
      <c r="N520" s="11">
        <f>IF(A520="","",IF(K520="",0,D520*INDEX(Products!$I$5:$I$204,K520)))</f>
        <v/>
      </c>
      <c r="O520" s="11">
        <f>IF(A520="","",IF(K520="",0,J520*INDEX(Products!$H$5:$H$204,K520)))</f>
        <v/>
      </c>
      <c r="P520" s="11">
        <f>IF(A520="","",J520-M520-N520-O520)</f>
        <v/>
      </c>
    </row>
    <row r="521">
      <c r="A521">
        <f>IFERROR(INDEX('Etsy Import'!$A:$CZ,521,Settings!$C$20)&amp;"","")</f>
        <v/>
      </c>
      <c r="B521">
        <f>IFERROR(INDEX('Etsy Import'!$A:$CZ,521,Settings!$C$21)&amp;"","")</f>
        <v/>
      </c>
      <c r="C521">
        <f>IFERROR(INDEX('Etsy Import'!$A:$CZ,521,Settings!$C$22)&amp;"","")</f>
        <v/>
      </c>
      <c r="D521">
        <f>IF(A521="","",IFERROR(VALUE(SUBSTITUTE(SUBSTITUTE(INDEX('Etsy Import'!$A:$CZ,521,Settings!$C$23)&amp;"","$",""),",","")),0))</f>
        <v/>
      </c>
      <c r="E521" s="11">
        <f>IF(A521="","",IFERROR(VALUE(SUBSTITUTE(SUBSTITUTE(INDEX('Etsy Import'!$A:$CZ,521,Settings!$C$24)&amp;"","$",""),",","")),0))</f>
        <v/>
      </c>
      <c r="F521" s="11">
        <f>IF(A521="","",D521*E521)</f>
        <v/>
      </c>
      <c r="G521">
        <f>IF(A521="","",IF(C521="",1,COUNTIF($C$2:$C$1501,C521)))</f>
        <v/>
      </c>
      <c r="H521" s="11">
        <f>IF(A521="","",IFERROR(VALUE(SUBSTITUTE(SUBSTITUTE(INDEX('Etsy Import'!$A:$CZ,521,Settings!$C$25)&amp;"","$",""),",","")),0)/IF(Settings!$B$27="Yes",G521,1))</f>
        <v/>
      </c>
      <c r="I521" s="11">
        <f>IF(A521="","",IFERROR(VALUE(SUBSTITUTE(SUBSTITUTE(INDEX('Etsy Import'!$A:$CZ,521,Settings!$C$26)&amp;"","$",""),",","")),0)/IF(Settings!$B$27="Yes",G521,1))</f>
        <v/>
      </c>
      <c r="J521" s="11">
        <f>IF(A521="","",F521+H521-I521)</f>
        <v/>
      </c>
      <c r="K521">
        <f>IF(A521="","",IFERROR(IF(B521="",NA(),MATCH(B521,Products!$B$5:$B$204,0)),IFERROR(MATCH(A521,Products!$A$5:$A$204,0),"")))</f>
        <v/>
      </c>
      <c r="L521">
        <f>IF(A521="","",IF(K521="","⚠ not in Products",INDEX(Products!$A$5:$A$204,K521)))</f>
        <v/>
      </c>
      <c r="M521" s="11">
        <f>IF(A521="","",J521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521+IFERROR(INDEX(Settings!$D$5:$D$9,MATCH("Etsy",Settings!$A$5:$A$9,0)),0)*D521)</f>
        <v/>
      </c>
      <c r="N521" s="11">
        <f>IF(A521="","",IF(K521="",0,D521*INDEX(Products!$I$5:$I$204,K521)))</f>
        <v/>
      </c>
      <c r="O521" s="11">
        <f>IF(A521="","",IF(K521="",0,J521*INDEX(Products!$H$5:$H$204,K521)))</f>
        <v/>
      </c>
      <c r="P521" s="11">
        <f>IF(A521="","",J521-M521-N521-O521)</f>
        <v/>
      </c>
    </row>
    <row r="522">
      <c r="A522">
        <f>IFERROR(INDEX('Etsy Import'!$A:$CZ,522,Settings!$C$20)&amp;"","")</f>
        <v/>
      </c>
      <c r="B522">
        <f>IFERROR(INDEX('Etsy Import'!$A:$CZ,522,Settings!$C$21)&amp;"","")</f>
        <v/>
      </c>
      <c r="C522">
        <f>IFERROR(INDEX('Etsy Import'!$A:$CZ,522,Settings!$C$22)&amp;"","")</f>
        <v/>
      </c>
      <c r="D522">
        <f>IF(A522="","",IFERROR(VALUE(SUBSTITUTE(SUBSTITUTE(INDEX('Etsy Import'!$A:$CZ,522,Settings!$C$23)&amp;"","$",""),",","")),0))</f>
        <v/>
      </c>
      <c r="E522" s="11">
        <f>IF(A522="","",IFERROR(VALUE(SUBSTITUTE(SUBSTITUTE(INDEX('Etsy Import'!$A:$CZ,522,Settings!$C$24)&amp;"","$",""),",","")),0))</f>
        <v/>
      </c>
      <c r="F522" s="11">
        <f>IF(A522="","",D522*E522)</f>
        <v/>
      </c>
      <c r="G522">
        <f>IF(A522="","",IF(C522="",1,COUNTIF($C$2:$C$1501,C522)))</f>
        <v/>
      </c>
      <c r="H522" s="11">
        <f>IF(A522="","",IFERROR(VALUE(SUBSTITUTE(SUBSTITUTE(INDEX('Etsy Import'!$A:$CZ,522,Settings!$C$25)&amp;"","$",""),",","")),0)/IF(Settings!$B$27="Yes",G522,1))</f>
        <v/>
      </c>
      <c r="I522" s="11">
        <f>IF(A522="","",IFERROR(VALUE(SUBSTITUTE(SUBSTITUTE(INDEX('Etsy Import'!$A:$CZ,522,Settings!$C$26)&amp;"","$",""),",","")),0)/IF(Settings!$B$27="Yes",G522,1))</f>
        <v/>
      </c>
      <c r="J522" s="11">
        <f>IF(A522="","",F522+H522-I522)</f>
        <v/>
      </c>
      <c r="K522">
        <f>IF(A522="","",IFERROR(IF(B522="",NA(),MATCH(B522,Products!$B$5:$B$204,0)),IFERROR(MATCH(A522,Products!$A$5:$A$204,0),"")))</f>
        <v/>
      </c>
      <c r="L522">
        <f>IF(A522="","",IF(K522="","⚠ not in Products",INDEX(Products!$A$5:$A$204,K522)))</f>
        <v/>
      </c>
      <c r="M522" s="11">
        <f>IF(A522="","",J522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522+IFERROR(INDEX(Settings!$D$5:$D$9,MATCH("Etsy",Settings!$A$5:$A$9,0)),0)*D522)</f>
        <v/>
      </c>
      <c r="N522" s="11">
        <f>IF(A522="","",IF(K522="",0,D522*INDEX(Products!$I$5:$I$204,K522)))</f>
        <v/>
      </c>
      <c r="O522" s="11">
        <f>IF(A522="","",IF(K522="",0,J522*INDEX(Products!$H$5:$H$204,K522)))</f>
        <v/>
      </c>
      <c r="P522" s="11">
        <f>IF(A522="","",J522-M522-N522-O522)</f>
        <v/>
      </c>
    </row>
    <row r="523">
      <c r="A523">
        <f>IFERROR(INDEX('Etsy Import'!$A:$CZ,523,Settings!$C$20)&amp;"","")</f>
        <v/>
      </c>
      <c r="B523">
        <f>IFERROR(INDEX('Etsy Import'!$A:$CZ,523,Settings!$C$21)&amp;"","")</f>
        <v/>
      </c>
      <c r="C523">
        <f>IFERROR(INDEX('Etsy Import'!$A:$CZ,523,Settings!$C$22)&amp;"","")</f>
        <v/>
      </c>
      <c r="D523">
        <f>IF(A523="","",IFERROR(VALUE(SUBSTITUTE(SUBSTITUTE(INDEX('Etsy Import'!$A:$CZ,523,Settings!$C$23)&amp;"","$",""),",","")),0))</f>
        <v/>
      </c>
      <c r="E523" s="11">
        <f>IF(A523="","",IFERROR(VALUE(SUBSTITUTE(SUBSTITUTE(INDEX('Etsy Import'!$A:$CZ,523,Settings!$C$24)&amp;"","$",""),",","")),0))</f>
        <v/>
      </c>
      <c r="F523" s="11">
        <f>IF(A523="","",D523*E523)</f>
        <v/>
      </c>
      <c r="G523">
        <f>IF(A523="","",IF(C523="",1,COUNTIF($C$2:$C$1501,C523)))</f>
        <v/>
      </c>
      <c r="H523" s="11">
        <f>IF(A523="","",IFERROR(VALUE(SUBSTITUTE(SUBSTITUTE(INDEX('Etsy Import'!$A:$CZ,523,Settings!$C$25)&amp;"","$",""),",","")),0)/IF(Settings!$B$27="Yes",G523,1))</f>
        <v/>
      </c>
      <c r="I523" s="11">
        <f>IF(A523="","",IFERROR(VALUE(SUBSTITUTE(SUBSTITUTE(INDEX('Etsy Import'!$A:$CZ,523,Settings!$C$26)&amp;"","$",""),",","")),0)/IF(Settings!$B$27="Yes",G523,1))</f>
        <v/>
      </c>
      <c r="J523" s="11">
        <f>IF(A523="","",F523+H523-I523)</f>
        <v/>
      </c>
      <c r="K523">
        <f>IF(A523="","",IFERROR(IF(B523="",NA(),MATCH(B523,Products!$B$5:$B$204,0)),IFERROR(MATCH(A523,Products!$A$5:$A$204,0),"")))</f>
        <v/>
      </c>
      <c r="L523">
        <f>IF(A523="","",IF(K523="","⚠ not in Products",INDEX(Products!$A$5:$A$204,K523)))</f>
        <v/>
      </c>
      <c r="M523" s="11">
        <f>IF(A523="","",J523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523+IFERROR(INDEX(Settings!$D$5:$D$9,MATCH("Etsy",Settings!$A$5:$A$9,0)),0)*D523)</f>
        <v/>
      </c>
      <c r="N523" s="11">
        <f>IF(A523="","",IF(K523="",0,D523*INDEX(Products!$I$5:$I$204,K523)))</f>
        <v/>
      </c>
      <c r="O523" s="11">
        <f>IF(A523="","",IF(K523="",0,J523*INDEX(Products!$H$5:$H$204,K523)))</f>
        <v/>
      </c>
      <c r="P523" s="11">
        <f>IF(A523="","",J523-M523-N523-O523)</f>
        <v/>
      </c>
    </row>
    <row r="524">
      <c r="A524">
        <f>IFERROR(INDEX('Etsy Import'!$A:$CZ,524,Settings!$C$20)&amp;"","")</f>
        <v/>
      </c>
      <c r="B524">
        <f>IFERROR(INDEX('Etsy Import'!$A:$CZ,524,Settings!$C$21)&amp;"","")</f>
        <v/>
      </c>
      <c r="C524">
        <f>IFERROR(INDEX('Etsy Import'!$A:$CZ,524,Settings!$C$22)&amp;"","")</f>
        <v/>
      </c>
      <c r="D524">
        <f>IF(A524="","",IFERROR(VALUE(SUBSTITUTE(SUBSTITUTE(INDEX('Etsy Import'!$A:$CZ,524,Settings!$C$23)&amp;"","$",""),",","")),0))</f>
        <v/>
      </c>
      <c r="E524" s="11">
        <f>IF(A524="","",IFERROR(VALUE(SUBSTITUTE(SUBSTITUTE(INDEX('Etsy Import'!$A:$CZ,524,Settings!$C$24)&amp;"","$",""),",","")),0))</f>
        <v/>
      </c>
      <c r="F524" s="11">
        <f>IF(A524="","",D524*E524)</f>
        <v/>
      </c>
      <c r="G524">
        <f>IF(A524="","",IF(C524="",1,COUNTIF($C$2:$C$1501,C524)))</f>
        <v/>
      </c>
      <c r="H524" s="11">
        <f>IF(A524="","",IFERROR(VALUE(SUBSTITUTE(SUBSTITUTE(INDEX('Etsy Import'!$A:$CZ,524,Settings!$C$25)&amp;"","$",""),",","")),0)/IF(Settings!$B$27="Yes",G524,1))</f>
        <v/>
      </c>
      <c r="I524" s="11">
        <f>IF(A524="","",IFERROR(VALUE(SUBSTITUTE(SUBSTITUTE(INDEX('Etsy Import'!$A:$CZ,524,Settings!$C$26)&amp;"","$",""),",","")),0)/IF(Settings!$B$27="Yes",G524,1))</f>
        <v/>
      </c>
      <c r="J524" s="11">
        <f>IF(A524="","",F524+H524-I524)</f>
        <v/>
      </c>
      <c r="K524">
        <f>IF(A524="","",IFERROR(IF(B524="",NA(),MATCH(B524,Products!$B$5:$B$204,0)),IFERROR(MATCH(A524,Products!$A$5:$A$204,0),"")))</f>
        <v/>
      </c>
      <c r="L524">
        <f>IF(A524="","",IF(K524="","⚠ not in Products",INDEX(Products!$A$5:$A$204,K524)))</f>
        <v/>
      </c>
      <c r="M524" s="11">
        <f>IF(A524="","",J524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524+IFERROR(INDEX(Settings!$D$5:$D$9,MATCH("Etsy",Settings!$A$5:$A$9,0)),0)*D524)</f>
        <v/>
      </c>
      <c r="N524" s="11">
        <f>IF(A524="","",IF(K524="",0,D524*INDEX(Products!$I$5:$I$204,K524)))</f>
        <v/>
      </c>
      <c r="O524" s="11">
        <f>IF(A524="","",IF(K524="",0,J524*INDEX(Products!$H$5:$H$204,K524)))</f>
        <v/>
      </c>
      <c r="P524" s="11">
        <f>IF(A524="","",J524-M524-N524-O524)</f>
        <v/>
      </c>
    </row>
    <row r="525">
      <c r="A525">
        <f>IFERROR(INDEX('Etsy Import'!$A:$CZ,525,Settings!$C$20)&amp;"","")</f>
        <v/>
      </c>
      <c r="B525">
        <f>IFERROR(INDEX('Etsy Import'!$A:$CZ,525,Settings!$C$21)&amp;"","")</f>
        <v/>
      </c>
      <c r="C525">
        <f>IFERROR(INDEX('Etsy Import'!$A:$CZ,525,Settings!$C$22)&amp;"","")</f>
        <v/>
      </c>
      <c r="D525">
        <f>IF(A525="","",IFERROR(VALUE(SUBSTITUTE(SUBSTITUTE(INDEX('Etsy Import'!$A:$CZ,525,Settings!$C$23)&amp;"","$",""),",","")),0))</f>
        <v/>
      </c>
      <c r="E525" s="11">
        <f>IF(A525="","",IFERROR(VALUE(SUBSTITUTE(SUBSTITUTE(INDEX('Etsy Import'!$A:$CZ,525,Settings!$C$24)&amp;"","$",""),",","")),0))</f>
        <v/>
      </c>
      <c r="F525" s="11">
        <f>IF(A525="","",D525*E525)</f>
        <v/>
      </c>
      <c r="G525">
        <f>IF(A525="","",IF(C525="",1,COUNTIF($C$2:$C$1501,C525)))</f>
        <v/>
      </c>
      <c r="H525" s="11">
        <f>IF(A525="","",IFERROR(VALUE(SUBSTITUTE(SUBSTITUTE(INDEX('Etsy Import'!$A:$CZ,525,Settings!$C$25)&amp;"","$",""),",","")),0)/IF(Settings!$B$27="Yes",G525,1))</f>
        <v/>
      </c>
      <c r="I525" s="11">
        <f>IF(A525="","",IFERROR(VALUE(SUBSTITUTE(SUBSTITUTE(INDEX('Etsy Import'!$A:$CZ,525,Settings!$C$26)&amp;"","$",""),",","")),0)/IF(Settings!$B$27="Yes",G525,1))</f>
        <v/>
      </c>
      <c r="J525" s="11">
        <f>IF(A525="","",F525+H525-I525)</f>
        <v/>
      </c>
      <c r="K525">
        <f>IF(A525="","",IFERROR(IF(B525="",NA(),MATCH(B525,Products!$B$5:$B$204,0)),IFERROR(MATCH(A525,Products!$A$5:$A$204,0),"")))</f>
        <v/>
      </c>
      <c r="L525">
        <f>IF(A525="","",IF(K525="","⚠ not in Products",INDEX(Products!$A$5:$A$204,K525)))</f>
        <v/>
      </c>
      <c r="M525" s="11">
        <f>IF(A525="","",J525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525+IFERROR(INDEX(Settings!$D$5:$D$9,MATCH("Etsy",Settings!$A$5:$A$9,0)),0)*D525)</f>
        <v/>
      </c>
      <c r="N525" s="11">
        <f>IF(A525="","",IF(K525="",0,D525*INDEX(Products!$I$5:$I$204,K525)))</f>
        <v/>
      </c>
      <c r="O525" s="11">
        <f>IF(A525="","",IF(K525="",0,J525*INDEX(Products!$H$5:$H$204,K525)))</f>
        <v/>
      </c>
      <c r="P525" s="11">
        <f>IF(A525="","",J525-M525-N525-O525)</f>
        <v/>
      </c>
    </row>
    <row r="526">
      <c r="A526">
        <f>IFERROR(INDEX('Etsy Import'!$A:$CZ,526,Settings!$C$20)&amp;"","")</f>
        <v/>
      </c>
      <c r="B526">
        <f>IFERROR(INDEX('Etsy Import'!$A:$CZ,526,Settings!$C$21)&amp;"","")</f>
        <v/>
      </c>
      <c r="C526">
        <f>IFERROR(INDEX('Etsy Import'!$A:$CZ,526,Settings!$C$22)&amp;"","")</f>
        <v/>
      </c>
      <c r="D526">
        <f>IF(A526="","",IFERROR(VALUE(SUBSTITUTE(SUBSTITUTE(INDEX('Etsy Import'!$A:$CZ,526,Settings!$C$23)&amp;"","$",""),",","")),0))</f>
        <v/>
      </c>
      <c r="E526" s="11">
        <f>IF(A526="","",IFERROR(VALUE(SUBSTITUTE(SUBSTITUTE(INDEX('Etsy Import'!$A:$CZ,526,Settings!$C$24)&amp;"","$",""),",","")),0))</f>
        <v/>
      </c>
      <c r="F526" s="11">
        <f>IF(A526="","",D526*E526)</f>
        <v/>
      </c>
      <c r="G526">
        <f>IF(A526="","",IF(C526="",1,COUNTIF($C$2:$C$1501,C526)))</f>
        <v/>
      </c>
      <c r="H526" s="11">
        <f>IF(A526="","",IFERROR(VALUE(SUBSTITUTE(SUBSTITUTE(INDEX('Etsy Import'!$A:$CZ,526,Settings!$C$25)&amp;"","$",""),",","")),0)/IF(Settings!$B$27="Yes",G526,1))</f>
        <v/>
      </c>
      <c r="I526" s="11">
        <f>IF(A526="","",IFERROR(VALUE(SUBSTITUTE(SUBSTITUTE(INDEX('Etsy Import'!$A:$CZ,526,Settings!$C$26)&amp;"","$",""),",","")),0)/IF(Settings!$B$27="Yes",G526,1))</f>
        <v/>
      </c>
      <c r="J526" s="11">
        <f>IF(A526="","",F526+H526-I526)</f>
        <v/>
      </c>
      <c r="K526">
        <f>IF(A526="","",IFERROR(IF(B526="",NA(),MATCH(B526,Products!$B$5:$B$204,0)),IFERROR(MATCH(A526,Products!$A$5:$A$204,0),"")))</f>
        <v/>
      </c>
      <c r="L526">
        <f>IF(A526="","",IF(K526="","⚠ not in Products",INDEX(Products!$A$5:$A$204,K526)))</f>
        <v/>
      </c>
      <c r="M526" s="11">
        <f>IF(A526="","",J526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526+IFERROR(INDEX(Settings!$D$5:$D$9,MATCH("Etsy",Settings!$A$5:$A$9,0)),0)*D526)</f>
        <v/>
      </c>
      <c r="N526" s="11">
        <f>IF(A526="","",IF(K526="",0,D526*INDEX(Products!$I$5:$I$204,K526)))</f>
        <v/>
      </c>
      <c r="O526" s="11">
        <f>IF(A526="","",IF(K526="",0,J526*INDEX(Products!$H$5:$H$204,K526)))</f>
        <v/>
      </c>
      <c r="P526" s="11">
        <f>IF(A526="","",J526-M526-N526-O526)</f>
        <v/>
      </c>
    </row>
    <row r="527">
      <c r="A527">
        <f>IFERROR(INDEX('Etsy Import'!$A:$CZ,527,Settings!$C$20)&amp;"","")</f>
        <v/>
      </c>
      <c r="B527">
        <f>IFERROR(INDEX('Etsy Import'!$A:$CZ,527,Settings!$C$21)&amp;"","")</f>
        <v/>
      </c>
      <c r="C527">
        <f>IFERROR(INDEX('Etsy Import'!$A:$CZ,527,Settings!$C$22)&amp;"","")</f>
        <v/>
      </c>
      <c r="D527">
        <f>IF(A527="","",IFERROR(VALUE(SUBSTITUTE(SUBSTITUTE(INDEX('Etsy Import'!$A:$CZ,527,Settings!$C$23)&amp;"","$",""),",","")),0))</f>
        <v/>
      </c>
      <c r="E527" s="11">
        <f>IF(A527="","",IFERROR(VALUE(SUBSTITUTE(SUBSTITUTE(INDEX('Etsy Import'!$A:$CZ,527,Settings!$C$24)&amp;"","$",""),",","")),0))</f>
        <v/>
      </c>
      <c r="F527" s="11">
        <f>IF(A527="","",D527*E527)</f>
        <v/>
      </c>
      <c r="G527">
        <f>IF(A527="","",IF(C527="",1,COUNTIF($C$2:$C$1501,C527)))</f>
        <v/>
      </c>
      <c r="H527" s="11">
        <f>IF(A527="","",IFERROR(VALUE(SUBSTITUTE(SUBSTITUTE(INDEX('Etsy Import'!$A:$CZ,527,Settings!$C$25)&amp;"","$",""),",","")),0)/IF(Settings!$B$27="Yes",G527,1))</f>
        <v/>
      </c>
      <c r="I527" s="11">
        <f>IF(A527="","",IFERROR(VALUE(SUBSTITUTE(SUBSTITUTE(INDEX('Etsy Import'!$A:$CZ,527,Settings!$C$26)&amp;"","$",""),",","")),0)/IF(Settings!$B$27="Yes",G527,1))</f>
        <v/>
      </c>
      <c r="J527" s="11">
        <f>IF(A527="","",F527+H527-I527)</f>
        <v/>
      </c>
      <c r="K527">
        <f>IF(A527="","",IFERROR(IF(B527="",NA(),MATCH(B527,Products!$B$5:$B$204,0)),IFERROR(MATCH(A527,Products!$A$5:$A$204,0),"")))</f>
        <v/>
      </c>
      <c r="L527">
        <f>IF(A527="","",IF(K527="","⚠ not in Products",INDEX(Products!$A$5:$A$204,K527)))</f>
        <v/>
      </c>
      <c r="M527" s="11">
        <f>IF(A527="","",J527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527+IFERROR(INDEX(Settings!$D$5:$D$9,MATCH("Etsy",Settings!$A$5:$A$9,0)),0)*D527)</f>
        <v/>
      </c>
      <c r="N527" s="11">
        <f>IF(A527="","",IF(K527="",0,D527*INDEX(Products!$I$5:$I$204,K527)))</f>
        <v/>
      </c>
      <c r="O527" s="11">
        <f>IF(A527="","",IF(K527="",0,J527*INDEX(Products!$H$5:$H$204,K527)))</f>
        <v/>
      </c>
      <c r="P527" s="11">
        <f>IF(A527="","",J527-M527-N527-O527)</f>
        <v/>
      </c>
    </row>
    <row r="528">
      <c r="A528">
        <f>IFERROR(INDEX('Etsy Import'!$A:$CZ,528,Settings!$C$20)&amp;"","")</f>
        <v/>
      </c>
      <c r="B528">
        <f>IFERROR(INDEX('Etsy Import'!$A:$CZ,528,Settings!$C$21)&amp;"","")</f>
        <v/>
      </c>
      <c r="C528">
        <f>IFERROR(INDEX('Etsy Import'!$A:$CZ,528,Settings!$C$22)&amp;"","")</f>
        <v/>
      </c>
      <c r="D528">
        <f>IF(A528="","",IFERROR(VALUE(SUBSTITUTE(SUBSTITUTE(INDEX('Etsy Import'!$A:$CZ,528,Settings!$C$23)&amp;"","$",""),",","")),0))</f>
        <v/>
      </c>
      <c r="E528" s="11">
        <f>IF(A528="","",IFERROR(VALUE(SUBSTITUTE(SUBSTITUTE(INDEX('Etsy Import'!$A:$CZ,528,Settings!$C$24)&amp;"","$",""),",","")),0))</f>
        <v/>
      </c>
      <c r="F528" s="11">
        <f>IF(A528="","",D528*E528)</f>
        <v/>
      </c>
      <c r="G528">
        <f>IF(A528="","",IF(C528="",1,COUNTIF($C$2:$C$1501,C528)))</f>
        <v/>
      </c>
      <c r="H528" s="11">
        <f>IF(A528="","",IFERROR(VALUE(SUBSTITUTE(SUBSTITUTE(INDEX('Etsy Import'!$A:$CZ,528,Settings!$C$25)&amp;"","$",""),",","")),0)/IF(Settings!$B$27="Yes",G528,1))</f>
        <v/>
      </c>
      <c r="I528" s="11">
        <f>IF(A528="","",IFERROR(VALUE(SUBSTITUTE(SUBSTITUTE(INDEX('Etsy Import'!$A:$CZ,528,Settings!$C$26)&amp;"","$",""),",","")),0)/IF(Settings!$B$27="Yes",G528,1))</f>
        <v/>
      </c>
      <c r="J528" s="11">
        <f>IF(A528="","",F528+H528-I528)</f>
        <v/>
      </c>
      <c r="K528">
        <f>IF(A528="","",IFERROR(IF(B528="",NA(),MATCH(B528,Products!$B$5:$B$204,0)),IFERROR(MATCH(A528,Products!$A$5:$A$204,0),"")))</f>
        <v/>
      </c>
      <c r="L528">
        <f>IF(A528="","",IF(K528="","⚠ not in Products",INDEX(Products!$A$5:$A$204,K528)))</f>
        <v/>
      </c>
      <c r="M528" s="11">
        <f>IF(A528="","",J528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528+IFERROR(INDEX(Settings!$D$5:$D$9,MATCH("Etsy",Settings!$A$5:$A$9,0)),0)*D528)</f>
        <v/>
      </c>
      <c r="N528" s="11">
        <f>IF(A528="","",IF(K528="",0,D528*INDEX(Products!$I$5:$I$204,K528)))</f>
        <v/>
      </c>
      <c r="O528" s="11">
        <f>IF(A528="","",IF(K528="",0,J528*INDEX(Products!$H$5:$H$204,K528)))</f>
        <v/>
      </c>
      <c r="P528" s="11">
        <f>IF(A528="","",J528-M528-N528-O528)</f>
        <v/>
      </c>
    </row>
    <row r="529">
      <c r="A529">
        <f>IFERROR(INDEX('Etsy Import'!$A:$CZ,529,Settings!$C$20)&amp;"","")</f>
        <v/>
      </c>
      <c r="B529">
        <f>IFERROR(INDEX('Etsy Import'!$A:$CZ,529,Settings!$C$21)&amp;"","")</f>
        <v/>
      </c>
      <c r="C529">
        <f>IFERROR(INDEX('Etsy Import'!$A:$CZ,529,Settings!$C$22)&amp;"","")</f>
        <v/>
      </c>
      <c r="D529">
        <f>IF(A529="","",IFERROR(VALUE(SUBSTITUTE(SUBSTITUTE(INDEX('Etsy Import'!$A:$CZ,529,Settings!$C$23)&amp;"","$",""),",","")),0))</f>
        <v/>
      </c>
      <c r="E529" s="11">
        <f>IF(A529="","",IFERROR(VALUE(SUBSTITUTE(SUBSTITUTE(INDEX('Etsy Import'!$A:$CZ,529,Settings!$C$24)&amp;"","$",""),",","")),0))</f>
        <v/>
      </c>
      <c r="F529" s="11">
        <f>IF(A529="","",D529*E529)</f>
        <v/>
      </c>
      <c r="G529">
        <f>IF(A529="","",IF(C529="",1,COUNTIF($C$2:$C$1501,C529)))</f>
        <v/>
      </c>
      <c r="H529" s="11">
        <f>IF(A529="","",IFERROR(VALUE(SUBSTITUTE(SUBSTITUTE(INDEX('Etsy Import'!$A:$CZ,529,Settings!$C$25)&amp;"","$",""),",","")),0)/IF(Settings!$B$27="Yes",G529,1))</f>
        <v/>
      </c>
      <c r="I529" s="11">
        <f>IF(A529="","",IFERROR(VALUE(SUBSTITUTE(SUBSTITUTE(INDEX('Etsy Import'!$A:$CZ,529,Settings!$C$26)&amp;"","$",""),",","")),0)/IF(Settings!$B$27="Yes",G529,1))</f>
        <v/>
      </c>
      <c r="J529" s="11">
        <f>IF(A529="","",F529+H529-I529)</f>
        <v/>
      </c>
      <c r="K529">
        <f>IF(A529="","",IFERROR(IF(B529="",NA(),MATCH(B529,Products!$B$5:$B$204,0)),IFERROR(MATCH(A529,Products!$A$5:$A$204,0),"")))</f>
        <v/>
      </c>
      <c r="L529">
        <f>IF(A529="","",IF(K529="","⚠ not in Products",INDEX(Products!$A$5:$A$204,K529)))</f>
        <v/>
      </c>
      <c r="M529" s="11">
        <f>IF(A529="","",J529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529+IFERROR(INDEX(Settings!$D$5:$D$9,MATCH("Etsy",Settings!$A$5:$A$9,0)),0)*D529)</f>
        <v/>
      </c>
      <c r="N529" s="11">
        <f>IF(A529="","",IF(K529="",0,D529*INDEX(Products!$I$5:$I$204,K529)))</f>
        <v/>
      </c>
      <c r="O529" s="11">
        <f>IF(A529="","",IF(K529="",0,J529*INDEX(Products!$H$5:$H$204,K529)))</f>
        <v/>
      </c>
      <c r="P529" s="11">
        <f>IF(A529="","",J529-M529-N529-O529)</f>
        <v/>
      </c>
    </row>
    <row r="530">
      <c r="A530">
        <f>IFERROR(INDEX('Etsy Import'!$A:$CZ,530,Settings!$C$20)&amp;"","")</f>
        <v/>
      </c>
      <c r="B530">
        <f>IFERROR(INDEX('Etsy Import'!$A:$CZ,530,Settings!$C$21)&amp;"","")</f>
        <v/>
      </c>
      <c r="C530">
        <f>IFERROR(INDEX('Etsy Import'!$A:$CZ,530,Settings!$C$22)&amp;"","")</f>
        <v/>
      </c>
      <c r="D530">
        <f>IF(A530="","",IFERROR(VALUE(SUBSTITUTE(SUBSTITUTE(INDEX('Etsy Import'!$A:$CZ,530,Settings!$C$23)&amp;"","$",""),",","")),0))</f>
        <v/>
      </c>
      <c r="E530" s="11">
        <f>IF(A530="","",IFERROR(VALUE(SUBSTITUTE(SUBSTITUTE(INDEX('Etsy Import'!$A:$CZ,530,Settings!$C$24)&amp;"","$",""),",","")),0))</f>
        <v/>
      </c>
      <c r="F530" s="11">
        <f>IF(A530="","",D530*E530)</f>
        <v/>
      </c>
      <c r="G530">
        <f>IF(A530="","",IF(C530="",1,COUNTIF($C$2:$C$1501,C530)))</f>
        <v/>
      </c>
      <c r="H530" s="11">
        <f>IF(A530="","",IFERROR(VALUE(SUBSTITUTE(SUBSTITUTE(INDEX('Etsy Import'!$A:$CZ,530,Settings!$C$25)&amp;"","$",""),",","")),0)/IF(Settings!$B$27="Yes",G530,1))</f>
        <v/>
      </c>
      <c r="I530" s="11">
        <f>IF(A530="","",IFERROR(VALUE(SUBSTITUTE(SUBSTITUTE(INDEX('Etsy Import'!$A:$CZ,530,Settings!$C$26)&amp;"","$",""),",","")),0)/IF(Settings!$B$27="Yes",G530,1))</f>
        <v/>
      </c>
      <c r="J530" s="11">
        <f>IF(A530="","",F530+H530-I530)</f>
        <v/>
      </c>
      <c r="K530">
        <f>IF(A530="","",IFERROR(IF(B530="",NA(),MATCH(B530,Products!$B$5:$B$204,0)),IFERROR(MATCH(A530,Products!$A$5:$A$204,0),"")))</f>
        <v/>
      </c>
      <c r="L530">
        <f>IF(A530="","",IF(K530="","⚠ not in Products",INDEX(Products!$A$5:$A$204,K530)))</f>
        <v/>
      </c>
      <c r="M530" s="11">
        <f>IF(A530="","",J530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530+IFERROR(INDEX(Settings!$D$5:$D$9,MATCH("Etsy",Settings!$A$5:$A$9,0)),0)*D530)</f>
        <v/>
      </c>
      <c r="N530" s="11">
        <f>IF(A530="","",IF(K530="",0,D530*INDEX(Products!$I$5:$I$204,K530)))</f>
        <v/>
      </c>
      <c r="O530" s="11">
        <f>IF(A530="","",IF(K530="",0,J530*INDEX(Products!$H$5:$H$204,K530)))</f>
        <v/>
      </c>
      <c r="P530" s="11">
        <f>IF(A530="","",J530-M530-N530-O530)</f>
        <v/>
      </c>
    </row>
    <row r="531">
      <c r="A531">
        <f>IFERROR(INDEX('Etsy Import'!$A:$CZ,531,Settings!$C$20)&amp;"","")</f>
        <v/>
      </c>
      <c r="B531">
        <f>IFERROR(INDEX('Etsy Import'!$A:$CZ,531,Settings!$C$21)&amp;"","")</f>
        <v/>
      </c>
      <c r="C531">
        <f>IFERROR(INDEX('Etsy Import'!$A:$CZ,531,Settings!$C$22)&amp;"","")</f>
        <v/>
      </c>
      <c r="D531">
        <f>IF(A531="","",IFERROR(VALUE(SUBSTITUTE(SUBSTITUTE(INDEX('Etsy Import'!$A:$CZ,531,Settings!$C$23)&amp;"","$",""),",","")),0))</f>
        <v/>
      </c>
      <c r="E531" s="11">
        <f>IF(A531="","",IFERROR(VALUE(SUBSTITUTE(SUBSTITUTE(INDEX('Etsy Import'!$A:$CZ,531,Settings!$C$24)&amp;"","$",""),",","")),0))</f>
        <v/>
      </c>
      <c r="F531" s="11">
        <f>IF(A531="","",D531*E531)</f>
        <v/>
      </c>
      <c r="G531">
        <f>IF(A531="","",IF(C531="",1,COUNTIF($C$2:$C$1501,C531)))</f>
        <v/>
      </c>
      <c r="H531" s="11">
        <f>IF(A531="","",IFERROR(VALUE(SUBSTITUTE(SUBSTITUTE(INDEX('Etsy Import'!$A:$CZ,531,Settings!$C$25)&amp;"","$",""),",","")),0)/IF(Settings!$B$27="Yes",G531,1))</f>
        <v/>
      </c>
      <c r="I531" s="11">
        <f>IF(A531="","",IFERROR(VALUE(SUBSTITUTE(SUBSTITUTE(INDEX('Etsy Import'!$A:$CZ,531,Settings!$C$26)&amp;"","$",""),",","")),0)/IF(Settings!$B$27="Yes",G531,1))</f>
        <v/>
      </c>
      <c r="J531" s="11">
        <f>IF(A531="","",F531+H531-I531)</f>
        <v/>
      </c>
      <c r="K531">
        <f>IF(A531="","",IFERROR(IF(B531="",NA(),MATCH(B531,Products!$B$5:$B$204,0)),IFERROR(MATCH(A531,Products!$A$5:$A$204,0),"")))</f>
        <v/>
      </c>
      <c r="L531">
        <f>IF(A531="","",IF(K531="","⚠ not in Products",INDEX(Products!$A$5:$A$204,K531)))</f>
        <v/>
      </c>
      <c r="M531" s="11">
        <f>IF(A531="","",J531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531+IFERROR(INDEX(Settings!$D$5:$D$9,MATCH("Etsy",Settings!$A$5:$A$9,0)),0)*D531)</f>
        <v/>
      </c>
      <c r="N531" s="11">
        <f>IF(A531="","",IF(K531="",0,D531*INDEX(Products!$I$5:$I$204,K531)))</f>
        <v/>
      </c>
      <c r="O531" s="11">
        <f>IF(A531="","",IF(K531="",0,J531*INDEX(Products!$H$5:$H$204,K531)))</f>
        <v/>
      </c>
      <c r="P531" s="11">
        <f>IF(A531="","",J531-M531-N531-O531)</f>
        <v/>
      </c>
    </row>
    <row r="532">
      <c r="A532">
        <f>IFERROR(INDEX('Etsy Import'!$A:$CZ,532,Settings!$C$20)&amp;"","")</f>
        <v/>
      </c>
      <c r="B532">
        <f>IFERROR(INDEX('Etsy Import'!$A:$CZ,532,Settings!$C$21)&amp;"","")</f>
        <v/>
      </c>
      <c r="C532">
        <f>IFERROR(INDEX('Etsy Import'!$A:$CZ,532,Settings!$C$22)&amp;"","")</f>
        <v/>
      </c>
      <c r="D532">
        <f>IF(A532="","",IFERROR(VALUE(SUBSTITUTE(SUBSTITUTE(INDEX('Etsy Import'!$A:$CZ,532,Settings!$C$23)&amp;"","$",""),",","")),0))</f>
        <v/>
      </c>
      <c r="E532" s="11">
        <f>IF(A532="","",IFERROR(VALUE(SUBSTITUTE(SUBSTITUTE(INDEX('Etsy Import'!$A:$CZ,532,Settings!$C$24)&amp;"","$",""),",","")),0))</f>
        <v/>
      </c>
      <c r="F532" s="11">
        <f>IF(A532="","",D532*E532)</f>
        <v/>
      </c>
      <c r="G532">
        <f>IF(A532="","",IF(C532="",1,COUNTIF($C$2:$C$1501,C532)))</f>
        <v/>
      </c>
      <c r="H532" s="11">
        <f>IF(A532="","",IFERROR(VALUE(SUBSTITUTE(SUBSTITUTE(INDEX('Etsy Import'!$A:$CZ,532,Settings!$C$25)&amp;"","$",""),",","")),0)/IF(Settings!$B$27="Yes",G532,1))</f>
        <v/>
      </c>
      <c r="I532" s="11">
        <f>IF(A532="","",IFERROR(VALUE(SUBSTITUTE(SUBSTITUTE(INDEX('Etsy Import'!$A:$CZ,532,Settings!$C$26)&amp;"","$",""),",","")),0)/IF(Settings!$B$27="Yes",G532,1))</f>
        <v/>
      </c>
      <c r="J532" s="11">
        <f>IF(A532="","",F532+H532-I532)</f>
        <v/>
      </c>
      <c r="K532">
        <f>IF(A532="","",IFERROR(IF(B532="",NA(),MATCH(B532,Products!$B$5:$B$204,0)),IFERROR(MATCH(A532,Products!$A$5:$A$204,0),"")))</f>
        <v/>
      </c>
      <c r="L532">
        <f>IF(A532="","",IF(K532="","⚠ not in Products",INDEX(Products!$A$5:$A$204,K532)))</f>
        <v/>
      </c>
      <c r="M532" s="11">
        <f>IF(A532="","",J532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532+IFERROR(INDEX(Settings!$D$5:$D$9,MATCH("Etsy",Settings!$A$5:$A$9,0)),0)*D532)</f>
        <v/>
      </c>
      <c r="N532" s="11">
        <f>IF(A532="","",IF(K532="",0,D532*INDEX(Products!$I$5:$I$204,K532)))</f>
        <v/>
      </c>
      <c r="O532" s="11">
        <f>IF(A532="","",IF(K532="",0,J532*INDEX(Products!$H$5:$H$204,K532)))</f>
        <v/>
      </c>
      <c r="P532" s="11">
        <f>IF(A532="","",J532-M532-N532-O532)</f>
        <v/>
      </c>
    </row>
    <row r="533">
      <c r="A533">
        <f>IFERROR(INDEX('Etsy Import'!$A:$CZ,533,Settings!$C$20)&amp;"","")</f>
        <v/>
      </c>
      <c r="B533">
        <f>IFERROR(INDEX('Etsy Import'!$A:$CZ,533,Settings!$C$21)&amp;"","")</f>
        <v/>
      </c>
      <c r="C533">
        <f>IFERROR(INDEX('Etsy Import'!$A:$CZ,533,Settings!$C$22)&amp;"","")</f>
        <v/>
      </c>
      <c r="D533">
        <f>IF(A533="","",IFERROR(VALUE(SUBSTITUTE(SUBSTITUTE(INDEX('Etsy Import'!$A:$CZ,533,Settings!$C$23)&amp;"","$",""),",","")),0))</f>
        <v/>
      </c>
      <c r="E533" s="11">
        <f>IF(A533="","",IFERROR(VALUE(SUBSTITUTE(SUBSTITUTE(INDEX('Etsy Import'!$A:$CZ,533,Settings!$C$24)&amp;"","$",""),",","")),0))</f>
        <v/>
      </c>
      <c r="F533" s="11">
        <f>IF(A533="","",D533*E533)</f>
        <v/>
      </c>
      <c r="G533">
        <f>IF(A533="","",IF(C533="",1,COUNTIF($C$2:$C$1501,C533)))</f>
        <v/>
      </c>
      <c r="H533" s="11">
        <f>IF(A533="","",IFERROR(VALUE(SUBSTITUTE(SUBSTITUTE(INDEX('Etsy Import'!$A:$CZ,533,Settings!$C$25)&amp;"","$",""),",","")),0)/IF(Settings!$B$27="Yes",G533,1))</f>
        <v/>
      </c>
      <c r="I533" s="11">
        <f>IF(A533="","",IFERROR(VALUE(SUBSTITUTE(SUBSTITUTE(INDEX('Etsy Import'!$A:$CZ,533,Settings!$C$26)&amp;"","$",""),",","")),0)/IF(Settings!$B$27="Yes",G533,1))</f>
        <v/>
      </c>
      <c r="J533" s="11">
        <f>IF(A533="","",F533+H533-I533)</f>
        <v/>
      </c>
      <c r="K533">
        <f>IF(A533="","",IFERROR(IF(B533="",NA(),MATCH(B533,Products!$B$5:$B$204,0)),IFERROR(MATCH(A533,Products!$A$5:$A$204,0),"")))</f>
        <v/>
      </c>
      <c r="L533">
        <f>IF(A533="","",IF(K533="","⚠ not in Products",INDEX(Products!$A$5:$A$204,K533)))</f>
        <v/>
      </c>
      <c r="M533" s="11">
        <f>IF(A533="","",J533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533+IFERROR(INDEX(Settings!$D$5:$D$9,MATCH("Etsy",Settings!$A$5:$A$9,0)),0)*D533)</f>
        <v/>
      </c>
      <c r="N533" s="11">
        <f>IF(A533="","",IF(K533="",0,D533*INDEX(Products!$I$5:$I$204,K533)))</f>
        <v/>
      </c>
      <c r="O533" s="11">
        <f>IF(A533="","",IF(K533="",0,J533*INDEX(Products!$H$5:$H$204,K533)))</f>
        <v/>
      </c>
      <c r="P533" s="11">
        <f>IF(A533="","",J533-M533-N533-O533)</f>
        <v/>
      </c>
    </row>
    <row r="534">
      <c r="A534">
        <f>IFERROR(INDEX('Etsy Import'!$A:$CZ,534,Settings!$C$20)&amp;"","")</f>
        <v/>
      </c>
      <c r="B534">
        <f>IFERROR(INDEX('Etsy Import'!$A:$CZ,534,Settings!$C$21)&amp;"","")</f>
        <v/>
      </c>
      <c r="C534">
        <f>IFERROR(INDEX('Etsy Import'!$A:$CZ,534,Settings!$C$22)&amp;"","")</f>
        <v/>
      </c>
      <c r="D534">
        <f>IF(A534="","",IFERROR(VALUE(SUBSTITUTE(SUBSTITUTE(INDEX('Etsy Import'!$A:$CZ,534,Settings!$C$23)&amp;"","$",""),",","")),0))</f>
        <v/>
      </c>
      <c r="E534" s="11">
        <f>IF(A534="","",IFERROR(VALUE(SUBSTITUTE(SUBSTITUTE(INDEX('Etsy Import'!$A:$CZ,534,Settings!$C$24)&amp;"","$",""),",","")),0))</f>
        <v/>
      </c>
      <c r="F534" s="11">
        <f>IF(A534="","",D534*E534)</f>
        <v/>
      </c>
      <c r="G534">
        <f>IF(A534="","",IF(C534="",1,COUNTIF($C$2:$C$1501,C534)))</f>
        <v/>
      </c>
      <c r="H534" s="11">
        <f>IF(A534="","",IFERROR(VALUE(SUBSTITUTE(SUBSTITUTE(INDEX('Etsy Import'!$A:$CZ,534,Settings!$C$25)&amp;"","$",""),",","")),0)/IF(Settings!$B$27="Yes",G534,1))</f>
        <v/>
      </c>
      <c r="I534" s="11">
        <f>IF(A534="","",IFERROR(VALUE(SUBSTITUTE(SUBSTITUTE(INDEX('Etsy Import'!$A:$CZ,534,Settings!$C$26)&amp;"","$",""),",","")),0)/IF(Settings!$B$27="Yes",G534,1))</f>
        <v/>
      </c>
      <c r="J534" s="11">
        <f>IF(A534="","",F534+H534-I534)</f>
        <v/>
      </c>
      <c r="K534">
        <f>IF(A534="","",IFERROR(IF(B534="",NA(),MATCH(B534,Products!$B$5:$B$204,0)),IFERROR(MATCH(A534,Products!$A$5:$A$204,0),"")))</f>
        <v/>
      </c>
      <c r="L534">
        <f>IF(A534="","",IF(K534="","⚠ not in Products",INDEX(Products!$A$5:$A$204,K534)))</f>
        <v/>
      </c>
      <c r="M534" s="11">
        <f>IF(A534="","",J534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534+IFERROR(INDEX(Settings!$D$5:$D$9,MATCH("Etsy",Settings!$A$5:$A$9,0)),0)*D534)</f>
        <v/>
      </c>
      <c r="N534" s="11">
        <f>IF(A534="","",IF(K534="",0,D534*INDEX(Products!$I$5:$I$204,K534)))</f>
        <v/>
      </c>
      <c r="O534" s="11">
        <f>IF(A534="","",IF(K534="",0,J534*INDEX(Products!$H$5:$H$204,K534)))</f>
        <v/>
      </c>
      <c r="P534" s="11">
        <f>IF(A534="","",J534-M534-N534-O534)</f>
        <v/>
      </c>
    </row>
    <row r="535">
      <c r="A535">
        <f>IFERROR(INDEX('Etsy Import'!$A:$CZ,535,Settings!$C$20)&amp;"","")</f>
        <v/>
      </c>
      <c r="B535">
        <f>IFERROR(INDEX('Etsy Import'!$A:$CZ,535,Settings!$C$21)&amp;"","")</f>
        <v/>
      </c>
      <c r="C535">
        <f>IFERROR(INDEX('Etsy Import'!$A:$CZ,535,Settings!$C$22)&amp;"","")</f>
        <v/>
      </c>
      <c r="D535">
        <f>IF(A535="","",IFERROR(VALUE(SUBSTITUTE(SUBSTITUTE(INDEX('Etsy Import'!$A:$CZ,535,Settings!$C$23)&amp;"","$",""),",","")),0))</f>
        <v/>
      </c>
      <c r="E535" s="11">
        <f>IF(A535="","",IFERROR(VALUE(SUBSTITUTE(SUBSTITUTE(INDEX('Etsy Import'!$A:$CZ,535,Settings!$C$24)&amp;"","$",""),",","")),0))</f>
        <v/>
      </c>
      <c r="F535" s="11">
        <f>IF(A535="","",D535*E535)</f>
        <v/>
      </c>
      <c r="G535">
        <f>IF(A535="","",IF(C535="",1,COUNTIF($C$2:$C$1501,C535)))</f>
        <v/>
      </c>
      <c r="H535" s="11">
        <f>IF(A535="","",IFERROR(VALUE(SUBSTITUTE(SUBSTITUTE(INDEX('Etsy Import'!$A:$CZ,535,Settings!$C$25)&amp;"","$",""),",","")),0)/IF(Settings!$B$27="Yes",G535,1))</f>
        <v/>
      </c>
      <c r="I535" s="11">
        <f>IF(A535="","",IFERROR(VALUE(SUBSTITUTE(SUBSTITUTE(INDEX('Etsy Import'!$A:$CZ,535,Settings!$C$26)&amp;"","$",""),",","")),0)/IF(Settings!$B$27="Yes",G535,1))</f>
        <v/>
      </c>
      <c r="J535" s="11">
        <f>IF(A535="","",F535+H535-I535)</f>
        <v/>
      </c>
      <c r="K535">
        <f>IF(A535="","",IFERROR(IF(B535="",NA(),MATCH(B535,Products!$B$5:$B$204,0)),IFERROR(MATCH(A535,Products!$A$5:$A$204,0),"")))</f>
        <v/>
      </c>
      <c r="L535">
        <f>IF(A535="","",IF(K535="","⚠ not in Products",INDEX(Products!$A$5:$A$204,K535)))</f>
        <v/>
      </c>
      <c r="M535" s="11">
        <f>IF(A535="","",J535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535+IFERROR(INDEX(Settings!$D$5:$D$9,MATCH("Etsy",Settings!$A$5:$A$9,0)),0)*D535)</f>
        <v/>
      </c>
      <c r="N535" s="11">
        <f>IF(A535="","",IF(K535="",0,D535*INDEX(Products!$I$5:$I$204,K535)))</f>
        <v/>
      </c>
      <c r="O535" s="11">
        <f>IF(A535="","",IF(K535="",0,J535*INDEX(Products!$H$5:$H$204,K535)))</f>
        <v/>
      </c>
      <c r="P535" s="11">
        <f>IF(A535="","",J535-M535-N535-O535)</f>
        <v/>
      </c>
    </row>
    <row r="536">
      <c r="A536">
        <f>IFERROR(INDEX('Etsy Import'!$A:$CZ,536,Settings!$C$20)&amp;"","")</f>
        <v/>
      </c>
      <c r="B536">
        <f>IFERROR(INDEX('Etsy Import'!$A:$CZ,536,Settings!$C$21)&amp;"","")</f>
        <v/>
      </c>
      <c r="C536">
        <f>IFERROR(INDEX('Etsy Import'!$A:$CZ,536,Settings!$C$22)&amp;"","")</f>
        <v/>
      </c>
      <c r="D536">
        <f>IF(A536="","",IFERROR(VALUE(SUBSTITUTE(SUBSTITUTE(INDEX('Etsy Import'!$A:$CZ,536,Settings!$C$23)&amp;"","$",""),",","")),0))</f>
        <v/>
      </c>
      <c r="E536" s="11">
        <f>IF(A536="","",IFERROR(VALUE(SUBSTITUTE(SUBSTITUTE(INDEX('Etsy Import'!$A:$CZ,536,Settings!$C$24)&amp;"","$",""),",","")),0))</f>
        <v/>
      </c>
      <c r="F536" s="11">
        <f>IF(A536="","",D536*E536)</f>
        <v/>
      </c>
      <c r="G536">
        <f>IF(A536="","",IF(C536="",1,COUNTIF($C$2:$C$1501,C536)))</f>
        <v/>
      </c>
      <c r="H536" s="11">
        <f>IF(A536="","",IFERROR(VALUE(SUBSTITUTE(SUBSTITUTE(INDEX('Etsy Import'!$A:$CZ,536,Settings!$C$25)&amp;"","$",""),",","")),0)/IF(Settings!$B$27="Yes",G536,1))</f>
        <v/>
      </c>
      <c r="I536" s="11">
        <f>IF(A536="","",IFERROR(VALUE(SUBSTITUTE(SUBSTITUTE(INDEX('Etsy Import'!$A:$CZ,536,Settings!$C$26)&amp;"","$",""),",","")),0)/IF(Settings!$B$27="Yes",G536,1))</f>
        <v/>
      </c>
      <c r="J536" s="11">
        <f>IF(A536="","",F536+H536-I536)</f>
        <v/>
      </c>
      <c r="K536">
        <f>IF(A536="","",IFERROR(IF(B536="",NA(),MATCH(B536,Products!$B$5:$B$204,0)),IFERROR(MATCH(A536,Products!$A$5:$A$204,0),"")))</f>
        <v/>
      </c>
      <c r="L536">
        <f>IF(A536="","",IF(K536="","⚠ not in Products",INDEX(Products!$A$5:$A$204,K536)))</f>
        <v/>
      </c>
      <c r="M536" s="11">
        <f>IF(A536="","",J536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536+IFERROR(INDEX(Settings!$D$5:$D$9,MATCH("Etsy",Settings!$A$5:$A$9,0)),0)*D536)</f>
        <v/>
      </c>
      <c r="N536" s="11">
        <f>IF(A536="","",IF(K536="",0,D536*INDEX(Products!$I$5:$I$204,K536)))</f>
        <v/>
      </c>
      <c r="O536" s="11">
        <f>IF(A536="","",IF(K536="",0,J536*INDEX(Products!$H$5:$H$204,K536)))</f>
        <v/>
      </c>
      <c r="P536" s="11">
        <f>IF(A536="","",J536-M536-N536-O536)</f>
        <v/>
      </c>
    </row>
    <row r="537">
      <c r="A537">
        <f>IFERROR(INDEX('Etsy Import'!$A:$CZ,537,Settings!$C$20)&amp;"","")</f>
        <v/>
      </c>
      <c r="B537">
        <f>IFERROR(INDEX('Etsy Import'!$A:$CZ,537,Settings!$C$21)&amp;"","")</f>
        <v/>
      </c>
      <c r="C537">
        <f>IFERROR(INDEX('Etsy Import'!$A:$CZ,537,Settings!$C$22)&amp;"","")</f>
        <v/>
      </c>
      <c r="D537">
        <f>IF(A537="","",IFERROR(VALUE(SUBSTITUTE(SUBSTITUTE(INDEX('Etsy Import'!$A:$CZ,537,Settings!$C$23)&amp;"","$",""),",","")),0))</f>
        <v/>
      </c>
      <c r="E537" s="11">
        <f>IF(A537="","",IFERROR(VALUE(SUBSTITUTE(SUBSTITUTE(INDEX('Etsy Import'!$A:$CZ,537,Settings!$C$24)&amp;"","$",""),",","")),0))</f>
        <v/>
      </c>
      <c r="F537" s="11">
        <f>IF(A537="","",D537*E537)</f>
        <v/>
      </c>
      <c r="G537">
        <f>IF(A537="","",IF(C537="",1,COUNTIF($C$2:$C$1501,C537)))</f>
        <v/>
      </c>
      <c r="H537" s="11">
        <f>IF(A537="","",IFERROR(VALUE(SUBSTITUTE(SUBSTITUTE(INDEX('Etsy Import'!$A:$CZ,537,Settings!$C$25)&amp;"","$",""),",","")),0)/IF(Settings!$B$27="Yes",G537,1))</f>
        <v/>
      </c>
      <c r="I537" s="11">
        <f>IF(A537="","",IFERROR(VALUE(SUBSTITUTE(SUBSTITUTE(INDEX('Etsy Import'!$A:$CZ,537,Settings!$C$26)&amp;"","$",""),",","")),0)/IF(Settings!$B$27="Yes",G537,1))</f>
        <v/>
      </c>
      <c r="J537" s="11">
        <f>IF(A537="","",F537+H537-I537)</f>
        <v/>
      </c>
      <c r="K537">
        <f>IF(A537="","",IFERROR(IF(B537="",NA(),MATCH(B537,Products!$B$5:$B$204,0)),IFERROR(MATCH(A537,Products!$A$5:$A$204,0),"")))</f>
        <v/>
      </c>
      <c r="L537">
        <f>IF(A537="","",IF(K537="","⚠ not in Products",INDEX(Products!$A$5:$A$204,K537)))</f>
        <v/>
      </c>
      <c r="M537" s="11">
        <f>IF(A537="","",J537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537+IFERROR(INDEX(Settings!$D$5:$D$9,MATCH("Etsy",Settings!$A$5:$A$9,0)),0)*D537)</f>
        <v/>
      </c>
      <c r="N537" s="11">
        <f>IF(A537="","",IF(K537="",0,D537*INDEX(Products!$I$5:$I$204,K537)))</f>
        <v/>
      </c>
      <c r="O537" s="11">
        <f>IF(A537="","",IF(K537="",0,J537*INDEX(Products!$H$5:$H$204,K537)))</f>
        <v/>
      </c>
      <c r="P537" s="11">
        <f>IF(A537="","",J537-M537-N537-O537)</f>
        <v/>
      </c>
    </row>
    <row r="538">
      <c r="A538">
        <f>IFERROR(INDEX('Etsy Import'!$A:$CZ,538,Settings!$C$20)&amp;"","")</f>
        <v/>
      </c>
      <c r="B538">
        <f>IFERROR(INDEX('Etsy Import'!$A:$CZ,538,Settings!$C$21)&amp;"","")</f>
        <v/>
      </c>
      <c r="C538">
        <f>IFERROR(INDEX('Etsy Import'!$A:$CZ,538,Settings!$C$22)&amp;"","")</f>
        <v/>
      </c>
      <c r="D538">
        <f>IF(A538="","",IFERROR(VALUE(SUBSTITUTE(SUBSTITUTE(INDEX('Etsy Import'!$A:$CZ,538,Settings!$C$23)&amp;"","$",""),",","")),0))</f>
        <v/>
      </c>
      <c r="E538" s="11">
        <f>IF(A538="","",IFERROR(VALUE(SUBSTITUTE(SUBSTITUTE(INDEX('Etsy Import'!$A:$CZ,538,Settings!$C$24)&amp;"","$",""),",","")),0))</f>
        <v/>
      </c>
      <c r="F538" s="11">
        <f>IF(A538="","",D538*E538)</f>
        <v/>
      </c>
      <c r="G538">
        <f>IF(A538="","",IF(C538="",1,COUNTIF($C$2:$C$1501,C538)))</f>
        <v/>
      </c>
      <c r="H538" s="11">
        <f>IF(A538="","",IFERROR(VALUE(SUBSTITUTE(SUBSTITUTE(INDEX('Etsy Import'!$A:$CZ,538,Settings!$C$25)&amp;"","$",""),",","")),0)/IF(Settings!$B$27="Yes",G538,1))</f>
        <v/>
      </c>
      <c r="I538" s="11">
        <f>IF(A538="","",IFERROR(VALUE(SUBSTITUTE(SUBSTITUTE(INDEX('Etsy Import'!$A:$CZ,538,Settings!$C$26)&amp;"","$",""),",","")),0)/IF(Settings!$B$27="Yes",G538,1))</f>
        <v/>
      </c>
      <c r="J538" s="11">
        <f>IF(A538="","",F538+H538-I538)</f>
        <v/>
      </c>
      <c r="K538">
        <f>IF(A538="","",IFERROR(IF(B538="",NA(),MATCH(B538,Products!$B$5:$B$204,0)),IFERROR(MATCH(A538,Products!$A$5:$A$204,0),"")))</f>
        <v/>
      </c>
      <c r="L538">
        <f>IF(A538="","",IF(K538="","⚠ not in Products",INDEX(Products!$A$5:$A$204,K538)))</f>
        <v/>
      </c>
      <c r="M538" s="11">
        <f>IF(A538="","",J538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538+IFERROR(INDEX(Settings!$D$5:$D$9,MATCH("Etsy",Settings!$A$5:$A$9,0)),0)*D538)</f>
        <v/>
      </c>
      <c r="N538" s="11">
        <f>IF(A538="","",IF(K538="",0,D538*INDEX(Products!$I$5:$I$204,K538)))</f>
        <v/>
      </c>
      <c r="O538" s="11">
        <f>IF(A538="","",IF(K538="",0,J538*INDEX(Products!$H$5:$H$204,K538)))</f>
        <v/>
      </c>
      <c r="P538" s="11">
        <f>IF(A538="","",J538-M538-N538-O538)</f>
        <v/>
      </c>
    </row>
    <row r="539">
      <c r="A539">
        <f>IFERROR(INDEX('Etsy Import'!$A:$CZ,539,Settings!$C$20)&amp;"","")</f>
        <v/>
      </c>
      <c r="B539">
        <f>IFERROR(INDEX('Etsy Import'!$A:$CZ,539,Settings!$C$21)&amp;"","")</f>
        <v/>
      </c>
      <c r="C539">
        <f>IFERROR(INDEX('Etsy Import'!$A:$CZ,539,Settings!$C$22)&amp;"","")</f>
        <v/>
      </c>
      <c r="D539">
        <f>IF(A539="","",IFERROR(VALUE(SUBSTITUTE(SUBSTITUTE(INDEX('Etsy Import'!$A:$CZ,539,Settings!$C$23)&amp;"","$",""),",","")),0))</f>
        <v/>
      </c>
      <c r="E539" s="11">
        <f>IF(A539="","",IFERROR(VALUE(SUBSTITUTE(SUBSTITUTE(INDEX('Etsy Import'!$A:$CZ,539,Settings!$C$24)&amp;"","$",""),",","")),0))</f>
        <v/>
      </c>
      <c r="F539" s="11">
        <f>IF(A539="","",D539*E539)</f>
        <v/>
      </c>
      <c r="G539">
        <f>IF(A539="","",IF(C539="",1,COUNTIF($C$2:$C$1501,C539)))</f>
        <v/>
      </c>
      <c r="H539" s="11">
        <f>IF(A539="","",IFERROR(VALUE(SUBSTITUTE(SUBSTITUTE(INDEX('Etsy Import'!$A:$CZ,539,Settings!$C$25)&amp;"","$",""),",","")),0)/IF(Settings!$B$27="Yes",G539,1))</f>
        <v/>
      </c>
      <c r="I539" s="11">
        <f>IF(A539="","",IFERROR(VALUE(SUBSTITUTE(SUBSTITUTE(INDEX('Etsy Import'!$A:$CZ,539,Settings!$C$26)&amp;"","$",""),",","")),0)/IF(Settings!$B$27="Yes",G539,1))</f>
        <v/>
      </c>
      <c r="J539" s="11">
        <f>IF(A539="","",F539+H539-I539)</f>
        <v/>
      </c>
      <c r="K539">
        <f>IF(A539="","",IFERROR(IF(B539="",NA(),MATCH(B539,Products!$B$5:$B$204,0)),IFERROR(MATCH(A539,Products!$A$5:$A$204,0),"")))</f>
        <v/>
      </c>
      <c r="L539">
        <f>IF(A539="","",IF(K539="","⚠ not in Products",INDEX(Products!$A$5:$A$204,K539)))</f>
        <v/>
      </c>
      <c r="M539" s="11">
        <f>IF(A539="","",J539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539+IFERROR(INDEX(Settings!$D$5:$D$9,MATCH("Etsy",Settings!$A$5:$A$9,0)),0)*D539)</f>
        <v/>
      </c>
      <c r="N539" s="11">
        <f>IF(A539="","",IF(K539="",0,D539*INDEX(Products!$I$5:$I$204,K539)))</f>
        <v/>
      </c>
      <c r="O539" s="11">
        <f>IF(A539="","",IF(K539="",0,J539*INDEX(Products!$H$5:$H$204,K539)))</f>
        <v/>
      </c>
      <c r="P539" s="11">
        <f>IF(A539="","",J539-M539-N539-O539)</f>
        <v/>
      </c>
    </row>
    <row r="540">
      <c r="A540">
        <f>IFERROR(INDEX('Etsy Import'!$A:$CZ,540,Settings!$C$20)&amp;"","")</f>
        <v/>
      </c>
      <c r="B540">
        <f>IFERROR(INDEX('Etsy Import'!$A:$CZ,540,Settings!$C$21)&amp;"","")</f>
        <v/>
      </c>
      <c r="C540">
        <f>IFERROR(INDEX('Etsy Import'!$A:$CZ,540,Settings!$C$22)&amp;"","")</f>
        <v/>
      </c>
      <c r="D540">
        <f>IF(A540="","",IFERROR(VALUE(SUBSTITUTE(SUBSTITUTE(INDEX('Etsy Import'!$A:$CZ,540,Settings!$C$23)&amp;"","$",""),",","")),0))</f>
        <v/>
      </c>
      <c r="E540" s="11">
        <f>IF(A540="","",IFERROR(VALUE(SUBSTITUTE(SUBSTITUTE(INDEX('Etsy Import'!$A:$CZ,540,Settings!$C$24)&amp;"","$",""),",","")),0))</f>
        <v/>
      </c>
      <c r="F540" s="11">
        <f>IF(A540="","",D540*E540)</f>
        <v/>
      </c>
      <c r="G540">
        <f>IF(A540="","",IF(C540="",1,COUNTIF($C$2:$C$1501,C540)))</f>
        <v/>
      </c>
      <c r="H540" s="11">
        <f>IF(A540="","",IFERROR(VALUE(SUBSTITUTE(SUBSTITUTE(INDEX('Etsy Import'!$A:$CZ,540,Settings!$C$25)&amp;"","$",""),",","")),0)/IF(Settings!$B$27="Yes",G540,1))</f>
        <v/>
      </c>
      <c r="I540" s="11">
        <f>IF(A540="","",IFERROR(VALUE(SUBSTITUTE(SUBSTITUTE(INDEX('Etsy Import'!$A:$CZ,540,Settings!$C$26)&amp;"","$",""),",","")),0)/IF(Settings!$B$27="Yes",G540,1))</f>
        <v/>
      </c>
      <c r="J540" s="11">
        <f>IF(A540="","",F540+H540-I540)</f>
        <v/>
      </c>
      <c r="K540">
        <f>IF(A540="","",IFERROR(IF(B540="",NA(),MATCH(B540,Products!$B$5:$B$204,0)),IFERROR(MATCH(A540,Products!$A$5:$A$204,0),"")))</f>
        <v/>
      </c>
      <c r="L540">
        <f>IF(A540="","",IF(K540="","⚠ not in Products",INDEX(Products!$A$5:$A$204,K540)))</f>
        <v/>
      </c>
      <c r="M540" s="11">
        <f>IF(A540="","",J540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540+IFERROR(INDEX(Settings!$D$5:$D$9,MATCH("Etsy",Settings!$A$5:$A$9,0)),0)*D540)</f>
        <v/>
      </c>
      <c r="N540" s="11">
        <f>IF(A540="","",IF(K540="",0,D540*INDEX(Products!$I$5:$I$204,K540)))</f>
        <v/>
      </c>
      <c r="O540" s="11">
        <f>IF(A540="","",IF(K540="",0,J540*INDEX(Products!$H$5:$H$204,K540)))</f>
        <v/>
      </c>
      <c r="P540" s="11">
        <f>IF(A540="","",J540-M540-N540-O540)</f>
        <v/>
      </c>
    </row>
    <row r="541">
      <c r="A541">
        <f>IFERROR(INDEX('Etsy Import'!$A:$CZ,541,Settings!$C$20)&amp;"","")</f>
        <v/>
      </c>
      <c r="B541">
        <f>IFERROR(INDEX('Etsy Import'!$A:$CZ,541,Settings!$C$21)&amp;"","")</f>
        <v/>
      </c>
      <c r="C541">
        <f>IFERROR(INDEX('Etsy Import'!$A:$CZ,541,Settings!$C$22)&amp;"","")</f>
        <v/>
      </c>
      <c r="D541">
        <f>IF(A541="","",IFERROR(VALUE(SUBSTITUTE(SUBSTITUTE(INDEX('Etsy Import'!$A:$CZ,541,Settings!$C$23)&amp;"","$",""),",","")),0))</f>
        <v/>
      </c>
      <c r="E541" s="11">
        <f>IF(A541="","",IFERROR(VALUE(SUBSTITUTE(SUBSTITUTE(INDEX('Etsy Import'!$A:$CZ,541,Settings!$C$24)&amp;"","$",""),",","")),0))</f>
        <v/>
      </c>
      <c r="F541" s="11">
        <f>IF(A541="","",D541*E541)</f>
        <v/>
      </c>
      <c r="G541">
        <f>IF(A541="","",IF(C541="",1,COUNTIF($C$2:$C$1501,C541)))</f>
        <v/>
      </c>
      <c r="H541" s="11">
        <f>IF(A541="","",IFERROR(VALUE(SUBSTITUTE(SUBSTITUTE(INDEX('Etsy Import'!$A:$CZ,541,Settings!$C$25)&amp;"","$",""),",","")),0)/IF(Settings!$B$27="Yes",G541,1))</f>
        <v/>
      </c>
      <c r="I541" s="11">
        <f>IF(A541="","",IFERROR(VALUE(SUBSTITUTE(SUBSTITUTE(INDEX('Etsy Import'!$A:$CZ,541,Settings!$C$26)&amp;"","$",""),",","")),0)/IF(Settings!$B$27="Yes",G541,1))</f>
        <v/>
      </c>
      <c r="J541" s="11">
        <f>IF(A541="","",F541+H541-I541)</f>
        <v/>
      </c>
      <c r="K541">
        <f>IF(A541="","",IFERROR(IF(B541="",NA(),MATCH(B541,Products!$B$5:$B$204,0)),IFERROR(MATCH(A541,Products!$A$5:$A$204,0),"")))</f>
        <v/>
      </c>
      <c r="L541">
        <f>IF(A541="","",IF(K541="","⚠ not in Products",INDEX(Products!$A$5:$A$204,K541)))</f>
        <v/>
      </c>
      <c r="M541" s="11">
        <f>IF(A541="","",J541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541+IFERROR(INDEX(Settings!$D$5:$D$9,MATCH("Etsy",Settings!$A$5:$A$9,0)),0)*D541)</f>
        <v/>
      </c>
      <c r="N541" s="11">
        <f>IF(A541="","",IF(K541="",0,D541*INDEX(Products!$I$5:$I$204,K541)))</f>
        <v/>
      </c>
      <c r="O541" s="11">
        <f>IF(A541="","",IF(K541="",0,J541*INDEX(Products!$H$5:$H$204,K541)))</f>
        <v/>
      </c>
      <c r="P541" s="11">
        <f>IF(A541="","",J541-M541-N541-O541)</f>
        <v/>
      </c>
    </row>
    <row r="542">
      <c r="A542">
        <f>IFERROR(INDEX('Etsy Import'!$A:$CZ,542,Settings!$C$20)&amp;"","")</f>
        <v/>
      </c>
      <c r="B542">
        <f>IFERROR(INDEX('Etsy Import'!$A:$CZ,542,Settings!$C$21)&amp;"","")</f>
        <v/>
      </c>
      <c r="C542">
        <f>IFERROR(INDEX('Etsy Import'!$A:$CZ,542,Settings!$C$22)&amp;"","")</f>
        <v/>
      </c>
      <c r="D542">
        <f>IF(A542="","",IFERROR(VALUE(SUBSTITUTE(SUBSTITUTE(INDEX('Etsy Import'!$A:$CZ,542,Settings!$C$23)&amp;"","$",""),",","")),0))</f>
        <v/>
      </c>
      <c r="E542" s="11">
        <f>IF(A542="","",IFERROR(VALUE(SUBSTITUTE(SUBSTITUTE(INDEX('Etsy Import'!$A:$CZ,542,Settings!$C$24)&amp;"","$",""),",","")),0))</f>
        <v/>
      </c>
      <c r="F542" s="11">
        <f>IF(A542="","",D542*E542)</f>
        <v/>
      </c>
      <c r="G542">
        <f>IF(A542="","",IF(C542="",1,COUNTIF($C$2:$C$1501,C542)))</f>
        <v/>
      </c>
      <c r="H542" s="11">
        <f>IF(A542="","",IFERROR(VALUE(SUBSTITUTE(SUBSTITUTE(INDEX('Etsy Import'!$A:$CZ,542,Settings!$C$25)&amp;"","$",""),",","")),0)/IF(Settings!$B$27="Yes",G542,1))</f>
        <v/>
      </c>
      <c r="I542" s="11">
        <f>IF(A542="","",IFERROR(VALUE(SUBSTITUTE(SUBSTITUTE(INDEX('Etsy Import'!$A:$CZ,542,Settings!$C$26)&amp;"","$",""),",","")),0)/IF(Settings!$B$27="Yes",G542,1))</f>
        <v/>
      </c>
      <c r="J542" s="11">
        <f>IF(A542="","",F542+H542-I542)</f>
        <v/>
      </c>
      <c r="K542">
        <f>IF(A542="","",IFERROR(IF(B542="",NA(),MATCH(B542,Products!$B$5:$B$204,0)),IFERROR(MATCH(A542,Products!$A$5:$A$204,0),"")))</f>
        <v/>
      </c>
      <c r="L542">
        <f>IF(A542="","",IF(K542="","⚠ not in Products",INDEX(Products!$A$5:$A$204,K542)))</f>
        <v/>
      </c>
      <c r="M542" s="11">
        <f>IF(A542="","",J542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542+IFERROR(INDEX(Settings!$D$5:$D$9,MATCH("Etsy",Settings!$A$5:$A$9,0)),0)*D542)</f>
        <v/>
      </c>
      <c r="N542" s="11">
        <f>IF(A542="","",IF(K542="",0,D542*INDEX(Products!$I$5:$I$204,K542)))</f>
        <v/>
      </c>
      <c r="O542" s="11">
        <f>IF(A542="","",IF(K542="",0,J542*INDEX(Products!$H$5:$H$204,K542)))</f>
        <v/>
      </c>
      <c r="P542" s="11">
        <f>IF(A542="","",J542-M542-N542-O542)</f>
        <v/>
      </c>
    </row>
    <row r="543">
      <c r="A543">
        <f>IFERROR(INDEX('Etsy Import'!$A:$CZ,543,Settings!$C$20)&amp;"","")</f>
        <v/>
      </c>
      <c r="B543">
        <f>IFERROR(INDEX('Etsy Import'!$A:$CZ,543,Settings!$C$21)&amp;"","")</f>
        <v/>
      </c>
      <c r="C543">
        <f>IFERROR(INDEX('Etsy Import'!$A:$CZ,543,Settings!$C$22)&amp;"","")</f>
        <v/>
      </c>
      <c r="D543">
        <f>IF(A543="","",IFERROR(VALUE(SUBSTITUTE(SUBSTITUTE(INDEX('Etsy Import'!$A:$CZ,543,Settings!$C$23)&amp;"","$",""),",","")),0))</f>
        <v/>
      </c>
      <c r="E543" s="11">
        <f>IF(A543="","",IFERROR(VALUE(SUBSTITUTE(SUBSTITUTE(INDEX('Etsy Import'!$A:$CZ,543,Settings!$C$24)&amp;"","$",""),",","")),0))</f>
        <v/>
      </c>
      <c r="F543" s="11">
        <f>IF(A543="","",D543*E543)</f>
        <v/>
      </c>
      <c r="G543">
        <f>IF(A543="","",IF(C543="",1,COUNTIF($C$2:$C$1501,C543)))</f>
        <v/>
      </c>
      <c r="H543" s="11">
        <f>IF(A543="","",IFERROR(VALUE(SUBSTITUTE(SUBSTITUTE(INDEX('Etsy Import'!$A:$CZ,543,Settings!$C$25)&amp;"","$",""),",","")),0)/IF(Settings!$B$27="Yes",G543,1))</f>
        <v/>
      </c>
      <c r="I543" s="11">
        <f>IF(A543="","",IFERROR(VALUE(SUBSTITUTE(SUBSTITUTE(INDEX('Etsy Import'!$A:$CZ,543,Settings!$C$26)&amp;"","$",""),",","")),0)/IF(Settings!$B$27="Yes",G543,1))</f>
        <v/>
      </c>
      <c r="J543" s="11">
        <f>IF(A543="","",F543+H543-I543)</f>
        <v/>
      </c>
      <c r="K543">
        <f>IF(A543="","",IFERROR(IF(B543="",NA(),MATCH(B543,Products!$B$5:$B$204,0)),IFERROR(MATCH(A543,Products!$A$5:$A$204,0),"")))</f>
        <v/>
      </c>
      <c r="L543">
        <f>IF(A543="","",IF(K543="","⚠ not in Products",INDEX(Products!$A$5:$A$204,K543)))</f>
        <v/>
      </c>
      <c r="M543" s="11">
        <f>IF(A543="","",J543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543+IFERROR(INDEX(Settings!$D$5:$D$9,MATCH("Etsy",Settings!$A$5:$A$9,0)),0)*D543)</f>
        <v/>
      </c>
      <c r="N543" s="11">
        <f>IF(A543="","",IF(K543="",0,D543*INDEX(Products!$I$5:$I$204,K543)))</f>
        <v/>
      </c>
      <c r="O543" s="11">
        <f>IF(A543="","",IF(K543="",0,J543*INDEX(Products!$H$5:$H$204,K543)))</f>
        <v/>
      </c>
      <c r="P543" s="11">
        <f>IF(A543="","",J543-M543-N543-O543)</f>
        <v/>
      </c>
    </row>
    <row r="544">
      <c r="A544">
        <f>IFERROR(INDEX('Etsy Import'!$A:$CZ,544,Settings!$C$20)&amp;"","")</f>
        <v/>
      </c>
      <c r="B544">
        <f>IFERROR(INDEX('Etsy Import'!$A:$CZ,544,Settings!$C$21)&amp;"","")</f>
        <v/>
      </c>
      <c r="C544">
        <f>IFERROR(INDEX('Etsy Import'!$A:$CZ,544,Settings!$C$22)&amp;"","")</f>
        <v/>
      </c>
      <c r="D544">
        <f>IF(A544="","",IFERROR(VALUE(SUBSTITUTE(SUBSTITUTE(INDEX('Etsy Import'!$A:$CZ,544,Settings!$C$23)&amp;"","$",""),",","")),0))</f>
        <v/>
      </c>
      <c r="E544" s="11">
        <f>IF(A544="","",IFERROR(VALUE(SUBSTITUTE(SUBSTITUTE(INDEX('Etsy Import'!$A:$CZ,544,Settings!$C$24)&amp;"","$",""),",","")),0))</f>
        <v/>
      </c>
      <c r="F544" s="11">
        <f>IF(A544="","",D544*E544)</f>
        <v/>
      </c>
      <c r="G544">
        <f>IF(A544="","",IF(C544="",1,COUNTIF($C$2:$C$1501,C544)))</f>
        <v/>
      </c>
      <c r="H544" s="11">
        <f>IF(A544="","",IFERROR(VALUE(SUBSTITUTE(SUBSTITUTE(INDEX('Etsy Import'!$A:$CZ,544,Settings!$C$25)&amp;"","$",""),",","")),0)/IF(Settings!$B$27="Yes",G544,1))</f>
        <v/>
      </c>
      <c r="I544" s="11">
        <f>IF(A544="","",IFERROR(VALUE(SUBSTITUTE(SUBSTITUTE(INDEX('Etsy Import'!$A:$CZ,544,Settings!$C$26)&amp;"","$",""),",","")),0)/IF(Settings!$B$27="Yes",G544,1))</f>
        <v/>
      </c>
      <c r="J544" s="11">
        <f>IF(A544="","",F544+H544-I544)</f>
        <v/>
      </c>
      <c r="K544">
        <f>IF(A544="","",IFERROR(IF(B544="",NA(),MATCH(B544,Products!$B$5:$B$204,0)),IFERROR(MATCH(A544,Products!$A$5:$A$204,0),"")))</f>
        <v/>
      </c>
      <c r="L544">
        <f>IF(A544="","",IF(K544="","⚠ not in Products",INDEX(Products!$A$5:$A$204,K544)))</f>
        <v/>
      </c>
      <c r="M544" s="11">
        <f>IF(A544="","",J544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544+IFERROR(INDEX(Settings!$D$5:$D$9,MATCH("Etsy",Settings!$A$5:$A$9,0)),0)*D544)</f>
        <v/>
      </c>
      <c r="N544" s="11">
        <f>IF(A544="","",IF(K544="",0,D544*INDEX(Products!$I$5:$I$204,K544)))</f>
        <v/>
      </c>
      <c r="O544" s="11">
        <f>IF(A544="","",IF(K544="",0,J544*INDEX(Products!$H$5:$H$204,K544)))</f>
        <v/>
      </c>
      <c r="P544" s="11">
        <f>IF(A544="","",J544-M544-N544-O544)</f>
        <v/>
      </c>
    </row>
    <row r="545">
      <c r="A545">
        <f>IFERROR(INDEX('Etsy Import'!$A:$CZ,545,Settings!$C$20)&amp;"","")</f>
        <v/>
      </c>
      <c r="B545">
        <f>IFERROR(INDEX('Etsy Import'!$A:$CZ,545,Settings!$C$21)&amp;"","")</f>
        <v/>
      </c>
      <c r="C545">
        <f>IFERROR(INDEX('Etsy Import'!$A:$CZ,545,Settings!$C$22)&amp;"","")</f>
        <v/>
      </c>
      <c r="D545">
        <f>IF(A545="","",IFERROR(VALUE(SUBSTITUTE(SUBSTITUTE(INDEX('Etsy Import'!$A:$CZ,545,Settings!$C$23)&amp;"","$",""),",","")),0))</f>
        <v/>
      </c>
      <c r="E545" s="11">
        <f>IF(A545="","",IFERROR(VALUE(SUBSTITUTE(SUBSTITUTE(INDEX('Etsy Import'!$A:$CZ,545,Settings!$C$24)&amp;"","$",""),",","")),0))</f>
        <v/>
      </c>
      <c r="F545" s="11">
        <f>IF(A545="","",D545*E545)</f>
        <v/>
      </c>
      <c r="G545">
        <f>IF(A545="","",IF(C545="",1,COUNTIF($C$2:$C$1501,C545)))</f>
        <v/>
      </c>
      <c r="H545" s="11">
        <f>IF(A545="","",IFERROR(VALUE(SUBSTITUTE(SUBSTITUTE(INDEX('Etsy Import'!$A:$CZ,545,Settings!$C$25)&amp;"","$",""),",","")),0)/IF(Settings!$B$27="Yes",G545,1))</f>
        <v/>
      </c>
      <c r="I545" s="11">
        <f>IF(A545="","",IFERROR(VALUE(SUBSTITUTE(SUBSTITUTE(INDEX('Etsy Import'!$A:$CZ,545,Settings!$C$26)&amp;"","$",""),",","")),0)/IF(Settings!$B$27="Yes",G545,1))</f>
        <v/>
      </c>
      <c r="J545" s="11">
        <f>IF(A545="","",F545+H545-I545)</f>
        <v/>
      </c>
      <c r="K545">
        <f>IF(A545="","",IFERROR(IF(B545="",NA(),MATCH(B545,Products!$B$5:$B$204,0)),IFERROR(MATCH(A545,Products!$A$5:$A$204,0),"")))</f>
        <v/>
      </c>
      <c r="L545">
        <f>IF(A545="","",IF(K545="","⚠ not in Products",INDEX(Products!$A$5:$A$204,K545)))</f>
        <v/>
      </c>
      <c r="M545" s="11">
        <f>IF(A545="","",J545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545+IFERROR(INDEX(Settings!$D$5:$D$9,MATCH("Etsy",Settings!$A$5:$A$9,0)),0)*D545)</f>
        <v/>
      </c>
      <c r="N545" s="11">
        <f>IF(A545="","",IF(K545="",0,D545*INDEX(Products!$I$5:$I$204,K545)))</f>
        <v/>
      </c>
      <c r="O545" s="11">
        <f>IF(A545="","",IF(K545="",0,J545*INDEX(Products!$H$5:$H$204,K545)))</f>
        <v/>
      </c>
      <c r="P545" s="11">
        <f>IF(A545="","",J545-M545-N545-O545)</f>
        <v/>
      </c>
    </row>
    <row r="546">
      <c r="A546">
        <f>IFERROR(INDEX('Etsy Import'!$A:$CZ,546,Settings!$C$20)&amp;"","")</f>
        <v/>
      </c>
      <c r="B546">
        <f>IFERROR(INDEX('Etsy Import'!$A:$CZ,546,Settings!$C$21)&amp;"","")</f>
        <v/>
      </c>
      <c r="C546">
        <f>IFERROR(INDEX('Etsy Import'!$A:$CZ,546,Settings!$C$22)&amp;"","")</f>
        <v/>
      </c>
      <c r="D546">
        <f>IF(A546="","",IFERROR(VALUE(SUBSTITUTE(SUBSTITUTE(INDEX('Etsy Import'!$A:$CZ,546,Settings!$C$23)&amp;"","$",""),",","")),0))</f>
        <v/>
      </c>
      <c r="E546" s="11">
        <f>IF(A546="","",IFERROR(VALUE(SUBSTITUTE(SUBSTITUTE(INDEX('Etsy Import'!$A:$CZ,546,Settings!$C$24)&amp;"","$",""),",","")),0))</f>
        <v/>
      </c>
      <c r="F546" s="11">
        <f>IF(A546="","",D546*E546)</f>
        <v/>
      </c>
      <c r="G546">
        <f>IF(A546="","",IF(C546="",1,COUNTIF($C$2:$C$1501,C546)))</f>
        <v/>
      </c>
      <c r="H546" s="11">
        <f>IF(A546="","",IFERROR(VALUE(SUBSTITUTE(SUBSTITUTE(INDEX('Etsy Import'!$A:$CZ,546,Settings!$C$25)&amp;"","$",""),",","")),0)/IF(Settings!$B$27="Yes",G546,1))</f>
        <v/>
      </c>
      <c r="I546" s="11">
        <f>IF(A546="","",IFERROR(VALUE(SUBSTITUTE(SUBSTITUTE(INDEX('Etsy Import'!$A:$CZ,546,Settings!$C$26)&amp;"","$",""),",","")),0)/IF(Settings!$B$27="Yes",G546,1))</f>
        <v/>
      </c>
      <c r="J546" s="11">
        <f>IF(A546="","",F546+H546-I546)</f>
        <v/>
      </c>
      <c r="K546">
        <f>IF(A546="","",IFERROR(IF(B546="",NA(),MATCH(B546,Products!$B$5:$B$204,0)),IFERROR(MATCH(A546,Products!$A$5:$A$204,0),"")))</f>
        <v/>
      </c>
      <c r="L546">
        <f>IF(A546="","",IF(K546="","⚠ not in Products",INDEX(Products!$A$5:$A$204,K546)))</f>
        <v/>
      </c>
      <c r="M546" s="11">
        <f>IF(A546="","",J546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546+IFERROR(INDEX(Settings!$D$5:$D$9,MATCH("Etsy",Settings!$A$5:$A$9,0)),0)*D546)</f>
        <v/>
      </c>
      <c r="N546" s="11">
        <f>IF(A546="","",IF(K546="",0,D546*INDEX(Products!$I$5:$I$204,K546)))</f>
        <v/>
      </c>
      <c r="O546" s="11">
        <f>IF(A546="","",IF(K546="",0,J546*INDEX(Products!$H$5:$H$204,K546)))</f>
        <v/>
      </c>
      <c r="P546" s="11">
        <f>IF(A546="","",J546-M546-N546-O546)</f>
        <v/>
      </c>
    </row>
    <row r="547">
      <c r="A547">
        <f>IFERROR(INDEX('Etsy Import'!$A:$CZ,547,Settings!$C$20)&amp;"","")</f>
        <v/>
      </c>
      <c r="B547">
        <f>IFERROR(INDEX('Etsy Import'!$A:$CZ,547,Settings!$C$21)&amp;"","")</f>
        <v/>
      </c>
      <c r="C547">
        <f>IFERROR(INDEX('Etsy Import'!$A:$CZ,547,Settings!$C$22)&amp;"","")</f>
        <v/>
      </c>
      <c r="D547">
        <f>IF(A547="","",IFERROR(VALUE(SUBSTITUTE(SUBSTITUTE(INDEX('Etsy Import'!$A:$CZ,547,Settings!$C$23)&amp;"","$",""),",","")),0))</f>
        <v/>
      </c>
      <c r="E547" s="11">
        <f>IF(A547="","",IFERROR(VALUE(SUBSTITUTE(SUBSTITUTE(INDEX('Etsy Import'!$A:$CZ,547,Settings!$C$24)&amp;"","$",""),",","")),0))</f>
        <v/>
      </c>
      <c r="F547" s="11">
        <f>IF(A547="","",D547*E547)</f>
        <v/>
      </c>
      <c r="G547">
        <f>IF(A547="","",IF(C547="",1,COUNTIF($C$2:$C$1501,C547)))</f>
        <v/>
      </c>
      <c r="H547" s="11">
        <f>IF(A547="","",IFERROR(VALUE(SUBSTITUTE(SUBSTITUTE(INDEX('Etsy Import'!$A:$CZ,547,Settings!$C$25)&amp;"","$",""),",","")),0)/IF(Settings!$B$27="Yes",G547,1))</f>
        <v/>
      </c>
      <c r="I547" s="11">
        <f>IF(A547="","",IFERROR(VALUE(SUBSTITUTE(SUBSTITUTE(INDEX('Etsy Import'!$A:$CZ,547,Settings!$C$26)&amp;"","$",""),",","")),0)/IF(Settings!$B$27="Yes",G547,1))</f>
        <v/>
      </c>
      <c r="J547" s="11">
        <f>IF(A547="","",F547+H547-I547)</f>
        <v/>
      </c>
      <c r="K547">
        <f>IF(A547="","",IFERROR(IF(B547="",NA(),MATCH(B547,Products!$B$5:$B$204,0)),IFERROR(MATCH(A547,Products!$A$5:$A$204,0),"")))</f>
        <v/>
      </c>
      <c r="L547">
        <f>IF(A547="","",IF(K547="","⚠ not in Products",INDEX(Products!$A$5:$A$204,K547)))</f>
        <v/>
      </c>
      <c r="M547" s="11">
        <f>IF(A547="","",J547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547+IFERROR(INDEX(Settings!$D$5:$D$9,MATCH("Etsy",Settings!$A$5:$A$9,0)),0)*D547)</f>
        <v/>
      </c>
      <c r="N547" s="11">
        <f>IF(A547="","",IF(K547="",0,D547*INDEX(Products!$I$5:$I$204,K547)))</f>
        <v/>
      </c>
      <c r="O547" s="11">
        <f>IF(A547="","",IF(K547="",0,J547*INDEX(Products!$H$5:$H$204,K547)))</f>
        <v/>
      </c>
      <c r="P547" s="11">
        <f>IF(A547="","",J547-M547-N547-O547)</f>
        <v/>
      </c>
    </row>
    <row r="548">
      <c r="A548">
        <f>IFERROR(INDEX('Etsy Import'!$A:$CZ,548,Settings!$C$20)&amp;"","")</f>
        <v/>
      </c>
      <c r="B548">
        <f>IFERROR(INDEX('Etsy Import'!$A:$CZ,548,Settings!$C$21)&amp;"","")</f>
        <v/>
      </c>
      <c r="C548">
        <f>IFERROR(INDEX('Etsy Import'!$A:$CZ,548,Settings!$C$22)&amp;"","")</f>
        <v/>
      </c>
      <c r="D548">
        <f>IF(A548="","",IFERROR(VALUE(SUBSTITUTE(SUBSTITUTE(INDEX('Etsy Import'!$A:$CZ,548,Settings!$C$23)&amp;"","$",""),",","")),0))</f>
        <v/>
      </c>
      <c r="E548" s="11">
        <f>IF(A548="","",IFERROR(VALUE(SUBSTITUTE(SUBSTITUTE(INDEX('Etsy Import'!$A:$CZ,548,Settings!$C$24)&amp;"","$",""),",","")),0))</f>
        <v/>
      </c>
      <c r="F548" s="11">
        <f>IF(A548="","",D548*E548)</f>
        <v/>
      </c>
      <c r="G548">
        <f>IF(A548="","",IF(C548="",1,COUNTIF($C$2:$C$1501,C548)))</f>
        <v/>
      </c>
      <c r="H548" s="11">
        <f>IF(A548="","",IFERROR(VALUE(SUBSTITUTE(SUBSTITUTE(INDEX('Etsy Import'!$A:$CZ,548,Settings!$C$25)&amp;"","$",""),",","")),0)/IF(Settings!$B$27="Yes",G548,1))</f>
        <v/>
      </c>
      <c r="I548" s="11">
        <f>IF(A548="","",IFERROR(VALUE(SUBSTITUTE(SUBSTITUTE(INDEX('Etsy Import'!$A:$CZ,548,Settings!$C$26)&amp;"","$",""),",","")),0)/IF(Settings!$B$27="Yes",G548,1))</f>
        <v/>
      </c>
      <c r="J548" s="11">
        <f>IF(A548="","",F548+H548-I548)</f>
        <v/>
      </c>
      <c r="K548">
        <f>IF(A548="","",IFERROR(IF(B548="",NA(),MATCH(B548,Products!$B$5:$B$204,0)),IFERROR(MATCH(A548,Products!$A$5:$A$204,0),"")))</f>
        <v/>
      </c>
      <c r="L548">
        <f>IF(A548="","",IF(K548="","⚠ not in Products",INDEX(Products!$A$5:$A$204,K548)))</f>
        <v/>
      </c>
      <c r="M548" s="11">
        <f>IF(A548="","",J548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548+IFERROR(INDEX(Settings!$D$5:$D$9,MATCH("Etsy",Settings!$A$5:$A$9,0)),0)*D548)</f>
        <v/>
      </c>
      <c r="N548" s="11">
        <f>IF(A548="","",IF(K548="",0,D548*INDEX(Products!$I$5:$I$204,K548)))</f>
        <v/>
      </c>
      <c r="O548" s="11">
        <f>IF(A548="","",IF(K548="",0,J548*INDEX(Products!$H$5:$H$204,K548)))</f>
        <v/>
      </c>
      <c r="P548" s="11">
        <f>IF(A548="","",J548-M548-N548-O548)</f>
        <v/>
      </c>
    </row>
    <row r="549">
      <c r="A549">
        <f>IFERROR(INDEX('Etsy Import'!$A:$CZ,549,Settings!$C$20)&amp;"","")</f>
        <v/>
      </c>
      <c r="B549">
        <f>IFERROR(INDEX('Etsy Import'!$A:$CZ,549,Settings!$C$21)&amp;"","")</f>
        <v/>
      </c>
      <c r="C549">
        <f>IFERROR(INDEX('Etsy Import'!$A:$CZ,549,Settings!$C$22)&amp;"","")</f>
        <v/>
      </c>
      <c r="D549">
        <f>IF(A549="","",IFERROR(VALUE(SUBSTITUTE(SUBSTITUTE(INDEX('Etsy Import'!$A:$CZ,549,Settings!$C$23)&amp;"","$",""),",","")),0))</f>
        <v/>
      </c>
      <c r="E549" s="11">
        <f>IF(A549="","",IFERROR(VALUE(SUBSTITUTE(SUBSTITUTE(INDEX('Etsy Import'!$A:$CZ,549,Settings!$C$24)&amp;"","$",""),",","")),0))</f>
        <v/>
      </c>
      <c r="F549" s="11">
        <f>IF(A549="","",D549*E549)</f>
        <v/>
      </c>
      <c r="G549">
        <f>IF(A549="","",IF(C549="",1,COUNTIF($C$2:$C$1501,C549)))</f>
        <v/>
      </c>
      <c r="H549" s="11">
        <f>IF(A549="","",IFERROR(VALUE(SUBSTITUTE(SUBSTITUTE(INDEX('Etsy Import'!$A:$CZ,549,Settings!$C$25)&amp;"","$",""),",","")),0)/IF(Settings!$B$27="Yes",G549,1))</f>
        <v/>
      </c>
      <c r="I549" s="11">
        <f>IF(A549="","",IFERROR(VALUE(SUBSTITUTE(SUBSTITUTE(INDEX('Etsy Import'!$A:$CZ,549,Settings!$C$26)&amp;"","$",""),",","")),0)/IF(Settings!$B$27="Yes",G549,1))</f>
        <v/>
      </c>
      <c r="J549" s="11">
        <f>IF(A549="","",F549+H549-I549)</f>
        <v/>
      </c>
      <c r="K549">
        <f>IF(A549="","",IFERROR(IF(B549="",NA(),MATCH(B549,Products!$B$5:$B$204,0)),IFERROR(MATCH(A549,Products!$A$5:$A$204,0),"")))</f>
        <v/>
      </c>
      <c r="L549">
        <f>IF(A549="","",IF(K549="","⚠ not in Products",INDEX(Products!$A$5:$A$204,K549)))</f>
        <v/>
      </c>
      <c r="M549" s="11">
        <f>IF(A549="","",J549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549+IFERROR(INDEX(Settings!$D$5:$D$9,MATCH("Etsy",Settings!$A$5:$A$9,0)),0)*D549)</f>
        <v/>
      </c>
      <c r="N549" s="11">
        <f>IF(A549="","",IF(K549="",0,D549*INDEX(Products!$I$5:$I$204,K549)))</f>
        <v/>
      </c>
      <c r="O549" s="11">
        <f>IF(A549="","",IF(K549="",0,J549*INDEX(Products!$H$5:$H$204,K549)))</f>
        <v/>
      </c>
      <c r="P549" s="11">
        <f>IF(A549="","",J549-M549-N549-O549)</f>
        <v/>
      </c>
    </row>
    <row r="550">
      <c r="A550">
        <f>IFERROR(INDEX('Etsy Import'!$A:$CZ,550,Settings!$C$20)&amp;"","")</f>
        <v/>
      </c>
      <c r="B550">
        <f>IFERROR(INDEX('Etsy Import'!$A:$CZ,550,Settings!$C$21)&amp;"","")</f>
        <v/>
      </c>
      <c r="C550">
        <f>IFERROR(INDEX('Etsy Import'!$A:$CZ,550,Settings!$C$22)&amp;"","")</f>
        <v/>
      </c>
      <c r="D550">
        <f>IF(A550="","",IFERROR(VALUE(SUBSTITUTE(SUBSTITUTE(INDEX('Etsy Import'!$A:$CZ,550,Settings!$C$23)&amp;"","$",""),",","")),0))</f>
        <v/>
      </c>
      <c r="E550" s="11">
        <f>IF(A550="","",IFERROR(VALUE(SUBSTITUTE(SUBSTITUTE(INDEX('Etsy Import'!$A:$CZ,550,Settings!$C$24)&amp;"","$",""),",","")),0))</f>
        <v/>
      </c>
      <c r="F550" s="11">
        <f>IF(A550="","",D550*E550)</f>
        <v/>
      </c>
      <c r="G550">
        <f>IF(A550="","",IF(C550="",1,COUNTIF($C$2:$C$1501,C550)))</f>
        <v/>
      </c>
      <c r="H550" s="11">
        <f>IF(A550="","",IFERROR(VALUE(SUBSTITUTE(SUBSTITUTE(INDEX('Etsy Import'!$A:$CZ,550,Settings!$C$25)&amp;"","$",""),",","")),0)/IF(Settings!$B$27="Yes",G550,1))</f>
        <v/>
      </c>
      <c r="I550" s="11">
        <f>IF(A550="","",IFERROR(VALUE(SUBSTITUTE(SUBSTITUTE(INDEX('Etsy Import'!$A:$CZ,550,Settings!$C$26)&amp;"","$",""),",","")),0)/IF(Settings!$B$27="Yes",G550,1))</f>
        <v/>
      </c>
      <c r="J550" s="11">
        <f>IF(A550="","",F550+H550-I550)</f>
        <v/>
      </c>
      <c r="K550">
        <f>IF(A550="","",IFERROR(IF(B550="",NA(),MATCH(B550,Products!$B$5:$B$204,0)),IFERROR(MATCH(A550,Products!$A$5:$A$204,0),"")))</f>
        <v/>
      </c>
      <c r="L550">
        <f>IF(A550="","",IF(K550="","⚠ not in Products",INDEX(Products!$A$5:$A$204,K550)))</f>
        <v/>
      </c>
      <c r="M550" s="11">
        <f>IF(A550="","",J550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550+IFERROR(INDEX(Settings!$D$5:$D$9,MATCH("Etsy",Settings!$A$5:$A$9,0)),0)*D550)</f>
        <v/>
      </c>
      <c r="N550" s="11">
        <f>IF(A550="","",IF(K550="",0,D550*INDEX(Products!$I$5:$I$204,K550)))</f>
        <v/>
      </c>
      <c r="O550" s="11">
        <f>IF(A550="","",IF(K550="",0,J550*INDEX(Products!$H$5:$H$204,K550)))</f>
        <v/>
      </c>
      <c r="P550" s="11">
        <f>IF(A550="","",J550-M550-N550-O550)</f>
        <v/>
      </c>
    </row>
    <row r="551">
      <c r="A551">
        <f>IFERROR(INDEX('Etsy Import'!$A:$CZ,551,Settings!$C$20)&amp;"","")</f>
        <v/>
      </c>
      <c r="B551">
        <f>IFERROR(INDEX('Etsy Import'!$A:$CZ,551,Settings!$C$21)&amp;"","")</f>
        <v/>
      </c>
      <c r="C551">
        <f>IFERROR(INDEX('Etsy Import'!$A:$CZ,551,Settings!$C$22)&amp;"","")</f>
        <v/>
      </c>
      <c r="D551">
        <f>IF(A551="","",IFERROR(VALUE(SUBSTITUTE(SUBSTITUTE(INDEX('Etsy Import'!$A:$CZ,551,Settings!$C$23)&amp;"","$",""),",","")),0))</f>
        <v/>
      </c>
      <c r="E551" s="11">
        <f>IF(A551="","",IFERROR(VALUE(SUBSTITUTE(SUBSTITUTE(INDEX('Etsy Import'!$A:$CZ,551,Settings!$C$24)&amp;"","$",""),",","")),0))</f>
        <v/>
      </c>
      <c r="F551" s="11">
        <f>IF(A551="","",D551*E551)</f>
        <v/>
      </c>
      <c r="G551">
        <f>IF(A551="","",IF(C551="",1,COUNTIF($C$2:$C$1501,C551)))</f>
        <v/>
      </c>
      <c r="H551" s="11">
        <f>IF(A551="","",IFERROR(VALUE(SUBSTITUTE(SUBSTITUTE(INDEX('Etsy Import'!$A:$CZ,551,Settings!$C$25)&amp;"","$",""),",","")),0)/IF(Settings!$B$27="Yes",G551,1))</f>
        <v/>
      </c>
      <c r="I551" s="11">
        <f>IF(A551="","",IFERROR(VALUE(SUBSTITUTE(SUBSTITUTE(INDEX('Etsy Import'!$A:$CZ,551,Settings!$C$26)&amp;"","$",""),",","")),0)/IF(Settings!$B$27="Yes",G551,1))</f>
        <v/>
      </c>
      <c r="J551" s="11">
        <f>IF(A551="","",F551+H551-I551)</f>
        <v/>
      </c>
      <c r="K551">
        <f>IF(A551="","",IFERROR(IF(B551="",NA(),MATCH(B551,Products!$B$5:$B$204,0)),IFERROR(MATCH(A551,Products!$A$5:$A$204,0),"")))</f>
        <v/>
      </c>
      <c r="L551">
        <f>IF(A551="","",IF(K551="","⚠ not in Products",INDEX(Products!$A$5:$A$204,K551)))</f>
        <v/>
      </c>
      <c r="M551" s="11">
        <f>IF(A551="","",J551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551+IFERROR(INDEX(Settings!$D$5:$D$9,MATCH("Etsy",Settings!$A$5:$A$9,0)),0)*D551)</f>
        <v/>
      </c>
      <c r="N551" s="11">
        <f>IF(A551="","",IF(K551="",0,D551*INDEX(Products!$I$5:$I$204,K551)))</f>
        <v/>
      </c>
      <c r="O551" s="11">
        <f>IF(A551="","",IF(K551="",0,J551*INDEX(Products!$H$5:$H$204,K551)))</f>
        <v/>
      </c>
      <c r="P551" s="11">
        <f>IF(A551="","",J551-M551-N551-O551)</f>
        <v/>
      </c>
    </row>
    <row r="552">
      <c r="A552">
        <f>IFERROR(INDEX('Etsy Import'!$A:$CZ,552,Settings!$C$20)&amp;"","")</f>
        <v/>
      </c>
      <c r="B552">
        <f>IFERROR(INDEX('Etsy Import'!$A:$CZ,552,Settings!$C$21)&amp;"","")</f>
        <v/>
      </c>
      <c r="C552">
        <f>IFERROR(INDEX('Etsy Import'!$A:$CZ,552,Settings!$C$22)&amp;"","")</f>
        <v/>
      </c>
      <c r="D552">
        <f>IF(A552="","",IFERROR(VALUE(SUBSTITUTE(SUBSTITUTE(INDEX('Etsy Import'!$A:$CZ,552,Settings!$C$23)&amp;"","$",""),",","")),0))</f>
        <v/>
      </c>
      <c r="E552" s="11">
        <f>IF(A552="","",IFERROR(VALUE(SUBSTITUTE(SUBSTITUTE(INDEX('Etsy Import'!$A:$CZ,552,Settings!$C$24)&amp;"","$",""),",","")),0))</f>
        <v/>
      </c>
      <c r="F552" s="11">
        <f>IF(A552="","",D552*E552)</f>
        <v/>
      </c>
      <c r="G552">
        <f>IF(A552="","",IF(C552="",1,COUNTIF($C$2:$C$1501,C552)))</f>
        <v/>
      </c>
      <c r="H552" s="11">
        <f>IF(A552="","",IFERROR(VALUE(SUBSTITUTE(SUBSTITUTE(INDEX('Etsy Import'!$A:$CZ,552,Settings!$C$25)&amp;"","$",""),",","")),0)/IF(Settings!$B$27="Yes",G552,1))</f>
        <v/>
      </c>
      <c r="I552" s="11">
        <f>IF(A552="","",IFERROR(VALUE(SUBSTITUTE(SUBSTITUTE(INDEX('Etsy Import'!$A:$CZ,552,Settings!$C$26)&amp;"","$",""),",","")),0)/IF(Settings!$B$27="Yes",G552,1))</f>
        <v/>
      </c>
      <c r="J552" s="11">
        <f>IF(A552="","",F552+H552-I552)</f>
        <v/>
      </c>
      <c r="K552">
        <f>IF(A552="","",IFERROR(IF(B552="",NA(),MATCH(B552,Products!$B$5:$B$204,0)),IFERROR(MATCH(A552,Products!$A$5:$A$204,0),"")))</f>
        <v/>
      </c>
      <c r="L552">
        <f>IF(A552="","",IF(K552="","⚠ not in Products",INDEX(Products!$A$5:$A$204,K552)))</f>
        <v/>
      </c>
      <c r="M552" s="11">
        <f>IF(A552="","",J552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552+IFERROR(INDEX(Settings!$D$5:$D$9,MATCH("Etsy",Settings!$A$5:$A$9,0)),0)*D552)</f>
        <v/>
      </c>
      <c r="N552" s="11">
        <f>IF(A552="","",IF(K552="",0,D552*INDEX(Products!$I$5:$I$204,K552)))</f>
        <v/>
      </c>
      <c r="O552" s="11">
        <f>IF(A552="","",IF(K552="",0,J552*INDEX(Products!$H$5:$H$204,K552)))</f>
        <v/>
      </c>
      <c r="P552" s="11">
        <f>IF(A552="","",J552-M552-N552-O552)</f>
        <v/>
      </c>
    </row>
    <row r="553">
      <c r="A553">
        <f>IFERROR(INDEX('Etsy Import'!$A:$CZ,553,Settings!$C$20)&amp;"","")</f>
        <v/>
      </c>
      <c r="B553">
        <f>IFERROR(INDEX('Etsy Import'!$A:$CZ,553,Settings!$C$21)&amp;"","")</f>
        <v/>
      </c>
      <c r="C553">
        <f>IFERROR(INDEX('Etsy Import'!$A:$CZ,553,Settings!$C$22)&amp;"","")</f>
        <v/>
      </c>
      <c r="D553">
        <f>IF(A553="","",IFERROR(VALUE(SUBSTITUTE(SUBSTITUTE(INDEX('Etsy Import'!$A:$CZ,553,Settings!$C$23)&amp;"","$",""),",","")),0))</f>
        <v/>
      </c>
      <c r="E553" s="11">
        <f>IF(A553="","",IFERROR(VALUE(SUBSTITUTE(SUBSTITUTE(INDEX('Etsy Import'!$A:$CZ,553,Settings!$C$24)&amp;"","$",""),",","")),0))</f>
        <v/>
      </c>
      <c r="F553" s="11">
        <f>IF(A553="","",D553*E553)</f>
        <v/>
      </c>
      <c r="G553">
        <f>IF(A553="","",IF(C553="",1,COUNTIF($C$2:$C$1501,C553)))</f>
        <v/>
      </c>
      <c r="H553" s="11">
        <f>IF(A553="","",IFERROR(VALUE(SUBSTITUTE(SUBSTITUTE(INDEX('Etsy Import'!$A:$CZ,553,Settings!$C$25)&amp;"","$",""),",","")),0)/IF(Settings!$B$27="Yes",G553,1))</f>
        <v/>
      </c>
      <c r="I553" s="11">
        <f>IF(A553="","",IFERROR(VALUE(SUBSTITUTE(SUBSTITUTE(INDEX('Etsy Import'!$A:$CZ,553,Settings!$C$26)&amp;"","$",""),",","")),0)/IF(Settings!$B$27="Yes",G553,1))</f>
        <v/>
      </c>
      <c r="J553" s="11">
        <f>IF(A553="","",F553+H553-I553)</f>
        <v/>
      </c>
      <c r="K553">
        <f>IF(A553="","",IFERROR(IF(B553="",NA(),MATCH(B553,Products!$B$5:$B$204,0)),IFERROR(MATCH(A553,Products!$A$5:$A$204,0),"")))</f>
        <v/>
      </c>
      <c r="L553">
        <f>IF(A553="","",IF(K553="","⚠ not in Products",INDEX(Products!$A$5:$A$204,K553)))</f>
        <v/>
      </c>
      <c r="M553" s="11">
        <f>IF(A553="","",J553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553+IFERROR(INDEX(Settings!$D$5:$D$9,MATCH("Etsy",Settings!$A$5:$A$9,0)),0)*D553)</f>
        <v/>
      </c>
      <c r="N553" s="11">
        <f>IF(A553="","",IF(K553="",0,D553*INDEX(Products!$I$5:$I$204,K553)))</f>
        <v/>
      </c>
      <c r="O553" s="11">
        <f>IF(A553="","",IF(K553="",0,J553*INDEX(Products!$H$5:$H$204,K553)))</f>
        <v/>
      </c>
      <c r="P553" s="11">
        <f>IF(A553="","",J553-M553-N553-O553)</f>
        <v/>
      </c>
    </row>
    <row r="554">
      <c r="A554">
        <f>IFERROR(INDEX('Etsy Import'!$A:$CZ,554,Settings!$C$20)&amp;"","")</f>
        <v/>
      </c>
      <c r="B554">
        <f>IFERROR(INDEX('Etsy Import'!$A:$CZ,554,Settings!$C$21)&amp;"","")</f>
        <v/>
      </c>
      <c r="C554">
        <f>IFERROR(INDEX('Etsy Import'!$A:$CZ,554,Settings!$C$22)&amp;"","")</f>
        <v/>
      </c>
      <c r="D554">
        <f>IF(A554="","",IFERROR(VALUE(SUBSTITUTE(SUBSTITUTE(INDEX('Etsy Import'!$A:$CZ,554,Settings!$C$23)&amp;"","$",""),",","")),0))</f>
        <v/>
      </c>
      <c r="E554" s="11">
        <f>IF(A554="","",IFERROR(VALUE(SUBSTITUTE(SUBSTITUTE(INDEX('Etsy Import'!$A:$CZ,554,Settings!$C$24)&amp;"","$",""),",","")),0))</f>
        <v/>
      </c>
      <c r="F554" s="11">
        <f>IF(A554="","",D554*E554)</f>
        <v/>
      </c>
      <c r="G554">
        <f>IF(A554="","",IF(C554="",1,COUNTIF($C$2:$C$1501,C554)))</f>
        <v/>
      </c>
      <c r="H554" s="11">
        <f>IF(A554="","",IFERROR(VALUE(SUBSTITUTE(SUBSTITUTE(INDEX('Etsy Import'!$A:$CZ,554,Settings!$C$25)&amp;"","$",""),",","")),0)/IF(Settings!$B$27="Yes",G554,1))</f>
        <v/>
      </c>
      <c r="I554" s="11">
        <f>IF(A554="","",IFERROR(VALUE(SUBSTITUTE(SUBSTITUTE(INDEX('Etsy Import'!$A:$CZ,554,Settings!$C$26)&amp;"","$",""),",","")),0)/IF(Settings!$B$27="Yes",G554,1))</f>
        <v/>
      </c>
      <c r="J554" s="11">
        <f>IF(A554="","",F554+H554-I554)</f>
        <v/>
      </c>
      <c r="K554">
        <f>IF(A554="","",IFERROR(IF(B554="",NA(),MATCH(B554,Products!$B$5:$B$204,0)),IFERROR(MATCH(A554,Products!$A$5:$A$204,0),"")))</f>
        <v/>
      </c>
      <c r="L554">
        <f>IF(A554="","",IF(K554="","⚠ not in Products",INDEX(Products!$A$5:$A$204,K554)))</f>
        <v/>
      </c>
      <c r="M554" s="11">
        <f>IF(A554="","",J554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554+IFERROR(INDEX(Settings!$D$5:$D$9,MATCH("Etsy",Settings!$A$5:$A$9,0)),0)*D554)</f>
        <v/>
      </c>
      <c r="N554" s="11">
        <f>IF(A554="","",IF(K554="",0,D554*INDEX(Products!$I$5:$I$204,K554)))</f>
        <v/>
      </c>
      <c r="O554" s="11">
        <f>IF(A554="","",IF(K554="",0,J554*INDEX(Products!$H$5:$H$204,K554)))</f>
        <v/>
      </c>
      <c r="P554" s="11">
        <f>IF(A554="","",J554-M554-N554-O554)</f>
        <v/>
      </c>
    </row>
    <row r="555">
      <c r="A555">
        <f>IFERROR(INDEX('Etsy Import'!$A:$CZ,555,Settings!$C$20)&amp;"","")</f>
        <v/>
      </c>
      <c r="B555">
        <f>IFERROR(INDEX('Etsy Import'!$A:$CZ,555,Settings!$C$21)&amp;"","")</f>
        <v/>
      </c>
      <c r="C555">
        <f>IFERROR(INDEX('Etsy Import'!$A:$CZ,555,Settings!$C$22)&amp;"","")</f>
        <v/>
      </c>
      <c r="D555">
        <f>IF(A555="","",IFERROR(VALUE(SUBSTITUTE(SUBSTITUTE(INDEX('Etsy Import'!$A:$CZ,555,Settings!$C$23)&amp;"","$",""),",","")),0))</f>
        <v/>
      </c>
      <c r="E555" s="11">
        <f>IF(A555="","",IFERROR(VALUE(SUBSTITUTE(SUBSTITUTE(INDEX('Etsy Import'!$A:$CZ,555,Settings!$C$24)&amp;"","$",""),",","")),0))</f>
        <v/>
      </c>
      <c r="F555" s="11">
        <f>IF(A555="","",D555*E555)</f>
        <v/>
      </c>
      <c r="G555">
        <f>IF(A555="","",IF(C555="",1,COUNTIF($C$2:$C$1501,C555)))</f>
        <v/>
      </c>
      <c r="H555" s="11">
        <f>IF(A555="","",IFERROR(VALUE(SUBSTITUTE(SUBSTITUTE(INDEX('Etsy Import'!$A:$CZ,555,Settings!$C$25)&amp;"","$",""),",","")),0)/IF(Settings!$B$27="Yes",G555,1))</f>
        <v/>
      </c>
      <c r="I555" s="11">
        <f>IF(A555="","",IFERROR(VALUE(SUBSTITUTE(SUBSTITUTE(INDEX('Etsy Import'!$A:$CZ,555,Settings!$C$26)&amp;"","$",""),",","")),0)/IF(Settings!$B$27="Yes",G555,1))</f>
        <v/>
      </c>
      <c r="J555" s="11">
        <f>IF(A555="","",F555+H555-I555)</f>
        <v/>
      </c>
      <c r="K555">
        <f>IF(A555="","",IFERROR(IF(B555="",NA(),MATCH(B555,Products!$B$5:$B$204,0)),IFERROR(MATCH(A555,Products!$A$5:$A$204,0),"")))</f>
        <v/>
      </c>
      <c r="L555">
        <f>IF(A555="","",IF(K555="","⚠ not in Products",INDEX(Products!$A$5:$A$204,K555)))</f>
        <v/>
      </c>
      <c r="M555" s="11">
        <f>IF(A555="","",J555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555+IFERROR(INDEX(Settings!$D$5:$D$9,MATCH("Etsy",Settings!$A$5:$A$9,0)),0)*D555)</f>
        <v/>
      </c>
      <c r="N555" s="11">
        <f>IF(A555="","",IF(K555="",0,D555*INDEX(Products!$I$5:$I$204,K555)))</f>
        <v/>
      </c>
      <c r="O555" s="11">
        <f>IF(A555="","",IF(K555="",0,J555*INDEX(Products!$H$5:$H$204,K555)))</f>
        <v/>
      </c>
      <c r="P555" s="11">
        <f>IF(A555="","",J555-M555-N555-O555)</f>
        <v/>
      </c>
    </row>
    <row r="556">
      <c r="A556">
        <f>IFERROR(INDEX('Etsy Import'!$A:$CZ,556,Settings!$C$20)&amp;"","")</f>
        <v/>
      </c>
      <c r="B556">
        <f>IFERROR(INDEX('Etsy Import'!$A:$CZ,556,Settings!$C$21)&amp;"","")</f>
        <v/>
      </c>
      <c r="C556">
        <f>IFERROR(INDEX('Etsy Import'!$A:$CZ,556,Settings!$C$22)&amp;"","")</f>
        <v/>
      </c>
      <c r="D556">
        <f>IF(A556="","",IFERROR(VALUE(SUBSTITUTE(SUBSTITUTE(INDEX('Etsy Import'!$A:$CZ,556,Settings!$C$23)&amp;"","$",""),",","")),0))</f>
        <v/>
      </c>
      <c r="E556" s="11">
        <f>IF(A556="","",IFERROR(VALUE(SUBSTITUTE(SUBSTITUTE(INDEX('Etsy Import'!$A:$CZ,556,Settings!$C$24)&amp;"","$",""),",","")),0))</f>
        <v/>
      </c>
      <c r="F556" s="11">
        <f>IF(A556="","",D556*E556)</f>
        <v/>
      </c>
      <c r="G556">
        <f>IF(A556="","",IF(C556="",1,COUNTIF($C$2:$C$1501,C556)))</f>
        <v/>
      </c>
      <c r="H556" s="11">
        <f>IF(A556="","",IFERROR(VALUE(SUBSTITUTE(SUBSTITUTE(INDEX('Etsy Import'!$A:$CZ,556,Settings!$C$25)&amp;"","$",""),",","")),0)/IF(Settings!$B$27="Yes",G556,1))</f>
        <v/>
      </c>
      <c r="I556" s="11">
        <f>IF(A556="","",IFERROR(VALUE(SUBSTITUTE(SUBSTITUTE(INDEX('Etsy Import'!$A:$CZ,556,Settings!$C$26)&amp;"","$",""),",","")),0)/IF(Settings!$B$27="Yes",G556,1))</f>
        <v/>
      </c>
      <c r="J556" s="11">
        <f>IF(A556="","",F556+H556-I556)</f>
        <v/>
      </c>
      <c r="K556">
        <f>IF(A556="","",IFERROR(IF(B556="",NA(),MATCH(B556,Products!$B$5:$B$204,0)),IFERROR(MATCH(A556,Products!$A$5:$A$204,0),"")))</f>
        <v/>
      </c>
      <c r="L556">
        <f>IF(A556="","",IF(K556="","⚠ not in Products",INDEX(Products!$A$5:$A$204,K556)))</f>
        <v/>
      </c>
      <c r="M556" s="11">
        <f>IF(A556="","",J556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556+IFERROR(INDEX(Settings!$D$5:$D$9,MATCH("Etsy",Settings!$A$5:$A$9,0)),0)*D556)</f>
        <v/>
      </c>
      <c r="N556" s="11">
        <f>IF(A556="","",IF(K556="",0,D556*INDEX(Products!$I$5:$I$204,K556)))</f>
        <v/>
      </c>
      <c r="O556" s="11">
        <f>IF(A556="","",IF(K556="",0,J556*INDEX(Products!$H$5:$H$204,K556)))</f>
        <v/>
      </c>
      <c r="P556" s="11">
        <f>IF(A556="","",J556-M556-N556-O556)</f>
        <v/>
      </c>
    </row>
    <row r="557">
      <c r="A557">
        <f>IFERROR(INDEX('Etsy Import'!$A:$CZ,557,Settings!$C$20)&amp;"","")</f>
        <v/>
      </c>
      <c r="B557">
        <f>IFERROR(INDEX('Etsy Import'!$A:$CZ,557,Settings!$C$21)&amp;"","")</f>
        <v/>
      </c>
      <c r="C557">
        <f>IFERROR(INDEX('Etsy Import'!$A:$CZ,557,Settings!$C$22)&amp;"","")</f>
        <v/>
      </c>
      <c r="D557">
        <f>IF(A557="","",IFERROR(VALUE(SUBSTITUTE(SUBSTITUTE(INDEX('Etsy Import'!$A:$CZ,557,Settings!$C$23)&amp;"","$",""),",","")),0))</f>
        <v/>
      </c>
      <c r="E557" s="11">
        <f>IF(A557="","",IFERROR(VALUE(SUBSTITUTE(SUBSTITUTE(INDEX('Etsy Import'!$A:$CZ,557,Settings!$C$24)&amp;"","$",""),",","")),0))</f>
        <v/>
      </c>
      <c r="F557" s="11">
        <f>IF(A557="","",D557*E557)</f>
        <v/>
      </c>
      <c r="G557">
        <f>IF(A557="","",IF(C557="",1,COUNTIF($C$2:$C$1501,C557)))</f>
        <v/>
      </c>
      <c r="H557" s="11">
        <f>IF(A557="","",IFERROR(VALUE(SUBSTITUTE(SUBSTITUTE(INDEX('Etsy Import'!$A:$CZ,557,Settings!$C$25)&amp;"","$",""),",","")),0)/IF(Settings!$B$27="Yes",G557,1))</f>
        <v/>
      </c>
      <c r="I557" s="11">
        <f>IF(A557="","",IFERROR(VALUE(SUBSTITUTE(SUBSTITUTE(INDEX('Etsy Import'!$A:$CZ,557,Settings!$C$26)&amp;"","$",""),",","")),0)/IF(Settings!$B$27="Yes",G557,1))</f>
        <v/>
      </c>
      <c r="J557" s="11">
        <f>IF(A557="","",F557+H557-I557)</f>
        <v/>
      </c>
      <c r="K557">
        <f>IF(A557="","",IFERROR(IF(B557="",NA(),MATCH(B557,Products!$B$5:$B$204,0)),IFERROR(MATCH(A557,Products!$A$5:$A$204,0),"")))</f>
        <v/>
      </c>
      <c r="L557">
        <f>IF(A557="","",IF(K557="","⚠ not in Products",INDEX(Products!$A$5:$A$204,K557)))</f>
        <v/>
      </c>
      <c r="M557" s="11">
        <f>IF(A557="","",J557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557+IFERROR(INDEX(Settings!$D$5:$D$9,MATCH("Etsy",Settings!$A$5:$A$9,0)),0)*D557)</f>
        <v/>
      </c>
      <c r="N557" s="11">
        <f>IF(A557="","",IF(K557="",0,D557*INDEX(Products!$I$5:$I$204,K557)))</f>
        <v/>
      </c>
      <c r="O557" s="11">
        <f>IF(A557="","",IF(K557="",0,J557*INDEX(Products!$H$5:$H$204,K557)))</f>
        <v/>
      </c>
      <c r="P557" s="11">
        <f>IF(A557="","",J557-M557-N557-O557)</f>
        <v/>
      </c>
    </row>
    <row r="558">
      <c r="A558">
        <f>IFERROR(INDEX('Etsy Import'!$A:$CZ,558,Settings!$C$20)&amp;"","")</f>
        <v/>
      </c>
      <c r="B558">
        <f>IFERROR(INDEX('Etsy Import'!$A:$CZ,558,Settings!$C$21)&amp;"","")</f>
        <v/>
      </c>
      <c r="C558">
        <f>IFERROR(INDEX('Etsy Import'!$A:$CZ,558,Settings!$C$22)&amp;"","")</f>
        <v/>
      </c>
      <c r="D558">
        <f>IF(A558="","",IFERROR(VALUE(SUBSTITUTE(SUBSTITUTE(INDEX('Etsy Import'!$A:$CZ,558,Settings!$C$23)&amp;"","$",""),",","")),0))</f>
        <v/>
      </c>
      <c r="E558" s="11">
        <f>IF(A558="","",IFERROR(VALUE(SUBSTITUTE(SUBSTITUTE(INDEX('Etsy Import'!$A:$CZ,558,Settings!$C$24)&amp;"","$",""),",","")),0))</f>
        <v/>
      </c>
      <c r="F558" s="11">
        <f>IF(A558="","",D558*E558)</f>
        <v/>
      </c>
      <c r="G558">
        <f>IF(A558="","",IF(C558="",1,COUNTIF($C$2:$C$1501,C558)))</f>
        <v/>
      </c>
      <c r="H558" s="11">
        <f>IF(A558="","",IFERROR(VALUE(SUBSTITUTE(SUBSTITUTE(INDEX('Etsy Import'!$A:$CZ,558,Settings!$C$25)&amp;"","$",""),",","")),0)/IF(Settings!$B$27="Yes",G558,1))</f>
        <v/>
      </c>
      <c r="I558" s="11">
        <f>IF(A558="","",IFERROR(VALUE(SUBSTITUTE(SUBSTITUTE(INDEX('Etsy Import'!$A:$CZ,558,Settings!$C$26)&amp;"","$",""),",","")),0)/IF(Settings!$B$27="Yes",G558,1))</f>
        <v/>
      </c>
      <c r="J558" s="11">
        <f>IF(A558="","",F558+H558-I558)</f>
        <v/>
      </c>
      <c r="K558">
        <f>IF(A558="","",IFERROR(IF(B558="",NA(),MATCH(B558,Products!$B$5:$B$204,0)),IFERROR(MATCH(A558,Products!$A$5:$A$204,0),"")))</f>
        <v/>
      </c>
      <c r="L558">
        <f>IF(A558="","",IF(K558="","⚠ not in Products",INDEX(Products!$A$5:$A$204,K558)))</f>
        <v/>
      </c>
      <c r="M558" s="11">
        <f>IF(A558="","",J558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558+IFERROR(INDEX(Settings!$D$5:$D$9,MATCH("Etsy",Settings!$A$5:$A$9,0)),0)*D558)</f>
        <v/>
      </c>
      <c r="N558" s="11">
        <f>IF(A558="","",IF(K558="",0,D558*INDEX(Products!$I$5:$I$204,K558)))</f>
        <v/>
      </c>
      <c r="O558" s="11">
        <f>IF(A558="","",IF(K558="",0,J558*INDEX(Products!$H$5:$H$204,K558)))</f>
        <v/>
      </c>
      <c r="P558" s="11">
        <f>IF(A558="","",J558-M558-N558-O558)</f>
        <v/>
      </c>
    </row>
    <row r="559">
      <c r="A559">
        <f>IFERROR(INDEX('Etsy Import'!$A:$CZ,559,Settings!$C$20)&amp;"","")</f>
        <v/>
      </c>
      <c r="B559">
        <f>IFERROR(INDEX('Etsy Import'!$A:$CZ,559,Settings!$C$21)&amp;"","")</f>
        <v/>
      </c>
      <c r="C559">
        <f>IFERROR(INDEX('Etsy Import'!$A:$CZ,559,Settings!$C$22)&amp;"","")</f>
        <v/>
      </c>
      <c r="D559">
        <f>IF(A559="","",IFERROR(VALUE(SUBSTITUTE(SUBSTITUTE(INDEX('Etsy Import'!$A:$CZ,559,Settings!$C$23)&amp;"","$",""),",","")),0))</f>
        <v/>
      </c>
      <c r="E559" s="11">
        <f>IF(A559="","",IFERROR(VALUE(SUBSTITUTE(SUBSTITUTE(INDEX('Etsy Import'!$A:$CZ,559,Settings!$C$24)&amp;"","$",""),",","")),0))</f>
        <v/>
      </c>
      <c r="F559" s="11">
        <f>IF(A559="","",D559*E559)</f>
        <v/>
      </c>
      <c r="G559">
        <f>IF(A559="","",IF(C559="",1,COUNTIF($C$2:$C$1501,C559)))</f>
        <v/>
      </c>
      <c r="H559" s="11">
        <f>IF(A559="","",IFERROR(VALUE(SUBSTITUTE(SUBSTITUTE(INDEX('Etsy Import'!$A:$CZ,559,Settings!$C$25)&amp;"","$",""),",","")),0)/IF(Settings!$B$27="Yes",G559,1))</f>
        <v/>
      </c>
      <c r="I559" s="11">
        <f>IF(A559="","",IFERROR(VALUE(SUBSTITUTE(SUBSTITUTE(INDEX('Etsy Import'!$A:$CZ,559,Settings!$C$26)&amp;"","$",""),",","")),0)/IF(Settings!$B$27="Yes",G559,1))</f>
        <v/>
      </c>
      <c r="J559" s="11">
        <f>IF(A559="","",F559+H559-I559)</f>
        <v/>
      </c>
      <c r="K559">
        <f>IF(A559="","",IFERROR(IF(B559="",NA(),MATCH(B559,Products!$B$5:$B$204,0)),IFERROR(MATCH(A559,Products!$A$5:$A$204,0),"")))</f>
        <v/>
      </c>
      <c r="L559">
        <f>IF(A559="","",IF(K559="","⚠ not in Products",INDEX(Products!$A$5:$A$204,K559)))</f>
        <v/>
      </c>
      <c r="M559" s="11">
        <f>IF(A559="","",J559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559+IFERROR(INDEX(Settings!$D$5:$D$9,MATCH("Etsy",Settings!$A$5:$A$9,0)),0)*D559)</f>
        <v/>
      </c>
      <c r="N559" s="11">
        <f>IF(A559="","",IF(K559="",0,D559*INDEX(Products!$I$5:$I$204,K559)))</f>
        <v/>
      </c>
      <c r="O559" s="11">
        <f>IF(A559="","",IF(K559="",0,J559*INDEX(Products!$H$5:$H$204,K559)))</f>
        <v/>
      </c>
      <c r="P559" s="11">
        <f>IF(A559="","",J559-M559-N559-O559)</f>
        <v/>
      </c>
    </row>
    <row r="560">
      <c r="A560">
        <f>IFERROR(INDEX('Etsy Import'!$A:$CZ,560,Settings!$C$20)&amp;"","")</f>
        <v/>
      </c>
      <c r="B560">
        <f>IFERROR(INDEX('Etsy Import'!$A:$CZ,560,Settings!$C$21)&amp;"","")</f>
        <v/>
      </c>
      <c r="C560">
        <f>IFERROR(INDEX('Etsy Import'!$A:$CZ,560,Settings!$C$22)&amp;"","")</f>
        <v/>
      </c>
      <c r="D560">
        <f>IF(A560="","",IFERROR(VALUE(SUBSTITUTE(SUBSTITUTE(INDEX('Etsy Import'!$A:$CZ,560,Settings!$C$23)&amp;"","$",""),",","")),0))</f>
        <v/>
      </c>
      <c r="E560" s="11">
        <f>IF(A560="","",IFERROR(VALUE(SUBSTITUTE(SUBSTITUTE(INDEX('Etsy Import'!$A:$CZ,560,Settings!$C$24)&amp;"","$",""),",","")),0))</f>
        <v/>
      </c>
      <c r="F560" s="11">
        <f>IF(A560="","",D560*E560)</f>
        <v/>
      </c>
      <c r="G560">
        <f>IF(A560="","",IF(C560="",1,COUNTIF($C$2:$C$1501,C560)))</f>
        <v/>
      </c>
      <c r="H560" s="11">
        <f>IF(A560="","",IFERROR(VALUE(SUBSTITUTE(SUBSTITUTE(INDEX('Etsy Import'!$A:$CZ,560,Settings!$C$25)&amp;"","$",""),",","")),0)/IF(Settings!$B$27="Yes",G560,1))</f>
        <v/>
      </c>
      <c r="I560" s="11">
        <f>IF(A560="","",IFERROR(VALUE(SUBSTITUTE(SUBSTITUTE(INDEX('Etsy Import'!$A:$CZ,560,Settings!$C$26)&amp;"","$",""),",","")),0)/IF(Settings!$B$27="Yes",G560,1))</f>
        <v/>
      </c>
      <c r="J560" s="11">
        <f>IF(A560="","",F560+H560-I560)</f>
        <v/>
      </c>
      <c r="K560">
        <f>IF(A560="","",IFERROR(IF(B560="",NA(),MATCH(B560,Products!$B$5:$B$204,0)),IFERROR(MATCH(A560,Products!$A$5:$A$204,0),"")))</f>
        <v/>
      </c>
      <c r="L560">
        <f>IF(A560="","",IF(K560="","⚠ not in Products",INDEX(Products!$A$5:$A$204,K560)))</f>
        <v/>
      </c>
      <c r="M560" s="11">
        <f>IF(A560="","",J560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560+IFERROR(INDEX(Settings!$D$5:$D$9,MATCH("Etsy",Settings!$A$5:$A$9,0)),0)*D560)</f>
        <v/>
      </c>
      <c r="N560" s="11">
        <f>IF(A560="","",IF(K560="",0,D560*INDEX(Products!$I$5:$I$204,K560)))</f>
        <v/>
      </c>
      <c r="O560" s="11">
        <f>IF(A560="","",IF(K560="",0,J560*INDEX(Products!$H$5:$H$204,K560)))</f>
        <v/>
      </c>
      <c r="P560" s="11">
        <f>IF(A560="","",J560-M560-N560-O560)</f>
        <v/>
      </c>
    </row>
    <row r="561">
      <c r="A561">
        <f>IFERROR(INDEX('Etsy Import'!$A:$CZ,561,Settings!$C$20)&amp;"","")</f>
        <v/>
      </c>
      <c r="B561">
        <f>IFERROR(INDEX('Etsy Import'!$A:$CZ,561,Settings!$C$21)&amp;"","")</f>
        <v/>
      </c>
      <c r="C561">
        <f>IFERROR(INDEX('Etsy Import'!$A:$CZ,561,Settings!$C$22)&amp;"","")</f>
        <v/>
      </c>
      <c r="D561">
        <f>IF(A561="","",IFERROR(VALUE(SUBSTITUTE(SUBSTITUTE(INDEX('Etsy Import'!$A:$CZ,561,Settings!$C$23)&amp;"","$",""),",","")),0))</f>
        <v/>
      </c>
      <c r="E561" s="11">
        <f>IF(A561="","",IFERROR(VALUE(SUBSTITUTE(SUBSTITUTE(INDEX('Etsy Import'!$A:$CZ,561,Settings!$C$24)&amp;"","$",""),",","")),0))</f>
        <v/>
      </c>
      <c r="F561" s="11">
        <f>IF(A561="","",D561*E561)</f>
        <v/>
      </c>
      <c r="G561">
        <f>IF(A561="","",IF(C561="",1,COUNTIF($C$2:$C$1501,C561)))</f>
        <v/>
      </c>
      <c r="H561" s="11">
        <f>IF(A561="","",IFERROR(VALUE(SUBSTITUTE(SUBSTITUTE(INDEX('Etsy Import'!$A:$CZ,561,Settings!$C$25)&amp;"","$",""),",","")),0)/IF(Settings!$B$27="Yes",G561,1))</f>
        <v/>
      </c>
      <c r="I561" s="11">
        <f>IF(A561="","",IFERROR(VALUE(SUBSTITUTE(SUBSTITUTE(INDEX('Etsy Import'!$A:$CZ,561,Settings!$C$26)&amp;"","$",""),",","")),0)/IF(Settings!$B$27="Yes",G561,1))</f>
        <v/>
      </c>
      <c r="J561" s="11">
        <f>IF(A561="","",F561+H561-I561)</f>
        <v/>
      </c>
      <c r="K561">
        <f>IF(A561="","",IFERROR(IF(B561="",NA(),MATCH(B561,Products!$B$5:$B$204,0)),IFERROR(MATCH(A561,Products!$A$5:$A$204,0),"")))</f>
        <v/>
      </c>
      <c r="L561">
        <f>IF(A561="","",IF(K561="","⚠ not in Products",INDEX(Products!$A$5:$A$204,K561)))</f>
        <v/>
      </c>
      <c r="M561" s="11">
        <f>IF(A561="","",J561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561+IFERROR(INDEX(Settings!$D$5:$D$9,MATCH("Etsy",Settings!$A$5:$A$9,0)),0)*D561)</f>
        <v/>
      </c>
      <c r="N561" s="11">
        <f>IF(A561="","",IF(K561="",0,D561*INDEX(Products!$I$5:$I$204,K561)))</f>
        <v/>
      </c>
      <c r="O561" s="11">
        <f>IF(A561="","",IF(K561="",0,J561*INDEX(Products!$H$5:$H$204,K561)))</f>
        <v/>
      </c>
      <c r="P561" s="11">
        <f>IF(A561="","",J561-M561-N561-O561)</f>
        <v/>
      </c>
    </row>
    <row r="562">
      <c r="A562">
        <f>IFERROR(INDEX('Etsy Import'!$A:$CZ,562,Settings!$C$20)&amp;"","")</f>
        <v/>
      </c>
      <c r="B562">
        <f>IFERROR(INDEX('Etsy Import'!$A:$CZ,562,Settings!$C$21)&amp;"","")</f>
        <v/>
      </c>
      <c r="C562">
        <f>IFERROR(INDEX('Etsy Import'!$A:$CZ,562,Settings!$C$22)&amp;"","")</f>
        <v/>
      </c>
      <c r="D562">
        <f>IF(A562="","",IFERROR(VALUE(SUBSTITUTE(SUBSTITUTE(INDEX('Etsy Import'!$A:$CZ,562,Settings!$C$23)&amp;"","$",""),",","")),0))</f>
        <v/>
      </c>
      <c r="E562" s="11">
        <f>IF(A562="","",IFERROR(VALUE(SUBSTITUTE(SUBSTITUTE(INDEX('Etsy Import'!$A:$CZ,562,Settings!$C$24)&amp;"","$",""),",","")),0))</f>
        <v/>
      </c>
      <c r="F562" s="11">
        <f>IF(A562="","",D562*E562)</f>
        <v/>
      </c>
      <c r="G562">
        <f>IF(A562="","",IF(C562="",1,COUNTIF($C$2:$C$1501,C562)))</f>
        <v/>
      </c>
      <c r="H562" s="11">
        <f>IF(A562="","",IFERROR(VALUE(SUBSTITUTE(SUBSTITUTE(INDEX('Etsy Import'!$A:$CZ,562,Settings!$C$25)&amp;"","$",""),",","")),0)/IF(Settings!$B$27="Yes",G562,1))</f>
        <v/>
      </c>
      <c r="I562" s="11">
        <f>IF(A562="","",IFERROR(VALUE(SUBSTITUTE(SUBSTITUTE(INDEX('Etsy Import'!$A:$CZ,562,Settings!$C$26)&amp;"","$",""),",","")),0)/IF(Settings!$B$27="Yes",G562,1))</f>
        <v/>
      </c>
      <c r="J562" s="11">
        <f>IF(A562="","",F562+H562-I562)</f>
        <v/>
      </c>
      <c r="K562">
        <f>IF(A562="","",IFERROR(IF(B562="",NA(),MATCH(B562,Products!$B$5:$B$204,0)),IFERROR(MATCH(A562,Products!$A$5:$A$204,0),"")))</f>
        <v/>
      </c>
      <c r="L562">
        <f>IF(A562="","",IF(K562="","⚠ not in Products",INDEX(Products!$A$5:$A$204,K562)))</f>
        <v/>
      </c>
      <c r="M562" s="11">
        <f>IF(A562="","",J562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562+IFERROR(INDEX(Settings!$D$5:$D$9,MATCH("Etsy",Settings!$A$5:$A$9,0)),0)*D562)</f>
        <v/>
      </c>
      <c r="N562" s="11">
        <f>IF(A562="","",IF(K562="",0,D562*INDEX(Products!$I$5:$I$204,K562)))</f>
        <v/>
      </c>
      <c r="O562" s="11">
        <f>IF(A562="","",IF(K562="",0,J562*INDEX(Products!$H$5:$H$204,K562)))</f>
        <v/>
      </c>
      <c r="P562" s="11">
        <f>IF(A562="","",J562-M562-N562-O562)</f>
        <v/>
      </c>
    </row>
    <row r="563">
      <c r="A563">
        <f>IFERROR(INDEX('Etsy Import'!$A:$CZ,563,Settings!$C$20)&amp;"","")</f>
        <v/>
      </c>
      <c r="B563">
        <f>IFERROR(INDEX('Etsy Import'!$A:$CZ,563,Settings!$C$21)&amp;"","")</f>
        <v/>
      </c>
      <c r="C563">
        <f>IFERROR(INDEX('Etsy Import'!$A:$CZ,563,Settings!$C$22)&amp;"","")</f>
        <v/>
      </c>
      <c r="D563">
        <f>IF(A563="","",IFERROR(VALUE(SUBSTITUTE(SUBSTITUTE(INDEX('Etsy Import'!$A:$CZ,563,Settings!$C$23)&amp;"","$",""),",","")),0))</f>
        <v/>
      </c>
      <c r="E563" s="11">
        <f>IF(A563="","",IFERROR(VALUE(SUBSTITUTE(SUBSTITUTE(INDEX('Etsy Import'!$A:$CZ,563,Settings!$C$24)&amp;"","$",""),",","")),0))</f>
        <v/>
      </c>
      <c r="F563" s="11">
        <f>IF(A563="","",D563*E563)</f>
        <v/>
      </c>
      <c r="G563">
        <f>IF(A563="","",IF(C563="",1,COUNTIF($C$2:$C$1501,C563)))</f>
        <v/>
      </c>
      <c r="H563" s="11">
        <f>IF(A563="","",IFERROR(VALUE(SUBSTITUTE(SUBSTITUTE(INDEX('Etsy Import'!$A:$CZ,563,Settings!$C$25)&amp;"","$",""),",","")),0)/IF(Settings!$B$27="Yes",G563,1))</f>
        <v/>
      </c>
      <c r="I563" s="11">
        <f>IF(A563="","",IFERROR(VALUE(SUBSTITUTE(SUBSTITUTE(INDEX('Etsy Import'!$A:$CZ,563,Settings!$C$26)&amp;"","$",""),",","")),0)/IF(Settings!$B$27="Yes",G563,1))</f>
        <v/>
      </c>
      <c r="J563" s="11">
        <f>IF(A563="","",F563+H563-I563)</f>
        <v/>
      </c>
      <c r="K563">
        <f>IF(A563="","",IFERROR(IF(B563="",NA(),MATCH(B563,Products!$B$5:$B$204,0)),IFERROR(MATCH(A563,Products!$A$5:$A$204,0),"")))</f>
        <v/>
      </c>
      <c r="L563">
        <f>IF(A563="","",IF(K563="","⚠ not in Products",INDEX(Products!$A$5:$A$204,K563)))</f>
        <v/>
      </c>
      <c r="M563" s="11">
        <f>IF(A563="","",J563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563+IFERROR(INDEX(Settings!$D$5:$D$9,MATCH("Etsy",Settings!$A$5:$A$9,0)),0)*D563)</f>
        <v/>
      </c>
      <c r="N563" s="11">
        <f>IF(A563="","",IF(K563="",0,D563*INDEX(Products!$I$5:$I$204,K563)))</f>
        <v/>
      </c>
      <c r="O563" s="11">
        <f>IF(A563="","",IF(K563="",0,J563*INDEX(Products!$H$5:$H$204,K563)))</f>
        <v/>
      </c>
      <c r="P563" s="11">
        <f>IF(A563="","",J563-M563-N563-O563)</f>
        <v/>
      </c>
    </row>
    <row r="564">
      <c r="A564">
        <f>IFERROR(INDEX('Etsy Import'!$A:$CZ,564,Settings!$C$20)&amp;"","")</f>
        <v/>
      </c>
      <c r="B564">
        <f>IFERROR(INDEX('Etsy Import'!$A:$CZ,564,Settings!$C$21)&amp;"","")</f>
        <v/>
      </c>
      <c r="C564">
        <f>IFERROR(INDEX('Etsy Import'!$A:$CZ,564,Settings!$C$22)&amp;"","")</f>
        <v/>
      </c>
      <c r="D564">
        <f>IF(A564="","",IFERROR(VALUE(SUBSTITUTE(SUBSTITUTE(INDEX('Etsy Import'!$A:$CZ,564,Settings!$C$23)&amp;"","$",""),",","")),0))</f>
        <v/>
      </c>
      <c r="E564" s="11">
        <f>IF(A564="","",IFERROR(VALUE(SUBSTITUTE(SUBSTITUTE(INDEX('Etsy Import'!$A:$CZ,564,Settings!$C$24)&amp;"","$",""),",","")),0))</f>
        <v/>
      </c>
      <c r="F564" s="11">
        <f>IF(A564="","",D564*E564)</f>
        <v/>
      </c>
      <c r="G564">
        <f>IF(A564="","",IF(C564="",1,COUNTIF($C$2:$C$1501,C564)))</f>
        <v/>
      </c>
      <c r="H564" s="11">
        <f>IF(A564="","",IFERROR(VALUE(SUBSTITUTE(SUBSTITUTE(INDEX('Etsy Import'!$A:$CZ,564,Settings!$C$25)&amp;"","$",""),",","")),0)/IF(Settings!$B$27="Yes",G564,1))</f>
        <v/>
      </c>
      <c r="I564" s="11">
        <f>IF(A564="","",IFERROR(VALUE(SUBSTITUTE(SUBSTITUTE(INDEX('Etsy Import'!$A:$CZ,564,Settings!$C$26)&amp;"","$",""),",","")),0)/IF(Settings!$B$27="Yes",G564,1))</f>
        <v/>
      </c>
      <c r="J564" s="11">
        <f>IF(A564="","",F564+H564-I564)</f>
        <v/>
      </c>
      <c r="K564">
        <f>IF(A564="","",IFERROR(IF(B564="",NA(),MATCH(B564,Products!$B$5:$B$204,0)),IFERROR(MATCH(A564,Products!$A$5:$A$204,0),"")))</f>
        <v/>
      </c>
      <c r="L564">
        <f>IF(A564="","",IF(K564="","⚠ not in Products",INDEX(Products!$A$5:$A$204,K564)))</f>
        <v/>
      </c>
      <c r="M564" s="11">
        <f>IF(A564="","",J564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564+IFERROR(INDEX(Settings!$D$5:$D$9,MATCH("Etsy",Settings!$A$5:$A$9,0)),0)*D564)</f>
        <v/>
      </c>
      <c r="N564" s="11">
        <f>IF(A564="","",IF(K564="",0,D564*INDEX(Products!$I$5:$I$204,K564)))</f>
        <v/>
      </c>
      <c r="O564" s="11">
        <f>IF(A564="","",IF(K564="",0,J564*INDEX(Products!$H$5:$H$204,K564)))</f>
        <v/>
      </c>
      <c r="P564" s="11">
        <f>IF(A564="","",J564-M564-N564-O564)</f>
        <v/>
      </c>
    </row>
    <row r="565">
      <c r="A565">
        <f>IFERROR(INDEX('Etsy Import'!$A:$CZ,565,Settings!$C$20)&amp;"","")</f>
        <v/>
      </c>
      <c r="B565">
        <f>IFERROR(INDEX('Etsy Import'!$A:$CZ,565,Settings!$C$21)&amp;"","")</f>
        <v/>
      </c>
      <c r="C565">
        <f>IFERROR(INDEX('Etsy Import'!$A:$CZ,565,Settings!$C$22)&amp;"","")</f>
        <v/>
      </c>
      <c r="D565">
        <f>IF(A565="","",IFERROR(VALUE(SUBSTITUTE(SUBSTITUTE(INDEX('Etsy Import'!$A:$CZ,565,Settings!$C$23)&amp;"","$",""),",","")),0))</f>
        <v/>
      </c>
      <c r="E565" s="11">
        <f>IF(A565="","",IFERROR(VALUE(SUBSTITUTE(SUBSTITUTE(INDEX('Etsy Import'!$A:$CZ,565,Settings!$C$24)&amp;"","$",""),",","")),0))</f>
        <v/>
      </c>
      <c r="F565" s="11">
        <f>IF(A565="","",D565*E565)</f>
        <v/>
      </c>
      <c r="G565">
        <f>IF(A565="","",IF(C565="",1,COUNTIF($C$2:$C$1501,C565)))</f>
        <v/>
      </c>
      <c r="H565" s="11">
        <f>IF(A565="","",IFERROR(VALUE(SUBSTITUTE(SUBSTITUTE(INDEX('Etsy Import'!$A:$CZ,565,Settings!$C$25)&amp;"","$",""),",","")),0)/IF(Settings!$B$27="Yes",G565,1))</f>
        <v/>
      </c>
      <c r="I565" s="11">
        <f>IF(A565="","",IFERROR(VALUE(SUBSTITUTE(SUBSTITUTE(INDEX('Etsy Import'!$A:$CZ,565,Settings!$C$26)&amp;"","$",""),",","")),0)/IF(Settings!$B$27="Yes",G565,1))</f>
        <v/>
      </c>
      <c r="J565" s="11">
        <f>IF(A565="","",F565+H565-I565)</f>
        <v/>
      </c>
      <c r="K565">
        <f>IF(A565="","",IFERROR(IF(B565="",NA(),MATCH(B565,Products!$B$5:$B$204,0)),IFERROR(MATCH(A565,Products!$A$5:$A$204,0),"")))</f>
        <v/>
      </c>
      <c r="L565">
        <f>IF(A565="","",IF(K565="","⚠ not in Products",INDEX(Products!$A$5:$A$204,K565)))</f>
        <v/>
      </c>
      <c r="M565" s="11">
        <f>IF(A565="","",J565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565+IFERROR(INDEX(Settings!$D$5:$D$9,MATCH("Etsy",Settings!$A$5:$A$9,0)),0)*D565)</f>
        <v/>
      </c>
      <c r="N565" s="11">
        <f>IF(A565="","",IF(K565="",0,D565*INDEX(Products!$I$5:$I$204,K565)))</f>
        <v/>
      </c>
      <c r="O565" s="11">
        <f>IF(A565="","",IF(K565="",0,J565*INDEX(Products!$H$5:$H$204,K565)))</f>
        <v/>
      </c>
      <c r="P565" s="11">
        <f>IF(A565="","",J565-M565-N565-O565)</f>
        <v/>
      </c>
    </row>
    <row r="566">
      <c r="A566">
        <f>IFERROR(INDEX('Etsy Import'!$A:$CZ,566,Settings!$C$20)&amp;"","")</f>
        <v/>
      </c>
      <c r="B566">
        <f>IFERROR(INDEX('Etsy Import'!$A:$CZ,566,Settings!$C$21)&amp;"","")</f>
        <v/>
      </c>
      <c r="C566">
        <f>IFERROR(INDEX('Etsy Import'!$A:$CZ,566,Settings!$C$22)&amp;"","")</f>
        <v/>
      </c>
      <c r="D566">
        <f>IF(A566="","",IFERROR(VALUE(SUBSTITUTE(SUBSTITUTE(INDEX('Etsy Import'!$A:$CZ,566,Settings!$C$23)&amp;"","$",""),",","")),0))</f>
        <v/>
      </c>
      <c r="E566" s="11">
        <f>IF(A566="","",IFERROR(VALUE(SUBSTITUTE(SUBSTITUTE(INDEX('Etsy Import'!$A:$CZ,566,Settings!$C$24)&amp;"","$",""),",","")),0))</f>
        <v/>
      </c>
      <c r="F566" s="11">
        <f>IF(A566="","",D566*E566)</f>
        <v/>
      </c>
      <c r="G566">
        <f>IF(A566="","",IF(C566="",1,COUNTIF($C$2:$C$1501,C566)))</f>
        <v/>
      </c>
      <c r="H566" s="11">
        <f>IF(A566="","",IFERROR(VALUE(SUBSTITUTE(SUBSTITUTE(INDEX('Etsy Import'!$A:$CZ,566,Settings!$C$25)&amp;"","$",""),",","")),0)/IF(Settings!$B$27="Yes",G566,1))</f>
        <v/>
      </c>
      <c r="I566" s="11">
        <f>IF(A566="","",IFERROR(VALUE(SUBSTITUTE(SUBSTITUTE(INDEX('Etsy Import'!$A:$CZ,566,Settings!$C$26)&amp;"","$",""),",","")),0)/IF(Settings!$B$27="Yes",G566,1))</f>
        <v/>
      </c>
      <c r="J566" s="11">
        <f>IF(A566="","",F566+H566-I566)</f>
        <v/>
      </c>
      <c r="K566">
        <f>IF(A566="","",IFERROR(IF(B566="",NA(),MATCH(B566,Products!$B$5:$B$204,0)),IFERROR(MATCH(A566,Products!$A$5:$A$204,0),"")))</f>
        <v/>
      </c>
      <c r="L566">
        <f>IF(A566="","",IF(K566="","⚠ not in Products",INDEX(Products!$A$5:$A$204,K566)))</f>
        <v/>
      </c>
      <c r="M566" s="11">
        <f>IF(A566="","",J566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566+IFERROR(INDEX(Settings!$D$5:$D$9,MATCH("Etsy",Settings!$A$5:$A$9,0)),0)*D566)</f>
        <v/>
      </c>
      <c r="N566" s="11">
        <f>IF(A566="","",IF(K566="",0,D566*INDEX(Products!$I$5:$I$204,K566)))</f>
        <v/>
      </c>
      <c r="O566" s="11">
        <f>IF(A566="","",IF(K566="",0,J566*INDEX(Products!$H$5:$H$204,K566)))</f>
        <v/>
      </c>
      <c r="P566" s="11">
        <f>IF(A566="","",J566-M566-N566-O566)</f>
        <v/>
      </c>
    </row>
    <row r="567">
      <c r="A567">
        <f>IFERROR(INDEX('Etsy Import'!$A:$CZ,567,Settings!$C$20)&amp;"","")</f>
        <v/>
      </c>
      <c r="B567">
        <f>IFERROR(INDEX('Etsy Import'!$A:$CZ,567,Settings!$C$21)&amp;"","")</f>
        <v/>
      </c>
      <c r="C567">
        <f>IFERROR(INDEX('Etsy Import'!$A:$CZ,567,Settings!$C$22)&amp;"","")</f>
        <v/>
      </c>
      <c r="D567">
        <f>IF(A567="","",IFERROR(VALUE(SUBSTITUTE(SUBSTITUTE(INDEX('Etsy Import'!$A:$CZ,567,Settings!$C$23)&amp;"","$",""),",","")),0))</f>
        <v/>
      </c>
      <c r="E567" s="11">
        <f>IF(A567="","",IFERROR(VALUE(SUBSTITUTE(SUBSTITUTE(INDEX('Etsy Import'!$A:$CZ,567,Settings!$C$24)&amp;"","$",""),",","")),0))</f>
        <v/>
      </c>
      <c r="F567" s="11">
        <f>IF(A567="","",D567*E567)</f>
        <v/>
      </c>
      <c r="G567">
        <f>IF(A567="","",IF(C567="",1,COUNTIF($C$2:$C$1501,C567)))</f>
        <v/>
      </c>
      <c r="H567" s="11">
        <f>IF(A567="","",IFERROR(VALUE(SUBSTITUTE(SUBSTITUTE(INDEX('Etsy Import'!$A:$CZ,567,Settings!$C$25)&amp;"","$",""),",","")),0)/IF(Settings!$B$27="Yes",G567,1))</f>
        <v/>
      </c>
      <c r="I567" s="11">
        <f>IF(A567="","",IFERROR(VALUE(SUBSTITUTE(SUBSTITUTE(INDEX('Etsy Import'!$A:$CZ,567,Settings!$C$26)&amp;"","$",""),",","")),0)/IF(Settings!$B$27="Yes",G567,1))</f>
        <v/>
      </c>
      <c r="J567" s="11">
        <f>IF(A567="","",F567+H567-I567)</f>
        <v/>
      </c>
      <c r="K567">
        <f>IF(A567="","",IFERROR(IF(B567="",NA(),MATCH(B567,Products!$B$5:$B$204,0)),IFERROR(MATCH(A567,Products!$A$5:$A$204,0),"")))</f>
        <v/>
      </c>
      <c r="L567">
        <f>IF(A567="","",IF(K567="","⚠ not in Products",INDEX(Products!$A$5:$A$204,K567)))</f>
        <v/>
      </c>
      <c r="M567" s="11">
        <f>IF(A567="","",J567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567+IFERROR(INDEX(Settings!$D$5:$D$9,MATCH("Etsy",Settings!$A$5:$A$9,0)),0)*D567)</f>
        <v/>
      </c>
      <c r="N567" s="11">
        <f>IF(A567="","",IF(K567="",0,D567*INDEX(Products!$I$5:$I$204,K567)))</f>
        <v/>
      </c>
      <c r="O567" s="11">
        <f>IF(A567="","",IF(K567="",0,J567*INDEX(Products!$H$5:$H$204,K567)))</f>
        <v/>
      </c>
      <c r="P567" s="11">
        <f>IF(A567="","",J567-M567-N567-O567)</f>
        <v/>
      </c>
    </row>
    <row r="568">
      <c r="A568">
        <f>IFERROR(INDEX('Etsy Import'!$A:$CZ,568,Settings!$C$20)&amp;"","")</f>
        <v/>
      </c>
      <c r="B568">
        <f>IFERROR(INDEX('Etsy Import'!$A:$CZ,568,Settings!$C$21)&amp;"","")</f>
        <v/>
      </c>
      <c r="C568">
        <f>IFERROR(INDEX('Etsy Import'!$A:$CZ,568,Settings!$C$22)&amp;"","")</f>
        <v/>
      </c>
      <c r="D568">
        <f>IF(A568="","",IFERROR(VALUE(SUBSTITUTE(SUBSTITUTE(INDEX('Etsy Import'!$A:$CZ,568,Settings!$C$23)&amp;"","$",""),",","")),0))</f>
        <v/>
      </c>
      <c r="E568" s="11">
        <f>IF(A568="","",IFERROR(VALUE(SUBSTITUTE(SUBSTITUTE(INDEX('Etsy Import'!$A:$CZ,568,Settings!$C$24)&amp;"","$",""),",","")),0))</f>
        <v/>
      </c>
      <c r="F568" s="11">
        <f>IF(A568="","",D568*E568)</f>
        <v/>
      </c>
      <c r="G568">
        <f>IF(A568="","",IF(C568="",1,COUNTIF($C$2:$C$1501,C568)))</f>
        <v/>
      </c>
      <c r="H568" s="11">
        <f>IF(A568="","",IFERROR(VALUE(SUBSTITUTE(SUBSTITUTE(INDEX('Etsy Import'!$A:$CZ,568,Settings!$C$25)&amp;"","$",""),",","")),0)/IF(Settings!$B$27="Yes",G568,1))</f>
        <v/>
      </c>
      <c r="I568" s="11">
        <f>IF(A568="","",IFERROR(VALUE(SUBSTITUTE(SUBSTITUTE(INDEX('Etsy Import'!$A:$CZ,568,Settings!$C$26)&amp;"","$",""),",","")),0)/IF(Settings!$B$27="Yes",G568,1))</f>
        <v/>
      </c>
      <c r="J568" s="11">
        <f>IF(A568="","",F568+H568-I568)</f>
        <v/>
      </c>
      <c r="K568">
        <f>IF(A568="","",IFERROR(IF(B568="",NA(),MATCH(B568,Products!$B$5:$B$204,0)),IFERROR(MATCH(A568,Products!$A$5:$A$204,0),"")))</f>
        <v/>
      </c>
      <c r="L568">
        <f>IF(A568="","",IF(K568="","⚠ not in Products",INDEX(Products!$A$5:$A$204,K568)))</f>
        <v/>
      </c>
      <c r="M568" s="11">
        <f>IF(A568="","",J568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568+IFERROR(INDEX(Settings!$D$5:$D$9,MATCH("Etsy",Settings!$A$5:$A$9,0)),0)*D568)</f>
        <v/>
      </c>
      <c r="N568" s="11">
        <f>IF(A568="","",IF(K568="",0,D568*INDEX(Products!$I$5:$I$204,K568)))</f>
        <v/>
      </c>
      <c r="O568" s="11">
        <f>IF(A568="","",IF(K568="",0,J568*INDEX(Products!$H$5:$H$204,K568)))</f>
        <v/>
      </c>
      <c r="P568" s="11">
        <f>IF(A568="","",J568-M568-N568-O568)</f>
        <v/>
      </c>
    </row>
    <row r="569">
      <c r="A569">
        <f>IFERROR(INDEX('Etsy Import'!$A:$CZ,569,Settings!$C$20)&amp;"","")</f>
        <v/>
      </c>
      <c r="B569">
        <f>IFERROR(INDEX('Etsy Import'!$A:$CZ,569,Settings!$C$21)&amp;"","")</f>
        <v/>
      </c>
      <c r="C569">
        <f>IFERROR(INDEX('Etsy Import'!$A:$CZ,569,Settings!$C$22)&amp;"","")</f>
        <v/>
      </c>
      <c r="D569">
        <f>IF(A569="","",IFERROR(VALUE(SUBSTITUTE(SUBSTITUTE(INDEX('Etsy Import'!$A:$CZ,569,Settings!$C$23)&amp;"","$",""),",","")),0))</f>
        <v/>
      </c>
      <c r="E569" s="11">
        <f>IF(A569="","",IFERROR(VALUE(SUBSTITUTE(SUBSTITUTE(INDEX('Etsy Import'!$A:$CZ,569,Settings!$C$24)&amp;"","$",""),",","")),0))</f>
        <v/>
      </c>
      <c r="F569" s="11">
        <f>IF(A569="","",D569*E569)</f>
        <v/>
      </c>
      <c r="G569">
        <f>IF(A569="","",IF(C569="",1,COUNTIF($C$2:$C$1501,C569)))</f>
        <v/>
      </c>
      <c r="H569" s="11">
        <f>IF(A569="","",IFERROR(VALUE(SUBSTITUTE(SUBSTITUTE(INDEX('Etsy Import'!$A:$CZ,569,Settings!$C$25)&amp;"","$",""),",","")),0)/IF(Settings!$B$27="Yes",G569,1))</f>
        <v/>
      </c>
      <c r="I569" s="11">
        <f>IF(A569="","",IFERROR(VALUE(SUBSTITUTE(SUBSTITUTE(INDEX('Etsy Import'!$A:$CZ,569,Settings!$C$26)&amp;"","$",""),",","")),0)/IF(Settings!$B$27="Yes",G569,1))</f>
        <v/>
      </c>
      <c r="J569" s="11">
        <f>IF(A569="","",F569+H569-I569)</f>
        <v/>
      </c>
      <c r="K569">
        <f>IF(A569="","",IFERROR(IF(B569="",NA(),MATCH(B569,Products!$B$5:$B$204,0)),IFERROR(MATCH(A569,Products!$A$5:$A$204,0),"")))</f>
        <v/>
      </c>
      <c r="L569">
        <f>IF(A569="","",IF(K569="","⚠ not in Products",INDEX(Products!$A$5:$A$204,K569)))</f>
        <v/>
      </c>
      <c r="M569" s="11">
        <f>IF(A569="","",J569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569+IFERROR(INDEX(Settings!$D$5:$D$9,MATCH("Etsy",Settings!$A$5:$A$9,0)),0)*D569)</f>
        <v/>
      </c>
      <c r="N569" s="11">
        <f>IF(A569="","",IF(K569="",0,D569*INDEX(Products!$I$5:$I$204,K569)))</f>
        <v/>
      </c>
      <c r="O569" s="11">
        <f>IF(A569="","",IF(K569="",0,J569*INDEX(Products!$H$5:$H$204,K569)))</f>
        <v/>
      </c>
      <c r="P569" s="11">
        <f>IF(A569="","",J569-M569-N569-O569)</f>
        <v/>
      </c>
    </row>
    <row r="570">
      <c r="A570">
        <f>IFERROR(INDEX('Etsy Import'!$A:$CZ,570,Settings!$C$20)&amp;"","")</f>
        <v/>
      </c>
      <c r="B570">
        <f>IFERROR(INDEX('Etsy Import'!$A:$CZ,570,Settings!$C$21)&amp;"","")</f>
        <v/>
      </c>
      <c r="C570">
        <f>IFERROR(INDEX('Etsy Import'!$A:$CZ,570,Settings!$C$22)&amp;"","")</f>
        <v/>
      </c>
      <c r="D570">
        <f>IF(A570="","",IFERROR(VALUE(SUBSTITUTE(SUBSTITUTE(INDEX('Etsy Import'!$A:$CZ,570,Settings!$C$23)&amp;"","$",""),",","")),0))</f>
        <v/>
      </c>
      <c r="E570" s="11">
        <f>IF(A570="","",IFERROR(VALUE(SUBSTITUTE(SUBSTITUTE(INDEX('Etsy Import'!$A:$CZ,570,Settings!$C$24)&amp;"","$",""),",","")),0))</f>
        <v/>
      </c>
      <c r="F570" s="11">
        <f>IF(A570="","",D570*E570)</f>
        <v/>
      </c>
      <c r="G570">
        <f>IF(A570="","",IF(C570="",1,COUNTIF($C$2:$C$1501,C570)))</f>
        <v/>
      </c>
      <c r="H570" s="11">
        <f>IF(A570="","",IFERROR(VALUE(SUBSTITUTE(SUBSTITUTE(INDEX('Etsy Import'!$A:$CZ,570,Settings!$C$25)&amp;"","$",""),",","")),0)/IF(Settings!$B$27="Yes",G570,1))</f>
        <v/>
      </c>
      <c r="I570" s="11">
        <f>IF(A570="","",IFERROR(VALUE(SUBSTITUTE(SUBSTITUTE(INDEX('Etsy Import'!$A:$CZ,570,Settings!$C$26)&amp;"","$",""),",","")),0)/IF(Settings!$B$27="Yes",G570,1))</f>
        <v/>
      </c>
      <c r="J570" s="11">
        <f>IF(A570="","",F570+H570-I570)</f>
        <v/>
      </c>
      <c r="K570">
        <f>IF(A570="","",IFERROR(IF(B570="",NA(),MATCH(B570,Products!$B$5:$B$204,0)),IFERROR(MATCH(A570,Products!$A$5:$A$204,0),"")))</f>
        <v/>
      </c>
      <c r="L570">
        <f>IF(A570="","",IF(K570="","⚠ not in Products",INDEX(Products!$A$5:$A$204,K570)))</f>
        <v/>
      </c>
      <c r="M570" s="11">
        <f>IF(A570="","",J570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570+IFERROR(INDEX(Settings!$D$5:$D$9,MATCH("Etsy",Settings!$A$5:$A$9,0)),0)*D570)</f>
        <v/>
      </c>
      <c r="N570" s="11">
        <f>IF(A570="","",IF(K570="",0,D570*INDEX(Products!$I$5:$I$204,K570)))</f>
        <v/>
      </c>
      <c r="O570" s="11">
        <f>IF(A570="","",IF(K570="",0,J570*INDEX(Products!$H$5:$H$204,K570)))</f>
        <v/>
      </c>
      <c r="P570" s="11">
        <f>IF(A570="","",J570-M570-N570-O570)</f>
        <v/>
      </c>
    </row>
    <row r="571">
      <c r="A571">
        <f>IFERROR(INDEX('Etsy Import'!$A:$CZ,571,Settings!$C$20)&amp;"","")</f>
        <v/>
      </c>
      <c r="B571">
        <f>IFERROR(INDEX('Etsy Import'!$A:$CZ,571,Settings!$C$21)&amp;"","")</f>
        <v/>
      </c>
      <c r="C571">
        <f>IFERROR(INDEX('Etsy Import'!$A:$CZ,571,Settings!$C$22)&amp;"","")</f>
        <v/>
      </c>
      <c r="D571">
        <f>IF(A571="","",IFERROR(VALUE(SUBSTITUTE(SUBSTITUTE(INDEX('Etsy Import'!$A:$CZ,571,Settings!$C$23)&amp;"","$",""),",","")),0))</f>
        <v/>
      </c>
      <c r="E571" s="11">
        <f>IF(A571="","",IFERROR(VALUE(SUBSTITUTE(SUBSTITUTE(INDEX('Etsy Import'!$A:$CZ,571,Settings!$C$24)&amp;"","$",""),",","")),0))</f>
        <v/>
      </c>
      <c r="F571" s="11">
        <f>IF(A571="","",D571*E571)</f>
        <v/>
      </c>
      <c r="G571">
        <f>IF(A571="","",IF(C571="",1,COUNTIF($C$2:$C$1501,C571)))</f>
        <v/>
      </c>
      <c r="H571" s="11">
        <f>IF(A571="","",IFERROR(VALUE(SUBSTITUTE(SUBSTITUTE(INDEX('Etsy Import'!$A:$CZ,571,Settings!$C$25)&amp;"","$",""),",","")),0)/IF(Settings!$B$27="Yes",G571,1))</f>
        <v/>
      </c>
      <c r="I571" s="11">
        <f>IF(A571="","",IFERROR(VALUE(SUBSTITUTE(SUBSTITUTE(INDEX('Etsy Import'!$A:$CZ,571,Settings!$C$26)&amp;"","$",""),",","")),0)/IF(Settings!$B$27="Yes",G571,1))</f>
        <v/>
      </c>
      <c r="J571" s="11">
        <f>IF(A571="","",F571+H571-I571)</f>
        <v/>
      </c>
      <c r="K571">
        <f>IF(A571="","",IFERROR(IF(B571="",NA(),MATCH(B571,Products!$B$5:$B$204,0)),IFERROR(MATCH(A571,Products!$A$5:$A$204,0),"")))</f>
        <v/>
      </c>
      <c r="L571">
        <f>IF(A571="","",IF(K571="","⚠ not in Products",INDEX(Products!$A$5:$A$204,K571)))</f>
        <v/>
      </c>
      <c r="M571" s="11">
        <f>IF(A571="","",J571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571+IFERROR(INDEX(Settings!$D$5:$D$9,MATCH("Etsy",Settings!$A$5:$A$9,0)),0)*D571)</f>
        <v/>
      </c>
      <c r="N571" s="11">
        <f>IF(A571="","",IF(K571="",0,D571*INDEX(Products!$I$5:$I$204,K571)))</f>
        <v/>
      </c>
      <c r="O571" s="11">
        <f>IF(A571="","",IF(K571="",0,J571*INDEX(Products!$H$5:$H$204,K571)))</f>
        <v/>
      </c>
      <c r="P571" s="11">
        <f>IF(A571="","",J571-M571-N571-O571)</f>
        <v/>
      </c>
    </row>
    <row r="572">
      <c r="A572">
        <f>IFERROR(INDEX('Etsy Import'!$A:$CZ,572,Settings!$C$20)&amp;"","")</f>
        <v/>
      </c>
      <c r="B572">
        <f>IFERROR(INDEX('Etsy Import'!$A:$CZ,572,Settings!$C$21)&amp;"","")</f>
        <v/>
      </c>
      <c r="C572">
        <f>IFERROR(INDEX('Etsy Import'!$A:$CZ,572,Settings!$C$22)&amp;"","")</f>
        <v/>
      </c>
      <c r="D572">
        <f>IF(A572="","",IFERROR(VALUE(SUBSTITUTE(SUBSTITUTE(INDEX('Etsy Import'!$A:$CZ,572,Settings!$C$23)&amp;"","$",""),",","")),0))</f>
        <v/>
      </c>
      <c r="E572" s="11">
        <f>IF(A572="","",IFERROR(VALUE(SUBSTITUTE(SUBSTITUTE(INDEX('Etsy Import'!$A:$CZ,572,Settings!$C$24)&amp;"","$",""),",","")),0))</f>
        <v/>
      </c>
      <c r="F572" s="11">
        <f>IF(A572="","",D572*E572)</f>
        <v/>
      </c>
      <c r="G572">
        <f>IF(A572="","",IF(C572="",1,COUNTIF($C$2:$C$1501,C572)))</f>
        <v/>
      </c>
      <c r="H572" s="11">
        <f>IF(A572="","",IFERROR(VALUE(SUBSTITUTE(SUBSTITUTE(INDEX('Etsy Import'!$A:$CZ,572,Settings!$C$25)&amp;"","$",""),",","")),0)/IF(Settings!$B$27="Yes",G572,1))</f>
        <v/>
      </c>
      <c r="I572" s="11">
        <f>IF(A572="","",IFERROR(VALUE(SUBSTITUTE(SUBSTITUTE(INDEX('Etsy Import'!$A:$CZ,572,Settings!$C$26)&amp;"","$",""),",","")),0)/IF(Settings!$B$27="Yes",G572,1))</f>
        <v/>
      </c>
      <c r="J572" s="11">
        <f>IF(A572="","",F572+H572-I572)</f>
        <v/>
      </c>
      <c r="K572">
        <f>IF(A572="","",IFERROR(IF(B572="",NA(),MATCH(B572,Products!$B$5:$B$204,0)),IFERROR(MATCH(A572,Products!$A$5:$A$204,0),"")))</f>
        <v/>
      </c>
      <c r="L572">
        <f>IF(A572="","",IF(K572="","⚠ not in Products",INDEX(Products!$A$5:$A$204,K572)))</f>
        <v/>
      </c>
      <c r="M572" s="11">
        <f>IF(A572="","",J572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572+IFERROR(INDEX(Settings!$D$5:$D$9,MATCH("Etsy",Settings!$A$5:$A$9,0)),0)*D572)</f>
        <v/>
      </c>
      <c r="N572" s="11">
        <f>IF(A572="","",IF(K572="",0,D572*INDEX(Products!$I$5:$I$204,K572)))</f>
        <v/>
      </c>
      <c r="O572" s="11">
        <f>IF(A572="","",IF(K572="",0,J572*INDEX(Products!$H$5:$H$204,K572)))</f>
        <v/>
      </c>
      <c r="P572" s="11">
        <f>IF(A572="","",J572-M572-N572-O572)</f>
        <v/>
      </c>
    </row>
    <row r="573">
      <c r="A573">
        <f>IFERROR(INDEX('Etsy Import'!$A:$CZ,573,Settings!$C$20)&amp;"","")</f>
        <v/>
      </c>
      <c r="B573">
        <f>IFERROR(INDEX('Etsy Import'!$A:$CZ,573,Settings!$C$21)&amp;"","")</f>
        <v/>
      </c>
      <c r="C573">
        <f>IFERROR(INDEX('Etsy Import'!$A:$CZ,573,Settings!$C$22)&amp;"","")</f>
        <v/>
      </c>
      <c r="D573">
        <f>IF(A573="","",IFERROR(VALUE(SUBSTITUTE(SUBSTITUTE(INDEX('Etsy Import'!$A:$CZ,573,Settings!$C$23)&amp;"","$",""),",","")),0))</f>
        <v/>
      </c>
      <c r="E573" s="11">
        <f>IF(A573="","",IFERROR(VALUE(SUBSTITUTE(SUBSTITUTE(INDEX('Etsy Import'!$A:$CZ,573,Settings!$C$24)&amp;"","$",""),",","")),0))</f>
        <v/>
      </c>
      <c r="F573" s="11">
        <f>IF(A573="","",D573*E573)</f>
        <v/>
      </c>
      <c r="G573">
        <f>IF(A573="","",IF(C573="",1,COUNTIF($C$2:$C$1501,C573)))</f>
        <v/>
      </c>
      <c r="H573" s="11">
        <f>IF(A573="","",IFERROR(VALUE(SUBSTITUTE(SUBSTITUTE(INDEX('Etsy Import'!$A:$CZ,573,Settings!$C$25)&amp;"","$",""),",","")),0)/IF(Settings!$B$27="Yes",G573,1))</f>
        <v/>
      </c>
      <c r="I573" s="11">
        <f>IF(A573="","",IFERROR(VALUE(SUBSTITUTE(SUBSTITUTE(INDEX('Etsy Import'!$A:$CZ,573,Settings!$C$26)&amp;"","$",""),",","")),0)/IF(Settings!$B$27="Yes",G573,1))</f>
        <v/>
      </c>
      <c r="J573" s="11">
        <f>IF(A573="","",F573+H573-I573)</f>
        <v/>
      </c>
      <c r="K573">
        <f>IF(A573="","",IFERROR(IF(B573="",NA(),MATCH(B573,Products!$B$5:$B$204,0)),IFERROR(MATCH(A573,Products!$A$5:$A$204,0),"")))</f>
        <v/>
      </c>
      <c r="L573">
        <f>IF(A573="","",IF(K573="","⚠ not in Products",INDEX(Products!$A$5:$A$204,K573)))</f>
        <v/>
      </c>
      <c r="M573" s="11">
        <f>IF(A573="","",J573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573+IFERROR(INDEX(Settings!$D$5:$D$9,MATCH("Etsy",Settings!$A$5:$A$9,0)),0)*D573)</f>
        <v/>
      </c>
      <c r="N573" s="11">
        <f>IF(A573="","",IF(K573="",0,D573*INDEX(Products!$I$5:$I$204,K573)))</f>
        <v/>
      </c>
      <c r="O573" s="11">
        <f>IF(A573="","",IF(K573="",0,J573*INDEX(Products!$H$5:$H$204,K573)))</f>
        <v/>
      </c>
      <c r="P573" s="11">
        <f>IF(A573="","",J573-M573-N573-O573)</f>
        <v/>
      </c>
    </row>
    <row r="574">
      <c r="A574">
        <f>IFERROR(INDEX('Etsy Import'!$A:$CZ,574,Settings!$C$20)&amp;"","")</f>
        <v/>
      </c>
      <c r="B574">
        <f>IFERROR(INDEX('Etsy Import'!$A:$CZ,574,Settings!$C$21)&amp;"","")</f>
        <v/>
      </c>
      <c r="C574">
        <f>IFERROR(INDEX('Etsy Import'!$A:$CZ,574,Settings!$C$22)&amp;"","")</f>
        <v/>
      </c>
      <c r="D574">
        <f>IF(A574="","",IFERROR(VALUE(SUBSTITUTE(SUBSTITUTE(INDEX('Etsy Import'!$A:$CZ,574,Settings!$C$23)&amp;"","$",""),",","")),0))</f>
        <v/>
      </c>
      <c r="E574" s="11">
        <f>IF(A574="","",IFERROR(VALUE(SUBSTITUTE(SUBSTITUTE(INDEX('Etsy Import'!$A:$CZ,574,Settings!$C$24)&amp;"","$",""),",","")),0))</f>
        <v/>
      </c>
      <c r="F574" s="11">
        <f>IF(A574="","",D574*E574)</f>
        <v/>
      </c>
      <c r="G574">
        <f>IF(A574="","",IF(C574="",1,COUNTIF($C$2:$C$1501,C574)))</f>
        <v/>
      </c>
      <c r="H574" s="11">
        <f>IF(A574="","",IFERROR(VALUE(SUBSTITUTE(SUBSTITUTE(INDEX('Etsy Import'!$A:$CZ,574,Settings!$C$25)&amp;"","$",""),",","")),0)/IF(Settings!$B$27="Yes",G574,1))</f>
        <v/>
      </c>
      <c r="I574" s="11">
        <f>IF(A574="","",IFERROR(VALUE(SUBSTITUTE(SUBSTITUTE(INDEX('Etsy Import'!$A:$CZ,574,Settings!$C$26)&amp;"","$",""),",","")),0)/IF(Settings!$B$27="Yes",G574,1))</f>
        <v/>
      </c>
      <c r="J574" s="11">
        <f>IF(A574="","",F574+H574-I574)</f>
        <v/>
      </c>
      <c r="K574">
        <f>IF(A574="","",IFERROR(IF(B574="",NA(),MATCH(B574,Products!$B$5:$B$204,0)),IFERROR(MATCH(A574,Products!$A$5:$A$204,0),"")))</f>
        <v/>
      </c>
      <c r="L574">
        <f>IF(A574="","",IF(K574="","⚠ not in Products",INDEX(Products!$A$5:$A$204,K574)))</f>
        <v/>
      </c>
      <c r="M574" s="11">
        <f>IF(A574="","",J574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574+IFERROR(INDEX(Settings!$D$5:$D$9,MATCH("Etsy",Settings!$A$5:$A$9,0)),0)*D574)</f>
        <v/>
      </c>
      <c r="N574" s="11">
        <f>IF(A574="","",IF(K574="",0,D574*INDEX(Products!$I$5:$I$204,K574)))</f>
        <v/>
      </c>
      <c r="O574" s="11">
        <f>IF(A574="","",IF(K574="",0,J574*INDEX(Products!$H$5:$H$204,K574)))</f>
        <v/>
      </c>
      <c r="P574" s="11">
        <f>IF(A574="","",J574-M574-N574-O574)</f>
        <v/>
      </c>
    </row>
    <row r="575">
      <c r="A575">
        <f>IFERROR(INDEX('Etsy Import'!$A:$CZ,575,Settings!$C$20)&amp;"","")</f>
        <v/>
      </c>
      <c r="B575">
        <f>IFERROR(INDEX('Etsy Import'!$A:$CZ,575,Settings!$C$21)&amp;"","")</f>
        <v/>
      </c>
      <c r="C575">
        <f>IFERROR(INDEX('Etsy Import'!$A:$CZ,575,Settings!$C$22)&amp;"","")</f>
        <v/>
      </c>
      <c r="D575">
        <f>IF(A575="","",IFERROR(VALUE(SUBSTITUTE(SUBSTITUTE(INDEX('Etsy Import'!$A:$CZ,575,Settings!$C$23)&amp;"","$",""),",","")),0))</f>
        <v/>
      </c>
      <c r="E575" s="11">
        <f>IF(A575="","",IFERROR(VALUE(SUBSTITUTE(SUBSTITUTE(INDEX('Etsy Import'!$A:$CZ,575,Settings!$C$24)&amp;"","$",""),",","")),0))</f>
        <v/>
      </c>
      <c r="F575" s="11">
        <f>IF(A575="","",D575*E575)</f>
        <v/>
      </c>
      <c r="G575">
        <f>IF(A575="","",IF(C575="",1,COUNTIF($C$2:$C$1501,C575)))</f>
        <v/>
      </c>
      <c r="H575" s="11">
        <f>IF(A575="","",IFERROR(VALUE(SUBSTITUTE(SUBSTITUTE(INDEX('Etsy Import'!$A:$CZ,575,Settings!$C$25)&amp;"","$",""),",","")),0)/IF(Settings!$B$27="Yes",G575,1))</f>
        <v/>
      </c>
      <c r="I575" s="11">
        <f>IF(A575="","",IFERROR(VALUE(SUBSTITUTE(SUBSTITUTE(INDEX('Etsy Import'!$A:$CZ,575,Settings!$C$26)&amp;"","$",""),",","")),0)/IF(Settings!$B$27="Yes",G575,1))</f>
        <v/>
      </c>
      <c r="J575" s="11">
        <f>IF(A575="","",F575+H575-I575)</f>
        <v/>
      </c>
      <c r="K575">
        <f>IF(A575="","",IFERROR(IF(B575="",NA(),MATCH(B575,Products!$B$5:$B$204,0)),IFERROR(MATCH(A575,Products!$A$5:$A$204,0),"")))</f>
        <v/>
      </c>
      <c r="L575">
        <f>IF(A575="","",IF(K575="","⚠ not in Products",INDEX(Products!$A$5:$A$204,K575)))</f>
        <v/>
      </c>
      <c r="M575" s="11">
        <f>IF(A575="","",J575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575+IFERROR(INDEX(Settings!$D$5:$D$9,MATCH("Etsy",Settings!$A$5:$A$9,0)),0)*D575)</f>
        <v/>
      </c>
      <c r="N575" s="11">
        <f>IF(A575="","",IF(K575="",0,D575*INDEX(Products!$I$5:$I$204,K575)))</f>
        <v/>
      </c>
      <c r="O575" s="11">
        <f>IF(A575="","",IF(K575="",0,J575*INDEX(Products!$H$5:$H$204,K575)))</f>
        <v/>
      </c>
      <c r="P575" s="11">
        <f>IF(A575="","",J575-M575-N575-O575)</f>
        <v/>
      </c>
    </row>
    <row r="576">
      <c r="A576">
        <f>IFERROR(INDEX('Etsy Import'!$A:$CZ,576,Settings!$C$20)&amp;"","")</f>
        <v/>
      </c>
      <c r="B576">
        <f>IFERROR(INDEX('Etsy Import'!$A:$CZ,576,Settings!$C$21)&amp;"","")</f>
        <v/>
      </c>
      <c r="C576">
        <f>IFERROR(INDEX('Etsy Import'!$A:$CZ,576,Settings!$C$22)&amp;"","")</f>
        <v/>
      </c>
      <c r="D576">
        <f>IF(A576="","",IFERROR(VALUE(SUBSTITUTE(SUBSTITUTE(INDEX('Etsy Import'!$A:$CZ,576,Settings!$C$23)&amp;"","$",""),",","")),0))</f>
        <v/>
      </c>
      <c r="E576" s="11">
        <f>IF(A576="","",IFERROR(VALUE(SUBSTITUTE(SUBSTITUTE(INDEX('Etsy Import'!$A:$CZ,576,Settings!$C$24)&amp;"","$",""),",","")),0))</f>
        <v/>
      </c>
      <c r="F576" s="11">
        <f>IF(A576="","",D576*E576)</f>
        <v/>
      </c>
      <c r="G576">
        <f>IF(A576="","",IF(C576="",1,COUNTIF($C$2:$C$1501,C576)))</f>
        <v/>
      </c>
      <c r="H576" s="11">
        <f>IF(A576="","",IFERROR(VALUE(SUBSTITUTE(SUBSTITUTE(INDEX('Etsy Import'!$A:$CZ,576,Settings!$C$25)&amp;"","$",""),",","")),0)/IF(Settings!$B$27="Yes",G576,1))</f>
        <v/>
      </c>
      <c r="I576" s="11">
        <f>IF(A576="","",IFERROR(VALUE(SUBSTITUTE(SUBSTITUTE(INDEX('Etsy Import'!$A:$CZ,576,Settings!$C$26)&amp;"","$",""),",","")),0)/IF(Settings!$B$27="Yes",G576,1))</f>
        <v/>
      </c>
      <c r="J576" s="11">
        <f>IF(A576="","",F576+H576-I576)</f>
        <v/>
      </c>
      <c r="K576">
        <f>IF(A576="","",IFERROR(IF(B576="",NA(),MATCH(B576,Products!$B$5:$B$204,0)),IFERROR(MATCH(A576,Products!$A$5:$A$204,0),"")))</f>
        <v/>
      </c>
      <c r="L576">
        <f>IF(A576="","",IF(K576="","⚠ not in Products",INDEX(Products!$A$5:$A$204,K576)))</f>
        <v/>
      </c>
      <c r="M576" s="11">
        <f>IF(A576="","",J576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576+IFERROR(INDEX(Settings!$D$5:$D$9,MATCH("Etsy",Settings!$A$5:$A$9,0)),0)*D576)</f>
        <v/>
      </c>
      <c r="N576" s="11">
        <f>IF(A576="","",IF(K576="",0,D576*INDEX(Products!$I$5:$I$204,K576)))</f>
        <v/>
      </c>
      <c r="O576" s="11">
        <f>IF(A576="","",IF(K576="",0,J576*INDEX(Products!$H$5:$H$204,K576)))</f>
        <v/>
      </c>
      <c r="P576" s="11">
        <f>IF(A576="","",J576-M576-N576-O576)</f>
        <v/>
      </c>
    </row>
    <row r="577">
      <c r="A577">
        <f>IFERROR(INDEX('Etsy Import'!$A:$CZ,577,Settings!$C$20)&amp;"","")</f>
        <v/>
      </c>
      <c r="B577">
        <f>IFERROR(INDEX('Etsy Import'!$A:$CZ,577,Settings!$C$21)&amp;"","")</f>
        <v/>
      </c>
      <c r="C577">
        <f>IFERROR(INDEX('Etsy Import'!$A:$CZ,577,Settings!$C$22)&amp;"","")</f>
        <v/>
      </c>
      <c r="D577">
        <f>IF(A577="","",IFERROR(VALUE(SUBSTITUTE(SUBSTITUTE(INDEX('Etsy Import'!$A:$CZ,577,Settings!$C$23)&amp;"","$",""),",","")),0))</f>
        <v/>
      </c>
      <c r="E577" s="11">
        <f>IF(A577="","",IFERROR(VALUE(SUBSTITUTE(SUBSTITUTE(INDEX('Etsy Import'!$A:$CZ,577,Settings!$C$24)&amp;"","$",""),",","")),0))</f>
        <v/>
      </c>
      <c r="F577" s="11">
        <f>IF(A577="","",D577*E577)</f>
        <v/>
      </c>
      <c r="G577">
        <f>IF(A577="","",IF(C577="",1,COUNTIF($C$2:$C$1501,C577)))</f>
        <v/>
      </c>
      <c r="H577" s="11">
        <f>IF(A577="","",IFERROR(VALUE(SUBSTITUTE(SUBSTITUTE(INDEX('Etsy Import'!$A:$CZ,577,Settings!$C$25)&amp;"","$",""),",","")),0)/IF(Settings!$B$27="Yes",G577,1))</f>
        <v/>
      </c>
      <c r="I577" s="11">
        <f>IF(A577="","",IFERROR(VALUE(SUBSTITUTE(SUBSTITUTE(INDEX('Etsy Import'!$A:$CZ,577,Settings!$C$26)&amp;"","$",""),",","")),0)/IF(Settings!$B$27="Yes",G577,1))</f>
        <v/>
      </c>
      <c r="J577" s="11">
        <f>IF(A577="","",F577+H577-I577)</f>
        <v/>
      </c>
      <c r="K577">
        <f>IF(A577="","",IFERROR(IF(B577="",NA(),MATCH(B577,Products!$B$5:$B$204,0)),IFERROR(MATCH(A577,Products!$A$5:$A$204,0),"")))</f>
        <v/>
      </c>
      <c r="L577">
        <f>IF(A577="","",IF(K577="","⚠ not in Products",INDEX(Products!$A$5:$A$204,K577)))</f>
        <v/>
      </c>
      <c r="M577" s="11">
        <f>IF(A577="","",J577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577+IFERROR(INDEX(Settings!$D$5:$D$9,MATCH("Etsy",Settings!$A$5:$A$9,0)),0)*D577)</f>
        <v/>
      </c>
      <c r="N577" s="11">
        <f>IF(A577="","",IF(K577="",0,D577*INDEX(Products!$I$5:$I$204,K577)))</f>
        <v/>
      </c>
      <c r="O577" s="11">
        <f>IF(A577="","",IF(K577="",0,J577*INDEX(Products!$H$5:$H$204,K577)))</f>
        <v/>
      </c>
      <c r="P577" s="11">
        <f>IF(A577="","",J577-M577-N577-O577)</f>
        <v/>
      </c>
    </row>
    <row r="578">
      <c r="A578">
        <f>IFERROR(INDEX('Etsy Import'!$A:$CZ,578,Settings!$C$20)&amp;"","")</f>
        <v/>
      </c>
      <c r="B578">
        <f>IFERROR(INDEX('Etsy Import'!$A:$CZ,578,Settings!$C$21)&amp;"","")</f>
        <v/>
      </c>
      <c r="C578">
        <f>IFERROR(INDEX('Etsy Import'!$A:$CZ,578,Settings!$C$22)&amp;"","")</f>
        <v/>
      </c>
      <c r="D578">
        <f>IF(A578="","",IFERROR(VALUE(SUBSTITUTE(SUBSTITUTE(INDEX('Etsy Import'!$A:$CZ,578,Settings!$C$23)&amp;"","$",""),",","")),0))</f>
        <v/>
      </c>
      <c r="E578" s="11">
        <f>IF(A578="","",IFERROR(VALUE(SUBSTITUTE(SUBSTITUTE(INDEX('Etsy Import'!$A:$CZ,578,Settings!$C$24)&amp;"","$",""),",","")),0))</f>
        <v/>
      </c>
      <c r="F578" s="11">
        <f>IF(A578="","",D578*E578)</f>
        <v/>
      </c>
      <c r="G578">
        <f>IF(A578="","",IF(C578="",1,COUNTIF($C$2:$C$1501,C578)))</f>
        <v/>
      </c>
      <c r="H578" s="11">
        <f>IF(A578="","",IFERROR(VALUE(SUBSTITUTE(SUBSTITUTE(INDEX('Etsy Import'!$A:$CZ,578,Settings!$C$25)&amp;"","$",""),",","")),0)/IF(Settings!$B$27="Yes",G578,1))</f>
        <v/>
      </c>
      <c r="I578" s="11">
        <f>IF(A578="","",IFERROR(VALUE(SUBSTITUTE(SUBSTITUTE(INDEX('Etsy Import'!$A:$CZ,578,Settings!$C$26)&amp;"","$",""),",","")),0)/IF(Settings!$B$27="Yes",G578,1))</f>
        <v/>
      </c>
      <c r="J578" s="11">
        <f>IF(A578="","",F578+H578-I578)</f>
        <v/>
      </c>
      <c r="K578">
        <f>IF(A578="","",IFERROR(IF(B578="",NA(),MATCH(B578,Products!$B$5:$B$204,0)),IFERROR(MATCH(A578,Products!$A$5:$A$204,0),"")))</f>
        <v/>
      </c>
      <c r="L578">
        <f>IF(A578="","",IF(K578="","⚠ not in Products",INDEX(Products!$A$5:$A$204,K578)))</f>
        <v/>
      </c>
      <c r="M578" s="11">
        <f>IF(A578="","",J578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578+IFERROR(INDEX(Settings!$D$5:$D$9,MATCH("Etsy",Settings!$A$5:$A$9,0)),0)*D578)</f>
        <v/>
      </c>
      <c r="N578" s="11">
        <f>IF(A578="","",IF(K578="",0,D578*INDEX(Products!$I$5:$I$204,K578)))</f>
        <v/>
      </c>
      <c r="O578" s="11">
        <f>IF(A578="","",IF(K578="",0,J578*INDEX(Products!$H$5:$H$204,K578)))</f>
        <v/>
      </c>
      <c r="P578" s="11">
        <f>IF(A578="","",J578-M578-N578-O578)</f>
        <v/>
      </c>
    </row>
    <row r="579">
      <c r="A579">
        <f>IFERROR(INDEX('Etsy Import'!$A:$CZ,579,Settings!$C$20)&amp;"","")</f>
        <v/>
      </c>
      <c r="B579">
        <f>IFERROR(INDEX('Etsy Import'!$A:$CZ,579,Settings!$C$21)&amp;"","")</f>
        <v/>
      </c>
      <c r="C579">
        <f>IFERROR(INDEX('Etsy Import'!$A:$CZ,579,Settings!$C$22)&amp;"","")</f>
        <v/>
      </c>
      <c r="D579">
        <f>IF(A579="","",IFERROR(VALUE(SUBSTITUTE(SUBSTITUTE(INDEX('Etsy Import'!$A:$CZ,579,Settings!$C$23)&amp;"","$",""),",","")),0))</f>
        <v/>
      </c>
      <c r="E579" s="11">
        <f>IF(A579="","",IFERROR(VALUE(SUBSTITUTE(SUBSTITUTE(INDEX('Etsy Import'!$A:$CZ,579,Settings!$C$24)&amp;"","$",""),",","")),0))</f>
        <v/>
      </c>
      <c r="F579" s="11">
        <f>IF(A579="","",D579*E579)</f>
        <v/>
      </c>
      <c r="G579">
        <f>IF(A579="","",IF(C579="",1,COUNTIF($C$2:$C$1501,C579)))</f>
        <v/>
      </c>
      <c r="H579" s="11">
        <f>IF(A579="","",IFERROR(VALUE(SUBSTITUTE(SUBSTITUTE(INDEX('Etsy Import'!$A:$CZ,579,Settings!$C$25)&amp;"","$",""),",","")),0)/IF(Settings!$B$27="Yes",G579,1))</f>
        <v/>
      </c>
      <c r="I579" s="11">
        <f>IF(A579="","",IFERROR(VALUE(SUBSTITUTE(SUBSTITUTE(INDEX('Etsy Import'!$A:$CZ,579,Settings!$C$26)&amp;"","$",""),",","")),0)/IF(Settings!$B$27="Yes",G579,1))</f>
        <v/>
      </c>
      <c r="J579" s="11">
        <f>IF(A579="","",F579+H579-I579)</f>
        <v/>
      </c>
      <c r="K579">
        <f>IF(A579="","",IFERROR(IF(B579="",NA(),MATCH(B579,Products!$B$5:$B$204,0)),IFERROR(MATCH(A579,Products!$A$5:$A$204,0),"")))</f>
        <v/>
      </c>
      <c r="L579">
        <f>IF(A579="","",IF(K579="","⚠ not in Products",INDEX(Products!$A$5:$A$204,K579)))</f>
        <v/>
      </c>
      <c r="M579" s="11">
        <f>IF(A579="","",J579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579+IFERROR(INDEX(Settings!$D$5:$D$9,MATCH("Etsy",Settings!$A$5:$A$9,0)),0)*D579)</f>
        <v/>
      </c>
      <c r="N579" s="11">
        <f>IF(A579="","",IF(K579="",0,D579*INDEX(Products!$I$5:$I$204,K579)))</f>
        <v/>
      </c>
      <c r="O579" s="11">
        <f>IF(A579="","",IF(K579="",0,J579*INDEX(Products!$H$5:$H$204,K579)))</f>
        <v/>
      </c>
      <c r="P579" s="11">
        <f>IF(A579="","",J579-M579-N579-O579)</f>
        <v/>
      </c>
    </row>
    <row r="580">
      <c r="A580">
        <f>IFERROR(INDEX('Etsy Import'!$A:$CZ,580,Settings!$C$20)&amp;"","")</f>
        <v/>
      </c>
      <c r="B580">
        <f>IFERROR(INDEX('Etsy Import'!$A:$CZ,580,Settings!$C$21)&amp;"","")</f>
        <v/>
      </c>
      <c r="C580">
        <f>IFERROR(INDEX('Etsy Import'!$A:$CZ,580,Settings!$C$22)&amp;"","")</f>
        <v/>
      </c>
      <c r="D580">
        <f>IF(A580="","",IFERROR(VALUE(SUBSTITUTE(SUBSTITUTE(INDEX('Etsy Import'!$A:$CZ,580,Settings!$C$23)&amp;"","$",""),",","")),0))</f>
        <v/>
      </c>
      <c r="E580" s="11">
        <f>IF(A580="","",IFERROR(VALUE(SUBSTITUTE(SUBSTITUTE(INDEX('Etsy Import'!$A:$CZ,580,Settings!$C$24)&amp;"","$",""),",","")),0))</f>
        <v/>
      </c>
      <c r="F580" s="11">
        <f>IF(A580="","",D580*E580)</f>
        <v/>
      </c>
      <c r="G580">
        <f>IF(A580="","",IF(C580="",1,COUNTIF($C$2:$C$1501,C580)))</f>
        <v/>
      </c>
      <c r="H580" s="11">
        <f>IF(A580="","",IFERROR(VALUE(SUBSTITUTE(SUBSTITUTE(INDEX('Etsy Import'!$A:$CZ,580,Settings!$C$25)&amp;"","$",""),",","")),0)/IF(Settings!$B$27="Yes",G580,1))</f>
        <v/>
      </c>
      <c r="I580" s="11">
        <f>IF(A580="","",IFERROR(VALUE(SUBSTITUTE(SUBSTITUTE(INDEX('Etsy Import'!$A:$CZ,580,Settings!$C$26)&amp;"","$",""),",","")),0)/IF(Settings!$B$27="Yes",G580,1))</f>
        <v/>
      </c>
      <c r="J580" s="11">
        <f>IF(A580="","",F580+H580-I580)</f>
        <v/>
      </c>
      <c r="K580">
        <f>IF(A580="","",IFERROR(IF(B580="",NA(),MATCH(B580,Products!$B$5:$B$204,0)),IFERROR(MATCH(A580,Products!$A$5:$A$204,0),"")))</f>
        <v/>
      </c>
      <c r="L580">
        <f>IF(A580="","",IF(K580="","⚠ not in Products",INDEX(Products!$A$5:$A$204,K580)))</f>
        <v/>
      </c>
      <c r="M580" s="11">
        <f>IF(A580="","",J580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580+IFERROR(INDEX(Settings!$D$5:$D$9,MATCH("Etsy",Settings!$A$5:$A$9,0)),0)*D580)</f>
        <v/>
      </c>
      <c r="N580" s="11">
        <f>IF(A580="","",IF(K580="",0,D580*INDEX(Products!$I$5:$I$204,K580)))</f>
        <v/>
      </c>
      <c r="O580" s="11">
        <f>IF(A580="","",IF(K580="",0,J580*INDEX(Products!$H$5:$H$204,K580)))</f>
        <v/>
      </c>
      <c r="P580" s="11">
        <f>IF(A580="","",J580-M580-N580-O580)</f>
        <v/>
      </c>
    </row>
    <row r="581">
      <c r="A581">
        <f>IFERROR(INDEX('Etsy Import'!$A:$CZ,581,Settings!$C$20)&amp;"","")</f>
        <v/>
      </c>
      <c r="B581">
        <f>IFERROR(INDEX('Etsy Import'!$A:$CZ,581,Settings!$C$21)&amp;"","")</f>
        <v/>
      </c>
      <c r="C581">
        <f>IFERROR(INDEX('Etsy Import'!$A:$CZ,581,Settings!$C$22)&amp;"","")</f>
        <v/>
      </c>
      <c r="D581">
        <f>IF(A581="","",IFERROR(VALUE(SUBSTITUTE(SUBSTITUTE(INDEX('Etsy Import'!$A:$CZ,581,Settings!$C$23)&amp;"","$",""),",","")),0))</f>
        <v/>
      </c>
      <c r="E581" s="11">
        <f>IF(A581="","",IFERROR(VALUE(SUBSTITUTE(SUBSTITUTE(INDEX('Etsy Import'!$A:$CZ,581,Settings!$C$24)&amp;"","$",""),",","")),0))</f>
        <v/>
      </c>
      <c r="F581" s="11">
        <f>IF(A581="","",D581*E581)</f>
        <v/>
      </c>
      <c r="G581">
        <f>IF(A581="","",IF(C581="",1,COUNTIF($C$2:$C$1501,C581)))</f>
        <v/>
      </c>
      <c r="H581" s="11">
        <f>IF(A581="","",IFERROR(VALUE(SUBSTITUTE(SUBSTITUTE(INDEX('Etsy Import'!$A:$CZ,581,Settings!$C$25)&amp;"","$",""),",","")),0)/IF(Settings!$B$27="Yes",G581,1))</f>
        <v/>
      </c>
      <c r="I581" s="11">
        <f>IF(A581="","",IFERROR(VALUE(SUBSTITUTE(SUBSTITUTE(INDEX('Etsy Import'!$A:$CZ,581,Settings!$C$26)&amp;"","$",""),",","")),0)/IF(Settings!$B$27="Yes",G581,1))</f>
        <v/>
      </c>
      <c r="J581" s="11">
        <f>IF(A581="","",F581+H581-I581)</f>
        <v/>
      </c>
      <c r="K581">
        <f>IF(A581="","",IFERROR(IF(B581="",NA(),MATCH(B581,Products!$B$5:$B$204,0)),IFERROR(MATCH(A581,Products!$A$5:$A$204,0),"")))</f>
        <v/>
      </c>
      <c r="L581">
        <f>IF(A581="","",IF(K581="","⚠ not in Products",INDEX(Products!$A$5:$A$204,K581)))</f>
        <v/>
      </c>
      <c r="M581" s="11">
        <f>IF(A581="","",J581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581+IFERROR(INDEX(Settings!$D$5:$D$9,MATCH("Etsy",Settings!$A$5:$A$9,0)),0)*D581)</f>
        <v/>
      </c>
      <c r="N581" s="11">
        <f>IF(A581="","",IF(K581="",0,D581*INDEX(Products!$I$5:$I$204,K581)))</f>
        <v/>
      </c>
      <c r="O581" s="11">
        <f>IF(A581="","",IF(K581="",0,J581*INDEX(Products!$H$5:$H$204,K581)))</f>
        <v/>
      </c>
      <c r="P581" s="11">
        <f>IF(A581="","",J581-M581-N581-O581)</f>
        <v/>
      </c>
    </row>
    <row r="582">
      <c r="A582">
        <f>IFERROR(INDEX('Etsy Import'!$A:$CZ,582,Settings!$C$20)&amp;"","")</f>
        <v/>
      </c>
      <c r="B582">
        <f>IFERROR(INDEX('Etsy Import'!$A:$CZ,582,Settings!$C$21)&amp;"","")</f>
        <v/>
      </c>
      <c r="C582">
        <f>IFERROR(INDEX('Etsy Import'!$A:$CZ,582,Settings!$C$22)&amp;"","")</f>
        <v/>
      </c>
      <c r="D582">
        <f>IF(A582="","",IFERROR(VALUE(SUBSTITUTE(SUBSTITUTE(INDEX('Etsy Import'!$A:$CZ,582,Settings!$C$23)&amp;"","$",""),",","")),0))</f>
        <v/>
      </c>
      <c r="E582" s="11">
        <f>IF(A582="","",IFERROR(VALUE(SUBSTITUTE(SUBSTITUTE(INDEX('Etsy Import'!$A:$CZ,582,Settings!$C$24)&amp;"","$",""),",","")),0))</f>
        <v/>
      </c>
      <c r="F582" s="11">
        <f>IF(A582="","",D582*E582)</f>
        <v/>
      </c>
      <c r="G582">
        <f>IF(A582="","",IF(C582="",1,COUNTIF($C$2:$C$1501,C582)))</f>
        <v/>
      </c>
      <c r="H582" s="11">
        <f>IF(A582="","",IFERROR(VALUE(SUBSTITUTE(SUBSTITUTE(INDEX('Etsy Import'!$A:$CZ,582,Settings!$C$25)&amp;"","$",""),",","")),0)/IF(Settings!$B$27="Yes",G582,1))</f>
        <v/>
      </c>
      <c r="I582" s="11">
        <f>IF(A582="","",IFERROR(VALUE(SUBSTITUTE(SUBSTITUTE(INDEX('Etsy Import'!$A:$CZ,582,Settings!$C$26)&amp;"","$",""),",","")),0)/IF(Settings!$B$27="Yes",G582,1))</f>
        <v/>
      </c>
      <c r="J582" s="11">
        <f>IF(A582="","",F582+H582-I582)</f>
        <v/>
      </c>
      <c r="K582">
        <f>IF(A582="","",IFERROR(IF(B582="",NA(),MATCH(B582,Products!$B$5:$B$204,0)),IFERROR(MATCH(A582,Products!$A$5:$A$204,0),"")))</f>
        <v/>
      </c>
      <c r="L582">
        <f>IF(A582="","",IF(K582="","⚠ not in Products",INDEX(Products!$A$5:$A$204,K582)))</f>
        <v/>
      </c>
      <c r="M582" s="11">
        <f>IF(A582="","",J582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582+IFERROR(INDEX(Settings!$D$5:$D$9,MATCH("Etsy",Settings!$A$5:$A$9,0)),0)*D582)</f>
        <v/>
      </c>
      <c r="N582" s="11">
        <f>IF(A582="","",IF(K582="",0,D582*INDEX(Products!$I$5:$I$204,K582)))</f>
        <v/>
      </c>
      <c r="O582" s="11">
        <f>IF(A582="","",IF(K582="",0,J582*INDEX(Products!$H$5:$H$204,K582)))</f>
        <v/>
      </c>
      <c r="P582" s="11">
        <f>IF(A582="","",J582-M582-N582-O582)</f>
        <v/>
      </c>
    </row>
    <row r="583">
      <c r="A583">
        <f>IFERROR(INDEX('Etsy Import'!$A:$CZ,583,Settings!$C$20)&amp;"","")</f>
        <v/>
      </c>
      <c r="B583">
        <f>IFERROR(INDEX('Etsy Import'!$A:$CZ,583,Settings!$C$21)&amp;"","")</f>
        <v/>
      </c>
      <c r="C583">
        <f>IFERROR(INDEX('Etsy Import'!$A:$CZ,583,Settings!$C$22)&amp;"","")</f>
        <v/>
      </c>
      <c r="D583">
        <f>IF(A583="","",IFERROR(VALUE(SUBSTITUTE(SUBSTITUTE(INDEX('Etsy Import'!$A:$CZ,583,Settings!$C$23)&amp;"","$",""),",","")),0))</f>
        <v/>
      </c>
      <c r="E583" s="11">
        <f>IF(A583="","",IFERROR(VALUE(SUBSTITUTE(SUBSTITUTE(INDEX('Etsy Import'!$A:$CZ,583,Settings!$C$24)&amp;"","$",""),",","")),0))</f>
        <v/>
      </c>
      <c r="F583" s="11">
        <f>IF(A583="","",D583*E583)</f>
        <v/>
      </c>
      <c r="G583">
        <f>IF(A583="","",IF(C583="",1,COUNTIF($C$2:$C$1501,C583)))</f>
        <v/>
      </c>
      <c r="H583" s="11">
        <f>IF(A583="","",IFERROR(VALUE(SUBSTITUTE(SUBSTITUTE(INDEX('Etsy Import'!$A:$CZ,583,Settings!$C$25)&amp;"","$",""),",","")),0)/IF(Settings!$B$27="Yes",G583,1))</f>
        <v/>
      </c>
      <c r="I583" s="11">
        <f>IF(A583="","",IFERROR(VALUE(SUBSTITUTE(SUBSTITUTE(INDEX('Etsy Import'!$A:$CZ,583,Settings!$C$26)&amp;"","$",""),",","")),0)/IF(Settings!$B$27="Yes",G583,1))</f>
        <v/>
      </c>
      <c r="J583" s="11">
        <f>IF(A583="","",F583+H583-I583)</f>
        <v/>
      </c>
      <c r="K583">
        <f>IF(A583="","",IFERROR(IF(B583="",NA(),MATCH(B583,Products!$B$5:$B$204,0)),IFERROR(MATCH(A583,Products!$A$5:$A$204,0),"")))</f>
        <v/>
      </c>
      <c r="L583">
        <f>IF(A583="","",IF(K583="","⚠ not in Products",INDEX(Products!$A$5:$A$204,K583)))</f>
        <v/>
      </c>
      <c r="M583" s="11">
        <f>IF(A583="","",J583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583+IFERROR(INDEX(Settings!$D$5:$D$9,MATCH("Etsy",Settings!$A$5:$A$9,0)),0)*D583)</f>
        <v/>
      </c>
      <c r="N583" s="11">
        <f>IF(A583="","",IF(K583="",0,D583*INDEX(Products!$I$5:$I$204,K583)))</f>
        <v/>
      </c>
      <c r="O583" s="11">
        <f>IF(A583="","",IF(K583="",0,J583*INDEX(Products!$H$5:$H$204,K583)))</f>
        <v/>
      </c>
      <c r="P583" s="11">
        <f>IF(A583="","",J583-M583-N583-O583)</f>
        <v/>
      </c>
    </row>
    <row r="584">
      <c r="A584">
        <f>IFERROR(INDEX('Etsy Import'!$A:$CZ,584,Settings!$C$20)&amp;"","")</f>
        <v/>
      </c>
      <c r="B584">
        <f>IFERROR(INDEX('Etsy Import'!$A:$CZ,584,Settings!$C$21)&amp;"","")</f>
        <v/>
      </c>
      <c r="C584">
        <f>IFERROR(INDEX('Etsy Import'!$A:$CZ,584,Settings!$C$22)&amp;"","")</f>
        <v/>
      </c>
      <c r="D584">
        <f>IF(A584="","",IFERROR(VALUE(SUBSTITUTE(SUBSTITUTE(INDEX('Etsy Import'!$A:$CZ,584,Settings!$C$23)&amp;"","$",""),",","")),0))</f>
        <v/>
      </c>
      <c r="E584" s="11">
        <f>IF(A584="","",IFERROR(VALUE(SUBSTITUTE(SUBSTITUTE(INDEX('Etsy Import'!$A:$CZ,584,Settings!$C$24)&amp;"","$",""),",","")),0))</f>
        <v/>
      </c>
      <c r="F584" s="11">
        <f>IF(A584="","",D584*E584)</f>
        <v/>
      </c>
      <c r="G584">
        <f>IF(A584="","",IF(C584="",1,COUNTIF($C$2:$C$1501,C584)))</f>
        <v/>
      </c>
      <c r="H584" s="11">
        <f>IF(A584="","",IFERROR(VALUE(SUBSTITUTE(SUBSTITUTE(INDEX('Etsy Import'!$A:$CZ,584,Settings!$C$25)&amp;"","$",""),",","")),0)/IF(Settings!$B$27="Yes",G584,1))</f>
        <v/>
      </c>
      <c r="I584" s="11">
        <f>IF(A584="","",IFERROR(VALUE(SUBSTITUTE(SUBSTITUTE(INDEX('Etsy Import'!$A:$CZ,584,Settings!$C$26)&amp;"","$",""),",","")),0)/IF(Settings!$B$27="Yes",G584,1))</f>
        <v/>
      </c>
      <c r="J584" s="11">
        <f>IF(A584="","",F584+H584-I584)</f>
        <v/>
      </c>
      <c r="K584">
        <f>IF(A584="","",IFERROR(IF(B584="",NA(),MATCH(B584,Products!$B$5:$B$204,0)),IFERROR(MATCH(A584,Products!$A$5:$A$204,0),"")))</f>
        <v/>
      </c>
      <c r="L584">
        <f>IF(A584="","",IF(K584="","⚠ not in Products",INDEX(Products!$A$5:$A$204,K584)))</f>
        <v/>
      </c>
      <c r="M584" s="11">
        <f>IF(A584="","",J584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584+IFERROR(INDEX(Settings!$D$5:$D$9,MATCH("Etsy",Settings!$A$5:$A$9,0)),0)*D584)</f>
        <v/>
      </c>
      <c r="N584" s="11">
        <f>IF(A584="","",IF(K584="",0,D584*INDEX(Products!$I$5:$I$204,K584)))</f>
        <v/>
      </c>
      <c r="O584" s="11">
        <f>IF(A584="","",IF(K584="",0,J584*INDEX(Products!$H$5:$H$204,K584)))</f>
        <v/>
      </c>
      <c r="P584" s="11">
        <f>IF(A584="","",J584-M584-N584-O584)</f>
        <v/>
      </c>
    </row>
    <row r="585">
      <c r="A585">
        <f>IFERROR(INDEX('Etsy Import'!$A:$CZ,585,Settings!$C$20)&amp;"","")</f>
        <v/>
      </c>
      <c r="B585">
        <f>IFERROR(INDEX('Etsy Import'!$A:$CZ,585,Settings!$C$21)&amp;"","")</f>
        <v/>
      </c>
      <c r="C585">
        <f>IFERROR(INDEX('Etsy Import'!$A:$CZ,585,Settings!$C$22)&amp;"","")</f>
        <v/>
      </c>
      <c r="D585">
        <f>IF(A585="","",IFERROR(VALUE(SUBSTITUTE(SUBSTITUTE(INDEX('Etsy Import'!$A:$CZ,585,Settings!$C$23)&amp;"","$",""),",","")),0))</f>
        <v/>
      </c>
      <c r="E585" s="11">
        <f>IF(A585="","",IFERROR(VALUE(SUBSTITUTE(SUBSTITUTE(INDEX('Etsy Import'!$A:$CZ,585,Settings!$C$24)&amp;"","$",""),",","")),0))</f>
        <v/>
      </c>
      <c r="F585" s="11">
        <f>IF(A585="","",D585*E585)</f>
        <v/>
      </c>
      <c r="G585">
        <f>IF(A585="","",IF(C585="",1,COUNTIF($C$2:$C$1501,C585)))</f>
        <v/>
      </c>
      <c r="H585" s="11">
        <f>IF(A585="","",IFERROR(VALUE(SUBSTITUTE(SUBSTITUTE(INDEX('Etsy Import'!$A:$CZ,585,Settings!$C$25)&amp;"","$",""),",","")),0)/IF(Settings!$B$27="Yes",G585,1))</f>
        <v/>
      </c>
      <c r="I585" s="11">
        <f>IF(A585="","",IFERROR(VALUE(SUBSTITUTE(SUBSTITUTE(INDEX('Etsy Import'!$A:$CZ,585,Settings!$C$26)&amp;"","$",""),",","")),0)/IF(Settings!$B$27="Yes",G585,1))</f>
        <v/>
      </c>
      <c r="J585" s="11">
        <f>IF(A585="","",F585+H585-I585)</f>
        <v/>
      </c>
      <c r="K585">
        <f>IF(A585="","",IFERROR(IF(B585="",NA(),MATCH(B585,Products!$B$5:$B$204,0)),IFERROR(MATCH(A585,Products!$A$5:$A$204,0),"")))</f>
        <v/>
      </c>
      <c r="L585">
        <f>IF(A585="","",IF(K585="","⚠ not in Products",INDEX(Products!$A$5:$A$204,K585)))</f>
        <v/>
      </c>
      <c r="M585" s="11">
        <f>IF(A585="","",J585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585+IFERROR(INDEX(Settings!$D$5:$D$9,MATCH("Etsy",Settings!$A$5:$A$9,0)),0)*D585)</f>
        <v/>
      </c>
      <c r="N585" s="11">
        <f>IF(A585="","",IF(K585="",0,D585*INDEX(Products!$I$5:$I$204,K585)))</f>
        <v/>
      </c>
      <c r="O585" s="11">
        <f>IF(A585="","",IF(K585="",0,J585*INDEX(Products!$H$5:$H$204,K585)))</f>
        <v/>
      </c>
      <c r="P585" s="11">
        <f>IF(A585="","",J585-M585-N585-O585)</f>
        <v/>
      </c>
    </row>
    <row r="586">
      <c r="A586">
        <f>IFERROR(INDEX('Etsy Import'!$A:$CZ,586,Settings!$C$20)&amp;"","")</f>
        <v/>
      </c>
      <c r="B586">
        <f>IFERROR(INDEX('Etsy Import'!$A:$CZ,586,Settings!$C$21)&amp;"","")</f>
        <v/>
      </c>
      <c r="C586">
        <f>IFERROR(INDEX('Etsy Import'!$A:$CZ,586,Settings!$C$22)&amp;"","")</f>
        <v/>
      </c>
      <c r="D586">
        <f>IF(A586="","",IFERROR(VALUE(SUBSTITUTE(SUBSTITUTE(INDEX('Etsy Import'!$A:$CZ,586,Settings!$C$23)&amp;"","$",""),",","")),0))</f>
        <v/>
      </c>
      <c r="E586" s="11">
        <f>IF(A586="","",IFERROR(VALUE(SUBSTITUTE(SUBSTITUTE(INDEX('Etsy Import'!$A:$CZ,586,Settings!$C$24)&amp;"","$",""),",","")),0))</f>
        <v/>
      </c>
      <c r="F586" s="11">
        <f>IF(A586="","",D586*E586)</f>
        <v/>
      </c>
      <c r="G586">
        <f>IF(A586="","",IF(C586="",1,COUNTIF($C$2:$C$1501,C586)))</f>
        <v/>
      </c>
      <c r="H586" s="11">
        <f>IF(A586="","",IFERROR(VALUE(SUBSTITUTE(SUBSTITUTE(INDEX('Etsy Import'!$A:$CZ,586,Settings!$C$25)&amp;"","$",""),",","")),0)/IF(Settings!$B$27="Yes",G586,1))</f>
        <v/>
      </c>
      <c r="I586" s="11">
        <f>IF(A586="","",IFERROR(VALUE(SUBSTITUTE(SUBSTITUTE(INDEX('Etsy Import'!$A:$CZ,586,Settings!$C$26)&amp;"","$",""),",","")),0)/IF(Settings!$B$27="Yes",G586,1))</f>
        <v/>
      </c>
      <c r="J586" s="11">
        <f>IF(A586="","",F586+H586-I586)</f>
        <v/>
      </c>
      <c r="K586">
        <f>IF(A586="","",IFERROR(IF(B586="",NA(),MATCH(B586,Products!$B$5:$B$204,0)),IFERROR(MATCH(A586,Products!$A$5:$A$204,0),"")))</f>
        <v/>
      </c>
      <c r="L586">
        <f>IF(A586="","",IF(K586="","⚠ not in Products",INDEX(Products!$A$5:$A$204,K586)))</f>
        <v/>
      </c>
      <c r="M586" s="11">
        <f>IF(A586="","",J586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586+IFERROR(INDEX(Settings!$D$5:$D$9,MATCH("Etsy",Settings!$A$5:$A$9,0)),0)*D586)</f>
        <v/>
      </c>
      <c r="N586" s="11">
        <f>IF(A586="","",IF(K586="",0,D586*INDEX(Products!$I$5:$I$204,K586)))</f>
        <v/>
      </c>
      <c r="O586" s="11">
        <f>IF(A586="","",IF(K586="",0,J586*INDEX(Products!$H$5:$H$204,K586)))</f>
        <v/>
      </c>
      <c r="P586" s="11">
        <f>IF(A586="","",J586-M586-N586-O586)</f>
        <v/>
      </c>
    </row>
    <row r="587">
      <c r="A587">
        <f>IFERROR(INDEX('Etsy Import'!$A:$CZ,587,Settings!$C$20)&amp;"","")</f>
        <v/>
      </c>
      <c r="B587">
        <f>IFERROR(INDEX('Etsy Import'!$A:$CZ,587,Settings!$C$21)&amp;"","")</f>
        <v/>
      </c>
      <c r="C587">
        <f>IFERROR(INDEX('Etsy Import'!$A:$CZ,587,Settings!$C$22)&amp;"","")</f>
        <v/>
      </c>
      <c r="D587">
        <f>IF(A587="","",IFERROR(VALUE(SUBSTITUTE(SUBSTITUTE(INDEX('Etsy Import'!$A:$CZ,587,Settings!$C$23)&amp;"","$",""),",","")),0))</f>
        <v/>
      </c>
      <c r="E587" s="11">
        <f>IF(A587="","",IFERROR(VALUE(SUBSTITUTE(SUBSTITUTE(INDEX('Etsy Import'!$A:$CZ,587,Settings!$C$24)&amp;"","$",""),",","")),0))</f>
        <v/>
      </c>
      <c r="F587" s="11">
        <f>IF(A587="","",D587*E587)</f>
        <v/>
      </c>
      <c r="G587">
        <f>IF(A587="","",IF(C587="",1,COUNTIF($C$2:$C$1501,C587)))</f>
        <v/>
      </c>
      <c r="H587" s="11">
        <f>IF(A587="","",IFERROR(VALUE(SUBSTITUTE(SUBSTITUTE(INDEX('Etsy Import'!$A:$CZ,587,Settings!$C$25)&amp;"","$",""),",","")),0)/IF(Settings!$B$27="Yes",G587,1))</f>
        <v/>
      </c>
      <c r="I587" s="11">
        <f>IF(A587="","",IFERROR(VALUE(SUBSTITUTE(SUBSTITUTE(INDEX('Etsy Import'!$A:$CZ,587,Settings!$C$26)&amp;"","$",""),",","")),0)/IF(Settings!$B$27="Yes",G587,1))</f>
        <v/>
      </c>
      <c r="J587" s="11">
        <f>IF(A587="","",F587+H587-I587)</f>
        <v/>
      </c>
      <c r="K587">
        <f>IF(A587="","",IFERROR(IF(B587="",NA(),MATCH(B587,Products!$B$5:$B$204,0)),IFERROR(MATCH(A587,Products!$A$5:$A$204,0),"")))</f>
        <v/>
      </c>
      <c r="L587">
        <f>IF(A587="","",IF(K587="","⚠ not in Products",INDEX(Products!$A$5:$A$204,K587)))</f>
        <v/>
      </c>
      <c r="M587" s="11">
        <f>IF(A587="","",J587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587+IFERROR(INDEX(Settings!$D$5:$D$9,MATCH("Etsy",Settings!$A$5:$A$9,0)),0)*D587)</f>
        <v/>
      </c>
      <c r="N587" s="11">
        <f>IF(A587="","",IF(K587="",0,D587*INDEX(Products!$I$5:$I$204,K587)))</f>
        <v/>
      </c>
      <c r="O587" s="11">
        <f>IF(A587="","",IF(K587="",0,J587*INDEX(Products!$H$5:$H$204,K587)))</f>
        <v/>
      </c>
      <c r="P587" s="11">
        <f>IF(A587="","",J587-M587-N587-O587)</f>
        <v/>
      </c>
    </row>
    <row r="588">
      <c r="A588">
        <f>IFERROR(INDEX('Etsy Import'!$A:$CZ,588,Settings!$C$20)&amp;"","")</f>
        <v/>
      </c>
      <c r="B588">
        <f>IFERROR(INDEX('Etsy Import'!$A:$CZ,588,Settings!$C$21)&amp;"","")</f>
        <v/>
      </c>
      <c r="C588">
        <f>IFERROR(INDEX('Etsy Import'!$A:$CZ,588,Settings!$C$22)&amp;"","")</f>
        <v/>
      </c>
      <c r="D588">
        <f>IF(A588="","",IFERROR(VALUE(SUBSTITUTE(SUBSTITUTE(INDEX('Etsy Import'!$A:$CZ,588,Settings!$C$23)&amp;"","$",""),",","")),0))</f>
        <v/>
      </c>
      <c r="E588" s="11">
        <f>IF(A588="","",IFERROR(VALUE(SUBSTITUTE(SUBSTITUTE(INDEX('Etsy Import'!$A:$CZ,588,Settings!$C$24)&amp;"","$",""),",","")),0))</f>
        <v/>
      </c>
      <c r="F588" s="11">
        <f>IF(A588="","",D588*E588)</f>
        <v/>
      </c>
      <c r="G588">
        <f>IF(A588="","",IF(C588="",1,COUNTIF($C$2:$C$1501,C588)))</f>
        <v/>
      </c>
      <c r="H588" s="11">
        <f>IF(A588="","",IFERROR(VALUE(SUBSTITUTE(SUBSTITUTE(INDEX('Etsy Import'!$A:$CZ,588,Settings!$C$25)&amp;"","$",""),",","")),0)/IF(Settings!$B$27="Yes",G588,1))</f>
        <v/>
      </c>
      <c r="I588" s="11">
        <f>IF(A588="","",IFERROR(VALUE(SUBSTITUTE(SUBSTITUTE(INDEX('Etsy Import'!$A:$CZ,588,Settings!$C$26)&amp;"","$",""),",","")),0)/IF(Settings!$B$27="Yes",G588,1))</f>
        <v/>
      </c>
      <c r="J588" s="11">
        <f>IF(A588="","",F588+H588-I588)</f>
        <v/>
      </c>
      <c r="K588">
        <f>IF(A588="","",IFERROR(IF(B588="",NA(),MATCH(B588,Products!$B$5:$B$204,0)),IFERROR(MATCH(A588,Products!$A$5:$A$204,0),"")))</f>
        <v/>
      </c>
      <c r="L588">
        <f>IF(A588="","",IF(K588="","⚠ not in Products",INDEX(Products!$A$5:$A$204,K588)))</f>
        <v/>
      </c>
      <c r="M588" s="11">
        <f>IF(A588="","",J588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588+IFERROR(INDEX(Settings!$D$5:$D$9,MATCH("Etsy",Settings!$A$5:$A$9,0)),0)*D588)</f>
        <v/>
      </c>
      <c r="N588" s="11">
        <f>IF(A588="","",IF(K588="",0,D588*INDEX(Products!$I$5:$I$204,K588)))</f>
        <v/>
      </c>
      <c r="O588" s="11">
        <f>IF(A588="","",IF(K588="",0,J588*INDEX(Products!$H$5:$H$204,K588)))</f>
        <v/>
      </c>
      <c r="P588" s="11">
        <f>IF(A588="","",J588-M588-N588-O588)</f>
        <v/>
      </c>
    </row>
    <row r="589">
      <c r="A589">
        <f>IFERROR(INDEX('Etsy Import'!$A:$CZ,589,Settings!$C$20)&amp;"","")</f>
        <v/>
      </c>
      <c r="B589">
        <f>IFERROR(INDEX('Etsy Import'!$A:$CZ,589,Settings!$C$21)&amp;"","")</f>
        <v/>
      </c>
      <c r="C589">
        <f>IFERROR(INDEX('Etsy Import'!$A:$CZ,589,Settings!$C$22)&amp;"","")</f>
        <v/>
      </c>
      <c r="D589">
        <f>IF(A589="","",IFERROR(VALUE(SUBSTITUTE(SUBSTITUTE(INDEX('Etsy Import'!$A:$CZ,589,Settings!$C$23)&amp;"","$",""),",","")),0))</f>
        <v/>
      </c>
      <c r="E589" s="11">
        <f>IF(A589="","",IFERROR(VALUE(SUBSTITUTE(SUBSTITUTE(INDEX('Etsy Import'!$A:$CZ,589,Settings!$C$24)&amp;"","$",""),",","")),0))</f>
        <v/>
      </c>
      <c r="F589" s="11">
        <f>IF(A589="","",D589*E589)</f>
        <v/>
      </c>
      <c r="G589">
        <f>IF(A589="","",IF(C589="",1,COUNTIF($C$2:$C$1501,C589)))</f>
        <v/>
      </c>
      <c r="H589" s="11">
        <f>IF(A589="","",IFERROR(VALUE(SUBSTITUTE(SUBSTITUTE(INDEX('Etsy Import'!$A:$CZ,589,Settings!$C$25)&amp;"","$",""),",","")),0)/IF(Settings!$B$27="Yes",G589,1))</f>
        <v/>
      </c>
      <c r="I589" s="11">
        <f>IF(A589="","",IFERROR(VALUE(SUBSTITUTE(SUBSTITUTE(INDEX('Etsy Import'!$A:$CZ,589,Settings!$C$26)&amp;"","$",""),",","")),0)/IF(Settings!$B$27="Yes",G589,1))</f>
        <v/>
      </c>
      <c r="J589" s="11">
        <f>IF(A589="","",F589+H589-I589)</f>
        <v/>
      </c>
      <c r="K589">
        <f>IF(A589="","",IFERROR(IF(B589="",NA(),MATCH(B589,Products!$B$5:$B$204,0)),IFERROR(MATCH(A589,Products!$A$5:$A$204,0),"")))</f>
        <v/>
      </c>
      <c r="L589">
        <f>IF(A589="","",IF(K589="","⚠ not in Products",INDEX(Products!$A$5:$A$204,K589)))</f>
        <v/>
      </c>
      <c r="M589" s="11">
        <f>IF(A589="","",J589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589+IFERROR(INDEX(Settings!$D$5:$D$9,MATCH("Etsy",Settings!$A$5:$A$9,0)),0)*D589)</f>
        <v/>
      </c>
      <c r="N589" s="11">
        <f>IF(A589="","",IF(K589="",0,D589*INDEX(Products!$I$5:$I$204,K589)))</f>
        <v/>
      </c>
      <c r="O589" s="11">
        <f>IF(A589="","",IF(K589="",0,J589*INDEX(Products!$H$5:$H$204,K589)))</f>
        <v/>
      </c>
      <c r="P589" s="11">
        <f>IF(A589="","",J589-M589-N589-O589)</f>
        <v/>
      </c>
    </row>
    <row r="590">
      <c r="A590">
        <f>IFERROR(INDEX('Etsy Import'!$A:$CZ,590,Settings!$C$20)&amp;"","")</f>
        <v/>
      </c>
      <c r="B590">
        <f>IFERROR(INDEX('Etsy Import'!$A:$CZ,590,Settings!$C$21)&amp;"","")</f>
        <v/>
      </c>
      <c r="C590">
        <f>IFERROR(INDEX('Etsy Import'!$A:$CZ,590,Settings!$C$22)&amp;"","")</f>
        <v/>
      </c>
      <c r="D590">
        <f>IF(A590="","",IFERROR(VALUE(SUBSTITUTE(SUBSTITUTE(INDEX('Etsy Import'!$A:$CZ,590,Settings!$C$23)&amp;"","$",""),",","")),0))</f>
        <v/>
      </c>
      <c r="E590" s="11">
        <f>IF(A590="","",IFERROR(VALUE(SUBSTITUTE(SUBSTITUTE(INDEX('Etsy Import'!$A:$CZ,590,Settings!$C$24)&amp;"","$",""),",","")),0))</f>
        <v/>
      </c>
      <c r="F590" s="11">
        <f>IF(A590="","",D590*E590)</f>
        <v/>
      </c>
      <c r="G590">
        <f>IF(A590="","",IF(C590="",1,COUNTIF($C$2:$C$1501,C590)))</f>
        <v/>
      </c>
      <c r="H590" s="11">
        <f>IF(A590="","",IFERROR(VALUE(SUBSTITUTE(SUBSTITUTE(INDEX('Etsy Import'!$A:$CZ,590,Settings!$C$25)&amp;"","$",""),",","")),0)/IF(Settings!$B$27="Yes",G590,1))</f>
        <v/>
      </c>
      <c r="I590" s="11">
        <f>IF(A590="","",IFERROR(VALUE(SUBSTITUTE(SUBSTITUTE(INDEX('Etsy Import'!$A:$CZ,590,Settings!$C$26)&amp;"","$",""),",","")),0)/IF(Settings!$B$27="Yes",G590,1))</f>
        <v/>
      </c>
      <c r="J590" s="11">
        <f>IF(A590="","",F590+H590-I590)</f>
        <v/>
      </c>
      <c r="K590">
        <f>IF(A590="","",IFERROR(IF(B590="",NA(),MATCH(B590,Products!$B$5:$B$204,0)),IFERROR(MATCH(A590,Products!$A$5:$A$204,0),"")))</f>
        <v/>
      </c>
      <c r="L590">
        <f>IF(A590="","",IF(K590="","⚠ not in Products",INDEX(Products!$A$5:$A$204,K590)))</f>
        <v/>
      </c>
      <c r="M590" s="11">
        <f>IF(A590="","",J590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590+IFERROR(INDEX(Settings!$D$5:$D$9,MATCH("Etsy",Settings!$A$5:$A$9,0)),0)*D590)</f>
        <v/>
      </c>
      <c r="N590" s="11">
        <f>IF(A590="","",IF(K590="",0,D590*INDEX(Products!$I$5:$I$204,K590)))</f>
        <v/>
      </c>
      <c r="O590" s="11">
        <f>IF(A590="","",IF(K590="",0,J590*INDEX(Products!$H$5:$H$204,K590)))</f>
        <v/>
      </c>
      <c r="P590" s="11">
        <f>IF(A590="","",J590-M590-N590-O590)</f>
        <v/>
      </c>
    </row>
    <row r="591">
      <c r="A591">
        <f>IFERROR(INDEX('Etsy Import'!$A:$CZ,591,Settings!$C$20)&amp;"","")</f>
        <v/>
      </c>
      <c r="B591">
        <f>IFERROR(INDEX('Etsy Import'!$A:$CZ,591,Settings!$C$21)&amp;"","")</f>
        <v/>
      </c>
      <c r="C591">
        <f>IFERROR(INDEX('Etsy Import'!$A:$CZ,591,Settings!$C$22)&amp;"","")</f>
        <v/>
      </c>
      <c r="D591">
        <f>IF(A591="","",IFERROR(VALUE(SUBSTITUTE(SUBSTITUTE(INDEX('Etsy Import'!$A:$CZ,591,Settings!$C$23)&amp;"","$",""),",","")),0))</f>
        <v/>
      </c>
      <c r="E591" s="11">
        <f>IF(A591="","",IFERROR(VALUE(SUBSTITUTE(SUBSTITUTE(INDEX('Etsy Import'!$A:$CZ,591,Settings!$C$24)&amp;"","$",""),",","")),0))</f>
        <v/>
      </c>
      <c r="F591" s="11">
        <f>IF(A591="","",D591*E591)</f>
        <v/>
      </c>
      <c r="G591">
        <f>IF(A591="","",IF(C591="",1,COUNTIF($C$2:$C$1501,C591)))</f>
        <v/>
      </c>
      <c r="H591" s="11">
        <f>IF(A591="","",IFERROR(VALUE(SUBSTITUTE(SUBSTITUTE(INDEX('Etsy Import'!$A:$CZ,591,Settings!$C$25)&amp;"","$",""),",","")),0)/IF(Settings!$B$27="Yes",G591,1))</f>
        <v/>
      </c>
      <c r="I591" s="11">
        <f>IF(A591="","",IFERROR(VALUE(SUBSTITUTE(SUBSTITUTE(INDEX('Etsy Import'!$A:$CZ,591,Settings!$C$26)&amp;"","$",""),",","")),0)/IF(Settings!$B$27="Yes",G591,1))</f>
        <v/>
      </c>
      <c r="J591" s="11">
        <f>IF(A591="","",F591+H591-I591)</f>
        <v/>
      </c>
      <c r="K591">
        <f>IF(A591="","",IFERROR(IF(B591="",NA(),MATCH(B591,Products!$B$5:$B$204,0)),IFERROR(MATCH(A591,Products!$A$5:$A$204,0),"")))</f>
        <v/>
      </c>
      <c r="L591">
        <f>IF(A591="","",IF(K591="","⚠ not in Products",INDEX(Products!$A$5:$A$204,K591)))</f>
        <v/>
      </c>
      <c r="M591" s="11">
        <f>IF(A591="","",J591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591+IFERROR(INDEX(Settings!$D$5:$D$9,MATCH("Etsy",Settings!$A$5:$A$9,0)),0)*D591)</f>
        <v/>
      </c>
      <c r="N591" s="11">
        <f>IF(A591="","",IF(K591="",0,D591*INDEX(Products!$I$5:$I$204,K591)))</f>
        <v/>
      </c>
      <c r="O591" s="11">
        <f>IF(A591="","",IF(K591="",0,J591*INDEX(Products!$H$5:$H$204,K591)))</f>
        <v/>
      </c>
      <c r="P591" s="11">
        <f>IF(A591="","",J591-M591-N591-O591)</f>
        <v/>
      </c>
    </row>
    <row r="592">
      <c r="A592">
        <f>IFERROR(INDEX('Etsy Import'!$A:$CZ,592,Settings!$C$20)&amp;"","")</f>
        <v/>
      </c>
      <c r="B592">
        <f>IFERROR(INDEX('Etsy Import'!$A:$CZ,592,Settings!$C$21)&amp;"","")</f>
        <v/>
      </c>
      <c r="C592">
        <f>IFERROR(INDEX('Etsy Import'!$A:$CZ,592,Settings!$C$22)&amp;"","")</f>
        <v/>
      </c>
      <c r="D592">
        <f>IF(A592="","",IFERROR(VALUE(SUBSTITUTE(SUBSTITUTE(INDEX('Etsy Import'!$A:$CZ,592,Settings!$C$23)&amp;"","$",""),",","")),0))</f>
        <v/>
      </c>
      <c r="E592" s="11">
        <f>IF(A592="","",IFERROR(VALUE(SUBSTITUTE(SUBSTITUTE(INDEX('Etsy Import'!$A:$CZ,592,Settings!$C$24)&amp;"","$",""),",","")),0))</f>
        <v/>
      </c>
      <c r="F592" s="11">
        <f>IF(A592="","",D592*E592)</f>
        <v/>
      </c>
      <c r="G592">
        <f>IF(A592="","",IF(C592="",1,COUNTIF($C$2:$C$1501,C592)))</f>
        <v/>
      </c>
      <c r="H592" s="11">
        <f>IF(A592="","",IFERROR(VALUE(SUBSTITUTE(SUBSTITUTE(INDEX('Etsy Import'!$A:$CZ,592,Settings!$C$25)&amp;"","$",""),",","")),0)/IF(Settings!$B$27="Yes",G592,1))</f>
        <v/>
      </c>
      <c r="I592" s="11">
        <f>IF(A592="","",IFERROR(VALUE(SUBSTITUTE(SUBSTITUTE(INDEX('Etsy Import'!$A:$CZ,592,Settings!$C$26)&amp;"","$",""),",","")),0)/IF(Settings!$B$27="Yes",G592,1))</f>
        <v/>
      </c>
      <c r="J592" s="11">
        <f>IF(A592="","",F592+H592-I592)</f>
        <v/>
      </c>
      <c r="K592">
        <f>IF(A592="","",IFERROR(IF(B592="",NA(),MATCH(B592,Products!$B$5:$B$204,0)),IFERROR(MATCH(A592,Products!$A$5:$A$204,0),"")))</f>
        <v/>
      </c>
      <c r="L592">
        <f>IF(A592="","",IF(K592="","⚠ not in Products",INDEX(Products!$A$5:$A$204,K592)))</f>
        <v/>
      </c>
      <c r="M592" s="11">
        <f>IF(A592="","",J592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592+IFERROR(INDEX(Settings!$D$5:$D$9,MATCH("Etsy",Settings!$A$5:$A$9,0)),0)*D592)</f>
        <v/>
      </c>
      <c r="N592" s="11">
        <f>IF(A592="","",IF(K592="",0,D592*INDEX(Products!$I$5:$I$204,K592)))</f>
        <v/>
      </c>
      <c r="O592" s="11">
        <f>IF(A592="","",IF(K592="",0,J592*INDEX(Products!$H$5:$H$204,K592)))</f>
        <v/>
      </c>
      <c r="P592" s="11">
        <f>IF(A592="","",J592-M592-N592-O592)</f>
        <v/>
      </c>
    </row>
    <row r="593">
      <c r="A593">
        <f>IFERROR(INDEX('Etsy Import'!$A:$CZ,593,Settings!$C$20)&amp;"","")</f>
        <v/>
      </c>
      <c r="B593">
        <f>IFERROR(INDEX('Etsy Import'!$A:$CZ,593,Settings!$C$21)&amp;"","")</f>
        <v/>
      </c>
      <c r="C593">
        <f>IFERROR(INDEX('Etsy Import'!$A:$CZ,593,Settings!$C$22)&amp;"","")</f>
        <v/>
      </c>
      <c r="D593">
        <f>IF(A593="","",IFERROR(VALUE(SUBSTITUTE(SUBSTITUTE(INDEX('Etsy Import'!$A:$CZ,593,Settings!$C$23)&amp;"","$",""),",","")),0))</f>
        <v/>
      </c>
      <c r="E593" s="11">
        <f>IF(A593="","",IFERROR(VALUE(SUBSTITUTE(SUBSTITUTE(INDEX('Etsy Import'!$A:$CZ,593,Settings!$C$24)&amp;"","$",""),",","")),0))</f>
        <v/>
      </c>
      <c r="F593" s="11">
        <f>IF(A593="","",D593*E593)</f>
        <v/>
      </c>
      <c r="G593">
        <f>IF(A593="","",IF(C593="",1,COUNTIF($C$2:$C$1501,C593)))</f>
        <v/>
      </c>
      <c r="H593" s="11">
        <f>IF(A593="","",IFERROR(VALUE(SUBSTITUTE(SUBSTITUTE(INDEX('Etsy Import'!$A:$CZ,593,Settings!$C$25)&amp;"","$",""),",","")),0)/IF(Settings!$B$27="Yes",G593,1))</f>
        <v/>
      </c>
      <c r="I593" s="11">
        <f>IF(A593="","",IFERROR(VALUE(SUBSTITUTE(SUBSTITUTE(INDEX('Etsy Import'!$A:$CZ,593,Settings!$C$26)&amp;"","$",""),",","")),0)/IF(Settings!$B$27="Yes",G593,1))</f>
        <v/>
      </c>
      <c r="J593" s="11">
        <f>IF(A593="","",F593+H593-I593)</f>
        <v/>
      </c>
      <c r="K593">
        <f>IF(A593="","",IFERROR(IF(B593="",NA(),MATCH(B593,Products!$B$5:$B$204,0)),IFERROR(MATCH(A593,Products!$A$5:$A$204,0),"")))</f>
        <v/>
      </c>
      <c r="L593">
        <f>IF(A593="","",IF(K593="","⚠ not in Products",INDEX(Products!$A$5:$A$204,K593)))</f>
        <v/>
      </c>
      <c r="M593" s="11">
        <f>IF(A593="","",J593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593+IFERROR(INDEX(Settings!$D$5:$D$9,MATCH("Etsy",Settings!$A$5:$A$9,0)),0)*D593)</f>
        <v/>
      </c>
      <c r="N593" s="11">
        <f>IF(A593="","",IF(K593="",0,D593*INDEX(Products!$I$5:$I$204,K593)))</f>
        <v/>
      </c>
      <c r="O593" s="11">
        <f>IF(A593="","",IF(K593="",0,J593*INDEX(Products!$H$5:$H$204,K593)))</f>
        <v/>
      </c>
      <c r="P593" s="11">
        <f>IF(A593="","",J593-M593-N593-O593)</f>
        <v/>
      </c>
    </row>
    <row r="594">
      <c r="A594">
        <f>IFERROR(INDEX('Etsy Import'!$A:$CZ,594,Settings!$C$20)&amp;"","")</f>
        <v/>
      </c>
      <c r="B594">
        <f>IFERROR(INDEX('Etsy Import'!$A:$CZ,594,Settings!$C$21)&amp;"","")</f>
        <v/>
      </c>
      <c r="C594">
        <f>IFERROR(INDEX('Etsy Import'!$A:$CZ,594,Settings!$C$22)&amp;"","")</f>
        <v/>
      </c>
      <c r="D594">
        <f>IF(A594="","",IFERROR(VALUE(SUBSTITUTE(SUBSTITUTE(INDEX('Etsy Import'!$A:$CZ,594,Settings!$C$23)&amp;"","$",""),",","")),0))</f>
        <v/>
      </c>
      <c r="E594" s="11">
        <f>IF(A594="","",IFERROR(VALUE(SUBSTITUTE(SUBSTITUTE(INDEX('Etsy Import'!$A:$CZ,594,Settings!$C$24)&amp;"","$",""),",","")),0))</f>
        <v/>
      </c>
      <c r="F594" s="11">
        <f>IF(A594="","",D594*E594)</f>
        <v/>
      </c>
      <c r="G594">
        <f>IF(A594="","",IF(C594="",1,COUNTIF($C$2:$C$1501,C594)))</f>
        <v/>
      </c>
      <c r="H594" s="11">
        <f>IF(A594="","",IFERROR(VALUE(SUBSTITUTE(SUBSTITUTE(INDEX('Etsy Import'!$A:$CZ,594,Settings!$C$25)&amp;"","$",""),",","")),0)/IF(Settings!$B$27="Yes",G594,1))</f>
        <v/>
      </c>
      <c r="I594" s="11">
        <f>IF(A594="","",IFERROR(VALUE(SUBSTITUTE(SUBSTITUTE(INDEX('Etsy Import'!$A:$CZ,594,Settings!$C$26)&amp;"","$",""),",","")),0)/IF(Settings!$B$27="Yes",G594,1))</f>
        <v/>
      </c>
      <c r="J594" s="11">
        <f>IF(A594="","",F594+H594-I594)</f>
        <v/>
      </c>
      <c r="K594">
        <f>IF(A594="","",IFERROR(IF(B594="",NA(),MATCH(B594,Products!$B$5:$B$204,0)),IFERROR(MATCH(A594,Products!$A$5:$A$204,0),"")))</f>
        <v/>
      </c>
      <c r="L594">
        <f>IF(A594="","",IF(K594="","⚠ not in Products",INDEX(Products!$A$5:$A$204,K594)))</f>
        <v/>
      </c>
      <c r="M594" s="11">
        <f>IF(A594="","",J594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594+IFERROR(INDEX(Settings!$D$5:$D$9,MATCH("Etsy",Settings!$A$5:$A$9,0)),0)*D594)</f>
        <v/>
      </c>
      <c r="N594" s="11">
        <f>IF(A594="","",IF(K594="",0,D594*INDEX(Products!$I$5:$I$204,K594)))</f>
        <v/>
      </c>
      <c r="O594" s="11">
        <f>IF(A594="","",IF(K594="",0,J594*INDEX(Products!$H$5:$H$204,K594)))</f>
        <v/>
      </c>
      <c r="P594" s="11">
        <f>IF(A594="","",J594-M594-N594-O594)</f>
        <v/>
      </c>
    </row>
    <row r="595">
      <c r="A595">
        <f>IFERROR(INDEX('Etsy Import'!$A:$CZ,595,Settings!$C$20)&amp;"","")</f>
        <v/>
      </c>
      <c r="B595">
        <f>IFERROR(INDEX('Etsy Import'!$A:$CZ,595,Settings!$C$21)&amp;"","")</f>
        <v/>
      </c>
      <c r="C595">
        <f>IFERROR(INDEX('Etsy Import'!$A:$CZ,595,Settings!$C$22)&amp;"","")</f>
        <v/>
      </c>
      <c r="D595">
        <f>IF(A595="","",IFERROR(VALUE(SUBSTITUTE(SUBSTITUTE(INDEX('Etsy Import'!$A:$CZ,595,Settings!$C$23)&amp;"","$",""),",","")),0))</f>
        <v/>
      </c>
      <c r="E595" s="11">
        <f>IF(A595="","",IFERROR(VALUE(SUBSTITUTE(SUBSTITUTE(INDEX('Etsy Import'!$A:$CZ,595,Settings!$C$24)&amp;"","$",""),",","")),0))</f>
        <v/>
      </c>
      <c r="F595" s="11">
        <f>IF(A595="","",D595*E595)</f>
        <v/>
      </c>
      <c r="G595">
        <f>IF(A595="","",IF(C595="",1,COUNTIF($C$2:$C$1501,C595)))</f>
        <v/>
      </c>
      <c r="H595" s="11">
        <f>IF(A595="","",IFERROR(VALUE(SUBSTITUTE(SUBSTITUTE(INDEX('Etsy Import'!$A:$CZ,595,Settings!$C$25)&amp;"","$",""),",","")),0)/IF(Settings!$B$27="Yes",G595,1))</f>
        <v/>
      </c>
      <c r="I595" s="11">
        <f>IF(A595="","",IFERROR(VALUE(SUBSTITUTE(SUBSTITUTE(INDEX('Etsy Import'!$A:$CZ,595,Settings!$C$26)&amp;"","$",""),",","")),0)/IF(Settings!$B$27="Yes",G595,1))</f>
        <v/>
      </c>
      <c r="J595" s="11">
        <f>IF(A595="","",F595+H595-I595)</f>
        <v/>
      </c>
      <c r="K595">
        <f>IF(A595="","",IFERROR(IF(B595="",NA(),MATCH(B595,Products!$B$5:$B$204,0)),IFERROR(MATCH(A595,Products!$A$5:$A$204,0),"")))</f>
        <v/>
      </c>
      <c r="L595">
        <f>IF(A595="","",IF(K595="","⚠ not in Products",INDEX(Products!$A$5:$A$204,K595)))</f>
        <v/>
      </c>
      <c r="M595" s="11">
        <f>IF(A595="","",J595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595+IFERROR(INDEX(Settings!$D$5:$D$9,MATCH("Etsy",Settings!$A$5:$A$9,0)),0)*D595)</f>
        <v/>
      </c>
      <c r="N595" s="11">
        <f>IF(A595="","",IF(K595="",0,D595*INDEX(Products!$I$5:$I$204,K595)))</f>
        <v/>
      </c>
      <c r="O595" s="11">
        <f>IF(A595="","",IF(K595="",0,J595*INDEX(Products!$H$5:$H$204,K595)))</f>
        <v/>
      </c>
      <c r="P595" s="11">
        <f>IF(A595="","",J595-M595-N595-O595)</f>
        <v/>
      </c>
    </row>
    <row r="596">
      <c r="A596">
        <f>IFERROR(INDEX('Etsy Import'!$A:$CZ,596,Settings!$C$20)&amp;"","")</f>
        <v/>
      </c>
      <c r="B596">
        <f>IFERROR(INDEX('Etsy Import'!$A:$CZ,596,Settings!$C$21)&amp;"","")</f>
        <v/>
      </c>
      <c r="C596">
        <f>IFERROR(INDEX('Etsy Import'!$A:$CZ,596,Settings!$C$22)&amp;"","")</f>
        <v/>
      </c>
      <c r="D596">
        <f>IF(A596="","",IFERROR(VALUE(SUBSTITUTE(SUBSTITUTE(INDEX('Etsy Import'!$A:$CZ,596,Settings!$C$23)&amp;"","$",""),",","")),0))</f>
        <v/>
      </c>
      <c r="E596" s="11">
        <f>IF(A596="","",IFERROR(VALUE(SUBSTITUTE(SUBSTITUTE(INDEX('Etsy Import'!$A:$CZ,596,Settings!$C$24)&amp;"","$",""),",","")),0))</f>
        <v/>
      </c>
      <c r="F596" s="11">
        <f>IF(A596="","",D596*E596)</f>
        <v/>
      </c>
      <c r="G596">
        <f>IF(A596="","",IF(C596="",1,COUNTIF($C$2:$C$1501,C596)))</f>
        <v/>
      </c>
      <c r="H596" s="11">
        <f>IF(A596="","",IFERROR(VALUE(SUBSTITUTE(SUBSTITUTE(INDEX('Etsy Import'!$A:$CZ,596,Settings!$C$25)&amp;"","$",""),",","")),0)/IF(Settings!$B$27="Yes",G596,1))</f>
        <v/>
      </c>
      <c r="I596" s="11">
        <f>IF(A596="","",IFERROR(VALUE(SUBSTITUTE(SUBSTITUTE(INDEX('Etsy Import'!$A:$CZ,596,Settings!$C$26)&amp;"","$",""),",","")),0)/IF(Settings!$B$27="Yes",G596,1))</f>
        <v/>
      </c>
      <c r="J596" s="11">
        <f>IF(A596="","",F596+H596-I596)</f>
        <v/>
      </c>
      <c r="K596">
        <f>IF(A596="","",IFERROR(IF(B596="",NA(),MATCH(B596,Products!$B$5:$B$204,0)),IFERROR(MATCH(A596,Products!$A$5:$A$204,0),"")))</f>
        <v/>
      </c>
      <c r="L596">
        <f>IF(A596="","",IF(K596="","⚠ not in Products",INDEX(Products!$A$5:$A$204,K596)))</f>
        <v/>
      </c>
      <c r="M596" s="11">
        <f>IF(A596="","",J596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596+IFERROR(INDEX(Settings!$D$5:$D$9,MATCH("Etsy",Settings!$A$5:$A$9,0)),0)*D596)</f>
        <v/>
      </c>
      <c r="N596" s="11">
        <f>IF(A596="","",IF(K596="",0,D596*INDEX(Products!$I$5:$I$204,K596)))</f>
        <v/>
      </c>
      <c r="O596" s="11">
        <f>IF(A596="","",IF(K596="",0,J596*INDEX(Products!$H$5:$H$204,K596)))</f>
        <v/>
      </c>
      <c r="P596" s="11">
        <f>IF(A596="","",J596-M596-N596-O596)</f>
        <v/>
      </c>
    </row>
    <row r="597">
      <c r="A597">
        <f>IFERROR(INDEX('Etsy Import'!$A:$CZ,597,Settings!$C$20)&amp;"","")</f>
        <v/>
      </c>
      <c r="B597">
        <f>IFERROR(INDEX('Etsy Import'!$A:$CZ,597,Settings!$C$21)&amp;"","")</f>
        <v/>
      </c>
      <c r="C597">
        <f>IFERROR(INDEX('Etsy Import'!$A:$CZ,597,Settings!$C$22)&amp;"","")</f>
        <v/>
      </c>
      <c r="D597">
        <f>IF(A597="","",IFERROR(VALUE(SUBSTITUTE(SUBSTITUTE(INDEX('Etsy Import'!$A:$CZ,597,Settings!$C$23)&amp;"","$",""),",","")),0))</f>
        <v/>
      </c>
      <c r="E597" s="11">
        <f>IF(A597="","",IFERROR(VALUE(SUBSTITUTE(SUBSTITUTE(INDEX('Etsy Import'!$A:$CZ,597,Settings!$C$24)&amp;"","$",""),",","")),0))</f>
        <v/>
      </c>
      <c r="F597" s="11">
        <f>IF(A597="","",D597*E597)</f>
        <v/>
      </c>
      <c r="G597">
        <f>IF(A597="","",IF(C597="",1,COUNTIF($C$2:$C$1501,C597)))</f>
        <v/>
      </c>
      <c r="H597" s="11">
        <f>IF(A597="","",IFERROR(VALUE(SUBSTITUTE(SUBSTITUTE(INDEX('Etsy Import'!$A:$CZ,597,Settings!$C$25)&amp;"","$",""),",","")),0)/IF(Settings!$B$27="Yes",G597,1))</f>
        <v/>
      </c>
      <c r="I597" s="11">
        <f>IF(A597="","",IFERROR(VALUE(SUBSTITUTE(SUBSTITUTE(INDEX('Etsy Import'!$A:$CZ,597,Settings!$C$26)&amp;"","$",""),",","")),0)/IF(Settings!$B$27="Yes",G597,1))</f>
        <v/>
      </c>
      <c r="J597" s="11">
        <f>IF(A597="","",F597+H597-I597)</f>
        <v/>
      </c>
      <c r="K597">
        <f>IF(A597="","",IFERROR(IF(B597="",NA(),MATCH(B597,Products!$B$5:$B$204,0)),IFERROR(MATCH(A597,Products!$A$5:$A$204,0),"")))</f>
        <v/>
      </c>
      <c r="L597">
        <f>IF(A597="","",IF(K597="","⚠ not in Products",INDEX(Products!$A$5:$A$204,K597)))</f>
        <v/>
      </c>
      <c r="M597" s="11">
        <f>IF(A597="","",J597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597+IFERROR(INDEX(Settings!$D$5:$D$9,MATCH("Etsy",Settings!$A$5:$A$9,0)),0)*D597)</f>
        <v/>
      </c>
      <c r="N597" s="11">
        <f>IF(A597="","",IF(K597="",0,D597*INDEX(Products!$I$5:$I$204,K597)))</f>
        <v/>
      </c>
      <c r="O597" s="11">
        <f>IF(A597="","",IF(K597="",0,J597*INDEX(Products!$H$5:$H$204,K597)))</f>
        <v/>
      </c>
      <c r="P597" s="11">
        <f>IF(A597="","",J597-M597-N597-O597)</f>
        <v/>
      </c>
    </row>
    <row r="598">
      <c r="A598">
        <f>IFERROR(INDEX('Etsy Import'!$A:$CZ,598,Settings!$C$20)&amp;"","")</f>
        <v/>
      </c>
      <c r="B598">
        <f>IFERROR(INDEX('Etsy Import'!$A:$CZ,598,Settings!$C$21)&amp;"","")</f>
        <v/>
      </c>
      <c r="C598">
        <f>IFERROR(INDEX('Etsy Import'!$A:$CZ,598,Settings!$C$22)&amp;"","")</f>
        <v/>
      </c>
      <c r="D598">
        <f>IF(A598="","",IFERROR(VALUE(SUBSTITUTE(SUBSTITUTE(INDEX('Etsy Import'!$A:$CZ,598,Settings!$C$23)&amp;"","$",""),",","")),0))</f>
        <v/>
      </c>
      <c r="E598" s="11">
        <f>IF(A598="","",IFERROR(VALUE(SUBSTITUTE(SUBSTITUTE(INDEX('Etsy Import'!$A:$CZ,598,Settings!$C$24)&amp;"","$",""),",","")),0))</f>
        <v/>
      </c>
      <c r="F598" s="11">
        <f>IF(A598="","",D598*E598)</f>
        <v/>
      </c>
      <c r="G598">
        <f>IF(A598="","",IF(C598="",1,COUNTIF($C$2:$C$1501,C598)))</f>
        <v/>
      </c>
      <c r="H598" s="11">
        <f>IF(A598="","",IFERROR(VALUE(SUBSTITUTE(SUBSTITUTE(INDEX('Etsy Import'!$A:$CZ,598,Settings!$C$25)&amp;"","$",""),",","")),0)/IF(Settings!$B$27="Yes",G598,1))</f>
        <v/>
      </c>
      <c r="I598" s="11">
        <f>IF(A598="","",IFERROR(VALUE(SUBSTITUTE(SUBSTITUTE(INDEX('Etsy Import'!$A:$CZ,598,Settings!$C$26)&amp;"","$",""),",","")),0)/IF(Settings!$B$27="Yes",G598,1))</f>
        <v/>
      </c>
      <c r="J598" s="11">
        <f>IF(A598="","",F598+H598-I598)</f>
        <v/>
      </c>
      <c r="K598">
        <f>IF(A598="","",IFERROR(IF(B598="",NA(),MATCH(B598,Products!$B$5:$B$204,0)),IFERROR(MATCH(A598,Products!$A$5:$A$204,0),"")))</f>
        <v/>
      </c>
      <c r="L598">
        <f>IF(A598="","",IF(K598="","⚠ not in Products",INDEX(Products!$A$5:$A$204,K598)))</f>
        <v/>
      </c>
      <c r="M598" s="11">
        <f>IF(A598="","",J598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598+IFERROR(INDEX(Settings!$D$5:$D$9,MATCH("Etsy",Settings!$A$5:$A$9,0)),0)*D598)</f>
        <v/>
      </c>
      <c r="N598" s="11">
        <f>IF(A598="","",IF(K598="",0,D598*INDEX(Products!$I$5:$I$204,K598)))</f>
        <v/>
      </c>
      <c r="O598" s="11">
        <f>IF(A598="","",IF(K598="",0,J598*INDEX(Products!$H$5:$H$204,K598)))</f>
        <v/>
      </c>
      <c r="P598" s="11">
        <f>IF(A598="","",J598-M598-N598-O598)</f>
        <v/>
      </c>
    </row>
    <row r="599">
      <c r="A599">
        <f>IFERROR(INDEX('Etsy Import'!$A:$CZ,599,Settings!$C$20)&amp;"","")</f>
        <v/>
      </c>
      <c r="B599">
        <f>IFERROR(INDEX('Etsy Import'!$A:$CZ,599,Settings!$C$21)&amp;"","")</f>
        <v/>
      </c>
      <c r="C599">
        <f>IFERROR(INDEX('Etsy Import'!$A:$CZ,599,Settings!$C$22)&amp;"","")</f>
        <v/>
      </c>
      <c r="D599">
        <f>IF(A599="","",IFERROR(VALUE(SUBSTITUTE(SUBSTITUTE(INDEX('Etsy Import'!$A:$CZ,599,Settings!$C$23)&amp;"","$",""),",","")),0))</f>
        <v/>
      </c>
      <c r="E599" s="11">
        <f>IF(A599="","",IFERROR(VALUE(SUBSTITUTE(SUBSTITUTE(INDEX('Etsy Import'!$A:$CZ,599,Settings!$C$24)&amp;"","$",""),",","")),0))</f>
        <v/>
      </c>
      <c r="F599" s="11">
        <f>IF(A599="","",D599*E599)</f>
        <v/>
      </c>
      <c r="G599">
        <f>IF(A599="","",IF(C599="",1,COUNTIF($C$2:$C$1501,C599)))</f>
        <v/>
      </c>
      <c r="H599" s="11">
        <f>IF(A599="","",IFERROR(VALUE(SUBSTITUTE(SUBSTITUTE(INDEX('Etsy Import'!$A:$CZ,599,Settings!$C$25)&amp;"","$",""),",","")),0)/IF(Settings!$B$27="Yes",G599,1))</f>
        <v/>
      </c>
      <c r="I599" s="11">
        <f>IF(A599="","",IFERROR(VALUE(SUBSTITUTE(SUBSTITUTE(INDEX('Etsy Import'!$A:$CZ,599,Settings!$C$26)&amp;"","$",""),",","")),0)/IF(Settings!$B$27="Yes",G599,1))</f>
        <v/>
      </c>
      <c r="J599" s="11">
        <f>IF(A599="","",F599+H599-I599)</f>
        <v/>
      </c>
      <c r="K599">
        <f>IF(A599="","",IFERROR(IF(B599="",NA(),MATCH(B599,Products!$B$5:$B$204,0)),IFERROR(MATCH(A599,Products!$A$5:$A$204,0),"")))</f>
        <v/>
      </c>
      <c r="L599">
        <f>IF(A599="","",IF(K599="","⚠ not in Products",INDEX(Products!$A$5:$A$204,K599)))</f>
        <v/>
      </c>
      <c r="M599" s="11">
        <f>IF(A599="","",J599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599+IFERROR(INDEX(Settings!$D$5:$D$9,MATCH("Etsy",Settings!$A$5:$A$9,0)),0)*D599)</f>
        <v/>
      </c>
      <c r="N599" s="11">
        <f>IF(A599="","",IF(K599="",0,D599*INDEX(Products!$I$5:$I$204,K599)))</f>
        <v/>
      </c>
      <c r="O599" s="11">
        <f>IF(A599="","",IF(K599="",0,J599*INDEX(Products!$H$5:$H$204,K599)))</f>
        <v/>
      </c>
      <c r="P599" s="11">
        <f>IF(A599="","",J599-M599-N599-O599)</f>
        <v/>
      </c>
    </row>
    <row r="600">
      <c r="A600">
        <f>IFERROR(INDEX('Etsy Import'!$A:$CZ,600,Settings!$C$20)&amp;"","")</f>
        <v/>
      </c>
      <c r="B600">
        <f>IFERROR(INDEX('Etsy Import'!$A:$CZ,600,Settings!$C$21)&amp;"","")</f>
        <v/>
      </c>
      <c r="C600">
        <f>IFERROR(INDEX('Etsy Import'!$A:$CZ,600,Settings!$C$22)&amp;"","")</f>
        <v/>
      </c>
      <c r="D600">
        <f>IF(A600="","",IFERROR(VALUE(SUBSTITUTE(SUBSTITUTE(INDEX('Etsy Import'!$A:$CZ,600,Settings!$C$23)&amp;"","$",""),",","")),0))</f>
        <v/>
      </c>
      <c r="E600" s="11">
        <f>IF(A600="","",IFERROR(VALUE(SUBSTITUTE(SUBSTITUTE(INDEX('Etsy Import'!$A:$CZ,600,Settings!$C$24)&amp;"","$",""),",","")),0))</f>
        <v/>
      </c>
      <c r="F600" s="11">
        <f>IF(A600="","",D600*E600)</f>
        <v/>
      </c>
      <c r="G600">
        <f>IF(A600="","",IF(C600="",1,COUNTIF($C$2:$C$1501,C600)))</f>
        <v/>
      </c>
      <c r="H600" s="11">
        <f>IF(A600="","",IFERROR(VALUE(SUBSTITUTE(SUBSTITUTE(INDEX('Etsy Import'!$A:$CZ,600,Settings!$C$25)&amp;"","$",""),",","")),0)/IF(Settings!$B$27="Yes",G600,1))</f>
        <v/>
      </c>
      <c r="I600" s="11">
        <f>IF(A600="","",IFERROR(VALUE(SUBSTITUTE(SUBSTITUTE(INDEX('Etsy Import'!$A:$CZ,600,Settings!$C$26)&amp;"","$",""),",","")),0)/IF(Settings!$B$27="Yes",G600,1))</f>
        <v/>
      </c>
      <c r="J600" s="11">
        <f>IF(A600="","",F600+H600-I600)</f>
        <v/>
      </c>
      <c r="K600">
        <f>IF(A600="","",IFERROR(IF(B600="",NA(),MATCH(B600,Products!$B$5:$B$204,0)),IFERROR(MATCH(A600,Products!$A$5:$A$204,0),"")))</f>
        <v/>
      </c>
      <c r="L600">
        <f>IF(A600="","",IF(K600="","⚠ not in Products",INDEX(Products!$A$5:$A$204,K600)))</f>
        <v/>
      </c>
      <c r="M600" s="11">
        <f>IF(A600="","",J600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600+IFERROR(INDEX(Settings!$D$5:$D$9,MATCH("Etsy",Settings!$A$5:$A$9,0)),0)*D600)</f>
        <v/>
      </c>
      <c r="N600" s="11">
        <f>IF(A600="","",IF(K600="",0,D600*INDEX(Products!$I$5:$I$204,K600)))</f>
        <v/>
      </c>
      <c r="O600" s="11">
        <f>IF(A600="","",IF(K600="",0,J600*INDEX(Products!$H$5:$H$204,K600)))</f>
        <v/>
      </c>
      <c r="P600" s="11">
        <f>IF(A600="","",J600-M600-N600-O600)</f>
        <v/>
      </c>
    </row>
    <row r="601">
      <c r="A601">
        <f>IFERROR(INDEX('Etsy Import'!$A:$CZ,601,Settings!$C$20)&amp;"","")</f>
        <v/>
      </c>
      <c r="B601">
        <f>IFERROR(INDEX('Etsy Import'!$A:$CZ,601,Settings!$C$21)&amp;"","")</f>
        <v/>
      </c>
      <c r="C601">
        <f>IFERROR(INDEX('Etsy Import'!$A:$CZ,601,Settings!$C$22)&amp;"","")</f>
        <v/>
      </c>
      <c r="D601">
        <f>IF(A601="","",IFERROR(VALUE(SUBSTITUTE(SUBSTITUTE(INDEX('Etsy Import'!$A:$CZ,601,Settings!$C$23)&amp;"","$",""),",","")),0))</f>
        <v/>
      </c>
      <c r="E601" s="11">
        <f>IF(A601="","",IFERROR(VALUE(SUBSTITUTE(SUBSTITUTE(INDEX('Etsy Import'!$A:$CZ,601,Settings!$C$24)&amp;"","$",""),",","")),0))</f>
        <v/>
      </c>
      <c r="F601" s="11">
        <f>IF(A601="","",D601*E601)</f>
        <v/>
      </c>
      <c r="G601">
        <f>IF(A601="","",IF(C601="",1,COUNTIF($C$2:$C$1501,C601)))</f>
        <v/>
      </c>
      <c r="H601" s="11">
        <f>IF(A601="","",IFERROR(VALUE(SUBSTITUTE(SUBSTITUTE(INDEX('Etsy Import'!$A:$CZ,601,Settings!$C$25)&amp;"","$",""),",","")),0)/IF(Settings!$B$27="Yes",G601,1))</f>
        <v/>
      </c>
      <c r="I601" s="11">
        <f>IF(A601="","",IFERROR(VALUE(SUBSTITUTE(SUBSTITUTE(INDEX('Etsy Import'!$A:$CZ,601,Settings!$C$26)&amp;"","$",""),",","")),0)/IF(Settings!$B$27="Yes",G601,1))</f>
        <v/>
      </c>
      <c r="J601" s="11">
        <f>IF(A601="","",F601+H601-I601)</f>
        <v/>
      </c>
      <c r="K601">
        <f>IF(A601="","",IFERROR(IF(B601="",NA(),MATCH(B601,Products!$B$5:$B$204,0)),IFERROR(MATCH(A601,Products!$A$5:$A$204,0),"")))</f>
        <v/>
      </c>
      <c r="L601">
        <f>IF(A601="","",IF(K601="","⚠ not in Products",INDEX(Products!$A$5:$A$204,K601)))</f>
        <v/>
      </c>
      <c r="M601" s="11">
        <f>IF(A601="","",J601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601+IFERROR(INDEX(Settings!$D$5:$D$9,MATCH("Etsy",Settings!$A$5:$A$9,0)),0)*D601)</f>
        <v/>
      </c>
      <c r="N601" s="11">
        <f>IF(A601="","",IF(K601="",0,D601*INDEX(Products!$I$5:$I$204,K601)))</f>
        <v/>
      </c>
      <c r="O601" s="11">
        <f>IF(A601="","",IF(K601="",0,J601*INDEX(Products!$H$5:$H$204,K601)))</f>
        <v/>
      </c>
      <c r="P601" s="11">
        <f>IF(A601="","",J601-M601-N601-O601)</f>
        <v/>
      </c>
    </row>
    <row r="602">
      <c r="A602">
        <f>IFERROR(INDEX('Etsy Import'!$A:$CZ,602,Settings!$C$20)&amp;"","")</f>
        <v/>
      </c>
      <c r="B602">
        <f>IFERROR(INDEX('Etsy Import'!$A:$CZ,602,Settings!$C$21)&amp;"","")</f>
        <v/>
      </c>
      <c r="C602">
        <f>IFERROR(INDEX('Etsy Import'!$A:$CZ,602,Settings!$C$22)&amp;"","")</f>
        <v/>
      </c>
      <c r="D602">
        <f>IF(A602="","",IFERROR(VALUE(SUBSTITUTE(SUBSTITUTE(INDEX('Etsy Import'!$A:$CZ,602,Settings!$C$23)&amp;"","$",""),",","")),0))</f>
        <v/>
      </c>
      <c r="E602" s="11">
        <f>IF(A602="","",IFERROR(VALUE(SUBSTITUTE(SUBSTITUTE(INDEX('Etsy Import'!$A:$CZ,602,Settings!$C$24)&amp;"","$",""),",","")),0))</f>
        <v/>
      </c>
      <c r="F602" s="11">
        <f>IF(A602="","",D602*E602)</f>
        <v/>
      </c>
      <c r="G602">
        <f>IF(A602="","",IF(C602="",1,COUNTIF($C$2:$C$1501,C602)))</f>
        <v/>
      </c>
      <c r="H602" s="11">
        <f>IF(A602="","",IFERROR(VALUE(SUBSTITUTE(SUBSTITUTE(INDEX('Etsy Import'!$A:$CZ,602,Settings!$C$25)&amp;"","$",""),",","")),0)/IF(Settings!$B$27="Yes",G602,1))</f>
        <v/>
      </c>
      <c r="I602" s="11">
        <f>IF(A602="","",IFERROR(VALUE(SUBSTITUTE(SUBSTITUTE(INDEX('Etsy Import'!$A:$CZ,602,Settings!$C$26)&amp;"","$",""),",","")),0)/IF(Settings!$B$27="Yes",G602,1))</f>
        <v/>
      </c>
      <c r="J602" s="11">
        <f>IF(A602="","",F602+H602-I602)</f>
        <v/>
      </c>
      <c r="K602">
        <f>IF(A602="","",IFERROR(IF(B602="",NA(),MATCH(B602,Products!$B$5:$B$204,0)),IFERROR(MATCH(A602,Products!$A$5:$A$204,0),"")))</f>
        <v/>
      </c>
      <c r="L602">
        <f>IF(A602="","",IF(K602="","⚠ not in Products",INDEX(Products!$A$5:$A$204,K602)))</f>
        <v/>
      </c>
      <c r="M602" s="11">
        <f>IF(A602="","",J602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602+IFERROR(INDEX(Settings!$D$5:$D$9,MATCH("Etsy",Settings!$A$5:$A$9,0)),0)*D602)</f>
        <v/>
      </c>
      <c r="N602" s="11">
        <f>IF(A602="","",IF(K602="",0,D602*INDEX(Products!$I$5:$I$204,K602)))</f>
        <v/>
      </c>
      <c r="O602" s="11">
        <f>IF(A602="","",IF(K602="",0,J602*INDEX(Products!$H$5:$H$204,K602)))</f>
        <v/>
      </c>
      <c r="P602" s="11">
        <f>IF(A602="","",J602-M602-N602-O602)</f>
        <v/>
      </c>
    </row>
    <row r="603">
      <c r="A603">
        <f>IFERROR(INDEX('Etsy Import'!$A:$CZ,603,Settings!$C$20)&amp;"","")</f>
        <v/>
      </c>
      <c r="B603">
        <f>IFERROR(INDEX('Etsy Import'!$A:$CZ,603,Settings!$C$21)&amp;"","")</f>
        <v/>
      </c>
      <c r="C603">
        <f>IFERROR(INDEX('Etsy Import'!$A:$CZ,603,Settings!$C$22)&amp;"","")</f>
        <v/>
      </c>
      <c r="D603">
        <f>IF(A603="","",IFERROR(VALUE(SUBSTITUTE(SUBSTITUTE(INDEX('Etsy Import'!$A:$CZ,603,Settings!$C$23)&amp;"","$",""),",","")),0))</f>
        <v/>
      </c>
      <c r="E603" s="11">
        <f>IF(A603="","",IFERROR(VALUE(SUBSTITUTE(SUBSTITUTE(INDEX('Etsy Import'!$A:$CZ,603,Settings!$C$24)&amp;"","$",""),",","")),0))</f>
        <v/>
      </c>
      <c r="F603" s="11">
        <f>IF(A603="","",D603*E603)</f>
        <v/>
      </c>
      <c r="G603">
        <f>IF(A603="","",IF(C603="",1,COUNTIF($C$2:$C$1501,C603)))</f>
        <v/>
      </c>
      <c r="H603" s="11">
        <f>IF(A603="","",IFERROR(VALUE(SUBSTITUTE(SUBSTITUTE(INDEX('Etsy Import'!$A:$CZ,603,Settings!$C$25)&amp;"","$",""),",","")),0)/IF(Settings!$B$27="Yes",G603,1))</f>
        <v/>
      </c>
      <c r="I603" s="11">
        <f>IF(A603="","",IFERROR(VALUE(SUBSTITUTE(SUBSTITUTE(INDEX('Etsy Import'!$A:$CZ,603,Settings!$C$26)&amp;"","$",""),",","")),0)/IF(Settings!$B$27="Yes",G603,1))</f>
        <v/>
      </c>
      <c r="J603" s="11">
        <f>IF(A603="","",F603+H603-I603)</f>
        <v/>
      </c>
      <c r="K603">
        <f>IF(A603="","",IFERROR(IF(B603="",NA(),MATCH(B603,Products!$B$5:$B$204,0)),IFERROR(MATCH(A603,Products!$A$5:$A$204,0),"")))</f>
        <v/>
      </c>
      <c r="L603">
        <f>IF(A603="","",IF(K603="","⚠ not in Products",INDEX(Products!$A$5:$A$204,K603)))</f>
        <v/>
      </c>
      <c r="M603" s="11">
        <f>IF(A603="","",J603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603+IFERROR(INDEX(Settings!$D$5:$D$9,MATCH("Etsy",Settings!$A$5:$A$9,0)),0)*D603)</f>
        <v/>
      </c>
      <c r="N603" s="11">
        <f>IF(A603="","",IF(K603="",0,D603*INDEX(Products!$I$5:$I$204,K603)))</f>
        <v/>
      </c>
      <c r="O603" s="11">
        <f>IF(A603="","",IF(K603="",0,J603*INDEX(Products!$H$5:$H$204,K603)))</f>
        <v/>
      </c>
      <c r="P603" s="11">
        <f>IF(A603="","",J603-M603-N603-O603)</f>
        <v/>
      </c>
    </row>
    <row r="604">
      <c r="A604">
        <f>IFERROR(INDEX('Etsy Import'!$A:$CZ,604,Settings!$C$20)&amp;"","")</f>
        <v/>
      </c>
      <c r="B604">
        <f>IFERROR(INDEX('Etsy Import'!$A:$CZ,604,Settings!$C$21)&amp;"","")</f>
        <v/>
      </c>
      <c r="C604">
        <f>IFERROR(INDEX('Etsy Import'!$A:$CZ,604,Settings!$C$22)&amp;"","")</f>
        <v/>
      </c>
      <c r="D604">
        <f>IF(A604="","",IFERROR(VALUE(SUBSTITUTE(SUBSTITUTE(INDEX('Etsy Import'!$A:$CZ,604,Settings!$C$23)&amp;"","$",""),",","")),0))</f>
        <v/>
      </c>
      <c r="E604" s="11">
        <f>IF(A604="","",IFERROR(VALUE(SUBSTITUTE(SUBSTITUTE(INDEX('Etsy Import'!$A:$CZ,604,Settings!$C$24)&amp;"","$",""),",","")),0))</f>
        <v/>
      </c>
      <c r="F604" s="11">
        <f>IF(A604="","",D604*E604)</f>
        <v/>
      </c>
      <c r="G604">
        <f>IF(A604="","",IF(C604="",1,COUNTIF($C$2:$C$1501,C604)))</f>
        <v/>
      </c>
      <c r="H604" s="11">
        <f>IF(A604="","",IFERROR(VALUE(SUBSTITUTE(SUBSTITUTE(INDEX('Etsy Import'!$A:$CZ,604,Settings!$C$25)&amp;"","$",""),",","")),0)/IF(Settings!$B$27="Yes",G604,1))</f>
        <v/>
      </c>
      <c r="I604" s="11">
        <f>IF(A604="","",IFERROR(VALUE(SUBSTITUTE(SUBSTITUTE(INDEX('Etsy Import'!$A:$CZ,604,Settings!$C$26)&amp;"","$",""),",","")),0)/IF(Settings!$B$27="Yes",G604,1))</f>
        <v/>
      </c>
      <c r="J604" s="11">
        <f>IF(A604="","",F604+H604-I604)</f>
        <v/>
      </c>
      <c r="K604">
        <f>IF(A604="","",IFERROR(IF(B604="",NA(),MATCH(B604,Products!$B$5:$B$204,0)),IFERROR(MATCH(A604,Products!$A$5:$A$204,0),"")))</f>
        <v/>
      </c>
      <c r="L604">
        <f>IF(A604="","",IF(K604="","⚠ not in Products",INDEX(Products!$A$5:$A$204,K604)))</f>
        <v/>
      </c>
      <c r="M604" s="11">
        <f>IF(A604="","",J604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604+IFERROR(INDEX(Settings!$D$5:$D$9,MATCH("Etsy",Settings!$A$5:$A$9,0)),0)*D604)</f>
        <v/>
      </c>
      <c r="N604" s="11">
        <f>IF(A604="","",IF(K604="",0,D604*INDEX(Products!$I$5:$I$204,K604)))</f>
        <v/>
      </c>
      <c r="O604" s="11">
        <f>IF(A604="","",IF(K604="",0,J604*INDEX(Products!$H$5:$H$204,K604)))</f>
        <v/>
      </c>
      <c r="P604" s="11">
        <f>IF(A604="","",J604-M604-N604-O604)</f>
        <v/>
      </c>
    </row>
    <row r="605">
      <c r="A605">
        <f>IFERROR(INDEX('Etsy Import'!$A:$CZ,605,Settings!$C$20)&amp;"","")</f>
        <v/>
      </c>
      <c r="B605">
        <f>IFERROR(INDEX('Etsy Import'!$A:$CZ,605,Settings!$C$21)&amp;"","")</f>
        <v/>
      </c>
      <c r="C605">
        <f>IFERROR(INDEX('Etsy Import'!$A:$CZ,605,Settings!$C$22)&amp;"","")</f>
        <v/>
      </c>
      <c r="D605">
        <f>IF(A605="","",IFERROR(VALUE(SUBSTITUTE(SUBSTITUTE(INDEX('Etsy Import'!$A:$CZ,605,Settings!$C$23)&amp;"","$",""),",","")),0))</f>
        <v/>
      </c>
      <c r="E605" s="11">
        <f>IF(A605="","",IFERROR(VALUE(SUBSTITUTE(SUBSTITUTE(INDEX('Etsy Import'!$A:$CZ,605,Settings!$C$24)&amp;"","$",""),",","")),0))</f>
        <v/>
      </c>
      <c r="F605" s="11">
        <f>IF(A605="","",D605*E605)</f>
        <v/>
      </c>
      <c r="G605">
        <f>IF(A605="","",IF(C605="",1,COUNTIF($C$2:$C$1501,C605)))</f>
        <v/>
      </c>
      <c r="H605" s="11">
        <f>IF(A605="","",IFERROR(VALUE(SUBSTITUTE(SUBSTITUTE(INDEX('Etsy Import'!$A:$CZ,605,Settings!$C$25)&amp;"","$",""),",","")),0)/IF(Settings!$B$27="Yes",G605,1))</f>
        <v/>
      </c>
      <c r="I605" s="11">
        <f>IF(A605="","",IFERROR(VALUE(SUBSTITUTE(SUBSTITUTE(INDEX('Etsy Import'!$A:$CZ,605,Settings!$C$26)&amp;"","$",""),",","")),0)/IF(Settings!$B$27="Yes",G605,1))</f>
        <v/>
      </c>
      <c r="J605" s="11">
        <f>IF(A605="","",F605+H605-I605)</f>
        <v/>
      </c>
      <c r="K605">
        <f>IF(A605="","",IFERROR(IF(B605="",NA(),MATCH(B605,Products!$B$5:$B$204,0)),IFERROR(MATCH(A605,Products!$A$5:$A$204,0),"")))</f>
        <v/>
      </c>
      <c r="L605">
        <f>IF(A605="","",IF(K605="","⚠ not in Products",INDEX(Products!$A$5:$A$204,K605)))</f>
        <v/>
      </c>
      <c r="M605" s="11">
        <f>IF(A605="","",J605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605+IFERROR(INDEX(Settings!$D$5:$D$9,MATCH("Etsy",Settings!$A$5:$A$9,0)),0)*D605)</f>
        <v/>
      </c>
      <c r="N605" s="11">
        <f>IF(A605="","",IF(K605="",0,D605*INDEX(Products!$I$5:$I$204,K605)))</f>
        <v/>
      </c>
      <c r="O605" s="11">
        <f>IF(A605="","",IF(K605="",0,J605*INDEX(Products!$H$5:$H$204,K605)))</f>
        <v/>
      </c>
      <c r="P605" s="11">
        <f>IF(A605="","",J605-M605-N605-O605)</f>
        <v/>
      </c>
    </row>
    <row r="606">
      <c r="A606">
        <f>IFERROR(INDEX('Etsy Import'!$A:$CZ,606,Settings!$C$20)&amp;"","")</f>
        <v/>
      </c>
      <c r="B606">
        <f>IFERROR(INDEX('Etsy Import'!$A:$CZ,606,Settings!$C$21)&amp;"","")</f>
        <v/>
      </c>
      <c r="C606">
        <f>IFERROR(INDEX('Etsy Import'!$A:$CZ,606,Settings!$C$22)&amp;"","")</f>
        <v/>
      </c>
      <c r="D606">
        <f>IF(A606="","",IFERROR(VALUE(SUBSTITUTE(SUBSTITUTE(INDEX('Etsy Import'!$A:$CZ,606,Settings!$C$23)&amp;"","$",""),",","")),0))</f>
        <v/>
      </c>
      <c r="E606" s="11">
        <f>IF(A606="","",IFERROR(VALUE(SUBSTITUTE(SUBSTITUTE(INDEX('Etsy Import'!$A:$CZ,606,Settings!$C$24)&amp;"","$",""),",","")),0))</f>
        <v/>
      </c>
      <c r="F606" s="11">
        <f>IF(A606="","",D606*E606)</f>
        <v/>
      </c>
      <c r="G606">
        <f>IF(A606="","",IF(C606="",1,COUNTIF($C$2:$C$1501,C606)))</f>
        <v/>
      </c>
      <c r="H606" s="11">
        <f>IF(A606="","",IFERROR(VALUE(SUBSTITUTE(SUBSTITUTE(INDEX('Etsy Import'!$A:$CZ,606,Settings!$C$25)&amp;"","$",""),",","")),0)/IF(Settings!$B$27="Yes",G606,1))</f>
        <v/>
      </c>
      <c r="I606" s="11">
        <f>IF(A606="","",IFERROR(VALUE(SUBSTITUTE(SUBSTITUTE(INDEX('Etsy Import'!$A:$CZ,606,Settings!$C$26)&amp;"","$",""),",","")),0)/IF(Settings!$B$27="Yes",G606,1))</f>
        <v/>
      </c>
      <c r="J606" s="11">
        <f>IF(A606="","",F606+H606-I606)</f>
        <v/>
      </c>
      <c r="K606">
        <f>IF(A606="","",IFERROR(IF(B606="",NA(),MATCH(B606,Products!$B$5:$B$204,0)),IFERROR(MATCH(A606,Products!$A$5:$A$204,0),"")))</f>
        <v/>
      </c>
      <c r="L606">
        <f>IF(A606="","",IF(K606="","⚠ not in Products",INDEX(Products!$A$5:$A$204,K606)))</f>
        <v/>
      </c>
      <c r="M606" s="11">
        <f>IF(A606="","",J606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606+IFERROR(INDEX(Settings!$D$5:$D$9,MATCH("Etsy",Settings!$A$5:$A$9,0)),0)*D606)</f>
        <v/>
      </c>
      <c r="N606" s="11">
        <f>IF(A606="","",IF(K606="",0,D606*INDEX(Products!$I$5:$I$204,K606)))</f>
        <v/>
      </c>
      <c r="O606" s="11">
        <f>IF(A606="","",IF(K606="",0,J606*INDEX(Products!$H$5:$H$204,K606)))</f>
        <v/>
      </c>
      <c r="P606" s="11">
        <f>IF(A606="","",J606-M606-N606-O606)</f>
        <v/>
      </c>
    </row>
    <row r="607">
      <c r="A607">
        <f>IFERROR(INDEX('Etsy Import'!$A:$CZ,607,Settings!$C$20)&amp;"","")</f>
        <v/>
      </c>
      <c r="B607">
        <f>IFERROR(INDEX('Etsy Import'!$A:$CZ,607,Settings!$C$21)&amp;"","")</f>
        <v/>
      </c>
      <c r="C607">
        <f>IFERROR(INDEX('Etsy Import'!$A:$CZ,607,Settings!$C$22)&amp;"","")</f>
        <v/>
      </c>
      <c r="D607">
        <f>IF(A607="","",IFERROR(VALUE(SUBSTITUTE(SUBSTITUTE(INDEX('Etsy Import'!$A:$CZ,607,Settings!$C$23)&amp;"","$",""),",","")),0))</f>
        <v/>
      </c>
      <c r="E607" s="11">
        <f>IF(A607="","",IFERROR(VALUE(SUBSTITUTE(SUBSTITUTE(INDEX('Etsy Import'!$A:$CZ,607,Settings!$C$24)&amp;"","$",""),",","")),0))</f>
        <v/>
      </c>
      <c r="F607" s="11">
        <f>IF(A607="","",D607*E607)</f>
        <v/>
      </c>
      <c r="G607">
        <f>IF(A607="","",IF(C607="",1,COUNTIF($C$2:$C$1501,C607)))</f>
        <v/>
      </c>
      <c r="H607" s="11">
        <f>IF(A607="","",IFERROR(VALUE(SUBSTITUTE(SUBSTITUTE(INDEX('Etsy Import'!$A:$CZ,607,Settings!$C$25)&amp;"","$",""),",","")),0)/IF(Settings!$B$27="Yes",G607,1))</f>
        <v/>
      </c>
      <c r="I607" s="11">
        <f>IF(A607="","",IFERROR(VALUE(SUBSTITUTE(SUBSTITUTE(INDEX('Etsy Import'!$A:$CZ,607,Settings!$C$26)&amp;"","$",""),",","")),0)/IF(Settings!$B$27="Yes",G607,1))</f>
        <v/>
      </c>
      <c r="J607" s="11">
        <f>IF(A607="","",F607+H607-I607)</f>
        <v/>
      </c>
      <c r="K607">
        <f>IF(A607="","",IFERROR(IF(B607="",NA(),MATCH(B607,Products!$B$5:$B$204,0)),IFERROR(MATCH(A607,Products!$A$5:$A$204,0),"")))</f>
        <v/>
      </c>
      <c r="L607">
        <f>IF(A607="","",IF(K607="","⚠ not in Products",INDEX(Products!$A$5:$A$204,K607)))</f>
        <v/>
      </c>
      <c r="M607" s="11">
        <f>IF(A607="","",J607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607+IFERROR(INDEX(Settings!$D$5:$D$9,MATCH("Etsy",Settings!$A$5:$A$9,0)),0)*D607)</f>
        <v/>
      </c>
      <c r="N607" s="11">
        <f>IF(A607="","",IF(K607="",0,D607*INDEX(Products!$I$5:$I$204,K607)))</f>
        <v/>
      </c>
      <c r="O607" s="11">
        <f>IF(A607="","",IF(K607="",0,J607*INDEX(Products!$H$5:$H$204,K607)))</f>
        <v/>
      </c>
      <c r="P607" s="11">
        <f>IF(A607="","",J607-M607-N607-O607)</f>
        <v/>
      </c>
    </row>
    <row r="608">
      <c r="A608">
        <f>IFERROR(INDEX('Etsy Import'!$A:$CZ,608,Settings!$C$20)&amp;"","")</f>
        <v/>
      </c>
      <c r="B608">
        <f>IFERROR(INDEX('Etsy Import'!$A:$CZ,608,Settings!$C$21)&amp;"","")</f>
        <v/>
      </c>
      <c r="C608">
        <f>IFERROR(INDEX('Etsy Import'!$A:$CZ,608,Settings!$C$22)&amp;"","")</f>
        <v/>
      </c>
      <c r="D608">
        <f>IF(A608="","",IFERROR(VALUE(SUBSTITUTE(SUBSTITUTE(INDEX('Etsy Import'!$A:$CZ,608,Settings!$C$23)&amp;"","$",""),",","")),0))</f>
        <v/>
      </c>
      <c r="E608" s="11">
        <f>IF(A608="","",IFERROR(VALUE(SUBSTITUTE(SUBSTITUTE(INDEX('Etsy Import'!$A:$CZ,608,Settings!$C$24)&amp;"","$",""),",","")),0))</f>
        <v/>
      </c>
      <c r="F608" s="11">
        <f>IF(A608="","",D608*E608)</f>
        <v/>
      </c>
      <c r="G608">
        <f>IF(A608="","",IF(C608="",1,COUNTIF($C$2:$C$1501,C608)))</f>
        <v/>
      </c>
      <c r="H608" s="11">
        <f>IF(A608="","",IFERROR(VALUE(SUBSTITUTE(SUBSTITUTE(INDEX('Etsy Import'!$A:$CZ,608,Settings!$C$25)&amp;"","$",""),",","")),0)/IF(Settings!$B$27="Yes",G608,1))</f>
        <v/>
      </c>
      <c r="I608" s="11">
        <f>IF(A608="","",IFERROR(VALUE(SUBSTITUTE(SUBSTITUTE(INDEX('Etsy Import'!$A:$CZ,608,Settings!$C$26)&amp;"","$",""),",","")),0)/IF(Settings!$B$27="Yes",G608,1))</f>
        <v/>
      </c>
      <c r="J608" s="11">
        <f>IF(A608="","",F608+H608-I608)</f>
        <v/>
      </c>
      <c r="K608">
        <f>IF(A608="","",IFERROR(IF(B608="",NA(),MATCH(B608,Products!$B$5:$B$204,0)),IFERROR(MATCH(A608,Products!$A$5:$A$204,0),"")))</f>
        <v/>
      </c>
      <c r="L608">
        <f>IF(A608="","",IF(K608="","⚠ not in Products",INDEX(Products!$A$5:$A$204,K608)))</f>
        <v/>
      </c>
      <c r="M608" s="11">
        <f>IF(A608="","",J608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608+IFERROR(INDEX(Settings!$D$5:$D$9,MATCH("Etsy",Settings!$A$5:$A$9,0)),0)*D608)</f>
        <v/>
      </c>
      <c r="N608" s="11">
        <f>IF(A608="","",IF(K608="",0,D608*INDEX(Products!$I$5:$I$204,K608)))</f>
        <v/>
      </c>
      <c r="O608" s="11">
        <f>IF(A608="","",IF(K608="",0,J608*INDEX(Products!$H$5:$H$204,K608)))</f>
        <v/>
      </c>
      <c r="P608" s="11">
        <f>IF(A608="","",J608-M608-N608-O608)</f>
        <v/>
      </c>
    </row>
    <row r="609">
      <c r="A609">
        <f>IFERROR(INDEX('Etsy Import'!$A:$CZ,609,Settings!$C$20)&amp;"","")</f>
        <v/>
      </c>
      <c r="B609">
        <f>IFERROR(INDEX('Etsy Import'!$A:$CZ,609,Settings!$C$21)&amp;"","")</f>
        <v/>
      </c>
      <c r="C609">
        <f>IFERROR(INDEX('Etsy Import'!$A:$CZ,609,Settings!$C$22)&amp;"","")</f>
        <v/>
      </c>
      <c r="D609">
        <f>IF(A609="","",IFERROR(VALUE(SUBSTITUTE(SUBSTITUTE(INDEX('Etsy Import'!$A:$CZ,609,Settings!$C$23)&amp;"","$",""),",","")),0))</f>
        <v/>
      </c>
      <c r="E609" s="11">
        <f>IF(A609="","",IFERROR(VALUE(SUBSTITUTE(SUBSTITUTE(INDEX('Etsy Import'!$A:$CZ,609,Settings!$C$24)&amp;"","$",""),",","")),0))</f>
        <v/>
      </c>
      <c r="F609" s="11">
        <f>IF(A609="","",D609*E609)</f>
        <v/>
      </c>
      <c r="G609">
        <f>IF(A609="","",IF(C609="",1,COUNTIF($C$2:$C$1501,C609)))</f>
        <v/>
      </c>
      <c r="H609" s="11">
        <f>IF(A609="","",IFERROR(VALUE(SUBSTITUTE(SUBSTITUTE(INDEX('Etsy Import'!$A:$CZ,609,Settings!$C$25)&amp;"","$",""),",","")),0)/IF(Settings!$B$27="Yes",G609,1))</f>
        <v/>
      </c>
      <c r="I609" s="11">
        <f>IF(A609="","",IFERROR(VALUE(SUBSTITUTE(SUBSTITUTE(INDEX('Etsy Import'!$A:$CZ,609,Settings!$C$26)&amp;"","$",""),",","")),0)/IF(Settings!$B$27="Yes",G609,1))</f>
        <v/>
      </c>
      <c r="J609" s="11">
        <f>IF(A609="","",F609+H609-I609)</f>
        <v/>
      </c>
      <c r="K609">
        <f>IF(A609="","",IFERROR(IF(B609="",NA(),MATCH(B609,Products!$B$5:$B$204,0)),IFERROR(MATCH(A609,Products!$A$5:$A$204,0),"")))</f>
        <v/>
      </c>
      <c r="L609">
        <f>IF(A609="","",IF(K609="","⚠ not in Products",INDEX(Products!$A$5:$A$204,K609)))</f>
        <v/>
      </c>
      <c r="M609" s="11">
        <f>IF(A609="","",J609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609+IFERROR(INDEX(Settings!$D$5:$D$9,MATCH("Etsy",Settings!$A$5:$A$9,0)),0)*D609)</f>
        <v/>
      </c>
      <c r="N609" s="11">
        <f>IF(A609="","",IF(K609="",0,D609*INDEX(Products!$I$5:$I$204,K609)))</f>
        <v/>
      </c>
      <c r="O609" s="11">
        <f>IF(A609="","",IF(K609="",0,J609*INDEX(Products!$H$5:$H$204,K609)))</f>
        <v/>
      </c>
      <c r="P609" s="11">
        <f>IF(A609="","",J609-M609-N609-O609)</f>
        <v/>
      </c>
    </row>
    <row r="610">
      <c r="A610">
        <f>IFERROR(INDEX('Etsy Import'!$A:$CZ,610,Settings!$C$20)&amp;"","")</f>
        <v/>
      </c>
      <c r="B610">
        <f>IFERROR(INDEX('Etsy Import'!$A:$CZ,610,Settings!$C$21)&amp;"","")</f>
        <v/>
      </c>
      <c r="C610">
        <f>IFERROR(INDEX('Etsy Import'!$A:$CZ,610,Settings!$C$22)&amp;"","")</f>
        <v/>
      </c>
      <c r="D610">
        <f>IF(A610="","",IFERROR(VALUE(SUBSTITUTE(SUBSTITUTE(INDEX('Etsy Import'!$A:$CZ,610,Settings!$C$23)&amp;"","$",""),",","")),0))</f>
        <v/>
      </c>
      <c r="E610" s="11">
        <f>IF(A610="","",IFERROR(VALUE(SUBSTITUTE(SUBSTITUTE(INDEX('Etsy Import'!$A:$CZ,610,Settings!$C$24)&amp;"","$",""),",","")),0))</f>
        <v/>
      </c>
      <c r="F610" s="11">
        <f>IF(A610="","",D610*E610)</f>
        <v/>
      </c>
      <c r="G610">
        <f>IF(A610="","",IF(C610="",1,COUNTIF($C$2:$C$1501,C610)))</f>
        <v/>
      </c>
      <c r="H610" s="11">
        <f>IF(A610="","",IFERROR(VALUE(SUBSTITUTE(SUBSTITUTE(INDEX('Etsy Import'!$A:$CZ,610,Settings!$C$25)&amp;"","$",""),",","")),0)/IF(Settings!$B$27="Yes",G610,1))</f>
        <v/>
      </c>
      <c r="I610" s="11">
        <f>IF(A610="","",IFERROR(VALUE(SUBSTITUTE(SUBSTITUTE(INDEX('Etsy Import'!$A:$CZ,610,Settings!$C$26)&amp;"","$",""),",","")),0)/IF(Settings!$B$27="Yes",G610,1))</f>
        <v/>
      </c>
      <c r="J610" s="11">
        <f>IF(A610="","",F610+H610-I610)</f>
        <v/>
      </c>
      <c r="K610">
        <f>IF(A610="","",IFERROR(IF(B610="",NA(),MATCH(B610,Products!$B$5:$B$204,0)),IFERROR(MATCH(A610,Products!$A$5:$A$204,0),"")))</f>
        <v/>
      </c>
      <c r="L610">
        <f>IF(A610="","",IF(K610="","⚠ not in Products",INDEX(Products!$A$5:$A$204,K610)))</f>
        <v/>
      </c>
      <c r="M610" s="11">
        <f>IF(A610="","",J610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610+IFERROR(INDEX(Settings!$D$5:$D$9,MATCH("Etsy",Settings!$A$5:$A$9,0)),0)*D610)</f>
        <v/>
      </c>
      <c r="N610" s="11">
        <f>IF(A610="","",IF(K610="",0,D610*INDEX(Products!$I$5:$I$204,K610)))</f>
        <v/>
      </c>
      <c r="O610" s="11">
        <f>IF(A610="","",IF(K610="",0,J610*INDEX(Products!$H$5:$H$204,K610)))</f>
        <v/>
      </c>
      <c r="P610" s="11">
        <f>IF(A610="","",J610-M610-N610-O610)</f>
        <v/>
      </c>
    </row>
    <row r="611">
      <c r="A611">
        <f>IFERROR(INDEX('Etsy Import'!$A:$CZ,611,Settings!$C$20)&amp;"","")</f>
        <v/>
      </c>
      <c r="B611">
        <f>IFERROR(INDEX('Etsy Import'!$A:$CZ,611,Settings!$C$21)&amp;"","")</f>
        <v/>
      </c>
      <c r="C611">
        <f>IFERROR(INDEX('Etsy Import'!$A:$CZ,611,Settings!$C$22)&amp;"","")</f>
        <v/>
      </c>
      <c r="D611">
        <f>IF(A611="","",IFERROR(VALUE(SUBSTITUTE(SUBSTITUTE(INDEX('Etsy Import'!$A:$CZ,611,Settings!$C$23)&amp;"","$",""),",","")),0))</f>
        <v/>
      </c>
      <c r="E611" s="11">
        <f>IF(A611="","",IFERROR(VALUE(SUBSTITUTE(SUBSTITUTE(INDEX('Etsy Import'!$A:$CZ,611,Settings!$C$24)&amp;"","$",""),",","")),0))</f>
        <v/>
      </c>
      <c r="F611" s="11">
        <f>IF(A611="","",D611*E611)</f>
        <v/>
      </c>
      <c r="G611">
        <f>IF(A611="","",IF(C611="",1,COUNTIF($C$2:$C$1501,C611)))</f>
        <v/>
      </c>
      <c r="H611" s="11">
        <f>IF(A611="","",IFERROR(VALUE(SUBSTITUTE(SUBSTITUTE(INDEX('Etsy Import'!$A:$CZ,611,Settings!$C$25)&amp;"","$",""),",","")),0)/IF(Settings!$B$27="Yes",G611,1))</f>
        <v/>
      </c>
      <c r="I611" s="11">
        <f>IF(A611="","",IFERROR(VALUE(SUBSTITUTE(SUBSTITUTE(INDEX('Etsy Import'!$A:$CZ,611,Settings!$C$26)&amp;"","$",""),",","")),0)/IF(Settings!$B$27="Yes",G611,1))</f>
        <v/>
      </c>
      <c r="J611" s="11">
        <f>IF(A611="","",F611+H611-I611)</f>
        <v/>
      </c>
      <c r="K611">
        <f>IF(A611="","",IFERROR(IF(B611="",NA(),MATCH(B611,Products!$B$5:$B$204,0)),IFERROR(MATCH(A611,Products!$A$5:$A$204,0),"")))</f>
        <v/>
      </c>
      <c r="L611">
        <f>IF(A611="","",IF(K611="","⚠ not in Products",INDEX(Products!$A$5:$A$204,K611)))</f>
        <v/>
      </c>
      <c r="M611" s="11">
        <f>IF(A611="","",J611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611+IFERROR(INDEX(Settings!$D$5:$D$9,MATCH("Etsy",Settings!$A$5:$A$9,0)),0)*D611)</f>
        <v/>
      </c>
      <c r="N611" s="11">
        <f>IF(A611="","",IF(K611="",0,D611*INDEX(Products!$I$5:$I$204,K611)))</f>
        <v/>
      </c>
      <c r="O611" s="11">
        <f>IF(A611="","",IF(K611="",0,J611*INDEX(Products!$H$5:$H$204,K611)))</f>
        <v/>
      </c>
      <c r="P611" s="11">
        <f>IF(A611="","",J611-M611-N611-O611)</f>
        <v/>
      </c>
    </row>
    <row r="612">
      <c r="A612">
        <f>IFERROR(INDEX('Etsy Import'!$A:$CZ,612,Settings!$C$20)&amp;"","")</f>
        <v/>
      </c>
      <c r="B612">
        <f>IFERROR(INDEX('Etsy Import'!$A:$CZ,612,Settings!$C$21)&amp;"","")</f>
        <v/>
      </c>
      <c r="C612">
        <f>IFERROR(INDEX('Etsy Import'!$A:$CZ,612,Settings!$C$22)&amp;"","")</f>
        <v/>
      </c>
      <c r="D612">
        <f>IF(A612="","",IFERROR(VALUE(SUBSTITUTE(SUBSTITUTE(INDEX('Etsy Import'!$A:$CZ,612,Settings!$C$23)&amp;"","$",""),",","")),0))</f>
        <v/>
      </c>
      <c r="E612" s="11">
        <f>IF(A612="","",IFERROR(VALUE(SUBSTITUTE(SUBSTITUTE(INDEX('Etsy Import'!$A:$CZ,612,Settings!$C$24)&amp;"","$",""),",","")),0))</f>
        <v/>
      </c>
      <c r="F612" s="11">
        <f>IF(A612="","",D612*E612)</f>
        <v/>
      </c>
      <c r="G612">
        <f>IF(A612="","",IF(C612="",1,COUNTIF($C$2:$C$1501,C612)))</f>
        <v/>
      </c>
      <c r="H612" s="11">
        <f>IF(A612="","",IFERROR(VALUE(SUBSTITUTE(SUBSTITUTE(INDEX('Etsy Import'!$A:$CZ,612,Settings!$C$25)&amp;"","$",""),",","")),0)/IF(Settings!$B$27="Yes",G612,1))</f>
        <v/>
      </c>
      <c r="I612" s="11">
        <f>IF(A612="","",IFERROR(VALUE(SUBSTITUTE(SUBSTITUTE(INDEX('Etsy Import'!$A:$CZ,612,Settings!$C$26)&amp;"","$",""),",","")),0)/IF(Settings!$B$27="Yes",G612,1))</f>
        <v/>
      </c>
      <c r="J612" s="11">
        <f>IF(A612="","",F612+H612-I612)</f>
        <v/>
      </c>
      <c r="K612">
        <f>IF(A612="","",IFERROR(IF(B612="",NA(),MATCH(B612,Products!$B$5:$B$204,0)),IFERROR(MATCH(A612,Products!$A$5:$A$204,0),"")))</f>
        <v/>
      </c>
      <c r="L612">
        <f>IF(A612="","",IF(K612="","⚠ not in Products",INDEX(Products!$A$5:$A$204,K612)))</f>
        <v/>
      </c>
      <c r="M612" s="11">
        <f>IF(A612="","",J612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612+IFERROR(INDEX(Settings!$D$5:$D$9,MATCH("Etsy",Settings!$A$5:$A$9,0)),0)*D612)</f>
        <v/>
      </c>
      <c r="N612" s="11">
        <f>IF(A612="","",IF(K612="",0,D612*INDEX(Products!$I$5:$I$204,K612)))</f>
        <v/>
      </c>
      <c r="O612" s="11">
        <f>IF(A612="","",IF(K612="",0,J612*INDEX(Products!$H$5:$H$204,K612)))</f>
        <v/>
      </c>
      <c r="P612" s="11">
        <f>IF(A612="","",J612-M612-N612-O612)</f>
        <v/>
      </c>
    </row>
    <row r="613">
      <c r="A613">
        <f>IFERROR(INDEX('Etsy Import'!$A:$CZ,613,Settings!$C$20)&amp;"","")</f>
        <v/>
      </c>
      <c r="B613">
        <f>IFERROR(INDEX('Etsy Import'!$A:$CZ,613,Settings!$C$21)&amp;"","")</f>
        <v/>
      </c>
      <c r="C613">
        <f>IFERROR(INDEX('Etsy Import'!$A:$CZ,613,Settings!$C$22)&amp;"","")</f>
        <v/>
      </c>
      <c r="D613">
        <f>IF(A613="","",IFERROR(VALUE(SUBSTITUTE(SUBSTITUTE(INDEX('Etsy Import'!$A:$CZ,613,Settings!$C$23)&amp;"","$",""),",","")),0))</f>
        <v/>
      </c>
      <c r="E613" s="11">
        <f>IF(A613="","",IFERROR(VALUE(SUBSTITUTE(SUBSTITUTE(INDEX('Etsy Import'!$A:$CZ,613,Settings!$C$24)&amp;"","$",""),",","")),0))</f>
        <v/>
      </c>
      <c r="F613" s="11">
        <f>IF(A613="","",D613*E613)</f>
        <v/>
      </c>
      <c r="G613">
        <f>IF(A613="","",IF(C613="",1,COUNTIF($C$2:$C$1501,C613)))</f>
        <v/>
      </c>
      <c r="H613" s="11">
        <f>IF(A613="","",IFERROR(VALUE(SUBSTITUTE(SUBSTITUTE(INDEX('Etsy Import'!$A:$CZ,613,Settings!$C$25)&amp;"","$",""),",","")),0)/IF(Settings!$B$27="Yes",G613,1))</f>
        <v/>
      </c>
      <c r="I613" s="11">
        <f>IF(A613="","",IFERROR(VALUE(SUBSTITUTE(SUBSTITUTE(INDEX('Etsy Import'!$A:$CZ,613,Settings!$C$26)&amp;"","$",""),",","")),0)/IF(Settings!$B$27="Yes",G613,1))</f>
        <v/>
      </c>
      <c r="J613" s="11">
        <f>IF(A613="","",F613+H613-I613)</f>
        <v/>
      </c>
      <c r="K613">
        <f>IF(A613="","",IFERROR(IF(B613="",NA(),MATCH(B613,Products!$B$5:$B$204,0)),IFERROR(MATCH(A613,Products!$A$5:$A$204,0),"")))</f>
        <v/>
      </c>
      <c r="L613">
        <f>IF(A613="","",IF(K613="","⚠ not in Products",INDEX(Products!$A$5:$A$204,K613)))</f>
        <v/>
      </c>
      <c r="M613" s="11">
        <f>IF(A613="","",J613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613+IFERROR(INDEX(Settings!$D$5:$D$9,MATCH("Etsy",Settings!$A$5:$A$9,0)),0)*D613)</f>
        <v/>
      </c>
      <c r="N613" s="11">
        <f>IF(A613="","",IF(K613="",0,D613*INDEX(Products!$I$5:$I$204,K613)))</f>
        <v/>
      </c>
      <c r="O613" s="11">
        <f>IF(A613="","",IF(K613="",0,J613*INDEX(Products!$H$5:$H$204,K613)))</f>
        <v/>
      </c>
      <c r="P613" s="11">
        <f>IF(A613="","",J613-M613-N613-O613)</f>
        <v/>
      </c>
    </row>
    <row r="614">
      <c r="A614">
        <f>IFERROR(INDEX('Etsy Import'!$A:$CZ,614,Settings!$C$20)&amp;"","")</f>
        <v/>
      </c>
      <c r="B614">
        <f>IFERROR(INDEX('Etsy Import'!$A:$CZ,614,Settings!$C$21)&amp;"","")</f>
        <v/>
      </c>
      <c r="C614">
        <f>IFERROR(INDEX('Etsy Import'!$A:$CZ,614,Settings!$C$22)&amp;"","")</f>
        <v/>
      </c>
      <c r="D614">
        <f>IF(A614="","",IFERROR(VALUE(SUBSTITUTE(SUBSTITUTE(INDEX('Etsy Import'!$A:$CZ,614,Settings!$C$23)&amp;"","$",""),",","")),0))</f>
        <v/>
      </c>
      <c r="E614" s="11">
        <f>IF(A614="","",IFERROR(VALUE(SUBSTITUTE(SUBSTITUTE(INDEX('Etsy Import'!$A:$CZ,614,Settings!$C$24)&amp;"","$",""),",","")),0))</f>
        <v/>
      </c>
      <c r="F614" s="11">
        <f>IF(A614="","",D614*E614)</f>
        <v/>
      </c>
      <c r="G614">
        <f>IF(A614="","",IF(C614="",1,COUNTIF($C$2:$C$1501,C614)))</f>
        <v/>
      </c>
      <c r="H614" s="11">
        <f>IF(A614="","",IFERROR(VALUE(SUBSTITUTE(SUBSTITUTE(INDEX('Etsy Import'!$A:$CZ,614,Settings!$C$25)&amp;"","$",""),",","")),0)/IF(Settings!$B$27="Yes",G614,1))</f>
        <v/>
      </c>
      <c r="I614" s="11">
        <f>IF(A614="","",IFERROR(VALUE(SUBSTITUTE(SUBSTITUTE(INDEX('Etsy Import'!$A:$CZ,614,Settings!$C$26)&amp;"","$",""),",","")),0)/IF(Settings!$B$27="Yes",G614,1))</f>
        <v/>
      </c>
      <c r="J614" s="11">
        <f>IF(A614="","",F614+H614-I614)</f>
        <v/>
      </c>
      <c r="K614">
        <f>IF(A614="","",IFERROR(IF(B614="",NA(),MATCH(B614,Products!$B$5:$B$204,0)),IFERROR(MATCH(A614,Products!$A$5:$A$204,0),"")))</f>
        <v/>
      </c>
      <c r="L614">
        <f>IF(A614="","",IF(K614="","⚠ not in Products",INDEX(Products!$A$5:$A$204,K614)))</f>
        <v/>
      </c>
      <c r="M614" s="11">
        <f>IF(A614="","",J614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614+IFERROR(INDEX(Settings!$D$5:$D$9,MATCH("Etsy",Settings!$A$5:$A$9,0)),0)*D614)</f>
        <v/>
      </c>
      <c r="N614" s="11">
        <f>IF(A614="","",IF(K614="",0,D614*INDEX(Products!$I$5:$I$204,K614)))</f>
        <v/>
      </c>
      <c r="O614" s="11">
        <f>IF(A614="","",IF(K614="",0,J614*INDEX(Products!$H$5:$H$204,K614)))</f>
        <v/>
      </c>
      <c r="P614" s="11">
        <f>IF(A614="","",J614-M614-N614-O614)</f>
        <v/>
      </c>
    </row>
    <row r="615">
      <c r="A615">
        <f>IFERROR(INDEX('Etsy Import'!$A:$CZ,615,Settings!$C$20)&amp;"","")</f>
        <v/>
      </c>
      <c r="B615">
        <f>IFERROR(INDEX('Etsy Import'!$A:$CZ,615,Settings!$C$21)&amp;"","")</f>
        <v/>
      </c>
      <c r="C615">
        <f>IFERROR(INDEX('Etsy Import'!$A:$CZ,615,Settings!$C$22)&amp;"","")</f>
        <v/>
      </c>
      <c r="D615">
        <f>IF(A615="","",IFERROR(VALUE(SUBSTITUTE(SUBSTITUTE(INDEX('Etsy Import'!$A:$CZ,615,Settings!$C$23)&amp;"","$",""),",","")),0))</f>
        <v/>
      </c>
      <c r="E615" s="11">
        <f>IF(A615="","",IFERROR(VALUE(SUBSTITUTE(SUBSTITUTE(INDEX('Etsy Import'!$A:$CZ,615,Settings!$C$24)&amp;"","$",""),",","")),0))</f>
        <v/>
      </c>
      <c r="F615" s="11">
        <f>IF(A615="","",D615*E615)</f>
        <v/>
      </c>
      <c r="G615">
        <f>IF(A615="","",IF(C615="",1,COUNTIF($C$2:$C$1501,C615)))</f>
        <v/>
      </c>
      <c r="H615" s="11">
        <f>IF(A615="","",IFERROR(VALUE(SUBSTITUTE(SUBSTITUTE(INDEX('Etsy Import'!$A:$CZ,615,Settings!$C$25)&amp;"","$",""),",","")),0)/IF(Settings!$B$27="Yes",G615,1))</f>
        <v/>
      </c>
      <c r="I615" s="11">
        <f>IF(A615="","",IFERROR(VALUE(SUBSTITUTE(SUBSTITUTE(INDEX('Etsy Import'!$A:$CZ,615,Settings!$C$26)&amp;"","$",""),",","")),0)/IF(Settings!$B$27="Yes",G615,1))</f>
        <v/>
      </c>
      <c r="J615" s="11">
        <f>IF(A615="","",F615+H615-I615)</f>
        <v/>
      </c>
      <c r="K615">
        <f>IF(A615="","",IFERROR(IF(B615="",NA(),MATCH(B615,Products!$B$5:$B$204,0)),IFERROR(MATCH(A615,Products!$A$5:$A$204,0),"")))</f>
        <v/>
      </c>
      <c r="L615">
        <f>IF(A615="","",IF(K615="","⚠ not in Products",INDEX(Products!$A$5:$A$204,K615)))</f>
        <v/>
      </c>
      <c r="M615" s="11">
        <f>IF(A615="","",J615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615+IFERROR(INDEX(Settings!$D$5:$D$9,MATCH("Etsy",Settings!$A$5:$A$9,0)),0)*D615)</f>
        <v/>
      </c>
      <c r="N615" s="11">
        <f>IF(A615="","",IF(K615="",0,D615*INDEX(Products!$I$5:$I$204,K615)))</f>
        <v/>
      </c>
      <c r="O615" s="11">
        <f>IF(A615="","",IF(K615="",0,J615*INDEX(Products!$H$5:$H$204,K615)))</f>
        <v/>
      </c>
      <c r="P615" s="11">
        <f>IF(A615="","",J615-M615-N615-O615)</f>
        <v/>
      </c>
    </row>
    <row r="616">
      <c r="A616">
        <f>IFERROR(INDEX('Etsy Import'!$A:$CZ,616,Settings!$C$20)&amp;"","")</f>
        <v/>
      </c>
      <c r="B616">
        <f>IFERROR(INDEX('Etsy Import'!$A:$CZ,616,Settings!$C$21)&amp;"","")</f>
        <v/>
      </c>
      <c r="C616">
        <f>IFERROR(INDEX('Etsy Import'!$A:$CZ,616,Settings!$C$22)&amp;"","")</f>
        <v/>
      </c>
      <c r="D616">
        <f>IF(A616="","",IFERROR(VALUE(SUBSTITUTE(SUBSTITUTE(INDEX('Etsy Import'!$A:$CZ,616,Settings!$C$23)&amp;"","$",""),",","")),0))</f>
        <v/>
      </c>
      <c r="E616" s="11">
        <f>IF(A616="","",IFERROR(VALUE(SUBSTITUTE(SUBSTITUTE(INDEX('Etsy Import'!$A:$CZ,616,Settings!$C$24)&amp;"","$",""),",","")),0))</f>
        <v/>
      </c>
      <c r="F616" s="11">
        <f>IF(A616="","",D616*E616)</f>
        <v/>
      </c>
      <c r="G616">
        <f>IF(A616="","",IF(C616="",1,COUNTIF($C$2:$C$1501,C616)))</f>
        <v/>
      </c>
      <c r="H616" s="11">
        <f>IF(A616="","",IFERROR(VALUE(SUBSTITUTE(SUBSTITUTE(INDEX('Etsy Import'!$A:$CZ,616,Settings!$C$25)&amp;"","$",""),",","")),0)/IF(Settings!$B$27="Yes",G616,1))</f>
        <v/>
      </c>
      <c r="I616" s="11">
        <f>IF(A616="","",IFERROR(VALUE(SUBSTITUTE(SUBSTITUTE(INDEX('Etsy Import'!$A:$CZ,616,Settings!$C$26)&amp;"","$",""),",","")),0)/IF(Settings!$B$27="Yes",G616,1))</f>
        <v/>
      </c>
      <c r="J616" s="11">
        <f>IF(A616="","",F616+H616-I616)</f>
        <v/>
      </c>
      <c r="K616">
        <f>IF(A616="","",IFERROR(IF(B616="",NA(),MATCH(B616,Products!$B$5:$B$204,0)),IFERROR(MATCH(A616,Products!$A$5:$A$204,0),"")))</f>
        <v/>
      </c>
      <c r="L616">
        <f>IF(A616="","",IF(K616="","⚠ not in Products",INDEX(Products!$A$5:$A$204,K616)))</f>
        <v/>
      </c>
      <c r="M616" s="11">
        <f>IF(A616="","",J616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616+IFERROR(INDEX(Settings!$D$5:$D$9,MATCH("Etsy",Settings!$A$5:$A$9,0)),0)*D616)</f>
        <v/>
      </c>
      <c r="N616" s="11">
        <f>IF(A616="","",IF(K616="",0,D616*INDEX(Products!$I$5:$I$204,K616)))</f>
        <v/>
      </c>
      <c r="O616" s="11">
        <f>IF(A616="","",IF(K616="",0,J616*INDEX(Products!$H$5:$H$204,K616)))</f>
        <v/>
      </c>
      <c r="P616" s="11">
        <f>IF(A616="","",J616-M616-N616-O616)</f>
        <v/>
      </c>
    </row>
    <row r="617">
      <c r="A617">
        <f>IFERROR(INDEX('Etsy Import'!$A:$CZ,617,Settings!$C$20)&amp;"","")</f>
        <v/>
      </c>
      <c r="B617">
        <f>IFERROR(INDEX('Etsy Import'!$A:$CZ,617,Settings!$C$21)&amp;"","")</f>
        <v/>
      </c>
      <c r="C617">
        <f>IFERROR(INDEX('Etsy Import'!$A:$CZ,617,Settings!$C$22)&amp;"","")</f>
        <v/>
      </c>
      <c r="D617">
        <f>IF(A617="","",IFERROR(VALUE(SUBSTITUTE(SUBSTITUTE(INDEX('Etsy Import'!$A:$CZ,617,Settings!$C$23)&amp;"","$",""),",","")),0))</f>
        <v/>
      </c>
      <c r="E617" s="11">
        <f>IF(A617="","",IFERROR(VALUE(SUBSTITUTE(SUBSTITUTE(INDEX('Etsy Import'!$A:$CZ,617,Settings!$C$24)&amp;"","$",""),",","")),0))</f>
        <v/>
      </c>
      <c r="F617" s="11">
        <f>IF(A617="","",D617*E617)</f>
        <v/>
      </c>
      <c r="G617">
        <f>IF(A617="","",IF(C617="",1,COUNTIF($C$2:$C$1501,C617)))</f>
        <v/>
      </c>
      <c r="H617" s="11">
        <f>IF(A617="","",IFERROR(VALUE(SUBSTITUTE(SUBSTITUTE(INDEX('Etsy Import'!$A:$CZ,617,Settings!$C$25)&amp;"","$",""),",","")),0)/IF(Settings!$B$27="Yes",G617,1))</f>
        <v/>
      </c>
      <c r="I617" s="11">
        <f>IF(A617="","",IFERROR(VALUE(SUBSTITUTE(SUBSTITUTE(INDEX('Etsy Import'!$A:$CZ,617,Settings!$C$26)&amp;"","$",""),",","")),0)/IF(Settings!$B$27="Yes",G617,1))</f>
        <v/>
      </c>
      <c r="J617" s="11">
        <f>IF(A617="","",F617+H617-I617)</f>
        <v/>
      </c>
      <c r="K617">
        <f>IF(A617="","",IFERROR(IF(B617="",NA(),MATCH(B617,Products!$B$5:$B$204,0)),IFERROR(MATCH(A617,Products!$A$5:$A$204,0),"")))</f>
        <v/>
      </c>
      <c r="L617">
        <f>IF(A617="","",IF(K617="","⚠ not in Products",INDEX(Products!$A$5:$A$204,K617)))</f>
        <v/>
      </c>
      <c r="M617" s="11">
        <f>IF(A617="","",J617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617+IFERROR(INDEX(Settings!$D$5:$D$9,MATCH("Etsy",Settings!$A$5:$A$9,0)),0)*D617)</f>
        <v/>
      </c>
      <c r="N617" s="11">
        <f>IF(A617="","",IF(K617="",0,D617*INDEX(Products!$I$5:$I$204,K617)))</f>
        <v/>
      </c>
      <c r="O617" s="11">
        <f>IF(A617="","",IF(K617="",0,J617*INDEX(Products!$H$5:$H$204,K617)))</f>
        <v/>
      </c>
      <c r="P617" s="11">
        <f>IF(A617="","",J617-M617-N617-O617)</f>
        <v/>
      </c>
    </row>
    <row r="618">
      <c r="A618">
        <f>IFERROR(INDEX('Etsy Import'!$A:$CZ,618,Settings!$C$20)&amp;"","")</f>
        <v/>
      </c>
      <c r="B618">
        <f>IFERROR(INDEX('Etsy Import'!$A:$CZ,618,Settings!$C$21)&amp;"","")</f>
        <v/>
      </c>
      <c r="C618">
        <f>IFERROR(INDEX('Etsy Import'!$A:$CZ,618,Settings!$C$22)&amp;"","")</f>
        <v/>
      </c>
      <c r="D618">
        <f>IF(A618="","",IFERROR(VALUE(SUBSTITUTE(SUBSTITUTE(INDEX('Etsy Import'!$A:$CZ,618,Settings!$C$23)&amp;"","$",""),",","")),0))</f>
        <v/>
      </c>
      <c r="E618" s="11">
        <f>IF(A618="","",IFERROR(VALUE(SUBSTITUTE(SUBSTITUTE(INDEX('Etsy Import'!$A:$CZ,618,Settings!$C$24)&amp;"","$",""),",","")),0))</f>
        <v/>
      </c>
      <c r="F618" s="11">
        <f>IF(A618="","",D618*E618)</f>
        <v/>
      </c>
      <c r="G618">
        <f>IF(A618="","",IF(C618="",1,COUNTIF($C$2:$C$1501,C618)))</f>
        <v/>
      </c>
      <c r="H618" s="11">
        <f>IF(A618="","",IFERROR(VALUE(SUBSTITUTE(SUBSTITUTE(INDEX('Etsy Import'!$A:$CZ,618,Settings!$C$25)&amp;"","$",""),",","")),0)/IF(Settings!$B$27="Yes",G618,1))</f>
        <v/>
      </c>
      <c r="I618" s="11">
        <f>IF(A618="","",IFERROR(VALUE(SUBSTITUTE(SUBSTITUTE(INDEX('Etsy Import'!$A:$CZ,618,Settings!$C$26)&amp;"","$",""),",","")),0)/IF(Settings!$B$27="Yes",G618,1))</f>
        <v/>
      </c>
      <c r="J618" s="11">
        <f>IF(A618="","",F618+H618-I618)</f>
        <v/>
      </c>
      <c r="K618">
        <f>IF(A618="","",IFERROR(IF(B618="",NA(),MATCH(B618,Products!$B$5:$B$204,0)),IFERROR(MATCH(A618,Products!$A$5:$A$204,0),"")))</f>
        <v/>
      </c>
      <c r="L618">
        <f>IF(A618="","",IF(K618="","⚠ not in Products",INDEX(Products!$A$5:$A$204,K618)))</f>
        <v/>
      </c>
      <c r="M618" s="11">
        <f>IF(A618="","",J618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618+IFERROR(INDEX(Settings!$D$5:$D$9,MATCH("Etsy",Settings!$A$5:$A$9,0)),0)*D618)</f>
        <v/>
      </c>
      <c r="N618" s="11">
        <f>IF(A618="","",IF(K618="",0,D618*INDEX(Products!$I$5:$I$204,K618)))</f>
        <v/>
      </c>
      <c r="O618" s="11">
        <f>IF(A618="","",IF(K618="",0,J618*INDEX(Products!$H$5:$H$204,K618)))</f>
        <v/>
      </c>
      <c r="P618" s="11">
        <f>IF(A618="","",J618-M618-N618-O618)</f>
        <v/>
      </c>
    </row>
    <row r="619">
      <c r="A619">
        <f>IFERROR(INDEX('Etsy Import'!$A:$CZ,619,Settings!$C$20)&amp;"","")</f>
        <v/>
      </c>
      <c r="B619">
        <f>IFERROR(INDEX('Etsy Import'!$A:$CZ,619,Settings!$C$21)&amp;"","")</f>
        <v/>
      </c>
      <c r="C619">
        <f>IFERROR(INDEX('Etsy Import'!$A:$CZ,619,Settings!$C$22)&amp;"","")</f>
        <v/>
      </c>
      <c r="D619">
        <f>IF(A619="","",IFERROR(VALUE(SUBSTITUTE(SUBSTITUTE(INDEX('Etsy Import'!$A:$CZ,619,Settings!$C$23)&amp;"","$",""),",","")),0))</f>
        <v/>
      </c>
      <c r="E619" s="11">
        <f>IF(A619="","",IFERROR(VALUE(SUBSTITUTE(SUBSTITUTE(INDEX('Etsy Import'!$A:$CZ,619,Settings!$C$24)&amp;"","$",""),",","")),0))</f>
        <v/>
      </c>
      <c r="F619" s="11">
        <f>IF(A619="","",D619*E619)</f>
        <v/>
      </c>
      <c r="G619">
        <f>IF(A619="","",IF(C619="",1,COUNTIF($C$2:$C$1501,C619)))</f>
        <v/>
      </c>
      <c r="H619" s="11">
        <f>IF(A619="","",IFERROR(VALUE(SUBSTITUTE(SUBSTITUTE(INDEX('Etsy Import'!$A:$CZ,619,Settings!$C$25)&amp;"","$",""),",","")),0)/IF(Settings!$B$27="Yes",G619,1))</f>
        <v/>
      </c>
      <c r="I619" s="11">
        <f>IF(A619="","",IFERROR(VALUE(SUBSTITUTE(SUBSTITUTE(INDEX('Etsy Import'!$A:$CZ,619,Settings!$C$26)&amp;"","$",""),",","")),0)/IF(Settings!$B$27="Yes",G619,1))</f>
        <v/>
      </c>
      <c r="J619" s="11">
        <f>IF(A619="","",F619+H619-I619)</f>
        <v/>
      </c>
      <c r="K619">
        <f>IF(A619="","",IFERROR(IF(B619="",NA(),MATCH(B619,Products!$B$5:$B$204,0)),IFERROR(MATCH(A619,Products!$A$5:$A$204,0),"")))</f>
        <v/>
      </c>
      <c r="L619">
        <f>IF(A619="","",IF(K619="","⚠ not in Products",INDEX(Products!$A$5:$A$204,K619)))</f>
        <v/>
      </c>
      <c r="M619" s="11">
        <f>IF(A619="","",J619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619+IFERROR(INDEX(Settings!$D$5:$D$9,MATCH("Etsy",Settings!$A$5:$A$9,0)),0)*D619)</f>
        <v/>
      </c>
      <c r="N619" s="11">
        <f>IF(A619="","",IF(K619="",0,D619*INDEX(Products!$I$5:$I$204,K619)))</f>
        <v/>
      </c>
      <c r="O619" s="11">
        <f>IF(A619="","",IF(K619="",0,J619*INDEX(Products!$H$5:$H$204,K619)))</f>
        <v/>
      </c>
      <c r="P619" s="11">
        <f>IF(A619="","",J619-M619-N619-O619)</f>
        <v/>
      </c>
    </row>
    <row r="620">
      <c r="A620">
        <f>IFERROR(INDEX('Etsy Import'!$A:$CZ,620,Settings!$C$20)&amp;"","")</f>
        <v/>
      </c>
      <c r="B620">
        <f>IFERROR(INDEX('Etsy Import'!$A:$CZ,620,Settings!$C$21)&amp;"","")</f>
        <v/>
      </c>
      <c r="C620">
        <f>IFERROR(INDEX('Etsy Import'!$A:$CZ,620,Settings!$C$22)&amp;"","")</f>
        <v/>
      </c>
      <c r="D620">
        <f>IF(A620="","",IFERROR(VALUE(SUBSTITUTE(SUBSTITUTE(INDEX('Etsy Import'!$A:$CZ,620,Settings!$C$23)&amp;"","$",""),",","")),0))</f>
        <v/>
      </c>
      <c r="E620" s="11">
        <f>IF(A620="","",IFERROR(VALUE(SUBSTITUTE(SUBSTITUTE(INDEX('Etsy Import'!$A:$CZ,620,Settings!$C$24)&amp;"","$",""),",","")),0))</f>
        <v/>
      </c>
      <c r="F620" s="11">
        <f>IF(A620="","",D620*E620)</f>
        <v/>
      </c>
      <c r="G620">
        <f>IF(A620="","",IF(C620="",1,COUNTIF($C$2:$C$1501,C620)))</f>
        <v/>
      </c>
      <c r="H620" s="11">
        <f>IF(A620="","",IFERROR(VALUE(SUBSTITUTE(SUBSTITUTE(INDEX('Etsy Import'!$A:$CZ,620,Settings!$C$25)&amp;"","$",""),",","")),0)/IF(Settings!$B$27="Yes",G620,1))</f>
        <v/>
      </c>
      <c r="I620" s="11">
        <f>IF(A620="","",IFERROR(VALUE(SUBSTITUTE(SUBSTITUTE(INDEX('Etsy Import'!$A:$CZ,620,Settings!$C$26)&amp;"","$",""),",","")),0)/IF(Settings!$B$27="Yes",G620,1))</f>
        <v/>
      </c>
      <c r="J620" s="11">
        <f>IF(A620="","",F620+H620-I620)</f>
        <v/>
      </c>
      <c r="K620">
        <f>IF(A620="","",IFERROR(IF(B620="",NA(),MATCH(B620,Products!$B$5:$B$204,0)),IFERROR(MATCH(A620,Products!$A$5:$A$204,0),"")))</f>
        <v/>
      </c>
      <c r="L620">
        <f>IF(A620="","",IF(K620="","⚠ not in Products",INDEX(Products!$A$5:$A$204,K620)))</f>
        <v/>
      </c>
      <c r="M620" s="11">
        <f>IF(A620="","",J620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620+IFERROR(INDEX(Settings!$D$5:$D$9,MATCH("Etsy",Settings!$A$5:$A$9,0)),0)*D620)</f>
        <v/>
      </c>
      <c r="N620" s="11">
        <f>IF(A620="","",IF(K620="",0,D620*INDEX(Products!$I$5:$I$204,K620)))</f>
        <v/>
      </c>
      <c r="O620" s="11">
        <f>IF(A620="","",IF(K620="",0,J620*INDEX(Products!$H$5:$H$204,K620)))</f>
        <v/>
      </c>
      <c r="P620" s="11">
        <f>IF(A620="","",J620-M620-N620-O620)</f>
        <v/>
      </c>
    </row>
    <row r="621">
      <c r="A621">
        <f>IFERROR(INDEX('Etsy Import'!$A:$CZ,621,Settings!$C$20)&amp;"","")</f>
        <v/>
      </c>
      <c r="B621">
        <f>IFERROR(INDEX('Etsy Import'!$A:$CZ,621,Settings!$C$21)&amp;"","")</f>
        <v/>
      </c>
      <c r="C621">
        <f>IFERROR(INDEX('Etsy Import'!$A:$CZ,621,Settings!$C$22)&amp;"","")</f>
        <v/>
      </c>
      <c r="D621">
        <f>IF(A621="","",IFERROR(VALUE(SUBSTITUTE(SUBSTITUTE(INDEX('Etsy Import'!$A:$CZ,621,Settings!$C$23)&amp;"","$",""),",","")),0))</f>
        <v/>
      </c>
      <c r="E621" s="11">
        <f>IF(A621="","",IFERROR(VALUE(SUBSTITUTE(SUBSTITUTE(INDEX('Etsy Import'!$A:$CZ,621,Settings!$C$24)&amp;"","$",""),",","")),0))</f>
        <v/>
      </c>
      <c r="F621" s="11">
        <f>IF(A621="","",D621*E621)</f>
        <v/>
      </c>
      <c r="G621">
        <f>IF(A621="","",IF(C621="",1,COUNTIF($C$2:$C$1501,C621)))</f>
        <v/>
      </c>
      <c r="H621" s="11">
        <f>IF(A621="","",IFERROR(VALUE(SUBSTITUTE(SUBSTITUTE(INDEX('Etsy Import'!$A:$CZ,621,Settings!$C$25)&amp;"","$",""),",","")),0)/IF(Settings!$B$27="Yes",G621,1))</f>
        <v/>
      </c>
      <c r="I621" s="11">
        <f>IF(A621="","",IFERROR(VALUE(SUBSTITUTE(SUBSTITUTE(INDEX('Etsy Import'!$A:$CZ,621,Settings!$C$26)&amp;"","$",""),",","")),0)/IF(Settings!$B$27="Yes",G621,1))</f>
        <v/>
      </c>
      <c r="J621" s="11">
        <f>IF(A621="","",F621+H621-I621)</f>
        <v/>
      </c>
      <c r="K621">
        <f>IF(A621="","",IFERROR(IF(B621="",NA(),MATCH(B621,Products!$B$5:$B$204,0)),IFERROR(MATCH(A621,Products!$A$5:$A$204,0),"")))</f>
        <v/>
      </c>
      <c r="L621">
        <f>IF(A621="","",IF(K621="","⚠ not in Products",INDEX(Products!$A$5:$A$204,K621)))</f>
        <v/>
      </c>
      <c r="M621" s="11">
        <f>IF(A621="","",J621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621+IFERROR(INDEX(Settings!$D$5:$D$9,MATCH("Etsy",Settings!$A$5:$A$9,0)),0)*D621)</f>
        <v/>
      </c>
      <c r="N621" s="11">
        <f>IF(A621="","",IF(K621="",0,D621*INDEX(Products!$I$5:$I$204,K621)))</f>
        <v/>
      </c>
      <c r="O621" s="11">
        <f>IF(A621="","",IF(K621="",0,J621*INDEX(Products!$H$5:$H$204,K621)))</f>
        <v/>
      </c>
      <c r="P621" s="11">
        <f>IF(A621="","",J621-M621-N621-O621)</f>
        <v/>
      </c>
    </row>
    <row r="622">
      <c r="A622">
        <f>IFERROR(INDEX('Etsy Import'!$A:$CZ,622,Settings!$C$20)&amp;"","")</f>
        <v/>
      </c>
      <c r="B622">
        <f>IFERROR(INDEX('Etsy Import'!$A:$CZ,622,Settings!$C$21)&amp;"","")</f>
        <v/>
      </c>
      <c r="C622">
        <f>IFERROR(INDEX('Etsy Import'!$A:$CZ,622,Settings!$C$22)&amp;"","")</f>
        <v/>
      </c>
      <c r="D622">
        <f>IF(A622="","",IFERROR(VALUE(SUBSTITUTE(SUBSTITUTE(INDEX('Etsy Import'!$A:$CZ,622,Settings!$C$23)&amp;"","$",""),",","")),0))</f>
        <v/>
      </c>
      <c r="E622" s="11">
        <f>IF(A622="","",IFERROR(VALUE(SUBSTITUTE(SUBSTITUTE(INDEX('Etsy Import'!$A:$CZ,622,Settings!$C$24)&amp;"","$",""),",","")),0))</f>
        <v/>
      </c>
      <c r="F622" s="11">
        <f>IF(A622="","",D622*E622)</f>
        <v/>
      </c>
      <c r="G622">
        <f>IF(A622="","",IF(C622="",1,COUNTIF($C$2:$C$1501,C622)))</f>
        <v/>
      </c>
      <c r="H622" s="11">
        <f>IF(A622="","",IFERROR(VALUE(SUBSTITUTE(SUBSTITUTE(INDEX('Etsy Import'!$A:$CZ,622,Settings!$C$25)&amp;"","$",""),",","")),0)/IF(Settings!$B$27="Yes",G622,1))</f>
        <v/>
      </c>
      <c r="I622" s="11">
        <f>IF(A622="","",IFERROR(VALUE(SUBSTITUTE(SUBSTITUTE(INDEX('Etsy Import'!$A:$CZ,622,Settings!$C$26)&amp;"","$",""),",","")),0)/IF(Settings!$B$27="Yes",G622,1))</f>
        <v/>
      </c>
      <c r="J622" s="11">
        <f>IF(A622="","",F622+H622-I622)</f>
        <v/>
      </c>
      <c r="K622">
        <f>IF(A622="","",IFERROR(IF(B622="",NA(),MATCH(B622,Products!$B$5:$B$204,0)),IFERROR(MATCH(A622,Products!$A$5:$A$204,0),"")))</f>
        <v/>
      </c>
      <c r="L622">
        <f>IF(A622="","",IF(K622="","⚠ not in Products",INDEX(Products!$A$5:$A$204,K622)))</f>
        <v/>
      </c>
      <c r="M622" s="11">
        <f>IF(A622="","",J622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622+IFERROR(INDEX(Settings!$D$5:$D$9,MATCH("Etsy",Settings!$A$5:$A$9,0)),0)*D622)</f>
        <v/>
      </c>
      <c r="N622" s="11">
        <f>IF(A622="","",IF(K622="",0,D622*INDEX(Products!$I$5:$I$204,K622)))</f>
        <v/>
      </c>
      <c r="O622" s="11">
        <f>IF(A622="","",IF(K622="",0,J622*INDEX(Products!$H$5:$H$204,K622)))</f>
        <v/>
      </c>
      <c r="P622" s="11">
        <f>IF(A622="","",J622-M622-N622-O622)</f>
        <v/>
      </c>
    </row>
    <row r="623">
      <c r="A623">
        <f>IFERROR(INDEX('Etsy Import'!$A:$CZ,623,Settings!$C$20)&amp;"","")</f>
        <v/>
      </c>
      <c r="B623">
        <f>IFERROR(INDEX('Etsy Import'!$A:$CZ,623,Settings!$C$21)&amp;"","")</f>
        <v/>
      </c>
      <c r="C623">
        <f>IFERROR(INDEX('Etsy Import'!$A:$CZ,623,Settings!$C$22)&amp;"","")</f>
        <v/>
      </c>
      <c r="D623">
        <f>IF(A623="","",IFERROR(VALUE(SUBSTITUTE(SUBSTITUTE(INDEX('Etsy Import'!$A:$CZ,623,Settings!$C$23)&amp;"","$",""),",","")),0))</f>
        <v/>
      </c>
      <c r="E623" s="11">
        <f>IF(A623="","",IFERROR(VALUE(SUBSTITUTE(SUBSTITUTE(INDEX('Etsy Import'!$A:$CZ,623,Settings!$C$24)&amp;"","$",""),",","")),0))</f>
        <v/>
      </c>
      <c r="F623" s="11">
        <f>IF(A623="","",D623*E623)</f>
        <v/>
      </c>
      <c r="G623">
        <f>IF(A623="","",IF(C623="",1,COUNTIF($C$2:$C$1501,C623)))</f>
        <v/>
      </c>
      <c r="H623" s="11">
        <f>IF(A623="","",IFERROR(VALUE(SUBSTITUTE(SUBSTITUTE(INDEX('Etsy Import'!$A:$CZ,623,Settings!$C$25)&amp;"","$",""),",","")),0)/IF(Settings!$B$27="Yes",G623,1))</f>
        <v/>
      </c>
      <c r="I623" s="11">
        <f>IF(A623="","",IFERROR(VALUE(SUBSTITUTE(SUBSTITUTE(INDEX('Etsy Import'!$A:$CZ,623,Settings!$C$26)&amp;"","$",""),",","")),0)/IF(Settings!$B$27="Yes",G623,1))</f>
        <v/>
      </c>
      <c r="J623" s="11">
        <f>IF(A623="","",F623+H623-I623)</f>
        <v/>
      </c>
      <c r="K623">
        <f>IF(A623="","",IFERROR(IF(B623="",NA(),MATCH(B623,Products!$B$5:$B$204,0)),IFERROR(MATCH(A623,Products!$A$5:$A$204,0),"")))</f>
        <v/>
      </c>
      <c r="L623">
        <f>IF(A623="","",IF(K623="","⚠ not in Products",INDEX(Products!$A$5:$A$204,K623)))</f>
        <v/>
      </c>
      <c r="M623" s="11">
        <f>IF(A623="","",J623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623+IFERROR(INDEX(Settings!$D$5:$D$9,MATCH("Etsy",Settings!$A$5:$A$9,0)),0)*D623)</f>
        <v/>
      </c>
      <c r="N623" s="11">
        <f>IF(A623="","",IF(K623="",0,D623*INDEX(Products!$I$5:$I$204,K623)))</f>
        <v/>
      </c>
      <c r="O623" s="11">
        <f>IF(A623="","",IF(K623="",0,J623*INDEX(Products!$H$5:$H$204,K623)))</f>
        <v/>
      </c>
      <c r="P623" s="11">
        <f>IF(A623="","",J623-M623-N623-O623)</f>
        <v/>
      </c>
    </row>
    <row r="624">
      <c r="A624">
        <f>IFERROR(INDEX('Etsy Import'!$A:$CZ,624,Settings!$C$20)&amp;"","")</f>
        <v/>
      </c>
      <c r="B624">
        <f>IFERROR(INDEX('Etsy Import'!$A:$CZ,624,Settings!$C$21)&amp;"","")</f>
        <v/>
      </c>
      <c r="C624">
        <f>IFERROR(INDEX('Etsy Import'!$A:$CZ,624,Settings!$C$22)&amp;"","")</f>
        <v/>
      </c>
      <c r="D624">
        <f>IF(A624="","",IFERROR(VALUE(SUBSTITUTE(SUBSTITUTE(INDEX('Etsy Import'!$A:$CZ,624,Settings!$C$23)&amp;"","$",""),",","")),0))</f>
        <v/>
      </c>
      <c r="E624" s="11">
        <f>IF(A624="","",IFERROR(VALUE(SUBSTITUTE(SUBSTITUTE(INDEX('Etsy Import'!$A:$CZ,624,Settings!$C$24)&amp;"","$",""),",","")),0))</f>
        <v/>
      </c>
      <c r="F624" s="11">
        <f>IF(A624="","",D624*E624)</f>
        <v/>
      </c>
      <c r="G624">
        <f>IF(A624="","",IF(C624="",1,COUNTIF($C$2:$C$1501,C624)))</f>
        <v/>
      </c>
      <c r="H624" s="11">
        <f>IF(A624="","",IFERROR(VALUE(SUBSTITUTE(SUBSTITUTE(INDEX('Etsy Import'!$A:$CZ,624,Settings!$C$25)&amp;"","$",""),",","")),0)/IF(Settings!$B$27="Yes",G624,1))</f>
        <v/>
      </c>
      <c r="I624" s="11">
        <f>IF(A624="","",IFERROR(VALUE(SUBSTITUTE(SUBSTITUTE(INDEX('Etsy Import'!$A:$CZ,624,Settings!$C$26)&amp;"","$",""),",","")),0)/IF(Settings!$B$27="Yes",G624,1))</f>
        <v/>
      </c>
      <c r="J624" s="11">
        <f>IF(A624="","",F624+H624-I624)</f>
        <v/>
      </c>
      <c r="K624">
        <f>IF(A624="","",IFERROR(IF(B624="",NA(),MATCH(B624,Products!$B$5:$B$204,0)),IFERROR(MATCH(A624,Products!$A$5:$A$204,0),"")))</f>
        <v/>
      </c>
      <c r="L624">
        <f>IF(A624="","",IF(K624="","⚠ not in Products",INDEX(Products!$A$5:$A$204,K624)))</f>
        <v/>
      </c>
      <c r="M624" s="11">
        <f>IF(A624="","",J624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624+IFERROR(INDEX(Settings!$D$5:$D$9,MATCH("Etsy",Settings!$A$5:$A$9,0)),0)*D624)</f>
        <v/>
      </c>
      <c r="N624" s="11">
        <f>IF(A624="","",IF(K624="",0,D624*INDEX(Products!$I$5:$I$204,K624)))</f>
        <v/>
      </c>
      <c r="O624" s="11">
        <f>IF(A624="","",IF(K624="",0,J624*INDEX(Products!$H$5:$H$204,K624)))</f>
        <v/>
      </c>
      <c r="P624" s="11">
        <f>IF(A624="","",J624-M624-N624-O624)</f>
        <v/>
      </c>
    </row>
    <row r="625">
      <c r="A625">
        <f>IFERROR(INDEX('Etsy Import'!$A:$CZ,625,Settings!$C$20)&amp;"","")</f>
        <v/>
      </c>
      <c r="B625">
        <f>IFERROR(INDEX('Etsy Import'!$A:$CZ,625,Settings!$C$21)&amp;"","")</f>
        <v/>
      </c>
      <c r="C625">
        <f>IFERROR(INDEX('Etsy Import'!$A:$CZ,625,Settings!$C$22)&amp;"","")</f>
        <v/>
      </c>
      <c r="D625">
        <f>IF(A625="","",IFERROR(VALUE(SUBSTITUTE(SUBSTITUTE(INDEX('Etsy Import'!$A:$CZ,625,Settings!$C$23)&amp;"","$",""),",","")),0))</f>
        <v/>
      </c>
      <c r="E625" s="11">
        <f>IF(A625="","",IFERROR(VALUE(SUBSTITUTE(SUBSTITUTE(INDEX('Etsy Import'!$A:$CZ,625,Settings!$C$24)&amp;"","$",""),",","")),0))</f>
        <v/>
      </c>
      <c r="F625" s="11">
        <f>IF(A625="","",D625*E625)</f>
        <v/>
      </c>
      <c r="G625">
        <f>IF(A625="","",IF(C625="",1,COUNTIF($C$2:$C$1501,C625)))</f>
        <v/>
      </c>
      <c r="H625" s="11">
        <f>IF(A625="","",IFERROR(VALUE(SUBSTITUTE(SUBSTITUTE(INDEX('Etsy Import'!$A:$CZ,625,Settings!$C$25)&amp;"","$",""),",","")),0)/IF(Settings!$B$27="Yes",G625,1))</f>
        <v/>
      </c>
      <c r="I625" s="11">
        <f>IF(A625="","",IFERROR(VALUE(SUBSTITUTE(SUBSTITUTE(INDEX('Etsy Import'!$A:$CZ,625,Settings!$C$26)&amp;"","$",""),",","")),0)/IF(Settings!$B$27="Yes",G625,1))</f>
        <v/>
      </c>
      <c r="J625" s="11">
        <f>IF(A625="","",F625+H625-I625)</f>
        <v/>
      </c>
      <c r="K625">
        <f>IF(A625="","",IFERROR(IF(B625="",NA(),MATCH(B625,Products!$B$5:$B$204,0)),IFERROR(MATCH(A625,Products!$A$5:$A$204,0),"")))</f>
        <v/>
      </c>
      <c r="L625">
        <f>IF(A625="","",IF(K625="","⚠ not in Products",INDEX(Products!$A$5:$A$204,K625)))</f>
        <v/>
      </c>
      <c r="M625" s="11">
        <f>IF(A625="","",J625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625+IFERROR(INDEX(Settings!$D$5:$D$9,MATCH("Etsy",Settings!$A$5:$A$9,0)),0)*D625)</f>
        <v/>
      </c>
      <c r="N625" s="11">
        <f>IF(A625="","",IF(K625="",0,D625*INDEX(Products!$I$5:$I$204,K625)))</f>
        <v/>
      </c>
      <c r="O625" s="11">
        <f>IF(A625="","",IF(K625="",0,J625*INDEX(Products!$H$5:$H$204,K625)))</f>
        <v/>
      </c>
      <c r="P625" s="11">
        <f>IF(A625="","",J625-M625-N625-O625)</f>
        <v/>
      </c>
    </row>
    <row r="626">
      <c r="A626">
        <f>IFERROR(INDEX('Etsy Import'!$A:$CZ,626,Settings!$C$20)&amp;"","")</f>
        <v/>
      </c>
      <c r="B626">
        <f>IFERROR(INDEX('Etsy Import'!$A:$CZ,626,Settings!$C$21)&amp;"","")</f>
        <v/>
      </c>
      <c r="C626">
        <f>IFERROR(INDEX('Etsy Import'!$A:$CZ,626,Settings!$C$22)&amp;"","")</f>
        <v/>
      </c>
      <c r="D626">
        <f>IF(A626="","",IFERROR(VALUE(SUBSTITUTE(SUBSTITUTE(INDEX('Etsy Import'!$A:$CZ,626,Settings!$C$23)&amp;"","$",""),",","")),0))</f>
        <v/>
      </c>
      <c r="E626" s="11">
        <f>IF(A626="","",IFERROR(VALUE(SUBSTITUTE(SUBSTITUTE(INDEX('Etsy Import'!$A:$CZ,626,Settings!$C$24)&amp;"","$",""),",","")),0))</f>
        <v/>
      </c>
      <c r="F626" s="11">
        <f>IF(A626="","",D626*E626)</f>
        <v/>
      </c>
      <c r="G626">
        <f>IF(A626="","",IF(C626="",1,COUNTIF($C$2:$C$1501,C626)))</f>
        <v/>
      </c>
      <c r="H626" s="11">
        <f>IF(A626="","",IFERROR(VALUE(SUBSTITUTE(SUBSTITUTE(INDEX('Etsy Import'!$A:$CZ,626,Settings!$C$25)&amp;"","$",""),",","")),0)/IF(Settings!$B$27="Yes",G626,1))</f>
        <v/>
      </c>
      <c r="I626" s="11">
        <f>IF(A626="","",IFERROR(VALUE(SUBSTITUTE(SUBSTITUTE(INDEX('Etsy Import'!$A:$CZ,626,Settings!$C$26)&amp;"","$",""),",","")),0)/IF(Settings!$B$27="Yes",G626,1))</f>
        <v/>
      </c>
      <c r="J626" s="11">
        <f>IF(A626="","",F626+H626-I626)</f>
        <v/>
      </c>
      <c r="K626">
        <f>IF(A626="","",IFERROR(IF(B626="",NA(),MATCH(B626,Products!$B$5:$B$204,0)),IFERROR(MATCH(A626,Products!$A$5:$A$204,0),"")))</f>
        <v/>
      </c>
      <c r="L626">
        <f>IF(A626="","",IF(K626="","⚠ not in Products",INDEX(Products!$A$5:$A$204,K626)))</f>
        <v/>
      </c>
      <c r="M626" s="11">
        <f>IF(A626="","",J626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626+IFERROR(INDEX(Settings!$D$5:$D$9,MATCH("Etsy",Settings!$A$5:$A$9,0)),0)*D626)</f>
        <v/>
      </c>
      <c r="N626" s="11">
        <f>IF(A626="","",IF(K626="",0,D626*INDEX(Products!$I$5:$I$204,K626)))</f>
        <v/>
      </c>
      <c r="O626" s="11">
        <f>IF(A626="","",IF(K626="",0,J626*INDEX(Products!$H$5:$H$204,K626)))</f>
        <v/>
      </c>
      <c r="P626" s="11">
        <f>IF(A626="","",J626-M626-N626-O626)</f>
        <v/>
      </c>
    </row>
    <row r="627">
      <c r="A627">
        <f>IFERROR(INDEX('Etsy Import'!$A:$CZ,627,Settings!$C$20)&amp;"","")</f>
        <v/>
      </c>
      <c r="B627">
        <f>IFERROR(INDEX('Etsy Import'!$A:$CZ,627,Settings!$C$21)&amp;"","")</f>
        <v/>
      </c>
      <c r="C627">
        <f>IFERROR(INDEX('Etsy Import'!$A:$CZ,627,Settings!$C$22)&amp;"","")</f>
        <v/>
      </c>
      <c r="D627">
        <f>IF(A627="","",IFERROR(VALUE(SUBSTITUTE(SUBSTITUTE(INDEX('Etsy Import'!$A:$CZ,627,Settings!$C$23)&amp;"","$",""),",","")),0))</f>
        <v/>
      </c>
      <c r="E627" s="11">
        <f>IF(A627="","",IFERROR(VALUE(SUBSTITUTE(SUBSTITUTE(INDEX('Etsy Import'!$A:$CZ,627,Settings!$C$24)&amp;"","$",""),",","")),0))</f>
        <v/>
      </c>
      <c r="F627" s="11">
        <f>IF(A627="","",D627*E627)</f>
        <v/>
      </c>
      <c r="G627">
        <f>IF(A627="","",IF(C627="",1,COUNTIF($C$2:$C$1501,C627)))</f>
        <v/>
      </c>
      <c r="H627" s="11">
        <f>IF(A627="","",IFERROR(VALUE(SUBSTITUTE(SUBSTITUTE(INDEX('Etsy Import'!$A:$CZ,627,Settings!$C$25)&amp;"","$",""),",","")),0)/IF(Settings!$B$27="Yes",G627,1))</f>
        <v/>
      </c>
      <c r="I627" s="11">
        <f>IF(A627="","",IFERROR(VALUE(SUBSTITUTE(SUBSTITUTE(INDEX('Etsy Import'!$A:$CZ,627,Settings!$C$26)&amp;"","$",""),",","")),0)/IF(Settings!$B$27="Yes",G627,1))</f>
        <v/>
      </c>
      <c r="J627" s="11">
        <f>IF(A627="","",F627+H627-I627)</f>
        <v/>
      </c>
      <c r="K627">
        <f>IF(A627="","",IFERROR(IF(B627="",NA(),MATCH(B627,Products!$B$5:$B$204,0)),IFERROR(MATCH(A627,Products!$A$5:$A$204,0),"")))</f>
        <v/>
      </c>
      <c r="L627">
        <f>IF(A627="","",IF(K627="","⚠ not in Products",INDEX(Products!$A$5:$A$204,K627)))</f>
        <v/>
      </c>
      <c r="M627" s="11">
        <f>IF(A627="","",J627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627+IFERROR(INDEX(Settings!$D$5:$D$9,MATCH("Etsy",Settings!$A$5:$A$9,0)),0)*D627)</f>
        <v/>
      </c>
      <c r="N627" s="11">
        <f>IF(A627="","",IF(K627="",0,D627*INDEX(Products!$I$5:$I$204,K627)))</f>
        <v/>
      </c>
      <c r="O627" s="11">
        <f>IF(A627="","",IF(K627="",0,J627*INDEX(Products!$H$5:$H$204,K627)))</f>
        <v/>
      </c>
      <c r="P627" s="11">
        <f>IF(A627="","",J627-M627-N627-O627)</f>
        <v/>
      </c>
    </row>
    <row r="628">
      <c r="A628">
        <f>IFERROR(INDEX('Etsy Import'!$A:$CZ,628,Settings!$C$20)&amp;"","")</f>
        <v/>
      </c>
      <c r="B628">
        <f>IFERROR(INDEX('Etsy Import'!$A:$CZ,628,Settings!$C$21)&amp;"","")</f>
        <v/>
      </c>
      <c r="C628">
        <f>IFERROR(INDEX('Etsy Import'!$A:$CZ,628,Settings!$C$22)&amp;"","")</f>
        <v/>
      </c>
      <c r="D628">
        <f>IF(A628="","",IFERROR(VALUE(SUBSTITUTE(SUBSTITUTE(INDEX('Etsy Import'!$A:$CZ,628,Settings!$C$23)&amp;"","$",""),",","")),0))</f>
        <v/>
      </c>
      <c r="E628" s="11">
        <f>IF(A628="","",IFERROR(VALUE(SUBSTITUTE(SUBSTITUTE(INDEX('Etsy Import'!$A:$CZ,628,Settings!$C$24)&amp;"","$",""),",","")),0))</f>
        <v/>
      </c>
      <c r="F628" s="11">
        <f>IF(A628="","",D628*E628)</f>
        <v/>
      </c>
      <c r="G628">
        <f>IF(A628="","",IF(C628="",1,COUNTIF($C$2:$C$1501,C628)))</f>
        <v/>
      </c>
      <c r="H628" s="11">
        <f>IF(A628="","",IFERROR(VALUE(SUBSTITUTE(SUBSTITUTE(INDEX('Etsy Import'!$A:$CZ,628,Settings!$C$25)&amp;"","$",""),",","")),0)/IF(Settings!$B$27="Yes",G628,1))</f>
        <v/>
      </c>
      <c r="I628" s="11">
        <f>IF(A628="","",IFERROR(VALUE(SUBSTITUTE(SUBSTITUTE(INDEX('Etsy Import'!$A:$CZ,628,Settings!$C$26)&amp;"","$",""),",","")),0)/IF(Settings!$B$27="Yes",G628,1))</f>
        <v/>
      </c>
      <c r="J628" s="11">
        <f>IF(A628="","",F628+H628-I628)</f>
        <v/>
      </c>
      <c r="K628">
        <f>IF(A628="","",IFERROR(IF(B628="",NA(),MATCH(B628,Products!$B$5:$B$204,0)),IFERROR(MATCH(A628,Products!$A$5:$A$204,0),"")))</f>
        <v/>
      </c>
      <c r="L628">
        <f>IF(A628="","",IF(K628="","⚠ not in Products",INDEX(Products!$A$5:$A$204,K628)))</f>
        <v/>
      </c>
      <c r="M628" s="11">
        <f>IF(A628="","",J628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628+IFERROR(INDEX(Settings!$D$5:$D$9,MATCH("Etsy",Settings!$A$5:$A$9,0)),0)*D628)</f>
        <v/>
      </c>
      <c r="N628" s="11">
        <f>IF(A628="","",IF(K628="",0,D628*INDEX(Products!$I$5:$I$204,K628)))</f>
        <v/>
      </c>
      <c r="O628" s="11">
        <f>IF(A628="","",IF(K628="",0,J628*INDEX(Products!$H$5:$H$204,K628)))</f>
        <v/>
      </c>
      <c r="P628" s="11">
        <f>IF(A628="","",J628-M628-N628-O628)</f>
        <v/>
      </c>
    </row>
    <row r="629">
      <c r="A629">
        <f>IFERROR(INDEX('Etsy Import'!$A:$CZ,629,Settings!$C$20)&amp;"","")</f>
        <v/>
      </c>
      <c r="B629">
        <f>IFERROR(INDEX('Etsy Import'!$A:$CZ,629,Settings!$C$21)&amp;"","")</f>
        <v/>
      </c>
      <c r="C629">
        <f>IFERROR(INDEX('Etsy Import'!$A:$CZ,629,Settings!$C$22)&amp;"","")</f>
        <v/>
      </c>
      <c r="D629">
        <f>IF(A629="","",IFERROR(VALUE(SUBSTITUTE(SUBSTITUTE(INDEX('Etsy Import'!$A:$CZ,629,Settings!$C$23)&amp;"","$",""),",","")),0))</f>
        <v/>
      </c>
      <c r="E629" s="11">
        <f>IF(A629="","",IFERROR(VALUE(SUBSTITUTE(SUBSTITUTE(INDEX('Etsy Import'!$A:$CZ,629,Settings!$C$24)&amp;"","$",""),",","")),0))</f>
        <v/>
      </c>
      <c r="F629" s="11">
        <f>IF(A629="","",D629*E629)</f>
        <v/>
      </c>
      <c r="G629">
        <f>IF(A629="","",IF(C629="",1,COUNTIF($C$2:$C$1501,C629)))</f>
        <v/>
      </c>
      <c r="H629" s="11">
        <f>IF(A629="","",IFERROR(VALUE(SUBSTITUTE(SUBSTITUTE(INDEX('Etsy Import'!$A:$CZ,629,Settings!$C$25)&amp;"","$",""),",","")),0)/IF(Settings!$B$27="Yes",G629,1))</f>
        <v/>
      </c>
      <c r="I629" s="11">
        <f>IF(A629="","",IFERROR(VALUE(SUBSTITUTE(SUBSTITUTE(INDEX('Etsy Import'!$A:$CZ,629,Settings!$C$26)&amp;"","$",""),",","")),0)/IF(Settings!$B$27="Yes",G629,1))</f>
        <v/>
      </c>
      <c r="J629" s="11">
        <f>IF(A629="","",F629+H629-I629)</f>
        <v/>
      </c>
      <c r="K629">
        <f>IF(A629="","",IFERROR(IF(B629="",NA(),MATCH(B629,Products!$B$5:$B$204,0)),IFERROR(MATCH(A629,Products!$A$5:$A$204,0),"")))</f>
        <v/>
      </c>
      <c r="L629">
        <f>IF(A629="","",IF(K629="","⚠ not in Products",INDEX(Products!$A$5:$A$204,K629)))</f>
        <v/>
      </c>
      <c r="M629" s="11">
        <f>IF(A629="","",J629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629+IFERROR(INDEX(Settings!$D$5:$D$9,MATCH("Etsy",Settings!$A$5:$A$9,0)),0)*D629)</f>
        <v/>
      </c>
      <c r="N629" s="11">
        <f>IF(A629="","",IF(K629="",0,D629*INDEX(Products!$I$5:$I$204,K629)))</f>
        <v/>
      </c>
      <c r="O629" s="11">
        <f>IF(A629="","",IF(K629="",0,J629*INDEX(Products!$H$5:$H$204,K629)))</f>
        <v/>
      </c>
      <c r="P629" s="11">
        <f>IF(A629="","",J629-M629-N629-O629)</f>
        <v/>
      </c>
    </row>
    <row r="630">
      <c r="A630">
        <f>IFERROR(INDEX('Etsy Import'!$A:$CZ,630,Settings!$C$20)&amp;"","")</f>
        <v/>
      </c>
      <c r="B630">
        <f>IFERROR(INDEX('Etsy Import'!$A:$CZ,630,Settings!$C$21)&amp;"","")</f>
        <v/>
      </c>
      <c r="C630">
        <f>IFERROR(INDEX('Etsy Import'!$A:$CZ,630,Settings!$C$22)&amp;"","")</f>
        <v/>
      </c>
      <c r="D630">
        <f>IF(A630="","",IFERROR(VALUE(SUBSTITUTE(SUBSTITUTE(INDEX('Etsy Import'!$A:$CZ,630,Settings!$C$23)&amp;"","$",""),",","")),0))</f>
        <v/>
      </c>
      <c r="E630" s="11">
        <f>IF(A630="","",IFERROR(VALUE(SUBSTITUTE(SUBSTITUTE(INDEX('Etsy Import'!$A:$CZ,630,Settings!$C$24)&amp;"","$",""),",","")),0))</f>
        <v/>
      </c>
      <c r="F630" s="11">
        <f>IF(A630="","",D630*E630)</f>
        <v/>
      </c>
      <c r="G630">
        <f>IF(A630="","",IF(C630="",1,COUNTIF($C$2:$C$1501,C630)))</f>
        <v/>
      </c>
      <c r="H630" s="11">
        <f>IF(A630="","",IFERROR(VALUE(SUBSTITUTE(SUBSTITUTE(INDEX('Etsy Import'!$A:$CZ,630,Settings!$C$25)&amp;"","$",""),",","")),0)/IF(Settings!$B$27="Yes",G630,1))</f>
        <v/>
      </c>
      <c r="I630" s="11">
        <f>IF(A630="","",IFERROR(VALUE(SUBSTITUTE(SUBSTITUTE(INDEX('Etsy Import'!$A:$CZ,630,Settings!$C$26)&amp;"","$",""),",","")),0)/IF(Settings!$B$27="Yes",G630,1))</f>
        <v/>
      </c>
      <c r="J630" s="11">
        <f>IF(A630="","",F630+H630-I630)</f>
        <v/>
      </c>
      <c r="K630">
        <f>IF(A630="","",IFERROR(IF(B630="",NA(),MATCH(B630,Products!$B$5:$B$204,0)),IFERROR(MATCH(A630,Products!$A$5:$A$204,0),"")))</f>
        <v/>
      </c>
      <c r="L630">
        <f>IF(A630="","",IF(K630="","⚠ not in Products",INDEX(Products!$A$5:$A$204,K630)))</f>
        <v/>
      </c>
      <c r="M630" s="11">
        <f>IF(A630="","",J630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630+IFERROR(INDEX(Settings!$D$5:$D$9,MATCH("Etsy",Settings!$A$5:$A$9,0)),0)*D630)</f>
        <v/>
      </c>
      <c r="N630" s="11">
        <f>IF(A630="","",IF(K630="",0,D630*INDEX(Products!$I$5:$I$204,K630)))</f>
        <v/>
      </c>
      <c r="O630" s="11">
        <f>IF(A630="","",IF(K630="",0,J630*INDEX(Products!$H$5:$H$204,K630)))</f>
        <v/>
      </c>
      <c r="P630" s="11">
        <f>IF(A630="","",J630-M630-N630-O630)</f>
        <v/>
      </c>
    </row>
    <row r="631">
      <c r="A631">
        <f>IFERROR(INDEX('Etsy Import'!$A:$CZ,631,Settings!$C$20)&amp;"","")</f>
        <v/>
      </c>
      <c r="B631">
        <f>IFERROR(INDEX('Etsy Import'!$A:$CZ,631,Settings!$C$21)&amp;"","")</f>
        <v/>
      </c>
      <c r="C631">
        <f>IFERROR(INDEX('Etsy Import'!$A:$CZ,631,Settings!$C$22)&amp;"","")</f>
        <v/>
      </c>
      <c r="D631">
        <f>IF(A631="","",IFERROR(VALUE(SUBSTITUTE(SUBSTITUTE(INDEX('Etsy Import'!$A:$CZ,631,Settings!$C$23)&amp;"","$",""),",","")),0))</f>
        <v/>
      </c>
      <c r="E631" s="11">
        <f>IF(A631="","",IFERROR(VALUE(SUBSTITUTE(SUBSTITUTE(INDEX('Etsy Import'!$A:$CZ,631,Settings!$C$24)&amp;"","$",""),",","")),0))</f>
        <v/>
      </c>
      <c r="F631" s="11">
        <f>IF(A631="","",D631*E631)</f>
        <v/>
      </c>
      <c r="G631">
        <f>IF(A631="","",IF(C631="",1,COUNTIF($C$2:$C$1501,C631)))</f>
        <v/>
      </c>
      <c r="H631" s="11">
        <f>IF(A631="","",IFERROR(VALUE(SUBSTITUTE(SUBSTITUTE(INDEX('Etsy Import'!$A:$CZ,631,Settings!$C$25)&amp;"","$",""),",","")),0)/IF(Settings!$B$27="Yes",G631,1))</f>
        <v/>
      </c>
      <c r="I631" s="11">
        <f>IF(A631="","",IFERROR(VALUE(SUBSTITUTE(SUBSTITUTE(INDEX('Etsy Import'!$A:$CZ,631,Settings!$C$26)&amp;"","$",""),",","")),0)/IF(Settings!$B$27="Yes",G631,1))</f>
        <v/>
      </c>
      <c r="J631" s="11">
        <f>IF(A631="","",F631+H631-I631)</f>
        <v/>
      </c>
      <c r="K631">
        <f>IF(A631="","",IFERROR(IF(B631="",NA(),MATCH(B631,Products!$B$5:$B$204,0)),IFERROR(MATCH(A631,Products!$A$5:$A$204,0),"")))</f>
        <v/>
      </c>
      <c r="L631">
        <f>IF(A631="","",IF(K631="","⚠ not in Products",INDEX(Products!$A$5:$A$204,K631)))</f>
        <v/>
      </c>
      <c r="M631" s="11">
        <f>IF(A631="","",J631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631+IFERROR(INDEX(Settings!$D$5:$D$9,MATCH("Etsy",Settings!$A$5:$A$9,0)),0)*D631)</f>
        <v/>
      </c>
      <c r="N631" s="11">
        <f>IF(A631="","",IF(K631="",0,D631*INDEX(Products!$I$5:$I$204,K631)))</f>
        <v/>
      </c>
      <c r="O631" s="11">
        <f>IF(A631="","",IF(K631="",0,J631*INDEX(Products!$H$5:$H$204,K631)))</f>
        <v/>
      </c>
      <c r="P631" s="11">
        <f>IF(A631="","",J631-M631-N631-O631)</f>
        <v/>
      </c>
    </row>
    <row r="632">
      <c r="A632">
        <f>IFERROR(INDEX('Etsy Import'!$A:$CZ,632,Settings!$C$20)&amp;"","")</f>
        <v/>
      </c>
      <c r="B632">
        <f>IFERROR(INDEX('Etsy Import'!$A:$CZ,632,Settings!$C$21)&amp;"","")</f>
        <v/>
      </c>
      <c r="C632">
        <f>IFERROR(INDEX('Etsy Import'!$A:$CZ,632,Settings!$C$22)&amp;"","")</f>
        <v/>
      </c>
      <c r="D632">
        <f>IF(A632="","",IFERROR(VALUE(SUBSTITUTE(SUBSTITUTE(INDEX('Etsy Import'!$A:$CZ,632,Settings!$C$23)&amp;"","$",""),",","")),0))</f>
        <v/>
      </c>
      <c r="E632" s="11">
        <f>IF(A632="","",IFERROR(VALUE(SUBSTITUTE(SUBSTITUTE(INDEX('Etsy Import'!$A:$CZ,632,Settings!$C$24)&amp;"","$",""),",","")),0))</f>
        <v/>
      </c>
      <c r="F632" s="11">
        <f>IF(A632="","",D632*E632)</f>
        <v/>
      </c>
      <c r="G632">
        <f>IF(A632="","",IF(C632="",1,COUNTIF($C$2:$C$1501,C632)))</f>
        <v/>
      </c>
      <c r="H632" s="11">
        <f>IF(A632="","",IFERROR(VALUE(SUBSTITUTE(SUBSTITUTE(INDEX('Etsy Import'!$A:$CZ,632,Settings!$C$25)&amp;"","$",""),",","")),0)/IF(Settings!$B$27="Yes",G632,1))</f>
        <v/>
      </c>
      <c r="I632" s="11">
        <f>IF(A632="","",IFERROR(VALUE(SUBSTITUTE(SUBSTITUTE(INDEX('Etsy Import'!$A:$CZ,632,Settings!$C$26)&amp;"","$",""),",","")),0)/IF(Settings!$B$27="Yes",G632,1))</f>
        <v/>
      </c>
      <c r="J632" s="11">
        <f>IF(A632="","",F632+H632-I632)</f>
        <v/>
      </c>
      <c r="K632">
        <f>IF(A632="","",IFERROR(IF(B632="",NA(),MATCH(B632,Products!$B$5:$B$204,0)),IFERROR(MATCH(A632,Products!$A$5:$A$204,0),"")))</f>
        <v/>
      </c>
      <c r="L632">
        <f>IF(A632="","",IF(K632="","⚠ not in Products",INDEX(Products!$A$5:$A$204,K632)))</f>
        <v/>
      </c>
      <c r="M632" s="11">
        <f>IF(A632="","",J632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632+IFERROR(INDEX(Settings!$D$5:$D$9,MATCH("Etsy",Settings!$A$5:$A$9,0)),0)*D632)</f>
        <v/>
      </c>
      <c r="N632" s="11">
        <f>IF(A632="","",IF(K632="",0,D632*INDEX(Products!$I$5:$I$204,K632)))</f>
        <v/>
      </c>
      <c r="O632" s="11">
        <f>IF(A632="","",IF(K632="",0,J632*INDEX(Products!$H$5:$H$204,K632)))</f>
        <v/>
      </c>
      <c r="P632" s="11">
        <f>IF(A632="","",J632-M632-N632-O632)</f>
        <v/>
      </c>
    </row>
    <row r="633">
      <c r="A633">
        <f>IFERROR(INDEX('Etsy Import'!$A:$CZ,633,Settings!$C$20)&amp;"","")</f>
        <v/>
      </c>
      <c r="B633">
        <f>IFERROR(INDEX('Etsy Import'!$A:$CZ,633,Settings!$C$21)&amp;"","")</f>
        <v/>
      </c>
      <c r="C633">
        <f>IFERROR(INDEX('Etsy Import'!$A:$CZ,633,Settings!$C$22)&amp;"","")</f>
        <v/>
      </c>
      <c r="D633">
        <f>IF(A633="","",IFERROR(VALUE(SUBSTITUTE(SUBSTITUTE(INDEX('Etsy Import'!$A:$CZ,633,Settings!$C$23)&amp;"","$",""),",","")),0))</f>
        <v/>
      </c>
      <c r="E633" s="11">
        <f>IF(A633="","",IFERROR(VALUE(SUBSTITUTE(SUBSTITUTE(INDEX('Etsy Import'!$A:$CZ,633,Settings!$C$24)&amp;"","$",""),",","")),0))</f>
        <v/>
      </c>
      <c r="F633" s="11">
        <f>IF(A633="","",D633*E633)</f>
        <v/>
      </c>
      <c r="G633">
        <f>IF(A633="","",IF(C633="",1,COUNTIF($C$2:$C$1501,C633)))</f>
        <v/>
      </c>
      <c r="H633" s="11">
        <f>IF(A633="","",IFERROR(VALUE(SUBSTITUTE(SUBSTITUTE(INDEX('Etsy Import'!$A:$CZ,633,Settings!$C$25)&amp;"","$",""),",","")),0)/IF(Settings!$B$27="Yes",G633,1))</f>
        <v/>
      </c>
      <c r="I633" s="11">
        <f>IF(A633="","",IFERROR(VALUE(SUBSTITUTE(SUBSTITUTE(INDEX('Etsy Import'!$A:$CZ,633,Settings!$C$26)&amp;"","$",""),",","")),0)/IF(Settings!$B$27="Yes",G633,1))</f>
        <v/>
      </c>
      <c r="J633" s="11">
        <f>IF(A633="","",F633+H633-I633)</f>
        <v/>
      </c>
      <c r="K633">
        <f>IF(A633="","",IFERROR(IF(B633="",NA(),MATCH(B633,Products!$B$5:$B$204,0)),IFERROR(MATCH(A633,Products!$A$5:$A$204,0),"")))</f>
        <v/>
      </c>
      <c r="L633">
        <f>IF(A633="","",IF(K633="","⚠ not in Products",INDEX(Products!$A$5:$A$204,K633)))</f>
        <v/>
      </c>
      <c r="M633" s="11">
        <f>IF(A633="","",J633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633+IFERROR(INDEX(Settings!$D$5:$D$9,MATCH("Etsy",Settings!$A$5:$A$9,0)),0)*D633)</f>
        <v/>
      </c>
      <c r="N633" s="11">
        <f>IF(A633="","",IF(K633="",0,D633*INDEX(Products!$I$5:$I$204,K633)))</f>
        <v/>
      </c>
      <c r="O633" s="11">
        <f>IF(A633="","",IF(K633="",0,J633*INDEX(Products!$H$5:$H$204,K633)))</f>
        <v/>
      </c>
      <c r="P633" s="11">
        <f>IF(A633="","",J633-M633-N633-O633)</f>
        <v/>
      </c>
    </row>
    <row r="634">
      <c r="A634">
        <f>IFERROR(INDEX('Etsy Import'!$A:$CZ,634,Settings!$C$20)&amp;"","")</f>
        <v/>
      </c>
      <c r="B634">
        <f>IFERROR(INDEX('Etsy Import'!$A:$CZ,634,Settings!$C$21)&amp;"","")</f>
        <v/>
      </c>
      <c r="C634">
        <f>IFERROR(INDEX('Etsy Import'!$A:$CZ,634,Settings!$C$22)&amp;"","")</f>
        <v/>
      </c>
      <c r="D634">
        <f>IF(A634="","",IFERROR(VALUE(SUBSTITUTE(SUBSTITUTE(INDEX('Etsy Import'!$A:$CZ,634,Settings!$C$23)&amp;"","$",""),",","")),0))</f>
        <v/>
      </c>
      <c r="E634" s="11">
        <f>IF(A634="","",IFERROR(VALUE(SUBSTITUTE(SUBSTITUTE(INDEX('Etsy Import'!$A:$CZ,634,Settings!$C$24)&amp;"","$",""),",","")),0))</f>
        <v/>
      </c>
      <c r="F634" s="11">
        <f>IF(A634="","",D634*E634)</f>
        <v/>
      </c>
      <c r="G634">
        <f>IF(A634="","",IF(C634="",1,COUNTIF($C$2:$C$1501,C634)))</f>
        <v/>
      </c>
      <c r="H634" s="11">
        <f>IF(A634="","",IFERROR(VALUE(SUBSTITUTE(SUBSTITUTE(INDEX('Etsy Import'!$A:$CZ,634,Settings!$C$25)&amp;"","$",""),",","")),0)/IF(Settings!$B$27="Yes",G634,1))</f>
        <v/>
      </c>
      <c r="I634" s="11">
        <f>IF(A634="","",IFERROR(VALUE(SUBSTITUTE(SUBSTITUTE(INDEX('Etsy Import'!$A:$CZ,634,Settings!$C$26)&amp;"","$",""),",","")),0)/IF(Settings!$B$27="Yes",G634,1))</f>
        <v/>
      </c>
      <c r="J634" s="11">
        <f>IF(A634="","",F634+H634-I634)</f>
        <v/>
      </c>
      <c r="K634">
        <f>IF(A634="","",IFERROR(IF(B634="",NA(),MATCH(B634,Products!$B$5:$B$204,0)),IFERROR(MATCH(A634,Products!$A$5:$A$204,0),"")))</f>
        <v/>
      </c>
      <c r="L634">
        <f>IF(A634="","",IF(K634="","⚠ not in Products",INDEX(Products!$A$5:$A$204,K634)))</f>
        <v/>
      </c>
      <c r="M634" s="11">
        <f>IF(A634="","",J634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634+IFERROR(INDEX(Settings!$D$5:$D$9,MATCH("Etsy",Settings!$A$5:$A$9,0)),0)*D634)</f>
        <v/>
      </c>
      <c r="N634" s="11">
        <f>IF(A634="","",IF(K634="",0,D634*INDEX(Products!$I$5:$I$204,K634)))</f>
        <v/>
      </c>
      <c r="O634" s="11">
        <f>IF(A634="","",IF(K634="",0,J634*INDEX(Products!$H$5:$H$204,K634)))</f>
        <v/>
      </c>
      <c r="P634" s="11">
        <f>IF(A634="","",J634-M634-N634-O634)</f>
        <v/>
      </c>
    </row>
    <row r="635">
      <c r="A635">
        <f>IFERROR(INDEX('Etsy Import'!$A:$CZ,635,Settings!$C$20)&amp;"","")</f>
        <v/>
      </c>
      <c r="B635">
        <f>IFERROR(INDEX('Etsy Import'!$A:$CZ,635,Settings!$C$21)&amp;"","")</f>
        <v/>
      </c>
      <c r="C635">
        <f>IFERROR(INDEX('Etsy Import'!$A:$CZ,635,Settings!$C$22)&amp;"","")</f>
        <v/>
      </c>
      <c r="D635">
        <f>IF(A635="","",IFERROR(VALUE(SUBSTITUTE(SUBSTITUTE(INDEX('Etsy Import'!$A:$CZ,635,Settings!$C$23)&amp;"","$",""),",","")),0))</f>
        <v/>
      </c>
      <c r="E635" s="11">
        <f>IF(A635="","",IFERROR(VALUE(SUBSTITUTE(SUBSTITUTE(INDEX('Etsy Import'!$A:$CZ,635,Settings!$C$24)&amp;"","$",""),",","")),0))</f>
        <v/>
      </c>
      <c r="F635" s="11">
        <f>IF(A635="","",D635*E635)</f>
        <v/>
      </c>
      <c r="G635">
        <f>IF(A635="","",IF(C635="",1,COUNTIF($C$2:$C$1501,C635)))</f>
        <v/>
      </c>
      <c r="H635" s="11">
        <f>IF(A635="","",IFERROR(VALUE(SUBSTITUTE(SUBSTITUTE(INDEX('Etsy Import'!$A:$CZ,635,Settings!$C$25)&amp;"","$",""),",","")),0)/IF(Settings!$B$27="Yes",G635,1))</f>
        <v/>
      </c>
      <c r="I635" s="11">
        <f>IF(A635="","",IFERROR(VALUE(SUBSTITUTE(SUBSTITUTE(INDEX('Etsy Import'!$A:$CZ,635,Settings!$C$26)&amp;"","$",""),",","")),0)/IF(Settings!$B$27="Yes",G635,1))</f>
        <v/>
      </c>
      <c r="J635" s="11">
        <f>IF(A635="","",F635+H635-I635)</f>
        <v/>
      </c>
      <c r="K635">
        <f>IF(A635="","",IFERROR(IF(B635="",NA(),MATCH(B635,Products!$B$5:$B$204,0)),IFERROR(MATCH(A635,Products!$A$5:$A$204,0),"")))</f>
        <v/>
      </c>
      <c r="L635">
        <f>IF(A635="","",IF(K635="","⚠ not in Products",INDEX(Products!$A$5:$A$204,K635)))</f>
        <v/>
      </c>
      <c r="M635" s="11">
        <f>IF(A635="","",J635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635+IFERROR(INDEX(Settings!$D$5:$D$9,MATCH("Etsy",Settings!$A$5:$A$9,0)),0)*D635)</f>
        <v/>
      </c>
      <c r="N635" s="11">
        <f>IF(A635="","",IF(K635="",0,D635*INDEX(Products!$I$5:$I$204,K635)))</f>
        <v/>
      </c>
      <c r="O635" s="11">
        <f>IF(A635="","",IF(K635="",0,J635*INDEX(Products!$H$5:$H$204,K635)))</f>
        <v/>
      </c>
      <c r="P635" s="11">
        <f>IF(A635="","",J635-M635-N635-O635)</f>
        <v/>
      </c>
    </row>
    <row r="636">
      <c r="A636">
        <f>IFERROR(INDEX('Etsy Import'!$A:$CZ,636,Settings!$C$20)&amp;"","")</f>
        <v/>
      </c>
      <c r="B636">
        <f>IFERROR(INDEX('Etsy Import'!$A:$CZ,636,Settings!$C$21)&amp;"","")</f>
        <v/>
      </c>
      <c r="C636">
        <f>IFERROR(INDEX('Etsy Import'!$A:$CZ,636,Settings!$C$22)&amp;"","")</f>
        <v/>
      </c>
      <c r="D636">
        <f>IF(A636="","",IFERROR(VALUE(SUBSTITUTE(SUBSTITUTE(INDEX('Etsy Import'!$A:$CZ,636,Settings!$C$23)&amp;"","$",""),",","")),0))</f>
        <v/>
      </c>
      <c r="E636" s="11">
        <f>IF(A636="","",IFERROR(VALUE(SUBSTITUTE(SUBSTITUTE(INDEX('Etsy Import'!$A:$CZ,636,Settings!$C$24)&amp;"","$",""),",","")),0))</f>
        <v/>
      </c>
      <c r="F636" s="11">
        <f>IF(A636="","",D636*E636)</f>
        <v/>
      </c>
      <c r="G636">
        <f>IF(A636="","",IF(C636="",1,COUNTIF($C$2:$C$1501,C636)))</f>
        <v/>
      </c>
      <c r="H636" s="11">
        <f>IF(A636="","",IFERROR(VALUE(SUBSTITUTE(SUBSTITUTE(INDEX('Etsy Import'!$A:$CZ,636,Settings!$C$25)&amp;"","$",""),",","")),0)/IF(Settings!$B$27="Yes",G636,1))</f>
        <v/>
      </c>
      <c r="I636" s="11">
        <f>IF(A636="","",IFERROR(VALUE(SUBSTITUTE(SUBSTITUTE(INDEX('Etsy Import'!$A:$CZ,636,Settings!$C$26)&amp;"","$",""),",","")),0)/IF(Settings!$B$27="Yes",G636,1))</f>
        <v/>
      </c>
      <c r="J636" s="11">
        <f>IF(A636="","",F636+H636-I636)</f>
        <v/>
      </c>
      <c r="K636">
        <f>IF(A636="","",IFERROR(IF(B636="",NA(),MATCH(B636,Products!$B$5:$B$204,0)),IFERROR(MATCH(A636,Products!$A$5:$A$204,0),"")))</f>
        <v/>
      </c>
      <c r="L636">
        <f>IF(A636="","",IF(K636="","⚠ not in Products",INDEX(Products!$A$5:$A$204,K636)))</f>
        <v/>
      </c>
      <c r="M636" s="11">
        <f>IF(A636="","",J636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636+IFERROR(INDEX(Settings!$D$5:$D$9,MATCH("Etsy",Settings!$A$5:$A$9,0)),0)*D636)</f>
        <v/>
      </c>
      <c r="N636" s="11">
        <f>IF(A636="","",IF(K636="",0,D636*INDEX(Products!$I$5:$I$204,K636)))</f>
        <v/>
      </c>
      <c r="O636" s="11">
        <f>IF(A636="","",IF(K636="",0,J636*INDEX(Products!$H$5:$H$204,K636)))</f>
        <v/>
      </c>
      <c r="P636" s="11">
        <f>IF(A636="","",J636-M636-N636-O636)</f>
        <v/>
      </c>
    </row>
    <row r="637">
      <c r="A637">
        <f>IFERROR(INDEX('Etsy Import'!$A:$CZ,637,Settings!$C$20)&amp;"","")</f>
        <v/>
      </c>
      <c r="B637">
        <f>IFERROR(INDEX('Etsy Import'!$A:$CZ,637,Settings!$C$21)&amp;"","")</f>
        <v/>
      </c>
      <c r="C637">
        <f>IFERROR(INDEX('Etsy Import'!$A:$CZ,637,Settings!$C$22)&amp;"","")</f>
        <v/>
      </c>
      <c r="D637">
        <f>IF(A637="","",IFERROR(VALUE(SUBSTITUTE(SUBSTITUTE(INDEX('Etsy Import'!$A:$CZ,637,Settings!$C$23)&amp;"","$",""),",","")),0))</f>
        <v/>
      </c>
      <c r="E637" s="11">
        <f>IF(A637="","",IFERROR(VALUE(SUBSTITUTE(SUBSTITUTE(INDEX('Etsy Import'!$A:$CZ,637,Settings!$C$24)&amp;"","$",""),",","")),0))</f>
        <v/>
      </c>
      <c r="F637" s="11">
        <f>IF(A637="","",D637*E637)</f>
        <v/>
      </c>
      <c r="G637">
        <f>IF(A637="","",IF(C637="",1,COUNTIF($C$2:$C$1501,C637)))</f>
        <v/>
      </c>
      <c r="H637" s="11">
        <f>IF(A637="","",IFERROR(VALUE(SUBSTITUTE(SUBSTITUTE(INDEX('Etsy Import'!$A:$CZ,637,Settings!$C$25)&amp;"","$",""),",","")),0)/IF(Settings!$B$27="Yes",G637,1))</f>
        <v/>
      </c>
      <c r="I637" s="11">
        <f>IF(A637="","",IFERROR(VALUE(SUBSTITUTE(SUBSTITUTE(INDEX('Etsy Import'!$A:$CZ,637,Settings!$C$26)&amp;"","$",""),",","")),0)/IF(Settings!$B$27="Yes",G637,1))</f>
        <v/>
      </c>
      <c r="J637" s="11">
        <f>IF(A637="","",F637+H637-I637)</f>
        <v/>
      </c>
      <c r="K637">
        <f>IF(A637="","",IFERROR(IF(B637="",NA(),MATCH(B637,Products!$B$5:$B$204,0)),IFERROR(MATCH(A637,Products!$A$5:$A$204,0),"")))</f>
        <v/>
      </c>
      <c r="L637">
        <f>IF(A637="","",IF(K637="","⚠ not in Products",INDEX(Products!$A$5:$A$204,K637)))</f>
        <v/>
      </c>
      <c r="M637" s="11">
        <f>IF(A637="","",J637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637+IFERROR(INDEX(Settings!$D$5:$D$9,MATCH("Etsy",Settings!$A$5:$A$9,0)),0)*D637)</f>
        <v/>
      </c>
      <c r="N637" s="11">
        <f>IF(A637="","",IF(K637="",0,D637*INDEX(Products!$I$5:$I$204,K637)))</f>
        <v/>
      </c>
      <c r="O637" s="11">
        <f>IF(A637="","",IF(K637="",0,J637*INDEX(Products!$H$5:$H$204,K637)))</f>
        <v/>
      </c>
      <c r="P637" s="11">
        <f>IF(A637="","",J637-M637-N637-O637)</f>
        <v/>
      </c>
    </row>
    <row r="638">
      <c r="A638">
        <f>IFERROR(INDEX('Etsy Import'!$A:$CZ,638,Settings!$C$20)&amp;"","")</f>
        <v/>
      </c>
      <c r="B638">
        <f>IFERROR(INDEX('Etsy Import'!$A:$CZ,638,Settings!$C$21)&amp;"","")</f>
        <v/>
      </c>
      <c r="C638">
        <f>IFERROR(INDEX('Etsy Import'!$A:$CZ,638,Settings!$C$22)&amp;"","")</f>
        <v/>
      </c>
      <c r="D638">
        <f>IF(A638="","",IFERROR(VALUE(SUBSTITUTE(SUBSTITUTE(INDEX('Etsy Import'!$A:$CZ,638,Settings!$C$23)&amp;"","$",""),",","")),0))</f>
        <v/>
      </c>
      <c r="E638" s="11">
        <f>IF(A638="","",IFERROR(VALUE(SUBSTITUTE(SUBSTITUTE(INDEX('Etsy Import'!$A:$CZ,638,Settings!$C$24)&amp;"","$",""),",","")),0))</f>
        <v/>
      </c>
      <c r="F638" s="11">
        <f>IF(A638="","",D638*E638)</f>
        <v/>
      </c>
      <c r="G638">
        <f>IF(A638="","",IF(C638="",1,COUNTIF($C$2:$C$1501,C638)))</f>
        <v/>
      </c>
      <c r="H638" s="11">
        <f>IF(A638="","",IFERROR(VALUE(SUBSTITUTE(SUBSTITUTE(INDEX('Etsy Import'!$A:$CZ,638,Settings!$C$25)&amp;"","$",""),",","")),0)/IF(Settings!$B$27="Yes",G638,1))</f>
        <v/>
      </c>
      <c r="I638" s="11">
        <f>IF(A638="","",IFERROR(VALUE(SUBSTITUTE(SUBSTITUTE(INDEX('Etsy Import'!$A:$CZ,638,Settings!$C$26)&amp;"","$",""),",","")),0)/IF(Settings!$B$27="Yes",G638,1))</f>
        <v/>
      </c>
      <c r="J638" s="11">
        <f>IF(A638="","",F638+H638-I638)</f>
        <v/>
      </c>
      <c r="K638">
        <f>IF(A638="","",IFERROR(IF(B638="",NA(),MATCH(B638,Products!$B$5:$B$204,0)),IFERROR(MATCH(A638,Products!$A$5:$A$204,0),"")))</f>
        <v/>
      </c>
      <c r="L638">
        <f>IF(A638="","",IF(K638="","⚠ not in Products",INDEX(Products!$A$5:$A$204,K638)))</f>
        <v/>
      </c>
      <c r="M638" s="11">
        <f>IF(A638="","",J638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638+IFERROR(INDEX(Settings!$D$5:$D$9,MATCH("Etsy",Settings!$A$5:$A$9,0)),0)*D638)</f>
        <v/>
      </c>
      <c r="N638" s="11">
        <f>IF(A638="","",IF(K638="",0,D638*INDEX(Products!$I$5:$I$204,K638)))</f>
        <v/>
      </c>
      <c r="O638" s="11">
        <f>IF(A638="","",IF(K638="",0,J638*INDEX(Products!$H$5:$H$204,K638)))</f>
        <v/>
      </c>
      <c r="P638" s="11">
        <f>IF(A638="","",J638-M638-N638-O638)</f>
        <v/>
      </c>
    </row>
    <row r="639">
      <c r="A639">
        <f>IFERROR(INDEX('Etsy Import'!$A:$CZ,639,Settings!$C$20)&amp;"","")</f>
        <v/>
      </c>
      <c r="B639">
        <f>IFERROR(INDEX('Etsy Import'!$A:$CZ,639,Settings!$C$21)&amp;"","")</f>
        <v/>
      </c>
      <c r="C639">
        <f>IFERROR(INDEX('Etsy Import'!$A:$CZ,639,Settings!$C$22)&amp;"","")</f>
        <v/>
      </c>
      <c r="D639">
        <f>IF(A639="","",IFERROR(VALUE(SUBSTITUTE(SUBSTITUTE(INDEX('Etsy Import'!$A:$CZ,639,Settings!$C$23)&amp;"","$",""),",","")),0))</f>
        <v/>
      </c>
      <c r="E639" s="11">
        <f>IF(A639="","",IFERROR(VALUE(SUBSTITUTE(SUBSTITUTE(INDEX('Etsy Import'!$A:$CZ,639,Settings!$C$24)&amp;"","$",""),",","")),0))</f>
        <v/>
      </c>
      <c r="F639" s="11">
        <f>IF(A639="","",D639*E639)</f>
        <v/>
      </c>
      <c r="G639">
        <f>IF(A639="","",IF(C639="",1,COUNTIF($C$2:$C$1501,C639)))</f>
        <v/>
      </c>
      <c r="H639" s="11">
        <f>IF(A639="","",IFERROR(VALUE(SUBSTITUTE(SUBSTITUTE(INDEX('Etsy Import'!$A:$CZ,639,Settings!$C$25)&amp;"","$",""),",","")),0)/IF(Settings!$B$27="Yes",G639,1))</f>
        <v/>
      </c>
      <c r="I639" s="11">
        <f>IF(A639="","",IFERROR(VALUE(SUBSTITUTE(SUBSTITUTE(INDEX('Etsy Import'!$A:$CZ,639,Settings!$C$26)&amp;"","$",""),",","")),0)/IF(Settings!$B$27="Yes",G639,1))</f>
        <v/>
      </c>
      <c r="J639" s="11">
        <f>IF(A639="","",F639+H639-I639)</f>
        <v/>
      </c>
      <c r="K639">
        <f>IF(A639="","",IFERROR(IF(B639="",NA(),MATCH(B639,Products!$B$5:$B$204,0)),IFERROR(MATCH(A639,Products!$A$5:$A$204,0),"")))</f>
        <v/>
      </c>
      <c r="L639">
        <f>IF(A639="","",IF(K639="","⚠ not in Products",INDEX(Products!$A$5:$A$204,K639)))</f>
        <v/>
      </c>
      <c r="M639" s="11">
        <f>IF(A639="","",J639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639+IFERROR(INDEX(Settings!$D$5:$D$9,MATCH("Etsy",Settings!$A$5:$A$9,0)),0)*D639)</f>
        <v/>
      </c>
      <c r="N639" s="11">
        <f>IF(A639="","",IF(K639="",0,D639*INDEX(Products!$I$5:$I$204,K639)))</f>
        <v/>
      </c>
      <c r="O639" s="11">
        <f>IF(A639="","",IF(K639="",0,J639*INDEX(Products!$H$5:$H$204,K639)))</f>
        <v/>
      </c>
      <c r="P639" s="11">
        <f>IF(A639="","",J639-M639-N639-O639)</f>
        <v/>
      </c>
    </row>
    <row r="640">
      <c r="A640">
        <f>IFERROR(INDEX('Etsy Import'!$A:$CZ,640,Settings!$C$20)&amp;"","")</f>
        <v/>
      </c>
      <c r="B640">
        <f>IFERROR(INDEX('Etsy Import'!$A:$CZ,640,Settings!$C$21)&amp;"","")</f>
        <v/>
      </c>
      <c r="C640">
        <f>IFERROR(INDEX('Etsy Import'!$A:$CZ,640,Settings!$C$22)&amp;"","")</f>
        <v/>
      </c>
      <c r="D640">
        <f>IF(A640="","",IFERROR(VALUE(SUBSTITUTE(SUBSTITUTE(INDEX('Etsy Import'!$A:$CZ,640,Settings!$C$23)&amp;"","$",""),",","")),0))</f>
        <v/>
      </c>
      <c r="E640" s="11">
        <f>IF(A640="","",IFERROR(VALUE(SUBSTITUTE(SUBSTITUTE(INDEX('Etsy Import'!$A:$CZ,640,Settings!$C$24)&amp;"","$",""),",","")),0))</f>
        <v/>
      </c>
      <c r="F640" s="11">
        <f>IF(A640="","",D640*E640)</f>
        <v/>
      </c>
      <c r="G640">
        <f>IF(A640="","",IF(C640="",1,COUNTIF($C$2:$C$1501,C640)))</f>
        <v/>
      </c>
      <c r="H640" s="11">
        <f>IF(A640="","",IFERROR(VALUE(SUBSTITUTE(SUBSTITUTE(INDEX('Etsy Import'!$A:$CZ,640,Settings!$C$25)&amp;"","$",""),",","")),0)/IF(Settings!$B$27="Yes",G640,1))</f>
        <v/>
      </c>
      <c r="I640" s="11">
        <f>IF(A640="","",IFERROR(VALUE(SUBSTITUTE(SUBSTITUTE(INDEX('Etsy Import'!$A:$CZ,640,Settings!$C$26)&amp;"","$",""),",","")),0)/IF(Settings!$B$27="Yes",G640,1))</f>
        <v/>
      </c>
      <c r="J640" s="11">
        <f>IF(A640="","",F640+H640-I640)</f>
        <v/>
      </c>
      <c r="K640">
        <f>IF(A640="","",IFERROR(IF(B640="",NA(),MATCH(B640,Products!$B$5:$B$204,0)),IFERROR(MATCH(A640,Products!$A$5:$A$204,0),"")))</f>
        <v/>
      </c>
      <c r="L640">
        <f>IF(A640="","",IF(K640="","⚠ not in Products",INDEX(Products!$A$5:$A$204,K640)))</f>
        <v/>
      </c>
      <c r="M640" s="11">
        <f>IF(A640="","",J640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640+IFERROR(INDEX(Settings!$D$5:$D$9,MATCH("Etsy",Settings!$A$5:$A$9,0)),0)*D640)</f>
        <v/>
      </c>
      <c r="N640" s="11">
        <f>IF(A640="","",IF(K640="",0,D640*INDEX(Products!$I$5:$I$204,K640)))</f>
        <v/>
      </c>
      <c r="O640" s="11">
        <f>IF(A640="","",IF(K640="",0,J640*INDEX(Products!$H$5:$H$204,K640)))</f>
        <v/>
      </c>
      <c r="P640" s="11">
        <f>IF(A640="","",J640-M640-N640-O640)</f>
        <v/>
      </c>
    </row>
    <row r="641">
      <c r="A641">
        <f>IFERROR(INDEX('Etsy Import'!$A:$CZ,641,Settings!$C$20)&amp;"","")</f>
        <v/>
      </c>
      <c r="B641">
        <f>IFERROR(INDEX('Etsy Import'!$A:$CZ,641,Settings!$C$21)&amp;"","")</f>
        <v/>
      </c>
      <c r="C641">
        <f>IFERROR(INDEX('Etsy Import'!$A:$CZ,641,Settings!$C$22)&amp;"","")</f>
        <v/>
      </c>
      <c r="D641">
        <f>IF(A641="","",IFERROR(VALUE(SUBSTITUTE(SUBSTITUTE(INDEX('Etsy Import'!$A:$CZ,641,Settings!$C$23)&amp;"","$",""),",","")),0))</f>
        <v/>
      </c>
      <c r="E641" s="11">
        <f>IF(A641="","",IFERROR(VALUE(SUBSTITUTE(SUBSTITUTE(INDEX('Etsy Import'!$A:$CZ,641,Settings!$C$24)&amp;"","$",""),",","")),0))</f>
        <v/>
      </c>
      <c r="F641" s="11">
        <f>IF(A641="","",D641*E641)</f>
        <v/>
      </c>
      <c r="G641">
        <f>IF(A641="","",IF(C641="",1,COUNTIF($C$2:$C$1501,C641)))</f>
        <v/>
      </c>
      <c r="H641" s="11">
        <f>IF(A641="","",IFERROR(VALUE(SUBSTITUTE(SUBSTITUTE(INDEX('Etsy Import'!$A:$CZ,641,Settings!$C$25)&amp;"","$",""),",","")),0)/IF(Settings!$B$27="Yes",G641,1))</f>
        <v/>
      </c>
      <c r="I641" s="11">
        <f>IF(A641="","",IFERROR(VALUE(SUBSTITUTE(SUBSTITUTE(INDEX('Etsy Import'!$A:$CZ,641,Settings!$C$26)&amp;"","$",""),",","")),0)/IF(Settings!$B$27="Yes",G641,1))</f>
        <v/>
      </c>
      <c r="J641" s="11">
        <f>IF(A641="","",F641+H641-I641)</f>
        <v/>
      </c>
      <c r="K641">
        <f>IF(A641="","",IFERROR(IF(B641="",NA(),MATCH(B641,Products!$B$5:$B$204,0)),IFERROR(MATCH(A641,Products!$A$5:$A$204,0),"")))</f>
        <v/>
      </c>
      <c r="L641">
        <f>IF(A641="","",IF(K641="","⚠ not in Products",INDEX(Products!$A$5:$A$204,K641)))</f>
        <v/>
      </c>
      <c r="M641" s="11">
        <f>IF(A641="","",J641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641+IFERROR(INDEX(Settings!$D$5:$D$9,MATCH("Etsy",Settings!$A$5:$A$9,0)),0)*D641)</f>
        <v/>
      </c>
      <c r="N641" s="11">
        <f>IF(A641="","",IF(K641="",0,D641*INDEX(Products!$I$5:$I$204,K641)))</f>
        <v/>
      </c>
      <c r="O641" s="11">
        <f>IF(A641="","",IF(K641="",0,J641*INDEX(Products!$H$5:$H$204,K641)))</f>
        <v/>
      </c>
      <c r="P641" s="11">
        <f>IF(A641="","",J641-M641-N641-O641)</f>
        <v/>
      </c>
    </row>
    <row r="642">
      <c r="A642">
        <f>IFERROR(INDEX('Etsy Import'!$A:$CZ,642,Settings!$C$20)&amp;"","")</f>
        <v/>
      </c>
      <c r="B642">
        <f>IFERROR(INDEX('Etsy Import'!$A:$CZ,642,Settings!$C$21)&amp;"","")</f>
        <v/>
      </c>
      <c r="C642">
        <f>IFERROR(INDEX('Etsy Import'!$A:$CZ,642,Settings!$C$22)&amp;"","")</f>
        <v/>
      </c>
      <c r="D642">
        <f>IF(A642="","",IFERROR(VALUE(SUBSTITUTE(SUBSTITUTE(INDEX('Etsy Import'!$A:$CZ,642,Settings!$C$23)&amp;"","$",""),",","")),0))</f>
        <v/>
      </c>
      <c r="E642" s="11">
        <f>IF(A642="","",IFERROR(VALUE(SUBSTITUTE(SUBSTITUTE(INDEX('Etsy Import'!$A:$CZ,642,Settings!$C$24)&amp;"","$",""),",","")),0))</f>
        <v/>
      </c>
      <c r="F642" s="11">
        <f>IF(A642="","",D642*E642)</f>
        <v/>
      </c>
      <c r="G642">
        <f>IF(A642="","",IF(C642="",1,COUNTIF($C$2:$C$1501,C642)))</f>
        <v/>
      </c>
      <c r="H642" s="11">
        <f>IF(A642="","",IFERROR(VALUE(SUBSTITUTE(SUBSTITUTE(INDEX('Etsy Import'!$A:$CZ,642,Settings!$C$25)&amp;"","$",""),",","")),0)/IF(Settings!$B$27="Yes",G642,1))</f>
        <v/>
      </c>
      <c r="I642" s="11">
        <f>IF(A642="","",IFERROR(VALUE(SUBSTITUTE(SUBSTITUTE(INDEX('Etsy Import'!$A:$CZ,642,Settings!$C$26)&amp;"","$",""),",","")),0)/IF(Settings!$B$27="Yes",G642,1))</f>
        <v/>
      </c>
      <c r="J642" s="11">
        <f>IF(A642="","",F642+H642-I642)</f>
        <v/>
      </c>
      <c r="K642">
        <f>IF(A642="","",IFERROR(IF(B642="",NA(),MATCH(B642,Products!$B$5:$B$204,0)),IFERROR(MATCH(A642,Products!$A$5:$A$204,0),"")))</f>
        <v/>
      </c>
      <c r="L642">
        <f>IF(A642="","",IF(K642="","⚠ not in Products",INDEX(Products!$A$5:$A$204,K642)))</f>
        <v/>
      </c>
      <c r="M642" s="11">
        <f>IF(A642="","",J642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642+IFERROR(INDEX(Settings!$D$5:$D$9,MATCH("Etsy",Settings!$A$5:$A$9,0)),0)*D642)</f>
        <v/>
      </c>
      <c r="N642" s="11">
        <f>IF(A642="","",IF(K642="",0,D642*INDEX(Products!$I$5:$I$204,K642)))</f>
        <v/>
      </c>
      <c r="O642" s="11">
        <f>IF(A642="","",IF(K642="",0,J642*INDEX(Products!$H$5:$H$204,K642)))</f>
        <v/>
      </c>
      <c r="P642" s="11">
        <f>IF(A642="","",J642-M642-N642-O642)</f>
        <v/>
      </c>
    </row>
    <row r="643">
      <c r="A643">
        <f>IFERROR(INDEX('Etsy Import'!$A:$CZ,643,Settings!$C$20)&amp;"","")</f>
        <v/>
      </c>
      <c r="B643">
        <f>IFERROR(INDEX('Etsy Import'!$A:$CZ,643,Settings!$C$21)&amp;"","")</f>
        <v/>
      </c>
      <c r="C643">
        <f>IFERROR(INDEX('Etsy Import'!$A:$CZ,643,Settings!$C$22)&amp;"","")</f>
        <v/>
      </c>
      <c r="D643">
        <f>IF(A643="","",IFERROR(VALUE(SUBSTITUTE(SUBSTITUTE(INDEX('Etsy Import'!$A:$CZ,643,Settings!$C$23)&amp;"","$",""),",","")),0))</f>
        <v/>
      </c>
      <c r="E643" s="11">
        <f>IF(A643="","",IFERROR(VALUE(SUBSTITUTE(SUBSTITUTE(INDEX('Etsy Import'!$A:$CZ,643,Settings!$C$24)&amp;"","$",""),",","")),0))</f>
        <v/>
      </c>
      <c r="F643" s="11">
        <f>IF(A643="","",D643*E643)</f>
        <v/>
      </c>
      <c r="G643">
        <f>IF(A643="","",IF(C643="",1,COUNTIF($C$2:$C$1501,C643)))</f>
        <v/>
      </c>
      <c r="H643" s="11">
        <f>IF(A643="","",IFERROR(VALUE(SUBSTITUTE(SUBSTITUTE(INDEX('Etsy Import'!$A:$CZ,643,Settings!$C$25)&amp;"","$",""),",","")),0)/IF(Settings!$B$27="Yes",G643,1))</f>
        <v/>
      </c>
      <c r="I643" s="11">
        <f>IF(A643="","",IFERROR(VALUE(SUBSTITUTE(SUBSTITUTE(INDEX('Etsy Import'!$A:$CZ,643,Settings!$C$26)&amp;"","$",""),",","")),0)/IF(Settings!$B$27="Yes",G643,1))</f>
        <v/>
      </c>
      <c r="J643" s="11">
        <f>IF(A643="","",F643+H643-I643)</f>
        <v/>
      </c>
      <c r="K643">
        <f>IF(A643="","",IFERROR(IF(B643="",NA(),MATCH(B643,Products!$B$5:$B$204,0)),IFERROR(MATCH(A643,Products!$A$5:$A$204,0),"")))</f>
        <v/>
      </c>
      <c r="L643">
        <f>IF(A643="","",IF(K643="","⚠ not in Products",INDEX(Products!$A$5:$A$204,K643)))</f>
        <v/>
      </c>
      <c r="M643" s="11">
        <f>IF(A643="","",J643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643+IFERROR(INDEX(Settings!$D$5:$D$9,MATCH("Etsy",Settings!$A$5:$A$9,0)),0)*D643)</f>
        <v/>
      </c>
      <c r="N643" s="11">
        <f>IF(A643="","",IF(K643="",0,D643*INDEX(Products!$I$5:$I$204,K643)))</f>
        <v/>
      </c>
      <c r="O643" s="11">
        <f>IF(A643="","",IF(K643="",0,J643*INDEX(Products!$H$5:$H$204,K643)))</f>
        <v/>
      </c>
      <c r="P643" s="11">
        <f>IF(A643="","",J643-M643-N643-O643)</f>
        <v/>
      </c>
    </row>
    <row r="644">
      <c r="A644">
        <f>IFERROR(INDEX('Etsy Import'!$A:$CZ,644,Settings!$C$20)&amp;"","")</f>
        <v/>
      </c>
      <c r="B644">
        <f>IFERROR(INDEX('Etsy Import'!$A:$CZ,644,Settings!$C$21)&amp;"","")</f>
        <v/>
      </c>
      <c r="C644">
        <f>IFERROR(INDEX('Etsy Import'!$A:$CZ,644,Settings!$C$22)&amp;"","")</f>
        <v/>
      </c>
      <c r="D644">
        <f>IF(A644="","",IFERROR(VALUE(SUBSTITUTE(SUBSTITUTE(INDEX('Etsy Import'!$A:$CZ,644,Settings!$C$23)&amp;"","$",""),",","")),0))</f>
        <v/>
      </c>
      <c r="E644" s="11">
        <f>IF(A644="","",IFERROR(VALUE(SUBSTITUTE(SUBSTITUTE(INDEX('Etsy Import'!$A:$CZ,644,Settings!$C$24)&amp;"","$",""),",","")),0))</f>
        <v/>
      </c>
      <c r="F644" s="11">
        <f>IF(A644="","",D644*E644)</f>
        <v/>
      </c>
      <c r="G644">
        <f>IF(A644="","",IF(C644="",1,COUNTIF($C$2:$C$1501,C644)))</f>
        <v/>
      </c>
      <c r="H644" s="11">
        <f>IF(A644="","",IFERROR(VALUE(SUBSTITUTE(SUBSTITUTE(INDEX('Etsy Import'!$A:$CZ,644,Settings!$C$25)&amp;"","$",""),",","")),0)/IF(Settings!$B$27="Yes",G644,1))</f>
        <v/>
      </c>
      <c r="I644" s="11">
        <f>IF(A644="","",IFERROR(VALUE(SUBSTITUTE(SUBSTITUTE(INDEX('Etsy Import'!$A:$CZ,644,Settings!$C$26)&amp;"","$",""),",","")),0)/IF(Settings!$B$27="Yes",G644,1))</f>
        <v/>
      </c>
      <c r="J644" s="11">
        <f>IF(A644="","",F644+H644-I644)</f>
        <v/>
      </c>
      <c r="K644">
        <f>IF(A644="","",IFERROR(IF(B644="",NA(),MATCH(B644,Products!$B$5:$B$204,0)),IFERROR(MATCH(A644,Products!$A$5:$A$204,0),"")))</f>
        <v/>
      </c>
      <c r="L644">
        <f>IF(A644="","",IF(K644="","⚠ not in Products",INDEX(Products!$A$5:$A$204,K644)))</f>
        <v/>
      </c>
      <c r="M644" s="11">
        <f>IF(A644="","",J644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644+IFERROR(INDEX(Settings!$D$5:$D$9,MATCH("Etsy",Settings!$A$5:$A$9,0)),0)*D644)</f>
        <v/>
      </c>
      <c r="N644" s="11">
        <f>IF(A644="","",IF(K644="",0,D644*INDEX(Products!$I$5:$I$204,K644)))</f>
        <v/>
      </c>
      <c r="O644" s="11">
        <f>IF(A644="","",IF(K644="",0,J644*INDEX(Products!$H$5:$H$204,K644)))</f>
        <v/>
      </c>
      <c r="P644" s="11">
        <f>IF(A644="","",J644-M644-N644-O644)</f>
        <v/>
      </c>
    </row>
    <row r="645">
      <c r="A645">
        <f>IFERROR(INDEX('Etsy Import'!$A:$CZ,645,Settings!$C$20)&amp;"","")</f>
        <v/>
      </c>
      <c r="B645">
        <f>IFERROR(INDEX('Etsy Import'!$A:$CZ,645,Settings!$C$21)&amp;"","")</f>
        <v/>
      </c>
      <c r="C645">
        <f>IFERROR(INDEX('Etsy Import'!$A:$CZ,645,Settings!$C$22)&amp;"","")</f>
        <v/>
      </c>
      <c r="D645">
        <f>IF(A645="","",IFERROR(VALUE(SUBSTITUTE(SUBSTITUTE(INDEX('Etsy Import'!$A:$CZ,645,Settings!$C$23)&amp;"","$",""),",","")),0))</f>
        <v/>
      </c>
      <c r="E645" s="11">
        <f>IF(A645="","",IFERROR(VALUE(SUBSTITUTE(SUBSTITUTE(INDEX('Etsy Import'!$A:$CZ,645,Settings!$C$24)&amp;"","$",""),",","")),0))</f>
        <v/>
      </c>
      <c r="F645" s="11">
        <f>IF(A645="","",D645*E645)</f>
        <v/>
      </c>
      <c r="G645">
        <f>IF(A645="","",IF(C645="",1,COUNTIF($C$2:$C$1501,C645)))</f>
        <v/>
      </c>
      <c r="H645" s="11">
        <f>IF(A645="","",IFERROR(VALUE(SUBSTITUTE(SUBSTITUTE(INDEX('Etsy Import'!$A:$CZ,645,Settings!$C$25)&amp;"","$",""),",","")),0)/IF(Settings!$B$27="Yes",G645,1))</f>
        <v/>
      </c>
      <c r="I645" s="11">
        <f>IF(A645="","",IFERROR(VALUE(SUBSTITUTE(SUBSTITUTE(INDEX('Etsy Import'!$A:$CZ,645,Settings!$C$26)&amp;"","$",""),",","")),0)/IF(Settings!$B$27="Yes",G645,1))</f>
        <v/>
      </c>
      <c r="J645" s="11">
        <f>IF(A645="","",F645+H645-I645)</f>
        <v/>
      </c>
      <c r="K645">
        <f>IF(A645="","",IFERROR(IF(B645="",NA(),MATCH(B645,Products!$B$5:$B$204,0)),IFERROR(MATCH(A645,Products!$A$5:$A$204,0),"")))</f>
        <v/>
      </c>
      <c r="L645">
        <f>IF(A645="","",IF(K645="","⚠ not in Products",INDEX(Products!$A$5:$A$204,K645)))</f>
        <v/>
      </c>
      <c r="M645" s="11">
        <f>IF(A645="","",J645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645+IFERROR(INDEX(Settings!$D$5:$D$9,MATCH("Etsy",Settings!$A$5:$A$9,0)),0)*D645)</f>
        <v/>
      </c>
      <c r="N645" s="11">
        <f>IF(A645="","",IF(K645="",0,D645*INDEX(Products!$I$5:$I$204,K645)))</f>
        <v/>
      </c>
      <c r="O645" s="11">
        <f>IF(A645="","",IF(K645="",0,J645*INDEX(Products!$H$5:$H$204,K645)))</f>
        <v/>
      </c>
      <c r="P645" s="11">
        <f>IF(A645="","",J645-M645-N645-O645)</f>
        <v/>
      </c>
    </row>
    <row r="646">
      <c r="A646">
        <f>IFERROR(INDEX('Etsy Import'!$A:$CZ,646,Settings!$C$20)&amp;"","")</f>
        <v/>
      </c>
      <c r="B646">
        <f>IFERROR(INDEX('Etsy Import'!$A:$CZ,646,Settings!$C$21)&amp;"","")</f>
        <v/>
      </c>
      <c r="C646">
        <f>IFERROR(INDEX('Etsy Import'!$A:$CZ,646,Settings!$C$22)&amp;"","")</f>
        <v/>
      </c>
      <c r="D646">
        <f>IF(A646="","",IFERROR(VALUE(SUBSTITUTE(SUBSTITUTE(INDEX('Etsy Import'!$A:$CZ,646,Settings!$C$23)&amp;"","$",""),",","")),0))</f>
        <v/>
      </c>
      <c r="E646" s="11">
        <f>IF(A646="","",IFERROR(VALUE(SUBSTITUTE(SUBSTITUTE(INDEX('Etsy Import'!$A:$CZ,646,Settings!$C$24)&amp;"","$",""),",","")),0))</f>
        <v/>
      </c>
      <c r="F646" s="11">
        <f>IF(A646="","",D646*E646)</f>
        <v/>
      </c>
      <c r="G646">
        <f>IF(A646="","",IF(C646="",1,COUNTIF($C$2:$C$1501,C646)))</f>
        <v/>
      </c>
      <c r="H646" s="11">
        <f>IF(A646="","",IFERROR(VALUE(SUBSTITUTE(SUBSTITUTE(INDEX('Etsy Import'!$A:$CZ,646,Settings!$C$25)&amp;"","$",""),",","")),0)/IF(Settings!$B$27="Yes",G646,1))</f>
        <v/>
      </c>
      <c r="I646" s="11">
        <f>IF(A646="","",IFERROR(VALUE(SUBSTITUTE(SUBSTITUTE(INDEX('Etsy Import'!$A:$CZ,646,Settings!$C$26)&amp;"","$",""),",","")),0)/IF(Settings!$B$27="Yes",G646,1))</f>
        <v/>
      </c>
      <c r="J646" s="11">
        <f>IF(A646="","",F646+H646-I646)</f>
        <v/>
      </c>
      <c r="K646">
        <f>IF(A646="","",IFERROR(IF(B646="",NA(),MATCH(B646,Products!$B$5:$B$204,0)),IFERROR(MATCH(A646,Products!$A$5:$A$204,0),"")))</f>
        <v/>
      </c>
      <c r="L646">
        <f>IF(A646="","",IF(K646="","⚠ not in Products",INDEX(Products!$A$5:$A$204,K646)))</f>
        <v/>
      </c>
      <c r="M646" s="11">
        <f>IF(A646="","",J646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646+IFERROR(INDEX(Settings!$D$5:$D$9,MATCH("Etsy",Settings!$A$5:$A$9,0)),0)*D646)</f>
        <v/>
      </c>
      <c r="N646" s="11">
        <f>IF(A646="","",IF(K646="",0,D646*INDEX(Products!$I$5:$I$204,K646)))</f>
        <v/>
      </c>
      <c r="O646" s="11">
        <f>IF(A646="","",IF(K646="",0,J646*INDEX(Products!$H$5:$H$204,K646)))</f>
        <v/>
      </c>
      <c r="P646" s="11">
        <f>IF(A646="","",J646-M646-N646-O646)</f>
        <v/>
      </c>
    </row>
    <row r="647">
      <c r="A647">
        <f>IFERROR(INDEX('Etsy Import'!$A:$CZ,647,Settings!$C$20)&amp;"","")</f>
        <v/>
      </c>
      <c r="B647">
        <f>IFERROR(INDEX('Etsy Import'!$A:$CZ,647,Settings!$C$21)&amp;"","")</f>
        <v/>
      </c>
      <c r="C647">
        <f>IFERROR(INDEX('Etsy Import'!$A:$CZ,647,Settings!$C$22)&amp;"","")</f>
        <v/>
      </c>
      <c r="D647">
        <f>IF(A647="","",IFERROR(VALUE(SUBSTITUTE(SUBSTITUTE(INDEX('Etsy Import'!$A:$CZ,647,Settings!$C$23)&amp;"","$",""),",","")),0))</f>
        <v/>
      </c>
      <c r="E647" s="11">
        <f>IF(A647="","",IFERROR(VALUE(SUBSTITUTE(SUBSTITUTE(INDEX('Etsy Import'!$A:$CZ,647,Settings!$C$24)&amp;"","$",""),",","")),0))</f>
        <v/>
      </c>
      <c r="F647" s="11">
        <f>IF(A647="","",D647*E647)</f>
        <v/>
      </c>
      <c r="G647">
        <f>IF(A647="","",IF(C647="",1,COUNTIF($C$2:$C$1501,C647)))</f>
        <v/>
      </c>
      <c r="H647" s="11">
        <f>IF(A647="","",IFERROR(VALUE(SUBSTITUTE(SUBSTITUTE(INDEX('Etsy Import'!$A:$CZ,647,Settings!$C$25)&amp;"","$",""),",","")),0)/IF(Settings!$B$27="Yes",G647,1))</f>
        <v/>
      </c>
      <c r="I647" s="11">
        <f>IF(A647="","",IFERROR(VALUE(SUBSTITUTE(SUBSTITUTE(INDEX('Etsy Import'!$A:$CZ,647,Settings!$C$26)&amp;"","$",""),",","")),0)/IF(Settings!$B$27="Yes",G647,1))</f>
        <v/>
      </c>
      <c r="J647" s="11">
        <f>IF(A647="","",F647+H647-I647)</f>
        <v/>
      </c>
      <c r="K647">
        <f>IF(A647="","",IFERROR(IF(B647="",NA(),MATCH(B647,Products!$B$5:$B$204,0)),IFERROR(MATCH(A647,Products!$A$5:$A$204,0),"")))</f>
        <v/>
      </c>
      <c r="L647">
        <f>IF(A647="","",IF(K647="","⚠ not in Products",INDEX(Products!$A$5:$A$204,K647)))</f>
        <v/>
      </c>
      <c r="M647" s="11">
        <f>IF(A647="","",J647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647+IFERROR(INDEX(Settings!$D$5:$D$9,MATCH("Etsy",Settings!$A$5:$A$9,0)),0)*D647)</f>
        <v/>
      </c>
      <c r="N647" s="11">
        <f>IF(A647="","",IF(K647="",0,D647*INDEX(Products!$I$5:$I$204,K647)))</f>
        <v/>
      </c>
      <c r="O647" s="11">
        <f>IF(A647="","",IF(K647="",0,J647*INDEX(Products!$H$5:$H$204,K647)))</f>
        <v/>
      </c>
      <c r="P647" s="11">
        <f>IF(A647="","",J647-M647-N647-O647)</f>
        <v/>
      </c>
    </row>
    <row r="648">
      <c r="A648">
        <f>IFERROR(INDEX('Etsy Import'!$A:$CZ,648,Settings!$C$20)&amp;"","")</f>
        <v/>
      </c>
      <c r="B648">
        <f>IFERROR(INDEX('Etsy Import'!$A:$CZ,648,Settings!$C$21)&amp;"","")</f>
        <v/>
      </c>
      <c r="C648">
        <f>IFERROR(INDEX('Etsy Import'!$A:$CZ,648,Settings!$C$22)&amp;"","")</f>
        <v/>
      </c>
      <c r="D648">
        <f>IF(A648="","",IFERROR(VALUE(SUBSTITUTE(SUBSTITUTE(INDEX('Etsy Import'!$A:$CZ,648,Settings!$C$23)&amp;"","$",""),",","")),0))</f>
        <v/>
      </c>
      <c r="E648" s="11">
        <f>IF(A648="","",IFERROR(VALUE(SUBSTITUTE(SUBSTITUTE(INDEX('Etsy Import'!$A:$CZ,648,Settings!$C$24)&amp;"","$",""),",","")),0))</f>
        <v/>
      </c>
      <c r="F648" s="11">
        <f>IF(A648="","",D648*E648)</f>
        <v/>
      </c>
      <c r="G648">
        <f>IF(A648="","",IF(C648="",1,COUNTIF($C$2:$C$1501,C648)))</f>
        <v/>
      </c>
      <c r="H648" s="11">
        <f>IF(A648="","",IFERROR(VALUE(SUBSTITUTE(SUBSTITUTE(INDEX('Etsy Import'!$A:$CZ,648,Settings!$C$25)&amp;"","$",""),",","")),0)/IF(Settings!$B$27="Yes",G648,1))</f>
        <v/>
      </c>
      <c r="I648" s="11">
        <f>IF(A648="","",IFERROR(VALUE(SUBSTITUTE(SUBSTITUTE(INDEX('Etsy Import'!$A:$CZ,648,Settings!$C$26)&amp;"","$",""),",","")),0)/IF(Settings!$B$27="Yes",G648,1))</f>
        <v/>
      </c>
      <c r="J648" s="11">
        <f>IF(A648="","",F648+H648-I648)</f>
        <v/>
      </c>
      <c r="K648">
        <f>IF(A648="","",IFERROR(IF(B648="",NA(),MATCH(B648,Products!$B$5:$B$204,0)),IFERROR(MATCH(A648,Products!$A$5:$A$204,0),"")))</f>
        <v/>
      </c>
      <c r="L648">
        <f>IF(A648="","",IF(K648="","⚠ not in Products",INDEX(Products!$A$5:$A$204,K648)))</f>
        <v/>
      </c>
      <c r="M648" s="11">
        <f>IF(A648="","",J648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648+IFERROR(INDEX(Settings!$D$5:$D$9,MATCH("Etsy",Settings!$A$5:$A$9,0)),0)*D648)</f>
        <v/>
      </c>
      <c r="N648" s="11">
        <f>IF(A648="","",IF(K648="",0,D648*INDEX(Products!$I$5:$I$204,K648)))</f>
        <v/>
      </c>
      <c r="O648" s="11">
        <f>IF(A648="","",IF(K648="",0,J648*INDEX(Products!$H$5:$H$204,K648)))</f>
        <v/>
      </c>
      <c r="P648" s="11">
        <f>IF(A648="","",J648-M648-N648-O648)</f>
        <v/>
      </c>
    </row>
    <row r="649">
      <c r="A649">
        <f>IFERROR(INDEX('Etsy Import'!$A:$CZ,649,Settings!$C$20)&amp;"","")</f>
        <v/>
      </c>
      <c r="B649">
        <f>IFERROR(INDEX('Etsy Import'!$A:$CZ,649,Settings!$C$21)&amp;"","")</f>
        <v/>
      </c>
      <c r="C649">
        <f>IFERROR(INDEX('Etsy Import'!$A:$CZ,649,Settings!$C$22)&amp;"","")</f>
        <v/>
      </c>
      <c r="D649">
        <f>IF(A649="","",IFERROR(VALUE(SUBSTITUTE(SUBSTITUTE(INDEX('Etsy Import'!$A:$CZ,649,Settings!$C$23)&amp;"","$",""),",","")),0))</f>
        <v/>
      </c>
      <c r="E649" s="11">
        <f>IF(A649="","",IFERROR(VALUE(SUBSTITUTE(SUBSTITUTE(INDEX('Etsy Import'!$A:$CZ,649,Settings!$C$24)&amp;"","$",""),",","")),0))</f>
        <v/>
      </c>
      <c r="F649" s="11">
        <f>IF(A649="","",D649*E649)</f>
        <v/>
      </c>
      <c r="G649">
        <f>IF(A649="","",IF(C649="",1,COUNTIF($C$2:$C$1501,C649)))</f>
        <v/>
      </c>
      <c r="H649" s="11">
        <f>IF(A649="","",IFERROR(VALUE(SUBSTITUTE(SUBSTITUTE(INDEX('Etsy Import'!$A:$CZ,649,Settings!$C$25)&amp;"","$",""),",","")),0)/IF(Settings!$B$27="Yes",G649,1))</f>
        <v/>
      </c>
      <c r="I649" s="11">
        <f>IF(A649="","",IFERROR(VALUE(SUBSTITUTE(SUBSTITUTE(INDEX('Etsy Import'!$A:$CZ,649,Settings!$C$26)&amp;"","$",""),",","")),0)/IF(Settings!$B$27="Yes",G649,1))</f>
        <v/>
      </c>
      <c r="J649" s="11">
        <f>IF(A649="","",F649+H649-I649)</f>
        <v/>
      </c>
      <c r="K649">
        <f>IF(A649="","",IFERROR(IF(B649="",NA(),MATCH(B649,Products!$B$5:$B$204,0)),IFERROR(MATCH(A649,Products!$A$5:$A$204,0),"")))</f>
        <v/>
      </c>
      <c r="L649">
        <f>IF(A649="","",IF(K649="","⚠ not in Products",INDEX(Products!$A$5:$A$204,K649)))</f>
        <v/>
      </c>
      <c r="M649" s="11">
        <f>IF(A649="","",J649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649+IFERROR(INDEX(Settings!$D$5:$D$9,MATCH("Etsy",Settings!$A$5:$A$9,0)),0)*D649)</f>
        <v/>
      </c>
      <c r="N649" s="11">
        <f>IF(A649="","",IF(K649="",0,D649*INDEX(Products!$I$5:$I$204,K649)))</f>
        <v/>
      </c>
      <c r="O649" s="11">
        <f>IF(A649="","",IF(K649="",0,J649*INDEX(Products!$H$5:$H$204,K649)))</f>
        <v/>
      </c>
      <c r="P649" s="11">
        <f>IF(A649="","",J649-M649-N649-O649)</f>
        <v/>
      </c>
    </row>
    <row r="650">
      <c r="A650">
        <f>IFERROR(INDEX('Etsy Import'!$A:$CZ,650,Settings!$C$20)&amp;"","")</f>
        <v/>
      </c>
      <c r="B650">
        <f>IFERROR(INDEX('Etsy Import'!$A:$CZ,650,Settings!$C$21)&amp;"","")</f>
        <v/>
      </c>
      <c r="C650">
        <f>IFERROR(INDEX('Etsy Import'!$A:$CZ,650,Settings!$C$22)&amp;"","")</f>
        <v/>
      </c>
      <c r="D650">
        <f>IF(A650="","",IFERROR(VALUE(SUBSTITUTE(SUBSTITUTE(INDEX('Etsy Import'!$A:$CZ,650,Settings!$C$23)&amp;"","$",""),",","")),0))</f>
        <v/>
      </c>
      <c r="E650" s="11">
        <f>IF(A650="","",IFERROR(VALUE(SUBSTITUTE(SUBSTITUTE(INDEX('Etsy Import'!$A:$CZ,650,Settings!$C$24)&amp;"","$",""),",","")),0))</f>
        <v/>
      </c>
      <c r="F650" s="11">
        <f>IF(A650="","",D650*E650)</f>
        <v/>
      </c>
      <c r="G650">
        <f>IF(A650="","",IF(C650="",1,COUNTIF($C$2:$C$1501,C650)))</f>
        <v/>
      </c>
      <c r="H650" s="11">
        <f>IF(A650="","",IFERROR(VALUE(SUBSTITUTE(SUBSTITUTE(INDEX('Etsy Import'!$A:$CZ,650,Settings!$C$25)&amp;"","$",""),",","")),0)/IF(Settings!$B$27="Yes",G650,1))</f>
        <v/>
      </c>
      <c r="I650" s="11">
        <f>IF(A650="","",IFERROR(VALUE(SUBSTITUTE(SUBSTITUTE(INDEX('Etsy Import'!$A:$CZ,650,Settings!$C$26)&amp;"","$",""),",","")),0)/IF(Settings!$B$27="Yes",G650,1))</f>
        <v/>
      </c>
      <c r="J650" s="11">
        <f>IF(A650="","",F650+H650-I650)</f>
        <v/>
      </c>
      <c r="K650">
        <f>IF(A650="","",IFERROR(IF(B650="",NA(),MATCH(B650,Products!$B$5:$B$204,0)),IFERROR(MATCH(A650,Products!$A$5:$A$204,0),"")))</f>
        <v/>
      </c>
      <c r="L650">
        <f>IF(A650="","",IF(K650="","⚠ not in Products",INDEX(Products!$A$5:$A$204,K650)))</f>
        <v/>
      </c>
      <c r="M650" s="11">
        <f>IF(A650="","",J650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650+IFERROR(INDEX(Settings!$D$5:$D$9,MATCH("Etsy",Settings!$A$5:$A$9,0)),0)*D650)</f>
        <v/>
      </c>
      <c r="N650" s="11">
        <f>IF(A650="","",IF(K650="",0,D650*INDEX(Products!$I$5:$I$204,K650)))</f>
        <v/>
      </c>
      <c r="O650" s="11">
        <f>IF(A650="","",IF(K650="",0,J650*INDEX(Products!$H$5:$H$204,K650)))</f>
        <v/>
      </c>
      <c r="P650" s="11">
        <f>IF(A650="","",J650-M650-N650-O650)</f>
        <v/>
      </c>
    </row>
    <row r="651">
      <c r="A651">
        <f>IFERROR(INDEX('Etsy Import'!$A:$CZ,651,Settings!$C$20)&amp;"","")</f>
        <v/>
      </c>
      <c r="B651">
        <f>IFERROR(INDEX('Etsy Import'!$A:$CZ,651,Settings!$C$21)&amp;"","")</f>
        <v/>
      </c>
      <c r="C651">
        <f>IFERROR(INDEX('Etsy Import'!$A:$CZ,651,Settings!$C$22)&amp;"","")</f>
        <v/>
      </c>
      <c r="D651">
        <f>IF(A651="","",IFERROR(VALUE(SUBSTITUTE(SUBSTITUTE(INDEX('Etsy Import'!$A:$CZ,651,Settings!$C$23)&amp;"","$",""),",","")),0))</f>
        <v/>
      </c>
      <c r="E651" s="11">
        <f>IF(A651="","",IFERROR(VALUE(SUBSTITUTE(SUBSTITUTE(INDEX('Etsy Import'!$A:$CZ,651,Settings!$C$24)&amp;"","$",""),",","")),0))</f>
        <v/>
      </c>
      <c r="F651" s="11">
        <f>IF(A651="","",D651*E651)</f>
        <v/>
      </c>
      <c r="G651">
        <f>IF(A651="","",IF(C651="",1,COUNTIF($C$2:$C$1501,C651)))</f>
        <v/>
      </c>
      <c r="H651" s="11">
        <f>IF(A651="","",IFERROR(VALUE(SUBSTITUTE(SUBSTITUTE(INDEX('Etsy Import'!$A:$CZ,651,Settings!$C$25)&amp;"","$",""),",","")),0)/IF(Settings!$B$27="Yes",G651,1))</f>
        <v/>
      </c>
      <c r="I651" s="11">
        <f>IF(A651="","",IFERROR(VALUE(SUBSTITUTE(SUBSTITUTE(INDEX('Etsy Import'!$A:$CZ,651,Settings!$C$26)&amp;"","$",""),",","")),0)/IF(Settings!$B$27="Yes",G651,1))</f>
        <v/>
      </c>
      <c r="J651" s="11">
        <f>IF(A651="","",F651+H651-I651)</f>
        <v/>
      </c>
      <c r="K651">
        <f>IF(A651="","",IFERROR(IF(B651="",NA(),MATCH(B651,Products!$B$5:$B$204,0)),IFERROR(MATCH(A651,Products!$A$5:$A$204,0),"")))</f>
        <v/>
      </c>
      <c r="L651">
        <f>IF(A651="","",IF(K651="","⚠ not in Products",INDEX(Products!$A$5:$A$204,K651)))</f>
        <v/>
      </c>
      <c r="M651" s="11">
        <f>IF(A651="","",J651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651+IFERROR(INDEX(Settings!$D$5:$D$9,MATCH("Etsy",Settings!$A$5:$A$9,0)),0)*D651)</f>
        <v/>
      </c>
      <c r="N651" s="11">
        <f>IF(A651="","",IF(K651="",0,D651*INDEX(Products!$I$5:$I$204,K651)))</f>
        <v/>
      </c>
      <c r="O651" s="11">
        <f>IF(A651="","",IF(K651="",0,J651*INDEX(Products!$H$5:$H$204,K651)))</f>
        <v/>
      </c>
      <c r="P651" s="11">
        <f>IF(A651="","",J651-M651-N651-O651)</f>
        <v/>
      </c>
    </row>
    <row r="652">
      <c r="A652">
        <f>IFERROR(INDEX('Etsy Import'!$A:$CZ,652,Settings!$C$20)&amp;"","")</f>
        <v/>
      </c>
      <c r="B652">
        <f>IFERROR(INDEX('Etsy Import'!$A:$CZ,652,Settings!$C$21)&amp;"","")</f>
        <v/>
      </c>
      <c r="C652">
        <f>IFERROR(INDEX('Etsy Import'!$A:$CZ,652,Settings!$C$22)&amp;"","")</f>
        <v/>
      </c>
      <c r="D652">
        <f>IF(A652="","",IFERROR(VALUE(SUBSTITUTE(SUBSTITUTE(INDEX('Etsy Import'!$A:$CZ,652,Settings!$C$23)&amp;"","$",""),",","")),0))</f>
        <v/>
      </c>
      <c r="E652" s="11">
        <f>IF(A652="","",IFERROR(VALUE(SUBSTITUTE(SUBSTITUTE(INDEX('Etsy Import'!$A:$CZ,652,Settings!$C$24)&amp;"","$",""),",","")),0))</f>
        <v/>
      </c>
      <c r="F652" s="11">
        <f>IF(A652="","",D652*E652)</f>
        <v/>
      </c>
      <c r="G652">
        <f>IF(A652="","",IF(C652="",1,COUNTIF($C$2:$C$1501,C652)))</f>
        <v/>
      </c>
      <c r="H652" s="11">
        <f>IF(A652="","",IFERROR(VALUE(SUBSTITUTE(SUBSTITUTE(INDEX('Etsy Import'!$A:$CZ,652,Settings!$C$25)&amp;"","$",""),",","")),0)/IF(Settings!$B$27="Yes",G652,1))</f>
        <v/>
      </c>
      <c r="I652" s="11">
        <f>IF(A652="","",IFERROR(VALUE(SUBSTITUTE(SUBSTITUTE(INDEX('Etsy Import'!$A:$CZ,652,Settings!$C$26)&amp;"","$",""),",","")),0)/IF(Settings!$B$27="Yes",G652,1))</f>
        <v/>
      </c>
      <c r="J652" s="11">
        <f>IF(A652="","",F652+H652-I652)</f>
        <v/>
      </c>
      <c r="K652">
        <f>IF(A652="","",IFERROR(IF(B652="",NA(),MATCH(B652,Products!$B$5:$B$204,0)),IFERROR(MATCH(A652,Products!$A$5:$A$204,0),"")))</f>
        <v/>
      </c>
      <c r="L652">
        <f>IF(A652="","",IF(K652="","⚠ not in Products",INDEX(Products!$A$5:$A$204,K652)))</f>
        <v/>
      </c>
      <c r="M652" s="11">
        <f>IF(A652="","",J652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652+IFERROR(INDEX(Settings!$D$5:$D$9,MATCH("Etsy",Settings!$A$5:$A$9,0)),0)*D652)</f>
        <v/>
      </c>
      <c r="N652" s="11">
        <f>IF(A652="","",IF(K652="",0,D652*INDEX(Products!$I$5:$I$204,K652)))</f>
        <v/>
      </c>
      <c r="O652" s="11">
        <f>IF(A652="","",IF(K652="",0,J652*INDEX(Products!$H$5:$H$204,K652)))</f>
        <v/>
      </c>
      <c r="P652" s="11">
        <f>IF(A652="","",J652-M652-N652-O652)</f>
        <v/>
      </c>
    </row>
    <row r="653">
      <c r="A653">
        <f>IFERROR(INDEX('Etsy Import'!$A:$CZ,653,Settings!$C$20)&amp;"","")</f>
        <v/>
      </c>
      <c r="B653">
        <f>IFERROR(INDEX('Etsy Import'!$A:$CZ,653,Settings!$C$21)&amp;"","")</f>
        <v/>
      </c>
      <c r="C653">
        <f>IFERROR(INDEX('Etsy Import'!$A:$CZ,653,Settings!$C$22)&amp;"","")</f>
        <v/>
      </c>
      <c r="D653">
        <f>IF(A653="","",IFERROR(VALUE(SUBSTITUTE(SUBSTITUTE(INDEX('Etsy Import'!$A:$CZ,653,Settings!$C$23)&amp;"","$",""),",","")),0))</f>
        <v/>
      </c>
      <c r="E653" s="11">
        <f>IF(A653="","",IFERROR(VALUE(SUBSTITUTE(SUBSTITUTE(INDEX('Etsy Import'!$A:$CZ,653,Settings!$C$24)&amp;"","$",""),",","")),0))</f>
        <v/>
      </c>
      <c r="F653" s="11">
        <f>IF(A653="","",D653*E653)</f>
        <v/>
      </c>
      <c r="G653">
        <f>IF(A653="","",IF(C653="",1,COUNTIF($C$2:$C$1501,C653)))</f>
        <v/>
      </c>
      <c r="H653" s="11">
        <f>IF(A653="","",IFERROR(VALUE(SUBSTITUTE(SUBSTITUTE(INDEX('Etsy Import'!$A:$CZ,653,Settings!$C$25)&amp;"","$",""),",","")),0)/IF(Settings!$B$27="Yes",G653,1))</f>
        <v/>
      </c>
      <c r="I653" s="11">
        <f>IF(A653="","",IFERROR(VALUE(SUBSTITUTE(SUBSTITUTE(INDEX('Etsy Import'!$A:$CZ,653,Settings!$C$26)&amp;"","$",""),",","")),0)/IF(Settings!$B$27="Yes",G653,1))</f>
        <v/>
      </c>
      <c r="J653" s="11">
        <f>IF(A653="","",F653+H653-I653)</f>
        <v/>
      </c>
      <c r="K653">
        <f>IF(A653="","",IFERROR(IF(B653="",NA(),MATCH(B653,Products!$B$5:$B$204,0)),IFERROR(MATCH(A653,Products!$A$5:$A$204,0),"")))</f>
        <v/>
      </c>
      <c r="L653">
        <f>IF(A653="","",IF(K653="","⚠ not in Products",INDEX(Products!$A$5:$A$204,K653)))</f>
        <v/>
      </c>
      <c r="M653" s="11">
        <f>IF(A653="","",J653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653+IFERROR(INDEX(Settings!$D$5:$D$9,MATCH("Etsy",Settings!$A$5:$A$9,0)),0)*D653)</f>
        <v/>
      </c>
      <c r="N653" s="11">
        <f>IF(A653="","",IF(K653="",0,D653*INDEX(Products!$I$5:$I$204,K653)))</f>
        <v/>
      </c>
      <c r="O653" s="11">
        <f>IF(A653="","",IF(K653="",0,J653*INDEX(Products!$H$5:$H$204,K653)))</f>
        <v/>
      </c>
      <c r="P653" s="11">
        <f>IF(A653="","",J653-M653-N653-O653)</f>
        <v/>
      </c>
    </row>
    <row r="654">
      <c r="A654">
        <f>IFERROR(INDEX('Etsy Import'!$A:$CZ,654,Settings!$C$20)&amp;"","")</f>
        <v/>
      </c>
      <c r="B654">
        <f>IFERROR(INDEX('Etsy Import'!$A:$CZ,654,Settings!$C$21)&amp;"","")</f>
        <v/>
      </c>
      <c r="C654">
        <f>IFERROR(INDEX('Etsy Import'!$A:$CZ,654,Settings!$C$22)&amp;"","")</f>
        <v/>
      </c>
      <c r="D654">
        <f>IF(A654="","",IFERROR(VALUE(SUBSTITUTE(SUBSTITUTE(INDEX('Etsy Import'!$A:$CZ,654,Settings!$C$23)&amp;"","$",""),",","")),0))</f>
        <v/>
      </c>
      <c r="E654" s="11">
        <f>IF(A654="","",IFERROR(VALUE(SUBSTITUTE(SUBSTITUTE(INDEX('Etsy Import'!$A:$CZ,654,Settings!$C$24)&amp;"","$",""),",","")),0))</f>
        <v/>
      </c>
      <c r="F654" s="11">
        <f>IF(A654="","",D654*E654)</f>
        <v/>
      </c>
      <c r="G654">
        <f>IF(A654="","",IF(C654="",1,COUNTIF($C$2:$C$1501,C654)))</f>
        <v/>
      </c>
      <c r="H654" s="11">
        <f>IF(A654="","",IFERROR(VALUE(SUBSTITUTE(SUBSTITUTE(INDEX('Etsy Import'!$A:$CZ,654,Settings!$C$25)&amp;"","$",""),",","")),0)/IF(Settings!$B$27="Yes",G654,1))</f>
        <v/>
      </c>
      <c r="I654" s="11">
        <f>IF(A654="","",IFERROR(VALUE(SUBSTITUTE(SUBSTITUTE(INDEX('Etsy Import'!$A:$CZ,654,Settings!$C$26)&amp;"","$",""),",","")),0)/IF(Settings!$B$27="Yes",G654,1))</f>
        <v/>
      </c>
      <c r="J654" s="11">
        <f>IF(A654="","",F654+H654-I654)</f>
        <v/>
      </c>
      <c r="K654">
        <f>IF(A654="","",IFERROR(IF(B654="",NA(),MATCH(B654,Products!$B$5:$B$204,0)),IFERROR(MATCH(A654,Products!$A$5:$A$204,0),"")))</f>
        <v/>
      </c>
      <c r="L654">
        <f>IF(A654="","",IF(K654="","⚠ not in Products",INDEX(Products!$A$5:$A$204,K654)))</f>
        <v/>
      </c>
      <c r="M654" s="11">
        <f>IF(A654="","",J654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654+IFERROR(INDEX(Settings!$D$5:$D$9,MATCH("Etsy",Settings!$A$5:$A$9,0)),0)*D654)</f>
        <v/>
      </c>
      <c r="N654" s="11">
        <f>IF(A654="","",IF(K654="",0,D654*INDEX(Products!$I$5:$I$204,K654)))</f>
        <v/>
      </c>
      <c r="O654" s="11">
        <f>IF(A654="","",IF(K654="",0,J654*INDEX(Products!$H$5:$H$204,K654)))</f>
        <v/>
      </c>
      <c r="P654" s="11">
        <f>IF(A654="","",J654-M654-N654-O654)</f>
        <v/>
      </c>
    </row>
    <row r="655">
      <c r="A655">
        <f>IFERROR(INDEX('Etsy Import'!$A:$CZ,655,Settings!$C$20)&amp;"","")</f>
        <v/>
      </c>
      <c r="B655">
        <f>IFERROR(INDEX('Etsy Import'!$A:$CZ,655,Settings!$C$21)&amp;"","")</f>
        <v/>
      </c>
      <c r="C655">
        <f>IFERROR(INDEX('Etsy Import'!$A:$CZ,655,Settings!$C$22)&amp;"","")</f>
        <v/>
      </c>
      <c r="D655">
        <f>IF(A655="","",IFERROR(VALUE(SUBSTITUTE(SUBSTITUTE(INDEX('Etsy Import'!$A:$CZ,655,Settings!$C$23)&amp;"","$",""),",","")),0))</f>
        <v/>
      </c>
      <c r="E655" s="11">
        <f>IF(A655="","",IFERROR(VALUE(SUBSTITUTE(SUBSTITUTE(INDEX('Etsy Import'!$A:$CZ,655,Settings!$C$24)&amp;"","$",""),",","")),0))</f>
        <v/>
      </c>
      <c r="F655" s="11">
        <f>IF(A655="","",D655*E655)</f>
        <v/>
      </c>
      <c r="G655">
        <f>IF(A655="","",IF(C655="",1,COUNTIF($C$2:$C$1501,C655)))</f>
        <v/>
      </c>
      <c r="H655" s="11">
        <f>IF(A655="","",IFERROR(VALUE(SUBSTITUTE(SUBSTITUTE(INDEX('Etsy Import'!$A:$CZ,655,Settings!$C$25)&amp;"","$",""),",","")),0)/IF(Settings!$B$27="Yes",G655,1))</f>
        <v/>
      </c>
      <c r="I655" s="11">
        <f>IF(A655="","",IFERROR(VALUE(SUBSTITUTE(SUBSTITUTE(INDEX('Etsy Import'!$A:$CZ,655,Settings!$C$26)&amp;"","$",""),",","")),0)/IF(Settings!$B$27="Yes",G655,1))</f>
        <v/>
      </c>
      <c r="J655" s="11">
        <f>IF(A655="","",F655+H655-I655)</f>
        <v/>
      </c>
      <c r="K655">
        <f>IF(A655="","",IFERROR(IF(B655="",NA(),MATCH(B655,Products!$B$5:$B$204,0)),IFERROR(MATCH(A655,Products!$A$5:$A$204,0),"")))</f>
        <v/>
      </c>
      <c r="L655">
        <f>IF(A655="","",IF(K655="","⚠ not in Products",INDEX(Products!$A$5:$A$204,K655)))</f>
        <v/>
      </c>
      <c r="M655" s="11">
        <f>IF(A655="","",J655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655+IFERROR(INDEX(Settings!$D$5:$D$9,MATCH("Etsy",Settings!$A$5:$A$9,0)),0)*D655)</f>
        <v/>
      </c>
      <c r="N655" s="11">
        <f>IF(A655="","",IF(K655="",0,D655*INDEX(Products!$I$5:$I$204,K655)))</f>
        <v/>
      </c>
      <c r="O655" s="11">
        <f>IF(A655="","",IF(K655="",0,J655*INDEX(Products!$H$5:$H$204,K655)))</f>
        <v/>
      </c>
      <c r="P655" s="11">
        <f>IF(A655="","",J655-M655-N655-O655)</f>
        <v/>
      </c>
    </row>
    <row r="656">
      <c r="A656">
        <f>IFERROR(INDEX('Etsy Import'!$A:$CZ,656,Settings!$C$20)&amp;"","")</f>
        <v/>
      </c>
      <c r="B656">
        <f>IFERROR(INDEX('Etsy Import'!$A:$CZ,656,Settings!$C$21)&amp;"","")</f>
        <v/>
      </c>
      <c r="C656">
        <f>IFERROR(INDEX('Etsy Import'!$A:$CZ,656,Settings!$C$22)&amp;"","")</f>
        <v/>
      </c>
      <c r="D656">
        <f>IF(A656="","",IFERROR(VALUE(SUBSTITUTE(SUBSTITUTE(INDEX('Etsy Import'!$A:$CZ,656,Settings!$C$23)&amp;"","$",""),",","")),0))</f>
        <v/>
      </c>
      <c r="E656" s="11">
        <f>IF(A656="","",IFERROR(VALUE(SUBSTITUTE(SUBSTITUTE(INDEX('Etsy Import'!$A:$CZ,656,Settings!$C$24)&amp;"","$",""),",","")),0))</f>
        <v/>
      </c>
      <c r="F656" s="11">
        <f>IF(A656="","",D656*E656)</f>
        <v/>
      </c>
      <c r="G656">
        <f>IF(A656="","",IF(C656="",1,COUNTIF($C$2:$C$1501,C656)))</f>
        <v/>
      </c>
      <c r="H656" s="11">
        <f>IF(A656="","",IFERROR(VALUE(SUBSTITUTE(SUBSTITUTE(INDEX('Etsy Import'!$A:$CZ,656,Settings!$C$25)&amp;"","$",""),",","")),0)/IF(Settings!$B$27="Yes",G656,1))</f>
        <v/>
      </c>
      <c r="I656" s="11">
        <f>IF(A656="","",IFERROR(VALUE(SUBSTITUTE(SUBSTITUTE(INDEX('Etsy Import'!$A:$CZ,656,Settings!$C$26)&amp;"","$",""),",","")),0)/IF(Settings!$B$27="Yes",G656,1))</f>
        <v/>
      </c>
      <c r="J656" s="11">
        <f>IF(A656="","",F656+H656-I656)</f>
        <v/>
      </c>
      <c r="K656">
        <f>IF(A656="","",IFERROR(IF(B656="",NA(),MATCH(B656,Products!$B$5:$B$204,0)),IFERROR(MATCH(A656,Products!$A$5:$A$204,0),"")))</f>
        <v/>
      </c>
      <c r="L656">
        <f>IF(A656="","",IF(K656="","⚠ not in Products",INDEX(Products!$A$5:$A$204,K656)))</f>
        <v/>
      </c>
      <c r="M656" s="11">
        <f>IF(A656="","",J656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656+IFERROR(INDEX(Settings!$D$5:$D$9,MATCH("Etsy",Settings!$A$5:$A$9,0)),0)*D656)</f>
        <v/>
      </c>
      <c r="N656" s="11">
        <f>IF(A656="","",IF(K656="",0,D656*INDEX(Products!$I$5:$I$204,K656)))</f>
        <v/>
      </c>
      <c r="O656" s="11">
        <f>IF(A656="","",IF(K656="",0,J656*INDEX(Products!$H$5:$H$204,K656)))</f>
        <v/>
      </c>
      <c r="P656" s="11">
        <f>IF(A656="","",J656-M656-N656-O656)</f>
        <v/>
      </c>
    </row>
    <row r="657">
      <c r="A657">
        <f>IFERROR(INDEX('Etsy Import'!$A:$CZ,657,Settings!$C$20)&amp;"","")</f>
        <v/>
      </c>
      <c r="B657">
        <f>IFERROR(INDEX('Etsy Import'!$A:$CZ,657,Settings!$C$21)&amp;"","")</f>
        <v/>
      </c>
      <c r="C657">
        <f>IFERROR(INDEX('Etsy Import'!$A:$CZ,657,Settings!$C$22)&amp;"","")</f>
        <v/>
      </c>
      <c r="D657">
        <f>IF(A657="","",IFERROR(VALUE(SUBSTITUTE(SUBSTITUTE(INDEX('Etsy Import'!$A:$CZ,657,Settings!$C$23)&amp;"","$",""),",","")),0))</f>
        <v/>
      </c>
      <c r="E657" s="11">
        <f>IF(A657="","",IFERROR(VALUE(SUBSTITUTE(SUBSTITUTE(INDEX('Etsy Import'!$A:$CZ,657,Settings!$C$24)&amp;"","$",""),",","")),0))</f>
        <v/>
      </c>
      <c r="F657" s="11">
        <f>IF(A657="","",D657*E657)</f>
        <v/>
      </c>
      <c r="G657">
        <f>IF(A657="","",IF(C657="",1,COUNTIF($C$2:$C$1501,C657)))</f>
        <v/>
      </c>
      <c r="H657" s="11">
        <f>IF(A657="","",IFERROR(VALUE(SUBSTITUTE(SUBSTITUTE(INDEX('Etsy Import'!$A:$CZ,657,Settings!$C$25)&amp;"","$",""),",","")),0)/IF(Settings!$B$27="Yes",G657,1))</f>
        <v/>
      </c>
      <c r="I657" s="11">
        <f>IF(A657="","",IFERROR(VALUE(SUBSTITUTE(SUBSTITUTE(INDEX('Etsy Import'!$A:$CZ,657,Settings!$C$26)&amp;"","$",""),",","")),0)/IF(Settings!$B$27="Yes",G657,1))</f>
        <v/>
      </c>
      <c r="J657" s="11">
        <f>IF(A657="","",F657+H657-I657)</f>
        <v/>
      </c>
      <c r="K657">
        <f>IF(A657="","",IFERROR(IF(B657="",NA(),MATCH(B657,Products!$B$5:$B$204,0)),IFERROR(MATCH(A657,Products!$A$5:$A$204,0),"")))</f>
        <v/>
      </c>
      <c r="L657">
        <f>IF(A657="","",IF(K657="","⚠ not in Products",INDEX(Products!$A$5:$A$204,K657)))</f>
        <v/>
      </c>
      <c r="M657" s="11">
        <f>IF(A657="","",J657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657+IFERROR(INDEX(Settings!$D$5:$D$9,MATCH("Etsy",Settings!$A$5:$A$9,0)),0)*D657)</f>
        <v/>
      </c>
      <c r="N657" s="11">
        <f>IF(A657="","",IF(K657="",0,D657*INDEX(Products!$I$5:$I$204,K657)))</f>
        <v/>
      </c>
      <c r="O657" s="11">
        <f>IF(A657="","",IF(K657="",0,J657*INDEX(Products!$H$5:$H$204,K657)))</f>
        <v/>
      </c>
      <c r="P657" s="11">
        <f>IF(A657="","",J657-M657-N657-O657)</f>
        <v/>
      </c>
    </row>
    <row r="658">
      <c r="A658">
        <f>IFERROR(INDEX('Etsy Import'!$A:$CZ,658,Settings!$C$20)&amp;"","")</f>
        <v/>
      </c>
      <c r="B658">
        <f>IFERROR(INDEX('Etsy Import'!$A:$CZ,658,Settings!$C$21)&amp;"","")</f>
        <v/>
      </c>
      <c r="C658">
        <f>IFERROR(INDEX('Etsy Import'!$A:$CZ,658,Settings!$C$22)&amp;"","")</f>
        <v/>
      </c>
      <c r="D658">
        <f>IF(A658="","",IFERROR(VALUE(SUBSTITUTE(SUBSTITUTE(INDEX('Etsy Import'!$A:$CZ,658,Settings!$C$23)&amp;"","$",""),",","")),0))</f>
        <v/>
      </c>
      <c r="E658" s="11">
        <f>IF(A658="","",IFERROR(VALUE(SUBSTITUTE(SUBSTITUTE(INDEX('Etsy Import'!$A:$CZ,658,Settings!$C$24)&amp;"","$",""),",","")),0))</f>
        <v/>
      </c>
      <c r="F658" s="11">
        <f>IF(A658="","",D658*E658)</f>
        <v/>
      </c>
      <c r="G658">
        <f>IF(A658="","",IF(C658="",1,COUNTIF($C$2:$C$1501,C658)))</f>
        <v/>
      </c>
      <c r="H658" s="11">
        <f>IF(A658="","",IFERROR(VALUE(SUBSTITUTE(SUBSTITUTE(INDEX('Etsy Import'!$A:$CZ,658,Settings!$C$25)&amp;"","$",""),",","")),0)/IF(Settings!$B$27="Yes",G658,1))</f>
        <v/>
      </c>
      <c r="I658" s="11">
        <f>IF(A658="","",IFERROR(VALUE(SUBSTITUTE(SUBSTITUTE(INDEX('Etsy Import'!$A:$CZ,658,Settings!$C$26)&amp;"","$",""),",","")),0)/IF(Settings!$B$27="Yes",G658,1))</f>
        <v/>
      </c>
      <c r="J658" s="11">
        <f>IF(A658="","",F658+H658-I658)</f>
        <v/>
      </c>
      <c r="K658">
        <f>IF(A658="","",IFERROR(IF(B658="",NA(),MATCH(B658,Products!$B$5:$B$204,0)),IFERROR(MATCH(A658,Products!$A$5:$A$204,0),"")))</f>
        <v/>
      </c>
      <c r="L658">
        <f>IF(A658="","",IF(K658="","⚠ not in Products",INDEX(Products!$A$5:$A$204,K658)))</f>
        <v/>
      </c>
      <c r="M658" s="11">
        <f>IF(A658="","",J658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658+IFERROR(INDEX(Settings!$D$5:$D$9,MATCH("Etsy",Settings!$A$5:$A$9,0)),0)*D658)</f>
        <v/>
      </c>
      <c r="N658" s="11">
        <f>IF(A658="","",IF(K658="",0,D658*INDEX(Products!$I$5:$I$204,K658)))</f>
        <v/>
      </c>
      <c r="O658" s="11">
        <f>IF(A658="","",IF(K658="",0,J658*INDEX(Products!$H$5:$H$204,K658)))</f>
        <v/>
      </c>
      <c r="P658" s="11">
        <f>IF(A658="","",J658-M658-N658-O658)</f>
        <v/>
      </c>
    </row>
    <row r="659">
      <c r="A659">
        <f>IFERROR(INDEX('Etsy Import'!$A:$CZ,659,Settings!$C$20)&amp;"","")</f>
        <v/>
      </c>
      <c r="B659">
        <f>IFERROR(INDEX('Etsy Import'!$A:$CZ,659,Settings!$C$21)&amp;"","")</f>
        <v/>
      </c>
      <c r="C659">
        <f>IFERROR(INDEX('Etsy Import'!$A:$CZ,659,Settings!$C$22)&amp;"","")</f>
        <v/>
      </c>
      <c r="D659">
        <f>IF(A659="","",IFERROR(VALUE(SUBSTITUTE(SUBSTITUTE(INDEX('Etsy Import'!$A:$CZ,659,Settings!$C$23)&amp;"","$",""),",","")),0))</f>
        <v/>
      </c>
      <c r="E659" s="11">
        <f>IF(A659="","",IFERROR(VALUE(SUBSTITUTE(SUBSTITUTE(INDEX('Etsy Import'!$A:$CZ,659,Settings!$C$24)&amp;"","$",""),",","")),0))</f>
        <v/>
      </c>
      <c r="F659" s="11">
        <f>IF(A659="","",D659*E659)</f>
        <v/>
      </c>
      <c r="G659">
        <f>IF(A659="","",IF(C659="",1,COUNTIF($C$2:$C$1501,C659)))</f>
        <v/>
      </c>
      <c r="H659" s="11">
        <f>IF(A659="","",IFERROR(VALUE(SUBSTITUTE(SUBSTITUTE(INDEX('Etsy Import'!$A:$CZ,659,Settings!$C$25)&amp;"","$",""),",","")),0)/IF(Settings!$B$27="Yes",G659,1))</f>
        <v/>
      </c>
      <c r="I659" s="11">
        <f>IF(A659="","",IFERROR(VALUE(SUBSTITUTE(SUBSTITUTE(INDEX('Etsy Import'!$A:$CZ,659,Settings!$C$26)&amp;"","$",""),",","")),0)/IF(Settings!$B$27="Yes",G659,1))</f>
        <v/>
      </c>
      <c r="J659" s="11">
        <f>IF(A659="","",F659+H659-I659)</f>
        <v/>
      </c>
      <c r="K659">
        <f>IF(A659="","",IFERROR(IF(B659="",NA(),MATCH(B659,Products!$B$5:$B$204,0)),IFERROR(MATCH(A659,Products!$A$5:$A$204,0),"")))</f>
        <v/>
      </c>
      <c r="L659">
        <f>IF(A659="","",IF(K659="","⚠ not in Products",INDEX(Products!$A$5:$A$204,K659)))</f>
        <v/>
      </c>
      <c r="M659" s="11">
        <f>IF(A659="","",J659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659+IFERROR(INDEX(Settings!$D$5:$D$9,MATCH("Etsy",Settings!$A$5:$A$9,0)),0)*D659)</f>
        <v/>
      </c>
      <c r="N659" s="11">
        <f>IF(A659="","",IF(K659="",0,D659*INDEX(Products!$I$5:$I$204,K659)))</f>
        <v/>
      </c>
      <c r="O659" s="11">
        <f>IF(A659="","",IF(K659="",0,J659*INDEX(Products!$H$5:$H$204,K659)))</f>
        <v/>
      </c>
      <c r="P659" s="11">
        <f>IF(A659="","",J659-M659-N659-O659)</f>
        <v/>
      </c>
    </row>
    <row r="660">
      <c r="A660">
        <f>IFERROR(INDEX('Etsy Import'!$A:$CZ,660,Settings!$C$20)&amp;"","")</f>
        <v/>
      </c>
      <c r="B660">
        <f>IFERROR(INDEX('Etsy Import'!$A:$CZ,660,Settings!$C$21)&amp;"","")</f>
        <v/>
      </c>
      <c r="C660">
        <f>IFERROR(INDEX('Etsy Import'!$A:$CZ,660,Settings!$C$22)&amp;"","")</f>
        <v/>
      </c>
      <c r="D660">
        <f>IF(A660="","",IFERROR(VALUE(SUBSTITUTE(SUBSTITUTE(INDEX('Etsy Import'!$A:$CZ,660,Settings!$C$23)&amp;"","$",""),",","")),0))</f>
        <v/>
      </c>
      <c r="E660" s="11">
        <f>IF(A660="","",IFERROR(VALUE(SUBSTITUTE(SUBSTITUTE(INDEX('Etsy Import'!$A:$CZ,660,Settings!$C$24)&amp;"","$",""),",","")),0))</f>
        <v/>
      </c>
      <c r="F660" s="11">
        <f>IF(A660="","",D660*E660)</f>
        <v/>
      </c>
      <c r="G660">
        <f>IF(A660="","",IF(C660="",1,COUNTIF($C$2:$C$1501,C660)))</f>
        <v/>
      </c>
      <c r="H660" s="11">
        <f>IF(A660="","",IFERROR(VALUE(SUBSTITUTE(SUBSTITUTE(INDEX('Etsy Import'!$A:$CZ,660,Settings!$C$25)&amp;"","$",""),",","")),0)/IF(Settings!$B$27="Yes",G660,1))</f>
        <v/>
      </c>
      <c r="I660" s="11">
        <f>IF(A660="","",IFERROR(VALUE(SUBSTITUTE(SUBSTITUTE(INDEX('Etsy Import'!$A:$CZ,660,Settings!$C$26)&amp;"","$",""),",","")),0)/IF(Settings!$B$27="Yes",G660,1))</f>
        <v/>
      </c>
      <c r="J660" s="11">
        <f>IF(A660="","",F660+H660-I660)</f>
        <v/>
      </c>
      <c r="K660">
        <f>IF(A660="","",IFERROR(IF(B660="",NA(),MATCH(B660,Products!$B$5:$B$204,0)),IFERROR(MATCH(A660,Products!$A$5:$A$204,0),"")))</f>
        <v/>
      </c>
      <c r="L660">
        <f>IF(A660="","",IF(K660="","⚠ not in Products",INDEX(Products!$A$5:$A$204,K660)))</f>
        <v/>
      </c>
      <c r="M660" s="11">
        <f>IF(A660="","",J660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660+IFERROR(INDEX(Settings!$D$5:$D$9,MATCH("Etsy",Settings!$A$5:$A$9,0)),0)*D660)</f>
        <v/>
      </c>
      <c r="N660" s="11">
        <f>IF(A660="","",IF(K660="",0,D660*INDEX(Products!$I$5:$I$204,K660)))</f>
        <v/>
      </c>
      <c r="O660" s="11">
        <f>IF(A660="","",IF(K660="",0,J660*INDEX(Products!$H$5:$H$204,K660)))</f>
        <v/>
      </c>
      <c r="P660" s="11">
        <f>IF(A660="","",J660-M660-N660-O660)</f>
        <v/>
      </c>
    </row>
    <row r="661">
      <c r="A661">
        <f>IFERROR(INDEX('Etsy Import'!$A:$CZ,661,Settings!$C$20)&amp;"","")</f>
        <v/>
      </c>
      <c r="B661">
        <f>IFERROR(INDEX('Etsy Import'!$A:$CZ,661,Settings!$C$21)&amp;"","")</f>
        <v/>
      </c>
      <c r="C661">
        <f>IFERROR(INDEX('Etsy Import'!$A:$CZ,661,Settings!$C$22)&amp;"","")</f>
        <v/>
      </c>
      <c r="D661">
        <f>IF(A661="","",IFERROR(VALUE(SUBSTITUTE(SUBSTITUTE(INDEX('Etsy Import'!$A:$CZ,661,Settings!$C$23)&amp;"","$",""),",","")),0))</f>
        <v/>
      </c>
      <c r="E661" s="11">
        <f>IF(A661="","",IFERROR(VALUE(SUBSTITUTE(SUBSTITUTE(INDEX('Etsy Import'!$A:$CZ,661,Settings!$C$24)&amp;"","$",""),",","")),0))</f>
        <v/>
      </c>
      <c r="F661" s="11">
        <f>IF(A661="","",D661*E661)</f>
        <v/>
      </c>
      <c r="G661">
        <f>IF(A661="","",IF(C661="",1,COUNTIF($C$2:$C$1501,C661)))</f>
        <v/>
      </c>
      <c r="H661" s="11">
        <f>IF(A661="","",IFERROR(VALUE(SUBSTITUTE(SUBSTITUTE(INDEX('Etsy Import'!$A:$CZ,661,Settings!$C$25)&amp;"","$",""),",","")),0)/IF(Settings!$B$27="Yes",G661,1))</f>
        <v/>
      </c>
      <c r="I661" s="11">
        <f>IF(A661="","",IFERROR(VALUE(SUBSTITUTE(SUBSTITUTE(INDEX('Etsy Import'!$A:$CZ,661,Settings!$C$26)&amp;"","$",""),",","")),0)/IF(Settings!$B$27="Yes",G661,1))</f>
        <v/>
      </c>
      <c r="J661" s="11">
        <f>IF(A661="","",F661+H661-I661)</f>
        <v/>
      </c>
      <c r="K661">
        <f>IF(A661="","",IFERROR(IF(B661="",NA(),MATCH(B661,Products!$B$5:$B$204,0)),IFERROR(MATCH(A661,Products!$A$5:$A$204,0),"")))</f>
        <v/>
      </c>
      <c r="L661">
        <f>IF(A661="","",IF(K661="","⚠ not in Products",INDEX(Products!$A$5:$A$204,K661)))</f>
        <v/>
      </c>
      <c r="M661" s="11">
        <f>IF(A661="","",J661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661+IFERROR(INDEX(Settings!$D$5:$D$9,MATCH("Etsy",Settings!$A$5:$A$9,0)),0)*D661)</f>
        <v/>
      </c>
      <c r="N661" s="11">
        <f>IF(A661="","",IF(K661="",0,D661*INDEX(Products!$I$5:$I$204,K661)))</f>
        <v/>
      </c>
      <c r="O661" s="11">
        <f>IF(A661="","",IF(K661="",0,J661*INDEX(Products!$H$5:$H$204,K661)))</f>
        <v/>
      </c>
      <c r="P661" s="11">
        <f>IF(A661="","",J661-M661-N661-O661)</f>
        <v/>
      </c>
    </row>
    <row r="662">
      <c r="A662">
        <f>IFERROR(INDEX('Etsy Import'!$A:$CZ,662,Settings!$C$20)&amp;"","")</f>
        <v/>
      </c>
      <c r="B662">
        <f>IFERROR(INDEX('Etsy Import'!$A:$CZ,662,Settings!$C$21)&amp;"","")</f>
        <v/>
      </c>
      <c r="C662">
        <f>IFERROR(INDEX('Etsy Import'!$A:$CZ,662,Settings!$C$22)&amp;"","")</f>
        <v/>
      </c>
      <c r="D662">
        <f>IF(A662="","",IFERROR(VALUE(SUBSTITUTE(SUBSTITUTE(INDEX('Etsy Import'!$A:$CZ,662,Settings!$C$23)&amp;"","$",""),",","")),0))</f>
        <v/>
      </c>
      <c r="E662" s="11">
        <f>IF(A662="","",IFERROR(VALUE(SUBSTITUTE(SUBSTITUTE(INDEX('Etsy Import'!$A:$CZ,662,Settings!$C$24)&amp;"","$",""),",","")),0))</f>
        <v/>
      </c>
      <c r="F662" s="11">
        <f>IF(A662="","",D662*E662)</f>
        <v/>
      </c>
      <c r="G662">
        <f>IF(A662="","",IF(C662="",1,COUNTIF($C$2:$C$1501,C662)))</f>
        <v/>
      </c>
      <c r="H662" s="11">
        <f>IF(A662="","",IFERROR(VALUE(SUBSTITUTE(SUBSTITUTE(INDEX('Etsy Import'!$A:$CZ,662,Settings!$C$25)&amp;"","$",""),",","")),0)/IF(Settings!$B$27="Yes",G662,1))</f>
        <v/>
      </c>
      <c r="I662" s="11">
        <f>IF(A662="","",IFERROR(VALUE(SUBSTITUTE(SUBSTITUTE(INDEX('Etsy Import'!$A:$CZ,662,Settings!$C$26)&amp;"","$",""),",","")),0)/IF(Settings!$B$27="Yes",G662,1))</f>
        <v/>
      </c>
      <c r="J662" s="11">
        <f>IF(A662="","",F662+H662-I662)</f>
        <v/>
      </c>
      <c r="K662">
        <f>IF(A662="","",IFERROR(IF(B662="",NA(),MATCH(B662,Products!$B$5:$B$204,0)),IFERROR(MATCH(A662,Products!$A$5:$A$204,0),"")))</f>
        <v/>
      </c>
      <c r="L662">
        <f>IF(A662="","",IF(K662="","⚠ not in Products",INDEX(Products!$A$5:$A$204,K662)))</f>
        <v/>
      </c>
      <c r="M662" s="11">
        <f>IF(A662="","",J662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662+IFERROR(INDEX(Settings!$D$5:$D$9,MATCH("Etsy",Settings!$A$5:$A$9,0)),0)*D662)</f>
        <v/>
      </c>
      <c r="N662" s="11">
        <f>IF(A662="","",IF(K662="",0,D662*INDEX(Products!$I$5:$I$204,K662)))</f>
        <v/>
      </c>
      <c r="O662" s="11">
        <f>IF(A662="","",IF(K662="",0,J662*INDEX(Products!$H$5:$H$204,K662)))</f>
        <v/>
      </c>
      <c r="P662" s="11">
        <f>IF(A662="","",J662-M662-N662-O662)</f>
        <v/>
      </c>
    </row>
    <row r="663">
      <c r="A663">
        <f>IFERROR(INDEX('Etsy Import'!$A:$CZ,663,Settings!$C$20)&amp;"","")</f>
        <v/>
      </c>
      <c r="B663">
        <f>IFERROR(INDEX('Etsy Import'!$A:$CZ,663,Settings!$C$21)&amp;"","")</f>
        <v/>
      </c>
      <c r="C663">
        <f>IFERROR(INDEX('Etsy Import'!$A:$CZ,663,Settings!$C$22)&amp;"","")</f>
        <v/>
      </c>
      <c r="D663">
        <f>IF(A663="","",IFERROR(VALUE(SUBSTITUTE(SUBSTITUTE(INDEX('Etsy Import'!$A:$CZ,663,Settings!$C$23)&amp;"","$",""),",","")),0))</f>
        <v/>
      </c>
      <c r="E663" s="11">
        <f>IF(A663="","",IFERROR(VALUE(SUBSTITUTE(SUBSTITUTE(INDEX('Etsy Import'!$A:$CZ,663,Settings!$C$24)&amp;"","$",""),",","")),0))</f>
        <v/>
      </c>
      <c r="F663" s="11">
        <f>IF(A663="","",D663*E663)</f>
        <v/>
      </c>
      <c r="G663">
        <f>IF(A663="","",IF(C663="",1,COUNTIF($C$2:$C$1501,C663)))</f>
        <v/>
      </c>
      <c r="H663" s="11">
        <f>IF(A663="","",IFERROR(VALUE(SUBSTITUTE(SUBSTITUTE(INDEX('Etsy Import'!$A:$CZ,663,Settings!$C$25)&amp;"","$",""),",","")),0)/IF(Settings!$B$27="Yes",G663,1))</f>
        <v/>
      </c>
      <c r="I663" s="11">
        <f>IF(A663="","",IFERROR(VALUE(SUBSTITUTE(SUBSTITUTE(INDEX('Etsy Import'!$A:$CZ,663,Settings!$C$26)&amp;"","$",""),",","")),0)/IF(Settings!$B$27="Yes",G663,1))</f>
        <v/>
      </c>
      <c r="J663" s="11">
        <f>IF(A663="","",F663+H663-I663)</f>
        <v/>
      </c>
      <c r="K663">
        <f>IF(A663="","",IFERROR(IF(B663="",NA(),MATCH(B663,Products!$B$5:$B$204,0)),IFERROR(MATCH(A663,Products!$A$5:$A$204,0),"")))</f>
        <v/>
      </c>
      <c r="L663">
        <f>IF(A663="","",IF(K663="","⚠ not in Products",INDEX(Products!$A$5:$A$204,K663)))</f>
        <v/>
      </c>
      <c r="M663" s="11">
        <f>IF(A663="","",J663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663+IFERROR(INDEX(Settings!$D$5:$D$9,MATCH("Etsy",Settings!$A$5:$A$9,0)),0)*D663)</f>
        <v/>
      </c>
      <c r="N663" s="11">
        <f>IF(A663="","",IF(K663="",0,D663*INDEX(Products!$I$5:$I$204,K663)))</f>
        <v/>
      </c>
      <c r="O663" s="11">
        <f>IF(A663="","",IF(K663="",0,J663*INDEX(Products!$H$5:$H$204,K663)))</f>
        <v/>
      </c>
      <c r="P663" s="11">
        <f>IF(A663="","",J663-M663-N663-O663)</f>
        <v/>
      </c>
    </row>
    <row r="664">
      <c r="A664">
        <f>IFERROR(INDEX('Etsy Import'!$A:$CZ,664,Settings!$C$20)&amp;"","")</f>
        <v/>
      </c>
      <c r="B664">
        <f>IFERROR(INDEX('Etsy Import'!$A:$CZ,664,Settings!$C$21)&amp;"","")</f>
        <v/>
      </c>
      <c r="C664">
        <f>IFERROR(INDEX('Etsy Import'!$A:$CZ,664,Settings!$C$22)&amp;"","")</f>
        <v/>
      </c>
      <c r="D664">
        <f>IF(A664="","",IFERROR(VALUE(SUBSTITUTE(SUBSTITUTE(INDEX('Etsy Import'!$A:$CZ,664,Settings!$C$23)&amp;"","$",""),",","")),0))</f>
        <v/>
      </c>
      <c r="E664" s="11">
        <f>IF(A664="","",IFERROR(VALUE(SUBSTITUTE(SUBSTITUTE(INDEX('Etsy Import'!$A:$CZ,664,Settings!$C$24)&amp;"","$",""),",","")),0))</f>
        <v/>
      </c>
      <c r="F664" s="11">
        <f>IF(A664="","",D664*E664)</f>
        <v/>
      </c>
      <c r="G664">
        <f>IF(A664="","",IF(C664="",1,COUNTIF($C$2:$C$1501,C664)))</f>
        <v/>
      </c>
      <c r="H664" s="11">
        <f>IF(A664="","",IFERROR(VALUE(SUBSTITUTE(SUBSTITUTE(INDEX('Etsy Import'!$A:$CZ,664,Settings!$C$25)&amp;"","$",""),",","")),0)/IF(Settings!$B$27="Yes",G664,1))</f>
        <v/>
      </c>
      <c r="I664" s="11">
        <f>IF(A664="","",IFERROR(VALUE(SUBSTITUTE(SUBSTITUTE(INDEX('Etsy Import'!$A:$CZ,664,Settings!$C$26)&amp;"","$",""),",","")),0)/IF(Settings!$B$27="Yes",G664,1))</f>
        <v/>
      </c>
      <c r="J664" s="11">
        <f>IF(A664="","",F664+H664-I664)</f>
        <v/>
      </c>
      <c r="K664">
        <f>IF(A664="","",IFERROR(IF(B664="",NA(),MATCH(B664,Products!$B$5:$B$204,0)),IFERROR(MATCH(A664,Products!$A$5:$A$204,0),"")))</f>
        <v/>
      </c>
      <c r="L664">
        <f>IF(A664="","",IF(K664="","⚠ not in Products",INDEX(Products!$A$5:$A$204,K664)))</f>
        <v/>
      </c>
      <c r="M664" s="11">
        <f>IF(A664="","",J664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664+IFERROR(INDEX(Settings!$D$5:$D$9,MATCH("Etsy",Settings!$A$5:$A$9,0)),0)*D664)</f>
        <v/>
      </c>
      <c r="N664" s="11">
        <f>IF(A664="","",IF(K664="",0,D664*INDEX(Products!$I$5:$I$204,K664)))</f>
        <v/>
      </c>
      <c r="O664" s="11">
        <f>IF(A664="","",IF(K664="",0,J664*INDEX(Products!$H$5:$H$204,K664)))</f>
        <v/>
      </c>
      <c r="P664" s="11">
        <f>IF(A664="","",J664-M664-N664-O664)</f>
        <v/>
      </c>
    </row>
    <row r="665">
      <c r="A665">
        <f>IFERROR(INDEX('Etsy Import'!$A:$CZ,665,Settings!$C$20)&amp;"","")</f>
        <v/>
      </c>
      <c r="B665">
        <f>IFERROR(INDEX('Etsy Import'!$A:$CZ,665,Settings!$C$21)&amp;"","")</f>
        <v/>
      </c>
      <c r="C665">
        <f>IFERROR(INDEX('Etsy Import'!$A:$CZ,665,Settings!$C$22)&amp;"","")</f>
        <v/>
      </c>
      <c r="D665">
        <f>IF(A665="","",IFERROR(VALUE(SUBSTITUTE(SUBSTITUTE(INDEX('Etsy Import'!$A:$CZ,665,Settings!$C$23)&amp;"","$",""),",","")),0))</f>
        <v/>
      </c>
      <c r="E665" s="11">
        <f>IF(A665="","",IFERROR(VALUE(SUBSTITUTE(SUBSTITUTE(INDEX('Etsy Import'!$A:$CZ,665,Settings!$C$24)&amp;"","$",""),",","")),0))</f>
        <v/>
      </c>
      <c r="F665" s="11">
        <f>IF(A665="","",D665*E665)</f>
        <v/>
      </c>
      <c r="G665">
        <f>IF(A665="","",IF(C665="",1,COUNTIF($C$2:$C$1501,C665)))</f>
        <v/>
      </c>
      <c r="H665" s="11">
        <f>IF(A665="","",IFERROR(VALUE(SUBSTITUTE(SUBSTITUTE(INDEX('Etsy Import'!$A:$CZ,665,Settings!$C$25)&amp;"","$",""),",","")),0)/IF(Settings!$B$27="Yes",G665,1))</f>
        <v/>
      </c>
      <c r="I665" s="11">
        <f>IF(A665="","",IFERROR(VALUE(SUBSTITUTE(SUBSTITUTE(INDEX('Etsy Import'!$A:$CZ,665,Settings!$C$26)&amp;"","$",""),",","")),0)/IF(Settings!$B$27="Yes",G665,1))</f>
        <v/>
      </c>
      <c r="J665" s="11">
        <f>IF(A665="","",F665+H665-I665)</f>
        <v/>
      </c>
      <c r="K665">
        <f>IF(A665="","",IFERROR(IF(B665="",NA(),MATCH(B665,Products!$B$5:$B$204,0)),IFERROR(MATCH(A665,Products!$A$5:$A$204,0),"")))</f>
        <v/>
      </c>
      <c r="L665">
        <f>IF(A665="","",IF(K665="","⚠ not in Products",INDEX(Products!$A$5:$A$204,K665)))</f>
        <v/>
      </c>
      <c r="M665" s="11">
        <f>IF(A665="","",J665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665+IFERROR(INDEX(Settings!$D$5:$D$9,MATCH("Etsy",Settings!$A$5:$A$9,0)),0)*D665)</f>
        <v/>
      </c>
      <c r="N665" s="11">
        <f>IF(A665="","",IF(K665="",0,D665*INDEX(Products!$I$5:$I$204,K665)))</f>
        <v/>
      </c>
      <c r="O665" s="11">
        <f>IF(A665="","",IF(K665="",0,J665*INDEX(Products!$H$5:$H$204,K665)))</f>
        <v/>
      </c>
      <c r="P665" s="11">
        <f>IF(A665="","",J665-M665-N665-O665)</f>
        <v/>
      </c>
    </row>
    <row r="666">
      <c r="A666">
        <f>IFERROR(INDEX('Etsy Import'!$A:$CZ,666,Settings!$C$20)&amp;"","")</f>
        <v/>
      </c>
      <c r="B666">
        <f>IFERROR(INDEX('Etsy Import'!$A:$CZ,666,Settings!$C$21)&amp;"","")</f>
        <v/>
      </c>
      <c r="C666">
        <f>IFERROR(INDEX('Etsy Import'!$A:$CZ,666,Settings!$C$22)&amp;"","")</f>
        <v/>
      </c>
      <c r="D666">
        <f>IF(A666="","",IFERROR(VALUE(SUBSTITUTE(SUBSTITUTE(INDEX('Etsy Import'!$A:$CZ,666,Settings!$C$23)&amp;"","$",""),",","")),0))</f>
        <v/>
      </c>
      <c r="E666" s="11">
        <f>IF(A666="","",IFERROR(VALUE(SUBSTITUTE(SUBSTITUTE(INDEX('Etsy Import'!$A:$CZ,666,Settings!$C$24)&amp;"","$",""),",","")),0))</f>
        <v/>
      </c>
      <c r="F666" s="11">
        <f>IF(A666="","",D666*E666)</f>
        <v/>
      </c>
      <c r="G666">
        <f>IF(A666="","",IF(C666="",1,COUNTIF($C$2:$C$1501,C666)))</f>
        <v/>
      </c>
      <c r="H666" s="11">
        <f>IF(A666="","",IFERROR(VALUE(SUBSTITUTE(SUBSTITUTE(INDEX('Etsy Import'!$A:$CZ,666,Settings!$C$25)&amp;"","$",""),",","")),0)/IF(Settings!$B$27="Yes",G666,1))</f>
        <v/>
      </c>
      <c r="I666" s="11">
        <f>IF(A666="","",IFERROR(VALUE(SUBSTITUTE(SUBSTITUTE(INDEX('Etsy Import'!$A:$CZ,666,Settings!$C$26)&amp;"","$",""),",","")),0)/IF(Settings!$B$27="Yes",G666,1))</f>
        <v/>
      </c>
      <c r="J666" s="11">
        <f>IF(A666="","",F666+H666-I666)</f>
        <v/>
      </c>
      <c r="K666">
        <f>IF(A666="","",IFERROR(IF(B666="",NA(),MATCH(B666,Products!$B$5:$B$204,0)),IFERROR(MATCH(A666,Products!$A$5:$A$204,0),"")))</f>
        <v/>
      </c>
      <c r="L666">
        <f>IF(A666="","",IF(K666="","⚠ not in Products",INDEX(Products!$A$5:$A$204,K666)))</f>
        <v/>
      </c>
      <c r="M666" s="11">
        <f>IF(A666="","",J666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666+IFERROR(INDEX(Settings!$D$5:$D$9,MATCH("Etsy",Settings!$A$5:$A$9,0)),0)*D666)</f>
        <v/>
      </c>
      <c r="N666" s="11">
        <f>IF(A666="","",IF(K666="",0,D666*INDEX(Products!$I$5:$I$204,K666)))</f>
        <v/>
      </c>
      <c r="O666" s="11">
        <f>IF(A666="","",IF(K666="",0,J666*INDEX(Products!$H$5:$H$204,K666)))</f>
        <v/>
      </c>
      <c r="P666" s="11">
        <f>IF(A666="","",J666-M666-N666-O666)</f>
        <v/>
      </c>
    </row>
    <row r="667">
      <c r="A667">
        <f>IFERROR(INDEX('Etsy Import'!$A:$CZ,667,Settings!$C$20)&amp;"","")</f>
        <v/>
      </c>
      <c r="B667">
        <f>IFERROR(INDEX('Etsy Import'!$A:$CZ,667,Settings!$C$21)&amp;"","")</f>
        <v/>
      </c>
      <c r="C667">
        <f>IFERROR(INDEX('Etsy Import'!$A:$CZ,667,Settings!$C$22)&amp;"","")</f>
        <v/>
      </c>
      <c r="D667">
        <f>IF(A667="","",IFERROR(VALUE(SUBSTITUTE(SUBSTITUTE(INDEX('Etsy Import'!$A:$CZ,667,Settings!$C$23)&amp;"","$",""),",","")),0))</f>
        <v/>
      </c>
      <c r="E667" s="11">
        <f>IF(A667="","",IFERROR(VALUE(SUBSTITUTE(SUBSTITUTE(INDEX('Etsy Import'!$A:$CZ,667,Settings!$C$24)&amp;"","$",""),",","")),0))</f>
        <v/>
      </c>
      <c r="F667" s="11">
        <f>IF(A667="","",D667*E667)</f>
        <v/>
      </c>
      <c r="G667">
        <f>IF(A667="","",IF(C667="",1,COUNTIF($C$2:$C$1501,C667)))</f>
        <v/>
      </c>
      <c r="H667" s="11">
        <f>IF(A667="","",IFERROR(VALUE(SUBSTITUTE(SUBSTITUTE(INDEX('Etsy Import'!$A:$CZ,667,Settings!$C$25)&amp;"","$",""),",","")),0)/IF(Settings!$B$27="Yes",G667,1))</f>
        <v/>
      </c>
      <c r="I667" s="11">
        <f>IF(A667="","",IFERROR(VALUE(SUBSTITUTE(SUBSTITUTE(INDEX('Etsy Import'!$A:$CZ,667,Settings!$C$26)&amp;"","$",""),",","")),0)/IF(Settings!$B$27="Yes",G667,1))</f>
        <v/>
      </c>
      <c r="J667" s="11">
        <f>IF(A667="","",F667+H667-I667)</f>
        <v/>
      </c>
      <c r="K667">
        <f>IF(A667="","",IFERROR(IF(B667="",NA(),MATCH(B667,Products!$B$5:$B$204,0)),IFERROR(MATCH(A667,Products!$A$5:$A$204,0),"")))</f>
        <v/>
      </c>
      <c r="L667">
        <f>IF(A667="","",IF(K667="","⚠ not in Products",INDEX(Products!$A$5:$A$204,K667)))</f>
        <v/>
      </c>
      <c r="M667" s="11">
        <f>IF(A667="","",J667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667+IFERROR(INDEX(Settings!$D$5:$D$9,MATCH("Etsy",Settings!$A$5:$A$9,0)),0)*D667)</f>
        <v/>
      </c>
      <c r="N667" s="11">
        <f>IF(A667="","",IF(K667="",0,D667*INDEX(Products!$I$5:$I$204,K667)))</f>
        <v/>
      </c>
      <c r="O667" s="11">
        <f>IF(A667="","",IF(K667="",0,J667*INDEX(Products!$H$5:$H$204,K667)))</f>
        <v/>
      </c>
      <c r="P667" s="11">
        <f>IF(A667="","",J667-M667-N667-O667)</f>
        <v/>
      </c>
    </row>
    <row r="668">
      <c r="A668">
        <f>IFERROR(INDEX('Etsy Import'!$A:$CZ,668,Settings!$C$20)&amp;"","")</f>
        <v/>
      </c>
      <c r="B668">
        <f>IFERROR(INDEX('Etsy Import'!$A:$CZ,668,Settings!$C$21)&amp;"","")</f>
        <v/>
      </c>
      <c r="C668">
        <f>IFERROR(INDEX('Etsy Import'!$A:$CZ,668,Settings!$C$22)&amp;"","")</f>
        <v/>
      </c>
      <c r="D668">
        <f>IF(A668="","",IFERROR(VALUE(SUBSTITUTE(SUBSTITUTE(INDEX('Etsy Import'!$A:$CZ,668,Settings!$C$23)&amp;"","$",""),",","")),0))</f>
        <v/>
      </c>
      <c r="E668" s="11">
        <f>IF(A668="","",IFERROR(VALUE(SUBSTITUTE(SUBSTITUTE(INDEX('Etsy Import'!$A:$CZ,668,Settings!$C$24)&amp;"","$",""),",","")),0))</f>
        <v/>
      </c>
      <c r="F668" s="11">
        <f>IF(A668="","",D668*E668)</f>
        <v/>
      </c>
      <c r="G668">
        <f>IF(A668="","",IF(C668="",1,COUNTIF($C$2:$C$1501,C668)))</f>
        <v/>
      </c>
      <c r="H668" s="11">
        <f>IF(A668="","",IFERROR(VALUE(SUBSTITUTE(SUBSTITUTE(INDEX('Etsy Import'!$A:$CZ,668,Settings!$C$25)&amp;"","$",""),",","")),0)/IF(Settings!$B$27="Yes",G668,1))</f>
        <v/>
      </c>
      <c r="I668" s="11">
        <f>IF(A668="","",IFERROR(VALUE(SUBSTITUTE(SUBSTITUTE(INDEX('Etsy Import'!$A:$CZ,668,Settings!$C$26)&amp;"","$",""),",","")),0)/IF(Settings!$B$27="Yes",G668,1))</f>
        <v/>
      </c>
      <c r="J668" s="11">
        <f>IF(A668="","",F668+H668-I668)</f>
        <v/>
      </c>
      <c r="K668">
        <f>IF(A668="","",IFERROR(IF(B668="",NA(),MATCH(B668,Products!$B$5:$B$204,0)),IFERROR(MATCH(A668,Products!$A$5:$A$204,0),"")))</f>
        <v/>
      </c>
      <c r="L668">
        <f>IF(A668="","",IF(K668="","⚠ not in Products",INDEX(Products!$A$5:$A$204,K668)))</f>
        <v/>
      </c>
      <c r="M668" s="11">
        <f>IF(A668="","",J668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668+IFERROR(INDEX(Settings!$D$5:$D$9,MATCH("Etsy",Settings!$A$5:$A$9,0)),0)*D668)</f>
        <v/>
      </c>
      <c r="N668" s="11">
        <f>IF(A668="","",IF(K668="",0,D668*INDEX(Products!$I$5:$I$204,K668)))</f>
        <v/>
      </c>
      <c r="O668" s="11">
        <f>IF(A668="","",IF(K668="",0,J668*INDEX(Products!$H$5:$H$204,K668)))</f>
        <v/>
      </c>
      <c r="P668" s="11">
        <f>IF(A668="","",J668-M668-N668-O668)</f>
        <v/>
      </c>
    </row>
    <row r="669">
      <c r="A669">
        <f>IFERROR(INDEX('Etsy Import'!$A:$CZ,669,Settings!$C$20)&amp;"","")</f>
        <v/>
      </c>
      <c r="B669">
        <f>IFERROR(INDEX('Etsy Import'!$A:$CZ,669,Settings!$C$21)&amp;"","")</f>
        <v/>
      </c>
      <c r="C669">
        <f>IFERROR(INDEX('Etsy Import'!$A:$CZ,669,Settings!$C$22)&amp;"","")</f>
        <v/>
      </c>
      <c r="D669">
        <f>IF(A669="","",IFERROR(VALUE(SUBSTITUTE(SUBSTITUTE(INDEX('Etsy Import'!$A:$CZ,669,Settings!$C$23)&amp;"","$",""),",","")),0))</f>
        <v/>
      </c>
      <c r="E669" s="11">
        <f>IF(A669="","",IFERROR(VALUE(SUBSTITUTE(SUBSTITUTE(INDEX('Etsy Import'!$A:$CZ,669,Settings!$C$24)&amp;"","$",""),",","")),0))</f>
        <v/>
      </c>
      <c r="F669" s="11">
        <f>IF(A669="","",D669*E669)</f>
        <v/>
      </c>
      <c r="G669">
        <f>IF(A669="","",IF(C669="",1,COUNTIF($C$2:$C$1501,C669)))</f>
        <v/>
      </c>
      <c r="H669" s="11">
        <f>IF(A669="","",IFERROR(VALUE(SUBSTITUTE(SUBSTITUTE(INDEX('Etsy Import'!$A:$CZ,669,Settings!$C$25)&amp;"","$",""),",","")),0)/IF(Settings!$B$27="Yes",G669,1))</f>
        <v/>
      </c>
      <c r="I669" s="11">
        <f>IF(A669="","",IFERROR(VALUE(SUBSTITUTE(SUBSTITUTE(INDEX('Etsy Import'!$A:$CZ,669,Settings!$C$26)&amp;"","$",""),",","")),0)/IF(Settings!$B$27="Yes",G669,1))</f>
        <v/>
      </c>
      <c r="J669" s="11">
        <f>IF(A669="","",F669+H669-I669)</f>
        <v/>
      </c>
      <c r="K669">
        <f>IF(A669="","",IFERROR(IF(B669="",NA(),MATCH(B669,Products!$B$5:$B$204,0)),IFERROR(MATCH(A669,Products!$A$5:$A$204,0),"")))</f>
        <v/>
      </c>
      <c r="L669">
        <f>IF(A669="","",IF(K669="","⚠ not in Products",INDEX(Products!$A$5:$A$204,K669)))</f>
        <v/>
      </c>
      <c r="M669" s="11">
        <f>IF(A669="","",J669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669+IFERROR(INDEX(Settings!$D$5:$D$9,MATCH("Etsy",Settings!$A$5:$A$9,0)),0)*D669)</f>
        <v/>
      </c>
      <c r="N669" s="11">
        <f>IF(A669="","",IF(K669="",0,D669*INDEX(Products!$I$5:$I$204,K669)))</f>
        <v/>
      </c>
      <c r="O669" s="11">
        <f>IF(A669="","",IF(K669="",0,J669*INDEX(Products!$H$5:$H$204,K669)))</f>
        <v/>
      </c>
      <c r="P669" s="11">
        <f>IF(A669="","",J669-M669-N669-O669)</f>
        <v/>
      </c>
    </row>
    <row r="670">
      <c r="A670">
        <f>IFERROR(INDEX('Etsy Import'!$A:$CZ,670,Settings!$C$20)&amp;"","")</f>
        <v/>
      </c>
      <c r="B670">
        <f>IFERROR(INDEX('Etsy Import'!$A:$CZ,670,Settings!$C$21)&amp;"","")</f>
        <v/>
      </c>
      <c r="C670">
        <f>IFERROR(INDEX('Etsy Import'!$A:$CZ,670,Settings!$C$22)&amp;"","")</f>
        <v/>
      </c>
      <c r="D670">
        <f>IF(A670="","",IFERROR(VALUE(SUBSTITUTE(SUBSTITUTE(INDEX('Etsy Import'!$A:$CZ,670,Settings!$C$23)&amp;"","$",""),",","")),0))</f>
        <v/>
      </c>
      <c r="E670" s="11">
        <f>IF(A670="","",IFERROR(VALUE(SUBSTITUTE(SUBSTITUTE(INDEX('Etsy Import'!$A:$CZ,670,Settings!$C$24)&amp;"","$",""),",","")),0))</f>
        <v/>
      </c>
      <c r="F670" s="11">
        <f>IF(A670="","",D670*E670)</f>
        <v/>
      </c>
      <c r="G670">
        <f>IF(A670="","",IF(C670="",1,COUNTIF($C$2:$C$1501,C670)))</f>
        <v/>
      </c>
      <c r="H670" s="11">
        <f>IF(A670="","",IFERROR(VALUE(SUBSTITUTE(SUBSTITUTE(INDEX('Etsy Import'!$A:$CZ,670,Settings!$C$25)&amp;"","$",""),",","")),0)/IF(Settings!$B$27="Yes",G670,1))</f>
        <v/>
      </c>
      <c r="I670" s="11">
        <f>IF(A670="","",IFERROR(VALUE(SUBSTITUTE(SUBSTITUTE(INDEX('Etsy Import'!$A:$CZ,670,Settings!$C$26)&amp;"","$",""),",","")),0)/IF(Settings!$B$27="Yes",G670,1))</f>
        <v/>
      </c>
      <c r="J670" s="11">
        <f>IF(A670="","",F670+H670-I670)</f>
        <v/>
      </c>
      <c r="K670">
        <f>IF(A670="","",IFERROR(IF(B670="",NA(),MATCH(B670,Products!$B$5:$B$204,0)),IFERROR(MATCH(A670,Products!$A$5:$A$204,0),"")))</f>
        <v/>
      </c>
      <c r="L670">
        <f>IF(A670="","",IF(K670="","⚠ not in Products",INDEX(Products!$A$5:$A$204,K670)))</f>
        <v/>
      </c>
      <c r="M670" s="11">
        <f>IF(A670="","",J670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670+IFERROR(INDEX(Settings!$D$5:$D$9,MATCH("Etsy",Settings!$A$5:$A$9,0)),0)*D670)</f>
        <v/>
      </c>
      <c r="N670" s="11">
        <f>IF(A670="","",IF(K670="",0,D670*INDEX(Products!$I$5:$I$204,K670)))</f>
        <v/>
      </c>
      <c r="O670" s="11">
        <f>IF(A670="","",IF(K670="",0,J670*INDEX(Products!$H$5:$H$204,K670)))</f>
        <v/>
      </c>
      <c r="P670" s="11">
        <f>IF(A670="","",J670-M670-N670-O670)</f>
        <v/>
      </c>
    </row>
    <row r="671">
      <c r="A671">
        <f>IFERROR(INDEX('Etsy Import'!$A:$CZ,671,Settings!$C$20)&amp;"","")</f>
        <v/>
      </c>
      <c r="B671">
        <f>IFERROR(INDEX('Etsy Import'!$A:$CZ,671,Settings!$C$21)&amp;"","")</f>
        <v/>
      </c>
      <c r="C671">
        <f>IFERROR(INDEX('Etsy Import'!$A:$CZ,671,Settings!$C$22)&amp;"","")</f>
        <v/>
      </c>
      <c r="D671">
        <f>IF(A671="","",IFERROR(VALUE(SUBSTITUTE(SUBSTITUTE(INDEX('Etsy Import'!$A:$CZ,671,Settings!$C$23)&amp;"","$",""),",","")),0))</f>
        <v/>
      </c>
      <c r="E671" s="11">
        <f>IF(A671="","",IFERROR(VALUE(SUBSTITUTE(SUBSTITUTE(INDEX('Etsy Import'!$A:$CZ,671,Settings!$C$24)&amp;"","$",""),",","")),0))</f>
        <v/>
      </c>
      <c r="F671" s="11">
        <f>IF(A671="","",D671*E671)</f>
        <v/>
      </c>
      <c r="G671">
        <f>IF(A671="","",IF(C671="",1,COUNTIF($C$2:$C$1501,C671)))</f>
        <v/>
      </c>
      <c r="H671" s="11">
        <f>IF(A671="","",IFERROR(VALUE(SUBSTITUTE(SUBSTITUTE(INDEX('Etsy Import'!$A:$CZ,671,Settings!$C$25)&amp;"","$",""),",","")),0)/IF(Settings!$B$27="Yes",G671,1))</f>
        <v/>
      </c>
      <c r="I671" s="11">
        <f>IF(A671="","",IFERROR(VALUE(SUBSTITUTE(SUBSTITUTE(INDEX('Etsy Import'!$A:$CZ,671,Settings!$C$26)&amp;"","$",""),",","")),0)/IF(Settings!$B$27="Yes",G671,1))</f>
        <v/>
      </c>
      <c r="J671" s="11">
        <f>IF(A671="","",F671+H671-I671)</f>
        <v/>
      </c>
      <c r="K671">
        <f>IF(A671="","",IFERROR(IF(B671="",NA(),MATCH(B671,Products!$B$5:$B$204,0)),IFERROR(MATCH(A671,Products!$A$5:$A$204,0),"")))</f>
        <v/>
      </c>
      <c r="L671">
        <f>IF(A671="","",IF(K671="","⚠ not in Products",INDEX(Products!$A$5:$A$204,K671)))</f>
        <v/>
      </c>
      <c r="M671" s="11">
        <f>IF(A671="","",J671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671+IFERROR(INDEX(Settings!$D$5:$D$9,MATCH("Etsy",Settings!$A$5:$A$9,0)),0)*D671)</f>
        <v/>
      </c>
      <c r="N671" s="11">
        <f>IF(A671="","",IF(K671="",0,D671*INDEX(Products!$I$5:$I$204,K671)))</f>
        <v/>
      </c>
      <c r="O671" s="11">
        <f>IF(A671="","",IF(K671="",0,J671*INDEX(Products!$H$5:$H$204,K671)))</f>
        <v/>
      </c>
      <c r="P671" s="11">
        <f>IF(A671="","",J671-M671-N671-O671)</f>
        <v/>
      </c>
    </row>
    <row r="672">
      <c r="A672">
        <f>IFERROR(INDEX('Etsy Import'!$A:$CZ,672,Settings!$C$20)&amp;"","")</f>
        <v/>
      </c>
      <c r="B672">
        <f>IFERROR(INDEX('Etsy Import'!$A:$CZ,672,Settings!$C$21)&amp;"","")</f>
        <v/>
      </c>
      <c r="C672">
        <f>IFERROR(INDEX('Etsy Import'!$A:$CZ,672,Settings!$C$22)&amp;"","")</f>
        <v/>
      </c>
      <c r="D672">
        <f>IF(A672="","",IFERROR(VALUE(SUBSTITUTE(SUBSTITUTE(INDEX('Etsy Import'!$A:$CZ,672,Settings!$C$23)&amp;"","$",""),",","")),0))</f>
        <v/>
      </c>
      <c r="E672" s="11">
        <f>IF(A672="","",IFERROR(VALUE(SUBSTITUTE(SUBSTITUTE(INDEX('Etsy Import'!$A:$CZ,672,Settings!$C$24)&amp;"","$",""),",","")),0))</f>
        <v/>
      </c>
      <c r="F672" s="11">
        <f>IF(A672="","",D672*E672)</f>
        <v/>
      </c>
      <c r="G672">
        <f>IF(A672="","",IF(C672="",1,COUNTIF($C$2:$C$1501,C672)))</f>
        <v/>
      </c>
      <c r="H672" s="11">
        <f>IF(A672="","",IFERROR(VALUE(SUBSTITUTE(SUBSTITUTE(INDEX('Etsy Import'!$A:$CZ,672,Settings!$C$25)&amp;"","$",""),",","")),0)/IF(Settings!$B$27="Yes",G672,1))</f>
        <v/>
      </c>
      <c r="I672" s="11">
        <f>IF(A672="","",IFERROR(VALUE(SUBSTITUTE(SUBSTITUTE(INDEX('Etsy Import'!$A:$CZ,672,Settings!$C$26)&amp;"","$",""),",","")),0)/IF(Settings!$B$27="Yes",G672,1))</f>
        <v/>
      </c>
      <c r="J672" s="11">
        <f>IF(A672="","",F672+H672-I672)</f>
        <v/>
      </c>
      <c r="K672">
        <f>IF(A672="","",IFERROR(IF(B672="",NA(),MATCH(B672,Products!$B$5:$B$204,0)),IFERROR(MATCH(A672,Products!$A$5:$A$204,0),"")))</f>
        <v/>
      </c>
      <c r="L672">
        <f>IF(A672="","",IF(K672="","⚠ not in Products",INDEX(Products!$A$5:$A$204,K672)))</f>
        <v/>
      </c>
      <c r="M672" s="11">
        <f>IF(A672="","",J672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672+IFERROR(INDEX(Settings!$D$5:$D$9,MATCH("Etsy",Settings!$A$5:$A$9,0)),0)*D672)</f>
        <v/>
      </c>
      <c r="N672" s="11">
        <f>IF(A672="","",IF(K672="",0,D672*INDEX(Products!$I$5:$I$204,K672)))</f>
        <v/>
      </c>
      <c r="O672" s="11">
        <f>IF(A672="","",IF(K672="",0,J672*INDEX(Products!$H$5:$H$204,K672)))</f>
        <v/>
      </c>
      <c r="P672" s="11">
        <f>IF(A672="","",J672-M672-N672-O672)</f>
        <v/>
      </c>
    </row>
    <row r="673">
      <c r="A673">
        <f>IFERROR(INDEX('Etsy Import'!$A:$CZ,673,Settings!$C$20)&amp;"","")</f>
        <v/>
      </c>
      <c r="B673">
        <f>IFERROR(INDEX('Etsy Import'!$A:$CZ,673,Settings!$C$21)&amp;"","")</f>
        <v/>
      </c>
      <c r="C673">
        <f>IFERROR(INDEX('Etsy Import'!$A:$CZ,673,Settings!$C$22)&amp;"","")</f>
        <v/>
      </c>
      <c r="D673">
        <f>IF(A673="","",IFERROR(VALUE(SUBSTITUTE(SUBSTITUTE(INDEX('Etsy Import'!$A:$CZ,673,Settings!$C$23)&amp;"","$",""),",","")),0))</f>
        <v/>
      </c>
      <c r="E673" s="11">
        <f>IF(A673="","",IFERROR(VALUE(SUBSTITUTE(SUBSTITUTE(INDEX('Etsy Import'!$A:$CZ,673,Settings!$C$24)&amp;"","$",""),",","")),0))</f>
        <v/>
      </c>
      <c r="F673" s="11">
        <f>IF(A673="","",D673*E673)</f>
        <v/>
      </c>
      <c r="G673">
        <f>IF(A673="","",IF(C673="",1,COUNTIF($C$2:$C$1501,C673)))</f>
        <v/>
      </c>
      <c r="H673" s="11">
        <f>IF(A673="","",IFERROR(VALUE(SUBSTITUTE(SUBSTITUTE(INDEX('Etsy Import'!$A:$CZ,673,Settings!$C$25)&amp;"","$",""),",","")),0)/IF(Settings!$B$27="Yes",G673,1))</f>
        <v/>
      </c>
      <c r="I673" s="11">
        <f>IF(A673="","",IFERROR(VALUE(SUBSTITUTE(SUBSTITUTE(INDEX('Etsy Import'!$A:$CZ,673,Settings!$C$26)&amp;"","$",""),",","")),0)/IF(Settings!$B$27="Yes",G673,1))</f>
        <v/>
      </c>
      <c r="J673" s="11">
        <f>IF(A673="","",F673+H673-I673)</f>
        <v/>
      </c>
      <c r="K673">
        <f>IF(A673="","",IFERROR(IF(B673="",NA(),MATCH(B673,Products!$B$5:$B$204,0)),IFERROR(MATCH(A673,Products!$A$5:$A$204,0),"")))</f>
        <v/>
      </c>
      <c r="L673">
        <f>IF(A673="","",IF(K673="","⚠ not in Products",INDEX(Products!$A$5:$A$204,K673)))</f>
        <v/>
      </c>
      <c r="M673" s="11">
        <f>IF(A673="","",J673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673+IFERROR(INDEX(Settings!$D$5:$D$9,MATCH("Etsy",Settings!$A$5:$A$9,0)),0)*D673)</f>
        <v/>
      </c>
      <c r="N673" s="11">
        <f>IF(A673="","",IF(K673="",0,D673*INDEX(Products!$I$5:$I$204,K673)))</f>
        <v/>
      </c>
      <c r="O673" s="11">
        <f>IF(A673="","",IF(K673="",0,J673*INDEX(Products!$H$5:$H$204,K673)))</f>
        <v/>
      </c>
      <c r="P673" s="11">
        <f>IF(A673="","",J673-M673-N673-O673)</f>
        <v/>
      </c>
    </row>
    <row r="674">
      <c r="A674">
        <f>IFERROR(INDEX('Etsy Import'!$A:$CZ,674,Settings!$C$20)&amp;"","")</f>
        <v/>
      </c>
      <c r="B674">
        <f>IFERROR(INDEX('Etsy Import'!$A:$CZ,674,Settings!$C$21)&amp;"","")</f>
        <v/>
      </c>
      <c r="C674">
        <f>IFERROR(INDEX('Etsy Import'!$A:$CZ,674,Settings!$C$22)&amp;"","")</f>
        <v/>
      </c>
      <c r="D674">
        <f>IF(A674="","",IFERROR(VALUE(SUBSTITUTE(SUBSTITUTE(INDEX('Etsy Import'!$A:$CZ,674,Settings!$C$23)&amp;"","$",""),",","")),0))</f>
        <v/>
      </c>
      <c r="E674" s="11">
        <f>IF(A674="","",IFERROR(VALUE(SUBSTITUTE(SUBSTITUTE(INDEX('Etsy Import'!$A:$CZ,674,Settings!$C$24)&amp;"","$",""),",","")),0))</f>
        <v/>
      </c>
      <c r="F674" s="11">
        <f>IF(A674="","",D674*E674)</f>
        <v/>
      </c>
      <c r="G674">
        <f>IF(A674="","",IF(C674="",1,COUNTIF($C$2:$C$1501,C674)))</f>
        <v/>
      </c>
      <c r="H674" s="11">
        <f>IF(A674="","",IFERROR(VALUE(SUBSTITUTE(SUBSTITUTE(INDEX('Etsy Import'!$A:$CZ,674,Settings!$C$25)&amp;"","$",""),",","")),0)/IF(Settings!$B$27="Yes",G674,1))</f>
        <v/>
      </c>
      <c r="I674" s="11">
        <f>IF(A674="","",IFERROR(VALUE(SUBSTITUTE(SUBSTITUTE(INDEX('Etsy Import'!$A:$CZ,674,Settings!$C$26)&amp;"","$",""),",","")),0)/IF(Settings!$B$27="Yes",G674,1))</f>
        <v/>
      </c>
      <c r="J674" s="11">
        <f>IF(A674="","",F674+H674-I674)</f>
        <v/>
      </c>
      <c r="K674">
        <f>IF(A674="","",IFERROR(IF(B674="",NA(),MATCH(B674,Products!$B$5:$B$204,0)),IFERROR(MATCH(A674,Products!$A$5:$A$204,0),"")))</f>
        <v/>
      </c>
      <c r="L674">
        <f>IF(A674="","",IF(K674="","⚠ not in Products",INDEX(Products!$A$5:$A$204,K674)))</f>
        <v/>
      </c>
      <c r="M674" s="11">
        <f>IF(A674="","",J674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674+IFERROR(INDEX(Settings!$D$5:$D$9,MATCH("Etsy",Settings!$A$5:$A$9,0)),0)*D674)</f>
        <v/>
      </c>
      <c r="N674" s="11">
        <f>IF(A674="","",IF(K674="",0,D674*INDEX(Products!$I$5:$I$204,K674)))</f>
        <v/>
      </c>
      <c r="O674" s="11">
        <f>IF(A674="","",IF(K674="",0,J674*INDEX(Products!$H$5:$H$204,K674)))</f>
        <v/>
      </c>
      <c r="P674" s="11">
        <f>IF(A674="","",J674-M674-N674-O674)</f>
        <v/>
      </c>
    </row>
    <row r="675">
      <c r="A675">
        <f>IFERROR(INDEX('Etsy Import'!$A:$CZ,675,Settings!$C$20)&amp;"","")</f>
        <v/>
      </c>
      <c r="B675">
        <f>IFERROR(INDEX('Etsy Import'!$A:$CZ,675,Settings!$C$21)&amp;"","")</f>
        <v/>
      </c>
      <c r="C675">
        <f>IFERROR(INDEX('Etsy Import'!$A:$CZ,675,Settings!$C$22)&amp;"","")</f>
        <v/>
      </c>
      <c r="D675">
        <f>IF(A675="","",IFERROR(VALUE(SUBSTITUTE(SUBSTITUTE(INDEX('Etsy Import'!$A:$CZ,675,Settings!$C$23)&amp;"","$",""),",","")),0))</f>
        <v/>
      </c>
      <c r="E675" s="11">
        <f>IF(A675="","",IFERROR(VALUE(SUBSTITUTE(SUBSTITUTE(INDEX('Etsy Import'!$A:$CZ,675,Settings!$C$24)&amp;"","$",""),",","")),0))</f>
        <v/>
      </c>
      <c r="F675" s="11">
        <f>IF(A675="","",D675*E675)</f>
        <v/>
      </c>
      <c r="G675">
        <f>IF(A675="","",IF(C675="",1,COUNTIF($C$2:$C$1501,C675)))</f>
        <v/>
      </c>
      <c r="H675" s="11">
        <f>IF(A675="","",IFERROR(VALUE(SUBSTITUTE(SUBSTITUTE(INDEX('Etsy Import'!$A:$CZ,675,Settings!$C$25)&amp;"","$",""),",","")),0)/IF(Settings!$B$27="Yes",G675,1))</f>
        <v/>
      </c>
      <c r="I675" s="11">
        <f>IF(A675="","",IFERROR(VALUE(SUBSTITUTE(SUBSTITUTE(INDEX('Etsy Import'!$A:$CZ,675,Settings!$C$26)&amp;"","$",""),",","")),0)/IF(Settings!$B$27="Yes",G675,1))</f>
        <v/>
      </c>
      <c r="J675" s="11">
        <f>IF(A675="","",F675+H675-I675)</f>
        <v/>
      </c>
      <c r="K675">
        <f>IF(A675="","",IFERROR(IF(B675="",NA(),MATCH(B675,Products!$B$5:$B$204,0)),IFERROR(MATCH(A675,Products!$A$5:$A$204,0),"")))</f>
        <v/>
      </c>
      <c r="L675">
        <f>IF(A675="","",IF(K675="","⚠ not in Products",INDEX(Products!$A$5:$A$204,K675)))</f>
        <v/>
      </c>
      <c r="M675" s="11">
        <f>IF(A675="","",J675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675+IFERROR(INDEX(Settings!$D$5:$D$9,MATCH("Etsy",Settings!$A$5:$A$9,0)),0)*D675)</f>
        <v/>
      </c>
      <c r="N675" s="11">
        <f>IF(A675="","",IF(K675="",0,D675*INDEX(Products!$I$5:$I$204,K675)))</f>
        <v/>
      </c>
      <c r="O675" s="11">
        <f>IF(A675="","",IF(K675="",0,J675*INDEX(Products!$H$5:$H$204,K675)))</f>
        <v/>
      </c>
      <c r="P675" s="11">
        <f>IF(A675="","",J675-M675-N675-O675)</f>
        <v/>
      </c>
    </row>
    <row r="676">
      <c r="A676">
        <f>IFERROR(INDEX('Etsy Import'!$A:$CZ,676,Settings!$C$20)&amp;"","")</f>
        <v/>
      </c>
      <c r="B676">
        <f>IFERROR(INDEX('Etsy Import'!$A:$CZ,676,Settings!$C$21)&amp;"","")</f>
        <v/>
      </c>
      <c r="C676">
        <f>IFERROR(INDEX('Etsy Import'!$A:$CZ,676,Settings!$C$22)&amp;"","")</f>
        <v/>
      </c>
      <c r="D676">
        <f>IF(A676="","",IFERROR(VALUE(SUBSTITUTE(SUBSTITUTE(INDEX('Etsy Import'!$A:$CZ,676,Settings!$C$23)&amp;"","$",""),",","")),0))</f>
        <v/>
      </c>
      <c r="E676" s="11">
        <f>IF(A676="","",IFERROR(VALUE(SUBSTITUTE(SUBSTITUTE(INDEX('Etsy Import'!$A:$CZ,676,Settings!$C$24)&amp;"","$",""),",","")),0))</f>
        <v/>
      </c>
      <c r="F676" s="11">
        <f>IF(A676="","",D676*E676)</f>
        <v/>
      </c>
      <c r="G676">
        <f>IF(A676="","",IF(C676="",1,COUNTIF($C$2:$C$1501,C676)))</f>
        <v/>
      </c>
      <c r="H676" s="11">
        <f>IF(A676="","",IFERROR(VALUE(SUBSTITUTE(SUBSTITUTE(INDEX('Etsy Import'!$A:$CZ,676,Settings!$C$25)&amp;"","$",""),",","")),0)/IF(Settings!$B$27="Yes",G676,1))</f>
        <v/>
      </c>
      <c r="I676" s="11">
        <f>IF(A676="","",IFERROR(VALUE(SUBSTITUTE(SUBSTITUTE(INDEX('Etsy Import'!$A:$CZ,676,Settings!$C$26)&amp;"","$",""),",","")),0)/IF(Settings!$B$27="Yes",G676,1))</f>
        <v/>
      </c>
      <c r="J676" s="11">
        <f>IF(A676="","",F676+H676-I676)</f>
        <v/>
      </c>
      <c r="K676">
        <f>IF(A676="","",IFERROR(IF(B676="",NA(),MATCH(B676,Products!$B$5:$B$204,0)),IFERROR(MATCH(A676,Products!$A$5:$A$204,0),"")))</f>
        <v/>
      </c>
      <c r="L676">
        <f>IF(A676="","",IF(K676="","⚠ not in Products",INDEX(Products!$A$5:$A$204,K676)))</f>
        <v/>
      </c>
      <c r="M676" s="11">
        <f>IF(A676="","",J676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676+IFERROR(INDEX(Settings!$D$5:$D$9,MATCH("Etsy",Settings!$A$5:$A$9,0)),0)*D676)</f>
        <v/>
      </c>
      <c r="N676" s="11">
        <f>IF(A676="","",IF(K676="",0,D676*INDEX(Products!$I$5:$I$204,K676)))</f>
        <v/>
      </c>
      <c r="O676" s="11">
        <f>IF(A676="","",IF(K676="",0,J676*INDEX(Products!$H$5:$H$204,K676)))</f>
        <v/>
      </c>
      <c r="P676" s="11">
        <f>IF(A676="","",J676-M676-N676-O676)</f>
        <v/>
      </c>
    </row>
    <row r="677">
      <c r="A677">
        <f>IFERROR(INDEX('Etsy Import'!$A:$CZ,677,Settings!$C$20)&amp;"","")</f>
        <v/>
      </c>
      <c r="B677">
        <f>IFERROR(INDEX('Etsy Import'!$A:$CZ,677,Settings!$C$21)&amp;"","")</f>
        <v/>
      </c>
      <c r="C677">
        <f>IFERROR(INDEX('Etsy Import'!$A:$CZ,677,Settings!$C$22)&amp;"","")</f>
        <v/>
      </c>
      <c r="D677">
        <f>IF(A677="","",IFERROR(VALUE(SUBSTITUTE(SUBSTITUTE(INDEX('Etsy Import'!$A:$CZ,677,Settings!$C$23)&amp;"","$",""),",","")),0))</f>
        <v/>
      </c>
      <c r="E677" s="11">
        <f>IF(A677="","",IFERROR(VALUE(SUBSTITUTE(SUBSTITUTE(INDEX('Etsy Import'!$A:$CZ,677,Settings!$C$24)&amp;"","$",""),",","")),0))</f>
        <v/>
      </c>
      <c r="F677" s="11">
        <f>IF(A677="","",D677*E677)</f>
        <v/>
      </c>
      <c r="G677">
        <f>IF(A677="","",IF(C677="",1,COUNTIF($C$2:$C$1501,C677)))</f>
        <v/>
      </c>
      <c r="H677" s="11">
        <f>IF(A677="","",IFERROR(VALUE(SUBSTITUTE(SUBSTITUTE(INDEX('Etsy Import'!$A:$CZ,677,Settings!$C$25)&amp;"","$",""),",","")),0)/IF(Settings!$B$27="Yes",G677,1))</f>
        <v/>
      </c>
      <c r="I677" s="11">
        <f>IF(A677="","",IFERROR(VALUE(SUBSTITUTE(SUBSTITUTE(INDEX('Etsy Import'!$A:$CZ,677,Settings!$C$26)&amp;"","$",""),",","")),0)/IF(Settings!$B$27="Yes",G677,1))</f>
        <v/>
      </c>
      <c r="J677" s="11">
        <f>IF(A677="","",F677+H677-I677)</f>
        <v/>
      </c>
      <c r="K677">
        <f>IF(A677="","",IFERROR(IF(B677="",NA(),MATCH(B677,Products!$B$5:$B$204,0)),IFERROR(MATCH(A677,Products!$A$5:$A$204,0),"")))</f>
        <v/>
      </c>
      <c r="L677">
        <f>IF(A677="","",IF(K677="","⚠ not in Products",INDEX(Products!$A$5:$A$204,K677)))</f>
        <v/>
      </c>
      <c r="M677" s="11">
        <f>IF(A677="","",J677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677+IFERROR(INDEX(Settings!$D$5:$D$9,MATCH("Etsy",Settings!$A$5:$A$9,0)),0)*D677)</f>
        <v/>
      </c>
      <c r="N677" s="11">
        <f>IF(A677="","",IF(K677="",0,D677*INDEX(Products!$I$5:$I$204,K677)))</f>
        <v/>
      </c>
      <c r="O677" s="11">
        <f>IF(A677="","",IF(K677="",0,J677*INDEX(Products!$H$5:$H$204,K677)))</f>
        <v/>
      </c>
      <c r="P677" s="11">
        <f>IF(A677="","",J677-M677-N677-O677)</f>
        <v/>
      </c>
    </row>
    <row r="678">
      <c r="A678">
        <f>IFERROR(INDEX('Etsy Import'!$A:$CZ,678,Settings!$C$20)&amp;"","")</f>
        <v/>
      </c>
      <c r="B678">
        <f>IFERROR(INDEX('Etsy Import'!$A:$CZ,678,Settings!$C$21)&amp;"","")</f>
        <v/>
      </c>
      <c r="C678">
        <f>IFERROR(INDEX('Etsy Import'!$A:$CZ,678,Settings!$C$22)&amp;"","")</f>
        <v/>
      </c>
      <c r="D678">
        <f>IF(A678="","",IFERROR(VALUE(SUBSTITUTE(SUBSTITUTE(INDEX('Etsy Import'!$A:$CZ,678,Settings!$C$23)&amp;"","$",""),",","")),0))</f>
        <v/>
      </c>
      <c r="E678" s="11">
        <f>IF(A678="","",IFERROR(VALUE(SUBSTITUTE(SUBSTITUTE(INDEX('Etsy Import'!$A:$CZ,678,Settings!$C$24)&amp;"","$",""),",","")),0))</f>
        <v/>
      </c>
      <c r="F678" s="11">
        <f>IF(A678="","",D678*E678)</f>
        <v/>
      </c>
      <c r="G678">
        <f>IF(A678="","",IF(C678="",1,COUNTIF($C$2:$C$1501,C678)))</f>
        <v/>
      </c>
      <c r="H678" s="11">
        <f>IF(A678="","",IFERROR(VALUE(SUBSTITUTE(SUBSTITUTE(INDEX('Etsy Import'!$A:$CZ,678,Settings!$C$25)&amp;"","$",""),",","")),0)/IF(Settings!$B$27="Yes",G678,1))</f>
        <v/>
      </c>
      <c r="I678" s="11">
        <f>IF(A678="","",IFERROR(VALUE(SUBSTITUTE(SUBSTITUTE(INDEX('Etsy Import'!$A:$CZ,678,Settings!$C$26)&amp;"","$",""),",","")),0)/IF(Settings!$B$27="Yes",G678,1))</f>
        <v/>
      </c>
      <c r="J678" s="11">
        <f>IF(A678="","",F678+H678-I678)</f>
        <v/>
      </c>
      <c r="K678">
        <f>IF(A678="","",IFERROR(IF(B678="",NA(),MATCH(B678,Products!$B$5:$B$204,0)),IFERROR(MATCH(A678,Products!$A$5:$A$204,0),"")))</f>
        <v/>
      </c>
      <c r="L678">
        <f>IF(A678="","",IF(K678="","⚠ not in Products",INDEX(Products!$A$5:$A$204,K678)))</f>
        <v/>
      </c>
      <c r="M678" s="11">
        <f>IF(A678="","",J678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678+IFERROR(INDEX(Settings!$D$5:$D$9,MATCH("Etsy",Settings!$A$5:$A$9,0)),0)*D678)</f>
        <v/>
      </c>
      <c r="N678" s="11">
        <f>IF(A678="","",IF(K678="",0,D678*INDEX(Products!$I$5:$I$204,K678)))</f>
        <v/>
      </c>
      <c r="O678" s="11">
        <f>IF(A678="","",IF(K678="",0,J678*INDEX(Products!$H$5:$H$204,K678)))</f>
        <v/>
      </c>
      <c r="P678" s="11">
        <f>IF(A678="","",J678-M678-N678-O678)</f>
        <v/>
      </c>
    </row>
    <row r="679">
      <c r="A679">
        <f>IFERROR(INDEX('Etsy Import'!$A:$CZ,679,Settings!$C$20)&amp;"","")</f>
        <v/>
      </c>
      <c r="B679">
        <f>IFERROR(INDEX('Etsy Import'!$A:$CZ,679,Settings!$C$21)&amp;"","")</f>
        <v/>
      </c>
      <c r="C679">
        <f>IFERROR(INDEX('Etsy Import'!$A:$CZ,679,Settings!$C$22)&amp;"","")</f>
        <v/>
      </c>
      <c r="D679">
        <f>IF(A679="","",IFERROR(VALUE(SUBSTITUTE(SUBSTITUTE(INDEX('Etsy Import'!$A:$CZ,679,Settings!$C$23)&amp;"","$",""),",","")),0))</f>
        <v/>
      </c>
      <c r="E679" s="11">
        <f>IF(A679="","",IFERROR(VALUE(SUBSTITUTE(SUBSTITUTE(INDEX('Etsy Import'!$A:$CZ,679,Settings!$C$24)&amp;"","$",""),",","")),0))</f>
        <v/>
      </c>
      <c r="F679" s="11">
        <f>IF(A679="","",D679*E679)</f>
        <v/>
      </c>
      <c r="G679">
        <f>IF(A679="","",IF(C679="",1,COUNTIF($C$2:$C$1501,C679)))</f>
        <v/>
      </c>
      <c r="H679" s="11">
        <f>IF(A679="","",IFERROR(VALUE(SUBSTITUTE(SUBSTITUTE(INDEX('Etsy Import'!$A:$CZ,679,Settings!$C$25)&amp;"","$",""),",","")),0)/IF(Settings!$B$27="Yes",G679,1))</f>
        <v/>
      </c>
      <c r="I679" s="11">
        <f>IF(A679="","",IFERROR(VALUE(SUBSTITUTE(SUBSTITUTE(INDEX('Etsy Import'!$A:$CZ,679,Settings!$C$26)&amp;"","$",""),",","")),0)/IF(Settings!$B$27="Yes",G679,1))</f>
        <v/>
      </c>
      <c r="J679" s="11">
        <f>IF(A679="","",F679+H679-I679)</f>
        <v/>
      </c>
      <c r="K679">
        <f>IF(A679="","",IFERROR(IF(B679="",NA(),MATCH(B679,Products!$B$5:$B$204,0)),IFERROR(MATCH(A679,Products!$A$5:$A$204,0),"")))</f>
        <v/>
      </c>
      <c r="L679">
        <f>IF(A679="","",IF(K679="","⚠ not in Products",INDEX(Products!$A$5:$A$204,K679)))</f>
        <v/>
      </c>
      <c r="M679" s="11">
        <f>IF(A679="","",J679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679+IFERROR(INDEX(Settings!$D$5:$D$9,MATCH("Etsy",Settings!$A$5:$A$9,0)),0)*D679)</f>
        <v/>
      </c>
      <c r="N679" s="11">
        <f>IF(A679="","",IF(K679="",0,D679*INDEX(Products!$I$5:$I$204,K679)))</f>
        <v/>
      </c>
      <c r="O679" s="11">
        <f>IF(A679="","",IF(K679="",0,J679*INDEX(Products!$H$5:$H$204,K679)))</f>
        <v/>
      </c>
      <c r="P679" s="11">
        <f>IF(A679="","",J679-M679-N679-O679)</f>
        <v/>
      </c>
    </row>
    <row r="680">
      <c r="A680">
        <f>IFERROR(INDEX('Etsy Import'!$A:$CZ,680,Settings!$C$20)&amp;"","")</f>
        <v/>
      </c>
      <c r="B680">
        <f>IFERROR(INDEX('Etsy Import'!$A:$CZ,680,Settings!$C$21)&amp;"","")</f>
        <v/>
      </c>
      <c r="C680">
        <f>IFERROR(INDEX('Etsy Import'!$A:$CZ,680,Settings!$C$22)&amp;"","")</f>
        <v/>
      </c>
      <c r="D680">
        <f>IF(A680="","",IFERROR(VALUE(SUBSTITUTE(SUBSTITUTE(INDEX('Etsy Import'!$A:$CZ,680,Settings!$C$23)&amp;"","$",""),",","")),0))</f>
        <v/>
      </c>
      <c r="E680" s="11">
        <f>IF(A680="","",IFERROR(VALUE(SUBSTITUTE(SUBSTITUTE(INDEX('Etsy Import'!$A:$CZ,680,Settings!$C$24)&amp;"","$",""),",","")),0))</f>
        <v/>
      </c>
      <c r="F680" s="11">
        <f>IF(A680="","",D680*E680)</f>
        <v/>
      </c>
      <c r="G680">
        <f>IF(A680="","",IF(C680="",1,COUNTIF($C$2:$C$1501,C680)))</f>
        <v/>
      </c>
      <c r="H680" s="11">
        <f>IF(A680="","",IFERROR(VALUE(SUBSTITUTE(SUBSTITUTE(INDEX('Etsy Import'!$A:$CZ,680,Settings!$C$25)&amp;"","$",""),",","")),0)/IF(Settings!$B$27="Yes",G680,1))</f>
        <v/>
      </c>
      <c r="I680" s="11">
        <f>IF(A680="","",IFERROR(VALUE(SUBSTITUTE(SUBSTITUTE(INDEX('Etsy Import'!$A:$CZ,680,Settings!$C$26)&amp;"","$",""),",","")),0)/IF(Settings!$B$27="Yes",G680,1))</f>
        <v/>
      </c>
      <c r="J680" s="11">
        <f>IF(A680="","",F680+H680-I680)</f>
        <v/>
      </c>
      <c r="K680">
        <f>IF(A680="","",IFERROR(IF(B680="",NA(),MATCH(B680,Products!$B$5:$B$204,0)),IFERROR(MATCH(A680,Products!$A$5:$A$204,0),"")))</f>
        <v/>
      </c>
      <c r="L680">
        <f>IF(A680="","",IF(K680="","⚠ not in Products",INDEX(Products!$A$5:$A$204,K680)))</f>
        <v/>
      </c>
      <c r="M680" s="11">
        <f>IF(A680="","",J680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680+IFERROR(INDEX(Settings!$D$5:$D$9,MATCH("Etsy",Settings!$A$5:$A$9,0)),0)*D680)</f>
        <v/>
      </c>
      <c r="N680" s="11">
        <f>IF(A680="","",IF(K680="",0,D680*INDEX(Products!$I$5:$I$204,K680)))</f>
        <v/>
      </c>
      <c r="O680" s="11">
        <f>IF(A680="","",IF(K680="",0,J680*INDEX(Products!$H$5:$H$204,K680)))</f>
        <v/>
      </c>
      <c r="P680" s="11">
        <f>IF(A680="","",J680-M680-N680-O680)</f>
        <v/>
      </c>
    </row>
    <row r="681">
      <c r="A681">
        <f>IFERROR(INDEX('Etsy Import'!$A:$CZ,681,Settings!$C$20)&amp;"","")</f>
        <v/>
      </c>
      <c r="B681">
        <f>IFERROR(INDEX('Etsy Import'!$A:$CZ,681,Settings!$C$21)&amp;"","")</f>
        <v/>
      </c>
      <c r="C681">
        <f>IFERROR(INDEX('Etsy Import'!$A:$CZ,681,Settings!$C$22)&amp;"","")</f>
        <v/>
      </c>
      <c r="D681">
        <f>IF(A681="","",IFERROR(VALUE(SUBSTITUTE(SUBSTITUTE(INDEX('Etsy Import'!$A:$CZ,681,Settings!$C$23)&amp;"","$",""),",","")),0))</f>
        <v/>
      </c>
      <c r="E681" s="11">
        <f>IF(A681="","",IFERROR(VALUE(SUBSTITUTE(SUBSTITUTE(INDEX('Etsy Import'!$A:$CZ,681,Settings!$C$24)&amp;"","$",""),",","")),0))</f>
        <v/>
      </c>
      <c r="F681" s="11">
        <f>IF(A681="","",D681*E681)</f>
        <v/>
      </c>
      <c r="G681">
        <f>IF(A681="","",IF(C681="",1,COUNTIF($C$2:$C$1501,C681)))</f>
        <v/>
      </c>
      <c r="H681" s="11">
        <f>IF(A681="","",IFERROR(VALUE(SUBSTITUTE(SUBSTITUTE(INDEX('Etsy Import'!$A:$CZ,681,Settings!$C$25)&amp;"","$",""),",","")),0)/IF(Settings!$B$27="Yes",G681,1))</f>
        <v/>
      </c>
      <c r="I681" s="11">
        <f>IF(A681="","",IFERROR(VALUE(SUBSTITUTE(SUBSTITUTE(INDEX('Etsy Import'!$A:$CZ,681,Settings!$C$26)&amp;"","$",""),",","")),0)/IF(Settings!$B$27="Yes",G681,1))</f>
        <v/>
      </c>
      <c r="J681" s="11">
        <f>IF(A681="","",F681+H681-I681)</f>
        <v/>
      </c>
      <c r="K681">
        <f>IF(A681="","",IFERROR(IF(B681="",NA(),MATCH(B681,Products!$B$5:$B$204,0)),IFERROR(MATCH(A681,Products!$A$5:$A$204,0),"")))</f>
        <v/>
      </c>
      <c r="L681">
        <f>IF(A681="","",IF(K681="","⚠ not in Products",INDEX(Products!$A$5:$A$204,K681)))</f>
        <v/>
      </c>
      <c r="M681" s="11">
        <f>IF(A681="","",J681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681+IFERROR(INDEX(Settings!$D$5:$D$9,MATCH("Etsy",Settings!$A$5:$A$9,0)),0)*D681)</f>
        <v/>
      </c>
      <c r="N681" s="11">
        <f>IF(A681="","",IF(K681="",0,D681*INDEX(Products!$I$5:$I$204,K681)))</f>
        <v/>
      </c>
      <c r="O681" s="11">
        <f>IF(A681="","",IF(K681="",0,J681*INDEX(Products!$H$5:$H$204,K681)))</f>
        <v/>
      </c>
      <c r="P681" s="11">
        <f>IF(A681="","",J681-M681-N681-O681)</f>
        <v/>
      </c>
    </row>
    <row r="682">
      <c r="A682">
        <f>IFERROR(INDEX('Etsy Import'!$A:$CZ,682,Settings!$C$20)&amp;"","")</f>
        <v/>
      </c>
      <c r="B682">
        <f>IFERROR(INDEX('Etsy Import'!$A:$CZ,682,Settings!$C$21)&amp;"","")</f>
        <v/>
      </c>
      <c r="C682">
        <f>IFERROR(INDEX('Etsy Import'!$A:$CZ,682,Settings!$C$22)&amp;"","")</f>
        <v/>
      </c>
      <c r="D682">
        <f>IF(A682="","",IFERROR(VALUE(SUBSTITUTE(SUBSTITUTE(INDEX('Etsy Import'!$A:$CZ,682,Settings!$C$23)&amp;"","$",""),",","")),0))</f>
        <v/>
      </c>
      <c r="E682" s="11">
        <f>IF(A682="","",IFERROR(VALUE(SUBSTITUTE(SUBSTITUTE(INDEX('Etsy Import'!$A:$CZ,682,Settings!$C$24)&amp;"","$",""),",","")),0))</f>
        <v/>
      </c>
      <c r="F682" s="11">
        <f>IF(A682="","",D682*E682)</f>
        <v/>
      </c>
      <c r="G682">
        <f>IF(A682="","",IF(C682="",1,COUNTIF($C$2:$C$1501,C682)))</f>
        <v/>
      </c>
      <c r="H682" s="11">
        <f>IF(A682="","",IFERROR(VALUE(SUBSTITUTE(SUBSTITUTE(INDEX('Etsy Import'!$A:$CZ,682,Settings!$C$25)&amp;"","$",""),",","")),0)/IF(Settings!$B$27="Yes",G682,1))</f>
        <v/>
      </c>
      <c r="I682" s="11">
        <f>IF(A682="","",IFERROR(VALUE(SUBSTITUTE(SUBSTITUTE(INDEX('Etsy Import'!$A:$CZ,682,Settings!$C$26)&amp;"","$",""),",","")),0)/IF(Settings!$B$27="Yes",G682,1))</f>
        <v/>
      </c>
      <c r="J682" s="11">
        <f>IF(A682="","",F682+H682-I682)</f>
        <v/>
      </c>
      <c r="K682">
        <f>IF(A682="","",IFERROR(IF(B682="",NA(),MATCH(B682,Products!$B$5:$B$204,0)),IFERROR(MATCH(A682,Products!$A$5:$A$204,0),"")))</f>
        <v/>
      </c>
      <c r="L682">
        <f>IF(A682="","",IF(K682="","⚠ not in Products",INDEX(Products!$A$5:$A$204,K682)))</f>
        <v/>
      </c>
      <c r="M682" s="11">
        <f>IF(A682="","",J682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682+IFERROR(INDEX(Settings!$D$5:$D$9,MATCH("Etsy",Settings!$A$5:$A$9,0)),0)*D682)</f>
        <v/>
      </c>
      <c r="N682" s="11">
        <f>IF(A682="","",IF(K682="",0,D682*INDEX(Products!$I$5:$I$204,K682)))</f>
        <v/>
      </c>
      <c r="O682" s="11">
        <f>IF(A682="","",IF(K682="",0,J682*INDEX(Products!$H$5:$H$204,K682)))</f>
        <v/>
      </c>
      <c r="P682" s="11">
        <f>IF(A682="","",J682-M682-N682-O682)</f>
        <v/>
      </c>
    </row>
    <row r="683">
      <c r="A683">
        <f>IFERROR(INDEX('Etsy Import'!$A:$CZ,683,Settings!$C$20)&amp;"","")</f>
        <v/>
      </c>
      <c r="B683">
        <f>IFERROR(INDEX('Etsy Import'!$A:$CZ,683,Settings!$C$21)&amp;"","")</f>
        <v/>
      </c>
      <c r="C683">
        <f>IFERROR(INDEX('Etsy Import'!$A:$CZ,683,Settings!$C$22)&amp;"","")</f>
        <v/>
      </c>
      <c r="D683">
        <f>IF(A683="","",IFERROR(VALUE(SUBSTITUTE(SUBSTITUTE(INDEX('Etsy Import'!$A:$CZ,683,Settings!$C$23)&amp;"","$",""),",","")),0))</f>
        <v/>
      </c>
      <c r="E683" s="11">
        <f>IF(A683="","",IFERROR(VALUE(SUBSTITUTE(SUBSTITUTE(INDEX('Etsy Import'!$A:$CZ,683,Settings!$C$24)&amp;"","$",""),",","")),0))</f>
        <v/>
      </c>
      <c r="F683" s="11">
        <f>IF(A683="","",D683*E683)</f>
        <v/>
      </c>
      <c r="G683">
        <f>IF(A683="","",IF(C683="",1,COUNTIF($C$2:$C$1501,C683)))</f>
        <v/>
      </c>
      <c r="H683" s="11">
        <f>IF(A683="","",IFERROR(VALUE(SUBSTITUTE(SUBSTITUTE(INDEX('Etsy Import'!$A:$CZ,683,Settings!$C$25)&amp;"","$",""),",","")),0)/IF(Settings!$B$27="Yes",G683,1))</f>
        <v/>
      </c>
      <c r="I683" s="11">
        <f>IF(A683="","",IFERROR(VALUE(SUBSTITUTE(SUBSTITUTE(INDEX('Etsy Import'!$A:$CZ,683,Settings!$C$26)&amp;"","$",""),",","")),0)/IF(Settings!$B$27="Yes",G683,1))</f>
        <v/>
      </c>
      <c r="J683" s="11">
        <f>IF(A683="","",F683+H683-I683)</f>
        <v/>
      </c>
      <c r="K683">
        <f>IF(A683="","",IFERROR(IF(B683="",NA(),MATCH(B683,Products!$B$5:$B$204,0)),IFERROR(MATCH(A683,Products!$A$5:$A$204,0),"")))</f>
        <v/>
      </c>
      <c r="L683">
        <f>IF(A683="","",IF(K683="","⚠ not in Products",INDEX(Products!$A$5:$A$204,K683)))</f>
        <v/>
      </c>
      <c r="M683" s="11">
        <f>IF(A683="","",J683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683+IFERROR(INDEX(Settings!$D$5:$D$9,MATCH("Etsy",Settings!$A$5:$A$9,0)),0)*D683)</f>
        <v/>
      </c>
      <c r="N683" s="11">
        <f>IF(A683="","",IF(K683="",0,D683*INDEX(Products!$I$5:$I$204,K683)))</f>
        <v/>
      </c>
      <c r="O683" s="11">
        <f>IF(A683="","",IF(K683="",0,J683*INDEX(Products!$H$5:$H$204,K683)))</f>
        <v/>
      </c>
      <c r="P683" s="11">
        <f>IF(A683="","",J683-M683-N683-O683)</f>
        <v/>
      </c>
    </row>
    <row r="684">
      <c r="A684">
        <f>IFERROR(INDEX('Etsy Import'!$A:$CZ,684,Settings!$C$20)&amp;"","")</f>
        <v/>
      </c>
      <c r="B684">
        <f>IFERROR(INDEX('Etsy Import'!$A:$CZ,684,Settings!$C$21)&amp;"","")</f>
        <v/>
      </c>
      <c r="C684">
        <f>IFERROR(INDEX('Etsy Import'!$A:$CZ,684,Settings!$C$22)&amp;"","")</f>
        <v/>
      </c>
      <c r="D684">
        <f>IF(A684="","",IFERROR(VALUE(SUBSTITUTE(SUBSTITUTE(INDEX('Etsy Import'!$A:$CZ,684,Settings!$C$23)&amp;"","$",""),",","")),0))</f>
        <v/>
      </c>
      <c r="E684" s="11">
        <f>IF(A684="","",IFERROR(VALUE(SUBSTITUTE(SUBSTITUTE(INDEX('Etsy Import'!$A:$CZ,684,Settings!$C$24)&amp;"","$",""),",","")),0))</f>
        <v/>
      </c>
      <c r="F684" s="11">
        <f>IF(A684="","",D684*E684)</f>
        <v/>
      </c>
      <c r="G684">
        <f>IF(A684="","",IF(C684="",1,COUNTIF($C$2:$C$1501,C684)))</f>
        <v/>
      </c>
      <c r="H684" s="11">
        <f>IF(A684="","",IFERROR(VALUE(SUBSTITUTE(SUBSTITUTE(INDEX('Etsy Import'!$A:$CZ,684,Settings!$C$25)&amp;"","$",""),",","")),0)/IF(Settings!$B$27="Yes",G684,1))</f>
        <v/>
      </c>
      <c r="I684" s="11">
        <f>IF(A684="","",IFERROR(VALUE(SUBSTITUTE(SUBSTITUTE(INDEX('Etsy Import'!$A:$CZ,684,Settings!$C$26)&amp;"","$",""),",","")),0)/IF(Settings!$B$27="Yes",G684,1))</f>
        <v/>
      </c>
      <c r="J684" s="11">
        <f>IF(A684="","",F684+H684-I684)</f>
        <v/>
      </c>
      <c r="K684">
        <f>IF(A684="","",IFERROR(IF(B684="",NA(),MATCH(B684,Products!$B$5:$B$204,0)),IFERROR(MATCH(A684,Products!$A$5:$A$204,0),"")))</f>
        <v/>
      </c>
      <c r="L684">
        <f>IF(A684="","",IF(K684="","⚠ not in Products",INDEX(Products!$A$5:$A$204,K684)))</f>
        <v/>
      </c>
      <c r="M684" s="11">
        <f>IF(A684="","",J684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684+IFERROR(INDEX(Settings!$D$5:$D$9,MATCH("Etsy",Settings!$A$5:$A$9,0)),0)*D684)</f>
        <v/>
      </c>
      <c r="N684" s="11">
        <f>IF(A684="","",IF(K684="",0,D684*INDEX(Products!$I$5:$I$204,K684)))</f>
        <v/>
      </c>
      <c r="O684" s="11">
        <f>IF(A684="","",IF(K684="",0,J684*INDEX(Products!$H$5:$H$204,K684)))</f>
        <v/>
      </c>
      <c r="P684" s="11">
        <f>IF(A684="","",J684-M684-N684-O684)</f>
        <v/>
      </c>
    </row>
    <row r="685">
      <c r="A685">
        <f>IFERROR(INDEX('Etsy Import'!$A:$CZ,685,Settings!$C$20)&amp;"","")</f>
        <v/>
      </c>
      <c r="B685">
        <f>IFERROR(INDEX('Etsy Import'!$A:$CZ,685,Settings!$C$21)&amp;"","")</f>
        <v/>
      </c>
      <c r="C685">
        <f>IFERROR(INDEX('Etsy Import'!$A:$CZ,685,Settings!$C$22)&amp;"","")</f>
        <v/>
      </c>
      <c r="D685">
        <f>IF(A685="","",IFERROR(VALUE(SUBSTITUTE(SUBSTITUTE(INDEX('Etsy Import'!$A:$CZ,685,Settings!$C$23)&amp;"","$",""),",","")),0))</f>
        <v/>
      </c>
      <c r="E685" s="11">
        <f>IF(A685="","",IFERROR(VALUE(SUBSTITUTE(SUBSTITUTE(INDEX('Etsy Import'!$A:$CZ,685,Settings!$C$24)&amp;"","$",""),",","")),0))</f>
        <v/>
      </c>
      <c r="F685" s="11">
        <f>IF(A685="","",D685*E685)</f>
        <v/>
      </c>
      <c r="G685">
        <f>IF(A685="","",IF(C685="",1,COUNTIF($C$2:$C$1501,C685)))</f>
        <v/>
      </c>
      <c r="H685" s="11">
        <f>IF(A685="","",IFERROR(VALUE(SUBSTITUTE(SUBSTITUTE(INDEX('Etsy Import'!$A:$CZ,685,Settings!$C$25)&amp;"","$",""),",","")),0)/IF(Settings!$B$27="Yes",G685,1))</f>
        <v/>
      </c>
      <c r="I685" s="11">
        <f>IF(A685="","",IFERROR(VALUE(SUBSTITUTE(SUBSTITUTE(INDEX('Etsy Import'!$A:$CZ,685,Settings!$C$26)&amp;"","$",""),",","")),0)/IF(Settings!$B$27="Yes",G685,1))</f>
        <v/>
      </c>
      <c r="J685" s="11">
        <f>IF(A685="","",F685+H685-I685)</f>
        <v/>
      </c>
      <c r="K685">
        <f>IF(A685="","",IFERROR(IF(B685="",NA(),MATCH(B685,Products!$B$5:$B$204,0)),IFERROR(MATCH(A685,Products!$A$5:$A$204,0),"")))</f>
        <v/>
      </c>
      <c r="L685">
        <f>IF(A685="","",IF(K685="","⚠ not in Products",INDEX(Products!$A$5:$A$204,K685)))</f>
        <v/>
      </c>
      <c r="M685" s="11">
        <f>IF(A685="","",J685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685+IFERROR(INDEX(Settings!$D$5:$D$9,MATCH("Etsy",Settings!$A$5:$A$9,0)),0)*D685)</f>
        <v/>
      </c>
      <c r="N685" s="11">
        <f>IF(A685="","",IF(K685="",0,D685*INDEX(Products!$I$5:$I$204,K685)))</f>
        <v/>
      </c>
      <c r="O685" s="11">
        <f>IF(A685="","",IF(K685="",0,J685*INDEX(Products!$H$5:$H$204,K685)))</f>
        <v/>
      </c>
      <c r="P685" s="11">
        <f>IF(A685="","",J685-M685-N685-O685)</f>
        <v/>
      </c>
    </row>
    <row r="686">
      <c r="A686">
        <f>IFERROR(INDEX('Etsy Import'!$A:$CZ,686,Settings!$C$20)&amp;"","")</f>
        <v/>
      </c>
      <c r="B686">
        <f>IFERROR(INDEX('Etsy Import'!$A:$CZ,686,Settings!$C$21)&amp;"","")</f>
        <v/>
      </c>
      <c r="C686">
        <f>IFERROR(INDEX('Etsy Import'!$A:$CZ,686,Settings!$C$22)&amp;"","")</f>
        <v/>
      </c>
      <c r="D686">
        <f>IF(A686="","",IFERROR(VALUE(SUBSTITUTE(SUBSTITUTE(INDEX('Etsy Import'!$A:$CZ,686,Settings!$C$23)&amp;"","$",""),",","")),0))</f>
        <v/>
      </c>
      <c r="E686" s="11">
        <f>IF(A686="","",IFERROR(VALUE(SUBSTITUTE(SUBSTITUTE(INDEX('Etsy Import'!$A:$CZ,686,Settings!$C$24)&amp;"","$",""),",","")),0))</f>
        <v/>
      </c>
      <c r="F686" s="11">
        <f>IF(A686="","",D686*E686)</f>
        <v/>
      </c>
      <c r="G686">
        <f>IF(A686="","",IF(C686="",1,COUNTIF($C$2:$C$1501,C686)))</f>
        <v/>
      </c>
      <c r="H686" s="11">
        <f>IF(A686="","",IFERROR(VALUE(SUBSTITUTE(SUBSTITUTE(INDEX('Etsy Import'!$A:$CZ,686,Settings!$C$25)&amp;"","$",""),",","")),0)/IF(Settings!$B$27="Yes",G686,1))</f>
        <v/>
      </c>
      <c r="I686" s="11">
        <f>IF(A686="","",IFERROR(VALUE(SUBSTITUTE(SUBSTITUTE(INDEX('Etsy Import'!$A:$CZ,686,Settings!$C$26)&amp;"","$",""),",","")),0)/IF(Settings!$B$27="Yes",G686,1))</f>
        <v/>
      </c>
      <c r="J686" s="11">
        <f>IF(A686="","",F686+H686-I686)</f>
        <v/>
      </c>
      <c r="K686">
        <f>IF(A686="","",IFERROR(IF(B686="",NA(),MATCH(B686,Products!$B$5:$B$204,0)),IFERROR(MATCH(A686,Products!$A$5:$A$204,0),"")))</f>
        <v/>
      </c>
      <c r="L686">
        <f>IF(A686="","",IF(K686="","⚠ not in Products",INDEX(Products!$A$5:$A$204,K686)))</f>
        <v/>
      </c>
      <c r="M686" s="11">
        <f>IF(A686="","",J686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686+IFERROR(INDEX(Settings!$D$5:$D$9,MATCH("Etsy",Settings!$A$5:$A$9,0)),0)*D686)</f>
        <v/>
      </c>
      <c r="N686" s="11">
        <f>IF(A686="","",IF(K686="",0,D686*INDEX(Products!$I$5:$I$204,K686)))</f>
        <v/>
      </c>
      <c r="O686" s="11">
        <f>IF(A686="","",IF(K686="",0,J686*INDEX(Products!$H$5:$H$204,K686)))</f>
        <v/>
      </c>
      <c r="P686" s="11">
        <f>IF(A686="","",J686-M686-N686-O686)</f>
        <v/>
      </c>
    </row>
    <row r="687">
      <c r="A687">
        <f>IFERROR(INDEX('Etsy Import'!$A:$CZ,687,Settings!$C$20)&amp;"","")</f>
        <v/>
      </c>
      <c r="B687">
        <f>IFERROR(INDEX('Etsy Import'!$A:$CZ,687,Settings!$C$21)&amp;"","")</f>
        <v/>
      </c>
      <c r="C687">
        <f>IFERROR(INDEX('Etsy Import'!$A:$CZ,687,Settings!$C$22)&amp;"","")</f>
        <v/>
      </c>
      <c r="D687">
        <f>IF(A687="","",IFERROR(VALUE(SUBSTITUTE(SUBSTITUTE(INDEX('Etsy Import'!$A:$CZ,687,Settings!$C$23)&amp;"","$",""),",","")),0))</f>
        <v/>
      </c>
      <c r="E687" s="11">
        <f>IF(A687="","",IFERROR(VALUE(SUBSTITUTE(SUBSTITUTE(INDEX('Etsy Import'!$A:$CZ,687,Settings!$C$24)&amp;"","$",""),",","")),0))</f>
        <v/>
      </c>
      <c r="F687" s="11">
        <f>IF(A687="","",D687*E687)</f>
        <v/>
      </c>
      <c r="G687">
        <f>IF(A687="","",IF(C687="",1,COUNTIF($C$2:$C$1501,C687)))</f>
        <v/>
      </c>
      <c r="H687" s="11">
        <f>IF(A687="","",IFERROR(VALUE(SUBSTITUTE(SUBSTITUTE(INDEX('Etsy Import'!$A:$CZ,687,Settings!$C$25)&amp;"","$",""),",","")),0)/IF(Settings!$B$27="Yes",G687,1))</f>
        <v/>
      </c>
      <c r="I687" s="11">
        <f>IF(A687="","",IFERROR(VALUE(SUBSTITUTE(SUBSTITUTE(INDEX('Etsy Import'!$A:$CZ,687,Settings!$C$26)&amp;"","$",""),",","")),0)/IF(Settings!$B$27="Yes",G687,1))</f>
        <v/>
      </c>
      <c r="J687" s="11">
        <f>IF(A687="","",F687+H687-I687)</f>
        <v/>
      </c>
      <c r="K687">
        <f>IF(A687="","",IFERROR(IF(B687="",NA(),MATCH(B687,Products!$B$5:$B$204,0)),IFERROR(MATCH(A687,Products!$A$5:$A$204,0),"")))</f>
        <v/>
      </c>
      <c r="L687">
        <f>IF(A687="","",IF(K687="","⚠ not in Products",INDEX(Products!$A$5:$A$204,K687)))</f>
        <v/>
      </c>
      <c r="M687" s="11">
        <f>IF(A687="","",J687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687+IFERROR(INDEX(Settings!$D$5:$D$9,MATCH("Etsy",Settings!$A$5:$A$9,0)),0)*D687)</f>
        <v/>
      </c>
      <c r="N687" s="11">
        <f>IF(A687="","",IF(K687="",0,D687*INDEX(Products!$I$5:$I$204,K687)))</f>
        <v/>
      </c>
      <c r="O687" s="11">
        <f>IF(A687="","",IF(K687="",0,J687*INDEX(Products!$H$5:$H$204,K687)))</f>
        <v/>
      </c>
      <c r="P687" s="11">
        <f>IF(A687="","",J687-M687-N687-O687)</f>
        <v/>
      </c>
    </row>
    <row r="688">
      <c r="A688">
        <f>IFERROR(INDEX('Etsy Import'!$A:$CZ,688,Settings!$C$20)&amp;"","")</f>
        <v/>
      </c>
      <c r="B688">
        <f>IFERROR(INDEX('Etsy Import'!$A:$CZ,688,Settings!$C$21)&amp;"","")</f>
        <v/>
      </c>
      <c r="C688">
        <f>IFERROR(INDEX('Etsy Import'!$A:$CZ,688,Settings!$C$22)&amp;"","")</f>
        <v/>
      </c>
      <c r="D688">
        <f>IF(A688="","",IFERROR(VALUE(SUBSTITUTE(SUBSTITUTE(INDEX('Etsy Import'!$A:$CZ,688,Settings!$C$23)&amp;"","$",""),",","")),0))</f>
        <v/>
      </c>
      <c r="E688" s="11">
        <f>IF(A688="","",IFERROR(VALUE(SUBSTITUTE(SUBSTITUTE(INDEX('Etsy Import'!$A:$CZ,688,Settings!$C$24)&amp;"","$",""),",","")),0))</f>
        <v/>
      </c>
      <c r="F688" s="11">
        <f>IF(A688="","",D688*E688)</f>
        <v/>
      </c>
      <c r="G688">
        <f>IF(A688="","",IF(C688="",1,COUNTIF($C$2:$C$1501,C688)))</f>
        <v/>
      </c>
      <c r="H688" s="11">
        <f>IF(A688="","",IFERROR(VALUE(SUBSTITUTE(SUBSTITUTE(INDEX('Etsy Import'!$A:$CZ,688,Settings!$C$25)&amp;"","$",""),",","")),0)/IF(Settings!$B$27="Yes",G688,1))</f>
        <v/>
      </c>
      <c r="I688" s="11">
        <f>IF(A688="","",IFERROR(VALUE(SUBSTITUTE(SUBSTITUTE(INDEX('Etsy Import'!$A:$CZ,688,Settings!$C$26)&amp;"","$",""),",","")),0)/IF(Settings!$B$27="Yes",G688,1))</f>
        <v/>
      </c>
      <c r="J688" s="11">
        <f>IF(A688="","",F688+H688-I688)</f>
        <v/>
      </c>
      <c r="K688">
        <f>IF(A688="","",IFERROR(IF(B688="",NA(),MATCH(B688,Products!$B$5:$B$204,0)),IFERROR(MATCH(A688,Products!$A$5:$A$204,0),"")))</f>
        <v/>
      </c>
      <c r="L688">
        <f>IF(A688="","",IF(K688="","⚠ not in Products",INDEX(Products!$A$5:$A$204,K688)))</f>
        <v/>
      </c>
      <c r="M688" s="11">
        <f>IF(A688="","",J688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688+IFERROR(INDEX(Settings!$D$5:$D$9,MATCH("Etsy",Settings!$A$5:$A$9,0)),0)*D688)</f>
        <v/>
      </c>
      <c r="N688" s="11">
        <f>IF(A688="","",IF(K688="",0,D688*INDEX(Products!$I$5:$I$204,K688)))</f>
        <v/>
      </c>
      <c r="O688" s="11">
        <f>IF(A688="","",IF(K688="",0,J688*INDEX(Products!$H$5:$H$204,K688)))</f>
        <v/>
      </c>
      <c r="P688" s="11">
        <f>IF(A688="","",J688-M688-N688-O688)</f>
        <v/>
      </c>
    </row>
    <row r="689">
      <c r="A689">
        <f>IFERROR(INDEX('Etsy Import'!$A:$CZ,689,Settings!$C$20)&amp;"","")</f>
        <v/>
      </c>
      <c r="B689">
        <f>IFERROR(INDEX('Etsy Import'!$A:$CZ,689,Settings!$C$21)&amp;"","")</f>
        <v/>
      </c>
      <c r="C689">
        <f>IFERROR(INDEX('Etsy Import'!$A:$CZ,689,Settings!$C$22)&amp;"","")</f>
        <v/>
      </c>
      <c r="D689">
        <f>IF(A689="","",IFERROR(VALUE(SUBSTITUTE(SUBSTITUTE(INDEX('Etsy Import'!$A:$CZ,689,Settings!$C$23)&amp;"","$",""),",","")),0))</f>
        <v/>
      </c>
      <c r="E689" s="11">
        <f>IF(A689="","",IFERROR(VALUE(SUBSTITUTE(SUBSTITUTE(INDEX('Etsy Import'!$A:$CZ,689,Settings!$C$24)&amp;"","$",""),",","")),0))</f>
        <v/>
      </c>
      <c r="F689" s="11">
        <f>IF(A689="","",D689*E689)</f>
        <v/>
      </c>
      <c r="G689">
        <f>IF(A689="","",IF(C689="",1,COUNTIF($C$2:$C$1501,C689)))</f>
        <v/>
      </c>
      <c r="H689" s="11">
        <f>IF(A689="","",IFERROR(VALUE(SUBSTITUTE(SUBSTITUTE(INDEX('Etsy Import'!$A:$CZ,689,Settings!$C$25)&amp;"","$",""),",","")),0)/IF(Settings!$B$27="Yes",G689,1))</f>
        <v/>
      </c>
      <c r="I689" s="11">
        <f>IF(A689="","",IFERROR(VALUE(SUBSTITUTE(SUBSTITUTE(INDEX('Etsy Import'!$A:$CZ,689,Settings!$C$26)&amp;"","$",""),",","")),0)/IF(Settings!$B$27="Yes",G689,1))</f>
        <v/>
      </c>
      <c r="J689" s="11">
        <f>IF(A689="","",F689+H689-I689)</f>
        <v/>
      </c>
      <c r="K689">
        <f>IF(A689="","",IFERROR(IF(B689="",NA(),MATCH(B689,Products!$B$5:$B$204,0)),IFERROR(MATCH(A689,Products!$A$5:$A$204,0),"")))</f>
        <v/>
      </c>
      <c r="L689">
        <f>IF(A689="","",IF(K689="","⚠ not in Products",INDEX(Products!$A$5:$A$204,K689)))</f>
        <v/>
      </c>
      <c r="M689" s="11">
        <f>IF(A689="","",J689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689+IFERROR(INDEX(Settings!$D$5:$D$9,MATCH("Etsy",Settings!$A$5:$A$9,0)),0)*D689)</f>
        <v/>
      </c>
      <c r="N689" s="11">
        <f>IF(A689="","",IF(K689="",0,D689*INDEX(Products!$I$5:$I$204,K689)))</f>
        <v/>
      </c>
      <c r="O689" s="11">
        <f>IF(A689="","",IF(K689="",0,J689*INDEX(Products!$H$5:$H$204,K689)))</f>
        <v/>
      </c>
      <c r="P689" s="11">
        <f>IF(A689="","",J689-M689-N689-O689)</f>
        <v/>
      </c>
    </row>
    <row r="690">
      <c r="A690">
        <f>IFERROR(INDEX('Etsy Import'!$A:$CZ,690,Settings!$C$20)&amp;"","")</f>
        <v/>
      </c>
      <c r="B690">
        <f>IFERROR(INDEX('Etsy Import'!$A:$CZ,690,Settings!$C$21)&amp;"","")</f>
        <v/>
      </c>
      <c r="C690">
        <f>IFERROR(INDEX('Etsy Import'!$A:$CZ,690,Settings!$C$22)&amp;"","")</f>
        <v/>
      </c>
      <c r="D690">
        <f>IF(A690="","",IFERROR(VALUE(SUBSTITUTE(SUBSTITUTE(INDEX('Etsy Import'!$A:$CZ,690,Settings!$C$23)&amp;"","$",""),",","")),0))</f>
        <v/>
      </c>
      <c r="E690" s="11">
        <f>IF(A690="","",IFERROR(VALUE(SUBSTITUTE(SUBSTITUTE(INDEX('Etsy Import'!$A:$CZ,690,Settings!$C$24)&amp;"","$",""),",","")),0))</f>
        <v/>
      </c>
      <c r="F690" s="11">
        <f>IF(A690="","",D690*E690)</f>
        <v/>
      </c>
      <c r="G690">
        <f>IF(A690="","",IF(C690="",1,COUNTIF($C$2:$C$1501,C690)))</f>
        <v/>
      </c>
      <c r="H690" s="11">
        <f>IF(A690="","",IFERROR(VALUE(SUBSTITUTE(SUBSTITUTE(INDEX('Etsy Import'!$A:$CZ,690,Settings!$C$25)&amp;"","$",""),",","")),0)/IF(Settings!$B$27="Yes",G690,1))</f>
        <v/>
      </c>
      <c r="I690" s="11">
        <f>IF(A690="","",IFERROR(VALUE(SUBSTITUTE(SUBSTITUTE(INDEX('Etsy Import'!$A:$CZ,690,Settings!$C$26)&amp;"","$",""),",","")),0)/IF(Settings!$B$27="Yes",G690,1))</f>
        <v/>
      </c>
      <c r="J690" s="11">
        <f>IF(A690="","",F690+H690-I690)</f>
        <v/>
      </c>
      <c r="K690">
        <f>IF(A690="","",IFERROR(IF(B690="",NA(),MATCH(B690,Products!$B$5:$B$204,0)),IFERROR(MATCH(A690,Products!$A$5:$A$204,0),"")))</f>
        <v/>
      </c>
      <c r="L690">
        <f>IF(A690="","",IF(K690="","⚠ not in Products",INDEX(Products!$A$5:$A$204,K690)))</f>
        <v/>
      </c>
      <c r="M690" s="11">
        <f>IF(A690="","",J690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690+IFERROR(INDEX(Settings!$D$5:$D$9,MATCH("Etsy",Settings!$A$5:$A$9,0)),0)*D690)</f>
        <v/>
      </c>
      <c r="N690" s="11">
        <f>IF(A690="","",IF(K690="",0,D690*INDEX(Products!$I$5:$I$204,K690)))</f>
        <v/>
      </c>
      <c r="O690" s="11">
        <f>IF(A690="","",IF(K690="",0,J690*INDEX(Products!$H$5:$H$204,K690)))</f>
        <v/>
      </c>
      <c r="P690" s="11">
        <f>IF(A690="","",J690-M690-N690-O690)</f>
        <v/>
      </c>
    </row>
    <row r="691">
      <c r="A691">
        <f>IFERROR(INDEX('Etsy Import'!$A:$CZ,691,Settings!$C$20)&amp;"","")</f>
        <v/>
      </c>
      <c r="B691">
        <f>IFERROR(INDEX('Etsy Import'!$A:$CZ,691,Settings!$C$21)&amp;"","")</f>
        <v/>
      </c>
      <c r="C691">
        <f>IFERROR(INDEX('Etsy Import'!$A:$CZ,691,Settings!$C$22)&amp;"","")</f>
        <v/>
      </c>
      <c r="D691">
        <f>IF(A691="","",IFERROR(VALUE(SUBSTITUTE(SUBSTITUTE(INDEX('Etsy Import'!$A:$CZ,691,Settings!$C$23)&amp;"","$",""),",","")),0))</f>
        <v/>
      </c>
      <c r="E691" s="11">
        <f>IF(A691="","",IFERROR(VALUE(SUBSTITUTE(SUBSTITUTE(INDEX('Etsy Import'!$A:$CZ,691,Settings!$C$24)&amp;"","$",""),",","")),0))</f>
        <v/>
      </c>
      <c r="F691" s="11">
        <f>IF(A691="","",D691*E691)</f>
        <v/>
      </c>
      <c r="G691">
        <f>IF(A691="","",IF(C691="",1,COUNTIF($C$2:$C$1501,C691)))</f>
        <v/>
      </c>
      <c r="H691" s="11">
        <f>IF(A691="","",IFERROR(VALUE(SUBSTITUTE(SUBSTITUTE(INDEX('Etsy Import'!$A:$CZ,691,Settings!$C$25)&amp;"","$",""),",","")),0)/IF(Settings!$B$27="Yes",G691,1))</f>
        <v/>
      </c>
      <c r="I691" s="11">
        <f>IF(A691="","",IFERROR(VALUE(SUBSTITUTE(SUBSTITUTE(INDEX('Etsy Import'!$A:$CZ,691,Settings!$C$26)&amp;"","$",""),",","")),0)/IF(Settings!$B$27="Yes",G691,1))</f>
        <v/>
      </c>
      <c r="J691" s="11">
        <f>IF(A691="","",F691+H691-I691)</f>
        <v/>
      </c>
      <c r="K691">
        <f>IF(A691="","",IFERROR(IF(B691="",NA(),MATCH(B691,Products!$B$5:$B$204,0)),IFERROR(MATCH(A691,Products!$A$5:$A$204,0),"")))</f>
        <v/>
      </c>
      <c r="L691">
        <f>IF(A691="","",IF(K691="","⚠ not in Products",INDEX(Products!$A$5:$A$204,K691)))</f>
        <v/>
      </c>
      <c r="M691" s="11">
        <f>IF(A691="","",J691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691+IFERROR(INDEX(Settings!$D$5:$D$9,MATCH("Etsy",Settings!$A$5:$A$9,0)),0)*D691)</f>
        <v/>
      </c>
      <c r="N691" s="11">
        <f>IF(A691="","",IF(K691="",0,D691*INDEX(Products!$I$5:$I$204,K691)))</f>
        <v/>
      </c>
      <c r="O691" s="11">
        <f>IF(A691="","",IF(K691="",0,J691*INDEX(Products!$H$5:$H$204,K691)))</f>
        <v/>
      </c>
      <c r="P691" s="11">
        <f>IF(A691="","",J691-M691-N691-O691)</f>
        <v/>
      </c>
    </row>
    <row r="692">
      <c r="A692">
        <f>IFERROR(INDEX('Etsy Import'!$A:$CZ,692,Settings!$C$20)&amp;"","")</f>
        <v/>
      </c>
      <c r="B692">
        <f>IFERROR(INDEX('Etsy Import'!$A:$CZ,692,Settings!$C$21)&amp;"","")</f>
        <v/>
      </c>
      <c r="C692">
        <f>IFERROR(INDEX('Etsy Import'!$A:$CZ,692,Settings!$C$22)&amp;"","")</f>
        <v/>
      </c>
      <c r="D692">
        <f>IF(A692="","",IFERROR(VALUE(SUBSTITUTE(SUBSTITUTE(INDEX('Etsy Import'!$A:$CZ,692,Settings!$C$23)&amp;"","$",""),",","")),0))</f>
        <v/>
      </c>
      <c r="E692" s="11">
        <f>IF(A692="","",IFERROR(VALUE(SUBSTITUTE(SUBSTITUTE(INDEX('Etsy Import'!$A:$CZ,692,Settings!$C$24)&amp;"","$",""),",","")),0))</f>
        <v/>
      </c>
      <c r="F692" s="11">
        <f>IF(A692="","",D692*E692)</f>
        <v/>
      </c>
      <c r="G692">
        <f>IF(A692="","",IF(C692="",1,COUNTIF($C$2:$C$1501,C692)))</f>
        <v/>
      </c>
      <c r="H692" s="11">
        <f>IF(A692="","",IFERROR(VALUE(SUBSTITUTE(SUBSTITUTE(INDEX('Etsy Import'!$A:$CZ,692,Settings!$C$25)&amp;"","$",""),",","")),0)/IF(Settings!$B$27="Yes",G692,1))</f>
        <v/>
      </c>
      <c r="I692" s="11">
        <f>IF(A692="","",IFERROR(VALUE(SUBSTITUTE(SUBSTITUTE(INDEX('Etsy Import'!$A:$CZ,692,Settings!$C$26)&amp;"","$",""),",","")),0)/IF(Settings!$B$27="Yes",G692,1))</f>
        <v/>
      </c>
      <c r="J692" s="11">
        <f>IF(A692="","",F692+H692-I692)</f>
        <v/>
      </c>
      <c r="K692">
        <f>IF(A692="","",IFERROR(IF(B692="",NA(),MATCH(B692,Products!$B$5:$B$204,0)),IFERROR(MATCH(A692,Products!$A$5:$A$204,0),"")))</f>
        <v/>
      </c>
      <c r="L692">
        <f>IF(A692="","",IF(K692="","⚠ not in Products",INDEX(Products!$A$5:$A$204,K692)))</f>
        <v/>
      </c>
      <c r="M692" s="11">
        <f>IF(A692="","",J692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692+IFERROR(INDEX(Settings!$D$5:$D$9,MATCH("Etsy",Settings!$A$5:$A$9,0)),0)*D692)</f>
        <v/>
      </c>
      <c r="N692" s="11">
        <f>IF(A692="","",IF(K692="",0,D692*INDEX(Products!$I$5:$I$204,K692)))</f>
        <v/>
      </c>
      <c r="O692" s="11">
        <f>IF(A692="","",IF(K692="",0,J692*INDEX(Products!$H$5:$H$204,K692)))</f>
        <v/>
      </c>
      <c r="P692" s="11">
        <f>IF(A692="","",J692-M692-N692-O692)</f>
        <v/>
      </c>
    </row>
    <row r="693">
      <c r="A693">
        <f>IFERROR(INDEX('Etsy Import'!$A:$CZ,693,Settings!$C$20)&amp;"","")</f>
        <v/>
      </c>
      <c r="B693">
        <f>IFERROR(INDEX('Etsy Import'!$A:$CZ,693,Settings!$C$21)&amp;"","")</f>
        <v/>
      </c>
      <c r="C693">
        <f>IFERROR(INDEX('Etsy Import'!$A:$CZ,693,Settings!$C$22)&amp;"","")</f>
        <v/>
      </c>
      <c r="D693">
        <f>IF(A693="","",IFERROR(VALUE(SUBSTITUTE(SUBSTITUTE(INDEX('Etsy Import'!$A:$CZ,693,Settings!$C$23)&amp;"","$",""),",","")),0))</f>
        <v/>
      </c>
      <c r="E693" s="11">
        <f>IF(A693="","",IFERROR(VALUE(SUBSTITUTE(SUBSTITUTE(INDEX('Etsy Import'!$A:$CZ,693,Settings!$C$24)&amp;"","$",""),",","")),0))</f>
        <v/>
      </c>
      <c r="F693" s="11">
        <f>IF(A693="","",D693*E693)</f>
        <v/>
      </c>
      <c r="G693">
        <f>IF(A693="","",IF(C693="",1,COUNTIF($C$2:$C$1501,C693)))</f>
        <v/>
      </c>
      <c r="H693" s="11">
        <f>IF(A693="","",IFERROR(VALUE(SUBSTITUTE(SUBSTITUTE(INDEX('Etsy Import'!$A:$CZ,693,Settings!$C$25)&amp;"","$",""),",","")),0)/IF(Settings!$B$27="Yes",G693,1))</f>
        <v/>
      </c>
      <c r="I693" s="11">
        <f>IF(A693="","",IFERROR(VALUE(SUBSTITUTE(SUBSTITUTE(INDEX('Etsy Import'!$A:$CZ,693,Settings!$C$26)&amp;"","$",""),",","")),0)/IF(Settings!$B$27="Yes",G693,1))</f>
        <v/>
      </c>
      <c r="J693" s="11">
        <f>IF(A693="","",F693+H693-I693)</f>
        <v/>
      </c>
      <c r="K693">
        <f>IF(A693="","",IFERROR(IF(B693="",NA(),MATCH(B693,Products!$B$5:$B$204,0)),IFERROR(MATCH(A693,Products!$A$5:$A$204,0),"")))</f>
        <v/>
      </c>
      <c r="L693">
        <f>IF(A693="","",IF(K693="","⚠ not in Products",INDEX(Products!$A$5:$A$204,K693)))</f>
        <v/>
      </c>
      <c r="M693" s="11">
        <f>IF(A693="","",J693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693+IFERROR(INDEX(Settings!$D$5:$D$9,MATCH("Etsy",Settings!$A$5:$A$9,0)),0)*D693)</f>
        <v/>
      </c>
      <c r="N693" s="11">
        <f>IF(A693="","",IF(K693="",0,D693*INDEX(Products!$I$5:$I$204,K693)))</f>
        <v/>
      </c>
      <c r="O693" s="11">
        <f>IF(A693="","",IF(K693="",0,J693*INDEX(Products!$H$5:$H$204,K693)))</f>
        <v/>
      </c>
      <c r="P693" s="11">
        <f>IF(A693="","",J693-M693-N693-O693)</f>
        <v/>
      </c>
    </row>
    <row r="694">
      <c r="A694">
        <f>IFERROR(INDEX('Etsy Import'!$A:$CZ,694,Settings!$C$20)&amp;"","")</f>
        <v/>
      </c>
      <c r="B694">
        <f>IFERROR(INDEX('Etsy Import'!$A:$CZ,694,Settings!$C$21)&amp;"","")</f>
        <v/>
      </c>
      <c r="C694">
        <f>IFERROR(INDEX('Etsy Import'!$A:$CZ,694,Settings!$C$22)&amp;"","")</f>
        <v/>
      </c>
      <c r="D694">
        <f>IF(A694="","",IFERROR(VALUE(SUBSTITUTE(SUBSTITUTE(INDEX('Etsy Import'!$A:$CZ,694,Settings!$C$23)&amp;"","$",""),",","")),0))</f>
        <v/>
      </c>
      <c r="E694" s="11">
        <f>IF(A694="","",IFERROR(VALUE(SUBSTITUTE(SUBSTITUTE(INDEX('Etsy Import'!$A:$CZ,694,Settings!$C$24)&amp;"","$",""),",","")),0))</f>
        <v/>
      </c>
      <c r="F694" s="11">
        <f>IF(A694="","",D694*E694)</f>
        <v/>
      </c>
      <c r="G694">
        <f>IF(A694="","",IF(C694="",1,COUNTIF($C$2:$C$1501,C694)))</f>
        <v/>
      </c>
      <c r="H694" s="11">
        <f>IF(A694="","",IFERROR(VALUE(SUBSTITUTE(SUBSTITUTE(INDEX('Etsy Import'!$A:$CZ,694,Settings!$C$25)&amp;"","$",""),",","")),0)/IF(Settings!$B$27="Yes",G694,1))</f>
        <v/>
      </c>
      <c r="I694" s="11">
        <f>IF(A694="","",IFERROR(VALUE(SUBSTITUTE(SUBSTITUTE(INDEX('Etsy Import'!$A:$CZ,694,Settings!$C$26)&amp;"","$",""),",","")),0)/IF(Settings!$B$27="Yes",G694,1))</f>
        <v/>
      </c>
      <c r="J694" s="11">
        <f>IF(A694="","",F694+H694-I694)</f>
        <v/>
      </c>
      <c r="K694">
        <f>IF(A694="","",IFERROR(IF(B694="",NA(),MATCH(B694,Products!$B$5:$B$204,0)),IFERROR(MATCH(A694,Products!$A$5:$A$204,0),"")))</f>
        <v/>
      </c>
      <c r="L694">
        <f>IF(A694="","",IF(K694="","⚠ not in Products",INDEX(Products!$A$5:$A$204,K694)))</f>
        <v/>
      </c>
      <c r="M694" s="11">
        <f>IF(A694="","",J694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694+IFERROR(INDEX(Settings!$D$5:$D$9,MATCH("Etsy",Settings!$A$5:$A$9,0)),0)*D694)</f>
        <v/>
      </c>
      <c r="N694" s="11">
        <f>IF(A694="","",IF(K694="",0,D694*INDEX(Products!$I$5:$I$204,K694)))</f>
        <v/>
      </c>
      <c r="O694" s="11">
        <f>IF(A694="","",IF(K694="",0,J694*INDEX(Products!$H$5:$H$204,K694)))</f>
        <v/>
      </c>
      <c r="P694" s="11">
        <f>IF(A694="","",J694-M694-N694-O694)</f>
        <v/>
      </c>
    </row>
    <row r="695">
      <c r="A695">
        <f>IFERROR(INDEX('Etsy Import'!$A:$CZ,695,Settings!$C$20)&amp;"","")</f>
        <v/>
      </c>
      <c r="B695">
        <f>IFERROR(INDEX('Etsy Import'!$A:$CZ,695,Settings!$C$21)&amp;"","")</f>
        <v/>
      </c>
      <c r="C695">
        <f>IFERROR(INDEX('Etsy Import'!$A:$CZ,695,Settings!$C$22)&amp;"","")</f>
        <v/>
      </c>
      <c r="D695">
        <f>IF(A695="","",IFERROR(VALUE(SUBSTITUTE(SUBSTITUTE(INDEX('Etsy Import'!$A:$CZ,695,Settings!$C$23)&amp;"","$",""),",","")),0))</f>
        <v/>
      </c>
      <c r="E695" s="11">
        <f>IF(A695="","",IFERROR(VALUE(SUBSTITUTE(SUBSTITUTE(INDEX('Etsy Import'!$A:$CZ,695,Settings!$C$24)&amp;"","$",""),",","")),0))</f>
        <v/>
      </c>
      <c r="F695" s="11">
        <f>IF(A695="","",D695*E695)</f>
        <v/>
      </c>
      <c r="G695">
        <f>IF(A695="","",IF(C695="",1,COUNTIF($C$2:$C$1501,C695)))</f>
        <v/>
      </c>
      <c r="H695" s="11">
        <f>IF(A695="","",IFERROR(VALUE(SUBSTITUTE(SUBSTITUTE(INDEX('Etsy Import'!$A:$CZ,695,Settings!$C$25)&amp;"","$",""),",","")),0)/IF(Settings!$B$27="Yes",G695,1))</f>
        <v/>
      </c>
      <c r="I695" s="11">
        <f>IF(A695="","",IFERROR(VALUE(SUBSTITUTE(SUBSTITUTE(INDEX('Etsy Import'!$A:$CZ,695,Settings!$C$26)&amp;"","$",""),",","")),0)/IF(Settings!$B$27="Yes",G695,1))</f>
        <v/>
      </c>
      <c r="J695" s="11">
        <f>IF(A695="","",F695+H695-I695)</f>
        <v/>
      </c>
      <c r="K695">
        <f>IF(A695="","",IFERROR(IF(B695="",NA(),MATCH(B695,Products!$B$5:$B$204,0)),IFERROR(MATCH(A695,Products!$A$5:$A$204,0),"")))</f>
        <v/>
      </c>
      <c r="L695">
        <f>IF(A695="","",IF(K695="","⚠ not in Products",INDEX(Products!$A$5:$A$204,K695)))</f>
        <v/>
      </c>
      <c r="M695" s="11">
        <f>IF(A695="","",J695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695+IFERROR(INDEX(Settings!$D$5:$D$9,MATCH("Etsy",Settings!$A$5:$A$9,0)),0)*D695)</f>
        <v/>
      </c>
      <c r="N695" s="11">
        <f>IF(A695="","",IF(K695="",0,D695*INDEX(Products!$I$5:$I$204,K695)))</f>
        <v/>
      </c>
      <c r="O695" s="11">
        <f>IF(A695="","",IF(K695="",0,J695*INDEX(Products!$H$5:$H$204,K695)))</f>
        <v/>
      </c>
      <c r="P695" s="11">
        <f>IF(A695="","",J695-M695-N695-O695)</f>
        <v/>
      </c>
    </row>
    <row r="696">
      <c r="A696">
        <f>IFERROR(INDEX('Etsy Import'!$A:$CZ,696,Settings!$C$20)&amp;"","")</f>
        <v/>
      </c>
      <c r="B696">
        <f>IFERROR(INDEX('Etsy Import'!$A:$CZ,696,Settings!$C$21)&amp;"","")</f>
        <v/>
      </c>
      <c r="C696">
        <f>IFERROR(INDEX('Etsy Import'!$A:$CZ,696,Settings!$C$22)&amp;"","")</f>
        <v/>
      </c>
      <c r="D696">
        <f>IF(A696="","",IFERROR(VALUE(SUBSTITUTE(SUBSTITUTE(INDEX('Etsy Import'!$A:$CZ,696,Settings!$C$23)&amp;"","$",""),",","")),0))</f>
        <v/>
      </c>
      <c r="E696" s="11">
        <f>IF(A696="","",IFERROR(VALUE(SUBSTITUTE(SUBSTITUTE(INDEX('Etsy Import'!$A:$CZ,696,Settings!$C$24)&amp;"","$",""),",","")),0))</f>
        <v/>
      </c>
      <c r="F696" s="11">
        <f>IF(A696="","",D696*E696)</f>
        <v/>
      </c>
      <c r="G696">
        <f>IF(A696="","",IF(C696="",1,COUNTIF($C$2:$C$1501,C696)))</f>
        <v/>
      </c>
      <c r="H696" s="11">
        <f>IF(A696="","",IFERROR(VALUE(SUBSTITUTE(SUBSTITUTE(INDEX('Etsy Import'!$A:$CZ,696,Settings!$C$25)&amp;"","$",""),",","")),0)/IF(Settings!$B$27="Yes",G696,1))</f>
        <v/>
      </c>
      <c r="I696" s="11">
        <f>IF(A696="","",IFERROR(VALUE(SUBSTITUTE(SUBSTITUTE(INDEX('Etsy Import'!$A:$CZ,696,Settings!$C$26)&amp;"","$",""),",","")),0)/IF(Settings!$B$27="Yes",G696,1))</f>
        <v/>
      </c>
      <c r="J696" s="11">
        <f>IF(A696="","",F696+H696-I696)</f>
        <v/>
      </c>
      <c r="K696">
        <f>IF(A696="","",IFERROR(IF(B696="",NA(),MATCH(B696,Products!$B$5:$B$204,0)),IFERROR(MATCH(A696,Products!$A$5:$A$204,0),"")))</f>
        <v/>
      </c>
      <c r="L696">
        <f>IF(A696="","",IF(K696="","⚠ not in Products",INDEX(Products!$A$5:$A$204,K696)))</f>
        <v/>
      </c>
      <c r="M696" s="11">
        <f>IF(A696="","",J696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696+IFERROR(INDEX(Settings!$D$5:$D$9,MATCH("Etsy",Settings!$A$5:$A$9,0)),0)*D696)</f>
        <v/>
      </c>
      <c r="N696" s="11">
        <f>IF(A696="","",IF(K696="",0,D696*INDEX(Products!$I$5:$I$204,K696)))</f>
        <v/>
      </c>
      <c r="O696" s="11">
        <f>IF(A696="","",IF(K696="",0,J696*INDEX(Products!$H$5:$H$204,K696)))</f>
        <v/>
      </c>
      <c r="P696" s="11">
        <f>IF(A696="","",J696-M696-N696-O696)</f>
        <v/>
      </c>
    </row>
    <row r="697">
      <c r="A697">
        <f>IFERROR(INDEX('Etsy Import'!$A:$CZ,697,Settings!$C$20)&amp;"","")</f>
        <v/>
      </c>
      <c r="B697">
        <f>IFERROR(INDEX('Etsy Import'!$A:$CZ,697,Settings!$C$21)&amp;"","")</f>
        <v/>
      </c>
      <c r="C697">
        <f>IFERROR(INDEX('Etsy Import'!$A:$CZ,697,Settings!$C$22)&amp;"","")</f>
        <v/>
      </c>
      <c r="D697">
        <f>IF(A697="","",IFERROR(VALUE(SUBSTITUTE(SUBSTITUTE(INDEX('Etsy Import'!$A:$CZ,697,Settings!$C$23)&amp;"","$",""),",","")),0))</f>
        <v/>
      </c>
      <c r="E697" s="11">
        <f>IF(A697="","",IFERROR(VALUE(SUBSTITUTE(SUBSTITUTE(INDEX('Etsy Import'!$A:$CZ,697,Settings!$C$24)&amp;"","$",""),",","")),0))</f>
        <v/>
      </c>
      <c r="F697" s="11">
        <f>IF(A697="","",D697*E697)</f>
        <v/>
      </c>
      <c r="G697">
        <f>IF(A697="","",IF(C697="",1,COUNTIF($C$2:$C$1501,C697)))</f>
        <v/>
      </c>
      <c r="H697" s="11">
        <f>IF(A697="","",IFERROR(VALUE(SUBSTITUTE(SUBSTITUTE(INDEX('Etsy Import'!$A:$CZ,697,Settings!$C$25)&amp;"","$",""),",","")),0)/IF(Settings!$B$27="Yes",G697,1))</f>
        <v/>
      </c>
      <c r="I697" s="11">
        <f>IF(A697="","",IFERROR(VALUE(SUBSTITUTE(SUBSTITUTE(INDEX('Etsy Import'!$A:$CZ,697,Settings!$C$26)&amp;"","$",""),",","")),0)/IF(Settings!$B$27="Yes",G697,1))</f>
        <v/>
      </c>
      <c r="J697" s="11">
        <f>IF(A697="","",F697+H697-I697)</f>
        <v/>
      </c>
      <c r="K697">
        <f>IF(A697="","",IFERROR(IF(B697="",NA(),MATCH(B697,Products!$B$5:$B$204,0)),IFERROR(MATCH(A697,Products!$A$5:$A$204,0),"")))</f>
        <v/>
      </c>
      <c r="L697">
        <f>IF(A697="","",IF(K697="","⚠ not in Products",INDEX(Products!$A$5:$A$204,K697)))</f>
        <v/>
      </c>
      <c r="M697" s="11">
        <f>IF(A697="","",J697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697+IFERROR(INDEX(Settings!$D$5:$D$9,MATCH("Etsy",Settings!$A$5:$A$9,0)),0)*D697)</f>
        <v/>
      </c>
      <c r="N697" s="11">
        <f>IF(A697="","",IF(K697="",0,D697*INDEX(Products!$I$5:$I$204,K697)))</f>
        <v/>
      </c>
      <c r="O697" s="11">
        <f>IF(A697="","",IF(K697="",0,J697*INDEX(Products!$H$5:$H$204,K697)))</f>
        <v/>
      </c>
      <c r="P697" s="11">
        <f>IF(A697="","",J697-M697-N697-O697)</f>
        <v/>
      </c>
    </row>
    <row r="698">
      <c r="A698">
        <f>IFERROR(INDEX('Etsy Import'!$A:$CZ,698,Settings!$C$20)&amp;"","")</f>
        <v/>
      </c>
      <c r="B698">
        <f>IFERROR(INDEX('Etsy Import'!$A:$CZ,698,Settings!$C$21)&amp;"","")</f>
        <v/>
      </c>
      <c r="C698">
        <f>IFERROR(INDEX('Etsy Import'!$A:$CZ,698,Settings!$C$22)&amp;"","")</f>
        <v/>
      </c>
      <c r="D698">
        <f>IF(A698="","",IFERROR(VALUE(SUBSTITUTE(SUBSTITUTE(INDEX('Etsy Import'!$A:$CZ,698,Settings!$C$23)&amp;"","$",""),",","")),0))</f>
        <v/>
      </c>
      <c r="E698" s="11">
        <f>IF(A698="","",IFERROR(VALUE(SUBSTITUTE(SUBSTITUTE(INDEX('Etsy Import'!$A:$CZ,698,Settings!$C$24)&amp;"","$",""),",","")),0))</f>
        <v/>
      </c>
      <c r="F698" s="11">
        <f>IF(A698="","",D698*E698)</f>
        <v/>
      </c>
      <c r="G698">
        <f>IF(A698="","",IF(C698="",1,COUNTIF($C$2:$C$1501,C698)))</f>
        <v/>
      </c>
      <c r="H698" s="11">
        <f>IF(A698="","",IFERROR(VALUE(SUBSTITUTE(SUBSTITUTE(INDEX('Etsy Import'!$A:$CZ,698,Settings!$C$25)&amp;"","$",""),",","")),0)/IF(Settings!$B$27="Yes",G698,1))</f>
        <v/>
      </c>
      <c r="I698" s="11">
        <f>IF(A698="","",IFERROR(VALUE(SUBSTITUTE(SUBSTITUTE(INDEX('Etsy Import'!$A:$CZ,698,Settings!$C$26)&amp;"","$",""),",","")),0)/IF(Settings!$B$27="Yes",G698,1))</f>
        <v/>
      </c>
      <c r="J698" s="11">
        <f>IF(A698="","",F698+H698-I698)</f>
        <v/>
      </c>
      <c r="K698">
        <f>IF(A698="","",IFERROR(IF(B698="",NA(),MATCH(B698,Products!$B$5:$B$204,0)),IFERROR(MATCH(A698,Products!$A$5:$A$204,0),"")))</f>
        <v/>
      </c>
      <c r="L698">
        <f>IF(A698="","",IF(K698="","⚠ not in Products",INDEX(Products!$A$5:$A$204,K698)))</f>
        <v/>
      </c>
      <c r="M698" s="11">
        <f>IF(A698="","",J698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698+IFERROR(INDEX(Settings!$D$5:$D$9,MATCH("Etsy",Settings!$A$5:$A$9,0)),0)*D698)</f>
        <v/>
      </c>
      <c r="N698" s="11">
        <f>IF(A698="","",IF(K698="",0,D698*INDEX(Products!$I$5:$I$204,K698)))</f>
        <v/>
      </c>
      <c r="O698" s="11">
        <f>IF(A698="","",IF(K698="",0,J698*INDEX(Products!$H$5:$H$204,K698)))</f>
        <v/>
      </c>
      <c r="P698" s="11">
        <f>IF(A698="","",J698-M698-N698-O698)</f>
        <v/>
      </c>
    </row>
    <row r="699">
      <c r="A699">
        <f>IFERROR(INDEX('Etsy Import'!$A:$CZ,699,Settings!$C$20)&amp;"","")</f>
        <v/>
      </c>
      <c r="B699">
        <f>IFERROR(INDEX('Etsy Import'!$A:$CZ,699,Settings!$C$21)&amp;"","")</f>
        <v/>
      </c>
      <c r="C699">
        <f>IFERROR(INDEX('Etsy Import'!$A:$CZ,699,Settings!$C$22)&amp;"","")</f>
        <v/>
      </c>
      <c r="D699">
        <f>IF(A699="","",IFERROR(VALUE(SUBSTITUTE(SUBSTITUTE(INDEX('Etsy Import'!$A:$CZ,699,Settings!$C$23)&amp;"","$",""),",","")),0))</f>
        <v/>
      </c>
      <c r="E699" s="11">
        <f>IF(A699="","",IFERROR(VALUE(SUBSTITUTE(SUBSTITUTE(INDEX('Etsy Import'!$A:$CZ,699,Settings!$C$24)&amp;"","$",""),",","")),0))</f>
        <v/>
      </c>
      <c r="F699" s="11">
        <f>IF(A699="","",D699*E699)</f>
        <v/>
      </c>
      <c r="G699">
        <f>IF(A699="","",IF(C699="",1,COUNTIF($C$2:$C$1501,C699)))</f>
        <v/>
      </c>
      <c r="H699" s="11">
        <f>IF(A699="","",IFERROR(VALUE(SUBSTITUTE(SUBSTITUTE(INDEX('Etsy Import'!$A:$CZ,699,Settings!$C$25)&amp;"","$",""),",","")),0)/IF(Settings!$B$27="Yes",G699,1))</f>
        <v/>
      </c>
      <c r="I699" s="11">
        <f>IF(A699="","",IFERROR(VALUE(SUBSTITUTE(SUBSTITUTE(INDEX('Etsy Import'!$A:$CZ,699,Settings!$C$26)&amp;"","$",""),",","")),0)/IF(Settings!$B$27="Yes",G699,1))</f>
        <v/>
      </c>
      <c r="J699" s="11">
        <f>IF(A699="","",F699+H699-I699)</f>
        <v/>
      </c>
      <c r="K699">
        <f>IF(A699="","",IFERROR(IF(B699="",NA(),MATCH(B699,Products!$B$5:$B$204,0)),IFERROR(MATCH(A699,Products!$A$5:$A$204,0),"")))</f>
        <v/>
      </c>
      <c r="L699">
        <f>IF(A699="","",IF(K699="","⚠ not in Products",INDEX(Products!$A$5:$A$204,K699)))</f>
        <v/>
      </c>
      <c r="M699" s="11">
        <f>IF(A699="","",J699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699+IFERROR(INDEX(Settings!$D$5:$D$9,MATCH("Etsy",Settings!$A$5:$A$9,0)),0)*D699)</f>
        <v/>
      </c>
      <c r="N699" s="11">
        <f>IF(A699="","",IF(K699="",0,D699*INDEX(Products!$I$5:$I$204,K699)))</f>
        <v/>
      </c>
      <c r="O699" s="11">
        <f>IF(A699="","",IF(K699="",0,J699*INDEX(Products!$H$5:$H$204,K699)))</f>
        <v/>
      </c>
      <c r="P699" s="11">
        <f>IF(A699="","",J699-M699-N699-O699)</f>
        <v/>
      </c>
    </row>
    <row r="700">
      <c r="A700">
        <f>IFERROR(INDEX('Etsy Import'!$A:$CZ,700,Settings!$C$20)&amp;"","")</f>
        <v/>
      </c>
      <c r="B700">
        <f>IFERROR(INDEX('Etsy Import'!$A:$CZ,700,Settings!$C$21)&amp;"","")</f>
        <v/>
      </c>
      <c r="C700">
        <f>IFERROR(INDEX('Etsy Import'!$A:$CZ,700,Settings!$C$22)&amp;"","")</f>
        <v/>
      </c>
      <c r="D700">
        <f>IF(A700="","",IFERROR(VALUE(SUBSTITUTE(SUBSTITUTE(INDEX('Etsy Import'!$A:$CZ,700,Settings!$C$23)&amp;"","$",""),",","")),0))</f>
        <v/>
      </c>
      <c r="E700" s="11">
        <f>IF(A700="","",IFERROR(VALUE(SUBSTITUTE(SUBSTITUTE(INDEX('Etsy Import'!$A:$CZ,700,Settings!$C$24)&amp;"","$",""),",","")),0))</f>
        <v/>
      </c>
      <c r="F700" s="11">
        <f>IF(A700="","",D700*E700)</f>
        <v/>
      </c>
      <c r="G700">
        <f>IF(A700="","",IF(C700="",1,COUNTIF($C$2:$C$1501,C700)))</f>
        <v/>
      </c>
      <c r="H700" s="11">
        <f>IF(A700="","",IFERROR(VALUE(SUBSTITUTE(SUBSTITUTE(INDEX('Etsy Import'!$A:$CZ,700,Settings!$C$25)&amp;"","$",""),",","")),0)/IF(Settings!$B$27="Yes",G700,1))</f>
        <v/>
      </c>
      <c r="I700" s="11">
        <f>IF(A700="","",IFERROR(VALUE(SUBSTITUTE(SUBSTITUTE(INDEX('Etsy Import'!$A:$CZ,700,Settings!$C$26)&amp;"","$",""),",","")),0)/IF(Settings!$B$27="Yes",G700,1))</f>
        <v/>
      </c>
      <c r="J700" s="11">
        <f>IF(A700="","",F700+H700-I700)</f>
        <v/>
      </c>
      <c r="K700">
        <f>IF(A700="","",IFERROR(IF(B700="",NA(),MATCH(B700,Products!$B$5:$B$204,0)),IFERROR(MATCH(A700,Products!$A$5:$A$204,0),"")))</f>
        <v/>
      </c>
      <c r="L700">
        <f>IF(A700="","",IF(K700="","⚠ not in Products",INDEX(Products!$A$5:$A$204,K700)))</f>
        <v/>
      </c>
      <c r="M700" s="11">
        <f>IF(A700="","",J700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700+IFERROR(INDEX(Settings!$D$5:$D$9,MATCH("Etsy",Settings!$A$5:$A$9,0)),0)*D700)</f>
        <v/>
      </c>
      <c r="N700" s="11">
        <f>IF(A700="","",IF(K700="",0,D700*INDEX(Products!$I$5:$I$204,K700)))</f>
        <v/>
      </c>
      <c r="O700" s="11">
        <f>IF(A700="","",IF(K700="",0,J700*INDEX(Products!$H$5:$H$204,K700)))</f>
        <v/>
      </c>
      <c r="P700" s="11">
        <f>IF(A700="","",J700-M700-N700-O700)</f>
        <v/>
      </c>
    </row>
    <row r="701">
      <c r="A701">
        <f>IFERROR(INDEX('Etsy Import'!$A:$CZ,701,Settings!$C$20)&amp;"","")</f>
        <v/>
      </c>
      <c r="B701">
        <f>IFERROR(INDEX('Etsy Import'!$A:$CZ,701,Settings!$C$21)&amp;"","")</f>
        <v/>
      </c>
      <c r="C701">
        <f>IFERROR(INDEX('Etsy Import'!$A:$CZ,701,Settings!$C$22)&amp;"","")</f>
        <v/>
      </c>
      <c r="D701">
        <f>IF(A701="","",IFERROR(VALUE(SUBSTITUTE(SUBSTITUTE(INDEX('Etsy Import'!$A:$CZ,701,Settings!$C$23)&amp;"","$",""),",","")),0))</f>
        <v/>
      </c>
      <c r="E701" s="11">
        <f>IF(A701="","",IFERROR(VALUE(SUBSTITUTE(SUBSTITUTE(INDEX('Etsy Import'!$A:$CZ,701,Settings!$C$24)&amp;"","$",""),",","")),0))</f>
        <v/>
      </c>
      <c r="F701" s="11">
        <f>IF(A701="","",D701*E701)</f>
        <v/>
      </c>
      <c r="G701">
        <f>IF(A701="","",IF(C701="",1,COUNTIF($C$2:$C$1501,C701)))</f>
        <v/>
      </c>
      <c r="H701" s="11">
        <f>IF(A701="","",IFERROR(VALUE(SUBSTITUTE(SUBSTITUTE(INDEX('Etsy Import'!$A:$CZ,701,Settings!$C$25)&amp;"","$",""),",","")),0)/IF(Settings!$B$27="Yes",G701,1))</f>
        <v/>
      </c>
      <c r="I701" s="11">
        <f>IF(A701="","",IFERROR(VALUE(SUBSTITUTE(SUBSTITUTE(INDEX('Etsy Import'!$A:$CZ,701,Settings!$C$26)&amp;"","$",""),",","")),0)/IF(Settings!$B$27="Yes",G701,1))</f>
        <v/>
      </c>
      <c r="J701" s="11">
        <f>IF(A701="","",F701+H701-I701)</f>
        <v/>
      </c>
      <c r="K701">
        <f>IF(A701="","",IFERROR(IF(B701="",NA(),MATCH(B701,Products!$B$5:$B$204,0)),IFERROR(MATCH(A701,Products!$A$5:$A$204,0),"")))</f>
        <v/>
      </c>
      <c r="L701">
        <f>IF(A701="","",IF(K701="","⚠ not in Products",INDEX(Products!$A$5:$A$204,K701)))</f>
        <v/>
      </c>
      <c r="M701" s="11">
        <f>IF(A701="","",J701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701+IFERROR(INDEX(Settings!$D$5:$D$9,MATCH("Etsy",Settings!$A$5:$A$9,0)),0)*D701)</f>
        <v/>
      </c>
      <c r="N701" s="11">
        <f>IF(A701="","",IF(K701="",0,D701*INDEX(Products!$I$5:$I$204,K701)))</f>
        <v/>
      </c>
      <c r="O701" s="11">
        <f>IF(A701="","",IF(K701="",0,J701*INDEX(Products!$H$5:$H$204,K701)))</f>
        <v/>
      </c>
      <c r="P701" s="11">
        <f>IF(A701="","",J701-M701-N701-O701)</f>
        <v/>
      </c>
    </row>
    <row r="702">
      <c r="A702">
        <f>IFERROR(INDEX('Etsy Import'!$A:$CZ,702,Settings!$C$20)&amp;"","")</f>
        <v/>
      </c>
      <c r="B702">
        <f>IFERROR(INDEX('Etsy Import'!$A:$CZ,702,Settings!$C$21)&amp;"","")</f>
        <v/>
      </c>
      <c r="C702">
        <f>IFERROR(INDEX('Etsy Import'!$A:$CZ,702,Settings!$C$22)&amp;"","")</f>
        <v/>
      </c>
      <c r="D702">
        <f>IF(A702="","",IFERROR(VALUE(SUBSTITUTE(SUBSTITUTE(INDEX('Etsy Import'!$A:$CZ,702,Settings!$C$23)&amp;"","$",""),",","")),0))</f>
        <v/>
      </c>
      <c r="E702" s="11">
        <f>IF(A702="","",IFERROR(VALUE(SUBSTITUTE(SUBSTITUTE(INDEX('Etsy Import'!$A:$CZ,702,Settings!$C$24)&amp;"","$",""),",","")),0))</f>
        <v/>
      </c>
      <c r="F702" s="11">
        <f>IF(A702="","",D702*E702)</f>
        <v/>
      </c>
      <c r="G702">
        <f>IF(A702="","",IF(C702="",1,COUNTIF($C$2:$C$1501,C702)))</f>
        <v/>
      </c>
      <c r="H702" s="11">
        <f>IF(A702="","",IFERROR(VALUE(SUBSTITUTE(SUBSTITUTE(INDEX('Etsy Import'!$A:$CZ,702,Settings!$C$25)&amp;"","$",""),",","")),0)/IF(Settings!$B$27="Yes",G702,1))</f>
        <v/>
      </c>
      <c r="I702" s="11">
        <f>IF(A702="","",IFERROR(VALUE(SUBSTITUTE(SUBSTITUTE(INDEX('Etsy Import'!$A:$CZ,702,Settings!$C$26)&amp;"","$",""),",","")),0)/IF(Settings!$B$27="Yes",G702,1))</f>
        <v/>
      </c>
      <c r="J702" s="11">
        <f>IF(A702="","",F702+H702-I702)</f>
        <v/>
      </c>
      <c r="K702">
        <f>IF(A702="","",IFERROR(IF(B702="",NA(),MATCH(B702,Products!$B$5:$B$204,0)),IFERROR(MATCH(A702,Products!$A$5:$A$204,0),"")))</f>
        <v/>
      </c>
      <c r="L702">
        <f>IF(A702="","",IF(K702="","⚠ not in Products",INDEX(Products!$A$5:$A$204,K702)))</f>
        <v/>
      </c>
      <c r="M702" s="11">
        <f>IF(A702="","",J702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702+IFERROR(INDEX(Settings!$D$5:$D$9,MATCH("Etsy",Settings!$A$5:$A$9,0)),0)*D702)</f>
        <v/>
      </c>
      <c r="N702" s="11">
        <f>IF(A702="","",IF(K702="",0,D702*INDEX(Products!$I$5:$I$204,K702)))</f>
        <v/>
      </c>
      <c r="O702" s="11">
        <f>IF(A702="","",IF(K702="",0,J702*INDEX(Products!$H$5:$H$204,K702)))</f>
        <v/>
      </c>
      <c r="P702" s="11">
        <f>IF(A702="","",J702-M702-N702-O702)</f>
        <v/>
      </c>
    </row>
    <row r="703">
      <c r="A703">
        <f>IFERROR(INDEX('Etsy Import'!$A:$CZ,703,Settings!$C$20)&amp;"","")</f>
        <v/>
      </c>
      <c r="B703">
        <f>IFERROR(INDEX('Etsy Import'!$A:$CZ,703,Settings!$C$21)&amp;"","")</f>
        <v/>
      </c>
      <c r="C703">
        <f>IFERROR(INDEX('Etsy Import'!$A:$CZ,703,Settings!$C$22)&amp;"","")</f>
        <v/>
      </c>
      <c r="D703">
        <f>IF(A703="","",IFERROR(VALUE(SUBSTITUTE(SUBSTITUTE(INDEX('Etsy Import'!$A:$CZ,703,Settings!$C$23)&amp;"","$",""),",","")),0))</f>
        <v/>
      </c>
      <c r="E703" s="11">
        <f>IF(A703="","",IFERROR(VALUE(SUBSTITUTE(SUBSTITUTE(INDEX('Etsy Import'!$A:$CZ,703,Settings!$C$24)&amp;"","$",""),",","")),0))</f>
        <v/>
      </c>
      <c r="F703" s="11">
        <f>IF(A703="","",D703*E703)</f>
        <v/>
      </c>
      <c r="G703">
        <f>IF(A703="","",IF(C703="",1,COUNTIF($C$2:$C$1501,C703)))</f>
        <v/>
      </c>
      <c r="H703" s="11">
        <f>IF(A703="","",IFERROR(VALUE(SUBSTITUTE(SUBSTITUTE(INDEX('Etsy Import'!$A:$CZ,703,Settings!$C$25)&amp;"","$",""),",","")),0)/IF(Settings!$B$27="Yes",G703,1))</f>
        <v/>
      </c>
      <c r="I703" s="11">
        <f>IF(A703="","",IFERROR(VALUE(SUBSTITUTE(SUBSTITUTE(INDEX('Etsy Import'!$A:$CZ,703,Settings!$C$26)&amp;"","$",""),",","")),0)/IF(Settings!$B$27="Yes",G703,1))</f>
        <v/>
      </c>
      <c r="J703" s="11">
        <f>IF(A703="","",F703+H703-I703)</f>
        <v/>
      </c>
      <c r="K703">
        <f>IF(A703="","",IFERROR(IF(B703="",NA(),MATCH(B703,Products!$B$5:$B$204,0)),IFERROR(MATCH(A703,Products!$A$5:$A$204,0),"")))</f>
        <v/>
      </c>
      <c r="L703">
        <f>IF(A703="","",IF(K703="","⚠ not in Products",INDEX(Products!$A$5:$A$204,K703)))</f>
        <v/>
      </c>
      <c r="M703" s="11">
        <f>IF(A703="","",J703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703+IFERROR(INDEX(Settings!$D$5:$D$9,MATCH("Etsy",Settings!$A$5:$A$9,0)),0)*D703)</f>
        <v/>
      </c>
      <c r="N703" s="11">
        <f>IF(A703="","",IF(K703="",0,D703*INDEX(Products!$I$5:$I$204,K703)))</f>
        <v/>
      </c>
      <c r="O703" s="11">
        <f>IF(A703="","",IF(K703="",0,J703*INDEX(Products!$H$5:$H$204,K703)))</f>
        <v/>
      </c>
      <c r="P703" s="11">
        <f>IF(A703="","",J703-M703-N703-O703)</f>
        <v/>
      </c>
    </row>
    <row r="704">
      <c r="A704">
        <f>IFERROR(INDEX('Etsy Import'!$A:$CZ,704,Settings!$C$20)&amp;"","")</f>
        <v/>
      </c>
      <c r="B704">
        <f>IFERROR(INDEX('Etsy Import'!$A:$CZ,704,Settings!$C$21)&amp;"","")</f>
        <v/>
      </c>
      <c r="C704">
        <f>IFERROR(INDEX('Etsy Import'!$A:$CZ,704,Settings!$C$22)&amp;"","")</f>
        <v/>
      </c>
      <c r="D704">
        <f>IF(A704="","",IFERROR(VALUE(SUBSTITUTE(SUBSTITUTE(INDEX('Etsy Import'!$A:$CZ,704,Settings!$C$23)&amp;"","$",""),",","")),0))</f>
        <v/>
      </c>
      <c r="E704" s="11">
        <f>IF(A704="","",IFERROR(VALUE(SUBSTITUTE(SUBSTITUTE(INDEX('Etsy Import'!$A:$CZ,704,Settings!$C$24)&amp;"","$",""),",","")),0))</f>
        <v/>
      </c>
      <c r="F704" s="11">
        <f>IF(A704="","",D704*E704)</f>
        <v/>
      </c>
      <c r="G704">
        <f>IF(A704="","",IF(C704="",1,COUNTIF($C$2:$C$1501,C704)))</f>
        <v/>
      </c>
      <c r="H704" s="11">
        <f>IF(A704="","",IFERROR(VALUE(SUBSTITUTE(SUBSTITUTE(INDEX('Etsy Import'!$A:$CZ,704,Settings!$C$25)&amp;"","$",""),",","")),0)/IF(Settings!$B$27="Yes",G704,1))</f>
        <v/>
      </c>
      <c r="I704" s="11">
        <f>IF(A704="","",IFERROR(VALUE(SUBSTITUTE(SUBSTITUTE(INDEX('Etsy Import'!$A:$CZ,704,Settings!$C$26)&amp;"","$",""),",","")),0)/IF(Settings!$B$27="Yes",G704,1))</f>
        <v/>
      </c>
      <c r="J704" s="11">
        <f>IF(A704="","",F704+H704-I704)</f>
        <v/>
      </c>
      <c r="K704">
        <f>IF(A704="","",IFERROR(IF(B704="",NA(),MATCH(B704,Products!$B$5:$B$204,0)),IFERROR(MATCH(A704,Products!$A$5:$A$204,0),"")))</f>
        <v/>
      </c>
      <c r="L704">
        <f>IF(A704="","",IF(K704="","⚠ not in Products",INDEX(Products!$A$5:$A$204,K704)))</f>
        <v/>
      </c>
      <c r="M704" s="11">
        <f>IF(A704="","",J704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704+IFERROR(INDEX(Settings!$D$5:$D$9,MATCH("Etsy",Settings!$A$5:$A$9,0)),0)*D704)</f>
        <v/>
      </c>
      <c r="N704" s="11">
        <f>IF(A704="","",IF(K704="",0,D704*INDEX(Products!$I$5:$I$204,K704)))</f>
        <v/>
      </c>
      <c r="O704" s="11">
        <f>IF(A704="","",IF(K704="",0,J704*INDEX(Products!$H$5:$H$204,K704)))</f>
        <v/>
      </c>
      <c r="P704" s="11">
        <f>IF(A704="","",J704-M704-N704-O704)</f>
        <v/>
      </c>
    </row>
    <row r="705">
      <c r="A705">
        <f>IFERROR(INDEX('Etsy Import'!$A:$CZ,705,Settings!$C$20)&amp;"","")</f>
        <v/>
      </c>
      <c r="B705">
        <f>IFERROR(INDEX('Etsy Import'!$A:$CZ,705,Settings!$C$21)&amp;"","")</f>
        <v/>
      </c>
      <c r="C705">
        <f>IFERROR(INDEX('Etsy Import'!$A:$CZ,705,Settings!$C$22)&amp;"","")</f>
        <v/>
      </c>
      <c r="D705">
        <f>IF(A705="","",IFERROR(VALUE(SUBSTITUTE(SUBSTITUTE(INDEX('Etsy Import'!$A:$CZ,705,Settings!$C$23)&amp;"","$",""),",","")),0))</f>
        <v/>
      </c>
      <c r="E705" s="11">
        <f>IF(A705="","",IFERROR(VALUE(SUBSTITUTE(SUBSTITUTE(INDEX('Etsy Import'!$A:$CZ,705,Settings!$C$24)&amp;"","$",""),",","")),0))</f>
        <v/>
      </c>
      <c r="F705" s="11">
        <f>IF(A705="","",D705*E705)</f>
        <v/>
      </c>
      <c r="G705">
        <f>IF(A705="","",IF(C705="",1,COUNTIF($C$2:$C$1501,C705)))</f>
        <v/>
      </c>
      <c r="H705" s="11">
        <f>IF(A705="","",IFERROR(VALUE(SUBSTITUTE(SUBSTITUTE(INDEX('Etsy Import'!$A:$CZ,705,Settings!$C$25)&amp;"","$",""),",","")),0)/IF(Settings!$B$27="Yes",G705,1))</f>
        <v/>
      </c>
      <c r="I705" s="11">
        <f>IF(A705="","",IFERROR(VALUE(SUBSTITUTE(SUBSTITUTE(INDEX('Etsy Import'!$A:$CZ,705,Settings!$C$26)&amp;"","$",""),",","")),0)/IF(Settings!$B$27="Yes",G705,1))</f>
        <v/>
      </c>
      <c r="J705" s="11">
        <f>IF(A705="","",F705+H705-I705)</f>
        <v/>
      </c>
      <c r="K705">
        <f>IF(A705="","",IFERROR(IF(B705="",NA(),MATCH(B705,Products!$B$5:$B$204,0)),IFERROR(MATCH(A705,Products!$A$5:$A$204,0),"")))</f>
        <v/>
      </c>
      <c r="L705">
        <f>IF(A705="","",IF(K705="","⚠ not in Products",INDEX(Products!$A$5:$A$204,K705)))</f>
        <v/>
      </c>
      <c r="M705" s="11">
        <f>IF(A705="","",J705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705+IFERROR(INDEX(Settings!$D$5:$D$9,MATCH("Etsy",Settings!$A$5:$A$9,0)),0)*D705)</f>
        <v/>
      </c>
      <c r="N705" s="11">
        <f>IF(A705="","",IF(K705="",0,D705*INDEX(Products!$I$5:$I$204,K705)))</f>
        <v/>
      </c>
      <c r="O705" s="11">
        <f>IF(A705="","",IF(K705="",0,J705*INDEX(Products!$H$5:$H$204,K705)))</f>
        <v/>
      </c>
      <c r="P705" s="11">
        <f>IF(A705="","",J705-M705-N705-O705)</f>
        <v/>
      </c>
    </row>
    <row r="706">
      <c r="A706">
        <f>IFERROR(INDEX('Etsy Import'!$A:$CZ,706,Settings!$C$20)&amp;"","")</f>
        <v/>
      </c>
      <c r="B706">
        <f>IFERROR(INDEX('Etsy Import'!$A:$CZ,706,Settings!$C$21)&amp;"","")</f>
        <v/>
      </c>
      <c r="C706">
        <f>IFERROR(INDEX('Etsy Import'!$A:$CZ,706,Settings!$C$22)&amp;"","")</f>
        <v/>
      </c>
      <c r="D706">
        <f>IF(A706="","",IFERROR(VALUE(SUBSTITUTE(SUBSTITUTE(INDEX('Etsy Import'!$A:$CZ,706,Settings!$C$23)&amp;"","$",""),",","")),0))</f>
        <v/>
      </c>
      <c r="E706" s="11">
        <f>IF(A706="","",IFERROR(VALUE(SUBSTITUTE(SUBSTITUTE(INDEX('Etsy Import'!$A:$CZ,706,Settings!$C$24)&amp;"","$",""),",","")),0))</f>
        <v/>
      </c>
      <c r="F706" s="11">
        <f>IF(A706="","",D706*E706)</f>
        <v/>
      </c>
      <c r="G706">
        <f>IF(A706="","",IF(C706="",1,COUNTIF($C$2:$C$1501,C706)))</f>
        <v/>
      </c>
      <c r="H706" s="11">
        <f>IF(A706="","",IFERROR(VALUE(SUBSTITUTE(SUBSTITUTE(INDEX('Etsy Import'!$A:$CZ,706,Settings!$C$25)&amp;"","$",""),",","")),0)/IF(Settings!$B$27="Yes",G706,1))</f>
        <v/>
      </c>
      <c r="I706" s="11">
        <f>IF(A706="","",IFERROR(VALUE(SUBSTITUTE(SUBSTITUTE(INDEX('Etsy Import'!$A:$CZ,706,Settings!$C$26)&amp;"","$",""),",","")),0)/IF(Settings!$B$27="Yes",G706,1))</f>
        <v/>
      </c>
      <c r="J706" s="11">
        <f>IF(A706="","",F706+H706-I706)</f>
        <v/>
      </c>
      <c r="K706">
        <f>IF(A706="","",IFERROR(IF(B706="",NA(),MATCH(B706,Products!$B$5:$B$204,0)),IFERROR(MATCH(A706,Products!$A$5:$A$204,0),"")))</f>
        <v/>
      </c>
      <c r="L706">
        <f>IF(A706="","",IF(K706="","⚠ not in Products",INDEX(Products!$A$5:$A$204,K706)))</f>
        <v/>
      </c>
      <c r="M706" s="11">
        <f>IF(A706="","",J706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706+IFERROR(INDEX(Settings!$D$5:$D$9,MATCH("Etsy",Settings!$A$5:$A$9,0)),0)*D706)</f>
        <v/>
      </c>
      <c r="N706" s="11">
        <f>IF(A706="","",IF(K706="",0,D706*INDEX(Products!$I$5:$I$204,K706)))</f>
        <v/>
      </c>
      <c r="O706" s="11">
        <f>IF(A706="","",IF(K706="",0,J706*INDEX(Products!$H$5:$H$204,K706)))</f>
        <v/>
      </c>
      <c r="P706" s="11">
        <f>IF(A706="","",J706-M706-N706-O706)</f>
        <v/>
      </c>
    </row>
    <row r="707">
      <c r="A707">
        <f>IFERROR(INDEX('Etsy Import'!$A:$CZ,707,Settings!$C$20)&amp;"","")</f>
        <v/>
      </c>
      <c r="B707">
        <f>IFERROR(INDEX('Etsy Import'!$A:$CZ,707,Settings!$C$21)&amp;"","")</f>
        <v/>
      </c>
      <c r="C707">
        <f>IFERROR(INDEX('Etsy Import'!$A:$CZ,707,Settings!$C$22)&amp;"","")</f>
        <v/>
      </c>
      <c r="D707">
        <f>IF(A707="","",IFERROR(VALUE(SUBSTITUTE(SUBSTITUTE(INDEX('Etsy Import'!$A:$CZ,707,Settings!$C$23)&amp;"","$",""),",","")),0))</f>
        <v/>
      </c>
      <c r="E707" s="11">
        <f>IF(A707="","",IFERROR(VALUE(SUBSTITUTE(SUBSTITUTE(INDEX('Etsy Import'!$A:$CZ,707,Settings!$C$24)&amp;"","$",""),",","")),0))</f>
        <v/>
      </c>
      <c r="F707" s="11">
        <f>IF(A707="","",D707*E707)</f>
        <v/>
      </c>
      <c r="G707">
        <f>IF(A707="","",IF(C707="",1,COUNTIF($C$2:$C$1501,C707)))</f>
        <v/>
      </c>
      <c r="H707" s="11">
        <f>IF(A707="","",IFERROR(VALUE(SUBSTITUTE(SUBSTITUTE(INDEX('Etsy Import'!$A:$CZ,707,Settings!$C$25)&amp;"","$",""),",","")),0)/IF(Settings!$B$27="Yes",G707,1))</f>
        <v/>
      </c>
      <c r="I707" s="11">
        <f>IF(A707="","",IFERROR(VALUE(SUBSTITUTE(SUBSTITUTE(INDEX('Etsy Import'!$A:$CZ,707,Settings!$C$26)&amp;"","$",""),",","")),0)/IF(Settings!$B$27="Yes",G707,1))</f>
        <v/>
      </c>
      <c r="J707" s="11">
        <f>IF(A707="","",F707+H707-I707)</f>
        <v/>
      </c>
      <c r="K707">
        <f>IF(A707="","",IFERROR(IF(B707="",NA(),MATCH(B707,Products!$B$5:$B$204,0)),IFERROR(MATCH(A707,Products!$A$5:$A$204,0),"")))</f>
        <v/>
      </c>
      <c r="L707">
        <f>IF(A707="","",IF(K707="","⚠ not in Products",INDEX(Products!$A$5:$A$204,K707)))</f>
        <v/>
      </c>
      <c r="M707" s="11">
        <f>IF(A707="","",J707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707+IFERROR(INDEX(Settings!$D$5:$D$9,MATCH("Etsy",Settings!$A$5:$A$9,0)),0)*D707)</f>
        <v/>
      </c>
      <c r="N707" s="11">
        <f>IF(A707="","",IF(K707="",0,D707*INDEX(Products!$I$5:$I$204,K707)))</f>
        <v/>
      </c>
      <c r="O707" s="11">
        <f>IF(A707="","",IF(K707="",0,J707*INDEX(Products!$H$5:$H$204,K707)))</f>
        <v/>
      </c>
      <c r="P707" s="11">
        <f>IF(A707="","",J707-M707-N707-O707)</f>
        <v/>
      </c>
    </row>
    <row r="708">
      <c r="A708">
        <f>IFERROR(INDEX('Etsy Import'!$A:$CZ,708,Settings!$C$20)&amp;"","")</f>
        <v/>
      </c>
      <c r="B708">
        <f>IFERROR(INDEX('Etsy Import'!$A:$CZ,708,Settings!$C$21)&amp;"","")</f>
        <v/>
      </c>
      <c r="C708">
        <f>IFERROR(INDEX('Etsy Import'!$A:$CZ,708,Settings!$C$22)&amp;"","")</f>
        <v/>
      </c>
      <c r="D708">
        <f>IF(A708="","",IFERROR(VALUE(SUBSTITUTE(SUBSTITUTE(INDEX('Etsy Import'!$A:$CZ,708,Settings!$C$23)&amp;"","$",""),",","")),0))</f>
        <v/>
      </c>
      <c r="E708" s="11">
        <f>IF(A708="","",IFERROR(VALUE(SUBSTITUTE(SUBSTITUTE(INDEX('Etsy Import'!$A:$CZ,708,Settings!$C$24)&amp;"","$",""),",","")),0))</f>
        <v/>
      </c>
      <c r="F708" s="11">
        <f>IF(A708="","",D708*E708)</f>
        <v/>
      </c>
      <c r="G708">
        <f>IF(A708="","",IF(C708="",1,COUNTIF($C$2:$C$1501,C708)))</f>
        <v/>
      </c>
      <c r="H708" s="11">
        <f>IF(A708="","",IFERROR(VALUE(SUBSTITUTE(SUBSTITUTE(INDEX('Etsy Import'!$A:$CZ,708,Settings!$C$25)&amp;"","$",""),",","")),0)/IF(Settings!$B$27="Yes",G708,1))</f>
        <v/>
      </c>
      <c r="I708" s="11">
        <f>IF(A708="","",IFERROR(VALUE(SUBSTITUTE(SUBSTITUTE(INDEX('Etsy Import'!$A:$CZ,708,Settings!$C$26)&amp;"","$",""),",","")),0)/IF(Settings!$B$27="Yes",G708,1))</f>
        <v/>
      </c>
      <c r="J708" s="11">
        <f>IF(A708="","",F708+H708-I708)</f>
        <v/>
      </c>
      <c r="K708">
        <f>IF(A708="","",IFERROR(IF(B708="",NA(),MATCH(B708,Products!$B$5:$B$204,0)),IFERROR(MATCH(A708,Products!$A$5:$A$204,0),"")))</f>
        <v/>
      </c>
      <c r="L708">
        <f>IF(A708="","",IF(K708="","⚠ not in Products",INDEX(Products!$A$5:$A$204,K708)))</f>
        <v/>
      </c>
      <c r="M708" s="11">
        <f>IF(A708="","",J708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708+IFERROR(INDEX(Settings!$D$5:$D$9,MATCH("Etsy",Settings!$A$5:$A$9,0)),0)*D708)</f>
        <v/>
      </c>
      <c r="N708" s="11">
        <f>IF(A708="","",IF(K708="",0,D708*INDEX(Products!$I$5:$I$204,K708)))</f>
        <v/>
      </c>
      <c r="O708" s="11">
        <f>IF(A708="","",IF(K708="",0,J708*INDEX(Products!$H$5:$H$204,K708)))</f>
        <v/>
      </c>
      <c r="P708" s="11">
        <f>IF(A708="","",J708-M708-N708-O708)</f>
        <v/>
      </c>
    </row>
    <row r="709">
      <c r="A709">
        <f>IFERROR(INDEX('Etsy Import'!$A:$CZ,709,Settings!$C$20)&amp;"","")</f>
        <v/>
      </c>
      <c r="B709">
        <f>IFERROR(INDEX('Etsy Import'!$A:$CZ,709,Settings!$C$21)&amp;"","")</f>
        <v/>
      </c>
      <c r="C709">
        <f>IFERROR(INDEX('Etsy Import'!$A:$CZ,709,Settings!$C$22)&amp;"","")</f>
        <v/>
      </c>
      <c r="D709">
        <f>IF(A709="","",IFERROR(VALUE(SUBSTITUTE(SUBSTITUTE(INDEX('Etsy Import'!$A:$CZ,709,Settings!$C$23)&amp;"","$",""),",","")),0))</f>
        <v/>
      </c>
      <c r="E709" s="11">
        <f>IF(A709="","",IFERROR(VALUE(SUBSTITUTE(SUBSTITUTE(INDEX('Etsy Import'!$A:$CZ,709,Settings!$C$24)&amp;"","$",""),",","")),0))</f>
        <v/>
      </c>
      <c r="F709" s="11">
        <f>IF(A709="","",D709*E709)</f>
        <v/>
      </c>
      <c r="G709">
        <f>IF(A709="","",IF(C709="",1,COUNTIF($C$2:$C$1501,C709)))</f>
        <v/>
      </c>
      <c r="H709" s="11">
        <f>IF(A709="","",IFERROR(VALUE(SUBSTITUTE(SUBSTITUTE(INDEX('Etsy Import'!$A:$CZ,709,Settings!$C$25)&amp;"","$",""),",","")),0)/IF(Settings!$B$27="Yes",G709,1))</f>
        <v/>
      </c>
      <c r="I709" s="11">
        <f>IF(A709="","",IFERROR(VALUE(SUBSTITUTE(SUBSTITUTE(INDEX('Etsy Import'!$A:$CZ,709,Settings!$C$26)&amp;"","$",""),",","")),0)/IF(Settings!$B$27="Yes",G709,1))</f>
        <v/>
      </c>
      <c r="J709" s="11">
        <f>IF(A709="","",F709+H709-I709)</f>
        <v/>
      </c>
      <c r="K709">
        <f>IF(A709="","",IFERROR(IF(B709="",NA(),MATCH(B709,Products!$B$5:$B$204,0)),IFERROR(MATCH(A709,Products!$A$5:$A$204,0),"")))</f>
        <v/>
      </c>
      <c r="L709">
        <f>IF(A709="","",IF(K709="","⚠ not in Products",INDEX(Products!$A$5:$A$204,K709)))</f>
        <v/>
      </c>
      <c r="M709" s="11">
        <f>IF(A709="","",J709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709+IFERROR(INDEX(Settings!$D$5:$D$9,MATCH("Etsy",Settings!$A$5:$A$9,0)),0)*D709)</f>
        <v/>
      </c>
      <c r="N709" s="11">
        <f>IF(A709="","",IF(K709="",0,D709*INDEX(Products!$I$5:$I$204,K709)))</f>
        <v/>
      </c>
      <c r="O709" s="11">
        <f>IF(A709="","",IF(K709="",0,J709*INDEX(Products!$H$5:$H$204,K709)))</f>
        <v/>
      </c>
      <c r="P709" s="11">
        <f>IF(A709="","",J709-M709-N709-O709)</f>
        <v/>
      </c>
    </row>
    <row r="710">
      <c r="A710">
        <f>IFERROR(INDEX('Etsy Import'!$A:$CZ,710,Settings!$C$20)&amp;"","")</f>
        <v/>
      </c>
      <c r="B710">
        <f>IFERROR(INDEX('Etsy Import'!$A:$CZ,710,Settings!$C$21)&amp;"","")</f>
        <v/>
      </c>
      <c r="C710">
        <f>IFERROR(INDEX('Etsy Import'!$A:$CZ,710,Settings!$C$22)&amp;"","")</f>
        <v/>
      </c>
      <c r="D710">
        <f>IF(A710="","",IFERROR(VALUE(SUBSTITUTE(SUBSTITUTE(INDEX('Etsy Import'!$A:$CZ,710,Settings!$C$23)&amp;"","$",""),",","")),0))</f>
        <v/>
      </c>
      <c r="E710" s="11">
        <f>IF(A710="","",IFERROR(VALUE(SUBSTITUTE(SUBSTITUTE(INDEX('Etsy Import'!$A:$CZ,710,Settings!$C$24)&amp;"","$",""),",","")),0))</f>
        <v/>
      </c>
      <c r="F710" s="11">
        <f>IF(A710="","",D710*E710)</f>
        <v/>
      </c>
      <c r="G710">
        <f>IF(A710="","",IF(C710="",1,COUNTIF($C$2:$C$1501,C710)))</f>
        <v/>
      </c>
      <c r="H710" s="11">
        <f>IF(A710="","",IFERROR(VALUE(SUBSTITUTE(SUBSTITUTE(INDEX('Etsy Import'!$A:$CZ,710,Settings!$C$25)&amp;"","$",""),",","")),0)/IF(Settings!$B$27="Yes",G710,1))</f>
        <v/>
      </c>
      <c r="I710" s="11">
        <f>IF(A710="","",IFERROR(VALUE(SUBSTITUTE(SUBSTITUTE(INDEX('Etsy Import'!$A:$CZ,710,Settings!$C$26)&amp;"","$",""),",","")),0)/IF(Settings!$B$27="Yes",G710,1))</f>
        <v/>
      </c>
      <c r="J710" s="11">
        <f>IF(A710="","",F710+H710-I710)</f>
        <v/>
      </c>
      <c r="K710">
        <f>IF(A710="","",IFERROR(IF(B710="",NA(),MATCH(B710,Products!$B$5:$B$204,0)),IFERROR(MATCH(A710,Products!$A$5:$A$204,0),"")))</f>
        <v/>
      </c>
      <c r="L710">
        <f>IF(A710="","",IF(K710="","⚠ not in Products",INDEX(Products!$A$5:$A$204,K710)))</f>
        <v/>
      </c>
      <c r="M710" s="11">
        <f>IF(A710="","",J710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710+IFERROR(INDEX(Settings!$D$5:$D$9,MATCH("Etsy",Settings!$A$5:$A$9,0)),0)*D710)</f>
        <v/>
      </c>
      <c r="N710" s="11">
        <f>IF(A710="","",IF(K710="",0,D710*INDEX(Products!$I$5:$I$204,K710)))</f>
        <v/>
      </c>
      <c r="O710" s="11">
        <f>IF(A710="","",IF(K710="",0,J710*INDEX(Products!$H$5:$H$204,K710)))</f>
        <v/>
      </c>
      <c r="P710" s="11">
        <f>IF(A710="","",J710-M710-N710-O710)</f>
        <v/>
      </c>
    </row>
    <row r="711">
      <c r="A711">
        <f>IFERROR(INDEX('Etsy Import'!$A:$CZ,711,Settings!$C$20)&amp;"","")</f>
        <v/>
      </c>
      <c r="B711">
        <f>IFERROR(INDEX('Etsy Import'!$A:$CZ,711,Settings!$C$21)&amp;"","")</f>
        <v/>
      </c>
      <c r="C711">
        <f>IFERROR(INDEX('Etsy Import'!$A:$CZ,711,Settings!$C$22)&amp;"","")</f>
        <v/>
      </c>
      <c r="D711">
        <f>IF(A711="","",IFERROR(VALUE(SUBSTITUTE(SUBSTITUTE(INDEX('Etsy Import'!$A:$CZ,711,Settings!$C$23)&amp;"","$",""),",","")),0))</f>
        <v/>
      </c>
      <c r="E711" s="11">
        <f>IF(A711="","",IFERROR(VALUE(SUBSTITUTE(SUBSTITUTE(INDEX('Etsy Import'!$A:$CZ,711,Settings!$C$24)&amp;"","$",""),",","")),0))</f>
        <v/>
      </c>
      <c r="F711" s="11">
        <f>IF(A711="","",D711*E711)</f>
        <v/>
      </c>
      <c r="G711">
        <f>IF(A711="","",IF(C711="",1,COUNTIF($C$2:$C$1501,C711)))</f>
        <v/>
      </c>
      <c r="H711" s="11">
        <f>IF(A711="","",IFERROR(VALUE(SUBSTITUTE(SUBSTITUTE(INDEX('Etsy Import'!$A:$CZ,711,Settings!$C$25)&amp;"","$",""),",","")),0)/IF(Settings!$B$27="Yes",G711,1))</f>
        <v/>
      </c>
      <c r="I711" s="11">
        <f>IF(A711="","",IFERROR(VALUE(SUBSTITUTE(SUBSTITUTE(INDEX('Etsy Import'!$A:$CZ,711,Settings!$C$26)&amp;"","$",""),",","")),0)/IF(Settings!$B$27="Yes",G711,1))</f>
        <v/>
      </c>
      <c r="J711" s="11">
        <f>IF(A711="","",F711+H711-I711)</f>
        <v/>
      </c>
      <c r="K711">
        <f>IF(A711="","",IFERROR(IF(B711="",NA(),MATCH(B711,Products!$B$5:$B$204,0)),IFERROR(MATCH(A711,Products!$A$5:$A$204,0),"")))</f>
        <v/>
      </c>
      <c r="L711">
        <f>IF(A711="","",IF(K711="","⚠ not in Products",INDEX(Products!$A$5:$A$204,K711)))</f>
        <v/>
      </c>
      <c r="M711" s="11">
        <f>IF(A711="","",J711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711+IFERROR(INDEX(Settings!$D$5:$D$9,MATCH("Etsy",Settings!$A$5:$A$9,0)),0)*D711)</f>
        <v/>
      </c>
      <c r="N711" s="11">
        <f>IF(A711="","",IF(K711="",0,D711*INDEX(Products!$I$5:$I$204,K711)))</f>
        <v/>
      </c>
      <c r="O711" s="11">
        <f>IF(A711="","",IF(K711="",0,J711*INDEX(Products!$H$5:$H$204,K711)))</f>
        <v/>
      </c>
      <c r="P711" s="11">
        <f>IF(A711="","",J711-M711-N711-O711)</f>
        <v/>
      </c>
    </row>
    <row r="712">
      <c r="A712">
        <f>IFERROR(INDEX('Etsy Import'!$A:$CZ,712,Settings!$C$20)&amp;"","")</f>
        <v/>
      </c>
      <c r="B712">
        <f>IFERROR(INDEX('Etsy Import'!$A:$CZ,712,Settings!$C$21)&amp;"","")</f>
        <v/>
      </c>
      <c r="C712">
        <f>IFERROR(INDEX('Etsy Import'!$A:$CZ,712,Settings!$C$22)&amp;"","")</f>
        <v/>
      </c>
      <c r="D712">
        <f>IF(A712="","",IFERROR(VALUE(SUBSTITUTE(SUBSTITUTE(INDEX('Etsy Import'!$A:$CZ,712,Settings!$C$23)&amp;"","$",""),",","")),0))</f>
        <v/>
      </c>
      <c r="E712" s="11">
        <f>IF(A712="","",IFERROR(VALUE(SUBSTITUTE(SUBSTITUTE(INDEX('Etsy Import'!$A:$CZ,712,Settings!$C$24)&amp;"","$",""),",","")),0))</f>
        <v/>
      </c>
      <c r="F712" s="11">
        <f>IF(A712="","",D712*E712)</f>
        <v/>
      </c>
      <c r="G712">
        <f>IF(A712="","",IF(C712="",1,COUNTIF($C$2:$C$1501,C712)))</f>
        <v/>
      </c>
      <c r="H712" s="11">
        <f>IF(A712="","",IFERROR(VALUE(SUBSTITUTE(SUBSTITUTE(INDEX('Etsy Import'!$A:$CZ,712,Settings!$C$25)&amp;"","$",""),",","")),0)/IF(Settings!$B$27="Yes",G712,1))</f>
        <v/>
      </c>
      <c r="I712" s="11">
        <f>IF(A712="","",IFERROR(VALUE(SUBSTITUTE(SUBSTITUTE(INDEX('Etsy Import'!$A:$CZ,712,Settings!$C$26)&amp;"","$",""),",","")),0)/IF(Settings!$B$27="Yes",G712,1))</f>
        <v/>
      </c>
      <c r="J712" s="11">
        <f>IF(A712="","",F712+H712-I712)</f>
        <v/>
      </c>
      <c r="K712">
        <f>IF(A712="","",IFERROR(IF(B712="",NA(),MATCH(B712,Products!$B$5:$B$204,0)),IFERROR(MATCH(A712,Products!$A$5:$A$204,0),"")))</f>
        <v/>
      </c>
      <c r="L712">
        <f>IF(A712="","",IF(K712="","⚠ not in Products",INDEX(Products!$A$5:$A$204,K712)))</f>
        <v/>
      </c>
      <c r="M712" s="11">
        <f>IF(A712="","",J712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712+IFERROR(INDEX(Settings!$D$5:$D$9,MATCH("Etsy",Settings!$A$5:$A$9,0)),0)*D712)</f>
        <v/>
      </c>
      <c r="N712" s="11">
        <f>IF(A712="","",IF(K712="",0,D712*INDEX(Products!$I$5:$I$204,K712)))</f>
        <v/>
      </c>
      <c r="O712" s="11">
        <f>IF(A712="","",IF(K712="",0,J712*INDEX(Products!$H$5:$H$204,K712)))</f>
        <v/>
      </c>
      <c r="P712" s="11">
        <f>IF(A712="","",J712-M712-N712-O712)</f>
        <v/>
      </c>
    </row>
    <row r="713">
      <c r="A713">
        <f>IFERROR(INDEX('Etsy Import'!$A:$CZ,713,Settings!$C$20)&amp;"","")</f>
        <v/>
      </c>
      <c r="B713">
        <f>IFERROR(INDEX('Etsy Import'!$A:$CZ,713,Settings!$C$21)&amp;"","")</f>
        <v/>
      </c>
      <c r="C713">
        <f>IFERROR(INDEX('Etsy Import'!$A:$CZ,713,Settings!$C$22)&amp;"","")</f>
        <v/>
      </c>
      <c r="D713">
        <f>IF(A713="","",IFERROR(VALUE(SUBSTITUTE(SUBSTITUTE(INDEX('Etsy Import'!$A:$CZ,713,Settings!$C$23)&amp;"","$",""),",","")),0))</f>
        <v/>
      </c>
      <c r="E713" s="11">
        <f>IF(A713="","",IFERROR(VALUE(SUBSTITUTE(SUBSTITUTE(INDEX('Etsy Import'!$A:$CZ,713,Settings!$C$24)&amp;"","$",""),",","")),0))</f>
        <v/>
      </c>
      <c r="F713" s="11">
        <f>IF(A713="","",D713*E713)</f>
        <v/>
      </c>
      <c r="G713">
        <f>IF(A713="","",IF(C713="",1,COUNTIF($C$2:$C$1501,C713)))</f>
        <v/>
      </c>
      <c r="H713" s="11">
        <f>IF(A713="","",IFERROR(VALUE(SUBSTITUTE(SUBSTITUTE(INDEX('Etsy Import'!$A:$CZ,713,Settings!$C$25)&amp;"","$",""),",","")),0)/IF(Settings!$B$27="Yes",G713,1))</f>
        <v/>
      </c>
      <c r="I713" s="11">
        <f>IF(A713="","",IFERROR(VALUE(SUBSTITUTE(SUBSTITUTE(INDEX('Etsy Import'!$A:$CZ,713,Settings!$C$26)&amp;"","$",""),",","")),0)/IF(Settings!$B$27="Yes",G713,1))</f>
        <v/>
      </c>
      <c r="J713" s="11">
        <f>IF(A713="","",F713+H713-I713)</f>
        <v/>
      </c>
      <c r="K713">
        <f>IF(A713="","",IFERROR(IF(B713="",NA(),MATCH(B713,Products!$B$5:$B$204,0)),IFERROR(MATCH(A713,Products!$A$5:$A$204,0),"")))</f>
        <v/>
      </c>
      <c r="L713">
        <f>IF(A713="","",IF(K713="","⚠ not in Products",INDEX(Products!$A$5:$A$204,K713)))</f>
        <v/>
      </c>
      <c r="M713" s="11">
        <f>IF(A713="","",J713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713+IFERROR(INDEX(Settings!$D$5:$D$9,MATCH("Etsy",Settings!$A$5:$A$9,0)),0)*D713)</f>
        <v/>
      </c>
      <c r="N713" s="11">
        <f>IF(A713="","",IF(K713="",0,D713*INDEX(Products!$I$5:$I$204,K713)))</f>
        <v/>
      </c>
      <c r="O713" s="11">
        <f>IF(A713="","",IF(K713="",0,J713*INDEX(Products!$H$5:$H$204,K713)))</f>
        <v/>
      </c>
      <c r="P713" s="11">
        <f>IF(A713="","",J713-M713-N713-O713)</f>
        <v/>
      </c>
    </row>
    <row r="714">
      <c r="A714">
        <f>IFERROR(INDEX('Etsy Import'!$A:$CZ,714,Settings!$C$20)&amp;"","")</f>
        <v/>
      </c>
      <c r="B714">
        <f>IFERROR(INDEX('Etsy Import'!$A:$CZ,714,Settings!$C$21)&amp;"","")</f>
        <v/>
      </c>
      <c r="C714">
        <f>IFERROR(INDEX('Etsy Import'!$A:$CZ,714,Settings!$C$22)&amp;"","")</f>
        <v/>
      </c>
      <c r="D714">
        <f>IF(A714="","",IFERROR(VALUE(SUBSTITUTE(SUBSTITUTE(INDEX('Etsy Import'!$A:$CZ,714,Settings!$C$23)&amp;"","$",""),",","")),0))</f>
        <v/>
      </c>
      <c r="E714" s="11">
        <f>IF(A714="","",IFERROR(VALUE(SUBSTITUTE(SUBSTITUTE(INDEX('Etsy Import'!$A:$CZ,714,Settings!$C$24)&amp;"","$",""),",","")),0))</f>
        <v/>
      </c>
      <c r="F714" s="11">
        <f>IF(A714="","",D714*E714)</f>
        <v/>
      </c>
      <c r="G714">
        <f>IF(A714="","",IF(C714="",1,COUNTIF($C$2:$C$1501,C714)))</f>
        <v/>
      </c>
      <c r="H714" s="11">
        <f>IF(A714="","",IFERROR(VALUE(SUBSTITUTE(SUBSTITUTE(INDEX('Etsy Import'!$A:$CZ,714,Settings!$C$25)&amp;"","$",""),",","")),0)/IF(Settings!$B$27="Yes",G714,1))</f>
        <v/>
      </c>
      <c r="I714" s="11">
        <f>IF(A714="","",IFERROR(VALUE(SUBSTITUTE(SUBSTITUTE(INDEX('Etsy Import'!$A:$CZ,714,Settings!$C$26)&amp;"","$",""),",","")),0)/IF(Settings!$B$27="Yes",G714,1))</f>
        <v/>
      </c>
      <c r="J714" s="11">
        <f>IF(A714="","",F714+H714-I714)</f>
        <v/>
      </c>
      <c r="K714">
        <f>IF(A714="","",IFERROR(IF(B714="",NA(),MATCH(B714,Products!$B$5:$B$204,0)),IFERROR(MATCH(A714,Products!$A$5:$A$204,0),"")))</f>
        <v/>
      </c>
      <c r="L714">
        <f>IF(A714="","",IF(K714="","⚠ not in Products",INDEX(Products!$A$5:$A$204,K714)))</f>
        <v/>
      </c>
      <c r="M714" s="11">
        <f>IF(A714="","",J714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714+IFERROR(INDEX(Settings!$D$5:$D$9,MATCH("Etsy",Settings!$A$5:$A$9,0)),0)*D714)</f>
        <v/>
      </c>
      <c r="N714" s="11">
        <f>IF(A714="","",IF(K714="",0,D714*INDEX(Products!$I$5:$I$204,K714)))</f>
        <v/>
      </c>
      <c r="O714" s="11">
        <f>IF(A714="","",IF(K714="",0,J714*INDEX(Products!$H$5:$H$204,K714)))</f>
        <v/>
      </c>
      <c r="P714" s="11">
        <f>IF(A714="","",J714-M714-N714-O714)</f>
        <v/>
      </c>
    </row>
    <row r="715">
      <c r="A715">
        <f>IFERROR(INDEX('Etsy Import'!$A:$CZ,715,Settings!$C$20)&amp;"","")</f>
        <v/>
      </c>
      <c r="B715">
        <f>IFERROR(INDEX('Etsy Import'!$A:$CZ,715,Settings!$C$21)&amp;"","")</f>
        <v/>
      </c>
      <c r="C715">
        <f>IFERROR(INDEX('Etsy Import'!$A:$CZ,715,Settings!$C$22)&amp;"","")</f>
        <v/>
      </c>
      <c r="D715">
        <f>IF(A715="","",IFERROR(VALUE(SUBSTITUTE(SUBSTITUTE(INDEX('Etsy Import'!$A:$CZ,715,Settings!$C$23)&amp;"","$",""),",","")),0))</f>
        <v/>
      </c>
      <c r="E715" s="11">
        <f>IF(A715="","",IFERROR(VALUE(SUBSTITUTE(SUBSTITUTE(INDEX('Etsy Import'!$A:$CZ,715,Settings!$C$24)&amp;"","$",""),",","")),0))</f>
        <v/>
      </c>
      <c r="F715" s="11">
        <f>IF(A715="","",D715*E715)</f>
        <v/>
      </c>
      <c r="G715">
        <f>IF(A715="","",IF(C715="",1,COUNTIF($C$2:$C$1501,C715)))</f>
        <v/>
      </c>
      <c r="H715" s="11">
        <f>IF(A715="","",IFERROR(VALUE(SUBSTITUTE(SUBSTITUTE(INDEX('Etsy Import'!$A:$CZ,715,Settings!$C$25)&amp;"","$",""),",","")),0)/IF(Settings!$B$27="Yes",G715,1))</f>
        <v/>
      </c>
      <c r="I715" s="11">
        <f>IF(A715="","",IFERROR(VALUE(SUBSTITUTE(SUBSTITUTE(INDEX('Etsy Import'!$A:$CZ,715,Settings!$C$26)&amp;"","$",""),",","")),0)/IF(Settings!$B$27="Yes",G715,1))</f>
        <v/>
      </c>
      <c r="J715" s="11">
        <f>IF(A715="","",F715+H715-I715)</f>
        <v/>
      </c>
      <c r="K715">
        <f>IF(A715="","",IFERROR(IF(B715="",NA(),MATCH(B715,Products!$B$5:$B$204,0)),IFERROR(MATCH(A715,Products!$A$5:$A$204,0),"")))</f>
        <v/>
      </c>
      <c r="L715">
        <f>IF(A715="","",IF(K715="","⚠ not in Products",INDEX(Products!$A$5:$A$204,K715)))</f>
        <v/>
      </c>
      <c r="M715" s="11">
        <f>IF(A715="","",J715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715+IFERROR(INDEX(Settings!$D$5:$D$9,MATCH("Etsy",Settings!$A$5:$A$9,0)),0)*D715)</f>
        <v/>
      </c>
      <c r="N715" s="11">
        <f>IF(A715="","",IF(K715="",0,D715*INDEX(Products!$I$5:$I$204,K715)))</f>
        <v/>
      </c>
      <c r="O715" s="11">
        <f>IF(A715="","",IF(K715="",0,J715*INDEX(Products!$H$5:$H$204,K715)))</f>
        <v/>
      </c>
      <c r="P715" s="11">
        <f>IF(A715="","",J715-M715-N715-O715)</f>
        <v/>
      </c>
    </row>
    <row r="716">
      <c r="A716">
        <f>IFERROR(INDEX('Etsy Import'!$A:$CZ,716,Settings!$C$20)&amp;"","")</f>
        <v/>
      </c>
      <c r="B716">
        <f>IFERROR(INDEX('Etsy Import'!$A:$CZ,716,Settings!$C$21)&amp;"","")</f>
        <v/>
      </c>
      <c r="C716">
        <f>IFERROR(INDEX('Etsy Import'!$A:$CZ,716,Settings!$C$22)&amp;"","")</f>
        <v/>
      </c>
      <c r="D716">
        <f>IF(A716="","",IFERROR(VALUE(SUBSTITUTE(SUBSTITUTE(INDEX('Etsy Import'!$A:$CZ,716,Settings!$C$23)&amp;"","$",""),",","")),0))</f>
        <v/>
      </c>
      <c r="E716" s="11">
        <f>IF(A716="","",IFERROR(VALUE(SUBSTITUTE(SUBSTITUTE(INDEX('Etsy Import'!$A:$CZ,716,Settings!$C$24)&amp;"","$",""),",","")),0))</f>
        <v/>
      </c>
      <c r="F716" s="11">
        <f>IF(A716="","",D716*E716)</f>
        <v/>
      </c>
      <c r="G716">
        <f>IF(A716="","",IF(C716="",1,COUNTIF($C$2:$C$1501,C716)))</f>
        <v/>
      </c>
      <c r="H716" s="11">
        <f>IF(A716="","",IFERROR(VALUE(SUBSTITUTE(SUBSTITUTE(INDEX('Etsy Import'!$A:$CZ,716,Settings!$C$25)&amp;"","$",""),",","")),0)/IF(Settings!$B$27="Yes",G716,1))</f>
        <v/>
      </c>
      <c r="I716" s="11">
        <f>IF(A716="","",IFERROR(VALUE(SUBSTITUTE(SUBSTITUTE(INDEX('Etsy Import'!$A:$CZ,716,Settings!$C$26)&amp;"","$",""),",","")),0)/IF(Settings!$B$27="Yes",G716,1))</f>
        <v/>
      </c>
      <c r="J716" s="11">
        <f>IF(A716="","",F716+H716-I716)</f>
        <v/>
      </c>
      <c r="K716">
        <f>IF(A716="","",IFERROR(IF(B716="",NA(),MATCH(B716,Products!$B$5:$B$204,0)),IFERROR(MATCH(A716,Products!$A$5:$A$204,0),"")))</f>
        <v/>
      </c>
      <c r="L716">
        <f>IF(A716="","",IF(K716="","⚠ not in Products",INDEX(Products!$A$5:$A$204,K716)))</f>
        <v/>
      </c>
      <c r="M716" s="11">
        <f>IF(A716="","",J716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716+IFERROR(INDEX(Settings!$D$5:$D$9,MATCH("Etsy",Settings!$A$5:$A$9,0)),0)*D716)</f>
        <v/>
      </c>
      <c r="N716" s="11">
        <f>IF(A716="","",IF(K716="",0,D716*INDEX(Products!$I$5:$I$204,K716)))</f>
        <v/>
      </c>
      <c r="O716" s="11">
        <f>IF(A716="","",IF(K716="",0,J716*INDEX(Products!$H$5:$H$204,K716)))</f>
        <v/>
      </c>
      <c r="P716" s="11">
        <f>IF(A716="","",J716-M716-N716-O716)</f>
        <v/>
      </c>
    </row>
    <row r="717">
      <c r="A717">
        <f>IFERROR(INDEX('Etsy Import'!$A:$CZ,717,Settings!$C$20)&amp;"","")</f>
        <v/>
      </c>
      <c r="B717">
        <f>IFERROR(INDEX('Etsy Import'!$A:$CZ,717,Settings!$C$21)&amp;"","")</f>
        <v/>
      </c>
      <c r="C717">
        <f>IFERROR(INDEX('Etsy Import'!$A:$CZ,717,Settings!$C$22)&amp;"","")</f>
        <v/>
      </c>
      <c r="D717">
        <f>IF(A717="","",IFERROR(VALUE(SUBSTITUTE(SUBSTITUTE(INDEX('Etsy Import'!$A:$CZ,717,Settings!$C$23)&amp;"","$",""),",","")),0))</f>
        <v/>
      </c>
      <c r="E717" s="11">
        <f>IF(A717="","",IFERROR(VALUE(SUBSTITUTE(SUBSTITUTE(INDEX('Etsy Import'!$A:$CZ,717,Settings!$C$24)&amp;"","$",""),",","")),0))</f>
        <v/>
      </c>
      <c r="F717" s="11">
        <f>IF(A717="","",D717*E717)</f>
        <v/>
      </c>
      <c r="G717">
        <f>IF(A717="","",IF(C717="",1,COUNTIF($C$2:$C$1501,C717)))</f>
        <v/>
      </c>
      <c r="H717" s="11">
        <f>IF(A717="","",IFERROR(VALUE(SUBSTITUTE(SUBSTITUTE(INDEX('Etsy Import'!$A:$CZ,717,Settings!$C$25)&amp;"","$",""),",","")),0)/IF(Settings!$B$27="Yes",G717,1))</f>
        <v/>
      </c>
      <c r="I717" s="11">
        <f>IF(A717="","",IFERROR(VALUE(SUBSTITUTE(SUBSTITUTE(INDEX('Etsy Import'!$A:$CZ,717,Settings!$C$26)&amp;"","$",""),",","")),0)/IF(Settings!$B$27="Yes",G717,1))</f>
        <v/>
      </c>
      <c r="J717" s="11">
        <f>IF(A717="","",F717+H717-I717)</f>
        <v/>
      </c>
      <c r="K717">
        <f>IF(A717="","",IFERROR(IF(B717="",NA(),MATCH(B717,Products!$B$5:$B$204,0)),IFERROR(MATCH(A717,Products!$A$5:$A$204,0),"")))</f>
        <v/>
      </c>
      <c r="L717">
        <f>IF(A717="","",IF(K717="","⚠ not in Products",INDEX(Products!$A$5:$A$204,K717)))</f>
        <v/>
      </c>
      <c r="M717" s="11">
        <f>IF(A717="","",J717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717+IFERROR(INDEX(Settings!$D$5:$D$9,MATCH("Etsy",Settings!$A$5:$A$9,0)),0)*D717)</f>
        <v/>
      </c>
      <c r="N717" s="11">
        <f>IF(A717="","",IF(K717="",0,D717*INDEX(Products!$I$5:$I$204,K717)))</f>
        <v/>
      </c>
      <c r="O717" s="11">
        <f>IF(A717="","",IF(K717="",0,J717*INDEX(Products!$H$5:$H$204,K717)))</f>
        <v/>
      </c>
      <c r="P717" s="11">
        <f>IF(A717="","",J717-M717-N717-O717)</f>
        <v/>
      </c>
    </row>
    <row r="718">
      <c r="A718">
        <f>IFERROR(INDEX('Etsy Import'!$A:$CZ,718,Settings!$C$20)&amp;"","")</f>
        <v/>
      </c>
      <c r="B718">
        <f>IFERROR(INDEX('Etsy Import'!$A:$CZ,718,Settings!$C$21)&amp;"","")</f>
        <v/>
      </c>
      <c r="C718">
        <f>IFERROR(INDEX('Etsy Import'!$A:$CZ,718,Settings!$C$22)&amp;"","")</f>
        <v/>
      </c>
      <c r="D718">
        <f>IF(A718="","",IFERROR(VALUE(SUBSTITUTE(SUBSTITUTE(INDEX('Etsy Import'!$A:$CZ,718,Settings!$C$23)&amp;"","$",""),",","")),0))</f>
        <v/>
      </c>
      <c r="E718" s="11">
        <f>IF(A718="","",IFERROR(VALUE(SUBSTITUTE(SUBSTITUTE(INDEX('Etsy Import'!$A:$CZ,718,Settings!$C$24)&amp;"","$",""),",","")),0))</f>
        <v/>
      </c>
      <c r="F718" s="11">
        <f>IF(A718="","",D718*E718)</f>
        <v/>
      </c>
      <c r="G718">
        <f>IF(A718="","",IF(C718="",1,COUNTIF($C$2:$C$1501,C718)))</f>
        <v/>
      </c>
      <c r="H718" s="11">
        <f>IF(A718="","",IFERROR(VALUE(SUBSTITUTE(SUBSTITUTE(INDEX('Etsy Import'!$A:$CZ,718,Settings!$C$25)&amp;"","$",""),",","")),0)/IF(Settings!$B$27="Yes",G718,1))</f>
        <v/>
      </c>
      <c r="I718" s="11">
        <f>IF(A718="","",IFERROR(VALUE(SUBSTITUTE(SUBSTITUTE(INDEX('Etsy Import'!$A:$CZ,718,Settings!$C$26)&amp;"","$",""),",","")),0)/IF(Settings!$B$27="Yes",G718,1))</f>
        <v/>
      </c>
      <c r="J718" s="11">
        <f>IF(A718="","",F718+H718-I718)</f>
        <v/>
      </c>
      <c r="K718">
        <f>IF(A718="","",IFERROR(IF(B718="",NA(),MATCH(B718,Products!$B$5:$B$204,0)),IFERROR(MATCH(A718,Products!$A$5:$A$204,0),"")))</f>
        <v/>
      </c>
      <c r="L718">
        <f>IF(A718="","",IF(K718="","⚠ not in Products",INDEX(Products!$A$5:$A$204,K718)))</f>
        <v/>
      </c>
      <c r="M718" s="11">
        <f>IF(A718="","",J718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718+IFERROR(INDEX(Settings!$D$5:$D$9,MATCH("Etsy",Settings!$A$5:$A$9,0)),0)*D718)</f>
        <v/>
      </c>
      <c r="N718" s="11">
        <f>IF(A718="","",IF(K718="",0,D718*INDEX(Products!$I$5:$I$204,K718)))</f>
        <v/>
      </c>
      <c r="O718" s="11">
        <f>IF(A718="","",IF(K718="",0,J718*INDEX(Products!$H$5:$H$204,K718)))</f>
        <v/>
      </c>
      <c r="P718" s="11">
        <f>IF(A718="","",J718-M718-N718-O718)</f>
        <v/>
      </c>
    </row>
    <row r="719">
      <c r="A719">
        <f>IFERROR(INDEX('Etsy Import'!$A:$CZ,719,Settings!$C$20)&amp;"","")</f>
        <v/>
      </c>
      <c r="B719">
        <f>IFERROR(INDEX('Etsy Import'!$A:$CZ,719,Settings!$C$21)&amp;"","")</f>
        <v/>
      </c>
      <c r="C719">
        <f>IFERROR(INDEX('Etsy Import'!$A:$CZ,719,Settings!$C$22)&amp;"","")</f>
        <v/>
      </c>
      <c r="D719">
        <f>IF(A719="","",IFERROR(VALUE(SUBSTITUTE(SUBSTITUTE(INDEX('Etsy Import'!$A:$CZ,719,Settings!$C$23)&amp;"","$",""),",","")),0))</f>
        <v/>
      </c>
      <c r="E719" s="11">
        <f>IF(A719="","",IFERROR(VALUE(SUBSTITUTE(SUBSTITUTE(INDEX('Etsy Import'!$A:$CZ,719,Settings!$C$24)&amp;"","$",""),",","")),0))</f>
        <v/>
      </c>
      <c r="F719" s="11">
        <f>IF(A719="","",D719*E719)</f>
        <v/>
      </c>
      <c r="G719">
        <f>IF(A719="","",IF(C719="",1,COUNTIF($C$2:$C$1501,C719)))</f>
        <v/>
      </c>
      <c r="H719" s="11">
        <f>IF(A719="","",IFERROR(VALUE(SUBSTITUTE(SUBSTITUTE(INDEX('Etsy Import'!$A:$CZ,719,Settings!$C$25)&amp;"","$",""),",","")),0)/IF(Settings!$B$27="Yes",G719,1))</f>
        <v/>
      </c>
      <c r="I719" s="11">
        <f>IF(A719="","",IFERROR(VALUE(SUBSTITUTE(SUBSTITUTE(INDEX('Etsy Import'!$A:$CZ,719,Settings!$C$26)&amp;"","$",""),",","")),0)/IF(Settings!$B$27="Yes",G719,1))</f>
        <v/>
      </c>
      <c r="J719" s="11">
        <f>IF(A719="","",F719+H719-I719)</f>
        <v/>
      </c>
      <c r="K719">
        <f>IF(A719="","",IFERROR(IF(B719="",NA(),MATCH(B719,Products!$B$5:$B$204,0)),IFERROR(MATCH(A719,Products!$A$5:$A$204,0),"")))</f>
        <v/>
      </c>
      <c r="L719">
        <f>IF(A719="","",IF(K719="","⚠ not in Products",INDEX(Products!$A$5:$A$204,K719)))</f>
        <v/>
      </c>
      <c r="M719" s="11">
        <f>IF(A719="","",J719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719+IFERROR(INDEX(Settings!$D$5:$D$9,MATCH("Etsy",Settings!$A$5:$A$9,0)),0)*D719)</f>
        <v/>
      </c>
      <c r="N719" s="11">
        <f>IF(A719="","",IF(K719="",0,D719*INDEX(Products!$I$5:$I$204,K719)))</f>
        <v/>
      </c>
      <c r="O719" s="11">
        <f>IF(A719="","",IF(K719="",0,J719*INDEX(Products!$H$5:$H$204,K719)))</f>
        <v/>
      </c>
      <c r="P719" s="11">
        <f>IF(A719="","",J719-M719-N719-O719)</f>
        <v/>
      </c>
    </row>
    <row r="720">
      <c r="A720">
        <f>IFERROR(INDEX('Etsy Import'!$A:$CZ,720,Settings!$C$20)&amp;"","")</f>
        <v/>
      </c>
      <c r="B720">
        <f>IFERROR(INDEX('Etsy Import'!$A:$CZ,720,Settings!$C$21)&amp;"","")</f>
        <v/>
      </c>
      <c r="C720">
        <f>IFERROR(INDEX('Etsy Import'!$A:$CZ,720,Settings!$C$22)&amp;"","")</f>
        <v/>
      </c>
      <c r="D720">
        <f>IF(A720="","",IFERROR(VALUE(SUBSTITUTE(SUBSTITUTE(INDEX('Etsy Import'!$A:$CZ,720,Settings!$C$23)&amp;"","$",""),",","")),0))</f>
        <v/>
      </c>
      <c r="E720" s="11">
        <f>IF(A720="","",IFERROR(VALUE(SUBSTITUTE(SUBSTITUTE(INDEX('Etsy Import'!$A:$CZ,720,Settings!$C$24)&amp;"","$",""),",","")),0))</f>
        <v/>
      </c>
      <c r="F720" s="11">
        <f>IF(A720="","",D720*E720)</f>
        <v/>
      </c>
      <c r="G720">
        <f>IF(A720="","",IF(C720="",1,COUNTIF($C$2:$C$1501,C720)))</f>
        <v/>
      </c>
      <c r="H720" s="11">
        <f>IF(A720="","",IFERROR(VALUE(SUBSTITUTE(SUBSTITUTE(INDEX('Etsy Import'!$A:$CZ,720,Settings!$C$25)&amp;"","$",""),",","")),0)/IF(Settings!$B$27="Yes",G720,1))</f>
        <v/>
      </c>
      <c r="I720" s="11">
        <f>IF(A720="","",IFERROR(VALUE(SUBSTITUTE(SUBSTITUTE(INDEX('Etsy Import'!$A:$CZ,720,Settings!$C$26)&amp;"","$",""),",","")),0)/IF(Settings!$B$27="Yes",G720,1))</f>
        <v/>
      </c>
      <c r="J720" s="11">
        <f>IF(A720="","",F720+H720-I720)</f>
        <v/>
      </c>
      <c r="K720">
        <f>IF(A720="","",IFERROR(IF(B720="",NA(),MATCH(B720,Products!$B$5:$B$204,0)),IFERROR(MATCH(A720,Products!$A$5:$A$204,0),"")))</f>
        <v/>
      </c>
      <c r="L720">
        <f>IF(A720="","",IF(K720="","⚠ not in Products",INDEX(Products!$A$5:$A$204,K720)))</f>
        <v/>
      </c>
      <c r="M720" s="11">
        <f>IF(A720="","",J720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720+IFERROR(INDEX(Settings!$D$5:$D$9,MATCH("Etsy",Settings!$A$5:$A$9,0)),0)*D720)</f>
        <v/>
      </c>
      <c r="N720" s="11">
        <f>IF(A720="","",IF(K720="",0,D720*INDEX(Products!$I$5:$I$204,K720)))</f>
        <v/>
      </c>
      <c r="O720" s="11">
        <f>IF(A720="","",IF(K720="",0,J720*INDEX(Products!$H$5:$H$204,K720)))</f>
        <v/>
      </c>
      <c r="P720" s="11">
        <f>IF(A720="","",J720-M720-N720-O720)</f>
        <v/>
      </c>
    </row>
    <row r="721">
      <c r="A721">
        <f>IFERROR(INDEX('Etsy Import'!$A:$CZ,721,Settings!$C$20)&amp;"","")</f>
        <v/>
      </c>
      <c r="B721">
        <f>IFERROR(INDEX('Etsy Import'!$A:$CZ,721,Settings!$C$21)&amp;"","")</f>
        <v/>
      </c>
      <c r="C721">
        <f>IFERROR(INDEX('Etsy Import'!$A:$CZ,721,Settings!$C$22)&amp;"","")</f>
        <v/>
      </c>
      <c r="D721">
        <f>IF(A721="","",IFERROR(VALUE(SUBSTITUTE(SUBSTITUTE(INDEX('Etsy Import'!$A:$CZ,721,Settings!$C$23)&amp;"","$",""),",","")),0))</f>
        <v/>
      </c>
      <c r="E721" s="11">
        <f>IF(A721="","",IFERROR(VALUE(SUBSTITUTE(SUBSTITUTE(INDEX('Etsy Import'!$A:$CZ,721,Settings!$C$24)&amp;"","$",""),",","")),0))</f>
        <v/>
      </c>
      <c r="F721" s="11">
        <f>IF(A721="","",D721*E721)</f>
        <v/>
      </c>
      <c r="G721">
        <f>IF(A721="","",IF(C721="",1,COUNTIF($C$2:$C$1501,C721)))</f>
        <v/>
      </c>
      <c r="H721" s="11">
        <f>IF(A721="","",IFERROR(VALUE(SUBSTITUTE(SUBSTITUTE(INDEX('Etsy Import'!$A:$CZ,721,Settings!$C$25)&amp;"","$",""),",","")),0)/IF(Settings!$B$27="Yes",G721,1))</f>
        <v/>
      </c>
      <c r="I721" s="11">
        <f>IF(A721="","",IFERROR(VALUE(SUBSTITUTE(SUBSTITUTE(INDEX('Etsy Import'!$A:$CZ,721,Settings!$C$26)&amp;"","$",""),",","")),0)/IF(Settings!$B$27="Yes",G721,1))</f>
        <v/>
      </c>
      <c r="J721" s="11">
        <f>IF(A721="","",F721+H721-I721)</f>
        <v/>
      </c>
      <c r="K721">
        <f>IF(A721="","",IFERROR(IF(B721="",NA(),MATCH(B721,Products!$B$5:$B$204,0)),IFERROR(MATCH(A721,Products!$A$5:$A$204,0),"")))</f>
        <v/>
      </c>
      <c r="L721">
        <f>IF(A721="","",IF(K721="","⚠ not in Products",INDEX(Products!$A$5:$A$204,K721)))</f>
        <v/>
      </c>
      <c r="M721" s="11">
        <f>IF(A721="","",J721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721+IFERROR(INDEX(Settings!$D$5:$D$9,MATCH("Etsy",Settings!$A$5:$A$9,0)),0)*D721)</f>
        <v/>
      </c>
      <c r="N721" s="11">
        <f>IF(A721="","",IF(K721="",0,D721*INDEX(Products!$I$5:$I$204,K721)))</f>
        <v/>
      </c>
      <c r="O721" s="11">
        <f>IF(A721="","",IF(K721="",0,J721*INDEX(Products!$H$5:$H$204,K721)))</f>
        <v/>
      </c>
      <c r="P721" s="11">
        <f>IF(A721="","",J721-M721-N721-O721)</f>
        <v/>
      </c>
    </row>
    <row r="722">
      <c r="A722">
        <f>IFERROR(INDEX('Etsy Import'!$A:$CZ,722,Settings!$C$20)&amp;"","")</f>
        <v/>
      </c>
      <c r="B722">
        <f>IFERROR(INDEX('Etsy Import'!$A:$CZ,722,Settings!$C$21)&amp;"","")</f>
        <v/>
      </c>
      <c r="C722">
        <f>IFERROR(INDEX('Etsy Import'!$A:$CZ,722,Settings!$C$22)&amp;"","")</f>
        <v/>
      </c>
      <c r="D722">
        <f>IF(A722="","",IFERROR(VALUE(SUBSTITUTE(SUBSTITUTE(INDEX('Etsy Import'!$A:$CZ,722,Settings!$C$23)&amp;"","$",""),",","")),0))</f>
        <v/>
      </c>
      <c r="E722" s="11">
        <f>IF(A722="","",IFERROR(VALUE(SUBSTITUTE(SUBSTITUTE(INDEX('Etsy Import'!$A:$CZ,722,Settings!$C$24)&amp;"","$",""),",","")),0))</f>
        <v/>
      </c>
      <c r="F722" s="11">
        <f>IF(A722="","",D722*E722)</f>
        <v/>
      </c>
      <c r="G722">
        <f>IF(A722="","",IF(C722="",1,COUNTIF($C$2:$C$1501,C722)))</f>
        <v/>
      </c>
      <c r="H722" s="11">
        <f>IF(A722="","",IFERROR(VALUE(SUBSTITUTE(SUBSTITUTE(INDEX('Etsy Import'!$A:$CZ,722,Settings!$C$25)&amp;"","$",""),",","")),0)/IF(Settings!$B$27="Yes",G722,1))</f>
        <v/>
      </c>
      <c r="I722" s="11">
        <f>IF(A722="","",IFERROR(VALUE(SUBSTITUTE(SUBSTITUTE(INDEX('Etsy Import'!$A:$CZ,722,Settings!$C$26)&amp;"","$",""),",","")),0)/IF(Settings!$B$27="Yes",G722,1))</f>
        <v/>
      </c>
      <c r="J722" s="11">
        <f>IF(A722="","",F722+H722-I722)</f>
        <v/>
      </c>
      <c r="K722">
        <f>IF(A722="","",IFERROR(IF(B722="",NA(),MATCH(B722,Products!$B$5:$B$204,0)),IFERROR(MATCH(A722,Products!$A$5:$A$204,0),"")))</f>
        <v/>
      </c>
      <c r="L722">
        <f>IF(A722="","",IF(K722="","⚠ not in Products",INDEX(Products!$A$5:$A$204,K722)))</f>
        <v/>
      </c>
      <c r="M722" s="11">
        <f>IF(A722="","",J722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722+IFERROR(INDEX(Settings!$D$5:$D$9,MATCH("Etsy",Settings!$A$5:$A$9,0)),0)*D722)</f>
        <v/>
      </c>
      <c r="N722" s="11">
        <f>IF(A722="","",IF(K722="",0,D722*INDEX(Products!$I$5:$I$204,K722)))</f>
        <v/>
      </c>
      <c r="O722" s="11">
        <f>IF(A722="","",IF(K722="",0,J722*INDEX(Products!$H$5:$H$204,K722)))</f>
        <v/>
      </c>
      <c r="P722" s="11">
        <f>IF(A722="","",J722-M722-N722-O722)</f>
        <v/>
      </c>
    </row>
    <row r="723">
      <c r="A723">
        <f>IFERROR(INDEX('Etsy Import'!$A:$CZ,723,Settings!$C$20)&amp;"","")</f>
        <v/>
      </c>
      <c r="B723">
        <f>IFERROR(INDEX('Etsy Import'!$A:$CZ,723,Settings!$C$21)&amp;"","")</f>
        <v/>
      </c>
      <c r="C723">
        <f>IFERROR(INDEX('Etsy Import'!$A:$CZ,723,Settings!$C$22)&amp;"","")</f>
        <v/>
      </c>
      <c r="D723">
        <f>IF(A723="","",IFERROR(VALUE(SUBSTITUTE(SUBSTITUTE(INDEX('Etsy Import'!$A:$CZ,723,Settings!$C$23)&amp;"","$",""),",","")),0))</f>
        <v/>
      </c>
      <c r="E723" s="11">
        <f>IF(A723="","",IFERROR(VALUE(SUBSTITUTE(SUBSTITUTE(INDEX('Etsy Import'!$A:$CZ,723,Settings!$C$24)&amp;"","$",""),",","")),0))</f>
        <v/>
      </c>
      <c r="F723" s="11">
        <f>IF(A723="","",D723*E723)</f>
        <v/>
      </c>
      <c r="G723">
        <f>IF(A723="","",IF(C723="",1,COUNTIF($C$2:$C$1501,C723)))</f>
        <v/>
      </c>
      <c r="H723" s="11">
        <f>IF(A723="","",IFERROR(VALUE(SUBSTITUTE(SUBSTITUTE(INDEX('Etsy Import'!$A:$CZ,723,Settings!$C$25)&amp;"","$",""),",","")),0)/IF(Settings!$B$27="Yes",G723,1))</f>
        <v/>
      </c>
      <c r="I723" s="11">
        <f>IF(A723="","",IFERROR(VALUE(SUBSTITUTE(SUBSTITUTE(INDEX('Etsy Import'!$A:$CZ,723,Settings!$C$26)&amp;"","$",""),",","")),0)/IF(Settings!$B$27="Yes",G723,1))</f>
        <v/>
      </c>
      <c r="J723" s="11">
        <f>IF(A723="","",F723+H723-I723)</f>
        <v/>
      </c>
      <c r="K723">
        <f>IF(A723="","",IFERROR(IF(B723="",NA(),MATCH(B723,Products!$B$5:$B$204,0)),IFERROR(MATCH(A723,Products!$A$5:$A$204,0),"")))</f>
        <v/>
      </c>
      <c r="L723">
        <f>IF(A723="","",IF(K723="","⚠ not in Products",INDEX(Products!$A$5:$A$204,K723)))</f>
        <v/>
      </c>
      <c r="M723" s="11">
        <f>IF(A723="","",J723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723+IFERROR(INDEX(Settings!$D$5:$D$9,MATCH("Etsy",Settings!$A$5:$A$9,0)),0)*D723)</f>
        <v/>
      </c>
      <c r="N723" s="11">
        <f>IF(A723="","",IF(K723="",0,D723*INDEX(Products!$I$5:$I$204,K723)))</f>
        <v/>
      </c>
      <c r="O723" s="11">
        <f>IF(A723="","",IF(K723="",0,J723*INDEX(Products!$H$5:$H$204,K723)))</f>
        <v/>
      </c>
      <c r="P723" s="11">
        <f>IF(A723="","",J723-M723-N723-O723)</f>
        <v/>
      </c>
    </row>
    <row r="724">
      <c r="A724">
        <f>IFERROR(INDEX('Etsy Import'!$A:$CZ,724,Settings!$C$20)&amp;"","")</f>
        <v/>
      </c>
      <c r="B724">
        <f>IFERROR(INDEX('Etsy Import'!$A:$CZ,724,Settings!$C$21)&amp;"","")</f>
        <v/>
      </c>
      <c r="C724">
        <f>IFERROR(INDEX('Etsy Import'!$A:$CZ,724,Settings!$C$22)&amp;"","")</f>
        <v/>
      </c>
      <c r="D724">
        <f>IF(A724="","",IFERROR(VALUE(SUBSTITUTE(SUBSTITUTE(INDEX('Etsy Import'!$A:$CZ,724,Settings!$C$23)&amp;"","$",""),",","")),0))</f>
        <v/>
      </c>
      <c r="E724" s="11">
        <f>IF(A724="","",IFERROR(VALUE(SUBSTITUTE(SUBSTITUTE(INDEX('Etsy Import'!$A:$CZ,724,Settings!$C$24)&amp;"","$",""),",","")),0))</f>
        <v/>
      </c>
      <c r="F724" s="11">
        <f>IF(A724="","",D724*E724)</f>
        <v/>
      </c>
      <c r="G724">
        <f>IF(A724="","",IF(C724="",1,COUNTIF($C$2:$C$1501,C724)))</f>
        <v/>
      </c>
      <c r="H724" s="11">
        <f>IF(A724="","",IFERROR(VALUE(SUBSTITUTE(SUBSTITUTE(INDEX('Etsy Import'!$A:$CZ,724,Settings!$C$25)&amp;"","$",""),",","")),0)/IF(Settings!$B$27="Yes",G724,1))</f>
        <v/>
      </c>
      <c r="I724" s="11">
        <f>IF(A724="","",IFERROR(VALUE(SUBSTITUTE(SUBSTITUTE(INDEX('Etsy Import'!$A:$CZ,724,Settings!$C$26)&amp;"","$",""),",","")),0)/IF(Settings!$B$27="Yes",G724,1))</f>
        <v/>
      </c>
      <c r="J724" s="11">
        <f>IF(A724="","",F724+H724-I724)</f>
        <v/>
      </c>
      <c r="K724">
        <f>IF(A724="","",IFERROR(IF(B724="",NA(),MATCH(B724,Products!$B$5:$B$204,0)),IFERROR(MATCH(A724,Products!$A$5:$A$204,0),"")))</f>
        <v/>
      </c>
      <c r="L724">
        <f>IF(A724="","",IF(K724="","⚠ not in Products",INDEX(Products!$A$5:$A$204,K724)))</f>
        <v/>
      </c>
      <c r="M724" s="11">
        <f>IF(A724="","",J724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724+IFERROR(INDEX(Settings!$D$5:$D$9,MATCH("Etsy",Settings!$A$5:$A$9,0)),0)*D724)</f>
        <v/>
      </c>
      <c r="N724" s="11">
        <f>IF(A724="","",IF(K724="",0,D724*INDEX(Products!$I$5:$I$204,K724)))</f>
        <v/>
      </c>
      <c r="O724" s="11">
        <f>IF(A724="","",IF(K724="",0,J724*INDEX(Products!$H$5:$H$204,K724)))</f>
        <v/>
      </c>
      <c r="P724" s="11">
        <f>IF(A724="","",J724-M724-N724-O724)</f>
        <v/>
      </c>
    </row>
    <row r="725">
      <c r="A725">
        <f>IFERROR(INDEX('Etsy Import'!$A:$CZ,725,Settings!$C$20)&amp;"","")</f>
        <v/>
      </c>
      <c r="B725">
        <f>IFERROR(INDEX('Etsy Import'!$A:$CZ,725,Settings!$C$21)&amp;"","")</f>
        <v/>
      </c>
      <c r="C725">
        <f>IFERROR(INDEX('Etsy Import'!$A:$CZ,725,Settings!$C$22)&amp;"","")</f>
        <v/>
      </c>
      <c r="D725">
        <f>IF(A725="","",IFERROR(VALUE(SUBSTITUTE(SUBSTITUTE(INDEX('Etsy Import'!$A:$CZ,725,Settings!$C$23)&amp;"","$",""),",","")),0))</f>
        <v/>
      </c>
      <c r="E725" s="11">
        <f>IF(A725="","",IFERROR(VALUE(SUBSTITUTE(SUBSTITUTE(INDEX('Etsy Import'!$A:$CZ,725,Settings!$C$24)&amp;"","$",""),",","")),0))</f>
        <v/>
      </c>
      <c r="F725" s="11">
        <f>IF(A725="","",D725*E725)</f>
        <v/>
      </c>
      <c r="G725">
        <f>IF(A725="","",IF(C725="",1,COUNTIF($C$2:$C$1501,C725)))</f>
        <v/>
      </c>
      <c r="H725" s="11">
        <f>IF(A725="","",IFERROR(VALUE(SUBSTITUTE(SUBSTITUTE(INDEX('Etsy Import'!$A:$CZ,725,Settings!$C$25)&amp;"","$",""),",","")),0)/IF(Settings!$B$27="Yes",G725,1))</f>
        <v/>
      </c>
      <c r="I725" s="11">
        <f>IF(A725="","",IFERROR(VALUE(SUBSTITUTE(SUBSTITUTE(INDEX('Etsy Import'!$A:$CZ,725,Settings!$C$26)&amp;"","$",""),",","")),0)/IF(Settings!$B$27="Yes",G725,1))</f>
        <v/>
      </c>
      <c r="J725" s="11">
        <f>IF(A725="","",F725+H725-I725)</f>
        <v/>
      </c>
      <c r="K725">
        <f>IF(A725="","",IFERROR(IF(B725="",NA(),MATCH(B725,Products!$B$5:$B$204,0)),IFERROR(MATCH(A725,Products!$A$5:$A$204,0),"")))</f>
        <v/>
      </c>
      <c r="L725">
        <f>IF(A725="","",IF(K725="","⚠ not in Products",INDEX(Products!$A$5:$A$204,K725)))</f>
        <v/>
      </c>
      <c r="M725" s="11">
        <f>IF(A725="","",J725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725+IFERROR(INDEX(Settings!$D$5:$D$9,MATCH("Etsy",Settings!$A$5:$A$9,0)),0)*D725)</f>
        <v/>
      </c>
      <c r="N725" s="11">
        <f>IF(A725="","",IF(K725="",0,D725*INDEX(Products!$I$5:$I$204,K725)))</f>
        <v/>
      </c>
      <c r="O725" s="11">
        <f>IF(A725="","",IF(K725="",0,J725*INDEX(Products!$H$5:$H$204,K725)))</f>
        <v/>
      </c>
      <c r="P725" s="11">
        <f>IF(A725="","",J725-M725-N725-O725)</f>
        <v/>
      </c>
    </row>
    <row r="726">
      <c r="A726">
        <f>IFERROR(INDEX('Etsy Import'!$A:$CZ,726,Settings!$C$20)&amp;"","")</f>
        <v/>
      </c>
      <c r="B726">
        <f>IFERROR(INDEX('Etsy Import'!$A:$CZ,726,Settings!$C$21)&amp;"","")</f>
        <v/>
      </c>
      <c r="C726">
        <f>IFERROR(INDEX('Etsy Import'!$A:$CZ,726,Settings!$C$22)&amp;"","")</f>
        <v/>
      </c>
      <c r="D726">
        <f>IF(A726="","",IFERROR(VALUE(SUBSTITUTE(SUBSTITUTE(INDEX('Etsy Import'!$A:$CZ,726,Settings!$C$23)&amp;"","$",""),",","")),0))</f>
        <v/>
      </c>
      <c r="E726" s="11">
        <f>IF(A726="","",IFERROR(VALUE(SUBSTITUTE(SUBSTITUTE(INDEX('Etsy Import'!$A:$CZ,726,Settings!$C$24)&amp;"","$",""),",","")),0))</f>
        <v/>
      </c>
      <c r="F726" s="11">
        <f>IF(A726="","",D726*E726)</f>
        <v/>
      </c>
      <c r="G726">
        <f>IF(A726="","",IF(C726="",1,COUNTIF($C$2:$C$1501,C726)))</f>
        <v/>
      </c>
      <c r="H726" s="11">
        <f>IF(A726="","",IFERROR(VALUE(SUBSTITUTE(SUBSTITUTE(INDEX('Etsy Import'!$A:$CZ,726,Settings!$C$25)&amp;"","$",""),",","")),0)/IF(Settings!$B$27="Yes",G726,1))</f>
        <v/>
      </c>
      <c r="I726" s="11">
        <f>IF(A726="","",IFERROR(VALUE(SUBSTITUTE(SUBSTITUTE(INDEX('Etsy Import'!$A:$CZ,726,Settings!$C$26)&amp;"","$",""),",","")),0)/IF(Settings!$B$27="Yes",G726,1))</f>
        <v/>
      </c>
      <c r="J726" s="11">
        <f>IF(A726="","",F726+H726-I726)</f>
        <v/>
      </c>
      <c r="K726">
        <f>IF(A726="","",IFERROR(IF(B726="",NA(),MATCH(B726,Products!$B$5:$B$204,0)),IFERROR(MATCH(A726,Products!$A$5:$A$204,0),"")))</f>
        <v/>
      </c>
      <c r="L726">
        <f>IF(A726="","",IF(K726="","⚠ not in Products",INDEX(Products!$A$5:$A$204,K726)))</f>
        <v/>
      </c>
      <c r="M726" s="11">
        <f>IF(A726="","",J726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726+IFERROR(INDEX(Settings!$D$5:$D$9,MATCH("Etsy",Settings!$A$5:$A$9,0)),0)*D726)</f>
        <v/>
      </c>
      <c r="N726" s="11">
        <f>IF(A726="","",IF(K726="",0,D726*INDEX(Products!$I$5:$I$204,K726)))</f>
        <v/>
      </c>
      <c r="O726" s="11">
        <f>IF(A726="","",IF(K726="",0,J726*INDEX(Products!$H$5:$H$204,K726)))</f>
        <v/>
      </c>
      <c r="P726" s="11">
        <f>IF(A726="","",J726-M726-N726-O726)</f>
        <v/>
      </c>
    </row>
    <row r="727">
      <c r="A727">
        <f>IFERROR(INDEX('Etsy Import'!$A:$CZ,727,Settings!$C$20)&amp;"","")</f>
        <v/>
      </c>
      <c r="B727">
        <f>IFERROR(INDEX('Etsy Import'!$A:$CZ,727,Settings!$C$21)&amp;"","")</f>
        <v/>
      </c>
      <c r="C727">
        <f>IFERROR(INDEX('Etsy Import'!$A:$CZ,727,Settings!$C$22)&amp;"","")</f>
        <v/>
      </c>
      <c r="D727">
        <f>IF(A727="","",IFERROR(VALUE(SUBSTITUTE(SUBSTITUTE(INDEX('Etsy Import'!$A:$CZ,727,Settings!$C$23)&amp;"","$",""),",","")),0))</f>
        <v/>
      </c>
      <c r="E727" s="11">
        <f>IF(A727="","",IFERROR(VALUE(SUBSTITUTE(SUBSTITUTE(INDEX('Etsy Import'!$A:$CZ,727,Settings!$C$24)&amp;"","$",""),",","")),0))</f>
        <v/>
      </c>
      <c r="F727" s="11">
        <f>IF(A727="","",D727*E727)</f>
        <v/>
      </c>
      <c r="G727">
        <f>IF(A727="","",IF(C727="",1,COUNTIF($C$2:$C$1501,C727)))</f>
        <v/>
      </c>
      <c r="H727" s="11">
        <f>IF(A727="","",IFERROR(VALUE(SUBSTITUTE(SUBSTITUTE(INDEX('Etsy Import'!$A:$CZ,727,Settings!$C$25)&amp;"","$",""),",","")),0)/IF(Settings!$B$27="Yes",G727,1))</f>
        <v/>
      </c>
      <c r="I727" s="11">
        <f>IF(A727="","",IFERROR(VALUE(SUBSTITUTE(SUBSTITUTE(INDEX('Etsy Import'!$A:$CZ,727,Settings!$C$26)&amp;"","$",""),",","")),0)/IF(Settings!$B$27="Yes",G727,1))</f>
        <v/>
      </c>
      <c r="J727" s="11">
        <f>IF(A727="","",F727+H727-I727)</f>
        <v/>
      </c>
      <c r="K727">
        <f>IF(A727="","",IFERROR(IF(B727="",NA(),MATCH(B727,Products!$B$5:$B$204,0)),IFERROR(MATCH(A727,Products!$A$5:$A$204,0),"")))</f>
        <v/>
      </c>
      <c r="L727">
        <f>IF(A727="","",IF(K727="","⚠ not in Products",INDEX(Products!$A$5:$A$204,K727)))</f>
        <v/>
      </c>
      <c r="M727" s="11">
        <f>IF(A727="","",J727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727+IFERROR(INDEX(Settings!$D$5:$D$9,MATCH("Etsy",Settings!$A$5:$A$9,0)),0)*D727)</f>
        <v/>
      </c>
      <c r="N727" s="11">
        <f>IF(A727="","",IF(K727="",0,D727*INDEX(Products!$I$5:$I$204,K727)))</f>
        <v/>
      </c>
      <c r="O727" s="11">
        <f>IF(A727="","",IF(K727="",0,J727*INDEX(Products!$H$5:$H$204,K727)))</f>
        <v/>
      </c>
      <c r="P727" s="11">
        <f>IF(A727="","",J727-M727-N727-O727)</f>
        <v/>
      </c>
    </row>
    <row r="728">
      <c r="A728">
        <f>IFERROR(INDEX('Etsy Import'!$A:$CZ,728,Settings!$C$20)&amp;"","")</f>
        <v/>
      </c>
      <c r="B728">
        <f>IFERROR(INDEX('Etsy Import'!$A:$CZ,728,Settings!$C$21)&amp;"","")</f>
        <v/>
      </c>
      <c r="C728">
        <f>IFERROR(INDEX('Etsy Import'!$A:$CZ,728,Settings!$C$22)&amp;"","")</f>
        <v/>
      </c>
      <c r="D728">
        <f>IF(A728="","",IFERROR(VALUE(SUBSTITUTE(SUBSTITUTE(INDEX('Etsy Import'!$A:$CZ,728,Settings!$C$23)&amp;"","$",""),",","")),0))</f>
        <v/>
      </c>
      <c r="E728" s="11">
        <f>IF(A728="","",IFERROR(VALUE(SUBSTITUTE(SUBSTITUTE(INDEX('Etsy Import'!$A:$CZ,728,Settings!$C$24)&amp;"","$",""),",","")),0))</f>
        <v/>
      </c>
      <c r="F728" s="11">
        <f>IF(A728="","",D728*E728)</f>
        <v/>
      </c>
      <c r="G728">
        <f>IF(A728="","",IF(C728="",1,COUNTIF($C$2:$C$1501,C728)))</f>
        <v/>
      </c>
      <c r="H728" s="11">
        <f>IF(A728="","",IFERROR(VALUE(SUBSTITUTE(SUBSTITUTE(INDEX('Etsy Import'!$A:$CZ,728,Settings!$C$25)&amp;"","$",""),",","")),0)/IF(Settings!$B$27="Yes",G728,1))</f>
        <v/>
      </c>
      <c r="I728" s="11">
        <f>IF(A728="","",IFERROR(VALUE(SUBSTITUTE(SUBSTITUTE(INDEX('Etsy Import'!$A:$CZ,728,Settings!$C$26)&amp;"","$",""),",","")),0)/IF(Settings!$B$27="Yes",G728,1))</f>
        <v/>
      </c>
      <c r="J728" s="11">
        <f>IF(A728="","",F728+H728-I728)</f>
        <v/>
      </c>
      <c r="K728">
        <f>IF(A728="","",IFERROR(IF(B728="",NA(),MATCH(B728,Products!$B$5:$B$204,0)),IFERROR(MATCH(A728,Products!$A$5:$A$204,0),"")))</f>
        <v/>
      </c>
      <c r="L728">
        <f>IF(A728="","",IF(K728="","⚠ not in Products",INDEX(Products!$A$5:$A$204,K728)))</f>
        <v/>
      </c>
      <c r="M728" s="11">
        <f>IF(A728="","",J728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728+IFERROR(INDEX(Settings!$D$5:$D$9,MATCH("Etsy",Settings!$A$5:$A$9,0)),0)*D728)</f>
        <v/>
      </c>
      <c r="N728" s="11">
        <f>IF(A728="","",IF(K728="",0,D728*INDEX(Products!$I$5:$I$204,K728)))</f>
        <v/>
      </c>
      <c r="O728" s="11">
        <f>IF(A728="","",IF(K728="",0,J728*INDEX(Products!$H$5:$H$204,K728)))</f>
        <v/>
      </c>
      <c r="P728" s="11">
        <f>IF(A728="","",J728-M728-N728-O728)</f>
        <v/>
      </c>
    </row>
    <row r="729">
      <c r="A729">
        <f>IFERROR(INDEX('Etsy Import'!$A:$CZ,729,Settings!$C$20)&amp;"","")</f>
        <v/>
      </c>
      <c r="B729">
        <f>IFERROR(INDEX('Etsy Import'!$A:$CZ,729,Settings!$C$21)&amp;"","")</f>
        <v/>
      </c>
      <c r="C729">
        <f>IFERROR(INDEX('Etsy Import'!$A:$CZ,729,Settings!$C$22)&amp;"","")</f>
        <v/>
      </c>
      <c r="D729">
        <f>IF(A729="","",IFERROR(VALUE(SUBSTITUTE(SUBSTITUTE(INDEX('Etsy Import'!$A:$CZ,729,Settings!$C$23)&amp;"","$",""),",","")),0))</f>
        <v/>
      </c>
      <c r="E729" s="11">
        <f>IF(A729="","",IFERROR(VALUE(SUBSTITUTE(SUBSTITUTE(INDEX('Etsy Import'!$A:$CZ,729,Settings!$C$24)&amp;"","$",""),",","")),0))</f>
        <v/>
      </c>
      <c r="F729" s="11">
        <f>IF(A729="","",D729*E729)</f>
        <v/>
      </c>
      <c r="G729">
        <f>IF(A729="","",IF(C729="",1,COUNTIF($C$2:$C$1501,C729)))</f>
        <v/>
      </c>
      <c r="H729" s="11">
        <f>IF(A729="","",IFERROR(VALUE(SUBSTITUTE(SUBSTITUTE(INDEX('Etsy Import'!$A:$CZ,729,Settings!$C$25)&amp;"","$",""),",","")),0)/IF(Settings!$B$27="Yes",G729,1))</f>
        <v/>
      </c>
      <c r="I729" s="11">
        <f>IF(A729="","",IFERROR(VALUE(SUBSTITUTE(SUBSTITUTE(INDEX('Etsy Import'!$A:$CZ,729,Settings!$C$26)&amp;"","$",""),",","")),0)/IF(Settings!$B$27="Yes",G729,1))</f>
        <v/>
      </c>
      <c r="J729" s="11">
        <f>IF(A729="","",F729+H729-I729)</f>
        <v/>
      </c>
      <c r="K729">
        <f>IF(A729="","",IFERROR(IF(B729="",NA(),MATCH(B729,Products!$B$5:$B$204,0)),IFERROR(MATCH(A729,Products!$A$5:$A$204,0),"")))</f>
        <v/>
      </c>
      <c r="L729">
        <f>IF(A729="","",IF(K729="","⚠ not in Products",INDEX(Products!$A$5:$A$204,K729)))</f>
        <v/>
      </c>
      <c r="M729" s="11">
        <f>IF(A729="","",J729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729+IFERROR(INDEX(Settings!$D$5:$D$9,MATCH("Etsy",Settings!$A$5:$A$9,0)),0)*D729)</f>
        <v/>
      </c>
      <c r="N729" s="11">
        <f>IF(A729="","",IF(K729="",0,D729*INDEX(Products!$I$5:$I$204,K729)))</f>
        <v/>
      </c>
      <c r="O729" s="11">
        <f>IF(A729="","",IF(K729="",0,J729*INDEX(Products!$H$5:$H$204,K729)))</f>
        <v/>
      </c>
      <c r="P729" s="11">
        <f>IF(A729="","",J729-M729-N729-O729)</f>
        <v/>
      </c>
    </row>
    <row r="730">
      <c r="A730">
        <f>IFERROR(INDEX('Etsy Import'!$A:$CZ,730,Settings!$C$20)&amp;"","")</f>
        <v/>
      </c>
      <c r="B730">
        <f>IFERROR(INDEX('Etsy Import'!$A:$CZ,730,Settings!$C$21)&amp;"","")</f>
        <v/>
      </c>
      <c r="C730">
        <f>IFERROR(INDEX('Etsy Import'!$A:$CZ,730,Settings!$C$22)&amp;"","")</f>
        <v/>
      </c>
      <c r="D730">
        <f>IF(A730="","",IFERROR(VALUE(SUBSTITUTE(SUBSTITUTE(INDEX('Etsy Import'!$A:$CZ,730,Settings!$C$23)&amp;"","$",""),",","")),0))</f>
        <v/>
      </c>
      <c r="E730" s="11">
        <f>IF(A730="","",IFERROR(VALUE(SUBSTITUTE(SUBSTITUTE(INDEX('Etsy Import'!$A:$CZ,730,Settings!$C$24)&amp;"","$",""),",","")),0))</f>
        <v/>
      </c>
      <c r="F730" s="11">
        <f>IF(A730="","",D730*E730)</f>
        <v/>
      </c>
      <c r="G730">
        <f>IF(A730="","",IF(C730="",1,COUNTIF($C$2:$C$1501,C730)))</f>
        <v/>
      </c>
      <c r="H730" s="11">
        <f>IF(A730="","",IFERROR(VALUE(SUBSTITUTE(SUBSTITUTE(INDEX('Etsy Import'!$A:$CZ,730,Settings!$C$25)&amp;"","$",""),",","")),0)/IF(Settings!$B$27="Yes",G730,1))</f>
        <v/>
      </c>
      <c r="I730" s="11">
        <f>IF(A730="","",IFERROR(VALUE(SUBSTITUTE(SUBSTITUTE(INDEX('Etsy Import'!$A:$CZ,730,Settings!$C$26)&amp;"","$",""),",","")),0)/IF(Settings!$B$27="Yes",G730,1))</f>
        <v/>
      </c>
      <c r="J730" s="11">
        <f>IF(A730="","",F730+H730-I730)</f>
        <v/>
      </c>
      <c r="K730">
        <f>IF(A730="","",IFERROR(IF(B730="",NA(),MATCH(B730,Products!$B$5:$B$204,0)),IFERROR(MATCH(A730,Products!$A$5:$A$204,0),"")))</f>
        <v/>
      </c>
      <c r="L730">
        <f>IF(A730="","",IF(K730="","⚠ not in Products",INDEX(Products!$A$5:$A$204,K730)))</f>
        <v/>
      </c>
      <c r="M730" s="11">
        <f>IF(A730="","",J730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730+IFERROR(INDEX(Settings!$D$5:$D$9,MATCH("Etsy",Settings!$A$5:$A$9,0)),0)*D730)</f>
        <v/>
      </c>
      <c r="N730" s="11">
        <f>IF(A730="","",IF(K730="",0,D730*INDEX(Products!$I$5:$I$204,K730)))</f>
        <v/>
      </c>
      <c r="O730" s="11">
        <f>IF(A730="","",IF(K730="",0,J730*INDEX(Products!$H$5:$H$204,K730)))</f>
        <v/>
      </c>
      <c r="P730" s="11">
        <f>IF(A730="","",J730-M730-N730-O730)</f>
        <v/>
      </c>
    </row>
    <row r="731">
      <c r="A731">
        <f>IFERROR(INDEX('Etsy Import'!$A:$CZ,731,Settings!$C$20)&amp;"","")</f>
        <v/>
      </c>
      <c r="B731">
        <f>IFERROR(INDEX('Etsy Import'!$A:$CZ,731,Settings!$C$21)&amp;"","")</f>
        <v/>
      </c>
      <c r="C731">
        <f>IFERROR(INDEX('Etsy Import'!$A:$CZ,731,Settings!$C$22)&amp;"","")</f>
        <v/>
      </c>
      <c r="D731">
        <f>IF(A731="","",IFERROR(VALUE(SUBSTITUTE(SUBSTITUTE(INDEX('Etsy Import'!$A:$CZ,731,Settings!$C$23)&amp;"","$",""),",","")),0))</f>
        <v/>
      </c>
      <c r="E731" s="11">
        <f>IF(A731="","",IFERROR(VALUE(SUBSTITUTE(SUBSTITUTE(INDEX('Etsy Import'!$A:$CZ,731,Settings!$C$24)&amp;"","$",""),",","")),0))</f>
        <v/>
      </c>
      <c r="F731" s="11">
        <f>IF(A731="","",D731*E731)</f>
        <v/>
      </c>
      <c r="G731">
        <f>IF(A731="","",IF(C731="",1,COUNTIF($C$2:$C$1501,C731)))</f>
        <v/>
      </c>
      <c r="H731" s="11">
        <f>IF(A731="","",IFERROR(VALUE(SUBSTITUTE(SUBSTITUTE(INDEX('Etsy Import'!$A:$CZ,731,Settings!$C$25)&amp;"","$",""),",","")),0)/IF(Settings!$B$27="Yes",G731,1))</f>
        <v/>
      </c>
      <c r="I731" s="11">
        <f>IF(A731="","",IFERROR(VALUE(SUBSTITUTE(SUBSTITUTE(INDEX('Etsy Import'!$A:$CZ,731,Settings!$C$26)&amp;"","$",""),",","")),0)/IF(Settings!$B$27="Yes",G731,1))</f>
        <v/>
      </c>
      <c r="J731" s="11">
        <f>IF(A731="","",F731+H731-I731)</f>
        <v/>
      </c>
      <c r="K731">
        <f>IF(A731="","",IFERROR(IF(B731="",NA(),MATCH(B731,Products!$B$5:$B$204,0)),IFERROR(MATCH(A731,Products!$A$5:$A$204,0),"")))</f>
        <v/>
      </c>
      <c r="L731">
        <f>IF(A731="","",IF(K731="","⚠ not in Products",INDEX(Products!$A$5:$A$204,K731)))</f>
        <v/>
      </c>
      <c r="M731" s="11">
        <f>IF(A731="","",J731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731+IFERROR(INDEX(Settings!$D$5:$D$9,MATCH("Etsy",Settings!$A$5:$A$9,0)),0)*D731)</f>
        <v/>
      </c>
      <c r="N731" s="11">
        <f>IF(A731="","",IF(K731="",0,D731*INDEX(Products!$I$5:$I$204,K731)))</f>
        <v/>
      </c>
      <c r="O731" s="11">
        <f>IF(A731="","",IF(K731="",0,J731*INDEX(Products!$H$5:$H$204,K731)))</f>
        <v/>
      </c>
      <c r="P731" s="11">
        <f>IF(A731="","",J731-M731-N731-O731)</f>
        <v/>
      </c>
    </row>
    <row r="732">
      <c r="A732">
        <f>IFERROR(INDEX('Etsy Import'!$A:$CZ,732,Settings!$C$20)&amp;"","")</f>
        <v/>
      </c>
      <c r="B732">
        <f>IFERROR(INDEX('Etsy Import'!$A:$CZ,732,Settings!$C$21)&amp;"","")</f>
        <v/>
      </c>
      <c r="C732">
        <f>IFERROR(INDEX('Etsy Import'!$A:$CZ,732,Settings!$C$22)&amp;"","")</f>
        <v/>
      </c>
      <c r="D732">
        <f>IF(A732="","",IFERROR(VALUE(SUBSTITUTE(SUBSTITUTE(INDEX('Etsy Import'!$A:$CZ,732,Settings!$C$23)&amp;"","$",""),",","")),0))</f>
        <v/>
      </c>
      <c r="E732" s="11">
        <f>IF(A732="","",IFERROR(VALUE(SUBSTITUTE(SUBSTITUTE(INDEX('Etsy Import'!$A:$CZ,732,Settings!$C$24)&amp;"","$",""),",","")),0))</f>
        <v/>
      </c>
      <c r="F732" s="11">
        <f>IF(A732="","",D732*E732)</f>
        <v/>
      </c>
      <c r="G732">
        <f>IF(A732="","",IF(C732="",1,COUNTIF($C$2:$C$1501,C732)))</f>
        <v/>
      </c>
      <c r="H732" s="11">
        <f>IF(A732="","",IFERROR(VALUE(SUBSTITUTE(SUBSTITUTE(INDEX('Etsy Import'!$A:$CZ,732,Settings!$C$25)&amp;"","$",""),",","")),0)/IF(Settings!$B$27="Yes",G732,1))</f>
        <v/>
      </c>
      <c r="I732" s="11">
        <f>IF(A732="","",IFERROR(VALUE(SUBSTITUTE(SUBSTITUTE(INDEX('Etsy Import'!$A:$CZ,732,Settings!$C$26)&amp;"","$",""),",","")),0)/IF(Settings!$B$27="Yes",G732,1))</f>
        <v/>
      </c>
      <c r="J732" s="11">
        <f>IF(A732="","",F732+H732-I732)</f>
        <v/>
      </c>
      <c r="K732">
        <f>IF(A732="","",IFERROR(IF(B732="",NA(),MATCH(B732,Products!$B$5:$B$204,0)),IFERROR(MATCH(A732,Products!$A$5:$A$204,0),"")))</f>
        <v/>
      </c>
      <c r="L732">
        <f>IF(A732="","",IF(K732="","⚠ not in Products",INDEX(Products!$A$5:$A$204,K732)))</f>
        <v/>
      </c>
      <c r="M732" s="11">
        <f>IF(A732="","",J732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732+IFERROR(INDEX(Settings!$D$5:$D$9,MATCH("Etsy",Settings!$A$5:$A$9,0)),0)*D732)</f>
        <v/>
      </c>
      <c r="N732" s="11">
        <f>IF(A732="","",IF(K732="",0,D732*INDEX(Products!$I$5:$I$204,K732)))</f>
        <v/>
      </c>
      <c r="O732" s="11">
        <f>IF(A732="","",IF(K732="",0,J732*INDEX(Products!$H$5:$H$204,K732)))</f>
        <v/>
      </c>
      <c r="P732" s="11">
        <f>IF(A732="","",J732-M732-N732-O732)</f>
        <v/>
      </c>
    </row>
    <row r="733">
      <c r="A733">
        <f>IFERROR(INDEX('Etsy Import'!$A:$CZ,733,Settings!$C$20)&amp;"","")</f>
        <v/>
      </c>
      <c r="B733">
        <f>IFERROR(INDEX('Etsy Import'!$A:$CZ,733,Settings!$C$21)&amp;"","")</f>
        <v/>
      </c>
      <c r="C733">
        <f>IFERROR(INDEX('Etsy Import'!$A:$CZ,733,Settings!$C$22)&amp;"","")</f>
        <v/>
      </c>
      <c r="D733">
        <f>IF(A733="","",IFERROR(VALUE(SUBSTITUTE(SUBSTITUTE(INDEX('Etsy Import'!$A:$CZ,733,Settings!$C$23)&amp;"","$",""),",","")),0))</f>
        <v/>
      </c>
      <c r="E733" s="11">
        <f>IF(A733="","",IFERROR(VALUE(SUBSTITUTE(SUBSTITUTE(INDEX('Etsy Import'!$A:$CZ,733,Settings!$C$24)&amp;"","$",""),",","")),0))</f>
        <v/>
      </c>
      <c r="F733" s="11">
        <f>IF(A733="","",D733*E733)</f>
        <v/>
      </c>
      <c r="G733">
        <f>IF(A733="","",IF(C733="",1,COUNTIF($C$2:$C$1501,C733)))</f>
        <v/>
      </c>
      <c r="H733" s="11">
        <f>IF(A733="","",IFERROR(VALUE(SUBSTITUTE(SUBSTITUTE(INDEX('Etsy Import'!$A:$CZ,733,Settings!$C$25)&amp;"","$",""),",","")),0)/IF(Settings!$B$27="Yes",G733,1))</f>
        <v/>
      </c>
      <c r="I733" s="11">
        <f>IF(A733="","",IFERROR(VALUE(SUBSTITUTE(SUBSTITUTE(INDEX('Etsy Import'!$A:$CZ,733,Settings!$C$26)&amp;"","$",""),",","")),0)/IF(Settings!$B$27="Yes",G733,1))</f>
        <v/>
      </c>
      <c r="J733" s="11">
        <f>IF(A733="","",F733+H733-I733)</f>
        <v/>
      </c>
      <c r="K733">
        <f>IF(A733="","",IFERROR(IF(B733="",NA(),MATCH(B733,Products!$B$5:$B$204,0)),IFERROR(MATCH(A733,Products!$A$5:$A$204,0),"")))</f>
        <v/>
      </c>
      <c r="L733">
        <f>IF(A733="","",IF(K733="","⚠ not in Products",INDEX(Products!$A$5:$A$204,K733)))</f>
        <v/>
      </c>
      <c r="M733" s="11">
        <f>IF(A733="","",J733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733+IFERROR(INDEX(Settings!$D$5:$D$9,MATCH("Etsy",Settings!$A$5:$A$9,0)),0)*D733)</f>
        <v/>
      </c>
      <c r="N733" s="11">
        <f>IF(A733="","",IF(K733="",0,D733*INDEX(Products!$I$5:$I$204,K733)))</f>
        <v/>
      </c>
      <c r="O733" s="11">
        <f>IF(A733="","",IF(K733="",0,J733*INDEX(Products!$H$5:$H$204,K733)))</f>
        <v/>
      </c>
      <c r="P733" s="11">
        <f>IF(A733="","",J733-M733-N733-O733)</f>
        <v/>
      </c>
    </row>
    <row r="734">
      <c r="A734">
        <f>IFERROR(INDEX('Etsy Import'!$A:$CZ,734,Settings!$C$20)&amp;"","")</f>
        <v/>
      </c>
      <c r="B734">
        <f>IFERROR(INDEX('Etsy Import'!$A:$CZ,734,Settings!$C$21)&amp;"","")</f>
        <v/>
      </c>
      <c r="C734">
        <f>IFERROR(INDEX('Etsy Import'!$A:$CZ,734,Settings!$C$22)&amp;"","")</f>
        <v/>
      </c>
      <c r="D734">
        <f>IF(A734="","",IFERROR(VALUE(SUBSTITUTE(SUBSTITUTE(INDEX('Etsy Import'!$A:$CZ,734,Settings!$C$23)&amp;"","$",""),",","")),0))</f>
        <v/>
      </c>
      <c r="E734" s="11">
        <f>IF(A734="","",IFERROR(VALUE(SUBSTITUTE(SUBSTITUTE(INDEX('Etsy Import'!$A:$CZ,734,Settings!$C$24)&amp;"","$",""),",","")),0))</f>
        <v/>
      </c>
      <c r="F734" s="11">
        <f>IF(A734="","",D734*E734)</f>
        <v/>
      </c>
      <c r="G734">
        <f>IF(A734="","",IF(C734="",1,COUNTIF($C$2:$C$1501,C734)))</f>
        <v/>
      </c>
      <c r="H734" s="11">
        <f>IF(A734="","",IFERROR(VALUE(SUBSTITUTE(SUBSTITUTE(INDEX('Etsy Import'!$A:$CZ,734,Settings!$C$25)&amp;"","$",""),",","")),0)/IF(Settings!$B$27="Yes",G734,1))</f>
        <v/>
      </c>
      <c r="I734" s="11">
        <f>IF(A734="","",IFERROR(VALUE(SUBSTITUTE(SUBSTITUTE(INDEX('Etsy Import'!$A:$CZ,734,Settings!$C$26)&amp;"","$",""),",","")),0)/IF(Settings!$B$27="Yes",G734,1))</f>
        <v/>
      </c>
      <c r="J734" s="11">
        <f>IF(A734="","",F734+H734-I734)</f>
        <v/>
      </c>
      <c r="K734">
        <f>IF(A734="","",IFERROR(IF(B734="",NA(),MATCH(B734,Products!$B$5:$B$204,0)),IFERROR(MATCH(A734,Products!$A$5:$A$204,0),"")))</f>
        <v/>
      </c>
      <c r="L734">
        <f>IF(A734="","",IF(K734="","⚠ not in Products",INDEX(Products!$A$5:$A$204,K734)))</f>
        <v/>
      </c>
      <c r="M734" s="11">
        <f>IF(A734="","",J734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734+IFERROR(INDEX(Settings!$D$5:$D$9,MATCH("Etsy",Settings!$A$5:$A$9,0)),0)*D734)</f>
        <v/>
      </c>
      <c r="N734" s="11">
        <f>IF(A734="","",IF(K734="",0,D734*INDEX(Products!$I$5:$I$204,K734)))</f>
        <v/>
      </c>
      <c r="O734" s="11">
        <f>IF(A734="","",IF(K734="",0,J734*INDEX(Products!$H$5:$H$204,K734)))</f>
        <v/>
      </c>
      <c r="P734" s="11">
        <f>IF(A734="","",J734-M734-N734-O734)</f>
        <v/>
      </c>
    </row>
    <row r="735">
      <c r="A735">
        <f>IFERROR(INDEX('Etsy Import'!$A:$CZ,735,Settings!$C$20)&amp;"","")</f>
        <v/>
      </c>
      <c r="B735">
        <f>IFERROR(INDEX('Etsy Import'!$A:$CZ,735,Settings!$C$21)&amp;"","")</f>
        <v/>
      </c>
      <c r="C735">
        <f>IFERROR(INDEX('Etsy Import'!$A:$CZ,735,Settings!$C$22)&amp;"","")</f>
        <v/>
      </c>
      <c r="D735">
        <f>IF(A735="","",IFERROR(VALUE(SUBSTITUTE(SUBSTITUTE(INDEX('Etsy Import'!$A:$CZ,735,Settings!$C$23)&amp;"","$",""),",","")),0))</f>
        <v/>
      </c>
      <c r="E735" s="11">
        <f>IF(A735="","",IFERROR(VALUE(SUBSTITUTE(SUBSTITUTE(INDEX('Etsy Import'!$A:$CZ,735,Settings!$C$24)&amp;"","$",""),",","")),0))</f>
        <v/>
      </c>
      <c r="F735" s="11">
        <f>IF(A735="","",D735*E735)</f>
        <v/>
      </c>
      <c r="G735">
        <f>IF(A735="","",IF(C735="",1,COUNTIF($C$2:$C$1501,C735)))</f>
        <v/>
      </c>
      <c r="H735" s="11">
        <f>IF(A735="","",IFERROR(VALUE(SUBSTITUTE(SUBSTITUTE(INDEX('Etsy Import'!$A:$CZ,735,Settings!$C$25)&amp;"","$",""),",","")),0)/IF(Settings!$B$27="Yes",G735,1))</f>
        <v/>
      </c>
      <c r="I735" s="11">
        <f>IF(A735="","",IFERROR(VALUE(SUBSTITUTE(SUBSTITUTE(INDEX('Etsy Import'!$A:$CZ,735,Settings!$C$26)&amp;"","$",""),",","")),0)/IF(Settings!$B$27="Yes",G735,1))</f>
        <v/>
      </c>
      <c r="J735" s="11">
        <f>IF(A735="","",F735+H735-I735)</f>
        <v/>
      </c>
      <c r="K735">
        <f>IF(A735="","",IFERROR(IF(B735="",NA(),MATCH(B735,Products!$B$5:$B$204,0)),IFERROR(MATCH(A735,Products!$A$5:$A$204,0),"")))</f>
        <v/>
      </c>
      <c r="L735">
        <f>IF(A735="","",IF(K735="","⚠ not in Products",INDEX(Products!$A$5:$A$204,K735)))</f>
        <v/>
      </c>
      <c r="M735" s="11">
        <f>IF(A735="","",J735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735+IFERROR(INDEX(Settings!$D$5:$D$9,MATCH("Etsy",Settings!$A$5:$A$9,0)),0)*D735)</f>
        <v/>
      </c>
      <c r="N735" s="11">
        <f>IF(A735="","",IF(K735="",0,D735*INDEX(Products!$I$5:$I$204,K735)))</f>
        <v/>
      </c>
      <c r="O735" s="11">
        <f>IF(A735="","",IF(K735="",0,J735*INDEX(Products!$H$5:$H$204,K735)))</f>
        <v/>
      </c>
      <c r="P735" s="11">
        <f>IF(A735="","",J735-M735-N735-O735)</f>
        <v/>
      </c>
    </row>
    <row r="736">
      <c r="A736">
        <f>IFERROR(INDEX('Etsy Import'!$A:$CZ,736,Settings!$C$20)&amp;"","")</f>
        <v/>
      </c>
      <c r="B736">
        <f>IFERROR(INDEX('Etsy Import'!$A:$CZ,736,Settings!$C$21)&amp;"","")</f>
        <v/>
      </c>
      <c r="C736">
        <f>IFERROR(INDEX('Etsy Import'!$A:$CZ,736,Settings!$C$22)&amp;"","")</f>
        <v/>
      </c>
      <c r="D736">
        <f>IF(A736="","",IFERROR(VALUE(SUBSTITUTE(SUBSTITUTE(INDEX('Etsy Import'!$A:$CZ,736,Settings!$C$23)&amp;"","$",""),",","")),0))</f>
        <v/>
      </c>
      <c r="E736" s="11">
        <f>IF(A736="","",IFERROR(VALUE(SUBSTITUTE(SUBSTITUTE(INDEX('Etsy Import'!$A:$CZ,736,Settings!$C$24)&amp;"","$",""),",","")),0))</f>
        <v/>
      </c>
      <c r="F736" s="11">
        <f>IF(A736="","",D736*E736)</f>
        <v/>
      </c>
      <c r="G736">
        <f>IF(A736="","",IF(C736="",1,COUNTIF($C$2:$C$1501,C736)))</f>
        <v/>
      </c>
      <c r="H736" s="11">
        <f>IF(A736="","",IFERROR(VALUE(SUBSTITUTE(SUBSTITUTE(INDEX('Etsy Import'!$A:$CZ,736,Settings!$C$25)&amp;"","$",""),",","")),0)/IF(Settings!$B$27="Yes",G736,1))</f>
        <v/>
      </c>
      <c r="I736" s="11">
        <f>IF(A736="","",IFERROR(VALUE(SUBSTITUTE(SUBSTITUTE(INDEX('Etsy Import'!$A:$CZ,736,Settings!$C$26)&amp;"","$",""),",","")),0)/IF(Settings!$B$27="Yes",G736,1))</f>
        <v/>
      </c>
      <c r="J736" s="11">
        <f>IF(A736="","",F736+H736-I736)</f>
        <v/>
      </c>
      <c r="K736">
        <f>IF(A736="","",IFERROR(IF(B736="",NA(),MATCH(B736,Products!$B$5:$B$204,0)),IFERROR(MATCH(A736,Products!$A$5:$A$204,0),"")))</f>
        <v/>
      </c>
      <c r="L736">
        <f>IF(A736="","",IF(K736="","⚠ not in Products",INDEX(Products!$A$5:$A$204,K736)))</f>
        <v/>
      </c>
      <c r="M736" s="11">
        <f>IF(A736="","",J736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736+IFERROR(INDEX(Settings!$D$5:$D$9,MATCH("Etsy",Settings!$A$5:$A$9,0)),0)*D736)</f>
        <v/>
      </c>
      <c r="N736" s="11">
        <f>IF(A736="","",IF(K736="",0,D736*INDEX(Products!$I$5:$I$204,K736)))</f>
        <v/>
      </c>
      <c r="O736" s="11">
        <f>IF(A736="","",IF(K736="",0,J736*INDEX(Products!$H$5:$H$204,K736)))</f>
        <v/>
      </c>
      <c r="P736" s="11">
        <f>IF(A736="","",J736-M736-N736-O736)</f>
        <v/>
      </c>
    </row>
    <row r="737">
      <c r="A737">
        <f>IFERROR(INDEX('Etsy Import'!$A:$CZ,737,Settings!$C$20)&amp;"","")</f>
        <v/>
      </c>
      <c r="B737">
        <f>IFERROR(INDEX('Etsy Import'!$A:$CZ,737,Settings!$C$21)&amp;"","")</f>
        <v/>
      </c>
      <c r="C737">
        <f>IFERROR(INDEX('Etsy Import'!$A:$CZ,737,Settings!$C$22)&amp;"","")</f>
        <v/>
      </c>
      <c r="D737">
        <f>IF(A737="","",IFERROR(VALUE(SUBSTITUTE(SUBSTITUTE(INDEX('Etsy Import'!$A:$CZ,737,Settings!$C$23)&amp;"","$",""),",","")),0))</f>
        <v/>
      </c>
      <c r="E737" s="11">
        <f>IF(A737="","",IFERROR(VALUE(SUBSTITUTE(SUBSTITUTE(INDEX('Etsy Import'!$A:$CZ,737,Settings!$C$24)&amp;"","$",""),",","")),0))</f>
        <v/>
      </c>
      <c r="F737" s="11">
        <f>IF(A737="","",D737*E737)</f>
        <v/>
      </c>
      <c r="G737">
        <f>IF(A737="","",IF(C737="",1,COUNTIF($C$2:$C$1501,C737)))</f>
        <v/>
      </c>
      <c r="H737" s="11">
        <f>IF(A737="","",IFERROR(VALUE(SUBSTITUTE(SUBSTITUTE(INDEX('Etsy Import'!$A:$CZ,737,Settings!$C$25)&amp;"","$",""),",","")),0)/IF(Settings!$B$27="Yes",G737,1))</f>
        <v/>
      </c>
      <c r="I737" s="11">
        <f>IF(A737="","",IFERROR(VALUE(SUBSTITUTE(SUBSTITUTE(INDEX('Etsy Import'!$A:$CZ,737,Settings!$C$26)&amp;"","$",""),",","")),0)/IF(Settings!$B$27="Yes",G737,1))</f>
        <v/>
      </c>
      <c r="J737" s="11">
        <f>IF(A737="","",F737+H737-I737)</f>
        <v/>
      </c>
      <c r="K737">
        <f>IF(A737="","",IFERROR(IF(B737="",NA(),MATCH(B737,Products!$B$5:$B$204,0)),IFERROR(MATCH(A737,Products!$A$5:$A$204,0),"")))</f>
        <v/>
      </c>
      <c r="L737">
        <f>IF(A737="","",IF(K737="","⚠ not in Products",INDEX(Products!$A$5:$A$204,K737)))</f>
        <v/>
      </c>
      <c r="M737" s="11">
        <f>IF(A737="","",J737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737+IFERROR(INDEX(Settings!$D$5:$D$9,MATCH("Etsy",Settings!$A$5:$A$9,0)),0)*D737)</f>
        <v/>
      </c>
      <c r="N737" s="11">
        <f>IF(A737="","",IF(K737="",0,D737*INDEX(Products!$I$5:$I$204,K737)))</f>
        <v/>
      </c>
      <c r="O737" s="11">
        <f>IF(A737="","",IF(K737="",0,J737*INDEX(Products!$H$5:$H$204,K737)))</f>
        <v/>
      </c>
      <c r="P737" s="11">
        <f>IF(A737="","",J737-M737-N737-O737)</f>
        <v/>
      </c>
    </row>
    <row r="738">
      <c r="A738">
        <f>IFERROR(INDEX('Etsy Import'!$A:$CZ,738,Settings!$C$20)&amp;"","")</f>
        <v/>
      </c>
      <c r="B738">
        <f>IFERROR(INDEX('Etsy Import'!$A:$CZ,738,Settings!$C$21)&amp;"","")</f>
        <v/>
      </c>
      <c r="C738">
        <f>IFERROR(INDEX('Etsy Import'!$A:$CZ,738,Settings!$C$22)&amp;"","")</f>
        <v/>
      </c>
      <c r="D738">
        <f>IF(A738="","",IFERROR(VALUE(SUBSTITUTE(SUBSTITUTE(INDEX('Etsy Import'!$A:$CZ,738,Settings!$C$23)&amp;"","$",""),",","")),0))</f>
        <v/>
      </c>
      <c r="E738" s="11">
        <f>IF(A738="","",IFERROR(VALUE(SUBSTITUTE(SUBSTITUTE(INDEX('Etsy Import'!$A:$CZ,738,Settings!$C$24)&amp;"","$",""),",","")),0))</f>
        <v/>
      </c>
      <c r="F738" s="11">
        <f>IF(A738="","",D738*E738)</f>
        <v/>
      </c>
      <c r="G738">
        <f>IF(A738="","",IF(C738="",1,COUNTIF($C$2:$C$1501,C738)))</f>
        <v/>
      </c>
      <c r="H738" s="11">
        <f>IF(A738="","",IFERROR(VALUE(SUBSTITUTE(SUBSTITUTE(INDEX('Etsy Import'!$A:$CZ,738,Settings!$C$25)&amp;"","$",""),",","")),0)/IF(Settings!$B$27="Yes",G738,1))</f>
        <v/>
      </c>
      <c r="I738" s="11">
        <f>IF(A738="","",IFERROR(VALUE(SUBSTITUTE(SUBSTITUTE(INDEX('Etsy Import'!$A:$CZ,738,Settings!$C$26)&amp;"","$",""),",","")),0)/IF(Settings!$B$27="Yes",G738,1))</f>
        <v/>
      </c>
      <c r="J738" s="11">
        <f>IF(A738="","",F738+H738-I738)</f>
        <v/>
      </c>
      <c r="K738">
        <f>IF(A738="","",IFERROR(IF(B738="",NA(),MATCH(B738,Products!$B$5:$B$204,0)),IFERROR(MATCH(A738,Products!$A$5:$A$204,0),"")))</f>
        <v/>
      </c>
      <c r="L738">
        <f>IF(A738="","",IF(K738="","⚠ not in Products",INDEX(Products!$A$5:$A$204,K738)))</f>
        <v/>
      </c>
      <c r="M738" s="11">
        <f>IF(A738="","",J738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738+IFERROR(INDEX(Settings!$D$5:$D$9,MATCH("Etsy",Settings!$A$5:$A$9,0)),0)*D738)</f>
        <v/>
      </c>
      <c r="N738" s="11">
        <f>IF(A738="","",IF(K738="",0,D738*INDEX(Products!$I$5:$I$204,K738)))</f>
        <v/>
      </c>
      <c r="O738" s="11">
        <f>IF(A738="","",IF(K738="",0,J738*INDEX(Products!$H$5:$H$204,K738)))</f>
        <v/>
      </c>
      <c r="P738" s="11">
        <f>IF(A738="","",J738-M738-N738-O738)</f>
        <v/>
      </c>
    </row>
    <row r="739">
      <c r="A739">
        <f>IFERROR(INDEX('Etsy Import'!$A:$CZ,739,Settings!$C$20)&amp;"","")</f>
        <v/>
      </c>
      <c r="B739">
        <f>IFERROR(INDEX('Etsy Import'!$A:$CZ,739,Settings!$C$21)&amp;"","")</f>
        <v/>
      </c>
      <c r="C739">
        <f>IFERROR(INDEX('Etsy Import'!$A:$CZ,739,Settings!$C$22)&amp;"","")</f>
        <v/>
      </c>
      <c r="D739">
        <f>IF(A739="","",IFERROR(VALUE(SUBSTITUTE(SUBSTITUTE(INDEX('Etsy Import'!$A:$CZ,739,Settings!$C$23)&amp;"","$",""),",","")),0))</f>
        <v/>
      </c>
      <c r="E739" s="11">
        <f>IF(A739="","",IFERROR(VALUE(SUBSTITUTE(SUBSTITUTE(INDEX('Etsy Import'!$A:$CZ,739,Settings!$C$24)&amp;"","$",""),",","")),0))</f>
        <v/>
      </c>
      <c r="F739" s="11">
        <f>IF(A739="","",D739*E739)</f>
        <v/>
      </c>
      <c r="G739">
        <f>IF(A739="","",IF(C739="",1,COUNTIF($C$2:$C$1501,C739)))</f>
        <v/>
      </c>
      <c r="H739" s="11">
        <f>IF(A739="","",IFERROR(VALUE(SUBSTITUTE(SUBSTITUTE(INDEX('Etsy Import'!$A:$CZ,739,Settings!$C$25)&amp;"","$",""),",","")),0)/IF(Settings!$B$27="Yes",G739,1))</f>
        <v/>
      </c>
      <c r="I739" s="11">
        <f>IF(A739="","",IFERROR(VALUE(SUBSTITUTE(SUBSTITUTE(INDEX('Etsy Import'!$A:$CZ,739,Settings!$C$26)&amp;"","$",""),",","")),0)/IF(Settings!$B$27="Yes",G739,1))</f>
        <v/>
      </c>
      <c r="J739" s="11">
        <f>IF(A739="","",F739+H739-I739)</f>
        <v/>
      </c>
      <c r="K739">
        <f>IF(A739="","",IFERROR(IF(B739="",NA(),MATCH(B739,Products!$B$5:$B$204,0)),IFERROR(MATCH(A739,Products!$A$5:$A$204,0),"")))</f>
        <v/>
      </c>
      <c r="L739">
        <f>IF(A739="","",IF(K739="","⚠ not in Products",INDEX(Products!$A$5:$A$204,K739)))</f>
        <v/>
      </c>
      <c r="M739" s="11">
        <f>IF(A739="","",J739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739+IFERROR(INDEX(Settings!$D$5:$D$9,MATCH("Etsy",Settings!$A$5:$A$9,0)),0)*D739)</f>
        <v/>
      </c>
      <c r="N739" s="11">
        <f>IF(A739="","",IF(K739="",0,D739*INDEX(Products!$I$5:$I$204,K739)))</f>
        <v/>
      </c>
      <c r="O739" s="11">
        <f>IF(A739="","",IF(K739="",0,J739*INDEX(Products!$H$5:$H$204,K739)))</f>
        <v/>
      </c>
      <c r="P739" s="11">
        <f>IF(A739="","",J739-M739-N739-O739)</f>
        <v/>
      </c>
    </row>
    <row r="740">
      <c r="A740">
        <f>IFERROR(INDEX('Etsy Import'!$A:$CZ,740,Settings!$C$20)&amp;"","")</f>
        <v/>
      </c>
      <c r="B740">
        <f>IFERROR(INDEX('Etsy Import'!$A:$CZ,740,Settings!$C$21)&amp;"","")</f>
        <v/>
      </c>
      <c r="C740">
        <f>IFERROR(INDEX('Etsy Import'!$A:$CZ,740,Settings!$C$22)&amp;"","")</f>
        <v/>
      </c>
      <c r="D740">
        <f>IF(A740="","",IFERROR(VALUE(SUBSTITUTE(SUBSTITUTE(INDEX('Etsy Import'!$A:$CZ,740,Settings!$C$23)&amp;"","$",""),",","")),0))</f>
        <v/>
      </c>
      <c r="E740" s="11">
        <f>IF(A740="","",IFERROR(VALUE(SUBSTITUTE(SUBSTITUTE(INDEX('Etsy Import'!$A:$CZ,740,Settings!$C$24)&amp;"","$",""),",","")),0))</f>
        <v/>
      </c>
      <c r="F740" s="11">
        <f>IF(A740="","",D740*E740)</f>
        <v/>
      </c>
      <c r="G740">
        <f>IF(A740="","",IF(C740="",1,COUNTIF($C$2:$C$1501,C740)))</f>
        <v/>
      </c>
      <c r="H740" s="11">
        <f>IF(A740="","",IFERROR(VALUE(SUBSTITUTE(SUBSTITUTE(INDEX('Etsy Import'!$A:$CZ,740,Settings!$C$25)&amp;"","$",""),",","")),0)/IF(Settings!$B$27="Yes",G740,1))</f>
        <v/>
      </c>
      <c r="I740" s="11">
        <f>IF(A740="","",IFERROR(VALUE(SUBSTITUTE(SUBSTITUTE(INDEX('Etsy Import'!$A:$CZ,740,Settings!$C$26)&amp;"","$",""),",","")),0)/IF(Settings!$B$27="Yes",G740,1))</f>
        <v/>
      </c>
      <c r="J740" s="11">
        <f>IF(A740="","",F740+H740-I740)</f>
        <v/>
      </c>
      <c r="K740">
        <f>IF(A740="","",IFERROR(IF(B740="",NA(),MATCH(B740,Products!$B$5:$B$204,0)),IFERROR(MATCH(A740,Products!$A$5:$A$204,0),"")))</f>
        <v/>
      </c>
      <c r="L740">
        <f>IF(A740="","",IF(K740="","⚠ not in Products",INDEX(Products!$A$5:$A$204,K740)))</f>
        <v/>
      </c>
      <c r="M740" s="11">
        <f>IF(A740="","",J740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740+IFERROR(INDEX(Settings!$D$5:$D$9,MATCH("Etsy",Settings!$A$5:$A$9,0)),0)*D740)</f>
        <v/>
      </c>
      <c r="N740" s="11">
        <f>IF(A740="","",IF(K740="",0,D740*INDEX(Products!$I$5:$I$204,K740)))</f>
        <v/>
      </c>
      <c r="O740" s="11">
        <f>IF(A740="","",IF(K740="",0,J740*INDEX(Products!$H$5:$H$204,K740)))</f>
        <v/>
      </c>
      <c r="P740" s="11">
        <f>IF(A740="","",J740-M740-N740-O740)</f>
        <v/>
      </c>
    </row>
    <row r="741">
      <c r="A741">
        <f>IFERROR(INDEX('Etsy Import'!$A:$CZ,741,Settings!$C$20)&amp;"","")</f>
        <v/>
      </c>
      <c r="B741">
        <f>IFERROR(INDEX('Etsy Import'!$A:$CZ,741,Settings!$C$21)&amp;"","")</f>
        <v/>
      </c>
      <c r="C741">
        <f>IFERROR(INDEX('Etsy Import'!$A:$CZ,741,Settings!$C$22)&amp;"","")</f>
        <v/>
      </c>
      <c r="D741">
        <f>IF(A741="","",IFERROR(VALUE(SUBSTITUTE(SUBSTITUTE(INDEX('Etsy Import'!$A:$CZ,741,Settings!$C$23)&amp;"","$",""),",","")),0))</f>
        <v/>
      </c>
      <c r="E741" s="11">
        <f>IF(A741="","",IFERROR(VALUE(SUBSTITUTE(SUBSTITUTE(INDEX('Etsy Import'!$A:$CZ,741,Settings!$C$24)&amp;"","$",""),",","")),0))</f>
        <v/>
      </c>
      <c r="F741" s="11">
        <f>IF(A741="","",D741*E741)</f>
        <v/>
      </c>
      <c r="G741">
        <f>IF(A741="","",IF(C741="",1,COUNTIF($C$2:$C$1501,C741)))</f>
        <v/>
      </c>
      <c r="H741" s="11">
        <f>IF(A741="","",IFERROR(VALUE(SUBSTITUTE(SUBSTITUTE(INDEX('Etsy Import'!$A:$CZ,741,Settings!$C$25)&amp;"","$",""),",","")),0)/IF(Settings!$B$27="Yes",G741,1))</f>
        <v/>
      </c>
      <c r="I741" s="11">
        <f>IF(A741="","",IFERROR(VALUE(SUBSTITUTE(SUBSTITUTE(INDEX('Etsy Import'!$A:$CZ,741,Settings!$C$26)&amp;"","$",""),",","")),0)/IF(Settings!$B$27="Yes",G741,1))</f>
        <v/>
      </c>
      <c r="J741" s="11">
        <f>IF(A741="","",F741+H741-I741)</f>
        <v/>
      </c>
      <c r="K741">
        <f>IF(A741="","",IFERROR(IF(B741="",NA(),MATCH(B741,Products!$B$5:$B$204,0)),IFERROR(MATCH(A741,Products!$A$5:$A$204,0),"")))</f>
        <v/>
      </c>
      <c r="L741">
        <f>IF(A741="","",IF(K741="","⚠ not in Products",INDEX(Products!$A$5:$A$204,K741)))</f>
        <v/>
      </c>
      <c r="M741" s="11">
        <f>IF(A741="","",J741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741+IFERROR(INDEX(Settings!$D$5:$D$9,MATCH("Etsy",Settings!$A$5:$A$9,0)),0)*D741)</f>
        <v/>
      </c>
      <c r="N741" s="11">
        <f>IF(A741="","",IF(K741="",0,D741*INDEX(Products!$I$5:$I$204,K741)))</f>
        <v/>
      </c>
      <c r="O741" s="11">
        <f>IF(A741="","",IF(K741="",0,J741*INDEX(Products!$H$5:$H$204,K741)))</f>
        <v/>
      </c>
      <c r="P741" s="11">
        <f>IF(A741="","",J741-M741-N741-O741)</f>
        <v/>
      </c>
    </row>
    <row r="742">
      <c r="A742">
        <f>IFERROR(INDEX('Etsy Import'!$A:$CZ,742,Settings!$C$20)&amp;"","")</f>
        <v/>
      </c>
      <c r="B742">
        <f>IFERROR(INDEX('Etsy Import'!$A:$CZ,742,Settings!$C$21)&amp;"","")</f>
        <v/>
      </c>
      <c r="C742">
        <f>IFERROR(INDEX('Etsy Import'!$A:$CZ,742,Settings!$C$22)&amp;"","")</f>
        <v/>
      </c>
      <c r="D742">
        <f>IF(A742="","",IFERROR(VALUE(SUBSTITUTE(SUBSTITUTE(INDEX('Etsy Import'!$A:$CZ,742,Settings!$C$23)&amp;"","$",""),",","")),0))</f>
        <v/>
      </c>
      <c r="E742" s="11">
        <f>IF(A742="","",IFERROR(VALUE(SUBSTITUTE(SUBSTITUTE(INDEX('Etsy Import'!$A:$CZ,742,Settings!$C$24)&amp;"","$",""),",","")),0))</f>
        <v/>
      </c>
      <c r="F742" s="11">
        <f>IF(A742="","",D742*E742)</f>
        <v/>
      </c>
      <c r="G742">
        <f>IF(A742="","",IF(C742="",1,COUNTIF($C$2:$C$1501,C742)))</f>
        <v/>
      </c>
      <c r="H742" s="11">
        <f>IF(A742="","",IFERROR(VALUE(SUBSTITUTE(SUBSTITUTE(INDEX('Etsy Import'!$A:$CZ,742,Settings!$C$25)&amp;"","$",""),",","")),0)/IF(Settings!$B$27="Yes",G742,1))</f>
        <v/>
      </c>
      <c r="I742" s="11">
        <f>IF(A742="","",IFERROR(VALUE(SUBSTITUTE(SUBSTITUTE(INDEX('Etsy Import'!$A:$CZ,742,Settings!$C$26)&amp;"","$",""),",","")),0)/IF(Settings!$B$27="Yes",G742,1))</f>
        <v/>
      </c>
      <c r="J742" s="11">
        <f>IF(A742="","",F742+H742-I742)</f>
        <v/>
      </c>
      <c r="K742">
        <f>IF(A742="","",IFERROR(IF(B742="",NA(),MATCH(B742,Products!$B$5:$B$204,0)),IFERROR(MATCH(A742,Products!$A$5:$A$204,0),"")))</f>
        <v/>
      </c>
      <c r="L742">
        <f>IF(A742="","",IF(K742="","⚠ not in Products",INDEX(Products!$A$5:$A$204,K742)))</f>
        <v/>
      </c>
      <c r="M742" s="11">
        <f>IF(A742="","",J742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742+IFERROR(INDEX(Settings!$D$5:$D$9,MATCH("Etsy",Settings!$A$5:$A$9,0)),0)*D742)</f>
        <v/>
      </c>
      <c r="N742" s="11">
        <f>IF(A742="","",IF(K742="",0,D742*INDEX(Products!$I$5:$I$204,K742)))</f>
        <v/>
      </c>
      <c r="O742" s="11">
        <f>IF(A742="","",IF(K742="",0,J742*INDEX(Products!$H$5:$H$204,K742)))</f>
        <v/>
      </c>
      <c r="P742" s="11">
        <f>IF(A742="","",J742-M742-N742-O742)</f>
        <v/>
      </c>
    </row>
    <row r="743">
      <c r="A743">
        <f>IFERROR(INDEX('Etsy Import'!$A:$CZ,743,Settings!$C$20)&amp;"","")</f>
        <v/>
      </c>
      <c r="B743">
        <f>IFERROR(INDEX('Etsy Import'!$A:$CZ,743,Settings!$C$21)&amp;"","")</f>
        <v/>
      </c>
      <c r="C743">
        <f>IFERROR(INDEX('Etsy Import'!$A:$CZ,743,Settings!$C$22)&amp;"","")</f>
        <v/>
      </c>
      <c r="D743">
        <f>IF(A743="","",IFERROR(VALUE(SUBSTITUTE(SUBSTITUTE(INDEX('Etsy Import'!$A:$CZ,743,Settings!$C$23)&amp;"","$",""),",","")),0))</f>
        <v/>
      </c>
      <c r="E743" s="11">
        <f>IF(A743="","",IFERROR(VALUE(SUBSTITUTE(SUBSTITUTE(INDEX('Etsy Import'!$A:$CZ,743,Settings!$C$24)&amp;"","$",""),",","")),0))</f>
        <v/>
      </c>
      <c r="F743" s="11">
        <f>IF(A743="","",D743*E743)</f>
        <v/>
      </c>
      <c r="G743">
        <f>IF(A743="","",IF(C743="",1,COUNTIF($C$2:$C$1501,C743)))</f>
        <v/>
      </c>
      <c r="H743" s="11">
        <f>IF(A743="","",IFERROR(VALUE(SUBSTITUTE(SUBSTITUTE(INDEX('Etsy Import'!$A:$CZ,743,Settings!$C$25)&amp;"","$",""),",","")),0)/IF(Settings!$B$27="Yes",G743,1))</f>
        <v/>
      </c>
      <c r="I743" s="11">
        <f>IF(A743="","",IFERROR(VALUE(SUBSTITUTE(SUBSTITUTE(INDEX('Etsy Import'!$A:$CZ,743,Settings!$C$26)&amp;"","$",""),",","")),0)/IF(Settings!$B$27="Yes",G743,1))</f>
        <v/>
      </c>
      <c r="J743" s="11">
        <f>IF(A743="","",F743+H743-I743)</f>
        <v/>
      </c>
      <c r="K743">
        <f>IF(A743="","",IFERROR(IF(B743="",NA(),MATCH(B743,Products!$B$5:$B$204,0)),IFERROR(MATCH(A743,Products!$A$5:$A$204,0),"")))</f>
        <v/>
      </c>
      <c r="L743">
        <f>IF(A743="","",IF(K743="","⚠ not in Products",INDEX(Products!$A$5:$A$204,K743)))</f>
        <v/>
      </c>
      <c r="M743" s="11">
        <f>IF(A743="","",J743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743+IFERROR(INDEX(Settings!$D$5:$D$9,MATCH("Etsy",Settings!$A$5:$A$9,0)),0)*D743)</f>
        <v/>
      </c>
      <c r="N743" s="11">
        <f>IF(A743="","",IF(K743="",0,D743*INDEX(Products!$I$5:$I$204,K743)))</f>
        <v/>
      </c>
      <c r="O743" s="11">
        <f>IF(A743="","",IF(K743="",0,J743*INDEX(Products!$H$5:$H$204,K743)))</f>
        <v/>
      </c>
      <c r="P743" s="11">
        <f>IF(A743="","",J743-M743-N743-O743)</f>
        <v/>
      </c>
    </row>
    <row r="744">
      <c r="A744">
        <f>IFERROR(INDEX('Etsy Import'!$A:$CZ,744,Settings!$C$20)&amp;"","")</f>
        <v/>
      </c>
      <c r="B744">
        <f>IFERROR(INDEX('Etsy Import'!$A:$CZ,744,Settings!$C$21)&amp;"","")</f>
        <v/>
      </c>
      <c r="C744">
        <f>IFERROR(INDEX('Etsy Import'!$A:$CZ,744,Settings!$C$22)&amp;"","")</f>
        <v/>
      </c>
      <c r="D744">
        <f>IF(A744="","",IFERROR(VALUE(SUBSTITUTE(SUBSTITUTE(INDEX('Etsy Import'!$A:$CZ,744,Settings!$C$23)&amp;"","$",""),",","")),0))</f>
        <v/>
      </c>
      <c r="E744" s="11">
        <f>IF(A744="","",IFERROR(VALUE(SUBSTITUTE(SUBSTITUTE(INDEX('Etsy Import'!$A:$CZ,744,Settings!$C$24)&amp;"","$",""),",","")),0))</f>
        <v/>
      </c>
      <c r="F744" s="11">
        <f>IF(A744="","",D744*E744)</f>
        <v/>
      </c>
      <c r="G744">
        <f>IF(A744="","",IF(C744="",1,COUNTIF($C$2:$C$1501,C744)))</f>
        <v/>
      </c>
      <c r="H744" s="11">
        <f>IF(A744="","",IFERROR(VALUE(SUBSTITUTE(SUBSTITUTE(INDEX('Etsy Import'!$A:$CZ,744,Settings!$C$25)&amp;"","$",""),",","")),0)/IF(Settings!$B$27="Yes",G744,1))</f>
        <v/>
      </c>
      <c r="I744" s="11">
        <f>IF(A744="","",IFERROR(VALUE(SUBSTITUTE(SUBSTITUTE(INDEX('Etsy Import'!$A:$CZ,744,Settings!$C$26)&amp;"","$",""),",","")),0)/IF(Settings!$B$27="Yes",G744,1))</f>
        <v/>
      </c>
      <c r="J744" s="11">
        <f>IF(A744="","",F744+H744-I744)</f>
        <v/>
      </c>
      <c r="K744">
        <f>IF(A744="","",IFERROR(IF(B744="",NA(),MATCH(B744,Products!$B$5:$B$204,0)),IFERROR(MATCH(A744,Products!$A$5:$A$204,0),"")))</f>
        <v/>
      </c>
      <c r="L744">
        <f>IF(A744="","",IF(K744="","⚠ not in Products",INDEX(Products!$A$5:$A$204,K744)))</f>
        <v/>
      </c>
      <c r="M744" s="11">
        <f>IF(A744="","",J744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744+IFERROR(INDEX(Settings!$D$5:$D$9,MATCH("Etsy",Settings!$A$5:$A$9,0)),0)*D744)</f>
        <v/>
      </c>
      <c r="N744" s="11">
        <f>IF(A744="","",IF(K744="",0,D744*INDEX(Products!$I$5:$I$204,K744)))</f>
        <v/>
      </c>
      <c r="O744" s="11">
        <f>IF(A744="","",IF(K744="",0,J744*INDEX(Products!$H$5:$H$204,K744)))</f>
        <v/>
      </c>
      <c r="P744" s="11">
        <f>IF(A744="","",J744-M744-N744-O744)</f>
        <v/>
      </c>
    </row>
    <row r="745">
      <c r="A745">
        <f>IFERROR(INDEX('Etsy Import'!$A:$CZ,745,Settings!$C$20)&amp;"","")</f>
        <v/>
      </c>
      <c r="B745">
        <f>IFERROR(INDEX('Etsy Import'!$A:$CZ,745,Settings!$C$21)&amp;"","")</f>
        <v/>
      </c>
      <c r="C745">
        <f>IFERROR(INDEX('Etsy Import'!$A:$CZ,745,Settings!$C$22)&amp;"","")</f>
        <v/>
      </c>
      <c r="D745">
        <f>IF(A745="","",IFERROR(VALUE(SUBSTITUTE(SUBSTITUTE(INDEX('Etsy Import'!$A:$CZ,745,Settings!$C$23)&amp;"","$",""),",","")),0))</f>
        <v/>
      </c>
      <c r="E745" s="11">
        <f>IF(A745="","",IFERROR(VALUE(SUBSTITUTE(SUBSTITUTE(INDEX('Etsy Import'!$A:$CZ,745,Settings!$C$24)&amp;"","$",""),",","")),0))</f>
        <v/>
      </c>
      <c r="F745" s="11">
        <f>IF(A745="","",D745*E745)</f>
        <v/>
      </c>
      <c r="G745">
        <f>IF(A745="","",IF(C745="",1,COUNTIF($C$2:$C$1501,C745)))</f>
        <v/>
      </c>
      <c r="H745" s="11">
        <f>IF(A745="","",IFERROR(VALUE(SUBSTITUTE(SUBSTITUTE(INDEX('Etsy Import'!$A:$CZ,745,Settings!$C$25)&amp;"","$",""),",","")),0)/IF(Settings!$B$27="Yes",G745,1))</f>
        <v/>
      </c>
      <c r="I745" s="11">
        <f>IF(A745="","",IFERROR(VALUE(SUBSTITUTE(SUBSTITUTE(INDEX('Etsy Import'!$A:$CZ,745,Settings!$C$26)&amp;"","$",""),",","")),0)/IF(Settings!$B$27="Yes",G745,1))</f>
        <v/>
      </c>
      <c r="J745" s="11">
        <f>IF(A745="","",F745+H745-I745)</f>
        <v/>
      </c>
      <c r="K745">
        <f>IF(A745="","",IFERROR(IF(B745="",NA(),MATCH(B745,Products!$B$5:$B$204,0)),IFERROR(MATCH(A745,Products!$A$5:$A$204,0),"")))</f>
        <v/>
      </c>
      <c r="L745">
        <f>IF(A745="","",IF(K745="","⚠ not in Products",INDEX(Products!$A$5:$A$204,K745)))</f>
        <v/>
      </c>
      <c r="M745" s="11">
        <f>IF(A745="","",J745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745+IFERROR(INDEX(Settings!$D$5:$D$9,MATCH("Etsy",Settings!$A$5:$A$9,0)),0)*D745)</f>
        <v/>
      </c>
      <c r="N745" s="11">
        <f>IF(A745="","",IF(K745="",0,D745*INDEX(Products!$I$5:$I$204,K745)))</f>
        <v/>
      </c>
      <c r="O745" s="11">
        <f>IF(A745="","",IF(K745="",0,J745*INDEX(Products!$H$5:$H$204,K745)))</f>
        <v/>
      </c>
      <c r="P745" s="11">
        <f>IF(A745="","",J745-M745-N745-O745)</f>
        <v/>
      </c>
    </row>
    <row r="746">
      <c r="A746">
        <f>IFERROR(INDEX('Etsy Import'!$A:$CZ,746,Settings!$C$20)&amp;"","")</f>
        <v/>
      </c>
      <c r="B746">
        <f>IFERROR(INDEX('Etsy Import'!$A:$CZ,746,Settings!$C$21)&amp;"","")</f>
        <v/>
      </c>
      <c r="C746">
        <f>IFERROR(INDEX('Etsy Import'!$A:$CZ,746,Settings!$C$22)&amp;"","")</f>
        <v/>
      </c>
      <c r="D746">
        <f>IF(A746="","",IFERROR(VALUE(SUBSTITUTE(SUBSTITUTE(INDEX('Etsy Import'!$A:$CZ,746,Settings!$C$23)&amp;"","$",""),",","")),0))</f>
        <v/>
      </c>
      <c r="E746" s="11">
        <f>IF(A746="","",IFERROR(VALUE(SUBSTITUTE(SUBSTITUTE(INDEX('Etsy Import'!$A:$CZ,746,Settings!$C$24)&amp;"","$",""),",","")),0))</f>
        <v/>
      </c>
      <c r="F746" s="11">
        <f>IF(A746="","",D746*E746)</f>
        <v/>
      </c>
      <c r="G746">
        <f>IF(A746="","",IF(C746="",1,COUNTIF($C$2:$C$1501,C746)))</f>
        <v/>
      </c>
      <c r="H746" s="11">
        <f>IF(A746="","",IFERROR(VALUE(SUBSTITUTE(SUBSTITUTE(INDEX('Etsy Import'!$A:$CZ,746,Settings!$C$25)&amp;"","$",""),",","")),0)/IF(Settings!$B$27="Yes",G746,1))</f>
        <v/>
      </c>
      <c r="I746" s="11">
        <f>IF(A746="","",IFERROR(VALUE(SUBSTITUTE(SUBSTITUTE(INDEX('Etsy Import'!$A:$CZ,746,Settings!$C$26)&amp;"","$",""),",","")),0)/IF(Settings!$B$27="Yes",G746,1))</f>
        <v/>
      </c>
      <c r="J746" s="11">
        <f>IF(A746="","",F746+H746-I746)</f>
        <v/>
      </c>
      <c r="K746">
        <f>IF(A746="","",IFERROR(IF(B746="",NA(),MATCH(B746,Products!$B$5:$B$204,0)),IFERROR(MATCH(A746,Products!$A$5:$A$204,0),"")))</f>
        <v/>
      </c>
      <c r="L746">
        <f>IF(A746="","",IF(K746="","⚠ not in Products",INDEX(Products!$A$5:$A$204,K746)))</f>
        <v/>
      </c>
      <c r="M746" s="11">
        <f>IF(A746="","",J746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746+IFERROR(INDEX(Settings!$D$5:$D$9,MATCH("Etsy",Settings!$A$5:$A$9,0)),0)*D746)</f>
        <v/>
      </c>
      <c r="N746" s="11">
        <f>IF(A746="","",IF(K746="",0,D746*INDEX(Products!$I$5:$I$204,K746)))</f>
        <v/>
      </c>
      <c r="O746" s="11">
        <f>IF(A746="","",IF(K746="",0,J746*INDEX(Products!$H$5:$H$204,K746)))</f>
        <v/>
      </c>
      <c r="P746" s="11">
        <f>IF(A746="","",J746-M746-N746-O746)</f>
        <v/>
      </c>
    </row>
    <row r="747">
      <c r="A747">
        <f>IFERROR(INDEX('Etsy Import'!$A:$CZ,747,Settings!$C$20)&amp;"","")</f>
        <v/>
      </c>
      <c r="B747">
        <f>IFERROR(INDEX('Etsy Import'!$A:$CZ,747,Settings!$C$21)&amp;"","")</f>
        <v/>
      </c>
      <c r="C747">
        <f>IFERROR(INDEX('Etsy Import'!$A:$CZ,747,Settings!$C$22)&amp;"","")</f>
        <v/>
      </c>
      <c r="D747">
        <f>IF(A747="","",IFERROR(VALUE(SUBSTITUTE(SUBSTITUTE(INDEX('Etsy Import'!$A:$CZ,747,Settings!$C$23)&amp;"","$",""),",","")),0))</f>
        <v/>
      </c>
      <c r="E747" s="11">
        <f>IF(A747="","",IFERROR(VALUE(SUBSTITUTE(SUBSTITUTE(INDEX('Etsy Import'!$A:$CZ,747,Settings!$C$24)&amp;"","$",""),",","")),0))</f>
        <v/>
      </c>
      <c r="F747" s="11">
        <f>IF(A747="","",D747*E747)</f>
        <v/>
      </c>
      <c r="G747">
        <f>IF(A747="","",IF(C747="",1,COUNTIF($C$2:$C$1501,C747)))</f>
        <v/>
      </c>
      <c r="H747" s="11">
        <f>IF(A747="","",IFERROR(VALUE(SUBSTITUTE(SUBSTITUTE(INDEX('Etsy Import'!$A:$CZ,747,Settings!$C$25)&amp;"","$",""),",","")),0)/IF(Settings!$B$27="Yes",G747,1))</f>
        <v/>
      </c>
      <c r="I747" s="11">
        <f>IF(A747="","",IFERROR(VALUE(SUBSTITUTE(SUBSTITUTE(INDEX('Etsy Import'!$A:$CZ,747,Settings!$C$26)&amp;"","$",""),",","")),0)/IF(Settings!$B$27="Yes",G747,1))</f>
        <v/>
      </c>
      <c r="J747" s="11">
        <f>IF(A747="","",F747+H747-I747)</f>
        <v/>
      </c>
      <c r="K747">
        <f>IF(A747="","",IFERROR(IF(B747="",NA(),MATCH(B747,Products!$B$5:$B$204,0)),IFERROR(MATCH(A747,Products!$A$5:$A$204,0),"")))</f>
        <v/>
      </c>
      <c r="L747">
        <f>IF(A747="","",IF(K747="","⚠ not in Products",INDEX(Products!$A$5:$A$204,K747)))</f>
        <v/>
      </c>
      <c r="M747" s="11">
        <f>IF(A747="","",J747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747+IFERROR(INDEX(Settings!$D$5:$D$9,MATCH("Etsy",Settings!$A$5:$A$9,0)),0)*D747)</f>
        <v/>
      </c>
      <c r="N747" s="11">
        <f>IF(A747="","",IF(K747="",0,D747*INDEX(Products!$I$5:$I$204,K747)))</f>
        <v/>
      </c>
      <c r="O747" s="11">
        <f>IF(A747="","",IF(K747="",0,J747*INDEX(Products!$H$5:$H$204,K747)))</f>
        <v/>
      </c>
      <c r="P747" s="11">
        <f>IF(A747="","",J747-M747-N747-O747)</f>
        <v/>
      </c>
    </row>
    <row r="748">
      <c r="A748">
        <f>IFERROR(INDEX('Etsy Import'!$A:$CZ,748,Settings!$C$20)&amp;"","")</f>
        <v/>
      </c>
      <c r="B748">
        <f>IFERROR(INDEX('Etsy Import'!$A:$CZ,748,Settings!$C$21)&amp;"","")</f>
        <v/>
      </c>
      <c r="C748">
        <f>IFERROR(INDEX('Etsy Import'!$A:$CZ,748,Settings!$C$22)&amp;"","")</f>
        <v/>
      </c>
      <c r="D748">
        <f>IF(A748="","",IFERROR(VALUE(SUBSTITUTE(SUBSTITUTE(INDEX('Etsy Import'!$A:$CZ,748,Settings!$C$23)&amp;"","$",""),",","")),0))</f>
        <v/>
      </c>
      <c r="E748" s="11">
        <f>IF(A748="","",IFERROR(VALUE(SUBSTITUTE(SUBSTITUTE(INDEX('Etsy Import'!$A:$CZ,748,Settings!$C$24)&amp;"","$",""),",","")),0))</f>
        <v/>
      </c>
      <c r="F748" s="11">
        <f>IF(A748="","",D748*E748)</f>
        <v/>
      </c>
      <c r="G748">
        <f>IF(A748="","",IF(C748="",1,COUNTIF($C$2:$C$1501,C748)))</f>
        <v/>
      </c>
      <c r="H748" s="11">
        <f>IF(A748="","",IFERROR(VALUE(SUBSTITUTE(SUBSTITUTE(INDEX('Etsy Import'!$A:$CZ,748,Settings!$C$25)&amp;"","$",""),",","")),0)/IF(Settings!$B$27="Yes",G748,1))</f>
        <v/>
      </c>
      <c r="I748" s="11">
        <f>IF(A748="","",IFERROR(VALUE(SUBSTITUTE(SUBSTITUTE(INDEX('Etsy Import'!$A:$CZ,748,Settings!$C$26)&amp;"","$",""),",","")),0)/IF(Settings!$B$27="Yes",G748,1))</f>
        <v/>
      </c>
      <c r="J748" s="11">
        <f>IF(A748="","",F748+H748-I748)</f>
        <v/>
      </c>
      <c r="K748">
        <f>IF(A748="","",IFERROR(IF(B748="",NA(),MATCH(B748,Products!$B$5:$B$204,0)),IFERROR(MATCH(A748,Products!$A$5:$A$204,0),"")))</f>
        <v/>
      </c>
      <c r="L748">
        <f>IF(A748="","",IF(K748="","⚠ not in Products",INDEX(Products!$A$5:$A$204,K748)))</f>
        <v/>
      </c>
      <c r="M748" s="11">
        <f>IF(A748="","",J748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748+IFERROR(INDEX(Settings!$D$5:$D$9,MATCH("Etsy",Settings!$A$5:$A$9,0)),0)*D748)</f>
        <v/>
      </c>
      <c r="N748" s="11">
        <f>IF(A748="","",IF(K748="",0,D748*INDEX(Products!$I$5:$I$204,K748)))</f>
        <v/>
      </c>
      <c r="O748" s="11">
        <f>IF(A748="","",IF(K748="",0,J748*INDEX(Products!$H$5:$H$204,K748)))</f>
        <v/>
      </c>
      <c r="P748" s="11">
        <f>IF(A748="","",J748-M748-N748-O748)</f>
        <v/>
      </c>
    </row>
    <row r="749">
      <c r="A749">
        <f>IFERROR(INDEX('Etsy Import'!$A:$CZ,749,Settings!$C$20)&amp;"","")</f>
        <v/>
      </c>
      <c r="B749">
        <f>IFERROR(INDEX('Etsy Import'!$A:$CZ,749,Settings!$C$21)&amp;"","")</f>
        <v/>
      </c>
      <c r="C749">
        <f>IFERROR(INDEX('Etsy Import'!$A:$CZ,749,Settings!$C$22)&amp;"","")</f>
        <v/>
      </c>
      <c r="D749">
        <f>IF(A749="","",IFERROR(VALUE(SUBSTITUTE(SUBSTITUTE(INDEX('Etsy Import'!$A:$CZ,749,Settings!$C$23)&amp;"","$",""),",","")),0))</f>
        <v/>
      </c>
      <c r="E749" s="11">
        <f>IF(A749="","",IFERROR(VALUE(SUBSTITUTE(SUBSTITUTE(INDEX('Etsy Import'!$A:$CZ,749,Settings!$C$24)&amp;"","$",""),",","")),0))</f>
        <v/>
      </c>
      <c r="F749" s="11">
        <f>IF(A749="","",D749*E749)</f>
        <v/>
      </c>
      <c r="G749">
        <f>IF(A749="","",IF(C749="",1,COUNTIF($C$2:$C$1501,C749)))</f>
        <v/>
      </c>
      <c r="H749" s="11">
        <f>IF(A749="","",IFERROR(VALUE(SUBSTITUTE(SUBSTITUTE(INDEX('Etsy Import'!$A:$CZ,749,Settings!$C$25)&amp;"","$",""),",","")),0)/IF(Settings!$B$27="Yes",G749,1))</f>
        <v/>
      </c>
      <c r="I749" s="11">
        <f>IF(A749="","",IFERROR(VALUE(SUBSTITUTE(SUBSTITUTE(INDEX('Etsy Import'!$A:$CZ,749,Settings!$C$26)&amp;"","$",""),",","")),0)/IF(Settings!$B$27="Yes",G749,1))</f>
        <v/>
      </c>
      <c r="J749" s="11">
        <f>IF(A749="","",F749+H749-I749)</f>
        <v/>
      </c>
      <c r="K749">
        <f>IF(A749="","",IFERROR(IF(B749="",NA(),MATCH(B749,Products!$B$5:$B$204,0)),IFERROR(MATCH(A749,Products!$A$5:$A$204,0),"")))</f>
        <v/>
      </c>
      <c r="L749">
        <f>IF(A749="","",IF(K749="","⚠ not in Products",INDEX(Products!$A$5:$A$204,K749)))</f>
        <v/>
      </c>
      <c r="M749" s="11">
        <f>IF(A749="","",J749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749+IFERROR(INDEX(Settings!$D$5:$D$9,MATCH("Etsy",Settings!$A$5:$A$9,0)),0)*D749)</f>
        <v/>
      </c>
      <c r="N749" s="11">
        <f>IF(A749="","",IF(K749="",0,D749*INDEX(Products!$I$5:$I$204,K749)))</f>
        <v/>
      </c>
      <c r="O749" s="11">
        <f>IF(A749="","",IF(K749="",0,J749*INDEX(Products!$H$5:$H$204,K749)))</f>
        <v/>
      </c>
      <c r="P749" s="11">
        <f>IF(A749="","",J749-M749-N749-O749)</f>
        <v/>
      </c>
    </row>
    <row r="750">
      <c r="A750">
        <f>IFERROR(INDEX('Etsy Import'!$A:$CZ,750,Settings!$C$20)&amp;"","")</f>
        <v/>
      </c>
      <c r="B750">
        <f>IFERROR(INDEX('Etsy Import'!$A:$CZ,750,Settings!$C$21)&amp;"","")</f>
        <v/>
      </c>
      <c r="C750">
        <f>IFERROR(INDEX('Etsy Import'!$A:$CZ,750,Settings!$C$22)&amp;"","")</f>
        <v/>
      </c>
      <c r="D750">
        <f>IF(A750="","",IFERROR(VALUE(SUBSTITUTE(SUBSTITUTE(INDEX('Etsy Import'!$A:$CZ,750,Settings!$C$23)&amp;"","$",""),",","")),0))</f>
        <v/>
      </c>
      <c r="E750" s="11">
        <f>IF(A750="","",IFERROR(VALUE(SUBSTITUTE(SUBSTITUTE(INDEX('Etsy Import'!$A:$CZ,750,Settings!$C$24)&amp;"","$",""),",","")),0))</f>
        <v/>
      </c>
      <c r="F750" s="11">
        <f>IF(A750="","",D750*E750)</f>
        <v/>
      </c>
      <c r="G750">
        <f>IF(A750="","",IF(C750="",1,COUNTIF($C$2:$C$1501,C750)))</f>
        <v/>
      </c>
      <c r="H750" s="11">
        <f>IF(A750="","",IFERROR(VALUE(SUBSTITUTE(SUBSTITUTE(INDEX('Etsy Import'!$A:$CZ,750,Settings!$C$25)&amp;"","$",""),",","")),0)/IF(Settings!$B$27="Yes",G750,1))</f>
        <v/>
      </c>
      <c r="I750" s="11">
        <f>IF(A750="","",IFERROR(VALUE(SUBSTITUTE(SUBSTITUTE(INDEX('Etsy Import'!$A:$CZ,750,Settings!$C$26)&amp;"","$",""),",","")),0)/IF(Settings!$B$27="Yes",G750,1))</f>
        <v/>
      </c>
      <c r="J750" s="11">
        <f>IF(A750="","",F750+H750-I750)</f>
        <v/>
      </c>
      <c r="K750">
        <f>IF(A750="","",IFERROR(IF(B750="",NA(),MATCH(B750,Products!$B$5:$B$204,0)),IFERROR(MATCH(A750,Products!$A$5:$A$204,0),"")))</f>
        <v/>
      </c>
      <c r="L750">
        <f>IF(A750="","",IF(K750="","⚠ not in Products",INDEX(Products!$A$5:$A$204,K750)))</f>
        <v/>
      </c>
      <c r="M750" s="11">
        <f>IF(A750="","",J750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750+IFERROR(INDEX(Settings!$D$5:$D$9,MATCH("Etsy",Settings!$A$5:$A$9,0)),0)*D750)</f>
        <v/>
      </c>
      <c r="N750" s="11">
        <f>IF(A750="","",IF(K750="",0,D750*INDEX(Products!$I$5:$I$204,K750)))</f>
        <v/>
      </c>
      <c r="O750" s="11">
        <f>IF(A750="","",IF(K750="",0,J750*INDEX(Products!$H$5:$H$204,K750)))</f>
        <v/>
      </c>
      <c r="P750" s="11">
        <f>IF(A750="","",J750-M750-N750-O750)</f>
        <v/>
      </c>
    </row>
    <row r="751">
      <c r="A751">
        <f>IFERROR(INDEX('Etsy Import'!$A:$CZ,751,Settings!$C$20)&amp;"","")</f>
        <v/>
      </c>
      <c r="B751">
        <f>IFERROR(INDEX('Etsy Import'!$A:$CZ,751,Settings!$C$21)&amp;"","")</f>
        <v/>
      </c>
      <c r="C751">
        <f>IFERROR(INDEX('Etsy Import'!$A:$CZ,751,Settings!$C$22)&amp;"","")</f>
        <v/>
      </c>
      <c r="D751">
        <f>IF(A751="","",IFERROR(VALUE(SUBSTITUTE(SUBSTITUTE(INDEX('Etsy Import'!$A:$CZ,751,Settings!$C$23)&amp;"","$",""),",","")),0))</f>
        <v/>
      </c>
      <c r="E751" s="11">
        <f>IF(A751="","",IFERROR(VALUE(SUBSTITUTE(SUBSTITUTE(INDEX('Etsy Import'!$A:$CZ,751,Settings!$C$24)&amp;"","$",""),",","")),0))</f>
        <v/>
      </c>
      <c r="F751" s="11">
        <f>IF(A751="","",D751*E751)</f>
        <v/>
      </c>
      <c r="G751">
        <f>IF(A751="","",IF(C751="",1,COUNTIF($C$2:$C$1501,C751)))</f>
        <v/>
      </c>
      <c r="H751" s="11">
        <f>IF(A751="","",IFERROR(VALUE(SUBSTITUTE(SUBSTITUTE(INDEX('Etsy Import'!$A:$CZ,751,Settings!$C$25)&amp;"","$",""),",","")),0)/IF(Settings!$B$27="Yes",G751,1))</f>
        <v/>
      </c>
      <c r="I751" s="11">
        <f>IF(A751="","",IFERROR(VALUE(SUBSTITUTE(SUBSTITUTE(INDEX('Etsy Import'!$A:$CZ,751,Settings!$C$26)&amp;"","$",""),",","")),0)/IF(Settings!$B$27="Yes",G751,1))</f>
        <v/>
      </c>
      <c r="J751" s="11">
        <f>IF(A751="","",F751+H751-I751)</f>
        <v/>
      </c>
      <c r="K751">
        <f>IF(A751="","",IFERROR(IF(B751="",NA(),MATCH(B751,Products!$B$5:$B$204,0)),IFERROR(MATCH(A751,Products!$A$5:$A$204,0),"")))</f>
        <v/>
      </c>
      <c r="L751">
        <f>IF(A751="","",IF(K751="","⚠ not in Products",INDEX(Products!$A$5:$A$204,K751)))</f>
        <v/>
      </c>
      <c r="M751" s="11">
        <f>IF(A751="","",J751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751+IFERROR(INDEX(Settings!$D$5:$D$9,MATCH("Etsy",Settings!$A$5:$A$9,0)),0)*D751)</f>
        <v/>
      </c>
      <c r="N751" s="11">
        <f>IF(A751="","",IF(K751="",0,D751*INDEX(Products!$I$5:$I$204,K751)))</f>
        <v/>
      </c>
      <c r="O751" s="11">
        <f>IF(A751="","",IF(K751="",0,J751*INDEX(Products!$H$5:$H$204,K751)))</f>
        <v/>
      </c>
      <c r="P751" s="11">
        <f>IF(A751="","",J751-M751-N751-O751)</f>
        <v/>
      </c>
    </row>
    <row r="752">
      <c r="A752">
        <f>IFERROR(INDEX('Etsy Import'!$A:$CZ,752,Settings!$C$20)&amp;"","")</f>
        <v/>
      </c>
      <c r="B752">
        <f>IFERROR(INDEX('Etsy Import'!$A:$CZ,752,Settings!$C$21)&amp;"","")</f>
        <v/>
      </c>
      <c r="C752">
        <f>IFERROR(INDEX('Etsy Import'!$A:$CZ,752,Settings!$C$22)&amp;"","")</f>
        <v/>
      </c>
      <c r="D752">
        <f>IF(A752="","",IFERROR(VALUE(SUBSTITUTE(SUBSTITUTE(INDEX('Etsy Import'!$A:$CZ,752,Settings!$C$23)&amp;"","$",""),",","")),0))</f>
        <v/>
      </c>
      <c r="E752" s="11">
        <f>IF(A752="","",IFERROR(VALUE(SUBSTITUTE(SUBSTITUTE(INDEX('Etsy Import'!$A:$CZ,752,Settings!$C$24)&amp;"","$",""),",","")),0))</f>
        <v/>
      </c>
      <c r="F752" s="11">
        <f>IF(A752="","",D752*E752)</f>
        <v/>
      </c>
      <c r="G752">
        <f>IF(A752="","",IF(C752="",1,COUNTIF($C$2:$C$1501,C752)))</f>
        <v/>
      </c>
      <c r="H752" s="11">
        <f>IF(A752="","",IFERROR(VALUE(SUBSTITUTE(SUBSTITUTE(INDEX('Etsy Import'!$A:$CZ,752,Settings!$C$25)&amp;"","$",""),",","")),0)/IF(Settings!$B$27="Yes",G752,1))</f>
        <v/>
      </c>
      <c r="I752" s="11">
        <f>IF(A752="","",IFERROR(VALUE(SUBSTITUTE(SUBSTITUTE(INDEX('Etsy Import'!$A:$CZ,752,Settings!$C$26)&amp;"","$",""),",","")),0)/IF(Settings!$B$27="Yes",G752,1))</f>
        <v/>
      </c>
      <c r="J752" s="11">
        <f>IF(A752="","",F752+H752-I752)</f>
        <v/>
      </c>
      <c r="K752">
        <f>IF(A752="","",IFERROR(IF(B752="",NA(),MATCH(B752,Products!$B$5:$B$204,0)),IFERROR(MATCH(A752,Products!$A$5:$A$204,0),"")))</f>
        <v/>
      </c>
      <c r="L752">
        <f>IF(A752="","",IF(K752="","⚠ not in Products",INDEX(Products!$A$5:$A$204,K752)))</f>
        <v/>
      </c>
      <c r="M752" s="11">
        <f>IF(A752="","",J752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752+IFERROR(INDEX(Settings!$D$5:$D$9,MATCH("Etsy",Settings!$A$5:$A$9,0)),0)*D752)</f>
        <v/>
      </c>
      <c r="N752" s="11">
        <f>IF(A752="","",IF(K752="",0,D752*INDEX(Products!$I$5:$I$204,K752)))</f>
        <v/>
      </c>
      <c r="O752" s="11">
        <f>IF(A752="","",IF(K752="",0,J752*INDEX(Products!$H$5:$H$204,K752)))</f>
        <v/>
      </c>
      <c r="P752" s="11">
        <f>IF(A752="","",J752-M752-N752-O752)</f>
        <v/>
      </c>
    </row>
    <row r="753">
      <c r="A753">
        <f>IFERROR(INDEX('Etsy Import'!$A:$CZ,753,Settings!$C$20)&amp;"","")</f>
        <v/>
      </c>
      <c r="B753">
        <f>IFERROR(INDEX('Etsy Import'!$A:$CZ,753,Settings!$C$21)&amp;"","")</f>
        <v/>
      </c>
      <c r="C753">
        <f>IFERROR(INDEX('Etsy Import'!$A:$CZ,753,Settings!$C$22)&amp;"","")</f>
        <v/>
      </c>
      <c r="D753">
        <f>IF(A753="","",IFERROR(VALUE(SUBSTITUTE(SUBSTITUTE(INDEX('Etsy Import'!$A:$CZ,753,Settings!$C$23)&amp;"","$",""),",","")),0))</f>
        <v/>
      </c>
      <c r="E753" s="11">
        <f>IF(A753="","",IFERROR(VALUE(SUBSTITUTE(SUBSTITUTE(INDEX('Etsy Import'!$A:$CZ,753,Settings!$C$24)&amp;"","$",""),",","")),0))</f>
        <v/>
      </c>
      <c r="F753" s="11">
        <f>IF(A753="","",D753*E753)</f>
        <v/>
      </c>
      <c r="G753">
        <f>IF(A753="","",IF(C753="",1,COUNTIF($C$2:$C$1501,C753)))</f>
        <v/>
      </c>
      <c r="H753" s="11">
        <f>IF(A753="","",IFERROR(VALUE(SUBSTITUTE(SUBSTITUTE(INDEX('Etsy Import'!$A:$CZ,753,Settings!$C$25)&amp;"","$",""),",","")),0)/IF(Settings!$B$27="Yes",G753,1))</f>
        <v/>
      </c>
      <c r="I753" s="11">
        <f>IF(A753="","",IFERROR(VALUE(SUBSTITUTE(SUBSTITUTE(INDEX('Etsy Import'!$A:$CZ,753,Settings!$C$26)&amp;"","$",""),",","")),0)/IF(Settings!$B$27="Yes",G753,1))</f>
        <v/>
      </c>
      <c r="J753" s="11">
        <f>IF(A753="","",F753+H753-I753)</f>
        <v/>
      </c>
      <c r="K753">
        <f>IF(A753="","",IFERROR(IF(B753="",NA(),MATCH(B753,Products!$B$5:$B$204,0)),IFERROR(MATCH(A753,Products!$A$5:$A$204,0),"")))</f>
        <v/>
      </c>
      <c r="L753">
        <f>IF(A753="","",IF(K753="","⚠ not in Products",INDEX(Products!$A$5:$A$204,K753)))</f>
        <v/>
      </c>
      <c r="M753" s="11">
        <f>IF(A753="","",J753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753+IFERROR(INDEX(Settings!$D$5:$D$9,MATCH("Etsy",Settings!$A$5:$A$9,0)),0)*D753)</f>
        <v/>
      </c>
      <c r="N753" s="11">
        <f>IF(A753="","",IF(K753="",0,D753*INDEX(Products!$I$5:$I$204,K753)))</f>
        <v/>
      </c>
      <c r="O753" s="11">
        <f>IF(A753="","",IF(K753="",0,J753*INDEX(Products!$H$5:$H$204,K753)))</f>
        <v/>
      </c>
      <c r="P753" s="11">
        <f>IF(A753="","",J753-M753-N753-O753)</f>
        <v/>
      </c>
    </row>
    <row r="754">
      <c r="A754">
        <f>IFERROR(INDEX('Etsy Import'!$A:$CZ,754,Settings!$C$20)&amp;"","")</f>
        <v/>
      </c>
      <c r="B754">
        <f>IFERROR(INDEX('Etsy Import'!$A:$CZ,754,Settings!$C$21)&amp;"","")</f>
        <v/>
      </c>
      <c r="C754">
        <f>IFERROR(INDEX('Etsy Import'!$A:$CZ,754,Settings!$C$22)&amp;"","")</f>
        <v/>
      </c>
      <c r="D754">
        <f>IF(A754="","",IFERROR(VALUE(SUBSTITUTE(SUBSTITUTE(INDEX('Etsy Import'!$A:$CZ,754,Settings!$C$23)&amp;"","$",""),",","")),0))</f>
        <v/>
      </c>
      <c r="E754" s="11">
        <f>IF(A754="","",IFERROR(VALUE(SUBSTITUTE(SUBSTITUTE(INDEX('Etsy Import'!$A:$CZ,754,Settings!$C$24)&amp;"","$",""),",","")),0))</f>
        <v/>
      </c>
      <c r="F754" s="11">
        <f>IF(A754="","",D754*E754)</f>
        <v/>
      </c>
      <c r="G754">
        <f>IF(A754="","",IF(C754="",1,COUNTIF($C$2:$C$1501,C754)))</f>
        <v/>
      </c>
      <c r="H754" s="11">
        <f>IF(A754="","",IFERROR(VALUE(SUBSTITUTE(SUBSTITUTE(INDEX('Etsy Import'!$A:$CZ,754,Settings!$C$25)&amp;"","$",""),",","")),0)/IF(Settings!$B$27="Yes",G754,1))</f>
        <v/>
      </c>
      <c r="I754" s="11">
        <f>IF(A754="","",IFERROR(VALUE(SUBSTITUTE(SUBSTITUTE(INDEX('Etsy Import'!$A:$CZ,754,Settings!$C$26)&amp;"","$",""),",","")),0)/IF(Settings!$B$27="Yes",G754,1))</f>
        <v/>
      </c>
      <c r="J754" s="11">
        <f>IF(A754="","",F754+H754-I754)</f>
        <v/>
      </c>
      <c r="K754">
        <f>IF(A754="","",IFERROR(IF(B754="",NA(),MATCH(B754,Products!$B$5:$B$204,0)),IFERROR(MATCH(A754,Products!$A$5:$A$204,0),"")))</f>
        <v/>
      </c>
      <c r="L754">
        <f>IF(A754="","",IF(K754="","⚠ not in Products",INDEX(Products!$A$5:$A$204,K754)))</f>
        <v/>
      </c>
      <c r="M754" s="11">
        <f>IF(A754="","",J754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754+IFERROR(INDEX(Settings!$D$5:$D$9,MATCH("Etsy",Settings!$A$5:$A$9,0)),0)*D754)</f>
        <v/>
      </c>
      <c r="N754" s="11">
        <f>IF(A754="","",IF(K754="",0,D754*INDEX(Products!$I$5:$I$204,K754)))</f>
        <v/>
      </c>
      <c r="O754" s="11">
        <f>IF(A754="","",IF(K754="",0,J754*INDEX(Products!$H$5:$H$204,K754)))</f>
        <v/>
      </c>
      <c r="P754" s="11">
        <f>IF(A754="","",J754-M754-N754-O754)</f>
        <v/>
      </c>
    </row>
    <row r="755">
      <c r="A755">
        <f>IFERROR(INDEX('Etsy Import'!$A:$CZ,755,Settings!$C$20)&amp;"","")</f>
        <v/>
      </c>
      <c r="B755">
        <f>IFERROR(INDEX('Etsy Import'!$A:$CZ,755,Settings!$C$21)&amp;"","")</f>
        <v/>
      </c>
      <c r="C755">
        <f>IFERROR(INDEX('Etsy Import'!$A:$CZ,755,Settings!$C$22)&amp;"","")</f>
        <v/>
      </c>
      <c r="D755">
        <f>IF(A755="","",IFERROR(VALUE(SUBSTITUTE(SUBSTITUTE(INDEX('Etsy Import'!$A:$CZ,755,Settings!$C$23)&amp;"","$",""),",","")),0))</f>
        <v/>
      </c>
      <c r="E755" s="11">
        <f>IF(A755="","",IFERROR(VALUE(SUBSTITUTE(SUBSTITUTE(INDEX('Etsy Import'!$A:$CZ,755,Settings!$C$24)&amp;"","$",""),",","")),0))</f>
        <v/>
      </c>
      <c r="F755" s="11">
        <f>IF(A755="","",D755*E755)</f>
        <v/>
      </c>
      <c r="G755">
        <f>IF(A755="","",IF(C755="",1,COUNTIF($C$2:$C$1501,C755)))</f>
        <v/>
      </c>
      <c r="H755" s="11">
        <f>IF(A755="","",IFERROR(VALUE(SUBSTITUTE(SUBSTITUTE(INDEX('Etsy Import'!$A:$CZ,755,Settings!$C$25)&amp;"","$",""),",","")),0)/IF(Settings!$B$27="Yes",G755,1))</f>
        <v/>
      </c>
      <c r="I755" s="11">
        <f>IF(A755="","",IFERROR(VALUE(SUBSTITUTE(SUBSTITUTE(INDEX('Etsy Import'!$A:$CZ,755,Settings!$C$26)&amp;"","$",""),",","")),0)/IF(Settings!$B$27="Yes",G755,1))</f>
        <v/>
      </c>
      <c r="J755" s="11">
        <f>IF(A755="","",F755+H755-I755)</f>
        <v/>
      </c>
      <c r="K755">
        <f>IF(A755="","",IFERROR(IF(B755="",NA(),MATCH(B755,Products!$B$5:$B$204,0)),IFERROR(MATCH(A755,Products!$A$5:$A$204,0),"")))</f>
        <v/>
      </c>
      <c r="L755">
        <f>IF(A755="","",IF(K755="","⚠ not in Products",INDEX(Products!$A$5:$A$204,K755)))</f>
        <v/>
      </c>
      <c r="M755" s="11">
        <f>IF(A755="","",J755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755+IFERROR(INDEX(Settings!$D$5:$D$9,MATCH("Etsy",Settings!$A$5:$A$9,0)),0)*D755)</f>
        <v/>
      </c>
      <c r="N755" s="11">
        <f>IF(A755="","",IF(K755="",0,D755*INDEX(Products!$I$5:$I$204,K755)))</f>
        <v/>
      </c>
      <c r="O755" s="11">
        <f>IF(A755="","",IF(K755="",0,J755*INDEX(Products!$H$5:$H$204,K755)))</f>
        <v/>
      </c>
      <c r="P755" s="11">
        <f>IF(A755="","",J755-M755-N755-O755)</f>
        <v/>
      </c>
    </row>
    <row r="756">
      <c r="A756">
        <f>IFERROR(INDEX('Etsy Import'!$A:$CZ,756,Settings!$C$20)&amp;"","")</f>
        <v/>
      </c>
      <c r="B756">
        <f>IFERROR(INDEX('Etsy Import'!$A:$CZ,756,Settings!$C$21)&amp;"","")</f>
        <v/>
      </c>
      <c r="C756">
        <f>IFERROR(INDEX('Etsy Import'!$A:$CZ,756,Settings!$C$22)&amp;"","")</f>
        <v/>
      </c>
      <c r="D756">
        <f>IF(A756="","",IFERROR(VALUE(SUBSTITUTE(SUBSTITUTE(INDEX('Etsy Import'!$A:$CZ,756,Settings!$C$23)&amp;"","$",""),",","")),0))</f>
        <v/>
      </c>
      <c r="E756" s="11">
        <f>IF(A756="","",IFERROR(VALUE(SUBSTITUTE(SUBSTITUTE(INDEX('Etsy Import'!$A:$CZ,756,Settings!$C$24)&amp;"","$",""),",","")),0))</f>
        <v/>
      </c>
      <c r="F756" s="11">
        <f>IF(A756="","",D756*E756)</f>
        <v/>
      </c>
      <c r="G756">
        <f>IF(A756="","",IF(C756="",1,COUNTIF($C$2:$C$1501,C756)))</f>
        <v/>
      </c>
      <c r="H756" s="11">
        <f>IF(A756="","",IFERROR(VALUE(SUBSTITUTE(SUBSTITUTE(INDEX('Etsy Import'!$A:$CZ,756,Settings!$C$25)&amp;"","$",""),",","")),0)/IF(Settings!$B$27="Yes",G756,1))</f>
        <v/>
      </c>
      <c r="I756" s="11">
        <f>IF(A756="","",IFERROR(VALUE(SUBSTITUTE(SUBSTITUTE(INDEX('Etsy Import'!$A:$CZ,756,Settings!$C$26)&amp;"","$",""),",","")),0)/IF(Settings!$B$27="Yes",G756,1))</f>
        <v/>
      </c>
      <c r="J756" s="11">
        <f>IF(A756="","",F756+H756-I756)</f>
        <v/>
      </c>
      <c r="K756">
        <f>IF(A756="","",IFERROR(IF(B756="",NA(),MATCH(B756,Products!$B$5:$B$204,0)),IFERROR(MATCH(A756,Products!$A$5:$A$204,0),"")))</f>
        <v/>
      </c>
      <c r="L756">
        <f>IF(A756="","",IF(K756="","⚠ not in Products",INDEX(Products!$A$5:$A$204,K756)))</f>
        <v/>
      </c>
      <c r="M756" s="11">
        <f>IF(A756="","",J756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756+IFERROR(INDEX(Settings!$D$5:$D$9,MATCH("Etsy",Settings!$A$5:$A$9,0)),0)*D756)</f>
        <v/>
      </c>
      <c r="N756" s="11">
        <f>IF(A756="","",IF(K756="",0,D756*INDEX(Products!$I$5:$I$204,K756)))</f>
        <v/>
      </c>
      <c r="O756" s="11">
        <f>IF(A756="","",IF(K756="",0,J756*INDEX(Products!$H$5:$H$204,K756)))</f>
        <v/>
      </c>
      <c r="P756" s="11">
        <f>IF(A756="","",J756-M756-N756-O756)</f>
        <v/>
      </c>
    </row>
    <row r="757">
      <c r="A757">
        <f>IFERROR(INDEX('Etsy Import'!$A:$CZ,757,Settings!$C$20)&amp;"","")</f>
        <v/>
      </c>
      <c r="B757">
        <f>IFERROR(INDEX('Etsy Import'!$A:$CZ,757,Settings!$C$21)&amp;"","")</f>
        <v/>
      </c>
      <c r="C757">
        <f>IFERROR(INDEX('Etsy Import'!$A:$CZ,757,Settings!$C$22)&amp;"","")</f>
        <v/>
      </c>
      <c r="D757">
        <f>IF(A757="","",IFERROR(VALUE(SUBSTITUTE(SUBSTITUTE(INDEX('Etsy Import'!$A:$CZ,757,Settings!$C$23)&amp;"","$",""),",","")),0))</f>
        <v/>
      </c>
      <c r="E757" s="11">
        <f>IF(A757="","",IFERROR(VALUE(SUBSTITUTE(SUBSTITUTE(INDEX('Etsy Import'!$A:$CZ,757,Settings!$C$24)&amp;"","$",""),",","")),0))</f>
        <v/>
      </c>
      <c r="F757" s="11">
        <f>IF(A757="","",D757*E757)</f>
        <v/>
      </c>
      <c r="G757">
        <f>IF(A757="","",IF(C757="",1,COUNTIF($C$2:$C$1501,C757)))</f>
        <v/>
      </c>
      <c r="H757" s="11">
        <f>IF(A757="","",IFERROR(VALUE(SUBSTITUTE(SUBSTITUTE(INDEX('Etsy Import'!$A:$CZ,757,Settings!$C$25)&amp;"","$",""),",","")),0)/IF(Settings!$B$27="Yes",G757,1))</f>
        <v/>
      </c>
      <c r="I757" s="11">
        <f>IF(A757="","",IFERROR(VALUE(SUBSTITUTE(SUBSTITUTE(INDEX('Etsy Import'!$A:$CZ,757,Settings!$C$26)&amp;"","$",""),",","")),0)/IF(Settings!$B$27="Yes",G757,1))</f>
        <v/>
      </c>
      <c r="J757" s="11">
        <f>IF(A757="","",F757+H757-I757)</f>
        <v/>
      </c>
      <c r="K757">
        <f>IF(A757="","",IFERROR(IF(B757="",NA(),MATCH(B757,Products!$B$5:$B$204,0)),IFERROR(MATCH(A757,Products!$A$5:$A$204,0),"")))</f>
        <v/>
      </c>
      <c r="L757">
        <f>IF(A757="","",IF(K757="","⚠ not in Products",INDEX(Products!$A$5:$A$204,K757)))</f>
        <v/>
      </c>
      <c r="M757" s="11">
        <f>IF(A757="","",J757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757+IFERROR(INDEX(Settings!$D$5:$D$9,MATCH("Etsy",Settings!$A$5:$A$9,0)),0)*D757)</f>
        <v/>
      </c>
      <c r="N757" s="11">
        <f>IF(A757="","",IF(K757="",0,D757*INDEX(Products!$I$5:$I$204,K757)))</f>
        <v/>
      </c>
      <c r="O757" s="11">
        <f>IF(A757="","",IF(K757="",0,J757*INDEX(Products!$H$5:$H$204,K757)))</f>
        <v/>
      </c>
      <c r="P757" s="11">
        <f>IF(A757="","",J757-M757-N757-O757)</f>
        <v/>
      </c>
    </row>
    <row r="758">
      <c r="A758">
        <f>IFERROR(INDEX('Etsy Import'!$A:$CZ,758,Settings!$C$20)&amp;"","")</f>
        <v/>
      </c>
      <c r="B758">
        <f>IFERROR(INDEX('Etsy Import'!$A:$CZ,758,Settings!$C$21)&amp;"","")</f>
        <v/>
      </c>
      <c r="C758">
        <f>IFERROR(INDEX('Etsy Import'!$A:$CZ,758,Settings!$C$22)&amp;"","")</f>
        <v/>
      </c>
      <c r="D758">
        <f>IF(A758="","",IFERROR(VALUE(SUBSTITUTE(SUBSTITUTE(INDEX('Etsy Import'!$A:$CZ,758,Settings!$C$23)&amp;"","$",""),",","")),0))</f>
        <v/>
      </c>
      <c r="E758" s="11">
        <f>IF(A758="","",IFERROR(VALUE(SUBSTITUTE(SUBSTITUTE(INDEX('Etsy Import'!$A:$CZ,758,Settings!$C$24)&amp;"","$",""),",","")),0))</f>
        <v/>
      </c>
      <c r="F758" s="11">
        <f>IF(A758="","",D758*E758)</f>
        <v/>
      </c>
      <c r="G758">
        <f>IF(A758="","",IF(C758="",1,COUNTIF($C$2:$C$1501,C758)))</f>
        <v/>
      </c>
      <c r="H758" s="11">
        <f>IF(A758="","",IFERROR(VALUE(SUBSTITUTE(SUBSTITUTE(INDEX('Etsy Import'!$A:$CZ,758,Settings!$C$25)&amp;"","$",""),",","")),0)/IF(Settings!$B$27="Yes",G758,1))</f>
        <v/>
      </c>
      <c r="I758" s="11">
        <f>IF(A758="","",IFERROR(VALUE(SUBSTITUTE(SUBSTITUTE(INDEX('Etsy Import'!$A:$CZ,758,Settings!$C$26)&amp;"","$",""),",","")),0)/IF(Settings!$B$27="Yes",G758,1))</f>
        <v/>
      </c>
      <c r="J758" s="11">
        <f>IF(A758="","",F758+H758-I758)</f>
        <v/>
      </c>
      <c r="K758">
        <f>IF(A758="","",IFERROR(IF(B758="",NA(),MATCH(B758,Products!$B$5:$B$204,0)),IFERROR(MATCH(A758,Products!$A$5:$A$204,0),"")))</f>
        <v/>
      </c>
      <c r="L758">
        <f>IF(A758="","",IF(K758="","⚠ not in Products",INDEX(Products!$A$5:$A$204,K758)))</f>
        <v/>
      </c>
      <c r="M758" s="11">
        <f>IF(A758="","",J758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758+IFERROR(INDEX(Settings!$D$5:$D$9,MATCH("Etsy",Settings!$A$5:$A$9,0)),0)*D758)</f>
        <v/>
      </c>
      <c r="N758" s="11">
        <f>IF(A758="","",IF(K758="",0,D758*INDEX(Products!$I$5:$I$204,K758)))</f>
        <v/>
      </c>
      <c r="O758" s="11">
        <f>IF(A758="","",IF(K758="",0,J758*INDEX(Products!$H$5:$H$204,K758)))</f>
        <v/>
      </c>
      <c r="P758" s="11">
        <f>IF(A758="","",J758-M758-N758-O758)</f>
        <v/>
      </c>
    </row>
    <row r="759">
      <c r="A759">
        <f>IFERROR(INDEX('Etsy Import'!$A:$CZ,759,Settings!$C$20)&amp;"","")</f>
        <v/>
      </c>
      <c r="B759">
        <f>IFERROR(INDEX('Etsy Import'!$A:$CZ,759,Settings!$C$21)&amp;"","")</f>
        <v/>
      </c>
      <c r="C759">
        <f>IFERROR(INDEX('Etsy Import'!$A:$CZ,759,Settings!$C$22)&amp;"","")</f>
        <v/>
      </c>
      <c r="D759">
        <f>IF(A759="","",IFERROR(VALUE(SUBSTITUTE(SUBSTITUTE(INDEX('Etsy Import'!$A:$CZ,759,Settings!$C$23)&amp;"","$",""),",","")),0))</f>
        <v/>
      </c>
      <c r="E759" s="11">
        <f>IF(A759="","",IFERROR(VALUE(SUBSTITUTE(SUBSTITUTE(INDEX('Etsy Import'!$A:$CZ,759,Settings!$C$24)&amp;"","$",""),",","")),0))</f>
        <v/>
      </c>
      <c r="F759" s="11">
        <f>IF(A759="","",D759*E759)</f>
        <v/>
      </c>
      <c r="G759">
        <f>IF(A759="","",IF(C759="",1,COUNTIF($C$2:$C$1501,C759)))</f>
        <v/>
      </c>
      <c r="H759" s="11">
        <f>IF(A759="","",IFERROR(VALUE(SUBSTITUTE(SUBSTITUTE(INDEX('Etsy Import'!$A:$CZ,759,Settings!$C$25)&amp;"","$",""),",","")),0)/IF(Settings!$B$27="Yes",G759,1))</f>
        <v/>
      </c>
      <c r="I759" s="11">
        <f>IF(A759="","",IFERROR(VALUE(SUBSTITUTE(SUBSTITUTE(INDEX('Etsy Import'!$A:$CZ,759,Settings!$C$26)&amp;"","$",""),",","")),0)/IF(Settings!$B$27="Yes",G759,1))</f>
        <v/>
      </c>
      <c r="J759" s="11">
        <f>IF(A759="","",F759+H759-I759)</f>
        <v/>
      </c>
      <c r="K759">
        <f>IF(A759="","",IFERROR(IF(B759="",NA(),MATCH(B759,Products!$B$5:$B$204,0)),IFERROR(MATCH(A759,Products!$A$5:$A$204,0),"")))</f>
        <v/>
      </c>
      <c r="L759">
        <f>IF(A759="","",IF(K759="","⚠ not in Products",INDEX(Products!$A$5:$A$204,K759)))</f>
        <v/>
      </c>
      <c r="M759" s="11">
        <f>IF(A759="","",J759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759+IFERROR(INDEX(Settings!$D$5:$D$9,MATCH("Etsy",Settings!$A$5:$A$9,0)),0)*D759)</f>
        <v/>
      </c>
      <c r="N759" s="11">
        <f>IF(A759="","",IF(K759="",0,D759*INDEX(Products!$I$5:$I$204,K759)))</f>
        <v/>
      </c>
      <c r="O759" s="11">
        <f>IF(A759="","",IF(K759="",0,J759*INDEX(Products!$H$5:$H$204,K759)))</f>
        <v/>
      </c>
      <c r="P759" s="11">
        <f>IF(A759="","",J759-M759-N759-O759)</f>
        <v/>
      </c>
    </row>
    <row r="760">
      <c r="A760">
        <f>IFERROR(INDEX('Etsy Import'!$A:$CZ,760,Settings!$C$20)&amp;"","")</f>
        <v/>
      </c>
      <c r="B760">
        <f>IFERROR(INDEX('Etsy Import'!$A:$CZ,760,Settings!$C$21)&amp;"","")</f>
        <v/>
      </c>
      <c r="C760">
        <f>IFERROR(INDEX('Etsy Import'!$A:$CZ,760,Settings!$C$22)&amp;"","")</f>
        <v/>
      </c>
      <c r="D760">
        <f>IF(A760="","",IFERROR(VALUE(SUBSTITUTE(SUBSTITUTE(INDEX('Etsy Import'!$A:$CZ,760,Settings!$C$23)&amp;"","$",""),",","")),0))</f>
        <v/>
      </c>
      <c r="E760" s="11">
        <f>IF(A760="","",IFERROR(VALUE(SUBSTITUTE(SUBSTITUTE(INDEX('Etsy Import'!$A:$CZ,760,Settings!$C$24)&amp;"","$",""),",","")),0))</f>
        <v/>
      </c>
      <c r="F760" s="11">
        <f>IF(A760="","",D760*E760)</f>
        <v/>
      </c>
      <c r="G760">
        <f>IF(A760="","",IF(C760="",1,COUNTIF($C$2:$C$1501,C760)))</f>
        <v/>
      </c>
      <c r="H760" s="11">
        <f>IF(A760="","",IFERROR(VALUE(SUBSTITUTE(SUBSTITUTE(INDEX('Etsy Import'!$A:$CZ,760,Settings!$C$25)&amp;"","$",""),",","")),0)/IF(Settings!$B$27="Yes",G760,1))</f>
        <v/>
      </c>
      <c r="I760" s="11">
        <f>IF(A760="","",IFERROR(VALUE(SUBSTITUTE(SUBSTITUTE(INDEX('Etsy Import'!$A:$CZ,760,Settings!$C$26)&amp;"","$",""),",","")),0)/IF(Settings!$B$27="Yes",G760,1))</f>
        <v/>
      </c>
      <c r="J760" s="11">
        <f>IF(A760="","",F760+H760-I760)</f>
        <v/>
      </c>
      <c r="K760">
        <f>IF(A760="","",IFERROR(IF(B760="",NA(),MATCH(B760,Products!$B$5:$B$204,0)),IFERROR(MATCH(A760,Products!$A$5:$A$204,0),"")))</f>
        <v/>
      </c>
      <c r="L760">
        <f>IF(A760="","",IF(K760="","⚠ not in Products",INDEX(Products!$A$5:$A$204,K760)))</f>
        <v/>
      </c>
      <c r="M760" s="11">
        <f>IF(A760="","",J760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760+IFERROR(INDEX(Settings!$D$5:$D$9,MATCH("Etsy",Settings!$A$5:$A$9,0)),0)*D760)</f>
        <v/>
      </c>
      <c r="N760" s="11">
        <f>IF(A760="","",IF(K760="",0,D760*INDEX(Products!$I$5:$I$204,K760)))</f>
        <v/>
      </c>
      <c r="O760" s="11">
        <f>IF(A760="","",IF(K760="",0,J760*INDEX(Products!$H$5:$H$204,K760)))</f>
        <v/>
      </c>
      <c r="P760" s="11">
        <f>IF(A760="","",J760-M760-N760-O760)</f>
        <v/>
      </c>
    </row>
    <row r="761">
      <c r="A761">
        <f>IFERROR(INDEX('Etsy Import'!$A:$CZ,761,Settings!$C$20)&amp;"","")</f>
        <v/>
      </c>
      <c r="B761">
        <f>IFERROR(INDEX('Etsy Import'!$A:$CZ,761,Settings!$C$21)&amp;"","")</f>
        <v/>
      </c>
      <c r="C761">
        <f>IFERROR(INDEX('Etsy Import'!$A:$CZ,761,Settings!$C$22)&amp;"","")</f>
        <v/>
      </c>
      <c r="D761">
        <f>IF(A761="","",IFERROR(VALUE(SUBSTITUTE(SUBSTITUTE(INDEX('Etsy Import'!$A:$CZ,761,Settings!$C$23)&amp;"","$",""),",","")),0))</f>
        <v/>
      </c>
      <c r="E761" s="11">
        <f>IF(A761="","",IFERROR(VALUE(SUBSTITUTE(SUBSTITUTE(INDEX('Etsy Import'!$A:$CZ,761,Settings!$C$24)&amp;"","$",""),",","")),0))</f>
        <v/>
      </c>
      <c r="F761" s="11">
        <f>IF(A761="","",D761*E761)</f>
        <v/>
      </c>
      <c r="G761">
        <f>IF(A761="","",IF(C761="",1,COUNTIF($C$2:$C$1501,C761)))</f>
        <v/>
      </c>
      <c r="H761" s="11">
        <f>IF(A761="","",IFERROR(VALUE(SUBSTITUTE(SUBSTITUTE(INDEX('Etsy Import'!$A:$CZ,761,Settings!$C$25)&amp;"","$",""),",","")),0)/IF(Settings!$B$27="Yes",G761,1))</f>
        <v/>
      </c>
      <c r="I761" s="11">
        <f>IF(A761="","",IFERROR(VALUE(SUBSTITUTE(SUBSTITUTE(INDEX('Etsy Import'!$A:$CZ,761,Settings!$C$26)&amp;"","$",""),",","")),0)/IF(Settings!$B$27="Yes",G761,1))</f>
        <v/>
      </c>
      <c r="J761" s="11">
        <f>IF(A761="","",F761+H761-I761)</f>
        <v/>
      </c>
      <c r="K761">
        <f>IF(A761="","",IFERROR(IF(B761="",NA(),MATCH(B761,Products!$B$5:$B$204,0)),IFERROR(MATCH(A761,Products!$A$5:$A$204,0),"")))</f>
        <v/>
      </c>
      <c r="L761">
        <f>IF(A761="","",IF(K761="","⚠ not in Products",INDEX(Products!$A$5:$A$204,K761)))</f>
        <v/>
      </c>
      <c r="M761" s="11">
        <f>IF(A761="","",J761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761+IFERROR(INDEX(Settings!$D$5:$D$9,MATCH("Etsy",Settings!$A$5:$A$9,0)),0)*D761)</f>
        <v/>
      </c>
      <c r="N761" s="11">
        <f>IF(A761="","",IF(K761="",0,D761*INDEX(Products!$I$5:$I$204,K761)))</f>
        <v/>
      </c>
      <c r="O761" s="11">
        <f>IF(A761="","",IF(K761="",0,J761*INDEX(Products!$H$5:$H$204,K761)))</f>
        <v/>
      </c>
      <c r="P761" s="11">
        <f>IF(A761="","",J761-M761-N761-O761)</f>
        <v/>
      </c>
    </row>
    <row r="762">
      <c r="A762">
        <f>IFERROR(INDEX('Etsy Import'!$A:$CZ,762,Settings!$C$20)&amp;"","")</f>
        <v/>
      </c>
      <c r="B762">
        <f>IFERROR(INDEX('Etsy Import'!$A:$CZ,762,Settings!$C$21)&amp;"","")</f>
        <v/>
      </c>
      <c r="C762">
        <f>IFERROR(INDEX('Etsy Import'!$A:$CZ,762,Settings!$C$22)&amp;"","")</f>
        <v/>
      </c>
      <c r="D762">
        <f>IF(A762="","",IFERROR(VALUE(SUBSTITUTE(SUBSTITUTE(INDEX('Etsy Import'!$A:$CZ,762,Settings!$C$23)&amp;"","$",""),",","")),0))</f>
        <v/>
      </c>
      <c r="E762" s="11">
        <f>IF(A762="","",IFERROR(VALUE(SUBSTITUTE(SUBSTITUTE(INDEX('Etsy Import'!$A:$CZ,762,Settings!$C$24)&amp;"","$",""),",","")),0))</f>
        <v/>
      </c>
      <c r="F762" s="11">
        <f>IF(A762="","",D762*E762)</f>
        <v/>
      </c>
      <c r="G762">
        <f>IF(A762="","",IF(C762="",1,COUNTIF($C$2:$C$1501,C762)))</f>
        <v/>
      </c>
      <c r="H762" s="11">
        <f>IF(A762="","",IFERROR(VALUE(SUBSTITUTE(SUBSTITUTE(INDEX('Etsy Import'!$A:$CZ,762,Settings!$C$25)&amp;"","$",""),",","")),0)/IF(Settings!$B$27="Yes",G762,1))</f>
        <v/>
      </c>
      <c r="I762" s="11">
        <f>IF(A762="","",IFERROR(VALUE(SUBSTITUTE(SUBSTITUTE(INDEX('Etsy Import'!$A:$CZ,762,Settings!$C$26)&amp;"","$",""),",","")),0)/IF(Settings!$B$27="Yes",G762,1))</f>
        <v/>
      </c>
      <c r="J762" s="11">
        <f>IF(A762="","",F762+H762-I762)</f>
        <v/>
      </c>
      <c r="K762">
        <f>IF(A762="","",IFERROR(IF(B762="",NA(),MATCH(B762,Products!$B$5:$B$204,0)),IFERROR(MATCH(A762,Products!$A$5:$A$204,0),"")))</f>
        <v/>
      </c>
      <c r="L762">
        <f>IF(A762="","",IF(K762="","⚠ not in Products",INDEX(Products!$A$5:$A$204,K762)))</f>
        <v/>
      </c>
      <c r="M762" s="11">
        <f>IF(A762="","",J762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762+IFERROR(INDEX(Settings!$D$5:$D$9,MATCH("Etsy",Settings!$A$5:$A$9,0)),0)*D762)</f>
        <v/>
      </c>
      <c r="N762" s="11">
        <f>IF(A762="","",IF(K762="",0,D762*INDEX(Products!$I$5:$I$204,K762)))</f>
        <v/>
      </c>
      <c r="O762" s="11">
        <f>IF(A762="","",IF(K762="",0,J762*INDEX(Products!$H$5:$H$204,K762)))</f>
        <v/>
      </c>
      <c r="P762" s="11">
        <f>IF(A762="","",J762-M762-N762-O762)</f>
        <v/>
      </c>
    </row>
    <row r="763">
      <c r="A763">
        <f>IFERROR(INDEX('Etsy Import'!$A:$CZ,763,Settings!$C$20)&amp;"","")</f>
        <v/>
      </c>
      <c r="B763">
        <f>IFERROR(INDEX('Etsy Import'!$A:$CZ,763,Settings!$C$21)&amp;"","")</f>
        <v/>
      </c>
      <c r="C763">
        <f>IFERROR(INDEX('Etsy Import'!$A:$CZ,763,Settings!$C$22)&amp;"","")</f>
        <v/>
      </c>
      <c r="D763">
        <f>IF(A763="","",IFERROR(VALUE(SUBSTITUTE(SUBSTITUTE(INDEX('Etsy Import'!$A:$CZ,763,Settings!$C$23)&amp;"","$",""),",","")),0))</f>
        <v/>
      </c>
      <c r="E763" s="11">
        <f>IF(A763="","",IFERROR(VALUE(SUBSTITUTE(SUBSTITUTE(INDEX('Etsy Import'!$A:$CZ,763,Settings!$C$24)&amp;"","$",""),",","")),0))</f>
        <v/>
      </c>
      <c r="F763" s="11">
        <f>IF(A763="","",D763*E763)</f>
        <v/>
      </c>
      <c r="G763">
        <f>IF(A763="","",IF(C763="",1,COUNTIF($C$2:$C$1501,C763)))</f>
        <v/>
      </c>
      <c r="H763" s="11">
        <f>IF(A763="","",IFERROR(VALUE(SUBSTITUTE(SUBSTITUTE(INDEX('Etsy Import'!$A:$CZ,763,Settings!$C$25)&amp;"","$",""),",","")),0)/IF(Settings!$B$27="Yes",G763,1))</f>
        <v/>
      </c>
      <c r="I763" s="11">
        <f>IF(A763="","",IFERROR(VALUE(SUBSTITUTE(SUBSTITUTE(INDEX('Etsy Import'!$A:$CZ,763,Settings!$C$26)&amp;"","$",""),",","")),0)/IF(Settings!$B$27="Yes",G763,1))</f>
        <v/>
      </c>
      <c r="J763" s="11">
        <f>IF(A763="","",F763+H763-I763)</f>
        <v/>
      </c>
      <c r="K763">
        <f>IF(A763="","",IFERROR(IF(B763="",NA(),MATCH(B763,Products!$B$5:$B$204,0)),IFERROR(MATCH(A763,Products!$A$5:$A$204,0),"")))</f>
        <v/>
      </c>
      <c r="L763">
        <f>IF(A763="","",IF(K763="","⚠ not in Products",INDEX(Products!$A$5:$A$204,K763)))</f>
        <v/>
      </c>
      <c r="M763" s="11">
        <f>IF(A763="","",J763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763+IFERROR(INDEX(Settings!$D$5:$D$9,MATCH("Etsy",Settings!$A$5:$A$9,0)),0)*D763)</f>
        <v/>
      </c>
      <c r="N763" s="11">
        <f>IF(A763="","",IF(K763="",0,D763*INDEX(Products!$I$5:$I$204,K763)))</f>
        <v/>
      </c>
      <c r="O763" s="11">
        <f>IF(A763="","",IF(K763="",0,J763*INDEX(Products!$H$5:$H$204,K763)))</f>
        <v/>
      </c>
      <c r="P763" s="11">
        <f>IF(A763="","",J763-M763-N763-O763)</f>
        <v/>
      </c>
    </row>
    <row r="764">
      <c r="A764">
        <f>IFERROR(INDEX('Etsy Import'!$A:$CZ,764,Settings!$C$20)&amp;"","")</f>
        <v/>
      </c>
      <c r="B764">
        <f>IFERROR(INDEX('Etsy Import'!$A:$CZ,764,Settings!$C$21)&amp;"","")</f>
        <v/>
      </c>
      <c r="C764">
        <f>IFERROR(INDEX('Etsy Import'!$A:$CZ,764,Settings!$C$22)&amp;"","")</f>
        <v/>
      </c>
      <c r="D764">
        <f>IF(A764="","",IFERROR(VALUE(SUBSTITUTE(SUBSTITUTE(INDEX('Etsy Import'!$A:$CZ,764,Settings!$C$23)&amp;"","$",""),",","")),0))</f>
        <v/>
      </c>
      <c r="E764" s="11">
        <f>IF(A764="","",IFERROR(VALUE(SUBSTITUTE(SUBSTITUTE(INDEX('Etsy Import'!$A:$CZ,764,Settings!$C$24)&amp;"","$",""),",","")),0))</f>
        <v/>
      </c>
      <c r="F764" s="11">
        <f>IF(A764="","",D764*E764)</f>
        <v/>
      </c>
      <c r="G764">
        <f>IF(A764="","",IF(C764="",1,COUNTIF($C$2:$C$1501,C764)))</f>
        <v/>
      </c>
      <c r="H764" s="11">
        <f>IF(A764="","",IFERROR(VALUE(SUBSTITUTE(SUBSTITUTE(INDEX('Etsy Import'!$A:$CZ,764,Settings!$C$25)&amp;"","$",""),",","")),0)/IF(Settings!$B$27="Yes",G764,1))</f>
        <v/>
      </c>
      <c r="I764" s="11">
        <f>IF(A764="","",IFERROR(VALUE(SUBSTITUTE(SUBSTITUTE(INDEX('Etsy Import'!$A:$CZ,764,Settings!$C$26)&amp;"","$",""),",","")),0)/IF(Settings!$B$27="Yes",G764,1))</f>
        <v/>
      </c>
      <c r="J764" s="11">
        <f>IF(A764="","",F764+H764-I764)</f>
        <v/>
      </c>
      <c r="K764">
        <f>IF(A764="","",IFERROR(IF(B764="",NA(),MATCH(B764,Products!$B$5:$B$204,0)),IFERROR(MATCH(A764,Products!$A$5:$A$204,0),"")))</f>
        <v/>
      </c>
      <c r="L764">
        <f>IF(A764="","",IF(K764="","⚠ not in Products",INDEX(Products!$A$5:$A$204,K764)))</f>
        <v/>
      </c>
      <c r="M764" s="11">
        <f>IF(A764="","",J764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764+IFERROR(INDEX(Settings!$D$5:$D$9,MATCH("Etsy",Settings!$A$5:$A$9,0)),0)*D764)</f>
        <v/>
      </c>
      <c r="N764" s="11">
        <f>IF(A764="","",IF(K764="",0,D764*INDEX(Products!$I$5:$I$204,K764)))</f>
        <v/>
      </c>
      <c r="O764" s="11">
        <f>IF(A764="","",IF(K764="",0,J764*INDEX(Products!$H$5:$H$204,K764)))</f>
        <v/>
      </c>
      <c r="P764" s="11">
        <f>IF(A764="","",J764-M764-N764-O764)</f>
        <v/>
      </c>
    </row>
    <row r="765">
      <c r="A765">
        <f>IFERROR(INDEX('Etsy Import'!$A:$CZ,765,Settings!$C$20)&amp;"","")</f>
        <v/>
      </c>
      <c r="B765">
        <f>IFERROR(INDEX('Etsy Import'!$A:$CZ,765,Settings!$C$21)&amp;"","")</f>
        <v/>
      </c>
      <c r="C765">
        <f>IFERROR(INDEX('Etsy Import'!$A:$CZ,765,Settings!$C$22)&amp;"","")</f>
        <v/>
      </c>
      <c r="D765">
        <f>IF(A765="","",IFERROR(VALUE(SUBSTITUTE(SUBSTITUTE(INDEX('Etsy Import'!$A:$CZ,765,Settings!$C$23)&amp;"","$",""),",","")),0))</f>
        <v/>
      </c>
      <c r="E765" s="11">
        <f>IF(A765="","",IFERROR(VALUE(SUBSTITUTE(SUBSTITUTE(INDEX('Etsy Import'!$A:$CZ,765,Settings!$C$24)&amp;"","$",""),",","")),0))</f>
        <v/>
      </c>
      <c r="F765" s="11">
        <f>IF(A765="","",D765*E765)</f>
        <v/>
      </c>
      <c r="G765">
        <f>IF(A765="","",IF(C765="",1,COUNTIF($C$2:$C$1501,C765)))</f>
        <v/>
      </c>
      <c r="H765" s="11">
        <f>IF(A765="","",IFERROR(VALUE(SUBSTITUTE(SUBSTITUTE(INDEX('Etsy Import'!$A:$CZ,765,Settings!$C$25)&amp;"","$",""),",","")),0)/IF(Settings!$B$27="Yes",G765,1))</f>
        <v/>
      </c>
      <c r="I765" s="11">
        <f>IF(A765="","",IFERROR(VALUE(SUBSTITUTE(SUBSTITUTE(INDEX('Etsy Import'!$A:$CZ,765,Settings!$C$26)&amp;"","$",""),",","")),0)/IF(Settings!$B$27="Yes",G765,1))</f>
        <v/>
      </c>
      <c r="J765" s="11">
        <f>IF(A765="","",F765+H765-I765)</f>
        <v/>
      </c>
      <c r="K765">
        <f>IF(A765="","",IFERROR(IF(B765="",NA(),MATCH(B765,Products!$B$5:$B$204,0)),IFERROR(MATCH(A765,Products!$A$5:$A$204,0),"")))</f>
        <v/>
      </c>
      <c r="L765">
        <f>IF(A765="","",IF(K765="","⚠ not in Products",INDEX(Products!$A$5:$A$204,K765)))</f>
        <v/>
      </c>
      <c r="M765" s="11">
        <f>IF(A765="","",J765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765+IFERROR(INDEX(Settings!$D$5:$D$9,MATCH("Etsy",Settings!$A$5:$A$9,0)),0)*D765)</f>
        <v/>
      </c>
      <c r="N765" s="11">
        <f>IF(A765="","",IF(K765="",0,D765*INDEX(Products!$I$5:$I$204,K765)))</f>
        <v/>
      </c>
      <c r="O765" s="11">
        <f>IF(A765="","",IF(K765="",0,J765*INDEX(Products!$H$5:$H$204,K765)))</f>
        <v/>
      </c>
      <c r="P765" s="11">
        <f>IF(A765="","",J765-M765-N765-O765)</f>
        <v/>
      </c>
    </row>
    <row r="766">
      <c r="A766">
        <f>IFERROR(INDEX('Etsy Import'!$A:$CZ,766,Settings!$C$20)&amp;"","")</f>
        <v/>
      </c>
      <c r="B766">
        <f>IFERROR(INDEX('Etsy Import'!$A:$CZ,766,Settings!$C$21)&amp;"","")</f>
        <v/>
      </c>
      <c r="C766">
        <f>IFERROR(INDEX('Etsy Import'!$A:$CZ,766,Settings!$C$22)&amp;"","")</f>
        <v/>
      </c>
      <c r="D766">
        <f>IF(A766="","",IFERROR(VALUE(SUBSTITUTE(SUBSTITUTE(INDEX('Etsy Import'!$A:$CZ,766,Settings!$C$23)&amp;"","$",""),",","")),0))</f>
        <v/>
      </c>
      <c r="E766" s="11">
        <f>IF(A766="","",IFERROR(VALUE(SUBSTITUTE(SUBSTITUTE(INDEX('Etsy Import'!$A:$CZ,766,Settings!$C$24)&amp;"","$",""),",","")),0))</f>
        <v/>
      </c>
      <c r="F766" s="11">
        <f>IF(A766="","",D766*E766)</f>
        <v/>
      </c>
      <c r="G766">
        <f>IF(A766="","",IF(C766="",1,COUNTIF($C$2:$C$1501,C766)))</f>
        <v/>
      </c>
      <c r="H766" s="11">
        <f>IF(A766="","",IFERROR(VALUE(SUBSTITUTE(SUBSTITUTE(INDEX('Etsy Import'!$A:$CZ,766,Settings!$C$25)&amp;"","$",""),",","")),0)/IF(Settings!$B$27="Yes",G766,1))</f>
        <v/>
      </c>
      <c r="I766" s="11">
        <f>IF(A766="","",IFERROR(VALUE(SUBSTITUTE(SUBSTITUTE(INDEX('Etsy Import'!$A:$CZ,766,Settings!$C$26)&amp;"","$",""),",","")),0)/IF(Settings!$B$27="Yes",G766,1))</f>
        <v/>
      </c>
      <c r="J766" s="11">
        <f>IF(A766="","",F766+H766-I766)</f>
        <v/>
      </c>
      <c r="K766">
        <f>IF(A766="","",IFERROR(IF(B766="",NA(),MATCH(B766,Products!$B$5:$B$204,0)),IFERROR(MATCH(A766,Products!$A$5:$A$204,0),"")))</f>
        <v/>
      </c>
      <c r="L766">
        <f>IF(A766="","",IF(K766="","⚠ not in Products",INDEX(Products!$A$5:$A$204,K766)))</f>
        <v/>
      </c>
      <c r="M766" s="11">
        <f>IF(A766="","",J766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766+IFERROR(INDEX(Settings!$D$5:$D$9,MATCH("Etsy",Settings!$A$5:$A$9,0)),0)*D766)</f>
        <v/>
      </c>
      <c r="N766" s="11">
        <f>IF(A766="","",IF(K766="",0,D766*INDEX(Products!$I$5:$I$204,K766)))</f>
        <v/>
      </c>
      <c r="O766" s="11">
        <f>IF(A766="","",IF(K766="",0,J766*INDEX(Products!$H$5:$H$204,K766)))</f>
        <v/>
      </c>
      <c r="P766" s="11">
        <f>IF(A766="","",J766-M766-N766-O766)</f>
        <v/>
      </c>
    </row>
    <row r="767">
      <c r="A767">
        <f>IFERROR(INDEX('Etsy Import'!$A:$CZ,767,Settings!$C$20)&amp;"","")</f>
        <v/>
      </c>
      <c r="B767">
        <f>IFERROR(INDEX('Etsy Import'!$A:$CZ,767,Settings!$C$21)&amp;"","")</f>
        <v/>
      </c>
      <c r="C767">
        <f>IFERROR(INDEX('Etsy Import'!$A:$CZ,767,Settings!$C$22)&amp;"","")</f>
        <v/>
      </c>
      <c r="D767">
        <f>IF(A767="","",IFERROR(VALUE(SUBSTITUTE(SUBSTITUTE(INDEX('Etsy Import'!$A:$CZ,767,Settings!$C$23)&amp;"","$",""),",","")),0))</f>
        <v/>
      </c>
      <c r="E767" s="11">
        <f>IF(A767="","",IFERROR(VALUE(SUBSTITUTE(SUBSTITUTE(INDEX('Etsy Import'!$A:$CZ,767,Settings!$C$24)&amp;"","$",""),",","")),0))</f>
        <v/>
      </c>
      <c r="F767" s="11">
        <f>IF(A767="","",D767*E767)</f>
        <v/>
      </c>
      <c r="G767">
        <f>IF(A767="","",IF(C767="",1,COUNTIF($C$2:$C$1501,C767)))</f>
        <v/>
      </c>
      <c r="H767" s="11">
        <f>IF(A767="","",IFERROR(VALUE(SUBSTITUTE(SUBSTITUTE(INDEX('Etsy Import'!$A:$CZ,767,Settings!$C$25)&amp;"","$",""),",","")),0)/IF(Settings!$B$27="Yes",G767,1))</f>
        <v/>
      </c>
      <c r="I767" s="11">
        <f>IF(A767="","",IFERROR(VALUE(SUBSTITUTE(SUBSTITUTE(INDEX('Etsy Import'!$A:$CZ,767,Settings!$C$26)&amp;"","$",""),",","")),0)/IF(Settings!$B$27="Yes",G767,1))</f>
        <v/>
      </c>
      <c r="J767" s="11">
        <f>IF(A767="","",F767+H767-I767)</f>
        <v/>
      </c>
      <c r="K767">
        <f>IF(A767="","",IFERROR(IF(B767="",NA(),MATCH(B767,Products!$B$5:$B$204,0)),IFERROR(MATCH(A767,Products!$A$5:$A$204,0),"")))</f>
        <v/>
      </c>
      <c r="L767">
        <f>IF(A767="","",IF(K767="","⚠ not in Products",INDEX(Products!$A$5:$A$204,K767)))</f>
        <v/>
      </c>
      <c r="M767" s="11">
        <f>IF(A767="","",J767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767+IFERROR(INDEX(Settings!$D$5:$D$9,MATCH("Etsy",Settings!$A$5:$A$9,0)),0)*D767)</f>
        <v/>
      </c>
      <c r="N767" s="11">
        <f>IF(A767="","",IF(K767="",0,D767*INDEX(Products!$I$5:$I$204,K767)))</f>
        <v/>
      </c>
      <c r="O767" s="11">
        <f>IF(A767="","",IF(K767="",0,J767*INDEX(Products!$H$5:$H$204,K767)))</f>
        <v/>
      </c>
      <c r="P767" s="11">
        <f>IF(A767="","",J767-M767-N767-O767)</f>
        <v/>
      </c>
    </row>
    <row r="768">
      <c r="A768">
        <f>IFERROR(INDEX('Etsy Import'!$A:$CZ,768,Settings!$C$20)&amp;"","")</f>
        <v/>
      </c>
      <c r="B768">
        <f>IFERROR(INDEX('Etsy Import'!$A:$CZ,768,Settings!$C$21)&amp;"","")</f>
        <v/>
      </c>
      <c r="C768">
        <f>IFERROR(INDEX('Etsy Import'!$A:$CZ,768,Settings!$C$22)&amp;"","")</f>
        <v/>
      </c>
      <c r="D768">
        <f>IF(A768="","",IFERROR(VALUE(SUBSTITUTE(SUBSTITUTE(INDEX('Etsy Import'!$A:$CZ,768,Settings!$C$23)&amp;"","$",""),",","")),0))</f>
        <v/>
      </c>
      <c r="E768" s="11">
        <f>IF(A768="","",IFERROR(VALUE(SUBSTITUTE(SUBSTITUTE(INDEX('Etsy Import'!$A:$CZ,768,Settings!$C$24)&amp;"","$",""),",","")),0))</f>
        <v/>
      </c>
      <c r="F768" s="11">
        <f>IF(A768="","",D768*E768)</f>
        <v/>
      </c>
      <c r="G768">
        <f>IF(A768="","",IF(C768="",1,COUNTIF($C$2:$C$1501,C768)))</f>
        <v/>
      </c>
      <c r="H768" s="11">
        <f>IF(A768="","",IFERROR(VALUE(SUBSTITUTE(SUBSTITUTE(INDEX('Etsy Import'!$A:$CZ,768,Settings!$C$25)&amp;"","$",""),",","")),0)/IF(Settings!$B$27="Yes",G768,1))</f>
        <v/>
      </c>
      <c r="I768" s="11">
        <f>IF(A768="","",IFERROR(VALUE(SUBSTITUTE(SUBSTITUTE(INDEX('Etsy Import'!$A:$CZ,768,Settings!$C$26)&amp;"","$",""),",","")),0)/IF(Settings!$B$27="Yes",G768,1))</f>
        <v/>
      </c>
      <c r="J768" s="11">
        <f>IF(A768="","",F768+H768-I768)</f>
        <v/>
      </c>
      <c r="K768">
        <f>IF(A768="","",IFERROR(IF(B768="",NA(),MATCH(B768,Products!$B$5:$B$204,0)),IFERROR(MATCH(A768,Products!$A$5:$A$204,0),"")))</f>
        <v/>
      </c>
      <c r="L768">
        <f>IF(A768="","",IF(K768="","⚠ not in Products",INDEX(Products!$A$5:$A$204,K768)))</f>
        <v/>
      </c>
      <c r="M768" s="11">
        <f>IF(A768="","",J768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768+IFERROR(INDEX(Settings!$D$5:$D$9,MATCH("Etsy",Settings!$A$5:$A$9,0)),0)*D768)</f>
        <v/>
      </c>
      <c r="N768" s="11">
        <f>IF(A768="","",IF(K768="",0,D768*INDEX(Products!$I$5:$I$204,K768)))</f>
        <v/>
      </c>
      <c r="O768" s="11">
        <f>IF(A768="","",IF(K768="",0,J768*INDEX(Products!$H$5:$H$204,K768)))</f>
        <v/>
      </c>
      <c r="P768" s="11">
        <f>IF(A768="","",J768-M768-N768-O768)</f>
        <v/>
      </c>
    </row>
    <row r="769">
      <c r="A769">
        <f>IFERROR(INDEX('Etsy Import'!$A:$CZ,769,Settings!$C$20)&amp;"","")</f>
        <v/>
      </c>
      <c r="B769">
        <f>IFERROR(INDEX('Etsy Import'!$A:$CZ,769,Settings!$C$21)&amp;"","")</f>
        <v/>
      </c>
      <c r="C769">
        <f>IFERROR(INDEX('Etsy Import'!$A:$CZ,769,Settings!$C$22)&amp;"","")</f>
        <v/>
      </c>
      <c r="D769">
        <f>IF(A769="","",IFERROR(VALUE(SUBSTITUTE(SUBSTITUTE(INDEX('Etsy Import'!$A:$CZ,769,Settings!$C$23)&amp;"","$",""),",","")),0))</f>
        <v/>
      </c>
      <c r="E769" s="11">
        <f>IF(A769="","",IFERROR(VALUE(SUBSTITUTE(SUBSTITUTE(INDEX('Etsy Import'!$A:$CZ,769,Settings!$C$24)&amp;"","$",""),",","")),0))</f>
        <v/>
      </c>
      <c r="F769" s="11">
        <f>IF(A769="","",D769*E769)</f>
        <v/>
      </c>
      <c r="G769">
        <f>IF(A769="","",IF(C769="",1,COUNTIF($C$2:$C$1501,C769)))</f>
        <v/>
      </c>
      <c r="H769" s="11">
        <f>IF(A769="","",IFERROR(VALUE(SUBSTITUTE(SUBSTITUTE(INDEX('Etsy Import'!$A:$CZ,769,Settings!$C$25)&amp;"","$",""),",","")),0)/IF(Settings!$B$27="Yes",G769,1))</f>
        <v/>
      </c>
      <c r="I769" s="11">
        <f>IF(A769="","",IFERROR(VALUE(SUBSTITUTE(SUBSTITUTE(INDEX('Etsy Import'!$A:$CZ,769,Settings!$C$26)&amp;"","$",""),",","")),0)/IF(Settings!$B$27="Yes",G769,1))</f>
        <v/>
      </c>
      <c r="J769" s="11">
        <f>IF(A769="","",F769+H769-I769)</f>
        <v/>
      </c>
      <c r="K769">
        <f>IF(A769="","",IFERROR(IF(B769="",NA(),MATCH(B769,Products!$B$5:$B$204,0)),IFERROR(MATCH(A769,Products!$A$5:$A$204,0),"")))</f>
        <v/>
      </c>
      <c r="L769">
        <f>IF(A769="","",IF(K769="","⚠ not in Products",INDEX(Products!$A$5:$A$204,K769)))</f>
        <v/>
      </c>
      <c r="M769" s="11">
        <f>IF(A769="","",J769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769+IFERROR(INDEX(Settings!$D$5:$D$9,MATCH("Etsy",Settings!$A$5:$A$9,0)),0)*D769)</f>
        <v/>
      </c>
      <c r="N769" s="11">
        <f>IF(A769="","",IF(K769="",0,D769*INDEX(Products!$I$5:$I$204,K769)))</f>
        <v/>
      </c>
      <c r="O769" s="11">
        <f>IF(A769="","",IF(K769="",0,J769*INDEX(Products!$H$5:$H$204,K769)))</f>
        <v/>
      </c>
      <c r="P769" s="11">
        <f>IF(A769="","",J769-M769-N769-O769)</f>
        <v/>
      </c>
    </row>
    <row r="770">
      <c r="A770">
        <f>IFERROR(INDEX('Etsy Import'!$A:$CZ,770,Settings!$C$20)&amp;"","")</f>
        <v/>
      </c>
      <c r="B770">
        <f>IFERROR(INDEX('Etsy Import'!$A:$CZ,770,Settings!$C$21)&amp;"","")</f>
        <v/>
      </c>
      <c r="C770">
        <f>IFERROR(INDEX('Etsy Import'!$A:$CZ,770,Settings!$C$22)&amp;"","")</f>
        <v/>
      </c>
      <c r="D770">
        <f>IF(A770="","",IFERROR(VALUE(SUBSTITUTE(SUBSTITUTE(INDEX('Etsy Import'!$A:$CZ,770,Settings!$C$23)&amp;"","$",""),",","")),0))</f>
        <v/>
      </c>
      <c r="E770" s="11">
        <f>IF(A770="","",IFERROR(VALUE(SUBSTITUTE(SUBSTITUTE(INDEX('Etsy Import'!$A:$CZ,770,Settings!$C$24)&amp;"","$",""),",","")),0))</f>
        <v/>
      </c>
      <c r="F770" s="11">
        <f>IF(A770="","",D770*E770)</f>
        <v/>
      </c>
      <c r="G770">
        <f>IF(A770="","",IF(C770="",1,COUNTIF($C$2:$C$1501,C770)))</f>
        <v/>
      </c>
      <c r="H770" s="11">
        <f>IF(A770="","",IFERROR(VALUE(SUBSTITUTE(SUBSTITUTE(INDEX('Etsy Import'!$A:$CZ,770,Settings!$C$25)&amp;"","$",""),",","")),0)/IF(Settings!$B$27="Yes",G770,1))</f>
        <v/>
      </c>
      <c r="I770" s="11">
        <f>IF(A770="","",IFERROR(VALUE(SUBSTITUTE(SUBSTITUTE(INDEX('Etsy Import'!$A:$CZ,770,Settings!$C$26)&amp;"","$",""),",","")),0)/IF(Settings!$B$27="Yes",G770,1))</f>
        <v/>
      </c>
      <c r="J770" s="11">
        <f>IF(A770="","",F770+H770-I770)</f>
        <v/>
      </c>
      <c r="K770">
        <f>IF(A770="","",IFERROR(IF(B770="",NA(),MATCH(B770,Products!$B$5:$B$204,0)),IFERROR(MATCH(A770,Products!$A$5:$A$204,0),"")))</f>
        <v/>
      </c>
      <c r="L770">
        <f>IF(A770="","",IF(K770="","⚠ not in Products",INDEX(Products!$A$5:$A$204,K770)))</f>
        <v/>
      </c>
      <c r="M770" s="11">
        <f>IF(A770="","",J770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770+IFERROR(INDEX(Settings!$D$5:$D$9,MATCH("Etsy",Settings!$A$5:$A$9,0)),0)*D770)</f>
        <v/>
      </c>
      <c r="N770" s="11">
        <f>IF(A770="","",IF(K770="",0,D770*INDEX(Products!$I$5:$I$204,K770)))</f>
        <v/>
      </c>
      <c r="O770" s="11">
        <f>IF(A770="","",IF(K770="",0,J770*INDEX(Products!$H$5:$H$204,K770)))</f>
        <v/>
      </c>
      <c r="P770" s="11">
        <f>IF(A770="","",J770-M770-N770-O770)</f>
        <v/>
      </c>
    </row>
    <row r="771">
      <c r="A771">
        <f>IFERROR(INDEX('Etsy Import'!$A:$CZ,771,Settings!$C$20)&amp;"","")</f>
        <v/>
      </c>
      <c r="B771">
        <f>IFERROR(INDEX('Etsy Import'!$A:$CZ,771,Settings!$C$21)&amp;"","")</f>
        <v/>
      </c>
      <c r="C771">
        <f>IFERROR(INDEX('Etsy Import'!$A:$CZ,771,Settings!$C$22)&amp;"","")</f>
        <v/>
      </c>
      <c r="D771">
        <f>IF(A771="","",IFERROR(VALUE(SUBSTITUTE(SUBSTITUTE(INDEX('Etsy Import'!$A:$CZ,771,Settings!$C$23)&amp;"","$",""),",","")),0))</f>
        <v/>
      </c>
      <c r="E771" s="11">
        <f>IF(A771="","",IFERROR(VALUE(SUBSTITUTE(SUBSTITUTE(INDEX('Etsy Import'!$A:$CZ,771,Settings!$C$24)&amp;"","$",""),",","")),0))</f>
        <v/>
      </c>
      <c r="F771" s="11">
        <f>IF(A771="","",D771*E771)</f>
        <v/>
      </c>
      <c r="G771">
        <f>IF(A771="","",IF(C771="",1,COUNTIF($C$2:$C$1501,C771)))</f>
        <v/>
      </c>
      <c r="H771" s="11">
        <f>IF(A771="","",IFERROR(VALUE(SUBSTITUTE(SUBSTITUTE(INDEX('Etsy Import'!$A:$CZ,771,Settings!$C$25)&amp;"","$",""),",","")),0)/IF(Settings!$B$27="Yes",G771,1))</f>
        <v/>
      </c>
      <c r="I771" s="11">
        <f>IF(A771="","",IFERROR(VALUE(SUBSTITUTE(SUBSTITUTE(INDEX('Etsy Import'!$A:$CZ,771,Settings!$C$26)&amp;"","$",""),",","")),0)/IF(Settings!$B$27="Yes",G771,1))</f>
        <v/>
      </c>
      <c r="J771" s="11">
        <f>IF(A771="","",F771+H771-I771)</f>
        <v/>
      </c>
      <c r="K771">
        <f>IF(A771="","",IFERROR(IF(B771="",NA(),MATCH(B771,Products!$B$5:$B$204,0)),IFERROR(MATCH(A771,Products!$A$5:$A$204,0),"")))</f>
        <v/>
      </c>
      <c r="L771">
        <f>IF(A771="","",IF(K771="","⚠ not in Products",INDEX(Products!$A$5:$A$204,K771)))</f>
        <v/>
      </c>
      <c r="M771" s="11">
        <f>IF(A771="","",J771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771+IFERROR(INDEX(Settings!$D$5:$D$9,MATCH("Etsy",Settings!$A$5:$A$9,0)),0)*D771)</f>
        <v/>
      </c>
      <c r="N771" s="11">
        <f>IF(A771="","",IF(K771="",0,D771*INDEX(Products!$I$5:$I$204,K771)))</f>
        <v/>
      </c>
      <c r="O771" s="11">
        <f>IF(A771="","",IF(K771="",0,J771*INDEX(Products!$H$5:$H$204,K771)))</f>
        <v/>
      </c>
      <c r="P771" s="11">
        <f>IF(A771="","",J771-M771-N771-O771)</f>
        <v/>
      </c>
    </row>
    <row r="772">
      <c r="A772">
        <f>IFERROR(INDEX('Etsy Import'!$A:$CZ,772,Settings!$C$20)&amp;"","")</f>
        <v/>
      </c>
      <c r="B772">
        <f>IFERROR(INDEX('Etsy Import'!$A:$CZ,772,Settings!$C$21)&amp;"","")</f>
        <v/>
      </c>
      <c r="C772">
        <f>IFERROR(INDEX('Etsy Import'!$A:$CZ,772,Settings!$C$22)&amp;"","")</f>
        <v/>
      </c>
      <c r="D772">
        <f>IF(A772="","",IFERROR(VALUE(SUBSTITUTE(SUBSTITUTE(INDEX('Etsy Import'!$A:$CZ,772,Settings!$C$23)&amp;"","$",""),",","")),0))</f>
        <v/>
      </c>
      <c r="E772" s="11">
        <f>IF(A772="","",IFERROR(VALUE(SUBSTITUTE(SUBSTITUTE(INDEX('Etsy Import'!$A:$CZ,772,Settings!$C$24)&amp;"","$",""),",","")),0))</f>
        <v/>
      </c>
      <c r="F772" s="11">
        <f>IF(A772="","",D772*E772)</f>
        <v/>
      </c>
      <c r="G772">
        <f>IF(A772="","",IF(C772="",1,COUNTIF($C$2:$C$1501,C772)))</f>
        <v/>
      </c>
      <c r="H772" s="11">
        <f>IF(A772="","",IFERROR(VALUE(SUBSTITUTE(SUBSTITUTE(INDEX('Etsy Import'!$A:$CZ,772,Settings!$C$25)&amp;"","$",""),",","")),0)/IF(Settings!$B$27="Yes",G772,1))</f>
        <v/>
      </c>
      <c r="I772" s="11">
        <f>IF(A772="","",IFERROR(VALUE(SUBSTITUTE(SUBSTITUTE(INDEX('Etsy Import'!$A:$CZ,772,Settings!$C$26)&amp;"","$",""),",","")),0)/IF(Settings!$B$27="Yes",G772,1))</f>
        <v/>
      </c>
      <c r="J772" s="11">
        <f>IF(A772="","",F772+H772-I772)</f>
        <v/>
      </c>
      <c r="K772">
        <f>IF(A772="","",IFERROR(IF(B772="",NA(),MATCH(B772,Products!$B$5:$B$204,0)),IFERROR(MATCH(A772,Products!$A$5:$A$204,0),"")))</f>
        <v/>
      </c>
      <c r="L772">
        <f>IF(A772="","",IF(K772="","⚠ not in Products",INDEX(Products!$A$5:$A$204,K772)))</f>
        <v/>
      </c>
      <c r="M772" s="11">
        <f>IF(A772="","",J772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772+IFERROR(INDEX(Settings!$D$5:$D$9,MATCH("Etsy",Settings!$A$5:$A$9,0)),0)*D772)</f>
        <v/>
      </c>
      <c r="N772" s="11">
        <f>IF(A772="","",IF(K772="",0,D772*INDEX(Products!$I$5:$I$204,K772)))</f>
        <v/>
      </c>
      <c r="O772" s="11">
        <f>IF(A772="","",IF(K772="",0,J772*INDEX(Products!$H$5:$H$204,K772)))</f>
        <v/>
      </c>
      <c r="P772" s="11">
        <f>IF(A772="","",J772-M772-N772-O772)</f>
        <v/>
      </c>
    </row>
    <row r="773">
      <c r="A773">
        <f>IFERROR(INDEX('Etsy Import'!$A:$CZ,773,Settings!$C$20)&amp;"","")</f>
        <v/>
      </c>
      <c r="B773">
        <f>IFERROR(INDEX('Etsy Import'!$A:$CZ,773,Settings!$C$21)&amp;"","")</f>
        <v/>
      </c>
      <c r="C773">
        <f>IFERROR(INDEX('Etsy Import'!$A:$CZ,773,Settings!$C$22)&amp;"","")</f>
        <v/>
      </c>
      <c r="D773">
        <f>IF(A773="","",IFERROR(VALUE(SUBSTITUTE(SUBSTITUTE(INDEX('Etsy Import'!$A:$CZ,773,Settings!$C$23)&amp;"","$",""),",","")),0))</f>
        <v/>
      </c>
      <c r="E773" s="11">
        <f>IF(A773="","",IFERROR(VALUE(SUBSTITUTE(SUBSTITUTE(INDEX('Etsy Import'!$A:$CZ,773,Settings!$C$24)&amp;"","$",""),",","")),0))</f>
        <v/>
      </c>
      <c r="F773" s="11">
        <f>IF(A773="","",D773*E773)</f>
        <v/>
      </c>
      <c r="G773">
        <f>IF(A773="","",IF(C773="",1,COUNTIF($C$2:$C$1501,C773)))</f>
        <v/>
      </c>
      <c r="H773" s="11">
        <f>IF(A773="","",IFERROR(VALUE(SUBSTITUTE(SUBSTITUTE(INDEX('Etsy Import'!$A:$CZ,773,Settings!$C$25)&amp;"","$",""),",","")),0)/IF(Settings!$B$27="Yes",G773,1))</f>
        <v/>
      </c>
      <c r="I773" s="11">
        <f>IF(A773="","",IFERROR(VALUE(SUBSTITUTE(SUBSTITUTE(INDEX('Etsy Import'!$A:$CZ,773,Settings!$C$26)&amp;"","$",""),",","")),0)/IF(Settings!$B$27="Yes",G773,1))</f>
        <v/>
      </c>
      <c r="J773" s="11">
        <f>IF(A773="","",F773+H773-I773)</f>
        <v/>
      </c>
      <c r="K773">
        <f>IF(A773="","",IFERROR(IF(B773="",NA(),MATCH(B773,Products!$B$5:$B$204,0)),IFERROR(MATCH(A773,Products!$A$5:$A$204,0),"")))</f>
        <v/>
      </c>
      <c r="L773">
        <f>IF(A773="","",IF(K773="","⚠ not in Products",INDEX(Products!$A$5:$A$204,K773)))</f>
        <v/>
      </c>
      <c r="M773" s="11">
        <f>IF(A773="","",J773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773+IFERROR(INDEX(Settings!$D$5:$D$9,MATCH("Etsy",Settings!$A$5:$A$9,0)),0)*D773)</f>
        <v/>
      </c>
      <c r="N773" s="11">
        <f>IF(A773="","",IF(K773="",0,D773*INDEX(Products!$I$5:$I$204,K773)))</f>
        <v/>
      </c>
      <c r="O773" s="11">
        <f>IF(A773="","",IF(K773="",0,J773*INDEX(Products!$H$5:$H$204,K773)))</f>
        <v/>
      </c>
      <c r="P773" s="11">
        <f>IF(A773="","",J773-M773-N773-O773)</f>
        <v/>
      </c>
    </row>
    <row r="774">
      <c r="A774">
        <f>IFERROR(INDEX('Etsy Import'!$A:$CZ,774,Settings!$C$20)&amp;"","")</f>
        <v/>
      </c>
      <c r="B774">
        <f>IFERROR(INDEX('Etsy Import'!$A:$CZ,774,Settings!$C$21)&amp;"","")</f>
        <v/>
      </c>
      <c r="C774">
        <f>IFERROR(INDEX('Etsy Import'!$A:$CZ,774,Settings!$C$22)&amp;"","")</f>
        <v/>
      </c>
      <c r="D774">
        <f>IF(A774="","",IFERROR(VALUE(SUBSTITUTE(SUBSTITUTE(INDEX('Etsy Import'!$A:$CZ,774,Settings!$C$23)&amp;"","$",""),",","")),0))</f>
        <v/>
      </c>
      <c r="E774" s="11">
        <f>IF(A774="","",IFERROR(VALUE(SUBSTITUTE(SUBSTITUTE(INDEX('Etsy Import'!$A:$CZ,774,Settings!$C$24)&amp;"","$",""),",","")),0))</f>
        <v/>
      </c>
      <c r="F774" s="11">
        <f>IF(A774="","",D774*E774)</f>
        <v/>
      </c>
      <c r="G774">
        <f>IF(A774="","",IF(C774="",1,COUNTIF($C$2:$C$1501,C774)))</f>
        <v/>
      </c>
      <c r="H774" s="11">
        <f>IF(A774="","",IFERROR(VALUE(SUBSTITUTE(SUBSTITUTE(INDEX('Etsy Import'!$A:$CZ,774,Settings!$C$25)&amp;"","$",""),",","")),0)/IF(Settings!$B$27="Yes",G774,1))</f>
        <v/>
      </c>
      <c r="I774" s="11">
        <f>IF(A774="","",IFERROR(VALUE(SUBSTITUTE(SUBSTITUTE(INDEX('Etsy Import'!$A:$CZ,774,Settings!$C$26)&amp;"","$",""),",","")),0)/IF(Settings!$B$27="Yes",G774,1))</f>
        <v/>
      </c>
      <c r="J774" s="11">
        <f>IF(A774="","",F774+H774-I774)</f>
        <v/>
      </c>
      <c r="K774">
        <f>IF(A774="","",IFERROR(IF(B774="",NA(),MATCH(B774,Products!$B$5:$B$204,0)),IFERROR(MATCH(A774,Products!$A$5:$A$204,0),"")))</f>
        <v/>
      </c>
      <c r="L774">
        <f>IF(A774="","",IF(K774="","⚠ not in Products",INDEX(Products!$A$5:$A$204,K774)))</f>
        <v/>
      </c>
      <c r="M774" s="11">
        <f>IF(A774="","",J774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774+IFERROR(INDEX(Settings!$D$5:$D$9,MATCH("Etsy",Settings!$A$5:$A$9,0)),0)*D774)</f>
        <v/>
      </c>
      <c r="N774" s="11">
        <f>IF(A774="","",IF(K774="",0,D774*INDEX(Products!$I$5:$I$204,K774)))</f>
        <v/>
      </c>
      <c r="O774" s="11">
        <f>IF(A774="","",IF(K774="",0,J774*INDEX(Products!$H$5:$H$204,K774)))</f>
        <v/>
      </c>
      <c r="P774" s="11">
        <f>IF(A774="","",J774-M774-N774-O774)</f>
        <v/>
      </c>
    </row>
    <row r="775">
      <c r="A775">
        <f>IFERROR(INDEX('Etsy Import'!$A:$CZ,775,Settings!$C$20)&amp;"","")</f>
        <v/>
      </c>
      <c r="B775">
        <f>IFERROR(INDEX('Etsy Import'!$A:$CZ,775,Settings!$C$21)&amp;"","")</f>
        <v/>
      </c>
      <c r="C775">
        <f>IFERROR(INDEX('Etsy Import'!$A:$CZ,775,Settings!$C$22)&amp;"","")</f>
        <v/>
      </c>
      <c r="D775">
        <f>IF(A775="","",IFERROR(VALUE(SUBSTITUTE(SUBSTITUTE(INDEX('Etsy Import'!$A:$CZ,775,Settings!$C$23)&amp;"","$",""),",","")),0))</f>
        <v/>
      </c>
      <c r="E775" s="11">
        <f>IF(A775="","",IFERROR(VALUE(SUBSTITUTE(SUBSTITUTE(INDEX('Etsy Import'!$A:$CZ,775,Settings!$C$24)&amp;"","$",""),",","")),0))</f>
        <v/>
      </c>
      <c r="F775" s="11">
        <f>IF(A775="","",D775*E775)</f>
        <v/>
      </c>
      <c r="G775">
        <f>IF(A775="","",IF(C775="",1,COUNTIF($C$2:$C$1501,C775)))</f>
        <v/>
      </c>
      <c r="H775" s="11">
        <f>IF(A775="","",IFERROR(VALUE(SUBSTITUTE(SUBSTITUTE(INDEX('Etsy Import'!$A:$CZ,775,Settings!$C$25)&amp;"","$",""),",","")),0)/IF(Settings!$B$27="Yes",G775,1))</f>
        <v/>
      </c>
      <c r="I775" s="11">
        <f>IF(A775="","",IFERROR(VALUE(SUBSTITUTE(SUBSTITUTE(INDEX('Etsy Import'!$A:$CZ,775,Settings!$C$26)&amp;"","$",""),",","")),0)/IF(Settings!$B$27="Yes",G775,1))</f>
        <v/>
      </c>
      <c r="J775" s="11">
        <f>IF(A775="","",F775+H775-I775)</f>
        <v/>
      </c>
      <c r="K775">
        <f>IF(A775="","",IFERROR(IF(B775="",NA(),MATCH(B775,Products!$B$5:$B$204,0)),IFERROR(MATCH(A775,Products!$A$5:$A$204,0),"")))</f>
        <v/>
      </c>
      <c r="L775">
        <f>IF(A775="","",IF(K775="","⚠ not in Products",INDEX(Products!$A$5:$A$204,K775)))</f>
        <v/>
      </c>
      <c r="M775" s="11">
        <f>IF(A775="","",J775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775+IFERROR(INDEX(Settings!$D$5:$D$9,MATCH("Etsy",Settings!$A$5:$A$9,0)),0)*D775)</f>
        <v/>
      </c>
      <c r="N775" s="11">
        <f>IF(A775="","",IF(K775="",0,D775*INDEX(Products!$I$5:$I$204,K775)))</f>
        <v/>
      </c>
      <c r="O775" s="11">
        <f>IF(A775="","",IF(K775="",0,J775*INDEX(Products!$H$5:$H$204,K775)))</f>
        <v/>
      </c>
      <c r="P775" s="11">
        <f>IF(A775="","",J775-M775-N775-O775)</f>
        <v/>
      </c>
    </row>
    <row r="776">
      <c r="A776">
        <f>IFERROR(INDEX('Etsy Import'!$A:$CZ,776,Settings!$C$20)&amp;"","")</f>
        <v/>
      </c>
      <c r="B776">
        <f>IFERROR(INDEX('Etsy Import'!$A:$CZ,776,Settings!$C$21)&amp;"","")</f>
        <v/>
      </c>
      <c r="C776">
        <f>IFERROR(INDEX('Etsy Import'!$A:$CZ,776,Settings!$C$22)&amp;"","")</f>
        <v/>
      </c>
      <c r="D776">
        <f>IF(A776="","",IFERROR(VALUE(SUBSTITUTE(SUBSTITUTE(INDEX('Etsy Import'!$A:$CZ,776,Settings!$C$23)&amp;"","$",""),",","")),0))</f>
        <v/>
      </c>
      <c r="E776" s="11">
        <f>IF(A776="","",IFERROR(VALUE(SUBSTITUTE(SUBSTITUTE(INDEX('Etsy Import'!$A:$CZ,776,Settings!$C$24)&amp;"","$",""),",","")),0))</f>
        <v/>
      </c>
      <c r="F776" s="11">
        <f>IF(A776="","",D776*E776)</f>
        <v/>
      </c>
      <c r="G776">
        <f>IF(A776="","",IF(C776="",1,COUNTIF($C$2:$C$1501,C776)))</f>
        <v/>
      </c>
      <c r="H776" s="11">
        <f>IF(A776="","",IFERROR(VALUE(SUBSTITUTE(SUBSTITUTE(INDEX('Etsy Import'!$A:$CZ,776,Settings!$C$25)&amp;"","$",""),",","")),0)/IF(Settings!$B$27="Yes",G776,1))</f>
        <v/>
      </c>
      <c r="I776" s="11">
        <f>IF(A776="","",IFERROR(VALUE(SUBSTITUTE(SUBSTITUTE(INDEX('Etsy Import'!$A:$CZ,776,Settings!$C$26)&amp;"","$",""),",","")),0)/IF(Settings!$B$27="Yes",G776,1))</f>
        <v/>
      </c>
      <c r="J776" s="11">
        <f>IF(A776="","",F776+H776-I776)</f>
        <v/>
      </c>
      <c r="K776">
        <f>IF(A776="","",IFERROR(IF(B776="",NA(),MATCH(B776,Products!$B$5:$B$204,0)),IFERROR(MATCH(A776,Products!$A$5:$A$204,0),"")))</f>
        <v/>
      </c>
      <c r="L776">
        <f>IF(A776="","",IF(K776="","⚠ not in Products",INDEX(Products!$A$5:$A$204,K776)))</f>
        <v/>
      </c>
      <c r="M776" s="11">
        <f>IF(A776="","",J776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776+IFERROR(INDEX(Settings!$D$5:$D$9,MATCH("Etsy",Settings!$A$5:$A$9,0)),0)*D776)</f>
        <v/>
      </c>
      <c r="N776" s="11">
        <f>IF(A776="","",IF(K776="",0,D776*INDEX(Products!$I$5:$I$204,K776)))</f>
        <v/>
      </c>
      <c r="O776" s="11">
        <f>IF(A776="","",IF(K776="",0,J776*INDEX(Products!$H$5:$H$204,K776)))</f>
        <v/>
      </c>
      <c r="P776" s="11">
        <f>IF(A776="","",J776-M776-N776-O776)</f>
        <v/>
      </c>
    </row>
    <row r="777">
      <c r="A777">
        <f>IFERROR(INDEX('Etsy Import'!$A:$CZ,777,Settings!$C$20)&amp;"","")</f>
        <v/>
      </c>
      <c r="B777">
        <f>IFERROR(INDEX('Etsy Import'!$A:$CZ,777,Settings!$C$21)&amp;"","")</f>
        <v/>
      </c>
      <c r="C777">
        <f>IFERROR(INDEX('Etsy Import'!$A:$CZ,777,Settings!$C$22)&amp;"","")</f>
        <v/>
      </c>
      <c r="D777">
        <f>IF(A777="","",IFERROR(VALUE(SUBSTITUTE(SUBSTITUTE(INDEX('Etsy Import'!$A:$CZ,777,Settings!$C$23)&amp;"","$",""),",","")),0))</f>
        <v/>
      </c>
      <c r="E777" s="11">
        <f>IF(A777="","",IFERROR(VALUE(SUBSTITUTE(SUBSTITUTE(INDEX('Etsy Import'!$A:$CZ,777,Settings!$C$24)&amp;"","$",""),",","")),0))</f>
        <v/>
      </c>
      <c r="F777" s="11">
        <f>IF(A777="","",D777*E777)</f>
        <v/>
      </c>
      <c r="G777">
        <f>IF(A777="","",IF(C777="",1,COUNTIF($C$2:$C$1501,C777)))</f>
        <v/>
      </c>
      <c r="H777" s="11">
        <f>IF(A777="","",IFERROR(VALUE(SUBSTITUTE(SUBSTITUTE(INDEX('Etsy Import'!$A:$CZ,777,Settings!$C$25)&amp;"","$",""),",","")),0)/IF(Settings!$B$27="Yes",G777,1))</f>
        <v/>
      </c>
      <c r="I777" s="11">
        <f>IF(A777="","",IFERROR(VALUE(SUBSTITUTE(SUBSTITUTE(INDEX('Etsy Import'!$A:$CZ,777,Settings!$C$26)&amp;"","$",""),",","")),0)/IF(Settings!$B$27="Yes",G777,1))</f>
        <v/>
      </c>
      <c r="J777" s="11">
        <f>IF(A777="","",F777+H777-I777)</f>
        <v/>
      </c>
      <c r="K777">
        <f>IF(A777="","",IFERROR(IF(B777="",NA(),MATCH(B777,Products!$B$5:$B$204,0)),IFERROR(MATCH(A777,Products!$A$5:$A$204,0),"")))</f>
        <v/>
      </c>
      <c r="L777">
        <f>IF(A777="","",IF(K777="","⚠ not in Products",INDEX(Products!$A$5:$A$204,K777)))</f>
        <v/>
      </c>
      <c r="M777" s="11">
        <f>IF(A777="","",J777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777+IFERROR(INDEX(Settings!$D$5:$D$9,MATCH("Etsy",Settings!$A$5:$A$9,0)),0)*D777)</f>
        <v/>
      </c>
      <c r="N777" s="11">
        <f>IF(A777="","",IF(K777="",0,D777*INDEX(Products!$I$5:$I$204,K777)))</f>
        <v/>
      </c>
      <c r="O777" s="11">
        <f>IF(A777="","",IF(K777="",0,J777*INDEX(Products!$H$5:$H$204,K777)))</f>
        <v/>
      </c>
      <c r="P777" s="11">
        <f>IF(A777="","",J777-M777-N777-O777)</f>
        <v/>
      </c>
    </row>
    <row r="778">
      <c r="A778">
        <f>IFERROR(INDEX('Etsy Import'!$A:$CZ,778,Settings!$C$20)&amp;"","")</f>
        <v/>
      </c>
      <c r="B778">
        <f>IFERROR(INDEX('Etsy Import'!$A:$CZ,778,Settings!$C$21)&amp;"","")</f>
        <v/>
      </c>
      <c r="C778">
        <f>IFERROR(INDEX('Etsy Import'!$A:$CZ,778,Settings!$C$22)&amp;"","")</f>
        <v/>
      </c>
      <c r="D778">
        <f>IF(A778="","",IFERROR(VALUE(SUBSTITUTE(SUBSTITUTE(INDEX('Etsy Import'!$A:$CZ,778,Settings!$C$23)&amp;"","$",""),",","")),0))</f>
        <v/>
      </c>
      <c r="E778" s="11">
        <f>IF(A778="","",IFERROR(VALUE(SUBSTITUTE(SUBSTITUTE(INDEX('Etsy Import'!$A:$CZ,778,Settings!$C$24)&amp;"","$",""),",","")),0))</f>
        <v/>
      </c>
      <c r="F778" s="11">
        <f>IF(A778="","",D778*E778)</f>
        <v/>
      </c>
      <c r="G778">
        <f>IF(A778="","",IF(C778="",1,COUNTIF($C$2:$C$1501,C778)))</f>
        <v/>
      </c>
      <c r="H778" s="11">
        <f>IF(A778="","",IFERROR(VALUE(SUBSTITUTE(SUBSTITUTE(INDEX('Etsy Import'!$A:$CZ,778,Settings!$C$25)&amp;"","$",""),",","")),0)/IF(Settings!$B$27="Yes",G778,1))</f>
        <v/>
      </c>
      <c r="I778" s="11">
        <f>IF(A778="","",IFERROR(VALUE(SUBSTITUTE(SUBSTITUTE(INDEX('Etsy Import'!$A:$CZ,778,Settings!$C$26)&amp;"","$",""),",","")),0)/IF(Settings!$B$27="Yes",G778,1))</f>
        <v/>
      </c>
      <c r="J778" s="11">
        <f>IF(A778="","",F778+H778-I778)</f>
        <v/>
      </c>
      <c r="K778">
        <f>IF(A778="","",IFERROR(IF(B778="",NA(),MATCH(B778,Products!$B$5:$B$204,0)),IFERROR(MATCH(A778,Products!$A$5:$A$204,0),"")))</f>
        <v/>
      </c>
      <c r="L778">
        <f>IF(A778="","",IF(K778="","⚠ not in Products",INDEX(Products!$A$5:$A$204,K778)))</f>
        <v/>
      </c>
      <c r="M778" s="11">
        <f>IF(A778="","",J778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778+IFERROR(INDEX(Settings!$D$5:$D$9,MATCH("Etsy",Settings!$A$5:$A$9,0)),0)*D778)</f>
        <v/>
      </c>
      <c r="N778" s="11">
        <f>IF(A778="","",IF(K778="",0,D778*INDEX(Products!$I$5:$I$204,K778)))</f>
        <v/>
      </c>
      <c r="O778" s="11">
        <f>IF(A778="","",IF(K778="",0,J778*INDEX(Products!$H$5:$H$204,K778)))</f>
        <v/>
      </c>
      <c r="P778" s="11">
        <f>IF(A778="","",J778-M778-N778-O778)</f>
        <v/>
      </c>
    </row>
    <row r="779">
      <c r="A779">
        <f>IFERROR(INDEX('Etsy Import'!$A:$CZ,779,Settings!$C$20)&amp;"","")</f>
        <v/>
      </c>
      <c r="B779">
        <f>IFERROR(INDEX('Etsy Import'!$A:$CZ,779,Settings!$C$21)&amp;"","")</f>
        <v/>
      </c>
      <c r="C779">
        <f>IFERROR(INDEX('Etsy Import'!$A:$CZ,779,Settings!$C$22)&amp;"","")</f>
        <v/>
      </c>
      <c r="D779">
        <f>IF(A779="","",IFERROR(VALUE(SUBSTITUTE(SUBSTITUTE(INDEX('Etsy Import'!$A:$CZ,779,Settings!$C$23)&amp;"","$",""),",","")),0))</f>
        <v/>
      </c>
      <c r="E779" s="11">
        <f>IF(A779="","",IFERROR(VALUE(SUBSTITUTE(SUBSTITUTE(INDEX('Etsy Import'!$A:$CZ,779,Settings!$C$24)&amp;"","$",""),",","")),0))</f>
        <v/>
      </c>
      <c r="F779" s="11">
        <f>IF(A779="","",D779*E779)</f>
        <v/>
      </c>
      <c r="G779">
        <f>IF(A779="","",IF(C779="",1,COUNTIF($C$2:$C$1501,C779)))</f>
        <v/>
      </c>
      <c r="H779" s="11">
        <f>IF(A779="","",IFERROR(VALUE(SUBSTITUTE(SUBSTITUTE(INDEX('Etsy Import'!$A:$CZ,779,Settings!$C$25)&amp;"","$",""),",","")),0)/IF(Settings!$B$27="Yes",G779,1))</f>
        <v/>
      </c>
      <c r="I779" s="11">
        <f>IF(A779="","",IFERROR(VALUE(SUBSTITUTE(SUBSTITUTE(INDEX('Etsy Import'!$A:$CZ,779,Settings!$C$26)&amp;"","$",""),",","")),0)/IF(Settings!$B$27="Yes",G779,1))</f>
        <v/>
      </c>
      <c r="J779" s="11">
        <f>IF(A779="","",F779+H779-I779)</f>
        <v/>
      </c>
      <c r="K779">
        <f>IF(A779="","",IFERROR(IF(B779="",NA(),MATCH(B779,Products!$B$5:$B$204,0)),IFERROR(MATCH(A779,Products!$A$5:$A$204,0),"")))</f>
        <v/>
      </c>
      <c r="L779">
        <f>IF(A779="","",IF(K779="","⚠ not in Products",INDEX(Products!$A$5:$A$204,K779)))</f>
        <v/>
      </c>
      <c r="M779" s="11">
        <f>IF(A779="","",J779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779+IFERROR(INDEX(Settings!$D$5:$D$9,MATCH("Etsy",Settings!$A$5:$A$9,0)),0)*D779)</f>
        <v/>
      </c>
      <c r="N779" s="11">
        <f>IF(A779="","",IF(K779="",0,D779*INDEX(Products!$I$5:$I$204,K779)))</f>
        <v/>
      </c>
      <c r="O779" s="11">
        <f>IF(A779="","",IF(K779="",0,J779*INDEX(Products!$H$5:$H$204,K779)))</f>
        <v/>
      </c>
      <c r="P779" s="11">
        <f>IF(A779="","",J779-M779-N779-O779)</f>
        <v/>
      </c>
    </row>
    <row r="780">
      <c r="A780">
        <f>IFERROR(INDEX('Etsy Import'!$A:$CZ,780,Settings!$C$20)&amp;"","")</f>
        <v/>
      </c>
      <c r="B780">
        <f>IFERROR(INDEX('Etsy Import'!$A:$CZ,780,Settings!$C$21)&amp;"","")</f>
        <v/>
      </c>
      <c r="C780">
        <f>IFERROR(INDEX('Etsy Import'!$A:$CZ,780,Settings!$C$22)&amp;"","")</f>
        <v/>
      </c>
      <c r="D780">
        <f>IF(A780="","",IFERROR(VALUE(SUBSTITUTE(SUBSTITUTE(INDEX('Etsy Import'!$A:$CZ,780,Settings!$C$23)&amp;"","$",""),",","")),0))</f>
        <v/>
      </c>
      <c r="E780" s="11">
        <f>IF(A780="","",IFERROR(VALUE(SUBSTITUTE(SUBSTITUTE(INDEX('Etsy Import'!$A:$CZ,780,Settings!$C$24)&amp;"","$",""),",","")),0))</f>
        <v/>
      </c>
      <c r="F780" s="11">
        <f>IF(A780="","",D780*E780)</f>
        <v/>
      </c>
      <c r="G780">
        <f>IF(A780="","",IF(C780="",1,COUNTIF($C$2:$C$1501,C780)))</f>
        <v/>
      </c>
      <c r="H780" s="11">
        <f>IF(A780="","",IFERROR(VALUE(SUBSTITUTE(SUBSTITUTE(INDEX('Etsy Import'!$A:$CZ,780,Settings!$C$25)&amp;"","$",""),",","")),0)/IF(Settings!$B$27="Yes",G780,1))</f>
        <v/>
      </c>
      <c r="I780" s="11">
        <f>IF(A780="","",IFERROR(VALUE(SUBSTITUTE(SUBSTITUTE(INDEX('Etsy Import'!$A:$CZ,780,Settings!$C$26)&amp;"","$",""),",","")),0)/IF(Settings!$B$27="Yes",G780,1))</f>
        <v/>
      </c>
      <c r="J780" s="11">
        <f>IF(A780="","",F780+H780-I780)</f>
        <v/>
      </c>
      <c r="K780">
        <f>IF(A780="","",IFERROR(IF(B780="",NA(),MATCH(B780,Products!$B$5:$B$204,0)),IFERROR(MATCH(A780,Products!$A$5:$A$204,0),"")))</f>
        <v/>
      </c>
      <c r="L780">
        <f>IF(A780="","",IF(K780="","⚠ not in Products",INDEX(Products!$A$5:$A$204,K780)))</f>
        <v/>
      </c>
      <c r="M780" s="11">
        <f>IF(A780="","",J780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780+IFERROR(INDEX(Settings!$D$5:$D$9,MATCH("Etsy",Settings!$A$5:$A$9,0)),0)*D780)</f>
        <v/>
      </c>
      <c r="N780" s="11">
        <f>IF(A780="","",IF(K780="",0,D780*INDEX(Products!$I$5:$I$204,K780)))</f>
        <v/>
      </c>
      <c r="O780" s="11">
        <f>IF(A780="","",IF(K780="",0,J780*INDEX(Products!$H$5:$H$204,K780)))</f>
        <v/>
      </c>
      <c r="P780" s="11">
        <f>IF(A780="","",J780-M780-N780-O780)</f>
        <v/>
      </c>
    </row>
    <row r="781">
      <c r="A781">
        <f>IFERROR(INDEX('Etsy Import'!$A:$CZ,781,Settings!$C$20)&amp;"","")</f>
        <v/>
      </c>
      <c r="B781">
        <f>IFERROR(INDEX('Etsy Import'!$A:$CZ,781,Settings!$C$21)&amp;"","")</f>
        <v/>
      </c>
      <c r="C781">
        <f>IFERROR(INDEX('Etsy Import'!$A:$CZ,781,Settings!$C$22)&amp;"","")</f>
        <v/>
      </c>
      <c r="D781">
        <f>IF(A781="","",IFERROR(VALUE(SUBSTITUTE(SUBSTITUTE(INDEX('Etsy Import'!$A:$CZ,781,Settings!$C$23)&amp;"","$",""),",","")),0))</f>
        <v/>
      </c>
      <c r="E781" s="11">
        <f>IF(A781="","",IFERROR(VALUE(SUBSTITUTE(SUBSTITUTE(INDEX('Etsy Import'!$A:$CZ,781,Settings!$C$24)&amp;"","$",""),",","")),0))</f>
        <v/>
      </c>
      <c r="F781" s="11">
        <f>IF(A781="","",D781*E781)</f>
        <v/>
      </c>
      <c r="G781">
        <f>IF(A781="","",IF(C781="",1,COUNTIF($C$2:$C$1501,C781)))</f>
        <v/>
      </c>
      <c r="H781" s="11">
        <f>IF(A781="","",IFERROR(VALUE(SUBSTITUTE(SUBSTITUTE(INDEX('Etsy Import'!$A:$CZ,781,Settings!$C$25)&amp;"","$",""),",","")),0)/IF(Settings!$B$27="Yes",G781,1))</f>
        <v/>
      </c>
      <c r="I781" s="11">
        <f>IF(A781="","",IFERROR(VALUE(SUBSTITUTE(SUBSTITUTE(INDEX('Etsy Import'!$A:$CZ,781,Settings!$C$26)&amp;"","$",""),",","")),0)/IF(Settings!$B$27="Yes",G781,1))</f>
        <v/>
      </c>
      <c r="J781" s="11">
        <f>IF(A781="","",F781+H781-I781)</f>
        <v/>
      </c>
      <c r="K781">
        <f>IF(A781="","",IFERROR(IF(B781="",NA(),MATCH(B781,Products!$B$5:$B$204,0)),IFERROR(MATCH(A781,Products!$A$5:$A$204,0),"")))</f>
        <v/>
      </c>
      <c r="L781">
        <f>IF(A781="","",IF(K781="","⚠ not in Products",INDEX(Products!$A$5:$A$204,K781)))</f>
        <v/>
      </c>
      <c r="M781" s="11">
        <f>IF(A781="","",J781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781+IFERROR(INDEX(Settings!$D$5:$D$9,MATCH("Etsy",Settings!$A$5:$A$9,0)),0)*D781)</f>
        <v/>
      </c>
      <c r="N781" s="11">
        <f>IF(A781="","",IF(K781="",0,D781*INDEX(Products!$I$5:$I$204,K781)))</f>
        <v/>
      </c>
      <c r="O781" s="11">
        <f>IF(A781="","",IF(K781="",0,J781*INDEX(Products!$H$5:$H$204,K781)))</f>
        <v/>
      </c>
      <c r="P781" s="11">
        <f>IF(A781="","",J781-M781-N781-O781)</f>
        <v/>
      </c>
    </row>
    <row r="782">
      <c r="A782">
        <f>IFERROR(INDEX('Etsy Import'!$A:$CZ,782,Settings!$C$20)&amp;"","")</f>
        <v/>
      </c>
      <c r="B782">
        <f>IFERROR(INDEX('Etsy Import'!$A:$CZ,782,Settings!$C$21)&amp;"","")</f>
        <v/>
      </c>
      <c r="C782">
        <f>IFERROR(INDEX('Etsy Import'!$A:$CZ,782,Settings!$C$22)&amp;"","")</f>
        <v/>
      </c>
      <c r="D782">
        <f>IF(A782="","",IFERROR(VALUE(SUBSTITUTE(SUBSTITUTE(INDEX('Etsy Import'!$A:$CZ,782,Settings!$C$23)&amp;"","$",""),",","")),0))</f>
        <v/>
      </c>
      <c r="E782" s="11">
        <f>IF(A782="","",IFERROR(VALUE(SUBSTITUTE(SUBSTITUTE(INDEX('Etsy Import'!$A:$CZ,782,Settings!$C$24)&amp;"","$",""),",","")),0))</f>
        <v/>
      </c>
      <c r="F782" s="11">
        <f>IF(A782="","",D782*E782)</f>
        <v/>
      </c>
      <c r="G782">
        <f>IF(A782="","",IF(C782="",1,COUNTIF($C$2:$C$1501,C782)))</f>
        <v/>
      </c>
      <c r="H782" s="11">
        <f>IF(A782="","",IFERROR(VALUE(SUBSTITUTE(SUBSTITUTE(INDEX('Etsy Import'!$A:$CZ,782,Settings!$C$25)&amp;"","$",""),",","")),0)/IF(Settings!$B$27="Yes",G782,1))</f>
        <v/>
      </c>
      <c r="I782" s="11">
        <f>IF(A782="","",IFERROR(VALUE(SUBSTITUTE(SUBSTITUTE(INDEX('Etsy Import'!$A:$CZ,782,Settings!$C$26)&amp;"","$",""),",","")),0)/IF(Settings!$B$27="Yes",G782,1))</f>
        <v/>
      </c>
      <c r="J782" s="11">
        <f>IF(A782="","",F782+H782-I782)</f>
        <v/>
      </c>
      <c r="K782">
        <f>IF(A782="","",IFERROR(IF(B782="",NA(),MATCH(B782,Products!$B$5:$B$204,0)),IFERROR(MATCH(A782,Products!$A$5:$A$204,0),"")))</f>
        <v/>
      </c>
      <c r="L782">
        <f>IF(A782="","",IF(K782="","⚠ not in Products",INDEX(Products!$A$5:$A$204,K782)))</f>
        <v/>
      </c>
      <c r="M782" s="11">
        <f>IF(A782="","",J782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782+IFERROR(INDEX(Settings!$D$5:$D$9,MATCH("Etsy",Settings!$A$5:$A$9,0)),0)*D782)</f>
        <v/>
      </c>
      <c r="N782" s="11">
        <f>IF(A782="","",IF(K782="",0,D782*INDEX(Products!$I$5:$I$204,K782)))</f>
        <v/>
      </c>
      <c r="O782" s="11">
        <f>IF(A782="","",IF(K782="",0,J782*INDEX(Products!$H$5:$H$204,K782)))</f>
        <v/>
      </c>
      <c r="P782" s="11">
        <f>IF(A782="","",J782-M782-N782-O782)</f>
        <v/>
      </c>
    </row>
    <row r="783">
      <c r="A783">
        <f>IFERROR(INDEX('Etsy Import'!$A:$CZ,783,Settings!$C$20)&amp;"","")</f>
        <v/>
      </c>
      <c r="B783">
        <f>IFERROR(INDEX('Etsy Import'!$A:$CZ,783,Settings!$C$21)&amp;"","")</f>
        <v/>
      </c>
      <c r="C783">
        <f>IFERROR(INDEX('Etsy Import'!$A:$CZ,783,Settings!$C$22)&amp;"","")</f>
        <v/>
      </c>
      <c r="D783">
        <f>IF(A783="","",IFERROR(VALUE(SUBSTITUTE(SUBSTITUTE(INDEX('Etsy Import'!$A:$CZ,783,Settings!$C$23)&amp;"","$",""),",","")),0))</f>
        <v/>
      </c>
      <c r="E783" s="11">
        <f>IF(A783="","",IFERROR(VALUE(SUBSTITUTE(SUBSTITUTE(INDEX('Etsy Import'!$A:$CZ,783,Settings!$C$24)&amp;"","$",""),",","")),0))</f>
        <v/>
      </c>
      <c r="F783" s="11">
        <f>IF(A783="","",D783*E783)</f>
        <v/>
      </c>
      <c r="G783">
        <f>IF(A783="","",IF(C783="",1,COUNTIF($C$2:$C$1501,C783)))</f>
        <v/>
      </c>
      <c r="H783" s="11">
        <f>IF(A783="","",IFERROR(VALUE(SUBSTITUTE(SUBSTITUTE(INDEX('Etsy Import'!$A:$CZ,783,Settings!$C$25)&amp;"","$",""),",","")),0)/IF(Settings!$B$27="Yes",G783,1))</f>
        <v/>
      </c>
      <c r="I783" s="11">
        <f>IF(A783="","",IFERROR(VALUE(SUBSTITUTE(SUBSTITUTE(INDEX('Etsy Import'!$A:$CZ,783,Settings!$C$26)&amp;"","$",""),",","")),0)/IF(Settings!$B$27="Yes",G783,1))</f>
        <v/>
      </c>
      <c r="J783" s="11">
        <f>IF(A783="","",F783+H783-I783)</f>
        <v/>
      </c>
      <c r="K783">
        <f>IF(A783="","",IFERROR(IF(B783="",NA(),MATCH(B783,Products!$B$5:$B$204,0)),IFERROR(MATCH(A783,Products!$A$5:$A$204,0),"")))</f>
        <v/>
      </c>
      <c r="L783">
        <f>IF(A783="","",IF(K783="","⚠ not in Products",INDEX(Products!$A$5:$A$204,K783)))</f>
        <v/>
      </c>
      <c r="M783" s="11">
        <f>IF(A783="","",J783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783+IFERROR(INDEX(Settings!$D$5:$D$9,MATCH("Etsy",Settings!$A$5:$A$9,0)),0)*D783)</f>
        <v/>
      </c>
      <c r="N783" s="11">
        <f>IF(A783="","",IF(K783="",0,D783*INDEX(Products!$I$5:$I$204,K783)))</f>
        <v/>
      </c>
      <c r="O783" s="11">
        <f>IF(A783="","",IF(K783="",0,J783*INDEX(Products!$H$5:$H$204,K783)))</f>
        <v/>
      </c>
      <c r="P783" s="11">
        <f>IF(A783="","",J783-M783-N783-O783)</f>
        <v/>
      </c>
    </row>
    <row r="784">
      <c r="A784">
        <f>IFERROR(INDEX('Etsy Import'!$A:$CZ,784,Settings!$C$20)&amp;"","")</f>
        <v/>
      </c>
      <c r="B784">
        <f>IFERROR(INDEX('Etsy Import'!$A:$CZ,784,Settings!$C$21)&amp;"","")</f>
        <v/>
      </c>
      <c r="C784">
        <f>IFERROR(INDEX('Etsy Import'!$A:$CZ,784,Settings!$C$22)&amp;"","")</f>
        <v/>
      </c>
      <c r="D784">
        <f>IF(A784="","",IFERROR(VALUE(SUBSTITUTE(SUBSTITUTE(INDEX('Etsy Import'!$A:$CZ,784,Settings!$C$23)&amp;"","$",""),",","")),0))</f>
        <v/>
      </c>
      <c r="E784" s="11">
        <f>IF(A784="","",IFERROR(VALUE(SUBSTITUTE(SUBSTITUTE(INDEX('Etsy Import'!$A:$CZ,784,Settings!$C$24)&amp;"","$",""),",","")),0))</f>
        <v/>
      </c>
      <c r="F784" s="11">
        <f>IF(A784="","",D784*E784)</f>
        <v/>
      </c>
      <c r="G784">
        <f>IF(A784="","",IF(C784="",1,COUNTIF($C$2:$C$1501,C784)))</f>
        <v/>
      </c>
      <c r="H784" s="11">
        <f>IF(A784="","",IFERROR(VALUE(SUBSTITUTE(SUBSTITUTE(INDEX('Etsy Import'!$A:$CZ,784,Settings!$C$25)&amp;"","$",""),",","")),0)/IF(Settings!$B$27="Yes",G784,1))</f>
        <v/>
      </c>
      <c r="I784" s="11">
        <f>IF(A784="","",IFERROR(VALUE(SUBSTITUTE(SUBSTITUTE(INDEX('Etsy Import'!$A:$CZ,784,Settings!$C$26)&amp;"","$",""),",","")),0)/IF(Settings!$B$27="Yes",G784,1))</f>
        <v/>
      </c>
      <c r="J784" s="11">
        <f>IF(A784="","",F784+H784-I784)</f>
        <v/>
      </c>
      <c r="K784">
        <f>IF(A784="","",IFERROR(IF(B784="",NA(),MATCH(B784,Products!$B$5:$B$204,0)),IFERROR(MATCH(A784,Products!$A$5:$A$204,0),"")))</f>
        <v/>
      </c>
      <c r="L784">
        <f>IF(A784="","",IF(K784="","⚠ not in Products",INDEX(Products!$A$5:$A$204,K784)))</f>
        <v/>
      </c>
      <c r="M784" s="11">
        <f>IF(A784="","",J784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784+IFERROR(INDEX(Settings!$D$5:$D$9,MATCH("Etsy",Settings!$A$5:$A$9,0)),0)*D784)</f>
        <v/>
      </c>
      <c r="N784" s="11">
        <f>IF(A784="","",IF(K784="",0,D784*INDEX(Products!$I$5:$I$204,K784)))</f>
        <v/>
      </c>
      <c r="O784" s="11">
        <f>IF(A784="","",IF(K784="",0,J784*INDEX(Products!$H$5:$H$204,K784)))</f>
        <v/>
      </c>
      <c r="P784" s="11">
        <f>IF(A784="","",J784-M784-N784-O784)</f>
        <v/>
      </c>
    </row>
    <row r="785">
      <c r="A785">
        <f>IFERROR(INDEX('Etsy Import'!$A:$CZ,785,Settings!$C$20)&amp;"","")</f>
        <v/>
      </c>
      <c r="B785">
        <f>IFERROR(INDEX('Etsy Import'!$A:$CZ,785,Settings!$C$21)&amp;"","")</f>
        <v/>
      </c>
      <c r="C785">
        <f>IFERROR(INDEX('Etsy Import'!$A:$CZ,785,Settings!$C$22)&amp;"","")</f>
        <v/>
      </c>
      <c r="D785">
        <f>IF(A785="","",IFERROR(VALUE(SUBSTITUTE(SUBSTITUTE(INDEX('Etsy Import'!$A:$CZ,785,Settings!$C$23)&amp;"","$",""),",","")),0))</f>
        <v/>
      </c>
      <c r="E785" s="11">
        <f>IF(A785="","",IFERROR(VALUE(SUBSTITUTE(SUBSTITUTE(INDEX('Etsy Import'!$A:$CZ,785,Settings!$C$24)&amp;"","$",""),",","")),0))</f>
        <v/>
      </c>
      <c r="F785" s="11">
        <f>IF(A785="","",D785*E785)</f>
        <v/>
      </c>
      <c r="G785">
        <f>IF(A785="","",IF(C785="",1,COUNTIF($C$2:$C$1501,C785)))</f>
        <v/>
      </c>
      <c r="H785" s="11">
        <f>IF(A785="","",IFERROR(VALUE(SUBSTITUTE(SUBSTITUTE(INDEX('Etsy Import'!$A:$CZ,785,Settings!$C$25)&amp;"","$",""),",","")),0)/IF(Settings!$B$27="Yes",G785,1))</f>
        <v/>
      </c>
      <c r="I785" s="11">
        <f>IF(A785="","",IFERROR(VALUE(SUBSTITUTE(SUBSTITUTE(INDEX('Etsy Import'!$A:$CZ,785,Settings!$C$26)&amp;"","$",""),",","")),0)/IF(Settings!$B$27="Yes",G785,1))</f>
        <v/>
      </c>
      <c r="J785" s="11">
        <f>IF(A785="","",F785+H785-I785)</f>
        <v/>
      </c>
      <c r="K785">
        <f>IF(A785="","",IFERROR(IF(B785="",NA(),MATCH(B785,Products!$B$5:$B$204,0)),IFERROR(MATCH(A785,Products!$A$5:$A$204,0),"")))</f>
        <v/>
      </c>
      <c r="L785">
        <f>IF(A785="","",IF(K785="","⚠ not in Products",INDEX(Products!$A$5:$A$204,K785)))</f>
        <v/>
      </c>
      <c r="M785" s="11">
        <f>IF(A785="","",J785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785+IFERROR(INDEX(Settings!$D$5:$D$9,MATCH("Etsy",Settings!$A$5:$A$9,0)),0)*D785)</f>
        <v/>
      </c>
      <c r="N785" s="11">
        <f>IF(A785="","",IF(K785="",0,D785*INDEX(Products!$I$5:$I$204,K785)))</f>
        <v/>
      </c>
      <c r="O785" s="11">
        <f>IF(A785="","",IF(K785="",0,J785*INDEX(Products!$H$5:$H$204,K785)))</f>
        <v/>
      </c>
      <c r="P785" s="11">
        <f>IF(A785="","",J785-M785-N785-O785)</f>
        <v/>
      </c>
    </row>
    <row r="786">
      <c r="A786">
        <f>IFERROR(INDEX('Etsy Import'!$A:$CZ,786,Settings!$C$20)&amp;"","")</f>
        <v/>
      </c>
      <c r="B786">
        <f>IFERROR(INDEX('Etsy Import'!$A:$CZ,786,Settings!$C$21)&amp;"","")</f>
        <v/>
      </c>
      <c r="C786">
        <f>IFERROR(INDEX('Etsy Import'!$A:$CZ,786,Settings!$C$22)&amp;"","")</f>
        <v/>
      </c>
      <c r="D786">
        <f>IF(A786="","",IFERROR(VALUE(SUBSTITUTE(SUBSTITUTE(INDEX('Etsy Import'!$A:$CZ,786,Settings!$C$23)&amp;"","$",""),",","")),0))</f>
        <v/>
      </c>
      <c r="E786" s="11">
        <f>IF(A786="","",IFERROR(VALUE(SUBSTITUTE(SUBSTITUTE(INDEX('Etsy Import'!$A:$CZ,786,Settings!$C$24)&amp;"","$",""),",","")),0))</f>
        <v/>
      </c>
      <c r="F786" s="11">
        <f>IF(A786="","",D786*E786)</f>
        <v/>
      </c>
      <c r="G786">
        <f>IF(A786="","",IF(C786="",1,COUNTIF($C$2:$C$1501,C786)))</f>
        <v/>
      </c>
      <c r="H786" s="11">
        <f>IF(A786="","",IFERROR(VALUE(SUBSTITUTE(SUBSTITUTE(INDEX('Etsy Import'!$A:$CZ,786,Settings!$C$25)&amp;"","$",""),",","")),0)/IF(Settings!$B$27="Yes",G786,1))</f>
        <v/>
      </c>
      <c r="I786" s="11">
        <f>IF(A786="","",IFERROR(VALUE(SUBSTITUTE(SUBSTITUTE(INDEX('Etsy Import'!$A:$CZ,786,Settings!$C$26)&amp;"","$",""),",","")),0)/IF(Settings!$B$27="Yes",G786,1))</f>
        <v/>
      </c>
      <c r="J786" s="11">
        <f>IF(A786="","",F786+H786-I786)</f>
        <v/>
      </c>
      <c r="K786">
        <f>IF(A786="","",IFERROR(IF(B786="",NA(),MATCH(B786,Products!$B$5:$B$204,0)),IFERROR(MATCH(A786,Products!$A$5:$A$204,0),"")))</f>
        <v/>
      </c>
      <c r="L786">
        <f>IF(A786="","",IF(K786="","⚠ not in Products",INDEX(Products!$A$5:$A$204,K786)))</f>
        <v/>
      </c>
      <c r="M786" s="11">
        <f>IF(A786="","",J786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786+IFERROR(INDEX(Settings!$D$5:$D$9,MATCH("Etsy",Settings!$A$5:$A$9,0)),0)*D786)</f>
        <v/>
      </c>
      <c r="N786" s="11">
        <f>IF(A786="","",IF(K786="",0,D786*INDEX(Products!$I$5:$I$204,K786)))</f>
        <v/>
      </c>
      <c r="O786" s="11">
        <f>IF(A786="","",IF(K786="",0,J786*INDEX(Products!$H$5:$H$204,K786)))</f>
        <v/>
      </c>
      <c r="P786" s="11">
        <f>IF(A786="","",J786-M786-N786-O786)</f>
        <v/>
      </c>
    </row>
    <row r="787">
      <c r="A787">
        <f>IFERROR(INDEX('Etsy Import'!$A:$CZ,787,Settings!$C$20)&amp;"","")</f>
        <v/>
      </c>
      <c r="B787">
        <f>IFERROR(INDEX('Etsy Import'!$A:$CZ,787,Settings!$C$21)&amp;"","")</f>
        <v/>
      </c>
      <c r="C787">
        <f>IFERROR(INDEX('Etsy Import'!$A:$CZ,787,Settings!$C$22)&amp;"","")</f>
        <v/>
      </c>
      <c r="D787">
        <f>IF(A787="","",IFERROR(VALUE(SUBSTITUTE(SUBSTITUTE(INDEX('Etsy Import'!$A:$CZ,787,Settings!$C$23)&amp;"","$",""),",","")),0))</f>
        <v/>
      </c>
      <c r="E787" s="11">
        <f>IF(A787="","",IFERROR(VALUE(SUBSTITUTE(SUBSTITUTE(INDEX('Etsy Import'!$A:$CZ,787,Settings!$C$24)&amp;"","$",""),",","")),0))</f>
        <v/>
      </c>
      <c r="F787" s="11">
        <f>IF(A787="","",D787*E787)</f>
        <v/>
      </c>
      <c r="G787">
        <f>IF(A787="","",IF(C787="",1,COUNTIF($C$2:$C$1501,C787)))</f>
        <v/>
      </c>
      <c r="H787" s="11">
        <f>IF(A787="","",IFERROR(VALUE(SUBSTITUTE(SUBSTITUTE(INDEX('Etsy Import'!$A:$CZ,787,Settings!$C$25)&amp;"","$",""),",","")),0)/IF(Settings!$B$27="Yes",G787,1))</f>
        <v/>
      </c>
      <c r="I787" s="11">
        <f>IF(A787="","",IFERROR(VALUE(SUBSTITUTE(SUBSTITUTE(INDEX('Etsy Import'!$A:$CZ,787,Settings!$C$26)&amp;"","$",""),",","")),0)/IF(Settings!$B$27="Yes",G787,1))</f>
        <v/>
      </c>
      <c r="J787" s="11">
        <f>IF(A787="","",F787+H787-I787)</f>
        <v/>
      </c>
      <c r="K787">
        <f>IF(A787="","",IFERROR(IF(B787="",NA(),MATCH(B787,Products!$B$5:$B$204,0)),IFERROR(MATCH(A787,Products!$A$5:$A$204,0),"")))</f>
        <v/>
      </c>
      <c r="L787">
        <f>IF(A787="","",IF(K787="","⚠ not in Products",INDEX(Products!$A$5:$A$204,K787)))</f>
        <v/>
      </c>
      <c r="M787" s="11">
        <f>IF(A787="","",J787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787+IFERROR(INDEX(Settings!$D$5:$D$9,MATCH("Etsy",Settings!$A$5:$A$9,0)),0)*D787)</f>
        <v/>
      </c>
      <c r="N787" s="11">
        <f>IF(A787="","",IF(K787="",0,D787*INDEX(Products!$I$5:$I$204,K787)))</f>
        <v/>
      </c>
      <c r="O787" s="11">
        <f>IF(A787="","",IF(K787="",0,J787*INDEX(Products!$H$5:$H$204,K787)))</f>
        <v/>
      </c>
      <c r="P787" s="11">
        <f>IF(A787="","",J787-M787-N787-O787)</f>
        <v/>
      </c>
    </row>
    <row r="788">
      <c r="A788">
        <f>IFERROR(INDEX('Etsy Import'!$A:$CZ,788,Settings!$C$20)&amp;"","")</f>
        <v/>
      </c>
      <c r="B788">
        <f>IFERROR(INDEX('Etsy Import'!$A:$CZ,788,Settings!$C$21)&amp;"","")</f>
        <v/>
      </c>
      <c r="C788">
        <f>IFERROR(INDEX('Etsy Import'!$A:$CZ,788,Settings!$C$22)&amp;"","")</f>
        <v/>
      </c>
      <c r="D788">
        <f>IF(A788="","",IFERROR(VALUE(SUBSTITUTE(SUBSTITUTE(INDEX('Etsy Import'!$A:$CZ,788,Settings!$C$23)&amp;"","$",""),",","")),0))</f>
        <v/>
      </c>
      <c r="E788" s="11">
        <f>IF(A788="","",IFERROR(VALUE(SUBSTITUTE(SUBSTITUTE(INDEX('Etsy Import'!$A:$CZ,788,Settings!$C$24)&amp;"","$",""),",","")),0))</f>
        <v/>
      </c>
      <c r="F788" s="11">
        <f>IF(A788="","",D788*E788)</f>
        <v/>
      </c>
      <c r="G788">
        <f>IF(A788="","",IF(C788="",1,COUNTIF($C$2:$C$1501,C788)))</f>
        <v/>
      </c>
      <c r="H788" s="11">
        <f>IF(A788="","",IFERROR(VALUE(SUBSTITUTE(SUBSTITUTE(INDEX('Etsy Import'!$A:$CZ,788,Settings!$C$25)&amp;"","$",""),",","")),0)/IF(Settings!$B$27="Yes",G788,1))</f>
        <v/>
      </c>
      <c r="I788" s="11">
        <f>IF(A788="","",IFERROR(VALUE(SUBSTITUTE(SUBSTITUTE(INDEX('Etsy Import'!$A:$CZ,788,Settings!$C$26)&amp;"","$",""),",","")),0)/IF(Settings!$B$27="Yes",G788,1))</f>
        <v/>
      </c>
      <c r="J788" s="11">
        <f>IF(A788="","",F788+H788-I788)</f>
        <v/>
      </c>
      <c r="K788">
        <f>IF(A788="","",IFERROR(IF(B788="",NA(),MATCH(B788,Products!$B$5:$B$204,0)),IFERROR(MATCH(A788,Products!$A$5:$A$204,0),"")))</f>
        <v/>
      </c>
      <c r="L788">
        <f>IF(A788="","",IF(K788="","⚠ not in Products",INDEX(Products!$A$5:$A$204,K788)))</f>
        <v/>
      </c>
      <c r="M788" s="11">
        <f>IF(A788="","",J788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788+IFERROR(INDEX(Settings!$D$5:$D$9,MATCH("Etsy",Settings!$A$5:$A$9,0)),0)*D788)</f>
        <v/>
      </c>
      <c r="N788" s="11">
        <f>IF(A788="","",IF(K788="",0,D788*INDEX(Products!$I$5:$I$204,K788)))</f>
        <v/>
      </c>
      <c r="O788" s="11">
        <f>IF(A788="","",IF(K788="",0,J788*INDEX(Products!$H$5:$H$204,K788)))</f>
        <v/>
      </c>
      <c r="P788" s="11">
        <f>IF(A788="","",J788-M788-N788-O788)</f>
        <v/>
      </c>
    </row>
    <row r="789">
      <c r="A789">
        <f>IFERROR(INDEX('Etsy Import'!$A:$CZ,789,Settings!$C$20)&amp;"","")</f>
        <v/>
      </c>
      <c r="B789">
        <f>IFERROR(INDEX('Etsy Import'!$A:$CZ,789,Settings!$C$21)&amp;"","")</f>
        <v/>
      </c>
      <c r="C789">
        <f>IFERROR(INDEX('Etsy Import'!$A:$CZ,789,Settings!$C$22)&amp;"","")</f>
        <v/>
      </c>
      <c r="D789">
        <f>IF(A789="","",IFERROR(VALUE(SUBSTITUTE(SUBSTITUTE(INDEX('Etsy Import'!$A:$CZ,789,Settings!$C$23)&amp;"","$",""),",","")),0))</f>
        <v/>
      </c>
      <c r="E789" s="11">
        <f>IF(A789="","",IFERROR(VALUE(SUBSTITUTE(SUBSTITUTE(INDEX('Etsy Import'!$A:$CZ,789,Settings!$C$24)&amp;"","$",""),",","")),0))</f>
        <v/>
      </c>
      <c r="F789" s="11">
        <f>IF(A789="","",D789*E789)</f>
        <v/>
      </c>
      <c r="G789">
        <f>IF(A789="","",IF(C789="",1,COUNTIF($C$2:$C$1501,C789)))</f>
        <v/>
      </c>
      <c r="H789" s="11">
        <f>IF(A789="","",IFERROR(VALUE(SUBSTITUTE(SUBSTITUTE(INDEX('Etsy Import'!$A:$CZ,789,Settings!$C$25)&amp;"","$",""),",","")),0)/IF(Settings!$B$27="Yes",G789,1))</f>
        <v/>
      </c>
      <c r="I789" s="11">
        <f>IF(A789="","",IFERROR(VALUE(SUBSTITUTE(SUBSTITUTE(INDEX('Etsy Import'!$A:$CZ,789,Settings!$C$26)&amp;"","$",""),",","")),0)/IF(Settings!$B$27="Yes",G789,1))</f>
        <v/>
      </c>
      <c r="J789" s="11">
        <f>IF(A789="","",F789+H789-I789)</f>
        <v/>
      </c>
      <c r="K789">
        <f>IF(A789="","",IFERROR(IF(B789="",NA(),MATCH(B789,Products!$B$5:$B$204,0)),IFERROR(MATCH(A789,Products!$A$5:$A$204,0),"")))</f>
        <v/>
      </c>
      <c r="L789">
        <f>IF(A789="","",IF(K789="","⚠ not in Products",INDEX(Products!$A$5:$A$204,K789)))</f>
        <v/>
      </c>
      <c r="M789" s="11">
        <f>IF(A789="","",J789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789+IFERROR(INDEX(Settings!$D$5:$D$9,MATCH("Etsy",Settings!$A$5:$A$9,0)),0)*D789)</f>
        <v/>
      </c>
      <c r="N789" s="11">
        <f>IF(A789="","",IF(K789="",0,D789*INDEX(Products!$I$5:$I$204,K789)))</f>
        <v/>
      </c>
      <c r="O789" s="11">
        <f>IF(A789="","",IF(K789="",0,J789*INDEX(Products!$H$5:$H$204,K789)))</f>
        <v/>
      </c>
      <c r="P789" s="11">
        <f>IF(A789="","",J789-M789-N789-O789)</f>
        <v/>
      </c>
    </row>
    <row r="790">
      <c r="A790">
        <f>IFERROR(INDEX('Etsy Import'!$A:$CZ,790,Settings!$C$20)&amp;"","")</f>
        <v/>
      </c>
      <c r="B790">
        <f>IFERROR(INDEX('Etsy Import'!$A:$CZ,790,Settings!$C$21)&amp;"","")</f>
        <v/>
      </c>
      <c r="C790">
        <f>IFERROR(INDEX('Etsy Import'!$A:$CZ,790,Settings!$C$22)&amp;"","")</f>
        <v/>
      </c>
      <c r="D790">
        <f>IF(A790="","",IFERROR(VALUE(SUBSTITUTE(SUBSTITUTE(INDEX('Etsy Import'!$A:$CZ,790,Settings!$C$23)&amp;"","$",""),",","")),0))</f>
        <v/>
      </c>
      <c r="E790" s="11">
        <f>IF(A790="","",IFERROR(VALUE(SUBSTITUTE(SUBSTITUTE(INDEX('Etsy Import'!$A:$CZ,790,Settings!$C$24)&amp;"","$",""),",","")),0))</f>
        <v/>
      </c>
      <c r="F790" s="11">
        <f>IF(A790="","",D790*E790)</f>
        <v/>
      </c>
      <c r="G790">
        <f>IF(A790="","",IF(C790="",1,COUNTIF($C$2:$C$1501,C790)))</f>
        <v/>
      </c>
      <c r="H790" s="11">
        <f>IF(A790="","",IFERROR(VALUE(SUBSTITUTE(SUBSTITUTE(INDEX('Etsy Import'!$A:$CZ,790,Settings!$C$25)&amp;"","$",""),",","")),0)/IF(Settings!$B$27="Yes",G790,1))</f>
        <v/>
      </c>
      <c r="I790" s="11">
        <f>IF(A790="","",IFERROR(VALUE(SUBSTITUTE(SUBSTITUTE(INDEX('Etsy Import'!$A:$CZ,790,Settings!$C$26)&amp;"","$",""),",","")),0)/IF(Settings!$B$27="Yes",G790,1))</f>
        <v/>
      </c>
      <c r="J790" s="11">
        <f>IF(A790="","",F790+H790-I790)</f>
        <v/>
      </c>
      <c r="K790">
        <f>IF(A790="","",IFERROR(IF(B790="",NA(),MATCH(B790,Products!$B$5:$B$204,0)),IFERROR(MATCH(A790,Products!$A$5:$A$204,0),"")))</f>
        <v/>
      </c>
      <c r="L790">
        <f>IF(A790="","",IF(K790="","⚠ not in Products",INDEX(Products!$A$5:$A$204,K790)))</f>
        <v/>
      </c>
      <c r="M790" s="11">
        <f>IF(A790="","",J790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790+IFERROR(INDEX(Settings!$D$5:$D$9,MATCH("Etsy",Settings!$A$5:$A$9,0)),0)*D790)</f>
        <v/>
      </c>
      <c r="N790" s="11">
        <f>IF(A790="","",IF(K790="",0,D790*INDEX(Products!$I$5:$I$204,K790)))</f>
        <v/>
      </c>
      <c r="O790" s="11">
        <f>IF(A790="","",IF(K790="",0,J790*INDEX(Products!$H$5:$H$204,K790)))</f>
        <v/>
      </c>
      <c r="P790" s="11">
        <f>IF(A790="","",J790-M790-N790-O790)</f>
        <v/>
      </c>
    </row>
    <row r="791">
      <c r="A791">
        <f>IFERROR(INDEX('Etsy Import'!$A:$CZ,791,Settings!$C$20)&amp;"","")</f>
        <v/>
      </c>
      <c r="B791">
        <f>IFERROR(INDEX('Etsy Import'!$A:$CZ,791,Settings!$C$21)&amp;"","")</f>
        <v/>
      </c>
      <c r="C791">
        <f>IFERROR(INDEX('Etsy Import'!$A:$CZ,791,Settings!$C$22)&amp;"","")</f>
        <v/>
      </c>
      <c r="D791">
        <f>IF(A791="","",IFERROR(VALUE(SUBSTITUTE(SUBSTITUTE(INDEX('Etsy Import'!$A:$CZ,791,Settings!$C$23)&amp;"","$",""),",","")),0))</f>
        <v/>
      </c>
      <c r="E791" s="11">
        <f>IF(A791="","",IFERROR(VALUE(SUBSTITUTE(SUBSTITUTE(INDEX('Etsy Import'!$A:$CZ,791,Settings!$C$24)&amp;"","$",""),",","")),0))</f>
        <v/>
      </c>
      <c r="F791" s="11">
        <f>IF(A791="","",D791*E791)</f>
        <v/>
      </c>
      <c r="G791">
        <f>IF(A791="","",IF(C791="",1,COUNTIF($C$2:$C$1501,C791)))</f>
        <v/>
      </c>
      <c r="H791" s="11">
        <f>IF(A791="","",IFERROR(VALUE(SUBSTITUTE(SUBSTITUTE(INDEX('Etsy Import'!$A:$CZ,791,Settings!$C$25)&amp;"","$",""),",","")),0)/IF(Settings!$B$27="Yes",G791,1))</f>
        <v/>
      </c>
      <c r="I791" s="11">
        <f>IF(A791="","",IFERROR(VALUE(SUBSTITUTE(SUBSTITUTE(INDEX('Etsy Import'!$A:$CZ,791,Settings!$C$26)&amp;"","$",""),",","")),0)/IF(Settings!$B$27="Yes",G791,1))</f>
        <v/>
      </c>
      <c r="J791" s="11">
        <f>IF(A791="","",F791+H791-I791)</f>
        <v/>
      </c>
      <c r="K791">
        <f>IF(A791="","",IFERROR(IF(B791="",NA(),MATCH(B791,Products!$B$5:$B$204,0)),IFERROR(MATCH(A791,Products!$A$5:$A$204,0),"")))</f>
        <v/>
      </c>
      <c r="L791">
        <f>IF(A791="","",IF(K791="","⚠ not in Products",INDEX(Products!$A$5:$A$204,K791)))</f>
        <v/>
      </c>
      <c r="M791" s="11">
        <f>IF(A791="","",J791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791+IFERROR(INDEX(Settings!$D$5:$D$9,MATCH("Etsy",Settings!$A$5:$A$9,0)),0)*D791)</f>
        <v/>
      </c>
      <c r="N791" s="11">
        <f>IF(A791="","",IF(K791="",0,D791*INDEX(Products!$I$5:$I$204,K791)))</f>
        <v/>
      </c>
      <c r="O791" s="11">
        <f>IF(A791="","",IF(K791="",0,J791*INDEX(Products!$H$5:$H$204,K791)))</f>
        <v/>
      </c>
      <c r="P791" s="11">
        <f>IF(A791="","",J791-M791-N791-O791)</f>
        <v/>
      </c>
    </row>
    <row r="792">
      <c r="A792">
        <f>IFERROR(INDEX('Etsy Import'!$A:$CZ,792,Settings!$C$20)&amp;"","")</f>
        <v/>
      </c>
      <c r="B792">
        <f>IFERROR(INDEX('Etsy Import'!$A:$CZ,792,Settings!$C$21)&amp;"","")</f>
        <v/>
      </c>
      <c r="C792">
        <f>IFERROR(INDEX('Etsy Import'!$A:$CZ,792,Settings!$C$22)&amp;"","")</f>
        <v/>
      </c>
      <c r="D792">
        <f>IF(A792="","",IFERROR(VALUE(SUBSTITUTE(SUBSTITUTE(INDEX('Etsy Import'!$A:$CZ,792,Settings!$C$23)&amp;"","$",""),",","")),0))</f>
        <v/>
      </c>
      <c r="E792" s="11">
        <f>IF(A792="","",IFERROR(VALUE(SUBSTITUTE(SUBSTITUTE(INDEX('Etsy Import'!$A:$CZ,792,Settings!$C$24)&amp;"","$",""),",","")),0))</f>
        <v/>
      </c>
      <c r="F792" s="11">
        <f>IF(A792="","",D792*E792)</f>
        <v/>
      </c>
      <c r="G792">
        <f>IF(A792="","",IF(C792="",1,COUNTIF($C$2:$C$1501,C792)))</f>
        <v/>
      </c>
      <c r="H792" s="11">
        <f>IF(A792="","",IFERROR(VALUE(SUBSTITUTE(SUBSTITUTE(INDEX('Etsy Import'!$A:$CZ,792,Settings!$C$25)&amp;"","$",""),",","")),0)/IF(Settings!$B$27="Yes",G792,1))</f>
        <v/>
      </c>
      <c r="I792" s="11">
        <f>IF(A792="","",IFERROR(VALUE(SUBSTITUTE(SUBSTITUTE(INDEX('Etsy Import'!$A:$CZ,792,Settings!$C$26)&amp;"","$",""),",","")),0)/IF(Settings!$B$27="Yes",G792,1))</f>
        <v/>
      </c>
      <c r="J792" s="11">
        <f>IF(A792="","",F792+H792-I792)</f>
        <v/>
      </c>
      <c r="K792">
        <f>IF(A792="","",IFERROR(IF(B792="",NA(),MATCH(B792,Products!$B$5:$B$204,0)),IFERROR(MATCH(A792,Products!$A$5:$A$204,0),"")))</f>
        <v/>
      </c>
      <c r="L792">
        <f>IF(A792="","",IF(K792="","⚠ not in Products",INDEX(Products!$A$5:$A$204,K792)))</f>
        <v/>
      </c>
      <c r="M792" s="11">
        <f>IF(A792="","",J792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792+IFERROR(INDEX(Settings!$D$5:$D$9,MATCH("Etsy",Settings!$A$5:$A$9,0)),0)*D792)</f>
        <v/>
      </c>
      <c r="N792" s="11">
        <f>IF(A792="","",IF(K792="",0,D792*INDEX(Products!$I$5:$I$204,K792)))</f>
        <v/>
      </c>
      <c r="O792" s="11">
        <f>IF(A792="","",IF(K792="",0,J792*INDEX(Products!$H$5:$H$204,K792)))</f>
        <v/>
      </c>
      <c r="P792" s="11">
        <f>IF(A792="","",J792-M792-N792-O792)</f>
        <v/>
      </c>
    </row>
    <row r="793">
      <c r="A793">
        <f>IFERROR(INDEX('Etsy Import'!$A:$CZ,793,Settings!$C$20)&amp;"","")</f>
        <v/>
      </c>
      <c r="B793">
        <f>IFERROR(INDEX('Etsy Import'!$A:$CZ,793,Settings!$C$21)&amp;"","")</f>
        <v/>
      </c>
      <c r="C793">
        <f>IFERROR(INDEX('Etsy Import'!$A:$CZ,793,Settings!$C$22)&amp;"","")</f>
        <v/>
      </c>
      <c r="D793">
        <f>IF(A793="","",IFERROR(VALUE(SUBSTITUTE(SUBSTITUTE(INDEX('Etsy Import'!$A:$CZ,793,Settings!$C$23)&amp;"","$",""),",","")),0))</f>
        <v/>
      </c>
      <c r="E793" s="11">
        <f>IF(A793="","",IFERROR(VALUE(SUBSTITUTE(SUBSTITUTE(INDEX('Etsy Import'!$A:$CZ,793,Settings!$C$24)&amp;"","$",""),",","")),0))</f>
        <v/>
      </c>
      <c r="F793" s="11">
        <f>IF(A793="","",D793*E793)</f>
        <v/>
      </c>
      <c r="G793">
        <f>IF(A793="","",IF(C793="",1,COUNTIF($C$2:$C$1501,C793)))</f>
        <v/>
      </c>
      <c r="H793" s="11">
        <f>IF(A793="","",IFERROR(VALUE(SUBSTITUTE(SUBSTITUTE(INDEX('Etsy Import'!$A:$CZ,793,Settings!$C$25)&amp;"","$",""),",","")),0)/IF(Settings!$B$27="Yes",G793,1))</f>
        <v/>
      </c>
      <c r="I793" s="11">
        <f>IF(A793="","",IFERROR(VALUE(SUBSTITUTE(SUBSTITUTE(INDEX('Etsy Import'!$A:$CZ,793,Settings!$C$26)&amp;"","$",""),",","")),0)/IF(Settings!$B$27="Yes",G793,1))</f>
        <v/>
      </c>
      <c r="J793" s="11">
        <f>IF(A793="","",F793+H793-I793)</f>
        <v/>
      </c>
      <c r="K793">
        <f>IF(A793="","",IFERROR(IF(B793="",NA(),MATCH(B793,Products!$B$5:$B$204,0)),IFERROR(MATCH(A793,Products!$A$5:$A$204,0),"")))</f>
        <v/>
      </c>
      <c r="L793">
        <f>IF(A793="","",IF(K793="","⚠ not in Products",INDEX(Products!$A$5:$A$204,K793)))</f>
        <v/>
      </c>
      <c r="M793" s="11">
        <f>IF(A793="","",J793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793+IFERROR(INDEX(Settings!$D$5:$D$9,MATCH("Etsy",Settings!$A$5:$A$9,0)),0)*D793)</f>
        <v/>
      </c>
      <c r="N793" s="11">
        <f>IF(A793="","",IF(K793="",0,D793*INDEX(Products!$I$5:$I$204,K793)))</f>
        <v/>
      </c>
      <c r="O793" s="11">
        <f>IF(A793="","",IF(K793="",0,J793*INDEX(Products!$H$5:$H$204,K793)))</f>
        <v/>
      </c>
      <c r="P793" s="11">
        <f>IF(A793="","",J793-M793-N793-O793)</f>
        <v/>
      </c>
    </row>
    <row r="794">
      <c r="A794">
        <f>IFERROR(INDEX('Etsy Import'!$A:$CZ,794,Settings!$C$20)&amp;"","")</f>
        <v/>
      </c>
      <c r="B794">
        <f>IFERROR(INDEX('Etsy Import'!$A:$CZ,794,Settings!$C$21)&amp;"","")</f>
        <v/>
      </c>
      <c r="C794">
        <f>IFERROR(INDEX('Etsy Import'!$A:$CZ,794,Settings!$C$22)&amp;"","")</f>
        <v/>
      </c>
      <c r="D794">
        <f>IF(A794="","",IFERROR(VALUE(SUBSTITUTE(SUBSTITUTE(INDEX('Etsy Import'!$A:$CZ,794,Settings!$C$23)&amp;"","$",""),",","")),0))</f>
        <v/>
      </c>
      <c r="E794" s="11">
        <f>IF(A794="","",IFERROR(VALUE(SUBSTITUTE(SUBSTITUTE(INDEX('Etsy Import'!$A:$CZ,794,Settings!$C$24)&amp;"","$",""),",","")),0))</f>
        <v/>
      </c>
      <c r="F794" s="11">
        <f>IF(A794="","",D794*E794)</f>
        <v/>
      </c>
      <c r="G794">
        <f>IF(A794="","",IF(C794="",1,COUNTIF($C$2:$C$1501,C794)))</f>
        <v/>
      </c>
      <c r="H794" s="11">
        <f>IF(A794="","",IFERROR(VALUE(SUBSTITUTE(SUBSTITUTE(INDEX('Etsy Import'!$A:$CZ,794,Settings!$C$25)&amp;"","$",""),",","")),0)/IF(Settings!$B$27="Yes",G794,1))</f>
        <v/>
      </c>
      <c r="I794" s="11">
        <f>IF(A794="","",IFERROR(VALUE(SUBSTITUTE(SUBSTITUTE(INDEX('Etsy Import'!$A:$CZ,794,Settings!$C$26)&amp;"","$",""),",","")),0)/IF(Settings!$B$27="Yes",G794,1))</f>
        <v/>
      </c>
      <c r="J794" s="11">
        <f>IF(A794="","",F794+H794-I794)</f>
        <v/>
      </c>
      <c r="K794">
        <f>IF(A794="","",IFERROR(IF(B794="",NA(),MATCH(B794,Products!$B$5:$B$204,0)),IFERROR(MATCH(A794,Products!$A$5:$A$204,0),"")))</f>
        <v/>
      </c>
      <c r="L794">
        <f>IF(A794="","",IF(K794="","⚠ not in Products",INDEX(Products!$A$5:$A$204,K794)))</f>
        <v/>
      </c>
      <c r="M794" s="11">
        <f>IF(A794="","",J794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794+IFERROR(INDEX(Settings!$D$5:$D$9,MATCH("Etsy",Settings!$A$5:$A$9,0)),0)*D794)</f>
        <v/>
      </c>
      <c r="N794" s="11">
        <f>IF(A794="","",IF(K794="",0,D794*INDEX(Products!$I$5:$I$204,K794)))</f>
        <v/>
      </c>
      <c r="O794" s="11">
        <f>IF(A794="","",IF(K794="",0,J794*INDEX(Products!$H$5:$H$204,K794)))</f>
        <v/>
      </c>
      <c r="P794" s="11">
        <f>IF(A794="","",J794-M794-N794-O794)</f>
        <v/>
      </c>
    </row>
    <row r="795">
      <c r="A795">
        <f>IFERROR(INDEX('Etsy Import'!$A:$CZ,795,Settings!$C$20)&amp;"","")</f>
        <v/>
      </c>
      <c r="B795">
        <f>IFERROR(INDEX('Etsy Import'!$A:$CZ,795,Settings!$C$21)&amp;"","")</f>
        <v/>
      </c>
      <c r="C795">
        <f>IFERROR(INDEX('Etsy Import'!$A:$CZ,795,Settings!$C$22)&amp;"","")</f>
        <v/>
      </c>
      <c r="D795">
        <f>IF(A795="","",IFERROR(VALUE(SUBSTITUTE(SUBSTITUTE(INDEX('Etsy Import'!$A:$CZ,795,Settings!$C$23)&amp;"","$",""),",","")),0))</f>
        <v/>
      </c>
      <c r="E795" s="11">
        <f>IF(A795="","",IFERROR(VALUE(SUBSTITUTE(SUBSTITUTE(INDEX('Etsy Import'!$A:$CZ,795,Settings!$C$24)&amp;"","$",""),",","")),0))</f>
        <v/>
      </c>
      <c r="F795" s="11">
        <f>IF(A795="","",D795*E795)</f>
        <v/>
      </c>
      <c r="G795">
        <f>IF(A795="","",IF(C795="",1,COUNTIF($C$2:$C$1501,C795)))</f>
        <v/>
      </c>
      <c r="H795" s="11">
        <f>IF(A795="","",IFERROR(VALUE(SUBSTITUTE(SUBSTITUTE(INDEX('Etsy Import'!$A:$CZ,795,Settings!$C$25)&amp;"","$",""),",","")),0)/IF(Settings!$B$27="Yes",G795,1))</f>
        <v/>
      </c>
      <c r="I795" s="11">
        <f>IF(A795="","",IFERROR(VALUE(SUBSTITUTE(SUBSTITUTE(INDEX('Etsy Import'!$A:$CZ,795,Settings!$C$26)&amp;"","$",""),",","")),0)/IF(Settings!$B$27="Yes",G795,1))</f>
        <v/>
      </c>
      <c r="J795" s="11">
        <f>IF(A795="","",F795+H795-I795)</f>
        <v/>
      </c>
      <c r="K795">
        <f>IF(A795="","",IFERROR(IF(B795="",NA(),MATCH(B795,Products!$B$5:$B$204,0)),IFERROR(MATCH(A795,Products!$A$5:$A$204,0),"")))</f>
        <v/>
      </c>
      <c r="L795">
        <f>IF(A795="","",IF(K795="","⚠ not in Products",INDEX(Products!$A$5:$A$204,K795)))</f>
        <v/>
      </c>
      <c r="M795" s="11">
        <f>IF(A795="","",J795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795+IFERROR(INDEX(Settings!$D$5:$D$9,MATCH("Etsy",Settings!$A$5:$A$9,0)),0)*D795)</f>
        <v/>
      </c>
      <c r="N795" s="11">
        <f>IF(A795="","",IF(K795="",0,D795*INDEX(Products!$I$5:$I$204,K795)))</f>
        <v/>
      </c>
      <c r="O795" s="11">
        <f>IF(A795="","",IF(K795="",0,J795*INDEX(Products!$H$5:$H$204,K795)))</f>
        <v/>
      </c>
      <c r="P795" s="11">
        <f>IF(A795="","",J795-M795-N795-O795)</f>
        <v/>
      </c>
    </row>
    <row r="796">
      <c r="A796">
        <f>IFERROR(INDEX('Etsy Import'!$A:$CZ,796,Settings!$C$20)&amp;"","")</f>
        <v/>
      </c>
      <c r="B796">
        <f>IFERROR(INDEX('Etsy Import'!$A:$CZ,796,Settings!$C$21)&amp;"","")</f>
        <v/>
      </c>
      <c r="C796">
        <f>IFERROR(INDEX('Etsy Import'!$A:$CZ,796,Settings!$C$22)&amp;"","")</f>
        <v/>
      </c>
      <c r="D796">
        <f>IF(A796="","",IFERROR(VALUE(SUBSTITUTE(SUBSTITUTE(INDEX('Etsy Import'!$A:$CZ,796,Settings!$C$23)&amp;"","$",""),",","")),0))</f>
        <v/>
      </c>
      <c r="E796" s="11">
        <f>IF(A796="","",IFERROR(VALUE(SUBSTITUTE(SUBSTITUTE(INDEX('Etsy Import'!$A:$CZ,796,Settings!$C$24)&amp;"","$",""),",","")),0))</f>
        <v/>
      </c>
      <c r="F796" s="11">
        <f>IF(A796="","",D796*E796)</f>
        <v/>
      </c>
      <c r="G796">
        <f>IF(A796="","",IF(C796="",1,COUNTIF($C$2:$C$1501,C796)))</f>
        <v/>
      </c>
      <c r="H796" s="11">
        <f>IF(A796="","",IFERROR(VALUE(SUBSTITUTE(SUBSTITUTE(INDEX('Etsy Import'!$A:$CZ,796,Settings!$C$25)&amp;"","$",""),",","")),0)/IF(Settings!$B$27="Yes",G796,1))</f>
        <v/>
      </c>
      <c r="I796" s="11">
        <f>IF(A796="","",IFERROR(VALUE(SUBSTITUTE(SUBSTITUTE(INDEX('Etsy Import'!$A:$CZ,796,Settings!$C$26)&amp;"","$",""),",","")),0)/IF(Settings!$B$27="Yes",G796,1))</f>
        <v/>
      </c>
      <c r="J796" s="11">
        <f>IF(A796="","",F796+H796-I796)</f>
        <v/>
      </c>
      <c r="K796">
        <f>IF(A796="","",IFERROR(IF(B796="",NA(),MATCH(B796,Products!$B$5:$B$204,0)),IFERROR(MATCH(A796,Products!$A$5:$A$204,0),"")))</f>
        <v/>
      </c>
      <c r="L796">
        <f>IF(A796="","",IF(K796="","⚠ not in Products",INDEX(Products!$A$5:$A$204,K796)))</f>
        <v/>
      </c>
      <c r="M796" s="11">
        <f>IF(A796="","",J796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796+IFERROR(INDEX(Settings!$D$5:$D$9,MATCH("Etsy",Settings!$A$5:$A$9,0)),0)*D796)</f>
        <v/>
      </c>
      <c r="N796" s="11">
        <f>IF(A796="","",IF(K796="",0,D796*INDEX(Products!$I$5:$I$204,K796)))</f>
        <v/>
      </c>
      <c r="O796" s="11">
        <f>IF(A796="","",IF(K796="",0,J796*INDEX(Products!$H$5:$H$204,K796)))</f>
        <v/>
      </c>
      <c r="P796" s="11">
        <f>IF(A796="","",J796-M796-N796-O796)</f>
        <v/>
      </c>
    </row>
    <row r="797">
      <c r="A797">
        <f>IFERROR(INDEX('Etsy Import'!$A:$CZ,797,Settings!$C$20)&amp;"","")</f>
        <v/>
      </c>
      <c r="B797">
        <f>IFERROR(INDEX('Etsy Import'!$A:$CZ,797,Settings!$C$21)&amp;"","")</f>
        <v/>
      </c>
      <c r="C797">
        <f>IFERROR(INDEX('Etsy Import'!$A:$CZ,797,Settings!$C$22)&amp;"","")</f>
        <v/>
      </c>
      <c r="D797">
        <f>IF(A797="","",IFERROR(VALUE(SUBSTITUTE(SUBSTITUTE(INDEX('Etsy Import'!$A:$CZ,797,Settings!$C$23)&amp;"","$",""),",","")),0))</f>
        <v/>
      </c>
      <c r="E797" s="11">
        <f>IF(A797="","",IFERROR(VALUE(SUBSTITUTE(SUBSTITUTE(INDEX('Etsy Import'!$A:$CZ,797,Settings!$C$24)&amp;"","$",""),",","")),0))</f>
        <v/>
      </c>
      <c r="F797" s="11">
        <f>IF(A797="","",D797*E797)</f>
        <v/>
      </c>
      <c r="G797">
        <f>IF(A797="","",IF(C797="",1,COUNTIF($C$2:$C$1501,C797)))</f>
        <v/>
      </c>
      <c r="H797" s="11">
        <f>IF(A797="","",IFERROR(VALUE(SUBSTITUTE(SUBSTITUTE(INDEX('Etsy Import'!$A:$CZ,797,Settings!$C$25)&amp;"","$",""),",","")),0)/IF(Settings!$B$27="Yes",G797,1))</f>
        <v/>
      </c>
      <c r="I797" s="11">
        <f>IF(A797="","",IFERROR(VALUE(SUBSTITUTE(SUBSTITUTE(INDEX('Etsy Import'!$A:$CZ,797,Settings!$C$26)&amp;"","$",""),",","")),0)/IF(Settings!$B$27="Yes",G797,1))</f>
        <v/>
      </c>
      <c r="J797" s="11">
        <f>IF(A797="","",F797+H797-I797)</f>
        <v/>
      </c>
      <c r="K797">
        <f>IF(A797="","",IFERROR(IF(B797="",NA(),MATCH(B797,Products!$B$5:$B$204,0)),IFERROR(MATCH(A797,Products!$A$5:$A$204,0),"")))</f>
        <v/>
      </c>
      <c r="L797">
        <f>IF(A797="","",IF(K797="","⚠ not in Products",INDEX(Products!$A$5:$A$204,K797)))</f>
        <v/>
      </c>
      <c r="M797" s="11">
        <f>IF(A797="","",J797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797+IFERROR(INDEX(Settings!$D$5:$D$9,MATCH("Etsy",Settings!$A$5:$A$9,0)),0)*D797)</f>
        <v/>
      </c>
      <c r="N797" s="11">
        <f>IF(A797="","",IF(K797="",0,D797*INDEX(Products!$I$5:$I$204,K797)))</f>
        <v/>
      </c>
      <c r="O797" s="11">
        <f>IF(A797="","",IF(K797="",0,J797*INDEX(Products!$H$5:$H$204,K797)))</f>
        <v/>
      </c>
      <c r="P797" s="11">
        <f>IF(A797="","",J797-M797-N797-O797)</f>
        <v/>
      </c>
    </row>
    <row r="798">
      <c r="A798">
        <f>IFERROR(INDEX('Etsy Import'!$A:$CZ,798,Settings!$C$20)&amp;"","")</f>
        <v/>
      </c>
      <c r="B798">
        <f>IFERROR(INDEX('Etsy Import'!$A:$CZ,798,Settings!$C$21)&amp;"","")</f>
        <v/>
      </c>
      <c r="C798">
        <f>IFERROR(INDEX('Etsy Import'!$A:$CZ,798,Settings!$C$22)&amp;"","")</f>
        <v/>
      </c>
      <c r="D798">
        <f>IF(A798="","",IFERROR(VALUE(SUBSTITUTE(SUBSTITUTE(INDEX('Etsy Import'!$A:$CZ,798,Settings!$C$23)&amp;"","$",""),",","")),0))</f>
        <v/>
      </c>
      <c r="E798" s="11">
        <f>IF(A798="","",IFERROR(VALUE(SUBSTITUTE(SUBSTITUTE(INDEX('Etsy Import'!$A:$CZ,798,Settings!$C$24)&amp;"","$",""),",","")),0))</f>
        <v/>
      </c>
      <c r="F798" s="11">
        <f>IF(A798="","",D798*E798)</f>
        <v/>
      </c>
      <c r="G798">
        <f>IF(A798="","",IF(C798="",1,COUNTIF($C$2:$C$1501,C798)))</f>
        <v/>
      </c>
      <c r="H798" s="11">
        <f>IF(A798="","",IFERROR(VALUE(SUBSTITUTE(SUBSTITUTE(INDEX('Etsy Import'!$A:$CZ,798,Settings!$C$25)&amp;"","$",""),",","")),0)/IF(Settings!$B$27="Yes",G798,1))</f>
        <v/>
      </c>
      <c r="I798" s="11">
        <f>IF(A798="","",IFERROR(VALUE(SUBSTITUTE(SUBSTITUTE(INDEX('Etsy Import'!$A:$CZ,798,Settings!$C$26)&amp;"","$",""),",","")),0)/IF(Settings!$B$27="Yes",G798,1))</f>
        <v/>
      </c>
      <c r="J798" s="11">
        <f>IF(A798="","",F798+H798-I798)</f>
        <v/>
      </c>
      <c r="K798">
        <f>IF(A798="","",IFERROR(IF(B798="",NA(),MATCH(B798,Products!$B$5:$B$204,0)),IFERROR(MATCH(A798,Products!$A$5:$A$204,0),"")))</f>
        <v/>
      </c>
      <c r="L798">
        <f>IF(A798="","",IF(K798="","⚠ not in Products",INDEX(Products!$A$5:$A$204,K798)))</f>
        <v/>
      </c>
      <c r="M798" s="11">
        <f>IF(A798="","",J798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798+IFERROR(INDEX(Settings!$D$5:$D$9,MATCH("Etsy",Settings!$A$5:$A$9,0)),0)*D798)</f>
        <v/>
      </c>
      <c r="N798" s="11">
        <f>IF(A798="","",IF(K798="",0,D798*INDEX(Products!$I$5:$I$204,K798)))</f>
        <v/>
      </c>
      <c r="O798" s="11">
        <f>IF(A798="","",IF(K798="",0,J798*INDEX(Products!$H$5:$H$204,K798)))</f>
        <v/>
      </c>
      <c r="P798" s="11">
        <f>IF(A798="","",J798-M798-N798-O798)</f>
        <v/>
      </c>
    </row>
    <row r="799">
      <c r="A799">
        <f>IFERROR(INDEX('Etsy Import'!$A:$CZ,799,Settings!$C$20)&amp;"","")</f>
        <v/>
      </c>
      <c r="B799">
        <f>IFERROR(INDEX('Etsy Import'!$A:$CZ,799,Settings!$C$21)&amp;"","")</f>
        <v/>
      </c>
      <c r="C799">
        <f>IFERROR(INDEX('Etsy Import'!$A:$CZ,799,Settings!$C$22)&amp;"","")</f>
        <v/>
      </c>
      <c r="D799">
        <f>IF(A799="","",IFERROR(VALUE(SUBSTITUTE(SUBSTITUTE(INDEX('Etsy Import'!$A:$CZ,799,Settings!$C$23)&amp;"","$",""),",","")),0))</f>
        <v/>
      </c>
      <c r="E799" s="11">
        <f>IF(A799="","",IFERROR(VALUE(SUBSTITUTE(SUBSTITUTE(INDEX('Etsy Import'!$A:$CZ,799,Settings!$C$24)&amp;"","$",""),",","")),0))</f>
        <v/>
      </c>
      <c r="F799" s="11">
        <f>IF(A799="","",D799*E799)</f>
        <v/>
      </c>
      <c r="G799">
        <f>IF(A799="","",IF(C799="",1,COUNTIF($C$2:$C$1501,C799)))</f>
        <v/>
      </c>
      <c r="H799" s="11">
        <f>IF(A799="","",IFERROR(VALUE(SUBSTITUTE(SUBSTITUTE(INDEX('Etsy Import'!$A:$CZ,799,Settings!$C$25)&amp;"","$",""),",","")),0)/IF(Settings!$B$27="Yes",G799,1))</f>
        <v/>
      </c>
      <c r="I799" s="11">
        <f>IF(A799="","",IFERROR(VALUE(SUBSTITUTE(SUBSTITUTE(INDEX('Etsy Import'!$A:$CZ,799,Settings!$C$26)&amp;"","$",""),",","")),0)/IF(Settings!$B$27="Yes",G799,1))</f>
        <v/>
      </c>
      <c r="J799" s="11">
        <f>IF(A799="","",F799+H799-I799)</f>
        <v/>
      </c>
      <c r="K799">
        <f>IF(A799="","",IFERROR(IF(B799="",NA(),MATCH(B799,Products!$B$5:$B$204,0)),IFERROR(MATCH(A799,Products!$A$5:$A$204,0),"")))</f>
        <v/>
      </c>
      <c r="L799">
        <f>IF(A799="","",IF(K799="","⚠ not in Products",INDEX(Products!$A$5:$A$204,K799)))</f>
        <v/>
      </c>
      <c r="M799" s="11">
        <f>IF(A799="","",J799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799+IFERROR(INDEX(Settings!$D$5:$D$9,MATCH("Etsy",Settings!$A$5:$A$9,0)),0)*D799)</f>
        <v/>
      </c>
      <c r="N799" s="11">
        <f>IF(A799="","",IF(K799="",0,D799*INDEX(Products!$I$5:$I$204,K799)))</f>
        <v/>
      </c>
      <c r="O799" s="11">
        <f>IF(A799="","",IF(K799="",0,J799*INDEX(Products!$H$5:$H$204,K799)))</f>
        <v/>
      </c>
      <c r="P799" s="11">
        <f>IF(A799="","",J799-M799-N799-O799)</f>
        <v/>
      </c>
    </row>
    <row r="800">
      <c r="A800">
        <f>IFERROR(INDEX('Etsy Import'!$A:$CZ,800,Settings!$C$20)&amp;"","")</f>
        <v/>
      </c>
      <c r="B800">
        <f>IFERROR(INDEX('Etsy Import'!$A:$CZ,800,Settings!$C$21)&amp;"","")</f>
        <v/>
      </c>
      <c r="C800">
        <f>IFERROR(INDEX('Etsy Import'!$A:$CZ,800,Settings!$C$22)&amp;"","")</f>
        <v/>
      </c>
      <c r="D800">
        <f>IF(A800="","",IFERROR(VALUE(SUBSTITUTE(SUBSTITUTE(INDEX('Etsy Import'!$A:$CZ,800,Settings!$C$23)&amp;"","$",""),",","")),0))</f>
        <v/>
      </c>
      <c r="E800" s="11">
        <f>IF(A800="","",IFERROR(VALUE(SUBSTITUTE(SUBSTITUTE(INDEX('Etsy Import'!$A:$CZ,800,Settings!$C$24)&amp;"","$",""),",","")),0))</f>
        <v/>
      </c>
      <c r="F800" s="11">
        <f>IF(A800="","",D800*E800)</f>
        <v/>
      </c>
      <c r="G800">
        <f>IF(A800="","",IF(C800="",1,COUNTIF($C$2:$C$1501,C800)))</f>
        <v/>
      </c>
      <c r="H800" s="11">
        <f>IF(A800="","",IFERROR(VALUE(SUBSTITUTE(SUBSTITUTE(INDEX('Etsy Import'!$A:$CZ,800,Settings!$C$25)&amp;"","$",""),",","")),0)/IF(Settings!$B$27="Yes",G800,1))</f>
        <v/>
      </c>
      <c r="I800" s="11">
        <f>IF(A800="","",IFERROR(VALUE(SUBSTITUTE(SUBSTITUTE(INDEX('Etsy Import'!$A:$CZ,800,Settings!$C$26)&amp;"","$",""),",","")),0)/IF(Settings!$B$27="Yes",G800,1))</f>
        <v/>
      </c>
      <c r="J800" s="11">
        <f>IF(A800="","",F800+H800-I800)</f>
        <v/>
      </c>
      <c r="K800">
        <f>IF(A800="","",IFERROR(IF(B800="",NA(),MATCH(B800,Products!$B$5:$B$204,0)),IFERROR(MATCH(A800,Products!$A$5:$A$204,0),"")))</f>
        <v/>
      </c>
      <c r="L800">
        <f>IF(A800="","",IF(K800="","⚠ not in Products",INDEX(Products!$A$5:$A$204,K800)))</f>
        <v/>
      </c>
      <c r="M800" s="11">
        <f>IF(A800="","",J800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800+IFERROR(INDEX(Settings!$D$5:$D$9,MATCH("Etsy",Settings!$A$5:$A$9,0)),0)*D800)</f>
        <v/>
      </c>
      <c r="N800" s="11">
        <f>IF(A800="","",IF(K800="",0,D800*INDEX(Products!$I$5:$I$204,K800)))</f>
        <v/>
      </c>
      <c r="O800" s="11">
        <f>IF(A800="","",IF(K800="",0,J800*INDEX(Products!$H$5:$H$204,K800)))</f>
        <v/>
      </c>
      <c r="P800" s="11">
        <f>IF(A800="","",J800-M800-N800-O800)</f>
        <v/>
      </c>
    </row>
    <row r="801">
      <c r="A801">
        <f>IFERROR(INDEX('Etsy Import'!$A:$CZ,801,Settings!$C$20)&amp;"","")</f>
        <v/>
      </c>
      <c r="B801">
        <f>IFERROR(INDEX('Etsy Import'!$A:$CZ,801,Settings!$C$21)&amp;"","")</f>
        <v/>
      </c>
      <c r="C801">
        <f>IFERROR(INDEX('Etsy Import'!$A:$CZ,801,Settings!$C$22)&amp;"","")</f>
        <v/>
      </c>
      <c r="D801">
        <f>IF(A801="","",IFERROR(VALUE(SUBSTITUTE(SUBSTITUTE(INDEX('Etsy Import'!$A:$CZ,801,Settings!$C$23)&amp;"","$",""),",","")),0))</f>
        <v/>
      </c>
      <c r="E801" s="11">
        <f>IF(A801="","",IFERROR(VALUE(SUBSTITUTE(SUBSTITUTE(INDEX('Etsy Import'!$A:$CZ,801,Settings!$C$24)&amp;"","$",""),",","")),0))</f>
        <v/>
      </c>
      <c r="F801" s="11">
        <f>IF(A801="","",D801*E801)</f>
        <v/>
      </c>
      <c r="G801">
        <f>IF(A801="","",IF(C801="",1,COUNTIF($C$2:$C$1501,C801)))</f>
        <v/>
      </c>
      <c r="H801" s="11">
        <f>IF(A801="","",IFERROR(VALUE(SUBSTITUTE(SUBSTITUTE(INDEX('Etsy Import'!$A:$CZ,801,Settings!$C$25)&amp;"","$",""),",","")),0)/IF(Settings!$B$27="Yes",G801,1))</f>
        <v/>
      </c>
      <c r="I801" s="11">
        <f>IF(A801="","",IFERROR(VALUE(SUBSTITUTE(SUBSTITUTE(INDEX('Etsy Import'!$A:$CZ,801,Settings!$C$26)&amp;"","$",""),",","")),0)/IF(Settings!$B$27="Yes",G801,1))</f>
        <v/>
      </c>
      <c r="J801" s="11">
        <f>IF(A801="","",F801+H801-I801)</f>
        <v/>
      </c>
      <c r="K801">
        <f>IF(A801="","",IFERROR(IF(B801="",NA(),MATCH(B801,Products!$B$5:$B$204,0)),IFERROR(MATCH(A801,Products!$A$5:$A$204,0),"")))</f>
        <v/>
      </c>
      <c r="L801">
        <f>IF(A801="","",IF(K801="","⚠ not in Products",INDEX(Products!$A$5:$A$204,K801)))</f>
        <v/>
      </c>
      <c r="M801" s="11">
        <f>IF(A801="","",J801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801+IFERROR(INDEX(Settings!$D$5:$D$9,MATCH("Etsy",Settings!$A$5:$A$9,0)),0)*D801)</f>
        <v/>
      </c>
      <c r="N801" s="11">
        <f>IF(A801="","",IF(K801="",0,D801*INDEX(Products!$I$5:$I$204,K801)))</f>
        <v/>
      </c>
      <c r="O801" s="11">
        <f>IF(A801="","",IF(K801="",0,J801*INDEX(Products!$H$5:$H$204,K801)))</f>
        <v/>
      </c>
      <c r="P801" s="11">
        <f>IF(A801="","",J801-M801-N801-O801)</f>
        <v/>
      </c>
    </row>
    <row r="802">
      <c r="A802">
        <f>IFERROR(INDEX('Etsy Import'!$A:$CZ,802,Settings!$C$20)&amp;"","")</f>
        <v/>
      </c>
      <c r="B802">
        <f>IFERROR(INDEX('Etsy Import'!$A:$CZ,802,Settings!$C$21)&amp;"","")</f>
        <v/>
      </c>
      <c r="C802">
        <f>IFERROR(INDEX('Etsy Import'!$A:$CZ,802,Settings!$C$22)&amp;"","")</f>
        <v/>
      </c>
      <c r="D802">
        <f>IF(A802="","",IFERROR(VALUE(SUBSTITUTE(SUBSTITUTE(INDEX('Etsy Import'!$A:$CZ,802,Settings!$C$23)&amp;"","$",""),",","")),0))</f>
        <v/>
      </c>
      <c r="E802" s="11">
        <f>IF(A802="","",IFERROR(VALUE(SUBSTITUTE(SUBSTITUTE(INDEX('Etsy Import'!$A:$CZ,802,Settings!$C$24)&amp;"","$",""),",","")),0))</f>
        <v/>
      </c>
      <c r="F802" s="11">
        <f>IF(A802="","",D802*E802)</f>
        <v/>
      </c>
      <c r="G802">
        <f>IF(A802="","",IF(C802="",1,COUNTIF($C$2:$C$1501,C802)))</f>
        <v/>
      </c>
      <c r="H802" s="11">
        <f>IF(A802="","",IFERROR(VALUE(SUBSTITUTE(SUBSTITUTE(INDEX('Etsy Import'!$A:$CZ,802,Settings!$C$25)&amp;"","$",""),",","")),0)/IF(Settings!$B$27="Yes",G802,1))</f>
        <v/>
      </c>
      <c r="I802" s="11">
        <f>IF(A802="","",IFERROR(VALUE(SUBSTITUTE(SUBSTITUTE(INDEX('Etsy Import'!$A:$CZ,802,Settings!$C$26)&amp;"","$",""),",","")),0)/IF(Settings!$B$27="Yes",G802,1))</f>
        <v/>
      </c>
      <c r="J802" s="11">
        <f>IF(A802="","",F802+H802-I802)</f>
        <v/>
      </c>
      <c r="K802">
        <f>IF(A802="","",IFERROR(IF(B802="",NA(),MATCH(B802,Products!$B$5:$B$204,0)),IFERROR(MATCH(A802,Products!$A$5:$A$204,0),"")))</f>
        <v/>
      </c>
      <c r="L802">
        <f>IF(A802="","",IF(K802="","⚠ not in Products",INDEX(Products!$A$5:$A$204,K802)))</f>
        <v/>
      </c>
      <c r="M802" s="11">
        <f>IF(A802="","",J802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802+IFERROR(INDEX(Settings!$D$5:$D$9,MATCH("Etsy",Settings!$A$5:$A$9,0)),0)*D802)</f>
        <v/>
      </c>
      <c r="N802" s="11">
        <f>IF(A802="","",IF(K802="",0,D802*INDEX(Products!$I$5:$I$204,K802)))</f>
        <v/>
      </c>
      <c r="O802" s="11">
        <f>IF(A802="","",IF(K802="",0,J802*INDEX(Products!$H$5:$H$204,K802)))</f>
        <v/>
      </c>
      <c r="P802" s="11">
        <f>IF(A802="","",J802-M802-N802-O802)</f>
        <v/>
      </c>
    </row>
    <row r="803">
      <c r="A803">
        <f>IFERROR(INDEX('Etsy Import'!$A:$CZ,803,Settings!$C$20)&amp;"","")</f>
        <v/>
      </c>
      <c r="B803">
        <f>IFERROR(INDEX('Etsy Import'!$A:$CZ,803,Settings!$C$21)&amp;"","")</f>
        <v/>
      </c>
      <c r="C803">
        <f>IFERROR(INDEX('Etsy Import'!$A:$CZ,803,Settings!$C$22)&amp;"","")</f>
        <v/>
      </c>
      <c r="D803">
        <f>IF(A803="","",IFERROR(VALUE(SUBSTITUTE(SUBSTITUTE(INDEX('Etsy Import'!$A:$CZ,803,Settings!$C$23)&amp;"","$",""),",","")),0))</f>
        <v/>
      </c>
      <c r="E803" s="11">
        <f>IF(A803="","",IFERROR(VALUE(SUBSTITUTE(SUBSTITUTE(INDEX('Etsy Import'!$A:$CZ,803,Settings!$C$24)&amp;"","$",""),",","")),0))</f>
        <v/>
      </c>
      <c r="F803" s="11">
        <f>IF(A803="","",D803*E803)</f>
        <v/>
      </c>
      <c r="G803">
        <f>IF(A803="","",IF(C803="",1,COUNTIF($C$2:$C$1501,C803)))</f>
        <v/>
      </c>
      <c r="H803" s="11">
        <f>IF(A803="","",IFERROR(VALUE(SUBSTITUTE(SUBSTITUTE(INDEX('Etsy Import'!$A:$CZ,803,Settings!$C$25)&amp;"","$",""),",","")),0)/IF(Settings!$B$27="Yes",G803,1))</f>
        <v/>
      </c>
      <c r="I803" s="11">
        <f>IF(A803="","",IFERROR(VALUE(SUBSTITUTE(SUBSTITUTE(INDEX('Etsy Import'!$A:$CZ,803,Settings!$C$26)&amp;"","$",""),",","")),0)/IF(Settings!$B$27="Yes",G803,1))</f>
        <v/>
      </c>
      <c r="J803" s="11">
        <f>IF(A803="","",F803+H803-I803)</f>
        <v/>
      </c>
      <c r="K803">
        <f>IF(A803="","",IFERROR(IF(B803="",NA(),MATCH(B803,Products!$B$5:$B$204,0)),IFERROR(MATCH(A803,Products!$A$5:$A$204,0),"")))</f>
        <v/>
      </c>
      <c r="L803">
        <f>IF(A803="","",IF(K803="","⚠ not in Products",INDEX(Products!$A$5:$A$204,K803)))</f>
        <v/>
      </c>
      <c r="M803" s="11">
        <f>IF(A803="","",J803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803+IFERROR(INDEX(Settings!$D$5:$D$9,MATCH("Etsy",Settings!$A$5:$A$9,0)),0)*D803)</f>
        <v/>
      </c>
      <c r="N803" s="11">
        <f>IF(A803="","",IF(K803="",0,D803*INDEX(Products!$I$5:$I$204,K803)))</f>
        <v/>
      </c>
      <c r="O803" s="11">
        <f>IF(A803="","",IF(K803="",0,J803*INDEX(Products!$H$5:$H$204,K803)))</f>
        <v/>
      </c>
      <c r="P803" s="11">
        <f>IF(A803="","",J803-M803-N803-O803)</f>
        <v/>
      </c>
    </row>
    <row r="804">
      <c r="A804">
        <f>IFERROR(INDEX('Etsy Import'!$A:$CZ,804,Settings!$C$20)&amp;"","")</f>
        <v/>
      </c>
      <c r="B804">
        <f>IFERROR(INDEX('Etsy Import'!$A:$CZ,804,Settings!$C$21)&amp;"","")</f>
        <v/>
      </c>
      <c r="C804">
        <f>IFERROR(INDEX('Etsy Import'!$A:$CZ,804,Settings!$C$22)&amp;"","")</f>
        <v/>
      </c>
      <c r="D804">
        <f>IF(A804="","",IFERROR(VALUE(SUBSTITUTE(SUBSTITUTE(INDEX('Etsy Import'!$A:$CZ,804,Settings!$C$23)&amp;"","$",""),",","")),0))</f>
        <v/>
      </c>
      <c r="E804" s="11">
        <f>IF(A804="","",IFERROR(VALUE(SUBSTITUTE(SUBSTITUTE(INDEX('Etsy Import'!$A:$CZ,804,Settings!$C$24)&amp;"","$",""),",","")),0))</f>
        <v/>
      </c>
      <c r="F804" s="11">
        <f>IF(A804="","",D804*E804)</f>
        <v/>
      </c>
      <c r="G804">
        <f>IF(A804="","",IF(C804="",1,COUNTIF($C$2:$C$1501,C804)))</f>
        <v/>
      </c>
      <c r="H804" s="11">
        <f>IF(A804="","",IFERROR(VALUE(SUBSTITUTE(SUBSTITUTE(INDEX('Etsy Import'!$A:$CZ,804,Settings!$C$25)&amp;"","$",""),",","")),0)/IF(Settings!$B$27="Yes",G804,1))</f>
        <v/>
      </c>
      <c r="I804" s="11">
        <f>IF(A804="","",IFERROR(VALUE(SUBSTITUTE(SUBSTITUTE(INDEX('Etsy Import'!$A:$CZ,804,Settings!$C$26)&amp;"","$",""),",","")),0)/IF(Settings!$B$27="Yes",G804,1))</f>
        <v/>
      </c>
      <c r="J804" s="11">
        <f>IF(A804="","",F804+H804-I804)</f>
        <v/>
      </c>
      <c r="K804">
        <f>IF(A804="","",IFERROR(IF(B804="",NA(),MATCH(B804,Products!$B$5:$B$204,0)),IFERROR(MATCH(A804,Products!$A$5:$A$204,0),"")))</f>
        <v/>
      </c>
      <c r="L804">
        <f>IF(A804="","",IF(K804="","⚠ not in Products",INDEX(Products!$A$5:$A$204,K804)))</f>
        <v/>
      </c>
      <c r="M804" s="11">
        <f>IF(A804="","",J804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804+IFERROR(INDEX(Settings!$D$5:$D$9,MATCH("Etsy",Settings!$A$5:$A$9,0)),0)*D804)</f>
        <v/>
      </c>
      <c r="N804" s="11">
        <f>IF(A804="","",IF(K804="",0,D804*INDEX(Products!$I$5:$I$204,K804)))</f>
        <v/>
      </c>
      <c r="O804" s="11">
        <f>IF(A804="","",IF(K804="",0,J804*INDEX(Products!$H$5:$H$204,K804)))</f>
        <v/>
      </c>
      <c r="P804" s="11">
        <f>IF(A804="","",J804-M804-N804-O804)</f>
        <v/>
      </c>
    </row>
    <row r="805">
      <c r="A805">
        <f>IFERROR(INDEX('Etsy Import'!$A:$CZ,805,Settings!$C$20)&amp;"","")</f>
        <v/>
      </c>
      <c r="B805">
        <f>IFERROR(INDEX('Etsy Import'!$A:$CZ,805,Settings!$C$21)&amp;"","")</f>
        <v/>
      </c>
      <c r="C805">
        <f>IFERROR(INDEX('Etsy Import'!$A:$CZ,805,Settings!$C$22)&amp;"","")</f>
        <v/>
      </c>
      <c r="D805">
        <f>IF(A805="","",IFERROR(VALUE(SUBSTITUTE(SUBSTITUTE(INDEX('Etsy Import'!$A:$CZ,805,Settings!$C$23)&amp;"","$",""),",","")),0))</f>
        <v/>
      </c>
      <c r="E805" s="11">
        <f>IF(A805="","",IFERROR(VALUE(SUBSTITUTE(SUBSTITUTE(INDEX('Etsy Import'!$A:$CZ,805,Settings!$C$24)&amp;"","$",""),",","")),0))</f>
        <v/>
      </c>
      <c r="F805" s="11">
        <f>IF(A805="","",D805*E805)</f>
        <v/>
      </c>
      <c r="G805">
        <f>IF(A805="","",IF(C805="",1,COUNTIF($C$2:$C$1501,C805)))</f>
        <v/>
      </c>
      <c r="H805" s="11">
        <f>IF(A805="","",IFERROR(VALUE(SUBSTITUTE(SUBSTITUTE(INDEX('Etsy Import'!$A:$CZ,805,Settings!$C$25)&amp;"","$",""),",","")),0)/IF(Settings!$B$27="Yes",G805,1))</f>
        <v/>
      </c>
      <c r="I805" s="11">
        <f>IF(A805="","",IFERROR(VALUE(SUBSTITUTE(SUBSTITUTE(INDEX('Etsy Import'!$A:$CZ,805,Settings!$C$26)&amp;"","$",""),",","")),0)/IF(Settings!$B$27="Yes",G805,1))</f>
        <v/>
      </c>
      <c r="J805" s="11">
        <f>IF(A805="","",F805+H805-I805)</f>
        <v/>
      </c>
      <c r="K805">
        <f>IF(A805="","",IFERROR(IF(B805="",NA(),MATCH(B805,Products!$B$5:$B$204,0)),IFERROR(MATCH(A805,Products!$A$5:$A$204,0),"")))</f>
        <v/>
      </c>
      <c r="L805">
        <f>IF(A805="","",IF(K805="","⚠ not in Products",INDEX(Products!$A$5:$A$204,K805)))</f>
        <v/>
      </c>
      <c r="M805" s="11">
        <f>IF(A805="","",J805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805+IFERROR(INDEX(Settings!$D$5:$D$9,MATCH("Etsy",Settings!$A$5:$A$9,0)),0)*D805)</f>
        <v/>
      </c>
      <c r="N805" s="11">
        <f>IF(A805="","",IF(K805="",0,D805*INDEX(Products!$I$5:$I$204,K805)))</f>
        <v/>
      </c>
      <c r="O805" s="11">
        <f>IF(A805="","",IF(K805="",0,J805*INDEX(Products!$H$5:$H$204,K805)))</f>
        <v/>
      </c>
      <c r="P805" s="11">
        <f>IF(A805="","",J805-M805-N805-O805)</f>
        <v/>
      </c>
    </row>
    <row r="806">
      <c r="A806">
        <f>IFERROR(INDEX('Etsy Import'!$A:$CZ,806,Settings!$C$20)&amp;"","")</f>
        <v/>
      </c>
      <c r="B806">
        <f>IFERROR(INDEX('Etsy Import'!$A:$CZ,806,Settings!$C$21)&amp;"","")</f>
        <v/>
      </c>
      <c r="C806">
        <f>IFERROR(INDEX('Etsy Import'!$A:$CZ,806,Settings!$C$22)&amp;"","")</f>
        <v/>
      </c>
      <c r="D806">
        <f>IF(A806="","",IFERROR(VALUE(SUBSTITUTE(SUBSTITUTE(INDEX('Etsy Import'!$A:$CZ,806,Settings!$C$23)&amp;"","$",""),",","")),0))</f>
        <v/>
      </c>
      <c r="E806" s="11">
        <f>IF(A806="","",IFERROR(VALUE(SUBSTITUTE(SUBSTITUTE(INDEX('Etsy Import'!$A:$CZ,806,Settings!$C$24)&amp;"","$",""),",","")),0))</f>
        <v/>
      </c>
      <c r="F806" s="11">
        <f>IF(A806="","",D806*E806)</f>
        <v/>
      </c>
      <c r="G806">
        <f>IF(A806="","",IF(C806="",1,COUNTIF($C$2:$C$1501,C806)))</f>
        <v/>
      </c>
      <c r="H806" s="11">
        <f>IF(A806="","",IFERROR(VALUE(SUBSTITUTE(SUBSTITUTE(INDEX('Etsy Import'!$A:$CZ,806,Settings!$C$25)&amp;"","$",""),",","")),0)/IF(Settings!$B$27="Yes",G806,1))</f>
        <v/>
      </c>
      <c r="I806" s="11">
        <f>IF(A806="","",IFERROR(VALUE(SUBSTITUTE(SUBSTITUTE(INDEX('Etsy Import'!$A:$CZ,806,Settings!$C$26)&amp;"","$",""),",","")),0)/IF(Settings!$B$27="Yes",G806,1))</f>
        <v/>
      </c>
      <c r="J806" s="11">
        <f>IF(A806="","",F806+H806-I806)</f>
        <v/>
      </c>
      <c r="K806">
        <f>IF(A806="","",IFERROR(IF(B806="",NA(),MATCH(B806,Products!$B$5:$B$204,0)),IFERROR(MATCH(A806,Products!$A$5:$A$204,0),"")))</f>
        <v/>
      </c>
      <c r="L806">
        <f>IF(A806="","",IF(K806="","⚠ not in Products",INDEX(Products!$A$5:$A$204,K806)))</f>
        <v/>
      </c>
      <c r="M806" s="11">
        <f>IF(A806="","",J806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806+IFERROR(INDEX(Settings!$D$5:$D$9,MATCH("Etsy",Settings!$A$5:$A$9,0)),0)*D806)</f>
        <v/>
      </c>
      <c r="N806" s="11">
        <f>IF(A806="","",IF(K806="",0,D806*INDEX(Products!$I$5:$I$204,K806)))</f>
        <v/>
      </c>
      <c r="O806" s="11">
        <f>IF(A806="","",IF(K806="",0,J806*INDEX(Products!$H$5:$H$204,K806)))</f>
        <v/>
      </c>
      <c r="P806" s="11">
        <f>IF(A806="","",J806-M806-N806-O806)</f>
        <v/>
      </c>
    </row>
    <row r="807">
      <c r="A807">
        <f>IFERROR(INDEX('Etsy Import'!$A:$CZ,807,Settings!$C$20)&amp;"","")</f>
        <v/>
      </c>
      <c r="B807">
        <f>IFERROR(INDEX('Etsy Import'!$A:$CZ,807,Settings!$C$21)&amp;"","")</f>
        <v/>
      </c>
      <c r="C807">
        <f>IFERROR(INDEX('Etsy Import'!$A:$CZ,807,Settings!$C$22)&amp;"","")</f>
        <v/>
      </c>
      <c r="D807">
        <f>IF(A807="","",IFERROR(VALUE(SUBSTITUTE(SUBSTITUTE(INDEX('Etsy Import'!$A:$CZ,807,Settings!$C$23)&amp;"","$",""),",","")),0))</f>
        <v/>
      </c>
      <c r="E807" s="11">
        <f>IF(A807="","",IFERROR(VALUE(SUBSTITUTE(SUBSTITUTE(INDEX('Etsy Import'!$A:$CZ,807,Settings!$C$24)&amp;"","$",""),",","")),0))</f>
        <v/>
      </c>
      <c r="F807" s="11">
        <f>IF(A807="","",D807*E807)</f>
        <v/>
      </c>
      <c r="G807">
        <f>IF(A807="","",IF(C807="",1,COUNTIF($C$2:$C$1501,C807)))</f>
        <v/>
      </c>
      <c r="H807" s="11">
        <f>IF(A807="","",IFERROR(VALUE(SUBSTITUTE(SUBSTITUTE(INDEX('Etsy Import'!$A:$CZ,807,Settings!$C$25)&amp;"","$",""),",","")),0)/IF(Settings!$B$27="Yes",G807,1))</f>
        <v/>
      </c>
      <c r="I807" s="11">
        <f>IF(A807="","",IFERROR(VALUE(SUBSTITUTE(SUBSTITUTE(INDEX('Etsy Import'!$A:$CZ,807,Settings!$C$26)&amp;"","$",""),",","")),0)/IF(Settings!$B$27="Yes",G807,1))</f>
        <v/>
      </c>
      <c r="J807" s="11">
        <f>IF(A807="","",F807+H807-I807)</f>
        <v/>
      </c>
      <c r="K807">
        <f>IF(A807="","",IFERROR(IF(B807="",NA(),MATCH(B807,Products!$B$5:$B$204,0)),IFERROR(MATCH(A807,Products!$A$5:$A$204,0),"")))</f>
        <v/>
      </c>
      <c r="L807">
        <f>IF(A807="","",IF(K807="","⚠ not in Products",INDEX(Products!$A$5:$A$204,K807)))</f>
        <v/>
      </c>
      <c r="M807" s="11">
        <f>IF(A807="","",J807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807+IFERROR(INDEX(Settings!$D$5:$D$9,MATCH("Etsy",Settings!$A$5:$A$9,0)),0)*D807)</f>
        <v/>
      </c>
      <c r="N807" s="11">
        <f>IF(A807="","",IF(K807="",0,D807*INDEX(Products!$I$5:$I$204,K807)))</f>
        <v/>
      </c>
      <c r="O807" s="11">
        <f>IF(A807="","",IF(K807="",0,J807*INDEX(Products!$H$5:$H$204,K807)))</f>
        <v/>
      </c>
      <c r="P807" s="11">
        <f>IF(A807="","",J807-M807-N807-O807)</f>
        <v/>
      </c>
    </row>
    <row r="808">
      <c r="A808">
        <f>IFERROR(INDEX('Etsy Import'!$A:$CZ,808,Settings!$C$20)&amp;"","")</f>
        <v/>
      </c>
      <c r="B808">
        <f>IFERROR(INDEX('Etsy Import'!$A:$CZ,808,Settings!$C$21)&amp;"","")</f>
        <v/>
      </c>
      <c r="C808">
        <f>IFERROR(INDEX('Etsy Import'!$A:$CZ,808,Settings!$C$22)&amp;"","")</f>
        <v/>
      </c>
      <c r="D808">
        <f>IF(A808="","",IFERROR(VALUE(SUBSTITUTE(SUBSTITUTE(INDEX('Etsy Import'!$A:$CZ,808,Settings!$C$23)&amp;"","$",""),",","")),0))</f>
        <v/>
      </c>
      <c r="E808" s="11">
        <f>IF(A808="","",IFERROR(VALUE(SUBSTITUTE(SUBSTITUTE(INDEX('Etsy Import'!$A:$CZ,808,Settings!$C$24)&amp;"","$",""),",","")),0))</f>
        <v/>
      </c>
      <c r="F808" s="11">
        <f>IF(A808="","",D808*E808)</f>
        <v/>
      </c>
      <c r="G808">
        <f>IF(A808="","",IF(C808="",1,COUNTIF($C$2:$C$1501,C808)))</f>
        <v/>
      </c>
      <c r="H808" s="11">
        <f>IF(A808="","",IFERROR(VALUE(SUBSTITUTE(SUBSTITUTE(INDEX('Etsy Import'!$A:$CZ,808,Settings!$C$25)&amp;"","$",""),",","")),0)/IF(Settings!$B$27="Yes",G808,1))</f>
        <v/>
      </c>
      <c r="I808" s="11">
        <f>IF(A808="","",IFERROR(VALUE(SUBSTITUTE(SUBSTITUTE(INDEX('Etsy Import'!$A:$CZ,808,Settings!$C$26)&amp;"","$",""),",","")),0)/IF(Settings!$B$27="Yes",G808,1))</f>
        <v/>
      </c>
      <c r="J808" s="11">
        <f>IF(A808="","",F808+H808-I808)</f>
        <v/>
      </c>
      <c r="K808">
        <f>IF(A808="","",IFERROR(IF(B808="",NA(),MATCH(B808,Products!$B$5:$B$204,0)),IFERROR(MATCH(A808,Products!$A$5:$A$204,0),"")))</f>
        <v/>
      </c>
      <c r="L808">
        <f>IF(A808="","",IF(K808="","⚠ not in Products",INDEX(Products!$A$5:$A$204,K808)))</f>
        <v/>
      </c>
      <c r="M808" s="11">
        <f>IF(A808="","",J808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808+IFERROR(INDEX(Settings!$D$5:$D$9,MATCH("Etsy",Settings!$A$5:$A$9,0)),0)*D808)</f>
        <v/>
      </c>
      <c r="N808" s="11">
        <f>IF(A808="","",IF(K808="",0,D808*INDEX(Products!$I$5:$I$204,K808)))</f>
        <v/>
      </c>
      <c r="O808" s="11">
        <f>IF(A808="","",IF(K808="",0,J808*INDEX(Products!$H$5:$H$204,K808)))</f>
        <v/>
      </c>
      <c r="P808" s="11">
        <f>IF(A808="","",J808-M808-N808-O808)</f>
        <v/>
      </c>
    </row>
    <row r="809">
      <c r="A809">
        <f>IFERROR(INDEX('Etsy Import'!$A:$CZ,809,Settings!$C$20)&amp;"","")</f>
        <v/>
      </c>
      <c r="B809">
        <f>IFERROR(INDEX('Etsy Import'!$A:$CZ,809,Settings!$C$21)&amp;"","")</f>
        <v/>
      </c>
      <c r="C809">
        <f>IFERROR(INDEX('Etsy Import'!$A:$CZ,809,Settings!$C$22)&amp;"","")</f>
        <v/>
      </c>
      <c r="D809">
        <f>IF(A809="","",IFERROR(VALUE(SUBSTITUTE(SUBSTITUTE(INDEX('Etsy Import'!$A:$CZ,809,Settings!$C$23)&amp;"","$",""),",","")),0))</f>
        <v/>
      </c>
      <c r="E809" s="11">
        <f>IF(A809="","",IFERROR(VALUE(SUBSTITUTE(SUBSTITUTE(INDEX('Etsy Import'!$A:$CZ,809,Settings!$C$24)&amp;"","$",""),",","")),0))</f>
        <v/>
      </c>
      <c r="F809" s="11">
        <f>IF(A809="","",D809*E809)</f>
        <v/>
      </c>
      <c r="G809">
        <f>IF(A809="","",IF(C809="",1,COUNTIF($C$2:$C$1501,C809)))</f>
        <v/>
      </c>
      <c r="H809" s="11">
        <f>IF(A809="","",IFERROR(VALUE(SUBSTITUTE(SUBSTITUTE(INDEX('Etsy Import'!$A:$CZ,809,Settings!$C$25)&amp;"","$",""),",","")),0)/IF(Settings!$B$27="Yes",G809,1))</f>
        <v/>
      </c>
      <c r="I809" s="11">
        <f>IF(A809="","",IFERROR(VALUE(SUBSTITUTE(SUBSTITUTE(INDEX('Etsy Import'!$A:$CZ,809,Settings!$C$26)&amp;"","$",""),",","")),0)/IF(Settings!$B$27="Yes",G809,1))</f>
        <v/>
      </c>
      <c r="J809" s="11">
        <f>IF(A809="","",F809+H809-I809)</f>
        <v/>
      </c>
      <c r="K809">
        <f>IF(A809="","",IFERROR(IF(B809="",NA(),MATCH(B809,Products!$B$5:$B$204,0)),IFERROR(MATCH(A809,Products!$A$5:$A$204,0),"")))</f>
        <v/>
      </c>
      <c r="L809">
        <f>IF(A809="","",IF(K809="","⚠ not in Products",INDEX(Products!$A$5:$A$204,K809)))</f>
        <v/>
      </c>
      <c r="M809" s="11">
        <f>IF(A809="","",J809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809+IFERROR(INDEX(Settings!$D$5:$D$9,MATCH("Etsy",Settings!$A$5:$A$9,0)),0)*D809)</f>
        <v/>
      </c>
      <c r="N809" s="11">
        <f>IF(A809="","",IF(K809="",0,D809*INDEX(Products!$I$5:$I$204,K809)))</f>
        <v/>
      </c>
      <c r="O809" s="11">
        <f>IF(A809="","",IF(K809="",0,J809*INDEX(Products!$H$5:$H$204,K809)))</f>
        <v/>
      </c>
      <c r="P809" s="11">
        <f>IF(A809="","",J809-M809-N809-O809)</f>
        <v/>
      </c>
    </row>
    <row r="810">
      <c r="A810">
        <f>IFERROR(INDEX('Etsy Import'!$A:$CZ,810,Settings!$C$20)&amp;"","")</f>
        <v/>
      </c>
      <c r="B810">
        <f>IFERROR(INDEX('Etsy Import'!$A:$CZ,810,Settings!$C$21)&amp;"","")</f>
        <v/>
      </c>
      <c r="C810">
        <f>IFERROR(INDEX('Etsy Import'!$A:$CZ,810,Settings!$C$22)&amp;"","")</f>
        <v/>
      </c>
      <c r="D810">
        <f>IF(A810="","",IFERROR(VALUE(SUBSTITUTE(SUBSTITUTE(INDEX('Etsy Import'!$A:$CZ,810,Settings!$C$23)&amp;"","$",""),",","")),0))</f>
        <v/>
      </c>
      <c r="E810" s="11">
        <f>IF(A810="","",IFERROR(VALUE(SUBSTITUTE(SUBSTITUTE(INDEX('Etsy Import'!$A:$CZ,810,Settings!$C$24)&amp;"","$",""),",","")),0))</f>
        <v/>
      </c>
      <c r="F810" s="11">
        <f>IF(A810="","",D810*E810)</f>
        <v/>
      </c>
      <c r="G810">
        <f>IF(A810="","",IF(C810="",1,COUNTIF($C$2:$C$1501,C810)))</f>
        <v/>
      </c>
      <c r="H810" s="11">
        <f>IF(A810="","",IFERROR(VALUE(SUBSTITUTE(SUBSTITUTE(INDEX('Etsy Import'!$A:$CZ,810,Settings!$C$25)&amp;"","$",""),",","")),0)/IF(Settings!$B$27="Yes",G810,1))</f>
        <v/>
      </c>
      <c r="I810" s="11">
        <f>IF(A810="","",IFERROR(VALUE(SUBSTITUTE(SUBSTITUTE(INDEX('Etsy Import'!$A:$CZ,810,Settings!$C$26)&amp;"","$",""),",","")),0)/IF(Settings!$B$27="Yes",G810,1))</f>
        <v/>
      </c>
      <c r="J810" s="11">
        <f>IF(A810="","",F810+H810-I810)</f>
        <v/>
      </c>
      <c r="K810">
        <f>IF(A810="","",IFERROR(IF(B810="",NA(),MATCH(B810,Products!$B$5:$B$204,0)),IFERROR(MATCH(A810,Products!$A$5:$A$204,0),"")))</f>
        <v/>
      </c>
      <c r="L810">
        <f>IF(A810="","",IF(K810="","⚠ not in Products",INDEX(Products!$A$5:$A$204,K810)))</f>
        <v/>
      </c>
      <c r="M810" s="11">
        <f>IF(A810="","",J810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810+IFERROR(INDEX(Settings!$D$5:$D$9,MATCH("Etsy",Settings!$A$5:$A$9,0)),0)*D810)</f>
        <v/>
      </c>
      <c r="N810" s="11">
        <f>IF(A810="","",IF(K810="",0,D810*INDEX(Products!$I$5:$I$204,K810)))</f>
        <v/>
      </c>
      <c r="O810" s="11">
        <f>IF(A810="","",IF(K810="",0,J810*INDEX(Products!$H$5:$H$204,K810)))</f>
        <v/>
      </c>
      <c r="P810" s="11">
        <f>IF(A810="","",J810-M810-N810-O810)</f>
        <v/>
      </c>
    </row>
    <row r="811">
      <c r="A811">
        <f>IFERROR(INDEX('Etsy Import'!$A:$CZ,811,Settings!$C$20)&amp;"","")</f>
        <v/>
      </c>
      <c r="B811">
        <f>IFERROR(INDEX('Etsy Import'!$A:$CZ,811,Settings!$C$21)&amp;"","")</f>
        <v/>
      </c>
      <c r="C811">
        <f>IFERROR(INDEX('Etsy Import'!$A:$CZ,811,Settings!$C$22)&amp;"","")</f>
        <v/>
      </c>
      <c r="D811">
        <f>IF(A811="","",IFERROR(VALUE(SUBSTITUTE(SUBSTITUTE(INDEX('Etsy Import'!$A:$CZ,811,Settings!$C$23)&amp;"","$",""),",","")),0))</f>
        <v/>
      </c>
      <c r="E811" s="11">
        <f>IF(A811="","",IFERROR(VALUE(SUBSTITUTE(SUBSTITUTE(INDEX('Etsy Import'!$A:$CZ,811,Settings!$C$24)&amp;"","$",""),",","")),0))</f>
        <v/>
      </c>
      <c r="F811" s="11">
        <f>IF(A811="","",D811*E811)</f>
        <v/>
      </c>
      <c r="G811">
        <f>IF(A811="","",IF(C811="",1,COUNTIF($C$2:$C$1501,C811)))</f>
        <v/>
      </c>
      <c r="H811" s="11">
        <f>IF(A811="","",IFERROR(VALUE(SUBSTITUTE(SUBSTITUTE(INDEX('Etsy Import'!$A:$CZ,811,Settings!$C$25)&amp;"","$",""),",","")),0)/IF(Settings!$B$27="Yes",G811,1))</f>
        <v/>
      </c>
      <c r="I811" s="11">
        <f>IF(A811="","",IFERROR(VALUE(SUBSTITUTE(SUBSTITUTE(INDEX('Etsy Import'!$A:$CZ,811,Settings!$C$26)&amp;"","$",""),",","")),0)/IF(Settings!$B$27="Yes",G811,1))</f>
        <v/>
      </c>
      <c r="J811" s="11">
        <f>IF(A811="","",F811+H811-I811)</f>
        <v/>
      </c>
      <c r="K811">
        <f>IF(A811="","",IFERROR(IF(B811="",NA(),MATCH(B811,Products!$B$5:$B$204,0)),IFERROR(MATCH(A811,Products!$A$5:$A$204,0),"")))</f>
        <v/>
      </c>
      <c r="L811">
        <f>IF(A811="","",IF(K811="","⚠ not in Products",INDEX(Products!$A$5:$A$204,K811)))</f>
        <v/>
      </c>
      <c r="M811" s="11">
        <f>IF(A811="","",J811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811+IFERROR(INDEX(Settings!$D$5:$D$9,MATCH("Etsy",Settings!$A$5:$A$9,0)),0)*D811)</f>
        <v/>
      </c>
      <c r="N811" s="11">
        <f>IF(A811="","",IF(K811="",0,D811*INDEX(Products!$I$5:$I$204,K811)))</f>
        <v/>
      </c>
      <c r="O811" s="11">
        <f>IF(A811="","",IF(K811="",0,J811*INDEX(Products!$H$5:$H$204,K811)))</f>
        <v/>
      </c>
      <c r="P811" s="11">
        <f>IF(A811="","",J811-M811-N811-O811)</f>
        <v/>
      </c>
    </row>
    <row r="812">
      <c r="A812">
        <f>IFERROR(INDEX('Etsy Import'!$A:$CZ,812,Settings!$C$20)&amp;"","")</f>
        <v/>
      </c>
      <c r="B812">
        <f>IFERROR(INDEX('Etsy Import'!$A:$CZ,812,Settings!$C$21)&amp;"","")</f>
        <v/>
      </c>
      <c r="C812">
        <f>IFERROR(INDEX('Etsy Import'!$A:$CZ,812,Settings!$C$22)&amp;"","")</f>
        <v/>
      </c>
      <c r="D812">
        <f>IF(A812="","",IFERROR(VALUE(SUBSTITUTE(SUBSTITUTE(INDEX('Etsy Import'!$A:$CZ,812,Settings!$C$23)&amp;"","$",""),",","")),0))</f>
        <v/>
      </c>
      <c r="E812" s="11">
        <f>IF(A812="","",IFERROR(VALUE(SUBSTITUTE(SUBSTITUTE(INDEX('Etsy Import'!$A:$CZ,812,Settings!$C$24)&amp;"","$",""),",","")),0))</f>
        <v/>
      </c>
      <c r="F812" s="11">
        <f>IF(A812="","",D812*E812)</f>
        <v/>
      </c>
      <c r="G812">
        <f>IF(A812="","",IF(C812="",1,COUNTIF($C$2:$C$1501,C812)))</f>
        <v/>
      </c>
      <c r="H812" s="11">
        <f>IF(A812="","",IFERROR(VALUE(SUBSTITUTE(SUBSTITUTE(INDEX('Etsy Import'!$A:$CZ,812,Settings!$C$25)&amp;"","$",""),",","")),0)/IF(Settings!$B$27="Yes",G812,1))</f>
        <v/>
      </c>
      <c r="I812" s="11">
        <f>IF(A812="","",IFERROR(VALUE(SUBSTITUTE(SUBSTITUTE(INDEX('Etsy Import'!$A:$CZ,812,Settings!$C$26)&amp;"","$",""),",","")),0)/IF(Settings!$B$27="Yes",G812,1))</f>
        <v/>
      </c>
      <c r="J812" s="11">
        <f>IF(A812="","",F812+H812-I812)</f>
        <v/>
      </c>
      <c r="K812">
        <f>IF(A812="","",IFERROR(IF(B812="",NA(),MATCH(B812,Products!$B$5:$B$204,0)),IFERROR(MATCH(A812,Products!$A$5:$A$204,0),"")))</f>
        <v/>
      </c>
      <c r="L812">
        <f>IF(A812="","",IF(K812="","⚠ not in Products",INDEX(Products!$A$5:$A$204,K812)))</f>
        <v/>
      </c>
      <c r="M812" s="11">
        <f>IF(A812="","",J812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812+IFERROR(INDEX(Settings!$D$5:$D$9,MATCH("Etsy",Settings!$A$5:$A$9,0)),0)*D812)</f>
        <v/>
      </c>
      <c r="N812" s="11">
        <f>IF(A812="","",IF(K812="",0,D812*INDEX(Products!$I$5:$I$204,K812)))</f>
        <v/>
      </c>
      <c r="O812" s="11">
        <f>IF(A812="","",IF(K812="",0,J812*INDEX(Products!$H$5:$H$204,K812)))</f>
        <v/>
      </c>
      <c r="P812" s="11">
        <f>IF(A812="","",J812-M812-N812-O812)</f>
        <v/>
      </c>
    </row>
    <row r="813">
      <c r="A813">
        <f>IFERROR(INDEX('Etsy Import'!$A:$CZ,813,Settings!$C$20)&amp;"","")</f>
        <v/>
      </c>
      <c r="B813">
        <f>IFERROR(INDEX('Etsy Import'!$A:$CZ,813,Settings!$C$21)&amp;"","")</f>
        <v/>
      </c>
      <c r="C813">
        <f>IFERROR(INDEX('Etsy Import'!$A:$CZ,813,Settings!$C$22)&amp;"","")</f>
        <v/>
      </c>
      <c r="D813">
        <f>IF(A813="","",IFERROR(VALUE(SUBSTITUTE(SUBSTITUTE(INDEX('Etsy Import'!$A:$CZ,813,Settings!$C$23)&amp;"","$",""),",","")),0))</f>
        <v/>
      </c>
      <c r="E813" s="11">
        <f>IF(A813="","",IFERROR(VALUE(SUBSTITUTE(SUBSTITUTE(INDEX('Etsy Import'!$A:$CZ,813,Settings!$C$24)&amp;"","$",""),",","")),0))</f>
        <v/>
      </c>
      <c r="F813" s="11">
        <f>IF(A813="","",D813*E813)</f>
        <v/>
      </c>
      <c r="G813">
        <f>IF(A813="","",IF(C813="",1,COUNTIF($C$2:$C$1501,C813)))</f>
        <v/>
      </c>
      <c r="H813" s="11">
        <f>IF(A813="","",IFERROR(VALUE(SUBSTITUTE(SUBSTITUTE(INDEX('Etsy Import'!$A:$CZ,813,Settings!$C$25)&amp;"","$",""),",","")),0)/IF(Settings!$B$27="Yes",G813,1))</f>
        <v/>
      </c>
      <c r="I813" s="11">
        <f>IF(A813="","",IFERROR(VALUE(SUBSTITUTE(SUBSTITUTE(INDEX('Etsy Import'!$A:$CZ,813,Settings!$C$26)&amp;"","$",""),",","")),0)/IF(Settings!$B$27="Yes",G813,1))</f>
        <v/>
      </c>
      <c r="J813" s="11">
        <f>IF(A813="","",F813+H813-I813)</f>
        <v/>
      </c>
      <c r="K813">
        <f>IF(A813="","",IFERROR(IF(B813="",NA(),MATCH(B813,Products!$B$5:$B$204,0)),IFERROR(MATCH(A813,Products!$A$5:$A$204,0),"")))</f>
        <v/>
      </c>
      <c r="L813">
        <f>IF(A813="","",IF(K813="","⚠ not in Products",INDEX(Products!$A$5:$A$204,K813)))</f>
        <v/>
      </c>
      <c r="M813" s="11">
        <f>IF(A813="","",J813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813+IFERROR(INDEX(Settings!$D$5:$D$9,MATCH("Etsy",Settings!$A$5:$A$9,0)),0)*D813)</f>
        <v/>
      </c>
      <c r="N813" s="11">
        <f>IF(A813="","",IF(K813="",0,D813*INDEX(Products!$I$5:$I$204,K813)))</f>
        <v/>
      </c>
      <c r="O813" s="11">
        <f>IF(A813="","",IF(K813="",0,J813*INDEX(Products!$H$5:$H$204,K813)))</f>
        <v/>
      </c>
      <c r="P813" s="11">
        <f>IF(A813="","",J813-M813-N813-O813)</f>
        <v/>
      </c>
    </row>
    <row r="814">
      <c r="A814">
        <f>IFERROR(INDEX('Etsy Import'!$A:$CZ,814,Settings!$C$20)&amp;"","")</f>
        <v/>
      </c>
      <c r="B814">
        <f>IFERROR(INDEX('Etsy Import'!$A:$CZ,814,Settings!$C$21)&amp;"","")</f>
        <v/>
      </c>
      <c r="C814">
        <f>IFERROR(INDEX('Etsy Import'!$A:$CZ,814,Settings!$C$22)&amp;"","")</f>
        <v/>
      </c>
      <c r="D814">
        <f>IF(A814="","",IFERROR(VALUE(SUBSTITUTE(SUBSTITUTE(INDEX('Etsy Import'!$A:$CZ,814,Settings!$C$23)&amp;"","$",""),",","")),0))</f>
        <v/>
      </c>
      <c r="E814" s="11">
        <f>IF(A814="","",IFERROR(VALUE(SUBSTITUTE(SUBSTITUTE(INDEX('Etsy Import'!$A:$CZ,814,Settings!$C$24)&amp;"","$",""),",","")),0))</f>
        <v/>
      </c>
      <c r="F814" s="11">
        <f>IF(A814="","",D814*E814)</f>
        <v/>
      </c>
      <c r="G814">
        <f>IF(A814="","",IF(C814="",1,COUNTIF($C$2:$C$1501,C814)))</f>
        <v/>
      </c>
      <c r="H814" s="11">
        <f>IF(A814="","",IFERROR(VALUE(SUBSTITUTE(SUBSTITUTE(INDEX('Etsy Import'!$A:$CZ,814,Settings!$C$25)&amp;"","$",""),",","")),0)/IF(Settings!$B$27="Yes",G814,1))</f>
        <v/>
      </c>
      <c r="I814" s="11">
        <f>IF(A814="","",IFERROR(VALUE(SUBSTITUTE(SUBSTITUTE(INDEX('Etsy Import'!$A:$CZ,814,Settings!$C$26)&amp;"","$",""),",","")),0)/IF(Settings!$B$27="Yes",G814,1))</f>
        <v/>
      </c>
      <c r="J814" s="11">
        <f>IF(A814="","",F814+H814-I814)</f>
        <v/>
      </c>
      <c r="K814">
        <f>IF(A814="","",IFERROR(IF(B814="",NA(),MATCH(B814,Products!$B$5:$B$204,0)),IFERROR(MATCH(A814,Products!$A$5:$A$204,0),"")))</f>
        <v/>
      </c>
      <c r="L814">
        <f>IF(A814="","",IF(K814="","⚠ not in Products",INDEX(Products!$A$5:$A$204,K814)))</f>
        <v/>
      </c>
      <c r="M814" s="11">
        <f>IF(A814="","",J814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814+IFERROR(INDEX(Settings!$D$5:$D$9,MATCH("Etsy",Settings!$A$5:$A$9,0)),0)*D814)</f>
        <v/>
      </c>
      <c r="N814" s="11">
        <f>IF(A814="","",IF(K814="",0,D814*INDEX(Products!$I$5:$I$204,K814)))</f>
        <v/>
      </c>
      <c r="O814" s="11">
        <f>IF(A814="","",IF(K814="",0,J814*INDEX(Products!$H$5:$H$204,K814)))</f>
        <v/>
      </c>
      <c r="P814" s="11">
        <f>IF(A814="","",J814-M814-N814-O814)</f>
        <v/>
      </c>
    </row>
    <row r="815">
      <c r="A815">
        <f>IFERROR(INDEX('Etsy Import'!$A:$CZ,815,Settings!$C$20)&amp;"","")</f>
        <v/>
      </c>
      <c r="B815">
        <f>IFERROR(INDEX('Etsy Import'!$A:$CZ,815,Settings!$C$21)&amp;"","")</f>
        <v/>
      </c>
      <c r="C815">
        <f>IFERROR(INDEX('Etsy Import'!$A:$CZ,815,Settings!$C$22)&amp;"","")</f>
        <v/>
      </c>
      <c r="D815">
        <f>IF(A815="","",IFERROR(VALUE(SUBSTITUTE(SUBSTITUTE(INDEX('Etsy Import'!$A:$CZ,815,Settings!$C$23)&amp;"","$",""),",","")),0))</f>
        <v/>
      </c>
      <c r="E815" s="11">
        <f>IF(A815="","",IFERROR(VALUE(SUBSTITUTE(SUBSTITUTE(INDEX('Etsy Import'!$A:$CZ,815,Settings!$C$24)&amp;"","$",""),",","")),0))</f>
        <v/>
      </c>
      <c r="F815" s="11">
        <f>IF(A815="","",D815*E815)</f>
        <v/>
      </c>
      <c r="G815">
        <f>IF(A815="","",IF(C815="",1,COUNTIF($C$2:$C$1501,C815)))</f>
        <v/>
      </c>
      <c r="H815" s="11">
        <f>IF(A815="","",IFERROR(VALUE(SUBSTITUTE(SUBSTITUTE(INDEX('Etsy Import'!$A:$CZ,815,Settings!$C$25)&amp;"","$",""),",","")),0)/IF(Settings!$B$27="Yes",G815,1))</f>
        <v/>
      </c>
      <c r="I815" s="11">
        <f>IF(A815="","",IFERROR(VALUE(SUBSTITUTE(SUBSTITUTE(INDEX('Etsy Import'!$A:$CZ,815,Settings!$C$26)&amp;"","$",""),",","")),0)/IF(Settings!$B$27="Yes",G815,1))</f>
        <v/>
      </c>
      <c r="J815" s="11">
        <f>IF(A815="","",F815+H815-I815)</f>
        <v/>
      </c>
      <c r="K815">
        <f>IF(A815="","",IFERROR(IF(B815="",NA(),MATCH(B815,Products!$B$5:$B$204,0)),IFERROR(MATCH(A815,Products!$A$5:$A$204,0),"")))</f>
        <v/>
      </c>
      <c r="L815">
        <f>IF(A815="","",IF(K815="","⚠ not in Products",INDEX(Products!$A$5:$A$204,K815)))</f>
        <v/>
      </c>
      <c r="M815" s="11">
        <f>IF(A815="","",J815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815+IFERROR(INDEX(Settings!$D$5:$D$9,MATCH("Etsy",Settings!$A$5:$A$9,0)),0)*D815)</f>
        <v/>
      </c>
      <c r="N815" s="11">
        <f>IF(A815="","",IF(K815="",0,D815*INDEX(Products!$I$5:$I$204,K815)))</f>
        <v/>
      </c>
      <c r="O815" s="11">
        <f>IF(A815="","",IF(K815="",0,J815*INDEX(Products!$H$5:$H$204,K815)))</f>
        <v/>
      </c>
      <c r="P815" s="11">
        <f>IF(A815="","",J815-M815-N815-O815)</f>
        <v/>
      </c>
    </row>
    <row r="816">
      <c r="A816">
        <f>IFERROR(INDEX('Etsy Import'!$A:$CZ,816,Settings!$C$20)&amp;"","")</f>
        <v/>
      </c>
      <c r="B816">
        <f>IFERROR(INDEX('Etsy Import'!$A:$CZ,816,Settings!$C$21)&amp;"","")</f>
        <v/>
      </c>
      <c r="C816">
        <f>IFERROR(INDEX('Etsy Import'!$A:$CZ,816,Settings!$C$22)&amp;"","")</f>
        <v/>
      </c>
      <c r="D816">
        <f>IF(A816="","",IFERROR(VALUE(SUBSTITUTE(SUBSTITUTE(INDEX('Etsy Import'!$A:$CZ,816,Settings!$C$23)&amp;"","$",""),",","")),0))</f>
        <v/>
      </c>
      <c r="E816" s="11">
        <f>IF(A816="","",IFERROR(VALUE(SUBSTITUTE(SUBSTITUTE(INDEX('Etsy Import'!$A:$CZ,816,Settings!$C$24)&amp;"","$",""),",","")),0))</f>
        <v/>
      </c>
      <c r="F816" s="11">
        <f>IF(A816="","",D816*E816)</f>
        <v/>
      </c>
      <c r="G816">
        <f>IF(A816="","",IF(C816="",1,COUNTIF($C$2:$C$1501,C816)))</f>
        <v/>
      </c>
      <c r="H816" s="11">
        <f>IF(A816="","",IFERROR(VALUE(SUBSTITUTE(SUBSTITUTE(INDEX('Etsy Import'!$A:$CZ,816,Settings!$C$25)&amp;"","$",""),",","")),0)/IF(Settings!$B$27="Yes",G816,1))</f>
        <v/>
      </c>
      <c r="I816" s="11">
        <f>IF(A816="","",IFERROR(VALUE(SUBSTITUTE(SUBSTITUTE(INDEX('Etsy Import'!$A:$CZ,816,Settings!$C$26)&amp;"","$",""),",","")),0)/IF(Settings!$B$27="Yes",G816,1))</f>
        <v/>
      </c>
      <c r="J816" s="11">
        <f>IF(A816="","",F816+H816-I816)</f>
        <v/>
      </c>
      <c r="K816">
        <f>IF(A816="","",IFERROR(IF(B816="",NA(),MATCH(B816,Products!$B$5:$B$204,0)),IFERROR(MATCH(A816,Products!$A$5:$A$204,0),"")))</f>
        <v/>
      </c>
      <c r="L816">
        <f>IF(A816="","",IF(K816="","⚠ not in Products",INDEX(Products!$A$5:$A$204,K816)))</f>
        <v/>
      </c>
      <c r="M816" s="11">
        <f>IF(A816="","",J816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816+IFERROR(INDEX(Settings!$D$5:$D$9,MATCH("Etsy",Settings!$A$5:$A$9,0)),0)*D816)</f>
        <v/>
      </c>
      <c r="N816" s="11">
        <f>IF(A816="","",IF(K816="",0,D816*INDEX(Products!$I$5:$I$204,K816)))</f>
        <v/>
      </c>
      <c r="O816" s="11">
        <f>IF(A816="","",IF(K816="",0,J816*INDEX(Products!$H$5:$H$204,K816)))</f>
        <v/>
      </c>
      <c r="P816" s="11">
        <f>IF(A816="","",J816-M816-N816-O816)</f>
        <v/>
      </c>
    </row>
    <row r="817">
      <c r="A817">
        <f>IFERROR(INDEX('Etsy Import'!$A:$CZ,817,Settings!$C$20)&amp;"","")</f>
        <v/>
      </c>
      <c r="B817">
        <f>IFERROR(INDEX('Etsy Import'!$A:$CZ,817,Settings!$C$21)&amp;"","")</f>
        <v/>
      </c>
      <c r="C817">
        <f>IFERROR(INDEX('Etsy Import'!$A:$CZ,817,Settings!$C$22)&amp;"","")</f>
        <v/>
      </c>
      <c r="D817">
        <f>IF(A817="","",IFERROR(VALUE(SUBSTITUTE(SUBSTITUTE(INDEX('Etsy Import'!$A:$CZ,817,Settings!$C$23)&amp;"","$",""),",","")),0))</f>
        <v/>
      </c>
      <c r="E817" s="11">
        <f>IF(A817="","",IFERROR(VALUE(SUBSTITUTE(SUBSTITUTE(INDEX('Etsy Import'!$A:$CZ,817,Settings!$C$24)&amp;"","$",""),",","")),0))</f>
        <v/>
      </c>
      <c r="F817" s="11">
        <f>IF(A817="","",D817*E817)</f>
        <v/>
      </c>
      <c r="G817">
        <f>IF(A817="","",IF(C817="",1,COUNTIF($C$2:$C$1501,C817)))</f>
        <v/>
      </c>
      <c r="H817" s="11">
        <f>IF(A817="","",IFERROR(VALUE(SUBSTITUTE(SUBSTITUTE(INDEX('Etsy Import'!$A:$CZ,817,Settings!$C$25)&amp;"","$",""),",","")),0)/IF(Settings!$B$27="Yes",G817,1))</f>
        <v/>
      </c>
      <c r="I817" s="11">
        <f>IF(A817="","",IFERROR(VALUE(SUBSTITUTE(SUBSTITUTE(INDEX('Etsy Import'!$A:$CZ,817,Settings!$C$26)&amp;"","$",""),",","")),0)/IF(Settings!$B$27="Yes",G817,1))</f>
        <v/>
      </c>
      <c r="J817" s="11">
        <f>IF(A817="","",F817+H817-I817)</f>
        <v/>
      </c>
      <c r="K817">
        <f>IF(A817="","",IFERROR(IF(B817="",NA(),MATCH(B817,Products!$B$5:$B$204,0)),IFERROR(MATCH(A817,Products!$A$5:$A$204,0),"")))</f>
        <v/>
      </c>
      <c r="L817">
        <f>IF(A817="","",IF(K817="","⚠ not in Products",INDEX(Products!$A$5:$A$204,K817)))</f>
        <v/>
      </c>
      <c r="M817" s="11">
        <f>IF(A817="","",J817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817+IFERROR(INDEX(Settings!$D$5:$D$9,MATCH("Etsy",Settings!$A$5:$A$9,0)),0)*D817)</f>
        <v/>
      </c>
      <c r="N817" s="11">
        <f>IF(A817="","",IF(K817="",0,D817*INDEX(Products!$I$5:$I$204,K817)))</f>
        <v/>
      </c>
      <c r="O817" s="11">
        <f>IF(A817="","",IF(K817="",0,J817*INDEX(Products!$H$5:$H$204,K817)))</f>
        <v/>
      </c>
      <c r="P817" s="11">
        <f>IF(A817="","",J817-M817-N817-O817)</f>
        <v/>
      </c>
    </row>
    <row r="818">
      <c r="A818">
        <f>IFERROR(INDEX('Etsy Import'!$A:$CZ,818,Settings!$C$20)&amp;"","")</f>
        <v/>
      </c>
      <c r="B818">
        <f>IFERROR(INDEX('Etsy Import'!$A:$CZ,818,Settings!$C$21)&amp;"","")</f>
        <v/>
      </c>
      <c r="C818">
        <f>IFERROR(INDEX('Etsy Import'!$A:$CZ,818,Settings!$C$22)&amp;"","")</f>
        <v/>
      </c>
      <c r="D818">
        <f>IF(A818="","",IFERROR(VALUE(SUBSTITUTE(SUBSTITUTE(INDEX('Etsy Import'!$A:$CZ,818,Settings!$C$23)&amp;"","$",""),",","")),0))</f>
        <v/>
      </c>
      <c r="E818" s="11">
        <f>IF(A818="","",IFERROR(VALUE(SUBSTITUTE(SUBSTITUTE(INDEX('Etsy Import'!$A:$CZ,818,Settings!$C$24)&amp;"","$",""),",","")),0))</f>
        <v/>
      </c>
      <c r="F818" s="11">
        <f>IF(A818="","",D818*E818)</f>
        <v/>
      </c>
      <c r="G818">
        <f>IF(A818="","",IF(C818="",1,COUNTIF($C$2:$C$1501,C818)))</f>
        <v/>
      </c>
      <c r="H818" s="11">
        <f>IF(A818="","",IFERROR(VALUE(SUBSTITUTE(SUBSTITUTE(INDEX('Etsy Import'!$A:$CZ,818,Settings!$C$25)&amp;"","$",""),",","")),0)/IF(Settings!$B$27="Yes",G818,1))</f>
        <v/>
      </c>
      <c r="I818" s="11">
        <f>IF(A818="","",IFERROR(VALUE(SUBSTITUTE(SUBSTITUTE(INDEX('Etsy Import'!$A:$CZ,818,Settings!$C$26)&amp;"","$",""),",","")),0)/IF(Settings!$B$27="Yes",G818,1))</f>
        <v/>
      </c>
      <c r="J818" s="11">
        <f>IF(A818="","",F818+H818-I818)</f>
        <v/>
      </c>
      <c r="K818">
        <f>IF(A818="","",IFERROR(IF(B818="",NA(),MATCH(B818,Products!$B$5:$B$204,0)),IFERROR(MATCH(A818,Products!$A$5:$A$204,0),"")))</f>
        <v/>
      </c>
      <c r="L818">
        <f>IF(A818="","",IF(K818="","⚠ not in Products",INDEX(Products!$A$5:$A$204,K818)))</f>
        <v/>
      </c>
      <c r="M818" s="11">
        <f>IF(A818="","",J818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818+IFERROR(INDEX(Settings!$D$5:$D$9,MATCH("Etsy",Settings!$A$5:$A$9,0)),0)*D818)</f>
        <v/>
      </c>
      <c r="N818" s="11">
        <f>IF(A818="","",IF(K818="",0,D818*INDEX(Products!$I$5:$I$204,K818)))</f>
        <v/>
      </c>
      <c r="O818" s="11">
        <f>IF(A818="","",IF(K818="",0,J818*INDEX(Products!$H$5:$H$204,K818)))</f>
        <v/>
      </c>
      <c r="P818" s="11">
        <f>IF(A818="","",J818-M818-N818-O818)</f>
        <v/>
      </c>
    </row>
    <row r="819">
      <c r="A819">
        <f>IFERROR(INDEX('Etsy Import'!$A:$CZ,819,Settings!$C$20)&amp;"","")</f>
        <v/>
      </c>
      <c r="B819">
        <f>IFERROR(INDEX('Etsy Import'!$A:$CZ,819,Settings!$C$21)&amp;"","")</f>
        <v/>
      </c>
      <c r="C819">
        <f>IFERROR(INDEX('Etsy Import'!$A:$CZ,819,Settings!$C$22)&amp;"","")</f>
        <v/>
      </c>
      <c r="D819">
        <f>IF(A819="","",IFERROR(VALUE(SUBSTITUTE(SUBSTITUTE(INDEX('Etsy Import'!$A:$CZ,819,Settings!$C$23)&amp;"","$",""),",","")),0))</f>
        <v/>
      </c>
      <c r="E819" s="11">
        <f>IF(A819="","",IFERROR(VALUE(SUBSTITUTE(SUBSTITUTE(INDEX('Etsy Import'!$A:$CZ,819,Settings!$C$24)&amp;"","$",""),",","")),0))</f>
        <v/>
      </c>
      <c r="F819" s="11">
        <f>IF(A819="","",D819*E819)</f>
        <v/>
      </c>
      <c r="G819">
        <f>IF(A819="","",IF(C819="",1,COUNTIF($C$2:$C$1501,C819)))</f>
        <v/>
      </c>
      <c r="H819" s="11">
        <f>IF(A819="","",IFERROR(VALUE(SUBSTITUTE(SUBSTITUTE(INDEX('Etsy Import'!$A:$CZ,819,Settings!$C$25)&amp;"","$",""),",","")),0)/IF(Settings!$B$27="Yes",G819,1))</f>
        <v/>
      </c>
      <c r="I819" s="11">
        <f>IF(A819="","",IFERROR(VALUE(SUBSTITUTE(SUBSTITUTE(INDEX('Etsy Import'!$A:$CZ,819,Settings!$C$26)&amp;"","$",""),",","")),0)/IF(Settings!$B$27="Yes",G819,1))</f>
        <v/>
      </c>
      <c r="J819" s="11">
        <f>IF(A819="","",F819+H819-I819)</f>
        <v/>
      </c>
      <c r="K819">
        <f>IF(A819="","",IFERROR(IF(B819="",NA(),MATCH(B819,Products!$B$5:$B$204,0)),IFERROR(MATCH(A819,Products!$A$5:$A$204,0),"")))</f>
        <v/>
      </c>
      <c r="L819">
        <f>IF(A819="","",IF(K819="","⚠ not in Products",INDEX(Products!$A$5:$A$204,K819)))</f>
        <v/>
      </c>
      <c r="M819" s="11">
        <f>IF(A819="","",J819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819+IFERROR(INDEX(Settings!$D$5:$D$9,MATCH("Etsy",Settings!$A$5:$A$9,0)),0)*D819)</f>
        <v/>
      </c>
      <c r="N819" s="11">
        <f>IF(A819="","",IF(K819="",0,D819*INDEX(Products!$I$5:$I$204,K819)))</f>
        <v/>
      </c>
      <c r="O819" s="11">
        <f>IF(A819="","",IF(K819="",0,J819*INDEX(Products!$H$5:$H$204,K819)))</f>
        <v/>
      </c>
      <c r="P819" s="11">
        <f>IF(A819="","",J819-M819-N819-O819)</f>
        <v/>
      </c>
    </row>
    <row r="820">
      <c r="A820">
        <f>IFERROR(INDEX('Etsy Import'!$A:$CZ,820,Settings!$C$20)&amp;"","")</f>
        <v/>
      </c>
      <c r="B820">
        <f>IFERROR(INDEX('Etsy Import'!$A:$CZ,820,Settings!$C$21)&amp;"","")</f>
        <v/>
      </c>
      <c r="C820">
        <f>IFERROR(INDEX('Etsy Import'!$A:$CZ,820,Settings!$C$22)&amp;"","")</f>
        <v/>
      </c>
      <c r="D820">
        <f>IF(A820="","",IFERROR(VALUE(SUBSTITUTE(SUBSTITUTE(INDEX('Etsy Import'!$A:$CZ,820,Settings!$C$23)&amp;"","$",""),",","")),0))</f>
        <v/>
      </c>
      <c r="E820" s="11">
        <f>IF(A820="","",IFERROR(VALUE(SUBSTITUTE(SUBSTITUTE(INDEX('Etsy Import'!$A:$CZ,820,Settings!$C$24)&amp;"","$",""),",","")),0))</f>
        <v/>
      </c>
      <c r="F820" s="11">
        <f>IF(A820="","",D820*E820)</f>
        <v/>
      </c>
      <c r="G820">
        <f>IF(A820="","",IF(C820="",1,COUNTIF($C$2:$C$1501,C820)))</f>
        <v/>
      </c>
      <c r="H820" s="11">
        <f>IF(A820="","",IFERROR(VALUE(SUBSTITUTE(SUBSTITUTE(INDEX('Etsy Import'!$A:$CZ,820,Settings!$C$25)&amp;"","$",""),",","")),0)/IF(Settings!$B$27="Yes",G820,1))</f>
        <v/>
      </c>
      <c r="I820" s="11">
        <f>IF(A820="","",IFERROR(VALUE(SUBSTITUTE(SUBSTITUTE(INDEX('Etsy Import'!$A:$CZ,820,Settings!$C$26)&amp;"","$",""),",","")),0)/IF(Settings!$B$27="Yes",G820,1))</f>
        <v/>
      </c>
      <c r="J820" s="11">
        <f>IF(A820="","",F820+H820-I820)</f>
        <v/>
      </c>
      <c r="K820">
        <f>IF(A820="","",IFERROR(IF(B820="",NA(),MATCH(B820,Products!$B$5:$B$204,0)),IFERROR(MATCH(A820,Products!$A$5:$A$204,0),"")))</f>
        <v/>
      </c>
      <c r="L820">
        <f>IF(A820="","",IF(K820="","⚠ not in Products",INDEX(Products!$A$5:$A$204,K820)))</f>
        <v/>
      </c>
      <c r="M820" s="11">
        <f>IF(A820="","",J820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820+IFERROR(INDEX(Settings!$D$5:$D$9,MATCH("Etsy",Settings!$A$5:$A$9,0)),0)*D820)</f>
        <v/>
      </c>
      <c r="N820" s="11">
        <f>IF(A820="","",IF(K820="",0,D820*INDEX(Products!$I$5:$I$204,K820)))</f>
        <v/>
      </c>
      <c r="O820" s="11">
        <f>IF(A820="","",IF(K820="",0,J820*INDEX(Products!$H$5:$H$204,K820)))</f>
        <v/>
      </c>
      <c r="P820" s="11">
        <f>IF(A820="","",J820-M820-N820-O820)</f>
        <v/>
      </c>
    </row>
    <row r="821">
      <c r="A821">
        <f>IFERROR(INDEX('Etsy Import'!$A:$CZ,821,Settings!$C$20)&amp;"","")</f>
        <v/>
      </c>
      <c r="B821">
        <f>IFERROR(INDEX('Etsy Import'!$A:$CZ,821,Settings!$C$21)&amp;"","")</f>
        <v/>
      </c>
      <c r="C821">
        <f>IFERROR(INDEX('Etsy Import'!$A:$CZ,821,Settings!$C$22)&amp;"","")</f>
        <v/>
      </c>
      <c r="D821">
        <f>IF(A821="","",IFERROR(VALUE(SUBSTITUTE(SUBSTITUTE(INDEX('Etsy Import'!$A:$CZ,821,Settings!$C$23)&amp;"","$",""),",","")),0))</f>
        <v/>
      </c>
      <c r="E821" s="11">
        <f>IF(A821="","",IFERROR(VALUE(SUBSTITUTE(SUBSTITUTE(INDEX('Etsy Import'!$A:$CZ,821,Settings!$C$24)&amp;"","$",""),",","")),0))</f>
        <v/>
      </c>
      <c r="F821" s="11">
        <f>IF(A821="","",D821*E821)</f>
        <v/>
      </c>
      <c r="G821">
        <f>IF(A821="","",IF(C821="",1,COUNTIF($C$2:$C$1501,C821)))</f>
        <v/>
      </c>
      <c r="H821" s="11">
        <f>IF(A821="","",IFERROR(VALUE(SUBSTITUTE(SUBSTITUTE(INDEX('Etsy Import'!$A:$CZ,821,Settings!$C$25)&amp;"","$",""),",","")),0)/IF(Settings!$B$27="Yes",G821,1))</f>
        <v/>
      </c>
      <c r="I821" s="11">
        <f>IF(A821="","",IFERROR(VALUE(SUBSTITUTE(SUBSTITUTE(INDEX('Etsy Import'!$A:$CZ,821,Settings!$C$26)&amp;"","$",""),",","")),0)/IF(Settings!$B$27="Yes",G821,1))</f>
        <v/>
      </c>
      <c r="J821" s="11">
        <f>IF(A821="","",F821+H821-I821)</f>
        <v/>
      </c>
      <c r="K821">
        <f>IF(A821="","",IFERROR(IF(B821="",NA(),MATCH(B821,Products!$B$5:$B$204,0)),IFERROR(MATCH(A821,Products!$A$5:$A$204,0),"")))</f>
        <v/>
      </c>
      <c r="L821">
        <f>IF(A821="","",IF(K821="","⚠ not in Products",INDEX(Products!$A$5:$A$204,K821)))</f>
        <v/>
      </c>
      <c r="M821" s="11">
        <f>IF(A821="","",J821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821+IFERROR(INDEX(Settings!$D$5:$D$9,MATCH("Etsy",Settings!$A$5:$A$9,0)),0)*D821)</f>
        <v/>
      </c>
      <c r="N821" s="11">
        <f>IF(A821="","",IF(K821="",0,D821*INDEX(Products!$I$5:$I$204,K821)))</f>
        <v/>
      </c>
      <c r="O821" s="11">
        <f>IF(A821="","",IF(K821="",0,J821*INDEX(Products!$H$5:$H$204,K821)))</f>
        <v/>
      </c>
      <c r="P821" s="11">
        <f>IF(A821="","",J821-M821-N821-O821)</f>
        <v/>
      </c>
    </row>
    <row r="822">
      <c r="A822">
        <f>IFERROR(INDEX('Etsy Import'!$A:$CZ,822,Settings!$C$20)&amp;"","")</f>
        <v/>
      </c>
      <c r="B822">
        <f>IFERROR(INDEX('Etsy Import'!$A:$CZ,822,Settings!$C$21)&amp;"","")</f>
        <v/>
      </c>
      <c r="C822">
        <f>IFERROR(INDEX('Etsy Import'!$A:$CZ,822,Settings!$C$22)&amp;"","")</f>
        <v/>
      </c>
      <c r="D822">
        <f>IF(A822="","",IFERROR(VALUE(SUBSTITUTE(SUBSTITUTE(INDEX('Etsy Import'!$A:$CZ,822,Settings!$C$23)&amp;"","$",""),",","")),0))</f>
        <v/>
      </c>
      <c r="E822" s="11">
        <f>IF(A822="","",IFERROR(VALUE(SUBSTITUTE(SUBSTITUTE(INDEX('Etsy Import'!$A:$CZ,822,Settings!$C$24)&amp;"","$",""),",","")),0))</f>
        <v/>
      </c>
      <c r="F822" s="11">
        <f>IF(A822="","",D822*E822)</f>
        <v/>
      </c>
      <c r="G822">
        <f>IF(A822="","",IF(C822="",1,COUNTIF($C$2:$C$1501,C822)))</f>
        <v/>
      </c>
      <c r="H822" s="11">
        <f>IF(A822="","",IFERROR(VALUE(SUBSTITUTE(SUBSTITUTE(INDEX('Etsy Import'!$A:$CZ,822,Settings!$C$25)&amp;"","$",""),",","")),0)/IF(Settings!$B$27="Yes",G822,1))</f>
        <v/>
      </c>
      <c r="I822" s="11">
        <f>IF(A822="","",IFERROR(VALUE(SUBSTITUTE(SUBSTITUTE(INDEX('Etsy Import'!$A:$CZ,822,Settings!$C$26)&amp;"","$",""),",","")),0)/IF(Settings!$B$27="Yes",G822,1))</f>
        <v/>
      </c>
      <c r="J822" s="11">
        <f>IF(A822="","",F822+H822-I822)</f>
        <v/>
      </c>
      <c r="K822">
        <f>IF(A822="","",IFERROR(IF(B822="",NA(),MATCH(B822,Products!$B$5:$B$204,0)),IFERROR(MATCH(A822,Products!$A$5:$A$204,0),"")))</f>
        <v/>
      </c>
      <c r="L822">
        <f>IF(A822="","",IF(K822="","⚠ not in Products",INDEX(Products!$A$5:$A$204,K822)))</f>
        <v/>
      </c>
      <c r="M822" s="11">
        <f>IF(A822="","",J822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822+IFERROR(INDEX(Settings!$D$5:$D$9,MATCH("Etsy",Settings!$A$5:$A$9,0)),0)*D822)</f>
        <v/>
      </c>
      <c r="N822" s="11">
        <f>IF(A822="","",IF(K822="",0,D822*INDEX(Products!$I$5:$I$204,K822)))</f>
        <v/>
      </c>
      <c r="O822" s="11">
        <f>IF(A822="","",IF(K822="",0,J822*INDEX(Products!$H$5:$H$204,K822)))</f>
        <v/>
      </c>
      <c r="P822" s="11">
        <f>IF(A822="","",J822-M822-N822-O822)</f>
        <v/>
      </c>
    </row>
    <row r="823">
      <c r="A823">
        <f>IFERROR(INDEX('Etsy Import'!$A:$CZ,823,Settings!$C$20)&amp;"","")</f>
        <v/>
      </c>
      <c r="B823">
        <f>IFERROR(INDEX('Etsy Import'!$A:$CZ,823,Settings!$C$21)&amp;"","")</f>
        <v/>
      </c>
      <c r="C823">
        <f>IFERROR(INDEX('Etsy Import'!$A:$CZ,823,Settings!$C$22)&amp;"","")</f>
        <v/>
      </c>
      <c r="D823">
        <f>IF(A823="","",IFERROR(VALUE(SUBSTITUTE(SUBSTITUTE(INDEX('Etsy Import'!$A:$CZ,823,Settings!$C$23)&amp;"","$",""),",","")),0))</f>
        <v/>
      </c>
      <c r="E823" s="11">
        <f>IF(A823="","",IFERROR(VALUE(SUBSTITUTE(SUBSTITUTE(INDEX('Etsy Import'!$A:$CZ,823,Settings!$C$24)&amp;"","$",""),",","")),0))</f>
        <v/>
      </c>
      <c r="F823" s="11">
        <f>IF(A823="","",D823*E823)</f>
        <v/>
      </c>
      <c r="G823">
        <f>IF(A823="","",IF(C823="",1,COUNTIF($C$2:$C$1501,C823)))</f>
        <v/>
      </c>
      <c r="H823" s="11">
        <f>IF(A823="","",IFERROR(VALUE(SUBSTITUTE(SUBSTITUTE(INDEX('Etsy Import'!$A:$CZ,823,Settings!$C$25)&amp;"","$",""),",","")),0)/IF(Settings!$B$27="Yes",G823,1))</f>
        <v/>
      </c>
      <c r="I823" s="11">
        <f>IF(A823="","",IFERROR(VALUE(SUBSTITUTE(SUBSTITUTE(INDEX('Etsy Import'!$A:$CZ,823,Settings!$C$26)&amp;"","$",""),",","")),0)/IF(Settings!$B$27="Yes",G823,1))</f>
        <v/>
      </c>
      <c r="J823" s="11">
        <f>IF(A823="","",F823+H823-I823)</f>
        <v/>
      </c>
      <c r="K823">
        <f>IF(A823="","",IFERROR(IF(B823="",NA(),MATCH(B823,Products!$B$5:$B$204,0)),IFERROR(MATCH(A823,Products!$A$5:$A$204,0),"")))</f>
        <v/>
      </c>
      <c r="L823">
        <f>IF(A823="","",IF(K823="","⚠ not in Products",INDEX(Products!$A$5:$A$204,K823)))</f>
        <v/>
      </c>
      <c r="M823" s="11">
        <f>IF(A823="","",J823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823+IFERROR(INDEX(Settings!$D$5:$D$9,MATCH("Etsy",Settings!$A$5:$A$9,0)),0)*D823)</f>
        <v/>
      </c>
      <c r="N823" s="11">
        <f>IF(A823="","",IF(K823="",0,D823*INDEX(Products!$I$5:$I$204,K823)))</f>
        <v/>
      </c>
      <c r="O823" s="11">
        <f>IF(A823="","",IF(K823="",0,J823*INDEX(Products!$H$5:$H$204,K823)))</f>
        <v/>
      </c>
      <c r="P823" s="11">
        <f>IF(A823="","",J823-M823-N823-O823)</f>
        <v/>
      </c>
    </row>
    <row r="824">
      <c r="A824">
        <f>IFERROR(INDEX('Etsy Import'!$A:$CZ,824,Settings!$C$20)&amp;"","")</f>
        <v/>
      </c>
      <c r="B824">
        <f>IFERROR(INDEX('Etsy Import'!$A:$CZ,824,Settings!$C$21)&amp;"","")</f>
        <v/>
      </c>
      <c r="C824">
        <f>IFERROR(INDEX('Etsy Import'!$A:$CZ,824,Settings!$C$22)&amp;"","")</f>
        <v/>
      </c>
      <c r="D824">
        <f>IF(A824="","",IFERROR(VALUE(SUBSTITUTE(SUBSTITUTE(INDEX('Etsy Import'!$A:$CZ,824,Settings!$C$23)&amp;"","$",""),",","")),0))</f>
        <v/>
      </c>
      <c r="E824" s="11">
        <f>IF(A824="","",IFERROR(VALUE(SUBSTITUTE(SUBSTITUTE(INDEX('Etsy Import'!$A:$CZ,824,Settings!$C$24)&amp;"","$",""),",","")),0))</f>
        <v/>
      </c>
      <c r="F824" s="11">
        <f>IF(A824="","",D824*E824)</f>
        <v/>
      </c>
      <c r="G824">
        <f>IF(A824="","",IF(C824="",1,COUNTIF($C$2:$C$1501,C824)))</f>
        <v/>
      </c>
      <c r="H824" s="11">
        <f>IF(A824="","",IFERROR(VALUE(SUBSTITUTE(SUBSTITUTE(INDEX('Etsy Import'!$A:$CZ,824,Settings!$C$25)&amp;"","$",""),",","")),0)/IF(Settings!$B$27="Yes",G824,1))</f>
        <v/>
      </c>
      <c r="I824" s="11">
        <f>IF(A824="","",IFERROR(VALUE(SUBSTITUTE(SUBSTITUTE(INDEX('Etsy Import'!$A:$CZ,824,Settings!$C$26)&amp;"","$",""),",","")),0)/IF(Settings!$B$27="Yes",G824,1))</f>
        <v/>
      </c>
      <c r="J824" s="11">
        <f>IF(A824="","",F824+H824-I824)</f>
        <v/>
      </c>
      <c r="K824">
        <f>IF(A824="","",IFERROR(IF(B824="",NA(),MATCH(B824,Products!$B$5:$B$204,0)),IFERROR(MATCH(A824,Products!$A$5:$A$204,0),"")))</f>
        <v/>
      </c>
      <c r="L824">
        <f>IF(A824="","",IF(K824="","⚠ not in Products",INDEX(Products!$A$5:$A$204,K824)))</f>
        <v/>
      </c>
      <c r="M824" s="11">
        <f>IF(A824="","",J824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824+IFERROR(INDEX(Settings!$D$5:$D$9,MATCH("Etsy",Settings!$A$5:$A$9,0)),0)*D824)</f>
        <v/>
      </c>
      <c r="N824" s="11">
        <f>IF(A824="","",IF(K824="",0,D824*INDEX(Products!$I$5:$I$204,K824)))</f>
        <v/>
      </c>
      <c r="O824" s="11">
        <f>IF(A824="","",IF(K824="",0,J824*INDEX(Products!$H$5:$H$204,K824)))</f>
        <v/>
      </c>
      <c r="P824" s="11">
        <f>IF(A824="","",J824-M824-N824-O824)</f>
        <v/>
      </c>
    </row>
    <row r="825">
      <c r="A825">
        <f>IFERROR(INDEX('Etsy Import'!$A:$CZ,825,Settings!$C$20)&amp;"","")</f>
        <v/>
      </c>
      <c r="B825">
        <f>IFERROR(INDEX('Etsy Import'!$A:$CZ,825,Settings!$C$21)&amp;"","")</f>
        <v/>
      </c>
      <c r="C825">
        <f>IFERROR(INDEX('Etsy Import'!$A:$CZ,825,Settings!$C$22)&amp;"","")</f>
        <v/>
      </c>
      <c r="D825">
        <f>IF(A825="","",IFERROR(VALUE(SUBSTITUTE(SUBSTITUTE(INDEX('Etsy Import'!$A:$CZ,825,Settings!$C$23)&amp;"","$",""),",","")),0))</f>
        <v/>
      </c>
      <c r="E825" s="11">
        <f>IF(A825="","",IFERROR(VALUE(SUBSTITUTE(SUBSTITUTE(INDEX('Etsy Import'!$A:$CZ,825,Settings!$C$24)&amp;"","$",""),",","")),0))</f>
        <v/>
      </c>
      <c r="F825" s="11">
        <f>IF(A825="","",D825*E825)</f>
        <v/>
      </c>
      <c r="G825">
        <f>IF(A825="","",IF(C825="",1,COUNTIF($C$2:$C$1501,C825)))</f>
        <v/>
      </c>
      <c r="H825" s="11">
        <f>IF(A825="","",IFERROR(VALUE(SUBSTITUTE(SUBSTITUTE(INDEX('Etsy Import'!$A:$CZ,825,Settings!$C$25)&amp;"","$",""),",","")),0)/IF(Settings!$B$27="Yes",G825,1))</f>
        <v/>
      </c>
      <c r="I825" s="11">
        <f>IF(A825="","",IFERROR(VALUE(SUBSTITUTE(SUBSTITUTE(INDEX('Etsy Import'!$A:$CZ,825,Settings!$C$26)&amp;"","$",""),",","")),0)/IF(Settings!$B$27="Yes",G825,1))</f>
        <v/>
      </c>
      <c r="J825" s="11">
        <f>IF(A825="","",F825+H825-I825)</f>
        <v/>
      </c>
      <c r="K825">
        <f>IF(A825="","",IFERROR(IF(B825="",NA(),MATCH(B825,Products!$B$5:$B$204,0)),IFERROR(MATCH(A825,Products!$A$5:$A$204,0),"")))</f>
        <v/>
      </c>
      <c r="L825">
        <f>IF(A825="","",IF(K825="","⚠ not in Products",INDEX(Products!$A$5:$A$204,K825)))</f>
        <v/>
      </c>
      <c r="M825" s="11">
        <f>IF(A825="","",J825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825+IFERROR(INDEX(Settings!$D$5:$D$9,MATCH("Etsy",Settings!$A$5:$A$9,0)),0)*D825)</f>
        <v/>
      </c>
      <c r="N825" s="11">
        <f>IF(A825="","",IF(K825="",0,D825*INDEX(Products!$I$5:$I$204,K825)))</f>
        <v/>
      </c>
      <c r="O825" s="11">
        <f>IF(A825="","",IF(K825="",0,J825*INDEX(Products!$H$5:$H$204,K825)))</f>
        <v/>
      </c>
      <c r="P825" s="11">
        <f>IF(A825="","",J825-M825-N825-O825)</f>
        <v/>
      </c>
    </row>
    <row r="826">
      <c r="A826">
        <f>IFERROR(INDEX('Etsy Import'!$A:$CZ,826,Settings!$C$20)&amp;"","")</f>
        <v/>
      </c>
      <c r="B826">
        <f>IFERROR(INDEX('Etsy Import'!$A:$CZ,826,Settings!$C$21)&amp;"","")</f>
        <v/>
      </c>
      <c r="C826">
        <f>IFERROR(INDEX('Etsy Import'!$A:$CZ,826,Settings!$C$22)&amp;"","")</f>
        <v/>
      </c>
      <c r="D826">
        <f>IF(A826="","",IFERROR(VALUE(SUBSTITUTE(SUBSTITUTE(INDEX('Etsy Import'!$A:$CZ,826,Settings!$C$23)&amp;"","$",""),",","")),0))</f>
        <v/>
      </c>
      <c r="E826" s="11">
        <f>IF(A826="","",IFERROR(VALUE(SUBSTITUTE(SUBSTITUTE(INDEX('Etsy Import'!$A:$CZ,826,Settings!$C$24)&amp;"","$",""),",","")),0))</f>
        <v/>
      </c>
      <c r="F826" s="11">
        <f>IF(A826="","",D826*E826)</f>
        <v/>
      </c>
      <c r="G826">
        <f>IF(A826="","",IF(C826="",1,COUNTIF($C$2:$C$1501,C826)))</f>
        <v/>
      </c>
      <c r="H826" s="11">
        <f>IF(A826="","",IFERROR(VALUE(SUBSTITUTE(SUBSTITUTE(INDEX('Etsy Import'!$A:$CZ,826,Settings!$C$25)&amp;"","$",""),",","")),0)/IF(Settings!$B$27="Yes",G826,1))</f>
        <v/>
      </c>
      <c r="I826" s="11">
        <f>IF(A826="","",IFERROR(VALUE(SUBSTITUTE(SUBSTITUTE(INDEX('Etsy Import'!$A:$CZ,826,Settings!$C$26)&amp;"","$",""),",","")),0)/IF(Settings!$B$27="Yes",G826,1))</f>
        <v/>
      </c>
      <c r="J826" s="11">
        <f>IF(A826="","",F826+H826-I826)</f>
        <v/>
      </c>
      <c r="K826">
        <f>IF(A826="","",IFERROR(IF(B826="",NA(),MATCH(B826,Products!$B$5:$B$204,0)),IFERROR(MATCH(A826,Products!$A$5:$A$204,0),"")))</f>
        <v/>
      </c>
      <c r="L826">
        <f>IF(A826="","",IF(K826="","⚠ not in Products",INDEX(Products!$A$5:$A$204,K826)))</f>
        <v/>
      </c>
      <c r="M826" s="11">
        <f>IF(A826="","",J826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826+IFERROR(INDEX(Settings!$D$5:$D$9,MATCH("Etsy",Settings!$A$5:$A$9,0)),0)*D826)</f>
        <v/>
      </c>
      <c r="N826" s="11">
        <f>IF(A826="","",IF(K826="",0,D826*INDEX(Products!$I$5:$I$204,K826)))</f>
        <v/>
      </c>
      <c r="O826" s="11">
        <f>IF(A826="","",IF(K826="",0,J826*INDEX(Products!$H$5:$H$204,K826)))</f>
        <v/>
      </c>
      <c r="P826" s="11">
        <f>IF(A826="","",J826-M826-N826-O826)</f>
        <v/>
      </c>
    </row>
    <row r="827">
      <c r="A827">
        <f>IFERROR(INDEX('Etsy Import'!$A:$CZ,827,Settings!$C$20)&amp;"","")</f>
        <v/>
      </c>
      <c r="B827">
        <f>IFERROR(INDEX('Etsy Import'!$A:$CZ,827,Settings!$C$21)&amp;"","")</f>
        <v/>
      </c>
      <c r="C827">
        <f>IFERROR(INDEX('Etsy Import'!$A:$CZ,827,Settings!$C$22)&amp;"","")</f>
        <v/>
      </c>
      <c r="D827">
        <f>IF(A827="","",IFERROR(VALUE(SUBSTITUTE(SUBSTITUTE(INDEX('Etsy Import'!$A:$CZ,827,Settings!$C$23)&amp;"","$",""),",","")),0))</f>
        <v/>
      </c>
      <c r="E827" s="11">
        <f>IF(A827="","",IFERROR(VALUE(SUBSTITUTE(SUBSTITUTE(INDEX('Etsy Import'!$A:$CZ,827,Settings!$C$24)&amp;"","$",""),",","")),0))</f>
        <v/>
      </c>
      <c r="F827" s="11">
        <f>IF(A827="","",D827*E827)</f>
        <v/>
      </c>
      <c r="G827">
        <f>IF(A827="","",IF(C827="",1,COUNTIF($C$2:$C$1501,C827)))</f>
        <v/>
      </c>
      <c r="H827" s="11">
        <f>IF(A827="","",IFERROR(VALUE(SUBSTITUTE(SUBSTITUTE(INDEX('Etsy Import'!$A:$CZ,827,Settings!$C$25)&amp;"","$",""),",","")),0)/IF(Settings!$B$27="Yes",G827,1))</f>
        <v/>
      </c>
      <c r="I827" s="11">
        <f>IF(A827="","",IFERROR(VALUE(SUBSTITUTE(SUBSTITUTE(INDEX('Etsy Import'!$A:$CZ,827,Settings!$C$26)&amp;"","$",""),",","")),0)/IF(Settings!$B$27="Yes",G827,1))</f>
        <v/>
      </c>
      <c r="J827" s="11">
        <f>IF(A827="","",F827+H827-I827)</f>
        <v/>
      </c>
      <c r="K827">
        <f>IF(A827="","",IFERROR(IF(B827="",NA(),MATCH(B827,Products!$B$5:$B$204,0)),IFERROR(MATCH(A827,Products!$A$5:$A$204,0),"")))</f>
        <v/>
      </c>
      <c r="L827">
        <f>IF(A827="","",IF(K827="","⚠ not in Products",INDEX(Products!$A$5:$A$204,K827)))</f>
        <v/>
      </c>
      <c r="M827" s="11">
        <f>IF(A827="","",J827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827+IFERROR(INDEX(Settings!$D$5:$D$9,MATCH("Etsy",Settings!$A$5:$A$9,0)),0)*D827)</f>
        <v/>
      </c>
      <c r="N827" s="11">
        <f>IF(A827="","",IF(K827="",0,D827*INDEX(Products!$I$5:$I$204,K827)))</f>
        <v/>
      </c>
      <c r="O827" s="11">
        <f>IF(A827="","",IF(K827="",0,J827*INDEX(Products!$H$5:$H$204,K827)))</f>
        <v/>
      </c>
      <c r="P827" s="11">
        <f>IF(A827="","",J827-M827-N827-O827)</f>
        <v/>
      </c>
    </row>
    <row r="828">
      <c r="A828">
        <f>IFERROR(INDEX('Etsy Import'!$A:$CZ,828,Settings!$C$20)&amp;"","")</f>
        <v/>
      </c>
      <c r="B828">
        <f>IFERROR(INDEX('Etsy Import'!$A:$CZ,828,Settings!$C$21)&amp;"","")</f>
        <v/>
      </c>
      <c r="C828">
        <f>IFERROR(INDEX('Etsy Import'!$A:$CZ,828,Settings!$C$22)&amp;"","")</f>
        <v/>
      </c>
      <c r="D828">
        <f>IF(A828="","",IFERROR(VALUE(SUBSTITUTE(SUBSTITUTE(INDEX('Etsy Import'!$A:$CZ,828,Settings!$C$23)&amp;"","$",""),",","")),0))</f>
        <v/>
      </c>
      <c r="E828" s="11">
        <f>IF(A828="","",IFERROR(VALUE(SUBSTITUTE(SUBSTITUTE(INDEX('Etsy Import'!$A:$CZ,828,Settings!$C$24)&amp;"","$",""),",","")),0))</f>
        <v/>
      </c>
      <c r="F828" s="11">
        <f>IF(A828="","",D828*E828)</f>
        <v/>
      </c>
      <c r="G828">
        <f>IF(A828="","",IF(C828="",1,COUNTIF($C$2:$C$1501,C828)))</f>
        <v/>
      </c>
      <c r="H828" s="11">
        <f>IF(A828="","",IFERROR(VALUE(SUBSTITUTE(SUBSTITUTE(INDEX('Etsy Import'!$A:$CZ,828,Settings!$C$25)&amp;"","$",""),",","")),0)/IF(Settings!$B$27="Yes",G828,1))</f>
        <v/>
      </c>
      <c r="I828" s="11">
        <f>IF(A828="","",IFERROR(VALUE(SUBSTITUTE(SUBSTITUTE(INDEX('Etsy Import'!$A:$CZ,828,Settings!$C$26)&amp;"","$",""),",","")),0)/IF(Settings!$B$27="Yes",G828,1))</f>
        <v/>
      </c>
      <c r="J828" s="11">
        <f>IF(A828="","",F828+H828-I828)</f>
        <v/>
      </c>
      <c r="K828">
        <f>IF(A828="","",IFERROR(IF(B828="",NA(),MATCH(B828,Products!$B$5:$B$204,0)),IFERROR(MATCH(A828,Products!$A$5:$A$204,0),"")))</f>
        <v/>
      </c>
      <c r="L828">
        <f>IF(A828="","",IF(K828="","⚠ not in Products",INDEX(Products!$A$5:$A$204,K828)))</f>
        <v/>
      </c>
      <c r="M828" s="11">
        <f>IF(A828="","",J828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828+IFERROR(INDEX(Settings!$D$5:$D$9,MATCH("Etsy",Settings!$A$5:$A$9,0)),0)*D828)</f>
        <v/>
      </c>
      <c r="N828" s="11">
        <f>IF(A828="","",IF(K828="",0,D828*INDEX(Products!$I$5:$I$204,K828)))</f>
        <v/>
      </c>
      <c r="O828" s="11">
        <f>IF(A828="","",IF(K828="",0,J828*INDEX(Products!$H$5:$H$204,K828)))</f>
        <v/>
      </c>
      <c r="P828" s="11">
        <f>IF(A828="","",J828-M828-N828-O828)</f>
        <v/>
      </c>
    </row>
    <row r="829">
      <c r="A829">
        <f>IFERROR(INDEX('Etsy Import'!$A:$CZ,829,Settings!$C$20)&amp;"","")</f>
        <v/>
      </c>
      <c r="B829">
        <f>IFERROR(INDEX('Etsy Import'!$A:$CZ,829,Settings!$C$21)&amp;"","")</f>
        <v/>
      </c>
      <c r="C829">
        <f>IFERROR(INDEX('Etsy Import'!$A:$CZ,829,Settings!$C$22)&amp;"","")</f>
        <v/>
      </c>
      <c r="D829">
        <f>IF(A829="","",IFERROR(VALUE(SUBSTITUTE(SUBSTITUTE(INDEX('Etsy Import'!$A:$CZ,829,Settings!$C$23)&amp;"","$",""),",","")),0))</f>
        <v/>
      </c>
      <c r="E829" s="11">
        <f>IF(A829="","",IFERROR(VALUE(SUBSTITUTE(SUBSTITUTE(INDEX('Etsy Import'!$A:$CZ,829,Settings!$C$24)&amp;"","$",""),",","")),0))</f>
        <v/>
      </c>
      <c r="F829" s="11">
        <f>IF(A829="","",D829*E829)</f>
        <v/>
      </c>
      <c r="G829">
        <f>IF(A829="","",IF(C829="",1,COUNTIF($C$2:$C$1501,C829)))</f>
        <v/>
      </c>
      <c r="H829" s="11">
        <f>IF(A829="","",IFERROR(VALUE(SUBSTITUTE(SUBSTITUTE(INDEX('Etsy Import'!$A:$CZ,829,Settings!$C$25)&amp;"","$",""),",","")),0)/IF(Settings!$B$27="Yes",G829,1))</f>
        <v/>
      </c>
      <c r="I829" s="11">
        <f>IF(A829="","",IFERROR(VALUE(SUBSTITUTE(SUBSTITUTE(INDEX('Etsy Import'!$A:$CZ,829,Settings!$C$26)&amp;"","$",""),",","")),0)/IF(Settings!$B$27="Yes",G829,1))</f>
        <v/>
      </c>
      <c r="J829" s="11">
        <f>IF(A829="","",F829+H829-I829)</f>
        <v/>
      </c>
      <c r="K829">
        <f>IF(A829="","",IFERROR(IF(B829="",NA(),MATCH(B829,Products!$B$5:$B$204,0)),IFERROR(MATCH(A829,Products!$A$5:$A$204,0),"")))</f>
        <v/>
      </c>
      <c r="L829">
        <f>IF(A829="","",IF(K829="","⚠ not in Products",INDEX(Products!$A$5:$A$204,K829)))</f>
        <v/>
      </c>
      <c r="M829" s="11">
        <f>IF(A829="","",J829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829+IFERROR(INDEX(Settings!$D$5:$D$9,MATCH("Etsy",Settings!$A$5:$A$9,0)),0)*D829)</f>
        <v/>
      </c>
      <c r="N829" s="11">
        <f>IF(A829="","",IF(K829="",0,D829*INDEX(Products!$I$5:$I$204,K829)))</f>
        <v/>
      </c>
      <c r="O829" s="11">
        <f>IF(A829="","",IF(K829="",0,J829*INDEX(Products!$H$5:$H$204,K829)))</f>
        <v/>
      </c>
      <c r="P829" s="11">
        <f>IF(A829="","",J829-M829-N829-O829)</f>
        <v/>
      </c>
    </row>
    <row r="830">
      <c r="A830">
        <f>IFERROR(INDEX('Etsy Import'!$A:$CZ,830,Settings!$C$20)&amp;"","")</f>
        <v/>
      </c>
      <c r="B830">
        <f>IFERROR(INDEX('Etsy Import'!$A:$CZ,830,Settings!$C$21)&amp;"","")</f>
        <v/>
      </c>
      <c r="C830">
        <f>IFERROR(INDEX('Etsy Import'!$A:$CZ,830,Settings!$C$22)&amp;"","")</f>
        <v/>
      </c>
      <c r="D830">
        <f>IF(A830="","",IFERROR(VALUE(SUBSTITUTE(SUBSTITUTE(INDEX('Etsy Import'!$A:$CZ,830,Settings!$C$23)&amp;"","$",""),",","")),0))</f>
        <v/>
      </c>
      <c r="E830" s="11">
        <f>IF(A830="","",IFERROR(VALUE(SUBSTITUTE(SUBSTITUTE(INDEX('Etsy Import'!$A:$CZ,830,Settings!$C$24)&amp;"","$",""),",","")),0))</f>
        <v/>
      </c>
      <c r="F830" s="11">
        <f>IF(A830="","",D830*E830)</f>
        <v/>
      </c>
      <c r="G830">
        <f>IF(A830="","",IF(C830="",1,COUNTIF($C$2:$C$1501,C830)))</f>
        <v/>
      </c>
      <c r="H830" s="11">
        <f>IF(A830="","",IFERROR(VALUE(SUBSTITUTE(SUBSTITUTE(INDEX('Etsy Import'!$A:$CZ,830,Settings!$C$25)&amp;"","$",""),",","")),0)/IF(Settings!$B$27="Yes",G830,1))</f>
        <v/>
      </c>
      <c r="I830" s="11">
        <f>IF(A830="","",IFERROR(VALUE(SUBSTITUTE(SUBSTITUTE(INDEX('Etsy Import'!$A:$CZ,830,Settings!$C$26)&amp;"","$",""),",","")),0)/IF(Settings!$B$27="Yes",G830,1))</f>
        <v/>
      </c>
      <c r="J830" s="11">
        <f>IF(A830="","",F830+H830-I830)</f>
        <v/>
      </c>
      <c r="K830">
        <f>IF(A830="","",IFERROR(IF(B830="",NA(),MATCH(B830,Products!$B$5:$B$204,0)),IFERROR(MATCH(A830,Products!$A$5:$A$204,0),"")))</f>
        <v/>
      </c>
      <c r="L830">
        <f>IF(A830="","",IF(K830="","⚠ not in Products",INDEX(Products!$A$5:$A$204,K830)))</f>
        <v/>
      </c>
      <c r="M830" s="11">
        <f>IF(A830="","",J830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830+IFERROR(INDEX(Settings!$D$5:$D$9,MATCH("Etsy",Settings!$A$5:$A$9,0)),0)*D830)</f>
        <v/>
      </c>
      <c r="N830" s="11">
        <f>IF(A830="","",IF(K830="",0,D830*INDEX(Products!$I$5:$I$204,K830)))</f>
        <v/>
      </c>
      <c r="O830" s="11">
        <f>IF(A830="","",IF(K830="",0,J830*INDEX(Products!$H$5:$H$204,K830)))</f>
        <v/>
      </c>
      <c r="P830" s="11">
        <f>IF(A830="","",J830-M830-N830-O830)</f>
        <v/>
      </c>
    </row>
    <row r="831">
      <c r="A831">
        <f>IFERROR(INDEX('Etsy Import'!$A:$CZ,831,Settings!$C$20)&amp;"","")</f>
        <v/>
      </c>
      <c r="B831">
        <f>IFERROR(INDEX('Etsy Import'!$A:$CZ,831,Settings!$C$21)&amp;"","")</f>
        <v/>
      </c>
      <c r="C831">
        <f>IFERROR(INDEX('Etsy Import'!$A:$CZ,831,Settings!$C$22)&amp;"","")</f>
        <v/>
      </c>
      <c r="D831">
        <f>IF(A831="","",IFERROR(VALUE(SUBSTITUTE(SUBSTITUTE(INDEX('Etsy Import'!$A:$CZ,831,Settings!$C$23)&amp;"","$",""),",","")),0))</f>
        <v/>
      </c>
      <c r="E831" s="11">
        <f>IF(A831="","",IFERROR(VALUE(SUBSTITUTE(SUBSTITUTE(INDEX('Etsy Import'!$A:$CZ,831,Settings!$C$24)&amp;"","$",""),",","")),0))</f>
        <v/>
      </c>
      <c r="F831" s="11">
        <f>IF(A831="","",D831*E831)</f>
        <v/>
      </c>
      <c r="G831">
        <f>IF(A831="","",IF(C831="",1,COUNTIF($C$2:$C$1501,C831)))</f>
        <v/>
      </c>
      <c r="H831" s="11">
        <f>IF(A831="","",IFERROR(VALUE(SUBSTITUTE(SUBSTITUTE(INDEX('Etsy Import'!$A:$CZ,831,Settings!$C$25)&amp;"","$",""),",","")),0)/IF(Settings!$B$27="Yes",G831,1))</f>
        <v/>
      </c>
      <c r="I831" s="11">
        <f>IF(A831="","",IFERROR(VALUE(SUBSTITUTE(SUBSTITUTE(INDEX('Etsy Import'!$A:$CZ,831,Settings!$C$26)&amp;"","$",""),",","")),0)/IF(Settings!$B$27="Yes",G831,1))</f>
        <v/>
      </c>
      <c r="J831" s="11">
        <f>IF(A831="","",F831+H831-I831)</f>
        <v/>
      </c>
      <c r="K831">
        <f>IF(A831="","",IFERROR(IF(B831="",NA(),MATCH(B831,Products!$B$5:$B$204,0)),IFERROR(MATCH(A831,Products!$A$5:$A$204,0),"")))</f>
        <v/>
      </c>
      <c r="L831">
        <f>IF(A831="","",IF(K831="","⚠ not in Products",INDEX(Products!$A$5:$A$204,K831)))</f>
        <v/>
      </c>
      <c r="M831" s="11">
        <f>IF(A831="","",J831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831+IFERROR(INDEX(Settings!$D$5:$D$9,MATCH("Etsy",Settings!$A$5:$A$9,0)),0)*D831)</f>
        <v/>
      </c>
      <c r="N831" s="11">
        <f>IF(A831="","",IF(K831="",0,D831*INDEX(Products!$I$5:$I$204,K831)))</f>
        <v/>
      </c>
      <c r="O831" s="11">
        <f>IF(A831="","",IF(K831="",0,J831*INDEX(Products!$H$5:$H$204,K831)))</f>
        <v/>
      </c>
      <c r="P831" s="11">
        <f>IF(A831="","",J831-M831-N831-O831)</f>
        <v/>
      </c>
    </row>
    <row r="832">
      <c r="A832">
        <f>IFERROR(INDEX('Etsy Import'!$A:$CZ,832,Settings!$C$20)&amp;"","")</f>
        <v/>
      </c>
      <c r="B832">
        <f>IFERROR(INDEX('Etsy Import'!$A:$CZ,832,Settings!$C$21)&amp;"","")</f>
        <v/>
      </c>
      <c r="C832">
        <f>IFERROR(INDEX('Etsy Import'!$A:$CZ,832,Settings!$C$22)&amp;"","")</f>
        <v/>
      </c>
      <c r="D832">
        <f>IF(A832="","",IFERROR(VALUE(SUBSTITUTE(SUBSTITUTE(INDEX('Etsy Import'!$A:$CZ,832,Settings!$C$23)&amp;"","$",""),",","")),0))</f>
        <v/>
      </c>
      <c r="E832" s="11">
        <f>IF(A832="","",IFERROR(VALUE(SUBSTITUTE(SUBSTITUTE(INDEX('Etsy Import'!$A:$CZ,832,Settings!$C$24)&amp;"","$",""),",","")),0))</f>
        <v/>
      </c>
      <c r="F832" s="11">
        <f>IF(A832="","",D832*E832)</f>
        <v/>
      </c>
      <c r="G832">
        <f>IF(A832="","",IF(C832="",1,COUNTIF($C$2:$C$1501,C832)))</f>
        <v/>
      </c>
      <c r="H832" s="11">
        <f>IF(A832="","",IFERROR(VALUE(SUBSTITUTE(SUBSTITUTE(INDEX('Etsy Import'!$A:$CZ,832,Settings!$C$25)&amp;"","$",""),",","")),0)/IF(Settings!$B$27="Yes",G832,1))</f>
        <v/>
      </c>
      <c r="I832" s="11">
        <f>IF(A832="","",IFERROR(VALUE(SUBSTITUTE(SUBSTITUTE(INDEX('Etsy Import'!$A:$CZ,832,Settings!$C$26)&amp;"","$",""),",","")),0)/IF(Settings!$B$27="Yes",G832,1))</f>
        <v/>
      </c>
      <c r="J832" s="11">
        <f>IF(A832="","",F832+H832-I832)</f>
        <v/>
      </c>
      <c r="K832">
        <f>IF(A832="","",IFERROR(IF(B832="",NA(),MATCH(B832,Products!$B$5:$B$204,0)),IFERROR(MATCH(A832,Products!$A$5:$A$204,0),"")))</f>
        <v/>
      </c>
      <c r="L832">
        <f>IF(A832="","",IF(K832="","⚠ not in Products",INDEX(Products!$A$5:$A$204,K832)))</f>
        <v/>
      </c>
      <c r="M832" s="11">
        <f>IF(A832="","",J832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832+IFERROR(INDEX(Settings!$D$5:$D$9,MATCH("Etsy",Settings!$A$5:$A$9,0)),0)*D832)</f>
        <v/>
      </c>
      <c r="N832" s="11">
        <f>IF(A832="","",IF(K832="",0,D832*INDEX(Products!$I$5:$I$204,K832)))</f>
        <v/>
      </c>
      <c r="O832" s="11">
        <f>IF(A832="","",IF(K832="",0,J832*INDEX(Products!$H$5:$H$204,K832)))</f>
        <v/>
      </c>
      <c r="P832" s="11">
        <f>IF(A832="","",J832-M832-N832-O832)</f>
        <v/>
      </c>
    </row>
    <row r="833">
      <c r="A833">
        <f>IFERROR(INDEX('Etsy Import'!$A:$CZ,833,Settings!$C$20)&amp;"","")</f>
        <v/>
      </c>
      <c r="B833">
        <f>IFERROR(INDEX('Etsy Import'!$A:$CZ,833,Settings!$C$21)&amp;"","")</f>
        <v/>
      </c>
      <c r="C833">
        <f>IFERROR(INDEX('Etsy Import'!$A:$CZ,833,Settings!$C$22)&amp;"","")</f>
        <v/>
      </c>
      <c r="D833">
        <f>IF(A833="","",IFERROR(VALUE(SUBSTITUTE(SUBSTITUTE(INDEX('Etsy Import'!$A:$CZ,833,Settings!$C$23)&amp;"","$",""),",","")),0))</f>
        <v/>
      </c>
      <c r="E833" s="11">
        <f>IF(A833="","",IFERROR(VALUE(SUBSTITUTE(SUBSTITUTE(INDEX('Etsy Import'!$A:$CZ,833,Settings!$C$24)&amp;"","$",""),",","")),0))</f>
        <v/>
      </c>
      <c r="F833" s="11">
        <f>IF(A833="","",D833*E833)</f>
        <v/>
      </c>
      <c r="G833">
        <f>IF(A833="","",IF(C833="",1,COUNTIF($C$2:$C$1501,C833)))</f>
        <v/>
      </c>
      <c r="H833" s="11">
        <f>IF(A833="","",IFERROR(VALUE(SUBSTITUTE(SUBSTITUTE(INDEX('Etsy Import'!$A:$CZ,833,Settings!$C$25)&amp;"","$",""),",","")),0)/IF(Settings!$B$27="Yes",G833,1))</f>
        <v/>
      </c>
      <c r="I833" s="11">
        <f>IF(A833="","",IFERROR(VALUE(SUBSTITUTE(SUBSTITUTE(INDEX('Etsy Import'!$A:$CZ,833,Settings!$C$26)&amp;"","$",""),",","")),0)/IF(Settings!$B$27="Yes",G833,1))</f>
        <v/>
      </c>
      <c r="J833" s="11">
        <f>IF(A833="","",F833+H833-I833)</f>
        <v/>
      </c>
      <c r="K833">
        <f>IF(A833="","",IFERROR(IF(B833="",NA(),MATCH(B833,Products!$B$5:$B$204,0)),IFERROR(MATCH(A833,Products!$A$5:$A$204,0),"")))</f>
        <v/>
      </c>
      <c r="L833">
        <f>IF(A833="","",IF(K833="","⚠ not in Products",INDEX(Products!$A$5:$A$204,K833)))</f>
        <v/>
      </c>
      <c r="M833" s="11">
        <f>IF(A833="","",J833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833+IFERROR(INDEX(Settings!$D$5:$D$9,MATCH("Etsy",Settings!$A$5:$A$9,0)),0)*D833)</f>
        <v/>
      </c>
      <c r="N833" s="11">
        <f>IF(A833="","",IF(K833="",0,D833*INDEX(Products!$I$5:$I$204,K833)))</f>
        <v/>
      </c>
      <c r="O833" s="11">
        <f>IF(A833="","",IF(K833="",0,J833*INDEX(Products!$H$5:$H$204,K833)))</f>
        <v/>
      </c>
      <c r="P833" s="11">
        <f>IF(A833="","",J833-M833-N833-O833)</f>
        <v/>
      </c>
    </row>
    <row r="834">
      <c r="A834">
        <f>IFERROR(INDEX('Etsy Import'!$A:$CZ,834,Settings!$C$20)&amp;"","")</f>
        <v/>
      </c>
      <c r="B834">
        <f>IFERROR(INDEX('Etsy Import'!$A:$CZ,834,Settings!$C$21)&amp;"","")</f>
        <v/>
      </c>
      <c r="C834">
        <f>IFERROR(INDEX('Etsy Import'!$A:$CZ,834,Settings!$C$22)&amp;"","")</f>
        <v/>
      </c>
      <c r="D834">
        <f>IF(A834="","",IFERROR(VALUE(SUBSTITUTE(SUBSTITUTE(INDEX('Etsy Import'!$A:$CZ,834,Settings!$C$23)&amp;"","$",""),",","")),0))</f>
        <v/>
      </c>
      <c r="E834" s="11">
        <f>IF(A834="","",IFERROR(VALUE(SUBSTITUTE(SUBSTITUTE(INDEX('Etsy Import'!$A:$CZ,834,Settings!$C$24)&amp;"","$",""),",","")),0))</f>
        <v/>
      </c>
      <c r="F834" s="11">
        <f>IF(A834="","",D834*E834)</f>
        <v/>
      </c>
      <c r="G834">
        <f>IF(A834="","",IF(C834="",1,COUNTIF($C$2:$C$1501,C834)))</f>
        <v/>
      </c>
      <c r="H834" s="11">
        <f>IF(A834="","",IFERROR(VALUE(SUBSTITUTE(SUBSTITUTE(INDEX('Etsy Import'!$A:$CZ,834,Settings!$C$25)&amp;"","$",""),",","")),0)/IF(Settings!$B$27="Yes",G834,1))</f>
        <v/>
      </c>
      <c r="I834" s="11">
        <f>IF(A834="","",IFERROR(VALUE(SUBSTITUTE(SUBSTITUTE(INDEX('Etsy Import'!$A:$CZ,834,Settings!$C$26)&amp;"","$",""),",","")),0)/IF(Settings!$B$27="Yes",G834,1))</f>
        <v/>
      </c>
      <c r="J834" s="11">
        <f>IF(A834="","",F834+H834-I834)</f>
        <v/>
      </c>
      <c r="K834">
        <f>IF(A834="","",IFERROR(IF(B834="",NA(),MATCH(B834,Products!$B$5:$B$204,0)),IFERROR(MATCH(A834,Products!$A$5:$A$204,0),"")))</f>
        <v/>
      </c>
      <c r="L834">
        <f>IF(A834="","",IF(K834="","⚠ not in Products",INDEX(Products!$A$5:$A$204,K834)))</f>
        <v/>
      </c>
      <c r="M834" s="11">
        <f>IF(A834="","",J834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834+IFERROR(INDEX(Settings!$D$5:$D$9,MATCH("Etsy",Settings!$A$5:$A$9,0)),0)*D834)</f>
        <v/>
      </c>
      <c r="N834" s="11">
        <f>IF(A834="","",IF(K834="",0,D834*INDEX(Products!$I$5:$I$204,K834)))</f>
        <v/>
      </c>
      <c r="O834" s="11">
        <f>IF(A834="","",IF(K834="",0,J834*INDEX(Products!$H$5:$H$204,K834)))</f>
        <v/>
      </c>
      <c r="P834" s="11">
        <f>IF(A834="","",J834-M834-N834-O834)</f>
        <v/>
      </c>
    </row>
    <row r="835">
      <c r="A835">
        <f>IFERROR(INDEX('Etsy Import'!$A:$CZ,835,Settings!$C$20)&amp;"","")</f>
        <v/>
      </c>
      <c r="B835">
        <f>IFERROR(INDEX('Etsy Import'!$A:$CZ,835,Settings!$C$21)&amp;"","")</f>
        <v/>
      </c>
      <c r="C835">
        <f>IFERROR(INDEX('Etsy Import'!$A:$CZ,835,Settings!$C$22)&amp;"","")</f>
        <v/>
      </c>
      <c r="D835">
        <f>IF(A835="","",IFERROR(VALUE(SUBSTITUTE(SUBSTITUTE(INDEX('Etsy Import'!$A:$CZ,835,Settings!$C$23)&amp;"","$",""),",","")),0))</f>
        <v/>
      </c>
      <c r="E835" s="11">
        <f>IF(A835="","",IFERROR(VALUE(SUBSTITUTE(SUBSTITUTE(INDEX('Etsy Import'!$A:$CZ,835,Settings!$C$24)&amp;"","$",""),",","")),0))</f>
        <v/>
      </c>
      <c r="F835" s="11">
        <f>IF(A835="","",D835*E835)</f>
        <v/>
      </c>
      <c r="G835">
        <f>IF(A835="","",IF(C835="",1,COUNTIF($C$2:$C$1501,C835)))</f>
        <v/>
      </c>
      <c r="H835" s="11">
        <f>IF(A835="","",IFERROR(VALUE(SUBSTITUTE(SUBSTITUTE(INDEX('Etsy Import'!$A:$CZ,835,Settings!$C$25)&amp;"","$",""),",","")),0)/IF(Settings!$B$27="Yes",G835,1))</f>
        <v/>
      </c>
      <c r="I835" s="11">
        <f>IF(A835="","",IFERROR(VALUE(SUBSTITUTE(SUBSTITUTE(INDEX('Etsy Import'!$A:$CZ,835,Settings!$C$26)&amp;"","$",""),",","")),0)/IF(Settings!$B$27="Yes",G835,1))</f>
        <v/>
      </c>
      <c r="J835" s="11">
        <f>IF(A835="","",F835+H835-I835)</f>
        <v/>
      </c>
      <c r="K835">
        <f>IF(A835="","",IFERROR(IF(B835="",NA(),MATCH(B835,Products!$B$5:$B$204,0)),IFERROR(MATCH(A835,Products!$A$5:$A$204,0),"")))</f>
        <v/>
      </c>
      <c r="L835">
        <f>IF(A835="","",IF(K835="","⚠ not in Products",INDEX(Products!$A$5:$A$204,K835)))</f>
        <v/>
      </c>
      <c r="M835" s="11">
        <f>IF(A835="","",J835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835+IFERROR(INDEX(Settings!$D$5:$D$9,MATCH("Etsy",Settings!$A$5:$A$9,0)),0)*D835)</f>
        <v/>
      </c>
      <c r="N835" s="11">
        <f>IF(A835="","",IF(K835="",0,D835*INDEX(Products!$I$5:$I$204,K835)))</f>
        <v/>
      </c>
      <c r="O835" s="11">
        <f>IF(A835="","",IF(K835="",0,J835*INDEX(Products!$H$5:$H$204,K835)))</f>
        <v/>
      </c>
      <c r="P835" s="11">
        <f>IF(A835="","",J835-M835-N835-O835)</f>
        <v/>
      </c>
    </row>
    <row r="836">
      <c r="A836">
        <f>IFERROR(INDEX('Etsy Import'!$A:$CZ,836,Settings!$C$20)&amp;"","")</f>
        <v/>
      </c>
      <c r="B836">
        <f>IFERROR(INDEX('Etsy Import'!$A:$CZ,836,Settings!$C$21)&amp;"","")</f>
        <v/>
      </c>
      <c r="C836">
        <f>IFERROR(INDEX('Etsy Import'!$A:$CZ,836,Settings!$C$22)&amp;"","")</f>
        <v/>
      </c>
      <c r="D836">
        <f>IF(A836="","",IFERROR(VALUE(SUBSTITUTE(SUBSTITUTE(INDEX('Etsy Import'!$A:$CZ,836,Settings!$C$23)&amp;"","$",""),",","")),0))</f>
        <v/>
      </c>
      <c r="E836" s="11">
        <f>IF(A836="","",IFERROR(VALUE(SUBSTITUTE(SUBSTITUTE(INDEX('Etsy Import'!$A:$CZ,836,Settings!$C$24)&amp;"","$",""),",","")),0))</f>
        <v/>
      </c>
      <c r="F836" s="11">
        <f>IF(A836="","",D836*E836)</f>
        <v/>
      </c>
      <c r="G836">
        <f>IF(A836="","",IF(C836="",1,COUNTIF($C$2:$C$1501,C836)))</f>
        <v/>
      </c>
      <c r="H836" s="11">
        <f>IF(A836="","",IFERROR(VALUE(SUBSTITUTE(SUBSTITUTE(INDEX('Etsy Import'!$A:$CZ,836,Settings!$C$25)&amp;"","$",""),",","")),0)/IF(Settings!$B$27="Yes",G836,1))</f>
        <v/>
      </c>
      <c r="I836" s="11">
        <f>IF(A836="","",IFERROR(VALUE(SUBSTITUTE(SUBSTITUTE(INDEX('Etsy Import'!$A:$CZ,836,Settings!$C$26)&amp;"","$",""),",","")),0)/IF(Settings!$B$27="Yes",G836,1))</f>
        <v/>
      </c>
      <c r="J836" s="11">
        <f>IF(A836="","",F836+H836-I836)</f>
        <v/>
      </c>
      <c r="K836">
        <f>IF(A836="","",IFERROR(IF(B836="",NA(),MATCH(B836,Products!$B$5:$B$204,0)),IFERROR(MATCH(A836,Products!$A$5:$A$204,0),"")))</f>
        <v/>
      </c>
      <c r="L836">
        <f>IF(A836="","",IF(K836="","⚠ not in Products",INDEX(Products!$A$5:$A$204,K836)))</f>
        <v/>
      </c>
      <c r="M836" s="11">
        <f>IF(A836="","",J836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836+IFERROR(INDEX(Settings!$D$5:$D$9,MATCH("Etsy",Settings!$A$5:$A$9,0)),0)*D836)</f>
        <v/>
      </c>
      <c r="N836" s="11">
        <f>IF(A836="","",IF(K836="",0,D836*INDEX(Products!$I$5:$I$204,K836)))</f>
        <v/>
      </c>
      <c r="O836" s="11">
        <f>IF(A836="","",IF(K836="",0,J836*INDEX(Products!$H$5:$H$204,K836)))</f>
        <v/>
      </c>
      <c r="P836" s="11">
        <f>IF(A836="","",J836-M836-N836-O836)</f>
        <v/>
      </c>
    </row>
    <row r="837">
      <c r="A837">
        <f>IFERROR(INDEX('Etsy Import'!$A:$CZ,837,Settings!$C$20)&amp;"","")</f>
        <v/>
      </c>
      <c r="B837">
        <f>IFERROR(INDEX('Etsy Import'!$A:$CZ,837,Settings!$C$21)&amp;"","")</f>
        <v/>
      </c>
      <c r="C837">
        <f>IFERROR(INDEX('Etsy Import'!$A:$CZ,837,Settings!$C$22)&amp;"","")</f>
        <v/>
      </c>
      <c r="D837">
        <f>IF(A837="","",IFERROR(VALUE(SUBSTITUTE(SUBSTITUTE(INDEX('Etsy Import'!$A:$CZ,837,Settings!$C$23)&amp;"","$",""),",","")),0))</f>
        <v/>
      </c>
      <c r="E837" s="11">
        <f>IF(A837="","",IFERROR(VALUE(SUBSTITUTE(SUBSTITUTE(INDEX('Etsy Import'!$A:$CZ,837,Settings!$C$24)&amp;"","$",""),",","")),0))</f>
        <v/>
      </c>
      <c r="F837" s="11">
        <f>IF(A837="","",D837*E837)</f>
        <v/>
      </c>
      <c r="G837">
        <f>IF(A837="","",IF(C837="",1,COUNTIF($C$2:$C$1501,C837)))</f>
        <v/>
      </c>
      <c r="H837" s="11">
        <f>IF(A837="","",IFERROR(VALUE(SUBSTITUTE(SUBSTITUTE(INDEX('Etsy Import'!$A:$CZ,837,Settings!$C$25)&amp;"","$",""),",","")),0)/IF(Settings!$B$27="Yes",G837,1))</f>
        <v/>
      </c>
      <c r="I837" s="11">
        <f>IF(A837="","",IFERROR(VALUE(SUBSTITUTE(SUBSTITUTE(INDEX('Etsy Import'!$A:$CZ,837,Settings!$C$26)&amp;"","$",""),",","")),0)/IF(Settings!$B$27="Yes",G837,1))</f>
        <v/>
      </c>
      <c r="J837" s="11">
        <f>IF(A837="","",F837+H837-I837)</f>
        <v/>
      </c>
      <c r="K837">
        <f>IF(A837="","",IFERROR(IF(B837="",NA(),MATCH(B837,Products!$B$5:$B$204,0)),IFERROR(MATCH(A837,Products!$A$5:$A$204,0),"")))</f>
        <v/>
      </c>
      <c r="L837">
        <f>IF(A837="","",IF(K837="","⚠ not in Products",INDEX(Products!$A$5:$A$204,K837)))</f>
        <v/>
      </c>
      <c r="M837" s="11">
        <f>IF(A837="","",J837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837+IFERROR(INDEX(Settings!$D$5:$D$9,MATCH("Etsy",Settings!$A$5:$A$9,0)),0)*D837)</f>
        <v/>
      </c>
      <c r="N837" s="11">
        <f>IF(A837="","",IF(K837="",0,D837*INDEX(Products!$I$5:$I$204,K837)))</f>
        <v/>
      </c>
      <c r="O837" s="11">
        <f>IF(A837="","",IF(K837="",0,J837*INDEX(Products!$H$5:$H$204,K837)))</f>
        <v/>
      </c>
      <c r="P837" s="11">
        <f>IF(A837="","",J837-M837-N837-O837)</f>
        <v/>
      </c>
    </row>
    <row r="838">
      <c r="A838">
        <f>IFERROR(INDEX('Etsy Import'!$A:$CZ,838,Settings!$C$20)&amp;"","")</f>
        <v/>
      </c>
      <c r="B838">
        <f>IFERROR(INDEX('Etsy Import'!$A:$CZ,838,Settings!$C$21)&amp;"","")</f>
        <v/>
      </c>
      <c r="C838">
        <f>IFERROR(INDEX('Etsy Import'!$A:$CZ,838,Settings!$C$22)&amp;"","")</f>
        <v/>
      </c>
      <c r="D838">
        <f>IF(A838="","",IFERROR(VALUE(SUBSTITUTE(SUBSTITUTE(INDEX('Etsy Import'!$A:$CZ,838,Settings!$C$23)&amp;"","$",""),",","")),0))</f>
        <v/>
      </c>
      <c r="E838" s="11">
        <f>IF(A838="","",IFERROR(VALUE(SUBSTITUTE(SUBSTITUTE(INDEX('Etsy Import'!$A:$CZ,838,Settings!$C$24)&amp;"","$",""),",","")),0))</f>
        <v/>
      </c>
      <c r="F838" s="11">
        <f>IF(A838="","",D838*E838)</f>
        <v/>
      </c>
      <c r="G838">
        <f>IF(A838="","",IF(C838="",1,COUNTIF($C$2:$C$1501,C838)))</f>
        <v/>
      </c>
      <c r="H838" s="11">
        <f>IF(A838="","",IFERROR(VALUE(SUBSTITUTE(SUBSTITUTE(INDEX('Etsy Import'!$A:$CZ,838,Settings!$C$25)&amp;"","$",""),",","")),0)/IF(Settings!$B$27="Yes",G838,1))</f>
        <v/>
      </c>
      <c r="I838" s="11">
        <f>IF(A838="","",IFERROR(VALUE(SUBSTITUTE(SUBSTITUTE(INDEX('Etsy Import'!$A:$CZ,838,Settings!$C$26)&amp;"","$",""),",","")),0)/IF(Settings!$B$27="Yes",G838,1))</f>
        <v/>
      </c>
      <c r="J838" s="11">
        <f>IF(A838="","",F838+H838-I838)</f>
        <v/>
      </c>
      <c r="K838">
        <f>IF(A838="","",IFERROR(IF(B838="",NA(),MATCH(B838,Products!$B$5:$B$204,0)),IFERROR(MATCH(A838,Products!$A$5:$A$204,0),"")))</f>
        <v/>
      </c>
      <c r="L838">
        <f>IF(A838="","",IF(K838="","⚠ not in Products",INDEX(Products!$A$5:$A$204,K838)))</f>
        <v/>
      </c>
      <c r="M838" s="11">
        <f>IF(A838="","",J838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838+IFERROR(INDEX(Settings!$D$5:$D$9,MATCH("Etsy",Settings!$A$5:$A$9,0)),0)*D838)</f>
        <v/>
      </c>
      <c r="N838" s="11">
        <f>IF(A838="","",IF(K838="",0,D838*INDEX(Products!$I$5:$I$204,K838)))</f>
        <v/>
      </c>
      <c r="O838" s="11">
        <f>IF(A838="","",IF(K838="",0,J838*INDEX(Products!$H$5:$H$204,K838)))</f>
        <v/>
      </c>
      <c r="P838" s="11">
        <f>IF(A838="","",J838-M838-N838-O838)</f>
        <v/>
      </c>
    </row>
    <row r="839">
      <c r="A839">
        <f>IFERROR(INDEX('Etsy Import'!$A:$CZ,839,Settings!$C$20)&amp;"","")</f>
        <v/>
      </c>
      <c r="B839">
        <f>IFERROR(INDEX('Etsy Import'!$A:$CZ,839,Settings!$C$21)&amp;"","")</f>
        <v/>
      </c>
      <c r="C839">
        <f>IFERROR(INDEX('Etsy Import'!$A:$CZ,839,Settings!$C$22)&amp;"","")</f>
        <v/>
      </c>
      <c r="D839">
        <f>IF(A839="","",IFERROR(VALUE(SUBSTITUTE(SUBSTITUTE(INDEX('Etsy Import'!$A:$CZ,839,Settings!$C$23)&amp;"","$",""),",","")),0))</f>
        <v/>
      </c>
      <c r="E839" s="11">
        <f>IF(A839="","",IFERROR(VALUE(SUBSTITUTE(SUBSTITUTE(INDEX('Etsy Import'!$A:$CZ,839,Settings!$C$24)&amp;"","$",""),",","")),0))</f>
        <v/>
      </c>
      <c r="F839" s="11">
        <f>IF(A839="","",D839*E839)</f>
        <v/>
      </c>
      <c r="G839">
        <f>IF(A839="","",IF(C839="",1,COUNTIF($C$2:$C$1501,C839)))</f>
        <v/>
      </c>
      <c r="H839" s="11">
        <f>IF(A839="","",IFERROR(VALUE(SUBSTITUTE(SUBSTITUTE(INDEX('Etsy Import'!$A:$CZ,839,Settings!$C$25)&amp;"","$",""),",","")),0)/IF(Settings!$B$27="Yes",G839,1))</f>
        <v/>
      </c>
      <c r="I839" s="11">
        <f>IF(A839="","",IFERROR(VALUE(SUBSTITUTE(SUBSTITUTE(INDEX('Etsy Import'!$A:$CZ,839,Settings!$C$26)&amp;"","$",""),",","")),0)/IF(Settings!$B$27="Yes",G839,1))</f>
        <v/>
      </c>
      <c r="J839" s="11">
        <f>IF(A839="","",F839+H839-I839)</f>
        <v/>
      </c>
      <c r="K839">
        <f>IF(A839="","",IFERROR(IF(B839="",NA(),MATCH(B839,Products!$B$5:$B$204,0)),IFERROR(MATCH(A839,Products!$A$5:$A$204,0),"")))</f>
        <v/>
      </c>
      <c r="L839">
        <f>IF(A839="","",IF(K839="","⚠ not in Products",INDEX(Products!$A$5:$A$204,K839)))</f>
        <v/>
      </c>
      <c r="M839" s="11">
        <f>IF(A839="","",J839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839+IFERROR(INDEX(Settings!$D$5:$D$9,MATCH("Etsy",Settings!$A$5:$A$9,0)),0)*D839)</f>
        <v/>
      </c>
      <c r="N839" s="11">
        <f>IF(A839="","",IF(K839="",0,D839*INDEX(Products!$I$5:$I$204,K839)))</f>
        <v/>
      </c>
      <c r="O839" s="11">
        <f>IF(A839="","",IF(K839="",0,J839*INDEX(Products!$H$5:$H$204,K839)))</f>
        <v/>
      </c>
      <c r="P839" s="11">
        <f>IF(A839="","",J839-M839-N839-O839)</f>
        <v/>
      </c>
    </row>
    <row r="840">
      <c r="A840">
        <f>IFERROR(INDEX('Etsy Import'!$A:$CZ,840,Settings!$C$20)&amp;"","")</f>
        <v/>
      </c>
      <c r="B840">
        <f>IFERROR(INDEX('Etsy Import'!$A:$CZ,840,Settings!$C$21)&amp;"","")</f>
        <v/>
      </c>
      <c r="C840">
        <f>IFERROR(INDEX('Etsy Import'!$A:$CZ,840,Settings!$C$22)&amp;"","")</f>
        <v/>
      </c>
      <c r="D840">
        <f>IF(A840="","",IFERROR(VALUE(SUBSTITUTE(SUBSTITUTE(INDEX('Etsy Import'!$A:$CZ,840,Settings!$C$23)&amp;"","$",""),",","")),0))</f>
        <v/>
      </c>
      <c r="E840" s="11">
        <f>IF(A840="","",IFERROR(VALUE(SUBSTITUTE(SUBSTITUTE(INDEX('Etsy Import'!$A:$CZ,840,Settings!$C$24)&amp;"","$",""),",","")),0))</f>
        <v/>
      </c>
      <c r="F840" s="11">
        <f>IF(A840="","",D840*E840)</f>
        <v/>
      </c>
      <c r="G840">
        <f>IF(A840="","",IF(C840="",1,COUNTIF($C$2:$C$1501,C840)))</f>
        <v/>
      </c>
      <c r="H840" s="11">
        <f>IF(A840="","",IFERROR(VALUE(SUBSTITUTE(SUBSTITUTE(INDEX('Etsy Import'!$A:$CZ,840,Settings!$C$25)&amp;"","$",""),",","")),0)/IF(Settings!$B$27="Yes",G840,1))</f>
        <v/>
      </c>
      <c r="I840" s="11">
        <f>IF(A840="","",IFERROR(VALUE(SUBSTITUTE(SUBSTITUTE(INDEX('Etsy Import'!$A:$CZ,840,Settings!$C$26)&amp;"","$",""),",","")),0)/IF(Settings!$B$27="Yes",G840,1))</f>
        <v/>
      </c>
      <c r="J840" s="11">
        <f>IF(A840="","",F840+H840-I840)</f>
        <v/>
      </c>
      <c r="K840">
        <f>IF(A840="","",IFERROR(IF(B840="",NA(),MATCH(B840,Products!$B$5:$B$204,0)),IFERROR(MATCH(A840,Products!$A$5:$A$204,0),"")))</f>
        <v/>
      </c>
      <c r="L840">
        <f>IF(A840="","",IF(K840="","⚠ not in Products",INDEX(Products!$A$5:$A$204,K840)))</f>
        <v/>
      </c>
      <c r="M840" s="11">
        <f>IF(A840="","",J840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840+IFERROR(INDEX(Settings!$D$5:$D$9,MATCH("Etsy",Settings!$A$5:$A$9,0)),0)*D840)</f>
        <v/>
      </c>
      <c r="N840" s="11">
        <f>IF(A840="","",IF(K840="",0,D840*INDEX(Products!$I$5:$I$204,K840)))</f>
        <v/>
      </c>
      <c r="O840" s="11">
        <f>IF(A840="","",IF(K840="",0,J840*INDEX(Products!$H$5:$H$204,K840)))</f>
        <v/>
      </c>
      <c r="P840" s="11">
        <f>IF(A840="","",J840-M840-N840-O840)</f>
        <v/>
      </c>
    </row>
    <row r="841">
      <c r="A841">
        <f>IFERROR(INDEX('Etsy Import'!$A:$CZ,841,Settings!$C$20)&amp;"","")</f>
        <v/>
      </c>
      <c r="B841">
        <f>IFERROR(INDEX('Etsy Import'!$A:$CZ,841,Settings!$C$21)&amp;"","")</f>
        <v/>
      </c>
      <c r="C841">
        <f>IFERROR(INDEX('Etsy Import'!$A:$CZ,841,Settings!$C$22)&amp;"","")</f>
        <v/>
      </c>
      <c r="D841">
        <f>IF(A841="","",IFERROR(VALUE(SUBSTITUTE(SUBSTITUTE(INDEX('Etsy Import'!$A:$CZ,841,Settings!$C$23)&amp;"","$",""),",","")),0))</f>
        <v/>
      </c>
      <c r="E841" s="11">
        <f>IF(A841="","",IFERROR(VALUE(SUBSTITUTE(SUBSTITUTE(INDEX('Etsy Import'!$A:$CZ,841,Settings!$C$24)&amp;"","$",""),",","")),0))</f>
        <v/>
      </c>
      <c r="F841" s="11">
        <f>IF(A841="","",D841*E841)</f>
        <v/>
      </c>
      <c r="G841">
        <f>IF(A841="","",IF(C841="",1,COUNTIF($C$2:$C$1501,C841)))</f>
        <v/>
      </c>
      <c r="H841" s="11">
        <f>IF(A841="","",IFERROR(VALUE(SUBSTITUTE(SUBSTITUTE(INDEX('Etsy Import'!$A:$CZ,841,Settings!$C$25)&amp;"","$",""),",","")),0)/IF(Settings!$B$27="Yes",G841,1))</f>
        <v/>
      </c>
      <c r="I841" s="11">
        <f>IF(A841="","",IFERROR(VALUE(SUBSTITUTE(SUBSTITUTE(INDEX('Etsy Import'!$A:$CZ,841,Settings!$C$26)&amp;"","$",""),",","")),0)/IF(Settings!$B$27="Yes",G841,1))</f>
        <v/>
      </c>
      <c r="J841" s="11">
        <f>IF(A841="","",F841+H841-I841)</f>
        <v/>
      </c>
      <c r="K841">
        <f>IF(A841="","",IFERROR(IF(B841="",NA(),MATCH(B841,Products!$B$5:$B$204,0)),IFERROR(MATCH(A841,Products!$A$5:$A$204,0),"")))</f>
        <v/>
      </c>
      <c r="L841">
        <f>IF(A841="","",IF(K841="","⚠ not in Products",INDEX(Products!$A$5:$A$204,K841)))</f>
        <v/>
      </c>
      <c r="M841" s="11">
        <f>IF(A841="","",J841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841+IFERROR(INDEX(Settings!$D$5:$D$9,MATCH("Etsy",Settings!$A$5:$A$9,0)),0)*D841)</f>
        <v/>
      </c>
      <c r="N841" s="11">
        <f>IF(A841="","",IF(K841="",0,D841*INDEX(Products!$I$5:$I$204,K841)))</f>
        <v/>
      </c>
      <c r="O841" s="11">
        <f>IF(A841="","",IF(K841="",0,J841*INDEX(Products!$H$5:$H$204,K841)))</f>
        <v/>
      </c>
      <c r="P841" s="11">
        <f>IF(A841="","",J841-M841-N841-O841)</f>
        <v/>
      </c>
    </row>
    <row r="842">
      <c r="A842">
        <f>IFERROR(INDEX('Etsy Import'!$A:$CZ,842,Settings!$C$20)&amp;"","")</f>
        <v/>
      </c>
      <c r="B842">
        <f>IFERROR(INDEX('Etsy Import'!$A:$CZ,842,Settings!$C$21)&amp;"","")</f>
        <v/>
      </c>
      <c r="C842">
        <f>IFERROR(INDEX('Etsy Import'!$A:$CZ,842,Settings!$C$22)&amp;"","")</f>
        <v/>
      </c>
      <c r="D842">
        <f>IF(A842="","",IFERROR(VALUE(SUBSTITUTE(SUBSTITUTE(INDEX('Etsy Import'!$A:$CZ,842,Settings!$C$23)&amp;"","$",""),",","")),0))</f>
        <v/>
      </c>
      <c r="E842" s="11">
        <f>IF(A842="","",IFERROR(VALUE(SUBSTITUTE(SUBSTITUTE(INDEX('Etsy Import'!$A:$CZ,842,Settings!$C$24)&amp;"","$",""),",","")),0))</f>
        <v/>
      </c>
      <c r="F842" s="11">
        <f>IF(A842="","",D842*E842)</f>
        <v/>
      </c>
      <c r="G842">
        <f>IF(A842="","",IF(C842="",1,COUNTIF($C$2:$C$1501,C842)))</f>
        <v/>
      </c>
      <c r="H842" s="11">
        <f>IF(A842="","",IFERROR(VALUE(SUBSTITUTE(SUBSTITUTE(INDEX('Etsy Import'!$A:$CZ,842,Settings!$C$25)&amp;"","$",""),",","")),0)/IF(Settings!$B$27="Yes",G842,1))</f>
        <v/>
      </c>
      <c r="I842" s="11">
        <f>IF(A842="","",IFERROR(VALUE(SUBSTITUTE(SUBSTITUTE(INDEX('Etsy Import'!$A:$CZ,842,Settings!$C$26)&amp;"","$",""),",","")),0)/IF(Settings!$B$27="Yes",G842,1))</f>
        <v/>
      </c>
      <c r="J842" s="11">
        <f>IF(A842="","",F842+H842-I842)</f>
        <v/>
      </c>
      <c r="K842">
        <f>IF(A842="","",IFERROR(IF(B842="",NA(),MATCH(B842,Products!$B$5:$B$204,0)),IFERROR(MATCH(A842,Products!$A$5:$A$204,0),"")))</f>
        <v/>
      </c>
      <c r="L842">
        <f>IF(A842="","",IF(K842="","⚠ not in Products",INDEX(Products!$A$5:$A$204,K842)))</f>
        <v/>
      </c>
      <c r="M842" s="11">
        <f>IF(A842="","",J842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842+IFERROR(INDEX(Settings!$D$5:$D$9,MATCH("Etsy",Settings!$A$5:$A$9,0)),0)*D842)</f>
        <v/>
      </c>
      <c r="N842" s="11">
        <f>IF(A842="","",IF(K842="",0,D842*INDEX(Products!$I$5:$I$204,K842)))</f>
        <v/>
      </c>
      <c r="O842" s="11">
        <f>IF(A842="","",IF(K842="",0,J842*INDEX(Products!$H$5:$H$204,K842)))</f>
        <v/>
      </c>
      <c r="P842" s="11">
        <f>IF(A842="","",J842-M842-N842-O842)</f>
        <v/>
      </c>
    </row>
    <row r="843">
      <c r="A843">
        <f>IFERROR(INDEX('Etsy Import'!$A:$CZ,843,Settings!$C$20)&amp;"","")</f>
        <v/>
      </c>
      <c r="B843">
        <f>IFERROR(INDEX('Etsy Import'!$A:$CZ,843,Settings!$C$21)&amp;"","")</f>
        <v/>
      </c>
      <c r="C843">
        <f>IFERROR(INDEX('Etsy Import'!$A:$CZ,843,Settings!$C$22)&amp;"","")</f>
        <v/>
      </c>
      <c r="D843">
        <f>IF(A843="","",IFERROR(VALUE(SUBSTITUTE(SUBSTITUTE(INDEX('Etsy Import'!$A:$CZ,843,Settings!$C$23)&amp;"","$",""),",","")),0))</f>
        <v/>
      </c>
      <c r="E843" s="11">
        <f>IF(A843="","",IFERROR(VALUE(SUBSTITUTE(SUBSTITUTE(INDEX('Etsy Import'!$A:$CZ,843,Settings!$C$24)&amp;"","$",""),",","")),0))</f>
        <v/>
      </c>
      <c r="F843" s="11">
        <f>IF(A843="","",D843*E843)</f>
        <v/>
      </c>
      <c r="G843">
        <f>IF(A843="","",IF(C843="",1,COUNTIF($C$2:$C$1501,C843)))</f>
        <v/>
      </c>
      <c r="H843" s="11">
        <f>IF(A843="","",IFERROR(VALUE(SUBSTITUTE(SUBSTITUTE(INDEX('Etsy Import'!$A:$CZ,843,Settings!$C$25)&amp;"","$",""),",","")),0)/IF(Settings!$B$27="Yes",G843,1))</f>
        <v/>
      </c>
      <c r="I843" s="11">
        <f>IF(A843="","",IFERROR(VALUE(SUBSTITUTE(SUBSTITUTE(INDEX('Etsy Import'!$A:$CZ,843,Settings!$C$26)&amp;"","$",""),",","")),0)/IF(Settings!$B$27="Yes",G843,1))</f>
        <v/>
      </c>
      <c r="J843" s="11">
        <f>IF(A843="","",F843+H843-I843)</f>
        <v/>
      </c>
      <c r="K843">
        <f>IF(A843="","",IFERROR(IF(B843="",NA(),MATCH(B843,Products!$B$5:$B$204,0)),IFERROR(MATCH(A843,Products!$A$5:$A$204,0),"")))</f>
        <v/>
      </c>
      <c r="L843">
        <f>IF(A843="","",IF(K843="","⚠ not in Products",INDEX(Products!$A$5:$A$204,K843)))</f>
        <v/>
      </c>
      <c r="M843" s="11">
        <f>IF(A843="","",J843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843+IFERROR(INDEX(Settings!$D$5:$D$9,MATCH("Etsy",Settings!$A$5:$A$9,0)),0)*D843)</f>
        <v/>
      </c>
      <c r="N843" s="11">
        <f>IF(A843="","",IF(K843="",0,D843*INDEX(Products!$I$5:$I$204,K843)))</f>
        <v/>
      </c>
      <c r="O843" s="11">
        <f>IF(A843="","",IF(K843="",0,J843*INDEX(Products!$H$5:$H$204,K843)))</f>
        <v/>
      </c>
      <c r="P843" s="11">
        <f>IF(A843="","",J843-M843-N843-O843)</f>
        <v/>
      </c>
    </row>
    <row r="844">
      <c r="A844">
        <f>IFERROR(INDEX('Etsy Import'!$A:$CZ,844,Settings!$C$20)&amp;"","")</f>
        <v/>
      </c>
      <c r="B844">
        <f>IFERROR(INDEX('Etsy Import'!$A:$CZ,844,Settings!$C$21)&amp;"","")</f>
        <v/>
      </c>
      <c r="C844">
        <f>IFERROR(INDEX('Etsy Import'!$A:$CZ,844,Settings!$C$22)&amp;"","")</f>
        <v/>
      </c>
      <c r="D844">
        <f>IF(A844="","",IFERROR(VALUE(SUBSTITUTE(SUBSTITUTE(INDEX('Etsy Import'!$A:$CZ,844,Settings!$C$23)&amp;"","$",""),",","")),0))</f>
        <v/>
      </c>
      <c r="E844" s="11">
        <f>IF(A844="","",IFERROR(VALUE(SUBSTITUTE(SUBSTITUTE(INDEX('Etsy Import'!$A:$CZ,844,Settings!$C$24)&amp;"","$",""),",","")),0))</f>
        <v/>
      </c>
      <c r="F844" s="11">
        <f>IF(A844="","",D844*E844)</f>
        <v/>
      </c>
      <c r="G844">
        <f>IF(A844="","",IF(C844="",1,COUNTIF($C$2:$C$1501,C844)))</f>
        <v/>
      </c>
      <c r="H844" s="11">
        <f>IF(A844="","",IFERROR(VALUE(SUBSTITUTE(SUBSTITUTE(INDEX('Etsy Import'!$A:$CZ,844,Settings!$C$25)&amp;"","$",""),",","")),0)/IF(Settings!$B$27="Yes",G844,1))</f>
        <v/>
      </c>
      <c r="I844" s="11">
        <f>IF(A844="","",IFERROR(VALUE(SUBSTITUTE(SUBSTITUTE(INDEX('Etsy Import'!$A:$CZ,844,Settings!$C$26)&amp;"","$",""),",","")),0)/IF(Settings!$B$27="Yes",G844,1))</f>
        <v/>
      </c>
      <c r="J844" s="11">
        <f>IF(A844="","",F844+H844-I844)</f>
        <v/>
      </c>
      <c r="K844">
        <f>IF(A844="","",IFERROR(IF(B844="",NA(),MATCH(B844,Products!$B$5:$B$204,0)),IFERROR(MATCH(A844,Products!$A$5:$A$204,0),"")))</f>
        <v/>
      </c>
      <c r="L844">
        <f>IF(A844="","",IF(K844="","⚠ not in Products",INDEX(Products!$A$5:$A$204,K844)))</f>
        <v/>
      </c>
      <c r="M844" s="11">
        <f>IF(A844="","",J844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844+IFERROR(INDEX(Settings!$D$5:$D$9,MATCH("Etsy",Settings!$A$5:$A$9,0)),0)*D844)</f>
        <v/>
      </c>
      <c r="N844" s="11">
        <f>IF(A844="","",IF(K844="",0,D844*INDEX(Products!$I$5:$I$204,K844)))</f>
        <v/>
      </c>
      <c r="O844" s="11">
        <f>IF(A844="","",IF(K844="",0,J844*INDEX(Products!$H$5:$H$204,K844)))</f>
        <v/>
      </c>
      <c r="P844" s="11">
        <f>IF(A844="","",J844-M844-N844-O844)</f>
        <v/>
      </c>
    </row>
    <row r="845">
      <c r="A845">
        <f>IFERROR(INDEX('Etsy Import'!$A:$CZ,845,Settings!$C$20)&amp;"","")</f>
        <v/>
      </c>
      <c r="B845">
        <f>IFERROR(INDEX('Etsy Import'!$A:$CZ,845,Settings!$C$21)&amp;"","")</f>
        <v/>
      </c>
      <c r="C845">
        <f>IFERROR(INDEX('Etsy Import'!$A:$CZ,845,Settings!$C$22)&amp;"","")</f>
        <v/>
      </c>
      <c r="D845">
        <f>IF(A845="","",IFERROR(VALUE(SUBSTITUTE(SUBSTITUTE(INDEX('Etsy Import'!$A:$CZ,845,Settings!$C$23)&amp;"","$",""),",","")),0))</f>
        <v/>
      </c>
      <c r="E845" s="11">
        <f>IF(A845="","",IFERROR(VALUE(SUBSTITUTE(SUBSTITUTE(INDEX('Etsy Import'!$A:$CZ,845,Settings!$C$24)&amp;"","$",""),",","")),0))</f>
        <v/>
      </c>
      <c r="F845" s="11">
        <f>IF(A845="","",D845*E845)</f>
        <v/>
      </c>
      <c r="G845">
        <f>IF(A845="","",IF(C845="",1,COUNTIF($C$2:$C$1501,C845)))</f>
        <v/>
      </c>
      <c r="H845" s="11">
        <f>IF(A845="","",IFERROR(VALUE(SUBSTITUTE(SUBSTITUTE(INDEX('Etsy Import'!$A:$CZ,845,Settings!$C$25)&amp;"","$",""),",","")),0)/IF(Settings!$B$27="Yes",G845,1))</f>
        <v/>
      </c>
      <c r="I845" s="11">
        <f>IF(A845="","",IFERROR(VALUE(SUBSTITUTE(SUBSTITUTE(INDEX('Etsy Import'!$A:$CZ,845,Settings!$C$26)&amp;"","$",""),",","")),0)/IF(Settings!$B$27="Yes",G845,1))</f>
        <v/>
      </c>
      <c r="J845" s="11">
        <f>IF(A845="","",F845+H845-I845)</f>
        <v/>
      </c>
      <c r="K845">
        <f>IF(A845="","",IFERROR(IF(B845="",NA(),MATCH(B845,Products!$B$5:$B$204,0)),IFERROR(MATCH(A845,Products!$A$5:$A$204,0),"")))</f>
        <v/>
      </c>
      <c r="L845">
        <f>IF(A845="","",IF(K845="","⚠ not in Products",INDEX(Products!$A$5:$A$204,K845)))</f>
        <v/>
      </c>
      <c r="M845" s="11">
        <f>IF(A845="","",J845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845+IFERROR(INDEX(Settings!$D$5:$D$9,MATCH("Etsy",Settings!$A$5:$A$9,0)),0)*D845)</f>
        <v/>
      </c>
      <c r="N845" s="11">
        <f>IF(A845="","",IF(K845="",0,D845*INDEX(Products!$I$5:$I$204,K845)))</f>
        <v/>
      </c>
      <c r="O845" s="11">
        <f>IF(A845="","",IF(K845="",0,J845*INDEX(Products!$H$5:$H$204,K845)))</f>
        <v/>
      </c>
      <c r="P845" s="11">
        <f>IF(A845="","",J845-M845-N845-O845)</f>
        <v/>
      </c>
    </row>
    <row r="846">
      <c r="A846">
        <f>IFERROR(INDEX('Etsy Import'!$A:$CZ,846,Settings!$C$20)&amp;"","")</f>
        <v/>
      </c>
      <c r="B846">
        <f>IFERROR(INDEX('Etsy Import'!$A:$CZ,846,Settings!$C$21)&amp;"","")</f>
        <v/>
      </c>
      <c r="C846">
        <f>IFERROR(INDEX('Etsy Import'!$A:$CZ,846,Settings!$C$22)&amp;"","")</f>
        <v/>
      </c>
      <c r="D846">
        <f>IF(A846="","",IFERROR(VALUE(SUBSTITUTE(SUBSTITUTE(INDEX('Etsy Import'!$A:$CZ,846,Settings!$C$23)&amp;"","$",""),",","")),0))</f>
        <v/>
      </c>
      <c r="E846" s="11">
        <f>IF(A846="","",IFERROR(VALUE(SUBSTITUTE(SUBSTITUTE(INDEX('Etsy Import'!$A:$CZ,846,Settings!$C$24)&amp;"","$",""),",","")),0))</f>
        <v/>
      </c>
      <c r="F846" s="11">
        <f>IF(A846="","",D846*E846)</f>
        <v/>
      </c>
      <c r="G846">
        <f>IF(A846="","",IF(C846="",1,COUNTIF($C$2:$C$1501,C846)))</f>
        <v/>
      </c>
      <c r="H846" s="11">
        <f>IF(A846="","",IFERROR(VALUE(SUBSTITUTE(SUBSTITUTE(INDEX('Etsy Import'!$A:$CZ,846,Settings!$C$25)&amp;"","$",""),",","")),0)/IF(Settings!$B$27="Yes",G846,1))</f>
        <v/>
      </c>
      <c r="I846" s="11">
        <f>IF(A846="","",IFERROR(VALUE(SUBSTITUTE(SUBSTITUTE(INDEX('Etsy Import'!$A:$CZ,846,Settings!$C$26)&amp;"","$",""),",","")),0)/IF(Settings!$B$27="Yes",G846,1))</f>
        <v/>
      </c>
      <c r="J846" s="11">
        <f>IF(A846="","",F846+H846-I846)</f>
        <v/>
      </c>
      <c r="K846">
        <f>IF(A846="","",IFERROR(IF(B846="",NA(),MATCH(B846,Products!$B$5:$B$204,0)),IFERROR(MATCH(A846,Products!$A$5:$A$204,0),"")))</f>
        <v/>
      </c>
      <c r="L846">
        <f>IF(A846="","",IF(K846="","⚠ not in Products",INDEX(Products!$A$5:$A$204,K846)))</f>
        <v/>
      </c>
      <c r="M846" s="11">
        <f>IF(A846="","",J846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846+IFERROR(INDEX(Settings!$D$5:$D$9,MATCH("Etsy",Settings!$A$5:$A$9,0)),0)*D846)</f>
        <v/>
      </c>
      <c r="N846" s="11">
        <f>IF(A846="","",IF(K846="",0,D846*INDEX(Products!$I$5:$I$204,K846)))</f>
        <v/>
      </c>
      <c r="O846" s="11">
        <f>IF(A846="","",IF(K846="",0,J846*INDEX(Products!$H$5:$H$204,K846)))</f>
        <v/>
      </c>
      <c r="P846" s="11">
        <f>IF(A846="","",J846-M846-N846-O846)</f>
        <v/>
      </c>
    </row>
    <row r="847">
      <c r="A847">
        <f>IFERROR(INDEX('Etsy Import'!$A:$CZ,847,Settings!$C$20)&amp;"","")</f>
        <v/>
      </c>
      <c r="B847">
        <f>IFERROR(INDEX('Etsy Import'!$A:$CZ,847,Settings!$C$21)&amp;"","")</f>
        <v/>
      </c>
      <c r="C847">
        <f>IFERROR(INDEX('Etsy Import'!$A:$CZ,847,Settings!$C$22)&amp;"","")</f>
        <v/>
      </c>
      <c r="D847">
        <f>IF(A847="","",IFERROR(VALUE(SUBSTITUTE(SUBSTITUTE(INDEX('Etsy Import'!$A:$CZ,847,Settings!$C$23)&amp;"","$",""),",","")),0))</f>
        <v/>
      </c>
      <c r="E847" s="11">
        <f>IF(A847="","",IFERROR(VALUE(SUBSTITUTE(SUBSTITUTE(INDEX('Etsy Import'!$A:$CZ,847,Settings!$C$24)&amp;"","$",""),",","")),0))</f>
        <v/>
      </c>
      <c r="F847" s="11">
        <f>IF(A847="","",D847*E847)</f>
        <v/>
      </c>
      <c r="G847">
        <f>IF(A847="","",IF(C847="",1,COUNTIF($C$2:$C$1501,C847)))</f>
        <v/>
      </c>
      <c r="H847" s="11">
        <f>IF(A847="","",IFERROR(VALUE(SUBSTITUTE(SUBSTITUTE(INDEX('Etsy Import'!$A:$CZ,847,Settings!$C$25)&amp;"","$",""),",","")),0)/IF(Settings!$B$27="Yes",G847,1))</f>
        <v/>
      </c>
      <c r="I847" s="11">
        <f>IF(A847="","",IFERROR(VALUE(SUBSTITUTE(SUBSTITUTE(INDEX('Etsy Import'!$A:$CZ,847,Settings!$C$26)&amp;"","$",""),",","")),0)/IF(Settings!$B$27="Yes",G847,1))</f>
        <v/>
      </c>
      <c r="J847" s="11">
        <f>IF(A847="","",F847+H847-I847)</f>
        <v/>
      </c>
      <c r="K847">
        <f>IF(A847="","",IFERROR(IF(B847="",NA(),MATCH(B847,Products!$B$5:$B$204,0)),IFERROR(MATCH(A847,Products!$A$5:$A$204,0),"")))</f>
        <v/>
      </c>
      <c r="L847">
        <f>IF(A847="","",IF(K847="","⚠ not in Products",INDEX(Products!$A$5:$A$204,K847)))</f>
        <v/>
      </c>
      <c r="M847" s="11">
        <f>IF(A847="","",J847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847+IFERROR(INDEX(Settings!$D$5:$D$9,MATCH("Etsy",Settings!$A$5:$A$9,0)),0)*D847)</f>
        <v/>
      </c>
      <c r="N847" s="11">
        <f>IF(A847="","",IF(K847="",0,D847*INDEX(Products!$I$5:$I$204,K847)))</f>
        <v/>
      </c>
      <c r="O847" s="11">
        <f>IF(A847="","",IF(K847="",0,J847*INDEX(Products!$H$5:$H$204,K847)))</f>
        <v/>
      </c>
      <c r="P847" s="11">
        <f>IF(A847="","",J847-M847-N847-O847)</f>
        <v/>
      </c>
    </row>
    <row r="848">
      <c r="A848">
        <f>IFERROR(INDEX('Etsy Import'!$A:$CZ,848,Settings!$C$20)&amp;"","")</f>
        <v/>
      </c>
      <c r="B848">
        <f>IFERROR(INDEX('Etsy Import'!$A:$CZ,848,Settings!$C$21)&amp;"","")</f>
        <v/>
      </c>
      <c r="C848">
        <f>IFERROR(INDEX('Etsy Import'!$A:$CZ,848,Settings!$C$22)&amp;"","")</f>
        <v/>
      </c>
      <c r="D848">
        <f>IF(A848="","",IFERROR(VALUE(SUBSTITUTE(SUBSTITUTE(INDEX('Etsy Import'!$A:$CZ,848,Settings!$C$23)&amp;"","$",""),",","")),0))</f>
        <v/>
      </c>
      <c r="E848" s="11">
        <f>IF(A848="","",IFERROR(VALUE(SUBSTITUTE(SUBSTITUTE(INDEX('Etsy Import'!$A:$CZ,848,Settings!$C$24)&amp;"","$",""),",","")),0))</f>
        <v/>
      </c>
      <c r="F848" s="11">
        <f>IF(A848="","",D848*E848)</f>
        <v/>
      </c>
      <c r="G848">
        <f>IF(A848="","",IF(C848="",1,COUNTIF($C$2:$C$1501,C848)))</f>
        <v/>
      </c>
      <c r="H848" s="11">
        <f>IF(A848="","",IFERROR(VALUE(SUBSTITUTE(SUBSTITUTE(INDEX('Etsy Import'!$A:$CZ,848,Settings!$C$25)&amp;"","$",""),",","")),0)/IF(Settings!$B$27="Yes",G848,1))</f>
        <v/>
      </c>
      <c r="I848" s="11">
        <f>IF(A848="","",IFERROR(VALUE(SUBSTITUTE(SUBSTITUTE(INDEX('Etsy Import'!$A:$CZ,848,Settings!$C$26)&amp;"","$",""),",","")),0)/IF(Settings!$B$27="Yes",G848,1))</f>
        <v/>
      </c>
      <c r="J848" s="11">
        <f>IF(A848="","",F848+H848-I848)</f>
        <v/>
      </c>
      <c r="K848">
        <f>IF(A848="","",IFERROR(IF(B848="",NA(),MATCH(B848,Products!$B$5:$B$204,0)),IFERROR(MATCH(A848,Products!$A$5:$A$204,0),"")))</f>
        <v/>
      </c>
      <c r="L848">
        <f>IF(A848="","",IF(K848="","⚠ not in Products",INDEX(Products!$A$5:$A$204,K848)))</f>
        <v/>
      </c>
      <c r="M848" s="11">
        <f>IF(A848="","",J848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848+IFERROR(INDEX(Settings!$D$5:$D$9,MATCH("Etsy",Settings!$A$5:$A$9,0)),0)*D848)</f>
        <v/>
      </c>
      <c r="N848" s="11">
        <f>IF(A848="","",IF(K848="",0,D848*INDEX(Products!$I$5:$I$204,K848)))</f>
        <v/>
      </c>
      <c r="O848" s="11">
        <f>IF(A848="","",IF(K848="",0,J848*INDEX(Products!$H$5:$H$204,K848)))</f>
        <v/>
      </c>
      <c r="P848" s="11">
        <f>IF(A848="","",J848-M848-N848-O848)</f>
        <v/>
      </c>
    </row>
    <row r="849">
      <c r="A849">
        <f>IFERROR(INDEX('Etsy Import'!$A:$CZ,849,Settings!$C$20)&amp;"","")</f>
        <v/>
      </c>
      <c r="B849">
        <f>IFERROR(INDEX('Etsy Import'!$A:$CZ,849,Settings!$C$21)&amp;"","")</f>
        <v/>
      </c>
      <c r="C849">
        <f>IFERROR(INDEX('Etsy Import'!$A:$CZ,849,Settings!$C$22)&amp;"","")</f>
        <v/>
      </c>
      <c r="D849">
        <f>IF(A849="","",IFERROR(VALUE(SUBSTITUTE(SUBSTITUTE(INDEX('Etsy Import'!$A:$CZ,849,Settings!$C$23)&amp;"","$",""),",","")),0))</f>
        <v/>
      </c>
      <c r="E849" s="11">
        <f>IF(A849="","",IFERROR(VALUE(SUBSTITUTE(SUBSTITUTE(INDEX('Etsy Import'!$A:$CZ,849,Settings!$C$24)&amp;"","$",""),",","")),0))</f>
        <v/>
      </c>
      <c r="F849" s="11">
        <f>IF(A849="","",D849*E849)</f>
        <v/>
      </c>
      <c r="G849">
        <f>IF(A849="","",IF(C849="",1,COUNTIF($C$2:$C$1501,C849)))</f>
        <v/>
      </c>
      <c r="H849" s="11">
        <f>IF(A849="","",IFERROR(VALUE(SUBSTITUTE(SUBSTITUTE(INDEX('Etsy Import'!$A:$CZ,849,Settings!$C$25)&amp;"","$",""),",","")),0)/IF(Settings!$B$27="Yes",G849,1))</f>
        <v/>
      </c>
      <c r="I849" s="11">
        <f>IF(A849="","",IFERROR(VALUE(SUBSTITUTE(SUBSTITUTE(INDEX('Etsy Import'!$A:$CZ,849,Settings!$C$26)&amp;"","$",""),",","")),0)/IF(Settings!$B$27="Yes",G849,1))</f>
        <v/>
      </c>
      <c r="J849" s="11">
        <f>IF(A849="","",F849+H849-I849)</f>
        <v/>
      </c>
      <c r="K849">
        <f>IF(A849="","",IFERROR(IF(B849="",NA(),MATCH(B849,Products!$B$5:$B$204,0)),IFERROR(MATCH(A849,Products!$A$5:$A$204,0),"")))</f>
        <v/>
      </c>
      <c r="L849">
        <f>IF(A849="","",IF(K849="","⚠ not in Products",INDEX(Products!$A$5:$A$204,K849)))</f>
        <v/>
      </c>
      <c r="M849" s="11">
        <f>IF(A849="","",J849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849+IFERROR(INDEX(Settings!$D$5:$D$9,MATCH("Etsy",Settings!$A$5:$A$9,0)),0)*D849)</f>
        <v/>
      </c>
      <c r="N849" s="11">
        <f>IF(A849="","",IF(K849="",0,D849*INDEX(Products!$I$5:$I$204,K849)))</f>
        <v/>
      </c>
      <c r="O849" s="11">
        <f>IF(A849="","",IF(K849="",0,J849*INDEX(Products!$H$5:$H$204,K849)))</f>
        <v/>
      </c>
      <c r="P849" s="11">
        <f>IF(A849="","",J849-M849-N849-O849)</f>
        <v/>
      </c>
    </row>
    <row r="850">
      <c r="A850">
        <f>IFERROR(INDEX('Etsy Import'!$A:$CZ,850,Settings!$C$20)&amp;"","")</f>
        <v/>
      </c>
      <c r="B850">
        <f>IFERROR(INDEX('Etsy Import'!$A:$CZ,850,Settings!$C$21)&amp;"","")</f>
        <v/>
      </c>
      <c r="C850">
        <f>IFERROR(INDEX('Etsy Import'!$A:$CZ,850,Settings!$C$22)&amp;"","")</f>
        <v/>
      </c>
      <c r="D850">
        <f>IF(A850="","",IFERROR(VALUE(SUBSTITUTE(SUBSTITUTE(INDEX('Etsy Import'!$A:$CZ,850,Settings!$C$23)&amp;"","$",""),",","")),0))</f>
        <v/>
      </c>
      <c r="E850" s="11">
        <f>IF(A850="","",IFERROR(VALUE(SUBSTITUTE(SUBSTITUTE(INDEX('Etsy Import'!$A:$CZ,850,Settings!$C$24)&amp;"","$",""),",","")),0))</f>
        <v/>
      </c>
      <c r="F850" s="11">
        <f>IF(A850="","",D850*E850)</f>
        <v/>
      </c>
      <c r="G850">
        <f>IF(A850="","",IF(C850="",1,COUNTIF($C$2:$C$1501,C850)))</f>
        <v/>
      </c>
      <c r="H850" s="11">
        <f>IF(A850="","",IFERROR(VALUE(SUBSTITUTE(SUBSTITUTE(INDEX('Etsy Import'!$A:$CZ,850,Settings!$C$25)&amp;"","$",""),",","")),0)/IF(Settings!$B$27="Yes",G850,1))</f>
        <v/>
      </c>
      <c r="I850" s="11">
        <f>IF(A850="","",IFERROR(VALUE(SUBSTITUTE(SUBSTITUTE(INDEX('Etsy Import'!$A:$CZ,850,Settings!$C$26)&amp;"","$",""),",","")),0)/IF(Settings!$B$27="Yes",G850,1))</f>
        <v/>
      </c>
      <c r="J850" s="11">
        <f>IF(A850="","",F850+H850-I850)</f>
        <v/>
      </c>
      <c r="K850">
        <f>IF(A850="","",IFERROR(IF(B850="",NA(),MATCH(B850,Products!$B$5:$B$204,0)),IFERROR(MATCH(A850,Products!$A$5:$A$204,0),"")))</f>
        <v/>
      </c>
      <c r="L850">
        <f>IF(A850="","",IF(K850="","⚠ not in Products",INDEX(Products!$A$5:$A$204,K850)))</f>
        <v/>
      </c>
      <c r="M850" s="11">
        <f>IF(A850="","",J850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850+IFERROR(INDEX(Settings!$D$5:$D$9,MATCH("Etsy",Settings!$A$5:$A$9,0)),0)*D850)</f>
        <v/>
      </c>
      <c r="N850" s="11">
        <f>IF(A850="","",IF(K850="",0,D850*INDEX(Products!$I$5:$I$204,K850)))</f>
        <v/>
      </c>
      <c r="O850" s="11">
        <f>IF(A850="","",IF(K850="",0,J850*INDEX(Products!$H$5:$H$204,K850)))</f>
        <v/>
      </c>
      <c r="P850" s="11">
        <f>IF(A850="","",J850-M850-N850-O850)</f>
        <v/>
      </c>
    </row>
    <row r="851">
      <c r="A851">
        <f>IFERROR(INDEX('Etsy Import'!$A:$CZ,851,Settings!$C$20)&amp;"","")</f>
        <v/>
      </c>
      <c r="B851">
        <f>IFERROR(INDEX('Etsy Import'!$A:$CZ,851,Settings!$C$21)&amp;"","")</f>
        <v/>
      </c>
      <c r="C851">
        <f>IFERROR(INDEX('Etsy Import'!$A:$CZ,851,Settings!$C$22)&amp;"","")</f>
        <v/>
      </c>
      <c r="D851">
        <f>IF(A851="","",IFERROR(VALUE(SUBSTITUTE(SUBSTITUTE(INDEX('Etsy Import'!$A:$CZ,851,Settings!$C$23)&amp;"","$",""),",","")),0))</f>
        <v/>
      </c>
      <c r="E851" s="11">
        <f>IF(A851="","",IFERROR(VALUE(SUBSTITUTE(SUBSTITUTE(INDEX('Etsy Import'!$A:$CZ,851,Settings!$C$24)&amp;"","$",""),",","")),0))</f>
        <v/>
      </c>
      <c r="F851" s="11">
        <f>IF(A851="","",D851*E851)</f>
        <v/>
      </c>
      <c r="G851">
        <f>IF(A851="","",IF(C851="",1,COUNTIF($C$2:$C$1501,C851)))</f>
        <v/>
      </c>
      <c r="H851" s="11">
        <f>IF(A851="","",IFERROR(VALUE(SUBSTITUTE(SUBSTITUTE(INDEX('Etsy Import'!$A:$CZ,851,Settings!$C$25)&amp;"","$",""),",","")),0)/IF(Settings!$B$27="Yes",G851,1))</f>
        <v/>
      </c>
      <c r="I851" s="11">
        <f>IF(A851="","",IFERROR(VALUE(SUBSTITUTE(SUBSTITUTE(INDEX('Etsy Import'!$A:$CZ,851,Settings!$C$26)&amp;"","$",""),",","")),0)/IF(Settings!$B$27="Yes",G851,1))</f>
        <v/>
      </c>
      <c r="J851" s="11">
        <f>IF(A851="","",F851+H851-I851)</f>
        <v/>
      </c>
      <c r="K851">
        <f>IF(A851="","",IFERROR(IF(B851="",NA(),MATCH(B851,Products!$B$5:$B$204,0)),IFERROR(MATCH(A851,Products!$A$5:$A$204,0),"")))</f>
        <v/>
      </c>
      <c r="L851">
        <f>IF(A851="","",IF(K851="","⚠ not in Products",INDEX(Products!$A$5:$A$204,K851)))</f>
        <v/>
      </c>
      <c r="M851" s="11">
        <f>IF(A851="","",J851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851+IFERROR(INDEX(Settings!$D$5:$D$9,MATCH("Etsy",Settings!$A$5:$A$9,0)),0)*D851)</f>
        <v/>
      </c>
      <c r="N851" s="11">
        <f>IF(A851="","",IF(K851="",0,D851*INDEX(Products!$I$5:$I$204,K851)))</f>
        <v/>
      </c>
      <c r="O851" s="11">
        <f>IF(A851="","",IF(K851="",0,J851*INDEX(Products!$H$5:$H$204,K851)))</f>
        <v/>
      </c>
      <c r="P851" s="11">
        <f>IF(A851="","",J851-M851-N851-O851)</f>
        <v/>
      </c>
    </row>
    <row r="852">
      <c r="A852">
        <f>IFERROR(INDEX('Etsy Import'!$A:$CZ,852,Settings!$C$20)&amp;"","")</f>
        <v/>
      </c>
      <c r="B852">
        <f>IFERROR(INDEX('Etsy Import'!$A:$CZ,852,Settings!$C$21)&amp;"","")</f>
        <v/>
      </c>
      <c r="C852">
        <f>IFERROR(INDEX('Etsy Import'!$A:$CZ,852,Settings!$C$22)&amp;"","")</f>
        <v/>
      </c>
      <c r="D852">
        <f>IF(A852="","",IFERROR(VALUE(SUBSTITUTE(SUBSTITUTE(INDEX('Etsy Import'!$A:$CZ,852,Settings!$C$23)&amp;"","$",""),",","")),0))</f>
        <v/>
      </c>
      <c r="E852" s="11">
        <f>IF(A852="","",IFERROR(VALUE(SUBSTITUTE(SUBSTITUTE(INDEX('Etsy Import'!$A:$CZ,852,Settings!$C$24)&amp;"","$",""),",","")),0))</f>
        <v/>
      </c>
      <c r="F852" s="11">
        <f>IF(A852="","",D852*E852)</f>
        <v/>
      </c>
      <c r="G852">
        <f>IF(A852="","",IF(C852="",1,COUNTIF($C$2:$C$1501,C852)))</f>
        <v/>
      </c>
      <c r="H852" s="11">
        <f>IF(A852="","",IFERROR(VALUE(SUBSTITUTE(SUBSTITUTE(INDEX('Etsy Import'!$A:$CZ,852,Settings!$C$25)&amp;"","$",""),",","")),0)/IF(Settings!$B$27="Yes",G852,1))</f>
        <v/>
      </c>
      <c r="I852" s="11">
        <f>IF(A852="","",IFERROR(VALUE(SUBSTITUTE(SUBSTITUTE(INDEX('Etsy Import'!$A:$CZ,852,Settings!$C$26)&amp;"","$",""),",","")),0)/IF(Settings!$B$27="Yes",G852,1))</f>
        <v/>
      </c>
      <c r="J852" s="11">
        <f>IF(A852="","",F852+H852-I852)</f>
        <v/>
      </c>
      <c r="K852">
        <f>IF(A852="","",IFERROR(IF(B852="",NA(),MATCH(B852,Products!$B$5:$B$204,0)),IFERROR(MATCH(A852,Products!$A$5:$A$204,0),"")))</f>
        <v/>
      </c>
      <c r="L852">
        <f>IF(A852="","",IF(K852="","⚠ not in Products",INDEX(Products!$A$5:$A$204,K852)))</f>
        <v/>
      </c>
      <c r="M852" s="11">
        <f>IF(A852="","",J852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852+IFERROR(INDEX(Settings!$D$5:$D$9,MATCH("Etsy",Settings!$A$5:$A$9,0)),0)*D852)</f>
        <v/>
      </c>
      <c r="N852" s="11">
        <f>IF(A852="","",IF(K852="",0,D852*INDEX(Products!$I$5:$I$204,K852)))</f>
        <v/>
      </c>
      <c r="O852" s="11">
        <f>IF(A852="","",IF(K852="",0,J852*INDEX(Products!$H$5:$H$204,K852)))</f>
        <v/>
      </c>
      <c r="P852" s="11">
        <f>IF(A852="","",J852-M852-N852-O852)</f>
        <v/>
      </c>
    </row>
    <row r="853">
      <c r="A853">
        <f>IFERROR(INDEX('Etsy Import'!$A:$CZ,853,Settings!$C$20)&amp;"","")</f>
        <v/>
      </c>
      <c r="B853">
        <f>IFERROR(INDEX('Etsy Import'!$A:$CZ,853,Settings!$C$21)&amp;"","")</f>
        <v/>
      </c>
      <c r="C853">
        <f>IFERROR(INDEX('Etsy Import'!$A:$CZ,853,Settings!$C$22)&amp;"","")</f>
        <v/>
      </c>
      <c r="D853">
        <f>IF(A853="","",IFERROR(VALUE(SUBSTITUTE(SUBSTITUTE(INDEX('Etsy Import'!$A:$CZ,853,Settings!$C$23)&amp;"","$",""),",","")),0))</f>
        <v/>
      </c>
      <c r="E853" s="11">
        <f>IF(A853="","",IFERROR(VALUE(SUBSTITUTE(SUBSTITUTE(INDEX('Etsy Import'!$A:$CZ,853,Settings!$C$24)&amp;"","$",""),",","")),0))</f>
        <v/>
      </c>
      <c r="F853" s="11">
        <f>IF(A853="","",D853*E853)</f>
        <v/>
      </c>
      <c r="G853">
        <f>IF(A853="","",IF(C853="",1,COUNTIF($C$2:$C$1501,C853)))</f>
        <v/>
      </c>
      <c r="H853" s="11">
        <f>IF(A853="","",IFERROR(VALUE(SUBSTITUTE(SUBSTITUTE(INDEX('Etsy Import'!$A:$CZ,853,Settings!$C$25)&amp;"","$",""),",","")),0)/IF(Settings!$B$27="Yes",G853,1))</f>
        <v/>
      </c>
      <c r="I853" s="11">
        <f>IF(A853="","",IFERROR(VALUE(SUBSTITUTE(SUBSTITUTE(INDEX('Etsy Import'!$A:$CZ,853,Settings!$C$26)&amp;"","$",""),",","")),0)/IF(Settings!$B$27="Yes",G853,1))</f>
        <v/>
      </c>
      <c r="J853" s="11">
        <f>IF(A853="","",F853+H853-I853)</f>
        <v/>
      </c>
      <c r="K853">
        <f>IF(A853="","",IFERROR(IF(B853="",NA(),MATCH(B853,Products!$B$5:$B$204,0)),IFERROR(MATCH(A853,Products!$A$5:$A$204,0),"")))</f>
        <v/>
      </c>
      <c r="L853">
        <f>IF(A853="","",IF(K853="","⚠ not in Products",INDEX(Products!$A$5:$A$204,K853)))</f>
        <v/>
      </c>
      <c r="M853" s="11">
        <f>IF(A853="","",J853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853+IFERROR(INDEX(Settings!$D$5:$D$9,MATCH("Etsy",Settings!$A$5:$A$9,0)),0)*D853)</f>
        <v/>
      </c>
      <c r="N853" s="11">
        <f>IF(A853="","",IF(K853="",0,D853*INDEX(Products!$I$5:$I$204,K853)))</f>
        <v/>
      </c>
      <c r="O853" s="11">
        <f>IF(A853="","",IF(K853="",0,J853*INDEX(Products!$H$5:$H$204,K853)))</f>
        <v/>
      </c>
      <c r="P853" s="11">
        <f>IF(A853="","",J853-M853-N853-O853)</f>
        <v/>
      </c>
    </row>
    <row r="854">
      <c r="A854">
        <f>IFERROR(INDEX('Etsy Import'!$A:$CZ,854,Settings!$C$20)&amp;"","")</f>
        <v/>
      </c>
      <c r="B854">
        <f>IFERROR(INDEX('Etsy Import'!$A:$CZ,854,Settings!$C$21)&amp;"","")</f>
        <v/>
      </c>
      <c r="C854">
        <f>IFERROR(INDEX('Etsy Import'!$A:$CZ,854,Settings!$C$22)&amp;"","")</f>
        <v/>
      </c>
      <c r="D854">
        <f>IF(A854="","",IFERROR(VALUE(SUBSTITUTE(SUBSTITUTE(INDEX('Etsy Import'!$A:$CZ,854,Settings!$C$23)&amp;"","$",""),",","")),0))</f>
        <v/>
      </c>
      <c r="E854" s="11">
        <f>IF(A854="","",IFERROR(VALUE(SUBSTITUTE(SUBSTITUTE(INDEX('Etsy Import'!$A:$CZ,854,Settings!$C$24)&amp;"","$",""),",","")),0))</f>
        <v/>
      </c>
      <c r="F854" s="11">
        <f>IF(A854="","",D854*E854)</f>
        <v/>
      </c>
      <c r="G854">
        <f>IF(A854="","",IF(C854="",1,COUNTIF($C$2:$C$1501,C854)))</f>
        <v/>
      </c>
      <c r="H854" s="11">
        <f>IF(A854="","",IFERROR(VALUE(SUBSTITUTE(SUBSTITUTE(INDEX('Etsy Import'!$A:$CZ,854,Settings!$C$25)&amp;"","$",""),",","")),0)/IF(Settings!$B$27="Yes",G854,1))</f>
        <v/>
      </c>
      <c r="I854" s="11">
        <f>IF(A854="","",IFERROR(VALUE(SUBSTITUTE(SUBSTITUTE(INDEX('Etsy Import'!$A:$CZ,854,Settings!$C$26)&amp;"","$",""),",","")),0)/IF(Settings!$B$27="Yes",G854,1))</f>
        <v/>
      </c>
      <c r="J854" s="11">
        <f>IF(A854="","",F854+H854-I854)</f>
        <v/>
      </c>
      <c r="K854">
        <f>IF(A854="","",IFERROR(IF(B854="",NA(),MATCH(B854,Products!$B$5:$B$204,0)),IFERROR(MATCH(A854,Products!$A$5:$A$204,0),"")))</f>
        <v/>
      </c>
      <c r="L854">
        <f>IF(A854="","",IF(K854="","⚠ not in Products",INDEX(Products!$A$5:$A$204,K854)))</f>
        <v/>
      </c>
      <c r="M854" s="11">
        <f>IF(A854="","",J854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854+IFERROR(INDEX(Settings!$D$5:$D$9,MATCH("Etsy",Settings!$A$5:$A$9,0)),0)*D854)</f>
        <v/>
      </c>
      <c r="N854" s="11">
        <f>IF(A854="","",IF(K854="",0,D854*INDEX(Products!$I$5:$I$204,K854)))</f>
        <v/>
      </c>
      <c r="O854" s="11">
        <f>IF(A854="","",IF(K854="",0,J854*INDEX(Products!$H$5:$H$204,K854)))</f>
        <v/>
      </c>
      <c r="P854" s="11">
        <f>IF(A854="","",J854-M854-N854-O854)</f>
        <v/>
      </c>
    </row>
    <row r="855">
      <c r="A855">
        <f>IFERROR(INDEX('Etsy Import'!$A:$CZ,855,Settings!$C$20)&amp;"","")</f>
        <v/>
      </c>
      <c r="B855">
        <f>IFERROR(INDEX('Etsy Import'!$A:$CZ,855,Settings!$C$21)&amp;"","")</f>
        <v/>
      </c>
      <c r="C855">
        <f>IFERROR(INDEX('Etsy Import'!$A:$CZ,855,Settings!$C$22)&amp;"","")</f>
        <v/>
      </c>
      <c r="D855">
        <f>IF(A855="","",IFERROR(VALUE(SUBSTITUTE(SUBSTITUTE(INDEX('Etsy Import'!$A:$CZ,855,Settings!$C$23)&amp;"","$",""),",","")),0))</f>
        <v/>
      </c>
      <c r="E855" s="11">
        <f>IF(A855="","",IFERROR(VALUE(SUBSTITUTE(SUBSTITUTE(INDEX('Etsy Import'!$A:$CZ,855,Settings!$C$24)&amp;"","$",""),",","")),0))</f>
        <v/>
      </c>
      <c r="F855" s="11">
        <f>IF(A855="","",D855*E855)</f>
        <v/>
      </c>
      <c r="G855">
        <f>IF(A855="","",IF(C855="",1,COUNTIF($C$2:$C$1501,C855)))</f>
        <v/>
      </c>
      <c r="H855" s="11">
        <f>IF(A855="","",IFERROR(VALUE(SUBSTITUTE(SUBSTITUTE(INDEX('Etsy Import'!$A:$CZ,855,Settings!$C$25)&amp;"","$",""),",","")),0)/IF(Settings!$B$27="Yes",G855,1))</f>
        <v/>
      </c>
      <c r="I855" s="11">
        <f>IF(A855="","",IFERROR(VALUE(SUBSTITUTE(SUBSTITUTE(INDEX('Etsy Import'!$A:$CZ,855,Settings!$C$26)&amp;"","$",""),",","")),0)/IF(Settings!$B$27="Yes",G855,1))</f>
        <v/>
      </c>
      <c r="J855" s="11">
        <f>IF(A855="","",F855+H855-I855)</f>
        <v/>
      </c>
      <c r="K855">
        <f>IF(A855="","",IFERROR(IF(B855="",NA(),MATCH(B855,Products!$B$5:$B$204,0)),IFERROR(MATCH(A855,Products!$A$5:$A$204,0),"")))</f>
        <v/>
      </c>
      <c r="L855">
        <f>IF(A855="","",IF(K855="","⚠ not in Products",INDEX(Products!$A$5:$A$204,K855)))</f>
        <v/>
      </c>
      <c r="M855" s="11">
        <f>IF(A855="","",J855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855+IFERROR(INDEX(Settings!$D$5:$D$9,MATCH("Etsy",Settings!$A$5:$A$9,0)),0)*D855)</f>
        <v/>
      </c>
      <c r="N855" s="11">
        <f>IF(A855="","",IF(K855="",0,D855*INDEX(Products!$I$5:$I$204,K855)))</f>
        <v/>
      </c>
      <c r="O855" s="11">
        <f>IF(A855="","",IF(K855="",0,J855*INDEX(Products!$H$5:$H$204,K855)))</f>
        <v/>
      </c>
      <c r="P855" s="11">
        <f>IF(A855="","",J855-M855-N855-O855)</f>
        <v/>
      </c>
    </row>
    <row r="856">
      <c r="A856">
        <f>IFERROR(INDEX('Etsy Import'!$A:$CZ,856,Settings!$C$20)&amp;"","")</f>
        <v/>
      </c>
      <c r="B856">
        <f>IFERROR(INDEX('Etsy Import'!$A:$CZ,856,Settings!$C$21)&amp;"","")</f>
        <v/>
      </c>
      <c r="C856">
        <f>IFERROR(INDEX('Etsy Import'!$A:$CZ,856,Settings!$C$22)&amp;"","")</f>
        <v/>
      </c>
      <c r="D856">
        <f>IF(A856="","",IFERROR(VALUE(SUBSTITUTE(SUBSTITUTE(INDEX('Etsy Import'!$A:$CZ,856,Settings!$C$23)&amp;"","$",""),",","")),0))</f>
        <v/>
      </c>
      <c r="E856" s="11">
        <f>IF(A856="","",IFERROR(VALUE(SUBSTITUTE(SUBSTITUTE(INDEX('Etsy Import'!$A:$CZ,856,Settings!$C$24)&amp;"","$",""),",","")),0))</f>
        <v/>
      </c>
      <c r="F856" s="11">
        <f>IF(A856="","",D856*E856)</f>
        <v/>
      </c>
      <c r="G856">
        <f>IF(A856="","",IF(C856="",1,COUNTIF($C$2:$C$1501,C856)))</f>
        <v/>
      </c>
      <c r="H856" s="11">
        <f>IF(A856="","",IFERROR(VALUE(SUBSTITUTE(SUBSTITUTE(INDEX('Etsy Import'!$A:$CZ,856,Settings!$C$25)&amp;"","$",""),",","")),0)/IF(Settings!$B$27="Yes",G856,1))</f>
        <v/>
      </c>
      <c r="I856" s="11">
        <f>IF(A856="","",IFERROR(VALUE(SUBSTITUTE(SUBSTITUTE(INDEX('Etsy Import'!$A:$CZ,856,Settings!$C$26)&amp;"","$",""),",","")),0)/IF(Settings!$B$27="Yes",G856,1))</f>
        <v/>
      </c>
      <c r="J856" s="11">
        <f>IF(A856="","",F856+H856-I856)</f>
        <v/>
      </c>
      <c r="K856">
        <f>IF(A856="","",IFERROR(IF(B856="",NA(),MATCH(B856,Products!$B$5:$B$204,0)),IFERROR(MATCH(A856,Products!$A$5:$A$204,0),"")))</f>
        <v/>
      </c>
      <c r="L856">
        <f>IF(A856="","",IF(K856="","⚠ not in Products",INDEX(Products!$A$5:$A$204,K856)))</f>
        <v/>
      </c>
      <c r="M856" s="11">
        <f>IF(A856="","",J856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856+IFERROR(INDEX(Settings!$D$5:$D$9,MATCH("Etsy",Settings!$A$5:$A$9,0)),0)*D856)</f>
        <v/>
      </c>
      <c r="N856" s="11">
        <f>IF(A856="","",IF(K856="",0,D856*INDEX(Products!$I$5:$I$204,K856)))</f>
        <v/>
      </c>
      <c r="O856" s="11">
        <f>IF(A856="","",IF(K856="",0,J856*INDEX(Products!$H$5:$H$204,K856)))</f>
        <v/>
      </c>
      <c r="P856" s="11">
        <f>IF(A856="","",J856-M856-N856-O856)</f>
        <v/>
      </c>
    </row>
    <row r="857">
      <c r="A857">
        <f>IFERROR(INDEX('Etsy Import'!$A:$CZ,857,Settings!$C$20)&amp;"","")</f>
        <v/>
      </c>
      <c r="B857">
        <f>IFERROR(INDEX('Etsy Import'!$A:$CZ,857,Settings!$C$21)&amp;"","")</f>
        <v/>
      </c>
      <c r="C857">
        <f>IFERROR(INDEX('Etsy Import'!$A:$CZ,857,Settings!$C$22)&amp;"","")</f>
        <v/>
      </c>
      <c r="D857">
        <f>IF(A857="","",IFERROR(VALUE(SUBSTITUTE(SUBSTITUTE(INDEX('Etsy Import'!$A:$CZ,857,Settings!$C$23)&amp;"","$",""),",","")),0))</f>
        <v/>
      </c>
      <c r="E857" s="11">
        <f>IF(A857="","",IFERROR(VALUE(SUBSTITUTE(SUBSTITUTE(INDEX('Etsy Import'!$A:$CZ,857,Settings!$C$24)&amp;"","$",""),",","")),0))</f>
        <v/>
      </c>
      <c r="F857" s="11">
        <f>IF(A857="","",D857*E857)</f>
        <v/>
      </c>
      <c r="G857">
        <f>IF(A857="","",IF(C857="",1,COUNTIF($C$2:$C$1501,C857)))</f>
        <v/>
      </c>
      <c r="H857" s="11">
        <f>IF(A857="","",IFERROR(VALUE(SUBSTITUTE(SUBSTITUTE(INDEX('Etsy Import'!$A:$CZ,857,Settings!$C$25)&amp;"","$",""),",","")),0)/IF(Settings!$B$27="Yes",G857,1))</f>
        <v/>
      </c>
      <c r="I857" s="11">
        <f>IF(A857="","",IFERROR(VALUE(SUBSTITUTE(SUBSTITUTE(INDEX('Etsy Import'!$A:$CZ,857,Settings!$C$26)&amp;"","$",""),",","")),0)/IF(Settings!$B$27="Yes",G857,1))</f>
        <v/>
      </c>
      <c r="J857" s="11">
        <f>IF(A857="","",F857+H857-I857)</f>
        <v/>
      </c>
      <c r="K857">
        <f>IF(A857="","",IFERROR(IF(B857="",NA(),MATCH(B857,Products!$B$5:$B$204,0)),IFERROR(MATCH(A857,Products!$A$5:$A$204,0),"")))</f>
        <v/>
      </c>
      <c r="L857">
        <f>IF(A857="","",IF(K857="","⚠ not in Products",INDEX(Products!$A$5:$A$204,K857)))</f>
        <v/>
      </c>
      <c r="M857" s="11">
        <f>IF(A857="","",J857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857+IFERROR(INDEX(Settings!$D$5:$D$9,MATCH("Etsy",Settings!$A$5:$A$9,0)),0)*D857)</f>
        <v/>
      </c>
      <c r="N857" s="11">
        <f>IF(A857="","",IF(K857="",0,D857*INDEX(Products!$I$5:$I$204,K857)))</f>
        <v/>
      </c>
      <c r="O857" s="11">
        <f>IF(A857="","",IF(K857="",0,J857*INDEX(Products!$H$5:$H$204,K857)))</f>
        <v/>
      </c>
      <c r="P857" s="11">
        <f>IF(A857="","",J857-M857-N857-O857)</f>
        <v/>
      </c>
    </row>
    <row r="858">
      <c r="A858">
        <f>IFERROR(INDEX('Etsy Import'!$A:$CZ,858,Settings!$C$20)&amp;"","")</f>
        <v/>
      </c>
      <c r="B858">
        <f>IFERROR(INDEX('Etsy Import'!$A:$CZ,858,Settings!$C$21)&amp;"","")</f>
        <v/>
      </c>
      <c r="C858">
        <f>IFERROR(INDEX('Etsy Import'!$A:$CZ,858,Settings!$C$22)&amp;"","")</f>
        <v/>
      </c>
      <c r="D858">
        <f>IF(A858="","",IFERROR(VALUE(SUBSTITUTE(SUBSTITUTE(INDEX('Etsy Import'!$A:$CZ,858,Settings!$C$23)&amp;"","$",""),",","")),0))</f>
        <v/>
      </c>
      <c r="E858" s="11">
        <f>IF(A858="","",IFERROR(VALUE(SUBSTITUTE(SUBSTITUTE(INDEX('Etsy Import'!$A:$CZ,858,Settings!$C$24)&amp;"","$",""),",","")),0))</f>
        <v/>
      </c>
      <c r="F858" s="11">
        <f>IF(A858="","",D858*E858)</f>
        <v/>
      </c>
      <c r="G858">
        <f>IF(A858="","",IF(C858="",1,COUNTIF($C$2:$C$1501,C858)))</f>
        <v/>
      </c>
      <c r="H858" s="11">
        <f>IF(A858="","",IFERROR(VALUE(SUBSTITUTE(SUBSTITUTE(INDEX('Etsy Import'!$A:$CZ,858,Settings!$C$25)&amp;"","$",""),",","")),0)/IF(Settings!$B$27="Yes",G858,1))</f>
        <v/>
      </c>
      <c r="I858" s="11">
        <f>IF(A858="","",IFERROR(VALUE(SUBSTITUTE(SUBSTITUTE(INDEX('Etsy Import'!$A:$CZ,858,Settings!$C$26)&amp;"","$",""),",","")),0)/IF(Settings!$B$27="Yes",G858,1))</f>
        <v/>
      </c>
      <c r="J858" s="11">
        <f>IF(A858="","",F858+H858-I858)</f>
        <v/>
      </c>
      <c r="K858">
        <f>IF(A858="","",IFERROR(IF(B858="",NA(),MATCH(B858,Products!$B$5:$B$204,0)),IFERROR(MATCH(A858,Products!$A$5:$A$204,0),"")))</f>
        <v/>
      </c>
      <c r="L858">
        <f>IF(A858="","",IF(K858="","⚠ not in Products",INDEX(Products!$A$5:$A$204,K858)))</f>
        <v/>
      </c>
      <c r="M858" s="11">
        <f>IF(A858="","",J858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858+IFERROR(INDEX(Settings!$D$5:$D$9,MATCH("Etsy",Settings!$A$5:$A$9,0)),0)*D858)</f>
        <v/>
      </c>
      <c r="N858" s="11">
        <f>IF(A858="","",IF(K858="",0,D858*INDEX(Products!$I$5:$I$204,K858)))</f>
        <v/>
      </c>
      <c r="O858" s="11">
        <f>IF(A858="","",IF(K858="",0,J858*INDEX(Products!$H$5:$H$204,K858)))</f>
        <v/>
      </c>
      <c r="P858" s="11">
        <f>IF(A858="","",J858-M858-N858-O858)</f>
        <v/>
      </c>
    </row>
    <row r="859">
      <c r="A859">
        <f>IFERROR(INDEX('Etsy Import'!$A:$CZ,859,Settings!$C$20)&amp;"","")</f>
        <v/>
      </c>
      <c r="B859">
        <f>IFERROR(INDEX('Etsy Import'!$A:$CZ,859,Settings!$C$21)&amp;"","")</f>
        <v/>
      </c>
      <c r="C859">
        <f>IFERROR(INDEX('Etsy Import'!$A:$CZ,859,Settings!$C$22)&amp;"","")</f>
        <v/>
      </c>
      <c r="D859">
        <f>IF(A859="","",IFERROR(VALUE(SUBSTITUTE(SUBSTITUTE(INDEX('Etsy Import'!$A:$CZ,859,Settings!$C$23)&amp;"","$",""),",","")),0))</f>
        <v/>
      </c>
      <c r="E859" s="11">
        <f>IF(A859="","",IFERROR(VALUE(SUBSTITUTE(SUBSTITUTE(INDEX('Etsy Import'!$A:$CZ,859,Settings!$C$24)&amp;"","$",""),",","")),0))</f>
        <v/>
      </c>
      <c r="F859" s="11">
        <f>IF(A859="","",D859*E859)</f>
        <v/>
      </c>
      <c r="G859">
        <f>IF(A859="","",IF(C859="",1,COUNTIF($C$2:$C$1501,C859)))</f>
        <v/>
      </c>
      <c r="H859" s="11">
        <f>IF(A859="","",IFERROR(VALUE(SUBSTITUTE(SUBSTITUTE(INDEX('Etsy Import'!$A:$CZ,859,Settings!$C$25)&amp;"","$",""),",","")),0)/IF(Settings!$B$27="Yes",G859,1))</f>
        <v/>
      </c>
      <c r="I859" s="11">
        <f>IF(A859="","",IFERROR(VALUE(SUBSTITUTE(SUBSTITUTE(INDEX('Etsy Import'!$A:$CZ,859,Settings!$C$26)&amp;"","$",""),",","")),0)/IF(Settings!$B$27="Yes",G859,1))</f>
        <v/>
      </c>
      <c r="J859" s="11">
        <f>IF(A859="","",F859+H859-I859)</f>
        <v/>
      </c>
      <c r="K859">
        <f>IF(A859="","",IFERROR(IF(B859="",NA(),MATCH(B859,Products!$B$5:$B$204,0)),IFERROR(MATCH(A859,Products!$A$5:$A$204,0),"")))</f>
        <v/>
      </c>
      <c r="L859">
        <f>IF(A859="","",IF(K859="","⚠ not in Products",INDEX(Products!$A$5:$A$204,K859)))</f>
        <v/>
      </c>
      <c r="M859" s="11">
        <f>IF(A859="","",J859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859+IFERROR(INDEX(Settings!$D$5:$D$9,MATCH("Etsy",Settings!$A$5:$A$9,0)),0)*D859)</f>
        <v/>
      </c>
      <c r="N859" s="11">
        <f>IF(A859="","",IF(K859="",0,D859*INDEX(Products!$I$5:$I$204,K859)))</f>
        <v/>
      </c>
      <c r="O859" s="11">
        <f>IF(A859="","",IF(K859="",0,J859*INDEX(Products!$H$5:$H$204,K859)))</f>
        <v/>
      </c>
      <c r="P859" s="11">
        <f>IF(A859="","",J859-M859-N859-O859)</f>
        <v/>
      </c>
    </row>
    <row r="860">
      <c r="A860">
        <f>IFERROR(INDEX('Etsy Import'!$A:$CZ,860,Settings!$C$20)&amp;"","")</f>
        <v/>
      </c>
      <c r="B860">
        <f>IFERROR(INDEX('Etsy Import'!$A:$CZ,860,Settings!$C$21)&amp;"","")</f>
        <v/>
      </c>
      <c r="C860">
        <f>IFERROR(INDEX('Etsy Import'!$A:$CZ,860,Settings!$C$22)&amp;"","")</f>
        <v/>
      </c>
      <c r="D860">
        <f>IF(A860="","",IFERROR(VALUE(SUBSTITUTE(SUBSTITUTE(INDEX('Etsy Import'!$A:$CZ,860,Settings!$C$23)&amp;"","$",""),",","")),0))</f>
        <v/>
      </c>
      <c r="E860" s="11">
        <f>IF(A860="","",IFERROR(VALUE(SUBSTITUTE(SUBSTITUTE(INDEX('Etsy Import'!$A:$CZ,860,Settings!$C$24)&amp;"","$",""),",","")),0))</f>
        <v/>
      </c>
      <c r="F860" s="11">
        <f>IF(A860="","",D860*E860)</f>
        <v/>
      </c>
      <c r="G860">
        <f>IF(A860="","",IF(C860="",1,COUNTIF($C$2:$C$1501,C860)))</f>
        <v/>
      </c>
      <c r="H860" s="11">
        <f>IF(A860="","",IFERROR(VALUE(SUBSTITUTE(SUBSTITUTE(INDEX('Etsy Import'!$A:$CZ,860,Settings!$C$25)&amp;"","$",""),",","")),0)/IF(Settings!$B$27="Yes",G860,1))</f>
        <v/>
      </c>
      <c r="I860" s="11">
        <f>IF(A860="","",IFERROR(VALUE(SUBSTITUTE(SUBSTITUTE(INDEX('Etsy Import'!$A:$CZ,860,Settings!$C$26)&amp;"","$",""),",","")),0)/IF(Settings!$B$27="Yes",G860,1))</f>
        <v/>
      </c>
      <c r="J860" s="11">
        <f>IF(A860="","",F860+H860-I860)</f>
        <v/>
      </c>
      <c r="K860">
        <f>IF(A860="","",IFERROR(IF(B860="",NA(),MATCH(B860,Products!$B$5:$B$204,0)),IFERROR(MATCH(A860,Products!$A$5:$A$204,0),"")))</f>
        <v/>
      </c>
      <c r="L860">
        <f>IF(A860="","",IF(K860="","⚠ not in Products",INDEX(Products!$A$5:$A$204,K860)))</f>
        <v/>
      </c>
      <c r="M860" s="11">
        <f>IF(A860="","",J860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860+IFERROR(INDEX(Settings!$D$5:$D$9,MATCH("Etsy",Settings!$A$5:$A$9,0)),0)*D860)</f>
        <v/>
      </c>
      <c r="N860" s="11">
        <f>IF(A860="","",IF(K860="",0,D860*INDEX(Products!$I$5:$I$204,K860)))</f>
        <v/>
      </c>
      <c r="O860" s="11">
        <f>IF(A860="","",IF(K860="",0,J860*INDEX(Products!$H$5:$H$204,K860)))</f>
        <v/>
      </c>
      <c r="P860" s="11">
        <f>IF(A860="","",J860-M860-N860-O860)</f>
        <v/>
      </c>
    </row>
    <row r="861">
      <c r="A861">
        <f>IFERROR(INDEX('Etsy Import'!$A:$CZ,861,Settings!$C$20)&amp;"","")</f>
        <v/>
      </c>
      <c r="B861">
        <f>IFERROR(INDEX('Etsy Import'!$A:$CZ,861,Settings!$C$21)&amp;"","")</f>
        <v/>
      </c>
      <c r="C861">
        <f>IFERROR(INDEX('Etsy Import'!$A:$CZ,861,Settings!$C$22)&amp;"","")</f>
        <v/>
      </c>
      <c r="D861">
        <f>IF(A861="","",IFERROR(VALUE(SUBSTITUTE(SUBSTITUTE(INDEX('Etsy Import'!$A:$CZ,861,Settings!$C$23)&amp;"","$",""),",","")),0))</f>
        <v/>
      </c>
      <c r="E861" s="11">
        <f>IF(A861="","",IFERROR(VALUE(SUBSTITUTE(SUBSTITUTE(INDEX('Etsy Import'!$A:$CZ,861,Settings!$C$24)&amp;"","$",""),",","")),0))</f>
        <v/>
      </c>
      <c r="F861" s="11">
        <f>IF(A861="","",D861*E861)</f>
        <v/>
      </c>
      <c r="G861">
        <f>IF(A861="","",IF(C861="",1,COUNTIF($C$2:$C$1501,C861)))</f>
        <v/>
      </c>
      <c r="H861" s="11">
        <f>IF(A861="","",IFERROR(VALUE(SUBSTITUTE(SUBSTITUTE(INDEX('Etsy Import'!$A:$CZ,861,Settings!$C$25)&amp;"","$",""),",","")),0)/IF(Settings!$B$27="Yes",G861,1))</f>
        <v/>
      </c>
      <c r="I861" s="11">
        <f>IF(A861="","",IFERROR(VALUE(SUBSTITUTE(SUBSTITUTE(INDEX('Etsy Import'!$A:$CZ,861,Settings!$C$26)&amp;"","$",""),",","")),0)/IF(Settings!$B$27="Yes",G861,1))</f>
        <v/>
      </c>
      <c r="J861" s="11">
        <f>IF(A861="","",F861+H861-I861)</f>
        <v/>
      </c>
      <c r="K861">
        <f>IF(A861="","",IFERROR(IF(B861="",NA(),MATCH(B861,Products!$B$5:$B$204,0)),IFERROR(MATCH(A861,Products!$A$5:$A$204,0),"")))</f>
        <v/>
      </c>
      <c r="L861">
        <f>IF(A861="","",IF(K861="","⚠ not in Products",INDEX(Products!$A$5:$A$204,K861)))</f>
        <v/>
      </c>
      <c r="M861" s="11">
        <f>IF(A861="","",J861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861+IFERROR(INDEX(Settings!$D$5:$D$9,MATCH("Etsy",Settings!$A$5:$A$9,0)),0)*D861)</f>
        <v/>
      </c>
      <c r="N861" s="11">
        <f>IF(A861="","",IF(K861="",0,D861*INDEX(Products!$I$5:$I$204,K861)))</f>
        <v/>
      </c>
      <c r="O861" s="11">
        <f>IF(A861="","",IF(K861="",0,J861*INDEX(Products!$H$5:$H$204,K861)))</f>
        <v/>
      </c>
      <c r="P861" s="11">
        <f>IF(A861="","",J861-M861-N861-O861)</f>
        <v/>
      </c>
    </row>
    <row r="862">
      <c r="A862">
        <f>IFERROR(INDEX('Etsy Import'!$A:$CZ,862,Settings!$C$20)&amp;"","")</f>
        <v/>
      </c>
      <c r="B862">
        <f>IFERROR(INDEX('Etsy Import'!$A:$CZ,862,Settings!$C$21)&amp;"","")</f>
        <v/>
      </c>
      <c r="C862">
        <f>IFERROR(INDEX('Etsy Import'!$A:$CZ,862,Settings!$C$22)&amp;"","")</f>
        <v/>
      </c>
      <c r="D862">
        <f>IF(A862="","",IFERROR(VALUE(SUBSTITUTE(SUBSTITUTE(INDEX('Etsy Import'!$A:$CZ,862,Settings!$C$23)&amp;"","$",""),",","")),0))</f>
        <v/>
      </c>
      <c r="E862" s="11">
        <f>IF(A862="","",IFERROR(VALUE(SUBSTITUTE(SUBSTITUTE(INDEX('Etsy Import'!$A:$CZ,862,Settings!$C$24)&amp;"","$",""),",","")),0))</f>
        <v/>
      </c>
      <c r="F862" s="11">
        <f>IF(A862="","",D862*E862)</f>
        <v/>
      </c>
      <c r="G862">
        <f>IF(A862="","",IF(C862="",1,COUNTIF($C$2:$C$1501,C862)))</f>
        <v/>
      </c>
      <c r="H862" s="11">
        <f>IF(A862="","",IFERROR(VALUE(SUBSTITUTE(SUBSTITUTE(INDEX('Etsy Import'!$A:$CZ,862,Settings!$C$25)&amp;"","$",""),",","")),0)/IF(Settings!$B$27="Yes",G862,1))</f>
        <v/>
      </c>
      <c r="I862" s="11">
        <f>IF(A862="","",IFERROR(VALUE(SUBSTITUTE(SUBSTITUTE(INDEX('Etsy Import'!$A:$CZ,862,Settings!$C$26)&amp;"","$",""),",","")),0)/IF(Settings!$B$27="Yes",G862,1))</f>
        <v/>
      </c>
      <c r="J862" s="11">
        <f>IF(A862="","",F862+H862-I862)</f>
        <v/>
      </c>
      <c r="K862">
        <f>IF(A862="","",IFERROR(IF(B862="",NA(),MATCH(B862,Products!$B$5:$B$204,0)),IFERROR(MATCH(A862,Products!$A$5:$A$204,0),"")))</f>
        <v/>
      </c>
      <c r="L862">
        <f>IF(A862="","",IF(K862="","⚠ not in Products",INDEX(Products!$A$5:$A$204,K862)))</f>
        <v/>
      </c>
      <c r="M862" s="11">
        <f>IF(A862="","",J862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862+IFERROR(INDEX(Settings!$D$5:$D$9,MATCH("Etsy",Settings!$A$5:$A$9,0)),0)*D862)</f>
        <v/>
      </c>
      <c r="N862" s="11">
        <f>IF(A862="","",IF(K862="",0,D862*INDEX(Products!$I$5:$I$204,K862)))</f>
        <v/>
      </c>
      <c r="O862" s="11">
        <f>IF(A862="","",IF(K862="",0,J862*INDEX(Products!$H$5:$H$204,K862)))</f>
        <v/>
      </c>
      <c r="P862" s="11">
        <f>IF(A862="","",J862-M862-N862-O862)</f>
        <v/>
      </c>
    </row>
    <row r="863">
      <c r="A863">
        <f>IFERROR(INDEX('Etsy Import'!$A:$CZ,863,Settings!$C$20)&amp;"","")</f>
        <v/>
      </c>
      <c r="B863">
        <f>IFERROR(INDEX('Etsy Import'!$A:$CZ,863,Settings!$C$21)&amp;"","")</f>
        <v/>
      </c>
      <c r="C863">
        <f>IFERROR(INDEX('Etsy Import'!$A:$CZ,863,Settings!$C$22)&amp;"","")</f>
        <v/>
      </c>
      <c r="D863">
        <f>IF(A863="","",IFERROR(VALUE(SUBSTITUTE(SUBSTITUTE(INDEX('Etsy Import'!$A:$CZ,863,Settings!$C$23)&amp;"","$",""),",","")),0))</f>
        <v/>
      </c>
      <c r="E863" s="11">
        <f>IF(A863="","",IFERROR(VALUE(SUBSTITUTE(SUBSTITUTE(INDEX('Etsy Import'!$A:$CZ,863,Settings!$C$24)&amp;"","$",""),",","")),0))</f>
        <v/>
      </c>
      <c r="F863" s="11">
        <f>IF(A863="","",D863*E863)</f>
        <v/>
      </c>
      <c r="G863">
        <f>IF(A863="","",IF(C863="",1,COUNTIF($C$2:$C$1501,C863)))</f>
        <v/>
      </c>
      <c r="H863" s="11">
        <f>IF(A863="","",IFERROR(VALUE(SUBSTITUTE(SUBSTITUTE(INDEX('Etsy Import'!$A:$CZ,863,Settings!$C$25)&amp;"","$",""),",","")),0)/IF(Settings!$B$27="Yes",G863,1))</f>
        <v/>
      </c>
      <c r="I863" s="11">
        <f>IF(A863="","",IFERROR(VALUE(SUBSTITUTE(SUBSTITUTE(INDEX('Etsy Import'!$A:$CZ,863,Settings!$C$26)&amp;"","$",""),",","")),0)/IF(Settings!$B$27="Yes",G863,1))</f>
        <v/>
      </c>
      <c r="J863" s="11">
        <f>IF(A863="","",F863+H863-I863)</f>
        <v/>
      </c>
      <c r="K863">
        <f>IF(A863="","",IFERROR(IF(B863="",NA(),MATCH(B863,Products!$B$5:$B$204,0)),IFERROR(MATCH(A863,Products!$A$5:$A$204,0),"")))</f>
        <v/>
      </c>
      <c r="L863">
        <f>IF(A863="","",IF(K863="","⚠ not in Products",INDEX(Products!$A$5:$A$204,K863)))</f>
        <v/>
      </c>
      <c r="M863" s="11">
        <f>IF(A863="","",J863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863+IFERROR(INDEX(Settings!$D$5:$D$9,MATCH("Etsy",Settings!$A$5:$A$9,0)),0)*D863)</f>
        <v/>
      </c>
      <c r="N863" s="11">
        <f>IF(A863="","",IF(K863="",0,D863*INDEX(Products!$I$5:$I$204,K863)))</f>
        <v/>
      </c>
      <c r="O863" s="11">
        <f>IF(A863="","",IF(K863="",0,J863*INDEX(Products!$H$5:$H$204,K863)))</f>
        <v/>
      </c>
      <c r="P863" s="11">
        <f>IF(A863="","",J863-M863-N863-O863)</f>
        <v/>
      </c>
    </row>
    <row r="864">
      <c r="A864">
        <f>IFERROR(INDEX('Etsy Import'!$A:$CZ,864,Settings!$C$20)&amp;"","")</f>
        <v/>
      </c>
      <c r="B864">
        <f>IFERROR(INDEX('Etsy Import'!$A:$CZ,864,Settings!$C$21)&amp;"","")</f>
        <v/>
      </c>
      <c r="C864">
        <f>IFERROR(INDEX('Etsy Import'!$A:$CZ,864,Settings!$C$22)&amp;"","")</f>
        <v/>
      </c>
      <c r="D864">
        <f>IF(A864="","",IFERROR(VALUE(SUBSTITUTE(SUBSTITUTE(INDEX('Etsy Import'!$A:$CZ,864,Settings!$C$23)&amp;"","$",""),",","")),0))</f>
        <v/>
      </c>
      <c r="E864" s="11">
        <f>IF(A864="","",IFERROR(VALUE(SUBSTITUTE(SUBSTITUTE(INDEX('Etsy Import'!$A:$CZ,864,Settings!$C$24)&amp;"","$",""),",","")),0))</f>
        <v/>
      </c>
      <c r="F864" s="11">
        <f>IF(A864="","",D864*E864)</f>
        <v/>
      </c>
      <c r="G864">
        <f>IF(A864="","",IF(C864="",1,COUNTIF($C$2:$C$1501,C864)))</f>
        <v/>
      </c>
      <c r="H864" s="11">
        <f>IF(A864="","",IFERROR(VALUE(SUBSTITUTE(SUBSTITUTE(INDEX('Etsy Import'!$A:$CZ,864,Settings!$C$25)&amp;"","$",""),",","")),0)/IF(Settings!$B$27="Yes",G864,1))</f>
        <v/>
      </c>
      <c r="I864" s="11">
        <f>IF(A864="","",IFERROR(VALUE(SUBSTITUTE(SUBSTITUTE(INDEX('Etsy Import'!$A:$CZ,864,Settings!$C$26)&amp;"","$",""),",","")),0)/IF(Settings!$B$27="Yes",G864,1))</f>
        <v/>
      </c>
      <c r="J864" s="11">
        <f>IF(A864="","",F864+H864-I864)</f>
        <v/>
      </c>
      <c r="K864">
        <f>IF(A864="","",IFERROR(IF(B864="",NA(),MATCH(B864,Products!$B$5:$B$204,0)),IFERROR(MATCH(A864,Products!$A$5:$A$204,0),"")))</f>
        <v/>
      </c>
      <c r="L864">
        <f>IF(A864="","",IF(K864="","⚠ not in Products",INDEX(Products!$A$5:$A$204,K864)))</f>
        <v/>
      </c>
      <c r="M864" s="11">
        <f>IF(A864="","",J864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864+IFERROR(INDEX(Settings!$D$5:$D$9,MATCH("Etsy",Settings!$A$5:$A$9,0)),0)*D864)</f>
        <v/>
      </c>
      <c r="N864" s="11">
        <f>IF(A864="","",IF(K864="",0,D864*INDEX(Products!$I$5:$I$204,K864)))</f>
        <v/>
      </c>
      <c r="O864" s="11">
        <f>IF(A864="","",IF(K864="",0,J864*INDEX(Products!$H$5:$H$204,K864)))</f>
        <v/>
      </c>
      <c r="P864" s="11">
        <f>IF(A864="","",J864-M864-N864-O864)</f>
        <v/>
      </c>
    </row>
    <row r="865">
      <c r="A865">
        <f>IFERROR(INDEX('Etsy Import'!$A:$CZ,865,Settings!$C$20)&amp;"","")</f>
        <v/>
      </c>
      <c r="B865">
        <f>IFERROR(INDEX('Etsy Import'!$A:$CZ,865,Settings!$C$21)&amp;"","")</f>
        <v/>
      </c>
      <c r="C865">
        <f>IFERROR(INDEX('Etsy Import'!$A:$CZ,865,Settings!$C$22)&amp;"","")</f>
        <v/>
      </c>
      <c r="D865">
        <f>IF(A865="","",IFERROR(VALUE(SUBSTITUTE(SUBSTITUTE(INDEX('Etsy Import'!$A:$CZ,865,Settings!$C$23)&amp;"","$",""),",","")),0))</f>
        <v/>
      </c>
      <c r="E865" s="11">
        <f>IF(A865="","",IFERROR(VALUE(SUBSTITUTE(SUBSTITUTE(INDEX('Etsy Import'!$A:$CZ,865,Settings!$C$24)&amp;"","$",""),",","")),0))</f>
        <v/>
      </c>
      <c r="F865" s="11">
        <f>IF(A865="","",D865*E865)</f>
        <v/>
      </c>
      <c r="G865">
        <f>IF(A865="","",IF(C865="",1,COUNTIF($C$2:$C$1501,C865)))</f>
        <v/>
      </c>
      <c r="H865" s="11">
        <f>IF(A865="","",IFERROR(VALUE(SUBSTITUTE(SUBSTITUTE(INDEX('Etsy Import'!$A:$CZ,865,Settings!$C$25)&amp;"","$",""),",","")),0)/IF(Settings!$B$27="Yes",G865,1))</f>
        <v/>
      </c>
      <c r="I865" s="11">
        <f>IF(A865="","",IFERROR(VALUE(SUBSTITUTE(SUBSTITUTE(INDEX('Etsy Import'!$A:$CZ,865,Settings!$C$26)&amp;"","$",""),",","")),0)/IF(Settings!$B$27="Yes",G865,1))</f>
        <v/>
      </c>
      <c r="J865" s="11">
        <f>IF(A865="","",F865+H865-I865)</f>
        <v/>
      </c>
      <c r="K865">
        <f>IF(A865="","",IFERROR(IF(B865="",NA(),MATCH(B865,Products!$B$5:$B$204,0)),IFERROR(MATCH(A865,Products!$A$5:$A$204,0),"")))</f>
        <v/>
      </c>
      <c r="L865">
        <f>IF(A865="","",IF(K865="","⚠ not in Products",INDEX(Products!$A$5:$A$204,K865)))</f>
        <v/>
      </c>
      <c r="M865" s="11">
        <f>IF(A865="","",J865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865+IFERROR(INDEX(Settings!$D$5:$D$9,MATCH("Etsy",Settings!$A$5:$A$9,0)),0)*D865)</f>
        <v/>
      </c>
      <c r="N865" s="11">
        <f>IF(A865="","",IF(K865="",0,D865*INDEX(Products!$I$5:$I$204,K865)))</f>
        <v/>
      </c>
      <c r="O865" s="11">
        <f>IF(A865="","",IF(K865="",0,J865*INDEX(Products!$H$5:$H$204,K865)))</f>
        <v/>
      </c>
      <c r="P865" s="11">
        <f>IF(A865="","",J865-M865-N865-O865)</f>
        <v/>
      </c>
    </row>
    <row r="866">
      <c r="A866">
        <f>IFERROR(INDEX('Etsy Import'!$A:$CZ,866,Settings!$C$20)&amp;"","")</f>
        <v/>
      </c>
      <c r="B866">
        <f>IFERROR(INDEX('Etsy Import'!$A:$CZ,866,Settings!$C$21)&amp;"","")</f>
        <v/>
      </c>
      <c r="C866">
        <f>IFERROR(INDEX('Etsy Import'!$A:$CZ,866,Settings!$C$22)&amp;"","")</f>
        <v/>
      </c>
      <c r="D866">
        <f>IF(A866="","",IFERROR(VALUE(SUBSTITUTE(SUBSTITUTE(INDEX('Etsy Import'!$A:$CZ,866,Settings!$C$23)&amp;"","$",""),",","")),0))</f>
        <v/>
      </c>
      <c r="E866" s="11">
        <f>IF(A866="","",IFERROR(VALUE(SUBSTITUTE(SUBSTITUTE(INDEX('Etsy Import'!$A:$CZ,866,Settings!$C$24)&amp;"","$",""),",","")),0))</f>
        <v/>
      </c>
      <c r="F866" s="11">
        <f>IF(A866="","",D866*E866)</f>
        <v/>
      </c>
      <c r="G866">
        <f>IF(A866="","",IF(C866="",1,COUNTIF($C$2:$C$1501,C866)))</f>
        <v/>
      </c>
      <c r="H866" s="11">
        <f>IF(A866="","",IFERROR(VALUE(SUBSTITUTE(SUBSTITUTE(INDEX('Etsy Import'!$A:$CZ,866,Settings!$C$25)&amp;"","$",""),",","")),0)/IF(Settings!$B$27="Yes",G866,1))</f>
        <v/>
      </c>
      <c r="I866" s="11">
        <f>IF(A866="","",IFERROR(VALUE(SUBSTITUTE(SUBSTITUTE(INDEX('Etsy Import'!$A:$CZ,866,Settings!$C$26)&amp;"","$",""),",","")),0)/IF(Settings!$B$27="Yes",G866,1))</f>
        <v/>
      </c>
      <c r="J866" s="11">
        <f>IF(A866="","",F866+H866-I866)</f>
        <v/>
      </c>
      <c r="K866">
        <f>IF(A866="","",IFERROR(IF(B866="",NA(),MATCH(B866,Products!$B$5:$B$204,0)),IFERROR(MATCH(A866,Products!$A$5:$A$204,0),"")))</f>
        <v/>
      </c>
      <c r="L866">
        <f>IF(A866="","",IF(K866="","⚠ not in Products",INDEX(Products!$A$5:$A$204,K866)))</f>
        <v/>
      </c>
      <c r="M866" s="11">
        <f>IF(A866="","",J866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866+IFERROR(INDEX(Settings!$D$5:$D$9,MATCH("Etsy",Settings!$A$5:$A$9,0)),0)*D866)</f>
        <v/>
      </c>
      <c r="N866" s="11">
        <f>IF(A866="","",IF(K866="",0,D866*INDEX(Products!$I$5:$I$204,K866)))</f>
        <v/>
      </c>
      <c r="O866" s="11">
        <f>IF(A866="","",IF(K866="",0,J866*INDEX(Products!$H$5:$H$204,K866)))</f>
        <v/>
      </c>
      <c r="P866" s="11">
        <f>IF(A866="","",J866-M866-N866-O866)</f>
        <v/>
      </c>
    </row>
    <row r="867">
      <c r="A867">
        <f>IFERROR(INDEX('Etsy Import'!$A:$CZ,867,Settings!$C$20)&amp;"","")</f>
        <v/>
      </c>
      <c r="B867">
        <f>IFERROR(INDEX('Etsy Import'!$A:$CZ,867,Settings!$C$21)&amp;"","")</f>
        <v/>
      </c>
      <c r="C867">
        <f>IFERROR(INDEX('Etsy Import'!$A:$CZ,867,Settings!$C$22)&amp;"","")</f>
        <v/>
      </c>
      <c r="D867">
        <f>IF(A867="","",IFERROR(VALUE(SUBSTITUTE(SUBSTITUTE(INDEX('Etsy Import'!$A:$CZ,867,Settings!$C$23)&amp;"","$",""),",","")),0))</f>
        <v/>
      </c>
      <c r="E867" s="11">
        <f>IF(A867="","",IFERROR(VALUE(SUBSTITUTE(SUBSTITUTE(INDEX('Etsy Import'!$A:$CZ,867,Settings!$C$24)&amp;"","$",""),",","")),0))</f>
        <v/>
      </c>
      <c r="F867" s="11">
        <f>IF(A867="","",D867*E867)</f>
        <v/>
      </c>
      <c r="G867">
        <f>IF(A867="","",IF(C867="",1,COUNTIF($C$2:$C$1501,C867)))</f>
        <v/>
      </c>
      <c r="H867" s="11">
        <f>IF(A867="","",IFERROR(VALUE(SUBSTITUTE(SUBSTITUTE(INDEX('Etsy Import'!$A:$CZ,867,Settings!$C$25)&amp;"","$",""),",","")),0)/IF(Settings!$B$27="Yes",G867,1))</f>
        <v/>
      </c>
      <c r="I867" s="11">
        <f>IF(A867="","",IFERROR(VALUE(SUBSTITUTE(SUBSTITUTE(INDEX('Etsy Import'!$A:$CZ,867,Settings!$C$26)&amp;"","$",""),",","")),0)/IF(Settings!$B$27="Yes",G867,1))</f>
        <v/>
      </c>
      <c r="J867" s="11">
        <f>IF(A867="","",F867+H867-I867)</f>
        <v/>
      </c>
      <c r="K867">
        <f>IF(A867="","",IFERROR(IF(B867="",NA(),MATCH(B867,Products!$B$5:$B$204,0)),IFERROR(MATCH(A867,Products!$A$5:$A$204,0),"")))</f>
        <v/>
      </c>
      <c r="L867">
        <f>IF(A867="","",IF(K867="","⚠ not in Products",INDEX(Products!$A$5:$A$204,K867)))</f>
        <v/>
      </c>
      <c r="M867" s="11">
        <f>IF(A867="","",J867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867+IFERROR(INDEX(Settings!$D$5:$D$9,MATCH("Etsy",Settings!$A$5:$A$9,0)),0)*D867)</f>
        <v/>
      </c>
      <c r="N867" s="11">
        <f>IF(A867="","",IF(K867="",0,D867*INDEX(Products!$I$5:$I$204,K867)))</f>
        <v/>
      </c>
      <c r="O867" s="11">
        <f>IF(A867="","",IF(K867="",0,J867*INDEX(Products!$H$5:$H$204,K867)))</f>
        <v/>
      </c>
      <c r="P867" s="11">
        <f>IF(A867="","",J867-M867-N867-O867)</f>
        <v/>
      </c>
    </row>
    <row r="868">
      <c r="A868">
        <f>IFERROR(INDEX('Etsy Import'!$A:$CZ,868,Settings!$C$20)&amp;"","")</f>
        <v/>
      </c>
      <c r="B868">
        <f>IFERROR(INDEX('Etsy Import'!$A:$CZ,868,Settings!$C$21)&amp;"","")</f>
        <v/>
      </c>
      <c r="C868">
        <f>IFERROR(INDEX('Etsy Import'!$A:$CZ,868,Settings!$C$22)&amp;"","")</f>
        <v/>
      </c>
      <c r="D868">
        <f>IF(A868="","",IFERROR(VALUE(SUBSTITUTE(SUBSTITUTE(INDEX('Etsy Import'!$A:$CZ,868,Settings!$C$23)&amp;"","$",""),",","")),0))</f>
        <v/>
      </c>
      <c r="E868" s="11">
        <f>IF(A868="","",IFERROR(VALUE(SUBSTITUTE(SUBSTITUTE(INDEX('Etsy Import'!$A:$CZ,868,Settings!$C$24)&amp;"","$",""),",","")),0))</f>
        <v/>
      </c>
      <c r="F868" s="11">
        <f>IF(A868="","",D868*E868)</f>
        <v/>
      </c>
      <c r="G868">
        <f>IF(A868="","",IF(C868="",1,COUNTIF($C$2:$C$1501,C868)))</f>
        <v/>
      </c>
      <c r="H868" s="11">
        <f>IF(A868="","",IFERROR(VALUE(SUBSTITUTE(SUBSTITUTE(INDEX('Etsy Import'!$A:$CZ,868,Settings!$C$25)&amp;"","$",""),",","")),0)/IF(Settings!$B$27="Yes",G868,1))</f>
        <v/>
      </c>
      <c r="I868" s="11">
        <f>IF(A868="","",IFERROR(VALUE(SUBSTITUTE(SUBSTITUTE(INDEX('Etsy Import'!$A:$CZ,868,Settings!$C$26)&amp;"","$",""),",","")),0)/IF(Settings!$B$27="Yes",G868,1))</f>
        <v/>
      </c>
      <c r="J868" s="11">
        <f>IF(A868="","",F868+H868-I868)</f>
        <v/>
      </c>
      <c r="K868">
        <f>IF(A868="","",IFERROR(IF(B868="",NA(),MATCH(B868,Products!$B$5:$B$204,0)),IFERROR(MATCH(A868,Products!$A$5:$A$204,0),"")))</f>
        <v/>
      </c>
      <c r="L868">
        <f>IF(A868="","",IF(K868="","⚠ not in Products",INDEX(Products!$A$5:$A$204,K868)))</f>
        <v/>
      </c>
      <c r="M868" s="11">
        <f>IF(A868="","",J868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868+IFERROR(INDEX(Settings!$D$5:$D$9,MATCH("Etsy",Settings!$A$5:$A$9,0)),0)*D868)</f>
        <v/>
      </c>
      <c r="N868" s="11">
        <f>IF(A868="","",IF(K868="",0,D868*INDEX(Products!$I$5:$I$204,K868)))</f>
        <v/>
      </c>
      <c r="O868" s="11">
        <f>IF(A868="","",IF(K868="",0,J868*INDEX(Products!$H$5:$H$204,K868)))</f>
        <v/>
      </c>
      <c r="P868" s="11">
        <f>IF(A868="","",J868-M868-N868-O868)</f>
        <v/>
      </c>
    </row>
    <row r="869">
      <c r="A869">
        <f>IFERROR(INDEX('Etsy Import'!$A:$CZ,869,Settings!$C$20)&amp;"","")</f>
        <v/>
      </c>
      <c r="B869">
        <f>IFERROR(INDEX('Etsy Import'!$A:$CZ,869,Settings!$C$21)&amp;"","")</f>
        <v/>
      </c>
      <c r="C869">
        <f>IFERROR(INDEX('Etsy Import'!$A:$CZ,869,Settings!$C$22)&amp;"","")</f>
        <v/>
      </c>
      <c r="D869">
        <f>IF(A869="","",IFERROR(VALUE(SUBSTITUTE(SUBSTITUTE(INDEX('Etsy Import'!$A:$CZ,869,Settings!$C$23)&amp;"","$",""),",","")),0))</f>
        <v/>
      </c>
      <c r="E869" s="11">
        <f>IF(A869="","",IFERROR(VALUE(SUBSTITUTE(SUBSTITUTE(INDEX('Etsy Import'!$A:$CZ,869,Settings!$C$24)&amp;"","$",""),",","")),0))</f>
        <v/>
      </c>
      <c r="F869" s="11">
        <f>IF(A869="","",D869*E869)</f>
        <v/>
      </c>
      <c r="G869">
        <f>IF(A869="","",IF(C869="",1,COUNTIF($C$2:$C$1501,C869)))</f>
        <v/>
      </c>
      <c r="H869" s="11">
        <f>IF(A869="","",IFERROR(VALUE(SUBSTITUTE(SUBSTITUTE(INDEX('Etsy Import'!$A:$CZ,869,Settings!$C$25)&amp;"","$",""),",","")),0)/IF(Settings!$B$27="Yes",G869,1))</f>
        <v/>
      </c>
      <c r="I869" s="11">
        <f>IF(A869="","",IFERROR(VALUE(SUBSTITUTE(SUBSTITUTE(INDEX('Etsy Import'!$A:$CZ,869,Settings!$C$26)&amp;"","$",""),",","")),0)/IF(Settings!$B$27="Yes",G869,1))</f>
        <v/>
      </c>
      <c r="J869" s="11">
        <f>IF(A869="","",F869+H869-I869)</f>
        <v/>
      </c>
      <c r="K869">
        <f>IF(A869="","",IFERROR(IF(B869="",NA(),MATCH(B869,Products!$B$5:$B$204,0)),IFERROR(MATCH(A869,Products!$A$5:$A$204,0),"")))</f>
        <v/>
      </c>
      <c r="L869">
        <f>IF(A869="","",IF(K869="","⚠ not in Products",INDEX(Products!$A$5:$A$204,K869)))</f>
        <v/>
      </c>
      <c r="M869" s="11">
        <f>IF(A869="","",J869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869+IFERROR(INDEX(Settings!$D$5:$D$9,MATCH("Etsy",Settings!$A$5:$A$9,0)),0)*D869)</f>
        <v/>
      </c>
      <c r="N869" s="11">
        <f>IF(A869="","",IF(K869="",0,D869*INDEX(Products!$I$5:$I$204,K869)))</f>
        <v/>
      </c>
      <c r="O869" s="11">
        <f>IF(A869="","",IF(K869="",0,J869*INDEX(Products!$H$5:$H$204,K869)))</f>
        <v/>
      </c>
      <c r="P869" s="11">
        <f>IF(A869="","",J869-M869-N869-O869)</f>
        <v/>
      </c>
    </row>
    <row r="870">
      <c r="A870">
        <f>IFERROR(INDEX('Etsy Import'!$A:$CZ,870,Settings!$C$20)&amp;"","")</f>
        <v/>
      </c>
      <c r="B870">
        <f>IFERROR(INDEX('Etsy Import'!$A:$CZ,870,Settings!$C$21)&amp;"","")</f>
        <v/>
      </c>
      <c r="C870">
        <f>IFERROR(INDEX('Etsy Import'!$A:$CZ,870,Settings!$C$22)&amp;"","")</f>
        <v/>
      </c>
      <c r="D870">
        <f>IF(A870="","",IFERROR(VALUE(SUBSTITUTE(SUBSTITUTE(INDEX('Etsy Import'!$A:$CZ,870,Settings!$C$23)&amp;"","$",""),",","")),0))</f>
        <v/>
      </c>
      <c r="E870" s="11">
        <f>IF(A870="","",IFERROR(VALUE(SUBSTITUTE(SUBSTITUTE(INDEX('Etsy Import'!$A:$CZ,870,Settings!$C$24)&amp;"","$",""),",","")),0))</f>
        <v/>
      </c>
      <c r="F870" s="11">
        <f>IF(A870="","",D870*E870)</f>
        <v/>
      </c>
      <c r="G870">
        <f>IF(A870="","",IF(C870="",1,COUNTIF($C$2:$C$1501,C870)))</f>
        <v/>
      </c>
      <c r="H870" s="11">
        <f>IF(A870="","",IFERROR(VALUE(SUBSTITUTE(SUBSTITUTE(INDEX('Etsy Import'!$A:$CZ,870,Settings!$C$25)&amp;"","$",""),",","")),0)/IF(Settings!$B$27="Yes",G870,1))</f>
        <v/>
      </c>
      <c r="I870" s="11">
        <f>IF(A870="","",IFERROR(VALUE(SUBSTITUTE(SUBSTITUTE(INDEX('Etsy Import'!$A:$CZ,870,Settings!$C$26)&amp;"","$",""),",","")),0)/IF(Settings!$B$27="Yes",G870,1))</f>
        <v/>
      </c>
      <c r="J870" s="11">
        <f>IF(A870="","",F870+H870-I870)</f>
        <v/>
      </c>
      <c r="K870">
        <f>IF(A870="","",IFERROR(IF(B870="",NA(),MATCH(B870,Products!$B$5:$B$204,0)),IFERROR(MATCH(A870,Products!$A$5:$A$204,0),"")))</f>
        <v/>
      </c>
      <c r="L870">
        <f>IF(A870="","",IF(K870="","⚠ not in Products",INDEX(Products!$A$5:$A$204,K870)))</f>
        <v/>
      </c>
      <c r="M870" s="11">
        <f>IF(A870="","",J870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870+IFERROR(INDEX(Settings!$D$5:$D$9,MATCH("Etsy",Settings!$A$5:$A$9,0)),0)*D870)</f>
        <v/>
      </c>
      <c r="N870" s="11">
        <f>IF(A870="","",IF(K870="",0,D870*INDEX(Products!$I$5:$I$204,K870)))</f>
        <v/>
      </c>
      <c r="O870" s="11">
        <f>IF(A870="","",IF(K870="",0,J870*INDEX(Products!$H$5:$H$204,K870)))</f>
        <v/>
      </c>
      <c r="P870" s="11">
        <f>IF(A870="","",J870-M870-N870-O870)</f>
        <v/>
      </c>
    </row>
    <row r="871">
      <c r="A871">
        <f>IFERROR(INDEX('Etsy Import'!$A:$CZ,871,Settings!$C$20)&amp;"","")</f>
        <v/>
      </c>
      <c r="B871">
        <f>IFERROR(INDEX('Etsy Import'!$A:$CZ,871,Settings!$C$21)&amp;"","")</f>
        <v/>
      </c>
      <c r="C871">
        <f>IFERROR(INDEX('Etsy Import'!$A:$CZ,871,Settings!$C$22)&amp;"","")</f>
        <v/>
      </c>
      <c r="D871">
        <f>IF(A871="","",IFERROR(VALUE(SUBSTITUTE(SUBSTITUTE(INDEX('Etsy Import'!$A:$CZ,871,Settings!$C$23)&amp;"","$",""),",","")),0))</f>
        <v/>
      </c>
      <c r="E871" s="11">
        <f>IF(A871="","",IFERROR(VALUE(SUBSTITUTE(SUBSTITUTE(INDEX('Etsy Import'!$A:$CZ,871,Settings!$C$24)&amp;"","$",""),",","")),0))</f>
        <v/>
      </c>
      <c r="F871" s="11">
        <f>IF(A871="","",D871*E871)</f>
        <v/>
      </c>
      <c r="G871">
        <f>IF(A871="","",IF(C871="",1,COUNTIF($C$2:$C$1501,C871)))</f>
        <v/>
      </c>
      <c r="H871" s="11">
        <f>IF(A871="","",IFERROR(VALUE(SUBSTITUTE(SUBSTITUTE(INDEX('Etsy Import'!$A:$CZ,871,Settings!$C$25)&amp;"","$",""),",","")),0)/IF(Settings!$B$27="Yes",G871,1))</f>
        <v/>
      </c>
      <c r="I871" s="11">
        <f>IF(A871="","",IFERROR(VALUE(SUBSTITUTE(SUBSTITUTE(INDEX('Etsy Import'!$A:$CZ,871,Settings!$C$26)&amp;"","$",""),",","")),0)/IF(Settings!$B$27="Yes",G871,1))</f>
        <v/>
      </c>
      <c r="J871" s="11">
        <f>IF(A871="","",F871+H871-I871)</f>
        <v/>
      </c>
      <c r="K871">
        <f>IF(A871="","",IFERROR(IF(B871="",NA(),MATCH(B871,Products!$B$5:$B$204,0)),IFERROR(MATCH(A871,Products!$A$5:$A$204,0),"")))</f>
        <v/>
      </c>
      <c r="L871">
        <f>IF(A871="","",IF(K871="","⚠ not in Products",INDEX(Products!$A$5:$A$204,K871)))</f>
        <v/>
      </c>
      <c r="M871" s="11">
        <f>IF(A871="","",J871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871+IFERROR(INDEX(Settings!$D$5:$D$9,MATCH("Etsy",Settings!$A$5:$A$9,0)),0)*D871)</f>
        <v/>
      </c>
      <c r="N871" s="11">
        <f>IF(A871="","",IF(K871="",0,D871*INDEX(Products!$I$5:$I$204,K871)))</f>
        <v/>
      </c>
      <c r="O871" s="11">
        <f>IF(A871="","",IF(K871="",0,J871*INDEX(Products!$H$5:$H$204,K871)))</f>
        <v/>
      </c>
      <c r="P871" s="11">
        <f>IF(A871="","",J871-M871-N871-O871)</f>
        <v/>
      </c>
    </row>
    <row r="872">
      <c r="A872">
        <f>IFERROR(INDEX('Etsy Import'!$A:$CZ,872,Settings!$C$20)&amp;"","")</f>
        <v/>
      </c>
      <c r="B872">
        <f>IFERROR(INDEX('Etsy Import'!$A:$CZ,872,Settings!$C$21)&amp;"","")</f>
        <v/>
      </c>
      <c r="C872">
        <f>IFERROR(INDEX('Etsy Import'!$A:$CZ,872,Settings!$C$22)&amp;"","")</f>
        <v/>
      </c>
      <c r="D872">
        <f>IF(A872="","",IFERROR(VALUE(SUBSTITUTE(SUBSTITUTE(INDEX('Etsy Import'!$A:$CZ,872,Settings!$C$23)&amp;"","$",""),",","")),0))</f>
        <v/>
      </c>
      <c r="E872" s="11">
        <f>IF(A872="","",IFERROR(VALUE(SUBSTITUTE(SUBSTITUTE(INDEX('Etsy Import'!$A:$CZ,872,Settings!$C$24)&amp;"","$",""),",","")),0))</f>
        <v/>
      </c>
      <c r="F872" s="11">
        <f>IF(A872="","",D872*E872)</f>
        <v/>
      </c>
      <c r="G872">
        <f>IF(A872="","",IF(C872="",1,COUNTIF($C$2:$C$1501,C872)))</f>
        <v/>
      </c>
      <c r="H872" s="11">
        <f>IF(A872="","",IFERROR(VALUE(SUBSTITUTE(SUBSTITUTE(INDEX('Etsy Import'!$A:$CZ,872,Settings!$C$25)&amp;"","$",""),",","")),0)/IF(Settings!$B$27="Yes",G872,1))</f>
        <v/>
      </c>
      <c r="I872" s="11">
        <f>IF(A872="","",IFERROR(VALUE(SUBSTITUTE(SUBSTITUTE(INDEX('Etsy Import'!$A:$CZ,872,Settings!$C$26)&amp;"","$",""),",","")),0)/IF(Settings!$B$27="Yes",G872,1))</f>
        <v/>
      </c>
      <c r="J872" s="11">
        <f>IF(A872="","",F872+H872-I872)</f>
        <v/>
      </c>
      <c r="K872">
        <f>IF(A872="","",IFERROR(IF(B872="",NA(),MATCH(B872,Products!$B$5:$B$204,0)),IFERROR(MATCH(A872,Products!$A$5:$A$204,0),"")))</f>
        <v/>
      </c>
      <c r="L872">
        <f>IF(A872="","",IF(K872="","⚠ not in Products",INDEX(Products!$A$5:$A$204,K872)))</f>
        <v/>
      </c>
      <c r="M872" s="11">
        <f>IF(A872="","",J872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872+IFERROR(INDEX(Settings!$D$5:$D$9,MATCH("Etsy",Settings!$A$5:$A$9,0)),0)*D872)</f>
        <v/>
      </c>
      <c r="N872" s="11">
        <f>IF(A872="","",IF(K872="",0,D872*INDEX(Products!$I$5:$I$204,K872)))</f>
        <v/>
      </c>
      <c r="O872" s="11">
        <f>IF(A872="","",IF(K872="",0,J872*INDEX(Products!$H$5:$H$204,K872)))</f>
        <v/>
      </c>
      <c r="P872" s="11">
        <f>IF(A872="","",J872-M872-N872-O872)</f>
        <v/>
      </c>
    </row>
    <row r="873">
      <c r="A873">
        <f>IFERROR(INDEX('Etsy Import'!$A:$CZ,873,Settings!$C$20)&amp;"","")</f>
        <v/>
      </c>
      <c r="B873">
        <f>IFERROR(INDEX('Etsy Import'!$A:$CZ,873,Settings!$C$21)&amp;"","")</f>
        <v/>
      </c>
      <c r="C873">
        <f>IFERROR(INDEX('Etsy Import'!$A:$CZ,873,Settings!$C$22)&amp;"","")</f>
        <v/>
      </c>
      <c r="D873">
        <f>IF(A873="","",IFERROR(VALUE(SUBSTITUTE(SUBSTITUTE(INDEX('Etsy Import'!$A:$CZ,873,Settings!$C$23)&amp;"","$",""),",","")),0))</f>
        <v/>
      </c>
      <c r="E873" s="11">
        <f>IF(A873="","",IFERROR(VALUE(SUBSTITUTE(SUBSTITUTE(INDEX('Etsy Import'!$A:$CZ,873,Settings!$C$24)&amp;"","$",""),",","")),0))</f>
        <v/>
      </c>
      <c r="F873" s="11">
        <f>IF(A873="","",D873*E873)</f>
        <v/>
      </c>
      <c r="G873">
        <f>IF(A873="","",IF(C873="",1,COUNTIF($C$2:$C$1501,C873)))</f>
        <v/>
      </c>
      <c r="H873" s="11">
        <f>IF(A873="","",IFERROR(VALUE(SUBSTITUTE(SUBSTITUTE(INDEX('Etsy Import'!$A:$CZ,873,Settings!$C$25)&amp;"","$",""),",","")),0)/IF(Settings!$B$27="Yes",G873,1))</f>
        <v/>
      </c>
      <c r="I873" s="11">
        <f>IF(A873="","",IFERROR(VALUE(SUBSTITUTE(SUBSTITUTE(INDEX('Etsy Import'!$A:$CZ,873,Settings!$C$26)&amp;"","$",""),",","")),0)/IF(Settings!$B$27="Yes",G873,1))</f>
        <v/>
      </c>
      <c r="J873" s="11">
        <f>IF(A873="","",F873+H873-I873)</f>
        <v/>
      </c>
      <c r="K873">
        <f>IF(A873="","",IFERROR(IF(B873="",NA(),MATCH(B873,Products!$B$5:$B$204,0)),IFERROR(MATCH(A873,Products!$A$5:$A$204,0),"")))</f>
        <v/>
      </c>
      <c r="L873">
        <f>IF(A873="","",IF(K873="","⚠ not in Products",INDEX(Products!$A$5:$A$204,K873)))</f>
        <v/>
      </c>
      <c r="M873" s="11">
        <f>IF(A873="","",J873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873+IFERROR(INDEX(Settings!$D$5:$D$9,MATCH("Etsy",Settings!$A$5:$A$9,0)),0)*D873)</f>
        <v/>
      </c>
      <c r="N873" s="11">
        <f>IF(A873="","",IF(K873="",0,D873*INDEX(Products!$I$5:$I$204,K873)))</f>
        <v/>
      </c>
      <c r="O873" s="11">
        <f>IF(A873="","",IF(K873="",0,J873*INDEX(Products!$H$5:$H$204,K873)))</f>
        <v/>
      </c>
      <c r="P873" s="11">
        <f>IF(A873="","",J873-M873-N873-O873)</f>
        <v/>
      </c>
    </row>
    <row r="874">
      <c r="A874">
        <f>IFERROR(INDEX('Etsy Import'!$A:$CZ,874,Settings!$C$20)&amp;"","")</f>
        <v/>
      </c>
      <c r="B874">
        <f>IFERROR(INDEX('Etsy Import'!$A:$CZ,874,Settings!$C$21)&amp;"","")</f>
        <v/>
      </c>
      <c r="C874">
        <f>IFERROR(INDEX('Etsy Import'!$A:$CZ,874,Settings!$C$22)&amp;"","")</f>
        <v/>
      </c>
      <c r="D874">
        <f>IF(A874="","",IFERROR(VALUE(SUBSTITUTE(SUBSTITUTE(INDEX('Etsy Import'!$A:$CZ,874,Settings!$C$23)&amp;"","$",""),",","")),0))</f>
        <v/>
      </c>
      <c r="E874" s="11">
        <f>IF(A874="","",IFERROR(VALUE(SUBSTITUTE(SUBSTITUTE(INDEX('Etsy Import'!$A:$CZ,874,Settings!$C$24)&amp;"","$",""),",","")),0))</f>
        <v/>
      </c>
      <c r="F874" s="11">
        <f>IF(A874="","",D874*E874)</f>
        <v/>
      </c>
      <c r="G874">
        <f>IF(A874="","",IF(C874="",1,COUNTIF($C$2:$C$1501,C874)))</f>
        <v/>
      </c>
      <c r="H874" s="11">
        <f>IF(A874="","",IFERROR(VALUE(SUBSTITUTE(SUBSTITUTE(INDEX('Etsy Import'!$A:$CZ,874,Settings!$C$25)&amp;"","$",""),",","")),0)/IF(Settings!$B$27="Yes",G874,1))</f>
        <v/>
      </c>
      <c r="I874" s="11">
        <f>IF(A874="","",IFERROR(VALUE(SUBSTITUTE(SUBSTITUTE(INDEX('Etsy Import'!$A:$CZ,874,Settings!$C$26)&amp;"","$",""),",","")),0)/IF(Settings!$B$27="Yes",G874,1))</f>
        <v/>
      </c>
      <c r="J874" s="11">
        <f>IF(A874="","",F874+H874-I874)</f>
        <v/>
      </c>
      <c r="K874">
        <f>IF(A874="","",IFERROR(IF(B874="",NA(),MATCH(B874,Products!$B$5:$B$204,0)),IFERROR(MATCH(A874,Products!$A$5:$A$204,0),"")))</f>
        <v/>
      </c>
      <c r="L874">
        <f>IF(A874="","",IF(K874="","⚠ not in Products",INDEX(Products!$A$5:$A$204,K874)))</f>
        <v/>
      </c>
      <c r="M874" s="11">
        <f>IF(A874="","",J874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874+IFERROR(INDEX(Settings!$D$5:$D$9,MATCH("Etsy",Settings!$A$5:$A$9,0)),0)*D874)</f>
        <v/>
      </c>
      <c r="N874" s="11">
        <f>IF(A874="","",IF(K874="",0,D874*INDEX(Products!$I$5:$I$204,K874)))</f>
        <v/>
      </c>
      <c r="O874" s="11">
        <f>IF(A874="","",IF(K874="",0,J874*INDEX(Products!$H$5:$H$204,K874)))</f>
        <v/>
      </c>
      <c r="P874" s="11">
        <f>IF(A874="","",J874-M874-N874-O874)</f>
        <v/>
      </c>
    </row>
    <row r="875">
      <c r="A875">
        <f>IFERROR(INDEX('Etsy Import'!$A:$CZ,875,Settings!$C$20)&amp;"","")</f>
        <v/>
      </c>
      <c r="B875">
        <f>IFERROR(INDEX('Etsy Import'!$A:$CZ,875,Settings!$C$21)&amp;"","")</f>
        <v/>
      </c>
      <c r="C875">
        <f>IFERROR(INDEX('Etsy Import'!$A:$CZ,875,Settings!$C$22)&amp;"","")</f>
        <v/>
      </c>
      <c r="D875">
        <f>IF(A875="","",IFERROR(VALUE(SUBSTITUTE(SUBSTITUTE(INDEX('Etsy Import'!$A:$CZ,875,Settings!$C$23)&amp;"","$",""),",","")),0))</f>
        <v/>
      </c>
      <c r="E875" s="11">
        <f>IF(A875="","",IFERROR(VALUE(SUBSTITUTE(SUBSTITUTE(INDEX('Etsy Import'!$A:$CZ,875,Settings!$C$24)&amp;"","$",""),",","")),0))</f>
        <v/>
      </c>
      <c r="F875" s="11">
        <f>IF(A875="","",D875*E875)</f>
        <v/>
      </c>
      <c r="G875">
        <f>IF(A875="","",IF(C875="",1,COUNTIF($C$2:$C$1501,C875)))</f>
        <v/>
      </c>
      <c r="H875" s="11">
        <f>IF(A875="","",IFERROR(VALUE(SUBSTITUTE(SUBSTITUTE(INDEX('Etsy Import'!$A:$CZ,875,Settings!$C$25)&amp;"","$",""),",","")),0)/IF(Settings!$B$27="Yes",G875,1))</f>
        <v/>
      </c>
      <c r="I875" s="11">
        <f>IF(A875="","",IFERROR(VALUE(SUBSTITUTE(SUBSTITUTE(INDEX('Etsy Import'!$A:$CZ,875,Settings!$C$26)&amp;"","$",""),",","")),0)/IF(Settings!$B$27="Yes",G875,1))</f>
        <v/>
      </c>
      <c r="J875" s="11">
        <f>IF(A875="","",F875+H875-I875)</f>
        <v/>
      </c>
      <c r="K875">
        <f>IF(A875="","",IFERROR(IF(B875="",NA(),MATCH(B875,Products!$B$5:$B$204,0)),IFERROR(MATCH(A875,Products!$A$5:$A$204,0),"")))</f>
        <v/>
      </c>
      <c r="L875">
        <f>IF(A875="","",IF(K875="","⚠ not in Products",INDEX(Products!$A$5:$A$204,K875)))</f>
        <v/>
      </c>
      <c r="M875" s="11">
        <f>IF(A875="","",J875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875+IFERROR(INDEX(Settings!$D$5:$D$9,MATCH("Etsy",Settings!$A$5:$A$9,0)),0)*D875)</f>
        <v/>
      </c>
      <c r="N875" s="11">
        <f>IF(A875="","",IF(K875="",0,D875*INDEX(Products!$I$5:$I$204,K875)))</f>
        <v/>
      </c>
      <c r="O875" s="11">
        <f>IF(A875="","",IF(K875="",0,J875*INDEX(Products!$H$5:$H$204,K875)))</f>
        <v/>
      </c>
      <c r="P875" s="11">
        <f>IF(A875="","",J875-M875-N875-O875)</f>
        <v/>
      </c>
    </row>
    <row r="876">
      <c r="A876">
        <f>IFERROR(INDEX('Etsy Import'!$A:$CZ,876,Settings!$C$20)&amp;"","")</f>
        <v/>
      </c>
      <c r="B876">
        <f>IFERROR(INDEX('Etsy Import'!$A:$CZ,876,Settings!$C$21)&amp;"","")</f>
        <v/>
      </c>
      <c r="C876">
        <f>IFERROR(INDEX('Etsy Import'!$A:$CZ,876,Settings!$C$22)&amp;"","")</f>
        <v/>
      </c>
      <c r="D876">
        <f>IF(A876="","",IFERROR(VALUE(SUBSTITUTE(SUBSTITUTE(INDEX('Etsy Import'!$A:$CZ,876,Settings!$C$23)&amp;"","$",""),",","")),0))</f>
        <v/>
      </c>
      <c r="E876" s="11">
        <f>IF(A876="","",IFERROR(VALUE(SUBSTITUTE(SUBSTITUTE(INDEX('Etsy Import'!$A:$CZ,876,Settings!$C$24)&amp;"","$",""),",","")),0))</f>
        <v/>
      </c>
      <c r="F876" s="11">
        <f>IF(A876="","",D876*E876)</f>
        <v/>
      </c>
      <c r="G876">
        <f>IF(A876="","",IF(C876="",1,COUNTIF($C$2:$C$1501,C876)))</f>
        <v/>
      </c>
      <c r="H876" s="11">
        <f>IF(A876="","",IFERROR(VALUE(SUBSTITUTE(SUBSTITUTE(INDEX('Etsy Import'!$A:$CZ,876,Settings!$C$25)&amp;"","$",""),",","")),0)/IF(Settings!$B$27="Yes",G876,1))</f>
        <v/>
      </c>
      <c r="I876" s="11">
        <f>IF(A876="","",IFERROR(VALUE(SUBSTITUTE(SUBSTITUTE(INDEX('Etsy Import'!$A:$CZ,876,Settings!$C$26)&amp;"","$",""),",","")),0)/IF(Settings!$B$27="Yes",G876,1))</f>
        <v/>
      </c>
      <c r="J876" s="11">
        <f>IF(A876="","",F876+H876-I876)</f>
        <v/>
      </c>
      <c r="K876">
        <f>IF(A876="","",IFERROR(IF(B876="",NA(),MATCH(B876,Products!$B$5:$B$204,0)),IFERROR(MATCH(A876,Products!$A$5:$A$204,0),"")))</f>
        <v/>
      </c>
      <c r="L876">
        <f>IF(A876="","",IF(K876="","⚠ not in Products",INDEX(Products!$A$5:$A$204,K876)))</f>
        <v/>
      </c>
      <c r="M876" s="11">
        <f>IF(A876="","",J876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876+IFERROR(INDEX(Settings!$D$5:$D$9,MATCH("Etsy",Settings!$A$5:$A$9,0)),0)*D876)</f>
        <v/>
      </c>
      <c r="N876" s="11">
        <f>IF(A876="","",IF(K876="",0,D876*INDEX(Products!$I$5:$I$204,K876)))</f>
        <v/>
      </c>
      <c r="O876" s="11">
        <f>IF(A876="","",IF(K876="",0,J876*INDEX(Products!$H$5:$H$204,K876)))</f>
        <v/>
      </c>
      <c r="P876" s="11">
        <f>IF(A876="","",J876-M876-N876-O876)</f>
        <v/>
      </c>
    </row>
    <row r="877">
      <c r="A877">
        <f>IFERROR(INDEX('Etsy Import'!$A:$CZ,877,Settings!$C$20)&amp;"","")</f>
        <v/>
      </c>
      <c r="B877">
        <f>IFERROR(INDEX('Etsy Import'!$A:$CZ,877,Settings!$C$21)&amp;"","")</f>
        <v/>
      </c>
      <c r="C877">
        <f>IFERROR(INDEX('Etsy Import'!$A:$CZ,877,Settings!$C$22)&amp;"","")</f>
        <v/>
      </c>
      <c r="D877">
        <f>IF(A877="","",IFERROR(VALUE(SUBSTITUTE(SUBSTITUTE(INDEX('Etsy Import'!$A:$CZ,877,Settings!$C$23)&amp;"","$",""),",","")),0))</f>
        <v/>
      </c>
      <c r="E877" s="11">
        <f>IF(A877="","",IFERROR(VALUE(SUBSTITUTE(SUBSTITUTE(INDEX('Etsy Import'!$A:$CZ,877,Settings!$C$24)&amp;"","$",""),",","")),0))</f>
        <v/>
      </c>
      <c r="F877" s="11">
        <f>IF(A877="","",D877*E877)</f>
        <v/>
      </c>
      <c r="G877">
        <f>IF(A877="","",IF(C877="",1,COUNTIF($C$2:$C$1501,C877)))</f>
        <v/>
      </c>
      <c r="H877" s="11">
        <f>IF(A877="","",IFERROR(VALUE(SUBSTITUTE(SUBSTITUTE(INDEX('Etsy Import'!$A:$CZ,877,Settings!$C$25)&amp;"","$",""),",","")),0)/IF(Settings!$B$27="Yes",G877,1))</f>
        <v/>
      </c>
      <c r="I877" s="11">
        <f>IF(A877="","",IFERROR(VALUE(SUBSTITUTE(SUBSTITUTE(INDEX('Etsy Import'!$A:$CZ,877,Settings!$C$26)&amp;"","$",""),",","")),0)/IF(Settings!$B$27="Yes",G877,1))</f>
        <v/>
      </c>
      <c r="J877" s="11">
        <f>IF(A877="","",F877+H877-I877)</f>
        <v/>
      </c>
      <c r="K877">
        <f>IF(A877="","",IFERROR(IF(B877="",NA(),MATCH(B877,Products!$B$5:$B$204,0)),IFERROR(MATCH(A877,Products!$A$5:$A$204,0),"")))</f>
        <v/>
      </c>
      <c r="L877">
        <f>IF(A877="","",IF(K877="","⚠ not in Products",INDEX(Products!$A$5:$A$204,K877)))</f>
        <v/>
      </c>
      <c r="M877" s="11">
        <f>IF(A877="","",J877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877+IFERROR(INDEX(Settings!$D$5:$D$9,MATCH("Etsy",Settings!$A$5:$A$9,0)),0)*D877)</f>
        <v/>
      </c>
      <c r="N877" s="11">
        <f>IF(A877="","",IF(K877="",0,D877*INDEX(Products!$I$5:$I$204,K877)))</f>
        <v/>
      </c>
      <c r="O877" s="11">
        <f>IF(A877="","",IF(K877="",0,J877*INDEX(Products!$H$5:$H$204,K877)))</f>
        <v/>
      </c>
      <c r="P877" s="11">
        <f>IF(A877="","",J877-M877-N877-O877)</f>
        <v/>
      </c>
    </row>
    <row r="878">
      <c r="A878">
        <f>IFERROR(INDEX('Etsy Import'!$A:$CZ,878,Settings!$C$20)&amp;"","")</f>
        <v/>
      </c>
      <c r="B878">
        <f>IFERROR(INDEX('Etsy Import'!$A:$CZ,878,Settings!$C$21)&amp;"","")</f>
        <v/>
      </c>
      <c r="C878">
        <f>IFERROR(INDEX('Etsy Import'!$A:$CZ,878,Settings!$C$22)&amp;"","")</f>
        <v/>
      </c>
      <c r="D878">
        <f>IF(A878="","",IFERROR(VALUE(SUBSTITUTE(SUBSTITUTE(INDEX('Etsy Import'!$A:$CZ,878,Settings!$C$23)&amp;"","$",""),",","")),0))</f>
        <v/>
      </c>
      <c r="E878" s="11">
        <f>IF(A878="","",IFERROR(VALUE(SUBSTITUTE(SUBSTITUTE(INDEX('Etsy Import'!$A:$CZ,878,Settings!$C$24)&amp;"","$",""),",","")),0))</f>
        <v/>
      </c>
      <c r="F878" s="11">
        <f>IF(A878="","",D878*E878)</f>
        <v/>
      </c>
      <c r="G878">
        <f>IF(A878="","",IF(C878="",1,COUNTIF($C$2:$C$1501,C878)))</f>
        <v/>
      </c>
      <c r="H878" s="11">
        <f>IF(A878="","",IFERROR(VALUE(SUBSTITUTE(SUBSTITUTE(INDEX('Etsy Import'!$A:$CZ,878,Settings!$C$25)&amp;"","$",""),",","")),0)/IF(Settings!$B$27="Yes",G878,1))</f>
        <v/>
      </c>
      <c r="I878" s="11">
        <f>IF(A878="","",IFERROR(VALUE(SUBSTITUTE(SUBSTITUTE(INDEX('Etsy Import'!$A:$CZ,878,Settings!$C$26)&amp;"","$",""),",","")),0)/IF(Settings!$B$27="Yes",G878,1))</f>
        <v/>
      </c>
      <c r="J878" s="11">
        <f>IF(A878="","",F878+H878-I878)</f>
        <v/>
      </c>
      <c r="K878">
        <f>IF(A878="","",IFERROR(IF(B878="",NA(),MATCH(B878,Products!$B$5:$B$204,0)),IFERROR(MATCH(A878,Products!$A$5:$A$204,0),"")))</f>
        <v/>
      </c>
      <c r="L878">
        <f>IF(A878="","",IF(K878="","⚠ not in Products",INDEX(Products!$A$5:$A$204,K878)))</f>
        <v/>
      </c>
      <c r="M878" s="11">
        <f>IF(A878="","",J878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878+IFERROR(INDEX(Settings!$D$5:$D$9,MATCH("Etsy",Settings!$A$5:$A$9,0)),0)*D878)</f>
        <v/>
      </c>
      <c r="N878" s="11">
        <f>IF(A878="","",IF(K878="",0,D878*INDEX(Products!$I$5:$I$204,K878)))</f>
        <v/>
      </c>
      <c r="O878" s="11">
        <f>IF(A878="","",IF(K878="",0,J878*INDEX(Products!$H$5:$H$204,K878)))</f>
        <v/>
      </c>
      <c r="P878" s="11">
        <f>IF(A878="","",J878-M878-N878-O878)</f>
        <v/>
      </c>
    </row>
    <row r="879">
      <c r="A879">
        <f>IFERROR(INDEX('Etsy Import'!$A:$CZ,879,Settings!$C$20)&amp;"","")</f>
        <v/>
      </c>
      <c r="B879">
        <f>IFERROR(INDEX('Etsy Import'!$A:$CZ,879,Settings!$C$21)&amp;"","")</f>
        <v/>
      </c>
      <c r="C879">
        <f>IFERROR(INDEX('Etsy Import'!$A:$CZ,879,Settings!$C$22)&amp;"","")</f>
        <v/>
      </c>
      <c r="D879">
        <f>IF(A879="","",IFERROR(VALUE(SUBSTITUTE(SUBSTITUTE(INDEX('Etsy Import'!$A:$CZ,879,Settings!$C$23)&amp;"","$",""),",","")),0))</f>
        <v/>
      </c>
      <c r="E879" s="11">
        <f>IF(A879="","",IFERROR(VALUE(SUBSTITUTE(SUBSTITUTE(INDEX('Etsy Import'!$A:$CZ,879,Settings!$C$24)&amp;"","$",""),",","")),0))</f>
        <v/>
      </c>
      <c r="F879" s="11">
        <f>IF(A879="","",D879*E879)</f>
        <v/>
      </c>
      <c r="G879">
        <f>IF(A879="","",IF(C879="",1,COUNTIF($C$2:$C$1501,C879)))</f>
        <v/>
      </c>
      <c r="H879" s="11">
        <f>IF(A879="","",IFERROR(VALUE(SUBSTITUTE(SUBSTITUTE(INDEX('Etsy Import'!$A:$CZ,879,Settings!$C$25)&amp;"","$",""),",","")),0)/IF(Settings!$B$27="Yes",G879,1))</f>
        <v/>
      </c>
      <c r="I879" s="11">
        <f>IF(A879="","",IFERROR(VALUE(SUBSTITUTE(SUBSTITUTE(INDEX('Etsy Import'!$A:$CZ,879,Settings!$C$26)&amp;"","$",""),",","")),0)/IF(Settings!$B$27="Yes",G879,1))</f>
        <v/>
      </c>
      <c r="J879" s="11">
        <f>IF(A879="","",F879+H879-I879)</f>
        <v/>
      </c>
      <c r="K879">
        <f>IF(A879="","",IFERROR(IF(B879="",NA(),MATCH(B879,Products!$B$5:$B$204,0)),IFERROR(MATCH(A879,Products!$A$5:$A$204,0),"")))</f>
        <v/>
      </c>
      <c r="L879">
        <f>IF(A879="","",IF(K879="","⚠ not in Products",INDEX(Products!$A$5:$A$204,K879)))</f>
        <v/>
      </c>
      <c r="M879" s="11">
        <f>IF(A879="","",J879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879+IFERROR(INDEX(Settings!$D$5:$D$9,MATCH("Etsy",Settings!$A$5:$A$9,0)),0)*D879)</f>
        <v/>
      </c>
      <c r="N879" s="11">
        <f>IF(A879="","",IF(K879="",0,D879*INDEX(Products!$I$5:$I$204,K879)))</f>
        <v/>
      </c>
      <c r="O879" s="11">
        <f>IF(A879="","",IF(K879="",0,J879*INDEX(Products!$H$5:$H$204,K879)))</f>
        <v/>
      </c>
      <c r="P879" s="11">
        <f>IF(A879="","",J879-M879-N879-O879)</f>
        <v/>
      </c>
    </row>
    <row r="880">
      <c r="A880">
        <f>IFERROR(INDEX('Etsy Import'!$A:$CZ,880,Settings!$C$20)&amp;"","")</f>
        <v/>
      </c>
      <c r="B880">
        <f>IFERROR(INDEX('Etsy Import'!$A:$CZ,880,Settings!$C$21)&amp;"","")</f>
        <v/>
      </c>
      <c r="C880">
        <f>IFERROR(INDEX('Etsy Import'!$A:$CZ,880,Settings!$C$22)&amp;"","")</f>
        <v/>
      </c>
      <c r="D880">
        <f>IF(A880="","",IFERROR(VALUE(SUBSTITUTE(SUBSTITUTE(INDEX('Etsy Import'!$A:$CZ,880,Settings!$C$23)&amp;"","$",""),",","")),0))</f>
        <v/>
      </c>
      <c r="E880" s="11">
        <f>IF(A880="","",IFERROR(VALUE(SUBSTITUTE(SUBSTITUTE(INDEX('Etsy Import'!$A:$CZ,880,Settings!$C$24)&amp;"","$",""),",","")),0))</f>
        <v/>
      </c>
      <c r="F880" s="11">
        <f>IF(A880="","",D880*E880)</f>
        <v/>
      </c>
      <c r="G880">
        <f>IF(A880="","",IF(C880="",1,COUNTIF($C$2:$C$1501,C880)))</f>
        <v/>
      </c>
      <c r="H880" s="11">
        <f>IF(A880="","",IFERROR(VALUE(SUBSTITUTE(SUBSTITUTE(INDEX('Etsy Import'!$A:$CZ,880,Settings!$C$25)&amp;"","$",""),",","")),0)/IF(Settings!$B$27="Yes",G880,1))</f>
        <v/>
      </c>
      <c r="I880" s="11">
        <f>IF(A880="","",IFERROR(VALUE(SUBSTITUTE(SUBSTITUTE(INDEX('Etsy Import'!$A:$CZ,880,Settings!$C$26)&amp;"","$",""),",","")),0)/IF(Settings!$B$27="Yes",G880,1))</f>
        <v/>
      </c>
      <c r="J880" s="11">
        <f>IF(A880="","",F880+H880-I880)</f>
        <v/>
      </c>
      <c r="K880">
        <f>IF(A880="","",IFERROR(IF(B880="",NA(),MATCH(B880,Products!$B$5:$B$204,0)),IFERROR(MATCH(A880,Products!$A$5:$A$204,0),"")))</f>
        <v/>
      </c>
      <c r="L880">
        <f>IF(A880="","",IF(K880="","⚠ not in Products",INDEX(Products!$A$5:$A$204,K880)))</f>
        <v/>
      </c>
      <c r="M880" s="11">
        <f>IF(A880="","",J880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880+IFERROR(INDEX(Settings!$D$5:$D$9,MATCH("Etsy",Settings!$A$5:$A$9,0)),0)*D880)</f>
        <v/>
      </c>
      <c r="N880" s="11">
        <f>IF(A880="","",IF(K880="",0,D880*INDEX(Products!$I$5:$I$204,K880)))</f>
        <v/>
      </c>
      <c r="O880" s="11">
        <f>IF(A880="","",IF(K880="",0,J880*INDEX(Products!$H$5:$H$204,K880)))</f>
        <v/>
      </c>
      <c r="P880" s="11">
        <f>IF(A880="","",J880-M880-N880-O880)</f>
        <v/>
      </c>
    </row>
    <row r="881">
      <c r="A881">
        <f>IFERROR(INDEX('Etsy Import'!$A:$CZ,881,Settings!$C$20)&amp;"","")</f>
        <v/>
      </c>
      <c r="B881">
        <f>IFERROR(INDEX('Etsy Import'!$A:$CZ,881,Settings!$C$21)&amp;"","")</f>
        <v/>
      </c>
      <c r="C881">
        <f>IFERROR(INDEX('Etsy Import'!$A:$CZ,881,Settings!$C$22)&amp;"","")</f>
        <v/>
      </c>
      <c r="D881">
        <f>IF(A881="","",IFERROR(VALUE(SUBSTITUTE(SUBSTITUTE(INDEX('Etsy Import'!$A:$CZ,881,Settings!$C$23)&amp;"","$",""),",","")),0))</f>
        <v/>
      </c>
      <c r="E881" s="11">
        <f>IF(A881="","",IFERROR(VALUE(SUBSTITUTE(SUBSTITUTE(INDEX('Etsy Import'!$A:$CZ,881,Settings!$C$24)&amp;"","$",""),",","")),0))</f>
        <v/>
      </c>
      <c r="F881" s="11">
        <f>IF(A881="","",D881*E881)</f>
        <v/>
      </c>
      <c r="G881">
        <f>IF(A881="","",IF(C881="",1,COUNTIF($C$2:$C$1501,C881)))</f>
        <v/>
      </c>
      <c r="H881" s="11">
        <f>IF(A881="","",IFERROR(VALUE(SUBSTITUTE(SUBSTITUTE(INDEX('Etsy Import'!$A:$CZ,881,Settings!$C$25)&amp;"","$",""),",","")),0)/IF(Settings!$B$27="Yes",G881,1))</f>
        <v/>
      </c>
      <c r="I881" s="11">
        <f>IF(A881="","",IFERROR(VALUE(SUBSTITUTE(SUBSTITUTE(INDEX('Etsy Import'!$A:$CZ,881,Settings!$C$26)&amp;"","$",""),",","")),0)/IF(Settings!$B$27="Yes",G881,1))</f>
        <v/>
      </c>
      <c r="J881" s="11">
        <f>IF(A881="","",F881+H881-I881)</f>
        <v/>
      </c>
      <c r="K881">
        <f>IF(A881="","",IFERROR(IF(B881="",NA(),MATCH(B881,Products!$B$5:$B$204,0)),IFERROR(MATCH(A881,Products!$A$5:$A$204,0),"")))</f>
        <v/>
      </c>
      <c r="L881">
        <f>IF(A881="","",IF(K881="","⚠ not in Products",INDEX(Products!$A$5:$A$204,K881)))</f>
        <v/>
      </c>
      <c r="M881" s="11">
        <f>IF(A881="","",J881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881+IFERROR(INDEX(Settings!$D$5:$D$9,MATCH("Etsy",Settings!$A$5:$A$9,0)),0)*D881)</f>
        <v/>
      </c>
      <c r="N881" s="11">
        <f>IF(A881="","",IF(K881="",0,D881*INDEX(Products!$I$5:$I$204,K881)))</f>
        <v/>
      </c>
      <c r="O881" s="11">
        <f>IF(A881="","",IF(K881="",0,J881*INDEX(Products!$H$5:$H$204,K881)))</f>
        <v/>
      </c>
      <c r="P881" s="11">
        <f>IF(A881="","",J881-M881-N881-O881)</f>
        <v/>
      </c>
    </row>
    <row r="882">
      <c r="A882">
        <f>IFERROR(INDEX('Etsy Import'!$A:$CZ,882,Settings!$C$20)&amp;"","")</f>
        <v/>
      </c>
      <c r="B882">
        <f>IFERROR(INDEX('Etsy Import'!$A:$CZ,882,Settings!$C$21)&amp;"","")</f>
        <v/>
      </c>
      <c r="C882">
        <f>IFERROR(INDEX('Etsy Import'!$A:$CZ,882,Settings!$C$22)&amp;"","")</f>
        <v/>
      </c>
      <c r="D882">
        <f>IF(A882="","",IFERROR(VALUE(SUBSTITUTE(SUBSTITUTE(INDEX('Etsy Import'!$A:$CZ,882,Settings!$C$23)&amp;"","$",""),",","")),0))</f>
        <v/>
      </c>
      <c r="E882" s="11">
        <f>IF(A882="","",IFERROR(VALUE(SUBSTITUTE(SUBSTITUTE(INDEX('Etsy Import'!$A:$CZ,882,Settings!$C$24)&amp;"","$",""),",","")),0))</f>
        <v/>
      </c>
      <c r="F882" s="11">
        <f>IF(A882="","",D882*E882)</f>
        <v/>
      </c>
      <c r="G882">
        <f>IF(A882="","",IF(C882="",1,COUNTIF($C$2:$C$1501,C882)))</f>
        <v/>
      </c>
      <c r="H882" s="11">
        <f>IF(A882="","",IFERROR(VALUE(SUBSTITUTE(SUBSTITUTE(INDEX('Etsy Import'!$A:$CZ,882,Settings!$C$25)&amp;"","$",""),",","")),0)/IF(Settings!$B$27="Yes",G882,1))</f>
        <v/>
      </c>
      <c r="I882" s="11">
        <f>IF(A882="","",IFERROR(VALUE(SUBSTITUTE(SUBSTITUTE(INDEX('Etsy Import'!$A:$CZ,882,Settings!$C$26)&amp;"","$",""),",","")),0)/IF(Settings!$B$27="Yes",G882,1))</f>
        <v/>
      </c>
      <c r="J882" s="11">
        <f>IF(A882="","",F882+H882-I882)</f>
        <v/>
      </c>
      <c r="K882">
        <f>IF(A882="","",IFERROR(IF(B882="",NA(),MATCH(B882,Products!$B$5:$B$204,0)),IFERROR(MATCH(A882,Products!$A$5:$A$204,0),"")))</f>
        <v/>
      </c>
      <c r="L882">
        <f>IF(A882="","",IF(K882="","⚠ not in Products",INDEX(Products!$A$5:$A$204,K882)))</f>
        <v/>
      </c>
      <c r="M882" s="11">
        <f>IF(A882="","",J882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882+IFERROR(INDEX(Settings!$D$5:$D$9,MATCH("Etsy",Settings!$A$5:$A$9,0)),0)*D882)</f>
        <v/>
      </c>
      <c r="N882" s="11">
        <f>IF(A882="","",IF(K882="",0,D882*INDEX(Products!$I$5:$I$204,K882)))</f>
        <v/>
      </c>
      <c r="O882" s="11">
        <f>IF(A882="","",IF(K882="",0,J882*INDEX(Products!$H$5:$H$204,K882)))</f>
        <v/>
      </c>
      <c r="P882" s="11">
        <f>IF(A882="","",J882-M882-N882-O882)</f>
        <v/>
      </c>
    </row>
    <row r="883">
      <c r="A883">
        <f>IFERROR(INDEX('Etsy Import'!$A:$CZ,883,Settings!$C$20)&amp;"","")</f>
        <v/>
      </c>
      <c r="B883">
        <f>IFERROR(INDEX('Etsy Import'!$A:$CZ,883,Settings!$C$21)&amp;"","")</f>
        <v/>
      </c>
      <c r="C883">
        <f>IFERROR(INDEX('Etsy Import'!$A:$CZ,883,Settings!$C$22)&amp;"","")</f>
        <v/>
      </c>
      <c r="D883">
        <f>IF(A883="","",IFERROR(VALUE(SUBSTITUTE(SUBSTITUTE(INDEX('Etsy Import'!$A:$CZ,883,Settings!$C$23)&amp;"","$",""),",","")),0))</f>
        <v/>
      </c>
      <c r="E883" s="11">
        <f>IF(A883="","",IFERROR(VALUE(SUBSTITUTE(SUBSTITUTE(INDEX('Etsy Import'!$A:$CZ,883,Settings!$C$24)&amp;"","$",""),",","")),0))</f>
        <v/>
      </c>
      <c r="F883" s="11">
        <f>IF(A883="","",D883*E883)</f>
        <v/>
      </c>
      <c r="G883">
        <f>IF(A883="","",IF(C883="",1,COUNTIF($C$2:$C$1501,C883)))</f>
        <v/>
      </c>
      <c r="H883" s="11">
        <f>IF(A883="","",IFERROR(VALUE(SUBSTITUTE(SUBSTITUTE(INDEX('Etsy Import'!$A:$CZ,883,Settings!$C$25)&amp;"","$",""),",","")),0)/IF(Settings!$B$27="Yes",G883,1))</f>
        <v/>
      </c>
      <c r="I883" s="11">
        <f>IF(A883="","",IFERROR(VALUE(SUBSTITUTE(SUBSTITUTE(INDEX('Etsy Import'!$A:$CZ,883,Settings!$C$26)&amp;"","$",""),",","")),0)/IF(Settings!$B$27="Yes",G883,1))</f>
        <v/>
      </c>
      <c r="J883" s="11">
        <f>IF(A883="","",F883+H883-I883)</f>
        <v/>
      </c>
      <c r="K883">
        <f>IF(A883="","",IFERROR(IF(B883="",NA(),MATCH(B883,Products!$B$5:$B$204,0)),IFERROR(MATCH(A883,Products!$A$5:$A$204,0),"")))</f>
        <v/>
      </c>
      <c r="L883">
        <f>IF(A883="","",IF(K883="","⚠ not in Products",INDEX(Products!$A$5:$A$204,K883)))</f>
        <v/>
      </c>
      <c r="M883" s="11">
        <f>IF(A883="","",J883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883+IFERROR(INDEX(Settings!$D$5:$D$9,MATCH("Etsy",Settings!$A$5:$A$9,0)),0)*D883)</f>
        <v/>
      </c>
      <c r="N883" s="11">
        <f>IF(A883="","",IF(K883="",0,D883*INDEX(Products!$I$5:$I$204,K883)))</f>
        <v/>
      </c>
      <c r="O883" s="11">
        <f>IF(A883="","",IF(K883="",0,J883*INDEX(Products!$H$5:$H$204,K883)))</f>
        <v/>
      </c>
      <c r="P883" s="11">
        <f>IF(A883="","",J883-M883-N883-O883)</f>
        <v/>
      </c>
    </row>
    <row r="884">
      <c r="A884">
        <f>IFERROR(INDEX('Etsy Import'!$A:$CZ,884,Settings!$C$20)&amp;"","")</f>
        <v/>
      </c>
      <c r="B884">
        <f>IFERROR(INDEX('Etsy Import'!$A:$CZ,884,Settings!$C$21)&amp;"","")</f>
        <v/>
      </c>
      <c r="C884">
        <f>IFERROR(INDEX('Etsy Import'!$A:$CZ,884,Settings!$C$22)&amp;"","")</f>
        <v/>
      </c>
      <c r="D884">
        <f>IF(A884="","",IFERROR(VALUE(SUBSTITUTE(SUBSTITUTE(INDEX('Etsy Import'!$A:$CZ,884,Settings!$C$23)&amp;"","$",""),",","")),0))</f>
        <v/>
      </c>
      <c r="E884" s="11">
        <f>IF(A884="","",IFERROR(VALUE(SUBSTITUTE(SUBSTITUTE(INDEX('Etsy Import'!$A:$CZ,884,Settings!$C$24)&amp;"","$",""),",","")),0))</f>
        <v/>
      </c>
      <c r="F884" s="11">
        <f>IF(A884="","",D884*E884)</f>
        <v/>
      </c>
      <c r="G884">
        <f>IF(A884="","",IF(C884="",1,COUNTIF($C$2:$C$1501,C884)))</f>
        <v/>
      </c>
      <c r="H884" s="11">
        <f>IF(A884="","",IFERROR(VALUE(SUBSTITUTE(SUBSTITUTE(INDEX('Etsy Import'!$A:$CZ,884,Settings!$C$25)&amp;"","$",""),",","")),0)/IF(Settings!$B$27="Yes",G884,1))</f>
        <v/>
      </c>
      <c r="I884" s="11">
        <f>IF(A884="","",IFERROR(VALUE(SUBSTITUTE(SUBSTITUTE(INDEX('Etsy Import'!$A:$CZ,884,Settings!$C$26)&amp;"","$",""),",","")),0)/IF(Settings!$B$27="Yes",G884,1))</f>
        <v/>
      </c>
      <c r="J884" s="11">
        <f>IF(A884="","",F884+H884-I884)</f>
        <v/>
      </c>
      <c r="K884">
        <f>IF(A884="","",IFERROR(IF(B884="",NA(),MATCH(B884,Products!$B$5:$B$204,0)),IFERROR(MATCH(A884,Products!$A$5:$A$204,0),"")))</f>
        <v/>
      </c>
      <c r="L884">
        <f>IF(A884="","",IF(K884="","⚠ not in Products",INDEX(Products!$A$5:$A$204,K884)))</f>
        <v/>
      </c>
      <c r="M884" s="11">
        <f>IF(A884="","",J884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884+IFERROR(INDEX(Settings!$D$5:$D$9,MATCH("Etsy",Settings!$A$5:$A$9,0)),0)*D884)</f>
        <v/>
      </c>
      <c r="N884" s="11">
        <f>IF(A884="","",IF(K884="",0,D884*INDEX(Products!$I$5:$I$204,K884)))</f>
        <v/>
      </c>
      <c r="O884" s="11">
        <f>IF(A884="","",IF(K884="",0,J884*INDEX(Products!$H$5:$H$204,K884)))</f>
        <v/>
      </c>
      <c r="P884" s="11">
        <f>IF(A884="","",J884-M884-N884-O884)</f>
        <v/>
      </c>
    </row>
    <row r="885">
      <c r="A885">
        <f>IFERROR(INDEX('Etsy Import'!$A:$CZ,885,Settings!$C$20)&amp;"","")</f>
        <v/>
      </c>
      <c r="B885">
        <f>IFERROR(INDEX('Etsy Import'!$A:$CZ,885,Settings!$C$21)&amp;"","")</f>
        <v/>
      </c>
      <c r="C885">
        <f>IFERROR(INDEX('Etsy Import'!$A:$CZ,885,Settings!$C$22)&amp;"","")</f>
        <v/>
      </c>
      <c r="D885">
        <f>IF(A885="","",IFERROR(VALUE(SUBSTITUTE(SUBSTITUTE(INDEX('Etsy Import'!$A:$CZ,885,Settings!$C$23)&amp;"","$",""),",","")),0))</f>
        <v/>
      </c>
      <c r="E885" s="11">
        <f>IF(A885="","",IFERROR(VALUE(SUBSTITUTE(SUBSTITUTE(INDEX('Etsy Import'!$A:$CZ,885,Settings!$C$24)&amp;"","$",""),",","")),0))</f>
        <v/>
      </c>
      <c r="F885" s="11">
        <f>IF(A885="","",D885*E885)</f>
        <v/>
      </c>
      <c r="G885">
        <f>IF(A885="","",IF(C885="",1,COUNTIF($C$2:$C$1501,C885)))</f>
        <v/>
      </c>
      <c r="H885" s="11">
        <f>IF(A885="","",IFERROR(VALUE(SUBSTITUTE(SUBSTITUTE(INDEX('Etsy Import'!$A:$CZ,885,Settings!$C$25)&amp;"","$",""),",","")),0)/IF(Settings!$B$27="Yes",G885,1))</f>
        <v/>
      </c>
      <c r="I885" s="11">
        <f>IF(A885="","",IFERROR(VALUE(SUBSTITUTE(SUBSTITUTE(INDEX('Etsy Import'!$A:$CZ,885,Settings!$C$26)&amp;"","$",""),",","")),0)/IF(Settings!$B$27="Yes",G885,1))</f>
        <v/>
      </c>
      <c r="J885" s="11">
        <f>IF(A885="","",F885+H885-I885)</f>
        <v/>
      </c>
      <c r="K885">
        <f>IF(A885="","",IFERROR(IF(B885="",NA(),MATCH(B885,Products!$B$5:$B$204,0)),IFERROR(MATCH(A885,Products!$A$5:$A$204,0),"")))</f>
        <v/>
      </c>
      <c r="L885">
        <f>IF(A885="","",IF(K885="","⚠ not in Products",INDEX(Products!$A$5:$A$204,K885)))</f>
        <v/>
      </c>
      <c r="M885" s="11">
        <f>IF(A885="","",J885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885+IFERROR(INDEX(Settings!$D$5:$D$9,MATCH("Etsy",Settings!$A$5:$A$9,0)),0)*D885)</f>
        <v/>
      </c>
      <c r="N885" s="11">
        <f>IF(A885="","",IF(K885="",0,D885*INDEX(Products!$I$5:$I$204,K885)))</f>
        <v/>
      </c>
      <c r="O885" s="11">
        <f>IF(A885="","",IF(K885="",0,J885*INDEX(Products!$H$5:$H$204,K885)))</f>
        <v/>
      </c>
      <c r="P885" s="11">
        <f>IF(A885="","",J885-M885-N885-O885)</f>
        <v/>
      </c>
    </row>
    <row r="886">
      <c r="A886">
        <f>IFERROR(INDEX('Etsy Import'!$A:$CZ,886,Settings!$C$20)&amp;"","")</f>
        <v/>
      </c>
      <c r="B886">
        <f>IFERROR(INDEX('Etsy Import'!$A:$CZ,886,Settings!$C$21)&amp;"","")</f>
        <v/>
      </c>
      <c r="C886">
        <f>IFERROR(INDEX('Etsy Import'!$A:$CZ,886,Settings!$C$22)&amp;"","")</f>
        <v/>
      </c>
      <c r="D886">
        <f>IF(A886="","",IFERROR(VALUE(SUBSTITUTE(SUBSTITUTE(INDEX('Etsy Import'!$A:$CZ,886,Settings!$C$23)&amp;"","$",""),",","")),0))</f>
        <v/>
      </c>
      <c r="E886" s="11">
        <f>IF(A886="","",IFERROR(VALUE(SUBSTITUTE(SUBSTITUTE(INDEX('Etsy Import'!$A:$CZ,886,Settings!$C$24)&amp;"","$",""),",","")),0))</f>
        <v/>
      </c>
      <c r="F886" s="11">
        <f>IF(A886="","",D886*E886)</f>
        <v/>
      </c>
      <c r="G886">
        <f>IF(A886="","",IF(C886="",1,COUNTIF($C$2:$C$1501,C886)))</f>
        <v/>
      </c>
      <c r="H886" s="11">
        <f>IF(A886="","",IFERROR(VALUE(SUBSTITUTE(SUBSTITUTE(INDEX('Etsy Import'!$A:$CZ,886,Settings!$C$25)&amp;"","$",""),",","")),0)/IF(Settings!$B$27="Yes",G886,1))</f>
        <v/>
      </c>
      <c r="I886" s="11">
        <f>IF(A886="","",IFERROR(VALUE(SUBSTITUTE(SUBSTITUTE(INDEX('Etsy Import'!$A:$CZ,886,Settings!$C$26)&amp;"","$",""),",","")),0)/IF(Settings!$B$27="Yes",G886,1))</f>
        <v/>
      </c>
      <c r="J886" s="11">
        <f>IF(A886="","",F886+H886-I886)</f>
        <v/>
      </c>
      <c r="K886">
        <f>IF(A886="","",IFERROR(IF(B886="",NA(),MATCH(B886,Products!$B$5:$B$204,0)),IFERROR(MATCH(A886,Products!$A$5:$A$204,0),"")))</f>
        <v/>
      </c>
      <c r="L886">
        <f>IF(A886="","",IF(K886="","⚠ not in Products",INDEX(Products!$A$5:$A$204,K886)))</f>
        <v/>
      </c>
      <c r="M886" s="11">
        <f>IF(A886="","",J886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886+IFERROR(INDEX(Settings!$D$5:$D$9,MATCH("Etsy",Settings!$A$5:$A$9,0)),0)*D886)</f>
        <v/>
      </c>
      <c r="N886" s="11">
        <f>IF(A886="","",IF(K886="",0,D886*INDEX(Products!$I$5:$I$204,K886)))</f>
        <v/>
      </c>
      <c r="O886" s="11">
        <f>IF(A886="","",IF(K886="",0,J886*INDEX(Products!$H$5:$H$204,K886)))</f>
        <v/>
      </c>
      <c r="P886" s="11">
        <f>IF(A886="","",J886-M886-N886-O886)</f>
        <v/>
      </c>
    </row>
    <row r="887">
      <c r="A887">
        <f>IFERROR(INDEX('Etsy Import'!$A:$CZ,887,Settings!$C$20)&amp;"","")</f>
        <v/>
      </c>
      <c r="B887">
        <f>IFERROR(INDEX('Etsy Import'!$A:$CZ,887,Settings!$C$21)&amp;"","")</f>
        <v/>
      </c>
      <c r="C887">
        <f>IFERROR(INDEX('Etsy Import'!$A:$CZ,887,Settings!$C$22)&amp;"","")</f>
        <v/>
      </c>
      <c r="D887">
        <f>IF(A887="","",IFERROR(VALUE(SUBSTITUTE(SUBSTITUTE(INDEX('Etsy Import'!$A:$CZ,887,Settings!$C$23)&amp;"","$",""),",","")),0))</f>
        <v/>
      </c>
      <c r="E887" s="11">
        <f>IF(A887="","",IFERROR(VALUE(SUBSTITUTE(SUBSTITUTE(INDEX('Etsy Import'!$A:$CZ,887,Settings!$C$24)&amp;"","$",""),",","")),0))</f>
        <v/>
      </c>
      <c r="F887" s="11">
        <f>IF(A887="","",D887*E887)</f>
        <v/>
      </c>
      <c r="G887">
        <f>IF(A887="","",IF(C887="",1,COUNTIF($C$2:$C$1501,C887)))</f>
        <v/>
      </c>
      <c r="H887" s="11">
        <f>IF(A887="","",IFERROR(VALUE(SUBSTITUTE(SUBSTITUTE(INDEX('Etsy Import'!$A:$CZ,887,Settings!$C$25)&amp;"","$",""),",","")),0)/IF(Settings!$B$27="Yes",G887,1))</f>
        <v/>
      </c>
      <c r="I887" s="11">
        <f>IF(A887="","",IFERROR(VALUE(SUBSTITUTE(SUBSTITUTE(INDEX('Etsy Import'!$A:$CZ,887,Settings!$C$26)&amp;"","$",""),",","")),0)/IF(Settings!$B$27="Yes",G887,1))</f>
        <v/>
      </c>
      <c r="J887" s="11">
        <f>IF(A887="","",F887+H887-I887)</f>
        <v/>
      </c>
      <c r="K887">
        <f>IF(A887="","",IFERROR(IF(B887="",NA(),MATCH(B887,Products!$B$5:$B$204,0)),IFERROR(MATCH(A887,Products!$A$5:$A$204,0),"")))</f>
        <v/>
      </c>
      <c r="L887">
        <f>IF(A887="","",IF(K887="","⚠ not in Products",INDEX(Products!$A$5:$A$204,K887)))</f>
        <v/>
      </c>
      <c r="M887" s="11">
        <f>IF(A887="","",J887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887+IFERROR(INDEX(Settings!$D$5:$D$9,MATCH("Etsy",Settings!$A$5:$A$9,0)),0)*D887)</f>
        <v/>
      </c>
      <c r="N887" s="11">
        <f>IF(A887="","",IF(K887="",0,D887*INDEX(Products!$I$5:$I$204,K887)))</f>
        <v/>
      </c>
      <c r="O887" s="11">
        <f>IF(A887="","",IF(K887="",0,J887*INDEX(Products!$H$5:$H$204,K887)))</f>
        <v/>
      </c>
      <c r="P887" s="11">
        <f>IF(A887="","",J887-M887-N887-O887)</f>
        <v/>
      </c>
    </row>
    <row r="888">
      <c r="A888">
        <f>IFERROR(INDEX('Etsy Import'!$A:$CZ,888,Settings!$C$20)&amp;"","")</f>
        <v/>
      </c>
      <c r="B888">
        <f>IFERROR(INDEX('Etsy Import'!$A:$CZ,888,Settings!$C$21)&amp;"","")</f>
        <v/>
      </c>
      <c r="C888">
        <f>IFERROR(INDEX('Etsy Import'!$A:$CZ,888,Settings!$C$22)&amp;"","")</f>
        <v/>
      </c>
      <c r="D888">
        <f>IF(A888="","",IFERROR(VALUE(SUBSTITUTE(SUBSTITUTE(INDEX('Etsy Import'!$A:$CZ,888,Settings!$C$23)&amp;"","$",""),",","")),0))</f>
        <v/>
      </c>
      <c r="E888" s="11">
        <f>IF(A888="","",IFERROR(VALUE(SUBSTITUTE(SUBSTITUTE(INDEX('Etsy Import'!$A:$CZ,888,Settings!$C$24)&amp;"","$",""),",","")),0))</f>
        <v/>
      </c>
      <c r="F888" s="11">
        <f>IF(A888="","",D888*E888)</f>
        <v/>
      </c>
      <c r="G888">
        <f>IF(A888="","",IF(C888="",1,COUNTIF($C$2:$C$1501,C888)))</f>
        <v/>
      </c>
      <c r="H888" s="11">
        <f>IF(A888="","",IFERROR(VALUE(SUBSTITUTE(SUBSTITUTE(INDEX('Etsy Import'!$A:$CZ,888,Settings!$C$25)&amp;"","$",""),",","")),0)/IF(Settings!$B$27="Yes",G888,1))</f>
        <v/>
      </c>
      <c r="I888" s="11">
        <f>IF(A888="","",IFERROR(VALUE(SUBSTITUTE(SUBSTITUTE(INDEX('Etsy Import'!$A:$CZ,888,Settings!$C$26)&amp;"","$",""),",","")),0)/IF(Settings!$B$27="Yes",G888,1))</f>
        <v/>
      </c>
      <c r="J888" s="11">
        <f>IF(A888="","",F888+H888-I888)</f>
        <v/>
      </c>
      <c r="K888">
        <f>IF(A888="","",IFERROR(IF(B888="",NA(),MATCH(B888,Products!$B$5:$B$204,0)),IFERROR(MATCH(A888,Products!$A$5:$A$204,0),"")))</f>
        <v/>
      </c>
      <c r="L888">
        <f>IF(A888="","",IF(K888="","⚠ not in Products",INDEX(Products!$A$5:$A$204,K888)))</f>
        <v/>
      </c>
      <c r="M888" s="11">
        <f>IF(A888="","",J888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888+IFERROR(INDEX(Settings!$D$5:$D$9,MATCH("Etsy",Settings!$A$5:$A$9,0)),0)*D888)</f>
        <v/>
      </c>
      <c r="N888" s="11">
        <f>IF(A888="","",IF(K888="",0,D888*INDEX(Products!$I$5:$I$204,K888)))</f>
        <v/>
      </c>
      <c r="O888" s="11">
        <f>IF(A888="","",IF(K888="",0,J888*INDEX(Products!$H$5:$H$204,K888)))</f>
        <v/>
      </c>
      <c r="P888" s="11">
        <f>IF(A888="","",J888-M888-N888-O888)</f>
        <v/>
      </c>
    </row>
    <row r="889">
      <c r="A889">
        <f>IFERROR(INDEX('Etsy Import'!$A:$CZ,889,Settings!$C$20)&amp;"","")</f>
        <v/>
      </c>
      <c r="B889">
        <f>IFERROR(INDEX('Etsy Import'!$A:$CZ,889,Settings!$C$21)&amp;"","")</f>
        <v/>
      </c>
      <c r="C889">
        <f>IFERROR(INDEX('Etsy Import'!$A:$CZ,889,Settings!$C$22)&amp;"","")</f>
        <v/>
      </c>
      <c r="D889">
        <f>IF(A889="","",IFERROR(VALUE(SUBSTITUTE(SUBSTITUTE(INDEX('Etsy Import'!$A:$CZ,889,Settings!$C$23)&amp;"","$",""),",","")),0))</f>
        <v/>
      </c>
      <c r="E889" s="11">
        <f>IF(A889="","",IFERROR(VALUE(SUBSTITUTE(SUBSTITUTE(INDEX('Etsy Import'!$A:$CZ,889,Settings!$C$24)&amp;"","$",""),",","")),0))</f>
        <v/>
      </c>
      <c r="F889" s="11">
        <f>IF(A889="","",D889*E889)</f>
        <v/>
      </c>
      <c r="G889">
        <f>IF(A889="","",IF(C889="",1,COUNTIF($C$2:$C$1501,C889)))</f>
        <v/>
      </c>
      <c r="H889" s="11">
        <f>IF(A889="","",IFERROR(VALUE(SUBSTITUTE(SUBSTITUTE(INDEX('Etsy Import'!$A:$CZ,889,Settings!$C$25)&amp;"","$",""),",","")),0)/IF(Settings!$B$27="Yes",G889,1))</f>
        <v/>
      </c>
      <c r="I889" s="11">
        <f>IF(A889="","",IFERROR(VALUE(SUBSTITUTE(SUBSTITUTE(INDEX('Etsy Import'!$A:$CZ,889,Settings!$C$26)&amp;"","$",""),",","")),0)/IF(Settings!$B$27="Yes",G889,1))</f>
        <v/>
      </c>
      <c r="J889" s="11">
        <f>IF(A889="","",F889+H889-I889)</f>
        <v/>
      </c>
      <c r="K889">
        <f>IF(A889="","",IFERROR(IF(B889="",NA(),MATCH(B889,Products!$B$5:$B$204,0)),IFERROR(MATCH(A889,Products!$A$5:$A$204,0),"")))</f>
        <v/>
      </c>
      <c r="L889">
        <f>IF(A889="","",IF(K889="","⚠ not in Products",INDEX(Products!$A$5:$A$204,K889)))</f>
        <v/>
      </c>
      <c r="M889" s="11">
        <f>IF(A889="","",J889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889+IFERROR(INDEX(Settings!$D$5:$D$9,MATCH("Etsy",Settings!$A$5:$A$9,0)),0)*D889)</f>
        <v/>
      </c>
      <c r="N889" s="11">
        <f>IF(A889="","",IF(K889="",0,D889*INDEX(Products!$I$5:$I$204,K889)))</f>
        <v/>
      </c>
      <c r="O889" s="11">
        <f>IF(A889="","",IF(K889="",0,J889*INDEX(Products!$H$5:$H$204,K889)))</f>
        <v/>
      </c>
      <c r="P889" s="11">
        <f>IF(A889="","",J889-M889-N889-O889)</f>
        <v/>
      </c>
    </row>
    <row r="890">
      <c r="A890">
        <f>IFERROR(INDEX('Etsy Import'!$A:$CZ,890,Settings!$C$20)&amp;"","")</f>
        <v/>
      </c>
      <c r="B890">
        <f>IFERROR(INDEX('Etsy Import'!$A:$CZ,890,Settings!$C$21)&amp;"","")</f>
        <v/>
      </c>
      <c r="C890">
        <f>IFERROR(INDEX('Etsy Import'!$A:$CZ,890,Settings!$C$22)&amp;"","")</f>
        <v/>
      </c>
      <c r="D890">
        <f>IF(A890="","",IFERROR(VALUE(SUBSTITUTE(SUBSTITUTE(INDEX('Etsy Import'!$A:$CZ,890,Settings!$C$23)&amp;"","$",""),",","")),0))</f>
        <v/>
      </c>
      <c r="E890" s="11">
        <f>IF(A890="","",IFERROR(VALUE(SUBSTITUTE(SUBSTITUTE(INDEX('Etsy Import'!$A:$CZ,890,Settings!$C$24)&amp;"","$",""),",","")),0))</f>
        <v/>
      </c>
      <c r="F890" s="11">
        <f>IF(A890="","",D890*E890)</f>
        <v/>
      </c>
      <c r="G890">
        <f>IF(A890="","",IF(C890="",1,COUNTIF($C$2:$C$1501,C890)))</f>
        <v/>
      </c>
      <c r="H890" s="11">
        <f>IF(A890="","",IFERROR(VALUE(SUBSTITUTE(SUBSTITUTE(INDEX('Etsy Import'!$A:$CZ,890,Settings!$C$25)&amp;"","$",""),",","")),0)/IF(Settings!$B$27="Yes",G890,1))</f>
        <v/>
      </c>
      <c r="I890" s="11">
        <f>IF(A890="","",IFERROR(VALUE(SUBSTITUTE(SUBSTITUTE(INDEX('Etsy Import'!$A:$CZ,890,Settings!$C$26)&amp;"","$",""),",","")),0)/IF(Settings!$B$27="Yes",G890,1))</f>
        <v/>
      </c>
      <c r="J890" s="11">
        <f>IF(A890="","",F890+H890-I890)</f>
        <v/>
      </c>
      <c r="K890">
        <f>IF(A890="","",IFERROR(IF(B890="",NA(),MATCH(B890,Products!$B$5:$B$204,0)),IFERROR(MATCH(A890,Products!$A$5:$A$204,0),"")))</f>
        <v/>
      </c>
      <c r="L890">
        <f>IF(A890="","",IF(K890="","⚠ not in Products",INDEX(Products!$A$5:$A$204,K890)))</f>
        <v/>
      </c>
      <c r="M890" s="11">
        <f>IF(A890="","",J890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890+IFERROR(INDEX(Settings!$D$5:$D$9,MATCH("Etsy",Settings!$A$5:$A$9,0)),0)*D890)</f>
        <v/>
      </c>
      <c r="N890" s="11">
        <f>IF(A890="","",IF(K890="",0,D890*INDEX(Products!$I$5:$I$204,K890)))</f>
        <v/>
      </c>
      <c r="O890" s="11">
        <f>IF(A890="","",IF(K890="",0,J890*INDEX(Products!$H$5:$H$204,K890)))</f>
        <v/>
      </c>
      <c r="P890" s="11">
        <f>IF(A890="","",J890-M890-N890-O890)</f>
        <v/>
      </c>
    </row>
    <row r="891">
      <c r="A891">
        <f>IFERROR(INDEX('Etsy Import'!$A:$CZ,891,Settings!$C$20)&amp;"","")</f>
        <v/>
      </c>
      <c r="B891">
        <f>IFERROR(INDEX('Etsy Import'!$A:$CZ,891,Settings!$C$21)&amp;"","")</f>
        <v/>
      </c>
      <c r="C891">
        <f>IFERROR(INDEX('Etsy Import'!$A:$CZ,891,Settings!$C$22)&amp;"","")</f>
        <v/>
      </c>
      <c r="D891">
        <f>IF(A891="","",IFERROR(VALUE(SUBSTITUTE(SUBSTITUTE(INDEX('Etsy Import'!$A:$CZ,891,Settings!$C$23)&amp;"","$",""),",","")),0))</f>
        <v/>
      </c>
      <c r="E891" s="11">
        <f>IF(A891="","",IFERROR(VALUE(SUBSTITUTE(SUBSTITUTE(INDEX('Etsy Import'!$A:$CZ,891,Settings!$C$24)&amp;"","$",""),",","")),0))</f>
        <v/>
      </c>
      <c r="F891" s="11">
        <f>IF(A891="","",D891*E891)</f>
        <v/>
      </c>
      <c r="G891">
        <f>IF(A891="","",IF(C891="",1,COUNTIF($C$2:$C$1501,C891)))</f>
        <v/>
      </c>
      <c r="H891" s="11">
        <f>IF(A891="","",IFERROR(VALUE(SUBSTITUTE(SUBSTITUTE(INDEX('Etsy Import'!$A:$CZ,891,Settings!$C$25)&amp;"","$",""),",","")),0)/IF(Settings!$B$27="Yes",G891,1))</f>
        <v/>
      </c>
      <c r="I891" s="11">
        <f>IF(A891="","",IFERROR(VALUE(SUBSTITUTE(SUBSTITUTE(INDEX('Etsy Import'!$A:$CZ,891,Settings!$C$26)&amp;"","$",""),",","")),0)/IF(Settings!$B$27="Yes",G891,1))</f>
        <v/>
      </c>
      <c r="J891" s="11">
        <f>IF(A891="","",F891+H891-I891)</f>
        <v/>
      </c>
      <c r="K891">
        <f>IF(A891="","",IFERROR(IF(B891="",NA(),MATCH(B891,Products!$B$5:$B$204,0)),IFERROR(MATCH(A891,Products!$A$5:$A$204,0),"")))</f>
        <v/>
      </c>
      <c r="L891">
        <f>IF(A891="","",IF(K891="","⚠ not in Products",INDEX(Products!$A$5:$A$204,K891)))</f>
        <v/>
      </c>
      <c r="M891" s="11">
        <f>IF(A891="","",J891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891+IFERROR(INDEX(Settings!$D$5:$D$9,MATCH("Etsy",Settings!$A$5:$A$9,0)),0)*D891)</f>
        <v/>
      </c>
      <c r="N891" s="11">
        <f>IF(A891="","",IF(K891="",0,D891*INDEX(Products!$I$5:$I$204,K891)))</f>
        <v/>
      </c>
      <c r="O891" s="11">
        <f>IF(A891="","",IF(K891="",0,J891*INDEX(Products!$H$5:$H$204,K891)))</f>
        <v/>
      </c>
      <c r="P891" s="11">
        <f>IF(A891="","",J891-M891-N891-O891)</f>
        <v/>
      </c>
    </row>
    <row r="892">
      <c r="A892">
        <f>IFERROR(INDEX('Etsy Import'!$A:$CZ,892,Settings!$C$20)&amp;"","")</f>
        <v/>
      </c>
      <c r="B892">
        <f>IFERROR(INDEX('Etsy Import'!$A:$CZ,892,Settings!$C$21)&amp;"","")</f>
        <v/>
      </c>
      <c r="C892">
        <f>IFERROR(INDEX('Etsy Import'!$A:$CZ,892,Settings!$C$22)&amp;"","")</f>
        <v/>
      </c>
      <c r="D892">
        <f>IF(A892="","",IFERROR(VALUE(SUBSTITUTE(SUBSTITUTE(INDEX('Etsy Import'!$A:$CZ,892,Settings!$C$23)&amp;"","$",""),",","")),0))</f>
        <v/>
      </c>
      <c r="E892" s="11">
        <f>IF(A892="","",IFERROR(VALUE(SUBSTITUTE(SUBSTITUTE(INDEX('Etsy Import'!$A:$CZ,892,Settings!$C$24)&amp;"","$",""),",","")),0))</f>
        <v/>
      </c>
      <c r="F892" s="11">
        <f>IF(A892="","",D892*E892)</f>
        <v/>
      </c>
      <c r="G892">
        <f>IF(A892="","",IF(C892="",1,COUNTIF($C$2:$C$1501,C892)))</f>
        <v/>
      </c>
      <c r="H892" s="11">
        <f>IF(A892="","",IFERROR(VALUE(SUBSTITUTE(SUBSTITUTE(INDEX('Etsy Import'!$A:$CZ,892,Settings!$C$25)&amp;"","$",""),",","")),0)/IF(Settings!$B$27="Yes",G892,1))</f>
        <v/>
      </c>
      <c r="I892" s="11">
        <f>IF(A892="","",IFERROR(VALUE(SUBSTITUTE(SUBSTITUTE(INDEX('Etsy Import'!$A:$CZ,892,Settings!$C$26)&amp;"","$",""),",","")),0)/IF(Settings!$B$27="Yes",G892,1))</f>
        <v/>
      </c>
      <c r="J892" s="11">
        <f>IF(A892="","",F892+H892-I892)</f>
        <v/>
      </c>
      <c r="K892">
        <f>IF(A892="","",IFERROR(IF(B892="",NA(),MATCH(B892,Products!$B$5:$B$204,0)),IFERROR(MATCH(A892,Products!$A$5:$A$204,0),"")))</f>
        <v/>
      </c>
      <c r="L892">
        <f>IF(A892="","",IF(K892="","⚠ not in Products",INDEX(Products!$A$5:$A$204,K892)))</f>
        <v/>
      </c>
      <c r="M892" s="11">
        <f>IF(A892="","",J892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892+IFERROR(INDEX(Settings!$D$5:$D$9,MATCH("Etsy",Settings!$A$5:$A$9,0)),0)*D892)</f>
        <v/>
      </c>
      <c r="N892" s="11">
        <f>IF(A892="","",IF(K892="",0,D892*INDEX(Products!$I$5:$I$204,K892)))</f>
        <v/>
      </c>
      <c r="O892" s="11">
        <f>IF(A892="","",IF(K892="",0,J892*INDEX(Products!$H$5:$H$204,K892)))</f>
        <v/>
      </c>
      <c r="P892" s="11">
        <f>IF(A892="","",J892-M892-N892-O892)</f>
        <v/>
      </c>
    </row>
    <row r="893">
      <c r="A893">
        <f>IFERROR(INDEX('Etsy Import'!$A:$CZ,893,Settings!$C$20)&amp;"","")</f>
        <v/>
      </c>
      <c r="B893">
        <f>IFERROR(INDEX('Etsy Import'!$A:$CZ,893,Settings!$C$21)&amp;"","")</f>
        <v/>
      </c>
      <c r="C893">
        <f>IFERROR(INDEX('Etsy Import'!$A:$CZ,893,Settings!$C$22)&amp;"","")</f>
        <v/>
      </c>
      <c r="D893">
        <f>IF(A893="","",IFERROR(VALUE(SUBSTITUTE(SUBSTITUTE(INDEX('Etsy Import'!$A:$CZ,893,Settings!$C$23)&amp;"","$",""),",","")),0))</f>
        <v/>
      </c>
      <c r="E893" s="11">
        <f>IF(A893="","",IFERROR(VALUE(SUBSTITUTE(SUBSTITUTE(INDEX('Etsy Import'!$A:$CZ,893,Settings!$C$24)&amp;"","$",""),",","")),0))</f>
        <v/>
      </c>
      <c r="F893" s="11">
        <f>IF(A893="","",D893*E893)</f>
        <v/>
      </c>
      <c r="G893">
        <f>IF(A893="","",IF(C893="",1,COUNTIF($C$2:$C$1501,C893)))</f>
        <v/>
      </c>
      <c r="H893" s="11">
        <f>IF(A893="","",IFERROR(VALUE(SUBSTITUTE(SUBSTITUTE(INDEX('Etsy Import'!$A:$CZ,893,Settings!$C$25)&amp;"","$",""),",","")),0)/IF(Settings!$B$27="Yes",G893,1))</f>
        <v/>
      </c>
      <c r="I893" s="11">
        <f>IF(A893="","",IFERROR(VALUE(SUBSTITUTE(SUBSTITUTE(INDEX('Etsy Import'!$A:$CZ,893,Settings!$C$26)&amp;"","$",""),",","")),0)/IF(Settings!$B$27="Yes",G893,1))</f>
        <v/>
      </c>
      <c r="J893" s="11">
        <f>IF(A893="","",F893+H893-I893)</f>
        <v/>
      </c>
      <c r="K893">
        <f>IF(A893="","",IFERROR(IF(B893="",NA(),MATCH(B893,Products!$B$5:$B$204,0)),IFERROR(MATCH(A893,Products!$A$5:$A$204,0),"")))</f>
        <v/>
      </c>
      <c r="L893">
        <f>IF(A893="","",IF(K893="","⚠ not in Products",INDEX(Products!$A$5:$A$204,K893)))</f>
        <v/>
      </c>
      <c r="M893" s="11">
        <f>IF(A893="","",J893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893+IFERROR(INDEX(Settings!$D$5:$D$9,MATCH("Etsy",Settings!$A$5:$A$9,0)),0)*D893)</f>
        <v/>
      </c>
      <c r="N893" s="11">
        <f>IF(A893="","",IF(K893="",0,D893*INDEX(Products!$I$5:$I$204,K893)))</f>
        <v/>
      </c>
      <c r="O893" s="11">
        <f>IF(A893="","",IF(K893="",0,J893*INDEX(Products!$H$5:$H$204,K893)))</f>
        <v/>
      </c>
      <c r="P893" s="11">
        <f>IF(A893="","",J893-M893-N893-O893)</f>
        <v/>
      </c>
    </row>
    <row r="894">
      <c r="A894">
        <f>IFERROR(INDEX('Etsy Import'!$A:$CZ,894,Settings!$C$20)&amp;"","")</f>
        <v/>
      </c>
      <c r="B894">
        <f>IFERROR(INDEX('Etsy Import'!$A:$CZ,894,Settings!$C$21)&amp;"","")</f>
        <v/>
      </c>
      <c r="C894">
        <f>IFERROR(INDEX('Etsy Import'!$A:$CZ,894,Settings!$C$22)&amp;"","")</f>
        <v/>
      </c>
      <c r="D894">
        <f>IF(A894="","",IFERROR(VALUE(SUBSTITUTE(SUBSTITUTE(INDEX('Etsy Import'!$A:$CZ,894,Settings!$C$23)&amp;"","$",""),",","")),0))</f>
        <v/>
      </c>
      <c r="E894" s="11">
        <f>IF(A894="","",IFERROR(VALUE(SUBSTITUTE(SUBSTITUTE(INDEX('Etsy Import'!$A:$CZ,894,Settings!$C$24)&amp;"","$",""),",","")),0))</f>
        <v/>
      </c>
      <c r="F894" s="11">
        <f>IF(A894="","",D894*E894)</f>
        <v/>
      </c>
      <c r="G894">
        <f>IF(A894="","",IF(C894="",1,COUNTIF($C$2:$C$1501,C894)))</f>
        <v/>
      </c>
      <c r="H894" s="11">
        <f>IF(A894="","",IFERROR(VALUE(SUBSTITUTE(SUBSTITUTE(INDEX('Etsy Import'!$A:$CZ,894,Settings!$C$25)&amp;"","$",""),",","")),0)/IF(Settings!$B$27="Yes",G894,1))</f>
        <v/>
      </c>
      <c r="I894" s="11">
        <f>IF(A894="","",IFERROR(VALUE(SUBSTITUTE(SUBSTITUTE(INDEX('Etsy Import'!$A:$CZ,894,Settings!$C$26)&amp;"","$",""),",","")),0)/IF(Settings!$B$27="Yes",G894,1))</f>
        <v/>
      </c>
      <c r="J894" s="11">
        <f>IF(A894="","",F894+H894-I894)</f>
        <v/>
      </c>
      <c r="K894">
        <f>IF(A894="","",IFERROR(IF(B894="",NA(),MATCH(B894,Products!$B$5:$B$204,0)),IFERROR(MATCH(A894,Products!$A$5:$A$204,0),"")))</f>
        <v/>
      </c>
      <c r="L894">
        <f>IF(A894="","",IF(K894="","⚠ not in Products",INDEX(Products!$A$5:$A$204,K894)))</f>
        <v/>
      </c>
      <c r="M894" s="11">
        <f>IF(A894="","",J894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894+IFERROR(INDEX(Settings!$D$5:$D$9,MATCH("Etsy",Settings!$A$5:$A$9,0)),0)*D894)</f>
        <v/>
      </c>
      <c r="N894" s="11">
        <f>IF(A894="","",IF(K894="",0,D894*INDEX(Products!$I$5:$I$204,K894)))</f>
        <v/>
      </c>
      <c r="O894" s="11">
        <f>IF(A894="","",IF(K894="",0,J894*INDEX(Products!$H$5:$H$204,K894)))</f>
        <v/>
      </c>
      <c r="P894" s="11">
        <f>IF(A894="","",J894-M894-N894-O894)</f>
        <v/>
      </c>
    </row>
    <row r="895">
      <c r="A895">
        <f>IFERROR(INDEX('Etsy Import'!$A:$CZ,895,Settings!$C$20)&amp;"","")</f>
        <v/>
      </c>
      <c r="B895">
        <f>IFERROR(INDEX('Etsy Import'!$A:$CZ,895,Settings!$C$21)&amp;"","")</f>
        <v/>
      </c>
      <c r="C895">
        <f>IFERROR(INDEX('Etsy Import'!$A:$CZ,895,Settings!$C$22)&amp;"","")</f>
        <v/>
      </c>
      <c r="D895">
        <f>IF(A895="","",IFERROR(VALUE(SUBSTITUTE(SUBSTITUTE(INDEX('Etsy Import'!$A:$CZ,895,Settings!$C$23)&amp;"","$",""),",","")),0))</f>
        <v/>
      </c>
      <c r="E895" s="11">
        <f>IF(A895="","",IFERROR(VALUE(SUBSTITUTE(SUBSTITUTE(INDEX('Etsy Import'!$A:$CZ,895,Settings!$C$24)&amp;"","$",""),",","")),0))</f>
        <v/>
      </c>
      <c r="F895" s="11">
        <f>IF(A895="","",D895*E895)</f>
        <v/>
      </c>
      <c r="G895">
        <f>IF(A895="","",IF(C895="",1,COUNTIF($C$2:$C$1501,C895)))</f>
        <v/>
      </c>
      <c r="H895" s="11">
        <f>IF(A895="","",IFERROR(VALUE(SUBSTITUTE(SUBSTITUTE(INDEX('Etsy Import'!$A:$CZ,895,Settings!$C$25)&amp;"","$",""),",","")),0)/IF(Settings!$B$27="Yes",G895,1))</f>
        <v/>
      </c>
      <c r="I895" s="11">
        <f>IF(A895="","",IFERROR(VALUE(SUBSTITUTE(SUBSTITUTE(INDEX('Etsy Import'!$A:$CZ,895,Settings!$C$26)&amp;"","$",""),",","")),0)/IF(Settings!$B$27="Yes",G895,1))</f>
        <v/>
      </c>
      <c r="J895" s="11">
        <f>IF(A895="","",F895+H895-I895)</f>
        <v/>
      </c>
      <c r="K895">
        <f>IF(A895="","",IFERROR(IF(B895="",NA(),MATCH(B895,Products!$B$5:$B$204,0)),IFERROR(MATCH(A895,Products!$A$5:$A$204,0),"")))</f>
        <v/>
      </c>
      <c r="L895">
        <f>IF(A895="","",IF(K895="","⚠ not in Products",INDEX(Products!$A$5:$A$204,K895)))</f>
        <v/>
      </c>
      <c r="M895" s="11">
        <f>IF(A895="","",J895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895+IFERROR(INDEX(Settings!$D$5:$D$9,MATCH("Etsy",Settings!$A$5:$A$9,0)),0)*D895)</f>
        <v/>
      </c>
      <c r="N895" s="11">
        <f>IF(A895="","",IF(K895="",0,D895*INDEX(Products!$I$5:$I$204,K895)))</f>
        <v/>
      </c>
      <c r="O895" s="11">
        <f>IF(A895="","",IF(K895="",0,J895*INDEX(Products!$H$5:$H$204,K895)))</f>
        <v/>
      </c>
      <c r="P895" s="11">
        <f>IF(A895="","",J895-M895-N895-O895)</f>
        <v/>
      </c>
    </row>
    <row r="896">
      <c r="A896">
        <f>IFERROR(INDEX('Etsy Import'!$A:$CZ,896,Settings!$C$20)&amp;"","")</f>
        <v/>
      </c>
      <c r="B896">
        <f>IFERROR(INDEX('Etsy Import'!$A:$CZ,896,Settings!$C$21)&amp;"","")</f>
        <v/>
      </c>
      <c r="C896">
        <f>IFERROR(INDEX('Etsy Import'!$A:$CZ,896,Settings!$C$22)&amp;"","")</f>
        <v/>
      </c>
      <c r="D896">
        <f>IF(A896="","",IFERROR(VALUE(SUBSTITUTE(SUBSTITUTE(INDEX('Etsy Import'!$A:$CZ,896,Settings!$C$23)&amp;"","$",""),",","")),0))</f>
        <v/>
      </c>
      <c r="E896" s="11">
        <f>IF(A896="","",IFERROR(VALUE(SUBSTITUTE(SUBSTITUTE(INDEX('Etsy Import'!$A:$CZ,896,Settings!$C$24)&amp;"","$",""),",","")),0))</f>
        <v/>
      </c>
      <c r="F896" s="11">
        <f>IF(A896="","",D896*E896)</f>
        <v/>
      </c>
      <c r="G896">
        <f>IF(A896="","",IF(C896="",1,COUNTIF($C$2:$C$1501,C896)))</f>
        <v/>
      </c>
      <c r="H896" s="11">
        <f>IF(A896="","",IFERROR(VALUE(SUBSTITUTE(SUBSTITUTE(INDEX('Etsy Import'!$A:$CZ,896,Settings!$C$25)&amp;"","$",""),",","")),0)/IF(Settings!$B$27="Yes",G896,1))</f>
        <v/>
      </c>
      <c r="I896" s="11">
        <f>IF(A896="","",IFERROR(VALUE(SUBSTITUTE(SUBSTITUTE(INDEX('Etsy Import'!$A:$CZ,896,Settings!$C$26)&amp;"","$",""),",","")),0)/IF(Settings!$B$27="Yes",G896,1))</f>
        <v/>
      </c>
      <c r="J896" s="11">
        <f>IF(A896="","",F896+H896-I896)</f>
        <v/>
      </c>
      <c r="K896">
        <f>IF(A896="","",IFERROR(IF(B896="",NA(),MATCH(B896,Products!$B$5:$B$204,0)),IFERROR(MATCH(A896,Products!$A$5:$A$204,0),"")))</f>
        <v/>
      </c>
      <c r="L896">
        <f>IF(A896="","",IF(K896="","⚠ not in Products",INDEX(Products!$A$5:$A$204,K896)))</f>
        <v/>
      </c>
      <c r="M896" s="11">
        <f>IF(A896="","",J896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896+IFERROR(INDEX(Settings!$D$5:$D$9,MATCH("Etsy",Settings!$A$5:$A$9,0)),0)*D896)</f>
        <v/>
      </c>
      <c r="N896" s="11">
        <f>IF(A896="","",IF(K896="",0,D896*INDEX(Products!$I$5:$I$204,K896)))</f>
        <v/>
      </c>
      <c r="O896" s="11">
        <f>IF(A896="","",IF(K896="",0,J896*INDEX(Products!$H$5:$H$204,K896)))</f>
        <v/>
      </c>
      <c r="P896" s="11">
        <f>IF(A896="","",J896-M896-N896-O896)</f>
        <v/>
      </c>
    </row>
    <row r="897">
      <c r="A897">
        <f>IFERROR(INDEX('Etsy Import'!$A:$CZ,897,Settings!$C$20)&amp;"","")</f>
        <v/>
      </c>
      <c r="B897">
        <f>IFERROR(INDEX('Etsy Import'!$A:$CZ,897,Settings!$C$21)&amp;"","")</f>
        <v/>
      </c>
      <c r="C897">
        <f>IFERROR(INDEX('Etsy Import'!$A:$CZ,897,Settings!$C$22)&amp;"","")</f>
        <v/>
      </c>
      <c r="D897">
        <f>IF(A897="","",IFERROR(VALUE(SUBSTITUTE(SUBSTITUTE(INDEX('Etsy Import'!$A:$CZ,897,Settings!$C$23)&amp;"","$",""),",","")),0))</f>
        <v/>
      </c>
      <c r="E897" s="11">
        <f>IF(A897="","",IFERROR(VALUE(SUBSTITUTE(SUBSTITUTE(INDEX('Etsy Import'!$A:$CZ,897,Settings!$C$24)&amp;"","$",""),",","")),0))</f>
        <v/>
      </c>
      <c r="F897" s="11">
        <f>IF(A897="","",D897*E897)</f>
        <v/>
      </c>
      <c r="G897">
        <f>IF(A897="","",IF(C897="",1,COUNTIF($C$2:$C$1501,C897)))</f>
        <v/>
      </c>
      <c r="H897" s="11">
        <f>IF(A897="","",IFERROR(VALUE(SUBSTITUTE(SUBSTITUTE(INDEX('Etsy Import'!$A:$CZ,897,Settings!$C$25)&amp;"","$",""),",","")),0)/IF(Settings!$B$27="Yes",G897,1))</f>
        <v/>
      </c>
      <c r="I897" s="11">
        <f>IF(A897="","",IFERROR(VALUE(SUBSTITUTE(SUBSTITUTE(INDEX('Etsy Import'!$A:$CZ,897,Settings!$C$26)&amp;"","$",""),",","")),0)/IF(Settings!$B$27="Yes",G897,1))</f>
        <v/>
      </c>
      <c r="J897" s="11">
        <f>IF(A897="","",F897+H897-I897)</f>
        <v/>
      </c>
      <c r="K897">
        <f>IF(A897="","",IFERROR(IF(B897="",NA(),MATCH(B897,Products!$B$5:$B$204,0)),IFERROR(MATCH(A897,Products!$A$5:$A$204,0),"")))</f>
        <v/>
      </c>
      <c r="L897">
        <f>IF(A897="","",IF(K897="","⚠ not in Products",INDEX(Products!$A$5:$A$204,K897)))</f>
        <v/>
      </c>
      <c r="M897" s="11">
        <f>IF(A897="","",J897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897+IFERROR(INDEX(Settings!$D$5:$D$9,MATCH("Etsy",Settings!$A$5:$A$9,0)),0)*D897)</f>
        <v/>
      </c>
      <c r="N897" s="11">
        <f>IF(A897="","",IF(K897="",0,D897*INDEX(Products!$I$5:$I$204,K897)))</f>
        <v/>
      </c>
      <c r="O897" s="11">
        <f>IF(A897="","",IF(K897="",0,J897*INDEX(Products!$H$5:$H$204,K897)))</f>
        <v/>
      </c>
      <c r="P897" s="11">
        <f>IF(A897="","",J897-M897-N897-O897)</f>
        <v/>
      </c>
    </row>
    <row r="898">
      <c r="A898">
        <f>IFERROR(INDEX('Etsy Import'!$A:$CZ,898,Settings!$C$20)&amp;"","")</f>
        <v/>
      </c>
      <c r="B898">
        <f>IFERROR(INDEX('Etsy Import'!$A:$CZ,898,Settings!$C$21)&amp;"","")</f>
        <v/>
      </c>
      <c r="C898">
        <f>IFERROR(INDEX('Etsy Import'!$A:$CZ,898,Settings!$C$22)&amp;"","")</f>
        <v/>
      </c>
      <c r="D898">
        <f>IF(A898="","",IFERROR(VALUE(SUBSTITUTE(SUBSTITUTE(INDEX('Etsy Import'!$A:$CZ,898,Settings!$C$23)&amp;"","$",""),",","")),0))</f>
        <v/>
      </c>
      <c r="E898" s="11">
        <f>IF(A898="","",IFERROR(VALUE(SUBSTITUTE(SUBSTITUTE(INDEX('Etsy Import'!$A:$CZ,898,Settings!$C$24)&amp;"","$",""),",","")),0))</f>
        <v/>
      </c>
      <c r="F898" s="11">
        <f>IF(A898="","",D898*E898)</f>
        <v/>
      </c>
      <c r="G898">
        <f>IF(A898="","",IF(C898="",1,COUNTIF($C$2:$C$1501,C898)))</f>
        <v/>
      </c>
      <c r="H898" s="11">
        <f>IF(A898="","",IFERROR(VALUE(SUBSTITUTE(SUBSTITUTE(INDEX('Etsy Import'!$A:$CZ,898,Settings!$C$25)&amp;"","$",""),",","")),0)/IF(Settings!$B$27="Yes",G898,1))</f>
        <v/>
      </c>
      <c r="I898" s="11">
        <f>IF(A898="","",IFERROR(VALUE(SUBSTITUTE(SUBSTITUTE(INDEX('Etsy Import'!$A:$CZ,898,Settings!$C$26)&amp;"","$",""),",","")),0)/IF(Settings!$B$27="Yes",G898,1))</f>
        <v/>
      </c>
      <c r="J898" s="11">
        <f>IF(A898="","",F898+H898-I898)</f>
        <v/>
      </c>
      <c r="K898">
        <f>IF(A898="","",IFERROR(IF(B898="",NA(),MATCH(B898,Products!$B$5:$B$204,0)),IFERROR(MATCH(A898,Products!$A$5:$A$204,0),"")))</f>
        <v/>
      </c>
      <c r="L898">
        <f>IF(A898="","",IF(K898="","⚠ not in Products",INDEX(Products!$A$5:$A$204,K898)))</f>
        <v/>
      </c>
      <c r="M898" s="11">
        <f>IF(A898="","",J898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898+IFERROR(INDEX(Settings!$D$5:$D$9,MATCH("Etsy",Settings!$A$5:$A$9,0)),0)*D898)</f>
        <v/>
      </c>
      <c r="N898" s="11">
        <f>IF(A898="","",IF(K898="",0,D898*INDEX(Products!$I$5:$I$204,K898)))</f>
        <v/>
      </c>
      <c r="O898" s="11">
        <f>IF(A898="","",IF(K898="",0,J898*INDEX(Products!$H$5:$H$204,K898)))</f>
        <v/>
      </c>
      <c r="P898" s="11">
        <f>IF(A898="","",J898-M898-N898-O898)</f>
        <v/>
      </c>
    </row>
    <row r="899">
      <c r="A899">
        <f>IFERROR(INDEX('Etsy Import'!$A:$CZ,899,Settings!$C$20)&amp;"","")</f>
        <v/>
      </c>
      <c r="B899">
        <f>IFERROR(INDEX('Etsy Import'!$A:$CZ,899,Settings!$C$21)&amp;"","")</f>
        <v/>
      </c>
      <c r="C899">
        <f>IFERROR(INDEX('Etsy Import'!$A:$CZ,899,Settings!$C$22)&amp;"","")</f>
        <v/>
      </c>
      <c r="D899">
        <f>IF(A899="","",IFERROR(VALUE(SUBSTITUTE(SUBSTITUTE(INDEX('Etsy Import'!$A:$CZ,899,Settings!$C$23)&amp;"","$",""),",","")),0))</f>
        <v/>
      </c>
      <c r="E899" s="11">
        <f>IF(A899="","",IFERROR(VALUE(SUBSTITUTE(SUBSTITUTE(INDEX('Etsy Import'!$A:$CZ,899,Settings!$C$24)&amp;"","$",""),",","")),0))</f>
        <v/>
      </c>
      <c r="F899" s="11">
        <f>IF(A899="","",D899*E899)</f>
        <v/>
      </c>
      <c r="G899">
        <f>IF(A899="","",IF(C899="",1,COUNTIF($C$2:$C$1501,C899)))</f>
        <v/>
      </c>
      <c r="H899" s="11">
        <f>IF(A899="","",IFERROR(VALUE(SUBSTITUTE(SUBSTITUTE(INDEX('Etsy Import'!$A:$CZ,899,Settings!$C$25)&amp;"","$",""),",","")),0)/IF(Settings!$B$27="Yes",G899,1))</f>
        <v/>
      </c>
      <c r="I899" s="11">
        <f>IF(A899="","",IFERROR(VALUE(SUBSTITUTE(SUBSTITUTE(INDEX('Etsy Import'!$A:$CZ,899,Settings!$C$26)&amp;"","$",""),",","")),0)/IF(Settings!$B$27="Yes",G899,1))</f>
        <v/>
      </c>
      <c r="J899" s="11">
        <f>IF(A899="","",F899+H899-I899)</f>
        <v/>
      </c>
      <c r="K899">
        <f>IF(A899="","",IFERROR(IF(B899="",NA(),MATCH(B899,Products!$B$5:$B$204,0)),IFERROR(MATCH(A899,Products!$A$5:$A$204,0),"")))</f>
        <v/>
      </c>
      <c r="L899">
        <f>IF(A899="","",IF(K899="","⚠ not in Products",INDEX(Products!$A$5:$A$204,K899)))</f>
        <v/>
      </c>
      <c r="M899" s="11">
        <f>IF(A899="","",J899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899+IFERROR(INDEX(Settings!$D$5:$D$9,MATCH("Etsy",Settings!$A$5:$A$9,0)),0)*D899)</f>
        <v/>
      </c>
      <c r="N899" s="11">
        <f>IF(A899="","",IF(K899="",0,D899*INDEX(Products!$I$5:$I$204,K899)))</f>
        <v/>
      </c>
      <c r="O899" s="11">
        <f>IF(A899="","",IF(K899="",0,J899*INDEX(Products!$H$5:$H$204,K899)))</f>
        <v/>
      </c>
      <c r="P899" s="11">
        <f>IF(A899="","",J899-M899-N899-O899)</f>
        <v/>
      </c>
    </row>
    <row r="900">
      <c r="A900">
        <f>IFERROR(INDEX('Etsy Import'!$A:$CZ,900,Settings!$C$20)&amp;"","")</f>
        <v/>
      </c>
      <c r="B900">
        <f>IFERROR(INDEX('Etsy Import'!$A:$CZ,900,Settings!$C$21)&amp;"","")</f>
        <v/>
      </c>
      <c r="C900">
        <f>IFERROR(INDEX('Etsy Import'!$A:$CZ,900,Settings!$C$22)&amp;"","")</f>
        <v/>
      </c>
      <c r="D900">
        <f>IF(A900="","",IFERROR(VALUE(SUBSTITUTE(SUBSTITUTE(INDEX('Etsy Import'!$A:$CZ,900,Settings!$C$23)&amp;"","$",""),",","")),0))</f>
        <v/>
      </c>
      <c r="E900" s="11">
        <f>IF(A900="","",IFERROR(VALUE(SUBSTITUTE(SUBSTITUTE(INDEX('Etsy Import'!$A:$CZ,900,Settings!$C$24)&amp;"","$",""),",","")),0))</f>
        <v/>
      </c>
      <c r="F900" s="11">
        <f>IF(A900="","",D900*E900)</f>
        <v/>
      </c>
      <c r="G900">
        <f>IF(A900="","",IF(C900="",1,COUNTIF($C$2:$C$1501,C900)))</f>
        <v/>
      </c>
      <c r="H900" s="11">
        <f>IF(A900="","",IFERROR(VALUE(SUBSTITUTE(SUBSTITUTE(INDEX('Etsy Import'!$A:$CZ,900,Settings!$C$25)&amp;"","$",""),",","")),0)/IF(Settings!$B$27="Yes",G900,1))</f>
        <v/>
      </c>
      <c r="I900" s="11">
        <f>IF(A900="","",IFERROR(VALUE(SUBSTITUTE(SUBSTITUTE(INDEX('Etsy Import'!$A:$CZ,900,Settings!$C$26)&amp;"","$",""),",","")),0)/IF(Settings!$B$27="Yes",G900,1))</f>
        <v/>
      </c>
      <c r="J900" s="11">
        <f>IF(A900="","",F900+H900-I900)</f>
        <v/>
      </c>
      <c r="K900">
        <f>IF(A900="","",IFERROR(IF(B900="",NA(),MATCH(B900,Products!$B$5:$B$204,0)),IFERROR(MATCH(A900,Products!$A$5:$A$204,0),"")))</f>
        <v/>
      </c>
      <c r="L900">
        <f>IF(A900="","",IF(K900="","⚠ not in Products",INDEX(Products!$A$5:$A$204,K900)))</f>
        <v/>
      </c>
      <c r="M900" s="11">
        <f>IF(A900="","",J900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900+IFERROR(INDEX(Settings!$D$5:$D$9,MATCH("Etsy",Settings!$A$5:$A$9,0)),0)*D900)</f>
        <v/>
      </c>
      <c r="N900" s="11">
        <f>IF(A900="","",IF(K900="",0,D900*INDEX(Products!$I$5:$I$204,K900)))</f>
        <v/>
      </c>
      <c r="O900" s="11">
        <f>IF(A900="","",IF(K900="",0,J900*INDEX(Products!$H$5:$H$204,K900)))</f>
        <v/>
      </c>
      <c r="P900" s="11">
        <f>IF(A900="","",J900-M900-N900-O900)</f>
        <v/>
      </c>
    </row>
    <row r="901">
      <c r="A901">
        <f>IFERROR(INDEX('Etsy Import'!$A:$CZ,901,Settings!$C$20)&amp;"","")</f>
        <v/>
      </c>
      <c r="B901">
        <f>IFERROR(INDEX('Etsy Import'!$A:$CZ,901,Settings!$C$21)&amp;"","")</f>
        <v/>
      </c>
      <c r="C901">
        <f>IFERROR(INDEX('Etsy Import'!$A:$CZ,901,Settings!$C$22)&amp;"","")</f>
        <v/>
      </c>
      <c r="D901">
        <f>IF(A901="","",IFERROR(VALUE(SUBSTITUTE(SUBSTITUTE(INDEX('Etsy Import'!$A:$CZ,901,Settings!$C$23)&amp;"","$",""),",","")),0))</f>
        <v/>
      </c>
      <c r="E901" s="11">
        <f>IF(A901="","",IFERROR(VALUE(SUBSTITUTE(SUBSTITUTE(INDEX('Etsy Import'!$A:$CZ,901,Settings!$C$24)&amp;"","$",""),",","")),0))</f>
        <v/>
      </c>
      <c r="F901" s="11">
        <f>IF(A901="","",D901*E901)</f>
        <v/>
      </c>
      <c r="G901">
        <f>IF(A901="","",IF(C901="",1,COUNTIF($C$2:$C$1501,C901)))</f>
        <v/>
      </c>
      <c r="H901" s="11">
        <f>IF(A901="","",IFERROR(VALUE(SUBSTITUTE(SUBSTITUTE(INDEX('Etsy Import'!$A:$CZ,901,Settings!$C$25)&amp;"","$",""),",","")),0)/IF(Settings!$B$27="Yes",G901,1))</f>
        <v/>
      </c>
      <c r="I901" s="11">
        <f>IF(A901="","",IFERROR(VALUE(SUBSTITUTE(SUBSTITUTE(INDEX('Etsy Import'!$A:$CZ,901,Settings!$C$26)&amp;"","$",""),",","")),0)/IF(Settings!$B$27="Yes",G901,1))</f>
        <v/>
      </c>
      <c r="J901" s="11">
        <f>IF(A901="","",F901+H901-I901)</f>
        <v/>
      </c>
      <c r="K901">
        <f>IF(A901="","",IFERROR(IF(B901="",NA(),MATCH(B901,Products!$B$5:$B$204,0)),IFERROR(MATCH(A901,Products!$A$5:$A$204,0),"")))</f>
        <v/>
      </c>
      <c r="L901">
        <f>IF(A901="","",IF(K901="","⚠ not in Products",INDEX(Products!$A$5:$A$204,K901)))</f>
        <v/>
      </c>
      <c r="M901" s="11">
        <f>IF(A901="","",J901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901+IFERROR(INDEX(Settings!$D$5:$D$9,MATCH("Etsy",Settings!$A$5:$A$9,0)),0)*D901)</f>
        <v/>
      </c>
      <c r="N901" s="11">
        <f>IF(A901="","",IF(K901="",0,D901*INDEX(Products!$I$5:$I$204,K901)))</f>
        <v/>
      </c>
      <c r="O901" s="11">
        <f>IF(A901="","",IF(K901="",0,J901*INDEX(Products!$H$5:$H$204,K901)))</f>
        <v/>
      </c>
      <c r="P901" s="11">
        <f>IF(A901="","",J901-M901-N901-O901)</f>
        <v/>
      </c>
    </row>
    <row r="902">
      <c r="A902">
        <f>IFERROR(INDEX('Etsy Import'!$A:$CZ,902,Settings!$C$20)&amp;"","")</f>
        <v/>
      </c>
      <c r="B902">
        <f>IFERROR(INDEX('Etsy Import'!$A:$CZ,902,Settings!$C$21)&amp;"","")</f>
        <v/>
      </c>
      <c r="C902">
        <f>IFERROR(INDEX('Etsy Import'!$A:$CZ,902,Settings!$C$22)&amp;"","")</f>
        <v/>
      </c>
      <c r="D902">
        <f>IF(A902="","",IFERROR(VALUE(SUBSTITUTE(SUBSTITUTE(INDEX('Etsy Import'!$A:$CZ,902,Settings!$C$23)&amp;"","$",""),",","")),0))</f>
        <v/>
      </c>
      <c r="E902" s="11">
        <f>IF(A902="","",IFERROR(VALUE(SUBSTITUTE(SUBSTITUTE(INDEX('Etsy Import'!$A:$CZ,902,Settings!$C$24)&amp;"","$",""),",","")),0))</f>
        <v/>
      </c>
      <c r="F902" s="11">
        <f>IF(A902="","",D902*E902)</f>
        <v/>
      </c>
      <c r="G902">
        <f>IF(A902="","",IF(C902="",1,COUNTIF($C$2:$C$1501,C902)))</f>
        <v/>
      </c>
      <c r="H902" s="11">
        <f>IF(A902="","",IFERROR(VALUE(SUBSTITUTE(SUBSTITUTE(INDEX('Etsy Import'!$A:$CZ,902,Settings!$C$25)&amp;"","$",""),",","")),0)/IF(Settings!$B$27="Yes",G902,1))</f>
        <v/>
      </c>
      <c r="I902" s="11">
        <f>IF(A902="","",IFERROR(VALUE(SUBSTITUTE(SUBSTITUTE(INDEX('Etsy Import'!$A:$CZ,902,Settings!$C$26)&amp;"","$",""),",","")),0)/IF(Settings!$B$27="Yes",G902,1))</f>
        <v/>
      </c>
      <c r="J902" s="11">
        <f>IF(A902="","",F902+H902-I902)</f>
        <v/>
      </c>
      <c r="K902">
        <f>IF(A902="","",IFERROR(IF(B902="",NA(),MATCH(B902,Products!$B$5:$B$204,0)),IFERROR(MATCH(A902,Products!$A$5:$A$204,0),"")))</f>
        <v/>
      </c>
      <c r="L902">
        <f>IF(A902="","",IF(K902="","⚠ not in Products",INDEX(Products!$A$5:$A$204,K902)))</f>
        <v/>
      </c>
      <c r="M902" s="11">
        <f>IF(A902="","",J902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902+IFERROR(INDEX(Settings!$D$5:$D$9,MATCH("Etsy",Settings!$A$5:$A$9,0)),0)*D902)</f>
        <v/>
      </c>
      <c r="N902" s="11">
        <f>IF(A902="","",IF(K902="",0,D902*INDEX(Products!$I$5:$I$204,K902)))</f>
        <v/>
      </c>
      <c r="O902" s="11">
        <f>IF(A902="","",IF(K902="",0,J902*INDEX(Products!$H$5:$H$204,K902)))</f>
        <v/>
      </c>
      <c r="P902" s="11">
        <f>IF(A902="","",J902-M902-N902-O902)</f>
        <v/>
      </c>
    </row>
    <row r="903">
      <c r="A903">
        <f>IFERROR(INDEX('Etsy Import'!$A:$CZ,903,Settings!$C$20)&amp;"","")</f>
        <v/>
      </c>
      <c r="B903">
        <f>IFERROR(INDEX('Etsy Import'!$A:$CZ,903,Settings!$C$21)&amp;"","")</f>
        <v/>
      </c>
      <c r="C903">
        <f>IFERROR(INDEX('Etsy Import'!$A:$CZ,903,Settings!$C$22)&amp;"","")</f>
        <v/>
      </c>
      <c r="D903">
        <f>IF(A903="","",IFERROR(VALUE(SUBSTITUTE(SUBSTITUTE(INDEX('Etsy Import'!$A:$CZ,903,Settings!$C$23)&amp;"","$",""),",","")),0))</f>
        <v/>
      </c>
      <c r="E903" s="11">
        <f>IF(A903="","",IFERROR(VALUE(SUBSTITUTE(SUBSTITUTE(INDEX('Etsy Import'!$A:$CZ,903,Settings!$C$24)&amp;"","$",""),",","")),0))</f>
        <v/>
      </c>
      <c r="F903" s="11">
        <f>IF(A903="","",D903*E903)</f>
        <v/>
      </c>
      <c r="G903">
        <f>IF(A903="","",IF(C903="",1,COUNTIF($C$2:$C$1501,C903)))</f>
        <v/>
      </c>
      <c r="H903" s="11">
        <f>IF(A903="","",IFERROR(VALUE(SUBSTITUTE(SUBSTITUTE(INDEX('Etsy Import'!$A:$CZ,903,Settings!$C$25)&amp;"","$",""),",","")),0)/IF(Settings!$B$27="Yes",G903,1))</f>
        <v/>
      </c>
      <c r="I903" s="11">
        <f>IF(A903="","",IFERROR(VALUE(SUBSTITUTE(SUBSTITUTE(INDEX('Etsy Import'!$A:$CZ,903,Settings!$C$26)&amp;"","$",""),",","")),0)/IF(Settings!$B$27="Yes",G903,1))</f>
        <v/>
      </c>
      <c r="J903" s="11">
        <f>IF(A903="","",F903+H903-I903)</f>
        <v/>
      </c>
      <c r="K903">
        <f>IF(A903="","",IFERROR(IF(B903="",NA(),MATCH(B903,Products!$B$5:$B$204,0)),IFERROR(MATCH(A903,Products!$A$5:$A$204,0),"")))</f>
        <v/>
      </c>
      <c r="L903">
        <f>IF(A903="","",IF(K903="","⚠ not in Products",INDEX(Products!$A$5:$A$204,K903)))</f>
        <v/>
      </c>
      <c r="M903" s="11">
        <f>IF(A903="","",J903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903+IFERROR(INDEX(Settings!$D$5:$D$9,MATCH("Etsy",Settings!$A$5:$A$9,0)),0)*D903)</f>
        <v/>
      </c>
      <c r="N903" s="11">
        <f>IF(A903="","",IF(K903="",0,D903*INDEX(Products!$I$5:$I$204,K903)))</f>
        <v/>
      </c>
      <c r="O903" s="11">
        <f>IF(A903="","",IF(K903="",0,J903*INDEX(Products!$H$5:$H$204,K903)))</f>
        <v/>
      </c>
      <c r="P903" s="11">
        <f>IF(A903="","",J903-M903-N903-O903)</f>
        <v/>
      </c>
    </row>
    <row r="904">
      <c r="A904">
        <f>IFERROR(INDEX('Etsy Import'!$A:$CZ,904,Settings!$C$20)&amp;"","")</f>
        <v/>
      </c>
      <c r="B904">
        <f>IFERROR(INDEX('Etsy Import'!$A:$CZ,904,Settings!$C$21)&amp;"","")</f>
        <v/>
      </c>
      <c r="C904">
        <f>IFERROR(INDEX('Etsy Import'!$A:$CZ,904,Settings!$C$22)&amp;"","")</f>
        <v/>
      </c>
      <c r="D904">
        <f>IF(A904="","",IFERROR(VALUE(SUBSTITUTE(SUBSTITUTE(INDEX('Etsy Import'!$A:$CZ,904,Settings!$C$23)&amp;"","$",""),",","")),0))</f>
        <v/>
      </c>
      <c r="E904" s="11">
        <f>IF(A904="","",IFERROR(VALUE(SUBSTITUTE(SUBSTITUTE(INDEX('Etsy Import'!$A:$CZ,904,Settings!$C$24)&amp;"","$",""),",","")),0))</f>
        <v/>
      </c>
      <c r="F904" s="11">
        <f>IF(A904="","",D904*E904)</f>
        <v/>
      </c>
      <c r="G904">
        <f>IF(A904="","",IF(C904="",1,COUNTIF($C$2:$C$1501,C904)))</f>
        <v/>
      </c>
      <c r="H904" s="11">
        <f>IF(A904="","",IFERROR(VALUE(SUBSTITUTE(SUBSTITUTE(INDEX('Etsy Import'!$A:$CZ,904,Settings!$C$25)&amp;"","$",""),",","")),0)/IF(Settings!$B$27="Yes",G904,1))</f>
        <v/>
      </c>
      <c r="I904" s="11">
        <f>IF(A904="","",IFERROR(VALUE(SUBSTITUTE(SUBSTITUTE(INDEX('Etsy Import'!$A:$CZ,904,Settings!$C$26)&amp;"","$",""),",","")),0)/IF(Settings!$B$27="Yes",G904,1))</f>
        <v/>
      </c>
      <c r="J904" s="11">
        <f>IF(A904="","",F904+H904-I904)</f>
        <v/>
      </c>
      <c r="K904">
        <f>IF(A904="","",IFERROR(IF(B904="",NA(),MATCH(B904,Products!$B$5:$B$204,0)),IFERROR(MATCH(A904,Products!$A$5:$A$204,0),"")))</f>
        <v/>
      </c>
      <c r="L904">
        <f>IF(A904="","",IF(K904="","⚠ not in Products",INDEX(Products!$A$5:$A$204,K904)))</f>
        <v/>
      </c>
      <c r="M904" s="11">
        <f>IF(A904="","",J904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904+IFERROR(INDEX(Settings!$D$5:$D$9,MATCH("Etsy",Settings!$A$5:$A$9,0)),0)*D904)</f>
        <v/>
      </c>
      <c r="N904" s="11">
        <f>IF(A904="","",IF(K904="",0,D904*INDEX(Products!$I$5:$I$204,K904)))</f>
        <v/>
      </c>
      <c r="O904" s="11">
        <f>IF(A904="","",IF(K904="",0,J904*INDEX(Products!$H$5:$H$204,K904)))</f>
        <v/>
      </c>
      <c r="P904" s="11">
        <f>IF(A904="","",J904-M904-N904-O904)</f>
        <v/>
      </c>
    </row>
    <row r="905">
      <c r="A905">
        <f>IFERROR(INDEX('Etsy Import'!$A:$CZ,905,Settings!$C$20)&amp;"","")</f>
        <v/>
      </c>
      <c r="B905">
        <f>IFERROR(INDEX('Etsy Import'!$A:$CZ,905,Settings!$C$21)&amp;"","")</f>
        <v/>
      </c>
      <c r="C905">
        <f>IFERROR(INDEX('Etsy Import'!$A:$CZ,905,Settings!$C$22)&amp;"","")</f>
        <v/>
      </c>
      <c r="D905">
        <f>IF(A905="","",IFERROR(VALUE(SUBSTITUTE(SUBSTITUTE(INDEX('Etsy Import'!$A:$CZ,905,Settings!$C$23)&amp;"","$",""),",","")),0))</f>
        <v/>
      </c>
      <c r="E905" s="11">
        <f>IF(A905="","",IFERROR(VALUE(SUBSTITUTE(SUBSTITUTE(INDEX('Etsy Import'!$A:$CZ,905,Settings!$C$24)&amp;"","$",""),",","")),0))</f>
        <v/>
      </c>
      <c r="F905" s="11">
        <f>IF(A905="","",D905*E905)</f>
        <v/>
      </c>
      <c r="G905">
        <f>IF(A905="","",IF(C905="",1,COUNTIF($C$2:$C$1501,C905)))</f>
        <v/>
      </c>
      <c r="H905" s="11">
        <f>IF(A905="","",IFERROR(VALUE(SUBSTITUTE(SUBSTITUTE(INDEX('Etsy Import'!$A:$CZ,905,Settings!$C$25)&amp;"","$",""),",","")),0)/IF(Settings!$B$27="Yes",G905,1))</f>
        <v/>
      </c>
      <c r="I905" s="11">
        <f>IF(A905="","",IFERROR(VALUE(SUBSTITUTE(SUBSTITUTE(INDEX('Etsy Import'!$A:$CZ,905,Settings!$C$26)&amp;"","$",""),",","")),0)/IF(Settings!$B$27="Yes",G905,1))</f>
        <v/>
      </c>
      <c r="J905" s="11">
        <f>IF(A905="","",F905+H905-I905)</f>
        <v/>
      </c>
      <c r="K905">
        <f>IF(A905="","",IFERROR(IF(B905="",NA(),MATCH(B905,Products!$B$5:$B$204,0)),IFERROR(MATCH(A905,Products!$A$5:$A$204,0),"")))</f>
        <v/>
      </c>
      <c r="L905">
        <f>IF(A905="","",IF(K905="","⚠ not in Products",INDEX(Products!$A$5:$A$204,K905)))</f>
        <v/>
      </c>
      <c r="M905" s="11">
        <f>IF(A905="","",J905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905+IFERROR(INDEX(Settings!$D$5:$D$9,MATCH("Etsy",Settings!$A$5:$A$9,0)),0)*D905)</f>
        <v/>
      </c>
      <c r="N905" s="11">
        <f>IF(A905="","",IF(K905="",0,D905*INDEX(Products!$I$5:$I$204,K905)))</f>
        <v/>
      </c>
      <c r="O905" s="11">
        <f>IF(A905="","",IF(K905="",0,J905*INDEX(Products!$H$5:$H$204,K905)))</f>
        <v/>
      </c>
      <c r="P905" s="11">
        <f>IF(A905="","",J905-M905-N905-O905)</f>
        <v/>
      </c>
    </row>
    <row r="906">
      <c r="A906">
        <f>IFERROR(INDEX('Etsy Import'!$A:$CZ,906,Settings!$C$20)&amp;"","")</f>
        <v/>
      </c>
      <c r="B906">
        <f>IFERROR(INDEX('Etsy Import'!$A:$CZ,906,Settings!$C$21)&amp;"","")</f>
        <v/>
      </c>
      <c r="C906">
        <f>IFERROR(INDEX('Etsy Import'!$A:$CZ,906,Settings!$C$22)&amp;"","")</f>
        <v/>
      </c>
      <c r="D906">
        <f>IF(A906="","",IFERROR(VALUE(SUBSTITUTE(SUBSTITUTE(INDEX('Etsy Import'!$A:$CZ,906,Settings!$C$23)&amp;"","$",""),",","")),0))</f>
        <v/>
      </c>
      <c r="E906" s="11">
        <f>IF(A906="","",IFERROR(VALUE(SUBSTITUTE(SUBSTITUTE(INDEX('Etsy Import'!$A:$CZ,906,Settings!$C$24)&amp;"","$",""),",","")),0))</f>
        <v/>
      </c>
      <c r="F906" s="11">
        <f>IF(A906="","",D906*E906)</f>
        <v/>
      </c>
      <c r="G906">
        <f>IF(A906="","",IF(C906="",1,COUNTIF($C$2:$C$1501,C906)))</f>
        <v/>
      </c>
      <c r="H906" s="11">
        <f>IF(A906="","",IFERROR(VALUE(SUBSTITUTE(SUBSTITUTE(INDEX('Etsy Import'!$A:$CZ,906,Settings!$C$25)&amp;"","$",""),",","")),0)/IF(Settings!$B$27="Yes",G906,1))</f>
        <v/>
      </c>
      <c r="I906" s="11">
        <f>IF(A906="","",IFERROR(VALUE(SUBSTITUTE(SUBSTITUTE(INDEX('Etsy Import'!$A:$CZ,906,Settings!$C$26)&amp;"","$",""),",","")),0)/IF(Settings!$B$27="Yes",G906,1))</f>
        <v/>
      </c>
      <c r="J906" s="11">
        <f>IF(A906="","",F906+H906-I906)</f>
        <v/>
      </c>
      <c r="K906">
        <f>IF(A906="","",IFERROR(IF(B906="",NA(),MATCH(B906,Products!$B$5:$B$204,0)),IFERROR(MATCH(A906,Products!$A$5:$A$204,0),"")))</f>
        <v/>
      </c>
      <c r="L906">
        <f>IF(A906="","",IF(K906="","⚠ not in Products",INDEX(Products!$A$5:$A$204,K906)))</f>
        <v/>
      </c>
      <c r="M906" s="11">
        <f>IF(A906="","",J906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906+IFERROR(INDEX(Settings!$D$5:$D$9,MATCH("Etsy",Settings!$A$5:$A$9,0)),0)*D906)</f>
        <v/>
      </c>
      <c r="N906" s="11">
        <f>IF(A906="","",IF(K906="",0,D906*INDEX(Products!$I$5:$I$204,K906)))</f>
        <v/>
      </c>
      <c r="O906" s="11">
        <f>IF(A906="","",IF(K906="",0,J906*INDEX(Products!$H$5:$H$204,K906)))</f>
        <v/>
      </c>
      <c r="P906" s="11">
        <f>IF(A906="","",J906-M906-N906-O906)</f>
        <v/>
      </c>
    </row>
    <row r="907">
      <c r="A907">
        <f>IFERROR(INDEX('Etsy Import'!$A:$CZ,907,Settings!$C$20)&amp;"","")</f>
        <v/>
      </c>
      <c r="B907">
        <f>IFERROR(INDEX('Etsy Import'!$A:$CZ,907,Settings!$C$21)&amp;"","")</f>
        <v/>
      </c>
      <c r="C907">
        <f>IFERROR(INDEX('Etsy Import'!$A:$CZ,907,Settings!$C$22)&amp;"","")</f>
        <v/>
      </c>
      <c r="D907">
        <f>IF(A907="","",IFERROR(VALUE(SUBSTITUTE(SUBSTITUTE(INDEX('Etsy Import'!$A:$CZ,907,Settings!$C$23)&amp;"","$",""),",","")),0))</f>
        <v/>
      </c>
      <c r="E907" s="11">
        <f>IF(A907="","",IFERROR(VALUE(SUBSTITUTE(SUBSTITUTE(INDEX('Etsy Import'!$A:$CZ,907,Settings!$C$24)&amp;"","$",""),",","")),0))</f>
        <v/>
      </c>
      <c r="F907" s="11">
        <f>IF(A907="","",D907*E907)</f>
        <v/>
      </c>
      <c r="G907">
        <f>IF(A907="","",IF(C907="",1,COUNTIF($C$2:$C$1501,C907)))</f>
        <v/>
      </c>
      <c r="H907" s="11">
        <f>IF(A907="","",IFERROR(VALUE(SUBSTITUTE(SUBSTITUTE(INDEX('Etsy Import'!$A:$CZ,907,Settings!$C$25)&amp;"","$",""),",","")),0)/IF(Settings!$B$27="Yes",G907,1))</f>
        <v/>
      </c>
      <c r="I907" s="11">
        <f>IF(A907="","",IFERROR(VALUE(SUBSTITUTE(SUBSTITUTE(INDEX('Etsy Import'!$A:$CZ,907,Settings!$C$26)&amp;"","$",""),",","")),0)/IF(Settings!$B$27="Yes",G907,1))</f>
        <v/>
      </c>
      <c r="J907" s="11">
        <f>IF(A907="","",F907+H907-I907)</f>
        <v/>
      </c>
      <c r="K907">
        <f>IF(A907="","",IFERROR(IF(B907="",NA(),MATCH(B907,Products!$B$5:$B$204,0)),IFERROR(MATCH(A907,Products!$A$5:$A$204,0),"")))</f>
        <v/>
      </c>
      <c r="L907">
        <f>IF(A907="","",IF(K907="","⚠ not in Products",INDEX(Products!$A$5:$A$204,K907)))</f>
        <v/>
      </c>
      <c r="M907" s="11">
        <f>IF(A907="","",J907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907+IFERROR(INDEX(Settings!$D$5:$D$9,MATCH("Etsy",Settings!$A$5:$A$9,0)),0)*D907)</f>
        <v/>
      </c>
      <c r="N907" s="11">
        <f>IF(A907="","",IF(K907="",0,D907*INDEX(Products!$I$5:$I$204,K907)))</f>
        <v/>
      </c>
      <c r="O907" s="11">
        <f>IF(A907="","",IF(K907="",0,J907*INDEX(Products!$H$5:$H$204,K907)))</f>
        <v/>
      </c>
      <c r="P907" s="11">
        <f>IF(A907="","",J907-M907-N907-O907)</f>
        <v/>
      </c>
    </row>
    <row r="908">
      <c r="A908">
        <f>IFERROR(INDEX('Etsy Import'!$A:$CZ,908,Settings!$C$20)&amp;"","")</f>
        <v/>
      </c>
      <c r="B908">
        <f>IFERROR(INDEX('Etsy Import'!$A:$CZ,908,Settings!$C$21)&amp;"","")</f>
        <v/>
      </c>
      <c r="C908">
        <f>IFERROR(INDEX('Etsy Import'!$A:$CZ,908,Settings!$C$22)&amp;"","")</f>
        <v/>
      </c>
      <c r="D908">
        <f>IF(A908="","",IFERROR(VALUE(SUBSTITUTE(SUBSTITUTE(INDEX('Etsy Import'!$A:$CZ,908,Settings!$C$23)&amp;"","$",""),",","")),0))</f>
        <v/>
      </c>
      <c r="E908" s="11">
        <f>IF(A908="","",IFERROR(VALUE(SUBSTITUTE(SUBSTITUTE(INDEX('Etsy Import'!$A:$CZ,908,Settings!$C$24)&amp;"","$",""),",","")),0))</f>
        <v/>
      </c>
      <c r="F908" s="11">
        <f>IF(A908="","",D908*E908)</f>
        <v/>
      </c>
      <c r="G908">
        <f>IF(A908="","",IF(C908="",1,COUNTIF($C$2:$C$1501,C908)))</f>
        <v/>
      </c>
      <c r="H908" s="11">
        <f>IF(A908="","",IFERROR(VALUE(SUBSTITUTE(SUBSTITUTE(INDEX('Etsy Import'!$A:$CZ,908,Settings!$C$25)&amp;"","$",""),",","")),0)/IF(Settings!$B$27="Yes",G908,1))</f>
        <v/>
      </c>
      <c r="I908" s="11">
        <f>IF(A908="","",IFERROR(VALUE(SUBSTITUTE(SUBSTITUTE(INDEX('Etsy Import'!$A:$CZ,908,Settings!$C$26)&amp;"","$",""),",","")),0)/IF(Settings!$B$27="Yes",G908,1))</f>
        <v/>
      </c>
      <c r="J908" s="11">
        <f>IF(A908="","",F908+H908-I908)</f>
        <v/>
      </c>
      <c r="K908">
        <f>IF(A908="","",IFERROR(IF(B908="",NA(),MATCH(B908,Products!$B$5:$B$204,0)),IFERROR(MATCH(A908,Products!$A$5:$A$204,0),"")))</f>
        <v/>
      </c>
      <c r="L908">
        <f>IF(A908="","",IF(K908="","⚠ not in Products",INDEX(Products!$A$5:$A$204,K908)))</f>
        <v/>
      </c>
      <c r="M908" s="11">
        <f>IF(A908="","",J908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908+IFERROR(INDEX(Settings!$D$5:$D$9,MATCH("Etsy",Settings!$A$5:$A$9,0)),0)*D908)</f>
        <v/>
      </c>
      <c r="N908" s="11">
        <f>IF(A908="","",IF(K908="",0,D908*INDEX(Products!$I$5:$I$204,K908)))</f>
        <v/>
      </c>
      <c r="O908" s="11">
        <f>IF(A908="","",IF(K908="",0,J908*INDEX(Products!$H$5:$H$204,K908)))</f>
        <v/>
      </c>
      <c r="P908" s="11">
        <f>IF(A908="","",J908-M908-N908-O908)</f>
        <v/>
      </c>
    </row>
    <row r="909">
      <c r="A909">
        <f>IFERROR(INDEX('Etsy Import'!$A:$CZ,909,Settings!$C$20)&amp;"","")</f>
        <v/>
      </c>
      <c r="B909">
        <f>IFERROR(INDEX('Etsy Import'!$A:$CZ,909,Settings!$C$21)&amp;"","")</f>
        <v/>
      </c>
      <c r="C909">
        <f>IFERROR(INDEX('Etsy Import'!$A:$CZ,909,Settings!$C$22)&amp;"","")</f>
        <v/>
      </c>
      <c r="D909">
        <f>IF(A909="","",IFERROR(VALUE(SUBSTITUTE(SUBSTITUTE(INDEX('Etsy Import'!$A:$CZ,909,Settings!$C$23)&amp;"","$",""),",","")),0))</f>
        <v/>
      </c>
      <c r="E909" s="11">
        <f>IF(A909="","",IFERROR(VALUE(SUBSTITUTE(SUBSTITUTE(INDEX('Etsy Import'!$A:$CZ,909,Settings!$C$24)&amp;"","$",""),",","")),0))</f>
        <v/>
      </c>
      <c r="F909" s="11">
        <f>IF(A909="","",D909*E909)</f>
        <v/>
      </c>
      <c r="G909">
        <f>IF(A909="","",IF(C909="",1,COUNTIF($C$2:$C$1501,C909)))</f>
        <v/>
      </c>
      <c r="H909" s="11">
        <f>IF(A909="","",IFERROR(VALUE(SUBSTITUTE(SUBSTITUTE(INDEX('Etsy Import'!$A:$CZ,909,Settings!$C$25)&amp;"","$",""),",","")),0)/IF(Settings!$B$27="Yes",G909,1))</f>
        <v/>
      </c>
      <c r="I909" s="11">
        <f>IF(A909="","",IFERROR(VALUE(SUBSTITUTE(SUBSTITUTE(INDEX('Etsy Import'!$A:$CZ,909,Settings!$C$26)&amp;"","$",""),",","")),0)/IF(Settings!$B$27="Yes",G909,1))</f>
        <v/>
      </c>
      <c r="J909" s="11">
        <f>IF(A909="","",F909+H909-I909)</f>
        <v/>
      </c>
      <c r="K909">
        <f>IF(A909="","",IFERROR(IF(B909="",NA(),MATCH(B909,Products!$B$5:$B$204,0)),IFERROR(MATCH(A909,Products!$A$5:$A$204,0),"")))</f>
        <v/>
      </c>
      <c r="L909">
        <f>IF(A909="","",IF(K909="","⚠ not in Products",INDEX(Products!$A$5:$A$204,K909)))</f>
        <v/>
      </c>
      <c r="M909" s="11">
        <f>IF(A909="","",J909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909+IFERROR(INDEX(Settings!$D$5:$D$9,MATCH("Etsy",Settings!$A$5:$A$9,0)),0)*D909)</f>
        <v/>
      </c>
      <c r="N909" s="11">
        <f>IF(A909="","",IF(K909="",0,D909*INDEX(Products!$I$5:$I$204,K909)))</f>
        <v/>
      </c>
      <c r="O909" s="11">
        <f>IF(A909="","",IF(K909="",0,J909*INDEX(Products!$H$5:$H$204,K909)))</f>
        <v/>
      </c>
      <c r="P909" s="11">
        <f>IF(A909="","",J909-M909-N909-O909)</f>
        <v/>
      </c>
    </row>
    <row r="910">
      <c r="A910">
        <f>IFERROR(INDEX('Etsy Import'!$A:$CZ,910,Settings!$C$20)&amp;"","")</f>
        <v/>
      </c>
      <c r="B910">
        <f>IFERROR(INDEX('Etsy Import'!$A:$CZ,910,Settings!$C$21)&amp;"","")</f>
        <v/>
      </c>
      <c r="C910">
        <f>IFERROR(INDEX('Etsy Import'!$A:$CZ,910,Settings!$C$22)&amp;"","")</f>
        <v/>
      </c>
      <c r="D910">
        <f>IF(A910="","",IFERROR(VALUE(SUBSTITUTE(SUBSTITUTE(INDEX('Etsy Import'!$A:$CZ,910,Settings!$C$23)&amp;"","$",""),",","")),0))</f>
        <v/>
      </c>
      <c r="E910" s="11">
        <f>IF(A910="","",IFERROR(VALUE(SUBSTITUTE(SUBSTITUTE(INDEX('Etsy Import'!$A:$CZ,910,Settings!$C$24)&amp;"","$",""),",","")),0))</f>
        <v/>
      </c>
      <c r="F910" s="11">
        <f>IF(A910="","",D910*E910)</f>
        <v/>
      </c>
      <c r="G910">
        <f>IF(A910="","",IF(C910="",1,COUNTIF($C$2:$C$1501,C910)))</f>
        <v/>
      </c>
      <c r="H910" s="11">
        <f>IF(A910="","",IFERROR(VALUE(SUBSTITUTE(SUBSTITUTE(INDEX('Etsy Import'!$A:$CZ,910,Settings!$C$25)&amp;"","$",""),",","")),0)/IF(Settings!$B$27="Yes",G910,1))</f>
        <v/>
      </c>
      <c r="I910" s="11">
        <f>IF(A910="","",IFERROR(VALUE(SUBSTITUTE(SUBSTITUTE(INDEX('Etsy Import'!$A:$CZ,910,Settings!$C$26)&amp;"","$",""),",","")),0)/IF(Settings!$B$27="Yes",G910,1))</f>
        <v/>
      </c>
      <c r="J910" s="11">
        <f>IF(A910="","",F910+H910-I910)</f>
        <v/>
      </c>
      <c r="K910">
        <f>IF(A910="","",IFERROR(IF(B910="",NA(),MATCH(B910,Products!$B$5:$B$204,0)),IFERROR(MATCH(A910,Products!$A$5:$A$204,0),"")))</f>
        <v/>
      </c>
      <c r="L910">
        <f>IF(A910="","",IF(K910="","⚠ not in Products",INDEX(Products!$A$5:$A$204,K910)))</f>
        <v/>
      </c>
      <c r="M910" s="11">
        <f>IF(A910="","",J910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910+IFERROR(INDEX(Settings!$D$5:$D$9,MATCH("Etsy",Settings!$A$5:$A$9,0)),0)*D910)</f>
        <v/>
      </c>
      <c r="N910" s="11">
        <f>IF(A910="","",IF(K910="",0,D910*INDEX(Products!$I$5:$I$204,K910)))</f>
        <v/>
      </c>
      <c r="O910" s="11">
        <f>IF(A910="","",IF(K910="",0,J910*INDEX(Products!$H$5:$H$204,K910)))</f>
        <v/>
      </c>
      <c r="P910" s="11">
        <f>IF(A910="","",J910-M910-N910-O910)</f>
        <v/>
      </c>
    </row>
    <row r="911">
      <c r="A911">
        <f>IFERROR(INDEX('Etsy Import'!$A:$CZ,911,Settings!$C$20)&amp;"","")</f>
        <v/>
      </c>
      <c r="B911">
        <f>IFERROR(INDEX('Etsy Import'!$A:$CZ,911,Settings!$C$21)&amp;"","")</f>
        <v/>
      </c>
      <c r="C911">
        <f>IFERROR(INDEX('Etsy Import'!$A:$CZ,911,Settings!$C$22)&amp;"","")</f>
        <v/>
      </c>
      <c r="D911">
        <f>IF(A911="","",IFERROR(VALUE(SUBSTITUTE(SUBSTITUTE(INDEX('Etsy Import'!$A:$CZ,911,Settings!$C$23)&amp;"","$",""),",","")),0))</f>
        <v/>
      </c>
      <c r="E911" s="11">
        <f>IF(A911="","",IFERROR(VALUE(SUBSTITUTE(SUBSTITUTE(INDEX('Etsy Import'!$A:$CZ,911,Settings!$C$24)&amp;"","$",""),",","")),0))</f>
        <v/>
      </c>
      <c r="F911" s="11">
        <f>IF(A911="","",D911*E911)</f>
        <v/>
      </c>
      <c r="G911">
        <f>IF(A911="","",IF(C911="",1,COUNTIF($C$2:$C$1501,C911)))</f>
        <v/>
      </c>
      <c r="H911" s="11">
        <f>IF(A911="","",IFERROR(VALUE(SUBSTITUTE(SUBSTITUTE(INDEX('Etsy Import'!$A:$CZ,911,Settings!$C$25)&amp;"","$",""),",","")),0)/IF(Settings!$B$27="Yes",G911,1))</f>
        <v/>
      </c>
      <c r="I911" s="11">
        <f>IF(A911="","",IFERROR(VALUE(SUBSTITUTE(SUBSTITUTE(INDEX('Etsy Import'!$A:$CZ,911,Settings!$C$26)&amp;"","$",""),",","")),0)/IF(Settings!$B$27="Yes",G911,1))</f>
        <v/>
      </c>
      <c r="J911" s="11">
        <f>IF(A911="","",F911+H911-I911)</f>
        <v/>
      </c>
      <c r="K911">
        <f>IF(A911="","",IFERROR(IF(B911="",NA(),MATCH(B911,Products!$B$5:$B$204,0)),IFERROR(MATCH(A911,Products!$A$5:$A$204,0),"")))</f>
        <v/>
      </c>
      <c r="L911">
        <f>IF(A911="","",IF(K911="","⚠ not in Products",INDEX(Products!$A$5:$A$204,K911)))</f>
        <v/>
      </c>
      <c r="M911" s="11">
        <f>IF(A911="","",J911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911+IFERROR(INDEX(Settings!$D$5:$D$9,MATCH("Etsy",Settings!$A$5:$A$9,0)),0)*D911)</f>
        <v/>
      </c>
      <c r="N911" s="11">
        <f>IF(A911="","",IF(K911="",0,D911*INDEX(Products!$I$5:$I$204,K911)))</f>
        <v/>
      </c>
      <c r="O911" s="11">
        <f>IF(A911="","",IF(K911="",0,J911*INDEX(Products!$H$5:$H$204,K911)))</f>
        <v/>
      </c>
      <c r="P911" s="11">
        <f>IF(A911="","",J911-M911-N911-O911)</f>
        <v/>
      </c>
    </row>
    <row r="912">
      <c r="A912">
        <f>IFERROR(INDEX('Etsy Import'!$A:$CZ,912,Settings!$C$20)&amp;"","")</f>
        <v/>
      </c>
      <c r="B912">
        <f>IFERROR(INDEX('Etsy Import'!$A:$CZ,912,Settings!$C$21)&amp;"","")</f>
        <v/>
      </c>
      <c r="C912">
        <f>IFERROR(INDEX('Etsy Import'!$A:$CZ,912,Settings!$C$22)&amp;"","")</f>
        <v/>
      </c>
      <c r="D912">
        <f>IF(A912="","",IFERROR(VALUE(SUBSTITUTE(SUBSTITUTE(INDEX('Etsy Import'!$A:$CZ,912,Settings!$C$23)&amp;"","$",""),",","")),0))</f>
        <v/>
      </c>
      <c r="E912" s="11">
        <f>IF(A912="","",IFERROR(VALUE(SUBSTITUTE(SUBSTITUTE(INDEX('Etsy Import'!$A:$CZ,912,Settings!$C$24)&amp;"","$",""),",","")),0))</f>
        <v/>
      </c>
      <c r="F912" s="11">
        <f>IF(A912="","",D912*E912)</f>
        <v/>
      </c>
      <c r="G912">
        <f>IF(A912="","",IF(C912="",1,COUNTIF($C$2:$C$1501,C912)))</f>
        <v/>
      </c>
      <c r="H912" s="11">
        <f>IF(A912="","",IFERROR(VALUE(SUBSTITUTE(SUBSTITUTE(INDEX('Etsy Import'!$A:$CZ,912,Settings!$C$25)&amp;"","$",""),",","")),0)/IF(Settings!$B$27="Yes",G912,1))</f>
        <v/>
      </c>
      <c r="I912" s="11">
        <f>IF(A912="","",IFERROR(VALUE(SUBSTITUTE(SUBSTITUTE(INDEX('Etsy Import'!$A:$CZ,912,Settings!$C$26)&amp;"","$",""),",","")),0)/IF(Settings!$B$27="Yes",G912,1))</f>
        <v/>
      </c>
      <c r="J912" s="11">
        <f>IF(A912="","",F912+H912-I912)</f>
        <v/>
      </c>
      <c r="K912">
        <f>IF(A912="","",IFERROR(IF(B912="",NA(),MATCH(B912,Products!$B$5:$B$204,0)),IFERROR(MATCH(A912,Products!$A$5:$A$204,0),"")))</f>
        <v/>
      </c>
      <c r="L912">
        <f>IF(A912="","",IF(K912="","⚠ not in Products",INDEX(Products!$A$5:$A$204,K912)))</f>
        <v/>
      </c>
      <c r="M912" s="11">
        <f>IF(A912="","",J912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912+IFERROR(INDEX(Settings!$D$5:$D$9,MATCH("Etsy",Settings!$A$5:$A$9,0)),0)*D912)</f>
        <v/>
      </c>
      <c r="N912" s="11">
        <f>IF(A912="","",IF(K912="",0,D912*INDEX(Products!$I$5:$I$204,K912)))</f>
        <v/>
      </c>
      <c r="O912" s="11">
        <f>IF(A912="","",IF(K912="",0,J912*INDEX(Products!$H$5:$H$204,K912)))</f>
        <v/>
      </c>
      <c r="P912" s="11">
        <f>IF(A912="","",J912-M912-N912-O912)</f>
        <v/>
      </c>
    </row>
    <row r="913">
      <c r="A913">
        <f>IFERROR(INDEX('Etsy Import'!$A:$CZ,913,Settings!$C$20)&amp;"","")</f>
        <v/>
      </c>
      <c r="B913">
        <f>IFERROR(INDEX('Etsy Import'!$A:$CZ,913,Settings!$C$21)&amp;"","")</f>
        <v/>
      </c>
      <c r="C913">
        <f>IFERROR(INDEX('Etsy Import'!$A:$CZ,913,Settings!$C$22)&amp;"","")</f>
        <v/>
      </c>
      <c r="D913">
        <f>IF(A913="","",IFERROR(VALUE(SUBSTITUTE(SUBSTITUTE(INDEX('Etsy Import'!$A:$CZ,913,Settings!$C$23)&amp;"","$",""),",","")),0))</f>
        <v/>
      </c>
      <c r="E913" s="11">
        <f>IF(A913="","",IFERROR(VALUE(SUBSTITUTE(SUBSTITUTE(INDEX('Etsy Import'!$A:$CZ,913,Settings!$C$24)&amp;"","$",""),",","")),0))</f>
        <v/>
      </c>
      <c r="F913" s="11">
        <f>IF(A913="","",D913*E913)</f>
        <v/>
      </c>
      <c r="G913">
        <f>IF(A913="","",IF(C913="",1,COUNTIF($C$2:$C$1501,C913)))</f>
        <v/>
      </c>
      <c r="H913" s="11">
        <f>IF(A913="","",IFERROR(VALUE(SUBSTITUTE(SUBSTITUTE(INDEX('Etsy Import'!$A:$CZ,913,Settings!$C$25)&amp;"","$",""),",","")),0)/IF(Settings!$B$27="Yes",G913,1))</f>
        <v/>
      </c>
      <c r="I913" s="11">
        <f>IF(A913="","",IFERROR(VALUE(SUBSTITUTE(SUBSTITUTE(INDEX('Etsy Import'!$A:$CZ,913,Settings!$C$26)&amp;"","$",""),",","")),0)/IF(Settings!$B$27="Yes",G913,1))</f>
        <v/>
      </c>
      <c r="J913" s="11">
        <f>IF(A913="","",F913+H913-I913)</f>
        <v/>
      </c>
      <c r="K913">
        <f>IF(A913="","",IFERROR(IF(B913="",NA(),MATCH(B913,Products!$B$5:$B$204,0)),IFERROR(MATCH(A913,Products!$A$5:$A$204,0),"")))</f>
        <v/>
      </c>
      <c r="L913">
        <f>IF(A913="","",IF(K913="","⚠ not in Products",INDEX(Products!$A$5:$A$204,K913)))</f>
        <v/>
      </c>
      <c r="M913" s="11">
        <f>IF(A913="","",J913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913+IFERROR(INDEX(Settings!$D$5:$D$9,MATCH("Etsy",Settings!$A$5:$A$9,0)),0)*D913)</f>
        <v/>
      </c>
      <c r="N913" s="11">
        <f>IF(A913="","",IF(K913="",0,D913*INDEX(Products!$I$5:$I$204,K913)))</f>
        <v/>
      </c>
      <c r="O913" s="11">
        <f>IF(A913="","",IF(K913="",0,J913*INDEX(Products!$H$5:$H$204,K913)))</f>
        <v/>
      </c>
      <c r="P913" s="11">
        <f>IF(A913="","",J913-M913-N913-O913)</f>
        <v/>
      </c>
    </row>
    <row r="914">
      <c r="A914">
        <f>IFERROR(INDEX('Etsy Import'!$A:$CZ,914,Settings!$C$20)&amp;"","")</f>
        <v/>
      </c>
      <c r="B914">
        <f>IFERROR(INDEX('Etsy Import'!$A:$CZ,914,Settings!$C$21)&amp;"","")</f>
        <v/>
      </c>
      <c r="C914">
        <f>IFERROR(INDEX('Etsy Import'!$A:$CZ,914,Settings!$C$22)&amp;"","")</f>
        <v/>
      </c>
      <c r="D914">
        <f>IF(A914="","",IFERROR(VALUE(SUBSTITUTE(SUBSTITUTE(INDEX('Etsy Import'!$A:$CZ,914,Settings!$C$23)&amp;"","$",""),",","")),0))</f>
        <v/>
      </c>
      <c r="E914" s="11">
        <f>IF(A914="","",IFERROR(VALUE(SUBSTITUTE(SUBSTITUTE(INDEX('Etsy Import'!$A:$CZ,914,Settings!$C$24)&amp;"","$",""),",","")),0))</f>
        <v/>
      </c>
      <c r="F914" s="11">
        <f>IF(A914="","",D914*E914)</f>
        <v/>
      </c>
      <c r="G914">
        <f>IF(A914="","",IF(C914="",1,COUNTIF($C$2:$C$1501,C914)))</f>
        <v/>
      </c>
      <c r="H914" s="11">
        <f>IF(A914="","",IFERROR(VALUE(SUBSTITUTE(SUBSTITUTE(INDEX('Etsy Import'!$A:$CZ,914,Settings!$C$25)&amp;"","$",""),",","")),0)/IF(Settings!$B$27="Yes",G914,1))</f>
        <v/>
      </c>
      <c r="I914" s="11">
        <f>IF(A914="","",IFERROR(VALUE(SUBSTITUTE(SUBSTITUTE(INDEX('Etsy Import'!$A:$CZ,914,Settings!$C$26)&amp;"","$",""),",","")),0)/IF(Settings!$B$27="Yes",G914,1))</f>
        <v/>
      </c>
      <c r="J914" s="11">
        <f>IF(A914="","",F914+H914-I914)</f>
        <v/>
      </c>
      <c r="K914">
        <f>IF(A914="","",IFERROR(IF(B914="",NA(),MATCH(B914,Products!$B$5:$B$204,0)),IFERROR(MATCH(A914,Products!$A$5:$A$204,0),"")))</f>
        <v/>
      </c>
      <c r="L914">
        <f>IF(A914="","",IF(K914="","⚠ not in Products",INDEX(Products!$A$5:$A$204,K914)))</f>
        <v/>
      </c>
      <c r="M914" s="11">
        <f>IF(A914="","",J914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914+IFERROR(INDEX(Settings!$D$5:$D$9,MATCH("Etsy",Settings!$A$5:$A$9,0)),0)*D914)</f>
        <v/>
      </c>
      <c r="N914" s="11">
        <f>IF(A914="","",IF(K914="",0,D914*INDEX(Products!$I$5:$I$204,K914)))</f>
        <v/>
      </c>
      <c r="O914" s="11">
        <f>IF(A914="","",IF(K914="",0,J914*INDEX(Products!$H$5:$H$204,K914)))</f>
        <v/>
      </c>
      <c r="P914" s="11">
        <f>IF(A914="","",J914-M914-N914-O914)</f>
        <v/>
      </c>
    </row>
    <row r="915">
      <c r="A915">
        <f>IFERROR(INDEX('Etsy Import'!$A:$CZ,915,Settings!$C$20)&amp;"","")</f>
        <v/>
      </c>
      <c r="B915">
        <f>IFERROR(INDEX('Etsy Import'!$A:$CZ,915,Settings!$C$21)&amp;"","")</f>
        <v/>
      </c>
      <c r="C915">
        <f>IFERROR(INDEX('Etsy Import'!$A:$CZ,915,Settings!$C$22)&amp;"","")</f>
        <v/>
      </c>
      <c r="D915">
        <f>IF(A915="","",IFERROR(VALUE(SUBSTITUTE(SUBSTITUTE(INDEX('Etsy Import'!$A:$CZ,915,Settings!$C$23)&amp;"","$",""),",","")),0))</f>
        <v/>
      </c>
      <c r="E915" s="11">
        <f>IF(A915="","",IFERROR(VALUE(SUBSTITUTE(SUBSTITUTE(INDEX('Etsy Import'!$A:$CZ,915,Settings!$C$24)&amp;"","$",""),",","")),0))</f>
        <v/>
      </c>
      <c r="F915" s="11">
        <f>IF(A915="","",D915*E915)</f>
        <v/>
      </c>
      <c r="G915">
        <f>IF(A915="","",IF(C915="",1,COUNTIF($C$2:$C$1501,C915)))</f>
        <v/>
      </c>
      <c r="H915" s="11">
        <f>IF(A915="","",IFERROR(VALUE(SUBSTITUTE(SUBSTITUTE(INDEX('Etsy Import'!$A:$CZ,915,Settings!$C$25)&amp;"","$",""),",","")),0)/IF(Settings!$B$27="Yes",G915,1))</f>
        <v/>
      </c>
      <c r="I915" s="11">
        <f>IF(A915="","",IFERROR(VALUE(SUBSTITUTE(SUBSTITUTE(INDEX('Etsy Import'!$A:$CZ,915,Settings!$C$26)&amp;"","$",""),",","")),0)/IF(Settings!$B$27="Yes",G915,1))</f>
        <v/>
      </c>
      <c r="J915" s="11">
        <f>IF(A915="","",F915+H915-I915)</f>
        <v/>
      </c>
      <c r="K915">
        <f>IF(A915="","",IFERROR(IF(B915="",NA(),MATCH(B915,Products!$B$5:$B$204,0)),IFERROR(MATCH(A915,Products!$A$5:$A$204,0),"")))</f>
        <v/>
      </c>
      <c r="L915">
        <f>IF(A915="","",IF(K915="","⚠ not in Products",INDEX(Products!$A$5:$A$204,K915)))</f>
        <v/>
      </c>
      <c r="M915" s="11">
        <f>IF(A915="","",J915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915+IFERROR(INDEX(Settings!$D$5:$D$9,MATCH("Etsy",Settings!$A$5:$A$9,0)),0)*D915)</f>
        <v/>
      </c>
      <c r="N915" s="11">
        <f>IF(A915="","",IF(K915="",0,D915*INDEX(Products!$I$5:$I$204,K915)))</f>
        <v/>
      </c>
      <c r="O915" s="11">
        <f>IF(A915="","",IF(K915="",0,J915*INDEX(Products!$H$5:$H$204,K915)))</f>
        <v/>
      </c>
      <c r="P915" s="11">
        <f>IF(A915="","",J915-M915-N915-O915)</f>
        <v/>
      </c>
    </row>
    <row r="916">
      <c r="A916">
        <f>IFERROR(INDEX('Etsy Import'!$A:$CZ,916,Settings!$C$20)&amp;"","")</f>
        <v/>
      </c>
      <c r="B916">
        <f>IFERROR(INDEX('Etsy Import'!$A:$CZ,916,Settings!$C$21)&amp;"","")</f>
        <v/>
      </c>
      <c r="C916">
        <f>IFERROR(INDEX('Etsy Import'!$A:$CZ,916,Settings!$C$22)&amp;"","")</f>
        <v/>
      </c>
      <c r="D916">
        <f>IF(A916="","",IFERROR(VALUE(SUBSTITUTE(SUBSTITUTE(INDEX('Etsy Import'!$A:$CZ,916,Settings!$C$23)&amp;"","$",""),",","")),0))</f>
        <v/>
      </c>
      <c r="E916" s="11">
        <f>IF(A916="","",IFERROR(VALUE(SUBSTITUTE(SUBSTITUTE(INDEX('Etsy Import'!$A:$CZ,916,Settings!$C$24)&amp;"","$",""),",","")),0))</f>
        <v/>
      </c>
      <c r="F916" s="11">
        <f>IF(A916="","",D916*E916)</f>
        <v/>
      </c>
      <c r="G916">
        <f>IF(A916="","",IF(C916="",1,COUNTIF($C$2:$C$1501,C916)))</f>
        <v/>
      </c>
      <c r="H916" s="11">
        <f>IF(A916="","",IFERROR(VALUE(SUBSTITUTE(SUBSTITUTE(INDEX('Etsy Import'!$A:$CZ,916,Settings!$C$25)&amp;"","$",""),",","")),0)/IF(Settings!$B$27="Yes",G916,1))</f>
        <v/>
      </c>
      <c r="I916" s="11">
        <f>IF(A916="","",IFERROR(VALUE(SUBSTITUTE(SUBSTITUTE(INDEX('Etsy Import'!$A:$CZ,916,Settings!$C$26)&amp;"","$",""),",","")),0)/IF(Settings!$B$27="Yes",G916,1))</f>
        <v/>
      </c>
      <c r="J916" s="11">
        <f>IF(A916="","",F916+H916-I916)</f>
        <v/>
      </c>
      <c r="K916">
        <f>IF(A916="","",IFERROR(IF(B916="",NA(),MATCH(B916,Products!$B$5:$B$204,0)),IFERROR(MATCH(A916,Products!$A$5:$A$204,0),"")))</f>
        <v/>
      </c>
      <c r="L916">
        <f>IF(A916="","",IF(K916="","⚠ not in Products",INDEX(Products!$A$5:$A$204,K916)))</f>
        <v/>
      </c>
      <c r="M916" s="11">
        <f>IF(A916="","",J916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916+IFERROR(INDEX(Settings!$D$5:$D$9,MATCH("Etsy",Settings!$A$5:$A$9,0)),0)*D916)</f>
        <v/>
      </c>
      <c r="N916" s="11">
        <f>IF(A916="","",IF(K916="",0,D916*INDEX(Products!$I$5:$I$204,K916)))</f>
        <v/>
      </c>
      <c r="O916" s="11">
        <f>IF(A916="","",IF(K916="",0,J916*INDEX(Products!$H$5:$H$204,K916)))</f>
        <v/>
      </c>
      <c r="P916" s="11">
        <f>IF(A916="","",J916-M916-N916-O916)</f>
        <v/>
      </c>
    </row>
    <row r="917">
      <c r="A917">
        <f>IFERROR(INDEX('Etsy Import'!$A:$CZ,917,Settings!$C$20)&amp;"","")</f>
        <v/>
      </c>
      <c r="B917">
        <f>IFERROR(INDEX('Etsy Import'!$A:$CZ,917,Settings!$C$21)&amp;"","")</f>
        <v/>
      </c>
      <c r="C917">
        <f>IFERROR(INDEX('Etsy Import'!$A:$CZ,917,Settings!$C$22)&amp;"","")</f>
        <v/>
      </c>
      <c r="D917">
        <f>IF(A917="","",IFERROR(VALUE(SUBSTITUTE(SUBSTITUTE(INDEX('Etsy Import'!$A:$CZ,917,Settings!$C$23)&amp;"","$",""),",","")),0))</f>
        <v/>
      </c>
      <c r="E917" s="11">
        <f>IF(A917="","",IFERROR(VALUE(SUBSTITUTE(SUBSTITUTE(INDEX('Etsy Import'!$A:$CZ,917,Settings!$C$24)&amp;"","$",""),",","")),0))</f>
        <v/>
      </c>
      <c r="F917" s="11">
        <f>IF(A917="","",D917*E917)</f>
        <v/>
      </c>
      <c r="G917">
        <f>IF(A917="","",IF(C917="",1,COUNTIF($C$2:$C$1501,C917)))</f>
        <v/>
      </c>
      <c r="H917" s="11">
        <f>IF(A917="","",IFERROR(VALUE(SUBSTITUTE(SUBSTITUTE(INDEX('Etsy Import'!$A:$CZ,917,Settings!$C$25)&amp;"","$",""),",","")),0)/IF(Settings!$B$27="Yes",G917,1))</f>
        <v/>
      </c>
      <c r="I917" s="11">
        <f>IF(A917="","",IFERROR(VALUE(SUBSTITUTE(SUBSTITUTE(INDEX('Etsy Import'!$A:$CZ,917,Settings!$C$26)&amp;"","$",""),",","")),0)/IF(Settings!$B$27="Yes",G917,1))</f>
        <v/>
      </c>
      <c r="J917" s="11">
        <f>IF(A917="","",F917+H917-I917)</f>
        <v/>
      </c>
      <c r="K917">
        <f>IF(A917="","",IFERROR(IF(B917="",NA(),MATCH(B917,Products!$B$5:$B$204,0)),IFERROR(MATCH(A917,Products!$A$5:$A$204,0),"")))</f>
        <v/>
      </c>
      <c r="L917">
        <f>IF(A917="","",IF(K917="","⚠ not in Products",INDEX(Products!$A$5:$A$204,K917)))</f>
        <v/>
      </c>
      <c r="M917" s="11">
        <f>IF(A917="","",J917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917+IFERROR(INDEX(Settings!$D$5:$D$9,MATCH("Etsy",Settings!$A$5:$A$9,0)),0)*D917)</f>
        <v/>
      </c>
      <c r="N917" s="11">
        <f>IF(A917="","",IF(K917="",0,D917*INDEX(Products!$I$5:$I$204,K917)))</f>
        <v/>
      </c>
      <c r="O917" s="11">
        <f>IF(A917="","",IF(K917="",0,J917*INDEX(Products!$H$5:$H$204,K917)))</f>
        <v/>
      </c>
      <c r="P917" s="11">
        <f>IF(A917="","",J917-M917-N917-O917)</f>
        <v/>
      </c>
    </row>
    <row r="918">
      <c r="A918">
        <f>IFERROR(INDEX('Etsy Import'!$A:$CZ,918,Settings!$C$20)&amp;"","")</f>
        <v/>
      </c>
      <c r="B918">
        <f>IFERROR(INDEX('Etsy Import'!$A:$CZ,918,Settings!$C$21)&amp;"","")</f>
        <v/>
      </c>
      <c r="C918">
        <f>IFERROR(INDEX('Etsy Import'!$A:$CZ,918,Settings!$C$22)&amp;"","")</f>
        <v/>
      </c>
      <c r="D918">
        <f>IF(A918="","",IFERROR(VALUE(SUBSTITUTE(SUBSTITUTE(INDEX('Etsy Import'!$A:$CZ,918,Settings!$C$23)&amp;"","$",""),",","")),0))</f>
        <v/>
      </c>
      <c r="E918" s="11">
        <f>IF(A918="","",IFERROR(VALUE(SUBSTITUTE(SUBSTITUTE(INDEX('Etsy Import'!$A:$CZ,918,Settings!$C$24)&amp;"","$",""),",","")),0))</f>
        <v/>
      </c>
      <c r="F918" s="11">
        <f>IF(A918="","",D918*E918)</f>
        <v/>
      </c>
      <c r="G918">
        <f>IF(A918="","",IF(C918="",1,COUNTIF($C$2:$C$1501,C918)))</f>
        <v/>
      </c>
      <c r="H918" s="11">
        <f>IF(A918="","",IFERROR(VALUE(SUBSTITUTE(SUBSTITUTE(INDEX('Etsy Import'!$A:$CZ,918,Settings!$C$25)&amp;"","$",""),",","")),0)/IF(Settings!$B$27="Yes",G918,1))</f>
        <v/>
      </c>
      <c r="I918" s="11">
        <f>IF(A918="","",IFERROR(VALUE(SUBSTITUTE(SUBSTITUTE(INDEX('Etsy Import'!$A:$CZ,918,Settings!$C$26)&amp;"","$",""),",","")),0)/IF(Settings!$B$27="Yes",G918,1))</f>
        <v/>
      </c>
      <c r="J918" s="11">
        <f>IF(A918="","",F918+H918-I918)</f>
        <v/>
      </c>
      <c r="K918">
        <f>IF(A918="","",IFERROR(IF(B918="",NA(),MATCH(B918,Products!$B$5:$B$204,0)),IFERROR(MATCH(A918,Products!$A$5:$A$204,0),"")))</f>
        <v/>
      </c>
      <c r="L918">
        <f>IF(A918="","",IF(K918="","⚠ not in Products",INDEX(Products!$A$5:$A$204,K918)))</f>
        <v/>
      </c>
      <c r="M918" s="11">
        <f>IF(A918="","",J918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918+IFERROR(INDEX(Settings!$D$5:$D$9,MATCH("Etsy",Settings!$A$5:$A$9,0)),0)*D918)</f>
        <v/>
      </c>
      <c r="N918" s="11">
        <f>IF(A918="","",IF(K918="",0,D918*INDEX(Products!$I$5:$I$204,K918)))</f>
        <v/>
      </c>
      <c r="O918" s="11">
        <f>IF(A918="","",IF(K918="",0,J918*INDEX(Products!$H$5:$H$204,K918)))</f>
        <v/>
      </c>
      <c r="P918" s="11">
        <f>IF(A918="","",J918-M918-N918-O918)</f>
        <v/>
      </c>
    </row>
    <row r="919">
      <c r="A919">
        <f>IFERROR(INDEX('Etsy Import'!$A:$CZ,919,Settings!$C$20)&amp;"","")</f>
        <v/>
      </c>
      <c r="B919">
        <f>IFERROR(INDEX('Etsy Import'!$A:$CZ,919,Settings!$C$21)&amp;"","")</f>
        <v/>
      </c>
      <c r="C919">
        <f>IFERROR(INDEX('Etsy Import'!$A:$CZ,919,Settings!$C$22)&amp;"","")</f>
        <v/>
      </c>
      <c r="D919">
        <f>IF(A919="","",IFERROR(VALUE(SUBSTITUTE(SUBSTITUTE(INDEX('Etsy Import'!$A:$CZ,919,Settings!$C$23)&amp;"","$",""),",","")),0))</f>
        <v/>
      </c>
      <c r="E919" s="11">
        <f>IF(A919="","",IFERROR(VALUE(SUBSTITUTE(SUBSTITUTE(INDEX('Etsy Import'!$A:$CZ,919,Settings!$C$24)&amp;"","$",""),",","")),0))</f>
        <v/>
      </c>
      <c r="F919" s="11">
        <f>IF(A919="","",D919*E919)</f>
        <v/>
      </c>
      <c r="G919">
        <f>IF(A919="","",IF(C919="",1,COUNTIF($C$2:$C$1501,C919)))</f>
        <v/>
      </c>
      <c r="H919" s="11">
        <f>IF(A919="","",IFERROR(VALUE(SUBSTITUTE(SUBSTITUTE(INDEX('Etsy Import'!$A:$CZ,919,Settings!$C$25)&amp;"","$",""),",","")),0)/IF(Settings!$B$27="Yes",G919,1))</f>
        <v/>
      </c>
      <c r="I919" s="11">
        <f>IF(A919="","",IFERROR(VALUE(SUBSTITUTE(SUBSTITUTE(INDEX('Etsy Import'!$A:$CZ,919,Settings!$C$26)&amp;"","$",""),",","")),0)/IF(Settings!$B$27="Yes",G919,1))</f>
        <v/>
      </c>
      <c r="J919" s="11">
        <f>IF(A919="","",F919+H919-I919)</f>
        <v/>
      </c>
      <c r="K919">
        <f>IF(A919="","",IFERROR(IF(B919="",NA(),MATCH(B919,Products!$B$5:$B$204,0)),IFERROR(MATCH(A919,Products!$A$5:$A$204,0),"")))</f>
        <v/>
      </c>
      <c r="L919">
        <f>IF(A919="","",IF(K919="","⚠ not in Products",INDEX(Products!$A$5:$A$204,K919)))</f>
        <v/>
      </c>
      <c r="M919" s="11">
        <f>IF(A919="","",J919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919+IFERROR(INDEX(Settings!$D$5:$D$9,MATCH("Etsy",Settings!$A$5:$A$9,0)),0)*D919)</f>
        <v/>
      </c>
      <c r="N919" s="11">
        <f>IF(A919="","",IF(K919="",0,D919*INDEX(Products!$I$5:$I$204,K919)))</f>
        <v/>
      </c>
      <c r="O919" s="11">
        <f>IF(A919="","",IF(K919="",0,J919*INDEX(Products!$H$5:$H$204,K919)))</f>
        <v/>
      </c>
      <c r="P919" s="11">
        <f>IF(A919="","",J919-M919-N919-O919)</f>
        <v/>
      </c>
    </row>
    <row r="920">
      <c r="A920">
        <f>IFERROR(INDEX('Etsy Import'!$A:$CZ,920,Settings!$C$20)&amp;"","")</f>
        <v/>
      </c>
      <c r="B920">
        <f>IFERROR(INDEX('Etsy Import'!$A:$CZ,920,Settings!$C$21)&amp;"","")</f>
        <v/>
      </c>
      <c r="C920">
        <f>IFERROR(INDEX('Etsy Import'!$A:$CZ,920,Settings!$C$22)&amp;"","")</f>
        <v/>
      </c>
      <c r="D920">
        <f>IF(A920="","",IFERROR(VALUE(SUBSTITUTE(SUBSTITUTE(INDEX('Etsy Import'!$A:$CZ,920,Settings!$C$23)&amp;"","$",""),",","")),0))</f>
        <v/>
      </c>
      <c r="E920" s="11">
        <f>IF(A920="","",IFERROR(VALUE(SUBSTITUTE(SUBSTITUTE(INDEX('Etsy Import'!$A:$CZ,920,Settings!$C$24)&amp;"","$",""),",","")),0))</f>
        <v/>
      </c>
      <c r="F920" s="11">
        <f>IF(A920="","",D920*E920)</f>
        <v/>
      </c>
      <c r="G920">
        <f>IF(A920="","",IF(C920="",1,COUNTIF($C$2:$C$1501,C920)))</f>
        <v/>
      </c>
      <c r="H920" s="11">
        <f>IF(A920="","",IFERROR(VALUE(SUBSTITUTE(SUBSTITUTE(INDEX('Etsy Import'!$A:$CZ,920,Settings!$C$25)&amp;"","$",""),",","")),0)/IF(Settings!$B$27="Yes",G920,1))</f>
        <v/>
      </c>
      <c r="I920" s="11">
        <f>IF(A920="","",IFERROR(VALUE(SUBSTITUTE(SUBSTITUTE(INDEX('Etsy Import'!$A:$CZ,920,Settings!$C$26)&amp;"","$",""),",","")),0)/IF(Settings!$B$27="Yes",G920,1))</f>
        <v/>
      </c>
      <c r="J920" s="11">
        <f>IF(A920="","",F920+H920-I920)</f>
        <v/>
      </c>
      <c r="K920">
        <f>IF(A920="","",IFERROR(IF(B920="",NA(),MATCH(B920,Products!$B$5:$B$204,0)),IFERROR(MATCH(A920,Products!$A$5:$A$204,0),"")))</f>
        <v/>
      </c>
      <c r="L920">
        <f>IF(A920="","",IF(K920="","⚠ not in Products",INDEX(Products!$A$5:$A$204,K920)))</f>
        <v/>
      </c>
      <c r="M920" s="11">
        <f>IF(A920="","",J920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920+IFERROR(INDEX(Settings!$D$5:$D$9,MATCH("Etsy",Settings!$A$5:$A$9,0)),0)*D920)</f>
        <v/>
      </c>
      <c r="N920" s="11">
        <f>IF(A920="","",IF(K920="",0,D920*INDEX(Products!$I$5:$I$204,K920)))</f>
        <v/>
      </c>
      <c r="O920" s="11">
        <f>IF(A920="","",IF(K920="",0,J920*INDEX(Products!$H$5:$H$204,K920)))</f>
        <v/>
      </c>
      <c r="P920" s="11">
        <f>IF(A920="","",J920-M920-N920-O920)</f>
        <v/>
      </c>
    </row>
    <row r="921">
      <c r="A921">
        <f>IFERROR(INDEX('Etsy Import'!$A:$CZ,921,Settings!$C$20)&amp;"","")</f>
        <v/>
      </c>
      <c r="B921">
        <f>IFERROR(INDEX('Etsy Import'!$A:$CZ,921,Settings!$C$21)&amp;"","")</f>
        <v/>
      </c>
      <c r="C921">
        <f>IFERROR(INDEX('Etsy Import'!$A:$CZ,921,Settings!$C$22)&amp;"","")</f>
        <v/>
      </c>
      <c r="D921">
        <f>IF(A921="","",IFERROR(VALUE(SUBSTITUTE(SUBSTITUTE(INDEX('Etsy Import'!$A:$CZ,921,Settings!$C$23)&amp;"","$",""),",","")),0))</f>
        <v/>
      </c>
      <c r="E921" s="11">
        <f>IF(A921="","",IFERROR(VALUE(SUBSTITUTE(SUBSTITUTE(INDEX('Etsy Import'!$A:$CZ,921,Settings!$C$24)&amp;"","$",""),",","")),0))</f>
        <v/>
      </c>
      <c r="F921" s="11">
        <f>IF(A921="","",D921*E921)</f>
        <v/>
      </c>
      <c r="G921">
        <f>IF(A921="","",IF(C921="",1,COUNTIF($C$2:$C$1501,C921)))</f>
        <v/>
      </c>
      <c r="H921" s="11">
        <f>IF(A921="","",IFERROR(VALUE(SUBSTITUTE(SUBSTITUTE(INDEX('Etsy Import'!$A:$CZ,921,Settings!$C$25)&amp;"","$",""),",","")),0)/IF(Settings!$B$27="Yes",G921,1))</f>
        <v/>
      </c>
      <c r="I921" s="11">
        <f>IF(A921="","",IFERROR(VALUE(SUBSTITUTE(SUBSTITUTE(INDEX('Etsy Import'!$A:$CZ,921,Settings!$C$26)&amp;"","$",""),",","")),0)/IF(Settings!$B$27="Yes",G921,1))</f>
        <v/>
      </c>
      <c r="J921" s="11">
        <f>IF(A921="","",F921+H921-I921)</f>
        <v/>
      </c>
      <c r="K921">
        <f>IF(A921="","",IFERROR(IF(B921="",NA(),MATCH(B921,Products!$B$5:$B$204,0)),IFERROR(MATCH(A921,Products!$A$5:$A$204,0),"")))</f>
        <v/>
      </c>
      <c r="L921">
        <f>IF(A921="","",IF(K921="","⚠ not in Products",INDEX(Products!$A$5:$A$204,K921)))</f>
        <v/>
      </c>
      <c r="M921" s="11">
        <f>IF(A921="","",J921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921+IFERROR(INDEX(Settings!$D$5:$D$9,MATCH("Etsy",Settings!$A$5:$A$9,0)),0)*D921)</f>
        <v/>
      </c>
      <c r="N921" s="11">
        <f>IF(A921="","",IF(K921="",0,D921*INDEX(Products!$I$5:$I$204,K921)))</f>
        <v/>
      </c>
      <c r="O921" s="11">
        <f>IF(A921="","",IF(K921="",0,J921*INDEX(Products!$H$5:$H$204,K921)))</f>
        <v/>
      </c>
      <c r="P921" s="11">
        <f>IF(A921="","",J921-M921-N921-O921)</f>
        <v/>
      </c>
    </row>
    <row r="922">
      <c r="A922">
        <f>IFERROR(INDEX('Etsy Import'!$A:$CZ,922,Settings!$C$20)&amp;"","")</f>
        <v/>
      </c>
      <c r="B922">
        <f>IFERROR(INDEX('Etsy Import'!$A:$CZ,922,Settings!$C$21)&amp;"","")</f>
        <v/>
      </c>
      <c r="C922">
        <f>IFERROR(INDEX('Etsy Import'!$A:$CZ,922,Settings!$C$22)&amp;"","")</f>
        <v/>
      </c>
      <c r="D922">
        <f>IF(A922="","",IFERROR(VALUE(SUBSTITUTE(SUBSTITUTE(INDEX('Etsy Import'!$A:$CZ,922,Settings!$C$23)&amp;"","$",""),",","")),0))</f>
        <v/>
      </c>
      <c r="E922" s="11">
        <f>IF(A922="","",IFERROR(VALUE(SUBSTITUTE(SUBSTITUTE(INDEX('Etsy Import'!$A:$CZ,922,Settings!$C$24)&amp;"","$",""),",","")),0))</f>
        <v/>
      </c>
      <c r="F922" s="11">
        <f>IF(A922="","",D922*E922)</f>
        <v/>
      </c>
      <c r="G922">
        <f>IF(A922="","",IF(C922="",1,COUNTIF($C$2:$C$1501,C922)))</f>
        <v/>
      </c>
      <c r="H922" s="11">
        <f>IF(A922="","",IFERROR(VALUE(SUBSTITUTE(SUBSTITUTE(INDEX('Etsy Import'!$A:$CZ,922,Settings!$C$25)&amp;"","$",""),",","")),0)/IF(Settings!$B$27="Yes",G922,1))</f>
        <v/>
      </c>
      <c r="I922" s="11">
        <f>IF(A922="","",IFERROR(VALUE(SUBSTITUTE(SUBSTITUTE(INDEX('Etsy Import'!$A:$CZ,922,Settings!$C$26)&amp;"","$",""),",","")),0)/IF(Settings!$B$27="Yes",G922,1))</f>
        <v/>
      </c>
      <c r="J922" s="11">
        <f>IF(A922="","",F922+H922-I922)</f>
        <v/>
      </c>
      <c r="K922">
        <f>IF(A922="","",IFERROR(IF(B922="",NA(),MATCH(B922,Products!$B$5:$B$204,0)),IFERROR(MATCH(A922,Products!$A$5:$A$204,0),"")))</f>
        <v/>
      </c>
      <c r="L922">
        <f>IF(A922="","",IF(K922="","⚠ not in Products",INDEX(Products!$A$5:$A$204,K922)))</f>
        <v/>
      </c>
      <c r="M922" s="11">
        <f>IF(A922="","",J922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922+IFERROR(INDEX(Settings!$D$5:$D$9,MATCH("Etsy",Settings!$A$5:$A$9,0)),0)*D922)</f>
        <v/>
      </c>
      <c r="N922" s="11">
        <f>IF(A922="","",IF(K922="",0,D922*INDEX(Products!$I$5:$I$204,K922)))</f>
        <v/>
      </c>
      <c r="O922" s="11">
        <f>IF(A922="","",IF(K922="",0,J922*INDEX(Products!$H$5:$H$204,K922)))</f>
        <v/>
      </c>
      <c r="P922" s="11">
        <f>IF(A922="","",J922-M922-N922-O922)</f>
        <v/>
      </c>
    </row>
    <row r="923">
      <c r="A923">
        <f>IFERROR(INDEX('Etsy Import'!$A:$CZ,923,Settings!$C$20)&amp;"","")</f>
        <v/>
      </c>
      <c r="B923">
        <f>IFERROR(INDEX('Etsy Import'!$A:$CZ,923,Settings!$C$21)&amp;"","")</f>
        <v/>
      </c>
      <c r="C923">
        <f>IFERROR(INDEX('Etsy Import'!$A:$CZ,923,Settings!$C$22)&amp;"","")</f>
        <v/>
      </c>
      <c r="D923">
        <f>IF(A923="","",IFERROR(VALUE(SUBSTITUTE(SUBSTITUTE(INDEX('Etsy Import'!$A:$CZ,923,Settings!$C$23)&amp;"","$",""),",","")),0))</f>
        <v/>
      </c>
      <c r="E923" s="11">
        <f>IF(A923="","",IFERROR(VALUE(SUBSTITUTE(SUBSTITUTE(INDEX('Etsy Import'!$A:$CZ,923,Settings!$C$24)&amp;"","$",""),",","")),0))</f>
        <v/>
      </c>
      <c r="F923" s="11">
        <f>IF(A923="","",D923*E923)</f>
        <v/>
      </c>
      <c r="G923">
        <f>IF(A923="","",IF(C923="",1,COUNTIF($C$2:$C$1501,C923)))</f>
        <v/>
      </c>
      <c r="H923" s="11">
        <f>IF(A923="","",IFERROR(VALUE(SUBSTITUTE(SUBSTITUTE(INDEX('Etsy Import'!$A:$CZ,923,Settings!$C$25)&amp;"","$",""),",","")),0)/IF(Settings!$B$27="Yes",G923,1))</f>
        <v/>
      </c>
      <c r="I923" s="11">
        <f>IF(A923="","",IFERROR(VALUE(SUBSTITUTE(SUBSTITUTE(INDEX('Etsy Import'!$A:$CZ,923,Settings!$C$26)&amp;"","$",""),",","")),0)/IF(Settings!$B$27="Yes",G923,1))</f>
        <v/>
      </c>
      <c r="J923" s="11">
        <f>IF(A923="","",F923+H923-I923)</f>
        <v/>
      </c>
      <c r="K923">
        <f>IF(A923="","",IFERROR(IF(B923="",NA(),MATCH(B923,Products!$B$5:$B$204,0)),IFERROR(MATCH(A923,Products!$A$5:$A$204,0),"")))</f>
        <v/>
      </c>
      <c r="L923">
        <f>IF(A923="","",IF(K923="","⚠ not in Products",INDEX(Products!$A$5:$A$204,K923)))</f>
        <v/>
      </c>
      <c r="M923" s="11">
        <f>IF(A923="","",J923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923+IFERROR(INDEX(Settings!$D$5:$D$9,MATCH("Etsy",Settings!$A$5:$A$9,0)),0)*D923)</f>
        <v/>
      </c>
      <c r="N923" s="11">
        <f>IF(A923="","",IF(K923="",0,D923*INDEX(Products!$I$5:$I$204,K923)))</f>
        <v/>
      </c>
      <c r="O923" s="11">
        <f>IF(A923="","",IF(K923="",0,J923*INDEX(Products!$H$5:$H$204,K923)))</f>
        <v/>
      </c>
      <c r="P923" s="11">
        <f>IF(A923="","",J923-M923-N923-O923)</f>
        <v/>
      </c>
    </row>
    <row r="924">
      <c r="A924">
        <f>IFERROR(INDEX('Etsy Import'!$A:$CZ,924,Settings!$C$20)&amp;"","")</f>
        <v/>
      </c>
      <c r="B924">
        <f>IFERROR(INDEX('Etsy Import'!$A:$CZ,924,Settings!$C$21)&amp;"","")</f>
        <v/>
      </c>
      <c r="C924">
        <f>IFERROR(INDEX('Etsy Import'!$A:$CZ,924,Settings!$C$22)&amp;"","")</f>
        <v/>
      </c>
      <c r="D924">
        <f>IF(A924="","",IFERROR(VALUE(SUBSTITUTE(SUBSTITUTE(INDEX('Etsy Import'!$A:$CZ,924,Settings!$C$23)&amp;"","$",""),",","")),0))</f>
        <v/>
      </c>
      <c r="E924" s="11">
        <f>IF(A924="","",IFERROR(VALUE(SUBSTITUTE(SUBSTITUTE(INDEX('Etsy Import'!$A:$CZ,924,Settings!$C$24)&amp;"","$",""),",","")),0))</f>
        <v/>
      </c>
      <c r="F924" s="11">
        <f>IF(A924="","",D924*E924)</f>
        <v/>
      </c>
      <c r="G924">
        <f>IF(A924="","",IF(C924="",1,COUNTIF($C$2:$C$1501,C924)))</f>
        <v/>
      </c>
      <c r="H924" s="11">
        <f>IF(A924="","",IFERROR(VALUE(SUBSTITUTE(SUBSTITUTE(INDEX('Etsy Import'!$A:$CZ,924,Settings!$C$25)&amp;"","$",""),",","")),0)/IF(Settings!$B$27="Yes",G924,1))</f>
        <v/>
      </c>
      <c r="I924" s="11">
        <f>IF(A924="","",IFERROR(VALUE(SUBSTITUTE(SUBSTITUTE(INDEX('Etsy Import'!$A:$CZ,924,Settings!$C$26)&amp;"","$",""),",","")),0)/IF(Settings!$B$27="Yes",G924,1))</f>
        <v/>
      </c>
      <c r="J924" s="11">
        <f>IF(A924="","",F924+H924-I924)</f>
        <v/>
      </c>
      <c r="K924">
        <f>IF(A924="","",IFERROR(IF(B924="",NA(),MATCH(B924,Products!$B$5:$B$204,0)),IFERROR(MATCH(A924,Products!$A$5:$A$204,0),"")))</f>
        <v/>
      </c>
      <c r="L924">
        <f>IF(A924="","",IF(K924="","⚠ not in Products",INDEX(Products!$A$5:$A$204,K924)))</f>
        <v/>
      </c>
      <c r="M924" s="11">
        <f>IF(A924="","",J924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924+IFERROR(INDEX(Settings!$D$5:$D$9,MATCH("Etsy",Settings!$A$5:$A$9,0)),0)*D924)</f>
        <v/>
      </c>
      <c r="N924" s="11">
        <f>IF(A924="","",IF(K924="",0,D924*INDEX(Products!$I$5:$I$204,K924)))</f>
        <v/>
      </c>
      <c r="O924" s="11">
        <f>IF(A924="","",IF(K924="",0,J924*INDEX(Products!$H$5:$H$204,K924)))</f>
        <v/>
      </c>
      <c r="P924" s="11">
        <f>IF(A924="","",J924-M924-N924-O924)</f>
        <v/>
      </c>
    </row>
    <row r="925">
      <c r="A925">
        <f>IFERROR(INDEX('Etsy Import'!$A:$CZ,925,Settings!$C$20)&amp;"","")</f>
        <v/>
      </c>
      <c r="B925">
        <f>IFERROR(INDEX('Etsy Import'!$A:$CZ,925,Settings!$C$21)&amp;"","")</f>
        <v/>
      </c>
      <c r="C925">
        <f>IFERROR(INDEX('Etsy Import'!$A:$CZ,925,Settings!$C$22)&amp;"","")</f>
        <v/>
      </c>
      <c r="D925">
        <f>IF(A925="","",IFERROR(VALUE(SUBSTITUTE(SUBSTITUTE(INDEX('Etsy Import'!$A:$CZ,925,Settings!$C$23)&amp;"","$",""),",","")),0))</f>
        <v/>
      </c>
      <c r="E925" s="11">
        <f>IF(A925="","",IFERROR(VALUE(SUBSTITUTE(SUBSTITUTE(INDEX('Etsy Import'!$A:$CZ,925,Settings!$C$24)&amp;"","$",""),",","")),0))</f>
        <v/>
      </c>
      <c r="F925" s="11">
        <f>IF(A925="","",D925*E925)</f>
        <v/>
      </c>
      <c r="G925">
        <f>IF(A925="","",IF(C925="",1,COUNTIF($C$2:$C$1501,C925)))</f>
        <v/>
      </c>
      <c r="H925" s="11">
        <f>IF(A925="","",IFERROR(VALUE(SUBSTITUTE(SUBSTITUTE(INDEX('Etsy Import'!$A:$CZ,925,Settings!$C$25)&amp;"","$",""),",","")),0)/IF(Settings!$B$27="Yes",G925,1))</f>
        <v/>
      </c>
      <c r="I925" s="11">
        <f>IF(A925="","",IFERROR(VALUE(SUBSTITUTE(SUBSTITUTE(INDEX('Etsy Import'!$A:$CZ,925,Settings!$C$26)&amp;"","$",""),",","")),0)/IF(Settings!$B$27="Yes",G925,1))</f>
        <v/>
      </c>
      <c r="J925" s="11">
        <f>IF(A925="","",F925+H925-I925)</f>
        <v/>
      </c>
      <c r="K925">
        <f>IF(A925="","",IFERROR(IF(B925="",NA(),MATCH(B925,Products!$B$5:$B$204,0)),IFERROR(MATCH(A925,Products!$A$5:$A$204,0),"")))</f>
        <v/>
      </c>
      <c r="L925">
        <f>IF(A925="","",IF(K925="","⚠ not in Products",INDEX(Products!$A$5:$A$204,K925)))</f>
        <v/>
      </c>
      <c r="M925" s="11">
        <f>IF(A925="","",J925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925+IFERROR(INDEX(Settings!$D$5:$D$9,MATCH("Etsy",Settings!$A$5:$A$9,0)),0)*D925)</f>
        <v/>
      </c>
      <c r="N925" s="11">
        <f>IF(A925="","",IF(K925="",0,D925*INDEX(Products!$I$5:$I$204,K925)))</f>
        <v/>
      </c>
      <c r="O925" s="11">
        <f>IF(A925="","",IF(K925="",0,J925*INDEX(Products!$H$5:$H$204,K925)))</f>
        <v/>
      </c>
      <c r="P925" s="11">
        <f>IF(A925="","",J925-M925-N925-O925)</f>
        <v/>
      </c>
    </row>
    <row r="926">
      <c r="A926">
        <f>IFERROR(INDEX('Etsy Import'!$A:$CZ,926,Settings!$C$20)&amp;"","")</f>
        <v/>
      </c>
      <c r="B926">
        <f>IFERROR(INDEX('Etsy Import'!$A:$CZ,926,Settings!$C$21)&amp;"","")</f>
        <v/>
      </c>
      <c r="C926">
        <f>IFERROR(INDEX('Etsy Import'!$A:$CZ,926,Settings!$C$22)&amp;"","")</f>
        <v/>
      </c>
      <c r="D926">
        <f>IF(A926="","",IFERROR(VALUE(SUBSTITUTE(SUBSTITUTE(INDEX('Etsy Import'!$A:$CZ,926,Settings!$C$23)&amp;"","$",""),",","")),0))</f>
        <v/>
      </c>
      <c r="E926" s="11">
        <f>IF(A926="","",IFERROR(VALUE(SUBSTITUTE(SUBSTITUTE(INDEX('Etsy Import'!$A:$CZ,926,Settings!$C$24)&amp;"","$",""),",","")),0))</f>
        <v/>
      </c>
      <c r="F926" s="11">
        <f>IF(A926="","",D926*E926)</f>
        <v/>
      </c>
      <c r="G926">
        <f>IF(A926="","",IF(C926="",1,COUNTIF($C$2:$C$1501,C926)))</f>
        <v/>
      </c>
      <c r="H926" s="11">
        <f>IF(A926="","",IFERROR(VALUE(SUBSTITUTE(SUBSTITUTE(INDEX('Etsy Import'!$A:$CZ,926,Settings!$C$25)&amp;"","$",""),",","")),0)/IF(Settings!$B$27="Yes",G926,1))</f>
        <v/>
      </c>
      <c r="I926" s="11">
        <f>IF(A926="","",IFERROR(VALUE(SUBSTITUTE(SUBSTITUTE(INDEX('Etsy Import'!$A:$CZ,926,Settings!$C$26)&amp;"","$",""),",","")),0)/IF(Settings!$B$27="Yes",G926,1))</f>
        <v/>
      </c>
      <c r="J926" s="11">
        <f>IF(A926="","",F926+H926-I926)</f>
        <v/>
      </c>
      <c r="K926">
        <f>IF(A926="","",IFERROR(IF(B926="",NA(),MATCH(B926,Products!$B$5:$B$204,0)),IFERROR(MATCH(A926,Products!$A$5:$A$204,0),"")))</f>
        <v/>
      </c>
      <c r="L926">
        <f>IF(A926="","",IF(K926="","⚠ not in Products",INDEX(Products!$A$5:$A$204,K926)))</f>
        <v/>
      </c>
      <c r="M926" s="11">
        <f>IF(A926="","",J926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926+IFERROR(INDEX(Settings!$D$5:$D$9,MATCH("Etsy",Settings!$A$5:$A$9,0)),0)*D926)</f>
        <v/>
      </c>
      <c r="N926" s="11">
        <f>IF(A926="","",IF(K926="",0,D926*INDEX(Products!$I$5:$I$204,K926)))</f>
        <v/>
      </c>
      <c r="O926" s="11">
        <f>IF(A926="","",IF(K926="",0,J926*INDEX(Products!$H$5:$H$204,K926)))</f>
        <v/>
      </c>
      <c r="P926" s="11">
        <f>IF(A926="","",J926-M926-N926-O926)</f>
        <v/>
      </c>
    </row>
    <row r="927">
      <c r="A927">
        <f>IFERROR(INDEX('Etsy Import'!$A:$CZ,927,Settings!$C$20)&amp;"","")</f>
        <v/>
      </c>
      <c r="B927">
        <f>IFERROR(INDEX('Etsy Import'!$A:$CZ,927,Settings!$C$21)&amp;"","")</f>
        <v/>
      </c>
      <c r="C927">
        <f>IFERROR(INDEX('Etsy Import'!$A:$CZ,927,Settings!$C$22)&amp;"","")</f>
        <v/>
      </c>
      <c r="D927">
        <f>IF(A927="","",IFERROR(VALUE(SUBSTITUTE(SUBSTITUTE(INDEX('Etsy Import'!$A:$CZ,927,Settings!$C$23)&amp;"","$",""),",","")),0))</f>
        <v/>
      </c>
      <c r="E927" s="11">
        <f>IF(A927="","",IFERROR(VALUE(SUBSTITUTE(SUBSTITUTE(INDEX('Etsy Import'!$A:$CZ,927,Settings!$C$24)&amp;"","$",""),",","")),0))</f>
        <v/>
      </c>
      <c r="F927" s="11">
        <f>IF(A927="","",D927*E927)</f>
        <v/>
      </c>
      <c r="G927">
        <f>IF(A927="","",IF(C927="",1,COUNTIF($C$2:$C$1501,C927)))</f>
        <v/>
      </c>
      <c r="H927" s="11">
        <f>IF(A927="","",IFERROR(VALUE(SUBSTITUTE(SUBSTITUTE(INDEX('Etsy Import'!$A:$CZ,927,Settings!$C$25)&amp;"","$",""),",","")),0)/IF(Settings!$B$27="Yes",G927,1))</f>
        <v/>
      </c>
      <c r="I927" s="11">
        <f>IF(A927="","",IFERROR(VALUE(SUBSTITUTE(SUBSTITUTE(INDEX('Etsy Import'!$A:$CZ,927,Settings!$C$26)&amp;"","$",""),",","")),0)/IF(Settings!$B$27="Yes",G927,1))</f>
        <v/>
      </c>
      <c r="J927" s="11">
        <f>IF(A927="","",F927+H927-I927)</f>
        <v/>
      </c>
      <c r="K927">
        <f>IF(A927="","",IFERROR(IF(B927="",NA(),MATCH(B927,Products!$B$5:$B$204,0)),IFERROR(MATCH(A927,Products!$A$5:$A$204,0),"")))</f>
        <v/>
      </c>
      <c r="L927">
        <f>IF(A927="","",IF(K927="","⚠ not in Products",INDEX(Products!$A$5:$A$204,K927)))</f>
        <v/>
      </c>
      <c r="M927" s="11">
        <f>IF(A927="","",J927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927+IFERROR(INDEX(Settings!$D$5:$D$9,MATCH("Etsy",Settings!$A$5:$A$9,0)),0)*D927)</f>
        <v/>
      </c>
      <c r="N927" s="11">
        <f>IF(A927="","",IF(K927="",0,D927*INDEX(Products!$I$5:$I$204,K927)))</f>
        <v/>
      </c>
      <c r="O927" s="11">
        <f>IF(A927="","",IF(K927="",0,J927*INDEX(Products!$H$5:$H$204,K927)))</f>
        <v/>
      </c>
      <c r="P927" s="11">
        <f>IF(A927="","",J927-M927-N927-O927)</f>
        <v/>
      </c>
    </row>
    <row r="928">
      <c r="A928">
        <f>IFERROR(INDEX('Etsy Import'!$A:$CZ,928,Settings!$C$20)&amp;"","")</f>
        <v/>
      </c>
      <c r="B928">
        <f>IFERROR(INDEX('Etsy Import'!$A:$CZ,928,Settings!$C$21)&amp;"","")</f>
        <v/>
      </c>
      <c r="C928">
        <f>IFERROR(INDEX('Etsy Import'!$A:$CZ,928,Settings!$C$22)&amp;"","")</f>
        <v/>
      </c>
      <c r="D928">
        <f>IF(A928="","",IFERROR(VALUE(SUBSTITUTE(SUBSTITUTE(INDEX('Etsy Import'!$A:$CZ,928,Settings!$C$23)&amp;"","$",""),",","")),0))</f>
        <v/>
      </c>
      <c r="E928" s="11">
        <f>IF(A928="","",IFERROR(VALUE(SUBSTITUTE(SUBSTITUTE(INDEX('Etsy Import'!$A:$CZ,928,Settings!$C$24)&amp;"","$",""),",","")),0))</f>
        <v/>
      </c>
      <c r="F928" s="11">
        <f>IF(A928="","",D928*E928)</f>
        <v/>
      </c>
      <c r="G928">
        <f>IF(A928="","",IF(C928="",1,COUNTIF($C$2:$C$1501,C928)))</f>
        <v/>
      </c>
      <c r="H928" s="11">
        <f>IF(A928="","",IFERROR(VALUE(SUBSTITUTE(SUBSTITUTE(INDEX('Etsy Import'!$A:$CZ,928,Settings!$C$25)&amp;"","$",""),",","")),0)/IF(Settings!$B$27="Yes",G928,1))</f>
        <v/>
      </c>
      <c r="I928" s="11">
        <f>IF(A928="","",IFERROR(VALUE(SUBSTITUTE(SUBSTITUTE(INDEX('Etsy Import'!$A:$CZ,928,Settings!$C$26)&amp;"","$",""),",","")),0)/IF(Settings!$B$27="Yes",G928,1))</f>
        <v/>
      </c>
      <c r="J928" s="11">
        <f>IF(A928="","",F928+H928-I928)</f>
        <v/>
      </c>
      <c r="K928">
        <f>IF(A928="","",IFERROR(IF(B928="",NA(),MATCH(B928,Products!$B$5:$B$204,0)),IFERROR(MATCH(A928,Products!$A$5:$A$204,0),"")))</f>
        <v/>
      </c>
      <c r="L928">
        <f>IF(A928="","",IF(K928="","⚠ not in Products",INDEX(Products!$A$5:$A$204,K928)))</f>
        <v/>
      </c>
      <c r="M928" s="11">
        <f>IF(A928="","",J928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928+IFERROR(INDEX(Settings!$D$5:$D$9,MATCH("Etsy",Settings!$A$5:$A$9,0)),0)*D928)</f>
        <v/>
      </c>
      <c r="N928" s="11">
        <f>IF(A928="","",IF(K928="",0,D928*INDEX(Products!$I$5:$I$204,K928)))</f>
        <v/>
      </c>
      <c r="O928" s="11">
        <f>IF(A928="","",IF(K928="",0,J928*INDEX(Products!$H$5:$H$204,K928)))</f>
        <v/>
      </c>
      <c r="P928" s="11">
        <f>IF(A928="","",J928-M928-N928-O928)</f>
        <v/>
      </c>
    </row>
    <row r="929">
      <c r="A929">
        <f>IFERROR(INDEX('Etsy Import'!$A:$CZ,929,Settings!$C$20)&amp;"","")</f>
        <v/>
      </c>
      <c r="B929">
        <f>IFERROR(INDEX('Etsy Import'!$A:$CZ,929,Settings!$C$21)&amp;"","")</f>
        <v/>
      </c>
      <c r="C929">
        <f>IFERROR(INDEX('Etsy Import'!$A:$CZ,929,Settings!$C$22)&amp;"","")</f>
        <v/>
      </c>
      <c r="D929">
        <f>IF(A929="","",IFERROR(VALUE(SUBSTITUTE(SUBSTITUTE(INDEX('Etsy Import'!$A:$CZ,929,Settings!$C$23)&amp;"","$",""),",","")),0))</f>
        <v/>
      </c>
      <c r="E929" s="11">
        <f>IF(A929="","",IFERROR(VALUE(SUBSTITUTE(SUBSTITUTE(INDEX('Etsy Import'!$A:$CZ,929,Settings!$C$24)&amp;"","$",""),",","")),0))</f>
        <v/>
      </c>
      <c r="F929" s="11">
        <f>IF(A929="","",D929*E929)</f>
        <v/>
      </c>
      <c r="G929">
        <f>IF(A929="","",IF(C929="",1,COUNTIF($C$2:$C$1501,C929)))</f>
        <v/>
      </c>
      <c r="H929" s="11">
        <f>IF(A929="","",IFERROR(VALUE(SUBSTITUTE(SUBSTITUTE(INDEX('Etsy Import'!$A:$CZ,929,Settings!$C$25)&amp;"","$",""),",","")),0)/IF(Settings!$B$27="Yes",G929,1))</f>
        <v/>
      </c>
      <c r="I929" s="11">
        <f>IF(A929="","",IFERROR(VALUE(SUBSTITUTE(SUBSTITUTE(INDEX('Etsy Import'!$A:$CZ,929,Settings!$C$26)&amp;"","$",""),",","")),0)/IF(Settings!$B$27="Yes",G929,1))</f>
        <v/>
      </c>
      <c r="J929" s="11">
        <f>IF(A929="","",F929+H929-I929)</f>
        <v/>
      </c>
      <c r="K929">
        <f>IF(A929="","",IFERROR(IF(B929="",NA(),MATCH(B929,Products!$B$5:$B$204,0)),IFERROR(MATCH(A929,Products!$A$5:$A$204,0),"")))</f>
        <v/>
      </c>
      <c r="L929">
        <f>IF(A929="","",IF(K929="","⚠ not in Products",INDEX(Products!$A$5:$A$204,K929)))</f>
        <v/>
      </c>
      <c r="M929" s="11">
        <f>IF(A929="","",J929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929+IFERROR(INDEX(Settings!$D$5:$D$9,MATCH("Etsy",Settings!$A$5:$A$9,0)),0)*D929)</f>
        <v/>
      </c>
      <c r="N929" s="11">
        <f>IF(A929="","",IF(K929="",0,D929*INDEX(Products!$I$5:$I$204,K929)))</f>
        <v/>
      </c>
      <c r="O929" s="11">
        <f>IF(A929="","",IF(K929="",0,J929*INDEX(Products!$H$5:$H$204,K929)))</f>
        <v/>
      </c>
      <c r="P929" s="11">
        <f>IF(A929="","",J929-M929-N929-O929)</f>
        <v/>
      </c>
    </row>
    <row r="930">
      <c r="A930">
        <f>IFERROR(INDEX('Etsy Import'!$A:$CZ,930,Settings!$C$20)&amp;"","")</f>
        <v/>
      </c>
      <c r="B930">
        <f>IFERROR(INDEX('Etsy Import'!$A:$CZ,930,Settings!$C$21)&amp;"","")</f>
        <v/>
      </c>
      <c r="C930">
        <f>IFERROR(INDEX('Etsy Import'!$A:$CZ,930,Settings!$C$22)&amp;"","")</f>
        <v/>
      </c>
      <c r="D930">
        <f>IF(A930="","",IFERROR(VALUE(SUBSTITUTE(SUBSTITUTE(INDEX('Etsy Import'!$A:$CZ,930,Settings!$C$23)&amp;"","$",""),",","")),0))</f>
        <v/>
      </c>
      <c r="E930" s="11">
        <f>IF(A930="","",IFERROR(VALUE(SUBSTITUTE(SUBSTITUTE(INDEX('Etsy Import'!$A:$CZ,930,Settings!$C$24)&amp;"","$",""),",","")),0))</f>
        <v/>
      </c>
      <c r="F930" s="11">
        <f>IF(A930="","",D930*E930)</f>
        <v/>
      </c>
      <c r="G930">
        <f>IF(A930="","",IF(C930="",1,COUNTIF($C$2:$C$1501,C930)))</f>
        <v/>
      </c>
      <c r="H930" s="11">
        <f>IF(A930="","",IFERROR(VALUE(SUBSTITUTE(SUBSTITUTE(INDEX('Etsy Import'!$A:$CZ,930,Settings!$C$25)&amp;"","$",""),",","")),0)/IF(Settings!$B$27="Yes",G930,1))</f>
        <v/>
      </c>
      <c r="I930" s="11">
        <f>IF(A930="","",IFERROR(VALUE(SUBSTITUTE(SUBSTITUTE(INDEX('Etsy Import'!$A:$CZ,930,Settings!$C$26)&amp;"","$",""),",","")),0)/IF(Settings!$B$27="Yes",G930,1))</f>
        <v/>
      </c>
      <c r="J930" s="11">
        <f>IF(A930="","",F930+H930-I930)</f>
        <v/>
      </c>
      <c r="K930">
        <f>IF(A930="","",IFERROR(IF(B930="",NA(),MATCH(B930,Products!$B$5:$B$204,0)),IFERROR(MATCH(A930,Products!$A$5:$A$204,0),"")))</f>
        <v/>
      </c>
      <c r="L930">
        <f>IF(A930="","",IF(K930="","⚠ not in Products",INDEX(Products!$A$5:$A$204,K930)))</f>
        <v/>
      </c>
      <c r="M930" s="11">
        <f>IF(A930="","",J930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930+IFERROR(INDEX(Settings!$D$5:$D$9,MATCH("Etsy",Settings!$A$5:$A$9,0)),0)*D930)</f>
        <v/>
      </c>
      <c r="N930" s="11">
        <f>IF(A930="","",IF(K930="",0,D930*INDEX(Products!$I$5:$I$204,K930)))</f>
        <v/>
      </c>
      <c r="O930" s="11">
        <f>IF(A930="","",IF(K930="",0,J930*INDEX(Products!$H$5:$H$204,K930)))</f>
        <v/>
      </c>
      <c r="P930" s="11">
        <f>IF(A930="","",J930-M930-N930-O930)</f>
        <v/>
      </c>
    </row>
    <row r="931">
      <c r="A931">
        <f>IFERROR(INDEX('Etsy Import'!$A:$CZ,931,Settings!$C$20)&amp;"","")</f>
        <v/>
      </c>
      <c r="B931">
        <f>IFERROR(INDEX('Etsy Import'!$A:$CZ,931,Settings!$C$21)&amp;"","")</f>
        <v/>
      </c>
      <c r="C931">
        <f>IFERROR(INDEX('Etsy Import'!$A:$CZ,931,Settings!$C$22)&amp;"","")</f>
        <v/>
      </c>
      <c r="D931">
        <f>IF(A931="","",IFERROR(VALUE(SUBSTITUTE(SUBSTITUTE(INDEX('Etsy Import'!$A:$CZ,931,Settings!$C$23)&amp;"","$",""),",","")),0))</f>
        <v/>
      </c>
      <c r="E931" s="11">
        <f>IF(A931="","",IFERROR(VALUE(SUBSTITUTE(SUBSTITUTE(INDEX('Etsy Import'!$A:$CZ,931,Settings!$C$24)&amp;"","$",""),",","")),0))</f>
        <v/>
      </c>
      <c r="F931" s="11">
        <f>IF(A931="","",D931*E931)</f>
        <v/>
      </c>
      <c r="G931">
        <f>IF(A931="","",IF(C931="",1,COUNTIF($C$2:$C$1501,C931)))</f>
        <v/>
      </c>
      <c r="H931" s="11">
        <f>IF(A931="","",IFERROR(VALUE(SUBSTITUTE(SUBSTITUTE(INDEX('Etsy Import'!$A:$CZ,931,Settings!$C$25)&amp;"","$",""),",","")),0)/IF(Settings!$B$27="Yes",G931,1))</f>
        <v/>
      </c>
      <c r="I931" s="11">
        <f>IF(A931="","",IFERROR(VALUE(SUBSTITUTE(SUBSTITUTE(INDEX('Etsy Import'!$A:$CZ,931,Settings!$C$26)&amp;"","$",""),",","")),0)/IF(Settings!$B$27="Yes",G931,1))</f>
        <v/>
      </c>
      <c r="J931" s="11">
        <f>IF(A931="","",F931+H931-I931)</f>
        <v/>
      </c>
      <c r="K931">
        <f>IF(A931="","",IFERROR(IF(B931="",NA(),MATCH(B931,Products!$B$5:$B$204,0)),IFERROR(MATCH(A931,Products!$A$5:$A$204,0),"")))</f>
        <v/>
      </c>
      <c r="L931">
        <f>IF(A931="","",IF(K931="","⚠ not in Products",INDEX(Products!$A$5:$A$204,K931)))</f>
        <v/>
      </c>
      <c r="M931" s="11">
        <f>IF(A931="","",J931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931+IFERROR(INDEX(Settings!$D$5:$D$9,MATCH("Etsy",Settings!$A$5:$A$9,0)),0)*D931)</f>
        <v/>
      </c>
      <c r="N931" s="11">
        <f>IF(A931="","",IF(K931="",0,D931*INDEX(Products!$I$5:$I$204,K931)))</f>
        <v/>
      </c>
      <c r="O931" s="11">
        <f>IF(A931="","",IF(K931="",0,J931*INDEX(Products!$H$5:$H$204,K931)))</f>
        <v/>
      </c>
      <c r="P931" s="11">
        <f>IF(A931="","",J931-M931-N931-O931)</f>
        <v/>
      </c>
    </row>
    <row r="932">
      <c r="A932">
        <f>IFERROR(INDEX('Etsy Import'!$A:$CZ,932,Settings!$C$20)&amp;"","")</f>
        <v/>
      </c>
      <c r="B932">
        <f>IFERROR(INDEX('Etsy Import'!$A:$CZ,932,Settings!$C$21)&amp;"","")</f>
        <v/>
      </c>
      <c r="C932">
        <f>IFERROR(INDEX('Etsy Import'!$A:$CZ,932,Settings!$C$22)&amp;"","")</f>
        <v/>
      </c>
      <c r="D932">
        <f>IF(A932="","",IFERROR(VALUE(SUBSTITUTE(SUBSTITUTE(INDEX('Etsy Import'!$A:$CZ,932,Settings!$C$23)&amp;"","$",""),",","")),0))</f>
        <v/>
      </c>
      <c r="E932" s="11">
        <f>IF(A932="","",IFERROR(VALUE(SUBSTITUTE(SUBSTITUTE(INDEX('Etsy Import'!$A:$CZ,932,Settings!$C$24)&amp;"","$",""),",","")),0))</f>
        <v/>
      </c>
      <c r="F932" s="11">
        <f>IF(A932="","",D932*E932)</f>
        <v/>
      </c>
      <c r="G932">
        <f>IF(A932="","",IF(C932="",1,COUNTIF($C$2:$C$1501,C932)))</f>
        <v/>
      </c>
      <c r="H932" s="11">
        <f>IF(A932="","",IFERROR(VALUE(SUBSTITUTE(SUBSTITUTE(INDEX('Etsy Import'!$A:$CZ,932,Settings!$C$25)&amp;"","$",""),",","")),0)/IF(Settings!$B$27="Yes",G932,1))</f>
        <v/>
      </c>
      <c r="I932" s="11">
        <f>IF(A932="","",IFERROR(VALUE(SUBSTITUTE(SUBSTITUTE(INDEX('Etsy Import'!$A:$CZ,932,Settings!$C$26)&amp;"","$",""),",","")),0)/IF(Settings!$B$27="Yes",G932,1))</f>
        <v/>
      </c>
      <c r="J932" s="11">
        <f>IF(A932="","",F932+H932-I932)</f>
        <v/>
      </c>
      <c r="K932">
        <f>IF(A932="","",IFERROR(IF(B932="",NA(),MATCH(B932,Products!$B$5:$B$204,0)),IFERROR(MATCH(A932,Products!$A$5:$A$204,0),"")))</f>
        <v/>
      </c>
      <c r="L932">
        <f>IF(A932="","",IF(K932="","⚠ not in Products",INDEX(Products!$A$5:$A$204,K932)))</f>
        <v/>
      </c>
      <c r="M932" s="11">
        <f>IF(A932="","",J932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932+IFERROR(INDEX(Settings!$D$5:$D$9,MATCH("Etsy",Settings!$A$5:$A$9,0)),0)*D932)</f>
        <v/>
      </c>
      <c r="N932" s="11">
        <f>IF(A932="","",IF(K932="",0,D932*INDEX(Products!$I$5:$I$204,K932)))</f>
        <v/>
      </c>
      <c r="O932" s="11">
        <f>IF(A932="","",IF(K932="",0,J932*INDEX(Products!$H$5:$H$204,K932)))</f>
        <v/>
      </c>
      <c r="P932" s="11">
        <f>IF(A932="","",J932-M932-N932-O932)</f>
        <v/>
      </c>
    </row>
    <row r="933">
      <c r="A933">
        <f>IFERROR(INDEX('Etsy Import'!$A:$CZ,933,Settings!$C$20)&amp;"","")</f>
        <v/>
      </c>
      <c r="B933">
        <f>IFERROR(INDEX('Etsy Import'!$A:$CZ,933,Settings!$C$21)&amp;"","")</f>
        <v/>
      </c>
      <c r="C933">
        <f>IFERROR(INDEX('Etsy Import'!$A:$CZ,933,Settings!$C$22)&amp;"","")</f>
        <v/>
      </c>
      <c r="D933">
        <f>IF(A933="","",IFERROR(VALUE(SUBSTITUTE(SUBSTITUTE(INDEX('Etsy Import'!$A:$CZ,933,Settings!$C$23)&amp;"","$",""),",","")),0))</f>
        <v/>
      </c>
      <c r="E933" s="11">
        <f>IF(A933="","",IFERROR(VALUE(SUBSTITUTE(SUBSTITUTE(INDEX('Etsy Import'!$A:$CZ,933,Settings!$C$24)&amp;"","$",""),",","")),0))</f>
        <v/>
      </c>
      <c r="F933" s="11">
        <f>IF(A933="","",D933*E933)</f>
        <v/>
      </c>
      <c r="G933">
        <f>IF(A933="","",IF(C933="",1,COUNTIF($C$2:$C$1501,C933)))</f>
        <v/>
      </c>
      <c r="H933" s="11">
        <f>IF(A933="","",IFERROR(VALUE(SUBSTITUTE(SUBSTITUTE(INDEX('Etsy Import'!$A:$CZ,933,Settings!$C$25)&amp;"","$",""),",","")),0)/IF(Settings!$B$27="Yes",G933,1))</f>
        <v/>
      </c>
      <c r="I933" s="11">
        <f>IF(A933="","",IFERROR(VALUE(SUBSTITUTE(SUBSTITUTE(INDEX('Etsy Import'!$A:$CZ,933,Settings!$C$26)&amp;"","$",""),",","")),0)/IF(Settings!$B$27="Yes",G933,1))</f>
        <v/>
      </c>
      <c r="J933" s="11">
        <f>IF(A933="","",F933+H933-I933)</f>
        <v/>
      </c>
      <c r="K933">
        <f>IF(A933="","",IFERROR(IF(B933="",NA(),MATCH(B933,Products!$B$5:$B$204,0)),IFERROR(MATCH(A933,Products!$A$5:$A$204,0),"")))</f>
        <v/>
      </c>
      <c r="L933">
        <f>IF(A933="","",IF(K933="","⚠ not in Products",INDEX(Products!$A$5:$A$204,K933)))</f>
        <v/>
      </c>
      <c r="M933" s="11">
        <f>IF(A933="","",J933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933+IFERROR(INDEX(Settings!$D$5:$D$9,MATCH("Etsy",Settings!$A$5:$A$9,0)),0)*D933)</f>
        <v/>
      </c>
      <c r="N933" s="11">
        <f>IF(A933="","",IF(K933="",0,D933*INDEX(Products!$I$5:$I$204,K933)))</f>
        <v/>
      </c>
      <c r="O933" s="11">
        <f>IF(A933="","",IF(K933="",0,J933*INDEX(Products!$H$5:$H$204,K933)))</f>
        <v/>
      </c>
      <c r="P933" s="11">
        <f>IF(A933="","",J933-M933-N933-O933)</f>
        <v/>
      </c>
    </row>
    <row r="934">
      <c r="A934">
        <f>IFERROR(INDEX('Etsy Import'!$A:$CZ,934,Settings!$C$20)&amp;"","")</f>
        <v/>
      </c>
      <c r="B934">
        <f>IFERROR(INDEX('Etsy Import'!$A:$CZ,934,Settings!$C$21)&amp;"","")</f>
        <v/>
      </c>
      <c r="C934">
        <f>IFERROR(INDEX('Etsy Import'!$A:$CZ,934,Settings!$C$22)&amp;"","")</f>
        <v/>
      </c>
      <c r="D934">
        <f>IF(A934="","",IFERROR(VALUE(SUBSTITUTE(SUBSTITUTE(INDEX('Etsy Import'!$A:$CZ,934,Settings!$C$23)&amp;"","$",""),",","")),0))</f>
        <v/>
      </c>
      <c r="E934" s="11">
        <f>IF(A934="","",IFERROR(VALUE(SUBSTITUTE(SUBSTITUTE(INDEX('Etsy Import'!$A:$CZ,934,Settings!$C$24)&amp;"","$",""),",","")),0))</f>
        <v/>
      </c>
      <c r="F934" s="11">
        <f>IF(A934="","",D934*E934)</f>
        <v/>
      </c>
      <c r="G934">
        <f>IF(A934="","",IF(C934="",1,COUNTIF($C$2:$C$1501,C934)))</f>
        <v/>
      </c>
      <c r="H934" s="11">
        <f>IF(A934="","",IFERROR(VALUE(SUBSTITUTE(SUBSTITUTE(INDEX('Etsy Import'!$A:$CZ,934,Settings!$C$25)&amp;"","$",""),",","")),0)/IF(Settings!$B$27="Yes",G934,1))</f>
        <v/>
      </c>
      <c r="I934" s="11">
        <f>IF(A934="","",IFERROR(VALUE(SUBSTITUTE(SUBSTITUTE(INDEX('Etsy Import'!$A:$CZ,934,Settings!$C$26)&amp;"","$",""),",","")),0)/IF(Settings!$B$27="Yes",G934,1))</f>
        <v/>
      </c>
      <c r="J934" s="11">
        <f>IF(A934="","",F934+H934-I934)</f>
        <v/>
      </c>
      <c r="K934">
        <f>IF(A934="","",IFERROR(IF(B934="",NA(),MATCH(B934,Products!$B$5:$B$204,0)),IFERROR(MATCH(A934,Products!$A$5:$A$204,0),"")))</f>
        <v/>
      </c>
      <c r="L934">
        <f>IF(A934="","",IF(K934="","⚠ not in Products",INDEX(Products!$A$5:$A$204,K934)))</f>
        <v/>
      </c>
      <c r="M934" s="11">
        <f>IF(A934="","",J934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934+IFERROR(INDEX(Settings!$D$5:$D$9,MATCH("Etsy",Settings!$A$5:$A$9,0)),0)*D934)</f>
        <v/>
      </c>
      <c r="N934" s="11">
        <f>IF(A934="","",IF(K934="",0,D934*INDEX(Products!$I$5:$I$204,K934)))</f>
        <v/>
      </c>
      <c r="O934" s="11">
        <f>IF(A934="","",IF(K934="",0,J934*INDEX(Products!$H$5:$H$204,K934)))</f>
        <v/>
      </c>
      <c r="P934" s="11">
        <f>IF(A934="","",J934-M934-N934-O934)</f>
        <v/>
      </c>
    </row>
    <row r="935">
      <c r="A935">
        <f>IFERROR(INDEX('Etsy Import'!$A:$CZ,935,Settings!$C$20)&amp;"","")</f>
        <v/>
      </c>
      <c r="B935">
        <f>IFERROR(INDEX('Etsy Import'!$A:$CZ,935,Settings!$C$21)&amp;"","")</f>
        <v/>
      </c>
      <c r="C935">
        <f>IFERROR(INDEX('Etsy Import'!$A:$CZ,935,Settings!$C$22)&amp;"","")</f>
        <v/>
      </c>
      <c r="D935">
        <f>IF(A935="","",IFERROR(VALUE(SUBSTITUTE(SUBSTITUTE(INDEX('Etsy Import'!$A:$CZ,935,Settings!$C$23)&amp;"","$",""),",","")),0))</f>
        <v/>
      </c>
      <c r="E935" s="11">
        <f>IF(A935="","",IFERROR(VALUE(SUBSTITUTE(SUBSTITUTE(INDEX('Etsy Import'!$A:$CZ,935,Settings!$C$24)&amp;"","$",""),",","")),0))</f>
        <v/>
      </c>
      <c r="F935" s="11">
        <f>IF(A935="","",D935*E935)</f>
        <v/>
      </c>
      <c r="G935">
        <f>IF(A935="","",IF(C935="",1,COUNTIF($C$2:$C$1501,C935)))</f>
        <v/>
      </c>
      <c r="H935" s="11">
        <f>IF(A935="","",IFERROR(VALUE(SUBSTITUTE(SUBSTITUTE(INDEX('Etsy Import'!$A:$CZ,935,Settings!$C$25)&amp;"","$",""),",","")),0)/IF(Settings!$B$27="Yes",G935,1))</f>
        <v/>
      </c>
      <c r="I935" s="11">
        <f>IF(A935="","",IFERROR(VALUE(SUBSTITUTE(SUBSTITUTE(INDEX('Etsy Import'!$A:$CZ,935,Settings!$C$26)&amp;"","$",""),",","")),0)/IF(Settings!$B$27="Yes",G935,1))</f>
        <v/>
      </c>
      <c r="J935" s="11">
        <f>IF(A935="","",F935+H935-I935)</f>
        <v/>
      </c>
      <c r="K935">
        <f>IF(A935="","",IFERROR(IF(B935="",NA(),MATCH(B935,Products!$B$5:$B$204,0)),IFERROR(MATCH(A935,Products!$A$5:$A$204,0),"")))</f>
        <v/>
      </c>
      <c r="L935">
        <f>IF(A935="","",IF(K935="","⚠ not in Products",INDEX(Products!$A$5:$A$204,K935)))</f>
        <v/>
      </c>
      <c r="M935" s="11">
        <f>IF(A935="","",J935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935+IFERROR(INDEX(Settings!$D$5:$D$9,MATCH("Etsy",Settings!$A$5:$A$9,0)),0)*D935)</f>
        <v/>
      </c>
      <c r="N935" s="11">
        <f>IF(A935="","",IF(K935="",0,D935*INDEX(Products!$I$5:$I$204,K935)))</f>
        <v/>
      </c>
      <c r="O935" s="11">
        <f>IF(A935="","",IF(K935="",0,J935*INDEX(Products!$H$5:$H$204,K935)))</f>
        <v/>
      </c>
      <c r="P935" s="11">
        <f>IF(A935="","",J935-M935-N935-O935)</f>
        <v/>
      </c>
    </row>
    <row r="936">
      <c r="A936">
        <f>IFERROR(INDEX('Etsy Import'!$A:$CZ,936,Settings!$C$20)&amp;"","")</f>
        <v/>
      </c>
      <c r="B936">
        <f>IFERROR(INDEX('Etsy Import'!$A:$CZ,936,Settings!$C$21)&amp;"","")</f>
        <v/>
      </c>
      <c r="C936">
        <f>IFERROR(INDEX('Etsy Import'!$A:$CZ,936,Settings!$C$22)&amp;"","")</f>
        <v/>
      </c>
      <c r="D936">
        <f>IF(A936="","",IFERROR(VALUE(SUBSTITUTE(SUBSTITUTE(INDEX('Etsy Import'!$A:$CZ,936,Settings!$C$23)&amp;"","$",""),",","")),0))</f>
        <v/>
      </c>
      <c r="E936" s="11">
        <f>IF(A936="","",IFERROR(VALUE(SUBSTITUTE(SUBSTITUTE(INDEX('Etsy Import'!$A:$CZ,936,Settings!$C$24)&amp;"","$",""),",","")),0))</f>
        <v/>
      </c>
      <c r="F936" s="11">
        <f>IF(A936="","",D936*E936)</f>
        <v/>
      </c>
      <c r="G936">
        <f>IF(A936="","",IF(C936="",1,COUNTIF($C$2:$C$1501,C936)))</f>
        <v/>
      </c>
      <c r="H936" s="11">
        <f>IF(A936="","",IFERROR(VALUE(SUBSTITUTE(SUBSTITUTE(INDEX('Etsy Import'!$A:$CZ,936,Settings!$C$25)&amp;"","$",""),",","")),0)/IF(Settings!$B$27="Yes",G936,1))</f>
        <v/>
      </c>
      <c r="I936" s="11">
        <f>IF(A936="","",IFERROR(VALUE(SUBSTITUTE(SUBSTITUTE(INDEX('Etsy Import'!$A:$CZ,936,Settings!$C$26)&amp;"","$",""),",","")),0)/IF(Settings!$B$27="Yes",G936,1))</f>
        <v/>
      </c>
      <c r="J936" s="11">
        <f>IF(A936="","",F936+H936-I936)</f>
        <v/>
      </c>
      <c r="K936">
        <f>IF(A936="","",IFERROR(IF(B936="",NA(),MATCH(B936,Products!$B$5:$B$204,0)),IFERROR(MATCH(A936,Products!$A$5:$A$204,0),"")))</f>
        <v/>
      </c>
      <c r="L936">
        <f>IF(A936="","",IF(K936="","⚠ not in Products",INDEX(Products!$A$5:$A$204,K936)))</f>
        <v/>
      </c>
      <c r="M936" s="11">
        <f>IF(A936="","",J936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936+IFERROR(INDEX(Settings!$D$5:$D$9,MATCH("Etsy",Settings!$A$5:$A$9,0)),0)*D936)</f>
        <v/>
      </c>
      <c r="N936" s="11">
        <f>IF(A936="","",IF(K936="",0,D936*INDEX(Products!$I$5:$I$204,K936)))</f>
        <v/>
      </c>
      <c r="O936" s="11">
        <f>IF(A936="","",IF(K936="",0,J936*INDEX(Products!$H$5:$H$204,K936)))</f>
        <v/>
      </c>
      <c r="P936" s="11">
        <f>IF(A936="","",J936-M936-N936-O936)</f>
        <v/>
      </c>
    </row>
    <row r="937">
      <c r="A937">
        <f>IFERROR(INDEX('Etsy Import'!$A:$CZ,937,Settings!$C$20)&amp;"","")</f>
        <v/>
      </c>
      <c r="B937">
        <f>IFERROR(INDEX('Etsy Import'!$A:$CZ,937,Settings!$C$21)&amp;"","")</f>
        <v/>
      </c>
      <c r="C937">
        <f>IFERROR(INDEX('Etsy Import'!$A:$CZ,937,Settings!$C$22)&amp;"","")</f>
        <v/>
      </c>
      <c r="D937">
        <f>IF(A937="","",IFERROR(VALUE(SUBSTITUTE(SUBSTITUTE(INDEX('Etsy Import'!$A:$CZ,937,Settings!$C$23)&amp;"","$",""),",","")),0))</f>
        <v/>
      </c>
      <c r="E937" s="11">
        <f>IF(A937="","",IFERROR(VALUE(SUBSTITUTE(SUBSTITUTE(INDEX('Etsy Import'!$A:$CZ,937,Settings!$C$24)&amp;"","$",""),",","")),0))</f>
        <v/>
      </c>
      <c r="F937" s="11">
        <f>IF(A937="","",D937*E937)</f>
        <v/>
      </c>
      <c r="G937">
        <f>IF(A937="","",IF(C937="",1,COUNTIF($C$2:$C$1501,C937)))</f>
        <v/>
      </c>
      <c r="H937" s="11">
        <f>IF(A937="","",IFERROR(VALUE(SUBSTITUTE(SUBSTITUTE(INDEX('Etsy Import'!$A:$CZ,937,Settings!$C$25)&amp;"","$",""),",","")),0)/IF(Settings!$B$27="Yes",G937,1))</f>
        <v/>
      </c>
      <c r="I937" s="11">
        <f>IF(A937="","",IFERROR(VALUE(SUBSTITUTE(SUBSTITUTE(INDEX('Etsy Import'!$A:$CZ,937,Settings!$C$26)&amp;"","$",""),",","")),0)/IF(Settings!$B$27="Yes",G937,1))</f>
        <v/>
      </c>
      <c r="J937" s="11">
        <f>IF(A937="","",F937+H937-I937)</f>
        <v/>
      </c>
      <c r="K937">
        <f>IF(A937="","",IFERROR(IF(B937="",NA(),MATCH(B937,Products!$B$5:$B$204,0)),IFERROR(MATCH(A937,Products!$A$5:$A$204,0),"")))</f>
        <v/>
      </c>
      <c r="L937">
        <f>IF(A937="","",IF(K937="","⚠ not in Products",INDEX(Products!$A$5:$A$204,K937)))</f>
        <v/>
      </c>
      <c r="M937" s="11">
        <f>IF(A937="","",J937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937+IFERROR(INDEX(Settings!$D$5:$D$9,MATCH("Etsy",Settings!$A$5:$A$9,0)),0)*D937)</f>
        <v/>
      </c>
      <c r="N937" s="11">
        <f>IF(A937="","",IF(K937="",0,D937*INDEX(Products!$I$5:$I$204,K937)))</f>
        <v/>
      </c>
      <c r="O937" s="11">
        <f>IF(A937="","",IF(K937="",0,J937*INDEX(Products!$H$5:$H$204,K937)))</f>
        <v/>
      </c>
      <c r="P937" s="11">
        <f>IF(A937="","",J937-M937-N937-O937)</f>
        <v/>
      </c>
    </row>
    <row r="938">
      <c r="A938">
        <f>IFERROR(INDEX('Etsy Import'!$A:$CZ,938,Settings!$C$20)&amp;"","")</f>
        <v/>
      </c>
      <c r="B938">
        <f>IFERROR(INDEX('Etsy Import'!$A:$CZ,938,Settings!$C$21)&amp;"","")</f>
        <v/>
      </c>
      <c r="C938">
        <f>IFERROR(INDEX('Etsy Import'!$A:$CZ,938,Settings!$C$22)&amp;"","")</f>
        <v/>
      </c>
      <c r="D938">
        <f>IF(A938="","",IFERROR(VALUE(SUBSTITUTE(SUBSTITUTE(INDEX('Etsy Import'!$A:$CZ,938,Settings!$C$23)&amp;"","$",""),",","")),0))</f>
        <v/>
      </c>
      <c r="E938" s="11">
        <f>IF(A938="","",IFERROR(VALUE(SUBSTITUTE(SUBSTITUTE(INDEX('Etsy Import'!$A:$CZ,938,Settings!$C$24)&amp;"","$",""),",","")),0))</f>
        <v/>
      </c>
      <c r="F938" s="11">
        <f>IF(A938="","",D938*E938)</f>
        <v/>
      </c>
      <c r="G938">
        <f>IF(A938="","",IF(C938="",1,COUNTIF($C$2:$C$1501,C938)))</f>
        <v/>
      </c>
      <c r="H938" s="11">
        <f>IF(A938="","",IFERROR(VALUE(SUBSTITUTE(SUBSTITUTE(INDEX('Etsy Import'!$A:$CZ,938,Settings!$C$25)&amp;"","$",""),",","")),0)/IF(Settings!$B$27="Yes",G938,1))</f>
        <v/>
      </c>
      <c r="I938" s="11">
        <f>IF(A938="","",IFERROR(VALUE(SUBSTITUTE(SUBSTITUTE(INDEX('Etsy Import'!$A:$CZ,938,Settings!$C$26)&amp;"","$",""),",","")),0)/IF(Settings!$B$27="Yes",G938,1))</f>
        <v/>
      </c>
      <c r="J938" s="11">
        <f>IF(A938="","",F938+H938-I938)</f>
        <v/>
      </c>
      <c r="K938">
        <f>IF(A938="","",IFERROR(IF(B938="",NA(),MATCH(B938,Products!$B$5:$B$204,0)),IFERROR(MATCH(A938,Products!$A$5:$A$204,0),"")))</f>
        <v/>
      </c>
      <c r="L938">
        <f>IF(A938="","",IF(K938="","⚠ not in Products",INDEX(Products!$A$5:$A$204,K938)))</f>
        <v/>
      </c>
      <c r="M938" s="11">
        <f>IF(A938="","",J938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938+IFERROR(INDEX(Settings!$D$5:$D$9,MATCH("Etsy",Settings!$A$5:$A$9,0)),0)*D938)</f>
        <v/>
      </c>
      <c r="N938" s="11">
        <f>IF(A938="","",IF(K938="",0,D938*INDEX(Products!$I$5:$I$204,K938)))</f>
        <v/>
      </c>
      <c r="O938" s="11">
        <f>IF(A938="","",IF(K938="",0,J938*INDEX(Products!$H$5:$H$204,K938)))</f>
        <v/>
      </c>
      <c r="P938" s="11">
        <f>IF(A938="","",J938-M938-N938-O938)</f>
        <v/>
      </c>
    </row>
    <row r="939">
      <c r="A939">
        <f>IFERROR(INDEX('Etsy Import'!$A:$CZ,939,Settings!$C$20)&amp;"","")</f>
        <v/>
      </c>
      <c r="B939">
        <f>IFERROR(INDEX('Etsy Import'!$A:$CZ,939,Settings!$C$21)&amp;"","")</f>
        <v/>
      </c>
      <c r="C939">
        <f>IFERROR(INDEX('Etsy Import'!$A:$CZ,939,Settings!$C$22)&amp;"","")</f>
        <v/>
      </c>
      <c r="D939">
        <f>IF(A939="","",IFERROR(VALUE(SUBSTITUTE(SUBSTITUTE(INDEX('Etsy Import'!$A:$CZ,939,Settings!$C$23)&amp;"","$",""),",","")),0))</f>
        <v/>
      </c>
      <c r="E939" s="11">
        <f>IF(A939="","",IFERROR(VALUE(SUBSTITUTE(SUBSTITUTE(INDEX('Etsy Import'!$A:$CZ,939,Settings!$C$24)&amp;"","$",""),",","")),0))</f>
        <v/>
      </c>
      <c r="F939" s="11">
        <f>IF(A939="","",D939*E939)</f>
        <v/>
      </c>
      <c r="G939">
        <f>IF(A939="","",IF(C939="",1,COUNTIF($C$2:$C$1501,C939)))</f>
        <v/>
      </c>
      <c r="H939" s="11">
        <f>IF(A939="","",IFERROR(VALUE(SUBSTITUTE(SUBSTITUTE(INDEX('Etsy Import'!$A:$CZ,939,Settings!$C$25)&amp;"","$",""),",","")),0)/IF(Settings!$B$27="Yes",G939,1))</f>
        <v/>
      </c>
      <c r="I939" s="11">
        <f>IF(A939="","",IFERROR(VALUE(SUBSTITUTE(SUBSTITUTE(INDEX('Etsy Import'!$A:$CZ,939,Settings!$C$26)&amp;"","$",""),",","")),0)/IF(Settings!$B$27="Yes",G939,1))</f>
        <v/>
      </c>
      <c r="J939" s="11">
        <f>IF(A939="","",F939+H939-I939)</f>
        <v/>
      </c>
      <c r="K939">
        <f>IF(A939="","",IFERROR(IF(B939="",NA(),MATCH(B939,Products!$B$5:$B$204,0)),IFERROR(MATCH(A939,Products!$A$5:$A$204,0),"")))</f>
        <v/>
      </c>
      <c r="L939">
        <f>IF(A939="","",IF(K939="","⚠ not in Products",INDEX(Products!$A$5:$A$204,K939)))</f>
        <v/>
      </c>
      <c r="M939" s="11">
        <f>IF(A939="","",J939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939+IFERROR(INDEX(Settings!$D$5:$D$9,MATCH("Etsy",Settings!$A$5:$A$9,0)),0)*D939)</f>
        <v/>
      </c>
      <c r="N939" s="11">
        <f>IF(A939="","",IF(K939="",0,D939*INDEX(Products!$I$5:$I$204,K939)))</f>
        <v/>
      </c>
      <c r="O939" s="11">
        <f>IF(A939="","",IF(K939="",0,J939*INDEX(Products!$H$5:$H$204,K939)))</f>
        <v/>
      </c>
      <c r="P939" s="11">
        <f>IF(A939="","",J939-M939-N939-O939)</f>
        <v/>
      </c>
    </row>
    <row r="940">
      <c r="A940">
        <f>IFERROR(INDEX('Etsy Import'!$A:$CZ,940,Settings!$C$20)&amp;"","")</f>
        <v/>
      </c>
      <c r="B940">
        <f>IFERROR(INDEX('Etsy Import'!$A:$CZ,940,Settings!$C$21)&amp;"","")</f>
        <v/>
      </c>
      <c r="C940">
        <f>IFERROR(INDEX('Etsy Import'!$A:$CZ,940,Settings!$C$22)&amp;"","")</f>
        <v/>
      </c>
      <c r="D940">
        <f>IF(A940="","",IFERROR(VALUE(SUBSTITUTE(SUBSTITUTE(INDEX('Etsy Import'!$A:$CZ,940,Settings!$C$23)&amp;"","$",""),",","")),0))</f>
        <v/>
      </c>
      <c r="E940" s="11">
        <f>IF(A940="","",IFERROR(VALUE(SUBSTITUTE(SUBSTITUTE(INDEX('Etsy Import'!$A:$CZ,940,Settings!$C$24)&amp;"","$",""),",","")),0))</f>
        <v/>
      </c>
      <c r="F940" s="11">
        <f>IF(A940="","",D940*E940)</f>
        <v/>
      </c>
      <c r="G940">
        <f>IF(A940="","",IF(C940="",1,COUNTIF($C$2:$C$1501,C940)))</f>
        <v/>
      </c>
      <c r="H940" s="11">
        <f>IF(A940="","",IFERROR(VALUE(SUBSTITUTE(SUBSTITUTE(INDEX('Etsy Import'!$A:$CZ,940,Settings!$C$25)&amp;"","$",""),",","")),0)/IF(Settings!$B$27="Yes",G940,1))</f>
        <v/>
      </c>
      <c r="I940" s="11">
        <f>IF(A940="","",IFERROR(VALUE(SUBSTITUTE(SUBSTITUTE(INDEX('Etsy Import'!$A:$CZ,940,Settings!$C$26)&amp;"","$",""),",","")),0)/IF(Settings!$B$27="Yes",G940,1))</f>
        <v/>
      </c>
      <c r="J940" s="11">
        <f>IF(A940="","",F940+H940-I940)</f>
        <v/>
      </c>
      <c r="K940">
        <f>IF(A940="","",IFERROR(IF(B940="",NA(),MATCH(B940,Products!$B$5:$B$204,0)),IFERROR(MATCH(A940,Products!$A$5:$A$204,0),"")))</f>
        <v/>
      </c>
      <c r="L940">
        <f>IF(A940="","",IF(K940="","⚠ not in Products",INDEX(Products!$A$5:$A$204,K940)))</f>
        <v/>
      </c>
      <c r="M940" s="11">
        <f>IF(A940="","",J940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940+IFERROR(INDEX(Settings!$D$5:$D$9,MATCH("Etsy",Settings!$A$5:$A$9,0)),0)*D940)</f>
        <v/>
      </c>
      <c r="N940" s="11">
        <f>IF(A940="","",IF(K940="",0,D940*INDEX(Products!$I$5:$I$204,K940)))</f>
        <v/>
      </c>
      <c r="O940" s="11">
        <f>IF(A940="","",IF(K940="",0,J940*INDEX(Products!$H$5:$H$204,K940)))</f>
        <v/>
      </c>
      <c r="P940" s="11">
        <f>IF(A940="","",J940-M940-N940-O940)</f>
        <v/>
      </c>
    </row>
    <row r="941">
      <c r="A941">
        <f>IFERROR(INDEX('Etsy Import'!$A:$CZ,941,Settings!$C$20)&amp;"","")</f>
        <v/>
      </c>
      <c r="B941">
        <f>IFERROR(INDEX('Etsy Import'!$A:$CZ,941,Settings!$C$21)&amp;"","")</f>
        <v/>
      </c>
      <c r="C941">
        <f>IFERROR(INDEX('Etsy Import'!$A:$CZ,941,Settings!$C$22)&amp;"","")</f>
        <v/>
      </c>
      <c r="D941">
        <f>IF(A941="","",IFERROR(VALUE(SUBSTITUTE(SUBSTITUTE(INDEX('Etsy Import'!$A:$CZ,941,Settings!$C$23)&amp;"","$",""),",","")),0))</f>
        <v/>
      </c>
      <c r="E941" s="11">
        <f>IF(A941="","",IFERROR(VALUE(SUBSTITUTE(SUBSTITUTE(INDEX('Etsy Import'!$A:$CZ,941,Settings!$C$24)&amp;"","$",""),",","")),0))</f>
        <v/>
      </c>
      <c r="F941" s="11">
        <f>IF(A941="","",D941*E941)</f>
        <v/>
      </c>
      <c r="G941">
        <f>IF(A941="","",IF(C941="",1,COUNTIF($C$2:$C$1501,C941)))</f>
        <v/>
      </c>
      <c r="H941" s="11">
        <f>IF(A941="","",IFERROR(VALUE(SUBSTITUTE(SUBSTITUTE(INDEX('Etsy Import'!$A:$CZ,941,Settings!$C$25)&amp;"","$",""),",","")),0)/IF(Settings!$B$27="Yes",G941,1))</f>
        <v/>
      </c>
      <c r="I941" s="11">
        <f>IF(A941="","",IFERROR(VALUE(SUBSTITUTE(SUBSTITUTE(INDEX('Etsy Import'!$A:$CZ,941,Settings!$C$26)&amp;"","$",""),",","")),0)/IF(Settings!$B$27="Yes",G941,1))</f>
        <v/>
      </c>
      <c r="J941" s="11">
        <f>IF(A941="","",F941+H941-I941)</f>
        <v/>
      </c>
      <c r="K941">
        <f>IF(A941="","",IFERROR(IF(B941="",NA(),MATCH(B941,Products!$B$5:$B$204,0)),IFERROR(MATCH(A941,Products!$A$5:$A$204,0),"")))</f>
        <v/>
      </c>
      <c r="L941">
        <f>IF(A941="","",IF(K941="","⚠ not in Products",INDEX(Products!$A$5:$A$204,K941)))</f>
        <v/>
      </c>
      <c r="M941" s="11">
        <f>IF(A941="","",J941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941+IFERROR(INDEX(Settings!$D$5:$D$9,MATCH("Etsy",Settings!$A$5:$A$9,0)),0)*D941)</f>
        <v/>
      </c>
      <c r="N941" s="11">
        <f>IF(A941="","",IF(K941="",0,D941*INDEX(Products!$I$5:$I$204,K941)))</f>
        <v/>
      </c>
      <c r="O941" s="11">
        <f>IF(A941="","",IF(K941="",0,J941*INDEX(Products!$H$5:$H$204,K941)))</f>
        <v/>
      </c>
      <c r="P941" s="11">
        <f>IF(A941="","",J941-M941-N941-O941)</f>
        <v/>
      </c>
    </row>
    <row r="942">
      <c r="A942">
        <f>IFERROR(INDEX('Etsy Import'!$A:$CZ,942,Settings!$C$20)&amp;"","")</f>
        <v/>
      </c>
      <c r="B942">
        <f>IFERROR(INDEX('Etsy Import'!$A:$CZ,942,Settings!$C$21)&amp;"","")</f>
        <v/>
      </c>
      <c r="C942">
        <f>IFERROR(INDEX('Etsy Import'!$A:$CZ,942,Settings!$C$22)&amp;"","")</f>
        <v/>
      </c>
      <c r="D942">
        <f>IF(A942="","",IFERROR(VALUE(SUBSTITUTE(SUBSTITUTE(INDEX('Etsy Import'!$A:$CZ,942,Settings!$C$23)&amp;"","$",""),",","")),0))</f>
        <v/>
      </c>
      <c r="E942" s="11">
        <f>IF(A942="","",IFERROR(VALUE(SUBSTITUTE(SUBSTITUTE(INDEX('Etsy Import'!$A:$CZ,942,Settings!$C$24)&amp;"","$",""),",","")),0))</f>
        <v/>
      </c>
      <c r="F942" s="11">
        <f>IF(A942="","",D942*E942)</f>
        <v/>
      </c>
      <c r="G942">
        <f>IF(A942="","",IF(C942="",1,COUNTIF($C$2:$C$1501,C942)))</f>
        <v/>
      </c>
      <c r="H942" s="11">
        <f>IF(A942="","",IFERROR(VALUE(SUBSTITUTE(SUBSTITUTE(INDEX('Etsy Import'!$A:$CZ,942,Settings!$C$25)&amp;"","$",""),",","")),0)/IF(Settings!$B$27="Yes",G942,1))</f>
        <v/>
      </c>
      <c r="I942" s="11">
        <f>IF(A942="","",IFERROR(VALUE(SUBSTITUTE(SUBSTITUTE(INDEX('Etsy Import'!$A:$CZ,942,Settings!$C$26)&amp;"","$",""),",","")),0)/IF(Settings!$B$27="Yes",G942,1))</f>
        <v/>
      </c>
      <c r="J942" s="11">
        <f>IF(A942="","",F942+H942-I942)</f>
        <v/>
      </c>
      <c r="K942">
        <f>IF(A942="","",IFERROR(IF(B942="",NA(),MATCH(B942,Products!$B$5:$B$204,0)),IFERROR(MATCH(A942,Products!$A$5:$A$204,0),"")))</f>
        <v/>
      </c>
      <c r="L942">
        <f>IF(A942="","",IF(K942="","⚠ not in Products",INDEX(Products!$A$5:$A$204,K942)))</f>
        <v/>
      </c>
      <c r="M942" s="11">
        <f>IF(A942="","",J942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942+IFERROR(INDEX(Settings!$D$5:$D$9,MATCH("Etsy",Settings!$A$5:$A$9,0)),0)*D942)</f>
        <v/>
      </c>
      <c r="N942" s="11">
        <f>IF(A942="","",IF(K942="",0,D942*INDEX(Products!$I$5:$I$204,K942)))</f>
        <v/>
      </c>
      <c r="O942" s="11">
        <f>IF(A942="","",IF(K942="",0,J942*INDEX(Products!$H$5:$H$204,K942)))</f>
        <v/>
      </c>
      <c r="P942" s="11">
        <f>IF(A942="","",J942-M942-N942-O942)</f>
        <v/>
      </c>
    </row>
    <row r="943">
      <c r="A943">
        <f>IFERROR(INDEX('Etsy Import'!$A:$CZ,943,Settings!$C$20)&amp;"","")</f>
        <v/>
      </c>
      <c r="B943">
        <f>IFERROR(INDEX('Etsy Import'!$A:$CZ,943,Settings!$C$21)&amp;"","")</f>
        <v/>
      </c>
      <c r="C943">
        <f>IFERROR(INDEX('Etsy Import'!$A:$CZ,943,Settings!$C$22)&amp;"","")</f>
        <v/>
      </c>
      <c r="D943">
        <f>IF(A943="","",IFERROR(VALUE(SUBSTITUTE(SUBSTITUTE(INDEX('Etsy Import'!$A:$CZ,943,Settings!$C$23)&amp;"","$",""),",","")),0))</f>
        <v/>
      </c>
      <c r="E943" s="11">
        <f>IF(A943="","",IFERROR(VALUE(SUBSTITUTE(SUBSTITUTE(INDEX('Etsy Import'!$A:$CZ,943,Settings!$C$24)&amp;"","$",""),",","")),0))</f>
        <v/>
      </c>
      <c r="F943" s="11">
        <f>IF(A943="","",D943*E943)</f>
        <v/>
      </c>
      <c r="G943">
        <f>IF(A943="","",IF(C943="",1,COUNTIF($C$2:$C$1501,C943)))</f>
        <v/>
      </c>
      <c r="H943" s="11">
        <f>IF(A943="","",IFERROR(VALUE(SUBSTITUTE(SUBSTITUTE(INDEX('Etsy Import'!$A:$CZ,943,Settings!$C$25)&amp;"","$",""),",","")),0)/IF(Settings!$B$27="Yes",G943,1))</f>
        <v/>
      </c>
      <c r="I943" s="11">
        <f>IF(A943="","",IFERROR(VALUE(SUBSTITUTE(SUBSTITUTE(INDEX('Etsy Import'!$A:$CZ,943,Settings!$C$26)&amp;"","$",""),",","")),0)/IF(Settings!$B$27="Yes",G943,1))</f>
        <v/>
      </c>
      <c r="J943" s="11">
        <f>IF(A943="","",F943+H943-I943)</f>
        <v/>
      </c>
      <c r="K943">
        <f>IF(A943="","",IFERROR(IF(B943="",NA(),MATCH(B943,Products!$B$5:$B$204,0)),IFERROR(MATCH(A943,Products!$A$5:$A$204,0),"")))</f>
        <v/>
      </c>
      <c r="L943">
        <f>IF(A943="","",IF(K943="","⚠ not in Products",INDEX(Products!$A$5:$A$204,K943)))</f>
        <v/>
      </c>
      <c r="M943" s="11">
        <f>IF(A943="","",J943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943+IFERROR(INDEX(Settings!$D$5:$D$9,MATCH("Etsy",Settings!$A$5:$A$9,0)),0)*D943)</f>
        <v/>
      </c>
      <c r="N943" s="11">
        <f>IF(A943="","",IF(K943="",0,D943*INDEX(Products!$I$5:$I$204,K943)))</f>
        <v/>
      </c>
      <c r="O943" s="11">
        <f>IF(A943="","",IF(K943="",0,J943*INDEX(Products!$H$5:$H$204,K943)))</f>
        <v/>
      </c>
      <c r="P943" s="11">
        <f>IF(A943="","",J943-M943-N943-O943)</f>
        <v/>
      </c>
    </row>
    <row r="944">
      <c r="A944">
        <f>IFERROR(INDEX('Etsy Import'!$A:$CZ,944,Settings!$C$20)&amp;"","")</f>
        <v/>
      </c>
      <c r="B944">
        <f>IFERROR(INDEX('Etsy Import'!$A:$CZ,944,Settings!$C$21)&amp;"","")</f>
        <v/>
      </c>
      <c r="C944">
        <f>IFERROR(INDEX('Etsy Import'!$A:$CZ,944,Settings!$C$22)&amp;"","")</f>
        <v/>
      </c>
      <c r="D944">
        <f>IF(A944="","",IFERROR(VALUE(SUBSTITUTE(SUBSTITUTE(INDEX('Etsy Import'!$A:$CZ,944,Settings!$C$23)&amp;"","$",""),",","")),0))</f>
        <v/>
      </c>
      <c r="E944" s="11">
        <f>IF(A944="","",IFERROR(VALUE(SUBSTITUTE(SUBSTITUTE(INDEX('Etsy Import'!$A:$CZ,944,Settings!$C$24)&amp;"","$",""),",","")),0))</f>
        <v/>
      </c>
      <c r="F944" s="11">
        <f>IF(A944="","",D944*E944)</f>
        <v/>
      </c>
      <c r="G944">
        <f>IF(A944="","",IF(C944="",1,COUNTIF($C$2:$C$1501,C944)))</f>
        <v/>
      </c>
      <c r="H944" s="11">
        <f>IF(A944="","",IFERROR(VALUE(SUBSTITUTE(SUBSTITUTE(INDEX('Etsy Import'!$A:$CZ,944,Settings!$C$25)&amp;"","$",""),",","")),0)/IF(Settings!$B$27="Yes",G944,1))</f>
        <v/>
      </c>
      <c r="I944" s="11">
        <f>IF(A944="","",IFERROR(VALUE(SUBSTITUTE(SUBSTITUTE(INDEX('Etsy Import'!$A:$CZ,944,Settings!$C$26)&amp;"","$",""),",","")),0)/IF(Settings!$B$27="Yes",G944,1))</f>
        <v/>
      </c>
      <c r="J944" s="11">
        <f>IF(A944="","",F944+H944-I944)</f>
        <v/>
      </c>
      <c r="K944">
        <f>IF(A944="","",IFERROR(IF(B944="",NA(),MATCH(B944,Products!$B$5:$B$204,0)),IFERROR(MATCH(A944,Products!$A$5:$A$204,0),"")))</f>
        <v/>
      </c>
      <c r="L944">
        <f>IF(A944="","",IF(K944="","⚠ not in Products",INDEX(Products!$A$5:$A$204,K944)))</f>
        <v/>
      </c>
      <c r="M944" s="11">
        <f>IF(A944="","",J944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944+IFERROR(INDEX(Settings!$D$5:$D$9,MATCH("Etsy",Settings!$A$5:$A$9,0)),0)*D944)</f>
        <v/>
      </c>
      <c r="N944" s="11">
        <f>IF(A944="","",IF(K944="",0,D944*INDEX(Products!$I$5:$I$204,K944)))</f>
        <v/>
      </c>
      <c r="O944" s="11">
        <f>IF(A944="","",IF(K944="",0,J944*INDEX(Products!$H$5:$H$204,K944)))</f>
        <v/>
      </c>
      <c r="P944" s="11">
        <f>IF(A944="","",J944-M944-N944-O944)</f>
        <v/>
      </c>
    </row>
    <row r="945">
      <c r="A945">
        <f>IFERROR(INDEX('Etsy Import'!$A:$CZ,945,Settings!$C$20)&amp;"","")</f>
        <v/>
      </c>
      <c r="B945">
        <f>IFERROR(INDEX('Etsy Import'!$A:$CZ,945,Settings!$C$21)&amp;"","")</f>
        <v/>
      </c>
      <c r="C945">
        <f>IFERROR(INDEX('Etsy Import'!$A:$CZ,945,Settings!$C$22)&amp;"","")</f>
        <v/>
      </c>
      <c r="D945">
        <f>IF(A945="","",IFERROR(VALUE(SUBSTITUTE(SUBSTITUTE(INDEX('Etsy Import'!$A:$CZ,945,Settings!$C$23)&amp;"","$",""),",","")),0))</f>
        <v/>
      </c>
      <c r="E945" s="11">
        <f>IF(A945="","",IFERROR(VALUE(SUBSTITUTE(SUBSTITUTE(INDEX('Etsy Import'!$A:$CZ,945,Settings!$C$24)&amp;"","$",""),",","")),0))</f>
        <v/>
      </c>
      <c r="F945" s="11">
        <f>IF(A945="","",D945*E945)</f>
        <v/>
      </c>
      <c r="G945">
        <f>IF(A945="","",IF(C945="",1,COUNTIF($C$2:$C$1501,C945)))</f>
        <v/>
      </c>
      <c r="H945" s="11">
        <f>IF(A945="","",IFERROR(VALUE(SUBSTITUTE(SUBSTITUTE(INDEX('Etsy Import'!$A:$CZ,945,Settings!$C$25)&amp;"","$",""),",","")),0)/IF(Settings!$B$27="Yes",G945,1))</f>
        <v/>
      </c>
      <c r="I945" s="11">
        <f>IF(A945="","",IFERROR(VALUE(SUBSTITUTE(SUBSTITUTE(INDEX('Etsy Import'!$A:$CZ,945,Settings!$C$26)&amp;"","$",""),",","")),0)/IF(Settings!$B$27="Yes",G945,1))</f>
        <v/>
      </c>
      <c r="J945" s="11">
        <f>IF(A945="","",F945+H945-I945)</f>
        <v/>
      </c>
      <c r="K945">
        <f>IF(A945="","",IFERROR(IF(B945="",NA(),MATCH(B945,Products!$B$5:$B$204,0)),IFERROR(MATCH(A945,Products!$A$5:$A$204,0),"")))</f>
        <v/>
      </c>
      <c r="L945">
        <f>IF(A945="","",IF(K945="","⚠ not in Products",INDEX(Products!$A$5:$A$204,K945)))</f>
        <v/>
      </c>
      <c r="M945" s="11">
        <f>IF(A945="","",J945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945+IFERROR(INDEX(Settings!$D$5:$D$9,MATCH("Etsy",Settings!$A$5:$A$9,0)),0)*D945)</f>
        <v/>
      </c>
      <c r="N945" s="11">
        <f>IF(A945="","",IF(K945="",0,D945*INDEX(Products!$I$5:$I$204,K945)))</f>
        <v/>
      </c>
      <c r="O945" s="11">
        <f>IF(A945="","",IF(K945="",0,J945*INDEX(Products!$H$5:$H$204,K945)))</f>
        <v/>
      </c>
      <c r="P945" s="11">
        <f>IF(A945="","",J945-M945-N945-O945)</f>
        <v/>
      </c>
    </row>
    <row r="946">
      <c r="A946">
        <f>IFERROR(INDEX('Etsy Import'!$A:$CZ,946,Settings!$C$20)&amp;"","")</f>
        <v/>
      </c>
      <c r="B946">
        <f>IFERROR(INDEX('Etsy Import'!$A:$CZ,946,Settings!$C$21)&amp;"","")</f>
        <v/>
      </c>
      <c r="C946">
        <f>IFERROR(INDEX('Etsy Import'!$A:$CZ,946,Settings!$C$22)&amp;"","")</f>
        <v/>
      </c>
      <c r="D946">
        <f>IF(A946="","",IFERROR(VALUE(SUBSTITUTE(SUBSTITUTE(INDEX('Etsy Import'!$A:$CZ,946,Settings!$C$23)&amp;"","$",""),",","")),0))</f>
        <v/>
      </c>
      <c r="E946" s="11">
        <f>IF(A946="","",IFERROR(VALUE(SUBSTITUTE(SUBSTITUTE(INDEX('Etsy Import'!$A:$CZ,946,Settings!$C$24)&amp;"","$",""),",","")),0))</f>
        <v/>
      </c>
      <c r="F946" s="11">
        <f>IF(A946="","",D946*E946)</f>
        <v/>
      </c>
      <c r="G946">
        <f>IF(A946="","",IF(C946="",1,COUNTIF($C$2:$C$1501,C946)))</f>
        <v/>
      </c>
      <c r="H946" s="11">
        <f>IF(A946="","",IFERROR(VALUE(SUBSTITUTE(SUBSTITUTE(INDEX('Etsy Import'!$A:$CZ,946,Settings!$C$25)&amp;"","$",""),",","")),0)/IF(Settings!$B$27="Yes",G946,1))</f>
        <v/>
      </c>
      <c r="I946" s="11">
        <f>IF(A946="","",IFERROR(VALUE(SUBSTITUTE(SUBSTITUTE(INDEX('Etsy Import'!$A:$CZ,946,Settings!$C$26)&amp;"","$",""),",","")),0)/IF(Settings!$B$27="Yes",G946,1))</f>
        <v/>
      </c>
      <c r="J946" s="11">
        <f>IF(A946="","",F946+H946-I946)</f>
        <v/>
      </c>
      <c r="K946">
        <f>IF(A946="","",IFERROR(IF(B946="",NA(),MATCH(B946,Products!$B$5:$B$204,0)),IFERROR(MATCH(A946,Products!$A$5:$A$204,0),"")))</f>
        <v/>
      </c>
      <c r="L946">
        <f>IF(A946="","",IF(K946="","⚠ not in Products",INDEX(Products!$A$5:$A$204,K946)))</f>
        <v/>
      </c>
      <c r="M946" s="11">
        <f>IF(A946="","",J946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946+IFERROR(INDEX(Settings!$D$5:$D$9,MATCH("Etsy",Settings!$A$5:$A$9,0)),0)*D946)</f>
        <v/>
      </c>
      <c r="N946" s="11">
        <f>IF(A946="","",IF(K946="",0,D946*INDEX(Products!$I$5:$I$204,K946)))</f>
        <v/>
      </c>
      <c r="O946" s="11">
        <f>IF(A946="","",IF(K946="",0,J946*INDEX(Products!$H$5:$H$204,K946)))</f>
        <v/>
      </c>
      <c r="P946" s="11">
        <f>IF(A946="","",J946-M946-N946-O946)</f>
        <v/>
      </c>
    </row>
    <row r="947">
      <c r="A947">
        <f>IFERROR(INDEX('Etsy Import'!$A:$CZ,947,Settings!$C$20)&amp;"","")</f>
        <v/>
      </c>
      <c r="B947">
        <f>IFERROR(INDEX('Etsy Import'!$A:$CZ,947,Settings!$C$21)&amp;"","")</f>
        <v/>
      </c>
      <c r="C947">
        <f>IFERROR(INDEX('Etsy Import'!$A:$CZ,947,Settings!$C$22)&amp;"","")</f>
        <v/>
      </c>
      <c r="D947">
        <f>IF(A947="","",IFERROR(VALUE(SUBSTITUTE(SUBSTITUTE(INDEX('Etsy Import'!$A:$CZ,947,Settings!$C$23)&amp;"","$",""),",","")),0))</f>
        <v/>
      </c>
      <c r="E947" s="11">
        <f>IF(A947="","",IFERROR(VALUE(SUBSTITUTE(SUBSTITUTE(INDEX('Etsy Import'!$A:$CZ,947,Settings!$C$24)&amp;"","$",""),",","")),0))</f>
        <v/>
      </c>
      <c r="F947" s="11">
        <f>IF(A947="","",D947*E947)</f>
        <v/>
      </c>
      <c r="G947">
        <f>IF(A947="","",IF(C947="",1,COUNTIF($C$2:$C$1501,C947)))</f>
        <v/>
      </c>
      <c r="H947" s="11">
        <f>IF(A947="","",IFERROR(VALUE(SUBSTITUTE(SUBSTITUTE(INDEX('Etsy Import'!$A:$CZ,947,Settings!$C$25)&amp;"","$",""),",","")),0)/IF(Settings!$B$27="Yes",G947,1))</f>
        <v/>
      </c>
      <c r="I947" s="11">
        <f>IF(A947="","",IFERROR(VALUE(SUBSTITUTE(SUBSTITUTE(INDEX('Etsy Import'!$A:$CZ,947,Settings!$C$26)&amp;"","$",""),",","")),0)/IF(Settings!$B$27="Yes",G947,1))</f>
        <v/>
      </c>
      <c r="J947" s="11">
        <f>IF(A947="","",F947+H947-I947)</f>
        <v/>
      </c>
      <c r="K947">
        <f>IF(A947="","",IFERROR(IF(B947="",NA(),MATCH(B947,Products!$B$5:$B$204,0)),IFERROR(MATCH(A947,Products!$A$5:$A$204,0),"")))</f>
        <v/>
      </c>
      <c r="L947">
        <f>IF(A947="","",IF(K947="","⚠ not in Products",INDEX(Products!$A$5:$A$204,K947)))</f>
        <v/>
      </c>
      <c r="M947" s="11">
        <f>IF(A947="","",J947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947+IFERROR(INDEX(Settings!$D$5:$D$9,MATCH("Etsy",Settings!$A$5:$A$9,0)),0)*D947)</f>
        <v/>
      </c>
      <c r="N947" s="11">
        <f>IF(A947="","",IF(K947="",0,D947*INDEX(Products!$I$5:$I$204,K947)))</f>
        <v/>
      </c>
      <c r="O947" s="11">
        <f>IF(A947="","",IF(K947="",0,J947*INDEX(Products!$H$5:$H$204,K947)))</f>
        <v/>
      </c>
      <c r="P947" s="11">
        <f>IF(A947="","",J947-M947-N947-O947)</f>
        <v/>
      </c>
    </row>
    <row r="948">
      <c r="A948">
        <f>IFERROR(INDEX('Etsy Import'!$A:$CZ,948,Settings!$C$20)&amp;"","")</f>
        <v/>
      </c>
      <c r="B948">
        <f>IFERROR(INDEX('Etsy Import'!$A:$CZ,948,Settings!$C$21)&amp;"","")</f>
        <v/>
      </c>
      <c r="C948">
        <f>IFERROR(INDEX('Etsy Import'!$A:$CZ,948,Settings!$C$22)&amp;"","")</f>
        <v/>
      </c>
      <c r="D948">
        <f>IF(A948="","",IFERROR(VALUE(SUBSTITUTE(SUBSTITUTE(INDEX('Etsy Import'!$A:$CZ,948,Settings!$C$23)&amp;"","$",""),",","")),0))</f>
        <v/>
      </c>
      <c r="E948" s="11">
        <f>IF(A948="","",IFERROR(VALUE(SUBSTITUTE(SUBSTITUTE(INDEX('Etsy Import'!$A:$CZ,948,Settings!$C$24)&amp;"","$",""),",","")),0))</f>
        <v/>
      </c>
      <c r="F948" s="11">
        <f>IF(A948="","",D948*E948)</f>
        <v/>
      </c>
      <c r="G948">
        <f>IF(A948="","",IF(C948="",1,COUNTIF($C$2:$C$1501,C948)))</f>
        <v/>
      </c>
      <c r="H948" s="11">
        <f>IF(A948="","",IFERROR(VALUE(SUBSTITUTE(SUBSTITUTE(INDEX('Etsy Import'!$A:$CZ,948,Settings!$C$25)&amp;"","$",""),",","")),0)/IF(Settings!$B$27="Yes",G948,1))</f>
        <v/>
      </c>
      <c r="I948" s="11">
        <f>IF(A948="","",IFERROR(VALUE(SUBSTITUTE(SUBSTITUTE(INDEX('Etsy Import'!$A:$CZ,948,Settings!$C$26)&amp;"","$",""),",","")),0)/IF(Settings!$B$27="Yes",G948,1))</f>
        <v/>
      </c>
      <c r="J948" s="11">
        <f>IF(A948="","",F948+H948-I948)</f>
        <v/>
      </c>
      <c r="K948">
        <f>IF(A948="","",IFERROR(IF(B948="",NA(),MATCH(B948,Products!$B$5:$B$204,0)),IFERROR(MATCH(A948,Products!$A$5:$A$204,0),"")))</f>
        <v/>
      </c>
      <c r="L948">
        <f>IF(A948="","",IF(K948="","⚠ not in Products",INDEX(Products!$A$5:$A$204,K948)))</f>
        <v/>
      </c>
      <c r="M948" s="11">
        <f>IF(A948="","",J948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948+IFERROR(INDEX(Settings!$D$5:$D$9,MATCH("Etsy",Settings!$A$5:$A$9,0)),0)*D948)</f>
        <v/>
      </c>
      <c r="N948" s="11">
        <f>IF(A948="","",IF(K948="",0,D948*INDEX(Products!$I$5:$I$204,K948)))</f>
        <v/>
      </c>
      <c r="O948" s="11">
        <f>IF(A948="","",IF(K948="",0,J948*INDEX(Products!$H$5:$H$204,K948)))</f>
        <v/>
      </c>
      <c r="P948" s="11">
        <f>IF(A948="","",J948-M948-N948-O948)</f>
        <v/>
      </c>
    </row>
    <row r="949">
      <c r="A949">
        <f>IFERROR(INDEX('Etsy Import'!$A:$CZ,949,Settings!$C$20)&amp;"","")</f>
        <v/>
      </c>
      <c r="B949">
        <f>IFERROR(INDEX('Etsy Import'!$A:$CZ,949,Settings!$C$21)&amp;"","")</f>
        <v/>
      </c>
      <c r="C949">
        <f>IFERROR(INDEX('Etsy Import'!$A:$CZ,949,Settings!$C$22)&amp;"","")</f>
        <v/>
      </c>
      <c r="D949">
        <f>IF(A949="","",IFERROR(VALUE(SUBSTITUTE(SUBSTITUTE(INDEX('Etsy Import'!$A:$CZ,949,Settings!$C$23)&amp;"","$",""),",","")),0))</f>
        <v/>
      </c>
      <c r="E949" s="11">
        <f>IF(A949="","",IFERROR(VALUE(SUBSTITUTE(SUBSTITUTE(INDEX('Etsy Import'!$A:$CZ,949,Settings!$C$24)&amp;"","$",""),",","")),0))</f>
        <v/>
      </c>
      <c r="F949" s="11">
        <f>IF(A949="","",D949*E949)</f>
        <v/>
      </c>
      <c r="G949">
        <f>IF(A949="","",IF(C949="",1,COUNTIF($C$2:$C$1501,C949)))</f>
        <v/>
      </c>
      <c r="H949" s="11">
        <f>IF(A949="","",IFERROR(VALUE(SUBSTITUTE(SUBSTITUTE(INDEX('Etsy Import'!$A:$CZ,949,Settings!$C$25)&amp;"","$",""),",","")),0)/IF(Settings!$B$27="Yes",G949,1))</f>
        <v/>
      </c>
      <c r="I949" s="11">
        <f>IF(A949="","",IFERROR(VALUE(SUBSTITUTE(SUBSTITUTE(INDEX('Etsy Import'!$A:$CZ,949,Settings!$C$26)&amp;"","$",""),",","")),0)/IF(Settings!$B$27="Yes",G949,1))</f>
        <v/>
      </c>
      <c r="J949" s="11">
        <f>IF(A949="","",F949+H949-I949)</f>
        <v/>
      </c>
      <c r="K949">
        <f>IF(A949="","",IFERROR(IF(B949="",NA(),MATCH(B949,Products!$B$5:$B$204,0)),IFERROR(MATCH(A949,Products!$A$5:$A$204,0),"")))</f>
        <v/>
      </c>
      <c r="L949">
        <f>IF(A949="","",IF(K949="","⚠ not in Products",INDEX(Products!$A$5:$A$204,K949)))</f>
        <v/>
      </c>
      <c r="M949" s="11">
        <f>IF(A949="","",J949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949+IFERROR(INDEX(Settings!$D$5:$D$9,MATCH("Etsy",Settings!$A$5:$A$9,0)),0)*D949)</f>
        <v/>
      </c>
      <c r="N949" s="11">
        <f>IF(A949="","",IF(K949="",0,D949*INDEX(Products!$I$5:$I$204,K949)))</f>
        <v/>
      </c>
      <c r="O949" s="11">
        <f>IF(A949="","",IF(K949="",0,J949*INDEX(Products!$H$5:$H$204,K949)))</f>
        <v/>
      </c>
      <c r="P949" s="11">
        <f>IF(A949="","",J949-M949-N949-O949)</f>
        <v/>
      </c>
    </row>
    <row r="950">
      <c r="A950">
        <f>IFERROR(INDEX('Etsy Import'!$A:$CZ,950,Settings!$C$20)&amp;"","")</f>
        <v/>
      </c>
      <c r="B950">
        <f>IFERROR(INDEX('Etsy Import'!$A:$CZ,950,Settings!$C$21)&amp;"","")</f>
        <v/>
      </c>
      <c r="C950">
        <f>IFERROR(INDEX('Etsy Import'!$A:$CZ,950,Settings!$C$22)&amp;"","")</f>
        <v/>
      </c>
      <c r="D950">
        <f>IF(A950="","",IFERROR(VALUE(SUBSTITUTE(SUBSTITUTE(INDEX('Etsy Import'!$A:$CZ,950,Settings!$C$23)&amp;"","$",""),",","")),0))</f>
        <v/>
      </c>
      <c r="E950" s="11">
        <f>IF(A950="","",IFERROR(VALUE(SUBSTITUTE(SUBSTITUTE(INDEX('Etsy Import'!$A:$CZ,950,Settings!$C$24)&amp;"","$",""),",","")),0))</f>
        <v/>
      </c>
      <c r="F950" s="11">
        <f>IF(A950="","",D950*E950)</f>
        <v/>
      </c>
      <c r="G950">
        <f>IF(A950="","",IF(C950="",1,COUNTIF($C$2:$C$1501,C950)))</f>
        <v/>
      </c>
      <c r="H950" s="11">
        <f>IF(A950="","",IFERROR(VALUE(SUBSTITUTE(SUBSTITUTE(INDEX('Etsy Import'!$A:$CZ,950,Settings!$C$25)&amp;"","$",""),",","")),0)/IF(Settings!$B$27="Yes",G950,1))</f>
        <v/>
      </c>
      <c r="I950" s="11">
        <f>IF(A950="","",IFERROR(VALUE(SUBSTITUTE(SUBSTITUTE(INDEX('Etsy Import'!$A:$CZ,950,Settings!$C$26)&amp;"","$",""),",","")),0)/IF(Settings!$B$27="Yes",G950,1))</f>
        <v/>
      </c>
      <c r="J950" s="11">
        <f>IF(A950="","",F950+H950-I950)</f>
        <v/>
      </c>
      <c r="K950">
        <f>IF(A950="","",IFERROR(IF(B950="",NA(),MATCH(B950,Products!$B$5:$B$204,0)),IFERROR(MATCH(A950,Products!$A$5:$A$204,0),"")))</f>
        <v/>
      </c>
      <c r="L950">
        <f>IF(A950="","",IF(K950="","⚠ not in Products",INDEX(Products!$A$5:$A$204,K950)))</f>
        <v/>
      </c>
      <c r="M950" s="11">
        <f>IF(A950="","",J950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950+IFERROR(INDEX(Settings!$D$5:$D$9,MATCH("Etsy",Settings!$A$5:$A$9,0)),0)*D950)</f>
        <v/>
      </c>
      <c r="N950" s="11">
        <f>IF(A950="","",IF(K950="",0,D950*INDEX(Products!$I$5:$I$204,K950)))</f>
        <v/>
      </c>
      <c r="O950" s="11">
        <f>IF(A950="","",IF(K950="",0,J950*INDEX(Products!$H$5:$H$204,K950)))</f>
        <v/>
      </c>
      <c r="P950" s="11">
        <f>IF(A950="","",J950-M950-N950-O950)</f>
        <v/>
      </c>
    </row>
    <row r="951">
      <c r="A951">
        <f>IFERROR(INDEX('Etsy Import'!$A:$CZ,951,Settings!$C$20)&amp;"","")</f>
        <v/>
      </c>
      <c r="B951">
        <f>IFERROR(INDEX('Etsy Import'!$A:$CZ,951,Settings!$C$21)&amp;"","")</f>
        <v/>
      </c>
      <c r="C951">
        <f>IFERROR(INDEX('Etsy Import'!$A:$CZ,951,Settings!$C$22)&amp;"","")</f>
        <v/>
      </c>
      <c r="D951">
        <f>IF(A951="","",IFERROR(VALUE(SUBSTITUTE(SUBSTITUTE(INDEX('Etsy Import'!$A:$CZ,951,Settings!$C$23)&amp;"","$",""),",","")),0))</f>
        <v/>
      </c>
      <c r="E951" s="11">
        <f>IF(A951="","",IFERROR(VALUE(SUBSTITUTE(SUBSTITUTE(INDEX('Etsy Import'!$A:$CZ,951,Settings!$C$24)&amp;"","$",""),",","")),0))</f>
        <v/>
      </c>
      <c r="F951" s="11">
        <f>IF(A951="","",D951*E951)</f>
        <v/>
      </c>
      <c r="G951">
        <f>IF(A951="","",IF(C951="",1,COUNTIF($C$2:$C$1501,C951)))</f>
        <v/>
      </c>
      <c r="H951" s="11">
        <f>IF(A951="","",IFERROR(VALUE(SUBSTITUTE(SUBSTITUTE(INDEX('Etsy Import'!$A:$CZ,951,Settings!$C$25)&amp;"","$",""),",","")),0)/IF(Settings!$B$27="Yes",G951,1))</f>
        <v/>
      </c>
      <c r="I951" s="11">
        <f>IF(A951="","",IFERROR(VALUE(SUBSTITUTE(SUBSTITUTE(INDEX('Etsy Import'!$A:$CZ,951,Settings!$C$26)&amp;"","$",""),",","")),0)/IF(Settings!$B$27="Yes",G951,1))</f>
        <v/>
      </c>
      <c r="J951" s="11">
        <f>IF(A951="","",F951+H951-I951)</f>
        <v/>
      </c>
      <c r="K951">
        <f>IF(A951="","",IFERROR(IF(B951="",NA(),MATCH(B951,Products!$B$5:$B$204,0)),IFERROR(MATCH(A951,Products!$A$5:$A$204,0),"")))</f>
        <v/>
      </c>
      <c r="L951">
        <f>IF(A951="","",IF(K951="","⚠ not in Products",INDEX(Products!$A$5:$A$204,K951)))</f>
        <v/>
      </c>
      <c r="M951" s="11">
        <f>IF(A951="","",J951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951+IFERROR(INDEX(Settings!$D$5:$D$9,MATCH("Etsy",Settings!$A$5:$A$9,0)),0)*D951)</f>
        <v/>
      </c>
      <c r="N951" s="11">
        <f>IF(A951="","",IF(K951="",0,D951*INDEX(Products!$I$5:$I$204,K951)))</f>
        <v/>
      </c>
      <c r="O951" s="11">
        <f>IF(A951="","",IF(K951="",0,J951*INDEX(Products!$H$5:$H$204,K951)))</f>
        <v/>
      </c>
      <c r="P951" s="11">
        <f>IF(A951="","",J951-M951-N951-O951)</f>
        <v/>
      </c>
    </row>
    <row r="952">
      <c r="A952">
        <f>IFERROR(INDEX('Etsy Import'!$A:$CZ,952,Settings!$C$20)&amp;"","")</f>
        <v/>
      </c>
      <c r="B952">
        <f>IFERROR(INDEX('Etsy Import'!$A:$CZ,952,Settings!$C$21)&amp;"","")</f>
        <v/>
      </c>
      <c r="C952">
        <f>IFERROR(INDEX('Etsy Import'!$A:$CZ,952,Settings!$C$22)&amp;"","")</f>
        <v/>
      </c>
      <c r="D952">
        <f>IF(A952="","",IFERROR(VALUE(SUBSTITUTE(SUBSTITUTE(INDEX('Etsy Import'!$A:$CZ,952,Settings!$C$23)&amp;"","$",""),",","")),0))</f>
        <v/>
      </c>
      <c r="E952" s="11">
        <f>IF(A952="","",IFERROR(VALUE(SUBSTITUTE(SUBSTITUTE(INDEX('Etsy Import'!$A:$CZ,952,Settings!$C$24)&amp;"","$",""),",","")),0))</f>
        <v/>
      </c>
      <c r="F952" s="11">
        <f>IF(A952="","",D952*E952)</f>
        <v/>
      </c>
      <c r="G952">
        <f>IF(A952="","",IF(C952="",1,COUNTIF($C$2:$C$1501,C952)))</f>
        <v/>
      </c>
      <c r="H952" s="11">
        <f>IF(A952="","",IFERROR(VALUE(SUBSTITUTE(SUBSTITUTE(INDEX('Etsy Import'!$A:$CZ,952,Settings!$C$25)&amp;"","$",""),",","")),0)/IF(Settings!$B$27="Yes",G952,1))</f>
        <v/>
      </c>
      <c r="I952" s="11">
        <f>IF(A952="","",IFERROR(VALUE(SUBSTITUTE(SUBSTITUTE(INDEX('Etsy Import'!$A:$CZ,952,Settings!$C$26)&amp;"","$",""),",","")),0)/IF(Settings!$B$27="Yes",G952,1))</f>
        <v/>
      </c>
      <c r="J952" s="11">
        <f>IF(A952="","",F952+H952-I952)</f>
        <v/>
      </c>
      <c r="K952">
        <f>IF(A952="","",IFERROR(IF(B952="",NA(),MATCH(B952,Products!$B$5:$B$204,0)),IFERROR(MATCH(A952,Products!$A$5:$A$204,0),"")))</f>
        <v/>
      </c>
      <c r="L952">
        <f>IF(A952="","",IF(K952="","⚠ not in Products",INDEX(Products!$A$5:$A$204,K952)))</f>
        <v/>
      </c>
      <c r="M952" s="11">
        <f>IF(A952="","",J952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952+IFERROR(INDEX(Settings!$D$5:$D$9,MATCH("Etsy",Settings!$A$5:$A$9,0)),0)*D952)</f>
        <v/>
      </c>
      <c r="N952" s="11">
        <f>IF(A952="","",IF(K952="",0,D952*INDEX(Products!$I$5:$I$204,K952)))</f>
        <v/>
      </c>
      <c r="O952" s="11">
        <f>IF(A952="","",IF(K952="",0,J952*INDEX(Products!$H$5:$H$204,K952)))</f>
        <v/>
      </c>
      <c r="P952" s="11">
        <f>IF(A952="","",J952-M952-N952-O952)</f>
        <v/>
      </c>
    </row>
    <row r="953">
      <c r="A953">
        <f>IFERROR(INDEX('Etsy Import'!$A:$CZ,953,Settings!$C$20)&amp;"","")</f>
        <v/>
      </c>
      <c r="B953">
        <f>IFERROR(INDEX('Etsy Import'!$A:$CZ,953,Settings!$C$21)&amp;"","")</f>
        <v/>
      </c>
      <c r="C953">
        <f>IFERROR(INDEX('Etsy Import'!$A:$CZ,953,Settings!$C$22)&amp;"","")</f>
        <v/>
      </c>
      <c r="D953">
        <f>IF(A953="","",IFERROR(VALUE(SUBSTITUTE(SUBSTITUTE(INDEX('Etsy Import'!$A:$CZ,953,Settings!$C$23)&amp;"","$",""),",","")),0))</f>
        <v/>
      </c>
      <c r="E953" s="11">
        <f>IF(A953="","",IFERROR(VALUE(SUBSTITUTE(SUBSTITUTE(INDEX('Etsy Import'!$A:$CZ,953,Settings!$C$24)&amp;"","$",""),",","")),0))</f>
        <v/>
      </c>
      <c r="F953" s="11">
        <f>IF(A953="","",D953*E953)</f>
        <v/>
      </c>
      <c r="G953">
        <f>IF(A953="","",IF(C953="",1,COUNTIF($C$2:$C$1501,C953)))</f>
        <v/>
      </c>
      <c r="H953" s="11">
        <f>IF(A953="","",IFERROR(VALUE(SUBSTITUTE(SUBSTITUTE(INDEX('Etsy Import'!$A:$CZ,953,Settings!$C$25)&amp;"","$",""),",","")),0)/IF(Settings!$B$27="Yes",G953,1))</f>
        <v/>
      </c>
      <c r="I953" s="11">
        <f>IF(A953="","",IFERROR(VALUE(SUBSTITUTE(SUBSTITUTE(INDEX('Etsy Import'!$A:$CZ,953,Settings!$C$26)&amp;"","$",""),",","")),0)/IF(Settings!$B$27="Yes",G953,1))</f>
        <v/>
      </c>
      <c r="J953" s="11">
        <f>IF(A953="","",F953+H953-I953)</f>
        <v/>
      </c>
      <c r="K953">
        <f>IF(A953="","",IFERROR(IF(B953="",NA(),MATCH(B953,Products!$B$5:$B$204,0)),IFERROR(MATCH(A953,Products!$A$5:$A$204,0),"")))</f>
        <v/>
      </c>
      <c r="L953">
        <f>IF(A953="","",IF(K953="","⚠ not in Products",INDEX(Products!$A$5:$A$204,K953)))</f>
        <v/>
      </c>
      <c r="M953" s="11">
        <f>IF(A953="","",J953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953+IFERROR(INDEX(Settings!$D$5:$D$9,MATCH("Etsy",Settings!$A$5:$A$9,0)),0)*D953)</f>
        <v/>
      </c>
      <c r="N953" s="11">
        <f>IF(A953="","",IF(K953="",0,D953*INDEX(Products!$I$5:$I$204,K953)))</f>
        <v/>
      </c>
      <c r="O953" s="11">
        <f>IF(A953="","",IF(K953="",0,J953*INDEX(Products!$H$5:$H$204,K953)))</f>
        <v/>
      </c>
      <c r="P953" s="11">
        <f>IF(A953="","",J953-M953-N953-O953)</f>
        <v/>
      </c>
    </row>
    <row r="954">
      <c r="A954">
        <f>IFERROR(INDEX('Etsy Import'!$A:$CZ,954,Settings!$C$20)&amp;"","")</f>
        <v/>
      </c>
      <c r="B954">
        <f>IFERROR(INDEX('Etsy Import'!$A:$CZ,954,Settings!$C$21)&amp;"","")</f>
        <v/>
      </c>
      <c r="C954">
        <f>IFERROR(INDEX('Etsy Import'!$A:$CZ,954,Settings!$C$22)&amp;"","")</f>
        <v/>
      </c>
      <c r="D954">
        <f>IF(A954="","",IFERROR(VALUE(SUBSTITUTE(SUBSTITUTE(INDEX('Etsy Import'!$A:$CZ,954,Settings!$C$23)&amp;"","$",""),",","")),0))</f>
        <v/>
      </c>
      <c r="E954" s="11">
        <f>IF(A954="","",IFERROR(VALUE(SUBSTITUTE(SUBSTITUTE(INDEX('Etsy Import'!$A:$CZ,954,Settings!$C$24)&amp;"","$",""),",","")),0))</f>
        <v/>
      </c>
      <c r="F954" s="11">
        <f>IF(A954="","",D954*E954)</f>
        <v/>
      </c>
      <c r="G954">
        <f>IF(A954="","",IF(C954="",1,COUNTIF($C$2:$C$1501,C954)))</f>
        <v/>
      </c>
      <c r="H954" s="11">
        <f>IF(A954="","",IFERROR(VALUE(SUBSTITUTE(SUBSTITUTE(INDEX('Etsy Import'!$A:$CZ,954,Settings!$C$25)&amp;"","$",""),",","")),0)/IF(Settings!$B$27="Yes",G954,1))</f>
        <v/>
      </c>
      <c r="I954" s="11">
        <f>IF(A954="","",IFERROR(VALUE(SUBSTITUTE(SUBSTITUTE(INDEX('Etsy Import'!$A:$CZ,954,Settings!$C$26)&amp;"","$",""),",","")),0)/IF(Settings!$B$27="Yes",G954,1))</f>
        <v/>
      </c>
      <c r="J954" s="11">
        <f>IF(A954="","",F954+H954-I954)</f>
        <v/>
      </c>
      <c r="K954">
        <f>IF(A954="","",IFERROR(IF(B954="",NA(),MATCH(B954,Products!$B$5:$B$204,0)),IFERROR(MATCH(A954,Products!$A$5:$A$204,0),"")))</f>
        <v/>
      </c>
      <c r="L954">
        <f>IF(A954="","",IF(K954="","⚠ not in Products",INDEX(Products!$A$5:$A$204,K954)))</f>
        <v/>
      </c>
      <c r="M954" s="11">
        <f>IF(A954="","",J954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954+IFERROR(INDEX(Settings!$D$5:$D$9,MATCH("Etsy",Settings!$A$5:$A$9,0)),0)*D954)</f>
        <v/>
      </c>
      <c r="N954" s="11">
        <f>IF(A954="","",IF(K954="",0,D954*INDEX(Products!$I$5:$I$204,K954)))</f>
        <v/>
      </c>
      <c r="O954" s="11">
        <f>IF(A954="","",IF(K954="",0,J954*INDEX(Products!$H$5:$H$204,K954)))</f>
        <v/>
      </c>
      <c r="P954" s="11">
        <f>IF(A954="","",J954-M954-N954-O954)</f>
        <v/>
      </c>
    </row>
    <row r="955">
      <c r="A955">
        <f>IFERROR(INDEX('Etsy Import'!$A:$CZ,955,Settings!$C$20)&amp;"","")</f>
        <v/>
      </c>
      <c r="B955">
        <f>IFERROR(INDEX('Etsy Import'!$A:$CZ,955,Settings!$C$21)&amp;"","")</f>
        <v/>
      </c>
      <c r="C955">
        <f>IFERROR(INDEX('Etsy Import'!$A:$CZ,955,Settings!$C$22)&amp;"","")</f>
        <v/>
      </c>
      <c r="D955">
        <f>IF(A955="","",IFERROR(VALUE(SUBSTITUTE(SUBSTITUTE(INDEX('Etsy Import'!$A:$CZ,955,Settings!$C$23)&amp;"","$",""),",","")),0))</f>
        <v/>
      </c>
      <c r="E955" s="11">
        <f>IF(A955="","",IFERROR(VALUE(SUBSTITUTE(SUBSTITUTE(INDEX('Etsy Import'!$A:$CZ,955,Settings!$C$24)&amp;"","$",""),",","")),0))</f>
        <v/>
      </c>
      <c r="F955" s="11">
        <f>IF(A955="","",D955*E955)</f>
        <v/>
      </c>
      <c r="G955">
        <f>IF(A955="","",IF(C955="",1,COUNTIF($C$2:$C$1501,C955)))</f>
        <v/>
      </c>
      <c r="H955" s="11">
        <f>IF(A955="","",IFERROR(VALUE(SUBSTITUTE(SUBSTITUTE(INDEX('Etsy Import'!$A:$CZ,955,Settings!$C$25)&amp;"","$",""),",","")),0)/IF(Settings!$B$27="Yes",G955,1))</f>
        <v/>
      </c>
      <c r="I955" s="11">
        <f>IF(A955="","",IFERROR(VALUE(SUBSTITUTE(SUBSTITUTE(INDEX('Etsy Import'!$A:$CZ,955,Settings!$C$26)&amp;"","$",""),",","")),0)/IF(Settings!$B$27="Yes",G955,1))</f>
        <v/>
      </c>
      <c r="J955" s="11">
        <f>IF(A955="","",F955+H955-I955)</f>
        <v/>
      </c>
      <c r="K955">
        <f>IF(A955="","",IFERROR(IF(B955="",NA(),MATCH(B955,Products!$B$5:$B$204,0)),IFERROR(MATCH(A955,Products!$A$5:$A$204,0),"")))</f>
        <v/>
      </c>
      <c r="L955">
        <f>IF(A955="","",IF(K955="","⚠ not in Products",INDEX(Products!$A$5:$A$204,K955)))</f>
        <v/>
      </c>
      <c r="M955" s="11">
        <f>IF(A955="","",J955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955+IFERROR(INDEX(Settings!$D$5:$D$9,MATCH("Etsy",Settings!$A$5:$A$9,0)),0)*D955)</f>
        <v/>
      </c>
      <c r="N955" s="11">
        <f>IF(A955="","",IF(K955="",0,D955*INDEX(Products!$I$5:$I$204,K955)))</f>
        <v/>
      </c>
      <c r="O955" s="11">
        <f>IF(A955="","",IF(K955="",0,J955*INDEX(Products!$H$5:$H$204,K955)))</f>
        <v/>
      </c>
      <c r="P955" s="11">
        <f>IF(A955="","",J955-M955-N955-O955)</f>
        <v/>
      </c>
    </row>
    <row r="956">
      <c r="A956">
        <f>IFERROR(INDEX('Etsy Import'!$A:$CZ,956,Settings!$C$20)&amp;"","")</f>
        <v/>
      </c>
      <c r="B956">
        <f>IFERROR(INDEX('Etsy Import'!$A:$CZ,956,Settings!$C$21)&amp;"","")</f>
        <v/>
      </c>
      <c r="C956">
        <f>IFERROR(INDEX('Etsy Import'!$A:$CZ,956,Settings!$C$22)&amp;"","")</f>
        <v/>
      </c>
      <c r="D956">
        <f>IF(A956="","",IFERROR(VALUE(SUBSTITUTE(SUBSTITUTE(INDEX('Etsy Import'!$A:$CZ,956,Settings!$C$23)&amp;"","$",""),",","")),0))</f>
        <v/>
      </c>
      <c r="E956" s="11">
        <f>IF(A956="","",IFERROR(VALUE(SUBSTITUTE(SUBSTITUTE(INDEX('Etsy Import'!$A:$CZ,956,Settings!$C$24)&amp;"","$",""),",","")),0))</f>
        <v/>
      </c>
      <c r="F956" s="11">
        <f>IF(A956="","",D956*E956)</f>
        <v/>
      </c>
      <c r="G956">
        <f>IF(A956="","",IF(C956="",1,COUNTIF($C$2:$C$1501,C956)))</f>
        <v/>
      </c>
      <c r="H956" s="11">
        <f>IF(A956="","",IFERROR(VALUE(SUBSTITUTE(SUBSTITUTE(INDEX('Etsy Import'!$A:$CZ,956,Settings!$C$25)&amp;"","$",""),",","")),0)/IF(Settings!$B$27="Yes",G956,1))</f>
        <v/>
      </c>
      <c r="I956" s="11">
        <f>IF(A956="","",IFERROR(VALUE(SUBSTITUTE(SUBSTITUTE(INDEX('Etsy Import'!$A:$CZ,956,Settings!$C$26)&amp;"","$",""),",","")),0)/IF(Settings!$B$27="Yes",G956,1))</f>
        <v/>
      </c>
      <c r="J956" s="11">
        <f>IF(A956="","",F956+H956-I956)</f>
        <v/>
      </c>
      <c r="K956">
        <f>IF(A956="","",IFERROR(IF(B956="",NA(),MATCH(B956,Products!$B$5:$B$204,0)),IFERROR(MATCH(A956,Products!$A$5:$A$204,0),"")))</f>
        <v/>
      </c>
      <c r="L956">
        <f>IF(A956="","",IF(K956="","⚠ not in Products",INDEX(Products!$A$5:$A$204,K956)))</f>
        <v/>
      </c>
      <c r="M956" s="11">
        <f>IF(A956="","",J956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956+IFERROR(INDEX(Settings!$D$5:$D$9,MATCH("Etsy",Settings!$A$5:$A$9,0)),0)*D956)</f>
        <v/>
      </c>
      <c r="N956" s="11">
        <f>IF(A956="","",IF(K956="",0,D956*INDEX(Products!$I$5:$I$204,K956)))</f>
        <v/>
      </c>
      <c r="O956" s="11">
        <f>IF(A956="","",IF(K956="",0,J956*INDEX(Products!$H$5:$H$204,K956)))</f>
        <v/>
      </c>
      <c r="P956" s="11">
        <f>IF(A956="","",J956-M956-N956-O956)</f>
        <v/>
      </c>
    </row>
    <row r="957">
      <c r="A957">
        <f>IFERROR(INDEX('Etsy Import'!$A:$CZ,957,Settings!$C$20)&amp;"","")</f>
        <v/>
      </c>
      <c r="B957">
        <f>IFERROR(INDEX('Etsy Import'!$A:$CZ,957,Settings!$C$21)&amp;"","")</f>
        <v/>
      </c>
      <c r="C957">
        <f>IFERROR(INDEX('Etsy Import'!$A:$CZ,957,Settings!$C$22)&amp;"","")</f>
        <v/>
      </c>
      <c r="D957">
        <f>IF(A957="","",IFERROR(VALUE(SUBSTITUTE(SUBSTITUTE(INDEX('Etsy Import'!$A:$CZ,957,Settings!$C$23)&amp;"","$",""),",","")),0))</f>
        <v/>
      </c>
      <c r="E957" s="11">
        <f>IF(A957="","",IFERROR(VALUE(SUBSTITUTE(SUBSTITUTE(INDEX('Etsy Import'!$A:$CZ,957,Settings!$C$24)&amp;"","$",""),",","")),0))</f>
        <v/>
      </c>
      <c r="F957" s="11">
        <f>IF(A957="","",D957*E957)</f>
        <v/>
      </c>
      <c r="G957">
        <f>IF(A957="","",IF(C957="",1,COUNTIF($C$2:$C$1501,C957)))</f>
        <v/>
      </c>
      <c r="H957" s="11">
        <f>IF(A957="","",IFERROR(VALUE(SUBSTITUTE(SUBSTITUTE(INDEX('Etsy Import'!$A:$CZ,957,Settings!$C$25)&amp;"","$",""),",","")),0)/IF(Settings!$B$27="Yes",G957,1))</f>
        <v/>
      </c>
      <c r="I957" s="11">
        <f>IF(A957="","",IFERROR(VALUE(SUBSTITUTE(SUBSTITUTE(INDEX('Etsy Import'!$A:$CZ,957,Settings!$C$26)&amp;"","$",""),",","")),0)/IF(Settings!$B$27="Yes",G957,1))</f>
        <v/>
      </c>
      <c r="J957" s="11">
        <f>IF(A957="","",F957+H957-I957)</f>
        <v/>
      </c>
      <c r="K957">
        <f>IF(A957="","",IFERROR(IF(B957="",NA(),MATCH(B957,Products!$B$5:$B$204,0)),IFERROR(MATCH(A957,Products!$A$5:$A$204,0),"")))</f>
        <v/>
      </c>
      <c r="L957">
        <f>IF(A957="","",IF(K957="","⚠ not in Products",INDEX(Products!$A$5:$A$204,K957)))</f>
        <v/>
      </c>
      <c r="M957" s="11">
        <f>IF(A957="","",J957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957+IFERROR(INDEX(Settings!$D$5:$D$9,MATCH("Etsy",Settings!$A$5:$A$9,0)),0)*D957)</f>
        <v/>
      </c>
      <c r="N957" s="11">
        <f>IF(A957="","",IF(K957="",0,D957*INDEX(Products!$I$5:$I$204,K957)))</f>
        <v/>
      </c>
      <c r="O957" s="11">
        <f>IF(A957="","",IF(K957="",0,J957*INDEX(Products!$H$5:$H$204,K957)))</f>
        <v/>
      </c>
      <c r="P957" s="11">
        <f>IF(A957="","",J957-M957-N957-O957)</f>
        <v/>
      </c>
    </row>
    <row r="958">
      <c r="A958">
        <f>IFERROR(INDEX('Etsy Import'!$A:$CZ,958,Settings!$C$20)&amp;"","")</f>
        <v/>
      </c>
      <c r="B958">
        <f>IFERROR(INDEX('Etsy Import'!$A:$CZ,958,Settings!$C$21)&amp;"","")</f>
        <v/>
      </c>
      <c r="C958">
        <f>IFERROR(INDEX('Etsy Import'!$A:$CZ,958,Settings!$C$22)&amp;"","")</f>
        <v/>
      </c>
      <c r="D958">
        <f>IF(A958="","",IFERROR(VALUE(SUBSTITUTE(SUBSTITUTE(INDEX('Etsy Import'!$A:$CZ,958,Settings!$C$23)&amp;"","$",""),",","")),0))</f>
        <v/>
      </c>
      <c r="E958" s="11">
        <f>IF(A958="","",IFERROR(VALUE(SUBSTITUTE(SUBSTITUTE(INDEX('Etsy Import'!$A:$CZ,958,Settings!$C$24)&amp;"","$",""),",","")),0))</f>
        <v/>
      </c>
      <c r="F958" s="11">
        <f>IF(A958="","",D958*E958)</f>
        <v/>
      </c>
      <c r="G958">
        <f>IF(A958="","",IF(C958="",1,COUNTIF($C$2:$C$1501,C958)))</f>
        <v/>
      </c>
      <c r="H958" s="11">
        <f>IF(A958="","",IFERROR(VALUE(SUBSTITUTE(SUBSTITUTE(INDEX('Etsy Import'!$A:$CZ,958,Settings!$C$25)&amp;"","$",""),",","")),0)/IF(Settings!$B$27="Yes",G958,1))</f>
        <v/>
      </c>
      <c r="I958" s="11">
        <f>IF(A958="","",IFERROR(VALUE(SUBSTITUTE(SUBSTITUTE(INDEX('Etsy Import'!$A:$CZ,958,Settings!$C$26)&amp;"","$",""),",","")),0)/IF(Settings!$B$27="Yes",G958,1))</f>
        <v/>
      </c>
      <c r="J958" s="11">
        <f>IF(A958="","",F958+H958-I958)</f>
        <v/>
      </c>
      <c r="K958">
        <f>IF(A958="","",IFERROR(IF(B958="",NA(),MATCH(B958,Products!$B$5:$B$204,0)),IFERROR(MATCH(A958,Products!$A$5:$A$204,0),"")))</f>
        <v/>
      </c>
      <c r="L958">
        <f>IF(A958="","",IF(K958="","⚠ not in Products",INDEX(Products!$A$5:$A$204,K958)))</f>
        <v/>
      </c>
      <c r="M958" s="11">
        <f>IF(A958="","",J958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958+IFERROR(INDEX(Settings!$D$5:$D$9,MATCH("Etsy",Settings!$A$5:$A$9,0)),0)*D958)</f>
        <v/>
      </c>
      <c r="N958" s="11">
        <f>IF(A958="","",IF(K958="",0,D958*INDEX(Products!$I$5:$I$204,K958)))</f>
        <v/>
      </c>
      <c r="O958" s="11">
        <f>IF(A958="","",IF(K958="",0,J958*INDEX(Products!$H$5:$H$204,K958)))</f>
        <v/>
      </c>
      <c r="P958" s="11">
        <f>IF(A958="","",J958-M958-N958-O958)</f>
        <v/>
      </c>
    </row>
    <row r="959">
      <c r="A959">
        <f>IFERROR(INDEX('Etsy Import'!$A:$CZ,959,Settings!$C$20)&amp;"","")</f>
        <v/>
      </c>
      <c r="B959">
        <f>IFERROR(INDEX('Etsy Import'!$A:$CZ,959,Settings!$C$21)&amp;"","")</f>
        <v/>
      </c>
      <c r="C959">
        <f>IFERROR(INDEX('Etsy Import'!$A:$CZ,959,Settings!$C$22)&amp;"","")</f>
        <v/>
      </c>
      <c r="D959">
        <f>IF(A959="","",IFERROR(VALUE(SUBSTITUTE(SUBSTITUTE(INDEX('Etsy Import'!$A:$CZ,959,Settings!$C$23)&amp;"","$",""),",","")),0))</f>
        <v/>
      </c>
      <c r="E959" s="11">
        <f>IF(A959="","",IFERROR(VALUE(SUBSTITUTE(SUBSTITUTE(INDEX('Etsy Import'!$A:$CZ,959,Settings!$C$24)&amp;"","$",""),",","")),0))</f>
        <v/>
      </c>
      <c r="F959" s="11">
        <f>IF(A959="","",D959*E959)</f>
        <v/>
      </c>
      <c r="G959">
        <f>IF(A959="","",IF(C959="",1,COUNTIF($C$2:$C$1501,C959)))</f>
        <v/>
      </c>
      <c r="H959" s="11">
        <f>IF(A959="","",IFERROR(VALUE(SUBSTITUTE(SUBSTITUTE(INDEX('Etsy Import'!$A:$CZ,959,Settings!$C$25)&amp;"","$",""),",","")),0)/IF(Settings!$B$27="Yes",G959,1))</f>
        <v/>
      </c>
      <c r="I959" s="11">
        <f>IF(A959="","",IFERROR(VALUE(SUBSTITUTE(SUBSTITUTE(INDEX('Etsy Import'!$A:$CZ,959,Settings!$C$26)&amp;"","$",""),",","")),0)/IF(Settings!$B$27="Yes",G959,1))</f>
        <v/>
      </c>
      <c r="J959" s="11">
        <f>IF(A959="","",F959+H959-I959)</f>
        <v/>
      </c>
      <c r="K959">
        <f>IF(A959="","",IFERROR(IF(B959="",NA(),MATCH(B959,Products!$B$5:$B$204,0)),IFERROR(MATCH(A959,Products!$A$5:$A$204,0),"")))</f>
        <v/>
      </c>
      <c r="L959">
        <f>IF(A959="","",IF(K959="","⚠ not in Products",INDEX(Products!$A$5:$A$204,K959)))</f>
        <v/>
      </c>
      <c r="M959" s="11">
        <f>IF(A959="","",J959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959+IFERROR(INDEX(Settings!$D$5:$D$9,MATCH("Etsy",Settings!$A$5:$A$9,0)),0)*D959)</f>
        <v/>
      </c>
      <c r="N959" s="11">
        <f>IF(A959="","",IF(K959="",0,D959*INDEX(Products!$I$5:$I$204,K959)))</f>
        <v/>
      </c>
      <c r="O959" s="11">
        <f>IF(A959="","",IF(K959="",0,J959*INDEX(Products!$H$5:$H$204,K959)))</f>
        <v/>
      </c>
      <c r="P959" s="11">
        <f>IF(A959="","",J959-M959-N959-O959)</f>
        <v/>
      </c>
    </row>
    <row r="960">
      <c r="A960">
        <f>IFERROR(INDEX('Etsy Import'!$A:$CZ,960,Settings!$C$20)&amp;"","")</f>
        <v/>
      </c>
      <c r="B960">
        <f>IFERROR(INDEX('Etsy Import'!$A:$CZ,960,Settings!$C$21)&amp;"","")</f>
        <v/>
      </c>
      <c r="C960">
        <f>IFERROR(INDEX('Etsy Import'!$A:$CZ,960,Settings!$C$22)&amp;"","")</f>
        <v/>
      </c>
      <c r="D960">
        <f>IF(A960="","",IFERROR(VALUE(SUBSTITUTE(SUBSTITUTE(INDEX('Etsy Import'!$A:$CZ,960,Settings!$C$23)&amp;"","$",""),",","")),0))</f>
        <v/>
      </c>
      <c r="E960" s="11">
        <f>IF(A960="","",IFERROR(VALUE(SUBSTITUTE(SUBSTITUTE(INDEX('Etsy Import'!$A:$CZ,960,Settings!$C$24)&amp;"","$",""),",","")),0))</f>
        <v/>
      </c>
      <c r="F960" s="11">
        <f>IF(A960="","",D960*E960)</f>
        <v/>
      </c>
      <c r="G960">
        <f>IF(A960="","",IF(C960="",1,COUNTIF($C$2:$C$1501,C960)))</f>
        <v/>
      </c>
      <c r="H960" s="11">
        <f>IF(A960="","",IFERROR(VALUE(SUBSTITUTE(SUBSTITUTE(INDEX('Etsy Import'!$A:$CZ,960,Settings!$C$25)&amp;"","$",""),",","")),0)/IF(Settings!$B$27="Yes",G960,1))</f>
        <v/>
      </c>
      <c r="I960" s="11">
        <f>IF(A960="","",IFERROR(VALUE(SUBSTITUTE(SUBSTITUTE(INDEX('Etsy Import'!$A:$CZ,960,Settings!$C$26)&amp;"","$",""),",","")),0)/IF(Settings!$B$27="Yes",G960,1))</f>
        <v/>
      </c>
      <c r="J960" s="11">
        <f>IF(A960="","",F960+H960-I960)</f>
        <v/>
      </c>
      <c r="K960">
        <f>IF(A960="","",IFERROR(IF(B960="",NA(),MATCH(B960,Products!$B$5:$B$204,0)),IFERROR(MATCH(A960,Products!$A$5:$A$204,0),"")))</f>
        <v/>
      </c>
      <c r="L960">
        <f>IF(A960="","",IF(K960="","⚠ not in Products",INDEX(Products!$A$5:$A$204,K960)))</f>
        <v/>
      </c>
      <c r="M960" s="11">
        <f>IF(A960="","",J960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960+IFERROR(INDEX(Settings!$D$5:$D$9,MATCH("Etsy",Settings!$A$5:$A$9,0)),0)*D960)</f>
        <v/>
      </c>
      <c r="N960" s="11">
        <f>IF(A960="","",IF(K960="",0,D960*INDEX(Products!$I$5:$I$204,K960)))</f>
        <v/>
      </c>
      <c r="O960" s="11">
        <f>IF(A960="","",IF(K960="",0,J960*INDEX(Products!$H$5:$H$204,K960)))</f>
        <v/>
      </c>
      <c r="P960" s="11">
        <f>IF(A960="","",J960-M960-N960-O960)</f>
        <v/>
      </c>
    </row>
    <row r="961">
      <c r="A961">
        <f>IFERROR(INDEX('Etsy Import'!$A:$CZ,961,Settings!$C$20)&amp;"","")</f>
        <v/>
      </c>
      <c r="B961">
        <f>IFERROR(INDEX('Etsy Import'!$A:$CZ,961,Settings!$C$21)&amp;"","")</f>
        <v/>
      </c>
      <c r="C961">
        <f>IFERROR(INDEX('Etsy Import'!$A:$CZ,961,Settings!$C$22)&amp;"","")</f>
        <v/>
      </c>
      <c r="D961">
        <f>IF(A961="","",IFERROR(VALUE(SUBSTITUTE(SUBSTITUTE(INDEX('Etsy Import'!$A:$CZ,961,Settings!$C$23)&amp;"","$",""),",","")),0))</f>
        <v/>
      </c>
      <c r="E961" s="11">
        <f>IF(A961="","",IFERROR(VALUE(SUBSTITUTE(SUBSTITUTE(INDEX('Etsy Import'!$A:$CZ,961,Settings!$C$24)&amp;"","$",""),",","")),0))</f>
        <v/>
      </c>
      <c r="F961" s="11">
        <f>IF(A961="","",D961*E961)</f>
        <v/>
      </c>
      <c r="G961">
        <f>IF(A961="","",IF(C961="",1,COUNTIF($C$2:$C$1501,C961)))</f>
        <v/>
      </c>
      <c r="H961" s="11">
        <f>IF(A961="","",IFERROR(VALUE(SUBSTITUTE(SUBSTITUTE(INDEX('Etsy Import'!$A:$CZ,961,Settings!$C$25)&amp;"","$",""),",","")),0)/IF(Settings!$B$27="Yes",G961,1))</f>
        <v/>
      </c>
      <c r="I961" s="11">
        <f>IF(A961="","",IFERROR(VALUE(SUBSTITUTE(SUBSTITUTE(INDEX('Etsy Import'!$A:$CZ,961,Settings!$C$26)&amp;"","$",""),",","")),0)/IF(Settings!$B$27="Yes",G961,1))</f>
        <v/>
      </c>
      <c r="J961" s="11">
        <f>IF(A961="","",F961+H961-I961)</f>
        <v/>
      </c>
      <c r="K961">
        <f>IF(A961="","",IFERROR(IF(B961="",NA(),MATCH(B961,Products!$B$5:$B$204,0)),IFERROR(MATCH(A961,Products!$A$5:$A$204,0),"")))</f>
        <v/>
      </c>
      <c r="L961">
        <f>IF(A961="","",IF(K961="","⚠ not in Products",INDEX(Products!$A$5:$A$204,K961)))</f>
        <v/>
      </c>
      <c r="M961" s="11">
        <f>IF(A961="","",J961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961+IFERROR(INDEX(Settings!$D$5:$D$9,MATCH("Etsy",Settings!$A$5:$A$9,0)),0)*D961)</f>
        <v/>
      </c>
      <c r="N961" s="11">
        <f>IF(A961="","",IF(K961="",0,D961*INDEX(Products!$I$5:$I$204,K961)))</f>
        <v/>
      </c>
      <c r="O961" s="11">
        <f>IF(A961="","",IF(K961="",0,J961*INDEX(Products!$H$5:$H$204,K961)))</f>
        <v/>
      </c>
      <c r="P961" s="11">
        <f>IF(A961="","",J961-M961-N961-O961)</f>
        <v/>
      </c>
    </row>
    <row r="962">
      <c r="A962">
        <f>IFERROR(INDEX('Etsy Import'!$A:$CZ,962,Settings!$C$20)&amp;"","")</f>
        <v/>
      </c>
      <c r="B962">
        <f>IFERROR(INDEX('Etsy Import'!$A:$CZ,962,Settings!$C$21)&amp;"","")</f>
        <v/>
      </c>
      <c r="C962">
        <f>IFERROR(INDEX('Etsy Import'!$A:$CZ,962,Settings!$C$22)&amp;"","")</f>
        <v/>
      </c>
      <c r="D962">
        <f>IF(A962="","",IFERROR(VALUE(SUBSTITUTE(SUBSTITUTE(INDEX('Etsy Import'!$A:$CZ,962,Settings!$C$23)&amp;"","$",""),",","")),0))</f>
        <v/>
      </c>
      <c r="E962" s="11">
        <f>IF(A962="","",IFERROR(VALUE(SUBSTITUTE(SUBSTITUTE(INDEX('Etsy Import'!$A:$CZ,962,Settings!$C$24)&amp;"","$",""),",","")),0))</f>
        <v/>
      </c>
      <c r="F962" s="11">
        <f>IF(A962="","",D962*E962)</f>
        <v/>
      </c>
      <c r="G962">
        <f>IF(A962="","",IF(C962="",1,COUNTIF($C$2:$C$1501,C962)))</f>
        <v/>
      </c>
      <c r="H962" s="11">
        <f>IF(A962="","",IFERROR(VALUE(SUBSTITUTE(SUBSTITUTE(INDEX('Etsy Import'!$A:$CZ,962,Settings!$C$25)&amp;"","$",""),",","")),0)/IF(Settings!$B$27="Yes",G962,1))</f>
        <v/>
      </c>
      <c r="I962" s="11">
        <f>IF(A962="","",IFERROR(VALUE(SUBSTITUTE(SUBSTITUTE(INDEX('Etsy Import'!$A:$CZ,962,Settings!$C$26)&amp;"","$",""),",","")),0)/IF(Settings!$B$27="Yes",G962,1))</f>
        <v/>
      </c>
      <c r="J962" s="11">
        <f>IF(A962="","",F962+H962-I962)</f>
        <v/>
      </c>
      <c r="K962">
        <f>IF(A962="","",IFERROR(IF(B962="",NA(),MATCH(B962,Products!$B$5:$B$204,0)),IFERROR(MATCH(A962,Products!$A$5:$A$204,0),"")))</f>
        <v/>
      </c>
      <c r="L962">
        <f>IF(A962="","",IF(K962="","⚠ not in Products",INDEX(Products!$A$5:$A$204,K962)))</f>
        <v/>
      </c>
      <c r="M962" s="11">
        <f>IF(A962="","",J962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962+IFERROR(INDEX(Settings!$D$5:$D$9,MATCH("Etsy",Settings!$A$5:$A$9,0)),0)*D962)</f>
        <v/>
      </c>
      <c r="N962" s="11">
        <f>IF(A962="","",IF(K962="",0,D962*INDEX(Products!$I$5:$I$204,K962)))</f>
        <v/>
      </c>
      <c r="O962" s="11">
        <f>IF(A962="","",IF(K962="",0,J962*INDEX(Products!$H$5:$H$204,K962)))</f>
        <v/>
      </c>
      <c r="P962" s="11">
        <f>IF(A962="","",J962-M962-N962-O962)</f>
        <v/>
      </c>
    </row>
    <row r="963">
      <c r="A963">
        <f>IFERROR(INDEX('Etsy Import'!$A:$CZ,963,Settings!$C$20)&amp;"","")</f>
        <v/>
      </c>
      <c r="B963">
        <f>IFERROR(INDEX('Etsy Import'!$A:$CZ,963,Settings!$C$21)&amp;"","")</f>
        <v/>
      </c>
      <c r="C963">
        <f>IFERROR(INDEX('Etsy Import'!$A:$CZ,963,Settings!$C$22)&amp;"","")</f>
        <v/>
      </c>
      <c r="D963">
        <f>IF(A963="","",IFERROR(VALUE(SUBSTITUTE(SUBSTITUTE(INDEX('Etsy Import'!$A:$CZ,963,Settings!$C$23)&amp;"","$",""),",","")),0))</f>
        <v/>
      </c>
      <c r="E963" s="11">
        <f>IF(A963="","",IFERROR(VALUE(SUBSTITUTE(SUBSTITUTE(INDEX('Etsy Import'!$A:$CZ,963,Settings!$C$24)&amp;"","$",""),",","")),0))</f>
        <v/>
      </c>
      <c r="F963" s="11">
        <f>IF(A963="","",D963*E963)</f>
        <v/>
      </c>
      <c r="G963">
        <f>IF(A963="","",IF(C963="",1,COUNTIF($C$2:$C$1501,C963)))</f>
        <v/>
      </c>
      <c r="H963" s="11">
        <f>IF(A963="","",IFERROR(VALUE(SUBSTITUTE(SUBSTITUTE(INDEX('Etsy Import'!$A:$CZ,963,Settings!$C$25)&amp;"","$",""),",","")),0)/IF(Settings!$B$27="Yes",G963,1))</f>
        <v/>
      </c>
      <c r="I963" s="11">
        <f>IF(A963="","",IFERROR(VALUE(SUBSTITUTE(SUBSTITUTE(INDEX('Etsy Import'!$A:$CZ,963,Settings!$C$26)&amp;"","$",""),",","")),0)/IF(Settings!$B$27="Yes",G963,1))</f>
        <v/>
      </c>
      <c r="J963" s="11">
        <f>IF(A963="","",F963+H963-I963)</f>
        <v/>
      </c>
      <c r="K963">
        <f>IF(A963="","",IFERROR(IF(B963="",NA(),MATCH(B963,Products!$B$5:$B$204,0)),IFERROR(MATCH(A963,Products!$A$5:$A$204,0),"")))</f>
        <v/>
      </c>
      <c r="L963">
        <f>IF(A963="","",IF(K963="","⚠ not in Products",INDEX(Products!$A$5:$A$204,K963)))</f>
        <v/>
      </c>
      <c r="M963" s="11">
        <f>IF(A963="","",J963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963+IFERROR(INDEX(Settings!$D$5:$D$9,MATCH("Etsy",Settings!$A$5:$A$9,0)),0)*D963)</f>
        <v/>
      </c>
      <c r="N963" s="11">
        <f>IF(A963="","",IF(K963="",0,D963*INDEX(Products!$I$5:$I$204,K963)))</f>
        <v/>
      </c>
      <c r="O963" s="11">
        <f>IF(A963="","",IF(K963="",0,J963*INDEX(Products!$H$5:$H$204,K963)))</f>
        <v/>
      </c>
      <c r="P963" s="11">
        <f>IF(A963="","",J963-M963-N963-O963)</f>
        <v/>
      </c>
    </row>
    <row r="964">
      <c r="A964">
        <f>IFERROR(INDEX('Etsy Import'!$A:$CZ,964,Settings!$C$20)&amp;"","")</f>
        <v/>
      </c>
      <c r="B964">
        <f>IFERROR(INDEX('Etsy Import'!$A:$CZ,964,Settings!$C$21)&amp;"","")</f>
        <v/>
      </c>
      <c r="C964">
        <f>IFERROR(INDEX('Etsy Import'!$A:$CZ,964,Settings!$C$22)&amp;"","")</f>
        <v/>
      </c>
      <c r="D964">
        <f>IF(A964="","",IFERROR(VALUE(SUBSTITUTE(SUBSTITUTE(INDEX('Etsy Import'!$A:$CZ,964,Settings!$C$23)&amp;"","$",""),",","")),0))</f>
        <v/>
      </c>
      <c r="E964" s="11">
        <f>IF(A964="","",IFERROR(VALUE(SUBSTITUTE(SUBSTITUTE(INDEX('Etsy Import'!$A:$CZ,964,Settings!$C$24)&amp;"","$",""),",","")),0))</f>
        <v/>
      </c>
      <c r="F964" s="11">
        <f>IF(A964="","",D964*E964)</f>
        <v/>
      </c>
      <c r="G964">
        <f>IF(A964="","",IF(C964="",1,COUNTIF($C$2:$C$1501,C964)))</f>
        <v/>
      </c>
      <c r="H964" s="11">
        <f>IF(A964="","",IFERROR(VALUE(SUBSTITUTE(SUBSTITUTE(INDEX('Etsy Import'!$A:$CZ,964,Settings!$C$25)&amp;"","$",""),",","")),0)/IF(Settings!$B$27="Yes",G964,1))</f>
        <v/>
      </c>
      <c r="I964" s="11">
        <f>IF(A964="","",IFERROR(VALUE(SUBSTITUTE(SUBSTITUTE(INDEX('Etsy Import'!$A:$CZ,964,Settings!$C$26)&amp;"","$",""),",","")),0)/IF(Settings!$B$27="Yes",G964,1))</f>
        <v/>
      </c>
      <c r="J964" s="11">
        <f>IF(A964="","",F964+H964-I964)</f>
        <v/>
      </c>
      <c r="K964">
        <f>IF(A964="","",IFERROR(IF(B964="",NA(),MATCH(B964,Products!$B$5:$B$204,0)),IFERROR(MATCH(A964,Products!$A$5:$A$204,0),"")))</f>
        <v/>
      </c>
      <c r="L964">
        <f>IF(A964="","",IF(K964="","⚠ not in Products",INDEX(Products!$A$5:$A$204,K964)))</f>
        <v/>
      </c>
      <c r="M964" s="11">
        <f>IF(A964="","",J964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964+IFERROR(INDEX(Settings!$D$5:$D$9,MATCH("Etsy",Settings!$A$5:$A$9,0)),0)*D964)</f>
        <v/>
      </c>
      <c r="N964" s="11">
        <f>IF(A964="","",IF(K964="",0,D964*INDEX(Products!$I$5:$I$204,K964)))</f>
        <v/>
      </c>
      <c r="O964" s="11">
        <f>IF(A964="","",IF(K964="",0,J964*INDEX(Products!$H$5:$H$204,K964)))</f>
        <v/>
      </c>
      <c r="P964" s="11">
        <f>IF(A964="","",J964-M964-N964-O964)</f>
        <v/>
      </c>
    </row>
    <row r="965">
      <c r="A965">
        <f>IFERROR(INDEX('Etsy Import'!$A:$CZ,965,Settings!$C$20)&amp;"","")</f>
        <v/>
      </c>
      <c r="B965">
        <f>IFERROR(INDEX('Etsy Import'!$A:$CZ,965,Settings!$C$21)&amp;"","")</f>
        <v/>
      </c>
      <c r="C965">
        <f>IFERROR(INDEX('Etsy Import'!$A:$CZ,965,Settings!$C$22)&amp;"","")</f>
        <v/>
      </c>
      <c r="D965">
        <f>IF(A965="","",IFERROR(VALUE(SUBSTITUTE(SUBSTITUTE(INDEX('Etsy Import'!$A:$CZ,965,Settings!$C$23)&amp;"","$",""),",","")),0))</f>
        <v/>
      </c>
      <c r="E965" s="11">
        <f>IF(A965="","",IFERROR(VALUE(SUBSTITUTE(SUBSTITUTE(INDEX('Etsy Import'!$A:$CZ,965,Settings!$C$24)&amp;"","$",""),",","")),0))</f>
        <v/>
      </c>
      <c r="F965" s="11">
        <f>IF(A965="","",D965*E965)</f>
        <v/>
      </c>
      <c r="G965">
        <f>IF(A965="","",IF(C965="",1,COUNTIF($C$2:$C$1501,C965)))</f>
        <v/>
      </c>
      <c r="H965" s="11">
        <f>IF(A965="","",IFERROR(VALUE(SUBSTITUTE(SUBSTITUTE(INDEX('Etsy Import'!$A:$CZ,965,Settings!$C$25)&amp;"","$",""),",","")),0)/IF(Settings!$B$27="Yes",G965,1))</f>
        <v/>
      </c>
      <c r="I965" s="11">
        <f>IF(A965="","",IFERROR(VALUE(SUBSTITUTE(SUBSTITUTE(INDEX('Etsy Import'!$A:$CZ,965,Settings!$C$26)&amp;"","$",""),",","")),0)/IF(Settings!$B$27="Yes",G965,1))</f>
        <v/>
      </c>
      <c r="J965" s="11">
        <f>IF(A965="","",F965+H965-I965)</f>
        <v/>
      </c>
      <c r="K965">
        <f>IF(A965="","",IFERROR(IF(B965="",NA(),MATCH(B965,Products!$B$5:$B$204,0)),IFERROR(MATCH(A965,Products!$A$5:$A$204,0),"")))</f>
        <v/>
      </c>
      <c r="L965">
        <f>IF(A965="","",IF(K965="","⚠ not in Products",INDEX(Products!$A$5:$A$204,K965)))</f>
        <v/>
      </c>
      <c r="M965" s="11">
        <f>IF(A965="","",J965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965+IFERROR(INDEX(Settings!$D$5:$D$9,MATCH("Etsy",Settings!$A$5:$A$9,0)),0)*D965)</f>
        <v/>
      </c>
      <c r="N965" s="11">
        <f>IF(A965="","",IF(K965="",0,D965*INDEX(Products!$I$5:$I$204,K965)))</f>
        <v/>
      </c>
      <c r="O965" s="11">
        <f>IF(A965="","",IF(K965="",0,J965*INDEX(Products!$H$5:$H$204,K965)))</f>
        <v/>
      </c>
      <c r="P965" s="11">
        <f>IF(A965="","",J965-M965-N965-O965)</f>
        <v/>
      </c>
    </row>
    <row r="966">
      <c r="A966">
        <f>IFERROR(INDEX('Etsy Import'!$A:$CZ,966,Settings!$C$20)&amp;"","")</f>
        <v/>
      </c>
      <c r="B966">
        <f>IFERROR(INDEX('Etsy Import'!$A:$CZ,966,Settings!$C$21)&amp;"","")</f>
        <v/>
      </c>
      <c r="C966">
        <f>IFERROR(INDEX('Etsy Import'!$A:$CZ,966,Settings!$C$22)&amp;"","")</f>
        <v/>
      </c>
      <c r="D966">
        <f>IF(A966="","",IFERROR(VALUE(SUBSTITUTE(SUBSTITUTE(INDEX('Etsy Import'!$A:$CZ,966,Settings!$C$23)&amp;"","$",""),",","")),0))</f>
        <v/>
      </c>
      <c r="E966" s="11">
        <f>IF(A966="","",IFERROR(VALUE(SUBSTITUTE(SUBSTITUTE(INDEX('Etsy Import'!$A:$CZ,966,Settings!$C$24)&amp;"","$",""),",","")),0))</f>
        <v/>
      </c>
      <c r="F966" s="11">
        <f>IF(A966="","",D966*E966)</f>
        <v/>
      </c>
      <c r="G966">
        <f>IF(A966="","",IF(C966="",1,COUNTIF($C$2:$C$1501,C966)))</f>
        <v/>
      </c>
      <c r="H966" s="11">
        <f>IF(A966="","",IFERROR(VALUE(SUBSTITUTE(SUBSTITUTE(INDEX('Etsy Import'!$A:$CZ,966,Settings!$C$25)&amp;"","$",""),",","")),0)/IF(Settings!$B$27="Yes",G966,1))</f>
        <v/>
      </c>
      <c r="I966" s="11">
        <f>IF(A966="","",IFERROR(VALUE(SUBSTITUTE(SUBSTITUTE(INDEX('Etsy Import'!$A:$CZ,966,Settings!$C$26)&amp;"","$",""),",","")),0)/IF(Settings!$B$27="Yes",G966,1))</f>
        <v/>
      </c>
      <c r="J966" s="11">
        <f>IF(A966="","",F966+H966-I966)</f>
        <v/>
      </c>
      <c r="K966">
        <f>IF(A966="","",IFERROR(IF(B966="",NA(),MATCH(B966,Products!$B$5:$B$204,0)),IFERROR(MATCH(A966,Products!$A$5:$A$204,0),"")))</f>
        <v/>
      </c>
      <c r="L966">
        <f>IF(A966="","",IF(K966="","⚠ not in Products",INDEX(Products!$A$5:$A$204,K966)))</f>
        <v/>
      </c>
      <c r="M966" s="11">
        <f>IF(A966="","",J966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966+IFERROR(INDEX(Settings!$D$5:$D$9,MATCH("Etsy",Settings!$A$5:$A$9,0)),0)*D966)</f>
        <v/>
      </c>
      <c r="N966" s="11">
        <f>IF(A966="","",IF(K966="",0,D966*INDEX(Products!$I$5:$I$204,K966)))</f>
        <v/>
      </c>
      <c r="O966" s="11">
        <f>IF(A966="","",IF(K966="",0,J966*INDEX(Products!$H$5:$H$204,K966)))</f>
        <v/>
      </c>
      <c r="P966" s="11">
        <f>IF(A966="","",J966-M966-N966-O966)</f>
        <v/>
      </c>
    </row>
    <row r="967">
      <c r="A967">
        <f>IFERROR(INDEX('Etsy Import'!$A:$CZ,967,Settings!$C$20)&amp;"","")</f>
        <v/>
      </c>
      <c r="B967">
        <f>IFERROR(INDEX('Etsy Import'!$A:$CZ,967,Settings!$C$21)&amp;"","")</f>
        <v/>
      </c>
      <c r="C967">
        <f>IFERROR(INDEX('Etsy Import'!$A:$CZ,967,Settings!$C$22)&amp;"","")</f>
        <v/>
      </c>
      <c r="D967">
        <f>IF(A967="","",IFERROR(VALUE(SUBSTITUTE(SUBSTITUTE(INDEX('Etsy Import'!$A:$CZ,967,Settings!$C$23)&amp;"","$",""),",","")),0))</f>
        <v/>
      </c>
      <c r="E967" s="11">
        <f>IF(A967="","",IFERROR(VALUE(SUBSTITUTE(SUBSTITUTE(INDEX('Etsy Import'!$A:$CZ,967,Settings!$C$24)&amp;"","$",""),",","")),0))</f>
        <v/>
      </c>
      <c r="F967" s="11">
        <f>IF(A967="","",D967*E967)</f>
        <v/>
      </c>
      <c r="G967">
        <f>IF(A967="","",IF(C967="",1,COUNTIF($C$2:$C$1501,C967)))</f>
        <v/>
      </c>
      <c r="H967" s="11">
        <f>IF(A967="","",IFERROR(VALUE(SUBSTITUTE(SUBSTITUTE(INDEX('Etsy Import'!$A:$CZ,967,Settings!$C$25)&amp;"","$",""),",","")),0)/IF(Settings!$B$27="Yes",G967,1))</f>
        <v/>
      </c>
      <c r="I967" s="11">
        <f>IF(A967="","",IFERROR(VALUE(SUBSTITUTE(SUBSTITUTE(INDEX('Etsy Import'!$A:$CZ,967,Settings!$C$26)&amp;"","$",""),",","")),0)/IF(Settings!$B$27="Yes",G967,1))</f>
        <v/>
      </c>
      <c r="J967" s="11">
        <f>IF(A967="","",F967+H967-I967)</f>
        <v/>
      </c>
      <c r="K967">
        <f>IF(A967="","",IFERROR(IF(B967="",NA(),MATCH(B967,Products!$B$5:$B$204,0)),IFERROR(MATCH(A967,Products!$A$5:$A$204,0),"")))</f>
        <v/>
      </c>
      <c r="L967">
        <f>IF(A967="","",IF(K967="","⚠ not in Products",INDEX(Products!$A$5:$A$204,K967)))</f>
        <v/>
      </c>
      <c r="M967" s="11">
        <f>IF(A967="","",J967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967+IFERROR(INDEX(Settings!$D$5:$D$9,MATCH("Etsy",Settings!$A$5:$A$9,0)),0)*D967)</f>
        <v/>
      </c>
      <c r="N967" s="11">
        <f>IF(A967="","",IF(K967="",0,D967*INDEX(Products!$I$5:$I$204,K967)))</f>
        <v/>
      </c>
      <c r="O967" s="11">
        <f>IF(A967="","",IF(K967="",0,J967*INDEX(Products!$H$5:$H$204,K967)))</f>
        <v/>
      </c>
      <c r="P967" s="11">
        <f>IF(A967="","",J967-M967-N967-O967)</f>
        <v/>
      </c>
    </row>
    <row r="968">
      <c r="A968">
        <f>IFERROR(INDEX('Etsy Import'!$A:$CZ,968,Settings!$C$20)&amp;"","")</f>
        <v/>
      </c>
      <c r="B968">
        <f>IFERROR(INDEX('Etsy Import'!$A:$CZ,968,Settings!$C$21)&amp;"","")</f>
        <v/>
      </c>
      <c r="C968">
        <f>IFERROR(INDEX('Etsy Import'!$A:$CZ,968,Settings!$C$22)&amp;"","")</f>
        <v/>
      </c>
      <c r="D968">
        <f>IF(A968="","",IFERROR(VALUE(SUBSTITUTE(SUBSTITUTE(INDEX('Etsy Import'!$A:$CZ,968,Settings!$C$23)&amp;"","$",""),",","")),0))</f>
        <v/>
      </c>
      <c r="E968" s="11">
        <f>IF(A968="","",IFERROR(VALUE(SUBSTITUTE(SUBSTITUTE(INDEX('Etsy Import'!$A:$CZ,968,Settings!$C$24)&amp;"","$",""),",","")),0))</f>
        <v/>
      </c>
      <c r="F968" s="11">
        <f>IF(A968="","",D968*E968)</f>
        <v/>
      </c>
      <c r="G968">
        <f>IF(A968="","",IF(C968="",1,COUNTIF($C$2:$C$1501,C968)))</f>
        <v/>
      </c>
      <c r="H968" s="11">
        <f>IF(A968="","",IFERROR(VALUE(SUBSTITUTE(SUBSTITUTE(INDEX('Etsy Import'!$A:$CZ,968,Settings!$C$25)&amp;"","$",""),",","")),0)/IF(Settings!$B$27="Yes",G968,1))</f>
        <v/>
      </c>
      <c r="I968" s="11">
        <f>IF(A968="","",IFERROR(VALUE(SUBSTITUTE(SUBSTITUTE(INDEX('Etsy Import'!$A:$CZ,968,Settings!$C$26)&amp;"","$",""),",","")),0)/IF(Settings!$B$27="Yes",G968,1))</f>
        <v/>
      </c>
      <c r="J968" s="11">
        <f>IF(A968="","",F968+H968-I968)</f>
        <v/>
      </c>
      <c r="K968">
        <f>IF(A968="","",IFERROR(IF(B968="",NA(),MATCH(B968,Products!$B$5:$B$204,0)),IFERROR(MATCH(A968,Products!$A$5:$A$204,0),"")))</f>
        <v/>
      </c>
      <c r="L968">
        <f>IF(A968="","",IF(K968="","⚠ not in Products",INDEX(Products!$A$5:$A$204,K968)))</f>
        <v/>
      </c>
      <c r="M968" s="11">
        <f>IF(A968="","",J968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968+IFERROR(INDEX(Settings!$D$5:$D$9,MATCH("Etsy",Settings!$A$5:$A$9,0)),0)*D968)</f>
        <v/>
      </c>
      <c r="N968" s="11">
        <f>IF(A968="","",IF(K968="",0,D968*INDEX(Products!$I$5:$I$204,K968)))</f>
        <v/>
      </c>
      <c r="O968" s="11">
        <f>IF(A968="","",IF(K968="",0,J968*INDEX(Products!$H$5:$H$204,K968)))</f>
        <v/>
      </c>
      <c r="P968" s="11">
        <f>IF(A968="","",J968-M968-N968-O968)</f>
        <v/>
      </c>
    </row>
    <row r="969">
      <c r="A969">
        <f>IFERROR(INDEX('Etsy Import'!$A:$CZ,969,Settings!$C$20)&amp;"","")</f>
        <v/>
      </c>
      <c r="B969">
        <f>IFERROR(INDEX('Etsy Import'!$A:$CZ,969,Settings!$C$21)&amp;"","")</f>
        <v/>
      </c>
      <c r="C969">
        <f>IFERROR(INDEX('Etsy Import'!$A:$CZ,969,Settings!$C$22)&amp;"","")</f>
        <v/>
      </c>
      <c r="D969">
        <f>IF(A969="","",IFERROR(VALUE(SUBSTITUTE(SUBSTITUTE(INDEX('Etsy Import'!$A:$CZ,969,Settings!$C$23)&amp;"","$",""),",","")),0))</f>
        <v/>
      </c>
      <c r="E969" s="11">
        <f>IF(A969="","",IFERROR(VALUE(SUBSTITUTE(SUBSTITUTE(INDEX('Etsy Import'!$A:$CZ,969,Settings!$C$24)&amp;"","$",""),",","")),0))</f>
        <v/>
      </c>
      <c r="F969" s="11">
        <f>IF(A969="","",D969*E969)</f>
        <v/>
      </c>
      <c r="G969">
        <f>IF(A969="","",IF(C969="",1,COUNTIF($C$2:$C$1501,C969)))</f>
        <v/>
      </c>
      <c r="H969" s="11">
        <f>IF(A969="","",IFERROR(VALUE(SUBSTITUTE(SUBSTITUTE(INDEX('Etsy Import'!$A:$CZ,969,Settings!$C$25)&amp;"","$",""),",","")),0)/IF(Settings!$B$27="Yes",G969,1))</f>
        <v/>
      </c>
      <c r="I969" s="11">
        <f>IF(A969="","",IFERROR(VALUE(SUBSTITUTE(SUBSTITUTE(INDEX('Etsy Import'!$A:$CZ,969,Settings!$C$26)&amp;"","$",""),",","")),0)/IF(Settings!$B$27="Yes",G969,1))</f>
        <v/>
      </c>
      <c r="J969" s="11">
        <f>IF(A969="","",F969+H969-I969)</f>
        <v/>
      </c>
      <c r="K969">
        <f>IF(A969="","",IFERROR(IF(B969="",NA(),MATCH(B969,Products!$B$5:$B$204,0)),IFERROR(MATCH(A969,Products!$A$5:$A$204,0),"")))</f>
        <v/>
      </c>
      <c r="L969">
        <f>IF(A969="","",IF(K969="","⚠ not in Products",INDEX(Products!$A$5:$A$204,K969)))</f>
        <v/>
      </c>
      <c r="M969" s="11">
        <f>IF(A969="","",J969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969+IFERROR(INDEX(Settings!$D$5:$D$9,MATCH("Etsy",Settings!$A$5:$A$9,0)),0)*D969)</f>
        <v/>
      </c>
      <c r="N969" s="11">
        <f>IF(A969="","",IF(K969="",0,D969*INDEX(Products!$I$5:$I$204,K969)))</f>
        <v/>
      </c>
      <c r="O969" s="11">
        <f>IF(A969="","",IF(K969="",0,J969*INDEX(Products!$H$5:$H$204,K969)))</f>
        <v/>
      </c>
      <c r="P969" s="11">
        <f>IF(A969="","",J969-M969-N969-O969)</f>
        <v/>
      </c>
    </row>
    <row r="970">
      <c r="A970">
        <f>IFERROR(INDEX('Etsy Import'!$A:$CZ,970,Settings!$C$20)&amp;"","")</f>
        <v/>
      </c>
      <c r="B970">
        <f>IFERROR(INDEX('Etsy Import'!$A:$CZ,970,Settings!$C$21)&amp;"","")</f>
        <v/>
      </c>
      <c r="C970">
        <f>IFERROR(INDEX('Etsy Import'!$A:$CZ,970,Settings!$C$22)&amp;"","")</f>
        <v/>
      </c>
      <c r="D970">
        <f>IF(A970="","",IFERROR(VALUE(SUBSTITUTE(SUBSTITUTE(INDEX('Etsy Import'!$A:$CZ,970,Settings!$C$23)&amp;"","$",""),",","")),0))</f>
        <v/>
      </c>
      <c r="E970" s="11">
        <f>IF(A970="","",IFERROR(VALUE(SUBSTITUTE(SUBSTITUTE(INDEX('Etsy Import'!$A:$CZ,970,Settings!$C$24)&amp;"","$",""),",","")),0))</f>
        <v/>
      </c>
      <c r="F970" s="11">
        <f>IF(A970="","",D970*E970)</f>
        <v/>
      </c>
      <c r="G970">
        <f>IF(A970="","",IF(C970="",1,COUNTIF($C$2:$C$1501,C970)))</f>
        <v/>
      </c>
      <c r="H970" s="11">
        <f>IF(A970="","",IFERROR(VALUE(SUBSTITUTE(SUBSTITUTE(INDEX('Etsy Import'!$A:$CZ,970,Settings!$C$25)&amp;"","$",""),",","")),0)/IF(Settings!$B$27="Yes",G970,1))</f>
        <v/>
      </c>
      <c r="I970" s="11">
        <f>IF(A970="","",IFERROR(VALUE(SUBSTITUTE(SUBSTITUTE(INDEX('Etsy Import'!$A:$CZ,970,Settings!$C$26)&amp;"","$",""),",","")),0)/IF(Settings!$B$27="Yes",G970,1))</f>
        <v/>
      </c>
      <c r="J970" s="11">
        <f>IF(A970="","",F970+H970-I970)</f>
        <v/>
      </c>
      <c r="K970">
        <f>IF(A970="","",IFERROR(IF(B970="",NA(),MATCH(B970,Products!$B$5:$B$204,0)),IFERROR(MATCH(A970,Products!$A$5:$A$204,0),"")))</f>
        <v/>
      </c>
      <c r="L970">
        <f>IF(A970="","",IF(K970="","⚠ not in Products",INDEX(Products!$A$5:$A$204,K970)))</f>
        <v/>
      </c>
      <c r="M970" s="11">
        <f>IF(A970="","",J970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970+IFERROR(INDEX(Settings!$D$5:$D$9,MATCH("Etsy",Settings!$A$5:$A$9,0)),0)*D970)</f>
        <v/>
      </c>
      <c r="N970" s="11">
        <f>IF(A970="","",IF(K970="",0,D970*INDEX(Products!$I$5:$I$204,K970)))</f>
        <v/>
      </c>
      <c r="O970" s="11">
        <f>IF(A970="","",IF(K970="",0,J970*INDEX(Products!$H$5:$H$204,K970)))</f>
        <v/>
      </c>
      <c r="P970" s="11">
        <f>IF(A970="","",J970-M970-N970-O970)</f>
        <v/>
      </c>
    </row>
    <row r="971">
      <c r="A971">
        <f>IFERROR(INDEX('Etsy Import'!$A:$CZ,971,Settings!$C$20)&amp;"","")</f>
        <v/>
      </c>
      <c r="B971">
        <f>IFERROR(INDEX('Etsy Import'!$A:$CZ,971,Settings!$C$21)&amp;"","")</f>
        <v/>
      </c>
      <c r="C971">
        <f>IFERROR(INDEX('Etsy Import'!$A:$CZ,971,Settings!$C$22)&amp;"","")</f>
        <v/>
      </c>
      <c r="D971">
        <f>IF(A971="","",IFERROR(VALUE(SUBSTITUTE(SUBSTITUTE(INDEX('Etsy Import'!$A:$CZ,971,Settings!$C$23)&amp;"","$",""),",","")),0))</f>
        <v/>
      </c>
      <c r="E971" s="11">
        <f>IF(A971="","",IFERROR(VALUE(SUBSTITUTE(SUBSTITUTE(INDEX('Etsy Import'!$A:$CZ,971,Settings!$C$24)&amp;"","$",""),",","")),0))</f>
        <v/>
      </c>
      <c r="F971" s="11">
        <f>IF(A971="","",D971*E971)</f>
        <v/>
      </c>
      <c r="G971">
        <f>IF(A971="","",IF(C971="",1,COUNTIF($C$2:$C$1501,C971)))</f>
        <v/>
      </c>
      <c r="H971" s="11">
        <f>IF(A971="","",IFERROR(VALUE(SUBSTITUTE(SUBSTITUTE(INDEX('Etsy Import'!$A:$CZ,971,Settings!$C$25)&amp;"","$",""),",","")),0)/IF(Settings!$B$27="Yes",G971,1))</f>
        <v/>
      </c>
      <c r="I971" s="11">
        <f>IF(A971="","",IFERROR(VALUE(SUBSTITUTE(SUBSTITUTE(INDEX('Etsy Import'!$A:$CZ,971,Settings!$C$26)&amp;"","$",""),",","")),0)/IF(Settings!$B$27="Yes",G971,1))</f>
        <v/>
      </c>
      <c r="J971" s="11">
        <f>IF(A971="","",F971+H971-I971)</f>
        <v/>
      </c>
      <c r="K971">
        <f>IF(A971="","",IFERROR(IF(B971="",NA(),MATCH(B971,Products!$B$5:$B$204,0)),IFERROR(MATCH(A971,Products!$A$5:$A$204,0),"")))</f>
        <v/>
      </c>
      <c r="L971">
        <f>IF(A971="","",IF(K971="","⚠ not in Products",INDEX(Products!$A$5:$A$204,K971)))</f>
        <v/>
      </c>
      <c r="M971" s="11">
        <f>IF(A971="","",J971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971+IFERROR(INDEX(Settings!$D$5:$D$9,MATCH("Etsy",Settings!$A$5:$A$9,0)),0)*D971)</f>
        <v/>
      </c>
      <c r="N971" s="11">
        <f>IF(A971="","",IF(K971="",0,D971*INDEX(Products!$I$5:$I$204,K971)))</f>
        <v/>
      </c>
      <c r="O971" s="11">
        <f>IF(A971="","",IF(K971="",0,J971*INDEX(Products!$H$5:$H$204,K971)))</f>
        <v/>
      </c>
      <c r="P971" s="11">
        <f>IF(A971="","",J971-M971-N971-O971)</f>
        <v/>
      </c>
    </row>
    <row r="972">
      <c r="A972">
        <f>IFERROR(INDEX('Etsy Import'!$A:$CZ,972,Settings!$C$20)&amp;"","")</f>
        <v/>
      </c>
      <c r="B972">
        <f>IFERROR(INDEX('Etsy Import'!$A:$CZ,972,Settings!$C$21)&amp;"","")</f>
        <v/>
      </c>
      <c r="C972">
        <f>IFERROR(INDEX('Etsy Import'!$A:$CZ,972,Settings!$C$22)&amp;"","")</f>
        <v/>
      </c>
      <c r="D972">
        <f>IF(A972="","",IFERROR(VALUE(SUBSTITUTE(SUBSTITUTE(INDEX('Etsy Import'!$A:$CZ,972,Settings!$C$23)&amp;"","$",""),",","")),0))</f>
        <v/>
      </c>
      <c r="E972" s="11">
        <f>IF(A972="","",IFERROR(VALUE(SUBSTITUTE(SUBSTITUTE(INDEX('Etsy Import'!$A:$CZ,972,Settings!$C$24)&amp;"","$",""),",","")),0))</f>
        <v/>
      </c>
      <c r="F972" s="11">
        <f>IF(A972="","",D972*E972)</f>
        <v/>
      </c>
      <c r="G972">
        <f>IF(A972="","",IF(C972="",1,COUNTIF($C$2:$C$1501,C972)))</f>
        <v/>
      </c>
      <c r="H972" s="11">
        <f>IF(A972="","",IFERROR(VALUE(SUBSTITUTE(SUBSTITUTE(INDEX('Etsy Import'!$A:$CZ,972,Settings!$C$25)&amp;"","$",""),",","")),0)/IF(Settings!$B$27="Yes",G972,1))</f>
        <v/>
      </c>
      <c r="I972" s="11">
        <f>IF(A972="","",IFERROR(VALUE(SUBSTITUTE(SUBSTITUTE(INDEX('Etsy Import'!$A:$CZ,972,Settings!$C$26)&amp;"","$",""),",","")),0)/IF(Settings!$B$27="Yes",G972,1))</f>
        <v/>
      </c>
      <c r="J972" s="11">
        <f>IF(A972="","",F972+H972-I972)</f>
        <v/>
      </c>
      <c r="K972">
        <f>IF(A972="","",IFERROR(IF(B972="",NA(),MATCH(B972,Products!$B$5:$B$204,0)),IFERROR(MATCH(A972,Products!$A$5:$A$204,0),"")))</f>
        <v/>
      </c>
      <c r="L972">
        <f>IF(A972="","",IF(K972="","⚠ not in Products",INDEX(Products!$A$5:$A$204,K972)))</f>
        <v/>
      </c>
      <c r="M972" s="11">
        <f>IF(A972="","",J972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972+IFERROR(INDEX(Settings!$D$5:$D$9,MATCH("Etsy",Settings!$A$5:$A$9,0)),0)*D972)</f>
        <v/>
      </c>
      <c r="N972" s="11">
        <f>IF(A972="","",IF(K972="",0,D972*INDEX(Products!$I$5:$I$204,K972)))</f>
        <v/>
      </c>
      <c r="O972" s="11">
        <f>IF(A972="","",IF(K972="",0,J972*INDEX(Products!$H$5:$H$204,K972)))</f>
        <v/>
      </c>
      <c r="P972" s="11">
        <f>IF(A972="","",J972-M972-N972-O972)</f>
        <v/>
      </c>
    </row>
    <row r="973">
      <c r="A973">
        <f>IFERROR(INDEX('Etsy Import'!$A:$CZ,973,Settings!$C$20)&amp;"","")</f>
        <v/>
      </c>
      <c r="B973">
        <f>IFERROR(INDEX('Etsy Import'!$A:$CZ,973,Settings!$C$21)&amp;"","")</f>
        <v/>
      </c>
      <c r="C973">
        <f>IFERROR(INDEX('Etsy Import'!$A:$CZ,973,Settings!$C$22)&amp;"","")</f>
        <v/>
      </c>
      <c r="D973">
        <f>IF(A973="","",IFERROR(VALUE(SUBSTITUTE(SUBSTITUTE(INDEX('Etsy Import'!$A:$CZ,973,Settings!$C$23)&amp;"","$",""),",","")),0))</f>
        <v/>
      </c>
      <c r="E973" s="11">
        <f>IF(A973="","",IFERROR(VALUE(SUBSTITUTE(SUBSTITUTE(INDEX('Etsy Import'!$A:$CZ,973,Settings!$C$24)&amp;"","$",""),",","")),0))</f>
        <v/>
      </c>
      <c r="F973" s="11">
        <f>IF(A973="","",D973*E973)</f>
        <v/>
      </c>
      <c r="G973">
        <f>IF(A973="","",IF(C973="",1,COUNTIF($C$2:$C$1501,C973)))</f>
        <v/>
      </c>
      <c r="H973" s="11">
        <f>IF(A973="","",IFERROR(VALUE(SUBSTITUTE(SUBSTITUTE(INDEX('Etsy Import'!$A:$CZ,973,Settings!$C$25)&amp;"","$",""),",","")),0)/IF(Settings!$B$27="Yes",G973,1))</f>
        <v/>
      </c>
      <c r="I973" s="11">
        <f>IF(A973="","",IFERROR(VALUE(SUBSTITUTE(SUBSTITUTE(INDEX('Etsy Import'!$A:$CZ,973,Settings!$C$26)&amp;"","$",""),",","")),0)/IF(Settings!$B$27="Yes",G973,1))</f>
        <v/>
      </c>
      <c r="J973" s="11">
        <f>IF(A973="","",F973+H973-I973)</f>
        <v/>
      </c>
      <c r="K973">
        <f>IF(A973="","",IFERROR(IF(B973="",NA(),MATCH(B973,Products!$B$5:$B$204,0)),IFERROR(MATCH(A973,Products!$A$5:$A$204,0),"")))</f>
        <v/>
      </c>
      <c r="L973">
        <f>IF(A973="","",IF(K973="","⚠ not in Products",INDEX(Products!$A$5:$A$204,K973)))</f>
        <v/>
      </c>
      <c r="M973" s="11">
        <f>IF(A973="","",J973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973+IFERROR(INDEX(Settings!$D$5:$D$9,MATCH("Etsy",Settings!$A$5:$A$9,0)),0)*D973)</f>
        <v/>
      </c>
      <c r="N973" s="11">
        <f>IF(A973="","",IF(K973="",0,D973*INDEX(Products!$I$5:$I$204,K973)))</f>
        <v/>
      </c>
      <c r="O973" s="11">
        <f>IF(A973="","",IF(K973="",0,J973*INDEX(Products!$H$5:$H$204,K973)))</f>
        <v/>
      </c>
      <c r="P973" s="11">
        <f>IF(A973="","",J973-M973-N973-O973)</f>
        <v/>
      </c>
    </row>
    <row r="974">
      <c r="A974">
        <f>IFERROR(INDEX('Etsy Import'!$A:$CZ,974,Settings!$C$20)&amp;"","")</f>
        <v/>
      </c>
      <c r="B974">
        <f>IFERROR(INDEX('Etsy Import'!$A:$CZ,974,Settings!$C$21)&amp;"","")</f>
        <v/>
      </c>
      <c r="C974">
        <f>IFERROR(INDEX('Etsy Import'!$A:$CZ,974,Settings!$C$22)&amp;"","")</f>
        <v/>
      </c>
      <c r="D974">
        <f>IF(A974="","",IFERROR(VALUE(SUBSTITUTE(SUBSTITUTE(INDEX('Etsy Import'!$A:$CZ,974,Settings!$C$23)&amp;"","$",""),",","")),0))</f>
        <v/>
      </c>
      <c r="E974" s="11">
        <f>IF(A974="","",IFERROR(VALUE(SUBSTITUTE(SUBSTITUTE(INDEX('Etsy Import'!$A:$CZ,974,Settings!$C$24)&amp;"","$",""),",","")),0))</f>
        <v/>
      </c>
      <c r="F974" s="11">
        <f>IF(A974="","",D974*E974)</f>
        <v/>
      </c>
      <c r="G974">
        <f>IF(A974="","",IF(C974="",1,COUNTIF($C$2:$C$1501,C974)))</f>
        <v/>
      </c>
      <c r="H974" s="11">
        <f>IF(A974="","",IFERROR(VALUE(SUBSTITUTE(SUBSTITUTE(INDEX('Etsy Import'!$A:$CZ,974,Settings!$C$25)&amp;"","$",""),",","")),0)/IF(Settings!$B$27="Yes",G974,1))</f>
        <v/>
      </c>
      <c r="I974" s="11">
        <f>IF(A974="","",IFERROR(VALUE(SUBSTITUTE(SUBSTITUTE(INDEX('Etsy Import'!$A:$CZ,974,Settings!$C$26)&amp;"","$",""),",","")),0)/IF(Settings!$B$27="Yes",G974,1))</f>
        <v/>
      </c>
      <c r="J974" s="11">
        <f>IF(A974="","",F974+H974-I974)</f>
        <v/>
      </c>
      <c r="K974">
        <f>IF(A974="","",IFERROR(IF(B974="",NA(),MATCH(B974,Products!$B$5:$B$204,0)),IFERROR(MATCH(A974,Products!$A$5:$A$204,0),"")))</f>
        <v/>
      </c>
      <c r="L974">
        <f>IF(A974="","",IF(K974="","⚠ not in Products",INDEX(Products!$A$5:$A$204,K974)))</f>
        <v/>
      </c>
      <c r="M974" s="11">
        <f>IF(A974="","",J974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974+IFERROR(INDEX(Settings!$D$5:$D$9,MATCH("Etsy",Settings!$A$5:$A$9,0)),0)*D974)</f>
        <v/>
      </c>
      <c r="N974" s="11">
        <f>IF(A974="","",IF(K974="",0,D974*INDEX(Products!$I$5:$I$204,K974)))</f>
        <v/>
      </c>
      <c r="O974" s="11">
        <f>IF(A974="","",IF(K974="",0,J974*INDEX(Products!$H$5:$H$204,K974)))</f>
        <v/>
      </c>
      <c r="P974" s="11">
        <f>IF(A974="","",J974-M974-N974-O974)</f>
        <v/>
      </c>
    </row>
    <row r="975">
      <c r="A975">
        <f>IFERROR(INDEX('Etsy Import'!$A:$CZ,975,Settings!$C$20)&amp;"","")</f>
        <v/>
      </c>
      <c r="B975">
        <f>IFERROR(INDEX('Etsy Import'!$A:$CZ,975,Settings!$C$21)&amp;"","")</f>
        <v/>
      </c>
      <c r="C975">
        <f>IFERROR(INDEX('Etsy Import'!$A:$CZ,975,Settings!$C$22)&amp;"","")</f>
        <v/>
      </c>
      <c r="D975">
        <f>IF(A975="","",IFERROR(VALUE(SUBSTITUTE(SUBSTITUTE(INDEX('Etsy Import'!$A:$CZ,975,Settings!$C$23)&amp;"","$",""),",","")),0))</f>
        <v/>
      </c>
      <c r="E975" s="11">
        <f>IF(A975="","",IFERROR(VALUE(SUBSTITUTE(SUBSTITUTE(INDEX('Etsy Import'!$A:$CZ,975,Settings!$C$24)&amp;"","$",""),",","")),0))</f>
        <v/>
      </c>
      <c r="F975" s="11">
        <f>IF(A975="","",D975*E975)</f>
        <v/>
      </c>
      <c r="G975">
        <f>IF(A975="","",IF(C975="",1,COUNTIF($C$2:$C$1501,C975)))</f>
        <v/>
      </c>
      <c r="H975" s="11">
        <f>IF(A975="","",IFERROR(VALUE(SUBSTITUTE(SUBSTITUTE(INDEX('Etsy Import'!$A:$CZ,975,Settings!$C$25)&amp;"","$",""),",","")),0)/IF(Settings!$B$27="Yes",G975,1))</f>
        <v/>
      </c>
      <c r="I975" s="11">
        <f>IF(A975="","",IFERROR(VALUE(SUBSTITUTE(SUBSTITUTE(INDEX('Etsy Import'!$A:$CZ,975,Settings!$C$26)&amp;"","$",""),",","")),0)/IF(Settings!$B$27="Yes",G975,1))</f>
        <v/>
      </c>
      <c r="J975" s="11">
        <f>IF(A975="","",F975+H975-I975)</f>
        <v/>
      </c>
      <c r="K975">
        <f>IF(A975="","",IFERROR(IF(B975="",NA(),MATCH(B975,Products!$B$5:$B$204,0)),IFERROR(MATCH(A975,Products!$A$5:$A$204,0),"")))</f>
        <v/>
      </c>
      <c r="L975">
        <f>IF(A975="","",IF(K975="","⚠ not in Products",INDEX(Products!$A$5:$A$204,K975)))</f>
        <v/>
      </c>
      <c r="M975" s="11">
        <f>IF(A975="","",J975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975+IFERROR(INDEX(Settings!$D$5:$D$9,MATCH("Etsy",Settings!$A$5:$A$9,0)),0)*D975)</f>
        <v/>
      </c>
      <c r="N975" s="11">
        <f>IF(A975="","",IF(K975="",0,D975*INDEX(Products!$I$5:$I$204,K975)))</f>
        <v/>
      </c>
      <c r="O975" s="11">
        <f>IF(A975="","",IF(K975="",0,J975*INDEX(Products!$H$5:$H$204,K975)))</f>
        <v/>
      </c>
      <c r="P975" s="11">
        <f>IF(A975="","",J975-M975-N975-O975)</f>
        <v/>
      </c>
    </row>
    <row r="976">
      <c r="A976">
        <f>IFERROR(INDEX('Etsy Import'!$A:$CZ,976,Settings!$C$20)&amp;"","")</f>
        <v/>
      </c>
      <c r="B976">
        <f>IFERROR(INDEX('Etsy Import'!$A:$CZ,976,Settings!$C$21)&amp;"","")</f>
        <v/>
      </c>
      <c r="C976">
        <f>IFERROR(INDEX('Etsy Import'!$A:$CZ,976,Settings!$C$22)&amp;"","")</f>
        <v/>
      </c>
      <c r="D976">
        <f>IF(A976="","",IFERROR(VALUE(SUBSTITUTE(SUBSTITUTE(INDEX('Etsy Import'!$A:$CZ,976,Settings!$C$23)&amp;"","$",""),",","")),0))</f>
        <v/>
      </c>
      <c r="E976" s="11">
        <f>IF(A976="","",IFERROR(VALUE(SUBSTITUTE(SUBSTITUTE(INDEX('Etsy Import'!$A:$CZ,976,Settings!$C$24)&amp;"","$",""),",","")),0))</f>
        <v/>
      </c>
      <c r="F976" s="11">
        <f>IF(A976="","",D976*E976)</f>
        <v/>
      </c>
      <c r="G976">
        <f>IF(A976="","",IF(C976="",1,COUNTIF($C$2:$C$1501,C976)))</f>
        <v/>
      </c>
      <c r="H976" s="11">
        <f>IF(A976="","",IFERROR(VALUE(SUBSTITUTE(SUBSTITUTE(INDEX('Etsy Import'!$A:$CZ,976,Settings!$C$25)&amp;"","$",""),",","")),0)/IF(Settings!$B$27="Yes",G976,1))</f>
        <v/>
      </c>
      <c r="I976" s="11">
        <f>IF(A976="","",IFERROR(VALUE(SUBSTITUTE(SUBSTITUTE(INDEX('Etsy Import'!$A:$CZ,976,Settings!$C$26)&amp;"","$",""),",","")),0)/IF(Settings!$B$27="Yes",G976,1))</f>
        <v/>
      </c>
      <c r="J976" s="11">
        <f>IF(A976="","",F976+H976-I976)</f>
        <v/>
      </c>
      <c r="K976">
        <f>IF(A976="","",IFERROR(IF(B976="",NA(),MATCH(B976,Products!$B$5:$B$204,0)),IFERROR(MATCH(A976,Products!$A$5:$A$204,0),"")))</f>
        <v/>
      </c>
      <c r="L976">
        <f>IF(A976="","",IF(K976="","⚠ not in Products",INDEX(Products!$A$5:$A$204,K976)))</f>
        <v/>
      </c>
      <c r="M976" s="11">
        <f>IF(A976="","",J976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976+IFERROR(INDEX(Settings!$D$5:$D$9,MATCH("Etsy",Settings!$A$5:$A$9,0)),0)*D976)</f>
        <v/>
      </c>
      <c r="N976" s="11">
        <f>IF(A976="","",IF(K976="",0,D976*INDEX(Products!$I$5:$I$204,K976)))</f>
        <v/>
      </c>
      <c r="O976" s="11">
        <f>IF(A976="","",IF(K976="",0,J976*INDEX(Products!$H$5:$H$204,K976)))</f>
        <v/>
      </c>
      <c r="P976" s="11">
        <f>IF(A976="","",J976-M976-N976-O976)</f>
        <v/>
      </c>
    </row>
    <row r="977">
      <c r="A977">
        <f>IFERROR(INDEX('Etsy Import'!$A:$CZ,977,Settings!$C$20)&amp;"","")</f>
        <v/>
      </c>
      <c r="B977">
        <f>IFERROR(INDEX('Etsy Import'!$A:$CZ,977,Settings!$C$21)&amp;"","")</f>
        <v/>
      </c>
      <c r="C977">
        <f>IFERROR(INDEX('Etsy Import'!$A:$CZ,977,Settings!$C$22)&amp;"","")</f>
        <v/>
      </c>
      <c r="D977">
        <f>IF(A977="","",IFERROR(VALUE(SUBSTITUTE(SUBSTITUTE(INDEX('Etsy Import'!$A:$CZ,977,Settings!$C$23)&amp;"","$",""),",","")),0))</f>
        <v/>
      </c>
      <c r="E977" s="11">
        <f>IF(A977="","",IFERROR(VALUE(SUBSTITUTE(SUBSTITUTE(INDEX('Etsy Import'!$A:$CZ,977,Settings!$C$24)&amp;"","$",""),",","")),0))</f>
        <v/>
      </c>
      <c r="F977" s="11">
        <f>IF(A977="","",D977*E977)</f>
        <v/>
      </c>
      <c r="G977">
        <f>IF(A977="","",IF(C977="",1,COUNTIF($C$2:$C$1501,C977)))</f>
        <v/>
      </c>
      <c r="H977" s="11">
        <f>IF(A977="","",IFERROR(VALUE(SUBSTITUTE(SUBSTITUTE(INDEX('Etsy Import'!$A:$CZ,977,Settings!$C$25)&amp;"","$",""),",","")),0)/IF(Settings!$B$27="Yes",G977,1))</f>
        <v/>
      </c>
      <c r="I977" s="11">
        <f>IF(A977="","",IFERROR(VALUE(SUBSTITUTE(SUBSTITUTE(INDEX('Etsy Import'!$A:$CZ,977,Settings!$C$26)&amp;"","$",""),",","")),0)/IF(Settings!$B$27="Yes",G977,1))</f>
        <v/>
      </c>
      <c r="J977" s="11">
        <f>IF(A977="","",F977+H977-I977)</f>
        <v/>
      </c>
      <c r="K977">
        <f>IF(A977="","",IFERROR(IF(B977="",NA(),MATCH(B977,Products!$B$5:$B$204,0)),IFERROR(MATCH(A977,Products!$A$5:$A$204,0),"")))</f>
        <v/>
      </c>
      <c r="L977">
        <f>IF(A977="","",IF(K977="","⚠ not in Products",INDEX(Products!$A$5:$A$204,K977)))</f>
        <v/>
      </c>
      <c r="M977" s="11">
        <f>IF(A977="","",J977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977+IFERROR(INDEX(Settings!$D$5:$D$9,MATCH("Etsy",Settings!$A$5:$A$9,0)),0)*D977)</f>
        <v/>
      </c>
      <c r="N977" s="11">
        <f>IF(A977="","",IF(K977="",0,D977*INDEX(Products!$I$5:$I$204,K977)))</f>
        <v/>
      </c>
      <c r="O977" s="11">
        <f>IF(A977="","",IF(K977="",0,J977*INDEX(Products!$H$5:$H$204,K977)))</f>
        <v/>
      </c>
      <c r="P977" s="11">
        <f>IF(A977="","",J977-M977-N977-O977)</f>
        <v/>
      </c>
    </row>
    <row r="978">
      <c r="A978">
        <f>IFERROR(INDEX('Etsy Import'!$A:$CZ,978,Settings!$C$20)&amp;"","")</f>
        <v/>
      </c>
      <c r="B978">
        <f>IFERROR(INDEX('Etsy Import'!$A:$CZ,978,Settings!$C$21)&amp;"","")</f>
        <v/>
      </c>
      <c r="C978">
        <f>IFERROR(INDEX('Etsy Import'!$A:$CZ,978,Settings!$C$22)&amp;"","")</f>
        <v/>
      </c>
      <c r="D978">
        <f>IF(A978="","",IFERROR(VALUE(SUBSTITUTE(SUBSTITUTE(INDEX('Etsy Import'!$A:$CZ,978,Settings!$C$23)&amp;"","$",""),",","")),0))</f>
        <v/>
      </c>
      <c r="E978" s="11">
        <f>IF(A978="","",IFERROR(VALUE(SUBSTITUTE(SUBSTITUTE(INDEX('Etsy Import'!$A:$CZ,978,Settings!$C$24)&amp;"","$",""),",","")),0))</f>
        <v/>
      </c>
      <c r="F978" s="11">
        <f>IF(A978="","",D978*E978)</f>
        <v/>
      </c>
      <c r="G978">
        <f>IF(A978="","",IF(C978="",1,COUNTIF($C$2:$C$1501,C978)))</f>
        <v/>
      </c>
      <c r="H978" s="11">
        <f>IF(A978="","",IFERROR(VALUE(SUBSTITUTE(SUBSTITUTE(INDEX('Etsy Import'!$A:$CZ,978,Settings!$C$25)&amp;"","$",""),",","")),0)/IF(Settings!$B$27="Yes",G978,1))</f>
        <v/>
      </c>
      <c r="I978" s="11">
        <f>IF(A978="","",IFERROR(VALUE(SUBSTITUTE(SUBSTITUTE(INDEX('Etsy Import'!$A:$CZ,978,Settings!$C$26)&amp;"","$",""),",","")),0)/IF(Settings!$B$27="Yes",G978,1))</f>
        <v/>
      </c>
      <c r="J978" s="11">
        <f>IF(A978="","",F978+H978-I978)</f>
        <v/>
      </c>
      <c r="K978">
        <f>IF(A978="","",IFERROR(IF(B978="",NA(),MATCH(B978,Products!$B$5:$B$204,0)),IFERROR(MATCH(A978,Products!$A$5:$A$204,0),"")))</f>
        <v/>
      </c>
      <c r="L978">
        <f>IF(A978="","",IF(K978="","⚠ not in Products",INDEX(Products!$A$5:$A$204,K978)))</f>
        <v/>
      </c>
      <c r="M978" s="11">
        <f>IF(A978="","",J978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978+IFERROR(INDEX(Settings!$D$5:$D$9,MATCH("Etsy",Settings!$A$5:$A$9,0)),0)*D978)</f>
        <v/>
      </c>
      <c r="N978" s="11">
        <f>IF(A978="","",IF(K978="",0,D978*INDEX(Products!$I$5:$I$204,K978)))</f>
        <v/>
      </c>
      <c r="O978" s="11">
        <f>IF(A978="","",IF(K978="",0,J978*INDEX(Products!$H$5:$H$204,K978)))</f>
        <v/>
      </c>
      <c r="P978" s="11">
        <f>IF(A978="","",J978-M978-N978-O978)</f>
        <v/>
      </c>
    </row>
    <row r="979">
      <c r="A979">
        <f>IFERROR(INDEX('Etsy Import'!$A:$CZ,979,Settings!$C$20)&amp;"","")</f>
        <v/>
      </c>
      <c r="B979">
        <f>IFERROR(INDEX('Etsy Import'!$A:$CZ,979,Settings!$C$21)&amp;"","")</f>
        <v/>
      </c>
      <c r="C979">
        <f>IFERROR(INDEX('Etsy Import'!$A:$CZ,979,Settings!$C$22)&amp;"","")</f>
        <v/>
      </c>
      <c r="D979">
        <f>IF(A979="","",IFERROR(VALUE(SUBSTITUTE(SUBSTITUTE(INDEX('Etsy Import'!$A:$CZ,979,Settings!$C$23)&amp;"","$",""),",","")),0))</f>
        <v/>
      </c>
      <c r="E979" s="11">
        <f>IF(A979="","",IFERROR(VALUE(SUBSTITUTE(SUBSTITUTE(INDEX('Etsy Import'!$A:$CZ,979,Settings!$C$24)&amp;"","$",""),",","")),0))</f>
        <v/>
      </c>
      <c r="F979" s="11">
        <f>IF(A979="","",D979*E979)</f>
        <v/>
      </c>
      <c r="G979">
        <f>IF(A979="","",IF(C979="",1,COUNTIF($C$2:$C$1501,C979)))</f>
        <v/>
      </c>
      <c r="H979" s="11">
        <f>IF(A979="","",IFERROR(VALUE(SUBSTITUTE(SUBSTITUTE(INDEX('Etsy Import'!$A:$CZ,979,Settings!$C$25)&amp;"","$",""),",","")),0)/IF(Settings!$B$27="Yes",G979,1))</f>
        <v/>
      </c>
      <c r="I979" s="11">
        <f>IF(A979="","",IFERROR(VALUE(SUBSTITUTE(SUBSTITUTE(INDEX('Etsy Import'!$A:$CZ,979,Settings!$C$26)&amp;"","$",""),",","")),0)/IF(Settings!$B$27="Yes",G979,1))</f>
        <v/>
      </c>
      <c r="J979" s="11">
        <f>IF(A979="","",F979+H979-I979)</f>
        <v/>
      </c>
      <c r="K979">
        <f>IF(A979="","",IFERROR(IF(B979="",NA(),MATCH(B979,Products!$B$5:$B$204,0)),IFERROR(MATCH(A979,Products!$A$5:$A$204,0),"")))</f>
        <v/>
      </c>
      <c r="L979">
        <f>IF(A979="","",IF(K979="","⚠ not in Products",INDEX(Products!$A$5:$A$204,K979)))</f>
        <v/>
      </c>
      <c r="M979" s="11">
        <f>IF(A979="","",J979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979+IFERROR(INDEX(Settings!$D$5:$D$9,MATCH("Etsy",Settings!$A$5:$A$9,0)),0)*D979)</f>
        <v/>
      </c>
      <c r="N979" s="11">
        <f>IF(A979="","",IF(K979="",0,D979*INDEX(Products!$I$5:$I$204,K979)))</f>
        <v/>
      </c>
      <c r="O979" s="11">
        <f>IF(A979="","",IF(K979="",0,J979*INDEX(Products!$H$5:$H$204,K979)))</f>
        <v/>
      </c>
      <c r="P979" s="11">
        <f>IF(A979="","",J979-M979-N979-O979)</f>
        <v/>
      </c>
    </row>
    <row r="980">
      <c r="A980">
        <f>IFERROR(INDEX('Etsy Import'!$A:$CZ,980,Settings!$C$20)&amp;"","")</f>
        <v/>
      </c>
      <c r="B980">
        <f>IFERROR(INDEX('Etsy Import'!$A:$CZ,980,Settings!$C$21)&amp;"","")</f>
        <v/>
      </c>
      <c r="C980">
        <f>IFERROR(INDEX('Etsy Import'!$A:$CZ,980,Settings!$C$22)&amp;"","")</f>
        <v/>
      </c>
      <c r="D980">
        <f>IF(A980="","",IFERROR(VALUE(SUBSTITUTE(SUBSTITUTE(INDEX('Etsy Import'!$A:$CZ,980,Settings!$C$23)&amp;"","$",""),",","")),0))</f>
        <v/>
      </c>
      <c r="E980" s="11">
        <f>IF(A980="","",IFERROR(VALUE(SUBSTITUTE(SUBSTITUTE(INDEX('Etsy Import'!$A:$CZ,980,Settings!$C$24)&amp;"","$",""),",","")),0))</f>
        <v/>
      </c>
      <c r="F980" s="11">
        <f>IF(A980="","",D980*E980)</f>
        <v/>
      </c>
      <c r="G980">
        <f>IF(A980="","",IF(C980="",1,COUNTIF($C$2:$C$1501,C980)))</f>
        <v/>
      </c>
      <c r="H980" s="11">
        <f>IF(A980="","",IFERROR(VALUE(SUBSTITUTE(SUBSTITUTE(INDEX('Etsy Import'!$A:$CZ,980,Settings!$C$25)&amp;"","$",""),",","")),0)/IF(Settings!$B$27="Yes",G980,1))</f>
        <v/>
      </c>
      <c r="I980" s="11">
        <f>IF(A980="","",IFERROR(VALUE(SUBSTITUTE(SUBSTITUTE(INDEX('Etsy Import'!$A:$CZ,980,Settings!$C$26)&amp;"","$",""),",","")),0)/IF(Settings!$B$27="Yes",G980,1))</f>
        <v/>
      </c>
      <c r="J980" s="11">
        <f>IF(A980="","",F980+H980-I980)</f>
        <v/>
      </c>
      <c r="K980">
        <f>IF(A980="","",IFERROR(IF(B980="",NA(),MATCH(B980,Products!$B$5:$B$204,0)),IFERROR(MATCH(A980,Products!$A$5:$A$204,0),"")))</f>
        <v/>
      </c>
      <c r="L980">
        <f>IF(A980="","",IF(K980="","⚠ not in Products",INDEX(Products!$A$5:$A$204,K980)))</f>
        <v/>
      </c>
      <c r="M980" s="11">
        <f>IF(A980="","",J980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980+IFERROR(INDEX(Settings!$D$5:$D$9,MATCH("Etsy",Settings!$A$5:$A$9,0)),0)*D980)</f>
        <v/>
      </c>
      <c r="N980" s="11">
        <f>IF(A980="","",IF(K980="",0,D980*INDEX(Products!$I$5:$I$204,K980)))</f>
        <v/>
      </c>
      <c r="O980" s="11">
        <f>IF(A980="","",IF(K980="",0,J980*INDEX(Products!$H$5:$H$204,K980)))</f>
        <v/>
      </c>
      <c r="P980" s="11">
        <f>IF(A980="","",J980-M980-N980-O980)</f>
        <v/>
      </c>
    </row>
    <row r="981">
      <c r="A981">
        <f>IFERROR(INDEX('Etsy Import'!$A:$CZ,981,Settings!$C$20)&amp;"","")</f>
        <v/>
      </c>
      <c r="B981">
        <f>IFERROR(INDEX('Etsy Import'!$A:$CZ,981,Settings!$C$21)&amp;"","")</f>
        <v/>
      </c>
      <c r="C981">
        <f>IFERROR(INDEX('Etsy Import'!$A:$CZ,981,Settings!$C$22)&amp;"","")</f>
        <v/>
      </c>
      <c r="D981">
        <f>IF(A981="","",IFERROR(VALUE(SUBSTITUTE(SUBSTITUTE(INDEX('Etsy Import'!$A:$CZ,981,Settings!$C$23)&amp;"","$",""),",","")),0))</f>
        <v/>
      </c>
      <c r="E981" s="11">
        <f>IF(A981="","",IFERROR(VALUE(SUBSTITUTE(SUBSTITUTE(INDEX('Etsy Import'!$A:$CZ,981,Settings!$C$24)&amp;"","$",""),",","")),0))</f>
        <v/>
      </c>
      <c r="F981" s="11">
        <f>IF(A981="","",D981*E981)</f>
        <v/>
      </c>
      <c r="G981">
        <f>IF(A981="","",IF(C981="",1,COUNTIF($C$2:$C$1501,C981)))</f>
        <v/>
      </c>
      <c r="H981" s="11">
        <f>IF(A981="","",IFERROR(VALUE(SUBSTITUTE(SUBSTITUTE(INDEX('Etsy Import'!$A:$CZ,981,Settings!$C$25)&amp;"","$",""),",","")),0)/IF(Settings!$B$27="Yes",G981,1))</f>
        <v/>
      </c>
      <c r="I981" s="11">
        <f>IF(A981="","",IFERROR(VALUE(SUBSTITUTE(SUBSTITUTE(INDEX('Etsy Import'!$A:$CZ,981,Settings!$C$26)&amp;"","$",""),",","")),0)/IF(Settings!$B$27="Yes",G981,1))</f>
        <v/>
      </c>
      <c r="J981" s="11">
        <f>IF(A981="","",F981+H981-I981)</f>
        <v/>
      </c>
      <c r="K981">
        <f>IF(A981="","",IFERROR(IF(B981="",NA(),MATCH(B981,Products!$B$5:$B$204,0)),IFERROR(MATCH(A981,Products!$A$5:$A$204,0),"")))</f>
        <v/>
      </c>
      <c r="L981">
        <f>IF(A981="","",IF(K981="","⚠ not in Products",INDEX(Products!$A$5:$A$204,K981)))</f>
        <v/>
      </c>
      <c r="M981" s="11">
        <f>IF(A981="","",J981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981+IFERROR(INDEX(Settings!$D$5:$D$9,MATCH("Etsy",Settings!$A$5:$A$9,0)),0)*D981)</f>
        <v/>
      </c>
      <c r="N981" s="11">
        <f>IF(A981="","",IF(K981="",0,D981*INDEX(Products!$I$5:$I$204,K981)))</f>
        <v/>
      </c>
      <c r="O981" s="11">
        <f>IF(A981="","",IF(K981="",0,J981*INDEX(Products!$H$5:$H$204,K981)))</f>
        <v/>
      </c>
      <c r="P981" s="11">
        <f>IF(A981="","",J981-M981-N981-O981)</f>
        <v/>
      </c>
    </row>
    <row r="982">
      <c r="A982">
        <f>IFERROR(INDEX('Etsy Import'!$A:$CZ,982,Settings!$C$20)&amp;"","")</f>
        <v/>
      </c>
      <c r="B982">
        <f>IFERROR(INDEX('Etsy Import'!$A:$CZ,982,Settings!$C$21)&amp;"","")</f>
        <v/>
      </c>
      <c r="C982">
        <f>IFERROR(INDEX('Etsy Import'!$A:$CZ,982,Settings!$C$22)&amp;"","")</f>
        <v/>
      </c>
      <c r="D982">
        <f>IF(A982="","",IFERROR(VALUE(SUBSTITUTE(SUBSTITUTE(INDEX('Etsy Import'!$A:$CZ,982,Settings!$C$23)&amp;"","$",""),",","")),0))</f>
        <v/>
      </c>
      <c r="E982" s="11">
        <f>IF(A982="","",IFERROR(VALUE(SUBSTITUTE(SUBSTITUTE(INDEX('Etsy Import'!$A:$CZ,982,Settings!$C$24)&amp;"","$",""),",","")),0))</f>
        <v/>
      </c>
      <c r="F982" s="11">
        <f>IF(A982="","",D982*E982)</f>
        <v/>
      </c>
      <c r="G982">
        <f>IF(A982="","",IF(C982="",1,COUNTIF($C$2:$C$1501,C982)))</f>
        <v/>
      </c>
      <c r="H982" s="11">
        <f>IF(A982="","",IFERROR(VALUE(SUBSTITUTE(SUBSTITUTE(INDEX('Etsy Import'!$A:$CZ,982,Settings!$C$25)&amp;"","$",""),",","")),0)/IF(Settings!$B$27="Yes",G982,1))</f>
        <v/>
      </c>
      <c r="I982" s="11">
        <f>IF(A982="","",IFERROR(VALUE(SUBSTITUTE(SUBSTITUTE(INDEX('Etsy Import'!$A:$CZ,982,Settings!$C$26)&amp;"","$",""),",","")),0)/IF(Settings!$B$27="Yes",G982,1))</f>
        <v/>
      </c>
      <c r="J982" s="11">
        <f>IF(A982="","",F982+H982-I982)</f>
        <v/>
      </c>
      <c r="K982">
        <f>IF(A982="","",IFERROR(IF(B982="",NA(),MATCH(B982,Products!$B$5:$B$204,0)),IFERROR(MATCH(A982,Products!$A$5:$A$204,0),"")))</f>
        <v/>
      </c>
      <c r="L982">
        <f>IF(A982="","",IF(K982="","⚠ not in Products",INDEX(Products!$A$5:$A$204,K982)))</f>
        <v/>
      </c>
      <c r="M982" s="11">
        <f>IF(A982="","",J982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982+IFERROR(INDEX(Settings!$D$5:$D$9,MATCH("Etsy",Settings!$A$5:$A$9,0)),0)*D982)</f>
        <v/>
      </c>
      <c r="N982" s="11">
        <f>IF(A982="","",IF(K982="",0,D982*INDEX(Products!$I$5:$I$204,K982)))</f>
        <v/>
      </c>
      <c r="O982" s="11">
        <f>IF(A982="","",IF(K982="",0,J982*INDEX(Products!$H$5:$H$204,K982)))</f>
        <v/>
      </c>
      <c r="P982" s="11">
        <f>IF(A982="","",J982-M982-N982-O982)</f>
        <v/>
      </c>
    </row>
    <row r="983">
      <c r="A983">
        <f>IFERROR(INDEX('Etsy Import'!$A:$CZ,983,Settings!$C$20)&amp;"","")</f>
        <v/>
      </c>
      <c r="B983">
        <f>IFERROR(INDEX('Etsy Import'!$A:$CZ,983,Settings!$C$21)&amp;"","")</f>
        <v/>
      </c>
      <c r="C983">
        <f>IFERROR(INDEX('Etsy Import'!$A:$CZ,983,Settings!$C$22)&amp;"","")</f>
        <v/>
      </c>
      <c r="D983">
        <f>IF(A983="","",IFERROR(VALUE(SUBSTITUTE(SUBSTITUTE(INDEX('Etsy Import'!$A:$CZ,983,Settings!$C$23)&amp;"","$",""),",","")),0))</f>
        <v/>
      </c>
      <c r="E983" s="11">
        <f>IF(A983="","",IFERROR(VALUE(SUBSTITUTE(SUBSTITUTE(INDEX('Etsy Import'!$A:$CZ,983,Settings!$C$24)&amp;"","$",""),",","")),0))</f>
        <v/>
      </c>
      <c r="F983" s="11">
        <f>IF(A983="","",D983*E983)</f>
        <v/>
      </c>
      <c r="G983">
        <f>IF(A983="","",IF(C983="",1,COUNTIF($C$2:$C$1501,C983)))</f>
        <v/>
      </c>
      <c r="H983" s="11">
        <f>IF(A983="","",IFERROR(VALUE(SUBSTITUTE(SUBSTITUTE(INDEX('Etsy Import'!$A:$CZ,983,Settings!$C$25)&amp;"","$",""),",","")),0)/IF(Settings!$B$27="Yes",G983,1))</f>
        <v/>
      </c>
      <c r="I983" s="11">
        <f>IF(A983="","",IFERROR(VALUE(SUBSTITUTE(SUBSTITUTE(INDEX('Etsy Import'!$A:$CZ,983,Settings!$C$26)&amp;"","$",""),",","")),0)/IF(Settings!$B$27="Yes",G983,1))</f>
        <v/>
      </c>
      <c r="J983" s="11">
        <f>IF(A983="","",F983+H983-I983)</f>
        <v/>
      </c>
      <c r="K983">
        <f>IF(A983="","",IFERROR(IF(B983="",NA(),MATCH(B983,Products!$B$5:$B$204,0)),IFERROR(MATCH(A983,Products!$A$5:$A$204,0),"")))</f>
        <v/>
      </c>
      <c r="L983">
        <f>IF(A983="","",IF(K983="","⚠ not in Products",INDEX(Products!$A$5:$A$204,K983)))</f>
        <v/>
      </c>
      <c r="M983" s="11">
        <f>IF(A983="","",J983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983+IFERROR(INDEX(Settings!$D$5:$D$9,MATCH("Etsy",Settings!$A$5:$A$9,0)),0)*D983)</f>
        <v/>
      </c>
      <c r="N983" s="11">
        <f>IF(A983="","",IF(K983="",0,D983*INDEX(Products!$I$5:$I$204,K983)))</f>
        <v/>
      </c>
      <c r="O983" s="11">
        <f>IF(A983="","",IF(K983="",0,J983*INDEX(Products!$H$5:$H$204,K983)))</f>
        <v/>
      </c>
      <c r="P983" s="11">
        <f>IF(A983="","",J983-M983-N983-O983)</f>
        <v/>
      </c>
    </row>
    <row r="984">
      <c r="A984">
        <f>IFERROR(INDEX('Etsy Import'!$A:$CZ,984,Settings!$C$20)&amp;"","")</f>
        <v/>
      </c>
      <c r="B984">
        <f>IFERROR(INDEX('Etsy Import'!$A:$CZ,984,Settings!$C$21)&amp;"","")</f>
        <v/>
      </c>
      <c r="C984">
        <f>IFERROR(INDEX('Etsy Import'!$A:$CZ,984,Settings!$C$22)&amp;"","")</f>
        <v/>
      </c>
      <c r="D984">
        <f>IF(A984="","",IFERROR(VALUE(SUBSTITUTE(SUBSTITUTE(INDEX('Etsy Import'!$A:$CZ,984,Settings!$C$23)&amp;"","$",""),",","")),0))</f>
        <v/>
      </c>
      <c r="E984" s="11">
        <f>IF(A984="","",IFERROR(VALUE(SUBSTITUTE(SUBSTITUTE(INDEX('Etsy Import'!$A:$CZ,984,Settings!$C$24)&amp;"","$",""),",","")),0))</f>
        <v/>
      </c>
      <c r="F984" s="11">
        <f>IF(A984="","",D984*E984)</f>
        <v/>
      </c>
      <c r="G984">
        <f>IF(A984="","",IF(C984="",1,COUNTIF($C$2:$C$1501,C984)))</f>
        <v/>
      </c>
      <c r="H984" s="11">
        <f>IF(A984="","",IFERROR(VALUE(SUBSTITUTE(SUBSTITUTE(INDEX('Etsy Import'!$A:$CZ,984,Settings!$C$25)&amp;"","$",""),",","")),0)/IF(Settings!$B$27="Yes",G984,1))</f>
        <v/>
      </c>
      <c r="I984" s="11">
        <f>IF(A984="","",IFERROR(VALUE(SUBSTITUTE(SUBSTITUTE(INDEX('Etsy Import'!$A:$CZ,984,Settings!$C$26)&amp;"","$",""),",","")),0)/IF(Settings!$B$27="Yes",G984,1))</f>
        <v/>
      </c>
      <c r="J984" s="11">
        <f>IF(A984="","",F984+H984-I984)</f>
        <v/>
      </c>
      <c r="K984">
        <f>IF(A984="","",IFERROR(IF(B984="",NA(),MATCH(B984,Products!$B$5:$B$204,0)),IFERROR(MATCH(A984,Products!$A$5:$A$204,0),"")))</f>
        <v/>
      </c>
      <c r="L984">
        <f>IF(A984="","",IF(K984="","⚠ not in Products",INDEX(Products!$A$5:$A$204,K984)))</f>
        <v/>
      </c>
      <c r="M984" s="11">
        <f>IF(A984="","",J984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984+IFERROR(INDEX(Settings!$D$5:$D$9,MATCH("Etsy",Settings!$A$5:$A$9,0)),0)*D984)</f>
        <v/>
      </c>
      <c r="N984" s="11">
        <f>IF(A984="","",IF(K984="",0,D984*INDEX(Products!$I$5:$I$204,K984)))</f>
        <v/>
      </c>
      <c r="O984" s="11">
        <f>IF(A984="","",IF(K984="",0,J984*INDEX(Products!$H$5:$H$204,K984)))</f>
        <v/>
      </c>
      <c r="P984" s="11">
        <f>IF(A984="","",J984-M984-N984-O984)</f>
        <v/>
      </c>
    </row>
    <row r="985">
      <c r="A985">
        <f>IFERROR(INDEX('Etsy Import'!$A:$CZ,985,Settings!$C$20)&amp;"","")</f>
        <v/>
      </c>
      <c r="B985">
        <f>IFERROR(INDEX('Etsy Import'!$A:$CZ,985,Settings!$C$21)&amp;"","")</f>
        <v/>
      </c>
      <c r="C985">
        <f>IFERROR(INDEX('Etsy Import'!$A:$CZ,985,Settings!$C$22)&amp;"","")</f>
        <v/>
      </c>
      <c r="D985">
        <f>IF(A985="","",IFERROR(VALUE(SUBSTITUTE(SUBSTITUTE(INDEX('Etsy Import'!$A:$CZ,985,Settings!$C$23)&amp;"","$",""),",","")),0))</f>
        <v/>
      </c>
      <c r="E985" s="11">
        <f>IF(A985="","",IFERROR(VALUE(SUBSTITUTE(SUBSTITUTE(INDEX('Etsy Import'!$A:$CZ,985,Settings!$C$24)&amp;"","$",""),",","")),0))</f>
        <v/>
      </c>
      <c r="F985" s="11">
        <f>IF(A985="","",D985*E985)</f>
        <v/>
      </c>
      <c r="G985">
        <f>IF(A985="","",IF(C985="",1,COUNTIF($C$2:$C$1501,C985)))</f>
        <v/>
      </c>
      <c r="H985" s="11">
        <f>IF(A985="","",IFERROR(VALUE(SUBSTITUTE(SUBSTITUTE(INDEX('Etsy Import'!$A:$CZ,985,Settings!$C$25)&amp;"","$",""),",","")),0)/IF(Settings!$B$27="Yes",G985,1))</f>
        <v/>
      </c>
      <c r="I985" s="11">
        <f>IF(A985="","",IFERROR(VALUE(SUBSTITUTE(SUBSTITUTE(INDEX('Etsy Import'!$A:$CZ,985,Settings!$C$26)&amp;"","$",""),",","")),0)/IF(Settings!$B$27="Yes",G985,1))</f>
        <v/>
      </c>
      <c r="J985" s="11">
        <f>IF(A985="","",F985+H985-I985)</f>
        <v/>
      </c>
      <c r="K985">
        <f>IF(A985="","",IFERROR(IF(B985="",NA(),MATCH(B985,Products!$B$5:$B$204,0)),IFERROR(MATCH(A985,Products!$A$5:$A$204,0),"")))</f>
        <v/>
      </c>
      <c r="L985">
        <f>IF(A985="","",IF(K985="","⚠ not in Products",INDEX(Products!$A$5:$A$204,K985)))</f>
        <v/>
      </c>
      <c r="M985" s="11">
        <f>IF(A985="","",J985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985+IFERROR(INDEX(Settings!$D$5:$D$9,MATCH("Etsy",Settings!$A$5:$A$9,0)),0)*D985)</f>
        <v/>
      </c>
      <c r="N985" s="11">
        <f>IF(A985="","",IF(K985="",0,D985*INDEX(Products!$I$5:$I$204,K985)))</f>
        <v/>
      </c>
      <c r="O985" s="11">
        <f>IF(A985="","",IF(K985="",0,J985*INDEX(Products!$H$5:$H$204,K985)))</f>
        <v/>
      </c>
      <c r="P985" s="11">
        <f>IF(A985="","",J985-M985-N985-O985)</f>
        <v/>
      </c>
    </row>
    <row r="986">
      <c r="A986">
        <f>IFERROR(INDEX('Etsy Import'!$A:$CZ,986,Settings!$C$20)&amp;"","")</f>
        <v/>
      </c>
      <c r="B986">
        <f>IFERROR(INDEX('Etsy Import'!$A:$CZ,986,Settings!$C$21)&amp;"","")</f>
        <v/>
      </c>
      <c r="C986">
        <f>IFERROR(INDEX('Etsy Import'!$A:$CZ,986,Settings!$C$22)&amp;"","")</f>
        <v/>
      </c>
      <c r="D986">
        <f>IF(A986="","",IFERROR(VALUE(SUBSTITUTE(SUBSTITUTE(INDEX('Etsy Import'!$A:$CZ,986,Settings!$C$23)&amp;"","$",""),",","")),0))</f>
        <v/>
      </c>
      <c r="E986" s="11">
        <f>IF(A986="","",IFERROR(VALUE(SUBSTITUTE(SUBSTITUTE(INDEX('Etsy Import'!$A:$CZ,986,Settings!$C$24)&amp;"","$",""),",","")),0))</f>
        <v/>
      </c>
      <c r="F986" s="11">
        <f>IF(A986="","",D986*E986)</f>
        <v/>
      </c>
      <c r="G986">
        <f>IF(A986="","",IF(C986="",1,COUNTIF($C$2:$C$1501,C986)))</f>
        <v/>
      </c>
      <c r="H986" s="11">
        <f>IF(A986="","",IFERROR(VALUE(SUBSTITUTE(SUBSTITUTE(INDEX('Etsy Import'!$A:$CZ,986,Settings!$C$25)&amp;"","$",""),",","")),0)/IF(Settings!$B$27="Yes",G986,1))</f>
        <v/>
      </c>
      <c r="I986" s="11">
        <f>IF(A986="","",IFERROR(VALUE(SUBSTITUTE(SUBSTITUTE(INDEX('Etsy Import'!$A:$CZ,986,Settings!$C$26)&amp;"","$",""),",","")),0)/IF(Settings!$B$27="Yes",G986,1))</f>
        <v/>
      </c>
      <c r="J986" s="11">
        <f>IF(A986="","",F986+H986-I986)</f>
        <v/>
      </c>
      <c r="K986">
        <f>IF(A986="","",IFERROR(IF(B986="",NA(),MATCH(B986,Products!$B$5:$B$204,0)),IFERROR(MATCH(A986,Products!$A$5:$A$204,0),"")))</f>
        <v/>
      </c>
      <c r="L986">
        <f>IF(A986="","",IF(K986="","⚠ not in Products",INDEX(Products!$A$5:$A$204,K986)))</f>
        <v/>
      </c>
      <c r="M986" s="11">
        <f>IF(A986="","",J986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986+IFERROR(INDEX(Settings!$D$5:$D$9,MATCH("Etsy",Settings!$A$5:$A$9,0)),0)*D986)</f>
        <v/>
      </c>
      <c r="N986" s="11">
        <f>IF(A986="","",IF(K986="",0,D986*INDEX(Products!$I$5:$I$204,K986)))</f>
        <v/>
      </c>
      <c r="O986" s="11">
        <f>IF(A986="","",IF(K986="",0,J986*INDEX(Products!$H$5:$H$204,K986)))</f>
        <v/>
      </c>
      <c r="P986" s="11">
        <f>IF(A986="","",J986-M986-N986-O986)</f>
        <v/>
      </c>
    </row>
    <row r="987">
      <c r="A987">
        <f>IFERROR(INDEX('Etsy Import'!$A:$CZ,987,Settings!$C$20)&amp;"","")</f>
        <v/>
      </c>
      <c r="B987">
        <f>IFERROR(INDEX('Etsy Import'!$A:$CZ,987,Settings!$C$21)&amp;"","")</f>
        <v/>
      </c>
      <c r="C987">
        <f>IFERROR(INDEX('Etsy Import'!$A:$CZ,987,Settings!$C$22)&amp;"","")</f>
        <v/>
      </c>
      <c r="D987">
        <f>IF(A987="","",IFERROR(VALUE(SUBSTITUTE(SUBSTITUTE(INDEX('Etsy Import'!$A:$CZ,987,Settings!$C$23)&amp;"","$",""),",","")),0))</f>
        <v/>
      </c>
      <c r="E987" s="11">
        <f>IF(A987="","",IFERROR(VALUE(SUBSTITUTE(SUBSTITUTE(INDEX('Etsy Import'!$A:$CZ,987,Settings!$C$24)&amp;"","$",""),",","")),0))</f>
        <v/>
      </c>
      <c r="F987" s="11">
        <f>IF(A987="","",D987*E987)</f>
        <v/>
      </c>
      <c r="G987">
        <f>IF(A987="","",IF(C987="",1,COUNTIF($C$2:$C$1501,C987)))</f>
        <v/>
      </c>
      <c r="H987" s="11">
        <f>IF(A987="","",IFERROR(VALUE(SUBSTITUTE(SUBSTITUTE(INDEX('Etsy Import'!$A:$CZ,987,Settings!$C$25)&amp;"","$",""),",","")),0)/IF(Settings!$B$27="Yes",G987,1))</f>
        <v/>
      </c>
      <c r="I987" s="11">
        <f>IF(A987="","",IFERROR(VALUE(SUBSTITUTE(SUBSTITUTE(INDEX('Etsy Import'!$A:$CZ,987,Settings!$C$26)&amp;"","$",""),",","")),0)/IF(Settings!$B$27="Yes",G987,1))</f>
        <v/>
      </c>
      <c r="J987" s="11">
        <f>IF(A987="","",F987+H987-I987)</f>
        <v/>
      </c>
      <c r="K987">
        <f>IF(A987="","",IFERROR(IF(B987="",NA(),MATCH(B987,Products!$B$5:$B$204,0)),IFERROR(MATCH(A987,Products!$A$5:$A$204,0),"")))</f>
        <v/>
      </c>
      <c r="L987">
        <f>IF(A987="","",IF(K987="","⚠ not in Products",INDEX(Products!$A$5:$A$204,K987)))</f>
        <v/>
      </c>
      <c r="M987" s="11">
        <f>IF(A987="","",J987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987+IFERROR(INDEX(Settings!$D$5:$D$9,MATCH("Etsy",Settings!$A$5:$A$9,0)),0)*D987)</f>
        <v/>
      </c>
      <c r="N987" s="11">
        <f>IF(A987="","",IF(K987="",0,D987*INDEX(Products!$I$5:$I$204,K987)))</f>
        <v/>
      </c>
      <c r="O987" s="11">
        <f>IF(A987="","",IF(K987="",0,J987*INDEX(Products!$H$5:$H$204,K987)))</f>
        <v/>
      </c>
      <c r="P987" s="11">
        <f>IF(A987="","",J987-M987-N987-O987)</f>
        <v/>
      </c>
    </row>
    <row r="988">
      <c r="A988">
        <f>IFERROR(INDEX('Etsy Import'!$A:$CZ,988,Settings!$C$20)&amp;"","")</f>
        <v/>
      </c>
      <c r="B988">
        <f>IFERROR(INDEX('Etsy Import'!$A:$CZ,988,Settings!$C$21)&amp;"","")</f>
        <v/>
      </c>
      <c r="C988">
        <f>IFERROR(INDEX('Etsy Import'!$A:$CZ,988,Settings!$C$22)&amp;"","")</f>
        <v/>
      </c>
      <c r="D988">
        <f>IF(A988="","",IFERROR(VALUE(SUBSTITUTE(SUBSTITUTE(INDEX('Etsy Import'!$A:$CZ,988,Settings!$C$23)&amp;"","$",""),",","")),0))</f>
        <v/>
      </c>
      <c r="E988" s="11">
        <f>IF(A988="","",IFERROR(VALUE(SUBSTITUTE(SUBSTITUTE(INDEX('Etsy Import'!$A:$CZ,988,Settings!$C$24)&amp;"","$",""),",","")),0))</f>
        <v/>
      </c>
      <c r="F988" s="11">
        <f>IF(A988="","",D988*E988)</f>
        <v/>
      </c>
      <c r="G988">
        <f>IF(A988="","",IF(C988="",1,COUNTIF($C$2:$C$1501,C988)))</f>
        <v/>
      </c>
      <c r="H988" s="11">
        <f>IF(A988="","",IFERROR(VALUE(SUBSTITUTE(SUBSTITUTE(INDEX('Etsy Import'!$A:$CZ,988,Settings!$C$25)&amp;"","$",""),",","")),0)/IF(Settings!$B$27="Yes",G988,1))</f>
        <v/>
      </c>
      <c r="I988" s="11">
        <f>IF(A988="","",IFERROR(VALUE(SUBSTITUTE(SUBSTITUTE(INDEX('Etsy Import'!$A:$CZ,988,Settings!$C$26)&amp;"","$",""),",","")),0)/IF(Settings!$B$27="Yes",G988,1))</f>
        <v/>
      </c>
      <c r="J988" s="11">
        <f>IF(A988="","",F988+H988-I988)</f>
        <v/>
      </c>
      <c r="K988">
        <f>IF(A988="","",IFERROR(IF(B988="",NA(),MATCH(B988,Products!$B$5:$B$204,0)),IFERROR(MATCH(A988,Products!$A$5:$A$204,0),"")))</f>
        <v/>
      </c>
      <c r="L988">
        <f>IF(A988="","",IF(K988="","⚠ not in Products",INDEX(Products!$A$5:$A$204,K988)))</f>
        <v/>
      </c>
      <c r="M988" s="11">
        <f>IF(A988="","",J988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988+IFERROR(INDEX(Settings!$D$5:$D$9,MATCH("Etsy",Settings!$A$5:$A$9,0)),0)*D988)</f>
        <v/>
      </c>
      <c r="N988" s="11">
        <f>IF(A988="","",IF(K988="",0,D988*INDEX(Products!$I$5:$I$204,K988)))</f>
        <v/>
      </c>
      <c r="O988" s="11">
        <f>IF(A988="","",IF(K988="",0,J988*INDEX(Products!$H$5:$H$204,K988)))</f>
        <v/>
      </c>
      <c r="P988" s="11">
        <f>IF(A988="","",J988-M988-N988-O988)</f>
        <v/>
      </c>
    </row>
    <row r="989">
      <c r="A989">
        <f>IFERROR(INDEX('Etsy Import'!$A:$CZ,989,Settings!$C$20)&amp;"","")</f>
        <v/>
      </c>
      <c r="B989">
        <f>IFERROR(INDEX('Etsy Import'!$A:$CZ,989,Settings!$C$21)&amp;"","")</f>
        <v/>
      </c>
      <c r="C989">
        <f>IFERROR(INDEX('Etsy Import'!$A:$CZ,989,Settings!$C$22)&amp;"","")</f>
        <v/>
      </c>
      <c r="D989">
        <f>IF(A989="","",IFERROR(VALUE(SUBSTITUTE(SUBSTITUTE(INDEX('Etsy Import'!$A:$CZ,989,Settings!$C$23)&amp;"","$",""),",","")),0))</f>
        <v/>
      </c>
      <c r="E989" s="11">
        <f>IF(A989="","",IFERROR(VALUE(SUBSTITUTE(SUBSTITUTE(INDEX('Etsy Import'!$A:$CZ,989,Settings!$C$24)&amp;"","$",""),",","")),0))</f>
        <v/>
      </c>
      <c r="F989" s="11">
        <f>IF(A989="","",D989*E989)</f>
        <v/>
      </c>
      <c r="G989">
        <f>IF(A989="","",IF(C989="",1,COUNTIF($C$2:$C$1501,C989)))</f>
        <v/>
      </c>
      <c r="H989" s="11">
        <f>IF(A989="","",IFERROR(VALUE(SUBSTITUTE(SUBSTITUTE(INDEX('Etsy Import'!$A:$CZ,989,Settings!$C$25)&amp;"","$",""),",","")),0)/IF(Settings!$B$27="Yes",G989,1))</f>
        <v/>
      </c>
      <c r="I989" s="11">
        <f>IF(A989="","",IFERROR(VALUE(SUBSTITUTE(SUBSTITUTE(INDEX('Etsy Import'!$A:$CZ,989,Settings!$C$26)&amp;"","$",""),",","")),0)/IF(Settings!$B$27="Yes",G989,1))</f>
        <v/>
      </c>
      <c r="J989" s="11">
        <f>IF(A989="","",F989+H989-I989)</f>
        <v/>
      </c>
      <c r="K989">
        <f>IF(A989="","",IFERROR(IF(B989="",NA(),MATCH(B989,Products!$B$5:$B$204,0)),IFERROR(MATCH(A989,Products!$A$5:$A$204,0),"")))</f>
        <v/>
      </c>
      <c r="L989">
        <f>IF(A989="","",IF(K989="","⚠ not in Products",INDEX(Products!$A$5:$A$204,K989)))</f>
        <v/>
      </c>
      <c r="M989" s="11">
        <f>IF(A989="","",J989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989+IFERROR(INDEX(Settings!$D$5:$D$9,MATCH("Etsy",Settings!$A$5:$A$9,0)),0)*D989)</f>
        <v/>
      </c>
      <c r="N989" s="11">
        <f>IF(A989="","",IF(K989="",0,D989*INDEX(Products!$I$5:$I$204,K989)))</f>
        <v/>
      </c>
      <c r="O989" s="11">
        <f>IF(A989="","",IF(K989="",0,J989*INDEX(Products!$H$5:$H$204,K989)))</f>
        <v/>
      </c>
      <c r="P989" s="11">
        <f>IF(A989="","",J989-M989-N989-O989)</f>
        <v/>
      </c>
    </row>
    <row r="990">
      <c r="A990">
        <f>IFERROR(INDEX('Etsy Import'!$A:$CZ,990,Settings!$C$20)&amp;"","")</f>
        <v/>
      </c>
      <c r="B990">
        <f>IFERROR(INDEX('Etsy Import'!$A:$CZ,990,Settings!$C$21)&amp;"","")</f>
        <v/>
      </c>
      <c r="C990">
        <f>IFERROR(INDEX('Etsy Import'!$A:$CZ,990,Settings!$C$22)&amp;"","")</f>
        <v/>
      </c>
      <c r="D990">
        <f>IF(A990="","",IFERROR(VALUE(SUBSTITUTE(SUBSTITUTE(INDEX('Etsy Import'!$A:$CZ,990,Settings!$C$23)&amp;"","$",""),",","")),0))</f>
        <v/>
      </c>
      <c r="E990" s="11">
        <f>IF(A990="","",IFERROR(VALUE(SUBSTITUTE(SUBSTITUTE(INDEX('Etsy Import'!$A:$CZ,990,Settings!$C$24)&amp;"","$",""),",","")),0))</f>
        <v/>
      </c>
      <c r="F990" s="11">
        <f>IF(A990="","",D990*E990)</f>
        <v/>
      </c>
      <c r="G990">
        <f>IF(A990="","",IF(C990="",1,COUNTIF($C$2:$C$1501,C990)))</f>
        <v/>
      </c>
      <c r="H990" s="11">
        <f>IF(A990="","",IFERROR(VALUE(SUBSTITUTE(SUBSTITUTE(INDEX('Etsy Import'!$A:$CZ,990,Settings!$C$25)&amp;"","$",""),",","")),0)/IF(Settings!$B$27="Yes",G990,1))</f>
        <v/>
      </c>
      <c r="I990" s="11">
        <f>IF(A990="","",IFERROR(VALUE(SUBSTITUTE(SUBSTITUTE(INDEX('Etsy Import'!$A:$CZ,990,Settings!$C$26)&amp;"","$",""),",","")),0)/IF(Settings!$B$27="Yes",G990,1))</f>
        <v/>
      </c>
      <c r="J990" s="11">
        <f>IF(A990="","",F990+H990-I990)</f>
        <v/>
      </c>
      <c r="K990">
        <f>IF(A990="","",IFERROR(IF(B990="",NA(),MATCH(B990,Products!$B$5:$B$204,0)),IFERROR(MATCH(A990,Products!$A$5:$A$204,0),"")))</f>
        <v/>
      </c>
      <c r="L990">
        <f>IF(A990="","",IF(K990="","⚠ not in Products",INDEX(Products!$A$5:$A$204,K990)))</f>
        <v/>
      </c>
      <c r="M990" s="11">
        <f>IF(A990="","",J990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990+IFERROR(INDEX(Settings!$D$5:$D$9,MATCH("Etsy",Settings!$A$5:$A$9,0)),0)*D990)</f>
        <v/>
      </c>
      <c r="N990" s="11">
        <f>IF(A990="","",IF(K990="",0,D990*INDEX(Products!$I$5:$I$204,K990)))</f>
        <v/>
      </c>
      <c r="O990" s="11">
        <f>IF(A990="","",IF(K990="",0,J990*INDEX(Products!$H$5:$H$204,K990)))</f>
        <v/>
      </c>
      <c r="P990" s="11">
        <f>IF(A990="","",J990-M990-N990-O990)</f>
        <v/>
      </c>
    </row>
    <row r="991">
      <c r="A991">
        <f>IFERROR(INDEX('Etsy Import'!$A:$CZ,991,Settings!$C$20)&amp;"","")</f>
        <v/>
      </c>
      <c r="B991">
        <f>IFERROR(INDEX('Etsy Import'!$A:$CZ,991,Settings!$C$21)&amp;"","")</f>
        <v/>
      </c>
      <c r="C991">
        <f>IFERROR(INDEX('Etsy Import'!$A:$CZ,991,Settings!$C$22)&amp;"","")</f>
        <v/>
      </c>
      <c r="D991">
        <f>IF(A991="","",IFERROR(VALUE(SUBSTITUTE(SUBSTITUTE(INDEX('Etsy Import'!$A:$CZ,991,Settings!$C$23)&amp;"","$",""),",","")),0))</f>
        <v/>
      </c>
      <c r="E991" s="11">
        <f>IF(A991="","",IFERROR(VALUE(SUBSTITUTE(SUBSTITUTE(INDEX('Etsy Import'!$A:$CZ,991,Settings!$C$24)&amp;"","$",""),",","")),0))</f>
        <v/>
      </c>
      <c r="F991" s="11">
        <f>IF(A991="","",D991*E991)</f>
        <v/>
      </c>
      <c r="G991">
        <f>IF(A991="","",IF(C991="",1,COUNTIF($C$2:$C$1501,C991)))</f>
        <v/>
      </c>
      <c r="H991" s="11">
        <f>IF(A991="","",IFERROR(VALUE(SUBSTITUTE(SUBSTITUTE(INDEX('Etsy Import'!$A:$CZ,991,Settings!$C$25)&amp;"","$",""),",","")),0)/IF(Settings!$B$27="Yes",G991,1))</f>
        <v/>
      </c>
      <c r="I991" s="11">
        <f>IF(A991="","",IFERROR(VALUE(SUBSTITUTE(SUBSTITUTE(INDEX('Etsy Import'!$A:$CZ,991,Settings!$C$26)&amp;"","$",""),",","")),0)/IF(Settings!$B$27="Yes",G991,1))</f>
        <v/>
      </c>
      <c r="J991" s="11">
        <f>IF(A991="","",F991+H991-I991)</f>
        <v/>
      </c>
      <c r="K991">
        <f>IF(A991="","",IFERROR(IF(B991="",NA(),MATCH(B991,Products!$B$5:$B$204,0)),IFERROR(MATCH(A991,Products!$A$5:$A$204,0),"")))</f>
        <v/>
      </c>
      <c r="L991">
        <f>IF(A991="","",IF(K991="","⚠ not in Products",INDEX(Products!$A$5:$A$204,K991)))</f>
        <v/>
      </c>
      <c r="M991" s="11">
        <f>IF(A991="","",J991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991+IFERROR(INDEX(Settings!$D$5:$D$9,MATCH("Etsy",Settings!$A$5:$A$9,0)),0)*D991)</f>
        <v/>
      </c>
      <c r="N991" s="11">
        <f>IF(A991="","",IF(K991="",0,D991*INDEX(Products!$I$5:$I$204,K991)))</f>
        <v/>
      </c>
      <c r="O991" s="11">
        <f>IF(A991="","",IF(K991="",0,J991*INDEX(Products!$H$5:$H$204,K991)))</f>
        <v/>
      </c>
      <c r="P991" s="11">
        <f>IF(A991="","",J991-M991-N991-O991)</f>
        <v/>
      </c>
    </row>
    <row r="992">
      <c r="A992">
        <f>IFERROR(INDEX('Etsy Import'!$A:$CZ,992,Settings!$C$20)&amp;"","")</f>
        <v/>
      </c>
      <c r="B992">
        <f>IFERROR(INDEX('Etsy Import'!$A:$CZ,992,Settings!$C$21)&amp;"","")</f>
        <v/>
      </c>
      <c r="C992">
        <f>IFERROR(INDEX('Etsy Import'!$A:$CZ,992,Settings!$C$22)&amp;"","")</f>
        <v/>
      </c>
      <c r="D992">
        <f>IF(A992="","",IFERROR(VALUE(SUBSTITUTE(SUBSTITUTE(INDEX('Etsy Import'!$A:$CZ,992,Settings!$C$23)&amp;"","$",""),",","")),0))</f>
        <v/>
      </c>
      <c r="E992" s="11">
        <f>IF(A992="","",IFERROR(VALUE(SUBSTITUTE(SUBSTITUTE(INDEX('Etsy Import'!$A:$CZ,992,Settings!$C$24)&amp;"","$",""),",","")),0))</f>
        <v/>
      </c>
      <c r="F992" s="11">
        <f>IF(A992="","",D992*E992)</f>
        <v/>
      </c>
      <c r="G992">
        <f>IF(A992="","",IF(C992="",1,COUNTIF($C$2:$C$1501,C992)))</f>
        <v/>
      </c>
      <c r="H992" s="11">
        <f>IF(A992="","",IFERROR(VALUE(SUBSTITUTE(SUBSTITUTE(INDEX('Etsy Import'!$A:$CZ,992,Settings!$C$25)&amp;"","$",""),",","")),0)/IF(Settings!$B$27="Yes",G992,1))</f>
        <v/>
      </c>
      <c r="I992" s="11">
        <f>IF(A992="","",IFERROR(VALUE(SUBSTITUTE(SUBSTITUTE(INDEX('Etsy Import'!$A:$CZ,992,Settings!$C$26)&amp;"","$",""),",","")),0)/IF(Settings!$B$27="Yes",G992,1))</f>
        <v/>
      </c>
      <c r="J992" s="11">
        <f>IF(A992="","",F992+H992-I992)</f>
        <v/>
      </c>
      <c r="K992">
        <f>IF(A992="","",IFERROR(IF(B992="",NA(),MATCH(B992,Products!$B$5:$B$204,0)),IFERROR(MATCH(A992,Products!$A$5:$A$204,0),"")))</f>
        <v/>
      </c>
      <c r="L992">
        <f>IF(A992="","",IF(K992="","⚠ not in Products",INDEX(Products!$A$5:$A$204,K992)))</f>
        <v/>
      </c>
      <c r="M992" s="11">
        <f>IF(A992="","",J992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992+IFERROR(INDEX(Settings!$D$5:$D$9,MATCH("Etsy",Settings!$A$5:$A$9,0)),0)*D992)</f>
        <v/>
      </c>
      <c r="N992" s="11">
        <f>IF(A992="","",IF(K992="",0,D992*INDEX(Products!$I$5:$I$204,K992)))</f>
        <v/>
      </c>
      <c r="O992" s="11">
        <f>IF(A992="","",IF(K992="",0,J992*INDEX(Products!$H$5:$H$204,K992)))</f>
        <v/>
      </c>
      <c r="P992" s="11">
        <f>IF(A992="","",J992-M992-N992-O992)</f>
        <v/>
      </c>
    </row>
    <row r="993">
      <c r="A993">
        <f>IFERROR(INDEX('Etsy Import'!$A:$CZ,993,Settings!$C$20)&amp;"","")</f>
        <v/>
      </c>
      <c r="B993">
        <f>IFERROR(INDEX('Etsy Import'!$A:$CZ,993,Settings!$C$21)&amp;"","")</f>
        <v/>
      </c>
      <c r="C993">
        <f>IFERROR(INDEX('Etsy Import'!$A:$CZ,993,Settings!$C$22)&amp;"","")</f>
        <v/>
      </c>
      <c r="D993">
        <f>IF(A993="","",IFERROR(VALUE(SUBSTITUTE(SUBSTITUTE(INDEX('Etsy Import'!$A:$CZ,993,Settings!$C$23)&amp;"","$",""),",","")),0))</f>
        <v/>
      </c>
      <c r="E993" s="11">
        <f>IF(A993="","",IFERROR(VALUE(SUBSTITUTE(SUBSTITUTE(INDEX('Etsy Import'!$A:$CZ,993,Settings!$C$24)&amp;"","$",""),",","")),0))</f>
        <v/>
      </c>
      <c r="F993" s="11">
        <f>IF(A993="","",D993*E993)</f>
        <v/>
      </c>
      <c r="G993">
        <f>IF(A993="","",IF(C993="",1,COUNTIF($C$2:$C$1501,C993)))</f>
        <v/>
      </c>
      <c r="H993" s="11">
        <f>IF(A993="","",IFERROR(VALUE(SUBSTITUTE(SUBSTITUTE(INDEX('Etsy Import'!$A:$CZ,993,Settings!$C$25)&amp;"","$",""),",","")),0)/IF(Settings!$B$27="Yes",G993,1))</f>
        <v/>
      </c>
      <c r="I993" s="11">
        <f>IF(A993="","",IFERROR(VALUE(SUBSTITUTE(SUBSTITUTE(INDEX('Etsy Import'!$A:$CZ,993,Settings!$C$26)&amp;"","$",""),",","")),0)/IF(Settings!$B$27="Yes",G993,1))</f>
        <v/>
      </c>
      <c r="J993" s="11">
        <f>IF(A993="","",F993+H993-I993)</f>
        <v/>
      </c>
      <c r="K993">
        <f>IF(A993="","",IFERROR(IF(B993="",NA(),MATCH(B993,Products!$B$5:$B$204,0)),IFERROR(MATCH(A993,Products!$A$5:$A$204,0),"")))</f>
        <v/>
      </c>
      <c r="L993">
        <f>IF(A993="","",IF(K993="","⚠ not in Products",INDEX(Products!$A$5:$A$204,K993)))</f>
        <v/>
      </c>
      <c r="M993" s="11">
        <f>IF(A993="","",J993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993+IFERROR(INDEX(Settings!$D$5:$D$9,MATCH("Etsy",Settings!$A$5:$A$9,0)),0)*D993)</f>
        <v/>
      </c>
      <c r="N993" s="11">
        <f>IF(A993="","",IF(K993="",0,D993*INDEX(Products!$I$5:$I$204,K993)))</f>
        <v/>
      </c>
      <c r="O993" s="11">
        <f>IF(A993="","",IF(K993="",0,J993*INDEX(Products!$H$5:$H$204,K993)))</f>
        <v/>
      </c>
      <c r="P993" s="11">
        <f>IF(A993="","",J993-M993-N993-O993)</f>
        <v/>
      </c>
    </row>
    <row r="994">
      <c r="A994">
        <f>IFERROR(INDEX('Etsy Import'!$A:$CZ,994,Settings!$C$20)&amp;"","")</f>
        <v/>
      </c>
      <c r="B994">
        <f>IFERROR(INDEX('Etsy Import'!$A:$CZ,994,Settings!$C$21)&amp;"","")</f>
        <v/>
      </c>
      <c r="C994">
        <f>IFERROR(INDEX('Etsy Import'!$A:$CZ,994,Settings!$C$22)&amp;"","")</f>
        <v/>
      </c>
      <c r="D994">
        <f>IF(A994="","",IFERROR(VALUE(SUBSTITUTE(SUBSTITUTE(INDEX('Etsy Import'!$A:$CZ,994,Settings!$C$23)&amp;"","$",""),",","")),0))</f>
        <v/>
      </c>
      <c r="E994" s="11">
        <f>IF(A994="","",IFERROR(VALUE(SUBSTITUTE(SUBSTITUTE(INDEX('Etsy Import'!$A:$CZ,994,Settings!$C$24)&amp;"","$",""),",","")),0))</f>
        <v/>
      </c>
      <c r="F994" s="11">
        <f>IF(A994="","",D994*E994)</f>
        <v/>
      </c>
      <c r="G994">
        <f>IF(A994="","",IF(C994="",1,COUNTIF($C$2:$C$1501,C994)))</f>
        <v/>
      </c>
      <c r="H994" s="11">
        <f>IF(A994="","",IFERROR(VALUE(SUBSTITUTE(SUBSTITUTE(INDEX('Etsy Import'!$A:$CZ,994,Settings!$C$25)&amp;"","$",""),",","")),0)/IF(Settings!$B$27="Yes",G994,1))</f>
        <v/>
      </c>
      <c r="I994" s="11">
        <f>IF(A994="","",IFERROR(VALUE(SUBSTITUTE(SUBSTITUTE(INDEX('Etsy Import'!$A:$CZ,994,Settings!$C$26)&amp;"","$",""),",","")),0)/IF(Settings!$B$27="Yes",G994,1))</f>
        <v/>
      </c>
      <c r="J994" s="11">
        <f>IF(A994="","",F994+H994-I994)</f>
        <v/>
      </c>
      <c r="K994">
        <f>IF(A994="","",IFERROR(IF(B994="",NA(),MATCH(B994,Products!$B$5:$B$204,0)),IFERROR(MATCH(A994,Products!$A$5:$A$204,0),"")))</f>
        <v/>
      </c>
      <c r="L994">
        <f>IF(A994="","",IF(K994="","⚠ not in Products",INDEX(Products!$A$5:$A$204,K994)))</f>
        <v/>
      </c>
      <c r="M994" s="11">
        <f>IF(A994="","",J994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994+IFERROR(INDEX(Settings!$D$5:$D$9,MATCH("Etsy",Settings!$A$5:$A$9,0)),0)*D994)</f>
        <v/>
      </c>
      <c r="N994" s="11">
        <f>IF(A994="","",IF(K994="",0,D994*INDEX(Products!$I$5:$I$204,K994)))</f>
        <v/>
      </c>
      <c r="O994" s="11">
        <f>IF(A994="","",IF(K994="",0,J994*INDEX(Products!$H$5:$H$204,K994)))</f>
        <v/>
      </c>
      <c r="P994" s="11">
        <f>IF(A994="","",J994-M994-N994-O994)</f>
        <v/>
      </c>
    </row>
    <row r="995">
      <c r="A995">
        <f>IFERROR(INDEX('Etsy Import'!$A:$CZ,995,Settings!$C$20)&amp;"","")</f>
        <v/>
      </c>
      <c r="B995">
        <f>IFERROR(INDEX('Etsy Import'!$A:$CZ,995,Settings!$C$21)&amp;"","")</f>
        <v/>
      </c>
      <c r="C995">
        <f>IFERROR(INDEX('Etsy Import'!$A:$CZ,995,Settings!$C$22)&amp;"","")</f>
        <v/>
      </c>
      <c r="D995">
        <f>IF(A995="","",IFERROR(VALUE(SUBSTITUTE(SUBSTITUTE(INDEX('Etsy Import'!$A:$CZ,995,Settings!$C$23)&amp;"","$",""),",","")),0))</f>
        <v/>
      </c>
      <c r="E995" s="11">
        <f>IF(A995="","",IFERROR(VALUE(SUBSTITUTE(SUBSTITUTE(INDEX('Etsy Import'!$A:$CZ,995,Settings!$C$24)&amp;"","$",""),",","")),0))</f>
        <v/>
      </c>
      <c r="F995" s="11">
        <f>IF(A995="","",D995*E995)</f>
        <v/>
      </c>
      <c r="G995">
        <f>IF(A995="","",IF(C995="",1,COUNTIF($C$2:$C$1501,C995)))</f>
        <v/>
      </c>
      <c r="H995" s="11">
        <f>IF(A995="","",IFERROR(VALUE(SUBSTITUTE(SUBSTITUTE(INDEX('Etsy Import'!$A:$CZ,995,Settings!$C$25)&amp;"","$",""),",","")),0)/IF(Settings!$B$27="Yes",G995,1))</f>
        <v/>
      </c>
      <c r="I995" s="11">
        <f>IF(A995="","",IFERROR(VALUE(SUBSTITUTE(SUBSTITUTE(INDEX('Etsy Import'!$A:$CZ,995,Settings!$C$26)&amp;"","$",""),",","")),0)/IF(Settings!$B$27="Yes",G995,1))</f>
        <v/>
      </c>
      <c r="J995" s="11">
        <f>IF(A995="","",F995+H995-I995)</f>
        <v/>
      </c>
      <c r="K995">
        <f>IF(A995="","",IFERROR(IF(B995="",NA(),MATCH(B995,Products!$B$5:$B$204,0)),IFERROR(MATCH(A995,Products!$A$5:$A$204,0),"")))</f>
        <v/>
      </c>
      <c r="L995">
        <f>IF(A995="","",IF(K995="","⚠ not in Products",INDEX(Products!$A$5:$A$204,K995)))</f>
        <v/>
      </c>
      <c r="M995" s="11">
        <f>IF(A995="","",J995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995+IFERROR(INDEX(Settings!$D$5:$D$9,MATCH("Etsy",Settings!$A$5:$A$9,0)),0)*D995)</f>
        <v/>
      </c>
      <c r="N995" s="11">
        <f>IF(A995="","",IF(K995="",0,D995*INDEX(Products!$I$5:$I$204,K995)))</f>
        <v/>
      </c>
      <c r="O995" s="11">
        <f>IF(A995="","",IF(K995="",0,J995*INDEX(Products!$H$5:$H$204,K995)))</f>
        <v/>
      </c>
      <c r="P995" s="11">
        <f>IF(A995="","",J995-M995-N995-O995)</f>
        <v/>
      </c>
    </row>
    <row r="996">
      <c r="A996">
        <f>IFERROR(INDEX('Etsy Import'!$A:$CZ,996,Settings!$C$20)&amp;"","")</f>
        <v/>
      </c>
      <c r="B996">
        <f>IFERROR(INDEX('Etsy Import'!$A:$CZ,996,Settings!$C$21)&amp;"","")</f>
        <v/>
      </c>
      <c r="C996">
        <f>IFERROR(INDEX('Etsy Import'!$A:$CZ,996,Settings!$C$22)&amp;"","")</f>
        <v/>
      </c>
      <c r="D996">
        <f>IF(A996="","",IFERROR(VALUE(SUBSTITUTE(SUBSTITUTE(INDEX('Etsy Import'!$A:$CZ,996,Settings!$C$23)&amp;"","$",""),",","")),0))</f>
        <v/>
      </c>
      <c r="E996" s="11">
        <f>IF(A996="","",IFERROR(VALUE(SUBSTITUTE(SUBSTITUTE(INDEX('Etsy Import'!$A:$CZ,996,Settings!$C$24)&amp;"","$",""),",","")),0))</f>
        <v/>
      </c>
      <c r="F996" s="11">
        <f>IF(A996="","",D996*E996)</f>
        <v/>
      </c>
      <c r="G996">
        <f>IF(A996="","",IF(C996="",1,COUNTIF($C$2:$C$1501,C996)))</f>
        <v/>
      </c>
      <c r="H996" s="11">
        <f>IF(A996="","",IFERROR(VALUE(SUBSTITUTE(SUBSTITUTE(INDEX('Etsy Import'!$A:$CZ,996,Settings!$C$25)&amp;"","$",""),",","")),0)/IF(Settings!$B$27="Yes",G996,1))</f>
        <v/>
      </c>
      <c r="I996" s="11">
        <f>IF(A996="","",IFERROR(VALUE(SUBSTITUTE(SUBSTITUTE(INDEX('Etsy Import'!$A:$CZ,996,Settings!$C$26)&amp;"","$",""),",","")),0)/IF(Settings!$B$27="Yes",G996,1))</f>
        <v/>
      </c>
      <c r="J996" s="11">
        <f>IF(A996="","",F996+H996-I996)</f>
        <v/>
      </c>
      <c r="K996">
        <f>IF(A996="","",IFERROR(IF(B996="",NA(),MATCH(B996,Products!$B$5:$B$204,0)),IFERROR(MATCH(A996,Products!$A$5:$A$204,0),"")))</f>
        <v/>
      </c>
      <c r="L996">
        <f>IF(A996="","",IF(K996="","⚠ not in Products",INDEX(Products!$A$5:$A$204,K996)))</f>
        <v/>
      </c>
      <c r="M996" s="11">
        <f>IF(A996="","",J996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996+IFERROR(INDEX(Settings!$D$5:$D$9,MATCH("Etsy",Settings!$A$5:$A$9,0)),0)*D996)</f>
        <v/>
      </c>
      <c r="N996" s="11">
        <f>IF(A996="","",IF(K996="",0,D996*INDEX(Products!$I$5:$I$204,K996)))</f>
        <v/>
      </c>
      <c r="O996" s="11">
        <f>IF(A996="","",IF(K996="",0,J996*INDEX(Products!$H$5:$H$204,K996)))</f>
        <v/>
      </c>
      <c r="P996" s="11">
        <f>IF(A996="","",J996-M996-N996-O996)</f>
        <v/>
      </c>
    </row>
    <row r="997">
      <c r="A997">
        <f>IFERROR(INDEX('Etsy Import'!$A:$CZ,997,Settings!$C$20)&amp;"","")</f>
        <v/>
      </c>
      <c r="B997">
        <f>IFERROR(INDEX('Etsy Import'!$A:$CZ,997,Settings!$C$21)&amp;"","")</f>
        <v/>
      </c>
      <c r="C997">
        <f>IFERROR(INDEX('Etsy Import'!$A:$CZ,997,Settings!$C$22)&amp;"","")</f>
        <v/>
      </c>
      <c r="D997">
        <f>IF(A997="","",IFERROR(VALUE(SUBSTITUTE(SUBSTITUTE(INDEX('Etsy Import'!$A:$CZ,997,Settings!$C$23)&amp;"","$",""),",","")),0))</f>
        <v/>
      </c>
      <c r="E997" s="11">
        <f>IF(A997="","",IFERROR(VALUE(SUBSTITUTE(SUBSTITUTE(INDEX('Etsy Import'!$A:$CZ,997,Settings!$C$24)&amp;"","$",""),",","")),0))</f>
        <v/>
      </c>
      <c r="F997" s="11">
        <f>IF(A997="","",D997*E997)</f>
        <v/>
      </c>
      <c r="G997">
        <f>IF(A997="","",IF(C997="",1,COUNTIF($C$2:$C$1501,C997)))</f>
        <v/>
      </c>
      <c r="H997" s="11">
        <f>IF(A997="","",IFERROR(VALUE(SUBSTITUTE(SUBSTITUTE(INDEX('Etsy Import'!$A:$CZ,997,Settings!$C$25)&amp;"","$",""),",","")),0)/IF(Settings!$B$27="Yes",G997,1))</f>
        <v/>
      </c>
      <c r="I997" s="11">
        <f>IF(A997="","",IFERROR(VALUE(SUBSTITUTE(SUBSTITUTE(INDEX('Etsy Import'!$A:$CZ,997,Settings!$C$26)&amp;"","$",""),",","")),0)/IF(Settings!$B$27="Yes",G997,1))</f>
        <v/>
      </c>
      <c r="J997" s="11">
        <f>IF(A997="","",F997+H997-I997)</f>
        <v/>
      </c>
      <c r="K997">
        <f>IF(A997="","",IFERROR(IF(B997="",NA(),MATCH(B997,Products!$B$5:$B$204,0)),IFERROR(MATCH(A997,Products!$A$5:$A$204,0),"")))</f>
        <v/>
      </c>
      <c r="L997">
        <f>IF(A997="","",IF(K997="","⚠ not in Products",INDEX(Products!$A$5:$A$204,K997)))</f>
        <v/>
      </c>
      <c r="M997" s="11">
        <f>IF(A997="","",J997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997+IFERROR(INDEX(Settings!$D$5:$D$9,MATCH("Etsy",Settings!$A$5:$A$9,0)),0)*D997)</f>
        <v/>
      </c>
      <c r="N997" s="11">
        <f>IF(A997="","",IF(K997="",0,D997*INDEX(Products!$I$5:$I$204,K997)))</f>
        <v/>
      </c>
      <c r="O997" s="11">
        <f>IF(A997="","",IF(K997="",0,J997*INDEX(Products!$H$5:$H$204,K997)))</f>
        <v/>
      </c>
      <c r="P997" s="11">
        <f>IF(A997="","",J997-M997-N997-O997)</f>
        <v/>
      </c>
    </row>
    <row r="998">
      <c r="A998">
        <f>IFERROR(INDEX('Etsy Import'!$A:$CZ,998,Settings!$C$20)&amp;"","")</f>
        <v/>
      </c>
      <c r="B998">
        <f>IFERROR(INDEX('Etsy Import'!$A:$CZ,998,Settings!$C$21)&amp;"","")</f>
        <v/>
      </c>
      <c r="C998">
        <f>IFERROR(INDEX('Etsy Import'!$A:$CZ,998,Settings!$C$22)&amp;"","")</f>
        <v/>
      </c>
      <c r="D998">
        <f>IF(A998="","",IFERROR(VALUE(SUBSTITUTE(SUBSTITUTE(INDEX('Etsy Import'!$A:$CZ,998,Settings!$C$23)&amp;"","$",""),",","")),0))</f>
        <v/>
      </c>
      <c r="E998" s="11">
        <f>IF(A998="","",IFERROR(VALUE(SUBSTITUTE(SUBSTITUTE(INDEX('Etsy Import'!$A:$CZ,998,Settings!$C$24)&amp;"","$",""),",","")),0))</f>
        <v/>
      </c>
      <c r="F998" s="11">
        <f>IF(A998="","",D998*E998)</f>
        <v/>
      </c>
      <c r="G998">
        <f>IF(A998="","",IF(C998="",1,COUNTIF($C$2:$C$1501,C998)))</f>
        <v/>
      </c>
      <c r="H998" s="11">
        <f>IF(A998="","",IFERROR(VALUE(SUBSTITUTE(SUBSTITUTE(INDEX('Etsy Import'!$A:$CZ,998,Settings!$C$25)&amp;"","$",""),",","")),0)/IF(Settings!$B$27="Yes",G998,1))</f>
        <v/>
      </c>
      <c r="I998" s="11">
        <f>IF(A998="","",IFERROR(VALUE(SUBSTITUTE(SUBSTITUTE(INDEX('Etsy Import'!$A:$CZ,998,Settings!$C$26)&amp;"","$",""),",","")),0)/IF(Settings!$B$27="Yes",G998,1))</f>
        <v/>
      </c>
      <c r="J998" s="11">
        <f>IF(A998="","",F998+H998-I998)</f>
        <v/>
      </c>
      <c r="K998">
        <f>IF(A998="","",IFERROR(IF(B998="",NA(),MATCH(B998,Products!$B$5:$B$204,0)),IFERROR(MATCH(A998,Products!$A$5:$A$204,0),"")))</f>
        <v/>
      </c>
      <c r="L998">
        <f>IF(A998="","",IF(K998="","⚠ not in Products",INDEX(Products!$A$5:$A$204,K998)))</f>
        <v/>
      </c>
      <c r="M998" s="11">
        <f>IF(A998="","",J998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998+IFERROR(INDEX(Settings!$D$5:$D$9,MATCH("Etsy",Settings!$A$5:$A$9,0)),0)*D998)</f>
        <v/>
      </c>
      <c r="N998" s="11">
        <f>IF(A998="","",IF(K998="",0,D998*INDEX(Products!$I$5:$I$204,K998)))</f>
        <v/>
      </c>
      <c r="O998" s="11">
        <f>IF(A998="","",IF(K998="",0,J998*INDEX(Products!$H$5:$H$204,K998)))</f>
        <v/>
      </c>
      <c r="P998" s="11">
        <f>IF(A998="","",J998-M998-N998-O998)</f>
        <v/>
      </c>
    </row>
    <row r="999">
      <c r="A999">
        <f>IFERROR(INDEX('Etsy Import'!$A:$CZ,999,Settings!$C$20)&amp;"","")</f>
        <v/>
      </c>
      <c r="B999">
        <f>IFERROR(INDEX('Etsy Import'!$A:$CZ,999,Settings!$C$21)&amp;"","")</f>
        <v/>
      </c>
      <c r="C999">
        <f>IFERROR(INDEX('Etsy Import'!$A:$CZ,999,Settings!$C$22)&amp;"","")</f>
        <v/>
      </c>
      <c r="D999">
        <f>IF(A999="","",IFERROR(VALUE(SUBSTITUTE(SUBSTITUTE(INDEX('Etsy Import'!$A:$CZ,999,Settings!$C$23)&amp;"","$",""),",","")),0))</f>
        <v/>
      </c>
      <c r="E999" s="11">
        <f>IF(A999="","",IFERROR(VALUE(SUBSTITUTE(SUBSTITUTE(INDEX('Etsy Import'!$A:$CZ,999,Settings!$C$24)&amp;"","$",""),",","")),0))</f>
        <v/>
      </c>
      <c r="F999" s="11">
        <f>IF(A999="","",D999*E999)</f>
        <v/>
      </c>
      <c r="G999">
        <f>IF(A999="","",IF(C999="",1,COUNTIF($C$2:$C$1501,C999)))</f>
        <v/>
      </c>
      <c r="H999" s="11">
        <f>IF(A999="","",IFERROR(VALUE(SUBSTITUTE(SUBSTITUTE(INDEX('Etsy Import'!$A:$CZ,999,Settings!$C$25)&amp;"","$",""),",","")),0)/IF(Settings!$B$27="Yes",G999,1))</f>
        <v/>
      </c>
      <c r="I999" s="11">
        <f>IF(A999="","",IFERROR(VALUE(SUBSTITUTE(SUBSTITUTE(INDEX('Etsy Import'!$A:$CZ,999,Settings!$C$26)&amp;"","$",""),",","")),0)/IF(Settings!$B$27="Yes",G999,1))</f>
        <v/>
      </c>
      <c r="J999" s="11">
        <f>IF(A999="","",F999+H999-I999)</f>
        <v/>
      </c>
      <c r="K999">
        <f>IF(A999="","",IFERROR(IF(B999="",NA(),MATCH(B999,Products!$B$5:$B$204,0)),IFERROR(MATCH(A999,Products!$A$5:$A$204,0),"")))</f>
        <v/>
      </c>
      <c r="L999">
        <f>IF(A999="","",IF(K999="","⚠ not in Products",INDEX(Products!$A$5:$A$204,K999)))</f>
        <v/>
      </c>
      <c r="M999" s="11">
        <f>IF(A999="","",J999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999+IFERROR(INDEX(Settings!$D$5:$D$9,MATCH("Etsy",Settings!$A$5:$A$9,0)),0)*D999)</f>
        <v/>
      </c>
      <c r="N999" s="11">
        <f>IF(A999="","",IF(K999="",0,D999*INDEX(Products!$I$5:$I$204,K999)))</f>
        <v/>
      </c>
      <c r="O999" s="11">
        <f>IF(A999="","",IF(K999="",0,J999*INDEX(Products!$H$5:$H$204,K999)))</f>
        <v/>
      </c>
      <c r="P999" s="11">
        <f>IF(A999="","",J999-M999-N999-O999)</f>
        <v/>
      </c>
    </row>
    <row r="1000">
      <c r="A1000">
        <f>IFERROR(INDEX('Etsy Import'!$A:$CZ,1000,Settings!$C$20)&amp;"","")</f>
        <v/>
      </c>
      <c r="B1000">
        <f>IFERROR(INDEX('Etsy Import'!$A:$CZ,1000,Settings!$C$21)&amp;"","")</f>
        <v/>
      </c>
      <c r="C1000">
        <f>IFERROR(INDEX('Etsy Import'!$A:$CZ,1000,Settings!$C$22)&amp;"","")</f>
        <v/>
      </c>
      <c r="D1000">
        <f>IF(A1000="","",IFERROR(VALUE(SUBSTITUTE(SUBSTITUTE(INDEX('Etsy Import'!$A:$CZ,1000,Settings!$C$23)&amp;"","$",""),",","")),0))</f>
        <v/>
      </c>
      <c r="E1000" s="11">
        <f>IF(A1000="","",IFERROR(VALUE(SUBSTITUTE(SUBSTITUTE(INDEX('Etsy Import'!$A:$CZ,1000,Settings!$C$24)&amp;"","$",""),",","")),0))</f>
        <v/>
      </c>
      <c r="F1000" s="11">
        <f>IF(A1000="","",D1000*E1000)</f>
        <v/>
      </c>
      <c r="G1000">
        <f>IF(A1000="","",IF(C1000="",1,COUNTIF($C$2:$C$1501,C1000)))</f>
        <v/>
      </c>
      <c r="H1000" s="11">
        <f>IF(A1000="","",IFERROR(VALUE(SUBSTITUTE(SUBSTITUTE(INDEX('Etsy Import'!$A:$CZ,1000,Settings!$C$25)&amp;"","$",""),",","")),0)/IF(Settings!$B$27="Yes",G1000,1))</f>
        <v/>
      </c>
      <c r="I1000" s="11">
        <f>IF(A1000="","",IFERROR(VALUE(SUBSTITUTE(SUBSTITUTE(INDEX('Etsy Import'!$A:$CZ,1000,Settings!$C$26)&amp;"","$",""),",","")),0)/IF(Settings!$B$27="Yes",G1000,1))</f>
        <v/>
      </c>
      <c r="J1000" s="11">
        <f>IF(A1000="","",F1000+H1000-I1000)</f>
        <v/>
      </c>
      <c r="K1000">
        <f>IF(A1000="","",IFERROR(IF(B1000="",NA(),MATCH(B1000,Products!$B$5:$B$204,0)),IFERROR(MATCH(A1000,Products!$A$5:$A$204,0),"")))</f>
        <v/>
      </c>
      <c r="L1000">
        <f>IF(A1000="","",IF(K1000="","⚠ not in Products",INDEX(Products!$A$5:$A$204,K1000)))</f>
        <v/>
      </c>
      <c r="M1000" s="11">
        <f>IF(A1000="","",J1000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1000+IFERROR(INDEX(Settings!$D$5:$D$9,MATCH("Etsy",Settings!$A$5:$A$9,0)),0)*D1000)</f>
        <v/>
      </c>
      <c r="N1000" s="11">
        <f>IF(A1000="","",IF(K1000="",0,D1000*INDEX(Products!$I$5:$I$204,K1000)))</f>
        <v/>
      </c>
      <c r="O1000" s="11">
        <f>IF(A1000="","",IF(K1000="",0,J1000*INDEX(Products!$H$5:$H$204,K1000)))</f>
        <v/>
      </c>
      <c r="P1000" s="11">
        <f>IF(A1000="","",J1000-M1000-N1000-O1000)</f>
        <v/>
      </c>
    </row>
    <row r="1001">
      <c r="A1001">
        <f>IFERROR(INDEX('Etsy Import'!$A:$CZ,1001,Settings!$C$20)&amp;"","")</f>
        <v/>
      </c>
      <c r="B1001">
        <f>IFERROR(INDEX('Etsy Import'!$A:$CZ,1001,Settings!$C$21)&amp;"","")</f>
        <v/>
      </c>
      <c r="C1001">
        <f>IFERROR(INDEX('Etsy Import'!$A:$CZ,1001,Settings!$C$22)&amp;"","")</f>
        <v/>
      </c>
      <c r="D1001">
        <f>IF(A1001="","",IFERROR(VALUE(SUBSTITUTE(SUBSTITUTE(INDEX('Etsy Import'!$A:$CZ,1001,Settings!$C$23)&amp;"","$",""),",","")),0))</f>
        <v/>
      </c>
      <c r="E1001" s="11">
        <f>IF(A1001="","",IFERROR(VALUE(SUBSTITUTE(SUBSTITUTE(INDEX('Etsy Import'!$A:$CZ,1001,Settings!$C$24)&amp;"","$",""),",","")),0))</f>
        <v/>
      </c>
      <c r="F1001" s="11">
        <f>IF(A1001="","",D1001*E1001)</f>
        <v/>
      </c>
      <c r="G1001">
        <f>IF(A1001="","",IF(C1001="",1,COUNTIF($C$2:$C$1501,C1001)))</f>
        <v/>
      </c>
      <c r="H1001" s="11">
        <f>IF(A1001="","",IFERROR(VALUE(SUBSTITUTE(SUBSTITUTE(INDEX('Etsy Import'!$A:$CZ,1001,Settings!$C$25)&amp;"","$",""),",","")),0)/IF(Settings!$B$27="Yes",G1001,1))</f>
        <v/>
      </c>
      <c r="I1001" s="11">
        <f>IF(A1001="","",IFERROR(VALUE(SUBSTITUTE(SUBSTITUTE(INDEX('Etsy Import'!$A:$CZ,1001,Settings!$C$26)&amp;"","$",""),",","")),0)/IF(Settings!$B$27="Yes",G1001,1))</f>
        <v/>
      </c>
      <c r="J1001" s="11">
        <f>IF(A1001="","",F1001+H1001-I1001)</f>
        <v/>
      </c>
      <c r="K1001">
        <f>IF(A1001="","",IFERROR(IF(B1001="",NA(),MATCH(B1001,Products!$B$5:$B$204,0)),IFERROR(MATCH(A1001,Products!$A$5:$A$204,0),"")))</f>
        <v/>
      </c>
      <c r="L1001">
        <f>IF(A1001="","",IF(K1001="","⚠ not in Products",INDEX(Products!$A$5:$A$204,K1001)))</f>
        <v/>
      </c>
      <c r="M1001" s="11">
        <f>IF(A1001="","",J1001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1001+IFERROR(INDEX(Settings!$D$5:$D$9,MATCH("Etsy",Settings!$A$5:$A$9,0)),0)*D1001)</f>
        <v/>
      </c>
      <c r="N1001" s="11">
        <f>IF(A1001="","",IF(K1001="",0,D1001*INDEX(Products!$I$5:$I$204,K1001)))</f>
        <v/>
      </c>
      <c r="O1001" s="11">
        <f>IF(A1001="","",IF(K1001="",0,J1001*INDEX(Products!$H$5:$H$204,K1001)))</f>
        <v/>
      </c>
      <c r="P1001" s="11">
        <f>IF(A1001="","",J1001-M1001-N1001-O1001)</f>
        <v/>
      </c>
    </row>
    <row r="1002">
      <c r="A1002">
        <f>IFERROR(INDEX('Etsy Import'!$A:$CZ,1002,Settings!$C$20)&amp;"","")</f>
        <v/>
      </c>
      <c r="B1002">
        <f>IFERROR(INDEX('Etsy Import'!$A:$CZ,1002,Settings!$C$21)&amp;"","")</f>
        <v/>
      </c>
      <c r="C1002">
        <f>IFERROR(INDEX('Etsy Import'!$A:$CZ,1002,Settings!$C$22)&amp;"","")</f>
        <v/>
      </c>
      <c r="D1002">
        <f>IF(A1002="","",IFERROR(VALUE(SUBSTITUTE(SUBSTITUTE(INDEX('Etsy Import'!$A:$CZ,1002,Settings!$C$23)&amp;"","$",""),",","")),0))</f>
        <v/>
      </c>
      <c r="E1002" s="11">
        <f>IF(A1002="","",IFERROR(VALUE(SUBSTITUTE(SUBSTITUTE(INDEX('Etsy Import'!$A:$CZ,1002,Settings!$C$24)&amp;"","$",""),",","")),0))</f>
        <v/>
      </c>
      <c r="F1002" s="11">
        <f>IF(A1002="","",D1002*E1002)</f>
        <v/>
      </c>
      <c r="G1002">
        <f>IF(A1002="","",IF(C1002="",1,COUNTIF($C$2:$C$1501,C1002)))</f>
        <v/>
      </c>
      <c r="H1002" s="11">
        <f>IF(A1002="","",IFERROR(VALUE(SUBSTITUTE(SUBSTITUTE(INDEX('Etsy Import'!$A:$CZ,1002,Settings!$C$25)&amp;"","$",""),",","")),0)/IF(Settings!$B$27="Yes",G1002,1))</f>
        <v/>
      </c>
      <c r="I1002" s="11">
        <f>IF(A1002="","",IFERROR(VALUE(SUBSTITUTE(SUBSTITUTE(INDEX('Etsy Import'!$A:$CZ,1002,Settings!$C$26)&amp;"","$",""),",","")),0)/IF(Settings!$B$27="Yes",G1002,1))</f>
        <v/>
      </c>
      <c r="J1002" s="11">
        <f>IF(A1002="","",F1002+H1002-I1002)</f>
        <v/>
      </c>
      <c r="K1002">
        <f>IF(A1002="","",IFERROR(IF(B1002="",NA(),MATCH(B1002,Products!$B$5:$B$204,0)),IFERROR(MATCH(A1002,Products!$A$5:$A$204,0),"")))</f>
        <v/>
      </c>
      <c r="L1002">
        <f>IF(A1002="","",IF(K1002="","⚠ not in Products",INDEX(Products!$A$5:$A$204,K1002)))</f>
        <v/>
      </c>
      <c r="M1002" s="11">
        <f>IF(A1002="","",J1002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1002+IFERROR(INDEX(Settings!$D$5:$D$9,MATCH("Etsy",Settings!$A$5:$A$9,0)),0)*D1002)</f>
        <v/>
      </c>
      <c r="N1002" s="11">
        <f>IF(A1002="","",IF(K1002="",0,D1002*INDEX(Products!$I$5:$I$204,K1002)))</f>
        <v/>
      </c>
      <c r="O1002" s="11">
        <f>IF(A1002="","",IF(K1002="",0,J1002*INDEX(Products!$H$5:$H$204,K1002)))</f>
        <v/>
      </c>
      <c r="P1002" s="11">
        <f>IF(A1002="","",J1002-M1002-N1002-O1002)</f>
        <v/>
      </c>
    </row>
    <row r="1003">
      <c r="A1003">
        <f>IFERROR(INDEX('Etsy Import'!$A:$CZ,1003,Settings!$C$20)&amp;"","")</f>
        <v/>
      </c>
      <c r="B1003">
        <f>IFERROR(INDEX('Etsy Import'!$A:$CZ,1003,Settings!$C$21)&amp;"","")</f>
        <v/>
      </c>
      <c r="C1003">
        <f>IFERROR(INDEX('Etsy Import'!$A:$CZ,1003,Settings!$C$22)&amp;"","")</f>
        <v/>
      </c>
      <c r="D1003">
        <f>IF(A1003="","",IFERROR(VALUE(SUBSTITUTE(SUBSTITUTE(INDEX('Etsy Import'!$A:$CZ,1003,Settings!$C$23)&amp;"","$",""),",","")),0))</f>
        <v/>
      </c>
      <c r="E1003" s="11">
        <f>IF(A1003="","",IFERROR(VALUE(SUBSTITUTE(SUBSTITUTE(INDEX('Etsy Import'!$A:$CZ,1003,Settings!$C$24)&amp;"","$",""),",","")),0))</f>
        <v/>
      </c>
      <c r="F1003" s="11">
        <f>IF(A1003="","",D1003*E1003)</f>
        <v/>
      </c>
      <c r="G1003">
        <f>IF(A1003="","",IF(C1003="",1,COUNTIF($C$2:$C$1501,C1003)))</f>
        <v/>
      </c>
      <c r="H1003" s="11">
        <f>IF(A1003="","",IFERROR(VALUE(SUBSTITUTE(SUBSTITUTE(INDEX('Etsy Import'!$A:$CZ,1003,Settings!$C$25)&amp;"","$",""),",","")),0)/IF(Settings!$B$27="Yes",G1003,1))</f>
        <v/>
      </c>
      <c r="I1003" s="11">
        <f>IF(A1003="","",IFERROR(VALUE(SUBSTITUTE(SUBSTITUTE(INDEX('Etsy Import'!$A:$CZ,1003,Settings!$C$26)&amp;"","$",""),",","")),0)/IF(Settings!$B$27="Yes",G1003,1))</f>
        <v/>
      </c>
      <c r="J1003" s="11">
        <f>IF(A1003="","",F1003+H1003-I1003)</f>
        <v/>
      </c>
      <c r="K1003">
        <f>IF(A1003="","",IFERROR(IF(B1003="",NA(),MATCH(B1003,Products!$B$5:$B$204,0)),IFERROR(MATCH(A1003,Products!$A$5:$A$204,0),"")))</f>
        <v/>
      </c>
      <c r="L1003">
        <f>IF(A1003="","",IF(K1003="","⚠ not in Products",INDEX(Products!$A$5:$A$204,K1003)))</f>
        <v/>
      </c>
      <c r="M1003" s="11">
        <f>IF(A1003="","",J1003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1003+IFERROR(INDEX(Settings!$D$5:$D$9,MATCH("Etsy",Settings!$A$5:$A$9,0)),0)*D1003)</f>
        <v/>
      </c>
      <c r="N1003" s="11">
        <f>IF(A1003="","",IF(K1003="",0,D1003*INDEX(Products!$I$5:$I$204,K1003)))</f>
        <v/>
      </c>
      <c r="O1003" s="11">
        <f>IF(A1003="","",IF(K1003="",0,J1003*INDEX(Products!$H$5:$H$204,K1003)))</f>
        <v/>
      </c>
      <c r="P1003" s="11">
        <f>IF(A1003="","",J1003-M1003-N1003-O1003)</f>
        <v/>
      </c>
    </row>
    <row r="1004">
      <c r="A1004">
        <f>IFERROR(INDEX('Etsy Import'!$A:$CZ,1004,Settings!$C$20)&amp;"","")</f>
        <v/>
      </c>
      <c r="B1004">
        <f>IFERROR(INDEX('Etsy Import'!$A:$CZ,1004,Settings!$C$21)&amp;"","")</f>
        <v/>
      </c>
      <c r="C1004">
        <f>IFERROR(INDEX('Etsy Import'!$A:$CZ,1004,Settings!$C$22)&amp;"","")</f>
        <v/>
      </c>
      <c r="D1004">
        <f>IF(A1004="","",IFERROR(VALUE(SUBSTITUTE(SUBSTITUTE(INDEX('Etsy Import'!$A:$CZ,1004,Settings!$C$23)&amp;"","$",""),",","")),0))</f>
        <v/>
      </c>
      <c r="E1004" s="11">
        <f>IF(A1004="","",IFERROR(VALUE(SUBSTITUTE(SUBSTITUTE(INDEX('Etsy Import'!$A:$CZ,1004,Settings!$C$24)&amp;"","$",""),",","")),0))</f>
        <v/>
      </c>
      <c r="F1004" s="11">
        <f>IF(A1004="","",D1004*E1004)</f>
        <v/>
      </c>
      <c r="G1004">
        <f>IF(A1004="","",IF(C1004="",1,COUNTIF($C$2:$C$1501,C1004)))</f>
        <v/>
      </c>
      <c r="H1004" s="11">
        <f>IF(A1004="","",IFERROR(VALUE(SUBSTITUTE(SUBSTITUTE(INDEX('Etsy Import'!$A:$CZ,1004,Settings!$C$25)&amp;"","$",""),",","")),0)/IF(Settings!$B$27="Yes",G1004,1))</f>
        <v/>
      </c>
      <c r="I1004" s="11">
        <f>IF(A1004="","",IFERROR(VALUE(SUBSTITUTE(SUBSTITUTE(INDEX('Etsy Import'!$A:$CZ,1004,Settings!$C$26)&amp;"","$",""),",","")),0)/IF(Settings!$B$27="Yes",G1004,1))</f>
        <v/>
      </c>
      <c r="J1004" s="11">
        <f>IF(A1004="","",F1004+H1004-I1004)</f>
        <v/>
      </c>
      <c r="K1004">
        <f>IF(A1004="","",IFERROR(IF(B1004="",NA(),MATCH(B1004,Products!$B$5:$B$204,0)),IFERROR(MATCH(A1004,Products!$A$5:$A$204,0),"")))</f>
        <v/>
      </c>
      <c r="L1004">
        <f>IF(A1004="","",IF(K1004="","⚠ not in Products",INDEX(Products!$A$5:$A$204,K1004)))</f>
        <v/>
      </c>
      <c r="M1004" s="11">
        <f>IF(A1004="","",J1004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1004+IFERROR(INDEX(Settings!$D$5:$D$9,MATCH("Etsy",Settings!$A$5:$A$9,0)),0)*D1004)</f>
        <v/>
      </c>
      <c r="N1004" s="11">
        <f>IF(A1004="","",IF(K1004="",0,D1004*INDEX(Products!$I$5:$I$204,K1004)))</f>
        <v/>
      </c>
      <c r="O1004" s="11">
        <f>IF(A1004="","",IF(K1004="",0,J1004*INDEX(Products!$H$5:$H$204,K1004)))</f>
        <v/>
      </c>
      <c r="P1004" s="11">
        <f>IF(A1004="","",J1004-M1004-N1004-O1004)</f>
        <v/>
      </c>
    </row>
    <row r="1005">
      <c r="A1005">
        <f>IFERROR(INDEX('Etsy Import'!$A:$CZ,1005,Settings!$C$20)&amp;"","")</f>
        <v/>
      </c>
      <c r="B1005">
        <f>IFERROR(INDEX('Etsy Import'!$A:$CZ,1005,Settings!$C$21)&amp;"","")</f>
        <v/>
      </c>
      <c r="C1005">
        <f>IFERROR(INDEX('Etsy Import'!$A:$CZ,1005,Settings!$C$22)&amp;"","")</f>
        <v/>
      </c>
      <c r="D1005">
        <f>IF(A1005="","",IFERROR(VALUE(SUBSTITUTE(SUBSTITUTE(INDEX('Etsy Import'!$A:$CZ,1005,Settings!$C$23)&amp;"","$",""),",","")),0))</f>
        <v/>
      </c>
      <c r="E1005" s="11">
        <f>IF(A1005="","",IFERROR(VALUE(SUBSTITUTE(SUBSTITUTE(INDEX('Etsy Import'!$A:$CZ,1005,Settings!$C$24)&amp;"","$",""),",","")),0))</f>
        <v/>
      </c>
      <c r="F1005" s="11">
        <f>IF(A1005="","",D1005*E1005)</f>
        <v/>
      </c>
      <c r="G1005">
        <f>IF(A1005="","",IF(C1005="",1,COUNTIF($C$2:$C$1501,C1005)))</f>
        <v/>
      </c>
      <c r="H1005" s="11">
        <f>IF(A1005="","",IFERROR(VALUE(SUBSTITUTE(SUBSTITUTE(INDEX('Etsy Import'!$A:$CZ,1005,Settings!$C$25)&amp;"","$",""),",","")),0)/IF(Settings!$B$27="Yes",G1005,1))</f>
        <v/>
      </c>
      <c r="I1005" s="11">
        <f>IF(A1005="","",IFERROR(VALUE(SUBSTITUTE(SUBSTITUTE(INDEX('Etsy Import'!$A:$CZ,1005,Settings!$C$26)&amp;"","$",""),",","")),0)/IF(Settings!$B$27="Yes",G1005,1))</f>
        <v/>
      </c>
      <c r="J1005" s="11">
        <f>IF(A1005="","",F1005+H1005-I1005)</f>
        <v/>
      </c>
      <c r="K1005">
        <f>IF(A1005="","",IFERROR(IF(B1005="",NA(),MATCH(B1005,Products!$B$5:$B$204,0)),IFERROR(MATCH(A1005,Products!$A$5:$A$204,0),"")))</f>
        <v/>
      </c>
      <c r="L1005">
        <f>IF(A1005="","",IF(K1005="","⚠ not in Products",INDEX(Products!$A$5:$A$204,K1005)))</f>
        <v/>
      </c>
      <c r="M1005" s="11">
        <f>IF(A1005="","",J1005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1005+IFERROR(INDEX(Settings!$D$5:$D$9,MATCH("Etsy",Settings!$A$5:$A$9,0)),0)*D1005)</f>
        <v/>
      </c>
      <c r="N1005" s="11">
        <f>IF(A1005="","",IF(K1005="",0,D1005*INDEX(Products!$I$5:$I$204,K1005)))</f>
        <v/>
      </c>
      <c r="O1005" s="11">
        <f>IF(A1005="","",IF(K1005="",0,J1005*INDEX(Products!$H$5:$H$204,K1005)))</f>
        <v/>
      </c>
      <c r="P1005" s="11">
        <f>IF(A1005="","",J1005-M1005-N1005-O1005)</f>
        <v/>
      </c>
    </row>
    <row r="1006">
      <c r="A1006">
        <f>IFERROR(INDEX('Etsy Import'!$A:$CZ,1006,Settings!$C$20)&amp;"","")</f>
        <v/>
      </c>
      <c r="B1006">
        <f>IFERROR(INDEX('Etsy Import'!$A:$CZ,1006,Settings!$C$21)&amp;"","")</f>
        <v/>
      </c>
      <c r="C1006">
        <f>IFERROR(INDEX('Etsy Import'!$A:$CZ,1006,Settings!$C$22)&amp;"","")</f>
        <v/>
      </c>
      <c r="D1006">
        <f>IF(A1006="","",IFERROR(VALUE(SUBSTITUTE(SUBSTITUTE(INDEX('Etsy Import'!$A:$CZ,1006,Settings!$C$23)&amp;"","$",""),",","")),0))</f>
        <v/>
      </c>
      <c r="E1006" s="11">
        <f>IF(A1006="","",IFERROR(VALUE(SUBSTITUTE(SUBSTITUTE(INDEX('Etsy Import'!$A:$CZ,1006,Settings!$C$24)&amp;"","$",""),",","")),0))</f>
        <v/>
      </c>
      <c r="F1006" s="11">
        <f>IF(A1006="","",D1006*E1006)</f>
        <v/>
      </c>
      <c r="G1006">
        <f>IF(A1006="","",IF(C1006="",1,COUNTIF($C$2:$C$1501,C1006)))</f>
        <v/>
      </c>
      <c r="H1006" s="11">
        <f>IF(A1006="","",IFERROR(VALUE(SUBSTITUTE(SUBSTITUTE(INDEX('Etsy Import'!$A:$CZ,1006,Settings!$C$25)&amp;"","$",""),",","")),0)/IF(Settings!$B$27="Yes",G1006,1))</f>
        <v/>
      </c>
      <c r="I1006" s="11">
        <f>IF(A1006="","",IFERROR(VALUE(SUBSTITUTE(SUBSTITUTE(INDEX('Etsy Import'!$A:$CZ,1006,Settings!$C$26)&amp;"","$",""),",","")),0)/IF(Settings!$B$27="Yes",G1006,1))</f>
        <v/>
      </c>
      <c r="J1006" s="11">
        <f>IF(A1006="","",F1006+H1006-I1006)</f>
        <v/>
      </c>
      <c r="K1006">
        <f>IF(A1006="","",IFERROR(IF(B1006="",NA(),MATCH(B1006,Products!$B$5:$B$204,0)),IFERROR(MATCH(A1006,Products!$A$5:$A$204,0),"")))</f>
        <v/>
      </c>
      <c r="L1006">
        <f>IF(A1006="","",IF(K1006="","⚠ not in Products",INDEX(Products!$A$5:$A$204,K1006)))</f>
        <v/>
      </c>
      <c r="M1006" s="11">
        <f>IF(A1006="","",J1006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1006+IFERROR(INDEX(Settings!$D$5:$D$9,MATCH("Etsy",Settings!$A$5:$A$9,0)),0)*D1006)</f>
        <v/>
      </c>
      <c r="N1006" s="11">
        <f>IF(A1006="","",IF(K1006="",0,D1006*INDEX(Products!$I$5:$I$204,K1006)))</f>
        <v/>
      </c>
      <c r="O1006" s="11">
        <f>IF(A1006="","",IF(K1006="",0,J1006*INDEX(Products!$H$5:$H$204,K1006)))</f>
        <v/>
      </c>
      <c r="P1006" s="11">
        <f>IF(A1006="","",J1006-M1006-N1006-O1006)</f>
        <v/>
      </c>
    </row>
    <row r="1007">
      <c r="A1007">
        <f>IFERROR(INDEX('Etsy Import'!$A:$CZ,1007,Settings!$C$20)&amp;"","")</f>
        <v/>
      </c>
      <c r="B1007">
        <f>IFERROR(INDEX('Etsy Import'!$A:$CZ,1007,Settings!$C$21)&amp;"","")</f>
        <v/>
      </c>
      <c r="C1007">
        <f>IFERROR(INDEX('Etsy Import'!$A:$CZ,1007,Settings!$C$22)&amp;"","")</f>
        <v/>
      </c>
      <c r="D1007">
        <f>IF(A1007="","",IFERROR(VALUE(SUBSTITUTE(SUBSTITUTE(INDEX('Etsy Import'!$A:$CZ,1007,Settings!$C$23)&amp;"","$",""),",","")),0))</f>
        <v/>
      </c>
      <c r="E1007" s="11">
        <f>IF(A1007="","",IFERROR(VALUE(SUBSTITUTE(SUBSTITUTE(INDEX('Etsy Import'!$A:$CZ,1007,Settings!$C$24)&amp;"","$",""),",","")),0))</f>
        <v/>
      </c>
      <c r="F1007" s="11">
        <f>IF(A1007="","",D1007*E1007)</f>
        <v/>
      </c>
      <c r="G1007">
        <f>IF(A1007="","",IF(C1007="",1,COUNTIF($C$2:$C$1501,C1007)))</f>
        <v/>
      </c>
      <c r="H1007" s="11">
        <f>IF(A1007="","",IFERROR(VALUE(SUBSTITUTE(SUBSTITUTE(INDEX('Etsy Import'!$A:$CZ,1007,Settings!$C$25)&amp;"","$",""),",","")),0)/IF(Settings!$B$27="Yes",G1007,1))</f>
        <v/>
      </c>
      <c r="I1007" s="11">
        <f>IF(A1007="","",IFERROR(VALUE(SUBSTITUTE(SUBSTITUTE(INDEX('Etsy Import'!$A:$CZ,1007,Settings!$C$26)&amp;"","$",""),",","")),0)/IF(Settings!$B$27="Yes",G1007,1))</f>
        <v/>
      </c>
      <c r="J1007" s="11">
        <f>IF(A1007="","",F1007+H1007-I1007)</f>
        <v/>
      </c>
      <c r="K1007">
        <f>IF(A1007="","",IFERROR(IF(B1007="",NA(),MATCH(B1007,Products!$B$5:$B$204,0)),IFERROR(MATCH(A1007,Products!$A$5:$A$204,0),"")))</f>
        <v/>
      </c>
      <c r="L1007">
        <f>IF(A1007="","",IF(K1007="","⚠ not in Products",INDEX(Products!$A$5:$A$204,K1007)))</f>
        <v/>
      </c>
      <c r="M1007" s="11">
        <f>IF(A1007="","",J1007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1007+IFERROR(INDEX(Settings!$D$5:$D$9,MATCH("Etsy",Settings!$A$5:$A$9,0)),0)*D1007)</f>
        <v/>
      </c>
      <c r="N1007" s="11">
        <f>IF(A1007="","",IF(K1007="",0,D1007*INDEX(Products!$I$5:$I$204,K1007)))</f>
        <v/>
      </c>
      <c r="O1007" s="11">
        <f>IF(A1007="","",IF(K1007="",0,J1007*INDEX(Products!$H$5:$H$204,K1007)))</f>
        <v/>
      </c>
      <c r="P1007" s="11">
        <f>IF(A1007="","",J1007-M1007-N1007-O1007)</f>
        <v/>
      </c>
    </row>
    <row r="1008">
      <c r="A1008">
        <f>IFERROR(INDEX('Etsy Import'!$A:$CZ,1008,Settings!$C$20)&amp;"","")</f>
        <v/>
      </c>
      <c r="B1008">
        <f>IFERROR(INDEX('Etsy Import'!$A:$CZ,1008,Settings!$C$21)&amp;"","")</f>
        <v/>
      </c>
      <c r="C1008">
        <f>IFERROR(INDEX('Etsy Import'!$A:$CZ,1008,Settings!$C$22)&amp;"","")</f>
        <v/>
      </c>
      <c r="D1008">
        <f>IF(A1008="","",IFERROR(VALUE(SUBSTITUTE(SUBSTITUTE(INDEX('Etsy Import'!$A:$CZ,1008,Settings!$C$23)&amp;"","$",""),",","")),0))</f>
        <v/>
      </c>
      <c r="E1008" s="11">
        <f>IF(A1008="","",IFERROR(VALUE(SUBSTITUTE(SUBSTITUTE(INDEX('Etsy Import'!$A:$CZ,1008,Settings!$C$24)&amp;"","$",""),",","")),0))</f>
        <v/>
      </c>
      <c r="F1008" s="11">
        <f>IF(A1008="","",D1008*E1008)</f>
        <v/>
      </c>
      <c r="G1008">
        <f>IF(A1008="","",IF(C1008="",1,COUNTIF($C$2:$C$1501,C1008)))</f>
        <v/>
      </c>
      <c r="H1008" s="11">
        <f>IF(A1008="","",IFERROR(VALUE(SUBSTITUTE(SUBSTITUTE(INDEX('Etsy Import'!$A:$CZ,1008,Settings!$C$25)&amp;"","$",""),",","")),0)/IF(Settings!$B$27="Yes",G1008,1))</f>
        <v/>
      </c>
      <c r="I1008" s="11">
        <f>IF(A1008="","",IFERROR(VALUE(SUBSTITUTE(SUBSTITUTE(INDEX('Etsy Import'!$A:$CZ,1008,Settings!$C$26)&amp;"","$",""),",","")),0)/IF(Settings!$B$27="Yes",G1008,1))</f>
        <v/>
      </c>
      <c r="J1008" s="11">
        <f>IF(A1008="","",F1008+H1008-I1008)</f>
        <v/>
      </c>
      <c r="K1008">
        <f>IF(A1008="","",IFERROR(IF(B1008="",NA(),MATCH(B1008,Products!$B$5:$B$204,0)),IFERROR(MATCH(A1008,Products!$A$5:$A$204,0),"")))</f>
        <v/>
      </c>
      <c r="L1008">
        <f>IF(A1008="","",IF(K1008="","⚠ not in Products",INDEX(Products!$A$5:$A$204,K1008)))</f>
        <v/>
      </c>
      <c r="M1008" s="11">
        <f>IF(A1008="","",J1008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1008+IFERROR(INDEX(Settings!$D$5:$D$9,MATCH("Etsy",Settings!$A$5:$A$9,0)),0)*D1008)</f>
        <v/>
      </c>
      <c r="N1008" s="11">
        <f>IF(A1008="","",IF(K1008="",0,D1008*INDEX(Products!$I$5:$I$204,K1008)))</f>
        <v/>
      </c>
      <c r="O1008" s="11">
        <f>IF(A1008="","",IF(K1008="",0,J1008*INDEX(Products!$H$5:$H$204,K1008)))</f>
        <v/>
      </c>
      <c r="P1008" s="11">
        <f>IF(A1008="","",J1008-M1008-N1008-O1008)</f>
        <v/>
      </c>
    </row>
    <row r="1009">
      <c r="A1009">
        <f>IFERROR(INDEX('Etsy Import'!$A:$CZ,1009,Settings!$C$20)&amp;"","")</f>
        <v/>
      </c>
      <c r="B1009">
        <f>IFERROR(INDEX('Etsy Import'!$A:$CZ,1009,Settings!$C$21)&amp;"","")</f>
        <v/>
      </c>
      <c r="C1009">
        <f>IFERROR(INDEX('Etsy Import'!$A:$CZ,1009,Settings!$C$22)&amp;"","")</f>
        <v/>
      </c>
      <c r="D1009">
        <f>IF(A1009="","",IFERROR(VALUE(SUBSTITUTE(SUBSTITUTE(INDEX('Etsy Import'!$A:$CZ,1009,Settings!$C$23)&amp;"","$",""),",","")),0))</f>
        <v/>
      </c>
      <c r="E1009" s="11">
        <f>IF(A1009="","",IFERROR(VALUE(SUBSTITUTE(SUBSTITUTE(INDEX('Etsy Import'!$A:$CZ,1009,Settings!$C$24)&amp;"","$",""),",","")),0))</f>
        <v/>
      </c>
      <c r="F1009" s="11">
        <f>IF(A1009="","",D1009*E1009)</f>
        <v/>
      </c>
      <c r="G1009">
        <f>IF(A1009="","",IF(C1009="",1,COUNTIF($C$2:$C$1501,C1009)))</f>
        <v/>
      </c>
      <c r="H1009" s="11">
        <f>IF(A1009="","",IFERROR(VALUE(SUBSTITUTE(SUBSTITUTE(INDEX('Etsy Import'!$A:$CZ,1009,Settings!$C$25)&amp;"","$",""),",","")),0)/IF(Settings!$B$27="Yes",G1009,1))</f>
        <v/>
      </c>
      <c r="I1009" s="11">
        <f>IF(A1009="","",IFERROR(VALUE(SUBSTITUTE(SUBSTITUTE(INDEX('Etsy Import'!$A:$CZ,1009,Settings!$C$26)&amp;"","$",""),",","")),0)/IF(Settings!$B$27="Yes",G1009,1))</f>
        <v/>
      </c>
      <c r="J1009" s="11">
        <f>IF(A1009="","",F1009+H1009-I1009)</f>
        <v/>
      </c>
      <c r="K1009">
        <f>IF(A1009="","",IFERROR(IF(B1009="",NA(),MATCH(B1009,Products!$B$5:$B$204,0)),IFERROR(MATCH(A1009,Products!$A$5:$A$204,0),"")))</f>
        <v/>
      </c>
      <c r="L1009">
        <f>IF(A1009="","",IF(K1009="","⚠ not in Products",INDEX(Products!$A$5:$A$204,K1009)))</f>
        <v/>
      </c>
      <c r="M1009" s="11">
        <f>IF(A1009="","",J1009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1009+IFERROR(INDEX(Settings!$D$5:$D$9,MATCH("Etsy",Settings!$A$5:$A$9,0)),0)*D1009)</f>
        <v/>
      </c>
      <c r="N1009" s="11">
        <f>IF(A1009="","",IF(K1009="",0,D1009*INDEX(Products!$I$5:$I$204,K1009)))</f>
        <v/>
      </c>
      <c r="O1009" s="11">
        <f>IF(A1009="","",IF(K1009="",0,J1009*INDEX(Products!$H$5:$H$204,K1009)))</f>
        <v/>
      </c>
      <c r="P1009" s="11">
        <f>IF(A1009="","",J1009-M1009-N1009-O1009)</f>
        <v/>
      </c>
    </row>
    <row r="1010">
      <c r="A1010">
        <f>IFERROR(INDEX('Etsy Import'!$A:$CZ,1010,Settings!$C$20)&amp;"","")</f>
        <v/>
      </c>
      <c r="B1010">
        <f>IFERROR(INDEX('Etsy Import'!$A:$CZ,1010,Settings!$C$21)&amp;"","")</f>
        <v/>
      </c>
      <c r="C1010">
        <f>IFERROR(INDEX('Etsy Import'!$A:$CZ,1010,Settings!$C$22)&amp;"","")</f>
        <v/>
      </c>
      <c r="D1010">
        <f>IF(A1010="","",IFERROR(VALUE(SUBSTITUTE(SUBSTITUTE(INDEX('Etsy Import'!$A:$CZ,1010,Settings!$C$23)&amp;"","$",""),",","")),0))</f>
        <v/>
      </c>
      <c r="E1010" s="11">
        <f>IF(A1010="","",IFERROR(VALUE(SUBSTITUTE(SUBSTITUTE(INDEX('Etsy Import'!$A:$CZ,1010,Settings!$C$24)&amp;"","$",""),",","")),0))</f>
        <v/>
      </c>
      <c r="F1010" s="11">
        <f>IF(A1010="","",D1010*E1010)</f>
        <v/>
      </c>
      <c r="G1010">
        <f>IF(A1010="","",IF(C1010="",1,COUNTIF($C$2:$C$1501,C1010)))</f>
        <v/>
      </c>
      <c r="H1010" s="11">
        <f>IF(A1010="","",IFERROR(VALUE(SUBSTITUTE(SUBSTITUTE(INDEX('Etsy Import'!$A:$CZ,1010,Settings!$C$25)&amp;"","$",""),",","")),0)/IF(Settings!$B$27="Yes",G1010,1))</f>
        <v/>
      </c>
      <c r="I1010" s="11">
        <f>IF(A1010="","",IFERROR(VALUE(SUBSTITUTE(SUBSTITUTE(INDEX('Etsy Import'!$A:$CZ,1010,Settings!$C$26)&amp;"","$",""),",","")),0)/IF(Settings!$B$27="Yes",G1010,1))</f>
        <v/>
      </c>
      <c r="J1010" s="11">
        <f>IF(A1010="","",F1010+H1010-I1010)</f>
        <v/>
      </c>
      <c r="K1010">
        <f>IF(A1010="","",IFERROR(IF(B1010="",NA(),MATCH(B1010,Products!$B$5:$B$204,0)),IFERROR(MATCH(A1010,Products!$A$5:$A$204,0),"")))</f>
        <v/>
      </c>
      <c r="L1010">
        <f>IF(A1010="","",IF(K1010="","⚠ not in Products",INDEX(Products!$A$5:$A$204,K1010)))</f>
        <v/>
      </c>
      <c r="M1010" s="11">
        <f>IF(A1010="","",J1010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1010+IFERROR(INDEX(Settings!$D$5:$D$9,MATCH("Etsy",Settings!$A$5:$A$9,0)),0)*D1010)</f>
        <v/>
      </c>
      <c r="N1010" s="11">
        <f>IF(A1010="","",IF(K1010="",0,D1010*INDEX(Products!$I$5:$I$204,K1010)))</f>
        <v/>
      </c>
      <c r="O1010" s="11">
        <f>IF(A1010="","",IF(K1010="",0,J1010*INDEX(Products!$H$5:$H$204,K1010)))</f>
        <v/>
      </c>
      <c r="P1010" s="11">
        <f>IF(A1010="","",J1010-M1010-N1010-O1010)</f>
        <v/>
      </c>
    </row>
    <row r="1011">
      <c r="A1011">
        <f>IFERROR(INDEX('Etsy Import'!$A:$CZ,1011,Settings!$C$20)&amp;"","")</f>
        <v/>
      </c>
      <c r="B1011">
        <f>IFERROR(INDEX('Etsy Import'!$A:$CZ,1011,Settings!$C$21)&amp;"","")</f>
        <v/>
      </c>
      <c r="C1011">
        <f>IFERROR(INDEX('Etsy Import'!$A:$CZ,1011,Settings!$C$22)&amp;"","")</f>
        <v/>
      </c>
      <c r="D1011">
        <f>IF(A1011="","",IFERROR(VALUE(SUBSTITUTE(SUBSTITUTE(INDEX('Etsy Import'!$A:$CZ,1011,Settings!$C$23)&amp;"","$",""),",","")),0))</f>
        <v/>
      </c>
      <c r="E1011" s="11">
        <f>IF(A1011="","",IFERROR(VALUE(SUBSTITUTE(SUBSTITUTE(INDEX('Etsy Import'!$A:$CZ,1011,Settings!$C$24)&amp;"","$",""),",","")),0))</f>
        <v/>
      </c>
      <c r="F1011" s="11">
        <f>IF(A1011="","",D1011*E1011)</f>
        <v/>
      </c>
      <c r="G1011">
        <f>IF(A1011="","",IF(C1011="",1,COUNTIF($C$2:$C$1501,C1011)))</f>
        <v/>
      </c>
      <c r="H1011" s="11">
        <f>IF(A1011="","",IFERROR(VALUE(SUBSTITUTE(SUBSTITUTE(INDEX('Etsy Import'!$A:$CZ,1011,Settings!$C$25)&amp;"","$",""),",","")),0)/IF(Settings!$B$27="Yes",G1011,1))</f>
        <v/>
      </c>
      <c r="I1011" s="11">
        <f>IF(A1011="","",IFERROR(VALUE(SUBSTITUTE(SUBSTITUTE(INDEX('Etsy Import'!$A:$CZ,1011,Settings!$C$26)&amp;"","$",""),",","")),0)/IF(Settings!$B$27="Yes",G1011,1))</f>
        <v/>
      </c>
      <c r="J1011" s="11">
        <f>IF(A1011="","",F1011+H1011-I1011)</f>
        <v/>
      </c>
      <c r="K1011">
        <f>IF(A1011="","",IFERROR(IF(B1011="",NA(),MATCH(B1011,Products!$B$5:$B$204,0)),IFERROR(MATCH(A1011,Products!$A$5:$A$204,0),"")))</f>
        <v/>
      </c>
      <c r="L1011">
        <f>IF(A1011="","",IF(K1011="","⚠ not in Products",INDEX(Products!$A$5:$A$204,K1011)))</f>
        <v/>
      </c>
      <c r="M1011" s="11">
        <f>IF(A1011="","",J1011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1011+IFERROR(INDEX(Settings!$D$5:$D$9,MATCH("Etsy",Settings!$A$5:$A$9,0)),0)*D1011)</f>
        <v/>
      </c>
      <c r="N1011" s="11">
        <f>IF(A1011="","",IF(K1011="",0,D1011*INDEX(Products!$I$5:$I$204,K1011)))</f>
        <v/>
      </c>
      <c r="O1011" s="11">
        <f>IF(A1011="","",IF(K1011="",0,J1011*INDEX(Products!$H$5:$H$204,K1011)))</f>
        <v/>
      </c>
      <c r="P1011" s="11">
        <f>IF(A1011="","",J1011-M1011-N1011-O1011)</f>
        <v/>
      </c>
    </row>
    <row r="1012">
      <c r="A1012">
        <f>IFERROR(INDEX('Etsy Import'!$A:$CZ,1012,Settings!$C$20)&amp;"","")</f>
        <v/>
      </c>
      <c r="B1012">
        <f>IFERROR(INDEX('Etsy Import'!$A:$CZ,1012,Settings!$C$21)&amp;"","")</f>
        <v/>
      </c>
      <c r="C1012">
        <f>IFERROR(INDEX('Etsy Import'!$A:$CZ,1012,Settings!$C$22)&amp;"","")</f>
        <v/>
      </c>
      <c r="D1012">
        <f>IF(A1012="","",IFERROR(VALUE(SUBSTITUTE(SUBSTITUTE(INDEX('Etsy Import'!$A:$CZ,1012,Settings!$C$23)&amp;"","$",""),",","")),0))</f>
        <v/>
      </c>
      <c r="E1012" s="11">
        <f>IF(A1012="","",IFERROR(VALUE(SUBSTITUTE(SUBSTITUTE(INDEX('Etsy Import'!$A:$CZ,1012,Settings!$C$24)&amp;"","$",""),",","")),0))</f>
        <v/>
      </c>
      <c r="F1012" s="11">
        <f>IF(A1012="","",D1012*E1012)</f>
        <v/>
      </c>
      <c r="G1012">
        <f>IF(A1012="","",IF(C1012="",1,COUNTIF($C$2:$C$1501,C1012)))</f>
        <v/>
      </c>
      <c r="H1012" s="11">
        <f>IF(A1012="","",IFERROR(VALUE(SUBSTITUTE(SUBSTITUTE(INDEX('Etsy Import'!$A:$CZ,1012,Settings!$C$25)&amp;"","$",""),",","")),0)/IF(Settings!$B$27="Yes",G1012,1))</f>
        <v/>
      </c>
      <c r="I1012" s="11">
        <f>IF(A1012="","",IFERROR(VALUE(SUBSTITUTE(SUBSTITUTE(INDEX('Etsy Import'!$A:$CZ,1012,Settings!$C$26)&amp;"","$",""),",","")),0)/IF(Settings!$B$27="Yes",G1012,1))</f>
        <v/>
      </c>
      <c r="J1012" s="11">
        <f>IF(A1012="","",F1012+H1012-I1012)</f>
        <v/>
      </c>
      <c r="K1012">
        <f>IF(A1012="","",IFERROR(IF(B1012="",NA(),MATCH(B1012,Products!$B$5:$B$204,0)),IFERROR(MATCH(A1012,Products!$A$5:$A$204,0),"")))</f>
        <v/>
      </c>
      <c r="L1012">
        <f>IF(A1012="","",IF(K1012="","⚠ not in Products",INDEX(Products!$A$5:$A$204,K1012)))</f>
        <v/>
      </c>
      <c r="M1012" s="11">
        <f>IF(A1012="","",J1012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1012+IFERROR(INDEX(Settings!$D$5:$D$9,MATCH("Etsy",Settings!$A$5:$A$9,0)),0)*D1012)</f>
        <v/>
      </c>
      <c r="N1012" s="11">
        <f>IF(A1012="","",IF(K1012="",0,D1012*INDEX(Products!$I$5:$I$204,K1012)))</f>
        <v/>
      </c>
      <c r="O1012" s="11">
        <f>IF(A1012="","",IF(K1012="",0,J1012*INDEX(Products!$H$5:$H$204,K1012)))</f>
        <v/>
      </c>
      <c r="P1012" s="11">
        <f>IF(A1012="","",J1012-M1012-N1012-O1012)</f>
        <v/>
      </c>
    </row>
    <row r="1013">
      <c r="A1013">
        <f>IFERROR(INDEX('Etsy Import'!$A:$CZ,1013,Settings!$C$20)&amp;"","")</f>
        <v/>
      </c>
      <c r="B1013">
        <f>IFERROR(INDEX('Etsy Import'!$A:$CZ,1013,Settings!$C$21)&amp;"","")</f>
        <v/>
      </c>
      <c r="C1013">
        <f>IFERROR(INDEX('Etsy Import'!$A:$CZ,1013,Settings!$C$22)&amp;"","")</f>
        <v/>
      </c>
      <c r="D1013">
        <f>IF(A1013="","",IFERROR(VALUE(SUBSTITUTE(SUBSTITUTE(INDEX('Etsy Import'!$A:$CZ,1013,Settings!$C$23)&amp;"","$",""),",","")),0))</f>
        <v/>
      </c>
      <c r="E1013" s="11">
        <f>IF(A1013="","",IFERROR(VALUE(SUBSTITUTE(SUBSTITUTE(INDEX('Etsy Import'!$A:$CZ,1013,Settings!$C$24)&amp;"","$",""),",","")),0))</f>
        <v/>
      </c>
      <c r="F1013" s="11">
        <f>IF(A1013="","",D1013*E1013)</f>
        <v/>
      </c>
      <c r="G1013">
        <f>IF(A1013="","",IF(C1013="",1,COUNTIF($C$2:$C$1501,C1013)))</f>
        <v/>
      </c>
      <c r="H1013" s="11">
        <f>IF(A1013="","",IFERROR(VALUE(SUBSTITUTE(SUBSTITUTE(INDEX('Etsy Import'!$A:$CZ,1013,Settings!$C$25)&amp;"","$",""),",","")),0)/IF(Settings!$B$27="Yes",G1013,1))</f>
        <v/>
      </c>
      <c r="I1013" s="11">
        <f>IF(A1013="","",IFERROR(VALUE(SUBSTITUTE(SUBSTITUTE(INDEX('Etsy Import'!$A:$CZ,1013,Settings!$C$26)&amp;"","$",""),",","")),0)/IF(Settings!$B$27="Yes",G1013,1))</f>
        <v/>
      </c>
      <c r="J1013" s="11">
        <f>IF(A1013="","",F1013+H1013-I1013)</f>
        <v/>
      </c>
      <c r="K1013">
        <f>IF(A1013="","",IFERROR(IF(B1013="",NA(),MATCH(B1013,Products!$B$5:$B$204,0)),IFERROR(MATCH(A1013,Products!$A$5:$A$204,0),"")))</f>
        <v/>
      </c>
      <c r="L1013">
        <f>IF(A1013="","",IF(K1013="","⚠ not in Products",INDEX(Products!$A$5:$A$204,K1013)))</f>
        <v/>
      </c>
      <c r="M1013" s="11">
        <f>IF(A1013="","",J1013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1013+IFERROR(INDEX(Settings!$D$5:$D$9,MATCH("Etsy",Settings!$A$5:$A$9,0)),0)*D1013)</f>
        <v/>
      </c>
      <c r="N1013" s="11">
        <f>IF(A1013="","",IF(K1013="",0,D1013*INDEX(Products!$I$5:$I$204,K1013)))</f>
        <v/>
      </c>
      <c r="O1013" s="11">
        <f>IF(A1013="","",IF(K1013="",0,J1013*INDEX(Products!$H$5:$H$204,K1013)))</f>
        <v/>
      </c>
      <c r="P1013" s="11">
        <f>IF(A1013="","",J1013-M1013-N1013-O1013)</f>
        <v/>
      </c>
    </row>
    <row r="1014">
      <c r="A1014">
        <f>IFERROR(INDEX('Etsy Import'!$A:$CZ,1014,Settings!$C$20)&amp;"","")</f>
        <v/>
      </c>
      <c r="B1014">
        <f>IFERROR(INDEX('Etsy Import'!$A:$CZ,1014,Settings!$C$21)&amp;"","")</f>
        <v/>
      </c>
      <c r="C1014">
        <f>IFERROR(INDEX('Etsy Import'!$A:$CZ,1014,Settings!$C$22)&amp;"","")</f>
        <v/>
      </c>
      <c r="D1014">
        <f>IF(A1014="","",IFERROR(VALUE(SUBSTITUTE(SUBSTITUTE(INDEX('Etsy Import'!$A:$CZ,1014,Settings!$C$23)&amp;"","$",""),",","")),0))</f>
        <v/>
      </c>
      <c r="E1014" s="11">
        <f>IF(A1014="","",IFERROR(VALUE(SUBSTITUTE(SUBSTITUTE(INDEX('Etsy Import'!$A:$CZ,1014,Settings!$C$24)&amp;"","$",""),",","")),0))</f>
        <v/>
      </c>
      <c r="F1014" s="11">
        <f>IF(A1014="","",D1014*E1014)</f>
        <v/>
      </c>
      <c r="G1014">
        <f>IF(A1014="","",IF(C1014="",1,COUNTIF($C$2:$C$1501,C1014)))</f>
        <v/>
      </c>
      <c r="H1014" s="11">
        <f>IF(A1014="","",IFERROR(VALUE(SUBSTITUTE(SUBSTITUTE(INDEX('Etsy Import'!$A:$CZ,1014,Settings!$C$25)&amp;"","$",""),",","")),0)/IF(Settings!$B$27="Yes",G1014,1))</f>
        <v/>
      </c>
      <c r="I1014" s="11">
        <f>IF(A1014="","",IFERROR(VALUE(SUBSTITUTE(SUBSTITUTE(INDEX('Etsy Import'!$A:$CZ,1014,Settings!$C$26)&amp;"","$",""),",","")),0)/IF(Settings!$B$27="Yes",G1014,1))</f>
        <v/>
      </c>
      <c r="J1014" s="11">
        <f>IF(A1014="","",F1014+H1014-I1014)</f>
        <v/>
      </c>
      <c r="K1014">
        <f>IF(A1014="","",IFERROR(IF(B1014="",NA(),MATCH(B1014,Products!$B$5:$B$204,0)),IFERROR(MATCH(A1014,Products!$A$5:$A$204,0),"")))</f>
        <v/>
      </c>
      <c r="L1014">
        <f>IF(A1014="","",IF(K1014="","⚠ not in Products",INDEX(Products!$A$5:$A$204,K1014)))</f>
        <v/>
      </c>
      <c r="M1014" s="11">
        <f>IF(A1014="","",J1014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1014+IFERROR(INDEX(Settings!$D$5:$D$9,MATCH("Etsy",Settings!$A$5:$A$9,0)),0)*D1014)</f>
        <v/>
      </c>
      <c r="N1014" s="11">
        <f>IF(A1014="","",IF(K1014="",0,D1014*INDEX(Products!$I$5:$I$204,K1014)))</f>
        <v/>
      </c>
      <c r="O1014" s="11">
        <f>IF(A1014="","",IF(K1014="",0,J1014*INDEX(Products!$H$5:$H$204,K1014)))</f>
        <v/>
      </c>
      <c r="P1014" s="11">
        <f>IF(A1014="","",J1014-M1014-N1014-O1014)</f>
        <v/>
      </c>
    </row>
    <row r="1015">
      <c r="A1015">
        <f>IFERROR(INDEX('Etsy Import'!$A:$CZ,1015,Settings!$C$20)&amp;"","")</f>
        <v/>
      </c>
      <c r="B1015">
        <f>IFERROR(INDEX('Etsy Import'!$A:$CZ,1015,Settings!$C$21)&amp;"","")</f>
        <v/>
      </c>
      <c r="C1015">
        <f>IFERROR(INDEX('Etsy Import'!$A:$CZ,1015,Settings!$C$22)&amp;"","")</f>
        <v/>
      </c>
      <c r="D1015">
        <f>IF(A1015="","",IFERROR(VALUE(SUBSTITUTE(SUBSTITUTE(INDEX('Etsy Import'!$A:$CZ,1015,Settings!$C$23)&amp;"","$",""),",","")),0))</f>
        <v/>
      </c>
      <c r="E1015" s="11">
        <f>IF(A1015="","",IFERROR(VALUE(SUBSTITUTE(SUBSTITUTE(INDEX('Etsy Import'!$A:$CZ,1015,Settings!$C$24)&amp;"","$",""),",","")),0))</f>
        <v/>
      </c>
      <c r="F1015" s="11">
        <f>IF(A1015="","",D1015*E1015)</f>
        <v/>
      </c>
      <c r="G1015">
        <f>IF(A1015="","",IF(C1015="",1,COUNTIF($C$2:$C$1501,C1015)))</f>
        <v/>
      </c>
      <c r="H1015" s="11">
        <f>IF(A1015="","",IFERROR(VALUE(SUBSTITUTE(SUBSTITUTE(INDEX('Etsy Import'!$A:$CZ,1015,Settings!$C$25)&amp;"","$",""),",","")),0)/IF(Settings!$B$27="Yes",G1015,1))</f>
        <v/>
      </c>
      <c r="I1015" s="11">
        <f>IF(A1015="","",IFERROR(VALUE(SUBSTITUTE(SUBSTITUTE(INDEX('Etsy Import'!$A:$CZ,1015,Settings!$C$26)&amp;"","$",""),",","")),0)/IF(Settings!$B$27="Yes",G1015,1))</f>
        <v/>
      </c>
      <c r="J1015" s="11">
        <f>IF(A1015="","",F1015+H1015-I1015)</f>
        <v/>
      </c>
      <c r="K1015">
        <f>IF(A1015="","",IFERROR(IF(B1015="",NA(),MATCH(B1015,Products!$B$5:$B$204,0)),IFERROR(MATCH(A1015,Products!$A$5:$A$204,0),"")))</f>
        <v/>
      </c>
      <c r="L1015">
        <f>IF(A1015="","",IF(K1015="","⚠ not in Products",INDEX(Products!$A$5:$A$204,K1015)))</f>
        <v/>
      </c>
      <c r="M1015" s="11">
        <f>IF(A1015="","",J1015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1015+IFERROR(INDEX(Settings!$D$5:$D$9,MATCH("Etsy",Settings!$A$5:$A$9,0)),0)*D1015)</f>
        <v/>
      </c>
      <c r="N1015" s="11">
        <f>IF(A1015="","",IF(K1015="",0,D1015*INDEX(Products!$I$5:$I$204,K1015)))</f>
        <v/>
      </c>
      <c r="O1015" s="11">
        <f>IF(A1015="","",IF(K1015="",0,J1015*INDEX(Products!$H$5:$H$204,K1015)))</f>
        <v/>
      </c>
      <c r="P1015" s="11">
        <f>IF(A1015="","",J1015-M1015-N1015-O1015)</f>
        <v/>
      </c>
    </row>
    <row r="1016">
      <c r="A1016">
        <f>IFERROR(INDEX('Etsy Import'!$A:$CZ,1016,Settings!$C$20)&amp;"","")</f>
        <v/>
      </c>
      <c r="B1016">
        <f>IFERROR(INDEX('Etsy Import'!$A:$CZ,1016,Settings!$C$21)&amp;"","")</f>
        <v/>
      </c>
      <c r="C1016">
        <f>IFERROR(INDEX('Etsy Import'!$A:$CZ,1016,Settings!$C$22)&amp;"","")</f>
        <v/>
      </c>
      <c r="D1016">
        <f>IF(A1016="","",IFERROR(VALUE(SUBSTITUTE(SUBSTITUTE(INDEX('Etsy Import'!$A:$CZ,1016,Settings!$C$23)&amp;"","$",""),",","")),0))</f>
        <v/>
      </c>
      <c r="E1016" s="11">
        <f>IF(A1016="","",IFERROR(VALUE(SUBSTITUTE(SUBSTITUTE(INDEX('Etsy Import'!$A:$CZ,1016,Settings!$C$24)&amp;"","$",""),",","")),0))</f>
        <v/>
      </c>
      <c r="F1016" s="11">
        <f>IF(A1016="","",D1016*E1016)</f>
        <v/>
      </c>
      <c r="G1016">
        <f>IF(A1016="","",IF(C1016="",1,COUNTIF($C$2:$C$1501,C1016)))</f>
        <v/>
      </c>
      <c r="H1016" s="11">
        <f>IF(A1016="","",IFERROR(VALUE(SUBSTITUTE(SUBSTITUTE(INDEX('Etsy Import'!$A:$CZ,1016,Settings!$C$25)&amp;"","$",""),",","")),0)/IF(Settings!$B$27="Yes",G1016,1))</f>
        <v/>
      </c>
      <c r="I1016" s="11">
        <f>IF(A1016="","",IFERROR(VALUE(SUBSTITUTE(SUBSTITUTE(INDEX('Etsy Import'!$A:$CZ,1016,Settings!$C$26)&amp;"","$",""),",","")),0)/IF(Settings!$B$27="Yes",G1016,1))</f>
        <v/>
      </c>
      <c r="J1016" s="11">
        <f>IF(A1016="","",F1016+H1016-I1016)</f>
        <v/>
      </c>
      <c r="K1016">
        <f>IF(A1016="","",IFERROR(IF(B1016="",NA(),MATCH(B1016,Products!$B$5:$B$204,0)),IFERROR(MATCH(A1016,Products!$A$5:$A$204,0),"")))</f>
        <v/>
      </c>
      <c r="L1016">
        <f>IF(A1016="","",IF(K1016="","⚠ not in Products",INDEX(Products!$A$5:$A$204,K1016)))</f>
        <v/>
      </c>
      <c r="M1016" s="11">
        <f>IF(A1016="","",J1016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1016+IFERROR(INDEX(Settings!$D$5:$D$9,MATCH("Etsy",Settings!$A$5:$A$9,0)),0)*D1016)</f>
        <v/>
      </c>
      <c r="N1016" s="11">
        <f>IF(A1016="","",IF(K1016="",0,D1016*INDEX(Products!$I$5:$I$204,K1016)))</f>
        <v/>
      </c>
      <c r="O1016" s="11">
        <f>IF(A1016="","",IF(K1016="",0,J1016*INDEX(Products!$H$5:$H$204,K1016)))</f>
        <v/>
      </c>
      <c r="P1016" s="11">
        <f>IF(A1016="","",J1016-M1016-N1016-O1016)</f>
        <v/>
      </c>
    </row>
    <row r="1017">
      <c r="A1017">
        <f>IFERROR(INDEX('Etsy Import'!$A:$CZ,1017,Settings!$C$20)&amp;"","")</f>
        <v/>
      </c>
      <c r="B1017">
        <f>IFERROR(INDEX('Etsy Import'!$A:$CZ,1017,Settings!$C$21)&amp;"","")</f>
        <v/>
      </c>
      <c r="C1017">
        <f>IFERROR(INDEX('Etsy Import'!$A:$CZ,1017,Settings!$C$22)&amp;"","")</f>
        <v/>
      </c>
      <c r="D1017">
        <f>IF(A1017="","",IFERROR(VALUE(SUBSTITUTE(SUBSTITUTE(INDEX('Etsy Import'!$A:$CZ,1017,Settings!$C$23)&amp;"","$",""),",","")),0))</f>
        <v/>
      </c>
      <c r="E1017" s="11">
        <f>IF(A1017="","",IFERROR(VALUE(SUBSTITUTE(SUBSTITUTE(INDEX('Etsy Import'!$A:$CZ,1017,Settings!$C$24)&amp;"","$",""),",","")),0))</f>
        <v/>
      </c>
      <c r="F1017" s="11">
        <f>IF(A1017="","",D1017*E1017)</f>
        <v/>
      </c>
      <c r="G1017">
        <f>IF(A1017="","",IF(C1017="",1,COUNTIF($C$2:$C$1501,C1017)))</f>
        <v/>
      </c>
      <c r="H1017" s="11">
        <f>IF(A1017="","",IFERROR(VALUE(SUBSTITUTE(SUBSTITUTE(INDEX('Etsy Import'!$A:$CZ,1017,Settings!$C$25)&amp;"","$",""),",","")),0)/IF(Settings!$B$27="Yes",G1017,1))</f>
        <v/>
      </c>
      <c r="I1017" s="11">
        <f>IF(A1017="","",IFERROR(VALUE(SUBSTITUTE(SUBSTITUTE(INDEX('Etsy Import'!$A:$CZ,1017,Settings!$C$26)&amp;"","$",""),",","")),0)/IF(Settings!$B$27="Yes",G1017,1))</f>
        <v/>
      </c>
      <c r="J1017" s="11">
        <f>IF(A1017="","",F1017+H1017-I1017)</f>
        <v/>
      </c>
      <c r="K1017">
        <f>IF(A1017="","",IFERROR(IF(B1017="",NA(),MATCH(B1017,Products!$B$5:$B$204,0)),IFERROR(MATCH(A1017,Products!$A$5:$A$204,0),"")))</f>
        <v/>
      </c>
      <c r="L1017">
        <f>IF(A1017="","",IF(K1017="","⚠ not in Products",INDEX(Products!$A$5:$A$204,K1017)))</f>
        <v/>
      </c>
      <c r="M1017" s="11">
        <f>IF(A1017="","",J1017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1017+IFERROR(INDEX(Settings!$D$5:$D$9,MATCH("Etsy",Settings!$A$5:$A$9,0)),0)*D1017)</f>
        <v/>
      </c>
      <c r="N1017" s="11">
        <f>IF(A1017="","",IF(K1017="",0,D1017*INDEX(Products!$I$5:$I$204,K1017)))</f>
        <v/>
      </c>
      <c r="O1017" s="11">
        <f>IF(A1017="","",IF(K1017="",0,J1017*INDEX(Products!$H$5:$H$204,K1017)))</f>
        <v/>
      </c>
      <c r="P1017" s="11">
        <f>IF(A1017="","",J1017-M1017-N1017-O1017)</f>
        <v/>
      </c>
    </row>
    <row r="1018">
      <c r="A1018">
        <f>IFERROR(INDEX('Etsy Import'!$A:$CZ,1018,Settings!$C$20)&amp;"","")</f>
        <v/>
      </c>
      <c r="B1018">
        <f>IFERROR(INDEX('Etsy Import'!$A:$CZ,1018,Settings!$C$21)&amp;"","")</f>
        <v/>
      </c>
      <c r="C1018">
        <f>IFERROR(INDEX('Etsy Import'!$A:$CZ,1018,Settings!$C$22)&amp;"","")</f>
        <v/>
      </c>
      <c r="D1018">
        <f>IF(A1018="","",IFERROR(VALUE(SUBSTITUTE(SUBSTITUTE(INDEX('Etsy Import'!$A:$CZ,1018,Settings!$C$23)&amp;"","$",""),",","")),0))</f>
        <v/>
      </c>
      <c r="E1018" s="11">
        <f>IF(A1018="","",IFERROR(VALUE(SUBSTITUTE(SUBSTITUTE(INDEX('Etsy Import'!$A:$CZ,1018,Settings!$C$24)&amp;"","$",""),",","")),0))</f>
        <v/>
      </c>
      <c r="F1018" s="11">
        <f>IF(A1018="","",D1018*E1018)</f>
        <v/>
      </c>
      <c r="G1018">
        <f>IF(A1018="","",IF(C1018="",1,COUNTIF($C$2:$C$1501,C1018)))</f>
        <v/>
      </c>
      <c r="H1018" s="11">
        <f>IF(A1018="","",IFERROR(VALUE(SUBSTITUTE(SUBSTITUTE(INDEX('Etsy Import'!$A:$CZ,1018,Settings!$C$25)&amp;"","$",""),",","")),0)/IF(Settings!$B$27="Yes",G1018,1))</f>
        <v/>
      </c>
      <c r="I1018" s="11">
        <f>IF(A1018="","",IFERROR(VALUE(SUBSTITUTE(SUBSTITUTE(INDEX('Etsy Import'!$A:$CZ,1018,Settings!$C$26)&amp;"","$",""),",","")),0)/IF(Settings!$B$27="Yes",G1018,1))</f>
        <v/>
      </c>
      <c r="J1018" s="11">
        <f>IF(A1018="","",F1018+H1018-I1018)</f>
        <v/>
      </c>
      <c r="K1018">
        <f>IF(A1018="","",IFERROR(IF(B1018="",NA(),MATCH(B1018,Products!$B$5:$B$204,0)),IFERROR(MATCH(A1018,Products!$A$5:$A$204,0),"")))</f>
        <v/>
      </c>
      <c r="L1018">
        <f>IF(A1018="","",IF(K1018="","⚠ not in Products",INDEX(Products!$A$5:$A$204,K1018)))</f>
        <v/>
      </c>
      <c r="M1018" s="11">
        <f>IF(A1018="","",J1018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1018+IFERROR(INDEX(Settings!$D$5:$D$9,MATCH("Etsy",Settings!$A$5:$A$9,0)),0)*D1018)</f>
        <v/>
      </c>
      <c r="N1018" s="11">
        <f>IF(A1018="","",IF(K1018="",0,D1018*INDEX(Products!$I$5:$I$204,K1018)))</f>
        <v/>
      </c>
      <c r="O1018" s="11">
        <f>IF(A1018="","",IF(K1018="",0,J1018*INDEX(Products!$H$5:$H$204,K1018)))</f>
        <v/>
      </c>
      <c r="P1018" s="11">
        <f>IF(A1018="","",J1018-M1018-N1018-O1018)</f>
        <v/>
      </c>
    </row>
    <row r="1019">
      <c r="A1019">
        <f>IFERROR(INDEX('Etsy Import'!$A:$CZ,1019,Settings!$C$20)&amp;"","")</f>
        <v/>
      </c>
      <c r="B1019">
        <f>IFERROR(INDEX('Etsy Import'!$A:$CZ,1019,Settings!$C$21)&amp;"","")</f>
        <v/>
      </c>
      <c r="C1019">
        <f>IFERROR(INDEX('Etsy Import'!$A:$CZ,1019,Settings!$C$22)&amp;"","")</f>
        <v/>
      </c>
      <c r="D1019">
        <f>IF(A1019="","",IFERROR(VALUE(SUBSTITUTE(SUBSTITUTE(INDEX('Etsy Import'!$A:$CZ,1019,Settings!$C$23)&amp;"","$",""),",","")),0))</f>
        <v/>
      </c>
      <c r="E1019" s="11">
        <f>IF(A1019="","",IFERROR(VALUE(SUBSTITUTE(SUBSTITUTE(INDEX('Etsy Import'!$A:$CZ,1019,Settings!$C$24)&amp;"","$",""),",","")),0))</f>
        <v/>
      </c>
      <c r="F1019" s="11">
        <f>IF(A1019="","",D1019*E1019)</f>
        <v/>
      </c>
      <c r="G1019">
        <f>IF(A1019="","",IF(C1019="",1,COUNTIF($C$2:$C$1501,C1019)))</f>
        <v/>
      </c>
      <c r="H1019" s="11">
        <f>IF(A1019="","",IFERROR(VALUE(SUBSTITUTE(SUBSTITUTE(INDEX('Etsy Import'!$A:$CZ,1019,Settings!$C$25)&amp;"","$",""),",","")),0)/IF(Settings!$B$27="Yes",G1019,1))</f>
        <v/>
      </c>
      <c r="I1019" s="11">
        <f>IF(A1019="","",IFERROR(VALUE(SUBSTITUTE(SUBSTITUTE(INDEX('Etsy Import'!$A:$CZ,1019,Settings!$C$26)&amp;"","$",""),",","")),0)/IF(Settings!$B$27="Yes",G1019,1))</f>
        <v/>
      </c>
      <c r="J1019" s="11">
        <f>IF(A1019="","",F1019+H1019-I1019)</f>
        <v/>
      </c>
      <c r="K1019">
        <f>IF(A1019="","",IFERROR(IF(B1019="",NA(),MATCH(B1019,Products!$B$5:$B$204,0)),IFERROR(MATCH(A1019,Products!$A$5:$A$204,0),"")))</f>
        <v/>
      </c>
      <c r="L1019">
        <f>IF(A1019="","",IF(K1019="","⚠ not in Products",INDEX(Products!$A$5:$A$204,K1019)))</f>
        <v/>
      </c>
      <c r="M1019" s="11">
        <f>IF(A1019="","",J1019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1019+IFERROR(INDEX(Settings!$D$5:$D$9,MATCH("Etsy",Settings!$A$5:$A$9,0)),0)*D1019)</f>
        <v/>
      </c>
      <c r="N1019" s="11">
        <f>IF(A1019="","",IF(K1019="",0,D1019*INDEX(Products!$I$5:$I$204,K1019)))</f>
        <v/>
      </c>
      <c r="O1019" s="11">
        <f>IF(A1019="","",IF(K1019="",0,J1019*INDEX(Products!$H$5:$H$204,K1019)))</f>
        <v/>
      </c>
      <c r="P1019" s="11">
        <f>IF(A1019="","",J1019-M1019-N1019-O1019)</f>
        <v/>
      </c>
    </row>
    <row r="1020">
      <c r="A1020">
        <f>IFERROR(INDEX('Etsy Import'!$A:$CZ,1020,Settings!$C$20)&amp;"","")</f>
        <v/>
      </c>
      <c r="B1020">
        <f>IFERROR(INDEX('Etsy Import'!$A:$CZ,1020,Settings!$C$21)&amp;"","")</f>
        <v/>
      </c>
      <c r="C1020">
        <f>IFERROR(INDEX('Etsy Import'!$A:$CZ,1020,Settings!$C$22)&amp;"","")</f>
        <v/>
      </c>
      <c r="D1020">
        <f>IF(A1020="","",IFERROR(VALUE(SUBSTITUTE(SUBSTITUTE(INDEX('Etsy Import'!$A:$CZ,1020,Settings!$C$23)&amp;"","$",""),",","")),0))</f>
        <v/>
      </c>
      <c r="E1020" s="11">
        <f>IF(A1020="","",IFERROR(VALUE(SUBSTITUTE(SUBSTITUTE(INDEX('Etsy Import'!$A:$CZ,1020,Settings!$C$24)&amp;"","$",""),",","")),0))</f>
        <v/>
      </c>
      <c r="F1020" s="11">
        <f>IF(A1020="","",D1020*E1020)</f>
        <v/>
      </c>
      <c r="G1020">
        <f>IF(A1020="","",IF(C1020="",1,COUNTIF($C$2:$C$1501,C1020)))</f>
        <v/>
      </c>
      <c r="H1020" s="11">
        <f>IF(A1020="","",IFERROR(VALUE(SUBSTITUTE(SUBSTITUTE(INDEX('Etsy Import'!$A:$CZ,1020,Settings!$C$25)&amp;"","$",""),",","")),0)/IF(Settings!$B$27="Yes",G1020,1))</f>
        <v/>
      </c>
      <c r="I1020" s="11">
        <f>IF(A1020="","",IFERROR(VALUE(SUBSTITUTE(SUBSTITUTE(INDEX('Etsy Import'!$A:$CZ,1020,Settings!$C$26)&amp;"","$",""),",","")),0)/IF(Settings!$B$27="Yes",G1020,1))</f>
        <v/>
      </c>
      <c r="J1020" s="11">
        <f>IF(A1020="","",F1020+H1020-I1020)</f>
        <v/>
      </c>
      <c r="K1020">
        <f>IF(A1020="","",IFERROR(IF(B1020="",NA(),MATCH(B1020,Products!$B$5:$B$204,0)),IFERROR(MATCH(A1020,Products!$A$5:$A$204,0),"")))</f>
        <v/>
      </c>
      <c r="L1020">
        <f>IF(A1020="","",IF(K1020="","⚠ not in Products",INDEX(Products!$A$5:$A$204,K1020)))</f>
        <v/>
      </c>
      <c r="M1020" s="11">
        <f>IF(A1020="","",J1020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1020+IFERROR(INDEX(Settings!$D$5:$D$9,MATCH("Etsy",Settings!$A$5:$A$9,0)),0)*D1020)</f>
        <v/>
      </c>
      <c r="N1020" s="11">
        <f>IF(A1020="","",IF(K1020="",0,D1020*INDEX(Products!$I$5:$I$204,K1020)))</f>
        <v/>
      </c>
      <c r="O1020" s="11">
        <f>IF(A1020="","",IF(K1020="",0,J1020*INDEX(Products!$H$5:$H$204,K1020)))</f>
        <v/>
      </c>
      <c r="P1020" s="11">
        <f>IF(A1020="","",J1020-M1020-N1020-O1020)</f>
        <v/>
      </c>
    </row>
    <row r="1021">
      <c r="A1021">
        <f>IFERROR(INDEX('Etsy Import'!$A:$CZ,1021,Settings!$C$20)&amp;"","")</f>
        <v/>
      </c>
      <c r="B1021">
        <f>IFERROR(INDEX('Etsy Import'!$A:$CZ,1021,Settings!$C$21)&amp;"","")</f>
        <v/>
      </c>
      <c r="C1021">
        <f>IFERROR(INDEX('Etsy Import'!$A:$CZ,1021,Settings!$C$22)&amp;"","")</f>
        <v/>
      </c>
      <c r="D1021">
        <f>IF(A1021="","",IFERROR(VALUE(SUBSTITUTE(SUBSTITUTE(INDEX('Etsy Import'!$A:$CZ,1021,Settings!$C$23)&amp;"","$",""),",","")),0))</f>
        <v/>
      </c>
      <c r="E1021" s="11">
        <f>IF(A1021="","",IFERROR(VALUE(SUBSTITUTE(SUBSTITUTE(INDEX('Etsy Import'!$A:$CZ,1021,Settings!$C$24)&amp;"","$",""),",","")),0))</f>
        <v/>
      </c>
      <c r="F1021" s="11">
        <f>IF(A1021="","",D1021*E1021)</f>
        <v/>
      </c>
      <c r="G1021">
        <f>IF(A1021="","",IF(C1021="",1,COUNTIF($C$2:$C$1501,C1021)))</f>
        <v/>
      </c>
      <c r="H1021" s="11">
        <f>IF(A1021="","",IFERROR(VALUE(SUBSTITUTE(SUBSTITUTE(INDEX('Etsy Import'!$A:$CZ,1021,Settings!$C$25)&amp;"","$",""),",","")),0)/IF(Settings!$B$27="Yes",G1021,1))</f>
        <v/>
      </c>
      <c r="I1021" s="11">
        <f>IF(A1021="","",IFERROR(VALUE(SUBSTITUTE(SUBSTITUTE(INDEX('Etsy Import'!$A:$CZ,1021,Settings!$C$26)&amp;"","$",""),",","")),0)/IF(Settings!$B$27="Yes",G1021,1))</f>
        <v/>
      </c>
      <c r="J1021" s="11">
        <f>IF(A1021="","",F1021+H1021-I1021)</f>
        <v/>
      </c>
      <c r="K1021">
        <f>IF(A1021="","",IFERROR(IF(B1021="",NA(),MATCH(B1021,Products!$B$5:$B$204,0)),IFERROR(MATCH(A1021,Products!$A$5:$A$204,0),"")))</f>
        <v/>
      </c>
      <c r="L1021">
        <f>IF(A1021="","",IF(K1021="","⚠ not in Products",INDEX(Products!$A$5:$A$204,K1021)))</f>
        <v/>
      </c>
      <c r="M1021" s="11">
        <f>IF(A1021="","",J1021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1021+IFERROR(INDEX(Settings!$D$5:$D$9,MATCH("Etsy",Settings!$A$5:$A$9,0)),0)*D1021)</f>
        <v/>
      </c>
      <c r="N1021" s="11">
        <f>IF(A1021="","",IF(K1021="",0,D1021*INDEX(Products!$I$5:$I$204,K1021)))</f>
        <v/>
      </c>
      <c r="O1021" s="11">
        <f>IF(A1021="","",IF(K1021="",0,J1021*INDEX(Products!$H$5:$H$204,K1021)))</f>
        <v/>
      </c>
      <c r="P1021" s="11">
        <f>IF(A1021="","",J1021-M1021-N1021-O1021)</f>
        <v/>
      </c>
    </row>
    <row r="1022">
      <c r="A1022">
        <f>IFERROR(INDEX('Etsy Import'!$A:$CZ,1022,Settings!$C$20)&amp;"","")</f>
        <v/>
      </c>
      <c r="B1022">
        <f>IFERROR(INDEX('Etsy Import'!$A:$CZ,1022,Settings!$C$21)&amp;"","")</f>
        <v/>
      </c>
      <c r="C1022">
        <f>IFERROR(INDEX('Etsy Import'!$A:$CZ,1022,Settings!$C$22)&amp;"","")</f>
        <v/>
      </c>
      <c r="D1022">
        <f>IF(A1022="","",IFERROR(VALUE(SUBSTITUTE(SUBSTITUTE(INDEX('Etsy Import'!$A:$CZ,1022,Settings!$C$23)&amp;"","$",""),",","")),0))</f>
        <v/>
      </c>
      <c r="E1022" s="11">
        <f>IF(A1022="","",IFERROR(VALUE(SUBSTITUTE(SUBSTITUTE(INDEX('Etsy Import'!$A:$CZ,1022,Settings!$C$24)&amp;"","$",""),",","")),0))</f>
        <v/>
      </c>
      <c r="F1022" s="11">
        <f>IF(A1022="","",D1022*E1022)</f>
        <v/>
      </c>
      <c r="G1022">
        <f>IF(A1022="","",IF(C1022="",1,COUNTIF($C$2:$C$1501,C1022)))</f>
        <v/>
      </c>
      <c r="H1022" s="11">
        <f>IF(A1022="","",IFERROR(VALUE(SUBSTITUTE(SUBSTITUTE(INDEX('Etsy Import'!$A:$CZ,1022,Settings!$C$25)&amp;"","$",""),",","")),0)/IF(Settings!$B$27="Yes",G1022,1))</f>
        <v/>
      </c>
      <c r="I1022" s="11">
        <f>IF(A1022="","",IFERROR(VALUE(SUBSTITUTE(SUBSTITUTE(INDEX('Etsy Import'!$A:$CZ,1022,Settings!$C$26)&amp;"","$",""),",","")),0)/IF(Settings!$B$27="Yes",G1022,1))</f>
        <v/>
      </c>
      <c r="J1022" s="11">
        <f>IF(A1022="","",F1022+H1022-I1022)</f>
        <v/>
      </c>
      <c r="K1022">
        <f>IF(A1022="","",IFERROR(IF(B1022="",NA(),MATCH(B1022,Products!$B$5:$B$204,0)),IFERROR(MATCH(A1022,Products!$A$5:$A$204,0),"")))</f>
        <v/>
      </c>
      <c r="L1022">
        <f>IF(A1022="","",IF(K1022="","⚠ not in Products",INDEX(Products!$A$5:$A$204,K1022)))</f>
        <v/>
      </c>
      <c r="M1022" s="11">
        <f>IF(A1022="","",J1022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1022+IFERROR(INDEX(Settings!$D$5:$D$9,MATCH("Etsy",Settings!$A$5:$A$9,0)),0)*D1022)</f>
        <v/>
      </c>
      <c r="N1022" s="11">
        <f>IF(A1022="","",IF(K1022="",0,D1022*INDEX(Products!$I$5:$I$204,K1022)))</f>
        <v/>
      </c>
      <c r="O1022" s="11">
        <f>IF(A1022="","",IF(K1022="",0,J1022*INDEX(Products!$H$5:$H$204,K1022)))</f>
        <v/>
      </c>
      <c r="P1022" s="11">
        <f>IF(A1022="","",J1022-M1022-N1022-O1022)</f>
        <v/>
      </c>
    </row>
    <row r="1023">
      <c r="A1023">
        <f>IFERROR(INDEX('Etsy Import'!$A:$CZ,1023,Settings!$C$20)&amp;"","")</f>
        <v/>
      </c>
      <c r="B1023">
        <f>IFERROR(INDEX('Etsy Import'!$A:$CZ,1023,Settings!$C$21)&amp;"","")</f>
        <v/>
      </c>
      <c r="C1023">
        <f>IFERROR(INDEX('Etsy Import'!$A:$CZ,1023,Settings!$C$22)&amp;"","")</f>
        <v/>
      </c>
      <c r="D1023">
        <f>IF(A1023="","",IFERROR(VALUE(SUBSTITUTE(SUBSTITUTE(INDEX('Etsy Import'!$A:$CZ,1023,Settings!$C$23)&amp;"","$",""),",","")),0))</f>
        <v/>
      </c>
      <c r="E1023" s="11">
        <f>IF(A1023="","",IFERROR(VALUE(SUBSTITUTE(SUBSTITUTE(INDEX('Etsy Import'!$A:$CZ,1023,Settings!$C$24)&amp;"","$",""),",","")),0))</f>
        <v/>
      </c>
      <c r="F1023" s="11">
        <f>IF(A1023="","",D1023*E1023)</f>
        <v/>
      </c>
      <c r="G1023">
        <f>IF(A1023="","",IF(C1023="",1,COUNTIF($C$2:$C$1501,C1023)))</f>
        <v/>
      </c>
      <c r="H1023" s="11">
        <f>IF(A1023="","",IFERROR(VALUE(SUBSTITUTE(SUBSTITUTE(INDEX('Etsy Import'!$A:$CZ,1023,Settings!$C$25)&amp;"","$",""),",","")),0)/IF(Settings!$B$27="Yes",G1023,1))</f>
        <v/>
      </c>
      <c r="I1023" s="11">
        <f>IF(A1023="","",IFERROR(VALUE(SUBSTITUTE(SUBSTITUTE(INDEX('Etsy Import'!$A:$CZ,1023,Settings!$C$26)&amp;"","$",""),",","")),0)/IF(Settings!$B$27="Yes",G1023,1))</f>
        <v/>
      </c>
      <c r="J1023" s="11">
        <f>IF(A1023="","",F1023+H1023-I1023)</f>
        <v/>
      </c>
      <c r="K1023">
        <f>IF(A1023="","",IFERROR(IF(B1023="",NA(),MATCH(B1023,Products!$B$5:$B$204,0)),IFERROR(MATCH(A1023,Products!$A$5:$A$204,0),"")))</f>
        <v/>
      </c>
      <c r="L1023">
        <f>IF(A1023="","",IF(K1023="","⚠ not in Products",INDEX(Products!$A$5:$A$204,K1023)))</f>
        <v/>
      </c>
      <c r="M1023" s="11">
        <f>IF(A1023="","",J1023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1023+IFERROR(INDEX(Settings!$D$5:$D$9,MATCH("Etsy",Settings!$A$5:$A$9,0)),0)*D1023)</f>
        <v/>
      </c>
      <c r="N1023" s="11">
        <f>IF(A1023="","",IF(K1023="",0,D1023*INDEX(Products!$I$5:$I$204,K1023)))</f>
        <v/>
      </c>
      <c r="O1023" s="11">
        <f>IF(A1023="","",IF(K1023="",0,J1023*INDEX(Products!$H$5:$H$204,K1023)))</f>
        <v/>
      </c>
      <c r="P1023" s="11">
        <f>IF(A1023="","",J1023-M1023-N1023-O1023)</f>
        <v/>
      </c>
    </row>
    <row r="1024">
      <c r="A1024">
        <f>IFERROR(INDEX('Etsy Import'!$A:$CZ,1024,Settings!$C$20)&amp;"","")</f>
        <v/>
      </c>
      <c r="B1024">
        <f>IFERROR(INDEX('Etsy Import'!$A:$CZ,1024,Settings!$C$21)&amp;"","")</f>
        <v/>
      </c>
      <c r="C1024">
        <f>IFERROR(INDEX('Etsy Import'!$A:$CZ,1024,Settings!$C$22)&amp;"","")</f>
        <v/>
      </c>
      <c r="D1024">
        <f>IF(A1024="","",IFERROR(VALUE(SUBSTITUTE(SUBSTITUTE(INDEX('Etsy Import'!$A:$CZ,1024,Settings!$C$23)&amp;"","$",""),",","")),0))</f>
        <v/>
      </c>
      <c r="E1024" s="11">
        <f>IF(A1024="","",IFERROR(VALUE(SUBSTITUTE(SUBSTITUTE(INDEX('Etsy Import'!$A:$CZ,1024,Settings!$C$24)&amp;"","$",""),",","")),0))</f>
        <v/>
      </c>
      <c r="F1024" s="11">
        <f>IF(A1024="","",D1024*E1024)</f>
        <v/>
      </c>
      <c r="G1024">
        <f>IF(A1024="","",IF(C1024="",1,COUNTIF($C$2:$C$1501,C1024)))</f>
        <v/>
      </c>
      <c r="H1024" s="11">
        <f>IF(A1024="","",IFERROR(VALUE(SUBSTITUTE(SUBSTITUTE(INDEX('Etsy Import'!$A:$CZ,1024,Settings!$C$25)&amp;"","$",""),",","")),0)/IF(Settings!$B$27="Yes",G1024,1))</f>
        <v/>
      </c>
      <c r="I1024" s="11">
        <f>IF(A1024="","",IFERROR(VALUE(SUBSTITUTE(SUBSTITUTE(INDEX('Etsy Import'!$A:$CZ,1024,Settings!$C$26)&amp;"","$",""),",","")),0)/IF(Settings!$B$27="Yes",G1024,1))</f>
        <v/>
      </c>
      <c r="J1024" s="11">
        <f>IF(A1024="","",F1024+H1024-I1024)</f>
        <v/>
      </c>
      <c r="K1024">
        <f>IF(A1024="","",IFERROR(IF(B1024="",NA(),MATCH(B1024,Products!$B$5:$B$204,0)),IFERROR(MATCH(A1024,Products!$A$5:$A$204,0),"")))</f>
        <v/>
      </c>
      <c r="L1024">
        <f>IF(A1024="","",IF(K1024="","⚠ not in Products",INDEX(Products!$A$5:$A$204,K1024)))</f>
        <v/>
      </c>
      <c r="M1024" s="11">
        <f>IF(A1024="","",J1024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1024+IFERROR(INDEX(Settings!$D$5:$D$9,MATCH("Etsy",Settings!$A$5:$A$9,0)),0)*D1024)</f>
        <v/>
      </c>
      <c r="N1024" s="11">
        <f>IF(A1024="","",IF(K1024="",0,D1024*INDEX(Products!$I$5:$I$204,K1024)))</f>
        <v/>
      </c>
      <c r="O1024" s="11">
        <f>IF(A1024="","",IF(K1024="",0,J1024*INDEX(Products!$H$5:$H$204,K1024)))</f>
        <v/>
      </c>
      <c r="P1024" s="11">
        <f>IF(A1024="","",J1024-M1024-N1024-O1024)</f>
        <v/>
      </c>
    </row>
    <row r="1025">
      <c r="A1025">
        <f>IFERROR(INDEX('Etsy Import'!$A:$CZ,1025,Settings!$C$20)&amp;"","")</f>
        <v/>
      </c>
      <c r="B1025">
        <f>IFERROR(INDEX('Etsy Import'!$A:$CZ,1025,Settings!$C$21)&amp;"","")</f>
        <v/>
      </c>
      <c r="C1025">
        <f>IFERROR(INDEX('Etsy Import'!$A:$CZ,1025,Settings!$C$22)&amp;"","")</f>
        <v/>
      </c>
      <c r="D1025">
        <f>IF(A1025="","",IFERROR(VALUE(SUBSTITUTE(SUBSTITUTE(INDEX('Etsy Import'!$A:$CZ,1025,Settings!$C$23)&amp;"","$",""),",","")),0))</f>
        <v/>
      </c>
      <c r="E1025" s="11">
        <f>IF(A1025="","",IFERROR(VALUE(SUBSTITUTE(SUBSTITUTE(INDEX('Etsy Import'!$A:$CZ,1025,Settings!$C$24)&amp;"","$",""),",","")),0))</f>
        <v/>
      </c>
      <c r="F1025" s="11">
        <f>IF(A1025="","",D1025*E1025)</f>
        <v/>
      </c>
      <c r="G1025">
        <f>IF(A1025="","",IF(C1025="",1,COUNTIF($C$2:$C$1501,C1025)))</f>
        <v/>
      </c>
      <c r="H1025" s="11">
        <f>IF(A1025="","",IFERROR(VALUE(SUBSTITUTE(SUBSTITUTE(INDEX('Etsy Import'!$A:$CZ,1025,Settings!$C$25)&amp;"","$",""),",","")),0)/IF(Settings!$B$27="Yes",G1025,1))</f>
        <v/>
      </c>
      <c r="I1025" s="11">
        <f>IF(A1025="","",IFERROR(VALUE(SUBSTITUTE(SUBSTITUTE(INDEX('Etsy Import'!$A:$CZ,1025,Settings!$C$26)&amp;"","$",""),",","")),0)/IF(Settings!$B$27="Yes",G1025,1))</f>
        <v/>
      </c>
      <c r="J1025" s="11">
        <f>IF(A1025="","",F1025+H1025-I1025)</f>
        <v/>
      </c>
      <c r="K1025">
        <f>IF(A1025="","",IFERROR(IF(B1025="",NA(),MATCH(B1025,Products!$B$5:$B$204,0)),IFERROR(MATCH(A1025,Products!$A$5:$A$204,0),"")))</f>
        <v/>
      </c>
      <c r="L1025">
        <f>IF(A1025="","",IF(K1025="","⚠ not in Products",INDEX(Products!$A$5:$A$204,K1025)))</f>
        <v/>
      </c>
      <c r="M1025" s="11">
        <f>IF(A1025="","",J1025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1025+IFERROR(INDEX(Settings!$D$5:$D$9,MATCH("Etsy",Settings!$A$5:$A$9,0)),0)*D1025)</f>
        <v/>
      </c>
      <c r="N1025" s="11">
        <f>IF(A1025="","",IF(K1025="",0,D1025*INDEX(Products!$I$5:$I$204,K1025)))</f>
        <v/>
      </c>
      <c r="O1025" s="11">
        <f>IF(A1025="","",IF(K1025="",0,J1025*INDEX(Products!$H$5:$H$204,K1025)))</f>
        <v/>
      </c>
      <c r="P1025" s="11">
        <f>IF(A1025="","",J1025-M1025-N1025-O1025)</f>
        <v/>
      </c>
    </row>
    <row r="1026">
      <c r="A1026">
        <f>IFERROR(INDEX('Etsy Import'!$A:$CZ,1026,Settings!$C$20)&amp;"","")</f>
        <v/>
      </c>
      <c r="B1026">
        <f>IFERROR(INDEX('Etsy Import'!$A:$CZ,1026,Settings!$C$21)&amp;"","")</f>
        <v/>
      </c>
      <c r="C1026">
        <f>IFERROR(INDEX('Etsy Import'!$A:$CZ,1026,Settings!$C$22)&amp;"","")</f>
        <v/>
      </c>
      <c r="D1026">
        <f>IF(A1026="","",IFERROR(VALUE(SUBSTITUTE(SUBSTITUTE(INDEX('Etsy Import'!$A:$CZ,1026,Settings!$C$23)&amp;"","$",""),",","")),0))</f>
        <v/>
      </c>
      <c r="E1026" s="11">
        <f>IF(A1026="","",IFERROR(VALUE(SUBSTITUTE(SUBSTITUTE(INDEX('Etsy Import'!$A:$CZ,1026,Settings!$C$24)&amp;"","$",""),",","")),0))</f>
        <v/>
      </c>
      <c r="F1026" s="11">
        <f>IF(A1026="","",D1026*E1026)</f>
        <v/>
      </c>
      <c r="G1026">
        <f>IF(A1026="","",IF(C1026="",1,COUNTIF($C$2:$C$1501,C1026)))</f>
        <v/>
      </c>
      <c r="H1026" s="11">
        <f>IF(A1026="","",IFERROR(VALUE(SUBSTITUTE(SUBSTITUTE(INDEX('Etsy Import'!$A:$CZ,1026,Settings!$C$25)&amp;"","$",""),",","")),0)/IF(Settings!$B$27="Yes",G1026,1))</f>
        <v/>
      </c>
      <c r="I1026" s="11">
        <f>IF(A1026="","",IFERROR(VALUE(SUBSTITUTE(SUBSTITUTE(INDEX('Etsy Import'!$A:$CZ,1026,Settings!$C$26)&amp;"","$",""),",","")),0)/IF(Settings!$B$27="Yes",G1026,1))</f>
        <v/>
      </c>
      <c r="J1026" s="11">
        <f>IF(A1026="","",F1026+H1026-I1026)</f>
        <v/>
      </c>
      <c r="K1026">
        <f>IF(A1026="","",IFERROR(IF(B1026="",NA(),MATCH(B1026,Products!$B$5:$B$204,0)),IFERROR(MATCH(A1026,Products!$A$5:$A$204,0),"")))</f>
        <v/>
      </c>
      <c r="L1026">
        <f>IF(A1026="","",IF(K1026="","⚠ not in Products",INDEX(Products!$A$5:$A$204,K1026)))</f>
        <v/>
      </c>
      <c r="M1026" s="11">
        <f>IF(A1026="","",J1026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1026+IFERROR(INDEX(Settings!$D$5:$D$9,MATCH("Etsy",Settings!$A$5:$A$9,0)),0)*D1026)</f>
        <v/>
      </c>
      <c r="N1026" s="11">
        <f>IF(A1026="","",IF(K1026="",0,D1026*INDEX(Products!$I$5:$I$204,K1026)))</f>
        <v/>
      </c>
      <c r="O1026" s="11">
        <f>IF(A1026="","",IF(K1026="",0,J1026*INDEX(Products!$H$5:$H$204,K1026)))</f>
        <v/>
      </c>
      <c r="P1026" s="11">
        <f>IF(A1026="","",J1026-M1026-N1026-O1026)</f>
        <v/>
      </c>
    </row>
    <row r="1027">
      <c r="A1027">
        <f>IFERROR(INDEX('Etsy Import'!$A:$CZ,1027,Settings!$C$20)&amp;"","")</f>
        <v/>
      </c>
      <c r="B1027">
        <f>IFERROR(INDEX('Etsy Import'!$A:$CZ,1027,Settings!$C$21)&amp;"","")</f>
        <v/>
      </c>
      <c r="C1027">
        <f>IFERROR(INDEX('Etsy Import'!$A:$CZ,1027,Settings!$C$22)&amp;"","")</f>
        <v/>
      </c>
      <c r="D1027">
        <f>IF(A1027="","",IFERROR(VALUE(SUBSTITUTE(SUBSTITUTE(INDEX('Etsy Import'!$A:$CZ,1027,Settings!$C$23)&amp;"","$",""),",","")),0))</f>
        <v/>
      </c>
      <c r="E1027" s="11">
        <f>IF(A1027="","",IFERROR(VALUE(SUBSTITUTE(SUBSTITUTE(INDEX('Etsy Import'!$A:$CZ,1027,Settings!$C$24)&amp;"","$",""),",","")),0))</f>
        <v/>
      </c>
      <c r="F1027" s="11">
        <f>IF(A1027="","",D1027*E1027)</f>
        <v/>
      </c>
      <c r="G1027">
        <f>IF(A1027="","",IF(C1027="",1,COUNTIF($C$2:$C$1501,C1027)))</f>
        <v/>
      </c>
      <c r="H1027" s="11">
        <f>IF(A1027="","",IFERROR(VALUE(SUBSTITUTE(SUBSTITUTE(INDEX('Etsy Import'!$A:$CZ,1027,Settings!$C$25)&amp;"","$",""),",","")),0)/IF(Settings!$B$27="Yes",G1027,1))</f>
        <v/>
      </c>
      <c r="I1027" s="11">
        <f>IF(A1027="","",IFERROR(VALUE(SUBSTITUTE(SUBSTITUTE(INDEX('Etsy Import'!$A:$CZ,1027,Settings!$C$26)&amp;"","$",""),",","")),0)/IF(Settings!$B$27="Yes",G1027,1))</f>
        <v/>
      </c>
      <c r="J1027" s="11">
        <f>IF(A1027="","",F1027+H1027-I1027)</f>
        <v/>
      </c>
      <c r="K1027">
        <f>IF(A1027="","",IFERROR(IF(B1027="",NA(),MATCH(B1027,Products!$B$5:$B$204,0)),IFERROR(MATCH(A1027,Products!$A$5:$A$204,0),"")))</f>
        <v/>
      </c>
      <c r="L1027">
        <f>IF(A1027="","",IF(K1027="","⚠ not in Products",INDEX(Products!$A$5:$A$204,K1027)))</f>
        <v/>
      </c>
      <c r="M1027" s="11">
        <f>IF(A1027="","",J1027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1027+IFERROR(INDEX(Settings!$D$5:$D$9,MATCH("Etsy",Settings!$A$5:$A$9,0)),0)*D1027)</f>
        <v/>
      </c>
      <c r="N1027" s="11">
        <f>IF(A1027="","",IF(K1027="",0,D1027*INDEX(Products!$I$5:$I$204,K1027)))</f>
        <v/>
      </c>
      <c r="O1027" s="11">
        <f>IF(A1027="","",IF(K1027="",0,J1027*INDEX(Products!$H$5:$H$204,K1027)))</f>
        <v/>
      </c>
      <c r="P1027" s="11">
        <f>IF(A1027="","",J1027-M1027-N1027-O1027)</f>
        <v/>
      </c>
    </row>
    <row r="1028">
      <c r="A1028">
        <f>IFERROR(INDEX('Etsy Import'!$A:$CZ,1028,Settings!$C$20)&amp;"","")</f>
        <v/>
      </c>
      <c r="B1028">
        <f>IFERROR(INDEX('Etsy Import'!$A:$CZ,1028,Settings!$C$21)&amp;"","")</f>
        <v/>
      </c>
      <c r="C1028">
        <f>IFERROR(INDEX('Etsy Import'!$A:$CZ,1028,Settings!$C$22)&amp;"","")</f>
        <v/>
      </c>
      <c r="D1028">
        <f>IF(A1028="","",IFERROR(VALUE(SUBSTITUTE(SUBSTITUTE(INDEX('Etsy Import'!$A:$CZ,1028,Settings!$C$23)&amp;"","$",""),",","")),0))</f>
        <v/>
      </c>
      <c r="E1028" s="11">
        <f>IF(A1028="","",IFERROR(VALUE(SUBSTITUTE(SUBSTITUTE(INDEX('Etsy Import'!$A:$CZ,1028,Settings!$C$24)&amp;"","$",""),",","")),0))</f>
        <v/>
      </c>
      <c r="F1028" s="11">
        <f>IF(A1028="","",D1028*E1028)</f>
        <v/>
      </c>
      <c r="G1028">
        <f>IF(A1028="","",IF(C1028="",1,COUNTIF($C$2:$C$1501,C1028)))</f>
        <v/>
      </c>
      <c r="H1028" s="11">
        <f>IF(A1028="","",IFERROR(VALUE(SUBSTITUTE(SUBSTITUTE(INDEX('Etsy Import'!$A:$CZ,1028,Settings!$C$25)&amp;"","$",""),",","")),0)/IF(Settings!$B$27="Yes",G1028,1))</f>
        <v/>
      </c>
      <c r="I1028" s="11">
        <f>IF(A1028="","",IFERROR(VALUE(SUBSTITUTE(SUBSTITUTE(INDEX('Etsy Import'!$A:$CZ,1028,Settings!$C$26)&amp;"","$",""),",","")),0)/IF(Settings!$B$27="Yes",G1028,1))</f>
        <v/>
      </c>
      <c r="J1028" s="11">
        <f>IF(A1028="","",F1028+H1028-I1028)</f>
        <v/>
      </c>
      <c r="K1028">
        <f>IF(A1028="","",IFERROR(IF(B1028="",NA(),MATCH(B1028,Products!$B$5:$B$204,0)),IFERROR(MATCH(A1028,Products!$A$5:$A$204,0),"")))</f>
        <v/>
      </c>
      <c r="L1028">
        <f>IF(A1028="","",IF(K1028="","⚠ not in Products",INDEX(Products!$A$5:$A$204,K1028)))</f>
        <v/>
      </c>
      <c r="M1028" s="11">
        <f>IF(A1028="","",J1028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1028+IFERROR(INDEX(Settings!$D$5:$D$9,MATCH("Etsy",Settings!$A$5:$A$9,0)),0)*D1028)</f>
        <v/>
      </c>
      <c r="N1028" s="11">
        <f>IF(A1028="","",IF(K1028="",0,D1028*INDEX(Products!$I$5:$I$204,K1028)))</f>
        <v/>
      </c>
      <c r="O1028" s="11">
        <f>IF(A1028="","",IF(K1028="",0,J1028*INDEX(Products!$H$5:$H$204,K1028)))</f>
        <v/>
      </c>
      <c r="P1028" s="11">
        <f>IF(A1028="","",J1028-M1028-N1028-O1028)</f>
        <v/>
      </c>
    </row>
    <row r="1029">
      <c r="A1029">
        <f>IFERROR(INDEX('Etsy Import'!$A:$CZ,1029,Settings!$C$20)&amp;"","")</f>
        <v/>
      </c>
      <c r="B1029">
        <f>IFERROR(INDEX('Etsy Import'!$A:$CZ,1029,Settings!$C$21)&amp;"","")</f>
        <v/>
      </c>
      <c r="C1029">
        <f>IFERROR(INDEX('Etsy Import'!$A:$CZ,1029,Settings!$C$22)&amp;"","")</f>
        <v/>
      </c>
      <c r="D1029">
        <f>IF(A1029="","",IFERROR(VALUE(SUBSTITUTE(SUBSTITUTE(INDEX('Etsy Import'!$A:$CZ,1029,Settings!$C$23)&amp;"","$",""),",","")),0))</f>
        <v/>
      </c>
      <c r="E1029" s="11">
        <f>IF(A1029="","",IFERROR(VALUE(SUBSTITUTE(SUBSTITUTE(INDEX('Etsy Import'!$A:$CZ,1029,Settings!$C$24)&amp;"","$",""),",","")),0))</f>
        <v/>
      </c>
      <c r="F1029" s="11">
        <f>IF(A1029="","",D1029*E1029)</f>
        <v/>
      </c>
      <c r="G1029">
        <f>IF(A1029="","",IF(C1029="",1,COUNTIF($C$2:$C$1501,C1029)))</f>
        <v/>
      </c>
      <c r="H1029" s="11">
        <f>IF(A1029="","",IFERROR(VALUE(SUBSTITUTE(SUBSTITUTE(INDEX('Etsy Import'!$A:$CZ,1029,Settings!$C$25)&amp;"","$",""),",","")),0)/IF(Settings!$B$27="Yes",G1029,1))</f>
        <v/>
      </c>
      <c r="I1029" s="11">
        <f>IF(A1029="","",IFERROR(VALUE(SUBSTITUTE(SUBSTITUTE(INDEX('Etsy Import'!$A:$CZ,1029,Settings!$C$26)&amp;"","$",""),",","")),0)/IF(Settings!$B$27="Yes",G1029,1))</f>
        <v/>
      </c>
      <c r="J1029" s="11">
        <f>IF(A1029="","",F1029+H1029-I1029)</f>
        <v/>
      </c>
      <c r="K1029">
        <f>IF(A1029="","",IFERROR(IF(B1029="",NA(),MATCH(B1029,Products!$B$5:$B$204,0)),IFERROR(MATCH(A1029,Products!$A$5:$A$204,0),"")))</f>
        <v/>
      </c>
      <c r="L1029">
        <f>IF(A1029="","",IF(K1029="","⚠ not in Products",INDEX(Products!$A$5:$A$204,K1029)))</f>
        <v/>
      </c>
      <c r="M1029" s="11">
        <f>IF(A1029="","",J1029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1029+IFERROR(INDEX(Settings!$D$5:$D$9,MATCH("Etsy",Settings!$A$5:$A$9,0)),0)*D1029)</f>
        <v/>
      </c>
      <c r="N1029" s="11">
        <f>IF(A1029="","",IF(K1029="",0,D1029*INDEX(Products!$I$5:$I$204,K1029)))</f>
        <v/>
      </c>
      <c r="O1029" s="11">
        <f>IF(A1029="","",IF(K1029="",0,J1029*INDEX(Products!$H$5:$H$204,K1029)))</f>
        <v/>
      </c>
      <c r="P1029" s="11">
        <f>IF(A1029="","",J1029-M1029-N1029-O1029)</f>
        <v/>
      </c>
    </row>
    <row r="1030">
      <c r="A1030">
        <f>IFERROR(INDEX('Etsy Import'!$A:$CZ,1030,Settings!$C$20)&amp;"","")</f>
        <v/>
      </c>
      <c r="B1030">
        <f>IFERROR(INDEX('Etsy Import'!$A:$CZ,1030,Settings!$C$21)&amp;"","")</f>
        <v/>
      </c>
      <c r="C1030">
        <f>IFERROR(INDEX('Etsy Import'!$A:$CZ,1030,Settings!$C$22)&amp;"","")</f>
        <v/>
      </c>
      <c r="D1030">
        <f>IF(A1030="","",IFERROR(VALUE(SUBSTITUTE(SUBSTITUTE(INDEX('Etsy Import'!$A:$CZ,1030,Settings!$C$23)&amp;"","$",""),",","")),0))</f>
        <v/>
      </c>
      <c r="E1030" s="11">
        <f>IF(A1030="","",IFERROR(VALUE(SUBSTITUTE(SUBSTITUTE(INDEX('Etsy Import'!$A:$CZ,1030,Settings!$C$24)&amp;"","$",""),",","")),0))</f>
        <v/>
      </c>
      <c r="F1030" s="11">
        <f>IF(A1030="","",D1030*E1030)</f>
        <v/>
      </c>
      <c r="G1030">
        <f>IF(A1030="","",IF(C1030="",1,COUNTIF($C$2:$C$1501,C1030)))</f>
        <v/>
      </c>
      <c r="H1030" s="11">
        <f>IF(A1030="","",IFERROR(VALUE(SUBSTITUTE(SUBSTITUTE(INDEX('Etsy Import'!$A:$CZ,1030,Settings!$C$25)&amp;"","$",""),",","")),0)/IF(Settings!$B$27="Yes",G1030,1))</f>
        <v/>
      </c>
      <c r="I1030" s="11">
        <f>IF(A1030="","",IFERROR(VALUE(SUBSTITUTE(SUBSTITUTE(INDEX('Etsy Import'!$A:$CZ,1030,Settings!$C$26)&amp;"","$",""),",","")),0)/IF(Settings!$B$27="Yes",G1030,1))</f>
        <v/>
      </c>
      <c r="J1030" s="11">
        <f>IF(A1030="","",F1030+H1030-I1030)</f>
        <v/>
      </c>
      <c r="K1030">
        <f>IF(A1030="","",IFERROR(IF(B1030="",NA(),MATCH(B1030,Products!$B$5:$B$204,0)),IFERROR(MATCH(A1030,Products!$A$5:$A$204,0),"")))</f>
        <v/>
      </c>
      <c r="L1030">
        <f>IF(A1030="","",IF(K1030="","⚠ not in Products",INDEX(Products!$A$5:$A$204,K1030)))</f>
        <v/>
      </c>
      <c r="M1030" s="11">
        <f>IF(A1030="","",J1030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1030+IFERROR(INDEX(Settings!$D$5:$D$9,MATCH("Etsy",Settings!$A$5:$A$9,0)),0)*D1030)</f>
        <v/>
      </c>
      <c r="N1030" s="11">
        <f>IF(A1030="","",IF(K1030="",0,D1030*INDEX(Products!$I$5:$I$204,K1030)))</f>
        <v/>
      </c>
      <c r="O1030" s="11">
        <f>IF(A1030="","",IF(K1030="",0,J1030*INDEX(Products!$H$5:$H$204,K1030)))</f>
        <v/>
      </c>
      <c r="P1030" s="11">
        <f>IF(A1030="","",J1030-M1030-N1030-O1030)</f>
        <v/>
      </c>
    </row>
    <row r="1031">
      <c r="A1031">
        <f>IFERROR(INDEX('Etsy Import'!$A:$CZ,1031,Settings!$C$20)&amp;"","")</f>
        <v/>
      </c>
      <c r="B1031">
        <f>IFERROR(INDEX('Etsy Import'!$A:$CZ,1031,Settings!$C$21)&amp;"","")</f>
        <v/>
      </c>
      <c r="C1031">
        <f>IFERROR(INDEX('Etsy Import'!$A:$CZ,1031,Settings!$C$22)&amp;"","")</f>
        <v/>
      </c>
      <c r="D1031">
        <f>IF(A1031="","",IFERROR(VALUE(SUBSTITUTE(SUBSTITUTE(INDEX('Etsy Import'!$A:$CZ,1031,Settings!$C$23)&amp;"","$",""),",","")),0))</f>
        <v/>
      </c>
      <c r="E1031" s="11">
        <f>IF(A1031="","",IFERROR(VALUE(SUBSTITUTE(SUBSTITUTE(INDEX('Etsy Import'!$A:$CZ,1031,Settings!$C$24)&amp;"","$",""),",","")),0))</f>
        <v/>
      </c>
      <c r="F1031" s="11">
        <f>IF(A1031="","",D1031*E1031)</f>
        <v/>
      </c>
      <c r="G1031">
        <f>IF(A1031="","",IF(C1031="",1,COUNTIF($C$2:$C$1501,C1031)))</f>
        <v/>
      </c>
      <c r="H1031" s="11">
        <f>IF(A1031="","",IFERROR(VALUE(SUBSTITUTE(SUBSTITUTE(INDEX('Etsy Import'!$A:$CZ,1031,Settings!$C$25)&amp;"","$",""),",","")),0)/IF(Settings!$B$27="Yes",G1031,1))</f>
        <v/>
      </c>
      <c r="I1031" s="11">
        <f>IF(A1031="","",IFERROR(VALUE(SUBSTITUTE(SUBSTITUTE(INDEX('Etsy Import'!$A:$CZ,1031,Settings!$C$26)&amp;"","$",""),",","")),0)/IF(Settings!$B$27="Yes",G1031,1))</f>
        <v/>
      </c>
      <c r="J1031" s="11">
        <f>IF(A1031="","",F1031+H1031-I1031)</f>
        <v/>
      </c>
      <c r="K1031">
        <f>IF(A1031="","",IFERROR(IF(B1031="",NA(),MATCH(B1031,Products!$B$5:$B$204,0)),IFERROR(MATCH(A1031,Products!$A$5:$A$204,0),"")))</f>
        <v/>
      </c>
      <c r="L1031">
        <f>IF(A1031="","",IF(K1031="","⚠ not in Products",INDEX(Products!$A$5:$A$204,K1031)))</f>
        <v/>
      </c>
      <c r="M1031" s="11">
        <f>IF(A1031="","",J1031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1031+IFERROR(INDEX(Settings!$D$5:$D$9,MATCH("Etsy",Settings!$A$5:$A$9,0)),0)*D1031)</f>
        <v/>
      </c>
      <c r="N1031" s="11">
        <f>IF(A1031="","",IF(K1031="",0,D1031*INDEX(Products!$I$5:$I$204,K1031)))</f>
        <v/>
      </c>
      <c r="O1031" s="11">
        <f>IF(A1031="","",IF(K1031="",0,J1031*INDEX(Products!$H$5:$H$204,K1031)))</f>
        <v/>
      </c>
      <c r="P1031" s="11">
        <f>IF(A1031="","",J1031-M1031-N1031-O1031)</f>
        <v/>
      </c>
    </row>
    <row r="1032">
      <c r="A1032">
        <f>IFERROR(INDEX('Etsy Import'!$A:$CZ,1032,Settings!$C$20)&amp;"","")</f>
        <v/>
      </c>
      <c r="B1032">
        <f>IFERROR(INDEX('Etsy Import'!$A:$CZ,1032,Settings!$C$21)&amp;"","")</f>
        <v/>
      </c>
      <c r="C1032">
        <f>IFERROR(INDEX('Etsy Import'!$A:$CZ,1032,Settings!$C$22)&amp;"","")</f>
        <v/>
      </c>
      <c r="D1032">
        <f>IF(A1032="","",IFERROR(VALUE(SUBSTITUTE(SUBSTITUTE(INDEX('Etsy Import'!$A:$CZ,1032,Settings!$C$23)&amp;"","$",""),",","")),0))</f>
        <v/>
      </c>
      <c r="E1032" s="11">
        <f>IF(A1032="","",IFERROR(VALUE(SUBSTITUTE(SUBSTITUTE(INDEX('Etsy Import'!$A:$CZ,1032,Settings!$C$24)&amp;"","$",""),",","")),0))</f>
        <v/>
      </c>
      <c r="F1032" s="11">
        <f>IF(A1032="","",D1032*E1032)</f>
        <v/>
      </c>
      <c r="G1032">
        <f>IF(A1032="","",IF(C1032="",1,COUNTIF($C$2:$C$1501,C1032)))</f>
        <v/>
      </c>
      <c r="H1032" s="11">
        <f>IF(A1032="","",IFERROR(VALUE(SUBSTITUTE(SUBSTITUTE(INDEX('Etsy Import'!$A:$CZ,1032,Settings!$C$25)&amp;"","$",""),",","")),0)/IF(Settings!$B$27="Yes",G1032,1))</f>
        <v/>
      </c>
      <c r="I1032" s="11">
        <f>IF(A1032="","",IFERROR(VALUE(SUBSTITUTE(SUBSTITUTE(INDEX('Etsy Import'!$A:$CZ,1032,Settings!$C$26)&amp;"","$",""),",","")),0)/IF(Settings!$B$27="Yes",G1032,1))</f>
        <v/>
      </c>
      <c r="J1032" s="11">
        <f>IF(A1032="","",F1032+H1032-I1032)</f>
        <v/>
      </c>
      <c r="K1032">
        <f>IF(A1032="","",IFERROR(IF(B1032="",NA(),MATCH(B1032,Products!$B$5:$B$204,0)),IFERROR(MATCH(A1032,Products!$A$5:$A$204,0),"")))</f>
        <v/>
      </c>
      <c r="L1032">
        <f>IF(A1032="","",IF(K1032="","⚠ not in Products",INDEX(Products!$A$5:$A$204,K1032)))</f>
        <v/>
      </c>
      <c r="M1032" s="11">
        <f>IF(A1032="","",J1032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1032+IFERROR(INDEX(Settings!$D$5:$D$9,MATCH("Etsy",Settings!$A$5:$A$9,0)),0)*D1032)</f>
        <v/>
      </c>
      <c r="N1032" s="11">
        <f>IF(A1032="","",IF(K1032="",0,D1032*INDEX(Products!$I$5:$I$204,K1032)))</f>
        <v/>
      </c>
      <c r="O1032" s="11">
        <f>IF(A1032="","",IF(K1032="",0,J1032*INDEX(Products!$H$5:$H$204,K1032)))</f>
        <v/>
      </c>
      <c r="P1032" s="11">
        <f>IF(A1032="","",J1032-M1032-N1032-O1032)</f>
        <v/>
      </c>
    </row>
    <row r="1033">
      <c r="A1033">
        <f>IFERROR(INDEX('Etsy Import'!$A:$CZ,1033,Settings!$C$20)&amp;"","")</f>
        <v/>
      </c>
      <c r="B1033">
        <f>IFERROR(INDEX('Etsy Import'!$A:$CZ,1033,Settings!$C$21)&amp;"","")</f>
        <v/>
      </c>
      <c r="C1033">
        <f>IFERROR(INDEX('Etsy Import'!$A:$CZ,1033,Settings!$C$22)&amp;"","")</f>
        <v/>
      </c>
      <c r="D1033">
        <f>IF(A1033="","",IFERROR(VALUE(SUBSTITUTE(SUBSTITUTE(INDEX('Etsy Import'!$A:$CZ,1033,Settings!$C$23)&amp;"","$",""),",","")),0))</f>
        <v/>
      </c>
      <c r="E1033" s="11">
        <f>IF(A1033="","",IFERROR(VALUE(SUBSTITUTE(SUBSTITUTE(INDEX('Etsy Import'!$A:$CZ,1033,Settings!$C$24)&amp;"","$",""),",","")),0))</f>
        <v/>
      </c>
      <c r="F1033" s="11">
        <f>IF(A1033="","",D1033*E1033)</f>
        <v/>
      </c>
      <c r="G1033">
        <f>IF(A1033="","",IF(C1033="",1,COUNTIF($C$2:$C$1501,C1033)))</f>
        <v/>
      </c>
      <c r="H1033" s="11">
        <f>IF(A1033="","",IFERROR(VALUE(SUBSTITUTE(SUBSTITUTE(INDEX('Etsy Import'!$A:$CZ,1033,Settings!$C$25)&amp;"","$",""),",","")),0)/IF(Settings!$B$27="Yes",G1033,1))</f>
        <v/>
      </c>
      <c r="I1033" s="11">
        <f>IF(A1033="","",IFERROR(VALUE(SUBSTITUTE(SUBSTITUTE(INDEX('Etsy Import'!$A:$CZ,1033,Settings!$C$26)&amp;"","$",""),",","")),0)/IF(Settings!$B$27="Yes",G1033,1))</f>
        <v/>
      </c>
      <c r="J1033" s="11">
        <f>IF(A1033="","",F1033+H1033-I1033)</f>
        <v/>
      </c>
      <c r="K1033">
        <f>IF(A1033="","",IFERROR(IF(B1033="",NA(),MATCH(B1033,Products!$B$5:$B$204,0)),IFERROR(MATCH(A1033,Products!$A$5:$A$204,0),"")))</f>
        <v/>
      </c>
      <c r="L1033">
        <f>IF(A1033="","",IF(K1033="","⚠ not in Products",INDEX(Products!$A$5:$A$204,K1033)))</f>
        <v/>
      </c>
      <c r="M1033" s="11">
        <f>IF(A1033="","",J1033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1033+IFERROR(INDEX(Settings!$D$5:$D$9,MATCH("Etsy",Settings!$A$5:$A$9,0)),0)*D1033)</f>
        <v/>
      </c>
      <c r="N1033" s="11">
        <f>IF(A1033="","",IF(K1033="",0,D1033*INDEX(Products!$I$5:$I$204,K1033)))</f>
        <v/>
      </c>
      <c r="O1033" s="11">
        <f>IF(A1033="","",IF(K1033="",0,J1033*INDEX(Products!$H$5:$H$204,K1033)))</f>
        <v/>
      </c>
      <c r="P1033" s="11">
        <f>IF(A1033="","",J1033-M1033-N1033-O1033)</f>
        <v/>
      </c>
    </row>
    <row r="1034">
      <c r="A1034">
        <f>IFERROR(INDEX('Etsy Import'!$A:$CZ,1034,Settings!$C$20)&amp;"","")</f>
        <v/>
      </c>
      <c r="B1034">
        <f>IFERROR(INDEX('Etsy Import'!$A:$CZ,1034,Settings!$C$21)&amp;"","")</f>
        <v/>
      </c>
      <c r="C1034">
        <f>IFERROR(INDEX('Etsy Import'!$A:$CZ,1034,Settings!$C$22)&amp;"","")</f>
        <v/>
      </c>
      <c r="D1034">
        <f>IF(A1034="","",IFERROR(VALUE(SUBSTITUTE(SUBSTITUTE(INDEX('Etsy Import'!$A:$CZ,1034,Settings!$C$23)&amp;"","$",""),",","")),0))</f>
        <v/>
      </c>
      <c r="E1034" s="11">
        <f>IF(A1034="","",IFERROR(VALUE(SUBSTITUTE(SUBSTITUTE(INDEX('Etsy Import'!$A:$CZ,1034,Settings!$C$24)&amp;"","$",""),",","")),0))</f>
        <v/>
      </c>
      <c r="F1034" s="11">
        <f>IF(A1034="","",D1034*E1034)</f>
        <v/>
      </c>
      <c r="G1034">
        <f>IF(A1034="","",IF(C1034="",1,COUNTIF($C$2:$C$1501,C1034)))</f>
        <v/>
      </c>
      <c r="H1034" s="11">
        <f>IF(A1034="","",IFERROR(VALUE(SUBSTITUTE(SUBSTITUTE(INDEX('Etsy Import'!$A:$CZ,1034,Settings!$C$25)&amp;"","$",""),",","")),0)/IF(Settings!$B$27="Yes",G1034,1))</f>
        <v/>
      </c>
      <c r="I1034" s="11">
        <f>IF(A1034="","",IFERROR(VALUE(SUBSTITUTE(SUBSTITUTE(INDEX('Etsy Import'!$A:$CZ,1034,Settings!$C$26)&amp;"","$",""),",","")),0)/IF(Settings!$B$27="Yes",G1034,1))</f>
        <v/>
      </c>
      <c r="J1034" s="11">
        <f>IF(A1034="","",F1034+H1034-I1034)</f>
        <v/>
      </c>
      <c r="K1034">
        <f>IF(A1034="","",IFERROR(IF(B1034="",NA(),MATCH(B1034,Products!$B$5:$B$204,0)),IFERROR(MATCH(A1034,Products!$A$5:$A$204,0),"")))</f>
        <v/>
      </c>
      <c r="L1034">
        <f>IF(A1034="","",IF(K1034="","⚠ not in Products",INDEX(Products!$A$5:$A$204,K1034)))</f>
        <v/>
      </c>
      <c r="M1034" s="11">
        <f>IF(A1034="","",J1034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1034+IFERROR(INDEX(Settings!$D$5:$D$9,MATCH("Etsy",Settings!$A$5:$A$9,0)),0)*D1034)</f>
        <v/>
      </c>
      <c r="N1034" s="11">
        <f>IF(A1034="","",IF(K1034="",0,D1034*INDEX(Products!$I$5:$I$204,K1034)))</f>
        <v/>
      </c>
      <c r="O1034" s="11">
        <f>IF(A1034="","",IF(K1034="",0,J1034*INDEX(Products!$H$5:$H$204,K1034)))</f>
        <v/>
      </c>
      <c r="P1034" s="11">
        <f>IF(A1034="","",J1034-M1034-N1034-O1034)</f>
        <v/>
      </c>
    </row>
    <row r="1035">
      <c r="A1035">
        <f>IFERROR(INDEX('Etsy Import'!$A:$CZ,1035,Settings!$C$20)&amp;"","")</f>
        <v/>
      </c>
      <c r="B1035">
        <f>IFERROR(INDEX('Etsy Import'!$A:$CZ,1035,Settings!$C$21)&amp;"","")</f>
        <v/>
      </c>
      <c r="C1035">
        <f>IFERROR(INDEX('Etsy Import'!$A:$CZ,1035,Settings!$C$22)&amp;"","")</f>
        <v/>
      </c>
      <c r="D1035">
        <f>IF(A1035="","",IFERROR(VALUE(SUBSTITUTE(SUBSTITUTE(INDEX('Etsy Import'!$A:$CZ,1035,Settings!$C$23)&amp;"","$",""),",","")),0))</f>
        <v/>
      </c>
      <c r="E1035" s="11">
        <f>IF(A1035="","",IFERROR(VALUE(SUBSTITUTE(SUBSTITUTE(INDEX('Etsy Import'!$A:$CZ,1035,Settings!$C$24)&amp;"","$",""),",","")),0))</f>
        <v/>
      </c>
      <c r="F1035" s="11">
        <f>IF(A1035="","",D1035*E1035)</f>
        <v/>
      </c>
      <c r="G1035">
        <f>IF(A1035="","",IF(C1035="",1,COUNTIF($C$2:$C$1501,C1035)))</f>
        <v/>
      </c>
      <c r="H1035" s="11">
        <f>IF(A1035="","",IFERROR(VALUE(SUBSTITUTE(SUBSTITUTE(INDEX('Etsy Import'!$A:$CZ,1035,Settings!$C$25)&amp;"","$",""),",","")),0)/IF(Settings!$B$27="Yes",G1035,1))</f>
        <v/>
      </c>
      <c r="I1035" s="11">
        <f>IF(A1035="","",IFERROR(VALUE(SUBSTITUTE(SUBSTITUTE(INDEX('Etsy Import'!$A:$CZ,1035,Settings!$C$26)&amp;"","$",""),",","")),0)/IF(Settings!$B$27="Yes",G1035,1))</f>
        <v/>
      </c>
      <c r="J1035" s="11">
        <f>IF(A1035="","",F1035+H1035-I1035)</f>
        <v/>
      </c>
      <c r="K1035">
        <f>IF(A1035="","",IFERROR(IF(B1035="",NA(),MATCH(B1035,Products!$B$5:$B$204,0)),IFERROR(MATCH(A1035,Products!$A$5:$A$204,0),"")))</f>
        <v/>
      </c>
      <c r="L1035">
        <f>IF(A1035="","",IF(K1035="","⚠ not in Products",INDEX(Products!$A$5:$A$204,K1035)))</f>
        <v/>
      </c>
      <c r="M1035" s="11">
        <f>IF(A1035="","",J1035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1035+IFERROR(INDEX(Settings!$D$5:$D$9,MATCH("Etsy",Settings!$A$5:$A$9,0)),0)*D1035)</f>
        <v/>
      </c>
      <c r="N1035" s="11">
        <f>IF(A1035="","",IF(K1035="",0,D1035*INDEX(Products!$I$5:$I$204,K1035)))</f>
        <v/>
      </c>
      <c r="O1035" s="11">
        <f>IF(A1035="","",IF(K1035="",0,J1035*INDEX(Products!$H$5:$H$204,K1035)))</f>
        <v/>
      </c>
      <c r="P1035" s="11">
        <f>IF(A1035="","",J1035-M1035-N1035-O1035)</f>
        <v/>
      </c>
    </row>
    <row r="1036">
      <c r="A1036">
        <f>IFERROR(INDEX('Etsy Import'!$A:$CZ,1036,Settings!$C$20)&amp;"","")</f>
        <v/>
      </c>
      <c r="B1036">
        <f>IFERROR(INDEX('Etsy Import'!$A:$CZ,1036,Settings!$C$21)&amp;"","")</f>
        <v/>
      </c>
      <c r="C1036">
        <f>IFERROR(INDEX('Etsy Import'!$A:$CZ,1036,Settings!$C$22)&amp;"","")</f>
        <v/>
      </c>
      <c r="D1036">
        <f>IF(A1036="","",IFERROR(VALUE(SUBSTITUTE(SUBSTITUTE(INDEX('Etsy Import'!$A:$CZ,1036,Settings!$C$23)&amp;"","$",""),",","")),0))</f>
        <v/>
      </c>
      <c r="E1036" s="11">
        <f>IF(A1036="","",IFERROR(VALUE(SUBSTITUTE(SUBSTITUTE(INDEX('Etsy Import'!$A:$CZ,1036,Settings!$C$24)&amp;"","$",""),",","")),0))</f>
        <v/>
      </c>
      <c r="F1036" s="11">
        <f>IF(A1036="","",D1036*E1036)</f>
        <v/>
      </c>
      <c r="G1036">
        <f>IF(A1036="","",IF(C1036="",1,COUNTIF($C$2:$C$1501,C1036)))</f>
        <v/>
      </c>
      <c r="H1036" s="11">
        <f>IF(A1036="","",IFERROR(VALUE(SUBSTITUTE(SUBSTITUTE(INDEX('Etsy Import'!$A:$CZ,1036,Settings!$C$25)&amp;"","$",""),",","")),0)/IF(Settings!$B$27="Yes",G1036,1))</f>
        <v/>
      </c>
      <c r="I1036" s="11">
        <f>IF(A1036="","",IFERROR(VALUE(SUBSTITUTE(SUBSTITUTE(INDEX('Etsy Import'!$A:$CZ,1036,Settings!$C$26)&amp;"","$",""),",","")),0)/IF(Settings!$B$27="Yes",G1036,1))</f>
        <v/>
      </c>
      <c r="J1036" s="11">
        <f>IF(A1036="","",F1036+H1036-I1036)</f>
        <v/>
      </c>
      <c r="K1036">
        <f>IF(A1036="","",IFERROR(IF(B1036="",NA(),MATCH(B1036,Products!$B$5:$B$204,0)),IFERROR(MATCH(A1036,Products!$A$5:$A$204,0),"")))</f>
        <v/>
      </c>
      <c r="L1036">
        <f>IF(A1036="","",IF(K1036="","⚠ not in Products",INDEX(Products!$A$5:$A$204,K1036)))</f>
        <v/>
      </c>
      <c r="M1036" s="11">
        <f>IF(A1036="","",J1036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1036+IFERROR(INDEX(Settings!$D$5:$D$9,MATCH("Etsy",Settings!$A$5:$A$9,0)),0)*D1036)</f>
        <v/>
      </c>
      <c r="N1036" s="11">
        <f>IF(A1036="","",IF(K1036="",0,D1036*INDEX(Products!$I$5:$I$204,K1036)))</f>
        <v/>
      </c>
      <c r="O1036" s="11">
        <f>IF(A1036="","",IF(K1036="",0,J1036*INDEX(Products!$H$5:$H$204,K1036)))</f>
        <v/>
      </c>
      <c r="P1036" s="11">
        <f>IF(A1036="","",J1036-M1036-N1036-O1036)</f>
        <v/>
      </c>
    </row>
    <row r="1037">
      <c r="A1037">
        <f>IFERROR(INDEX('Etsy Import'!$A:$CZ,1037,Settings!$C$20)&amp;"","")</f>
        <v/>
      </c>
      <c r="B1037">
        <f>IFERROR(INDEX('Etsy Import'!$A:$CZ,1037,Settings!$C$21)&amp;"","")</f>
        <v/>
      </c>
      <c r="C1037">
        <f>IFERROR(INDEX('Etsy Import'!$A:$CZ,1037,Settings!$C$22)&amp;"","")</f>
        <v/>
      </c>
      <c r="D1037">
        <f>IF(A1037="","",IFERROR(VALUE(SUBSTITUTE(SUBSTITUTE(INDEX('Etsy Import'!$A:$CZ,1037,Settings!$C$23)&amp;"","$",""),",","")),0))</f>
        <v/>
      </c>
      <c r="E1037" s="11">
        <f>IF(A1037="","",IFERROR(VALUE(SUBSTITUTE(SUBSTITUTE(INDEX('Etsy Import'!$A:$CZ,1037,Settings!$C$24)&amp;"","$",""),",","")),0))</f>
        <v/>
      </c>
      <c r="F1037" s="11">
        <f>IF(A1037="","",D1037*E1037)</f>
        <v/>
      </c>
      <c r="G1037">
        <f>IF(A1037="","",IF(C1037="",1,COUNTIF($C$2:$C$1501,C1037)))</f>
        <v/>
      </c>
      <c r="H1037" s="11">
        <f>IF(A1037="","",IFERROR(VALUE(SUBSTITUTE(SUBSTITUTE(INDEX('Etsy Import'!$A:$CZ,1037,Settings!$C$25)&amp;"","$",""),",","")),0)/IF(Settings!$B$27="Yes",G1037,1))</f>
        <v/>
      </c>
      <c r="I1037" s="11">
        <f>IF(A1037="","",IFERROR(VALUE(SUBSTITUTE(SUBSTITUTE(INDEX('Etsy Import'!$A:$CZ,1037,Settings!$C$26)&amp;"","$",""),",","")),0)/IF(Settings!$B$27="Yes",G1037,1))</f>
        <v/>
      </c>
      <c r="J1037" s="11">
        <f>IF(A1037="","",F1037+H1037-I1037)</f>
        <v/>
      </c>
      <c r="K1037">
        <f>IF(A1037="","",IFERROR(IF(B1037="",NA(),MATCH(B1037,Products!$B$5:$B$204,0)),IFERROR(MATCH(A1037,Products!$A$5:$A$204,0),"")))</f>
        <v/>
      </c>
      <c r="L1037">
        <f>IF(A1037="","",IF(K1037="","⚠ not in Products",INDEX(Products!$A$5:$A$204,K1037)))</f>
        <v/>
      </c>
      <c r="M1037" s="11">
        <f>IF(A1037="","",J1037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1037+IFERROR(INDEX(Settings!$D$5:$D$9,MATCH("Etsy",Settings!$A$5:$A$9,0)),0)*D1037)</f>
        <v/>
      </c>
      <c r="N1037" s="11">
        <f>IF(A1037="","",IF(K1037="",0,D1037*INDEX(Products!$I$5:$I$204,K1037)))</f>
        <v/>
      </c>
      <c r="O1037" s="11">
        <f>IF(A1037="","",IF(K1037="",0,J1037*INDEX(Products!$H$5:$H$204,K1037)))</f>
        <v/>
      </c>
      <c r="P1037" s="11">
        <f>IF(A1037="","",J1037-M1037-N1037-O1037)</f>
        <v/>
      </c>
    </row>
    <row r="1038">
      <c r="A1038">
        <f>IFERROR(INDEX('Etsy Import'!$A:$CZ,1038,Settings!$C$20)&amp;"","")</f>
        <v/>
      </c>
      <c r="B1038">
        <f>IFERROR(INDEX('Etsy Import'!$A:$CZ,1038,Settings!$C$21)&amp;"","")</f>
        <v/>
      </c>
      <c r="C1038">
        <f>IFERROR(INDEX('Etsy Import'!$A:$CZ,1038,Settings!$C$22)&amp;"","")</f>
        <v/>
      </c>
      <c r="D1038">
        <f>IF(A1038="","",IFERROR(VALUE(SUBSTITUTE(SUBSTITUTE(INDEX('Etsy Import'!$A:$CZ,1038,Settings!$C$23)&amp;"","$",""),",","")),0))</f>
        <v/>
      </c>
      <c r="E1038" s="11">
        <f>IF(A1038="","",IFERROR(VALUE(SUBSTITUTE(SUBSTITUTE(INDEX('Etsy Import'!$A:$CZ,1038,Settings!$C$24)&amp;"","$",""),",","")),0))</f>
        <v/>
      </c>
      <c r="F1038" s="11">
        <f>IF(A1038="","",D1038*E1038)</f>
        <v/>
      </c>
      <c r="G1038">
        <f>IF(A1038="","",IF(C1038="",1,COUNTIF($C$2:$C$1501,C1038)))</f>
        <v/>
      </c>
      <c r="H1038" s="11">
        <f>IF(A1038="","",IFERROR(VALUE(SUBSTITUTE(SUBSTITUTE(INDEX('Etsy Import'!$A:$CZ,1038,Settings!$C$25)&amp;"","$",""),",","")),0)/IF(Settings!$B$27="Yes",G1038,1))</f>
        <v/>
      </c>
      <c r="I1038" s="11">
        <f>IF(A1038="","",IFERROR(VALUE(SUBSTITUTE(SUBSTITUTE(INDEX('Etsy Import'!$A:$CZ,1038,Settings!$C$26)&amp;"","$",""),",","")),0)/IF(Settings!$B$27="Yes",G1038,1))</f>
        <v/>
      </c>
      <c r="J1038" s="11">
        <f>IF(A1038="","",F1038+H1038-I1038)</f>
        <v/>
      </c>
      <c r="K1038">
        <f>IF(A1038="","",IFERROR(IF(B1038="",NA(),MATCH(B1038,Products!$B$5:$B$204,0)),IFERROR(MATCH(A1038,Products!$A$5:$A$204,0),"")))</f>
        <v/>
      </c>
      <c r="L1038">
        <f>IF(A1038="","",IF(K1038="","⚠ not in Products",INDEX(Products!$A$5:$A$204,K1038)))</f>
        <v/>
      </c>
      <c r="M1038" s="11">
        <f>IF(A1038="","",J1038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1038+IFERROR(INDEX(Settings!$D$5:$D$9,MATCH("Etsy",Settings!$A$5:$A$9,0)),0)*D1038)</f>
        <v/>
      </c>
      <c r="N1038" s="11">
        <f>IF(A1038="","",IF(K1038="",0,D1038*INDEX(Products!$I$5:$I$204,K1038)))</f>
        <v/>
      </c>
      <c r="O1038" s="11">
        <f>IF(A1038="","",IF(K1038="",0,J1038*INDEX(Products!$H$5:$H$204,K1038)))</f>
        <v/>
      </c>
      <c r="P1038" s="11">
        <f>IF(A1038="","",J1038-M1038-N1038-O1038)</f>
        <v/>
      </c>
    </row>
    <row r="1039">
      <c r="A1039">
        <f>IFERROR(INDEX('Etsy Import'!$A:$CZ,1039,Settings!$C$20)&amp;"","")</f>
        <v/>
      </c>
      <c r="B1039">
        <f>IFERROR(INDEX('Etsy Import'!$A:$CZ,1039,Settings!$C$21)&amp;"","")</f>
        <v/>
      </c>
      <c r="C1039">
        <f>IFERROR(INDEX('Etsy Import'!$A:$CZ,1039,Settings!$C$22)&amp;"","")</f>
        <v/>
      </c>
      <c r="D1039">
        <f>IF(A1039="","",IFERROR(VALUE(SUBSTITUTE(SUBSTITUTE(INDEX('Etsy Import'!$A:$CZ,1039,Settings!$C$23)&amp;"","$",""),",","")),0))</f>
        <v/>
      </c>
      <c r="E1039" s="11">
        <f>IF(A1039="","",IFERROR(VALUE(SUBSTITUTE(SUBSTITUTE(INDEX('Etsy Import'!$A:$CZ,1039,Settings!$C$24)&amp;"","$",""),",","")),0))</f>
        <v/>
      </c>
      <c r="F1039" s="11">
        <f>IF(A1039="","",D1039*E1039)</f>
        <v/>
      </c>
      <c r="G1039">
        <f>IF(A1039="","",IF(C1039="",1,COUNTIF($C$2:$C$1501,C1039)))</f>
        <v/>
      </c>
      <c r="H1039" s="11">
        <f>IF(A1039="","",IFERROR(VALUE(SUBSTITUTE(SUBSTITUTE(INDEX('Etsy Import'!$A:$CZ,1039,Settings!$C$25)&amp;"","$",""),",","")),0)/IF(Settings!$B$27="Yes",G1039,1))</f>
        <v/>
      </c>
      <c r="I1039" s="11">
        <f>IF(A1039="","",IFERROR(VALUE(SUBSTITUTE(SUBSTITUTE(INDEX('Etsy Import'!$A:$CZ,1039,Settings!$C$26)&amp;"","$",""),",","")),0)/IF(Settings!$B$27="Yes",G1039,1))</f>
        <v/>
      </c>
      <c r="J1039" s="11">
        <f>IF(A1039="","",F1039+H1039-I1039)</f>
        <v/>
      </c>
      <c r="K1039">
        <f>IF(A1039="","",IFERROR(IF(B1039="",NA(),MATCH(B1039,Products!$B$5:$B$204,0)),IFERROR(MATCH(A1039,Products!$A$5:$A$204,0),"")))</f>
        <v/>
      </c>
      <c r="L1039">
        <f>IF(A1039="","",IF(K1039="","⚠ not in Products",INDEX(Products!$A$5:$A$204,K1039)))</f>
        <v/>
      </c>
      <c r="M1039" s="11">
        <f>IF(A1039="","",J1039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1039+IFERROR(INDEX(Settings!$D$5:$D$9,MATCH("Etsy",Settings!$A$5:$A$9,0)),0)*D1039)</f>
        <v/>
      </c>
      <c r="N1039" s="11">
        <f>IF(A1039="","",IF(K1039="",0,D1039*INDEX(Products!$I$5:$I$204,K1039)))</f>
        <v/>
      </c>
      <c r="O1039" s="11">
        <f>IF(A1039="","",IF(K1039="",0,J1039*INDEX(Products!$H$5:$H$204,K1039)))</f>
        <v/>
      </c>
      <c r="P1039" s="11">
        <f>IF(A1039="","",J1039-M1039-N1039-O1039)</f>
        <v/>
      </c>
    </row>
    <row r="1040">
      <c r="A1040">
        <f>IFERROR(INDEX('Etsy Import'!$A:$CZ,1040,Settings!$C$20)&amp;"","")</f>
        <v/>
      </c>
      <c r="B1040">
        <f>IFERROR(INDEX('Etsy Import'!$A:$CZ,1040,Settings!$C$21)&amp;"","")</f>
        <v/>
      </c>
      <c r="C1040">
        <f>IFERROR(INDEX('Etsy Import'!$A:$CZ,1040,Settings!$C$22)&amp;"","")</f>
        <v/>
      </c>
      <c r="D1040">
        <f>IF(A1040="","",IFERROR(VALUE(SUBSTITUTE(SUBSTITUTE(INDEX('Etsy Import'!$A:$CZ,1040,Settings!$C$23)&amp;"","$",""),",","")),0))</f>
        <v/>
      </c>
      <c r="E1040" s="11">
        <f>IF(A1040="","",IFERROR(VALUE(SUBSTITUTE(SUBSTITUTE(INDEX('Etsy Import'!$A:$CZ,1040,Settings!$C$24)&amp;"","$",""),",","")),0))</f>
        <v/>
      </c>
      <c r="F1040" s="11">
        <f>IF(A1040="","",D1040*E1040)</f>
        <v/>
      </c>
      <c r="G1040">
        <f>IF(A1040="","",IF(C1040="",1,COUNTIF($C$2:$C$1501,C1040)))</f>
        <v/>
      </c>
      <c r="H1040" s="11">
        <f>IF(A1040="","",IFERROR(VALUE(SUBSTITUTE(SUBSTITUTE(INDEX('Etsy Import'!$A:$CZ,1040,Settings!$C$25)&amp;"","$",""),",","")),0)/IF(Settings!$B$27="Yes",G1040,1))</f>
        <v/>
      </c>
      <c r="I1040" s="11">
        <f>IF(A1040="","",IFERROR(VALUE(SUBSTITUTE(SUBSTITUTE(INDEX('Etsy Import'!$A:$CZ,1040,Settings!$C$26)&amp;"","$",""),",","")),0)/IF(Settings!$B$27="Yes",G1040,1))</f>
        <v/>
      </c>
      <c r="J1040" s="11">
        <f>IF(A1040="","",F1040+H1040-I1040)</f>
        <v/>
      </c>
      <c r="K1040">
        <f>IF(A1040="","",IFERROR(IF(B1040="",NA(),MATCH(B1040,Products!$B$5:$B$204,0)),IFERROR(MATCH(A1040,Products!$A$5:$A$204,0),"")))</f>
        <v/>
      </c>
      <c r="L1040">
        <f>IF(A1040="","",IF(K1040="","⚠ not in Products",INDEX(Products!$A$5:$A$204,K1040)))</f>
        <v/>
      </c>
      <c r="M1040" s="11">
        <f>IF(A1040="","",J1040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1040+IFERROR(INDEX(Settings!$D$5:$D$9,MATCH("Etsy",Settings!$A$5:$A$9,0)),0)*D1040)</f>
        <v/>
      </c>
      <c r="N1040" s="11">
        <f>IF(A1040="","",IF(K1040="",0,D1040*INDEX(Products!$I$5:$I$204,K1040)))</f>
        <v/>
      </c>
      <c r="O1040" s="11">
        <f>IF(A1040="","",IF(K1040="",0,J1040*INDEX(Products!$H$5:$H$204,K1040)))</f>
        <v/>
      </c>
      <c r="P1040" s="11">
        <f>IF(A1040="","",J1040-M1040-N1040-O1040)</f>
        <v/>
      </c>
    </row>
    <row r="1041">
      <c r="A1041">
        <f>IFERROR(INDEX('Etsy Import'!$A:$CZ,1041,Settings!$C$20)&amp;"","")</f>
        <v/>
      </c>
      <c r="B1041">
        <f>IFERROR(INDEX('Etsy Import'!$A:$CZ,1041,Settings!$C$21)&amp;"","")</f>
        <v/>
      </c>
      <c r="C1041">
        <f>IFERROR(INDEX('Etsy Import'!$A:$CZ,1041,Settings!$C$22)&amp;"","")</f>
        <v/>
      </c>
      <c r="D1041">
        <f>IF(A1041="","",IFERROR(VALUE(SUBSTITUTE(SUBSTITUTE(INDEX('Etsy Import'!$A:$CZ,1041,Settings!$C$23)&amp;"","$",""),",","")),0))</f>
        <v/>
      </c>
      <c r="E1041" s="11">
        <f>IF(A1041="","",IFERROR(VALUE(SUBSTITUTE(SUBSTITUTE(INDEX('Etsy Import'!$A:$CZ,1041,Settings!$C$24)&amp;"","$",""),",","")),0))</f>
        <v/>
      </c>
      <c r="F1041" s="11">
        <f>IF(A1041="","",D1041*E1041)</f>
        <v/>
      </c>
      <c r="G1041">
        <f>IF(A1041="","",IF(C1041="",1,COUNTIF($C$2:$C$1501,C1041)))</f>
        <v/>
      </c>
      <c r="H1041" s="11">
        <f>IF(A1041="","",IFERROR(VALUE(SUBSTITUTE(SUBSTITUTE(INDEX('Etsy Import'!$A:$CZ,1041,Settings!$C$25)&amp;"","$",""),",","")),0)/IF(Settings!$B$27="Yes",G1041,1))</f>
        <v/>
      </c>
      <c r="I1041" s="11">
        <f>IF(A1041="","",IFERROR(VALUE(SUBSTITUTE(SUBSTITUTE(INDEX('Etsy Import'!$A:$CZ,1041,Settings!$C$26)&amp;"","$",""),",","")),0)/IF(Settings!$B$27="Yes",G1041,1))</f>
        <v/>
      </c>
      <c r="J1041" s="11">
        <f>IF(A1041="","",F1041+H1041-I1041)</f>
        <v/>
      </c>
      <c r="K1041">
        <f>IF(A1041="","",IFERROR(IF(B1041="",NA(),MATCH(B1041,Products!$B$5:$B$204,0)),IFERROR(MATCH(A1041,Products!$A$5:$A$204,0),"")))</f>
        <v/>
      </c>
      <c r="L1041">
        <f>IF(A1041="","",IF(K1041="","⚠ not in Products",INDEX(Products!$A$5:$A$204,K1041)))</f>
        <v/>
      </c>
      <c r="M1041" s="11">
        <f>IF(A1041="","",J1041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1041+IFERROR(INDEX(Settings!$D$5:$D$9,MATCH("Etsy",Settings!$A$5:$A$9,0)),0)*D1041)</f>
        <v/>
      </c>
      <c r="N1041" s="11">
        <f>IF(A1041="","",IF(K1041="",0,D1041*INDEX(Products!$I$5:$I$204,K1041)))</f>
        <v/>
      </c>
      <c r="O1041" s="11">
        <f>IF(A1041="","",IF(K1041="",0,J1041*INDEX(Products!$H$5:$H$204,K1041)))</f>
        <v/>
      </c>
      <c r="P1041" s="11">
        <f>IF(A1041="","",J1041-M1041-N1041-O1041)</f>
        <v/>
      </c>
    </row>
    <row r="1042">
      <c r="A1042">
        <f>IFERROR(INDEX('Etsy Import'!$A:$CZ,1042,Settings!$C$20)&amp;"","")</f>
        <v/>
      </c>
      <c r="B1042">
        <f>IFERROR(INDEX('Etsy Import'!$A:$CZ,1042,Settings!$C$21)&amp;"","")</f>
        <v/>
      </c>
      <c r="C1042">
        <f>IFERROR(INDEX('Etsy Import'!$A:$CZ,1042,Settings!$C$22)&amp;"","")</f>
        <v/>
      </c>
      <c r="D1042">
        <f>IF(A1042="","",IFERROR(VALUE(SUBSTITUTE(SUBSTITUTE(INDEX('Etsy Import'!$A:$CZ,1042,Settings!$C$23)&amp;"","$",""),",","")),0))</f>
        <v/>
      </c>
      <c r="E1042" s="11">
        <f>IF(A1042="","",IFERROR(VALUE(SUBSTITUTE(SUBSTITUTE(INDEX('Etsy Import'!$A:$CZ,1042,Settings!$C$24)&amp;"","$",""),",","")),0))</f>
        <v/>
      </c>
      <c r="F1042" s="11">
        <f>IF(A1042="","",D1042*E1042)</f>
        <v/>
      </c>
      <c r="G1042">
        <f>IF(A1042="","",IF(C1042="",1,COUNTIF($C$2:$C$1501,C1042)))</f>
        <v/>
      </c>
      <c r="H1042" s="11">
        <f>IF(A1042="","",IFERROR(VALUE(SUBSTITUTE(SUBSTITUTE(INDEX('Etsy Import'!$A:$CZ,1042,Settings!$C$25)&amp;"","$",""),",","")),0)/IF(Settings!$B$27="Yes",G1042,1))</f>
        <v/>
      </c>
      <c r="I1042" s="11">
        <f>IF(A1042="","",IFERROR(VALUE(SUBSTITUTE(SUBSTITUTE(INDEX('Etsy Import'!$A:$CZ,1042,Settings!$C$26)&amp;"","$",""),",","")),0)/IF(Settings!$B$27="Yes",G1042,1))</f>
        <v/>
      </c>
      <c r="J1042" s="11">
        <f>IF(A1042="","",F1042+H1042-I1042)</f>
        <v/>
      </c>
      <c r="K1042">
        <f>IF(A1042="","",IFERROR(IF(B1042="",NA(),MATCH(B1042,Products!$B$5:$B$204,0)),IFERROR(MATCH(A1042,Products!$A$5:$A$204,0),"")))</f>
        <v/>
      </c>
      <c r="L1042">
        <f>IF(A1042="","",IF(K1042="","⚠ not in Products",INDEX(Products!$A$5:$A$204,K1042)))</f>
        <v/>
      </c>
      <c r="M1042" s="11">
        <f>IF(A1042="","",J1042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1042+IFERROR(INDEX(Settings!$D$5:$D$9,MATCH("Etsy",Settings!$A$5:$A$9,0)),0)*D1042)</f>
        <v/>
      </c>
      <c r="N1042" s="11">
        <f>IF(A1042="","",IF(K1042="",0,D1042*INDEX(Products!$I$5:$I$204,K1042)))</f>
        <v/>
      </c>
      <c r="O1042" s="11">
        <f>IF(A1042="","",IF(K1042="",0,J1042*INDEX(Products!$H$5:$H$204,K1042)))</f>
        <v/>
      </c>
      <c r="P1042" s="11">
        <f>IF(A1042="","",J1042-M1042-N1042-O1042)</f>
        <v/>
      </c>
    </row>
    <row r="1043">
      <c r="A1043">
        <f>IFERROR(INDEX('Etsy Import'!$A:$CZ,1043,Settings!$C$20)&amp;"","")</f>
        <v/>
      </c>
      <c r="B1043">
        <f>IFERROR(INDEX('Etsy Import'!$A:$CZ,1043,Settings!$C$21)&amp;"","")</f>
        <v/>
      </c>
      <c r="C1043">
        <f>IFERROR(INDEX('Etsy Import'!$A:$CZ,1043,Settings!$C$22)&amp;"","")</f>
        <v/>
      </c>
      <c r="D1043">
        <f>IF(A1043="","",IFERROR(VALUE(SUBSTITUTE(SUBSTITUTE(INDEX('Etsy Import'!$A:$CZ,1043,Settings!$C$23)&amp;"","$",""),",","")),0))</f>
        <v/>
      </c>
      <c r="E1043" s="11">
        <f>IF(A1043="","",IFERROR(VALUE(SUBSTITUTE(SUBSTITUTE(INDEX('Etsy Import'!$A:$CZ,1043,Settings!$C$24)&amp;"","$",""),",","")),0))</f>
        <v/>
      </c>
      <c r="F1043" s="11">
        <f>IF(A1043="","",D1043*E1043)</f>
        <v/>
      </c>
      <c r="G1043">
        <f>IF(A1043="","",IF(C1043="",1,COUNTIF($C$2:$C$1501,C1043)))</f>
        <v/>
      </c>
      <c r="H1043" s="11">
        <f>IF(A1043="","",IFERROR(VALUE(SUBSTITUTE(SUBSTITUTE(INDEX('Etsy Import'!$A:$CZ,1043,Settings!$C$25)&amp;"","$",""),",","")),0)/IF(Settings!$B$27="Yes",G1043,1))</f>
        <v/>
      </c>
      <c r="I1043" s="11">
        <f>IF(A1043="","",IFERROR(VALUE(SUBSTITUTE(SUBSTITUTE(INDEX('Etsy Import'!$A:$CZ,1043,Settings!$C$26)&amp;"","$",""),",","")),0)/IF(Settings!$B$27="Yes",G1043,1))</f>
        <v/>
      </c>
      <c r="J1043" s="11">
        <f>IF(A1043="","",F1043+H1043-I1043)</f>
        <v/>
      </c>
      <c r="K1043">
        <f>IF(A1043="","",IFERROR(IF(B1043="",NA(),MATCH(B1043,Products!$B$5:$B$204,0)),IFERROR(MATCH(A1043,Products!$A$5:$A$204,0),"")))</f>
        <v/>
      </c>
      <c r="L1043">
        <f>IF(A1043="","",IF(K1043="","⚠ not in Products",INDEX(Products!$A$5:$A$204,K1043)))</f>
        <v/>
      </c>
      <c r="M1043" s="11">
        <f>IF(A1043="","",J1043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1043+IFERROR(INDEX(Settings!$D$5:$D$9,MATCH("Etsy",Settings!$A$5:$A$9,0)),0)*D1043)</f>
        <v/>
      </c>
      <c r="N1043" s="11">
        <f>IF(A1043="","",IF(K1043="",0,D1043*INDEX(Products!$I$5:$I$204,K1043)))</f>
        <v/>
      </c>
      <c r="O1043" s="11">
        <f>IF(A1043="","",IF(K1043="",0,J1043*INDEX(Products!$H$5:$H$204,K1043)))</f>
        <v/>
      </c>
      <c r="P1043" s="11">
        <f>IF(A1043="","",J1043-M1043-N1043-O1043)</f>
        <v/>
      </c>
    </row>
    <row r="1044">
      <c r="A1044">
        <f>IFERROR(INDEX('Etsy Import'!$A:$CZ,1044,Settings!$C$20)&amp;"","")</f>
        <v/>
      </c>
      <c r="B1044">
        <f>IFERROR(INDEX('Etsy Import'!$A:$CZ,1044,Settings!$C$21)&amp;"","")</f>
        <v/>
      </c>
      <c r="C1044">
        <f>IFERROR(INDEX('Etsy Import'!$A:$CZ,1044,Settings!$C$22)&amp;"","")</f>
        <v/>
      </c>
      <c r="D1044">
        <f>IF(A1044="","",IFERROR(VALUE(SUBSTITUTE(SUBSTITUTE(INDEX('Etsy Import'!$A:$CZ,1044,Settings!$C$23)&amp;"","$",""),",","")),0))</f>
        <v/>
      </c>
      <c r="E1044" s="11">
        <f>IF(A1044="","",IFERROR(VALUE(SUBSTITUTE(SUBSTITUTE(INDEX('Etsy Import'!$A:$CZ,1044,Settings!$C$24)&amp;"","$",""),",","")),0))</f>
        <v/>
      </c>
      <c r="F1044" s="11">
        <f>IF(A1044="","",D1044*E1044)</f>
        <v/>
      </c>
      <c r="G1044">
        <f>IF(A1044="","",IF(C1044="",1,COUNTIF($C$2:$C$1501,C1044)))</f>
        <v/>
      </c>
      <c r="H1044" s="11">
        <f>IF(A1044="","",IFERROR(VALUE(SUBSTITUTE(SUBSTITUTE(INDEX('Etsy Import'!$A:$CZ,1044,Settings!$C$25)&amp;"","$",""),",","")),0)/IF(Settings!$B$27="Yes",G1044,1))</f>
        <v/>
      </c>
      <c r="I1044" s="11">
        <f>IF(A1044="","",IFERROR(VALUE(SUBSTITUTE(SUBSTITUTE(INDEX('Etsy Import'!$A:$CZ,1044,Settings!$C$26)&amp;"","$",""),",","")),0)/IF(Settings!$B$27="Yes",G1044,1))</f>
        <v/>
      </c>
      <c r="J1044" s="11">
        <f>IF(A1044="","",F1044+H1044-I1044)</f>
        <v/>
      </c>
      <c r="K1044">
        <f>IF(A1044="","",IFERROR(IF(B1044="",NA(),MATCH(B1044,Products!$B$5:$B$204,0)),IFERROR(MATCH(A1044,Products!$A$5:$A$204,0),"")))</f>
        <v/>
      </c>
      <c r="L1044">
        <f>IF(A1044="","",IF(K1044="","⚠ not in Products",INDEX(Products!$A$5:$A$204,K1044)))</f>
        <v/>
      </c>
      <c r="M1044" s="11">
        <f>IF(A1044="","",J1044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1044+IFERROR(INDEX(Settings!$D$5:$D$9,MATCH("Etsy",Settings!$A$5:$A$9,0)),0)*D1044)</f>
        <v/>
      </c>
      <c r="N1044" s="11">
        <f>IF(A1044="","",IF(K1044="",0,D1044*INDEX(Products!$I$5:$I$204,K1044)))</f>
        <v/>
      </c>
      <c r="O1044" s="11">
        <f>IF(A1044="","",IF(K1044="",0,J1044*INDEX(Products!$H$5:$H$204,K1044)))</f>
        <v/>
      </c>
      <c r="P1044" s="11">
        <f>IF(A1044="","",J1044-M1044-N1044-O1044)</f>
        <v/>
      </c>
    </row>
    <row r="1045">
      <c r="A1045">
        <f>IFERROR(INDEX('Etsy Import'!$A:$CZ,1045,Settings!$C$20)&amp;"","")</f>
        <v/>
      </c>
      <c r="B1045">
        <f>IFERROR(INDEX('Etsy Import'!$A:$CZ,1045,Settings!$C$21)&amp;"","")</f>
        <v/>
      </c>
      <c r="C1045">
        <f>IFERROR(INDEX('Etsy Import'!$A:$CZ,1045,Settings!$C$22)&amp;"","")</f>
        <v/>
      </c>
      <c r="D1045">
        <f>IF(A1045="","",IFERROR(VALUE(SUBSTITUTE(SUBSTITUTE(INDEX('Etsy Import'!$A:$CZ,1045,Settings!$C$23)&amp;"","$",""),",","")),0))</f>
        <v/>
      </c>
      <c r="E1045" s="11">
        <f>IF(A1045="","",IFERROR(VALUE(SUBSTITUTE(SUBSTITUTE(INDEX('Etsy Import'!$A:$CZ,1045,Settings!$C$24)&amp;"","$",""),",","")),0))</f>
        <v/>
      </c>
      <c r="F1045" s="11">
        <f>IF(A1045="","",D1045*E1045)</f>
        <v/>
      </c>
      <c r="G1045">
        <f>IF(A1045="","",IF(C1045="",1,COUNTIF($C$2:$C$1501,C1045)))</f>
        <v/>
      </c>
      <c r="H1045" s="11">
        <f>IF(A1045="","",IFERROR(VALUE(SUBSTITUTE(SUBSTITUTE(INDEX('Etsy Import'!$A:$CZ,1045,Settings!$C$25)&amp;"","$",""),",","")),0)/IF(Settings!$B$27="Yes",G1045,1))</f>
        <v/>
      </c>
      <c r="I1045" s="11">
        <f>IF(A1045="","",IFERROR(VALUE(SUBSTITUTE(SUBSTITUTE(INDEX('Etsy Import'!$A:$CZ,1045,Settings!$C$26)&amp;"","$",""),",","")),0)/IF(Settings!$B$27="Yes",G1045,1))</f>
        <v/>
      </c>
      <c r="J1045" s="11">
        <f>IF(A1045="","",F1045+H1045-I1045)</f>
        <v/>
      </c>
      <c r="K1045">
        <f>IF(A1045="","",IFERROR(IF(B1045="",NA(),MATCH(B1045,Products!$B$5:$B$204,0)),IFERROR(MATCH(A1045,Products!$A$5:$A$204,0),"")))</f>
        <v/>
      </c>
      <c r="L1045">
        <f>IF(A1045="","",IF(K1045="","⚠ not in Products",INDEX(Products!$A$5:$A$204,K1045)))</f>
        <v/>
      </c>
      <c r="M1045" s="11">
        <f>IF(A1045="","",J1045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1045+IFERROR(INDEX(Settings!$D$5:$D$9,MATCH("Etsy",Settings!$A$5:$A$9,0)),0)*D1045)</f>
        <v/>
      </c>
      <c r="N1045" s="11">
        <f>IF(A1045="","",IF(K1045="",0,D1045*INDEX(Products!$I$5:$I$204,K1045)))</f>
        <v/>
      </c>
      <c r="O1045" s="11">
        <f>IF(A1045="","",IF(K1045="",0,J1045*INDEX(Products!$H$5:$H$204,K1045)))</f>
        <v/>
      </c>
      <c r="P1045" s="11">
        <f>IF(A1045="","",J1045-M1045-N1045-O1045)</f>
        <v/>
      </c>
    </row>
    <row r="1046">
      <c r="A1046">
        <f>IFERROR(INDEX('Etsy Import'!$A:$CZ,1046,Settings!$C$20)&amp;"","")</f>
        <v/>
      </c>
      <c r="B1046">
        <f>IFERROR(INDEX('Etsy Import'!$A:$CZ,1046,Settings!$C$21)&amp;"","")</f>
        <v/>
      </c>
      <c r="C1046">
        <f>IFERROR(INDEX('Etsy Import'!$A:$CZ,1046,Settings!$C$22)&amp;"","")</f>
        <v/>
      </c>
      <c r="D1046">
        <f>IF(A1046="","",IFERROR(VALUE(SUBSTITUTE(SUBSTITUTE(INDEX('Etsy Import'!$A:$CZ,1046,Settings!$C$23)&amp;"","$",""),",","")),0))</f>
        <v/>
      </c>
      <c r="E1046" s="11">
        <f>IF(A1046="","",IFERROR(VALUE(SUBSTITUTE(SUBSTITUTE(INDEX('Etsy Import'!$A:$CZ,1046,Settings!$C$24)&amp;"","$",""),",","")),0))</f>
        <v/>
      </c>
      <c r="F1046" s="11">
        <f>IF(A1046="","",D1046*E1046)</f>
        <v/>
      </c>
      <c r="G1046">
        <f>IF(A1046="","",IF(C1046="",1,COUNTIF($C$2:$C$1501,C1046)))</f>
        <v/>
      </c>
      <c r="H1046" s="11">
        <f>IF(A1046="","",IFERROR(VALUE(SUBSTITUTE(SUBSTITUTE(INDEX('Etsy Import'!$A:$CZ,1046,Settings!$C$25)&amp;"","$",""),",","")),0)/IF(Settings!$B$27="Yes",G1046,1))</f>
        <v/>
      </c>
      <c r="I1046" s="11">
        <f>IF(A1046="","",IFERROR(VALUE(SUBSTITUTE(SUBSTITUTE(INDEX('Etsy Import'!$A:$CZ,1046,Settings!$C$26)&amp;"","$",""),",","")),0)/IF(Settings!$B$27="Yes",G1046,1))</f>
        <v/>
      </c>
      <c r="J1046" s="11">
        <f>IF(A1046="","",F1046+H1046-I1046)</f>
        <v/>
      </c>
      <c r="K1046">
        <f>IF(A1046="","",IFERROR(IF(B1046="",NA(),MATCH(B1046,Products!$B$5:$B$204,0)),IFERROR(MATCH(A1046,Products!$A$5:$A$204,0),"")))</f>
        <v/>
      </c>
      <c r="L1046">
        <f>IF(A1046="","",IF(K1046="","⚠ not in Products",INDEX(Products!$A$5:$A$204,K1046)))</f>
        <v/>
      </c>
      <c r="M1046" s="11">
        <f>IF(A1046="","",J1046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1046+IFERROR(INDEX(Settings!$D$5:$D$9,MATCH("Etsy",Settings!$A$5:$A$9,0)),0)*D1046)</f>
        <v/>
      </c>
      <c r="N1046" s="11">
        <f>IF(A1046="","",IF(K1046="",0,D1046*INDEX(Products!$I$5:$I$204,K1046)))</f>
        <v/>
      </c>
      <c r="O1046" s="11">
        <f>IF(A1046="","",IF(K1046="",0,J1046*INDEX(Products!$H$5:$H$204,K1046)))</f>
        <v/>
      </c>
      <c r="P1046" s="11">
        <f>IF(A1046="","",J1046-M1046-N1046-O1046)</f>
        <v/>
      </c>
    </row>
    <row r="1047">
      <c r="A1047">
        <f>IFERROR(INDEX('Etsy Import'!$A:$CZ,1047,Settings!$C$20)&amp;"","")</f>
        <v/>
      </c>
      <c r="B1047">
        <f>IFERROR(INDEX('Etsy Import'!$A:$CZ,1047,Settings!$C$21)&amp;"","")</f>
        <v/>
      </c>
      <c r="C1047">
        <f>IFERROR(INDEX('Etsy Import'!$A:$CZ,1047,Settings!$C$22)&amp;"","")</f>
        <v/>
      </c>
      <c r="D1047">
        <f>IF(A1047="","",IFERROR(VALUE(SUBSTITUTE(SUBSTITUTE(INDEX('Etsy Import'!$A:$CZ,1047,Settings!$C$23)&amp;"","$",""),",","")),0))</f>
        <v/>
      </c>
      <c r="E1047" s="11">
        <f>IF(A1047="","",IFERROR(VALUE(SUBSTITUTE(SUBSTITUTE(INDEX('Etsy Import'!$A:$CZ,1047,Settings!$C$24)&amp;"","$",""),",","")),0))</f>
        <v/>
      </c>
      <c r="F1047" s="11">
        <f>IF(A1047="","",D1047*E1047)</f>
        <v/>
      </c>
      <c r="G1047">
        <f>IF(A1047="","",IF(C1047="",1,COUNTIF($C$2:$C$1501,C1047)))</f>
        <v/>
      </c>
      <c r="H1047" s="11">
        <f>IF(A1047="","",IFERROR(VALUE(SUBSTITUTE(SUBSTITUTE(INDEX('Etsy Import'!$A:$CZ,1047,Settings!$C$25)&amp;"","$",""),",","")),0)/IF(Settings!$B$27="Yes",G1047,1))</f>
        <v/>
      </c>
      <c r="I1047" s="11">
        <f>IF(A1047="","",IFERROR(VALUE(SUBSTITUTE(SUBSTITUTE(INDEX('Etsy Import'!$A:$CZ,1047,Settings!$C$26)&amp;"","$",""),",","")),0)/IF(Settings!$B$27="Yes",G1047,1))</f>
        <v/>
      </c>
      <c r="J1047" s="11">
        <f>IF(A1047="","",F1047+H1047-I1047)</f>
        <v/>
      </c>
      <c r="K1047">
        <f>IF(A1047="","",IFERROR(IF(B1047="",NA(),MATCH(B1047,Products!$B$5:$B$204,0)),IFERROR(MATCH(A1047,Products!$A$5:$A$204,0),"")))</f>
        <v/>
      </c>
      <c r="L1047">
        <f>IF(A1047="","",IF(K1047="","⚠ not in Products",INDEX(Products!$A$5:$A$204,K1047)))</f>
        <v/>
      </c>
      <c r="M1047" s="11">
        <f>IF(A1047="","",J1047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1047+IFERROR(INDEX(Settings!$D$5:$D$9,MATCH("Etsy",Settings!$A$5:$A$9,0)),0)*D1047)</f>
        <v/>
      </c>
      <c r="N1047" s="11">
        <f>IF(A1047="","",IF(K1047="",0,D1047*INDEX(Products!$I$5:$I$204,K1047)))</f>
        <v/>
      </c>
      <c r="O1047" s="11">
        <f>IF(A1047="","",IF(K1047="",0,J1047*INDEX(Products!$H$5:$H$204,K1047)))</f>
        <v/>
      </c>
      <c r="P1047" s="11">
        <f>IF(A1047="","",J1047-M1047-N1047-O1047)</f>
        <v/>
      </c>
    </row>
    <row r="1048">
      <c r="A1048">
        <f>IFERROR(INDEX('Etsy Import'!$A:$CZ,1048,Settings!$C$20)&amp;"","")</f>
        <v/>
      </c>
      <c r="B1048">
        <f>IFERROR(INDEX('Etsy Import'!$A:$CZ,1048,Settings!$C$21)&amp;"","")</f>
        <v/>
      </c>
      <c r="C1048">
        <f>IFERROR(INDEX('Etsy Import'!$A:$CZ,1048,Settings!$C$22)&amp;"","")</f>
        <v/>
      </c>
      <c r="D1048">
        <f>IF(A1048="","",IFERROR(VALUE(SUBSTITUTE(SUBSTITUTE(INDEX('Etsy Import'!$A:$CZ,1048,Settings!$C$23)&amp;"","$",""),",","")),0))</f>
        <v/>
      </c>
      <c r="E1048" s="11">
        <f>IF(A1048="","",IFERROR(VALUE(SUBSTITUTE(SUBSTITUTE(INDEX('Etsy Import'!$A:$CZ,1048,Settings!$C$24)&amp;"","$",""),",","")),0))</f>
        <v/>
      </c>
      <c r="F1048" s="11">
        <f>IF(A1048="","",D1048*E1048)</f>
        <v/>
      </c>
      <c r="G1048">
        <f>IF(A1048="","",IF(C1048="",1,COUNTIF($C$2:$C$1501,C1048)))</f>
        <v/>
      </c>
      <c r="H1048" s="11">
        <f>IF(A1048="","",IFERROR(VALUE(SUBSTITUTE(SUBSTITUTE(INDEX('Etsy Import'!$A:$CZ,1048,Settings!$C$25)&amp;"","$",""),",","")),0)/IF(Settings!$B$27="Yes",G1048,1))</f>
        <v/>
      </c>
      <c r="I1048" s="11">
        <f>IF(A1048="","",IFERROR(VALUE(SUBSTITUTE(SUBSTITUTE(INDEX('Etsy Import'!$A:$CZ,1048,Settings!$C$26)&amp;"","$",""),",","")),0)/IF(Settings!$B$27="Yes",G1048,1))</f>
        <v/>
      </c>
      <c r="J1048" s="11">
        <f>IF(A1048="","",F1048+H1048-I1048)</f>
        <v/>
      </c>
      <c r="K1048">
        <f>IF(A1048="","",IFERROR(IF(B1048="",NA(),MATCH(B1048,Products!$B$5:$B$204,0)),IFERROR(MATCH(A1048,Products!$A$5:$A$204,0),"")))</f>
        <v/>
      </c>
      <c r="L1048">
        <f>IF(A1048="","",IF(K1048="","⚠ not in Products",INDEX(Products!$A$5:$A$204,K1048)))</f>
        <v/>
      </c>
      <c r="M1048" s="11">
        <f>IF(A1048="","",J1048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1048+IFERROR(INDEX(Settings!$D$5:$D$9,MATCH("Etsy",Settings!$A$5:$A$9,0)),0)*D1048)</f>
        <v/>
      </c>
      <c r="N1048" s="11">
        <f>IF(A1048="","",IF(K1048="",0,D1048*INDEX(Products!$I$5:$I$204,K1048)))</f>
        <v/>
      </c>
      <c r="O1048" s="11">
        <f>IF(A1048="","",IF(K1048="",0,J1048*INDEX(Products!$H$5:$H$204,K1048)))</f>
        <v/>
      </c>
      <c r="P1048" s="11">
        <f>IF(A1048="","",J1048-M1048-N1048-O1048)</f>
        <v/>
      </c>
    </row>
    <row r="1049">
      <c r="A1049">
        <f>IFERROR(INDEX('Etsy Import'!$A:$CZ,1049,Settings!$C$20)&amp;"","")</f>
        <v/>
      </c>
      <c r="B1049">
        <f>IFERROR(INDEX('Etsy Import'!$A:$CZ,1049,Settings!$C$21)&amp;"","")</f>
        <v/>
      </c>
      <c r="C1049">
        <f>IFERROR(INDEX('Etsy Import'!$A:$CZ,1049,Settings!$C$22)&amp;"","")</f>
        <v/>
      </c>
      <c r="D1049">
        <f>IF(A1049="","",IFERROR(VALUE(SUBSTITUTE(SUBSTITUTE(INDEX('Etsy Import'!$A:$CZ,1049,Settings!$C$23)&amp;"","$",""),",","")),0))</f>
        <v/>
      </c>
      <c r="E1049" s="11">
        <f>IF(A1049="","",IFERROR(VALUE(SUBSTITUTE(SUBSTITUTE(INDEX('Etsy Import'!$A:$CZ,1049,Settings!$C$24)&amp;"","$",""),",","")),0))</f>
        <v/>
      </c>
      <c r="F1049" s="11">
        <f>IF(A1049="","",D1049*E1049)</f>
        <v/>
      </c>
      <c r="G1049">
        <f>IF(A1049="","",IF(C1049="",1,COUNTIF($C$2:$C$1501,C1049)))</f>
        <v/>
      </c>
      <c r="H1049" s="11">
        <f>IF(A1049="","",IFERROR(VALUE(SUBSTITUTE(SUBSTITUTE(INDEX('Etsy Import'!$A:$CZ,1049,Settings!$C$25)&amp;"","$",""),",","")),0)/IF(Settings!$B$27="Yes",G1049,1))</f>
        <v/>
      </c>
      <c r="I1049" s="11">
        <f>IF(A1049="","",IFERROR(VALUE(SUBSTITUTE(SUBSTITUTE(INDEX('Etsy Import'!$A:$CZ,1049,Settings!$C$26)&amp;"","$",""),",","")),0)/IF(Settings!$B$27="Yes",G1049,1))</f>
        <v/>
      </c>
      <c r="J1049" s="11">
        <f>IF(A1049="","",F1049+H1049-I1049)</f>
        <v/>
      </c>
      <c r="K1049">
        <f>IF(A1049="","",IFERROR(IF(B1049="",NA(),MATCH(B1049,Products!$B$5:$B$204,0)),IFERROR(MATCH(A1049,Products!$A$5:$A$204,0),"")))</f>
        <v/>
      </c>
      <c r="L1049">
        <f>IF(A1049="","",IF(K1049="","⚠ not in Products",INDEX(Products!$A$5:$A$204,K1049)))</f>
        <v/>
      </c>
      <c r="M1049" s="11">
        <f>IF(A1049="","",J1049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1049+IFERROR(INDEX(Settings!$D$5:$D$9,MATCH("Etsy",Settings!$A$5:$A$9,0)),0)*D1049)</f>
        <v/>
      </c>
      <c r="N1049" s="11">
        <f>IF(A1049="","",IF(K1049="",0,D1049*INDEX(Products!$I$5:$I$204,K1049)))</f>
        <v/>
      </c>
      <c r="O1049" s="11">
        <f>IF(A1049="","",IF(K1049="",0,J1049*INDEX(Products!$H$5:$H$204,K1049)))</f>
        <v/>
      </c>
      <c r="P1049" s="11">
        <f>IF(A1049="","",J1049-M1049-N1049-O1049)</f>
        <v/>
      </c>
    </row>
    <row r="1050">
      <c r="A1050">
        <f>IFERROR(INDEX('Etsy Import'!$A:$CZ,1050,Settings!$C$20)&amp;"","")</f>
        <v/>
      </c>
      <c r="B1050">
        <f>IFERROR(INDEX('Etsy Import'!$A:$CZ,1050,Settings!$C$21)&amp;"","")</f>
        <v/>
      </c>
      <c r="C1050">
        <f>IFERROR(INDEX('Etsy Import'!$A:$CZ,1050,Settings!$C$22)&amp;"","")</f>
        <v/>
      </c>
      <c r="D1050">
        <f>IF(A1050="","",IFERROR(VALUE(SUBSTITUTE(SUBSTITUTE(INDEX('Etsy Import'!$A:$CZ,1050,Settings!$C$23)&amp;"","$",""),",","")),0))</f>
        <v/>
      </c>
      <c r="E1050" s="11">
        <f>IF(A1050="","",IFERROR(VALUE(SUBSTITUTE(SUBSTITUTE(INDEX('Etsy Import'!$A:$CZ,1050,Settings!$C$24)&amp;"","$",""),",","")),0))</f>
        <v/>
      </c>
      <c r="F1050" s="11">
        <f>IF(A1050="","",D1050*E1050)</f>
        <v/>
      </c>
      <c r="G1050">
        <f>IF(A1050="","",IF(C1050="",1,COUNTIF($C$2:$C$1501,C1050)))</f>
        <v/>
      </c>
      <c r="H1050" s="11">
        <f>IF(A1050="","",IFERROR(VALUE(SUBSTITUTE(SUBSTITUTE(INDEX('Etsy Import'!$A:$CZ,1050,Settings!$C$25)&amp;"","$",""),",","")),0)/IF(Settings!$B$27="Yes",G1050,1))</f>
        <v/>
      </c>
      <c r="I1050" s="11">
        <f>IF(A1050="","",IFERROR(VALUE(SUBSTITUTE(SUBSTITUTE(INDEX('Etsy Import'!$A:$CZ,1050,Settings!$C$26)&amp;"","$",""),",","")),0)/IF(Settings!$B$27="Yes",G1050,1))</f>
        <v/>
      </c>
      <c r="J1050" s="11">
        <f>IF(A1050="","",F1050+H1050-I1050)</f>
        <v/>
      </c>
      <c r="K1050">
        <f>IF(A1050="","",IFERROR(IF(B1050="",NA(),MATCH(B1050,Products!$B$5:$B$204,0)),IFERROR(MATCH(A1050,Products!$A$5:$A$204,0),"")))</f>
        <v/>
      </c>
      <c r="L1050">
        <f>IF(A1050="","",IF(K1050="","⚠ not in Products",INDEX(Products!$A$5:$A$204,K1050)))</f>
        <v/>
      </c>
      <c r="M1050" s="11">
        <f>IF(A1050="","",J1050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1050+IFERROR(INDEX(Settings!$D$5:$D$9,MATCH("Etsy",Settings!$A$5:$A$9,0)),0)*D1050)</f>
        <v/>
      </c>
      <c r="N1050" s="11">
        <f>IF(A1050="","",IF(K1050="",0,D1050*INDEX(Products!$I$5:$I$204,K1050)))</f>
        <v/>
      </c>
      <c r="O1050" s="11">
        <f>IF(A1050="","",IF(K1050="",0,J1050*INDEX(Products!$H$5:$H$204,K1050)))</f>
        <v/>
      </c>
      <c r="P1050" s="11">
        <f>IF(A1050="","",J1050-M1050-N1050-O1050)</f>
        <v/>
      </c>
    </row>
    <row r="1051">
      <c r="A1051">
        <f>IFERROR(INDEX('Etsy Import'!$A:$CZ,1051,Settings!$C$20)&amp;"","")</f>
        <v/>
      </c>
      <c r="B1051">
        <f>IFERROR(INDEX('Etsy Import'!$A:$CZ,1051,Settings!$C$21)&amp;"","")</f>
        <v/>
      </c>
      <c r="C1051">
        <f>IFERROR(INDEX('Etsy Import'!$A:$CZ,1051,Settings!$C$22)&amp;"","")</f>
        <v/>
      </c>
      <c r="D1051">
        <f>IF(A1051="","",IFERROR(VALUE(SUBSTITUTE(SUBSTITUTE(INDEX('Etsy Import'!$A:$CZ,1051,Settings!$C$23)&amp;"","$",""),",","")),0))</f>
        <v/>
      </c>
      <c r="E1051" s="11">
        <f>IF(A1051="","",IFERROR(VALUE(SUBSTITUTE(SUBSTITUTE(INDEX('Etsy Import'!$A:$CZ,1051,Settings!$C$24)&amp;"","$",""),",","")),0))</f>
        <v/>
      </c>
      <c r="F1051" s="11">
        <f>IF(A1051="","",D1051*E1051)</f>
        <v/>
      </c>
      <c r="G1051">
        <f>IF(A1051="","",IF(C1051="",1,COUNTIF($C$2:$C$1501,C1051)))</f>
        <v/>
      </c>
      <c r="H1051" s="11">
        <f>IF(A1051="","",IFERROR(VALUE(SUBSTITUTE(SUBSTITUTE(INDEX('Etsy Import'!$A:$CZ,1051,Settings!$C$25)&amp;"","$",""),",","")),0)/IF(Settings!$B$27="Yes",G1051,1))</f>
        <v/>
      </c>
      <c r="I1051" s="11">
        <f>IF(A1051="","",IFERROR(VALUE(SUBSTITUTE(SUBSTITUTE(INDEX('Etsy Import'!$A:$CZ,1051,Settings!$C$26)&amp;"","$",""),",","")),0)/IF(Settings!$B$27="Yes",G1051,1))</f>
        <v/>
      </c>
      <c r="J1051" s="11">
        <f>IF(A1051="","",F1051+H1051-I1051)</f>
        <v/>
      </c>
      <c r="K1051">
        <f>IF(A1051="","",IFERROR(IF(B1051="",NA(),MATCH(B1051,Products!$B$5:$B$204,0)),IFERROR(MATCH(A1051,Products!$A$5:$A$204,0),"")))</f>
        <v/>
      </c>
      <c r="L1051">
        <f>IF(A1051="","",IF(K1051="","⚠ not in Products",INDEX(Products!$A$5:$A$204,K1051)))</f>
        <v/>
      </c>
      <c r="M1051" s="11">
        <f>IF(A1051="","",J1051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1051+IFERROR(INDEX(Settings!$D$5:$D$9,MATCH("Etsy",Settings!$A$5:$A$9,0)),0)*D1051)</f>
        <v/>
      </c>
      <c r="N1051" s="11">
        <f>IF(A1051="","",IF(K1051="",0,D1051*INDEX(Products!$I$5:$I$204,K1051)))</f>
        <v/>
      </c>
      <c r="O1051" s="11">
        <f>IF(A1051="","",IF(K1051="",0,J1051*INDEX(Products!$H$5:$H$204,K1051)))</f>
        <v/>
      </c>
      <c r="P1051" s="11">
        <f>IF(A1051="","",J1051-M1051-N1051-O1051)</f>
        <v/>
      </c>
    </row>
    <row r="1052">
      <c r="A1052">
        <f>IFERROR(INDEX('Etsy Import'!$A:$CZ,1052,Settings!$C$20)&amp;"","")</f>
        <v/>
      </c>
      <c r="B1052">
        <f>IFERROR(INDEX('Etsy Import'!$A:$CZ,1052,Settings!$C$21)&amp;"","")</f>
        <v/>
      </c>
      <c r="C1052">
        <f>IFERROR(INDEX('Etsy Import'!$A:$CZ,1052,Settings!$C$22)&amp;"","")</f>
        <v/>
      </c>
      <c r="D1052">
        <f>IF(A1052="","",IFERROR(VALUE(SUBSTITUTE(SUBSTITUTE(INDEX('Etsy Import'!$A:$CZ,1052,Settings!$C$23)&amp;"","$",""),",","")),0))</f>
        <v/>
      </c>
      <c r="E1052" s="11">
        <f>IF(A1052="","",IFERROR(VALUE(SUBSTITUTE(SUBSTITUTE(INDEX('Etsy Import'!$A:$CZ,1052,Settings!$C$24)&amp;"","$",""),",","")),0))</f>
        <v/>
      </c>
      <c r="F1052" s="11">
        <f>IF(A1052="","",D1052*E1052)</f>
        <v/>
      </c>
      <c r="G1052">
        <f>IF(A1052="","",IF(C1052="",1,COUNTIF($C$2:$C$1501,C1052)))</f>
        <v/>
      </c>
      <c r="H1052" s="11">
        <f>IF(A1052="","",IFERROR(VALUE(SUBSTITUTE(SUBSTITUTE(INDEX('Etsy Import'!$A:$CZ,1052,Settings!$C$25)&amp;"","$",""),",","")),0)/IF(Settings!$B$27="Yes",G1052,1))</f>
        <v/>
      </c>
      <c r="I1052" s="11">
        <f>IF(A1052="","",IFERROR(VALUE(SUBSTITUTE(SUBSTITUTE(INDEX('Etsy Import'!$A:$CZ,1052,Settings!$C$26)&amp;"","$",""),",","")),0)/IF(Settings!$B$27="Yes",G1052,1))</f>
        <v/>
      </c>
      <c r="J1052" s="11">
        <f>IF(A1052="","",F1052+H1052-I1052)</f>
        <v/>
      </c>
      <c r="K1052">
        <f>IF(A1052="","",IFERROR(IF(B1052="",NA(),MATCH(B1052,Products!$B$5:$B$204,0)),IFERROR(MATCH(A1052,Products!$A$5:$A$204,0),"")))</f>
        <v/>
      </c>
      <c r="L1052">
        <f>IF(A1052="","",IF(K1052="","⚠ not in Products",INDEX(Products!$A$5:$A$204,K1052)))</f>
        <v/>
      </c>
      <c r="M1052" s="11">
        <f>IF(A1052="","",J1052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1052+IFERROR(INDEX(Settings!$D$5:$D$9,MATCH("Etsy",Settings!$A$5:$A$9,0)),0)*D1052)</f>
        <v/>
      </c>
      <c r="N1052" s="11">
        <f>IF(A1052="","",IF(K1052="",0,D1052*INDEX(Products!$I$5:$I$204,K1052)))</f>
        <v/>
      </c>
      <c r="O1052" s="11">
        <f>IF(A1052="","",IF(K1052="",0,J1052*INDEX(Products!$H$5:$H$204,K1052)))</f>
        <v/>
      </c>
      <c r="P1052" s="11">
        <f>IF(A1052="","",J1052-M1052-N1052-O1052)</f>
        <v/>
      </c>
    </row>
    <row r="1053">
      <c r="A1053">
        <f>IFERROR(INDEX('Etsy Import'!$A:$CZ,1053,Settings!$C$20)&amp;"","")</f>
        <v/>
      </c>
      <c r="B1053">
        <f>IFERROR(INDEX('Etsy Import'!$A:$CZ,1053,Settings!$C$21)&amp;"","")</f>
        <v/>
      </c>
      <c r="C1053">
        <f>IFERROR(INDEX('Etsy Import'!$A:$CZ,1053,Settings!$C$22)&amp;"","")</f>
        <v/>
      </c>
      <c r="D1053">
        <f>IF(A1053="","",IFERROR(VALUE(SUBSTITUTE(SUBSTITUTE(INDEX('Etsy Import'!$A:$CZ,1053,Settings!$C$23)&amp;"","$",""),",","")),0))</f>
        <v/>
      </c>
      <c r="E1053" s="11">
        <f>IF(A1053="","",IFERROR(VALUE(SUBSTITUTE(SUBSTITUTE(INDEX('Etsy Import'!$A:$CZ,1053,Settings!$C$24)&amp;"","$",""),",","")),0))</f>
        <v/>
      </c>
      <c r="F1053" s="11">
        <f>IF(A1053="","",D1053*E1053)</f>
        <v/>
      </c>
      <c r="G1053">
        <f>IF(A1053="","",IF(C1053="",1,COUNTIF($C$2:$C$1501,C1053)))</f>
        <v/>
      </c>
      <c r="H1053" s="11">
        <f>IF(A1053="","",IFERROR(VALUE(SUBSTITUTE(SUBSTITUTE(INDEX('Etsy Import'!$A:$CZ,1053,Settings!$C$25)&amp;"","$",""),",","")),0)/IF(Settings!$B$27="Yes",G1053,1))</f>
        <v/>
      </c>
      <c r="I1053" s="11">
        <f>IF(A1053="","",IFERROR(VALUE(SUBSTITUTE(SUBSTITUTE(INDEX('Etsy Import'!$A:$CZ,1053,Settings!$C$26)&amp;"","$",""),",","")),0)/IF(Settings!$B$27="Yes",G1053,1))</f>
        <v/>
      </c>
      <c r="J1053" s="11">
        <f>IF(A1053="","",F1053+H1053-I1053)</f>
        <v/>
      </c>
      <c r="K1053">
        <f>IF(A1053="","",IFERROR(IF(B1053="",NA(),MATCH(B1053,Products!$B$5:$B$204,0)),IFERROR(MATCH(A1053,Products!$A$5:$A$204,0),"")))</f>
        <v/>
      </c>
      <c r="L1053">
        <f>IF(A1053="","",IF(K1053="","⚠ not in Products",INDEX(Products!$A$5:$A$204,K1053)))</f>
        <v/>
      </c>
      <c r="M1053" s="11">
        <f>IF(A1053="","",J1053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1053+IFERROR(INDEX(Settings!$D$5:$D$9,MATCH("Etsy",Settings!$A$5:$A$9,0)),0)*D1053)</f>
        <v/>
      </c>
      <c r="N1053" s="11">
        <f>IF(A1053="","",IF(K1053="",0,D1053*INDEX(Products!$I$5:$I$204,K1053)))</f>
        <v/>
      </c>
      <c r="O1053" s="11">
        <f>IF(A1053="","",IF(K1053="",0,J1053*INDEX(Products!$H$5:$H$204,K1053)))</f>
        <v/>
      </c>
      <c r="P1053" s="11">
        <f>IF(A1053="","",J1053-M1053-N1053-O1053)</f>
        <v/>
      </c>
    </row>
    <row r="1054">
      <c r="A1054">
        <f>IFERROR(INDEX('Etsy Import'!$A:$CZ,1054,Settings!$C$20)&amp;"","")</f>
        <v/>
      </c>
      <c r="B1054">
        <f>IFERROR(INDEX('Etsy Import'!$A:$CZ,1054,Settings!$C$21)&amp;"","")</f>
        <v/>
      </c>
      <c r="C1054">
        <f>IFERROR(INDEX('Etsy Import'!$A:$CZ,1054,Settings!$C$22)&amp;"","")</f>
        <v/>
      </c>
      <c r="D1054">
        <f>IF(A1054="","",IFERROR(VALUE(SUBSTITUTE(SUBSTITUTE(INDEX('Etsy Import'!$A:$CZ,1054,Settings!$C$23)&amp;"","$",""),",","")),0))</f>
        <v/>
      </c>
      <c r="E1054" s="11">
        <f>IF(A1054="","",IFERROR(VALUE(SUBSTITUTE(SUBSTITUTE(INDEX('Etsy Import'!$A:$CZ,1054,Settings!$C$24)&amp;"","$",""),",","")),0))</f>
        <v/>
      </c>
      <c r="F1054" s="11">
        <f>IF(A1054="","",D1054*E1054)</f>
        <v/>
      </c>
      <c r="G1054">
        <f>IF(A1054="","",IF(C1054="",1,COUNTIF($C$2:$C$1501,C1054)))</f>
        <v/>
      </c>
      <c r="H1054" s="11">
        <f>IF(A1054="","",IFERROR(VALUE(SUBSTITUTE(SUBSTITUTE(INDEX('Etsy Import'!$A:$CZ,1054,Settings!$C$25)&amp;"","$",""),",","")),0)/IF(Settings!$B$27="Yes",G1054,1))</f>
        <v/>
      </c>
      <c r="I1054" s="11">
        <f>IF(A1054="","",IFERROR(VALUE(SUBSTITUTE(SUBSTITUTE(INDEX('Etsy Import'!$A:$CZ,1054,Settings!$C$26)&amp;"","$",""),",","")),0)/IF(Settings!$B$27="Yes",G1054,1))</f>
        <v/>
      </c>
      <c r="J1054" s="11">
        <f>IF(A1054="","",F1054+H1054-I1054)</f>
        <v/>
      </c>
      <c r="K1054">
        <f>IF(A1054="","",IFERROR(IF(B1054="",NA(),MATCH(B1054,Products!$B$5:$B$204,0)),IFERROR(MATCH(A1054,Products!$A$5:$A$204,0),"")))</f>
        <v/>
      </c>
      <c r="L1054">
        <f>IF(A1054="","",IF(K1054="","⚠ not in Products",INDEX(Products!$A$5:$A$204,K1054)))</f>
        <v/>
      </c>
      <c r="M1054" s="11">
        <f>IF(A1054="","",J1054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1054+IFERROR(INDEX(Settings!$D$5:$D$9,MATCH("Etsy",Settings!$A$5:$A$9,0)),0)*D1054)</f>
        <v/>
      </c>
      <c r="N1054" s="11">
        <f>IF(A1054="","",IF(K1054="",0,D1054*INDEX(Products!$I$5:$I$204,K1054)))</f>
        <v/>
      </c>
      <c r="O1054" s="11">
        <f>IF(A1054="","",IF(K1054="",0,J1054*INDEX(Products!$H$5:$H$204,K1054)))</f>
        <v/>
      </c>
      <c r="P1054" s="11">
        <f>IF(A1054="","",J1054-M1054-N1054-O1054)</f>
        <v/>
      </c>
    </row>
    <row r="1055">
      <c r="A1055">
        <f>IFERROR(INDEX('Etsy Import'!$A:$CZ,1055,Settings!$C$20)&amp;"","")</f>
        <v/>
      </c>
      <c r="B1055">
        <f>IFERROR(INDEX('Etsy Import'!$A:$CZ,1055,Settings!$C$21)&amp;"","")</f>
        <v/>
      </c>
      <c r="C1055">
        <f>IFERROR(INDEX('Etsy Import'!$A:$CZ,1055,Settings!$C$22)&amp;"","")</f>
        <v/>
      </c>
      <c r="D1055">
        <f>IF(A1055="","",IFERROR(VALUE(SUBSTITUTE(SUBSTITUTE(INDEX('Etsy Import'!$A:$CZ,1055,Settings!$C$23)&amp;"","$",""),",","")),0))</f>
        <v/>
      </c>
      <c r="E1055" s="11">
        <f>IF(A1055="","",IFERROR(VALUE(SUBSTITUTE(SUBSTITUTE(INDEX('Etsy Import'!$A:$CZ,1055,Settings!$C$24)&amp;"","$",""),",","")),0))</f>
        <v/>
      </c>
      <c r="F1055" s="11">
        <f>IF(A1055="","",D1055*E1055)</f>
        <v/>
      </c>
      <c r="G1055">
        <f>IF(A1055="","",IF(C1055="",1,COUNTIF($C$2:$C$1501,C1055)))</f>
        <v/>
      </c>
      <c r="H1055" s="11">
        <f>IF(A1055="","",IFERROR(VALUE(SUBSTITUTE(SUBSTITUTE(INDEX('Etsy Import'!$A:$CZ,1055,Settings!$C$25)&amp;"","$",""),",","")),0)/IF(Settings!$B$27="Yes",G1055,1))</f>
        <v/>
      </c>
      <c r="I1055" s="11">
        <f>IF(A1055="","",IFERROR(VALUE(SUBSTITUTE(SUBSTITUTE(INDEX('Etsy Import'!$A:$CZ,1055,Settings!$C$26)&amp;"","$",""),",","")),0)/IF(Settings!$B$27="Yes",G1055,1))</f>
        <v/>
      </c>
      <c r="J1055" s="11">
        <f>IF(A1055="","",F1055+H1055-I1055)</f>
        <v/>
      </c>
      <c r="K1055">
        <f>IF(A1055="","",IFERROR(IF(B1055="",NA(),MATCH(B1055,Products!$B$5:$B$204,0)),IFERROR(MATCH(A1055,Products!$A$5:$A$204,0),"")))</f>
        <v/>
      </c>
      <c r="L1055">
        <f>IF(A1055="","",IF(K1055="","⚠ not in Products",INDEX(Products!$A$5:$A$204,K1055)))</f>
        <v/>
      </c>
      <c r="M1055" s="11">
        <f>IF(A1055="","",J1055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1055+IFERROR(INDEX(Settings!$D$5:$D$9,MATCH("Etsy",Settings!$A$5:$A$9,0)),0)*D1055)</f>
        <v/>
      </c>
      <c r="N1055" s="11">
        <f>IF(A1055="","",IF(K1055="",0,D1055*INDEX(Products!$I$5:$I$204,K1055)))</f>
        <v/>
      </c>
      <c r="O1055" s="11">
        <f>IF(A1055="","",IF(K1055="",0,J1055*INDEX(Products!$H$5:$H$204,K1055)))</f>
        <v/>
      </c>
      <c r="P1055" s="11">
        <f>IF(A1055="","",J1055-M1055-N1055-O1055)</f>
        <v/>
      </c>
    </row>
    <row r="1056">
      <c r="A1056">
        <f>IFERROR(INDEX('Etsy Import'!$A:$CZ,1056,Settings!$C$20)&amp;"","")</f>
        <v/>
      </c>
      <c r="B1056">
        <f>IFERROR(INDEX('Etsy Import'!$A:$CZ,1056,Settings!$C$21)&amp;"","")</f>
        <v/>
      </c>
      <c r="C1056">
        <f>IFERROR(INDEX('Etsy Import'!$A:$CZ,1056,Settings!$C$22)&amp;"","")</f>
        <v/>
      </c>
      <c r="D1056">
        <f>IF(A1056="","",IFERROR(VALUE(SUBSTITUTE(SUBSTITUTE(INDEX('Etsy Import'!$A:$CZ,1056,Settings!$C$23)&amp;"","$",""),",","")),0))</f>
        <v/>
      </c>
      <c r="E1056" s="11">
        <f>IF(A1056="","",IFERROR(VALUE(SUBSTITUTE(SUBSTITUTE(INDEX('Etsy Import'!$A:$CZ,1056,Settings!$C$24)&amp;"","$",""),",","")),0))</f>
        <v/>
      </c>
      <c r="F1056" s="11">
        <f>IF(A1056="","",D1056*E1056)</f>
        <v/>
      </c>
      <c r="G1056">
        <f>IF(A1056="","",IF(C1056="",1,COUNTIF($C$2:$C$1501,C1056)))</f>
        <v/>
      </c>
      <c r="H1056" s="11">
        <f>IF(A1056="","",IFERROR(VALUE(SUBSTITUTE(SUBSTITUTE(INDEX('Etsy Import'!$A:$CZ,1056,Settings!$C$25)&amp;"","$",""),",","")),0)/IF(Settings!$B$27="Yes",G1056,1))</f>
        <v/>
      </c>
      <c r="I1056" s="11">
        <f>IF(A1056="","",IFERROR(VALUE(SUBSTITUTE(SUBSTITUTE(INDEX('Etsy Import'!$A:$CZ,1056,Settings!$C$26)&amp;"","$",""),",","")),0)/IF(Settings!$B$27="Yes",G1056,1))</f>
        <v/>
      </c>
      <c r="J1056" s="11">
        <f>IF(A1056="","",F1056+H1056-I1056)</f>
        <v/>
      </c>
      <c r="K1056">
        <f>IF(A1056="","",IFERROR(IF(B1056="",NA(),MATCH(B1056,Products!$B$5:$B$204,0)),IFERROR(MATCH(A1056,Products!$A$5:$A$204,0),"")))</f>
        <v/>
      </c>
      <c r="L1056">
        <f>IF(A1056="","",IF(K1056="","⚠ not in Products",INDEX(Products!$A$5:$A$204,K1056)))</f>
        <v/>
      </c>
      <c r="M1056" s="11">
        <f>IF(A1056="","",J1056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1056+IFERROR(INDEX(Settings!$D$5:$D$9,MATCH("Etsy",Settings!$A$5:$A$9,0)),0)*D1056)</f>
        <v/>
      </c>
      <c r="N1056" s="11">
        <f>IF(A1056="","",IF(K1056="",0,D1056*INDEX(Products!$I$5:$I$204,K1056)))</f>
        <v/>
      </c>
      <c r="O1056" s="11">
        <f>IF(A1056="","",IF(K1056="",0,J1056*INDEX(Products!$H$5:$H$204,K1056)))</f>
        <v/>
      </c>
      <c r="P1056" s="11">
        <f>IF(A1056="","",J1056-M1056-N1056-O1056)</f>
        <v/>
      </c>
    </row>
    <row r="1057">
      <c r="A1057">
        <f>IFERROR(INDEX('Etsy Import'!$A:$CZ,1057,Settings!$C$20)&amp;"","")</f>
        <v/>
      </c>
      <c r="B1057">
        <f>IFERROR(INDEX('Etsy Import'!$A:$CZ,1057,Settings!$C$21)&amp;"","")</f>
        <v/>
      </c>
      <c r="C1057">
        <f>IFERROR(INDEX('Etsy Import'!$A:$CZ,1057,Settings!$C$22)&amp;"","")</f>
        <v/>
      </c>
      <c r="D1057">
        <f>IF(A1057="","",IFERROR(VALUE(SUBSTITUTE(SUBSTITUTE(INDEX('Etsy Import'!$A:$CZ,1057,Settings!$C$23)&amp;"","$",""),",","")),0))</f>
        <v/>
      </c>
      <c r="E1057" s="11">
        <f>IF(A1057="","",IFERROR(VALUE(SUBSTITUTE(SUBSTITUTE(INDEX('Etsy Import'!$A:$CZ,1057,Settings!$C$24)&amp;"","$",""),",","")),0))</f>
        <v/>
      </c>
      <c r="F1057" s="11">
        <f>IF(A1057="","",D1057*E1057)</f>
        <v/>
      </c>
      <c r="G1057">
        <f>IF(A1057="","",IF(C1057="",1,COUNTIF($C$2:$C$1501,C1057)))</f>
        <v/>
      </c>
      <c r="H1057" s="11">
        <f>IF(A1057="","",IFERROR(VALUE(SUBSTITUTE(SUBSTITUTE(INDEX('Etsy Import'!$A:$CZ,1057,Settings!$C$25)&amp;"","$",""),",","")),0)/IF(Settings!$B$27="Yes",G1057,1))</f>
        <v/>
      </c>
      <c r="I1057" s="11">
        <f>IF(A1057="","",IFERROR(VALUE(SUBSTITUTE(SUBSTITUTE(INDEX('Etsy Import'!$A:$CZ,1057,Settings!$C$26)&amp;"","$",""),",","")),0)/IF(Settings!$B$27="Yes",G1057,1))</f>
        <v/>
      </c>
      <c r="J1057" s="11">
        <f>IF(A1057="","",F1057+H1057-I1057)</f>
        <v/>
      </c>
      <c r="K1057">
        <f>IF(A1057="","",IFERROR(IF(B1057="",NA(),MATCH(B1057,Products!$B$5:$B$204,0)),IFERROR(MATCH(A1057,Products!$A$5:$A$204,0),"")))</f>
        <v/>
      </c>
      <c r="L1057">
        <f>IF(A1057="","",IF(K1057="","⚠ not in Products",INDEX(Products!$A$5:$A$204,K1057)))</f>
        <v/>
      </c>
      <c r="M1057" s="11">
        <f>IF(A1057="","",J1057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1057+IFERROR(INDEX(Settings!$D$5:$D$9,MATCH("Etsy",Settings!$A$5:$A$9,0)),0)*D1057)</f>
        <v/>
      </c>
      <c r="N1057" s="11">
        <f>IF(A1057="","",IF(K1057="",0,D1057*INDEX(Products!$I$5:$I$204,K1057)))</f>
        <v/>
      </c>
      <c r="O1057" s="11">
        <f>IF(A1057="","",IF(K1057="",0,J1057*INDEX(Products!$H$5:$H$204,K1057)))</f>
        <v/>
      </c>
      <c r="P1057" s="11">
        <f>IF(A1057="","",J1057-M1057-N1057-O1057)</f>
        <v/>
      </c>
    </row>
    <row r="1058">
      <c r="A1058">
        <f>IFERROR(INDEX('Etsy Import'!$A:$CZ,1058,Settings!$C$20)&amp;"","")</f>
        <v/>
      </c>
      <c r="B1058">
        <f>IFERROR(INDEX('Etsy Import'!$A:$CZ,1058,Settings!$C$21)&amp;"","")</f>
        <v/>
      </c>
      <c r="C1058">
        <f>IFERROR(INDEX('Etsy Import'!$A:$CZ,1058,Settings!$C$22)&amp;"","")</f>
        <v/>
      </c>
      <c r="D1058">
        <f>IF(A1058="","",IFERROR(VALUE(SUBSTITUTE(SUBSTITUTE(INDEX('Etsy Import'!$A:$CZ,1058,Settings!$C$23)&amp;"","$",""),",","")),0))</f>
        <v/>
      </c>
      <c r="E1058" s="11">
        <f>IF(A1058="","",IFERROR(VALUE(SUBSTITUTE(SUBSTITUTE(INDEX('Etsy Import'!$A:$CZ,1058,Settings!$C$24)&amp;"","$",""),",","")),0))</f>
        <v/>
      </c>
      <c r="F1058" s="11">
        <f>IF(A1058="","",D1058*E1058)</f>
        <v/>
      </c>
      <c r="G1058">
        <f>IF(A1058="","",IF(C1058="",1,COUNTIF($C$2:$C$1501,C1058)))</f>
        <v/>
      </c>
      <c r="H1058" s="11">
        <f>IF(A1058="","",IFERROR(VALUE(SUBSTITUTE(SUBSTITUTE(INDEX('Etsy Import'!$A:$CZ,1058,Settings!$C$25)&amp;"","$",""),",","")),0)/IF(Settings!$B$27="Yes",G1058,1))</f>
        <v/>
      </c>
      <c r="I1058" s="11">
        <f>IF(A1058="","",IFERROR(VALUE(SUBSTITUTE(SUBSTITUTE(INDEX('Etsy Import'!$A:$CZ,1058,Settings!$C$26)&amp;"","$",""),",","")),0)/IF(Settings!$B$27="Yes",G1058,1))</f>
        <v/>
      </c>
      <c r="J1058" s="11">
        <f>IF(A1058="","",F1058+H1058-I1058)</f>
        <v/>
      </c>
      <c r="K1058">
        <f>IF(A1058="","",IFERROR(IF(B1058="",NA(),MATCH(B1058,Products!$B$5:$B$204,0)),IFERROR(MATCH(A1058,Products!$A$5:$A$204,0),"")))</f>
        <v/>
      </c>
      <c r="L1058">
        <f>IF(A1058="","",IF(K1058="","⚠ not in Products",INDEX(Products!$A$5:$A$204,K1058)))</f>
        <v/>
      </c>
      <c r="M1058" s="11">
        <f>IF(A1058="","",J1058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1058+IFERROR(INDEX(Settings!$D$5:$D$9,MATCH("Etsy",Settings!$A$5:$A$9,0)),0)*D1058)</f>
        <v/>
      </c>
      <c r="N1058" s="11">
        <f>IF(A1058="","",IF(K1058="",0,D1058*INDEX(Products!$I$5:$I$204,K1058)))</f>
        <v/>
      </c>
      <c r="O1058" s="11">
        <f>IF(A1058="","",IF(K1058="",0,J1058*INDEX(Products!$H$5:$H$204,K1058)))</f>
        <v/>
      </c>
      <c r="P1058" s="11">
        <f>IF(A1058="","",J1058-M1058-N1058-O1058)</f>
        <v/>
      </c>
    </row>
    <row r="1059">
      <c r="A1059">
        <f>IFERROR(INDEX('Etsy Import'!$A:$CZ,1059,Settings!$C$20)&amp;"","")</f>
        <v/>
      </c>
      <c r="B1059">
        <f>IFERROR(INDEX('Etsy Import'!$A:$CZ,1059,Settings!$C$21)&amp;"","")</f>
        <v/>
      </c>
      <c r="C1059">
        <f>IFERROR(INDEX('Etsy Import'!$A:$CZ,1059,Settings!$C$22)&amp;"","")</f>
        <v/>
      </c>
      <c r="D1059">
        <f>IF(A1059="","",IFERROR(VALUE(SUBSTITUTE(SUBSTITUTE(INDEX('Etsy Import'!$A:$CZ,1059,Settings!$C$23)&amp;"","$",""),",","")),0))</f>
        <v/>
      </c>
      <c r="E1059" s="11">
        <f>IF(A1059="","",IFERROR(VALUE(SUBSTITUTE(SUBSTITUTE(INDEX('Etsy Import'!$A:$CZ,1059,Settings!$C$24)&amp;"","$",""),",","")),0))</f>
        <v/>
      </c>
      <c r="F1059" s="11">
        <f>IF(A1059="","",D1059*E1059)</f>
        <v/>
      </c>
      <c r="G1059">
        <f>IF(A1059="","",IF(C1059="",1,COUNTIF($C$2:$C$1501,C1059)))</f>
        <v/>
      </c>
      <c r="H1059" s="11">
        <f>IF(A1059="","",IFERROR(VALUE(SUBSTITUTE(SUBSTITUTE(INDEX('Etsy Import'!$A:$CZ,1059,Settings!$C$25)&amp;"","$",""),",","")),0)/IF(Settings!$B$27="Yes",G1059,1))</f>
        <v/>
      </c>
      <c r="I1059" s="11">
        <f>IF(A1059="","",IFERROR(VALUE(SUBSTITUTE(SUBSTITUTE(INDEX('Etsy Import'!$A:$CZ,1059,Settings!$C$26)&amp;"","$",""),",","")),0)/IF(Settings!$B$27="Yes",G1059,1))</f>
        <v/>
      </c>
      <c r="J1059" s="11">
        <f>IF(A1059="","",F1059+H1059-I1059)</f>
        <v/>
      </c>
      <c r="K1059">
        <f>IF(A1059="","",IFERROR(IF(B1059="",NA(),MATCH(B1059,Products!$B$5:$B$204,0)),IFERROR(MATCH(A1059,Products!$A$5:$A$204,0),"")))</f>
        <v/>
      </c>
      <c r="L1059">
        <f>IF(A1059="","",IF(K1059="","⚠ not in Products",INDEX(Products!$A$5:$A$204,K1059)))</f>
        <v/>
      </c>
      <c r="M1059" s="11">
        <f>IF(A1059="","",J1059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1059+IFERROR(INDEX(Settings!$D$5:$D$9,MATCH("Etsy",Settings!$A$5:$A$9,0)),0)*D1059)</f>
        <v/>
      </c>
      <c r="N1059" s="11">
        <f>IF(A1059="","",IF(K1059="",0,D1059*INDEX(Products!$I$5:$I$204,K1059)))</f>
        <v/>
      </c>
      <c r="O1059" s="11">
        <f>IF(A1059="","",IF(K1059="",0,J1059*INDEX(Products!$H$5:$H$204,K1059)))</f>
        <v/>
      </c>
      <c r="P1059" s="11">
        <f>IF(A1059="","",J1059-M1059-N1059-O1059)</f>
        <v/>
      </c>
    </row>
    <row r="1060">
      <c r="A1060">
        <f>IFERROR(INDEX('Etsy Import'!$A:$CZ,1060,Settings!$C$20)&amp;"","")</f>
        <v/>
      </c>
      <c r="B1060">
        <f>IFERROR(INDEX('Etsy Import'!$A:$CZ,1060,Settings!$C$21)&amp;"","")</f>
        <v/>
      </c>
      <c r="C1060">
        <f>IFERROR(INDEX('Etsy Import'!$A:$CZ,1060,Settings!$C$22)&amp;"","")</f>
        <v/>
      </c>
      <c r="D1060">
        <f>IF(A1060="","",IFERROR(VALUE(SUBSTITUTE(SUBSTITUTE(INDEX('Etsy Import'!$A:$CZ,1060,Settings!$C$23)&amp;"","$",""),",","")),0))</f>
        <v/>
      </c>
      <c r="E1060" s="11">
        <f>IF(A1060="","",IFERROR(VALUE(SUBSTITUTE(SUBSTITUTE(INDEX('Etsy Import'!$A:$CZ,1060,Settings!$C$24)&amp;"","$",""),",","")),0))</f>
        <v/>
      </c>
      <c r="F1060" s="11">
        <f>IF(A1060="","",D1060*E1060)</f>
        <v/>
      </c>
      <c r="G1060">
        <f>IF(A1060="","",IF(C1060="",1,COUNTIF($C$2:$C$1501,C1060)))</f>
        <v/>
      </c>
      <c r="H1060" s="11">
        <f>IF(A1060="","",IFERROR(VALUE(SUBSTITUTE(SUBSTITUTE(INDEX('Etsy Import'!$A:$CZ,1060,Settings!$C$25)&amp;"","$",""),",","")),0)/IF(Settings!$B$27="Yes",G1060,1))</f>
        <v/>
      </c>
      <c r="I1060" s="11">
        <f>IF(A1060="","",IFERROR(VALUE(SUBSTITUTE(SUBSTITUTE(INDEX('Etsy Import'!$A:$CZ,1060,Settings!$C$26)&amp;"","$",""),",","")),0)/IF(Settings!$B$27="Yes",G1060,1))</f>
        <v/>
      </c>
      <c r="J1060" s="11">
        <f>IF(A1060="","",F1060+H1060-I1060)</f>
        <v/>
      </c>
      <c r="K1060">
        <f>IF(A1060="","",IFERROR(IF(B1060="",NA(),MATCH(B1060,Products!$B$5:$B$204,0)),IFERROR(MATCH(A1060,Products!$A$5:$A$204,0),"")))</f>
        <v/>
      </c>
      <c r="L1060">
        <f>IF(A1060="","",IF(K1060="","⚠ not in Products",INDEX(Products!$A$5:$A$204,K1060)))</f>
        <v/>
      </c>
      <c r="M1060" s="11">
        <f>IF(A1060="","",J1060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1060+IFERROR(INDEX(Settings!$D$5:$D$9,MATCH("Etsy",Settings!$A$5:$A$9,0)),0)*D1060)</f>
        <v/>
      </c>
      <c r="N1060" s="11">
        <f>IF(A1060="","",IF(K1060="",0,D1060*INDEX(Products!$I$5:$I$204,K1060)))</f>
        <v/>
      </c>
      <c r="O1060" s="11">
        <f>IF(A1060="","",IF(K1060="",0,J1060*INDEX(Products!$H$5:$H$204,K1060)))</f>
        <v/>
      </c>
      <c r="P1060" s="11">
        <f>IF(A1060="","",J1060-M1060-N1060-O1060)</f>
        <v/>
      </c>
    </row>
    <row r="1061">
      <c r="A1061">
        <f>IFERROR(INDEX('Etsy Import'!$A:$CZ,1061,Settings!$C$20)&amp;"","")</f>
        <v/>
      </c>
      <c r="B1061">
        <f>IFERROR(INDEX('Etsy Import'!$A:$CZ,1061,Settings!$C$21)&amp;"","")</f>
        <v/>
      </c>
      <c r="C1061">
        <f>IFERROR(INDEX('Etsy Import'!$A:$CZ,1061,Settings!$C$22)&amp;"","")</f>
        <v/>
      </c>
      <c r="D1061">
        <f>IF(A1061="","",IFERROR(VALUE(SUBSTITUTE(SUBSTITUTE(INDEX('Etsy Import'!$A:$CZ,1061,Settings!$C$23)&amp;"","$",""),",","")),0))</f>
        <v/>
      </c>
      <c r="E1061" s="11">
        <f>IF(A1061="","",IFERROR(VALUE(SUBSTITUTE(SUBSTITUTE(INDEX('Etsy Import'!$A:$CZ,1061,Settings!$C$24)&amp;"","$",""),",","")),0))</f>
        <v/>
      </c>
      <c r="F1061" s="11">
        <f>IF(A1061="","",D1061*E1061)</f>
        <v/>
      </c>
      <c r="G1061">
        <f>IF(A1061="","",IF(C1061="",1,COUNTIF($C$2:$C$1501,C1061)))</f>
        <v/>
      </c>
      <c r="H1061" s="11">
        <f>IF(A1061="","",IFERROR(VALUE(SUBSTITUTE(SUBSTITUTE(INDEX('Etsy Import'!$A:$CZ,1061,Settings!$C$25)&amp;"","$",""),",","")),0)/IF(Settings!$B$27="Yes",G1061,1))</f>
        <v/>
      </c>
      <c r="I1061" s="11">
        <f>IF(A1061="","",IFERROR(VALUE(SUBSTITUTE(SUBSTITUTE(INDEX('Etsy Import'!$A:$CZ,1061,Settings!$C$26)&amp;"","$",""),",","")),0)/IF(Settings!$B$27="Yes",G1061,1))</f>
        <v/>
      </c>
      <c r="J1061" s="11">
        <f>IF(A1061="","",F1061+H1061-I1061)</f>
        <v/>
      </c>
      <c r="K1061">
        <f>IF(A1061="","",IFERROR(IF(B1061="",NA(),MATCH(B1061,Products!$B$5:$B$204,0)),IFERROR(MATCH(A1061,Products!$A$5:$A$204,0),"")))</f>
        <v/>
      </c>
      <c r="L1061">
        <f>IF(A1061="","",IF(K1061="","⚠ not in Products",INDEX(Products!$A$5:$A$204,K1061)))</f>
        <v/>
      </c>
      <c r="M1061" s="11">
        <f>IF(A1061="","",J1061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1061+IFERROR(INDEX(Settings!$D$5:$D$9,MATCH("Etsy",Settings!$A$5:$A$9,0)),0)*D1061)</f>
        <v/>
      </c>
      <c r="N1061" s="11">
        <f>IF(A1061="","",IF(K1061="",0,D1061*INDEX(Products!$I$5:$I$204,K1061)))</f>
        <v/>
      </c>
      <c r="O1061" s="11">
        <f>IF(A1061="","",IF(K1061="",0,J1061*INDEX(Products!$H$5:$H$204,K1061)))</f>
        <v/>
      </c>
      <c r="P1061" s="11">
        <f>IF(A1061="","",J1061-M1061-N1061-O1061)</f>
        <v/>
      </c>
    </row>
    <row r="1062">
      <c r="A1062">
        <f>IFERROR(INDEX('Etsy Import'!$A:$CZ,1062,Settings!$C$20)&amp;"","")</f>
        <v/>
      </c>
      <c r="B1062">
        <f>IFERROR(INDEX('Etsy Import'!$A:$CZ,1062,Settings!$C$21)&amp;"","")</f>
        <v/>
      </c>
      <c r="C1062">
        <f>IFERROR(INDEX('Etsy Import'!$A:$CZ,1062,Settings!$C$22)&amp;"","")</f>
        <v/>
      </c>
      <c r="D1062">
        <f>IF(A1062="","",IFERROR(VALUE(SUBSTITUTE(SUBSTITUTE(INDEX('Etsy Import'!$A:$CZ,1062,Settings!$C$23)&amp;"","$",""),",","")),0))</f>
        <v/>
      </c>
      <c r="E1062" s="11">
        <f>IF(A1062="","",IFERROR(VALUE(SUBSTITUTE(SUBSTITUTE(INDEX('Etsy Import'!$A:$CZ,1062,Settings!$C$24)&amp;"","$",""),",","")),0))</f>
        <v/>
      </c>
      <c r="F1062" s="11">
        <f>IF(A1062="","",D1062*E1062)</f>
        <v/>
      </c>
      <c r="G1062">
        <f>IF(A1062="","",IF(C1062="",1,COUNTIF($C$2:$C$1501,C1062)))</f>
        <v/>
      </c>
      <c r="H1062" s="11">
        <f>IF(A1062="","",IFERROR(VALUE(SUBSTITUTE(SUBSTITUTE(INDEX('Etsy Import'!$A:$CZ,1062,Settings!$C$25)&amp;"","$",""),",","")),0)/IF(Settings!$B$27="Yes",G1062,1))</f>
        <v/>
      </c>
      <c r="I1062" s="11">
        <f>IF(A1062="","",IFERROR(VALUE(SUBSTITUTE(SUBSTITUTE(INDEX('Etsy Import'!$A:$CZ,1062,Settings!$C$26)&amp;"","$",""),",","")),0)/IF(Settings!$B$27="Yes",G1062,1))</f>
        <v/>
      </c>
      <c r="J1062" s="11">
        <f>IF(A1062="","",F1062+H1062-I1062)</f>
        <v/>
      </c>
      <c r="K1062">
        <f>IF(A1062="","",IFERROR(IF(B1062="",NA(),MATCH(B1062,Products!$B$5:$B$204,0)),IFERROR(MATCH(A1062,Products!$A$5:$A$204,0),"")))</f>
        <v/>
      </c>
      <c r="L1062">
        <f>IF(A1062="","",IF(K1062="","⚠ not in Products",INDEX(Products!$A$5:$A$204,K1062)))</f>
        <v/>
      </c>
      <c r="M1062" s="11">
        <f>IF(A1062="","",J1062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1062+IFERROR(INDEX(Settings!$D$5:$D$9,MATCH("Etsy",Settings!$A$5:$A$9,0)),0)*D1062)</f>
        <v/>
      </c>
      <c r="N1062" s="11">
        <f>IF(A1062="","",IF(K1062="",0,D1062*INDEX(Products!$I$5:$I$204,K1062)))</f>
        <v/>
      </c>
      <c r="O1062" s="11">
        <f>IF(A1062="","",IF(K1062="",0,J1062*INDEX(Products!$H$5:$H$204,K1062)))</f>
        <v/>
      </c>
      <c r="P1062" s="11">
        <f>IF(A1062="","",J1062-M1062-N1062-O1062)</f>
        <v/>
      </c>
    </row>
    <row r="1063">
      <c r="A1063">
        <f>IFERROR(INDEX('Etsy Import'!$A:$CZ,1063,Settings!$C$20)&amp;"","")</f>
        <v/>
      </c>
      <c r="B1063">
        <f>IFERROR(INDEX('Etsy Import'!$A:$CZ,1063,Settings!$C$21)&amp;"","")</f>
        <v/>
      </c>
      <c r="C1063">
        <f>IFERROR(INDEX('Etsy Import'!$A:$CZ,1063,Settings!$C$22)&amp;"","")</f>
        <v/>
      </c>
      <c r="D1063">
        <f>IF(A1063="","",IFERROR(VALUE(SUBSTITUTE(SUBSTITUTE(INDEX('Etsy Import'!$A:$CZ,1063,Settings!$C$23)&amp;"","$",""),",","")),0))</f>
        <v/>
      </c>
      <c r="E1063" s="11">
        <f>IF(A1063="","",IFERROR(VALUE(SUBSTITUTE(SUBSTITUTE(INDEX('Etsy Import'!$A:$CZ,1063,Settings!$C$24)&amp;"","$",""),",","")),0))</f>
        <v/>
      </c>
      <c r="F1063" s="11">
        <f>IF(A1063="","",D1063*E1063)</f>
        <v/>
      </c>
      <c r="G1063">
        <f>IF(A1063="","",IF(C1063="",1,COUNTIF($C$2:$C$1501,C1063)))</f>
        <v/>
      </c>
      <c r="H1063" s="11">
        <f>IF(A1063="","",IFERROR(VALUE(SUBSTITUTE(SUBSTITUTE(INDEX('Etsy Import'!$A:$CZ,1063,Settings!$C$25)&amp;"","$",""),",","")),0)/IF(Settings!$B$27="Yes",G1063,1))</f>
        <v/>
      </c>
      <c r="I1063" s="11">
        <f>IF(A1063="","",IFERROR(VALUE(SUBSTITUTE(SUBSTITUTE(INDEX('Etsy Import'!$A:$CZ,1063,Settings!$C$26)&amp;"","$",""),",","")),0)/IF(Settings!$B$27="Yes",G1063,1))</f>
        <v/>
      </c>
      <c r="J1063" s="11">
        <f>IF(A1063="","",F1063+H1063-I1063)</f>
        <v/>
      </c>
      <c r="K1063">
        <f>IF(A1063="","",IFERROR(IF(B1063="",NA(),MATCH(B1063,Products!$B$5:$B$204,0)),IFERROR(MATCH(A1063,Products!$A$5:$A$204,0),"")))</f>
        <v/>
      </c>
      <c r="L1063">
        <f>IF(A1063="","",IF(K1063="","⚠ not in Products",INDEX(Products!$A$5:$A$204,K1063)))</f>
        <v/>
      </c>
      <c r="M1063" s="11">
        <f>IF(A1063="","",J1063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1063+IFERROR(INDEX(Settings!$D$5:$D$9,MATCH("Etsy",Settings!$A$5:$A$9,0)),0)*D1063)</f>
        <v/>
      </c>
      <c r="N1063" s="11">
        <f>IF(A1063="","",IF(K1063="",0,D1063*INDEX(Products!$I$5:$I$204,K1063)))</f>
        <v/>
      </c>
      <c r="O1063" s="11">
        <f>IF(A1063="","",IF(K1063="",0,J1063*INDEX(Products!$H$5:$H$204,K1063)))</f>
        <v/>
      </c>
      <c r="P1063" s="11">
        <f>IF(A1063="","",J1063-M1063-N1063-O1063)</f>
        <v/>
      </c>
    </row>
    <row r="1064">
      <c r="A1064">
        <f>IFERROR(INDEX('Etsy Import'!$A:$CZ,1064,Settings!$C$20)&amp;"","")</f>
        <v/>
      </c>
      <c r="B1064">
        <f>IFERROR(INDEX('Etsy Import'!$A:$CZ,1064,Settings!$C$21)&amp;"","")</f>
        <v/>
      </c>
      <c r="C1064">
        <f>IFERROR(INDEX('Etsy Import'!$A:$CZ,1064,Settings!$C$22)&amp;"","")</f>
        <v/>
      </c>
      <c r="D1064">
        <f>IF(A1064="","",IFERROR(VALUE(SUBSTITUTE(SUBSTITUTE(INDEX('Etsy Import'!$A:$CZ,1064,Settings!$C$23)&amp;"","$",""),",","")),0))</f>
        <v/>
      </c>
      <c r="E1064" s="11">
        <f>IF(A1064="","",IFERROR(VALUE(SUBSTITUTE(SUBSTITUTE(INDEX('Etsy Import'!$A:$CZ,1064,Settings!$C$24)&amp;"","$",""),",","")),0))</f>
        <v/>
      </c>
      <c r="F1064" s="11">
        <f>IF(A1064="","",D1064*E1064)</f>
        <v/>
      </c>
      <c r="G1064">
        <f>IF(A1064="","",IF(C1064="",1,COUNTIF($C$2:$C$1501,C1064)))</f>
        <v/>
      </c>
      <c r="H1064" s="11">
        <f>IF(A1064="","",IFERROR(VALUE(SUBSTITUTE(SUBSTITUTE(INDEX('Etsy Import'!$A:$CZ,1064,Settings!$C$25)&amp;"","$",""),",","")),0)/IF(Settings!$B$27="Yes",G1064,1))</f>
        <v/>
      </c>
      <c r="I1064" s="11">
        <f>IF(A1064="","",IFERROR(VALUE(SUBSTITUTE(SUBSTITUTE(INDEX('Etsy Import'!$A:$CZ,1064,Settings!$C$26)&amp;"","$",""),",","")),0)/IF(Settings!$B$27="Yes",G1064,1))</f>
        <v/>
      </c>
      <c r="J1064" s="11">
        <f>IF(A1064="","",F1064+H1064-I1064)</f>
        <v/>
      </c>
      <c r="K1064">
        <f>IF(A1064="","",IFERROR(IF(B1064="",NA(),MATCH(B1064,Products!$B$5:$B$204,0)),IFERROR(MATCH(A1064,Products!$A$5:$A$204,0),"")))</f>
        <v/>
      </c>
      <c r="L1064">
        <f>IF(A1064="","",IF(K1064="","⚠ not in Products",INDEX(Products!$A$5:$A$204,K1064)))</f>
        <v/>
      </c>
      <c r="M1064" s="11">
        <f>IF(A1064="","",J1064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1064+IFERROR(INDEX(Settings!$D$5:$D$9,MATCH("Etsy",Settings!$A$5:$A$9,0)),0)*D1064)</f>
        <v/>
      </c>
      <c r="N1064" s="11">
        <f>IF(A1064="","",IF(K1064="",0,D1064*INDEX(Products!$I$5:$I$204,K1064)))</f>
        <v/>
      </c>
      <c r="O1064" s="11">
        <f>IF(A1064="","",IF(K1064="",0,J1064*INDEX(Products!$H$5:$H$204,K1064)))</f>
        <v/>
      </c>
      <c r="P1064" s="11">
        <f>IF(A1064="","",J1064-M1064-N1064-O1064)</f>
        <v/>
      </c>
    </row>
    <row r="1065">
      <c r="A1065">
        <f>IFERROR(INDEX('Etsy Import'!$A:$CZ,1065,Settings!$C$20)&amp;"","")</f>
        <v/>
      </c>
      <c r="B1065">
        <f>IFERROR(INDEX('Etsy Import'!$A:$CZ,1065,Settings!$C$21)&amp;"","")</f>
        <v/>
      </c>
      <c r="C1065">
        <f>IFERROR(INDEX('Etsy Import'!$A:$CZ,1065,Settings!$C$22)&amp;"","")</f>
        <v/>
      </c>
      <c r="D1065">
        <f>IF(A1065="","",IFERROR(VALUE(SUBSTITUTE(SUBSTITUTE(INDEX('Etsy Import'!$A:$CZ,1065,Settings!$C$23)&amp;"","$",""),",","")),0))</f>
        <v/>
      </c>
      <c r="E1065" s="11">
        <f>IF(A1065="","",IFERROR(VALUE(SUBSTITUTE(SUBSTITUTE(INDEX('Etsy Import'!$A:$CZ,1065,Settings!$C$24)&amp;"","$",""),",","")),0))</f>
        <v/>
      </c>
      <c r="F1065" s="11">
        <f>IF(A1065="","",D1065*E1065)</f>
        <v/>
      </c>
      <c r="G1065">
        <f>IF(A1065="","",IF(C1065="",1,COUNTIF($C$2:$C$1501,C1065)))</f>
        <v/>
      </c>
      <c r="H1065" s="11">
        <f>IF(A1065="","",IFERROR(VALUE(SUBSTITUTE(SUBSTITUTE(INDEX('Etsy Import'!$A:$CZ,1065,Settings!$C$25)&amp;"","$",""),",","")),0)/IF(Settings!$B$27="Yes",G1065,1))</f>
        <v/>
      </c>
      <c r="I1065" s="11">
        <f>IF(A1065="","",IFERROR(VALUE(SUBSTITUTE(SUBSTITUTE(INDEX('Etsy Import'!$A:$CZ,1065,Settings!$C$26)&amp;"","$",""),",","")),0)/IF(Settings!$B$27="Yes",G1065,1))</f>
        <v/>
      </c>
      <c r="J1065" s="11">
        <f>IF(A1065="","",F1065+H1065-I1065)</f>
        <v/>
      </c>
      <c r="K1065">
        <f>IF(A1065="","",IFERROR(IF(B1065="",NA(),MATCH(B1065,Products!$B$5:$B$204,0)),IFERROR(MATCH(A1065,Products!$A$5:$A$204,0),"")))</f>
        <v/>
      </c>
      <c r="L1065">
        <f>IF(A1065="","",IF(K1065="","⚠ not in Products",INDEX(Products!$A$5:$A$204,K1065)))</f>
        <v/>
      </c>
      <c r="M1065" s="11">
        <f>IF(A1065="","",J1065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1065+IFERROR(INDEX(Settings!$D$5:$D$9,MATCH("Etsy",Settings!$A$5:$A$9,0)),0)*D1065)</f>
        <v/>
      </c>
      <c r="N1065" s="11">
        <f>IF(A1065="","",IF(K1065="",0,D1065*INDEX(Products!$I$5:$I$204,K1065)))</f>
        <v/>
      </c>
      <c r="O1065" s="11">
        <f>IF(A1065="","",IF(K1065="",0,J1065*INDEX(Products!$H$5:$H$204,K1065)))</f>
        <v/>
      </c>
      <c r="P1065" s="11">
        <f>IF(A1065="","",J1065-M1065-N1065-O1065)</f>
        <v/>
      </c>
    </row>
    <row r="1066">
      <c r="A1066">
        <f>IFERROR(INDEX('Etsy Import'!$A:$CZ,1066,Settings!$C$20)&amp;"","")</f>
        <v/>
      </c>
      <c r="B1066">
        <f>IFERROR(INDEX('Etsy Import'!$A:$CZ,1066,Settings!$C$21)&amp;"","")</f>
        <v/>
      </c>
      <c r="C1066">
        <f>IFERROR(INDEX('Etsy Import'!$A:$CZ,1066,Settings!$C$22)&amp;"","")</f>
        <v/>
      </c>
      <c r="D1066">
        <f>IF(A1066="","",IFERROR(VALUE(SUBSTITUTE(SUBSTITUTE(INDEX('Etsy Import'!$A:$CZ,1066,Settings!$C$23)&amp;"","$",""),",","")),0))</f>
        <v/>
      </c>
      <c r="E1066" s="11">
        <f>IF(A1066="","",IFERROR(VALUE(SUBSTITUTE(SUBSTITUTE(INDEX('Etsy Import'!$A:$CZ,1066,Settings!$C$24)&amp;"","$",""),",","")),0))</f>
        <v/>
      </c>
      <c r="F1066" s="11">
        <f>IF(A1066="","",D1066*E1066)</f>
        <v/>
      </c>
      <c r="G1066">
        <f>IF(A1066="","",IF(C1066="",1,COUNTIF($C$2:$C$1501,C1066)))</f>
        <v/>
      </c>
      <c r="H1066" s="11">
        <f>IF(A1066="","",IFERROR(VALUE(SUBSTITUTE(SUBSTITUTE(INDEX('Etsy Import'!$A:$CZ,1066,Settings!$C$25)&amp;"","$",""),",","")),0)/IF(Settings!$B$27="Yes",G1066,1))</f>
        <v/>
      </c>
      <c r="I1066" s="11">
        <f>IF(A1066="","",IFERROR(VALUE(SUBSTITUTE(SUBSTITUTE(INDEX('Etsy Import'!$A:$CZ,1066,Settings!$C$26)&amp;"","$",""),",","")),0)/IF(Settings!$B$27="Yes",G1066,1))</f>
        <v/>
      </c>
      <c r="J1066" s="11">
        <f>IF(A1066="","",F1066+H1066-I1066)</f>
        <v/>
      </c>
      <c r="K1066">
        <f>IF(A1066="","",IFERROR(IF(B1066="",NA(),MATCH(B1066,Products!$B$5:$B$204,0)),IFERROR(MATCH(A1066,Products!$A$5:$A$204,0),"")))</f>
        <v/>
      </c>
      <c r="L1066">
        <f>IF(A1066="","",IF(K1066="","⚠ not in Products",INDEX(Products!$A$5:$A$204,K1066)))</f>
        <v/>
      </c>
      <c r="M1066" s="11">
        <f>IF(A1066="","",J1066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1066+IFERROR(INDEX(Settings!$D$5:$D$9,MATCH("Etsy",Settings!$A$5:$A$9,0)),0)*D1066)</f>
        <v/>
      </c>
      <c r="N1066" s="11">
        <f>IF(A1066="","",IF(K1066="",0,D1066*INDEX(Products!$I$5:$I$204,K1066)))</f>
        <v/>
      </c>
      <c r="O1066" s="11">
        <f>IF(A1066="","",IF(K1066="",0,J1066*INDEX(Products!$H$5:$H$204,K1066)))</f>
        <v/>
      </c>
      <c r="P1066" s="11">
        <f>IF(A1066="","",J1066-M1066-N1066-O1066)</f>
        <v/>
      </c>
    </row>
    <row r="1067">
      <c r="A1067">
        <f>IFERROR(INDEX('Etsy Import'!$A:$CZ,1067,Settings!$C$20)&amp;"","")</f>
        <v/>
      </c>
      <c r="B1067">
        <f>IFERROR(INDEX('Etsy Import'!$A:$CZ,1067,Settings!$C$21)&amp;"","")</f>
        <v/>
      </c>
      <c r="C1067">
        <f>IFERROR(INDEX('Etsy Import'!$A:$CZ,1067,Settings!$C$22)&amp;"","")</f>
        <v/>
      </c>
      <c r="D1067">
        <f>IF(A1067="","",IFERROR(VALUE(SUBSTITUTE(SUBSTITUTE(INDEX('Etsy Import'!$A:$CZ,1067,Settings!$C$23)&amp;"","$",""),",","")),0))</f>
        <v/>
      </c>
      <c r="E1067" s="11">
        <f>IF(A1067="","",IFERROR(VALUE(SUBSTITUTE(SUBSTITUTE(INDEX('Etsy Import'!$A:$CZ,1067,Settings!$C$24)&amp;"","$",""),",","")),0))</f>
        <v/>
      </c>
      <c r="F1067" s="11">
        <f>IF(A1067="","",D1067*E1067)</f>
        <v/>
      </c>
      <c r="G1067">
        <f>IF(A1067="","",IF(C1067="",1,COUNTIF($C$2:$C$1501,C1067)))</f>
        <v/>
      </c>
      <c r="H1067" s="11">
        <f>IF(A1067="","",IFERROR(VALUE(SUBSTITUTE(SUBSTITUTE(INDEX('Etsy Import'!$A:$CZ,1067,Settings!$C$25)&amp;"","$",""),",","")),0)/IF(Settings!$B$27="Yes",G1067,1))</f>
        <v/>
      </c>
      <c r="I1067" s="11">
        <f>IF(A1067="","",IFERROR(VALUE(SUBSTITUTE(SUBSTITUTE(INDEX('Etsy Import'!$A:$CZ,1067,Settings!$C$26)&amp;"","$",""),",","")),0)/IF(Settings!$B$27="Yes",G1067,1))</f>
        <v/>
      </c>
      <c r="J1067" s="11">
        <f>IF(A1067="","",F1067+H1067-I1067)</f>
        <v/>
      </c>
      <c r="K1067">
        <f>IF(A1067="","",IFERROR(IF(B1067="",NA(),MATCH(B1067,Products!$B$5:$B$204,0)),IFERROR(MATCH(A1067,Products!$A$5:$A$204,0),"")))</f>
        <v/>
      </c>
      <c r="L1067">
        <f>IF(A1067="","",IF(K1067="","⚠ not in Products",INDEX(Products!$A$5:$A$204,K1067)))</f>
        <v/>
      </c>
      <c r="M1067" s="11">
        <f>IF(A1067="","",J1067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1067+IFERROR(INDEX(Settings!$D$5:$D$9,MATCH("Etsy",Settings!$A$5:$A$9,0)),0)*D1067)</f>
        <v/>
      </c>
      <c r="N1067" s="11">
        <f>IF(A1067="","",IF(K1067="",0,D1067*INDEX(Products!$I$5:$I$204,K1067)))</f>
        <v/>
      </c>
      <c r="O1067" s="11">
        <f>IF(A1067="","",IF(K1067="",0,J1067*INDEX(Products!$H$5:$H$204,K1067)))</f>
        <v/>
      </c>
      <c r="P1067" s="11">
        <f>IF(A1067="","",J1067-M1067-N1067-O1067)</f>
        <v/>
      </c>
    </row>
    <row r="1068">
      <c r="A1068">
        <f>IFERROR(INDEX('Etsy Import'!$A:$CZ,1068,Settings!$C$20)&amp;"","")</f>
        <v/>
      </c>
      <c r="B1068">
        <f>IFERROR(INDEX('Etsy Import'!$A:$CZ,1068,Settings!$C$21)&amp;"","")</f>
        <v/>
      </c>
      <c r="C1068">
        <f>IFERROR(INDEX('Etsy Import'!$A:$CZ,1068,Settings!$C$22)&amp;"","")</f>
        <v/>
      </c>
      <c r="D1068">
        <f>IF(A1068="","",IFERROR(VALUE(SUBSTITUTE(SUBSTITUTE(INDEX('Etsy Import'!$A:$CZ,1068,Settings!$C$23)&amp;"","$",""),",","")),0))</f>
        <v/>
      </c>
      <c r="E1068" s="11">
        <f>IF(A1068="","",IFERROR(VALUE(SUBSTITUTE(SUBSTITUTE(INDEX('Etsy Import'!$A:$CZ,1068,Settings!$C$24)&amp;"","$",""),",","")),0))</f>
        <v/>
      </c>
      <c r="F1068" s="11">
        <f>IF(A1068="","",D1068*E1068)</f>
        <v/>
      </c>
      <c r="G1068">
        <f>IF(A1068="","",IF(C1068="",1,COUNTIF($C$2:$C$1501,C1068)))</f>
        <v/>
      </c>
      <c r="H1068" s="11">
        <f>IF(A1068="","",IFERROR(VALUE(SUBSTITUTE(SUBSTITUTE(INDEX('Etsy Import'!$A:$CZ,1068,Settings!$C$25)&amp;"","$",""),",","")),0)/IF(Settings!$B$27="Yes",G1068,1))</f>
        <v/>
      </c>
      <c r="I1068" s="11">
        <f>IF(A1068="","",IFERROR(VALUE(SUBSTITUTE(SUBSTITUTE(INDEX('Etsy Import'!$A:$CZ,1068,Settings!$C$26)&amp;"","$",""),",","")),0)/IF(Settings!$B$27="Yes",G1068,1))</f>
        <v/>
      </c>
      <c r="J1068" s="11">
        <f>IF(A1068="","",F1068+H1068-I1068)</f>
        <v/>
      </c>
      <c r="K1068">
        <f>IF(A1068="","",IFERROR(IF(B1068="",NA(),MATCH(B1068,Products!$B$5:$B$204,0)),IFERROR(MATCH(A1068,Products!$A$5:$A$204,0),"")))</f>
        <v/>
      </c>
      <c r="L1068">
        <f>IF(A1068="","",IF(K1068="","⚠ not in Products",INDEX(Products!$A$5:$A$204,K1068)))</f>
        <v/>
      </c>
      <c r="M1068" s="11">
        <f>IF(A1068="","",J1068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1068+IFERROR(INDEX(Settings!$D$5:$D$9,MATCH("Etsy",Settings!$A$5:$A$9,0)),0)*D1068)</f>
        <v/>
      </c>
      <c r="N1068" s="11">
        <f>IF(A1068="","",IF(K1068="",0,D1068*INDEX(Products!$I$5:$I$204,K1068)))</f>
        <v/>
      </c>
      <c r="O1068" s="11">
        <f>IF(A1068="","",IF(K1068="",0,J1068*INDEX(Products!$H$5:$H$204,K1068)))</f>
        <v/>
      </c>
      <c r="P1068" s="11">
        <f>IF(A1068="","",J1068-M1068-N1068-O1068)</f>
        <v/>
      </c>
    </row>
    <row r="1069">
      <c r="A1069">
        <f>IFERROR(INDEX('Etsy Import'!$A:$CZ,1069,Settings!$C$20)&amp;"","")</f>
        <v/>
      </c>
      <c r="B1069">
        <f>IFERROR(INDEX('Etsy Import'!$A:$CZ,1069,Settings!$C$21)&amp;"","")</f>
        <v/>
      </c>
      <c r="C1069">
        <f>IFERROR(INDEX('Etsy Import'!$A:$CZ,1069,Settings!$C$22)&amp;"","")</f>
        <v/>
      </c>
      <c r="D1069">
        <f>IF(A1069="","",IFERROR(VALUE(SUBSTITUTE(SUBSTITUTE(INDEX('Etsy Import'!$A:$CZ,1069,Settings!$C$23)&amp;"","$",""),",","")),0))</f>
        <v/>
      </c>
      <c r="E1069" s="11">
        <f>IF(A1069="","",IFERROR(VALUE(SUBSTITUTE(SUBSTITUTE(INDEX('Etsy Import'!$A:$CZ,1069,Settings!$C$24)&amp;"","$",""),",","")),0))</f>
        <v/>
      </c>
      <c r="F1069" s="11">
        <f>IF(A1069="","",D1069*E1069)</f>
        <v/>
      </c>
      <c r="G1069">
        <f>IF(A1069="","",IF(C1069="",1,COUNTIF($C$2:$C$1501,C1069)))</f>
        <v/>
      </c>
      <c r="H1069" s="11">
        <f>IF(A1069="","",IFERROR(VALUE(SUBSTITUTE(SUBSTITUTE(INDEX('Etsy Import'!$A:$CZ,1069,Settings!$C$25)&amp;"","$",""),",","")),0)/IF(Settings!$B$27="Yes",G1069,1))</f>
        <v/>
      </c>
      <c r="I1069" s="11">
        <f>IF(A1069="","",IFERROR(VALUE(SUBSTITUTE(SUBSTITUTE(INDEX('Etsy Import'!$A:$CZ,1069,Settings!$C$26)&amp;"","$",""),",","")),0)/IF(Settings!$B$27="Yes",G1069,1))</f>
        <v/>
      </c>
      <c r="J1069" s="11">
        <f>IF(A1069="","",F1069+H1069-I1069)</f>
        <v/>
      </c>
      <c r="K1069">
        <f>IF(A1069="","",IFERROR(IF(B1069="",NA(),MATCH(B1069,Products!$B$5:$B$204,0)),IFERROR(MATCH(A1069,Products!$A$5:$A$204,0),"")))</f>
        <v/>
      </c>
      <c r="L1069">
        <f>IF(A1069="","",IF(K1069="","⚠ not in Products",INDEX(Products!$A$5:$A$204,K1069)))</f>
        <v/>
      </c>
      <c r="M1069" s="11">
        <f>IF(A1069="","",J1069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1069+IFERROR(INDEX(Settings!$D$5:$D$9,MATCH("Etsy",Settings!$A$5:$A$9,0)),0)*D1069)</f>
        <v/>
      </c>
      <c r="N1069" s="11">
        <f>IF(A1069="","",IF(K1069="",0,D1069*INDEX(Products!$I$5:$I$204,K1069)))</f>
        <v/>
      </c>
      <c r="O1069" s="11">
        <f>IF(A1069="","",IF(K1069="",0,J1069*INDEX(Products!$H$5:$H$204,K1069)))</f>
        <v/>
      </c>
      <c r="P1069" s="11">
        <f>IF(A1069="","",J1069-M1069-N1069-O1069)</f>
        <v/>
      </c>
    </row>
    <row r="1070">
      <c r="A1070">
        <f>IFERROR(INDEX('Etsy Import'!$A:$CZ,1070,Settings!$C$20)&amp;"","")</f>
        <v/>
      </c>
      <c r="B1070">
        <f>IFERROR(INDEX('Etsy Import'!$A:$CZ,1070,Settings!$C$21)&amp;"","")</f>
        <v/>
      </c>
      <c r="C1070">
        <f>IFERROR(INDEX('Etsy Import'!$A:$CZ,1070,Settings!$C$22)&amp;"","")</f>
        <v/>
      </c>
      <c r="D1070">
        <f>IF(A1070="","",IFERROR(VALUE(SUBSTITUTE(SUBSTITUTE(INDEX('Etsy Import'!$A:$CZ,1070,Settings!$C$23)&amp;"","$",""),",","")),0))</f>
        <v/>
      </c>
      <c r="E1070" s="11">
        <f>IF(A1070="","",IFERROR(VALUE(SUBSTITUTE(SUBSTITUTE(INDEX('Etsy Import'!$A:$CZ,1070,Settings!$C$24)&amp;"","$",""),",","")),0))</f>
        <v/>
      </c>
      <c r="F1070" s="11">
        <f>IF(A1070="","",D1070*E1070)</f>
        <v/>
      </c>
      <c r="G1070">
        <f>IF(A1070="","",IF(C1070="",1,COUNTIF($C$2:$C$1501,C1070)))</f>
        <v/>
      </c>
      <c r="H1070" s="11">
        <f>IF(A1070="","",IFERROR(VALUE(SUBSTITUTE(SUBSTITUTE(INDEX('Etsy Import'!$A:$CZ,1070,Settings!$C$25)&amp;"","$",""),",","")),0)/IF(Settings!$B$27="Yes",G1070,1))</f>
        <v/>
      </c>
      <c r="I1070" s="11">
        <f>IF(A1070="","",IFERROR(VALUE(SUBSTITUTE(SUBSTITUTE(INDEX('Etsy Import'!$A:$CZ,1070,Settings!$C$26)&amp;"","$",""),",","")),0)/IF(Settings!$B$27="Yes",G1070,1))</f>
        <v/>
      </c>
      <c r="J1070" s="11">
        <f>IF(A1070="","",F1070+H1070-I1070)</f>
        <v/>
      </c>
      <c r="K1070">
        <f>IF(A1070="","",IFERROR(IF(B1070="",NA(),MATCH(B1070,Products!$B$5:$B$204,0)),IFERROR(MATCH(A1070,Products!$A$5:$A$204,0),"")))</f>
        <v/>
      </c>
      <c r="L1070">
        <f>IF(A1070="","",IF(K1070="","⚠ not in Products",INDEX(Products!$A$5:$A$204,K1070)))</f>
        <v/>
      </c>
      <c r="M1070" s="11">
        <f>IF(A1070="","",J1070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1070+IFERROR(INDEX(Settings!$D$5:$D$9,MATCH("Etsy",Settings!$A$5:$A$9,0)),0)*D1070)</f>
        <v/>
      </c>
      <c r="N1070" s="11">
        <f>IF(A1070="","",IF(K1070="",0,D1070*INDEX(Products!$I$5:$I$204,K1070)))</f>
        <v/>
      </c>
      <c r="O1070" s="11">
        <f>IF(A1070="","",IF(K1070="",0,J1070*INDEX(Products!$H$5:$H$204,K1070)))</f>
        <v/>
      </c>
      <c r="P1070" s="11">
        <f>IF(A1070="","",J1070-M1070-N1070-O1070)</f>
        <v/>
      </c>
    </row>
    <row r="1071">
      <c r="A1071">
        <f>IFERROR(INDEX('Etsy Import'!$A:$CZ,1071,Settings!$C$20)&amp;"","")</f>
        <v/>
      </c>
      <c r="B1071">
        <f>IFERROR(INDEX('Etsy Import'!$A:$CZ,1071,Settings!$C$21)&amp;"","")</f>
        <v/>
      </c>
      <c r="C1071">
        <f>IFERROR(INDEX('Etsy Import'!$A:$CZ,1071,Settings!$C$22)&amp;"","")</f>
        <v/>
      </c>
      <c r="D1071">
        <f>IF(A1071="","",IFERROR(VALUE(SUBSTITUTE(SUBSTITUTE(INDEX('Etsy Import'!$A:$CZ,1071,Settings!$C$23)&amp;"","$",""),",","")),0))</f>
        <v/>
      </c>
      <c r="E1071" s="11">
        <f>IF(A1071="","",IFERROR(VALUE(SUBSTITUTE(SUBSTITUTE(INDEX('Etsy Import'!$A:$CZ,1071,Settings!$C$24)&amp;"","$",""),",","")),0))</f>
        <v/>
      </c>
      <c r="F1071" s="11">
        <f>IF(A1071="","",D1071*E1071)</f>
        <v/>
      </c>
      <c r="G1071">
        <f>IF(A1071="","",IF(C1071="",1,COUNTIF($C$2:$C$1501,C1071)))</f>
        <v/>
      </c>
      <c r="H1071" s="11">
        <f>IF(A1071="","",IFERROR(VALUE(SUBSTITUTE(SUBSTITUTE(INDEX('Etsy Import'!$A:$CZ,1071,Settings!$C$25)&amp;"","$",""),",","")),0)/IF(Settings!$B$27="Yes",G1071,1))</f>
        <v/>
      </c>
      <c r="I1071" s="11">
        <f>IF(A1071="","",IFERROR(VALUE(SUBSTITUTE(SUBSTITUTE(INDEX('Etsy Import'!$A:$CZ,1071,Settings!$C$26)&amp;"","$",""),",","")),0)/IF(Settings!$B$27="Yes",G1071,1))</f>
        <v/>
      </c>
      <c r="J1071" s="11">
        <f>IF(A1071="","",F1071+H1071-I1071)</f>
        <v/>
      </c>
      <c r="K1071">
        <f>IF(A1071="","",IFERROR(IF(B1071="",NA(),MATCH(B1071,Products!$B$5:$B$204,0)),IFERROR(MATCH(A1071,Products!$A$5:$A$204,0),"")))</f>
        <v/>
      </c>
      <c r="L1071">
        <f>IF(A1071="","",IF(K1071="","⚠ not in Products",INDEX(Products!$A$5:$A$204,K1071)))</f>
        <v/>
      </c>
      <c r="M1071" s="11">
        <f>IF(A1071="","",J1071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1071+IFERROR(INDEX(Settings!$D$5:$D$9,MATCH("Etsy",Settings!$A$5:$A$9,0)),0)*D1071)</f>
        <v/>
      </c>
      <c r="N1071" s="11">
        <f>IF(A1071="","",IF(K1071="",0,D1071*INDEX(Products!$I$5:$I$204,K1071)))</f>
        <v/>
      </c>
      <c r="O1071" s="11">
        <f>IF(A1071="","",IF(K1071="",0,J1071*INDEX(Products!$H$5:$H$204,K1071)))</f>
        <v/>
      </c>
      <c r="P1071" s="11">
        <f>IF(A1071="","",J1071-M1071-N1071-O1071)</f>
        <v/>
      </c>
    </row>
    <row r="1072">
      <c r="A1072">
        <f>IFERROR(INDEX('Etsy Import'!$A:$CZ,1072,Settings!$C$20)&amp;"","")</f>
        <v/>
      </c>
      <c r="B1072">
        <f>IFERROR(INDEX('Etsy Import'!$A:$CZ,1072,Settings!$C$21)&amp;"","")</f>
        <v/>
      </c>
      <c r="C1072">
        <f>IFERROR(INDEX('Etsy Import'!$A:$CZ,1072,Settings!$C$22)&amp;"","")</f>
        <v/>
      </c>
      <c r="D1072">
        <f>IF(A1072="","",IFERROR(VALUE(SUBSTITUTE(SUBSTITUTE(INDEX('Etsy Import'!$A:$CZ,1072,Settings!$C$23)&amp;"","$",""),",","")),0))</f>
        <v/>
      </c>
      <c r="E1072" s="11">
        <f>IF(A1072="","",IFERROR(VALUE(SUBSTITUTE(SUBSTITUTE(INDEX('Etsy Import'!$A:$CZ,1072,Settings!$C$24)&amp;"","$",""),",","")),0))</f>
        <v/>
      </c>
      <c r="F1072" s="11">
        <f>IF(A1072="","",D1072*E1072)</f>
        <v/>
      </c>
      <c r="G1072">
        <f>IF(A1072="","",IF(C1072="",1,COUNTIF($C$2:$C$1501,C1072)))</f>
        <v/>
      </c>
      <c r="H1072" s="11">
        <f>IF(A1072="","",IFERROR(VALUE(SUBSTITUTE(SUBSTITUTE(INDEX('Etsy Import'!$A:$CZ,1072,Settings!$C$25)&amp;"","$",""),",","")),0)/IF(Settings!$B$27="Yes",G1072,1))</f>
        <v/>
      </c>
      <c r="I1072" s="11">
        <f>IF(A1072="","",IFERROR(VALUE(SUBSTITUTE(SUBSTITUTE(INDEX('Etsy Import'!$A:$CZ,1072,Settings!$C$26)&amp;"","$",""),",","")),0)/IF(Settings!$B$27="Yes",G1072,1))</f>
        <v/>
      </c>
      <c r="J1072" s="11">
        <f>IF(A1072="","",F1072+H1072-I1072)</f>
        <v/>
      </c>
      <c r="K1072">
        <f>IF(A1072="","",IFERROR(IF(B1072="",NA(),MATCH(B1072,Products!$B$5:$B$204,0)),IFERROR(MATCH(A1072,Products!$A$5:$A$204,0),"")))</f>
        <v/>
      </c>
      <c r="L1072">
        <f>IF(A1072="","",IF(K1072="","⚠ not in Products",INDEX(Products!$A$5:$A$204,K1072)))</f>
        <v/>
      </c>
      <c r="M1072" s="11">
        <f>IF(A1072="","",J1072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1072+IFERROR(INDEX(Settings!$D$5:$D$9,MATCH("Etsy",Settings!$A$5:$A$9,0)),0)*D1072)</f>
        <v/>
      </c>
      <c r="N1072" s="11">
        <f>IF(A1072="","",IF(K1072="",0,D1072*INDEX(Products!$I$5:$I$204,K1072)))</f>
        <v/>
      </c>
      <c r="O1072" s="11">
        <f>IF(A1072="","",IF(K1072="",0,J1072*INDEX(Products!$H$5:$H$204,K1072)))</f>
        <v/>
      </c>
      <c r="P1072" s="11">
        <f>IF(A1072="","",J1072-M1072-N1072-O1072)</f>
        <v/>
      </c>
    </row>
    <row r="1073">
      <c r="A1073">
        <f>IFERROR(INDEX('Etsy Import'!$A:$CZ,1073,Settings!$C$20)&amp;"","")</f>
        <v/>
      </c>
      <c r="B1073">
        <f>IFERROR(INDEX('Etsy Import'!$A:$CZ,1073,Settings!$C$21)&amp;"","")</f>
        <v/>
      </c>
      <c r="C1073">
        <f>IFERROR(INDEX('Etsy Import'!$A:$CZ,1073,Settings!$C$22)&amp;"","")</f>
        <v/>
      </c>
      <c r="D1073">
        <f>IF(A1073="","",IFERROR(VALUE(SUBSTITUTE(SUBSTITUTE(INDEX('Etsy Import'!$A:$CZ,1073,Settings!$C$23)&amp;"","$",""),",","")),0))</f>
        <v/>
      </c>
      <c r="E1073" s="11">
        <f>IF(A1073="","",IFERROR(VALUE(SUBSTITUTE(SUBSTITUTE(INDEX('Etsy Import'!$A:$CZ,1073,Settings!$C$24)&amp;"","$",""),",","")),0))</f>
        <v/>
      </c>
      <c r="F1073" s="11">
        <f>IF(A1073="","",D1073*E1073)</f>
        <v/>
      </c>
      <c r="G1073">
        <f>IF(A1073="","",IF(C1073="",1,COUNTIF($C$2:$C$1501,C1073)))</f>
        <v/>
      </c>
      <c r="H1073" s="11">
        <f>IF(A1073="","",IFERROR(VALUE(SUBSTITUTE(SUBSTITUTE(INDEX('Etsy Import'!$A:$CZ,1073,Settings!$C$25)&amp;"","$",""),",","")),0)/IF(Settings!$B$27="Yes",G1073,1))</f>
        <v/>
      </c>
      <c r="I1073" s="11">
        <f>IF(A1073="","",IFERROR(VALUE(SUBSTITUTE(SUBSTITUTE(INDEX('Etsy Import'!$A:$CZ,1073,Settings!$C$26)&amp;"","$",""),",","")),0)/IF(Settings!$B$27="Yes",G1073,1))</f>
        <v/>
      </c>
      <c r="J1073" s="11">
        <f>IF(A1073="","",F1073+H1073-I1073)</f>
        <v/>
      </c>
      <c r="K1073">
        <f>IF(A1073="","",IFERROR(IF(B1073="",NA(),MATCH(B1073,Products!$B$5:$B$204,0)),IFERROR(MATCH(A1073,Products!$A$5:$A$204,0),"")))</f>
        <v/>
      </c>
      <c r="L1073">
        <f>IF(A1073="","",IF(K1073="","⚠ not in Products",INDEX(Products!$A$5:$A$204,K1073)))</f>
        <v/>
      </c>
      <c r="M1073" s="11">
        <f>IF(A1073="","",J1073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1073+IFERROR(INDEX(Settings!$D$5:$D$9,MATCH("Etsy",Settings!$A$5:$A$9,0)),0)*D1073)</f>
        <v/>
      </c>
      <c r="N1073" s="11">
        <f>IF(A1073="","",IF(K1073="",0,D1073*INDEX(Products!$I$5:$I$204,K1073)))</f>
        <v/>
      </c>
      <c r="O1073" s="11">
        <f>IF(A1073="","",IF(K1073="",0,J1073*INDEX(Products!$H$5:$H$204,K1073)))</f>
        <v/>
      </c>
      <c r="P1073" s="11">
        <f>IF(A1073="","",J1073-M1073-N1073-O1073)</f>
        <v/>
      </c>
    </row>
    <row r="1074">
      <c r="A1074">
        <f>IFERROR(INDEX('Etsy Import'!$A:$CZ,1074,Settings!$C$20)&amp;"","")</f>
        <v/>
      </c>
      <c r="B1074">
        <f>IFERROR(INDEX('Etsy Import'!$A:$CZ,1074,Settings!$C$21)&amp;"","")</f>
        <v/>
      </c>
      <c r="C1074">
        <f>IFERROR(INDEX('Etsy Import'!$A:$CZ,1074,Settings!$C$22)&amp;"","")</f>
        <v/>
      </c>
      <c r="D1074">
        <f>IF(A1074="","",IFERROR(VALUE(SUBSTITUTE(SUBSTITUTE(INDEX('Etsy Import'!$A:$CZ,1074,Settings!$C$23)&amp;"","$",""),",","")),0))</f>
        <v/>
      </c>
      <c r="E1074" s="11">
        <f>IF(A1074="","",IFERROR(VALUE(SUBSTITUTE(SUBSTITUTE(INDEX('Etsy Import'!$A:$CZ,1074,Settings!$C$24)&amp;"","$",""),",","")),0))</f>
        <v/>
      </c>
      <c r="F1074" s="11">
        <f>IF(A1074="","",D1074*E1074)</f>
        <v/>
      </c>
      <c r="G1074">
        <f>IF(A1074="","",IF(C1074="",1,COUNTIF($C$2:$C$1501,C1074)))</f>
        <v/>
      </c>
      <c r="H1074" s="11">
        <f>IF(A1074="","",IFERROR(VALUE(SUBSTITUTE(SUBSTITUTE(INDEX('Etsy Import'!$A:$CZ,1074,Settings!$C$25)&amp;"","$",""),",","")),0)/IF(Settings!$B$27="Yes",G1074,1))</f>
        <v/>
      </c>
      <c r="I1074" s="11">
        <f>IF(A1074="","",IFERROR(VALUE(SUBSTITUTE(SUBSTITUTE(INDEX('Etsy Import'!$A:$CZ,1074,Settings!$C$26)&amp;"","$",""),",","")),0)/IF(Settings!$B$27="Yes",G1074,1))</f>
        <v/>
      </c>
      <c r="J1074" s="11">
        <f>IF(A1074="","",F1074+H1074-I1074)</f>
        <v/>
      </c>
      <c r="K1074">
        <f>IF(A1074="","",IFERROR(IF(B1074="",NA(),MATCH(B1074,Products!$B$5:$B$204,0)),IFERROR(MATCH(A1074,Products!$A$5:$A$204,0),"")))</f>
        <v/>
      </c>
      <c r="L1074">
        <f>IF(A1074="","",IF(K1074="","⚠ not in Products",INDEX(Products!$A$5:$A$204,K1074)))</f>
        <v/>
      </c>
      <c r="M1074" s="11">
        <f>IF(A1074="","",J1074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1074+IFERROR(INDEX(Settings!$D$5:$D$9,MATCH("Etsy",Settings!$A$5:$A$9,0)),0)*D1074)</f>
        <v/>
      </c>
      <c r="N1074" s="11">
        <f>IF(A1074="","",IF(K1074="",0,D1074*INDEX(Products!$I$5:$I$204,K1074)))</f>
        <v/>
      </c>
      <c r="O1074" s="11">
        <f>IF(A1074="","",IF(K1074="",0,J1074*INDEX(Products!$H$5:$H$204,K1074)))</f>
        <v/>
      </c>
      <c r="P1074" s="11">
        <f>IF(A1074="","",J1074-M1074-N1074-O1074)</f>
        <v/>
      </c>
    </row>
    <row r="1075">
      <c r="A1075">
        <f>IFERROR(INDEX('Etsy Import'!$A:$CZ,1075,Settings!$C$20)&amp;"","")</f>
        <v/>
      </c>
      <c r="B1075">
        <f>IFERROR(INDEX('Etsy Import'!$A:$CZ,1075,Settings!$C$21)&amp;"","")</f>
        <v/>
      </c>
      <c r="C1075">
        <f>IFERROR(INDEX('Etsy Import'!$A:$CZ,1075,Settings!$C$22)&amp;"","")</f>
        <v/>
      </c>
      <c r="D1075">
        <f>IF(A1075="","",IFERROR(VALUE(SUBSTITUTE(SUBSTITUTE(INDEX('Etsy Import'!$A:$CZ,1075,Settings!$C$23)&amp;"","$",""),",","")),0))</f>
        <v/>
      </c>
      <c r="E1075" s="11">
        <f>IF(A1075="","",IFERROR(VALUE(SUBSTITUTE(SUBSTITUTE(INDEX('Etsy Import'!$A:$CZ,1075,Settings!$C$24)&amp;"","$",""),",","")),0))</f>
        <v/>
      </c>
      <c r="F1075" s="11">
        <f>IF(A1075="","",D1075*E1075)</f>
        <v/>
      </c>
      <c r="G1075">
        <f>IF(A1075="","",IF(C1075="",1,COUNTIF($C$2:$C$1501,C1075)))</f>
        <v/>
      </c>
      <c r="H1075" s="11">
        <f>IF(A1075="","",IFERROR(VALUE(SUBSTITUTE(SUBSTITUTE(INDEX('Etsy Import'!$A:$CZ,1075,Settings!$C$25)&amp;"","$",""),",","")),0)/IF(Settings!$B$27="Yes",G1075,1))</f>
        <v/>
      </c>
      <c r="I1075" s="11">
        <f>IF(A1075="","",IFERROR(VALUE(SUBSTITUTE(SUBSTITUTE(INDEX('Etsy Import'!$A:$CZ,1075,Settings!$C$26)&amp;"","$",""),",","")),0)/IF(Settings!$B$27="Yes",G1075,1))</f>
        <v/>
      </c>
      <c r="J1075" s="11">
        <f>IF(A1075="","",F1075+H1075-I1075)</f>
        <v/>
      </c>
      <c r="K1075">
        <f>IF(A1075="","",IFERROR(IF(B1075="",NA(),MATCH(B1075,Products!$B$5:$B$204,0)),IFERROR(MATCH(A1075,Products!$A$5:$A$204,0),"")))</f>
        <v/>
      </c>
      <c r="L1075">
        <f>IF(A1075="","",IF(K1075="","⚠ not in Products",INDEX(Products!$A$5:$A$204,K1075)))</f>
        <v/>
      </c>
      <c r="M1075" s="11">
        <f>IF(A1075="","",J1075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1075+IFERROR(INDEX(Settings!$D$5:$D$9,MATCH("Etsy",Settings!$A$5:$A$9,0)),0)*D1075)</f>
        <v/>
      </c>
      <c r="N1075" s="11">
        <f>IF(A1075="","",IF(K1075="",0,D1075*INDEX(Products!$I$5:$I$204,K1075)))</f>
        <v/>
      </c>
      <c r="O1075" s="11">
        <f>IF(A1075="","",IF(K1075="",0,J1075*INDEX(Products!$H$5:$H$204,K1075)))</f>
        <v/>
      </c>
      <c r="P1075" s="11">
        <f>IF(A1075="","",J1075-M1075-N1075-O1075)</f>
        <v/>
      </c>
    </row>
    <row r="1076">
      <c r="A1076">
        <f>IFERROR(INDEX('Etsy Import'!$A:$CZ,1076,Settings!$C$20)&amp;"","")</f>
        <v/>
      </c>
      <c r="B1076">
        <f>IFERROR(INDEX('Etsy Import'!$A:$CZ,1076,Settings!$C$21)&amp;"","")</f>
        <v/>
      </c>
      <c r="C1076">
        <f>IFERROR(INDEX('Etsy Import'!$A:$CZ,1076,Settings!$C$22)&amp;"","")</f>
        <v/>
      </c>
      <c r="D1076">
        <f>IF(A1076="","",IFERROR(VALUE(SUBSTITUTE(SUBSTITUTE(INDEX('Etsy Import'!$A:$CZ,1076,Settings!$C$23)&amp;"","$",""),",","")),0))</f>
        <v/>
      </c>
      <c r="E1076" s="11">
        <f>IF(A1076="","",IFERROR(VALUE(SUBSTITUTE(SUBSTITUTE(INDEX('Etsy Import'!$A:$CZ,1076,Settings!$C$24)&amp;"","$",""),",","")),0))</f>
        <v/>
      </c>
      <c r="F1076" s="11">
        <f>IF(A1076="","",D1076*E1076)</f>
        <v/>
      </c>
      <c r="G1076">
        <f>IF(A1076="","",IF(C1076="",1,COUNTIF($C$2:$C$1501,C1076)))</f>
        <v/>
      </c>
      <c r="H1076" s="11">
        <f>IF(A1076="","",IFERROR(VALUE(SUBSTITUTE(SUBSTITUTE(INDEX('Etsy Import'!$A:$CZ,1076,Settings!$C$25)&amp;"","$",""),",","")),0)/IF(Settings!$B$27="Yes",G1076,1))</f>
        <v/>
      </c>
      <c r="I1076" s="11">
        <f>IF(A1076="","",IFERROR(VALUE(SUBSTITUTE(SUBSTITUTE(INDEX('Etsy Import'!$A:$CZ,1076,Settings!$C$26)&amp;"","$",""),",","")),0)/IF(Settings!$B$27="Yes",G1076,1))</f>
        <v/>
      </c>
      <c r="J1076" s="11">
        <f>IF(A1076="","",F1076+H1076-I1076)</f>
        <v/>
      </c>
      <c r="K1076">
        <f>IF(A1076="","",IFERROR(IF(B1076="",NA(),MATCH(B1076,Products!$B$5:$B$204,0)),IFERROR(MATCH(A1076,Products!$A$5:$A$204,0),"")))</f>
        <v/>
      </c>
      <c r="L1076">
        <f>IF(A1076="","",IF(K1076="","⚠ not in Products",INDEX(Products!$A$5:$A$204,K1076)))</f>
        <v/>
      </c>
      <c r="M1076" s="11">
        <f>IF(A1076="","",J1076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1076+IFERROR(INDEX(Settings!$D$5:$D$9,MATCH("Etsy",Settings!$A$5:$A$9,0)),0)*D1076)</f>
        <v/>
      </c>
      <c r="N1076" s="11">
        <f>IF(A1076="","",IF(K1076="",0,D1076*INDEX(Products!$I$5:$I$204,K1076)))</f>
        <v/>
      </c>
      <c r="O1076" s="11">
        <f>IF(A1076="","",IF(K1076="",0,J1076*INDEX(Products!$H$5:$H$204,K1076)))</f>
        <v/>
      </c>
      <c r="P1076" s="11">
        <f>IF(A1076="","",J1076-M1076-N1076-O1076)</f>
        <v/>
      </c>
    </row>
    <row r="1077">
      <c r="A1077">
        <f>IFERROR(INDEX('Etsy Import'!$A:$CZ,1077,Settings!$C$20)&amp;"","")</f>
        <v/>
      </c>
      <c r="B1077">
        <f>IFERROR(INDEX('Etsy Import'!$A:$CZ,1077,Settings!$C$21)&amp;"","")</f>
        <v/>
      </c>
      <c r="C1077">
        <f>IFERROR(INDEX('Etsy Import'!$A:$CZ,1077,Settings!$C$22)&amp;"","")</f>
        <v/>
      </c>
      <c r="D1077">
        <f>IF(A1077="","",IFERROR(VALUE(SUBSTITUTE(SUBSTITUTE(INDEX('Etsy Import'!$A:$CZ,1077,Settings!$C$23)&amp;"","$",""),",","")),0))</f>
        <v/>
      </c>
      <c r="E1077" s="11">
        <f>IF(A1077="","",IFERROR(VALUE(SUBSTITUTE(SUBSTITUTE(INDEX('Etsy Import'!$A:$CZ,1077,Settings!$C$24)&amp;"","$",""),",","")),0))</f>
        <v/>
      </c>
      <c r="F1077" s="11">
        <f>IF(A1077="","",D1077*E1077)</f>
        <v/>
      </c>
      <c r="G1077">
        <f>IF(A1077="","",IF(C1077="",1,COUNTIF($C$2:$C$1501,C1077)))</f>
        <v/>
      </c>
      <c r="H1077" s="11">
        <f>IF(A1077="","",IFERROR(VALUE(SUBSTITUTE(SUBSTITUTE(INDEX('Etsy Import'!$A:$CZ,1077,Settings!$C$25)&amp;"","$",""),",","")),0)/IF(Settings!$B$27="Yes",G1077,1))</f>
        <v/>
      </c>
      <c r="I1077" s="11">
        <f>IF(A1077="","",IFERROR(VALUE(SUBSTITUTE(SUBSTITUTE(INDEX('Etsy Import'!$A:$CZ,1077,Settings!$C$26)&amp;"","$",""),",","")),0)/IF(Settings!$B$27="Yes",G1077,1))</f>
        <v/>
      </c>
      <c r="J1077" s="11">
        <f>IF(A1077="","",F1077+H1077-I1077)</f>
        <v/>
      </c>
      <c r="K1077">
        <f>IF(A1077="","",IFERROR(IF(B1077="",NA(),MATCH(B1077,Products!$B$5:$B$204,0)),IFERROR(MATCH(A1077,Products!$A$5:$A$204,0),"")))</f>
        <v/>
      </c>
      <c r="L1077">
        <f>IF(A1077="","",IF(K1077="","⚠ not in Products",INDEX(Products!$A$5:$A$204,K1077)))</f>
        <v/>
      </c>
      <c r="M1077" s="11">
        <f>IF(A1077="","",J1077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1077+IFERROR(INDEX(Settings!$D$5:$D$9,MATCH("Etsy",Settings!$A$5:$A$9,0)),0)*D1077)</f>
        <v/>
      </c>
      <c r="N1077" s="11">
        <f>IF(A1077="","",IF(K1077="",0,D1077*INDEX(Products!$I$5:$I$204,K1077)))</f>
        <v/>
      </c>
      <c r="O1077" s="11">
        <f>IF(A1077="","",IF(K1077="",0,J1077*INDEX(Products!$H$5:$H$204,K1077)))</f>
        <v/>
      </c>
      <c r="P1077" s="11">
        <f>IF(A1077="","",J1077-M1077-N1077-O1077)</f>
        <v/>
      </c>
    </row>
    <row r="1078">
      <c r="A1078">
        <f>IFERROR(INDEX('Etsy Import'!$A:$CZ,1078,Settings!$C$20)&amp;"","")</f>
        <v/>
      </c>
      <c r="B1078">
        <f>IFERROR(INDEX('Etsy Import'!$A:$CZ,1078,Settings!$C$21)&amp;"","")</f>
        <v/>
      </c>
      <c r="C1078">
        <f>IFERROR(INDEX('Etsy Import'!$A:$CZ,1078,Settings!$C$22)&amp;"","")</f>
        <v/>
      </c>
      <c r="D1078">
        <f>IF(A1078="","",IFERROR(VALUE(SUBSTITUTE(SUBSTITUTE(INDEX('Etsy Import'!$A:$CZ,1078,Settings!$C$23)&amp;"","$",""),",","")),0))</f>
        <v/>
      </c>
      <c r="E1078" s="11">
        <f>IF(A1078="","",IFERROR(VALUE(SUBSTITUTE(SUBSTITUTE(INDEX('Etsy Import'!$A:$CZ,1078,Settings!$C$24)&amp;"","$",""),",","")),0))</f>
        <v/>
      </c>
      <c r="F1078" s="11">
        <f>IF(A1078="","",D1078*E1078)</f>
        <v/>
      </c>
      <c r="G1078">
        <f>IF(A1078="","",IF(C1078="",1,COUNTIF($C$2:$C$1501,C1078)))</f>
        <v/>
      </c>
      <c r="H1078" s="11">
        <f>IF(A1078="","",IFERROR(VALUE(SUBSTITUTE(SUBSTITUTE(INDEX('Etsy Import'!$A:$CZ,1078,Settings!$C$25)&amp;"","$",""),",","")),0)/IF(Settings!$B$27="Yes",G1078,1))</f>
        <v/>
      </c>
      <c r="I1078" s="11">
        <f>IF(A1078="","",IFERROR(VALUE(SUBSTITUTE(SUBSTITUTE(INDEX('Etsy Import'!$A:$CZ,1078,Settings!$C$26)&amp;"","$",""),",","")),0)/IF(Settings!$B$27="Yes",G1078,1))</f>
        <v/>
      </c>
      <c r="J1078" s="11">
        <f>IF(A1078="","",F1078+H1078-I1078)</f>
        <v/>
      </c>
      <c r="K1078">
        <f>IF(A1078="","",IFERROR(IF(B1078="",NA(),MATCH(B1078,Products!$B$5:$B$204,0)),IFERROR(MATCH(A1078,Products!$A$5:$A$204,0),"")))</f>
        <v/>
      </c>
      <c r="L1078">
        <f>IF(A1078="","",IF(K1078="","⚠ not in Products",INDEX(Products!$A$5:$A$204,K1078)))</f>
        <v/>
      </c>
      <c r="M1078" s="11">
        <f>IF(A1078="","",J1078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1078+IFERROR(INDEX(Settings!$D$5:$D$9,MATCH("Etsy",Settings!$A$5:$A$9,0)),0)*D1078)</f>
        <v/>
      </c>
      <c r="N1078" s="11">
        <f>IF(A1078="","",IF(K1078="",0,D1078*INDEX(Products!$I$5:$I$204,K1078)))</f>
        <v/>
      </c>
      <c r="O1078" s="11">
        <f>IF(A1078="","",IF(K1078="",0,J1078*INDEX(Products!$H$5:$H$204,K1078)))</f>
        <v/>
      </c>
      <c r="P1078" s="11">
        <f>IF(A1078="","",J1078-M1078-N1078-O1078)</f>
        <v/>
      </c>
    </row>
    <row r="1079">
      <c r="A1079">
        <f>IFERROR(INDEX('Etsy Import'!$A:$CZ,1079,Settings!$C$20)&amp;"","")</f>
        <v/>
      </c>
      <c r="B1079">
        <f>IFERROR(INDEX('Etsy Import'!$A:$CZ,1079,Settings!$C$21)&amp;"","")</f>
        <v/>
      </c>
      <c r="C1079">
        <f>IFERROR(INDEX('Etsy Import'!$A:$CZ,1079,Settings!$C$22)&amp;"","")</f>
        <v/>
      </c>
      <c r="D1079">
        <f>IF(A1079="","",IFERROR(VALUE(SUBSTITUTE(SUBSTITUTE(INDEX('Etsy Import'!$A:$CZ,1079,Settings!$C$23)&amp;"","$",""),",","")),0))</f>
        <v/>
      </c>
      <c r="E1079" s="11">
        <f>IF(A1079="","",IFERROR(VALUE(SUBSTITUTE(SUBSTITUTE(INDEX('Etsy Import'!$A:$CZ,1079,Settings!$C$24)&amp;"","$",""),",","")),0))</f>
        <v/>
      </c>
      <c r="F1079" s="11">
        <f>IF(A1079="","",D1079*E1079)</f>
        <v/>
      </c>
      <c r="G1079">
        <f>IF(A1079="","",IF(C1079="",1,COUNTIF($C$2:$C$1501,C1079)))</f>
        <v/>
      </c>
      <c r="H1079" s="11">
        <f>IF(A1079="","",IFERROR(VALUE(SUBSTITUTE(SUBSTITUTE(INDEX('Etsy Import'!$A:$CZ,1079,Settings!$C$25)&amp;"","$",""),",","")),0)/IF(Settings!$B$27="Yes",G1079,1))</f>
        <v/>
      </c>
      <c r="I1079" s="11">
        <f>IF(A1079="","",IFERROR(VALUE(SUBSTITUTE(SUBSTITUTE(INDEX('Etsy Import'!$A:$CZ,1079,Settings!$C$26)&amp;"","$",""),",","")),0)/IF(Settings!$B$27="Yes",G1079,1))</f>
        <v/>
      </c>
      <c r="J1079" s="11">
        <f>IF(A1079="","",F1079+H1079-I1079)</f>
        <v/>
      </c>
      <c r="K1079">
        <f>IF(A1079="","",IFERROR(IF(B1079="",NA(),MATCH(B1079,Products!$B$5:$B$204,0)),IFERROR(MATCH(A1079,Products!$A$5:$A$204,0),"")))</f>
        <v/>
      </c>
      <c r="L1079">
        <f>IF(A1079="","",IF(K1079="","⚠ not in Products",INDEX(Products!$A$5:$A$204,K1079)))</f>
        <v/>
      </c>
      <c r="M1079" s="11">
        <f>IF(A1079="","",J1079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1079+IFERROR(INDEX(Settings!$D$5:$D$9,MATCH("Etsy",Settings!$A$5:$A$9,0)),0)*D1079)</f>
        <v/>
      </c>
      <c r="N1079" s="11">
        <f>IF(A1079="","",IF(K1079="",0,D1079*INDEX(Products!$I$5:$I$204,K1079)))</f>
        <v/>
      </c>
      <c r="O1079" s="11">
        <f>IF(A1079="","",IF(K1079="",0,J1079*INDEX(Products!$H$5:$H$204,K1079)))</f>
        <v/>
      </c>
      <c r="P1079" s="11">
        <f>IF(A1079="","",J1079-M1079-N1079-O1079)</f>
        <v/>
      </c>
    </row>
    <row r="1080">
      <c r="A1080">
        <f>IFERROR(INDEX('Etsy Import'!$A:$CZ,1080,Settings!$C$20)&amp;"","")</f>
        <v/>
      </c>
      <c r="B1080">
        <f>IFERROR(INDEX('Etsy Import'!$A:$CZ,1080,Settings!$C$21)&amp;"","")</f>
        <v/>
      </c>
      <c r="C1080">
        <f>IFERROR(INDEX('Etsy Import'!$A:$CZ,1080,Settings!$C$22)&amp;"","")</f>
        <v/>
      </c>
      <c r="D1080">
        <f>IF(A1080="","",IFERROR(VALUE(SUBSTITUTE(SUBSTITUTE(INDEX('Etsy Import'!$A:$CZ,1080,Settings!$C$23)&amp;"","$",""),",","")),0))</f>
        <v/>
      </c>
      <c r="E1080" s="11">
        <f>IF(A1080="","",IFERROR(VALUE(SUBSTITUTE(SUBSTITUTE(INDEX('Etsy Import'!$A:$CZ,1080,Settings!$C$24)&amp;"","$",""),",","")),0))</f>
        <v/>
      </c>
      <c r="F1080" s="11">
        <f>IF(A1080="","",D1080*E1080)</f>
        <v/>
      </c>
      <c r="G1080">
        <f>IF(A1080="","",IF(C1080="",1,COUNTIF($C$2:$C$1501,C1080)))</f>
        <v/>
      </c>
      <c r="H1080" s="11">
        <f>IF(A1080="","",IFERROR(VALUE(SUBSTITUTE(SUBSTITUTE(INDEX('Etsy Import'!$A:$CZ,1080,Settings!$C$25)&amp;"","$",""),",","")),0)/IF(Settings!$B$27="Yes",G1080,1))</f>
        <v/>
      </c>
      <c r="I1080" s="11">
        <f>IF(A1080="","",IFERROR(VALUE(SUBSTITUTE(SUBSTITUTE(INDEX('Etsy Import'!$A:$CZ,1080,Settings!$C$26)&amp;"","$",""),",","")),0)/IF(Settings!$B$27="Yes",G1080,1))</f>
        <v/>
      </c>
      <c r="J1080" s="11">
        <f>IF(A1080="","",F1080+H1080-I1080)</f>
        <v/>
      </c>
      <c r="K1080">
        <f>IF(A1080="","",IFERROR(IF(B1080="",NA(),MATCH(B1080,Products!$B$5:$B$204,0)),IFERROR(MATCH(A1080,Products!$A$5:$A$204,0),"")))</f>
        <v/>
      </c>
      <c r="L1080">
        <f>IF(A1080="","",IF(K1080="","⚠ not in Products",INDEX(Products!$A$5:$A$204,K1080)))</f>
        <v/>
      </c>
      <c r="M1080" s="11">
        <f>IF(A1080="","",J1080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1080+IFERROR(INDEX(Settings!$D$5:$D$9,MATCH("Etsy",Settings!$A$5:$A$9,0)),0)*D1080)</f>
        <v/>
      </c>
      <c r="N1080" s="11">
        <f>IF(A1080="","",IF(K1080="",0,D1080*INDEX(Products!$I$5:$I$204,K1080)))</f>
        <v/>
      </c>
      <c r="O1080" s="11">
        <f>IF(A1080="","",IF(K1080="",0,J1080*INDEX(Products!$H$5:$H$204,K1080)))</f>
        <v/>
      </c>
      <c r="P1080" s="11">
        <f>IF(A1080="","",J1080-M1080-N1080-O1080)</f>
        <v/>
      </c>
    </row>
    <row r="1081">
      <c r="A1081">
        <f>IFERROR(INDEX('Etsy Import'!$A:$CZ,1081,Settings!$C$20)&amp;"","")</f>
        <v/>
      </c>
      <c r="B1081">
        <f>IFERROR(INDEX('Etsy Import'!$A:$CZ,1081,Settings!$C$21)&amp;"","")</f>
        <v/>
      </c>
      <c r="C1081">
        <f>IFERROR(INDEX('Etsy Import'!$A:$CZ,1081,Settings!$C$22)&amp;"","")</f>
        <v/>
      </c>
      <c r="D1081">
        <f>IF(A1081="","",IFERROR(VALUE(SUBSTITUTE(SUBSTITUTE(INDEX('Etsy Import'!$A:$CZ,1081,Settings!$C$23)&amp;"","$",""),",","")),0))</f>
        <v/>
      </c>
      <c r="E1081" s="11">
        <f>IF(A1081="","",IFERROR(VALUE(SUBSTITUTE(SUBSTITUTE(INDEX('Etsy Import'!$A:$CZ,1081,Settings!$C$24)&amp;"","$",""),",","")),0))</f>
        <v/>
      </c>
      <c r="F1081" s="11">
        <f>IF(A1081="","",D1081*E1081)</f>
        <v/>
      </c>
      <c r="G1081">
        <f>IF(A1081="","",IF(C1081="",1,COUNTIF($C$2:$C$1501,C1081)))</f>
        <v/>
      </c>
      <c r="H1081" s="11">
        <f>IF(A1081="","",IFERROR(VALUE(SUBSTITUTE(SUBSTITUTE(INDEX('Etsy Import'!$A:$CZ,1081,Settings!$C$25)&amp;"","$",""),",","")),0)/IF(Settings!$B$27="Yes",G1081,1))</f>
        <v/>
      </c>
      <c r="I1081" s="11">
        <f>IF(A1081="","",IFERROR(VALUE(SUBSTITUTE(SUBSTITUTE(INDEX('Etsy Import'!$A:$CZ,1081,Settings!$C$26)&amp;"","$",""),",","")),0)/IF(Settings!$B$27="Yes",G1081,1))</f>
        <v/>
      </c>
      <c r="J1081" s="11">
        <f>IF(A1081="","",F1081+H1081-I1081)</f>
        <v/>
      </c>
      <c r="K1081">
        <f>IF(A1081="","",IFERROR(IF(B1081="",NA(),MATCH(B1081,Products!$B$5:$B$204,0)),IFERROR(MATCH(A1081,Products!$A$5:$A$204,0),"")))</f>
        <v/>
      </c>
      <c r="L1081">
        <f>IF(A1081="","",IF(K1081="","⚠ not in Products",INDEX(Products!$A$5:$A$204,K1081)))</f>
        <v/>
      </c>
      <c r="M1081" s="11">
        <f>IF(A1081="","",J1081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1081+IFERROR(INDEX(Settings!$D$5:$D$9,MATCH("Etsy",Settings!$A$5:$A$9,0)),0)*D1081)</f>
        <v/>
      </c>
      <c r="N1081" s="11">
        <f>IF(A1081="","",IF(K1081="",0,D1081*INDEX(Products!$I$5:$I$204,K1081)))</f>
        <v/>
      </c>
      <c r="O1081" s="11">
        <f>IF(A1081="","",IF(K1081="",0,J1081*INDEX(Products!$H$5:$H$204,K1081)))</f>
        <v/>
      </c>
      <c r="P1081" s="11">
        <f>IF(A1081="","",J1081-M1081-N1081-O1081)</f>
        <v/>
      </c>
    </row>
    <row r="1082">
      <c r="A1082">
        <f>IFERROR(INDEX('Etsy Import'!$A:$CZ,1082,Settings!$C$20)&amp;"","")</f>
        <v/>
      </c>
      <c r="B1082">
        <f>IFERROR(INDEX('Etsy Import'!$A:$CZ,1082,Settings!$C$21)&amp;"","")</f>
        <v/>
      </c>
      <c r="C1082">
        <f>IFERROR(INDEX('Etsy Import'!$A:$CZ,1082,Settings!$C$22)&amp;"","")</f>
        <v/>
      </c>
      <c r="D1082">
        <f>IF(A1082="","",IFERROR(VALUE(SUBSTITUTE(SUBSTITUTE(INDEX('Etsy Import'!$A:$CZ,1082,Settings!$C$23)&amp;"","$",""),",","")),0))</f>
        <v/>
      </c>
      <c r="E1082" s="11">
        <f>IF(A1082="","",IFERROR(VALUE(SUBSTITUTE(SUBSTITUTE(INDEX('Etsy Import'!$A:$CZ,1082,Settings!$C$24)&amp;"","$",""),",","")),0))</f>
        <v/>
      </c>
      <c r="F1082" s="11">
        <f>IF(A1082="","",D1082*E1082)</f>
        <v/>
      </c>
      <c r="G1082">
        <f>IF(A1082="","",IF(C1082="",1,COUNTIF($C$2:$C$1501,C1082)))</f>
        <v/>
      </c>
      <c r="H1082" s="11">
        <f>IF(A1082="","",IFERROR(VALUE(SUBSTITUTE(SUBSTITUTE(INDEX('Etsy Import'!$A:$CZ,1082,Settings!$C$25)&amp;"","$",""),",","")),0)/IF(Settings!$B$27="Yes",G1082,1))</f>
        <v/>
      </c>
      <c r="I1082" s="11">
        <f>IF(A1082="","",IFERROR(VALUE(SUBSTITUTE(SUBSTITUTE(INDEX('Etsy Import'!$A:$CZ,1082,Settings!$C$26)&amp;"","$",""),",","")),0)/IF(Settings!$B$27="Yes",G1082,1))</f>
        <v/>
      </c>
      <c r="J1082" s="11">
        <f>IF(A1082="","",F1082+H1082-I1082)</f>
        <v/>
      </c>
      <c r="K1082">
        <f>IF(A1082="","",IFERROR(IF(B1082="",NA(),MATCH(B1082,Products!$B$5:$B$204,0)),IFERROR(MATCH(A1082,Products!$A$5:$A$204,0),"")))</f>
        <v/>
      </c>
      <c r="L1082">
        <f>IF(A1082="","",IF(K1082="","⚠ not in Products",INDEX(Products!$A$5:$A$204,K1082)))</f>
        <v/>
      </c>
      <c r="M1082" s="11">
        <f>IF(A1082="","",J1082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1082+IFERROR(INDEX(Settings!$D$5:$D$9,MATCH("Etsy",Settings!$A$5:$A$9,0)),0)*D1082)</f>
        <v/>
      </c>
      <c r="N1082" s="11">
        <f>IF(A1082="","",IF(K1082="",0,D1082*INDEX(Products!$I$5:$I$204,K1082)))</f>
        <v/>
      </c>
      <c r="O1082" s="11">
        <f>IF(A1082="","",IF(K1082="",0,J1082*INDEX(Products!$H$5:$H$204,K1082)))</f>
        <v/>
      </c>
      <c r="P1082" s="11">
        <f>IF(A1082="","",J1082-M1082-N1082-O1082)</f>
        <v/>
      </c>
    </row>
    <row r="1083">
      <c r="A1083">
        <f>IFERROR(INDEX('Etsy Import'!$A:$CZ,1083,Settings!$C$20)&amp;"","")</f>
        <v/>
      </c>
      <c r="B1083">
        <f>IFERROR(INDEX('Etsy Import'!$A:$CZ,1083,Settings!$C$21)&amp;"","")</f>
        <v/>
      </c>
      <c r="C1083">
        <f>IFERROR(INDEX('Etsy Import'!$A:$CZ,1083,Settings!$C$22)&amp;"","")</f>
        <v/>
      </c>
      <c r="D1083">
        <f>IF(A1083="","",IFERROR(VALUE(SUBSTITUTE(SUBSTITUTE(INDEX('Etsy Import'!$A:$CZ,1083,Settings!$C$23)&amp;"","$",""),",","")),0))</f>
        <v/>
      </c>
      <c r="E1083" s="11">
        <f>IF(A1083="","",IFERROR(VALUE(SUBSTITUTE(SUBSTITUTE(INDEX('Etsy Import'!$A:$CZ,1083,Settings!$C$24)&amp;"","$",""),",","")),0))</f>
        <v/>
      </c>
      <c r="F1083" s="11">
        <f>IF(A1083="","",D1083*E1083)</f>
        <v/>
      </c>
      <c r="G1083">
        <f>IF(A1083="","",IF(C1083="",1,COUNTIF($C$2:$C$1501,C1083)))</f>
        <v/>
      </c>
      <c r="H1083" s="11">
        <f>IF(A1083="","",IFERROR(VALUE(SUBSTITUTE(SUBSTITUTE(INDEX('Etsy Import'!$A:$CZ,1083,Settings!$C$25)&amp;"","$",""),",","")),0)/IF(Settings!$B$27="Yes",G1083,1))</f>
        <v/>
      </c>
      <c r="I1083" s="11">
        <f>IF(A1083="","",IFERROR(VALUE(SUBSTITUTE(SUBSTITUTE(INDEX('Etsy Import'!$A:$CZ,1083,Settings!$C$26)&amp;"","$",""),",","")),0)/IF(Settings!$B$27="Yes",G1083,1))</f>
        <v/>
      </c>
      <c r="J1083" s="11">
        <f>IF(A1083="","",F1083+H1083-I1083)</f>
        <v/>
      </c>
      <c r="K1083">
        <f>IF(A1083="","",IFERROR(IF(B1083="",NA(),MATCH(B1083,Products!$B$5:$B$204,0)),IFERROR(MATCH(A1083,Products!$A$5:$A$204,0),"")))</f>
        <v/>
      </c>
      <c r="L1083">
        <f>IF(A1083="","",IF(K1083="","⚠ not in Products",INDEX(Products!$A$5:$A$204,K1083)))</f>
        <v/>
      </c>
      <c r="M1083" s="11">
        <f>IF(A1083="","",J1083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1083+IFERROR(INDEX(Settings!$D$5:$D$9,MATCH("Etsy",Settings!$A$5:$A$9,0)),0)*D1083)</f>
        <v/>
      </c>
      <c r="N1083" s="11">
        <f>IF(A1083="","",IF(K1083="",0,D1083*INDEX(Products!$I$5:$I$204,K1083)))</f>
        <v/>
      </c>
      <c r="O1083" s="11">
        <f>IF(A1083="","",IF(K1083="",0,J1083*INDEX(Products!$H$5:$H$204,K1083)))</f>
        <v/>
      </c>
      <c r="P1083" s="11">
        <f>IF(A1083="","",J1083-M1083-N1083-O1083)</f>
        <v/>
      </c>
    </row>
    <row r="1084">
      <c r="A1084">
        <f>IFERROR(INDEX('Etsy Import'!$A:$CZ,1084,Settings!$C$20)&amp;"","")</f>
        <v/>
      </c>
      <c r="B1084">
        <f>IFERROR(INDEX('Etsy Import'!$A:$CZ,1084,Settings!$C$21)&amp;"","")</f>
        <v/>
      </c>
      <c r="C1084">
        <f>IFERROR(INDEX('Etsy Import'!$A:$CZ,1084,Settings!$C$22)&amp;"","")</f>
        <v/>
      </c>
      <c r="D1084">
        <f>IF(A1084="","",IFERROR(VALUE(SUBSTITUTE(SUBSTITUTE(INDEX('Etsy Import'!$A:$CZ,1084,Settings!$C$23)&amp;"","$",""),",","")),0))</f>
        <v/>
      </c>
      <c r="E1084" s="11">
        <f>IF(A1084="","",IFERROR(VALUE(SUBSTITUTE(SUBSTITUTE(INDEX('Etsy Import'!$A:$CZ,1084,Settings!$C$24)&amp;"","$",""),",","")),0))</f>
        <v/>
      </c>
      <c r="F1084" s="11">
        <f>IF(A1084="","",D1084*E1084)</f>
        <v/>
      </c>
      <c r="G1084">
        <f>IF(A1084="","",IF(C1084="",1,COUNTIF($C$2:$C$1501,C1084)))</f>
        <v/>
      </c>
      <c r="H1084" s="11">
        <f>IF(A1084="","",IFERROR(VALUE(SUBSTITUTE(SUBSTITUTE(INDEX('Etsy Import'!$A:$CZ,1084,Settings!$C$25)&amp;"","$",""),",","")),0)/IF(Settings!$B$27="Yes",G1084,1))</f>
        <v/>
      </c>
      <c r="I1084" s="11">
        <f>IF(A1084="","",IFERROR(VALUE(SUBSTITUTE(SUBSTITUTE(INDEX('Etsy Import'!$A:$CZ,1084,Settings!$C$26)&amp;"","$",""),",","")),0)/IF(Settings!$B$27="Yes",G1084,1))</f>
        <v/>
      </c>
      <c r="J1084" s="11">
        <f>IF(A1084="","",F1084+H1084-I1084)</f>
        <v/>
      </c>
      <c r="K1084">
        <f>IF(A1084="","",IFERROR(IF(B1084="",NA(),MATCH(B1084,Products!$B$5:$B$204,0)),IFERROR(MATCH(A1084,Products!$A$5:$A$204,0),"")))</f>
        <v/>
      </c>
      <c r="L1084">
        <f>IF(A1084="","",IF(K1084="","⚠ not in Products",INDEX(Products!$A$5:$A$204,K1084)))</f>
        <v/>
      </c>
      <c r="M1084" s="11">
        <f>IF(A1084="","",J1084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1084+IFERROR(INDEX(Settings!$D$5:$D$9,MATCH("Etsy",Settings!$A$5:$A$9,0)),0)*D1084)</f>
        <v/>
      </c>
      <c r="N1084" s="11">
        <f>IF(A1084="","",IF(K1084="",0,D1084*INDEX(Products!$I$5:$I$204,K1084)))</f>
        <v/>
      </c>
      <c r="O1084" s="11">
        <f>IF(A1084="","",IF(K1084="",0,J1084*INDEX(Products!$H$5:$H$204,K1084)))</f>
        <v/>
      </c>
      <c r="P1084" s="11">
        <f>IF(A1084="","",J1084-M1084-N1084-O1084)</f>
        <v/>
      </c>
    </row>
    <row r="1085">
      <c r="A1085">
        <f>IFERROR(INDEX('Etsy Import'!$A:$CZ,1085,Settings!$C$20)&amp;"","")</f>
        <v/>
      </c>
      <c r="B1085">
        <f>IFERROR(INDEX('Etsy Import'!$A:$CZ,1085,Settings!$C$21)&amp;"","")</f>
        <v/>
      </c>
      <c r="C1085">
        <f>IFERROR(INDEX('Etsy Import'!$A:$CZ,1085,Settings!$C$22)&amp;"","")</f>
        <v/>
      </c>
      <c r="D1085">
        <f>IF(A1085="","",IFERROR(VALUE(SUBSTITUTE(SUBSTITUTE(INDEX('Etsy Import'!$A:$CZ,1085,Settings!$C$23)&amp;"","$",""),",","")),0))</f>
        <v/>
      </c>
      <c r="E1085" s="11">
        <f>IF(A1085="","",IFERROR(VALUE(SUBSTITUTE(SUBSTITUTE(INDEX('Etsy Import'!$A:$CZ,1085,Settings!$C$24)&amp;"","$",""),",","")),0))</f>
        <v/>
      </c>
      <c r="F1085" s="11">
        <f>IF(A1085="","",D1085*E1085)</f>
        <v/>
      </c>
      <c r="G1085">
        <f>IF(A1085="","",IF(C1085="",1,COUNTIF($C$2:$C$1501,C1085)))</f>
        <v/>
      </c>
      <c r="H1085" s="11">
        <f>IF(A1085="","",IFERROR(VALUE(SUBSTITUTE(SUBSTITUTE(INDEX('Etsy Import'!$A:$CZ,1085,Settings!$C$25)&amp;"","$",""),",","")),0)/IF(Settings!$B$27="Yes",G1085,1))</f>
        <v/>
      </c>
      <c r="I1085" s="11">
        <f>IF(A1085="","",IFERROR(VALUE(SUBSTITUTE(SUBSTITUTE(INDEX('Etsy Import'!$A:$CZ,1085,Settings!$C$26)&amp;"","$",""),",","")),0)/IF(Settings!$B$27="Yes",G1085,1))</f>
        <v/>
      </c>
      <c r="J1085" s="11">
        <f>IF(A1085="","",F1085+H1085-I1085)</f>
        <v/>
      </c>
      <c r="K1085">
        <f>IF(A1085="","",IFERROR(IF(B1085="",NA(),MATCH(B1085,Products!$B$5:$B$204,0)),IFERROR(MATCH(A1085,Products!$A$5:$A$204,0),"")))</f>
        <v/>
      </c>
      <c r="L1085">
        <f>IF(A1085="","",IF(K1085="","⚠ not in Products",INDEX(Products!$A$5:$A$204,K1085)))</f>
        <v/>
      </c>
      <c r="M1085" s="11">
        <f>IF(A1085="","",J1085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1085+IFERROR(INDEX(Settings!$D$5:$D$9,MATCH("Etsy",Settings!$A$5:$A$9,0)),0)*D1085)</f>
        <v/>
      </c>
      <c r="N1085" s="11">
        <f>IF(A1085="","",IF(K1085="",0,D1085*INDEX(Products!$I$5:$I$204,K1085)))</f>
        <v/>
      </c>
      <c r="O1085" s="11">
        <f>IF(A1085="","",IF(K1085="",0,J1085*INDEX(Products!$H$5:$H$204,K1085)))</f>
        <v/>
      </c>
      <c r="P1085" s="11">
        <f>IF(A1085="","",J1085-M1085-N1085-O1085)</f>
        <v/>
      </c>
    </row>
    <row r="1086">
      <c r="A1086">
        <f>IFERROR(INDEX('Etsy Import'!$A:$CZ,1086,Settings!$C$20)&amp;"","")</f>
        <v/>
      </c>
      <c r="B1086">
        <f>IFERROR(INDEX('Etsy Import'!$A:$CZ,1086,Settings!$C$21)&amp;"","")</f>
        <v/>
      </c>
      <c r="C1086">
        <f>IFERROR(INDEX('Etsy Import'!$A:$CZ,1086,Settings!$C$22)&amp;"","")</f>
        <v/>
      </c>
      <c r="D1086">
        <f>IF(A1086="","",IFERROR(VALUE(SUBSTITUTE(SUBSTITUTE(INDEX('Etsy Import'!$A:$CZ,1086,Settings!$C$23)&amp;"","$",""),",","")),0))</f>
        <v/>
      </c>
      <c r="E1086" s="11">
        <f>IF(A1086="","",IFERROR(VALUE(SUBSTITUTE(SUBSTITUTE(INDEX('Etsy Import'!$A:$CZ,1086,Settings!$C$24)&amp;"","$",""),",","")),0))</f>
        <v/>
      </c>
      <c r="F1086" s="11">
        <f>IF(A1086="","",D1086*E1086)</f>
        <v/>
      </c>
      <c r="G1086">
        <f>IF(A1086="","",IF(C1086="",1,COUNTIF($C$2:$C$1501,C1086)))</f>
        <v/>
      </c>
      <c r="H1086" s="11">
        <f>IF(A1086="","",IFERROR(VALUE(SUBSTITUTE(SUBSTITUTE(INDEX('Etsy Import'!$A:$CZ,1086,Settings!$C$25)&amp;"","$",""),",","")),0)/IF(Settings!$B$27="Yes",G1086,1))</f>
        <v/>
      </c>
      <c r="I1086" s="11">
        <f>IF(A1086="","",IFERROR(VALUE(SUBSTITUTE(SUBSTITUTE(INDEX('Etsy Import'!$A:$CZ,1086,Settings!$C$26)&amp;"","$",""),",","")),0)/IF(Settings!$B$27="Yes",G1086,1))</f>
        <v/>
      </c>
      <c r="J1086" s="11">
        <f>IF(A1086="","",F1086+H1086-I1086)</f>
        <v/>
      </c>
      <c r="K1086">
        <f>IF(A1086="","",IFERROR(IF(B1086="",NA(),MATCH(B1086,Products!$B$5:$B$204,0)),IFERROR(MATCH(A1086,Products!$A$5:$A$204,0),"")))</f>
        <v/>
      </c>
      <c r="L1086">
        <f>IF(A1086="","",IF(K1086="","⚠ not in Products",INDEX(Products!$A$5:$A$204,K1086)))</f>
        <v/>
      </c>
      <c r="M1086" s="11">
        <f>IF(A1086="","",J1086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1086+IFERROR(INDEX(Settings!$D$5:$D$9,MATCH("Etsy",Settings!$A$5:$A$9,0)),0)*D1086)</f>
        <v/>
      </c>
      <c r="N1086" s="11">
        <f>IF(A1086="","",IF(K1086="",0,D1086*INDEX(Products!$I$5:$I$204,K1086)))</f>
        <v/>
      </c>
      <c r="O1086" s="11">
        <f>IF(A1086="","",IF(K1086="",0,J1086*INDEX(Products!$H$5:$H$204,K1086)))</f>
        <v/>
      </c>
      <c r="P1086" s="11">
        <f>IF(A1086="","",J1086-M1086-N1086-O1086)</f>
        <v/>
      </c>
    </row>
    <row r="1087">
      <c r="A1087">
        <f>IFERROR(INDEX('Etsy Import'!$A:$CZ,1087,Settings!$C$20)&amp;"","")</f>
        <v/>
      </c>
      <c r="B1087">
        <f>IFERROR(INDEX('Etsy Import'!$A:$CZ,1087,Settings!$C$21)&amp;"","")</f>
        <v/>
      </c>
      <c r="C1087">
        <f>IFERROR(INDEX('Etsy Import'!$A:$CZ,1087,Settings!$C$22)&amp;"","")</f>
        <v/>
      </c>
      <c r="D1087">
        <f>IF(A1087="","",IFERROR(VALUE(SUBSTITUTE(SUBSTITUTE(INDEX('Etsy Import'!$A:$CZ,1087,Settings!$C$23)&amp;"","$",""),",","")),0))</f>
        <v/>
      </c>
      <c r="E1087" s="11">
        <f>IF(A1087="","",IFERROR(VALUE(SUBSTITUTE(SUBSTITUTE(INDEX('Etsy Import'!$A:$CZ,1087,Settings!$C$24)&amp;"","$",""),",","")),0))</f>
        <v/>
      </c>
      <c r="F1087" s="11">
        <f>IF(A1087="","",D1087*E1087)</f>
        <v/>
      </c>
      <c r="G1087">
        <f>IF(A1087="","",IF(C1087="",1,COUNTIF($C$2:$C$1501,C1087)))</f>
        <v/>
      </c>
      <c r="H1087" s="11">
        <f>IF(A1087="","",IFERROR(VALUE(SUBSTITUTE(SUBSTITUTE(INDEX('Etsy Import'!$A:$CZ,1087,Settings!$C$25)&amp;"","$",""),",","")),0)/IF(Settings!$B$27="Yes",G1087,1))</f>
        <v/>
      </c>
      <c r="I1087" s="11">
        <f>IF(A1087="","",IFERROR(VALUE(SUBSTITUTE(SUBSTITUTE(INDEX('Etsy Import'!$A:$CZ,1087,Settings!$C$26)&amp;"","$",""),",","")),0)/IF(Settings!$B$27="Yes",G1087,1))</f>
        <v/>
      </c>
      <c r="J1087" s="11">
        <f>IF(A1087="","",F1087+H1087-I1087)</f>
        <v/>
      </c>
      <c r="K1087">
        <f>IF(A1087="","",IFERROR(IF(B1087="",NA(),MATCH(B1087,Products!$B$5:$B$204,0)),IFERROR(MATCH(A1087,Products!$A$5:$A$204,0),"")))</f>
        <v/>
      </c>
      <c r="L1087">
        <f>IF(A1087="","",IF(K1087="","⚠ not in Products",INDEX(Products!$A$5:$A$204,K1087)))</f>
        <v/>
      </c>
      <c r="M1087" s="11">
        <f>IF(A1087="","",J1087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1087+IFERROR(INDEX(Settings!$D$5:$D$9,MATCH("Etsy",Settings!$A$5:$A$9,0)),0)*D1087)</f>
        <v/>
      </c>
      <c r="N1087" s="11">
        <f>IF(A1087="","",IF(K1087="",0,D1087*INDEX(Products!$I$5:$I$204,K1087)))</f>
        <v/>
      </c>
      <c r="O1087" s="11">
        <f>IF(A1087="","",IF(K1087="",0,J1087*INDEX(Products!$H$5:$H$204,K1087)))</f>
        <v/>
      </c>
      <c r="P1087" s="11">
        <f>IF(A1087="","",J1087-M1087-N1087-O1087)</f>
        <v/>
      </c>
    </row>
    <row r="1088">
      <c r="A1088">
        <f>IFERROR(INDEX('Etsy Import'!$A:$CZ,1088,Settings!$C$20)&amp;"","")</f>
        <v/>
      </c>
      <c r="B1088">
        <f>IFERROR(INDEX('Etsy Import'!$A:$CZ,1088,Settings!$C$21)&amp;"","")</f>
        <v/>
      </c>
      <c r="C1088">
        <f>IFERROR(INDEX('Etsy Import'!$A:$CZ,1088,Settings!$C$22)&amp;"","")</f>
        <v/>
      </c>
      <c r="D1088">
        <f>IF(A1088="","",IFERROR(VALUE(SUBSTITUTE(SUBSTITUTE(INDEX('Etsy Import'!$A:$CZ,1088,Settings!$C$23)&amp;"","$",""),",","")),0))</f>
        <v/>
      </c>
      <c r="E1088" s="11">
        <f>IF(A1088="","",IFERROR(VALUE(SUBSTITUTE(SUBSTITUTE(INDEX('Etsy Import'!$A:$CZ,1088,Settings!$C$24)&amp;"","$",""),",","")),0))</f>
        <v/>
      </c>
      <c r="F1088" s="11">
        <f>IF(A1088="","",D1088*E1088)</f>
        <v/>
      </c>
      <c r="G1088">
        <f>IF(A1088="","",IF(C1088="",1,COUNTIF($C$2:$C$1501,C1088)))</f>
        <v/>
      </c>
      <c r="H1088" s="11">
        <f>IF(A1088="","",IFERROR(VALUE(SUBSTITUTE(SUBSTITUTE(INDEX('Etsy Import'!$A:$CZ,1088,Settings!$C$25)&amp;"","$",""),",","")),0)/IF(Settings!$B$27="Yes",G1088,1))</f>
        <v/>
      </c>
      <c r="I1088" s="11">
        <f>IF(A1088="","",IFERROR(VALUE(SUBSTITUTE(SUBSTITUTE(INDEX('Etsy Import'!$A:$CZ,1088,Settings!$C$26)&amp;"","$",""),",","")),0)/IF(Settings!$B$27="Yes",G1088,1))</f>
        <v/>
      </c>
      <c r="J1088" s="11">
        <f>IF(A1088="","",F1088+H1088-I1088)</f>
        <v/>
      </c>
      <c r="K1088">
        <f>IF(A1088="","",IFERROR(IF(B1088="",NA(),MATCH(B1088,Products!$B$5:$B$204,0)),IFERROR(MATCH(A1088,Products!$A$5:$A$204,0),"")))</f>
        <v/>
      </c>
      <c r="L1088">
        <f>IF(A1088="","",IF(K1088="","⚠ not in Products",INDEX(Products!$A$5:$A$204,K1088)))</f>
        <v/>
      </c>
      <c r="M1088" s="11">
        <f>IF(A1088="","",J1088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1088+IFERROR(INDEX(Settings!$D$5:$D$9,MATCH("Etsy",Settings!$A$5:$A$9,0)),0)*D1088)</f>
        <v/>
      </c>
      <c r="N1088" s="11">
        <f>IF(A1088="","",IF(K1088="",0,D1088*INDEX(Products!$I$5:$I$204,K1088)))</f>
        <v/>
      </c>
      <c r="O1088" s="11">
        <f>IF(A1088="","",IF(K1088="",0,J1088*INDEX(Products!$H$5:$H$204,K1088)))</f>
        <v/>
      </c>
      <c r="P1088" s="11">
        <f>IF(A1088="","",J1088-M1088-N1088-O1088)</f>
        <v/>
      </c>
    </row>
    <row r="1089">
      <c r="A1089">
        <f>IFERROR(INDEX('Etsy Import'!$A:$CZ,1089,Settings!$C$20)&amp;"","")</f>
        <v/>
      </c>
      <c r="B1089">
        <f>IFERROR(INDEX('Etsy Import'!$A:$CZ,1089,Settings!$C$21)&amp;"","")</f>
        <v/>
      </c>
      <c r="C1089">
        <f>IFERROR(INDEX('Etsy Import'!$A:$CZ,1089,Settings!$C$22)&amp;"","")</f>
        <v/>
      </c>
      <c r="D1089">
        <f>IF(A1089="","",IFERROR(VALUE(SUBSTITUTE(SUBSTITUTE(INDEX('Etsy Import'!$A:$CZ,1089,Settings!$C$23)&amp;"","$",""),",","")),0))</f>
        <v/>
      </c>
      <c r="E1089" s="11">
        <f>IF(A1089="","",IFERROR(VALUE(SUBSTITUTE(SUBSTITUTE(INDEX('Etsy Import'!$A:$CZ,1089,Settings!$C$24)&amp;"","$",""),",","")),0))</f>
        <v/>
      </c>
      <c r="F1089" s="11">
        <f>IF(A1089="","",D1089*E1089)</f>
        <v/>
      </c>
      <c r="G1089">
        <f>IF(A1089="","",IF(C1089="",1,COUNTIF($C$2:$C$1501,C1089)))</f>
        <v/>
      </c>
      <c r="H1089" s="11">
        <f>IF(A1089="","",IFERROR(VALUE(SUBSTITUTE(SUBSTITUTE(INDEX('Etsy Import'!$A:$CZ,1089,Settings!$C$25)&amp;"","$",""),",","")),0)/IF(Settings!$B$27="Yes",G1089,1))</f>
        <v/>
      </c>
      <c r="I1089" s="11">
        <f>IF(A1089="","",IFERROR(VALUE(SUBSTITUTE(SUBSTITUTE(INDEX('Etsy Import'!$A:$CZ,1089,Settings!$C$26)&amp;"","$",""),",","")),0)/IF(Settings!$B$27="Yes",G1089,1))</f>
        <v/>
      </c>
      <c r="J1089" s="11">
        <f>IF(A1089="","",F1089+H1089-I1089)</f>
        <v/>
      </c>
      <c r="K1089">
        <f>IF(A1089="","",IFERROR(IF(B1089="",NA(),MATCH(B1089,Products!$B$5:$B$204,0)),IFERROR(MATCH(A1089,Products!$A$5:$A$204,0),"")))</f>
        <v/>
      </c>
      <c r="L1089">
        <f>IF(A1089="","",IF(K1089="","⚠ not in Products",INDEX(Products!$A$5:$A$204,K1089)))</f>
        <v/>
      </c>
      <c r="M1089" s="11">
        <f>IF(A1089="","",J1089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1089+IFERROR(INDEX(Settings!$D$5:$D$9,MATCH("Etsy",Settings!$A$5:$A$9,0)),0)*D1089)</f>
        <v/>
      </c>
      <c r="N1089" s="11">
        <f>IF(A1089="","",IF(K1089="",0,D1089*INDEX(Products!$I$5:$I$204,K1089)))</f>
        <v/>
      </c>
      <c r="O1089" s="11">
        <f>IF(A1089="","",IF(K1089="",0,J1089*INDEX(Products!$H$5:$H$204,K1089)))</f>
        <v/>
      </c>
      <c r="P1089" s="11">
        <f>IF(A1089="","",J1089-M1089-N1089-O1089)</f>
        <v/>
      </c>
    </row>
    <row r="1090">
      <c r="A1090">
        <f>IFERROR(INDEX('Etsy Import'!$A:$CZ,1090,Settings!$C$20)&amp;"","")</f>
        <v/>
      </c>
      <c r="B1090">
        <f>IFERROR(INDEX('Etsy Import'!$A:$CZ,1090,Settings!$C$21)&amp;"","")</f>
        <v/>
      </c>
      <c r="C1090">
        <f>IFERROR(INDEX('Etsy Import'!$A:$CZ,1090,Settings!$C$22)&amp;"","")</f>
        <v/>
      </c>
      <c r="D1090">
        <f>IF(A1090="","",IFERROR(VALUE(SUBSTITUTE(SUBSTITUTE(INDEX('Etsy Import'!$A:$CZ,1090,Settings!$C$23)&amp;"","$",""),",","")),0))</f>
        <v/>
      </c>
      <c r="E1090" s="11">
        <f>IF(A1090="","",IFERROR(VALUE(SUBSTITUTE(SUBSTITUTE(INDEX('Etsy Import'!$A:$CZ,1090,Settings!$C$24)&amp;"","$",""),",","")),0))</f>
        <v/>
      </c>
      <c r="F1090" s="11">
        <f>IF(A1090="","",D1090*E1090)</f>
        <v/>
      </c>
      <c r="G1090">
        <f>IF(A1090="","",IF(C1090="",1,COUNTIF($C$2:$C$1501,C1090)))</f>
        <v/>
      </c>
      <c r="H1090" s="11">
        <f>IF(A1090="","",IFERROR(VALUE(SUBSTITUTE(SUBSTITUTE(INDEX('Etsy Import'!$A:$CZ,1090,Settings!$C$25)&amp;"","$",""),",","")),0)/IF(Settings!$B$27="Yes",G1090,1))</f>
        <v/>
      </c>
      <c r="I1090" s="11">
        <f>IF(A1090="","",IFERROR(VALUE(SUBSTITUTE(SUBSTITUTE(INDEX('Etsy Import'!$A:$CZ,1090,Settings!$C$26)&amp;"","$",""),",","")),0)/IF(Settings!$B$27="Yes",G1090,1))</f>
        <v/>
      </c>
      <c r="J1090" s="11">
        <f>IF(A1090="","",F1090+H1090-I1090)</f>
        <v/>
      </c>
      <c r="K1090">
        <f>IF(A1090="","",IFERROR(IF(B1090="",NA(),MATCH(B1090,Products!$B$5:$B$204,0)),IFERROR(MATCH(A1090,Products!$A$5:$A$204,0),"")))</f>
        <v/>
      </c>
      <c r="L1090">
        <f>IF(A1090="","",IF(K1090="","⚠ not in Products",INDEX(Products!$A$5:$A$204,K1090)))</f>
        <v/>
      </c>
      <c r="M1090" s="11">
        <f>IF(A1090="","",J1090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1090+IFERROR(INDEX(Settings!$D$5:$D$9,MATCH("Etsy",Settings!$A$5:$A$9,0)),0)*D1090)</f>
        <v/>
      </c>
      <c r="N1090" s="11">
        <f>IF(A1090="","",IF(K1090="",0,D1090*INDEX(Products!$I$5:$I$204,K1090)))</f>
        <v/>
      </c>
      <c r="O1090" s="11">
        <f>IF(A1090="","",IF(K1090="",0,J1090*INDEX(Products!$H$5:$H$204,K1090)))</f>
        <v/>
      </c>
      <c r="P1090" s="11">
        <f>IF(A1090="","",J1090-M1090-N1090-O1090)</f>
        <v/>
      </c>
    </row>
    <row r="1091">
      <c r="A1091">
        <f>IFERROR(INDEX('Etsy Import'!$A:$CZ,1091,Settings!$C$20)&amp;"","")</f>
        <v/>
      </c>
      <c r="B1091">
        <f>IFERROR(INDEX('Etsy Import'!$A:$CZ,1091,Settings!$C$21)&amp;"","")</f>
        <v/>
      </c>
      <c r="C1091">
        <f>IFERROR(INDEX('Etsy Import'!$A:$CZ,1091,Settings!$C$22)&amp;"","")</f>
        <v/>
      </c>
      <c r="D1091">
        <f>IF(A1091="","",IFERROR(VALUE(SUBSTITUTE(SUBSTITUTE(INDEX('Etsy Import'!$A:$CZ,1091,Settings!$C$23)&amp;"","$",""),",","")),0))</f>
        <v/>
      </c>
      <c r="E1091" s="11">
        <f>IF(A1091="","",IFERROR(VALUE(SUBSTITUTE(SUBSTITUTE(INDEX('Etsy Import'!$A:$CZ,1091,Settings!$C$24)&amp;"","$",""),",","")),0))</f>
        <v/>
      </c>
      <c r="F1091" s="11">
        <f>IF(A1091="","",D1091*E1091)</f>
        <v/>
      </c>
      <c r="G1091">
        <f>IF(A1091="","",IF(C1091="",1,COUNTIF($C$2:$C$1501,C1091)))</f>
        <v/>
      </c>
      <c r="H1091" s="11">
        <f>IF(A1091="","",IFERROR(VALUE(SUBSTITUTE(SUBSTITUTE(INDEX('Etsy Import'!$A:$CZ,1091,Settings!$C$25)&amp;"","$",""),",","")),0)/IF(Settings!$B$27="Yes",G1091,1))</f>
        <v/>
      </c>
      <c r="I1091" s="11">
        <f>IF(A1091="","",IFERROR(VALUE(SUBSTITUTE(SUBSTITUTE(INDEX('Etsy Import'!$A:$CZ,1091,Settings!$C$26)&amp;"","$",""),",","")),0)/IF(Settings!$B$27="Yes",G1091,1))</f>
        <v/>
      </c>
      <c r="J1091" s="11">
        <f>IF(A1091="","",F1091+H1091-I1091)</f>
        <v/>
      </c>
      <c r="K1091">
        <f>IF(A1091="","",IFERROR(IF(B1091="",NA(),MATCH(B1091,Products!$B$5:$B$204,0)),IFERROR(MATCH(A1091,Products!$A$5:$A$204,0),"")))</f>
        <v/>
      </c>
      <c r="L1091">
        <f>IF(A1091="","",IF(K1091="","⚠ not in Products",INDEX(Products!$A$5:$A$204,K1091)))</f>
        <v/>
      </c>
      <c r="M1091" s="11">
        <f>IF(A1091="","",J1091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1091+IFERROR(INDEX(Settings!$D$5:$D$9,MATCH("Etsy",Settings!$A$5:$A$9,0)),0)*D1091)</f>
        <v/>
      </c>
      <c r="N1091" s="11">
        <f>IF(A1091="","",IF(K1091="",0,D1091*INDEX(Products!$I$5:$I$204,K1091)))</f>
        <v/>
      </c>
      <c r="O1091" s="11">
        <f>IF(A1091="","",IF(K1091="",0,J1091*INDEX(Products!$H$5:$H$204,K1091)))</f>
        <v/>
      </c>
      <c r="P1091" s="11">
        <f>IF(A1091="","",J1091-M1091-N1091-O1091)</f>
        <v/>
      </c>
    </row>
    <row r="1092">
      <c r="A1092">
        <f>IFERROR(INDEX('Etsy Import'!$A:$CZ,1092,Settings!$C$20)&amp;"","")</f>
        <v/>
      </c>
      <c r="B1092">
        <f>IFERROR(INDEX('Etsy Import'!$A:$CZ,1092,Settings!$C$21)&amp;"","")</f>
        <v/>
      </c>
      <c r="C1092">
        <f>IFERROR(INDEX('Etsy Import'!$A:$CZ,1092,Settings!$C$22)&amp;"","")</f>
        <v/>
      </c>
      <c r="D1092">
        <f>IF(A1092="","",IFERROR(VALUE(SUBSTITUTE(SUBSTITUTE(INDEX('Etsy Import'!$A:$CZ,1092,Settings!$C$23)&amp;"","$",""),",","")),0))</f>
        <v/>
      </c>
      <c r="E1092" s="11">
        <f>IF(A1092="","",IFERROR(VALUE(SUBSTITUTE(SUBSTITUTE(INDEX('Etsy Import'!$A:$CZ,1092,Settings!$C$24)&amp;"","$",""),",","")),0))</f>
        <v/>
      </c>
      <c r="F1092" s="11">
        <f>IF(A1092="","",D1092*E1092)</f>
        <v/>
      </c>
      <c r="G1092">
        <f>IF(A1092="","",IF(C1092="",1,COUNTIF($C$2:$C$1501,C1092)))</f>
        <v/>
      </c>
      <c r="H1092" s="11">
        <f>IF(A1092="","",IFERROR(VALUE(SUBSTITUTE(SUBSTITUTE(INDEX('Etsy Import'!$A:$CZ,1092,Settings!$C$25)&amp;"","$",""),",","")),0)/IF(Settings!$B$27="Yes",G1092,1))</f>
        <v/>
      </c>
      <c r="I1092" s="11">
        <f>IF(A1092="","",IFERROR(VALUE(SUBSTITUTE(SUBSTITUTE(INDEX('Etsy Import'!$A:$CZ,1092,Settings!$C$26)&amp;"","$",""),",","")),0)/IF(Settings!$B$27="Yes",G1092,1))</f>
        <v/>
      </c>
      <c r="J1092" s="11">
        <f>IF(A1092="","",F1092+H1092-I1092)</f>
        <v/>
      </c>
      <c r="K1092">
        <f>IF(A1092="","",IFERROR(IF(B1092="",NA(),MATCH(B1092,Products!$B$5:$B$204,0)),IFERROR(MATCH(A1092,Products!$A$5:$A$204,0),"")))</f>
        <v/>
      </c>
      <c r="L1092">
        <f>IF(A1092="","",IF(K1092="","⚠ not in Products",INDEX(Products!$A$5:$A$204,K1092)))</f>
        <v/>
      </c>
      <c r="M1092" s="11">
        <f>IF(A1092="","",J1092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1092+IFERROR(INDEX(Settings!$D$5:$D$9,MATCH("Etsy",Settings!$A$5:$A$9,0)),0)*D1092)</f>
        <v/>
      </c>
      <c r="N1092" s="11">
        <f>IF(A1092="","",IF(K1092="",0,D1092*INDEX(Products!$I$5:$I$204,K1092)))</f>
        <v/>
      </c>
      <c r="O1092" s="11">
        <f>IF(A1092="","",IF(K1092="",0,J1092*INDEX(Products!$H$5:$H$204,K1092)))</f>
        <v/>
      </c>
      <c r="P1092" s="11">
        <f>IF(A1092="","",J1092-M1092-N1092-O1092)</f>
        <v/>
      </c>
    </row>
    <row r="1093">
      <c r="A1093">
        <f>IFERROR(INDEX('Etsy Import'!$A:$CZ,1093,Settings!$C$20)&amp;"","")</f>
        <v/>
      </c>
      <c r="B1093">
        <f>IFERROR(INDEX('Etsy Import'!$A:$CZ,1093,Settings!$C$21)&amp;"","")</f>
        <v/>
      </c>
      <c r="C1093">
        <f>IFERROR(INDEX('Etsy Import'!$A:$CZ,1093,Settings!$C$22)&amp;"","")</f>
        <v/>
      </c>
      <c r="D1093">
        <f>IF(A1093="","",IFERROR(VALUE(SUBSTITUTE(SUBSTITUTE(INDEX('Etsy Import'!$A:$CZ,1093,Settings!$C$23)&amp;"","$",""),",","")),0))</f>
        <v/>
      </c>
      <c r="E1093" s="11">
        <f>IF(A1093="","",IFERROR(VALUE(SUBSTITUTE(SUBSTITUTE(INDEX('Etsy Import'!$A:$CZ,1093,Settings!$C$24)&amp;"","$",""),",","")),0))</f>
        <v/>
      </c>
      <c r="F1093" s="11">
        <f>IF(A1093="","",D1093*E1093)</f>
        <v/>
      </c>
      <c r="G1093">
        <f>IF(A1093="","",IF(C1093="",1,COUNTIF($C$2:$C$1501,C1093)))</f>
        <v/>
      </c>
      <c r="H1093" s="11">
        <f>IF(A1093="","",IFERROR(VALUE(SUBSTITUTE(SUBSTITUTE(INDEX('Etsy Import'!$A:$CZ,1093,Settings!$C$25)&amp;"","$",""),",","")),0)/IF(Settings!$B$27="Yes",G1093,1))</f>
        <v/>
      </c>
      <c r="I1093" s="11">
        <f>IF(A1093="","",IFERROR(VALUE(SUBSTITUTE(SUBSTITUTE(INDEX('Etsy Import'!$A:$CZ,1093,Settings!$C$26)&amp;"","$",""),",","")),0)/IF(Settings!$B$27="Yes",G1093,1))</f>
        <v/>
      </c>
      <c r="J1093" s="11">
        <f>IF(A1093="","",F1093+H1093-I1093)</f>
        <v/>
      </c>
      <c r="K1093">
        <f>IF(A1093="","",IFERROR(IF(B1093="",NA(),MATCH(B1093,Products!$B$5:$B$204,0)),IFERROR(MATCH(A1093,Products!$A$5:$A$204,0),"")))</f>
        <v/>
      </c>
      <c r="L1093">
        <f>IF(A1093="","",IF(K1093="","⚠ not in Products",INDEX(Products!$A$5:$A$204,K1093)))</f>
        <v/>
      </c>
      <c r="M1093" s="11">
        <f>IF(A1093="","",J1093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1093+IFERROR(INDEX(Settings!$D$5:$D$9,MATCH("Etsy",Settings!$A$5:$A$9,0)),0)*D1093)</f>
        <v/>
      </c>
      <c r="N1093" s="11">
        <f>IF(A1093="","",IF(K1093="",0,D1093*INDEX(Products!$I$5:$I$204,K1093)))</f>
        <v/>
      </c>
      <c r="O1093" s="11">
        <f>IF(A1093="","",IF(K1093="",0,J1093*INDEX(Products!$H$5:$H$204,K1093)))</f>
        <v/>
      </c>
      <c r="P1093" s="11">
        <f>IF(A1093="","",J1093-M1093-N1093-O1093)</f>
        <v/>
      </c>
    </row>
    <row r="1094">
      <c r="A1094">
        <f>IFERROR(INDEX('Etsy Import'!$A:$CZ,1094,Settings!$C$20)&amp;"","")</f>
        <v/>
      </c>
      <c r="B1094">
        <f>IFERROR(INDEX('Etsy Import'!$A:$CZ,1094,Settings!$C$21)&amp;"","")</f>
        <v/>
      </c>
      <c r="C1094">
        <f>IFERROR(INDEX('Etsy Import'!$A:$CZ,1094,Settings!$C$22)&amp;"","")</f>
        <v/>
      </c>
      <c r="D1094">
        <f>IF(A1094="","",IFERROR(VALUE(SUBSTITUTE(SUBSTITUTE(INDEX('Etsy Import'!$A:$CZ,1094,Settings!$C$23)&amp;"","$",""),",","")),0))</f>
        <v/>
      </c>
      <c r="E1094" s="11">
        <f>IF(A1094="","",IFERROR(VALUE(SUBSTITUTE(SUBSTITUTE(INDEX('Etsy Import'!$A:$CZ,1094,Settings!$C$24)&amp;"","$",""),",","")),0))</f>
        <v/>
      </c>
      <c r="F1094" s="11">
        <f>IF(A1094="","",D1094*E1094)</f>
        <v/>
      </c>
      <c r="G1094">
        <f>IF(A1094="","",IF(C1094="",1,COUNTIF($C$2:$C$1501,C1094)))</f>
        <v/>
      </c>
      <c r="H1094" s="11">
        <f>IF(A1094="","",IFERROR(VALUE(SUBSTITUTE(SUBSTITUTE(INDEX('Etsy Import'!$A:$CZ,1094,Settings!$C$25)&amp;"","$",""),",","")),0)/IF(Settings!$B$27="Yes",G1094,1))</f>
        <v/>
      </c>
      <c r="I1094" s="11">
        <f>IF(A1094="","",IFERROR(VALUE(SUBSTITUTE(SUBSTITUTE(INDEX('Etsy Import'!$A:$CZ,1094,Settings!$C$26)&amp;"","$",""),",","")),0)/IF(Settings!$B$27="Yes",G1094,1))</f>
        <v/>
      </c>
      <c r="J1094" s="11">
        <f>IF(A1094="","",F1094+H1094-I1094)</f>
        <v/>
      </c>
      <c r="K1094">
        <f>IF(A1094="","",IFERROR(IF(B1094="",NA(),MATCH(B1094,Products!$B$5:$B$204,0)),IFERROR(MATCH(A1094,Products!$A$5:$A$204,0),"")))</f>
        <v/>
      </c>
      <c r="L1094">
        <f>IF(A1094="","",IF(K1094="","⚠ not in Products",INDEX(Products!$A$5:$A$204,K1094)))</f>
        <v/>
      </c>
      <c r="M1094" s="11">
        <f>IF(A1094="","",J1094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1094+IFERROR(INDEX(Settings!$D$5:$D$9,MATCH("Etsy",Settings!$A$5:$A$9,0)),0)*D1094)</f>
        <v/>
      </c>
      <c r="N1094" s="11">
        <f>IF(A1094="","",IF(K1094="",0,D1094*INDEX(Products!$I$5:$I$204,K1094)))</f>
        <v/>
      </c>
      <c r="O1094" s="11">
        <f>IF(A1094="","",IF(K1094="",0,J1094*INDEX(Products!$H$5:$H$204,K1094)))</f>
        <v/>
      </c>
      <c r="P1094" s="11">
        <f>IF(A1094="","",J1094-M1094-N1094-O1094)</f>
        <v/>
      </c>
    </row>
    <row r="1095">
      <c r="A1095">
        <f>IFERROR(INDEX('Etsy Import'!$A:$CZ,1095,Settings!$C$20)&amp;"","")</f>
        <v/>
      </c>
      <c r="B1095">
        <f>IFERROR(INDEX('Etsy Import'!$A:$CZ,1095,Settings!$C$21)&amp;"","")</f>
        <v/>
      </c>
      <c r="C1095">
        <f>IFERROR(INDEX('Etsy Import'!$A:$CZ,1095,Settings!$C$22)&amp;"","")</f>
        <v/>
      </c>
      <c r="D1095">
        <f>IF(A1095="","",IFERROR(VALUE(SUBSTITUTE(SUBSTITUTE(INDEX('Etsy Import'!$A:$CZ,1095,Settings!$C$23)&amp;"","$",""),",","")),0))</f>
        <v/>
      </c>
      <c r="E1095" s="11">
        <f>IF(A1095="","",IFERROR(VALUE(SUBSTITUTE(SUBSTITUTE(INDEX('Etsy Import'!$A:$CZ,1095,Settings!$C$24)&amp;"","$",""),",","")),0))</f>
        <v/>
      </c>
      <c r="F1095" s="11">
        <f>IF(A1095="","",D1095*E1095)</f>
        <v/>
      </c>
      <c r="G1095">
        <f>IF(A1095="","",IF(C1095="",1,COUNTIF($C$2:$C$1501,C1095)))</f>
        <v/>
      </c>
      <c r="H1095" s="11">
        <f>IF(A1095="","",IFERROR(VALUE(SUBSTITUTE(SUBSTITUTE(INDEX('Etsy Import'!$A:$CZ,1095,Settings!$C$25)&amp;"","$",""),",","")),0)/IF(Settings!$B$27="Yes",G1095,1))</f>
        <v/>
      </c>
      <c r="I1095" s="11">
        <f>IF(A1095="","",IFERROR(VALUE(SUBSTITUTE(SUBSTITUTE(INDEX('Etsy Import'!$A:$CZ,1095,Settings!$C$26)&amp;"","$",""),",","")),0)/IF(Settings!$B$27="Yes",G1095,1))</f>
        <v/>
      </c>
      <c r="J1095" s="11">
        <f>IF(A1095="","",F1095+H1095-I1095)</f>
        <v/>
      </c>
      <c r="K1095">
        <f>IF(A1095="","",IFERROR(IF(B1095="",NA(),MATCH(B1095,Products!$B$5:$B$204,0)),IFERROR(MATCH(A1095,Products!$A$5:$A$204,0),"")))</f>
        <v/>
      </c>
      <c r="L1095">
        <f>IF(A1095="","",IF(K1095="","⚠ not in Products",INDEX(Products!$A$5:$A$204,K1095)))</f>
        <v/>
      </c>
      <c r="M1095" s="11">
        <f>IF(A1095="","",J1095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1095+IFERROR(INDEX(Settings!$D$5:$D$9,MATCH("Etsy",Settings!$A$5:$A$9,0)),0)*D1095)</f>
        <v/>
      </c>
      <c r="N1095" s="11">
        <f>IF(A1095="","",IF(K1095="",0,D1095*INDEX(Products!$I$5:$I$204,K1095)))</f>
        <v/>
      </c>
      <c r="O1095" s="11">
        <f>IF(A1095="","",IF(K1095="",0,J1095*INDEX(Products!$H$5:$H$204,K1095)))</f>
        <v/>
      </c>
      <c r="P1095" s="11">
        <f>IF(A1095="","",J1095-M1095-N1095-O1095)</f>
        <v/>
      </c>
    </row>
    <row r="1096">
      <c r="A1096">
        <f>IFERROR(INDEX('Etsy Import'!$A:$CZ,1096,Settings!$C$20)&amp;"","")</f>
        <v/>
      </c>
      <c r="B1096">
        <f>IFERROR(INDEX('Etsy Import'!$A:$CZ,1096,Settings!$C$21)&amp;"","")</f>
        <v/>
      </c>
      <c r="C1096">
        <f>IFERROR(INDEX('Etsy Import'!$A:$CZ,1096,Settings!$C$22)&amp;"","")</f>
        <v/>
      </c>
      <c r="D1096">
        <f>IF(A1096="","",IFERROR(VALUE(SUBSTITUTE(SUBSTITUTE(INDEX('Etsy Import'!$A:$CZ,1096,Settings!$C$23)&amp;"","$",""),",","")),0))</f>
        <v/>
      </c>
      <c r="E1096" s="11">
        <f>IF(A1096="","",IFERROR(VALUE(SUBSTITUTE(SUBSTITUTE(INDEX('Etsy Import'!$A:$CZ,1096,Settings!$C$24)&amp;"","$",""),",","")),0))</f>
        <v/>
      </c>
      <c r="F1096" s="11">
        <f>IF(A1096="","",D1096*E1096)</f>
        <v/>
      </c>
      <c r="G1096">
        <f>IF(A1096="","",IF(C1096="",1,COUNTIF($C$2:$C$1501,C1096)))</f>
        <v/>
      </c>
      <c r="H1096" s="11">
        <f>IF(A1096="","",IFERROR(VALUE(SUBSTITUTE(SUBSTITUTE(INDEX('Etsy Import'!$A:$CZ,1096,Settings!$C$25)&amp;"","$",""),",","")),0)/IF(Settings!$B$27="Yes",G1096,1))</f>
        <v/>
      </c>
      <c r="I1096" s="11">
        <f>IF(A1096="","",IFERROR(VALUE(SUBSTITUTE(SUBSTITUTE(INDEX('Etsy Import'!$A:$CZ,1096,Settings!$C$26)&amp;"","$",""),",","")),0)/IF(Settings!$B$27="Yes",G1096,1))</f>
        <v/>
      </c>
      <c r="J1096" s="11">
        <f>IF(A1096="","",F1096+H1096-I1096)</f>
        <v/>
      </c>
      <c r="K1096">
        <f>IF(A1096="","",IFERROR(IF(B1096="",NA(),MATCH(B1096,Products!$B$5:$B$204,0)),IFERROR(MATCH(A1096,Products!$A$5:$A$204,0),"")))</f>
        <v/>
      </c>
      <c r="L1096">
        <f>IF(A1096="","",IF(K1096="","⚠ not in Products",INDEX(Products!$A$5:$A$204,K1096)))</f>
        <v/>
      </c>
      <c r="M1096" s="11">
        <f>IF(A1096="","",J1096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1096+IFERROR(INDEX(Settings!$D$5:$D$9,MATCH("Etsy",Settings!$A$5:$A$9,0)),0)*D1096)</f>
        <v/>
      </c>
      <c r="N1096" s="11">
        <f>IF(A1096="","",IF(K1096="",0,D1096*INDEX(Products!$I$5:$I$204,K1096)))</f>
        <v/>
      </c>
      <c r="O1096" s="11">
        <f>IF(A1096="","",IF(K1096="",0,J1096*INDEX(Products!$H$5:$H$204,K1096)))</f>
        <v/>
      </c>
      <c r="P1096" s="11">
        <f>IF(A1096="","",J1096-M1096-N1096-O1096)</f>
        <v/>
      </c>
    </row>
    <row r="1097">
      <c r="A1097">
        <f>IFERROR(INDEX('Etsy Import'!$A:$CZ,1097,Settings!$C$20)&amp;"","")</f>
        <v/>
      </c>
      <c r="B1097">
        <f>IFERROR(INDEX('Etsy Import'!$A:$CZ,1097,Settings!$C$21)&amp;"","")</f>
        <v/>
      </c>
      <c r="C1097">
        <f>IFERROR(INDEX('Etsy Import'!$A:$CZ,1097,Settings!$C$22)&amp;"","")</f>
        <v/>
      </c>
      <c r="D1097">
        <f>IF(A1097="","",IFERROR(VALUE(SUBSTITUTE(SUBSTITUTE(INDEX('Etsy Import'!$A:$CZ,1097,Settings!$C$23)&amp;"","$",""),",","")),0))</f>
        <v/>
      </c>
      <c r="E1097" s="11">
        <f>IF(A1097="","",IFERROR(VALUE(SUBSTITUTE(SUBSTITUTE(INDEX('Etsy Import'!$A:$CZ,1097,Settings!$C$24)&amp;"","$",""),",","")),0))</f>
        <v/>
      </c>
      <c r="F1097" s="11">
        <f>IF(A1097="","",D1097*E1097)</f>
        <v/>
      </c>
      <c r="G1097">
        <f>IF(A1097="","",IF(C1097="",1,COUNTIF($C$2:$C$1501,C1097)))</f>
        <v/>
      </c>
      <c r="H1097" s="11">
        <f>IF(A1097="","",IFERROR(VALUE(SUBSTITUTE(SUBSTITUTE(INDEX('Etsy Import'!$A:$CZ,1097,Settings!$C$25)&amp;"","$",""),",","")),0)/IF(Settings!$B$27="Yes",G1097,1))</f>
        <v/>
      </c>
      <c r="I1097" s="11">
        <f>IF(A1097="","",IFERROR(VALUE(SUBSTITUTE(SUBSTITUTE(INDEX('Etsy Import'!$A:$CZ,1097,Settings!$C$26)&amp;"","$",""),",","")),0)/IF(Settings!$B$27="Yes",G1097,1))</f>
        <v/>
      </c>
      <c r="J1097" s="11">
        <f>IF(A1097="","",F1097+H1097-I1097)</f>
        <v/>
      </c>
      <c r="K1097">
        <f>IF(A1097="","",IFERROR(IF(B1097="",NA(),MATCH(B1097,Products!$B$5:$B$204,0)),IFERROR(MATCH(A1097,Products!$A$5:$A$204,0),"")))</f>
        <v/>
      </c>
      <c r="L1097">
        <f>IF(A1097="","",IF(K1097="","⚠ not in Products",INDEX(Products!$A$5:$A$204,K1097)))</f>
        <v/>
      </c>
      <c r="M1097" s="11">
        <f>IF(A1097="","",J1097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1097+IFERROR(INDEX(Settings!$D$5:$D$9,MATCH("Etsy",Settings!$A$5:$A$9,0)),0)*D1097)</f>
        <v/>
      </c>
      <c r="N1097" s="11">
        <f>IF(A1097="","",IF(K1097="",0,D1097*INDEX(Products!$I$5:$I$204,K1097)))</f>
        <v/>
      </c>
      <c r="O1097" s="11">
        <f>IF(A1097="","",IF(K1097="",0,J1097*INDEX(Products!$H$5:$H$204,K1097)))</f>
        <v/>
      </c>
      <c r="P1097" s="11">
        <f>IF(A1097="","",J1097-M1097-N1097-O1097)</f>
        <v/>
      </c>
    </row>
    <row r="1098">
      <c r="A1098">
        <f>IFERROR(INDEX('Etsy Import'!$A:$CZ,1098,Settings!$C$20)&amp;"","")</f>
        <v/>
      </c>
      <c r="B1098">
        <f>IFERROR(INDEX('Etsy Import'!$A:$CZ,1098,Settings!$C$21)&amp;"","")</f>
        <v/>
      </c>
      <c r="C1098">
        <f>IFERROR(INDEX('Etsy Import'!$A:$CZ,1098,Settings!$C$22)&amp;"","")</f>
        <v/>
      </c>
      <c r="D1098">
        <f>IF(A1098="","",IFERROR(VALUE(SUBSTITUTE(SUBSTITUTE(INDEX('Etsy Import'!$A:$CZ,1098,Settings!$C$23)&amp;"","$",""),",","")),0))</f>
        <v/>
      </c>
      <c r="E1098" s="11">
        <f>IF(A1098="","",IFERROR(VALUE(SUBSTITUTE(SUBSTITUTE(INDEX('Etsy Import'!$A:$CZ,1098,Settings!$C$24)&amp;"","$",""),",","")),0))</f>
        <v/>
      </c>
      <c r="F1098" s="11">
        <f>IF(A1098="","",D1098*E1098)</f>
        <v/>
      </c>
      <c r="G1098">
        <f>IF(A1098="","",IF(C1098="",1,COUNTIF($C$2:$C$1501,C1098)))</f>
        <v/>
      </c>
      <c r="H1098" s="11">
        <f>IF(A1098="","",IFERROR(VALUE(SUBSTITUTE(SUBSTITUTE(INDEX('Etsy Import'!$A:$CZ,1098,Settings!$C$25)&amp;"","$",""),",","")),0)/IF(Settings!$B$27="Yes",G1098,1))</f>
        <v/>
      </c>
      <c r="I1098" s="11">
        <f>IF(A1098="","",IFERROR(VALUE(SUBSTITUTE(SUBSTITUTE(INDEX('Etsy Import'!$A:$CZ,1098,Settings!$C$26)&amp;"","$",""),",","")),0)/IF(Settings!$B$27="Yes",G1098,1))</f>
        <v/>
      </c>
      <c r="J1098" s="11">
        <f>IF(A1098="","",F1098+H1098-I1098)</f>
        <v/>
      </c>
      <c r="K1098">
        <f>IF(A1098="","",IFERROR(IF(B1098="",NA(),MATCH(B1098,Products!$B$5:$B$204,0)),IFERROR(MATCH(A1098,Products!$A$5:$A$204,0),"")))</f>
        <v/>
      </c>
      <c r="L1098">
        <f>IF(A1098="","",IF(K1098="","⚠ not in Products",INDEX(Products!$A$5:$A$204,K1098)))</f>
        <v/>
      </c>
      <c r="M1098" s="11">
        <f>IF(A1098="","",J1098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1098+IFERROR(INDEX(Settings!$D$5:$D$9,MATCH("Etsy",Settings!$A$5:$A$9,0)),0)*D1098)</f>
        <v/>
      </c>
      <c r="N1098" s="11">
        <f>IF(A1098="","",IF(K1098="",0,D1098*INDEX(Products!$I$5:$I$204,K1098)))</f>
        <v/>
      </c>
      <c r="O1098" s="11">
        <f>IF(A1098="","",IF(K1098="",0,J1098*INDEX(Products!$H$5:$H$204,K1098)))</f>
        <v/>
      </c>
      <c r="P1098" s="11">
        <f>IF(A1098="","",J1098-M1098-N1098-O1098)</f>
        <v/>
      </c>
    </row>
    <row r="1099">
      <c r="A1099">
        <f>IFERROR(INDEX('Etsy Import'!$A:$CZ,1099,Settings!$C$20)&amp;"","")</f>
        <v/>
      </c>
      <c r="B1099">
        <f>IFERROR(INDEX('Etsy Import'!$A:$CZ,1099,Settings!$C$21)&amp;"","")</f>
        <v/>
      </c>
      <c r="C1099">
        <f>IFERROR(INDEX('Etsy Import'!$A:$CZ,1099,Settings!$C$22)&amp;"","")</f>
        <v/>
      </c>
      <c r="D1099">
        <f>IF(A1099="","",IFERROR(VALUE(SUBSTITUTE(SUBSTITUTE(INDEX('Etsy Import'!$A:$CZ,1099,Settings!$C$23)&amp;"","$",""),",","")),0))</f>
        <v/>
      </c>
      <c r="E1099" s="11">
        <f>IF(A1099="","",IFERROR(VALUE(SUBSTITUTE(SUBSTITUTE(INDEX('Etsy Import'!$A:$CZ,1099,Settings!$C$24)&amp;"","$",""),",","")),0))</f>
        <v/>
      </c>
      <c r="F1099" s="11">
        <f>IF(A1099="","",D1099*E1099)</f>
        <v/>
      </c>
      <c r="G1099">
        <f>IF(A1099="","",IF(C1099="",1,COUNTIF($C$2:$C$1501,C1099)))</f>
        <v/>
      </c>
      <c r="H1099" s="11">
        <f>IF(A1099="","",IFERROR(VALUE(SUBSTITUTE(SUBSTITUTE(INDEX('Etsy Import'!$A:$CZ,1099,Settings!$C$25)&amp;"","$",""),",","")),0)/IF(Settings!$B$27="Yes",G1099,1))</f>
        <v/>
      </c>
      <c r="I1099" s="11">
        <f>IF(A1099="","",IFERROR(VALUE(SUBSTITUTE(SUBSTITUTE(INDEX('Etsy Import'!$A:$CZ,1099,Settings!$C$26)&amp;"","$",""),",","")),0)/IF(Settings!$B$27="Yes",G1099,1))</f>
        <v/>
      </c>
      <c r="J1099" s="11">
        <f>IF(A1099="","",F1099+H1099-I1099)</f>
        <v/>
      </c>
      <c r="K1099">
        <f>IF(A1099="","",IFERROR(IF(B1099="",NA(),MATCH(B1099,Products!$B$5:$B$204,0)),IFERROR(MATCH(A1099,Products!$A$5:$A$204,0),"")))</f>
        <v/>
      </c>
      <c r="L1099">
        <f>IF(A1099="","",IF(K1099="","⚠ not in Products",INDEX(Products!$A$5:$A$204,K1099)))</f>
        <v/>
      </c>
      <c r="M1099" s="11">
        <f>IF(A1099="","",J1099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1099+IFERROR(INDEX(Settings!$D$5:$D$9,MATCH("Etsy",Settings!$A$5:$A$9,0)),0)*D1099)</f>
        <v/>
      </c>
      <c r="N1099" s="11">
        <f>IF(A1099="","",IF(K1099="",0,D1099*INDEX(Products!$I$5:$I$204,K1099)))</f>
        <v/>
      </c>
      <c r="O1099" s="11">
        <f>IF(A1099="","",IF(K1099="",0,J1099*INDEX(Products!$H$5:$H$204,K1099)))</f>
        <v/>
      </c>
      <c r="P1099" s="11">
        <f>IF(A1099="","",J1099-M1099-N1099-O1099)</f>
        <v/>
      </c>
    </row>
    <row r="1100">
      <c r="A1100">
        <f>IFERROR(INDEX('Etsy Import'!$A:$CZ,1100,Settings!$C$20)&amp;"","")</f>
        <v/>
      </c>
      <c r="B1100">
        <f>IFERROR(INDEX('Etsy Import'!$A:$CZ,1100,Settings!$C$21)&amp;"","")</f>
        <v/>
      </c>
      <c r="C1100">
        <f>IFERROR(INDEX('Etsy Import'!$A:$CZ,1100,Settings!$C$22)&amp;"","")</f>
        <v/>
      </c>
      <c r="D1100">
        <f>IF(A1100="","",IFERROR(VALUE(SUBSTITUTE(SUBSTITUTE(INDEX('Etsy Import'!$A:$CZ,1100,Settings!$C$23)&amp;"","$",""),",","")),0))</f>
        <v/>
      </c>
      <c r="E1100" s="11">
        <f>IF(A1100="","",IFERROR(VALUE(SUBSTITUTE(SUBSTITUTE(INDEX('Etsy Import'!$A:$CZ,1100,Settings!$C$24)&amp;"","$",""),",","")),0))</f>
        <v/>
      </c>
      <c r="F1100" s="11">
        <f>IF(A1100="","",D1100*E1100)</f>
        <v/>
      </c>
      <c r="G1100">
        <f>IF(A1100="","",IF(C1100="",1,COUNTIF($C$2:$C$1501,C1100)))</f>
        <v/>
      </c>
      <c r="H1100" s="11">
        <f>IF(A1100="","",IFERROR(VALUE(SUBSTITUTE(SUBSTITUTE(INDEX('Etsy Import'!$A:$CZ,1100,Settings!$C$25)&amp;"","$",""),",","")),0)/IF(Settings!$B$27="Yes",G1100,1))</f>
        <v/>
      </c>
      <c r="I1100" s="11">
        <f>IF(A1100="","",IFERROR(VALUE(SUBSTITUTE(SUBSTITUTE(INDEX('Etsy Import'!$A:$CZ,1100,Settings!$C$26)&amp;"","$",""),",","")),0)/IF(Settings!$B$27="Yes",G1100,1))</f>
        <v/>
      </c>
      <c r="J1100" s="11">
        <f>IF(A1100="","",F1100+H1100-I1100)</f>
        <v/>
      </c>
      <c r="K1100">
        <f>IF(A1100="","",IFERROR(IF(B1100="",NA(),MATCH(B1100,Products!$B$5:$B$204,0)),IFERROR(MATCH(A1100,Products!$A$5:$A$204,0),"")))</f>
        <v/>
      </c>
      <c r="L1100">
        <f>IF(A1100="","",IF(K1100="","⚠ not in Products",INDEX(Products!$A$5:$A$204,K1100)))</f>
        <v/>
      </c>
      <c r="M1100" s="11">
        <f>IF(A1100="","",J1100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1100+IFERROR(INDEX(Settings!$D$5:$D$9,MATCH("Etsy",Settings!$A$5:$A$9,0)),0)*D1100)</f>
        <v/>
      </c>
      <c r="N1100" s="11">
        <f>IF(A1100="","",IF(K1100="",0,D1100*INDEX(Products!$I$5:$I$204,K1100)))</f>
        <v/>
      </c>
      <c r="O1100" s="11">
        <f>IF(A1100="","",IF(K1100="",0,J1100*INDEX(Products!$H$5:$H$204,K1100)))</f>
        <v/>
      </c>
      <c r="P1100" s="11">
        <f>IF(A1100="","",J1100-M1100-N1100-O1100)</f>
        <v/>
      </c>
    </row>
    <row r="1101">
      <c r="A1101">
        <f>IFERROR(INDEX('Etsy Import'!$A:$CZ,1101,Settings!$C$20)&amp;"","")</f>
        <v/>
      </c>
      <c r="B1101">
        <f>IFERROR(INDEX('Etsy Import'!$A:$CZ,1101,Settings!$C$21)&amp;"","")</f>
        <v/>
      </c>
      <c r="C1101">
        <f>IFERROR(INDEX('Etsy Import'!$A:$CZ,1101,Settings!$C$22)&amp;"","")</f>
        <v/>
      </c>
      <c r="D1101">
        <f>IF(A1101="","",IFERROR(VALUE(SUBSTITUTE(SUBSTITUTE(INDEX('Etsy Import'!$A:$CZ,1101,Settings!$C$23)&amp;"","$",""),",","")),0))</f>
        <v/>
      </c>
      <c r="E1101" s="11">
        <f>IF(A1101="","",IFERROR(VALUE(SUBSTITUTE(SUBSTITUTE(INDEX('Etsy Import'!$A:$CZ,1101,Settings!$C$24)&amp;"","$",""),",","")),0))</f>
        <v/>
      </c>
      <c r="F1101" s="11">
        <f>IF(A1101="","",D1101*E1101)</f>
        <v/>
      </c>
      <c r="G1101">
        <f>IF(A1101="","",IF(C1101="",1,COUNTIF($C$2:$C$1501,C1101)))</f>
        <v/>
      </c>
      <c r="H1101" s="11">
        <f>IF(A1101="","",IFERROR(VALUE(SUBSTITUTE(SUBSTITUTE(INDEX('Etsy Import'!$A:$CZ,1101,Settings!$C$25)&amp;"","$",""),",","")),0)/IF(Settings!$B$27="Yes",G1101,1))</f>
        <v/>
      </c>
      <c r="I1101" s="11">
        <f>IF(A1101="","",IFERROR(VALUE(SUBSTITUTE(SUBSTITUTE(INDEX('Etsy Import'!$A:$CZ,1101,Settings!$C$26)&amp;"","$",""),",","")),0)/IF(Settings!$B$27="Yes",G1101,1))</f>
        <v/>
      </c>
      <c r="J1101" s="11">
        <f>IF(A1101="","",F1101+H1101-I1101)</f>
        <v/>
      </c>
      <c r="K1101">
        <f>IF(A1101="","",IFERROR(IF(B1101="",NA(),MATCH(B1101,Products!$B$5:$B$204,0)),IFERROR(MATCH(A1101,Products!$A$5:$A$204,0),"")))</f>
        <v/>
      </c>
      <c r="L1101">
        <f>IF(A1101="","",IF(K1101="","⚠ not in Products",INDEX(Products!$A$5:$A$204,K1101)))</f>
        <v/>
      </c>
      <c r="M1101" s="11">
        <f>IF(A1101="","",J1101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1101+IFERROR(INDEX(Settings!$D$5:$D$9,MATCH("Etsy",Settings!$A$5:$A$9,0)),0)*D1101)</f>
        <v/>
      </c>
      <c r="N1101" s="11">
        <f>IF(A1101="","",IF(K1101="",0,D1101*INDEX(Products!$I$5:$I$204,K1101)))</f>
        <v/>
      </c>
      <c r="O1101" s="11">
        <f>IF(A1101="","",IF(K1101="",0,J1101*INDEX(Products!$H$5:$H$204,K1101)))</f>
        <v/>
      </c>
      <c r="P1101" s="11">
        <f>IF(A1101="","",J1101-M1101-N1101-O1101)</f>
        <v/>
      </c>
    </row>
    <row r="1102">
      <c r="A1102">
        <f>IFERROR(INDEX('Etsy Import'!$A:$CZ,1102,Settings!$C$20)&amp;"","")</f>
        <v/>
      </c>
      <c r="B1102">
        <f>IFERROR(INDEX('Etsy Import'!$A:$CZ,1102,Settings!$C$21)&amp;"","")</f>
        <v/>
      </c>
      <c r="C1102">
        <f>IFERROR(INDEX('Etsy Import'!$A:$CZ,1102,Settings!$C$22)&amp;"","")</f>
        <v/>
      </c>
      <c r="D1102">
        <f>IF(A1102="","",IFERROR(VALUE(SUBSTITUTE(SUBSTITUTE(INDEX('Etsy Import'!$A:$CZ,1102,Settings!$C$23)&amp;"","$",""),",","")),0))</f>
        <v/>
      </c>
      <c r="E1102" s="11">
        <f>IF(A1102="","",IFERROR(VALUE(SUBSTITUTE(SUBSTITUTE(INDEX('Etsy Import'!$A:$CZ,1102,Settings!$C$24)&amp;"","$",""),",","")),0))</f>
        <v/>
      </c>
      <c r="F1102" s="11">
        <f>IF(A1102="","",D1102*E1102)</f>
        <v/>
      </c>
      <c r="G1102">
        <f>IF(A1102="","",IF(C1102="",1,COUNTIF($C$2:$C$1501,C1102)))</f>
        <v/>
      </c>
      <c r="H1102" s="11">
        <f>IF(A1102="","",IFERROR(VALUE(SUBSTITUTE(SUBSTITUTE(INDEX('Etsy Import'!$A:$CZ,1102,Settings!$C$25)&amp;"","$",""),",","")),0)/IF(Settings!$B$27="Yes",G1102,1))</f>
        <v/>
      </c>
      <c r="I1102" s="11">
        <f>IF(A1102="","",IFERROR(VALUE(SUBSTITUTE(SUBSTITUTE(INDEX('Etsy Import'!$A:$CZ,1102,Settings!$C$26)&amp;"","$",""),",","")),0)/IF(Settings!$B$27="Yes",G1102,1))</f>
        <v/>
      </c>
      <c r="J1102" s="11">
        <f>IF(A1102="","",F1102+H1102-I1102)</f>
        <v/>
      </c>
      <c r="K1102">
        <f>IF(A1102="","",IFERROR(IF(B1102="",NA(),MATCH(B1102,Products!$B$5:$B$204,0)),IFERROR(MATCH(A1102,Products!$A$5:$A$204,0),"")))</f>
        <v/>
      </c>
      <c r="L1102">
        <f>IF(A1102="","",IF(K1102="","⚠ not in Products",INDEX(Products!$A$5:$A$204,K1102)))</f>
        <v/>
      </c>
      <c r="M1102" s="11">
        <f>IF(A1102="","",J1102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1102+IFERROR(INDEX(Settings!$D$5:$D$9,MATCH("Etsy",Settings!$A$5:$A$9,0)),0)*D1102)</f>
        <v/>
      </c>
      <c r="N1102" s="11">
        <f>IF(A1102="","",IF(K1102="",0,D1102*INDEX(Products!$I$5:$I$204,K1102)))</f>
        <v/>
      </c>
      <c r="O1102" s="11">
        <f>IF(A1102="","",IF(K1102="",0,J1102*INDEX(Products!$H$5:$H$204,K1102)))</f>
        <v/>
      </c>
      <c r="P1102" s="11">
        <f>IF(A1102="","",J1102-M1102-N1102-O1102)</f>
        <v/>
      </c>
    </row>
    <row r="1103">
      <c r="A1103">
        <f>IFERROR(INDEX('Etsy Import'!$A:$CZ,1103,Settings!$C$20)&amp;"","")</f>
        <v/>
      </c>
      <c r="B1103">
        <f>IFERROR(INDEX('Etsy Import'!$A:$CZ,1103,Settings!$C$21)&amp;"","")</f>
        <v/>
      </c>
      <c r="C1103">
        <f>IFERROR(INDEX('Etsy Import'!$A:$CZ,1103,Settings!$C$22)&amp;"","")</f>
        <v/>
      </c>
      <c r="D1103">
        <f>IF(A1103="","",IFERROR(VALUE(SUBSTITUTE(SUBSTITUTE(INDEX('Etsy Import'!$A:$CZ,1103,Settings!$C$23)&amp;"","$",""),",","")),0))</f>
        <v/>
      </c>
      <c r="E1103" s="11">
        <f>IF(A1103="","",IFERROR(VALUE(SUBSTITUTE(SUBSTITUTE(INDEX('Etsy Import'!$A:$CZ,1103,Settings!$C$24)&amp;"","$",""),",","")),0))</f>
        <v/>
      </c>
      <c r="F1103" s="11">
        <f>IF(A1103="","",D1103*E1103)</f>
        <v/>
      </c>
      <c r="G1103">
        <f>IF(A1103="","",IF(C1103="",1,COUNTIF($C$2:$C$1501,C1103)))</f>
        <v/>
      </c>
      <c r="H1103" s="11">
        <f>IF(A1103="","",IFERROR(VALUE(SUBSTITUTE(SUBSTITUTE(INDEX('Etsy Import'!$A:$CZ,1103,Settings!$C$25)&amp;"","$",""),",","")),0)/IF(Settings!$B$27="Yes",G1103,1))</f>
        <v/>
      </c>
      <c r="I1103" s="11">
        <f>IF(A1103="","",IFERROR(VALUE(SUBSTITUTE(SUBSTITUTE(INDEX('Etsy Import'!$A:$CZ,1103,Settings!$C$26)&amp;"","$",""),",","")),0)/IF(Settings!$B$27="Yes",G1103,1))</f>
        <v/>
      </c>
      <c r="J1103" s="11">
        <f>IF(A1103="","",F1103+H1103-I1103)</f>
        <v/>
      </c>
      <c r="K1103">
        <f>IF(A1103="","",IFERROR(IF(B1103="",NA(),MATCH(B1103,Products!$B$5:$B$204,0)),IFERROR(MATCH(A1103,Products!$A$5:$A$204,0),"")))</f>
        <v/>
      </c>
      <c r="L1103">
        <f>IF(A1103="","",IF(K1103="","⚠ not in Products",INDEX(Products!$A$5:$A$204,K1103)))</f>
        <v/>
      </c>
      <c r="M1103" s="11">
        <f>IF(A1103="","",J1103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1103+IFERROR(INDEX(Settings!$D$5:$D$9,MATCH("Etsy",Settings!$A$5:$A$9,0)),0)*D1103)</f>
        <v/>
      </c>
      <c r="N1103" s="11">
        <f>IF(A1103="","",IF(K1103="",0,D1103*INDEX(Products!$I$5:$I$204,K1103)))</f>
        <v/>
      </c>
      <c r="O1103" s="11">
        <f>IF(A1103="","",IF(K1103="",0,J1103*INDEX(Products!$H$5:$H$204,K1103)))</f>
        <v/>
      </c>
      <c r="P1103" s="11">
        <f>IF(A1103="","",J1103-M1103-N1103-O1103)</f>
        <v/>
      </c>
    </row>
    <row r="1104">
      <c r="A1104">
        <f>IFERROR(INDEX('Etsy Import'!$A:$CZ,1104,Settings!$C$20)&amp;"","")</f>
        <v/>
      </c>
      <c r="B1104">
        <f>IFERROR(INDEX('Etsy Import'!$A:$CZ,1104,Settings!$C$21)&amp;"","")</f>
        <v/>
      </c>
      <c r="C1104">
        <f>IFERROR(INDEX('Etsy Import'!$A:$CZ,1104,Settings!$C$22)&amp;"","")</f>
        <v/>
      </c>
      <c r="D1104">
        <f>IF(A1104="","",IFERROR(VALUE(SUBSTITUTE(SUBSTITUTE(INDEX('Etsy Import'!$A:$CZ,1104,Settings!$C$23)&amp;"","$",""),",","")),0))</f>
        <v/>
      </c>
      <c r="E1104" s="11">
        <f>IF(A1104="","",IFERROR(VALUE(SUBSTITUTE(SUBSTITUTE(INDEX('Etsy Import'!$A:$CZ,1104,Settings!$C$24)&amp;"","$",""),",","")),0))</f>
        <v/>
      </c>
      <c r="F1104" s="11">
        <f>IF(A1104="","",D1104*E1104)</f>
        <v/>
      </c>
      <c r="G1104">
        <f>IF(A1104="","",IF(C1104="",1,COUNTIF($C$2:$C$1501,C1104)))</f>
        <v/>
      </c>
      <c r="H1104" s="11">
        <f>IF(A1104="","",IFERROR(VALUE(SUBSTITUTE(SUBSTITUTE(INDEX('Etsy Import'!$A:$CZ,1104,Settings!$C$25)&amp;"","$",""),",","")),0)/IF(Settings!$B$27="Yes",G1104,1))</f>
        <v/>
      </c>
      <c r="I1104" s="11">
        <f>IF(A1104="","",IFERROR(VALUE(SUBSTITUTE(SUBSTITUTE(INDEX('Etsy Import'!$A:$CZ,1104,Settings!$C$26)&amp;"","$",""),",","")),0)/IF(Settings!$B$27="Yes",G1104,1))</f>
        <v/>
      </c>
      <c r="J1104" s="11">
        <f>IF(A1104="","",F1104+H1104-I1104)</f>
        <v/>
      </c>
      <c r="K1104">
        <f>IF(A1104="","",IFERROR(IF(B1104="",NA(),MATCH(B1104,Products!$B$5:$B$204,0)),IFERROR(MATCH(A1104,Products!$A$5:$A$204,0),"")))</f>
        <v/>
      </c>
      <c r="L1104">
        <f>IF(A1104="","",IF(K1104="","⚠ not in Products",INDEX(Products!$A$5:$A$204,K1104)))</f>
        <v/>
      </c>
      <c r="M1104" s="11">
        <f>IF(A1104="","",J1104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1104+IFERROR(INDEX(Settings!$D$5:$D$9,MATCH("Etsy",Settings!$A$5:$A$9,0)),0)*D1104)</f>
        <v/>
      </c>
      <c r="N1104" s="11">
        <f>IF(A1104="","",IF(K1104="",0,D1104*INDEX(Products!$I$5:$I$204,K1104)))</f>
        <v/>
      </c>
      <c r="O1104" s="11">
        <f>IF(A1104="","",IF(K1104="",0,J1104*INDEX(Products!$H$5:$H$204,K1104)))</f>
        <v/>
      </c>
      <c r="P1104" s="11">
        <f>IF(A1104="","",J1104-M1104-N1104-O1104)</f>
        <v/>
      </c>
    </row>
    <row r="1105">
      <c r="A1105">
        <f>IFERROR(INDEX('Etsy Import'!$A:$CZ,1105,Settings!$C$20)&amp;"","")</f>
        <v/>
      </c>
      <c r="B1105">
        <f>IFERROR(INDEX('Etsy Import'!$A:$CZ,1105,Settings!$C$21)&amp;"","")</f>
        <v/>
      </c>
      <c r="C1105">
        <f>IFERROR(INDEX('Etsy Import'!$A:$CZ,1105,Settings!$C$22)&amp;"","")</f>
        <v/>
      </c>
      <c r="D1105">
        <f>IF(A1105="","",IFERROR(VALUE(SUBSTITUTE(SUBSTITUTE(INDEX('Etsy Import'!$A:$CZ,1105,Settings!$C$23)&amp;"","$",""),",","")),0))</f>
        <v/>
      </c>
      <c r="E1105" s="11">
        <f>IF(A1105="","",IFERROR(VALUE(SUBSTITUTE(SUBSTITUTE(INDEX('Etsy Import'!$A:$CZ,1105,Settings!$C$24)&amp;"","$",""),",","")),0))</f>
        <v/>
      </c>
      <c r="F1105" s="11">
        <f>IF(A1105="","",D1105*E1105)</f>
        <v/>
      </c>
      <c r="G1105">
        <f>IF(A1105="","",IF(C1105="",1,COUNTIF($C$2:$C$1501,C1105)))</f>
        <v/>
      </c>
      <c r="H1105" s="11">
        <f>IF(A1105="","",IFERROR(VALUE(SUBSTITUTE(SUBSTITUTE(INDEX('Etsy Import'!$A:$CZ,1105,Settings!$C$25)&amp;"","$",""),",","")),0)/IF(Settings!$B$27="Yes",G1105,1))</f>
        <v/>
      </c>
      <c r="I1105" s="11">
        <f>IF(A1105="","",IFERROR(VALUE(SUBSTITUTE(SUBSTITUTE(INDEX('Etsy Import'!$A:$CZ,1105,Settings!$C$26)&amp;"","$",""),",","")),0)/IF(Settings!$B$27="Yes",G1105,1))</f>
        <v/>
      </c>
      <c r="J1105" s="11">
        <f>IF(A1105="","",F1105+H1105-I1105)</f>
        <v/>
      </c>
      <c r="K1105">
        <f>IF(A1105="","",IFERROR(IF(B1105="",NA(),MATCH(B1105,Products!$B$5:$B$204,0)),IFERROR(MATCH(A1105,Products!$A$5:$A$204,0),"")))</f>
        <v/>
      </c>
      <c r="L1105">
        <f>IF(A1105="","",IF(K1105="","⚠ not in Products",INDEX(Products!$A$5:$A$204,K1105)))</f>
        <v/>
      </c>
      <c r="M1105" s="11">
        <f>IF(A1105="","",J1105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1105+IFERROR(INDEX(Settings!$D$5:$D$9,MATCH("Etsy",Settings!$A$5:$A$9,0)),0)*D1105)</f>
        <v/>
      </c>
      <c r="N1105" s="11">
        <f>IF(A1105="","",IF(K1105="",0,D1105*INDEX(Products!$I$5:$I$204,K1105)))</f>
        <v/>
      </c>
      <c r="O1105" s="11">
        <f>IF(A1105="","",IF(K1105="",0,J1105*INDEX(Products!$H$5:$H$204,K1105)))</f>
        <v/>
      </c>
      <c r="P1105" s="11">
        <f>IF(A1105="","",J1105-M1105-N1105-O1105)</f>
        <v/>
      </c>
    </row>
    <row r="1106">
      <c r="A1106">
        <f>IFERROR(INDEX('Etsy Import'!$A:$CZ,1106,Settings!$C$20)&amp;"","")</f>
        <v/>
      </c>
      <c r="B1106">
        <f>IFERROR(INDEX('Etsy Import'!$A:$CZ,1106,Settings!$C$21)&amp;"","")</f>
        <v/>
      </c>
      <c r="C1106">
        <f>IFERROR(INDEX('Etsy Import'!$A:$CZ,1106,Settings!$C$22)&amp;"","")</f>
        <v/>
      </c>
      <c r="D1106">
        <f>IF(A1106="","",IFERROR(VALUE(SUBSTITUTE(SUBSTITUTE(INDEX('Etsy Import'!$A:$CZ,1106,Settings!$C$23)&amp;"","$",""),",","")),0))</f>
        <v/>
      </c>
      <c r="E1106" s="11">
        <f>IF(A1106="","",IFERROR(VALUE(SUBSTITUTE(SUBSTITUTE(INDEX('Etsy Import'!$A:$CZ,1106,Settings!$C$24)&amp;"","$",""),",","")),0))</f>
        <v/>
      </c>
      <c r="F1106" s="11">
        <f>IF(A1106="","",D1106*E1106)</f>
        <v/>
      </c>
      <c r="G1106">
        <f>IF(A1106="","",IF(C1106="",1,COUNTIF($C$2:$C$1501,C1106)))</f>
        <v/>
      </c>
      <c r="H1106" s="11">
        <f>IF(A1106="","",IFERROR(VALUE(SUBSTITUTE(SUBSTITUTE(INDEX('Etsy Import'!$A:$CZ,1106,Settings!$C$25)&amp;"","$",""),",","")),0)/IF(Settings!$B$27="Yes",G1106,1))</f>
        <v/>
      </c>
      <c r="I1106" s="11">
        <f>IF(A1106="","",IFERROR(VALUE(SUBSTITUTE(SUBSTITUTE(INDEX('Etsy Import'!$A:$CZ,1106,Settings!$C$26)&amp;"","$",""),",","")),0)/IF(Settings!$B$27="Yes",G1106,1))</f>
        <v/>
      </c>
      <c r="J1106" s="11">
        <f>IF(A1106="","",F1106+H1106-I1106)</f>
        <v/>
      </c>
      <c r="K1106">
        <f>IF(A1106="","",IFERROR(IF(B1106="",NA(),MATCH(B1106,Products!$B$5:$B$204,0)),IFERROR(MATCH(A1106,Products!$A$5:$A$204,0),"")))</f>
        <v/>
      </c>
      <c r="L1106">
        <f>IF(A1106="","",IF(K1106="","⚠ not in Products",INDEX(Products!$A$5:$A$204,K1106)))</f>
        <v/>
      </c>
      <c r="M1106" s="11">
        <f>IF(A1106="","",J1106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1106+IFERROR(INDEX(Settings!$D$5:$D$9,MATCH("Etsy",Settings!$A$5:$A$9,0)),0)*D1106)</f>
        <v/>
      </c>
      <c r="N1106" s="11">
        <f>IF(A1106="","",IF(K1106="",0,D1106*INDEX(Products!$I$5:$I$204,K1106)))</f>
        <v/>
      </c>
      <c r="O1106" s="11">
        <f>IF(A1106="","",IF(K1106="",0,J1106*INDEX(Products!$H$5:$H$204,K1106)))</f>
        <v/>
      </c>
      <c r="P1106" s="11">
        <f>IF(A1106="","",J1106-M1106-N1106-O1106)</f>
        <v/>
      </c>
    </row>
    <row r="1107">
      <c r="A1107">
        <f>IFERROR(INDEX('Etsy Import'!$A:$CZ,1107,Settings!$C$20)&amp;"","")</f>
        <v/>
      </c>
      <c r="B1107">
        <f>IFERROR(INDEX('Etsy Import'!$A:$CZ,1107,Settings!$C$21)&amp;"","")</f>
        <v/>
      </c>
      <c r="C1107">
        <f>IFERROR(INDEX('Etsy Import'!$A:$CZ,1107,Settings!$C$22)&amp;"","")</f>
        <v/>
      </c>
      <c r="D1107">
        <f>IF(A1107="","",IFERROR(VALUE(SUBSTITUTE(SUBSTITUTE(INDEX('Etsy Import'!$A:$CZ,1107,Settings!$C$23)&amp;"","$",""),",","")),0))</f>
        <v/>
      </c>
      <c r="E1107" s="11">
        <f>IF(A1107="","",IFERROR(VALUE(SUBSTITUTE(SUBSTITUTE(INDEX('Etsy Import'!$A:$CZ,1107,Settings!$C$24)&amp;"","$",""),",","")),0))</f>
        <v/>
      </c>
      <c r="F1107" s="11">
        <f>IF(A1107="","",D1107*E1107)</f>
        <v/>
      </c>
      <c r="G1107">
        <f>IF(A1107="","",IF(C1107="",1,COUNTIF($C$2:$C$1501,C1107)))</f>
        <v/>
      </c>
      <c r="H1107" s="11">
        <f>IF(A1107="","",IFERROR(VALUE(SUBSTITUTE(SUBSTITUTE(INDEX('Etsy Import'!$A:$CZ,1107,Settings!$C$25)&amp;"","$",""),",","")),0)/IF(Settings!$B$27="Yes",G1107,1))</f>
        <v/>
      </c>
      <c r="I1107" s="11">
        <f>IF(A1107="","",IFERROR(VALUE(SUBSTITUTE(SUBSTITUTE(INDEX('Etsy Import'!$A:$CZ,1107,Settings!$C$26)&amp;"","$",""),",","")),0)/IF(Settings!$B$27="Yes",G1107,1))</f>
        <v/>
      </c>
      <c r="J1107" s="11">
        <f>IF(A1107="","",F1107+H1107-I1107)</f>
        <v/>
      </c>
      <c r="K1107">
        <f>IF(A1107="","",IFERROR(IF(B1107="",NA(),MATCH(B1107,Products!$B$5:$B$204,0)),IFERROR(MATCH(A1107,Products!$A$5:$A$204,0),"")))</f>
        <v/>
      </c>
      <c r="L1107">
        <f>IF(A1107="","",IF(K1107="","⚠ not in Products",INDEX(Products!$A$5:$A$204,K1107)))</f>
        <v/>
      </c>
      <c r="M1107" s="11">
        <f>IF(A1107="","",J1107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1107+IFERROR(INDEX(Settings!$D$5:$D$9,MATCH("Etsy",Settings!$A$5:$A$9,0)),0)*D1107)</f>
        <v/>
      </c>
      <c r="N1107" s="11">
        <f>IF(A1107="","",IF(K1107="",0,D1107*INDEX(Products!$I$5:$I$204,K1107)))</f>
        <v/>
      </c>
      <c r="O1107" s="11">
        <f>IF(A1107="","",IF(K1107="",0,J1107*INDEX(Products!$H$5:$H$204,K1107)))</f>
        <v/>
      </c>
      <c r="P1107" s="11">
        <f>IF(A1107="","",J1107-M1107-N1107-O1107)</f>
        <v/>
      </c>
    </row>
    <row r="1108">
      <c r="A1108">
        <f>IFERROR(INDEX('Etsy Import'!$A:$CZ,1108,Settings!$C$20)&amp;"","")</f>
        <v/>
      </c>
      <c r="B1108">
        <f>IFERROR(INDEX('Etsy Import'!$A:$CZ,1108,Settings!$C$21)&amp;"","")</f>
        <v/>
      </c>
      <c r="C1108">
        <f>IFERROR(INDEX('Etsy Import'!$A:$CZ,1108,Settings!$C$22)&amp;"","")</f>
        <v/>
      </c>
      <c r="D1108">
        <f>IF(A1108="","",IFERROR(VALUE(SUBSTITUTE(SUBSTITUTE(INDEX('Etsy Import'!$A:$CZ,1108,Settings!$C$23)&amp;"","$",""),",","")),0))</f>
        <v/>
      </c>
      <c r="E1108" s="11">
        <f>IF(A1108="","",IFERROR(VALUE(SUBSTITUTE(SUBSTITUTE(INDEX('Etsy Import'!$A:$CZ,1108,Settings!$C$24)&amp;"","$",""),",","")),0))</f>
        <v/>
      </c>
      <c r="F1108" s="11">
        <f>IF(A1108="","",D1108*E1108)</f>
        <v/>
      </c>
      <c r="G1108">
        <f>IF(A1108="","",IF(C1108="",1,COUNTIF($C$2:$C$1501,C1108)))</f>
        <v/>
      </c>
      <c r="H1108" s="11">
        <f>IF(A1108="","",IFERROR(VALUE(SUBSTITUTE(SUBSTITUTE(INDEX('Etsy Import'!$A:$CZ,1108,Settings!$C$25)&amp;"","$",""),",","")),0)/IF(Settings!$B$27="Yes",G1108,1))</f>
        <v/>
      </c>
      <c r="I1108" s="11">
        <f>IF(A1108="","",IFERROR(VALUE(SUBSTITUTE(SUBSTITUTE(INDEX('Etsy Import'!$A:$CZ,1108,Settings!$C$26)&amp;"","$",""),",","")),0)/IF(Settings!$B$27="Yes",G1108,1))</f>
        <v/>
      </c>
      <c r="J1108" s="11">
        <f>IF(A1108="","",F1108+H1108-I1108)</f>
        <v/>
      </c>
      <c r="K1108">
        <f>IF(A1108="","",IFERROR(IF(B1108="",NA(),MATCH(B1108,Products!$B$5:$B$204,0)),IFERROR(MATCH(A1108,Products!$A$5:$A$204,0),"")))</f>
        <v/>
      </c>
      <c r="L1108">
        <f>IF(A1108="","",IF(K1108="","⚠ not in Products",INDEX(Products!$A$5:$A$204,K1108)))</f>
        <v/>
      </c>
      <c r="M1108" s="11">
        <f>IF(A1108="","",J1108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1108+IFERROR(INDEX(Settings!$D$5:$D$9,MATCH("Etsy",Settings!$A$5:$A$9,0)),0)*D1108)</f>
        <v/>
      </c>
      <c r="N1108" s="11">
        <f>IF(A1108="","",IF(K1108="",0,D1108*INDEX(Products!$I$5:$I$204,K1108)))</f>
        <v/>
      </c>
      <c r="O1108" s="11">
        <f>IF(A1108="","",IF(K1108="",0,J1108*INDEX(Products!$H$5:$H$204,K1108)))</f>
        <v/>
      </c>
      <c r="P1108" s="11">
        <f>IF(A1108="","",J1108-M1108-N1108-O1108)</f>
        <v/>
      </c>
    </row>
    <row r="1109">
      <c r="A1109">
        <f>IFERROR(INDEX('Etsy Import'!$A:$CZ,1109,Settings!$C$20)&amp;"","")</f>
        <v/>
      </c>
      <c r="B1109">
        <f>IFERROR(INDEX('Etsy Import'!$A:$CZ,1109,Settings!$C$21)&amp;"","")</f>
        <v/>
      </c>
      <c r="C1109">
        <f>IFERROR(INDEX('Etsy Import'!$A:$CZ,1109,Settings!$C$22)&amp;"","")</f>
        <v/>
      </c>
      <c r="D1109">
        <f>IF(A1109="","",IFERROR(VALUE(SUBSTITUTE(SUBSTITUTE(INDEX('Etsy Import'!$A:$CZ,1109,Settings!$C$23)&amp;"","$",""),",","")),0))</f>
        <v/>
      </c>
      <c r="E1109" s="11">
        <f>IF(A1109="","",IFERROR(VALUE(SUBSTITUTE(SUBSTITUTE(INDEX('Etsy Import'!$A:$CZ,1109,Settings!$C$24)&amp;"","$",""),",","")),0))</f>
        <v/>
      </c>
      <c r="F1109" s="11">
        <f>IF(A1109="","",D1109*E1109)</f>
        <v/>
      </c>
      <c r="G1109">
        <f>IF(A1109="","",IF(C1109="",1,COUNTIF($C$2:$C$1501,C1109)))</f>
        <v/>
      </c>
      <c r="H1109" s="11">
        <f>IF(A1109="","",IFERROR(VALUE(SUBSTITUTE(SUBSTITUTE(INDEX('Etsy Import'!$A:$CZ,1109,Settings!$C$25)&amp;"","$",""),",","")),0)/IF(Settings!$B$27="Yes",G1109,1))</f>
        <v/>
      </c>
      <c r="I1109" s="11">
        <f>IF(A1109="","",IFERROR(VALUE(SUBSTITUTE(SUBSTITUTE(INDEX('Etsy Import'!$A:$CZ,1109,Settings!$C$26)&amp;"","$",""),",","")),0)/IF(Settings!$B$27="Yes",G1109,1))</f>
        <v/>
      </c>
      <c r="J1109" s="11">
        <f>IF(A1109="","",F1109+H1109-I1109)</f>
        <v/>
      </c>
      <c r="K1109">
        <f>IF(A1109="","",IFERROR(IF(B1109="",NA(),MATCH(B1109,Products!$B$5:$B$204,0)),IFERROR(MATCH(A1109,Products!$A$5:$A$204,0),"")))</f>
        <v/>
      </c>
      <c r="L1109">
        <f>IF(A1109="","",IF(K1109="","⚠ not in Products",INDEX(Products!$A$5:$A$204,K1109)))</f>
        <v/>
      </c>
      <c r="M1109" s="11">
        <f>IF(A1109="","",J1109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1109+IFERROR(INDEX(Settings!$D$5:$D$9,MATCH("Etsy",Settings!$A$5:$A$9,0)),0)*D1109)</f>
        <v/>
      </c>
      <c r="N1109" s="11">
        <f>IF(A1109="","",IF(K1109="",0,D1109*INDEX(Products!$I$5:$I$204,K1109)))</f>
        <v/>
      </c>
      <c r="O1109" s="11">
        <f>IF(A1109="","",IF(K1109="",0,J1109*INDEX(Products!$H$5:$H$204,K1109)))</f>
        <v/>
      </c>
      <c r="P1109" s="11">
        <f>IF(A1109="","",J1109-M1109-N1109-O1109)</f>
        <v/>
      </c>
    </row>
    <row r="1110">
      <c r="A1110">
        <f>IFERROR(INDEX('Etsy Import'!$A:$CZ,1110,Settings!$C$20)&amp;"","")</f>
        <v/>
      </c>
      <c r="B1110">
        <f>IFERROR(INDEX('Etsy Import'!$A:$CZ,1110,Settings!$C$21)&amp;"","")</f>
        <v/>
      </c>
      <c r="C1110">
        <f>IFERROR(INDEX('Etsy Import'!$A:$CZ,1110,Settings!$C$22)&amp;"","")</f>
        <v/>
      </c>
      <c r="D1110">
        <f>IF(A1110="","",IFERROR(VALUE(SUBSTITUTE(SUBSTITUTE(INDEX('Etsy Import'!$A:$CZ,1110,Settings!$C$23)&amp;"","$",""),",","")),0))</f>
        <v/>
      </c>
      <c r="E1110" s="11">
        <f>IF(A1110="","",IFERROR(VALUE(SUBSTITUTE(SUBSTITUTE(INDEX('Etsy Import'!$A:$CZ,1110,Settings!$C$24)&amp;"","$",""),",","")),0))</f>
        <v/>
      </c>
      <c r="F1110" s="11">
        <f>IF(A1110="","",D1110*E1110)</f>
        <v/>
      </c>
      <c r="G1110">
        <f>IF(A1110="","",IF(C1110="",1,COUNTIF($C$2:$C$1501,C1110)))</f>
        <v/>
      </c>
      <c r="H1110" s="11">
        <f>IF(A1110="","",IFERROR(VALUE(SUBSTITUTE(SUBSTITUTE(INDEX('Etsy Import'!$A:$CZ,1110,Settings!$C$25)&amp;"","$",""),",","")),0)/IF(Settings!$B$27="Yes",G1110,1))</f>
        <v/>
      </c>
      <c r="I1110" s="11">
        <f>IF(A1110="","",IFERROR(VALUE(SUBSTITUTE(SUBSTITUTE(INDEX('Etsy Import'!$A:$CZ,1110,Settings!$C$26)&amp;"","$",""),",","")),0)/IF(Settings!$B$27="Yes",G1110,1))</f>
        <v/>
      </c>
      <c r="J1110" s="11">
        <f>IF(A1110="","",F1110+H1110-I1110)</f>
        <v/>
      </c>
      <c r="K1110">
        <f>IF(A1110="","",IFERROR(IF(B1110="",NA(),MATCH(B1110,Products!$B$5:$B$204,0)),IFERROR(MATCH(A1110,Products!$A$5:$A$204,0),"")))</f>
        <v/>
      </c>
      <c r="L1110">
        <f>IF(A1110="","",IF(K1110="","⚠ not in Products",INDEX(Products!$A$5:$A$204,K1110)))</f>
        <v/>
      </c>
      <c r="M1110" s="11">
        <f>IF(A1110="","",J1110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1110+IFERROR(INDEX(Settings!$D$5:$D$9,MATCH("Etsy",Settings!$A$5:$A$9,0)),0)*D1110)</f>
        <v/>
      </c>
      <c r="N1110" s="11">
        <f>IF(A1110="","",IF(K1110="",0,D1110*INDEX(Products!$I$5:$I$204,K1110)))</f>
        <v/>
      </c>
      <c r="O1110" s="11">
        <f>IF(A1110="","",IF(K1110="",0,J1110*INDEX(Products!$H$5:$H$204,K1110)))</f>
        <v/>
      </c>
      <c r="P1110" s="11">
        <f>IF(A1110="","",J1110-M1110-N1110-O1110)</f>
        <v/>
      </c>
    </row>
    <row r="1111">
      <c r="A1111">
        <f>IFERROR(INDEX('Etsy Import'!$A:$CZ,1111,Settings!$C$20)&amp;"","")</f>
        <v/>
      </c>
      <c r="B1111">
        <f>IFERROR(INDEX('Etsy Import'!$A:$CZ,1111,Settings!$C$21)&amp;"","")</f>
        <v/>
      </c>
      <c r="C1111">
        <f>IFERROR(INDEX('Etsy Import'!$A:$CZ,1111,Settings!$C$22)&amp;"","")</f>
        <v/>
      </c>
      <c r="D1111">
        <f>IF(A1111="","",IFERROR(VALUE(SUBSTITUTE(SUBSTITUTE(INDEX('Etsy Import'!$A:$CZ,1111,Settings!$C$23)&amp;"","$",""),",","")),0))</f>
        <v/>
      </c>
      <c r="E1111" s="11">
        <f>IF(A1111="","",IFERROR(VALUE(SUBSTITUTE(SUBSTITUTE(INDEX('Etsy Import'!$A:$CZ,1111,Settings!$C$24)&amp;"","$",""),",","")),0))</f>
        <v/>
      </c>
      <c r="F1111" s="11">
        <f>IF(A1111="","",D1111*E1111)</f>
        <v/>
      </c>
      <c r="G1111">
        <f>IF(A1111="","",IF(C1111="",1,COUNTIF($C$2:$C$1501,C1111)))</f>
        <v/>
      </c>
      <c r="H1111" s="11">
        <f>IF(A1111="","",IFERROR(VALUE(SUBSTITUTE(SUBSTITUTE(INDEX('Etsy Import'!$A:$CZ,1111,Settings!$C$25)&amp;"","$",""),",","")),0)/IF(Settings!$B$27="Yes",G1111,1))</f>
        <v/>
      </c>
      <c r="I1111" s="11">
        <f>IF(A1111="","",IFERROR(VALUE(SUBSTITUTE(SUBSTITUTE(INDEX('Etsy Import'!$A:$CZ,1111,Settings!$C$26)&amp;"","$",""),",","")),0)/IF(Settings!$B$27="Yes",G1111,1))</f>
        <v/>
      </c>
      <c r="J1111" s="11">
        <f>IF(A1111="","",F1111+H1111-I1111)</f>
        <v/>
      </c>
      <c r="K1111">
        <f>IF(A1111="","",IFERROR(IF(B1111="",NA(),MATCH(B1111,Products!$B$5:$B$204,0)),IFERROR(MATCH(A1111,Products!$A$5:$A$204,0),"")))</f>
        <v/>
      </c>
      <c r="L1111">
        <f>IF(A1111="","",IF(K1111="","⚠ not in Products",INDEX(Products!$A$5:$A$204,K1111)))</f>
        <v/>
      </c>
      <c r="M1111" s="11">
        <f>IF(A1111="","",J1111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1111+IFERROR(INDEX(Settings!$D$5:$D$9,MATCH("Etsy",Settings!$A$5:$A$9,0)),0)*D1111)</f>
        <v/>
      </c>
      <c r="N1111" s="11">
        <f>IF(A1111="","",IF(K1111="",0,D1111*INDEX(Products!$I$5:$I$204,K1111)))</f>
        <v/>
      </c>
      <c r="O1111" s="11">
        <f>IF(A1111="","",IF(K1111="",0,J1111*INDEX(Products!$H$5:$H$204,K1111)))</f>
        <v/>
      </c>
      <c r="P1111" s="11">
        <f>IF(A1111="","",J1111-M1111-N1111-O1111)</f>
        <v/>
      </c>
    </row>
    <row r="1112">
      <c r="A1112">
        <f>IFERROR(INDEX('Etsy Import'!$A:$CZ,1112,Settings!$C$20)&amp;"","")</f>
        <v/>
      </c>
      <c r="B1112">
        <f>IFERROR(INDEX('Etsy Import'!$A:$CZ,1112,Settings!$C$21)&amp;"","")</f>
        <v/>
      </c>
      <c r="C1112">
        <f>IFERROR(INDEX('Etsy Import'!$A:$CZ,1112,Settings!$C$22)&amp;"","")</f>
        <v/>
      </c>
      <c r="D1112">
        <f>IF(A1112="","",IFERROR(VALUE(SUBSTITUTE(SUBSTITUTE(INDEX('Etsy Import'!$A:$CZ,1112,Settings!$C$23)&amp;"","$",""),",","")),0))</f>
        <v/>
      </c>
      <c r="E1112" s="11">
        <f>IF(A1112="","",IFERROR(VALUE(SUBSTITUTE(SUBSTITUTE(INDEX('Etsy Import'!$A:$CZ,1112,Settings!$C$24)&amp;"","$",""),",","")),0))</f>
        <v/>
      </c>
      <c r="F1112" s="11">
        <f>IF(A1112="","",D1112*E1112)</f>
        <v/>
      </c>
      <c r="G1112">
        <f>IF(A1112="","",IF(C1112="",1,COUNTIF($C$2:$C$1501,C1112)))</f>
        <v/>
      </c>
      <c r="H1112" s="11">
        <f>IF(A1112="","",IFERROR(VALUE(SUBSTITUTE(SUBSTITUTE(INDEX('Etsy Import'!$A:$CZ,1112,Settings!$C$25)&amp;"","$",""),",","")),0)/IF(Settings!$B$27="Yes",G1112,1))</f>
        <v/>
      </c>
      <c r="I1112" s="11">
        <f>IF(A1112="","",IFERROR(VALUE(SUBSTITUTE(SUBSTITUTE(INDEX('Etsy Import'!$A:$CZ,1112,Settings!$C$26)&amp;"","$",""),",","")),0)/IF(Settings!$B$27="Yes",G1112,1))</f>
        <v/>
      </c>
      <c r="J1112" s="11">
        <f>IF(A1112="","",F1112+H1112-I1112)</f>
        <v/>
      </c>
      <c r="K1112">
        <f>IF(A1112="","",IFERROR(IF(B1112="",NA(),MATCH(B1112,Products!$B$5:$B$204,0)),IFERROR(MATCH(A1112,Products!$A$5:$A$204,0),"")))</f>
        <v/>
      </c>
      <c r="L1112">
        <f>IF(A1112="","",IF(K1112="","⚠ not in Products",INDEX(Products!$A$5:$A$204,K1112)))</f>
        <v/>
      </c>
      <c r="M1112" s="11">
        <f>IF(A1112="","",J1112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1112+IFERROR(INDEX(Settings!$D$5:$D$9,MATCH("Etsy",Settings!$A$5:$A$9,0)),0)*D1112)</f>
        <v/>
      </c>
      <c r="N1112" s="11">
        <f>IF(A1112="","",IF(K1112="",0,D1112*INDEX(Products!$I$5:$I$204,K1112)))</f>
        <v/>
      </c>
      <c r="O1112" s="11">
        <f>IF(A1112="","",IF(K1112="",0,J1112*INDEX(Products!$H$5:$H$204,K1112)))</f>
        <v/>
      </c>
      <c r="P1112" s="11">
        <f>IF(A1112="","",J1112-M1112-N1112-O1112)</f>
        <v/>
      </c>
    </row>
    <row r="1113">
      <c r="A1113">
        <f>IFERROR(INDEX('Etsy Import'!$A:$CZ,1113,Settings!$C$20)&amp;"","")</f>
        <v/>
      </c>
      <c r="B1113">
        <f>IFERROR(INDEX('Etsy Import'!$A:$CZ,1113,Settings!$C$21)&amp;"","")</f>
        <v/>
      </c>
      <c r="C1113">
        <f>IFERROR(INDEX('Etsy Import'!$A:$CZ,1113,Settings!$C$22)&amp;"","")</f>
        <v/>
      </c>
      <c r="D1113">
        <f>IF(A1113="","",IFERROR(VALUE(SUBSTITUTE(SUBSTITUTE(INDEX('Etsy Import'!$A:$CZ,1113,Settings!$C$23)&amp;"","$",""),",","")),0))</f>
        <v/>
      </c>
      <c r="E1113" s="11">
        <f>IF(A1113="","",IFERROR(VALUE(SUBSTITUTE(SUBSTITUTE(INDEX('Etsy Import'!$A:$CZ,1113,Settings!$C$24)&amp;"","$",""),",","")),0))</f>
        <v/>
      </c>
      <c r="F1113" s="11">
        <f>IF(A1113="","",D1113*E1113)</f>
        <v/>
      </c>
      <c r="G1113">
        <f>IF(A1113="","",IF(C1113="",1,COUNTIF($C$2:$C$1501,C1113)))</f>
        <v/>
      </c>
      <c r="H1113" s="11">
        <f>IF(A1113="","",IFERROR(VALUE(SUBSTITUTE(SUBSTITUTE(INDEX('Etsy Import'!$A:$CZ,1113,Settings!$C$25)&amp;"","$",""),",","")),0)/IF(Settings!$B$27="Yes",G1113,1))</f>
        <v/>
      </c>
      <c r="I1113" s="11">
        <f>IF(A1113="","",IFERROR(VALUE(SUBSTITUTE(SUBSTITUTE(INDEX('Etsy Import'!$A:$CZ,1113,Settings!$C$26)&amp;"","$",""),",","")),0)/IF(Settings!$B$27="Yes",G1113,1))</f>
        <v/>
      </c>
      <c r="J1113" s="11">
        <f>IF(A1113="","",F1113+H1113-I1113)</f>
        <v/>
      </c>
      <c r="K1113">
        <f>IF(A1113="","",IFERROR(IF(B1113="",NA(),MATCH(B1113,Products!$B$5:$B$204,0)),IFERROR(MATCH(A1113,Products!$A$5:$A$204,0),"")))</f>
        <v/>
      </c>
      <c r="L1113">
        <f>IF(A1113="","",IF(K1113="","⚠ not in Products",INDEX(Products!$A$5:$A$204,K1113)))</f>
        <v/>
      </c>
      <c r="M1113" s="11">
        <f>IF(A1113="","",J1113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1113+IFERROR(INDEX(Settings!$D$5:$D$9,MATCH("Etsy",Settings!$A$5:$A$9,0)),0)*D1113)</f>
        <v/>
      </c>
      <c r="N1113" s="11">
        <f>IF(A1113="","",IF(K1113="",0,D1113*INDEX(Products!$I$5:$I$204,K1113)))</f>
        <v/>
      </c>
      <c r="O1113" s="11">
        <f>IF(A1113="","",IF(K1113="",0,J1113*INDEX(Products!$H$5:$H$204,K1113)))</f>
        <v/>
      </c>
      <c r="P1113" s="11">
        <f>IF(A1113="","",J1113-M1113-N1113-O1113)</f>
        <v/>
      </c>
    </row>
    <row r="1114">
      <c r="A1114">
        <f>IFERROR(INDEX('Etsy Import'!$A:$CZ,1114,Settings!$C$20)&amp;"","")</f>
        <v/>
      </c>
      <c r="B1114">
        <f>IFERROR(INDEX('Etsy Import'!$A:$CZ,1114,Settings!$C$21)&amp;"","")</f>
        <v/>
      </c>
      <c r="C1114">
        <f>IFERROR(INDEX('Etsy Import'!$A:$CZ,1114,Settings!$C$22)&amp;"","")</f>
        <v/>
      </c>
      <c r="D1114">
        <f>IF(A1114="","",IFERROR(VALUE(SUBSTITUTE(SUBSTITUTE(INDEX('Etsy Import'!$A:$CZ,1114,Settings!$C$23)&amp;"","$",""),",","")),0))</f>
        <v/>
      </c>
      <c r="E1114" s="11">
        <f>IF(A1114="","",IFERROR(VALUE(SUBSTITUTE(SUBSTITUTE(INDEX('Etsy Import'!$A:$CZ,1114,Settings!$C$24)&amp;"","$",""),",","")),0))</f>
        <v/>
      </c>
      <c r="F1114" s="11">
        <f>IF(A1114="","",D1114*E1114)</f>
        <v/>
      </c>
      <c r="G1114">
        <f>IF(A1114="","",IF(C1114="",1,COUNTIF($C$2:$C$1501,C1114)))</f>
        <v/>
      </c>
      <c r="H1114" s="11">
        <f>IF(A1114="","",IFERROR(VALUE(SUBSTITUTE(SUBSTITUTE(INDEX('Etsy Import'!$A:$CZ,1114,Settings!$C$25)&amp;"","$",""),",","")),0)/IF(Settings!$B$27="Yes",G1114,1))</f>
        <v/>
      </c>
      <c r="I1114" s="11">
        <f>IF(A1114="","",IFERROR(VALUE(SUBSTITUTE(SUBSTITUTE(INDEX('Etsy Import'!$A:$CZ,1114,Settings!$C$26)&amp;"","$",""),",","")),0)/IF(Settings!$B$27="Yes",G1114,1))</f>
        <v/>
      </c>
      <c r="J1114" s="11">
        <f>IF(A1114="","",F1114+H1114-I1114)</f>
        <v/>
      </c>
      <c r="K1114">
        <f>IF(A1114="","",IFERROR(IF(B1114="",NA(),MATCH(B1114,Products!$B$5:$B$204,0)),IFERROR(MATCH(A1114,Products!$A$5:$A$204,0),"")))</f>
        <v/>
      </c>
      <c r="L1114">
        <f>IF(A1114="","",IF(K1114="","⚠ not in Products",INDEX(Products!$A$5:$A$204,K1114)))</f>
        <v/>
      </c>
      <c r="M1114" s="11">
        <f>IF(A1114="","",J1114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1114+IFERROR(INDEX(Settings!$D$5:$D$9,MATCH("Etsy",Settings!$A$5:$A$9,0)),0)*D1114)</f>
        <v/>
      </c>
      <c r="N1114" s="11">
        <f>IF(A1114="","",IF(K1114="",0,D1114*INDEX(Products!$I$5:$I$204,K1114)))</f>
        <v/>
      </c>
      <c r="O1114" s="11">
        <f>IF(A1114="","",IF(K1114="",0,J1114*INDEX(Products!$H$5:$H$204,K1114)))</f>
        <v/>
      </c>
      <c r="P1114" s="11">
        <f>IF(A1114="","",J1114-M1114-N1114-O1114)</f>
        <v/>
      </c>
    </row>
    <row r="1115">
      <c r="A1115">
        <f>IFERROR(INDEX('Etsy Import'!$A:$CZ,1115,Settings!$C$20)&amp;"","")</f>
        <v/>
      </c>
      <c r="B1115">
        <f>IFERROR(INDEX('Etsy Import'!$A:$CZ,1115,Settings!$C$21)&amp;"","")</f>
        <v/>
      </c>
      <c r="C1115">
        <f>IFERROR(INDEX('Etsy Import'!$A:$CZ,1115,Settings!$C$22)&amp;"","")</f>
        <v/>
      </c>
      <c r="D1115">
        <f>IF(A1115="","",IFERROR(VALUE(SUBSTITUTE(SUBSTITUTE(INDEX('Etsy Import'!$A:$CZ,1115,Settings!$C$23)&amp;"","$",""),",","")),0))</f>
        <v/>
      </c>
      <c r="E1115" s="11">
        <f>IF(A1115="","",IFERROR(VALUE(SUBSTITUTE(SUBSTITUTE(INDEX('Etsy Import'!$A:$CZ,1115,Settings!$C$24)&amp;"","$",""),",","")),0))</f>
        <v/>
      </c>
      <c r="F1115" s="11">
        <f>IF(A1115="","",D1115*E1115)</f>
        <v/>
      </c>
      <c r="G1115">
        <f>IF(A1115="","",IF(C1115="",1,COUNTIF($C$2:$C$1501,C1115)))</f>
        <v/>
      </c>
      <c r="H1115" s="11">
        <f>IF(A1115="","",IFERROR(VALUE(SUBSTITUTE(SUBSTITUTE(INDEX('Etsy Import'!$A:$CZ,1115,Settings!$C$25)&amp;"","$",""),",","")),0)/IF(Settings!$B$27="Yes",G1115,1))</f>
        <v/>
      </c>
      <c r="I1115" s="11">
        <f>IF(A1115="","",IFERROR(VALUE(SUBSTITUTE(SUBSTITUTE(INDEX('Etsy Import'!$A:$CZ,1115,Settings!$C$26)&amp;"","$",""),",","")),0)/IF(Settings!$B$27="Yes",G1115,1))</f>
        <v/>
      </c>
      <c r="J1115" s="11">
        <f>IF(A1115="","",F1115+H1115-I1115)</f>
        <v/>
      </c>
      <c r="K1115">
        <f>IF(A1115="","",IFERROR(IF(B1115="",NA(),MATCH(B1115,Products!$B$5:$B$204,0)),IFERROR(MATCH(A1115,Products!$A$5:$A$204,0),"")))</f>
        <v/>
      </c>
      <c r="L1115">
        <f>IF(A1115="","",IF(K1115="","⚠ not in Products",INDEX(Products!$A$5:$A$204,K1115)))</f>
        <v/>
      </c>
      <c r="M1115" s="11">
        <f>IF(A1115="","",J1115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1115+IFERROR(INDEX(Settings!$D$5:$D$9,MATCH("Etsy",Settings!$A$5:$A$9,0)),0)*D1115)</f>
        <v/>
      </c>
      <c r="N1115" s="11">
        <f>IF(A1115="","",IF(K1115="",0,D1115*INDEX(Products!$I$5:$I$204,K1115)))</f>
        <v/>
      </c>
      <c r="O1115" s="11">
        <f>IF(A1115="","",IF(K1115="",0,J1115*INDEX(Products!$H$5:$H$204,K1115)))</f>
        <v/>
      </c>
      <c r="P1115" s="11">
        <f>IF(A1115="","",J1115-M1115-N1115-O1115)</f>
        <v/>
      </c>
    </row>
    <row r="1116">
      <c r="A1116">
        <f>IFERROR(INDEX('Etsy Import'!$A:$CZ,1116,Settings!$C$20)&amp;"","")</f>
        <v/>
      </c>
      <c r="B1116">
        <f>IFERROR(INDEX('Etsy Import'!$A:$CZ,1116,Settings!$C$21)&amp;"","")</f>
        <v/>
      </c>
      <c r="C1116">
        <f>IFERROR(INDEX('Etsy Import'!$A:$CZ,1116,Settings!$C$22)&amp;"","")</f>
        <v/>
      </c>
      <c r="D1116">
        <f>IF(A1116="","",IFERROR(VALUE(SUBSTITUTE(SUBSTITUTE(INDEX('Etsy Import'!$A:$CZ,1116,Settings!$C$23)&amp;"","$",""),",","")),0))</f>
        <v/>
      </c>
      <c r="E1116" s="11">
        <f>IF(A1116="","",IFERROR(VALUE(SUBSTITUTE(SUBSTITUTE(INDEX('Etsy Import'!$A:$CZ,1116,Settings!$C$24)&amp;"","$",""),",","")),0))</f>
        <v/>
      </c>
      <c r="F1116" s="11">
        <f>IF(A1116="","",D1116*E1116)</f>
        <v/>
      </c>
      <c r="G1116">
        <f>IF(A1116="","",IF(C1116="",1,COUNTIF($C$2:$C$1501,C1116)))</f>
        <v/>
      </c>
      <c r="H1116" s="11">
        <f>IF(A1116="","",IFERROR(VALUE(SUBSTITUTE(SUBSTITUTE(INDEX('Etsy Import'!$A:$CZ,1116,Settings!$C$25)&amp;"","$",""),",","")),0)/IF(Settings!$B$27="Yes",G1116,1))</f>
        <v/>
      </c>
      <c r="I1116" s="11">
        <f>IF(A1116="","",IFERROR(VALUE(SUBSTITUTE(SUBSTITUTE(INDEX('Etsy Import'!$A:$CZ,1116,Settings!$C$26)&amp;"","$",""),",","")),0)/IF(Settings!$B$27="Yes",G1116,1))</f>
        <v/>
      </c>
      <c r="J1116" s="11">
        <f>IF(A1116="","",F1116+H1116-I1116)</f>
        <v/>
      </c>
      <c r="K1116">
        <f>IF(A1116="","",IFERROR(IF(B1116="",NA(),MATCH(B1116,Products!$B$5:$B$204,0)),IFERROR(MATCH(A1116,Products!$A$5:$A$204,0),"")))</f>
        <v/>
      </c>
      <c r="L1116">
        <f>IF(A1116="","",IF(K1116="","⚠ not in Products",INDEX(Products!$A$5:$A$204,K1116)))</f>
        <v/>
      </c>
      <c r="M1116" s="11">
        <f>IF(A1116="","",J1116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1116+IFERROR(INDEX(Settings!$D$5:$D$9,MATCH("Etsy",Settings!$A$5:$A$9,0)),0)*D1116)</f>
        <v/>
      </c>
      <c r="N1116" s="11">
        <f>IF(A1116="","",IF(K1116="",0,D1116*INDEX(Products!$I$5:$I$204,K1116)))</f>
        <v/>
      </c>
      <c r="O1116" s="11">
        <f>IF(A1116="","",IF(K1116="",0,J1116*INDEX(Products!$H$5:$H$204,K1116)))</f>
        <v/>
      </c>
      <c r="P1116" s="11">
        <f>IF(A1116="","",J1116-M1116-N1116-O1116)</f>
        <v/>
      </c>
    </row>
    <row r="1117">
      <c r="A1117">
        <f>IFERROR(INDEX('Etsy Import'!$A:$CZ,1117,Settings!$C$20)&amp;"","")</f>
        <v/>
      </c>
      <c r="B1117">
        <f>IFERROR(INDEX('Etsy Import'!$A:$CZ,1117,Settings!$C$21)&amp;"","")</f>
        <v/>
      </c>
      <c r="C1117">
        <f>IFERROR(INDEX('Etsy Import'!$A:$CZ,1117,Settings!$C$22)&amp;"","")</f>
        <v/>
      </c>
      <c r="D1117">
        <f>IF(A1117="","",IFERROR(VALUE(SUBSTITUTE(SUBSTITUTE(INDEX('Etsy Import'!$A:$CZ,1117,Settings!$C$23)&amp;"","$",""),",","")),0))</f>
        <v/>
      </c>
      <c r="E1117" s="11">
        <f>IF(A1117="","",IFERROR(VALUE(SUBSTITUTE(SUBSTITUTE(INDEX('Etsy Import'!$A:$CZ,1117,Settings!$C$24)&amp;"","$",""),",","")),0))</f>
        <v/>
      </c>
      <c r="F1117" s="11">
        <f>IF(A1117="","",D1117*E1117)</f>
        <v/>
      </c>
      <c r="G1117">
        <f>IF(A1117="","",IF(C1117="",1,COUNTIF($C$2:$C$1501,C1117)))</f>
        <v/>
      </c>
      <c r="H1117" s="11">
        <f>IF(A1117="","",IFERROR(VALUE(SUBSTITUTE(SUBSTITUTE(INDEX('Etsy Import'!$A:$CZ,1117,Settings!$C$25)&amp;"","$",""),",","")),0)/IF(Settings!$B$27="Yes",G1117,1))</f>
        <v/>
      </c>
      <c r="I1117" s="11">
        <f>IF(A1117="","",IFERROR(VALUE(SUBSTITUTE(SUBSTITUTE(INDEX('Etsy Import'!$A:$CZ,1117,Settings!$C$26)&amp;"","$",""),",","")),0)/IF(Settings!$B$27="Yes",G1117,1))</f>
        <v/>
      </c>
      <c r="J1117" s="11">
        <f>IF(A1117="","",F1117+H1117-I1117)</f>
        <v/>
      </c>
      <c r="K1117">
        <f>IF(A1117="","",IFERROR(IF(B1117="",NA(),MATCH(B1117,Products!$B$5:$B$204,0)),IFERROR(MATCH(A1117,Products!$A$5:$A$204,0),"")))</f>
        <v/>
      </c>
      <c r="L1117">
        <f>IF(A1117="","",IF(K1117="","⚠ not in Products",INDEX(Products!$A$5:$A$204,K1117)))</f>
        <v/>
      </c>
      <c r="M1117" s="11">
        <f>IF(A1117="","",J1117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1117+IFERROR(INDEX(Settings!$D$5:$D$9,MATCH("Etsy",Settings!$A$5:$A$9,0)),0)*D1117)</f>
        <v/>
      </c>
      <c r="N1117" s="11">
        <f>IF(A1117="","",IF(K1117="",0,D1117*INDEX(Products!$I$5:$I$204,K1117)))</f>
        <v/>
      </c>
      <c r="O1117" s="11">
        <f>IF(A1117="","",IF(K1117="",0,J1117*INDEX(Products!$H$5:$H$204,K1117)))</f>
        <v/>
      </c>
      <c r="P1117" s="11">
        <f>IF(A1117="","",J1117-M1117-N1117-O1117)</f>
        <v/>
      </c>
    </row>
    <row r="1118">
      <c r="A1118">
        <f>IFERROR(INDEX('Etsy Import'!$A:$CZ,1118,Settings!$C$20)&amp;"","")</f>
        <v/>
      </c>
      <c r="B1118">
        <f>IFERROR(INDEX('Etsy Import'!$A:$CZ,1118,Settings!$C$21)&amp;"","")</f>
        <v/>
      </c>
      <c r="C1118">
        <f>IFERROR(INDEX('Etsy Import'!$A:$CZ,1118,Settings!$C$22)&amp;"","")</f>
        <v/>
      </c>
      <c r="D1118">
        <f>IF(A1118="","",IFERROR(VALUE(SUBSTITUTE(SUBSTITUTE(INDEX('Etsy Import'!$A:$CZ,1118,Settings!$C$23)&amp;"","$",""),",","")),0))</f>
        <v/>
      </c>
      <c r="E1118" s="11">
        <f>IF(A1118="","",IFERROR(VALUE(SUBSTITUTE(SUBSTITUTE(INDEX('Etsy Import'!$A:$CZ,1118,Settings!$C$24)&amp;"","$",""),",","")),0))</f>
        <v/>
      </c>
      <c r="F1118" s="11">
        <f>IF(A1118="","",D1118*E1118)</f>
        <v/>
      </c>
      <c r="G1118">
        <f>IF(A1118="","",IF(C1118="",1,COUNTIF($C$2:$C$1501,C1118)))</f>
        <v/>
      </c>
      <c r="H1118" s="11">
        <f>IF(A1118="","",IFERROR(VALUE(SUBSTITUTE(SUBSTITUTE(INDEX('Etsy Import'!$A:$CZ,1118,Settings!$C$25)&amp;"","$",""),",","")),0)/IF(Settings!$B$27="Yes",G1118,1))</f>
        <v/>
      </c>
      <c r="I1118" s="11">
        <f>IF(A1118="","",IFERROR(VALUE(SUBSTITUTE(SUBSTITUTE(INDEX('Etsy Import'!$A:$CZ,1118,Settings!$C$26)&amp;"","$",""),",","")),0)/IF(Settings!$B$27="Yes",G1118,1))</f>
        <v/>
      </c>
      <c r="J1118" s="11">
        <f>IF(A1118="","",F1118+H1118-I1118)</f>
        <v/>
      </c>
      <c r="K1118">
        <f>IF(A1118="","",IFERROR(IF(B1118="",NA(),MATCH(B1118,Products!$B$5:$B$204,0)),IFERROR(MATCH(A1118,Products!$A$5:$A$204,0),"")))</f>
        <v/>
      </c>
      <c r="L1118">
        <f>IF(A1118="","",IF(K1118="","⚠ not in Products",INDEX(Products!$A$5:$A$204,K1118)))</f>
        <v/>
      </c>
      <c r="M1118" s="11">
        <f>IF(A1118="","",J1118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1118+IFERROR(INDEX(Settings!$D$5:$D$9,MATCH("Etsy",Settings!$A$5:$A$9,0)),0)*D1118)</f>
        <v/>
      </c>
      <c r="N1118" s="11">
        <f>IF(A1118="","",IF(K1118="",0,D1118*INDEX(Products!$I$5:$I$204,K1118)))</f>
        <v/>
      </c>
      <c r="O1118" s="11">
        <f>IF(A1118="","",IF(K1118="",0,J1118*INDEX(Products!$H$5:$H$204,K1118)))</f>
        <v/>
      </c>
      <c r="P1118" s="11">
        <f>IF(A1118="","",J1118-M1118-N1118-O1118)</f>
        <v/>
      </c>
    </row>
    <row r="1119">
      <c r="A1119">
        <f>IFERROR(INDEX('Etsy Import'!$A:$CZ,1119,Settings!$C$20)&amp;"","")</f>
        <v/>
      </c>
      <c r="B1119">
        <f>IFERROR(INDEX('Etsy Import'!$A:$CZ,1119,Settings!$C$21)&amp;"","")</f>
        <v/>
      </c>
      <c r="C1119">
        <f>IFERROR(INDEX('Etsy Import'!$A:$CZ,1119,Settings!$C$22)&amp;"","")</f>
        <v/>
      </c>
      <c r="D1119">
        <f>IF(A1119="","",IFERROR(VALUE(SUBSTITUTE(SUBSTITUTE(INDEX('Etsy Import'!$A:$CZ,1119,Settings!$C$23)&amp;"","$",""),",","")),0))</f>
        <v/>
      </c>
      <c r="E1119" s="11">
        <f>IF(A1119="","",IFERROR(VALUE(SUBSTITUTE(SUBSTITUTE(INDEX('Etsy Import'!$A:$CZ,1119,Settings!$C$24)&amp;"","$",""),",","")),0))</f>
        <v/>
      </c>
      <c r="F1119" s="11">
        <f>IF(A1119="","",D1119*E1119)</f>
        <v/>
      </c>
      <c r="G1119">
        <f>IF(A1119="","",IF(C1119="",1,COUNTIF($C$2:$C$1501,C1119)))</f>
        <v/>
      </c>
      <c r="H1119" s="11">
        <f>IF(A1119="","",IFERROR(VALUE(SUBSTITUTE(SUBSTITUTE(INDEX('Etsy Import'!$A:$CZ,1119,Settings!$C$25)&amp;"","$",""),",","")),0)/IF(Settings!$B$27="Yes",G1119,1))</f>
        <v/>
      </c>
      <c r="I1119" s="11">
        <f>IF(A1119="","",IFERROR(VALUE(SUBSTITUTE(SUBSTITUTE(INDEX('Etsy Import'!$A:$CZ,1119,Settings!$C$26)&amp;"","$",""),",","")),0)/IF(Settings!$B$27="Yes",G1119,1))</f>
        <v/>
      </c>
      <c r="J1119" s="11">
        <f>IF(A1119="","",F1119+H1119-I1119)</f>
        <v/>
      </c>
      <c r="K1119">
        <f>IF(A1119="","",IFERROR(IF(B1119="",NA(),MATCH(B1119,Products!$B$5:$B$204,0)),IFERROR(MATCH(A1119,Products!$A$5:$A$204,0),"")))</f>
        <v/>
      </c>
      <c r="L1119">
        <f>IF(A1119="","",IF(K1119="","⚠ not in Products",INDEX(Products!$A$5:$A$204,K1119)))</f>
        <v/>
      </c>
      <c r="M1119" s="11">
        <f>IF(A1119="","",J1119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1119+IFERROR(INDEX(Settings!$D$5:$D$9,MATCH("Etsy",Settings!$A$5:$A$9,0)),0)*D1119)</f>
        <v/>
      </c>
      <c r="N1119" s="11">
        <f>IF(A1119="","",IF(K1119="",0,D1119*INDEX(Products!$I$5:$I$204,K1119)))</f>
        <v/>
      </c>
      <c r="O1119" s="11">
        <f>IF(A1119="","",IF(K1119="",0,J1119*INDEX(Products!$H$5:$H$204,K1119)))</f>
        <v/>
      </c>
      <c r="P1119" s="11">
        <f>IF(A1119="","",J1119-M1119-N1119-O1119)</f>
        <v/>
      </c>
    </row>
    <row r="1120">
      <c r="A1120">
        <f>IFERROR(INDEX('Etsy Import'!$A:$CZ,1120,Settings!$C$20)&amp;"","")</f>
        <v/>
      </c>
      <c r="B1120">
        <f>IFERROR(INDEX('Etsy Import'!$A:$CZ,1120,Settings!$C$21)&amp;"","")</f>
        <v/>
      </c>
      <c r="C1120">
        <f>IFERROR(INDEX('Etsy Import'!$A:$CZ,1120,Settings!$C$22)&amp;"","")</f>
        <v/>
      </c>
      <c r="D1120">
        <f>IF(A1120="","",IFERROR(VALUE(SUBSTITUTE(SUBSTITUTE(INDEX('Etsy Import'!$A:$CZ,1120,Settings!$C$23)&amp;"","$",""),",","")),0))</f>
        <v/>
      </c>
      <c r="E1120" s="11">
        <f>IF(A1120="","",IFERROR(VALUE(SUBSTITUTE(SUBSTITUTE(INDEX('Etsy Import'!$A:$CZ,1120,Settings!$C$24)&amp;"","$",""),",","")),0))</f>
        <v/>
      </c>
      <c r="F1120" s="11">
        <f>IF(A1120="","",D1120*E1120)</f>
        <v/>
      </c>
      <c r="G1120">
        <f>IF(A1120="","",IF(C1120="",1,COUNTIF($C$2:$C$1501,C1120)))</f>
        <v/>
      </c>
      <c r="H1120" s="11">
        <f>IF(A1120="","",IFERROR(VALUE(SUBSTITUTE(SUBSTITUTE(INDEX('Etsy Import'!$A:$CZ,1120,Settings!$C$25)&amp;"","$",""),",","")),0)/IF(Settings!$B$27="Yes",G1120,1))</f>
        <v/>
      </c>
      <c r="I1120" s="11">
        <f>IF(A1120="","",IFERROR(VALUE(SUBSTITUTE(SUBSTITUTE(INDEX('Etsy Import'!$A:$CZ,1120,Settings!$C$26)&amp;"","$",""),",","")),0)/IF(Settings!$B$27="Yes",G1120,1))</f>
        <v/>
      </c>
      <c r="J1120" s="11">
        <f>IF(A1120="","",F1120+H1120-I1120)</f>
        <v/>
      </c>
      <c r="K1120">
        <f>IF(A1120="","",IFERROR(IF(B1120="",NA(),MATCH(B1120,Products!$B$5:$B$204,0)),IFERROR(MATCH(A1120,Products!$A$5:$A$204,0),"")))</f>
        <v/>
      </c>
      <c r="L1120">
        <f>IF(A1120="","",IF(K1120="","⚠ not in Products",INDEX(Products!$A$5:$A$204,K1120)))</f>
        <v/>
      </c>
      <c r="M1120" s="11">
        <f>IF(A1120="","",J1120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1120+IFERROR(INDEX(Settings!$D$5:$D$9,MATCH("Etsy",Settings!$A$5:$A$9,0)),0)*D1120)</f>
        <v/>
      </c>
      <c r="N1120" s="11">
        <f>IF(A1120="","",IF(K1120="",0,D1120*INDEX(Products!$I$5:$I$204,K1120)))</f>
        <v/>
      </c>
      <c r="O1120" s="11">
        <f>IF(A1120="","",IF(K1120="",0,J1120*INDEX(Products!$H$5:$H$204,K1120)))</f>
        <v/>
      </c>
      <c r="P1120" s="11">
        <f>IF(A1120="","",J1120-M1120-N1120-O1120)</f>
        <v/>
      </c>
    </row>
    <row r="1121">
      <c r="A1121">
        <f>IFERROR(INDEX('Etsy Import'!$A:$CZ,1121,Settings!$C$20)&amp;"","")</f>
        <v/>
      </c>
      <c r="B1121">
        <f>IFERROR(INDEX('Etsy Import'!$A:$CZ,1121,Settings!$C$21)&amp;"","")</f>
        <v/>
      </c>
      <c r="C1121">
        <f>IFERROR(INDEX('Etsy Import'!$A:$CZ,1121,Settings!$C$22)&amp;"","")</f>
        <v/>
      </c>
      <c r="D1121">
        <f>IF(A1121="","",IFERROR(VALUE(SUBSTITUTE(SUBSTITUTE(INDEX('Etsy Import'!$A:$CZ,1121,Settings!$C$23)&amp;"","$",""),",","")),0))</f>
        <v/>
      </c>
      <c r="E1121" s="11">
        <f>IF(A1121="","",IFERROR(VALUE(SUBSTITUTE(SUBSTITUTE(INDEX('Etsy Import'!$A:$CZ,1121,Settings!$C$24)&amp;"","$",""),",","")),0))</f>
        <v/>
      </c>
      <c r="F1121" s="11">
        <f>IF(A1121="","",D1121*E1121)</f>
        <v/>
      </c>
      <c r="G1121">
        <f>IF(A1121="","",IF(C1121="",1,COUNTIF($C$2:$C$1501,C1121)))</f>
        <v/>
      </c>
      <c r="H1121" s="11">
        <f>IF(A1121="","",IFERROR(VALUE(SUBSTITUTE(SUBSTITUTE(INDEX('Etsy Import'!$A:$CZ,1121,Settings!$C$25)&amp;"","$",""),",","")),0)/IF(Settings!$B$27="Yes",G1121,1))</f>
        <v/>
      </c>
      <c r="I1121" s="11">
        <f>IF(A1121="","",IFERROR(VALUE(SUBSTITUTE(SUBSTITUTE(INDEX('Etsy Import'!$A:$CZ,1121,Settings!$C$26)&amp;"","$",""),",","")),0)/IF(Settings!$B$27="Yes",G1121,1))</f>
        <v/>
      </c>
      <c r="J1121" s="11">
        <f>IF(A1121="","",F1121+H1121-I1121)</f>
        <v/>
      </c>
      <c r="K1121">
        <f>IF(A1121="","",IFERROR(IF(B1121="",NA(),MATCH(B1121,Products!$B$5:$B$204,0)),IFERROR(MATCH(A1121,Products!$A$5:$A$204,0),"")))</f>
        <v/>
      </c>
      <c r="L1121">
        <f>IF(A1121="","",IF(K1121="","⚠ not in Products",INDEX(Products!$A$5:$A$204,K1121)))</f>
        <v/>
      </c>
      <c r="M1121" s="11">
        <f>IF(A1121="","",J1121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1121+IFERROR(INDEX(Settings!$D$5:$D$9,MATCH("Etsy",Settings!$A$5:$A$9,0)),0)*D1121)</f>
        <v/>
      </c>
      <c r="N1121" s="11">
        <f>IF(A1121="","",IF(K1121="",0,D1121*INDEX(Products!$I$5:$I$204,K1121)))</f>
        <v/>
      </c>
      <c r="O1121" s="11">
        <f>IF(A1121="","",IF(K1121="",0,J1121*INDEX(Products!$H$5:$H$204,K1121)))</f>
        <v/>
      </c>
      <c r="P1121" s="11">
        <f>IF(A1121="","",J1121-M1121-N1121-O1121)</f>
        <v/>
      </c>
    </row>
    <row r="1122">
      <c r="A1122">
        <f>IFERROR(INDEX('Etsy Import'!$A:$CZ,1122,Settings!$C$20)&amp;"","")</f>
        <v/>
      </c>
      <c r="B1122">
        <f>IFERROR(INDEX('Etsy Import'!$A:$CZ,1122,Settings!$C$21)&amp;"","")</f>
        <v/>
      </c>
      <c r="C1122">
        <f>IFERROR(INDEX('Etsy Import'!$A:$CZ,1122,Settings!$C$22)&amp;"","")</f>
        <v/>
      </c>
      <c r="D1122">
        <f>IF(A1122="","",IFERROR(VALUE(SUBSTITUTE(SUBSTITUTE(INDEX('Etsy Import'!$A:$CZ,1122,Settings!$C$23)&amp;"","$",""),",","")),0))</f>
        <v/>
      </c>
      <c r="E1122" s="11">
        <f>IF(A1122="","",IFERROR(VALUE(SUBSTITUTE(SUBSTITUTE(INDEX('Etsy Import'!$A:$CZ,1122,Settings!$C$24)&amp;"","$",""),",","")),0))</f>
        <v/>
      </c>
      <c r="F1122" s="11">
        <f>IF(A1122="","",D1122*E1122)</f>
        <v/>
      </c>
      <c r="G1122">
        <f>IF(A1122="","",IF(C1122="",1,COUNTIF($C$2:$C$1501,C1122)))</f>
        <v/>
      </c>
      <c r="H1122" s="11">
        <f>IF(A1122="","",IFERROR(VALUE(SUBSTITUTE(SUBSTITUTE(INDEX('Etsy Import'!$A:$CZ,1122,Settings!$C$25)&amp;"","$",""),",","")),0)/IF(Settings!$B$27="Yes",G1122,1))</f>
        <v/>
      </c>
      <c r="I1122" s="11">
        <f>IF(A1122="","",IFERROR(VALUE(SUBSTITUTE(SUBSTITUTE(INDEX('Etsy Import'!$A:$CZ,1122,Settings!$C$26)&amp;"","$",""),",","")),0)/IF(Settings!$B$27="Yes",G1122,1))</f>
        <v/>
      </c>
      <c r="J1122" s="11">
        <f>IF(A1122="","",F1122+H1122-I1122)</f>
        <v/>
      </c>
      <c r="K1122">
        <f>IF(A1122="","",IFERROR(IF(B1122="",NA(),MATCH(B1122,Products!$B$5:$B$204,0)),IFERROR(MATCH(A1122,Products!$A$5:$A$204,0),"")))</f>
        <v/>
      </c>
      <c r="L1122">
        <f>IF(A1122="","",IF(K1122="","⚠ not in Products",INDEX(Products!$A$5:$A$204,K1122)))</f>
        <v/>
      </c>
      <c r="M1122" s="11">
        <f>IF(A1122="","",J1122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1122+IFERROR(INDEX(Settings!$D$5:$D$9,MATCH("Etsy",Settings!$A$5:$A$9,0)),0)*D1122)</f>
        <v/>
      </c>
      <c r="N1122" s="11">
        <f>IF(A1122="","",IF(K1122="",0,D1122*INDEX(Products!$I$5:$I$204,K1122)))</f>
        <v/>
      </c>
      <c r="O1122" s="11">
        <f>IF(A1122="","",IF(K1122="",0,J1122*INDEX(Products!$H$5:$H$204,K1122)))</f>
        <v/>
      </c>
      <c r="P1122" s="11">
        <f>IF(A1122="","",J1122-M1122-N1122-O1122)</f>
        <v/>
      </c>
    </row>
    <row r="1123">
      <c r="A1123">
        <f>IFERROR(INDEX('Etsy Import'!$A:$CZ,1123,Settings!$C$20)&amp;"","")</f>
        <v/>
      </c>
      <c r="B1123">
        <f>IFERROR(INDEX('Etsy Import'!$A:$CZ,1123,Settings!$C$21)&amp;"","")</f>
        <v/>
      </c>
      <c r="C1123">
        <f>IFERROR(INDEX('Etsy Import'!$A:$CZ,1123,Settings!$C$22)&amp;"","")</f>
        <v/>
      </c>
      <c r="D1123">
        <f>IF(A1123="","",IFERROR(VALUE(SUBSTITUTE(SUBSTITUTE(INDEX('Etsy Import'!$A:$CZ,1123,Settings!$C$23)&amp;"","$",""),",","")),0))</f>
        <v/>
      </c>
      <c r="E1123" s="11">
        <f>IF(A1123="","",IFERROR(VALUE(SUBSTITUTE(SUBSTITUTE(INDEX('Etsy Import'!$A:$CZ,1123,Settings!$C$24)&amp;"","$",""),",","")),0))</f>
        <v/>
      </c>
      <c r="F1123" s="11">
        <f>IF(A1123="","",D1123*E1123)</f>
        <v/>
      </c>
      <c r="G1123">
        <f>IF(A1123="","",IF(C1123="",1,COUNTIF($C$2:$C$1501,C1123)))</f>
        <v/>
      </c>
      <c r="H1123" s="11">
        <f>IF(A1123="","",IFERROR(VALUE(SUBSTITUTE(SUBSTITUTE(INDEX('Etsy Import'!$A:$CZ,1123,Settings!$C$25)&amp;"","$",""),",","")),0)/IF(Settings!$B$27="Yes",G1123,1))</f>
        <v/>
      </c>
      <c r="I1123" s="11">
        <f>IF(A1123="","",IFERROR(VALUE(SUBSTITUTE(SUBSTITUTE(INDEX('Etsy Import'!$A:$CZ,1123,Settings!$C$26)&amp;"","$",""),",","")),0)/IF(Settings!$B$27="Yes",G1123,1))</f>
        <v/>
      </c>
      <c r="J1123" s="11">
        <f>IF(A1123="","",F1123+H1123-I1123)</f>
        <v/>
      </c>
      <c r="K1123">
        <f>IF(A1123="","",IFERROR(IF(B1123="",NA(),MATCH(B1123,Products!$B$5:$B$204,0)),IFERROR(MATCH(A1123,Products!$A$5:$A$204,0),"")))</f>
        <v/>
      </c>
      <c r="L1123">
        <f>IF(A1123="","",IF(K1123="","⚠ not in Products",INDEX(Products!$A$5:$A$204,K1123)))</f>
        <v/>
      </c>
      <c r="M1123" s="11">
        <f>IF(A1123="","",J1123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1123+IFERROR(INDEX(Settings!$D$5:$D$9,MATCH("Etsy",Settings!$A$5:$A$9,0)),0)*D1123)</f>
        <v/>
      </c>
      <c r="N1123" s="11">
        <f>IF(A1123="","",IF(K1123="",0,D1123*INDEX(Products!$I$5:$I$204,K1123)))</f>
        <v/>
      </c>
      <c r="O1123" s="11">
        <f>IF(A1123="","",IF(K1123="",0,J1123*INDEX(Products!$H$5:$H$204,K1123)))</f>
        <v/>
      </c>
      <c r="P1123" s="11">
        <f>IF(A1123="","",J1123-M1123-N1123-O1123)</f>
        <v/>
      </c>
    </row>
    <row r="1124">
      <c r="A1124">
        <f>IFERROR(INDEX('Etsy Import'!$A:$CZ,1124,Settings!$C$20)&amp;"","")</f>
        <v/>
      </c>
      <c r="B1124">
        <f>IFERROR(INDEX('Etsy Import'!$A:$CZ,1124,Settings!$C$21)&amp;"","")</f>
        <v/>
      </c>
      <c r="C1124">
        <f>IFERROR(INDEX('Etsy Import'!$A:$CZ,1124,Settings!$C$22)&amp;"","")</f>
        <v/>
      </c>
      <c r="D1124">
        <f>IF(A1124="","",IFERROR(VALUE(SUBSTITUTE(SUBSTITUTE(INDEX('Etsy Import'!$A:$CZ,1124,Settings!$C$23)&amp;"","$",""),",","")),0))</f>
        <v/>
      </c>
      <c r="E1124" s="11">
        <f>IF(A1124="","",IFERROR(VALUE(SUBSTITUTE(SUBSTITUTE(INDEX('Etsy Import'!$A:$CZ,1124,Settings!$C$24)&amp;"","$",""),",","")),0))</f>
        <v/>
      </c>
      <c r="F1124" s="11">
        <f>IF(A1124="","",D1124*E1124)</f>
        <v/>
      </c>
      <c r="G1124">
        <f>IF(A1124="","",IF(C1124="",1,COUNTIF($C$2:$C$1501,C1124)))</f>
        <v/>
      </c>
      <c r="H1124" s="11">
        <f>IF(A1124="","",IFERROR(VALUE(SUBSTITUTE(SUBSTITUTE(INDEX('Etsy Import'!$A:$CZ,1124,Settings!$C$25)&amp;"","$",""),",","")),0)/IF(Settings!$B$27="Yes",G1124,1))</f>
        <v/>
      </c>
      <c r="I1124" s="11">
        <f>IF(A1124="","",IFERROR(VALUE(SUBSTITUTE(SUBSTITUTE(INDEX('Etsy Import'!$A:$CZ,1124,Settings!$C$26)&amp;"","$",""),",","")),0)/IF(Settings!$B$27="Yes",G1124,1))</f>
        <v/>
      </c>
      <c r="J1124" s="11">
        <f>IF(A1124="","",F1124+H1124-I1124)</f>
        <v/>
      </c>
      <c r="K1124">
        <f>IF(A1124="","",IFERROR(IF(B1124="",NA(),MATCH(B1124,Products!$B$5:$B$204,0)),IFERROR(MATCH(A1124,Products!$A$5:$A$204,0),"")))</f>
        <v/>
      </c>
      <c r="L1124">
        <f>IF(A1124="","",IF(K1124="","⚠ not in Products",INDEX(Products!$A$5:$A$204,K1124)))</f>
        <v/>
      </c>
      <c r="M1124" s="11">
        <f>IF(A1124="","",J1124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1124+IFERROR(INDEX(Settings!$D$5:$D$9,MATCH("Etsy",Settings!$A$5:$A$9,0)),0)*D1124)</f>
        <v/>
      </c>
      <c r="N1124" s="11">
        <f>IF(A1124="","",IF(K1124="",0,D1124*INDEX(Products!$I$5:$I$204,K1124)))</f>
        <v/>
      </c>
      <c r="O1124" s="11">
        <f>IF(A1124="","",IF(K1124="",0,J1124*INDEX(Products!$H$5:$H$204,K1124)))</f>
        <v/>
      </c>
      <c r="P1124" s="11">
        <f>IF(A1124="","",J1124-M1124-N1124-O1124)</f>
        <v/>
      </c>
    </row>
    <row r="1125">
      <c r="A1125">
        <f>IFERROR(INDEX('Etsy Import'!$A:$CZ,1125,Settings!$C$20)&amp;"","")</f>
        <v/>
      </c>
      <c r="B1125">
        <f>IFERROR(INDEX('Etsy Import'!$A:$CZ,1125,Settings!$C$21)&amp;"","")</f>
        <v/>
      </c>
      <c r="C1125">
        <f>IFERROR(INDEX('Etsy Import'!$A:$CZ,1125,Settings!$C$22)&amp;"","")</f>
        <v/>
      </c>
      <c r="D1125">
        <f>IF(A1125="","",IFERROR(VALUE(SUBSTITUTE(SUBSTITUTE(INDEX('Etsy Import'!$A:$CZ,1125,Settings!$C$23)&amp;"","$",""),",","")),0))</f>
        <v/>
      </c>
      <c r="E1125" s="11">
        <f>IF(A1125="","",IFERROR(VALUE(SUBSTITUTE(SUBSTITUTE(INDEX('Etsy Import'!$A:$CZ,1125,Settings!$C$24)&amp;"","$",""),",","")),0))</f>
        <v/>
      </c>
      <c r="F1125" s="11">
        <f>IF(A1125="","",D1125*E1125)</f>
        <v/>
      </c>
      <c r="G1125">
        <f>IF(A1125="","",IF(C1125="",1,COUNTIF($C$2:$C$1501,C1125)))</f>
        <v/>
      </c>
      <c r="H1125" s="11">
        <f>IF(A1125="","",IFERROR(VALUE(SUBSTITUTE(SUBSTITUTE(INDEX('Etsy Import'!$A:$CZ,1125,Settings!$C$25)&amp;"","$",""),",","")),0)/IF(Settings!$B$27="Yes",G1125,1))</f>
        <v/>
      </c>
      <c r="I1125" s="11">
        <f>IF(A1125="","",IFERROR(VALUE(SUBSTITUTE(SUBSTITUTE(INDEX('Etsy Import'!$A:$CZ,1125,Settings!$C$26)&amp;"","$",""),",","")),0)/IF(Settings!$B$27="Yes",G1125,1))</f>
        <v/>
      </c>
      <c r="J1125" s="11">
        <f>IF(A1125="","",F1125+H1125-I1125)</f>
        <v/>
      </c>
      <c r="K1125">
        <f>IF(A1125="","",IFERROR(IF(B1125="",NA(),MATCH(B1125,Products!$B$5:$B$204,0)),IFERROR(MATCH(A1125,Products!$A$5:$A$204,0),"")))</f>
        <v/>
      </c>
      <c r="L1125">
        <f>IF(A1125="","",IF(K1125="","⚠ not in Products",INDEX(Products!$A$5:$A$204,K1125)))</f>
        <v/>
      </c>
      <c r="M1125" s="11">
        <f>IF(A1125="","",J1125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1125+IFERROR(INDEX(Settings!$D$5:$D$9,MATCH("Etsy",Settings!$A$5:$A$9,0)),0)*D1125)</f>
        <v/>
      </c>
      <c r="N1125" s="11">
        <f>IF(A1125="","",IF(K1125="",0,D1125*INDEX(Products!$I$5:$I$204,K1125)))</f>
        <v/>
      </c>
      <c r="O1125" s="11">
        <f>IF(A1125="","",IF(K1125="",0,J1125*INDEX(Products!$H$5:$H$204,K1125)))</f>
        <v/>
      </c>
      <c r="P1125" s="11">
        <f>IF(A1125="","",J1125-M1125-N1125-O1125)</f>
        <v/>
      </c>
    </row>
    <row r="1126">
      <c r="A1126">
        <f>IFERROR(INDEX('Etsy Import'!$A:$CZ,1126,Settings!$C$20)&amp;"","")</f>
        <v/>
      </c>
      <c r="B1126">
        <f>IFERROR(INDEX('Etsy Import'!$A:$CZ,1126,Settings!$C$21)&amp;"","")</f>
        <v/>
      </c>
      <c r="C1126">
        <f>IFERROR(INDEX('Etsy Import'!$A:$CZ,1126,Settings!$C$22)&amp;"","")</f>
        <v/>
      </c>
      <c r="D1126">
        <f>IF(A1126="","",IFERROR(VALUE(SUBSTITUTE(SUBSTITUTE(INDEX('Etsy Import'!$A:$CZ,1126,Settings!$C$23)&amp;"","$",""),",","")),0))</f>
        <v/>
      </c>
      <c r="E1126" s="11">
        <f>IF(A1126="","",IFERROR(VALUE(SUBSTITUTE(SUBSTITUTE(INDEX('Etsy Import'!$A:$CZ,1126,Settings!$C$24)&amp;"","$",""),",","")),0))</f>
        <v/>
      </c>
      <c r="F1126" s="11">
        <f>IF(A1126="","",D1126*E1126)</f>
        <v/>
      </c>
      <c r="G1126">
        <f>IF(A1126="","",IF(C1126="",1,COUNTIF($C$2:$C$1501,C1126)))</f>
        <v/>
      </c>
      <c r="H1126" s="11">
        <f>IF(A1126="","",IFERROR(VALUE(SUBSTITUTE(SUBSTITUTE(INDEX('Etsy Import'!$A:$CZ,1126,Settings!$C$25)&amp;"","$",""),",","")),0)/IF(Settings!$B$27="Yes",G1126,1))</f>
        <v/>
      </c>
      <c r="I1126" s="11">
        <f>IF(A1126="","",IFERROR(VALUE(SUBSTITUTE(SUBSTITUTE(INDEX('Etsy Import'!$A:$CZ,1126,Settings!$C$26)&amp;"","$",""),",","")),0)/IF(Settings!$B$27="Yes",G1126,1))</f>
        <v/>
      </c>
      <c r="J1126" s="11">
        <f>IF(A1126="","",F1126+H1126-I1126)</f>
        <v/>
      </c>
      <c r="K1126">
        <f>IF(A1126="","",IFERROR(IF(B1126="",NA(),MATCH(B1126,Products!$B$5:$B$204,0)),IFERROR(MATCH(A1126,Products!$A$5:$A$204,0),"")))</f>
        <v/>
      </c>
      <c r="L1126">
        <f>IF(A1126="","",IF(K1126="","⚠ not in Products",INDEX(Products!$A$5:$A$204,K1126)))</f>
        <v/>
      </c>
      <c r="M1126" s="11">
        <f>IF(A1126="","",J1126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1126+IFERROR(INDEX(Settings!$D$5:$D$9,MATCH("Etsy",Settings!$A$5:$A$9,0)),0)*D1126)</f>
        <v/>
      </c>
      <c r="N1126" s="11">
        <f>IF(A1126="","",IF(K1126="",0,D1126*INDEX(Products!$I$5:$I$204,K1126)))</f>
        <v/>
      </c>
      <c r="O1126" s="11">
        <f>IF(A1126="","",IF(K1126="",0,J1126*INDEX(Products!$H$5:$H$204,K1126)))</f>
        <v/>
      </c>
      <c r="P1126" s="11">
        <f>IF(A1126="","",J1126-M1126-N1126-O1126)</f>
        <v/>
      </c>
    </row>
    <row r="1127">
      <c r="A1127">
        <f>IFERROR(INDEX('Etsy Import'!$A:$CZ,1127,Settings!$C$20)&amp;"","")</f>
        <v/>
      </c>
      <c r="B1127">
        <f>IFERROR(INDEX('Etsy Import'!$A:$CZ,1127,Settings!$C$21)&amp;"","")</f>
        <v/>
      </c>
      <c r="C1127">
        <f>IFERROR(INDEX('Etsy Import'!$A:$CZ,1127,Settings!$C$22)&amp;"","")</f>
        <v/>
      </c>
      <c r="D1127">
        <f>IF(A1127="","",IFERROR(VALUE(SUBSTITUTE(SUBSTITUTE(INDEX('Etsy Import'!$A:$CZ,1127,Settings!$C$23)&amp;"","$",""),",","")),0))</f>
        <v/>
      </c>
      <c r="E1127" s="11">
        <f>IF(A1127="","",IFERROR(VALUE(SUBSTITUTE(SUBSTITUTE(INDEX('Etsy Import'!$A:$CZ,1127,Settings!$C$24)&amp;"","$",""),",","")),0))</f>
        <v/>
      </c>
      <c r="F1127" s="11">
        <f>IF(A1127="","",D1127*E1127)</f>
        <v/>
      </c>
      <c r="G1127">
        <f>IF(A1127="","",IF(C1127="",1,COUNTIF($C$2:$C$1501,C1127)))</f>
        <v/>
      </c>
      <c r="H1127" s="11">
        <f>IF(A1127="","",IFERROR(VALUE(SUBSTITUTE(SUBSTITUTE(INDEX('Etsy Import'!$A:$CZ,1127,Settings!$C$25)&amp;"","$",""),",","")),0)/IF(Settings!$B$27="Yes",G1127,1))</f>
        <v/>
      </c>
      <c r="I1127" s="11">
        <f>IF(A1127="","",IFERROR(VALUE(SUBSTITUTE(SUBSTITUTE(INDEX('Etsy Import'!$A:$CZ,1127,Settings!$C$26)&amp;"","$",""),",","")),0)/IF(Settings!$B$27="Yes",G1127,1))</f>
        <v/>
      </c>
      <c r="J1127" s="11">
        <f>IF(A1127="","",F1127+H1127-I1127)</f>
        <v/>
      </c>
      <c r="K1127">
        <f>IF(A1127="","",IFERROR(IF(B1127="",NA(),MATCH(B1127,Products!$B$5:$B$204,0)),IFERROR(MATCH(A1127,Products!$A$5:$A$204,0),"")))</f>
        <v/>
      </c>
      <c r="L1127">
        <f>IF(A1127="","",IF(K1127="","⚠ not in Products",INDEX(Products!$A$5:$A$204,K1127)))</f>
        <v/>
      </c>
      <c r="M1127" s="11">
        <f>IF(A1127="","",J1127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1127+IFERROR(INDEX(Settings!$D$5:$D$9,MATCH("Etsy",Settings!$A$5:$A$9,0)),0)*D1127)</f>
        <v/>
      </c>
      <c r="N1127" s="11">
        <f>IF(A1127="","",IF(K1127="",0,D1127*INDEX(Products!$I$5:$I$204,K1127)))</f>
        <v/>
      </c>
      <c r="O1127" s="11">
        <f>IF(A1127="","",IF(K1127="",0,J1127*INDEX(Products!$H$5:$H$204,K1127)))</f>
        <v/>
      </c>
      <c r="P1127" s="11">
        <f>IF(A1127="","",J1127-M1127-N1127-O1127)</f>
        <v/>
      </c>
    </row>
    <row r="1128">
      <c r="A1128">
        <f>IFERROR(INDEX('Etsy Import'!$A:$CZ,1128,Settings!$C$20)&amp;"","")</f>
        <v/>
      </c>
      <c r="B1128">
        <f>IFERROR(INDEX('Etsy Import'!$A:$CZ,1128,Settings!$C$21)&amp;"","")</f>
        <v/>
      </c>
      <c r="C1128">
        <f>IFERROR(INDEX('Etsy Import'!$A:$CZ,1128,Settings!$C$22)&amp;"","")</f>
        <v/>
      </c>
      <c r="D1128">
        <f>IF(A1128="","",IFERROR(VALUE(SUBSTITUTE(SUBSTITUTE(INDEX('Etsy Import'!$A:$CZ,1128,Settings!$C$23)&amp;"","$",""),",","")),0))</f>
        <v/>
      </c>
      <c r="E1128" s="11">
        <f>IF(A1128="","",IFERROR(VALUE(SUBSTITUTE(SUBSTITUTE(INDEX('Etsy Import'!$A:$CZ,1128,Settings!$C$24)&amp;"","$",""),",","")),0))</f>
        <v/>
      </c>
      <c r="F1128" s="11">
        <f>IF(A1128="","",D1128*E1128)</f>
        <v/>
      </c>
      <c r="G1128">
        <f>IF(A1128="","",IF(C1128="",1,COUNTIF($C$2:$C$1501,C1128)))</f>
        <v/>
      </c>
      <c r="H1128" s="11">
        <f>IF(A1128="","",IFERROR(VALUE(SUBSTITUTE(SUBSTITUTE(INDEX('Etsy Import'!$A:$CZ,1128,Settings!$C$25)&amp;"","$",""),",","")),0)/IF(Settings!$B$27="Yes",G1128,1))</f>
        <v/>
      </c>
      <c r="I1128" s="11">
        <f>IF(A1128="","",IFERROR(VALUE(SUBSTITUTE(SUBSTITUTE(INDEX('Etsy Import'!$A:$CZ,1128,Settings!$C$26)&amp;"","$",""),",","")),0)/IF(Settings!$B$27="Yes",G1128,1))</f>
        <v/>
      </c>
      <c r="J1128" s="11">
        <f>IF(A1128="","",F1128+H1128-I1128)</f>
        <v/>
      </c>
      <c r="K1128">
        <f>IF(A1128="","",IFERROR(IF(B1128="",NA(),MATCH(B1128,Products!$B$5:$B$204,0)),IFERROR(MATCH(A1128,Products!$A$5:$A$204,0),"")))</f>
        <v/>
      </c>
      <c r="L1128">
        <f>IF(A1128="","",IF(K1128="","⚠ not in Products",INDEX(Products!$A$5:$A$204,K1128)))</f>
        <v/>
      </c>
      <c r="M1128" s="11">
        <f>IF(A1128="","",J1128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1128+IFERROR(INDEX(Settings!$D$5:$D$9,MATCH("Etsy",Settings!$A$5:$A$9,0)),0)*D1128)</f>
        <v/>
      </c>
      <c r="N1128" s="11">
        <f>IF(A1128="","",IF(K1128="",0,D1128*INDEX(Products!$I$5:$I$204,K1128)))</f>
        <v/>
      </c>
      <c r="O1128" s="11">
        <f>IF(A1128="","",IF(K1128="",0,J1128*INDEX(Products!$H$5:$H$204,K1128)))</f>
        <v/>
      </c>
      <c r="P1128" s="11">
        <f>IF(A1128="","",J1128-M1128-N1128-O1128)</f>
        <v/>
      </c>
    </row>
    <row r="1129">
      <c r="A1129">
        <f>IFERROR(INDEX('Etsy Import'!$A:$CZ,1129,Settings!$C$20)&amp;"","")</f>
        <v/>
      </c>
      <c r="B1129">
        <f>IFERROR(INDEX('Etsy Import'!$A:$CZ,1129,Settings!$C$21)&amp;"","")</f>
        <v/>
      </c>
      <c r="C1129">
        <f>IFERROR(INDEX('Etsy Import'!$A:$CZ,1129,Settings!$C$22)&amp;"","")</f>
        <v/>
      </c>
      <c r="D1129">
        <f>IF(A1129="","",IFERROR(VALUE(SUBSTITUTE(SUBSTITUTE(INDEX('Etsy Import'!$A:$CZ,1129,Settings!$C$23)&amp;"","$",""),",","")),0))</f>
        <v/>
      </c>
      <c r="E1129" s="11">
        <f>IF(A1129="","",IFERROR(VALUE(SUBSTITUTE(SUBSTITUTE(INDEX('Etsy Import'!$A:$CZ,1129,Settings!$C$24)&amp;"","$",""),",","")),0))</f>
        <v/>
      </c>
      <c r="F1129" s="11">
        <f>IF(A1129="","",D1129*E1129)</f>
        <v/>
      </c>
      <c r="G1129">
        <f>IF(A1129="","",IF(C1129="",1,COUNTIF($C$2:$C$1501,C1129)))</f>
        <v/>
      </c>
      <c r="H1129" s="11">
        <f>IF(A1129="","",IFERROR(VALUE(SUBSTITUTE(SUBSTITUTE(INDEX('Etsy Import'!$A:$CZ,1129,Settings!$C$25)&amp;"","$",""),",","")),0)/IF(Settings!$B$27="Yes",G1129,1))</f>
        <v/>
      </c>
      <c r="I1129" s="11">
        <f>IF(A1129="","",IFERROR(VALUE(SUBSTITUTE(SUBSTITUTE(INDEX('Etsy Import'!$A:$CZ,1129,Settings!$C$26)&amp;"","$",""),",","")),0)/IF(Settings!$B$27="Yes",G1129,1))</f>
        <v/>
      </c>
      <c r="J1129" s="11">
        <f>IF(A1129="","",F1129+H1129-I1129)</f>
        <v/>
      </c>
      <c r="K1129">
        <f>IF(A1129="","",IFERROR(IF(B1129="",NA(),MATCH(B1129,Products!$B$5:$B$204,0)),IFERROR(MATCH(A1129,Products!$A$5:$A$204,0),"")))</f>
        <v/>
      </c>
      <c r="L1129">
        <f>IF(A1129="","",IF(K1129="","⚠ not in Products",INDEX(Products!$A$5:$A$204,K1129)))</f>
        <v/>
      </c>
      <c r="M1129" s="11">
        <f>IF(A1129="","",J1129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1129+IFERROR(INDEX(Settings!$D$5:$D$9,MATCH("Etsy",Settings!$A$5:$A$9,0)),0)*D1129)</f>
        <v/>
      </c>
      <c r="N1129" s="11">
        <f>IF(A1129="","",IF(K1129="",0,D1129*INDEX(Products!$I$5:$I$204,K1129)))</f>
        <v/>
      </c>
      <c r="O1129" s="11">
        <f>IF(A1129="","",IF(K1129="",0,J1129*INDEX(Products!$H$5:$H$204,K1129)))</f>
        <v/>
      </c>
      <c r="P1129" s="11">
        <f>IF(A1129="","",J1129-M1129-N1129-O1129)</f>
        <v/>
      </c>
    </row>
    <row r="1130">
      <c r="A1130">
        <f>IFERROR(INDEX('Etsy Import'!$A:$CZ,1130,Settings!$C$20)&amp;"","")</f>
        <v/>
      </c>
      <c r="B1130">
        <f>IFERROR(INDEX('Etsy Import'!$A:$CZ,1130,Settings!$C$21)&amp;"","")</f>
        <v/>
      </c>
      <c r="C1130">
        <f>IFERROR(INDEX('Etsy Import'!$A:$CZ,1130,Settings!$C$22)&amp;"","")</f>
        <v/>
      </c>
      <c r="D1130">
        <f>IF(A1130="","",IFERROR(VALUE(SUBSTITUTE(SUBSTITUTE(INDEX('Etsy Import'!$A:$CZ,1130,Settings!$C$23)&amp;"","$",""),",","")),0))</f>
        <v/>
      </c>
      <c r="E1130" s="11">
        <f>IF(A1130="","",IFERROR(VALUE(SUBSTITUTE(SUBSTITUTE(INDEX('Etsy Import'!$A:$CZ,1130,Settings!$C$24)&amp;"","$",""),",","")),0))</f>
        <v/>
      </c>
      <c r="F1130" s="11">
        <f>IF(A1130="","",D1130*E1130)</f>
        <v/>
      </c>
      <c r="G1130">
        <f>IF(A1130="","",IF(C1130="",1,COUNTIF($C$2:$C$1501,C1130)))</f>
        <v/>
      </c>
      <c r="H1130" s="11">
        <f>IF(A1130="","",IFERROR(VALUE(SUBSTITUTE(SUBSTITUTE(INDEX('Etsy Import'!$A:$CZ,1130,Settings!$C$25)&amp;"","$",""),",","")),0)/IF(Settings!$B$27="Yes",G1130,1))</f>
        <v/>
      </c>
      <c r="I1130" s="11">
        <f>IF(A1130="","",IFERROR(VALUE(SUBSTITUTE(SUBSTITUTE(INDEX('Etsy Import'!$A:$CZ,1130,Settings!$C$26)&amp;"","$",""),",","")),0)/IF(Settings!$B$27="Yes",G1130,1))</f>
        <v/>
      </c>
      <c r="J1130" s="11">
        <f>IF(A1130="","",F1130+H1130-I1130)</f>
        <v/>
      </c>
      <c r="K1130">
        <f>IF(A1130="","",IFERROR(IF(B1130="",NA(),MATCH(B1130,Products!$B$5:$B$204,0)),IFERROR(MATCH(A1130,Products!$A$5:$A$204,0),"")))</f>
        <v/>
      </c>
      <c r="L1130">
        <f>IF(A1130="","",IF(K1130="","⚠ not in Products",INDEX(Products!$A$5:$A$204,K1130)))</f>
        <v/>
      </c>
      <c r="M1130" s="11">
        <f>IF(A1130="","",J1130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1130+IFERROR(INDEX(Settings!$D$5:$D$9,MATCH("Etsy",Settings!$A$5:$A$9,0)),0)*D1130)</f>
        <v/>
      </c>
      <c r="N1130" s="11">
        <f>IF(A1130="","",IF(K1130="",0,D1130*INDEX(Products!$I$5:$I$204,K1130)))</f>
        <v/>
      </c>
      <c r="O1130" s="11">
        <f>IF(A1130="","",IF(K1130="",0,J1130*INDEX(Products!$H$5:$H$204,K1130)))</f>
        <v/>
      </c>
      <c r="P1130" s="11">
        <f>IF(A1130="","",J1130-M1130-N1130-O1130)</f>
        <v/>
      </c>
    </row>
    <row r="1131">
      <c r="A1131">
        <f>IFERROR(INDEX('Etsy Import'!$A:$CZ,1131,Settings!$C$20)&amp;"","")</f>
        <v/>
      </c>
      <c r="B1131">
        <f>IFERROR(INDEX('Etsy Import'!$A:$CZ,1131,Settings!$C$21)&amp;"","")</f>
        <v/>
      </c>
      <c r="C1131">
        <f>IFERROR(INDEX('Etsy Import'!$A:$CZ,1131,Settings!$C$22)&amp;"","")</f>
        <v/>
      </c>
      <c r="D1131">
        <f>IF(A1131="","",IFERROR(VALUE(SUBSTITUTE(SUBSTITUTE(INDEX('Etsy Import'!$A:$CZ,1131,Settings!$C$23)&amp;"","$",""),",","")),0))</f>
        <v/>
      </c>
      <c r="E1131" s="11">
        <f>IF(A1131="","",IFERROR(VALUE(SUBSTITUTE(SUBSTITUTE(INDEX('Etsy Import'!$A:$CZ,1131,Settings!$C$24)&amp;"","$",""),",","")),0))</f>
        <v/>
      </c>
      <c r="F1131" s="11">
        <f>IF(A1131="","",D1131*E1131)</f>
        <v/>
      </c>
      <c r="G1131">
        <f>IF(A1131="","",IF(C1131="",1,COUNTIF($C$2:$C$1501,C1131)))</f>
        <v/>
      </c>
      <c r="H1131" s="11">
        <f>IF(A1131="","",IFERROR(VALUE(SUBSTITUTE(SUBSTITUTE(INDEX('Etsy Import'!$A:$CZ,1131,Settings!$C$25)&amp;"","$",""),",","")),0)/IF(Settings!$B$27="Yes",G1131,1))</f>
        <v/>
      </c>
      <c r="I1131" s="11">
        <f>IF(A1131="","",IFERROR(VALUE(SUBSTITUTE(SUBSTITUTE(INDEX('Etsy Import'!$A:$CZ,1131,Settings!$C$26)&amp;"","$",""),",","")),0)/IF(Settings!$B$27="Yes",G1131,1))</f>
        <v/>
      </c>
      <c r="J1131" s="11">
        <f>IF(A1131="","",F1131+H1131-I1131)</f>
        <v/>
      </c>
      <c r="K1131">
        <f>IF(A1131="","",IFERROR(IF(B1131="",NA(),MATCH(B1131,Products!$B$5:$B$204,0)),IFERROR(MATCH(A1131,Products!$A$5:$A$204,0),"")))</f>
        <v/>
      </c>
      <c r="L1131">
        <f>IF(A1131="","",IF(K1131="","⚠ not in Products",INDEX(Products!$A$5:$A$204,K1131)))</f>
        <v/>
      </c>
      <c r="M1131" s="11">
        <f>IF(A1131="","",J1131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1131+IFERROR(INDEX(Settings!$D$5:$D$9,MATCH("Etsy",Settings!$A$5:$A$9,0)),0)*D1131)</f>
        <v/>
      </c>
      <c r="N1131" s="11">
        <f>IF(A1131="","",IF(K1131="",0,D1131*INDEX(Products!$I$5:$I$204,K1131)))</f>
        <v/>
      </c>
      <c r="O1131" s="11">
        <f>IF(A1131="","",IF(K1131="",0,J1131*INDEX(Products!$H$5:$H$204,K1131)))</f>
        <v/>
      </c>
      <c r="P1131" s="11">
        <f>IF(A1131="","",J1131-M1131-N1131-O1131)</f>
        <v/>
      </c>
    </row>
    <row r="1132">
      <c r="A1132">
        <f>IFERROR(INDEX('Etsy Import'!$A:$CZ,1132,Settings!$C$20)&amp;"","")</f>
        <v/>
      </c>
      <c r="B1132">
        <f>IFERROR(INDEX('Etsy Import'!$A:$CZ,1132,Settings!$C$21)&amp;"","")</f>
        <v/>
      </c>
      <c r="C1132">
        <f>IFERROR(INDEX('Etsy Import'!$A:$CZ,1132,Settings!$C$22)&amp;"","")</f>
        <v/>
      </c>
      <c r="D1132">
        <f>IF(A1132="","",IFERROR(VALUE(SUBSTITUTE(SUBSTITUTE(INDEX('Etsy Import'!$A:$CZ,1132,Settings!$C$23)&amp;"","$",""),",","")),0))</f>
        <v/>
      </c>
      <c r="E1132" s="11">
        <f>IF(A1132="","",IFERROR(VALUE(SUBSTITUTE(SUBSTITUTE(INDEX('Etsy Import'!$A:$CZ,1132,Settings!$C$24)&amp;"","$",""),",","")),0))</f>
        <v/>
      </c>
      <c r="F1132" s="11">
        <f>IF(A1132="","",D1132*E1132)</f>
        <v/>
      </c>
      <c r="G1132">
        <f>IF(A1132="","",IF(C1132="",1,COUNTIF($C$2:$C$1501,C1132)))</f>
        <v/>
      </c>
      <c r="H1132" s="11">
        <f>IF(A1132="","",IFERROR(VALUE(SUBSTITUTE(SUBSTITUTE(INDEX('Etsy Import'!$A:$CZ,1132,Settings!$C$25)&amp;"","$",""),",","")),0)/IF(Settings!$B$27="Yes",G1132,1))</f>
        <v/>
      </c>
      <c r="I1132" s="11">
        <f>IF(A1132="","",IFERROR(VALUE(SUBSTITUTE(SUBSTITUTE(INDEX('Etsy Import'!$A:$CZ,1132,Settings!$C$26)&amp;"","$",""),",","")),0)/IF(Settings!$B$27="Yes",G1132,1))</f>
        <v/>
      </c>
      <c r="J1132" s="11">
        <f>IF(A1132="","",F1132+H1132-I1132)</f>
        <v/>
      </c>
      <c r="K1132">
        <f>IF(A1132="","",IFERROR(IF(B1132="",NA(),MATCH(B1132,Products!$B$5:$B$204,0)),IFERROR(MATCH(A1132,Products!$A$5:$A$204,0),"")))</f>
        <v/>
      </c>
      <c r="L1132">
        <f>IF(A1132="","",IF(K1132="","⚠ not in Products",INDEX(Products!$A$5:$A$204,K1132)))</f>
        <v/>
      </c>
      <c r="M1132" s="11">
        <f>IF(A1132="","",J1132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1132+IFERROR(INDEX(Settings!$D$5:$D$9,MATCH("Etsy",Settings!$A$5:$A$9,0)),0)*D1132)</f>
        <v/>
      </c>
      <c r="N1132" s="11">
        <f>IF(A1132="","",IF(K1132="",0,D1132*INDEX(Products!$I$5:$I$204,K1132)))</f>
        <v/>
      </c>
      <c r="O1132" s="11">
        <f>IF(A1132="","",IF(K1132="",0,J1132*INDEX(Products!$H$5:$H$204,K1132)))</f>
        <v/>
      </c>
      <c r="P1132" s="11">
        <f>IF(A1132="","",J1132-M1132-N1132-O1132)</f>
        <v/>
      </c>
    </row>
    <row r="1133">
      <c r="A1133">
        <f>IFERROR(INDEX('Etsy Import'!$A:$CZ,1133,Settings!$C$20)&amp;"","")</f>
        <v/>
      </c>
      <c r="B1133">
        <f>IFERROR(INDEX('Etsy Import'!$A:$CZ,1133,Settings!$C$21)&amp;"","")</f>
        <v/>
      </c>
      <c r="C1133">
        <f>IFERROR(INDEX('Etsy Import'!$A:$CZ,1133,Settings!$C$22)&amp;"","")</f>
        <v/>
      </c>
      <c r="D1133">
        <f>IF(A1133="","",IFERROR(VALUE(SUBSTITUTE(SUBSTITUTE(INDEX('Etsy Import'!$A:$CZ,1133,Settings!$C$23)&amp;"","$",""),",","")),0))</f>
        <v/>
      </c>
      <c r="E1133" s="11">
        <f>IF(A1133="","",IFERROR(VALUE(SUBSTITUTE(SUBSTITUTE(INDEX('Etsy Import'!$A:$CZ,1133,Settings!$C$24)&amp;"","$",""),",","")),0))</f>
        <v/>
      </c>
      <c r="F1133" s="11">
        <f>IF(A1133="","",D1133*E1133)</f>
        <v/>
      </c>
      <c r="G1133">
        <f>IF(A1133="","",IF(C1133="",1,COUNTIF($C$2:$C$1501,C1133)))</f>
        <v/>
      </c>
      <c r="H1133" s="11">
        <f>IF(A1133="","",IFERROR(VALUE(SUBSTITUTE(SUBSTITUTE(INDEX('Etsy Import'!$A:$CZ,1133,Settings!$C$25)&amp;"","$",""),",","")),0)/IF(Settings!$B$27="Yes",G1133,1))</f>
        <v/>
      </c>
      <c r="I1133" s="11">
        <f>IF(A1133="","",IFERROR(VALUE(SUBSTITUTE(SUBSTITUTE(INDEX('Etsy Import'!$A:$CZ,1133,Settings!$C$26)&amp;"","$",""),",","")),0)/IF(Settings!$B$27="Yes",G1133,1))</f>
        <v/>
      </c>
      <c r="J1133" s="11">
        <f>IF(A1133="","",F1133+H1133-I1133)</f>
        <v/>
      </c>
      <c r="K1133">
        <f>IF(A1133="","",IFERROR(IF(B1133="",NA(),MATCH(B1133,Products!$B$5:$B$204,0)),IFERROR(MATCH(A1133,Products!$A$5:$A$204,0),"")))</f>
        <v/>
      </c>
      <c r="L1133">
        <f>IF(A1133="","",IF(K1133="","⚠ not in Products",INDEX(Products!$A$5:$A$204,K1133)))</f>
        <v/>
      </c>
      <c r="M1133" s="11">
        <f>IF(A1133="","",J1133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1133+IFERROR(INDEX(Settings!$D$5:$D$9,MATCH("Etsy",Settings!$A$5:$A$9,0)),0)*D1133)</f>
        <v/>
      </c>
      <c r="N1133" s="11">
        <f>IF(A1133="","",IF(K1133="",0,D1133*INDEX(Products!$I$5:$I$204,K1133)))</f>
        <v/>
      </c>
      <c r="O1133" s="11">
        <f>IF(A1133="","",IF(K1133="",0,J1133*INDEX(Products!$H$5:$H$204,K1133)))</f>
        <v/>
      </c>
      <c r="P1133" s="11">
        <f>IF(A1133="","",J1133-M1133-N1133-O1133)</f>
        <v/>
      </c>
    </row>
    <row r="1134">
      <c r="A1134">
        <f>IFERROR(INDEX('Etsy Import'!$A:$CZ,1134,Settings!$C$20)&amp;"","")</f>
        <v/>
      </c>
      <c r="B1134">
        <f>IFERROR(INDEX('Etsy Import'!$A:$CZ,1134,Settings!$C$21)&amp;"","")</f>
        <v/>
      </c>
      <c r="C1134">
        <f>IFERROR(INDEX('Etsy Import'!$A:$CZ,1134,Settings!$C$22)&amp;"","")</f>
        <v/>
      </c>
      <c r="D1134">
        <f>IF(A1134="","",IFERROR(VALUE(SUBSTITUTE(SUBSTITUTE(INDEX('Etsy Import'!$A:$CZ,1134,Settings!$C$23)&amp;"","$",""),",","")),0))</f>
        <v/>
      </c>
      <c r="E1134" s="11">
        <f>IF(A1134="","",IFERROR(VALUE(SUBSTITUTE(SUBSTITUTE(INDEX('Etsy Import'!$A:$CZ,1134,Settings!$C$24)&amp;"","$",""),",","")),0))</f>
        <v/>
      </c>
      <c r="F1134" s="11">
        <f>IF(A1134="","",D1134*E1134)</f>
        <v/>
      </c>
      <c r="G1134">
        <f>IF(A1134="","",IF(C1134="",1,COUNTIF($C$2:$C$1501,C1134)))</f>
        <v/>
      </c>
      <c r="H1134" s="11">
        <f>IF(A1134="","",IFERROR(VALUE(SUBSTITUTE(SUBSTITUTE(INDEX('Etsy Import'!$A:$CZ,1134,Settings!$C$25)&amp;"","$",""),",","")),0)/IF(Settings!$B$27="Yes",G1134,1))</f>
        <v/>
      </c>
      <c r="I1134" s="11">
        <f>IF(A1134="","",IFERROR(VALUE(SUBSTITUTE(SUBSTITUTE(INDEX('Etsy Import'!$A:$CZ,1134,Settings!$C$26)&amp;"","$",""),",","")),0)/IF(Settings!$B$27="Yes",G1134,1))</f>
        <v/>
      </c>
      <c r="J1134" s="11">
        <f>IF(A1134="","",F1134+H1134-I1134)</f>
        <v/>
      </c>
      <c r="K1134">
        <f>IF(A1134="","",IFERROR(IF(B1134="",NA(),MATCH(B1134,Products!$B$5:$B$204,0)),IFERROR(MATCH(A1134,Products!$A$5:$A$204,0),"")))</f>
        <v/>
      </c>
      <c r="L1134">
        <f>IF(A1134="","",IF(K1134="","⚠ not in Products",INDEX(Products!$A$5:$A$204,K1134)))</f>
        <v/>
      </c>
      <c r="M1134" s="11">
        <f>IF(A1134="","",J1134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1134+IFERROR(INDEX(Settings!$D$5:$D$9,MATCH("Etsy",Settings!$A$5:$A$9,0)),0)*D1134)</f>
        <v/>
      </c>
      <c r="N1134" s="11">
        <f>IF(A1134="","",IF(K1134="",0,D1134*INDEX(Products!$I$5:$I$204,K1134)))</f>
        <v/>
      </c>
      <c r="O1134" s="11">
        <f>IF(A1134="","",IF(K1134="",0,J1134*INDEX(Products!$H$5:$H$204,K1134)))</f>
        <v/>
      </c>
      <c r="P1134" s="11">
        <f>IF(A1134="","",J1134-M1134-N1134-O1134)</f>
        <v/>
      </c>
    </row>
    <row r="1135">
      <c r="A1135">
        <f>IFERROR(INDEX('Etsy Import'!$A:$CZ,1135,Settings!$C$20)&amp;"","")</f>
        <v/>
      </c>
      <c r="B1135">
        <f>IFERROR(INDEX('Etsy Import'!$A:$CZ,1135,Settings!$C$21)&amp;"","")</f>
        <v/>
      </c>
      <c r="C1135">
        <f>IFERROR(INDEX('Etsy Import'!$A:$CZ,1135,Settings!$C$22)&amp;"","")</f>
        <v/>
      </c>
      <c r="D1135">
        <f>IF(A1135="","",IFERROR(VALUE(SUBSTITUTE(SUBSTITUTE(INDEX('Etsy Import'!$A:$CZ,1135,Settings!$C$23)&amp;"","$",""),",","")),0))</f>
        <v/>
      </c>
      <c r="E1135" s="11">
        <f>IF(A1135="","",IFERROR(VALUE(SUBSTITUTE(SUBSTITUTE(INDEX('Etsy Import'!$A:$CZ,1135,Settings!$C$24)&amp;"","$",""),",","")),0))</f>
        <v/>
      </c>
      <c r="F1135" s="11">
        <f>IF(A1135="","",D1135*E1135)</f>
        <v/>
      </c>
      <c r="G1135">
        <f>IF(A1135="","",IF(C1135="",1,COUNTIF($C$2:$C$1501,C1135)))</f>
        <v/>
      </c>
      <c r="H1135" s="11">
        <f>IF(A1135="","",IFERROR(VALUE(SUBSTITUTE(SUBSTITUTE(INDEX('Etsy Import'!$A:$CZ,1135,Settings!$C$25)&amp;"","$",""),",","")),0)/IF(Settings!$B$27="Yes",G1135,1))</f>
        <v/>
      </c>
      <c r="I1135" s="11">
        <f>IF(A1135="","",IFERROR(VALUE(SUBSTITUTE(SUBSTITUTE(INDEX('Etsy Import'!$A:$CZ,1135,Settings!$C$26)&amp;"","$",""),",","")),0)/IF(Settings!$B$27="Yes",G1135,1))</f>
        <v/>
      </c>
      <c r="J1135" s="11">
        <f>IF(A1135="","",F1135+H1135-I1135)</f>
        <v/>
      </c>
      <c r="K1135">
        <f>IF(A1135="","",IFERROR(IF(B1135="",NA(),MATCH(B1135,Products!$B$5:$B$204,0)),IFERROR(MATCH(A1135,Products!$A$5:$A$204,0),"")))</f>
        <v/>
      </c>
      <c r="L1135">
        <f>IF(A1135="","",IF(K1135="","⚠ not in Products",INDEX(Products!$A$5:$A$204,K1135)))</f>
        <v/>
      </c>
      <c r="M1135" s="11">
        <f>IF(A1135="","",J1135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1135+IFERROR(INDEX(Settings!$D$5:$D$9,MATCH("Etsy",Settings!$A$5:$A$9,0)),0)*D1135)</f>
        <v/>
      </c>
      <c r="N1135" s="11">
        <f>IF(A1135="","",IF(K1135="",0,D1135*INDEX(Products!$I$5:$I$204,K1135)))</f>
        <v/>
      </c>
      <c r="O1135" s="11">
        <f>IF(A1135="","",IF(K1135="",0,J1135*INDEX(Products!$H$5:$H$204,K1135)))</f>
        <v/>
      </c>
      <c r="P1135" s="11">
        <f>IF(A1135="","",J1135-M1135-N1135-O1135)</f>
        <v/>
      </c>
    </row>
    <row r="1136">
      <c r="A1136">
        <f>IFERROR(INDEX('Etsy Import'!$A:$CZ,1136,Settings!$C$20)&amp;"","")</f>
        <v/>
      </c>
      <c r="B1136">
        <f>IFERROR(INDEX('Etsy Import'!$A:$CZ,1136,Settings!$C$21)&amp;"","")</f>
        <v/>
      </c>
      <c r="C1136">
        <f>IFERROR(INDEX('Etsy Import'!$A:$CZ,1136,Settings!$C$22)&amp;"","")</f>
        <v/>
      </c>
      <c r="D1136">
        <f>IF(A1136="","",IFERROR(VALUE(SUBSTITUTE(SUBSTITUTE(INDEX('Etsy Import'!$A:$CZ,1136,Settings!$C$23)&amp;"","$",""),",","")),0))</f>
        <v/>
      </c>
      <c r="E1136" s="11">
        <f>IF(A1136="","",IFERROR(VALUE(SUBSTITUTE(SUBSTITUTE(INDEX('Etsy Import'!$A:$CZ,1136,Settings!$C$24)&amp;"","$",""),",","")),0))</f>
        <v/>
      </c>
      <c r="F1136" s="11">
        <f>IF(A1136="","",D1136*E1136)</f>
        <v/>
      </c>
      <c r="G1136">
        <f>IF(A1136="","",IF(C1136="",1,COUNTIF($C$2:$C$1501,C1136)))</f>
        <v/>
      </c>
      <c r="H1136" s="11">
        <f>IF(A1136="","",IFERROR(VALUE(SUBSTITUTE(SUBSTITUTE(INDEX('Etsy Import'!$A:$CZ,1136,Settings!$C$25)&amp;"","$",""),",","")),0)/IF(Settings!$B$27="Yes",G1136,1))</f>
        <v/>
      </c>
      <c r="I1136" s="11">
        <f>IF(A1136="","",IFERROR(VALUE(SUBSTITUTE(SUBSTITUTE(INDEX('Etsy Import'!$A:$CZ,1136,Settings!$C$26)&amp;"","$",""),",","")),0)/IF(Settings!$B$27="Yes",G1136,1))</f>
        <v/>
      </c>
      <c r="J1136" s="11">
        <f>IF(A1136="","",F1136+H1136-I1136)</f>
        <v/>
      </c>
      <c r="K1136">
        <f>IF(A1136="","",IFERROR(IF(B1136="",NA(),MATCH(B1136,Products!$B$5:$B$204,0)),IFERROR(MATCH(A1136,Products!$A$5:$A$204,0),"")))</f>
        <v/>
      </c>
      <c r="L1136">
        <f>IF(A1136="","",IF(K1136="","⚠ not in Products",INDEX(Products!$A$5:$A$204,K1136)))</f>
        <v/>
      </c>
      <c r="M1136" s="11">
        <f>IF(A1136="","",J1136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1136+IFERROR(INDEX(Settings!$D$5:$D$9,MATCH("Etsy",Settings!$A$5:$A$9,0)),0)*D1136)</f>
        <v/>
      </c>
      <c r="N1136" s="11">
        <f>IF(A1136="","",IF(K1136="",0,D1136*INDEX(Products!$I$5:$I$204,K1136)))</f>
        <v/>
      </c>
      <c r="O1136" s="11">
        <f>IF(A1136="","",IF(K1136="",0,J1136*INDEX(Products!$H$5:$H$204,K1136)))</f>
        <v/>
      </c>
      <c r="P1136" s="11">
        <f>IF(A1136="","",J1136-M1136-N1136-O1136)</f>
        <v/>
      </c>
    </row>
    <row r="1137">
      <c r="A1137">
        <f>IFERROR(INDEX('Etsy Import'!$A:$CZ,1137,Settings!$C$20)&amp;"","")</f>
        <v/>
      </c>
      <c r="B1137">
        <f>IFERROR(INDEX('Etsy Import'!$A:$CZ,1137,Settings!$C$21)&amp;"","")</f>
        <v/>
      </c>
      <c r="C1137">
        <f>IFERROR(INDEX('Etsy Import'!$A:$CZ,1137,Settings!$C$22)&amp;"","")</f>
        <v/>
      </c>
      <c r="D1137">
        <f>IF(A1137="","",IFERROR(VALUE(SUBSTITUTE(SUBSTITUTE(INDEX('Etsy Import'!$A:$CZ,1137,Settings!$C$23)&amp;"","$",""),",","")),0))</f>
        <v/>
      </c>
      <c r="E1137" s="11">
        <f>IF(A1137="","",IFERROR(VALUE(SUBSTITUTE(SUBSTITUTE(INDEX('Etsy Import'!$A:$CZ,1137,Settings!$C$24)&amp;"","$",""),",","")),0))</f>
        <v/>
      </c>
      <c r="F1137" s="11">
        <f>IF(A1137="","",D1137*E1137)</f>
        <v/>
      </c>
      <c r="G1137">
        <f>IF(A1137="","",IF(C1137="",1,COUNTIF($C$2:$C$1501,C1137)))</f>
        <v/>
      </c>
      <c r="H1137" s="11">
        <f>IF(A1137="","",IFERROR(VALUE(SUBSTITUTE(SUBSTITUTE(INDEX('Etsy Import'!$A:$CZ,1137,Settings!$C$25)&amp;"","$",""),",","")),0)/IF(Settings!$B$27="Yes",G1137,1))</f>
        <v/>
      </c>
      <c r="I1137" s="11">
        <f>IF(A1137="","",IFERROR(VALUE(SUBSTITUTE(SUBSTITUTE(INDEX('Etsy Import'!$A:$CZ,1137,Settings!$C$26)&amp;"","$",""),",","")),0)/IF(Settings!$B$27="Yes",G1137,1))</f>
        <v/>
      </c>
      <c r="J1137" s="11">
        <f>IF(A1137="","",F1137+H1137-I1137)</f>
        <v/>
      </c>
      <c r="K1137">
        <f>IF(A1137="","",IFERROR(IF(B1137="",NA(),MATCH(B1137,Products!$B$5:$B$204,0)),IFERROR(MATCH(A1137,Products!$A$5:$A$204,0),"")))</f>
        <v/>
      </c>
      <c r="L1137">
        <f>IF(A1137="","",IF(K1137="","⚠ not in Products",INDEX(Products!$A$5:$A$204,K1137)))</f>
        <v/>
      </c>
      <c r="M1137" s="11">
        <f>IF(A1137="","",J1137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1137+IFERROR(INDEX(Settings!$D$5:$D$9,MATCH("Etsy",Settings!$A$5:$A$9,0)),0)*D1137)</f>
        <v/>
      </c>
      <c r="N1137" s="11">
        <f>IF(A1137="","",IF(K1137="",0,D1137*INDEX(Products!$I$5:$I$204,K1137)))</f>
        <v/>
      </c>
      <c r="O1137" s="11">
        <f>IF(A1137="","",IF(K1137="",0,J1137*INDEX(Products!$H$5:$H$204,K1137)))</f>
        <v/>
      </c>
      <c r="P1137" s="11">
        <f>IF(A1137="","",J1137-M1137-N1137-O1137)</f>
        <v/>
      </c>
    </row>
    <row r="1138">
      <c r="A1138">
        <f>IFERROR(INDEX('Etsy Import'!$A:$CZ,1138,Settings!$C$20)&amp;"","")</f>
        <v/>
      </c>
      <c r="B1138">
        <f>IFERROR(INDEX('Etsy Import'!$A:$CZ,1138,Settings!$C$21)&amp;"","")</f>
        <v/>
      </c>
      <c r="C1138">
        <f>IFERROR(INDEX('Etsy Import'!$A:$CZ,1138,Settings!$C$22)&amp;"","")</f>
        <v/>
      </c>
      <c r="D1138">
        <f>IF(A1138="","",IFERROR(VALUE(SUBSTITUTE(SUBSTITUTE(INDEX('Etsy Import'!$A:$CZ,1138,Settings!$C$23)&amp;"","$",""),",","")),0))</f>
        <v/>
      </c>
      <c r="E1138" s="11">
        <f>IF(A1138="","",IFERROR(VALUE(SUBSTITUTE(SUBSTITUTE(INDEX('Etsy Import'!$A:$CZ,1138,Settings!$C$24)&amp;"","$",""),",","")),0))</f>
        <v/>
      </c>
      <c r="F1138" s="11">
        <f>IF(A1138="","",D1138*E1138)</f>
        <v/>
      </c>
      <c r="G1138">
        <f>IF(A1138="","",IF(C1138="",1,COUNTIF($C$2:$C$1501,C1138)))</f>
        <v/>
      </c>
      <c r="H1138" s="11">
        <f>IF(A1138="","",IFERROR(VALUE(SUBSTITUTE(SUBSTITUTE(INDEX('Etsy Import'!$A:$CZ,1138,Settings!$C$25)&amp;"","$",""),",","")),0)/IF(Settings!$B$27="Yes",G1138,1))</f>
        <v/>
      </c>
      <c r="I1138" s="11">
        <f>IF(A1138="","",IFERROR(VALUE(SUBSTITUTE(SUBSTITUTE(INDEX('Etsy Import'!$A:$CZ,1138,Settings!$C$26)&amp;"","$",""),",","")),0)/IF(Settings!$B$27="Yes",G1138,1))</f>
        <v/>
      </c>
      <c r="J1138" s="11">
        <f>IF(A1138="","",F1138+H1138-I1138)</f>
        <v/>
      </c>
      <c r="K1138">
        <f>IF(A1138="","",IFERROR(IF(B1138="",NA(),MATCH(B1138,Products!$B$5:$B$204,0)),IFERROR(MATCH(A1138,Products!$A$5:$A$204,0),"")))</f>
        <v/>
      </c>
      <c r="L1138">
        <f>IF(A1138="","",IF(K1138="","⚠ not in Products",INDEX(Products!$A$5:$A$204,K1138)))</f>
        <v/>
      </c>
      <c r="M1138" s="11">
        <f>IF(A1138="","",J1138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1138+IFERROR(INDEX(Settings!$D$5:$D$9,MATCH("Etsy",Settings!$A$5:$A$9,0)),0)*D1138)</f>
        <v/>
      </c>
      <c r="N1138" s="11">
        <f>IF(A1138="","",IF(K1138="",0,D1138*INDEX(Products!$I$5:$I$204,K1138)))</f>
        <v/>
      </c>
      <c r="O1138" s="11">
        <f>IF(A1138="","",IF(K1138="",0,J1138*INDEX(Products!$H$5:$H$204,K1138)))</f>
        <v/>
      </c>
      <c r="P1138" s="11">
        <f>IF(A1138="","",J1138-M1138-N1138-O1138)</f>
        <v/>
      </c>
    </row>
    <row r="1139">
      <c r="A1139">
        <f>IFERROR(INDEX('Etsy Import'!$A:$CZ,1139,Settings!$C$20)&amp;"","")</f>
        <v/>
      </c>
      <c r="B1139">
        <f>IFERROR(INDEX('Etsy Import'!$A:$CZ,1139,Settings!$C$21)&amp;"","")</f>
        <v/>
      </c>
      <c r="C1139">
        <f>IFERROR(INDEX('Etsy Import'!$A:$CZ,1139,Settings!$C$22)&amp;"","")</f>
        <v/>
      </c>
      <c r="D1139">
        <f>IF(A1139="","",IFERROR(VALUE(SUBSTITUTE(SUBSTITUTE(INDEX('Etsy Import'!$A:$CZ,1139,Settings!$C$23)&amp;"","$",""),",","")),0))</f>
        <v/>
      </c>
      <c r="E1139" s="11">
        <f>IF(A1139="","",IFERROR(VALUE(SUBSTITUTE(SUBSTITUTE(INDEX('Etsy Import'!$A:$CZ,1139,Settings!$C$24)&amp;"","$",""),",","")),0))</f>
        <v/>
      </c>
      <c r="F1139" s="11">
        <f>IF(A1139="","",D1139*E1139)</f>
        <v/>
      </c>
      <c r="G1139">
        <f>IF(A1139="","",IF(C1139="",1,COUNTIF($C$2:$C$1501,C1139)))</f>
        <v/>
      </c>
      <c r="H1139" s="11">
        <f>IF(A1139="","",IFERROR(VALUE(SUBSTITUTE(SUBSTITUTE(INDEX('Etsy Import'!$A:$CZ,1139,Settings!$C$25)&amp;"","$",""),",","")),0)/IF(Settings!$B$27="Yes",G1139,1))</f>
        <v/>
      </c>
      <c r="I1139" s="11">
        <f>IF(A1139="","",IFERROR(VALUE(SUBSTITUTE(SUBSTITUTE(INDEX('Etsy Import'!$A:$CZ,1139,Settings!$C$26)&amp;"","$",""),",","")),0)/IF(Settings!$B$27="Yes",G1139,1))</f>
        <v/>
      </c>
      <c r="J1139" s="11">
        <f>IF(A1139="","",F1139+H1139-I1139)</f>
        <v/>
      </c>
      <c r="K1139">
        <f>IF(A1139="","",IFERROR(IF(B1139="",NA(),MATCH(B1139,Products!$B$5:$B$204,0)),IFERROR(MATCH(A1139,Products!$A$5:$A$204,0),"")))</f>
        <v/>
      </c>
      <c r="L1139">
        <f>IF(A1139="","",IF(K1139="","⚠ not in Products",INDEX(Products!$A$5:$A$204,K1139)))</f>
        <v/>
      </c>
      <c r="M1139" s="11">
        <f>IF(A1139="","",J1139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1139+IFERROR(INDEX(Settings!$D$5:$D$9,MATCH("Etsy",Settings!$A$5:$A$9,0)),0)*D1139)</f>
        <v/>
      </c>
      <c r="N1139" s="11">
        <f>IF(A1139="","",IF(K1139="",0,D1139*INDEX(Products!$I$5:$I$204,K1139)))</f>
        <v/>
      </c>
      <c r="O1139" s="11">
        <f>IF(A1139="","",IF(K1139="",0,J1139*INDEX(Products!$H$5:$H$204,K1139)))</f>
        <v/>
      </c>
      <c r="P1139" s="11">
        <f>IF(A1139="","",J1139-M1139-N1139-O1139)</f>
        <v/>
      </c>
    </row>
    <row r="1140">
      <c r="A1140">
        <f>IFERROR(INDEX('Etsy Import'!$A:$CZ,1140,Settings!$C$20)&amp;"","")</f>
        <v/>
      </c>
      <c r="B1140">
        <f>IFERROR(INDEX('Etsy Import'!$A:$CZ,1140,Settings!$C$21)&amp;"","")</f>
        <v/>
      </c>
      <c r="C1140">
        <f>IFERROR(INDEX('Etsy Import'!$A:$CZ,1140,Settings!$C$22)&amp;"","")</f>
        <v/>
      </c>
      <c r="D1140">
        <f>IF(A1140="","",IFERROR(VALUE(SUBSTITUTE(SUBSTITUTE(INDEX('Etsy Import'!$A:$CZ,1140,Settings!$C$23)&amp;"","$",""),",","")),0))</f>
        <v/>
      </c>
      <c r="E1140" s="11">
        <f>IF(A1140="","",IFERROR(VALUE(SUBSTITUTE(SUBSTITUTE(INDEX('Etsy Import'!$A:$CZ,1140,Settings!$C$24)&amp;"","$",""),",","")),0))</f>
        <v/>
      </c>
      <c r="F1140" s="11">
        <f>IF(A1140="","",D1140*E1140)</f>
        <v/>
      </c>
      <c r="G1140">
        <f>IF(A1140="","",IF(C1140="",1,COUNTIF($C$2:$C$1501,C1140)))</f>
        <v/>
      </c>
      <c r="H1140" s="11">
        <f>IF(A1140="","",IFERROR(VALUE(SUBSTITUTE(SUBSTITUTE(INDEX('Etsy Import'!$A:$CZ,1140,Settings!$C$25)&amp;"","$",""),",","")),0)/IF(Settings!$B$27="Yes",G1140,1))</f>
        <v/>
      </c>
      <c r="I1140" s="11">
        <f>IF(A1140="","",IFERROR(VALUE(SUBSTITUTE(SUBSTITUTE(INDEX('Etsy Import'!$A:$CZ,1140,Settings!$C$26)&amp;"","$",""),",","")),0)/IF(Settings!$B$27="Yes",G1140,1))</f>
        <v/>
      </c>
      <c r="J1140" s="11">
        <f>IF(A1140="","",F1140+H1140-I1140)</f>
        <v/>
      </c>
      <c r="K1140">
        <f>IF(A1140="","",IFERROR(IF(B1140="",NA(),MATCH(B1140,Products!$B$5:$B$204,0)),IFERROR(MATCH(A1140,Products!$A$5:$A$204,0),"")))</f>
        <v/>
      </c>
      <c r="L1140">
        <f>IF(A1140="","",IF(K1140="","⚠ not in Products",INDEX(Products!$A$5:$A$204,K1140)))</f>
        <v/>
      </c>
      <c r="M1140" s="11">
        <f>IF(A1140="","",J1140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1140+IFERROR(INDEX(Settings!$D$5:$D$9,MATCH("Etsy",Settings!$A$5:$A$9,0)),0)*D1140)</f>
        <v/>
      </c>
      <c r="N1140" s="11">
        <f>IF(A1140="","",IF(K1140="",0,D1140*INDEX(Products!$I$5:$I$204,K1140)))</f>
        <v/>
      </c>
      <c r="O1140" s="11">
        <f>IF(A1140="","",IF(K1140="",0,J1140*INDEX(Products!$H$5:$H$204,K1140)))</f>
        <v/>
      </c>
      <c r="P1140" s="11">
        <f>IF(A1140="","",J1140-M1140-N1140-O1140)</f>
        <v/>
      </c>
    </row>
    <row r="1141">
      <c r="A1141">
        <f>IFERROR(INDEX('Etsy Import'!$A:$CZ,1141,Settings!$C$20)&amp;"","")</f>
        <v/>
      </c>
      <c r="B1141">
        <f>IFERROR(INDEX('Etsy Import'!$A:$CZ,1141,Settings!$C$21)&amp;"","")</f>
        <v/>
      </c>
      <c r="C1141">
        <f>IFERROR(INDEX('Etsy Import'!$A:$CZ,1141,Settings!$C$22)&amp;"","")</f>
        <v/>
      </c>
      <c r="D1141">
        <f>IF(A1141="","",IFERROR(VALUE(SUBSTITUTE(SUBSTITUTE(INDEX('Etsy Import'!$A:$CZ,1141,Settings!$C$23)&amp;"","$",""),",","")),0))</f>
        <v/>
      </c>
      <c r="E1141" s="11">
        <f>IF(A1141="","",IFERROR(VALUE(SUBSTITUTE(SUBSTITUTE(INDEX('Etsy Import'!$A:$CZ,1141,Settings!$C$24)&amp;"","$",""),",","")),0))</f>
        <v/>
      </c>
      <c r="F1141" s="11">
        <f>IF(A1141="","",D1141*E1141)</f>
        <v/>
      </c>
      <c r="G1141">
        <f>IF(A1141="","",IF(C1141="",1,COUNTIF($C$2:$C$1501,C1141)))</f>
        <v/>
      </c>
      <c r="H1141" s="11">
        <f>IF(A1141="","",IFERROR(VALUE(SUBSTITUTE(SUBSTITUTE(INDEX('Etsy Import'!$A:$CZ,1141,Settings!$C$25)&amp;"","$",""),",","")),0)/IF(Settings!$B$27="Yes",G1141,1))</f>
        <v/>
      </c>
      <c r="I1141" s="11">
        <f>IF(A1141="","",IFERROR(VALUE(SUBSTITUTE(SUBSTITUTE(INDEX('Etsy Import'!$A:$CZ,1141,Settings!$C$26)&amp;"","$",""),",","")),0)/IF(Settings!$B$27="Yes",G1141,1))</f>
        <v/>
      </c>
      <c r="J1141" s="11">
        <f>IF(A1141="","",F1141+H1141-I1141)</f>
        <v/>
      </c>
      <c r="K1141">
        <f>IF(A1141="","",IFERROR(IF(B1141="",NA(),MATCH(B1141,Products!$B$5:$B$204,0)),IFERROR(MATCH(A1141,Products!$A$5:$A$204,0),"")))</f>
        <v/>
      </c>
      <c r="L1141">
        <f>IF(A1141="","",IF(K1141="","⚠ not in Products",INDEX(Products!$A$5:$A$204,K1141)))</f>
        <v/>
      </c>
      <c r="M1141" s="11">
        <f>IF(A1141="","",J1141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1141+IFERROR(INDEX(Settings!$D$5:$D$9,MATCH("Etsy",Settings!$A$5:$A$9,0)),0)*D1141)</f>
        <v/>
      </c>
      <c r="N1141" s="11">
        <f>IF(A1141="","",IF(K1141="",0,D1141*INDEX(Products!$I$5:$I$204,K1141)))</f>
        <v/>
      </c>
      <c r="O1141" s="11">
        <f>IF(A1141="","",IF(K1141="",0,J1141*INDEX(Products!$H$5:$H$204,K1141)))</f>
        <v/>
      </c>
      <c r="P1141" s="11">
        <f>IF(A1141="","",J1141-M1141-N1141-O1141)</f>
        <v/>
      </c>
    </row>
    <row r="1142">
      <c r="A1142">
        <f>IFERROR(INDEX('Etsy Import'!$A:$CZ,1142,Settings!$C$20)&amp;"","")</f>
        <v/>
      </c>
      <c r="B1142">
        <f>IFERROR(INDEX('Etsy Import'!$A:$CZ,1142,Settings!$C$21)&amp;"","")</f>
        <v/>
      </c>
      <c r="C1142">
        <f>IFERROR(INDEX('Etsy Import'!$A:$CZ,1142,Settings!$C$22)&amp;"","")</f>
        <v/>
      </c>
      <c r="D1142">
        <f>IF(A1142="","",IFERROR(VALUE(SUBSTITUTE(SUBSTITUTE(INDEX('Etsy Import'!$A:$CZ,1142,Settings!$C$23)&amp;"","$",""),",","")),0))</f>
        <v/>
      </c>
      <c r="E1142" s="11">
        <f>IF(A1142="","",IFERROR(VALUE(SUBSTITUTE(SUBSTITUTE(INDEX('Etsy Import'!$A:$CZ,1142,Settings!$C$24)&amp;"","$",""),",","")),0))</f>
        <v/>
      </c>
      <c r="F1142" s="11">
        <f>IF(A1142="","",D1142*E1142)</f>
        <v/>
      </c>
      <c r="G1142">
        <f>IF(A1142="","",IF(C1142="",1,COUNTIF($C$2:$C$1501,C1142)))</f>
        <v/>
      </c>
      <c r="H1142" s="11">
        <f>IF(A1142="","",IFERROR(VALUE(SUBSTITUTE(SUBSTITUTE(INDEX('Etsy Import'!$A:$CZ,1142,Settings!$C$25)&amp;"","$",""),",","")),0)/IF(Settings!$B$27="Yes",G1142,1))</f>
        <v/>
      </c>
      <c r="I1142" s="11">
        <f>IF(A1142="","",IFERROR(VALUE(SUBSTITUTE(SUBSTITUTE(INDEX('Etsy Import'!$A:$CZ,1142,Settings!$C$26)&amp;"","$",""),",","")),0)/IF(Settings!$B$27="Yes",G1142,1))</f>
        <v/>
      </c>
      <c r="J1142" s="11">
        <f>IF(A1142="","",F1142+H1142-I1142)</f>
        <v/>
      </c>
      <c r="K1142">
        <f>IF(A1142="","",IFERROR(IF(B1142="",NA(),MATCH(B1142,Products!$B$5:$B$204,0)),IFERROR(MATCH(A1142,Products!$A$5:$A$204,0),"")))</f>
        <v/>
      </c>
      <c r="L1142">
        <f>IF(A1142="","",IF(K1142="","⚠ not in Products",INDEX(Products!$A$5:$A$204,K1142)))</f>
        <v/>
      </c>
      <c r="M1142" s="11">
        <f>IF(A1142="","",J1142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1142+IFERROR(INDEX(Settings!$D$5:$D$9,MATCH("Etsy",Settings!$A$5:$A$9,0)),0)*D1142)</f>
        <v/>
      </c>
      <c r="N1142" s="11">
        <f>IF(A1142="","",IF(K1142="",0,D1142*INDEX(Products!$I$5:$I$204,K1142)))</f>
        <v/>
      </c>
      <c r="O1142" s="11">
        <f>IF(A1142="","",IF(K1142="",0,J1142*INDEX(Products!$H$5:$H$204,K1142)))</f>
        <v/>
      </c>
      <c r="P1142" s="11">
        <f>IF(A1142="","",J1142-M1142-N1142-O1142)</f>
        <v/>
      </c>
    </row>
    <row r="1143">
      <c r="A1143">
        <f>IFERROR(INDEX('Etsy Import'!$A:$CZ,1143,Settings!$C$20)&amp;"","")</f>
        <v/>
      </c>
      <c r="B1143">
        <f>IFERROR(INDEX('Etsy Import'!$A:$CZ,1143,Settings!$C$21)&amp;"","")</f>
        <v/>
      </c>
      <c r="C1143">
        <f>IFERROR(INDEX('Etsy Import'!$A:$CZ,1143,Settings!$C$22)&amp;"","")</f>
        <v/>
      </c>
      <c r="D1143">
        <f>IF(A1143="","",IFERROR(VALUE(SUBSTITUTE(SUBSTITUTE(INDEX('Etsy Import'!$A:$CZ,1143,Settings!$C$23)&amp;"","$",""),",","")),0))</f>
        <v/>
      </c>
      <c r="E1143" s="11">
        <f>IF(A1143="","",IFERROR(VALUE(SUBSTITUTE(SUBSTITUTE(INDEX('Etsy Import'!$A:$CZ,1143,Settings!$C$24)&amp;"","$",""),",","")),0))</f>
        <v/>
      </c>
      <c r="F1143" s="11">
        <f>IF(A1143="","",D1143*E1143)</f>
        <v/>
      </c>
      <c r="G1143">
        <f>IF(A1143="","",IF(C1143="",1,COUNTIF($C$2:$C$1501,C1143)))</f>
        <v/>
      </c>
      <c r="H1143" s="11">
        <f>IF(A1143="","",IFERROR(VALUE(SUBSTITUTE(SUBSTITUTE(INDEX('Etsy Import'!$A:$CZ,1143,Settings!$C$25)&amp;"","$",""),",","")),0)/IF(Settings!$B$27="Yes",G1143,1))</f>
        <v/>
      </c>
      <c r="I1143" s="11">
        <f>IF(A1143="","",IFERROR(VALUE(SUBSTITUTE(SUBSTITUTE(INDEX('Etsy Import'!$A:$CZ,1143,Settings!$C$26)&amp;"","$",""),",","")),0)/IF(Settings!$B$27="Yes",G1143,1))</f>
        <v/>
      </c>
      <c r="J1143" s="11">
        <f>IF(A1143="","",F1143+H1143-I1143)</f>
        <v/>
      </c>
      <c r="K1143">
        <f>IF(A1143="","",IFERROR(IF(B1143="",NA(),MATCH(B1143,Products!$B$5:$B$204,0)),IFERROR(MATCH(A1143,Products!$A$5:$A$204,0),"")))</f>
        <v/>
      </c>
      <c r="L1143">
        <f>IF(A1143="","",IF(K1143="","⚠ not in Products",INDEX(Products!$A$5:$A$204,K1143)))</f>
        <v/>
      </c>
      <c r="M1143" s="11">
        <f>IF(A1143="","",J1143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1143+IFERROR(INDEX(Settings!$D$5:$D$9,MATCH("Etsy",Settings!$A$5:$A$9,0)),0)*D1143)</f>
        <v/>
      </c>
      <c r="N1143" s="11">
        <f>IF(A1143="","",IF(K1143="",0,D1143*INDEX(Products!$I$5:$I$204,K1143)))</f>
        <v/>
      </c>
      <c r="O1143" s="11">
        <f>IF(A1143="","",IF(K1143="",0,J1143*INDEX(Products!$H$5:$H$204,K1143)))</f>
        <v/>
      </c>
      <c r="P1143" s="11">
        <f>IF(A1143="","",J1143-M1143-N1143-O1143)</f>
        <v/>
      </c>
    </row>
    <row r="1144">
      <c r="A1144">
        <f>IFERROR(INDEX('Etsy Import'!$A:$CZ,1144,Settings!$C$20)&amp;"","")</f>
        <v/>
      </c>
      <c r="B1144">
        <f>IFERROR(INDEX('Etsy Import'!$A:$CZ,1144,Settings!$C$21)&amp;"","")</f>
        <v/>
      </c>
      <c r="C1144">
        <f>IFERROR(INDEX('Etsy Import'!$A:$CZ,1144,Settings!$C$22)&amp;"","")</f>
        <v/>
      </c>
      <c r="D1144">
        <f>IF(A1144="","",IFERROR(VALUE(SUBSTITUTE(SUBSTITUTE(INDEX('Etsy Import'!$A:$CZ,1144,Settings!$C$23)&amp;"","$",""),",","")),0))</f>
        <v/>
      </c>
      <c r="E1144" s="11">
        <f>IF(A1144="","",IFERROR(VALUE(SUBSTITUTE(SUBSTITUTE(INDEX('Etsy Import'!$A:$CZ,1144,Settings!$C$24)&amp;"","$",""),",","")),0))</f>
        <v/>
      </c>
      <c r="F1144" s="11">
        <f>IF(A1144="","",D1144*E1144)</f>
        <v/>
      </c>
      <c r="G1144">
        <f>IF(A1144="","",IF(C1144="",1,COUNTIF($C$2:$C$1501,C1144)))</f>
        <v/>
      </c>
      <c r="H1144" s="11">
        <f>IF(A1144="","",IFERROR(VALUE(SUBSTITUTE(SUBSTITUTE(INDEX('Etsy Import'!$A:$CZ,1144,Settings!$C$25)&amp;"","$",""),",","")),0)/IF(Settings!$B$27="Yes",G1144,1))</f>
        <v/>
      </c>
      <c r="I1144" s="11">
        <f>IF(A1144="","",IFERROR(VALUE(SUBSTITUTE(SUBSTITUTE(INDEX('Etsy Import'!$A:$CZ,1144,Settings!$C$26)&amp;"","$",""),",","")),0)/IF(Settings!$B$27="Yes",G1144,1))</f>
        <v/>
      </c>
      <c r="J1144" s="11">
        <f>IF(A1144="","",F1144+H1144-I1144)</f>
        <v/>
      </c>
      <c r="K1144">
        <f>IF(A1144="","",IFERROR(IF(B1144="",NA(),MATCH(B1144,Products!$B$5:$B$204,0)),IFERROR(MATCH(A1144,Products!$A$5:$A$204,0),"")))</f>
        <v/>
      </c>
      <c r="L1144">
        <f>IF(A1144="","",IF(K1144="","⚠ not in Products",INDEX(Products!$A$5:$A$204,K1144)))</f>
        <v/>
      </c>
      <c r="M1144" s="11">
        <f>IF(A1144="","",J1144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1144+IFERROR(INDEX(Settings!$D$5:$D$9,MATCH("Etsy",Settings!$A$5:$A$9,0)),0)*D1144)</f>
        <v/>
      </c>
      <c r="N1144" s="11">
        <f>IF(A1144="","",IF(K1144="",0,D1144*INDEX(Products!$I$5:$I$204,K1144)))</f>
        <v/>
      </c>
      <c r="O1144" s="11">
        <f>IF(A1144="","",IF(K1144="",0,J1144*INDEX(Products!$H$5:$H$204,K1144)))</f>
        <v/>
      </c>
      <c r="P1144" s="11">
        <f>IF(A1144="","",J1144-M1144-N1144-O1144)</f>
        <v/>
      </c>
    </row>
    <row r="1145">
      <c r="A1145">
        <f>IFERROR(INDEX('Etsy Import'!$A:$CZ,1145,Settings!$C$20)&amp;"","")</f>
        <v/>
      </c>
      <c r="B1145">
        <f>IFERROR(INDEX('Etsy Import'!$A:$CZ,1145,Settings!$C$21)&amp;"","")</f>
        <v/>
      </c>
      <c r="C1145">
        <f>IFERROR(INDEX('Etsy Import'!$A:$CZ,1145,Settings!$C$22)&amp;"","")</f>
        <v/>
      </c>
      <c r="D1145">
        <f>IF(A1145="","",IFERROR(VALUE(SUBSTITUTE(SUBSTITUTE(INDEX('Etsy Import'!$A:$CZ,1145,Settings!$C$23)&amp;"","$",""),",","")),0))</f>
        <v/>
      </c>
      <c r="E1145" s="11">
        <f>IF(A1145="","",IFERROR(VALUE(SUBSTITUTE(SUBSTITUTE(INDEX('Etsy Import'!$A:$CZ,1145,Settings!$C$24)&amp;"","$",""),",","")),0))</f>
        <v/>
      </c>
      <c r="F1145" s="11">
        <f>IF(A1145="","",D1145*E1145)</f>
        <v/>
      </c>
      <c r="G1145">
        <f>IF(A1145="","",IF(C1145="",1,COUNTIF($C$2:$C$1501,C1145)))</f>
        <v/>
      </c>
      <c r="H1145" s="11">
        <f>IF(A1145="","",IFERROR(VALUE(SUBSTITUTE(SUBSTITUTE(INDEX('Etsy Import'!$A:$CZ,1145,Settings!$C$25)&amp;"","$",""),",","")),0)/IF(Settings!$B$27="Yes",G1145,1))</f>
        <v/>
      </c>
      <c r="I1145" s="11">
        <f>IF(A1145="","",IFERROR(VALUE(SUBSTITUTE(SUBSTITUTE(INDEX('Etsy Import'!$A:$CZ,1145,Settings!$C$26)&amp;"","$",""),",","")),0)/IF(Settings!$B$27="Yes",G1145,1))</f>
        <v/>
      </c>
      <c r="J1145" s="11">
        <f>IF(A1145="","",F1145+H1145-I1145)</f>
        <v/>
      </c>
      <c r="K1145">
        <f>IF(A1145="","",IFERROR(IF(B1145="",NA(),MATCH(B1145,Products!$B$5:$B$204,0)),IFERROR(MATCH(A1145,Products!$A$5:$A$204,0),"")))</f>
        <v/>
      </c>
      <c r="L1145">
        <f>IF(A1145="","",IF(K1145="","⚠ not in Products",INDEX(Products!$A$5:$A$204,K1145)))</f>
        <v/>
      </c>
      <c r="M1145" s="11">
        <f>IF(A1145="","",J1145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1145+IFERROR(INDEX(Settings!$D$5:$D$9,MATCH("Etsy",Settings!$A$5:$A$9,0)),0)*D1145)</f>
        <v/>
      </c>
      <c r="N1145" s="11">
        <f>IF(A1145="","",IF(K1145="",0,D1145*INDEX(Products!$I$5:$I$204,K1145)))</f>
        <v/>
      </c>
      <c r="O1145" s="11">
        <f>IF(A1145="","",IF(K1145="",0,J1145*INDEX(Products!$H$5:$H$204,K1145)))</f>
        <v/>
      </c>
      <c r="P1145" s="11">
        <f>IF(A1145="","",J1145-M1145-N1145-O1145)</f>
        <v/>
      </c>
    </row>
    <row r="1146">
      <c r="A1146">
        <f>IFERROR(INDEX('Etsy Import'!$A:$CZ,1146,Settings!$C$20)&amp;"","")</f>
        <v/>
      </c>
      <c r="B1146">
        <f>IFERROR(INDEX('Etsy Import'!$A:$CZ,1146,Settings!$C$21)&amp;"","")</f>
        <v/>
      </c>
      <c r="C1146">
        <f>IFERROR(INDEX('Etsy Import'!$A:$CZ,1146,Settings!$C$22)&amp;"","")</f>
        <v/>
      </c>
      <c r="D1146">
        <f>IF(A1146="","",IFERROR(VALUE(SUBSTITUTE(SUBSTITUTE(INDEX('Etsy Import'!$A:$CZ,1146,Settings!$C$23)&amp;"","$",""),",","")),0))</f>
        <v/>
      </c>
      <c r="E1146" s="11">
        <f>IF(A1146="","",IFERROR(VALUE(SUBSTITUTE(SUBSTITUTE(INDEX('Etsy Import'!$A:$CZ,1146,Settings!$C$24)&amp;"","$",""),",","")),0))</f>
        <v/>
      </c>
      <c r="F1146" s="11">
        <f>IF(A1146="","",D1146*E1146)</f>
        <v/>
      </c>
      <c r="G1146">
        <f>IF(A1146="","",IF(C1146="",1,COUNTIF($C$2:$C$1501,C1146)))</f>
        <v/>
      </c>
      <c r="H1146" s="11">
        <f>IF(A1146="","",IFERROR(VALUE(SUBSTITUTE(SUBSTITUTE(INDEX('Etsy Import'!$A:$CZ,1146,Settings!$C$25)&amp;"","$",""),",","")),0)/IF(Settings!$B$27="Yes",G1146,1))</f>
        <v/>
      </c>
      <c r="I1146" s="11">
        <f>IF(A1146="","",IFERROR(VALUE(SUBSTITUTE(SUBSTITUTE(INDEX('Etsy Import'!$A:$CZ,1146,Settings!$C$26)&amp;"","$",""),",","")),0)/IF(Settings!$B$27="Yes",G1146,1))</f>
        <v/>
      </c>
      <c r="J1146" s="11">
        <f>IF(A1146="","",F1146+H1146-I1146)</f>
        <v/>
      </c>
      <c r="K1146">
        <f>IF(A1146="","",IFERROR(IF(B1146="",NA(),MATCH(B1146,Products!$B$5:$B$204,0)),IFERROR(MATCH(A1146,Products!$A$5:$A$204,0),"")))</f>
        <v/>
      </c>
      <c r="L1146">
        <f>IF(A1146="","",IF(K1146="","⚠ not in Products",INDEX(Products!$A$5:$A$204,K1146)))</f>
        <v/>
      </c>
      <c r="M1146" s="11">
        <f>IF(A1146="","",J1146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1146+IFERROR(INDEX(Settings!$D$5:$D$9,MATCH("Etsy",Settings!$A$5:$A$9,0)),0)*D1146)</f>
        <v/>
      </c>
      <c r="N1146" s="11">
        <f>IF(A1146="","",IF(K1146="",0,D1146*INDEX(Products!$I$5:$I$204,K1146)))</f>
        <v/>
      </c>
      <c r="O1146" s="11">
        <f>IF(A1146="","",IF(K1146="",0,J1146*INDEX(Products!$H$5:$H$204,K1146)))</f>
        <v/>
      </c>
      <c r="P1146" s="11">
        <f>IF(A1146="","",J1146-M1146-N1146-O1146)</f>
        <v/>
      </c>
    </row>
    <row r="1147">
      <c r="A1147">
        <f>IFERROR(INDEX('Etsy Import'!$A:$CZ,1147,Settings!$C$20)&amp;"","")</f>
        <v/>
      </c>
      <c r="B1147">
        <f>IFERROR(INDEX('Etsy Import'!$A:$CZ,1147,Settings!$C$21)&amp;"","")</f>
        <v/>
      </c>
      <c r="C1147">
        <f>IFERROR(INDEX('Etsy Import'!$A:$CZ,1147,Settings!$C$22)&amp;"","")</f>
        <v/>
      </c>
      <c r="D1147">
        <f>IF(A1147="","",IFERROR(VALUE(SUBSTITUTE(SUBSTITUTE(INDEX('Etsy Import'!$A:$CZ,1147,Settings!$C$23)&amp;"","$",""),",","")),0))</f>
        <v/>
      </c>
      <c r="E1147" s="11">
        <f>IF(A1147="","",IFERROR(VALUE(SUBSTITUTE(SUBSTITUTE(INDEX('Etsy Import'!$A:$CZ,1147,Settings!$C$24)&amp;"","$",""),",","")),0))</f>
        <v/>
      </c>
      <c r="F1147" s="11">
        <f>IF(A1147="","",D1147*E1147)</f>
        <v/>
      </c>
      <c r="G1147">
        <f>IF(A1147="","",IF(C1147="",1,COUNTIF($C$2:$C$1501,C1147)))</f>
        <v/>
      </c>
      <c r="H1147" s="11">
        <f>IF(A1147="","",IFERROR(VALUE(SUBSTITUTE(SUBSTITUTE(INDEX('Etsy Import'!$A:$CZ,1147,Settings!$C$25)&amp;"","$",""),",","")),0)/IF(Settings!$B$27="Yes",G1147,1))</f>
        <v/>
      </c>
      <c r="I1147" s="11">
        <f>IF(A1147="","",IFERROR(VALUE(SUBSTITUTE(SUBSTITUTE(INDEX('Etsy Import'!$A:$CZ,1147,Settings!$C$26)&amp;"","$",""),",","")),0)/IF(Settings!$B$27="Yes",G1147,1))</f>
        <v/>
      </c>
      <c r="J1147" s="11">
        <f>IF(A1147="","",F1147+H1147-I1147)</f>
        <v/>
      </c>
      <c r="K1147">
        <f>IF(A1147="","",IFERROR(IF(B1147="",NA(),MATCH(B1147,Products!$B$5:$B$204,0)),IFERROR(MATCH(A1147,Products!$A$5:$A$204,0),"")))</f>
        <v/>
      </c>
      <c r="L1147">
        <f>IF(A1147="","",IF(K1147="","⚠ not in Products",INDEX(Products!$A$5:$A$204,K1147)))</f>
        <v/>
      </c>
      <c r="M1147" s="11">
        <f>IF(A1147="","",J1147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1147+IFERROR(INDEX(Settings!$D$5:$D$9,MATCH("Etsy",Settings!$A$5:$A$9,0)),0)*D1147)</f>
        <v/>
      </c>
      <c r="N1147" s="11">
        <f>IF(A1147="","",IF(K1147="",0,D1147*INDEX(Products!$I$5:$I$204,K1147)))</f>
        <v/>
      </c>
      <c r="O1147" s="11">
        <f>IF(A1147="","",IF(K1147="",0,J1147*INDEX(Products!$H$5:$H$204,K1147)))</f>
        <v/>
      </c>
      <c r="P1147" s="11">
        <f>IF(A1147="","",J1147-M1147-N1147-O1147)</f>
        <v/>
      </c>
    </row>
    <row r="1148">
      <c r="A1148">
        <f>IFERROR(INDEX('Etsy Import'!$A:$CZ,1148,Settings!$C$20)&amp;"","")</f>
        <v/>
      </c>
      <c r="B1148">
        <f>IFERROR(INDEX('Etsy Import'!$A:$CZ,1148,Settings!$C$21)&amp;"","")</f>
        <v/>
      </c>
      <c r="C1148">
        <f>IFERROR(INDEX('Etsy Import'!$A:$CZ,1148,Settings!$C$22)&amp;"","")</f>
        <v/>
      </c>
      <c r="D1148">
        <f>IF(A1148="","",IFERROR(VALUE(SUBSTITUTE(SUBSTITUTE(INDEX('Etsy Import'!$A:$CZ,1148,Settings!$C$23)&amp;"","$",""),",","")),0))</f>
        <v/>
      </c>
      <c r="E1148" s="11">
        <f>IF(A1148="","",IFERROR(VALUE(SUBSTITUTE(SUBSTITUTE(INDEX('Etsy Import'!$A:$CZ,1148,Settings!$C$24)&amp;"","$",""),",","")),0))</f>
        <v/>
      </c>
      <c r="F1148" s="11">
        <f>IF(A1148="","",D1148*E1148)</f>
        <v/>
      </c>
      <c r="G1148">
        <f>IF(A1148="","",IF(C1148="",1,COUNTIF($C$2:$C$1501,C1148)))</f>
        <v/>
      </c>
      <c r="H1148" s="11">
        <f>IF(A1148="","",IFERROR(VALUE(SUBSTITUTE(SUBSTITUTE(INDEX('Etsy Import'!$A:$CZ,1148,Settings!$C$25)&amp;"","$",""),",","")),0)/IF(Settings!$B$27="Yes",G1148,1))</f>
        <v/>
      </c>
      <c r="I1148" s="11">
        <f>IF(A1148="","",IFERROR(VALUE(SUBSTITUTE(SUBSTITUTE(INDEX('Etsy Import'!$A:$CZ,1148,Settings!$C$26)&amp;"","$",""),",","")),0)/IF(Settings!$B$27="Yes",G1148,1))</f>
        <v/>
      </c>
      <c r="J1148" s="11">
        <f>IF(A1148="","",F1148+H1148-I1148)</f>
        <v/>
      </c>
      <c r="K1148">
        <f>IF(A1148="","",IFERROR(IF(B1148="",NA(),MATCH(B1148,Products!$B$5:$B$204,0)),IFERROR(MATCH(A1148,Products!$A$5:$A$204,0),"")))</f>
        <v/>
      </c>
      <c r="L1148">
        <f>IF(A1148="","",IF(K1148="","⚠ not in Products",INDEX(Products!$A$5:$A$204,K1148)))</f>
        <v/>
      </c>
      <c r="M1148" s="11">
        <f>IF(A1148="","",J1148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1148+IFERROR(INDEX(Settings!$D$5:$D$9,MATCH("Etsy",Settings!$A$5:$A$9,0)),0)*D1148)</f>
        <v/>
      </c>
      <c r="N1148" s="11">
        <f>IF(A1148="","",IF(K1148="",0,D1148*INDEX(Products!$I$5:$I$204,K1148)))</f>
        <v/>
      </c>
      <c r="O1148" s="11">
        <f>IF(A1148="","",IF(K1148="",0,J1148*INDEX(Products!$H$5:$H$204,K1148)))</f>
        <v/>
      </c>
      <c r="P1148" s="11">
        <f>IF(A1148="","",J1148-M1148-N1148-O1148)</f>
        <v/>
      </c>
    </row>
    <row r="1149">
      <c r="A1149">
        <f>IFERROR(INDEX('Etsy Import'!$A:$CZ,1149,Settings!$C$20)&amp;"","")</f>
        <v/>
      </c>
      <c r="B1149">
        <f>IFERROR(INDEX('Etsy Import'!$A:$CZ,1149,Settings!$C$21)&amp;"","")</f>
        <v/>
      </c>
      <c r="C1149">
        <f>IFERROR(INDEX('Etsy Import'!$A:$CZ,1149,Settings!$C$22)&amp;"","")</f>
        <v/>
      </c>
      <c r="D1149">
        <f>IF(A1149="","",IFERROR(VALUE(SUBSTITUTE(SUBSTITUTE(INDEX('Etsy Import'!$A:$CZ,1149,Settings!$C$23)&amp;"","$",""),",","")),0))</f>
        <v/>
      </c>
      <c r="E1149" s="11">
        <f>IF(A1149="","",IFERROR(VALUE(SUBSTITUTE(SUBSTITUTE(INDEX('Etsy Import'!$A:$CZ,1149,Settings!$C$24)&amp;"","$",""),",","")),0))</f>
        <v/>
      </c>
      <c r="F1149" s="11">
        <f>IF(A1149="","",D1149*E1149)</f>
        <v/>
      </c>
      <c r="G1149">
        <f>IF(A1149="","",IF(C1149="",1,COUNTIF($C$2:$C$1501,C1149)))</f>
        <v/>
      </c>
      <c r="H1149" s="11">
        <f>IF(A1149="","",IFERROR(VALUE(SUBSTITUTE(SUBSTITUTE(INDEX('Etsy Import'!$A:$CZ,1149,Settings!$C$25)&amp;"","$",""),",","")),0)/IF(Settings!$B$27="Yes",G1149,1))</f>
        <v/>
      </c>
      <c r="I1149" s="11">
        <f>IF(A1149="","",IFERROR(VALUE(SUBSTITUTE(SUBSTITUTE(INDEX('Etsy Import'!$A:$CZ,1149,Settings!$C$26)&amp;"","$",""),",","")),0)/IF(Settings!$B$27="Yes",G1149,1))</f>
        <v/>
      </c>
      <c r="J1149" s="11">
        <f>IF(A1149="","",F1149+H1149-I1149)</f>
        <v/>
      </c>
      <c r="K1149">
        <f>IF(A1149="","",IFERROR(IF(B1149="",NA(),MATCH(B1149,Products!$B$5:$B$204,0)),IFERROR(MATCH(A1149,Products!$A$5:$A$204,0),"")))</f>
        <v/>
      </c>
      <c r="L1149">
        <f>IF(A1149="","",IF(K1149="","⚠ not in Products",INDEX(Products!$A$5:$A$204,K1149)))</f>
        <v/>
      </c>
      <c r="M1149" s="11">
        <f>IF(A1149="","",J1149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1149+IFERROR(INDEX(Settings!$D$5:$D$9,MATCH("Etsy",Settings!$A$5:$A$9,0)),0)*D1149)</f>
        <v/>
      </c>
      <c r="N1149" s="11">
        <f>IF(A1149="","",IF(K1149="",0,D1149*INDEX(Products!$I$5:$I$204,K1149)))</f>
        <v/>
      </c>
      <c r="O1149" s="11">
        <f>IF(A1149="","",IF(K1149="",0,J1149*INDEX(Products!$H$5:$H$204,K1149)))</f>
        <v/>
      </c>
      <c r="P1149" s="11">
        <f>IF(A1149="","",J1149-M1149-N1149-O1149)</f>
        <v/>
      </c>
    </row>
    <row r="1150">
      <c r="A1150">
        <f>IFERROR(INDEX('Etsy Import'!$A:$CZ,1150,Settings!$C$20)&amp;"","")</f>
        <v/>
      </c>
      <c r="B1150">
        <f>IFERROR(INDEX('Etsy Import'!$A:$CZ,1150,Settings!$C$21)&amp;"","")</f>
        <v/>
      </c>
      <c r="C1150">
        <f>IFERROR(INDEX('Etsy Import'!$A:$CZ,1150,Settings!$C$22)&amp;"","")</f>
        <v/>
      </c>
      <c r="D1150">
        <f>IF(A1150="","",IFERROR(VALUE(SUBSTITUTE(SUBSTITUTE(INDEX('Etsy Import'!$A:$CZ,1150,Settings!$C$23)&amp;"","$",""),",","")),0))</f>
        <v/>
      </c>
      <c r="E1150" s="11">
        <f>IF(A1150="","",IFERROR(VALUE(SUBSTITUTE(SUBSTITUTE(INDEX('Etsy Import'!$A:$CZ,1150,Settings!$C$24)&amp;"","$",""),",","")),0))</f>
        <v/>
      </c>
      <c r="F1150" s="11">
        <f>IF(A1150="","",D1150*E1150)</f>
        <v/>
      </c>
      <c r="G1150">
        <f>IF(A1150="","",IF(C1150="",1,COUNTIF($C$2:$C$1501,C1150)))</f>
        <v/>
      </c>
      <c r="H1150" s="11">
        <f>IF(A1150="","",IFERROR(VALUE(SUBSTITUTE(SUBSTITUTE(INDEX('Etsy Import'!$A:$CZ,1150,Settings!$C$25)&amp;"","$",""),",","")),0)/IF(Settings!$B$27="Yes",G1150,1))</f>
        <v/>
      </c>
      <c r="I1150" s="11">
        <f>IF(A1150="","",IFERROR(VALUE(SUBSTITUTE(SUBSTITUTE(INDEX('Etsy Import'!$A:$CZ,1150,Settings!$C$26)&amp;"","$",""),",","")),0)/IF(Settings!$B$27="Yes",G1150,1))</f>
        <v/>
      </c>
      <c r="J1150" s="11">
        <f>IF(A1150="","",F1150+H1150-I1150)</f>
        <v/>
      </c>
      <c r="K1150">
        <f>IF(A1150="","",IFERROR(IF(B1150="",NA(),MATCH(B1150,Products!$B$5:$B$204,0)),IFERROR(MATCH(A1150,Products!$A$5:$A$204,0),"")))</f>
        <v/>
      </c>
      <c r="L1150">
        <f>IF(A1150="","",IF(K1150="","⚠ not in Products",INDEX(Products!$A$5:$A$204,K1150)))</f>
        <v/>
      </c>
      <c r="M1150" s="11">
        <f>IF(A1150="","",J1150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1150+IFERROR(INDEX(Settings!$D$5:$D$9,MATCH("Etsy",Settings!$A$5:$A$9,0)),0)*D1150)</f>
        <v/>
      </c>
      <c r="N1150" s="11">
        <f>IF(A1150="","",IF(K1150="",0,D1150*INDEX(Products!$I$5:$I$204,K1150)))</f>
        <v/>
      </c>
      <c r="O1150" s="11">
        <f>IF(A1150="","",IF(K1150="",0,J1150*INDEX(Products!$H$5:$H$204,K1150)))</f>
        <v/>
      </c>
      <c r="P1150" s="11">
        <f>IF(A1150="","",J1150-M1150-N1150-O1150)</f>
        <v/>
      </c>
    </row>
    <row r="1151">
      <c r="A1151">
        <f>IFERROR(INDEX('Etsy Import'!$A:$CZ,1151,Settings!$C$20)&amp;"","")</f>
        <v/>
      </c>
      <c r="B1151">
        <f>IFERROR(INDEX('Etsy Import'!$A:$CZ,1151,Settings!$C$21)&amp;"","")</f>
        <v/>
      </c>
      <c r="C1151">
        <f>IFERROR(INDEX('Etsy Import'!$A:$CZ,1151,Settings!$C$22)&amp;"","")</f>
        <v/>
      </c>
      <c r="D1151">
        <f>IF(A1151="","",IFERROR(VALUE(SUBSTITUTE(SUBSTITUTE(INDEX('Etsy Import'!$A:$CZ,1151,Settings!$C$23)&amp;"","$",""),",","")),0))</f>
        <v/>
      </c>
      <c r="E1151" s="11">
        <f>IF(A1151="","",IFERROR(VALUE(SUBSTITUTE(SUBSTITUTE(INDEX('Etsy Import'!$A:$CZ,1151,Settings!$C$24)&amp;"","$",""),",","")),0))</f>
        <v/>
      </c>
      <c r="F1151" s="11">
        <f>IF(A1151="","",D1151*E1151)</f>
        <v/>
      </c>
      <c r="G1151">
        <f>IF(A1151="","",IF(C1151="",1,COUNTIF($C$2:$C$1501,C1151)))</f>
        <v/>
      </c>
      <c r="H1151" s="11">
        <f>IF(A1151="","",IFERROR(VALUE(SUBSTITUTE(SUBSTITUTE(INDEX('Etsy Import'!$A:$CZ,1151,Settings!$C$25)&amp;"","$",""),",","")),0)/IF(Settings!$B$27="Yes",G1151,1))</f>
        <v/>
      </c>
      <c r="I1151" s="11">
        <f>IF(A1151="","",IFERROR(VALUE(SUBSTITUTE(SUBSTITUTE(INDEX('Etsy Import'!$A:$CZ,1151,Settings!$C$26)&amp;"","$",""),",","")),0)/IF(Settings!$B$27="Yes",G1151,1))</f>
        <v/>
      </c>
      <c r="J1151" s="11">
        <f>IF(A1151="","",F1151+H1151-I1151)</f>
        <v/>
      </c>
      <c r="K1151">
        <f>IF(A1151="","",IFERROR(IF(B1151="",NA(),MATCH(B1151,Products!$B$5:$B$204,0)),IFERROR(MATCH(A1151,Products!$A$5:$A$204,0),"")))</f>
        <v/>
      </c>
      <c r="L1151">
        <f>IF(A1151="","",IF(K1151="","⚠ not in Products",INDEX(Products!$A$5:$A$204,K1151)))</f>
        <v/>
      </c>
      <c r="M1151" s="11">
        <f>IF(A1151="","",J1151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1151+IFERROR(INDEX(Settings!$D$5:$D$9,MATCH("Etsy",Settings!$A$5:$A$9,0)),0)*D1151)</f>
        <v/>
      </c>
      <c r="N1151" s="11">
        <f>IF(A1151="","",IF(K1151="",0,D1151*INDEX(Products!$I$5:$I$204,K1151)))</f>
        <v/>
      </c>
      <c r="O1151" s="11">
        <f>IF(A1151="","",IF(K1151="",0,J1151*INDEX(Products!$H$5:$H$204,K1151)))</f>
        <v/>
      </c>
      <c r="P1151" s="11">
        <f>IF(A1151="","",J1151-M1151-N1151-O1151)</f>
        <v/>
      </c>
    </row>
    <row r="1152">
      <c r="A1152">
        <f>IFERROR(INDEX('Etsy Import'!$A:$CZ,1152,Settings!$C$20)&amp;"","")</f>
        <v/>
      </c>
      <c r="B1152">
        <f>IFERROR(INDEX('Etsy Import'!$A:$CZ,1152,Settings!$C$21)&amp;"","")</f>
        <v/>
      </c>
      <c r="C1152">
        <f>IFERROR(INDEX('Etsy Import'!$A:$CZ,1152,Settings!$C$22)&amp;"","")</f>
        <v/>
      </c>
      <c r="D1152">
        <f>IF(A1152="","",IFERROR(VALUE(SUBSTITUTE(SUBSTITUTE(INDEX('Etsy Import'!$A:$CZ,1152,Settings!$C$23)&amp;"","$",""),",","")),0))</f>
        <v/>
      </c>
      <c r="E1152" s="11">
        <f>IF(A1152="","",IFERROR(VALUE(SUBSTITUTE(SUBSTITUTE(INDEX('Etsy Import'!$A:$CZ,1152,Settings!$C$24)&amp;"","$",""),",","")),0))</f>
        <v/>
      </c>
      <c r="F1152" s="11">
        <f>IF(A1152="","",D1152*E1152)</f>
        <v/>
      </c>
      <c r="G1152">
        <f>IF(A1152="","",IF(C1152="",1,COUNTIF($C$2:$C$1501,C1152)))</f>
        <v/>
      </c>
      <c r="H1152" s="11">
        <f>IF(A1152="","",IFERROR(VALUE(SUBSTITUTE(SUBSTITUTE(INDEX('Etsy Import'!$A:$CZ,1152,Settings!$C$25)&amp;"","$",""),",","")),0)/IF(Settings!$B$27="Yes",G1152,1))</f>
        <v/>
      </c>
      <c r="I1152" s="11">
        <f>IF(A1152="","",IFERROR(VALUE(SUBSTITUTE(SUBSTITUTE(INDEX('Etsy Import'!$A:$CZ,1152,Settings!$C$26)&amp;"","$",""),",","")),0)/IF(Settings!$B$27="Yes",G1152,1))</f>
        <v/>
      </c>
      <c r="J1152" s="11">
        <f>IF(A1152="","",F1152+H1152-I1152)</f>
        <v/>
      </c>
      <c r="K1152">
        <f>IF(A1152="","",IFERROR(IF(B1152="",NA(),MATCH(B1152,Products!$B$5:$B$204,0)),IFERROR(MATCH(A1152,Products!$A$5:$A$204,0),"")))</f>
        <v/>
      </c>
      <c r="L1152">
        <f>IF(A1152="","",IF(K1152="","⚠ not in Products",INDEX(Products!$A$5:$A$204,K1152)))</f>
        <v/>
      </c>
      <c r="M1152" s="11">
        <f>IF(A1152="","",J1152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1152+IFERROR(INDEX(Settings!$D$5:$D$9,MATCH("Etsy",Settings!$A$5:$A$9,0)),0)*D1152)</f>
        <v/>
      </c>
      <c r="N1152" s="11">
        <f>IF(A1152="","",IF(K1152="",0,D1152*INDEX(Products!$I$5:$I$204,K1152)))</f>
        <v/>
      </c>
      <c r="O1152" s="11">
        <f>IF(A1152="","",IF(K1152="",0,J1152*INDEX(Products!$H$5:$H$204,K1152)))</f>
        <v/>
      </c>
      <c r="P1152" s="11">
        <f>IF(A1152="","",J1152-M1152-N1152-O1152)</f>
        <v/>
      </c>
    </row>
    <row r="1153">
      <c r="A1153">
        <f>IFERROR(INDEX('Etsy Import'!$A:$CZ,1153,Settings!$C$20)&amp;"","")</f>
        <v/>
      </c>
      <c r="B1153">
        <f>IFERROR(INDEX('Etsy Import'!$A:$CZ,1153,Settings!$C$21)&amp;"","")</f>
        <v/>
      </c>
      <c r="C1153">
        <f>IFERROR(INDEX('Etsy Import'!$A:$CZ,1153,Settings!$C$22)&amp;"","")</f>
        <v/>
      </c>
      <c r="D1153">
        <f>IF(A1153="","",IFERROR(VALUE(SUBSTITUTE(SUBSTITUTE(INDEX('Etsy Import'!$A:$CZ,1153,Settings!$C$23)&amp;"","$",""),",","")),0))</f>
        <v/>
      </c>
      <c r="E1153" s="11">
        <f>IF(A1153="","",IFERROR(VALUE(SUBSTITUTE(SUBSTITUTE(INDEX('Etsy Import'!$A:$CZ,1153,Settings!$C$24)&amp;"","$",""),",","")),0))</f>
        <v/>
      </c>
      <c r="F1153" s="11">
        <f>IF(A1153="","",D1153*E1153)</f>
        <v/>
      </c>
      <c r="G1153">
        <f>IF(A1153="","",IF(C1153="",1,COUNTIF($C$2:$C$1501,C1153)))</f>
        <v/>
      </c>
      <c r="H1153" s="11">
        <f>IF(A1153="","",IFERROR(VALUE(SUBSTITUTE(SUBSTITUTE(INDEX('Etsy Import'!$A:$CZ,1153,Settings!$C$25)&amp;"","$",""),",","")),0)/IF(Settings!$B$27="Yes",G1153,1))</f>
        <v/>
      </c>
      <c r="I1153" s="11">
        <f>IF(A1153="","",IFERROR(VALUE(SUBSTITUTE(SUBSTITUTE(INDEX('Etsy Import'!$A:$CZ,1153,Settings!$C$26)&amp;"","$",""),",","")),0)/IF(Settings!$B$27="Yes",G1153,1))</f>
        <v/>
      </c>
      <c r="J1153" s="11">
        <f>IF(A1153="","",F1153+H1153-I1153)</f>
        <v/>
      </c>
      <c r="K1153">
        <f>IF(A1153="","",IFERROR(IF(B1153="",NA(),MATCH(B1153,Products!$B$5:$B$204,0)),IFERROR(MATCH(A1153,Products!$A$5:$A$204,0),"")))</f>
        <v/>
      </c>
      <c r="L1153">
        <f>IF(A1153="","",IF(K1153="","⚠ not in Products",INDEX(Products!$A$5:$A$204,K1153)))</f>
        <v/>
      </c>
      <c r="M1153" s="11">
        <f>IF(A1153="","",J1153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1153+IFERROR(INDEX(Settings!$D$5:$D$9,MATCH("Etsy",Settings!$A$5:$A$9,0)),0)*D1153)</f>
        <v/>
      </c>
      <c r="N1153" s="11">
        <f>IF(A1153="","",IF(K1153="",0,D1153*INDEX(Products!$I$5:$I$204,K1153)))</f>
        <v/>
      </c>
      <c r="O1153" s="11">
        <f>IF(A1153="","",IF(K1153="",0,J1153*INDEX(Products!$H$5:$H$204,K1153)))</f>
        <v/>
      </c>
      <c r="P1153" s="11">
        <f>IF(A1153="","",J1153-M1153-N1153-O1153)</f>
        <v/>
      </c>
    </row>
    <row r="1154">
      <c r="A1154">
        <f>IFERROR(INDEX('Etsy Import'!$A:$CZ,1154,Settings!$C$20)&amp;"","")</f>
        <v/>
      </c>
      <c r="B1154">
        <f>IFERROR(INDEX('Etsy Import'!$A:$CZ,1154,Settings!$C$21)&amp;"","")</f>
        <v/>
      </c>
      <c r="C1154">
        <f>IFERROR(INDEX('Etsy Import'!$A:$CZ,1154,Settings!$C$22)&amp;"","")</f>
        <v/>
      </c>
      <c r="D1154">
        <f>IF(A1154="","",IFERROR(VALUE(SUBSTITUTE(SUBSTITUTE(INDEX('Etsy Import'!$A:$CZ,1154,Settings!$C$23)&amp;"","$",""),",","")),0))</f>
        <v/>
      </c>
      <c r="E1154" s="11">
        <f>IF(A1154="","",IFERROR(VALUE(SUBSTITUTE(SUBSTITUTE(INDEX('Etsy Import'!$A:$CZ,1154,Settings!$C$24)&amp;"","$",""),",","")),0))</f>
        <v/>
      </c>
      <c r="F1154" s="11">
        <f>IF(A1154="","",D1154*E1154)</f>
        <v/>
      </c>
      <c r="G1154">
        <f>IF(A1154="","",IF(C1154="",1,COUNTIF($C$2:$C$1501,C1154)))</f>
        <v/>
      </c>
      <c r="H1154" s="11">
        <f>IF(A1154="","",IFERROR(VALUE(SUBSTITUTE(SUBSTITUTE(INDEX('Etsy Import'!$A:$CZ,1154,Settings!$C$25)&amp;"","$",""),",","")),0)/IF(Settings!$B$27="Yes",G1154,1))</f>
        <v/>
      </c>
      <c r="I1154" s="11">
        <f>IF(A1154="","",IFERROR(VALUE(SUBSTITUTE(SUBSTITUTE(INDEX('Etsy Import'!$A:$CZ,1154,Settings!$C$26)&amp;"","$",""),",","")),0)/IF(Settings!$B$27="Yes",G1154,1))</f>
        <v/>
      </c>
      <c r="J1154" s="11">
        <f>IF(A1154="","",F1154+H1154-I1154)</f>
        <v/>
      </c>
      <c r="K1154">
        <f>IF(A1154="","",IFERROR(IF(B1154="",NA(),MATCH(B1154,Products!$B$5:$B$204,0)),IFERROR(MATCH(A1154,Products!$A$5:$A$204,0),"")))</f>
        <v/>
      </c>
      <c r="L1154">
        <f>IF(A1154="","",IF(K1154="","⚠ not in Products",INDEX(Products!$A$5:$A$204,K1154)))</f>
        <v/>
      </c>
      <c r="M1154" s="11">
        <f>IF(A1154="","",J1154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1154+IFERROR(INDEX(Settings!$D$5:$D$9,MATCH("Etsy",Settings!$A$5:$A$9,0)),0)*D1154)</f>
        <v/>
      </c>
      <c r="N1154" s="11">
        <f>IF(A1154="","",IF(K1154="",0,D1154*INDEX(Products!$I$5:$I$204,K1154)))</f>
        <v/>
      </c>
      <c r="O1154" s="11">
        <f>IF(A1154="","",IF(K1154="",0,J1154*INDEX(Products!$H$5:$H$204,K1154)))</f>
        <v/>
      </c>
      <c r="P1154" s="11">
        <f>IF(A1154="","",J1154-M1154-N1154-O1154)</f>
        <v/>
      </c>
    </row>
    <row r="1155">
      <c r="A1155">
        <f>IFERROR(INDEX('Etsy Import'!$A:$CZ,1155,Settings!$C$20)&amp;"","")</f>
        <v/>
      </c>
      <c r="B1155">
        <f>IFERROR(INDEX('Etsy Import'!$A:$CZ,1155,Settings!$C$21)&amp;"","")</f>
        <v/>
      </c>
      <c r="C1155">
        <f>IFERROR(INDEX('Etsy Import'!$A:$CZ,1155,Settings!$C$22)&amp;"","")</f>
        <v/>
      </c>
      <c r="D1155">
        <f>IF(A1155="","",IFERROR(VALUE(SUBSTITUTE(SUBSTITUTE(INDEX('Etsy Import'!$A:$CZ,1155,Settings!$C$23)&amp;"","$",""),",","")),0))</f>
        <v/>
      </c>
      <c r="E1155" s="11">
        <f>IF(A1155="","",IFERROR(VALUE(SUBSTITUTE(SUBSTITUTE(INDEX('Etsy Import'!$A:$CZ,1155,Settings!$C$24)&amp;"","$",""),",","")),0))</f>
        <v/>
      </c>
      <c r="F1155" s="11">
        <f>IF(A1155="","",D1155*E1155)</f>
        <v/>
      </c>
      <c r="G1155">
        <f>IF(A1155="","",IF(C1155="",1,COUNTIF($C$2:$C$1501,C1155)))</f>
        <v/>
      </c>
      <c r="H1155" s="11">
        <f>IF(A1155="","",IFERROR(VALUE(SUBSTITUTE(SUBSTITUTE(INDEX('Etsy Import'!$A:$CZ,1155,Settings!$C$25)&amp;"","$",""),",","")),0)/IF(Settings!$B$27="Yes",G1155,1))</f>
        <v/>
      </c>
      <c r="I1155" s="11">
        <f>IF(A1155="","",IFERROR(VALUE(SUBSTITUTE(SUBSTITUTE(INDEX('Etsy Import'!$A:$CZ,1155,Settings!$C$26)&amp;"","$",""),",","")),0)/IF(Settings!$B$27="Yes",G1155,1))</f>
        <v/>
      </c>
      <c r="J1155" s="11">
        <f>IF(A1155="","",F1155+H1155-I1155)</f>
        <v/>
      </c>
      <c r="K1155">
        <f>IF(A1155="","",IFERROR(IF(B1155="",NA(),MATCH(B1155,Products!$B$5:$B$204,0)),IFERROR(MATCH(A1155,Products!$A$5:$A$204,0),"")))</f>
        <v/>
      </c>
      <c r="L1155">
        <f>IF(A1155="","",IF(K1155="","⚠ not in Products",INDEX(Products!$A$5:$A$204,K1155)))</f>
        <v/>
      </c>
      <c r="M1155" s="11">
        <f>IF(A1155="","",J1155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1155+IFERROR(INDEX(Settings!$D$5:$D$9,MATCH("Etsy",Settings!$A$5:$A$9,0)),0)*D1155)</f>
        <v/>
      </c>
      <c r="N1155" s="11">
        <f>IF(A1155="","",IF(K1155="",0,D1155*INDEX(Products!$I$5:$I$204,K1155)))</f>
        <v/>
      </c>
      <c r="O1155" s="11">
        <f>IF(A1155="","",IF(K1155="",0,J1155*INDEX(Products!$H$5:$H$204,K1155)))</f>
        <v/>
      </c>
      <c r="P1155" s="11">
        <f>IF(A1155="","",J1155-M1155-N1155-O1155)</f>
        <v/>
      </c>
    </row>
    <row r="1156">
      <c r="A1156">
        <f>IFERROR(INDEX('Etsy Import'!$A:$CZ,1156,Settings!$C$20)&amp;"","")</f>
        <v/>
      </c>
      <c r="B1156">
        <f>IFERROR(INDEX('Etsy Import'!$A:$CZ,1156,Settings!$C$21)&amp;"","")</f>
        <v/>
      </c>
      <c r="C1156">
        <f>IFERROR(INDEX('Etsy Import'!$A:$CZ,1156,Settings!$C$22)&amp;"","")</f>
        <v/>
      </c>
      <c r="D1156">
        <f>IF(A1156="","",IFERROR(VALUE(SUBSTITUTE(SUBSTITUTE(INDEX('Etsy Import'!$A:$CZ,1156,Settings!$C$23)&amp;"","$",""),",","")),0))</f>
        <v/>
      </c>
      <c r="E1156" s="11">
        <f>IF(A1156="","",IFERROR(VALUE(SUBSTITUTE(SUBSTITUTE(INDEX('Etsy Import'!$A:$CZ,1156,Settings!$C$24)&amp;"","$",""),",","")),0))</f>
        <v/>
      </c>
      <c r="F1156" s="11">
        <f>IF(A1156="","",D1156*E1156)</f>
        <v/>
      </c>
      <c r="G1156">
        <f>IF(A1156="","",IF(C1156="",1,COUNTIF($C$2:$C$1501,C1156)))</f>
        <v/>
      </c>
      <c r="H1156" s="11">
        <f>IF(A1156="","",IFERROR(VALUE(SUBSTITUTE(SUBSTITUTE(INDEX('Etsy Import'!$A:$CZ,1156,Settings!$C$25)&amp;"","$",""),",","")),0)/IF(Settings!$B$27="Yes",G1156,1))</f>
        <v/>
      </c>
      <c r="I1156" s="11">
        <f>IF(A1156="","",IFERROR(VALUE(SUBSTITUTE(SUBSTITUTE(INDEX('Etsy Import'!$A:$CZ,1156,Settings!$C$26)&amp;"","$",""),",","")),0)/IF(Settings!$B$27="Yes",G1156,1))</f>
        <v/>
      </c>
      <c r="J1156" s="11">
        <f>IF(A1156="","",F1156+H1156-I1156)</f>
        <v/>
      </c>
      <c r="K1156">
        <f>IF(A1156="","",IFERROR(IF(B1156="",NA(),MATCH(B1156,Products!$B$5:$B$204,0)),IFERROR(MATCH(A1156,Products!$A$5:$A$204,0),"")))</f>
        <v/>
      </c>
      <c r="L1156">
        <f>IF(A1156="","",IF(K1156="","⚠ not in Products",INDEX(Products!$A$5:$A$204,K1156)))</f>
        <v/>
      </c>
      <c r="M1156" s="11">
        <f>IF(A1156="","",J1156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1156+IFERROR(INDEX(Settings!$D$5:$D$9,MATCH("Etsy",Settings!$A$5:$A$9,0)),0)*D1156)</f>
        <v/>
      </c>
      <c r="N1156" s="11">
        <f>IF(A1156="","",IF(K1156="",0,D1156*INDEX(Products!$I$5:$I$204,K1156)))</f>
        <v/>
      </c>
      <c r="O1156" s="11">
        <f>IF(A1156="","",IF(K1156="",0,J1156*INDEX(Products!$H$5:$H$204,K1156)))</f>
        <v/>
      </c>
      <c r="P1156" s="11">
        <f>IF(A1156="","",J1156-M1156-N1156-O1156)</f>
        <v/>
      </c>
    </row>
    <row r="1157">
      <c r="A1157">
        <f>IFERROR(INDEX('Etsy Import'!$A:$CZ,1157,Settings!$C$20)&amp;"","")</f>
        <v/>
      </c>
      <c r="B1157">
        <f>IFERROR(INDEX('Etsy Import'!$A:$CZ,1157,Settings!$C$21)&amp;"","")</f>
        <v/>
      </c>
      <c r="C1157">
        <f>IFERROR(INDEX('Etsy Import'!$A:$CZ,1157,Settings!$C$22)&amp;"","")</f>
        <v/>
      </c>
      <c r="D1157">
        <f>IF(A1157="","",IFERROR(VALUE(SUBSTITUTE(SUBSTITUTE(INDEX('Etsy Import'!$A:$CZ,1157,Settings!$C$23)&amp;"","$",""),",","")),0))</f>
        <v/>
      </c>
      <c r="E1157" s="11">
        <f>IF(A1157="","",IFERROR(VALUE(SUBSTITUTE(SUBSTITUTE(INDEX('Etsy Import'!$A:$CZ,1157,Settings!$C$24)&amp;"","$",""),",","")),0))</f>
        <v/>
      </c>
      <c r="F1157" s="11">
        <f>IF(A1157="","",D1157*E1157)</f>
        <v/>
      </c>
      <c r="G1157">
        <f>IF(A1157="","",IF(C1157="",1,COUNTIF($C$2:$C$1501,C1157)))</f>
        <v/>
      </c>
      <c r="H1157" s="11">
        <f>IF(A1157="","",IFERROR(VALUE(SUBSTITUTE(SUBSTITUTE(INDEX('Etsy Import'!$A:$CZ,1157,Settings!$C$25)&amp;"","$",""),",","")),0)/IF(Settings!$B$27="Yes",G1157,1))</f>
        <v/>
      </c>
      <c r="I1157" s="11">
        <f>IF(A1157="","",IFERROR(VALUE(SUBSTITUTE(SUBSTITUTE(INDEX('Etsy Import'!$A:$CZ,1157,Settings!$C$26)&amp;"","$",""),",","")),0)/IF(Settings!$B$27="Yes",G1157,1))</f>
        <v/>
      </c>
      <c r="J1157" s="11">
        <f>IF(A1157="","",F1157+H1157-I1157)</f>
        <v/>
      </c>
      <c r="K1157">
        <f>IF(A1157="","",IFERROR(IF(B1157="",NA(),MATCH(B1157,Products!$B$5:$B$204,0)),IFERROR(MATCH(A1157,Products!$A$5:$A$204,0),"")))</f>
        <v/>
      </c>
      <c r="L1157">
        <f>IF(A1157="","",IF(K1157="","⚠ not in Products",INDEX(Products!$A$5:$A$204,K1157)))</f>
        <v/>
      </c>
      <c r="M1157" s="11">
        <f>IF(A1157="","",J1157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1157+IFERROR(INDEX(Settings!$D$5:$D$9,MATCH("Etsy",Settings!$A$5:$A$9,0)),0)*D1157)</f>
        <v/>
      </c>
      <c r="N1157" s="11">
        <f>IF(A1157="","",IF(K1157="",0,D1157*INDEX(Products!$I$5:$I$204,K1157)))</f>
        <v/>
      </c>
      <c r="O1157" s="11">
        <f>IF(A1157="","",IF(K1157="",0,J1157*INDEX(Products!$H$5:$H$204,K1157)))</f>
        <v/>
      </c>
      <c r="P1157" s="11">
        <f>IF(A1157="","",J1157-M1157-N1157-O1157)</f>
        <v/>
      </c>
    </row>
    <row r="1158">
      <c r="A1158">
        <f>IFERROR(INDEX('Etsy Import'!$A:$CZ,1158,Settings!$C$20)&amp;"","")</f>
        <v/>
      </c>
      <c r="B1158">
        <f>IFERROR(INDEX('Etsy Import'!$A:$CZ,1158,Settings!$C$21)&amp;"","")</f>
        <v/>
      </c>
      <c r="C1158">
        <f>IFERROR(INDEX('Etsy Import'!$A:$CZ,1158,Settings!$C$22)&amp;"","")</f>
        <v/>
      </c>
      <c r="D1158">
        <f>IF(A1158="","",IFERROR(VALUE(SUBSTITUTE(SUBSTITUTE(INDEX('Etsy Import'!$A:$CZ,1158,Settings!$C$23)&amp;"","$",""),",","")),0))</f>
        <v/>
      </c>
      <c r="E1158" s="11">
        <f>IF(A1158="","",IFERROR(VALUE(SUBSTITUTE(SUBSTITUTE(INDEX('Etsy Import'!$A:$CZ,1158,Settings!$C$24)&amp;"","$",""),",","")),0))</f>
        <v/>
      </c>
      <c r="F1158" s="11">
        <f>IF(A1158="","",D1158*E1158)</f>
        <v/>
      </c>
      <c r="G1158">
        <f>IF(A1158="","",IF(C1158="",1,COUNTIF($C$2:$C$1501,C1158)))</f>
        <v/>
      </c>
      <c r="H1158" s="11">
        <f>IF(A1158="","",IFERROR(VALUE(SUBSTITUTE(SUBSTITUTE(INDEX('Etsy Import'!$A:$CZ,1158,Settings!$C$25)&amp;"","$",""),",","")),0)/IF(Settings!$B$27="Yes",G1158,1))</f>
        <v/>
      </c>
      <c r="I1158" s="11">
        <f>IF(A1158="","",IFERROR(VALUE(SUBSTITUTE(SUBSTITUTE(INDEX('Etsy Import'!$A:$CZ,1158,Settings!$C$26)&amp;"","$",""),",","")),0)/IF(Settings!$B$27="Yes",G1158,1))</f>
        <v/>
      </c>
      <c r="J1158" s="11">
        <f>IF(A1158="","",F1158+H1158-I1158)</f>
        <v/>
      </c>
      <c r="K1158">
        <f>IF(A1158="","",IFERROR(IF(B1158="",NA(),MATCH(B1158,Products!$B$5:$B$204,0)),IFERROR(MATCH(A1158,Products!$A$5:$A$204,0),"")))</f>
        <v/>
      </c>
      <c r="L1158">
        <f>IF(A1158="","",IF(K1158="","⚠ not in Products",INDEX(Products!$A$5:$A$204,K1158)))</f>
        <v/>
      </c>
      <c r="M1158" s="11">
        <f>IF(A1158="","",J1158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1158+IFERROR(INDEX(Settings!$D$5:$D$9,MATCH("Etsy",Settings!$A$5:$A$9,0)),0)*D1158)</f>
        <v/>
      </c>
      <c r="N1158" s="11">
        <f>IF(A1158="","",IF(K1158="",0,D1158*INDEX(Products!$I$5:$I$204,K1158)))</f>
        <v/>
      </c>
      <c r="O1158" s="11">
        <f>IF(A1158="","",IF(K1158="",0,J1158*INDEX(Products!$H$5:$H$204,K1158)))</f>
        <v/>
      </c>
      <c r="P1158" s="11">
        <f>IF(A1158="","",J1158-M1158-N1158-O1158)</f>
        <v/>
      </c>
    </row>
    <row r="1159">
      <c r="A1159">
        <f>IFERROR(INDEX('Etsy Import'!$A:$CZ,1159,Settings!$C$20)&amp;"","")</f>
        <v/>
      </c>
      <c r="B1159">
        <f>IFERROR(INDEX('Etsy Import'!$A:$CZ,1159,Settings!$C$21)&amp;"","")</f>
        <v/>
      </c>
      <c r="C1159">
        <f>IFERROR(INDEX('Etsy Import'!$A:$CZ,1159,Settings!$C$22)&amp;"","")</f>
        <v/>
      </c>
      <c r="D1159">
        <f>IF(A1159="","",IFERROR(VALUE(SUBSTITUTE(SUBSTITUTE(INDEX('Etsy Import'!$A:$CZ,1159,Settings!$C$23)&amp;"","$",""),",","")),0))</f>
        <v/>
      </c>
      <c r="E1159" s="11">
        <f>IF(A1159="","",IFERROR(VALUE(SUBSTITUTE(SUBSTITUTE(INDEX('Etsy Import'!$A:$CZ,1159,Settings!$C$24)&amp;"","$",""),",","")),0))</f>
        <v/>
      </c>
      <c r="F1159" s="11">
        <f>IF(A1159="","",D1159*E1159)</f>
        <v/>
      </c>
      <c r="G1159">
        <f>IF(A1159="","",IF(C1159="",1,COUNTIF($C$2:$C$1501,C1159)))</f>
        <v/>
      </c>
      <c r="H1159" s="11">
        <f>IF(A1159="","",IFERROR(VALUE(SUBSTITUTE(SUBSTITUTE(INDEX('Etsy Import'!$A:$CZ,1159,Settings!$C$25)&amp;"","$",""),",","")),0)/IF(Settings!$B$27="Yes",G1159,1))</f>
        <v/>
      </c>
      <c r="I1159" s="11">
        <f>IF(A1159="","",IFERROR(VALUE(SUBSTITUTE(SUBSTITUTE(INDEX('Etsy Import'!$A:$CZ,1159,Settings!$C$26)&amp;"","$",""),",","")),0)/IF(Settings!$B$27="Yes",G1159,1))</f>
        <v/>
      </c>
      <c r="J1159" s="11">
        <f>IF(A1159="","",F1159+H1159-I1159)</f>
        <v/>
      </c>
      <c r="K1159">
        <f>IF(A1159="","",IFERROR(IF(B1159="",NA(),MATCH(B1159,Products!$B$5:$B$204,0)),IFERROR(MATCH(A1159,Products!$A$5:$A$204,0),"")))</f>
        <v/>
      </c>
      <c r="L1159">
        <f>IF(A1159="","",IF(K1159="","⚠ not in Products",INDEX(Products!$A$5:$A$204,K1159)))</f>
        <v/>
      </c>
      <c r="M1159" s="11">
        <f>IF(A1159="","",J1159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1159+IFERROR(INDEX(Settings!$D$5:$D$9,MATCH("Etsy",Settings!$A$5:$A$9,0)),0)*D1159)</f>
        <v/>
      </c>
      <c r="N1159" s="11">
        <f>IF(A1159="","",IF(K1159="",0,D1159*INDEX(Products!$I$5:$I$204,K1159)))</f>
        <v/>
      </c>
      <c r="O1159" s="11">
        <f>IF(A1159="","",IF(K1159="",0,J1159*INDEX(Products!$H$5:$H$204,K1159)))</f>
        <v/>
      </c>
      <c r="P1159" s="11">
        <f>IF(A1159="","",J1159-M1159-N1159-O1159)</f>
        <v/>
      </c>
    </row>
    <row r="1160">
      <c r="A1160">
        <f>IFERROR(INDEX('Etsy Import'!$A:$CZ,1160,Settings!$C$20)&amp;"","")</f>
        <v/>
      </c>
      <c r="B1160">
        <f>IFERROR(INDEX('Etsy Import'!$A:$CZ,1160,Settings!$C$21)&amp;"","")</f>
        <v/>
      </c>
      <c r="C1160">
        <f>IFERROR(INDEX('Etsy Import'!$A:$CZ,1160,Settings!$C$22)&amp;"","")</f>
        <v/>
      </c>
      <c r="D1160">
        <f>IF(A1160="","",IFERROR(VALUE(SUBSTITUTE(SUBSTITUTE(INDEX('Etsy Import'!$A:$CZ,1160,Settings!$C$23)&amp;"","$",""),",","")),0))</f>
        <v/>
      </c>
      <c r="E1160" s="11">
        <f>IF(A1160="","",IFERROR(VALUE(SUBSTITUTE(SUBSTITUTE(INDEX('Etsy Import'!$A:$CZ,1160,Settings!$C$24)&amp;"","$",""),",","")),0))</f>
        <v/>
      </c>
      <c r="F1160" s="11">
        <f>IF(A1160="","",D1160*E1160)</f>
        <v/>
      </c>
      <c r="G1160">
        <f>IF(A1160="","",IF(C1160="",1,COUNTIF($C$2:$C$1501,C1160)))</f>
        <v/>
      </c>
      <c r="H1160" s="11">
        <f>IF(A1160="","",IFERROR(VALUE(SUBSTITUTE(SUBSTITUTE(INDEX('Etsy Import'!$A:$CZ,1160,Settings!$C$25)&amp;"","$",""),",","")),0)/IF(Settings!$B$27="Yes",G1160,1))</f>
        <v/>
      </c>
      <c r="I1160" s="11">
        <f>IF(A1160="","",IFERROR(VALUE(SUBSTITUTE(SUBSTITUTE(INDEX('Etsy Import'!$A:$CZ,1160,Settings!$C$26)&amp;"","$",""),",","")),0)/IF(Settings!$B$27="Yes",G1160,1))</f>
        <v/>
      </c>
      <c r="J1160" s="11">
        <f>IF(A1160="","",F1160+H1160-I1160)</f>
        <v/>
      </c>
      <c r="K1160">
        <f>IF(A1160="","",IFERROR(IF(B1160="",NA(),MATCH(B1160,Products!$B$5:$B$204,0)),IFERROR(MATCH(A1160,Products!$A$5:$A$204,0),"")))</f>
        <v/>
      </c>
      <c r="L1160">
        <f>IF(A1160="","",IF(K1160="","⚠ not in Products",INDEX(Products!$A$5:$A$204,K1160)))</f>
        <v/>
      </c>
      <c r="M1160" s="11">
        <f>IF(A1160="","",J1160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1160+IFERROR(INDEX(Settings!$D$5:$D$9,MATCH("Etsy",Settings!$A$5:$A$9,0)),0)*D1160)</f>
        <v/>
      </c>
      <c r="N1160" s="11">
        <f>IF(A1160="","",IF(K1160="",0,D1160*INDEX(Products!$I$5:$I$204,K1160)))</f>
        <v/>
      </c>
      <c r="O1160" s="11">
        <f>IF(A1160="","",IF(K1160="",0,J1160*INDEX(Products!$H$5:$H$204,K1160)))</f>
        <v/>
      </c>
      <c r="P1160" s="11">
        <f>IF(A1160="","",J1160-M1160-N1160-O1160)</f>
        <v/>
      </c>
    </row>
    <row r="1161">
      <c r="A1161">
        <f>IFERROR(INDEX('Etsy Import'!$A:$CZ,1161,Settings!$C$20)&amp;"","")</f>
        <v/>
      </c>
      <c r="B1161">
        <f>IFERROR(INDEX('Etsy Import'!$A:$CZ,1161,Settings!$C$21)&amp;"","")</f>
        <v/>
      </c>
      <c r="C1161">
        <f>IFERROR(INDEX('Etsy Import'!$A:$CZ,1161,Settings!$C$22)&amp;"","")</f>
        <v/>
      </c>
      <c r="D1161">
        <f>IF(A1161="","",IFERROR(VALUE(SUBSTITUTE(SUBSTITUTE(INDEX('Etsy Import'!$A:$CZ,1161,Settings!$C$23)&amp;"","$",""),",","")),0))</f>
        <v/>
      </c>
      <c r="E1161" s="11">
        <f>IF(A1161="","",IFERROR(VALUE(SUBSTITUTE(SUBSTITUTE(INDEX('Etsy Import'!$A:$CZ,1161,Settings!$C$24)&amp;"","$",""),",","")),0))</f>
        <v/>
      </c>
      <c r="F1161" s="11">
        <f>IF(A1161="","",D1161*E1161)</f>
        <v/>
      </c>
      <c r="G1161">
        <f>IF(A1161="","",IF(C1161="",1,COUNTIF($C$2:$C$1501,C1161)))</f>
        <v/>
      </c>
      <c r="H1161" s="11">
        <f>IF(A1161="","",IFERROR(VALUE(SUBSTITUTE(SUBSTITUTE(INDEX('Etsy Import'!$A:$CZ,1161,Settings!$C$25)&amp;"","$",""),",","")),0)/IF(Settings!$B$27="Yes",G1161,1))</f>
        <v/>
      </c>
      <c r="I1161" s="11">
        <f>IF(A1161="","",IFERROR(VALUE(SUBSTITUTE(SUBSTITUTE(INDEX('Etsy Import'!$A:$CZ,1161,Settings!$C$26)&amp;"","$",""),",","")),0)/IF(Settings!$B$27="Yes",G1161,1))</f>
        <v/>
      </c>
      <c r="J1161" s="11">
        <f>IF(A1161="","",F1161+H1161-I1161)</f>
        <v/>
      </c>
      <c r="K1161">
        <f>IF(A1161="","",IFERROR(IF(B1161="",NA(),MATCH(B1161,Products!$B$5:$B$204,0)),IFERROR(MATCH(A1161,Products!$A$5:$A$204,0),"")))</f>
        <v/>
      </c>
      <c r="L1161">
        <f>IF(A1161="","",IF(K1161="","⚠ not in Products",INDEX(Products!$A$5:$A$204,K1161)))</f>
        <v/>
      </c>
      <c r="M1161" s="11">
        <f>IF(A1161="","",J1161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1161+IFERROR(INDEX(Settings!$D$5:$D$9,MATCH("Etsy",Settings!$A$5:$A$9,0)),0)*D1161)</f>
        <v/>
      </c>
      <c r="N1161" s="11">
        <f>IF(A1161="","",IF(K1161="",0,D1161*INDEX(Products!$I$5:$I$204,K1161)))</f>
        <v/>
      </c>
      <c r="O1161" s="11">
        <f>IF(A1161="","",IF(K1161="",0,J1161*INDEX(Products!$H$5:$H$204,K1161)))</f>
        <v/>
      </c>
      <c r="P1161" s="11">
        <f>IF(A1161="","",J1161-M1161-N1161-O1161)</f>
        <v/>
      </c>
    </row>
    <row r="1162">
      <c r="A1162">
        <f>IFERROR(INDEX('Etsy Import'!$A:$CZ,1162,Settings!$C$20)&amp;"","")</f>
        <v/>
      </c>
      <c r="B1162">
        <f>IFERROR(INDEX('Etsy Import'!$A:$CZ,1162,Settings!$C$21)&amp;"","")</f>
        <v/>
      </c>
      <c r="C1162">
        <f>IFERROR(INDEX('Etsy Import'!$A:$CZ,1162,Settings!$C$22)&amp;"","")</f>
        <v/>
      </c>
      <c r="D1162">
        <f>IF(A1162="","",IFERROR(VALUE(SUBSTITUTE(SUBSTITUTE(INDEX('Etsy Import'!$A:$CZ,1162,Settings!$C$23)&amp;"","$",""),",","")),0))</f>
        <v/>
      </c>
      <c r="E1162" s="11">
        <f>IF(A1162="","",IFERROR(VALUE(SUBSTITUTE(SUBSTITUTE(INDEX('Etsy Import'!$A:$CZ,1162,Settings!$C$24)&amp;"","$",""),",","")),0))</f>
        <v/>
      </c>
      <c r="F1162" s="11">
        <f>IF(A1162="","",D1162*E1162)</f>
        <v/>
      </c>
      <c r="G1162">
        <f>IF(A1162="","",IF(C1162="",1,COUNTIF($C$2:$C$1501,C1162)))</f>
        <v/>
      </c>
      <c r="H1162" s="11">
        <f>IF(A1162="","",IFERROR(VALUE(SUBSTITUTE(SUBSTITUTE(INDEX('Etsy Import'!$A:$CZ,1162,Settings!$C$25)&amp;"","$",""),",","")),0)/IF(Settings!$B$27="Yes",G1162,1))</f>
        <v/>
      </c>
      <c r="I1162" s="11">
        <f>IF(A1162="","",IFERROR(VALUE(SUBSTITUTE(SUBSTITUTE(INDEX('Etsy Import'!$A:$CZ,1162,Settings!$C$26)&amp;"","$",""),",","")),0)/IF(Settings!$B$27="Yes",G1162,1))</f>
        <v/>
      </c>
      <c r="J1162" s="11">
        <f>IF(A1162="","",F1162+H1162-I1162)</f>
        <v/>
      </c>
      <c r="K1162">
        <f>IF(A1162="","",IFERROR(IF(B1162="",NA(),MATCH(B1162,Products!$B$5:$B$204,0)),IFERROR(MATCH(A1162,Products!$A$5:$A$204,0),"")))</f>
        <v/>
      </c>
      <c r="L1162">
        <f>IF(A1162="","",IF(K1162="","⚠ not in Products",INDEX(Products!$A$5:$A$204,K1162)))</f>
        <v/>
      </c>
      <c r="M1162" s="11">
        <f>IF(A1162="","",J1162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1162+IFERROR(INDEX(Settings!$D$5:$D$9,MATCH("Etsy",Settings!$A$5:$A$9,0)),0)*D1162)</f>
        <v/>
      </c>
      <c r="N1162" s="11">
        <f>IF(A1162="","",IF(K1162="",0,D1162*INDEX(Products!$I$5:$I$204,K1162)))</f>
        <v/>
      </c>
      <c r="O1162" s="11">
        <f>IF(A1162="","",IF(K1162="",0,J1162*INDEX(Products!$H$5:$H$204,K1162)))</f>
        <v/>
      </c>
      <c r="P1162" s="11">
        <f>IF(A1162="","",J1162-M1162-N1162-O1162)</f>
        <v/>
      </c>
    </row>
    <row r="1163">
      <c r="A1163">
        <f>IFERROR(INDEX('Etsy Import'!$A:$CZ,1163,Settings!$C$20)&amp;"","")</f>
        <v/>
      </c>
      <c r="B1163">
        <f>IFERROR(INDEX('Etsy Import'!$A:$CZ,1163,Settings!$C$21)&amp;"","")</f>
        <v/>
      </c>
      <c r="C1163">
        <f>IFERROR(INDEX('Etsy Import'!$A:$CZ,1163,Settings!$C$22)&amp;"","")</f>
        <v/>
      </c>
      <c r="D1163">
        <f>IF(A1163="","",IFERROR(VALUE(SUBSTITUTE(SUBSTITUTE(INDEX('Etsy Import'!$A:$CZ,1163,Settings!$C$23)&amp;"","$",""),",","")),0))</f>
        <v/>
      </c>
      <c r="E1163" s="11">
        <f>IF(A1163="","",IFERROR(VALUE(SUBSTITUTE(SUBSTITUTE(INDEX('Etsy Import'!$A:$CZ,1163,Settings!$C$24)&amp;"","$",""),",","")),0))</f>
        <v/>
      </c>
      <c r="F1163" s="11">
        <f>IF(A1163="","",D1163*E1163)</f>
        <v/>
      </c>
      <c r="G1163">
        <f>IF(A1163="","",IF(C1163="",1,COUNTIF($C$2:$C$1501,C1163)))</f>
        <v/>
      </c>
      <c r="H1163" s="11">
        <f>IF(A1163="","",IFERROR(VALUE(SUBSTITUTE(SUBSTITUTE(INDEX('Etsy Import'!$A:$CZ,1163,Settings!$C$25)&amp;"","$",""),",","")),0)/IF(Settings!$B$27="Yes",G1163,1))</f>
        <v/>
      </c>
      <c r="I1163" s="11">
        <f>IF(A1163="","",IFERROR(VALUE(SUBSTITUTE(SUBSTITUTE(INDEX('Etsy Import'!$A:$CZ,1163,Settings!$C$26)&amp;"","$",""),",","")),0)/IF(Settings!$B$27="Yes",G1163,1))</f>
        <v/>
      </c>
      <c r="J1163" s="11">
        <f>IF(A1163="","",F1163+H1163-I1163)</f>
        <v/>
      </c>
      <c r="K1163">
        <f>IF(A1163="","",IFERROR(IF(B1163="",NA(),MATCH(B1163,Products!$B$5:$B$204,0)),IFERROR(MATCH(A1163,Products!$A$5:$A$204,0),"")))</f>
        <v/>
      </c>
      <c r="L1163">
        <f>IF(A1163="","",IF(K1163="","⚠ not in Products",INDEX(Products!$A$5:$A$204,K1163)))</f>
        <v/>
      </c>
      <c r="M1163" s="11">
        <f>IF(A1163="","",J1163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1163+IFERROR(INDEX(Settings!$D$5:$D$9,MATCH("Etsy",Settings!$A$5:$A$9,0)),0)*D1163)</f>
        <v/>
      </c>
      <c r="N1163" s="11">
        <f>IF(A1163="","",IF(K1163="",0,D1163*INDEX(Products!$I$5:$I$204,K1163)))</f>
        <v/>
      </c>
      <c r="O1163" s="11">
        <f>IF(A1163="","",IF(K1163="",0,J1163*INDEX(Products!$H$5:$H$204,K1163)))</f>
        <v/>
      </c>
      <c r="P1163" s="11">
        <f>IF(A1163="","",J1163-M1163-N1163-O1163)</f>
        <v/>
      </c>
    </row>
    <row r="1164">
      <c r="A1164">
        <f>IFERROR(INDEX('Etsy Import'!$A:$CZ,1164,Settings!$C$20)&amp;"","")</f>
        <v/>
      </c>
      <c r="B1164">
        <f>IFERROR(INDEX('Etsy Import'!$A:$CZ,1164,Settings!$C$21)&amp;"","")</f>
        <v/>
      </c>
      <c r="C1164">
        <f>IFERROR(INDEX('Etsy Import'!$A:$CZ,1164,Settings!$C$22)&amp;"","")</f>
        <v/>
      </c>
      <c r="D1164">
        <f>IF(A1164="","",IFERROR(VALUE(SUBSTITUTE(SUBSTITUTE(INDEX('Etsy Import'!$A:$CZ,1164,Settings!$C$23)&amp;"","$",""),",","")),0))</f>
        <v/>
      </c>
      <c r="E1164" s="11">
        <f>IF(A1164="","",IFERROR(VALUE(SUBSTITUTE(SUBSTITUTE(INDEX('Etsy Import'!$A:$CZ,1164,Settings!$C$24)&amp;"","$",""),",","")),0))</f>
        <v/>
      </c>
      <c r="F1164" s="11">
        <f>IF(A1164="","",D1164*E1164)</f>
        <v/>
      </c>
      <c r="G1164">
        <f>IF(A1164="","",IF(C1164="",1,COUNTIF($C$2:$C$1501,C1164)))</f>
        <v/>
      </c>
      <c r="H1164" s="11">
        <f>IF(A1164="","",IFERROR(VALUE(SUBSTITUTE(SUBSTITUTE(INDEX('Etsy Import'!$A:$CZ,1164,Settings!$C$25)&amp;"","$",""),",","")),0)/IF(Settings!$B$27="Yes",G1164,1))</f>
        <v/>
      </c>
      <c r="I1164" s="11">
        <f>IF(A1164="","",IFERROR(VALUE(SUBSTITUTE(SUBSTITUTE(INDEX('Etsy Import'!$A:$CZ,1164,Settings!$C$26)&amp;"","$",""),",","")),0)/IF(Settings!$B$27="Yes",G1164,1))</f>
        <v/>
      </c>
      <c r="J1164" s="11">
        <f>IF(A1164="","",F1164+H1164-I1164)</f>
        <v/>
      </c>
      <c r="K1164">
        <f>IF(A1164="","",IFERROR(IF(B1164="",NA(),MATCH(B1164,Products!$B$5:$B$204,0)),IFERROR(MATCH(A1164,Products!$A$5:$A$204,0),"")))</f>
        <v/>
      </c>
      <c r="L1164">
        <f>IF(A1164="","",IF(K1164="","⚠ not in Products",INDEX(Products!$A$5:$A$204,K1164)))</f>
        <v/>
      </c>
      <c r="M1164" s="11">
        <f>IF(A1164="","",J1164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1164+IFERROR(INDEX(Settings!$D$5:$D$9,MATCH("Etsy",Settings!$A$5:$A$9,0)),0)*D1164)</f>
        <v/>
      </c>
      <c r="N1164" s="11">
        <f>IF(A1164="","",IF(K1164="",0,D1164*INDEX(Products!$I$5:$I$204,K1164)))</f>
        <v/>
      </c>
      <c r="O1164" s="11">
        <f>IF(A1164="","",IF(K1164="",0,J1164*INDEX(Products!$H$5:$H$204,K1164)))</f>
        <v/>
      </c>
      <c r="P1164" s="11">
        <f>IF(A1164="","",J1164-M1164-N1164-O1164)</f>
        <v/>
      </c>
    </row>
    <row r="1165">
      <c r="A1165">
        <f>IFERROR(INDEX('Etsy Import'!$A:$CZ,1165,Settings!$C$20)&amp;"","")</f>
        <v/>
      </c>
      <c r="B1165">
        <f>IFERROR(INDEX('Etsy Import'!$A:$CZ,1165,Settings!$C$21)&amp;"","")</f>
        <v/>
      </c>
      <c r="C1165">
        <f>IFERROR(INDEX('Etsy Import'!$A:$CZ,1165,Settings!$C$22)&amp;"","")</f>
        <v/>
      </c>
      <c r="D1165">
        <f>IF(A1165="","",IFERROR(VALUE(SUBSTITUTE(SUBSTITUTE(INDEX('Etsy Import'!$A:$CZ,1165,Settings!$C$23)&amp;"","$",""),",","")),0))</f>
        <v/>
      </c>
      <c r="E1165" s="11">
        <f>IF(A1165="","",IFERROR(VALUE(SUBSTITUTE(SUBSTITUTE(INDEX('Etsy Import'!$A:$CZ,1165,Settings!$C$24)&amp;"","$",""),",","")),0))</f>
        <v/>
      </c>
      <c r="F1165" s="11">
        <f>IF(A1165="","",D1165*E1165)</f>
        <v/>
      </c>
      <c r="G1165">
        <f>IF(A1165="","",IF(C1165="",1,COUNTIF($C$2:$C$1501,C1165)))</f>
        <v/>
      </c>
      <c r="H1165" s="11">
        <f>IF(A1165="","",IFERROR(VALUE(SUBSTITUTE(SUBSTITUTE(INDEX('Etsy Import'!$A:$CZ,1165,Settings!$C$25)&amp;"","$",""),",","")),0)/IF(Settings!$B$27="Yes",G1165,1))</f>
        <v/>
      </c>
      <c r="I1165" s="11">
        <f>IF(A1165="","",IFERROR(VALUE(SUBSTITUTE(SUBSTITUTE(INDEX('Etsy Import'!$A:$CZ,1165,Settings!$C$26)&amp;"","$",""),",","")),0)/IF(Settings!$B$27="Yes",G1165,1))</f>
        <v/>
      </c>
      <c r="J1165" s="11">
        <f>IF(A1165="","",F1165+H1165-I1165)</f>
        <v/>
      </c>
      <c r="K1165">
        <f>IF(A1165="","",IFERROR(IF(B1165="",NA(),MATCH(B1165,Products!$B$5:$B$204,0)),IFERROR(MATCH(A1165,Products!$A$5:$A$204,0),"")))</f>
        <v/>
      </c>
      <c r="L1165">
        <f>IF(A1165="","",IF(K1165="","⚠ not in Products",INDEX(Products!$A$5:$A$204,K1165)))</f>
        <v/>
      </c>
      <c r="M1165" s="11">
        <f>IF(A1165="","",J1165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1165+IFERROR(INDEX(Settings!$D$5:$D$9,MATCH("Etsy",Settings!$A$5:$A$9,0)),0)*D1165)</f>
        <v/>
      </c>
      <c r="N1165" s="11">
        <f>IF(A1165="","",IF(K1165="",0,D1165*INDEX(Products!$I$5:$I$204,K1165)))</f>
        <v/>
      </c>
      <c r="O1165" s="11">
        <f>IF(A1165="","",IF(K1165="",0,J1165*INDEX(Products!$H$5:$H$204,K1165)))</f>
        <v/>
      </c>
      <c r="P1165" s="11">
        <f>IF(A1165="","",J1165-M1165-N1165-O1165)</f>
        <v/>
      </c>
    </row>
    <row r="1166">
      <c r="A1166">
        <f>IFERROR(INDEX('Etsy Import'!$A:$CZ,1166,Settings!$C$20)&amp;"","")</f>
        <v/>
      </c>
      <c r="B1166">
        <f>IFERROR(INDEX('Etsy Import'!$A:$CZ,1166,Settings!$C$21)&amp;"","")</f>
        <v/>
      </c>
      <c r="C1166">
        <f>IFERROR(INDEX('Etsy Import'!$A:$CZ,1166,Settings!$C$22)&amp;"","")</f>
        <v/>
      </c>
      <c r="D1166">
        <f>IF(A1166="","",IFERROR(VALUE(SUBSTITUTE(SUBSTITUTE(INDEX('Etsy Import'!$A:$CZ,1166,Settings!$C$23)&amp;"","$",""),",","")),0))</f>
        <v/>
      </c>
      <c r="E1166" s="11">
        <f>IF(A1166="","",IFERROR(VALUE(SUBSTITUTE(SUBSTITUTE(INDEX('Etsy Import'!$A:$CZ,1166,Settings!$C$24)&amp;"","$",""),",","")),0))</f>
        <v/>
      </c>
      <c r="F1166" s="11">
        <f>IF(A1166="","",D1166*E1166)</f>
        <v/>
      </c>
      <c r="G1166">
        <f>IF(A1166="","",IF(C1166="",1,COUNTIF($C$2:$C$1501,C1166)))</f>
        <v/>
      </c>
      <c r="H1166" s="11">
        <f>IF(A1166="","",IFERROR(VALUE(SUBSTITUTE(SUBSTITUTE(INDEX('Etsy Import'!$A:$CZ,1166,Settings!$C$25)&amp;"","$",""),",","")),0)/IF(Settings!$B$27="Yes",G1166,1))</f>
        <v/>
      </c>
      <c r="I1166" s="11">
        <f>IF(A1166="","",IFERROR(VALUE(SUBSTITUTE(SUBSTITUTE(INDEX('Etsy Import'!$A:$CZ,1166,Settings!$C$26)&amp;"","$",""),",","")),0)/IF(Settings!$B$27="Yes",G1166,1))</f>
        <v/>
      </c>
      <c r="J1166" s="11">
        <f>IF(A1166="","",F1166+H1166-I1166)</f>
        <v/>
      </c>
      <c r="K1166">
        <f>IF(A1166="","",IFERROR(IF(B1166="",NA(),MATCH(B1166,Products!$B$5:$B$204,0)),IFERROR(MATCH(A1166,Products!$A$5:$A$204,0),"")))</f>
        <v/>
      </c>
      <c r="L1166">
        <f>IF(A1166="","",IF(K1166="","⚠ not in Products",INDEX(Products!$A$5:$A$204,K1166)))</f>
        <v/>
      </c>
      <c r="M1166" s="11">
        <f>IF(A1166="","",J1166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1166+IFERROR(INDEX(Settings!$D$5:$D$9,MATCH("Etsy",Settings!$A$5:$A$9,0)),0)*D1166)</f>
        <v/>
      </c>
      <c r="N1166" s="11">
        <f>IF(A1166="","",IF(K1166="",0,D1166*INDEX(Products!$I$5:$I$204,K1166)))</f>
        <v/>
      </c>
      <c r="O1166" s="11">
        <f>IF(A1166="","",IF(K1166="",0,J1166*INDEX(Products!$H$5:$H$204,K1166)))</f>
        <v/>
      </c>
      <c r="P1166" s="11">
        <f>IF(A1166="","",J1166-M1166-N1166-O1166)</f>
        <v/>
      </c>
    </row>
    <row r="1167">
      <c r="A1167">
        <f>IFERROR(INDEX('Etsy Import'!$A:$CZ,1167,Settings!$C$20)&amp;"","")</f>
        <v/>
      </c>
      <c r="B1167">
        <f>IFERROR(INDEX('Etsy Import'!$A:$CZ,1167,Settings!$C$21)&amp;"","")</f>
        <v/>
      </c>
      <c r="C1167">
        <f>IFERROR(INDEX('Etsy Import'!$A:$CZ,1167,Settings!$C$22)&amp;"","")</f>
        <v/>
      </c>
      <c r="D1167">
        <f>IF(A1167="","",IFERROR(VALUE(SUBSTITUTE(SUBSTITUTE(INDEX('Etsy Import'!$A:$CZ,1167,Settings!$C$23)&amp;"","$",""),",","")),0))</f>
        <v/>
      </c>
      <c r="E1167" s="11">
        <f>IF(A1167="","",IFERROR(VALUE(SUBSTITUTE(SUBSTITUTE(INDEX('Etsy Import'!$A:$CZ,1167,Settings!$C$24)&amp;"","$",""),",","")),0))</f>
        <v/>
      </c>
      <c r="F1167" s="11">
        <f>IF(A1167="","",D1167*E1167)</f>
        <v/>
      </c>
      <c r="G1167">
        <f>IF(A1167="","",IF(C1167="",1,COUNTIF($C$2:$C$1501,C1167)))</f>
        <v/>
      </c>
      <c r="H1167" s="11">
        <f>IF(A1167="","",IFERROR(VALUE(SUBSTITUTE(SUBSTITUTE(INDEX('Etsy Import'!$A:$CZ,1167,Settings!$C$25)&amp;"","$",""),",","")),0)/IF(Settings!$B$27="Yes",G1167,1))</f>
        <v/>
      </c>
      <c r="I1167" s="11">
        <f>IF(A1167="","",IFERROR(VALUE(SUBSTITUTE(SUBSTITUTE(INDEX('Etsy Import'!$A:$CZ,1167,Settings!$C$26)&amp;"","$",""),",","")),0)/IF(Settings!$B$27="Yes",G1167,1))</f>
        <v/>
      </c>
      <c r="J1167" s="11">
        <f>IF(A1167="","",F1167+H1167-I1167)</f>
        <v/>
      </c>
      <c r="K1167">
        <f>IF(A1167="","",IFERROR(IF(B1167="",NA(),MATCH(B1167,Products!$B$5:$B$204,0)),IFERROR(MATCH(A1167,Products!$A$5:$A$204,0),"")))</f>
        <v/>
      </c>
      <c r="L1167">
        <f>IF(A1167="","",IF(K1167="","⚠ not in Products",INDEX(Products!$A$5:$A$204,K1167)))</f>
        <v/>
      </c>
      <c r="M1167" s="11">
        <f>IF(A1167="","",J1167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1167+IFERROR(INDEX(Settings!$D$5:$D$9,MATCH("Etsy",Settings!$A$5:$A$9,0)),0)*D1167)</f>
        <v/>
      </c>
      <c r="N1167" s="11">
        <f>IF(A1167="","",IF(K1167="",0,D1167*INDEX(Products!$I$5:$I$204,K1167)))</f>
        <v/>
      </c>
      <c r="O1167" s="11">
        <f>IF(A1167="","",IF(K1167="",0,J1167*INDEX(Products!$H$5:$H$204,K1167)))</f>
        <v/>
      </c>
      <c r="P1167" s="11">
        <f>IF(A1167="","",J1167-M1167-N1167-O1167)</f>
        <v/>
      </c>
    </row>
    <row r="1168">
      <c r="A1168">
        <f>IFERROR(INDEX('Etsy Import'!$A:$CZ,1168,Settings!$C$20)&amp;"","")</f>
        <v/>
      </c>
      <c r="B1168">
        <f>IFERROR(INDEX('Etsy Import'!$A:$CZ,1168,Settings!$C$21)&amp;"","")</f>
        <v/>
      </c>
      <c r="C1168">
        <f>IFERROR(INDEX('Etsy Import'!$A:$CZ,1168,Settings!$C$22)&amp;"","")</f>
        <v/>
      </c>
      <c r="D1168">
        <f>IF(A1168="","",IFERROR(VALUE(SUBSTITUTE(SUBSTITUTE(INDEX('Etsy Import'!$A:$CZ,1168,Settings!$C$23)&amp;"","$",""),",","")),0))</f>
        <v/>
      </c>
      <c r="E1168" s="11">
        <f>IF(A1168="","",IFERROR(VALUE(SUBSTITUTE(SUBSTITUTE(INDEX('Etsy Import'!$A:$CZ,1168,Settings!$C$24)&amp;"","$",""),",","")),0))</f>
        <v/>
      </c>
      <c r="F1168" s="11">
        <f>IF(A1168="","",D1168*E1168)</f>
        <v/>
      </c>
      <c r="G1168">
        <f>IF(A1168="","",IF(C1168="",1,COUNTIF($C$2:$C$1501,C1168)))</f>
        <v/>
      </c>
      <c r="H1168" s="11">
        <f>IF(A1168="","",IFERROR(VALUE(SUBSTITUTE(SUBSTITUTE(INDEX('Etsy Import'!$A:$CZ,1168,Settings!$C$25)&amp;"","$",""),",","")),0)/IF(Settings!$B$27="Yes",G1168,1))</f>
        <v/>
      </c>
      <c r="I1168" s="11">
        <f>IF(A1168="","",IFERROR(VALUE(SUBSTITUTE(SUBSTITUTE(INDEX('Etsy Import'!$A:$CZ,1168,Settings!$C$26)&amp;"","$",""),",","")),0)/IF(Settings!$B$27="Yes",G1168,1))</f>
        <v/>
      </c>
      <c r="J1168" s="11">
        <f>IF(A1168="","",F1168+H1168-I1168)</f>
        <v/>
      </c>
      <c r="K1168">
        <f>IF(A1168="","",IFERROR(IF(B1168="",NA(),MATCH(B1168,Products!$B$5:$B$204,0)),IFERROR(MATCH(A1168,Products!$A$5:$A$204,0),"")))</f>
        <v/>
      </c>
      <c r="L1168">
        <f>IF(A1168="","",IF(K1168="","⚠ not in Products",INDEX(Products!$A$5:$A$204,K1168)))</f>
        <v/>
      </c>
      <c r="M1168" s="11">
        <f>IF(A1168="","",J1168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1168+IFERROR(INDEX(Settings!$D$5:$D$9,MATCH("Etsy",Settings!$A$5:$A$9,0)),0)*D1168)</f>
        <v/>
      </c>
      <c r="N1168" s="11">
        <f>IF(A1168="","",IF(K1168="",0,D1168*INDEX(Products!$I$5:$I$204,K1168)))</f>
        <v/>
      </c>
      <c r="O1168" s="11">
        <f>IF(A1168="","",IF(K1168="",0,J1168*INDEX(Products!$H$5:$H$204,K1168)))</f>
        <v/>
      </c>
      <c r="P1168" s="11">
        <f>IF(A1168="","",J1168-M1168-N1168-O1168)</f>
        <v/>
      </c>
    </row>
    <row r="1169">
      <c r="A1169">
        <f>IFERROR(INDEX('Etsy Import'!$A:$CZ,1169,Settings!$C$20)&amp;"","")</f>
        <v/>
      </c>
      <c r="B1169">
        <f>IFERROR(INDEX('Etsy Import'!$A:$CZ,1169,Settings!$C$21)&amp;"","")</f>
        <v/>
      </c>
      <c r="C1169">
        <f>IFERROR(INDEX('Etsy Import'!$A:$CZ,1169,Settings!$C$22)&amp;"","")</f>
        <v/>
      </c>
      <c r="D1169">
        <f>IF(A1169="","",IFERROR(VALUE(SUBSTITUTE(SUBSTITUTE(INDEX('Etsy Import'!$A:$CZ,1169,Settings!$C$23)&amp;"","$",""),",","")),0))</f>
        <v/>
      </c>
      <c r="E1169" s="11">
        <f>IF(A1169="","",IFERROR(VALUE(SUBSTITUTE(SUBSTITUTE(INDEX('Etsy Import'!$A:$CZ,1169,Settings!$C$24)&amp;"","$",""),",","")),0))</f>
        <v/>
      </c>
      <c r="F1169" s="11">
        <f>IF(A1169="","",D1169*E1169)</f>
        <v/>
      </c>
      <c r="G1169">
        <f>IF(A1169="","",IF(C1169="",1,COUNTIF($C$2:$C$1501,C1169)))</f>
        <v/>
      </c>
      <c r="H1169" s="11">
        <f>IF(A1169="","",IFERROR(VALUE(SUBSTITUTE(SUBSTITUTE(INDEX('Etsy Import'!$A:$CZ,1169,Settings!$C$25)&amp;"","$",""),",","")),0)/IF(Settings!$B$27="Yes",G1169,1))</f>
        <v/>
      </c>
      <c r="I1169" s="11">
        <f>IF(A1169="","",IFERROR(VALUE(SUBSTITUTE(SUBSTITUTE(INDEX('Etsy Import'!$A:$CZ,1169,Settings!$C$26)&amp;"","$",""),",","")),0)/IF(Settings!$B$27="Yes",G1169,1))</f>
        <v/>
      </c>
      <c r="J1169" s="11">
        <f>IF(A1169="","",F1169+H1169-I1169)</f>
        <v/>
      </c>
      <c r="K1169">
        <f>IF(A1169="","",IFERROR(IF(B1169="",NA(),MATCH(B1169,Products!$B$5:$B$204,0)),IFERROR(MATCH(A1169,Products!$A$5:$A$204,0),"")))</f>
        <v/>
      </c>
      <c r="L1169">
        <f>IF(A1169="","",IF(K1169="","⚠ not in Products",INDEX(Products!$A$5:$A$204,K1169)))</f>
        <v/>
      </c>
      <c r="M1169" s="11">
        <f>IF(A1169="","",J1169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1169+IFERROR(INDEX(Settings!$D$5:$D$9,MATCH("Etsy",Settings!$A$5:$A$9,0)),0)*D1169)</f>
        <v/>
      </c>
      <c r="N1169" s="11">
        <f>IF(A1169="","",IF(K1169="",0,D1169*INDEX(Products!$I$5:$I$204,K1169)))</f>
        <v/>
      </c>
      <c r="O1169" s="11">
        <f>IF(A1169="","",IF(K1169="",0,J1169*INDEX(Products!$H$5:$H$204,K1169)))</f>
        <v/>
      </c>
      <c r="P1169" s="11">
        <f>IF(A1169="","",J1169-M1169-N1169-O1169)</f>
        <v/>
      </c>
    </row>
    <row r="1170">
      <c r="A1170">
        <f>IFERROR(INDEX('Etsy Import'!$A:$CZ,1170,Settings!$C$20)&amp;"","")</f>
        <v/>
      </c>
      <c r="B1170">
        <f>IFERROR(INDEX('Etsy Import'!$A:$CZ,1170,Settings!$C$21)&amp;"","")</f>
        <v/>
      </c>
      <c r="C1170">
        <f>IFERROR(INDEX('Etsy Import'!$A:$CZ,1170,Settings!$C$22)&amp;"","")</f>
        <v/>
      </c>
      <c r="D1170">
        <f>IF(A1170="","",IFERROR(VALUE(SUBSTITUTE(SUBSTITUTE(INDEX('Etsy Import'!$A:$CZ,1170,Settings!$C$23)&amp;"","$",""),",","")),0))</f>
        <v/>
      </c>
      <c r="E1170" s="11">
        <f>IF(A1170="","",IFERROR(VALUE(SUBSTITUTE(SUBSTITUTE(INDEX('Etsy Import'!$A:$CZ,1170,Settings!$C$24)&amp;"","$",""),",","")),0))</f>
        <v/>
      </c>
      <c r="F1170" s="11">
        <f>IF(A1170="","",D1170*E1170)</f>
        <v/>
      </c>
      <c r="G1170">
        <f>IF(A1170="","",IF(C1170="",1,COUNTIF($C$2:$C$1501,C1170)))</f>
        <v/>
      </c>
      <c r="H1170" s="11">
        <f>IF(A1170="","",IFERROR(VALUE(SUBSTITUTE(SUBSTITUTE(INDEX('Etsy Import'!$A:$CZ,1170,Settings!$C$25)&amp;"","$",""),",","")),0)/IF(Settings!$B$27="Yes",G1170,1))</f>
        <v/>
      </c>
      <c r="I1170" s="11">
        <f>IF(A1170="","",IFERROR(VALUE(SUBSTITUTE(SUBSTITUTE(INDEX('Etsy Import'!$A:$CZ,1170,Settings!$C$26)&amp;"","$",""),",","")),0)/IF(Settings!$B$27="Yes",G1170,1))</f>
        <v/>
      </c>
      <c r="J1170" s="11">
        <f>IF(A1170="","",F1170+H1170-I1170)</f>
        <v/>
      </c>
      <c r="K1170">
        <f>IF(A1170="","",IFERROR(IF(B1170="",NA(),MATCH(B1170,Products!$B$5:$B$204,0)),IFERROR(MATCH(A1170,Products!$A$5:$A$204,0),"")))</f>
        <v/>
      </c>
      <c r="L1170">
        <f>IF(A1170="","",IF(K1170="","⚠ not in Products",INDEX(Products!$A$5:$A$204,K1170)))</f>
        <v/>
      </c>
      <c r="M1170" s="11">
        <f>IF(A1170="","",J1170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1170+IFERROR(INDEX(Settings!$D$5:$D$9,MATCH("Etsy",Settings!$A$5:$A$9,0)),0)*D1170)</f>
        <v/>
      </c>
      <c r="N1170" s="11">
        <f>IF(A1170="","",IF(K1170="",0,D1170*INDEX(Products!$I$5:$I$204,K1170)))</f>
        <v/>
      </c>
      <c r="O1170" s="11">
        <f>IF(A1170="","",IF(K1170="",0,J1170*INDEX(Products!$H$5:$H$204,K1170)))</f>
        <v/>
      </c>
      <c r="P1170" s="11">
        <f>IF(A1170="","",J1170-M1170-N1170-O1170)</f>
        <v/>
      </c>
    </row>
    <row r="1171">
      <c r="A1171">
        <f>IFERROR(INDEX('Etsy Import'!$A:$CZ,1171,Settings!$C$20)&amp;"","")</f>
        <v/>
      </c>
      <c r="B1171">
        <f>IFERROR(INDEX('Etsy Import'!$A:$CZ,1171,Settings!$C$21)&amp;"","")</f>
        <v/>
      </c>
      <c r="C1171">
        <f>IFERROR(INDEX('Etsy Import'!$A:$CZ,1171,Settings!$C$22)&amp;"","")</f>
        <v/>
      </c>
      <c r="D1171">
        <f>IF(A1171="","",IFERROR(VALUE(SUBSTITUTE(SUBSTITUTE(INDEX('Etsy Import'!$A:$CZ,1171,Settings!$C$23)&amp;"","$",""),",","")),0))</f>
        <v/>
      </c>
      <c r="E1171" s="11">
        <f>IF(A1171="","",IFERROR(VALUE(SUBSTITUTE(SUBSTITUTE(INDEX('Etsy Import'!$A:$CZ,1171,Settings!$C$24)&amp;"","$",""),",","")),0))</f>
        <v/>
      </c>
      <c r="F1171" s="11">
        <f>IF(A1171="","",D1171*E1171)</f>
        <v/>
      </c>
      <c r="G1171">
        <f>IF(A1171="","",IF(C1171="",1,COUNTIF($C$2:$C$1501,C1171)))</f>
        <v/>
      </c>
      <c r="H1171" s="11">
        <f>IF(A1171="","",IFERROR(VALUE(SUBSTITUTE(SUBSTITUTE(INDEX('Etsy Import'!$A:$CZ,1171,Settings!$C$25)&amp;"","$",""),",","")),0)/IF(Settings!$B$27="Yes",G1171,1))</f>
        <v/>
      </c>
      <c r="I1171" s="11">
        <f>IF(A1171="","",IFERROR(VALUE(SUBSTITUTE(SUBSTITUTE(INDEX('Etsy Import'!$A:$CZ,1171,Settings!$C$26)&amp;"","$",""),",","")),0)/IF(Settings!$B$27="Yes",G1171,1))</f>
        <v/>
      </c>
      <c r="J1171" s="11">
        <f>IF(A1171="","",F1171+H1171-I1171)</f>
        <v/>
      </c>
      <c r="K1171">
        <f>IF(A1171="","",IFERROR(IF(B1171="",NA(),MATCH(B1171,Products!$B$5:$B$204,0)),IFERROR(MATCH(A1171,Products!$A$5:$A$204,0),"")))</f>
        <v/>
      </c>
      <c r="L1171">
        <f>IF(A1171="","",IF(K1171="","⚠ not in Products",INDEX(Products!$A$5:$A$204,K1171)))</f>
        <v/>
      </c>
      <c r="M1171" s="11">
        <f>IF(A1171="","",J1171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1171+IFERROR(INDEX(Settings!$D$5:$D$9,MATCH("Etsy",Settings!$A$5:$A$9,0)),0)*D1171)</f>
        <v/>
      </c>
      <c r="N1171" s="11">
        <f>IF(A1171="","",IF(K1171="",0,D1171*INDEX(Products!$I$5:$I$204,K1171)))</f>
        <v/>
      </c>
      <c r="O1171" s="11">
        <f>IF(A1171="","",IF(K1171="",0,J1171*INDEX(Products!$H$5:$H$204,K1171)))</f>
        <v/>
      </c>
      <c r="P1171" s="11">
        <f>IF(A1171="","",J1171-M1171-N1171-O1171)</f>
        <v/>
      </c>
    </row>
    <row r="1172">
      <c r="A1172">
        <f>IFERROR(INDEX('Etsy Import'!$A:$CZ,1172,Settings!$C$20)&amp;"","")</f>
        <v/>
      </c>
      <c r="B1172">
        <f>IFERROR(INDEX('Etsy Import'!$A:$CZ,1172,Settings!$C$21)&amp;"","")</f>
        <v/>
      </c>
      <c r="C1172">
        <f>IFERROR(INDEX('Etsy Import'!$A:$CZ,1172,Settings!$C$22)&amp;"","")</f>
        <v/>
      </c>
      <c r="D1172">
        <f>IF(A1172="","",IFERROR(VALUE(SUBSTITUTE(SUBSTITUTE(INDEX('Etsy Import'!$A:$CZ,1172,Settings!$C$23)&amp;"","$",""),",","")),0))</f>
        <v/>
      </c>
      <c r="E1172" s="11">
        <f>IF(A1172="","",IFERROR(VALUE(SUBSTITUTE(SUBSTITUTE(INDEX('Etsy Import'!$A:$CZ,1172,Settings!$C$24)&amp;"","$",""),",","")),0))</f>
        <v/>
      </c>
      <c r="F1172" s="11">
        <f>IF(A1172="","",D1172*E1172)</f>
        <v/>
      </c>
      <c r="G1172">
        <f>IF(A1172="","",IF(C1172="",1,COUNTIF($C$2:$C$1501,C1172)))</f>
        <v/>
      </c>
      <c r="H1172" s="11">
        <f>IF(A1172="","",IFERROR(VALUE(SUBSTITUTE(SUBSTITUTE(INDEX('Etsy Import'!$A:$CZ,1172,Settings!$C$25)&amp;"","$",""),",","")),0)/IF(Settings!$B$27="Yes",G1172,1))</f>
        <v/>
      </c>
      <c r="I1172" s="11">
        <f>IF(A1172="","",IFERROR(VALUE(SUBSTITUTE(SUBSTITUTE(INDEX('Etsy Import'!$A:$CZ,1172,Settings!$C$26)&amp;"","$",""),",","")),0)/IF(Settings!$B$27="Yes",G1172,1))</f>
        <v/>
      </c>
      <c r="J1172" s="11">
        <f>IF(A1172="","",F1172+H1172-I1172)</f>
        <v/>
      </c>
      <c r="K1172">
        <f>IF(A1172="","",IFERROR(IF(B1172="",NA(),MATCH(B1172,Products!$B$5:$B$204,0)),IFERROR(MATCH(A1172,Products!$A$5:$A$204,0),"")))</f>
        <v/>
      </c>
      <c r="L1172">
        <f>IF(A1172="","",IF(K1172="","⚠ not in Products",INDEX(Products!$A$5:$A$204,K1172)))</f>
        <v/>
      </c>
      <c r="M1172" s="11">
        <f>IF(A1172="","",J1172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1172+IFERROR(INDEX(Settings!$D$5:$D$9,MATCH("Etsy",Settings!$A$5:$A$9,0)),0)*D1172)</f>
        <v/>
      </c>
      <c r="N1172" s="11">
        <f>IF(A1172="","",IF(K1172="",0,D1172*INDEX(Products!$I$5:$I$204,K1172)))</f>
        <v/>
      </c>
      <c r="O1172" s="11">
        <f>IF(A1172="","",IF(K1172="",0,J1172*INDEX(Products!$H$5:$H$204,K1172)))</f>
        <v/>
      </c>
      <c r="P1172" s="11">
        <f>IF(A1172="","",J1172-M1172-N1172-O1172)</f>
        <v/>
      </c>
    </row>
    <row r="1173">
      <c r="A1173">
        <f>IFERROR(INDEX('Etsy Import'!$A:$CZ,1173,Settings!$C$20)&amp;"","")</f>
        <v/>
      </c>
      <c r="B1173">
        <f>IFERROR(INDEX('Etsy Import'!$A:$CZ,1173,Settings!$C$21)&amp;"","")</f>
        <v/>
      </c>
      <c r="C1173">
        <f>IFERROR(INDEX('Etsy Import'!$A:$CZ,1173,Settings!$C$22)&amp;"","")</f>
        <v/>
      </c>
      <c r="D1173">
        <f>IF(A1173="","",IFERROR(VALUE(SUBSTITUTE(SUBSTITUTE(INDEX('Etsy Import'!$A:$CZ,1173,Settings!$C$23)&amp;"","$",""),",","")),0))</f>
        <v/>
      </c>
      <c r="E1173" s="11">
        <f>IF(A1173="","",IFERROR(VALUE(SUBSTITUTE(SUBSTITUTE(INDEX('Etsy Import'!$A:$CZ,1173,Settings!$C$24)&amp;"","$",""),",","")),0))</f>
        <v/>
      </c>
      <c r="F1173" s="11">
        <f>IF(A1173="","",D1173*E1173)</f>
        <v/>
      </c>
      <c r="G1173">
        <f>IF(A1173="","",IF(C1173="",1,COUNTIF($C$2:$C$1501,C1173)))</f>
        <v/>
      </c>
      <c r="H1173" s="11">
        <f>IF(A1173="","",IFERROR(VALUE(SUBSTITUTE(SUBSTITUTE(INDEX('Etsy Import'!$A:$CZ,1173,Settings!$C$25)&amp;"","$",""),",","")),0)/IF(Settings!$B$27="Yes",G1173,1))</f>
        <v/>
      </c>
      <c r="I1173" s="11">
        <f>IF(A1173="","",IFERROR(VALUE(SUBSTITUTE(SUBSTITUTE(INDEX('Etsy Import'!$A:$CZ,1173,Settings!$C$26)&amp;"","$",""),",","")),0)/IF(Settings!$B$27="Yes",G1173,1))</f>
        <v/>
      </c>
      <c r="J1173" s="11">
        <f>IF(A1173="","",F1173+H1173-I1173)</f>
        <v/>
      </c>
      <c r="K1173">
        <f>IF(A1173="","",IFERROR(IF(B1173="",NA(),MATCH(B1173,Products!$B$5:$B$204,0)),IFERROR(MATCH(A1173,Products!$A$5:$A$204,0),"")))</f>
        <v/>
      </c>
      <c r="L1173">
        <f>IF(A1173="","",IF(K1173="","⚠ not in Products",INDEX(Products!$A$5:$A$204,K1173)))</f>
        <v/>
      </c>
      <c r="M1173" s="11">
        <f>IF(A1173="","",J1173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1173+IFERROR(INDEX(Settings!$D$5:$D$9,MATCH("Etsy",Settings!$A$5:$A$9,0)),0)*D1173)</f>
        <v/>
      </c>
      <c r="N1173" s="11">
        <f>IF(A1173="","",IF(K1173="",0,D1173*INDEX(Products!$I$5:$I$204,K1173)))</f>
        <v/>
      </c>
      <c r="O1173" s="11">
        <f>IF(A1173="","",IF(K1173="",0,J1173*INDEX(Products!$H$5:$H$204,K1173)))</f>
        <v/>
      </c>
      <c r="P1173" s="11">
        <f>IF(A1173="","",J1173-M1173-N1173-O1173)</f>
        <v/>
      </c>
    </row>
    <row r="1174">
      <c r="A1174">
        <f>IFERROR(INDEX('Etsy Import'!$A:$CZ,1174,Settings!$C$20)&amp;"","")</f>
        <v/>
      </c>
      <c r="B1174">
        <f>IFERROR(INDEX('Etsy Import'!$A:$CZ,1174,Settings!$C$21)&amp;"","")</f>
        <v/>
      </c>
      <c r="C1174">
        <f>IFERROR(INDEX('Etsy Import'!$A:$CZ,1174,Settings!$C$22)&amp;"","")</f>
        <v/>
      </c>
      <c r="D1174">
        <f>IF(A1174="","",IFERROR(VALUE(SUBSTITUTE(SUBSTITUTE(INDEX('Etsy Import'!$A:$CZ,1174,Settings!$C$23)&amp;"","$",""),",","")),0))</f>
        <v/>
      </c>
      <c r="E1174" s="11">
        <f>IF(A1174="","",IFERROR(VALUE(SUBSTITUTE(SUBSTITUTE(INDEX('Etsy Import'!$A:$CZ,1174,Settings!$C$24)&amp;"","$",""),",","")),0))</f>
        <v/>
      </c>
      <c r="F1174" s="11">
        <f>IF(A1174="","",D1174*E1174)</f>
        <v/>
      </c>
      <c r="G1174">
        <f>IF(A1174="","",IF(C1174="",1,COUNTIF($C$2:$C$1501,C1174)))</f>
        <v/>
      </c>
      <c r="H1174" s="11">
        <f>IF(A1174="","",IFERROR(VALUE(SUBSTITUTE(SUBSTITUTE(INDEX('Etsy Import'!$A:$CZ,1174,Settings!$C$25)&amp;"","$",""),",","")),0)/IF(Settings!$B$27="Yes",G1174,1))</f>
        <v/>
      </c>
      <c r="I1174" s="11">
        <f>IF(A1174="","",IFERROR(VALUE(SUBSTITUTE(SUBSTITUTE(INDEX('Etsy Import'!$A:$CZ,1174,Settings!$C$26)&amp;"","$",""),",","")),0)/IF(Settings!$B$27="Yes",G1174,1))</f>
        <v/>
      </c>
      <c r="J1174" s="11">
        <f>IF(A1174="","",F1174+H1174-I1174)</f>
        <v/>
      </c>
      <c r="K1174">
        <f>IF(A1174="","",IFERROR(IF(B1174="",NA(),MATCH(B1174,Products!$B$5:$B$204,0)),IFERROR(MATCH(A1174,Products!$A$5:$A$204,0),"")))</f>
        <v/>
      </c>
      <c r="L1174">
        <f>IF(A1174="","",IF(K1174="","⚠ not in Products",INDEX(Products!$A$5:$A$204,K1174)))</f>
        <v/>
      </c>
      <c r="M1174" s="11">
        <f>IF(A1174="","",J1174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1174+IFERROR(INDEX(Settings!$D$5:$D$9,MATCH("Etsy",Settings!$A$5:$A$9,0)),0)*D1174)</f>
        <v/>
      </c>
      <c r="N1174" s="11">
        <f>IF(A1174="","",IF(K1174="",0,D1174*INDEX(Products!$I$5:$I$204,K1174)))</f>
        <v/>
      </c>
      <c r="O1174" s="11">
        <f>IF(A1174="","",IF(K1174="",0,J1174*INDEX(Products!$H$5:$H$204,K1174)))</f>
        <v/>
      </c>
      <c r="P1174" s="11">
        <f>IF(A1174="","",J1174-M1174-N1174-O1174)</f>
        <v/>
      </c>
    </row>
    <row r="1175">
      <c r="A1175">
        <f>IFERROR(INDEX('Etsy Import'!$A:$CZ,1175,Settings!$C$20)&amp;"","")</f>
        <v/>
      </c>
      <c r="B1175">
        <f>IFERROR(INDEX('Etsy Import'!$A:$CZ,1175,Settings!$C$21)&amp;"","")</f>
        <v/>
      </c>
      <c r="C1175">
        <f>IFERROR(INDEX('Etsy Import'!$A:$CZ,1175,Settings!$C$22)&amp;"","")</f>
        <v/>
      </c>
      <c r="D1175">
        <f>IF(A1175="","",IFERROR(VALUE(SUBSTITUTE(SUBSTITUTE(INDEX('Etsy Import'!$A:$CZ,1175,Settings!$C$23)&amp;"","$",""),",","")),0))</f>
        <v/>
      </c>
      <c r="E1175" s="11">
        <f>IF(A1175="","",IFERROR(VALUE(SUBSTITUTE(SUBSTITUTE(INDEX('Etsy Import'!$A:$CZ,1175,Settings!$C$24)&amp;"","$",""),",","")),0))</f>
        <v/>
      </c>
      <c r="F1175" s="11">
        <f>IF(A1175="","",D1175*E1175)</f>
        <v/>
      </c>
      <c r="G1175">
        <f>IF(A1175="","",IF(C1175="",1,COUNTIF($C$2:$C$1501,C1175)))</f>
        <v/>
      </c>
      <c r="H1175" s="11">
        <f>IF(A1175="","",IFERROR(VALUE(SUBSTITUTE(SUBSTITUTE(INDEX('Etsy Import'!$A:$CZ,1175,Settings!$C$25)&amp;"","$",""),",","")),0)/IF(Settings!$B$27="Yes",G1175,1))</f>
        <v/>
      </c>
      <c r="I1175" s="11">
        <f>IF(A1175="","",IFERROR(VALUE(SUBSTITUTE(SUBSTITUTE(INDEX('Etsy Import'!$A:$CZ,1175,Settings!$C$26)&amp;"","$",""),",","")),0)/IF(Settings!$B$27="Yes",G1175,1))</f>
        <v/>
      </c>
      <c r="J1175" s="11">
        <f>IF(A1175="","",F1175+H1175-I1175)</f>
        <v/>
      </c>
      <c r="K1175">
        <f>IF(A1175="","",IFERROR(IF(B1175="",NA(),MATCH(B1175,Products!$B$5:$B$204,0)),IFERROR(MATCH(A1175,Products!$A$5:$A$204,0),"")))</f>
        <v/>
      </c>
      <c r="L1175">
        <f>IF(A1175="","",IF(K1175="","⚠ not in Products",INDEX(Products!$A$5:$A$204,K1175)))</f>
        <v/>
      </c>
      <c r="M1175" s="11">
        <f>IF(A1175="","",J1175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1175+IFERROR(INDEX(Settings!$D$5:$D$9,MATCH("Etsy",Settings!$A$5:$A$9,0)),0)*D1175)</f>
        <v/>
      </c>
      <c r="N1175" s="11">
        <f>IF(A1175="","",IF(K1175="",0,D1175*INDEX(Products!$I$5:$I$204,K1175)))</f>
        <v/>
      </c>
      <c r="O1175" s="11">
        <f>IF(A1175="","",IF(K1175="",0,J1175*INDEX(Products!$H$5:$H$204,K1175)))</f>
        <v/>
      </c>
      <c r="P1175" s="11">
        <f>IF(A1175="","",J1175-M1175-N1175-O1175)</f>
        <v/>
      </c>
    </row>
    <row r="1176">
      <c r="A1176">
        <f>IFERROR(INDEX('Etsy Import'!$A:$CZ,1176,Settings!$C$20)&amp;"","")</f>
        <v/>
      </c>
      <c r="B1176">
        <f>IFERROR(INDEX('Etsy Import'!$A:$CZ,1176,Settings!$C$21)&amp;"","")</f>
        <v/>
      </c>
      <c r="C1176">
        <f>IFERROR(INDEX('Etsy Import'!$A:$CZ,1176,Settings!$C$22)&amp;"","")</f>
        <v/>
      </c>
      <c r="D1176">
        <f>IF(A1176="","",IFERROR(VALUE(SUBSTITUTE(SUBSTITUTE(INDEX('Etsy Import'!$A:$CZ,1176,Settings!$C$23)&amp;"","$",""),",","")),0))</f>
        <v/>
      </c>
      <c r="E1176" s="11">
        <f>IF(A1176="","",IFERROR(VALUE(SUBSTITUTE(SUBSTITUTE(INDEX('Etsy Import'!$A:$CZ,1176,Settings!$C$24)&amp;"","$",""),",","")),0))</f>
        <v/>
      </c>
      <c r="F1176" s="11">
        <f>IF(A1176="","",D1176*E1176)</f>
        <v/>
      </c>
      <c r="G1176">
        <f>IF(A1176="","",IF(C1176="",1,COUNTIF($C$2:$C$1501,C1176)))</f>
        <v/>
      </c>
      <c r="H1176" s="11">
        <f>IF(A1176="","",IFERROR(VALUE(SUBSTITUTE(SUBSTITUTE(INDEX('Etsy Import'!$A:$CZ,1176,Settings!$C$25)&amp;"","$",""),",","")),0)/IF(Settings!$B$27="Yes",G1176,1))</f>
        <v/>
      </c>
      <c r="I1176" s="11">
        <f>IF(A1176="","",IFERROR(VALUE(SUBSTITUTE(SUBSTITUTE(INDEX('Etsy Import'!$A:$CZ,1176,Settings!$C$26)&amp;"","$",""),",","")),0)/IF(Settings!$B$27="Yes",G1176,1))</f>
        <v/>
      </c>
      <c r="J1176" s="11">
        <f>IF(A1176="","",F1176+H1176-I1176)</f>
        <v/>
      </c>
      <c r="K1176">
        <f>IF(A1176="","",IFERROR(IF(B1176="",NA(),MATCH(B1176,Products!$B$5:$B$204,0)),IFERROR(MATCH(A1176,Products!$A$5:$A$204,0),"")))</f>
        <v/>
      </c>
      <c r="L1176">
        <f>IF(A1176="","",IF(K1176="","⚠ not in Products",INDEX(Products!$A$5:$A$204,K1176)))</f>
        <v/>
      </c>
      <c r="M1176" s="11">
        <f>IF(A1176="","",J1176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1176+IFERROR(INDEX(Settings!$D$5:$D$9,MATCH("Etsy",Settings!$A$5:$A$9,0)),0)*D1176)</f>
        <v/>
      </c>
      <c r="N1176" s="11">
        <f>IF(A1176="","",IF(K1176="",0,D1176*INDEX(Products!$I$5:$I$204,K1176)))</f>
        <v/>
      </c>
      <c r="O1176" s="11">
        <f>IF(A1176="","",IF(K1176="",0,J1176*INDEX(Products!$H$5:$H$204,K1176)))</f>
        <v/>
      </c>
      <c r="P1176" s="11">
        <f>IF(A1176="","",J1176-M1176-N1176-O1176)</f>
        <v/>
      </c>
    </row>
    <row r="1177">
      <c r="A1177">
        <f>IFERROR(INDEX('Etsy Import'!$A:$CZ,1177,Settings!$C$20)&amp;"","")</f>
        <v/>
      </c>
      <c r="B1177">
        <f>IFERROR(INDEX('Etsy Import'!$A:$CZ,1177,Settings!$C$21)&amp;"","")</f>
        <v/>
      </c>
      <c r="C1177">
        <f>IFERROR(INDEX('Etsy Import'!$A:$CZ,1177,Settings!$C$22)&amp;"","")</f>
        <v/>
      </c>
      <c r="D1177">
        <f>IF(A1177="","",IFERROR(VALUE(SUBSTITUTE(SUBSTITUTE(INDEX('Etsy Import'!$A:$CZ,1177,Settings!$C$23)&amp;"","$",""),",","")),0))</f>
        <v/>
      </c>
      <c r="E1177" s="11">
        <f>IF(A1177="","",IFERROR(VALUE(SUBSTITUTE(SUBSTITUTE(INDEX('Etsy Import'!$A:$CZ,1177,Settings!$C$24)&amp;"","$",""),",","")),0))</f>
        <v/>
      </c>
      <c r="F1177" s="11">
        <f>IF(A1177="","",D1177*E1177)</f>
        <v/>
      </c>
      <c r="G1177">
        <f>IF(A1177="","",IF(C1177="",1,COUNTIF($C$2:$C$1501,C1177)))</f>
        <v/>
      </c>
      <c r="H1177" s="11">
        <f>IF(A1177="","",IFERROR(VALUE(SUBSTITUTE(SUBSTITUTE(INDEX('Etsy Import'!$A:$CZ,1177,Settings!$C$25)&amp;"","$",""),",","")),0)/IF(Settings!$B$27="Yes",G1177,1))</f>
        <v/>
      </c>
      <c r="I1177" s="11">
        <f>IF(A1177="","",IFERROR(VALUE(SUBSTITUTE(SUBSTITUTE(INDEX('Etsy Import'!$A:$CZ,1177,Settings!$C$26)&amp;"","$",""),",","")),0)/IF(Settings!$B$27="Yes",G1177,1))</f>
        <v/>
      </c>
      <c r="J1177" s="11">
        <f>IF(A1177="","",F1177+H1177-I1177)</f>
        <v/>
      </c>
      <c r="K1177">
        <f>IF(A1177="","",IFERROR(IF(B1177="",NA(),MATCH(B1177,Products!$B$5:$B$204,0)),IFERROR(MATCH(A1177,Products!$A$5:$A$204,0),"")))</f>
        <v/>
      </c>
      <c r="L1177">
        <f>IF(A1177="","",IF(K1177="","⚠ not in Products",INDEX(Products!$A$5:$A$204,K1177)))</f>
        <v/>
      </c>
      <c r="M1177" s="11">
        <f>IF(A1177="","",J1177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1177+IFERROR(INDEX(Settings!$D$5:$D$9,MATCH("Etsy",Settings!$A$5:$A$9,0)),0)*D1177)</f>
        <v/>
      </c>
      <c r="N1177" s="11">
        <f>IF(A1177="","",IF(K1177="",0,D1177*INDEX(Products!$I$5:$I$204,K1177)))</f>
        <v/>
      </c>
      <c r="O1177" s="11">
        <f>IF(A1177="","",IF(K1177="",0,J1177*INDEX(Products!$H$5:$H$204,K1177)))</f>
        <v/>
      </c>
      <c r="P1177" s="11">
        <f>IF(A1177="","",J1177-M1177-N1177-O1177)</f>
        <v/>
      </c>
    </row>
    <row r="1178">
      <c r="A1178">
        <f>IFERROR(INDEX('Etsy Import'!$A:$CZ,1178,Settings!$C$20)&amp;"","")</f>
        <v/>
      </c>
      <c r="B1178">
        <f>IFERROR(INDEX('Etsy Import'!$A:$CZ,1178,Settings!$C$21)&amp;"","")</f>
        <v/>
      </c>
      <c r="C1178">
        <f>IFERROR(INDEX('Etsy Import'!$A:$CZ,1178,Settings!$C$22)&amp;"","")</f>
        <v/>
      </c>
      <c r="D1178">
        <f>IF(A1178="","",IFERROR(VALUE(SUBSTITUTE(SUBSTITUTE(INDEX('Etsy Import'!$A:$CZ,1178,Settings!$C$23)&amp;"","$",""),",","")),0))</f>
        <v/>
      </c>
      <c r="E1178" s="11">
        <f>IF(A1178="","",IFERROR(VALUE(SUBSTITUTE(SUBSTITUTE(INDEX('Etsy Import'!$A:$CZ,1178,Settings!$C$24)&amp;"","$",""),",","")),0))</f>
        <v/>
      </c>
      <c r="F1178" s="11">
        <f>IF(A1178="","",D1178*E1178)</f>
        <v/>
      </c>
      <c r="G1178">
        <f>IF(A1178="","",IF(C1178="",1,COUNTIF($C$2:$C$1501,C1178)))</f>
        <v/>
      </c>
      <c r="H1178" s="11">
        <f>IF(A1178="","",IFERROR(VALUE(SUBSTITUTE(SUBSTITUTE(INDEX('Etsy Import'!$A:$CZ,1178,Settings!$C$25)&amp;"","$",""),",","")),0)/IF(Settings!$B$27="Yes",G1178,1))</f>
        <v/>
      </c>
      <c r="I1178" s="11">
        <f>IF(A1178="","",IFERROR(VALUE(SUBSTITUTE(SUBSTITUTE(INDEX('Etsy Import'!$A:$CZ,1178,Settings!$C$26)&amp;"","$",""),",","")),0)/IF(Settings!$B$27="Yes",G1178,1))</f>
        <v/>
      </c>
      <c r="J1178" s="11">
        <f>IF(A1178="","",F1178+H1178-I1178)</f>
        <v/>
      </c>
      <c r="K1178">
        <f>IF(A1178="","",IFERROR(IF(B1178="",NA(),MATCH(B1178,Products!$B$5:$B$204,0)),IFERROR(MATCH(A1178,Products!$A$5:$A$204,0),"")))</f>
        <v/>
      </c>
      <c r="L1178">
        <f>IF(A1178="","",IF(K1178="","⚠ not in Products",INDEX(Products!$A$5:$A$204,K1178)))</f>
        <v/>
      </c>
      <c r="M1178" s="11">
        <f>IF(A1178="","",J1178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1178+IFERROR(INDEX(Settings!$D$5:$D$9,MATCH("Etsy",Settings!$A$5:$A$9,0)),0)*D1178)</f>
        <v/>
      </c>
      <c r="N1178" s="11">
        <f>IF(A1178="","",IF(K1178="",0,D1178*INDEX(Products!$I$5:$I$204,K1178)))</f>
        <v/>
      </c>
      <c r="O1178" s="11">
        <f>IF(A1178="","",IF(K1178="",0,J1178*INDEX(Products!$H$5:$H$204,K1178)))</f>
        <v/>
      </c>
      <c r="P1178" s="11">
        <f>IF(A1178="","",J1178-M1178-N1178-O1178)</f>
        <v/>
      </c>
    </row>
    <row r="1179">
      <c r="A1179">
        <f>IFERROR(INDEX('Etsy Import'!$A:$CZ,1179,Settings!$C$20)&amp;"","")</f>
        <v/>
      </c>
      <c r="B1179">
        <f>IFERROR(INDEX('Etsy Import'!$A:$CZ,1179,Settings!$C$21)&amp;"","")</f>
        <v/>
      </c>
      <c r="C1179">
        <f>IFERROR(INDEX('Etsy Import'!$A:$CZ,1179,Settings!$C$22)&amp;"","")</f>
        <v/>
      </c>
      <c r="D1179">
        <f>IF(A1179="","",IFERROR(VALUE(SUBSTITUTE(SUBSTITUTE(INDEX('Etsy Import'!$A:$CZ,1179,Settings!$C$23)&amp;"","$",""),",","")),0))</f>
        <v/>
      </c>
      <c r="E1179" s="11">
        <f>IF(A1179="","",IFERROR(VALUE(SUBSTITUTE(SUBSTITUTE(INDEX('Etsy Import'!$A:$CZ,1179,Settings!$C$24)&amp;"","$",""),",","")),0))</f>
        <v/>
      </c>
      <c r="F1179" s="11">
        <f>IF(A1179="","",D1179*E1179)</f>
        <v/>
      </c>
      <c r="G1179">
        <f>IF(A1179="","",IF(C1179="",1,COUNTIF($C$2:$C$1501,C1179)))</f>
        <v/>
      </c>
      <c r="H1179" s="11">
        <f>IF(A1179="","",IFERROR(VALUE(SUBSTITUTE(SUBSTITUTE(INDEX('Etsy Import'!$A:$CZ,1179,Settings!$C$25)&amp;"","$",""),",","")),0)/IF(Settings!$B$27="Yes",G1179,1))</f>
        <v/>
      </c>
      <c r="I1179" s="11">
        <f>IF(A1179="","",IFERROR(VALUE(SUBSTITUTE(SUBSTITUTE(INDEX('Etsy Import'!$A:$CZ,1179,Settings!$C$26)&amp;"","$",""),",","")),0)/IF(Settings!$B$27="Yes",G1179,1))</f>
        <v/>
      </c>
      <c r="J1179" s="11">
        <f>IF(A1179="","",F1179+H1179-I1179)</f>
        <v/>
      </c>
      <c r="K1179">
        <f>IF(A1179="","",IFERROR(IF(B1179="",NA(),MATCH(B1179,Products!$B$5:$B$204,0)),IFERROR(MATCH(A1179,Products!$A$5:$A$204,0),"")))</f>
        <v/>
      </c>
      <c r="L1179">
        <f>IF(A1179="","",IF(K1179="","⚠ not in Products",INDEX(Products!$A$5:$A$204,K1179)))</f>
        <v/>
      </c>
      <c r="M1179" s="11">
        <f>IF(A1179="","",J1179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1179+IFERROR(INDEX(Settings!$D$5:$D$9,MATCH("Etsy",Settings!$A$5:$A$9,0)),0)*D1179)</f>
        <v/>
      </c>
      <c r="N1179" s="11">
        <f>IF(A1179="","",IF(K1179="",0,D1179*INDEX(Products!$I$5:$I$204,K1179)))</f>
        <v/>
      </c>
      <c r="O1179" s="11">
        <f>IF(A1179="","",IF(K1179="",0,J1179*INDEX(Products!$H$5:$H$204,K1179)))</f>
        <v/>
      </c>
      <c r="P1179" s="11">
        <f>IF(A1179="","",J1179-M1179-N1179-O1179)</f>
        <v/>
      </c>
    </row>
    <row r="1180">
      <c r="A1180">
        <f>IFERROR(INDEX('Etsy Import'!$A:$CZ,1180,Settings!$C$20)&amp;"","")</f>
        <v/>
      </c>
      <c r="B1180">
        <f>IFERROR(INDEX('Etsy Import'!$A:$CZ,1180,Settings!$C$21)&amp;"","")</f>
        <v/>
      </c>
      <c r="C1180">
        <f>IFERROR(INDEX('Etsy Import'!$A:$CZ,1180,Settings!$C$22)&amp;"","")</f>
        <v/>
      </c>
      <c r="D1180">
        <f>IF(A1180="","",IFERROR(VALUE(SUBSTITUTE(SUBSTITUTE(INDEX('Etsy Import'!$A:$CZ,1180,Settings!$C$23)&amp;"","$",""),",","")),0))</f>
        <v/>
      </c>
      <c r="E1180" s="11">
        <f>IF(A1180="","",IFERROR(VALUE(SUBSTITUTE(SUBSTITUTE(INDEX('Etsy Import'!$A:$CZ,1180,Settings!$C$24)&amp;"","$",""),",","")),0))</f>
        <v/>
      </c>
      <c r="F1180" s="11">
        <f>IF(A1180="","",D1180*E1180)</f>
        <v/>
      </c>
      <c r="G1180">
        <f>IF(A1180="","",IF(C1180="",1,COUNTIF($C$2:$C$1501,C1180)))</f>
        <v/>
      </c>
      <c r="H1180" s="11">
        <f>IF(A1180="","",IFERROR(VALUE(SUBSTITUTE(SUBSTITUTE(INDEX('Etsy Import'!$A:$CZ,1180,Settings!$C$25)&amp;"","$",""),",","")),0)/IF(Settings!$B$27="Yes",G1180,1))</f>
        <v/>
      </c>
      <c r="I1180" s="11">
        <f>IF(A1180="","",IFERROR(VALUE(SUBSTITUTE(SUBSTITUTE(INDEX('Etsy Import'!$A:$CZ,1180,Settings!$C$26)&amp;"","$",""),",","")),0)/IF(Settings!$B$27="Yes",G1180,1))</f>
        <v/>
      </c>
      <c r="J1180" s="11">
        <f>IF(A1180="","",F1180+H1180-I1180)</f>
        <v/>
      </c>
      <c r="K1180">
        <f>IF(A1180="","",IFERROR(IF(B1180="",NA(),MATCH(B1180,Products!$B$5:$B$204,0)),IFERROR(MATCH(A1180,Products!$A$5:$A$204,0),"")))</f>
        <v/>
      </c>
      <c r="L1180">
        <f>IF(A1180="","",IF(K1180="","⚠ not in Products",INDEX(Products!$A$5:$A$204,K1180)))</f>
        <v/>
      </c>
      <c r="M1180" s="11">
        <f>IF(A1180="","",J1180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1180+IFERROR(INDEX(Settings!$D$5:$D$9,MATCH("Etsy",Settings!$A$5:$A$9,0)),0)*D1180)</f>
        <v/>
      </c>
      <c r="N1180" s="11">
        <f>IF(A1180="","",IF(K1180="",0,D1180*INDEX(Products!$I$5:$I$204,K1180)))</f>
        <v/>
      </c>
      <c r="O1180" s="11">
        <f>IF(A1180="","",IF(K1180="",0,J1180*INDEX(Products!$H$5:$H$204,K1180)))</f>
        <v/>
      </c>
      <c r="P1180" s="11">
        <f>IF(A1180="","",J1180-M1180-N1180-O1180)</f>
        <v/>
      </c>
    </row>
    <row r="1181">
      <c r="A1181">
        <f>IFERROR(INDEX('Etsy Import'!$A:$CZ,1181,Settings!$C$20)&amp;"","")</f>
        <v/>
      </c>
      <c r="B1181">
        <f>IFERROR(INDEX('Etsy Import'!$A:$CZ,1181,Settings!$C$21)&amp;"","")</f>
        <v/>
      </c>
      <c r="C1181">
        <f>IFERROR(INDEX('Etsy Import'!$A:$CZ,1181,Settings!$C$22)&amp;"","")</f>
        <v/>
      </c>
      <c r="D1181">
        <f>IF(A1181="","",IFERROR(VALUE(SUBSTITUTE(SUBSTITUTE(INDEX('Etsy Import'!$A:$CZ,1181,Settings!$C$23)&amp;"","$",""),",","")),0))</f>
        <v/>
      </c>
      <c r="E1181" s="11">
        <f>IF(A1181="","",IFERROR(VALUE(SUBSTITUTE(SUBSTITUTE(INDEX('Etsy Import'!$A:$CZ,1181,Settings!$C$24)&amp;"","$",""),",","")),0))</f>
        <v/>
      </c>
      <c r="F1181" s="11">
        <f>IF(A1181="","",D1181*E1181)</f>
        <v/>
      </c>
      <c r="G1181">
        <f>IF(A1181="","",IF(C1181="",1,COUNTIF($C$2:$C$1501,C1181)))</f>
        <v/>
      </c>
      <c r="H1181" s="11">
        <f>IF(A1181="","",IFERROR(VALUE(SUBSTITUTE(SUBSTITUTE(INDEX('Etsy Import'!$A:$CZ,1181,Settings!$C$25)&amp;"","$",""),",","")),0)/IF(Settings!$B$27="Yes",G1181,1))</f>
        <v/>
      </c>
      <c r="I1181" s="11">
        <f>IF(A1181="","",IFERROR(VALUE(SUBSTITUTE(SUBSTITUTE(INDEX('Etsy Import'!$A:$CZ,1181,Settings!$C$26)&amp;"","$",""),",","")),0)/IF(Settings!$B$27="Yes",G1181,1))</f>
        <v/>
      </c>
      <c r="J1181" s="11">
        <f>IF(A1181="","",F1181+H1181-I1181)</f>
        <v/>
      </c>
      <c r="K1181">
        <f>IF(A1181="","",IFERROR(IF(B1181="",NA(),MATCH(B1181,Products!$B$5:$B$204,0)),IFERROR(MATCH(A1181,Products!$A$5:$A$204,0),"")))</f>
        <v/>
      </c>
      <c r="L1181">
        <f>IF(A1181="","",IF(K1181="","⚠ not in Products",INDEX(Products!$A$5:$A$204,K1181)))</f>
        <v/>
      </c>
      <c r="M1181" s="11">
        <f>IF(A1181="","",J1181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1181+IFERROR(INDEX(Settings!$D$5:$D$9,MATCH("Etsy",Settings!$A$5:$A$9,0)),0)*D1181)</f>
        <v/>
      </c>
      <c r="N1181" s="11">
        <f>IF(A1181="","",IF(K1181="",0,D1181*INDEX(Products!$I$5:$I$204,K1181)))</f>
        <v/>
      </c>
      <c r="O1181" s="11">
        <f>IF(A1181="","",IF(K1181="",0,J1181*INDEX(Products!$H$5:$H$204,K1181)))</f>
        <v/>
      </c>
      <c r="P1181" s="11">
        <f>IF(A1181="","",J1181-M1181-N1181-O1181)</f>
        <v/>
      </c>
    </row>
    <row r="1182">
      <c r="A1182">
        <f>IFERROR(INDEX('Etsy Import'!$A:$CZ,1182,Settings!$C$20)&amp;"","")</f>
        <v/>
      </c>
      <c r="B1182">
        <f>IFERROR(INDEX('Etsy Import'!$A:$CZ,1182,Settings!$C$21)&amp;"","")</f>
        <v/>
      </c>
      <c r="C1182">
        <f>IFERROR(INDEX('Etsy Import'!$A:$CZ,1182,Settings!$C$22)&amp;"","")</f>
        <v/>
      </c>
      <c r="D1182">
        <f>IF(A1182="","",IFERROR(VALUE(SUBSTITUTE(SUBSTITUTE(INDEX('Etsy Import'!$A:$CZ,1182,Settings!$C$23)&amp;"","$",""),",","")),0))</f>
        <v/>
      </c>
      <c r="E1182" s="11">
        <f>IF(A1182="","",IFERROR(VALUE(SUBSTITUTE(SUBSTITUTE(INDEX('Etsy Import'!$A:$CZ,1182,Settings!$C$24)&amp;"","$",""),",","")),0))</f>
        <v/>
      </c>
      <c r="F1182" s="11">
        <f>IF(A1182="","",D1182*E1182)</f>
        <v/>
      </c>
      <c r="G1182">
        <f>IF(A1182="","",IF(C1182="",1,COUNTIF($C$2:$C$1501,C1182)))</f>
        <v/>
      </c>
      <c r="H1182" s="11">
        <f>IF(A1182="","",IFERROR(VALUE(SUBSTITUTE(SUBSTITUTE(INDEX('Etsy Import'!$A:$CZ,1182,Settings!$C$25)&amp;"","$",""),",","")),0)/IF(Settings!$B$27="Yes",G1182,1))</f>
        <v/>
      </c>
      <c r="I1182" s="11">
        <f>IF(A1182="","",IFERROR(VALUE(SUBSTITUTE(SUBSTITUTE(INDEX('Etsy Import'!$A:$CZ,1182,Settings!$C$26)&amp;"","$",""),",","")),0)/IF(Settings!$B$27="Yes",G1182,1))</f>
        <v/>
      </c>
      <c r="J1182" s="11">
        <f>IF(A1182="","",F1182+H1182-I1182)</f>
        <v/>
      </c>
      <c r="K1182">
        <f>IF(A1182="","",IFERROR(IF(B1182="",NA(),MATCH(B1182,Products!$B$5:$B$204,0)),IFERROR(MATCH(A1182,Products!$A$5:$A$204,0),"")))</f>
        <v/>
      </c>
      <c r="L1182">
        <f>IF(A1182="","",IF(K1182="","⚠ not in Products",INDEX(Products!$A$5:$A$204,K1182)))</f>
        <v/>
      </c>
      <c r="M1182" s="11">
        <f>IF(A1182="","",J1182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1182+IFERROR(INDEX(Settings!$D$5:$D$9,MATCH("Etsy",Settings!$A$5:$A$9,0)),0)*D1182)</f>
        <v/>
      </c>
      <c r="N1182" s="11">
        <f>IF(A1182="","",IF(K1182="",0,D1182*INDEX(Products!$I$5:$I$204,K1182)))</f>
        <v/>
      </c>
      <c r="O1182" s="11">
        <f>IF(A1182="","",IF(K1182="",0,J1182*INDEX(Products!$H$5:$H$204,K1182)))</f>
        <v/>
      </c>
      <c r="P1182" s="11">
        <f>IF(A1182="","",J1182-M1182-N1182-O1182)</f>
        <v/>
      </c>
    </row>
    <row r="1183">
      <c r="A1183">
        <f>IFERROR(INDEX('Etsy Import'!$A:$CZ,1183,Settings!$C$20)&amp;"","")</f>
        <v/>
      </c>
      <c r="B1183">
        <f>IFERROR(INDEX('Etsy Import'!$A:$CZ,1183,Settings!$C$21)&amp;"","")</f>
        <v/>
      </c>
      <c r="C1183">
        <f>IFERROR(INDEX('Etsy Import'!$A:$CZ,1183,Settings!$C$22)&amp;"","")</f>
        <v/>
      </c>
      <c r="D1183">
        <f>IF(A1183="","",IFERROR(VALUE(SUBSTITUTE(SUBSTITUTE(INDEX('Etsy Import'!$A:$CZ,1183,Settings!$C$23)&amp;"","$",""),",","")),0))</f>
        <v/>
      </c>
      <c r="E1183" s="11">
        <f>IF(A1183="","",IFERROR(VALUE(SUBSTITUTE(SUBSTITUTE(INDEX('Etsy Import'!$A:$CZ,1183,Settings!$C$24)&amp;"","$",""),",","")),0))</f>
        <v/>
      </c>
      <c r="F1183" s="11">
        <f>IF(A1183="","",D1183*E1183)</f>
        <v/>
      </c>
      <c r="G1183">
        <f>IF(A1183="","",IF(C1183="",1,COUNTIF($C$2:$C$1501,C1183)))</f>
        <v/>
      </c>
      <c r="H1183" s="11">
        <f>IF(A1183="","",IFERROR(VALUE(SUBSTITUTE(SUBSTITUTE(INDEX('Etsy Import'!$A:$CZ,1183,Settings!$C$25)&amp;"","$",""),",","")),0)/IF(Settings!$B$27="Yes",G1183,1))</f>
        <v/>
      </c>
      <c r="I1183" s="11">
        <f>IF(A1183="","",IFERROR(VALUE(SUBSTITUTE(SUBSTITUTE(INDEX('Etsy Import'!$A:$CZ,1183,Settings!$C$26)&amp;"","$",""),",","")),0)/IF(Settings!$B$27="Yes",G1183,1))</f>
        <v/>
      </c>
      <c r="J1183" s="11">
        <f>IF(A1183="","",F1183+H1183-I1183)</f>
        <v/>
      </c>
      <c r="K1183">
        <f>IF(A1183="","",IFERROR(IF(B1183="",NA(),MATCH(B1183,Products!$B$5:$B$204,0)),IFERROR(MATCH(A1183,Products!$A$5:$A$204,0),"")))</f>
        <v/>
      </c>
      <c r="L1183">
        <f>IF(A1183="","",IF(K1183="","⚠ not in Products",INDEX(Products!$A$5:$A$204,K1183)))</f>
        <v/>
      </c>
      <c r="M1183" s="11">
        <f>IF(A1183="","",J1183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1183+IFERROR(INDEX(Settings!$D$5:$D$9,MATCH("Etsy",Settings!$A$5:$A$9,0)),0)*D1183)</f>
        <v/>
      </c>
      <c r="N1183" s="11">
        <f>IF(A1183="","",IF(K1183="",0,D1183*INDEX(Products!$I$5:$I$204,K1183)))</f>
        <v/>
      </c>
      <c r="O1183" s="11">
        <f>IF(A1183="","",IF(K1183="",0,J1183*INDEX(Products!$H$5:$H$204,K1183)))</f>
        <v/>
      </c>
      <c r="P1183" s="11">
        <f>IF(A1183="","",J1183-M1183-N1183-O1183)</f>
        <v/>
      </c>
    </row>
    <row r="1184">
      <c r="A1184">
        <f>IFERROR(INDEX('Etsy Import'!$A:$CZ,1184,Settings!$C$20)&amp;"","")</f>
        <v/>
      </c>
      <c r="B1184">
        <f>IFERROR(INDEX('Etsy Import'!$A:$CZ,1184,Settings!$C$21)&amp;"","")</f>
        <v/>
      </c>
      <c r="C1184">
        <f>IFERROR(INDEX('Etsy Import'!$A:$CZ,1184,Settings!$C$22)&amp;"","")</f>
        <v/>
      </c>
      <c r="D1184">
        <f>IF(A1184="","",IFERROR(VALUE(SUBSTITUTE(SUBSTITUTE(INDEX('Etsy Import'!$A:$CZ,1184,Settings!$C$23)&amp;"","$",""),",","")),0))</f>
        <v/>
      </c>
      <c r="E1184" s="11">
        <f>IF(A1184="","",IFERROR(VALUE(SUBSTITUTE(SUBSTITUTE(INDEX('Etsy Import'!$A:$CZ,1184,Settings!$C$24)&amp;"","$",""),",","")),0))</f>
        <v/>
      </c>
      <c r="F1184" s="11">
        <f>IF(A1184="","",D1184*E1184)</f>
        <v/>
      </c>
      <c r="G1184">
        <f>IF(A1184="","",IF(C1184="",1,COUNTIF($C$2:$C$1501,C1184)))</f>
        <v/>
      </c>
      <c r="H1184" s="11">
        <f>IF(A1184="","",IFERROR(VALUE(SUBSTITUTE(SUBSTITUTE(INDEX('Etsy Import'!$A:$CZ,1184,Settings!$C$25)&amp;"","$",""),",","")),0)/IF(Settings!$B$27="Yes",G1184,1))</f>
        <v/>
      </c>
      <c r="I1184" s="11">
        <f>IF(A1184="","",IFERROR(VALUE(SUBSTITUTE(SUBSTITUTE(INDEX('Etsy Import'!$A:$CZ,1184,Settings!$C$26)&amp;"","$",""),",","")),0)/IF(Settings!$B$27="Yes",G1184,1))</f>
        <v/>
      </c>
      <c r="J1184" s="11">
        <f>IF(A1184="","",F1184+H1184-I1184)</f>
        <v/>
      </c>
      <c r="K1184">
        <f>IF(A1184="","",IFERROR(IF(B1184="",NA(),MATCH(B1184,Products!$B$5:$B$204,0)),IFERROR(MATCH(A1184,Products!$A$5:$A$204,0),"")))</f>
        <v/>
      </c>
      <c r="L1184">
        <f>IF(A1184="","",IF(K1184="","⚠ not in Products",INDEX(Products!$A$5:$A$204,K1184)))</f>
        <v/>
      </c>
      <c r="M1184" s="11">
        <f>IF(A1184="","",J1184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1184+IFERROR(INDEX(Settings!$D$5:$D$9,MATCH("Etsy",Settings!$A$5:$A$9,0)),0)*D1184)</f>
        <v/>
      </c>
      <c r="N1184" s="11">
        <f>IF(A1184="","",IF(K1184="",0,D1184*INDEX(Products!$I$5:$I$204,K1184)))</f>
        <v/>
      </c>
      <c r="O1184" s="11">
        <f>IF(A1184="","",IF(K1184="",0,J1184*INDEX(Products!$H$5:$H$204,K1184)))</f>
        <v/>
      </c>
      <c r="P1184" s="11">
        <f>IF(A1184="","",J1184-M1184-N1184-O1184)</f>
        <v/>
      </c>
    </row>
    <row r="1185">
      <c r="A1185">
        <f>IFERROR(INDEX('Etsy Import'!$A:$CZ,1185,Settings!$C$20)&amp;"","")</f>
        <v/>
      </c>
      <c r="B1185">
        <f>IFERROR(INDEX('Etsy Import'!$A:$CZ,1185,Settings!$C$21)&amp;"","")</f>
        <v/>
      </c>
      <c r="C1185">
        <f>IFERROR(INDEX('Etsy Import'!$A:$CZ,1185,Settings!$C$22)&amp;"","")</f>
        <v/>
      </c>
      <c r="D1185">
        <f>IF(A1185="","",IFERROR(VALUE(SUBSTITUTE(SUBSTITUTE(INDEX('Etsy Import'!$A:$CZ,1185,Settings!$C$23)&amp;"","$",""),",","")),0))</f>
        <v/>
      </c>
      <c r="E1185" s="11">
        <f>IF(A1185="","",IFERROR(VALUE(SUBSTITUTE(SUBSTITUTE(INDEX('Etsy Import'!$A:$CZ,1185,Settings!$C$24)&amp;"","$",""),",","")),0))</f>
        <v/>
      </c>
      <c r="F1185" s="11">
        <f>IF(A1185="","",D1185*E1185)</f>
        <v/>
      </c>
      <c r="G1185">
        <f>IF(A1185="","",IF(C1185="",1,COUNTIF($C$2:$C$1501,C1185)))</f>
        <v/>
      </c>
      <c r="H1185" s="11">
        <f>IF(A1185="","",IFERROR(VALUE(SUBSTITUTE(SUBSTITUTE(INDEX('Etsy Import'!$A:$CZ,1185,Settings!$C$25)&amp;"","$",""),",","")),0)/IF(Settings!$B$27="Yes",G1185,1))</f>
        <v/>
      </c>
      <c r="I1185" s="11">
        <f>IF(A1185="","",IFERROR(VALUE(SUBSTITUTE(SUBSTITUTE(INDEX('Etsy Import'!$A:$CZ,1185,Settings!$C$26)&amp;"","$",""),",","")),0)/IF(Settings!$B$27="Yes",G1185,1))</f>
        <v/>
      </c>
      <c r="J1185" s="11">
        <f>IF(A1185="","",F1185+H1185-I1185)</f>
        <v/>
      </c>
      <c r="K1185">
        <f>IF(A1185="","",IFERROR(IF(B1185="",NA(),MATCH(B1185,Products!$B$5:$B$204,0)),IFERROR(MATCH(A1185,Products!$A$5:$A$204,0),"")))</f>
        <v/>
      </c>
      <c r="L1185">
        <f>IF(A1185="","",IF(K1185="","⚠ not in Products",INDEX(Products!$A$5:$A$204,K1185)))</f>
        <v/>
      </c>
      <c r="M1185" s="11">
        <f>IF(A1185="","",J1185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1185+IFERROR(INDEX(Settings!$D$5:$D$9,MATCH("Etsy",Settings!$A$5:$A$9,0)),0)*D1185)</f>
        <v/>
      </c>
      <c r="N1185" s="11">
        <f>IF(A1185="","",IF(K1185="",0,D1185*INDEX(Products!$I$5:$I$204,K1185)))</f>
        <v/>
      </c>
      <c r="O1185" s="11">
        <f>IF(A1185="","",IF(K1185="",0,J1185*INDEX(Products!$H$5:$H$204,K1185)))</f>
        <v/>
      </c>
      <c r="P1185" s="11">
        <f>IF(A1185="","",J1185-M1185-N1185-O1185)</f>
        <v/>
      </c>
    </row>
    <row r="1186">
      <c r="A1186">
        <f>IFERROR(INDEX('Etsy Import'!$A:$CZ,1186,Settings!$C$20)&amp;"","")</f>
        <v/>
      </c>
      <c r="B1186">
        <f>IFERROR(INDEX('Etsy Import'!$A:$CZ,1186,Settings!$C$21)&amp;"","")</f>
        <v/>
      </c>
      <c r="C1186">
        <f>IFERROR(INDEX('Etsy Import'!$A:$CZ,1186,Settings!$C$22)&amp;"","")</f>
        <v/>
      </c>
      <c r="D1186">
        <f>IF(A1186="","",IFERROR(VALUE(SUBSTITUTE(SUBSTITUTE(INDEX('Etsy Import'!$A:$CZ,1186,Settings!$C$23)&amp;"","$",""),",","")),0))</f>
        <v/>
      </c>
      <c r="E1186" s="11">
        <f>IF(A1186="","",IFERROR(VALUE(SUBSTITUTE(SUBSTITUTE(INDEX('Etsy Import'!$A:$CZ,1186,Settings!$C$24)&amp;"","$",""),",","")),0))</f>
        <v/>
      </c>
      <c r="F1186" s="11">
        <f>IF(A1186="","",D1186*E1186)</f>
        <v/>
      </c>
      <c r="G1186">
        <f>IF(A1186="","",IF(C1186="",1,COUNTIF($C$2:$C$1501,C1186)))</f>
        <v/>
      </c>
      <c r="H1186" s="11">
        <f>IF(A1186="","",IFERROR(VALUE(SUBSTITUTE(SUBSTITUTE(INDEX('Etsy Import'!$A:$CZ,1186,Settings!$C$25)&amp;"","$",""),",","")),0)/IF(Settings!$B$27="Yes",G1186,1))</f>
        <v/>
      </c>
      <c r="I1186" s="11">
        <f>IF(A1186="","",IFERROR(VALUE(SUBSTITUTE(SUBSTITUTE(INDEX('Etsy Import'!$A:$CZ,1186,Settings!$C$26)&amp;"","$",""),",","")),0)/IF(Settings!$B$27="Yes",G1186,1))</f>
        <v/>
      </c>
      <c r="J1186" s="11">
        <f>IF(A1186="","",F1186+H1186-I1186)</f>
        <v/>
      </c>
      <c r="K1186">
        <f>IF(A1186="","",IFERROR(IF(B1186="",NA(),MATCH(B1186,Products!$B$5:$B$204,0)),IFERROR(MATCH(A1186,Products!$A$5:$A$204,0),"")))</f>
        <v/>
      </c>
      <c r="L1186">
        <f>IF(A1186="","",IF(K1186="","⚠ not in Products",INDEX(Products!$A$5:$A$204,K1186)))</f>
        <v/>
      </c>
      <c r="M1186" s="11">
        <f>IF(A1186="","",J1186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1186+IFERROR(INDEX(Settings!$D$5:$D$9,MATCH("Etsy",Settings!$A$5:$A$9,0)),0)*D1186)</f>
        <v/>
      </c>
      <c r="N1186" s="11">
        <f>IF(A1186="","",IF(K1186="",0,D1186*INDEX(Products!$I$5:$I$204,K1186)))</f>
        <v/>
      </c>
      <c r="O1186" s="11">
        <f>IF(A1186="","",IF(K1186="",0,J1186*INDEX(Products!$H$5:$H$204,K1186)))</f>
        <v/>
      </c>
      <c r="P1186" s="11">
        <f>IF(A1186="","",J1186-M1186-N1186-O1186)</f>
        <v/>
      </c>
    </row>
    <row r="1187">
      <c r="A1187">
        <f>IFERROR(INDEX('Etsy Import'!$A:$CZ,1187,Settings!$C$20)&amp;"","")</f>
        <v/>
      </c>
      <c r="B1187">
        <f>IFERROR(INDEX('Etsy Import'!$A:$CZ,1187,Settings!$C$21)&amp;"","")</f>
        <v/>
      </c>
      <c r="C1187">
        <f>IFERROR(INDEX('Etsy Import'!$A:$CZ,1187,Settings!$C$22)&amp;"","")</f>
        <v/>
      </c>
      <c r="D1187">
        <f>IF(A1187="","",IFERROR(VALUE(SUBSTITUTE(SUBSTITUTE(INDEX('Etsy Import'!$A:$CZ,1187,Settings!$C$23)&amp;"","$",""),",","")),0))</f>
        <v/>
      </c>
      <c r="E1187" s="11">
        <f>IF(A1187="","",IFERROR(VALUE(SUBSTITUTE(SUBSTITUTE(INDEX('Etsy Import'!$A:$CZ,1187,Settings!$C$24)&amp;"","$",""),",","")),0))</f>
        <v/>
      </c>
      <c r="F1187" s="11">
        <f>IF(A1187="","",D1187*E1187)</f>
        <v/>
      </c>
      <c r="G1187">
        <f>IF(A1187="","",IF(C1187="",1,COUNTIF($C$2:$C$1501,C1187)))</f>
        <v/>
      </c>
      <c r="H1187" s="11">
        <f>IF(A1187="","",IFERROR(VALUE(SUBSTITUTE(SUBSTITUTE(INDEX('Etsy Import'!$A:$CZ,1187,Settings!$C$25)&amp;"","$",""),",","")),0)/IF(Settings!$B$27="Yes",G1187,1))</f>
        <v/>
      </c>
      <c r="I1187" s="11">
        <f>IF(A1187="","",IFERROR(VALUE(SUBSTITUTE(SUBSTITUTE(INDEX('Etsy Import'!$A:$CZ,1187,Settings!$C$26)&amp;"","$",""),",","")),0)/IF(Settings!$B$27="Yes",G1187,1))</f>
        <v/>
      </c>
      <c r="J1187" s="11">
        <f>IF(A1187="","",F1187+H1187-I1187)</f>
        <v/>
      </c>
      <c r="K1187">
        <f>IF(A1187="","",IFERROR(IF(B1187="",NA(),MATCH(B1187,Products!$B$5:$B$204,0)),IFERROR(MATCH(A1187,Products!$A$5:$A$204,0),"")))</f>
        <v/>
      </c>
      <c r="L1187">
        <f>IF(A1187="","",IF(K1187="","⚠ not in Products",INDEX(Products!$A$5:$A$204,K1187)))</f>
        <v/>
      </c>
      <c r="M1187" s="11">
        <f>IF(A1187="","",J1187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1187+IFERROR(INDEX(Settings!$D$5:$D$9,MATCH("Etsy",Settings!$A$5:$A$9,0)),0)*D1187)</f>
        <v/>
      </c>
      <c r="N1187" s="11">
        <f>IF(A1187="","",IF(K1187="",0,D1187*INDEX(Products!$I$5:$I$204,K1187)))</f>
        <v/>
      </c>
      <c r="O1187" s="11">
        <f>IF(A1187="","",IF(K1187="",0,J1187*INDEX(Products!$H$5:$H$204,K1187)))</f>
        <v/>
      </c>
      <c r="P1187" s="11">
        <f>IF(A1187="","",J1187-M1187-N1187-O1187)</f>
        <v/>
      </c>
    </row>
    <row r="1188">
      <c r="A1188">
        <f>IFERROR(INDEX('Etsy Import'!$A:$CZ,1188,Settings!$C$20)&amp;"","")</f>
        <v/>
      </c>
      <c r="B1188">
        <f>IFERROR(INDEX('Etsy Import'!$A:$CZ,1188,Settings!$C$21)&amp;"","")</f>
        <v/>
      </c>
      <c r="C1188">
        <f>IFERROR(INDEX('Etsy Import'!$A:$CZ,1188,Settings!$C$22)&amp;"","")</f>
        <v/>
      </c>
      <c r="D1188">
        <f>IF(A1188="","",IFERROR(VALUE(SUBSTITUTE(SUBSTITUTE(INDEX('Etsy Import'!$A:$CZ,1188,Settings!$C$23)&amp;"","$",""),",","")),0))</f>
        <v/>
      </c>
      <c r="E1188" s="11">
        <f>IF(A1188="","",IFERROR(VALUE(SUBSTITUTE(SUBSTITUTE(INDEX('Etsy Import'!$A:$CZ,1188,Settings!$C$24)&amp;"","$",""),",","")),0))</f>
        <v/>
      </c>
      <c r="F1188" s="11">
        <f>IF(A1188="","",D1188*E1188)</f>
        <v/>
      </c>
      <c r="G1188">
        <f>IF(A1188="","",IF(C1188="",1,COUNTIF($C$2:$C$1501,C1188)))</f>
        <v/>
      </c>
      <c r="H1188" s="11">
        <f>IF(A1188="","",IFERROR(VALUE(SUBSTITUTE(SUBSTITUTE(INDEX('Etsy Import'!$A:$CZ,1188,Settings!$C$25)&amp;"","$",""),",","")),0)/IF(Settings!$B$27="Yes",G1188,1))</f>
        <v/>
      </c>
      <c r="I1188" s="11">
        <f>IF(A1188="","",IFERROR(VALUE(SUBSTITUTE(SUBSTITUTE(INDEX('Etsy Import'!$A:$CZ,1188,Settings!$C$26)&amp;"","$",""),",","")),0)/IF(Settings!$B$27="Yes",G1188,1))</f>
        <v/>
      </c>
      <c r="J1188" s="11">
        <f>IF(A1188="","",F1188+H1188-I1188)</f>
        <v/>
      </c>
      <c r="K1188">
        <f>IF(A1188="","",IFERROR(IF(B1188="",NA(),MATCH(B1188,Products!$B$5:$B$204,0)),IFERROR(MATCH(A1188,Products!$A$5:$A$204,0),"")))</f>
        <v/>
      </c>
      <c r="L1188">
        <f>IF(A1188="","",IF(K1188="","⚠ not in Products",INDEX(Products!$A$5:$A$204,K1188)))</f>
        <v/>
      </c>
      <c r="M1188" s="11">
        <f>IF(A1188="","",J1188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1188+IFERROR(INDEX(Settings!$D$5:$D$9,MATCH("Etsy",Settings!$A$5:$A$9,0)),0)*D1188)</f>
        <v/>
      </c>
      <c r="N1188" s="11">
        <f>IF(A1188="","",IF(K1188="",0,D1188*INDEX(Products!$I$5:$I$204,K1188)))</f>
        <v/>
      </c>
      <c r="O1188" s="11">
        <f>IF(A1188="","",IF(K1188="",0,J1188*INDEX(Products!$H$5:$H$204,K1188)))</f>
        <v/>
      </c>
      <c r="P1188" s="11">
        <f>IF(A1188="","",J1188-M1188-N1188-O1188)</f>
        <v/>
      </c>
    </row>
    <row r="1189">
      <c r="A1189">
        <f>IFERROR(INDEX('Etsy Import'!$A:$CZ,1189,Settings!$C$20)&amp;"","")</f>
        <v/>
      </c>
      <c r="B1189">
        <f>IFERROR(INDEX('Etsy Import'!$A:$CZ,1189,Settings!$C$21)&amp;"","")</f>
        <v/>
      </c>
      <c r="C1189">
        <f>IFERROR(INDEX('Etsy Import'!$A:$CZ,1189,Settings!$C$22)&amp;"","")</f>
        <v/>
      </c>
      <c r="D1189">
        <f>IF(A1189="","",IFERROR(VALUE(SUBSTITUTE(SUBSTITUTE(INDEX('Etsy Import'!$A:$CZ,1189,Settings!$C$23)&amp;"","$",""),",","")),0))</f>
        <v/>
      </c>
      <c r="E1189" s="11">
        <f>IF(A1189="","",IFERROR(VALUE(SUBSTITUTE(SUBSTITUTE(INDEX('Etsy Import'!$A:$CZ,1189,Settings!$C$24)&amp;"","$",""),",","")),0))</f>
        <v/>
      </c>
      <c r="F1189" s="11">
        <f>IF(A1189="","",D1189*E1189)</f>
        <v/>
      </c>
      <c r="G1189">
        <f>IF(A1189="","",IF(C1189="",1,COUNTIF($C$2:$C$1501,C1189)))</f>
        <v/>
      </c>
      <c r="H1189" s="11">
        <f>IF(A1189="","",IFERROR(VALUE(SUBSTITUTE(SUBSTITUTE(INDEX('Etsy Import'!$A:$CZ,1189,Settings!$C$25)&amp;"","$",""),",","")),0)/IF(Settings!$B$27="Yes",G1189,1))</f>
        <v/>
      </c>
      <c r="I1189" s="11">
        <f>IF(A1189="","",IFERROR(VALUE(SUBSTITUTE(SUBSTITUTE(INDEX('Etsy Import'!$A:$CZ,1189,Settings!$C$26)&amp;"","$",""),",","")),0)/IF(Settings!$B$27="Yes",G1189,1))</f>
        <v/>
      </c>
      <c r="J1189" s="11">
        <f>IF(A1189="","",F1189+H1189-I1189)</f>
        <v/>
      </c>
      <c r="K1189">
        <f>IF(A1189="","",IFERROR(IF(B1189="",NA(),MATCH(B1189,Products!$B$5:$B$204,0)),IFERROR(MATCH(A1189,Products!$A$5:$A$204,0),"")))</f>
        <v/>
      </c>
      <c r="L1189">
        <f>IF(A1189="","",IF(K1189="","⚠ not in Products",INDEX(Products!$A$5:$A$204,K1189)))</f>
        <v/>
      </c>
      <c r="M1189" s="11">
        <f>IF(A1189="","",J1189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1189+IFERROR(INDEX(Settings!$D$5:$D$9,MATCH("Etsy",Settings!$A$5:$A$9,0)),0)*D1189)</f>
        <v/>
      </c>
      <c r="N1189" s="11">
        <f>IF(A1189="","",IF(K1189="",0,D1189*INDEX(Products!$I$5:$I$204,K1189)))</f>
        <v/>
      </c>
      <c r="O1189" s="11">
        <f>IF(A1189="","",IF(K1189="",0,J1189*INDEX(Products!$H$5:$H$204,K1189)))</f>
        <v/>
      </c>
      <c r="P1189" s="11">
        <f>IF(A1189="","",J1189-M1189-N1189-O1189)</f>
        <v/>
      </c>
    </row>
    <row r="1190">
      <c r="A1190">
        <f>IFERROR(INDEX('Etsy Import'!$A:$CZ,1190,Settings!$C$20)&amp;"","")</f>
        <v/>
      </c>
      <c r="B1190">
        <f>IFERROR(INDEX('Etsy Import'!$A:$CZ,1190,Settings!$C$21)&amp;"","")</f>
        <v/>
      </c>
      <c r="C1190">
        <f>IFERROR(INDEX('Etsy Import'!$A:$CZ,1190,Settings!$C$22)&amp;"","")</f>
        <v/>
      </c>
      <c r="D1190">
        <f>IF(A1190="","",IFERROR(VALUE(SUBSTITUTE(SUBSTITUTE(INDEX('Etsy Import'!$A:$CZ,1190,Settings!$C$23)&amp;"","$",""),",","")),0))</f>
        <v/>
      </c>
      <c r="E1190" s="11">
        <f>IF(A1190="","",IFERROR(VALUE(SUBSTITUTE(SUBSTITUTE(INDEX('Etsy Import'!$A:$CZ,1190,Settings!$C$24)&amp;"","$",""),",","")),0))</f>
        <v/>
      </c>
      <c r="F1190" s="11">
        <f>IF(A1190="","",D1190*E1190)</f>
        <v/>
      </c>
      <c r="G1190">
        <f>IF(A1190="","",IF(C1190="",1,COUNTIF($C$2:$C$1501,C1190)))</f>
        <v/>
      </c>
      <c r="H1190" s="11">
        <f>IF(A1190="","",IFERROR(VALUE(SUBSTITUTE(SUBSTITUTE(INDEX('Etsy Import'!$A:$CZ,1190,Settings!$C$25)&amp;"","$",""),",","")),0)/IF(Settings!$B$27="Yes",G1190,1))</f>
        <v/>
      </c>
      <c r="I1190" s="11">
        <f>IF(A1190="","",IFERROR(VALUE(SUBSTITUTE(SUBSTITUTE(INDEX('Etsy Import'!$A:$CZ,1190,Settings!$C$26)&amp;"","$",""),",","")),0)/IF(Settings!$B$27="Yes",G1190,1))</f>
        <v/>
      </c>
      <c r="J1190" s="11">
        <f>IF(A1190="","",F1190+H1190-I1190)</f>
        <v/>
      </c>
      <c r="K1190">
        <f>IF(A1190="","",IFERROR(IF(B1190="",NA(),MATCH(B1190,Products!$B$5:$B$204,0)),IFERROR(MATCH(A1190,Products!$A$5:$A$204,0),"")))</f>
        <v/>
      </c>
      <c r="L1190">
        <f>IF(A1190="","",IF(K1190="","⚠ not in Products",INDEX(Products!$A$5:$A$204,K1190)))</f>
        <v/>
      </c>
      <c r="M1190" s="11">
        <f>IF(A1190="","",J1190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1190+IFERROR(INDEX(Settings!$D$5:$D$9,MATCH("Etsy",Settings!$A$5:$A$9,0)),0)*D1190)</f>
        <v/>
      </c>
      <c r="N1190" s="11">
        <f>IF(A1190="","",IF(K1190="",0,D1190*INDEX(Products!$I$5:$I$204,K1190)))</f>
        <v/>
      </c>
      <c r="O1190" s="11">
        <f>IF(A1190="","",IF(K1190="",0,J1190*INDEX(Products!$H$5:$H$204,K1190)))</f>
        <v/>
      </c>
      <c r="P1190" s="11">
        <f>IF(A1190="","",J1190-M1190-N1190-O1190)</f>
        <v/>
      </c>
    </row>
    <row r="1191">
      <c r="A1191">
        <f>IFERROR(INDEX('Etsy Import'!$A:$CZ,1191,Settings!$C$20)&amp;"","")</f>
        <v/>
      </c>
      <c r="B1191">
        <f>IFERROR(INDEX('Etsy Import'!$A:$CZ,1191,Settings!$C$21)&amp;"","")</f>
        <v/>
      </c>
      <c r="C1191">
        <f>IFERROR(INDEX('Etsy Import'!$A:$CZ,1191,Settings!$C$22)&amp;"","")</f>
        <v/>
      </c>
      <c r="D1191">
        <f>IF(A1191="","",IFERROR(VALUE(SUBSTITUTE(SUBSTITUTE(INDEX('Etsy Import'!$A:$CZ,1191,Settings!$C$23)&amp;"","$",""),",","")),0))</f>
        <v/>
      </c>
      <c r="E1191" s="11">
        <f>IF(A1191="","",IFERROR(VALUE(SUBSTITUTE(SUBSTITUTE(INDEX('Etsy Import'!$A:$CZ,1191,Settings!$C$24)&amp;"","$",""),",","")),0))</f>
        <v/>
      </c>
      <c r="F1191" s="11">
        <f>IF(A1191="","",D1191*E1191)</f>
        <v/>
      </c>
      <c r="G1191">
        <f>IF(A1191="","",IF(C1191="",1,COUNTIF($C$2:$C$1501,C1191)))</f>
        <v/>
      </c>
      <c r="H1191" s="11">
        <f>IF(A1191="","",IFERROR(VALUE(SUBSTITUTE(SUBSTITUTE(INDEX('Etsy Import'!$A:$CZ,1191,Settings!$C$25)&amp;"","$",""),",","")),0)/IF(Settings!$B$27="Yes",G1191,1))</f>
        <v/>
      </c>
      <c r="I1191" s="11">
        <f>IF(A1191="","",IFERROR(VALUE(SUBSTITUTE(SUBSTITUTE(INDEX('Etsy Import'!$A:$CZ,1191,Settings!$C$26)&amp;"","$",""),",","")),0)/IF(Settings!$B$27="Yes",G1191,1))</f>
        <v/>
      </c>
      <c r="J1191" s="11">
        <f>IF(A1191="","",F1191+H1191-I1191)</f>
        <v/>
      </c>
      <c r="K1191">
        <f>IF(A1191="","",IFERROR(IF(B1191="",NA(),MATCH(B1191,Products!$B$5:$B$204,0)),IFERROR(MATCH(A1191,Products!$A$5:$A$204,0),"")))</f>
        <v/>
      </c>
      <c r="L1191">
        <f>IF(A1191="","",IF(K1191="","⚠ not in Products",INDEX(Products!$A$5:$A$204,K1191)))</f>
        <v/>
      </c>
      <c r="M1191" s="11">
        <f>IF(A1191="","",J1191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1191+IFERROR(INDEX(Settings!$D$5:$D$9,MATCH("Etsy",Settings!$A$5:$A$9,0)),0)*D1191)</f>
        <v/>
      </c>
      <c r="N1191" s="11">
        <f>IF(A1191="","",IF(K1191="",0,D1191*INDEX(Products!$I$5:$I$204,K1191)))</f>
        <v/>
      </c>
      <c r="O1191" s="11">
        <f>IF(A1191="","",IF(K1191="",0,J1191*INDEX(Products!$H$5:$H$204,K1191)))</f>
        <v/>
      </c>
      <c r="P1191" s="11">
        <f>IF(A1191="","",J1191-M1191-N1191-O1191)</f>
        <v/>
      </c>
    </row>
    <row r="1192">
      <c r="A1192">
        <f>IFERROR(INDEX('Etsy Import'!$A:$CZ,1192,Settings!$C$20)&amp;"","")</f>
        <v/>
      </c>
      <c r="B1192">
        <f>IFERROR(INDEX('Etsy Import'!$A:$CZ,1192,Settings!$C$21)&amp;"","")</f>
        <v/>
      </c>
      <c r="C1192">
        <f>IFERROR(INDEX('Etsy Import'!$A:$CZ,1192,Settings!$C$22)&amp;"","")</f>
        <v/>
      </c>
      <c r="D1192">
        <f>IF(A1192="","",IFERROR(VALUE(SUBSTITUTE(SUBSTITUTE(INDEX('Etsy Import'!$A:$CZ,1192,Settings!$C$23)&amp;"","$",""),",","")),0))</f>
        <v/>
      </c>
      <c r="E1192" s="11">
        <f>IF(A1192="","",IFERROR(VALUE(SUBSTITUTE(SUBSTITUTE(INDEX('Etsy Import'!$A:$CZ,1192,Settings!$C$24)&amp;"","$",""),",","")),0))</f>
        <v/>
      </c>
      <c r="F1192" s="11">
        <f>IF(A1192="","",D1192*E1192)</f>
        <v/>
      </c>
      <c r="G1192">
        <f>IF(A1192="","",IF(C1192="",1,COUNTIF($C$2:$C$1501,C1192)))</f>
        <v/>
      </c>
      <c r="H1192" s="11">
        <f>IF(A1192="","",IFERROR(VALUE(SUBSTITUTE(SUBSTITUTE(INDEX('Etsy Import'!$A:$CZ,1192,Settings!$C$25)&amp;"","$",""),",","")),0)/IF(Settings!$B$27="Yes",G1192,1))</f>
        <v/>
      </c>
      <c r="I1192" s="11">
        <f>IF(A1192="","",IFERROR(VALUE(SUBSTITUTE(SUBSTITUTE(INDEX('Etsy Import'!$A:$CZ,1192,Settings!$C$26)&amp;"","$",""),",","")),0)/IF(Settings!$B$27="Yes",G1192,1))</f>
        <v/>
      </c>
      <c r="J1192" s="11">
        <f>IF(A1192="","",F1192+H1192-I1192)</f>
        <v/>
      </c>
      <c r="K1192">
        <f>IF(A1192="","",IFERROR(IF(B1192="",NA(),MATCH(B1192,Products!$B$5:$B$204,0)),IFERROR(MATCH(A1192,Products!$A$5:$A$204,0),"")))</f>
        <v/>
      </c>
      <c r="L1192">
        <f>IF(A1192="","",IF(K1192="","⚠ not in Products",INDEX(Products!$A$5:$A$204,K1192)))</f>
        <v/>
      </c>
      <c r="M1192" s="11">
        <f>IF(A1192="","",J1192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1192+IFERROR(INDEX(Settings!$D$5:$D$9,MATCH("Etsy",Settings!$A$5:$A$9,0)),0)*D1192)</f>
        <v/>
      </c>
      <c r="N1192" s="11">
        <f>IF(A1192="","",IF(K1192="",0,D1192*INDEX(Products!$I$5:$I$204,K1192)))</f>
        <v/>
      </c>
      <c r="O1192" s="11">
        <f>IF(A1192="","",IF(K1192="",0,J1192*INDEX(Products!$H$5:$H$204,K1192)))</f>
        <v/>
      </c>
      <c r="P1192" s="11">
        <f>IF(A1192="","",J1192-M1192-N1192-O1192)</f>
        <v/>
      </c>
    </row>
    <row r="1193">
      <c r="A1193">
        <f>IFERROR(INDEX('Etsy Import'!$A:$CZ,1193,Settings!$C$20)&amp;"","")</f>
        <v/>
      </c>
      <c r="B1193">
        <f>IFERROR(INDEX('Etsy Import'!$A:$CZ,1193,Settings!$C$21)&amp;"","")</f>
        <v/>
      </c>
      <c r="C1193">
        <f>IFERROR(INDEX('Etsy Import'!$A:$CZ,1193,Settings!$C$22)&amp;"","")</f>
        <v/>
      </c>
      <c r="D1193">
        <f>IF(A1193="","",IFERROR(VALUE(SUBSTITUTE(SUBSTITUTE(INDEX('Etsy Import'!$A:$CZ,1193,Settings!$C$23)&amp;"","$",""),",","")),0))</f>
        <v/>
      </c>
      <c r="E1193" s="11">
        <f>IF(A1193="","",IFERROR(VALUE(SUBSTITUTE(SUBSTITUTE(INDEX('Etsy Import'!$A:$CZ,1193,Settings!$C$24)&amp;"","$",""),",","")),0))</f>
        <v/>
      </c>
      <c r="F1193" s="11">
        <f>IF(A1193="","",D1193*E1193)</f>
        <v/>
      </c>
      <c r="G1193">
        <f>IF(A1193="","",IF(C1193="",1,COUNTIF($C$2:$C$1501,C1193)))</f>
        <v/>
      </c>
      <c r="H1193" s="11">
        <f>IF(A1193="","",IFERROR(VALUE(SUBSTITUTE(SUBSTITUTE(INDEX('Etsy Import'!$A:$CZ,1193,Settings!$C$25)&amp;"","$",""),",","")),0)/IF(Settings!$B$27="Yes",G1193,1))</f>
        <v/>
      </c>
      <c r="I1193" s="11">
        <f>IF(A1193="","",IFERROR(VALUE(SUBSTITUTE(SUBSTITUTE(INDEX('Etsy Import'!$A:$CZ,1193,Settings!$C$26)&amp;"","$",""),",","")),0)/IF(Settings!$B$27="Yes",G1193,1))</f>
        <v/>
      </c>
      <c r="J1193" s="11">
        <f>IF(A1193="","",F1193+H1193-I1193)</f>
        <v/>
      </c>
      <c r="K1193">
        <f>IF(A1193="","",IFERROR(IF(B1193="",NA(),MATCH(B1193,Products!$B$5:$B$204,0)),IFERROR(MATCH(A1193,Products!$A$5:$A$204,0),"")))</f>
        <v/>
      </c>
      <c r="L1193">
        <f>IF(A1193="","",IF(K1193="","⚠ not in Products",INDEX(Products!$A$5:$A$204,K1193)))</f>
        <v/>
      </c>
      <c r="M1193" s="11">
        <f>IF(A1193="","",J1193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1193+IFERROR(INDEX(Settings!$D$5:$D$9,MATCH("Etsy",Settings!$A$5:$A$9,0)),0)*D1193)</f>
        <v/>
      </c>
      <c r="N1193" s="11">
        <f>IF(A1193="","",IF(K1193="",0,D1193*INDEX(Products!$I$5:$I$204,K1193)))</f>
        <v/>
      </c>
      <c r="O1193" s="11">
        <f>IF(A1193="","",IF(K1193="",0,J1193*INDEX(Products!$H$5:$H$204,K1193)))</f>
        <v/>
      </c>
      <c r="P1193" s="11">
        <f>IF(A1193="","",J1193-M1193-N1193-O1193)</f>
        <v/>
      </c>
    </row>
    <row r="1194">
      <c r="A1194">
        <f>IFERROR(INDEX('Etsy Import'!$A:$CZ,1194,Settings!$C$20)&amp;"","")</f>
        <v/>
      </c>
      <c r="B1194">
        <f>IFERROR(INDEX('Etsy Import'!$A:$CZ,1194,Settings!$C$21)&amp;"","")</f>
        <v/>
      </c>
      <c r="C1194">
        <f>IFERROR(INDEX('Etsy Import'!$A:$CZ,1194,Settings!$C$22)&amp;"","")</f>
        <v/>
      </c>
      <c r="D1194">
        <f>IF(A1194="","",IFERROR(VALUE(SUBSTITUTE(SUBSTITUTE(INDEX('Etsy Import'!$A:$CZ,1194,Settings!$C$23)&amp;"","$",""),",","")),0))</f>
        <v/>
      </c>
      <c r="E1194" s="11">
        <f>IF(A1194="","",IFERROR(VALUE(SUBSTITUTE(SUBSTITUTE(INDEX('Etsy Import'!$A:$CZ,1194,Settings!$C$24)&amp;"","$",""),",","")),0))</f>
        <v/>
      </c>
      <c r="F1194" s="11">
        <f>IF(A1194="","",D1194*E1194)</f>
        <v/>
      </c>
      <c r="G1194">
        <f>IF(A1194="","",IF(C1194="",1,COUNTIF($C$2:$C$1501,C1194)))</f>
        <v/>
      </c>
      <c r="H1194" s="11">
        <f>IF(A1194="","",IFERROR(VALUE(SUBSTITUTE(SUBSTITUTE(INDEX('Etsy Import'!$A:$CZ,1194,Settings!$C$25)&amp;"","$",""),",","")),0)/IF(Settings!$B$27="Yes",G1194,1))</f>
        <v/>
      </c>
      <c r="I1194" s="11">
        <f>IF(A1194="","",IFERROR(VALUE(SUBSTITUTE(SUBSTITUTE(INDEX('Etsy Import'!$A:$CZ,1194,Settings!$C$26)&amp;"","$",""),",","")),0)/IF(Settings!$B$27="Yes",G1194,1))</f>
        <v/>
      </c>
      <c r="J1194" s="11">
        <f>IF(A1194="","",F1194+H1194-I1194)</f>
        <v/>
      </c>
      <c r="K1194">
        <f>IF(A1194="","",IFERROR(IF(B1194="",NA(),MATCH(B1194,Products!$B$5:$B$204,0)),IFERROR(MATCH(A1194,Products!$A$5:$A$204,0),"")))</f>
        <v/>
      </c>
      <c r="L1194">
        <f>IF(A1194="","",IF(K1194="","⚠ not in Products",INDEX(Products!$A$5:$A$204,K1194)))</f>
        <v/>
      </c>
      <c r="M1194" s="11">
        <f>IF(A1194="","",J1194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1194+IFERROR(INDEX(Settings!$D$5:$D$9,MATCH("Etsy",Settings!$A$5:$A$9,0)),0)*D1194)</f>
        <v/>
      </c>
      <c r="N1194" s="11">
        <f>IF(A1194="","",IF(K1194="",0,D1194*INDEX(Products!$I$5:$I$204,K1194)))</f>
        <v/>
      </c>
      <c r="O1194" s="11">
        <f>IF(A1194="","",IF(K1194="",0,J1194*INDEX(Products!$H$5:$H$204,K1194)))</f>
        <v/>
      </c>
      <c r="P1194" s="11">
        <f>IF(A1194="","",J1194-M1194-N1194-O1194)</f>
        <v/>
      </c>
    </row>
    <row r="1195">
      <c r="A1195">
        <f>IFERROR(INDEX('Etsy Import'!$A:$CZ,1195,Settings!$C$20)&amp;"","")</f>
        <v/>
      </c>
      <c r="B1195">
        <f>IFERROR(INDEX('Etsy Import'!$A:$CZ,1195,Settings!$C$21)&amp;"","")</f>
        <v/>
      </c>
      <c r="C1195">
        <f>IFERROR(INDEX('Etsy Import'!$A:$CZ,1195,Settings!$C$22)&amp;"","")</f>
        <v/>
      </c>
      <c r="D1195">
        <f>IF(A1195="","",IFERROR(VALUE(SUBSTITUTE(SUBSTITUTE(INDEX('Etsy Import'!$A:$CZ,1195,Settings!$C$23)&amp;"","$",""),",","")),0))</f>
        <v/>
      </c>
      <c r="E1195" s="11">
        <f>IF(A1195="","",IFERROR(VALUE(SUBSTITUTE(SUBSTITUTE(INDEX('Etsy Import'!$A:$CZ,1195,Settings!$C$24)&amp;"","$",""),",","")),0))</f>
        <v/>
      </c>
      <c r="F1195" s="11">
        <f>IF(A1195="","",D1195*E1195)</f>
        <v/>
      </c>
      <c r="G1195">
        <f>IF(A1195="","",IF(C1195="",1,COUNTIF($C$2:$C$1501,C1195)))</f>
        <v/>
      </c>
      <c r="H1195" s="11">
        <f>IF(A1195="","",IFERROR(VALUE(SUBSTITUTE(SUBSTITUTE(INDEX('Etsy Import'!$A:$CZ,1195,Settings!$C$25)&amp;"","$",""),",","")),0)/IF(Settings!$B$27="Yes",G1195,1))</f>
        <v/>
      </c>
      <c r="I1195" s="11">
        <f>IF(A1195="","",IFERROR(VALUE(SUBSTITUTE(SUBSTITUTE(INDEX('Etsy Import'!$A:$CZ,1195,Settings!$C$26)&amp;"","$",""),",","")),0)/IF(Settings!$B$27="Yes",G1195,1))</f>
        <v/>
      </c>
      <c r="J1195" s="11">
        <f>IF(A1195="","",F1195+H1195-I1195)</f>
        <v/>
      </c>
      <c r="K1195">
        <f>IF(A1195="","",IFERROR(IF(B1195="",NA(),MATCH(B1195,Products!$B$5:$B$204,0)),IFERROR(MATCH(A1195,Products!$A$5:$A$204,0),"")))</f>
        <v/>
      </c>
      <c r="L1195">
        <f>IF(A1195="","",IF(K1195="","⚠ not in Products",INDEX(Products!$A$5:$A$204,K1195)))</f>
        <v/>
      </c>
      <c r="M1195" s="11">
        <f>IF(A1195="","",J1195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1195+IFERROR(INDEX(Settings!$D$5:$D$9,MATCH("Etsy",Settings!$A$5:$A$9,0)),0)*D1195)</f>
        <v/>
      </c>
      <c r="N1195" s="11">
        <f>IF(A1195="","",IF(K1195="",0,D1195*INDEX(Products!$I$5:$I$204,K1195)))</f>
        <v/>
      </c>
      <c r="O1195" s="11">
        <f>IF(A1195="","",IF(K1195="",0,J1195*INDEX(Products!$H$5:$H$204,K1195)))</f>
        <v/>
      </c>
      <c r="P1195" s="11">
        <f>IF(A1195="","",J1195-M1195-N1195-O1195)</f>
        <v/>
      </c>
    </row>
    <row r="1196">
      <c r="A1196">
        <f>IFERROR(INDEX('Etsy Import'!$A:$CZ,1196,Settings!$C$20)&amp;"","")</f>
        <v/>
      </c>
      <c r="B1196">
        <f>IFERROR(INDEX('Etsy Import'!$A:$CZ,1196,Settings!$C$21)&amp;"","")</f>
        <v/>
      </c>
      <c r="C1196">
        <f>IFERROR(INDEX('Etsy Import'!$A:$CZ,1196,Settings!$C$22)&amp;"","")</f>
        <v/>
      </c>
      <c r="D1196">
        <f>IF(A1196="","",IFERROR(VALUE(SUBSTITUTE(SUBSTITUTE(INDEX('Etsy Import'!$A:$CZ,1196,Settings!$C$23)&amp;"","$",""),",","")),0))</f>
        <v/>
      </c>
      <c r="E1196" s="11">
        <f>IF(A1196="","",IFERROR(VALUE(SUBSTITUTE(SUBSTITUTE(INDEX('Etsy Import'!$A:$CZ,1196,Settings!$C$24)&amp;"","$",""),",","")),0))</f>
        <v/>
      </c>
      <c r="F1196" s="11">
        <f>IF(A1196="","",D1196*E1196)</f>
        <v/>
      </c>
      <c r="G1196">
        <f>IF(A1196="","",IF(C1196="",1,COUNTIF($C$2:$C$1501,C1196)))</f>
        <v/>
      </c>
      <c r="H1196" s="11">
        <f>IF(A1196="","",IFERROR(VALUE(SUBSTITUTE(SUBSTITUTE(INDEX('Etsy Import'!$A:$CZ,1196,Settings!$C$25)&amp;"","$",""),",","")),0)/IF(Settings!$B$27="Yes",G1196,1))</f>
        <v/>
      </c>
      <c r="I1196" s="11">
        <f>IF(A1196="","",IFERROR(VALUE(SUBSTITUTE(SUBSTITUTE(INDEX('Etsy Import'!$A:$CZ,1196,Settings!$C$26)&amp;"","$",""),",","")),0)/IF(Settings!$B$27="Yes",G1196,1))</f>
        <v/>
      </c>
      <c r="J1196" s="11">
        <f>IF(A1196="","",F1196+H1196-I1196)</f>
        <v/>
      </c>
      <c r="K1196">
        <f>IF(A1196="","",IFERROR(IF(B1196="",NA(),MATCH(B1196,Products!$B$5:$B$204,0)),IFERROR(MATCH(A1196,Products!$A$5:$A$204,0),"")))</f>
        <v/>
      </c>
      <c r="L1196">
        <f>IF(A1196="","",IF(K1196="","⚠ not in Products",INDEX(Products!$A$5:$A$204,K1196)))</f>
        <v/>
      </c>
      <c r="M1196" s="11">
        <f>IF(A1196="","",J1196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1196+IFERROR(INDEX(Settings!$D$5:$D$9,MATCH("Etsy",Settings!$A$5:$A$9,0)),0)*D1196)</f>
        <v/>
      </c>
      <c r="N1196" s="11">
        <f>IF(A1196="","",IF(K1196="",0,D1196*INDEX(Products!$I$5:$I$204,K1196)))</f>
        <v/>
      </c>
      <c r="O1196" s="11">
        <f>IF(A1196="","",IF(K1196="",0,J1196*INDEX(Products!$H$5:$H$204,K1196)))</f>
        <v/>
      </c>
      <c r="P1196" s="11">
        <f>IF(A1196="","",J1196-M1196-N1196-O1196)</f>
        <v/>
      </c>
    </row>
    <row r="1197">
      <c r="A1197">
        <f>IFERROR(INDEX('Etsy Import'!$A:$CZ,1197,Settings!$C$20)&amp;"","")</f>
        <v/>
      </c>
      <c r="B1197">
        <f>IFERROR(INDEX('Etsy Import'!$A:$CZ,1197,Settings!$C$21)&amp;"","")</f>
        <v/>
      </c>
      <c r="C1197">
        <f>IFERROR(INDEX('Etsy Import'!$A:$CZ,1197,Settings!$C$22)&amp;"","")</f>
        <v/>
      </c>
      <c r="D1197">
        <f>IF(A1197="","",IFERROR(VALUE(SUBSTITUTE(SUBSTITUTE(INDEX('Etsy Import'!$A:$CZ,1197,Settings!$C$23)&amp;"","$",""),",","")),0))</f>
        <v/>
      </c>
      <c r="E1197" s="11">
        <f>IF(A1197="","",IFERROR(VALUE(SUBSTITUTE(SUBSTITUTE(INDEX('Etsy Import'!$A:$CZ,1197,Settings!$C$24)&amp;"","$",""),",","")),0))</f>
        <v/>
      </c>
      <c r="F1197" s="11">
        <f>IF(A1197="","",D1197*E1197)</f>
        <v/>
      </c>
      <c r="G1197">
        <f>IF(A1197="","",IF(C1197="",1,COUNTIF($C$2:$C$1501,C1197)))</f>
        <v/>
      </c>
      <c r="H1197" s="11">
        <f>IF(A1197="","",IFERROR(VALUE(SUBSTITUTE(SUBSTITUTE(INDEX('Etsy Import'!$A:$CZ,1197,Settings!$C$25)&amp;"","$",""),",","")),0)/IF(Settings!$B$27="Yes",G1197,1))</f>
        <v/>
      </c>
      <c r="I1197" s="11">
        <f>IF(A1197="","",IFERROR(VALUE(SUBSTITUTE(SUBSTITUTE(INDEX('Etsy Import'!$A:$CZ,1197,Settings!$C$26)&amp;"","$",""),",","")),0)/IF(Settings!$B$27="Yes",G1197,1))</f>
        <v/>
      </c>
      <c r="J1197" s="11">
        <f>IF(A1197="","",F1197+H1197-I1197)</f>
        <v/>
      </c>
      <c r="K1197">
        <f>IF(A1197="","",IFERROR(IF(B1197="",NA(),MATCH(B1197,Products!$B$5:$B$204,0)),IFERROR(MATCH(A1197,Products!$A$5:$A$204,0),"")))</f>
        <v/>
      </c>
      <c r="L1197">
        <f>IF(A1197="","",IF(K1197="","⚠ not in Products",INDEX(Products!$A$5:$A$204,K1197)))</f>
        <v/>
      </c>
      <c r="M1197" s="11">
        <f>IF(A1197="","",J1197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1197+IFERROR(INDEX(Settings!$D$5:$D$9,MATCH("Etsy",Settings!$A$5:$A$9,0)),0)*D1197)</f>
        <v/>
      </c>
      <c r="N1197" s="11">
        <f>IF(A1197="","",IF(K1197="",0,D1197*INDEX(Products!$I$5:$I$204,K1197)))</f>
        <v/>
      </c>
      <c r="O1197" s="11">
        <f>IF(A1197="","",IF(K1197="",0,J1197*INDEX(Products!$H$5:$H$204,K1197)))</f>
        <v/>
      </c>
      <c r="P1197" s="11">
        <f>IF(A1197="","",J1197-M1197-N1197-O1197)</f>
        <v/>
      </c>
    </row>
    <row r="1198">
      <c r="A1198">
        <f>IFERROR(INDEX('Etsy Import'!$A:$CZ,1198,Settings!$C$20)&amp;"","")</f>
        <v/>
      </c>
      <c r="B1198">
        <f>IFERROR(INDEX('Etsy Import'!$A:$CZ,1198,Settings!$C$21)&amp;"","")</f>
        <v/>
      </c>
      <c r="C1198">
        <f>IFERROR(INDEX('Etsy Import'!$A:$CZ,1198,Settings!$C$22)&amp;"","")</f>
        <v/>
      </c>
      <c r="D1198">
        <f>IF(A1198="","",IFERROR(VALUE(SUBSTITUTE(SUBSTITUTE(INDEX('Etsy Import'!$A:$CZ,1198,Settings!$C$23)&amp;"","$",""),",","")),0))</f>
        <v/>
      </c>
      <c r="E1198" s="11">
        <f>IF(A1198="","",IFERROR(VALUE(SUBSTITUTE(SUBSTITUTE(INDEX('Etsy Import'!$A:$CZ,1198,Settings!$C$24)&amp;"","$",""),",","")),0))</f>
        <v/>
      </c>
      <c r="F1198" s="11">
        <f>IF(A1198="","",D1198*E1198)</f>
        <v/>
      </c>
      <c r="G1198">
        <f>IF(A1198="","",IF(C1198="",1,COUNTIF($C$2:$C$1501,C1198)))</f>
        <v/>
      </c>
      <c r="H1198" s="11">
        <f>IF(A1198="","",IFERROR(VALUE(SUBSTITUTE(SUBSTITUTE(INDEX('Etsy Import'!$A:$CZ,1198,Settings!$C$25)&amp;"","$",""),",","")),0)/IF(Settings!$B$27="Yes",G1198,1))</f>
        <v/>
      </c>
      <c r="I1198" s="11">
        <f>IF(A1198="","",IFERROR(VALUE(SUBSTITUTE(SUBSTITUTE(INDEX('Etsy Import'!$A:$CZ,1198,Settings!$C$26)&amp;"","$",""),",","")),0)/IF(Settings!$B$27="Yes",G1198,1))</f>
        <v/>
      </c>
      <c r="J1198" s="11">
        <f>IF(A1198="","",F1198+H1198-I1198)</f>
        <v/>
      </c>
      <c r="K1198">
        <f>IF(A1198="","",IFERROR(IF(B1198="",NA(),MATCH(B1198,Products!$B$5:$B$204,0)),IFERROR(MATCH(A1198,Products!$A$5:$A$204,0),"")))</f>
        <v/>
      </c>
      <c r="L1198">
        <f>IF(A1198="","",IF(K1198="","⚠ not in Products",INDEX(Products!$A$5:$A$204,K1198)))</f>
        <v/>
      </c>
      <c r="M1198" s="11">
        <f>IF(A1198="","",J1198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1198+IFERROR(INDEX(Settings!$D$5:$D$9,MATCH("Etsy",Settings!$A$5:$A$9,0)),0)*D1198)</f>
        <v/>
      </c>
      <c r="N1198" s="11">
        <f>IF(A1198="","",IF(K1198="",0,D1198*INDEX(Products!$I$5:$I$204,K1198)))</f>
        <v/>
      </c>
      <c r="O1198" s="11">
        <f>IF(A1198="","",IF(K1198="",0,J1198*INDEX(Products!$H$5:$H$204,K1198)))</f>
        <v/>
      </c>
      <c r="P1198" s="11">
        <f>IF(A1198="","",J1198-M1198-N1198-O1198)</f>
        <v/>
      </c>
    </row>
    <row r="1199">
      <c r="A1199">
        <f>IFERROR(INDEX('Etsy Import'!$A:$CZ,1199,Settings!$C$20)&amp;"","")</f>
        <v/>
      </c>
      <c r="B1199">
        <f>IFERROR(INDEX('Etsy Import'!$A:$CZ,1199,Settings!$C$21)&amp;"","")</f>
        <v/>
      </c>
      <c r="C1199">
        <f>IFERROR(INDEX('Etsy Import'!$A:$CZ,1199,Settings!$C$22)&amp;"","")</f>
        <v/>
      </c>
      <c r="D1199">
        <f>IF(A1199="","",IFERROR(VALUE(SUBSTITUTE(SUBSTITUTE(INDEX('Etsy Import'!$A:$CZ,1199,Settings!$C$23)&amp;"","$",""),",","")),0))</f>
        <v/>
      </c>
      <c r="E1199" s="11">
        <f>IF(A1199="","",IFERROR(VALUE(SUBSTITUTE(SUBSTITUTE(INDEX('Etsy Import'!$A:$CZ,1199,Settings!$C$24)&amp;"","$",""),",","")),0))</f>
        <v/>
      </c>
      <c r="F1199" s="11">
        <f>IF(A1199="","",D1199*E1199)</f>
        <v/>
      </c>
      <c r="G1199">
        <f>IF(A1199="","",IF(C1199="",1,COUNTIF($C$2:$C$1501,C1199)))</f>
        <v/>
      </c>
      <c r="H1199" s="11">
        <f>IF(A1199="","",IFERROR(VALUE(SUBSTITUTE(SUBSTITUTE(INDEX('Etsy Import'!$A:$CZ,1199,Settings!$C$25)&amp;"","$",""),",","")),0)/IF(Settings!$B$27="Yes",G1199,1))</f>
        <v/>
      </c>
      <c r="I1199" s="11">
        <f>IF(A1199="","",IFERROR(VALUE(SUBSTITUTE(SUBSTITUTE(INDEX('Etsy Import'!$A:$CZ,1199,Settings!$C$26)&amp;"","$",""),",","")),0)/IF(Settings!$B$27="Yes",G1199,1))</f>
        <v/>
      </c>
      <c r="J1199" s="11">
        <f>IF(A1199="","",F1199+H1199-I1199)</f>
        <v/>
      </c>
      <c r="K1199">
        <f>IF(A1199="","",IFERROR(IF(B1199="",NA(),MATCH(B1199,Products!$B$5:$B$204,0)),IFERROR(MATCH(A1199,Products!$A$5:$A$204,0),"")))</f>
        <v/>
      </c>
      <c r="L1199">
        <f>IF(A1199="","",IF(K1199="","⚠ not in Products",INDEX(Products!$A$5:$A$204,K1199)))</f>
        <v/>
      </c>
      <c r="M1199" s="11">
        <f>IF(A1199="","",J1199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1199+IFERROR(INDEX(Settings!$D$5:$D$9,MATCH("Etsy",Settings!$A$5:$A$9,0)),0)*D1199)</f>
        <v/>
      </c>
      <c r="N1199" s="11">
        <f>IF(A1199="","",IF(K1199="",0,D1199*INDEX(Products!$I$5:$I$204,K1199)))</f>
        <v/>
      </c>
      <c r="O1199" s="11">
        <f>IF(A1199="","",IF(K1199="",0,J1199*INDEX(Products!$H$5:$H$204,K1199)))</f>
        <v/>
      </c>
      <c r="P1199" s="11">
        <f>IF(A1199="","",J1199-M1199-N1199-O1199)</f>
        <v/>
      </c>
    </row>
    <row r="1200">
      <c r="A1200">
        <f>IFERROR(INDEX('Etsy Import'!$A:$CZ,1200,Settings!$C$20)&amp;"","")</f>
        <v/>
      </c>
      <c r="B1200">
        <f>IFERROR(INDEX('Etsy Import'!$A:$CZ,1200,Settings!$C$21)&amp;"","")</f>
        <v/>
      </c>
      <c r="C1200">
        <f>IFERROR(INDEX('Etsy Import'!$A:$CZ,1200,Settings!$C$22)&amp;"","")</f>
        <v/>
      </c>
      <c r="D1200">
        <f>IF(A1200="","",IFERROR(VALUE(SUBSTITUTE(SUBSTITUTE(INDEX('Etsy Import'!$A:$CZ,1200,Settings!$C$23)&amp;"","$",""),",","")),0))</f>
        <v/>
      </c>
      <c r="E1200" s="11">
        <f>IF(A1200="","",IFERROR(VALUE(SUBSTITUTE(SUBSTITUTE(INDEX('Etsy Import'!$A:$CZ,1200,Settings!$C$24)&amp;"","$",""),",","")),0))</f>
        <v/>
      </c>
      <c r="F1200" s="11">
        <f>IF(A1200="","",D1200*E1200)</f>
        <v/>
      </c>
      <c r="G1200">
        <f>IF(A1200="","",IF(C1200="",1,COUNTIF($C$2:$C$1501,C1200)))</f>
        <v/>
      </c>
      <c r="H1200" s="11">
        <f>IF(A1200="","",IFERROR(VALUE(SUBSTITUTE(SUBSTITUTE(INDEX('Etsy Import'!$A:$CZ,1200,Settings!$C$25)&amp;"","$",""),",","")),0)/IF(Settings!$B$27="Yes",G1200,1))</f>
        <v/>
      </c>
      <c r="I1200" s="11">
        <f>IF(A1200="","",IFERROR(VALUE(SUBSTITUTE(SUBSTITUTE(INDEX('Etsy Import'!$A:$CZ,1200,Settings!$C$26)&amp;"","$",""),",","")),0)/IF(Settings!$B$27="Yes",G1200,1))</f>
        <v/>
      </c>
      <c r="J1200" s="11">
        <f>IF(A1200="","",F1200+H1200-I1200)</f>
        <v/>
      </c>
      <c r="K1200">
        <f>IF(A1200="","",IFERROR(IF(B1200="",NA(),MATCH(B1200,Products!$B$5:$B$204,0)),IFERROR(MATCH(A1200,Products!$A$5:$A$204,0),"")))</f>
        <v/>
      </c>
      <c r="L1200">
        <f>IF(A1200="","",IF(K1200="","⚠ not in Products",INDEX(Products!$A$5:$A$204,K1200)))</f>
        <v/>
      </c>
      <c r="M1200" s="11">
        <f>IF(A1200="","",J1200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1200+IFERROR(INDEX(Settings!$D$5:$D$9,MATCH("Etsy",Settings!$A$5:$A$9,0)),0)*D1200)</f>
        <v/>
      </c>
      <c r="N1200" s="11">
        <f>IF(A1200="","",IF(K1200="",0,D1200*INDEX(Products!$I$5:$I$204,K1200)))</f>
        <v/>
      </c>
      <c r="O1200" s="11">
        <f>IF(A1200="","",IF(K1200="",0,J1200*INDEX(Products!$H$5:$H$204,K1200)))</f>
        <v/>
      </c>
      <c r="P1200" s="11">
        <f>IF(A1200="","",J1200-M1200-N1200-O1200)</f>
        <v/>
      </c>
    </row>
    <row r="1201">
      <c r="A1201">
        <f>IFERROR(INDEX('Etsy Import'!$A:$CZ,1201,Settings!$C$20)&amp;"","")</f>
        <v/>
      </c>
      <c r="B1201">
        <f>IFERROR(INDEX('Etsy Import'!$A:$CZ,1201,Settings!$C$21)&amp;"","")</f>
        <v/>
      </c>
      <c r="C1201">
        <f>IFERROR(INDEX('Etsy Import'!$A:$CZ,1201,Settings!$C$22)&amp;"","")</f>
        <v/>
      </c>
      <c r="D1201">
        <f>IF(A1201="","",IFERROR(VALUE(SUBSTITUTE(SUBSTITUTE(INDEX('Etsy Import'!$A:$CZ,1201,Settings!$C$23)&amp;"","$",""),",","")),0))</f>
        <v/>
      </c>
      <c r="E1201" s="11">
        <f>IF(A1201="","",IFERROR(VALUE(SUBSTITUTE(SUBSTITUTE(INDEX('Etsy Import'!$A:$CZ,1201,Settings!$C$24)&amp;"","$",""),",","")),0))</f>
        <v/>
      </c>
      <c r="F1201" s="11">
        <f>IF(A1201="","",D1201*E1201)</f>
        <v/>
      </c>
      <c r="G1201">
        <f>IF(A1201="","",IF(C1201="",1,COUNTIF($C$2:$C$1501,C1201)))</f>
        <v/>
      </c>
      <c r="H1201" s="11">
        <f>IF(A1201="","",IFERROR(VALUE(SUBSTITUTE(SUBSTITUTE(INDEX('Etsy Import'!$A:$CZ,1201,Settings!$C$25)&amp;"","$",""),",","")),0)/IF(Settings!$B$27="Yes",G1201,1))</f>
        <v/>
      </c>
      <c r="I1201" s="11">
        <f>IF(A1201="","",IFERROR(VALUE(SUBSTITUTE(SUBSTITUTE(INDEX('Etsy Import'!$A:$CZ,1201,Settings!$C$26)&amp;"","$",""),",","")),0)/IF(Settings!$B$27="Yes",G1201,1))</f>
        <v/>
      </c>
      <c r="J1201" s="11">
        <f>IF(A1201="","",F1201+H1201-I1201)</f>
        <v/>
      </c>
      <c r="K1201">
        <f>IF(A1201="","",IFERROR(IF(B1201="",NA(),MATCH(B1201,Products!$B$5:$B$204,0)),IFERROR(MATCH(A1201,Products!$A$5:$A$204,0),"")))</f>
        <v/>
      </c>
      <c r="L1201">
        <f>IF(A1201="","",IF(K1201="","⚠ not in Products",INDEX(Products!$A$5:$A$204,K1201)))</f>
        <v/>
      </c>
      <c r="M1201" s="11">
        <f>IF(A1201="","",J1201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1201+IFERROR(INDEX(Settings!$D$5:$D$9,MATCH("Etsy",Settings!$A$5:$A$9,0)),0)*D1201)</f>
        <v/>
      </c>
      <c r="N1201" s="11">
        <f>IF(A1201="","",IF(K1201="",0,D1201*INDEX(Products!$I$5:$I$204,K1201)))</f>
        <v/>
      </c>
      <c r="O1201" s="11">
        <f>IF(A1201="","",IF(K1201="",0,J1201*INDEX(Products!$H$5:$H$204,K1201)))</f>
        <v/>
      </c>
      <c r="P1201" s="11">
        <f>IF(A1201="","",J1201-M1201-N1201-O1201)</f>
        <v/>
      </c>
    </row>
    <row r="1202">
      <c r="A1202">
        <f>IFERROR(INDEX('Etsy Import'!$A:$CZ,1202,Settings!$C$20)&amp;"","")</f>
        <v/>
      </c>
      <c r="B1202">
        <f>IFERROR(INDEX('Etsy Import'!$A:$CZ,1202,Settings!$C$21)&amp;"","")</f>
        <v/>
      </c>
      <c r="C1202">
        <f>IFERROR(INDEX('Etsy Import'!$A:$CZ,1202,Settings!$C$22)&amp;"","")</f>
        <v/>
      </c>
      <c r="D1202">
        <f>IF(A1202="","",IFERROR(VALUE(SUBSTITUTE(SUBSTITUTE(INDEX('Etsy Import'!$A:$CZ,1202,Settings!$C$23)&amp;"","$",""),",","")),0))</f>
        <v/>
      </c>
      <c r="E1202" s="11">
        <f>IF(A1202="","",IFERROR(VALUE(SUBSTITUTE(SUBSTITUTE(INDEX('Etsy Import'!$A:$CZ,1202,Settings!$C$24)&amp;"","$",""),",","")),0))</f>
        <v/>
      </c>
      <c r="F1202" s="11">
        <f>IF(A1202="","",D1202*E1202)</f>
        <v/>
      </c>
      <c r="G1202">
        <f>IF(A1202="","",IF(C1202="",1,COUNTIF($C$2:$C$1501,C1202)))</f>
        <v/>
      </c>
      <c r="H1202" s="11">
        <f>IF(A1202="","",IFERROR(VALUE(SUBSTITUTE(SUBSTITUTE(INDEX('Etsy Import'!$A:$CZ,1202,Settings!$C$25)&amp;"","$",""),",","")),0)/IF(Settings!$B$27="Yes",G1202,1))</f>
        <v/>
      </c>
      <c r="I1202" s="11">
        <f>IF(A1202="","",IFERROR(VALUE(SUBSTITUTE(SUBSTITUTE(INDEX('Etsy Import'!$A:$CZ,1202,Settings!$C$26)&amp;"","$",""),",","")),0)/IF(Settings!$B$27="Yes",G1202,1))</f>
        <v/>
      </c>
      <c r="J1202" s="11">
        <f>IF(A1202="","",F1202+H1202-I1202)</f>
        <v/>
      </c>
      <c r="K1202">
        <f>IF(A1202="","",IFERROR(IF(B1202="",NA(),MATCH(B1202,Products!$B$5:$B$204,0)),IFERROR(MATCH(A1202,Products!$A$5:$A$204,0),"")))</f>
        <v/>
      </c>
      <c r="L1202">
        <f>IF(A1202="","",IF(K1202="","⚠ not in Products",INDEX(Products!$A$5:$A$204,K1202)))</f>
        <v/>
      </c>
      <c r="M1202" s="11">
        <f>IF(A1202="","",J1202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1202+IFERROR(INDEX(Settings!$D$5:$D$9,MATCH("Etsy",Settings!$A$5:$A$9,0)),0)*D1202)</f>
        <v/>
      </c>
      <c r="N1202" s="11">
        <f>IF(A1202="","",IF(K1202="",0,D1202*INDEX(Products!$I$5:$I$204,K1202)))</f>
        <v/>
      </c>
      <c r="O1202" s="11">
        <f>IF(A1202="","",IF(K1202="",0,J1202*INDEX(Products!$H$5:$H$204,K1202)))</f>
        <v/>
      </c>
      <c r="P1202" s="11">
        <f>IF(A1202="","",J1202-M1202-N1202-O1202)</f>
        <v/>
      </c>
    </row>
    <row r="1203">
      <c r="A1203">
        <f>IFERROR(INDEX('Etsy Import'!$A:$CZ,1203,Settings!$C$20)&amp;"","")</f>
        <v/>
      </c>
      <c r="B1203">
        <f>IFERROR(INDEX('Etsy Import'!$A:$CZ,1203,Settings!$C$21)&amp;"","")</f>
        <v/>
      </c>
      <c r="C1203">
        <f>IFERROR(INDEX('Etsy Import'!$A:$CZ,1203,Settings!$C$22)&amp;"","")</f>
        <v/>
      </c>
      <c r="D1203">
        <f>IF(A1203="","",IFERROR(VALUE(SUBSTITUTE(SUBSTITUTE(INDEX('Etsy Import'!$A:$CZ,1203,Settings!$C$23)&amp;"","$",""),",","")),0))</f>
        <v/>
      </c>
      <c r="E1203" s="11">
        <f>IF(A1203="","",IFERROR(VALUE(SUBSTITUTE(SUBSTITUTE(INDEX('Etsy Import'!$A:$CZ,1203,Settings!$C$24)&amp;"","$",""),",","")),0))</f>
        <v/>
      </c>
      <c r="F1203" s="11">
        <f>IF(A1203="","",D1203*E1203)</f>
        <v/>
      </c>
      <c r="G1203">
        <f>IF(A1203="","",IF(C1203="",1,COUNTIF($C$2:$C$1501,C1203)))</f>
        <v/>
      </c>
      <c r="H1203" s="11">
        <f>IF(A1203="","",IFERROR(VALUE(SUBSTITUTE(SUBSTITUTE(INDEX('Etsy Import'!$A:$CZ,1203,Settings!$C$25)&amp;"","$",""),",","")),0)/IF(Settings!$B$27="Yes",G1203,1))</f>
        <v/>
      </c>
      <c r="I1203" s="11">
        <f>IF(A1203="","",IFERROR(VALUE(SUBSTITUTE(SUBSTITUTE(INDEX('Etsy Import'!$A:$CZ,1203,Settings!$C$26)&amp;"","$",""),",","")),0)/IF(Settings!$B$27="Yes",G1203,1))</f>
        <v/>
      </c>
      <c r="J1203" s="11">
        <f>IF(A1203="","",F1203+H1203-I1203)</f>
        <v/>
      </c>
      <c r="K1203">
        <f>IF(A1203="","",IFERROR(IF(B1203="",NA(),MATCH(B1203,Products!$B$5:$B$204,0)),IFERROR(MATCH(A1203,Products!$A$5:$A$204,0),"")))</f>
        <v/>
      </c>
      <c r="L1203">
        <f>IF(A1203="","",IF(K1203="","⚠ not in Products",INDEX(Products!$A$5:$A$204,K1203)))</f>
        <v/>
      </c>
      <c r="M1203" s="11">
        <f>IF(A1203="","",J1203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1203+IFERROR(INDEX(Settings!$D$5:$D$9,MATCH("Etsy",Settings!$A$5:$A$9,0)),0)*D1203)</f>
        <v/>
      </c>
      <c r="N1203" s="11">
        <f>IF(A1203="","",IF(K1203="",0,D1203*INDEX(Products!$I$5:$I$204,K1203)))</f>
        <v/>
      </c>
      <c r="O1203" s="11">
        <f>IF(A1203="","",IF(K1203="",0,J1203*INDEX(Products!$H$5:$H$204,K1203)))</f>
        <v/>
      </c>
      <c r="P1203" s="11">
        <f>IF(A1203="","",J1203-M1203-N1203-O1203)</f>
        <v/>
      </c>
    </row>
    <row r="1204">
      <c r="A1204">
        <f>IFERROR(INDEX('Etsy Import'!$A:$CZ,1204,Settings!$C$20)&amp;"","")</f>
        <v/>
      </c>
      <c r="B1204">
        <f>IFERROR(INDEX('Etsy Import'!$A:$CZ,1204,Settings!$C$21)&amp;"","")</f>
        <v/>
      </c>
      <c r="C1204">
        <f>IFERROR(INDEX('Etsy Import'!$A:$CZ,1204,Settings!$C$22)&amp;"","")</f>
        <v/>
      </c>
      <c r="D1204">
        <f>IF(A1204="","",IFERROR(VALUE(SUBSTITUTE(SUBSTITUTE(INDEX('Etsy Import'!$A:$CZ,1204,Settings!$C$23)&amp;"","$",""),",","")),0))</f>
        <v/>
      </c>
      <c r="E1204" s="11">
        <f>IF(A1204="","",IFERROR(VALUE(SUBSTITUTE(SUBSTITUTE(INDEX('Etsy Import'!$A:$CZ,1204,Settings!$C$24)&amp;"","$",""),",","")),0))</f>
        <v/>
      </c>
      <c r="F1204" s="11">
        <f>IF(A1204="","",D1204*E1204)</f>
        <v/>
      </c>
      <c r="G1204">
        <f>IF(A1204="","",IF(C1204="",1,COUNTIF($C$2:$C$1501,C1204)))</f>
        <v/>
      </c>
      <c r="H1204" s="11">
        <f>IF(A1204="","",IFERROR(VALUE(SUBSTITUTE(SUBSTITUTE(INDEX('Etsy Import'!$A:$CZ,1204,Settings!$C$25)&amp;"","$",""),",","")),0)/IF(Settings!$B$27="Yes",G1204,1))</f>
        <v/>
      </c>
      <c r="I1204" s="11">
        <f>IF(A1204="","",IFERROR(VALUE(SUBSTITUTE(SUBSTITUTE(INDEX('Etsy Import'!$A:$CZ,1204,Settings!$C$26)&amp;"","$",""),",","")),0)/IF(Settings!$B$27="Yes",G1204,1))</f>
        <v/>
      </c>
      <c r="J1204" s="11">
        <f>IF(A1204="","",F1204+H1204-I1204)</f>
        <v/>
      </c>
      <c r="K1204">
        <f>IF(A1204="","",IFERROR(IF(B1204="",NA(),MATCH(B1204,Products!$B$5:$B$204,0)),IFERROR(MATCH(A1204,Products!$A$5:$A$204,0),"")))</f>
        <v/>
      </c>
      <c r="L1204">
        <f>IF(A1204="","",IF(K1204="","⚠ not in Products",INDEX(Products!$A$5:$A$204,K1204)))</f>
        <v/>
      </c>
      <c r="M1204" s="11">
        <f>IF(A1204="","",J1204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1204+IFERROR(INDEX(Settings!$D$5:$D$9,MATCH("Etsy",Settings!$A$5:$A$9,0)),0)*D1204)</f>
        <v/>
      </c>
      <c r="N1204" s="11">
        <f>IF(A1204="","",IF(K1204="",0,D1204*INDEX(Products!$I$5:$I$204,K1204)))</f>
        <v/>
      </c>
      <c r="O1204" s="11">
        <f>IF(A1204="","",IF(K1204="",0,J1204*INDEX(Products!$H$5:$H$204,K1204)))</f>
        <v/>
      </c>
      <c r="P1204" s="11">
        <f>IF(A1204="","",J1204-M1204-N1204-O1204)</f>
        <v/>
      </c>
    </row>
    <row r="1205">
      <c r="A1205">
        <f>IFERROR(INDEX('Etsy Import'!$A:$CZ,1205,Settings!$C$20)&amp;"","")</f>
        <v/>
      </c>
      <c r="B1205">
        <f>IFERROR(INDEX('Etsy Import'!$A:$CZ,1205,Settings!$C$21)&amp;"","")</f>
        <v/>
      </c>
      <c r="C1205">
        <f>IFERROR(INDEX('Etsy Import'!$A:$CZ,1205,Settings!$C$22)&amp;"","")</f>
        <v/>
      </c>
      <c r="D1205">
        <f>IF(A1205="","",IFERROR(VALUE(SUBSTITUTE(SUBSTITUTE(INDEX('Etsy Import'!$A:$CZ,1205,Settings!$C$23)&amp;"","$",""),",","")),0))</f>
        <v/>
      </c>
      <c r="E1205" s="11">
        <f>IF(A1205="","",IFERROR(VALUE(SUBSTITUTE(SUBSTITUTE(INDEX('Etsy Import'!$A:$CZ,1205,Settings!$C$24)&amp;"","$",""),",","")),0))</f>
        <v/>
      </c>
      <c r="F1205" s="11">
        <f>IF(A1205="","",D1205*E1205)</f>
        <v/>
      </c>
      <c r="G1205">
        <f>IF(A1205="","",IF(C1205="",1,COUNTIF($C$2:$C$1501,C1205)))</f>
        <v/>
      </c>
      <c r="H1205" s="11">
        <f>IF(A1205="","",IFERROR(VALUE(SUBSTITUTE(SUBSTITUTE(INDEX('Etsy Import'!$A:$CZ,1205,Settings!$C$25)&amp;"","$",""),",","")),0)/IF(Settings!$B$27="Yes",G1205,1))</f>
        <v/>
      </c>
      <c r="I1205" s="11">
        <f>IF(A1205="","",IFERROR(VALUE(SUBSTITUTE(SUBSTITUTE(INDEX('Etsy Import'!$A:$CZ,1205,Settings!$C$26)&amp;"","$",""),",","")),0)/IF(Settings!$B$27="Yes",G1205,1))</f>
        <v/>
      </c>
      <c r="J1205" s="11">
        <f>IF(A1205="","",F1205+H1205-I1205)</f>
        <v/>
      </c>
      <c r="K1205">
        <f>IF(A1205="","",IFERROR(IF(B1205="",NA(),MATCH(B1205,Products!$B$5:$B$204,0)),IFERROR(MATCH(A1205,Products!$A$5:$A$204,0),"")))</f>
        <v/>
      </c>
      <c r="L1205">
        <f>IF(A1205="","",IF(K1205="","⚠ not in Products",INDEX(Products!$A$5:$A$204,K1205)))</f>
        <v/>
      </c>
      <c r="M1205" s="11">
        <f>IF(A1205="","",J1205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1205+IFERROR(INDEX(Settings!$D$5:$D$9,MATCH("Etsy",Settings!$A$5:$A$9,0)),0)*D1205)</f>
        <v/>
      </c>
      <c r="N1205" s="11">
        <f>IF(A1205="","",IF(K1205="",0,D1205*INDEX(Products!$I$5:$I$204,K1205)))</f>
        <v/>
      </c>
      <c r="O1205" s="11">
        <f>IF(A1205="","",IF(K1205="",0,J1205*INDEX(Products!$H$5:$H$204,K1205)))</f>
        <v/>
      </c>
      <c r="P1205" s="11">
        <f>IF(A1205="","",J1205-M1205-N1205-O1205)</f>
        <v/>
      </c>
    </row>
    <row r="1206">
      <c r="A1206">
        <f>IFERROR(INDEX('Etsy Import'!$A:$CZ,1206,Settings!$C$20)&amp;"","")</f>
        <v/>
      </c>
      <c r="B1206">
        <f>IFERROR(INDEX('Etsy Import'!$A:$CZ,1206,Settings!$C$21)&amp;"","")</f>
        <v/>
      </c>
      <c r="C1206">
        <f>IFERROR(INDEX('Etsy Import'!$A:$CZ,1206,Settings!$C$22)&amp;"","")</f>
        <v/>
      </c>
      <c r="D1206">
        <f>IF(A1206="","",IFERROR(VALUE(SUBSTITUTE(SUBSTITUTE(INDEX('Etsy Import'!$A:$CZ,1206,Settings!$C$23)&amp;"","$",""),",","")),0))</f>
        <v/>
      </c>
      <c r="E1206" s="11">
        <f>IF(A1206="","",IFERROR(VALUE(SUBSTITUTE(SUBSTITUTE(INDEX('Etsy Import'!$A:$CZ,1206,Settings!$C$24)&amp;"","$",""),",","")),0))</f>
        <v/>
      </c>
      <c r="F1206" s="11">
        <f>IF(A1206="","",D1206*E1206)</f>
        <v/>
      </c>
      <c r="G1206">
        <f>IF(A1206="","",IF(C1206="",1,COUNTIF($C$2:$C$1501,C1206)))</f>
        <v/>
      </c>
      <c r="H1206" s="11">
        <f>IF(A1206="","",IFERROR(VALUE(SUBSTITUTE(SUBSTITUTE(INDEX('Etsy Import'!$A:$CZ,1206,Settings!$C$25)&amp;"","$",""),",","")),0)/IF(Settings!$B$27="Yes",G1206,1))</f>
        <v/>
      </c>
      <c r="I1206" s="11">
        <f>IF(A1206="","",IFERROR(VALUE(SUBSTITUTE(SUBSTITUTE(INDEX('Etsy Import'!$A:$CZ,1206,Settings!$C$26)&amp;"","$",""),",","")),0)/IF(Settings!$B$27="Yes",G1206,1))</f>
        <v/>
      </c>
      <c r="J1206" s="11">
        <f>IF(A1206="","",F1206+H1206-I1206)</f>
        <v/>
      </c>
      <c r="K1206">
        <f>IF(A1206="","",IFERROR(IF(B1206="",NA(),MATCH(B1206,Products!$B$5:$B$204,0)),IFERROR(MATCH(A1206,Products!$A$5:$A$204,0),"")))</f>
        <v/>
      </c>
      <c r="L1206">
        <f>IF(A1206="","",IF(K1206="","⚠ not in Products",INDEX(Products!$A$5:$A$204,K1206)))</f>
        <v/>
      </c>
      <c r="M1206" s="11">
        <f>IF(A1206="","",J1206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1206+IFERROR(INDEX(Settings!$D$5:$D$9,MATCH("Etsy",Settings!$A$5:$A$9,0)),0)*D1206)</f>
        <v/>
      </c>
      <c r="N1206" s="11">
        <f>IF(A1206="","",IF(K1206="",0,D1206*INDEX(Products!$I$5:$I$204,K1206)))</f>
        <v/>
      </c>
      <c r="O1206" s="11">
        <f>IF(A1206="","",IF(K1206="",0,J1206*INDEX(Products!$H$5:$H$204,K1206)))</f>
        <v/>
      </c>
      <c r="P1206" s="11">
        <f>IF(A1206="","",J1206-M1206-N1206-O1206)</f>
        <v/>
      </c>
    </row>
    <row r="1207">
      <c r="A1207">
        <f>IFERROR(INDEX('Etsy Import'!$A:$CZ,1207,Settings!$C$20)&amp;"","")</f>
        <v/>
      </c>
      <c r="B1207">
        <f>IFERROR(INDEX('Etsy Import'!$A:$CZ,1207,Settings!$C$21)&amp;"","")</f>
        <v/>
      </c>
      <c r="C1207">
        <f>IFERROR(INDEX('Etsy Import'!$A:$CZ,1207,Settings!$C$22)&amp;"","")</f>
        <v/>
      </c>
      <c r="D1207">
        <f>IF(A1207="","",IFERROR(VALUE(SUBSTITUTE(SUBSTITUTE(INDEX('Etsy Import'!$A:$CZ,1207,Settings!$C$23)&amp;"","$",""),",","")),0))</f>
        <v/>
      </c>
      <c r="E1207" s="11">
        <f>IF(A1207="","",IFERROR(VALUE(SUBSTITUTE(SUBSTITUTE(INDEX('Etsy Import'!$A:$CZ,1207,Settings!$C$24)&amp;"","$",""),",","")),0))</f>
        <v/>
      </c>
      <c r="F1207" s="11">
        <f>IF(A1207="","",D1207*E1207)</f>
        <v/>
      </c>
      <c r="G1207">
        <f>IF(A1207="","",IF(C1207="",1,COUNTIF($C$2:$C$1501,C1207)))</f>
        <v/>
      </c>
      <c r="H1207" s="11">
        <f>IF(A1207="","",IFERROR(VALUE(SUBSTITUTE(SUBSTITUTE(INDEX('Etsy Import'!$A:$CZ,1207,Settings!$C$25)&amp;"","$",""),",","")),0)/IF(Settings!$B$27="Yes",G1207,1))</f>
        <v/>
      </c>
      <c r="I1207" s="11">
        <f>IF(A1207="","",IFERROR(VALUE(SUBSTITUTE(SUBSTITUTE(INDEX('Etsy Import'!$A:$CZ,1207,Settings!$C$26)&amp;"","$",""),",","")),0)/IF(Settings!$B$27="Yes",G1207,1))</f>
        <v/>
      </c>
      <c r="J1207" s="11">
        <f>IF(A1207="","",F1207+H1207-I1207)</f>
        <v/>
      </c>
      <c r="K1207">
        <f>IF(A1207="","",IFERROR(IF(B1207="",NA(),MATCH(B1207,Products!$B$5:$B$204,0)),IFERROR(MATCH(A1207,Products!$A$5:$A$204,0),"")))</f>
        <v/>
      </c>
      <c r="L1207">
        <f>IF(A1207="","",IF(K1207="","⚠ not in Products",INDEX(Products!$A$5:$A$204,K1207)))</f>
        <v/>
      </c>
      <c r="M1207" s="11">
        <f>IF(A1207="","",J1207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1207+IFERROR(INDEX(Settings!$D$5:$D$9,MATCH("Etsy",Settings!$A$5:$A$9,0)),0)*D1207)</f>
        <v/>
      </c>
      <c r="N1207" s="11">
        <f>IF(A1207="","",IF(K1207="",0,D1207*INDEX(Products!$I$5:$I$204,K1207)))</f>
        <v/>
      </c>
      <c r="O1207" s="11">
        <f>IF(A1207="","",IF(K1207="",0,J1207*INDEX(Products!$H$5:$H$204,K1207)))</f>
        <v/>
      </c>
      <c r="P1207" s="11">
        <f>IF(A1207="","",J1207-M1207-N1207-O1207)</f>
        <v/>
      </c>
    </row>
    <row r="1208">
      <c r="A1208">
        <f>IFERROR(INDEX('Etsy Import'!$A:$CZ,1208,Settings!$C$20)&amp;"","")</f>
        <v/>
      </c>
      <c r="B1208">
        <f>IFERROR(INDEX('Etsy Import'!$A:$CZ,1208,Settings!$C$21)&amp;"","")</f>
        <v/>
      </c>
      <c r="C1208">
        <f>IFERROR(INDEX('Etsy Import'!$A:$CZ,1208,Settings!$C$22)&amp;"","")</f>
        <v/>
      </c>
      <c r="D1208">
        <f>IF(A1208="","",IFERROR(VALUE(SUBSTITUTE(SUBSTITUTE(INDEX('Etsy Import'!$A:$CZ,1208,Settings!$C$23)&amp;"","$",""),",","")),0))</f>
        <v/>
      </c>
      <c r="E1208" s="11">
        <f>IF(A1208="","",IFERROR(VALUE(SUBSTITUTE(SUBSTITUTE(INDEX('Etsy Import'!$A:$CZ,1208,Settings!$C$24)&amp;"","$",""),",","")),0))</f>
        <v/>
      </c>
      <c r="F1208" s="11">
        <f>IF(A1208="","",D1208*E1208)</f>
        <v/>
      </c>
      <c r="G1208">
        <f>IF(A1208="","",IF(C1208="",1,COUNTIF($C$2:$C$1501,C1208)))</f>
        <v/>
      </c>
      <c r="H1208" s="11">
        <f>IF(A1208="","",IFERROR(VALUE(SUBSTITUTE(SUBSTITUTE(INDEX('Etsy Import'!$A:$CZ,1208,Settings!$C$25)&amp;"","$",""),",","")),0)/IF(Settings!$B$27="Yes",G1208,1))</f>
        <v/>
      </c>
      <c r="I1208" s="11">
        <f>IF(A1208="","",IFERROR(VALUE(SUBSTITUTE(SUBSTITUTE(INDEX('Etsy Import'!$A:$CZ,1208,Settings!$C$26)&amp;"","$",""),",","")),0)/IF(Settings!$B$27="Yes",G1208,1))</f>
        <v/>
      </c>
      <c r="J1208" s="11">
        <f>IF(A1208="","",F1208+H1208-I1208)</f>
        <v/>
      </c>
      <c r="K1208">
        <f>IF(A1208="","",IFERROR(IF(B1208="",NA(),MATCH(B1208,Products!$B$5:$B$204,0)),IFERROR(MATCH(A1208,Products!$A$5:$A$204,0),"")))</f>
        <v/>
      </c>
      <c r="L1208">
        <f>IF(A1208="","",IF(K1208="","⚠ not in Products",INDEX(Products!$A$5:$A$204,K1208)))</f>
        <v/>
      </c>
      <c r="M1208" s="11">
        <f>IF(A1208="","",J1208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1208+IFERROR(INDEX(Settings!$D$5:$D$9,MATCH("Etsy",Settings!$A$5:$A$9,0)),0)*D1208)</f>
        <v/>
      </c>
      <c r="N1208" s="11">
        <f>IF(A1208="","",IF(K1208="",0,D1208*INDEX(Products!$I$5:$I$204,K1208)))</f>
        <v/>
      </c>
      <c r="O1208" s="11">
        <f>IF(A1208="","",IF(K1208="",0,J1208*INDEX(Products!$H$5:$H$204,K1208)))</f>
        <v/>
      </c>
      <c r="P1208" s="11">
        <f>IF(A1208="","",J1208-M1208-N1208-O1208)</f>
        <v/>
      </c>
    </row>
    <row r="1209">
      <c r="A1209">
        <f>IFERROR(INDEX('Etsy Import'!$A:$CZ,1209,Settings!$C$20)&amp;"","")</f>
        <v/>
      </c>
      <c r="B1209">
        <f>IFERROR(INDEX('Etsy Import'!$A:$CZ,1209,Settings!$C$21)&amp;"","")</f>
        <v/>
      </c>
      <c r="C1209">
        <f>IFERROR(INDEX('Etsy Import'!$A:$CZ,1209,Settings!$C$22)&amp;"","")</f>
        <v/>
      </c>
      <c r="D1209">
        <f>IF(A1209="","",IFERROR(VALUE(SUBSTITUTE(SUBSTITUTE(INDEX('Etsy Import'!$A:$CZ,1209,Settings!$C$23)&amp;"","$",""),",","")),0))</f>
        <v/>
      </c>
      <c r="E1209" s="11">
        <f>IF(A1209="","",IFERROR(VALUE(SUBSTITUTE(SUBSTITUTE(INDEX('Etsy Import'!$A:$CZ,1209,Settings!$C$24)&amp;"","$",""),",","")),0))</f>
        <v/>
      </c>
      <c r="F1209" s="11">
        <f>IF(A1209="","",D1209*E1209)</f>
        <v/>
      </c>
      <c r="G1209">
        <f>IF(A1209="","",IF(C1209="",1,COUNTIF($C$2:$C$1501,C1209)))</f>
        <v/>
      </c>
      <c r="H1209" s="11">
        <f>IF(A1209="","",IFERROR(VALUE(SUBSTITUTE(SUBSTITUTE(INDEX('Etsy Import'!$A:$CZ,1209,Settings!$C$25)&amp;"","$",""),",","")),0)/IF(Settings!$B$27="Yes",G1209,1))</f>
        <v/>
      </c>
      <c r="I1209" s="11">
        <f>IF(A1209="","",IFERROR(VALUE(SUBSTITUTE(SUBSTITUTE(INDEX('Etsy Import'!$A:$CZ,1209,Settings!$C$26)&amp;"","$",""),",","")),0)/IF(Settings!$B$27="Yes",G1209,1))</f>
        <v/>
      </c>
      <c r="J1209" s="11">
        <f>IF(A1209="","",F1209+H1209-I1209)</f>
        <v/>
      </c>
      <c r="K1209">
        <f>IF(A1209="","",IFERROR(IF(B1209="",NA(),MATCH(B1209,Products!$B$5:$B$204,0)),IFERROR(MATCH(A1209,Products!$A$5:$A$204,0),"")))</f>
        <v/>
      </c>
      <c r="L1209">
        <f>IF(A1209="","",IF(K1209="","⚠ not in Products",INDEX(Products!$A$5:$A$204,K1209)))</f>
        <v/>
      </c>
      <c r="M1209" s="11">
        <f>IF(A1209="","",J1209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1209+IFERROR(INDEX(Settings!$D$5:$D$9,MATCH("Etsy",Settings!$A$5:$A$9,0)),0)*D1209)</f>
        <v/>
      </c>
      <c r="N1209" s="11">
        <f>IF(A1209="","",IF(K1209="",0,D1209*INDEX(Products!$I$5:$I$204,K1209)))</f>
        <v/>
      </c>
      <c r="O1209" s="11">
        <f>IF(A1209="","",IF(K1209="",0,J1209*INDEX(Products!$H$5:$H$204,K1209)))</f>
        <v/>
      </c>
      <c r="P1209" s="11">
        <f>IF(A1209="","",J1209-M1209-N1209-O1209)</f>
        <v/>
      </c>
    </row>
    <row r="1210">
      <c r="A1210">
        <f>IFERROR(INDEX('Etsy Import'!$A:$CZ,1210,Settings!$C$20)&amp;"","")</f>
        <v/>
      </c>
      <c r="B1210">
        <f>IFERROR(INDEX('Etsy Import'!$A:$CZ,1210,Settings!$C$21)&amp;"","")</f>
        <v/>
      </c>
      <c r="C1210">
        <f>IFERROR(INDEX('Etsy Import'!$A:$CZ,1210,Settings!$C$22)&amp;"","")</f>
        <v/>
      </c>
      <c r="D1210">
        <f>IF(A1210="","",IFERROR(VALUE(SUBSTITUTE(SUBSTITUTE(INDEX('Etsy Import'!$A:$CZ,1210,Settings!$C$23)&amp;"","$",""),",","")),0))</f>
        <v/>
      </c>
      <c r="E1210" s="11">
        <f>IF(A1210="","",IFERROR(VALUE(SUBSTITUTE(SUBSTITUTE(INDEX('Etsy Import'!$A:$CZ,1210,Settings!$C$24)&amp;"","$",""),",","")),0))</f>
        <v/>
      </c>
      <c r="F1210" s="11">
        <f>IF(A1210="","",D1210*E1210)</f>
        <v/>
      </c>
      <c r="G1210">
        <f>IF(A1210="","",IF(C1210="",1,COUNTIF($C$2:$C$1501,C1210)))</f>
        <v/>
      </c>
      <c r="H1210" s="11">
        <f>IF(A1210="","",IFERROR(VALUE(SUBSTITUTE(SUBSTITUTE(INDEX('Etsy Import'!$A:$CZ,1210,Settings!$C$25)&amp;"","$",""),",","")),0)/IF(Settings!$B$27="Yes",G1210,1))</f>
        <v/>
      </c>
      <c r="I1210" s="11">
        <f>IF(A1210="","",IFERROR(VALUE(SUBSTITUTE(SUBSTITUTE(INDEX('Etsy Import'!$A:$CZ,1210,Settings!$C$26)&amp;"","$",""),",","")),0)/IF(Settings!$B$27="Yes",G1210,1))</f>
        <v/>
      </c>
      <c r="J1210" s="11">
        <f>IF(A1210="","",F1210+H1210-I1210)</f>
        <v/>
      </c>
      <c r="K1210">
        <f>IF(A1210="","",IFERROR(IF(B1210="",NA(),MATCH(B1210,Products!$B$5:$B$204,0)),IFERROR(MATCH(A1210,Products!$A$5:$A$204,0),"")))</f>
        <v/>
      </c>
      <c r="L1210">
        <f>IF(A1210="","",IF(K1210="","⚠ not in Products",INDEX(Products!$A$5:$A$204,K1210)))</f>
        <v/>
      </c>
      <c r="M1210" s="11">
        <f>IF(A1210="","",J1210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1210+IFERROR(INDEX(Settings!$D$5:$D$9,MATCH("Etsy",Settings!$A$5:$A$9,0)),0)*D1210)</f>
        <v/>
      </c>
      <c r="N1210" s="11">
        <f>IF(A1210="","",IF(K1210="",0,D1210*INDEX(Products!$I$5:$I$204,K1210)))</f>
        <v/>
      </c>
      <c r="O1210" s="11">
        <f>IF(A1210="","",IF(K1210="",0,J1210*INDEX(Products!$H$5:$H$204,K1210)))</f>
        <v/>
      </c>
      <c r="P1210" s="11">
        <f>IF(A1210="","",J1210-M1210-N1210-O1210)</f>
        <v/>
      </c>
    </row>
    <row r="1211">
      <c r="A1211">
        <f>IFERROR(INDEX('Etsy Import'!$A:$CZ,1211,Settings!$C$20)&amp;"","")</f>
        <v/>
      </c>
      <c r="B1211">
        <f>IFERROR(INDEX('Etsy Import'!$A:$CZ,1211,Settings!$C$21)&amp;"","")</f>
        <v/>
      </c>
      <c r="C1211">
        <f>IFERROR(INDEX('Etsy Import'!$A:$CZ,1211,Settings!$C$22)&amp;"","")</f>
        <v/>
      </c>
      <c r="D1211">
        <f>IF(A1211="","",IFERROR(VALUE(SUBSTITUTE(SUBSTITUTE(INDEX('Etsy Import'!$A:$CZ,1211,Settings!$C$23)&amp;"","$",""),",","")),0))</f>
        <v/>
      </c>
      <c r="E1211" s="11">
        <f>IF(A1211="","",IFERROR(VALUE(SUBSTITUTE(SUBSTITUTE(INDEX('Etsy Import'!$A:$CZ,1211,Settings!$C$24)&amp;"","$",""),",","")),0))</f>
        <v/>
      </c>
      <c r="F1211" s="11">
        <f>IF(A1211="","",D1211*E1211)</f>
        <v/>
      </c>
      <c r="G1211">
        <f>IF(A1211="","",IF(C1211="",1,COUNTIF($C$2:$C$1501,C1211)))</f>
        <v/>
      </c>
      <c r="H1211" s="11">
        <f>IF(A1211="","",IFERROR(VALUE(SUBSTITUTE(SUBSTITUTE(INDEX('Etsy Import'!$A:$CZ,1211,Settings!$C$25)&amp;"","$",""),",","")),0)/IF(Settings!$B$27="Yes",G1211,1))</f>
        <v/>
      </c>
      <c r="I1211" s="11">
        <f>IF(A1211="","",IFERROR(VALUE(SUBSTITUTE(SUBSTITUTE(INDEX('Etsy Import'!$A:$CZ,1211,Settings!$C$26)&amp;"","$",""),",","")),0)/IF(Settings!$B$27="Yes",G1211,1))</f>
        <v/>
      </c>
      <c r="J1211" s="11">
        <f>IF(A1211="","",F1211+H1211-I1211)</f>
        <v/>
      </c>
      <c r="K1211">
        <f>IF(A1211="","",IFERROR(IF(B1211="",NA(),MATCH(B1211,Products!$B$5:$B$204,0)),IFERROR(MATCH(A1211,Products!$A$5:$A$204,0),"")))</f>
        <v/>
      </c>
      <c r="L1211">
        <f>IF(A1211="","",IF(K1211="","⚠ not in Products",INDEX(Products!$A$5:$A$204,K1211)))</f>
        <v/>
      </c>
      <c r="M1211" s="11">
        <f>IF(A1211="","",J1211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1211+IFERROR(INDEX(Settings!$D$5:$D$9,MATCH("Etsy",Settings!$A$5:$A$9,0)),0)*D1211)</f>
        <v/>
      </c>
      <c r="N1211" s="11">
        <f>IF(A1211="","",IF(K1211="",0,D1211*INDEX(Products!$I$5:$I$204,K1211)))</f>
        <v/>
      </c>
      <c r="O1211" s="11">
        <f>IF(A1211="","",IF(K1211="",0,J1211*INDEX(Products!$H$5:$H$204,K1211)))</f>
        <v/>
      </c>
      <c r="P1211" s="11">
        <f>IF(A1211="","",J1211-M1211-N1211-O1211)</f>
        <v/>
      </c>
    </row>
    <row r="1212">
      <c r="A1212">
        <f>IFERROR(INDEX('Etsy Import'!$A:$CZ,1212,Settings!$C$20)&amp;"","")</f>
        <v/>
      </c>
      <c r="B1212">
        <f>IFERROR(INDEX('Etsy Import'!$A:$CZ,1212,Settings!$C$21)&amp;"","")</f>
        <v/>
      </c>
      <c r="C1212">
        <f>IFERROR(INDEX('Etsy Import'!$A:$CZ,1212,Settings!$C$22)&amp;"","")</f>
        <v/>
      </c>
      <c r="D1212">
        <f>IF(A1212="","",IFERROR(VALUE(SUBSTITUTE(SUBSTITUTE(INDEX('Etsy Import'!$A:$CZ,1212,Settings!$C$23)&amp;"","$",""),",","")),0))</f>
        <v/>
      </c>
      <c r="E1212" s="11">
        <f>IF(A1212="","",IFERROR(VALUE(SUBSTITUTE(SUBSTITUTE(INDEX('Etsy Import'!$A:$CZ,1212,Settings!$C$24)&amp;"","$",""),",","")),0))</f>
        <v/>
      </c>
      <c r="F1212" s="11">
        <f>IF(A1212="","",D1212*E1212)</f>
        <v/>
      </c>
      <c r="G1212">
        <f>IF(A1212="","",IF(C1212="",1,COUNTIF($C$2:$C$1501,C1212)))</f>
        <v/>
      </c>
      <c r="H1212" s="11">
        <f>IF(A1212="","",IFERROR(VALUE(SUBSTITUTE(SUBSTITUTE(INDEX('Etsy Import'!$A:$CZ,1212,Settings!$C$25)&amp;"","$",""),",","")),0)/IF(Settings!$B$27="Yes",G1212,1))</f>
        <v/>
      </c>
      <c r="I1212" s="11">
        <f>IF(A1212="","",IFERROR(VALUE(SUBSTITUTE(SUBSTITUTE(INDEX('Etsy Import'!$A:$CZ,1212,Settings!$C$26)&amp;"","$",""),",","")),0)/IF(Settings!$B$27="Yes",G1212,1))</f>
        <v/>
      </c>
      <c r="J1212" s="11">
        <f>IF(A1212="","",F1212+H1212-I1212)</f>
        <v/>
      </c>
      <c r="K1212">
        <f>IF(A1212="","",IFERROR(IF(B1212="",NA(),MATCH(B1212,Products!$B$5:$B$204,0)),IFERROR(MATCH(A1212,Products!$A$5:$A$204,0),"")))</f>
        <v/>
      </c>
      <c r="L1212">
        <f>IF(A1212="","",IF(K1212="","⚠ not in Products",INDEX(Products!$A$5:$A$204,K1212)))</f>
        <v/>
      </c>
      <c r="M1212" s="11">
        <f>IF(A1212="","",J1212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1212+IFERROR(INDEX(Settings!$D$5:$D$9,MATCH("Etsy",Settings!$A$5:$A$9,0)),0)*D1212)</f>
        <v/>
      </c>
      <c r="N1212" s="11">
        <f>IF(A1212="","",IF(K1212="",0,D1212*INDEX(Products!$I$5:$I$204,K1212)))</f>
        <v/>
      </c>
      <c r="O1212" s="11">
        <f>IF(A1212="","",IF(K1212="",0,J1212*INDEX(Products!$H$5:$H$204,K1212)))</f>
        <v/>
      </c>
      <c r="P1212" s="11">
        <f>IF(A1212="","",J1212-M1212-N1212-O1212)</f>
        <v/>
      </c>
    </row>
    <row r="1213">
      <c r="A1213">
        <f>IFERROR(INDEX('Etsy Import'!$A:$CZ,1213,Settings!$C$20)&amp;"","")</f>
        <v/>
      </c>
      <c r="B1213">
        <f>IFERROR(INDEX('Etsy Import'!$A:$CZ,1213,Settings!$C$21)&amp;"","")</f>
        <v/>
      </c>
      <c r="C1213">
        <f>IFERROR(INDEX('Etsy Import'!$A:$CZ,1213,Settings!$C$22)&amp;"","")</f>
        <v/>
      </c>
      <c r="D1213">
        <f>IF(A1213="","",IFERROR(VALUE(SUBSTITUTE(SUBSTITUTE(INDEX('Etsy Import'!$A:$CZ,1213,Settings!$C$23)&amp;"","$",""),",","")),0))</f>
        <v/>
      </c>
      <c r="E1213" s="11">
        <f>IF(A1213="","",IFERROR(VALUE(SUBSTITUTE(SUBSTITUTE(INDEX('Etsy Import'!$A:$CZ,1213,Settings!$C$24)&amp;"","$",""),",","")),0))</f>
        <v/>
      </c>
      <c r="F1213" s="11">
        <f>IF(A1213="","",D1213*E1213)</f>
        <v/>
      </c>
      <c r="G1213">
        <f>IF(A1213="","",IF(C1213="",1,COUNTIF($C$2:$C$1501,C1213)))</f>
        <v/>
      </c>
      <c r="H1213" s="11">
        <f>IF(A1213="","",IFERROR(VALUE(SUBSTITUTE(SUBSTITUTE(INDEX('Etsy Import'!$A:$CZ,1213,Settings!$C$25)&amp;"","$",""),",","")),0)/IF(Settings!$B$27="Yes",G1213,1))</f>
        <v/>
      </c>
      <c r="I1213" s="11">
        <f>IF(A1213="","",IFERROR(VALUE(SUBSTITUTE(SUBSTITUTE(INDEX('Etsy Import'!$A:$CZ,1213,Settings!$C$26)&amp;"","$",""),",","")),0)/IF(Settings!$B$27="Yes",G1213,1))</f>
        <v/>
      </c>
      <c r="J1213" s="11">
        <f>IF(A1213="","",F1213+H1213-I1213)</f>
        <v/>
      </c>
      <c r="K1213">
        <f>IF(A1213="","",IFERROR(IF(B1213="",NA(),MATCH(B1213,Products!$B$5:$B$204,0)),IFERROR(MATCH(A1213,Products!$A$5:$A$204,0),"")))</f>
        <v/>
      </c>
      <c r="L1213">
        <f>IF(A1213="","",IF(K1213="","⚠ not in Products",INDEX(Products!$A$5:$A$204,K1213)))</f>
        <v/>
      </c>
      <c r="M1213" s="11">
        <f>IF(A1213="","",J1213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1213+IFERROR(INDEX(Settings!$D$5:$D$9,MATCH("Etsy",Settings!$A$5:$A$9,0)),0)*D1213)</f>
        <v/>
      </c>
      <c r="N1213" s="11">
        <f>IF(A1213="","",IF(K1213="",0,D1213*INDEX(Products!$I$5:$I$204,K1213)))</f>
        <v/>
      </c>
      <c r="O1213" s="11">
        <f>IF(A1213="","",IF(K1213="",0,J1213*INDEX(Products!$H$5:$H$204,K1213)))</f>
        <v/>
      </c>
      <c r="P1213" s="11">
        <f>IF(A1213="","",J1213-M1213-N1213-O1213)</f>
        <v/>
      </c>
    </row>
    <row r="1214">
      <c r="A1214">
        <f>IFERROR(INDEX('Etsy Import'!$A:$CZ,1214,Settings!$C$20)&amp;"","")</f>
        <v/>
      </c>
      <c r="B1214">
        <f>IFERROR(INDEX('Etsy Import'!$A:$CZ,1214,Settings!$C$21)&amp;"","")</f>
        <v/>
      </c>
      <c r="C1214">
        <f>IFERROR(INDEX('Etsy Import'!$A:$CZ,1214,Settings!$C$22)&amp;"","")</f>
        <v/>
      </c>
      <c r="D1214">
        <f>IF(A1214="","",IFERROR(VALUE(SUBSTITUTE(SUBSTITUTE(INDEX('Etsy Import'!$A:$CZ,1214,Settings!$C$23)&amp;"","$",""),",","")),0))</f>
        <v/>
      </c>
      <c r="E1214" s="11">
        <f>IF(A1214="","",IFERROR(VALUE(SUBSTITUTE(SUBSTITUTE(INDEX('Etsy Import'!$A:$CZ,1214,Settings!$C$24)&amp;"","$",""),",","")),0))</f>
        <v/>
      </c>
      <c r="F1214" s="11">
        <f>IF(A1214="","",D1214*E1214)</f>
        <v/>
      </c>
      <c r="G1214">
        <f>IF(A1214="","",IF(C1214="",1,COUNTIF($C$2:$C$1501,C1214)))</f>
        <v/>
      </c>
      <c r="H1214" s="11">
        <f>IF(A1214="","",IFERROR(VALUE(SUBSTITUTE(SUBSTITUTE(INDEX('Etsy Import'!$A:$CZ,1214,Settings!$C$25)&amp;"","$",""),",","")),0)/IF(Settings!$B$27="Yes",G1214,1))</f>
        <v/>
      </c>
      <c r="I1214" s="11">
        <f>IF(A1214="","",IFERROR(VALUE(SUBSTITUTE(SUBSTITUTE(INDEX('Etsy Import'!$A:$CZ,1214,Settings!$C$26)&amp;"","$",""),",","")),0)/IF(Settings!$B$27="Yes",G1214,1))</f>
        <v/>
      </c>
      <c r="J1214" s="11">
        <f>IF(A1214="","",F1214+H1214-I1214)</f>
        <v/>
      </c>
      <c r="K1214">
        <f>IF(A1214="","",IFERROR(IF(B1214="",NA(),MATCH(B1214,Products!$B$5:$B$204,0)),IFERROR(MATCH(A1214,Products!$A$5:$A$204,0),"")))</f>
        <v/>
      </c>
      <c r="L1214">
        <f>IF(A1214="","",IF(K1214="","⚠ not in Products",INDEX(Products!$A$5:$A$204,K1214)))</f>
        <v/>
      </c>
      <c r="M1214" s="11">
        <f>IF(A1214="","",J1214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1214+IFERROR(INDEX(Settings!$D$5:$D$9,MATCH("Etsy",Settings!$A$5:$A$9,0)),0)*D1214)</f>
        <v/>
      </c>
      <c r="N1214" s="11">
        <f>IF(A1214="","",IF(K1214="",0,D1214*INDEX(Products!$I$5:$I$204,K1214)))</f>
        <v/>
      </c>
      <c r="O1214" s="11">
        <f>IF(A1214="","",IF(K1214="",0,J1214*INDEX(Products!$H$5:$H$204,K1214)))</f>
        <v/>
      </c>
      <c r="P1214" s="11">
        <f>IF(A1214="","",J1214-M1214-N1214-O1214)</f>
        <v/>
      </c>
    </row>
    <row r="1215">
      <c r="A1215">
        <f>IFERROR(INDEX('Etsy Import'!$A:$CZ,1215,Settings!$C$20)&amp;"","")</f>
        <v/>
      </c>
      <c r="B1215">
        <f>IFERROR(INDEX('Etsy Import'!$A:$CZ,1215,Settings!$C$21)&amp;"","")</f>
        <v/>
      </c>
      <c r="C1215">
        <f>IFERROR(INDEX('Etsy Import'!$A:$CZ,1215,Settings!$C$22)&amp;"","")</f>
        <v/>
      </c>
      <c r="D1215">
        <f>IF(A1215="","",IFERROR(VALUE(SUBSTITUTE(SUBSTITUTE(INDEX('Etsy Import'!$A:$CZ,1215,Settings!$C$23)&amp;"","$",""),",","")),0))</f>
        <v/>
      </c>
      <c r="E1215" s="11">
        <f>IF(A1215="","",IFERROR(VALUE(SUBSTITUTE(SUBSTITUTE(INDEX('Etsy Import'!$A:$CZ,1215,Settings!$C$24)&amp;"","$",""),",","")),0))</f>
        <v/>
      </c>
      <c r="F1215" s="11">
        <f>IF(A1215="","",D1215*E1215)</f>
        <v/>
      </c>
      <c r="G1215">
        <f>IF(A1215="","",IF(C1215="",1,COUNTIF($C$2:$C$1501,C1215)))</f>
        <v/>
      </c>
      <c r="H1215" s="11">
        <f>IF(A1215="","",IFERROR(VALUE(SUBSTITUTE(SUBSTITUTE(INDEX('Etsy Import'!$A:$CZ,1215,Settings!$C$25)&amp;"","$",""),",","")),0)/IF(Settings!$B$27="Yes",G1215,1))</f>
        <v/>
      </c>
      <c r="I1215" s="11">
        <f>IF(A1215="","",IFERROR(VALUE(SUBSTITUTE(SUBSTITUTE(INDEX('Etsy Import'!$A:$CZ,1215,Settings!$C$26)&amp;"","$",""),",","")),0)/IF(Settings!$B$27="Yes",G1215,1))</f>
        <v/>
      </c>
      <c r="J1215" s="11">
        <f>IF(A1215="","",F1215+H1215-I1215)</f>
        <v/>
      </c>
      <c r="K1215">
        <f>IF(A1215="","",IFERROR(IF(B1215="",NA(),MATCH(B1215,Products!$B$5:$B$204,0)),IFERROR(MATCH(A1215,Products!$A$5:$A$204,0),"")))</f>
        <v/>
      </c>
      <c r="L1215">
        <f>IF(A1215="","",IF(K1215="","⚠ not in Products",INDEX(Products!$A$5:$A$204,K1215)))</f>
        <v/>
      </c>
      <c r="M1215" s="11">
        <f>IF(A1215="","",J1215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1215+IFERROR(INDEX(Settings!$D$5:$D$9,MATCH("Etsy",Settings!$A$5:$A$9,0)),0)*D1215)</f>
        <v/>
      </c>
      <c r="N1215" s="11">
        <f>IF(A1215="","",IF(K1215="",0,D1215*INDEX(Products!$I$5:$I$204,K1215)))</f>
        <v/>
      </c>
      <c r="O1215" s="11">
        <f>IF(A1215="","",IF(K1215="",0,J1215*INDEX(Products!$H$5:$H$204,K1215)))</f>
        <v/>
      </c>
      <c r="P1215" s="11">
        <f>IF(A1215="","",J1215-M1215-N1215-O1215)</f>
        <v/>
      </c>
    </row>
    <row r="1216">
      <c r="A1216">
        <f>IFERROR(INDEX('Etsy Import'!$A:$CZ,1216,Settings!$C$20)&amp;"","")</f>
        <v/>
      </c>
      <c r="B1216">
        <f>IFERROR(INDEX('Etsy Import'!$A:$CZ,1216,Settings!$C$21)&amp;"","")</f>
        <v/>
      </c>
      <c r="C1216">
        <f>IFERROR(INDEX('Etsy Import'!$A:$CZ,1216,Settings!$C$22)&amp;"","")</f>
        <v/>
      </c>
      <c r="D1216">
        <f>IF(A1216="","",IFERROR(VALUE(SUBSTITUTE(SUBSTITUTE(INDEX('Etsy Import'!$A:$CZ,1216,Settings!$C$23)&amp;"","$",""),",","")),0))</f>
        <v/>
      </c>
      <c r="E1216" s="11">
        <f>IF(A1216="","",IFERROR(VALUE(SUBSTITUTE(SUBSTITUTE(INDEX('Etsy Import'!$A:$CZ,1216,Settings!$C$24)&amp;"","$",""),",","")),0))</f>
        <v/>
      </c>
      <c r="F1216" s="11">
        <f>IF(A1216="","",D1216*E1216)</f>
        <v/>
      </c>
      <c r="G1216">
        <f>IF(A1216="","",IF(C1216="",1,COUNTIF($C$2:$C$1501,C1216)))</f>
        <v/>
      </c>
      <c r="H1216" s="11">
        <f>IF(A1216="","",IFERROR(VALUE(SUBSTITUTE(SUBSTITUTE(INDEX('Etsy Import'!$A:$CZ,1216,Settings!$C$25)&amp;"","$",""),",","")),0)/IF(Settings!$B$27="Yes",G1216,1))</f>
        <v/>
      </c>
      <c r="I1216" s="11">
        <f>IF(A1216="","",IFERROR(VALUE(SUBSTITUTE(SUBSTITUTE(INDEX('Etsy Import'!$A:$CZ,1216,Settings!$C$26)&amp;"","$",""),",","")),0)/IF(Settings!$B$27="Yes",G1216,1))</f>
        <v/>
      </c>
      <c r="J1216" s="11">
        <f>IF(A1216="","",F1216+H1216-I1216)</f>
        <v/>
      </c>
      <c r="K1216">
        <f>IF(A1216="","",IFERROR(IF(B1216="",NA(),MATCH(B1216,Products!$B$5:$B$204,0)),IFERROR(MATCH(A1216,Products!$A$5:$A$204,0),"")))</f>
        <v/>
      </c>
      <c r="L1216">
        <f>IF(A1216="","",IF(K1216="","⚠ not in Products",INDEX(Products!$A$5:$A$204,K1216)))</f>
        <v/>
      </c>
      <c r="M1216" s="11">
        <f>IF(A1216="","",J1216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1216+IFERROR(INDEX(Settings!$D$5:$D$9,MATCH("Etsy",Settings!$A$5:$A$9,0)),0)*D1216)</f>
        <v/>
      </c>
      <c r="N1216" s="11">
        <f>IF(A1216="","",IF(K1216="",0,D1216*INDEX(Products!$I$5:$I$204,K1216)))</f>
        <v/>
      </c>
      <c r="O1216" s="11">
        <f>IF(A1216="","",IF(K1216="",0,J1216*INDEX(Products!$H$5:$H$204,K1216)))</f>
        <v/>
      </c>
      <c r="P1216" s="11">
        <f>IF(A1216="","",J1216-M1216-N1216-O1216)</f>
        <v/>
      </c>
    </row>
    <row r="1217">
      <c r="A1217">
        <f>IFERROR(INDEX('Etsy Import'!$A:$CZ,1217,Settings!$C$20)&amp;"","")</f>
        <v/>
      </c>
      <c r="B1217">
        <f>IFERROR(INDEX('Etsy Import'!$A:$CZ,1217,Settings!$C$21)&amp;"","")</f>
        <v/>
      </c>
      <c r="C1217">
        <f>IFERROR(INDEX('Etsy Import'!$A:$CZ,1217,Settings!$C$22)&amp;"","")</f>
        <v/>
      </c>
      <c r="D1217">
        <f>IF(A1217="","",IFERROR(VALUE(SUBSTITUTE(SUBSTITUTE(INDEX('Etsy Import'!$A:$CZ,1217,Settings!$C$23)&amp;"","$",""),",","")),0))</f>
        <v/>
      </c>
      <c r="E1217" s="11">
        <f>IF(A1217="","",IFERROR(VALUE(SUBSTITUTE(SUBSTITUTE(INDEX('Etsy Import'!$A:$CZ,1217,Settings!$C$24)&amp;"","$",""),",","")),0))</f>
        <v/>
      </c>
      <c r="F1217" s="11">
        <f>IF(A1217="","",D1217*E1217)</f>
        <v/>
      </c>
      <c r="G1217">
        <f>IF(A1217="","",IF(C1217="",1,COUNTIF($C$2:$C$1501,C1217)))</f>
        <v/>
      </c>
      <c r="H1217" s="11">
        <f>IF(A1217="","",IFERROR(VALUE(SUBSTITUTE(SUBSTITUTE(INDEX('Etsy Import'!$A:$CZ,1217,Settings!$C$25)&amp;"","$",""),",","")),0)/IF(Settings!$B$27="Yes",G1217,1))</f>
        <v/>
      </c>
      <c r="I1217" s="11">
        <f>IF(A1217="","",IFERROR(VALUE(SUBSTITUTE(SUBSTITUTE(INDEX('Etsy Import'!$A:$CZ,1217,Settings!$C$26)&amp;"","$",""),",","")),0)/IF(Settings!$B$27="Yes",G1217,1))</f>
        <v/>
      </c>
      <c r="J1217" s="11">
        <f>IF(A1217="","",F1217+H1217-I1217)</f>
        <v/>
      </c>
      <c r="K1217">
        <f>IF(A1217="","",IFERROR(IF(B1217="",NA(),MATCH(B1217,Products!$B$5:$B$204,0)),IFERROR(MATCH(A1217,Products!$A$5:$A$204,0),"")))</f>
        <v/>
      </c>
      <c r="L1217">
        <f>IF(A1217="","",IF(K1217="","⚠ not in Products",INDEX(Products!$A$5:$A$204,K1217)))</f>
        <v/>
      </c>
      <c r="M1217" s="11">
        <f>IF(A1217="","",J1217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1217+IFERROR(INDEX(Settings!$D$5:$D$9,MATCH("Etsy",Settings!$A$5:$A$9,0)),0)*D1217)</f>
        <v/>
      </c>
      <c r="N1217" s="11">
        <f>IF(A1217="","",IF(K1217="",0,D1217*INDEX(Products!$I$5:$I$204,K1217)))</f>
        <v/>
      </c>
      <c r="O1217" s="11">
        <f>IF(A1217="","",IF(K1217="",0,J1217*INDEX(Products!$H$5:$H$204,K1217)))</f>
        <v/>
      </c>
      <c r="P1217" s="11">
        <f>IF(A1217="","",J1217-M1217-N1217-O1217)</f>
        <v/>
      </c>
    </row>
    <row r="1218">
      <c r="A1218">
        <f>IFERROR(INDEX('Etsy Import'!$A:$CZ,1218,Settings!$C$20)&amp;"","")</f>
        <v/>
      </c>
      <c r="B1218">
        <f>IFERROR(INDEX('Etsy Import'!$A:$CZ,1218,Settings!$C$21)&amp;"","")</f>
        <v/>
      </c>
      <c r="C1218">
        <f>IFERROR(INDEX('Etsy Import'!$A:$CZ,1218,Settings!$C$22)&amp;"","")</f>
        <v/>
      </c>
      <c r="D1218">
        <f>IF(A1218="","",IFERROR(VALUE(SUBSTITUTE(SUBSTITUTE(INDEX('Etsy Import'!$A:$CZ,1218,Settings!$C$23)&amp;"","$",""),",","")),0))</f>
        <v/>
      </c>
      <c r="E1218" s="11">
        <f>IF(A1218="","",IFERROR(VALUE(SUBSTITUTE(SUBSTITUTE(INDEX('Etsy Import'!$A:$CZ,1218,Settings!$C$24)&amp;"","$",""),",","")),0))</f>
        <v/>
      </c>
      <c r="F1218" s="11">
        <f>IF(A1218="","",D1218*E1218)</f>
        <v/>
      </c>
      <c r="G1218">
        <f>IF(A1218="","",IF(C1218="",1,COUNTIF($C$2:$C$1501,C1218)))</f>
        <v/>
      </c>
      <c r="H1218" s="11">
        <f>IF(A1218="","",IFERROR(VALUE(SUBSTITUTE(SUBSTITUTE(INDEX('Etsy Import'!$A:$CZ,1218,Settings!$C$25)&amp;"","$",""),",","")),0)/IF(Settings!$B$27="Yes",G1218,1))</f>
        <v/>
      </c>
      <c r="I1218" s="11">
        <f>IF(A1218="","",IFERROR(VALUE(SUBSTITUTE(SUBSTITUTE(INDEX('Etsy Import'!$A:$CZ,1218,Settings!$C$26)&amp;"","$",""),",","")),0)/IF(Settings!$B$27="Yes",G1218,1))</f>
        <v/>
      </c>
      <c r="J1218" s="11">
        <f>IF(A1218="","",F1218+H1218-I1218)</f>
        <v/>
      </c>
      <c r="K1218">
        <f>IF(A1218="","",IFERROR(IF(B1218="",NA(),MATCH(B1218,Products!$B$5:$B$204,0)),IFERROR(MATCH(A1218,Products!$A$5:$A$204,0),"")))</f>
        <v/>
      </c>
      <c r="L1218">
        <f>IF(A1218="","",IF(K1218="","⚠ not in Products",INDEX(Products!$A$5:$A$204,K1218)))</f>
        <v/>
      </c>
      <c r="M1218" s="11">
        <f>IF(A1218="","",J1218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1218+IFERROR(INDEX(Settings!$D$5:$D$9,MATCH("Etsy",Settings!$A$5:$A$9,0)),0)*D1218)</f>
        <v/>
      </c>
      <c r="N1218" s="11">
        <f>IF(A1218="","",IF(K1218="",0,D1218*INDEX(Products!$I$5:$I$204,K1218)))</f>
        <v/>
      </c>
      <c r="O1218" s="11">
        <f>IF(A1218="","",IF(K1218="",0,J1218*INDEX(Products!$H$5:$H$204,K1218)))</f>
        <v/>
      </c>
      <c r="P1218" s="11">
        <f>IF(A1218="","",J1218-M1218-N1218-O1218)</f>
        <v/>
      </c>
    </row>
    <row r="1219">
      <c r="A1219">
        <f>IFERROR(INDEX('Etsy Import'!$A:$CZ,1219,Settings!$C$20)&amp;"","")</f>
        <v/>
      </c>
      <c r="B1219">
        <f>IFERROR(INDEX('Etsy Import'!$A:$CZ,1219,Settings!$C$21)&amp;"","")</f>
        <v/>
      </c>
      <c r="C1219">
        <f>IFERROR(INDEX('Etsy Import'!$A:$CZ,1219,Settings!$C$22)&amp;"","")</f>
        <v/>
      </c>
      <c r="D1219">
        <f>IF(A1219="","",IFERROR(VALUE(SUBSTITUTE(SUBSTITUTE(INDEX('Etsy Import'!$A:$CZ,1219,Settings!$C$23)&amp;"","$",""),",","")),0))</f>
        <v/>
      </c>
      <c r="E1219" s="11">
        <f>IF(A1219="","",IFERROR(VALUE(SUBSTITUTE(SUBSTITUTE(INDEX('Etsy Import'!$A:$CZ,1219,Settings!$C$24)&amp;"","$",""),",","")),0))</f>
        <v/>
      </c>
      <c r="F1219" s="11">
        <f>IF(A1219="","",D1219*E1219)</f>
        <v/>
      </c>
      <c r="G1219">
        <f>IF(A1219="","",IF(C1219="",1,COUNTIF($C$2:$C$1501,C1219)))</f>
        <v/>
      </c>
      <c r="H1219" s="11">
        <f>IF(A1219="","",IFERROR(VALUE(SUBSTITUTE(SUBSTITUTE(INDEX('Etsy Import'!$A:$CZ,1219,Settings!$C$25)&amp;"","$",""),",","")),0)/IF(Settings!$B$27="Yes",G1219,1))</f>
        <v/>
      </c>
      <c r="I1219" s="11">
        <f>IF(A1219="","",IFERROR(VALUE(SUBSTITUTE(SUBSTITUTE(INDEX('Etsy Import'!$A:$CZ,1219,Settings!$C$26)&amp;"","$",""),",","")),0)/IF(Settings!$B$27="Yes",G1219,1))</f>
        <v/>
      </c>
      <c r="J1219" s="11">
        <f>IF(A1219="","",F1219+H1219-I1219)</f>
        <v/>
      </c>
      <c r="K1219">
        <f>IF(A1219="","",IFERROR(IF(B1219="",NA(),MATCH(B1219,Products!$B$5:$B$204,0)),IFERROR(MATCH(A1219,Products!$A$5:$A$204,0),"")))</f>
        <v/>
      </c>
      <c r="L1219">
        <f>IF(A1219="","",IF(K1219="","⚠ not in Products",INDEX(Products!$A$5:$A$204,K1219)))</f>
        <v/>
      </c>
      <c r="M1219" s="11">
        <f>IF(A1219="","",J1219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1219+IFERROR(INDEX(Settings!$D$5:$D$9,MATCH("Etsy",Settings!$A$5:$A$9,0)),0)*D1219)</f>
        <v/>
      </c>
      <c r="N1219" s="11">
        <f>IF(A1219="","",IF(K1219="",0,D1219*INDEX(Products!$I$5:$I$204,K1219)))</f>
        <v/>
      </c>
      <c r="O1219" s="11">
        <f>IF(A1219="","",IF(K1219="",0,J1219*INDEX(Products!$H$5:$H$204,K1219)))</f>
        <v/>
      </c>
      <c r="P1219" s="11">
        <f>IF(A1219="","",J1219-M1219-N1219-O1219)</f>
        <v/>
      </c>
    </row>
    <row r="1220">
      <c r="A1220">
        <f>IFERROR(INDEX('Etsy Import'!$A:$CZ,1220,Settings!$C$20)&amp;"","")</f>
        <v/>
      </c>
      <c r="B1220">
        <f>IFERROR(INDEX('Etsy Import'!$A:$CZ,1220,Settings!$C$21)&amp;"","")</f>
        <v/>
      </c>
      <c r="C1220">
        <f>IFERROR(INDEX('Etsy Import'!$A:$CZ,1220,Settings!$C$22)&amp;"","")</f>
        <v/>
      </c>
      <c r="D1220">
        <f>IF(A1220="","",IFERROR(VALUE(SUBSTITUTE(SUBSTITUTE(INDEX('Etsy Import'!$A:$CZ,1220,Settings!$C$23)&amp;"","$",""),",","")),0))</f>
        <v/>
      </c>
      <c r="E1220" s="11">
        <f>IF(A1220="","",IFERROR(VALUE(SUBSTITUTE(SUBSTITUTE(INDEX('Etsy Import'!$A:$CZ,1220,Settings!$C$24)&amp;"","$",""),",","")),0))</f>
        <v/>
      </c>
      <c r="F1220" s="11">
        <f>IF(A1220="","",D1220*E1220)</f>
        <v/>
      </c>
      <c r="G1220">
        <f>IF(A1220="","",IF(C1220="",1,COUNTIF($C$2:$C$1501,C1220)))</f>
        <v/>
      </c>
      <c r="H1220" s="11">
        <f>IF(A1220="","",IFERROR(VALUE(SUBSTITUTE(SUBSTITUTE(INDEX('Etsy Import'!$A:$CZ,1220,Settings!$C$25)&amp;"","$",""),",","")),0)/IF(Settings!$B$27="Yes",G1220,1))</f>
        <v/>
      </c>
      <c r="I1220" s="11">
        <f>IF(A1220="","",IFERROR(VALUE(SUBSTITUTE(SUBSTITUTE(INDEX('Etsy Import'!$A:$CZ,1220,Settings!$C$26)&amp;"","$",""),",","")),0)/IF(Settings!$B$27="Yes",G1220,1))</f>
        <v/>
      </c>
      <c r="J1220" s="11">
        <f>IF(A1220="","",F1220+H1220-I1220)</f>
        <v/>
      </c>
      <c r="K1220">
        <f>IF(A1220="","",IFERROR(IF(B1220="",NA(),MATCH(B1220,Products!$B$5:$B$204,0)),IFERROR(MATCH(A1220,Products!$A$5:$A$204,0),"")))</f>
        <v/>
      </c>
      <c r="L1220">
        <f>IF(A1220="","",IF(K1220="","⚠ not in Products",INDEX(Products!$A$5:$A$204,K1220)))</f>
        <v/>
      </c>
      <c r="M1220" s="11">
        <f>IF(A1220="","",J1220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1220+IFERROR(INDEX(Settings!$D$5:$D$9,MATCH("Etsy",Settings!$A$5:$A$9,0)),0)*D1220)</f>
        <v/>
      </c>
      <c r="N1220" s="11">
        <f>IF(A1220="","",IF(K1220="",0,D1220*INDEX(Products!$I$5:$I$204,K1220)))</f>
        <v/>
      </c>
      <c r="O1220" s="11">
        <f>IF(A1220="","",IF(K1220="",0,J1220*INDEX(Products!$H$5:$H$204,K1220)))</f>
        <v/>
      </c>
      <c r="P1220" s="11">
        <f>IF(A1220="","",J1220-M1220-N1220-O1220)</f>
        <v/>
      </c>
    </row>
    <row r="1221">
      <c r="A1221">
        <f>IFERROR(INDEX('Etsy Import'!$A:$CZ,1221,Settings!$C$20)&amp;"","")</f>
        <v/>
      </c>
      <c r="B1221">
        <f>IFERROR(INDEX('Etsy Import'!$A:$CZ,1221,Settings!$C$21)&amp;"","")</f>
        <v/>
      </c>
      <c r="C1221">
        <f>IFERROR(INDEX('Etsy Import'!$A:$CZ,1221,Settings!$C$22)&amp;"","")</f>
        <v/>
      </c>
      <c r="D1221">
        <f>IF(A1221="","",IFERROR(VALUE(SUBSTITUTE(SUBSTITUTE(INDEX('Etsy Import'!$A:$CZ,1221,Settings!$C$23)&amp;"","$",""),",","")),0))</f>
        <v/>
      </c>
      <c r="E1221" s="11">
        <f>IF(A1221="","",IFERROR(VALUE(SUBSTITUTE(SUBSTITUTE(INDEX('Etsy Import'!$A:$CZ,1221,Settings!$C$24)&amp;"","$",""),",","")),0))</f>
        <v/>
      </c>
      <c r="F1221" s="11">
        <f>IF(A1221="","",D1221*E1221)</f>
        <v/>
      </c>
      <c r="G1221">
        <f>IF(A1221="","",IF(C1221="",1,COUNTIF($C$2:$C$1501,C1221)))</f>
        <v/>
      </c>
      <c r="H1221" s="11">
        <f>IF(A1221="","",IFERROR(VALUE(SUBSTITUTE(SUBSTITUTE(INDEX('Etsy Import'!$A:$CZ,1221,Settings!$C$25)&amp;"","$",""),",","")),0)/IF(Settings!$B$27="Yes",G1221,1))</f>
        <v/>
      </c>
      <c r="I1221" s="11">
        <f>IF(A1221="","",IFERROR(VALUE(SUBSTITUTE(SUBSTITUTE(INDEX('Etsy Import'!$A:$CZ,1221,Settings!$C$26)&amp;"","$",""),",","")),0)/IF(Settings!$B$27="Yes",G1221,1))</f>
        <v/>
      </c>
      <c r="J1221" s="11">
        <f>IF(A1221="","",F1221+H1221-I1221)</f>
        <v/>
      </c>
      <c r="K1221">
        <f>IF(A1221="","",IFERROR(IF(B1221="",NA(),MATCH(B1221,Products!$B$5:$B$204,0)),IFERROR(MATCH(A1221,Products!$A$5:$A$204,0),"")))</f>
        <v/>
      </c>
      <c r="L1221">
        <f>IF(A1221="","",IF(K1221="","⚠ not in Products",INDEX(Products!$A$5:$A$204,K1221)))</f>
        <v/>
      </c>
      <c r="M1221" s="11">
        <f>IF(A1221="","",J1221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1221+IFERROR(INDEX(Settings!$D$5:$D$9,MATCH("Etsy",Settings!$A$5:$A$9,0)),0)*D1221)</f>
        <v/>
      </c>
      <c r="N1221" s="11">
        <f>IF(A1221="","",IF(K1221="",0,D1221*INDEX(Products!$I$5:$I$204,K1221)))</f>
        <v/>
      </c>
      <c r="O1221" s="11">
        <f>IF(A1221="","",IF(K1221="",0,J1221*INDEX(Products!$H$5:$H$204,K1221)))</f>
        <v/>
      </c>
      <c r="P1221" s="11">
        <f>IF(A1221="","",J1221-M1221-N1221-O1221)</f>
        <v/>
      </c>
    </row>
    <row r="1222">
      <c r="A1222">
        <f>IFERROR(INDEX('Etsy Import'!$A:$CZ,1222,Settings!$C$20)&amp;"","")</f>
        <v/>
      </c>
      <c r="B1222">
        <f>IFERROR(INDEX('Etsy Import'!$A:$CZ,1222,Settings!$C$21)&amp;"","")</f>
        <v/>
      </c>
      <c r="C1222">
        <f>IFERROR(INDEX('Etsy Import'!$A:$CZ,1222,Settings!$C$22)&amp;"","")</f>
        <v/>
      </c>
      <c r="D1222">
        <f>IF(A1222="","",IFERROR(VALUE(SUBSTITUTE(SUBSTITUTE(INDEX('Etsy Import'!$A:$CZ,1222,Settings!$C$23)&amp;"","$",""),",","")),0))</f>
        <v/>
      </c>
      <c r="E1222" s="11">
        <f>IF(A1222="","",IFERROR(VALUE(SUBSTITUTE(SUBSTITUTE(INDEX('Etsy Import'!$A:$CZ,1222,Settings!$C$24)&amp;"","$",""),",","")),0))</f>
        <v/>
      </c>
      <c r="F1222" s="11">
        <f>IF(A1222="","",D1222*E1222)</f>
        <v/>
      </c>
      <c r="G1222">
        <f>IF(A1222="","",IF(C1222="",1,COUNTIF($C$2:$C$1501,C1222)))</f>
        <v/>
      </c>
      <c r="H1222" s="11">
        <f>IF(A1222="","",IFERROR(VALUE(SUBSTITUTE(SUBSTITUTE(INDEX('Etsy Import'!$A:$CZ,1222,Settings!$C$25)&amp;"","$",""),",","")),0)/IF(Settings!$B$27="Yes",G1222,1))</f>
        <v/>
      </c>
      <c r="I1222" s="11">
        <f>IF(A1222="","",IFERROR(VALUE(SUBSTITUTE(SUBSTITUTE(INDEX('Etsy Import'!$A:$CZ,1222,Settings!$C$26)&amp;"","$",""),",","")),0)/IF(Settings!$B$27="Yes",G1222,1))</f>
        <v/>
      </c>
      <c r="J1222" s="11">
        <f>IF(A1222="","",F1222+H1222-I1222)</f>
        <v/>
      </c>
      <c r="K1222">
        <f>IF(A1222="","",IFERROR(IF(B1222="",NA(),MATCH(B1222,Products!$B$5:$B$204,0)),IFERROR(MATCH(A1222,Products!$A$5:$A$204,0),"")))</f>
        <v/>
      </c>
      <c r="L1222">
        <f>IF(A1222="","",IF(K1222="","⚠ not in Products",INDEX(Products!$A$5:$A$204,K1222)))</f>
        <v/>
      </c>
      <c r="M1222" s="11">
        <f>IF(A1222="","",J1222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1222+IFERROR(INDEX(Settings!$D$5:$D$9,MATCH("Etsy",Settings!$A$5:$A$9,0)),0)*D1222)</f>
        <v/>
      </c>
      <c r="N1222" s="11">
        <f>IF(A1222="","",IF(K1222="",0,D1222*INDEX(Products!$I$5:$I$204,K1222)))</f>
        <v/>
      </c>
      <c r="O1222" s="11">
        <f>IF(A1222="","",IF(K1222="",0,J1222*INDEX(Products!$H$5:$H$204,K1222)))</f>
        <v/>
      </c>
      <c r="P1222" s="11">
        <f>IF(A1222="","",J1222-M1222-N1222-O1222)</f>
        <v/>
      </c>
    </row>
    <row r="1223">
      <c r="A1223">
        <f>IFERROR(INDEX('Etsy Import'!$A:$CZ,1223,Settings!$C$20)&amp;"","")</f>
        <v/>
      </c>
      <c r="B1223">
        <f>IFERROR(INDEX('Etsy Import'!$A:$CZ,1223,Settings!$C$21)&amp;"","")</f>
        <v/>
      </c>
      <c r="C1223">
        <f>IFERROR(INDEX('Etsy Import'!$A:$CZ,1223,Settings!$C$22)&amp;"","")</f>
        <v/>
      </c>
      <c r="D1223">
        <f>IF(A1223="","",IFERROR(VALUE(SUBSTITUTE(SUBSTITUTE(INDEX('Etsy Import'!$A:$CZ,1223,Settings!$C$23)&amp;"","$",""),",","")),0))</f>
        <v/>
      </c>
      <c r="E1223" s="11">
        <f>IF(A1223="","",IFERROR(VALUE(SUBSTITUTE(SUBSTITUTE(INDEX('Etsy Import'!$A:$CZ,1223,Settings!$C$24)&amp;"","$",""),",","")),0))</f>
        <v/>
      </c>
      <c r="F1223" s="11">
        <f>IF(A1223="","",D1223*E1223)</f>
        <v/>
      </c>
      <c r="G1223">
        <f>IF(A1223="","",IF(C1223="",1,COUNTIF($C$2:$C$1501,C1223)))</f>
        <v/>
      </c>
      <c r="H1223" s="11">
        <f>IF(A1223="","",IFERROR(VALUE(SUBSTITUTE(SUBSTITUTE(INDEX('Etsy Import'!$A:$CZ,1223,Settings!$C$25)&amp;"","$",""),",","")),0)/IF(Settings!$B$27="Yes",G1223,1))</f>
        <v/>
      </c>
      <c r="I1223" s="11">
        <f>IF(A1223="","",IFERROR(VALUE(SUBSTITUTE(SUBSTITUTE(INDEX('Etsy Import'!$A:$CZ,1223,Settings!$C$26)&amp;"","$",""),",","")),0)/IF(Settings!$B$27="Yes",G1223,1))</f>
        <v/>
      </c>
      <c r="J1223" s="11">
        <f>IF(A1223="","",F1223+H1223-I1223)</f>
        <v/>
      </c>
      <c r="K1223">
        <f>IF(A1223="","",IFERROR(IF(B1223="",NA(),MATCH(B1223,Products!$B$5:$B$204,0)),IFERROR(MATCH(A1223,Products!$A$5:$A$204,0),"")))</f>
        <v/>
      </c>
      <c r="L1223">
        <f>IF(A1223="","",IF(K1223="","⚠ not in Products",INDEX(Products!$A$5:$A$204,K1223)))</f>
        <v/>
      </c>
      <c r="M1223" s="11">
        <f>IF(A1223="","",J1223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1223+IFERROR(INDEX(Settings!$D$5:$D$9,MATCH("Etsy",Settings!$A$5:$A$9,0)),0)*D1223)</f>
        <v/>
      </c>
      <c r="N1223" s="11">
        <f>IF(A1223="","",IF(K1223="",0,D1223*INDEX(Products!$I$5:$I$204,K1223)))</f>
        <v/>
      </c>
      <c r="O1223" s="11">
        <f>IF(A1223="","",IF(K1223="",0,J1223*INDEX(Products!$H$5:$H$204,K1223)))</f>
        <v/>
      </c>
      <c r="P1223" s="11">
        <f>IF(A1223="","",J1223-M1223-N1223-O1223)</f>
        <v/>
      </c>
    </row>
    <row r="1224">
      <c r="A1224">
        <f>IFERROR(INDEX('Etsy Import'!$A:$CZ,1224,Settings!$C$20)&amp;"","")</f>
        <v/>
      </c>
      <c r="B1224">
        <f>IFERROR(INDEX('Etsy Import'!$A:$CZ,1224,Settings!$C$21)&amp;"","")</f>
        <v/>
      </c>
      <c r="C1224">
        <f>IFERROR(INDEX('Etsy Import'!$A:$CZ,1224,Settings!$C$22)&amp;"","")</f>
        <v/>
      </c>
      <c r="D1224">
        <f>IF(A1224="","",IFERROR(VALUE(SUBSTITUTE(SUBSTITUTE(INDEX('Etsy Import'!$A:$CZ,1224,Settings!$C$23)&amp;"","$",""),",","")),0))</f>
        <v/>
      </c>
      <c r="E1224" s="11">
        <f>IF(A1224="","",IFERROR(VALUE(SUBSTITUTE(SUBSTITUTE(INDEX('Etsy Import'!$A:$CZ,1224,Settings!$C$24)&amp;"","$",""),",","")),0))</f>
        <v/>
      </c>
      <c r="F1224" s="11">
        <f>IF(A1224="","",D1224*E1224)</f>
        <v/>
      </c>
      <c r="G1224">
        <f>IF(A1224="","",IF(C1224="",1,COUNTIF($C$2:$C$1501,C1224)))</f>
        <v/>
      </c>
      <c r="H1224" s="11">
        <f>IF(A1224="","",IFERROR(VALUE(SUBSTITUTE(SUBSTITUTE(INDEX('Etsy Import'!$A:$CZ,1224,Settings!$C$25)&amp;"","$",""),",","")),0)/IF(Settings!$B$27="Yes",G1224,1))</f>
        <v/>
      </c>
      <c r="I1224" s="11">
        <f>IF(A1224="","",IFERROR(VALUE(SUBSTITUTE(SUBSTITUTE(INDEX('Etsy Import'!$A:$CZ,1224,Settings!$C$26)&amp;"","$",""),",","")),0)/IF(Settings!$B$27="Yes",G1224,1))</f>
        <v/>
      </c>
      <c r="J1224" s="11">
        <f>IF(A1224="","",F1224+H1224-I1224)</f>
        <v/>
      </c>
      <c r="K1224">
        <f>IF(A1224="","",IFERROR(IF(B1224="",NA(),MATCH(B1224,Products!$B$5:$B$204,0)),IFERROR(MATCH(A1224,Products!$A$5:$A$204,0),"")))</f>
        <v/>
      </c>
      <c r="L1224">
        <f>IF(A1224="","",IF(K1224="","⚠ not in Products",INDEX(Products!$A$5:$A$204,K1224)))</f>
        <v/>
      </c>
      <c r="M1224" s="11">
        <f>IF(A1224="","",J1224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1224+IFERROR(INDEX(Settings!$D$5:$D$9,MATCH("Etsy",Settings!$A$5:$A$9,0)),0)*D1224)</f>
        <v/>
      </c>
      <c r="N1224" s="11">
        <f>IF(A1224="","",IF(K1224="",0,D1224*INDEX(Products!$I$5:$I$204,K1224)))</f>
        <v/>
      </c>
      <c r="O1224" s="11">
        <f>IF(A1224="","",IF(K1224="",0,J1224*INDEX(Products!$H$5:$H$204,K1224)))</f>
        <v/>
      </c>
      <c r="P1224" s="11">
        <f>IF(A1224="","",J1224-M1224-N1224-O1224)</f>
        <v/>
      </c>
    </row>
    <row r="1225">
      <c r="A1225">
        <f>IFERROR(INDEX('Etsy Import'!$A:$CZ,1225,Settings!$C$20)&amp;"","")</f>
        <v/>
      </c>
      <c r="B1225">
        <f>IFERROR(INDEX('Etsy Import'!$A:$CZ,1225,Settings!$C$21)&amp;"","")</f>
        <v/>
      </c>
      <c r="C1225">
        <f>IFERROR(INDEX('Etsy Import'!$A:$CZ,1225,Settings!$C$22)&amp;"","")</f>
        <v/>
      </c>
      <c r="D1225">
        <f>IF(A1225="","",IFERROR(VALUE(SUBSTITUTE(SUBSTITUTE(INDEX('Etsy Import'!$A:$CZ,1225,Settings!$C$23)&amp;"","$",""),",","")),0))</f>
        <v/>
      </c>
      <c r="E1225" s="11">
        <f>IF(A1225="","",IFERROR(VALUE(SUBSTITUTE(SUBSTITUTE(INDEX('Etsy Import'!$A:$CZ,1225,Settings!$C$24)&amp;"","$",""),",","")),0))</f>
        <v/>
      </c>
      <c r="F1225" s="11">
        <f>IF(A1225="","",D1225*E1225)</f>
        <v/>
      </c>
      <c r="G1225">
        <f>IF(A1225="","",IF(C1225="",1,COUNTIF($C$2:$C$1501,C1225)))</f>
        <v/>
      </c>
      <c r="H1225" s="11">
        <f>IF(A1225="","",IFERROR(VALUE(SUBSTITUTE(SUBSTITUTE(INDEX('Etsy Import'!$A:$CZ,1225,Settings!$C$25)&amp;"","$",""),",","")),0)/IF(Settings!$B$27="Yes",G1225,1))</f>
        <v/>
      </c>
      <c r="I1225" s="11">
        <f>IF(A1225="","",IFERROR(VALUE(SUBSTITUTE(SUBSTITUTE(INDEX('Etsy Import'!$A:$CZ,1225,Settings!$C$26)&amp;"","$",""),",","")),0)/IF(Settings!$B$27="Yes",G1225,1))</f>
        <v/>
      </c>
      <c r="J1225" s="11">
        <f>IF(A1225="","",F1225+H1225-I1225)</f>
        <v/>
      </c>
      <c r="K1225">
        <f>IF(A1225="","",IFERROR(IF(B1225="",NA(),MATCH(B1225,Products!$B$5:$B$204,0)),IFERROR(MATCH(A1225,Products!$A$5:$A$204,0),"")))</f>
        <v/>
      </c>
      <c r="L1225">
        <f>IF(A1225="","",IF(K1225="","⚠ not in Products",INDEX(Products!$A$5:$A$204,K1225)))</f>
        <v/>
      </c>
      <c r="M1225" s="11">
        <f>IF(A1225="","",J1225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1225+IFERROR(INDEX(Settings!$D$5:$D$9,MATCH("Etsy",Settings!$A$5:$A$9,0)),0)*D1225)</f>
        <v/>
      </c>
      <c r="N1225" s="11">
        <f>IF(A1225="","",IF(K1225="",0,D1225*INDEX(Products!$I$5:$I$204,K1225)))</f>
        <v/>
      </c>
      <c r="O1225" s="11">
        <f>IF(A1225="","",IF(K1225="",0,J1225*INDEX(Products!$H$5:$H$204,K1225)))</f>
        <v/>
      </c>
      <c r="P1225" s="11">
        <f>IF(A1225="","",J1225-M1225-N1225-O1225)</f>
        <v/>
      </c>
    </row>
    <row r="1226">
      <c r="A1226">
        <f>IFERROR(INDEX('Etsy Import'!$A:$CZ,1226,Settings!$C$20)&amp;"","")</f>
        <v/>
      </c>
      <c r="B1226">
        <f>IFERROR(INDEX('Etsy Import'!$A:$CZ,1226,Settings!$C$21)&amp;"","")</f>
        <v/>
      </c>
      <c r="C1226">
        <f>IFERROR(INDEX('Etsy Import'!$A:$CZ,1226,Settings!$C$22)&amp;"","")</f>
        <v/>
      </c>
      <c r="D1226">
        <f>IF(A1226="","",IFERROR(VALUE(SUBSTITUTE(SUBSTITUTE(INDEX('Etsy Import'!$A:$CZ,1226,Settings!$C$23)&amp;"","$",""),",","")),0))</f>
        <v/>
      </c>
      <c r="E1226" s="11">
        <f>IF(A1226="","",IFERROR(VALUE(SUBSTITUTE(SUBSTITUTE(INDEX('Etsy Import'!$A:$CZ,1226,Settings!$C$24)&amp;"","$",""),",","")),0))</f>
        <v/>
      </c>
      <c r="F1226" s="11">
        <f>IF(A1226="","",D1226*E1226)</f>
        <v/>
      </c>
      <c r="G1226">
        <f>IF(A1226="","",IF(C1226="",1,COUNTIF($C$2:$C$1501,C1226)))</f>
        <v/>
      </c>
      <c r="H1226" s="11">
        <f>IF(A1226="","",IFERROR(VALUE(SUBSTITUTE(SUBSTITUTE(INDEX('Etsy Import'!$A:$CZ,1226,Settings!$C$25)&amp;"","$",""),",","")),0)/IF(Settings!$B$27="Yes",G1226,1))</f>
        <v/>
      </c>
      <c r="I1226" s="11">
        <f>IF(A1226="","",IFERROR(VALUE(SUBSTITUTE(SUBSTITUTE(INDEX('Etsy Import'!$A:$CZ,1226,Settings!$C$26)&amp;"","$",""),",","")),0)/IF(Settings!$B$27="Yes",G1226,1))</f>
        <v/>
      </c>
      <c r="J1226" s="11">
        <f>IF(A1226="","",F1226+H1226-I1226)</f>
        <v/>
      </c>
      <c r="K1226">
        <f>IF(A1226="","",IFERROR(IF(B1226="",NA(),MATCH(B1226,Products!$B$5:$B$204,0)),IFERROR(MATCH(A1226,Products!$A$5:$A$204,0),"")))</f>
        <v/>
      </c>
      <c r="L1226">
        <f>IF(A1226="","",IF(K1226="","⚠ not in Products",INDEX(Products!$A$5:$A$204,K1226)))</f>
        <v/>
      </c>
      <c r="M1226" s="11">
        <f>IF(A1226="","",J1226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1226+IFERROR(INDEX(Settings!$D$5:$D$9,MATCH("Etsy",Settings!$A$5:$A$9,0)),0)*D1226)</f>
        <v/>
      </c>
      <c r="N1226" s="11">
        <f>IF(A1226="","",IF(K1226="",0,D1226*INDEX(Products!$I$5:$I$204,K1226)))</f>
        <v/>
      </c>
      <c r="O1226" s="11">
        <f>IF(A1226="","",IF(K1226="",0,J1226*INDEX(Products!$H$5:$H$204,K1226)))</f>
        <v/>
      </c>
      <c r="P1226" s="11">
        <f>IF(A1226="","",J1226-M1226-N1226-O1226)</f>
        <v/>
      </c>
    </row>
    <row r="1227">
      <c r="A1227">
        <f>IFERROR(INDEX('Etsy Import'!$A:$CZ,1227,Settings!$C$20)&amp;"","")</f>
        <v/>
      </c>
      <c r="B1227">
        <f>IFERROR(INDEX('Etsy Import'!$A:$CZ,1227,Settings!$C$21)&amp;"","")</f>
        <v/>
      </c>
      <c r="C1227">
        <f>IFERROR(INDEX('Etsy Import'!$A:$CZ,1227,Settings!$C$22)&amp;"","")</f>
        <v/>
      </c>
      <c r="D1227">
        <f>IF(A1227="","",IFERROR(VALUE(SUBSTITUTE(SUBSTITUTE(INDEX('Etsy Import'!$A:$CZ,1227,Settings!$C$23)&amp;"","$",""),",","")),0))</f>
        <v/>
      </c>
      <c r="E1227" s="11">
        <f>IF(A1227="","",IFERROR(VALUE(SUBSTITUTE(SUBSTITUTE(INDEX('Etsy Import'!$A:$CZ,1227,Settings!$C$24)&amp;"","$",""),",","")),0))</f>
        <v/>
      </c>
      <c r="F1227" s="11">
        <f>IF(A1227="","",D1227*E1227)</f>
        <v/>
      </c>
      <c r="G1227">
        <f>IF(A1227="","",IF(C1227="",1,COUNTIF($C$2:$C$1501,C1227)))</f>
        <v/>
      </c>
      <c r="H1227" s="11">
        <f>IF(A1227="","",IFERROR(VALUE(SUBSTITUTE(SUBSTITUTE(INDEX('Etsy Import'!$A:$CZ,1227,Settings!$C$25)&amp;"","$",""),",","")),0)/IF(Settings!$B$27="Yes",G1227,1))</f>
        <v/>
      </c>
      <c r="I1227" s="11">
        <f>IF(A1227="","",IFERROR(VALUE(SUBSTITUTE(SUBSTITUTE(INDEX('Etsy Import'!$A:$CZ,1227,Settings!$C$26)&amp;"","$",""),",","")),0)/IF(Settings!$B$27="Yes",G1227,1))</f>
        <v/>
      </c>
      <c r="J1227" s="11">
        <f>IF(A1227="","",F1227+H1227-I1227)</f>
        <v/>
      </c>
      <c r="K1227">
        <f>IF(A1227="","",IFERROR(IF(B1227="",NA(),MATCH(B1227,Products!$B$5:$B$204,0)),IFERROR(MATCH(A1227,Products!$A$5:$A$204,0),"")))</f>
        <v/>
      </c>
      <c r="L1227">
        <f>IF(A1227="","",IF(K1227="","⚠ not in Products",INDEX(Products!$A$5:$A$204,K1227)))</f>
        <v/>
      </c>
      <c r="M1227" s="11">
        <f>IF(A1227="","",J1227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1227+IFERROR(INDEX(Settings!$D$5:$D$9,MATCH("Etsy",Settings!$A$5:$A$9,0)),0)*D1227)</f>
        <v/>
      </c>
      <c r="N1227" s="11">
        <f>IF(A1227="","",IF(K1227="",0,D1227*INDEX(Products!$I$5:$I$204,K1227)))</f>
        <v/>
      </c>
      <c r="O1227" s="11">
        <f>IF(A1227="","",IF(K1227="",0,J1227*INDEX(Products!$H$5:$H$204,K1227)))</f>
        <v/>
      </c>
      <c r="P1227" s="11">
        <f>IF(A1227="","",J1227-M1227-N1227-O1227)</f>
        <v/>
      </c>
    </row>
    <row r="1228">
      <c r="A1228">
        <f>IFERROR(INDEX('Etsy Import'!$A:$CZ,1228,Settings!$C$20)&amp;"","")</f>
        <v/>
      </c>
      <c r="B1228">
        <f>IFERROR(INDEX('Etsy Import'!$A:$CZ,1228,Settings!$C$21)&amp;"","")</f>
        <v/>
      </c>
      <c r="C1228">
        <f>IFERROR(INDEX('Etsy Import'!$A:$CZ,1228,Settings!$C$22)&amp;"","")</f>
        <v/>
      </c>
      <c r="D1228">
        <f>IF(A1228="","",IFERROR(VALUE(SUBSTITUTE(SUBSTITUTE(INDEX('Etsy Import'!$A:$CZ,1228,Settings!$C$23)&amp;"","$",""),",","")),0))</f>
        <v/>
      </c>
      <c r="E1228" s="11">
        <f>IF(A1228="","",IFERROR(VALUE(SUBSTITUTE(SUBSTITUTE(INDEX('Etsy Import'!$A:$CZ,1228,Settings!$C$24)&amp;"","$",""),",","")),0))</f>
        <v/>
      </c>
      <c r="F1228" s="11">
        <f>IF(A1228="","",D1228*E1228)</f>
        <v/>
      </c>
      <c r="G1228">
        <f>IF(A1228="","",IF(C1228="",1,COUNTIF($C$2:$C$1501,C1228)))</f>
        <v/>
      </c>
      <c r="H1228" s="11">
        <f>IF(A1228="","",IFERROR(VALUE(SUBSTITUTE(SUBSTITUTE(INDEX('Etsy Import'!$A:$CZ,1228,Settings!$C$25)&amp;"","$",""),",","")),0)/IF(Settings!$B$27="Yes",G1228,1))</f>
        <v/>
      </c>
      <c r="I1228" s="11">
        <f>IF(A1228="","",IFERROR(VALUE(SUBSTITUTE(SUBSTITUTE(INDEX('Etsy Import'!$A:$CZ,1228,Settings!$C$26)&amp;"","$",""),",","")),0)/IF(Settings!$B$27="Yes",G1228,1))</f>
        <v/>
      </c>
      <c r="J1228" s="11">
        <f>IF(A1228="","",F1228+H1228-I1228)</f>
        <v/>
      </c>
      <c r="K1228">
        <f>IF(A1228="","",IFERROR(IF(B1228="",NA(),MATCH(B1228,Products!$B$5:$B$204,0)),IFERROR(MATCH(A1228,Products!$A$5:$A$204,0),"")))</f>
        <v/>
      </c>
      <c r="L1228">
        <f>IF(A1228="","",IF(K1228="","⚠ not in Products",INDEX(Products!$A$5:$A$204,K1228)))</f>
        <v/>
      </c>
      <c r="M1228" s="11">
        <f>IF(A1228="","",J1228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1228+IFERROR(INDEX(Settings!$D$5:$D$9,MATCH("Etsy",Settings!$A$5:$A$9,0)),0)*D1228)</f>
        <v/>
      </c>
      <c r="N1228" s="11">
        <f>IF(A1228="","",IF(K1228="",0,D1228*INDEX(Products!$I$5:$I$204,K1228)))</f>
        <v/>
      </c>
      <c r="O1228" s="11">
        <f>IF(A1228="","",IF(K1228="",0,J1228*INDEX(Products!$H$5:$H$204,K1228)))</f>
        <v/>
      </c>
      <c r="P1228" s="11">
        <f>IF(A1228="","",J1228-M1228-N1228-O1228)</f>
        <v/>
      </c>
    </row>
    <row r="1229">
      <c r="A1229">
        <f>IFERROR(INDEX('Etsy Import'!$A:$CZ,1229,Settings!$C$20)&amp;"","")</f>
        <v/>
      </c>
      <c r="B1229">
        <f>IFERROR(INDEX('Etsy Import'!$A:$CZ,1229,Settings!$C$21)&amp;"","")</f>
        <v/>
      </c>
      <c r="C1229">
        <f>IFERROR(INDEX('Etsy Import'!$A:$CZ,1229,Settings!$C$22)&amp;"","")</f>
        <v/>
      </c>
      <c r="D1229">
        <f>IF(A1229="","",IFERROR(VALUE(SUBSTITUTE(SUBSTITUTE(INDEX('Etsy Import'!$A:$CZ,1229,Settings!$C$23)&amp;"","$",""),",","")),0))</f>
        <v/>
      </c>
      <c r="E1229" s="11">
        <f>IF(A1229="","",IFERROR(VALUE(SUBSTITUTE(SUBSTITUTE(INDEX('Etsy Import'!$A:$CZ,1229,Settings!$C$24)&amp;"","$",""),",","")),0))</f>
        <v/>
      </c>
      <c r="F1229" s="11">
        <f>IF(A1229="","",D1229*E1229)</f>
        <v/>
      </c>
      <c r="G1229">
        <f>IF(A1229="","",IF(C1229="",1,COUNTIF($C$2:$C$1501,C1229)))</f>
        <v/>
      </c>
      <c r="H1229" s="11">
        <f>IF(A1229="","",IFERROR(VALUE(SUBSTITUTE(SUBSTITUTE(INDEX('Etsy Import'!$A:$CZ,1229,Settings!$C$25)&amp;"","$",""),",","")),0)/IF(Settings!$B$27="Yes",G1229,1))</f>
        <v/>
      </c>
      <c r="I1229" s="11">
        <f>IF(A1229="","",IFERROR(VALUE(SUBSTITUTE(SUBSTITUTE(INDEX('Etsy Import'!$A:$CZ,1229,Settings!$C$26)&amp;"","$",""),",","")),0)/IF(Settings!$B$27="Yes",G1229,1))</f>
        <v/>
      </c>
      <c r="J1229" s="11">
        <f>IF(A1229="","",F1229+H1229-I1229)</f>
        <v/>
      </c>
      <c r="K1229">
        <f>IF(A1229="","",IFERROR(IF(B1229="",NA(),MATCH(B1229,Products!$B$5:$B$204,0)),IFERROR(MATCH(A1229,Products!$A$5:$A$204,0),"")))</f>
        <v/>
      </c>
      <c r="L1229">
        <f>IF(A1229="","",IF(K1229="","⚠ not in Products",INDEX(Products!$A$5:$A$204,K1229)))</f>
        <v/>
      </c>
      <c r="M1229" s="11">
        <f>IF(A1229="","",J1229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1229+IFERROR(INDEX(Settings!$D$5:$D$9,MATCH("Etsy",Settings!$A$5:$A$9,0)),0)*D1229)</f>
        <v/>
      </c>
      <c r="N1229" s="11">
        <f>IF(A1229="","",IF(K1229="",0,D1229*INDEX(Products!$I$5:$I$204,K1229)))</f>
        <v/>
      </c>
      <c r="O1229" s="11">
        <f>IF(A1229="","",IF(K1229="",0,J1229*INDEX(Products!$H$5:$H$204,K1229)))</f>
        <v/>
      </c>
      <c r="P1229" s="11">
        <f>IF(A1229="","",J1229-M1229-N1229-O1229)</f>
        <v/>
      </c>
    </row>
    <row r="1230">
      <c r="A1230">
        <f>IFERROR(INDEX('Etsy Import'!$A:$CZ,1230,Settings!$C$20)&amp;"","")</f>
        <v/>
      </c>
      <c r="B1230">
        <f>IFERROR(INDEX('Etsy Import'!$A:$CZ,1230,Settings!$C$21)&amp;"","")</f>
        <v/>
      </c>
      <c r="C1230">
        <f>IFERROR(INDEX('Etsy Import'!$A:$CZ,1230,Settings!$C$22)&amp;"","")</f>
        <v/>
      </c>
      <c r="D1230">
        <f>IF(A1230="","",IFERROR(VALUE(SUBSTITUTE(SUBSTITUTE(INDEX('Etsy Import'!$A:$CZ,1230,Settings!$C$23)&amp;"","$",""),",","")),0))</f>
        <v/>
      </c>
      <c r="E1230" s="11">
        <f>IF(A1230="","",IFERROR(VALUE(SUBSTITUTE(SUBSTITUTE(INDEX('Etsy Import'!$A:$CZ,1230,Settings!$C$24)&amp;"","$",""),",","")),0))</f>
        <v/>
      </c>
      <c r="F1230" s="11">
        <f>IF(A1230="","",D1230*E1230)</f>
        <v/>
      </c>
      <c r="G1230">
        <f>IF(A1230="","",IF(C1230="",1,COUNTIF($C$2:$C$1501,C1230)))</f>
        <v/>
      </c>
      <c r="H1230" s="11">
        <f>IF(A1230="","",IFERROR(VALUE(SUBSTITUTE(SUBSTITUTE(INDEX('Etsy Import'!$A:$CZ,1230,Settings!$C$25)&amp;"","$",""),",","")),0)/IF(Settings!$B$27="Yes",G1230,1))</f>
        <v/>
      </c>
      <c r="I1230" s="11">
        <f>IF(A1230="","",IFERROR(VALUE(SUBSTITUTE(SUBSTITUTE(INDEX('Etsy Import'!$A:$CZ,1230,Settings!$C$26)&amp;"","$",""),",","")),0)/IF(Settings!$B$27="Yes",G1230,1))</f>
        <v/>
      </c>
      <c r="J1230" s="11">
        <f>IF(A1230="","",F1230+H1230-I1230)</f>
        <v/>
      </c>
      <c r="K1230">
        <f>IF(A1230="","",IFERROR(IF(B1230="",NA(),MATCH(B1230,Products!$B$5:$B$204,0)),IFERROR(MATCH(A1230,Products!$A$5:$A$204,0),"")))</f>
        <v/>
      </c>
      <c r="L1230">
        <f>IF(A1230="","",IF(K1230="","⚠ not in Products",INDEX(Products!$A$5:$A$204,K1230)))</f>
        <v/>
      </c>
      <c r="M1230" s="11">
        <f>IF(A1230="","",J1230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1230+IFERROR(INDEX(Settings!$D$5:$D$9,MATCH("Etsy",Settings!$A$5:$A$9,0)),0)*D1230)</f>
        <v/>
      </c>
      <c r="N1230" s="11">
        <f>IF(A1230="","",IF(K1230="",0,D1230*INDEX(Products!$I$5:$I$204,K1230)))</f>
        <v/>
      </c>
      <c r="O1230" s="11">
        <f>IF(A1230="","",IF(K1230="",0,J1230*INDEX(Products!$H$5:$H$204,K1230)))</f>
        <v/>
      </c>
      <c r="P1230" s="11">
        <f>IF(A1230="","",J1230-M1230-N1230-O1230)</f>
        <v/>
      </c>
    </row>
    <row r="1231">
      <c r="A1231">
        <f>IFERROR(INDEX('Etsy Import'!$A:$CZ,1231,Settings!$C$20)&amp;"","")</f>
        <v/>
      </c>
      <c r="B1231">
        <f>IFERROR(INDEX('Etsy Import'!$A:$CZ,1231,Settings!$C$21)&amp;"","")</f>
        <v/>
      </c>
      <c r="C1231">
        <f>IFERROR(INDEX('Etsy Import'!$A:$CZ,1231,Settings!$C$22)&amp;"","")</f>
        <v/>
      </c>
      <c r="D1231">
        <f>IF(A1231="","",IFERROR(VALUE(SUBSTITUTE(SUBSTITUTE(INDEX('Etsy Import'!$A:$CZ,1231,Settings!$C$23)&amp;"","$",""),",","")),0))</f>
        <v/>
      </c>
      <c r="E1231" s="11">
        <f>IF(A1231="","",IFERROR(VALUE(SUBSTITUTE(SUBSTITUTE(INDEX('Etsy Import'!$A:$CZ,1231,Settings!$C$24)&amp;"","$",""),",","")),0))</f>
        <v/>
      </c>
      <c r="F1231" s="11">
        <f>IF(A1231="","",D1231*E1231)</f>
        <v/>
      </c>
      <c r="G1231">
        <f>IF(A1231="","",IF(C1231="",1,COUNTIF($C$2:$C$1501,C1231)))</f>
        <v/>
      </c>
      <c r="H1231" s="11">
        <f>IF(A1231="","",IFERROR(VALUE(SUBSTITUTE(SUBSTITUTE(INDEX('Etsy Import'!$A:$CZ,1231,Settings!$C$25)&amp;"","$",""),",","")),0)/IF(Settings!$B$27="Yes",G1231,1))</f>
        <v/>
      </c>
      <c r="I1231" s="11">
        <f>IF(A1231="","",IFERROR(VALUE(SUBSTITUTE(SUBSTITUTE(INDEX('Etsy Import'!$A:$CZ,1231,Settings!$C$26)&amp;"","$",""),",","")),0)/IF(Settings!$B$27="Yes",G1231,1))</f>
        <v/>
      </c>
      <c r="J1231" s="11">
        <f>IF(A1231="","",F1231+H1231-I1231)</f>
        <v/>
      </c>
      <c r="K1231">
        <f>IF(A1231="","",IFERROR(IF(B1231="",NA(),MATCH(B1231,Products!$B$5:$B$204,0)),IFERROR(MATCH(A1231,Products!$A$5:$A$204,0),"")))</f>
        <v/>
      </c>
      <c r="L1231">
        <f>IF(A1231="","",IF(K1231="","⚠ not in Products",INDEX(Products!$A$5:$A$204,K1231)))</f>
        <v/>
      </c>
      <c r="M1231" s="11">
        <f>IF(A1231="","",J1231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1231+IFERROR(INDEX(Settings!$D$5:$D$9,MATCH("Etsy",Settings!$A$5:$A$9,0)),0)*D1231)</f>
        <v/>
      </c>
      <c r="N1231" s="11">
        <f>IF(A1231="","",IF(K1231="",0,D1231*INDEX(Products!$I$5:$I$204,K1231)))</f>
        <v/>
      </c>
      <c r="O1231" s="11">
        <f>IF(A1231="","",IF(K1231="",0,J1231*INDEX(Products!$H$5:$H$204,K1231)))</f>
        <v/>
      </c>
      <c r="P1231" s="11">
        <f>IF(A1231="","",J1231-M1231-N1231-O1231)</f>
        <v/>
      </c>
    </row>
    <row r="1232">
      <c r="A1232">
        <f>IFERROR(INDEX('Etsy Import'!$A:$CZ,1232,Settings!$C$20)&amp;"","")</f>
        <v/>
      </c>
      <c r="B1232">
        <f>IFERROR(INDEX('Etsy Import'!$A:$CZ,1232,Settings!$C$21)&amp;"","")</f>
        <v/>
      </c>
      <c r="C1232">
        <f>IFERROR(INDEX('Etsy Import'!$A:$CZ,1232,Settings!$C$22)&amp;"","")</f>
        <v/>
      </c>
      <c r="D1232">
        <f>IF(A1232="","",IFERROR(VALUE(SUBSTITUTE(SUBSTITUTE(INDEX('Etsy Import'!$A:$CZ,1232,Settings!$C$23)&amp;"","$",""),",","")),0))</f>
        <v/>
      </c>
      <c r="E1232" s="11">
        <f>IF(A1232="","",IFERROR(VALUE(SUBSTITUTE(SUBSTITUTE(INDEX('Etsy Import'!$A:$CZ,1232,Settings!$C$24)&amp;"","$",""),",","")),0))</f>
        <v/>
      </c>
      <c r="F1232" s="11">
        <f>IF(A1232="","",D1232*E1232)</f>
        <v/>
      </c>
      <c r="G1232">
        <f>IF(A1232="","",IF(C1232="",1,COUNTIF($C$2:$C$1501,C1232)))</f>
        <v/>
      </c>
      <c r="H1232" s="11">
        <f>IF(A1232="","",IFERROR(VALUE(SUBSTITUTE(SUBSTITUTE(INDEX('Etsy Import'!$A:$CZ,1232,Settings!$C$25)&amp;"","$",""),",","")),0)/IF(Settings!$B$27="Yes",G1232,1))</f>
        <v/>
      </c>
      <c r="I1232" s="11">
        <f>IF(A1232="","",IFERROR(VALUE(SUBSTITUTE(SUBSTITUTE(INDEX('Etsy Import'!$A:$CZ,1232,Settings!$C$26)&amp;"","$",""),",","")),0)/IF(Settings!$B$27="Yes",G1232,1))</f>
        <v/>
      </c>
      <c r="J1232" s="11">
        <f>IF(A1232="","",F1232+H1232-I1232)</f>
        <v/>
      </c>
      <c r="K1232">
        <f>IF(A1232="","",IFERROR(IF(B1232="",NA(),MATCH(B1232,Products!$B$5:$B$204,0)),IFERROR(MATCH(A1232,Products!$A$5:$A$204,0),"")))</f>
        <v/>
      </c>
      <c r="L1232">
        <f>IF(A1232="","",IF(K1232="","⚠ not in Products",INDEX(Products!$A$5:$A$204,K1232)))</f>
        <v/>
      </c>
      <c r="M1232" s="11">
        <f>IF(A1232="","",J1232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1232+IFERROR(INDEX(Settings!$D$5:$D$9,MATCH("Etsy",Settings!$A$5:$A$9,0)),0)*D1232)</f>
        <v/>
      </c>
      <c r="N1232" s="11">
        <f>IF(A1232="","",IF(K1232="",0,D1232*INDEX(Products!$I$5:$I$204,K1232)))</f>
        <v/>
      </c>
      <c r="O1232" s="11">
        <f>IF(A1232="","",IF(K1232="",0,J1232*INDEX(Products!$H$5:$H$204,K1232)))</f>
        <v/>
      </c>
      <c r="P1232" s="11">
        <f>IF(A1232="","",J1232-M1232-N1232-O1232)</f>
        <v/>
      </c>
    </row>
    <row r="1233">
      <c r="A1233">
        <f>IFERROR(INDEX('Etsy Import'!$A:$CZ,1233,Settings!$C$20)&amp;"","")</f>
        <v/>
      </c>
      <c r="B1233">
        <f>IFERROR(INDEX('Etsy Import'!$A:$CZ,1233,Settings!$C$21)&amp;"","")</f>
        <v/>
      </c>
      <c r="C1233">
        <f>IFERROR(INDEX('Etsy Import'!$A:$CZ,1233,Settings!$C$22)&amp;"","")</f>
        <v/>
      </c>
      <c r="D1233">
        <f>IF(A1233="","",IFERROR(VALUE(SUBSTITUTE(SUBSTITUTE(INDEX('Etsy Import'!$A:$CZ,1233,Settings!$C$23)&amp;"","$",""),",","")),0))</f>
        <v/>
      </c>
      <c r="E1233" s="11">
        <f>IF(A1233="","",IFERROR(VALUE(SUBSTITUTE(SUBSTITUTE(INDEX('Etsy Import'!$A:$CZ,1233,Settings!$C$24)&amp;"","$",""),",","")),0))</f>
        <v/>
      </c>
      <c r="F1233" s="11">
        <f>IF(A1233="","",D1233*E1233)</f>
        <v/>
      </c>
      <c r="G1233">
        <f>IF(A1233="","",IF(C1233="",1,COUNTIF($C$2:$C$1501,C1233)))</f>
        <v/>
      </c>
      <c r="H1233" s="11">
        <f>IF(A1233="","",IFERROR(VALUE(SUBSTITUTE(SUBSTITUTE(INDEX('Etsy Import'!$A:$CZ,1233,Settings!$C$25)&amp;"","$",""),",","")),0)/IF(Settings!$B$27="Yes",G1233,1))</f>
        <v/>
      </c>
      <c r="I1233" s="11">
        <f>IF(A1233="","",IFERROR(VALUE(SUBSTITUTE(SUBSTITUTE(INDEX('Etsy Import'!$A:$CZ,1233,Settings!$C$26)&amp;"","$",""),",","")),0)/IF(Settings!$B$27="Yes",G1233,1))</f>
        <v/>
      </c>
      <c r="J1233" s="11">
        <f>IF(A1233="","",F1233+H1233-I1233)</f>
        <v/>
      </c>
      <c r="K1233">
        <f>IF(A1233="","",IFERROR(IF(B1233="",NA(),MATCH(B1233,Products!$B$5:$B$204,0)),IFERROR(MATCH(A1233,Products!$A$5:$A$204,0),"")))</f>
        <v/>
      </c>
      <c r="L1233">
        <f>IF(A1233="","",IF(K1233="","⚠ not in Products",INDEX(Products!$A$5:$A$204,K1233)))</f>
        <v/>
      </c>
      <c r="M1233" s="11">
        <f>IF(A1233="","",J1233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1233+IFERROR(INDEX(Settings!$D$5:$D$9,MATCH("Etsy",Settings!$A$5:$A$9,0)),0)*D1233)</f>
        <v/>
      </c>
      <c r="N1233" s="11">
        <f>IF(A1233="","",IF(K1233="",0,D1233*INDEX(Products!$I$5:$I$204,K1233)))</f>
        <v/>
      </c>
      <c r="O1233" s="11">
        <f>IF(A1233="","",IF(K1233="",0,J1233*INDEX(Products!$H$5:$H$204,K1233)))</f>
        <v/>
      </c>
      <c r="P1233" s="11">
        <f>IF(A1233="","",J1233-M1233-N1233-O1233)</f>
        <v/>
      </c>
    </row>
    <row r="1234">
      <c r="A1234">
        <f>IFERROR(INDEX('Etsy Import'!$A:$CZ,1234,Settings!$C$20)&amp;"","")</f>
        <v/>
      </c>
      <c r="B1234">
        <f>IFERROR(INDEX('Etsy Import'!$A:$CZ,1234,Settings!$C$21)&amp;"","")</f>
        <v/>
      </c>
      <c r="C1234">
        <f>IFERROR(INDEX('Etsy Import'!$A:$CZ,1234,Settings!$C$22)&amp;"","")</f>
        <v/>
      </c>
      <c r="D1234">
        <f>IF(A1234="","",IFERROR(VALUE(SUBSTITUTE(SUBSTITUTE(INDEX('Etsy Import'!$A:$CZ,1234,Settings!$C$23)&amp;"","$",""),",","")),0))</f>
        <v/>
      </c>
      <c r="E1234" s="11">
        <f>IF(A1234="","",IFERROR(VALUE(SUBSTITUTE(SUBSTITUTE(INDEX('Etsy Import'!$A:$CZ,1234,Settings!$C$24)&amp;"","$",""),",","")),0))</f>
        <v/>
      </c>
      <c r="F1234" s="11">
        <f>IF(A1234="","",D1234*E1234)</f>
        <v/>
      </c>
      <c r="G1234">
        <f>IF(A1234="","",IF(C1234="",1,COUNTIF($C$2:$C$1501,C1234)))</f>
        <v/>
      </c>
      <c r="H1234" s="11">
        <f>IF(A1234="","",IFERROR(VALUE(SUBSTITUTE(SUBSTITUTE(INDEX('Etsy Import'!$A:$CZ,1234,Settings!$C$25)&amp;"","$",""),",","")),0)/IF(Settings!$B$27="Yes",G1234,1))</f>
        <v/>
      </c>
      <c r="I1234" s="11">
        <f>IF(A1234="","",IFERROR(VALUE(SUBSTITUTE(SUBSTITUTE(INDEX('Etsy Import'!$A:$CZ,1234,Settings!$C$26)&amp;"","$",""),",","")),0)/IF(Settings!$B$27="Yes",G1234,1))</f>
        <v/>
      </c>
      <c r="J1234" s="11">
        <f>IF(A1234="","",F1234+H1234-I1234)</f>
        <v/>
      </c>
      <c r="K1234">
        <f>IF(A1234="","",IFERROR(IF(B1234="",NA(),MATCH(B1234,Products!$B$5:$B$204,0)),IFERROR(MATCH(A1234,Products!$A$5:$A$204,0),"")))</f>
        <v/>
      </c>
      <c r="L1234">
        <f>IF(A1234="","",IF(K1234="","⚠ not in Products",INDEX(Products!$A$5:$A$204,K1234)))</f>
        <v/>
      </c>
      <c r="M1234" s="11">
        <f>IF(A1234="","",J1234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1234+IFERROR(INDEX(Settings!$D$5:$D$9,MATCH("Etsy",Settings!$A$5:$A$9,0)),0)*D1234)</f>
        <v/>
      </c>
      <c r="N1234" s="11">
        <f>IF(A1234="","",IF(K1234="",0,D1234*INDEX(Products!$I$5:$I$204,K1234)))</f>
        <v/>
      </c>
      <c r="O1234" s="11">
        <f>IF(A1234="","",IF(K1234="",0,J1234*INDEX(Products!$H$5:$H$204,K1234)))</f>
        <v/>
      </c>
      <c r="P1234" s="11">
        <f>IF(A1234="","",J1234-M1234-N1234-O1234)</f>
        <v/>
      </c>
    </row>
    <row r="1235">
      <c r="A1235">
        <f>IFERROR(INDEX('Etsy Import'!$A:$CZ,1235,Settings!$C$20)&amp;"","")</f>
        <v/>
      </c>
      <c r="B1235">
        <f>IFERROR(INDEX('Etsy Import'!$A:$CZ,1235,Settings!$C$21)&amp;"","")</f>
        <v/>
      </c>
      <c r="C1235">
        <f>IFERROR(INDEX('Etsy Import'!$A:$CZ,1235,Settings!$C$22)&amp;"","")</f>
        <v/>
      </c>
      <c r="D1235">
        <f>IF(A1235="","",IFERROR(VALUE(SUBSTITUTE(SUBSTITUTE(INDEX('Etsy Import'!$A:$CZ,1235,Settings!$C$23)&amp;"","$",""),",","")),0))</f>
        <v/>
      </c>
      <c r="E1235" s="11">
        <f>IF(A1235="","",IFERROR(VALUE(SUBSTITUTE(SUBSTITUTE(INDEX('Etsy Import'!$A:$CZ,1235,Settings!$C$24)&amp;"","$",""),",","")),0))</f>
        <v/>
      </c>
      <c r="F1235" s="11">
        <f>IF(A1235="","",D1235*E1235)</f>
        <v/>
      </c>
      <c r="G1235">
        <f>IF(A1235="","",IF(C1235="",1,COUNTIF($C$2:$C$1501,C1235)))</f>
        <v/>
      </c>
      <c r="H1235" s="11">
        <f>IF(A1235="","",IFERROR(VALUE(SUBSTITUTE(SUBSTITUTE(INDEX('Etsy Import'!$A:$CZ,1235,Settings!$C$25)&amp;"","$",""),",","")),0)/IF(Settings!$B$27="Yes",G1235,1))</f>
        <v/>
      </c>
      <c r="I1235" s="11">
        <f>IF(A1235="","",IFERROR(VALUE(SUBSTITUTE(SUBSTITUTE(INDEX('Etsy Import'!$A:$CZ,1235,Settings!$C$26)&amp;"","$",""),",","")),0)/IF(Settings!$B$27="Yes",G1235,1))</f>
        <v/>
      </c>
      <c r="J1235" s="11">
        <f>IF(A1235="","",F1235+H1235-I1235)</f>
        <v/>
      </c>
      <c r="K1235">
        <f>IF(A1235="","",IFERROR(IF(B1235="",NA(),MATCH(B1235,Products!$B$5:$B$204,0)),IFERROR(MATCH(A1235,Products!$A$5:$A$204,0),"")))</f>
        <v/>
      </c>
      <c r="L1235">
        <f>IF(A1235="","",IF(K1235="","⚠ not in Products",INDEX(Products!$A$5:$A$204,K1235)))</f>
        <v/>
      </c>
      <c r="M1235" s="11">
        <f>IF(A1235="","",J1235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1235+IFERROR(INDEX(Settings!$D$5:$D$9,MATCH("Etsy",Settings!$A$5:$A$9,0)),0)*D1235)</f>
        <v/>
      </c>
      <c r="N1235" s="11">
        <f>IF(A1235="","",IF(K1235="",0,D1235*INDEX(Products!$I$5:$I$204,K1235)))</f>
        <v/>
      </c>
      <c r="O1235" s="11">
        <f>IF(A1235="","",IF(K1235="",0,J1235*INDEX(Products!$H$5:$H$204,K1235)))</f>
        <v/>
      </c>
      <c r="P1235" s="11">
        <f>IF(A1235="","",J1235-M1235-N1235-O1235)</f>
        <v/>
      </c>
    </row>
    <row r="1236">
      <c r="A1236">
        <f>IFERROR(INDEX('Etsy Import'!$A:$CZ,1236,Settings!$C$20)&amp;"","")</f>
        <v/>
      </c>
      <c r="B1236">
        <f>IFERROR(INDEX('Etsy Import'!$A:$CZ,1236,Settings!$C$21)&amp;"","")</f>
        <v/>
      </c>
      <c r="C1236">
        <f>IFERROR(INDEX('Etsy Import'!$A:$CZ,1236,Settings!$C$22)&amp;"","")</f>
        <v/>
      </c>
      <c r="D1236">
        <f>IF(A1236="","",IFERROR(VALUE(SUBSTITUTE(SUBSTITUTE(INDEX('Etsy Import'!$A:$CZ,1236,Settings!$C$23)&amp;"","$",""),",","")),0))</f>
        <v/>
      </c>
      <c r="E1236" s="11">
        <f>IF(A1236="","",IFERROR(VALUE(SUBSTITUTE(SUBSTITUTE(INDEX('Etsy Import'!$A:$CZ,1236,Settings!$C$24)&amp;"","$",""),",","")),0))</f>
        <v/>
      </c>
      <c r="F1236" s="11">
        <f>IF(A1236="","",D1236*E1236)</f>
        <v/>
      </c>
      <c r="G1236">
        <f>IF(A1236="","",IF(C1236="",1,COUNTIF($C$2:$C$1501,C1236)))</f>
        <v/>
      </c>
      <c r="H1236" s="11">
        <f>IF(A1236="","",IFERROR(VALUE(SUBSTITUTE(SUBSTITUTE(INDEX('Etsy Import'!$A:$CZ,1236,Settings!$C$25)&amp;"","$",""),",","")),0)/IF(Settings!$B$27="Yes",G1236,1))</f>
        <v/>
      </c>
      <c r="I1236" s="11">
        <f>IF(A1236="","",IFERROR(VALUE(SUBSTITUTE(SUBSTITUTE(INDEX('Etsy Import'!$A:$CZ,1236,Settings!$C$26)&amp;"","$",""),",","")),0)/IF(Settings!$B$27="Yes",G1236,1))</f>
        <v/>
      </c>
      <c r="J1236" s="11">
        <f>IF(A1236="","",F1236+H1236-I1236)</f>
        <v/>
      </c>
      <c r="K1236">
        <f>IF(A1236="","",IFERROR(IF(B1236="",NA(),MATCH(B1236,Products!$B$5:$B$204,0)),IFERROR(MATCH(A1236,Products!$A$5:$A$204,0),"")))</f>
        <v/>
      </c>
      <c r="L1236">
        <f>IF(A1236="","",IF(K1236="","⚠ not in Products",INDEX(Products!$A$5:$A$204,K1236)))</f>
        <v/>
      </c>
      <c r="M1236" s="11">
        <f>IF(A1236="","",J1236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1236+IFERROR(INDEX(Settings!$D$5:$D$9,MATCH("Etsy",Settings!$A$5:$A$9,0)),0)*D1236)</f>
        <v/>
      </c>
      <c r="N1236" s="11">
        <f>IF(A1236="","",IF(K1236="",0,D1236*INDEX(Products!$I$5:$I$204,K1236)))</f>
        <v/>
      </c>
      <c r="O1236" s="11">
        <f>IF(A1236="","",IF(K1236="",0,J1236*INDEX(Products!$H$5:$H$204,K1236)))</f>
        <v/>
      </c>
      <c r="P1236" s="11">
        <f>IF(A1236="","",J1236-M1236-N1236-O1236)</f>
        <v/>
      </c>
    </row>
    <row r="1237">
      <c r="A1237">
        <f>IFERROR(INDEX('Etsy Import'!$A:$CZ,1237,Settings!$C$20)&amp;"","")</f>
        <v/>
      </c>
      <c r="B1237">
        <f>IFERROR(INDEX('Etsy Import'!$A:$CZ,1237,Settings!$C$21)&amp;"","")</f>
        <v/>
      </c>
      <c r="C1237">
        <f>IFERROR(INDEX('Etsy Import'!$A:$CZ,1237,Settings!$C$22)&amp;"","")</f>
        <v/>
      </c>
      <c r="D1237">
        <f>IF(A1237="","",IFERROR(VALUE(SUBSTITUTE(SUBSTITUTE(INDEX('Etsy Import'!$A:$CZ,1237,Settings!$C$23)&amp;"","$",""),",","")),0))</f>
        <v/>
      </c>
      <c r="E1237" s="11">
        <f>IF(A1237="","",IFERROR(VALUE(SUBSTITUTE(SUBSTITUTE(INDEX('Etsy Import'!$A:$CZ,1237,Settings!$C$24)&amp;"","$",""),",","")),0))</f>
        <v/>
      </c>
      <c r="F1237" s="11">
        <f>IF(A1237="","",D1237*E1237)</f>
        <v/>
      </c>
      <c r="G1237">
        <f>IF(A1237="","",IF(C1237="",1,COUNTIF($C$2:$C$1501,C1237)))</f>
        <v/>
      </c>
      <c r="H1237" s="11">
        <f>IF(A1237="","",IFERROR(VALUE(SUBSTITUTE(SUBSTITUTE(INDEX('Etsy Import'!$A:$CZ,1237,Settings!$C$25)&amp;"","$",""),",","")),0)/IF(Settings!$B$27="Yes",G1237,1))</f>
        <v/>
      </c>
      <c r="I1237" s="11">
        <f>IF(A1237="","",IFERROR(VALUE(SUBSTITUTE(SUBSTITUTE(INDEX('Etsy Import'!$A:$CZ,1237,Settings!$C$26)&amp;"","$",""),",","")),0)/IF(Settings!$B$27="Yes",G1237,1))</f>
        <v/>
      </c>
      <c r="J1237" s="11">
        <f>IF(A1237="","",F1237+H1237-I1237)</f>
        <v/>
      </c>
      <c r="K1237">
        <f>IF(A1237="","",IFERROR(IF(B1237="",NA(),MATCH(B1237,Products!$B$5:$B$204,0)),IFERROR(MATCH(A1237,Products!$A$5:$A$204,0),"")))</f>
        <v/>
      </c>
      <c r="L1237">
        <f>IF(A1237="","",IF(K1237="","⚠ not in Products",INDEX(Products!$A$5:$A$204,K1237)))</f>
        <v/>
      </c>
      <c r="M1237" s="11">
        <f>IF(A1237="","",J1237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1237+IFERROR(INDEX(Settings!$D$5:$D$9,MATCH("Etsy",Settings!$A$5:$A$9,0)),0)*D1237)</f>
        <v/>
      </c>
      <c r="N1237" s="11">
        <f>IF(A1237="","",IF(K1237="",0,D1237*INDEX(Products!$I$5:$I$204,K1237)))</f>
        <v/>
      </c>
      <c r="O1237" s="11">
        <f>IF(A1237="","",IF(K1237="",0,J1237*INDEX(Products!$H$5:$H$204,K1237)))</f>
        <v/>
      </c>
      <c r="P1237" s="11">
        <f>IF(A1237="","",J1237-M1237-N1237-O1237)</f>
        <v/>
      </c>
    </row>
    <row r="1238">
      <c r="A1238">
        <f>IFERROR(INDEX('Etsy Import'!$A:$CZ,1238,Settings!$C$20)&amp;"","")</f>
        <v/>
      </c>
      <c r="B1238">
        <f>IFERROR(INDEX('Etsy Import'!$A:$CZ,1238,Settings!$C$21)&amp;"","")</f>
        <v/>
      </c>
      <c r="C1238">
        <f>IFERROR(INDEX('Etsy Import'!$A:$CZ,1238,Settings!$C$22)&amp;"","")</f>
        <v/>
      </c>
      <c r="D1238">
        <f>IF(A1238="","",IFERROR(VALUE(SUBSTITUTE(SUBSTITUTE(INDEX('Etsy Import'!$A:$CZ,1238,Settings!$C$23)&amp;"","$",""),",","")),0))</f>
        <v/>
      </c>
      <c r="E1238" s="11">
        <f>IF(A1238="","",IFERROR(VALUE(SUBSTITUTE(SUBSTITUTE(INDEX('Etsy Import'!$A:$CZ,1238,Settings!$C$24)&amp;"","$",""),",","")),0))</f>
        <v/>
      </c>
      <c r="F1238" s="11">
        <f>IF(A1238="","",D1238*E1238)</f>
        <v/>
      </c>
      <c r="G1238">
        <f>IF(A1238="","",IF(C1238="",1,COUNTIF($C$2:$C$1501,C1238)))</f>
        <v/>
      </c>
      <c r="H1238" s="11">
        <f>IF(A1238="","",IFERROR(VALUE(SUBSTITUTE(SUBSTITUTE(INDEX('Etsy Import'!$A:$CZ,1238,Settings!$C$25)&amp;"","$",""),",","")),0)/IF(Settings!$B$27="Yes",G1238,1))</f>
        <v/>
      </c>
      <c r="I1238" s="11">
        <f>IF(A1238="","",IFERROR(VALUE(SUBSTITUTE(SUBSTITUTE(INDEX('Etsy Import'!$A:$CZ,1238,Settings!$C$26)&amp;"","$",""),",","")),0)/IF(Settings!$B$27="Yes",G1238,1))</f>
        <v/>
      </c>
      <c r="J1238" s="11">
        <f>IF(A1238="","",F1238+H1238-I1238)</f>
        <v/>
      </c>
      <c r="K1238">
        <f>IF(A1238="","",IFERROR(IF(B1238="",NA(),MATCH(B1238,Products!$B$5:$B$204,0)),IFERROR(MATCH(A1238,Products!$A$5:$A$204,0),"")))</f>
        <v/>
      </c>
      <c r="L1238">
        <f>IF(A1238="","",IF(K1238="","⚠ not in Products",INDEX(Products!$A$5:$A$204,K1238)))</f>
        <v/>
      </c>
      <c r="M1238" s="11">
        <f>IF(A1238="","",J1238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1238+IFERROR(INDEX(Settings!$D$5:$D$9,MATCH("Etsy",Settings!$A$5:$A$9,0)),0)*D1238)</f>
        <v/>
      </c>
      <c r="N1238" s="11">
        <f>IF(A1238="","",IF(K1238="",0,D1238*INDEX(Products!$I$5:$I$204,K1238)))</f>
        <v/>
      </c>
      <c r="O1238" s="11">
        <f>IF(A1238="","",IF(K1238="",0,J1238*INDEX(Products!$H$5:$H$204,K1238)))</f>
        <v/>
      </c>
      <c r="P1238" s="11">
        <f>IF(A1238="","",J1238-M1238-N1238-O1238)</f>
        <v/>
      </c>
    </row>
    <row r="1239">
      <c r="A1239">
        <f>IFERROR(INDEX('Etsy Import'!$A:$CZ,1239,Settings!$C$20)&amp;"","")</f>
        <v/>
      </c>
      <c r="B1239">
        <f>IFERROR(INDEX('Etsy Import'!$A:$CZ,1239,Settings!$C$21)&amp;"","")</f>
        <v/>
      </c>
      <c r="C1239">
        <f>IFERROR(INDEX('Etsy Import'!$A:$CZ,1239,Settings!$C$22)&amp;"","")</f>
        <v/>
      </c>
      <c r="D1239">
        <f>IF(A1239="","",IFERROR(VALUE(SUBSTITUTE(SUBSTITUTE(INDEX('Etsy Import'!$A:$CZ,1239,Settings!$C$23)&amp;"","$",""),",","")),0))</f>
        <v/>
      </c>
      <c r="E1239" s="11">
        <f>IF(A1239="","",IFERROR(VALUE(SUBSTITUTE(SUBSTITUTE(INDEX('Etsy Import'!$A:$CZ,1239,Settings!$C$24)&amp;"","$",""),",","")),0))</f>
        <v/>
      </c>
      <c r="F1239" s="11">
        <f>IF(A1239="","",D1239*E1239)</f>
        <v/>
      </c>
      <c r="G1239">
        <f>IF(A1239="","",IF(C1239="",1,COUNTIF($C$2:$C$1501,C1239)))</f>
        <v/>
      </c>
      <c r="H1239" s="11">
        <f>IF(A1239="","",IFERROR(VALUE(SUBSTITUTE(SUBSTITUTE(INDEX('Etsy Import'!$A:$CZ,1239,Settings!$C$25)&amp;"","$",""),",","")),0)/IF(Settings!$B$27="Yes",G1239,1))</f>
        <v/>
      </c>
      <c r="I1239" s="11">
        <f>IF(A1239="","",IFERROR(VALUE(SUBSTITUTE(SUBSTITUTE(INDEX('Etsy Import'!$A:$CZ,1239,Settings!$C$26)&amp;"","$",""),",","")),0)/IF(Settings!$B$27="Yes",G1239,1))</f>
        <v/>
      </c>
      <c r="J1239" s="11">
        <f>IF(A1239="","",F1239+H1239-I1239)</f>
        <v/>
      </c>
      <c r="K1239">
        <f>IF(A1239="","",IFERROR(IF(B1239="",NA(),MATCH(B1239,Products!$B$5:$B$204,0)),IFERROR(MATCH(A1239,Products!$A$5:$A$204,0),"")))</f>
        <v/>
      </c>
      <c r="L1239">
        <f>IF(A1239="","",IF(K1239="","⚠ not in Products",INDEX(Products!$A$5:$A$204,K1239)))</f>
        <v/>
      </c>
      <c r="M1239" s="11">
        <f>IF(A1239="","",J1239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1239+IFERROR(INDEX(Settings!$D$5:$D$9,MATCH("Etsy",Settings!$A$5:$A$9,0)),0)*D1239)</f>
        <v/>
      </c>
      <c r="N1239" s="11">
        <f>IF(A1239="","",IF(K1239="",0,D1239*INDEX(Products!$I$5:$I$204,K1239)))</f>
        <v/>
      </c>
      <c r="O1239" s="11">
        <f>IF(A1239="","",IF(K1239="",0,J1239*INDEX(Products!$H$5:$H$204,K1239)))</f>
        <v/>
      </c>
      <c r="P1239" s="11">
        <f>IF(A1239="","",J1239-M1239-N1239-O1239)</f>
        <v/>
      </c>
    </row>
    <row r="1240">
      <c r="A1240">
        <f>IFERROR(INDEX('Etsy Import'!$A:$CZ,1240,Settings!$C$20)&amp;"","")</f>
        <v/>
      </c>
      <c r="B1240">
        <f>IFERROR(INDEX('Etsy Import'!$A:$CZ,1240,Settings!$C$21)&amp;"","")</f>
        <v/>
      </c>
      <c r="C1240">
        <f>IFERROR(INDEX('Etsy Import'!$A:$CZ,1240,Settings!$C$22)&amp;"","")</f>
        <v/>
      </c>
      <c r="D1240">
        <f>IF(A1240="","",IFERROR(VALUE(SUBSTITUTE(SUBSTITUTE(INDEX('Etsy Import'!$A:$CZ,1240,Settings!$C$23)&amp;"","$",""),",","")),0))</f>
        <v/>
      </c>
      <c r="E1240" s="11">
        <f>IF(A1240="","",IFERROR(VALUE(SUBSTITUTE(SUBSTITUTE(INDEX('Etsy Import'!$A:$CZ,1240,Settings!$C$24)&amp;"","$",""),",","")),0))</f>
        <v/>
      </c>
      <c r="F1240" s="11">
        <f>IF(A1240="","",D1240*E1240)</f>
        <v/>
      </c>
      <c r="G1240">
        <f>IF(A1240="","",IF(C1240="",1,COUNTIF($C$2:$C$1501,C1240)))</f>
        <v/>
      </c>
      <c r="H1240" s="11">
        <f>IF(A1240="","",IFERROR(VALUE(SUBSTITUTE(SUBSTITUTE(INDEX('Etsy Import'!$A:$CZ,1240,Settings!$C$25)&amp;"","$",""),",","")),0)/IF(Settings!$B$27="Yes",G1240,1))</f>
        <v/>
      </c>
      <c r="I1240" s="11">
        <f>IF(A1240="","",IFERROR(VALUE(SUBSTITUTE(SUBSTITUTE(INDEX('Etsy Import'!$A:$CZ,1240,Settings!$C$26)&amp;"","$",""),",","")),0)/IF(Settings!$B$27="Yes",G1240,1))</f>
        <v/>
      </c>
      <c r="J1240" s="11">
        <f>IF(A1240="","",F1240+H1240-I1240)</f>
        <v/>
      </c>
      <c r="K1240">
        <f>IF(A1240="","",IFERROR(IF(B1240="",NA(),MATCH(B1240,Products!$B$5:$B$204,0)),IFERROR(MATCH(A1240,Products!$A$5:$A$204,0),"")))</f>
        <v/>
      </c>
      <c r="L1240">
        <f>IF(A1240="","",IF(K1240="","⚠ not in Products",INDEX(Products!$A$5:$A$204,K1240)))</f>
        <v/>
      </c>
      <c r="M1240" s="11">
        <f>IF(A1240="","",J1240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1240+IFERROR(INDEX(Settings!$D$5:$D$9,MATCH("Etsy",Settings!$A$5:$A$9,0)),0)*D1240)</f>
        <v/>
      </c>
      <c r="N1240" s="11">
        <f>IF(A1240="","",IF(K1240="",0,D1240*INDEX(Products!$I$5:$I$204,K1240)))</f>
        <v/>
      </c>
      <c r="O1240" s="11">
        <f>IF(A1240="","",IF(K1240="",0,J1240*INDEX(Products!$H$5:$H$204,K1240)))</f>
        <v/>
      </c>
      <c r="P1240" s="11">
        <f>IF(A1240="","",J1240-M1240-N1240-O1240)</f>
        <v/>
      </c>
    </row>
    <row r="1241">
      <c r="A1241">
        <f>IFERROR(INDEX('Etsy Import'!$A:$CZ,1241,Settings!$C$20)&amp;"","")</f>
        <v/>
      </c>
      <c r="B1241">
        <f>IFERROR(INDEX('Etsy Import'!$A:$CZ,1241,Settings!$C$21)&amp;"","")</f>
        <v/>
      </c>
      <c r="C1241">
        <f>IFERROR(INDEX('Etsy Import'!$A:$CZ,1241,Settings!$C$22)&amp;"","")</f>
        <v/>
      </c>
      <c r="D1241">
        <f>IF(A1241="","",IFERROR(VALUE(SUBSTITUTE(SUBSTITUTE(INDEX('Etsy Import'!$A:$CZ,1241,Settings!$C$23)&amp;"","$",""),",","")),0))</f>
        <v/>
      </c>
      <c r="E1241" s="11">
        <f>IF(A1241="","",IFERROR(VALUE(SUBSTITUTE(SUBSTITUTE(INDEX('Etsy Import'!$A:$CZ,1241,Settings!$C$24)&amp;"","$",""),",","")),0))</f>
        <v/>
      </c>
      <c r="F1241" s="11">
        <f>IF(A1241="","",D1241*E1241)</f>
        <v/>
      </c>
      <c r="G1241">
        <f>IF(A1241="","",IF(C1241="",1,COUNTIF($C$2:$C$1501,C1241)))</f>
        <v/>
      </c>
      <c r="H1241" s="11">
        <f>IF(A1241="","",IFERROR(VALUE(SUBSTITUTE(SUBSTITUTE(INDEX('Etsy Import'!$A:$CZ,1241,Settings!$C$25)&amp;"","$",""),",","")),0)/IF(Settings!$B$27="Yes",G1241,1))</f>
        <v/>
      </c>
      <c r="I1241" s="11">
        <f>IF(A1241="","",IFERROR(VALUE(SUBSTITUTE(SUBSTITUTE(INDEX('Etsy Import'!$A:$CZ,1241,Settings!$C$26)&amp;"","$",""),",","")),0)/IF(Settings!$B$27="Yes",G1241,1))</f>
        <v/>
      </c>
      <c r="J1241" s="11">
        <f>IF(A1241="","",F1241+H1241-I1241)</f>
        <v/>
      </c>
      <c r="K1241">
        <f>IF(A1241="","",IFERROR(IF(B1241="",NA(),MATCH(B1241,Products!$B$5:$B$204,0)),IFERROR(MATCH(A1241,Products!$A$5:$A$204,0),"")))</f>
        <v/>
      </c>
      <c r="L1241">
        <f>IF(A1241="","",IF(K1241="","⚠ not in Products",INDEX(Products!$A$5:$A$204,K1241)))</f>
        <v/>
      </c>
      <c r="M1241" s="11">
        <f>IF(A1241="","",J1241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1241+IFERROR(INDEX(Settings!$D$5:$D$9,MATCH("Etsy",Settings!$A$5:$A$9,0)),0)*D1241)</f>
        <v/>
      </c>
      <c r="N1241" s="11">
        <f>IF(A1241="","",IF(K1241="",0,D1241*INDEX(Products!$I$5:$I$204,K1241)))</f>
        <v/>
      </c>
      <c r="O1241" s="11">
        <f>IF(A1241="","",IF(K1241="",0,J1241*INDEX(Products!$H$5:$H$204,K1241)))</f>
        <v/>
      </c>
      <c r="P1241" s="11">
        <f>IF(A1241="","",J1241-M1241-N1241-O1241)</f>
        <v/>
      </c>
    </row>
    <row r="1242">
      <c r="A1242">
        <f>IFERROR(INDEX('Etsy Import'!$A:$CZ,1242,Settings!$C$20)&amp;"","")</f>
        <v/>
      </c>
      <c r="B1242">
        <f>IFERROR(INDEX('Etsy Import'!$A:$CZ,1242,Settings!$C$21)&amp;"","")</f>
        <v/>
      </c>
      <c r="C1242">
        <f>IFERROR(INDEX('Etsy Import'!$A:$CZ,1242,Settings!$C$22)&amp;"","")</f>
        <v/>
      </c>
      <c r="D1242">
        <f>IF(A1242="","",IFERROR(VALUE(SUBSTITUTE(SUBSTITUTE(INDEX('Etsy Import'!$A:$CZ,1242,Settings!$C$23)&amp;"","$",""),",","")),0))</f>
        <v/>
      </c>
      <c r="E1242" s="11">
        <f>IF(A1242="","",IFERROR(VALUE(SUBSTITUTE(SUBSTITUTE(INDEX('Etsy Import'!$A:$CZ,1242,Settings!$C$24)&amp;"","$",""),",","")),0))</f>
        <v/>
      </c>
      <c r="F1242" s="11">
        <f>IF(A1242="","",D1242*E1242)</f>
        <v/>
      </c>
      <c r="G1242">
        <f>IF(A1242="","",IF(C1242="",1,COUNTIF($C$2:$C$1501,C1242)))</f>
        <v/>
      </c>
      <c r="H1242" s="11">
        <f>IF(A1242="","",IFERROR(VALUE(SUBSTITUTE(SUBSTITUTE(INDEX('Etsy Import'!$A:$CZ,1242,Settings!$C$25)&amp;"","$",""),",","")),0)/IF(Settings!$B$27="Yes",G1242,1))</f>
        <v/>
      </c>
      <c r="I1242" s="11">
        <f>IF(A1242="","",IFERROR(VALUE(SUBSTITUTE(SUBSTITUTE(INDEX('Etsy Import'!$A:$CZ,1242,Settings!$C$26)&amp;"","$",""),",","")),0)/IF(Settings!$B$27="Yes",G1242,1))</f>
        <v/>
      </c>
      <c r="J1242" s="11">
        <f>IF(A1242="","",F1242+H1242-I1242)</f>
        <v/>
      </c>
      <c r="K1242">
        <f>IF(A1242="","",IFERROR(IF(B1242="",NA(),MATCH(B1242,Products!$B$5:$B$204,0)),IFERROR(MATCH(A1242,Products!$A$5:$A$204,0),"")))</f>
        <v/>
      </c>
      <c r="L1242">
        <f>IF(A1242="","",IF(K1242="","⚠ not in Products",INDEX(Products!$A$5:$A$204,K1242)))</f>
        <v/>
      </c>
      <c r="M1242" s="11">
        <f>IF(A1242="","",J1242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1242+IFERROR(INDEX(Settings!$D$5:$D$9,MATCH("Etsy",Settings!$A$5:$A$9,0)),0)*D1242)</f>
        <v/>
      </c>
      <c r="N1242" s="11">
        <f>IF(A1242="","",IF(K1242="",0,D1242*INDEX(Products!$I$5:$I$204,K1242)))</f>
        <v/>
      </c>
      <c r="O1242" s="11">
        <f>IF(A1242="","",IF(K1242="",0,J1242*INDEX(Products!$H$5:$H$204,K1242)))</f>
        <v/>
      </c>
      <c r="P1242" s="11">
        <f>IF(A1242="","",J1242-M1242-N1242-O1242)</f>
        <v/>
      </c>
    </row>
    <row r="1243">
      <c r="A1243">
        <f>IFERROR(INDEX('Etsy Import'!$A:$CZ,1243,Settings!$C$20)&amp;"","")</f>
        <v/>
      </c>
      <c r="B1243">
        <f>IFERROR(INDEX('Etsy Import'!$A:$CZ,1243,Settings!$C$21)&amp;"","")</f>
        <v/>
      </c>
      <c r="C1243">
        <f>IFERROR(INDEX('Etsy Import'!$A:$CZ,1243,Settings!$C$22)&amp;"","")</f>
        <v/>
      </c>
      <c r="D1243">
        <f>IF(A1243="","",IFERROR(VALUE(SUBSTITUTE(SUBSTITUTE(INDEX('Etsy Import'!$A:$CZ,1243,Settings!$C$23)&amp;"","$",""),",","")),0))</f>
        <v/>
      </c>
      <c r="E1243" s="11">
        <f>IF(A1243="","",IFERROR(VALUE(SUBSTITUTE(SUBSTITUTE(INDEX('Etsy Import'!$A:$CZ,1243,Settings!$C$24)&amp;"","$",""),",","")),0))</f>
        <v/>
      </c>
      <c r="F1243" s="11">
        <f>IF(A1243="","",D1243*E1243)</f>
        <v/>
      </c>
      <c r="G1243">
        <f>IF(A1243="","",IF(C1243="",1,COUNTIF($C$2:$C$1501,C1243)))</f>
        <v/>
      </c>
      <c r="H1243" s="11">
        <f>IF(A1243="","",IFERROR(VALUE(SUBSTITUTE(SUBSTITUTE(INDEX('Etsy Import'!$A:$CZ,1243,Settings!$C$25)&amp;"","$",""),",","")),0)/IF(Settings!$B$27="Yes",G1243,1))</f>
        <v/>
      </c>
      <c r="I1243" s="11">
        <f>IF(A1243="","",IFERROR(VALUE(SUBSTITUTE(SUBSTITUTE(INDEX('Etsy Import'!$A:$CZ,1243,Settings!$C$26)&amp;"","$",""),",","")),0)/IF(Settings!$B$27="Yes",G1243,1))</f>
        <v/>
      </c>
      <c r="J1243" s="11">
        <f>IF(A1243="","",F1243+H1243-I1243)</f>
        <v/>
      </c>
      <c r="K1243">
        <f>IF(A1243="","",IFERROR(IF(B1243="",NA(),MATCH(B1243,Products!$B$5:$B$204,0)),IFERROR(MATCH(A1243,Products!$A$5:$A$204,0),"")))</f>
        <v/>
      </c>
      <c r="L1243">
        <f>IF(A1243="","",IF(K1243="","⚠ not in Products",INDEX(Products!$A$5:$A$204,K1243)))</f>
        <v/>
      </c>
      <c r="M1243" s="11">
        <f>IF(A1243="","",J1243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1243+IFERROR(INDEX(Settings!$D$5:$D$9,MATCH("Etsy",Settings!$A$5:$A$9,0)),0)*D1243)</f>
        <v/>
      </c>
      <c r="N1243" s="11">
        <f>IF(A1243="","",IF(K1243="",0,D1243*INDEX(Products!$I$5:$I$204,K1243)))</f>
        <v/>
      </c>
      <c r="O1243" s="11">
        <f>IF(A1243="","",IF(K1243="",0,J1243*INDEX(Products!$H$5:$H$204,K1243)))</f>
        <v/>
      </c>
      <c r="P1243" s="11">
        <f>IF(A1243="","",J1243-M1243-N1243-O1243)</f>
        <v/>
      </c>
    </row>
    <row r="1244">
      <c r="A1244">
        <f>IFERROR(INDEX('Etsy Import'!$A:$CZ,1244,Settings!$C$20)&amp;"","")</f>
        <v/>
      </c>
      <c r="B1244">
        <f>IFERROR(INDEX('Etsy Import'!$A:$CZ,1244,Settings!$C$21)&amp;"","")</f>
        <v/>
      </c>
      <c r="C1244">
        <f>IFERROR(INDEX('Etsy Import'!$A:$CZ,1244,Settings!$C$22)&amp;"","")</f>
        <v/>
      </c>
      <c r="D1244">
        <f>IF(A1244="","",IFERROR(VALUE(SUBSTITUTE(SUBSTITUTE(INDEX('Etsy Import'!$A:$CZ,1244,Settings!$C$23)&amp;"","$",""),",","")),0))</f>
        <v/>
      </c>
      <c r="E1244" s="11">
        <f>IF(A1244="","",IFERROR(VALUE(SUBSTITUTE(SUBSTITUTE(INDEX('Etsy Import'!$A:$CZ,1244,Settings!$C$24)&amp;"","$",""),",","")),0))</f>
        <v/>
      </c>
      <c r="F1244" s="11">
        <f>IF(A1244="","",D1244*E1244)</f>
        <v/>
      </c>
      <c r="G1244">
        <f>IF(A1244="","",IF(C1244="",1,COUNTIF($C$2:$C$1501,C1244)))</f>
        <v/>
      </c>
      <c r="H1244" s="11">
        <f>IF(A1244="","",IFERROR(VALUE(SUBSTITUTE(SUBSTITUTE(INDEX('Etsy Import'!$A:$CZ,1244,Settings!$C$25)&amp;"","$",""),",","")),0)/IF(Settings!$B$27="Yes",G1244,1))</f>
        <v/>
      </c>
      <c r="I1244" s="11">
        <f>IF(A1244="","",IFERROR(VALUE(SUBSTITUTE(SUBSTITUTE(INDEX('Etsy Import'!$A:$CZ,1244,Settings!$C$26)&amp;"","$",""),",","")),0)/IF(Settings!$B$27="Yes",G1244,1))</f>
        <v/>
      </c>
      <c r="J1244" s="11">
        <f>IF(A1244="","",F1244+H1244-I1244)</f>
        <v/>
      </c>
      <c r="K1244">
        <f>IF(A1244="","",IFERROR(IF(B1244="",NA(),MATCH(B1244,Products!$B$5:$B$204,0)),IFERROR(MATCH(A1244,Products!$A$5:$A$204,0),"")))</f>
        <v/>
      </c>
      <c r="L1244">
        <f>IF(A1244="","",IF(K1244="","⚠ not in Products",INDEX(Products!$A$5:$A$204,K1244)))</f>
        <v/>
      </c>
      <c r="M1244" s="11">
        <f>IF(A1244="","",J1244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1244+IFERROR(INDEX(Settings!$D$5:$D$9,MATCH("Etsy",Settings!$A$5:$A$9,0)),0)*D1244)</f>
        <v/>
      </c>
      <c r="N1244" s="11">
        <f>IF(A1244="","",IF(K1244="",0,D1244*INDEX(Products!$I$5:$I$204,K1244)))</f>
        <v/>
      </c>
      <c r="O1244" s="11">
        <f>IF(A1244="","",IF(K1244="",0,J1244*INDEX(Products!$H$5:$H$204,K1244)))</f>
        <v/>
      </c>
      <c r="P1244" s="11">
        <f>IF(A1244="","",J1244-M1244-N1244-O1244)</f>
        <v/>
      </c>
    </row>
    <row r="1245">
      <c r="A1245">
        <f>IFERROR(INDEX('Etsy Import'!$A:$CZ,1245,Settings!$C$20)&amp;"","")</f>
        <v/>
      </c>
      <c r="B1245">
        <f>IFERROR(INDEX('Etsy Import'!$A:$CZ,1245,Settings!$C$21)&amp;"","")</f>
        <v/>
      </c>
      <c r="C1245">
        <f>IFERROR(INDEX('Etsy Import'!$A:$CZ,1245,Settings!$C$22)&amp;"","")</f>
        <v/>
      </c>
      <c r="D1245">
        <f>IF(A1245="","",IFERROR(VALUE(SUBSTITUTE(SUBSTITUTE(INDEX('Etsy Import'!$A:$CZ,1245,Settings!$C$23)&amp;"","$",""),",","")),0))</f>
        <v/>
      </c>
      <c r="E1245" s="11">
        <f>IF(A1245="","",IFERROR(VALUE(SUBSTITUTE(SUBSTITUTE(INDEX('Etsy Import'!$A:$CZ,1245,Settings!$C$24)&amp;"","$",""),",","")),0))</f>
        <v/>
      </c>
      <c r="F1245" s="11">
        <f>IF(A1245="","",D1245*E1245)</f>
        <v/>
      </c>
      <c r="G1245">
        <f>IF(A1245="","",IF(C1245="",1,COUNTIF($C$2:$C$1501,C1245)))</f>
        <v/>
      </c>
      <c r="H1245" s="11">
        <f>IF(A1245="","",IFERROR(VALUE(SUBSTITUTE(SUBSTITUTE(INDEX('Etsy Import'!$A:$CZ,1245,Settings!$C$25)&amp;"","$",""),",","")),0)/IF(Settings!$B$27="Yes",G1245,1))</f>
        <v/>
      </c>
      <c r="I1245" s="11">
        <f>IF(A1245="","",IFERROR(VALUE(SUBSTITUTE(SUBSTITUTE(INDEX('Etsy Import'!$A:$CZ,1245,Settings!$C$26)&amp;"","$",""),",","")),0)/IF(Settings!$B$27="Yes",G1245,1))</f>
        <v/>
      </c>
      <c r="J1245" s="11">
        <f>IF(A1245="","",F1245+H1245-I1245)</f>
        <v/>
      </c>
      <c r="K1245">
        <f>IF(A1245="","",IFERROR(IF(B1245="",NA(),MATCH(B1245,Products!$B$5:$B$204,0)),IFERROR(MATCH(A1245,Products!$A$5:$A$204,0),"")))</f>
        <v/>
      </c>
      <c r="L1245">
        <f>IF(A1245="","",IF(K1245="","⚠ not in Products",INDEX(Products!$A$5:$A$204,K1245)))</f>
        <v/>
      </c>
      <c r="M1245" s="11">
        <f>IF(A1245="","",J1245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1245+IFERROR(INDEX(Settings!$D$5:$D$9,MATCH("Etsy",Settings!$A$5:$A$9,0)),0)*D1245)</f>
        <v/>
      </c>
      <c r="N1245" s="11">
        <f>IF(A1245="","",IF(K1245="",0,D1245*INDEX(Products!$I$5:$I$204,K1245)))</f>
        <v/>
      </c>
      <c r="O1245" s="11">
        <f>IF(A1245="","",IF(K1245="",0,J1245*INDEX(Products!$H$5:$H$204,K1245)))</f>
        <v/>
      </c>
      <c r="P1245" s="11">
        <f>IF(A1245="","",J1245-M1245-N1245-O1245)</f>
        <v/>
      </c>
    </row>
    <row r="1246">
      <c r="A1246">
        <f>IFERROR(INDEX('Etsy Import'!$A:$CZ,1246,Settings!$C$20)&amp;"","")</f>
        <v/>
      </c>
      <c r="B1246">
        <f>IFERROR(INDEX('Etsy Import'!$A:$CZ,1246,Settings!$C$21)&amp;"","")</f>
        <v/>
      </c>
      <c r="C1246">
        <f>IFERROR(INDEX('Etsy Import'!$A:$CZ,1246,Settings!$C$22)&amp;"","")</f>
        <v/>
      </c>
      <c r="D1246">
        <f>IF(A1246="","",IFERROR(VALUE(SUBSTITUTE(SUBSTITUTE(INDEX('Etsy Import'!$A:$CZ,1246,Settings!$C$23)&amp;"","$",""),",","")),0))</f>
        <v/>
      </c>
      <c r="E1246" s="11">
        <f>IF(A1246="","",IFERROR(VALUE(SUBSTITUTE(SUBSTITUTE(INDEX('Etsy Import'!$A:$CZ,1246,Settings!$C$24)&amp;"","$",""),",","")),0))</f>
        <v/>
      </c>
      <c r="F1246" s="11">
        <f>IF(A1246="","",D1246*E1246)</f>
        <v/>
      </c>
      <c r="G1246">
        <f>IF(A1246="","",IF(C1246="",1,COUNTIF($C$2:$C$1501,C1246)))</f>
        <v/>
      </c>
      <c r="H1246" s="11">
        <f>IF(A1246="","",IFERROR(VALUE(SUBSTITUTE(SUBSTITUTE(INDEX('Etsy Import'!$A:$CZ,1246,Settings!$C$25)&amp;"","$",""),",","")),0)/IF(Settings!$B$27="Yes",G1246,1))</f>
        <v/>
      </c>
      <c r="I1246" s="11">
        <f>IF(A1246="","",IFERROR(VALUE(SUBSTITUTE(SUBSTITUTE(INDEX('Etsy Import'!$A:$CZ,1246,Settings!$C$26)&amp;"","$",""),",","")),0)/IF(Settings!$B$27="Yes",G1246,1))</f>
        <v/>
      </c>
      <c r="J1246" s="11">
        <f>IF(A1246="","",F1246+H1246-I1246)</f>
        <v/>
      </c>
      <c r="K1246">
        <f>IF(A1246="","",IFERROR(IF(B1246="",NA(),MATCH(B1246,Products!$B$5:$B$204,0)),IFERROR(MATCH(A1246,Products!$A$5:$A$204,0),"")))</f>
        <v/>
      </c>
      <c r="L1246">
        <f>IF(A1246="","",IF(K1246="","⚠ not in Products",INDEX(Products!$A$5:$A$204,K1246)))</f>
        <v/>
      </c>
      <c r="M1246" s="11">
        <f>IF(A1246="","",J1246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1246+IFERROR(INDEX(Settings!$D$5:$D$9,MATCH("Etsy",Settings!$A$5:$A$9,0)),0)*D1246)</f>
        <v/>
      </c>
      <c r="N1246" s="11">
        <f>IF(A1246="","",IF(K1246="",0,D1246*INDEX(Products!$I$5:$I$204,K1246)))</f>
        <v/>
      </c>
      <c r="O1246" s="11">
        <f>IF(A1246="","",IF(K1246="",0,J1246*INDEX(Products!$H$5:$H$204,K1246)))</f>
        <v/>
      </c>
      <c r="P1246" s="11">
        <f>IF(A1246="","",J1246-M1246-N1246-O1246)</f>
        <v/>
      </c>
    </row>
    <row r="1247">
      <c r="A1247">
        <f>IFERROR(INDEX('Etsy Import'!$A:$CZ,1247,Settings!$C$20)&amp;"","")</f>
        <v/>
      </c>
      <c r="B1247">
        <f>IFERROR(INDEX('Etsy Import'!$A:$CZ,1247,Settings!$C$21)&amp;"","")</f>
        <v/>
      </c>
      <c r="C1247">
        <f>IFERROR(INDEX('Etsy Import'!$A:$CZ,1247,Settings!$C$22)&amp;"","")</f>
        <v/>
      </c>
      <c r="D1247">
        <f>IF(A1247="","",IFERROR(VALUE(SUBSTITUTE(SUBSTITUTE(INDEX('Etsy Import'!$A:$CZ,1247,Settings!$C$23)&amp;"","$",""),",","")),0))</f>
        <v/>
      </c>
      <c r="E1247" s="11">
        <f>IF(A1247="","",IFERROR(VALUE(SUBSTITUTE(SUBSTITUTE(INDEX('Etsy Import'!$A:$CZ,1247,Settings!$C$24)&amp;"","$",""),",","")),0))</f>
        <v/>
      </c>
      <c r="F1247" s="11">
        <f>IF(A1247="","",D1247*E1247)</f>
        <v/>
      </c>
      <c r="G1247">
        <f>IF(A1247="","",IF(C1247="",1,COUNTIF($C$2:$C$1501,C1247)))</f>
        <v/>
      </c>
      <c r="H1247" s="11">
        <f>IF(A1247="","",IFERROR(VALUE(SUBSTITUTE(SUBSTITUTE(INDEX('Etsy Import'!$A:$CZ,1247,Settings!$C$25)&amp;"","$",""),",","")),0)/IF(Settings!$B$27="Yes",G1247,1))</f>
        <v/>
      </c>
      <c r="I1247" s="11">
        <f>IF(A1247="","",IFERROR(VALUE(SUBSTITUTE(SUBSTITUTE(INDEX('Etsy Import'!$A:$CZ,1247,Settings!$C$26)&amp;"","$",""),",","")),0)/IF(Settings!$B$27="Yes",G1247,1))</f>
        <v/>
      </c>
      <c r="J1247" s="11">
        <f>IF(A1247="","",F1247+H1247-I1247)</f>
        <v/>
      </c>
      <c r="K1247">
        <f>IF(A1247="","",IFERROR(IF(B1247="",NA(),MATCH(B1247,Products!$B$5:$B$204,0)),IFERROR(MATCH(A1247,Products!$A$5:$A$204,0),"")))</f>
        <v/>
      </c>
      <c r="L1247">
        <f>IF(A1247="","",IF(K1247="","⚠ not in Products",INDEX(Products!$A$5:$A$204,K1247)))</f>
        <v/>
      </c>
      <c r="M1247" s="11">
        <f>IF(A1247="","",J1247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1247+IFERROR(INDEX(Settings!$D$5:$D$9,MATCH("Etsy",Settings!$A$5:$A$9,0)),0)*D1247)</f>
        <v/>
      </c>
      <c r="N1247" s="11">
        <f>IF(A1247="","",IF(K1247="",0,D1247*INDEX(Products!$I$5:$I$204,K1247)))</f>
        <v/>
      </c>
      <c r="O1247" s="11">
        <f>IF(A1247="","",IF(K1247="",0,J1247*INDEX(Products!$H$5:$H$204,K1247)))</f>
        <v/>
      </c>
      <c r="P1247" s="11">
        <f>IF(A1247="","",J1247-M1247-N1247-O1247)</f>
        <v/>
      </c>
    </row>
    <row r="1248">
      <c r="A1248">
        <f>IFERROR(INDEX('Etsy Import'!$A:$CZ,1248,Settings!$C$20)&amp;"","")</f>
        <v/>
      </c>
      <c r="B1248">
        <f>IFERROR(INDEX('Etsy Import'!$A:$CZ,1248,Settings!$C$21)&amp;"","")</f>
        <v/>
      </c>
      <c r="C1248">
        <f>IFERROR(INDEX('Etsy Import'!$A:$CZ,1248,Settings!$C$22)&amp;"","")</f>
        <v/>
      </c>
      <c r="D1248">
        <f>IF(A1248="","",IFERROR(VALUE(SUBSTITUTE(SUBSTITUTE(INDEX('Etsy Import'!$A:$CZ,1248,Settings!$C$23)&amp;"","$",""),",","")),0))</f>
        <v/>
      </c>
      <c r="E1248" s="11">
        <f>IF(A1248="","",IFERROR(VALUE(SUBSTITUTE(SUBSTITUTE(INDEX('Etsy Import'!$A:$CZ,1248,Settings!$C$24)&amp;"","$",""),",","")),0))</f>
        <v/>
      </c>
      <c r="F1248" s="11">
        <f>IF(A1248="","",D1248*E1248)</f>
        <v/>
      </c>
      <c r="G1248">
        <f>IF(A1248="","",IF(C1248="",1,COUNTIF($C$2:$C$1501,C1248)))</f>
        <v/>
      </c>
      <c r="H1248" s="11">
        <f>IF(A1248="","",IFERROR(VALUE(SUBSTITUTE(SUBSTITUTE(INDEX('Etsy Import'!$A:$CZ,1248,Settings!$C$25)&amp;"","$",""),",","")),0)/IF(Settings!$B$27="Yes",G1248,1))</f>
        <v/>
      </c>
      <c r="I1248" s="11">
        <f>IF(A1248="","",IFERROR(VALUE(SUBSTITUTE(SUBSTITUTE(INDEX('Etsy Import'!$A:$CZ,1248,Settings!$C$26)&amp;"","$",""),",","")),0)/IF(Settings!$B$27="Yes",G1248,1))</f>
        <v/>
      </c>
      <c r="J1248" s="11">
        <f>IF(A1248="","",F1248+H1248-I1248)</f>
        <v/>
      </c>
      <c r="K1248">
        <f>IF(A1248="","",IFERROR(IF(B1248="",NA(),MATCH(B1248,Products!$B$5:$B$204,0)),IFERROR(MATCH(A1248,Products!$A$5:$A$204,0),"")))</f>
        <v/>
      </c>
      <c r="L1248">
        <f>IF(A1248="","",IF(K1248="","⚠ not in Products",INDEX(Products!$A$5:$A$204,K1248)))</f>
        <v/>
      </c>
      <c r="M1248" s="11">
        <f>IF(A1248="","",J1248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1248+IFERROR(INDEX(Settings!$D$5:$D$9,MATCH("Etsy",Settings!$A$5:$A$9,0)),0)*D1248)</f>
        <v/>
      </c>
      <c r="N1248" s="11">
        <f>IF(A1248="","",IF(K1248="",0,D1248*INDEX(Products!$I$5:$I$204,K1248)))</f>
        <v/>
      </c>
      <c r="O1248" s="11">
        <f>IF(A1248="","",IF(K1248="",0,J1248*INDEX(Products!$H$5:$H$204,K1248)))</f>
        <v/>
      </c>
      <c r="P1248" s="11">
        <f>IF(A1248="","",J1248-M1248-N1248-O1248)</f>
        <v/>
      </c>
    </row>
    <row r="1249">
      <c r="A1249">
        <f>IFERROR(INDEX('Etsy Import'!$A:$CZ,1249,Settings!$C$20)&amp;"","")</f>
        <v/>
      </c>
      <c r="B1249">
        <f>IFERROR(INDEX('Etsy Import'!$A:$CZ,1249,Settings!$C$21)&amp;"","")</f>
        <v/>
      </c>
      <c r="C1249">
        <f>IFERROR(INDEX('Etsy Import'!$A:$CZ,1249,Settings!$C$22)&amp;"","")</f>
        <v/>
      </c>
      <c r="D1249">
        <f>IF(A1249="","",IFERROR(VALUE(SUBSTITUTE(SUBSTITUTE(INDEX('Etsy Import'!$A:$CZ,1249,Settings!$C$23)&amp;"","$",""),",","")),0))</f>
        <v/>
      </c>
      <c r="E1249" s="11">
        <f>IF(A1249="","",IFERROR(VALUE(SUBSTITUTE(SUBSTITUTE(INDEX('Etsy Import'!$A:$CZ,1249,Settings!$C$24)&amp;"","$",""),",","")),0))</f>
        <v/>
      </c>
      <c r="F1249" s="11">
        <f>IF(A1249="","",D1249*E1249)</f>
        <v/>
      </c>
      <c r="G1249">
        <f>IF(A1249="","",IF(C1249="",1,COUNTIF($C$2:$C$1501,C1249)))</f>
        <v/>
      </c>
      <c r="H1249" s="11">
        <f>IF(A1249="","",IFERROR(VALUE(SUBSTITUTE(SUBSTITUTE(INDEX('Etsy Import'!$A:$CZ,1249,Settings!$C$25)&amp;"","$",""),",","")),0)/IF(Settings!$B$27="Yes",G1249,1))</f>
        <v/>
      </c>
      <c r="I1249" s="11">
        <f>IF(A1249="","",IFERROR(VALUE(SUBSTITUTE(SUBSTITUTE(INDEX('Etsy Import'!$A:$CZ,1249,Settings!$C$26)&amp;"","$",""),",","")),0)/IF(Settings!$B$27="Yes",G1249,1))</f>
        <v/>
      </c>
      <c r="J1249" s="11">
        <f>IF(A1249="","",F1249+H1249-I1249)</f>
        <v/>
      </c>
      <c r="K1249">
        <f>IF(A1249="","",IFERROR(IF(B1249="",NA(),MATCH(B1249,Products!$B$5:$B$204,0)),IFERROR(MATCH(A1249,Products!$A$5:$A$204,0),"")))</f>
        <v/>
      </c>
      <c r="L1249">
        <f>IF(A1249="","",IF(K1249="","⚠ not in Products",INDEX(Products!$A$5:$A$204,K1249)))</f>
        <v/>
      </c>
      <c r="M1249" s="11">
        <f>IF(A1249="","",J1249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1249+IFERROR(INDEX(Settings!$D$5:$D$9,MATCH("Etsy",Settings!$A$5:$A$9,0)),0)*D1249)</f>
        <v/>
      </c>
      <c r="N1249" s="11">
        <f>IF(A1249="","",IF(K1249="",0,D1249*INDEX(Products!$I$5:$I$204,K1249)))</f>
        <v/>
      </c>
      <c r="O1249" s="11">
        <f>IF(A1249="","",IF(K1249="",0,J1249*INDEX(Products!$H$5:$H$204,K1249)))</f>
        <v/>
      </c>
      <c r="P1249" s="11">
        <f>IF(A1249="","",J1249-M1249-N1249-O1249)</f>
        <v/>
      </c>
    </row>
    <row r="1250">
      <c r="A1250">
        <f>IFERROR(INDEX('Etsy Import'!$A:$CZ,1250,Settings!$C$20)&amp;"","")</f>
        <v/>
      </c>
      <c r="B1250">
        <f>IFERROR(INDEX('Etsy Import'!$A:$CZ,1250,Settings!$C$21)&amp;"","")</f>
        <v/>
      </c>
      <c r="C1250">
        <f>IFERROR(INDEX('Etsy Import'!$A:$CZ,1250,Settings!$C$22)&amp;"","")</f>
        <v/>
      </c>
      <c r="D1250">
        <f>IF(A1250="","",IFERROR(VALUE(SUBSTITUTE(SUBSTITUTE(INDEX('Etsy Import'!$A:$CZ,1250,Settings!$C$23)&amp;"","$",""),",","")),0))</f>
        <v/>
      </c>
      <c r="E1250" s="11">
        <f>IF(A1250="","",IFERROR(VALUE(SUBSTITUTE(SUBSTITUTE(INDEX('Etsy Import'!$A:$CZ,1250,Settings!$C$24)&amp;"","$",""),",","")),0))</f>
        <v/>
      </c>
      <c r="F1250" s="11">
        <f>IF(A1250="","",D1250*E1250)</f>
        <v/>
      </c>
      <c r="G1250">
        <f>IF(A1250="","",IF(C1250="",1,COUNTIF($C$2:$C$1501,C1250)))</f>
        <v/>
      </c>
      <c r="H1250" s="11">
        <f>IF(A1250="","",IFERROR(VALUE(SUBSTITUTE(SUBSTITUTE(INDEX('Etsy Import'!$A:$CZ,1250,Settings!$C$25)&amp;"","$",""),",","")),0)/IF(Settings!$B$27="Yes",G1250,1))</f>
        <v/>
      </c>
      <c r="I1250" s="11">
        <f>IF(A1250="","",IFERROR(VALUE(SUBSTITUTE(SUBSTITUTE(INDEX('Etsy Import'!$A:$CZ,1250,Settings!$C$26)&amp;"","$",""),",","")),0)/IF(Settings!$B$27="Yes",G1250,1))</f>
        <v/>
      </c>
      <c r="J1250" s="11">
        <f>IF(A1250="","",F1250+H1250-I1250)</f>
        <v/>
      </c>
      <c r="K1250">
        <f>IF(A1250="","",IFERROR(IF(B1250="",NA(),MATCH(B1250,Products!$B$5:$B$204,0)),IFERROR(MATCH(A1250,Products!$A$5:$A$204,0),"")))</f>
        <v/>
      </c>
      <c r="L1250">
        <f>IF(A1250="","",IF(K1250="","⚠ not in Products",INDEX(Products!$A$5:$A$204,K1250)))</f>
        <v/>
      </c>
      <c r="M1250" s="11">
        <f>IF(A1250="","",J1250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1250+IFERROR(INDEX(Settings!$D$5:$D$9,MATCH("Etsy",Settings!$A$5:$A$9,0)),0)*D1250)</f>
        <v/>
      </c>
      <c r="N1250" s="11">
        <f>IF(A1250="","",IF(K1250="",0,D1250*INDEX(Products!$I$5:$I$204,K1250)))</f>
        <v/>
      </c>
      <c r="O1250" s="11">
        <f>IF(A1250="","",IF(K1250="",0,J1250*INDEX(Products!$H$5:$H$204,K1250)))</f>
        <v/>
      </c>
      <c r="P1250" s="11">
        <f>IF(A1250="","",J1250-M1250-N1250-O1250)</f>
        <v/>
      </c>
    </row>
    <row r="1251">
      <c r="A1251">
        <f>IFERROR(INDEX('Etsy Import'!$A:$CZ,1251,Settings!$C$20)&amp;"","")</f>
        <v/>
      </c>
      <c r="B1251">
        <f>IFERROR(INDEX('Etsy Import'!$A:$CZ,1251,Settings!$C$21)&amp;"","")</f>
        <v/>
      </c>
      <c r="C1251">
        <f>IFERROR(INDEX('Etsy Import'!$A:$CZ,1251,Settings!$C$22)&amp;"","")</f>
        <v/>
      </c>
      <c r="D1251">
        <f>IF(A1251="","",IFERROR(VALUE(SUBSTITUTE(SUBSTITUTE(INDEX('Etsy Import'!$A:$CZ,1251,Settings!$C$23)&amp;"","$",""),",","")),0))</f>
        <v/>
      </c>
      <c r="E1251" s="11">
        <f>IF(A1251="","",IFERROR(VALUE(SUBSTITUTE(SUBSTITUTE(INDEX('Etsy Import'!$A:$CZ,1251,Settings!$C$24)&amp;"","$",""),",","")),0))</f>
        <v/>
      </c>
      <c r="F1251" s="11">
        <f>IF(A1251="","",D1251*E1251)</f>
        <v/>
      </c>
      <c r="G1251">
        <f>IF(A1251="","",IF(C1251="",1,COUNTIF($C$2:$C$1501,C1251)))</f>
        <v/>
      </c>
      <c r="H1251" s="11">
        <f>IF(A1251="","",IFERROR(VALUE(SUBSTITUTE(SUBSTITUTE(INDEX('Etsy Import'!$A:$CZ,1251,Settings!$C$25)&amp;"","$",""),",","")),0)/IF(Settings!$B$27="Yes",G1251,1))</f>
        <v/>
      </c>
      <c r="I1251" s="11">
        <f>IF(A1251="","",IFERROR(VALUE(SUBSTITUTE(SUBSTITUTE(INDEX('Etsy Import'!$A:$CZ,1251,Settings!$C$26)&amp;"","$",""),",","")),0)/IF(Settings!$B$27="Yes",G1251,1))</f>
        <v/>
      </c>
      <c r="J1251" s="11">
        <f>IF(A1251="","",F1251+H1251-I1251)</f>
        <v/>
      </c>
      <c r="K1251">
        <f>IF(A1251="","",IFERROR(IF(B1251="",NA(),MATCH(B1251,Products!$B$5:$B$204,0)),IFERROR(MATCH(A1251,Products!$A$5:$A$204,0),"")))</f>
        <v/>
      </c>
      <c r="L1251">
        <f>IF(A1251="","",IF(K1251="","⚠ not in Products",INDEX(Products!$A$5:$A$204,K1251)))</f>
        <v/>
      </c>
      <c r="M1251" s="11">
        <f>IF(A1251="","",J1251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1251+IFERROR(INDEX(Settings!$D$5:$D$9,MATCH("Etsy",Settings!$A$5:$A$9,0)),0)*D1251)</f>
        <v/>
      </c>
      <c r="N1251" s="11">
        <f>IF(A1251="","",IF(K1251="",0,D1251*INDEX(Products!$I$5:$I$204,K1251)))</f>
        <v/>
      </c>
      <c r="O1251" s="11">
        <f>IF(A1251="","",IF(K1251="",0,J1251*INDEX(Products!$H$5:$H$204,K1251)))</f>
        <v/>
      </c>
      <c r="P1251" s="11">
        <f>IF(A1251="","",J1251-M1251-N1251-O1251)</f>
        <v/>
      </c>
    </row>
    <row r="1252">
      <c r="A1252">
        <f>IFERROR(INDEX('Etsy Import'!$A:$CZ,1252,Settings!$C$20)&amp;"","")</f>
        <v/>
      </c>
      <c r="B1252">
        <f>IFERROR(INDEX('Etsy Import'!$A:$CZ,1252,Settings!$C$21)&amp;"","")</f>
        <v/>
      </c>
      <c r="C1252">
        <f>IFERROR(INDEX('Etsy Import'!$A:$CZ,1252,Settings!$C$22)&amp;"","")</f>
        <v/>
      </c>
      <c r="D1252">
        <f>IF(A1252="","",IFERROR(VALUE(SUBSTITUTE(SUBSTITUTE(INDEX('Etsy Import'!$A:$CZ,1252,Settings!$C$23)&amp;"","$",""),",","")),0))</f>
        <v/>
      </c>
      <c r="E1252" s="11">
        <f>IF(A1252="","",IFERROR(VALUE(SUBSTITUTE(SUBSTITUTE(INDEX('Etsy Import'!$A:$CZ,1252,Settings!$C$24)&amp;"","$",""),",","")),0))</f>
        <v/>
      </c>
      <c r="F1252" s="11">
        <f>IF(A1252="","",D1252*E1252)</f>
        <v/>
      </c>
      <c r="G1252">
        <f>IF(A1252="","",IF(C1252="",1,COUNTIF($C$2:$C$1501,C1252)))</f>
        <v/>
      </c>
      <c r="H1252" s="11">
        <f>IF(A1252="","",IFERROR(VALUE(SUBSTITUTE(SUBSTITUTE(INDEX('Etsy Import'!$A:$CZ,1252,Settings!$C$25)&amp;"","$",""),",","")),0)/IF(Settings!$B$27="Yes",G1252,1))</f>
        <v/>
      </c>
      <c r="I1252" s="11">
        <f>IF(A1252="","",IFERROR(VALUE(SUBSTITUTE(SUBSTITUTE(INDEX('Etsy Import'!$A:$CZ,1252,Settings!$C$26)&amp;"","$",""),",","")),0)/IF(Settings!$B$27="Yes",G1252,1))</f>
        <v/>
      </c>
      <c r="J1252" s="11">
        <f>IF(A1252="","",F1252+H1252-I1252)</f>
        <v/>
      </c>
      <c r="K1252">
        <f>IF(A1252="","",IFERROR(IF(B1252="",NA(),MATCH(B1252,Products!$B$5:$B$204,0)),IFERROR(MATCH(A1252,Products!$A$5:$A$204,0),"")))</f>
        <v/>
      </c>
      <c r="L1252">
        <f>IF(A1252="","",IF(K1252="","⚠ not in Products",INDEX(Products!$A$5:$A$204,K1252)))</f>
        <v/>
      </c>
      <c r="M1252" s="11">
        <f>IF(A1252="","",J1252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1252+IFERROR(INDEX(Settings!$D$5:$D$9,MATCH("Etsy",Settings!$A$5:$A$9,0)),0)*D1252)</f>
        <v/>
      </c>
      <c r="N1252" s="11">
        <f>IF(A1252="","",IF(K1252="",0,D1252*INDEX(Products!$I$5:$I$204,K1252)))</f>
        <v/>
      </c>
      <c r="O1252" s="11">
        <f>IF(A1252="","",IF(K1252="",0,J1252*INDEX(Products!$H$5:$H$204,K1252)))</f>
        <v/>
      </c>
      <c r="P1252" s="11">
        <f>IF(A1252="","",J1252-M1252-N1252-O1252)</f>
        <v/>
      </c>
    </row>
    <row r="1253">
      <c r="A1253">
        <f>IFERROR(INDEX('Etsy Import'!$A:$CZ,1253,Settings!$C$20)&amp;"","")</f>
        <v/>
      </c>
      <c r="B1253">
        <f>IFERROR(INDEX('Etsy Import'!$A:$CZ,1253,Settings!$C$21)&amp;"","")</f>
        <v/>
      </c>
      <c r="C1253">
        <f>IFERROR(INDEX('Etsy Import'!$A:$CZ,1253,Settings!$C$22)&amp;"","")</f>
        <v/>
      </c>
      <c r="D1253">
        <f>IF(A1253="","",IFERROR(VALUE(SUBSTITUTE(SUBSTITUTE(INDEX('Etsy Import'!$A:$CZ,1253,Settings!$C$23)&amp;"","$",""),",","")),0))</f>
        <v/>
      </c>
      <c r="E1253" s="11">
        <f>IF(A1253="","",IFERROR(VALUE(SUBSTITUTE(SUBSTITUTE(INDEX('Etsy Import'!$A:$CZ,1253,Settings!$C$24)&amp;"","$",""),",","")),0))</f>
        <v/>
      </c>
      <c r="F1253" s="11">
        <f>IF(A1253="","",D1253*E1253)</f>
        <v/>
      </c>
      <c r="G1253">
        <f>IF(A1253="","",IF(C1253="",1,COUNTIF($C$2:$C$1501,C1253)))</f>
        <v/>
      </c>
      <c r="H1253" s="11">
        <f>IF(A1253="","",IFERROR(VALUE(SUBSTITUTE(SUBSTITUTE(INDEX('Etsy Import'!$A:$CZ,1253,Settings!$C$25)&amp;"","$",""),",","")),0)/IF(Settings!$B$27="Yes",G1253,1))</f>
        <v/>
      </c>
      <c r="I1253" s="11">
        <f>IF(A1253="","",IFERROR(VALUE(SUBSTITUTE(SUBSTITUTE(INDEX('Etsy Import'!$A:$CZ,1253,Settings!$C$26)&amp;"","$",""),",","")),0)/IF(Settings!$B$27="Yes",G1253,1))</f>
        <v/>
      </c>
      <c r="J1253" s="11">
        <f>IF(A1253="","",F1253+H1253-I1253)</f>
        <v/>
      </c>
      <c r="K1253">
        <f>IF(A1253="","",IFERROR(IF(B1253="",NA(),MATCH(B1253,Products!$B$5:$B$204,0)),IFERROR(MATCH(A1253,Products!$A$5:$A$204,0),"")))</f>
        <v/>
      </c>
      <c r="L1253">
        <f>IF(A1253="","",IF(K1253="","⚠ not in Products",INDEX(Products!$A$5:$A$204,K1253)))</f>
        <v/>
      </c>
      <c r="M1253" s="11">
        <f>IF(A1253="","",J1253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1253+IFERROR(INDEX(Settings!$D$5:$D$9,MATCH("Etsy",Settings!$A$5:$A$9,0)),0)*D1253)</f>
        <v/>
      </c>
      <c r="N1253" s="11">
        <f>IF(A1253="","",IF(K1253="",0,D1253*INDEX(Products!$I$5:$I$204,K1253)))</f>
        <v/>
      </c>
      <c r="O1253" s="11">
        <f>IF(A1253="","",IF(K1253="",0,J1253*INDEX(Products!$H$5:$H$204,K1253)))</f>
        <v/>
      </c>
      <c r="P1253" s="11">
        <f>IF(A1253="","",J1253-M1253-N1253-O1253)</f>
        <v/>
      </c>
    </row>
    <row r="1254">
      <c r="A1254">
        <f>IFERROR(INDEX('Etsy Import'!$A:$CZ,1254,Settings!$C$20)&amp;"","")</f>
        <v/>
      </c>
      <c r="B1254">
        <f>IFERROR(INDEX('Etsy Import'!$A:$CZ,1254,Settings!$C$21)&amp;"","")</f>
        <v/>
      </c>
      <c r="C1254">
        <f>IFERROR(INDEX('Etsy Import'!$A:$CZ,1254,Settings!$C$22)&amp;"","")</f>
        <v/>
      </c>
      <c r="D1254">
        <f>IF(A1254="","",IFERROR(VALUE(SUBSTITUTE(SUBSTITUTE(INDEX('Etsy Import'!$A:$CZ,1254,Settings!$C$23)&amp;"","$",""),",","")),0))</f>
        <v/>
      </c>
      <c r="E1254" s="11">
        <f>IF(A1254="","",IFERROR(VALUE(SUBSTITUTE(SUBSTITUTE(INDEX('Etsy Import'!$A:$CZ,1254,Settings!$C$24)&amp;"","$",""),",","")),0))</f>
        <v/>
      </c>
      <c r="F1254" s="11">
        <f>IF(A1254="","",D1254*E1254)</f>
        <v/>
      </c>
      <c r="G1254">
        <f>IF(A1254="","",IF(C1254="",1,COUNTIF($C$2:$C$1501,C1254)))</f>
        <v/>
      </c>
      <c r="H1254" s="11">
        <f>IF(A1254="","",IFERROR(VALUE(SUBSTITUTE(SUBSTITUTE(INDEX('Etsy Import'!$A:$CZ,1254,Settings!$C$25)&amp;"","$",""),",","")),0)/IF(Settings!$B$27="Yes",G1254,1))</f>
        <v/>
      </c>
      <c r="I1254" s="11">
        <f>IF(A1254="","",IFERROR(VALUE(SUBSTITUTE(SUBSTITUTE(INDEX('Etsy Import'!$A:$CZ,1254,Settings!$C$26)&amp;"","$",""),",","")),0)/IF(Settings!$B$27="Yes",G1254,1))</f>
        <v/>
      </c>
      <c r="J1254" s="11">
        <f>IF(A1254="","",F1254+H1254-I1254)</f>
        <v/>
      </c>
      <c r="K1254">
        <f>IF(A1254="","",IFERROR(IF(B1254="",NA(),MATCH(B1254,Products!$B$5:$B$204,0)),IFERROR(MATCH(A1254,Products!$A$5:$A$204,0),"")))</f>
        <v/>
      </c>
      <c r="L1254">
        <f>IF(A1254="","",IF(K1254="","⚠ not in Products",INDEX(Products!$A$5:$A$204,K1254)))</f>
        <v/>
      </c>
      <c r="M1254" s="11">
        <f>IF(A1254="","",J1254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1254+IFERROR(INDEX(Settings!$D$5:$D$9,MATCH("Etsy",Settings!$A$5:$A$9,0)),0)*D1254)</f>
        <v/>
      </c>
      <c r="N1254" s="11">
        <f>IF(A1254="","",IF(K1254="",0,D1254*INDEX(Products!$I$5:$I$204,K1254)))</f>
        <v/>
      </c>
      <c r="O1254" s="11">
        <f>IF(A1254="","",IF(K1254="",0,J1254*INDEX(Products!$H$5:$H$204,K1254)))</f>
        <v/>
      </c>
      <c r="P1254" s="11">
        <f>IF(A1254="","",J1254-M1254-N1254-O1254)</f>
        <v/>
      </c>
    </row>
    <row r="1255">
      <c r="A1255">
        <f>IFERROR(INDEX('Etsy Import'!$A:$CZ,1255,Settings!$C$20)&amp;"","")</f>
        <v/>
      </c>
      <c r="B1255">
        <f>IFERROR(INDEX('Etsy Import'!$A:$CZ,1255,Settings!$C$21)&amp;"","")</f>
        <v/>
      </c>
      <c r="C1255">
        <f>IFERROR(INDEX('Etsy Import'!$A:$CZ,1255,Settings!$C$22)&amp;"","")</f>
        <v/>
      </c>
      <c r="D1255">
        <f>IF(A1255="","",IFERROR(VALUE(SUBSTITUTE(SUBSTITUTE(INDEX('Etsy Import'!$A:$CZ,1255,Settings!$C$23)&amp;"","$",""),",","")),0))</f>
        <v/>
      </c>
      <c r="E1255" s="11">
        <f>IF(A1255="","",IFERROR(VALUE(SUBSTITUTE(SUBSTITUTE(INDEX('Etsy Import'!$A:$CZ,1255,Settings!$C$24)&amp;"","$",""),",","")),0))</f>
        <v/>
      </c>
      <c r="F1255" s="11">
        <f>IF(A1255="","",D1255*E1255)</f>
        <v/>
      </c>
      <c r="G1255">
        <f>IF(A1255="","",IF(C1255="",1,COUNTIF($C$2:$C$1501,C1255)))</f>
        <v/>
      </c>
      <c r="H1255" s="11">
        <f>IF(A1255="","",IFERROR(VALUE(SUBSTITUTE(SUBSTITUTE(INDEX('Etsy Import'!$A:$CZ,1255,Settings!$C$25)&amp;"","$",""),",","")),0)/IF(Settings!$B$27="Yes",G1255,1))</f>
        <v/>
      </c>
      <c r="I1255" s="11">
        <f>IF(A1255="","",IFERROR(VALUE(SUBSTITUTE(SUBSTITUTE(INDEX('Etsy Import'!$A:$CZ,1255,Settings!$C$26)&amp;"","$",""),",","")),0)/IF(Settings!$B$27="Yes",G1255,1))</f>
        <v/>
      </c>
      <c r="J1255" s="11">
        <f>IF(A1255="","",F1255+H1255-I1255)</f>
        <v/>
      </c>
      <c r="K1255">
        <f>IF(A1255="","",IFERROR(IF(B1255="",NA(),MATCH(B1255,Products!$B$5:$B$204,0)),IFERROR(MATCH(A1255,Products!$A$5:$A$204,0),"")))</f>
        <v/>
      </c>
      <c r="L1255">
        <f>IF(A1255="","",IF(K1255="","⚠ not in Products",INDEX(Products!$A$5:$A$204,K1255)))</f>
        <v/>
      </c>
      <c r="M1255" s="11">
        <f>IF(A1255="","",J1255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1255+IFERROR(INDEX(Settings!$D$5:$D$9,MATCH("Etsy",Settings!$A$5:$A$9,0)),0)*D1255)</f>
        <v/>
      </c>
      <c r="N1255" s="11">
        <f>IF(A1255="","",IF(K1255="",0,D1255*INDEX(Products!$I$5:$I$204,K1255)))</f>
        <v/>
      </c>
      <c r="O1255" s="11">
        <f>IF(A1255="","",IF(K1255="",0,J1255*INDEX(Products!$H$5:$H$204,K1255)))</f>
        <v/>
      </c>
      <c r="P1255" s="11">
        <f>IF(A1255="","",J1255-M1255-N1255-O1255)</f>
        <v/>
      </c>
    </row>
    <row r="1256">
      <c r="A1256">
        <f>IFERROR(INDEX('Etsy Import'!$A:$CZ,1256,Settings!$C$20)&amp;"","")</f>
        <v/>
      </c>
      <c r="B1256">
        <f>IFERROR(INDEX('Etsy Import'!$A:$CZ,1256,Settings!$C$21)&amp;"","")</f>
        <v/>
      </c>
      <c r="C1256">
        <f>IFERROR(INDEX('Etsy Import'!$A:$CZ,1256,Settings!$C$22)&amp;"","")</f>
        <v/>
      </c>
      <c r="D1256">
        <f>IF(A1256="","",IFERROR(VALUE(SUBSTITUTE(SUBSTITUTE(INDEX('Etsy Import'!$A:$CZ,1256,Settings!$C$23)&amp;"","$",""),",","")),0))</f>
        <v/>
      </c>
      <c r="E1256" s="11">
        <f>IF(A1256="","",IFERROR(VALUE(SUBSTITUTE(SUBSTITUTE(INDEX('Etsy Import'!$A:$CZ,1256,Settings!$C$24)&amp;"","$",""),",","")),0))</f>
        <v/>
      </c>
      <c r="F1256" s="11">
        <f>IF(A1256="","",D1256*E1256)</f>
        <v/>
      </c>
      <c r="G1256">
        <f>IF(A1256="","",IF(C1256="",1,COUNTIF($C$2:$C$1501,C1256)))</f>
        <v/>
      </c>
      <c r="H1256" s="11">
        <f>IF(A1256="","",IFERROR(VALUE(SUBSTITUTE(SUBSTITUTE(INDEX('Etsy Import'!$A:$CZ,1256,Settings!$C$25)&amp;"","$",""),",","")),0)/IF(Settings!$B$27="Yes",G1256,1))</f>
        <v/>
      </c>
      <c r="I1256" s="11">
        <f>IF(A1256="","",IFERROR(VALUE(SUBSTITUTE(SUBSTITUTE(INDEX('Etsy Import'!$A:$CZ,1256,Settings!$C$26)&amp;"","$",""),",","")),0)/IF(Settings!$B$27="Yes",G1256,1))</f>
        <v/>
      </c>
      <c r="J1256" s="11">
        <f>IF(A1256="","",F1256+H1256-I1256)</f>
        <v/>
      </c>
      <c r="K1256">
        <f>IF(A1256="","",IFERROR(IF(B1256="",NA(),MATCH(B1256,Products!$B$5:$B$204,0)),IFERROR(MATCH(A1256,Products!$A$5:$A$204,0),"")))</f>
        <v/>
      </c>
      <c r="L1256">
        <f>IF(A1256="","",IF(K1256="","⚠ not in Products",INDEX(Products!$A$5:$A$204,K1256)))</f>
        <v/>
      </c>
      <c r="M1256" s="11">
        <f>IF(A1256="","",J1256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1256+IFERROR(INDEX(Settings!$D$5:$D$9,MATCH("Etsy",Settings!$A$5:$A$9,0)),0)*D1256)</f>
        <v/>
      </c>
      <c r="N1256" s="11">
        <f>IF(A1256="","",IF(K1256="",0,D1256*INDEX(Products!$I$5:$I$204,K1256)))</f>
        <v/>
      </c>
      <c r="O1256" s="11">
        <f>IF(A1256="","",IF(K1256="",0,J1256*INDEX(Products!$H$5:$H$204,K1256)))</f>
        <v/>
      </c>
      <c r="P1256" s="11">
        <f>IF(A1256="","",J1256-M1256-N1256-O1256)</f>
        <v/>
      </c>
    </row>
    <row r="1257">
      <c r="A1257">
        <f>IFERROR(INDEX('Etsy Import'!$A:$CZ,1257,Settings!$C$20)&amp;"","")</f>
        <v/>
      </c>
      <c r="B1257">
        <f>IFERROR(INDEX('Etsy Import'!$A:$CZ,1257,Settings!$C$21)&amp;"","")</f>
        <v/>
      </c>
      <c r="C1257">
        <f>IFERROR(INDEX('Etsy Import'!$A:$CZ,1257,Settings!$C$22)&amp;"","")</f>
        <v/>
      </c>
      <c r="D1257">
        <f>IF(A1257="","",IFERROR(VALUE(SUBSTITUTE(SUBSTITUTE(INDEX('Etsy Import'!$A:$CZ,1257,Settings!$C$23)&amp;"","$",""),",","")),0))</f>
        <v/>
      </c>
      <c r="E1257" s="11">
        <f>IF(A1257="","",IFERROR(VALUE(SUBSTITUTE(SUBSTITUTE(INDEX('Etsy Import'!$A:$CZ,1257,Settings!$C$24)&amp;"","$",""),",","")),0))</f>
        <v/>
      </c>
      <c r="F1257" s="11">
        <f>IF(A1257="","",D1257*E1257)</f>
        <v/>
      </c>
      <c r="G1257">
        <f>IF(A1257="","",IF(C1257="",1,COUNTIF($C$2:$C$1501,C1257)))</f>
        <v/>
      </c>
      <c r="H1257" s="11">
        <f>IF(A1257="","",IFERROR(VALUE(SUBSTITUTE(SUBSTITUTE(INDEX('Etsy Import'!$A:$CZ,1257,Settings!$C$25)&amp;"","$",""),",","")),0)/IF(Settings!$B$27="Yes",G1257,1))</f>
        <v/>
      </c>
      <c r="I1257" s="11">
        <f>IF(A1257="","",IFERROR(VALUE(SUBSTITUTE(SUBSTITUTE(INDEX('Etsy Import'!$A:$CZ,1257,Settings!$C$26)&amp;"","$",""),",","")),0)/IF(Settings!$B$27="Yes",G1257,1))</f>
        <v/>
      </c>
      <c r="J1257" s="11">
        <f>IF(A1257="","",F1257+H1257-I1257)</f>
        <v/>
      </c>
      <c r="K1257">
        <f>IF(A1257="","",IFERROR(IF(B1257="",NA(),MATCH(B1257,Products!$B$5:$B$204,0)),IFERROR(MATCH(A1257,Products!$A$5:$A$204,0),"")))</f>
        <v/>
      </c>
      <c r="L1257">
        <f>IF(A1257="","",IF(K1257="","⚠ not in Products",INDEX(Products!$A$5:$A$204,K1257)))</f>
        <v/>
      </c>
      <c r="M1257" s="11">
        <f>IF(A1257="","",J1257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1257+IFERROR(INDEX(Settings!$D$5:$D$9,MATCH("Etsy",Settings!$A$5:$A$9,0)),0)*D1257)</f>
        <v/>
      </c>
      <c r="N1257" s="11">
        <f>IF(A1257="","",IF(K1257="",0,D1257*INDEX(Products!$I$5:$I$204,K1257)))</f>
        <v/>
      </c>
      <c r="O1257" s="11">
        <f>IF(A1257="","",IF(K1257="",0,J1257*INDEX(Products!$H$5:$H$204,K1257)))</f>
        <v/>
      </c>
      <c r="P1257" s="11">
        <f>IF(A1257="","",J1257-M1257-N1257-O1257)</f>
        <v/>
      </c>
    </row>
    <row r="1258">
      <c r="A1258">
        <f>IFERROR(INDEX('Etsy Import'!$A:$CZ,1258,Settings!$C$20)&amp;"","")</f>
        <v/>
      </c>
      <c r="B1258">
        <f>IFERROR(INDEX('Etsy Import'!$A:$CZ,1258,Settings!$C$21)&amp;"","")</f>
        <v/>
      </c>
      <c r="C1258">
        <f>IFERROR(INDEX('Etsy Import'!$A:$CZ,1258,Settings!$C$22)&amp;"","")</f>
        <v/>
      </c>
      <c r="D1258">
        <f>IF(A1258="","",IFERROR(VALUE(SUBSTITUTE(SUBSTITUTE(INDEX('Etsy Import'!$A:$CZ,1258,Settings!$C$23)&amp;"","$",""),",","")),0))</f>
        <v/>
      </c>
      <c r="E1258" s="11">
        <f>IF(A1258="","",IFERROR(VALUE(SUBSTITUTE(SUBSTITUTE(INDEX('Etsy Import'!$A:$CZ,1258,Settings!$C$24)&amp;"","$",""),",","")),0))</f>
        <v/>
      </c>
      <c r="F1258" s="11">
        <f>IF(A1258="","",D1258*E1258)</f>
        <v/>
      </c>
      <c r="G1258">
        <f>IF(A1258="","",IF(C1258="",1,COUNTIF($C$2:$C$1501,C1258)))</f>
        <v/>
      </c>
      <c r="H1258" s="11">
        <f>IF(A1258="","",IFERROR(VALUE(SUBSTITUTE(SUBSTITUTE(INDEX('Etsy Import'!$A:$CZ,1258,Settings!$C$25)&amp;"","$",""),",","")),0)/IF(Settings!$B$27="Yes",G1258,1))</f>
        <v/>
      </c>
      <c r="I1258" s="11">
        <f>IF(A1258="","",IFERROR(VALUE(SUBSTITUTE(SUBSTITUTE(INDEX('Etsy Import'!$A:$CZ,1258,Settings!$C$26)&amp;"","$",""),",","")),0)/IF(Settings!$B$27="Yes",G1258,1))</f>
        <v/>
      </c>
      <c r="J1258" s="11">
        <f>IF(A1258="","",F1258+H1258-I1258)</f>
        <v/>
      </c>
      <c r="K1258">
        <f>IF(A1258="","",IFERROR(IF(B1258="",NA(),MATCH(B1258,Products!$B$5:$B$204,0)),IFERROR(MATCH(A1258,Products!$A$5:$A$204,0),"")))</f>
        <v/>
      </c>
      <c r="L1258">
        <f>IF(A1258="","",IF(K1258="","⚠ not in Products",INDEX(Products!$A$5:$A$204,K1258)))</f>
        <v/>
      </c>
      <c r="M1258" s="11">
        <f>IF(A1258="","",J1258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1258+IFERROR(INDEX(Settings!$D$5:$D$9,MATCH("Etsy",Settings!$A$5:$A$9,0)),0)*D1258)</f>
        <v/>
      </c>
      <c r="N1258" s="11">
        <f>IF(A1258="","",IF(K1258="",0,D1258*INDEX(Products!$I$5:$I$204,K1258)))</f>
        <v/>
      </c>
      <c r="O1258" s="11">
        <f>IF(A1258="","",IF(K1258="",0,J1258*INDEX(Products!$H$5:$H$204,K1258)))</f>
        <v/>
      </c>
      <c r="P1258" s="11">
        <f>IF(A1258="","",J1258-M1258-N1258-O1258)</f>
        <v/>
      </c>
    </row>
    <row r="1259">
      <c r="A1259">
        <f>IFERROR(INDEX('Etsy Import'!$A:$CZ,1259,Settings!$C$20)&amp;"","")</f>
        <v/>
      </c>
      <c r="B1259">
        <f>IFERROR(INDEX('Etsy Import'!$A:$CZ,1259,Settings!$C$21)&amp;"","")</f>
        <v/>
      </c>
      <c r="C1259">
        <f>IFERROR(INDEX('Etsy Import'!$A:$CZ,1259,Settings!$C$22)&amp;"","")</f>
        <v/>
      </c>
      <c r="D1259">
        <f>IF(A1259="","",IFERROR(VALUE(SUBSTITUTE(SUBSTITUTE(INDEX('Etsy Import'!$A:$CZ,1259,Settings!$C$23)&amp;"","$",""),",","")),0))</f>
        <v/>
      </c>
      <c r="E1259" s="11">
        <f>IF(A1259="","",IFERROR(VALUE(SUBSTITUTE(SUBSTITUTE(INDEX('Etsy Import'!$A:$CZ,1259,Settings!$C$24)&amp;"","$",""),",","")),0))</f>
        <v/>
      </c>
      <c r="F1259" s="11">
        <f>IF(A1259="","",D1259*E1259)</f>
        <v/>
      </c>
      <c r="G1259">
        <f>IF(A1259="","",IF(C1259="",1,COUNTIF($C$2:$C$1501,C1259)))</f>
        <v/>
      </c>
      <c r="H1259" s="11">
        <f>IF(A1259="","",IFERROR(VALUE(SUBSTITUTE(SUBSTITUTE(INDEX('Etsy Import'!$A:$CZ,1259,Settings!$C$25)&amp;"","$",""),",","")),0)/IF(Settings!$B$27="Yes",G1259,1))</f>
        <v/>
      </c>
      <c r="I1259" s="11">
        <f>IF(A1259="","",IFERROR(VALUE(SUBSTITUTE(SUBSTITUTE(INDEX('Etsy Import'!$A:$CZ,1259,Settings!$C$26)&amp;"","$",""),",","")),0)/IF(Settings!$B$27="Yes",G1259,1))</f>
        <v/>
      </c>
      <c r="J1259" s="11">
        <f>IF(A1259="","",F1259+H1259-I1259)</f>
        <v/>
      </c>
      <c r="K1259">
        <f>IF(A1259="","",IFERROR(IF(B1259="",NA(),MATCH(B1259,Products!$B$5:$B$204,0)),IFERROR(MATCH(A1259,Products!$A$5:$A$204,0),"")))</f>
        <v/>
      </c>
      <c r="L1259">
        <f>IF(A1259="","",IF(K1259="","⚠ not in Products",INDEX(Products!$A$5:$A$204,K1259)))</f>
        <v/>
      </c>
      <c r="M1259" s="11">
        <f>IF(A1259="","",J1259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1259+IFERROR(INDEX(Settings!$D$5:$D$9,MATCH("Etsy",Settings!$A$5:$A$9,0)),0)*D1259)</f>
        <v/>
      </c>
      <c r="N1259" s="11">
        <f>IF(A1259="","",IF(K1259="",0,D1259*INDEX(Products!$I$5:$I$204,K1259)))</f>
        <v/>
      </c>
      <c r="O1259" s="11">
        <f>IF(A1259="","",IF(K1259="",0,J1259*INDEX(Products!$H$5:$H$204,K1259)))</f>
        <v/>
      </c>
      <c r="P1259" s="11">
        <f>IF(A1259="","",J1259-M1259-N1259-O1259)</f>
        <v/>
      </c>
    </row>
    <row r="1260">
      <c r="A1260">
        <f>IFERROR(INDEX('Etsy Import'!$A:$CZ,1260,Settings!$C$20)&amp;"","")</f>
        <v/>
      </c>
      <c r="B1260">
        <f>IFERROR(INDEX('Etsy Import'!$A:$CZ,1260,Settings!$C$21)&amp;"","")</f>
        <v/>
      </c>
      <c r="C1260">
        <f>IFERROR(INDEX('Etsy Import'!$A:$CZ,1260,Settings!$C$22)&amp;"","")</f>
        <v/>
      </c>
      <c r="D1260">
        <f>IF(A1260="","",IFERROR(VALUE(SUBSTITUTE(SUBSTITUTE(INDEX('Etsy Import'!$A:$CZ,1260,Settings!$C$23)&amp;"","$",""),",","")),0))</f>
        <v/>
      </c>
      <c r="E1260" s="11">
        <f>IF(A1260="","",IFERROR(VALUE(SUBSTITUTE(SUBSTITUTE(INDEX('Etsy Import'!$A:$CZ,1260,Settings!$C$24)&amp;"","$",""),",","")),0))</f>
        <v/>
      </c>
      <c r="F1260" s="11">
        <f>IF(A1260="","",D1260*E1260)</f>
        <v/>
      </c>
      <c r="G1260">
        <f>IF(A1260="","",IF(C1260="",1,COUNTIF($C$2:$C$1501,C1260)))</f>
        <v/>
      </c>
      <c r="H1260" s="11">
        <f>IF(A1260="","",IFERROR(VALUE(SUBSTITUTE(SUBSTITUTE(INDEX('Etsy Import'!$A:$CZ,1260,Settings!$C$25)&amp;"","$",""),",","")),0)/IF(Settings!$B$27="Yes",G1260,1))</f>
        <v/>
      </c>
      <c r="I1260" s="11">
        <f>IF(A1260="","",IFERROR(VALUE(SUBSTITUTE(SUBSTITUTE(INDEX('Etsy Import'!$A:$CZ,1260,Settings!$C$26)&amp;"","$",""),",","")),0)/IF(Settings!$B$27="Yes",G1260,1))</f>
        <v/>
      </c>
      <c r="J1260" s="11">
        <f>IF(A1260="","",F1260+H1260-I1260)</f>
        <v/>
      </c>
      <c r="K1260">
        <f>IF(A1260="","",IFERROR(IF(B1260="",NA(),MATCH(B1260,Products!$B$5:$B$204,0)),IFERROR(MATCH(A1260,Products!$A$5:$A$204,0),"")))</f>
        <v/>
      </c>
      <c r="L1260">
        <f>IF(A1260="","",IF(K1260="","⚠ not in Products",INDEX(Products!$A$5:$A$204,K1260)))</f>
        <v/>
      </c>
      <c r="M1260" s="11">
        <f>IF(A1260="","",J1260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1260+IFERROR(INDEX(Settings!$D$5:$D$9,MATCH("Etsy",Settings!$A$5:$A$9,0)),0)*D1260)</f>
        <v/>
      </c>
      <c r="N1260" s="11">
        <f>IF(A1260="","",IF(K1260="",0,D1260*INDEX(Products!$I$5:$I$204,K1260)))</f>
        <v/>
      </c>
      <c r="O1260" s="11">
        <f>IF(A1260="","",IF(K1260="",0,J1260*INDEX(Products!$H$5:$H$204,K1260)))</f>
        <v/>
      </c>
      <c r="P1260" s="11">
        <f>IF(A1260="","",J1260-M1260-N1260-O1260)</f>
        <v/>
      </c>
    </row>
    <row r="1261">
      <c r="A1261">
        <f>IFERROR(INDEX('Etsy Import'!$A:$CZ,1261,Settings!$C$20)&amp;"","")</f>
        <v/>
      </c>
      <c r="B1261">
        <f>IFERROR(INDEX('Etsy Import'!$A:$CZ,1261,Settings!$C$21)&amp;"","")</f>
        <v/>
      </c>
      <c r="C1261">
        <f>IFERROR(INDEX('Etsy Import'!$A:$CZ,1261,Settings!$C$22)&amp;"","")</f>
        <v/>
      </c>
      <c r="D1261">
        <f>IF(A1261="","",IFERROR(VALUE(SUBSTITUTE(SUBSTITUTE(INDEX('Etsy Import'!$A:$CZ,1261,Settings!$C$23)&amp;"","$",""),",","")),0))</f>
        <v/>
      </c>
      <c r="E1261" s="11">
        <f>IF(A1261="","",IFERROR(VALUE(SUBSTITUTE(SUBSTITUTE(INDEX('Etsy Import'!$A:$CZ,1261,Settings!$C$24)&amp;"","$",""),",","")),0))</f>
        <v/>
      </c>
      <c r="F1261" s="11">
        <f>IF(A1261="","",D1261*E1261)</f>
        <v/>
      </c>
      <c r="G1261">
        <f>IF(A1261="","",IF(C1261="",1,COUNTIF($C$2:$C$1501,C1261)))</f>
        <v/>
      </c>
      <c r="H1261" s="11">
        <f>IF(A1261="","",IFERROR(VALUE(SUBSTITUTE(SUBSTITUTE(INDEX('Etsy Import'!$A:$CZ,1261,Settings!$C$25)&amp;"","$",""),",","")),0)/IF(Settings!$B$27="Yes",G1261,1))</f>
        <v/>
      </c>
      <c r="I1261" s="11">
        <f>IF(A1261="","",IFERROR(VALUE(SUBSTITUTE(SUBSTITUTE(INDEX('Etsy Import'!$A:$CZ,1261,Settings!$C$26)&amp;"","$",""),",","")),0)/IF(Settings!$B$27="Yes",G1261,1))</f>
        <v/>
      </c>
      <c r="J1261" s="11">
        <f>IF(A1261="","",F1261+H1261-I1261)</f>
        <v/>
      </c>
      <c r="K1261">
        <f>IF(A1261="","",IFERROR(IF(B1261="",NA(),MATCH(B1261,Products!$B$5:$B$204,0)),IFERROR(MATCH(A1261,Products!$A$5:$A$204,0),"")))</f>
        <v/>
      </c>
      <c r="L1261">
        <f>IF(A1261="","",IF(K1261="","⚠ not in Products",INDEX(Products!$A$5:$A$204,K1261)))</f>
        <v/>
      </c>
      <c r="M1261" s="11">
        <f>IF(A1261="","",J1261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1261+IFERROR(INDEX(Settings!$D$5:$D$9,MATCH("Etsy",Settings!$A$5:$A$9,0)),0)*D1261)</f>
        <v/>
      </c>
      <c r="N1261" s="11">
        <f>IF(A1261="","",IF(K1261="",0,D1261*INDEX(Products!$I$5:$I$204,K1261)))</f>
        <v/>
      </c>
      <c r="O1261" s="11">
        <f>IF(A1261="","",IF(K1261="",0,J1261*INDEX(Products!$H$5:$H$204,K1261)))</f>
        <v/>
      </c>
      <c r="P1261" s="11">
        <f>IF(A1261="","",J1261-M1261-N1261-O1261)</f>
        <v/>
      </c>
    </row>
    <row r="1262">
      <c r="A1262">
        <f>IFERROR(INDEX('Etsy Import'!$A:$CZ,1262,Settings!$C$20)&amp;"","")</f>
        <v/>
      </c>
      <c r="B1262">
        <f>IFERROR(INDEX('Etsy Import'!$A:$CZ,1262,Settings!$C$21)&amp;"","")</f>
        <v/>
      </c>
      <c r="C1262">
        <f>IFERROR(INDEX('Etsy Import'!$A:$CZ,1262,Settings!$C$22)&amp;"","")</f>
        <v/>
      </c>
      <c r="D1262">
        <f>IF(A1262="","",IFERROR(VALUE(SUBSTITUTE(SUBSTITUTE(INDEX('Etsy Import'!$A:$CZ,1262,Settings!$C$23)&amp;"","$",""),",","")),0))</f>
        <v/>
      </c>
      <c r="E1262" s="11">
        <f>IF(A1262="","",IFERROR(VALUE(SUBSTITUTE(SUBSTITUTE(INDEX('Etsy Import'!$A:$CZ,1262,Settings!$C$24)&amp;"","$",""),",","")),0))</f>
        <v/>
      </c>
      <c r="F1262" s="11">
        <f>IF(A1262="","",D1262*E1262)</f>
        <v/>
      </c>
      <c r="G1262">
        <f>IF(A1262="","",IF(C1262="",1,COUNTIF($C$2:$C$1501,C1262)))</f>
        <v/>
      </c>
      <c r="H1262" s="11">
        <f>IF(A1262="","",IFERROR(VALUE(SUBSTITUTE(SUBSTITUTE(INDEX('Etsy Import'!$A:$CZ,1262,Settings!$C$25)&amp;"","$",""),",","")),0)/IF(Settings!$B$27="Yes",G1262,1))</f>
        <v/>
      </c>
      <c r="I1262" s="11">
        <f>IF(A1262="","",IFERROR(VALUE(SUBSTITUTE(SUBSTITUTE(INDEX('Etsy Import'!$A:$CZ,1262,Settings!$C$26)&amp;"","$",""),",","")),0)/IF(Settings!$B$27="Yes",G1262,1))</f>
        <v/>
      </c>
      <c r="J1262" s="11">
        <f>IF(A1262="","",F1262+H1262-I1262)</f>
        <v/>
      </c>
      <c r="K1262">
        <f>IF(A1262="","",IFERROR(IF(B1262="",NA(),MATCH(B1262,Products!$B$5:$B$204,0)),IFERROR(MATCH(A1262,Products!$A$5:$A$204,0),"")))</f>
        <v/>
      </c>
      <c r="L1262">
        <f>IF(A1262="","",IF(K1262="","⚠ not in Products",INDEX(Products!$A$5:$A$204,K1262)))</f>
        <v/>
      </c>
      <c r="M1262" s="11">
        <f>IF(A1262="","",J1262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1262+IFERROR(INDEX(Settings!$D$5:$D$9,MATCH("Etsy",Settings!$A$5:$A$9,0)),0)*D1262)</f>
        <v/>
      </c>
      <c r="N1262" s="11">
        <f>IF(A1262="","",IF(K1262="",0,D1262*INDEX(Products!$I$5:$I$204,K1262)))</f>
        <v/>
      </c>
      <c r="O1262" s="11">
        <f>IF(A1262="","",IF(K1262="",0,J1262*INDEX(Products!$H$5:$H$204,K1262)))</f>
        <v/>
      </c>
      <c r="P1262" s="11">
        <f>IF(A1262="","",J1262-M1262-N1262-O1262)</f>
        <v/>
      </c>
    </row>
    <row r="1263">
      <c r="A1263">
        <f>IFERROR(INDEX('Etsy Import'!$A:$CZ,1263,Settings!$C$20)&amp;"","")</f>
        <v/>
      </c>
      <c r="B1263">
        <f>IFERROR(INDEX('Etsy Import'!$A:$CZ,1263,Settings!$C$21)&amp;"","")</f>
        <v/>
      </c>
      <c r="C1263">
        <f>IFERROR(INDEX('Etsy Import'!$A:$CZ,1263,Settings!$C$22)&amp;"","")</f>
        <v/>
      </c>
      <c r="D1263">
        <f>IF(A1263="","",IFERROR(VALUE(SUBSTITUTE(SUBSTITUTE(INDEX('Etsy Import'!$A:$CZ,1263,Settings!$C$23)&amp;"","$",""),",","")),0))</f>
        <v/>
      </c>
      <c r="E1263" s="11">
        <f>IF(A1263="","",IFERROR(VALUE(SUBSTITUTE(SUBSTITUTE(INDEX('Etsy Import'!$A:$CZ,1263,Settings!$C$24)&amp;"","$",""),",","")),0))</f>
        <v/>
      </c>
      <c r="F1263" s="11">
        <f>IF(A1263="","",D1263*E1263)</f>
        <v/>
      </c>
      <c r="G1263">
        <f>IF(A1263="","",IF(C1263="",1,COUNTIF($C$2:$C$1501,C1263)))</f>
        <v/>
      </c>
      <c r="H1263" s="11">
        <f>IF(A1263="","",IFERROR(VALUE(SUBSTITUTE(SUBSTITUTE(INDEX('Etsy Import'!$A:$CZ,1263,Settings!$C$25)&amp;"","$",""),",","")),0)/IF(Settings!$B$27="Yes",G1263,1))</f>
        <v/>
      </c>
      <c r="I1263" s="11">
        <f>IF(A1263="","",IFERROR(VALUE(SUBSTITUTE(SUBSTITUTE(INDEX('Etsy Import'!$A:$CZ,1263,Settings!$C$26)&amp;"","$",""),",","")),0)/IF(Settings!$B$27="Yes",G1263,1))</f>
        <v/>
      </c>
      <c r="J1263" s="11">
        <f>IF(A1263="","",F1263+H1263-I1263)</f>
        <v/>
      </c>
      <c r="K1263">
        <f>IF(A1263="","",IFERROR(IF(B1263="",NA(),MATCH(B1263,Products!$B$5:$B$204,0)),IFERROR(MATCH(A1263,Products!$A$5:$A$204,0),"")))</f>
        <v/>
      </c>
      <c r="L1263">
        <f>IF(A1263="","",IF(K1263="","⚠ not in Products",INDEX(Products!$A$5:$A$204,K1263)))</f>
        <v/>
      </c>
      <c r="M1263" s="11">
        <f>IF(A1263="","",J1263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1263+IFERROR(INDEX(Settings!$D$5:$D$9,MATCH("Etsy",Settings!$A$5:$A$9,0)),0)*D1263)</f>
        <v/>
      </c>
      <c r="N1263" s="11">
        <f>IF(A1263="","",IF(K1263="",0,D1263*INDEX(Products!$I$5:$I$204,K1263)))</f>
        <v/>
      </c>
      <c r="O1263" s="11">
        <f>IF(A1263="","",IF(K1263="",0,J1263*INDEX(Products!$H$5:$H$204,K1263)))</f>
        <v/>
      </c>
      <c r="P1263" s="11">
        <f>IF(A1263="","",J1263-M1263-N1263-O1263)</f>
        <v/>
      </c>
    </row>
    <row r="1264">
      <c r="A1264">
        <f>IFERROR(INDEX('Etsy Import'!$A:$CZ,1264,Settings!$C$20)&amp;"","")</f>
        <v/>
      </c>
      <c r="B1264">
        <f>IFERROR(INDEX('Etsy Import'!$A:$CZ,1264,Settings!$C$21)&amp;"","")</f>
        <v/>
      </c>
      <c r="C1264">
        <f>IFERROR(INDEX('Etsy Import'!$A:$CZ,1264,Settings!$C$22)&amp;"","")</f>
        <v/>
      </c>
      <c r="D1264">
        <f>IF(A1264="","",IFERROR(VALUE(SUBSTITUTE(SUBSTITUTE(INDEX('Etsy Import'!$A:$CZ,1264,Settings!$C$23)&amp;"","$",""),",","")),0))</f>
        <v/>
      </c>
      <c r="E1264" s="11">
        <f>IF(A1264="","",IFERROR(VALUE(SUBSTITUTE(SUBSTITUTE(INDEX('Etsy Import'!$A:$CZ,1264,Settings!$C$24)&amp;"","$",""),",","")),0))</f>
        <v/>
      </c>
      <c r="F1264" s="11">
        <f>IF(A1264="","",D1264*E1264)</f>
        <v/>
      </c>
      <c r="G1264">
        <f>IF(A1264="","",IF(C1264="",1,COUNTIF($C$2:$C$1501,C1264)))</f>
        <v/>
      </c>
      <c r="H1264" s="11">
        <f>IF(A1264="","",IFERROR(VALUE(SUBSTITUTE(SUBSTITUTE(INDEX('Etsy Import'!$A:$CZ,1264,Settings!$C$25)&amp;"","$",""),",","")),0)/IF(Settings!$B$27="Yes",G1264,1))</f>
        <v/>
      </c>
      <c r="I1264" s="11">
        <f>IF(A1264="","",IFERROR(VALUE(SUBSTITUTE(SUBSTITUTE(INDEX('Etsy Import'!$A:$CZ,1264,Settings!$C$26)&amp;"","$",""),",","")),0)/IF(Settings!$B$27="Yes",G1264,1))</f>
        <v/>
      </c>
      <c r="J1264" s="11">
        <f>IF(A1264="","",F1264+H1264-I1264)</f>
        <v/>
      </c>
      <c r="K1264">
        <f>IF(A1264="","",IFERROR(IF(B1264="",NA(),MATCH(B1264,Products!$B$5:$B$204,0)),IFERROR(MATCH(A1264,Products!$A$5:$A$204,0),"")))</f>
        <v/>
      </c>
      <c r="L1264">
        <f>IF(A1264="","",IF(K1264="","⚠ not in Products",INDEX(Products!$A$5:$A$204,K1264)))</f>
        <v/>
      </c>
      <c r="M1264" s="11">
        <f>IF(A1264="","",J1264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1264+IFERROR(INDEX(Settings!$D$5:$D$9,MATCH("Etsy",Settings!$A$5:$A$9,0)),0)*D1264)</f>
        <v/>
      </c>
      <c r="N1264" s="11">
        <f>IF(A1264="","",IF(K1264="",0,D1264*INDEX(Products!$I$5:$I$204,K1264)))</f>
        <v/>
      </c>
      <c r="O1264" s="11">
        <f>IF(A1264="","",IF(K1264="",0,J1264*INDEX(Products!$H$5:$H$204,K1264)))</f>
        <v/>
      </c>
      <c r="P1264" s="11">
        <f>IF(A1264="","",J1264-M1264-N1264-O1264)</f>
        <v/>
      </c>
    </row>
    <row r="1265">
      <c r="A1265">
        <f>IFERROR(INDEX('Etsy Import'!$A:$CZ,1265,Settings!$C$20)&amp;"","")</f>
        <v/>
      </c>
      <c r="B1265">
        <f>IFERROR(INDEX('Etsy Import'!$A:$CZ,1265,Settings!$C$21)&amp;"","")</f>
        <v/>
      </c>
      <c r="C1265">
        <f>IFERROR(INDEX('Etsy Import'!$A:$CZ,1265,Settings!$C$22)&amp;"","")</f>
        <v/>
      </c>
      <c r="D1265">
        <f>IF(A1265="","",IFERROR(VALUE(SUBSTITUTE(SUBSTITUTE(INDEX('Etsy Import'!$A:$CZ,1265,Settings!$C$23)&amp;"","$",""),",","")),0))</f>
        <v/>
      </c>
      <c r="E1265" s="11">
        <f>IF(A1265="","",IFERROR(VALUE(SUBSTITUTE(SUBSTITUTE(INDEX('Etsy Import'!$A:$CZ,1265,Settings!$C$24)&amp;"","$",""),",","")),0))</f>
        <v/>
      </c>
      <c r="F1265" s="11">
        <f>IF(A1265="","",D1265*E1265)</f>
        <v/>
      </c>
      <c r="G1265">
        <f>IF(A1265="","",IF(C1265="",1,COUNTIF($C$2:$C$1501,C1265)))</f>
        <v/>
      </c>
      <c r="H1265" s="11">
        <f>IF(A1265="","",IFERROR(VALUE(SUBSTITUTE(SUBSTITUTE(INDEX('Etsy Import'!$A:$CZ,1265,Settings!$C$25)&amp;"","$",""),",","")),0)/IF(Settings!$B$27="Yes",G1265,1))</f>
        <v/>
      </c>
      <c r="I1265" s="11">
        <f>IF(A1265="","",IFERROR(VALUE(SUBSTITUTE(SUBSTITUTE(INDEX('Etsy Import'!$A:$CZ,1265,Settings!$C$26)&amp;"","$",""),",","")),0)/IF(Settings!$B$27="Yes",G1265,1))</f>
        <v/>
      </c>
      <c r="J1265" s="11">
        <f>IF(A1265="","",F1265+H1265-I1265)</f>
        <v/>
      </c>
      <c r="K1265">
        <f>IF(A1265="","",IFERROR(IF(B1265="",NA(),MATCH(B1265,Products!$B$5:$B$204,0)),IFERROR(MATCH(A1265,Products!$A$5:$A$204,0),"")))</f>
        <v/>
      </c>
      <c r="L1265">
        <f>IF(A1265="","",IF(K1265="","⚠ not in Products",INDEX(Products!$A$5:$A$204,K1265)))</f>
        <v/>
      </c>
      <c r="M1265" s="11">
        <f>IF(A1265="","",J1265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1265+IFERROR(INDEX(Settings!$D$5:$D$9,MATCH("Etsy",Settings!$A$5:$A$9,0)),0)*D1265)</f>
        <v/>
      </c>
      <c r="N1265" s="11">
        <f>IF(A1265="","",IF(K1265="",0,D1265*INDEX(Products!$I$5:$I$204,K1265)))</f>
        <v/>
      </c>
      <c r="O1265" s="11">
        <f>IF(A1265="","",IF(K1265="",0,J1265*INDEX(Products!$H$5:$H$204,K1265)))</f>
        <v/>
      </c>
      <c r="P1265" s="11">
        <f>IF(A1265="","",J1265-M1265-N1265-O1265)</f>
        <v/>
      </c>
    </row>
    <row r="1266">
      <c r="A1266">
        <f>IFERROR(INDEX('Etsy Import'!$A:$CZ,1266,Settings!$C$20)&amp;"","")</f>
        <v/>
      </c>
      <c r="B1266">
        <f>IFERROR(INDEX('Etsy Import'!$A:$CZ,1266,Settings!$C$21)&amp;"","")</f>
        <v/>
      </c>
      <c r="C1266">
        <f>IFERROR(INDEX('Etsy Import'!$A:$CZ,1266,Settings!$C$22)&amp;"","")</f>
        <v/>
      </c>
      <c r="D1266">
        <f>IF(A1266="","",IFERROR(VALUE(SUBSTITUTE(SUBSTITUTE(INDEX('Etsy Import'!$A:$CZ,1266,Settings!$C$23)&amp;"","$",""),",","")),0))</f>
        <v/>
      </c>
      <c r="E1266" s="11">
        <f>IF(A1266="","",IFERROR(VALUE(SUBSTITUTE(SUBSTITUTE(INDEX('Etsy Import'!$A:$CZ,1266,Settings!$C$24)&amp;"","$",""),",","")),0))</f>
        <v/>
      </c>
      <c r="F1266" s="11">
        <f>IF(A1266="","",D1266*E1266)</f>
        <v/>
      </c>
      <c r="G1266">
        <f>IF(A1266="","",IF(C1266="",1,COUNTIF($C$2:$C$1501,C1266)))</f>
        <v/>
      </c>
      <c r="H1266" s="11">
        <f>IF(A1266="","",IFERROR(VALUE(SUBSTITUTE(SUBSTITUTE(INDEX('Etsy Import'!$A:$CZ,1266,Settings!$C$25)&amp;"","$",""),",","")),0)/IF(Settings!$B$27="Yes",G1266,1))</f>
        <v/>
      </c>
      <c r="I1266" s="11">
        <f>IF(A1266="","",IFERROR(VALUE(SUBSTITUTE(SUBSTITUTE(INDEX('Etsy Import'!$A:$CZ,1266,Settings!$C$26)&amp;"","$",""),",","")),0)/IF(Settings!$B$27="Yes",G1266,1))</f>
        <v/>
      </c>
      <c r="J1266" s="11">
        <f>IF(A1266="","",F1266+H1266-I1266)</f>
        <v/>
      </c>
      <c r="K1266">
        <f>IF(A1266="","",IFERROR(IF(B1266="",NA(),MATCH(B1266,Products!$B$5:$B$204,0)),IFERROR(MATCH(A1266,Products!$A$5:$A$204,0),"")))</f>
        <v/>
      </c>
      <c r="L1266">
        <f>IF(A1266="","",IF(K1266="","⚠ not in Products",INDEX(Products!$A$5:$A$204,K1266)))</f>
        <v/>
      </c>
      <c r="M1266" s="11">
        <f>IF(A1266="","",J1266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1266+IFERROR(INDEX(Settings!$D$5:$D$9,MATCH("Etsy",Settings!$A$5:$A$9,0)),0)*D1266)</f>
        <v/>
      </c>
      <c r="N1266" s="11">
        <f>IF(A1266="","",IF(K1266="",0,D1266*INDEX(Products!$I$5:$I$204,K1266)))</f>
        <v/>
      </c>
      <c r="O1266" s="11">
        <f>IF(A1266="","",IF(K1266="",0,J1266*INDEX(Products!$H$5:$H$204,K1266)))</f>
        <v/>
      </c>
      <c r="P1266" s="11">
        <f>IF(A1266="","",J1266-M1266-N1266-O1266)</f>
        <v/>
      </c>
    </row>
    <row r="1267">
      <c r="A1267">
        <f>IFERROR(INDEX('Etsy Import'!$A:$CZ,1267,Settings!$C$20)&amp;"","")</f>
        <v/>
      </c>
      <c r="B1267">
        <f>IFERROR(INDEX('Etsy Import'!$A:$CZ,1267,Settings!$C$21)&amp;"","")</f>
        <v/>
      </c>
      <c r="C1267">
        <f>IFERROR(INDEX('Etsy Import'!$A:$CZ,1267,Settings!$C$22)&amp;"","")</f>
        <v/>
      </c>
      <c r="D1267">
        <f>IF(A1267="","",IFERROR(VALUE(SUBSTITUTE(SUBSTITUTE(INDEX('Etsy Import'!$A:$CZ,1267,Settings!$C$23)&amp;"","$",""),",","")),0))</f>
        <v/>
      </c>
      <c r="E1267" s="11">
        <f>IF(A1267="","",IFERROR(VALUE(SUBSTITUTE(SUBSTITUTE(INDEX('Etsy Import'!$A:$CZ,1267,Settings!$C$24)&amp;"","$",""),",","")),0))</f>
        <v/>
      </c>
      <c r="F1267" s="11">
        <f>IF(A1267="","",D1267*E1267)</f>
        <v/>
      </c>
      <c r="G1267">
        <f>IF(A1267="","",IF(C1267="",1,COUNTIF($C$2:$C$1501,C1267)))</f>
        <v/>
      </c>
      <c r="H1267" s="11">
        <f>IF(A1267="","",IFERROR(VALUE(SUBSTITUTE(SUBSTITUTE(INDEX('Etsy Import'!$A:$CZ,1267,Settings!$C$25)&amp;"","$",""),",","")),0)/IF(Settings!$B$27="Yes",G1267,1))</f>
        <v/>
      </c>
      <c r="I1267" s="11">
        <f>IF(A1267="","",IFERROR(VALUE(SUBSTITUTE(SUBSTITUTE(INDEX('Etsy Import'!$A:$CZ,1267,Settings!$C$26)&amp;"","$",""),",","")),0)/IF(Settings!$B$27="Yes",G1267,1))</f>
        <v/>
      </c>
      <c r="J1267" s="11">
        <f>IF(A1267="","",F1267+H1267-I1267)</f>
        <v/>
      </c>
      <c r="K1267">
        <f>IF(A1267="","",IFERROR(IF(B1267="",NA(),MATCH(B1267,Products!$B$5:$B$204,0)),IFERROR(MATCH(A1267,Products!$A$5:$A$204,0),"")))</f>
        <v/>
      </c>
      <c r="L1267">
        <f>IF(A1267="","",IF(K1267="","⚠ not in Products",INDEX(Products!$A$5:$A$204,K1267)))</f>
        <v/>
      </c>
      <c r="M1267" s="11">
        <f>IF(A1267="","",J1267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1267+IFERROR(INDEX(Settings!$D$5:$D$9,MATCH("Etsy",Settings!$A$5:$A$9,0)),0)*D1267)</f>
        <v/>
      </c>
      <c r="N1267" s="11">
        <f>IF(A1267="","",IF(K1267="",0,D1267*INDEX(Products!$I$5:$I$204,K1267)))</f>
        <v/>
      </c>
      <c r="O1267" s="11">
        <f>IF(A1267="","",IF(K1267="",0,J1267*INDEX(Products!$H$5:$H$204,K1267)))</f>
        <v/>
      </c>
      <c r="P1267" s="11">
        <f>IF(A1267="","",J1267-M1267-N1267-O1267)</f>
        <v/>
      </c>
    </row>
    <row r="1268">
      <c r="A1268">
        <f>IFERROR(INDEX('Etsy Import'!$A:$CZ,1268,Settings!$C$20)&amp;"","")</f>
        <v/>
      </c>
      <c r="B1268">
        <f>IFERROR(INDEX('Etsy Import'!$A:$CZ,1268,Settings!$C$21)&amp;"","")</f>
        <v/>
      </c>
      <c r="C1268">
        <f>IFERROR(INDEX('Etsy Import'!$A:$CZ,1268,Settings!$C$22)&amp;"","")</f>
        <v/>
      </c>
      <c r="D1268">
        <f>IF(A1268="","",IFERROR(VALUE(SUBSTITUTE(SUBSTITUTE(INDEX('Etsy Import'!$A:$CZ,1268,Settings!$C$23)&amp;"","$",""),",","")),0))</f>
        <v/>
      </c>
      <c r="E1268" s="11">
        <f>IF(A1268="","",IFERROR(VALUE(SUBSTITUTE(SUBSTITUTE(INDEX('Etsy Import'!$A:$CZ,1268,Settings!$C$24)&amp;"","$",""),",","")),0))</f>
        <v/>
      </c>
      <c r="F1268" s="11">
        <f>IF(A1268="","",D1268*E1268)</f>
        <v/>
      </c>
      <c r="G1268">
        <f>IF(A1268="","",IF(C1268="",1,COUNTIF($C$2:$C$1501,C1268)))</f>
        <v/>
      </c>
      <c r="H1268" s="11">
        <f>IF(A1268="","",IFERROR(VALUE(SUBSTITUTE(SUBSTITUTE(INDEX('Etsy Import'!$A:$CZ,1268,Settings!$C$25)&amp;"","$",""),",","")),0)/IF(Settings!$B$27="Yes",G1268,1))</f>
        <v/>
      </c>
      <c r="I1268" s="11">
        <f>IF(A1268="","",IFERROR(VALUE(SUBSTITUTE(SUBSTITUTE(INDEX('Etsy Import'!$A:$CZ,1268,Settings!$C$26)&amp;"","$",""),",","")),0)/IF(Settings!$B$27="Yes",G1268,1))</f>
        <v/>
      </c>
      <c r="J1268" s="11">
        <f>IF(A1268="","",F1268+H1268-I1268)</f>
        <v/>
      </c>
      <c r="K1268">
        <f>IF(A1268="","",IFERROR(IF(B1268="",NA(),MATCH(B1268,Products!$B$5:$B$204,0)),IFERROR(MATCH(A1268,Products!$A$5:$A$204,0),"")))</f>
        <v/>
      </c>
      <c r="L1268">
        <f>IF(A1268="","",IF(K1268="","⚠ not in Products",INDEX(Products!$A$5:$A$204,K1268)))</f>
        <v/>
      </c>
      <c r="M1268" s="11">
        <f>IF(A1268="","",J1268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1268+IFERROR(INDEX(Settings!$D$5:$D$9,MATCH("Etsy",Settings!$A$5:$A$9,0)),0)*D1268)</f>
        <v/>
      </c>
      <c r="N1268" s="11">
        <f>IF(A1268="","",IF(K1268="",0,D1268*INDEX(Products!$I$5:$I$204,K1268)))</f>
        <v/>
      </c>
      <c r="O1268" s="11">
        <f>IF(A1268="","",IF(K1268="",0,J1268*INDEX(Products!$H$5:$H$204,K1268)))</f>
        <v/>
      </c>
      <c r="P1268" s="11">
        <f>IF(A1268="","",J1268-M1268-N1268-O1268)</f>
        <v/>
      </c>
    </row>
    <row r="1269">
      <c r="A1269">
        <f>IFERROR(INDEX('Etsy Import'!$A:$CZ,1269,Settings!$C$20)&amp;"","")</f>
        <v/>
      </c>
      <c r="B1269">
        <f>IFERROR(INDEX('Etsy Import'!$A:$CZ,1269,Settings!$C$21)&amp;"","")</f>
        <v/>
      </c>
      <c r="C1269">
        <f>IFERROR(INDEX('Etsy Import'!$A:$CZ,1269,Settings!$C$22)&amp;"","")</f>
        <v/>
      </c>
      <c r="D1269">
        <f>IF(A1269="","",IFERROR(VALUE(SUBSTITUTE(SUBSTITUTE(INDEX('Etsy Import'!$A:$CZ,1269,Settings!$C$23)&amp;"","$",""),",","")),0))</f>
        <v/>
      </c>
      <c r="E1269" s="11">
        <f>IF(A1269="","",IFERROR(VALUE(SUBSTITUTE(SUBSTITUTE(INDEX('Etsy Import'!$A:$CZ,1269,Settings!$C$24)&amp;"","$",""),",","")),0))</f>
        <v/>
      </c>
      <c r="F1269" s="11">
        <f>IF(A1269="","",D1269*E1269)</f>
        <v/>
      </c>
      <c r="G1269">
        <f>IF(A1269="","",IF(C1269="",1,COUNTIF($C$2:$C$1501,C1269)))</f>
        <v/>
      </c>
      <c r="H1269" s="11">
        <f>IF(A1269="","",IFERROR(VALUE(SUBSTITUTE(SUBSTITUTE(INDEX('Etsy Import'!$A:$CZ,1269,Settings!$C$25)&amp;"","$",""),",","")),0)/IF(Settings!$B$27="Yes",G1269,1))</f>
        <v/>
      </c>
      <c r="I1269" s="11">
        <f>IF(A1269="","",IFERROR(VALUE(SUBSTITUTE(SUBSTITUTE(INDEX('Etsy Import'!$A:$CZ,1269,Settings!$C$26)&amp;"","$",""),",","")),0)/IF(Settings!$B$27="Yes",G1269,1))</f>
        <v/>
      </c>
      <c r="J1269" s="11">
        <f>IF(A1269="","",F1269+H1269-I1269)</f>
        <v/>
      </c>
      <c r="K1269">
        <f>IF(A1269="","",IFERROR(IF(B1269="",NA(),MATCH(B1269,Products!$B$5:$B$204,0)),IFERROR(MATCH(A1269,Products!$A$5:$A$204,0),"")))</f>
        <v/>
      </c>
      <c r="L1269">
        <f>IF(A1269="","",IF(K1269="","⚠ not in Products",INDEX(Products!$A$5:$A$204,K1269)))</f>
        <v/>
      </c>
      <c r="M1269" s="11">
        <f>IF(A1269="","",J1269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1269+IFERROR(INDEX(Settings!$D$5:$D$9,MATCH("Etsy",Settings!$A$5:$A$9,0)),0)*D1269)</f>
        <v/>
      </c>
      <c r="N1269" s="11">
        <f>IF(A1269="","",IF(K1269="",0,D1269*INDEX(Products!$I$5:$I$204,K1269)))</f>
        <v/>
      </c>
      <c r="O1269" s="11">
        <f>IF(A1269="","",IF(K1269="",0,J1269*INDEX(Products!$H$5:$H$204,K1269)))</f>
        <v/>
      </c>
      <c r="P1269" s="11">
        <f>IF(A1269="","",J1269-M1269-N1269-O1269)</f>
        <v/>
      </c>
    </row>
    <row r="1270">
      <c r="A1270">
        <f>IFERROR(INDEX('Etsy Import'!$A:$CZ,1270,Settings!$C$20)&amp;"","")</f>
        <v/>
      </c>
      <c r="B1270">
        <f>IFERROR(INDEX('Etsy Import'!$A:$CZ,1270,Settings!$C$21)&amp;"","")</f>
        <v/>
      </c>
      <c r="C1270">
        <f>IFERROR(INDEX('Etsy Import'!$A:$CZ,1270,Settings!$C$22)&amp;"","")</f>
        <v/>
      </c>
      <c r="D1270">
        <f>IF(A1270="","",IFERROR(VALUE(SUBSTITUTE(SUBSTITUTE(INDEX('Etsy Import'!$A:$CZ,1270,Settings!$C$23)&amp;"","$",""),",","")),0))</f>
        <v/>
      </c>
      <c r="E1270" s="11">
        <f>IF(A1270="","",IFERROR(VALUE(SUBSTITUTE(SUBSTITUTE(INDEX('Etsy Import'!$A:$CZ,1270,Settings!$C$24)&amp;"","$",""),",","")),0))</f>
        <v/>
      </c>
      <c r="F1270" s="11">
        <f>IF(A1270="","",D1270*E1270)</f>
        <v/>
      </c>
      <c r="G1270">
        <f>IF(A1270="","",IF(C1270="",1,COUNTIF($C$2:$C$1501,C1270)))</f>
        <v/>
      </c>
      <c r="H1270" s="11">
        <f>IF(A1270="","",IFERROR(VALUE(SUBSTITUTE(SUBSTITUTE(INDEX('Etsy Import'!$A:$CZ,1270,Settings!$C$25)&amp;"","$",""),",","")),0)/IF(Settings!$B$27="Yes",G1270,1))</f>
        <v/>
      </c>
      <c r="I1270" s="11">
        <f>IF(A1270="","",IFERROR(VALUE(SUBSTITUTE(SUBSTITUTE(INDEX('Etsy Import'!$A:$CZ,1270,Settings!$C$26)&amp;"","$",""),",","")),0)/IF(Settings!$B$27="Yes",G1270,1))</f>
        <v/>
      </c>
      <c r="J1270" s="11">
        <f>IF(A1270="","",F1270+H1270-I1270)</f>
        <v/>
      </c>
      <c r="K1270">
        <f>IF(A1270="","",IFERROR(IF(B1270="",NA(),MATCH(B1270,Products!$B$5:$B$204,0)),IFERROR(MATCH(A1270,Products!$A$5:$A$204,0),"")))</f>
        <v/>
      </c>
      <c r="L1270">
        <f>IF(A1270="","",IF(K1270="","⚠ not in Products",INDEX(Products!$A$5:$A$204,K1270)))</f>
        <v/>
      </c>
      <c r="M1270" s="11">
        <f>IF(A1270="","",J1270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1270+IFERROR(INDEX(Settings!$D$5:$D$9,MATCH("Etsy",Settings!$A$5:$A$9,0)),0)*D1270)</f>
        <v/>
      </c>
      <c r="N1270" s="11">
        <f>IF(A1270="","",IF(K1270="",0,D1270*INDEX(Products!$I$5:$I$204,K1270)))</f>
        <v/>
      </c>
      <c r="O1270" s="11">
        <f>IF(A1270="","",IF(K1270="",0,J1270*INDEX(Products!$H$5:$H$204,K1270)))</f>
        <v/>
      </c>
      <c r="P1270" s="11">
        <f>IF(A1270="","",J1270-M1270-N1270-O1270)</f>
        <v/>
      </c>
    </row>
    <row r="1271">
      <c r="A1271">
        <f>IFERROR(INDEX('Etsy Import'!$A:$CZ,1271,Settings!$C$20)&amp;"","")</f>
        <v/>
      </c>
      <c r="B1271">
        <f>IFERROR(INDEX('Etsy Import'!$A:$CZ,1271,Settings!$C$21)&amp;"","")</f>
        <v/>
      </c>
      <c r="C1271">
        <f>IFERROR(INDEX('Etsy Import'!$A:$CZ,1271,Settings!$C$22)&amp;"","")</f>
        <v/>
      </c>
      <c r="D1271">
        <f>IF(A1271="","",IFERROR(VALUE(SUBSTITUTE(SUBSTITUTE(INDEX('Etsy Import'!$A:$CZ,1271,Settings!$C$23)&amp;"","$",""),",","")),0))</f>
        <v/>
      </c>
      <c r="E1271" s="11">
        <f>IF(A1271="","",IFERROR(VALUE(SUBSTITUTE(SUBSTITUTE(INDEX('Etsy Import'!$A:$CZ,1271,Settings!$C$24)&amp;"","$",""),",","")),0))</f>
        <v/>
      </c>
      <c r="F1271" s="11">
        <f>IF(A1271="","",D1271*E1271)</f>
        <v/>
      </c>
      <c r="G1271">
        <f>IF(A1271="","",IF(C1271="",1,COUNTIF($C$2:$C$1501,C1271)))</f>
        <v/>
      </c>
      <c r="H1271" s="11">
        <f>IF(A1271="","",IFERROR(VALUE(SUBSTITUTE(SUBSTITUTE(INDEX('Etsy Import'!$A:$CZ,1271,Settings!$C$25)&amp;"","$",""),",","")),0)/IF(Settings!$B$27="Yes",G1271,1))</f>
        <v/>
      </c>
      <c r="I1271" s="11">
        <f>IF(A1271="","",IFERROR(VALUE(SUBSTITUTE(SUBSTITUTE(INDEX('Etsy Import'!$A:$CZ,1271,Settings!$C$26)&amp;"","$",""),",","")),0)/IF(Settings!$B$27="Yes",G1271,1))</f>
        <v/>
      </c>
      <c r="J1271" s="11">
        <f>IF(A1271="","",F1271+H1271-I1271)</f>
        <v/>
      </c>
      <c r="K1271">
        <f>IF(A1271="","",IFERROR(IF(B1271="",NA(),MATCH(B1271,Products!$B$5:$B$204,0)),IFERROR(MATCH(A1271,Products!$A$5:$A$204,0),"")))</f>
        <v/>
      </c>
      <c r="L1271">
        <f>IF(A1271="","",IF(K1271="","⚠ not in Products",INDEX(Products!$A$5:$A$204,K1271)))</f>
        <v/>
      </c>
      <c r="M1271" s="11">
        <f>IF(A1271="","",J1271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1271+IFERROR(INDEX(Settings!$D$5:$D$9,MATCH("Etsy",Settings!$A$5:$A$9,0)),0)*D1271)</f>
        <v/>
      </c>
      <c r="N1271" s="11">
        <f>IF(A1271="","",IF(K1271="",0,D1271*INDEX(Products!$I$5:$I$204,K1271)))</f>
        <v/>
      </c>
      <c r="O1271" s="11">
        <f>IF(A1271="","",IF(K1271="",0,J1271*INDEX(Products!$H$5:$H$204,K1271)))</f>
        <v/>
      </c>
      <c r="P1271" s="11">
        <f>IF(A1271="","",J1271-M1271-N1271-O1271)</f>
        <v/>
      </c>
    </row>
    <row r="1272">
      <c r="A1272">
        <f>IFERROR(INDEX('Etsy Import'!$A:$CZ,1272,Settings!$C$20)&amp;"","")</f>
        <v/>
      </c>
      <c r="B1272">
        <f>IFERROR(INDEX('Etsy Import'!$A:$CZ,1272,Settings!$C$21)&amp;"","")</f>
        <v/>
      </c>
      <c r="C1272">
        <f>IFERROR(INDEX('Etsy Import'!$A:$CZ,1272,Settings!$C$22)&amp;"","")</f>
        <v/>
      </c>
      <c r="D1272">
        <f>IF(A1272="","",IFERROR(VALUE(SUBSTITUTE(SUBSTITUTE(INDEX('Etsy Import'!$A:$CZ,1272,Settings!$C$23)&amp;"","$",""),",","")),0))</f>
        <v/>
      </c>
      <c r="E1272" s="11">
        <f>IF(A1272="","",IFERROR(VALUE(SUBSTITUTE(SUBSTITUTE(INDEX('Etsy Import'!$A:$CZ,1272,Settings!$C$24)&amp;"","$",""),",","")),0))</f>
        <v/>
      </c>
      <c r="F1272" s="11">
        <f>IF(A1272="","",D1272*E1272)</f>
        <v/>
      </c>
      <c r="G1272">
        <f>IF(A1272="","",IF(C1272="",1,COUNTIF($C$2:$C$1501,C1272)))</f>
        <v/>
      </c>
      <c r="H1272" s="11">
        <f>IF(A1272="","",IFERROR(VALUE(SUBSTITUTE(SUBSTITUTE(INDEX('Etsy Import'!$A:$CZ,1272,Settings!$C$25)&amp;"","$",""),",","")),0)/IF(Settings!$B$27="Yes",G1272,1))</f>
        <v/>
      </c>
      <c r="I1272" s="11">
        <f>IF(A1272="","",IFERROR(VALUE(SUBSTITUTE(SUBSTITUTE(INDEX('Etsy Import'!$A:$CZ,1272,Settings!$C$26)&amp;"","$",""),",","")),0)/IF(Settings!$B$27="Yes",G1272,1))</f>
        <v/>
      </c>
      <c r="J1272" s="11">
        <f>IF(A1272="","",F1272+H1272-I1272)</f>
        <v/>
      </c>
      <c r="K1272">
        <f>IF(A1272="","",IFERROR(IF(B1272="",NA(),MATCH(B1272,Products!$B$5:$B$204,0)),IFERROR(MATCH(A1272,Products!$A$5:$A$204,0),"")))</f>
        <v/>
      </c>
      <c r="L1272">
        <f>IF(A1272="","",IF(K1272="","⚠ not in Products",INDEX(Products!$A$5:$A$204,K1272)))</f>
        <v/>
      </c>
      <c r="M1272" s="11">
        <f>IF(A1272="","",J1272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1272+IFERROR(INDEX(Settings!$D$5:$D$9,MATCH("Etsy",Settings!$A$5:$A$9,0)),0)*D1272)</f>
        <v/>
      </c>
      <c r="N1272" s="11">
        <f>IF(A1272="","",IF(K1272="",0,D1272*INDEX(Products!$I$5:$I$204,K1272)))</f>
        <v/>
      </c>
      <c r="O1272" s="11">
        <f>IF(A1272="","",IF(K1272="",0,J1272*INDEX(Products!$H$5:$H$204,K1272)))</f>
        <v/>
      </c>
      <c r="P1272" s="11">
        <f>IF(A1272="","",J1272-M1272-N1272-O1272)</f>
        <v/>
      </c>
    </row>
    <row r="1273">
      <c r="A1273">
        <f>IFERROR(INDEX('Etsy Import'!$A:$CZ,1273,Settings!$C$20)&amp;"","")</f>
        <v/>
      </c>
      <c r="B1273">
        <f>IFERROR(INDEX('Etsy Import'!$A:$CZ,1273,Settings!$C$21)&amp;"","")</f>
        <v/>
      </c>
      <c r="C1273">
        <f>IFERROR(INDEX('Etsy Import'!$A:$CZ,1273,Settings!$C$22)&amp;"","")</f>
        <v/>
      </c>
      <c r="D1273">
        <f>IF(A1273="","",IFERROR(VALUE(SUBSTITUTE(SUBSTITUTE(INDEX('Etsy Import'!$A:$CZ,1273,Settings!$C$23)&amp;"","$",""),",","")),0))</f>
        <v/>
      </c>
      <c r="E1273" s="11">
        <f>IF(A1273="","",IFERROR(VALUE(SUBSTITUTE(SUBSTITUTE(INDEX('Etsy Import'!$A:$CZ,1273,Settings!$C$24)&amp;"","$",""),",","")),0))</f>
        <v/>
      </c>
      <c r="F1273" s="11">
        <f>IF(A1273="","",D1273*E1273)</f>
        <v/>
      </c>
      <c r="G1273">
        <f>IF(A1273="","",IF(C1273="",1,COUNTIF($C$2:$C$1501,C1273)))</f>
        <v/>
      </c>
      <c r="H1273" s="11">
        <f>IF(A1273="","",IFERROR(VALUE(SUBSTITUTE(SUBSTITUTE(INDEX('Etsy Import'!$A:$CZ,1273,Settings!$C$25)&amp;"","$",""),",","")),0)/IF(Settings!$B$27="Yes",G1273,1))</f>
        <v/>
      </c>
      <c r="I1273" s="11">
        <f>IF(A1273="","",IFERROR(VALUE(SUBSTITUTE(SUBSTITUTE(INDEX('Etsy Import'!$A:$CZ,1273,Settings!$C$26)&amp;"","$",""),",","")),0)/IF(Settings!$B$27="Yes",G1273,1))</f>
        <v/>
      </c>
      <c r="J1273" s="11">
        <f>IF(A1273="","",F1273+H1273-I1273)</f>
        <v/>
      </c>
      <c r="K1273">
        <f>IF(A1273="","",IFERROR(IF(B1273="",NA(),MATCH(B1273,Products!$B$5:$B$204,0)),IFERROR(MATCH(A1273,Products!$A$5:$A$204,0),"")))</f>
        <v/>
      </c>
      <c r="L1273">
        <f>IF(A1273="","",IF(K1273="","⚠ not in Products",INDEX(Products!$A$5:$A$204,K1273)))</f>
        <v/>
      </c>
      <c r="M1273" s="11">
        <f>IF(A1273="","",J1273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1273+IFERROR(INDEX(Settings!$D$5:$D$9,MATCH("Etsy",Settings!$A$5:$A$9,0)),0)*D1273)</f>
        <v/>
      </c>
      <c r="N1273" s="11">
        <f>IF(A1273="","",IF(K1273="",0,D1273*INDEX(Products!$I$5:$I$204,K1273)))</f>
        <v/>
      </c>
      <c r="O1273" s="11">
        <f>IF(A1273="","",IF(K1273="",0,J1273*INDEX(Products!$H$5:$H$204,K1273)))</f>
        <v/>
      </c>
      <c r="P1273" s="11">
        <f>IF(A1273="","",J1273-M1273-N1273-O1273)</f>
        <v/>
      </c>
    </row>
    <row r="1274">
      <c r="A1274">
        <f>IFERROR(INDEX('Etsy Import'!$A:$CZ,1274,Settings!$C$20)&amp;"","")</f>
        <v/>
      </c>
      <c r="B1274">
        <f>IFERROR(INDEX('Etsy Import'!$A:$CZ,1274,Settings!$C$21)&amp;"","")</f>
        <v/>
      </c>
      <c r="C1274">
        <f>IFERROR(INDEX('Etsy Import'!$A:$CZ,1274,Settings!$C$22)&amp;"","")</f>
        <v/>
      </c>
      <c r="D1274">
        <f>IF(A1274="","",IFERROR(VALUE(SUBSTITUTE(SUBSTITUTE(INDEX('Etsy Import'!$A:$CZ,1274,Settings!$C$23)&amp;"","$",""),",","")),0))</f>
        <v/>
      </c>
      <c r="E1274" s="11">
        <f>IF(A1274="","",IFERROR(VALUE(SUBSTITUTE(SUBSTITUTE(INDEX('Etsy Import'!$A:$CZ,1274,Settings!$C$24)&amp;"","$",""),",","")),0))</f>
        <v/>
      </c>
      <c r="F1274" s="11">
        <f>IF(A1274="","",D1274*E1274)</f>
        <v/>
      </c>
      <c r="G1274">
        <f>IF(A1274="","",IF(C1274="",1,COUNTIF($C$2:$C$1501,C1274)))</f>
        <v/>
      </c>
      <c r="H1274" s="11">
        <f>IF(A1274="","",IFERROR(VALUE(SUBSTITUTE(SUBSTITUTE(INDEX('Etsy Import'!$A:$CZ,1274,Settings!$C$25)&amp;"","$",""),",","")),0)/IF(Settings!$B$27="Yes",G1274,1))</f>
        <v/>
      </c>
      <c r="I1274" s="11">
        <f>IF(A1274="","",IFERROR(VALUE(SUBSTITUTE(SUBSTITUTE(INDEX('Etsy Import'!$A:$CZ,1274,Settings!$C$26)&amp;"","$",""),",","")),0)/IF(Settings!$B$27="Yes",G1274,1))</f>
        <v/>
      </c>
      <c r="J1274" s="11">
        <f>IF(A1274="","",F1274+H1274-I1274)</f>
        <v/>
      </c>
      <c r="K1274">
        <f>IF(A1274="","",IFERROR(IF(B1274="",NA(),MATCH(B1274,Products!$B$5:$B$204,0)),IFERROR(MATCH(A1274,Products!$A$5:$A$204,0),"")))</f>
        <v/>
      </c>
      <c r="L1274">
        <f>IF(A1274="","",IF(K1274="","⚠ not in Products",INDEX(Products!$A$5:$A$204,K1274)))</f>
        <v/>
      </c>
      <c r="M1274" s="11">
        <f>IF(A1274="","",J1274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1274+IFERROR(INDEX(Settings!$D$5:$D$9,MATCH("Etsy",Settings!$A$5:$A$9,0)),0)*D1274)</f>
        <v/>
      </c>
      <c r="N1274" s="11">
        <f>IF(A1274="","",IF(K1274="",0,D1274*INDEX(Products!$I$5:$I$204,K1274)))</f>
        <v/>
      </c>
      <c r="O1274" s="11">
        <f>IF(A1274="","",IF(K1274="",0,J1274*INDEX(Products!$H$5:$H$204,K1274)))</f>
        <v/>
      </c>
      <c r="P1274" s="11">
        <f>IF(A1274="","",J1274-M1274-N1274-O1274)</f>
        <v/>
      </c>
    </row>
    <row r="1275">
      <c r="A1275">
        <f>IFERROR(INDEX('Etsy Import'!$A:$CZ,1275,Settings!$C$20)&amp;"","")</f>
        <v/>
      </c>
      <c r="B1275">
        <f>IFERROR(INDEX('Etsy Import'!$A:$CZ,1275,Settings!$C$21)&amp;"","")</f>
        <v/>
      </c>
      <c r="C1275">
        <f>IFERROR(INDEX('Etsy Import'!$A:$CZ,1275,Settings!$C$22)&amp;"","")</f>
        <v/>
      </c>
      <c r="D1275">
        <f>IF(A1275="","",IFERROR(VALUE(SUBSTITUTE(SUBSTITUTE(INDEX('Etsy Import'!$A:$CZ,1275,Settings!$C$23)&amp;"","$",""),",","")),0))</f>
        <v/>
      </c>
      <c r="E1275" s="11">
        <f>IF(A1275="","",IFERROR(VALUE(SUBSTITUTE(SUBSTITUTE(INDEX('Etsy Import'!$A:$CZ,1275,Settings!$C$24)&amp;"","$",""),",","")),0))</f>
        <v/>
      </c>
      <c r="F1275" s="11">
        <f>IF(A1275="","",D1275*E1275)</f>
        <v/>
      </c>
      <c r="G1275">
        <f>IF(A1275="","",IF(C1275="",1,COUNTIF($C$2:$C$1501,C1275)))</f>
        <v/>
      </c>
      <c r="H1275" s="11">
        <f>IF(A1275="","",IFERROR(VALUE(SUBSTITUTE(SUBSTITUTE(INDEX('Etsy Import'!$A:$CZ,1275,Settings!$C$25)&amp;"","$",""),",","")),0)/IF(Settings!$B$27="Yes",G1275,1))</f>
        <v/>
      </c>
      <c r="I1275" s="11">
        <f>IF(A1275="","",IFERROR(VALUE(SUBSTITUTE(SUBSTITUTE(INDEX('Etsy Import'!$A:$CZ,1275,Settings!$C$26)&amp;"","$",""),",","")),0)/IF(Settings!$B$27="Yes",G1275,1))</f>
        <v/>
      </c>
      <c r="J1275" s="11">
        <f>IF(A1275="","",F1275+H1275-I1275)</f>
        <v/>
      </c>
      <c r="K1275">
        <f>IF(A1275="","",IFERROR(IF(B1275="",NA(),MATCH(B1275,Products!$B$5:$B$204,0)),IFERROR(MATCH(A1275,Products!$A$5:$A$204,0),"")))</f>
        <v/>
      </c>
      <c r="L1275">
        <f>IF(A1275="","",IF(K1275="","⚠ not in Products",INDEX(Products!$A$5:$A$204,K1275)))</f>
        <v/>
      </c>
      <c r="M1275" s="11">
        <f>IF(A1275="","",J1275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1275+IFERROR(INDEX(Settings!$D$5:$D$9,MATCH("Etsy",Settings!$A$5:$A$9,0)),0)*D1275)</f>
        <v/>
      </c>
      <c r="N1275" s="11">
        <f>IF(A1275="","",IF(K1275="",0,D1275*INDEX(Products!$I$5:$I$204,K1275)))</f>
        <v/>
      </c>
      <c r="O1275" s="11">
        <f>IF(A1275="","",IF(K1275="",0,J1275*INDEX(Products!$H$5:$H$204,K1275)))</f>
        <v/>
      </c>
      <c r="P1275" s="11">
        <f>IF(A1275="","",J1275-M1275-N1275-O1275)</f>
        <v/>
      </c>
    </row>
    <row r="1276">
      <c r="A1276">
        <f>IFERROR(INDEX('Etsy Import'!$A:$CZ,1276,Settings!$C$20)&amp;"","")</f>
        <v/>
      </c>
      <c r="B1276">
        <f>IFERROR(INDEX('Etsy Import'!$A:$CZ,1276,Settings!$C$21)&amp;"","")</f>
        <v/>
      </c>
      <c r="C1276">
        <f>IFERROR(INDEX('Etsy Import'!$A:$CZ,1276,Settings!$C$22)&amp;"","")</f>
        <v/>
      </c>
      <c r="D1276">
        <f>IF(A1276="","",IFERROR(VALUE(SUBSTITUTE(SUBSTITUTE(INDEX('Etsy Import'!$A:$CZ,1276,Settings!$C$23)&amp;"","$",""),",","")),0))</f>
        <v/>
      </c>
      <c r="E1276" s="11">
        <f>IF(A1276="","",IFERROR(VALUE(SUBSTITUTE(SUBSTITUTE(INDEX('Etsy Import'!$A:$CZ,1276,Settings!$C$24)&amp;"","$",""),",","")),0))</f>
        <v/>
      </c>
      <c r="F1276" s="11">
        <f>IF(A1276="","",D1276*E1276)</f>
        <v/>
      </c>
      <c r="G1276">
        <f>IF(A1276="","",IF(C1276="",1,COUNTIF($C$2:$C$1501,C1276)))</f>
        <v/>
      </c>
      <c r="H1276" s="11">
        <f>IF(A1276="","",IFERROR(VALUE(SUBSTITUTE(SUBSTITUTE(INDEX('Etsy Import'!$A:$CZ,1276,Settings!$C$25)&amp;"","$",""),",","")),0)/IF(Settings!$B$27="Yes",G1276,1))</f>
        <v/>
      </c>
      <c r="I1276" s="11">
        <f>IF(A1276="","",IFERROR(VALUE(SUBSTITUTE(SUBSTITUTE(INDEX('Etsy Import'!$A:$CZ,1276,Settings!$C$26)&amp;"","$",""),",","")),0)/IF(Settings!$B$27="Yes",G1276,1))</f>
        <v/>
      </c>
      <c r="J1276" s="11">
        <f>IF(A1276="","",F1276+H1276-I1276)</f>
        <v/>
      </c>
      <c r="K1276">
        <f>IF(A1276="","",IFERROR(IF(B1276="",NA(),MATCH(B1276,Products!$B$5:$B$204,0)),IFERROR(MATCH(A1276,Products!$A$5:$A$204,0),"")))</f>
        <v/>
      </c>
      <c r="L1276">
        <f>IF(A1276="","",IF(K1276="","⚠ not in Products",INDEX(Products!$A$5:$A$204,K1276)))</f>
        <v/>
      </c>
      <c r="M1276" s="11">
        <f>IF(A1276="","",J1276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1276+IFERROR(INDEX(Settings!$D$5:$D$9,MATCH("Etsy",Settings!$A$5:$A$9,0)),0)*D1276)</f>
        <v/>
      </c>
      <c r="N1276" s="11">
        <f>IF(A1276="","",IF(K1276="",0,D1276*INDEX(Products!$I$5:$I$204,K1276)))</f>
        <v/>
      </c>
      <c r="O1276" s="11">
        <f>IF(A1276="","",IF(K1276="",0,J1276*INDEX(Products!$H$5:$H$204,K1276)))</f>
        <v/>
      </c>
      <c r="P1276" s="11">
        <f>IF(A1276="","",J1276-M1276-N1276-O1276)</f>
        <v/>
      </c>
    </row>
    <row r="1277">
      <c r="A1277">
        <f>IFERROR(INDEX('Etsy Import'!$A:$CZ,1277,Settings!$C$20)&amp;"","")</f>
        <v/>
      </c>
      <c r="B1277">
        <f>IFERROR(INDEX('Etsy Import'!$A:$CZ,1277,Settings!$C$21)&amp;"","")</f>
        <v/>
      </c>
      <c r="C1277">
        <f>IFERROR(INDEX('Etsy Import'!$A:$CZ,1277,Settings!$C$22)&amp;"","")</f>
        <v/>
      </c>
      <c r="D1277">
        <f>IF(A1277="","",IFERROR(VALUE(SUBSTITUTE(SUBSTITUTE(INDEX('Etsy Import'!$A:$CZ,1277,Settings!$C$23)&amp;"","$",""),",","")),0))</f>
        <v/>
      </c>
      <c r="E1277" s="11">
        <f>IF(A1277="","",IFERROR(VALUE(SUBSTITUTE(SUBSTITUTE(INDEX('Etsy Import'!$A:$CZ,1277,Settings!$C$24)&amp;"","$",""),",","")),0))</f>
        <v/>
      </c>
      <c r="F1277" s="11">
        <f>IF(A1277="","",D1277*E1277)</f>
        <v/>
      </c>
      <c r="G1277">
        <f>IF(A1277="","",IF(C1277="",1,COUNTIF($C$2:$C$1501,C1277)))</f>
        <v/>
      </c>
      <c r="H1277" s="11">
        <f>IF(A1277="","",IFERROR(VALUE(SUBSTITUTE(SUBSTITUTE(INDEX('Etsy Import'!$A:$CZ,1277,Settings!$C$25)&amp;"","$",""),",","")),0)/IF(Settings!$B$27="Yes",G1277,1))</f>
        <v/>
      </c>
      <c r="I1277" s="11">
        <f>IF(A1277="","",IFERROR(VALUE(SUBSTITUTE(SUBSTITUTE(INDEX('Etsy Import'!$A:$CZ,1277,Settings!$C$26)&amp;"","$",""),",","")),0)/IF(Settings!$B$27="Yes",G1277,1))</f>
        <v/>
      </c>
      <c r="J1277" s="11">
        <f>IF(A1277="","",F1277+H1277-I1277)</f>
        <v/>
      </c>
      <c r="K1277">
        <f>IF(A1277="","",IFERROR(IF(B1277="",NA(),MATCH(B1277,Products!$B$5:$B$204,0)),IFERROR(MATCH(A1277,Products!$A$5:$A$204,0),"")))</f>
        <v/>
      </c>
      <c r="L1277">
        <f>IF(A1277="","",IF(K1277="","⚠ not in Products",INDEX(Products!$A$5:$A$204,K1277)))</f>
        <v/>
      </c>
      <c r="M1277" s="11">
        <f>IF(A1277="","",J1277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1277+IFERROR(INDEX(Settings!$D$5:$D$9,MATCH("Etsy",Settings!$A$5:$A$9,0)),0)*D1277)</f>
        <v/>
      </c>
      <c r="N1277" s="11">
        <f>IF(A1277="","",IF(K1277="",0,D1277*INDEX(Products!$I$5:$I$204,K1277)))</f>
        <v/>
      </c>
      <c r="O1277" s="11">
        <f>IF(A1277="","",IF(K1277="",0,J1277*INDEX(Products!$H$5:$H$204,K1277)))</f>
        <v/>
      </c>
      <c r="P1277" s="11">
        <f>IF(A1277="","",J1277-M1277-N1277-O1277)</f>
        <v/>
      </c>
    </row>
    <row r="1278">
      <c r="A1278">
        <f>IFERROR(INDEX('Etsy Import'!$A:$CZ,1278,Settings!$C$20)&amp;"","")</f>
        <v/>
      </c>
      <c r="B1278">
        <f>IFERROR(INDEX('Etsy Import'!$A:$CZ,1278,Settings!$C$21)&amp;"","")</f>
        <v/>
      </c>
      <c r="C1278">
        <f>IFERROR(INDEX('Etsy Import'!$A:$CZ,1278,Settings!$C$22)&amp;"","")</f>
        <v/>
      </c>
      <c r="D1278">
        <f>IF(A1278="","",IFERROR(VALUE(SUBSTITUTE(SUBSTITUTE(INDEX('Etsy Import'!$A:$CZ,1278,Settings!$C$23)&amp;"","$",""),",","")),0))</f>
        <v/>
      </c>
      <c r="E1278" s="11">
        <f>IF(A1278="","",IFERROR(VALUE(SUBSTITUTE(SUBSTITUTE(INDEX('Etsy Import'!$A:$CZ,1278,Settings!$C$24)&amp;"","$",""),",","")),0))</f>
        <v/>
      </c>
      <c r="F1278" s="11">
        <f>IF(A1278="","",D1278*E1278)</f>
        <v/>
      </c>
      <c r="G1278">
        <f>IF(A1278="","",IF(C1278="",1,COUNTIF($C$2:$C$1501,C1278)))</f>
        <v/>
      </c>
      <c r="H1278" s="11">
        <f>IF(A1278="","",IFERROR(VALUE(SUBSTITUTE(SUBSTITUTE(INDEX('Etsy Import'!$A:$CZ,1278,Settings!$C$25)&amp;"","$",""),",","")),0)/IF(Settings!$B$27="Yes",G1278,1))</f>
        <v/>
      </c>
      <c r="I1278" s="11">
        <f>IF(A1278="","",IFERROR(VALUE(SUBSTITUTE(SUBSTITUTE(INDEX('Etsy Import'!$A:$CZ,1278,Settings!$C$26)&amp;"","$",""),",","")),0)/IF(Settings!$B$27="Yes",G1278,1))</f>
        <v/>
      </c>
      <c r="J1278" s="11">
        <f>IF(A1278="","",F1278+H1278-I1278)</f>
        <v/>
      </c>
      <c r="K1278">
        <f>IF(A1278="","",IFERROR(IF(B1278="",NA(),MATCH(B1278,Products!$B$5:$B$204,0)),IFERROR(MATCH(A1278,Products!$A$5:$A$204,0),"")))</f>
        <v/>
      </c>
      <c r="L1278">
        <f>IF(A1278="","",IF(K1278="","⚠ not in Products",INDEX(Products!$A$5:$A$204,K1278)))</f>
        <v/>
      </c>
      <c r="M1278" s="11">
        <f>IF(A1278="","",J1278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1278+IFERROR(INDEX(Settings!$D$5:$D$9,MATCH("Etsy",Settings!$A$5:$A$9,0)),0)*D1278)</f>
        <v/>
      </c>
      <c r="N1278" s="11">
        <f>IF(A1278="","",IF(K1278="",0,D1278*INDEX(Products!$I$5:$I$204,K1278)))</f>
        <v/>
      </c>
      <c r="O1278" s="11">
        <f>IF(A1278="","",IF(K1278="",0,J1278*INDEX(Products!$H$5:$H$204,K1278)))</f>
        <v/>
      </c>
      <c r="P1278" s="11">
        <f>IF(A1278="","",J1278-M1278-N1278-O1278)</f>
        <v/>
      </c>
    </row>
    <row r="1279">
      <c r="A1279">
        <f>IFERROR(INDEX('Etsy Import'!$A:$CZ,1279,Settings!$C$20)&amp;"","")</f>
        <v/>
      </c>
      <c r="B1279">
        <f>IFERROR(INDEX('Etsy Import'!$A:$CZ,1279,Settings!$C$21)&amp;"","")</f>
        <v/>
      </c>
      <c r="C1279">
        <f>IFERROR(INDEX('Etsy Import'!$A:$CZ,1279,Settings!$C$22)&amp;"","")</f>
        <v/>
      </c>
      <c r="D1279">
        <f>IF(A1279="","",IFERROR(VALUE(SUBSTITUTE(SUBSTITUTE(INDEX('Etsy Import'!$A:$CZ,1279,Settings!$C$23)&amp;"","$",""),",","")),0))</f>
        <v/>
      </c>
      <c r="E1279" s="11">
        <f>IF(A1279="","",IFERROR(VALUE(SUBSTITUTE(SUBSTITUTE(INDEX('Etsy Import'!$A:$CZ,1279,Settings!$C$24)&amp;"","$",""),",","")),0))</f>
        <v/>
      </c>
      <c r="F1279" s="11">
        <f>IF(A1279="","",D1279*E1279)</f>
        <v/>
      </c>
      <c r="G1279">
        <f>IF(A1279="","",IF(C1279="",1,COUNTIF($C$2:$C$1501,C1279)))</f>
        <v/>
      </c>
      <c r="H1279" s="11">
        <f>IF(A1279="","",IFERROR(VALUE(SUBSTITUTE(SUBSTITUTE(INDEX('Etsy Import'!$A:$CZ,1279,Settings!$C$25)&amp;"","$",""),",","")),0)/IF(Settings!$B$27="Yes",G1279,1))</f>
        <v/>
      </c>
      <c r="I1279" s="11">
        <f>IF(A1279="","",IFERROR(VALUE(SUBSTITUTE(SUBSTITUTE(INDEX('Etsy Import'!$A:$CZ,1279,Settings!$C$26)&amp;"","$",""),",","")),0)/IF(Settings!$B$27="Yes",G1279,1))</f>
        <v/>
      </c>
      <c r="J1279" s="11">
        <f>IF(A1279="","",F1279+H1279-I1279)</f>
        <v/>
      </c>
      <c r="K1279">
        <f>IF(A1279="","",IFERROR(IF(B1279="",NA(),MATCH(B1279,Products!$B$5:$B$204,0)),IFERROR(MATCH(A1279,Products!$A$5:$A$204,0),"")))</f>
        <v/>
      </c>
      <c r="L1279">
        <f>IF(A1279="","",IF(K1279="","⚠ not in Products",INDEX(Products!$A$5:$A$204,K1279)))</f>
        <v/>
      </c>
      <c r="M1279" s="11">
        <f>IF(A1279="","",J1279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1279+IFERROR(INDEX(Settings!$D$5:$D$9,MATCH("Etsy",Settings!$A$5:$A$9,0)),0)*D1279)</f>
        <v/>
      </c>
      <c r="N1279" s="11">
        <f>IF(A1279="","",IF(K1279="",0,D1279*INDEX(Products!$I$5:$I$204,K1279)))</f>
        <v/>
      </c>
      <c r="O1279" s="11">
        <f>IF(A1279="","",IF(K1279="",0,J1279*INDEX(Products!$H$5:$H$204,K1279)))</f>
        <v/>
      </c>
      <c r="P1279" s="11">
        <f>IF(A1279="","",J1279-M1279-N1279-O1279)</f>
        <v/>
      </c>
    </row>
    <row r="1280">
      <c r="A1280">
        <f>IFERROR(INDEX('Etsy Import'!$A:$CZ,1280,Settings!$C$20)&amp;"","")</f>
        <v/>
      </c>
      <c r="B1280">
        <f>IFERROR(INDEX('Etsy Import'!$A:$CZ,1280,Settings!$C$21)&amp;"","")</f>
        <v/>
      </c>
      <c r="C1280">
        <f>IFERROR(INDEX('Etsy Import'!$A:$CZ,1280,Settings!$C$22)&amp;"","")</f>
        <v/>
      </c>
      <c r="D1280">
        <f>IF(A1280="","",IFERROR(VALUE(SUBSTITUTE(SUBSTITUTE(INDEX('Etsy Import'!$A:$CZ,1280,Settings!$C$23)&amp;"","$",""),",","")),0))</f>
        <v/>
      </c>
      <c r="E1280" s="11">
        <f>IF(A1280="","",IFERROR(VALUE(SUBSTITUTE(SUBSTITUTE(INDEX('Etsy Import'!$A:$CZ,1280,Settings!$C$24)&amp;"","$",""),",","")),0))</f>
        <v/>
      </c>
      <c r="F1280" s="11">
        <f>IF(A1280="","",D1280*E1280)</f>
        <v/>
      </c>
      <c r="G1280">
        <f>IF(A1280="","",IF(C1280="",1,COUNTIF($C$2:$C$1501,C1280)))</f>
        <v/>
      </c>
      <c r="H1280" s="11">
        <f>IF(A1280="","",IFERROR(VALUE(SUBSTITUTE(SUBSTITUTE(INDEX('Etsy Import'!$A:$CZ,1280,Settings!$C$25)&amp;"","$",""),",","")),0)/IF(Settings!$B$27="Yes",G1280,1))</f>
        <v/>
      </c>
      <c r="I1280" s="11">
        <f>IF(A1280="","",IFERROR(VALUE(SUBSTITUTE(SUBSTITUTE(INDEX('Etsy Import'!$A:$CZ,1280,Settings!$C$26)&amp;"","$",""),",","")),0)/IF(Settings!$B$27="Yes",G1280,1))</f>
        <v/>
      </c>
      <c r="J1280" s="11">
        <f>IF(A1280="","",F1280+H1280-I1280)</f>
        <v/>
      </c>
      <c r="K1280">
        <f>IF(A1280="","",IFERROR(IF(B1280="",NA(),MATCH(B1280,Products!$B$5:$B$204,0)),IFERROR(MATCH(A1280,Products!$A$5:$A$204,0),"")))</f>
        <v/>
      </c>
      <c r="L1280">
        <f>IF(A1280="","",IF(K1280="","⚠ not in Products",INDEX(Products!$A$5:$A$204,K1280)))</f>
        <v/>
      </c>
      <c r="M1280" s="11">
        <f>IF(A1280="","",J1280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1280+IFERROR(INDEX(Settings!$D$5:$D$9,MATCH("Etsy",Settings!$A$5:$A$9,0)),0)*D1280)</f>
        <v/>
      </c>
      <c r="N1280" s="11">
        <f>IF(A1280="","",IF(K1280="",0,D1280*INDEX(Products!$I$5:$I$204,K1280)))</f>
        <v/>
      </c>
      <c r="O1280" s="11">
        <f>IF(A1280="","",IF(K1280="",0,J1280*INDEX(Products!$H$5:$H$204,K1280)))</f>
        <v/>
      </c>
      <c r="P1280" s="11">
        <f>IF(A1280="","",J1280-M1280-N1280-O1280)</f>
        <v/>
      </c>
    </row>
    <row r="1281">
      <c r="A1281">
        <f>IFERROR(INDEX('Etsy Import'!$A:$CZ,1281,Settings!$C$20)&amp;"","")</f>
        <v/>
      </c>
      <c r="B1281">
        <f>IFERROR(INDEX('Etsy Import'!$A:$CZ,1281,Settings!$C$21)&amp;"","")</f>
        <v/>
      </c>
      <c r="C1281">
        <f>IFERROR(INDEX('Etsy Import'!$A:$CZ,1281,Settings!$C$22)&amp;"","")</f>
        <v/>
      </c>
      <c r="D1281">
        <f>IF(A1281="","",IFERROR(VALUE(SUBSTITUTE(SUBSTITUTE(INDEX('Etsy Import'!$A:$CZ,1281,Settings!$C$23)&amp;"","$",""),",","")),0))</f>
        <v/>
      </c>
      <c r="E1281" s="11">
        <f>IF(A1281="","",IFERROR(VALUE(SUBSTITUTE(SUBSTITUTE(INDEX('Etsy Import'!$A:$CZ,1281,Settings!$C$24)&amp;"","$",""),",","")),0))</f>
        <v/>
      </c>
      <c r="F1281" s="11">
        <f>IF(A1281="","",D1281*E1281)</f>
        <v/>
      </c>
      <c r="G1281">
        <f>IF(A1281="","",IF(C1281="",1,COUNTIF($C$2:$C$1501,C1281)))</f>
        <v/>
      </c>
      <c r="H1281" s="11">
        <f>IF(A1281="","",IFERROR(VALUE(SUBSTITUTE(SUBSTITUTE(INDEX('Etsy Import'!$A:$CZ,1281,Settings!$C$25)&amp;"","$",""),",","")),0)/IF(Settings!$B$27="Yes",G1281,1))</f>
        <v/>
      </c>
      <c r="I1281" s="11">
        <f>IF(A1281="","",IFERROR(VALUE(SUBSTITUTE(SUBSTITUTE(INDEX('Etsy Import'!$A:$CZ,1281,Settings!$C$26)&amp;"","$",""),",","")),0)/IF(Settings!$B$27="Yes",G1281,1))</f>
        <v/>
      </c>
      <c r="J1281" s="11">
        <f>IF(A1281="","",F1281+H1281-I1281)</f>
        <v/>
      </c>
      <c r="K1281">
        <f>IF(A1281="","",IFERROR(IF(B1281="",NA(),MATCH(B1281,Products!$B$5:$B$204,0)),IFERROR(MATCH(A1281,Products!$A$5:$A$204,0),"")))</f>
        <v/>
      </c>
      <c r="L1281">
        <f>IF(A1281="","",IF(K1281="","⚠ not in Products",INDEX(Products!$A$5:$A$204,K1281)))</f>
        <v/>
      </c>
      <c r="M1281" s="11">
        <f>IF(A1281="","",J1281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1281+IFERROR(INDEX(Settings!$D$5:$D$9,MATCH("Etsy",Settings!$A$5:$A$9,0)),0)*D1281)</f>
        <v/>
      </c>
      <c r="N1281" s="11">
        <f>IF(A1281="","",IF(K1281="",0,D1281*INDEX(Products!$I$5:$I$204,K1281)))</f>
        <v/>
      </c>
      <c r="O1281" s="11">
        <f>IF(A1281="","",IF(K1281="",0,J1281*INDEX(Products!$H$5:$H$204,K1281)))</f>
        <v/>
      </c>
      <c r="P1281" s="11">
        <f>IF(A1281="","",J1281-M1281-N1281-O1281)</f>
        <v/>
      </c>
    </row>
    <row r="1282">
      <c r="A1282">
        <f>IFERROR(INDEX('Etsy Import'!$A:$CZ,1282,Settings!$C$20)&amp;"","")</f>
        <v/>
      </c>
      <c r="B1282">
        <f>IFERROR(INDEX('Etsy Import'!$A:$CZ,1282,Settings!$C$21)&amp;"","")</f>
        <v/>
      </c>
      <c r="C1282">
        <f>IFERROR(INDEX('Etsy Import'!$A:$CZ,1282,Settings!$C$22)&amp;"","")</f>
        <v/>
      </c>
      <c r="D1282">
        <f>IF(A1282="","",IFERROR(VALUE(SUBSTITUTE(SUBSTITUTE(INDEX('Etsy Import'!$A:$CZ,1282,Settings!$C$23)&amp;"","$",""),",","")),0))</f>
        <v/>
      </c>
      <c r="E1282" s="11">
        <f>IF(A1282="","",IFERROR(VALUE(SUBSTITUTE(SUBSTITUTE(INDEX('Etsy Import'!$A:$CZ,1282,Settings!$C$24)&amp;"","$",""),",","")),0))</f>
        <v/>
      </c>
      <c r="F1282" s="11">
        <f>IF(A1282="","",D1282*E1282)</f>
        <v/>
      </c>
      <c r="G1282">
        <f>IF(A1282="","",IF(C1282="",1,COUNTIF($C$2:$C$1501,C1282)))</f>
        <v/>
      </c>
      <c r="H1282" s="11">
        <f>IF(A1282="","",IFERROR(VALUE(SUBSTITUTE(SUBSTITUTE(INDEX('Etsy Import'!$A:$CZ,1282,Settings!$C$25)&amp;"","$",""),",","")),0)/IF(Settings!$B$27="Yes",G1282,1))</f>
        <v/>
      </c>
      <c r="I1282" s="11">
        <f>IF(A1282="","",IFERROR(VALUE(SUBSTITUTE(SUBSTITUTE(INDEX('Etsy Import'!$A:$CZ,1282,Settings!$C$26)&amp;"","$",""),",","")),0)/IF(Settings!$B$27="Yes",G1282,1))</f>
        <v/>
      </c>
      <c r="J1282" s="11">
        <f>IF(A1282="","",F1282+H1282-I1282)</f>
        <v/>
      </c>
      <c r="K1282">
        <f>IF(A1282="","",IFERROR(IF(B1282="",NA(),MATCH(B1282,Products!$B$5:$B$204,0)),IFERROR(MATCH(A1282,Products!$A$5:$A$204,0),"")))</f>
        <v/>
      </c>
      <c r="L1282">
        <f>IF(A1282="","",IF(K1282="","⚠ not in Products",INDEX(Products!$A$5:$A$204,K1282)))</f>
        <v/>
      </c>
      <c r="M1282" s="11">
        <f>IF(A1282="","",J1282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1282+IFERROR(INDEX(Settings!$D$5:$D$9,MATCH("Etsy",Settings!$A$5:$A$9,0)),0)*D1282)</f>
        <v/>
      </c>
      <c r="N1282" s="11">
        <f>IF(A1282="","",IF(K1282="",0,D1282*INDEX(Products!$I$5:$I$204,K1282)))</f>
        <v/>
      </c>
      <c r="O1282" s="11">
        <f>IF(A1282="","",IF(K1282="",0,J1282*INDEX(Products!$H$5:$H$204,K1282)))</f>
        <v/>
      </c>
      <c r="P1282" s="11">
        <f>IF(A1282="","",J1282-M1282-N1282-O1282)</f>
        <v/>
      </c>
    </row>
    <row r="1283">
      <c r="A1283">
        <f>IFERROR(INDEX('Etsy Import'!$A:$CZ,1283,Settings!$C$20)&amp;"","")</f>
        <v/>
      </c>
      <c r="B1283">
        <f>IFERROR(INDEX('Etsy Import'!$A:$CZ,1283,Settings!$C$21)&amp;"","")</f>
        <v/>
      </c>
      <c r="C1283">
        <f>IFERROR(INDEX('Etsy Import'!$A:$CZ,1283,Settings!$C$22)&amp;"","")</f>
        <v/>
      </c>
      <c r="D1283">
        <f>IF(A1283="","",IFERROR(VALUE(SUBSTITUTE(SUBSTITUTE(INDEX('Etsy Import'!$A:$CZ,1283,Settings!$C$23)&amp;"","$",""),",","")),0))</f>
        <v/>
      </c>
      <c r="E1283" s="11">
        <f>IF(A1283="","",IFERROR(VALUE(SUBSTITUTE(SUBSTITUTE(INDEX('Etsy Import'!$A:$CZ,1283,Settings!$C$24)&amp;"","$",""),",","")),0))</f>
        <v/>
      </c>
      <c r="F1283" s="11">
        <f>IF(A1283="","",D1283*E1283)</f>
        <v/>
      </c>
      <c r="G1283">
        <f>IF(A1283="","",IF(C1283="",1,COUNTIF($C$2:$C$1501,C1283)))</f>
        <v/>
      </c>
      <c r="H1283" s="11">
        <f>IF(A1283="","",IFERROR(VALUE(SUBSTITUTE(SUBSTITUTE(INDEX('Etsy Import'!$A:$CZ,1283,Settings!$C$25)&amp;"","$",""),",","")),0)/IF(Settings!$B$27="Yes",G1283,1))</f>
        <v/>
      </c>
      <c r="I1283" s="11">
        <f>IF(A1283="","",IFERROR(VALUE(SUBSTITUTE(SUBSTITUTE(INDEX('Etsy Import'!$A:$CZ,1283,Settings!$C$26)&amp;"","$",""),",","")),0)/IF(Settings!$B$27="Yes",G1283,1))</f>
        <v/>
      </c>
      <c r="J1283" s="11">
        <f>IF(A1283="","",F1283+H1283-I1283)</f>
        <v/>
      </c>
      <c r="K1283">
        <f>IF(A1283="","",IFERROR(IF(B1283="",NA(),MATCH(B1283,Products!$B$5:$B$204,0)),IFERROR(MATCH(A1283,Products!$A$5:$A$204,0),"")))</f>
        <v/>
      </c>
      <c r="L1283">
        <f>IF(A1283="","",IF(K1283="","⚠ not in Products",INDEX(Products!$A$5:$A$204,K1283)))</f>
        <v/>
      </c>
      <c r="M1283" s="11">
        <f>IF(A1283="","",J1283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1283+IFERROR(INDEX(Settings!$D$5:$D$9,MATCH("Etsy",Settings!$A$5:$A$9,0)),0)*D1283)</f>
        <v/>
      </c>
      <c r="N1283" s="11">
        <f>IF(A1283="","",IF(K1283="",0,D1283*INDEX(Products!$I$5:$I$204,K1283)))</f>
        <v/>
      </c>
      <c r="O1283" s="11">
        <f>IF(A1283="","",IF(K1283="",0,J1283*INDEX(Products!$H$5:$H$204,K1283)))</f>
        <v/>
      </c>
      <c r="P1283" s="11">
        <f>IF(A1283="","",J1283-M1283-N1283-O1283)</f>
        <v/>
      </c>
    </row>
    <row r="1284">
      <c r="A1284">
        <f>IFERROR(INDEX('Etsy Import'!$A:$CZ,1284,Settings!$C$20)&amp;"","")</f>
        <v/>
      </c>
      <c r="B1284">
        <f>IFERROR(INDEX('Etsy Import'!$A:$CZ,1284,Settings!$C$21)&amp;"","")</f>
        <v/>
      </c>
      <c r="C1284">
        <f>IFERROR(INDEX('Etsy Import'!$A:$CZ,1284,Settings!$C$22)&amp;"","")</f>
        <v/>
      </c>
      <c r="D1284">
        <f>IF(A1284="","",IFERROR(VALUE(SUBSTITUTE(SUBSTITUTE(INDEX('Etsy Import'!$A:$CZ,1284,Settings!$C$23)&amp;"","$",""),",","")),0))</f>
        <v/>
      </c>
      <c r="E1284" s="11">
        <f>IF(A1284="","",IFERROR(VALUE(SUBSTITUTE(SUBSTITUTE(INDEX('Etsy Import'!$A:$CZ,1284,Settings!$C$24)&amp;"","$",""),",","")),0))</f>
        <v/>
      </c>
      <c r="F1284" s="11">
        <f>IF(A1284="","",D1284*E1284)</f>
        <v/>
      </c>
      <c r="G1284">
        <f>IF(A1284="","",IF(C1284="",1,COUNTIF($C$2:$C$1501,C1284)))</f>
        <v/>
      </c>
      <c r="H1284" s="11">
        <f>IF(A1284="","",IFERROR(VALUE(SUBSTITUTE(SUBSTITUTE(INDEX('Etsy Import'!$A:$CZ,1284,Settings!$C$25)&amp;"","$",""),",","")),0)/IF(Settings!$B$27="Yes",G1284,1))</f>
        <v/>
      </c>
      <c r="I1284" s="11">
        <f>IF(A1284="","",IFERROR(VALUE(SUBSTITUTE(SUBSTITUTE(INDEX('Etsy Import'!$A:$CZ,1284,Settings!$C$26)&amp;"","$",""),",","")),0)/IF(Settings!$B$27="Yes",G1284,1))</f>
        <v/>
      </c>
      <c r="J1284" s="11">
        <f>IF(A1284="","",F1284+H1284-I1284)</f>
        <v/>
      </c>
      <c r="K1284">
        <f>IF(A1284="","",IFERROR(IF(B1284="",NA(),MATCH(B1284,Products!$B$5:$B$204,0)),IFERROR(MATCH(A1284,Products!$A$5:$A$204,0),"")))</f>
        <v/>
      </c>
      <c r="L1284">
        <f>IF(A1284="","",IF(K1284="","⚠ not in Products",INDEX(Products!$A$5:$A$204,K1284)))</f>
        <v/>
      </c>
      <c r="M1284" s="11">
        <f>IF(A1284="","",J1284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1284+IFERROR(INDEX(Settings!$D$5:$D$9,MATCH("Etsy",Settings!$A$5:$A$9,0)),0)*D1284)</f>
        <v/>
      </c>
      <c r="N1284" s="11">
        <f>IF(A1284="","",IF(K1284="",0,D1284*INDEX(Products!$I$5:$I$204,K1284)))</f>
        <v/>
      </c>
      <c r="O1284" s="11">
        <f>IF(A1284="","",IF(K1284="",0,J1284*INDEX(Products!$H$5:$H$204,K1284)))</f>
        <v/>
      </c>
      <c r="P1284" s="11">
        <f>IF(A1284="","",J1284-M1284-N1284-O1284)</f>
        <v/>
      </c>
    </row>
    <row r="1285">
      <c r="A1285">
        <f>IFERROR(INDEX('Etsy Import'!$A:$CZ,1285,Settings!$C$20)&amp;"","")</f>
        <v/>
      </c>
      <c r="B1285">
        <f>IFERROR(INDEX('Etsy Import'!$A:$CZ,1285,Settings!$C$21)&amp;"","")</f>
        <v/>
      </c>
      <c r="C1285">
        <f>IFERROR(INDEX('Etsy Import'!$A:$CZ,1285,Settings!$C$22)&amp;"","")</f>
        <v/>
      </c>
      <c r="D1285">
        <f>IF(A1285="","",IFERROR(VALUE(SUBSTITUTE(SUBSTITUTE(INDEX('Etsy Import'!$A:$CZ,1285,Settings!$C$23)&amp;"","$",""),",","")),0))</f>
        <v/>
      </c>
      <c r="E1285" s="11">
        <f>IF(A1285="","",IFERROR(VALUE(SUBSTITUTE(SUBSTITUTE(INDEX('Etsy Import'!$A:$CZ,1285,Settings!$C$24)&amp;"","$",""),",","")),0))</f>
        <v/>
      </c>
      <c r="F1285" s="11">
        <f>IF(A1285="","",D1285*E1285)</f>
        <v/>
      </c>
      <c r="G1285">
        <f>IF(A1285="","",IF(C1285="",1,COUNTIF($C$2:$C$1501,C1285)))</f>
        <v/>
      </c>
      <c r="H1285" s="11">
        <f>IF(A1285="","",IFERROR(VALUE(SUBSTITUTE(SUBSTITUTE(INDEX('Etsy Import'!$A:$CZ,1285,Settings!$C$25)&amp;"","$",""),",","")),0)/IF(Settings!$B$27="Yes",G1285,1))</f>
        <v/>
      </c>
      <c r="I1285" s="11">
        <f>IF(A1285="","",IFERROR(VALUE(SUBSTITUTE(SUBSTITUTE(INDEX('Etsy Import'!$A:$CZ,1285,Settings!$C$26)&amp;"","$",""),",","")),0)/IF(Settings!$B$27="Yes",G1285,1))</f>
        <v/>
      </c>
      <c r="J1285" s="11">
        <f>IF(A1285="","",F1285+H1285-I1285)</f>
        <v/>
      </c>
      <c r="K1285">
        <f>IF(A1285="","",IFERROR(IF(B1285="",NA(),MATCH(B1285,Products!$B$5:$B$204,0)),IFERROR(MATCH(A1285,Products!$A$5:$A$204,0),"")))</f>
        <v/>
      </c>
      <c r="L1285">
        <f>IF(A1285="","",IF(K1285="","⚠ not in Products",INDEX(Products!$A$5:$A$204,K1285)))</f>
        <v/>
      </c>
      <c r="M1285" s="11">
        <f>IF(A1285="","",J1285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1285+IFERROR(INDEX(Settings!$D$5:$D$9,MATCH("Etsy",Settings!$A$5:$A$9,0)),0)*D1285)</f>
        <v/>
      </c>
      <c r="N1285" s="11">
        <f>IF(A1285="","",IF(K1285="",0,D1285*INDEX(Products!$I$5:$I$204,K1285)))</f>
        <v/>
      </c>
      <c r="O1285" s="11">
        <f>IF(A1285="","",IF(K1285="",0,J1285*INDEX(Products!$H$5:$H$204,K1285)))</f>
        <v/>
      </c>
      <c r="P1285" s="11">
        <f>IF(A1285="","",J1285-M1285-N1285-O1285)</f>
        <v/>
      </c>
    </row>
    <row r="1286">
      <c r="A1286">
        <f>IFERROR(INDEX('Etsy Import'!$A:$CZ,1286,Settings!$C$20)&amp;"","")</f>
        <v/>
      </c>
      <c r="B1286">
        <f>IFERROR(INDEX('Etsy Import'!$A:$CZ,1286,Settings!$C$21)&amp;"","")</f>
        <v/>
      </c>
      <c r="C1286">
        <f>IFERROR(INDEX('Etsy Import'!$A:$CZ,1286,Settings!$C$22)&amp;"","")</f>
        <v/>
      </c>
      <c r="D1286">
        <f>IF(A1286="","",IFERROR(VALUE(SUBSTITUTE(SUBSTITUTE(INDEX('Etsy Import'!$A:$CZ,1286,Settings!$C$23)&amp;"","$",""),",","")),0))</f>
        <v/>
      </c>
      <c r="E1286" s="11">
        <f>IF(A1286="","",IFERROR(VALUE(SUBSTITUTE(SUBSTITUTE(INDEX('Etsy Import'!$A:$CZ,1286,Settings!$C$24)&amp;"","$",""),",","")),0))</f>
        <v/>
      </c>
      <c r="F1286" s="11">
        <f>IF(A1286="","",D1286*E1286)</f>
        <v/>
      </c>
      <c r="G1286">
        <f>IF(A1286="","",IF(C1286="",1,COUNTIF($C$2:$C$1501,C1286)))</f>
        <v/>
      </c>
      <c r="H1286" s="11">
        <f>IF(A1286="","",IFERROR(VALUE(SUBSTITUTE(SUBSTITUTE(INDEX('Etsy Import'!$A:$CZ,1286,Settings!$C$25)&amp;"","$",""),",","")),0)/IF(Settings!$B$27="Yes",G1286,1))</f>
        <v/>
      </c>
      <c r="I1286" s="11">
        <f>IF(A1286="","",IFERROR(VALUE(SUBSTITUTE(SUBSTITUTE(INDEX('Etsy Import'!$A:$CZ,1286,Settings!$C$26)&amp;"","$",""),",","")),0)/IF(Settings!$B$27="Yes",G1286,1))</f>
        <v/>
      </c>
      <c r="J1286" s="11">
        <f>IF(A1286="","",F1286+H1286-I1286)</f>
        <v/>
      </c>
      <c r="K1286">
        <f>IF(A1286="","",IFERROR(IF(B1286="",NA(),MATCH(B1286,Products!$B$5:$B$204,0)),IFERROR(MATCH(A1286,Products!$A$5:$A$204,0),"")))</f>
        <v/>
      </c>
      <c r="L1286">
        <f>IF(A1286="","",IF(K1286="","⚠ not in Products",INDEX(Products!$A$5:$A$204,K1286)))</f>
        <v/>
      </c>
      <c r="M1286" s="11">
        <f>IF(A1286="","",J1286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1286+IFERROR(INDEX(Settings!$D$5:$D$9,MATCH("Etsy",Settings!$A$5:$A$9,0)),0)*D1286)</f>
        <v/>
      </c>
      <c r="N1286" s="11">
        <f>IF(A1286="","",IF(K1286="",0,D1286*INDEX(Products!$I$5:$I$204,K1286)))</f>
        <v/>
      </c>
      <c r="O1286" s="11">
        <f>IF(A1286="","",IF(K1286="",0,J1286*INDEX(Products!$H$5:$H$204,K1286)))</f>
        <v/>
      </c>
      <c r="P1286" s="11">
        <f>IF(A1286="","",J1286-M1286-N1286-O1286)</f>
        <v/>
      </c>
    </row>
    <row r="1287">
      <c r="A1287">
        <f>IFERROR(INDEX('Etsy Import'!$A:$CZ,1287,Settings!$C$20)&amp;"","")</f>
        <v/>
      </c>
      <c r="B1287">
        <f>IFERROR(INDEX('Etsy Import'!$A:$CZ,1287,Settings!$C$21)&amp;"","")</f>
        <v/>
      </c>
      <c r="C1287">
        <f>IFERROR(INDEX('Etsy Import'!$A:$CZ,1287,Settings!$C$22)&amp;"","")</f>
        <v/>
      </c>
      <c r="D1287">
        <f>IF(A1287="","",IFERROR(VALUE(SUBSTITUTE(SUBSTITUTE(INDEX('Etsy Import'!$A:$CZ,1287,Settings!$C$23)&amp;"","$",""),",","")),0))</f>
        <v/>
      </c>
      <c r="E1287" s="11">
        <f>IF(A1287="","",IFERROR(VALUE(SUBSTITUTE(SUBSTITUTE(INDEX('Etsy Import'!$A:$CZ,1287,Settings!$C$24)&amp;"","$",""),",","")),0))</f>
        <v/>
      </c>
      <c r="F1287" s="11">
        <f>IF(A1287="","",D1287*E1287)</f>
        <v/>
      </c>
      <c r="G1287">
        <f>IF(A1287="","",IF(C1287="",1,COUNTIF($C$2:$C$1501,C1287)))</f>
        <v/>
      </c>
      <c r="H1287" s="11">
        <f>IF(A1287="","",IFERROR(VALUE(SUBSTITUTE(SUBSTITUTE(INDEX('Etsy Import'!$A:$CZ,1287,Settings!$C$25)&amp;"","$",""),",","")),0)/IF(Settings!$B$27="Yes",G1287,1))</f>
        <v/>
      </c>
      <c r="I1287" s="11">
        <f>IF(A1287="","",IFERROR(VALUE(SUBSTITUTE(SUBSTITUTE(INDEX('Etsy Import'!$A:$CZ,1287,Settings!$C$26)&amp;"","$",""),",","")),0)/IF(Settings!$B$27="Yes",G1287,1))</f>
        <v/>
      </c>
      <c r="J1287" s="11">
        <f>IF(A1287="","",F1287+H1287-I1287)</f>
        <v/>
      </c>
      <c r="K1287">
        <f>IF(A1287="","",IFERROR(IF(B1287="",NA(),MATCH(B1287,Products!$B$5:$B$204,0)),IFERROR(MATCH(A1287,Products!$A$5:$A$204,0),"")))</f>
        <v/>
      </c>
      <c r="L1287">
        <f>IF(A1287="","",IF(K1287="","⚠ not in Products",INDEX(Products!$A$5:$A$204,K1287)))</f>
        <v/>
      </c>
      <c r="M1287" s="11">
        <f>IF(A1287="","",J1287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1287+IFERROR(INDEX(Settings!$D$5:$D$9,MATCH("Etsy",Settings!$A$5:$A$9,0)),0)*D1287)</f>
        <v/>
      </c>
      <c r="N1287" s="11">
        <f>IF(A1287="","",IF(K1287="",0,D1287*INDEX(Products!$I$5:$I$204,K1287)))</f>
        <v/>
      </c>
      <c r="O1287" s="11">
        <f>IF(A1287="","",IF(K1287="",0,J1287*INDEX(Products!$H$5:$H$204,K1287)))</f>
        <v/>
      </c>
      <c r="P1287" s="11">
        <f>IF(A1287="","",J1287-M1287-N1287-O1287)</f>
        <v/>
      </c>
    </row>
    <row r="1288">
      <c r="A1288">
        <f>IFERROR(INDEX('Etsy Import'!$A:$CZ,1288,Settings!$C$20)&amp;"","")</f>
        <v/>
      </c>
      <c r="B1288">
        <f>IFERROR(INDEX('Etsy Import'!$A:$CZ,1288,Settings!$C$21)&amp;"","")</f>
        <v/>
      </c>
      <c r="C1288">
        <f>IFERROR(INDEX('Etsy Import'!$A:$CZ,1288,Settings!$C$22)&amp;"","")</f>
        <v/>
      </c>
      <c r="D1288">
        <f>IF(A1288="","",IFERROR(VALUE(SUBSTITUTE(SUBSTITUTE(INDEX('Etsy Import'!$A:$CZ,1288,Settings!$C$23)&amp;"","$",""),",","")),0))</f>
        <v/>
      </c>
      <c r="E1288" s="11">
        <f>IF(A1288="","",IFERROR(VALUE(SUBSTITUTE(SUBSTITUTE(INDEX('Etsy Import'!$A:$CZ,1288,Settings!$C$24)&amp;"","$",""),",","")),0))</f>
        <v/>
      </c>
      <c r="F1288" s="11">
        <f>IF(A1288="","",D1288*E1288)</f>
        <v/>
      </c>
      <c r="G1288">
        <f>IF(A1288="","",IF(C1288="",1,COUNTIF($C$2:$C$1501,C1288)))</f>
        <v/>
      </c>
      <c r="H1288" s="11">
        <f>IF(A1288="","",IFERROR(VALUE(SUBSTITUTE(SUBSTITUTE(INDEX('Etsy Import'!$A:$CZ,1288,Settings!$C$25)&amp;"","$",""),",","")),0)/IF(Settings!$B$27="Yes",G1288,1))</f>
        <v/>
      </c>
      <c r="I1288" s="11">
        <f>IF(A1288="","",IFERROR(VALUE(SUBSTITUTE(SUBSTITUTE(INDEX('Etsy Import'!$A:$CZ,1288,Settings!$C$26)&amp;"","$",""),",","")),0)/IF(Settings!$B$27="Yes",G1288,1))</f>
        <v/>
      </c>
      <c r="J1288" s="11">
        <f>IF(A1288="","",F1288+H1288-I1288)</f>
        <v/>
      </c>
      <c r="K1288">
        <f>IF(A1288="","",IFERROR(IF(B1288="",NA(),MATCH(B1288,Products!$B$5:$B$204,0)),IFERROR(MATCH(A1288,Products!$A$5:$A$204,0),"")))</f>
        <v/>
      </c>
      <c r="L1288">
        <f>IF(A1288="","",IF(K1288="","⚠ not in Products",INDEX(Products!$A$5:$A$204,K1288)))</f>
        <v/>
      </c>
      <c r="M1288" s="11">
        <f>IF(A1288="","",J1288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1288+IFERROR(INDEX(Settings!$D$5:$D$9,MATCH("Etsy",Settings!$A$5:$A$9,0)),0)*D1288)</f>
        <v/>
      </c>
      <c r="N1288" s="11">
        <f>IF(A1288="","",IF(K1288="",0,D1288*INDEX(Products!$I$5:$I$204,K1288)))</f>
        <v/>
      </c>
      <c r="O1288" s="11">
        <f>IF(A1288="","",IF(K1288="",0,J1288*INDEX(Products!$H$5:$H$204,K1288)))</f>
        <v/>
      </c>
      <c r="P1288" s="11">
        <f>IF(A1288="","",J1288-M1288-N1288-O1288)</f>
        <v/>
      </c>
    </row>
    <row r="1289">
      <c r="A1289">
        <f>IFERROR(INDEX('Etsy Import'!$A:$CZ,1289,Settings!$C$20)&amp;"","")</f>
        <v/>
      </c>
      <c r="B1289">
        <f>IFERROR(INDEX('Etsy Import'!$A:$CZ,1289,Settings!$C$21)&amp;"","")</f>
        <v/>
      </c>
      <c r="C1289">
        <f>IFERROR(INDEX('Etsy Import'!$A:$CZ,1289,Settings!$C$22)&amp;"","")</f>
        <v/>
      </c>
      <c r="D1289">
        <f>IF(A1289="","",IFERROR(VALUE(SUBSTITUTE(SUBSTITUTE(INDEX('Etsy Import'!$A:$CZ,1289,Settings!$C$23)&amp;"","$",""),",","")),0))</f>
        <v/>
      </c>
      <c r="E1289" s="11">
        <f>IF(A1289="","",IFERROR(VALUE(SUBSTITUTE(SUBSTITUTE(INDEX('Etsy Import'!$A:$CZ,1289,Settings!$C$24)&amp;"","$",""),",","")),0))</f>
        <v/>
      </c>
      <c r="F1289" s="11">
        <f>IF(A1289="","",D1289*E1289)</f>
        <v/>
      </c>
      <c r="G1289">
        <f>IF(A1289="","",IF(C1289="",1,COUNTIF($C$2:$C$1501,C1289)))</f>
        <v/>
      </c>
      <c r="H1289" s="11">
        <f>IF(A1289="","",IFERROR(VALUE(SUBSTITUTE(SUBSTITUTE(INDEX('Etsy Import'!$A:$CZ,1289,Settings!$C$25)&amp;"","$",""),",","")),0)/IF(Settings!$B$27="Yes",G1289,1))</f>
        <v/>
      </c>
      <c r="I1289" s="11">
        <f>IF(A1289="","",IFERROR(VALUE(SUBSTITUTE(SUBSTITUTE(INDEX('Etsy Import'!$A:$CZ,1289,Settings!$C$26)&amp;"","$",""),",","")),0)/IF(Settings!$B$27="Yes",G1289,1))</f>
        <v/>
      </c>
      <c r="J1289" s="11">
        <f>IF(A1289="","",F1289+H1289-I1289)</f>
        <v/>
      </c>
      <c r="K1289">
        <f>IF(A1289="","",IFERROR(IF(B1289="",NA(),MATCH(B1289,Products!$B$5:$B$204,0)),IFERROR(MATCH(A1289,Products!$A$5:$A$204,0),"")))</f>
        <v/>
      </c>
      <c r="L1289">
        <f>IF(A1289="","",IF(K1289="","⚠ not in Products",INDEX(Products!$A$5:$A$204,K1289)))</f>
        <v/>
      </c>
      <c r="M1289" s="11">
        <f>IF(A1289="","",J1289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1289+IFERROR(INDEX(Settings!$D$5:$D$9,MATCH("Etsy",Settings!$A$5:$A$9,0)),0)*D1289)</f>
        <v/>
      </c>
      <c r="N1289" s="11">
        <f>IF(A1289="","",IF(K1289="",0,D1289*INDEX(Products!$I$5:$I$204,K1289)))</f>
        <v/>
      </c>
      <c r="O1289" s="11">
        <f>IF(A1289="","",IF(K1289="",0,J1289*INDEX(Products!$H$5:$H$204,K1289)))</f>
        <v/>
      </c>
      <c r="P1289" s="11">
        <f>IF(A1289="","",J1289-M1289-N1289-O1289)</f>
        <v/>
      </c>
    </row>
    <row r="1290">
      <c r="A1290">
        <f>IFERROR(INDEX('Etsy Import'!$A:$CZ,1290,Settings!$C$20)&amp;"","")</f>
        <v/>
      </c>
      <c r="B1290">
        <f>IFERROR(INDEX('Etsy Import'!$A:$CZ,1290,Settings!$C$21)&amp;"","")</f>
        <v/>
      </c>
      <c r="C1290">
        <f>IFERROR(INDEX('Etsy Import'!$A:$CZ,1290,Settings!$C$22)&amp;"","")</f>
        <v/>
      </c>
      <c r="D1290">
        <f>IF(A1290="","",IFERROR(VALUE(SUBSTITUTE(SUBSTITUTE(INDEX('Etsy Import'!$A:$CZ,1290,Settings!$C$23)&amp;"","$",""),",","")),0))</f>
        <v/>
      </c>
      <c r="E1290" s="11">
        <f>IF(A1290="","",IFERROR(VALUE(SUBSTITUTE(SUBSTITUTE(INDEX('Etsy Import'!$A:$CZ,1290,Settings!$C$24)&amp;"","$",""),",","")),0))</f>
        <v/>
      </c>
      <c r="F1290" s="11">
        <f>IF(A1290="","",D1290*E1290)</f>
        <v/>
      </c>
      <c r="G1290">
        <f>IF(A1290="","",IF(C1290="",1,COUNTIF($C$2:$C$1501,C1290)))</f>
        <v/>
      </c>
      <c r="H1290" s="11">
        <f>IF(A1290="","",IFERROR(VALUE(SUBSTITUTE(SUBSTITUTE(INDEX('Etsy Import'!$A:$CZ,1290,Settings!$C$25)&amp;"","$",""),",","")),0)/IF(Settings!$B$27="Yes",G1290,1))</f>
        <v/>
      </c>
      <c r="I1290" s="11">
        <f>IF(A1290="","",IFERROR(VALUE(SUBSTITUTE(SUBSTITUTE(INDEX('Etsy Import'!$A:$CZ,1290,Settings!$C$26)&amp;"","$",""),",","")),0)/IF(Settings!$B$27="Yes",G1290,1))</f>
        <v/>
      </c>
      <c r="J1290" s="11">
        <f>IF(A1290="","",F1290+H1290-I1290)</f>
        <v/>
      </c>
      <c r="K1290">
        <f>IF(A1290="","",IFERROR(IF(B1290="",NA(),MATCH(B1290,Products!$B$5:$B$204,0)),IFERROR(MATCH(A1290,Products!$A$5:$A$204,0),"")))</f>
        <v/>
      </c>
      <c r="L1290">
        <f>IF(A1290="","",IF(K1290="","⚠ not in Products",INDEX(Products!$A$5:$A$204,K1290)))</f>
        <v/>
      </c>
      <c r="M1290" s="11">
        <f>IF(A1290="","",J1290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1290+IFERROR(INDEX(Settings!$D$5:$D$9,MATCH("Etsy",Settings!$A$5:$A$9,0)),0)*D1290)</f>
        <v/>
      </c>
      <c r="N1290" s="11">
        <f>IF(A1290="","",IF(K1290="",0,D1290*INDEX(Products!$I$5:$I$204,K1290)))</f>
        <v/>
      </c>
      <c r="O1290" s="11">
        <f>IF(A1290="","",IF(K1290="",0,J1290*INDEX(Products!$H$5:$H$204,K1290)))</f>
        <v/>
      </c>
      <c r="P1290" s="11">
        <f>IF(A1290="","",J1290-M1290-N1290-O1290)</f>
        <v/>
      </c>
    </row>
    <row r="1291">
      <c r="A1291">
        <f>IFERROR(INDEX('Etsy Import'!$A:$CZ,1291,Settings!$C$20)&amp;"","")</f>
        <v/>
      </c>
      <c r="B1291">
        <f>IFERROR(INDEX('Etsy Import'!$A:$CZ,1291,Settings!$C$21)&amp;"","")</f>
        <v/>
      </c>
      <c r="C1291">
        <f>IFERROR(INDEX('Etsy Import'!$A:$CZ,1291,Settings!$C$22)&amp;"","")</f>
        <v/>
      </c>
      <c r="D1291">
        <f>IF(A1291="","",IFERROR(VALUE(SUBSTITUTE(SUBSTITUTE(INDEX('Etsy Import'!$A:$CZ,1291,Settings!$C$23)&amp;"","$",""),",","")),0))</f>
        <v/>
      </c>
      <c r="E1291" s="11">
        <f>IF(A1291="","",IFERROR(VALUE(SUBSTITUTE(SUBSTITUTE(INDEX('Etsy Import'!$A:$CZ,1291,Settings!$C$24)&amp;"","$",""),",","")),0))</f>
        <v/>
      </c>
      <c r="F1291" s="11">
        <f>IF(A1291="","",D1291*E1291)</f>
        <v/>
      </c>
      <c r="G1291">
        <f>IF(A1291="","",IF(C1291="",1,COUNTIF($C$2:$C$1501,C1291)))</f>
        <v/>
      </c>
      <c r="H1291" s="11">
        <f>IF(A1291="","",IFERROR(VALUE(SUBSTITUTE(SUBSTITUTE(INDEX('Etsy Import'!$A:$CZ,1291,Settings!$C$25)&amp;"","$",""),",","")),0)/IF(Settings!$B$27="Yes",G1291,1))</f>
        <v/>
      </c>
      <c r="I1291" s="11">
        <f>IF(A1291="","",IFERROR(VALUE(SUBSTITUTE(SUBSTITUTE(INDEX('Etsy Import'!$A:$CZ,1291,Settings!$C$26)&amp;"","$",""),",","")),0)/IF(Settings!$B$27="Yes",G1291,1))</f>
        <v/>
      </c>
      <c r="J1291" s="11">
        <f>IF(A1291="","",F1291+H1291-I1291)</f>
        <v/>
      </c>
      <c r="K1291">
        <f>IF(A1291="","",IFERROR(IF(B1291="",NA(),MATCH(B1291,Products!$B$5:$B$204,0)),IFERROR(MATCH(A1291,Products!$A$5:$A$204,0),"")))</f>
        <v/>
      </c>
      <c r="L1291">
        <f>IF(A1291="","",IF(K1291="","⚠ not in Products",INDEX(Products!$A$5:$A$204,K1291)))</f>
        <v/>
      </c>
      <c r="M1291" s="11">
        <f>IF(A1291="","",J1291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1291+IFERROR(INDEX(Settings!$D$5:$D$9,MATCH("Etsy",Settings!$A$5:$A$9,0)),0)*D1291)</f>
        <v/>
      </c>
      <c r="N1291" s="11">
        <f>IF(A1291="","",IF(K1291="",0,D1291*INDEX(Products!$I$5:$I$204,K1291)))</f>
        <v/>
      </c>
      <c r="O1291" s="11">
        <f>IF(A1291="","",IF(K1291="",0,J1291*INDEX(Products!$H$5:$H$204,K1291)))</f>
        <v/>
      </c>
      <c r="P1291" s="11">
        <f>IF(A1291="","",J1291-M1291-N1291-O1291)</f>
        <v/>
      </c>
    </row>
    <row r="1292">
      <c r="A1292">
        <f>IFERROR(INDEX('Etsy Import'!$A:$CZ,1292,Settings!$C$20)&amp;"","")</f>
        <v/>
      </c>
      <c r="B1292">
        <f>IFERROR(INDEX('Etsy Import'!$A:$CZ,1292,Settings!$C$21)&amp;"","")</f>
        <v/>
      </c>
      <c r="C1292">
        <f>IFERROR(INDEX('Etsy Import'!$A:$CZ,1292,Settings!$C$22)&amp;"","")</f>
        <v/>
      </c>
      <c r="D1292">
        <f>IF(A1292="","",IFERROR(VALUE(SUBSTITUTE(SUBSTITUTE(INDEX('Etsy Import'!$A:$CZ,1292,Settings!$C$23)&amp;"","$",""),",","")),0))</f>
        <v/>
      </c>
      <c r="E1292" s="11">
        <f>IF(A1292="","",IFERROR(VALUE(SUBSTITUTE(SUBSTITUTE(INDEX('Etsy Import'!$A:$CZ,1292,Settings!$C$24)&amp;"","$",""),",","")),0))</f>
        <v/>
      </c>
      <c r="F1292" s="11">
        <f>IF(A1292="","",D1292*E1292)</f>
        <v/>
      </c>
      <c r="G1292">
        <f>IF(A1292="","",IF(C1292="",1,COUNTIF($C$2:$C$1501,C1292)))</f>
        <v/>
      </c>
      <c r="H1292" s="11">
        <f>IF(A1292="","",IFERROR(VALUE(SUBSTITUTE(SUBSTITUTE(INDEX('Etsy Import'!$A:$CZ,1292,Settings!$C$25)&amp;"","$",""),",","")),0)/IF(Settings!$B$27="Yes",G1292,1))</f>
        <v/>
      </c>
      <c r="I1292" s="11">
        <f>IF(A1292="","",IFERROR(VALUE(SUBSTITUTE(SUBSTITUTE(INDEX('Etsy Import'!$A:$CZ,1292,Settings!$C$26)&amp;"","$",""),",","")),0)/IF(Settings!$B$27="Yes",G1292,1))</f>
        <v/>
      </c>
      <c r="J1292" s="11">
        <f>IF(A1292="","",F1292+H1292-I1292)</f>
        <v/>
      </c>
      <c r="K1292">
        <f>IF(A1292="","",IFERROR(IF(B1292="",NA(),MATCH(B1292,Products!$B$5:$B$204,0)),IFERROR(MATCH(A1292,Products!$A$5:$A$204,0),"")))</f>
        <v/>
      </c>
      <c r="L1292">
        <f>IF(A1292="","",IF(K1292="","⚠ not in Products",INDEX(Products!$A$5:$A$204,K1292)))</f>
        <v/>
      </c>
      <c r="M1292" s="11">
        <f>IF(A1292="","",J1292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1292+IFERROR(INDEX(Settings!$D$5:$D$9,MATCH("Etsy",Settings!$A$5:$A$9,0)),0)*D1292)</f>
        <v/>
      </c>
      <c r="N1292" s="11">
        <f>IF(A1292="","",IF(K1292="",0,D1292*INDEX(Products!$I$5:$I$204,K1292)))</f>
        <v/>
      </c>
      <c r="O1292" s="11">
        <f>IF(A1292="","",IF(K1292="",0,J1292*INDEX(Products!$H$5:$H$204,K1292)))</f>
        <v/>
      </c>
      <c r="P1292" s="11">
        <f>IF(A1292="","",J1292-M1292-N1292-O1292)</f>
        <v/>
      </c>
    </row>
    <row r="1293">
      <c r="A1293">
        <f>IFERROR(INDEX('Etsy Import'!$A:$CZ,1293,Settings!$C$20)&amp;"","")</f>
        <v/>
      </c>
      <c r="B1293">
        <f>IFERROR(INDEX('Etsy Import'!$A:$CZ,1293,Settings!$C$21)&amp;"","")</f>
        <v/>
      </c>
      <c r="C1293">
        <f>IFERROR(INDEX('Etsy Import'!$A:$CZ,1293,Settings!$C$22)&amp;"","")</f>
        <v/>
      </c>
      <c r="D1293">
        <f>IF(A1293="","",IFERROR(VALUE(SUBSTITUTE(SUBSTITUTE(INDEX('Etsy Import'!$A:$CZ,1293,Settings!$C$23)&amp;"","$",""),",","")),0))</f>
        <v/>
      </c>
      <c r="E1293" s="11">
        <f>IF(A1293="","",IFERROR(VALUE(SUBSTITUTE(SUBSTITUTE(INDEX('Etsy Import'!$A:$CZ,1293,Settings!$C$24)&amp;"","$",""),",","")),0))</f>
        <v/>
      </c>
      <c r="F1293" s="11">
        <f>IF(A1293="","",D1293*E1293)</f>
        <v/>
      </c>
      <c r="G1293">
        <f>IF(A1293="","",IF(C1293="",1,COUNTIF($C$2:$C$1501,C1293)))</f>
        <v/>
      </c>
      <c r="H1293" s="11">
        <f>IF(A1293="","",IFERROR(VALUE(SUBSTITUTE(SUBSTITUTE(INDEX('Etsy Import'!$A:$CZ,1293,Settings!$C$25)&amp;"","$",""),",","")),0)/IF(Settings!$B$27="Yes",G1293,1))</f>
        <v/>
      </c>
      <c r="I1293" s="11">
        <f>IF(A1293="","",IFERROR(VALUE(SUBSTITUTE(SUBSTITUTE(INDEX('Etsy Import'!$A:$CZ,1293,Settings!$C$26)&amp;"","$",""),",","")),0)/IF(Settings!$B$27="Yes",G1293,1))</f>
        <v/>
      </c>
      <c r="J1293" s="11">
        <f>IF(A1293="","",F1293+H1293-I1293)</f>
        <v/>
      </c>
      <c r="K1293">
        <f>IF(A1293="","",IFERROR(IF(B1293="",NA(),MATCH(B1293,Products!$B$5:$B$204,0)),IFERROR(MATCH(A1293,Products!$A$5:$A$204,0),"")))</f>
        <v/>
      </c>
      <c r="L1293">
        <f>IF(A1293="","",IF(K1293="","⚠ not in Products",INDEX(Products!$A$5:$A$204,K1293)))</f>
        <v/>
      </c>
      <c r="M1293" s="11">
        <f>IF(A1293="","",J1293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1293+IFERROR(INDEX(Settings!$D$5:$D$9,MATCH("Etsy",Settings!$A$5:$A$9,0)),0)*D1293)</f>
        <v/>
      </c>
      <c r="N1293" s="11">
        <f>IF(A1293="","",IF(K1293="",0,D1293*INDEX(Products!$I$5:$I$204,K1293)))</f>
        <v/>
      </c>
      <c r="O1293" s="11">
        <f>IF(A1293="","",IF(K1293="",0,J1293*INDEX(Products!$H$5:$H$204,K1293)))</f>
        <v/>
      </c>
      <c r="P1293" s="11">
        <f>IF(A1293="","",J1293-M1293-N1293-O1293)</f>
        <v/>
      </c>
    </row>
    <row r="1294">
      <c r="A1294">
        <f>IFERROR(INDEX('Etsy Import'!$A:$CZ,1294,Settings!$C$20)&amp;"","")</f>
        <v/>
      </c>
      <c r="B1294">
        <f>IFERROR(INDEX('Etsy Import'!$A:$CZ,1294,Settings!$C$21)&amp;"","")</f>
        <v/>
      </c>
      <c r="C1294">
        <f>IFERROR(INDEX('Etsy Import'!$A:$CZ,1294,Settings!$C$22)&amp;"","")</f>
        <v/>
      </c>
      <c r="D1294">
        <f>IF(A1294="","",IFERROR(VALUE(SUBSTITUTE(SUBSTITUTE(INDEX('Etsy Import'!$A:$CZ,1294,Settings!$C$23)&amp;"","$",""),",","")),0))</f>
        <v/>
      </c>
      <c r="E1294" s="11">
        <f>IF(A1294="","",IFERROR(VALUE(SUBSTITUTE(SUBSTITUTE(INDEX('Etsy Import'!$A:$CZ,1294,Settings!$C$24)&amp;"","$",""),",","")),0))</f>
        <v/>
      </c>
      <c r="F1294" s="11">
        <f>IF(A1294="","",D1294*E1294)</f>
        <v/>
      </c>
      <c r="G1294">
        <f>IF(A1294="","",IF(C1294="",1,COUNTIF($C$2:$C$1501,C1294)))</f>
        <v/>
      </c>
      <c r="H1294" s="11">
        <f>IF(A1294="","",IFERROR(VALUE(SUBSTITUTE(SUBSTITUTE(INDEX('Etsy Import'!$A:$CZ,1294,Settings!$C$25)&amp;"","$",""),",","")),0)/IF(Settings!$B$27="Yes",G1294,1))</f>
        <v/>
      </c>
      <c r="I1294" s="11">
        <f>IF(A1294="","",IFERROR(VALUE(SUBSTITUTE(SUBSTITUTE(INDEX('Etsy Import'!$A:$CZ,1294,Settings!$C$26)&amp;"","$",""),",","")),0)/IF(Settings!$B$27="Yes",G1294,1))</f>
        <v/>
      </c>
      <c r="J1294" s="11">
        <f>IF(A1294="","",F1294+H1294-I1294)</f>
        <v/>
      </c>
      <c r="K1294">
        <f>IF(A1294="","",IFERROR(IF(B1294="",NA(),MATCH(B1294,Products!$B$5:$B$204,0)),IFERROR(MATCH(A1294,Products!$A$5:$A$204,0),"")))</f>
        <v/>
      </c>
      <c r="L1294">
        <f>IF(A1294="","",IF(K1294="","⚠ not in Products",INDEX(Products!$A$5:$A$204,K1294)))</f>
        <v/>
      </c>
      <c r="M1294" s="11">
        <f>IF(A1294="","",J1294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1294+IFERROR(INDEX(Settings!$D$5:$D$9,MATCH("Etsy",Settings!$A$5:$A$9,0)),0)*D1294)</f>
        <v/>
      </c>
      <c r="N1294" s="11">
        <f>IF(A1294="","",IF(K1294="",0,D1294*INDEX(Products!$I$5:$I$204,K1294)))</f>
        <v/>
      </c>
      <c r="O1294" s="11">
        <f>IF(A1294="","",IF(K1294="",0,J1294*INDEX(Products!$H$5:$H$204,K1294)))</f>
        <v/>
      </c>
      <c r="P1294" s="11">
        <f>IF(A1294="","",J1294-M1294-N1294-O1294)</f>
        <v/>
      </c>
    </row>
    <row r="1295">
      <c r="A1295">
        <f>IFERROR(INDEX('Etsy Import'!$A:$CZ,1295,Settings!$C$20)&amp;"","")</f>
        <v/>
      </c>
      <c r="B1295">
        <f>IFERROR(INDEX('Etsy Import'!$A:$CZ,1295,Settings!$C$21)&amp;"","")</f>
        <v/>
      </c>
      <c r="C1295">
        <f>IFERROR(INDEX('Etsy Import'!$A:$CZ,1295,Settings!$C$22)&amp;"","")</f>
        <v/>
      </c>
      <c r="D1295">
        <f>IF(A1295="","",IFERROR(VALUE(SUBSTITUTE(SUBSTITUTE(INDEX('Etsy Import'!$A:$CZ,1295,Settings!$C$23)&amp;"","$",""),",","")),0))</f>
        <v/>
      </c>
      <c r="E1295" s="11">
        <f>IF(A1295="","",IFERROR(VALUE(SUBSTITUTE(SUBSTITUTE(INDEX('Etsy Import'!$A:$CZ,1295,Settings!$C$24)&amp;"","$",""),",","")),0))</f>
        <v/>
      </c>
      <c r="F1295" s="11">
        <f>IF(A1295="","",D1295*E1295)</f>
        <v/>
      </c>
      <c r="G1295">
        <f>IF(A1295="","",IF(C1295="",1,COUNTIF($C$2:$C$1501,C1295)))</f>
        <v/>
      </c>
      <c r="H1295" s="11">
        <f>IF(A1295="","",IFERROR(VALUE(SUBSTITUTE(SUBSTITUTE(INDEX('Etsy Import'!$A:$CZ,1295,Settings!$C$25)&amp;"","$",""),",","")),0)/IF(Settings!$B$27="Yes",G1295,1))</f>
        <v/>
      </c>
      <c r="I1295" s="11">
        <f>IF(A1295="","",IFERROR(VALUE(SUBSTITUTE(SUBSTITUTE(INDEX('Etsy Import'!$A:$CZ,1295,Settings!$C$26)&amp;"","$",""),",","")),0)/IF(Settings!$B$27="Yes",G1295,1))</f>
        <v/>
      </c>
      <c r="J1295" s="11">
        <f>IF(A1295="","",F1295+H1295-I1295)</f>
        <v/>
      </c>
      <c r="K1295">
        <f>IF(A1295="","",IFERROR(IF(B1295="",NA(),MATCH(B1295,Products!$B$5:$B$204,0)),IFERROR(MATCH(A1295,Products!$A$5:$A$204,0),"")))</f>
        <v/>
      </c>
      <c r="L1295">
        <f>IF(A1295="","",IF(K1295="","⚠ not in Products",INDEX(Products!$A$5:$A$204,K1295)))</f>
        <v/>
      </c>
      <c r="M1295" s="11">
        <f>IF(A1295="","",J1295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1295+IFERROR(INDEX(Settings!$D$5:$D$9,MATCH("Etsy",Settings!$A$5:$A$9,0)),0)*D1295)</f>
        <v/>
      </c>
      <c r="N1295" s="11">
        <f>IF(A1295="","",IF(K1295="",0,D1295*INDEX(Products!$I$5:$I$204,K1295)))</f>
        <v/>
      </c>
      <c r="O1295" s="11">
        <f>IF(A1295="","",IF(K1295="",0,J1295*INDEX(Products!$H$5:$H$204,K1295)))</f>
        <v/>
      </c>
      <c r="P1295" s="11">
        <f>IF(A1295="","",J1295-M1295-N1295-O1295)</f>
        <v/>
      </c>
    </row>
    <row r="1296">
      <c r="A1296">
        <f>IFERROR(INDEX('Etsy Import'!$A:$CZ,1296,Settings!$C$20)&amp;"","")</f>
        <v/>
      </c>
      <c r="B1296">
        <f>IFERROR(INDEX('Etsy Import'!$A:$CZ,1296,Settings!$C$21)&amp;"","")</f>
        <v/>
      </c>
      <c r="C1296">
        <f>IFERROR(INDEX('Etsy Import'!$A:$CZ,1296,Settings!$C$22)&amp;"","")</f>
        <v/>
      </c>
      <c r="D1296">
        <f>IF(A1296="","",IFERROR(VALUE(SUBSTITUTE(SUBSTITUTE(INDEX('Etsy Import'!$A:$CZ,1296,Settings!$C$23)&amp;"","$",""),",","")),0))</f>
        <v/>
      </c>
      <c r="E1296" s="11">
        <f>IF(A1296="","",IFERROR(VALUE(SUBSTITUTE(SUBSTITUTE(INDEX('Etsy Import'!$A:$CZ,1296,Settings!$C$24)&amp;"","$",""),",","")),0))</f>
        <v/>
      </c>
      <c r="F1296" s="11">
        <f>IF(A1296="","",D1296*E1296)</f>
        <v/>
      </c>
      <c r="G1296">
        <f>IF(A1296="","",IF(C1296="",1,COUNTIF($C$2:$C$1501,C1296)))</f>
        <v/>
      </c>
      <c r="H1296" s="11">
        <f>IF(A1296="","",IFERROR(VALUE(SUBSTITUTE(SUBSTITUTE(INDEX('Etsy Import'!$A:$CZ,1296,Settings!$C$25)&amp;"","$",""),",","")),0)/IF(Settings!$B$27="Yes",G1296,1))</f>
        <v/>
      </c>
      <c r="I1296" s="11">
        <f>IF(A1296="","",IFERROR(VALUE(SUBSTITUTE(SUBSTITUTE(INDEX('Etsy Import'!$A:$CZ,1296,Settings!$C$26)&amp;"","$",""),",","")),0)/IF(Settings!$B$27="Yes",G1296,1))</f>
        <v/>
      </c>
      <c r="J1296" s="11">
        <f>IF(A1296="","",F1296+H1296-I1296)</f>
        <v/>
      </c>
      <c r="K1296">
        <f>IF(A1296="","",IFERROR(IF(B1296="",NA(),MATCH(B1296,Products!$B$5:$B$204,0)),IFERROR(MATCH(A1296,Products!$A$5:$A$204,0),"")))</f>
        <v/>
      </c>
      <c r="L1296">
        <f>IF(A1296="","",IF(K1296="","⚠ not in Products",INDEX(Products!$A$5:$A$204,K1296)))</f>
        <v/>
      </c>
      <c r="M1296" s="11">
        <f>IF(A1296="","",J1296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1296+IFERROR(INDEX(Settings!$D$5:$D$9,MATCH("Etsy",Settings!$A$5:$A$9,0)),0)*D1296)</f>
        <v/>
      </c>
      <c r="N1296" s="11">
        <f>IF(A1296="","",IF(K1296="",0,D1296*INDEX(Products!$I$5:$I$204,K1296)))</f>
        <v/>
      </c>
      <c r="O1296" s="11">
        <f>IF(A1296="","",IF(K1296="",0,J1296*INDEX(Products!$H$5:$H$204,K1296)))</f>
        <v/>
      </c>
      <c r="P1296" s="11">
        <f>IF(A1296="","",J1296-M1296-N1296-O1296)</f>
        <v/>
      </c>
    </row>
    <row r="1297">
      <c r="A1297">
        <f>IFERROR(INDEX('Etsy Import'!$A:$CZ,1297,Settings!$C$20)&amp;"","")</f>
        <v/>
      </c>
      <c r="B1297">
        <f>IFERROR(INDEX('Etsy Import'!$A:$CZ,1297,Settings!$C$21)&amp;"","")</f>
        <v/>
      </c>
      <c r="C1297">
        <f>IFERROR(INDEX('Etsy Import'!$A:$CZ,1297,Settings!$C$22)&amp;"","")</f>
        <v/>
      </c>
      <c r="D1297">
        <f>IF(A1297="","",IFERROR(VALUE(SUBSTITUTE(SUBSTITUTE(INDEX('Etsy Import'!$A:$CZ,1297,Settings!$C$23)&amp;"","$",""),",","")),0))</f>
        <v/>
      </c>
      <c r="E1297" s="11">
        <f>IF(A1297="","",IFERROR(VALUE(SUBSTITUTE(SUBSTITUTE(INDEX('Etsy Import'!$A:$CZ,1297,Settings!$C$24)&amp;"","$",""),",","")),0))</f>
        <v/>
      </c>
      <c r="F1297" s="11">
        <f>IF(A1297="","",D1297*E1297)</f>
        <v/>
      </c>
      <c r="G1297">
        <f>IF(A1297="","",IF(C1297="",1,COUNTIF($C$2:$C$1501,C1297)))</f>
        <v/>
      </c>
      <c r="H1297" s="11">
        <f>IF(A1297="","",IFERROR(VALUE(SUBSTITUTE(SUBSTITUTE(INDEX('Etsy Import'!$A:$CZ,1297,Settings!$C$25)&amp;"","$",""),",","")),0)/IF(Settings!$B$27="Yes",G1297,1))</f>
        <v/>
      </c>
      <c r="I1297" s="11">
        <f>IF(A1297="","",IFERROR(VALUE(SUBSTITUTE(SUBSTITUTE(INDEX('Etsy Import'!$A:$CZ,1297,Settings!$C$26)&amp;"","$",""),",","")),0)/IF(Settings!$B$27="Yes",G1297,1))</f>
        <v/>
      </c>
      <c r="J1297" s="11">
        <f>IF(A1297="","",F1297+H1297-I1297)</f>
        <v/>
      </c>
      <c r="K1297">
        <f>IF(A1297="","",IFERROR(IF(B1297="",NA(),MATCH(B1297,Products!$B$5:$B$204,0)),IFERROR(MATCH(A1297,Products!$A$5:$A$204,0),"")))</f>
        <v/>
      </c>
      <c r="L1297">
        <f>IF(A1297="","",IF(K1297="","⚠ not in Products",INDEX(Products!$A$5:$A$204,K1297)))</f>
        <v/>
      </c>
      <c r="M1297" s="11">
        <f>IF(A1297="","",J1297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1297+IFERROR(INDEX(Settings!$D$5:$D$9,MATCH("Etsy",Settings!$A$5:$A$9,0)),0)*D1297)</f>
        <v/>
      </c>
      <c r="N1297" s="11">
        <f>IF(A1297="","",IF(K1297="",0,D1297*INDEX(Products!$I$5:$I$204,K1297)))</f>
        <v/>
      </c>
      <c r="O1297" s="11">
        <f>IF(A1297="","",IF(K1297="",0,J1297*INDEX(Products!$H$5:$H$204,K1297)))</f>
        <v/>
      </c>
      <c r="P1297" s="11">
        <f>IF(A1297="","",J1297-M1297-N1297-O1297)</f>
        <v/>
      </c>
    </row>
    <row r="1298">
      <c r="A1298">
        <f>IFERROR(INDEX('Etsy Import'!$A:$CZ,1298,Settings!$C$20)&amp;"","")</f>
        <v/>
      </c>
      <c r="B1298">
        <f>IFERROR(INDEX('Etsy Import'!$A:$CZ,1298,Settings!$C$21)&amp;"","")</f>
        <v/>
      </c>
      <c r="C1298">
        <f>IFERROR(INDEX('Etsy Import'!$A:$CZ,1298,Settings!$C$22)&amp;"","")</f>
        <v/>
      </c>
      <c r="D1298">
        <f>IF(A1298="","",IFERROR(VALUE(SUBSTITUTE(SUBSTITUTE(INDEX('Etsy Import'!$A:$CZ,1298,Settings!$C$23)&amp;"","$",""),",","")),0))</f>
        <v/>
      </c>
      <c r="E1298" s="11">
        <f>IF(A1298="","",IFERROR(VALUE(SUBSTITUTE(SUBSTITUTE(INDEX('Etsy Import'!$A:$CZ,1298,Settings!$C$24)&amp;"","$",""),",","")),0))</f>
        <v/>
      </c>
      <c r="F1298" s="11">
        <f>IF(A1298="","",D1298*E1298)</f>
        <v/>
      </c>
      <c r="G1298">
        <f>IF(A1298="","",IF(C1298="",1,COUNTIF($C$2:$C$1501,C1298)))</f>
        <v/>
      </c>
      <c r="H1298" s="11">
        <f>IF(A1298="","",IFERROR(VALUE(SUBSTITUTE(SUBSTITUTE(INDEX('Etsy Import'!$A:$CZ,1298,Settings!$C$25)&amp;"","$",""),",","")),0)/IF(Settings!$B$27="Yes",G1298,1))</f>
        <v/>
      </c>
      <c r="I1298" s="11">
        <f>IF(A1298="","",IFERROR(VALUE(SUBSTITUTE(SUBSTITUTE(INDEX('Etsy Import'!$A:$CZ,1298,Settings!$C$26)&amp;"","$",""),",","")),0)/IF(Settings!$B$27="Yes",G1298,1))</f>
        <v/>
      </c>
      <c r="J1298" s="11">
        <f>IF(A1298="","",F1298+H1298-I1298)</f>
        <v/>
      </c>
      <c r="K1298">
        <f>IF(A1298="","",IFERROR(IF(B1298="",NA(),MATCH(B1298,Products!$B$5:$B$204,0)),IFERROR(MATCH(A1298,Products!$A$5:$A$204,0),"")))</f>
        <v/>
      </c>
      <c r="L1298">
        <f>IF(A1298="","",IF(K1298="","⚠ not in Products",INDEX(Products!$A$5:$A$204,K1298)))</f>
        <v/>
      </c>
      <c r="M1298" s="11">
        <f>IF(A1298="","",J1298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1298+IFERROR(INDEX(Settings!$D$5:$D$9,MATCH("Etsy",Settings!$A$5:$A$9,0)),0)*D1298)</f>
        <v/>
      </c>
      <c r="N1298" s="11">
        <f>IF(A1298="","",IF(K1298="",0,D1298*INDEX(Products!$I$5:$I$204,K1298)))</f>
        <v/>
      </c>
      <c r="O1298" s="11">
        <f>IF(A1298="","",IF(K1298="",0,J1298*INDEX(Products!$H$5:$H$204,K1298)))</f>
        <v/>
      </c>
      <c r="P1298" s="11">
        <f>IF(A1298="","",J1298-M1298-N1298-O1298)</f>
        <v/>
      </c>
    </row>
    <row r="1299">
      <c r="A1299">
        <f>IFERROR(INDEX('Etsy Import'!$A:$CZ,1299,Settings!$C$20)&amp;"","")</f>
        <v/>
      </c>
      <c r="B1299">
        <f>IFERROR(INDEX('Etsy Import'!$A:$CZ,1299,Settings!$C$21)&amp;"","")</f>
        <v/>
      </c>
      <c r="C1299">
        <f>IFERROR(INDEX('Etsy Import'!$A:$CZ,1299,Settings!$C$22)&amp;"","")</f>
        <v/>
      </c>
      <c r="D1299">
        <f>IF(A1299="","",IFERROR(VALUE(SUBSTITUTE(SUBSTITUTE(INDEX('Etsy Import'!$A:$CZ,1299,Settings!$C$23)&amp;"","$",""),",","")),0))</f>
        <v/>
      </c>
      <c r="E1299" s="11">
        <f>IF(A1299="","",IFERROR(VALUE(SUBSTITUTE(SUBSTITUTE(INDEX('Etsy Import'!$A:$CZ,1299,Settings!$C$24)&amp;"","$",""),",","")),0))</f>
        <v/>
      </c>
      <c r="F1299" s="11">
        <f>IF(A1299="","",D1299*E1299)</f>
        <v/>
      </c>
      <c r="G1299">
        <f>IF(A1299="","",IF(C1299="",1,COUNTIF($C$2:$C$1501,C1299)))</f>
        <v/>
      </c>
      <c r="H1299" s="11">
        <f>IF(A1299="","",IFERROR(VALUE(SUBSTITUTE(SUBSTITUTE(INDEX('Etsy Import'!$A:$CZ,1299,Settings!$C$25)&amp;"","$",""),",","")),0)/IF(Settings!$B$27="Yes",G1299,1))</f>
        <v/>
      </c>
      <c r="I1299" s="11">
        <f>IF(A1299="","",IFERROR(VALUE(SUBSTITUTE(SUBSTITUTE(INDEX('Etsy Import'!$A:$CZ,1299,Settings!$C$26)&amp;"","$",""),",","")),0)/IF(Settings!$B$27="Yes",G1299,1))</f>
        <v/>
      </c>
      <c r="J1299" s="11">
        <f>IF(A1299="","",F1299+H1299-I1299)</f>
        <v/>
      </c>
      <c r="K1299">
        <f>IF(A1299="","",IFERROR(IF(B1299="",NA(),MATCH(B1299,Products!$B$5:$B$204,0)),IFERROR(MATCH(A1299,Products!$A$5:$A$204,0),"")))</f>
        <v/>
      </c>
      <c r="L1299">
        <f>IF(A1299="","",IF(K1299="","⚠ not in Products",INDEX(Products!$A$5:$A$204,K1299)))</f>
        <v/>
      </c>
      <c r="M1299" s="11">
        <f>IF(A1299="","",J1299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1299+IFERROR(INDEX(Settings!$D$5:$D$9,MATCH("Etsy",Settings!$A$5:$A$9,0)),0)*D1299)</f>
        <v/>
      </c>
      <c r="N1299" s="11">
        <f>IF(A1299="","",IF(K1299="",0,D1299*INDEX(Products!$I$5:$I$204,K1299)))</f>
        <v/>
      </c>
      <c r="O1299" s="11">
        <f>IF(A1299="","",IF(K1299="",0,J1299*INDEX(Products!$H$5:$H$204,K1299)))</f>
        <v/>
      </c>
      <c r="P1299" s="11">
        <f>IF(A1299="","",J1299-M1299-N1299-O1299)</f>
        <v/>
      </c>
    </row>
    <row r="1300">
      <c r="A1300">
        <f>IFERROR(INDEX('Etsy Import'!$A:$CZ,1300,Settings!$C$20)&amp;"","")</f>
        <v/>
      </c>
      <c r="B1300">
        <f>IFERROR(INDEX('Etsy Import'!$A:$CZ,1300,Settings!$C$21)&amp;"","")</f>
        <v/>
      </c>
      <c r="C1300">
        <f>IFERROR(INDEX('Etsy Import'!$A:$CZ,1300,Settings!$C$22)&amp;"","")</f>
        <v/>
      </c>
      <c r="D1300">
        <f>IF(A1300="","",IFERROR(VALUE(SUBSTITUTE(SUBSTITUTE(INDEX('Etsy Import'!$A:$CZ,1300,Settings!$C$23)&amp;"","$",""),",","")),0))</f>
        <v/>
      </c>
      <c r="E1300" s="11">
        <f>IF(A1300="","",IFERROR(VALUE(SUBSTITUTE(SUBSTITUTE(INDEX('Etsy Import'!$A:$CZ,1300,Settings!$C$24)&amp;"","$",""),",","")),0))</f>
        <v/>
      </c>
      <c r="F1300" s="11">
        <f>IF(A1300="","",D1300*E1300)</f>
        <v/>
      </c>
      <c r="G1300">
        <f>IF(A1300="","",IF(C1300="",1,COUNTIF($C$2:$C$1501,C1300)))</f>
        <v/>
      </c>
      <c r="H1300" s="11">
        <f>IF(A1300="","",IFERROR(VALUE(SUBSTITUTE(SUBSTITUTE(INDEX('Etsy Import'!$A:$CZ,1300,Settings!$C$25)&amp;"","$",""),",","")),0)/IF(Settings!$B$27="Yes",G1300,1))</f>
        <v/>
      </c>
      <c r="I1300" s="11">
        <f>IF(A1300="","",IFERROR(VALUE(SUBSTITUTE(SUBSTITUTE(INDEX('Etsy Import'!$A:$CZ,1300,Settings!$C$26)&amp;"","$",""),",","")),0)/IF(Settings!$B$27="Yes",G1300,1))</f>
        <v/>
      </c>
      <c r="J1300" s="11">
        <f>IF(A1300="","",F1300+H1300-I1300)</f>
        <v/>
      </c>
      <c r="K1300">
        <f>IF(A1300="","",IFERROR(IF(B1300="",NA(),MATCH(B1300,Products!$B$5:$B$204,0)),IFERROR(MATCH(A1300,Products!$A$5:$A$204,0),"")))</f>
        <v/>
      </c>
      <c r="L1300">
        <f>IF(A1300="","",IF(K1300="","⚠ not in Products",INDEX(Products!$A$5:$A$204,K1300)))</f>
        <v/>
      </c>
      <c r="M1300" s="11">
        <f>IF(A1300="","",J1300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1300+IFERROR(INDEX(Settings!$D$5:$D$9,MATCH("Etsy",Settings!$A$5:$A$9,0)),0)*D1300)</f>
        <v/>
      </c>
      <c r="N1300" s="11">
        <f>IF(A1300="","",IF(K1300="",0,D1300*INDEX(Products!$I$5:$I$204,K1300)))</f>
        <v/>
      </c>
      <c r="O1300" s="11">
        <f>IF(A1300="","",IF(K1300="",0,J1300*INDEX(Products!$H$5:$H$204,K1300)))</f>
        <v/>
      </c>
      <c r="P1300" s="11">
        <f>IF(A1300="","",J1300-M1300-N1300-O1300)</f>
        <v/>
      </c>
    </row>
    <row r="1301">
      <c r="A1301">
        <f>IFERROR(INDEX('Etsy Import'!$A:$CZ,1301,Settings!$C$20)&amp;"","")</f>
        <v/>
      </c>
      <c r="B1301">
        <f>IFERROR(INDEX('Etsy Import'!$A:$CZ,1301,Settings!$C$21)&amp;"","")</f>
        <v/>
      </c>
      <c r="C1301">
        <f>IFERROR(INDEX('Etsy Import'!$A:$CZ,1301,Settings!$C$22)&amp;"","")</f>
        <v/>
      </c>
      <c r="D1301">
        <f>IF(A1301="","",IFERROR(VALUE(SUBSTITUTE(SUBSTITUTE(INDEX('Etsy Import'!$A:$CZ,1301,Settings!$C$23)&amp;"","$",""),",","")),0))</f>
        <v/>
      </c>
      <c r="E1301" s="11">
        <f>IF(A1301="","",IFERROR(VALUE(SUBSTITUTE(SUBSTITUTE(INDEX('Etsy Import'!$A:$CZ,1301,Settings!$C$24)&amp;"","$",""),",","")),0))</f>
        <v/>
      </c>
      <c r="F1301" s="11">
        <f>IF(A1301="","",D1301*E1301)</f>
        <v/>
      </c>
      <c r="G1301">
        <f>IF(A1301="","",IF(C1301="",1,COUNTIF($C$2:$C$1501,C1301)))</f>
        <v/>
      </c>
      <c r="H1301" s="11">
        <f>IF(A1301="","",IFERROR(VALUE(SUBSTITUTE(SUBSTITUTE(INDEX('Etsy Import'!$A:$CZ,1301,Settings!$C$25)&amp;"","$",""),",","")),0)/IF(Settings!$B$27="Yes",G1301,1))</f>
        <v/>
      </c>
      <c r="I1301" s="11">
        <f>IF(A1301="","",IFERROR(VALUE(SUBSTITUTE(SUBSTITUTE(INDEX('Etsy Import'!$A:$CZ,1301,Settings!$C$26)&amp;"","$",""),",","")),0)/IF(Settings!$B$27="Yes",G1301,1))</f>
        <v/>
      </c>
      <c r="J1301" s="11">
        <f>IF(A1301="","",F1301+H1301-I1301)</f>
        <v/>
      </c>
      <c r="K1301">
        <f>IF(A1301="","",IFERROR(IF(B1301="",NA(),MATCH(B1301,Products!$B$5:$B$204,0)),IFERROR(MATCH(A1301,Products!$A$5:$A$204,0),"")))</f>
        <v/>
      </c>
      <c r="L1301">
        <f>IF(A1301="","",IF(K1301="","⚠ not in Products",INDEX(Products!$A$5:$A$204,K1301)))</f>
        <v/>
      </c>
      <c r="M1301" s="11">
        <f>IF(A1301="","",J1301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1301+IFERROR(INDEX(Settings!$D$5:$D$9,MATCH("Etsy",Settings!$A$5:$A$9,0)),0)*D1301)</f>
        <v/>
      </c>
      <c r="N1301" s="11">
        <f>IF(A1301="","",IF(K1301="",0,D1301*INDEX(Products!$I$5:$I$204,K1301)))</f>
        <v/>
      </c>
      <c r="O1301" s="11">
        <f>IF(A1301="","",IF(K1301="",0,J1301*INDEX(Products!$H$5:$H$204,K1301)))</f>
        <v/>
      </c>
      <c r="P1301" s="11">
        <f>IF(A1301="","",J1301-M1301-N1301-O1301)</f>
        <v/>
      </c>
    </row>
    <row r="1302">
      <c r="A1302">
        <f>IFERROR(INDEX('Etsy Import'!$A:$CZ,1302,Settings!$C$20)&amp;"","")</f>
        <v/>
      </c>
      <c r="B1302">
        <f>IFERROR(INDEX('Etsy Import'!$A:$CZ,1302,Settings!$C$21)&amp;"","")</f>
        <v/>
      </c>
      <c r="C1302">
        <f>IFERROR(INDEX('Etsy Import'!$A:$CZ,1302,Settings!$C$22)&amp;"","")</f>
        <v/>
      </c>
      <c r="D1302">
        <f>IF(A1302="","",IFERROR(VALUE(SUBSTITUTE(SUBSTITUTE(INDEX('Etsy Import'!$A:$CZ,1302,Settings!$C$23)&amp;"","$",""),",","")),0))</f>
        <v/>
      </c>
      <c r="E1302" s="11">
        <f>IF(A1302="","",IFERROR(VALUE(SUBSTITUTE(SUBSTITUTE(INDEX('Etsy Import'!$A:$CZ,1302,Settings!$C$24)&amp;"","$",""),",","")),0))</f>
        <v/>
      </c>
      <c r="F1302" s="11">
        <f>IF(A1302="","",D1302*E1302)</f>
        <v/>
      </c>
      <c r="G1302">
        <f>IF(A1302="","",IF(C1302="",1,COUNTIF($C$2:$C$1501,C1302)))</f>
        <v/>
      </c>
      <c r="H1302" s="11">
        <f>IF(A1302="","",IFERROR(VALUE(SUBSTITUTE(SUBSTITUTE(INDEX('Etsy Import'!$A:$CZ,1302,Settings!$C$25)&amp;"","$",""),",","")),0)/IF(Settings!$B$27="Yes",G1302,1))</f>
        <v/>
      </c>
      <c r="I1302" s="11">
        <f>IF(A1302="","",IFERROR(VALUE(SUBSTITUTE(SUBSTITUTE(INDEX('Etsy Import'!$A:$CZ,1302,Settings!$C$26)&amp;"","$",""),",","")),0)/IF(Settings!$B$27="Yes",G1302,1))</f>
        <v/>
      </c>
      <c r="J1302" s="11">
        <f>IF(A1302="","",F1302+H1302-I1302)</f>
        <v/>
      </c>
      <c r="K1302">
        <f>IF(A1302="","",IFERROR(IF(B1302="",NA(),MATCH(B1302,Products!$B$5:$B$204,0)),IFERROR(MATCH(A1302,Products!$A$5:$A$204,0),"")))</f>
        <v/>
      </c>
      <c r="L1302">
        <f>IF(A1302="","",IF(K1302="","⚠ not in Products",INDEX(Products!$A$5:$A$204,K1302)))</f>
        <v/>
      </c>
      <c r="M1302" s="11">
        <f>IF(A1302="","",J1302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1302+IFERROR(INDEX(Settings!$D$5:$D$9,MATCH("Etsy",Settings!$A$5:$A$9,0)),0)*D1302)</f>
        <v/>
      </c>
      <c r="N1302" s="11">
        <f>IF(A1302="","",IF(K1302="",0,D1302*INDEX(Products!$I$5:$I$204,K1302)))</f>
        <v/>
      </c>
      <c r="O1302" s="11">
        <f>IF(A1302="","",IF(K1302="",0,J1302*INDEX(Products!$H$5:$H$204,K1302)))</f>
        <v/>
      </c>
      <c r="P1302" s="11">
        <f>IF(A1302="","",J1302-M1302-N1302-O1302)</f>
        <v/>
      </c>
    </row>
    <row r="1303">
      <c r="A1303">
        <f>IFERROR(INDEX('Etsy Import'!$A:$CZ,1303,Settings!$C$20)&amp;"","")</f>
        <v/>
      </c>
      <c r="B1303">
        <f>IFERROR(INDEX('Etsy Import'!$A:$CZ,1303,Settings!$C$21)&amp;"","")</f>
        <v/>
      </c>
      <c r="C1303">
        <f>IFERROR(INDEX('Etsy Import'!$A:$CZ,1303,Settings!$C$22)&amp;"","")</f>
        <v/>
      </c>
      <c r="D1303">
        <f>IF(A1303="","",IFERROR(VALUE(SUBSTITUTE(SUBSTITUTE(INDEX('Etsy Import'!$A:$CZ,1303,Settings!$C$23)&amp;"","$",""),",","")),0))</f>
        <v/>
      </c>
      <c r="E1303" s="11">
        <f>IF(A1303="","",IFERROR(VALUE(SUBSTITUTE(SUBSTITUTE(INDEX('Etsy Import'!$A:$CZ,1303,Settings!$C$24)&amp;"","$",""),",","")),0))</f>
        <v/>
      </c>
      <c r="F1303" s="11">
        <f>IF(A1303="","",D1303*E1303)</f>
        <v/>
      </c>
      <c r="G1303">
        <f>IF(A1303="","",IF(C1303="",1,COUNTIF($C$2:$C$1501,C1303)))</f>
        <v/>
      </c>
      <c r="H1303" s="11">
        <f>IF(A1303="","",IFERROR(VALUE(SUBSTITUTE(SUBSTITUTE(INDEX('Etsy Import'!$A:$CZ,1303,Settings!$C$25)&amp;"","$",""),",","")),0)/IF(Settings!$B$27="Yes",G1303,1))</f>
        <v/>
      </c>
      <c r="I1303" s="11">
        <f>IF(A1303="","",IFERROR(VALUE(SUBSTITUTE(SUBSTITUTE(INDEX('Etsy Import'!$A:$CZ,1303,Settings!$C$26)&amp;"","$",""),",","")),0)/IF(Settings!$B$27="Yes",G1303,1))</f>
        <v/>
      </c>
      <c r="J1303" s="11">
        <f>IF(A1303="","",F1303+H1303-I1303)</f>
        <v/>
      </c>
      <c r="K1303">
        <f>IF(A1303="","",IFERROR(IF(B1303="",NA(),MATCH(B1303,Products!$B$5:$B$204,0)),IFERROR(MATCH(A1303,Products!$A$5:$A$204,0),"")))</f>
        <v/>
      </c>
      <c r="L1303">
        <f>IF(A1303="","",IF(K1303="","⚠ not in Products",INDEX(Products!$A$5:$A$204,K1303)))</f>
        <v/>
      </c>
      <c r="M1303" s="11">
        <f>IF(A1303="","",J1303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1303+IFERROR(INDEX(Settings!$D$5:$D$9,MATCH("Etsy",Settings!$A$5:$A$9,0)),0)*D1303)</f>
        <v/>
      </c>
      <c r="N1303" s="11">
        <f>IF(A1303="","",IF(K1303="",0,D1303*INDEX(Products!$I$5:$I$204,K1303)))</f>
        <v/>
      </c>
      <c r="O1303" s="11">
        <f>IF(A1303="","",IF(K1303="",0,J1303*INDEX(Products!$H$5:$H$204,K1303)))</f>
        <v/>
      </c>
      <c r="P1303" s="11">
        <f>IF(A1303="","",J1303-M1303-N1303-O1303)</f>
        <v/>
      </c>
    </row>
    <row r="1304">
      <c r="A1304">
        <f>IFERROR(INDEX('Etsy Import'!$A:$CZ,1304,Settings!$C$20)&amp;"","")</f>
        <v/>
      </c>
      <c r="B1304">
        <f>IFERROR(INDEX('Etsy Import'!$A:$CZ,1304,Settings!$C$21)&amp;"","")</f>
        <v/>
      </c>
      <c r="C1304">
        <f>IFERROR(INDEX('Etsy Import'!$A:$CZ,1304,Settings!$C$22)&amp;"","")</f>
        <v/>
      </c>
      <c r="D1304">
        <f>IF(A1304="","",IFERROR(VALUE(SUBSTITUTE(SUBSTITUTE(INDEX('Etsy Import'!$A:$CZ,1304,Settings!$C$23)&amp;"","$",""),",","")),0))</f>
        <v/>
      </c>
      <c r="E1304" s="11">
        <f>IF(A1304="","",IFERROR(VALUE(SUBSTITUTE(SUBSTITUTE(INDEX('Etsy Import'!$A:$CZ,1304,Settings!$C$24)&amp;"","$",""),",","")),0))</f>
        <v/>
      </c>
      <c r="F1304" s="11">
        <f>IF(A1304="","",D1304*E1304)</f>
        <v/>
      </c>
      <c r="G1304">
        <f>IF(A1304="","",IF(C1304="",1,COUNTIF($C$2:$C$1501,C1304)))</f>
        <v/>
      </c>
      <c r="H1304" s="11">
        <f>IF(A1304="","",IFERROR(VALUE(SUBSTITUTE(SUBSTITUTE(INDEX('Etsy Import'!$A:$CZ,1304,Settings!$C$25)&amp;"","$",""),",","")),0)/IF(Settings!$B$27="Yes",G1304,1))</f>
        <v/>
      </c>
      <c r="I1304" s="11">
        <f>IF(A1304="","",IFERROR(VALUE(SUBSTITUTE(SUBSTITUTE(INDEX('Etsy Import'!$A:$CZ,1304,Settings!$C$26)&amp;"","$",""),",","")),0)/IF(Settings!$B$27="Yes",G1304,1))</f>
        <v/>
      </c>
      <c r="J1304" s="11">
        <f>IF(A1304="","",F1304+H1304-I1304)</f>
        <v/>
      </c>
      <c r="K1304">
        <f>IF(A1304="","",IFERROR(IF(B1304="",NA(),MATCH(B1304,Products!$B$5:$B$204,0)),IFERROR(MATCH(A1304,Products!$A$5:$A$204,0),"")))</f>
        <v/>
      </c>
      <c r="L1304">
        <f>IF(A1304="","",IF(K1304="","⚠ not in Products",INDEX(Products!$A$5:$A$204,K1304)))</f>
        <v/>
      </c>
      <c r="M1304" s="11">
        <f>IF(A1304="","",J1304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1304+IFERROR(INDEX(Settings!$D$5:$D$9,MATCH("Etsy",Settings!$A$5:$A$9,0)),0)*D1304)</f>
        <v/>
      </c>
      <c r="N1304" s="11">
        <f>IF(A1304="","",IF(K1304="",0,D1304*INDEX(Products!$I$5:$I$204,K1304)))</f>
        <v/>
      </c>
      <c r="O1304" s="11">
        <f>IF(A1304="","",IF(K1304="",0,J1304*INDEX(Products!$H$5:$H$204,K1304)))</f>
        <v/>
      </c>
      <c r="P1304" s="11">
        <f>IF(A1304="","",J1304-M1304-N1304-O1304)</f>
        <v/>
      </c>
    </row>
    <row r="1305">
      <c r="A1305">
        <f>IFERROR(INDEX('Etsy Import'!$A:$CZ,1305,Settings!$C$20)&amp;"","")</f>
        <v/>
      </c>
      <c r="B1305">
        <f>IFERROR(INDEX('Etsy Import'!$A:$CZ,1305,Settings!$C$21)&amp;"","")</f>
        <v/>
      </c>
      <c r="C1305">
        <f>IFERROR(INDEX('Etsy Import'!$A:$CZ,1305,Settings!$C$22)&amp;"","")</f>
        <v/>
      </c>
      <c r="D1305">
        <f>IF(A1305="","",IFERROR(VALUE(SUBSTITUTE(SUBSTITUTE(INDEX('Etsy Import'!$A:$CZ,1305,Settings!$C$23)&amp;"","$",""),",","")),0))</f>
        <v/>
      </c>
      <c r="E1305" s="11">
        <f>IF(A1305="","",IFERROR(VALUE(SUBSTITUTE(SUBSTITUTE(INDEX('Etsy Import'!$A:$CZ,1305,Settings!$C$24)&amp;"","$",""),",","")),0))</f>
        <v/>
      </c>
      <c r="F1305" s="11">
        <f>IF(A1305="","",D1305*E1305)</f>
        <v/>
      </c>
      <c r="G1305">
        <f>IF(A1305="","",IF(C1305="",1,COUNTIF($C$2:$C$1501,C1305)))</f>
        <v/>
      </c>
      <c r="H1305" s="11">
        <f>IF(A1305="","",IFERROR(VALUE(SUBSTITUTE(SUBSTITUTE(INDEX('Etsy Import'!$A:$CZ,1305,Settings!$C$25)&amp;"","$",""),",","")),0)/IF(Settings!$B$27="Yes",G1305,1))</f>
        <v/>
      </c>
      <c r="I1305" s="11">
        <f>IF(A1305="","",IFERROR(VALUE(SUBSTITUTE(SUBSTITUTE(INDEX('Etsy Import'!$A:$CZ,1305,Settings!$C$26)&amp;"","$",""),",","")),0)/IF(Settings!$B$27="Yes",G1305,1))</f>
        <v/>
      </c>
      <c r="J1305" s="11">
        <f>IF(A1305="","",F1305+H1305-I1305)</f>
        <v/>
      </c>
      <c r="K1305">
        <f>IF(A1305="","",IFERROR(IF(B1305="",NA(),MATCH(B1305,Products!$B$5:$B$204,0)),IFERROR(MATCH(A1305,Products!$A$5:$A$204,0),"")))</f>
        <v/>
      </c>
      <c r="L1305">
        <f>IF(A1305="","",IF(K1305="","⚠ not in Products",INDEX(Products!$A$5:$A$204,K1305)))</f>
        <v/>
      </c>
      <c r="M1305" s="11">
        <f>IF(A1305="","",J1305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1305+IFERROR(INDEX(Settings!$D$5:$D$9,MATCH("Etsy",Settings!$A$5:$A$9,0)),0)*D1305)</f>
        <v/>
      </c>
      <c r="N1305" s="11">
        <f>IF(A1305="","",IF(K1305="",0,D1305*INDEX(Products!$I$5:$I$204,K1305)))</f>
        <v/>
      </c>
      <c r="O1305" s="11">
        <f>IF(A1305="","",IF(K1305="",0,J1305*INDEX(Products!$H$5:$H$204,K1305)))</f>
        <v/>
      </c>
      <c r="P1305" s="11">
        <f>IF(A1305="","",J1305-M1305-N1305-O1305)</f>
        <v/>
      </c>
    </row>
    <row r="1306">
      <c r="A1306">
        <f>IFERROR(INDEX('Etsy Import'!$A:$CZ,1306,Settings!$C$20)&amp;"","")</f>
        <v/>
      </c>
      <c r="B1306">
        <f>IFERROR(INDEX('Etsy Import'!$A:$CZ,1306,Settings!$C$21)&amp;"","")</f>
        <v/>
      </c>
      <c r="C1306">
        <f>IFERROR(INDEX('Etsy Import'!$A:$CZ,1306,Settings!$C$22)&amp;"","")</f>
        <v/>
      </c>
      <c r="D1306">
        <f>IF(A1306="","",IFERROR(VALUE(SUBSTITUTE(SUBSTITUTE(INDEX('Etsy Import'!$A:$CZ,1306,Settings!$C$23)&amp;"","$",""),",","")),0))</f>
        <v/>
      </c>
      <c r="E1306" s="11">
        <f>IF(A1306="","",IFERROR(VALUE(SUBSTITUTE(SUBSTITUTE(INDEX('Etsy Import'!$A:$CZ,1306,Settings!$C$24)&amp;"","$",""),",","")),0))</f>
        <v/>
      </c>
      <c r="F1306" s="11">
        <f>IF(A1306="","",D1306*E1306)</f>
        <v/>
      </c>
      <c r="G1306">
        <f>IF(A1306="","",IF(C1306="",1,COUNTIF($C$2:$C$1501,C1306)))</f>
        <v/>
      </c>
      <c r="H1306" s="11">
        <f>IF(A1306="","",IFERROR(VALUE(SUBSTITUTE(SUBSTITUTE(INDEX('Etsy Import'!$A:$CZ,1306,Settings!$C$25)&amp;"","$",""),",","")),0)/IF(Settings!$B$27="Yes",G1306,1))</f>
        <v/>
      </c>
      <c r="I1306" s="11">
        <f>IF(A1306="","",IFERROR(VALUE(SUBSTITUTE(SUBSTITUTE(INDEX('Etsy Import'!$A:$CZ,1306,Settings!$C$26)&amp;"","$",""),",","")),0)/IF(Settings!$B$27="Yes",G1306,1))</f>
        <v/>
      </c>
      <c r="J1306" s="11">
        <f>IF(A1306="","",F1306+H1306-I1306)</f>
        <v/>
      </c>
      <c r="K1306">
        <f>IF(A1306="","",IFERROR(IF(B1306="",NA(),MATCH(B1306,Products!$B$5:$B$204,0)),IFERROR(MATCH(A1306,Products!$A$5:$A$204,0),"")))</f>
        <v/>
      </c>
      <c r="L1306">
        <f>IF(A1306="","",IF(K1306="","⚠ not in Products",INDEX(Products!$A$5:$A$204,K1306)))</f>
        <v/>
      </c>
      <c r="M1306" s="11">
        <f>IF(A1306="","",J1306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1306+IFERROR(INDEX(Settings!$D$5:$D$9,MATCH("Etsy",Settings!$A$5:$A$9,0)),0)*D1306)</f>
        <v/>
      </c>
      <c r="N1306" s="11">
        <f>IF(A1306="","",IF(K1306="",0,D1306*INDEX(Products!$I$5:$I$204,K1306)))</f>
        <v/>
      </c>
      <c r="O1306" s="11">
        <f>IF(A1306="","",IF(K1306="",0,J1306*INDEX(Products!$H$5:$H$204,K1306)))</f>
        <v/>
      </c>
      <c r="P1306" s="11">
        <f>IF(A1306="","",J1306-M1306-N1306-O1306)</f>
        <v/>
      </c>
    </row>
    <row r="1307">
      <c r="A1307">
        <f>IFERROR(INDEX('Etsy Import'!$A:$CZ,1307,Settings!$C$20)&amp;"","")</f>
        <v/>
      </c>
      <c r="B1307">
        <f>IFERROR(INDEX('Etsy Import'!$A:$CZ,1307,Settings!$C$21)&amp;"","")</f>
        <v/>
      </c>
      <c r="C1307">
        <f>IFERROR(INDEX('Etsy Import'!$A:$CZ,1307,Settings!$C$22)&amp;"","")</f>
        <v/>
      </c>
      <c r="D1307">
        <f>IF(A1307="","",IFERROR(VALUE(SUBSTITUTE(SUBSTITUTE(INDEX('Etsy Import'!$A:$CZ,1307,Settings!$C$23)&amp;"","$",""),",","")),0))</f>
        <v/>
      </c>
      <c r="E1307" s="11">
        <f>IF(A1307="","",IFERROR(VALUE(SUBSTITUTE(SUBSTITUTE(INDEX('Etsy Import'!$A:$CZ,1307,Settings!$C$24)&amp;"","$",""),",","")),0))</f>
        <v/>
      </c>
      <c r="F1307" s="11">
        <f>IF(A1307="","",D1307*E1307)</f>
        <v/>
      </c>
      <c r="G1307">
        <f>IF(A1307="","",IF(C1307="",1,COUNTIF($C$2:$C$1501,C1307)))</f>
        <v/>
      </c>
      <c r="H1307" s="11">
        <f>IF(A1307="","",IFERROR(VALUE(SUBSTITUTE(SUBSTITUTE(INDEX('Etsy Import'!$A:$CZ,1307,Settings!$C$25)&amp;"","$",""),",","")),0)/IF(Settings!$B$27="Yes",G1307,1))</f>
        <v/>
      </c>
      <c r="I1307" s="11">
        <f>IF(A1307="","",IFERROR(VALUE(SUBSTITUTE(SUBSTITUTE(INDEX('Etsy Import'!$A:$CZ,1307,Settings!$C$26)&amp;"","$",""),",","")),0)/IF(Settings!$B$27="Yes",G1307,1))</f>
        <v/>
      </c>
      <c r="J1307" s="11">
        <f>IF(A1307="","",F1307+H1307-I1307)</f>
        <v/>
      </c>
      <c r="K1307">
        <f>IF(A1307="","",IFERROR(IF(B1307="",NA(),MATCH(B1307,Products!$B$5:$B$204,0)),IFERROR(MATCH(A1307,Products!$A$5:$A$204,0),"")))</f>
        <v/>
      </c>
      <c r="L1307">
        <f>IF(A1307="","",IF(K1307="","⚠ not in Products",INDEX(Products!$A$5:$A$204,K1307)))</f>
        <v/>
      </c>
      <c r="M1307" s="11">
        <f>IF(A1307="","",J1307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1307+IFERROR(INDEX(Settings!$D$5:$D$9,MATCH("Etsy",Settings!$A$5:$A$9,0)),0)*D1307)</f>
        <v/>
      </c>
      <c r="N1307" s="11">
        <f>IF(A1307="","",IF(K1307="",0,D1307*INDEX(Products!$I$5:$I$204,K1307)))</f>
        <v/>
      </c>
      <c r="O1307" s="11">
        <f>IF(A1307="","",IF(K1307="",0,J1307*INDEX(Products!$H$5:$H$204,K1307)))</f>
        <v/>
      </c>
      <c r="P1307" s="11">
        <f>IF(A1307="","",J1307-M1307-N1307-O1307)</f>
        <v/>
      </c>
    </row>
    <row r="1308">
      <c r="A1308">
        <f>IFERROR(INDEX('Etsy Import'!$A:$CZ,1308,Settings!$C$20)&amp;"","")</f>
        <v/>
      </c>
      <c r="B1308">
        <f>IFERROR(INDEX('Etsy Import'!$A:$CZ,1308,Settings!$C$21)&amp;"","")</f>
        <v/>
      </c>
      <c r="C1308">
        <f>IFERROR(INDEX('Etsy Import'!$A:$CZ,1308,Settings!$C$22)&amp;"","")</f>
        <v/>
      </c>
      <c r="D1308">
        <f>IF(A1308="","",IFERROR(VALUE(SUBSTITUTE(SUBSTITUTE(INDEX('Etsy Import'!$A:$CZ,1308,Settings!$C$23)&amp;"","$",""),",","")),0))</f>
        <v/>
      </c>
      <c r="E1308" s="11">
        <f>IF(A1308="","",IFERROR(VALUE(SUBSTITUTE(SUBSTITUTE(INDEX('Etsy Import'!$A:$CZ,1308,Settings!$C$24)&amp;"","$",""),",","")),0))</f>
        <v/>
      </c>
      <c r="F1308" s="11">
        <f>IF(A1308="","",D1308*E1308)</f>
        <v/>
      </c>
      <c r="G1308">
        <f>IF(A1308="","",IF(C1308="",1,COUNTIF($C$2:$C$1501,C1308)))</f>
        <v/>
      </c>
      <c r="H1308" s="11">
        <f>IF(A1308="","",IFERROR(VALUE(SUBSTITUTE(SUBSTITUTE(INDEX('Etsy Import'!$A:$CZ,1308,Settings!$C$25)&amp;"","$",""),",","")),0)/IF(Settings!$B$27="Yes",G1308,1))</f>
        <v/>
      </c>
      <c r="I1308" s="11">
        <f>IF(A1308="","",IFERROR(VALUE(SUBSTITUTE(SUBSTITUTE(INDEX('Etsy Import'!$A:$CZ,1308,Settings!$C$26)&amp;"","$",""),",","")),0)/IF(Settings!$B$27="Yes",G1308,1))</f>
        <v/>
      </c>
      <c r="J1308" s="11">
        <f>IF(A1308="","",F1308+H1308-I1308)</f>
        <v/>
      </c>
      <c r="K1308">
        <f>IF(A1308="","",IFERROR(IF(B1308="",NA(),MATCH(B1308,Products!$B$5:$B$204,0)),IFERROR(MATCH(A1308,Products!$A$5:$A$204,0),"")))</f>
        <v/>
      </c>
      <c r="L1308">
        <f>IF(A1308="","",IF(K1308="","⚠ not in Products",INDEX(Products!$A$5:$A$204,K1308)))</f>
        <v/>
      </c>
      <c r="M1308" s="11">
        <f>IF(A1308="","",J1308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1308+IFERROR(INDEX(Settings!$D$5:$D$9,MATCH("Etsy",Settings!$A$5:$A$9,0)),0)*D1308)</f>
        <v/>
      </c>
      <c r="N1308" s="11">
        <f>IF(A1308="","",IF(K1308="",0,D1308*INDEX(Products!$I$5:$I$204,K1308)))</f>
        <v/>
      </c>
      <c r="O1308" s="11">
        <f>IF(A1308="","",IF(K1308="",0,J1308*INDEX(Products!$H$5:$H$204,K1308)))</f>
        <v/>
      </c>
      <c r="P1308" s="11">
        <f>IF(A1308="","",J1308-M1308-N1308-O1308)</f>
        <v/>
      </c>
    </row>
    <row r="1309">
      <c r="A1309">
        <f>IFERROR(INDEX('Etsy Import'!$A:$CZ,1309,Settings!$C$20)&amp;"","")</f>
        <v/>
      </c>
      <c r="B1309">
        <f>IFERROR(INDEX('Etsy Import'!$A:$CZ,1309,Settings!$C$21)&amp;"","")</f>
        <v/>
      </c>
      <c r="C1309">
        <f>IFERROR(INDEX('Etsy Import'!$A:$CZ,1309,Settings!$C$22)&amp;"","")</f>
        <v/>
      </c>
      <c r="D1309">
        <f>IF(A1309="","",IFERROR(VALUE(SUBSTITUTE(SUBSTITUTE(INDEX('Etsy Import'!$A:$CZ,1309,Settings!$C$23)&amp;"","$",""),",","")),0))</f>
        <v/>
      </c>
      <c r="E1309" s="11">
        <f>IF(A1309="","",IFERROR(VALUE(SUBSTITUTE(SUBSTITUTE(INDEX('Etsy Import'!$A:$CZ,1309,Settings!$C$24)&amp;"","$",""),",","")),0))</f>
        <v/>
      </c>
      <c r="F1309" s="11">
        <f>IF(A1309="","",D1309*E1309)</f>
        <v/>
      </c>
      <c r="G1309">
        <f>IF(A1309="","",IF(C1309="",1,COUNTIF($C$2:$C$1501,C1309)))</f>
        <v/>
      </c>
      <c r="H1309" s="11">
        <f>IF(A1309="","",IFERROR(VALUE(SUBSTITUTE(SUBSTITUTE(INDEX('Etsy Import'!$A:$CZ,1309,Settings!$C$25)&amp;"","$",""),",","")),0)/IF(Settings!$B$27="Yes",G1309,1))</f>
        <v/>
      </c>
      <c r="I1309" s="11">
        <f>IF(A1309="","",IFERROR(VALUE(SUBSTITUTE(SUBSTITUTE(INDEX('Etsy Import'!$A:$CZ,1309,Settings!$C$26)&amp;"","$",""),",","")),0)/IF(Settings!$B$27="Yes",G1309,1))</f>
        <v/>
      </c>
      <c r="J1309" s="11">
        <f>IF(A1309="","",F1309+H1309-I1309)</f>
        <v/>
      </c>
      <c r="K1309">
        <f>IF(A1309="","",IFERROR(IF(B1309="",NA(),MATCH(B1309,Products!$B$5:$B$204,0)),IFERROR(MATCH(A1309,Products!$A$5:$A$204,0),"")))</f>
        <v/>
      </c>
      <c r="L1309">
        <f>IF(A1309="","",IF(K1309="","⚠ not in Products",INDEX(Products!$A$5:$A$204,K1309)))</f>
        <v/>
      </c>
      <c r="M1309" s="11">
        <f>IF(A1309="","",J1309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1309+IFERROR(INDEX(Settings!$D$5:$D$9,MATCH("Etsy",Settings!$A$5:$A$9,0)),0)*D1309)</f>
        <v/>
      </c>
      <c r="N1309" s="11">
        <f>IF(A1309="","",IF(K1309="",0,D1309*INDEX(Products!$I$5:$I$204,K1309)))</f>
        <v/>
      </c>
      <c r="O1309" s="11">
        <f>IF(A1309="","",IF(K1309="",0,J1309*INDEX(Products!$H$5:$H$204,K1309)))</f>
        <v/>
      </c>
      <c r="P1309" s="11">
        <f>IF(A1309="","",J1309-M1309-N1309-O1309)</f>
        <v/>
      </c>
    </row>
    <row r="1310">
      <c r="A1310">
        <f>IFERROR(INDEX('Etsy Import'!$A:$CZ,1310,Settings!$C$20)&amp;"","")</f>
        <v/>
      </c>
      <c r="B1310">
        <f>IFERROR(INDEX('Etsy Import'!$A:$CZ,1310,Settings!$C$21)&amp;"","")</f>
        <v/>
      </c>
      <c r="C1310">
        <f>IFERROR(INDEX('Etsy Import'!$A:$CZ,1310,Settings!$C$22)&amp;"","")</f>
        <v/>
      </c>
      <c r="D1310">
        <f>IF(A1310="","",IFERROR(VALUE(SUBSTITUTE(SUBSTITUTE(INDEX('Etsy Import'!$A:$CZ,1310,Settings!$C$23)&amp;"","$",""),",","")),0))</f>
        <v/>
      </c>
      <c r="E1310" s="11">
        <f>IF(A1310="","",IFERROR(VALUE(SUBSTITUTE(SUBSTITUTE(INDEX('Etsy Import'!$A:$CZ,1310,Settings!$C$24)&amp;"","$",""),",","")),0))</f>
        <v/>
      </c>
      <c r="F1310" s="11">
        <f>IF(A1310="","",D1310*E1310)</f>
        <v/>
      </c>
      <c r="G1310">
        <f>IF(A1310="","",IF(C1310="",1,COUNTIF($C$2:$C$1501,C1310)))</f>
        <v/>
      </c>
      <c r="H1310" s="11">
        <f>IF(A1310="","",IFERROR(VALUE(SUBSTITUTE(SUBSTITUTE(INDEX('Etsy Import'!$A:$CZ,1310,Settings!$C$25)&amp;"","$",""),",","")),0)/IF(Settings!$B$27="Yes",G1310,1))</f>
        <v/>
      </c>
      <c r="I1310" s="11">
        <f>IF(A1310="","",IFERROR(VALUE(SUBSTITUTE(SUBSTITUTE(INDEX('Etsy Import'!$A:$CZ,1310,Settings!$C$26)&amp;"","$",""),",","")),0)/IF(Settings!$B$27="Yes",G1310,1))</f>
        <v/>
      </c>
      <c r="J1310" s="11">
        <f>IF(A1310="","",F1310+H1310-I1310)</f>
        <v/>
      </c>
      <c r="K1310">
        <f>IF(A1310="","",IFERROR(IF(B1310="",NA(),MATCH(B1310,Products!$B$5:$B$204,0)),IFERROR(MATCH(A1310,Products!$A$5:$A$204,0),"")))</f>
        <v/>
      </c>
      <c r="L1310">
        <f>IF(A1310="","",IF(K1310="","⚠ not in Products",INDEX(Products!$A$5:$A$204,K1310)))</f>
        <v/>
      </c>
      <c r="M1310" s="11">
        <f>IF(A1310="","",J1310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1310+IFERROR(INDEX(Settings!$D$5:$D$9,MATCH("Etsy",Settings!$A$5:$A$9,0)),0)*D1310)</f>
        <v/>
      </c>
      <c r="N1310" s="11">
        <f>IF(A1310="","",IF(K1310="",0,D1310*INDEX(Products!$I$5:$I$204,K1310)))</f>
        <v/>
      </c>
      <c r="O1310" s="11">
        <f>IF(A1310="","",IF(K1310="",0,J1310*INDEX(Products!$H$5:$H$204,K1310)))</f>
        <v/>
      </c>
      <c r="P1310" s="11">
        <f>IF(A1310="","",J1310-M1310-N1310-O1310)</f>
        <v/>
      </c>
    </row>
    <row r="1311">
      <c r="A1311">
        <f>IFERROR(INDEX('Etsy Import'!$A:$CZ,1311,Settings!$C$20)&amp;"","")</f>
        <v/>
      </c>
      <c r="B1311">
        <f>IFERROR(INDEX('Etsy Import'!$A:$CZ,1311,Settings!$C$21)&amp;"","")</f>
        <v/>
      </c>
      <c r="C1311">
        <f>IFERROR(INDEX('Etsy Import'!$A:$CZ,1311,Settings!$C$22)&amp;"","")</f>
        <v/>
      </c>
      <c r="D1311">
        <f>IF(A1311="","",IFERROR(VALUE(SUBSTITUTE(SUBSTITUTE(INDEX('Etsy Import'!$A:$CZ,1311,Settings!$C$23)&amp;"","$",""),",","")),0))</f>
        <v/>
      </c>
      <c r="E1311" s="11">
        <f>IF(A1311="","",IFERROR(VALUE(SUBSTITUTE(SUBSTITUTE(INDEX('Etsy Import'!$A:$CZ,1311,Settings!$C$24)&amp;"","$",""),",","")),0))</f>
        <v/>
      </c>
      <c r="F1311" s="11">
        <f>IF(A1311="","",D1311*E1311)</f>
        <v/>
      </c>
      <c r="G1311">
        <f>IF(A1311="","",IF(C1311="",1,COUNTIF($C$2:$C$1501,C1311)))</f>
        <v/>
      </c>
      <c r="H1311" s="11">
        <f>IF(A1311="","",IFERROR(VALUE(SUBSTITUTE(SUBSTITUTE(INDEX('Etsy Import'!$A:$CZ,1311,Settings!$C$25)&amp;"","$",""),",","")),0)/IF(Settings!$B$27="Yes",G1311,1))</f>
        <v/>
      </c>
      <c r="I1311" s="11">
        <f>IF(A1311="","",IFERROR(VALUE(SUBSTITUTE(SUBSTITUTE(INDEX('Etsy Import'!$A:$CZ,1311,Settings!$C$26)&amp;"","$",""),",","")),0)/IF(Settings!$B$27="Yes",G1311,1))</f>
        <v/>
      </c>
      <c r="J1311" s="11">
        <f>IF(A1311="","",F1311+H1311-I1311)</f>
        <v/>
      </c>
      <c r="K1311">
        <f>IF(A1311="","",IFERROR(IF(B1311="",NA(),MATCH(B1311,Products!$B$5:$B$204,0)),IFERROR(MATCH(A1311,Products!$A$5:$A$204,0),"")))</f>
        <v/>
      </c>
      <c r="L1311">
        <f>IF(A1311="","",IF(K1311="","⚠ not in Products",INDEX(Products!$A$5:$A$204,K1311)))</f>
        <v/>
      </c>
      <c r="M1311" s="11">
        <f>IF(A1311="","",J1311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1311+IFERROR(INDEX(Settings!$D$5:$D$9,MATCH("Etsy",Settings!$A$5:$A$9,0)),0)*D1311)</f>
        <v/>
      </c>
      <c r="N1311" s="11">
        <f>IF(A1311="","",IF(K1311="",0,D1311*INDEX(Products!$I$5:$I$204,K1311)))</f>
        <v/>
      </c>
      <c r="O1311" s="11">
        <f>IF(A1311="","",IF(K1311="",0,J1311*INDEX(Products!$H$5:$H$204,K1311)))</f>
        <v/>
      </c>
      <c r="P1311" s="11">
        <f>IF(A1311="","",J1311-M1311-N1311-O1311)</f>
        <v/>
      </c>
    </row>
    <row r="1312">
      <c r="A1312">
        <f>IFERROR(INDEX('Etsy Import'!$A:$CZ,1312,Settings!$C$20)&amp;"","")</f>
        <v/>
      </c>
      <c r="B1312">
        <f>IFERROR(INDEX('Etsy Import'!$A:$CZ,1312,Settings!$C$21)&amp;"","")</f>
        <v/>
      </c>
      <c r="C1312">
        <f>IFERROR(INDEX('Etsy Import'!$A:$CZ,1312,Settings!$C$22)&amp;"","")</f>
        <v/>
      </c>
      <c r="D1312">
        <f>IF(A1312="","",IFERROR(VALUE(SUBSTITUTE(SUBSTITUTE(INDEX('Etsy Import'!$A:$CZ,1312,Settings!$C$23)&amp;"","$",""),",","")),0))</f>
        <v/>
      </c>
      <c r="E1312" s="11">
        <f>IF(A1312="","",IFERROR(VALUE(SUBSTITUTE(SUBSTITUTE(INDEX('Etsy Import'!$A:$CZ,1312,Settings!$C$24)&amp;"","$",""),",","")),0))</f>
        <v/>
      </c>
      <c r="F1312" s="11">
        <f>IF(A1312="","",D1312*E1312)</f>
        <v/>
      </c>
      <c r="G1312">
        <f>IF(A1312="","",IF(C1312="",1,COUNTIF($C$2:$C$1501,C1312)))</f>
        <v/>
      </c>
      <c r="H1312" s="11">
        <f>IF(A1312="","",IFERROR(VALUE(SUBSTITUTE(SUBSTITUTE(INDEX('Etsy Import'!$A:$CZ,1312,Settings!$C$25)&amp;"","$",""),",","")),0)/IF(Settings!$B$27="Yes",G1312,1))</f>
        <v/>
      </c>
      <c r="I1312" s="11">
        <f>IF(A1312="","",IFERROR(VALUE(SUBSTITUTE(SUBSTITUTE(INDEX('Etsy Import'!$A:$CZ,1312,Settings!$C$26)&amp;"","$",""),",","")),0)/IF(Settings!$B$27="Yes",G1312,1))</f>
        <v/>
      </c>
      <c r="J1312" s="11">
        <f>IF(A1312="","",F1312+H1312-I1312)</f>
        <v/>
      </c>
      <c r="K1312">
        <f>IF(A1312="","",IFERROR(IF(B1312="",NA(),MATCH(B1312,Products!$B$5:$B$204,0)),IFERROR(MATCH(A1312,Products!$A$5:$A$204,0),"")))</f>
        <v/>
      </c>
      <c r="L1312">
        <f>IF(A1312="","",IF(K1312="","⚠ not in Products",INDEX(Products!$A$5:$A$204,K1312)))</f>
        <v/>
      </c>
      <c r="M1312" s="11">
        <f>IF(A1312="","",J1312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1312+IFERROR(INDEX(Settings!$D$5:$D$9,MATCH("Etsy",Settings!$A$5:$A$9,0)),0)*D1312)</f>
        <v/>
      </c>
      <c r="N1312" s="11">
        <f>IF(A1312="","",IF(K1312="",0,D1312*INDEX(Products!$I$5:$I$204,K1312)))</f>
        <v/>
      </c>
      <c r="O1312" s="11">
        <f>IF(A1312="","",IF(K1312="",0,J1312*INDEX(Products!$H$5:$H$204,K1312)))</f>
        <v/>
      </c>
      <c r="P1312" s="11">
        <f>IF(A1312="","",J1312-M1312-N1312-O1312)</f>
        <v/>
      </c>
    </row>
    <row r="1313">
      <c r="A1313">
        <f>IFERROR(INDEX('Etsy Import'!$A:$CZ,1313,Settings!$C$20)&amp;"","")</f>
        <v/>
      </c>
      <c r="B1313">
        <f>IFERROR(INDEX('Etsy Import'!$A:$CZ,1313,Settings!$C$21)&amp;"","")</f>
        <v/>
      </c>
      <c r="C1313">
        <f>IFERROR(INDEX('Etsy Import'!$A:$CZ,1313,Settings!$C$22)&amp;"","")</f>
        <v/>
      </c>
      <c r="D1313">
        <f>IF(A1313="","",IFERROR(VALUE(SUBSTITUTE(SUBSTITUTE(INDEX('Etsy Import'!$A:$CZ,1313,Settings!$C$23)&amp;"","$",""),",","")),0))</f>
        <v/>
      </c>
      <c r="E1313" s="11">
        <f>IF(A1313="","",IFERROR(VALUE(SUBSTITUTE(SUBSTITUTE(INDEX('Etsy Import'!$A:$CZ,1313,Settings!$C$24)&amp;"","$",""),",","")),0))</f>
        <v/>
      </c>
      <c r="F1313" s="11">
        <f>IF(A1313="","",D1313*E1313)</f>
        <v/>
      </c>
      <c r="G1313">
        <f>IF(A1313="","",IF(C1313="",1,COUNTIF($C$2:$C$1501,C1313)))</f>
        <v/>
      </c>
      <c r="H1313" s="11">
        <f>IF(A1313="","",IFERROR(VALUE(SUBSTITUTE(SUBSTITUTE(INDEX('Etsy Import'!$A:$CZ,1313,Settings!$C$25)&amp;"","$",""),",","")),0)/IF(Settings!$B$27="Yes",G1313,1))</f>
        <v/>
      </c>
      <c r="I1313" s="11">
        <f>IF(A1313="","",IFERROR(VALUE(SUBSTITUTE(SUBSTITUTE(INDEX('Etsy Import'!$A:$CZ,1313,Settings!$C$26)&amp;"","$",""),",","")),0)/IF(Settings!$B$27="Yes",G1313,1))</f>
        <v/>
      </c>
      <c r="J1313" s="11">
        <f>IF(A1313="","",F1313+H1313-I1313)</f>
        <v/>
      </c>
      <c r="K1313">
        <f>IF(A1313="","",IFERROR(IF(B1313="",NA(),MATCH(B1313,Products!$B$5:$B$204,0)),IFERROR(MATCH(A1313,Products!$A$5:$A$204,0),"")))</f>
        <v/>
      </c>
      <c r="L1313">
        <f>IF(A1313="","",IF(K1313="","⚠ not in Products",INDEX(Products!$A$5:$A$204,K1313)))</f>
        <v/>
      </c>
      <c r="M1313" s="11">
        <f>IF(A1313="","",J1313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1313+IFERROR(INDEX(Settings!$D$5:$D$9,MATCH("Etsy",Settings!$A$5:$A$9,0)),0)*D1313)</f>
        <v/>
      </c>
      <c r="N1313" s="11">
        <f>IF(A1313="","",IF(K1313="",0,D1313*INDEX(Products!$I$5:$I$204,K1313)))</f>
        <v/>
      </c>
      <c r="O1313" s="11">
        <f>IF(A1313="","",IF(K1313="",0,J1313*INDEX(Products!$H$5:$H$204,K1313)))</f>
        <v/>
      </c>
      <c r="P1313" s="11">
        <f>IF(A1313="","",J1313-M1313-N1313-O1313)</f>
        <v/>
      </c>
    </row>
    <row r="1314">
      <c r="A1314">
        <f>IFERROR(INDEX('Etsy Import'!$A:$CZ,1314,Settings!$C$20)&amp;"","")</f>
        <v/>
      </c>
      <c r="B1314">
        <f>IFERROR(INDEX('Etsy Import'!$A:$CZ,1314,Settings!$C$21)&amp;"","")</f>
        <v/>
      </c>
      <c r="C1314">
        <f>IFERROR(INDEX('Etsy Import'!$A:$CZ,1314,Settings!$C$22)&amp;"","")</f>
        <v/>
      </c>
      <c r="D1314">
        <f>IF(A1314="","",IFERROR(VALUE(SUBSTITUTE(SUBSTITUTE(INDEX('Etsy Import'!$A:$CZ,1314,Settings!$C$23)&amp;"","$",""),",","")),0))</f>
        <v/>
      </c>
      <c r="E1314" s="11">
        <f>IF(A1314="","",IFERROR(VALUE(SUBSTITUTE(SUBSTITUTE(INDEX('Etsy Import'!$A:$CZ,1314,Settings!$C$24)&amp;"","$",""),",","")),0))</f>
        <v/>
      </c>
      <c r="F1314" s="11">
        <f>IF(A1314="","",D1314*E1314)</f>
        <v/>
      </c>
      <c r="G1314">
        <f>IF(A1314="","",IF(C1314="",1,COUNTIF($C$2:$C$1501,C1314)))</f>
        <v/>
      </c>
      <c r="H1314" s="11">
        <f>IF(A1314="","",IFERROR(VALUE(SUBSTITUTE(SUBSTITUTE(INDEX('Etsy Import'!$A:$CZ,1314,Settings!$C$25)&amp;"","$",""),",","")),0)/IF(Settings!$B$27="Yes",G1314,1))</f>
        <v/>
      </c>
      <c r="I1314" s="11">
        <f>IF(A1314="","",IFERROR(VALUE(SUBSTITUTE(SUBSTITUTE(INDEX('Etsy Import'!$A:$CZ,1314,Settings!$C$26)&amp;"","$",""),",","")),0)/IF(Settings!$B$27="Yes",G1314,1))</f>
        <v/>
      </c>
      <c r="J1314" s="11">
        <f>IF(A1314="","",F1314+H1314-I1314)</f>
        <v/>
      </c>
      <c r="K1314">
        <f>IF(A1314="","",IFERROR(IF(B1314="",NA(),MATCH(B1314,Products!$B$5:$B$204,0)),IFERROR(MATCH(A1314,Products!$A$5:$A$204,0),"")))</f>
        <v/>
      </c>
      <c r="L1314">
        <f>IF(A1314="","",IF(K1314="","⚠ not in Products",INDEX(Products!$A$5:$A$204,K1314)))</f>
        <v/>
      </c>
      <c r="M1314" s="11">
        <f>IF(A1314="","",J1314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1314+IFERROR(INDEX(Settings!$D$5:$D$9,MATCH("Etsy",Settings!$A$5:$A$9,0)),0)*D1314)</f>
        <v/>
      </c>
      <c r="N1314" s="11">
        <f>IF(A1314="","",IF(K1314="",0,D1314*INDEX(Products!$I$5:$I$204,K1314)))</f>
        <v/>
      </c>
      <c r="O1314" s="11">
        <f>IF(A1314="","",IF(K1314="",0,J1314*INDEX(Products!$H$5:$H$204,K1314)))</f>
        <v/>
      </c>
      <c r="P1314" s="11">
        <f>IF(A1314="","",J1314-M1314-N1314-O1314)</f>
        <v/>
      </c>
    </row>
    <row r="1315">
      <c r="A1315">
        <f>IFERROR(INDEX('Etsy Import'!$A:$CZ,1315,Settings!$C$20)&amp;"","")</f>
        <v/>
      </c>
      <c r="B1315">
        <f>IFERROR(INDEX('Etsy Import'!$A:$CZ,1315,Settings!$C$21)&amp;"","")</f>
        <v/>
      </c>
      <c r="C1315">
        <f>IFERROR(INDEX('Etsy Import'!$A:$CZ,1315,Settings!$C$22)&amp;"","")</f>
        <v/>
      </c>
      <c r="D1315">
        <f>IF(A1315="","",IFERROR(VALUE(SUBSTITUTE(SUBSTITUTE(INDEX('Etsy Import'!$A:$CZ,1315,Settings!$C$23)&amp;"","$",""),",","")),0))</f>
        <v/>
      </c>
      <c r="E1315" s="11">
        <f>IF(A1315="","",IFERROR(VALUE(SUBSTITUTE(SUBSTITUTE(INDEX('Etsy Import'!$A:$CZ,1315,Settings!$C$24)&amp;"","$",""),",","")),0))</f>
        <v/>
      </c>
      <c r="F1315" s="11">
        <f>IF(A1315="","",D1315*E1315)</f>
        <v/>
      </c>
      <c r="G1315">
        <f>IF(A1315="","",IF(C1315="",1,COUNTIF($C$2:$C$1501,C1315)))</f>
        <v/>
      </c>
      <c r="H1315" s="11">
        <f>IF(A1315="","",IFERROR(VALUE(SUBSTITUTE(SUBSTITUTE(INDEX('Etsy Import'!$A:$CZ,1315,Settings!$C$25)&amp;"","$",""),",","")),0)/IF(Settings!$B$27="Yes",G1315,1))</f>
        <v/>
      </c>
      <c r="I1315" s="11">
        <f>IF(A1315="","",IFERROR(VALUE(SUBSTITUTE(SUBSTITUTE(INDEX('Etsy Import'!$A:$CZ,1315,Settings!$C$26)&amp;"","$",""),",","")),0)/IF(Settings!$B$27="Yes",G1315,1))</f>
        <v/>
      </c>
      <c r="J1315" s="11">
        <f>IF(A1315="","",F1315+H1315-I1315)</f>
        <v/>
      </c>
      <c r="K1315">
        <f>IF(A1315="","",IFERROR(IF(B1315="",NA(),MATCH(B1315,Products!$B$5:$B$204,0)),IFERROR(MATCH(A1315,Products!$A$5:$A$204,0),"")))</f>
        <v/>
      </c>
      <c r="L1315">
        <f>IF(A1315="","",IF(K1315="","⚠ not in Products",INDEX(Products!$A$5:$A$204,K1315)))</f>
        <v/>
      </c>
      <c r="M1315" s="11">
        <f>IF(A1315="","",J1315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1315+IFERROR(INDEX(Settings!$D$5:$D$9,MATCH("Etsy",Settings!$A$5:$A$9,0)),0)*D1315)</f>
        <v/>
      </c>
      <c r="N1315" s="11">
        <f>IF(A1315="","",IF(K1315="",0,D1315*INDEX(Products!$I$5:$I$204,K1315)))</f>
        <v/>
      </c>
      <c r="O1315" s="11">
        <f>IF(A1315="","",IF(K1315="",0,J1315*INDEX(Products!$H$5:$H$204,K1315)))</f>
        <v/>
      </c>
      <c r="P1315" s="11">
        <f>IF(A1315="","",J1315-M1315-N1315-O1315)</f>
        <v/>
      </c>
    </row>
    <row r="1316">
      <c r="A1316">
        <f>IFERROR(INDEX('Etsy Import'!$A:$CZ,1316,Settings!$C$20)&amp;"","")</f>
        <v/>
      </c>
      <c r="B1316">
        <f>IFERROR(INDEX('Etsy Import'!$A:$CZ,1316,Settings!$C$21)&amp;"","")</f>
        <v/>
      </c>
      <c r="C1316">
        <f>IFERROR(INDEX('Etsy Import'!$A:$CZ,1316,Settings!$C$22)&amp;"","")</f>
        <v/>
      </c>
      <c r="D1316">
        <f>IF(A1316="","",IFERROR(VALUE(SUBSTITUTE(SUBSTITUTE(INDEX('Etsy Import'!$A:$CZ,1316,Settings!$C$23)&amp;"","$",""),",","")),0))</f>
        <v/>
      </c>
      <c r="E1316" s="11">
        <f>IF(A1316="","",IFERROR(VALUE(SUBSTITUTE(SUBSTITUTE(INDEX('Etsy Import'!$A:$CZ,1316,Settings!$C$24)&amp;"","$",""),",","")),0))</f>
        <v/>
      </c>
      <c r="F1316" s="11">
        <f>IF(A1316="","",D1316*E1316)</f>
        <v/>
      </c>
      <c r="G1316">
        <f>IF(A1316="","",IF(C1316="",1,COUNTIF($C$2:$C$1501,C1316)))</f>
        <v/>
      </c>
      <c r="H1316" s="11">
        <f>IF(A1316="","",IFERROR(VALUE(SUBSTITUTE(SUBSTITUTE(INDEX('Etsy Import'!$A:$CZ,1316,Settings!$C$25)&amp;"","$",""),",","")),0)/IF(Settings!$B$27="Yes",G1316,1))</f>
        <v/>
      </c>
      <c r="I1316" s="11">
        <f>IF(A1316="","",IFERROR(VALUE(SUBSTITUTE(SUBSTITUTE(INDEX('Etsy Import'!$A:$CZ,1316,Settings!$C$26)&amp;"","$",""),",","")),0)/IF(Settings!$B$27="Yes",G1316,1))</f>
        <v/>
      </c>
      <c r="J1316" s="11">
        <f>IF(A1316="","",F1316+H1316-I1316)</f>
        <v/>
      </c>
      <c r="K1316">
        <f>IF(A1316="","",IFERROR(IF(B1316="",NA(),MATCH(B1316,Products!$B$5:$B$204,0)),IFERROR(MATCH(A1316,Products!$A$5:$A$204,0),"")))</f>
        <v/>
      </c>
      <c r="L1316">
        <f>IF(A1316="","",IF(K1316="","⚠ not in Products",INDEX(Products!$A$5:$A$204,K1316)))</f>
        <v/>
      </c>
      <c r="M1316" s="11">
        <f>IF(A1316="","",J1316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1316+IFERROR(INDEX(Settings!$D$5:$D$9,MATCH("Etsy",Settings!$A$5:$A$9,0)),0)*D1316)</f>
        <v/>
      </c>
      <c r="N1316" s="11">
        <f>IF(A1316="","",IF(K1316="",0,D1316*INDEX(Products!$I$5:$I$204,K1316)))</f>
        <v/>
      </c>
      <c r="O1316" s="11">
        <f>IF(A1316="","",IF(K1316="",0,J1316*INDEX(Products!$H$5:$H$204,K1316)))</f>
        <v/>
      </c>
      <c r="P1316" s="11">
        <f>IF(A1316="","",J1316-M1316-N1316-O1316)</f>
        <v/>
      </c>
    </row>
    <row r="1317">
      <c r="A1317">
        <f>IFERROR(INDEX('Etsy Import'!$A:$CZ,1317,Settings!$C$20)&amp;"","")</f>
        <v/>
      </c>
      <c r="B1317">
        <f>IFERROR(INDEX('Etsy Import'!$A:$CZ,1317,Settings!$C$21)&amp;"","")</f>
        <v/>
      </c>
      <c r="C1317">
        <f>IFERROR(INDEX('Etsy Import'!$A:$CZ,1317,Settings!$C$22)&amp;"","")</f>
        <v/>
      </c>
      <c r="D1317">
        <f>IF(A1317="","",IFERROR(VALUE(SUBSTITUTE(SUBSTITUTE(INDEX('Etsy Import'!$A:$CZ,1317,Settings!$C$23)&amp;"","$",""),",","")),0))</f>
        <v/>
      </c>
      <c r="E1317" s="11">
        <f>IF(A1317="","",IFERROR(VALUE(SUBSTITUTE(SUBSTITUTE(INDEX('Etsy Import'!$A:$CZ,1317,Settings!$C$24)&amp;"","$",""),",","")),0))</f>
        <v/>
      </c>
      <c r="F1317" s="11">
        <f>IF(A1317="","",D1317*E1317)</f>
        <v/>
      </c>
      <c r="G1317">
        <f>IF(A1317="","",IF(C1317="",1,COUNTIF($C$2:$C$1501,C1317)))</f>
        <v/>
      </c>
      <c r="H1317" s="11">
        <f>IF(A1317="","",IFERROR(VALUE(SUBSTITUTE(SUBSTITUTE(INDEX('Etsy Import'!$A:$CZ,1317,Settings!$C$25)&amp;"","$",""),",","")),0)/IF(Settings!$B$27="Yes",G1317,1))</f>
        <v/>
      </c>
      <c r="I1317" s="11">
        <f>IF(A1317="","",IFERROR(VALUE(SUBSTITUTE(SUBSTITUTE(INDEX('Etsy Import'!$A:$CZ,1317,Settings!$C$26)&amp;"","$",""),",","")),0)/IF(Settings!$B$27="Yes",G1317,1))</f>
        <v/>
      </c>
      <c r="J1317" s="11">
        <f>IF(A1317="","",F1317+H1317-I1317)</f>
        <v/>
      </c>
      <c r="K1317">
        <f>IF(A1317="","",IFERROR(IF(B1317="",NA(),MATCH(B1317,Products!$B$5:$B$204,0)),IFERROR(MATCH(A1317,Products!$A$5:$A$204,0),"")))</f>
        <v/>
      </c>
      <c r="L1317">
        <f>IF(A1317="","",IF(K1317="","⚠ not in Products",INDEX(Products!$A$5:$A$204,K1317)))</f>
        <v/>
      </c>
      <c r="M1317" s="11">
        <f>IF(A1317="","",J1317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1317+IFERROR(INDEX(Settings!$D$5:$D$9,MATCH("Etsy",Settings!$A$5:$A$9,0)),0)*D1317)</f>
        <v/>
      </c>
      <c r="N1317" s="11">
        <f>IF(A1317="","",IF(K1317="",0,D1317*INDEX(Products!$I$5:$I$204,K1317)))</f>
        <v/>
      </c>
      <c r="O1317" s="11">
        <f>IF(A1317="","",IF(K1317="",0,J1317*INDEX(Products!$H$5:$H$204,K1317)))</f>
        <v/>
      </c>
      <c r="P1317" s="11">
        <f>IF(A1317="","",J1317-M1317-N1317-O1317)</f>
        <v/>
      </c>
    </row>
    <row r="1318">
      <c r="A1318">
        <f>IFERROR(INDEX('Etsy Import'!$A:$CZ,1318,Settings!$C$20)&amp;"","")</f>
        <v/>
      </c>
      <c r="B1318">
        <f>IFERROR(INDEX('Etsy Import'!$A:$CZ,1318,Settings!$C$21)&amp;"","")</f>
        <v/>
      </c>
      <c r="C1318">
        <f>IFERROR(INDEX('Etsy Import'!$A:$CZ,1318,Settings!$C$22)&amp;"","")</f>
        <v/>
      </c>
      <c r="D1318">
        <f>IF(A1318="","",IFERROR(VALUE(SUBSTITUTE(SUBSTITUTE(INDEX('Etsy Import'!$A:$CZ,1318,Settings!$C$23)&amp;"","$",""),",","")),0))</f>
        <v/>
      </c>
      <c r="E1318" s="11">
        <f>IF(A1318="","",IFERROR(VALUE(SUBSTITUTE(SUBSTITUTE(INDEX('Etsy Import'!$A:$CZ,1318,Settings!$C$24)&amp;"","$",""),",","")),0))</f>
        <v/>
      </c>
      <c r="F1318" s="11">
        <f>IF(A1318="","",D1318*E1318)</f>
        <v/>
      </c>
      <c r="G1318">
        <f>IF(A1318="","",IF(C1318="",1,COUNTIF($C$2:$C$1501,C1318)))</f>
        <v/>
      </c>
      <c r="H1318" s="11">
        <f>IF(A1318="","",IFERROR(VALUE(SUBSTITUTE(SUBSTITUTE(INDEX('Etsy Import'!$A:$CZ,1318,Settings!$C$25)&amp;"","$",""),",","")),0)/IF(Settings!$B$27="Yes",G1318,1))</f>
        <v/>
      </c>
      <c r="I1318" s="11">
        <f>IF(A1318="","",IFERROR(VALUE(SUBSTITUTE(SUBSTITUTE(INDEX('Etsy Import'!$A:$CZ,1318,Settings!$C$26)&amp;"","$",""),",","")),0)/IF(Settings!$B$27="Yes",G1318,1))</f>
        <v/>
      </c>
      <c r="J1318" s="11">
        <f>IF(A1318="","",F1318+H1318-I1318)</f>
        <v/>
      </c>
      <c r="K1318">
        <f>IF(A1318="","",IFERROR(IF(B1318="",NA(),MATCH(B1318,Products!$B$5:$B$204,0)),IFERROR(MATCH(A1318,Products!$A$5:$A$204,0),"")))</f>
        <v/>
      </c>
      <c r="L1318">
        <f>IF(A1318="","",IF(K1318="","⚠ not in Products",INDEX(Products!$A$5:$A$204,K1318)))</f>
        <v/>
      </c>
      <c r="M1318" s="11">
        <f>IF(A1318="","",J1318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1318+IFERROR(INDEX(Settings!$D$5:$D$9,MATCH("Etsy",Settings!$A$5:$A$9,0)),0)*D1318)</f>
        <v/>
      </c>
      <c r="N1318" s="11">
        <f>IF(A1318="","",IF(K1318="",0,D1318*INDEX(Products!$I$5:$I$204,K1318)))</f>
        <v/>
      </c>
      <c r="O1318" s="11">
        <f>IF(A1318="","",IF(K1318="",0,J1318*INDEX(Products!$H$5:$H$204,K1318)))</f>
        <v/>
      </c>
      <c r="P1318" s="11">
        <f>IF(A1318="","",J1318-M1318-N1318-O1318)</f>
        <v/>
      </c>
    </row>
    <row r="1319">
      <c r="A1319">
        <f>IFERROR(INDEX('Etsy Import'!$A:$CZ,1319,Settings!$C$20)&amp;"","")</f>
        <v/>
      </c>
      <c r="B1319">
        <f>IFERROR(INDEX('Etsy Import'!$A:$CZ,1319,Settings!$C$21)&amp;"","")</f>
        <v/>
      </c>
      <c r="C1319">
        <f>IFERROR(INDEX('Etsy Import'!$A:$CZ,1319,Settings!$C$22)&amp;"","")</f>
        <v/>
      </c>
      <c r="D1319">
        <f>IF(A1319="","",IFERROR(VALUE(SUBSTITUTE(SUBSTITUTE(INDEX('Etsy Import'!$A:$CZ,1319,Settings!$C$23)&amp;"","$",""),",","")),0))</f>
        <v/>
      </c>
      <c r="E1319" s="11">
        <f>IF(A1319="","",IFERROR(VALUE(SUBSTITUTE(SUBSTITUTE(INDEX('Etsy Import'!$A:$CZ,1319,Settings!$C$24)&amp;"","$",""),",","")),0))</f>
        <v/>
      </c>
      <c r="F1319" s="11">
        <f>IF(A1319="","",D1319*E1319)</f>
        <v/>
      </c>
      <c r="G1319">
        <f>IF(A1319="","",IF(C1319="",1,COUNTIF($C$2:$C$1501,C1319)))</f>
        <v/>
      </c>
      <c r="H1319" s="11">
        <f>IF(A1319="","",IFERROR(VALUE(SUBSTITUTE(SUBSTITUTE(INDEX('Etsy Import'!$A:$CZ,1319,Settings!$C$25)&amp;"","$",""),",","")),0)/IF(Settings!$B$27="Yes",G1319,1))</f>
        <v/>
      </c>
      <c r="I1319" s="11">
        <f>IF(A1319="","",IFERROR(VALUE(SUBSTITUTE(SUBSTITUTE(INDEX('Etsy Import'!$A:$CZ,1319,Settings!$C$26)&amp;"","$",""),",","")),0)/IF(Settings!$B$27="Yes",G1319,1))</f>
        <v/>
      </c>
      <c r="J1319" s="11">
        <f>IF(A1319="","",F1319+H1319-I1319)</f>
        <v/>
      </c>
      <c r="K1319">
        <f>IF(A1319="","",IFERROR(IF(B1319="",NA(),MATCH(B1319,Products!$B$5:$B$204,0)),IFERROR(MATCH(A1319,Products!$A$5:$A$204,0),"")))</f>
        <v/>
      </c>
      <c r="L1319">
        <f>IF(A1319="","",IF(K1319="","⚠ not in Products",INDEX(Products!$A$5:$A$204,K1319)))</f>
        <v/>
      </c>
      <c r="M1319" s="11">
        <f>IF(A1319="","",J1319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1319+IFERROR(INDEX(Settings!$D$5:$D$9,MATCH("Etsy",Settings!$A$5:$A$9,0)),0)*D1319)</f>
        <v/>
      </c>
      <c r="N1319" s="11">
        <f>IF(A1319="","",IF(K1319="",0,D1319*INDEX(Products!$I$5:$I$204,K1319)))</f>
        <v/>
      </c>
      <c r="O1319" s="11">
        <f>IF(A1319="","",IF(K1319="",0,J1319*INDEX(Products!$H$5:$H$204,K1319)))</f>
        <v/>
      </c>
      <c r="P1319" s="11">
        <f>IF(A1319="","",J1319-M1319-N1319-O1319)</f>
        <v/>
      </c>
    </row>
    <row r="1320">
      <c r="A1320">
        <f>IFERROR(INDEX('Etsy Import'!$A:$CZ,1320,Settings!$C$20)&amp;"","")</f>
        <v/>
      </c>
      <c r="B1320">
        <f>IFERROR(INDEX('Etsy Import'!$A:$CZ,1320,Settings!$C$21)&amp;"","")</f>
        <v/>
      </c>
      <c r="C1320">
        <f>IFERROR(INDEX('Etsy Import'!$A:$CZ,1320,Settings!$C$22)&amp;"","")</f>
        <v/>
      </c>
      <c r="D1320">
        <f>IF(A1320="","",IFERROR(VALUE(SUBSTITUTE(SUBSTITUTE(INDEX('Etsy Import'!$A:$CZ,1320,Settings!$C$23)&amp;"","$",""),",","")),0))</f>
        <v/>
      </c>
      <c r="E1320" s="11">
        <f>IF(A1320="","",IFERROR(VALUE(SUBSTITUTE(SUBSTITUTE(INDEX('Etsy Import'!$A:$CZ,1320,Settings!$C$24)&amp;"","$",""),",","")),0))</f>
        <v/>
      </c>
      <c r="F1320" s="11">
        <f>IF(A1320="","",D1320*E1320)</f>
        <v/>
      </c>
      <c r="G1320">
        <f>IF(A1320="","",IF(C1320="",1,COUNTIF($C$2:$C$1501,C1320)))</f>
        <v/>
      </c>
      <c r="H1320" s="11">
        <f>IF(A1320="","",IFERROR(VALUE(SUBSTITUTE(SUBSTITUTE(INDEX('Etsy Import'!$A:$CZ,1320,Settings!$C$25)&amp;"","$",""),",","")),0)/IF(Settings!$B$27="Yes",G1320,1))</f>
        <v/>
      </c>
      <c r="I1320" s="11">
        <f>IF(A1320="","",IFERROR(VALUE(SUBSTITUTE(SUBSTITUTE(INDEX('Etsy Import'!$A:$CZ,1320,Settings!$C$26)&amp;"","$",""),",","")),0)/IF(Settings!$B$27="Yes",G1320,1))</f>
        <v/>
      </c>
      <c r="J1320" s="11">
        <f>IF(A1320="","",F1320+H1320-I1320)</f>
        <v/>
      </c>
      <c r="K1320">
        <f>IF(A1320="","",IFERROR(IF(B1320="",NA(),MATCH(B1320,Products!$B$5:$B$204,0)),IFERROR(MATCH(A1320,Products!$A$5:$A$204,0),"")))</f>
        <v/>
      </c>
      <c r="L1320">
        <f>IF(A1320="","",IF(K1320="","⚠ not in Products",INDEX(Products!$A$5:$A$204,K1320)))</f>
        <v/>
      </c>
      <c r="M1320" s="11">
        <f>IF(A1320="","",J1320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1320+IFERROR(INDEX(Settings!$D$5:$D$9,MATCH("Etsy",Settings!$A$5:$A$9,0)),0)*D1320)</f>
        <v/>
      </c>
      <c r="N1320" s="11">
        <f>IF(A1320="","",IF(K1320="",0,D1320*INDEX(Products!$I$5:$I$204,K1320)))</f>
        <v/>
      </c>
      <c r="O1320" s="11">
        <f>IF(A1320="","",IF(K1320="",0,J1320*INDEX(Products!$H$5:$H$204,K1320)))</f>
        <v/>
      </c>
      <c r="P1320" s="11">
        <f>IF(A1320="","",J1320-M1320-N1320-O1320)</f>
        <v/>
      </c>
    </row>
    <row r="1321">
      <c r="A1321">
        <f>IFERROR(INDEX('Etsy Import'!$A:$CZ,1321,Settings!$C$20)&amp;"","")</f>
        <v/>
      </c>
      <c r="B1321">
        <f>IFERROR(INDEX('Etsy Import'!$A:$CZ,1321,Settings!$C$21)&amp;"","")</f>
        <v/>
      </c>
      <c r="C1321">
        <f>IFERROR(INDEX('Etsy Import'!$A:$CZ,1321,Settings!$C$22)&amp;"","")</f>
        <v/>
      </c>
      <c r="D1321">
        <f>IF(A1321="","",IFERROR(VALUE(SUBSTITUTE(SUBSTITUTE(INDEX('Etsy Import'!$A:$CZ,1321,Settings!$C$23)&amp;"","$",""),",","")),0))</f>
        <v/>
      </c>
      <c r="E1321" s="11">
        <f>IF(A1321="","",IFERROR(VALUE(SUBSTITUTE(SUBSTITUTE(INDEX('Etsy Import'!$A:$CZ,1321,Settings!$C$24)&amp;"","$",""),",","")),0))</f>
        <v/>
      </c>
      <c r="F1321" s="11">
        <f>IF(A1321="","",D1321*E1321)</f>
        <v/>
      </c>
      <c r="G1321">
        <f>IF(A1321="","",IF(C1321="",1,COUNTIF($C$2:$C$1501,C1321)))</f>
        <v/>
      </c>
      <c r="H1321" s="11">
        <f>IF(A1321="","",IFERROR(VALUE(SUBSTITUTE(SUBSTITUTE(INDEX('Etsy Import'!$A:$CZ,1321,Settings!$C$25)&amp;"","$",""),",","")),0)/IF(Settings!$B$27="Yes",G1321,1))</f>
        <v/>
      </c>
      <c r="I1321" s="11">
        <f>IF(A1321="","",IFERROR(VALUE(SUBSTITUTE(SUBSTITUTE(INDEX('Etsy Import'!$A:$CZ,1321,Settings!$C$26)&amp;"","$",""),",","")),0)/IF(Settings!$B$27="Yes",G1321,1))</f>
        <v/>
      </c>
      <c r="J1321" s="11">
        <f>IF(A1321="","",F1321+H1321-I1321)</f>
        <v/>
      </c>
      <c r="K1321">
        <f>IF(A1321="","",IFERROR(IF(B1321="",NA(),MATCH(B1321,Products!$B$5:$B$204,0)),IFERROR(MATCH(A1321,Products!$A$5:$A$204,0),"")))</f>
        <v/>
      </c>
      <c r="L1321">
        <f>IF(A1321="","",IF(K1321="","⚠ not in Products",INDEX(Products!$A$5:$A$204,K1321)))</f>
        <v/>
      </c>
      <c r="M1321" s="11">
        <f>IF(A1321="","",J1321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1321+IFERROR(INDEX(Settings!$D$5:$D$9,MATCH("Etsy",Settings!$A$5:$A$9,0)),0)*D1321)</f>
        <v/>
      </c>
      <c r="N1321" s="11">
        <f>IF(A1321="","",IF(K1321="",0,D1321*INDEX(Products!$I$5:$I$204,K1321)))</f>
        <v/>
      </c>
      <c r="O1321" s="11">
        <f>IF(A1321="","",IF(K1321="",0,J1321*INDEX(Products!$H$5:$H$204,K1321)))</f>
        <v/>
      </c>
      <c r="P1321" s="11">
        <f>IF(A1321="","",J1321-M1321-N1321-O1321)</f>
        <v/>
      </c>
    </row>
    <row r="1322">
      <c r="A1322">
        <f>IFERROR(INDEX('Etsy Import'!$A:$CZ,1322,Settings!$C$20)&amp;"","")</f>
        <v/>
      </c>
      <c r="B1322">
        <f>IFERROR(INDEX('Etsy Import'!$A:$CZ,1322,Settings!$C$21)&amp;"","")</f>
        <v/>
      </c>
      <c r="C1322">
        <f>IFERROR(INDEX('Etsy Import'!$A:$CZ,1322,Settings!$C$22)&amp;"","")</f>
        <v/>
      </c>
      <c r="D1322">
        <f>IF(A1322="","",IFERROR(VALUE(SUBSTITUTE(SUBSTITUTE(INDEX('Etsy Import'!$A:$CZ,1322,Settings!$C$23)&amp;"","$",""),",","")),0))</f>
        <v/>
      </c>
      <c r="E1322" s="11">
        <f>IF(A1322="","",IFERROR(VALUE(SUBSTITUTE(SUBSTITUTE(INDEX('Etsy Import'!$A:$CZ,1322,Settings!$C$24)&amp;"","$",""),",","")),0))</f>
        <v/>
      </c>
      <c r="F1322" s="11">
        <f>IF(A1322="","",D1322*E1322)</f>
        <v/>
      </c>
      <c r="G1322">
        <f>IF(A1322="","",IF(C1322="",1,COUNTIF($C$2:$C$1501,C1322)))</f>
        <v/>
      </c>
      <c r="H1322" s="11">
        <f>IF(A1322="","",IFERROR(VALUE(SUBSTITUTE(SUBSTITUTE(INDEX('Etsy Import'!$A:$CZ,1322,Settings!$C$25)&amp;"","$",""),",","")),0)/IF(Settings!$B$27="Yes",G1322,1))</f>
        <v/>
      </c>
      <c r="I1322" s="11">
        <f>IF(A1322="","",IFERROR(VALUE(SUBSTITUTE(SUBSTITUTE(INDEX('Etsy Import'!$A:$CZ,1322,Settings!$C$26)&amp;"","$",""),",","")),0)/IF(Settings!$B$27="Yes",G1322,1))</f>
        <v/>
      </c>
      <c r="J1322" s="11">
        <f>IF(A1322="","",F1322+H1322-I1322)</f>
        <v/>
      </c>
      <c r="K1322">
        <f>IF(A1322="","",IFERROR(IF(B1322="",NA(),MATCH(B1322,Products!$B$5:$B$204,0)),IFERROR(MATCH(A1322,Products!$A$5:$A$204,0),"")))</f>
        <v/>
      </c>
      <c r="L1322">
        <f>IF(A1322="","",IF(K1322="","⚠ not in Products",INDEX(Products!$A$5:$A$204,K1322)))</f>
        <v/>
      </c>
      <c r="M1322" s="11">
        <f>IF(A1322="","",J1322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1322+IFERROR(INDEX(Settings!$D$5:$D$9,MATCH("Etsy",Settings!$A$5:$A$9,0)),0)*D1322)</f>
        <v/>
      </c>
      <c r="N1322" s="11">
        <f>IF(A1322="","",IF(K1322="",0,D1322*INDEX(Products!$I$5:$I$204,K1322)))</f>
        <v/>
      </c>
      <c r="O1322" s="11">
        <f>IF(A1322="","",IF(K1322="",0,J1322*INDEX(Products!$H$5:$H$204,K1322)))</f>
        <v/>
      </c>
      <c r="P1322" s="11">
        <f>IF(A1322="","",J1322-M1322-N1322-O1322)</f>
        <v/>
      </c>
    </row>
    <row r="1323">
      <c r="A1323">
        <f>IFERROR(INDEX('Etsy Import'!$A:$CZ,1323,Settings!$C$20)&amp;"","")</f>
        <v/>
      </c>
      <c r="B1323">
        <f>IFERROR(INDEX('Etsy Import'!$A:$CZ,1323,Settings!$C$21)&amp;"","")</f>
        <v/>
      </c>
      <c r="C1323">
        <f>IFERROR(INDEX('Etsy Import'!$A:$CZ,1323,Settings!$C$22)&amp;"","")</f>
        <v/>
      </c>
      <c r="D1323">
        <f>IF(A1323="","",IFERROR(VALUE(SUBSTITUTE(SUBSTITUTE(INDEX('Etsy Import'!$A:$CZ,1323,Settings!$C$23)&amp;"","$",""),",","")),0))</f>
        <v/>
      </c>
      <c r="E1323" s="11">
        <f>IF(A1323="","",IFERROR(VALUE(SUBSTITUTE(SUBSTITUTE(INDEX('Etsy Import'!$A:$CZ,1323,Settings!$C$24)&amp;"","$",""),",","")),0))</f>
        <v/>
      </c>
      <c r="F1323" s="11">
        <f>IF(A1323="","",D1323*E1323)</f>
        <v/>
      </c>
      <c r="G1323">
        <f>IF(A1323="","",IF(C1323="",1,COUNTIF($C$2:$C$1501,C1323)))</f>
        <v/>
      </c>
      <c r="H1323" s="11">
        <f>IF(A1323="","",IFERROR(VALUE(SUBSTITUTE(SUBSTITUTE(INDEX('Etsy Import'!$A:$CZ,1323,Settings!$C$25)&amp;"","$",""),",","")),0)/IF(Settings!$B$27="Yes",G1323,1))</f>
        <v/>
      </c>
      <c r="I1323" s="11">
        <f>IF(A1323="","",IFERROR(VALUE(SUBSTITUTE(SUBSTITUTE(INDEX('Etsy Import'!$A:$CZ,1323,Settings!$C$26)&amp;"","$",""),",","")),0)/IF(Settings!$B$27="Yes",G1323,1))</f>
        <v/>
      </c>
      <c r="J1323" s="11">
        <f>IF(A1323="","",F1323+H1323-I1323)</f>
        <v/>
      </c>
      <c r="K1323">
        <f>IF(A1323="","",IFERROR(IF(B1323="",NA(),MATCH(B1323,Products!$B$5:$B$204,0)),IFERROR(MATCH(A1323,Products!$A$5:$A$204,0),"")))</f>
        <v/>
      </c>
      <c r="L1323">
        <f>IF(A1323="","",IF(K1323="","⚠ not in Products",INDEX(Products!$A$5:$A$204,K1323)))</f>
        <v/>
      </c>
      <c r="M1323" s="11">
        <f>IF(A1323="","",J1323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1323+IFERROR(INDEX(Settings!$D$5:$D$9,MATCH("Etsy",Settings!$A$5:$A$9,0)),0)*D1323)</f>
        <v/>
      </c>
      <c r="N1323" s="11">
        <f>IF(A1323="","",IF(K1323="",0,D1323*INDEX(Products!$I$5:$I$204,K1323)))</f>
        <v/>
      </c>
      <c r="O1323" s="11">
        <f>IF(A1323="","",IF(K1323="",0,J1323*INDEX(Products!$H$5:$H$204,K1323)))</f>
        <v/>
      </c>
      <c r="P1323" s="11">
        <f>IF(A1323="","",J1323-M1323-N1323-O1323)</f>
        <v/>
      </c>
    </row>
    <row r="1324">
      <c r="A1324">
        <f>IFERROR(INDEX('Etsy Import'!$A:$CZ,1324,Settings!$C$20)&amp;"","")</f>
        <v/>
      </c>
      <c r="B1324">
        <f>IFERROR(INDEX('Etsy Import'!$A:$CZ,1324,Settings!$C$21)&amp;"","")</f>
        <v/>
      </c>
      <c r="C1324">
        <f>IFERROR(INDEX('Etsy Import'!$A:$CZ,1324,Settings!$C$22)&amp;"","")</f>
        <v/>
      </c>
      <c r="D1324">
        <f>IF(A1324="","",IFERROR(VALUE(SUBSTITUTE(SUBSTITUTE(INDEX('Etsy Import'!$A:$CZ,1324,Settings!$C$23)&amp;"","$",""),",","")),0))</f>
        <v/>
      </c>
      <c r="E1324" s="11">
        <f>IF(A1324="","",IFERROR(VALUE(SUBSTITUTE(SUBSTITUTE(INDEX('Etsy Import'!$A:$CZ,1324,Settings!$C$24)&amp;"","$",""),",","")),0))</f>
        <v/>
      </c>
      <c r="F1324" s="11">
        <f>IF(A1324="","",D1324*E1324)</f>
        <v/>
      </c>
      <c r="G1324">
        <f>IF(A1324="","",IF(C1324="",1,COUNTIF($C$2:$C$1501,C1324)))</f>
        <v/>
      </c>
      <c r="H1324" s="11">
        <f>IF(A1324="","",IFERROR(VALUE(SUBSTITUTE(SUBSTITUTE(INDEX('Etsy Import'!$A:$CZ,1324,Settings!$C$25)&amp;"","$",""),",","")),0)/IF(Settings!$B$27="Yes",G1324,1))</f>
        <v/>
      </c>
      <c r="I1324" s="11">
        <f>IF(A1324="","",IFERROR(VALUE(SUBSTITUTE(SUBSTITUTE(INDEX('Etsy Import'!$A:$CZ,1324,Settings!$C$26)&amp;"","$",""),",","")),0)/IF(Settings!$B$27="Yes",G1324,1))</f>
        <v/>
      </c>
      <c r="J1324" s="11">
        <f>IF(A1324="","",F1324+H1324-I1324)</f>
        <v/>
      </c>
      <c r="K1324">
        <f>IF(A1324="","",IFERROR(IF(B1324="",NA(),MATCH(B1324,Products!$B$5:$B$204,0)),IFERROR(MATCH(A1324,Products!$A$5:$A$204,0),"")))</f>
        <v/>
      </c>
      <c r="L1324">
        <f>IF(A1324="","",IF(K1324="","⚠ not in Products",INDEX(Products!$A$5:$A$204,K1324)))</f>
        <v/>
      </c>
      <c r="M1324" s="11">
        <f>IF(A1324="","",J1324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1324+IFERROR(INDEX(Settings!$D$5:$D$9,MATCH("Etsy",Settings!$A$5:$A$9,0)),0)*D1324)</f>
        <v/>
      </c>
      <c r="N1324" s="11">
        <f>IF(A1324="","",IF(K1324="",0,D1324*INDEX(Products!$I$5:$I$204,K1324)))</f>
        <v/>
      </c>
      <c r="O1324" s="11">
        <f>IF(A1324="","",IF(K1324="",0,J1324*INDEX(Products!$H$5:$H$204,K1324)))</f>
        <v/>
      </c>
      <c r="P1324" s="11">
        <f>IF(A1324="","",J1324-M1324-N1324-O1324)</f>
        <v/>
      </c>
    </row>
    <row r="1325">
      <c r="A1325">
        <f>IFERROR(INDEX('Etsy Import'!$A:$CZ,1325,Settings!$C$20)&amp;"","")</f>
        <v/>
      </c>
      <c r="B1325">
        <f>IFERROR(INDEX('Etsy Import'!$A:$CZ,1325,Settings!$C$21)&amp;"","")</f>
        <v/>
      </c>
      <c r="C1325">
        <f>IFERROR(INDEX('Etsy Import'!$A:$CZ,1325,Settings!$C$22)&amp;"","")</f>
        <v/>
      </c>
      <c r="D1325">
        <f>IF(A1325="","",IFERROR(VALUE(SUBSTITUTE(SUBSTITUTE(INDEX('Etsy Import'!$A:$CZ,1325,Settings!$C$23)&amp;"","$",""),",","")),0))</f>
        <v/>
      </c>
      <c r="E1325" s="11">
        <f>IF(A1325="","",IFERROR(VALUE(SUBSTITUTE(SUBSTITUTE(INDEX('Etsy Import'!$A:$CZ,1325,Settings!$C$24)&amp;"","$",""),",","")),0))</f>
        <v/>
      </c>
      <c r="F1325" s="11">
        <f>IF(A1325="","",D1325*E1325)</f>
        <v/>
      </c>
      <c r="G1325">
        <f>IF(A1325="","",IF(C1325="",1,COUNTIF($C$2:$C$1501,C1325)))</f>
        <v/>
      </c>
      <c r="H1325" s="11">
        <f>IF(A1325="","",IFERROR(VALUE(SUBSTITUTE(SUBSTITUTE(INDEX('Etsy Import'!$A:$CZ,1325,Settings!$C$25)&amp;"","$",""),",","")),0)/IF(Settings!$B$27="Yes",G1325,1))</f>
        <v/>
      </c>
      <c r="I1325" s="11">
        <f>IF(A1325="","",IFERROR(VALUE(SUBSTITUTE(SUBSTITUTE(INDEX('Etsy Import'!$A:$CZ,1325,Settings!$C$26)&amp;"","$",""),",","")),0)/IF(Settings!$B$27="Yes",G1325,1))</f>
        <v/>
      </c>
      <c r="J1325" s="11">
        <f>IF(A1325="","",F1325+H1325-I1325)</f>
        <v/>
      </c>
      <c r="K1325">
        <f>IF(A1325="","",IFERROR(IF(B1325="",NA(),MATCH(B1325,Products!$B$5:$B$204,0)),IFERROR(MATCH(A1325,Products!$A$5:$A$204,0),"")))</f>
        <v/>
      </c>
      <c r="L1325">
        <f>IF(A1325="","",IF(K1325="","⚠ not in Products",INDEX(Products!$A$5:$A$204,K1325)))</f>
        <v/>
      </c>
      <c r="M1325" s="11">
        <f>IF(A1325="","",J1325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1325+IFERROR(INDEX(Settings!$D$5:$D$9,MATCH("Etsy",Settings!$A$5:$A$9,0)),0)*D1325)</f>
        <v/>
      </c>
      <c r="N1325" s="11">
        <f>IF(A1325="","",IF(K1325="",0,D1325*INDEX(Products!$I$5:$I$204,K1325)))</f>
        <v/>
      </c>
      <c r="O1325" s="11">
        <f>IF(A1325="","",IF(K1325="",0,J1325*INDEX(Products!$H$5:$H$204,K1325)))</f>
        <v/>
      </c>
      <c r="P1325" s="11">
        <f>IF(A1325="","",J1325-M1325-N1325-O1325)</f>
        <v/>
      </c>
    </row>
    <row r="1326">
      <c r="A1326">
        <f>IFERROR(INDEX('Etsy Import'!$A:$CZ,1326,Settings!$C$20)&amp;"","")</f>
        <v/>
      </c>
      <c r="B1326">
        <f>IFERROR(INDEX('Etsy Import'!$A:$CZ,1326,Settings!$C$21)&amp;"","")</f>
        <v/>
      </c>
      <c r="C1326">
        <f>IFERROR(INDEX('Etsy Import'!$A:$CZ,1326,Settings!$C$22)&amp;"","")</f>
        <v/>
      </c>
      <c r="D1326">
        <f>IF(A1326="","",IFERROR(VALUE(SUBSTITUTE(SUBSTITUTE(INDEX('Etsy Import'!$A:$CZ,1326,Settings!$C$23)&amp;"","$",""),",","")),0))</f>
        <v/>
      </c>
      <c r="E1326" s="11">
        <f>IF(A1326="","",IFERROR(VALUE(SUBSTITUTE(SUBSTITUTE(INDEX('Etsy Import'!$A:$CZ,1326,Settings!$C$24)&amp;"","$",""),",","")),0))</f>
        <v/>
      </c>
      <c r="F1326" s="11">
        <f>IF(A1326="","",D1326*E1326)</f>
        <v/>
      </c>
      <c r="G1326">
        <f>IF(A1326="","",IF(C1326="",1,COUNTIF($C$2:$C$1501,C1326)))</f>
        <v/>
      </c>
      <c r="H1326" s="11">
        <f>IF(A1326="","",IFERROR(VALUE(SUBSTITUTE(SUBSTITUTE(INDEX('Etsy Import'!$A:$CZ,1326,Settings!$C$25)&amp;"","$",""),",","")),0)/IF(Settings!$B$27="Yes",G1326,1))</f>
        <v/>
      </c>
      <c r="I1326" s="11">
        <f>IF(A1326="","",IFERROR(VALUE(SUBSTITUTE(SUBSTITUTE(INDEX('Etsy Import'!$A:$CZ,1326,Settings!$C$26)&amp;"","$",""),",","")),0)/IF(Settings!$B$27="Yes",G1326,1))</f>
        <v/>
      </c>
      <c r="J1326" s="11">
        <f>IF(A1326="","",F1326+H1326-I1326)</f>
        <v/>
      </c>
      <c r="K1326">
        <f>IF(A1326="","",IFERROR(IF(B1326="",NA(),MATCH(B1326,Products!$B$5:$B$204,0)),IFERROR(MATCH(A1326,Products!$A$5:$A$204,0),"")))</f>
        <v/>
      </c>
      <c r="L1326">
        <f>IF(A1326="","",IF(K1326="","⚠ not in Products",INDEX(Products!$A$5:$A$204,K1326)))</f>
        <v/>
      </c>
      <c r="M1326" s="11">
        <f>IF(A1326="","",J1326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1326+IFERROR(INDEX(Settings!$D$5:$D$9,MATCH("Etsy",Settings!$A$5:$A$9,0)),0)*D1326)</f>
        <v/>
      </c>
      <c r="N1326" s="11">
        <f>IF(A1326="","",IF(K1326="",0,D1326*INDEX(Products!$I$5:$I$204,K1326)))</f>
        <v/>
      </c>
      <c r="O1326" s="11">
        <f>IF(A1326="","",IF(K1326="",0,J1326*INDEX(Products!$H$5:$H$204,K1326)))</f>
        <v/>
      </c>
      <c r="P1326" s="11">
        <f>IF(A1326="","",J1326-M1326-N1326-O1326)</f>
        <v/>
      </c>
    </row>
    <row r="1327">
      <c r="A1327">
        <f>IFERROR(INDEX('Etsy Import'!$A:$CZ,1327,Settings!$C$20)&amp;"","")</f>
        <v/>
      </c>
      <c r="B1327">
        <f>IFERROR(INDEX('Etsy Import'!$A:$CZ,1327,Settings!$C$21)&amp;"","")</f>
        <v/>
      </c>
      <c r="C1327">
        <f>IFERROR(INDEX('Etsy Import'!$A:$CZ,1327,Settings!$C$22)&amp;"","")</f>
        <v/>
      </c>
      <c r="D1327">
        <f>IF(A1327="","",IFERROR(VALUE(SUBSTITUTE(SUBSTITUTE(INDEX('Etsy Import'!$A:$CZ,1327,Settings!$C$23)&amp;"","$",""),",","")),0))</f>
        <v/>
      </c>
      <c r="E1327" s="11">
        <f>IF(A1327="","",IFERROR(VALUE(SUBSTITUTE(SUBSTITUTE(INDEX('Etsy Import'!$A:$CZ,1327,Settings!$C$24)&amp;"","$",""),",","")),0))</f>
        <v/>
      </c>
      <c r="F1327" s="11">
        <f>IF(A1327="","",D1327*E1327)</f>
        <v/>
      </c>
      <c r="G1327">
        <f>IF(A1327="","",IF(C1327="",1,COUNTIF($C$2:$C$1501,C1327)))</f>
        <v/>
      </c>
      <c r="H1327" s="11">
        <f>IF(A1327="","",IFERROR(VALUE(SUBSTITUTE(SUBSTITUTE(INDEX('Etsy Import'!$A:$CZ,1327,Settings!$C$25)&amp;"","$",""),",","")),0)/IF(Settings!$B$27="Yes",G1327,1))</f>
        <v/>
      </c>
      <c r="I1327" s="11">
        <f>IF(A1327="","",IFERROR(VALUE(SUBSTITUTE(SUBSTITUTE(INDEX('Etsy Import'!$A:$CZ,1327,Settings!$C$26)&amp;"","$",""),",","")),0)/IF(Settings!$B$27="Yes",G1327,1))</f>
        <v/>
      </c>
      <c r="J1327" s="11">
        <f>IF(A1327="","",F1327+H1327-I1327)</f>
        <v/>
      </c>
      <c r="K1327">
        <f>IF(A1327="","",IFERROR(IF(B1327="",NA(),MATCH(B1327,Products!$B$5:$B$204,0)),IFERROR(MATCH(A1327,Products!$A$5:$A$204,0),"")))</f>
        <v/>
      </c>
      <c r="L1327">
        <f>IF(A1327="","",IF(K1327="","⚠ not in Products",INDEX(Products!$A$5:$A$204,K1327)))</f>
        <v/>
      </c>
      <c r="M1327" s="11">
        <f>IF(A1327="","",J1327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1327+IFERROR(INDEX(Settings!$D$5:$D$9,MATCH("Etsy",Settings!$A$5:$A$9,0)),0)*D1327)</f>
        <v/>
      </c>
      <c r="N1327" s="11">
        <f>IF(A1327="","",IF(K1327="",0,D1327*INDEX(Products!$I$5:$I$204,K1327)))</f>
        <v/>
      </c>
      <c r="O1327" s="11">
        <f>IF(A1327="","",IF(K1327="",0,J1327*INDEX(Products!$H$5:$H$204,K1327)))</f>
        <v/>
      </c>
      <c r="P1327" s="11">
        <f>IF(A1327="","",J1327-M1327-N1327-O1327)</f>
        <v/>
      </c>
    </row>
    <row r="1328">
      <c r="A1328">
        <f>IFERROR(INDEX('Etsy Import'!$A:$CZ,1328,Settings!$C$20)&amp;"","")</f>
        <v/>
      </c>
      <c r="B1328">
        <f>IFERROR(INDEX('Etsy Import'!$A:$CZ,1328,Settings!$C$21)&amp;"","")</f>
        <v/>
      </c>
      <c r="C1328">
        <f>IFERROR(INDEX('Etsy Import'!$A:$CZ,1328,Settings!$C$22)&amp;"","")</f>
        <v/>
      </c>
      <c r="D1328">
        <f>IF(A1328="","",IFERROR(VALUE(SUBSTITUTE(SUBSTITUTE(INDEX('Etsy Import'!$A:$CZ,1328,Settings!$C$23)&amp;"","$",""),",","")),0))</f>
        <v/>
      </c>
      <c r="E1328" s="11">
        <f>IF(A1328="","",IFERROR(VALUE(SUBSTITUTE(SUBSTITUTE(INDEX('Etsy Import'!$A:$CZ,1328,Settings!$C$24)&amp;"","$",""),",","")),0))</f>
        <v/>
      </c>
      <c r="F1328" s="11">
        <f>IF(A1328="","",D1328*E1328)</f>
        <v/>
      </c>
      <c r="G1328">
        <f>IF(A1328="","",IF(C1328="",1,COUNTIF($C$2:$C$1501,C1328)))</f>
        <v/>
      </c>
      <c r="H1328" s="11">
        <f>IF(A1328="","",IFERROR(VALUE(SUBSTITUTE(SUBSTITUTE(INDEX('Etsy Import'!$A:$CZ,1328,Settings!$C$25)&amp;"","$",""),",","")),0)/IF(Settings!$B$27="Yes",G1328,1))</f>
        <v/>
      </c>
      <c r="I1328" s="11">
        <f>IF(A1328="","",IFERROR(VALUE(SUBSTITUTE(SUBSTITUTE(INDEX('Etsy Import'!$A:$CZ,1328,Settings!$C$26)&amp;"","$",""),",","")),0)/IF(Settings!$B$27="Yes",G1328,1))</f>
        <v/>
      </c>
      <c r="J1328" s="11">
        <f>IF(A1328="","",F1328+H1328-I1328)</f>
        <v/>
      </c>
      <c r="K1328">
        <f>IF(A1328="","",IFERROR(IF(B1328="",NA(),MATCH(B1328,Products!$B$5:$B$204,0)),IFERROR(MATCH(A1328,Products!$A$5:$A$204,0),"")))</f>
        <v/>
      </c>
      <c r="L1328">
        <f>IF(A1328="","",IF(K1328="","⚠ not in Products",INDEX(Products!$A$5:$A$204,K1328)))</f>
        <v/>
      </c>
      <c r="M1328" s="11">
        <f>IF(A1328="","",J1328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1328+IFERROR(INDEX(Settings!$D$5:$D$9,MATCH("Etsy",Settings!$A$5:$A$9,0)),0)*D1328)</f>
        <v/>
      </c>
      <c r="N1328" s="11">
        <f>IF(A1328="","",IF(K1328="",0,D1328*INDEX(Products!$I$5:$I$204,K1328)))</f>
        <v/>
      </c>
      <c r="O1328" s="11">
        <f>IF(A1328="","",IF(K1328="",0,J1328*INDEX(Products!$H$5:$H$204,K1328)))</f>
        <v/>
      </c>
      <c r="P1328" s="11">
        <f>IF(A1328="","",J1328-M1328-N1328-O1328)</f>
        <v/>
      </c>
    </row>
    <row r="1329">
      <c r="A1329">
        <f>IFERROR(INDEX('Etsy Import'!$A:$CZ,1329,Settings!$C$20)&amp;"","")</f>
        <v/>
      </c>
      <c r="B1329">
        <f>IFERROR(INDEX('Etsy Import'!$A:$CZ,1329,Settings!$C$21)&amp;"","")</f>
        <v/>
      </c>
      <c r="C1329">
        <f>IFERROR(INDEX('Etsy Import'!$A:$CZ,1329,Settings!$C$22)&amp;"","")</f>
        <v/>
      </c>
      <c r="D1329">
        <f>IF(A1329="","",IFERROR(VALUE(SUBSTITUTE(SUBSTITUTE(INDEX('Etsy Import'!$A:$CZ,1329,Settings!$C$23)&amp;"","$",""),",","")),0))</f>
        <v/>
      </c>
      <c r="E1329" s="11">
        <f>IF(A1329="","",IFERROR(VALUE(SUBSTITUTE(SUBSTITUTE(INDEX('Etsy Import'!$A:$CZ,1329,Settings!$C$24)&amp;"","$",""),",","")),0))</f>
        <v/>
      </c>
      <c r="F1329" s="11">
        <f>IF(A1329="","",D1329*E1329)</f>
        <v/>
      </c>
      <c r="G1329">
        <f>IF(A1329="","",IF(C1329="",1,COUNTIF($C$2:$C$1501,C1329)))</f>
        <v/>
      </c>
      <c r="H1329" s="11">
        <f>IF(A1329="","",IFERROR(VALUE(SUBSTITUTE(SUBSTITUTE(INDEX('Etsy Import'!$A:$CZ,1329,Settings!$C$25)&amp;"","$",""),",","")),0)/IF(Settings!$B$27="Yes",G1329,1))</f>
        <v/>
      </c>
      <c r="I1329" s="11">
        <f>IF(A1329="","",IFERROR(VALUE(SUBSTITUTE(SUBSTITUTE(INDEX('Etsy Import'!$A:$CZ,1329,Settings!$C$26)&amp;"","$",""),",","")),0)/IF(Settings!$B$27="Yes",G1329,1))</f>
        <v/>
      </c>
      <c r="J1329" s="11">
        <f>IF(A1329="","",F1329+H1329-I1329)</f>
        <v/>
      </c>
      <c r="K1329">
        <f>IF(A1329="","",IFERROR(IF(B1329="",NA(),MATCH(B1329,Products!$B$5:$B$204,0)),IFERROR(MATCH(A1329,Products!$A$5:$A$204,0),"")))</f>
        <v/>
      </c>
      <c r="L1329">
        <f>IF(A1329="","",IF(K1329="","⚠ not in Products",INDEX(Products!$A$5:$A$204,K1329)))</f>
        <v/>
      </c>
      <c r="M1329" s="11">
        <f>IF(A1329="","",J1329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1329+IFERROR(INDEX(Settings!$D$5:$D$9,MATCH("Etsy",Settings!$A$5:$A$9,0)),0)*D1329)</f>
        <v/>
      </c>
      <c r="N1329" s="11">
        <f>IF(A1329="","",IF(K1329="",0,D1329*INDEX(Products!$I$5:$I$204,K1329)))</f>
        <v/>
      </c>
      <c r="O1329" s="11">
        <f>IF(A1329="","",IF(K1329="",0,J1329*INDEX(Products!$H$5:$H$204,K1329)))</f>
        <v/>
      </c>
      <c r="P1329" s="11">
        <f>IF(A1329="","",J1329-M1329-N1329-O1329)</f>
        <v/>
      </c>
    </row>
    <row r="1330">
      <c r="A1330">
        <f>IFERROR(INDEX('Etsy Import'!$A:$CZ,1330,Settings!$C$20)&amp;"","")</f>
        <v/>
      </c>
      <c r="B1330">
        <f>IFERROR(INDEX('Etsy Import'!$A:$CZ,1330,Settings!$C$21)&amp;"","")</f>
        <v/>
      </c>
      <c r="C1330">
        <f>IFERROR(INDEX('Etsy Import'!$A:$CZ,1330,Settings!$C$22)&amp;"","")</f>
        <v/>
      </c>
      <c r="D1330">
        <f>IF(A1330="","",IFERROR(VALUE(SUBSTITUTE(SUBSTITUTE(INDEX('Etsy Import'!$A:$CZ,1330,Settings!$C$23)&amp;"","$",""),",","")),0))</f>
        <v/>
      </c>
      <c r="E1330" s="11">
        <f>IF(A1330="","",IFERROR(VALUE(SUBSTITUTE(SUBSTITUTE(INDEX('Etsy Import'!$A:$CZ,1330,Settings!$C$24)&amp;"","$",""),",","")),0))</f>
        <v/>
      </c>
      <c r="F1330" s="11">
        <f>IF(A1330="","",D1330*E1330)</f>
        <v/>
      </c>
      <c r="G1330">
        <f>IF(A1330="","",IF(C1330="",1,COUNTIF($C$2:$C$1501,C1330)))</f>
        <v/>
      </c>
      <c r="H1330" s="11">
        <f>IF(A1330="","",IFERROR(VALUE(SUBSTITUTE(SUBSTITUTE(INDEX('Etsy Import'!$A:$CZ,1330,Settings!$C$25)&amp;"","$",""),",","")),0)/IF(Settings!$B$27="Yes",G1330,1))</f>
        <v/>
      </c>
      <c r="I1330" s="11">
        <f>IF(A1330="","",IFERROR(VALUE(SUBSTITUTE(SUBSTITUTE(INDEX('Etsy Import'!$A:$CZ,1330,Settings!$C$26)&amp;"","$",""),",","")),0)/IF(Settings!$B$27="Yes",G1330,1))</f>
        <v/>
      </c>
      <c r="J1330" s="11">
        <f>IF(A1330="","",F1330+H1330-I1330)</f>
        <v/>
      </c>
      <c r="K1330">
        <f>IF(A1330="","",IFERROR(IF(B1330="",NA(),MATCH(B1330,Products!$B$5:$B$204,0)),IFERROR(MATCH(A1330,Products!$A$5:$A$204,0),"")))</f>
        <v/>
      </c>
      <c r="L1330">
        <f>IF(A1330="","",IF(K1330="","⚠ not in Products",INDEX(Products!$A$5:$A$204,K1330)))</f>
        <v/>
      </c>
      <c r="M1330" s="11">
        <f>IF(A1330="","",J1330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1330+IFERROR(INDEX(Settings!$D$5:$D$9,MATCH("Etsy",Settings!$A$5:$A$9,0)),0)*D1330)</f>
        <v/>
      </c>
      <c r="N1330" s="11">
        <f>IF(A1330="","",IF(K1330="",0,D1330*INDEX(Products!$I$5:$I$204,K1330)))</f>
        <v/>
      </c>
      <c r="O1330" s="11">
        <f>IF(A1330="","",IF(K1330="",0,J1330*INDEX(Products!$H$5:$H$204,K1330)))</f>
        <v/>
      </c>
      <c r="P1330" s="11">
        <f>IF(A1330="","",J1330-M1330-N1330-O1330)</f>
        <v/>
      </c>
    </row>
    <row r="1331">
      <c r="A1331">
        <f>IFERROR(INDEX('Etsy Import'!$A:$CZ,1331,Settings!$C$20)&amp;"","")</f>
        <v/>
      </c>
      <c r="B1331">
        <f>IFERROR(INDEX('Etsy Import'!$A:$CZ,1331,Settings!$C$21)&amp;"","")</f>
        <v/>
      </c>
      <c r="C1331">
        <f>IFERROR(INDEX('Etsy Import'!$A:$CZ,1331,Settings!$C$22)&amp;"","")</f>
        <v/>
      </c>
      <c r="D1331">
        <f>IF(A1331="","",IFERROR(VALUE(SUBSTITUTE(SUBSTITUTE(INDEX('Etsy Import'!$A:$CZ,1331,Settings!$C$23)&amp;"","$",""),",","")),0))</f>
        <v/>
      </c>
      <c r="E1331" s="11">
        <f>IF(A1331="","",IFERROR(VALUE(SUBSTITUTE(SUBSTITUTE(INDEX('Etsy Import'!$A:$CZ,1331,Settings!$C$24)&amp;"","$",""),",","")),0))</f>
        <v/>
      </c>
      <c r="F1331" s="11">
        <f>IF(A1331="","",D1331*E1331)</f>
        <v/>
      </c>
      <c r="G1331">
        <f>IF(A1331="","",IF(C1331="",1,COUNTIF($C$2:$C$1501,C1331)))</f>
        <v/>
      </c>
      <c r="H1331" s="11">
        <f>IF(A1331="","",IFERROR(VALUE(SUBSTITUTE(SUBSTITUTE(INDEX('Etsy Import'!$A:$CZ,1331,Settings!$C$25)&amp;"","$",""),",","")),0)/IF(Settings!$B$27="Yes",G1331,1))</f>
        <v/>
      </c>
      <c r="I1331" s="11">
        <f>IF(A1331="","",IFERROR(VALUE(SUBSTITUTE(SUBSTITUTE(INDEX('Etsy Import'!$A:$CZ,1331,Settings!$C$26)&amp;"","$",""),",","")),0)/IF(Settings!$B$27="Yes",G1331,1))</f>
        <v/>
      </c>
      <c r="J1331" s="11">
        <f>IF(A1331="","",F1331+H1331-I1331)</f>
        <v/>
      </c>
      <c r="K1331">
        <f>IF(A1331="","",IFERROR(IF(B1331="",NA(),MATCH(B1331,Products!$B$5:$B$204,0)),IFERROR(MATCH(A1331,Products!$A$5:$A$204,0),"")))</f>
        <v/>
      </c>
      <c r="L1331">
        <f>IF(A1331="","",IF(K1331="","⚠ not in Products",INDEX(Products!$A$5:$A$204,K1331)))</f>
        <v/>
      </c>
      <c r="M1331" s="11">
        <f>IF(A1331="","",J1331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1331+IFERROR(INDEX(Settings!$D$5:$D$9,MATCH("Etsy",Settings!$A$5:$A$9,0)),0)*D1331)</f>
        <v/>
      </c>
      <c r="N1331" s="11">
        <f>IF(A1331="","",IF(K1331="",0,D1331*INDEX(Products!$I$5:$I$204,K1331)))</f>
        <v/>
      </c>
      <c r="O1331" s="11">
        <f>IF(A1331="","",IF(K1331="",0,J1331*INDEX(Products!$H$5:$H$204,K1331)))</f>
        <v/>
      </c>
      <c r="P1331" s="11">
        <f>IF(A1331="","",J1331-M1331-N1331-O1331)</f>
        <v/>
      </c>
    </row>
    <row r="1332">
      <c r="A1332">
        <f>IFERROR(INDEX('Etsy Import'!$A:$CZ,1332,Settings!$C$20)&amp;"","")</f>
        <v/>
      </c>
      <c r="B1332">
        <f>IFERROR(INDEX('Etsy Import'!$A:$CZ,1332,Settings!$C$21)&amp;"","")</f>
        <v/>
      </c>
      <c r="C1332">
        <f>IFERROR(INDEX('Etsy Import'!$A:$CZ,1332,Settings!$C$22)&amp;"","")</f>
        <v/>
      </c>
      <c r="D1332">
        <f>IF(A1332="","",IFERROR(VALUE(SUBSTITUTE(SUBSTITUTE(INDEX('Etsy Import'!$A:$CZ,1332,Settings!$C$23)&amp;"","$",""),",","")),0))</f>
        <v/>
      </c>
      <c r="E1332" s="11">
        <f>IF(A1332="","",IFERROR(VALUE(SUBSTITUTE(SUBSTITUTE(INDEX('Etsy Import'!$A:$CZ,1332,Settings!$C$24)&amp;"","$",""),",","")),0))</f>
        <v/>
      </c>
      <c r="F1332" s="11">
        <f>IF(A1332="","",D1332*E1332)</f>
        <v/>
      </c>
      <c r="G1332">
        <f>IF(A1332="","",IF(C1332="",1,COUNTIF($C$2:$C$1501,C1332)))</f>
        <v/>
      </c>
      <c r="H1332" s="11">
        <f>IF(A1332="","",IFERROR(VALUE(SUBSTITUTE(SUBSTITUTE(INDEX('Etsy Import'!$A:$CZ,1332,Settings!$C$25)&amp;"","$",""),",","")),0)/IF(Settings!$B$27="Yes",G1332,1))</f>
        <v/>
      </c>
      <c r="I1332" s="11">
        <f>IF(A1332="","",IFERROR(VALUE(SUBSTITUTE(SUBSTITUTE(INDEX('Etsy Import'!$A:$CZ,1332,Settings!$C$26)&amp;"","$",""),",","")),0)/IF(Settings!$B$27="Yes",G1332,1))</f>
        <v/>
      </c>
      <c r="J1332" s="11">
        <f>IF(A1332="","",F1332+H1332-I1332)</f>
        <v/>
      </c>
      <c r="K1332">
        <f>IF(A1332="","",IFERROR(IF(B1332="",NA(),MATCH(B1332,Products!$B$5:$B$204,0)),IFERROR(MATCH(A1332,Products!$A$5:$A$204,0),"")))</f>
        <v/>
      </c>
      <c r="L1332">
        <f>IF(A1332="","",IF(K1332="","⚠ not in Products",INDEX(Products!$A$5:$A$204,K1332)))</f>
        <v/>
      </c>
      <c r="M1332" s="11">
        <f>IF(A1332="","",J1332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1332+IFERROR(INDEX(Settings!$D$5:$D$9,MATCH("Etsy",Settings!$A$5:$A$9,0)),0)*D1332)</f>
        <v/>
      </c>
      <c r="N1332" s="11">
        <f>IF(A1332="","",IF(K1332="",0,D1332*INDEX(Products!$I$5:$I$204,K1332)))</f>
        <v/>
      </c>
      <c r="O1332" s="11">
        <f>IF(A1332="","",IF(K1332="",0,J1332*INDEX(Products!$H$5:$H$204,K1332)))</f>
        <v/>
      </c>
      <c r="P1332" s="11">
        <f>IF(A1332="","",J1332-M1332-N1332-O1332)</f>
        <v/>
      </c>
    </row>
    <row r="1333">
      <c r="A1333">
        <f>IFERROR(INDEX('Etsy Import'!$A:$CZ,1333,Settings!$C$20)&amp;"","")</f>
        <v/>
      </c>
      <c r="B1333">
        <f>IFERROR(INDEX('Etsy Import'!$A:$CZ,1333,Settings!$C$21)&amp;"","")</f>
        <v/>
      </c>
      <c r="C1333">
        <f>IFERROR(INDEX('Etsy Import'!$A:$CZ,1333,Settings!$C$22)&amp;"","")</f>
        <v/>
      </c>
      <c r="D1333">
        <f>IF(A1333="","",IFERROR(VALUE(SUBSTITUTE(SUBSTITUTE(INDEX('Etsy Import'!$A:$CZ,1333,Settings!$C$23)&amp;"","$",""),",","")),0))</f>
        <v/>
      </c>
      <c r="E1333" s="11">
        <f>IF(A1333="","",IFERROR(VALUE(SUBSTITUTE(SUBSTITUTE(INDEX('Etsy Import'!$A:$CZ,1333,Settings!$C$24)&amp;"","$",""),",","")),0))</f>
        <v/>
      </c>
      <c r="F1333" s="11">
        <f>IF(A1333="","",D1333*E1333)</f>
        <v/>
      </c>
      <c r="G1333">
        <f>IF(A1333="","",IF(C1333="",1,COUNTIF($C$2:$C$1501,C1333)))</f>
        <v/>
      </c>
      <c r="H1333" s="11">
        <f>IF(A1333="","",IFERROR(VALUE(SUBSTITUTE(SUBSTITUTE(INDEX('Etsy Import'!$A:$CZ,1333,Settings!$C$25)&amp;"","$",""),",","")),0)/IF(Settings!$B$27="Yes",G1333,1))</f>
        <v/>
      </c>
      <c r="I1333" s="11">
        <f>IF(A1333="","",IFERROR(VALUE(SUBSTITUTE(SUBSTITUTE(INDEX('Etsy Import'!$A:$CZ,1333,Settings!$C$26)&amp;"","$",""),",","")),0)/IF(Settings!$B$27="Yes",G1333,1))</f>
        <v/>
      </c>
      <c r="J1333" s="11">
        <f>IF(A1333="","",F1333+H1333-I1333)</f>
        <v/>
      </c>
      <c r="K1333">
        <f>IF(A1333="","",IFERROR(IF(B1333="",NA(),MATCH(B1333,Products!$B$5:$B$204,0)),IFERROR(MATCH(A1333,Products!$A$5:$A$204,0),"")))</f>
        <v/>
      </c>
      <c r="L1333">
        <f>IF(A1333="","",IF(K1333="","⚠ not in Products",INDEX(Products!$A$5:$A$204,K1333)))</f>
        <v/>
      </c>
      <c r="M1333" s="11">
        <f>IF(A1333="","",J1333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1333+IFERROR(INDEX(Settings!$D$5:$D$9,MATCH("Etsy",Settings!$A$5:$A$9,0)),0)*D1333)</f>
        <v/>
      </c>
      <c r="N1333" s="11">
        <f>IF(A1333="","",IF(K1333="",0,D1333*INDEX(Products!$I$5:$I$204,K1333)))</f>
        <v/>
      </c>
      <c r="O1333" s="11">
        <f>IF(A1333="","",IF(K1333="",0,J1333*INDEX(Products!$H$5:$H$204,K1333)))</f>
        <v/>
      </c>
      <c r="P1333" s="11">
        <f>IF(A1333="","",J1333-M1333-N1333-O1333)</f>
        <v/>
      </c>
    </row>
    <row r="1334">
      <c r="A1334">
        <f>IFERROR(INDEX('Etsy Import'!$A:$CZ,1334,Settings!$C$20)&amp;"","")</f>
        <v/>
      </c>
      <c r="B1334">
        <f>IFERROR(INDEX('Etsy Import'!$A:$CZ,1334,Settings!$C$21)&amp;"","")</f>
        <v/>
      </c>
      <c r="C1334">
        <f>IFERROR(INDEX('Etsy Import'!$A:$CZ,1334,Settings!$C$22)&amp;"","")</f>
        <v/>
      </c>
      <c r="D1334">
        <f>IF(A1334="","",IFERROR(VALUE(SUBSTITUTE(SUBSTITUTE(INDEX('Etsy Import'!$A:$CZ,1334,Settings!$C$23)&amp;"","$",""),",","")),0))</f>
        <v/>
      </c>
      <c r="E1334" s="11">
        <f>IF(A1334="","",IFERROR(VALUE(SUBSTITUTE(SUBSTITUTE(INDEX('Etsy Import'!$A:$CZ,1334,Settings!$C$24)&amp;"","$",""),",","")),0))</f>
        <v/>
      </c>
      <c r="F1334" s="11">
        <f>IF(A1334="","",D1334*E1334)</f>
        <v/>
      </c>
      <c r="G1334">
        <f>IF(A1334="","",IF(C1334="",1,COUNTIF($C$2:$C$1501,C1334)))</f>
        <v/>
      </c>
      <c r="H1334" s="11">
        <f>IF(A1334="","",IFERROR(VALUE(SUBSTITUTE(SUBSTITUTE(INDEX('Etsy Import'!$A:$CZ,1334,Settings!$C$25)&amp;"","$",""),",","")),0)/IF(Settings!$B$27="Yes",G1334,1))</f>
        <v/>
      </c>
      <c r="I1334" s="11">
        <f>IF(A1334="","",IFERROR(VALUE(SUBSTITUTE(SUBSTITUTE(INDEX('Etsy Import'!$A:$CZ,1334,Settings!$C$26)&amp;"","$",""),",","")),0)/IF(Settings!$B$27="Yes",G1334,1))</f>
        <v/>
      </c>
      <c r="J1334" s="11">
        <f>IF(A1334="","",F1334+H1334-I1334)</f>
        <v/>
      </c>
      <c r="K1334">
        <f>IF(A1334="","",IFERROR(IF(B1334="",NA(),MATCH(B1334,Products!$B$5:$B$204,0)),IFERROR(MATCH(A1334,Products!$A$5:$A$204,0),"")))</f>
        <v/>
      </c>
      <c r="L1334">
        <f>IF(A1334="","",IF(K1334="","⚠ not in Products",INDEX(Products!$A$5:$A$204,K1334)))</f>
        <v/>
      </c>
      <c r="M1334" s="11">
        <f>IF(A1334="","",J1334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1334+IFERROR(INDEX(Settings!$D$5:$D$9,MATCH("Etsy",Settings!$A$5:$A$9,0)),0)*D1334)</f>
        <v/>
      </c>
      <c r="N1334" s="11">
        <f>IF(A1334="","",IF(K1334="",0,D1334*INDEX(Products!$I$5:$I$204,K1334)))</f>
        <v/>
      </c>
      <c r="O1334" s="11">
        <f>IF(A1334="","",IF(K1334="",0,J1334*INDEX(Products!$H$5:$H$204,K1334)))</f>
        <v/>
      </c>
      <c r="P1334" s="11">
        <f>IF(A1334="","",J1334-M1334-N1334-O1334)</f>
        <v/>
      </c>
    </row>
    <row r="1335">
      <c r="A1335">
        <f>IFERROR(INDEX('Etsy Import'!$A:$CZ,1335,Settings!$C$20)&amp;"","")</f>
        <v/>
      </c>
      <c r="B1335">
        <f>IFERROR(INDEX('Etsy Import'!$A:$CZ,1335,Settings!$C$21)&amp;"","")</f>
        <v/>
      </c>
      <c r="C1335">
        <f>IFERROR(INDEX('Etsy Import'!$A:$CZ,1335,Settings!$C$22)&amp;"","")</f>
        <v/>
      </c>
      <c r="D1335">
        <f>IF(A1335="","",IFERROR(VALUE(SUBSTITUTE(SUBSTITUTE(INDEX('Etsy Import'!$A:$CZ,1335,Settings!$C$23)&amp;"","$",""),",","")),0))</f>
        <v/>
      </c>
      <c r="E1335" s="11">
        <f>IF(A1335="","",IFERROR(VALUE(SUBSTITUTE(SUBSTITUTE(INDEX('Etsy Import'!$A:$CZ,1335,Settings!$C$24)&amp;"","$",""),",","")),0))</f>
        <v/>
      </c>
      <c r="F1335" s="11">
        <f>IF(A1335="","",D1335*E1335)</f>
        <v/>
      </c>
      <c r="G1335">
        <f>IF(A1335="","",IF(C1335="",1,COUNTIF($C$2:$C$1501,C1335)))</f>
        <v/>
      </c>
      <c r="H1335" s="11">
        <f>IF(A1335="","",IFERROR(VALUE(SUBSTITUTE(SUBSTITUTE(INDEX('Etsy Import'!$A:$CZ,1335,Settings!$C$25)&amp;"","$",""),",","")),0)/IF(Settings!$B$27="Yes",G1335,1))</f>
        <v/>
      </c>
      <c r="I1335" s="11">
        <f>IF(A1335="","",IFERROR(VALUE(SUBSTITUTE(SUBSTITUTE(INDEX('Etsy Import'!$A:$CZ,1335,Settings!$C$26)&amp;"","$",""),",","")),0)/IF(Settings!$B$27="Yes",G1335,1))</f>
        <v/>
      </c>
      <c r="J1335" s="11">
        <f>IF(A1335="","",F1335+H1335-I1335)</f>
        <v/>
      </c>
      <c r="K1335">
        <f>IF(A1335="","",IFERROR(IF(B1335="",NA(),MATCH(B1335,Products!$B$5:$B$204,0)),IFERROR(MATCH(A1335,Products!$A$5:$A$204,0),"")))</f>
        <v/>
      </c>
      <c r="L1335">
        <f>IF(A1335="","",IF(K1335="","⚠ not in Products",INDEX(Products!$A$5:$A$204,K1335)))</f>
        <v/>
      </c>
      <c r="M1335" s="11">
        <f>IF(A1335="","",J1335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1335+IFERROR(INDEX(Settings!$D$5:$D$9,MATCH("Etsy",Settings!$A$5:$A$9,0)),0)*D1335)</f>
        <v/>
      </c>
      <c r="N1335" s="11">
        <f>IF(A1335="","",IF(K1335="",0,D1335*INDEX(Products!$I$5:$I$204,K1335)))</f>
        <v/>
      </c>
      <c r="O1335" s="11">
        <f>IF(A1335="","",IF(K1335="",0,J1335*INDEX(Products!$H$5:$H$204,K1335)))</f>
        <v/>
      </c>
      <c r="P1335" s="11">
        <f>IF(A1335="","",J1335-M1335-N1335-O1335)</f>
        <v/>
      </c>
    </row>
    <row r="1336">
      <c r="A1336">
        <f>IFERROR(INDEX('Etsy Import'!$A:$CZ,1336,Settings!$C$20)&amp;"","")</f>
        <v/>
      </c>
      <c r="B1336">
        <f>IFERROR(INDEX('Etsy Import'!$A:$CZ,1336,Settings!$C$21)&amp;"","")</f>
        <v/>
      </c>
      <c r="C1336">
        <f>IFERROR(INDEX('Etsy Import'!$A:$CZ,1336,Settings!$C$22)&amp;"","")</f>
        <v/>
      </c>
      <c r="D1336">
        <f>IF(A1336="","",IFERROR(VALUE(SUBSTITUTE(SUBSTITUTE(INDEX('Etsy Import'!$A:$CZ,1336,Settings!$C$23)&amp;"","$",""),",","")),0))</f>
        <v/>
      </c>
      <c r="E1336" s="11">
        <f>IF(A1336="","",IFERROR(VALUE(SUBSTITUTE(SUBSTITUTE(INDEX('Etsy Import'!$A:$CZ,1336,Settings!$C$24)&amp;"","$",""),",","")),0))</f>
        <v/>
      </c>
      <c r="F1336" s="11">
        <f>IF(A1336="","",D1336*E1336)</f>
        <v/>
      </c>
      <c r="G1336">
        <f>IF(A1336="","",IF(C1336="",1,COUNTIF($C$2:$C$1501,C1336)))</f>
        <v/>
      </c>
      <c r="H1336" s="11">
        <f>IF(A1336="","",IFERROR(VALUE(SUBSTITUTE(SUBSTITUTE(INDEX('Etsy Import'!$A:$CZ,1336,Settings!$C$25)&amp;"","$",""),",","")),0)/IF(Settings!$B$27="Yes",G1336,1))</f>
        <v/>
      </c>
      <c r="I1336" s="11">
        <f>IF(A1336="","",IFERROR(VALUE(SUBSTITUTE(SUBSTITUTE(INDEX('Etsy Import'!$A:$CZ,1336,Settings!$C$26)&amp;"","$",""),",","")),0)/IF(Settings!$B$27="Yes",G1336,1))</f>
        <v/>
      </c>
      <c r="J1336" s="11">
        <f>IF(A1336="","",F1336+H1336-I1336)</f>
        <v/>
      </c>
      <c r="K1336">
        <f>IF(A1336="","",IFERROR(IF(B1336="",NA(),MATCH(B1336,Products!$B$5:$B$204,0)),IFERROR(MATCH(A1336,Products!$A$5:$A$204,0),"")))</f>
        <v/>
      </c>
      <c r="L1336">
        <f>IF(A1336="","",IF(K1336="","⚠ not in Products",INDEX(Products!$A$5:$A$204,K1336)))</f>
        <v/>
      </c>
      <c r="M1336" s="11">
        <f>IF(A1336="","",J1336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1336+IFERROR(INDEX(Settings!$D$5:$D$9,MATCH("Etsy",Settings!$A$5:$A$9,0)),0)*D1336)</f>
        <v/>
      </c>
      <c r="N1336" s="11">
        <f>IF(A1336="","",IF(K1336="",0,D1336*INDEX(Products!$I$5:$I$204,K1336)))</f>
        <v/>
      </c>
      <c r="O1336" s="11">
        <f>IF(A1336="","",IF(K1336="",0,J1336*INDEX(Products!$H$5:$H$204,K1336)))</f>
        <v/>
      </c>
      <c r="P1336" s="11">
        <f>IF(A1336="","",J1336-M1336-N1336-O1336)</f>
        <v/>
      </c>
    </row>
    <row r="1337">
      <c r="A1337">
        <f>IFERROR(INDEX('Etsy Import'!$A:$CZ,1337,Settings!$C$20)&amp;"","")</f>
        <v/>
      </c>
      <c r="B1337">
        <f>IFERROR(INDEX('Etsy Import'!$A:$CZ,1337,Settings!$C$21)&amp;"","")</f>
        <v/>
      </c>
      <c r="C1337">
        <f>IFERROR(INDEX('Etsy Import'!$A:$CZ,1337,Settings!$C$22)&amp;"","")</f>
        <v/>
      </c>
      <c r="D1337">
        <f>IF(A1337="","",IFERROR(VALUE(SUBSTITUTE(SUBSTITUTE(INDEX('Etsy Import'!$A:$CZ,1337,Settings!$C$23)&amp;"","$",""),",","")),0))</f>
        <v/>
      </c>
      <c r="E1337" s="11">
        <f>IF(A1337="","",IFERROR(VALUE(SUBSTITUTE(SUBSTITUTE(INDEX('Etsy Import'!$A:$CZ,1337,Settings!$C$24)&amp;"","$",""),",","")),0))</f>
        <v/>
      </c>
      <c r="F1337" s="11">
        <f>IF(A1337="","",D1337*E1337)</f>
        <v/>
      </c>
      <c r="G1337">
        <f>IF(A1337="","",IF(C1337="",1,COUNTIF($C$2:$C$1501,C1337)))</f>
        <v/>
      </c>
      <c r="H1337" s="11">
        <f>IF(A1337="","",IFERROR(VALUE(SUBSTITUTE(SUBSTITUTE(INDEX('Etsy Import'!$A:$CZ,1337,Settings!$C$25)&amp;"","$",""),",","")),0)/IF(Settings!$B$27="Yes",G1337,1))</f>
        <v/>
      </c>
      <c r="I1337" s="11">
        <f>IF(A1337="","",IFERROR(VALUE(SUBSTITUTE(SUBSTITUTE(INDEX('Etsy Import'!$A:$CZ,1337,Settings!$C$26)&amp;"","$",""),",","")),0)/IF(Settings!$B$27="Yes",G1337,1))</f>
        <v/>
      </c>
      <c r="J1337" s="11">
        <f>IF(A1337="","",F1337+H1337-I1337)</f>
        <v/>
      </c>
      <c r="K1337">
        <f>IF(A1337="","",IFERROR(IF(B1337="",NA(),MATCH(B1337,Products!$B$5:$B$204,0)),IFERROR(MATCH(A1337,Products!$A$5:$A$204,0),"")))</f>
        <v/>
      </c>
      <c r="L1337">
        <f>IF(A1337="","",IF(K1337="","⚠ not in Products",INDEX(Products!$A$5:$A$204,K1337)))</f>
        <v/>
      </c>
      <c r="M1337" s="11">
        <f>IF(A1337="","",J1337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1337+IFERROR(INDEX(Settings!$D$5:$D$9,MATCH("Etsy",Settings!$A$5:$A$9,0)),0)*D1337)</f>
        <v/>
      </c>
      <c r="N1337" s="11">
        <f>IF(A1337="","",IF(K1337="",0,D1337*INDEX(Products!$I$5:$I$204,K1337)))</f>
        <v/>
      </c>
      <c r="O1337" s="11">
        <f>IF(A1337="","",IF(K1337="",0,J1337*INDEX(Products!$H$5:$H$204,K1337)))</f>
        <v/>
      </c>
      <c r="P1337" s="11">
        <f>IF(A1337="","",J1337-M1337-N1337-O1337)</f>
        <v/>
      </c>
    </row>
    <row r="1338">
      <c r="A1338">
        <f>IFERROR(INDEX('Etsy Import'!$A:$CZ,1338,Settings!$C$20)&amp;"","")</f>
        <v/>
      </c>
      <c r="B1338">
        <f>IFERROR(INDEX('Etsy Import'!$A:$CZ,1338,Settings!$C$21)&amp;"","")</f>
        <v/>
      </c>
      <c r="C1338">
        <f>IFERROR(INDEX('Etsy Import'!$A:$CZ,1338,Settings!$C$22)&amp;"","")</f>
        <v/>
      </c>
      <c r="D1338">
        <f>IF(A1338="","",IFERROR(VALUE(SUBSTITUTE(SUBSTITUTE(INDEX('Etsy Import'!$A:$CZ,1338,Settings!$C$23)&amp;"","$",""),",","")),0))</f>
        <v/>
      </c>
      <c r="E1338" s="11">
        <f>IF(A1338="","",IFERROR(VALUE(SUBSTITUTE(SUBSTITUTE(INDEX('Etsy Import'!$A:$CZ,1338,Settings!$C$24)&amp;"","$",""),",","")),0))</f>
        <v/>
      </c>
      <c r="F1338" s="11">
        <f>IF(A1338="","",D1338*E1338)</f>
        <v/>
      </c>
      <c r="G1338">
        <f>IF(A1338="","",IF(C1338="",1,COUNTIF($C$2:$C$1501,C1338)))</f>
        <v/>
      </c>
      <c r="H1338" s="11">
        <f>IF(A1338="","",IFERROR(VALUE(SUBSTITUTE(SUBSTITUTE(INDEX('Etsy Import'!$A:$CZ,1338,Settings!$C$25)&amp;"","$",""),",","")),0)/IF(Settings!$B$27="Yes",G1338,1))</f>
        <v/>
      </c>
      <c r="I1338" s="11">
        <f>IF(A1338="","",IFERROR(VALUE(SUBSTITUTE(SUBSTITUTE(INDEX('Etsy Import'!$A:$CZ,1338,Settings!$C$26)&amp;"","$",""),",","")),0)/IF(Settings!$B$27="Yes",G1338,1))</f>
        <v/>
      </c>
      <c r="J1338" s="11">
        <f>IF(A1338="","",F1338+H1338-I1338)</f>
        <v/>
      </c>
      <c r="K1338">
        <f>IF(A1338="","",IFERROR(IF(B1338="",NA(),MATCH(B1338,Products!$B$5:$B$204,0)),IFERROR(MATCH(A1338,Products!$A$5:$A$204,0),"")))</f>
        <v/>
      </c>
      <c r="L1338">
        <f>IF(A1338="","",IF(K1338="","⚠ not in Products",INDEX(Products!$A$5:$A$204,K1338)))</f>
        <v/>
      </c>
      <c r="M1338" s="11">
        <f>IF(A1338="","",J1338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1338+IFERROR(INDEX(Settings!$D$5:$D$9,MATCH("Etsy",Settings!$A$5:$A$9,0)),0)*D1338)</f>
        <v/>
      </c>
      <c r="N1338" s="11">
        <f>IF(A1338="","",IF(K1338="",0,D1338*INDEX(Products!$I$5:$I$204,K1338)))</f>
        <v/>
      </c>
      <c r="O1338" s="11">
        <f>IF(A1338="","",IF(K1338="",0,J1338*INDEX(Products!$H$5:$H$204,K1338)))</f>
        <v/>
      </c>
      <c r="P1338" s="11">
        <f>IF(A1338="","",J1338-M1338-N1338-O1338)</f>
        <v/>
      </c>
    </row>
    <row r="1339">
      <c r="A1339">
        <f>IFERROR(INDEX('Etsy Import'!$A:$CZ,1339,Settings!$C$20)&amp;"","")</f>
        <v/>
      </c>
      <c r="B1339">
        <f>IFERROR(INDEX('Etsy Import'!$A:$CZ,1339,Settings!$C$21)&amp;"","")</f>
        <v/>
      </c>
      <c r="C1339">
        <f>IFERROR(INDEX('Etsy Import'!$A:$CZ,1339,Settings!$C$22)&amp;"","")</f>
        <v/>
      </c>
      <c r="D1339">
        <f>IF(A1339="","",IFERROR(VALUE(SUBSTITUTE(SUBSTITUTE(INDEX('Etsy Import'!$A:$CZ,1339,Settings!$C$23)&amp;"","$",""),",","")),0))</f>
        <v/>
      </c>
      <c r="E1339" s="11">
        <f>IF(A1339="","",IFERROR(VALUE(SUBSTITUTE(SUBSTITUTE(INDEX('Etsy Import'!$A:$CZ,1339,Settings!$C$24)&amp;"","$",""),",","")),0))</f>
        <v/>
      </c>
      <c r="F1339" s="11">
        <f>IF(A1339="","",D1339*E1339)</f>
        <v/>
      </c>
      <c r="G1339">
        <f>IF(A1339="","",IF(C1339="",1,COUNTIF($C$2:$C$1501,C1339)))</f>
        <v/>
      </c>
      <c r="H1339" s="11">
        <f>IF(A1339="","",IFERROR(VALUE(SUBSTITUTE(SUBSTITUTE(INDEX('Etsy Import'!$A:$CZ,1339,Settings!$C$25)&amp;"","$",""),",","")),0)/IF(Settings!$B$27="Yes",G1339,1))</f>
        <v/>
      </c>
      <c r="I1339" s="11">
        <f>IF(A1339="","",IFERROR(VALUE(SUBSTITUTE(SUBSTITUTE(INDEX('Etsy Import'!$A:$CZ,1339,Settings!$C$26)&amp;"","$",""),",","")),0)/IF(Settings!$B$27="Yes",G1339,1))</f>
        <v/>
      </c>
      <c r="J1339" s="11">
        <f>IF(A1339="","",F1339+H1339-I1339)</f>
        <v/>
      </c>
      <c r="K1339">
        <f>IF(A1339="","",IFERROR(IF(B1339="",NA(),MATCH(B1339,Products!$B$5:$B$204,0)),IFERROR(MATCH(A1339,Products!$A$5:$A$204,0),"")))</f>
        <v/>
      </c>
      <c r="L1339">
        <f>IF(A1339="","",IF(K1339="","⚠ not in Products",INDEX(Products!$A$5:$A$204,K1339)))</f>
        <v/>
      </c>
      <c r="M1339" s="11">
        <f>IF(A1339="","",J1339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1339+IFERROR(INDEX(Settings!$D$5:$D$9,MATCH("Etsy",Settings!$A$5:$A$9,0)),0)*D1339)</f>
        <v/>
      </c>
      <c r="N1339" s="11">
        <f>IF(A1339="","",IF(K1339="",0,D1339*INDEX(Products!$I$5:$I$204,K1339)))</f>
        <v/>
      </c>
      <c r="O1339" s="11">
        <f>IF(A1339="","",IF(K1339="",0,J1339*INDEX(Products!$H$5:$H$204,K1339)))</f>
        <v/>
      </c>
      <c r="P1339" s="11">
        <f>IF(A1339="","",J1339-M1339-N1339-O1339)</f>
        <v/>
      </c>
    </row>
    <row r="1340">
      <c r="A1340">
        <f>IFERROR(INDEX('Etsy Import'!$A:$CZ,1340,Settings!$C$20)&amp;"","")</f>
        <v/>
      </c>
      <c r="B1340">
        <f>IFERROR(INDEX('Etsy Import'!$A:$CZ,1340,Settings!$C$21)&amp;"","")</f>
        <v/>
      </c>
      <c r="C1340">
        <f>IFERROR(INDEX('Etsy Import'!$A:$CZ,1340,Settings!$C$22)&amp;"","")</f>
        <v/>
      </c>
      <c r="D1340">
        <f>IF(A1340="","",IFERROR(VALUE(SUBSTITUTE(SUBSTITUTE(INDEX('Etsy Import'!$A:$CZ,1340,Settings!$C$23)&amp;"","$",""),",","")),0))</f>
        <v/>
      </c>
      <c r="E1340" s="11">
        <f>IF(A1340="","",IFERROR(VALUE(SUBSTITUTE(SUBSTITUTE(INDEX('Etsy Import'!$A:$CZ,1340,Settings!$C$24)&amp;"","$",""),",","")),0))</f>
        <v/>
      </c>
      <c r="F1340" s="11">
        <f>IF(A1340="","",D1340*E1340)</f>
        <v/>
      </c>
      <c r="G1340">
        <f>IF(A1340="","",IF(C1340="",1,COUNTIF($C$2:$C$1501,C1340)))</f>
        <v/>
      </c>
      <c r="H1340" s="11">
        <f>IF(A1340="","",IFERROR(VALUE(SUBSTITUTE(SUBSTITUTE(INDEX('Etsy Import'!$A:$CZ,1340,Settings!$C$25)&amp;"","$",""),",","")),0)/IF(Settings!$B$27="Yes",G1340,1))</f>
        <v/>
      </c>
      <c r="I1340" s="11">
        <f>IF(A1340="","",IFERROR(VALUE(SUBSTITUTE(SUBSTITUTE(INDEX('Etsy Import'!$A:$CZ,1340,Settings!$C$26)&amp;"","$",""),",","")),0)/IF(Settings!$B$27="Yes",G1340,1))</f>
        <v/>
      </c>
      <c r="J1340" s="11">
        <f>IF(A1340="","",F1340+H1340-I1340)</f>
        <v/>
      </c>
      <c r="K1340">
        <f>IF(A1340="","",IFERROR(IF(B1340="",NA(),MATCH(B1340,Products!$B$5:$B$204,0)),IFERROR(MATCH(A1340,Products!$A$5:$A$204,0),"")))</f>
        <v/>
      </c>
      <c r="L1340">
        <f>IF(A1340="","",IF(K1340="","⚠ not in Products",INDEX(Products!$A$5:$A$204,K1340)))</f>
        <v/>
      </c>
      <c r="M1340" s="11">
        <f>IF(A1340="","",J1340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1340+IFERROR(INDEX(Settings!$D$5:$D$9,MATCH("Etsy",Settings!$A$5:$A$9,0)),0)*D1340)</f>
        <v/>
      </c>
      <c r="N1340" s="11">
        <f>IF(A1340="","",IF(K1340="",0,D1340*INDEX(Products!$I$5:$I$204,K1340)))</f>
        <v/>
      </c>
      <c r="O1340" s="11">
        <f>IF(A1340="","",IF(K1340="",0,J1340*INDEX(Products!$H$5:$H$204,K1340)))</f>
        <v/>
      </c>
      <c r="P1340" s="11">
        <f>IF(A1340="","",J1340-M1340-N1340-O1340)</f>
        <v/>
      </c>
    </row>
    <row r="1341">
      <c r="A1341">
        <f>IFERROR(INDEX('Etsy Import'!$A:$CZ,1341,Settings!$C$20)&amp;"","")</f>
        <v/>
      </c>
      <c r="B1341">
        <f>IFERROR(INDEX('Etsy Import'!$A:$CZ,1341,Settings!$C$21)&amp;"","")</f>
        <v/>
      </c>
      <c r="C1341">
        <f>IFERROR(INDEX('Etsy Import'!$A:$CZ,1341,Settings!$C$22)&amp;"","")</f>
        <v/>
      </c>
      <c r="D1341">
        <f>IF(A1341="","",IFERROR(VALUE(SUBSTITUTE(SUBSTITUTE(INDEX('Etsy Import'!$A:$CZ,1341,Settings!$C$23)&amp;"","$",""),",","")),0))</f>
        <v/>
      </c>
      <c r="E1341" s="11">
        <f>IF(A1341="","",IFERROR(VALUE(SUBSTITUTE(SUBSTITUTE(INDEX('Etsy Import'!$A:$CZ,1341,Settings!$C$24)&amp;"","$",""),",","")),0))</f>
        <v/>
      </c>
      <c r="F1341" s="11">
        <f>IF(A1341="","",D1341*E1341)</f>
        <v/>
      </c>
      <c r="G1341">
        <f>IF(A1341="","",IF(C1341="",1,COUNTIF($C$2:$C$1501,C1341)))</f>
        <v/>
      </c>
      <c r="H1341" s="11">
        <f>IF(A1341="","",IFERROR(VALUE(SUBSTITUTE(SUBSTITUTE(INDEX('Etsy Import'!$A:$CZ,1341,Settings!$C$25)&amp;"","$",""),",","")),0)/IF(Settings!$B$27="Yes",G1341,1))</f>
        <v/>
      </c>
      <c r="I1341" s="11">
        <f>IF(A1341="","",IFERROR(VALUE(SUBSTITUTE(SUBSTITUTE(INDEX('Etsy Import'!$A:$CZ,1341,Settings!$C$26)&amp;"","$",""),",","")),0)/IF(Settings!$B$27="Yes",G1341,1))</f>
        <v/>
      </c>
      <c r="J1341" s="11">
        <f>IF(A1341="","",F1341+H1341-I1341)</f>
        <v/>
      </c>
      <c r="K1341">
        <f>IF(A1341="","",IFERROR(IF(B1341="",NA(),MATCH(B1341,Products!$B$5:$B$204,0)),IFERROR(MATCH(A1341,Products!$A$5:$A$204,0),"")))</f>
        <v/>
      </c>
      <c r="L1341">
        <f>IF(A1341="","",IF(K1341="","⚠ not in Products",INDEX(Products!$A$5:$A$204,K1341)))</f>
        <v/>
      </c>
      <c r="M1341" s="11">
        <f>IF(A1341="","",J1341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1341+IFERROR(INDEX(Settings!$D$5:$D$9,MATCH("Etsy",Settings!$A$5:$A$9,0)),0)*D1341)</f>
        <v/>
      </c>
      <c r="N1341" s="11">
        <f>IF(A1341="","",IF(K1341="",0,D1341*INDEX(Products!$I$5:$I$204,K1341)))</f>
        <v/>
      </c>
      <c r="O1341" s="11">
        <f>IF(A1341="","",IF(K1341="",0,J1341*INDEX(Products!$H$5:$H$204,K1341)))</f>
        <v/>
      </c>
      <c r="P1341" s="11">
        <f>IF(A1341="","",J1341-M1341-N1341-O1341)</f>
        <v/>
      </c>
    </row>
    <row r="1342">
      <c r="A1342">
        <f>IFERROR(INDEX('Etsy Import'!$A:$CZ,1342,Settings!$C$20)&amp;"","")</f>
        <v/>
      </c>
      <c r="B1342">
        <f>IFERROR(INDEX('Etsy Import'!$A:$CZ,1342,Settings!$C$21)&amp;"","")</f>
        <v/>
      </c>
      <c r="C1342">
        <f>IFERROR(INDEX('Etsy Import'!$A:$CZ,1342,Settings!$C$22)&amp;"","")</f>
        <v/>
      </c>
      <c r="D1342">
        <f>IF(A1342="","",IFERROR(VALUE(SUBSTITUTE(SUBSTITUTE(INDEX('Etsy Import'!$A:$CZ,1342,Settings!$C$23)&amp;"","$",""),",","")),0))</f>
        <v/>
      </c>
      <c r="E1342" s="11">
        <f>IF(A1342="","",IFERROR(VALUE(SUBSTITUTE(SUBSTITUTE(INDEX('Etsy Import'!$A:$CZ,1342,Settings!$C$24)&amp;"","$",""),",","")),0))</f>
        <v/>
      </c>
      <c r="F1342" s="11">
        <f>IF(A1342="","",D1342*E1342)</f>
        <v/>
      </c>
      <c r="G1342">
        <f>IF(A1342="","",IF(C1342="",1,COUNTIF($C$2:$C$1501,C1342)))</f>
        <v/>
      </c>
      <c r="H1342" s="11">
        <f>IF(A1342="","",IFERROR(VALUE(SUBSTITUTE(SUBSTITUTE(INDEX('Etsy Import'!$A:$CZ,1342,Settings!$C$25)&amp;"","$",""),",","")),0)/IF(Settings!$B$27="Yes",G1342,1))</f>
        <v/>
      </c>
      <c r="I1342" s="11">
        <f>IF(A1342="","",IFERROR(VALUE(SUBSTITUTE(SUBSTITUTE(INDEX('Etsy Import'!$A:$CZ,1342,Settings!$C$26)&amp;"","$",""),",","")),0)/IF(Settings!$B$27="Yes",G1342,1))</f>
        <v/>
      </c>
      <c r="J1342" s="11">
        <f>IF(A1342="","",F1342+H1342-I1342)</f>
        <v/>
      </c>
      <c r="K1342">
        <f>IF(A1342="","",IFERROR(IF(B1342="",NA(),MATCH(B1342,Products!$B$5:$B$204,0)),IFERROR(MATCH(A1342,Products!$A$5:$A$204,0),"")))</f>
        <v/>
      </c>
      <c r="L1342">
        <f>IF(A1342="","",IF(K1342="","⚠ not in Products",INDEX(Products!$A$5:$A$204,K1342)))</f>
        <v/>
      </c>
      <c r="M1342" s="11">
        <f>IF(A1342="","",J1342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1342+IFERROR(INDEX(Settings!$D$5:$D$9,MATCH("Etsy",Settings!$A$5:$A$9,0)),0)*D1342)</f>
        <v/>
      </c>
      <c r="N1342" s="11">
        <f>IF(A1342="","",IF(K1342="",0,D1342*INDEX(Products!$I$5:$I$204,K1342)))</f>
        <v/>
      </c>
      <c r="O1342" s="11">
        <f>IF(A1342="","",IF(K1342="",0,J1342*INDEX(Products!$H$5:$H$204,K1342)))</f>
        <v/>
      </c>
      <c r="P1342" s="11">
        <f>IF(A1342="","",J1342-M1342-N1342-O1342)</f>
        <v/>
      </c>
    </row>
    <row r="1343">
      <c r="A1343">
        <f>IFERROR(INDEX('Etsy Import'!$A:$CZ,1343,Settings!$C$20)&amp;"","")</f>
        <v/>
      </c>
      <c r="B1343">
        <f>IFERROR(INDEX('Etsy Import'!$A:$CZ,1343,Settings!$C$21)&amp;"","")</f>
        <v/>
      </c>
      <c r="C1343">
        <f>IFERROR(INDEX('Etsy Import'!$A:$CZ,1343,Settings!$C$22)&amp;"","")</f>
        <v/>
      </c>
      <c r="D1343">
        <f>IF(A1343="","",IFERROR(VALUE(SUBSTITUTE(SUBSTITUTE(INDEX('Etsy Import'!$A:$CZ,1343,Settings!$C$23)&amp;"","$",""),",","")),0))</f>
        <v/>
      </c>
      <c r="E1343" s="11">
        <f>IF(A1343="","",IFERROR(VALUE(SUBSTITUTE(SUBSTITUTE(INDEX('Etsy Import'!$A:$CZ,1343,Settings!$C$24)&amp;"","$",""),",","")),0))</f>
        <v/>
      </c>
      <c r="F1343" s="11">
        <f>IF(A1343="","",D1343*E1343)</f>
        <v/>
      </c>
      <c r="G1343">
        <f>IF(A1343="","",IF(C1343="",1,COUNTIF($C$2:$C$1501,C1343)))</f>
        <v/>
      </c>
      <c r="H1343" s="11">
        <f>IF(A1343="","",IFERROR(VALUE(SUBSTITUTE(SUBSTITUTE(INDEX('Etsy Import'!$A:$CZ,1343,Settings!$C$25)&amp;"","$",""),",","")),0)/IF(Settings!$B$27="Yes",G1343,1))</f>
        <v/>
      </c>
      <c r="I1343" s="11">
        <f>IF(A1343="","",IFERROR(VALUE(SUBSTITUTE(SUBSTITUTE(INDEX('Etsy Import'!$A:$CZ,1343,Settings!$C$26)&amp;"","$",""),",","")),0)/IF(Settings!$B$27="Yes",G1343,1))</f>
        <v/>
      </c>
      <c r="J1343" s="11">
        <f>IF(A1343="","",F1343+H1343-I1343)</f>
        <v/>
      </c>
      <c r="K1343">
        <f>IF(A1343="","",IFERROR(IF(B1343="",NA(),MATCH(B1343,Products!$B$5:$B$204,0)),IFERROR(MATCH(A1343,Products!$A$5:$A$204,0),"")))</f>
        <v/>
      </c>
      <c r="L1343">
        <f>IF(A1343="","",IF(K1343="","⚠ not in Products",INDEX(Products!$A$5:$A$204,K1343)))</f>
        <v/>
      </c>
      <c r="M1343" s="11">
        <f>IF(A1343="","",J1343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1343+IFERROR(INDEX(Settings!$D$5:$D$9,MATCH("Etsy",Settings!$A$5:$A$9,0)),0)*D1343)</f>
        <v/>
      </c>
      <c r="N1343" s="11">
        <f>IF(A1343="","",IF(K1343="",0,D1343*INDEX(Products!$I$5:$I$204,K1343)))</f>
        <v/>
      </c>
      <c r="O1343" s="11">
        <f>IF(A1343="","",IF(K1343="",0,J1343*INDEX(Products!$H$5:$H$204,K1343)))</f>
        <v/>
      </c>
      <c r="P1343" s="11">
        <f>IF(A1343="","",J1343-M1343-N1343-O1343)</f>
        <v/>
      </c>
    </row>
    <row r="1344">
      <c r="A1344">
        <f>IFERROR(INDEX('Etsy Import'!$A:$CZ,1344,Settings!$C$20)&amp;"","")</f>
        <v/>
      </c>
      <c r="B1344">
        <f>IFERROR(INDEX('Etsy Import'!$A:$CZ,1344,Settings!$C$21)&amp;"","")</f>
        <v/>
      </c>
      <c r="C1344">
        <f>IFERROR(INDEX('Etsy Import'!$A:$CZ,1344,Settings!$C$22)&amp;"","")</f>
        <v/>
      </c>
      <c r="D1344">
        <f>IF(A1344="","",IFERROR(VALUE(SUBSTITUTE(SUBSTITUTE(INDEX('Etsy Import'!$A:$CZ,1344,Settings!$C$23)&amp;"","$",""),",","")),0))</f>
        <v/>
      </c>
      <c r="E1344" s="11">
        <f>IF(A1344="","",IFERROR(VALUE(SUBSTITUTE(SUBSTITUTE(INDEX('Etsy Import'!$A:$CZ,1344,Settings!$C$24)&amp;"","$",""),",","")),0))</f>
        <v/>
      </c>
      <c r="F1344" s="11">
        <f>IF(A1344="","",D1344*E1344)</f>
        <v/>
      </c>
      <c r="G1344">
        <f>IF(A1344="","",IF(C1344="",1,COUNTIF($C$2:$C$1501,C1344)))</f>
        <v/>
      </c>
      <c r="H1344" s="11">
        <f>IF(A1344="","",IFERROR(VALUE(SUBSTITUTE(SUBSTITUTE(INDEX('Etsy Import'!$A:$CZ,1344,Settings!$C$25)&amp;"","$",""),",","")),0)/IF(Settings!$B$27="Yes",G1344,1))</f>
        <v/>
      </c>
      <c r="I1344" s="11">
        <f>IF(A1344="","",IFERROR(VALUE(SUBSTITUTE(SUBSTITUTE(INDEX('Etsy Import'!$A:$CZ,1344,Settings!$C$26)&amp;"","$",""),",","")),0)/IF(Settings!$B$27="Yes",G1344,1))</f>
        <v/>
      </c>
      <c r="J1344" s="11">
        <f>IF(A1344="","",F1344+H1344-I1344)</f>
        <v/>
      </c>
      <c r="K1344">
        <f>IF(A1344="","",IFERROR(IF(B1344="",NA(),MATCH(B1344,Products!$B$5:$B$204,0)),IFERROR(MATCH(A1344,Products!$A$5:$A$204,0),"")))</f>
        <v/>
      </c>
      <c r="L1344">
        <f>IF(A1344="","",IF(K1344="","⚠ not in Products",INDEX(Products!$A$5:$A$204,K1344)))</f>
        <v/>
      </c>
      <c r="M1344" s="11">
        <f>IF(A1344="","",J1344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1344+IFERROR(INDEX(Settings!$D$5:$D$9,MATCH("Etsy",Settings!$A$5:$A$9,0)),0)*D1344)</f>
        <v/>
      </c>
      <c r="N1344" s="11">
        <f>IF(A1344="","",IF(K1344="",0,D1344*INDEX(Products!$I$5:$I$204,K1344)))</f>
        <v/>
      </c>
      <c r="O1344" s="11">
        <f>IF(A1344="","",IF(K1344="",0,J1344*INDEX(Products!$H$5:$H$204,K1344)))</f>
        <v/>
      </c>
      <c r="P1344" s="11">
        <f>IF(A1344="","",J1344-M1344-N1344-O1344)</f>
        <v/>
      </c>
    </row>
    <row r="1345">
      <c r="A1345">
        <f>IFERROR(INDEX('Etsy Import'!$A:$CZ,1345,Settings!$C$20)&amp;"","")</f>
        <v/>
      </c>
      <c r="B1345">
        <f>IFERROR(INDEX('Etsy Import'!$A:$CZ,1345,Settings!$C$21)&amp;"","")</f>
        <v/>
      </c>
      <c r="C1345">
        <f>IFERROR(INDEX('Etsy Import'!$A:$CZ,1345,Settings!$C$22)&amp;"","")</f>
        <v/>
      </c>
      <c r="D1345">
        <f>IF(A1345="","",IFERROR(VALUE(SUBSTITUTE(SUBSTITUTE(INDEX('Etsy Import'!$A:$CZ,1345,Settings!$C$23)&amp;"","$",""),",","")),0))</f>
        <v/>
      </c>
      <c r="E1345" s="11">
        <f>IF(A1345="","",IFERROR(VALUE(SUBSTITUTE(SUBSTITUTE(INDEX('Etsy Import'!$A:$CZ,1345,Settings!$C$24)&amp;"","$",""),",","")),0))</f>
        <v/>
      </c>
      <c r="F1345" s="11">
        <f>IF(A1345="","",D1345*E1345)</f>
        <v/>
      </c>
      <c r="G1345">
        <f>IF(A1345="","",IF(C1345="",1,COUNTIF($C$2:$C$1501,C1345)))</f>
        <v/>
      </c>
      <c r="H1345" s="11">
        <f>IF(A1345="","",IFERROR(VALUE(SUBSTITUTE(SUBSTITUTE(INDEX('Etsy Import'!$A:$CZ,1345,Settings!$C$25)&amp;"","$",""),",","")),0)/IF(Settings!$B$27="Yes",G1345,1))</f>
        <v/>
      </c>
      <c r="I1345" s="11">
        <f>IF(A1345="","",IFERROR(VALUE(SUBSTITUTE(SUBSTITUTE(INDEX('Etsy Import'!$A:$CZ,1345,Settings!$C$26)&amp;"","$",""),",","")),0)/IF(Settings!$B$27="Yes",G1345,1))</f>
        <v/>
      </c>
      <c r="J1345" s="11">
        <f>IF(A1345="","",F1345+H1345-I1345)</f>
        <v/>
      </c>
      <c r="K1345">
        <f>IF(A1345="","",IFERROR(IF(B1345="",NA(),MATCH(B1345,Products!$B$5:$B$204,0)),IFERROR(MATCH(A1345,Products!$A$5:$A$204,0),"")))</f>
        <v/>
      </c>
      <c r="L1345">
        <f>IF(A1345="","",IF(K1345="","⚠ not in Products",INDEX(Products!$A$5:$A$204,K1345)))</f>
        <v/>
      </c>
      <c r="M1345" s="11">
        <f>IF(A1345="","",J1345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1345+IFERROR(INDEX(Settings!$D$5:$D$9,MATCH("Etsy",Settings!$A$5:$A$9,0)),0)*D1345)</f>
        <v/>
      </c>
      <c r="N1345" s="11">
        <f>IF(A1345="","",IF(K1345="",0,D1345*INDEX(Products!$I$5:$I$204,K1345)))</f>
        <v/>
      </c>
      <c r="O1345" s="11">
        <f>IF(A1345="","",IF(K1345="",0,J1345*INDEX(Products!$H$5:$H$204,K1345)))</f>
        <v/>
      </c>
      <c r="P1345" s="11">
        <f>IF(A1345="","",J1345-M1345-N1345-O1345)</f>
        <v/>
      </c>
    </row>
    <row r="1346">
      <c r="A1346">
        <f>IFERROR(INDEX('Etsy Import'!$A:$CZ,1346,Settings!$C$20)&amp;"","")</f>
        <v/>
      </c>
      <c r="B1346">
        <f>IFERROR(INDEX('Etsy Import'!$A:$CZ,1346,Settings!$C$21)&amp;"","")</f>
        <v/>
      </c>
      <c r="C1346">
        <f>IFERROR(INDEX('Etsy Import'!$A:$CZ,1346,Settings!$C$22)&amp;"","")</f>
        <v/>
      </c>
      <c r="D1346">
        <f>IF(A1346="","",IFERROR(VALUE(SUBSTITUTE(SUBSTITUTE(INDEX('Etsy Import'!$A:$CZ,1346,Settings!$C$23)&amp;"","$",""),",","")),0))</f>
        <v/>
      </c>
      <c r="E1346" s="11">
        <f>IF(A1346="","",IFERROR(VALUE(SUBSTITUTE(SUBSTITUTE(INDEX('Etsy Import'!$A:$CZ,1346,Settings!$C$24)&amp;"","$",""),",","")),0))</f>
        <v/>
      </c>
      <c r="F1346" s="11">
        <f>IF(A1346="","",D1346*E1346)</f>
        <v/>
      </c>
      <c r="G1346">
        <f>IF(A1346="","",IF(C1346="",1,COUNTIF($C$2:$C$1501,C1346)))</f>
        <v/>
      </c>
      <c r="H1346" s="11">
        <f>IF(A1346="","",IFERROR(VALUE(SUBSTITUTE(SUBSTITUTE(INDEX('Etsy Import'!$A:$CZ,1346,Settings!$C$25)&amp;"","$",""),",","")),0)/IF(Settings!$B$27="Yes",G1346,1))</f>
        <v/>
      </c>
      <c r="I1346" s="11">
        <f>IF(A1346="","",IFERROR(VALUE(SUBSTITUTE(SUBSTITUTE(INDEX('Etsy Import'!$A:$CZ,1346,Settings!$C$26)&amp;"","$",""),",","")),0)/IF(Settings!$B$27="Yes",G1346,1))</f>
        <v/>
      </c>
      <c r="J1346" s="11">
        <f>IF(A1346="","",F1346+H1346-I1346)</f>
        <v/>
      </c>
      <c r="K1346">
        <f>IF(A1346="","",IFERROR(IF(B1346="",NA(),MATCH(B1346,Products!$B$5:$B$204,0)),IFERROR(MATCH(A1346,Products!$A$5:$A$204,0),"")))</f>
        <v/>
      </c>
      <c r="L1346">
        <f>IF(A1346="","",IF(K1346="","⚠ not in Products",INDEX(Products!$A$5:$A$204,K1346)))</f>
        <v/>
      </c>
      <c r="M1346" s="11">
        <f>IF(A1346="","",J1346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1346+IFERROR(INDEX(Settings!$D$5:$D$9,MATCH("Etsy",Settings!$A$5:$A$9,0)),0)*D1346)</f>
        <v/>
      </c>
      <c r="N1346" s="11">
        <f>IF(A1346="","",IF(K1346="",0,D1346*INDEX(Products!$I$5:$I$204,K1346)))</f>
        <v/>
      </c>
      <c r="O1346" s="11">
        <f>IF(A1346="","",IF(K1346="",0,J1346*INDEX(Products!$H$5:$H$204,K1346)))</f>
        <v/>
      </c>
      <c r="P1346" s="11">
        <f>IF(A1346="","",J1346-M1346-N1346-O1346)</f>
        <v/>
      </c>
    </row>
    <row r="1347">
      <c r="A1347">
        <f>IFERROR(INDEX('Etsy Import'!$A:$CZ,1347,Settings!$C$20)&amp;"","")</f>
        <v/>
      </c>
      <c r="B1347">
        <f>IFERROR(INDEX('Etsy Import'!$A:$CZ,1347,Settings!$C$21)&amp;"","")</f>
        <v/>
      </c>
      <c r="C1347">
        <f>IFERROR(INDEX('Etsy Import'!$A:$CZ,1347,Settings!$C$22)&amp;"","")</f>
        <v/>
      </c>
      <c r="D1347">
        <f>IF(A1347="","",IFERROR(VALUE(SUBSTITUTE(SUBSTITUTE(INDEX('Etsy Import'!$A:$CZ,1347,Settings!$C$23)&amp;"","$",""),",","")),0))</f>
        <v/>
      </c>
      <c r="E1347" s="11">
        <f>IF(A1347="","",IFERROR(VALUE(SUBSTITUTE(SUBSTITUTE(INDEX('Etsy Import'!$A:$CZ,1347,Settings!$C$24)&amp;"","$",""),",","")),0))</f>
        <v/>
      </c>
      <c r="F1347" s="11">
        <f>IF(A1347="","",D1347*E1347)</f>
        <v/>
      </c>
      <c r="G1347">
        <f>IF(A1347="","",IF(C1347="",1,COUNTIF($C$2:$C$1501,C1347)))</f>
        <v/>
      </c>
      <c r="H1347" s="11">
        <f>IF(A1347="","",IFERROR(VALUE(SUBSTITUTE(SUBSTITUTE(INDEX('Etsy Import'!$A:$CZ,1347,Settings!$C$25)&amp;"","$",""),",","")),0)/IF(Settings!$B$27="Yes",G1347,1))</f>
        <v/>
      </c>
      <c r="I1347" s="11">
        <f>IF(A1347="","",IFERROR(VALUE(SUBSTITUTE(SUBSTITUTE(INDEX('Etsy Import'!$A:$CZ,1347,Settings!$C$26)&amp;"","$",""),",","")),0)/IF(Settings!$B$27="Yes",G1347,1))</f>
        <v/>
      </c>
      <c r="J1347" s="11">
        <f>IF(A1347="","",F1347+H1347-I1347)</f>
        <v/>
      </c>
      <c r="K1347">
        <f>IF(A1347="","",IFERROR(IF(B1347="",NA(),MATCH(B1347,Products!$B$5:$B$204,0)),IFERROR(MATCH(A1347,Products!$A$5:$A$204,0),"")))</f>
        <v/>
      </c>
      <c r="L1347">
        <f>IF(A1347="","",IF(K1347="","⚠ not in Products",INDEX(Products!$A$5:$A$204,K1347)))</f>
        <v/>
      </c>
      <c r="M1347" s="11">
        <f>IF(A1347="","",J1347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1347+IFERROR(INDEX(Settings!$D$5:$D$9,MATCH("Etsy",Settings!$A$5:$A$9,0)),0)*D1347)</f>
        <v/>
      </c>
      <c r="N1347" s="11">
        <f>IF(A1347="","",IF(K1347="",0,D1347*INDEX(Products!$I$5:$I$204,K1347)))</f>
        <v/>
      </c>
      <c r="O1347" s="11">
        <f>IF(A1347="","",IF(K1347="",0,J1347*INDEX(Products!$H$5:$H$204,K1347)))</f>
        <v/>
      </c>
      <c r="P1347" s="11">
        <f>IF(A1347="","",J1347-M1347-N1347-O1347)</f>
        <v/>
      </c>
    </row>
    <row r="1348">
      <c r="A1348">
        <f>IFERROR(INDEX('Etsy Import'!$A:$CZ,1348,Settings!$C$20)&amp;"","")</f>
        <v/>
      </c>
      <c r="B1348">
        <f>IFERROR(INDEX('Etsy Import'!$A:$CZ,1348,Settings!$C$21)&amp;"","")</f>
        <v/>
      </c>
      <c r="C1348">
        <f>IFERROR(INDEX('Etsy Import'!$A:$CZ,1348,Settings!$C$22)&amp;"","")</f>
        <v/>
      </c>
      <c r="D1348">
        <f>IF(A1348="","",IFERROR(VALUE(SUBSTITUTE(SUBSTITUTE(INDEX('Etsy Import'!$A:$CZ,1348,Settings!$C$23)&amp;"","$",""),",","")),0))</f>
        <v/>
      </c>
      <c r="E1348" s="11">
        <f>IF(A1348="","",IFERROR(VALUE(SUBSTITUTE(SUBSTITUTE(INDEX('Etsy Import'!$A:$CZ,1348,Settings!$C$24)&amp;"","$",""),",","")),0))</f>
        <v/>
      </c>
      <c r="F1348" s="11">
        <f>IF(A1348="","",D1348*E1348)</f>
        <v/>
      </c>
      <c r="G1348">
        <f>IF(A1348="","",IF(C1348="",1,COUNTIF($C$2:$C$1501,C1348)))</f>
        <v/>
      </c>
      <c r="H1348" s="11">
        <f>IF(A1348="","",IFERROR(VALUE(SUBSTITUTE(SUBSTITUTE(INDEX('Etsy Import'!$A:$CZ,1348,Settings!$C$25)&amp;"","$",""),",","")),0)/IF(Settings!$B$27="Yes",G1348,1))</f>
        <v/>
      </c>
      <c r="I1348" s="11">
        <f>IF(A1348="","",IFERROR(VALUE(SUBSTITUTE(SUBSTITUTE(INDEX('Etsy Import'!$A:$CZ,1348,Settings!$C$26)&amp;"","$",""),",","")),0)/IF(Settings!$B$27="Yes",G1348,1))</f>
        <v/>
      </c>
      <c r="J1348" s="11">
        <f>IF(A1348="","",F1348+H1348-I1348)</f>
        <v/>
      </c>
      <c r="K1348">
        <f>IF(A1348="","",IFERROR(IF(B1348="",NA(),MATCH(B1348,Products!$B$5:$B$204,0)),IFERROR(MATCH(A1348,Products!$A$5:$A$204,0),"")))</f>
        <v/>
      </c>
      <c r="L1348">
        <f>IF(A1348="","",IF(K1348="","⚠ not in Products",INDEX(Products!$A$5:$A$204,K1348)))</f>
        <v/>
      </c>
      <c r="M1348" s="11">
        <f>IF(A1348="","",J1348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1348+IFERROR(INDEX(Settings!$D$5:$D$9,MATCH("Etsy",Settings!$A$5:$A$9,0)),0)*D1348)</f>
        <v/>
      </c>
      <c r="N1348" s="11">
        <f>IF(A1348="","",IF(K1348="",0,D1348*INDEX(Products!$I$5:$I$204,K1348)))</f>
        <v/>
      </c>
      <c r="O1348" s="11">
        <f>IF(A1348="","",IF(K1348="",0,J1348*INDEX(Products!$H$5:$H$204,K1348)))</f>
        <v/>
      </c>
      <c r="P1348" s="11">
        <f>IF(A1348="","",J1348-M1348-N1348-O1348)</f>
        <v/>
      </c>
    </row>
    <row r="1349">
      <c r="A1349">
        <f>IFERROR(INDEX('Etsy Import'!$A:$CZ,1349,Settings!$C$20)&amp;"","")</f>
        <v/>
      </c>
      <c r="B1349">
        <f>IFERROR(INDEX('Etsy Import'!$A:$CZ,1349,Settings!$C$21)&amp;"","")</f>
        <v/>
      </c>
      <c r="C1349">
        <f>IFERROR(INDEX('Etsy Import'!$A:$CZ,1349,Settings!$C$22)&amp;"","")</f>
        <v/>
      </c>
      <c r="D1349">
        <f>IF(A1349="","",IFERROR(VALUE(SUBSTITUTE(SUBSTITUTE(INDEX('Etsy Import'!$A:$CZ,1349,Settings!$C$23)&amp;"","$",""),",","")),0))</f>
        <v/>
      </c>
      <c r="E1349" s="11">
        <f>IF(A1349="","",IFERROR(VALUE(SUBSTITUTE(SUBSTITUTE(INDEX('Etsy Import'!$A:$CZ,1349,Settings!$C$24)&amp;"","$",""),",","")),0))</f>
        <v/>
      </c>
      <c r="F1349" s="11">
        <f>IF(A1349="","",D1349*E1349)</f>
        <v/>
      </c>
      <c r="G1349">
        <f>IF(A1349="","",IF(C1349="",1,COUNTIF($C$2:$C$1501,C1349)))</f>
        <v/>
      </c>
      <c r="H1349" s="11">
        <f>IF(A1349="","",IFERROR(VALUE(SUBSTITUTE(SUBSTITUTE(INDEX('Etsy Import'!$A:$CZ,1349,Settings!$C$25)&amp;"","$",""),",","")),0)/IF(Settings!$B$27="Yes",G1349,1))</f>
        <v/>
      </c>
      <c r="I1349" s="11">
        <f>IF(A1349="","",IFERROR(VALUE(SUBSTITUTE(SUBSTITUTE(INDEX('Etsy Import'!$A:$CZ,1349,Settings!$C$26)&amp;"","$",""),",","")),0)/IF(Settings!$B$27="Yes",G1349,1))</f>
        <v/>
      </c>
      <c r="J1349" s="11">
        <f>IF(A1349="","",F1349+H1349-I1349)</f>
        <v/>
      </c>
      <c r="K1349">
        <f>IF(A1349="","",IFERROR(IF(B1349="",NA(),MATCH(B1349,Products!$B$5:$B$204,0)),IFERROR(MATCH(A1349,Products!$A$5:$A$204,0),"")))</f>
        <v/>
      </c>
      <c r="L1349">
        <f>IF(A1349="","",IF(K1349="","⚠ not in Products",INDEX(Products!$A$5:$A$204,K1349)))</f>
        <v/>
      </c>
      <c r="M1349" s="11">
        <f>IF(A1349="","",J1349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1349+IFERROR(INDEX(Settings!$D$5:$D$9,MATCH("Etsy",Settings!$A$5:$A$9,0)),0)*D1349)</f>
        <v/>
      </c>
      <c r="N1349" s="11">
        <f>IF(A1349="","",IF(K1349="",0,D1349*INDEX(Products!$I$5:$I$204,K1349)))</f>
        <v/>
      </c>
      <c r="O1349" s="11">
        <f>IF(A1349="","",IF(K1349="",0,J1349*INDEX(Products!$H$5:$H$204,K1349)))</f>
        <v/>
      </c>
      <c r="P1349" s="11">
        <f>IF(A1349="","",J1349-M1349-N1349-O1349)</f>
        <v/>
      </c>
    </row>
    <row r="1350">
      <c r="A1350">
        <f>IFERROR(INDEX('Etsy Import'!$A:$CZ,1350,Settings!$C$20)&amp;"","")</f>
        <v/>
      </c>
      <c r="B1350">
        <f>IFERROR(INDEX('Etsy Import'!$A:$CZ,1350,Settings!$C$21)&amp;"","")</f>
        <v/>
      </c>
      <c r="C1350">
        <f>IFERROR(INDEX('Etsy Import'!$A:$CZ,1350,Settings!$C$22)&amp;"","")</f>
        <v/>
      </c>
      <c r="D1350">
        <f>IF(A1350="","",IFERROR(VALUE(SUBSTITUTE(SUBSTITUTE(INDEX('Etsy Import'!$A:$CZ,1350,Settings!$C$23)&amp;"","$",""),",","")),0))</f>
        <v/>
      </c>
      <c r="E1350" s="11">
        <f>IF(A1350="","",IFERROR(VALUE(SUBSTITUTE(SUBSTITUTE(INDEX('Etsy Import'!$A:$CZ,1350,Settings!$C$24)&amp;"","$",""),",","")),0))</f>
        <v/>
      </c>
      <c r="F1350" s="11">
        <f>IF(A1350="","",D1350*E1350)</f>
        <v/>
      </c>
      <c r="G1350">
        <f>IF(A1350="","",IF(C1350="",1,COUNTIF($C$2:$C$1501,C1350)))</f>
        <v/>
      </c>
      <c r="H1350" s="11">
        <f>IF(A1350="","",IFERROR(VALUE(SUBSTITUTE(SUBSTITUTE(INDEX('Etsy Import'!$A:$CZ,1350,Settings!$C$25)&amp;"","$",""),",","")),0)/IF(Settings!$B$27="Yes",G1350,1))</f>
        <v/>
      </c>
      <c r="I1350" s="11">
        <f>IF(A1350="","",IFERROR(VALUE(SUBSTITUTE(SUBSTITUTE(INDEX('Etsy Import'!$A:$CZ,1350,Settings!$C$26)&amp;"","$",""),",","")),0)/IF(Settings!$B$27="Yes",G1350,1))</f>
        <v/>
      </c>
      <c r="J1350" s="11">
        <f>IF(A1350="","",F1350+H1350-I1350)</f>
        <v/>
      </c>
      <c r="K1350">
        <f>IF(A1350="","",IFERROR(IF(B1350="",NA(),MATCH(B1350,Products!$B$5:$B$204,0)),IFERROR(MATCH(A1350,Products!$A$5:$A$204,0),"")))</f>
        <v/>
      </c>
      <c r="L1350">
        <f>IF(A1350="","",IF(K1350="","⚠ not in Products",INDEX(Products!$A$5:$A$204,K1350)))</f>
        <v/>
      </c>
      <c r="M1350" s="11">
        <f>IF(A1350="","",J1350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1350+IFERROR(INDEX(Settings!$D$5:$D$9,MATCH("Etsy",Settings!$A$5:$A$9,0)),0)*D1350)</f>
        <v/>
      </c>
      <c r="N1350" s="11">
        <f>IF(A1350="","",IF(K1350="",0,D1350*INDEX(Products!$I$5:$I$204,K1350)))</f>
        <v/>
      </c>
      <c r="O1350" s="11">
        <f>IF(A1350="","",IF(K1350="",0,J1350*INDEX(Products!$H$5:$H$204,K1350)))</f>
        <v/>
      </c>
      <c r="P1350" s="11">
        <f>IF(A1350="","",J1350-M1350-N1350-O1350)</f>
        <v/>
      </c>
    </row>
    <row r="1351">
      <c r="A1351">
        <f>IFERROR(INDEX('Etsy Import'!$A:$CZ,1351,Settings!$C$20)&amp;"","")</f>
        <v/>
      </c>
      <c r="B1351">
        <f>IFERROR(INDEX('Etsy Import'!$A:$CZ,1351,Settings!$C$21)&amp;"","")</f>
        <v/>
      </c>
      <c r="C1351">
        <f>IFERROR(INDEX('Etsy Import'!$A:$CZ,1351,Settings!$C$22)&amp;"","")</f>
        <v/>
      </c>
      <c r="D1351">
        <f>IF(A1351="","",IFERROR(VALUE(SUBSTITUTE(SUBSTITUTE(INDEX('Etsy Import'!$A:$CZ,1351,Settings!$C$23)&amp;"","$",""),",","")),0))</f>
        <v/>
      </c>
      <c r="E1351" s="11">
        <f>IF(A1351="","",IFERROR(VALUE(SUBSTITUTE(SUBSTITUTE(INDEX('Etsy Import'!$A:$CZ,1351,Settings!$C$24)&amp;"","$",""),",","")),0))</f>
        <v/>
      </c>
      <c r="F1351" s="11">
        <f>IF(A1351="","",D1351*E1351)</f>
        <v/>
      </c>
      <c r="G1351">
        <f>IF(A1351="","",IF(C1351="",1,COUNTIF($C$2:$C$1501,C1351)))</f>
        <v/>
      </c>
      <c r="H1351" s="11">
        <f>IF(A1351="","",IFERROR(VALUE(SUBSTITUTE(SUBSTITUTE(INDEX('Etsy Import'!$A:$CZ,1351,Settings!$C$25)&amp;"","$",""),",","")),0)/IF(Settings!$B$27="Yes",G1351,1))</f>
        <v/>
      </c>
      <c r="I1351" s="11">
        <f>IF(A1351="","",IFERROR(VALUE(SUBSTITUTE(SUBSTITUTE(INDEX('Etsy Import'!$A:$CZ,1351,Settings!$C$26)&amp;"","$",""),",","")),0)/IF(Settings!$B$27="Yes",G1351,1))</f>
        <v/>
      </c>
      <c r="J1351" s="11">
        <f>IF(A1351="","",F1351+H1351-I1351)</f>
        <v/>
      </c>
      <c r="K1351">
        <f>IF(A1351="","",IFERROR(IF(B1351="",NA(),MATCH(B1351,Products!$B$5:$B$204,0)),IFERROR(MATCH(A1351,Products!$A$5:$A$204,0),"")))</f>
        <v/>
      </c>
      <c r="L1351">
        <f>IF(A1351="","",IF(K1351="","⚠ not in Products",INDEX(Products!$A$5:$A$204,K1351)))</f>
        <v/>
      </c>
      <c r="M1351" s="11">
        <f>IF(A1351="","",J1351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1351+IFERROR(INDEX(Settings!$D$5:$D$9,MATCH("Etsy",Settings!$A$5:$A$9,0)),0)*D1351)</f>
        <v/>
      </c>
      <c r="N1351" s="11">
        <f>IF(A1351="","",IF(K1351="",0,D1351*INDEX(Products!$I$5:$I$204,K1351)))</f>
        <v/>
      </c>
      <c r="O1351" s="11">
        <f>IF(A1351="","",IF(K1351="",0,J1351*INDEX(Products!$H$5:$H$204,K1351)))</f>
        <v/>
      </c>
      <c r="P1351" s="11">
        <f>IF(A1351="","",J1351-M1351-N1351-O1351)</f>
        <v/>
      </c>
    </row>
    <row r="1352">
      <c r="A1352">
        <f>IFERROR(INDEX('Etsy Import'!$A:$CZ,1352,Settings!$C$20)&amp;"","")</f>
        <v/>
      </c>
      <c r="B1352">
        <f>IFERROR(INDEX('Etsy Import'!$A:$CZ,1352,Settings!$C$21)&amp;"","")</f>
        <v/>
      </c>
      <c r="C1352">
        <f>IFERROR(INDEX('Etsy Import'!$A:$CZ,1352,Settings!$C$22)&amp;"","")</f>
        <v/>
      </c>
      <c r="D1352">
        <f>IF(A1352="","",IFERROR(VALUE(SUBSTITUTE(SUBSTITUTE(INDEX('Etsy Import'!$A:$CZ,1352,Settings!$C$23)&amp;"","$",""),",","")),0))</f>
        <v/>
      </c>
      <c r="E1352" s="11">
        <f>IF(A1352="","",IFERROR(VALUE(SUBSTITUTE(SUBSTITUTE(INDEX('Etsy Import'!$A:$CZ,1352,Settings!$C$24)&amp;"","$",""),",","")),0))</f>
        <v/>
      </c>
      <c r="F1352" s="11">
        <f>IF(A1352="","",D1352*E1352)</f>
        <v/>
      </c>
      <c r="G1352">
        <f>IF(A1352="","",IF(C1352="",1,COUNTIF($C$2:$C$1501,C1352)))</f>
        <v/>
      </c>
      <c r="H1352" s="11">
        <f>IF(A1352="","",IFERROR(VALUE(SUBSTITUTE(SUBSTITUTE(INDEX('Etsy Import'!$A:$CZ,1352,Settings!$C$25)&amp;"","$",""),",","")),0)/IF(Settings!$B$27="Yes",G1352,1))</f>
        <v/>
      </c>
      <c r="I1352" s="11">
        <f>IF(A1352="","",IFERROR(VALUE(SUBSTITUTE(SUBSTITUTE(INDEX('Etsy Import'!$A:$CZ,1352,Settings!$C$26)&amp;"","$",""),",","")),0)/IF(Settings!$B$27="Yes",G1352,1))</f>
        <v/>
      </c>
      <c r="J1352" s="11">
        <f>IF(A1352="","",F1352+H1352-I1352)</f>
        <v/>
      </c>
      <c r="K1352">
        <f>IF(A1352="","",IFERROR(IF(B1352="",NA(),MATCH(B1352,Products!$B$5:$B$204,0)),IFERROR(MATCH(A1352,Products!$A$5:$A$204,0),"")))</f>
        <v/>
      </c>
      <c r="L1352">
        <f>IF(A1352="","",IF(K1352="","⚠ not in Products",INDEX(Products!$A$5:$A$204,K1352)))</f>
        <v/>
      </c>
      <c r="M1352" s="11">
        <f>IF(A1352="","",J1352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1352+IFERROR(INDEX(Settings!$D$5:$D$9,MATCH("Etsy",Settings!$A$5:$A$9,0)),0)*D1352)</f>
        <v/>
      </c>
      <c r="N1352" s="11">
        <f>IF(A1352="","",IF(K1352="",0,D1352*INDEX(Products!$I$5:$I$204,K1352)))</f>
        <v/>
      </c>
      <c r="O1352" s="11">
        <f>IF(A1352="","",IF(K1352="",0,J1352*INDEX(Products!$H$5:$H$204,K1352)))</f>
        <v/>
      </c>
      <c r="P1352" s="11">
        <f>IF(A1352="","",J1352-M1352-N1352-O1352)</f>
        <v/>
      </c>
    </row>
    <row r="1353">
      <c r="A1353">
        <f>IFERROR(INDEX('Etsy Import'!$A:$CZ,1353,Settings!$C$20)&amp;"","")</f>
        <v/>
      </c>
      <c r="B1353">
        <f>IFERROR(INDEX('Etsy Import'!$A:$CZ,1353,Settings!$C$21)&amp;"","")</f>
        <v/>
      </c>
      <c r="C1353">
        <f>IFERROR(INDEX('Etsy Import'!$A:$CZ,1353,Settings!$C$22)&amp;"","")</f>
        <v/>
      </c>
      <c r="D1353">
        <f>IF(A1353="","",IFERROR(VALUE(SUBSTITUTE(SUBSTITUTE(INDEX('Etsy Import'!$A:$CZ,1353,Settings!$C$23)&amp;"","$",""),",","")),0))</f>
        <v/>
      </c>
      <c r="E1353" s="11">
        <f>IF(A1353="","",IFERROR(VALUE(SUBSTITUTE(SUBSTITUTE(INDEX('Etsy Import'!$A:$CZ,1353,Settings!$C$24)&amp;"","$",""),",","")),0))</f>
        <v/>
      </c>
      <c r="F1353" s="11">
        <f>IF(A1353="","",D1353*E1353)</f>
        <v/>
      </c>
      <c r="G1353">
        <f>IF(A1353="","",IF(C1353="",1,COUNTIF($C$2:$C$1501,C1353)))</f>
        <v/>
      </c>
      <c r="H1353" s="11">
        <f>IF(A1353="","",IFERROR(VALUE(SUBSTITUTE(SUBSTITUTE(INDEX('Etsy Import'!$A:$CZ,1353,Settings!$C$25)&amp;"","$",""),",","")),0)/IF(Settings!$B$27="Yes",G1353,1))</f>
        <v/>
      </c>
      <c r="I1353" s="11">
        <f>IF(A1353="","",IFERROR(VALUE(SUBSTITUTE(SUBSTITUTE(INDEX('Etsy Import'!$A:$CZ,1353,Settings!$C$26)&amp;"","$",""),",","")),0)/IF(Settings!$B$27="Yes",G1353,1))</f>
        <v/>
      </c>
      <c r="J1353" s="11">
        <f>IF(A1353="","",F1353+H1353-I1353)</f>
        <v/>
      </c>
      <c r="K1353">
        <f>IF(A1353="","",IFERROR(IF(B1353="",NA(),MATCH(B1353,Products!$B$5:$B$204,0)),IFERROR(MATCH(A1353,Products!$A$5:$A$204,0),"")))</f>
        <v/>
      </c>
      <c r="L1353">
        <f>IF(A1353="","",IF(K1353="","⚠ not in Products",INDEX(Products!$A$5:$A$204,K1353)))</f>
        <v/>
      </c>
      <c r="M1353" s="11">
        <f>IF(A1353="","",J1353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1353+IFERROR(INDEX(Settings!$D$5:$D$9,MATCH("Etsy",Settings!$A$5:$A$9,0)),0)*D1353)</f>
        <v/>
      </c>
      <c r="N1353" s="11">
        <f>IF(A1353="","",IF(K1353="",0,D1353*INDEX(Products!$I$5:$I$204,K1353)))</f>
        <v/>
      </c>
      <c r="O1353" s="11">
        <f>IF(A1353="","",IF(K1353="",0,J1353*INDEX(Products!$H$5:$H$204,K1353)))</f>
        <v/>
      </c>
      <c r="P1353" s="11">
        <f>IF(A1353="","",J1353-M1353-N1353-O1353)</f>
        <v/>
      </c>
    </row>
    <row r="1354">
      <c r="A1354">
        <f>IFERROR(INDEX('Etsy Import'!$A:$CZ,1354,Settings!$C$20)&amp;"","")</f>
        <v/>
      </c>
      <c r="B1354">
        <f>IFERROR(INDEX('Etsy Import'!$A:$CZ,1354,Settings!$C$21)&amp;"","")</f>
        <v/>
      </c>
      <c r="C1354">
        <f>IFERROR(INDEX('Etsy Import'!$A:$CZ,1354,Settings!$C$22)&amp;"","")</f>
        <v/>
      </c>
      <c r="D1354">
        <f>IF(A1354="","",IFERROR(VALUE(SUBSTITUTE(SUBSTITUTE(INDEX('Etsy Import'!$A:$CZ,1354,Settings!$C$23)&amp;"","$",""),",","")),0))</f>
        <v/>
      </c>
      <c r="E1354" s="11">
        <f>IF(A1354="","",IFERROR(VALUE(SUBSTITUTE(SUBSTITUTE(INDEX('Etsy Import'!$A:$CZ,1354,Settings!$C$24)&amp;"","$",""),",","")),0))</f>
        <v/>
      </c>
      <c r="F1354" s="11">
        <f>IF(A1354="","",D1354*E1354)</f>
        <v/>
      </c>
      <c r="G1354">
        <f>IF(A1354="","",IF(C1354="",1,COUNTIF($C$2:$C$1501,C1354)))</f>
        <v/>
      </c>
      <c r="H1354" s="11">
        <f>IF(A1354="","",IFERROR(VALUE(SUBSTITUTE(SUBSTITUTE(INDEX('Etsy Import'!$A:$CZ,1354,Settings!$C$25)&amp;"","$",""),",","")),0)/IF(Settings!$B$27="Yes",G1354,1))</f>
        <v/>
      </c>
      <c r="I1354" s="11">
        <f>IF(A1354="","",IFERROR(VALUE(SUBSTITUTE(SUBSTITUTE(INDEX('Etsy Import'!$A:$CZ,1354,Settings!$C$26)&amp;"","$",""),",","")),0)/IF(Settings!$B$27="Yes",G1354,1))</f>
        <v/>
      </c>
      <c r="J1354" s="11">
        <f>IF(A1354="","",F1354+H1354-I1354)</f>
        <v/>
      </c>
      <c r="K1354">
        <f>IF(A1354="","",IFERROR(IF(B1354="",NA(),MATCH(B1354,Products!$B$5:$B$204,0)),IFERROR(MATCH(A1354,Products!$A$5:$A$204,0),"")))</f>
        <v/>
      </c>
      <c r="L1354">
        <f>IF(A1354="","",IF(K1354="","⚠ not in Products",INDEX(Products!$A$5:$A$204,K1354)))</f>
        <v/>
      </c>
      <c r="M1354" s="11">
        <f>IF(A1354="","",J1354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1354+IFERROR(INDEX(Settings!$D$5:$D$9,MATCH("Etsy",Settings!$A$5:$A$9,0)),0)*D1354)</f>
        <v/>
      </c>
      <c r="N1354" s="11">
        <f>IF(A1354="","",IF(K1354="",0,D1354*INDEX(Products!$I$5:$I$204,K1354)))</f>
        <v/>
      </c>
      <c r="O1354" s="11">
        <f>IF(A1354="","",IF(K1354="",0,J1354*INDEX(Products!$H$5:$H$204,K1354)))</f>
        <v/>
      </c>
      <c r="P1354" s="11">
        <f>IF(A1354="","",J1354-M1354-N1354-O1354)</f>
        <v/>
      </c>
    </row>
    <row r="1355">
      <c r="A1355">
        <f>IFERROR(INDEX('Etsy Import'!$A:$CZ,1355,Settings!$C$20)&amp;"","")</f>
        <v/>
      </c>
      <c r="B1355">
        <f>IFERROR(INDEX('Etsy Import'!$A:$CZ,1355,Settings!$C$21)&amp;"","")</f>
        <v/>
      </c>
      <c r="C1355">
        <f>IFERROR(INDEX('Etsy Import'!$A:$CZ,1355,Settings!$C$22)&amp;"","")</f>
        <v/>
      </c>
      <c r="D1355">
        <f>IF(A1355="","",IFERROR(VALUE(SUBSTITUTE(SUBSTITUTE(INDEX('Etsy Import'!$A:$CZ,1355,Settings!$C$23)&amp;"","$",""),",","")),0))</f>
        <v/>
      </c>
      <c r="E1355" s="11">
        <f>IF(A1355="","",IFERROR(VALUE(SUBSTITUTE(SUBSTITUTE(INDEX('Etsy Import'!$A:$CZ,1355,Settings!$C$24)&amp;"","$",""),",","")),0))</f>
        <v/>
      </c>
      <c r="F1355" s="11">
        <f>IF(A1355="","",D1355*E1355)</f>
        <v/>
      </c>
      <c r="G1355">
        <f>IF(A1355="","",IF(C1355="",1,COUNTIF($C$2:$C$1501,C1355)))</f>
        <v/>
      </c>
      <c r="H1355" s="11">
        <f>IF(A1355="","",IFERROR(VALUE(SUBSTITUTE(SUBSTITUTE(INDEX('Etsy Import'!$A:$CZ,1355,Settings!$C$25)&amp;"","$",""),",","")),0)/IF(Settings!$B$27="Yes",G1355,1))</f>
        <v/>
      </c>
      <c r="I1355" s="11">
        <f>IF(A1355="","",IFERROR(VALUE(SUBSTITUTE(SUBSTITUTE(INDEX('Etsy Import'!$A:$CZ,1355,Settings!$C$26)&amp;"","$",""),",","")),0)/IF(Settings!$B$27="Yes",G1355,1))</f>
        <v/>
      </c>
      <c r="J1355" s="11">
        <f>IF(A1355="","",F1355+H1355-I1355)</f>
        <v/>
      </c>
      <c r="K1355">
        <f>IF(A1355="","",IFERROR(IF(B1355="",NA(),MATCH(B1355,Products!$B$5:$B$204,0)),IFERROR(MATCH(A1355,Products!$A$5:$A$204,0),"")))</f>
        <v/>
      </c>
      <c r="L1355">
        <f>IF(A1355="","",IF(K1355="","⚠ not in Products",INDEX(Products!$A$5:$A$204,K1355)))</f>
        <v/>
      </c>
      <c r="M1355" s="11">
        <f>IF(A1355="","",J1355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1355+IFERROR(INDEX(Settings!$D$5:$D$9,MATCH("Etsy",Settings!$A$5:$A$9,0)),0)*D1355)</f>
        <v/>
      </c>
      <c r="N1355" s="11">
        <f>IF(A1355="","",IF(K1355="",0,D1355*INDEX(Products!$I$5:$I$204,K1355)))</f>
        <v/>
      </c>
      <c r="O1355" s="11">
        <f>IF(A1355="","",IF(K1355="",0,J1355*INDEX(Products!$H$5:$H$204,K1355)))</f>
        <v/>
      </c>
      <c r="P1355" s="11">
        <f>IF(A1355="","",J1355-M1355-N1355-O1355)</f>
        <v/>
      </c>
    </row>
    <row r="1356">
      <c r="A1356">
        <f>IFERROR(INDEX('Etsy Import'!$A:$CZ,1356,Settings!$C$20)&amp;"","")</f>
        <v/>
      </c>
      <c r="B1356">
        <f>IFERROR(INDEX('Etsy Import'!$A:$CZ,1356,Settings!$C$21)&amp;"","")</f>
        <v/>
      </c>
      <c r="C1356">
        <f>IFERROR(INDEX('Etsy Import'!$A:$CZ,1356,Settings!$C$22)&amp;"","")</f>
        <v/>
      </c>
      <c r="D1356">
        <f>IF(A1356="","",IFERROR(VALUE(SUBSTITUTE(SUBSTITUTE(INDEX('Etsy Import'!$A:$CZ,1356,Settings!$C$23)&amp;"","$",""),",","")),0))</f>
        <v/>
      </c>
      <c r="E1356" s="11">
        <f>IF(A1356="","",IFERROR(VALUE(SUBSTITUTE(SUBSTITUTE(INDEX('Etsy Import'!$A:$CZ,1356,Settings!$C$24)&amp;"","$",""),",","")),0))</f>
        <v/>
      </c>
      <c r="F1356" s="11">
        <f>IF(A1356="","",D1356*E1356)</f>
        <v/>
      </c>
      <c r="G1356">
        <f>IF(A1356="","",IF(C1356="",1,COUNTIF($C$2:$C$1501,C1356)))</f>
        <v/>
      </c>
      <c r="H1356" s="11">
        <f>IF(A1356="","",IFERROR(VALUE(SUBSTITUTE(SUBSTITUTE(INDEX('Etsy Import'!$A:$CZ,1356,Settings!$C$25)&amp;"","$",""),",","")),0)/IF(Settings!$B$27="Yes",G1356,1))</f>
        <v/>
      </c>
      <c r="I1356" s="11">
        <f>IF(A1356="","",IFERROR(VALUE(SUBSTITUTE(SUBSTITUTE(INDEX('Etsy Import'!$A:$CZ,1356,Settings!$C$26)&amp;"","$",""),",","")),0)/IF(Settings!$B$27="Yes",G1356,1))</f>
        <v/>
      </c>
      <c r="J1356" s="11">
        <f>IF(A1356="","",F1356+H1356-I1356)</f>
        <v/>
      </c>
      <c r="K1356">
        <f>IF(A1356="","",IFERROR(IF(B1356="",NA(),MATCH(B1356,Products!$B$5:$B$204,0)),IFERROR(MATCH(A1356,Products!$A$5:$A$204,0),"")))</f>
        <v/>
      </c>
      <c r="L1356">
        <f>IF(A1356="","",IF(K1356="","⚠ not in Products",INDEX(Products!$A$5:$A$204,K1356)))</f>
        <v/>
      </c>
      <c r="M1356" s="11">
        <f>IF(A1356="","",J1356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1356+IFERROR(INDEX(Settings!$D$5:$D$9,MATCH("Etsy",Settings!$A$5:$A$9,0)),0)*D1356)</f>
        <v/>
      </c>
      <c r="N1356" s="11">
        <f>IF(A1356="","",IF(K1356="",0,D1356*INDEX(Products!$I$5:$I$204,K1356)))</f>
        <v/>
      </c>
      <c r="O1356" s="11">
        <f>IF(A1356="","",IF(K1356="",0,J1356*INDEX(Products!$H$5:$H$204,K1356)))</f>
        <v/>
      </c>
      <c r="P1356" s="11">
        <f>IF(A1356="","",J1356-M1356-N1356-O1356)</f>
        <v/>
      </c>
    </row>
    <row r="1357">
      <c r="A1357">
        <f>IFERROR(INDEX('Etsy Import'!$A:$CZ,1357,Settings!$C$20)&amp;"","")</f>
        <v/>
      </c>
      <c r="B1357">
        <f>IFERROR(INDEX('Etsy Import'!$A:$CZ,1357,Settings!$C$21)&amp;"","")</f>
        <v/>
      </c>
      <c r="C1357">
        <f>IFERROR(INDEX('Etsy Import'!$A:$CZ,1357,Settings!$C$22)&amp;"","")</f>
        <v/>
      </c>
      <c r="D1357">
        <f>IF(A1357="","",IFERROR(VALUE(SUBSTITUTE(SUBSTITUTE(INDEX('Etsy Import'!$A:$CZ,1357,Settings!$C$23)&amp;"","$",""),",","")),0))</f>
        <v/>
      </c>
      <c r="E1357" s="11">
        <f>IF(A1357="","",IFERROR(VALUE(SUBSTITUTE(SUBSTITUTE(INDEX('Etsy Import'!$A:$CZ,1357,Settings!$C$24)&amp;"","$",""),",","")),0))</f>
        <v/>
      </c>
      <c r="F1357" s="11">
        <f>IF(A1357="","",D1357*E1357)</f>
        <v/>
      </c>
      <c r="G1357">
        <f>IF(A1357="","",IF(C1357="",1,COUNTIF($C$2:$C$1501,C1357)))</f>
        <v/>
      </c>
      <c r="H1357" s="11">
        <f>IF(A1357="","",IFERROR(VALUE(SUBSTITUTE(SUBSTITUTE(INDEX('Etsy Import'!$A:$CZ,1357,Settings!$C$25)&amp;"","$",""),",","")),0)/IF(Settings!$B$27="Yes",G1357,1))</f>
        <v/>
      </c>
      <c r="I1357" s="11">
        <f>IF(A1357="","",IFERROR(VALUE(SUBSTITUTE(SUBSTITUTE(INDEX('Etsy Import'!$A:$CZ,1357,Settings!$C$26)&amp;"","$",""),",","")),0)/IF(Settings!$B$27="Yes",G1357,1))</f>
        <v/>
      </c>
      <c r="J1357" s="11">
        <f>IF(A1357="","",F1357+H1357-I1357)</f>
        <v/>
      </c>
      <c r="K1357">
        <f>IF(A1357="","",IFERROR(IF(B1357="",NA(),MATCH(B1357,Products!$B$5:$B$204,0)),IFERROR(MATCH(A1357,Products!$A$5:$A$204,0),"")))</f>
        <v/>
      </c>
      <c r="L1357">
        <f>IF(A1357="","",IF(K1357="","⚠ not in Products",INDEX(Products!$A$5:$A$204,K1357)))</f>
        <v/>
      </c>
      <c r="M1357" s="11">
        <f>IF(A1357="","",J1357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1357+IFERROR(INDEX(Settings!$D$5:$D$9,MATCH("Etsy",Settings!$A$5:$A$9,0)),0)*D1357)</f>
        <v/>
      </c>
      <c r="N1357" s="11">
        <f>IF(A1357="","",IF(K1357="",0,D1357*INDEX(Products!$I$5:$I$204,K1357)))</f>
        <v/>
      </c>
      <c r="O1357" s="11">
        <f>IF(A1357="","",IF(K1357="",0,J1357*INDEX(Products!$H$5:$H$204,K1357)))</f>
        <v/>
      </c>
      <c r="P1357" s="11">
        <f>IF(A1357="","",J1357-M1357-N1357-O1357)</f>
        <v/>
      </c>
    </row>
    <row r="1358">
      <c r="A1358">
        <f>IFERROR(INDEX('Etsy Import'!$A:$CZ,1358,Settings!$C$20)&amp;"","")</f>
        <v/>
      </c>
      <c r="B1358">
        <f>IFERROR(INDEX('Etsy Import'!$A:$CZ,1358,Settings!$C$21)&amp;"","")</f>
        <v/>
      </c>
      <c r="C1358">
        <f>IFERROR(INDEX('Etsy Import'!$A:$CZ,1358,Settings!$C$22)&amp;"","")</f>
        <v/>
      </c>
      <c r="D1358">
        <f>IF(A1358="","",IFERROR(VALUE(SUBSTITUTE(SUBSTITUTE(INDEX('Etsy Import'!$A:$CZ,1358,Settings!$C$23)&amp;"","$",""),",","")),0))</f>
        <v/>
      </c>
      <c r="E1358" s="11">
        <f>IF(A1358="","",IFERROR(VALUE(SUBSTITUTE(SUBSTITUTE(INDEX('Etsy Import'!$A:$CZ,1358,Settings!$C$24)&amp;"","$",""),",","")),0))</f>
        <v/>
      </c>
      <c r="F1358" s="11">
        <f>IF(A1358="","",D1358*E1358)</f>
        <v/>
      </c>
      <c r="G1358">
        <f>IF(A1358="","",IF(C1358="",1,COUNTIF($C$2:$C$1501,C1358)))</f>
        <v/>
      </c>
      <c r="H1358" s="11">
        <f>IF(A1358="","",IFERROR(VALUE(SUBSTITUTE(SUBSTITUTE(INDEX('Etsy Import'!$A:$CZ,1358,Settings!$C$25)&amp;"","$",""),",","")),0)/IF(Settings!$B$27="Yes",G1358,1))</f>
        <v/>
      </c>
      <c r="I1358" s="11">
        <f>IF(A1358="","",IFERROR(VALUE(SUBSTITUTE(SUBSTITUTE(INDEX('Etsy Import'!$A:$CZ,1358,Settings!$C$26)&amp;"","$",""),",","")),0)/IF(Settings!$B$27="Yes",G1358,1))</f>
        <v/>
      </c>
      <c r="J1358" s="11">
        <f>IF(A1358="","",F1358+H1358-I1358)</f>
        <v/>
      </c>
      <c r="K1358">
        <f>IF(A1358="","",IFERROR(IF(B1358="",NA(),MATCH(B1358,Products!$B$5:$B$204,0)),IFERROR(MATCH(A1358,Products!$A$5:$A$204,0),"")))</f>
        <v/>
      </c>
      <c r="L1358">
        <f>IF(A1358="","",IF(K1358="","⚠ not in Products",INDEX(Products!$A$5:$A$204,K1358)))</f>
        <v/>
      </c>
      <c r="M1358" s="11">
        <f>IF(A1358="","",J1358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1358+IFERROR(INDEX(Settings!$D$5:$D$9,MATCH("Etsy",Settings!$A$5:$A$9,0)),0)*D1358)</f>
        <v/>
      </c>
      <c r="N1358" s="11">
        <f>IF(A1358="","",IF(K1358="",0,D1358*INDEX(Products!$I$5:$I$204,K1358)))</f>
        <v/>
      </c>
      <c r="O1358" s="11">
        <f>IF(A1358="","",IF(K1358="",0,J1358*INDEX(Products!$H$5:$H$204,K1358)))</f>
        <v/>
      </c>
      <c r="P1358" s="11">
        <f>IF(A1358="","",J1358-M1358-N1358-O1358)</f>
        <v/>
      </c>
    </row>
    <row r="1359">
      <c r="A1359">
        <f>IFERROR(INDEX('Etsy Import'!$A:$CZ,1359,Settings!$C$20)&amp;"","")</f>
        <v/>
      </c>
      <c r="B1359">
        <f>IFERROR(INDEX('Etsy Import'!$A:$CZ,1359,Settings!$C$21)&amp;"","")</f>
        <v/>
      </c>
      <c r="C1359">
        <f>IFERROR(INDEX('Etsy Import'!$A:$CZ,1359,Settings!$C$22)&amp;"","")</f>
        <v/>
      </c>
      <c r="D1359">
        <f>IF(A1359="","",IFERROR(VALUE(SUBSTITUTE(SUBSTITUTE(INDEX('Etsy Import'!$A:$CZ,1359,Settings!$C$23)&amp;"","$",""),",","")),0))</f>
        <v/>
      </c>
      <c r="E1359" s="11">
        <f>IF(A1359="","",IFERROR(VALUE(SUBSTITUTE(SUBSTITUTE(INDEX('Etsy Import'!$A:$CZ,1359,Settings!$C$24)&amp;"","$",""),",","")),0))</f>
        <v/>
      </c>
      <c r="F1359" s="11">
        <f>IF(A1359="","",D1359*E1359)</f>
        <v/>
      </c>
      <c r="G1359">
        <f>IF(A1359="","",IF(C1359="",1,COUNTIF($C$2:$C$1501,C1359)))</f>
        <v/>
      </c>
      <c r="H1359" s="11">
        <f>IF(A1359="","",IFERROR(VALUE(SUBSTITUTE(SUBSTITUTE(INDEX('Etsy Import'!$A:$CZ,1359,Settings!$C$25)&amp;"","$",""),",","")),0)/IF(Settings!$B$27="Yes",G1359,1))</f>
        <v/>
      </c>
      <c r="I1359" s="11">
        <f>IF(A1359="","",IFERROR(VALUE(SUBSTITUTE(SUBSTITUTE(INDEX('Etsy Import'!$A:$CZ,1359,Settings!$C$26)&amp;"","$",""),",","")),0)/IF(Settings!$B$27="Yes",G1359,1))</f>
        <v/>
      </c>
      <c r="J1359" s="11">
        <f>IF(A1359="","",F1359+H1359-I1359)</f>
        <v/>
      </c>
      <c r="K1359">
        <f>IF(A1359="","",IFERROR(IF(B1359="",NA(),MATCH(B1359,Products!$B$5:$B$204,0)),IFERROR(MATCH(A1359,Products!$A$5:$A$204,0),"")))</f>
        <v/>
      </c>
      <c r="L1359">
        <f>IF(A1359="","",IF(K1359="","⚠ not in Products",INDEX(Products!$A$5:$A$204,K1359)))</f>
        <v/>
      </c>
      <c r="M1359" s="11">
        <f>IF(A1359="","",J1359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1359+IFERROR(INDEX(Settings!$D$5:$D$9,MATCH("Etsy",Settings!$A$5:$A$9,0)),0)*D1359)</f>
        <v/>
      </c>
      <c r="N1359" s="11">
        <f>IF(A1359="","",IF(K1359="",0,D1359*INDEX(Products!$I$5:$I$204,K1359)))</f>
        <v/>
      </c>
      <c r="O1359" s="11">
        <f>IF(A1359="","",IF(K1359="",0,J1359*INDEX(Products!$H$5:$H$204,K1359)))</f>
        <v/>
      </c>
      <c r="P1359" s="11">
        <f>IF(A1359="","",J1359-M1359-N1359-O1359)</f>
        <v/>
      </c>
    </row>
    <row r="1360">
      <c r="A1360">
        <f>IFERROR(INDEX('Etsy Import'!$A:$CZ,1360,Settings!$C$20)&amp;"","")</f>
        <v/>
      </c>
      <c r="B1360">
        <f>IFERROR(INDEX('Etsy Import'!$A:$CZ,1360,Settings!$C$21)&amp;"","")</f>
        <v/>
      </c>
      <c r="C1360">
        <f>IFERROR(INDEX('Etsy Import'!$A:$CZ,1360,Settings!$C$22)&amp;"","")</f>
        <v/>
      </c>
      <c r="D1360">
        <f>IF(A1360="","",IFERROR(VALUE(SUBSTITUTE(SUBSTITUTE(INDEX('Etsy Import'!$A:$CZ,1360,Settings!$C$23)&amp;"","$",""),",","")),0))</f>
        <v/>
      </c>
      <c r="E1360" s="11">
        <f>IF(A1360="","",IFERROR(VALUE(SUBSTITUTE(SUBSTITUTE(INDEX('Etsy Import'!$A:$CZ,1360,Settings!$C$24)&amp;"","$",""),",","")),0))</f>
        <v/>
      </c>
      <c r="F1360" s="11">
        <f>IF(A1360="","",D1360*E1360)</f>
        <v/>
      </c>
      <c r="G1360">
        <f>IF(A1360="","",IF(C1360="",1,COUNTIF($C$2:$C$1501,C1360)))</f>
        <v/>
      </c>
      <c r="H1360" s="11">
        <f>IF(A1360="","",IFERROR(VALUE(SUBSTITUTE(SUBSTITUTE(INDEX('Etsy Import'!$A:$CZ,1360,Settings!$C$25)&amp;"","$",""),",","")),0)/IF(Settings!$B$27="Yes",G1360,1))</f>
        <v/>
      </c>
      <c r="I1360" s="11">
        <f>IF(A1360="","",IFERROR(VALUE(SUBSTITUTE(SUBSTITUTE(INDEX('Etsy Import'!$A:$CZ,1360,Settings!$C$26)&amp;"","$",""),",","")),0)/IF(Settings!$B$27="Yes",G1360,1))</f>
        <v/>
      </c>
      <c r="J1360" s="11">
        <f>IF(A1360="","",F1360+H1360-I1360)</f>
        <v/>
      </c>
      <c r="K1360">
        <f>IF(A1360="","",IFERROR(IF(B1360="",NA(),MATCH(B1360,Products!$B$5:$B$204,0)),IFERROR(MATCH(A1360,Products!$A$5:$A$204,0),"")))</f>
        <v/>
      </c>
      <c r="L1360">
        <f>IF(A1360="","",IF(K1360="","⚠ not in Products",INDEX(Products!$A$5:$A$204,K1360)))</f>
        <v/>
      </c>
      <c r="M1360" s="11">
        <f>IF(A1360="","",J1360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1360+IFERROR(INDEX(Settings!$D$5:$D$9,MATCH("Etsy",Settings!$A$5:$A$9,0)),0)*D1360)</f>
        <v/>
      </c>
      <c r="N1360" s="11">
        <f>IF(A1360="","",IF(K1360="",0,D1360*INDEX(Products!$I$5:$I$204,K1360)))</f>
        <v/>
      </c>
      <c r="O1360" s="11">
        <f>IF(A1360="","",IF(K1360="",0,J1360*INDEX(Products!$H$5:$H$204,K1360)))</f>
        <v/>
      </c>
      <c r="P1360" s="11">
        <f>IF(A1360="","",J1360-M1360-N1360-O1360)</f>
        <v/>
      </c>
    </row>
    <row r="1361">
      <c r="A1361">
        <f>IFERROR(INDEX('Etsy Import'!$A:$CZ,1361,Settings!$C$20)&amp;"","")</f>
        <v/>
      </c>
      <c r="B1361">
        <f>IFERROR(INDEX('Etsy Import'!$A:$CZ,1361,Settings!$C$21)&amp;"","")</f>
        <v/>
      </c>
      <c r="C1361">
        <f>IFERROR(INDEX('Etsy Import'!$A:$CZ,1361,Settings!$C$22)&amp;"","")</f>
        <v/>
      </c>
      <c r="D1361">
        <f>IF(A1361="","",IFERROR(VALUE(SUBSTITUTE(SUBSTITUTE(INDEX('Etsy Import'!$A:$CZ,1361,Settings!$C$23)&amp;"","$",""),",","")),0))</f>
        <v/>
      </c>
      <c r="E1361" s="11">
        <f>IF(A1361="","",IFERROR(VALUE(SUBSTITUTE(SUBSTITUTE(INDEX('Etsy Import'!$A:$CZ,1361,Settings!$C$24)&amp;"","$",""),",","")),0))</f>
        <v/>
      </c>
      <c r="F1361" s="11">
        <f>IF(A1361="","",D1361*E1361)</f>
        <v/>
      </c>
      <c r="G1361">
        <f>IF(A1361="","",IF(C1361="",1,COUNTIF($C$2:$C$1501,C1361)))</f>
        <v/>
      </c>
      <c r="H1361" s="11">
        <f>IF(A1361="","",IFERROR(VALUE(SUBSTITUTE(SUBSTITUTE(INDEX('Etsy Import'!$A:$CZ,1361,Settings!$C$25)&amp;"","$",""),",","")),0)/IF(Settings!$B$27="Yes",G1361,1))</f>
        <v/>
      </c>
      <c r="I1361" s="11">
        <f>IF(A1361="","",IFERROR(VALUE(SUBSTITUTE(SUBSTITUTE(INDEX('Etsy Import'!$A:$CZ,1361,Settings!$C$26)&amp;"","$",""),",","")),0)/IF(Settings!$B$27="Yes",G1361,1))</f>
        <v/>
      </c>
      <c r="J1361" s="11">
        <f>IF(A1361="","",F1361+H1361-I1361)</f>
        <v/>
      </c>
      <c r="K1361">
        <f>IF(A1361="","",IFERROR(IF(B1361="",NA(),MATCH(B1361,Products!$B$5:$B$204,0)),IFERROR(MATCH(A1361,Products!$A$5:$A$204,0),"")))</f>
        <v/>
      </c>
      <c r="L1361">
        <f>IF(A1361="","",IF(K1361="","⚠ not in Products",INDEX(Products!$A$5:$A$204,K1361)))</f>
        <v/>
      </c>
      <c r="M1361" s="11">
        <f>IF(A1361="","",J1361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1361+IFERROR(INDEX(Settings!$D$5:$D$9,MATCH("Etsy",Settings!$A$5:$A$9,0)),0)*D1361)</f>
        <v/>
      </c>
      <c r="N1361" s="11">
        <f>IF(A1361="","",IF(K1361="",0,D1361*INDEX(Products!$I$5:$I$204,K1361)))</f>
        <v/>
      </c>
      <c r="O1361" s="11">
        <f>IF(A1361="","",IF(K1361="",0,J1361*INDEX(Products!$H$5:$H$204,K1361)))</f>
        <v/>
      </c>
      <c r="P1361" s="11">
        <f>IF(A1361="","",J1361-M1361-N1361-O1361)</f>
        <v/>
      </c>
    </row>
    <row r="1362">
      <c r="A1362">
        <f>IFERROR(INDEX('Etsy Import'!$A:$CZ,1362,Settings!$C$20)&amp;"","")</f>
        <v/>
      </c>
      <c r="B1362">
        <f>IFERROR(INDEX('Etsy Import'!$A:$CZ,1362,Settings!$C$21)&amp;"","")</f>
        <v/>
      </c>
      <c r="C1362">
        <f>IFERROR(INDEX('Etsy Import'!$A:$CZ,1362,Settings!$C$22)&amp;"","")</f>
        <v/>
      </c>
      <c r="D1362">
        <f>IF(A1362="","",IFERROR(VALUE(SUBSTITUTE(SUBSTITUTE(INDEX('Etsy Import'!$A:$CZ,1362,Settings!$C$23)&amp;"","$",""),",","")),0))</f>
        <v/>
      </c>
      <c r="E1362" s="11">
        <f>IF(A1362="","",IFERROR(VALUE(SUBSTITUTE(SUBSTITUTE(INDEX('Etsy Import'!$A:$CZ,1362,Settings!$C$24)&amp;"","$",""),",","")),0))</f>
        <v/>
      </c>
      <c r="F1362" s="11">
        <f>IF(A1362="","",D1362*E1362)</f>
        <v/>
      </c>
      <c r="G1362">
        <f>IF(A1362="","",IF(C1362="",1,COUNTIF($C$2:$C$1501,C1362)))</f>
        <v/>
      </c>
      <c r="H1362" s="11">
        <f>IF(A1362="","",IFERROR(VALUE(SUBSTITUTE(SUBSTITUTE(INDEX('Etsy Import'!$A:$CZ,1362,Settings!$C$25)&amp;"","$",""),",","")),0)/IF(Settings!$B$27="Yes",G1362,1))</f>
        <v/>
      </c>
      <c r="I1362" s="11">
        <f>IF(A1362="","",IFERROR(VALUE(SUBSTITUTE(SUBSTITUTE(INDEX('Etsy Import'!$A:$CZ,1362,Settings!$C$26)&amp;"","$",""),",","")),0)/IF(Settings!$B$27="Yes",G1362,1))</f>
        <v/>
      </c>
      <c r="J1362" s="11">
        <f>IF(A1362="","",F1362+H1362-I1362)</f>
        <v/>
      </c>
      <c r="K1362">
        <f>IF(A1362="","",IFERROR(IF(B1362="",NA(),MATCH(B1362,Products!$B$5:$B$204,0)),IFERROR(MATCH(A1362,Products!$A$5:$A$204,0),"")))</f>
        <v/>
      </c>
      <c r="L1362">
        <f>IF(A1362="","",IF(K1362="","⚠ not in Products",INDEX(Products!$A$5:$A$204,K1362)))</f>
        <v/>
      </c>
      <c r="M1362" s="11">
        <f>IF(A1362="","",J1362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1362+IFERROR(INDEX(Settings!$D$5:$D$9,MATCH("Etsy",Settings!$A$5:$A$9,0)),0)*D1362)</f>
        <v/>
      </c>
      <c r="N1362" s="11">
        <f>IF(A1362="","",IF(K1362="",0,D1362*INDEX(Products!$I$5:$I$204,K1362)))</f>
        <v/>
      </c>
      <c r="O1362" s="11">
        <f>IF(A1362="","",IF(K1362="",0,J1362*INDEX(Products!$H$5:$H$204,K1362)))</f>
        <v/>
      </c>
      <c r="P1362" s="11">
        <f>IF(A1362="","",J1362-M1362-N1362-O1362)</f>
        <v/>
      </c>
    </row>
    <row r="1363">
      <c r="A1363">
        <f>IFERROR(INDEX('Etsy Import'!$A:$CZ,1363,Settings!$C$20)&amp;"","")</f>
        <v/>
      </c>
      <c r="B1363">
        <f>IFERROR(INDEX('Etsy Import'!$A:$CZ,1363,Settings!$C$21)&amp;"","")</f>
        <v/>
      </c>
      <c r="C1363">
        <f>IFERROR(INDEX('Etsy Import'!$A:$CZ,1363,Settings!$C$22)&amp;"","")</f>
        <v/>
      </c>
      <c r="D1363">
        <f>IF(A1363="","",IFERROR(VALUE(SUBSTITUTE(SUBSTITUTE(INDEX('Etsy Import'!$A:$CZ,1363,Settings!$C$23)&amp;"","$",""),",","")),0))</f>
        <v/>
      </c>
      <c r="E1363" s="11">
        <f>IF(A1363="","",IFERROR(VALUE(SUBSTITUTE(SUBSTITUTE(INDEX('Etsy Import'!$A:$CZ,1363,Settings!$C$24)&amp;"","$",""),",","")),0))</f>
        <v/>
      </c>
      <c r="F1363" s="11">
        <f>IF(A1363="","",D1363*E1363)</f>
        <v/>
      </c>
      <c r="G1363">
        <f>IF(A1363="","",IF(C1363="",1,COUNTIF($C$2:$C$1501,C1363)))</f>
        <v/>
      </c>
      <c r="H1363" s="11">
        <f>IF(A1363="","",IFERROR(VALUE(SUBSTITUTE(SUBSTITUTE(INDEX('Etsy Import'!$A:$CZ,1363,Settings!$C$25)&amp;"","$",""),",","")),0)/IF(Settings!$B$27="Yes",G1363,1))</f>
        <v/>
      </c>
      <c r="I1363" s="11">
        <f>IF(A1363="","",IFERROR(VALUE(SUBSTITUTE(SUBSTITUTE(INDEX('Etsy Import'!$A:$CZ,1363,Settings!$C$26)&amp;"","$",""),",","")),0)/IF(Settings!$B$27="Yes",G1363,1))</f>
        <v/>
      </c>
      <c r="J1363" s="11">
        <f>IF(A1363="","",F1363+H1363-I1363)</f>
        <v/>
      </c>
      <c r="K1363">
        <f>IF(A1363="","",IFERROR(IF(B1363="",NA(),MATCH(B1363,Products!$B$5:$B$204,0)),IFERROR(MATCH(A1363,Products!$A$5:$A$204,0),"")))</f>
        <v/>
      </c>
      <c r="L1363">
        <f>IF(A1363="","",IF(K1363="","⚠ not in Products",INDEX(Products!$A$5:$A$204,K1363)))</f>
        <v/>
      </c>
      <c r="M1363" s="11">
        <f>IF(A1363="","",J1363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1363+IFERROR(INDEX(Settings!$D$5:$D$9,MATCH("Etsy",Settings!$A$5:$A$9,0)),0)*D1363)</f>
        <v/>
      </c>
      <c r="N1363" s="11">
        <f>IF(A1363="","",IF(K1363="",0,D1363*INDEX(Products!$I$5:$I$204,K1363)))</f>
        <v/>
      </c>
      <c r="O1363" s="11">
        <f>IF(A1363="","",IF(K1363="",0,J1363*INDEX(Products!$H$5:$H$204,K1363)))</f>
        <v/>
      </c>
      <c r="P1363" s="11">
        <f>IF(A1363="","",J1363-M1363-N1363-O1363)</f>
        <v/>
      </c>
    </row>
    <row r="1364">
      <c r="A1364">
        <f>IFERROR(INDEX('Etsy Import'!$A:$CZ,1364,Settings!$C$20)&amp;"","")</f>
        <v/>
      </c>
      <c r="B1364">
        <f>IFERROR(INDEX('Etsy Import'!$A:$CZ,1364,Settings!$C$21)&amp;"","")</f>
        <v/>
      </c>
      <c r="C1364">
        <f>IFERROR(INDEX('Etsy Import'!$A:$CZ,1364,Settings!$C$22)&amp;"","")</f>
        <v/>
      </c>
      <c r="D1364">
        <f>IF(A1364="","",IFERROR(VALUE(SUBSTITUTE(SUBSTITUTE(INDEX('Etsy Import'!$A:$CZ,1364,Settings!$C$23)&amp;"","$",""),",","")),0))</f>
        <v/>
      </c>
      <c r="E1364" s="11">
        <f>IF(A1364="","",IFERROR(VALUE(SUBSTITUTE(SUBSTITUTE(INDEX('Etsy Import'!$A:$CZ,1364,Settings!$C$24)&amp;"","$",""),",","")),0))</f>
        <v/>
      </c>
      <c r="F1364" s="11">
        <f>IF(A1364="","",D1364*E1364)</f>
        <v/>
      </c>
      <c r="G1364">
        <f>IF(A1364="","",IF(C1364="",1,COUNTIF($C$2:$C$1501,C1364)))</f>
        <v/>
      </c>
      <c r="H1364" s="11">
        <f>IF(A1364="","",IFERROR(VALUE(SUBSTITUTE(SUBSTITUTE(INDEX('Etsy Import'!$A:$CZ,1364,Settings!$C$25)&amp;"","$",""),",","")),0)/IF(Settings!$B$27="Yes",G1364,1))</f>
        <v/>
      </c>
      <c r="I1364" s="11">
        <f>IF(A1364="","",IFERROR(VALUE(SUBSTITUTE(SUBSTITUTE(INDEX('Etsy Import'!$A:$CZ,1364,Settings!$C$26)&amp;"","$",""),",","")),0)/IF(Settings!$B$27="Yes",G1364,1))</f>
        <v/>
      </c>
      <c r="J1364" s="11">
        <f>IF(A1364="","",F1364+H1364-I1364)</f>
        <v/>
      </c>
      <c r="K1364">
        <f>IF(A1364="","",IFERROR(IF(B1364="",NA(),MATCH(B1364,Products!$B$5:$B$204,0)),IFERROR(MATCH(A1364,Products!$A$5:$A$204,0),"")))</f>
        <v/>
      </c>
      <c r="L1364">
        <f>IF(A1364="","",IF(K1364="","⚠ not in Products",INDEX(Products!$A$5:$A$204,K1364)))</f>
        <v/>
      </c>
      <c r="M1364" s="11">
        <f>IF(A1364="","",J1364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1364+IFERROR(INDEX(Settings!$D$5:$D$9,MATCH("Etsy",Settings!$A$5:$A$9,0)),0)*D1364)</f>
        <v/>
      </c>
      <c r="N1364" s="11">
        <f>IF(A1364="","",IF(K1364="",0,D1364*INDEX(Products!$I$5:$I$204,K1364)))</f>
        <v/>
      </c>
      <c r="O1364" s="11">
        <f>IF(A1364="","",IF(K1364="",0,J1364*INDEX(Products!$H$5:$H$204,K1364)))</f>
        <v/>
      </c>
      <c r="P1364" s="11">
        <f>IF(A1364="","",J1364-M1364-N1364-O1364)</f>
        <v/>
      </c>
    </row>
    <row r="1365">
      <c r="A1365">
        <f>IFERROR(INDEX('Etsy Import'!$A:$CZ,1365,Settings!$C$20)&amp;"","")</f>
        <v/>
      </c>
      <c r="B1365">
        <f>IFERROR(INDEX('Etsy Import'!$A:$CZ,1365,Settings!$C$21)&amp;"","")</f>
        <v/>
      </c>
      <c r="C1365">
        <f>IFERROR(INDEX('Etsy Import'!$A:$CZ,1365,Settings!$C$22)&amp;"","")</f>
        <v/>
      </c>
      <c r="D1365">
        <f>IF(A1365="","",IFERROR(VALUE(SUBSTITUTE(SUBSTITUTE(INDEX('Etsy Import'!$A:$CZ,1365,Settings!$C$23)&amp;"","$",""),",","")),0))</f>
        <v/>
      </c>
      <c r="E1365" s="11">
        <f>IF(A1365="","",IFERROR(VALUE(SUBSTITUTE(SUBSTITUTE(INDEX('Etsy Import'!$A:$CZ,1365,Settings!$C$24)&amp;"","$",""),",","")),0))</f>
        <v/>
      </c>
      <c r="F1365" s="11">
        <f>IF(A1365="","",D1365*E1365)</f>
        <v/>
      </c>
      <c r="G1365">
        <f>IF(A1365="","",IF(C1365="",1,COUNTIF($C$2:$C$1501,C1365)))</f>
        <v/>
      </c>
      <c r="H1365" s="11">
        <f>IF(A1365="","",IFERROR(VALUE(SUBSTITUTE(SUBSTITUTE(INDEX('Etsy Import'!$A:$CZ,1365,Settings!$C$25)&amp;"","$",""),",","")),0)/IF(Settings!$B$27="Yes",G1365,1))</f>
        <v/>
      </c>
      <c r="I1365" s="11">
        <f>IF(A1365="","",IFERROR(VALUE(SUBSTITUTE(SUBSTITUTE(INDEX('Etsy Import'!$A:$CZ,1365,Settings!$C$26)&amp;"","$",""),",","")),0)/IF(Settings!$B$27="Yes",G1365,1))</f>
        <v/>
      </c>
      <c r="J1365" s="11">
        <f>IF(A1365="","",F1365+H1365-I1365)</f>
        <v/>
      </c>
      <c r="K1365">
        <f>IF(A1365="","",IFERROR(IF(B1365="",NA(),MATCH(B1365,Products!$B$5:$B$204,0)),IFERROR(MATCH(A1365,Products!$A$5:$A$204,0),"")))</f>
        <v/>
      </c>
      <c r="L1365">
        <f>IF(A1365="","",IF(K1365="","⚠ not in Products",INDEX(Products!$A$5:$A$204,K1365)))</f>
        <v/>
      </c>
      <c r="M1365" s="11">
        <f>IF(A1365="","",J1365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1365+IFERROR(INDEX(Settings!$D$5:$D$9,MATCH("Etsy",Settings!$A$5:$A$9,0)),0)*D1365)</f>
        <v/>
      </c>
      <c r="N1365" s="11">
        <f>IF(A1365="","",IF(K1365="",0,D1365*INDEX(Products!$I$5:$I$204,K1365)))</f>
        <v/>
      </c>
      <c r="O1365" s="11">
        <f>IF(A1365="","",IF(K1365="",0,J1365*INDEX(Products!$H$5:$H$204,K1365)))</f>
        <v/>
      </c>
      <c r="P1365" s="11">
        <f>IF(A1365="","",J1365-M1365-N1365-O1365)</f>
        <v/>
      </c>
    </row>
    <row r="1366">
      <c r="A1366">
        <f>IFERROR(INDEX('Etsy Import'!$A:$CZ,1366,Settings!$C$20)&amp;"","")</f>
        <v/>
      </c>
      <c r="B1366">
        <f>IFERROR(INDEX('Etsy Import'!$A:$CZ,1366,Settings!$C$21)&amp;"","")</f>
        <v/>
      </c>
      <c r="C1366">
        <f>IFERROR(INDEX('Etsy Import'!$A:$CZ,1366,Settings!$C$22)&amp;"","")</f>
        <v/>
      </c>
      <c r="D1366">
        <f>IF(A1366="","",IFERROR(VALUE(SUBSTITUTE(SUBSTITUTE(INDEX('Etsy Import'!$A:$CZ,1366,Settings!$C$23)&amp;"","$",""),",","")),0))</f>
        <v/>
      </c>
      <c r="E1366" s="11">
        <f>IF(A1366="","",IFERROR(VALUE(SUBSTITUTE(SUBSTITUTE(INDEX('Etsy Import'!$A:$CZ,1366,Settings!$C$24)&amp;"","$",""),",","")),0))</f>
        <v/>
      </c>
      <c r="F1366" s="11">
        <f>IF(A1366="","",D1366*E1366)</f>
        <v/>
      </c>
      <c r="G1366">
        <f>IF(A1366="","",IF(C1366="",1,COUNTIF($C$2:$C$1501,C1366)))</f>
        <v/>
      </c>
      <c r="H1366" s="11">
        <f>IF(A1366="","",IFERROR(VALUE(SUBSTITUTE(SUBSTITUTE(INDEX('Etsy Import'!$A:$CZ,1366,Settings!$C$25)&amp;"","$",""),",","")),0)/IF(Settings!$B$27="Yes",G1366,1))</f>
        <v/>
      </c>
      <c r="I1366" s="11">
        <f>IF(A1366="","",IFERROR(VALUE(SUBSTITUTE(SUBSTITUTE(INDEX('Etsy Import'!$A:$CZ,1366,Settings!$C$26)&amp;"","$",""),",","")),0)/IF(Settings!$B$27="Yes",G1366,1))</f>
        <v/>
      </c>
      <c r="J1366" s="11">
        <f>IF(A1366="","",F1366+H1366-I1366)</f>
        <v/>
      </c>
      <c r="K1366">
        <f>IF(A1366="","",IFERROR(IF(B1366="",NA(),MATCH(B1366,Products!$B$5:$B$204,0)),IFERROR(MATCH(A1366,Products!$A$5:$A$204,0),"")))</f>
        <v/>
      </c>
      <c r="L1366">
        <f>IF(A1366="","",IF(K1366="","⚠ not in Products",INDEX(Products!$A$5:$A$204,K1366)))</f>
        <v/>
      </c>
      <c r="M1366" s="11">
        <f>IF(A1366="","",J1366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1366+IFERROR(INDEX(Settings!$D$5:$D$9,MATCH("Etsy",Settings!$A$5:$A$9,0)),0)*D1366)</f>
        <v/>
      </c>
      <c r="N1366" s="11">
        <f>IF(A1366="","",IF(K1366="",0,D1366*INDEX(Products!$I$5:$I$204,K1366)))</f>
        <v/>
      </c>
      <c r="O1366" s="11">
        <f>IF(A1366="","",IF(K1366="",0,J1366*INDEX(Products!$H$5:$H$204,K1366)))</f>
        <v/>
      </c>
      <c r="P1366" s="11">
        <f>IF(A1366="","",J1366-M1366-N1366-O1366)</f>
        <v/>
      </c>
    </row>
    <row r="1367">
      <c r="A1367">
        <f>IFERROR(INDEX('Etsy Import'!$A:$CZ,1367,Settings!$C$20)&amp;"","")</f>
        <v/>
      </c>
      <c r="B1367">
        <f>IFERROR(INDEX('Etsy Import'!$A:$CZ,1367,Settings!$C$21)&amp;"","")</f>
        <v/>
      </c>
      <c r="C1367">
        <f>IFERROR(INDEX('Etsy Import'!$A:$CZ,1367,Settings!$C$22)&amp;"","")</f>
        <v/>
      </c>
      <c r="D1367">
        <f>IF(A1367="","",IFERROR(VALUE(SUBSTITUTE(SUBSTITUTE(INDEX('Etsy Import'!$A:$CZ,1367,Settings!$C$23)&amp;"","$",""),",","")),0))</f>
        <v/>
      </c>
      <c r="E1367" s="11">
        <f>IF(A1367="","",IFERROR(VALUE(SUBSTITUTE(SUBSTITUTE(INDEX('Etsy Import'!$A:$CZ,1367,Settings!$C$24)&amp;"","$",""),",","")),0))</f>
        <v/>
      </c>
      <c r="F1367" s="11">
        <f>IF(A1367="","",D1367*E1367)</f>
        <v/>
      </c>
      <c r="G1367">
        <f>IF(A1367="","",IF(C1367="",1,COUNTIF($C$2:$C$1501,C1367)))</f>
        <v/>
      </c>
      <c r="H1367" s="11">
        <f>IF(A1367="","",IFERROR(VALUE(SUBSTITUTE(SUBSTITUTE(INDEX('Etsy Import'!$A:$CZ,1367,Settings!$C$25)&amp;"","$",""),",","")),0)/IF(Settings!$B$27="Yes",G1367,1))</f>
        <v/>
      </c>
      <c r="I1367" s="11">
        <f>IF(A1367="","",IFERROR(VALUE(SUBSTITUTE(SUBSTITUTE(INDEX('Etsy Import'!$A:$CZ,1367,Settings!$C$26)&amp;"","$",""),",","")),0)/IF(Settings!$B$27="Yes",G1367,1))</f>
        <v/>
      </c>
      <c r="J1367" s="11">
        <f>IF(A1367="","",F1367+H1367-I1367)</f>
        <v/>
      </c>
      <c r="K1367">
        <f>IF(A1367="","",IFERROR(IF(B1367="",NA(),MATCH(B1367,Products!$B$5:$B$204,0)),IFERROR(MATCH(A1367,Products!$A$5:$A$204,0),"")))</f>
        <v/>
      </c>
      <c r="L1367">
        <f>IF(A1367="","",IF(K1367="","⚠ not in Products",INDEX(Products!$A$5:$A$204,K1367)))</f>
        <v/>
      </c>
      <c r="M1367" s="11">
        <f>IF(A1367="","",J1367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1367+IFERROR(INDEX(Settings!$D$5:$D$9,MATCH("Etsy",Settings!$A$5:$A$9,0)),0)*D1367)</f>
        <v/>
      </c>
      <c r="N1367" s="11">
        <f>IF(A1367="","",IF(K1367="",0,D1367*INDEX(Products!$I$5:$I$204,K1367)))</f>
        <v/>
      </c>
      <c r="O1367" s="11">
        <f>IF(A1367="","",IF(K1367="",0,J1367*INDEX(Products!$H$5:$H$204,K1367)))</f>
        <v/>
      </c>
      <c r="P1367" s="11">
        <f>IF(A1367="","",J1367-M1367-N1367-O1367)</f>
        <v/>
      </c>
    </row>
    <row r="1368">
      <c r="A1368">
        <f>IFERROR(INDEX('Etsy Import'!$A:$CZ,1368,Settings!$C$20)&amp;"","")</f>
        <v/>
      </c>
      <c r="B1368">
        <f>IFERROR(INDEX('Etsy Import'!$A:$CZ,1368,Settings!$C$21)&amp;"","")</f>
        <v/>
      </c>
      <c r="C1368">
        <f>IFERROR(INDEX('Etsy Import'!$A:$CZ,1368,Settings!$C$22)&amp;"","")</f>
        <v/>
      </c>
      <c r="D1368">
        <f>IF(A1368="","",IFERROR(VALUE(SUBSTITUTE(SUBSTITUTE(INDEX('Etsy Import'!$A:$CZ,1368,Settings!$C$23)&amp;"","$",""),",","")),0))</f>
        <v/>
      </c>
      <c r="E1368" s="11">
        <f>IF(A1368="","",IFERROR(VALUE(SUBSTITUTE(SUBSTITUTE(INDEX('Etsy Import'!$A:$CZ,1368,Settings!$C$24)&amp;"","$",""),",","")),0))</f>
        <v/>
      </c>
      <c r="F1368" s="11">
        <f>IF(A1368="","",D1368*E1368)</f>
        <v/>
      </c>
      <c r="G1368">
        <f>IF(A1368="","",IF(C1368="",1,COUNTIF($C$2:$C$1501,C1368)))</f>
        <v/>
      </c>
      <c r="H1368" s="11">
        <f>IF(A1368="","",IFERROR(VALUE(SUBSTITUTE(SUBSTITUTE(INDEX('Etsy Import'!$A:$CZ,1368,Settings!$C$25)&amp;"","$",""),",","")),0)/IF(Settings!$B$27="Yes",G1368,1))</f>
        <v/>
      </c>
      <c r="I1368" s="11">
        <f>IF(A1368="","",IFERROR(VALUE(SUBSTITUTE(SUBSTITUTE(INDEX('Etsy Import'!$A:$CZ,1368,Settings!$C$26)&amp;"","$",""),",","")),0)/IF(Settings!$B$27="Yes",G1368,1))</f>
        <v/>
      </c>
      <c r="J1368" s="11">
        <f>IF(A1368="","",F1368+H1368-I1368)</f>
        <v/>
      </c>
      <c r="K1368">
        <f>IF(A1368="","",IFERROR(IF(B1368="",NA(),MATCH(B1368,Products!$B$5:$B$204,0)),IFERROR(MATCH(A1368,Products!$A$5:$A$204,0),"")))</f>
        <v/>
      </c>
      <c r="L1368">
        <f>IF(A1368="","",IF(K1368="","⚠ not in Products",INDEX(Products!$A$5:$A$204,K1368)))</f>
        <v/>
      </c>
      <c r="M1368" s="11">
        <f>IF(A1368="","",J1368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1368+IFERROR(INDEX(Settings!$D$5:$D$9,MATCH("Etsy",Settings!$A$5:$A$9,0)),0)*D1368)</f>
        <v/>
      </c>
      <c r="N1368" s="11">
        <f>IF(A1368="","",IF(K1368="",0,D1368*INDEX(Products!$I$5:$I$204,K1368)))</f>
        <v/>
      </c>
      <c r="O1368" s="11">
        <f>IF(A1368="","",IF(K1368="",0,J1368*INDEX(Products!$H$5:$H$204,K1368)))</f>
        <v/>
      </c>
      <c r="P1368" s="11">
        <f>IF(A1368="","",J1368-M1368-N1368-O1368)</f>
        <v/>
      </c>
    </row>
    <row r="1369">
      <c r="A1369">
        <f>IFERROR(INDEX('Etsy Import'!$A:$CZ,1369,Settings!$C$20)&amp;"","")</f>
        <v/>
      </c>
      <c r="B1369">
        <f>IFERROR(INDEX('Etsy Import'!$A:$CZ,1369,Settings!$C$21)&amp;"","")</f>
        <v/>
      </c>
      <c r="C1369">
        <f>IFERROR(INDEX('Etsy Import'!$A:$CZ,1369,Settings!$C$22)&amp;"","")</f>
        <v/>
      </c>
      <c r="D1369">
        <f>IF(A1369="","",IFERROR(VALUE(SUBSTITUTE(SUBSTITUTE(INDEX('Etsy Import'!$A:$CZ,1369,Settings!$C$23)&amp;"","$",""),",","")),0))</f>
        <v/>
      </c>
      <c r="E1369" s="11">
        <f>IF(A1369="","",IFERROR(VALUE(SUBSTITUTE(SUBSTITUTE(INDEX('Etsy Import'!$A:$CZ,1369,Settings!$C$24)&amp;"","$",""),",","")),0))</f>
        <v/>
      </c>
      <c r="F1369" s="11">
        <f>IF(A1369="","",D1369*E1369)</f>
        <v/>
      </c>
      <c r="G1369">
        <f>IF(A1369="","",IF(C1369="",1,COUNTIF($C$2:$C$1501,C1369)))</f>
        <v/>
      </c>
      <c r="H1369" s="11">
        <f>IF(A1369="","",IFERROR(VALUE(SUBSTITUTE(SUBSTITUTE(INDEX('Etsy Import'!$A:$CZ,1369,Settings!$C$25)&amp;"","$",""),",","")),0)/IF(Settings!$B$27="Yes",G1369,1))</f>
        <v/>
      </c>
      <c r="I1369" s="11">
        <f>IF(A1369="","",IFERROR(VALUE(SUBSTITUTE(SUBSTITUTE(INDEX('Etsy Import'!$A:$CZ,1369,Settings!$C$26)&amp;"","$",""),",","")),0)/IF(Settings!$B$27="Yes",G1369,1))</f>
        <v/>
      </c>
      <c r="J1369" s="11">
        <f>IF(A1369="","",F1369+H1369-I1369)</f>
        <v/>
      </c>
      <c r="K1369">
        <f>IF(A1369="","",IFERROR(IF(B1369="",NA(),MATCH(B1369,Products!$B$5:$B$204,0)),IFERROR(MATCH(A1369,Products!$A$5:$A$204,0),"")))</f>
        <v/>
      </c>
      <c r="L1369">
        <f>IF(A1369="","",IF(K1369="","⚠ not in Products",INDEX(Products!$A$5:$A$204,K1369)))</f>
        <v/>
      </c>
      <c r="M1369" s="11">
        <f>IF(A1369="","",J1369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1369+IFERROR(INDEX(Settings!$D$5:$D$9,MATCH("Etsy",Settings!$A$5:$A$9,0)),0)*D1369)</f>
        <v/>
      </c>
      <c r="N1369" s="11">
        <f>IF(A1369="","",IF(K1369="",0,D1369*INDEX(Products!$I$5:$I$204,K1369)))</f>
        <v/>
      </c>
      <c r="O1369" s="11">
        <f>IF(A1369="","",IF(K1369="",0,J1369*INDEX(Products!$H$5:$H$204,K1369)))</f>
        <v/>
      </c>
      <c r="P1369" s="11">
        <f>IF(A1369="","",J1369-M1369-N1369-O1369)</f>
        <v/>
      </c>
    </row>
    <row r="1370">
      <c r="A1370">
        <f>IFERROR(INDEX('Etsy Import'!$A:$CZ,1370,Settings!$C$20)&amp;"","")</f>
        <v/>
      </c>
      <c r="B1370">
        <f>IFERROR(INDEX('Etsy Import'!$A:$CZ,1370,Settings!$C$21)&amp;"","")</f>
        <v/>
      </c>
      <c r="C1370">
        <f>IFERROR(INDEX('Etsy Import'!$A:$CZ,1370,Settings!$C$22)&amp;"","")</f>
        <v/>
      </c>
      <c r="D1370">
        <f>IF(A1370="","",IFERROR(VALUE(SUBSTITUTE(SUBSTITUTE(INDEX('Etsy Import'!$A:$CZ,1370,Settings!$C$23)&amp;"","$",""),",","")),0))</f>
        <v/>
      </c>
      <c r="E1370" s="11">
        <f>IF(A1370="","",IFERROR(VALUE(SUBSTITUTE(SUBSTITUTE(INDEX('Etsy Import'!$A:$CZ,1370,Settings!$C$24)&amp;"","$",""),",","")),0))</f>
        <v/>
      </c>
      <c r="F1370" s="11">
        <f>IF(A1370="","",D1370*E1370)</f>
        <v/>
      </c>
      <c r="G1370">
        <f>IF(A1370="","",IF(C1370="",1,COUNTIF($C$2:$C$1501,C1370)))</f>
        <v/>
      </c>
      <c r="H1370" s="11">
        <f>IF(A1370="","",IFERROR(VALUE(SUBSTITUTE(SUBSTITUTE(INDEX('Etsy Import'!$A:$CZ,1370,Settings!$C$25)&amp;"","$",""),",","")),0)/IF(Settings!$B$27="Yes",G1370,1))</f>
        <v/>
      </c>
      <c r="I1370" s="11">
        <f>IF(A1370="","",IFERROR(VALUE(SUBSTITUTE(SUBSTITUTE(INDEX('Etsy Import'!$A:$CZ,1370,Settings!$C$26)&amp;"","$",""),",","")),0)/IF(Settings!$B$27="Yes",G1370,1))</f>
        <v/>
      </c>
      <c r="J1370" s="11">
        <f>IF(A1370="","",F1370+H1370-I1370)</f>
        <v/>
      </c>
      <c r="K1370">
        <f>IF(A1370="","",IFERROR(IF(B1370="",NA(),MATCH(B1370,Products!$B$5:$B$204,0)),IFERROR(MATCH(A1370,Products!$A$5:$A$204,0),"")))</f>
        <v/>
      </c>
      <c r="L1370">
        <f>IF(A1370="","",IF(K1370="","⚠ not in Products",INDEX(Products!$A$5:$A$204,K1370)))</f>
        <v/>
      </c>
      <c r="M1370" s="11">
        <f>IF(A1370="","",J1370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1370+IFERROR(INDEX(Settings!$D$5:$D$9,MATCH("Etsy",Settings!$A$5:$A$9,0)),0)*D1370)</f>
        <v/>
      </c>
      <c r="N1370" s="11">
        <f>IF(A1370="","",IF(K1370="",0,D1370*INDEX(Products!$I$5:$I$204,K1370)))</f>
        <v/>
      </c>
      <c r="O1370" s="11">
        <f>IF(A1370="","",IF(K1370="",0,J1370*INDEX(Products!$H$5:$H$204,K1370)))</f>
        <v/>
      </c>
      <c r="P1370" s="11">
        <f>IF(A1370="","",J1370-M1370-N1370-O1370)</f>
        <v/>
      </c>
    </row>
    <row r="1371">
      <c r="A1371">
        <f>IFERROR(INDEX('Etsy Import'!$A:$CZ,1371,Settings!$C$20)&amp;"","")</f>
        <v/>
      </c>
      <c r="B1371">
        <f>IFERROR(INDEX('Etsy Import'!$A:$CZ,1371,Settings!$C$21)&amp;"","")</f>
        <v/>
      </c>
      <c r="C1371">
        <f>IFERROR(INDEX('Etsy Import'!$A:$CZ,1371,Settings!$C$22)&amp;"","")</f>
        <v/>
      </c>
      <c r="D1371">
        <f>IF(A1371="","",IFERROR(VALUE(SUBSTITUTE(SUBSTITUTE(INDEX('Etsy Import'!$A:$CZ,1371,Settings!$C$23)&amp;"","$",""),",","")),0))</f>
        <v/>
      </c>
      <c r="E1371" s="11">
        <f>IF(A1371="","",IFERROR(VALUE(SUBSTITUTE(SUBSTITUTE(INDEX('Etsy Import'!$A:$CZ,1371,Settings!$C$24)&amp;"","$",""),",","")),0))</f>
        <v/>
      </c>
      <c r="F1371" s="11">
        <f>IF(A1371="","",D1371*E1371)</f>
        <v/>
      </c>
      <c r="G1371">
        <f>IF(A1371="","",IF(C1371="",1,COUNTIF($C$2:$C$1501,C1371)))</f>
        <v/>
      </c>
      <c r="H1371" s="11">
        <f>IF(A1371="","",IFERROR(VALUE(SUBSTITUTE(SUBSTITUTE(INDEX('Etsy Import'!$A:$CZ,1371,Settings!$C$25)&amp;"","$",""),",","")),0)/IF(Settings!$B$27="Yes",G1371,1))</f>
        <v/>
      </c>
      <c r="I1371" s="11">
        <f>IF(A1371="","",IFERROR(VALUE(SUBSTITUTE(SUBSTITUTE(INDEX('Etsy Import'!$A:$CZ,1371,Settings!$C$26)&amp;"","$",""),",","")),0)/IF(Settings!$B$27="Yes",G1371,1))</f>
        <v/>
      </c>
      <c r="J1371" s="11">
        <f>IF(A1371="","",F1371+H1371-I1371)</f>
        <v/>
      </c>
      <c r="K1371">
        <f>IF(A1371="","",IFERROR(IF(B1371="",NA(),MATCH(B1371,Products!$B$5:$B$204,0)),IFERROR(MATCH(A1371,Products!$A$5:$A$204,0),"")))</f>
        <v/>
      </c>
      <c r="L1371">
        <f>IF(A1371="","",IF(K1371="","⚠ not in Products",INDEX(Products!$A$5:$A$204,K1371)))</f>
        <v/>
      </c>
      <c r="M1371" s="11">
        <f>IF(A1371="","",J1371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1371+IFERROR(INDEX(Settings!$D$5:$D$9,MATCH("Etsy",Settings!$A$5:$A$9,0)),0)*D1371)</f>
        <v/>
      </c>
      <c r="N1371" s="11">
        <f>IF(A1371="","",IF(K1371="",0,D1371*INDEX(Products!$I$5:$I$204,K1371)))</f>
        <v/>
      </c>
      <c r="O1371" s="11">
        <f>IF(A1371="","",IF(K1371="",0,J1371*INDEX(Products!$H$5:$H$204,K1371)))</f>
        <v/>
      </c>
      <c r="P1371" s="11">
        <f>IF(A1371="","",J1371-M1371-N1371-O1371)</f>
        <v/>
      </c>
    </row>
    <row r="1372">
      <c r="A1372">
        <f>IFERROR(INDEX('Etsy Import'!$A:$CZ,1372,Settings!$C$20)&amp;"","")</f>
        <v/>
      </c>
      <c r="B1372">
        <f>IFERROR(INDEX('Etsy Import'!$A:$CZ,1372,Settings!$C$21)&amp;"","")</f>
        <v/>
      </c>
      <c r="C1372">
        <f>IFERROR(INDEX('Etsy Import'!$A:$CZ,1372,Settings!$C$22)&amp;"","")</f>
        <v/>
      </c>
      <c r="D1372">
        <f>IF(A1372="","",IFERROR(VALUE(SUBSTITUTE(SUBSTITUTE(INDEX('Etsy Import'!$A:$CZ,1372,Settings!$C$23)&amp;"","$",""),",","")),0))</f>
        <v/>
      </c>
      <c r="E1372" s="11">
        <f>IF(A1372="","",IFERROR(VALUE(SUBSTITUTE(SUBSTITUTE(INDEX('Etsy Import'!$A:$CZ,1372,Settings!$C$24)&amp;"","$",""),",","")),0))</f>
        <v/>
      </c>
      <c r="F1372" s="11">
        <f>IF(A1372="","",D1372*E1372)</f>
        <v/>
      </c>
      <c r="G1372">
        <f>IF(A1372="","",IF(C1372="",1,COUNTIF($C$2:$C$1501,C1372)))</f>
        <v/>
      </c>
      <c r="H1372" s="11">
        <f>IF(A1372="","",IFERROR(VALUE(SUBSTITUTE(SUBSTITUTE(INDEX('Etsy Import'!$A:$CZ,1372,Settings!$C$25)&amp;"","$",""),",","")),0)/IF(Settings!$B$27="Yes",G1372,1))</f>
        <v/>
      </c>
      <c r="I1372" s="11">
        <f>IF(A1372="","",IFERROR(VALUE(SUBSTITUTE(SUBSTITUTE(INDEX('Etsy Import'!$A:$CZ,1372,Settings!$C$26)&amp;"","$",""),",","")),0)/IF(Settings!$B$27="Yes",G1372,1))</f>
        <v/>
      </c>
      <c r="J1372" s="11">
        <f>IF(A1372="","",F1372+H1372-I1372)</f>
        <v/>
      </c>
      <c r="K1372">
        <f>IF(A1372="","",IFERROR(IF(B1372="",NA(),MATCH(B1372,Products!$B$5:$B$204,0)),IFERROR(MATCH(A1372,Products!$A$5:$A$204,0),"")))</f>
        <v/>
      </c>
      <c r="L1372">
        <f>IF(A1372="","",IF(K1372="","⚠ not in Products",INDEX(Products!$A$5:$A$204,K1372)))</f>
        <v/>
      </c>
      <c r="M1372" s="11">
        <f>IF(A1372="","",J1372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1372+IFERROR(INDEX(Settings!$D$5:$D$9,MATCH("Etsy",Settings!$A$5:$A$9,0)),0)*D1372)</f>
        <v/>
      </c>
      <c r="N1372" s="11">
        <f>IF(A1372="","",IF(K1372="",0,D1372*INDEX(Products!$I$5:$I$204,K1372)))</f>
        <v/>
      </c>
      <c r="O1372" s="11">
        <f>IF(A1372="","",IF(K1372="",0,J1372*INDEX(Products!$H$5:$H$204,K1372)))</f>
        <v/>
      </c>
      <c r="P1372" s="11">
        <f>IF(A1372="","",J1372-M1372-N1372-O1372)</f>
        <v/>
      </c>
    </row>
    <row r="1373">
      <c r="A1373">
        <f>IFERROR(INDEX('Etsy Import'!$A:$CZ,1373,Settings!$C$20)&amp;"","")</f>
        <v/>
      </c>
      <c r="B1373">
        <f>IFERROR(INDEX('Etsy Import'!$A:$CZ,1373,Settings!$C$21)&amp;"","")</f>
        <v/>
      </c>
      <c r="C1373">
        <f>IFERROR(INDEX('Etsy Import'!$A:$CZ,1373,Settings!$C$22)&amp;"","")</f>
        <v/>
      </c>
      <c r="D1373">
        <f>IF(A1373="","",IFERROR(VALUE(SUBSTITUTE(SUBSTITUTE(INDEX('Etsy Import'!$A:$CZ,1373,Settings!$C$23)&amp;"","$",""),",","")),0))</f>
        <v/>
      </c>
      <c r="E1373" s="11">
        <f>IF(A1373="","",IFERROR(VALUE(SUBSTITUTE(SUBSTITUTE(INDEX('Etsy Import'!$A:$CZ,1373,Settings!$C$24)&amp;"","$",""),",","")),0))</f>
        <v/>
      </c>
      <c r="F1373" s="11">
        <f>IF(A1373="","",D1373*E1373)</f>
        <v/>
      </c>
      <c r="G1373">
        <f>IF(A1373="","",IF(C1373="",1,COUNTIF($C$2:$C$1501,C1373)))</f>
        <v/>
      </c>
      <c r="H1373" s="11">
        <f>IF(A1373="","",IFERROR(VALUE(SUBSTITUTE(SUBSTITUTE(INDEX('Etsy Import'!$A:$CZ,1373,Settings!$C$25)&amp;"","$",""),",","")),0)/IF(Settings!$B$27="Yes",G1373,1))</f>
        <v/>
      </c>
      <c r="I1373" s="11">
        <f>IF(A1373="","",IFERROR(VALUE(SUBSTITUTE(SUBSTITUTE(INDEX('Etsy Import'!$A:$CZ,1373,Settings!$C$26)&amp;"","$",""),",","")),0)/IF(Settings!$B$27="Yes",G1373,1))</f>
        <v/>
      </c>
      <c r="J1373" s="11">
        <f>IF(A1373="","",F1373+H1373-I1373)</f>
        <v/>
      </c>
      <c r="K1373">
        <f>IF(A1373="","",IFERROR(IF(B1373="",NA(),MATCH(B1373,Products!$B$5:$B$204,0)),IFERROR(MATCH(A1373,Products!$A$5:$A$204,0),"")))</f>
        <v/>
      </c>
      <c r="L1373">
        <f>IF(A1373="","",IF(K1373="","⚠ not in Products",INDEX(Products!$A$5:$A$204,K1373)))</f>
        <v/>
      </c>
      <c r="M1373" s="11">
        <f>IF(A1373="","",J1373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1373+IFERROR(INDEX(Settings!$D$5:$D$9,MATCH("Etsy",Settings!$A$5:$A$9,0)),0)*D1373)</f>
        <v/>
      </c>
      <c r="N1373" s="11">
        <f>IF(A1373="","",IF(K1373="",0,D1373*INDEX(Products!$I$5:$I$204,K1373)))</f>
        <v/>
      </c>
      <c r="O1373" s="11">
        <f>IF(A1373="","",IF(K1373="",0,J1373*INDEX(Products!$H$5:$H$204,K1373)))</f>
        <v/>
      </c>
      <c r="P1373" s="11">
        <f>IF(A1373="","",J1373-M1373-N1373-O1373)</f>
        <v/>
      </c>
    </row>
    <row r="1374">
      <c r="A1374">
        <f>IFERROR(INDEX('Etsy Import'!$A:$CZ,1374,Settings!$C$20)&amp;"","")</f>
        <v/>
      </c>
      <c r="B1374">
        <f>IFERROR(INDEX('Etsy Import'!$A:$CZ,1374,Settings!$C$21)&amp;"","")</f>
        <v/>
      </c>
      <c r="C1374">
        <f>IFERROR(INDEX('Etsy Import'!$A:$CZ,1374,Settings!$C$22)&amp;"","")</f>
        <v/>
      </c>
      <c r="D1374">
        <f>IF(A1374="","",IFERROR(VALUE(SUBSTITUTE(SUBSTITUTE(INDEX('Etsy Import'!$A:$CZ,1374,Settings!$C$23)&amp;"","$",""),",","")),0))</f>
        <v/>
      </c>
      <c r="E1374" s="11">
        <f>IF(A1374="","",IFERROR(VALUE(SUBSTITUTE(SUBSTITUTE(INDEX('Etsy Import'!$A:$CZ,1374,Settings!$C$24)&amp;"","$",""),",","")),0))</f>
        <v/>
      </c>
      <c r="F1374" s="11">
        <f>IF(A1374="","",D1374*E1374)</f>
        <v/>
      </c>
      <c r="G1374">
        <f>IF(A1374="","",IF(C1374="",1,COUNTIF($C$2:$C$1501,C1374)))</f>
        <v/>
      </c>
      <c r="H1374" s="11">
        <f>IF(A1374="","",IFERROR(VALUE(SUBSTITUTE(SUBSTITUTE(INDEX('Etsy Import'!$A:$CZ,1374,Settings!$C$25)&amp;"","$",""),",","")),0)/IF(Settings!$B$27="Yes",G1374,1))</f>
        <v/>
      </c>
      <c r="I1374" s="11">
        <f>IF(A1374="","",IFERROR(VALUE(SUBSTITUTE(SUBSTITUTE(INDEX('Etsy Import'!$A:$CZ,1374,Settings!$C$26)&amp;"","$",""),",","")),0)/IF(Settings!$B$27="Yes",G1374,1))</f>
        <v/>
      </c>
      <c r="J1374" s="11">
        <f>IF(A1374="","",F1374+H1374-I1374)</f>
        <v/>
      </c>
      <c r="K1374">
        <f>IF(A1374="","",IFERROR(IF(B1374="",NA(),MATCH(B1374,Products!$B$5:$B$204,0)),IFERROR(MATCH(A1374,Products!$A$5:$A$204,0),"")))</f>
        <v/>
      </c>
      <c r="L1374">
        <f>IF(A1374="","",IF(K1374="","⚠ not in Products",INDEX(Products!$A$5:$A$204,K1374)))</f>
        <v/>
      </c>
      <c r="M1374" s="11">
        <f>IF(A1374="","",J1374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1374+IFERROR(INDEX(Settings!$D$5:$D$9,MATCH("Etsy",Settings!$A$5:$A$9,0)),0)*D1374)</f>
        <v/>
      </c>
      <c r="N1374" s="11">
        <f>IF(A1374="","",IF(K1374="",0,D1374*INDEX(Products!$I$5:$I$204,K1374)))</f>
        <v/>
      </c>
      <c r="O1374" s="11">
        <f>IF(A1374="","",IF(K1374="",0,J1374*INDEX(Products!$H$5:$H$204,K1374)))</f>
        <v/>
      </c>
      <c r="P1374" s="11">
        <f>IF(A1374="","",J1374-M1374-N1374-O1374)</f>
        <v/>
      </c>
    </row>
    <row r="1375">
      <c r="A1375">
        <f>IFERROR(INDEX('Etsy Import'!$A:$CZ,1375,Settings!$C$20)&amp;"","")</f>
        <v/>
      </c>
      <c r="B1375">
        <f>IFERROR(INDEX('Etsy Import'!$A:$CZ,1375,Settings!$C$21)&amp;"","")</f>
        <v/>
      </c>
      <c r="C1375">
        <f>IFERROR(INDEX('Etsy Import'!$A:$CZ,1375,Settings!$C$22)&amp;"","")</f>
        <v/>
      </c>
      <c r="D1375">
        <f>IF(A1375="","",IFERROR(VALUE(SUBSTITUTE(SUBSTITUTE(INDEX('Etsy Import'!$A:$CZ,1375,Settings!$C$23)&amp;"","$",""),",","")),0))</f>
        <v/>
      </c>
      <c r="E1375" s="11">
        <f>IF(A1375="","",IFERROR(VALUE(SUBSTITUTE(SUBSTITUTE(INDEX('Etsy Import'!$A:$CZ,1375,Settings!$C$24)&amp;"","$",""),",","")),0))</f>
        <v/>
      </c>
      <c r="F1375" s="11">
        <f>IF(A1375="","",D1375*E1375)</f>
        <v/>
      </c>
      <c r="G1375">
        <f>IF(A1375="","",IF(C1375="",1,COUNTIF($C$2:$C$1501,C1375)))</f>
        <v/>
      </c>
      <c r="H1375" s="11">
        <f>IF(A1375="","",IFERROR(VALUE(SUBSTITUTE(SUBSTITUTE(INDEX('Etsy Import'!$A:$CZ,1375,Settings!$C$25)&amp;"","$",""),",","")),0)/IF(Settings!$B$27="Yes",G1375,1))</f>
        <v/>
      </c>
      <c r="I1375" s="11">
        <f>IF(A1375="","",IFERROR(VALUE(SUBSTITUTE(SUBSTITUTE(INDEX('Etsy Import'!$A:$CZ,1375,Settings!$C$26)&amp;"","$",""),",","")),0)/IF(Settings!$B$27="Yes",G1375,1))</f>
        <v/>
      </c>
      <c r="J1375" s="11">
        <f>IF(A1375="","",F1375+H1375-I1375)</f>
        <v/>
      </c>
      <c r="K1375">
        <f>IF(A1375="","",IFERROR(IF(B1375="",NA(),MATCH(B1375,Products!$B$5:$B$204,0)),IFERROR(MATCH(A1375,Products!$A$5:$A$204,0),"")))</f>
        <v/>
      </c>
      <c r="L1375">
        <f>IF(A1375="","",IF(K1375="","⚠ not in Products",INDEX(Products!$A$5:$A$204,K1375)))</f>
        <v/>
      </c>
      <c r="M1375" s="11">
        <f>IF(A1375="","",J1375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1375+IFERROR(INDEX(Settings!$D$5:$D$9,MATCH("Etsy",Settings!$A$5:$A$9,0)),0)*D1375)</f>
        <v/>
      </c>
      <c r="N1375" s="11">
        <f>IF(A1375="","",IF(K1375="",0,D1375*INDEX(Products!$I$5:$I$204,K1375)))</f>
        <v/>
      </c>
      <c r="O1375" s="11">
        <f>IF(A1375="","",IF(K1375="",0,J1375*INDEX(Products!$H$5:$H$204,K1375)))</f>
        <v/>
      </c>
      <c r="P1375" s="11">
        <f>IF(A1375="","",J1375-M1375-N1375-O1375)</f>
        <v/>
      </c>
    </row>
    <row r="1376">
      <c r="A1376">
        <f>IFERROR(INDEX('Etsy Import'!$A:$CZ,1376,Settings!$C$20)&amp;"","")</f>
        <v/>
      </c>
      <c r="B1376">
        <f>IFERROR(INDEX('Etsy Import'!$A:$CZ,1376,Settings!$C$21)&amp;"","")</f>
        <v/>
      </c>
      <c r="C1376">
        <f>IFERROR(INDEX('Etsy Import'!$A:$CZ,1376,Settings!$C$22)&amp;"","")</f>
        <v/>
      </c>
      <c r="D1376">
        <f>IF(A1376="","",IFERROR(VALUE(SUBSTITUTE(SUBSTITUTE(INDEX('Etsy Import'!$A:$CZ,1376,Settings!$C$23)&amp;"","$",""),",","")),0))</f>
        <v/>
      </c>
      <c r="E1376" s="11">
        <f>IF(A1376="","",IFERROR(VALUE(SUBSTITUTE(SUBSTITUTE(INDEX('Etsy Import'!$A:$CZ,1376,Settings!$C$24)&amp;"","$",""),",","")),0))</f>
        <v/>
      </c>
      <c r="F1376" s="11">
        <f>IF(A1376="","",D1376*E1376)</f>
        <v/>
      </c>
      <c r="G1376">
        <f>IF(A1376="","",IF(C1376="",1,COUNTIF($C$2:$C$1501,C1376)))</f>
        <v/>
      </c>
      <c r="H1376" s="11">
        <f>IF(A1376="","",IFERROR(VALUE(SUBSTITUTE(SUBSTITUTE(INDEX('Etsy Import'!$A:$CZ,1376,Settings!$C$25)&amp;"","$",""),",","")),0)/IF(Settings!$B$27="Yes",G1376,1))</f>
        <v/>
      </c>
      <c r="I1376" s="11">
        <f>IF(A1376="","",IFERROR(VALUE(SUBSTITUTE(SUBSTITUTE(INDEX('Etsy Import'!$A:$CZ,1376,Settings!$C$26)&amp;"","$",""),",","")),0)/IF(Settings!$B$27="Yes",G1376,1))</f>
        <v/>
      </c>
      <c r="J1376" s="11">
        <f>IF(A1376="","",F1376+H1376-I1376)</f>
        <v/>
      </c>
      <c r="K1376">
        <f>IF(A1376="","",IFERROR(IF(B1376="",NA(),MATCH(B1376,Products!$B$5:$B$204,0)),IFERROR(MATCH(A1376,Products!$A$5:$A$204,0),"")))</f>
        <v/>
      </c>
      <c r="L1376">
        <f>IF(A1376="","",IF(K1376="","⚠ not in Products",INDEX(Products!$A$5:$A$204,K1376)))</f>
        <v/>
      </c>
      <c r="M1376" s="11">
        <f>IF(A1376="","",J1376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1376+IFERROR(INDEX(Settings!$D$5:$D$9,MATCH("Etsy",Settings!$A$5:$A$9,0)),0)*D1376)</f>
        <v/>
      </c>
      <c r="N1376" s="11">
        <f>IF(A1376="","",IF(K1376="",0,D1376*INDEX(Products!$I$5:$I$204,K1376)))</f>
        <v/>
      </c>
      <c r="O1376" s="11">
        <f>IF(A1376="","",IF(K1376="",0,J1376*INDEX(Products!$H$5:$H$204,K1376)))</f>
        <v/>
      </c>
      <c r="P1376" s="11">
        <f>IF(A1376="","",J1376-M1376-N1376-O1376)</f>
        <v/>
      </c>
    </row>
    <row r="1377">
      <c r="A1377">
        <f>IFERROR(INDEX('Etsy Import'!$A:$CZ,1377,Settings!$C$20)&amp;"","")</f>
        <v/>
      </c>
      <c r="B1377">
        <f>IFERROR(INDEX('Etsy Import'!$A:$CZ,1377,Settings!$C$21)&amp;"","")</f>
        <v/>
      </c>
      <c r="C1377">
        <f>IFERROR(INDEX('Etsy Import'!$A:$CZ,1377,Settings!$C$22)&amp;"","")</f>
        <v/>
      </c>
      <c r="D1377">
        <f>IF(A1377="","",IFERROR(VALUE(SUBSTITUTE(SUBSTITUTE(INDEX('Etsy Import'!$A:$CZ,1377,Settings!$C$23)&amp;"","$",""),",","")),0))</f>
        <v/>
      </c>
      <c r="E1377" s="11">
        <f>IF(A1377="","",IFERROR(VALUE(SUBSTITUTE(SUBSTITUTE(INDEX('Etsy Import'!$A:$CZ,1377,Settings!$C$24)&amp;"","$",""),",","")),0))</f>
        <v/>
      </c>
      <c r="F1377" s="11">
        <f>IF(A1377="","",D1377*E1377)</f>
        <v/>
      </c>
      <c r="G1377">
        <f>IF(A1377="","",IF(C1377="",1,COUNTIF($C$2:$C$1501,C1377)))</f>
        <v/>
      </c>
      <c r="H1377" s="11">
        <f>IF(A1377="","",IFERROR(VALUE(SUBSTITUTE(SUBSTITUTE(INDEX('Etsy Import'!$A:$CZ,1377,Settings!$C$25)&amp;"","$",""),",","")),0)/IF(Settings!$B$27="Yes",G1377,1))</f>
        <v/>
      </c>
      <c r="I1377" s="11">
        <f>IF(A1377="","",IFERROR(VALUE(SUBSTITUTE(SUBSTITUTE(INDEX('Etsy Import'!$A:$CZ,1377,Settings!$C$26)&amp;"","$",""),",","")),0)/IF(Settings!$B$27="Yes",G1377,1))</f>
        <v/>
      </c>
      <c r="J1377" s="11">
        <f>IF(A1377="","",F1377+H1377-I1377)</f>
        <v/>
      </c>
      <c r="K1377">
        <f>IF(A1377="","",IFERROR(IF(B1377="",NA(),MATCH(B1377,Products!$B$5:$B$204,0)),IFERROR(MATCH(A1377,Products!$A$5:$A$204,0),"")))</f>
        <v/>
      </c>
      <c r="L1377">
        <f>IF(A1377="","",IF(K1377="","⚠ not in Products",INDEX(Products!$A$5:$A$204,K1377)))</f>
        <v/>
      </c>
      <c r="M1377" s="11">
        <f>IF(A1377="","",J1377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1377+IFERROR(INDEX(Settings!$D$5:$D$9,MATCH("Etsy",Settings!$A$5:$A$9,0)),0)*D1377)</f>
        <v/>
      </c>
      <c r="N1377" s="11">
        <f>IF(A1377="","",IF(K1377="",0,D1377*INDEX(Products!$I$5:$I$204,K1377)))</f>
        <v/>
      </c>
      <c r="O1377" s="11">
        <f>IF(A1377="","",IF(K1377="",0,J1377*INDEX(Products!$H$5:$H$204,K1377)))</f>
        <v/>
      </c>
      <c r="P1377" s="11">
        <f>IF(A1377="","",J1377-M1377-N1377-O1377)</f>
        <v/>
      </c>
    </row>
    <row r="1378">
      <c r="A1378">
        <f>IFERROR(INDEX('Etsy Import'!$A:$CZ,1378,Settings!$C$20)&amp;"","")</f>
        <v/>
      </c>
      <c r="B1378">
        <f>IFERROR(INDEX('Etsy Import'!$A:$CZ,1378,Settings!$C$21)&amp;"","")</f>
        <v/>
      </c>
      <c r="C1378">
        <f>IFERROR(INDEX('Etsy Import'!$A:$CZ,1378,Settings!$C$22)&amp;"","")</f>
        <v/>
      </c>
      <c r="D1378">
        <f>IF(A1378="","",IFERROR(VALUE(SUBSTITUTE(SUBSTITUTE(INDEX('Etsy Import'!$A:$CZ,1378,Settings!$C$23)&amp;"","$",""),",","")),0))</f>
        <v/>
      </c>
      <c r="E1378" s="11">
        <f>IF(A1378="","",IFERROR(VALUE(SUBSTITUTE(SUBSTITUTE(INDEX('Etsy Import'!$A:$CZ,1378,Settings!$C$24)&amp;"","$",""),",","")),0))</f>
        <v/>
      </c>
      <c r="F1378" s="11">
        <f>IF(A1378="","",D1378*E1378)</f>
        <v/>
      </c>
      <c r="G1378">
        <f>IF(A1378="","",IF(C1378="",1,COUNTIF($C$2:$C$1501,C1378)))</f>
        <v/>
      </c>
      <c r="H1378" s="11">
        <f>IF(A1378="","",IFERROR(VALUE(SUBSTITUTE(SUBSTITUTE(INDEX('Etsy Import'!$A:$CZ,1378,Settings!$C$25)&amp;"","$",""),",","")),0)/IF(Settings!$B$27="Yes",G1378,1))</f>
        <v/>
      </c>
      <c r="I1378" s="11">
        <f>IF(A1378="","",IFERROR(VALUE(SUBSTITUTE(SUBSTITUTE(INDEX('Etsy Import'!$A:$CZ,1378,Settings!$C$26)&amp;"","$",""),",","")),0)/IF(Settings!$B$27="Yes",G1378,1))</f>
        <v/>
      </c>
      <c r="J1378" s="11">
        <f>IF(A1378="","",F1378+H1378-I1378)</f>
        <v/>
      </c>
      <c r="K1378">
        <f>IF(A1378="","",IFERROR(IF(B1378="",NA(),MATCH(B1378,Products!$B$5:$B$204,0)),IFERROR(MATCH(A1378,Products!$A$5:$A$204,0),"")))</f>
        <v/>
      </c>
      <c r="L1378">
        <f>IF(A1378="","",IF(K1378="","⚠ not in Products",INDEX(Products!$A$5:$A$204,K1378)))</f>
        <v/>
      </c>
      <c r="M1378" s="11">
        <f>IF(A1378="","",J1378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1378+IFERROR(INDEX(Settings!$D$5:$D$9,MATCH("Etsy",Settings!$A$5:$A$9,0)),0)*D1378)</f>
        <v/>
      </c>
      <c r="N1378" s="11">
        <f>IF(A1378="","",IF(K1378="",0,D1378*INDEX(Products!$I$5:$I$204,K1378)))</f>
        <v/>
      </c>
      <c r="O1378" s="11">
        <f>IF(A1378="","",IF(K1378="",0,J1378*INDEX(Products!$H$5:$H$204,K1378)))</f>
        <v/>
      </c>
      <c r="P1378" s="11">
        <f>IF(A1378="","",J1378-M1378-N1378-O1378)</f>
        <v/>
      </c>
    </row>
    <row r="1379">
      <c r="A1379">
        <f>IFERROR(INDEX('Etsy Import'!$A:$CZ,1379,Settings!$C$20)&amp;"","")</f>
        <v/>
      </c>
      <c r="B1379">
        <f>IFERROR(INDEX('Etsy Import'!$A:$CZ,1379,Settings!$C$21)&amp;"","")</f>
        <v/>
      </c>
      <c r="C1379">
        <f>IFERROR(INDEX('Etsy Import'!$A:$CZ,1379,Settings!$C$22)&amp;"","")</f>
        <v/>
      </c>
      <c r="D1379">
        <f>IF(A1379="","",IFERROR(VALUE(SUBSTITUTE(SUBSTITUTE(INDEX('Etsy Import'!$A:$CZ,1379,Settings!$C$23)&amp;"","$",""),",","")),0))</f>
        <v/>
      </c>
      <c r="E1379" s="11">
        <f>IF(A1379="","",IFERROR(VALUE(SUBSTITUTE(SUBSTITUTE(INDEX('Etsy Import'!$A:$CZ,1379,Settings!$C$24)&amp;"","$",""),",","")),0))</f>
        <v/>
      </c>
      <c r="F1379" s="11">
        <f>IF(A1379="","",D1379*E1379)</f>
        <v/>
      </c>
      <c r="G1379">
        <f>IF(A1379="","",IF(C1379="",1,COUNTIF($C$2:$C$1501,C1379)))</f>
        <v/>
      </c>
      <c r="H1379" s="11">
        <f>IF(A1379="","",IFERROR(VALUE(SUBSTITUTE(SUBSTITUTE(INDEX('Etsy Import'!$A:$CZ,1379,Settings!$C$25)&amp;"","$",""),",","")),0)/IF(Settings!$B$27="Yes",G1379,1))</f>
        <v/>
      </c>
      <c r="I1379" s="11">
        <f>IF(A1379="","",IFERROR(VALUE(SUBSTITUTE(SUBSTITUTE(INDEX('Etsy Import'!$A:$CZ,1379,Settings!$C$26)&amp;"","$",""),",","")),0)/IF(Settings!$B$27="Yes",G1379,1))</f>
        <v/>
      </c>
      <c r="J1379" s="11">
        <f>IF(A1379="","",F1379+H1379-I1379)</f>
        <v/>
      </c>
      <c r="K1379">
        <f>IF(A1379="","",IFERROR(IF(B1379="",NA(),MATCH(B1379,Products!$B$5:$B$204,0)),IFERROR(MATCH(A1379,Products!$A$5:$A$204,0),"")))</f>
        <v/>
      </c>
      <c r="L1379">
        <f>IF(A1379="","",IF(K1379="","⚠ not in Products",INDEX(Products!$A$5:$A$204,K1379)))</f>
        <v/>
      </c>
      <c r="M1379" s="11">
        <f>IF(A1379="","",J1379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1379+IFERROR(INDEX(Settings!$D$5:$D$9,MATCH("Etsy",Settings!$A$5:$A$9,0)),0)*D1379)</f>
        <v/>
      </c>
      <c r="N1379" s="11">
        <f>IF(A1379="","",IF(K1379="",0,D1379*INDEX(Products!$I$5:$I$204,K1379)))</f>
        <v/>
      </c>
      <c r="O1379" s="11">
        <f>IF(A1379="","",IF(K1379="",0,J1379*INDEX(Products!$H$5:$H$204,K1379)))</f>
        <v/>
      </c>
      <c r="P1379" s="11">
        <f>IF(A1379="","",J1379-M1379-N1379-O1379)</f>
        <v/>
      </c>
    </row>
    <row r="1380">
      <c r="A1380">
        <f>IFERROR(INDEX('Etsy Import'!$A:$CZ,1380,Settings!$C$20)&amp;"","")</f>
        <v/>
      </c>
      <c r="B1380">
        <f>IFERROR(INDEX('Etsy Import'!$A:$CZ,1380,Settings!$C$21)&amp;"","")</f>
        <v/>
      </c>
      <c r="C1380">
        <f>IFERROR(INDEX('Etsy Import'!$A:$CZ,1380,Settings!$C$22)&amp;"","")</f>
        <v/>
      </c>
      <c r="D1380">
        <f>IF(A1380="","",IFERROR(VALUE(SUBSTITUTE(SUBSTITUTE(INDEX('Etsy Import'!$A:$CZ,1380,Settings!$C$23)&amp;"","$",""),",","")),0))</f>
        <v/>
      </c>
      <c r="E1380" s="11">
        <f>IF(A1380="","",IFERROR(VALUE(SUBSTITUTE(SUBSTITUTE(INDEX('Etsy Import'!$A:$CZ,1380,Settings!$C$24)&amp;"","$",""),",","")),0))</f>
        <v/>
      </c>
      <c r="F1380" s="11">
        <f>IF(A1380="","",D1380*E1380)</f>
        <v/>
      </c>
      <c r="G1380">
        <f>IF(A1380="","",IF(C1380="",1,COUNTIF($C$2:$C$1501,C1380)))</f>
        <v/>
      </c>
      <c r="H1380" s="11">
        <f>IF(A1380="","",IFERROR(VALUE(SUBSTITUTE(SUBSTITUTE(INDEX('Etsy Import'!$A:$CZ,1380,Settings!$C$25)&amp;"","$",""),",","")),0)/IF(Settings!$B$27="Yes",G1380,1))</f>
        <v/>
      </c>
      <c r="I1380" s="11">
        <f>IF(A1380="","",IFERROR(VALUE(SUBSTITUTE(SUBSTITUTE(INDEX('Etsy Import'!$A:$CZ,1380,Settings!$C$26)&amp;"","$",""),",","")),0)/IF(Settings!$B$27="Yes",G1380,1))</f>
        <v/>
      </c>
      <c r="J1380" s="11">
        <f>IF(A1380="","",F1380+H1380-I1380)</f>
        <v/>
      </c>
      <c r="K1380">
        <f>IF(A1380="","",IFERROR(IF(B1380="",NA(),MATCH(B1380,Products!$B$5:$B$204,0)),IFERROR(MATCH(A1380,Products!$A$5:$A$204,0),"")))</f>
        <v/>
      </c>
      <c r="L1380">
        <f>IF(A1380="","",IF(K1380="","⚠ not in Products",INDEX(Products!$A$5:$A$204,K1380)))</f>
        <v/>
      </c>
      <c r="M1380" s="11">
        <f>IF(A1380="","",J1380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1380+IFERROR(INDEX(Settings!$D$5:$D$9,MATCH("Etsy",Settings!$A$5:$A$9,0)),0)*D1380)</f>
        <v/>
      </c>
      <c r="N1380" s="11">
        <f>IF(A1380="","",IF(K1380="",0,D1380*INDEX(Products!$I$5:$I$204,K1380)))</f>
        <v/>
      </c>
      <c r="O1380" s="11">
        <f>IF(A1380="","",IF(K1380="",0,J1380*INDEX(Products!$H$5:$H$204,K1380)))</f>
        <v/>
      </c>
      <c r="P1380" s="11">
        <f>IF(A1380="","",J1380-M1380-N1380-O1380)</f>
        <v/>
      </c>
    </row>
    <row r="1381">
      <c r="A1381">
        <f>IFERROR(INDEX('Etsy Import'!$A:$CZ,1381,Settings!$C$20)&amp;"","")</f>
        <v/>
      </c>
      <c r="B1381">
        <f>IFERROR(INDEX('Etsy Import'!$A:$CZ,1381,Settings!$C$21)&amp;"","")</f>
        <v/>
      </c>
      <c r="C1381">
        <f>IFERROR(INDEX('Etsy Import'!$A:$CZ,1381,Settings!$C$22)&amp;"","")</f>
        <v/>
      </c>
      <c r="D1381">
        <f>IF(A1381="","",IFERROR(VALUE(SUBSTITUTE(SUBSTITUTE(INDEX('Etsy Import'!$A:$CZ,1381,Settings!$C$23)&amp;"","$",""),",","")),0))</f>
        <v/>
      </c>
      <c r="E1381" s="11">
        <f>IF(A1381="","",IFERROR(VALUE(SUBSTITUTE(SUBSTITUTE(INDEX('Etsy Import'!$A:$CZ,1381,Settings!$C$24)&amp;"","$",""),",","")),0))</f>
        <v/>
      </c>
      <c r="F1381" s="11">
        <f>IF(A1381="","",D1381*E1381)</f>
        <v/>
      </c>
      <c r="G1381">
        <f>IF(A1381="","",IF(C1381="",1,COUNTIF($C$2:$C$1501,C1381)))</f>
        <v/>
      </c>
      <c r="H1381" s="11">
        <f>IF(A1381="","",IFERROR(VALUE(SUBSTITUTE(SUBSTITUTE(INDEX('Etsy Import'!$A:$CZ,1381,Settings!$C$25)&amp;"","$",""),",","")),0)/IF(Settings!$B$27="Yes",G1381,1))</f>
        <v/>
      </c>
      <c r="I1381" s="11">
        <f>IF(A1381="","",IFERROR(VALUE(SUBSTITUTE(SUBSTITUTE(INDEX('Etsy Import'!$A:$CZ,1381,Settings!$C$26)&amp;"","$",""),",","")),0)/IF(Settings!$B$27="Yes",G1381,1))</f>
        <v/>
      </c>
      <c r="J1381" s="11">
        <f>IF(A1381="","",F1381+H1381-I1381)</f>
        <v/>
      </c>
      <c r="K1381">
        <f>IF(A1381="","",IFERROR(IF(B1381="",NA(),MATCH(B1381,Products!$B$5:$B$204,0)),IFERROR(MATCH(A1381,Products!$A$5:$A$204,0),"")))</f>
        <v/>
      </c>
      <c r="L1381">
        <f>IF(A1381="","",IF(K1381="","⚠ not in Products",INDEX(Products!$A$5:$A$204,K1381)))</f>
        <v/>
      </c>
      <c r="M1381" s="11">
        <f>IF(A1381="","",J1381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1381+IFERROR(INDEX(Settings!$D$5:$D$9,MATCH("Etsy",Settings!$A$5:$A$9,0)),0)*D1381)</f>
        <v/>
      </c>
      <c r="N1381" s="11">
        <f>IF(A1381="","",IF(K1381="",0,D1381*INDEX(Products!$I$5:$I$204,K1381)))</f>
        <v/>
      </c>
      <c r="O1381" s="11">
        <f>IF(A1381="","",IF(K1381="",0,J1381*INDEX(Products!$H$5:$H$204,K1381)))</f>
        <v/>
      </c>
      <c r="P1381" s="11">
        <f>IF(A1381="","",J1381-M1381-N1381-O1381)</f>
        <v/>
      </c>
    </row>
    <row r="1382">
      <c r="A1382">
        <f>IFERROR(INDEX('Etsy Import'!$A:$CZ,1382,Settings!$C$20)&amp;"","")</f>
        <v/>
      </c>
      <c r="B1382">
        <f>IFERROR(INDEX('Etsy Import'!$A:$CZ,1382,Settings!$C$21)&amp;"","")</f>
        <v/>
      </c>
      <c r="C1382">
        <f>IFERROR(INDEX('Etsy Import'!$A:$CZ,1382,Settings!$C$22)&amp;"","")</f>
        <v/>
      </c>
      <c r="D1382">
        <f>IF(A1382="","",IFERROR(VALUE(SUBSTITUTE(SUBSTITUTE(INDEX('Etsy Import'!$A:$CZ,1382,Settings!$C$23)&amp;"","$",""),",","")),0))</f>
        <v/>
      </c>
      <c r="E1382" s="11">
        <f>IF(A1382="","",IFERROR(VALUE(SUBSTITUTE(SUBSTITUTE(INDEX('Etsy Import'!$A:$CZ,1382,Settings!$C$24)&amp;"","$",""),",","")),0))</f>
        <v/>
      </c>
      <c r="F1382" s="11">
        <f>IF(A1382="","",D1382*E1382)</f>
        <v/>
      </c>
      <c r="G1382">
        <f>IF(A1382="","",IF(C1382="",1,COUNTIF($C$2:$C$1501,C1382)))</f>
        <v/>
      </c>
      <c r="H1382" s="11">
        <f>IF(A1382="","",IFERROR(VALUE(SUBSTITUTE(SUBSTITUTE(INDEX('Etsy Import'!$A:$CZ,1382,Settings!$C$25)&amp;"","$",""),",","")),0)/IF(Settings!$B$27="Yes",G1382,1))</f>
        <v/>
      </c>
      <c r="I1382" s="11">
        <f>IF(A1382="","",IFERROR(VALUE(SUBSTITUTE(SUBSTITUTE(INDEX('Etsy Import'!$A:$CZ,1382,Settings!$C$26)&amp;"","$",""),",","")),0)/IF(Settings!$B$27="Yes",G1382,1))</f>
        <v/>
      </c>
      <c r="J1382" s="11">
        <f>IF(A1382="","",F1382+H1382-I1382)</f>
        <v/>
      </c>
      <c r="K1382">
        <f>IF(A1382="","",IFERROR(IF(B1382="",NA(),MATCH(B1382,Products!$B$5:$B$204,0)),IFERROR(MATCH(A1382,Products!$A$5:$A$204,0),"")))</f>
        <v/>
      </c>
      <c r="L1382">
        <f>IF(A1382="","",IF(K1382="","⚠ not in Products",INDEX(Products!$A$5:$A$204,K1382)))</f>
        <v/>
      </c>
      <c r="M1382" s="11">
        <f>IF(A1382="","",J1382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1382+IFERROR(INDEX(Settings!$D$5:$D$9,MATCH("Etsy",Settings!$A$5:$A$9,0)),0)*D1382)</f>
        <v/>
      </c>
      <c r="N1382" s="11">
        <f>IF(A1382="","",IF(K1382="",0,D1382*INDEX(Products!$I$5:$I$204,K1382)))</f>
        <v/>
      </c>
      <c r="O1382" s="11">
        <f>IF(A1382="","",IF(K1382="",0,J1382*INDEX(Products!$H$5:$H$204,K1382)))</f>
        <v/>
      </c>
      <c r="P1382" s="11">
        <f>IF(A1382="","",J1382-M1382-N1382-O1382)</f>
        <v/>
      </c>
    </row>
    <row r="1383">
      <c r="A1383">
        <f>IFERROR(INDEX('Etsy Import'!$A:$CZ,1383,Settings!$C$20)&amp;"","")</f>
        <v/>
      </c>
      <c r="B1383">
        <f>IFERROR(INDEX('Etsy Import'!$A:$CZ,1383,Settings!$C$21)&amp;"","")</f>
        <v/>
      </c>
      <c r="C1383">
        <f>IFERROR(INDEX('Etsy Import'!$A:$CZ,1383,Settings!$C$22)&amp;"","")</f>
        <v/>
      </c>
      <c r="D1383">
        <f>IF(A1383="","",IFERROR(VALUE(SUBSTITUTE(SUBSTITUTE(INDEX('Etsy Import'!$A:$CZ,1383,Settings!$C$23)&amp;"","$",""),",","")),0))</f>
        <v/>
      </c>
      <c r="E1383" s="11">
        <f>IF(A1383="","",IFERROR(VALUE(SUBSTITUTE(SUBSTITUTE(INDEX('Etsy Import'!$A:$CZ,1383,Settings!$C$24)&amp;"","$",""),",","")),0))</f>
        <v/>
      </c>
      <c r="F1383" s="11">
        <f>IF(A1383="","",D1383*E1383)</f>
        <v/>
      </c>
      <c r="G1383">
        <f>IF(A1383="","",IF(C1383="",1,COUNTIF($C$2:$C$1501,C1383)))</f>
        <v/>
      </c>
      <c r="H1383" s="11">
        <f>IF(A1383="","",IFERROR(VALUE(SUBSTITUTE(SUBSTITUTE(INDEX('Etsy Import'!$A:$CZ,1383,Settings!$C$25)&amp;"","$",""),",","")),0)/IF(Settings!$B$27="Yes",G1383,1))</f>
        <v/>
      </c>
      <c r="I1383" s="11">
        <f>IF(A1383="","",IFERROR(VALUE(SUBSTITUTE(SUBSTITUTE(INDEX('Etsy Import'!$A:$CZ,1383,Settings!$C$26)&amp;"","$",""),",","")),0)/IF(Settings!$B$27="Yes",G1383,1))</f>
        <v/>
      </c>
      <c r="J1383" s="11">
        <f>IF(A1383="","",F1383+H1383-I1383)</f>
        <v/>
      </c>
      <c r="K1383">
        <f>IF(A1383="","",IFERROR(IF(B1383="",NA(),MATCH(B1383,Products!$B$5:$B$204,0)),IFERROR(MATCH(A1383,Products!$A$5:$A$204,0),"")))</f>
        <v/>
      </c>
      <c r="L1383">
        <f>IF(A1383="","",IF(K1383="","⚠ not in Products",INDEX(Products!$A$5:$A$204,K1383)))</f>
        <v/>
      </c>
      <c r="M1383" s="11">
        <f>IF(A1383="","",J1383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1383+IFERROR(INDEX(Settings!$D$5:$D$9,MATCH("Etsy",Settings!$A$5:$A$9,0)),0)*D1383)</f>
        <v/>
      </c>
      <c r="N1383" s="11">
        <f>IF(A1383="","",IF(K1383="",0,D1383*INDEX(Products!$I$5:$I$204,K1383)))</f>
        <v/>
      </c>
      <c r="O1383" s="11">
        <f>IF(A1383="","",IF(K1383="",0,J1383*INDEX(Products!$H$5:$H$204,K1383)))</f>
        <v/>
      </c>
      <c r="P1383" s="11">
        <f>IF(A1383="","",J1383-M1383-N1383-O1383)</f>
        <v/>
      </c>
    </row>
    <row r="1384">
      <c r="A1384">
        <f>IFERROR(INDEX('Etsy Import'!$A:$CZ,1384,Settings!$C$20)&amp;"","")</f>
        <v/>
      </c>
      <c r="B1384">
        <f>IFERROR(INDEX('Etsy Import'!$A:$CZ,1384,Settings!$C$21)&amp;"","")</f>
        <v/>
      </c>
      <c r="C1384">
        <f>IFERROR(INDEX('Etsy Import'!$A:$CZ,1384,Settings!$C$22)&amp;"","")</f>
        <v/>
      </c>
      <c r="D1384">
        <f>IF(A1384="","",IFERROR(VALUE(SUBSTITUTE(SUBSTITUTE(INDEX('Etsy Import'!$A:$CZ,1384,Settings!$C$23)&amp;"","$",""),",","")),0))</f>
        <v/>
      </c>
      <c r="E1384" s="11">
        <f>IF(A1384="","",IFERROR(VALUE(SUBSTITUTE(SUBSTITUTE(INDEX('Etsy Import'!$A:$CZ,1384,Settings!$C$24)&amp;"","$",""),",","")),0))</f>
        <v/>
      </c>
      <c r="F1384" s="11">
        <f>IF(A1384="","",D1384*E1384)</f>
        <v/>
      </c>
      <c r="G1384">
        <f>IF(A1384="","",IF(C1384="",1,COUNTIF($C$2:$C$1501,C1384)))</f>
        <v/>
      </c>
      <c r="H1384" s="11">
        <f>IF(A1384="","",IFERROR(VALUE(SUBSTITUTE(SUBSTITUTE(INDEX('Etsy Import'!$A:$CZ,1384,Settings!$C$25)&amp;"","$",""),",","")),0)/IF(Settings!$B$27="Yes",G1384,1))</f>
        <v/>
      </c>
      <c r="I1384" s="11">
        <f>IF(A1384="","",IFERROR(VALUE(SUBSTITUTE(SUBSTITUTE(INDEX('Etsy Import'!$A:$CZ,1384,Settings!$C$26)&amp;"","$",""),",","")),0)/IF(Settings!$B$27="Yes",G1384,1))</f>
        <v/>
      </c>
      <c r="J1384" s="11">
        <f>IF(A1384="","",F1384+H1384-I1384)</f>
        <v/>
      </c>
      <c r="K1384">
        <f>IF(A1384="","",IFERROR(IF(B1384="",NA(),MATCH(B1384,Products!$B$5:$B$204,0)),IFERROR(MATCH(A1384,Products!$A$5:$A$204,0),"")))</f>
        <v/>
      </c>
      <c r="L1384">
        <f>IF(A1384="","",IF(K1384="","⚠ not in Products",INDEX(Products!$A$5:$A$204,K1384)))</f>
        <v/>
      </c>
      <c r="M1384" s="11">
        <f>IF(A1384="","",J1384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1384+IFERROR(INDEX(Settings!$D$5:$D$9,MATCH("Etsy",Settings!$A$5:$A$9,0)),0)*D1384)</f>
        <v/>
      </c>
      <c r="N1384" s="11">
        <f>IF(A1384="","",IF(K1384="",0,D1384*INDEX(Products!$I$5:$I$204,K1384)))</f>
        <v/>
      </c>
      <c r="O1384" s="11">
        <f>IF(A1384="","",IF(K1384="",0,J1384*INDEX(Products!$H$5:$H$204,K1384)))</f>
        <v/>
      </c>
      <c r="P1384" s="11">
        <f>IF(A1384="","",J1384-M1384-N1384-O1384)</f>
        <v/>
      </c>
    </row>
    <row r="1385">
      <c r="A1385">
        <f>IFERROR(INDEX('Etsy Import'!$A:$CZ,1385,Settings!$C$20)&amp;"","")</f>
        <v/>
      </c>
      <c r="B1385">
        <f>IFERROR(INDEX('Etsy Import'!$A:$CZ,1385,Settings!$C$21)&amp;"","")</f>
        <v/>
      </c>
      <c r="C1385">
        <f>IFERROR(INDEX('Etsy Import'!$A:$CZ,1385,Settings!$C$22)&amp;"","")</f>
        <v/>
      </c>
      <c r="D1385">
        <f>IF(A1385="","",IFERROR(VALUE(SUBSTITUTE(SUBSTITUTE(INDEX('Etsy Import'!$A:$CZ,1385,Settings!$C$23)&amp;"","$",""),",","")),0))</f>
        <v/>
      </c>
      <c r="E1385" s="11">
        <f>IF(A1385="","",IFERROR(VALUE(SUBSTITUTE(SUBSTITUTE(INDEX('Etsy Import'!$A:$CZ,1385,Settings!$C$24)&amp;"","$",""),",","")),0))</f>
        <v/>
      </c>
      <c r="F1385" s="11">
        <f>IF(A1385="","",D1385*E1385)</f>
        <v/>
      </c>
      <c r="G1385">
        <f>IF(A1385="","",IF(C1385="",1,COUNTIF($C$2:$C$1501,C1385)))</f>
        <v/>
      </c>
      <c r="H1385" s="11">
        <f>IF(A1385="","",IFERROR(VALUE(SUBSTITUTE(SUBSTITUTE(INDEX('Etsy Import'!$A:$CZ,1385,Settings!$C$25)&amp;"","$",""),",","")),0)/IF(Settings!$B$27="Yes",G1385,1))</f>
        <v/>
      </c>
      <c r="I1385" s="11">
        <f>IF(A1385="","",IFERROR(VALUE(SUBSTITUTE(SUBSTITUTE(INDEX('Etsy Import'!$A:$CZ,1385,Settings!$C$26)&amp;"","$",""),",","")),0)/IF(Settings!$B$27="Yes",G1385,1))</f>
        <v/>
      </c>
      <c r="J1385" s="11">
        <f>IF(A1385="","",F1385+H1385-I1385)</f>
        <v/>
      </c>
      <c r="K1385">
        <f>IF(A1385="","",IFERROR(IF(B1385="",NA(),MATCH(B1385,Products!$B$5:$B$204,0)),IFERROR(MATCH(A1385,Products!$A$5:$A$204,0),"")))</f>
        <v/>
      </c>
      <c r="L1385">
        <f>IF(A1385="","",IF(K1385="","⚠ not in Products",INDEX(Products!$A$5:$A$204,K1385)))</f>
        <v/>
      </c>
      <c r="M1385" s="11">
        <f>IF(A1385="","",J1385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1385+IFERROR(INDEX(Settings!$D$5:$D$9,MATCH("Etsy",Settings!$A$5:$A$9,0)),0)*D1385)</f>
        <v/>
      </c>
      <c r="N1385" s="11">
        <f>IF(A1385="","",IF(K1385="",0,D1385*INDEX(Products!$I$5:$I$204,K1385)))</f>
        <v/>
      </c>
      <c r="O1385" s="11">
        <f>IF(A1385="","",IF(K1385="",0,J1385*INDEX(Products!$H$5:$H$204,K1385)))</f>
        <v/>
      </c>
      <c r="P1385" s="11">
        <f>IF(A1385="","",J1385-M1385-N1385-O1385)</f>
        <v/>
      </c>
    </row>
    <row r="1386">
      <c r="A1386">
        <f>IFERROR(INDEX('Etsy Import'!$A:$CZ,1386,Settings!$C$20)&amp;"","")</f>
        <v/>
      </c>
      <c r="B1386">
        <f>IFERROR(INDEX('Etsy Import'!$A:$CZ,1386,Settings!$C$21)&amp;"","")</f>
        <v/>
      </c>
      <c r="C1386">
        <f>IFERROR(INDEX('Etsy Import'!$A:$CZ,1386,Settings!$C$22)&amp;"","")</f>
        <v/>
      </c>
      <c r="D1386">
        <f>IF(A1386="","",IFERROR(VALUE(SUBSTITUTE(SUBSTITUTE(INDEX('Etsy Import'!$A:$CZ,1386,Settings!$C$23)&amp;"","$",""),",","")),0))</f>
        <v/>
      </c>
      <c r="E1386" s="11">
        <f>IF(A1386="","",IFERROR(VALUE(SUBSTITUTE(SUBSTITUTE(INDEX('Etsy Import'!$A:$CZ,1386,Settings!$C$24)&amp;"","$",""),",","")),0))</f>
        <v/>
      </c>
      <c r="F1386" s="11">
        <f>IF(A1386="","",D1386*E1386)</f>
        <v/>
      </c>
      <c r="G1386">
        <f>IF(A1386="","",IF(C1386="",1,COUNTIF($C$2:$C$1501,C1386)))</f>
        <v/>
      </c>
      <c r="H1386" s="11">
        <f>IF(A1386="","",IFERROR(VALUE(SUBSTITUTE(SUBSTITUTE(INDEX('Etsy Import'!$A:$CZ,1386,Settings!$C$25)&amp;"","$",""),",","")),0)/IF(Settings!$B$27="Yes",G1386,1))</f>
        <v/>
      </c>
      <c r="I1386" s="11">
        <f>IF(A1386="","",IFERROR(VALUE(SUBSTITUTE(SUBSTITUTE(INDEX('Etsy Import'!$A:$CZ,1386,Settings!$C$26)&amp;"","$",""),",","")),0)/IF(Settings!$B$27="Yes",G1386,1))</f>
        <v/>
      </c>
      <c r="J1386" s="11">
        <f>IF(A1386="","",F1386+H1386-I1386)</f>
        <v/>
      </c>
      <c r="K1386">
        <f>IF(A1386="","",IFERROR(IF(B1386="",NA(),MATCH(B1386,Products!$B$5:$B$204,0)),IFERROR(MATCH(A1386,Products!$A$5:$A$204,0),"")))</f>
        <v/>
      </c>
      <c r="L1386">
        <f>IF(A1386="","",IF(K1386="","⚠ not in Products",INDEX(Products!$A$5:$A$204,K1386)))</f>
        <v/>
      </c>
      <c r="M1386" s="11">
        <f>IF(A1386="","",J1386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1386+IFERROR(INDEX(Settings!$D$5:$D$9,MATCH("Etsy",Settings!$A$5:$A$9,0)),0)*D1386)</f>
        <v/>
      </c>
      <c r="N1386" s="11">
        <f>IF(A1386="","",IF(K1386="",0,D1386*INDEX(Products!$I$5:$I$204,K1386)))</f>
        <v/>
      </c>
      <c r="O1386" s="11">
        <f>IF(A1386="","",IF(K1386="",0,J1386*INDEX(Products!$H$5:$H$204,K1386)))</f>
        <v/>
      </c>
      <c r="P1386" s="11">
        <f>IF(A1386="","",J1386-M1386-N1386-O1386)</f>
        <v/>
      </c>
    </row>
    <row r="1387">
      <c r="A1387">
        <f>IFERROR(INDEX('Etsy Import'!$A:$CZ,1387,Settings!$C$20)&amp;"","")</f>
        <v/>
      </c>
      <c r="B1387">
        <f>IFERROR(INDEX('Etsy Import'!$A:$CZ,1387,Settings!$C$21)&amp;"","")</f>
        <v/>
      </c>
      <c r="C1387">
        <f>IFERROR(INDEX('Etsy Import'!$A:$CZ,1387,Settings!$C$22)&amp;"","")</f>
        <v/>
      </c>
      <c r="D1387">
        <f>IF(A1387="","",IFERROR(VALUE(SUBSTITUTE(SUBSTITUTE(INDEX('Etsy Import'!$A:$CZ,1387,Settings!$C$23)&amp;"","$",""),",","")),0))</f>
        <v/>
      </c>
      <c r="E1387" s="11">
        <f>IF(A1387="","",IFERROR(VALUE(SUBSTITUTE(SUBSTITUTE(INDEX('Etsy Import'!$A:$CZ,1387,Settings!$C$24)&amp;"","$",""),",","")),0))</f>
        <v/>
      </c>
      <c r="F1387" s="11">
        <f>IF(A1387="","",D1387*E1387)</f>
        <v/>
      </c>
      <c r="G1387">
        <f>IF(A1387="","",IF(C1387="",1,COUNTIF($C$2:$C$1501,C1387)))</f>
        <v/>
      </c>
      <c r="H1387" s="11">
        <f>IF(A1387="","",IFERROR(VALUE(SUBSTITUTE(SUBSTITUTE(INDEX('Etsy Import'!$A:$CZ,1387,Settings!$C$25)&amp;"","$",""),",","")),0)/IF(Settings!$B$27="Yes",G1387,1))</f>
        <v/>
      </c>
      <c r="I1387" s="11">
        <f>IF(A1387="","",IFERROR(VALUE(SUBSTITUTE(SUBSTITUTE(INDEX('Etsy Import'!$A:$CZ,1387,Settings!$C$26)&amp;"","$",""),",","")),0)/IF(Settings!$B$27="Yes",G1387,1))</f>
        <v/>
      </c>
      <c r="J1387" s="11">
        <f>IF(A1387="","",F1387+H1387-I1387)</f>
        <v/>
      </c>
      <c r="K1387">
        <f>IF(A1387="","",IFERROR(IF(B1387="",NA(),MATCH(B1387,Products!$B$5:$B$204,0)),IFERROR(MATCH(A1387,Products!$A$5:$A$204,0),"")))</f>
        <v/>
      </c>
      <c r="L1387">
        <f>IF(A1387="","",IF(K1387="","⚠ not in Products",INDEX(Products!$A$5:$A$204,K1387)))</f>
        <v/>
      </c>
      <c r="M1387" s="11">
        <f>IF(A1387="","",J1387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1387+IFERROR(INDEX(Settings!$D$5:$D$9,MATCH("Etsy",Settings!$A$5:$A$9,0)),0)*D1387)</f>
        <v/>
      </c>
      <c r="N1387" s="11">
        <f>IF(A1387="","",IF(K1387="",0,D1387*INDEX(Products!$I$5:$I$204,K1387)))</f>
        <v/>
      </c>
      <c r="O1387" s="11">
        <f>IF(A1387="","",IF(K1387="",0,J1387*INDEX(Products!$H$5:$H$204,K1387)))</f>
        <v/>
      </c>
      <c r="P1387" s="11">
        <f>IF(A1387="","",J1387-M1387-N1387-O1387)</f>
        <v/>
      </c>
    </row>
    <row r="1388">
      <c r="A1388">
        <f>IFERROR(INDEX('Etsy Import'!$A:$CZ,1388,Settings!$C$20)&amp;"","")</f>
        <v/>
      </c>
      <c r="B1388">
        <f>IFERROR(INDEX('Etsy Import'!$A:$CZ,1388,Settings!$C$21)&amp;"","")</f>
        <v/>
      </c>
      <c r="C1388">
        <f>IFERROR(INDEX('Etsy Import'!$A:$CZ,1388,Settings!$C$22)&amp;"","")</f>
        <v/>
      </c>
      <c r="D1388">
        <f>IF(A1388="","",IFERROR(VALUE(SUBSTITUTE(SUBSTITUTE(INDEX('Etsy Import'!$A:$CZ,1388,Settings!$C$23)&amp;"","$",""),",","")),0))</f>
        <v/>
      </c>
      <c r="E1388" s="11">
        <f>IF(A1388="","",IFERROR(VALUE(SUBSTITUTE(SUBSTITUTE(INDEX('Etsy Import'!$A:$CZ,1388,Settings!$C$24)&amp;"","$",""),",","")),0))</f>
        <v/>
      </c>
      <c r="F1388" s="11">
        <f>IF(A1388="","",D1388*E1388)</f>
        <v/>
      </c>
      <c r="G1388">
        <f>IF(A1388="","",IF(C1388="",1,COUNTIF($C$2:$C$1501,C1388)))</f>
        <v/>
      </c>
      <c r="H1388" s="11">
        <f>IF(A1388="","",IFERROR(VALUE(SUBSTITUTE(SUBSTITUTE(INDEX('Etsy Import'!$A:$CZ,1388,Settings!$C$25)&amp;"","$",""),",","")),0)/IF(Settings!$B$27="Yes",G1388,1))</f>
        <v/>
      </c>
      <c r="I1388" s="11">
        <f>IF(A1388="","",IFERROR(VALUE(SUBSTITUTE(SUBSTITUTE(INDEX('Etsy Import'!$A:$CZ,1388,Settings!$C$26)&amp;"","$",""),",","")),0)/IF(Settings!$B$27="Yes",G1388,1))</f>
        <v/>
      </c>
      <c r="J1388" s="11">
        <f>IF(A1388="","",F1388+H1388-I1388)</f>
        <v/>
      </c>
      <c r="K1388">
        <f>IF(A1388="","",IFERROR(IF(B1388="",NA(),MATCH(B1388,Products!$B$5:$B$204,0)),IFERROR(MATCH(A1388,Products!$A$5:$A$204,0),"")))</f>
        <v/>
      </c>
      <c r="L1388">
        <f>IF(A1388="","",IF(K1388="","⚠ not in Products",INDEX(Products!$A$5:$A$204,K1388)))</f>
        <v/>
      </c>
      <c r="M1388" s="11">
        <f>IF(A1388="","",J1388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1388+IFERROR(INDEX(Settings!$D$5:$D$9,MATCH("Etsy",Settings!$A$5:$A$9,0)),0)*D1388)</f>
        <v/>
      </c>
      <c r="N1388" s="11">
        <f>IF(A1388="","",IF(K1388="",0,D1388*INDEX(Products!$I$5:$I$204,K1388)))</f>
        <v/>
      </c>
      <c r="O1388" s="11">
        <f>IF(A1388="","",IF(K1388="",0,J1388*INDEX(Products!$H$5:$H$204,K1388)))</f>
        <v/>
      </c>
      <c r="P1388" s="11">
        <f>IF(A1388="","",J1388-M1388-N1388-O1388)</f>
        <v/>
      </c>
    </row>
    <row r="1389">
      <c r="A1389">
        <f>IFERROR(INDEX('Etsy Import'!$A:$CZ,1389,Settings!$C$20)&amp;"","")</f>
        <v/>
      </c>
      <c r="B1389">
        <f>IFERROR(INDEX('Etsy Import'!$A:$CZ,1389,Settings!$C$21)&amp;"","")</f>
        <v/>
      </c>
      <c r="C1389">
        <f>IFERROR(INDEX('Etsy Import'!$A:$CZ,1389,Settings!$C$22)&amp;"","")</f>
        <v/>
      </c>
      <c r="D1389">
        <f>IF(A1389="","",IFERROR(VALUE(SUBSTITUTE(SUBSTITUTE(INDEX('Etsy Import'!$A:$CZ,1389,Settings!$C$23)&amp;"","$",""),",","")),0))</f>
        <v/>
      </c>
      <c r="E1389" s="11">
        <f>IF(A1389="","",IFERROR(VALUE(SUBSTITUTE(SUBSTITUTE(INDEX('Etsy Import'!$A:$CZ,1389,Settings!$C$24)&amp;"","$",""),",","")),0))</f>
        <v/>
      </c>
      <c r="F1389" s="11">
        <f>IF(A1389="","",D1389*E1389)</f>
        <v/>
      </c>
      <c r="G1389">
        <f>IF(A1389="","",IF(C1389="",1,COUNTIF($C$2:$C$1501,C1389)))</f>
        <v/>
      </c>
      <c r="H1389" s="11">
        <f>IF(A1389="","",IFERROR(VALUE(SUBSTITUTE(SUBSTITUTE(INDEX('Etsy Import'!$A:$CZ,1389,Settings!$C$25)&amp;"","$",""),",","")),0)/IF(Settings!$B$27="Yes",G1389,1))</f>
        <v/>
      </c>
      <c r="I1389" s="11">
        <f>IF(A1389="","",IFERROR(VALUE(SUBSTITUTE(SUBSTITUTE(INDEX('Etsy Import'!$A:$CZ,1389,Settings!$C$26)&amp;"","$",""),",","")),0)/IF(Settings!$B$27="Yes",G1389,1))</f>
        <v/>
      </c>
      <c r="J1389" s="11">
        <f>IF(A1389="","",F1389+H1389-I1389)</f>
        <v/>
      </c>
      <c r="K1389">
        <f>IF(A1389="","",IFERROR(IF(B1389="",NA(),MATCH(B1389,Products!$B$5:$B$204,0)),IFERROR(MATCH(A1389,Products!$A$5:$A$204,0),"")))</f>
        <v/>
      </c>
      <c r="L1389">
        <f>IF(A1389="","",IF(K1389="","⚠ not in Products",INDEX(Products!$A$5:$A$204,K1389)))</f>
        <v/>
      </c>
      <c r="M1389" s="11">
        <f>IF(A1389="","",J1389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1389+IFERROR(INDEX(Settings!$D$5:$D$9,MATCH("Etsy",Settings!$A$5:$A$9,0)),0)*D1389)</f>
        <v/>
      </c>
      <c r="N1389" s="11">
        <f>IF(A1389="","",IF(K1389="",0,D1389*INDEX(Products!$I$5:$I$204,K1389)))</f>
        <v/>
      </c>
      <c r="O1389" s="11">
        <f>IF(A1389="","",IF(K1389="",0,J1389*INDEX(Products!$H$5:$H$204,K1389)))</f>
        <v/>
      </c>
      <c r="P1389" s="11">
        <f>IF(A1389="","",J1389-M1389-N1389-O1389)</f>
        <v/>
      </c>
    </row>
    <row r="1390">
      <c r="A1390">
        <f>IFERROR(INDEX('Etsy Import'!$A:$CZ,1390,Settings!$C$20)&amp;"","")</f>
        <v/>
      </c>
      <c r="B1390">
        <f>IFERROR(INDEX('Etsy Import'!$A:$CZ,1390,Settings!$C$21)&amp;"","")</f>
        <v/>
      </c>
      <c r="C1390">
        <f>IFERROR(INDEX('Etsy Import'!$A:$CZ,1390,Settings!$C$22)&amp;"","")</f>
        <v/>
      </c>
      <c r="D1390">
        <f>IF(A1390="","",IFERROR(VALUE(SUBSTITUTE(SUBSTITUTE(INDEX('Etsy Import'!$A:$CZ,1390,Settings!$C$23)&amp;"","$",""),",","")),0))</f>
        <v/>
      </c>
      <c r="E1390" s="11">
        <f>IF(A1390="","",IFERROR(VALUE(SUBSTITUTE(SUBSTITUTE(INDEX('Etsy Import'!$A:$CZ,1390,Settings!$C$24)&amp;"","$",""),",","")),0))</f>
        <v/>
      </c>
      <c r="F1390" s="11">
        <f>IF(A1390="","",D1390*E1390)</f>
        <v/>
      </c>
      <c r="G1390">
        <f>IF(A1390="","",IF(C1390="",1,COUNTIF($C$2:$C$1501,C1390)))</f>
        <v/>
      </c>
      <c r="H1390" s="11">
        <f>IF(A1390="","",IFERROR(VALUE(SUBSTITUTE(SUBSTITUTE(INDEX('Etsy Import'!$A:$CZ,1390,Settings!$C$25)&amp;"","$",""),",","")),0)/IF(Settings!$B$27="Yes",G1390,1))</f>
        <v/>
      </c>
      <c r="I1390" s="11">
        <f>IF(A1390="","",IFERROR(VALUE(SUBSTITUTE(SUBSTITUTE(INDEX('Etsy Import'!$A:$CZ,1390,Settings!$C$26)&amp;"","$",""),",","")),0)/IF(Settings!$B$27="Yes",G1390,1))</f>
        <v/>
      </c>
      <c r="J1390" s="11">
        <f>IF(A1390="","",F1390+H1390-I1390)</f>
        <v/>
      </c>
      <c r="K1390">
        <f>IF(A1390="","",IFERROR(IF(B1390="",NA(),MATCH(B1390,Products!$B$5:$B$204,0)),IFERROR(MATCH(A1390,Products!$A$5:$A$204,0),"")))</f>
        <v/>
      </c>
      <c r="L1390">
        <f>IF(A1390="","",IF(K1390="","⚠ not in Products",INDEX(Products!$A$5:$A$204,K1390)))</f>
        <v/>
      </c>
      <c r="M1390" s="11">
        <f>IF(A1390="","",J1390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1390+IFERROR(INDEX(Settings!$D$5:$D$9,MATCH("Etsy",Settings!$A$5:$A$9,0)),0)*D1390)</f>
        <v/>
      </c>
      <c r="N1390" s="11">
        <f>IF(A1390="","",IF(K1390="",0,D1390*INDEX(Products!$I$5:$I$204,K1390)))</f>
        <v/>
      </c>
      <c r="O1390" s="11">
        <f>IF(A1390="","",IF(K1390="",0,J1390*INDEX(Products!$H$5:$H$204,K1390)))</f>
        <v/>
      </c>
      <c r="P1390" s="11">
        <f>IF(A1390="","",J1390-M1390-N1390-O1390)</f>
        <v/>
      </c>
    </row>
    <row r="1391">
      <c r="A1391">
        <f>IFERROR(INDEX('Etsy Import'!$A:$CZ,1391,Settings!$C$20)&amp;"","")</f>
        <v/>
      </c>
      <c r="B1391">
        <f>IFERROR(INDEX('Etsy Import'!$A:$CZ,1391,Settings!$C$21)&amp;"","")</f>
        <v/>
      </c>
      <c r="C1391">
        <f>IFERROR(INDEX('Etsy Import'!$A:$CZ,1391,Settings!$C$22)&amp;"","")</f>
        <v/>
      </c>
      <c r="D1391">
        <f>IF(A1391="","",IFERROR(VALUE(SUBSTITUTE(SUBSTITUTE(INDEX('Etsy Import'!$A:$CZ,1391,Settings!$C$23)&amp;"","$",""),",","")),0))</f>
        <v/>
      </c>
      <c r="E1391" s="11">
        <f>IF(A1391="","",IFERROR(VALUE(SUBSTITUTE(SUBSTITUTE(INDEX('Etsy Import'!$A:$CZ,1391,Settings!$C$24)&amp;"","$",""),",","")),0))</f>
        <v/>
      </c>
      <c r="F1391" s="11">
        <f>IF(A1391="","",D1391*E1391)</f>
        <v/>
      </c>
      <c r="G1391">
        <f>IF(A1391="","",IF(C1391="",1,COUNTIF($C$2:$C$1501,C1391)))</f>
        <v/>
      </c>
      <c r="H1391" s="11">
        <f>IF(A1391="","",IFERROR(VALUE(SUBSTITUTE(SUBSTITUTE(INDEX('Etsy Import'!$A:$CZ,1391,Settings!$C$25)&amp;"","$",""),",","")),0)/IF(Settings!$B$27="Yes",G1391,1))</f>
        <v/>
      </c>
      <c r="I1391" s="11">
        <f>IF(A1391="","",IFERROR(VALUE(SUBSTITUTE(SUBSTITUTE(INDEX('Etsy Import'!$A:$CZ,1391,Settings!$C$26)&amp;"","$",""),",","")),0)/IF(Settings!$B$27="Yes",G1391,1))</f>
        <v/>
      </c>
      <c r="J1391" s="11">
        <f>IF(A1391="","",F1391+H1391-I1391)</f>
        <v/>
      </c>
      <c r="K1391">
        <f>IF(A1391="","",IFERROR(IF(B1391="",NA(),MATCH(B1391,Products!$B$5:$B$204,0)),IFERROR(MATCH(A1391,Products!$A$5:$A$204,0),"")))</f>
        <v/>
      </c>
      <c r="L1391">
        <f>IF(A1391="","",IF(K1391="","⚠ not in Products",INDEX(Products!$A$5:$A$204,K1391)))</f>
        <v/>
      </c>
      <c r="M1391" s="11">
        <f>IF(A1391="","",J1391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1391+IFERROR(INDEX(Settings!$D$5:$D$9,MATCH("Etsy",Settings!$A$5:$A$9,0)),0)*D1391)</f>
        <v/>
      </c>
      <c r="N1391" s="11">
        <f>IF(A1391="","",IF(K1391="",0,D1391*INDEX(Products!$I$5:$I$204,K1391)))</f>
        <v/>
      </c>
      <c r="O1391" s="11">
        <f>IF(A1391="","",IF(K1391="",0,J1391*INDEX(Products!$H$5:$H$204,K1391)))</f>
        <v/>
      </c>
      <c r="P1391" s="11">
        <f>IF(A1391="","",J1391-M1391-N1391-O1391)</f>
        <v/>
      </c>
    </row>
    <row r="1392">
      <c r="A1392">
        <f>IFERROR(INDEX('Etsy Import'!$A:$CZ,1392,Settings!$C$20)&amp;"","")</f>
        <v/>
      </c>
      <c r="B1392">
        <f>IFERROR(INDEX('Etsy Import'!$A:$CZ,1392,Settings!$C$21)&amp;"","")</f>
        <v/>
      </c>
      <c r="C1392">
        <f>IFERROR(INDEX('Etsy Import'!$A:$CZ,1392,Settings!$C$22)&amp;"","")</f>
        <v/>
      </c>
      <c r="D1392">
        <f>IF(A1392="","",IFERROR(VALUE(SUBSTITUTE(SUBSTITUTE(INDEX('Etsy Import'!$A:$CZ,1392,Settings!$C$23)&amp;"","$",""),",","")),0))</f>
        <v/>
      </c>
      <c r="E1392" s="11">
        <f>IF(A1392="","",IFERROR(VALUE(SUBSTITUTE(SUBSTITUTE(INDEX('Etsy Import'!$A:$CZ,1392,Settings!$C$24)&amp;"","$",""),",","")),0))</f>
        <v/>
      </c>
      <c r="F1392" s="11">
        <f>IF(A1392="","",D1392*E1392)</f>
        <v/>
      </c>
      <c r="G1392">
        <f>IF(A1392="","",IF(C1392="",1,COUNTIF($C$2:$C$1501,C1392)))</f>
        <v/>
      </c>
      <c r="H1392" s="11">
        <f>IF(A1392="","",IFERROR(VALUE(SUBSTITUTE(SUBSTITUTE(INDEX('Etsy Import'!$A:$CZ,1392,Settings!$C$25)&amp;"","$",""),",","")),0)/IF(Settings!$B$27="Yes",G1392,1))</f>
        <v/>
      </c>
      <c r="I1392" s="11">
        <f>IF(A1392="","",IFERROR(VALUE(SUBSTITUTE(SUBSTITUTE(INDEX('Etsy Import'!$A:$CZ,1392,Settings!$C$26)&amp;"","$",""),",","")),0)/IF(Settings!$B$27="Yes",G1392,1))</f>
        <v/>
      </c>
      <c r="J1392" s="11">
        <f>IF(A1392="","",F1392+H1392-I1392)</f>
        <v/>
      </c>
      <c r="K1392">
        <f>IF(A1392="","",IFERROR(IF(B1392="",NA(),MATCH(B1392,Products!$B$5:$B$204,0)),IFERROR(MATCH(A1392,Products!$A$5:$A$204,0),"")))</f>
        <v/>
      </c>
      <c r="L1392">
        <f>IF(A1392="","",IF(K1392="","⚠ not in Products",INDEX(Products!$A$5:$A$204,K1392)))</f>
        <v/>
      </c>
      <c r="M1392" s="11">
        <f>IF(A1392="","",J1392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1392+IFERROR(INDEX(Settings!$D$5:$D$9,MATCH("Etsy",Settings!$A$5:$A$9,0)),0)*D1392)</f>
        <v/>
      </c>
      <c r="N1392" s="11">
        <f>IF(A1392="","",IF(K1392="",0,D1392*INDEX(Products!$I$5:$I$204,K1392)))</f>
        <v/>
      </c>
      <c r="O1392" s="11">
        <f>IF(A1392="","",IF(K1392="",0,J1392*INDEX(Products!$H$5:$H$204,K1392)))</f>
        <v/>
      </c>
      <c r="P1392" s="11">
        <f>IF(A1392="","",J1392-M1392-N1392-O1392)</f>
        <v/>
      </c>
    </row>
    <row r="1393">
      <c r="A1393">
        <f>IFERROR(INDEX('Etsy Import'!$A:$CZ,1393,Settings!$C$20)&amp;"","")</f>
        <v/>
      </c>
      <c r="B1393">
        <f>IFERROR(INDEX('Etsy Import'!$A:$CZ,1393,Settings!$C$21)&amp;"","")</f>
        <v/>
      </c>
      <c r="C1393">
        <f>IFERROR(INDEX('Etsy Import'!$A:$CZ,1393,Settings!$C$22)&amp;"","")</f>
        <v/>
      </c>
      <c r="D1393">
        <f>IF(A1393="","",IFERROR(VALUE(SUBSTITUTE(SUBSTITUTE(INDEX('Etsy Import'!$A:$CZ,1393,Settings!$C$23)&amp;"","$",""),",","")),0))</f>
        <v/>
      </c>
      <c r="E1393" s="11">
        <f>IF(A1393="","",IFERROR(VALUE(SUBSTITUTE(SUBSTITUTE(INDEX('Etsy Import'!$A:$CZ,1393,Settings!$C$24)&amp;"","$",""),",","")),0))</f>
        <v/>
      </c>
      <c r="F1393" s="11">
        <f>IF(A1393="","",D1393*E1393)</f>
        <v/>
      </c>
      <c r="G1393">
        <f>IF(A1393="","",IF(C1393="",1,COUNTIF($C$2:$C$1501,C1393)))</f>
        <v/>
      </c>
      <c r="H1393" s="11">
        <f>IF(A1393="","",IFERROR(VALUE(SUBSTITUTE(SUBSTITUTE(INDEX('Etsy Import'!$A:$CZ,1393,Settings!$C$25)&amp;"","$",""),",","")),0)/IF(Settings!$B$27="Yes",G1393,1))</f>
        <v/>
      </c>
      <c r="I1393" s="11">
        <f>IF(A1393="","",IFERROR(VALUE(SUBSTITUTE(SUBSTITUTE(INDEX('Etsy Import'!$A:$CZ,1393,Settings!$C$26)&amp;"","$",""),",","")),0)/IF(Settings!$B$27="Yes",G1393,1))</f>
        <v/>
      </c>
      <c r="J1393" s="11">
        <f>IF(A1393="","",F1393+H1393-I1393)</f>
        <v/>
      </c>
      <c r="K1393">
        <f>IF(A1393="","",IFERROR(IF(B1393="",NA(),MATCH(B1393,Products!$B$5:$B$204,0)),IFERROR(MATCH(A1393,Products!$A$5:$A$204,0),"")))</f>
        <v/>
      </c>
      <c r="L1393">
        <f>IF(A1393="","",IF(K1393="","⚠ not in Products",INDEX(Products!$A$5:$A$204,K1393)))</f>
        <v/>
      </c>
      <c r="M1393" s="11">
        <f>IF(A1393="","",J1393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1393+IFERROR(INDEX(Settings!$D$5:$D$9,MATCH("Etsy",Settings!$A$5:$A$9,0)),0)*D1393)</f>
        <v/>
      </c>
      <c r="N1393" s="11">
        <f>IF(A1393="","",IF(K1393="",0,D1393*INDEX(Products!$I$5:$I$204,K1393)))</f>
        <v/>
      </c>
      <c r="O1393" s="11">
        <f>IF(A1393="","",IF(K1393="",0,J1393*INDEX(Products!$H$5:$H$204,K1393)))</f>
        <v/>
      </c>
      <c r="P1393" s="11">
        <f>IF(A1393="","",J1393-M1393-N1393-O1393)</f>
        <v/>
      </c>
    </row>
    <row r="1394">
      <c r="A1394">
        <f>IFERROR(INDEX('Etsy Import'!$A:$CZ,1394,Settings!$C$20)&amp;"","")</f>
        <v/>
      </c>
      <c r="B1394">
        <f>IFERROR(INDEX('Etsy Import'!$A:$CZ,1394,Settings!$C$21)&amp;"","")</f>
        <v/>
      </c>
      <c r="C1394">
        <f>IFERROR(INDEX('Etsy Import'!$A:$CZ,1394,Settings!$C$22)&amp;"","")</f>
        <v/>
      </c>
      <c r="D1394">
        <f>IF(A1394="","",IFERROR(VALUE(SUBSTITUTE(SUBSTITUTE(INDEX('Etsy Import'!$A:$CZ,1394,Settings!$C$23)&amp;"","$",""),",","")),0))</f>
        <v/>
      </c>
      <c r="E1394" s="11">
        <f>IF(A1394="","",IFERROR(VALUE(SUBSTITUTE(SUBSTITUTE(INDEX('Etsy Import'!$A:$CZ,1394,Settings!$C$24)&amp;"","$",""),",","")),0))</f>
        <v/>
      </c>
      <c r="F1394" s="11">
        <f>IF(A1394="","",D1394*E1394)</f>
        <v/>
      </c>
      <c r="G1394">
        <f>IF(A1394="","",IF(C1394="",1,COUNTIF($C$2:$C$1501,C1394)))</f>
        <v/>
      </c>
      <c r="H1394" s="11">
        <f>IF(A1394="","",IFERROR(VALUE(SUBSTITUTE(SUBSTITUTE(INDEX('Etsy Import'!$A:$CZ,1394,Settings!$C$25)&amp;"","$",""),",","")),0)/IF(Settings!$B$27="Yes",G1394,1))</f>
        <v/>
      </c>
      <c r="I1394" s="11">
        <f>IF(A1394="","",IFERROR(VALUE(SUBSTITUTE(SUBSTITUTE(INDEX('Etsy Import'!$A:$CZ,1394,Settings!$C$26)&amp;"","$",""),",","")),0)/IF(Settings!$B$27="Yes",G1394,1))</f>
        <v/>
      </c>
      <c r="J1394" s="11">
        <f>IF(A1394="","",F1394+H1394-I1394)</f>
        <v/>
      </c>
      <c r="K1394">
        <f>IF(A1394="","",IFERROR(IF(B1394="",NA(),MATCH(B1394,Products!$B$5:$B$204,0)),IFERROR(MATCH(A1394,Products!$A$5:$A$204,0),"")))</f>
        <v/>
      </c>
      <c r="L1394">
        <f>IF(A1394="","",IF(K1394="","⚠ not in Products",INDEX(Products!$A$5:$A$204,K1394)))</f>
        <v/>
      </c>
      <c r="M1394" s="11">
        <f>IF(A1394="","",J1394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1394+IFERROR(INDEX(Settings!$D$5:$D$9,MATCH("Etsy",Settings!$A$5:$A$9,0)),0)*D1394)</f>
        <v/>
      </c>
      <c r="N1394" s="11">
        <f>IF(A1394="","",IF(K1394="",0,D1394*INDEX(Products!$I$5:$I$204,K1394)))</f>
        <v/>
      </c>
      <c r="O1394" s="11">
        <f>IF(A1394="","",IF(K1394="",0,J1394*INDEX(Products!$H$5:$H$204,K1394)))</f>
        <v/>
      </c>
      <c r="P1394" s="11">
        <f>IF(A1394="","",J1394-M1394-N1394-O1394)</f>
        <v/>
      </c>
    </row>
    <row r="1395">
      <c r="A1395">
        <f>IFERROR(INDEX('Etsy Import'!$A:$CZ,1395,Settings!$C$20)&amp;"","")</f>
        <v/>
      </c>
      <c r="B1395">
        <f>IFERROR(INDEX('Etsy Import'!$A:$CZ,1395,Settings!$C$21)&amp;"","")</f>
        <v/>
      </c>
      <c r="C1395">
        <f>IFERROR(INDEX('Etsy Import'!$A:$CZ,1395,Settings!$C$22)&amp;"","")</f>
        <v/>
      </c>
      <c r="D1395">
        <f>IF(A1395="","",IFERROR(VALUE(SUBSTITUTE(SUBSTITUTE(INDEX('Etsy Import'!$A:$CZ,1395,Settings!$C$23)&amp;"","$",""),",","")),0))</f>
        <v/>
      </c>
      <c r="E1395" s="11">
        <f>IF(A1395="","",IFERROR(VALUE(SUBSTITUTE(SUBSTITUTE(INDEX('Etsy Import'!$A:$CZ,1395,Settings!$C$24)&amp;"","$",""),",","")),0))</f>
        <v/>
      </c>
      <c r="F1395" s="11">
        <f>IF(A1395="","",D1395*E1395)</f>
        <v/>
      </c>
      <c r="G1395">
        <f>IF(A1395="","",IF(C1395="",1,COUNTIF($C$2:$C$1501,C1395)))</f>
        <v/>
      </c>
      <c r="H1395" s="11">
        <f>IF(A1395="","",IFERROR(VALUE(SUBSTITUTE(SUBSTITUTE(INDEX('Etsy Import'!$A:$CZ,1395,Settings!$C$25)&amp;"","$",""),",","")),0)/IF(Settings!$B$27="Yes",G1395,1))</f>
        <v/>
      </c>
      <c r="I1395" s="11">
        <f>IF(A1395="","",IFERROR(VALUE(SUBSTITUTE(SUBSTITUTE(INDEX('Etsy Import'!$A:$CZ,1395,Settings!$C$26)&amp;"","$",""),",","")),0)/IF(Settings!$B$27="Yes",G1395,1))</f>
        <v/>
      </c>
      <c r="J1395" s="11">
        <f>IF(A1395="","",F1395+H1395-I1395)</f>
        <v/>
      </c>
      <c r="K1395">
        <f>IF(A1395="","",IFERROR(IF(B1395="",NA(),MATCH(B1395,Products!$B$5:$B$204,0)),IFERROR(MATCH(A1395,Products!$A$5:$A$204,0),"")))</f>
        <v/>
      </c>
      <c r="L1395">
        <f>IF(A1395="","",IF(K1395="","⚠ not in Products",INDEX(Products!$A$5:$A$204,K1395)))</f>
        <v/>
      </c>
      <c r="M1395" s="11">
        <f>IF(A1395="","",J1395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1395+IFERROR(INDEX(Settings!$D$5:$D$9,MATCH("Etsy",Settings!$A$5:$A$9,0)),0)*D1395)</f>
        <v/>
      </c>
      <c r="N1395" s="11">
        <f>IF(A1395="","",IF(K1395="",0,D1395*INDEX(Products!$I$5:$I$204,K1395)))</f>
        <v/>
      </c>
      <c r="O1395" s="11">
        <f>IF(A1395="","",IF(K1395="",0,J1395*INDEX(Products!$H$5:$H$204,K1395)))</f>
        <v/>
      </c>
      <c r="P1395" s="11">
        <f>IF(A1395="","",J1395-M1395-N1395-O1395)</f>
        <v/>
      </c>
    </row>
    <row r="1396">
      <c r="A1396">
        <f>IFERROR(INDEX('Etsy Import'!$A:$CZ,1396,Settings!$C$20)&amp;"","")</f>
        <v/>
      </c>
      <c r="B1396">
        <f>IFERROR(INDEX('Etsy Import'!$A:$CZ,1396,Settings!$C$21)&amp;"","")</f>
        <v/>
      </c>
      <c r="C1396">
        <f>IFERROR(INDEX('Etsy Import'!$A:$CZ,1396,Settings!$C$22)&amp;"","")</f>
        <v/>
      </c>
      <c r="D1396">
        <f>IF(A1396="","",IFERROR(VALUE(SUBSTITUTE(SUBSTITUTE(INDEX('Etsy Import'!$A:$CZ,1396,Settings!$C$23)&amp;"","$",""),",","")),0))</f>
        <v/>
      </c>
      <c r="E1396" s="11">
        <f>IF(A1396="","",IFERROR(VALUE(SUBSTITUTE(SUBSTITUTE(INDEX('Etsy Import'!$A:$CZ,1396,Settings!$C$24)&amp;"","$",""),",","")),0))</f>
        <v/>
      </c>
      <c r="F1396" s="11">
        <f>IF(A1396="","",D1396*E1396)</f>
        <v/>
      </c>
      <c r="G1396">
        <f>IF(A1396="","",IF(C1396="",1,COUNTIF($C$2:$C$1501,C1396)))</f>
        <v/>
      </c>
      <c r="H1396" s="11">
        <f>IF(A1396="","",IFERROR(VALUE(SUBSTITUTE(SUBSTITUTE(INDEX('Etsy Import'!$A:$CZ,1396,Settings!$C$25)&amp;"","$",""),",","")),0)/IF(Settings!$B$27="Yes",G1396,1))</f>
        <v/>
      </c>
      <c r="I1396" s="11">
        <f>IF(A1396="","",IFERROR(VALUE(SUBSTITUTE(SUBSTITUTE(INDEX('Etsy Import'!$A:$CZ,1396,Settings!$C$26)&amp;"","$",""),",","")),0)/IF(Settings!$B$27="Yes",G1396,1))</f>
        <v/>
      </c>
      <c r="J1396" s="11">
        <f>IF(A1396="","",F1396+H1396-I1396)</f>
        <v/>
      </c>
      <c r="K1396">
        <f>IF(A1396="","",IFERROR(IF(B1396="",NA(),MATCH(B1396,Products!$B$5:$B$204,0)),IFERROR(MATCH(A1396,Products!$A$5:$A$204,0),"")))</f>
        <v/>
      </c>
      <c r="L1396">
        <f>IF(A1396="","",IF(K1396="","⚠ not in Products",INDEX(Products!$A$5:$A$204,K1396)))</f>
        <v/>
      </c>
      <c r="M1396" s="11">
        <f>IF(A1396="","",J1396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1396+IFERROR(INDEX(Settings!$D$5:$D$9,MATCH("Etsy",Settings!$A$5:$A$9,0)),0)*D1396)</f>
        <v/>
      </c>
      <c r="N1396" s="11">
        <f>IF(A1396="","",IF(K1396="",0,D1396*INDEX(Products!$I$5:$I$204,K1396)))</f>
        <v/>
      </c>
      <c r="O1396" s="11">
        <f>IF(A1396="","",IF(K1396="",0,J1396*INDEX(Products!$H$5:$H$204,K1396)))</f>
        <v/>
      </c>
      <c r="P1396" s="11">
        <f>IF(A1396="","",J1396-M1396-N1396-O1396)</f>
        <v/>
      </c>
    </row>
    <row r="1397">
      <c r="A1397">
        <f>IFERROR(INDEX('Etsy Import'!$A:$CZ,1397,Settings!$C$20)&amp;"","")</f>
        <v/>
      </c>
      <c r="B1397">
        <f>IFERROR(INDEX('Etsy Import'!$A:$CZ,1397,Settings!$C$21)&amp;"","")</f>
        <v/>
      </c>
      <c r="C1397">
        <f>IFERROR(INDEX('Etsy Import'!$A:$CZ,1397,Settings!$C$22)&amp;"","")</f>
        <v/>
      </c>
      <c r="D1397">
        <f>IF(A1397="","",IFERROR(VALUE(SUBSTITUTE(SUBSTITUTE(INDEX('Etsy Import'!$A:$CZ,1397,Settings!$C$23)&amp;"","$",""),",","")),0))</f>
        <v/>
      </c>
      <c r="E1397" s="11">
        <f>IF(A1397="","",IFERROR(VALUE(SUBSTITUTE(SUBSTITUTE(INDEX('Etsy Import'!$A:$CZ,1397,Settings!$C$24)&amp;"","$",""),",","")),0))</f>
        <v/>
      </c>
      <c r="F1397" s="11">
        <f>IF(A1397="","",D1397*E1397)</f>
        <v/>
      </c>
      <c r="G1397">
        <f>IF(A1397="","",IF(C1397="",1,COUNTIF($C$2:$C$1501,C1397)))</f>
        <v/>
      </c>
      <c r="H1397" s="11">
        <f>IF(A1397="","",IFERROR(VALUE(SUBSTITUTE(SUBSTITUTE(INDEX('Etsy Import'!$A:$CZ,1397,Settings!$C$25)&amp;"","$",""),",","")),0)/IF(Settings!$B$27="Yes",G1397,1))</f>
        <v/>
      </c>
      <c r="I1397" s="11">
        <f>IF(A1397="","",IFERROR(VALUE(SUBSTITUTE(SUBSTITUTE(INDEX('Etsy Import'!$A:$CZ,1397,Settings!$C$26)&amp;"","$",""),",","")),0)/IF(Settings!$B$27="Yes",G1397,1))</f>
        <v/>
      </c>
      <c r="J1397" s="11">
        <f>IF(A1397="","",F1397+H1397-I1397)</f>
        <v/>
      </c>
      <c r="K1397">
        <f>IF(A1397="","",IFERROR(IF(B1397="",NA(),MATCH(B1397,Products!$B$5:$B$204,0)),IFERROR(MATCH(A1397,Products!$A$5:$A$204,0),"")))</f>
        <v/>
      </c>
      <c r="L1397">
        <f>IF(A1397="","",IF(K1397="","⚠ not in Products",INDEX(Products!$A$5:$A$204,K1397)))</f>
        <v/>
      </c>
      <c r="M1397" s="11">
        <f>IF(A1397="","",J1397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1397+IFERROR(INDEX(Settings!$D$5:$D$9,MATCH("Etsy",Settings!$A$5:$A$9,0)),0)*D1397)</f>
        <v/>
      </c>
      <c r="N1397" s="11">
        <f>IF(A1397="","",IF(K1397="",0,D1397*INDEX(Products!$I$5:$I$204,K1397)))</f>
        <v/>
      </c>
      <c r="O1397" s="11">
        <f>IF(A1397="","",IF(K1397="",0,J1397*INDEX(Products!$H$5:$H$204,K1397)))</f>
        <v/>
      </c>
      <c r="P1397" s="11">
        <f>IF(A1397="","",J1397-M1397-N1397-O1397)</f>
        <v/>
      </c>
    </row>
    <row r="1398">
      <c r="A1398">
        <f>IFERROR(INDEX('Etsy Import'!$A:$CZ,1398,Settings!$C$20)&amp;"","")</f>
        <v/>
      </c>
      <c r="B1398">
        <f>IFERROR(INDEX('Etsy Import'!$A:$CZ,1398,Settings!$C$21)&amp;"","")</f>
        <v/>
      </c>
      <c r="C1398">
        <f>IFERROR(INDEX('Etsy Import'!$A:$CZ,1398,Settings!$C$22)&amp;"","")</f>
        <v/>
      </c>
      <c r="D1398">
        <f>IF(A1398="","",IFERROR(VALUE(SUBSTITUTE(SUBSTITUTE(INDEX('Etsy Import'!$A:$CZ,1398,Settings!$C$23)&amp;"","$",""),",","")),0))</f>
        <v/>
      </c>
      <c r="E1398" s="11">
        <f>IF(A1398="","",IFERROR(VALUE(SUBSTITUTE(SUBSTITUTE(INDEX('Etsy Import'!$A:$CZ,1398,Settings!$C$24)&amp;"","$",""),",","")),0))</f>
        <v/>
      </c>
      <c r="F1398" s="11">
        <f>IF(A1398="","",D1398*E1398)</f>
        <v/>
      </c>
      <c r="G1398">
        <f>IF(A1398="","",IF(C1398="",1,COUNTIF($C$2:$C$1501,C1398)))</f>
        <v/>
      </c>
      <c r="H1398" s="11">
        <f>IF(A1398="","",IFERROR(VALUE(SUBSTITUTE(SUBSTITUTE(INDEX('Etsy Import'!$A:$CZ,1398,Settings!$C$25)&amp;"","$",""),",","")),0)/IF(Settings!$B$27="Yes",G1398,1))</f>
        <v/>
      </c>
      <c r="I1398" s="11">
        <f>IF(A1398="","",IFERROR(VALUE(SUBSTITUTE(SUBSTITUTE(INDEX('Etsy Import'!$A:$CZ,1398,Settings!$C$26)&amp;"","$",""),",","")),0)/IF(Settings!$B$27="Yes",G1398,1))</f>
        <v/>
      </c>
      <c r="J1398" s="11">
        <f>IF(A1398="","",F1398+H1398-I1398)</f>
        <v/>
      </c>
      <c r="K1398">
        <f>IF(A1398="","",IFERROR(IF(B1398="",NA(),MATCH(B1398,Products!$B$5:$B$204,0)),IFERROR(MATCH(A1398,Products!$A$5:$A$204,0),"")))</f>
        <v/>
      </c>
      <c r="L1398">
        <f>IF(A1398="","",IF(K1398="","⚠ not in Products",INDEX(Products!$A$5:$A$204,K1398)))</f>
        <v/>
      </c>
      <c r="M1398" s="11">
        <f>IF(A1398="","",J1398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1398+IFERROR(INDEX(Settings!$D$5:$D$9,MATCH("Etsy",Settings!$A$5:$A$9,0)),0)*D1398)</f>
        <v/>
      </c>
      <c r="N1398" s="11">
        <f>IF(A1398="","",IF(K1398="",0,D1398*INDEX(Products!$I$5:$I$204,K1398)))</f>
        <v/>
      </c>
      <c r="O1398" s="11">
        <f>IF(A1398="","",IF(K1398="",0,J1398*INDEX(Products!$H$5:$H$204,K1398)))</f>
        <v/>
      </c>
      <c r="P1398" s="11">
        <f>IF(A1398="","",J1398-M1398-N1398-O1398)</f>
        <v/>
      </c>
    </row>
    <row r="1399">
      <c r="A1399">
        <f>IFERROR(INDEX('Etsy Import'!$A:$CZ,1399,Settings!$C$20)&amp;"","")</f>
        <v/>
      </c>
      <c r="B1399">
        <f>IFERROR(INDEX('Etsy Import'!$A:$CZ,1399,Settings!$C$21)&amp;"","")</f>
        <v/>
      </c>
      <c r="C1399">
        <f>IFERROR(INDEX('Etsy Import'!$A:$CZ,1399,Settings!$C$22)&amp;"","")</f>
        <v/>
      </c>
      <c r="D1399">
        <f>IF(A1399="","",IFERROR(VALUE(SUBSTITUTE(SUBSTITUTE(INDEX('Etsy Import'!$A:$CZ,1399,Settings!$C$23)&amp;"","$",""),",","")),0))</f>
        <v/>
      </c>
      <c r="E1399" s="11">
        <f>IF(A1399="","",IFERROR(VALUE(SUBSTITUTE(SUBSTITUTE(INDEX('Etsy Import'!$A:$CZ,1399,Settings!$C$24)&amp;"","$",""),",","")),0))</f>
        <v/>
      </c>
      <c r="F1399" s="11">
        <f>IF(A1399="","",D1399*E1399)</f>
        <v/>
      </c>
      <c r="G1399">
        <f>IF(A1399="","",IF(C1399="",1,COUNTIF($C$2:$C$1501,C1399)))</f>
        <v/>
      </c>
      <c r="H1399" s="11">
        <f>IF(A1399="","",IFERROR(VALUE(SUBSTITUTE(SUBSTITUTE(INDEX('Etsy Import'!$A:$CZ,1399,Settings!$C$25)&amp;"","$",""),",","")),0)/IF(Settings!$B$27="Yes",G1399,1))</f>
        <v/>
      </c>
      <c r="I1399" s="11">
        <f>IF(A1399="","",IFERROR(VALUE(SUBSTITUTE(SUBSTITUTE(INDEX('Etsy Import'!$A:$CZ,1399,Settings!$C$26)&amp;"","$",""),",","")),0)/IF(Settings!$B$27="Yes",G1399,1))</f>
        <v/>
      </c>
      <c r="J1399" s="11">
        <f>IF(A1399="","",F1399+H1399-I1399)</f>
        <v/>
      </c>
      <c r="K1399">
        <f>IF(A1399="","",IFERROR(IF(B1399="",NA(),MATCH(B1399,Products!$B$5:$B$204,0)),IFERROR(MATCH(A1399,Products!$A$5:$A$204,0),"")))</f>
        <v/>
      </c>
      <c r="L1399">
        <f>IF(A1399="","",IF(K1399="","⚠ not in Products",INDEX(Products!$A$5:$A$204,K1399)))</f>
        <v/>
      </c>
      <c r="M1399" s="11">
        <f>IF(A1399="","",J1399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1399+IFERROR(INDEX(Settings!$D$5:$D$9,MATCH("Etsy",Settings!$A$5:$A$9,0)),0)*D1399)</f>
        <v/>
      </c>
      <c r="N1399" s="11">
        <f>IF(A1399="","",IF(K1399="",0,D1399*INDEX(Products!$I$5:$I$204,K1399)))</f>
        <v/>
      </c>
      <c r="O1399" s="11">
        <f>IF(A1399="","",IF(K1399="",0,J1399*INDEX(Products!$H$5:$H$204,K1399)))</f>
        <v/>
      </c>
      <c r="P1399" s="11">
        <f>IF(A1399="","",J1399-M1399-N1399-O1399)</f>
        <v/>
      </c>
    </row>
    <row r="1400">
      <c r="A1400">
        <f>IFERROR(INDEX('Etsy Import'!$A:$CZ,1400,Settings!$C$20)&amp;"","")</f>
        <v/>
      </c>
      <c r="B1400">
        <f>IFERROR(INDEX('Etsy Import'!$A:$CZ,1400,Settings!$C$21)&amp;"","")</f>
        <v/>
      </c>
      <c r="C1400">
        <f>IFERROR(INDEX('Etsy Import'!$A:$CZ,1400,Settings!$C$22)&amp;"","")</f>
        <v/>
      </c>
      <c r="D1400">
        <f>IF(A1400="","",IFERROR(VALUE(SUBSTITUTE(SUBSTITUTE(INDEX('Etsy Import'!$A:$CZ,1400,Settings!$C$23)&amp;"","$",""),",","")),0))</f>
        <v/>
      </c>
      <c r="E1400" s="11">
        <f>IF(A1400="","",IFERROR(VALUE(SUBSTITUTE(SUBSTITUTE(INDEX('Etsy Import'!$A:$CZ,1400,Settings!$C$24)&amp;"","$",""),",","")),0))</f>
        <v/>
      </c>
      <c r="F1400" s="11">
        <f>IF(A1400="","",D1400*E1400)</f>
        <v/>
      </c>
      <c r="G1400">
        <f>IF(A1400="","",IF(C1400="",1,COUNTIF($C$2:$C$1501,C1400)))</f>
        <v/>
      </c>
      <c r="H1400" s="11">
        <f>IF(A1400="","",IFERROR(VALUE(SUBSTITUTE(SUBSTITUTE(INDEX('Etsy Import'!$A:$CZ,1400,Settings!$C$25)&amp;"","$",""),",","")),0)/IF(Settings!$B$27="Yes",G1400,1))</f>
        <v/>
      </c>
      <c r="I1400" s="11">
        <f>IF(A1400="","",IFERROR(VALUE(SUBSTITUTE(SUBSTITUTE(INDEX('Etsy Import'!$A:$CZ,1400,Settings!$C$26)&amp;"","$",""),",","")),0)/IF(Settings!$B$27="Yes",G1400,1))</f>
        <v/>
      </c>
      <c r="J1400" s="11">
        <f>IF(A1400="","",F1400+H1400-I1400)</f>
        <v/>
      </c>
      <c r="K1400">
        <f>IF(A1400="","",IFERROR(IF(B1400="",NA(),MATCH(B1400,Products!$B$5:$B$204,0)),IFERROR(MATCH(A1400,Products!$A$5:$A$204,0),"")))</f>
        <v/>
      </c>
      <c r="L1400">
        <f>IF(A1400="","",IF(K1400="","⚠ not in Products",INDEX(Products!$A$5:$A$204,K1400)))</f>
        <v/>
      </c>
      <c r="M1400" s="11">
        <f>IF(A1400="","",J1400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1400+IFERROR(INDEX(Settings!$D$5:$D$9,MATCH("Etsy",Settings!$A$5:$A$9,0)),0)*D1400)</f>
        <v/>
      </c>
      <c r="N1400" s="11">
        <f>IF(A1400="","",IF(K1400="",0,D1400*INDEX(Products!$I$5:$I$204,K1400)))</f>
        <v/>
      </c>
      <c r="O1400" s="11">
        <f>IF(A1400="","",IF(K1400="",0,J1400*INDEX(Products!$H$5:$H$204,K1400)))</f>
        <v/>
      </c>
      <c r="P1400" s="11">
        <f>IF(A1400="","",J1400-M1400-N1400-O1400)</f>
        <v/>
      </c>
    </row>
    <row r="1401">
      <c r="A1401">
        <f>IFERROR(INDEX('Etsy Import'!$A:$CZ,1401,Settings!$C$20)&amp;"","")</f>
        <v/>
      </c>
      <c r="B1401">
        <f>IFERROR(INDEX('Etsy Import'!$A:$CZ,1401,Settings!$C$21)&amp;"","")</f>
        <v/>
      </c>
      <c r="C1401">
        <f>IFERROR(INDEX('Etsy Import'!$A:$CZ,1401,Settings!$C$22)&amp;"","")</f>
        <v/>
      </c>
      <c r="D1401">
        <f>IF(A1401="","",IFERROR(VALUE(SUBSTITUTE(SUBSTITUTE(INDEX('Etsy Import'!$A:$CZ,1401,Settings!$C$23)&amp;"","$",""),",","")),0))</f>
        <v/>
      </c>
      <c r="E1401" s="11">
        <f>IF(A1401="","",IFERROR(VALUE(SUBSTITUTE(SUBSTITUTE(INDEX('Etsy Import'!$A:$CZ,1401,Settings!$C$24)&amp;"","$",""),",","")),0))</f>
        <v/>
      </c>
      <c r="F1401" s="11">
        <f>IF(A1401="","",D1401*E1401)</f>
        <v/>
      </c>
      <c r="G1401">
        <f>IF(A1401="","",IF(C1401="",1,COUNTIF($C$2:$C$1501,C1401)))</f>
        <v/>
      </c>
      <c r="H1401" s="11">
        <f>IF(A1401="","",IFERROR(VALUE(SUBSTITUTE(SUBSTITUTE(INDEX('Etsy Import'!$A:$CZ,1401,Settings!$C$25)&amp;"","$",""),",","")),0)/IF(Settings!$B$27="Yes",G1401,1))</f>
        <v/>
      </c>
      <c r="I1401" s="11">
        <f>IF(A1401="","",IFERROR(VALUE(SUBSTITUTE(SUBSTITUTE(INDEX('Etsy Import'!$A:$CZ,1401,Settings!$C$26)&amp;"","$",""),",","")),0)/IF(Settings!$B$27="Yes",G1401,1))</f>
        <v/>
      </c>
      <c r="J1401" s="11">
        <f>IF(A1401="","",F1401+H1401-I1401)</f>
        <v/>
      </c>
      <c r="K1401">
        <f>IF(A1401="","",IFERROR(IF(B1401="",NA(),MATCH(B1401,Products!$B$5:$B$204,0)),IFERROR(MATCH(A1401,Products!$A$5:$A$204,0),"")))</f>
        <v/>
      </c>
      <c r="L1401">
        <f>IF(A1401="","",IF(K1401="","⚠ not in Products",INDEX(Products!$A$5:$A$204,K1401)))</f>
        <v/>
      </c>
      <c r="M1401" s="11">
        <f>IF(A1401="","",J1401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1401+IFERROR(INDEX(Settings!$D$5:$D$9,MATCH("Etsy",Settings!$A$5:$A$9,0)),0)*D1401)</f>
        <v/>
      </c>
      <c r="N1401" s="11">
        <f>IF(A1401="","",IF(K1401="",0,D1401*INDEX(Products!$I$5:$I$204,K1401)))</f>
        <v/>
      </c>
      <c r="O1401" s="11">
        <f>IF(A1401="","",IF(K1401="",0,J1401*INDEX(Products!$H$5:$H$204,K1401)))</f>
        <v/>
      </c>
      <c r="P1401" s="11">
        <f>IF(A1401="","",J1401-M1401-N1401-O1401)</f>
        <v/>
      </c>
    </row>
    <row r="1402">
      <c r="A1402">
        <f>IFERROR(INDEX('Etsy Import'!$A:$CZ,1402,Settings!$C$20)&amp;"","")</f>
        <v/>
      </c>
      <c r="B1402">
        <f>IFERROR(INDEX('Etsy Import'!$A:$CZ,1402,Settings!$C$21)&amp;"","")</f>
        <v/>
      </c>
      <c r="C1402">
        <f>IFERROR(INDEX('Etsy Import'!$A:$CZ,1402,Settings!$C$22)&amp;"","")</f>
        <v/>
      </c>
      <c r="D1402">
        <f>IF(A1402="","",IFERROR(VALUE(SUBSTITUTE(SUBSTITUTE(INDEX('Etsy Import'!$A:$CZ,1402,Settings!$C$23)&amp;"","$",""),",","")),0))</f>
        <v/>
      </c>
      <c r="E1402" s="11">
        <f>IF(A1402="","",IFERROR(VALUE(SUBSTITUTE(SUBSTITUTE(INDEX('Etsy Import'!$A:$CZ,1402,Settings!$C$24)&amp;"","$",""),",","")),0))</f>
        <v/>
      </c>
      <c r="F1402" s="11">
        <f>IF(A1402="","",D1402*E1402)</f>
        <v/>
      </c>
      <c r="G1402">
        <f>IF(A1402="","",IF(C1402="",1,COUNTIF($C$2:$C$1501,C1402)))</f>
        <v/>
      </c>
      <c r="H1402" s="11">
        <f>IF(A1402="","",IFERROR(VALUE(SUBSTITUTE(SUBSTITUTE(INDEX('Etsy Import'!$A:$CZ,1402,Settings!$C$25)&amp;"","$",""),",","")),0)/IF(Settings!$B$27="Yes",G1402,1))</f>
        <v/>
      </c>
      <c r="I1402" s="11">
        <f>IF(A1402="","",IFERROR(VALUE(SUBSTITUTE(SUBSTITUTE(INDEX('Etsy Import'!$A:$CZ,1402,Settings!$C$26)&amp;"","$",""),",","")),0)/IF(Settings!$B$27="Yes",G1402,1))</f>
        <v/>
      </c>
      <c r="J1402" s="11">
        <f>IF(A1402="","",F1402+H1402-I1402)</f>
        <v/>
      </c>
      <c r="K1402">
        <f>IF(A1402="","",IFERROR(IF(B1402="",NA(),MATCH(B1402,Products!$B$5:$B$204,0)),IFERROR(MATCH(A1402,Products!$A$5:$A$204,0),"")))</f>
        <v/>
      </c>
      <c r="L1402">
        <f>IF(A1402="","",IF(K1402="","⚠ not in Products",INDEX(Products!$A$5:$A$204,K1402)))</f>
        <v/>
      </c>
      <c r="M1402" s="11">
        <f>IF(A1402="","",J1402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1402+IFERROR(INDEX(Settings!$D$5:$D$9,MATCH("Etsy",Settings!$A$5:$A$9,0)),0)*D1402)</f>
        <v/>
      </c>
      <c r="N1402" s="11">
        <f>IF(A1402="","",IF(K1402="",0,D1402*INDEX(Products!$I$5:$I$204,K1402)))</f>
        <v/>
      </c>
      <c r="O1402" s="11">
        <f>IF(A1402="","",IF(K1402="",0,J1402*INDEX(Products!$H$5:$H$204,K1402)))</f>
        <v/>
      </c>
      <c r="P1402" s="11">
        <f>IF(A1402="","",J1402-M1402-N1402-O1402)</f>
        <v/>
      </c>
    </row>
    <row r="1403">
      <c r="A1403">
        <f>IFERROR(INDEX('Etsy Import'!$A:$CZ,1403,Settings!$C$20)&amp;"","")</f>
        <v/>
      </c>
      <c r="B1403">
        <f>IFERROR(INDEX('Etsy Import'!$A:$CZ,1403,Settings!$C$21)&amp;"","")</f>
        <v/>
      </c>
      <c r="C1403">
        <f>IFERROR(INDEX('Etsy Import'!$A:$CZ,1403,Settings!$C$22)&amp;"","")</f>
        <v/>
      </c>
      <c r="D1403">
        <f>IF(A1403="","",IFERROR(VALUE(SUBSTITUTE(SUBSTITUTE(INDEX('Etsy Import'!$A:$CZ,1403,Settings!$C$23)&amp;"","$",""),",","")),0))</f>
        <v/>
      </c>
      <c r="E1403" s="11">
        <f>IF(A1403="","",IFERROR(VALUE(SUBSTITUTE(SUBSTITUTE(INDEX('Etsy Import'!$A:$CZ,1403,Settings!$C$24)&amp;"","$",""),",","")),0))</f>
        <v/>
      </c>
      <c r="F1403" s="11">
        <f>IF(A1403="","",D1403*E1403)</f>
        <v/>
      </c>
      <c r="G1403">
        <f>IF(A1403="","",IF(C1403="",1,COUNTIF($C$2:$C$1501,C1403)))</f>
        <v/>
      </c>
      <c r="H1403" s="11">
        <f>IF(A1403="","",IFERROR(VALUE(SUBSTITUTE(SUBSTITUTE(INDEX('Etsy Import'!$A:$CZ,1403,Settings!$C$25)&amp;"","$",""),",","")),0)/IF(Settings!$B$27="Yes",G1403,1))</f>
        <v/>
      </c>
      <c r="I1403" s="11">
        <f>IF(A1403="","",IFERROR(VALUE(SUBSTITUTE(SUBSTITUTE(INDEX('Etsy Import'!$A:$CZ,1403,Settings!$C$26)&amp;"","$",""),",","")),0)/IF(Settings!$B$27="Yes",G1403,1))</f>
        <v/>
      </c>
      <c r="J1403" s="11">
        <f>IF(A1403="","",F1403+H1403-I1403)</f>
        <v/>
      </c>
      <c r="K1403">
        <f>IF(A1403="","",IFERROR(IF(B1403="",NA(),MATCH(B1403,Products!$B$5:$B$204,0)),IFERROR(MATCH(A1403,Products!$A$5:$A$204,0),"")))</f>
        <v/>
      </c>
      <c r="L1403">
        <f>IF(A1403="","",IF(K1403="","⚠ not in Products",INDEX(Products!$A$5:$A$204,K1403)))</f>
        <v/>
      </c>
      <c r="M1403" s="11">
        <f>IF(A1403="","",J1403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1403+IFERROR(INDEX(Settings!$D$5:$D$9,MATCH("Etsy",Settings!$A$5:$A$9,0)),0)*D1403)</f>
        <v/>
      </c>
      <c r="N1403" s="11">
        <f>IF(A1403="","",IF(K1403="",0,D1403*INDEX(Products!$I$5:$I$204,K1403)))</f>
        <v/>
      </c>
      <c r="O1403" s="11">
        <f>IF(A1403="","",IF(K1403="",0,J1403*INDEX(Products!$H$5:$H$204,K1403)))</f>
        <v/>
      </c>
      <c r="P1403" s="11">
        <f>IF(A1403="","",J1403-M1403-N1403-O1403)</f>
        <v/>
      </c>
    </row>
    <row r="1404">
      <c r="A1404">
        <f>IFERROR(INDEX('Etsy Import'!$A:$CZ,1404,Settings!$C$20)&amp;"","")</f>
        <v/>
      </c>
      <c r="B1404">
        <f>IFERROR(INDEX('Etsy Import'!$A:$CZ,1404,Settings!$C$21)&amp;"","")</f>
        <v/>
      </c>
      <c r="C1404">
        <f>IFERROR(INDEX('Etsy Import'!$A:$CZ,1404,Settings!$C$22)&amp;"","")</f>
        <v/>
      </c>
      <c r="D1404">
        <f>IF(A1404="","",IFERROR(VALUE(SUBSTITUTE(SUBSTITUTE(INDEX('Etsy Import'!$A:$CZ,1404,Settings!$C$23)&amp;"","$",""),",","")),0))</f>
        <v/>
      </c>
      <c r="E1404" s="11">
        <f>IF(A1404="","",IFERROR(VALUE(SUBSTITUTE(SUBSTITUTE(INDEX('Etsy Import'!$A:$CZ,1404,Settings!$C$24)&amp;"","$",""),",","")),0))</f>
        <v/>
      </c>
      <c r="F1404" s="11">
        <f>IF(A1404="","",D1404*E1404)</f>
        <v/>
      </c>
      <c r="G1404">
        <f>IF(A1404="","",IF(C1404="",1,COUNTIF($C$2:$C$1501,C1404)))</f>
        <v/>
      </c>
      <c r="H1404" s="11">
        <f>IF(A1404="","",IFERROR(VALUE(SUBSTITUTE(SUBSTITUTE(INDEX('Etsy Import'!$A:$CZ,1404,Settings!$C$25)&amp;"","$",""),",","")),0)/IF(Settings!$B$27="Yes",G1404,1))</f>
        <v/>
      </c>
      <c r="I1404" s="11">
        <f>IF(A1404="","",IFERROR(VALUE(SUBSTITUTE(SUBSTITUTE(INDEX('Etsy Import'!$A:$CZ,1404,Settings!$C$26)&amp;"","$",""),",","")),0)/IF(Settings!$B$27="Yes",G1404,1))</f>
        <v/>
      </c>
      <c r="J1404" s="11">
        <f>IF(A1404="","",F1404+H1404-I1404)</f>
        <v/>
      </c>
      <c r="K1404">
        <f>IF(A1404="","",IFERROR(IF(B1404="",NA(),MATCH(B1404,Products!$B$5:$B$204,0)),IFERROR(MATCH(A1404,Products!$A$5:$A$204,0),"")))</f>
        <v/>
      </c>
      <c r="L1404">
        <f>IF(A1404="","",IF(K1404="","⚠ not in Products",INDEX(Products!$A$5:$A$204,K1404)))</f>
        <v/>
      </c>
      <c r="M1404" s="11">
        <f>IF(A1404="","",J1404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1404+IFERROR(INDEX(Settings!$D$5:$D$9,MATCH("Etsy",Settings!$A$5:$A$9,0)),0)*D1404)</f>
        <v/>
      </c>
      <c r="N1404" s="11">
        <f>IF(A1404="","",IF(K1404="",0,D1404*INDEX(Products!$I$5:$I$204,K1404)))</f>
        <v/>
      </c>
      <c r="O1404" s="11">
        <f>IF(A1404="","",IF(K1404="",0,J1404*INDEX(Products!$H$5:$H$204,K1404)))</f>
        <v/>
      </c>
      <c r="P1404" s="11">
        <f>IF(A1404="","",J1404-M1404-N1404-O1404)</f>
        <v/>
      </c>
    </row>
    <row r="1405">
      <c r="A1405">
        <f>IFERROR(INDEX('Etsy Import'!$A:$CZ,1405,Settings!$C$20)&amp;"","")</f>
        <v/>
      </c>
      <c r="B1405">
        <f>IFERROR(INDEX('Etsy Import'!$A:$CZ,1405,Settings!$C$21)&amp;"","")</f>
        <v/>
      </c>
      <c r="C1405">
        <f>IFERROR(INDEX('Etsy Import'!$A:$CZ,1405,Settings!$C$22)&amp;"","")</f>
        <v/>
      </c>
      <c r="D1405">
        <f>IF(A1405="","",IFERROR(VALUE(SUBSTITUTE(SUBSTITUTE(INDEX('Etsy Import'!$A:$CZ,1405,Settings!$C$23)&amp;"","$",""),",","")),0))</f>
        <v/>
      </c>
      <c r="E1405" s="11">
        <f>IF(A1405="","",IFERROR(VALUE(SUBSTITUTE(SUBSTITUTE(INDEX('Etsy Import'!$A:$CZ,1405,Settings!$C$24)&amp;"","$",""),",","")),0))</f>
        <v/>
      </c>
      <c r="F1405" s="11">
        <f>IF(A1405="","",D1405*E1405)</f>
        <v/>
      </c>
      <c r="G1405">
        <f>IF(A1405="","",IF(C1405="",1,COUNTIF($C$2:$C$1501,C1405)))</f>
        <v/>
      </c>
      <c r="H1405" s="11">
        <f>IF(A1405="","",IFERROR(VALUE(SUBSTITUTE(SUBSTITUTE(INDEX('Etsy Import'!$A:$CZ,1405,Settings!$C$25)&amp;"","$",""),",","")),0)/IF(Settings!$B$27="Yes",G1405,1))</f>
        <v/>
      </c>
      <c r="I1405" s="11">
        <f>IF(A1405="","",IFERROR(VALUE(SUBSTITUTE(SUBSTITUTE(INDEX('Etsy Import'!$A:$CZ,1405,Settings!$C$26)&amp;"","$",""),",","")),0)/IF(Settings!$B$27="Yes",G1405,1))</f>
        <v/>
      </c>
      <c r="J1405" s="11">
        <f>IF(A1405="","",F1405+H1405-I1405)</f>
        <v/>
      </c>
      <c r="K1405">
        <f>IF(A1405="","",IFERROR(IF(B1405="",NA(),MATCH(B1405,Products!$B$5:$B$204,0)),IFERROR(MATCH(A1405,Products!$A$5:$A$204,0),"")))</f>
        <v/>
      </c>
      <c r="L1405">
        <f>IF(A1405="","",IF(K1405="","⚠ not in Products",INDEX(Products!$A$5:$A$204,K1405)))</f>
        <v/>
      </c>
      <c r="M1405" s="11">
        <f>IF(A1405="","",J1405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1405+IFERROR(INDEX(Settings!$D$5:$D$9,MATCH("Etsy",Settings!$A$5:$A$9,0)),0)*D1405)</f>
        <v/>
      </c>
      <c r="N1405" s="11">
        <f>IF(A1405="","",IF(K1405="",0,D1405*INDEX(Products!$I$5:$I$204,K1405)))</f>
        <v/>
      </c>
      <c r="O1405" s="11">
        <f>IF(A1405="","",IF(K1405="",0,J1405*INDEX(Products!$H$5:$H$204,K1405)))</f>
        <v/>
      </c>
      <c r="P1405" s="11">
        <f>IF(A1405="","",J1405-M1405-N1405-O1405)</f>
        <v/>
      </c>
    </row>
    <row r="1406">
      <c r="A1406">
        <f>IFERROR(INDEX('Etsy Import'!$A:$CZ,1406,Settings!$C$20)&amp;"","")</f>
        <v/>
      </c>
      <c r="B1406">
        <f>IFERROR(INDEX('Etsy Import'!$A:$CZ,1406,Settings!$C$21)&amp;"","")</f>
        <v/>
      </c>
      <c r="C1406">
        <f>IFERROR(INDEX('Etsy Import'!$A:$CZ,1406,Settings!$C$22)&amp;"","")</f>
        <v/>
      </c>
      <c r="D1406">
        <f>IF(A1406="","",IFERROR(VALUE(SUBSTITUTE(SUBSTITUTE(INDEX('Etsy Import'!$A:$CZ,1406,Settings!$C$23)&amp;"","$",""),",","")),0))</f>
        <v/>
      </c>
      <c r="E1406" s="11">
        <f>IF(A1406="","",IFERROR(VALUE(SUBSTITUTE(SUBSTITUTE(INDEX('Etsy Import'!$A:$CZ,1406,Settings!$C$24)&amp;"","$",""),",","")),0))</f>
        <v/>
      </c>
      <c r="F1406" s="11">
        <f>IF(A1406="","",D1406*E1406)</f>
        <v/>
      </c>
      <c r="G1406">
        <f>IF(A1406="","",IF(C1406="",1,COUNTIF($C$2:$C$1501,C1406)))</f>
        <v/>
      </c>
      <c r="H1406" s="11">
        <f>IF(A1406="","",IFERROR(VALUE(SUBSTITUTE(SUBSTITUTE(INDEX('Etsy Import'!$A:$CZ,1406,Settings!$C$25)&amp;"","$",""),",","")),0)/IF(Settings!$B$27="Yes",G1406,1))</f>
        <v/>
      </c>
      <c r="I1406" s="11">
        <f>IF(A1406="","",IFERROR(VALUE(SUBSTITUTE(SUBSTITUTE(INDEX('Etsy Import'!$A:$CZ,1406,Settings!$C$26)&amp;"","$",""),",","")),0)/IF(Settings!$B$27="Yes",G1406,1))</f>
        <v/>
      </c>
      <c r="J1406" s="11">
        <f>IF(A1406="","",F1406+H1406-I1406)</f>
        <v/>
      </c>
      <c r="K1406">
        <f>IF(A1406="","",IFERROR(IF(B1406="",NA(),MATCH(B1406,Products!$B$5:$B$204,0)),IFERROR(MATCH(A1406,Products!$A$5:$A$204,0),"")))</f>
        <v/>
      </c>
      <c r="L1406">
        <f>IF(A1406="","",IF(K1406="","⚠ not in Products",INDEX(Products!$A$5:$A$204,K1406)))</f>
        <v/>
      </c>
      <c r="M1406" s="11">
        <f>IF(A1406="","",J1406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1406+IFERROR(INDEX(Settings!$D$5:$D$9,MATCH("Etsy",Settings!$A$5:$A$9,0)),0)*D1406)</f>
        <v/>
      </c>
      <c r="N1406" s="11">
        <f>IF(A1406="","",IF(K1406="",0,D1406*INDEX(Products!$I$5:$I$204,K1406)))</f>
        <v/>
      </c>
      <c r="O1406" s="11">
        <f>IF(A1406="","",IF(K1406="",0,J1406*INDEX(Products!$H$5:$H$204,K1406)))</f>
        <v/>
      </c>
      <c r="P1406" s="11">
        <f>IF(A1406="","",J1406-M1406-N1406-O1406)</f>
        <v/>
      </c>
    </row>
    <row r="1407">
      <c r="A1407">
        <f>IFERROR(INDEX('Etsy Import'!$A:$CZ,1407,Settings!$C$20)&amp;"","")</f>
        <v/>
      </c>
      <c r="B1407">
        <f>IFERROR(INDEX('Etsy Import'!$A:$CZ,1407,Settings!$C$21)&amp;"","")</f>
        <v/>
      </c>
      <c r="C1407">
        <f>IFERROR(INDEX('Etsy Import'!$A:$CZ,1407,Settings!$C$22)&amp;"","")</f>
        <v/>
      </c>
      <c r="D1407">
        <f>IF(A1407="","",IFERROR(VALUE(SUBSTITUTE(SUBSTITUTE(INDEX('Etsy Import'!$A:$CZ,1407,Settings!$C$23)&amp;"","$",""),",","")),0))</f>
        <v/>
      </c>
      <c r="E1407" s="11">
        <f>IF(A1407="","",IFERROR(VALUE(SUBSTITUTE(SUBSTITUTE(INDEX('Etsy Import'!$A:$CZ,1407,Settings!$C$24)&amp;"","$",""),",","")),0))</f>
        <v/>
      </c>
      <c r="F1407" s="11">
        <f>IF(A1407="","",D1407*E1407)</f>
        <v/>
      </c>
      <c r="G1407">
        <f>IF(A1407="","",IF(C1407="",1,COUNTIF($C$2:$C$1501,C1407)))</f>
        <v/>
      </c>
      <c r="H1407" s="11">
        <f>IF(A1407="","",IFERROR(VALUE(SUBSTITUTE(SUBSTITUTE(INDEX('Etsy Import'!$A:$CZ,1407,Settings!$C$25)&amp;"","$",""),",","")),0)/IF(Settings!$B$27="Yes",G1407,1))</f>
        <v/>
      </c>
      <c r="I1407" s="11">
        <f>IF(A1407="","",IFERROR(VALUE(SUBSTITUTE(SUBSTITUTE(INDEX('Etsy Import'!$A:$CZ,1407,Settings!$C$26)&amp;"","$",""),",","")),0)/IF(Settings!$B$27="Yes",G1407,1))</f>
        <v/>
      </c>
      <c r="J1407" s="11">
        <f>IF(A1407="","",F1407+H1407-I1407)</f>
        <v/>
      </c>
      <c r="K1407">
        <f>IF(A1407="","",IFERROR(IF(B1407="",NA(),MATCH(B1407,Products!$B$5:$B$204,0)),IFERROR(MATCH(A1407,Products!$A$5:$A$204,0),"")))</f>
        <v/>
      </c>
      <c r="L1407">
        <f>IF(A1407="","",IF(K1407="","⚠ not in Products",INDEX(Products!$A$5:$A$204,K1407)))</f>
        <v/>
      </c>
      <c r="M1407" s="11">
        <f>IF(A1407="","",J1407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1407+IFERROR(INDEX(Settings!$D$5:$D$9,MATCH("Etsy",Settings!$A$5:$A$9,0)),0)*D1407)</f>
        <v/>
      </c>
      <c r="N1407" s="11">
        <f>IF(A1407="","",IF(K1407="",0,D1407*INDEX(Products!$I$5:$I$204,K1407)))</f>
        <v/>
      </c>
      <c r="O1407" s="11">
        <f>IF(A1407="","",IF(K1407="",0,J1407*INDEX(Products!$H$5:$H$204,K1407)))</f>
        <v/>
      </c>
      <c r="P1407" s="11">
        <f>IF(A1407="","",J1407-M1407-N1407-O1407)</f>
        <v/>
      </c>
    </row>
    <row r="1408">
      <c r="A1408">
        <f>IFERROR(INDEX('Etsy Import'!$A:$CZ,1408,Settings!$C$20)&amp;"","")</f>
        <v/>
      </c>
      <c r="B1408">
        <f>IFERROR(INDEX('Etsy Import'!$A:$CZ,1408,Settings!$C$21)&amp;"","")</f>
        <v/>
      </c>
      <c r="C1408">
        <f>IFERROR(INDEX('Etsy Import'!$A:$CZ,1408,Settings!$C$22)&amp;"","")</f>
        <v/>
      </c>
      <c r="D1408">
        <f>IF(A1408="","",IFERROR(VALUE(SUBSTITUTE(SUBSTITUTE(INDEX('Etsy Import'!$A:$CZ,1408,Settings!$C$23)&amp;"","$",""),",","")),0))</f>
        <v/>
      </c>
      <c r="E1408" s="11">
        <f>IF(A1408="","",IFERROR(VALUE(SUBSTITUTE(SUBSTITUTE(INDEX('Etsy Import'!$A:$CZ,1408,Settings!$C$24)&amp;"","$",""),",","")),0))</f>
        <v/>
      </c>
      <c r="F1408" s="11">
        <f>IF(A1408="","",D1408*E1408)</f>
        <v/>
      </c>
      <c r="G1408">
        <f>IF(A1408="","",IF(C1408="",1,COUNTIF($C$2:$C$1501,C1408)))</f>
        <v/>
      </c>
      <c r="H1408" s="11">
        <f>IF(A1408="","",IFERROR(VALUE(SUBSTITUTE(SUBSTITUTE(INDEX('Etsy Import'!$A:$CZ,1408,Settings!$C$25)&amp;"","$",""),",","")),0)/IF(Settings!$B$27="Yes",G1408,1))</f>
        <v/>
      </c>
      <c r="I1408" s="11">
        <f>IF(A1408="","",IFERROR(VALUE(SUBSTITUTE(SUBSTITUTE(INDEX('Etsy Import'!$A:$CZ,1408,Settings!$C$26)&amp;"","$",""),",","")),0)/IF(Settings!$B$27="Yes",G1408,1))</f>
        <v/>
      </c>
      <c r="J1408" s="11">
        <f>IF(A1408="","",F1408+H1408-I1408)</f>
        <v/>
      </c>
      <c r="K1408">
        <f>IF(A1408="","",IFERROR(IF(B1408="",NA(),MATCH(B1408,Products!$B$5:$B$204,0)),IFERROR(MATCH(A1408,Products!$A$5:$A$204,0),"")))</f>
        <v/>
      </c>
      <c r="L1408">
        <f>IF(A1408="","",IF(K1408="","⚠ not in Products",INDEX(Products!$A$5:$A$204,K1408)))</f>
        <v/>
      </c>
      <c r="M1408" s="11">
        <f>IF(A1408="","",J1408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1408+IFERROR(INDEX(Settings!$D$5:$D$9,MATCH("Etsy",Settings!$A$5:$A$9,0)),0)*D1408)</f>
        <v/>
      </c>
      <c r="N1408" s="11">
        <f>IF(A1408="","",IF(K1408="",0,D1408*INDEX(Products!$I$5:$I$204,K1408)))</f>
        <v/>
      </c>
      <c r="O1408" s="11">
        <f>IF(A1408="","",IF(K1408="",0,J1408*INDEX(Products!$H$5:$H$204,K1408)))</f>
        <v/>
      </c>
      <c r="P1408" s="11">
        <f>IF(A1408="","",J1408-M1408-N1408-O1408)</f>
        <v/>
      </c>
    </row>
    <row r="1409">
      <c r="A1409">
        <f>IFERROR(INDEX('Etsy Import'!$A:$CZ,1409,Settings!$C$20)&amp;"","")</f>
        <v/>
      </c>
      <c r="B1409">
        <f>IFERROR(INDEX('Etsy Import'!$A:$CZ,1409,Settings!$C$21)&amp;"","")</f>
        <v/>
      </c>
      <c r="C1409">
        <f>IFERROR(INDEX('Etsy Import'!$A:$CZ,1409,Settings!$C$22)&amp;"","")</f>
        <v/>
      </c>
      <c r="D1409">
        <f>IF(A1409="","",IFERROR(VALUE(SUBSTITUTE(SUBSTITUTE(INDEX('Etsy Import'!$A:$CZ,1409,Settings!$C$23)&amp;"","$",""),",","")),0))</f>
        <v/>
      </c>
      <c r="E1409" s="11">
        <f>IF(A1409="","",IFERROR(VALUE(SUBSTITUTE(SUBSTITUTE(INDEX('Etsy Import'!$A:$CZ,1409,Settings!$C$24)&amp;"","$",""),",","")),0))</f>
        <v/>
      </c>
      <c r="F1409" s="11">
        <f>IF(A1409="","",D1409*E1409)</f>
        <v/>
      </c>
      <c r="G1409">
        <f>IF(A1409="","",IF(C1409="",1,COUNTIF($C$2:$C$1501,C1409)))</f>
        <v/>
      </c>
      <c r="H1409" s="11">
        <f>IF(A1409="","",IFERROR(VALUE(SUBSTITUTE(SUBSTITUTE(INDEX('Etsy Import'!$A:$CZ,1409,Settings!$C$25)&amp;"","$",""),",","")),0)/IF(Settings!$B$27="Yes",G1409,1))</f>
        <v/>
      </c>
      <c r="I1409" s="11">
        <f>IF(A1409="","",IFERROR(VALUE(SUBSTITUTE(SUBSTITUTE(INDEX('Etsy Import'!$A:$CZ,1409,Settings!$C$26)&amp;"","$",""),",","")),0)/IF(Settings!$B$27="Yes",G1409,1))</f>
        <v/>
      </c>
      <c r="J1409" s="11">
        <f>IF(A1409="","",F1409+H1409-I1409)</f>
        <v/>
      </c>
      <c r="K1409">
        <f>IF(A1409="","",IFERROR(IF(B1409="",NA(),MATCH(B1409,Products!$B$5:$B$204,0)),IFERROR(MATCH(A1409,Products!$A$5:$A$204,0),"")))</f>
        <v/>
      </c>
      <c r="L1409">
        <f>IF(A1409="","",IF(K1409="","⚠ not in Products",INDEX(Products!$A$5:$A$204,K1409)))</f>
        <v/>
      </c>
      <c r="M1409" s="11">
        <f>IF(A1409="","",J1409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1409+IFERROR(INDEX(Settings!$D$5:$D$9,MATCH("Etsy",Settings!$A$5:$A$9,0)),0)*D1409)</f>
        <v/>
      </c>
      <c r="N1409" s="11">
        <f>IF(A1409="","",IF(K1409="",0,D1409*INDEX(Products!$I$5:$I$204,K1409)))</f>
        <v/>
      </c>
      <c r="O1409" s="11">
        <f>IF(A1409="","",IF(K1409="",0,J1409*INDEX(Products!$H$5:$H$204,K1409)))</f>
        <v/>
      </c>
      <c r="P1409" s="11">
        <f>IF(A1409="","",J1409-M1409-N1409-O1409)</f>
        <v/>
      </c>
    </row>
    <row r="1410">
      <c r="A1410">
        <f>IFERROR(INDEX('Etsy Import'!$A:$CZ,1410,Settings!$C$20)&amp;"","")</f>
        <v/>
      </c>
      <c r="B1410">
        <f>IFERROR(INDEX('Etsy Import'!$A:$CZ,1410,Settings!$C$21)&amp;"","")</f>
        <v/>
      </c>
      <c r="C1410">
        <f>IFERROR(INDEX('Etsy Import'!$A:$CZ,1410,Settings!$C$22)&amp;"","")</f>
        <v/>
      </c>
      <c r="D1410">
        <f>IF(A1410="","",IFERROR(VALUE(SUBSTITUTE(SUBSTITUTE(INDEX('Etsy Import'!$A:$CZ,1410,Settings!$C$23)&amp;"","$",""),",","")),0))</f>
        <v/>
      </c>
      <c r="E1410" s="11">
        <f>IF(A1410="","",IFERROR(VALUE(SUBSTITUTE(SUBSTITUTE(INDEX('Etsy Import'!$A:$CZ,1410,Settings!$C$24)&amp;"","$",""),",","")),0))</f>
        <v/>
      </c>
      <c r="F1410" s="11">
        <f>IF(A1410="","",D1410*E1410)</f>
        <v/>
      </c>
      <c r="G1410">
        <f>IF(A1410="","",IF(C1410="",1,COUNTIF($C$2:$C$1501,C1410)))</f>
        <v/>
      </c>
      <c r="H1410" s="11">
        <f>IF(A1410="","",IFERROR(VALUE(SUBSTITUTE(SUBSTITUTE(INDEX('Etsy Import'!$A:$CZ,1410,Settings!$C$25)&amp;"","$",""),",","")),0)/IF(Settings!$B$27="Yes",G1410,1))</f>
        <v/>
      </c>
      <c r="I1410" s="11">
        <f>IF(A1410="","",IFERROR(VALUE(SUBSTITUTE(SUBSTITUTE(INDEX('Etsy Import'!$A:$CZ,1410,Settings!$C$26)&amp;"","$",""),",","")),0)/IF(Settings!$B$27="Yes",G1410,1))</f>
        <v/>
      </c>
      <c r="J1410" s="11">
        <f>IF(A1410="","",F1410+H1410-I1410)</f>
        <v/>
      </c>
      <c r="K1410">
        <f>IF(A1410="","",IFERROR(IF(B1410="",NA(),MATCH(B1410,Products!$B$5:$B$204,0)),IFERROR(MATCH(A1410,Products!$A$5:$A$204,0),"")))</f>
        <v/>
      </c>
      <c r="L1410">
        <f>IF(A1410="","",IF(K1410="","⚠ not in Products",INDEX(Products!$A$5:$A$204,K1410)))</f>
        <v/>
      </c>
      <c r="M1410" s="11">
        <f>IF(A1410="","",J1410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1410+IFERROR(INDEX(Settings!$D$5:$D$9,MATCH("Etsy",Settings!$A$5:$A$9,0)),0)*D1410)</f>
        <v/>
      </c>
      <c r="N1410" s="11">
        <f>IF(A1410="","",IF(K1410="",0,D1410*INDEX(Products!$I$5:$I$204,K1410)))</f>
        <v/>
      </c>
      <c r="O1410" s="11">
        <f>IF(A1410="","",IF(K1410="",0,J1410*INDEX(Products!$H$5:$H$204,K1410)))</f>
        <v/>
      </c>
      <c r="P1410" s="11">
        <f>IF(A1410="","",J1410-M1410-N1410-O1410)</f>
        <v/>
      </c>
    </row>
    <row r="1411">
      <c r="A1411">
        <f>IFERROR(INDEX('Etsy Import'!$A:$CZ,1411,Settings!$C$20)&amp;"","")</f>
        <v/>
      </c>
      <c r="B1411">
        <f>IFERROR(INDEX('Etsy Import'!$A:$CZ,1411,Settings!$C$21)&amp;"","")</f>
        <v/>
      </c>
      <c r="C1411">
        <f>IFERROR(INDEX('Etsy Import'!$A:$CZ,1411,Settings!$C$22)&amp;"","")</f>
        <v/>
      </c>
      <c r="D1411">
        <f>IF(A1411="","",IFERROR(VALUE(SUBSTITUTE(SUBSTITUTE(INDEX('Etsy Import'!$A:$CZ,1411,Settings!$C$23)&amp;"","$",""),",","")),0))</f>
        <v/>
      </c>
      <c r="E1411" s="11">
        <f>IF(A1411="","",IFERROR(VALUE(SUBSTITUTE(SUBSTITUTE(INDEX('Etsy Import'!$A:$CZ,1411,Settings!$C$24)&amp;"","$",""),",","")),0))</f>
        <v/>
      </c>
      <c r="F1411" s="11">
        <f>IF(A1411="","",D1411*E1411)</f>
        <v/>
      </c>
      <c r="G1411">
        <f>IF(A1411="","",IF(C1411="",1,COUNTIF($C$2:$C$1501,C1411)))</f>
        <v/>
      </c>
      <c r="H1411" s="11">
        <f>IF(A1411="","",IFERROR(VALUE(SUBSTITUTE(SUBSTITUTE(INDEX('Etsy Import'!$A:$CZ,1411,Settings!$C$25)&amp;"","$",""),",","")),0)/IF(Settings!$B$27="Yes",G1411,1))</f>
        <v/>
      </c>
      <c r="I1411" s="11">
        <f>IF(A1411="","",IFERROR(VALUE(SUBSTITUTE(SUBSTITUTE(INDEX('Etsy Import'!$A:$CZ,1411,Settings!$C$26)&amp;"","$",""),",","")),0)/IF(Settings!$B$27="Yes",G1411,1))</f>
        <v/>
      </c>
      <c r="J1411" s="11">
        <f>IF(A1411="","",F1411+H1411-I1411)</f>
        <v/>
      </c>
      <c r="K1411">
        <f>IF(A1411="","",IFERROR(IF(B1411="",NA(),MATCH(B1411,Products!$B$5:$B$204,0)),IFERROR(MATCH(A1411,Products!$A$5:$A$204,0),"")))</f>
        <v/>
      </c>
      <c r="L1411">
        <f>IF(A1411="","",IF(K1411="","⚠ not in Products",INDEX(Products!$A$5:$A$204,K1411)))</f>
        <v/>
      </c>
      <c r="M1411" s="11">
        <f>IF(A1411="","",J1411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1411+IFERROR(INDEX(Settings!$D$5:$D$9,MATCH("Etsy",Settings!$A$5:$A$9,0)),0)*D1411)</f>
        <v/>
      </c>
      <c r="N1411" s="11">
        <f>IF(A1411="","",IF(K1411="",0,D1411*INDEX(Products!$I$5:$I$204,K1411)))</f>
        <v/>
      </c>
      <c r="O1411" s="11">
        <f>IF(A1411="","",IF(K1411="",0,J1411*INDEX(Products!$H$5:$H$204,K1411)))</f>
        <v/>
      </c>
      <c r="P1411" s="11">
        <f>IF(A1411="","",J1411-M1411-N1411-O1411)</f>
        <v/>
      </c>
    </row>
    <row r="1412">
      <c r="A1412">
        <f>IFERROR(INDEX('Etsy Import'!$A:$CZ,1412,Settings!$C$20)&amp;"","")</f>
        <v/>
      </c>
      <c r="B1412">
        <f>IFERROR(INDEX('Etsy Import'!$A:$CZ,1412,Settings!$C$21)&amp;"","")</f>
        <v/>
      </c>
      <c r="C1412">
        <f>IFERROR(INDEX('Etsy Import'!$A:$CZ,1412,Settings!$C$22)&amp;"","")</f>
        <v/>
      </c>
      <c r="D1412">
        <f>IF(A1412="","",IFERROR(VALUE(SUBSTITUTE(SUBSTITUTE(INDEX('Etsy Import'!$A:$CZ,1412,Settings!$C$23)&amp;"","$",""),",","")),0))</f>
        <v/>
      </c>
      <c r="E1412" s="11">
        <f>IF(A1412="","",IFERROR(VALUE(SUBSTITUTE(SUBSTITUTE(INDEX('Etsy Import'!$A:$CZ,1412,Settings!$C$24)&amp;"","$",""),",","")),0))</f>
        <v/>
      </c>
      <c r="F1412" s="11">
        <f>IF(A1412="","",D1412*E1412)</f>
        <v/>
      </c>
      <c r="G1412">
        <f>IF(A1412="","",IF(C1412="",1,COUNTIF($C$2:$C$1501,C1412)))</f>
        <v/>
      </c>
      <c r="H1412" s="11">
        <f>IF(A1412="","",IFERROR(VALUE(SUBSTITUTE(SUBSTITUTE(INDEX('Etsy Import'!$A:$CZ,1412,Settings!$C$25)&amp;"","$",""),",","")),0)/IF(Settings!$B$27="Yes",G1412,1))</f>
        <v/>
      </c>
      <c r="I1412" s="11">
        <f>IF(A1412="","",IFERROR(VALUE(SUBSTITUTE(SUBSTITUTE(INDEX('Etsy Import'!$A:$CZ,1412,Settings!$C$26)&amp;"","$",""),",","")),0)/IF(Settings!$B$27="Yes",G1412,1))</f>
        <v/>
      </c>
      <c r="J1412" s="11">
        <f>IF(A1412="","",F1412+H1412-I1412)</f>
        <v/>
      </c>
      <c r="K1412">
        <f>IF(A1412="","",IFERROR(IF(B1412="",NA(),MATCH(B1412,Products!$B$5:$B$204,0)),IFERROR(MATCH(A1412,Products!$A$5:$A$204,0),"")))</f>
        <v/>
      </c>
      <c r="L1412">
        <f>IF(A1412="","",IF(K1412="","⚠ not in Products",INDEX(Products!$A$5:$A$204,K1412)))</f>
        <v/>
      </c>
      <c r="M1412" s="11">
        <f>IF(A1412="","",J1412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1412+IFERROR(INDEX(Settings!$D$5:$D$9,MATCH("Etsy",Settings!$A$5:$A$9,0)),0)*D1412)</f>
        <v/>
      </c>
      <c r="N1412" s="11">
        <f>IF(A1412="","",IF(K1412="",0,D1412*INDEX(Products!$I$5:$I$204,K1412)))</f>
        <v/>
      </c>
      <c r="O1412" s="11">
        <f>IF(A1412="","",IF(K1412="",0,J1412*INDEX(Products!$H$5:$H$204,K1412)))</f>
        <v/>
      </c>
      <c r="P1412" s="11">
        <f>IF(A1412="","",J1412-M1412-N1412-O1412)</f>
        <v/>
      </c>
    </row>
    <row r="1413">
      <c r="A1413">
        <f>IFERROR(INDEX('Etsy Import'!$A:$CZ,1413,Settings!$C$20)&amp;"","")</f>
        <v/>
      </c>
      <c r="B1413">
        <f>IFERROR(INDEX('Etsy Import'!$A:$CZ,1413,Settings!$C$21)&amp;"","")</f>
        <v/>
      </c>
      <c r="C1413">
        <f>IFERROR(INDEX('Etsy Import'!$A:$CZ,1413,Settings!$C$22)&amp;"","")</f>
        <v/>
      </c>
      <c r="D1413">
        <f>IF(A1413="","",IFERROR(VALUE(SUBSTITUTE(SUBSTITUTE(INDEX('Etsy Import'!$A:$CZ,1413,Settings!$C$23)&amp;"","$",""),",","")),0))</f>
        <v/>
      </c>
      <c r="E1413" s="11">
        <f>IF(A1413="","",IFERROR(VALUE(SUBSTITUTE(SUBSTITUTE(INDEX('Etsy Import'!$A:$CZ,1413,Settings!$C$24)&amp;"","$",""),",","")),0))</f>
        <v/>
      </c>
      <c r="F1413" s="11">
        <f>IF(A1413="","",D1413*E1413)</f>
        <v/>
      </c>
      <c r="G1413">
        <f>IF(A1413="","",IF(C1413="",1,COUNTIF($C$2:$C$1501,C1413)))</f>
        <v/>
      </c>
      <c r="H1413" s="11">
        <f>IF(A1413="","",IFERROR(VALUE(SUBSTITUTE(SUBSTITUTE(INDEX('Etsy Import'!$A:$CZ,1413,Settings!$C$25)&amp;"","$",""),",","")),0)/IF(Settings!$B$27="Yes",G1413,1))</f>
        <v/>
      </c>
      <c r="I1413" s="11">
        <f>IF(A1413="","",IFERROR(VALUE(SUBSTITUTE(SUBSTITUTE(INDEX('Etsy Import'!$A:$CZ,1413,Settings!$C$26)&amp;"","$",""),",","")),0)/IF(Settings!$B$27="Yes",G1413,1))</f>
        <v/>
      </c>
      <c r="J1413" s="11">
        <f>IF(A1413="","",F1413+H1413-I1413)</f>
        <v/>
      </c>
      <c r="K1413">
        <f>IF(A1413="","",IFERROR(IF(B1413="",NA(),MATCH(B1413,Products!$B$5:$B$204,0)),IFERROR(MATCH(A1413,Products!$A$5:$A$204,0),"")))</f>
        <v/>
      </c>
      <c r="L1413">
        <f>IF(A1413="","",IF(K1413="","⚠ not in Products",INDEX(Products!$A$5:$A$204,K1413)))</f>
        <v/>
      </c>
      <c r="M1413" s="11">
        <f>IF(A1413="","",J1413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1413+IFERROR(INDEX(Settings!$D$5:$D$9,MATCH("Etsy",Settings!$A$5:$A$9,0)),0)*D1413)</f>
        <v/>
      </c>
      <c r="N1413" s="11">
        <f>IF(A1413="","",IF(K1413="",0,D1413*INDEX(Products!$I$5:$I$204,K1413)))</f>
        <v/>
      </c>
      <c r="O1413" s="11">
        <f>IF(A1413="","",IF(K1413="",0,J1413*INDEX(Products!$H$5:$H$204,K1413)))</f>
        <v/>
      </c>
      <c r="P1413" s="11">
        <f>IF(A1413="","",J1413-M1413-N1413-O1413)</f>
        <v/>
      </c>
    </row>
    <row r="1414">
      <c r="A1414">
        <f>IFERROR(INDEX('Etsy Import'!$A:$CZ,1414,Settings!$C$20)&amp;"","")</f>
        <v/>
      </c>
      <c r="B1414">
        <f>IFERROR(INDEX('Etsy Import'!$A:$CZ,1414,Settings!$C$21)&amp;"","")</f>
        <v/>
      </c>
      <c r="C1414">
        <f>IFERROR(INDEX('Etsy Import'!$A:$CZ,1414,Settings!$C$22)&amp;"","")</f>
        <v/>
      </c>
      <c r="D1414">
        <f>IF(A1414="","",IFERROR(VALUE(SUBSTITUTE(SUBSTITUTE(INDEX('Etsy Import'!$A:$CZ,1414,Settings!$C$23)&amp;"","$",""),",","")),0))</f>
        <v/>
      </c>
      <c r="E1414" s="11">
        <f>IF(A1414="","",IFERROR(VALUE(SUBSTITUTE(SUBSTITUTE(INDEX('Etsy Import'!$A:$CZ,1414,Settings!$C$24)&amp;"","$",""),",","")),0))</f>
        <v/>
      </c>
      <c r="F1414" s="11">
        <f>IF(A1414="","",D1414*E1414)</f>
        <v/>
      </c>
      <c r="G1414">
        <f>IF(A1414="","",IF(C1414="",1,COUNTIF($C$2:$C$1501,C1414)))</f>
        <v/>
      </c>
      <c r="H1414" s="11">
        <f>IF(A1414="","",IFERROR(VALUE(SUBSTITUTE(SUBSTITUTE(INDEX('Etsy Import'!$A:$CZ,1414,Settings!$C$25)&amp;"","$",""),",","")),0)/IF(Settings!$B$27="Yes",G1414,1))</f>
        <v/>
      </c>
      <c r="I1414" s="11">
        <f>IF(A1414="","",IFERROR(VALUE(SUBSTITUTE(SUBSTITUTE(INDEX('Etsy Import'!$A:$CZ,1414,Settings!$C$26)&amp;"","$",""),",","")),0)/IF(Settings!$B$27="Yes",G1414,1))</f>
        <v/>
      </c>
      <c r="J1414" s="11">
        <f>IF(A1414="","",F1414+H1414-I1414)</f>
        <v/>
      </c>
      <c r="K1414">
        <f>IF(A1414="","",IFERROR(IF(B1414="",NA(),MATCH(B1414,Products!$B$5:$B$204,0)),IFERROR(MATCH(A1414,Products!$A$5:$A$204,0),"")))</f>
        <v/>
      </c>
      <c r="L1414">
        <f>IF(A1414="","",IF(K1414="","⚠ not in Products",INDEX(Products!$A$5:$A$204,K1414)))</f>
        <v/>
      </c>
      <c r="M1414" s="11">
        <f>IF(A1414="","",J1414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1414+IFERROR(INDEX(Settings!$D$5:$D$9,MATCH("Etsy",Settings!$A$5:$A$9,0)),0)*D1414)</f>
        <v/>
      </c>
      <c r="N1414" s="11">
        <f>IF(A1414="","",IF(K1414="",0,D1414*INDEX(Products!$I$5:$I$204,K1414)))</f>
        <v/>
      </c>
      <c r="O1414" s="11">
        <f>IF(A1414="","",IF(K1414="",0,J1414*INDEX(Products!$H$5:$H$204,K1414)))</f>
        <v/>
      </c>
      <c r="P1414" s="11">
        <f>IF(A1414="","",J1414-M1414-N1414-O1414)</f>
        <v/>
      </c>
    </row>
    <row r="1415">
      <c r="A1415">
        <f>IFERROR(INDEX('Etsy Import'!$A:$CZ,1415,Settings!$C$20)&amp;"","")</f>
        <v/>
      </c>
      <c r="B1415">
        <f>IFERROR(INDEX('Etsy Import'!$A:$CZ,1415,Settings!$C$21)&amp;"","")</f>
        <v/>
      </c>
      <c r="C1415">
        <f>IFERROR(INDEX('Etsy Import'!$A:$CZ,1415,Settings!$C$22)&amp;"","")</f>
        <v/>
      </c>
      <c r="D1415">
        <f>IF(A1415="","",IFERROR(VALUE(SUBSTITUTE(SUBSTITUTE(INDEX('Etsy Import'!$A:$CZ,1415,Settings!$C$23)&amp;"","$",""),",","")),0))</f>
        <v/>
      </c>
      <c r="E1415" s="11">
        <f>IF(A1415="","",IFERROR(VALUE(SUBSTITUTE(SUBSTITUTE(INDEX('Etsy Import'!$A:$CZ,1415,Settings!$C$24)&amp;"","$",""),",","")),0))</f>
        <v/>
      </c>
      <c r="F1415" s="11">
        <f>IF(A1415="","",D1415*E1415)</f>
        <v/>
      </c>
      <c r="G1415">
        <f>IF(A1415="","",IF(C1415="",1,COUNTIF($C$2:$C$1501,C1415)))</f>
        <v/>
      </c>
      <c r="H1415" s="11">
        <f>IF(A1415="","",IFERROR(VALUE(SUBSTITUTE(SUBSTITUTE(INDEX('Etsy Import'!$A:$CZ,1415,Settings!$C$25)&amp;"","$",""),",","")),0)/IF(Settings!$B$27="Yes",G1415,1))</f>
        <v/>
      </c>
      <c r="I1415" s="11">
        <f>IF(A1415="","",IFERROR(VALUE(SUBSTITUTE(SUBSTITUTE(INDEX('Etsy Import'!$A:$CZ,1415,Settings!$C$26)&amp;"","$",""),",","")),0)/IF(Settings!$B$27="Yes",G1415,1))</f>
        <v/>
      </c>
      <c r="J1415" s="11">
        <f>IF(A1415="","",F1415+H1415-I1415)</f>
        <v/>
      </c>
      <c r="K1415">
        <f>IF(A1415="","",IFERROR(IF(B1415="",NA(),MATCH(B1415,Products!$B$5:$B$204,0)),IFERROR(MATCH(A1415,Products!$A$5:$A$204,0),"")))</f>
        <v/>
      </c>
      <c r="L1415">
        <f>IF(A1415="","",IF(K1415="","⚠ not in Products",INDEX(Products!$A$5:$A$204,K1415)))</f>
        <v/>
      </c>
      <c r="M1415" s="11">
        <f>IF(A1415="","",J1415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1415+IFERROR(INDEX(Settings!$D$5:$D$9,MATCH("Etsy",Settings!$A$5:$A$9,0)),0)*D1415)</f>
        <v/>
      </c>
      <c r="N1415" s="11">
        <f>IF(A1415="","",IF(K1415="",0,D1415*INDEX(Products!$I$5:$I$204,K1415)))</f>
        <v/>
      </c>
      <c r="O1415" s="11">
        <f>IF(A1415="","",IF(K1415="",0,J1415*INDEX(Products!$H$5:$H$204,K1415)))</f>
        <v/>
      </c>
      <c r="P1415" s="11">
        <f>IF(A1415="","",J1415-M1415-N1415-O1415)</f>
        <v/>
      </c>
    </row>
    <row r="1416">
      <c r="A1416">
        <f>IFERROR(INDEX('Etsy Import'!$A:$CZ,1416,Settings!$C$20)&amp;"","")</f>
        <v/>
      </c>
      <c r="B1416">
        <f>IFERROR(INDEX('Etsy Import'!$A:$CZ,1416,Settings!$C$21)&amp;"","")</f>
        <v/>
      </c>
      <c r="C1416">
        <f>IFERROR(INDEX('Etsy Import'!$A:$CZ,1416,Settings!$C$22)&amp;"","")</f>
        <v/>
      </c>
      <c r="D1416">
        <f>IF(A1416="","",IFERROR(VALUE(SUBSTITUTE(SUBSTITUTE(INDEX('Etsy Import'!$A:$CZ,1416,Settings!$C$23)&amp;"","$",""),",","")),0))</f>
        <v/>
      </c>
      <c r="E1416" s="11">
        <f>IF(A1416="","",IFERROR(VALUE(SUBSTITUTE(SUBSTITUTE(INDEX('Etsy Import'!$A:$CZ,1416,Settings!$C$24)&amp;"","$",""),",","")),0))</f>
        <v/>
      </c>
      <c r="F1416" s="11">
        <f>IF(A1416="","",D1416*E1416)</f>
        <v/>
      </c>
      <c r="G1416">
        <f>IF(A1416="","",IF(C1416="",1,COUNTIF($C$2:$C$1501,C1416)))</f>
        <v/>
      </c>
      <c r="H1416" s="11">
        <f>IF(A1416="","",IFERROR(VALUE(SUBSTITUTE(SUBSTITUTE(INDEX('Etsy Import'!$A:$CZ,1416,Settings!$C$25)&amp;"","$",""),",","")),0)/IF(Settings!$B$27="Yes",G1416,1))</f>
        <v/>
      </c>
      <c r="I1416" s="11">
        <f>IF(A1416="","",IFERROR(VALUE(SUBSTITUTE(SUBSTITUTE(INDEX('Etsy Import'!$A:$CZ,1416,Settings!$C$26)&amp;"","$",""),",","")),0)/IF(Settings!$B$27="Yes",G1416,1))</f>
        <v/>
      </c>
      <c r="J1416" s="11">
        <f>IF(A1416="","",F1416+H1416-I1416)</f>
        <v/>
      </c>
      <c r="K1416">
        <f>IF(A1416="","",IFERROR(IF(B1416="",NA(),MATCH(B1416,Products!$B$5:$B$204,0)),IFERROR(MATCH(A1416,Products!$A$5:$A$204,0),"")))</f>
        <v/>
      </c>
      <c r="L1416">
        <f>IF(A1416="","",IF(K1416="","⚠ not in Products",INDEX(Products!$A$5:$A$204,K1416)))</f>
        <v/>
      </c>
      <c r="M1416" s="11">
        <f>IF(A1416="","",J1416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1416+IFERROR(INDEX(Settings!$D$5:$D$9,MATCH("Etsy",Settings!$A$5:$A$9,0)),0)*D1416)</f>
        <v/>
      </c>
      <c r="N1416" s="11">
        <f>IF(A1416="","",IF(K1416="",0,D1416*INDEX(Products!$I$5:$I$204,K1416)))</f>
        <v/>
      </c>
      <c r="O1416" s="11">
        <f>IF(A1416="","",IF(K1416="",0,J1416*INDEX(Products!$H$5:$H$204,K1416)))</f>
        <v/>
      </c>
      <c r="P1416" s="11">
        <f>IF(A1416="","",J1416-M1416-N1416-O1416)</f>
        <v/>
      </c>
    </row>
    <row r="1417">
      <c r="A1417">
        <f>IFERROR(INDEX('Etsy Import'!$A:$CZ,1417,Settings!$C$20)&amp;"","")</f>
        <v/>
      </c>
      <c r="B1417">
        <f>IFERROR(INDEX('Etsy Import'!$A:$CZ,1417,Settings!$C$21)&amp;"","")</f>
        <v/>
      </c>
      <c r="C1417">
        <f>IFERROR(INDEX('Etsy Import'!$A:$CZ,1417,Settings!$C$22)&amp;"","")</f>
        <v/>
      </c>
      <c r="D1417">
        <f>IF(A1417="","",IFERROR(VALUE(SUBSTITUTE(SUBSTITUTE(INDEX('Etsy Import'!$A:$CZ,1417,Settings!$C$23)&amp;"","$",""),",","")),0))</f>
        <v/>
      </c>
      <c r="E1417" s="11">
        <f>IF(A1417="","",IFERROR(VALUE(SUBSTITUTE(SUBSTITUTE(INDEX('Etsy Import'!$A:$CZ,1417,Settings!$C$24)&amp;"","$",""),",","")),0))</f>
        <v/>
      </c>
      <c r="F1417" s="11">
        <f>IF(A1417="","",D1417*E1417)</f>
        <v/>
      </c>
      <c r="G1417">
        <f>IF(A1417="","",IF(C1417="",1,COUNTIF($C$2:$C$1501,C1417)))</f>
        <v/>
      </c>
      <c r="H1417" s="11">
        <f>IF(A1417="","",IFERROR(VALUE(SUBSTITUTE(SUBSTITUTE(INDEX('Etsy Import'!$A:$CZ,1417,Settings!$C$25)&amp;"","$",""),",","")),0)/IF(Settings!$B$27="Yes",G1417,1))</f>
        <v/>
      </c>
      <c r="I1417" s="11">
        <f>IF(A1417="","",IFERROR(VALUE(SUBSTITUTE(SUBSTITUTE(INDEX('Etsy Import'!$A:$CZ,1417,Settings!$C$26)&amp;"","$",""),",","")),0)/IF(Settings!$B$27="Yes",G1417,1))</f>
        <v/>
      </c>
      <c r="J1417" s="11">
        <f>IF(A1417="","",F1417+H1417-I1417)</f>
        <v/>
      </c>
      <c r="K1417">
        <f>IF(A1417="","",IFERROR(IF(B1417="",NA(),MATCH(B1417,Products!$B$5:$B$204,0)),IFERROR(MATCH(A1417,Products!$A$5:$A$204,0),"")))</f>
        <v/>
      </c>
      <c r="L1417">
        <f>IF(A1417="","",IF(K1417="","⚠ not in Products",INDEX(Products!$A$5:$A$204,K1417)))</f>
        <v/>
      </c>
      <c r="M1417" s="11">
        <f>IF(A1417="","",J1417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1417+IFERROR(INDEX(Settings!$D$5:$D$9,MATCH("Etsy",Settings!$A$5:$A$9,0)),0)*D1417)</f>
        <v/>
      </c>
      <c r="N1417" s="11">
        <f>IF(A1417="","",IF(K1417="",0,D1417*INDEX(Products!$I$5:$I$204,K1417)))</f>
        <v/>
      </c>
      <c r="O1417" s="11">
        <f>IF(A1417="","",IF(K1417="",0,J1417*INDEX(Products!$H$5:$H$204,K1417)))</f>
        <v/>
      </c>
      <c r="P1417" s="11">
        <f>IF(A1417="","",J1417-M1417-N1417-O1417)</f>
        <v/>
      </c>
    </row>
    <row r="1418">
      <c r="A1418">
        <f>IFERROR(INDEX('Etsy Import'!$A:$CZ,1418,Settings!$C$20)&amp;"","")</f>
        <v/>
      </c>
      <c r="B1418">
        <f>IFERROR(INDEX('Etsy Import'!$A:$CZ,1418,Settings!$C$21)&amp;"","")</f>
        <v/>
      </c>
      <c r="C1418">
        <f>IFERROR(INDEX('Etsy Import'!$A:$CZ,1418,Settings!$C$22)&amp;"","")</f>
        <v/>
      </c>
      <c r="D1418">
        <f>IF(A1418="","",IFERROR(VALUE(SUBSTITUTE(SUBSTITUTE(INDEX('Etsy Import'!$A:$CZ,1418,Settings!$C$23)&amp;"","$",""),",","")),0))</f>
        <v/>
      </c>
      <c r="E1418" s="11">
        <f>IF(A1418="","",IFERROR(VALUE(SUBSTITUTE(SUBSTITUTE(INDEX('Etsy Import'!$A:$CZ,1418,Settings!$C$24)&amp;"","$",""),",","")),0))</f>
        <v/>
      </c>
      <c r="F1418" s="11">
        <f>IF(A1418="","",D1418*E1418)</f>
        <v/>
      </c>
      <c r="G1418">
        <f>IF(A1418="","",IF(C1418="",1,COUNTIF($C$2:$C$1501,C1418)))</f>
        <v/>
      </c>
      <c r="H1418" s="11">
        <f>IF(A1418="","",IFERROR(VALUE(SUBSTITUTE(SUBSTITUTE(INDEX('Etsy Import'!$A:$CZ,1418,Settings!$C$25)&amp;"","$",""),",","")),0)/IF(Settings!$B$27="Yes",G1418,1))</f>
        <v/>
      </c>
      <c r="I1418" s="11">
        <f>IF(A1418="","",IFERROR(VALUE(SUBSTITUTE(SUBSTITUTE(INDEX('Etsy Import'!$A:$CZ,1418,Settings!$C$26)&amp;"","$",""),",","")),0)/IF(Settings!$B$27="Yes",G1418,1))</f>
        <v/>
      </c>
      <c r="J1418" s="11">
        <f>IF(A1418="","",F1418+H1418-I1418)</f>
        <v/>
      </c>
      <c r="K1418">
        <f>IF(A1418="","",IFERROR(IF(B1418="",NA(),MATCH(B1418,Products!$B$5:$B$204,0)),IFERROR(MATCH(A1418,Products!$A$5:$A$204,0),"")))</f>
        <v/>
      </c>
      <c r="L1418">
        <f>IF(A1418="","",IF(K1418="","⚠ not in Products",INDEX(Products!$A$5:$A$204,K1418)))</f>
        <v/>
      </c>
      <c r="M1418" s="11">
        <f>IF(A1418="","",J1418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1418+IFERROR(INDEX(Settings!$D$5:$D$9,MATCH("Etsy",Settings!$A$5:$A$9,0)),0)*D1418)</f>
        <v/>
      </c>
      <c r="N1418" s="11">
        <f>IF(A1418="","",IF(K1418="",0,D1418*INDEX(Products!$I$5:$I$204,K1418)))</f>
        <v/>
      </c>
      <c r="O1418" s="11">
        <f>IF(A1418="","",IF(K1418="",0,J1418*INDEX(Products!$H$5:$H$204,K1418)))</f>
        <v/>
      </c>
      <c r="P1418" s="11">
        <f>IF(A1418="","",J1418-M1418-N1418-O1418)</f>
        <v/>
      </c>
    </row>
    <row r="1419">
      <c r="A1419">
        <f>IFERROR(INDEX('Etsy Import'!$A:$CZ,1419,Settings!$C$20)&amp;"","")</f>
        <v/>
      </c>
      <c r="B1419">
        <f>IFERROR(INDEX('Etsy Import'!$A:$CZ,1419,Settings!$C$21)&amp;"","")</f>
        <v/>
      </c>
      <c r="C1419">
        <f>IFERROR(INDEX('Etsy Import'!$A:$CZ,1419,Settings!$C$22)&amp;"","")</f>
        <v/>
      </c>
      <c r="D1419">
        <f>IF(A1419="","",IFERROR(VALUE(SUBSTITUTE(SUBSTITUTE(INDEX('Etsy Import'!$A:$CZ,1419,Settings!$C$23)&amp;"","$",""),",","")),0))</f>
        <v/>
      </c>
      <c r="E1419" s="11">
        <f>IF(A1419="","",IFERROR(VALUE(SUBSTITUTE(SUBSTITUTE(INDEX('Etsy Import'!$A:$CZ,1419,Settings!$C$24)&amp;"","$",""),",","")),0))</f>
        <v/>
      </c>
      <c r="F1419" s="11">
        <f>IF(A1419="","",D1419*E1419)</f>
        <v/>
      </c>
      <c r="G1419">
        <f>IF(A1419="","",IF(C1419="",1,COUNTIF($C$2:$C$1501,C1419)))</f>
        <v/>
      </c>
      <c r="H1419" s="11">
        <f>IF(A1419="","",IFERROR(VALUE(SUBSTITUTE(SUBSTITUTE(INDEX('Etsy Import'!$A:$CZ,1419,Settings!$C$25)&amp;"","$",""),",","")),0)/IF(Settings!$B$27="Yes",G1419,1))</f>
        <v/>
      </c>
      <c r="I1419" s="11">
        <f>IF(A1419="","",IFERROR(VALUE(SUBSTITUTE(SUBSTITUTE(INDEX('Etsy Import'!$A:$CZ,1419,Settings!$C$26)&amp;"","$",""),",","")),0)/IF(Settings!$B$27="Yes",G1419,1))</f>
        <v/>
      </c>
      <c r="J1419" s="11">
        <f>IF(A1419="","",F1419+H1419-I1419)</f>
        <v/>
      </c>
      <c r="K1419">
        <f>IF(A1419="","",IFERROR(IF(B1419="",NA(),MATCH(B1419,Products!$B$5:$B$204,0)),IFERROR(MATCH(A1419,Products!$A$5:$A$204,0),"")))</f>
        <v/>
      </c>
      <c r="L1419">
        <f>IF(A1419="","",IF(K1419="","⚠ not in Products",INDEX(Products!$A$5:$A$204,K1419)))</f>
        <v/>
      </c>
      <c r="M1419" s="11">
        <f>IF(A1419="","",J1419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1419+IFERROR(INDEX(Settings!$D$5:$D$9,MATCH("Etsy",Settings!$A$5:$A$9,0)),0)*D1419)</f>
        <v/>
      </c>
      <c r="N1419" s="11">
        <f>IF(A1419="","",IF(K1419="",0,D1419*INDEX(Products!$I$5:$I$204,K1419)))</f>
        <v/>
      </c>
      <c r="O1419" s="11">
        <f>IF(A1419="","",IF(K1419="",0,J1419*INDEX(Products!$H$5:$H$204,K1419)))</f>
        <v/>
      </c>
      <c r="P1419" s="11">
        <f>IF(A1419="","",J1419-M1419-N1419-O1419)</f>
        <v/>
      </c>
    </row>
    <row r="1420">
      <c r="A1420">
        <f>IFERROR(INDEX('Etsy Import'!$A:$CZ,1420,Settings!$C$20)&amp;"","")</f>
        <v/>
      </c>
      <c r="B1420">
        <f>IFERROR(INDEX('Etsy Import'!$A:$CZ,1420,Settings!$C$21)&amp;"","")</f>
        <v/>
      </c>
      <c r="C1420">
        <f>IFERROR(INDEX('Etsy Import'!$A:$CZ,1420,Settings!$C$22)&amp;"","")</f>
        <v/>
      </c>
      <c r="D1420">
        <f>IF(A1420="","",IFERROR(VALUE(SUBSTITUTE(SUBSTITUTE(INDEX('Etsy Import'!$A:$CZ,1420,Settings!$C$23)&amp;"","$",""),",","")),0))</f>
        <v/>
      </c>
      <c r="E1420" s="11">
        <f>IF(A1420="","",IFERROR(VALUE(SUBSTITUTE(SUBSTITUTE(INDEX('Etsy Import'!$A:$CZ,1420,Settings!$C$24)&amp;"","$",""),",","")),0))</f>
        <v/>
      </c>
      <c r="F1420" s="11">
        <f>IF(A1420="","",D1420*E1420)</f>
        <v/>
      </c>
      <c r="G1420">
        <f>IF(A1420="","",IF(C1420="",1,COUNTIF($C$2:$C$1501,C1420)))</f>
        <v/>
      </c>
      <c r="H1420" s="11">
        <f>IF(A1420="","",IFERROR(VALUE(SUBSTITUTE(SUBSTITUTE(INDEX('Etsy Import'!$A:$CZ,1420,Settings!$C$25)&amp;"","$",""),",","")),0)/IF(Settings!$B$27="Yes",G1420,1))</f>
        <v/>
      </c>
      <c r="I1420" s="11">
        <f>IF(A1420="","",IFERROR(VALUE(SUBSTITUTE(SUBSTITUTE(INDEX('Etsy Import'!$A:$CZ,1420,Settings!$C$26)&amp;"","$",""),",","")),0)/IF(Settings!$B$27="Yes",G1420,1))</f>
        <v/>
      </c>
      <c r="J1420" s="11">
        <f>IF(A1420="","",F1420+H1420-I1420)</f>
        <v/>
      </c>
      <c r="K1420">
        <f>IF(A1420="","",IFERROR(IF(B1420="",NA(),MATCH(B1420,Products!$B$5:$B$204,0)),IFERROR(MATCH(A1420,Products!$A$5:$A$204,0),"")))</f>
        <v/>
      </c>
      <c r="L1420">
        <f>IF(A1420="","",IF(K1420="","⚠ not in Products",INDEX(Products!$A$5:$A$204,K1420)))</f>
        <v/>
      </c>
      <c r="M1420" s="11">
        <f>IF(A1420="","",J1420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1420+IFERROR(INDEX(Settings!$D$5:$D$9,MATCH("Etsy",Settings!$A$5:$A$9,0)),0)*D1420)</f>
        <v/>
      </c>
      <c r="N1420" s="11">
        <f>IF(A1420="","",IF(K1420="",0,D1420*INDEX(Products!$I$5:$I$204,K1420)))</f>
        <v/>
      </c>
      <c r="O1420" s="11">
        <f>IF(A1420="","",IF(K1420="",0,J1420*INDEX(Products!$H$5:$H$204,K1420)))</f>
        <v/>
      </c>
      <c r="P1420" s="11">
        <f>IF(A1420="","",J1420-M1420-N1420-O1420)</f>
        <v/>
      </c>
    </row>
    <row r="1421">
      <c r="A1421">
        <f>IFERROR(INDEX('Etsy Import'!$A:$CZ,1421,Settings!$C$20)&amp;"","")</f>
        <v/>
      </c>
      <c r="B1421">
        <f>IFERROR(INDEX('Etsy Import'!$A:$CZ,1421,Settings!$C$21)&amp;"","")</f>
        <v/>
      </c>
      <c r="C1421">
        <f>IFERROR(INDEX('Etsy Import'!$A:$CZ,1421,Settings!$C$22)&amp;"","")</f>
        <v/>
      </c>
      <c r="D1421">
        <f>IF(A1421="","",IFERROR(VALUE(SUBSTITUTE(SUBSTITUTE(INDEX('Etsy Import'!$A:$CZ,1421,Settings!$C$23)&amp;"","$",""),",","")),0))</f>
        <v/>
      </c>
      <c r="E1421" s="11">
        <f>IF(A1421="","",IFERROR(VALUE(SUBSTITUTE(SUBSTITUTE(INDEX('Etsy Import'!$A:$CZ,1421,Settings!$C$24)&amp;"","$",""),",","")),0))</f>
        <v/>
      </c>
      <c r="F1421" s="11">
        <f>IF(A1421="","",D1421*E1421)</f>
        <v/>
      </c>
      <c r="G1421">
        <f>IF(A1421="","",IF(C1421="",1,COUNTIF($C$2:$C$1501,C1421)))</f>
        <v/>
      </c>
      <c r="H1421" s="11">
        <f>IF(A1421="","",IFERROR(VALUE(SUBSTITUTE(SUBSTITUTE(INDEX('Etsy Import'!$A:$CZ,1421,Settings!$C$25)&amp;"","$",""),",","")),0)/IF(Settings!$B$27="Yes",G1421,1))</f>
        <v/>
      </c>
      <c r="I1421" s="11">
        <f>IF(A1421="","",IFERROR(VALUE(SUBSTITUTE(SUBSTITUTE(INDEX('Etsy Import'!$A:$CZ,1421,Settings!$C$26)&amp;"","$",""),",","")),0)/IF(Settings!$B$27="Yes",G1421,1))</f>
        <v/>
      </c>
      <c r="J1421" s="11">
        <f>IF(A1421="","",F1421+H1421-I1421)</f>
        <v/>
      </c>
      <c r="K1421">
        <f>IF(A1421="","",IFERROR(IF(B1421="",NA(),MATCH(B1421,Products!$B$5:$B$204,0)),IFERROR(MATCH(A1421,Products!$A$5:$A$204,0),"")))</f>
        <v/>
      </c>
      <c r="L1421">
        <f>IF(A1421="","",IF(K1421="","⚠ not in Products",INDEX(Products!$A$5:$A$204,K1421)))</f>
        <v/>
      </c>
      <c r="M1421" s="11">
        <f>IF(A1421="","",J1421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1421+IFERROR(INDEX(Settings!$D$5:$D$9,MATCH("Etsy",Settings!$A$5:$A$9,0)),0)*D1421)</f>
        <v/>
      </c>
      <c r="N1421" s="11">
        <f>IF(A1421="","",IF(K1421="",0,D1421*INDEX(Products!$I$5:$I$204,K1421)))</f>
        <v/>
      </c>
      <c r="O1421" s="11">
        <f>IF(A1421="","",IF(K1421="",0,J1421*INDEX(Products!$H$5:$H$204,K1421)))</f>
        <v/>
      </c>
      <c r="P1421" s="11">
        <f>IF(A1421="","",J1421-M1421-N1421-O1421)</f>
        <v/>
      </c>
    </row>
    <row r="1422">
      <c r="A1422">
        <f>IFERROR(INDEX('Etsy Import'!$A:$CZ,1422,Settings!$C$20)&amp;"","")</f>
        <v/>
      </c>
      <c r="B1422">
        <f>IFERROR(INDEX('Etsy Import'!$A:$CZ,1422,Settings!$C$21)&amp;"","")</f>
        <v/>
      </c>
      <c r="C1422">
        <f>IFERROR(INDEX('Etsy Import'!$A:$CZ,1422,Settings!$C$22)&amp;"","")</f>
        <v/>
      </c>
      <c r="D1422">
        <f>IF(A1422="","",IFERROR(VALUE(SUBSTITUTE(SUBSTITUTE(INDEX('Etsy Import'!$A:$CZ,1422,Settings!$C$23)&amp;"","$",""),",","")),0))</f>
        <v/>
      </c>
      <c r="E1422" s="11">
        <f>IF(A1422="","",IFERROR(VALUE(SUBSTITUTE(SUBSTITUTE(INDEX('Etsy Import'!$A:$CZ,1422,Settings!$C$24)&amp;"","$",""),",","")),0))</f>
        <v/>
      </c>
      <c r="F1422" s="11">
        <f>IF(A1422="","",D1422*E1422)</f>
        <v/>
      </c>
      <c r="G1422">
        <f>IF(A1422="","",IF(C1422="",1,COUNTIF($C$2:$C$1501,C1422)))</f>
        <v/>
      </c>
      <c r="H1422" s="11">
        <f>IF(A1422="","",IFERROR(VALUE(SUBSTITUTE(SUBSTITUTE(INDEX('Etsy Import'!$A:$CZ,1422,Settings!$C$25)&amp;"","$",""),",","")),0)/IF(Settings!$B$27="Yes",G1422,1))</f>
        <v/>
      </c>
      <c r="I1422" s="11">
        <f>IF(A1422="","",IFERROR(VALUE(SUBSTITUTE(SUBSTITUTE(INDEX('Etsy Import'!$A:$CZ,1422,Settings!$C$26)&amp;"","$",""),",","")),0)/IF(Settings!$B$27="Yes",G1422,1))</f>
        <v/>
      </c>
      <c r="J1422" s="11">
        <f>IF(A1422="","",F1422+H1422-I1422)</f>
        <v/>
      </c>
      <c r="K1422">
        <f>IF(A1422="","",IFERROR(IF(B1422="",NA(),MATCH(B1422,Products!$B$5:$B$204,0)),IFERROR(MATCH(A1422,Products!$A$5:$A$204,0),"")))</f>
        <v/>
      </c>
      <c r="L1422">
        <f>IF(A1422="","",IF(K1422="","⚠ not in Products",INDEX(Products!$A$5:$A$204,K1422)))</f>
        <v/>
      </c>
      <c r="M1422" s="11">
        <f>IF(A1422="","",J1422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1422+IFERROR(INDEX(Settings!$D$5:$D$9,MATCH("Etsy",Settings!$A$5:$A$9,0)),0)*D1422)</f>
        <v/>
      </c>
      <c r="N1422" s="11">
        <f>IF(A1422="","",IF(K1422="",0,D1422*INDEX(Products!$I$5:$I$204,K1422)))</f>
        <v/>
      </c>
      <c r="O1422" s="11">
        <f>IF(A1422="","",IF(K1422="",0,J1422*INDEX(Products!$H$5:$H$204,K1422)))</f>
        <v/>
      </c>
      <c r="P1422" s="11">
        <f>IF(A1422="","",J1422-M1422-N1422-O1422)</f>
        <v/>
      </c>
    </row>
    <row r="1423">
      <c r="A1423">
        <f>IFERROR(INDEX('Etsy Import'!$A:$CZ,1423,Settings!$C$20)&amp;"","")</f>
        <v/>
      </c>
      <c r="B1423">
        <f>IFERROR(INDEX('Etsy Import'!$A:$CZ,1423,Settings!$C$21)&amp;"","")</f>
        <v/>
      </c>
      <c r="C1423">
        <f>IFERROR(INDEX('Etsy Import'!$A:$CZ,1423,Settings!$C$22)&amp;"","")</f>
        <v/>
      </c>
      <c r="D1423">
        <f>IF(A1423="","",IFERROR(VALUE(SUBSTITUTE(SUBSTITUTE(INDEX('Etsy Import'!$A:$CZ,1423,Settings!$C$23)&amp;"","$",""),",","")),0))</f>
        <v/>
      </c>
      <c r="E1423" s="11">
        <f>IF(A1423="","",IFERROR(VALUE(SUBSTITUTE(SUBSTITUTE(INDEX('Etsy Import'!$A:$CZ,1423,Settings!$C$24)&amp;"","$",""),",","")),0))</f>
        <v/>
      </c>
      <c r="F1423" s="11">
        <f>IF(A1423="","",D1423*E1423)</f>
        <v/>
      </c>
      <c r="G1423">
        <f>IF(A1423="","",IF(C1423="",1,COUNTIF($C$2:$C$1501,C1423)))</f>
        <v/>
      </c>
      <c r="H1423" s="11">
        <f>IF(A1423="","",IFERROR(VALUE(SUBSTITUTE(SUBSTITUTE(INDEX('Etsy Import'!$A:$CZ,1423,Settings!$C$25)&amp;"","$",""),",","")),0)/IF(Settings!$B$27="Yes",G1423,1))</f>
        <v/>
      </c>
      <c r="I1423" s="11">
        <f>IF(A1423="","",IFERROR(VALUE(SUBSTITUTE(SUBSTITUTE(INDEX('Etsy Import'!$A:$CZ,1423,Settings!$C$26)&amp;"","$",""),",","")),0)/IF(Settings!$B$27="Yes",G1423,1))</f>
        <v/>
      </c>
      <c r="J1423" s="11">
        <f>IF(A1423="","",F1423+H1423-I1423)</f>
        <v/>
      </c>
      <c r="K1423">
        <f>IF(A1423="","",IFERROR(IF(B1423="",NA(),MATCH(B1423,Products!$B$5:$B$204,0)),IFERROR(MATCH(A1423,Products!$A$5:$A$204,0),"")))</f>
        <v/>
      </c>
      <c r="L1423">
        <f>IF(A1423="","",IF(K1423="","⚠ not in Products",INDEX(Products!$A$5:$A$204,K1423)))</f>
        <v/>
      </c>
      <c r="M1423" s="11">
        <f>IF(A1423="","",J1423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1423+IFERROR(INDEX(Settings!$D$5:$D$9,MATCH("Etsy",Settings!$A$5:$A$9,0)),0)*D1423)</f>
        <v/>
      </c>
      <c r="N1423" s="11">
        <f>IF(A1423="","",IF(K1423="",0,D1423*INDEX(Products!$I$5:$I$204,K1423)))</f>
        <v/>
      </c>
      <c r="O1423" s="11">
        <f>IF(A1423="","",IF(K1423="",0,J1423*INDEX(Products!$H$5:$H$204,K1423)))</f>
        <v/>
      </c>
      <c r="P1423" s="11">
        <f>IF(A1423="","",J1423-M1423-N1423-O1423)</f>
        <v/>
      </c>
    </row>
    <row r="1424">
      <c r="A1424">
        <f>IFERROR(INDEX('Etsy Import'!$A:$CZ,1424,Settings!$C$20)&amp;"","")</f>
        <v/>
      </c>
      <c r="B1424">
        <f>IFERROR(INDEX('Etsy Import'!$A:$CZ,1424,Settings!$C$21)&amp;"","")</f>
        <v/>
      </c>
      <c r="C1424">
        <f>IFERROR(INDEX('Etsy Import'!$A:$CZ,1424,Settings!$C$22)&amp;"","")</f>
        <v/>
      </c>
      <c r="D1424">
        <f>IF(A1424="","",IFERROR(VALUE(SUBSTITUTE(SUBSTITUTE(INDEX('Etsy Import'!$A:$CZ,1424,Settings!$C$23)&amp;"","$",""),",","")),0))</f>
        <v/>
      </c>
      <c r="E1424" s="11">
        <f>IF(A1424="","",IFERROR(VALUE(SUBSTITUTE(SUBSTITUTE(INDEX('Etsy Import'!$A:$CZ,1424,Settings!$C$24)&amp;"","$",""),",","")),0))</f>
        <v/>
      </c>
      <c r="F1424" s="11">
        <f>IF(A1424="","",D1424*E1424)</f>
        <v/>
      </c>
      <c r="G1424">
        <f>IF(A1424="","",IF(C1424="",1,COUNTIF($C$2:$C$1501,C1424)))</f>
        <v/>
      </c>
      <c r="H1424" s="11">
        <f>IF(A1424="","",IFERROR(VALUE(SUBSTITUTE(SUBSTITUTE(INDEX('Etsy Import'!$A:$CZ,1424,Settings!$C$25)&amp;"","$",""),",","")),0)/IF(Settings!$B$27="Yes",G1424,1))</f>
        <v/>
      </c>
      <c r="I1424" s="11">
        <f>IF(A1424="","",IFERROR(VALUE(SUBSTITUTE(SUBSTITUTE(INDEX('Etsy Import'!$A:$CZ,1424,Settings!$C$26)&amp;"","$",""),",","")),0)/IF(Settings!$B$27="Yes",G1424,1))</f>
        <v/>
      </c>
      <c r="J1424" s="11">
        <f>IF(A1424="","",F1424+H1424-I1424)</f>
        <v/>
      </c>
      <c r="K1424">
        <f>IF(A1424="","",IFERROR(IF(B1424="",NA(),MATCH(B1424,Products!$B$5:$B$204,0)),IFERROR(MATCH(A1424,Products!$A$5:$A$204,0),"")))</f>
        <v/>
      </c>
      <c r="L1424">
        <f>IF(A1424="","",IF(K1424="","⚠ not in Products",INDEX(Products!$A$5:$A$204,K1424)))</f>
        <v/>
      </c>
      <c r="M1424" s="11">
        <f>IF(A1424="","",J1424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1424+IFERROR(INDEX(Settings!$D$5:$D$9,MATCH("Etsy",Settings!$A$5:$A$9,0)),0)*D1424)</f>
        <v/>
      </c>
      <c r="N1424" s="11">
        <f>IF(A1424="","",IF(K1424="",0,D1424*INDEX(Products!$I$5:$I$204,K1424)))</f>
        <v/>
      </c>
      <c r="O1424" s="11">
        <f>IF(A1424="","",IF(K1424="",0,J1424*INDEX(Products!$H$5:$H$204,K1424)))</f>
        <v/>
      </c>
      <c r="P1424" s="11">
        <f>IF(A1424="","",J1424-M1424-N1424-O1424)</f>
        <v/>
      </c>
    </row>
    <row r="1425">
      <c r="A1425">
        <f>IFERROR(INDEX('Etsy Import'!$A:$CZ,1425,Settings!$C$20)&amp;"","")</f>
        <v/>
      </c>
      <c r="B1425">
        <f>IFERROR(INDEX('Etsy Import'!$A:$CZ,1425,Settings!$C$21)&amp;"","")</f>
        <v/>
      </c>
      <c r="C1425">
        <f>IFERROR(INDEX('Etsy Import'!$A:$CZ,1425,Settings!$C$22)&amp;"","")</f>
        <v/>
      </c>
      <c r="D1425">
        <f>IF(A1425="","",IFERROR(VALUE(SUBSTITUTE(SUBSTITUTE(INDEX('Etsy Import'!$A:$CZ,1425,Settings!$C$23)&amp;"","$",""),",","")),0))</f>
        <v/>
      </c>
      <c r="E1425" s="11">
        <f>IF(A1425="","",IFERROR(VALUE(SUBSTITUTE(SUBSTITUTE(INDEX('Etsy Import'!$A:$CZ,1425,Settings!$C$24)&amp;"","$",""),",","")),0))</f>
        <v/>
      </c>
      <c r="F1425" s="11">
        <f>IF(A1425="","",D1425*E1425)</f>
        <v/>
      </c>
      <c r="G1425">
        <f>IF(A1425="","",IF(C1425="",1,COUNTIF($C$2:$C$1501,C1425)))</f>
        <v/>
      </c>
      <c r="H1425" s="11">
        <f>IF(A1425="","",IFERROR(VALUE(SUBSTITUTE(SUBSTITUTE(INDEX('Etsy Import'!$A:$CZ,1425,Settings!$C$25)&amp;"","$",""),",","")),0)/IF(Settings!$B$27="Yes",G1425,1))</f>
        <v/>
      </c>
      <c r="I1425" s="11">
        <f>IF(A1425="","",IFERROR(VALUE(SUBSTITUTE(SUBSTITUTE(INDEX('Etsy Import'!$A:$CZ,1425,Settings!$C$26)&amp;"","$",""),",","")),0)/IF(Settings!$B$27="Yes",G1425,1))</f>
        <v/>
      </c>
      <c r="J1425" s="11">
        <f>IF(A1425="","",F1425+H1425-I1425)</f>
        <v/>
      </c>
      <c r="K1425">
        <f>IF(A1425="","",IFERROR(IF(B1425="",NA(),MATCH(B1425,Products!$B$5:$B$204,0)),IFERROR(MATCH(A1425,Products!$A$5:$A$204,0),"")))</f>
        <v/>
      </c>
      <c r="L1425">
        <f>IF(A1425="","",IF(K1425="","⚠ not in Products",INDEX(Products!$A$5:$A$204,K1425)))</f>
        <v/>
      </c>
      <c r="M1425" s="11">
        <f>IF(A1425="","",J1425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1425+IFERROR(INDEX(Settings!$D$5:$D$9,MATCH("Etsy",Settings!$A$5:$A$9,0)),0)*D1425)</f>
        <v/>
      </c>
      <c r="N1425" s="11">
        <f>IF(A1425="","",IF(K1425="",0,D1425*INDEX(Products!$I$5:$I$204,K1425)))</f>
        <v/>
      </c>
      <c r="O1425" s="11">
        <f>IF(A1425="","",IF(K1425="",0,J1425*INDEX(Products!$H$5:$H$204,K1425)))</f>
        <v/>
      </c>
      <c r="P1425" s="11">
        <f>IF(A1425="","",J1425-M1425-N1425-O1425)</f>
        <v/>
      </c>
    </row>
    <row r="1426">
      <c r="A1426">
        <f>IFERROR(INDEX('Etsy Import'!$A:$CZ,1426,Settings!$C$20)&amp;"","")</f>
        <v/>
      </c>
      <c r="B1426">
        <f>IFERROR(INDEX('Etsy Import'!$A:$CZ,1426,Settings!$C$21)&amp;"","")</f>
        <v/>
      </c>
      <c r="C1426">
        <f>IFERROR(INDEX('Etsy Import'!$A:$CZ,1426,Settings!$C$22)&amp;"","")</f>
        <v/>
      </c>
      <c r="D1426">
        <f>IF(A1426="","",IFERROR(VALUE(SUBSTITUTE(SUBSTITUTE(INDEX('Etsy Import'!$A:$CZ,1426,Settings!$C$23)&amp;"","$",""),",","")),0))</f>
        <v/>
      </c>
      <c r="E1426" s="11">
        <f>IF(A1426="","",IFERROR(VALUE(SUBSTITUTE(SUBSTITUTE(INDEX('Etsy Import'!$A:$CZ,1426,Settings!$C$24)&amp;"","$",""),",","")),0))</f>
        <v/>
      </c>
      <c r="F1426" s="11">
        <f>IF(A1426="","",D1426*E1426)</f>
        <v/>
      </c>
      <c r="G1426">
        <f>IF(A1426="","",IF(C1426="",1,COUNTIF($C$2:$C$1501,C1426)))</f>
        <v/>
      </c>
      <c r="H1426" s="11">
        <f>IF(A1426="","",IFERROR(VALUE(SUBSTITUTE(SUBSTITUTE(INDEX('Etsy Import'!$A:$CZ,1426,Settings!$C$25)&amp;"","$",""),",","")),0)/IF(Settings!$B$27="Yes",G1426,1))</f>
        <v/>
      </c>
      <c r="I1426" s="11">
        <f>IF(A1426="","",IFERROR(VALUE(SUBSTITUTE(SUBSTITUTE(INDEX('Etsy Import'!$A:$CZ,1426,Settings!$C$26)&amp;"","$",""),",","")),0)/IF(Settings!$B$27="Yes",G1426,1))</f>
        <v/>
      </c>
      <c r="J1426" s="11">
        <f>IF(A1426="","",F1426+H1426-I1426)</f>
        <v/>
      </c>
      <c r="K1426">
        <f>IF(A1426="","",IFERROR(IF(B1426="",NA(),MATCH(B1426,Products!$B$5:$B$204,0)),IFERROR(MATCH(A1426,Products!$A$5:$A$204,0),"")))</f>
        <v/>
      </c>
      <c r="L1426">
        <f>IF(A1426="","",IF(K1426="","⚠ not in Products",INDEX(Products!$A$5:$A$204,K1426)))</f>
        <v/>
      </c>
      <c r="M1426" s="11">
        <f>IF(A1426="","",J1426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1426+IFERROR(INDEX(Settings!$D$5:$D$9,MATCH("Etsy",Settings!$A$5:$A$9,0)),0)*D1426)</f>
        <v/>
      </c>
      <c r="N1426" s="11">
        <f>IF(A1426="","",IF(K1426="",0,D1426*INDEX(Products!$I$5:$I$204,K1426)))</f>
        <v/>
      </c>
      <c r="O1426" s="11">
        <f>IF(A1426="","",IF(K1426="",0,J1426*INDEX(Products!$H$5:$H$204,K1426)))</f>
        <v/>
      </c>
      <c r="P1426" s="11">
        <f>IF(A1426="","",J1426-M1426-N1426-O1426)</f>
        <v/>
      </c>
    </row>
    <row r="1427">
      <c r="A1427">
        <f>IFERROR(INDEX('Etsy Import'!$A:$CZ,1427,Settings!$C$20)&amp;"","")</f>
        <v/>
      </c>
      <c r="B1427">
        <f>IFERROR(INDEX('Etsy Import'!$A:$CZ,1427,Settings!$C$21)&amp;"","")</f>
        <v/>
      </c>
      <c r="C1427">
        <f>IFERROR(INDEX('Etsy Import'!$A:$CZ,1427,Settings!$C$22)&amp;"","")</f>
        <v/>
      </c>
      <c r="D1427">
        <f>IF(A1427="","",IFERROR(VALUE(SUBSTITUTE(SUBSTITUTE(INDEX('Etsy Import'!$A:$CZ,1427,Settings!$C$23)&amp;"","$",""),",","")),0))</f>
        <v/>
      </c>
      <c r="E1427" s="11">
        <f>IF(A1427="","",IFERROR(VALUE(SUBSTITUTE(SUBSTITUTE(INDEX('Etsy Import'!$A:$CZ,1427,Settings!$C$24)&amp;"","$",""),",","")),0))</f>
        <v/>
      </c>
      <c r="F1427" s="11">
        <f>IF(A1427="","",D1427*E1427)</f>
        <v/>
      </c>
      <c r="G1427">
        <f>IF(A1427="","",IF(C1427="",1,COUNTIF($C$2:$C$1501,C1427)))</f>
        <v/>
      </c>
      <c r="H1427" s="11">
        <f>IF(A1427="","",IFERROR(VALUE(SUBSTITUTE(SUBSTITUTE(INDEX('Etsy Import'!$A:$CZ,1427,Settings!$C$25)&amp;"","$",""),",","")),0)/IF(Settings!$B$27="Yes",G1427,1))</f>
        <v/>
      </c>
      <c r="I1427" s="11">
        <f>IF(A1427="","",IFERROR(VALUE(SUBSTITUTE(SUBSTITUTE(INDEX('Etsy Import'!$A:$CZ,1427,Settings!$C$26)&amp;"","$",""),",","")),0)/IF(Settings!$B$27="Yes",G1427,1))</f>
        <v/>
      </c>
      <c r="J1427" s="11">
        <f>IF(A1427="","",F1427+H1427-I1427)</f>
        <v/>
      </c>
      <c r="K1427">
        <f>IF(A1427="","",IFERROR(IF(B1427="",NA(),MATCH(B1427,Products!$B$5:$B$204,0)),IFERROR(MATCH(A1427,Products!$A$5:$A$204,0),"")))</f>
        <v/>
      </c>
      <c r="L1427">
        <f>IF(A1427="","",IF(K1427="","⚠ not in Products",INDEX(Products!$A$5:$A$204,K1427)))</f>
        <v/>
      </c>
      <c r="M1427" s="11">
        <f>IF(A1427="","",J1427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1427+IFERROR(INDEX(Settings!$D$5:$D$9,MATCH("Etsy",Settings!$A$5:$A$9,0)),0)*D1427)</f>
        <v/>
      </c>
      <c r="N1427" s="11">
        <f>IF(A1427="","",IF(K1427="",0,D1427*INDEX(Products!$I$5:$I$204,K1427)))</f>
        <v/>
      </c>
      <c r="O1427" s="11">
        <f>IF(A1427="","",IF(K1427="",0,J1427*INDEX(Products!$H$5:$H$204,K1427)))</f>
        <v/>
      </c>
      <c r="P1427" s="11">
        <f>IF(A1427="","",J1427-M1427-N1427-O1427)</f>
        <v/>
      </c>
    </row>
    <row r="1428">
      <c r="A1428">
        <f>IFERROR(INDEX('Etsy Import'!$A:$CZ,1428,Settings!$C$20)&amp;"","")</f>
        <v/>
      </c>
      <c r="B1428">
        <f>IFERROR(INDEX('Etsy Import'!$A:$CZ,1428,Settings!$C$21)&amp;"","")</f>
        <v/>
      </c>
      <c r="C1428">
        <f>IFERROR(INDEX('Etsy Import'!$A:$CZ,1428,Settings!$C$22)&amp;"","")</f>
        <v/>
      </c>
      <c r="D1428">
        <f>IF(A1428="","",IFERROR(VALUE(SUBSTITUTE(SUBSTITUTE(INDEX('Etsy Import'!$A:$CZ,1428,Settings!$C$23)&amp;"","$",""),",","")),0))</f>
        <v/>
      </c>
      <c r="E1428" s="11">
        <f>IF(A1428="","",IFERROR(VALUE(SUBSTITUTE(SUBSTITUTE(INDEX('Etsy Import'!$A:$CZ,1428,Settings!$C$24)&amp;"","$",""),",","")),0))</f>
        <v/>
      </c>
      <c r="F1428" s="11">
        <f>IF(A1428="","",D1428*E1428)</f>
        <v/>
      </c>
      <c r="G1428">
        <f>IF(A1428="","",IF(C1428="",1,COUNTIF($C$2:$C$1501,C1428)))</f>
        <v/>
      </c>
      <c r="H1428" s="11">
        <f>IF(A1428="","",IFERROR(VALUE(SUBSTITUTE(SUBSTITUTE(INDEX('Etsy Import'!$A:$CZ,1428,Settings!$C$25)&amp;"","$",""),",","")),0)/IF(Settings!$B$27="Yes",G1428,1))</f>
        <v/>
      </c>
      <c r="I1428" s="11">
        <f>IF(A1428="","",IFERROR(VALUE(SUBSTITUTE(SUBSTITUTE(INDEX('Etsy Import'!$A:$CZ,1428,Settings!$C$26)&amp;"","$",""),",","")),0)/IF(Settings!$B$27="Yes",G1428,1))</f>
        <v/>
      </c>
      <c r="J1428" s="11">
        <f>IF(A1428="","",F1428+H1428-I1428)</f>
        <v/>
      </c>
      <c r="K1428">
        <f>IF(A1428="","",IFERROR(IF(B1428="",NA(),MATCH(B1428,Products!$B$5:$B$204,0)),IFERROR(MATCH(A1428,Products!$A$5:$A$204,0),"")))</f>
        <v/>
      </c>
      <c r="L1428">
        <f>IF(A1428="","",IF(K1428="","⚠ not in Products",INDEX(Products!$A$5:$A$204,K1428)))</f>
        <v/>
      </c>
      <c r="M1428" s="11">
        <f>IF(A1428="","",J1428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1428+IFERROR(INDEX(Settings!$D$5:$D$9,MATCH("Etsy",Settings!$A$5:$A$9,0)),0)*D1428)</f>
        <v/>
      </c>
      <c r="N1428" s="11">
        <f>IF(A1428="","",IF(K1428="",0,D1428*INDEX(Products!$I$5:$I$204,K1428)))</f>
        <v/>
      </c>
      <c r="O1428" s="11">
        <f>IF(A1428="","",IF(K1428="",0,J1428*INDEX(Products!$H$5:$H$204,K1428)))</f>
        <v/>
      </c>
      <c r="P1428" s="11">
        <f>IF(A1428="","",J1428-M1428-N1428-O1428)</f>
        <v/>
      </c>
    </row>
    <row r="1429">
      <c r="A1429">
        <f>IFERROR(INDEX('Etsy Import'!$A:$CZ,1429,Settings!$C$20)&amp;"","")</f>
        <v/>
      </c>
      <c r="B1429">
        <f>IFERROR(INDEX('Etsy Import'!$A:$CZ,1429,Settings!$C$21)&amp;"","")</f>
        <v/>
      </c>
      <c r="C1429">
        <f>IFERROR(INDEX('Etsy Import'!$A:$CZ,1429,Settings!$C$22)&amp;"","")</f>
        <v/>
      </c>
      <c r="D1429">
        <f>IF(A1429="","",IFERROR(VALUE(SUBSTITUTE(SUBSTITUTE(INDEX('Etsy Import'!$A:$CZ,1429,Settings!$C$23)&amp;"","$",""),",","")),0))</f>
        <v/>
      </c>
      <c r="E1429" s="11">
        <f>IF(A1429="","",IFERROR(VALUE(SUBSTITUTE(SUBSTITUTE(INDEX('Etsy Import'!$A:$CZ,1429,Settings!$C$24)&amp;"","$",""),",","")),0))</f>
        <v/>
      </c>
      <c r="F1429" s="11">
        <f>IF(A1429="","",D1429*E1429)</f>
        <v/>
      </c>
      <c r="G1429">
        <f>IF(A1429="","",IF(C1429="",1,COUNTIF($C$2:$C$1501,C1429)))</f>
        <v/>
      </c>
      <c r="H1429" s="11">
        <f>IF(A1429="","",IFERROR(VALUE(SUBSTITUTE(SUBSTITUTE(INDEX('Etsy Import'!$A:$CZ,1429,Settings!$C$25)&amp;"","$",""),",","")),0)/IF(Settings!$B$27="Yes",G1429,1))</f>
        <v/>
      </c>
      <c r="I1429" s="11">
        <f>IF(A1429="","",IFERROR(VALUE(SUBSTITUTE(SUBSTITUTE(INDEX('Etsy Import'!$A:$CZ,1429,Settings!$C$26)&amp;"","$",""),",","")),0)/IF(Settings!$B$27="Yes",G1429,1))</f>
        <v/>
      </c>
      <c r="J1429" s="11">
        <f>IF(A1429="","",F1429+H1429-I1429)</f>
        <v/>
      </c>
      <c r="K1429">
        <f>IF(A1429="","",IFERROR(IF(B1429="",NA(),MATCH(B1429,Products!$B$5:$B$204,0)),IFERROR(MATCH(A1429,Products!$A$5:$A$204,0),"")))</f>
        <v/>
      </c>
      <c r="L1429">
        <f>IF(A1429="","",IF(K1429="","⚠ not in Products",INDEX(Products!$A$5:$A$204,K1429)))</f>
        <v/>
      </c>
      <c r="M1429" s="11">
        <f>IF(A1429="","",J1429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1429+IFERROR(INDEX(Settings!$D$5:$D$9,MATCH("Etsy",Settings!$A$5:$A$9,0)),0)*D1429)</f>
        <v/>
      </c>
      <c r="N1429" s="11">
        <f>IF(A1429="","",IF(K1429="",0,D1429*INDEX(Products!$I$5:$I$204,K1429)))</f>
        <v/>
      </c>
      <c r="O1429" s="11">
        <f>IF(A1429="","",IF(K1429="",0,J1429*INDEX(Products!$H$5:$H$204,K1429)))</f>
        <v/>
      </c>
      <c r="P1429" s="11">
        <f>IF(A1429="","",J1429-M1429-N1429-O1429)</f>
        <v/>
      </c>
    </row>
    <row r="1430">
      <c r="A1430">
        <f>IFERROR(INDEX('Etsy Import'!$A:$CZ,1430,Settings!$C$20)&amp;"","")</f>
        <v/>
      </c>
      <c r="B1430">
        <f>IFERROR(INDEX('Etsy Import'!$A:$CZ,1430,Settings!$C$21)&amp;"","")</f>
        <v/>
      </c>
      <c r="C1430">
        <f>IFERROR(INDEX('Etsy Import'!$A:$CZ,1430,Settings!$C$22)&amp;"","")</f>
        <v/>
      </c>
      <c r="D1430">
        <f>IF(A1430="","",IFERROR(VALUE(SUBSTITUTE(SUBSTITUTE(INDEX('Etsy Import'!$A:$CZ,1430,Settings!$C$23)&amp;"","$",""),",","")),0))</f>
        <v/>
      </c>
      <c r="E1430" s="11">
        <f>IF(A1430="","",IFERROR(VALUE(SUBSTITUTE(SUBSTITUTE(INDEX('Etsy Import'!$A:$CZ,1430,Settings!$C$24)&amp;"","$",""),",","")),0))</f>
        <v/>
      </c>
      <c r="F1430" s="11">
        <f>IF(A1430="","",D1430*E1430)</f>
        <v/>
      </c>
      <c r="G1430">
        <f>IF(A1430="","",IF(C1430="",1,COUNTIF($C$2:$C$1501,C1430)))</f>
        <v/>
      </c>
      <c r="H1430" s="11">
        <f>IF(A1430="","",IFERROR(VALUE(SUBSTITUTE(SUBSTITUTE(INDEX('Etsy Import'!$A:$CZ,1430,Settings!$C$25)&amp;"","$",""),",","")),0)/IF(Settings!$B$27="Yes",G1430,1))</f>
        <v/>
      </c>
      <c r="I1430" s="11">
        <f>IF(A1430="","",IFERROR(VALUE(SUBSTITUTE(SUBSTITUTE(INDEX('Etsy Import'!$A:$CZ,1430,Settings!$C$26)&amp;"","$",""),",","")),0)/IF(Settings!$B$27="Yes",G1430,1))</f>
        <v/>
      </c>
      <c r="J1430" s="11">
        <f>IF(A1430="","",F1430+H1430-I1430)</f>
        <v/>
      </c>
      <c r="K1430">
        <f>IF(A1430="","",IFERROR(IF(B1430="",NA(),MATCH(B1430,Products!$B$5:$B$204,0)),IFERROR(MATCH(A1430,Products!$A$5:$A$204,0),"")))</f>
        <v/>
      </c>
      <c r="L1430">
        <f>IF(A1430="","",IF(K1430="","⚠ not in Products",INDEX(Products!$A$5:$A$204,K1430)))</f>
        <v/>
      </c>
      <c r="M1430" s="11">
        <f>IF(A1430="","",J1430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1430+IFERROR(INDEX(Settings!$D$5:$D$9,MATCH("Etsy",Settings!$A$5:$A$9,0)),0)*D1430)</f>
        <v/>
      </c>
      <c r="N1430" s="11">
        <f>IF(A1430="","",IF(K1430="",0,D1430*INDEX(Products!$I$5:$I$204,K1430)))</f>
        <v/>
      </c>
      <c r="O1430" s="11">
        <f>IF(A1430="","",IF(K1430="",0,J1430*INDEX(Products!$H$5:$H$204,K1430)))</f>
        <v/>
      </c>
      <c r="P1430" s="11">
        <f>IF(A1430="","",J1430-M1430-N1430-O1430)</f>
        <v/>
      </c>
    </row>
    <row r="1431">
      <c r="A1431">
        <f>IFERROR(INDEX('Etsy Import'!$A:$CZ,1431,Settings!$C$20)&amp;"","")</f>
        <v/>
      </c>
      <c r="B1431">
        <f>IFERROR(INDEX('Etsy Import'!$A:$CZ,1431,Settings!$C$21)&amp;"","")</f>
        <v/>
      </c>
      <c r="C1431">
        <f>IFERROR(INDEX('Etsy Import'!$A:$CZ,1431,Settings!$C$22)&amp;"","")</f>
        <v/>
      </c>
      <c r="D1431">
        <f>IF(A1431="","",IFERROR(VALUE(SUBSTITUTE(SUBSTITUTE(INDEX('Etsy Import'!$A:$CZ,1431,Settings!$C$23)&amp;"","$",""),",","")),0))</f>
        <v/>
      </c>
      <c r="E1431" s="11">
        <f>IF(A1431="","",IFERROR(VALUE(SUBSTITUTE(SUBSTITUTE(INDEX('Etsy Import'!$A:$CZ,1431,Settings!$C$24)&amp;"","$",""),",","")),0))</f>
        <v/>
      </c>
      <c r="F1431" s="11">
        <f>IF(A1431="","",D1431*E1431)</f>
        <v/>
      </c>
      <c r="G1431">
        <f>IF(A1431="","",IF(C1431="",1,COUNTIF($C$2:$C$1501,C1431)))</f>
        <v/>
      </c>
      <c r="H1431" s="11">
        <f>IF(A1431="","",IFERROR(VALUE(SUBSTITUTE(SUBSTITUTE(INDEX('Etsy Import'!$A:$CZ,1431,Settings!$C$25)&amp;"","$",""),",","")),0)/IF(Settings!$B$27="Yes",G1431,1))</f>
        <v/>
      </c>
      <c r="I1431" s="11">
        <f>IF(A1431="","",IFERROR(VALUE(SUBSTITUTE(SUBSTITUTE(INDEX('Etsy Import'!$A:$CZ,1431,Settings!$C$26)&amp;"","$",""),",","")),0)/IF(Settings!$B$27="Yes",G1431,1))</f>
        <v/>
      </c>
      <c r="J1431" s="11">
        <f>IF(A1431="","",F1431+H1431-I1431)</f>
        <v/>
      </c>
      <c r="K1431">
        <f>IF(A1431="","",IFERROR(IF(B1431="",NA(),MATCH(B1431,Products!$B$5:$B$204,0)),IFERROR(MATCH(A1431,Products!$A$5:$A$204,0),"")))</f>
        <v/>
      </c>
      <c r="L1431">
        <f>IF(A1431="","",IF(K1431="","⚠ not in Products",INDEX(Products!$A$5:$A$204,K1431)))</f>
        <v/>
      </c>
      <c r="M1431" s="11">
        <f>IF(A1431="","",J1431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1431+IFERROR(INDEX(Settings!$D$5:$D$9,MATCH("Etsy",Settings!$A$5:$A$9,0)),0)*D1431)</f>
        <v/>
      </c>
      <c r="N1431" s="11">
        <f>IF(A1431="","",IF(K1431="",0,D1431*INDEX(Products!$I$5:$I$204,K1431)))</f>
        <v/>
      </c>
      <c r="O1431" s="11">
        <f>IF(A1431="","",IF(K1431="",0,J1431*INDEX(Products!$H$5:$H$204,K1431)))</f>
        <v/>
      </c>
      <c r="P1431" s="11">
        <f>IF(A1431="","",J1431-M1431-N1431-O1431)</f>
        <v/>
      </c>
    </row>
    <row r="1432">
      <c r="A1432">
        <f>IFERROR(INDEX('Etsy Import'!$A:$CZ,1432,Settings!$C$20)&amp;"","")</f>
        <v/>
      </c>
      <c r="B1432">
        <f>IFERROR(INDEX('Etsy Import'!$A:$CZ,1432,Settings!$C$21)&amp;"","")</f>
        <v/>
      </c>
      <c r="C1432">
        <f>IFERROR(INDEX('Etsy Import'!$A:$CZ,1432,Settings!$C$22)&amp;"","")</f>
        <v/>
      </c>
      <c r="D1432">
        <f>IF(A1432="","",IFERROR(VALUE(SUBSTITUTE(SUBSTITUTE(INDEX('Etsy Import'!$A:$CZ,1432,Settings!$C$23)&amp;"","$",""),",","")),0))</f>
        <v/>
      </c>
      <c r="E1432" s="11">
        <f>IF(A1432="","",IFERROR(VALUE(SUBSTITUTE(SUBSTITUTE(INDEX('Etsy Import'!$A:$CZ,1432,Settings!$C$24)&amp;"","$",""),",","")),0))</f>
        <v/>
      </c>
      <c r="F1432" s="11">
        <f>IF(A1432="","",D1432*E1432)</f>
        <v/>
      </c>
      <c r="G1432">
        <f>IF(A1432="","",IF(C1432="",1,COUNTIF($C$2:$C$1501,C1432)))</f>
        <v/>
      </c>
      <c r="H1432" s="11">
        <f>IF(A1432="","",IFERROR(VALUE(SUBSTITUTE(SUBSTITUTE(INDEX('Etsy Import'!$A:$CZ,1432,Settings!$C$25)&amp;"","$",""),",","")),0)/IF(Settings!$B$27="Yes",G1432,1))</f>
        <v/>
      </c>
      <c r="I1432" s="11">
        <f>IF(A1432="","",IFERROR(VALUE(SUBSTITUTE(SUBSTITUTE(INDEX('Etsy Import'!$A:$CZ,1432,Settings!$C$26)&amp;"","$",""),",","")),0)/IF(Settings!$B$27="Yes",G1432,1))</f>
        <v/>
      </c>
      <c r="J1432" s="11">
        <f>IF(A1432="","",F1432+H1432-I1432)</f>
        <v/>
      </c>
      <c r="K1432">
        <f>IF(A1432="","",IFERROR(IF(B1432="",NA(),MATCH(B1432,Products!$B$5:$B$204,0)),IFERROR(MATCH(A1432,Products!$A$5:$A$204,0),"")))</f>
        <v/>
      </c>
      <c r="L1432">
        <f>IF(A1432="","",IF(K1432="","⚠ not in Products",INDEX(Products!$A$5:$A$204,K1432)))</f>
        <v/>
      </c>
      <c r="M1432" s="11">
        <f>IF(A1432="","",J1432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1432+IFERROR(INDEX(Settings!$D$5:$D$9,MATCH("Etsy",Settings!$A$5:$A$9,0)),0)*D1432)</f>
        <v/>
      </c>
      <c r="N1432" s="11">
        <f>IF(A1432="","",IF(K1432="",0,D1432*INDEX(Products!$I$5:$I$204,K1432)))</f>
        <v/>
      </c>
      <c r="O1432" s="11">
        <f>IF(A1432="","",IF(K1432="",0,J1432*INDEX(Products!$H$5:$H$204,K1432)))</f>
        <v/>
      </c>
      <c r="P1432" s="11">
        <f>IF(A1432="","",J1432-M1432-N1432-O1432)</f>
        <v/>
      </c>
    </row>
    <row r="1433">
      <c r="A1433">
        <f>IFERROR(INDEX('Etsy Import'!$A:$CZ,1433,Settings!$C$20)&amp;"","")</f>
        <v/>
      </c>
      <c r="B1433">
        <f>IFERROR(INDEX('Etsy Import'!$A:$CZ,1433,Settings!$C$21)&amp;"","")</f>
        <v/>
      </c>
      <c r="C1433">
        <f>IFERROR(INDEX('Etsy Import'!$A:$CZ,1433,Settings!$C$22)&amp;"","")</f>
        <v/>
      </c>
      <c r="D1433">
        <f>IF(A1433="","",IFERROR(VALUE(SUBSTITUTE(SUBSTITUTE(INDEX('Etsy Import'!$A:$CZ,1433,Settings!$C$23)&amp;"","$",""),",","")),0))</f>
        <v/>
      </c>
      <c r="E1433" s="11">
        <f>IF(A1433="","",IFERROR(VALUE(SUBSTITUTE(SUBSTITUTE(INDEX('Etsy Import'!$A:$CZ,1433,Settings!$C$24)&amp;"","$",""),",","")),0))</f>
        <v/>
      </c>
      <c r="F1433" s="11">
        <f>IF(A1433="","",D1433*E1433)</f>
        <v/>
      </c>
      <c r="G1433">
        <f>IF(A1433="","",IF(C1433="",1,COUNTIF($C$2:$C$1501,C1433)))</f>
        <v/>
      </c>
      <c r="H1433" s="11">
        <f>IF(A1433="","",IFERROR(VALUE(SUBSTITUTE(SUBSTITUTE(INDEX('Etsy Import'!$A:$CZ,1433,Settings!$C$25)&amp;"","$",""),",","")),0)/IF(Settings!$B$27="Yes",G1433,1))</f>
        <v/>
      </c>
      <c r="I1433" s="11">
        <f>IF(A1433="","",IFERROR(VALUE(SUBSTITUTE(SUBSTITUTE(INDEX('Etsy Import'!$A:$CZ,1433,Settings!$C$26)&amp;"","$",""),",","")),0)/IF(Settings!$B$27="Yes",G1433,1))</f>
        <v/>
      </c>
      <c r="J1433" s="11">
        <f>IF(A1433="","",F1433+H1433-I1433)</f>
        <v/>
      </c>
      <c r="K1433">
        <f>IF(A1433="","",IFERROR(IF(B1433="",NA(),MATCH(B1433,Products!$B$5:$B$204,0)),IFERROR(MATCH(A1433,Products!$A$5:$A$204,0),"")))</f>
        <v/>
      </c>
      <c r="L1433">
        <f>IF(A1433="","",IF(K1433="","⚠ not in Products",INDEX(Products!$A$5:$A$204,K1433)))</f>
        <v/>
      </c>
      <c r="M1433" s="11">
        <f>IF(A1433="","",J1433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1433+IFERROR(INDEX(Settings!$D$5:$D$9,MATCH("Etsy",Settings!$A$5:$A$9,0)),0)*D1433)</f>
        <v/>
      </c>
      <c r="N1433" s="11">
        <f>IF(A1433="","",IF(K1433="",0,D1433*INDEX(Products!$I$5:$I$204,K1433)))</f>
        <v/>
      </c>
      <c r="O1433" s="11">
        <f>IF(A1433="","",IF(K1433="",0,J1433*INDEX(Products!$H$5:$H$204,K1433)))</f>
        <v/>
      </c>
      <c r="P1433" s="11">
        <f>IF(A1433="","",J1433-M1433-N1433-O1433)</f>
        <v/>
      </c>
    </row>
    <row r="1434">
      <c r="A1434">
        <f>IFERROR(INDEX('Etsy Import'!$A:$CZ,1434,Settings!$C$20)&amp;"","")</f>
        <v/>
      </c>
      <c r="B1434">
        <f>IFERROR(INDEX('Etsy Import'!$A:$CZ,1434,Settings!$C$21)&amp;"","")</f>
        <v/>
      </c>
      <c r="C1434">
        <f>IFERROR(INDEX('Etsy Import'!$A:$CZ,1434,Settings!$C$22)&amp;"","")</f>
        <v/>
      </c>
      <c r="D1434">
        <f>IF(A1434="","",IFERROR(VALUE(SUBSTITUTE(SUBSTITUTE(INDEX('Etsy Import'!$A:$CZ,1434,Settings!$C$23)&amp;"","$",""),",","")),0))</f>
        <v/>
      </c>
      <c r="E1434" s="11">
        <f>IF(A1434="","",IFERROR(VALUE(SUBSTITUTE(SUBSTITUTE(INDEX('Etsy Import'!$A:$CZ,1434,Settings!$C$24)&amp;"","$",""),",","")),0))</f>
        <v/>
      </c>
      <c r="F1434" s="11">
        <f>IF(A1434="","",D1434*E1434)</f>
        <v/>
      </c>
      <c r="G1434">
        <f>IF(A1434="","",IF(C1434="",1,COUNTIF($C$2:$C$1501,C1434)))</f>
        <v/>
      </c>
      <c r="H1434" s="11">
        <f>IF(A1434="","",IFERROR(VALUE(SUBSTITUTE(SUBSTITUTE(INDEX('Etsy Import'!$A:$CZ,1434,Settings!$C$25)&amp;"","$",""),",","")),0)/IF(Settings!$B$27="Yes",G1434,1))</f>
        <v/>
      </c>
      <c r="I1434" s="11">
        <f>IF(A1434="","",IFERROR(VALUE(SUBSTITUTE(SUBSTITUTE(INDEX('Etsy Import'!$A:$CZ,1434,Settings!$C$26)&amp;"","$",""),",","")),0)/IF(Settings!$B$27="Yes",G1434,1))</f>
        <v/>
      </c>
      <c r="J1434" s="11">
        <f>IF(A1434="","",F1434+H1434-I1434)</f>
        <v/>
      </c>
      <c r="K1434">
        <f>IF(A1434="","",IFERROR(IF(B1434="",NA(),MATCH(B1434,Products!$B$5:$B$204,0)),IFERROR(MATCH(A1434,Products!$A$5:$A$204,0),"")))</f>
        <v/>
      </c>
      <c r="L1434">
        <f>IF(A1434="","",IF(K1434="","⚠ not in Products",INDEX(Products!$A$5:$A$204,K1434)))</f>
        <v/>
      </c>
      <c r="M1434" s="11">
        <f>IF(A1434="","",J1434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1434+IFERROR(INDEX(Settings!$D$5:$D$9,MATCH("Etsy",Settings!$A$5:$A$9,0)),0)*D1434)</f>
        <v/>
      </c>
      <c r="N1434" s="11">
        <f>IF(A1434="","",IF(K1434="",0,D1434*INDEX(Products!$I$5:$I$204,K1434)))</f>
        <v/>
      </c>
      <c r="O1434" s="11">
        <f>IF(A1434="","",IF(K1434="",0,J1434*INDEX(Products!$H$5:$H$204,K1434)))</f>
        <v/>
      </c>
      <c r="P1434" s="11">
        <f>IF(A1434="","",J1434-M1434-N1434-O1434)</f>
        <v/>
      </c>
    </row>
    <row r="1435">
      <c r="A1435">
        <f>IFERROR(INDEX('Etsy Import'!$A:$CZ,1435,Settings!$C$20)&amp;"","")</f>
        <v/>
      </c>
      <c r="B1435">
        <f>IFERROR(INDEX('Etsy Import'!$A:$CZ,1435,Settings!$C$21)&amp;"","")</f>
        <v/>
      </c>
      <c r="C1435">
        <f>IFERROR(INDEX('Etsy Import'!$A:$CZ,1435,Settings!$C$22)&amp;"","")</f>
        <v/>
      </c>
      <c r="D1435">
        <f>IF(A1435="","",IFERROR(VALUE(SUBSTITUTE(SUBSTITUTE(INDEX('Etsy Import'!$A:$CZ,1435,Settings!$C$23)&amp;"","$",""),",","")),0))</f>
        <v/>
      </c>
      <c r="E1435" s="11">
        <f>IF(A1435="","",IFERROR(VALUE(SUBSTITUTE(SUBSTITUTE(INDEX('Etsy Import'!$A:$CZ,1435,Settings!$C$24)&amp;"","$",""),",","")),0))</f>
        <v/>
      </c>
      <c r="F1435" s="11">
        <f>IF(A1435="","",D1435*E1435)</f>
        <v/>
      </c>
      <c r="G1435">
        <f>IF(A1435="","",IF(C1435="",1,COUNTIF($C$2:$C$1501,C1435)))</f>
        <v/>
      </c>
      <c r="H1435" s="11">
        <f>IF(A1435="","",IFERROR(VALUE(SUBSTITUTE(SUBSTITUTE(INDEX('Etsy Import'!$A:$CZ,1435,Settings!$C$25)&amp;"","$",""),",","")),0)/IF(Settings!$B$27="Yes",G1435,1))</f>
        <v/>
      </c>
      <c r="I1435" s="11">
        <f>IF(A1435="","",IFERROR(VALUE(SUBSTITUTE(SUBSTITUTE(INDEX('Etsy Import'!$A:$CZ,1435,Settings!$C$26)&amp;"","$",""),",","")),0)/IF(Settings!$B$27="Yes",G1435,1))</f>
        <v/>
      </c>
      <c r="J1435" s="11">
        <f>IF(A1435="","",F1435+H1435-I1435)</f>
        <v/>
      </c>
      <c r="K1435">
        <f>IF(A1435="","",IFERROR(IF(B1435="",NA(),MATCH(B1435,Products!$B$5:$B$204,0)),IFERROR(MATCH(A1435,Products!$A$5:$A$204,0),"")))</f>
        <v/>
      </c>
      <c r="L1435">
        <f>IF(A1435="","",IF(K1435="","⚠ not in Products",INDEX(Products!$A$5:$A$204,K1435)))</f>
        <v/>
      </c>
      <c r="M1435" s="11">
        <f>IF(A1435="","",J1435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1435+IFERROR(INDEX(Settings!$D$5:$D$9,MATCH("Etsy",Settings!$A$5:$A$9,0)),0)*D1435)</f>
        <v/>
      </c>
      <c r="N1435" s="11">
        <f>IF(A1435="","",IF(K1435="",0,D1435*INDEX(Products!$I$5:$I$204,K1435)))</f>
        <v/>
      </c>
      <c r="O1435" s="11">
        <f>IF(A1435="","",IF(K1435="",0,J1435*INDEX(Products!$H$5:$H$204,K1435)))</f>
        <v/>
      </c>
      <c r="P1435" s="11">
        <f>IF(A1435="","",J1435-M1435-N1435-O1435)</f>
        <v/>
      </c>
    </row>
    <row r="1436">
      <c r="A1436">
        <f>IFERROR(INDEX('Etsy Import'!$A:$CZ,1436,Settings!$C$20)&amp;"","")</f>
        <v/>
      </c>
      <c r="B1436">
        <f>IFERROR(INDEX('Etsy Import'!$A:$CZ,1436,Settings!$C$21)&amp;"","")</f>
        <v/>
      </c>
      <c r="C1436">
        <f>IFERROR(INDEX('Etsy Import'!$A:$CZ,1436,Settings!$C$22)&amp;"","")</f>
        <v/>
      </c>
      <c r="D1436">
        <f>IF(A1436="","",IFERROR(VALUE(SUBSTITUTE(SUBSTITUTE(INDEX('Etsy Import'!$A:$CZ,1436,Settings!$C$23)&amp;"","$",""),",","")),0))</f>
        <v/>
      </c>
      <c r="E1436" s="11">
        <f>IF(A1436="","",IFERROR(VALUE(SUBSTITUTE(SUBSTITUTE(INDEX('Etsy Import'!$A:$CZ,1436,Settings!$C$24)&amp;"","$",""),",","")),0))</f>
        <v/>
      </c>
      <c r="F1436" s="11">
        <f>IF(A1436="","",D1436*E1436)</f>
        <v/>
      </c>
      <c r="G1436">
        <f>IF(A1436="","",IF(C1436="",1,COUNTIF($C$2:$C$1501,C1436)))</f>
        <v/>
      </c>
      <c r="H1436" s="11">
        <f>IF(A1436="","",IFERROR(VALUE(SUBSTITUTE(SUBSTITUTE(INDEX('Etsy Import'!$A:$CZ,1436,Settings!$C$25)&amp;"","$",""),",","")),0)/IF(Settings!$B$27="Yes",G1436,1))</f>
        <v/>
      </c>
      <c r="I1436" s="11">
        <f>IF(A1436="","",IFERROR(VALUE(SUBSTITUTE(SUBSTITUTE(INDEX('Etsy Import'!$A:$CZ,1436,Settings!$C$26)&amp;"","$",""),",","")),0)/IF(Settings!$B$27="Yes",G1436,1))</f>
        <v/>
      </c>
      <c r="J1436" s="11">
        <f>IF(A1436="","",F1436+H1436-I1436)</f>
        <v/>
      </c>
      <c r="K1436">
        <f>IF(A1436="","",IFERROR(IF(B1436="",NA(),MATCH(B1436,Products!$B$5:$B$204,0)),IFERROR(MATCH(A1436,Products!$A$5:$A$204,0),"")))</f>
        <v/>
      </c>
      <c r="L1436">
        <f>IF(A1436="","",IF(K1436="","⚠ not in Products",INDEX(Products!$A$5:$A$204,K1436)))</f>
        <v/>
      </c>
      <c r="M1436" s="11">
        <f>IF(A1436="","",J1436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1436+IFERROR(INDEX(Settings!$D$5:$D$9,MATCH("Etsy",Settings!$A$5:$A$9,0)),0)*D1436)</f>
        <v/>
      </c>
      <c r="N1436" s="11">
        <f>IF(A1436="","",IF(K1436="",0,D1436*INDEX(Products!$I$5:$I$204,K1436)))</f>
        <v/>
      </c>
      <c r="O1436" s="11">
        <f>IF(A1436="","",IF(K1436="",0,J1436*INDEX(Products!$H$5:$H$204,K1436)))</f>
        <v/>
      </c>
      <c r="P1436" s="11">
        <f>IF(A1436="","",J1436-M1436-N1436-O1436)</f>
        <v/>
      </c>
    </row>
    <row r="1437">
      <c r="A1437">
        <f>IFERROR(INDEX('Etsy Import'!$A:$CZ,1437,Settings!$C$20)&amp;"","")</f>
        <v/>
      </c>
      <c r="B1437">
        <f>IFERROR(INDEX('Etsy Import'!$A:$CZ,1437,Settings!$C$21)&amp;"","")</f>
        <v/>
      </c>
      <c r="C1437">
        <f>IFERROR(INDEX('Etsy Import'!$A:$CZ,1437,Settings!$C$22)&amp;"","")</f>
        <v/>
      </c>
      <c r="D1437">
        <f>IF(A1437="","",IFERROR(VALUE(SUBSTITUTE(SUBSTITUTE(INDEX('Etsy Import'!$A:$CZ,1437,Settings!$C$23)&amp;"","$",""),",","")),0))</f>
        <v/>
      </c>
      <c r="E1437" s="11">
        <f>IF(A1437="","",IFERROR(VALUE(SUBSTITUTE(SUBSTITUTE(INDEX('Etsy Import'!$A:$CZ,1437,Settings!$C$24)&amp;"","$",""),",","")),0))</f>
        <v/>
      </c>
      <c r="F1437" s="11">
        <f>IF(A1437="","",D1437*E1437)</f>
        <v/>
      </c>
      <c r="G1437">
        <f>IF(A1437="","",IF(C1437="",1,COUNTIF($C$2:$C$1501,C1437)))</f>
        <v/>
      </c>
      <c r="H1437" s="11">
        <f>IF(A1437="","",IFERROR(VALUE(SUBSTITUTE(SUBSTITUTE(INDEX('Etsy Import'!$A:$CZ,1437,Settings!$C$25)&amp;"","$",""),",","")),0)/IF(Settings!$B$27="Yes",G1437,1))</f>
        <v/>
      </c>
      <c r="I1437" s="11">
        <f>IF(A1437="","",IFERROR(VALUE(SUBSTITUTE(SUBSTITUTE(INDEX('Etsy Import'!$A:$CZ,1437,Settings!$C$26)&amp;"","$",""),",","")),0)/IF(Settings!$B$27="Yes",G1437,1))</f>
        <v/>
      </c>
      <c r="J1437" s="11">
        <f>IF(A1437="","",F1437+H1437-I1437)</f>
        <v/>
      </c>
      <c r="K1437">
        <f>IF(A1437="","",IFERROR(IF(B1437="",NA(),MATCH(B1437,Products!$B$5:$B$204,0)),IFERROR(MATCH(A1437,Products!$A$5:$A$204,0),"")))</f>
        <v/>
      </c>
      <c r="L1437">
        <f>IF(A1437="","",IF(K1437="","⚠ not in Products",INDEX(Products!$A$5:$A$204,K1437)))</f>
        <v/>
      </c>
      <c r="M1437" s="11">
        <f>IF(A1437="","",J1437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1437+IFERROR(INDEX(Settings!$D$5:$D$9,MATCH("Etsy",Settings!$A$5:$A$9,0)),0)*D1437)</f>
        <v/>
      </c>
      <c r="N1437" s="11">
        <f>IF(A1437="","",IF(K1437="",0,D1437*INDEX(Products!$I$5:$I$204,K1437)))</f>
        <v/>
      </c>
      <c r="O1437" s="11">
        <f>IF(A1437="","",IF(K1437="",0,J1437*INDEX(Products!$H$5:$H$204,K1437)))</f>
        <v/>
      </c>
      <c r="P1437" s="11">
        <f>IF(A1437="","",J1437-M1437-N1437-O1437)</f>
        <v/>
      </c>
    </row>
    <row r="1438">
      <c r="A1438">
        <f>IFERROR(INDEX('Etsy Import'!$A:$CZ,1438,Settings!$C$20)&amp;"","")</f>
        <v/>
      </c>
      <c r="B1438">
        <f>IFERROR(INDEX('Etsy Import'!$A:$CZ,1438,Settings!$C$21)&amp;"","")</f>
        <v/>
      </c>
      <c r="C1438">
        <f>IFERROR(INDEX('Etsy Import'!$A:$CZ,1438,Settings!$C$22)&amp;"","")</f>
        <v/>
      </c>
      <c r="D1438">
        <f>IF(A1438="","",IFERROR(VALUE(SUBSTITUTE(SUBSTITUTE(INDEX('Etsy Import'!$A:$CZ,1438,Settings!$C$23)&amp;"","$",""),",","")),0))</f>
        <v/>
      </c>
      <c r="E1438" s="11">
        <f>IF(A1438="","",IFERROR(VALUE(SUBSTITUTE(SUBSTITUTE(INDEX('Etsy Import'!$A:$CZ,1438,Settings!$C$24)&amp;"","$",""),",","")),0))</f>
        <v/>
      </c>
      <c r="F1438" s="11">
        <f>IF(A1438="","",D1438*E1438)</f>
        <v/>
      </c>
      <c r="G1438">
        <f>IF(A1438="","",IF(C1438="",1,COUNTIF($C$2:$C$1501,C1438)))</f>
        <v/>
      </c>
      <c r="H1438" s="11">
        <f>IF(A1438="","",IFERROR(VALUE(SUBSTITUTE(SUBSTITUTE(INDEX('Etsy Import'!$A:$CZ,1438,Settings!$C$25)&amp;"","$",""),",","")),0)/IF(Settings!$B$27="Yes",G1438,1))</f>
        <v/>
      </c>
      <c r="I1438" s="11">
        <f>IF(A1438="","",IFERROR(VALUE(SUBSTITUTE(SUBSTITUTE(INDEX('Etsy Import'!$A:$CZ,1438,Settings!$C$26)&amp;"","$",""),",","")),0)/IF(Settings!$B$27="Yes",G1438,1))</f>
        <v/>
      </c>
      <c r="J1438" s="11">
        <f>IF(A1438="","",F1438+H1438-I1438)</f>
        <v/>
      </c>
      <c r="K1438">
        <f>IF(A1438="","",IFERROR(IF(B1438="",NA(),MATCH(B1438,Products!$B$5:$B$204,0)),IFERROR(MATCH(A1438,Products!$A$5:$A$204,0),"")))</f>
        <v/>
      </c>
      <c r="L1438">
        <f>IF(A1438="","",IF(K1438="","⚠ not in Products",INDEX(Products!$A$5:$A$204,K1438)))</f>
        <v/>
      </c>
      <c r="M1438" s="11">
        <f>IF(A1438="","",J1438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1438+IFERROR(INDEX(Settings!$D$5:$D$9,MATCH("Etsy",Settings!$A$5:$A$9,0)),0)*D1438)</f>
        <v/>
      </c>
      <c r="N1438" s="11">
        <f>IF(A1438="","",IF(K1438="",0,D1438*INDEX(Products!$I$5:$I$204,K1438)))</f>
        <v/>
      </c>
      <c r="O1438" s="11">
        <f>IF(A1438="","",IF(K1438="",0,J1438*INDEX(Products!$H$5:$H$204,K1438)))</f>
        <v/>
      </c>
      <c r="P1438" s="11">
        <f>IF(A1438="","",J1438-M1438-N1438-O1438)</f>
        <v/>
      </c>
    </row>
    <row r="1439">
      <c r="A1439">
        <f>IFERROR(INDEX('Etsy Import'!$A:$CZ,1439,Settings!$C$20)&amp;"","")</f>
        <v/>
      </c>
      <c r="B1439">
        <f>IFERROR(INDEX('Etsy Import'!$A:$CZ,1439,Settings!$C$21)&amp;"","")</f>
        <v/>
      </c>
      <c r="C1439">
        <f>IFERROR(INDEX('Etsy Import'!$A:$CZ,1439,Settings!$C$22)&amp;"","")</f>
        <v/>
      </c>
      <c r="D1439">
        <f>IF(A1439="","",IFERROR(VALUE(SUBSTITUTE(SUBSTITUTE(INDEX('Etsy Import'!$A:$CZ,1439,Settings!$C$23)&amp;"","$",""),",","")),0))</f>
        <v/>
      </c>
      <c r="E1439" s="11">
        <f>IF(A1439="","",IFERROR(VALUE(SUBSTITUTE(SUBSTITUTE(INDEX('Etsy Import'!$A:$CZ,1439,Settings!$C$24)&amp;"","$",""),",","")),0))</f>
        <v/>
      </c>
      <c r="F1439" s="11">
        <f>IF(A1439="","",D1439*E1439)</f>
        <v/>
      </c>
      <c r="G1439">
        <f>IF(A1439="","",IF(C1439="",1,COUNTIF($C$2:$C$1501,C1439)))</f>
        <v/>
      </c>
      <c r="H1439" s="11">
        <f>IF(A1439="","",IFERROR(VALUE(SUBSTITUTE(SUBSTITUTE(INDEX('Etsy Import'!$A:$CZ,1439,Settings!$C$25)&amp;"","$",""),",","")),0)/IF(Settings!$B$27="Yes",G1439,1))</f>
        <v/>
      </c>
      <c r="I1439" s="11">
        <f>IF(A1439="","",IFERROR(VALUE(SUBSTITUTE(SUBSTITUTE(INDEX('Etsy Import'!$A:$CZ,1439,Settings!$C$26)&amp;"","$",""),",","")),0)/IF(Settings!$B$27="Yes",G1439,1))</f>
        <v/>
      </c>
      <c r="J1439" s="11">
        <f>IF(A1439="","",F1439+H1439-I1439)</f>
        <v/>
      </c>
      <c r="K1439">
        <f>IF(A1439="","",IFERROR(IF(B1439="",NA(),MATCH(B1439,Products!$B$5:$B$204,0)),IFERROR(MATCH(A1439,Products!$A$5:$A$204,0),"")))</f>
        <v/>
      </c>
      <c r="L1439">
        <f>IF(A1439="","",IF(K1439="","⚠ not in Products",INDEX(Products!$A$5:$A$204,K1439)))</f>
        <v/>
      </c>
      <c r="M1439" s="11">
        <f>IF(A1439="","",J1439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1439+IFERROR(INDEX(Settings!$D$5:$D$9,MATCH("Etsy",Settings!$A$5:$A$9,0)),0)*D1439)</f>
        <v/>
      </c>
      <c r="N1439" s="11">
        <f>IF(A1439="","",IF(K1439="",0,D1439*INDEX(Products!$I$5:$I$204,K1439)))</f>
        <v/>
      </c>
      <c r="O1439" s="11">
        <f>IF(A1439="","",IF(K1439="",0,J1439*INDEX(Products!$H$5:$H$204,K1439)))</f>
        <v/>
      </c>
      <c r="P1439" s="11">
        <f>IF(A1439="","",J1439-M1439-N1439-O1439)</f>
        <v/>
      </c>
    </row>
    <row r="1440">
      <c r="A1440">
        <f>IFERROR(INDEX('Etsy Import'!$A:$CZ,1440,Settings!$C$20)&amp;"","")</f>
        <v/>
      </c>
      <c r="B1440">
        <f>IFERROR(INDEX('Etsy Import'!$A:$CZ,1440,Settings!$C$21)&amp;"","")</f>
        <v/>
      </c>
      <c r="C1440">
        <f>IFERROR(INDEX('Etsy Import'!$A:$CZ,1440,Settings!$C$22)&amp;"","")</f>
        <v/>
      </c>
      <c r="D1440">
        <f>IF(A1440="","",IFERROR(VALUE(SUBSTITUTE(SUBSTITUTE(INDEX('Etsy Import'!$A:$CZ,1440,Settings!$C$23)&amp;"","$",""),",","")),0))</f>
        <v/>
      </c>
      <c r="E1440" s="11">
        <f>IF(A1440="","",IFERROR(VALUE(SUBSTITUTE(SUBSTITUTE(INDEX('Etsy Import'!$A:$CZ,1440,Settings!$C$24)&amp;"","$",""),",","")),0))</f>
        <v/>
      </c>
      <c r="F1440" s="11">
        <f>IF(A1440="","",D1440*E1440)</f>
        <v/>
      </c>
      <c r="G1440">
        <f>IF(A1440="","",IF(C1440="",1,COUNTIF($C$2:$C$1501,C1440)))</f>
        <v/>
      </c>
      <c r="H1440" s="11">
        <f>IF(A1440="","",IFERROR(VALUE(SUBSTITUTE(SUBSTITUTE(INDEX('Etsy Import'!$A:$CZ,1440,Settings!$C$25)&amp;"","$",""),",","")),0)/IF(Settings!$B$27="Yes",G1440,1))</f>
        <v/>
      </c>
      <c r="I1440" s="11">
        <f>IF(A1440="","",IFERROR(VALUE(SUBSTITUTE(SUBSTITUTE(INDEX('Etsy Import'!$A:$CZ,1440,Settings!$C$26)&amp;"","$",""),",","")),0)/IF(Settings!$B$27="Yes",G1440,1))</f>
        <v/>
      </c>
      <c r="J1440" s="11">
        <f>IF(A1440="","",F1440+H1440-I1440)</f>
        <v/>
      </c>
      <c r="K1440">
        <f>IF(A1440="","",IFERROR(IF(B1440="",NA(),MATCH(B1440,Products!$B$5:$B$204,0)),IFERROR(MATCH(A1440,Products!$A$5:$A$204,0),"")))</f>
        <v/>
      </c>
      <c r="L1440">
        <f>IF(A1440="","",IF(K1440="","⚠ not in Products",INDEX(Products!$A$5:$A$204,K1440)))</f>
        <v/>
      </c>
      <c r="M1440" s="11">
        <f>IF(A1440="","",J1440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1440+IFERROR(INDEX(Settings!$D$5:$D$9,MATCH("Etsy",Settings!$A$5:$A$9,0)),0)*D1440)</f>
        <v/>
      </c>
      <c r="N1440" s="11">
        <f>IF(A1440="","",IF(K1440="",0,D1440*INDEX(Products!$I$5:$I$204,K1440)))</f>
        <v/>
      </c>
      <c r="O1440" s="11">
        <f>IF(A1440="","",IF(K1440="",0,J1440*INDEX(Products!$H$5:$H$204,K1440)))</f>
        <v/>
      </c>
      <c r="P1440" s="11">
        <f>IF(A1440="","",J1440-M1440-N1440-O1440)</f>
        <v/>
      </c>
    </row>
    <row r="1441">
      <c r="A1441">
        <f>IFERROR(INDEX('Etsy Import'!$A:$CZ,1441,Settings!$C$20)&amp;"","")</f>
        <v/>
      </c>
      <c r="B1441">
        <f>IFERROR(INDEX('Etsy Import'!$A:$CZ,1441,Settings!$C$21)&amp;"","")</f>
        <v/>
      </c>
      <c r="C1441">
        <f>IFERROR(INDEX('Etsy Import'!$A:$CZ,1441,Settings!$C$22)&amp;"","")</f>
        <v/>
      </c>
      <c r="D1441">
        <f>IF(A1441="","",IFERROR(VALUE(SUBSTITUTE(SUBSTITUTE(INDEX('Etsy Import'!$A:$CZ,1441,Settings!$C$23)&amp;"","$",""),",","")),0))</f>
        <v/>
      </c>
      <c r="E1441" s="11">
        <f>IF(A1441="","",IFERROR(VALUE(SUBSTITUTE(SUBSTITUTE(INDEX('Etsy Import'!$A:$CZ,1441,Settings!$C$24)&amp;"","$",""),",","")),0))</f>
        <v/>
      </c>
      <c r="F1441" s="11">
        <f>IF(A1441="","",D1441*E1441)</f>
        <v/>
      </c>
      <c r="G1441">
        <f>IF(A1441="","",IF(C1441="",1,COUNTIF($C$2:$C$1501,C1441)))</f>
        <v/>
      </c>
      <c r="H1441" s="11">
        <f>IF(A1441="","",IFERROR(VALUE(SUBSTITUTE(SUBSTITUTE(INDEX('Etsy Import'!$A:$CZ,1441,Settings!$C$25)&amp;"","$",""),",","")),0)/IF(Settings!$B$27="Yes",G1441,1))</f>
        <v/>
      </c>
      <c r="I1441" s="11">
        <f>IF(A1441="","",IFERROR(VALUE(SUBSTITUTE(SUBSTITUTE(INDEX('Etsy Import'!$A:$CZ,1441,Settings!$C$26)&amp;"","$",""),",","")),0)/IF(Settings!$B$27="Yes",G1441,1))</f>
        <v/>
      </c>
      <c r="J1441" s="11">
        <f>IF(A1441="","",F1441+H1441-I1441)</f>
        <v/>
      </c>
      <c r="K1441">
        <f>IF(A1441="","",IFERROR(IF(B1441="",NA(),MATCH(B1441,Products!$B$5:$B$204,0)),IFERROR(MATCH(A1441,Products!$A$5:$A$204,0),"")))</f>
        <v/>
      </c>
      <c r="L1441">
        <f>IF(A1441="","",IF(K1441="","⚠ not in Products",INDEX(Products!$A$5:$A$204,K1441)))</f>
        <v/>
      </c>
      <c r="M1441" s="11">
        <f>IF(A1441="","",J1441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1441+IFERROR(INDEX(Settings!$D$5:$D$9,MATCH("Etsy",Settings!$A$5:$A$9,0)),0)*D1441)</f>
        <v/>
      </c>
      <c r="N1441" s="11">
        <f>IF(A1441="","",IF(K1441="",0,D1441*INDEX(Products!$I$5:$I$204,K1441)))</f>
        <v/>
      </c>
      <c r="O1441" s="11">
        <f>IF(A1441="","",IF(K1441="",0,J1441*INDEX(Products!$H$5:$H$204,K1441)))</f>
        <v/>
      </c>
      <c r="P1441" s="11">
        <f>IF(A1441="","",J1441-M1441-N1441-O1441)</f>
        <v/>
      </c>
    </row>
    <row r="1442">
      <c r="A1442">
        <f>IFERROR(INDEX('Etsy Import'!$A:$CZ,1442,Settings!$C$20)&amp;"","")</f>
        <v/>
      </c>
      <c r="B1442">
        <f>IFERROR(INDEX('Etsy Import'!$A:$CZ,1442,Settings!$C$21)&amp;"","")</f>
        <v/>
      </c>
      <c r="C1442">
        <f>IFERROR(INDEX('Etsy Import'!$A:$CZ,1442,Settings!$C$22)&amp;"","")</f>
        <v/>
      </c>
      <c r="D1442">
        <f>IF(A1442="","",IFERROR(VALUE(SUBSTITUTE(SUBSTITUTE(INDEX('Etsy Import'!$A:$CZ,1442,Settings!$C$23)&amp;"","$",""),",","")),0))</f>
        <v/>
      </c>
      <c r="E1442" s="11">
        <f>IF(A1442="","",IFERROR(VALUE(SUBSTITUTE(SUBSTITUTE(INDEX('Etsy Import'!$A:$CZ,1442,Settings!$C$24)&amp;"","$",""),",","")),0))</f>
        <v/>
      </c>
      <c r="F1442" s="11">
        <f>IF(A1442="","",D1442*E1442)</f>
        <v/>
      </c>
      <c r="G1442">
        <f>IF(A1442="","",IF(C1442="",1,COUNTIF($C$2:$C$1501,C1442)))</f>
        <v/>
      </c>
      <c r="H1442" s="11">
        <f>IF(A1442="","",IFERROR(VALUE(SUBSTITUTE(SUBSTITUTE(INDEX('Etsy Import'!$A:$CZ,1442,Settings!$C$25)&amp;"","$",""),",","")),0)/IF(Settings!$B$27="Yes",G1442,1))</f>
        <v/>
      </c>
      <c r="I1442" s="11">
        <f>IF(A1442="","",IFERROR(VALUE(SUBSTITUTE(SUBSTITUTE(INDEX('Etsy Import'!$A:$CZ,1442,Settings!$C$26)&amp;"","$",""),",","")),0)/IF(Settings!$B$27="Yes",G1442,1))</f>
        <v/>
      </c>
      <c r="J1442" s="11">
        <f>IF(A1442="","",F1442+H1442-I1442)</f>
        <v/>
      </c>
      <c r="K1442">
        <f>IF(A1442="","",IFERROR(IF(B1442="",NA(),MATCH(B1442,Products!$B$5:$B$204,0)),IFERROR(MATCH(A1442,Products!$A$5:$A$204,0),"")))</f>
        <v/>
      </c>
      <c r="L1442">
        <f>IF(A1442="","",IF(K1442="","⚠ not in Products",INDEX(Products!$A$5:$A$204,K1442)))</f>
        <v/>
      </c>
      <c r="M1442" s="11">
        <f>IF(A1442="","",J1442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1442+IFERROR(INDEX(Settings!$D$5:$D$9,MATCH("Etsy",Settings!$A$5:$A$9,0)),0)*D1442)</f>
        <v/>
      </c>
      <c r="N1442" s="11">
        <f>IF(A1442="","",IF(K1442="",0,D1442*INDEX(Products!$I$5:$I$204,K1442)))</f>
        <v/>
      </c>
      <c r="O1442" s="11">
        <f>IF(A1442="","",IF(K1442="",0,J1442*INDEX(Products!$H$5:$H$204,K1442)))</f>
        <v/>
      </c>
      <c r="P1442" s="11">
        <f>IF(A1442="","",J1442-M1442-N1442-O1442)</f>
        <v/>
      </c>
    </row>
    <row r="1443">
      <c r="A1443">
        <f>IFERROR(INDEX('Etsy Import'!$A:$CZ,1443,Settings!$C$20)&amp;"","")</f>
        <v/>
      </c>
      <c r="B1443">
        <f>IFERROR(INDEX('Etsy Import'!$A:$CZ,1443,Settings!$C$21)&amp;"","")</f>
        <v/>
      </c>
      <c r="C1443">
        <f>IFERROR(INDEX('Etsy Import'!$A:$CZ,1443,Settings!$C$22)&amp;"","")</f>
        <v/>
      </c>
      <c r="D1443">
        <f>IF(A1443="","",IFERROR(VALUE(SUBSTITUTE(SUBSTITUTE(INDEX('Etsy Import'!$A:$CZ,1443,Settings!$C$23)&amp;"","$",""),",","")),0))</f>
        <v/>
      </c>
      <c r="E1443" s="11">
        <f>IF(A1443="","",IFERROR(VALUE(SUBSTITUTE(SUBSTITUTE(INDEX('Etsy Import'!$A:$CZ,1443,Settings!$C$24)&amp;"","$",""),",","")),0))</f>
        <v/>
      </c>
      <c r="F1443" s="11">
        <f>IF(A1443="","",D1443*E1443)</f>
        <v/>
      </c>
      <c r="G1443">
        <f>IF(A1443="","",IF(C1443="",1,COUNTIF($C$2:$C$1501,C1443)))</f>
        <v/>
      </c>
      <c r="H1443" s="11">
        <f>IF(A1443="","",IFERROR(VALUE(SUBSTITUTE(SUBSTITUTE(INDEX('Etsy Import'!$A:$CZ,1443,Settings!$C$25)&amp;"","$",""),",","")),0)/IF(Settings!$B$27="Yes",G1443,1))</f>
        <v/>
      </c>
      <c r="I1443" s="11">
        <f>IF(A1443="","",IFERROR(VALUE(SUBSTITUTE(SUBSTITUTE(INDEX('Etsy Import'!$A:$CZ,1443,Settings!$C$26)&amp;"","$",""),",","")),0)/IF(Settings!$B$27="Yes",G1443,1))</f>
        <v/>
      </c>
      <c r="J1443" s="11">
        <f>IF(A1443="","",F1443+H1443-I1443)</f>
        <v/>
      </c>
      <c r="K1443">
        <f>IF(A1443="","",IFERROR(IF(B1443="",NA(),MATCH(B1443,Products!$B$5:$B$204,0)),IFERROR(MATCH(A1443,Products!$A$5:$A$204,0),"")))</f>
        <v/>
      </c>
      <c r="L1443">
        <f>IF(A1443="","",IF(K1443="","⚠ not in Products",INDEX(Products!$A$5:$A$204,K1443)))</f>
        <v/>
      </c>
      <c r="M1443" s="11">
        <f>IF(A1443="","",J1443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1443+IFERROR(INDEX(Settings!$D$5:$D$9,MATCH("Etsy",Settings!$A$5:$A$9,0)),0)*D1443)</f>
        <v/>
      </c>
      <c r="N1443" s="11">
        <f>IF(A1443="","",IF(K1443="",0,D1443*INDEX(Products!$I$5:$I$204,K1443)))</f>
        <v/>
      </c>
      <c r="O1443" s="11">
        <f>IF(A1443="","",IF(K1443="",0,J1443*INDEX(Products!$H$5:$H$204,K1443)))</f>
        <v/>
      </c>
      <c r="P1443" s="11">
        <f>IF(A1443="","",J1443-M1443-N1443-O1443)</f>
        <v/>
      </c>
    </row>
    <row r="1444">
      <c r="A1444">
        <f>IFERROR(INDEX('Etsy Import'!$A:$CZ,1444,Settings!$C$20)&amp;"","")</f>
        <v/>
      </c>
      <c r="B1444">
        <f>IFERROR(INDEX('Etsy Import'!$A:$CZ,1444,Settings!$C$21)&amp;"","")</f>
        <v/>
      </c>
      <c r="C1444">
        <f>IFERROR(INDEX('Etsy Import'!$A:$CZ,1444,Settings!$C$22)&amp;"","")</f>
        <v/>
      </c>
      <c r="D1444">
        <f>IF(A1444="","",IFERROR(VALUE(SUBSTITUTE(SUBSTITUTE(INDEX('Etsy Import'!$A:$CZ,1444,Settings!$C$23)&amp;"","$",""),",","")),0))</f>
        <v/>
      </c>
      <c r="E1444" s="11">
        <f>IF(A1444="","",IFERROR(VALUE(SUBSTITUTE(SUBSTITUTE(INDEX('Etsy Import'!$A:$CZ,1444,Settings!$C$24)&amp;"","$",""),",","")),0))</f>
        <v/>
      </c>
      <c r="F1444" s="11">
        <f>IF(A1444="","",D1444*E1444)</f>
        <v/>
      </c>
      <c r="G1444">
        <f>IF(A1444="","",IF(C1444="",1,COUNTIF($C$2:$C$1501,C1444)))</f>
        <v/>
      </c>
      <c r="H1444" s="11">
        <f>IF(A1444="","",IFERROR(VALUE(SUBSTITUTE(SUBSTITUTE(INDEX('Etsy Import'!$A:$CZ,1444,Settings!$C$25)&amp;"","$",""),",","")),0)/IF(Settings!$B$27="Yes",G1444,1))</f>
        <v/>
      </c>
      <c r="I1444" s="11">
        <f>IF(A1444="","",IFERROR(VALUE(SUBSTITUTE(SUBSTITUTE(INDEX('Etsy Import'!$A:$CZ,1444,Settings!$C$26)&amp;"","$",""),",","")),0)/IF(Settings!$B$27="Yes",G1444,1))</f>
        <v/>
      </c>
      <c r="J1444" s="11">
        <f>IF(A1444="","",F1444+H1444-I1444)</f>
        <v/>
      </c>
      <c r="K1444">
        <f>IF(A1444="","",IFERROR(IF(B1444="",NA(),MATCH(B1444,Products!$B$5:$B$204,0)),IFERROR(MATCH(A1444,Products!$A$5:$A$204,0),"")))</f>
        <v/>
      </c>
      <c r="L1444">
        <f>IF(A1444="","",IF(K1444="","⚠ not in Products",INDEX(Products!$A$5:$A$204,K1444)))</f>
        <v/>
      </c>
      <c r="M1444" s="11">
        <f>IF(A1444="","",J1444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1444+IFERROR(INDEX(Settings!$D$5:$D$9,MATCH("Etsy",Settings!$A$5:$A$9,0)),0)*D1444)</f>
        <v/>
      </c>
      <c r="N1444" s="11">
        <f>IF(A1444="","",IF(K1444="",0,D1444*INDEX(Products!$I$5:$I$204,K1444)))</f>
        <v/>
      </c>
      <c r="O1444" s="11">
        <f>IF(A1444="","",IF(K1444="",0,J1444*INDEX(Products!$H$5:$H$204,K1444)))</f>
        <v/>
      </c>
      <c r="P1444" s="11">
        <f>IF(A1444="","",J1444-M1444-N1444-O1444)</f>
        <v/>
      </c>
    </row>
    <row r="1445">
      <c r="A1445">
        <f>IFERROR(INDEX('Etsy Import'!$A:$CZ,1445,Settings!$C$20)&amp;"","")</f>
        <v/>
      </c>
      <c r="B1445">
        <f>IFERROR(INDEX('Etsy Import'!$A:$CZ,1445,Settings!$C$21)&amp;"","")</f>
        <v/>
      </c>
      <c r="C1445">
        <f>IFERROR(INDEX('Etsy Import'!$A:$CZ,1445,Settings!$C$22)&amp;"","")</f>
        <v/>
      </c>
      <c r="D1445">
        <f>IF(A1445="","",IFERROR(VALUE(SUBSTITUTE(SUBSTITUTE(INDEX('Etsy Import'!$A:$CZ,1445,Settings!$C$23)&amp;"","$",""),",","")),0))</f>
        <v/>
      </c>
      <c r="E1445" s="11">
        <f>IF(A1445="","",IFERROR(VALUE(SUBSTITUTE(SUBSTITUTE(INDEX('Etsy Import'!$A:$CZ,1445,Settings!$C$24)&amp;"","$",""),",","")),0))</f>
        <v/>
      </c>
      <c r="F1445" s="11">
        <f>IF(A1445="","",D1445*E1445)</f>
        <v/>
      </c>
      <c r="G1445">
        <f>IF(A1445="","",IF(C1445="",1,COUNTIF($C$2:$C$1501,C1445)))</f>
        <v/>
      </c>
      <c r="H1445" s="11">
        <f>IF(A1445="","",IFERROR(VALUE(SUBSTITUTE(SUBSTITUTE(INDEX('Etsy Import'!$A:$CZ,1445,Settings!$C$25)&amp;"","$",""),",","")),0)/IF(Settings!$B$27="Yes",G1445,1))</f>
        <v/>
      </c>
      <c r="I1445" s="11">
        <f>IF(A1445="","",IFERROR(VALUE(SUBSTITUTE(SUBSTITUTE(INDEX('Etsy Import'!$A:$CZ,1445,Settings!$C$26)&amp;"","$",""),",","")),0)/IF(Settings!$B$27="Yes",G1445,1))</f>
        <v/>
      </c>
      <c r="J1445" s="11">
        <f>IF(A1445="","",F1445+H1445-I1445)</f>
        <v/>
      </c>
      <c r="K1445">
        <f>IF(A1445="","",IFERROR(IF(B1445="",NA(),MATCH(B1445,Products!$B$5:$B$204,0)),IFERROR(MATCH(A1445,Products!$A$5:$A$204,0),"")))</f>
        <v/>
      </c>
      <c r="L1445">
        <f>IF(A1445="","",IF(K1445="","⚠ not in Products",INDEX(Products!$A$5:$A$204,K1445)))</f>
        <v/>
      </c>
      <c r="M1445" s="11">
        <f>IF(A1445="","",J1445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1445+IFERROR(INDEX(Settings!$D$5:$D$9,MATCH("Etsy",Settings!$A$5:$A$9,0)),0)*D1445)</f>
        <v/>
      </c>
      <c r="N1445" s="11">
        <f>IF(A1445="","",IF(K1445="",0,D1445*INDEX(Products!$I$5:$I$204,K1445)))</f>
        <v/>
      </c>
      <c r="O1445" s="11">
        <f>IF(A1445="","",IF(K1445="",0,J1445*INDEX(Products!$H$5:$H$204,K1445)))</f>
        <v/>
      </c>
      <c r="P1445" s="11">
        <f>IF(A1445="","",J1445-M1445-N1445-O1445)</f>
        <v/>
      </c>
    </row>
    <row r="1446">
      <c r="A1446">
        <f>IFERROR(INDEX('Etsy Import'!$A:$CZ,1446,Settings!$C$20)&amp;"","")</f>
        <v/>
      </c>
      <c r="B1446">
        <f>IFERROR(INDEX('Etsy Import'!$A:$CZ,1446,Settings!$C$21)&amp;"","")</f>
        <v/>
      </c>
      <c r="C1446">
        <f>IFERROR(INDEX('Etsy Import'!$A:$CZ,1446,Settings!$C$22)&amp;"","")</f>
        <v/>
      </c>
      <c r="D1446">
        <f>IF(A1446="","",IFERROR(VALUE(SUBSTITUTE(SUBSTITUTE(INDEX('Etsy Import'!$A:$CZ,1446,Settings!$C$23)&amp;"","$",""),",","")),0))</f>
        <v/>
      </c>
      <c r="E1446" s="11">
        <f>IF(A1446="","",IFERROR(VALUE(SUBSTITUTE(SUBSTITUTE(INDEX('Etsy Import'!$A:$CZ,1446,Settings!$C$24)&amp;"","$",""),",","")),0))</f>
        <v/>
      </c>
      <c r="F1446" s="11">
        <f>IF(A1446="","",D1446*E1446)</f>
        <v/>
      </c>
      <c r="G1446">
        <f>IF(A1446="","",IF(C1446="",1,COUNTIF($C$2:$C$1501,C1446)))</f>
        <v/>
      </c>
      <c r="H1446" s="11">
        <f>IF(A1446="","",IFERROR(VALUE(SUBSTITUTE(SUBSTITUTE(INDEX('Etsy Import'!$A:$CZ,1446,Settings!$C$25)&amp;"","$",""),",","")),0)/IF(Settings!$B$27="Yes",G1446,1))</f>
        <v/>
      </c>
      <c r="I1446" s="11">
        <f>IF(A1446="","",IFERROR(VALUE(SUBSTITUTE(SUBSTITUTE(INDEX('Etsy Import'!$A:$CZ,1446,Settings!$C$26)&amp;"","$",""),",","")),0)/IF(Settings!$B$27="Yes",G1446,1))</f>
        <v/>
      </c>
      <c r="J1446" s="11">
        <f>IF(A1446="","",F1446+H1446-I1446)</f>
        <v/>
      </c>
      <c r="K1446">
        <f>IF(A1446="","",IFERROR(IF(B1446="",NA(),MATCH(B1446,Products!$B$5:$B$204,0)),IFERROR(MATCH(A1446,Products!$A$5:$A$204,0),"")))</f>
        <v/>
      </c>
      <c r="L1446">
        <f>IF(A1446="","",IF(K1446="","⚠ not in Products",INDEX(Products!$A$5:$A$204,K1446)))</f>
        <v/>
      </c>
      <c r="M1446" s="11">
        <f>IF(A1446="","",J1446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1446+IFERROR(INDEX(Settings!$D$5:$D$9,MATCH("Etsy",Settings!$A$5:$A$9,0)),0)*D1446)</f>
        <v/>
      </c>
      <c r="N1446" s="11">
        <f>IF(A1446="","",IF(K1446="",0,D1446*INDEX(Products!$I$5:$I$204,K1446)))</f>
        <v/>
      </c>
      <c r="O1446" s="11">
        <f>IF(A1446="","",IF(K1446="",0,J1446*INDEX(Products!$H$5:$H$204,K1446)))</f>
        <v/>
      </c>
      <c r="P1446" s="11">
        <f>IF(A1446="","",J1446-M1446-N1446-O1446)</f>
        <v/>
      </c>
    </row>
    <row r="1447">
      <c r="A1447">
        <f>IFERROR(INDEX('Etsy Import'!$A:$CZ,1447,Settings!$C$20)&amp;"","")</f>
        <v/>
      </c>
      <c r="B1447">
        <f>IFERROR(INDEX('Etsy Import'!$A:$CZ,1447,Settings!$C$21)&amp;"","")</f>
        <v/>
      </c>
      <c r="C1447">
        <f>IFERROR(INDEX('Etsy Import'!$A:$CZ,1447,Settings!$C$22)&amp;"","")</f>
        <v/>
      </c>
      <c r="D1447">
        <f>IF(A1447="","",IFERROR(VALUE(SUBSTITUTE(SUBSTITUTE(INDEX('Etsy Import'!$A:$CZ,1447,Settings!$C$23)&amp;"","$",""),",","")),0))</f>
        <v/>
      </c>
      <c r="E1447" s="11">
        <f>IF(A1447="","",IFERROR(VALUE(SUBSTITUTE(SUBSTITUTE(INDEX('Etsy Import'!$A:$CZ,1447,Settings!$C$24)&amp;"","$",""),",","")),0))</f>
        <v/>
      </c>
      <c r="F1447" s="11">
        <f>IF(A1447="","",D1447*E1447)</f>
        <v/>
      </c>
      <c r="G1447">
        <f>IF(A1447="","",IF(C1447="",1,COUNTIF($C$2:$C$1501,C1447)))</f>
        <v/>
      </c>
      <c r="H1447" s="11">
        <f>IF(A1447="","",IFERROR(VALUE(SUBSTITUTE(SUBSTITUTE(INDEX('Etsy Import'!$A:$CZ,1447,Settings!$C$25)&amp;"","$",""),",","")),0)/IF(Settings!$B$27="Yes",G1447,1))</f>
        <v/>
      </c>
      <c r="I1447" s="11">
        <f>IF(A1447="","",IFERROR(VALUE(SUBSTITUTE(SUBSTITUTE(INDEX('Etsy Import'!$A:$CZ,1447,Settings!$C$26)&amp;"","$",""),",","")),0)/IF(Settings!$B$27="Yes",G1447,1))</f>
        <v/>
      </c>
      <c r="J1447" s="11">
        <f>IF(A1447="","",F1447+H1447-I1447)</f>
        <v/>
      </c>
      <c r="K1447">
        <f>IF(A1447="","",IFERROR(IF(B1447="",NA(),MATCH(B1447,Products!$B$5:$B$204,0)),IFERROR(MATCH(A1447,Products!$A$5:$A$204,0),"")))</f>
        <v/>
      </c>
      <c r="L1447">
        <f>IF(A1447="","",IF(K1447="","⚠ not in Products",INDEX(Products!$A$5:$A$204,K1447)))</f>
        <v/>
      </c>
      <c r="M1447" s="11">
        <f>IF(A1447="","",J1447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1447+IFERROR(INDEX(Settings!$D$5:$D$9,MATCH("Etsy",Settings!$A$5:$A$9,0)),0)*D1447)</f>
        <v/>
      </c>
      <c r="N1447" s="11">
        <f>IF(A1447="","",IF(K1447="",0,D1447*INDEX(Products!$I$5:$I$204,K1447)))</f>
        <v/>
      </c>
      <c r="O1447" s="11">
        <f>IF(A1447="","",IF(K1447="",0,J1447*INDEX(Products!$H$5:$H$204,K1447)))</f>
        <v/>
      </c>
      <c r="P1447" s="11">
        <f>IF(A1447="","",J1447-M1447-N1447-O1447)</f>
        <v/>
      </c>
    </row>
    <row r="1448">
      <c r="A1448">
        <f>IFERROR(INDEX('Etsy Import'!$A:$CZ,1448,Settings!$C$20)&amp;"","")</f>
        <v/>
      </c>
      <c r="B1448">
        <f>IFERROR(INDEX('Etsy Import'!$A:$CZ,1448,Settings!$C$21)&amp;"","")</f>
        <v/>
      </c>
      <c r="C1448">
        <f>IFERROR(INDEX('Etsy Import'!$A:$CZ,1448,Settings!$C$22)&amp;"","")</f>
        <v/>
      </c>
      <c r="D1448">
        <f>IF(A1448="","",IFERROR(VALUE(SUBSTITUTE(SUBSTITUTE(INDEX('Etsy Import'!$A:$CZ,1448,Settings!$C$23)&amp;"","$",""),",","")),0))</f>
        <v/>
      </c>
      <c r="E1448" s="11">
        <f>IF(A1448="","",IFERROR(VALUE(SUBSTITUTE(SUBSTITUTE(INDEX('Etsy Import'!$A:$CZ,1448,Settings!$C$24)&amp;"","$",""),",","")),0))</f>
        <v/>
      </c>
      <c r="F1448" s="11">
        <f>IF(A1448="","",D1448*E1448)</f>
        <v/>
      </c>
      <c r="G1448">
        <f>IF(A1448="","",IF(C1448="",1,COUNTIF($C$2:$C$1501,C1448)))</f>
        <v/>
      </c>
      <c r="H1448" s="11">
        <f>IF(A1448="","",IFERROR(VALUE(SUBSTITUTE(SUBSTITUTE(INDEX('Etsy Import'!$A:$CZ,1448,Settings!$C$25)&amp;"","$",""),",","")),0)/IF(Settings!$B$27="Yes",G1448,1))</f>
        <v/>
      </c>
      <c r="I1448" s="11">
        <f>IF(A1448="","",IFERROR(VALUE(SUBSTITUTE(SUBSTITUTE(INDEX('Etsy Import'!$A:$CZ,1448,Settings!$C$26)&amp;"","$",""),",","")),0)/IF(Settings!$B$27="Yes",G1448,1))</f>
        <v/>
      </c>
      <c r="J1448" s="11">
        <f>IF(A1448="","",F1448+H1448-I1448)</f>
        <v/>
      </c>
      <c r="K1448">
        <f>IF(A1448="","",IFERROR(IF(B1448="",NA(),MATCH(B1448,Products!$B$5:$B$204,0)),IFERROR(MATCH(A1448,Products!$A$5:$A$204,0),"")))</f>
        <v/>
      </c>
      <c r="L1448">
        <f>IF(A1448="","",IF(K1448="","⚠ not in Products",INDEX(Products!$A$5:$A$204,K1448)))</f>
        <v/>
      </c>
      <c r="M1448" s="11">
        <f>IF(A1448="","",J1448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1448+IFERROR(INDEX(Settings!$D$5:$D$9,MATCH("Etsy",Settings!$A$5:$A$9,0)),0)*D1448)</f>
        <v/>
      </c>
      <c r="N1448" s="11">
        <f>IF(A1448="","",IF(K1448="",0,D1448*INDEX(Products!$I$5:$I$204,K1448)))</f>
        <v/>
      </c>
      <c r="O1448" s="11">
        <f>IF(A1448="","",IF(K1448="",0,J1448*INDEX(Products!$H$5:$H$204,K1448)))</f>
        <v/>
      </c>
      <c r="P1448" s="11">
        <f>IF(A1448="","",J1448-M1448-N1448-O1448)</f>
        <v/>
      </c>
    </row>
    <row r="1449">
      <c r="A1449">
        <f>IFERROR(INDEX('Etsy Import'!$A:$CZ,1449,Settings!$C$20)&amp;"","")</f>
        <v/>
      </c>
      <c r="B1449">
        <f>IFERROR(INDEX('Etsy Import'!$A:$CZ,1449,Settings!$C$21)&amp;"","")</f>
        <v/>
      </c>
      <c r="C1449">
        <f>IFERROR(INDEX('Etsy Import'!$A:$CZ,1449,Settings!$C$22)&amp;"","")</f>
        <v/>
      </c>
      <c r="D1449">
        <f>IF(A1449="","",IFERROR(VALUE(SUBSTITUTE(SUBSTITUTE(INDEX('Etsy Import'!$A:$CZ,1449,Settings!$C$23)&amp;"","$",""),",","")),0))</f>
        <v/>
      </c>
      <c r="E1449" s="11">
        <f>IF(A1449="","",IFERROR(VALUE(SUBSTITUTE(SUBSTITUTE(INDEX('Etsy Import'!$A:$CZ,1449,Settings!$C$24)&amp;"","$",""),",","")),0))</f>
        <v/>
      </c>
      <c r="F1449" s="11">
        <f>IF(A1449="","",D1449*E1449)</f>
        <v/>
      </c>
      <c r="G1449">
        <f>IF(A1449="","",IF(C1449="",1,COUNTIF($C$2:$C$1501,C1449)))</f>
        <v/>
      </c>
      <c r="H1449" s="11">
        <f>IF(A1449="","",IFERROR(VALUE(SUBSTITUTE(SUBSTITUTE(INDEX('Etsy Import'!$A:$CZ,1449,Settings!$C$25)&amp;"","$",""),",","")),0)/IF(Settings!$B$27="Yes",G1449,1))</f>
        <v/>
      </c>
      <c r="I1449" s="11">
        <f>IF(A1449="","",IFERROR(VALUE(SUBSTITUTE(SUBSTITUTE(INDEX('Etsy Import'!$A:$CZ,1449,Settings!$C$26)&amp;"","$",""),",","")),0)/IF(Settings!$B$27="Yes",G1449,1))</f>
        <v/>
      </c>
      <c r="J1449" s="11">
        <f>IF(A1449="","",F1449+H1449-I1449)</f>
        <v/>
      </c>
      <c r="K1449">
        <f>IF(A1449="","",IFERROR(IF(B1449="",NA(),MATCH(B1449,Products!$B$5:$B$204,0)),IFERROR(MATCH(A1449,Products!$A$5:$A$204,0),"")))</f>
        <v/>
      </c>
      <c r="L1449">
        <f>IF(A1449="","",IF(K1449="","⚠ not in Products",INDEX(Products!$A$5:$A$204,K1449)))</f>
        <v/>
      </c>
      <c r="M1449" s="11">
        <f>IF(A1449="","",J1449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1449+IFERROR(INDEX(Settings!$D$5:$D$9,MATCH("Etsy",Settings!$A$5:$A$9,0)),0)*D1449)</f>
        <v/>
      </c>
      <c r="N1449" s="11">
        <f>IF(A1449="","",IF(K1449="",0,D1449*INDEX(Products!$I$5:$I$204,K1449)))</f>
        <v/>
      </c>
      <c r="O1449" s="11">
        <f>IF(A1449="","",IF(K1449="",0,J1449*INDEX(Products!$H$5:$H$204,K1449)))</f>
        <v/>
      </c>
      <c r="P1449" s="11">
        <f>IF(A1449="","",J1449-M1449-N1449-O1449)</f>
        <v/>
      </c>
    </row>
    <row r="1450">
      <c r="A1450">
        <f>IFERROR(INDEX('Etsy Import'!$A:$CZ,1450,Settings!$C$20)&amp;"","")</f>
        <v/>
      </c>
      <c r="B1450">
        <f>IFERROR(INDEX('Etsy Import'!$A:$CZ,1450,Settings!$C$21)&amp;"","")</f>
        <v/>
      </c>
      <c r="C1450">
        <f>IFERROR(INDEX('Etsy Import'!$A:$CZ,1450,Settings!$C$22)&amp;"","")</f>
        <v/>
      </c>
      <c r="D1450">
        <f>IF(A1450="","",IFERROR(VALUE(SUBSTITUTE(SUBSTITUTE(INDEX('Etsy Import'!$A:$CZ,1450,Settings!$C$23)&amp;"","$",""),",","")),0))</f>
        <v/>
      </c>
      <c r="E1450" s="11">
        <f>IF(A1450="","",IFERROR(VALUE(SUBSTITUTE(SUBSTITUTE(INDEX('Etsy Import'!$A:$CZ,1450,Settings!$C$24)&amp;"","$",""),",","")),0))</f>
        <v/>
      </c>
      <c r="F1450" s="11">
        <f>IF(A1450="","",D1450*E1450)</f>
        <v/>
      </c>
      <c r="G1450">
        <f>IF(A1450="","",IF(C1450="",1,COUNTIF($C$2:$C$1501,C1450)))</f>
        <v/>
      </c>
      <c r="H1450" s="11">
        <f>IF(A1450="","",IFERROR(VALUE(SUBSTITUTE(SUBSTITUTE(INDEX('Etsy Import'!$A:$CZ,1450,Settings!$C$25)&amp;"","$",""),",","")),0)/IF(Settings!$B$27="Yes",G1450,1))</f>
        <v/>
      </c>
      <c r="I1450" s="11">
        <f>IF(A1450="","",IFERROR(VALUE(SUBSTITUTE(SUBSTITUTE(INDEX('Etsy Import'!$A:$CZ,1450,Settings!$C$26)&amp;"","$",""),",","")),0)/IF(Settings!$B$27="Yes",G1450,1))</f>
        <v/>
      </c>
      <c r="J1450" s="11">
        <f>IF(A1450="","",F1450+H1450-I1450)</f>
        <v/>
      </c>
      <c r="K1450">
        <f>IF(A1450="","",IFERROR(IF(B1450="",NA(),MATCH(B1450,Products!$B$5:$B$204,0)),IFERROR(MATCH(A1450,Products!$A$5:$A$204,0),"")))</f>
        <v/>
      </c>
      <c r="L1450">
        <f>IF(A1450="","",IF(K1450="","⚠ not in Products",INDEX(Products!$A$5:$A$204,K1450)))</f>
        <v/>
      </c>
      <c r="M1450" s="11">
        <f>IF(A1450="","",J1450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1450+IFERROR(INDEX(Settings!$D$5:$D$9,MATCH("Etsy",Settings!$A$5:$A$9,0)),0)*D1450)</f>
        <v/>
      </c>
      <c r="N1450" s="11">
        <f>IF(A1450="","",IF(K1450="",0,D1450*INDEX(Products!$I$5:$I$204,K1450)))</f>
        <v/>
      </c>
      <c r="O1450" s="11">
        <f>IF(A1450="","",IF(K1450="",0,J1450*INDEX(Products!$H$5:$H$204,K1450)))</f>
        <v/>
      </c>
      <c r="P1450" s="11">
        <f>IF(A1450="","",J1450-M1450-N1450-O1450)</f>
        <v/>
      </c>
    </row>
    <row r="1451">
      <c r="A1451">
        <f>IFERROR(INDEX('Etsy Import'!$A:$CZ,1451,Settings!$C$20)&amp;"","")</f>
        <v/>
      </c>
      <c r="B1451">
        <f>IFERROR(INDEX('Etsy Import'!$A:$CZ,1451,Settings!$C$21)&amp;"","")</f>
        <v/>
      </c>
      <c r="C1451">
        <f>IFERROR(INDEX('Etsy Import'!$A:$CZ,1451,Settings!$C$22)&amp;"","")</f>
        <v/>
      </c>
      <c r="D1451">
        <f>IF(A1451="","",IFERROR(VALUE(SUBSTITUTE(SUBSTITUTE(INDEX('Etsy Import'!$A:$CZ,1451,Settings!$C$23)&amp;"","$",""),",","")),0))</f>
        <v/>
      </c>
      <c r="E1451" s="11">
        <f>IF(A1451="","",IFERROR(VALUE(SUBSTITUTE(SUBSTITUTE(INDEX('Etsy Import'!$A:$CZ,1451,Settings!$C$24)&amp;"","$",""),",","")),0))</f>
        <v/>
      </c>
      <c r="F1451" s="11">
        <f>IF(A1451="","",D1451*E1451)</f>
        <v/>
      </c>
      <c r="G1451">
        <f>IF(A1451="","",IF(C1451="",1,COUNTIF($C$2:$C$1501,C1451)))</f>
        <v/>
      </c>
      <c r="H1451" s="11">
        <f>IF(A1451="","",IFERROR(VALUE(SUBSTITUTE(SUBSTITUTE(INDEX('Etsy Import'!$A:$CZ,1451,Settings!$C$25)&amp;"","$",""),",","")),0)/IF(Settings!$B$27="Yes",G1451,1))</f>
        <v/>
      </c>
      <c r="I1451" s="11">
        <f>IF(A1451="","",IFERROR(VALUE(SUBSTITUTE(SUBSTITUTE(INDEX('Etsy Import'!$A:$CZ,1451,Settings!$C$26)&amp;"","$",""),",","")),0)/IF(Settings!$B$27="Yes",G1451,1))</f>
        <v/>
      </c>
      <c r="J1451" s="11">
        <f>IF(A1451="","",F1451+H1451-I1451)</f>
        <v/>
      </c>
      <c r="K1451">
        <f>IF(A1451="","",IFERROR(IF(B1451="",NA(),MATCH(B1451,Products!$B$5:$B$204,0)),IFERROR(MATCH(A1451,Products!$A$5:$A$204,0),"")))</f>
        <v/>
      </c>
      <c r="L1451">
        <f>IF(A1451="","",IF(K1451="","⚠ not in Products",INDEX(Products!$A$5:$A$204,K1451)))</f>
        <v/>
      </c>
      <c r="M1451" s="11">
        <f>IF(A1451="","",J1451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1451+IFERROR(INDEX(Settings!$D$5:$D$9,MATCH("Etsy",Settings!$A$5:$A$9,0)),0)*D1451)</f>
        <v/>
      </c>
      <c r="N1451" s="11">
        <f>IF(A1451="","",IF(K1451="",0,D1451*INDEX(Products!$I$5:$I$204,K1451)))</f>
        <v/>
      </c>
      <c r="O1451" s="11">
        <f>IF(A1451="","",IF(K1451="",0,J1451*INDEX(Products!$H$5:$H$204,K1451)))</f>
        <v/>
      </c>
      <c r="P1451" s="11">
        <f>IF(A1451="","",J1451-M1451-N1451-O1451)</f>
        <v/>
      </c>
    </row>
    <row r="1452">
      <c r="A1452">
        <f>IFERROR(INDEX('Etsy Import'!$A:$CZ,1452,Settings!$C$20)&amp;"","")</f>
        <v/>
      </c>
      <c r="B1452">
        <f>IFERROR(INDEX('Etsy Import'!$A:$CZ,1452,Settings!$C$21)&amp;"","")</f>
        <v/>
      </c>
      <c r="C1452">
        <f>IFERROR(INDEX('Etsy Import'!$A:$CZ,1452,Settings!$C$22)&amp;"","")</f>
        <v/>
      </c>
      <c r="D1452">
        <f>IF(A1452="","",IFERROR(VALUE(SUBSTITUTE(SUBSTITUTE(INDEX('Etsy Import'!$A:$CZ,1452,Settings!$C$23)&amp;"","$",""),",","")),0))</f>
        <v/>
      </c>
      <c r="E1452" s="11">
        <f>IF(A1452="","",IFERROR(VALUE(SUBSTITUTE(SUBSTITUTE(INDEX('Etsy Import'!$A:$CZ,1452,Settings!$C$24)&amp;"","$",""),",","")),0))</f>
        <v/>
      </c>
      <c r="F1452" s="11">
        <f>IF(A1452="","",D1452*E1452)</f>
        <v/>
      </c>
      <c r="G1452">
        <f>IF(A1452="","",IF(C1452="",1,COUNTIF($C$2:$C$1501,C1452)))</f>
        <v/>
      </c>
      <c r="H1452" s="11">
        <f>IF(A1452="","",IFERROR(VALUE(SUBSTITUTE(SUBSTITUTE(INDEX('Etsy Import'!$A:$CZ,1452,Settings!$C$25)&amp;"","$",""),",","")),0)/IF(Settings!$B$27="Yes",G1452,1))</f>
        <v/>
      </c>
      <c r="I1452" s="11">
        <f>IF(A1452="","",IFERROR(VALUE(SUBSTITUTE(SUBSTITUTE(INDEX('Etsy Import'!$A:$CZ,1452,Settings!$C$26)&amp;"","$",""),",","")),0)/IF(Settings!$B$27="Yes",G1452,1))</f>
        <v/>
      </c>
      <c r="J1452" s="11">
        <f>IF(A1452="","",F1452+H1452-I1452)</f>
        <v/>
      </c>
      <c r="K1452">
        <f>IF(A1452="","",IFERROR(IF(B1452="",NA(),MATCH(B1452,Products!$B$5:$B$204,0)),IFERROR(MATCH(A1452,Products!$A$5:$A$204,0),"")))</f>
        <v/>
      </c>
      <c r="L1452">
        <f>IF(A1452="","",IF(K1452="","⚠ not in Products",INDEX(Products!$A$5:$A$204,K1452)))</f>
        <v/>
      </c>
      <c r="M1452" s="11">
        <f>IF(A1452="","",J1452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1452+IFERROR(INDEX(Settings!$D$5:$D$9,MATCH("Etsy",Settings!$A$5:$A$9,0)),0)*D1452)</f>
        <v/>
      </c>
      <c r="N1452" s="11">
        <f>IF(A1452="","",IF(K1452="",0,D1452*INDEX(Products!$I$5:$I$204,K1452)))</f>
        <v/>
      </c>
      <c r="O1452" s="11">
        <f>IF(A1452="","",IF(K1452="",0,J1452*INDEX(Products!$H$5:$H$204,K1452)))</f>
        <v/>
      </c>
      <c r="P1452" s="11">
        <f>IF(A1452="","",J1452-M1452-N1452-O1452)</f>
        <v/>
      </c>
    </row>
    <row r="1453">
      <c r="A1453">
        <f>IFERROR(INDEX('Etsy Import'!$A:$CZ,1453,Settings!$C$20)&amp;"","")</f>
        <v/>
      </c>
      <c r="B1453">
        <f>IFERROR(INDEX('Etsy Import'!$A:$CZ,1453,Settings!$C$21)&amp;"","")</f>
        <v/>
      </c>
      <c r="C1453">
        <f>IFERROR(INDEX('Etsy Import'!$A:$CZ,1453,Settings!$C$22)&amp;"","")</f>
        <v/>
      </c>
      <c r="D1453">
        <f>IF(A1453="","",IFERROR(VALUE(SUBSTITUTE(SUBSTITUTE(INDEX('Etsy Import'!$A:$CZ,1453,Settings!$C$23)&amp;"","$",""),",","")),0))</f>
        <v/>
      </c>
      <c r="E1453" s="11">
        <f>IF(A1453="","",IFERROR(VALUE(SUBSTITUTE(SUBSTITUTE(INDEX('Etsy Import'!$A:$CZ,1453,Settings!$C$24)&amp;"","$",""),",","")),0))</f>
        <v/>
      </c>
      <c r="F1453" s="11">
        <f>IF(A1453="","",D1453*E1453)</f>
        <v/>
      </c>
      <c r="G1453">
        <f>IF(A1453="","",IF(C1453="",1,COUNTIF($C$2:$C$1501,C1453)))</f>
        <v/>
      </c>
      <c r="H1453" s="11">
        <f>IF(A1453="","",IFERROR(VALUE(SUBSTITUTE(SUBSTITUTE(INDEX('Etsy Import'!$A:$CZ,1453,Settings!$C$25)&amp;"","$",""),",","")),0)/IF(Settings!$B$27="Yes",G1453,1))</f>
        <v/>
      </c>
      <c r="I1453" s="11">
        <f>IF(A1453="","",IFERROR(VALUE(SUBSTITUTE(SUBSTITUTE(INDEX('Etsy Import'!$A:$CZ,1453,Settings!$C$26)&amp;"","$",""),",","")),0)/IF(Settings!$B$27="Yes",G1453,1))</f>
        <v/>
      </c>
      <c r="J1453" s="11">
        <f>IF(A1453="","",F1453+H1453-I1453)</f>
        <v/>
      </c>
      <c r="K1453">
        <f>IF(A1453="","",IFERROR(IF(B1453="",NA(),MATCH(B1453,Products!$B$5:$B$204,0)),IFERROR(MATCH(A1453,Products!$A$5:$A$204,0),"")))</f>
        <v/>
      </c>
      <c r="L1453">
        <f>IF(A1453="","",IF(K1453="","⚠ not in Products",INDEX(Products!$A$5:$A$204,K1453)))</f>
        <v/>
      </c>
      <c r="M1453" s="11">
        <f>IF(A1453="","",J1453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1453+IFERROR(INDEX(Settings!$D$5:$D$9,MATCH("Etsy",Settings!$A$5:$A$9,0)),0)*D1453)</f>
        <v/>
      </c>
      <c r="N1453" s="11">
        <f>IF(A1453="","",IF(K1453="",0,D1453*INDEX(Products!$I$5:$I$204,K1453)))</f>
        <v/>
      </c>
      <c r="O1453" s="11">
        <f>IF(A1453="","",IF(K1453="",0,J1453*INDEX(Products!$H$5:$H$204,K1453)))</f>
        <v/>
      </c>
      <c r="P1453" s="11">
        <f>IF(A1453="","",J1453-M1453-N1453-O1453)</f>
        <v/>
      </c>
    </row>
    <row r="1454">
      <c r="A1454">
        <f>IFERROR(INDEX('Etsy Import'!$A:$CZ,1454,Settings!$C$20)&amp;"","")</f>
        <v/>
      </c>
      <c r="B1454">
        <f>IFERROR(INDEX('Etsy Import'!$A:$CZ,1454,Settings!$C$21)&amp;"","")</f>
        <v/>
      </c>
      <c r="C1454">
        <f>IFERROR(INDEX('Etsy Import'!$A:$CZ,1454,Settings!$C$22)&amp;"","")</f>
        <v/>
      </c>
      <c r="D1454">
        <f>IF(A1454="","",IFERROR(VALUE(SUBSTITUTE(SUBSTITUTE(INDEX('Etsy Import'!$A:$CZ,1454,Settings!$C$23)&amp;"","$",""),",","")),0))</f>
        <v/>
      </c>
      <c r="E1454" s="11">
        <f>IF(A1454="","",IFERROR(VALUE(SUBSTITUTE(SUBSTITUTE(INDEX('Etsy Import'!$A:$CZ,1454,Settings!$C$24)&amp;"","$",""),",","")),0))</f>
        <v/>
      </c>
      <c r="F1454" s="11">
        <f>IF(A1454="","",D1454*E1454)</f>
        <v/>
      </c>
      <c r="G1454">
        <f>IF(A1454="","",IF(C1454="",1,COUNTIF($C$2:$C$1501,C1454)))</f>
        <v/>
      </c>
      <c r="H1454" s="11">
        <f>IF(A1454="","",IFERROR(VALUE(SUBSTITUTE(SUBSTITUTE(INDEX('Etsy Import'!$A:$CZ,1454,Settings!$C$25)&amp;"","$",""),",","")),0)/IF(Settings!$B$27="Yes",G1454,1))</f>
        <v/>
      </c>
      <c r="I1454" s="11">
        <f>IF(A1454="","",IFERROR(VALUE(SUBSTITUTE(SUBSTITUTE(INDEX('Etsy Import'!$A:$CZ,1454,Settings!$C$26)&amp;"","$",""),",","")),0)/IF(Settings!$B$27="Yes",G1454,1))</f>
        <v/>
      </c>
      <c r="J1454" s="11">
        <f>IF(A1454="","",F1454+H1454-I1454)</f>
        <v/>
      </c>
      <c r="K1454">
        <f>IF(A1454="","",IFERROR(IF(B1454="",NA(),MATCH(B1454,Products!$B$5:$B$204,0)),IFERROR(MATCH(A1454,Products!$A$5:$A$204,0),"")))</f>
        <v/>
      </c>
      <c r="L1454">
        <f>IF(A1454="","",IF(K1454="","⚠ not in Products",INDEX(Products!$A$5:$A$204,K1454)))</f>
        <v/>
      </c>
      <c r="M1454" s="11">
        <f>IF(A1454="","",J1454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1454+IFERROR(INDEX(Settings!$D$5:$D$9,MATCH("Etsy",Settings!$A$5:$A$9,0)),0)*D1454)</f>
        <v/>
      </c>
      <c r="N1454" s="11">
        <f>IF(A1454="","",IF(K1454="",0,D1454*INDEX(Products!$I$5:$I$204,K1454)))</f>
        <v/>
      </c>
      <c r="O1454" s="11">
        <f>IF(A1454="","",IF(K1454="",0,J1454*INDEX(Products!$H$5:$H$204,K1454)))</f>
        <v/>
      </c>
      <c r="P1454" s="11">
        <f>IF(A1454="","",J1454-M1454-N1454-O1454)</f>
        <v/>
      </c>
    </row>
    <row r="1455">
      <c r="A1455">
        <f>IFERROR(INDEX('Etsy Import'!$A:$CZ,1455,Settings!$C$20)&amp;"","")</f>
        <v/>
      </c>
      <c r="B1455">
        <f>IFERROR(INDEX('Etsy Import'!$A:$CZ,1455,Settings!$C$21)&amp;"","")</f>
        <v/>
      </c>
      <c r="C1455">
        <f>IFERROR(INDEX('Etsy Import'!$A:$CZ,1455,Settings!$C$22)&amp;"","")</f>
        <v/>
      </c>
      <c r="D1455">
        <f>IF(A1455="","",IFERROR(VALUE(SUBSTITUTE(SUBSTITUTE(INDEX('Etsy Import'!$A:$CZ,1455,Settings!$C$23)&amp;"","$",""),",","")),0))</f>
        <v/>
      </c>
      <c r="E1455" s="11">
        <f>IF(A1455="","",IFERROR(VALUE(SUBSTITUTE(SUBSTITUTE(INDEX('Etsy Import'!$A:$CZ,1455,Settings!$C$24)&amp;"","$",""),",","")),0))</f>
        <v/>
      </c>
      <c r="F1455" s="11">
        <f>IF(A1455="","",D1455*E1455)</f>
        <v/>
      </c>
      <c r="G1455">
        <f>IF(A1455="","",IF(C1455="",1,COUNTIF($C$2:$C$1501,C1455)))</f>
        <v/>
      </c>
      <c r="H1455" s="11">
        <f>IF(A1455="","",IFERROR(VALUE(SUBSTITUTE(SUBSTITUTE(INDEX('Etsy Import'!$A:$CZ,1455,Settings!$C$25)&amp;"","$",""),",","")),0)/IF(Settings!$B$27="Yes",G1455,1))</f>
        <v/>
      </c>
      <c r="I1455" s="11">
        <f>IF(A1455="","",IFERROR(VALUE(SUBSTITUTE(SUBSTITUTE(INDEX('Etsy Import'!$A:$CZ,1455,Settings!$C$26)&amp;"","$",""),",","")),0)/IF(Settings!$B$27="Yes",G1455,1))</f>
        <v/>
      </c>
      <c r="J1455" s="11">
        <f>IF(A1455="","",F1455+H1455-I1455)</f>
        <v/>
      </c>
      <c r="K1455">
        <f>IF(A1455="","",IFERROR(IF(B1455="",NA(),MATCH(B1455,Products!$B$5:$B$204,0)),IFERROR(MATCH(A1455,Products!$A$5:$A$204,0),"")))</f>
        <v/>
      </c>
      <c r="L1455">
        <f>IF(A1455="","",IF(K1455="","⚠ not in Products",INDEX(Products!$A$5:$A$204,K1455)))</f>
        <v/>
      </c>
      <c r="M1455" s="11">
        <f>IF(A1455="","",J1455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1455+IFERROR(INDEX(Settings!$D$5:$D$9,MATCH("Etsy",Settings!$A$5:$A$9,0)),0)*D1455)</f>
        <v/>
      </c>
      <c r="N1455" s="11">
        <f>IF(A1455="","",IF(K1455="",0,D1455*INDEX(Products!$I$5:$I$204,K1455)))</f>
        <v/>
      </c>
      <c r="O1455" s="11">
        <f>IF(A1455="","",IF(K1455="",0,J1455*INDEX(Products!$H$5:$H$204,K1455)))</f>
        <v/>
      </c>
      <c r="P1455" s="11">
        <f>IF(A1455="","",J1455-M1455-N1455-O1455)</f>
        <v/>
      </c>
    </row>
    <row r="1456">
      <c r="A1456">
        <f>IFERROR(INDEX('Etsy Import'!$A:$CZ,1456,Settings!$C$20)&amp;"","")</f>
        <v/>
      </c>
      <c r="B1456">
        <f>IFERROR(INDEX('Etsy Import'!$A:$CZ,1456,Settings!$C$21)&amp;"","")</f>
        <v/>
      </c>
      <c r="C1456">
        <f>IFERROR(INDEX('Etsy Import'!$A:$CZ,1456,Settings!$C$22)&amp;"","")</f>
        <v/>
      </c>
      <c r="D1456">
        <f>IF(A1456="","",IFERROR(VALUE(SUBSTITUTE(SUBSTITUTE(INDEX('Etsy Import'!$A:$CZ,1456,Settings!$C$23)&amp;"","$",""),",","")),0))</f>
        <v/>
      </c>
      <c r="E1456" s="11">
        <f>IF(A1456="","",IFERROR(VALUE(SUBSTITUTE(SUBSTITUTE(INDEX('Etsy Import'!$A:$CZ,1456,Settings!$C$24)&amp;"","$",""),",","")),0))</f>
        <v/>
      </c>
      <c r="F1456" s="11">
        <f>IF(A1456="","",D1456*E1456)</f>
        <v/>
      </c>
      <c r="G1456">
        <f>IF(A1456="","",IF(C1456="",1,COUNTIF($C$2:$C$1501,C1456)))</f>
        <v/>
      </c>
      <c r="H1456" s="11">
        <f>IF(A1456="","",IFERROR(VALUE(SUBSTITUTE(SUBSTITUTE(INDEX('Etsy Import'!$A:$CZ,1456,Settings!$C$25)&amp;"","$",""),",","")),0)/IF(Settings!$B$27="Yes",G1456,1))</f>
        <v/>
      </c>
      <c r="I1456" s="11">
        <f>IF(A1456="","",IFERROR(VALUE(SUBSTITUTE(SUBSTITUTE(INDEX('Etsy Import'!$A:$CZ,1456,Settings!$C$26)&amp;"","$",""),",","")),0)/IF(Settings!$B$27="Yes",G1456,1))</f>
        <v/>
      </c>
      <c r="J1456" s="11">
        <f>IF(A1456="","",F1456+H1456-I1456)</f>
        <v/>
      </c>
      <c r="K1456">
        <f>IF(A1456="","",IFERROR(IF(B1456="",NA(),MATCH(B1456,Products!$B$5:$B$204,0)),IFERROR(MATCH(A1456,Products!$A$5:$A$204,0),"")))</f>
        <v/>
      </c>
      <c r="L1456">
        <f>IF(A1456="","",IF(K1456="","⚠ not in Products",INDEX(Products!$A$5:$A$204,K1456)))</f>
        <v/>
      </c>
      <c r="M1456" s="11">
        <f>IF(A1456="","",J1456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1456+IFERROR(INDEX(Settings!$D$5:$D$9,MATCH("Etsy",Settings!$A$5:$A$9,0)),0)*D1456)</f>
        <v/>
      </c>
      <c r="N1456" s="11">
        <f>IF(A1456="","",IF(K1456="",0,D1456*INDEX(Products!$I$5:$I$204,K1456)))</f>
        <v/>
      </c>
      <c r="O1456" s="11">
        <f>IF(A1456="","",IF(K1456="",0,J1456*INDEX(Products!$H$5:$H$204,K1456)))</f>
        <v/>
      </c>
      <c r="P1456" s="11">
        <f>IF(A1456="","",J1456-M1456-N1456-O1456)</f>
        <v/>
      </c>
    </row>
    <row r="1457">
      <c r="A1457">
        <f>IFERROR(INDEX('Etsy Import'!$A:$CZ,1457,Settings!$C$20)&amp;"","")</f>
        <v/>
      </c>
      <c r="B1457">
        <f>IFERROR(INDEX('Etsy Import'!$A:$CZ,1457,Settings!$C$21)&amp;"","")</f>
        <v/>
      </c>
      <c r="C1457">
        <f>IFERROR(INDEX('Etsy Import'!$A:$CZ,1457,Settings!$C$22)&amp;"","")</f>
        <v/>
      </c>
      <c r="D1457">
        <f>IF(A1457="","",IFERROR(VALUE(SUBSTITUTE(SUBSTITUTE(INDEX('Etsy Import'!$A:$CZ,1457,Settings!$C$23)&amp;"","$",""),",","")),0))</f>
        <v/>
      </c>
      <c r="E1457" s="11">
        <f>IF(A1457="","",IFERROR(VALUE(SUBSTITUTE(SUBSTITUTE(INDEX('Etsy Import'!$A:$CZ,1457,Settings!$C$24)&amp;"","$",""),",","")),0))</f>
        <v/>
      </c>
      <c r="F1457" s="11">
        <f>IF(A1457="","",D1457*E1457)</f>
        <v/>
      </c>
      <c r="G1457">
        <f>IF(A1457="","",IF(C1457="",1,COUNTIF($C$2:$C$1501,C1457)))</f>
        <v/>
      </c>
      <c r="H1457" s="11">
        <f>IF(A1457="","",IFERROR(VALUE(SUBSTITUTE(SUBSTITUTE(INDEX('Etsy Import'!$A:$CZ,1457,Settings!$C$25)&amp;"","$",""),",","")),0)/IF(Settings!$B$27="Yes",G1457,1))</f>
        <v/>
      </c>
      <c r="I1457" s="11">
        <f>IF(A1457="","",IFERROR(VALUE(SUBSTITUTE(SUBSTITUTE(INDEX('Etsy Import'!$A:$CZ,1457,Settings!$C$26)&amp;"","$",""),",","")),0)/IF(Settings!$B$27="Yes",G1457,1))</f>
        <v/>
      </c>
      <c r="J1457" s="11">
        <f>IF(A1457="","",F1457+H1457-I1457)</f>
        <v/>
      </c>
      <c r="K1457">
        <f>IF(A1457="","",IFERROR(IF(B1457="",NA(),MATCH(B1457,Products!$B$5:$B$204,0)),IFERROR(MATCH(A1457,Products!$A$5:$A$204,0),"")))</f>
        <v/>
      </c>
      <c r="L1457">
        <f>IF(A1457="","",IF(K1457="","⚠ not in Products",INDEX(Products!$A$5:$A$204,K1457)))</f>
        <v/>
      </c>
      <c r="M1457" s="11">
        <f>IF(A1457="","",J1457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1457+IFERROR(INDEX(Settings!$D$5:$D$9,MATCH("Etsy",Settings!$A$5:$A$9,0)),0)*D1457)</f>
        <v/>
      </c>
      <c r="N1457" s="11">
        <f>IF(A1457="","",IF(K1457="",0,D1457*INDEX(Products!$I$5:$I$204,K1457)))</f>
        <v/>
      </c>
      <c r="O1457" s="11">
        <f>IF(A1457="","",IF(K1457="",0,J1457*INDEX(Products!$H$5:$H$204,K1457)))</f>
        <v/>
      </c>
      <c r="P1457" s="11">
        <f>IF(A1457="","",J1457-M1457-N1457-O1457)</f>
        <v/>
      </c>
    </row>
    <row r="1458">
      <c r="A1458">
        <f>IFERROR(INDEX('Etsy Import'!$A:$CZ,1458,Settings!$C$20)&amp;"","")</f>
        <v/>
      </c>
      <c r="B1458">
        <f>IFERROR(INDEX('Etsy Import'!$A:$CZ,1458,Settings!$C$21)&amp;"","")</f>
        <v/>
      </c>
      <c r="C1458">
        <f>IFERROR(INDEX('Etsy Import'!$A:$CZ,1458,Settings!$C$22)&amp;"","")</f>
        <v/>
      </c>
      <c r="D1458">
        <f>IF(A1458="","",IFERROR(VALUE(SUBSTITUTE(SUBSTITUTE(INDEX('Etsy Import'!$A:$CZ,1458,Settings!$C$23)&amp;"","$",""),",","")),0))</f>
        <v/>
      </c>
      <c r="E1458" s="11">
        <f>IF(A1458="","",IFERROR(VALUE(SUBSTITUTE(SUBSTITUTE(INDEX('Etsy Import'!$A:$CZ,1458,Settings!$C$24)&amp;"","$",""),",","")),0))</f>
        <v/>
      </c>
      <c r="F1458" s="11">
        <f>IF(A1458="","",D1458*E1458)</f>
        <v/>
      </c>
      <c r="G1458">
        <f>IF(A1458="","",IF(C1458="",1,COUNTIF($C$2:$C$1501,C1458)))</f>
        <v/>
      </c>
      <c r="H1458" s="11">
        <f>IF(A1458="","",IFERROR(VALUE(SUBSTITUTE(SUBSTITUTE(INDEX('Etsy Import'!$A:$CZ,1458,Settings!$C$25)&amp;"","$",""),",","")),0)/IF(Settings!$B$27="Yes",G1458,1))</f>
        <v/>
      </c>
      <c r="I1458" s="11">
        <f>IF(A1458="","",IFERROR(VALUE(SUBSTITUTE(SUBSTITUTE(INDEX('Etsy Import'!$A:$CZ,1458,Settings!$C$26)&amp;"","$",""),",","")),0)/IF(Settings!$B$27="Yes",G1458,1))</f>
        <v/>
      </c>
      <c r="J1458" s="11">
        <f>IF(A1458="","",F1458+H1458-I1458)</f>
        <v/>
      </c>
      <c r="K1458">
        <f>IF(A1458="","",IFERROR(IF(B1458="",NA(),MATCH(B1458,Products!$B$5:$B$204,0)),IFERROR(MATCH(A1458,Products!$A$5:$A$204,0),"")))</f>
        <v/>
      </c>
      <c r="L1458">
        <f>IF(A1458="","",IF(K1458="","⚠ not in Products",INDEX(Products!$A$5:$A$204,K1458)))</f>
        <v/>
      </c>
      <c r="M1458" s="11">
        <f>IF(A1458="","",J1458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1458+IFERROR(INDEX(Settings!$D$5:$D$9,MATCH("Etsy",Settings!$A$5:$A$9,0)),0)*D1458)</f>
        <v/>
      </c>
      <c r="N1458" s="11">
        <f>IF(A1458="","",IF(K1458="",0,D1458*INDEX(Products!$I$5:$I$204,K1458)))</f>
        <v/>
      </c>
      <c r="O1458" s="11">
        <f>IF(A1458="","",IF(K1458="",0,J1458*INDEX(Products!$H$5:$H$204,K1458)))</f>
        <v/>
      </c>
      <c r="P1458" s="11">
        <f>IF(A1458="","",J1458-M1458-N1458-O1458)</f>
        <v/>
      </c>
    </row>
    <row r="1459">
      <c r="A1459">
        <f>IFERROR(INDEX('Etsy Import'!$A:$CZ,1459,Settings!$C$20)&amp;"","")</f>
        <v/>
      </c>
      <c r="B1459">
        <f>IFERROR(INDEX('Etsy Import'!$A:$CZ,1459,Settings!$C$21)&amp;"","")</f>
        <v/>
      </c>
      <c r="C1459">
        <f>IFERROR(INDEX('Etsy Import'!$A:$CZ,1459,Settings!$C$22)&amp;"","")</f>
        <v/>
      </c>
      <c r="D1459">
        <f>IF(A1459="","",IFERROR(VALUE(SUBSTITUTE(SUBSTITUTE(INDEX('Etsy Import'!$A:$CZ,1459,Settings!$C$23)&amp;"","$",""),",","")),0))</f>
        <v/>
      </c>
      <c r="E1459" s="11">
        <f>IF(A1459="","",IFERROR(VALUE(SUBSTITUTE(SUBSTITUTE(INDEX('Etsy Import'!$A:$CZ,1459,Settings!$C$24)&amp;"","$",""),",","")),0))</f>
        <v/>
      </c>
      <c r="F1459" s="11">
        <f>IF(A1459="","",D1459*E1459)</f>
        <v/>
      </c>
      <c r="G1459">
        <f>IF(A1459="","",IF(C1459="",1,COUNTIF($C$2:$C$1501,C1459)))</f>
        <v/>
      </c>
      <c r="H1459" s="11">
        <f>IF(A1459="","",IFERROR(VALUE(SUBSTITUTE(SUBSTITUTE(INDEX('Etsy Import'!$A:$CZ,1459,Settings!$C$25)&amp;"","$",""),",","")),0)/IF(Settings!$B$27="Yes",G1459,1))</f>
        <v/>
      </c>
      <c r="I1459" s="11">
        <f>IF(A1459="","",IFERROR(VALUE(SUBSTITUTE(SUBSTITUTE(INDEX('Etsy Import'!$A:$CZ,1459,Settings!$C$26)&amp;"","$",""),",","")),0)/IF(Settings!$B$27="Yes",G1459,1))</f>
        <v/>
      </c>
      <c r="J1459" s="11">
        <f>IF(A1459="","",F1459+H1459-I1459)</f>
        <v/>
      </c>
      <c r="K1459">
        <f>IF(A1459="","",IFERROR(IF(B1459="",NA(),MATCH(B1459,Products!$B$5:$B$204,0)),IFERROR(MATCH(A1459,Products!$A$5:$A$204,0),"")))</f>
        <v/>
      </c>
      <c r="L1459">
        <f>IF(A1459="","",IF(K1459="","⚠ not in Products",INDEX(Products!$A$5:$A$204,K1459)))</f>
        <v/>
      </c>
      <c r="M1459" s="11">
        <f>IF(A1459="","",J1459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1459+IFERROR(INDEX(Settings!$D$5:$D$9,MATCH("Etsy",Settings!$A$5:$A$9,0)),0)*D1459)</f>
        <v/>
      </c>
      <c r="N1459" s="11">
        <f>IF(A1459="","",IF(K1459="",0,D1459*INDEX(Products!$I$5:$I$204,K1459)))</f>
        <v/>
      </c>
      <c r="O1459" s="11">
        <f>IF(A1459="","",IF(K1459="",0,J1459*INDEX(Products!$H$5:$H$204,K1459)))</f>
        <v/>
      </c>
      <c r="P1459" s="11">
        <f>IF(A1459="","",J1459-M1459-N1459-O1459)</f>
        <v/>
      </c>
    </row>
    <row r="1460">
      <c r="A1460">
        <f>IFERROR(INDEX('Etsy Import'!$A:$CZ,1460,Settings!$C$20)&amp;"","")</f>
        <v/>
      </c>
      <c r="B1460">
        <f>IFERROR(INDEX('Etsy Import'!$A:$CZ,1460,Settings!$C$21)&amp;"","")</f>
        <v/>
      </c>
      <c r="C1460">
        <f>IFERROR(INDEX('Etsy Import'!$A:$CZ,1460,Settings!$C$22)&amp;"","")</f>
        <v/>
      </c>
      <c r="D1460">
        <f>IF(A1460="","",IFERROR(VALUE(SUBSTITUTE(SUBSTITUTE(INDEX('Etsy Import'!$A:$CZ,1460,Settings!$C$23)&amp;"","$",""),",","")),0))</f>
        <v/>
      </c>
      <c r="E1460" s="11">
        <f>IF(A1460="","",IFERROR(VALUE(SUBSTITUTE(SUBSTITUTE(INDEX('Etsy Import'!$A:$CZ,1460,Settings!$C$24)&amp;"","$",""),",","")),0))</f>
        <v/>
      </c>
      <c r="F1460" s="11">
        <f>IF(A1460="","",D1460*E1460)</f>
        <v/>
      </c>
      <c r="G1460">
        <f>IF(A1460="","",IF(C1460="",1,COUNTIF($C$2:$C$1501,C1460)))</f>
        <v/>
      </c>
      <c r="H1460" s="11">
        <f>IF(A1460="","",IFERROR(VALUE(SUBSTITUTE(SUBSTITUTE(INDEX('Etsy Import'!$A:$CZ,1460,Settings!$C$25)&amp;"","$",""),",","")),0)/IF(Settings!$B$27="Yes",G1460,1))</f>
        <v/>
      </c>
      <c r="I1460" s="11">
        <f>IF(A1460="","",IFERROR(VALUE(SUBSTITUTE(SUBSTITUTE(INDEX('Etsy Import'!$A:$CZ,1460,Settings!$C$26)&amp;"","$",""),",","")),0)/IF(Settings!$B$27="Yes",G1460,1))</f>
        <v/>
      </c>
      <c r="J1460" s="11">
        <f>IF(A1460="","",F1460+H1460-I1460)</f>
        <v/>
      </c>
      <c r="K1460">
        <f>IF(A1460="","",IFERROR(IF(B1460="",NA(),MATCH(B1460,Products!$B$5:$B$204,0)),IFERROR(MATCH(A1460,Products!$A$5:$A$204,0),"")))</f>
        <v/>
      </c>
      <c r="L1460">
        <f>IF(A1460="","",IF(K1460="","⚠ not in Products",INDEX(Products!$A$5:$A$204,K1460)))</f>
        <v/>
      </c>
      <c r="M1460" s="11">
        <f>IF(A1460="","",J1460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1460+IFERROR(INDEX(Settings!$D$5:$D$9,MATCH("Etsy",Settings!$A$5:$A$9,0)),0)*D1460)</f>
        <v/>
      </c>
      <c r="N1460" s="11">
        <f>IF(A1460="","",IF(K1460="",0,D1460*INDEX(Products!$I$5:$I$204,K1460)))</f>
        <v/>
      </c>
      <c r="O1460" s="11">
        <f>IF(A1460="","",IF(K1460="",0,J1460*INDEX(Products!$H$5:$H$204,K1460)))</f>
        <v/>
      </c>
      <c r="P1460" s="11">
        <f>IF(A1460="","",J1460-M1460-N1460-O1460)</f>
        <v/>
      </c>
    </row>
    <row r="1461">
      <c r="A1461">
        <f>IFERROR(INDEX('Etsy Import'!$A:$CZ,1461,Settings!$C$20)&amp;"","")</f>
        <v/>
      </c>
      <c r="B1461">
        <f>IFERROR(INDEX('Etsy Import'!$A:$CZ,1461,Settings!$C$21)&amp;"","")</f>
        <v/>
      </c>
      <c r="C1461">
        <f>IFERROR(INDEX('Etsy Import'!$A:$CZ,1461,Settings!$C$22)&amp;"","")</f>
        <v/>
      </c>
      <c r="D1461">
        <f>IF(A1461="","",IFERROR(VALUE(SUBSTITUTE(SUBSTITUTE(INDEX('Etsy Import'!$A:$CZ,1461,Settings!$C$23)&amp;"","$",""),",","")),0))</f>
        <v/>
      </c>
      <c r="E1461" s="11">
        <f>IF(A1461="","",IFERROR(VALUE(SUBSTITUTE(SUBSTITUTE(INDEX('Etsy Import'!$A:$CZ,1461,Settings!$C$24)&amp;"","$",""),",","")),0))</f>
        <v/>
      </c>
      <c r="F1461" s="11">
        <f>IF(A1461="","",D1461*E1461)</f>
        <v/>
      </c>
      <c r="G1461">
        <f>IF(A1461="","",IF(C1461="",1,COUNTIF($C$2:$C$1501,C1461)))</f>
        <v/>
      </c>
      <c r="H1461" s="11">
        <f>IF(A1461="","",IFERROR(VALUE(SUBSTITUTE(SUBSTITUTE(INDEX('Etsy Import'!$A:$CZ,1461,Settings!$C$25)&amp;"","$",""),",","")),0)/IF(Settings!$B$27="Yes",G1461,1))</f>
        <v/>
      </c>
      <c r="I1461" s="11">
        <f>IF(A1461="","",IFERROR(VALUE(SUBSTITUTE(SUBSTITUTE(INDEX('Etsy Import'!$A:$CZ,1461,Settings!$C$26)&amp;"","$",""),",","")),0)/IF(Settings!$B$27="Yes",G1461,1))</f>
        <v/>
      </c>
      <c r="J1461" s="11">
        <f>IF(A1461="","",F1461+H1461-I1461)</f>
        <v/>
      </c>
      <c r="K1461">
        <f>IF(A1461="","",IFERROR(IF(B1461="",NA(),MATCH(B1461,Products!$B$5:$B$204,0)),IFERROR(MATCH(A1461,Products!$A$5:$A$204,0),"")))</f>
        <v/>
      </c>
      <c r="L1461">
        <f>IF(A1461="","",IF(K1461="","⚠ not in Products",INDEX(Products!$A$5:$A$204,K1461)))</f>
        <v/>
      </c>
      <c r="M1461" s="11">
        <f>IF(A1461="","",J1461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1461+IFERROR(INDEX(Settings!$D$5:$D$9,MATCH("Etsy",Settings!$A$5:$A$9,0)),0)*D1461)</f>
        <v/>
      </c>
      <c r="N1461" s="11">
        <f>IF(A1461="","",IF(K1461="",0,D1461*INDEX(Products!$I$5:$I$204,K1461)))</f>
        <v/>
      </c>
      <c r="O1461" s="11">
        <f>IF(A1461="","",IF(K1461="",0,J1461*INDEX(Products!$H$5:$H$204,K1461)))</f>
        <v/>
      </c>
      <c r="P1461" s="11">
        <f>IF(A1461="","",J1461-M1461-N1461-O1461)</f>
        <v/>
      </c>
    </row>
    <row r="1462">
      <c r="A1462">
        <f>IFERROR(INDEX('Etsy Import'!$A:$CZ,1462,Settings!$C$20)&amp;"","")</f>
        <v/>
      </c>
      <c r="B1462">
        <f>IFERROR(INDEX('Etsy Import'!$A:$CZ,1462,Settings!$C$21)&amp;"","")</f>
        <v/>
      </c>
      <c r="C1462">
        <f>IFERROR(INDEX('Etsy Import'!$A:$CZ,1462,Settings!$C$22)&amp;"","")</f>
        <v/>
      </c>
      <c r="D1462">
        <f>IF(A1462="","",IFERROR(VALUE(SUBSTITUTE(SUBSTITUTE(INDEX('Etsy Import'!$A:$CZ,1462,Settings!$C$23)&amp;"","$",""),",","")),0))</f>
        <v/>
      </c>
      <c r="E1462" s="11">
        <f>IF(A1462="","",IFERROR(VALUE(SUBSTITUTE(SUBSTITUTE(INDEX('Etsy Import'!$A:$CZ,1462,Settings!$C$24)&amp;"","$",""),",","")),0))</f>
        <v/>
      </c>
      <c r="F1462" s="11">
        <f>IF(A1462="","",D1462*E1462)</f>
        <v/>
      </c>
      <c r="G1462">
        <f>IF(A1462="","",IF(C1462="",1,COUNTIF($C$2:$C$1501,C1462)))</f>
        <v/>
      </c>
      <c r="H1462" s="11">
        <f>IF(A1462="","",IFERROR(VALUE(SUBSTITUTE(SUBSTITUTE(INDEX('Etsy Import'!$A:$CZ,1462,Settings!$C$25)&amp;"","$",""),",","")),0)/IF(Settings!$B$27="Yes",G1462,1))</f>
        <v/>
      </c>
      <c r="I1462" s="11">
        <f>IF(A1462="","",IFERROR(VALUE(SUBSTITUTE(SUBSTITUTE(INDEX('Etsy Import'!$A:$CZ,1462,Settings!$C$26)&amp;"","$",""),",","")),0)/IF(Settings!$B$27="Yes",G1462,1))</f>
        <v/>
      </c>
      <c r="J1462" s="11">
        <f>IF(A1462="","",F1462+H1462-I1462)</f>
        <v/>
      </c>
      <c r="K1462">
        <f>IF(A1462="","",IFERROR(IF(B1462="",NA(),MATCH(B1462,Products!$B$5:$B$204,0)),IFERROR(MATCH(A1462,Products!$A$5:$A$204,0),"")))</f>
        <v/>
      </c>
      <c r="L1462">
        <f>IF(A1462="","",IF(K1462="","⚠ not in Products",INDEX(Products!$A$5:$A$204,K1462)))</f>
        <v/>
      </c>
      <c r="M1462" s="11">
        <f>IF(A1462="","",J1462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1462+IFERROR(INDEX(Settings!$D$5:$D$9,MATCH("Etsy",Settings!$A$5:$A$9,0)),0)*D1462)</f>
        <v/>
      </c>
      <c r="N1462" s="11">
        <f>IF(A1462="","",IF(K1462="",0,D1462*INDEX(Products!$I$5:$I$204,K1462)))</f>
        <v/>
      </c>
      <c r="O1462" s="11">
        <f>IF(A1462="","",IF(K1462="",0,J1462*INDEX(Products!$H$5:$H$204,K1462)))</f>
        <v/>
      </c>
      <c r="P1462" s="11">
        <f>IF(A1462="","",J1462-M1462-N1462-O1462)</f>
        <v/>
      </c>
    </row>
    <row r="1463">
      <c r="A1463">
        <f>IFERROR(INDEX('Etsy Import'!$A:$CZ,1463,Settings!$C$20)&amp;"","")</f>
        <v/>
      </c>
      <c r="B1463">
        <f>IFERROR(INDEX('Etsy Import'!$A:$CZ,1463,Settings!$C$21)&amp;"","")</f>
        <v/>
      </c>
      <c r="C1463">
        <f>IFERROR(INDEX('Etsy Import'!$A:$CZ,1463,Settings!$C$22)&amp;"","")</f>
        <v/>
      </c>
      <c r="D1463">
        <f>IF(A1463="","",IFERROR(VALUE(SUBSTITUTE(SUBSTITUTE(INDEX('Etsy Import'!$A:$CZ,1463,Settings!$C$23)&amp;"","$",""),",","")),0))</f>
        <v/>
      </c>
      <c r="E1463" s="11">
        <f>IF(A1463="","",IFERROR(VALUE(SUBSTITUTE(SUBSTITUTE(INDEX('Etsy Import'!$A:$CZ,1463,Settings!$C$24)&amp;"","$",""),",","")),0))</f>
        <v/>
      </c>
      <c r="F1463" s="11">
        <f>IF(A1463="","",D1463*E1463)</f>
        <v/>
      </c>
      <c r="G1463">
        <f>IF(A1463="","",IF(C1463="",1,COUNTIF($C$2:$C$1501,C1463)))</f>
        <v/>
      </c>
      <c r="H1463" s="11">
        <f>IF(A1463="","",IFERROR(VALUE(SUBSTITUTE(SUBSTITUTE(INDEX('Etsy Import'!$A:$CZ,1463,Settings!$C$25)&amp;"","$",""),",","")),0)/IF(Settings!$B$27="Yes",G1463,1))</f>
        <v/>
      </c>
      <c r="I1463" s="11">
        <f>IF(A1463="","",IFERROR(VALUE(SUBSTITUTE(SUBSTITUTE(INDEX('Etsy Import'!$A:$CZ,1463,Settings!$C$26)&amp;"","$",""),",","")),0)/IF(Settings!$B$27="Yes",G1463,1))</f>
        <v/>
      </c>
      <c r="J1463" s="11">
        <f>IF(A1463="","",F1463+H1463-I1463)</f>
        <v/>
      </c>
      <c r="K1463">
        <f>IF(A1463="","",IFERROR(IF(B1463="",NA(),MATCH(B1463,Products!$B$5:$B$204,0)),IFERROR(MATCH(A1463,Products!$A$5:$A$204,0),"")))</f>
        <v/>
      </c>
      <c r="L1463">
        <f>IF(A1463="","",IF(K1463="","⚠ not in Products",INDEX(Products!$A$5:$A$204,K1463)))</f>
        <v/>
      </c>
      <c r="M1463" s="11">
        <f>IF(A1463="","",J1463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1463+IFERROR(INDEX(Settings!$D$5:$D$9,MATCH("Etsy",Settings!$A$5:$A$9,0)),0)*D1463)</f>
        <v/>
      </c>
      <c r="N1463" s="11">
        <f>IF(A1463="","",IF(K1463="",0,D1463*INDEX(Products!$I$5:$I$204,K1463)))</f>
        <v/>
      </c>
      <c r="O1463" s="11">
        <f>IF(A1463="","",IF(K1463="",0,J1463*INDEX(Products!$H$5:$H$204,K1463)))</f>
        <v/>
      </c>
      <c r="P1463" s="11">
        <f>IF(A1463="","",J1463-M1463-N1463-O1463)</f>
        <v/>
      </c>
    </row>
    <row r="1464">
      <c r="A1464">
        <f>IFERROR(INDEX('Etsy Import'!$A:$CZ,1464,Settings!$C$20)&amp;"","")</f>
        <v/>
      </c>
      <c r="B1464">
        <f>IFERROR(INDEX('Etsy Import'!$A:$CZ,1464,Settings!$C$21)&amp;"","")</f>
        <v/>
      </c>
      <c r="C1464">
        <f>IFERROR(INDEX('Etsy Import'!$A:$CZ,1464,Settings!$C$22)&amp;"","")</f>
        <v/>
      </c>
      <c r="D1464">
        <f>IF(A1464="","",IFERROR(VALUE(SUBSTITUTE(SUBSTITUTE(INDEX('Etsy Import'!$A:$CZ,1464,Settings!$C$23)&amp;"","$",""),",","")),0))</f>
        <v/>
      </c>
      <c r="E1464" s="11">
        <f>IF(A1464="","",IFERROR(VALUE(SUBSTITUTE(SUBSTITUTE(INDEX('Etsy Import'!$A:$CZ,1464,Settings!$C$24)&amp;"","$",""),",","")),0))</f>
        <v/>
      </c>
      <c r="F1464" s="11">
        <f>IF(A1464="","",D1464*E1464)</f>
        <v/>
      </c>
      <c r="G1464">
        <f>IF(A1464="","",IF(C1464="",1,COUNTIF($C$2:$C$1501,C1464)))</f>
        <v/>
      </c>
      <c r="H1464" s="11">
        <f>IF(A1464="","",IFERROR(VALUE(SUBSTITUTE(SUBSTITUTE(INDEX('Etsy Import'!$A:$CZ,1464,Settings!$C$25)&amp;"","$",""),",","")),0)/IF(Settings!$B$27="Yes",G1464,1))</f>
        <v/>
      </c>
      <c r="I1464" s="11">
        <f>IF(A1464="","",IFERROR(VALUE(SUBSTITUTE(SUBSTITUTE(INDEX('Etsy Import'!$A:$CZ,1464,Settings!$C$26)&amp;"","$",""),",","")),0)/IF(Settings!$B$27="Yes",G1464,1))</f>
        <v/>
      </c>
      <c r="J1464" s="11">
        <f>IF(A1464="","",F1464+H1464-I1464)</f>
        <v/>
      </c>
      <c r="K1464">
        <f>IF(A1464="","",IFERROR(IF(B1464="",NA(),MATCH(B1464,Products!$B$5:$B$204,0)),IFERROR(MATCH(A1464,Products!$A$5:$A$204,0),"")))</f>
        <v/>
      </c>
      <c r="L1464">
        <f>IF(A1464="","",IF(K1464="","⚠ not in Products",INDEX(Products!$A$5:$A$204,K1464)))</f>
        <v/>
      </c>
      <c r="M1464" s="11">
        <f>IF(A1464="","",J1464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1464+IFERROR(INDEX(Settings!$D$5:$D$9,MATCH("Etsy",Settings!$A$5:$A$9,0)),0)*D1464)</f>
        <v/>
      </c>
      <c r="N1464" s="11">
        <f>IF(A1464="","",IF(K1464="",0,D1464*INDEX(Products!$I$5:$I$204,K1464)))</f>
        <v/>
      </c>
      <c r="O1464" s="11">
        <f>IF(A1464="","",IF(K1464="",0,J1464*INDEX(Products!$H$5:$H$204,K1464)))</f>
        <v/>
      </c>
      <c r="P1464" s="11">
        <f>IF(A1464="","",J1464-M1464-N1464-O1464)</f>
        <v/>
      </c>
    </row>
    <row r="1465">
      <c r="A1465">
        <f>IFERROR(INDEX('Etsy Import'!$A:$CZ,1465,Settings!$C$20)&amp;"","")</f>
        <v/>
      </c>
      <c r="B1465">
        <f>IFERROR(INDEX('Etsy Import'!$A:$CZ,1465,Settings!$C$21)&amp;"","")</f>
        <v/>
      </c>
      <c r="C1465">
        <f>IFERROR(INDEX('Etsy Import'!$A:$CZ,1465,Settings!$C$22)&amp;"","")</f>
        <v/>
      </c>
      <c r="D1465">
        <f>IF(A1465="","",IFERROR(VALUE(SUBSTITUTE(SUBSTITUTE(INDEX('Etsy Import'!$A:$CZ,1465,Settings!$C$23)&amp;"","$",""),",","")),0))</f>
        <v/>
      </c>
      <c r="E1465" s="11">
        <f>IF(A1465="","",IFERROR(VALUE(SUBSTITUTE(SUBSTITUTE(INDEX('Etsy Import'!$A:$CZ,1465,Settings!$C$24)&amp;"","$",""),",","")),0))</f>
        <v/>
      </c>
      <c r="F1465" s="11">
        <f>IF(A1465="","",D1465*E1465)</f>
        <v/>
      </c>
      <c r="G1465">
        <f>IF(A1465="","",IF(C1465="",1,COUNTIF($C$2:$C$1501,C1465)))</f>
        <v/>
      </c>
      <c r="H1465" s="11">
        <f>IF(A1465="","",IFERROR(VALUE(SUBSTITUTE(SUBSTITUTE(INDEX('Etsy Import'!$A:$CZ,1465,Settings!$C$25)&amp;"","$",""),",","")),0)/IF(Settings!$B$27="Yes",G1465,1))</f>
        <v/>
      </c>
      <c r="I1465" s="11">
        <f>IF(A1465="","",IFERROR(VALUE(SUBSTITUTE(SUBSTITUTE(INDEX('Etsy Import'!$A:$CZ,1465,Settings!$C$26)&amp;"","$",""),",","")),0)/IF(Settings!$B$27="Yes",G1465,1))</f>
        <v/>
      </c>
      <c r="J1465" s="11">
        <f>IF(A1465="","",F1465+H1465-I1465)</f>
        <v/>
      </c>
      <c r="K1465">
        <f>IF(A1465="","",IFERROR(IF(B1465="",NA(),MATCH(B1465,Products!$B$5:$B$204,0)),IFERROR(MATCH(A1465,Products!$A$5:$A$204,0),"")))</f>
        <v/>
      </c>
      <c r="L1465">
        <f>IF(A1465="","",IF(K1465="","⚠ not in Products",INDEX(Products!$A$5:$A$204,K1465)))</f>
        <v/>
      </c>
      <c r="M1465" s="11">
        <f>IF(A1465="","",J1465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1465+IFERROR(INDEX(Settings!$D$5:$D$9,MATCH("Etsy",Settings!$A$5:$A$9,0)),0)*D1465)</f>
        <v/>
      </c>
      <c r="N1465" s="11">
        <f>IF(A1465="","",IF(K1465="",0,D1465*INDEX(Products!$I$5:$I$204,K1465)))</f>
        <v/>
      </c>
      <c r="O1465" s="11">
        <f>IF(A1465="","",IF(K1465="",0,J1465*INDEX(Products!$H$5:$H$204,K1465)))</f>
        <v/>
      </c>
      <c r="P1465" s="11">
        <f>IF(A1465="","",J1465-M1465-N1465-O1465)</f>
        <v/>
      </c>
    </row>
    <row r="1466">
      <c r="A1466">
        <f>IFERROR(INDEX('Etsy Import'!$A:$CZ,1466,Settings!$C$20)&amp;"","")</f>
        <v/>
      </c>
      <c r="B1466">
        <f>IFERROR(INDEX('Etsy Import'!$A:$CZ,1466,Settings!$C$21)&amp;"","")</f>
        <v/>
      </c>
      <c r="C1466">
        <f>IFERROR(INDEX('Etsy Import'!$A:$CZ,1466,Settings!$C$22)&amp;"","")</f>
        <v/>
      </c>
      <c r="D1466">
        <f>IF(A1466="","",IFERROR(VALUE(SUBSTITUTE(SUBSTITUTE(INDEX('Etsy Import'!$A:$CZ,1466,Settings!$C$23)&amp;"","$",""),",","")),0))</f>
        <v/>
      </c>
      <c r="E1466" s="11">
        <f>IF(A1466="","",IFERROR(VALUE(SUBSTITUTE(SUBSTITUTE(INDEX('Etsy Import'!$A:$CZ,1466,Settings!$C$24)&amp;"","$",""),",","")),0))</f>
        <v/>
      </c>
      <c r="F1466" s="11">
        <f>IF(A1466="","",D1466*E1466)</f>
        <v/>
      </c>
      <c r="G1466">
        <f>IF(A1466="","",IF(C1466="",1,COUNTIF($C$2:$C$1501,C1466)))</f>
        <v/>
      </c>
      <c r="H1466" s="11">
        <f>IF(A1466="","",IFERROR(VALUE(SUBSTITUTE(SUBSTITUTE(INDEX('Etsy Import'!$A:$CZ,1466,Settings!$C$25)&amp;"","$",""),",","")),0)/IF(Settings!$B$27="Yes",G1466,1))</f>
        <v/>
      </c>
      <c r="I1466" s="11">
        <f>IF(A1466="","",IFERROR(VALUE(SUBSTITUTE(SUBSTITUTE(INDEX('Etsy Import'!$A:$CZ,1466,Settings!$C$26)&amp;"","$",""),",","")),0)/IF(Settings!$B$27="Yes",G1466,1))</f>
        <v/>
      </c>
      <c r="J1466" s="11">
        <f>IF(A1466="","",F1466+H1466-I1466)</f>
        <v/>
      </c>
      <c r="K1466">
        <f>IF(A1466="","",IFERROR(IF(B1466="",NA(),MATCH(B1466,Products!$B$5:$B$204,0)),IFERROR(MATCH(A1466,Products!$A$5:$A$204,0),"")))</f>
        <v/>
      </c>
      <c r="L1466">
        <f>IF(A1466="","",IF(K1466="","⚠ not in Products",INDEX(Products!$A$5:$A$204,K1466)))</f>
        <v/>
      </c>
      <c r="M1466" s="11">
        <f>IF(A1466="","",J1466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1466+IFERROR(INDEX(Settings!$D$5:$D$9,MATCH("Etsy",Settings!$A$5:$A$9,0)),0)*D1466)</f>
        <v/>
      </c>
      <c r="N1466" s="11">
        <f>IF(A1466="","",IF(K1466="",0,D1466*INDEX(Products!$I$5:$I$204,K1466)))</f>
        <v/>
      </c>
      <c r="O1466" s="11">
        <f>IF(A1466="","",IF(K1466="",0,J1466*INDEX(Products!$H$5:$H$204,K1466)))</f>
        <v/>
      </c>
      <c r="P1466" s="11">
        <f>IF(A1466="","",J1466-M1466-N1466-O1466)</f>
        <v/>
      </c>
    </row>
    <row r="1467">
      <c r="A1467">
        <f>IFERROR(INDEX('Etsy Import'!$A:$CZ,1467,Settings!$C$20)&amp;"","")</f>
        <v/>
      </c>
      <c r="B1467">
        <f>IFERROR(INDEX('Etsy Import'!$A:$CZ,1467,Settings!$C$21)&amp;"","")</f>
        <v/>
      </c>
      <c r="C1467">
        <f>IFERROR(INDEX('Etsy Import'!$A:$CZ,1467,Settings!$C$22)&amp;"","")</f>
        <v/>
      </c>
      <c r="D1467">
        <f>IF(A1467="","",IFERROR(VALUE(SUBSTITUTE(SUBSTITUTE(INDEX('Etsy Import'!$A:$CZ,1467,Settings!$C$23)&amp;"","$",""),",","")),0))</f>
        <v/>
      </c>
      <c r="E1467" s="11">
        <f>IF(A1467="","",IFERROR(VALUE(SUBSTITUTE(SUBSTITUTE(INDEX('Etsy Import'!$A:$CZ,1467,Settings!$C$24)&amp;"","$",""),",","")),0))</f>
        <v/>
      </c>
      <c r="F1467" s="11">
        <f>IF(A1467="","",D1467*E1467)</f>
        <v/>
      </c>
      <c r="G1467">
        <f>IF(A1467="","",IF(C1467="",1,COUNTIF($C$2:$C$1501,C1467)))</f>
        <v/>
      </c>
      <c r="H1467" s="11">
        <f>IF(A1467="","",IFERROR(VALUE(SUBSTITUTE(SUBSTITUTE(INDEX('Etsy Import'!$A:$CZ,1467,Settings!$C$25)&amp;"","$",""),",","")),0)/IF(Settings!$B$27="Yes",G1467,1))</f>
        <v/>
      </c>
      <c r="I1467" s="11">
        <f>IF(A1467="","",IFERROR(VALUE(SUBSTITUTE(SUBSTITUTE(INDEX('Etsy Import'!$A:$CZ,1467,Settings!$C$26)&amp;"","$",""),",","")),0)/IF(Settings!$B$27="Yes",G1467,1))</f>
        <v/>
      </c>
      <c r="J1467" s="11">
        <f>IF(A1467="","",F1467+H1467-I1467)</f>
        <v/>
      </c>
      <c r="K1467">
        <f>IF(A1467="","",IFERROR(IF(B1467="",NA(),MATCH(B1467,Products!$B$5:$B$204,0)),IFERROR(MATCH(A1467,Products!$A$5:$A$204,0),"")))</f>
        <v/>
      </c>
      <c r="L1467">
        <f>IF(A1467="","",IF(K1467="","⚠ not in Products",INDEX(Products!$A$5:$A$204,K1467)))</f>
        <v/>
      </c>
      <c r="M1467" s="11">
        <f>IF(A1467="","",J1467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1467+IFERROR(INDEX(Settings!$D$5:$D$9,MATCH("Etsy",Settings!$A$5:$A$9,0)),0)*D1467)</f>
        <v/>
      </c>
      <c r="N1467" s="11">
        <f>IF(A1467="","",IF(K1467="",0,D1467*INDEX(Products!$I$5:$I$204,K1467)))</f>
        <v/>
      </c>
      <c r="O1467" s="11">
        <f>IF(A1467="","",IF(K1467="",0,J1467*INDEX(Products!$H$5:$H$204,K1467)))</f>
        <v/>
      </c>
      <c r="P1467" s="11">
        <f>IF(A1467="","",J1467-M1467-N1467-O1467)</f>
        <v/>
      </c>
    </row>
    <row r="1468">
      <c r="A1468">
        <f>IFERROR(INDEX('Etsy Import'!$A:$CZ,1468,Settings!$C$20)&amp;"","")</f>
        <v/>
      </c>
      <c r="B1468">
        <f>IFERROR(INDEX('Etsy Import'!$A:$CZ,1468,Settings!$C$21)&amp;"","")</f>
        <v/>
      </c>
      <c r="C1468">
        <f>IFERROR(INDEX('Etsy Import'!$A:$CZ,1468,Settings!$C$22)&amp;"","")</f>
        <v/>
      </c>
      <c r="D1468">
        <f>IF(A1468="","",IFERROR(VALUE(SUBSTITUTE(SUBSTITUTE(INDEX('Etsy Import'!$A:$CZ,1468,Settings!$C$23)&amp;"","$",""),",","")),0))</f>
        <v/>
      </c>
      <c r="E1468" s="11">
        <f>IF(A1468="","",IFERROR(VALUE(SUBSTITUTE(SUBSTITUTE(INDEX('Etsy Import'!$A:$CZ,1468,Settings!$C$24)&amp;"","$",""),",","")),0))</f>
        <v/>
      </c>
      <c r="F1468" s="11">
        <f>IF(A1468="","",D1468*E1468)</f>
        <v/>
      </c>
      <c r="G1468">
        <f>IF(A1468="","",IF(C1468="",1,COUNTIF($C$2:$C$1501,C1468)))</f>
        <v/>
      </c>
      <c r="H1468" s="11">
        <f>IF(A1468="","",IFERROR(VALUE(SUBSTITUTE(SUBSTITUTE(INDEX('Etsy Import'!$A:$CZ,1468,Settings!$C$25)&amp;"","$",""),",","")),0)/IF(Settings!$B$27="Yes",G1468,1))</f>
        <v/>
      </c>
      <c r="I1468" s="11">
        <f>IF(A1468="","",IFERROR(VALUE(SUBSTITUTE(SUBSTITUTE(INDEX('Etsy Import'!$A:$CZ,1468,Settings!$C$26)&amp;"","$",""),",","")),0)/IF(Settings!$B$27="Yes",G1468,1))</f>
        <v/>
      </c>
      <c r="J1468" s="11">
        <f>IF(A1468="","",F1468+H1468-I1468)</f>
        <v/>
      </c>
      <c r="K1468">
        <f>IF(A1468="","",IFERROR(IF(B1468="",NA(),MATCH(B1468,Products!$B$5:$B$204,0)),IFERROR(MATCH(A1468,Products!$A$5:$A$204,0),"")))</f>
        <v/>
      </c>
      <c r="L1468">
        <f>IF(A1468="","",IF(K1468="","⚠ not in Products",INDEX(Products!$A$5:$A$204,K1468)))</f>
        <v/>
      </c>
      <c r="M1468" s="11">
        <f>IF(A1468="","",J1468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1468+IFERROR(INDEX(Settings!$D$5:$D$9,MATCH("Etsy",Settings!$A$5:$A$9,0)),0)*D1468)</f>
        <v/>
      </c>
      <c r="N1468" s="11">
        <f>IF(A1468="","",IF(K1468="",0,D1468*INDEX(Products!$I$5:$I$204,K1468)))</f>
        <v/>
      </c>
      <c r="O1468" s="11">
        <f>IF(A1468="","",IF(K1468="",0,J1468*INDEX(Products!$H$5:$H$204,K1468)))</f>
        <v/>
      </c>
      <c r="P1468" s="11">
        <f>IF(A1468="","",J1468-M1468-N1468-O1468)</f>
        <v/>
      </c>
    </row>
    <row r="1469">
      <c r="A1469">
        <f>IFERROR(INDEX('Etsy Import'!$A:$CZ,1469,Settings!$C$20)&amp;"","")</f>
        <v/>
      </c>
      <c r="B1469">
        <f>IFERROR(INDEX('Etsy Import'!$A:$CZ,1469,Settings!$C$21)&amp;"","")</f>
        <v/>
      </c>
      <c r="C1469">
        <f>IFERROR(INDEX('Etsy Import'!$A:$CZ,1469,Settings!$C$22)&amp;"","")</f>
        <v/>
      </c>
      <c r="D1469">
        <f>IF(A1469="","",IFERROR(VALUE(SUBSTITUTE(SUBSTITUTE(INDEX('Etsy Import'!$A:$CZ,1469,Settings!$C$23)&amp;"","$",""),",","")),0))</f>
        <v/>
      </c>
      <c r="E1469" s="11">
        <f>IF(A1469="","",IFERROR(VALUE(SUBSTITUTE(SUBSTITUTE(INDEX('Etsy Import'!$A:$CZ,1469,Settings!$C$24)&amp;"","$",""),",","")),0))</f>
        <v/>
      </c>
      <c r="F1469" s="11">
        <f>IF(A1469="","",D1469*E1469)</f>
        <v/>
      </c>
      <c r="G1469">
        <f>IF(A1469="","",IF(C1469="",1,COUNTIF($C$2:$C$1501,C1469)))</f>
        <v/>
      </c>
      <c r="H1469" s="11">
        <f>IF(A1469="","",IFERROR(VALUE(SUBSTITUTE(SUBSTITUTE(INDEX('Etsy Import'!$A:$CZ,1469,Settings!$C$25)&amp;"","$",""),",","")),0)/IF(Settings!$B$27="Yes",G1469,1))</f>
        <v/>
      </c>
      <c r="I1469" s="11">
        <f>IF(A1469="","",IFERROR(VALUE(SUBSTITUTE(SUBSTITUTE(INDEX('Etsy Import'!$A:$CZ,1469,Settings!$C$26)&amp;"","$",""),",","")),0)/IF(Settings!$B$27="Yes",G1469,1))</f>
        <v/>
      </c>
      <c r="J1469" s="11">
        <f>IF(A1469="","",F1469+H1469-I1469)</f>
        <v/>
      </c>
      <c r="K1469">
        <f>IF(A1469="","",IFERROR(IF(B1469="",NA(),MATCH(B1469,Products!$B$5:$B$204,0)),IFERROR(MATCH(A1469,Products!$A$5:$A$204,0),"")))</f>
        <v/>
      </c>
      <c r="L1469">
        <f>IF(A1469="","",IF(K1469="","⚠ not in Products",INDEX(Products!$A$5:$A$204,K1469)))</f>
        <v/>
      </c>
      <c r="M1469" s="11">
        <f>IF(A1469="","",J1469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1469+IFERROR(INDEX(Settings!$D$5:$D$9,MATCH("Etsy",Settings!$A$5:$A$9,0)),0)*D1469)</f>
        <v/>
      </c>
      <c r="N1469" s="11">
        <f>IF(A1469="","",IF(K1469="",0,D1469*INDEX(Products!$I$5:$I$204,K1469)))</f>
        <v/>
      </c>
      <c r="O1469" s="11">
        <f>IF(A1469="","",IF(K1469="",0,J1469*INDEX(Products!$H$5:$H$204,K1469)))</f>
        <v/>
      </c>
      <c r="P1469" s="11">
        <f>IF(A1469="","",J1469-M1469-N1469-O1469)</f>
        <v/>
      </c>
    </row>
    <row r="1470">
      <c r="A1470">
        <f>IFERROR(INDEX('Etsy Import'!$A:$CZ,1470,Settings!$C$20)&amp;"","")</f>
        <v/>
      </c>
      <c r="B1470">
        <f>IFERROR(INDEX('Etsy Import'!$A:$CZ,1470,Settings!$C$21)&amp;"","")</f>
        <v/>
      </c>
      <c r="C1470">
        <f>IFERROR(INDEX('Etsy Import'!$A:$CZ,1470,Settings!$C$22)&amp;"","")</f>
        <v/>
      </c>
      <c r="D1470">
        <f>IF(A1470="","",IFERROR(VALUE(SUBSTITUTE(SUBSTITUTE(INDEX('Etsy Import'!$A:$CZ,1470,Settings!$C$23)&amp;"","$",""),",","")),0))</f>
        <v/>
      </c>
      <c r="E1470" s="11">
        <f>IF(A1470="","",IFERROR(VALUE(SUBSTITUTE(SUBSTITUTE(INDEX('Etsy Import'!$A:$CZ,1470,Settings!$C$24)&amp;"","$",""),",","")),0))</f>
        <v/>
      </c>
      <c r="F1470" s="11">
        <f>IF(A1470="","",D1470*E1470)</f>
        <v/>
      </c>
      <c r="G1470">
        <f>IF(A1470="","",IF(C1470="",1,COUNTIF($C$2:$C$1501,C1470)))</f>
        <v/>
      </c>
      <c r="H1470" s="11">
        <f>IF(A1470="","",IFERROR(VALUE(SUBSTITUTE(SUBSTITUTE(INDEX('Etsy Import'!$A:$CZ,1470,Settings!$C$25)&amp;"","$",""),",","")),0)/IF(Settings!$B$27="Yes",G1470,1))</f>
        <v/>
      </c>
      <c r="I1470" s="11">
        <f>IF(A1470="","",IFERROR(VALUE(SUBSTITUTE(SUBSTITUTE(INDEX('Etsy Import'!$A:$CZ,1470,Settings!$C$26)&amp;"","$",""),",","")),0)/IF(Settings!$B$27="Yes",G1470,1))</f>
        <v/>
      </c>
      <c r="J1470" s="11">
        <f>IF(A1470="","",F1470+H1470-I1470)</f>
        <v/>
      </c>
      <c r="K1470">
        <f>IF(A1470="","",IFERROR(IF(B1470="",NA(),MATCH(B1470,Products!$B$5:$B$204,0)),IFERROR(MATCH(A1470,Products!$A$5:$A$204,0),"")))</f>
        <v/>
      </c>
      <c r="L1470">
        <f>IF(A1470="","",IF(K1470="","⚠ not in Products",INDEX(Products!$A$5:$A$204,K1470)))</f>
        <v/>
      </c>
      <c r="M1470" s="11">
        <f>IF(A1470="","",J1470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1470+IFERROR(INDEX(Settings!$D$5:$D$9,MATCH("Etsy",Settings!$A$5:$A$9,0)),0)*D1470)</f>
        <v/>
      </c>
      <c r="N1470" s="11">
        <f>IF(A1470="","",IF(K1470="",0,D1470*INDEX(Products!$I$5:$I$204,K1470)))</f>
        <v/>
      </c>
      <c r="O1470" s="11">
        <f>IF(A1470="","",IF(K1470="",0,J1470*INDEX(Products!$H$5:$H$204,K1470)))</f>
        <v/>
      </c>
      <c r="P1470" s="11">
        <f>IF(A1470="","",J1470-M1470-N1470-O1470)</f>
        <v/>
      </c>
    </row>
    <row r="1471">
      <c r="A1471">
        <f>IFERROR(INDEX('Etsy Import'!$A:$CZ,1471,Settings!$C$20)&amp;"","")</f>
        <v/>
      </c>
      <c r="B1471">
        <f>IFERROR(INDEX('Etsy Import'!$A:$CZ,1471,Settings!$C$21)&amp;"","")</f>
        <v/>
      </c>
      <c r="C1471">
        <f>IFERROR(INDEX('Etsy Import'!$A:$CZ,1471,Settings!$C$22)&amp;"","")</f>
        <v/>
      </c>
      <c r="D1471">
        <f>IF(A1471="","",IFERROR(VALUE(SUBSTITUTE(SUBSTITUTE(INDEX('Etsy Import'!$A:$CZ,1471,Settings!$C$23)&amp;"","$",""),",","")),0))</f>
        <v/>
      </c>
      <c r="E1471" s="11">
        <f>IF(A1471="","",IFERROR(VALUE(SUBSTITUTE(SUBSTITUTE(INDEX('Etsy Import'!$A:$CZ,1471,Settings!$C$24)&amp;"","$",""),",","")),0))</f>
        <v/>
      </c>
      <c r="F1471" s="11">
        <f>IF(A1471="","",D1471*E1471)</f>
        <v/>
      </c>
      <c r="G1471">
        <f>IF(A1471="","",IF(C1471="",1,COUNTIF($C$2:$C$1501,C1471)))</f>
        <v/>
      </c>
      <c r="H1471" s="11">
        <f>IF(A1471="","",IFERROR(VALUE(SUBSTITUTE(SUBSTITUTE(INDEX('Etsy Import'!$A:$CZ,1471,Settings!$C$25)&amp;"","$",""),",","")),0)/IF(Settings!$B$27="Yes",G1471,1))</f>
        <v/>
      </c>
      <c r="I1471" s="11">
        <f>IF(A1471="","",IFERROR(VALUE(SUBSTITUTE(SUBSTITUTE(INDEX('Etsy Import'!$A:$CZ,1471,Settings!$C$26)&amp;"","$",""),",","")),0)/IF(Settings!$B$27="Yes",G1471,1))</f>
        <v/>
      </c>
      <c r="J1471" s="11">
        <f>IF(A1471="","",F1471+H1471-I1471)</f>
        <v/>
      </c>
      <c r="K1471">
        <f>IF(A1471="","",IFERROR(IF(B1471="",NA(),MATCH(B1471,Products!$B$5:$B$204,0)),IFERROR(MATCH(A1471,Products!$A$5:$A$204,0),"")))</f>
        <v/>
      </c>
      <c r="L1471">
        <f>IF(A1471="","",IF(K1471="","⚠ not in Products",INDEX(Products!$A$5:$A$204,K1471)))</f>
        <v/>
      </c>
      <c r="M1471" s="11">
        <f>IF(A1471="","",J1471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1471+IFERROR(INDEX(Settings!$D$5:$D$9,MATCH("Etsy",Settings!$A$5:$A$9,0)),0)*D1471)</f>
        <v/>
      </c>
      <c r="N1471" s="11">
        <f>IF(A1471="","",IF(K1471="",0,D1471*INDEX(Products!$I$5:$I$204,K1471)))</f>
        <v/>
      </c>
      <c r="O1471" s="11">
        <f>IF(A1471="","",IF(K1471="",0,J1471*INDEX(Products!$H$5:$H$204,K1471)))</f>
        <v/>
      </c>
      <c r="P1471" s="11">
        <f>IF(A1471="","",J1471-M1471-N1471-O1471)</f>
        <v/>
      </c>
    </row>
    <row r="1472">
      <c r="A1472">
        <f>IFERROR(INDEX('Etsy Import'!$A:$CZ,1472,Settings!$C$20)&amp;"","")</f>
        <v/>
      </c>
      <c r="B1472">
        <f>IFERROR(INDEX('Etsy Import'!$A:$CZ,1472,Settings!$C$21)&amp;"","")</f>
        <v/>
      </c>
      <c r="C1472">
        <f>IFERROR(INDEX('Etsy Import'!$A:$CZ,1472,Settings!$C$22)&amp;"","")</f>
        <v/>
      </c>
      <c r="D1472">
        <f>IF(A1472="","",IFERROR(VALUE(SUBSTITUTE(SUBSTITUTE(INDEX('Etsy Import'!$A:$CZ,1472,Settings!$C$23)&amp;"","$",""),",","")),0))</f>
        <v/>
      </c>
      <c r="E1472" s="11">
        <f>IF(A1472="","",IFERROR(VALUE(SUBSTITUTE(SUBSTITUTE(INDEX('Etsy Import'!$A:$CZ,1472,Settings!$C$24)&amp;"","$",""),",","")),0))</f>
        <v/>
      </c>
      <c r="F1472" s="11">
        <f>IF(A1472="","",D1472*E1472)</f>
        <v/>
      </c>
      <c r="G1472">
        <f>IF(A1472="","",IF(C1472="",1,COUNTIF($C$2:$C$1501,C1472)))</f>
        <v/>
      </c>
      <c r="H1472" s="11">
        <f>IF(A1472="","",IFERROR(VALUE(SUBSTITUTE(SUBSTITUTE(INDEX('Etsy Import'!$A:$CZ,1472,Settings!$C$25)&amp;"","$",""),",","")),0)/IF(Settings!$B$27="Yes",G1472,1))</f>
        <v/>
      </c>
      <c r="I1472" s="11">
        <f>IF(A1472="","",IFERROR(VALUE(SUBSTITUTE(SUBSTITUTE(INDEX('Etsy Import'!$A:$CZ,1472,Settings!$C$26)&amp;"","$",""),",","")),0)/IF(Settings!$B$27="Yes",G1472,1))</f>
        <v/>
      </c>
      <c r="J1472" s="11">
        <f>IF(A1472="","",F1472+H1472-I1472)</f>
        <v/>
      </c>
      <c r="K1472">
        <f>IF(A1472="","",IFERROR(IF(B1472="",NA(),MATCH(B1472,Products!$B$5:$B$204,0)),IFERROR(MATCH(A1472,Products!$A$5:$A$204,0),"")))</f>
        <v/>
      </c>
      <c r="L1472">
        <f>IF(A1472="","",IF(K1472="","⚠ not in Products",INDEX(Products!$A$5:$A$204,K1472)))</f>
        <v/>
      </c>
      <c r="M1472" s="11">
        <f>IF(A1472="","",J1472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1472+IFERROR(INDEX(Settings!$D$5:$D$9,MATCH("Etsy",Settings!$A$5:$A$9,0)),0)*D1472)</f>
        <v/>
      </c>
      <c r="N1472" s="11">
        <f>IF(A1472="","",IF(K1472="",0,D1472*INDEX(Products!$I$5:$I$204,K1472)))</f>
        <v/>
      </c>
      <c r="O1472" s="11">
        <f>IF(A1472="","",IF(K1472="",0,J1472*INDEX(Products!$H$5:$H$204,K1472)))</f>
        <v/>
      </c>
      <c r="P1472" s="11">
        <f>IF(A1472="","",J1472-M1472-N1472-O1472)</f>
        <v/>
      </c>
    </row>
    <row r="1473">
      <c r="A1473">
        <f>IFERROR(INDEX('Etsy Import'!$A:$CZ,1473,Settings!$C$20)&amp;"","")</f>
        <v/>
      </c>
      <c r="B1473">
        <f>IFERROR(INDEX('Etsy Import'!$A:$CZ,1473,Settings!$C$21)&amp;"","")</f>
        <v/>
      </c>
      <c r="C1473">
        <f>IFERROR(INDEX('Etsy Import'!$A:$CZ,1473,Settings!$C$22)&amp;"","")</f>
        <v/>
      </c>
      <c r="D1473">
        <f>IF(A1473="","",IFERROR(VALUE(SUBSTITUTE(SUBSTITUTE(INDEX('Etsy Import'!$A:$CZ,1473,Settings!$C$23)&amp;"","$",""),",","")),0))</f>
        <v/>
      </c>
      <c r="E1473" s="11">
        <f>IF(A1473="","",IFERROR(VALUE(SUBSTITUTE(SUBSTITUTE(INDEX('Etsy Import'!$A:$CZ,1473,Settings!$C$24)&amp;"","$",""),",","")),0))</f>
        <v/>
      </c>
      <c r="F1473" s="11">
        <f>IF(A1473="","",D1473*E1473)</f>
        <v/>
      </c>
      <c r="G1473">
        <f>IF(A1473="","",IF(C1473="",1,COUNTIF($C$2:$C$1501,C1473)))</f>
        <v/>
      </c>
      <c r="H1473" s="11">
        <f>IF(A1473="","",IFERROR(VALUE(SUBSTITUTE(SUBSTITUTE(INDEX('Etsy Import'!$A:$CZ,1473,Settings!$C$25)&amp;"","$",""),",","")),0)/IF(Settings!$B$27="Yes",G1473,1))</f>
        <v/>
      </c>
      <c r="I1473" s="11">
        <f>IF(A1473="","",IFERROR(VALUE(SUBSTITUTE(SUBSTITUTE(INDEX('Etsy Import'!$A:$CZ,1473,Settings!$C$26)&amp;"","$",""),",","")),0)/IF(Settings!$B$27="Yes",G1473,1))</f>
        <v/>
      </c>
      <c r="J1473" s="11">
        <f>IF(A1473="","",F1473+H1473-I1473)</f>
        <v/>
      </c>
      <c r="K1473">
        <f>IF(A1473="","",IFERROR(IF(B1473="",NA(),MATCH(B1473,Products!$B$5:$B$204,0)),IFERROR(MATCH(A1473,Products!$A$5:$A$204,0),"")))</f>
        <v/>
      </c>
      <c r="L1473">
        <f>IF(A1473="","",IF(K1473="","⚠ not in Products",INDEX(Products!$A$5:$A$204,K1473)))</f>
        <v/>
      </c>
      <c r="M1473" s="11">
        <f>IF(A1473="","",J1473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1473+IFERROR(INDEX(Settings!$D$5:$D$9,MATCH("Etsy",Settings!$A$5:$A$9,0)),0)*D1473)</f>
        <v/>
      </c>
      <c r="N1473" s="11">
        <f>IF(A1473="","",IF(K1473="",0,D1473*INDEX(Products!$I$5:$I$204,K1473)))</f>
        <v/>
      </c>
      <c r="O1473" s="11">
        <f>IF(A1473="","",IF(K1473="",0,J1473*INDEX(Products!$H$5:$H$204,K1473)))</f>
        <v/>
      </c>
      <c r="P1473" s="11">
        <f>IF(A1473="","",J1473-M1473-N1473-O1473)</f>
        <v/>
      </c>
    </row>
    <row r="1474">
      <c r="A1474">
        <f>IFERROR(INDEX('Etsy Import'!$A:$CZ,1474,Settings!$C$20)&amp;"","")</f>
        <v/>
      </c>
      <c r="B1474">
        <f>IFERROR(INDEX('Etsy Import'!$A:$CZ,1474,Settings!$C$21)&amp;"","")</f>
        <v/>
      </c>
      <c r="C1474">
        <f>IFERROR(INDEX('Etsy Import'!$A:$CZ,1474,Settings!$C$22)&amp;"","")</f>
        <v/>
      </c>
      <c r="D1474">
        <f>IF(A1474="","",IFERROR(VALUE(SUBSTITUTE(SUBSTITUTE(INDEX('Etsy Import'!$A:$CZ,1474,Settings!$C$23)&amp;"","$",""),",","")),0))</f>
        <v/>
      </c>
      <c r="E1474" s="11">
        <f>IF(A1474="","",IFERROR(VALUE(SUBSTITUTE(SUBSTITUTE(INDEX('Etsy Import'!$A:$CZ,1474,Settings!$C$24)&amp;"","$",""),",","")),0))</f>
        <v/>
      </c>
      <c r="F1474" s="11">
        <f>IF(A1474="","",D1474*E1474)</f>
        <v/>
      </c>
      <c r="G1474">
        <f>IF(A1474="","",IF(C1474="",1,COUNTIF($C$2:$C$1501,C1474)))</f>
        <v/>
      </c>
      <c r="H1474" s="11">
        <f>IF(A1474="","",IFERROR(VALUE(SUBSTITUTE(SUBSTITUTE(INDEX('Etsy Import'!$A:$CZ,1474,Settings!$C$25)&amp;"","$",""),",","")),0)/IF(Settings!$B$27="Yes",G1474,1))</f>
        <v/>
      </c>
      <c r="I1474" s="11">
        <f>IF(A1474="","",IFERROR(VALUE(SUBSTITUTE(SUBSTITUTE(INDEX('Etsy Import'!$A:$CZ,1474,Settings!$C$26)&amp;"","$",""),",","")),0)/IF(Settings!$B$27="Yes",G1474,1))</f>
        <v/>
      </c>
      <c r="J1474" s="11">
        <f>IF(A1474="","",F1474+H1474-I1474)</f>
        <v/>
      </c>
      <c r="K1474">
        <f>IF(A1474="","",IFERROR(IF(B1474="",NA(),MATCH(B1474,Products!$B$5:$B$204,0)),IFERROR(MATCH(A1474,Products!$A$5:$A$204,0),"")))</f>
        <v/>
      </c>
      <c r="L1474">
        <f>IF(A1474="","",IF(K1474="","⚠ not in Products",INDEX(Products!$A$5:$A$204,K1474)))</f>
        <v/>
      </c>
      <c r="M1474" s="11">
        <f>IF(A1474="","",J1474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1474+IFERROR(INDEX(Settings!$D$5:$D$9,MATCH("Etsy",Settings!$A$5:$A$9,0)),0)*D1474)</f>
        <v/>
      </c>
      <c r="N1474" s="11">
        <f>IF(A1474="","",IF(K1474="",0,D1474*INDEX(Products!$I$5:$I$204,K1474)))</f>
        <v/>
      </c>
      <c r="O1474" s="11">
        <f>IF(A1474="","",IF(K1474="",0,J1474*INDEX(Products!$H$5:$H$204,K1474)))</f>
        <v/>
      </c>
      <c r="P1474" s="11">
        <f>IF(A1474="","",J1474-M1474-N1474-O1474)</f>
        <v/>
      </c>
    </row>
    <row r="1475">
      <c r="A1475">
        <f>IFERROR(INDEX('Etsy Import'!$A:$CZ,1475,Settings!$C$20)&amp;"","")</f>
        <v/>
      </c>
      <c r="B1475">
        <f>IFERROR(INDEX('Etsy Import'!$A:$CZ,1475,Settings!$C$21)&amp;"","")</f>
        <v/>
      </c>
      <c r="C1475">
        <f>IFERROR(INDEX('Etsy Import'!$A:$CZ,1475,Settings!$C$22)&amp;"","")</f>
        <v/>
      </c>
      <c r="D1475">
        <f>IF(A1475="","",IFERROR(VALUE(SUBSTITUTE(SUBSTITUTE(INDEX('Etsy Import'!$A:$CZ,1475,Settings!$C$23)&amp;"","$",""),",","")),0))</f>
        <v/>
      </c>
      <c r="E1475" s="11">
        <f>IF(A1475="","",IFERROR(VALUE(SUBSTITUTE(SUBSTITUTE(INDEX('Etsy Import'!$A:$CZ,1475,Settings!$C$24)&amp;"","$",""),",","")),0))</f>
        <v/>
      </c>
      <c r="F1475" s="11">
        <f>IF(A1475="","",D1475*E1475)</f>
        <v/>
      </c>
      <c r="G1475">
        <f>IF(A1475="","",IF(C1475="",1,COUNTIF($C$2:$C$1501,C1475)))</f>
        <v/>
      </c>
      <c r="H1475" s="11">
        <f>IF(A1475="","",IFERROR(VALUE(SUBSTITUTE(SUBSTITUTE(INDEX('Etsy Import'!$A:$CZ,1475,Settings!$C$25)&amp;"","$",""),",","")),0)/IF(Settings!$B$27="Yes",G1475,1))</f>
        <v/>
      </c>
      <c r="I1475" s="11">
        <f>IF(A1475="","",IFERROR(VALUE(SUBSTITUTE(SUBSTITUTE(INDEX('Etsy Import'!$A:$CZ,1475,Settings!$C$26)&amp;"","$",""),",","")),0)/IF(Settings!$B$27="Yes",G1475,1))</f>
        <v/>
      </c>
      <c r="J1475" s="11">
        <f>IF(A1475="","",F1475+H1475-I1475)</f>
        <v/>
      </c>
      <c r="K1475">
        <f>IF(A1475="","",IFERROR(IF(B1475="",NA(),MATCH(B1475,Products!$B$5:$B$204,0)),IFERROR(MATCH(A1475,Products!$A$5:$A$204,0),"")))</f>
        <v/>
      </c>
      <c r="L1475">
        <f>IF(A1475="","",IF(K1475="","⚠ not in Products",INDEX(Products!$A$5:$A$204,K1475)))</f>
        <v/>
      </c>
      <c r="M1475" s="11">
        <f>IF(A1475="","",J1475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1475+IFERROR(INDEX(Settings!$D$5:$D$9,MATCH("Etsy",Settings!$A$5:$A$9,0)),0)*D1475)</f>
        <v/>
      </c>
      <c r="N1475" s="11">
        <f>IF(A1475="","",IF(K1475="",0,D1475*INDEX(Products!$I$5:$I$204,K1475)))</f>
        <v/>
      </c>
      <c r="O1475" s="11">
        <f>IF(A1475="","",IF(K1475="",0,J1475*INDEX(Products!$H$5:$H$204,K1475)))</f>
        <v/>
      </c>
      <c r="P1475" s="11">
        <f>IF(A1475="","",J1475-M1475-N1475-O1475)</f>
        <v/>
      </c>
    </row>
    <row r="1476">
      <c r="A1476">
        <f>IFERROR(INDEX('Etsy Import'!$A:$CZ,1476,Settings!$C$20)&amp;"","")</f>
        <v/>
      </c>
      <c r="B1476">
        <f>IFERROR(INDEX('Etsy Import'!$A:$CZ,1476,Settings!$C$21)&amp;"","")</f>
        <v/>
      </c>
      <c r="C1476">
        <f>IFERROR(INDEX('Etsy Import'!$A:$CZ,1476,Settings!$C$22)&amp;"","")</f>
        <v/>
      </c>
      <c r="D1476">
        <f>IF(A1476="","",IFERROR(VALUE(SUBSTITUTE(SUBSTITUTE(INDEX('Etsy Import'!$A:$CZ,1476,Settings!$C$23)&amp;"","$",""),",","")),0))</f>
        <v/>
      </c>
      <c r="E1476" s="11">
        <f>IF(A1476="","",IFERROR(VALUE(SUBSTITUTE(SUBSTITUTE(INDEX('Etsy Import'!$A:$CZ,1476,Settings!$C$24)&amp;"","$",""),",","")),0))</f>
        <v/>
      </c>
      <c r="F1476" s="11">
        <f>IF(A1476="","",D1476*E1476)</f>
        <v/>
      </c>
      <c r="G1476">
        <f>IF(A1476="","",IF(C1476="",1,COUNTIF($C$2:$C$1501,C1476)))</f>
        <v/>
      </c>
      <c r="H1476" s="11">
        <f>IF(A1476="","",IFERROR(VALUE(SUBSTITUTE(SUBSTITUTE(INDEX('Etsy Import'!$A:$CZ,1476,Settings!$C$25)&amp;"","$",""),",","")),0)/IF(Settings!$B$27="Yes",G1476,1))</f>
        <v/>
      </c>
      <c r="I1476" s="11">
        <f>IF(A1476="","",IFERROR(VALUE(SUBSTITUTE(SUBSTITUTE(INDEX('Etsy Import'!$A:$CZ,1476,Settings!$C$26)&amp;"","$",""),",","")),0)/IF(Settings!$B$27="Yes",G1476,1))</f>
        <v/>
      </c>
      <c r="J1476" s="11">
        <f>IF(A1476="","",F1476+H1476-I1476)</f>
        <v/>
      </c>
      <c r="K1476">
        <f>IF(A1476="","",IFERROR(IF(B1476="",NA(),MATCH(B1476,Products!$B$5:$B$204,0)),IFERROR(MATCH(A1476,Products!$A$5:$A$204,0),"")))</f>
        <v/>
      </c>
      <c r="L1476">
        <f>IF(A1476="","",IF(K1476="","⚠ not in Products",INDEX(Products!$A$5:$A$204,K1476)))</f>
        <v/>
      </c>
      <c r="M1476" s="11">
        <f>IF(A1476="","",J1476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1476+IFERROR(INDEX(Settings!$D$5:$D$9,MATCH("Etsy",Settings!$A$5:$A$9,0)),0)*D1476)</f>
        <v/>
      </c>
      <c r="N1476" s="11">
        <f>IF(A1476="","",IF(K1476="",0,D1476*INDEX(Products!$I$5:$I$204,K1476)))</f>
        <v/>
      </c>
      <c r="O1476" s="11">
        <f>IF(A1476="","",IF(K1476="",0,J1476*INDEX(Products!$H$5:$H$204,K1476)))</f>
        <v/>
      </c>
      <c r="P1476" s="11">
        <f>IF(A1476="","",J1476-M1476-N1476-O1476)</f>
        <v/>
      </c>
    </row>
    <row r="1477">
      <c r="A1477">
        <f>IFERROR(INDEX('Etsy Import'!$A:$CZ,1477,Settings!$C$20)&amp;"","")</f>
        <v/>
      </c>
      <c r="B1477">
        <f>IFERROR(INDEX('Etsy Import'!$A:$CZ,1477,Settings!$C$21)&amp;"","")</f>
        <v/>
      </c>
      <c r="C1477">
        <f>IFERROR(INDEX('Etsy Import'!$A:$CZ,1477,Settings!$C$22)&amp;"","")</f>
        <v/>
      </c>
      <c r="D1477">
        <f>IF(A1477="","",IFERROR(VALUE(SUBSTITUTE(SUBSTITUTE(INDEX('Etsy Import'!$A:$CZ,1477,Settings!$C$23)&amp;"","$",""),",","")),0))</f>
        <v/>
      </c>
      <c r="E1477" s="11">
        <f>IF(A1477="","",IFERROR(VALUE(SUBSTITUTE(SUBSTITUTE(INDEX('Etsy Import'!$A:$CZ,1477,Settings!$C$24)&amp;"","$",""),",","")),0))</f>
        <v/>
      </c>
      <c r="F1477" s="11">
        <f>IF(A1477="","",D1477*E1477)</f>
        <v/>
      </c>
      <c r="G1477">
        <f>IF(A1477="","",IF(C1477="",1,COUNTIF($C$2:$C$1501,C1477)))</f>
        <v/>
      </c>
      <c r="H1477" s="11">
        <f>IF(A1477="","",IFERROR(VALUE(SUBSTITUTE(SUBSTITUTE(INDEX('Etsy Import'!$A:$CZ,1477,Settings!$C$25)&amp;"","$",""),",","")),0)/IF(Settings!$B$27="Yes",G1477,1))</f>
        <v/>
      </c>
      <c r="I1477" s="11">
        <f>IF(A1477="","",IFERROR(VALUE(SUBSTITUTE(SUBSTITUTE(INDEX('Etsy Import'!$A:$CZ,1477,Settings!$C$26)&amp;"","$",""),",","")),0)/IF(Settings!$B$27="Yes",G1477,1))</f>
        <v/>
      </c>
      <c r="J1477" s="11">
        <f>IF(A1477="","",F1477+H1477-I1477)</f>
        <v/>
      </c>
      <c r="K1477">
        <f>IF(A1477="","",IFERROR(IF(B1477="",NA(),MATCH(B1477,Products!$B$5:$B$204,0)),IFERROR(MATCH(A1477,Products!$A$5:$A$204,0),"")))</f>
        <v/>
      </c>
      <c r="L1477">
        <f>IF(A1477="","",IF(K1477="","⚠ not in Products",INDEX(Products!$A$5:$A$204,K1477)))</f>
        <v/>
      </c>
      <c r="M1477" s="11">
        <f>IF(A1477="","",J1477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1477+IFERROR(INDEX(Settings!$D$5:$D$9,MATCH("Etsy",Settings!$A$5:$A$9,0)),0)*D1477)</f>
        <v/>
      </c>
      <c r="N1477" s="11">
        <f>IF(A1477="","",IF(K1477="",0,D1477*INDEX(Products!$I$5:$I$204,K1477)))</f>
        <v/>
      </c>
      <c r="O1477" s="11">
        <f>IF(A1477="","",IF(K1477="",0,J1477*INDEX(Products!$H$5:$H$204,K1477)))</f>
        <v/>
      </c>
      <c r="P1477" s="11">
        <f>IF(A1477="","",J1477-M1477-N1477-O1477)</f>
        <v/>
      </c>
    </row>
    <row r="1478">
      <c r="A1478">
        <f>IFERROR(INDEX('Etsy Import'!$A:$CZ,1478,Settings!$C$20)&amp;"","")</f>
        <v/>
      </c>
      <c r="B1478">
        <f>IFERROR(INDEX('Etsy Import'!$A:$CZ,1478,Settings!$C$21)&amp;"","")</f>
        <v/>
      </c>
      <c r="C1478">
        <f>IFERROR(INDEX('Etsy Import'!$A:$CZ,1478,Settings!$C$22)&amp;"","")</f>
        <v/>
      </c>
      <c r="D1478">
        <f>IF(A1478="","",IFERROR(VALUE(SUBSTITUTE(SUBSTITUTE(INDEX('Etsy Import'!$A:$CZ,1478,Settings!$C$23)&amp;"","$",""),",","")),0))</f>
        <v/>
      </c>
      <c r="E1478" s="11">
        <f>IF(A1478="","",IFERROR(VALUE(SUBSTITUTE(SUBSTITUTE(INDEX('Etsy Import'!$A:$CZ,1478,Settings!$C$24)&amp;"","$",""),",","")),0))</f>
        <v/>
      </c>
      <c r="F1478" s="11">
        <f>IF(A1478="","",D1478*E1478)</f>
        <v/>
      </c>
      <c r="G1478">
        <f>IF(A1478="","",IF(C1478="",1,COUNTIF($C$2:$C$1501,C1478)))</f>
        <v/>
      </c>
      <c r="H1478" s="11">
        <f>IF(A1478="","",IFERROR(VALUE(SUBSTITUTE(SUBSTITUTE(INDEX('Etsy Import'!$A:$CZ,1478,Settings!$C$25)&amp;"","$",""),",","")),0)/IF(Settings!$B$27="Yes",G1478,1))</f>
        <v/>
      </c>
      <c r="I1478" s="11">
        <f>IF(A1478="","",IFERROR(VALUE(SUBSTITUTE(SUBSTITUTE(INDEX('Etsy Import'!$A:$CZ,1478,Settings!$C$26)&amp;"","$",""),",","")),0)/IF(Settings!$B$27="Yes",G1478,1))</f>
        <v/>
      </c>
      <c r="J1478" s="11">
        <f>IF(A1478="","",F1478+H1478-I1478)</f>
        <v/>
      </c>
      <c r="K1478">
        <f>IF(A1478="","",IFERROR(IF(B1478="",NA(),MATCH(B1478,Products!$B$5:$B$204,0)),IFERROR(MATCH(A1478,Products!$A$5:$A$204,0),"")))</f>
        <v/>
      </c>
      <c r="L1478">
        <f>IF(A1478="","",IF(K1478="","⚠ not in Products",INDEX(Products!$A$5:$A$204,K1478)))</f>
        <v/>
      </c>
      <c r="M1478" s="11">
        <f>IF(A1478="","",J1478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1478+IFERROR(INDEX(Settings!$D$5:$D$9,MATCH("Etsy",Settings!$A$5:$A$9,0)),0)*D1478)</f>
        <v/>
      </c>
      <c r="N1478" s="11">
        <f>IF(A1478="","",IF(K1478="",0,D1478*INDEX(Products!$I$5:$I$204,K1478)))</f>
        <v/>
      </c>
      <c r="O1478" s="11">
        <f>IF(A1478="","",IF(K1478="",0,J1478*INDEX(Products!$H$5:$H$204,K1478)))</f>
        <v/>
      </c>
      <c r="P1478" s="11">
        <f>IF(A1478="","",J1478-M1478-N1478-O1478)</f>
        <v/>
      </c>
    </row>
    <row r="1479">
      <c r="A1479">
        <f>IFERROR(INDEX('Etsy Import'!$A:$CZ,1479,Settings!$C$20)&amp;"","")</f>
        <v/>
      </c>
      <c r="B1479">
        <f>IFERROR(INDEX('Etsy Import'!$A:$CZ,1479,Settings!$C$21)&amp;"","")</f>
        <v/>
      </c>
      <c r="C1479">
        <f>IFERROR(INDEX('Etsy Import'!$A:$CZ,1479,Settings!$C$22)&amp;"","")</f>
        <v/>
      </c>
      <c r="D1479">
        <f>IF(A1479="","",IFERROR(VALUE(SUBSTITUTE(SUBSTITUTE(INDEX('Etsy Import'!$A:$CZ,1479,Settings!$C$23)&amp;"","$",""),",","")),0))</f>
        <v/>
      </c>
      <c r="E1479" s="11">
        <f>IF(A1479="","",IFERROR(VALUE(SUBSTITUTE(SUBSTITUTE(INDEX('Etsy Import'!$A:$CZ,1479,Settings!$C$24)&amp;"","$",""),",","")),0))</f>
        <v/>
      </c>
      <c r="F1479" s="11">
        <f>IF(A1479="","",D1479*E1479)</f>
        <v/>
      </c>
      <c r="G1479">
        <f>IF(A1479="","",IF(C1479="",1,COUNTIF($C$2:$C$1501,C1479)))</f>
        <v/>
      </c>
      <c r="H1479" s="11">
        <f>IF(A1479="","",IFERROR(VALUE(SUBSTITUTE(SUBSTITUTE(INDEX('Etsy Import'!$A:$CZ,1479,Settings!$C$25)&amp;"","$",""),",","")),0)/IF(Settings!$B$27="Yes",G1479,1))</f>
        <v/>
      </c>
      <c r="I1479" s="11">
        <f>IF(A1479="","",IFERROR(VALUE(SUBSTITUTE(SUBSTITUTE(INDEX('Etsy Import'!$A:$CZ,1479,Settings!$C$26)&amp;"","$",""),",","")),0)/IF(Settings!$B$27="Yes",G1479,1))</f>
        <v/>
      </c>
      <c r="J1479" s="11">
        <f>IF(A1479="","",F1479+H1479-I1479)</f>
        <v/>
      </c>
      <c r="K1479">
        <f>IF(A1479="","",IFERROR(IF(B1479="",NA(),MATCH(B1479,Products!$B$5:$B$204,0)),IFERROR(MATCH(A1479,Products!$A$5:$A$204,0),"")))</f>
        <v/>
      </c>
      <c r="L1479">
        <f>IF(A1479="","",IF(K1479="","⚠ not in Products",INDEX(Products!$A$5:$A$204,K1479)))</f>
        <v/>
      </c>
      <c r="M1479" s="11">
        <f>IF(A1479="","",J1479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1479+IFERROR(INDEX(Settings!$D$5:$D$9,MATCH("Etsy",Settings!$A$5:$A$9,0)),0)*D1479)</f>
        <v/>
      </c>
      <c r="N1479" s="11">
        <f>IF(A1479="","",IF(K1479="",0,D1479*INDEX(Products!$I$5:$I$204,K1479)))</f>
        <v/>
      </c>
      <c r="O1479" s="11">
        <f>IF(A1479="","",IF(K1479="",0,J1479*INDEX(Products!$H$5:$H$204,K1479)))</f>
        <v/>
      </c>
      <c r="P1479" s="11">
        <f>IF(A1479="","",J1479-M1479-N1479-O1479)</f>
        <v/>
      </c>
    </row>
    <row r="1480">
      <c r="A1480">
        <f>IFERROR(INDEX('Etsy Import'!$A:$CZ,1480,Settings!$C$20)&amp;"","")</f>
        <v/>
      </c>
      <c r="B1480">
        <f>IFERROR(INDEX('Etsy Import'!$A:$CZ,1480,Settings!$C$21)&amp;"","")</f>
        <v/>
      </c>
      <c r="C1480">
        <f>IFERROR(INDEX('Etsy Import'!$A:$CZ,1480,Settings!$C$22)&amp;"","")</f>
        <v/>
      </c>
      <c r="D1480">
        <f>IF(A1480="","",IFERROR(VALUE(SUBSTITUTE(SUBSTITUTE(INDEX('Etsy Import'!$A:$CZ,1480,Settings!$C$23)&amp;"","$",""),",","")),0))</f>
        <v/>
      </c>
      <c r="E1480" s="11">
        <f>IF(A1480="","",IFERROR(VALUE(SUBSTITUTE(SUBSTITUTE(INDEX('Etsy Import'!$A:$CZ,1480,Settings!$C$24)&amp;"","$",""),",","")),0))</f>
        <v/>
      </c>
      <c r="F1480" s="11">
        <f>IF(A1480="","",D1480*E1480)</f>
        <v/>
      </c>
      <c r="G1480">
        <f>IF(A1480="","",IF(C1480="",1,COUNTIF($C$2:$C$1501,C1480)))</f>
        <v/>
      </c>
      <c r="H1480" s="11">
        <f>IF(A1480="","",IFERROR(VALUE(SUBSTITUTE(SUBSTITUTE(INDEX('Etsy Import'!$A:$CZ,1480,Settings!$C$25)&amp;"","$",""),",","")),0)/IF(Settings!$B$27="Yes",G1480,1))</f>
        <v/>
      </c>
      <c r="I1480" s="11">
        <f>IF(A1480="","",IFERROR(VALUE(SUBSTITUTE(SUBSTITUTE(INDEX('Etsy Import'!$A:$CZ,1480,Settings!$C$26)&amp;"","$",""),",","")),0)/IF(Settings!$B$27="Yes",G1480,1))</f>
        <v/>
      </c>
      <c r="J1480" s="11">
        <f>IF(A1480="","",F1480+H1480-I1480)</f>
        <v/>
      </c>
      <c r="K1480">
        <f>IF(A1480="","",IFERROR(IF(B1480="",NA(),MATCH(B1480,Products!$B$5:$B$204,0)),IFERROR(MATCH(A1480,Products!$A$5:$A$204,0),"")))</f>
        <v/>
      </c>
      <c r="L1480">
        <f>IF(A1480="","",IF(K1480="","⚠ not in Products",INDEX(Products!$A$5:$A$204,K1480)))</f>
        <v/>
      </c>
      <c r="M1480" s="11">
        <f>IF(A1480="","",J1480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1480+IFERROR(INDEX(Settings!$D$5:$D$9,MATCH("Etsy",Settings!$A$5:$A$9,0)),0)*D1480)</f>
        <v/>
      </c>
      <c r="N1480" s="11">
        <f>IF(A1480="","",IF(K1480="",0,D1480*INDEX(Products!$I$5:$I$204,K1480)))</f>
        <v/>
      </c>
      <c r="O1480" s="11">
        <f>IF(A1480="","",IF(K1480="",0,J1480*INDEX(Products!$H$5:$H$204,K1480)))</f>
        <v/>
      </c>
      <c r="P1480" s="11">
        <f>IF(A1480="","",J1480-M1480-N1480-O1480)</f>
        <v/>
      </c>
    </row>
    <row r="1481">
      <c r="A1481">
        <f>IFERROR(INDEX('Etsy Import'!$A:$CZ,1481,Settings!$C$20)&amp;"","")</f>
        <v/>
      </c>
      <c r="B1481">
        <f>IFERROR(INDEX('Etsy Import'!$A:$CZ,1481,Settings!$C$21)&amp;"","")</f>
        <v/>
      </c>
      <c r="C1481">
        <f>IFERROR(INDEX('Etsy Import'!$A:$CZ,1481,Settings!$C$22)&amp;"","")</f>
        <v/>
      </c>
      <c r="D1481">
        <f>IF(A1481="","",IFERROR(VALUE(SUBSTITUTE(SUBSTITUTE(INDEX('Etsy Import'!$A:$CZ,1481,Settings!$C$23)&amp;"","$",""),",","")),0))</f>
        <v/>
      </c>
      <c r="E1481" s="11">
        <f>IF(A1481="","",IFERROR(VALUE(SUBSTITUTE(SUBSTITUTE(INDEX('Etsy Import'!$A:$CZ,1481,Settings!$C$24)&amp;"","$",""),",","")),0))</f>
        <v/>
      </c>
      <c r="F1481" s="11">
        <f>IF(A1481="","",D1481*E1481)</f>
        <v/>
      </c>
      <c r="G1481">
        <f>IF(A1481="","",IF(C1481="",1,COUNTIF($C$2:$C$1501,C1481)))</f>
        <v/>
      </c>
      <c r="H1481" s="11">
        <f>IF(A1481="","",IFERROR(VALUE(SUBSTITUTE(SUBSTITUTE(INDEX('Etsy Import'!$A:$CZ,1481,Settings!$C$25)&amp;"","$",""),",","")),0)/IF(Settings!$B$27="Yes",G1481,1))</f>
        <v/>
      </c>
      <c r="I1481" s="11">
        <f>IF(A1481="","",IFERROR(VALUE(SUBSTITUTE(SUBSTITUTE(INDEX('Etsy Import'!$A:$CZ,1481,Settings!$C$26)&amp;"","$",""),",","")),0)/IF(Settings!$B$27="Yes",G1481,1))</f>
        <v/>
      </c>
      <c r="J1481" s="11">
        <f>IF(A1481="","",F1481+H1481-I1481)</f>
        <v/>
      </c>
      <c r="K1481">
        <f>IF(A1481="","",IFERROR(IF(B1481="",NA(),MATCH(B1481,Products!$B$5:$B$204,0)),IFERROR(MATCH(A1481,Products!$A$5:$A$204,0),"")))</f>
        <v/>
      </c>
      <c r="L1481">
        <f>IF(A1481="","",IF(K1481="","⚠ not in Products",INDEX(Products!$A$5:$A$204,K1481)))</f>
        <v/>
      </c>
      <c r="M1481" s="11">
        <f>IF(A1481="","",J1481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1481+IFERROR(INDEX(Settings!$D$5:$D$9,MATCH("Etsy",Settings!$A$5:$A$9,0)),0)*D1481)</f>
        <v/>
      </c>
      <c r="N1481" s="11">
        <f>IF(A1481="","",IF(K1481="",0,D1481*INDEX(Products!$I$5:$I$204,K1481)))</f>
        <v/>
      </c>
      <c r="O1481" s="11">
        <f>IF(A1481="","",IF(K1481="",0,J1481*INDEX(Products!$H$5:$H$204,K1481)))</f>
        <v/>
      </c>
      <c r="P1481" s="11">
        <f>IF(A1481="","",J1481-M1481-N1481-O1481)</f>
        <v/>
      </c>
    </row>
    <row r="1482">
      <c r="A1482">
        <f>IFERROR(INDEX('Etsy Import'!$A:$CZ,1482,Settings!$C$20)&amp;"","")</f>
        <v/>
      </c>
      <c r="B1482">
        <f>IFERROR(INDEX('Etsy Import'!$A:$CZ,1482,Settings!$C$21)&amp;"","")</f>
        <v/>
      </c>
      <c r="C1482">
        <f>IFERROR(INDEX('Etsy Import'!$A:$CZ,1482,Settings!$C$22)&amp;"","")</f>
        <v/>
      </c>
      <c r="D1482">
        <f>IF(A1482="","",IFERROR(VALUE(SUBSTITUTE(SUBSTITUTE(INDEX('Etsy Import'!$A:$CZ,1482,Settings!$C$23)&amp;"","$",""),",","")),0))</f>
        <v/>
      </c>
      <c r="E1482" s="11">
        <f>IF(A1482="","",IFERROR(VALUE(SUBSTITUTE(SUBSTITUTE(INDEX('Etsy Import'!$A:$CZ,1482,Settings!$C$24)&amp;"","$",""),",","")),0))</f>
        <v/>
      </c>
      <c r="F1482" s="11">
        <f>IF(A1482="","",D1482*E1482)</f>
        <v/>
      </c>
      <c r="G1482">
        <f>IF(A1482="","",IF(C1482="",1,COUNTIF($C$2:$C$1501,C1482)))</f>
        <v/>
      </c>
      <c r="H1482" s="11">
        <f>IF(A1482="","",IFERROR(VALUE(SUBSTITUTE(SUBSTITUTE(INDEX('Etsy Import'!$A:$CZ,1482,Settings!$C$25)&amp;"","$",""),",","")),0)/IF(Settings!$B$27="Yes",G1482,1))</f>
        <v/>
      </c>
      <c r="I1482" s="11">
        <f>IF(A1482="","",IFERROR(VALUE(SUBSTITUTE(SUBSTITUTE(INDEX('Etsy Import'!$A:$CZ,1482,Settings!$C$26)&amp;"","$",""),",","")),0)/IF(Settings!$B$27="Yes",G1482,1))</f>
        <v/>
      </c>
      <c r="J1482" s="11">
        <f>IF(A1482="","",F1482+H1482-I1482)</f>
        <v/>
      </c>
      <c r="K1482">
        <f>IF(A1482="","",IFERROR(IF(B1482="",NA(),MATCH(B1482,Products!$B$5:$B$204,0)),IFERROR(MATCH(A1482,Products!$A$5:$A$204,0),"")))</f>
        <v/>
      </c>
      <c r="L1482">
        <f>IF(A1482="","",IF(K1482="","⚠ not in Products",INDEX(Products!$A$5:$A$204,K1482)))</f>
        <v/>
      </c>
      <c r="M1482" s="11">
        <f>IF(A1482="","",J1482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1482+IFERROR(INDEX(Settings!$D$5:$D$9,MATCH("Etsy",Settings!$A$5:$A$9,0)),0)*D1482)</f>
        <v/>
      </c>
      <c r="N1482" s="11">
        <f>IF(A1482="","",IF(K1482="",0,D1482*INDEX(Products!$I$5:$I$204,K1482)))</f>
        <v/>
      </c>
      <c r="O1482" s="11">
        <f>IF(A1482="","",IF(K1482="",0,J1482*INDEX(Products!$H$5:$H$204,K1482)))</f>
        <v/>
      </c>
      <c r="P1482" s="11">
        <f>IF(A1482="","",J1482-M1482-N1482-O1482)</f>
        <v/>
      </c>
    </row>
    <row r="1483">
      <c r="A1483">
        <f>IFERROR(INDEX('Etsy Import'!$A:$CZ,1483,Settings!$C$20)&amp;"","")</f>
        <v/>
      </c>
      <c r="B1483">
        <f>IFERROR(INDEX('Etsy Import'!$A:$CZ,1483,Settings!$C$21)&amp;"","")</f>
        <v/>
      </c>
      <c r="C1483">
        <f>IFERROR(INDEX('Etsy Import'!$A:$CZ,1483,Settings!$C$22)&amp;"","")</f>
        <v/>
      </c>
      <c r="D1483">
        <f>IF(A1483="","",IFERROR(VALUE(SUBSTITUTE(SUBSTITUTE(INDEX('Etsy Import'!$A:$CZ,1483,Settings!$C$23)&amp;"","$",""),",","")),0))</f>
        <v/>
      </c>
      <c r="E1483" s="11">
        <f>IF(A1483="","",IFERROR(VALUE(SUBSTITUTE(SUBSTITUTE(INDEX('Etsy Import'!$A:$CZ,1483,Settings!$C$24)&amp;"","$",""),",","")),0))</f>
        <v/>
      </c>
      <c r="F1483" s="11">
        <f>IF(A1483="","",D1483*E1483)</f>
        <v/>
      </c>
      <c r="G1483">
        <f>IF(A1483="","",IF(C1483="",1,COUNTIF($C$2:$C$1501,C1483)))</f>
        <v/>
      </c>
      <c r="H1483" s="11">
        <f>IF(A1483="","",IFERROR(VALUE(SUBSTITUTE(SUBSTITUTE(INDEX('Etsy Import'!$A:$CZ,1483,Settings!$C$25)&amp;"","$",""),",","")),0)/IF(Settings!$B$27="Yes",G1483,1))</f>
        <v/>
      </c>
      <c r="I1483" s="11">
        <f>IF(A1483="","",IFERROR(VALUE(SUBSTITUTE(SUBSTITUTE(INDEX('Etsy Import'!$A:$CZ,1483,Settings!$C$26)&amp;"","$",""),",","")),0)/IF(Settings!$B$27="Yes",G1483,1))</f>
        <v/>
      </c>
      <c r="J1483" s="11">
        <f>IF(A1483="","",F1483+H1483-I1483)</f>
        <v/>
      </c>
      <c r="K1483">
        <f>IF(A1483="","",IFERROR(IF(B1483="",NA(),MATCH(B1483,Products!$B$5:$B$204,0)),IFERROR(MATCH(A1483,Products!$A$5:$A$204,0),"")))</f>
        <v/>
      </c>
      <c r="L1483">
        <f>IF(A1483="","",IF(K1483="","⚠ not in Products",INDEX(Products!$A$5:$A$204,K1483)))</f>
        <v/>
      </c>
      <c r="M1483" s="11">
        <f>IF(A1483="","",J1483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1483+IFERROR(INDEX(Settings!$D$5:$D$9,MATCH("Etsy",Settings!$A$5:$A$9,0)),0)*D1483)</f>
        <v/>
      </c>
      <c r="N1483" s="11">
        <f>IF(A1483="","",IF(K1483="",0,D1483*INDEX(Products!$I$5:$I$204,K1483)))</f>
        <v/>
      </c>
      <c r="O1483" s="11">
        <f>IF(A1483="","",IF(K1483="",0,J1483*INDEX(Products!$H$5:$H$204,K1483)))</f>
        <v/>
      </c>
      <c r="P1483" s="11">
        <f>IF(A1483="","",J1483-M1483-N1483-O1483)</f>
        <v/>
      </c>
    </row>
    <row r="1484">
      <c r="A1484">
        <f>IFERROR(INDEX('Etsy Import'!$A:$CZ,1484,Settings!$C$20)&amp;"","")</f>
        <v/>
      </c>
      <c r="B1484">
        <f>IFERROR(INDEX('Etsy Import'!$A:$CZ,1484,Settings!$C$21)&amp;"","")</f>
        <v/>
      </c>
      <c r="C1484">
        <f>IFERROR(INDEX('Etsy Import'!$A:$CZ,1484,Settings!$C$22)&amp;"","")</f>
        <v/>
      </c>
      <c r="D1484">
        <f>IF(A1484="","",IFERROR(VALUE(SUBSTITUTE(SUBSTITUTE(INDEX('Etsy Import'!$A:$CZ,1484,Settings!$C$23)&amp;"","$",""),",","")),0))</f>
        <v/>
      </c>
      <c r="E1484" s="11">
        <f>IF(A1484="","",IFERROR(VALUE(SUBSTITUTE(SUBSTITUTE(INDEX('Etsy Import'!$A:$CZ,1484,Settings!$C$24)&amp;"","$",""),",","")),0))</f>
        <v/>
      </c>
      <c r="F1484" s="11">
        <f>IF(A1484="","",D1484*E1484)</f>
        <v/>
      </c>
      <c r="G1484">
        <f>IF(A1484="","",IF(C1484="",1,COUNTIF($C$2:$C$1501,C1484)))</f>
        <v/>
      </c>
      <c r="H1484" s="11">
        <f>IF(A1484="","",IFERROR(VALUE(SUBSTITUTE(SUBSTITUTE(INDEX('Etsy Import'!$A:$CZ,1484,Settings!$C$25)&amp;"","$",""),",","")),0)/IF(Settings!$B$27="Yes",G1484,1))</f>
        <v/>
      </c>
      <c r="I1484" s="11">
        <f>IF(A1484="","",IFERROR(VALUE(SUBSTITUTE(SUBSTITUTE(INDEX('Etsy Import'!$A:$CZ,1484,Settings!$C$26)&amp;"","$",""),",","")),0)/IF(Settings!$B$27="Yes",G1484,1))</f>
        <v/>
      </c>
      <c r="J1484" s="11">
        <f>IF(A1484="","",F1484+H1484-I1484)</f>
        <v/>
      </c>
      <c r="K1484">
        <f>IF(A1484="","",IFERROR(IF(B1484="",NA(),MATCH(B1484,Products!$B$5:$B$204,0)),IFERROR(MATCH(A1484,Products!$A$5:$A$204,0),"")))</f>
        <v/>
      </c>
      <c r="L1484">
        <f>IF(A1484="","",IF(K1484="","⚠ not in Products",INDEX(Products!$A$5:$A$204,K1484)))</f>
        <v/>
      </c>
      <c r="M1484" s="11">
        <f>IF(A1484="","",J1484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1484+IFERROR(INDEX(Settings!$D$5:$D$9,MATCH("Etsy",Settings!$A$5:$A$9,0)),0)*D1484)</f>
        <v/>
      </c>
      <c r="N1484" s="11">
        <f>IF(A1484="","",IF(K1484="",0,D1484*INDEX(Products!$I$5:$I$204,K1484)))</f>
        <v/>
      </c>
      <c r="O1484" s="11">
        <f>IF(A1484="","",IF(K1484="",0,J1484*INDEX(Products!$H$5:$H$204,K1484)))</f>
        <v/>
      </c>
      <c r="P1484" s="11">
        <f>IF(A1484="","",J1484-M1484-N1484-O1484)</f>
        <v/>
      </c>
    </row>
    <row r="1485">
      <c r="A1485">
        <f>IFERROR(INDEX('Etsy Import'!$A:$CZ,1485,Settings!$C$20)&amp;"","")</f>
        <v/>
      </c>
      <c r="B1485">
        <f>IFERROR(INDEX('Etsy Import'!$A:$CZ,1485,Settings!$C$21)&amp;"","")</f>
        <v/>
      </c>
      <c r="C1485">
        <f>IFERROR(INDEX('Etsy Import'!$A:$CZ,1485,Settings!$C$22)&amp;"","")</f>
        <v/>
      </c>
      <c r="D1485">
        <f>IF(A1485="","",IFERROR(VALUE(SUBSTITUTE(SUBSTITUTE(INDEX('Etsy Import'!$A:$CZ,1485,Settings!$C$23)&amp;"","$",""),",","")),0))</f>
        <v/>
      </c>
      <c r="E1485" s="11">
        <f>IF(A1485="","",IFERROR(VALUE(SUBSTITUTE(SUBSTITUTE(INDEX('Etsy Import'!$A:$CZ,1485,Settings!$C$24)&amp;"","$",""),",","")),0))</f>
        <v/>
      </c>
      <c r="F1485" s="11">
        <f>IF(A1485="","",D1485*E1485)</f>
        <v/>
      </c>
      <c r="G1485">
        <f>IF(A1485="","",IF(C1485="",1,COUNTIF($C$2:$C$1501,C1485)))</f>
        <v/>
      </c>
      <c r="H1485" s="11">
        <f>IF(A1485="","",IFERROR(VALUE(SUBSTITUTE(SUBSTITUTE(INDEX('Etsy Import'!$A:$CZ,1485,Settings!$C$25)&amp;"","$",""),",","")),0)/IF(Settings!$B$27="Yes",G1485,1))</f>
        <v/>
      </c>
      <c r="I1485" s="11">
        <f>IF(A1485="","",IFERROR(VALUE(SUBSTITUTE(SUBSTITUTE(INDEX('Etsy Import'!$A:$CZ,1485,Settings!$C$26)&amp;"","$",""),",","")),0)/IF(Settings!$B$27="Yes",G1485,1))</f>
        <v/>
      </c>
      <c r="J1485" s="11">
        <f>IF(A1485="","",F1485+H1485-I1485)</f>
        <v/>
      </c>
      <c r="K1485">
        <f>IF(A1485="","",IFERROR(IF(B1485="",NA(),MATCH(B1485,Products!$B$5:$B$204,0)),IFERROR(MATCH(A1485,Products!$A$5:$A$204,0),"")))</f>
        <v/>
      </c>
      <c r="L1485">
        <f>IF(A1485="","",IF(K1485="","⚠ not in Products",INDEX(Products!$A$5:$A$204,K1485)))</f>
        <v/>
      </c>
      <c r="M1485" s="11">
        <f>IF(A1485="","",J1485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1485+IFERROR(INDEX(Settings!$D$5:$D$9,MATCH("Etsy",Settings!$A$5:$A$9,0)),0)*D1485)</f>
        <v/>
      </c>
      <c r="N1485" s="11">
        <f>IF(A1485="","",IF(K1485="",0,D1485*INDEX(Products!$I$5:$I$204,K1485)))</f>
        <v/>
      </c>
      <c r="O1485" s="11">
        <f>IF(A1485="","",IF(K1485="",0,J1485*INDEX(Products!$H$5:$H$204,K1485)))</f>
        <v/>
      </c>
      <c r="P1485" s="11">
        <f>IF(A1485="","",J1485-M1485-N1485-O1485)</f>
        <v/>
      </c>
    </row>
    <row r="1486">
      <c r="A1486">
        <f>IFERROR(INDEX('Etsy Import'!$A:$CZ,1486,Settings!$C$20)&amp;"","")</f>
        <v/>
      </c>
      <c r="B1486">
        <f>IFERROR(INDEX('Etsy Import'!$A:$CZ,1486,Settings!$C$21)&amp;"","")</f>
        <v/>
      </c>
      <c r="C1486">
        <f>IFERROR(INDEX('Etsy Import'!$A:$CZ,1486,Settings!$C$22)&amp;"","")</f>
        <v/>
      </c>
      <c r="D1486">
        <f>IF(A1486="","",IFERROR(VALUE(SUBSTITUTE(SUBSTITUTE(INDEX('Etsy Import'!$A:$CZ,1486,Settings!$C$23)&amp;"","$",""),",","")),0))</f>
        <v/>
      </c>
      <c r="E1486" s="11">
        <f>IF(A1486="","",IFERROR(VALUE(SUBSTITUTE(SUBSTITUTE(INDEX('Etsy Import'!$A:$CZ,1486,Settings!$C$24)&amp;"","$",""),",","")),0))</f>
        <v/>
      </c>
      <c r="F1486" s="11">
        <f>IF(A1486="","",D1486*E1486)</f>
        <v/>
      </c>
      <c r="G1486">
        <f>IF(A1486="","",IF(C1486="",1,COUNTIF($C$2:$C$1501,C1486)))</f>
        <v/>
      </c>
      <c r="H1486" s="11">
        <f>IF(A1486="","",IFERROR(VALUE(SUBSTITUTE(SUBSTITUTE(INDEX('Etsy Import'!$A:$CZ,1486,Settings!$C$25)&amp;"","$",""),",","")),0)/IF(Settings!$B$27="Yes",G1486,1))</f>
        <v/>
      </c>
      <c r="I1486" s="11">
        <f>IF(A1486="","",IFERROR(VALUE(SUBSTITUTE(SUBSTITUTE(INDEX('Etsy Import'!$A:$CZ,1486,Settings!$C$26)&amp;"","$",""),",","")),0)/IF(Settings!$B$27="Yes",G1486,1))</f>
        <v/>
      </c>
      <c r="J1486" s="11">
        <f>IF(A1486="","",F1486+H1486-I1486)</f>
        <v/>
      </c>
      <c r="K1486">
        <f>IF(A1486="","",IFERROR(IF(B1486="",NA(),MATCH(B1486,Products!$B$5:$B$204,0)),IFERROR(MATCH(A1486,Products!$A$5:$A$204,0),"")))</f>
        <v/>
      </c>
      <c r="L1486">
        <f>IF(A1486="","",IF(K1486="","⚠ not in Products",INDEX(Products!$A$5:$A$204,K1486)))</f>
        <v/>
      </c>
      <c r="M1486" s="11">
        <f>IF(A1486="","",J1486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1486+IFERROR(INDEX(Settings!$D$5:$D$9,MATCH("Etsy",Settings!$A$5:$A$9,0)),0)*D1486)</f>
        <v/>
      </c>
      <c r="N1486" s="11">
        <f>IF(A1486="","",IF(K1486="",0,D1486*INDEX(Products!$I$5:$I$204,K1486)))</f>
        <v/>
      </c>
      <c r="O1486" s="11">
        <f>IF(A1486="","",IF(K1486="",0,J1486*INDEX(Products!$H$5:$H$204,K1486)))</f>
        <v/>
      </c>
      <c r="P1486" s="11">
        <f>IF(A1486="","",J1486-M1486-N1486-O1486)</f>
        <v/>
      </c>
    </row>
    <row r="1487">
      <c r="A1487">
        <f>IFERROR(INDEX('Etsy Import'!$A:$CZ,1487,Settings!$C$20)&amp;"","")</f>
        <v/>
      </c>
      <c r="B1487">
        <f>IFERROR(INDEX('Etsy Import'!$A:$CZ,1487,Settings!$C$21)&amp;"","")</f>
        <v/>
      </c>
      <c r="C1487">
        <f>IFERROR(INDEX('Etsy Import'!$A:$CZ,1487,Settings!$C$22)&amp;"","")</f>
        <v/>
      </c>
      <c r="D1487">
        <f>IF(A1487="","",IFERROR(VALUE(SUBSTITUTE(SUBSTITUTE(INDEX('Etsy Import'!$A:$CZ,1487,Settings!$C$23)&amp;"","$",""),",","")),0))</f>
        <v/>
      </c>
      <c r="E1487" s="11">
        <f>IF(A1487="","",IFERROR(VALUE(SUBSTITUTE(SUBSTITUTE(INDEX('Etsy Import'!$A:$CZ,1487,Settings!$C$24)&amp;"","$",""),",","")),0))</f>
        <v/>
      </c>
      <c r="F1487" s="11">
        <f>IF(A1487="","",D1487*E1487)</f>
        <v/>
      </c>
      <c r="G1487">
        <f>IF(A1487="","",IF(C1487="",1,COUNTIF($C$2:$C$1501,C1487)))</f>
        <v/>
      </c>
      <c r="H1487" s="11">
        <f>IF(A1487="","",IFERROR(VALUE(SUBSTITUTE(SUBSTITUTE(INDEX('Etsy Import'!$A:$CZ,1487,Settings!$C$25)&amp;"","$",""),",","")),0)/IF(Settings!$B$27="Yes",G1487,1))</f>
        <v/>
      </c>
      <c r="I1487" s="11">
        <f>IF(A1487="","",IFERROR(VALUE(SUBSTITUTE(SUBSTITUTE(INDEX('Etsy Import'!$A:$CZ,1487,Settings!$C$26)&amp;"","$",""),",","")),0)/IF(Settings!$B$27="Yes",G1487,1))</f>
        <v/>
      </c>
      <c r="J1487" s="11">
        <f>IF(A1487="","",F1487+H1487-I1487)</f>
        <v/>
      </c>
      <c r="K1487">
        <f>IF(A1487="","",IFERROR(IF(B1487="",NA(),MATCH(B1487,Products!$B$5:$B$204,0)),IFERROR(MATCH(A1487,Products!$A$5:$A$204,0),"")))</f>
        <v/>
      </c>
      <c r="L1487">
        <f>IF(A1487="","",IF(K1487="","⚠ not in Products",INDEX(Products!$A$5:$A$204,K1487)))</f>
        <v/>
      </c>
      <c r="M1487" s="11">
        <f>IF(A1487="","",J1487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1487+IFERROR(INDEX(Settings!$D$5:$D$9,MATCH("Etsy",Settings!$A$5:$A$9,0)),0)*D1487)</f>
        <v/>
      </c>
      <c r="N1487" s="11">
        <f>IF(A1487="","",IF(K1487="",0,D1487*INDEX(Products!$I$5:$I$204,K1487)))</f>
        <v/>
      </c>
      <c r="O1487" s="11">
        <f>IF(A1487="","",IF(K1487="",0,J1487*INDEX(Products!$H$5:$H$204,K1487)))</f>
        <v/>
      </c>
      <c r="P1487" s="11">
        <f>IF(A1487="","",J1487-M1487-N1487-O1487)</f>
        <v/>
      </c>
    </row>
    <row r="1488">
      <c r="A1488">
        <f>IFERROR(INDEX('Etsy Import'!$A:$CZ,1488,Settings!$C$20)&amp;"","")</f>
        <v/>
      </c>
      <c r="B1488">
        <f>IFERROR(INDEX('Etsy Import'!$A:$CZ,1488,Settings!$C$21)&amp;"","")</f>
        <v/>
      </c>
      <c r="C1488">
        <f>IFERROR(INDEX('Etsy Import'!$A:$CZ,1488,Settings!$C$22)&amp;"","")</f>
        <v/>
      </c>
      <c r="D1488">
        <f>IF(A1488="","",IFERROR(VALUE(SUBSTITUTE(SUBSTITUTE(INDEX('Etsy Import'!$A:$CZ,1488,Settings!$C$23)&amp;"","$",""),",","")),0))</f>
        <v/>
      </c>
      <c r="E1488" s="11">
        <f>IF(A1488="","",IFERROR(VALUE(SUBSTITUTE(SUBSTITUTE(INDEX('Etsy Import'!$A:$CZ,1488,Settings!$C$24)&amp;"","$",""),",","")),0))</f>
        <v/>
      </c>
      <c r="F1488" s="11">
        <f>IF(A1488="","",D1488*E1488)</f>
        <v/>
      </c>
      <c r="G1488">
        <f>IF(A1488="","",IF(C1488="",1,COUNTIF($C$2:$C$1501,C1488)))</f>
        <v/>
      </c>
      <c r="H1488" s="11">
        <f>IF(A1488="","",IFERROR(VALUE(SUBSTITUTE(SUBSTITUTE(INDEX('Etsy Import'!$A:$CZ,1488,Settings!$C$25)&amp;"","$",""),",","")),0)/IF(Settings!$B$27="Yes",G1488,1))</f>
        <v/>
      </c>
      <c r="I1488" s="11">
        <f>IF(A1488="","",IFERROR(VALUE(SUBSTITUTE(SUBSTITUTE(INDEX('Etsy Import'!$A:$CZ,1488,Settings!$C$26)&amp;"","$",""),",","")),0)/IF(Settings!$B$27="Yes",G1488,1))</f>
        <v/>
      </c>
      <c r="J1488" s="11">
        <f>IF(A1488="","",F1488+H1488-I1488)</f>
        <v/>
      </c>
      <c r="K1488">
        <f>IF(A1488="","",IFERROR(IF(B1488="",NA(),MATCH(B1488,Products!$B$5:$B$204,0)),IFERROR(MATCH(A1488,Products!$A$5:$A$204,0),"")))</f>
        <v/>
      </c>
      <c r="L1488">
        <f>IF(A1488="","",IF(K1488="","⚠ not in Products",INDEX(Products!$A$5:$A$204,K1488)))</f>
        <v/>
      </c>
      <c r="M1488" s="11">
        <f>IF(A1488="","",J1488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1488+IFERROR(INDEX(Settings!$D$5:$D$9,MATCH("Etsy",Settings!$A$5:$A$9,0)),0)*D1488)</f>
        <v/>
      </c>
      <c r="N1488" s="11">
        <f>IF(A1488="","",IF(K1488="",0,D1488*INDEX(Products!$I$5:$I$204,K1488)))</f>
        <v/>
      </c>
      <c r="O1488" s="11">
        <f>IF(A1488="","",IF(K1488="",0,J1488*INDEX(Products!$H$5:$H$204,K1488)))</f>
        <v/>
      </c>
      <c r="P1488" s="11">
        <f>IF(A1488="","",J1488-M1488-N1488-O1488)</f>
        <v/>
      </c>
    </row>
    <row r="1489">
      <c r="A1489">
        <f>IFERROR(INDEX('Etsy Import'!$A:$CZ,1489,Settings!$C$20)&amp;"","")</f>
        <v/>
      </c>
      <c r="B1489">
        <f>IFERROR(INDEX('Etsy Import'!$A:$CZ,1489,Settings!$C$21)&amp;"","")</f>
        <v/>
      </c>
      <c r="C1489">
        <f>IFERROR(INDEX('Etsy Import'!$A:$CZ,1489,Settings!$C$22)&amp;"","")</f>
        <v/>
      </c>
      <c r="D1489">
        <f>IF(A1489="","",IFERROR(VALUE(SUBSTITUTE(SUBSTITUTE(INDEX('Etsy Import'!$A:$CZ,1489,Settings!$C$23)&amp;"","$",""),",","")),0))</f>
        <v/>
      </c>
      <c r="E1489" s="11">
        <f>IF(A1489="","",IFERROR(VALUE(SUBSTITUTE(SUBSTITUTE(INDEX('Etsy Import'!$A:$CZ,1489,Settings!$C$24)&amp;"","$",""),",","")),0))</f>
        <v/>
      </c>
      <c r="F1489" s="11">
        <f>IF(A1489="","",D1489*E1489)</f>
        <v/>
      </c>
      <c r="G1489">
        <f>IF(A1489="","",IF(C1489="",1,COUNTIF($C$2:$C$1501,C1489)))</f>
        <v/>
      </c>
      <c r="H1489" s="11">
        <f>IF(A1489="","",IFERROR(VALUE(SUBSTITUTE(SUBSTITUTE(INDEX('Etsy Import'!$A:$CZ,1489,Settings!$C$25)&amp;"","$",""),",","")),0)/IF(Settings!$B$27="Yes",G1489,1))</f>
        <v/>
      </c>
      <c r="I1489" s="11">
        <f>IF(A1489="","",IFERROR(VALUE(SUBSTITUTE(SUBSTITUTE(INDEX('Etsy Import'!$A:$CZ,1489,Settings!$C$26)&amp;"","$",""),",","")),0)/IF(Settings!$B$27="Yes",G1489,1))</f>
        <v/>
      </c>
      <c r="J1489" s="11">
        <f>IF(A1489="","",F1489+H1489-I1489)</f>
        <v/>
      </c>
      <c r="K1489">
        <f>IF(A1489="","",IFERROR(IF(B1489="",NA(),MATCH(B1489,Products!$B$5:$B$204,0)),IFERROR(MATCH(A1489,Products!$A$5:$A$204,0),"")))</f>
        <v/>
      </c>
      <c r="L1489">
        <f>IF(A1489="","",IF(K1489="","⚠ not in Products",INDEX(Products!$A$5:$A$204,K1489)))</f>
        <v/>
      </c>
      <c r="M1489" s="11">
        <f>IF(A1489="","",J1489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1489+IFERROR(INDEX(Settings!$D$5:$D$9,MATCH("Etsy",Settings!$A$5:$A$9,0)),0)*D1489)</f>
        <v/>
      </c>
      <c r="N1489" s="11">
        <f>IF(A1489="","",IF(K1489="",0,D1489*INDEX(Products!$I$5:$I$204,K1489)))</f>
        <v/>
      </c>
      <c r="O1489" s="11">
        <f>IF(A1489="","",IF(K1489="",0,J1489*INDEX(Products!$H$5:$H$204,K1489)))</f>
        <v/>
      </c>
      <c r="P1489" s="11">
        <f>IF(A1489="","",J1489-M1489-N1489-O1489)</f>
        <v/>
      </c>
    </row>
    <row r="1490">
      <c r="A1490">
        <f>IFERROR(INDEX('Etsy Import'!$A:$CZ,1490,Settings!$C$20)&amp;"","")</f>
        <v/>
      </c>
      <c r="B1490">
        <f>IFERROR(INDEX('Etsy Import'!$A:$CZ,1490,Settings!$C$21)&amp;"","")</f>
        <v/>
      </c>
      <c r="C1490">
        <f>IFERROR(INDEX('Etsy Import'!$A:$CZ,1490,Settings!$C$22)&amp;"","")</f>
        <v/>
      </c>
      <c r="D1490">
        <f>IF(A1490="","",IFERROR(VALUE(SUBSTITUTE(SUBSTITUTE(INDEX('Etsy Import'!$A:$CZ,1490,Settings!$C$23)&amp;"","$",""),",","")),0))</f>
        <v/>
      </c>
      <c r="E1490" s="11">
        <f>IF(A1490="","",IFERROR(VALUE(SUBSTITUTE(SUBSTITUTE(INDEX('Etsy Import'!$A:$CZ,1490,Settings!$C$24)&amp;"","$",""),",","")),0))</f>
        <v/>
      </c>
      <c r="F1490" s="11">
        <f>IF(A1490="","",D1490*E1490)</f>
        <v/>
      </c>
      <c r="G1490">
        <f>IF(A1490="","",IF(C1490="",1,COUNTIF($C$2:$C$1501,C1490)))</f>
        <v/>
      </c>
      <c r="H1490" s="11">
        <f>IF(A1490="","",IFERROR(VALUE(SUBSTITUTE(SUBSTITUTE(INDEX('Etsy Import'!$A:$CZ,1490,Settings!$C$25)&amp;"","$",""),",","")),0)/IF(Settings!$B$27="Yes",G1490,1))</f>
        <v/>
      </c>
      <c r="I1490" s="11">
        <f>IF(A1490="","",IFERROR(VALUE(SUBSTITUTE(SUBSTITUTE(INDEX('Etsy Import'!$A:$CZ,1490,Settings!$C$26)&amp;"","$",""),",","")),0)/IF(Settings!$B$27="Yes",G1490,1))</f>
        <v/>
      </c>
      <c r="J1490" s="11">
        <f>IF(A1490="","",F1490+H1490-I1490)</f>
        <v/>
      </c>
      <c r="K1490">
        <f>IF(A1490="","",IFERROR(IF(B1490="",NA(),MATCH(B1490,Products!$B$5:$B$204,0)),IFERROR(MATCH(A1490,Products!$A$5:$A$204,0),"")))</f>
        <v/>
      </c>
      <c r="L1490">
        <f>IF(A1490="","",IF(K1490="","⚠ not in Products",INDEX(Products!$A$5:$A$204,K1490)))</f>
        <v/>
      </c>
      <c r="M1490" s="11">
        <f>IF(A1490="","",J1490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1490+IFERROR(INDEX(Settings!$D$5:$D$9,MATCH("Etsy",Settings!$A$5:$A$9,0)),0)*D1490)</f>
        <v/>
      </c>
      <c r="N1490" s="11">
        <f>IF(A1490="","",IF(K1490="",0,D1490*INDEX(Products!$I$5:$I$204,K1490)))</f>
        <v/>
      </c>
      <c r="O1490" s="11">
        <f>IF(A1490="","",IF(K1490="",0,J1490*INDEX(Products!$H$5:$H$204,K1490)))</f>
        <v/>
      </c>
      <c r="P1490" s="11">
        <f>IF(A1490="","",J1490-M1490-N1490-O1490)</f>
        <v/>
      </c>
    </row>
    <row r="1491">
      <c r="A1491">
        <f>IFERROR(INDEX('Etsy Import'!$A:$CZ,1491,Settings!$C$20)&amp;"","")</f>
        <v/>
      </c>
      <c r="B1491">
        <f>IFERROR(INDEX('Etsy Import'!$A:$CZ,1491,Settings!$C$21)&amp;"","")</f>
        <v/>
      </c>
      <c r="C1491">
        <f>IFERROR(INDEX('Etsy Import'!$A:$CZ,1491,Settings!$C$22)&amp;"","")</f>
        <v/>
      </c>
      <c r="D1491">
        <f>IF(A1491="","",IFERROR(VALUE(SUBSTITUTE(SUBSTITUTE(INDEX('Etsy Import'!$A:$CZ,1491,Settings!$C$23)&amp;"","$",""),",","")),0))</f>
        <v/>
      </c>
      <c r="E1491" s="11">
        <f>IF(A1491="","",IFERROR(VALUE(SUBSTITUTE(SUBSTITUTE(INDEX('Etsy Import'!$A:$CZ,1491,Settings!$C$24)&amp;"","$",""),",","")),0))</f>
        <v/>
      </c>
      <c r="F1491" s="11">
        <f>IF(A1491="","",D1491*E1491)</f>
        <v/>
      </c>
      <c r="G1491">
        <f>IF(A1491="","",IF(C1491="",1,COUNTIF($C$2:$C$1501,C1491)))</f>
        <v/>
      </c>
      <c r="H1491" s="11">
        <f>IF(A1491="","",IFERROR(VALUE(SUBSTITUTE(SUBSTITUTE(INDEX('Etsy Import'!$A:$CZ,1491,Settings!$C$25)&amp;"","$",""),",","")),0)/IF(Settings!$B$27="Yes",G1491,1))</f>
        <v/>
      </c>
      <c r="I1491" s="11">
        <f>IF(A1491="","",IFERROR(VALUE(SUBSTITUTE(SUBSTITUTE(INDEX('Etsy Import'!$A:$CZ,1491,Settings!$C$26)&amp;"","$",""),",","")),0)/IF(Settings!$B$27="Yes",G1491,1))</f>
        <v/>
      </c>
      <c r="J1491" s="11">
        <f>IF(A1491="","",F1491+H1491-I1491)</f>
        <v/>
      </c>
      <c r="K1491">
        <f>IF(A1491="","",IFERROR(IF(B1491="",NA(),MATCH(B1491,Products!$B$5:$B$204,0)),IFERROR(MATCH(A1491,Products!$A$5:$A$204,0),"")))</f>
        <v/>
      </c>
      <c r="L1491">
        <f>IF(A1491="","",IF(K1491="","⚠ not in Products",INDEX(Products!$A$5:$A$204,K1491)))</f>
        <v/>
      </c>
      <c r="M1491" s="11">
        <f>IF(A1491="","",J1491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1491+IFERROR(INDEX(Settings!$D$5:$D$9,MATCH("Etsy",Settings!$A$5:$A$9,0)),0)*D1491)</f>
        <v/>
      </c>
      <c r="N1491" s="11">
        <f>IF(A1491="","",IF(K1491="",0,D1491*INDEX(Products!$I$5:$I$204,K1491)))</f>
        <v/>
      </c>
      <c r="O1491" s="11">
        <f>IF(A1491="","",IF(K1491="",0,J1491*INDEX(Products!$H$5:$H$204,K1491)))</f>
        <v/>
      </c>
      <c r="P1491" s="11">
        <f>IF(A1491="","",J1491-M1491-N1491-O1491)</f>
        <v/>
      </c>
    </row>
    <row r="1492">
      <c r="A1492">
        <f>IFERROR(INDEX('Etsy Import'!$A:$CZ,1492,Settings!$C$20)&amp;"","")</f>
        <v/>
      </c>
      <c r="B1492">
        <f>IFERROR(INDEX('Etsy Import'!$A:$CZ,1492,Settings!$C$21)&amp;"","")</f>
        <v/>
      </c>
      <c r="C1492">
        <f>IFERROR(INDEX('Etsy Import'!$A:$CZ,1492,Settings!$C$22)&amp;"","")</f>
        <v/>
      </c>
      <c r="D1492">
        <f>IF(A1492="","",IFERROR(VALUE(SUBSTITUTE(SUBSTITUTE(INDEX('Etsy Import'!$A:$CZ,1492,Settings!$C$23)&amp;"","$",""),",","")),0))</f>
        <v/>
      </c>
      <c r="E1492" s="11">
        <f>IF(A1492="","",IFERROR(VALUE(SUBSTITUTE(SUBSTITUTE(INDEX('Etsy Import'!$A:$CZ,1492,Settings!$C$24)&amp;"","$",""),",","")),0))</f>
        <v/>
      </c>
      <c r="F1492" s="11">
        <f>IF(A1492="","",D1492*E1492)</f>
        <v/>
      </c>
      <c r="G1492">
        <f>IF(A1492="","",IF(C1492="",1,COUNTIF($C$2:$C$1501,C1492)))</f>
        <v/>
      </c>
      <c r="H1492" s="11">
        <f>IF(A1492="","",IFERROR(VALUE(SUBSTITUTE(SUBSTITUTE(INDEX('Etsy Import'!$A:$CZ,1492,Settings!$C$25)&amp;"","$",""),",","")),0)/IF(Settings!$B$27="Yes",G1492,1))</f>
        <v/>
      </c>
      <c r="I1492" s="11">
        <f>IF(A1492="","",IFERROR(VALUE(SUBSTITUTE(SUBSTITUTE(INDEX('Etsy Import'!$A:$CZ,1492,Settings!$C$26)&amp;"","$",""),",","")),0)/IF(Settings!$B$27="Yes",G1492,1))</f>
        <v/>
      </c>
      <c r="J1492" s="11">
        <f>IF(A1492="","",F1492+H1492-I1492)</f>
        <v/>
      </c>
      <c r="K1492">
        <f>IF(A1492="","",IFERROR(IF(B1492="",NA(),MATCH(B1492,Products!$B$5:$B$204,0)),IFERROR(MATCH(A1492,Products!$A$5:$A$204,0),"")))</f>
        <v/>
      </c>
      <c r="L1492">
        <f>IF(A1492="","",IF(K1492="","⚠ not in Products",INDEX(Products!$A$5:$A$204,K1492)))</f>
        <v/>
      </c>
      <c r="M1492" s="11">
        <f>IF(A1492="","",J1492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1492+IFERROR(INDEX(Settings!$D$5:$D$9,MATCH("Etsy",Settings!$A$5:$A$9,0)),0)*D1492)</f>
        <v/>
      </c>
      <c r="N1492" s="11">
        <f>IF(A1492="","",IF(K1492="",0,D1492*INDEX(Products!$I$5:$I$204,K1492)))</f>
        <v/>
      </c>
      <c r="O1492" s="11">
        <f>IF(A1492="","",IF(K1492="",0,J1492*INDEX(Products!$H$5:$H$204,K1492)))</f>
        <v/>
      </c>
      <c r="P1492" s="11">
        <f>IF(A1492="","",J1492-M1492-N1492-O1492)</f>
        <v/>
      </c>
    </row>
    <row r="1493">
      <c r="A1493">
        <f>IFERROR(INDEX('Etsy Import'!$A:$CZ,1493,Settings!$C$20)&amp;"","")</f>
        <v/>
      </c>
      <c r="B1493">
        <f>IFERROR(INDEX('Etsy Import'!$A:$CZ,1493,Settings!$C$21)&amp;"","")</f>
        <v/>
      </c>
      <c r="C1493">
        <f>IFERROR(INDEX('Etsy Import'!$A:$CZ,1493,Settings!$C$22)&amp;"","")</f>
        <v/>
      </c>
      <c r="D1493">
        <f>IF(A1493="","",IFERROR(VALUE(SUBSTITUTE(SUBSTITUTE(INDEX('Etsy Import'!$A:$CZ,1493,Settings!$C$23)&amp;"","$",""),",","")),0))</f>
        <v/>
      </c>
      <c r="E1493" s="11">
        <f>IF(A1493="","",IFERROR(VALUE(SUBSTITUTE(SUBSTITUTE(INDEX('Etsy Import'!$A:$CZ,1493,Settings!$C$24)&amp;"","$",""),",","")),0))</f>
        <v/>
      </c>
      <c r="F1493" s="11">
        <f>IF(A1493="","",D1493*E1493)</f>
        <v/>
      </c>
      <c r="G1493">
        <f>IF(A1493="","",IF(C1493="",1,COUNTIF($C$2:$C$1501,C1493)))</f>
        <v/>
      </c>
      <c r="H1493" s="11">
        <f>IF(A1493="","",IFERROR(VALUE(SUBSTITUTE(SUBSTITUTE(INDEX('Etsy Import'!$A:$CZ,1493,Settings!$C$25)&amp;"","$",""),",","")),0)/IF(Settings!$B$27="Yes",G1493,1))</f>
        <v/>
      </c>
      <c r="I1493" s="11">
        <f>IF(A1493="","",IFERROR(VALUE(SUBSTITUTE(SUBSTITUTE(INDEX('Etsy Import'!$A:$CZ,1493,Settings!$C$26)&amp;"","$",""),",","")),0)/IF(Settings!$B$27="Yes",G1493,1))</f>
        <v/>
      </c>
      <c r="J1493" s="11">
        <f>IF(A1493="","",F1493+H1493-I1493)</f>
        <v/>
      </c>
      <c r="K1493">
        <f>IF(A1493="","",IFERROR(IF(B1493="",NA(),MATCH(B1493,Products!$B$5:$B$204,0)),IFERROR(MATCH(A1493,Products!$A$5:$A$204,0),"")))</f>
        <v/>
      </c>
      <c r="L1493">
        <f>IF(A1493="","",IF(K1493="","⚠ not in Products",INDEX(Products!$A$5:$A$204,K1493)))</f>
        <v/>
      </c>
      <c r="M1493" s="11">
        <f>IF(A1493="","",J1493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1493+IFERROR(INDEX(Settings!$D$5:$D$9,MATCH("Etsy",Settings!$A$5:$A$9,0)),0)*D1493)</f>
        <v/>
      </c>
      <c r="N1493" s="11">
        <f>IF(A1493="","",IF(K1493="",0,D1493*INDEX(Products!$I$5:$I$204,K1493)))</f>
        <v/>
      </c>
      <c r="O1493" s="11">
        <f>IF(A1493="","",IF(K1493="",0,J1493*INDEX(Products!$H$5:$H$204,K1493)))</f>
        <v/>
      </c>
      <c r="P1493" s="11">
        <f>IF(A1493="","",J1493-M1493-N1493-O1493)</f>
        <v/>
      </c>
    </row>
    <row r="1494">
      <c r="A1494">
        <f>IFERROR(INDEX('Etsy Import'!$A:$CZ,1494,Settings!$C$20)&amp;"","")</f>
        <v/>
      </c>
      <c r="B1494">
        <f>IFERROR(INDEX('Etsy Import'!$A:$CZ,1494,Settings!$C$21)&amp;"","")</f>
        <v/>
      </c>
      <c r="C1494">
        <f>IFERROR(INDEX('Etsy Import'!$A:$CZ,1494,Settings!$C$22)&amp;"","")</f>
        <v/>
      </c>
      <c r="D1494">
        <f>IF(A1494="","",IFERROR(VALUE(SUBSTITUTE(SUBSTITUTE(INDEX('Etsy Import'!$A:$CZ,1494,Settings!$C$23)&amp;"","$",""),",","")),0))</f>
        <v/>
      </c>
      <c r="E1494" s="11">
        <f>IF(A1494="","",IFERROR(VALUE(SUBSTITUTE(SUBSTITUTE(INDEX('Etsy Import'!$A:$CZ,1494,Settings!$C$24)&amp;"","$",""),",","")),0))</f>
        <v/>
      </c>
      <c r="F1494" s="11">
        <f>IF(A1494="","",D1494*E1494)</f>
        <v/>
      </c>
      <c r="G1494">
        <f>IF(A1494="","",IF(C1494="",1,COUNTIF($C$2:$C$1501,C1494)))</f>
        <v/>
      </c>
      <c r="H1494" s="11">
        <f>IF(A1494="","",IFERROR(VALUE(SUBSTITUTE(SUBSTITUTE(INDEX('Etsy Import'!$A:$CZ,1494,Settings!$C$25)&amp;"","$",""),",","")),0)/IF(Settings!$B$27="Yes",G1494,1))</f>
        <v/>
      </c>
      <c r="I1494" s="11">
        <f>IF(A1494="","",IFERROR(VALUE(SUBSTITUTE(SUBSTITUTE(INDEX('Etsy Import'!$A:$CZ,1494,Settings!$C$26)&amp;"","$",""),",","")),0)/IF(Settings!$B$27="Yes",G1494,1))</f>
        <v/>
      </c>
      <c r="J1494" s="11">
        <f>IF(A1494="","",F1494+H1494-I1494)</f>
        <v/>
      </c>
      <c r="K1494">
        <f>IF(A1494="","",IFERROR(IF(B1494="",NA(),MATCH(B1494,Products!$B$5:$B$204,0)),IFERROR(MATCH(A1494,Products!$A$5:$A$204,0),"")))</f>
        <v/>
      </c>
      <c r="L1494">
        <f>IF(A1494="","",IF(K1494="","⚠ not in Products",INDEX(Products!$A$5:$A$204,K1494)))</f>
        <v/>
      </c>
      <c r="M1494" s="11">
        <f>IF(A1494="","",J1494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1494+IFERROR(INDEX(Settings!$D$5:$D$9,MATCH("Etsy",Settings!$A$5:$A$9,0)),0)*D1494)</f>
        <v/>
      </c>
      <c r="N1494" s="11">
        <f>IF(A1494="","",IF(K1494="",0,D1494*INDEX(Products!$I$5:$I$204,K1494)))</f>
        <v/>
      </c>
      <c r="O1494" s="11">
        <f>IF(A1494="","",IF(K1494="",0,J1494*INDEX(Products!$H$5:$H$204,K1494)))</f>
        <v/>
      </c>
      <c r="P1494" s="11">
        <f>IF(A1494="","",J1494-M1494-N1494-O1494)</f>
        <v/>
      </c>
    </row>
    <row r="1495">
      <c r="A1495">
        <f>IFERROR(INDEX('Etsy Import'!$A:$CZ,1495,Settings!$C$20)&amp;"","")</f>
        <v/>
      </c>
      <c r="B1495">
        <f>IFERROR(INDEX('Etsy Import'!$A:$CZ,1495,Settings!$C$21)&amp;"","")</f>
        <v/>
      </c>
      <c r="C1495">
        <f>IFERROR(INDEX('Etsy Import'!$A:$CZ,1495,Settings!$C$22)&amp;"","")</f>
        <v/>
      </c>
      <c r="D1495">
        <f>IF(A1495="","",IFERROR(VALUE(SUBSTITUTE(SUBSTITUTE(INDEX('Etsy Import'!$A:$CZ,1495,Settings!$C$23)&amp;"","$",""),",","")),0))</f>
        <v/>
      </c>
      <c r="E1495" s="11">
        <f>IF(A1495="","",IFERROR(VALUE(SUBSTITUTE(SUBSTITUTE(INDEX('Etsy Import'!$A:$CZ,1495,Settings!$C$24)&amp;"","$",""),",","")),0))</f>
        <v/>
      </c>
      <c r="F1495" s="11">
        <f>IF(A1495="","",D1495*E1495)</f>
        <v/>
      </c>
      <c r="G1495">
        <f>IF(A1495="","",IF(C1495="",1,COUNTIF($C$2:$C$1501,C1495)))</f>
        <v/>
      </c>
      <c r="H1495" s="11">
        <f>IF(A1495="","",IFERROR(VALUE(SUBSTITUTE(SUBSTITUTE(INDEX('Etsy Import'!$A:$CZ,1495,Settings!$C$25)&amp;"","$",""),",","")),0)/IF(Settings!$B$27="Yes",G1495,1))</f>
        <v/>
      </c>
      <c r="I1495" s="11">
        <f>IF(A1495="","",IFERROR(VALUE(SUBSTITUTE(SUBSTITUTE(INDEX('Etsy Import'!$A:$CZ,1495,Settings!$C$26)&amp;"","$",""),",","")),0)/IF(Settings!$B$27="Yes",G1495,1))</f>
        <v/>
      </c>
      <c r="J1495" s="11">
        <f>IF(A1495="","",F1495+H1495-I1495)</f>
        <v/>
      </c>
      <c r="K1495">
        <f>IF(A1495="","",IFERROR(IF(B1495="",NA(),MATCH(B1495,Products!$B$5:$B$204,0)),IFERROR(MATCH(A1495,Products!$A$5:$A$204,0),"")))</f>
        <v/>
      </c>
      <c r="L1495">
        <f>IF(A1495="","",IF(K1495="","⚠ not in Products",INDEX(Products!$A$5:$A$204,K1495)))</f>
        <v/>
      </c>
      <c r="M1495" s="11">
        <f>IF(A1495="","",J1495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1495+IFERROR(INDEX(Settings!$D$5:$D$9,MATCH("Etsy",Settings!$A$5:$A$9,0)),0)*D1495)</f>
        <v/>
      </c>
      <c r="N1495" s="11">
        <f>IF(A1495="","",IF(K1495="",0,D1495*INDEX(Products!$I$5:$I$204,K1495)))</f>
        <v/>
      </c>
      <c r="O1495" s="11">
        <f>IF(A1495="","",IF(K1495="",0,J1495*INDEX(Products!$H$5:$H$204,K1495)))</f>
        <v/>
      </c>
      <c r="P1495" s="11">
        <f>IF(A1495="","",J1495-M1495-N1495-O1495)</f>
        <v/>
      </c>
    </row>
    <row r="1496">
      <c r="A1496">
        <f>IFERROR(INDEX('Etsy Import'!$A:$CZ,1496,Settings!$C$20)&amp;"","")</f>
        <v/>
      </c>
      <c r="B1496">
        <f>IFERROR(INDEX('Etsy Import'!$A:$CZ,1496,Settings!$C$21)&amp;"","")</f>
        <v/>
      </c>
      <c r="C1496">
        <f>IFERROR(INDEX('Etsy Import'!$A:$CZ,1496,Settings!$C$22)&amp;"","")</f>
        <v/>
      </c>
      <c r="D1496">
        <f>IF(A1496="","",IFERROR(VALUE(SUBSTITUTE(SUBSTITUTE(INDEX('Etsy Import'!$A:$CZ,1496,Settings!$C$23)&amp;"","$",""),",","")),0))</f>
        <v/>
      </c>
      <c r="E1496" s="11">
        <f>IF(A1496="","",IFERROR(VALUE(SUBSTITUTE(SUBSTITUTE(INDEX('Etsy Import'!$A:$CZ,1496,Settings!$C$24)&amp;"","$",""),",","")),0))</f>
        <v/>
      </c>
      <c r="F1496" s="11">
        <f>IF(A1496="","",D1496*E1496)</f>
        <v/>
      </c>
      <c r="G1496">
        <f>IF(A1496="","",IF(C1496="",1,COUNTIF($C$2:$C$1501,C1496)))</f>
        <v/>
      </c>
      <c r="H1496" s="11">
        <f>IF(A1496="","",IFERROR(VALUE(SUBSTITUTE(SUBSTITUTE(INDEX('Etsy Import'!$A:$CZ,1496,Settings!$C$25)&amp;"","$",""),",","")),0)/IF(Settings!$B$27="Yes",G1496,1))</f>
        <v/>
      </c>
      <c r="I1496" s="11">
        <f>IF(A1496="","",IFERROR(VALUE(SUBSTITUTE(SUBSTITUTE(INDEX('Etsy Import'!$A:$CZ,1496,Settings!$C$26)&amp;"","$",""),",","")),0)/IF(Settings!$B$27="Yes",G1496,1))</f>
        <v/>
      </c>
      <c r="J1496" s="11">
        <f>IF(A1496="","",F1496+H1496-I1496)</f>
        <v/>
      </c>
      <c r="K1496">
        <f>IF(A1496="","",IFERROR(IF(B1496="",NA(),MATCH(B1496,Products!$B$5:$B$204,0)),IFERROR(MATCH(A1496,Products!$A$5:$A$204,0),"")))</f>
        <v/>
      </c>
      <c r="L1496">
        <f>IF(A1496="","",IF(K1496="","⚠ not in Products",INDEX(Products!$A$5:$A$204,K1496)))</f>
        <v/>
      </c>
      <c r="M1496" s="11">
        <f>IF(A1496="","",J1496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1496+IFERROR(INDEX(Settings!$D$5:$D$9,MATCH("Etsy",Settings!$A$5:$A$9,0)),0)*D1496)</f>
        <v/>
      </c>
      <c r="N1496" s="11">
        <f>IF(A1496="","",IF(K1496="",0,D1496*INDEX(Products!$I$5:$I$204,K1496)))</f>
        <v/>
      </c>
      <c r="O1496" s="11">
        <f>IF(A1496="","",IF(K1496="",0,J1496*INDEX(Products!$H$5:$H$204,K1496)))</f>
        <v/>
      </c>
      <c r="P1496" s="11">
        <f>IF(A1496="","",J1496-M1496-N1496-O1496)</f>
        <v/>
      </c>
    </row>
    <row r="1497">
      <c r="A1497">
        <f>IFERROR(INDEX('Etsy Import'!$A:$CZ,1497,Settings!$C$20)&amp;"","")</f>
        <v/>
      </c>
      <c r="B1497">
        <f>IFERROR(INDEX('Etsy Import'!$A:$CZ,1497,Settings!$C$21)&amp;"","")</f>
        <v/>
      </c>
      <c r="C1497">
        <f>IFERROR(INDEX('Etsy Import'!$A:$CZ,1497,Settings!$C$22)&amp;"","")</f>
        <v/>
      </c>
      <c r="D1497">
        <f>IF(A1497="","",IFERROR(VALUE(SUBSTITUTE(SUBSTITUTE(INDEX('Etsy Import'!$A:$CZ,1497,Settings!$C$23)&amp;"","$",""),",","")),0))</f>
        <v/>
      </c>
      <c r="E1497" s="11">
        <f>IF(A1497="","",IFERROR(VALUE(SUBSTITUTE(SUBSTITUTE(INDEX('Etsy Import'!$A:$CZ,1497,Settings!$C$24)&amp;"","$",""),",","")),0))</f>
        <v/>
      </c>
      <c r="F1497" s="11">
        <f>IF(A1497="","",D1497*E1497)</f>
        <v/>
      </c>
      <c r="G1497">
        <f>IF(A1497="","",IF(C1497="",1,COUNTIF($C$2:$C$1501,C1497)))</f>
        <v/>
      </c>
      <c r="H1497" s="11">
        <f>IF(A1497="","",IFERROR(VALUE(SUBSTITUTE(SUBSTITUTE(INDEX('Etsy Import'!$A:$CZ,1497,Settings!$C$25)&amp;"","$",""),",","")),0)/IF(Settings!$B$27="Yes",G1497,1))</f>
        <v/>
      </c>
      <c r="I1497" s="11">
        <f>IF(A1497="","",IFERROR(VALUE(SUBSTITUTE(SUBSTITUTE(INDEX('Etsy Import'!$A:$CZ,1497,Settings!$C$26)&amp;"","$",""),",","")),0)/IF(Settings!$B$27="Yes",G1497,1))</f>
        <v/>
      </c>
      <c r="J1497" s="11">
        <f>IF(A1497="","",F1497+H1497-I1497)</f>
        <v/>
      </c>
      <c r="K1497">
        <f>IF(A1497="","",IFERROR(IF(B1497="",NA(),MATCH(B1497,Products!$B$5:$B$204,0)),IFERROR(MATCH(A1497,Products!$A$5:$A$204,0),"")))</f>
        <v/>
      </c>
      <c r="L1497">
        <f>IF(A1497="","",IF(K1497="","⚠ not in Products",INDEX(Products!$A$5:$A$204,K1497)))</f>
        <v/>
      </c>
      <c r="M1497" s="11">
        <f>IF(A1497="","",J1497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1497+IFERROR(INDEX(Settings!$D$5:$D$9,MATCH("Etsy",Settings!$A$5:$A$9,0)),0)*D1497)</f>
        <v/>
      </c>
      <c r="N1497" s="11">
        <f>IF(A1497="","",IF(K1497="",0,D1497*INDEX(Products!$I$5:$I$204,K1497)))</f>
        <v/>
      </c>
      <c r="O1497" s="11">
        <f>IF(A1497="","",IF(K1497="",0,J1497*INDEX(Products!$H$5:$H$204,K1497)))</f>
        <v/>
      </c>
      <c r="P1497" s="11">
        <f>IF(A1497="","",J1497-M1497-N1497-O1497)</f>
        <v/>
      </c>
    </row>
    <row r="1498">
      <c r="A1498">
        <f>IFERROR(INDEX('Etsy Import'!$A:$CZ,1498,Settings!$C$20)&amp;"","")</f>
        <v/>
      </c>
      <c r="B1498">
        <f>IFERROR(INDEX('Etsy Import'!$A:$CZ,1498,Settings!$C$21)&amp;"","")</f>
        <v/>
      </c>
      <c r="C1498">
        <f>IFERROR(INDEX('Etsy Import'!$A:$CZ,1498,Settings!$C$22)&amp;"","")</f>
        <v/>
      </c>
      <c r="D1498">
        <f>IF(A1498="","",IFERROR(VALUE(SUBSTITUTE(SUBSTITUTE(INDEX('Etsy Import'!$A:$CZ,1498,Settings!$C$23)&amp;"","$",""),",","")),0))</f>
        <v/>
      </c>
      <c r="E1498" s="11">
        <f>IF(A1498="","",IFERROR(VALUE(SUBSTITUTE(SUBSTITUTE(INDEX('Etsy Import'!$A:$CZ,1498,Settings!$C$24)&amp;"","$",""),",","")),0))</f>
        <v/>
      </c>
      <c r="F1498" s="11">
        <f>IF(A1498="","",D1498*E1498)</f>
        <v/>
      </c>
      <c r="G1498">
        <f>IF(A1498="","",IF(C1498="",1,COUNTIF($C$2:$C$1501,C1498)))</f>
        <v/>
      </c>
      <c r="H1498" s="11">
        <f>IF(A1498="","",IFERROR(VALUE(SUBSTITUTE(SUBSTITUTE(INDEX('Etsy Import'!$A:$CZ,1498,Settings!$C$25)&amp;"","$",""),",","")),0)/IF(Settings!$B$27="Yes",G1498,1))</f>
        <v/>
      </c>
      <c r="I1498" s="11">
        <f>IF(A1498="","",IFERROR(VALUE(SUBSTITUTE(SUBSTITUTE(INDEX('Etsy Import'!$A:$CZ,1498,Settings!$C$26)&amp;"","$",""),",","")),0)/IF(Settings!$B$27="Yes",G1498,1))</f>
        <v/>
      </c>
      <c r="J1498" s="11">
        <f>IF(A1498="","",F1498+H1498-I1498)</f>
        <v/>
      </c>
      <c r="K1498">
        <f>IF(A1498="","",IFERROR(IF(B1498="",NA(),MATCH(B1498,Products!$B$5:$B$204,0)),IFERROR(MATCH(A1498,Products!$A$5:$A$204,0),"")))</f>
        <v/>
      </c>
      <c r="L1498">
        <f>IF(A1498="","",IF(K1498="","⚠ not in Products",INDEX(Products!$A$5:$A$204,K1498)))</f>
        <v/>
      </c>
      <c r="M1498" s="11">
        <f>IF(A1498="","",J1498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1498+IFERROR(INDEX(Settings!$D$5:$D$9,MATCH("Etsy",Settings!$A$5:$A$9,0)),0)*D1498)</f>
        <v/>
      </c>
      <c r="N1498" s="11">
        <f>IF(A1498="","",IF(K1498="",0,D1498*INDEX(Products!$I$5:$I$204,K1498)))</f>
        <v/>
      </c>
      <c r="O1498" s="11">
        <f>IF(A1498="","",IF(K1498="",0,J1498*INDEX(Products!$H$5:$H$204,K1498)))</f>
        <v/>
      </c>
      <c r="P1498" s="11">
        <f>IF(A1498="","",J1498-M1498-N1498-O1498)</f>
        <v/>
      </c>
    </row>
    <row r="1499">
      <c r="A1499">
        <f>IFERROR(INDEX('Etsy Import'!$A:$CZ,1499,Settings!$C$20)&amp;"","")</f>
        <v/>
      </c>
      <c r="B1499">
        <f>IFERROR(INDEX('Etsy Import'!$A:$CZ,1499,Settings!$C$21)&amp;"","")</f>
        <v/>
      </c>
      <c r="C1499">
        <f>IFERROR(INDEX('Etsy Import'!$A:$CZ,1499,Settings!$C$22)&amp;"","")</f>
        <v/>
      </c>
      <c r="D1499">
        <f>IF(A1499="","",IFERROR(VALUE(SUBSTITUTE(SUBSTITUTE(INDEX('Etsy Import'!$A:$CZ,1499,Settings!$C$23)&amp;"","$",""),",","")),0))</f>
        <v/>
      </c>
      <c r="E1499" s="11">
        <f>IF(A1499="","",IFERROR(VALUE(SUBSTITUTE(SUBSTITUTE(INDEX('Etsy Import'!$A:$CZ,1499,Settings!$C$24)&amp;"","$",""),",","")),0))</f>
        <v/>
      </c>
      <c r="F1499" s="11">
        <f>IF(A1499="","",D1499*E1499)</f>
        <v/>
      </c>
      <c r="G1499">
        <f>IF(A1499="","",IF(C1499="",1,COUNTIF($C$2:$C$1501,C1499)))</f>
        <v/>
      </c>
      <c r="H1499" s="11">
        <f>IF(A1499="","",IFERROR(VALUE(SUBSTITUTE(SUBSTITUTE(INDEX('Etsy Import'!$A:$CZ,1499,Settings!$C$25)&amp;"","$",""),",","")),0)/IF(Settings!$B$27="Yes",G1499,1))</f>
        <v/>
      </c>
      <c r="I1499" s="11">
        <f>IF(A1499="","",IFERROR(VALUE(SUBSTITUTE(SUBSTITUTE(INDEX('Etsy Import'!$A:$CZ,1499,Settings!$C$26)&amp;"","$",""),",","")),0)/IF(Settings!$B$27="Yes",G1499,1))</f>
        <v/>
      </c>
      <c r="J1499" s="11">
        <f>IF(A1499="","",F1499+H1499-I1499)</f>
        <v/>
      </c>
      <c r="K1499">
        <f>IF(A1499="","",IFERROR(IF(B1499="",NA(),MATCH(B1499,Products!$B$5:$B$204,0)),IFERROR(MATCH(A1499,Products!$A$5:$A$204,0),"")))</f>
        <v/>
      </c>
      <c r="L1499">
        <f>IF(A1499="","",IF(K1499="","⚠ not in Products",INDEX(Products!$A$5:$A$204,K1499)))</f>
        <v/>
      </c>
      <c r="M1499" s="11">
        <f>IF(A1499="","",J1499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1499+IFERROR(INDEX(Settings!$D$5:$D$9,MATCH("Etsy",Settings!$A$5:$A$9,0)),0)*D1499)</f>
        <v/>
      </c>
      <c r="N1499" s="11">
        <f>IF(A1499="","",IF(K1499="",0,D1499*INDEX(Products!$I$5:$I$204,K1499)))</f>
        <v/>
      </c>
      <c r="O1499" s="11">
        <f>IF(A1499="","",IF(K1499="",0,J1499*INDEX(Products!$H$5:$H$204,K1499)))</f>
        <v/>
      </c>
      <c r="P1499" s="11">
        <f>IF(A1499="","",J1499-M1499-N1499-O1499)</f>
        <v/>
      </c>
    </row>
    <row r="1500">
      <c r="A1500">
        <f>IFERROR(INDEX('Etsy Import'!$A:$CZ,1500,Settings!$C$20)&amp;"","")</f>
        <v/>
      </c>
      <c r="B1500">
        <f>IFERROR(INDEX('Etsy Import'!$A:$CZ,1500,Settings!$C$21)&amp;"","")</f>
        <v/>
      </c>
      <c r="C1500">
        <f>IFERROR(INDEX('Etsy Import'!$A:$CZ,1500,Settings!$C$22)&amp;"","")</f>
        <v/>
      </c>
      <c r="D1500">
        <f>IF(A1500="","",IFERROR(VALUE(SUBSTITUTE(SUBSTITUTE(INDEX('Etsy Import'!$A:$CZ,1500,Settings!$C$23)&amp;"","$",""),",","")),0))</f>
        <v/>
      </c>
      <c r="E1500" s="11">
        <f>IF(A1500="","",IFERROR(VALUE(SUBSTITUTE(SUBSTITUTE(INDEX('Etsy Import'!$A:$CZ,1500,Settings!$C$24)&amp;"","$",""),",","")),0))</f>
        <v/>
      </c>
      <c r="F1500" s="11">
        <f>IF(A1500="","",D1500*E1500)</f>
        <v/>
      </c>
      <c r="G1500">
        <f>IF(A1500="","",IF(C1500="",1,COUNTIF($C$2:$C$1501,C1500)))</f>
        <v/>
      </c>
      <c r="H1500" s="11">
        <f>IF(A1500="","",IFERROR(VALUE(SUBSTITUTE(SUBSTITUTE(INDEX('Etsy Import'!$A:$CZ,1500,Settings!$C$25)&amp;"","$",""),",","")),0)/IF(Settings!$B$27="Yes",G1500,1))</f>
        <v/>
      </c>
      <c r="I1500" s="11">
        <f>IF(A1500="","",IFERROR(VALUE(SUBSTITUTE(SUBSTITUTE(INDEX('Etsy Import'!$A:$CZ,1500,Settings!$C$26)&amp;"","$",""),",","")),0)/IF(Settings!$B$27="Yes",G1500,1))</f>
        <v/>
      </c>
      <c r="J1500" s="11">
        <f>IF(A1500="","",F1500+H1500-I1500)</f>
        <v/>
      </c>
      <c r="K1500">
        <f>IF(A1500="","",IFERROR(IF(B1500="",NA(),MATCH(B1500,Products!$B$5:$B$204,0)),IFERROR(MATCH(A1500,Products!$A$5:$A$204,0),"")))</f>
        <v/>
      </c>
      <c r="L1500">
        <f>IF(A1500="","",IF(K1500="","⚠ not in Products",INDEX(Products!$A$5:$A$204,K1500)))</f>
        <v/>
      </c>
      <c r="M1500" s="11">
        <f>IF(A1500="","",J1500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1500+IFERROR(INDEX(Settings!$D$5:$D$9,MATCH("Etsy",Settings!$A$5:$A$9,0)),0)*D1500)</f>
        <v/>
      </c>
      <c r="N1500" s="11">
        <f>IF(A1500="","",IF(K1500="",0,D1500*INDEX(Products!$I$5:$I$204,K1500)))</f>
        <v/>
      </c>
      <c r="O1500" s="11">
        <f>IF(A1500="","",IF(K1500="",0,J1500*INDEX(Products!$H$5:$H$204,K1500)))</f>
        <v/>
      </c>
      <c r="P1500" s="11">
        <f>IF(A1500="","",J1500-M1500-N1500-O1500)</f>
        <v/>
      </c>
    </row>
    <row r="1501">
      <c r="A1501">
        <f>IFERROR(INDEX('Etsy Import'!$A:$CZ,1501,Settings!$C$20)&amp;"","")</f>
        <v/>
      </c>
      <c r="B1501">
        <f>IFERROR(INDEX('Etsy Import'!$A:$CZ,1501,Settings!$C$21)&amp;"","")</f>
        <v/>
      </c>
      <c r="C1501">
        <f>IFERROR(INDEX('Etsy Import'!$A:$CZ,1501,Settings!$C$22)&amp;"","")</f>
        <v/>
      </c>
      <c r="D1501">
        <f>IF(A1501="","",IFERROR(VALUE(SUBSTITUTE(SUBSTITUTE(INDEX('Etsy Import'!$A:$CZ,1501,Settings!$C$23)&amp;"","$",""),",","")),0))</f>
        <v/>
      </c>
      <c r="E1501" s="11">
        <f>IF(A1501="","",IFERROR(VALUE(SUBSTITUTE(SUBSTITUTE(INDEX('Etsy Import'!$A:$CZ,1501,Settings!$C$24)&amp;"","$",""),",","")),0))</f>
        <v/>
      </c>
      <c r="F1501" s="11">
        <f>IF(A1501="","",D1501*E1501)</f>
        <v/>
      </c>
      <c r="G1501">
        <f>IF(A1501="","",IF(C1501="",1,COUNTIF($C$2:$C$1501,C1501)))</f>
        <v/>
      </c>
      <c r="H1501" s="11">
        <f>IF(A1501="","",IFERROR(VALUE(SUBSTITUTE(SUBSTITUTE(INDEX('Etsy Import'!$A:$CZ,1501,Settings!$C$25)&amp;"","$",""),",","")),0)/IF(Settings!$B$27="Yes",G1501,1))</f>
        <v/>
      </c>
      <c r="I1501" s="11">
        <f>IF(A1501="","",IFERROR(VALUE(SUBSTITUTE(SUBSTITUTE(INDEX('Etsy Import'!$A:$CZ,1501,Settings!$C$26)&amp;"","$",""),",","")),0)/IF(Settings!$B$27="Yes",G1501,1))</f>
        <v/>
      </c>
      <c r="J1501" s="11">
        <f>IF(A1501="","",F1501+H1501-I1501)</f>
        <v/>
      </c>
      <c r="K1501">
        <f>IF(A1501="","",IFERROR(IF(B1501="",NA(),MATCH(B1501,Products!$B$5:$B$204,0)),IFERROR(MATCH(A1501,Products!$A$5:$A$204,0),"")))</f>
        <v/>
      </c>
      <c r="L1501">
        <f>IF(A1501="","",IF(K1501="","⚠ not in Products",INDEX(Products!$A$5:$A$204,K1501)))</f>
        <v/>
      </c>
      <c r="M1501" s="11">
        <f>IF(A1501="","",J1501*(IFERROR(INDEX(Settings!$B$5:$B$9,MATCH("Etsy",Settings!$A$5:$A$9,0)),0)+IFERROR(INDEX(Settings!$E$5:$E$9,MATCH("Etsy",Settings!$A$5:$A$9,0)),0)+IFERROR(INDEX(Settings!$G$5:$G$9,MATCH("Etsy",Settings!$A$5:$A$9,0)),0))+(IFERROR(INDEX(Settings!$C$5:$C$9,MATCH("Etsy",Settings!$A$5:$A$9,0)),0)+IFERROR(INDEX(Settings!$F$5:$F$9,MATCH("Etsy",Settings!$A$5:$A$9,0)),0))/G1501+IFERROR(INDEX(Settings!$D$5:$D$9,MATCH("Etsy",Settings!$A$5:$A$9,0)),0)*D1501)</f>
        <v/>
      </c>
      <c r="N1501" s="11">
        <f>IF(A1501="","",IF(K1501="",0,D1501*INDEX(Products!$I$5:$I$204,K1501)))</f>
        <v/>
      </c>
      <c r="O1501" s="11">
        <f>IF(A1501="","",IF(K1501="",0,J1501*INDEX(Products!$H$5:$H$204,K1501)))</f>
        <v/>
      </c>
      <c r="P1501" s="11">
        <f>IF(A1501="","",J1501-M1501-N1501-O1501)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99999"/>
    <outlinePr summaryBelow="1" summaryRight="1"/>
    <pageSetUpPr/>
  </sheetPr>
  <dimension ref="A1:P1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" customWidth="1" min="4" max="4"/>
    <col width="11" customWidth="1" min="5" max="5"/>
    <col width="12" customWidth="1" min="6" max="6"/>
    <col width="10" customWidth="1" min="7" max="7"/>
    <col width="12" customWidth="1" min="8" max="8"/>
    <col width="11" customWidth="1" min="9" max="9"/>
    <col width="12" customWidth="1" min="10" max="10"/>
    <col width="9" customWidth="1" min="11" max="11"/>
    <col width="34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2" customHeight="1">
      <c r="A1" s="10" t="inlineStr">
        <is>
          <t>Product (as sold)</t>
        </is>
      </c>
      <c r="B1" s="10" t="inlineStr">
        <is>
          <t>SKU</t>
        </is>
      </c>
      <c r="C1" s="10" t="inlineStr">
        <is>
          <t>Order ID</t>
        </is>
      </c>
      <c r="D1" s="10" t="inlineStr">
        <is>
          <t>Qty</t>
        </is>
      </c>
      <c r="E1" s="10" t="inlineStr">
        <is>
          <t>Unit price</t>
        </is>
      </c>
      <c r="F1" s="10" t="inlineStr">
        <is>
          <t>Item revenue</t>
        </is>
      </c>
      <c r="G1" s="10" t="inlineStr">
        <is>
          <t>Items in order</t>
        </is>
      </c>
      <c r="H1" s="10" t="inlineStr">
        <is>
          <t>Shipping charged</t>
        </is>
      </c>
      <c r="I1" s="10" t="inlineStr">
        <is>
          <t>Discount</t>
        </is>
      </c>
      <c r="J1" s="10" t="inlineStr">
        <is>
          <t>Gross sales</t>
        </is>
      </c>
      <c r="K1" s="10" t="inlineStr">
        <is>
          <t>Product row</t>
        </is>
      </c>
      <c r="L1" s="10" t="inlineStr">
        <is>
          <t>Matched product</t>
        </is>
      </c>
      <c r="M1" s="10" t="inlineStr">
        <is>
          <t>Platform fees</t>
        </is>
      </c>
      <c r="N1" s="10" t="inlineStr">
        <is>
          <t>Product costs</t>
        </is>
      </c>
      <c r="O1" s="10" t="inlineStr">
        <is>
          <t>Return allowance</t>
        </is>
      </c>
      <c r="P1" s="10" t="inlineStr">
        <is>
          <t>Net profit</t>
        </is>
      </c>
    </row>
    <row r="2">
      <c r="A2">
        <f>IFERROR(INDEX('Shopify Import'!$A:$CZ,2,Settings!$E$20)&amp;"","")</f>
        <v/>
      </c>
      <c r="B2">
        <f>IFERROR(INDEX('Shopify Import'!$A:$CZ,2,Settings!$E$21)&amp;"","")</f>
        <v/>
      </c>
      <c r="C2">
        <f>IFERROR(INDEX('Shopify Import'!$A:$CZ,2,Settings!$E$22)&amp;"","")</f>
        <v/>
      </c>
      <c r="D2">
        <f>IF(A2="","",IFERROR(VALUE(SUBSTITUTE(SUBSTITUTE(INDEX('Shopify Import'!$A:$CZ,2,Settings!$E$23)&amp;"","$",""),",","")),0))</f>
        <v/>
      </c>
      <c r="E2" s="11">
        <f>IF(A2="","",IFERROR(VALUE(SUBSTITUTE(SUBSTITUTE(INDEX('Shopify Import'!$A:$CZ,2,Settings!$E$24)&amp;"","$",""),",","")),0))</f>
        <v/>
      </c>
      <c r="F2" s="11">
        <f>IF(A2="","",D2*E2)</f>
        <v/>
      </c>
      <c r="G2">
        <f>IF(A2="","",IF(C2="",1,COUNTIF($C$2:$C$1501,C2)))</f>
        <v/>
      </c>
      <c r="H2" s="11">
        <f>IF(A2="","",IFERROR(VALUE(SUBSTITUTE(SUBSTITUTE(INDEX('Shopify Import'!$A:$CZ,2,Settings!$E$25)&amp;"","$",""),",","")),0)/IF(Settings!$D$27="Yes",G2,1))</f>
        <v/>
      </c>
      <c r="I2" s="11">
        <f>IF(A2="","",IFERROR(VALUE(SUBSTITUTE(SUBSTITUTE(INDEX('Shopify Import'!$A:$CZ,2,Settings!$E$26)&amp;"","$",""),",","")),0)/IF(Settings!$D$27="Yes",G2,1))</f>
        <v/>
      </c>
      <c r="J2" s="11">
        <f>IF(A2="","",F2+H2-I2)</f>
        <v/>
      </c>
      <c r="K2">
        <f>IF(A2="","",IFERROR(IF(B2="",NA(),MATCH(B2,Products!$B$5:$B$204,0)),IFERROR(MATCH(A2,Products!$A$5:$A$204,0),"")))</f>
        <v/>
      </c>
      <c r="L2">
        <f>IF(A2="","",IF(K2="","⚠ not in Products",INDEX(Products!$A$5:$A$204,K2)))</f>
        <v/>
      </c>
      <c r="M2" s="11">
        <f>IF(A2="","",J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+IFERROR(INDEX(Settings!$D$5:$D$9,MATCH("Shopify",Settings!$A$5:$A$9,0)),0)*D2)</f>
        <v/>
      </c>
      <c r="N2" s="11">
        <f>IF(A2="","",IF(K2="",0,D2*INDEX(Products!$I$5:$I$204,K2)))</f>
        <v/>
      </c>
      <c r="O2" s="11">
        <f>IF(A2="","",IF(K2="",0,J2*INDEX(Products!$H$5:$H$204,K2)))</f>
        <v/>
      </c>
      <c r="P2" s="11">
        <f>IF(A2="","",J2-M2-N2-O2)</f>
        <v/>
      </c>
    </row>
    <row r="3">
      <c r="A3">
        <f>IFERROR(INDEX('Shopify Import'!$A:$CZ,3,Settings!$E$20)&amp;"","")</f>
        <v/>
      </c>
      <c r="B3">
        <f>IFERROR(INDEX('Shopify Import'!$A:$CZ,3,Settings!$E$21)&amp;"","")</f>
        <v/>
      </c>
      <c r="C3">
        <f>IFERROR(INDEX('Shopify Import'!$A:$CZ,3,Settings!$E$22)&amp;"","")</f>
        <v/>
      </c>
      <c r="D3">
        <f>IF(A3="","",IFERROR(VALUE(SUBSTITUTE(SUBSTITUTE(INDEX('Shopify Import'!$A:$CZ,3,Settings!$E$23)&amp;"","$",""),",","")),0))</f>
        <v/>
      </c>
      <c r="E3" s="11">
        <f>IF(A3="","",IFERROR(VALUE(SUBSTITUTE(SUBSTITUTE(INDEX('Shopify Import'!$A:$CZ,3,Settings!$E$24)&amp;"","$",""),",","")),0))</f>
        <v/>
      </c>
      <c r="F3" s="11">
        <f>IF(A3="","",D3*E3)</f>
        <v/>
      </c>
      <c r="G3">
        <f>IF(A3="","",IF(C3="",1,COUNTIF($C$2:$C$1501,C3)))</f>
        <v/>
      </c>
      <c r="H3" s="11">
        <f>IF(A3="","",IFERROR(VALUE(SUBSTITUTE(SUBSTITUTE(INDEX('Shopify Import'!$A:$CZ,3,Settings!$E$25)&amp;"","$",""),",","")),0)/IF(Settings!$D$27="Yes",G3,1))</f>
        <v/>
      </c>
      <c r="I3" s="11">
        <f>IF(A3="","",IFERROR(VALUE(SUBSTITUTE(SUBSTITUTE(INDEX('Shopify Import'!$A:$CZ,3,Settings!$E$26)&amp;"","$",""),",","")),0)/IF(Settings!$D$27="Yes",G3,1))</f>
        <v/>
      </c>
      <c r="J3" s="11">
        <f>IF(A3="","",F3+H3-I3)</f>
        <v/>
      </c>
      <c r="K3">
        <f>IF(A3="","",IFERROR(IF(B3="",NA(),MATCH(B3,Products!$B$5:$B$204,0)),IFERROR(MATCH(A3,Products!$A$5:$A$204,0),"")))</f>
        <v/>
      </c>
      <c r="L3">
        <f>IF(A3="","",IF(K3="","⚠ not in Products",INDEX(Products!$A$5:$A$204,K3)))</f>
        <v/>
      </c>
      <c r="M3" s="11">
        <f>IF(A3="","",J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+IFERROR(INDEX(Settings!$D$5:$D$9,MATCH("Shopify",Settings!$A$5:$A$9,0)),0)*D3)</f>
        <v/>
      </c>
      <c r="N3" s="11">
        <f>IF(A3="","",IF(K3="",0,D3*INDEX(Products!$I$5:$I$204,K3)))</f>
        <v/>
      </c>
      <c r="O3" s="11">
        <f>IF(A3="","",IF(K3="",0,J3*INDEX(Products!$H$5:$H$204,K3)))</f>
        <v/>
      </c>
      <c r="P3" s="11">
        <f>IF(A3="","",J3-M3-N3-O3)</f>
        <v/>
      </c>
    </row>
    <row r="4">
      <c r="A4">
        <f>IFERROR(INDEX('Shopify Import'!$A:$CZ,4,Settings!$E$20)&amp;"","")</f>
        <v/>
      </c>
      <c r="B4">
        <f>IFERROR(INDEX('Shopify Import'!$A:$CZ,4,Settings!$E$21)&amp;"","")</f>
        <v/>
      </c>
      <c r="C4">
        <f>IFERROR(INDEX('Shopify Import'!$A:$CZ,4,Settings!$E$22)&amp;"","")</f>
        <v/>
      </c>
      <c r="D4">
        <f>IF(A4="","",IFERROR(VALUE(SUBSTITUTE(SUBSTITUTE(INDEX('Shopify Import'!$A:$CZ,4,Settings!$E$23)&amp;"","$",""),",","")),0))</f>
        <v/>
      </c>
      <c r="E4" s="11">
        <f>IF(A4="","",IFERROR(VALUE(SUBSTITUTE(SUBSTITUTE(INDEX('Shopify Import'!$A:$CZ,4,Settings!$E$24)&amp;"","$",""),",","")),0))</f>
        <v/>
      </c>
      <c r="F4" s="11">
        <f>IF(A4="","",D4*E4)</f>
        <v/>
      </c>
      <c r="G4">
        <f>IF(A4="","",IF(C4="",1,COUNTIF($C$2:$C$1501,C4)))</f>
        <v/>
      </c>
      <c r="H4" s="11">
        <f>IF(A4="","",IFERROR(VALUE(SUBSTITUTE(SUBSTITUTE(INDEX('Shopify Import'!$A:$CZ,4,Settings!$E$25)&amp;"","$",""),",","")),0)/IF(Settings!$D$27="Yes",G4,1))</f>
        <v/>
      </c>
      <c r="I4" s="11">
        <f>IF(A4="","",IFERROR(VALUE(SUBSTITUTE(SUBSTITUTE(INDEX('Shopify Import'!$A:$CZ,4,Settings!$E$26)&amp;"","$",""),",","")),0)/IF(Settings!$D$27="Yes",G4,1))</f>
        <v/>
      </c>
      <c r="J4" s="11">
        <f>IF(A4="","",F4+H4-I4)</f>
        <v/>
      </c>
      <c r="K4">
        <f>IF(A4="","",IFERROR(IF(B4="",NA(),MATCH(B4,Products!$B$5:$B$204,0)),IFERROR(MATCH(A4,Products!$A$5:$A$204,0),"")))</f>
        <v/>
      </c>
      <c r="L4">
        <f>IF(A4="","",IF(K4="","⚠ not in Products",INDEX(Products!$A$5:$A$204,K4)))</f>
        <v/>
      </c>
      <c r="M4" s="11">
        <f>IF(A4="","",J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+IFERROR(INDEX(Settings!$D$5:$D$9,MATCH("Shopify",Settings!$A$5:$A$9,0)),0)*D4)</f>
        <v/>
      </c>
      <c r="N4" s="11">
        <f>IF(A4="","",IF(K4="",0,D4*INDEX(Products!$I$5:$I$204,K4)))</f>
        <v/>
      </c>
      <c r="O4" s="11">
        <f>IF(A4="","",IF(K4="",0,J4*INDEX(Products!$H$5:$H$204,K4)))</f>
        <v/>
      </c>
      <c r="P4" s="11">
        <f>IF(A4="","",J4-M4-N4-O4)</f>
        <v/>
      </c>
    </row>
    <row r="5">
      <c r="A5">
        <f>IFERROR(INDEX('Shopify Import'!$A:$CZ,5,Settings!$E$20)&amp;"","")</f>
        <v/>
      </c>
      <c r="B5">
        <f>IFERROR(INDEX('Shopify Import'!$A:$CZ,5,Settings!$E$21)&amp;"","")</f>
        <v/>
      </c>
      <c r="C5">
        <f>IFERROR(INDEX('Shopify Import'!$A:$CZ,5,Settings!$E$22)&amp;"","")</f>
        <v/>
      </c>
      <c r="D5">
        <f>IF(A5="","",IFERROR(VALUE(SUBSTITUTE(SUBSTITUTE(INDEX('Shopify Import'!$A:$CZ,5,Settings!$E$23)&amp;"","$",""),",","")),0))</f>
        <v/>
      </c>
      <c r="E5" s="11">
        <f>IF(A5="","",IFERROR(VALUE(SUBSTITUTE(SUBSTITUTE(INDEX('Shopify Import'!$A:$CZ,5,Settings!$E$24)&amp;"","$",""),",","")),0))</f>
        <v/>
      </c>
      <c r="F5" s="11">
        <f>IF(A5="","",D5*E5)</f>
        <v/>
      </c>
      <c r="G5">
        <f>IF(A5="","",IF(C5="",1,COUNTIF($C$2:$C$1501,C5)))</f>
        <v/>
      </c>
      <c r="H5" s="11">
        <f>IF(A5="","",IFERROR(VALUE(SUBSTITUTE(SUBSTITUTE(INDEX('Shopify Import'!$A:$CZ,5,Settings!$E$25)&amp;"","$",""),",","")),0)/IF(Settings!$D$27="Yes",G5,1))</f>
        <v/>
      </c>
      <c r="I5" s="11">
        <f>IF(A5="","",IFERROR(VALUE(SUBSTITUTE(SUBSTITUTE(INDEX('Shopify Import'!$A:$CZ,5,Settings!$E$26)&amp;"","$",""),",","")),0)/IF(Settings!$D$27="Yes",G5,1))</f>
        <v/>
      </c>
      <c r="J5" s="11">
        <f>IF(A5="","",F5+H5-I5)</f>
        <v/>
      </c>
      <c r="K5">
        <f>IF(A5="","",IFERROR(IF(B5="",NA(),MATCH(B5,Products!$B$5:$B$204,0)),IFERROR(MATCH(A5,Products!$A$5:$A$204,0),"")))</f>
        <v/>
      </c>
      <c r="L5">
        <f>IF(A5="","",IF(K5="","⚠ not in Products",INDEX(Products!$A$5:$A$204,K5)))</f>
        <v/>
      </c>
      <c r="M5" s="11">
        <f>IF(A5="","",J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+IFERROR(INDEX(Settings!$D$5:$D$9,MATCH("Shopify",Settings!$A$5:$A$9,0)),0)*D5)</f>
        <v/>
      </c>
      <c r="N5" s="11">
        <f>IF(A5="","",IF(K5="",0,D5*INDEX(Products!$I$5:$I$204,K5)))</f>
        <v/>
      </c>
      <c r="O5" s="11">
        <f>IF(A5="","",IF(K5="",0,J5*INDEX(Products!$H$5:$H$204,K5)))</f>
        <v/>
      </c>
      <c r="P5" s="11">
        <f>IF(A5="","",J5-M5-N5-O5)</f>
        <v/>
      </c>
    </row>
    <row r="6">
      <c r="A6">
        <f>IFERROR(INDEX('Shopify Import'!$A:$CZ,6,Settings!$E$20)&amp;"","")</f>
        <v/>
      </c>
      <c r="B6">
        <f>IFERROR(INDEX('Shopify Import'!$A:$CZ,6,Settings!$E$21)&amp;"","")</f>
        <v/>
      </c>
      <c r="C6">
        <f>IFERROR(INDEX('Shopify Import'!$A:$CZ,6,Settings!$E$22)&amp;"","")</f>
        <v/>
      </c>
      <c r="D6">
        <f>IF(A6="","",IFERROR(VALUE(SUBSTITUTE(SUBSTITUTE(INDEX('Shopify Import'!$A:$CZ,6,Settings!$E$23)&amp;"","$",""),",","")),0))</f>
        <v/>
      </c>
      <c r="E6" s="11">
        <f>IF(A6="","",IFERROR(VALUE(SUBSTITUTE(SUBSTITUTE(INDEX('Shopify Import'!$A:$CZ,6,Settings!$E$24)&amp;"","$",""),",","")),0))</f>
        <v/>
      </c>
      <c r="F6" s="11">
        <f>IF(A6="","",D6*E6)</f>
        <v/>
      </c>
      <c r="G6">
        <f>IF(A6="","",IF(C6="",1,COUNTIF($C$2:$C$1501,C6)))</f>
        <v/>
      </c>
      <c r="H6" s="11">
        <f>IF(A6="","",IFERROR(VALUE(SUBSTITUTE(SUBSTITUTE(INDEX('Shopify Import'!$A:$CZ,6,Settings!$E$25)&amp;"","$",""),",","")),0)/IF(Settings!$D$27="Yes",G6,1))</f>
        <v/>
      </c>
      <c r="I6" s="11">
        <f>IF(A6="","",IFERROR(VALUE(SUBSTITUTE(SUBSTITUTE(INDEX('Shopify Import'!$A:$CZ,6,Settings!$E$26)&amp;"","$",""),",","")),0)/IF(Settings!$D$27="Yes",G6,1))</f>
        <v/>
      </c>
      <c r="J6" s="11">
        <f>IF(A6="","",F6+H6-I6)</f>
        <v/>
      </c>
      <c r="K6">
        <f>IF(A6="","",IFERROR(IF(B6="",NA(),MATCH(B6,Products!$B$5:$B$204,0)),IFERROR(MATCH(A6,Products!$A$5:$A$204,0),"")))</f>
        <v/>
      </c>
      <c r="L6">
        <f>IF(A6="","",IF(K6="","⚠ not in Products",INDEX(Products!$A$5:$A$204,K6)))</f>
        <v/>
      </c>
      <c r="M6" s="11">
        <f>IF(A6="","",J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+IFERROR(INDEX(Settings!$D$5:$D$9,MATCH("Shopify",Settings!$A$5:$A$9,0)),0)*D6)</f>
        <v/>
      </c>
      <c r="N6" s="11">
        <f>IF(A6="","",IF(K6="",0,D6*INDEX(Products!$I$5:$I$204,K6)))</f>
        <v/>
      </c>
      <c r="O6" s="11">
        <f>IF(A6="","",IF(K6="",0,J6*INDEX(Products!$H$5:$H$204,K6)))</f>
        <v/>
      </c>
      <c r="P6" s="11">
        <f>IF(A6="","",J6-M6-N6-O6)</f>
        <v/>
      </c>
    </row>
    <row r="7">
      <c r="A7">
        <f>IFERROR(INDEX('Shopify Import'!$A:$CZ,7,Settings!$E$20)&amp;"","")</f>
        <v/>
      </c>
      <c r="B7">
        <f>IFERROR(INDEX('Shopify Import'!$A:$CZ,7,Settings!$E$21)&amp;"","")</f>
        <v/>
      </c>
      <c r="C7">
        <f>IFERROR(INDEX('Shopify Import'!$A:$CZ,7,Settings!$E$22)&amp;"","")</f>
        <v/>
      </c>
      <c r="D7">
        <f>IF(A7="","",IFERROR(VALUE(SUBSTITUTE(SUBSTITUTE(INDEX('Shopify Import'!$A:$CZ,7,Settings!$E$23)&amp;"","$",""),",","")),0))</f>
        <v/>
      </c>
      <c r="E7" s="11">
        <f>IF(A7="","",IFERROR(VALUE(SUBSTITUTE(SUBSTITUTE(INDEX('Shopify Import'!$A:$CZ,7,Settings!$E$24)&amp;"","$",""),",","")),0))</f>
        <v/>
      </c>
      <c r="F7" s="11">
        <f>IF(A7="","",D7*E7)</f>
        <v/>
      </c>
      <c r="G7">
        <f>IF(A7="","",IF(C7="",1,COUNTIF($C$2:$C$1501,C7)))</f>
        <v/>
      </c>
      <c r="H7" s="11">
        <f>IF(A7="","",IFERROR(VALUE(SUBSTITUTE(SUBSTITUTE(INDEX('Shopify Import'!$A:$CZ,7,Settings!$E$25)&amp;"","$",""),",","")),0)/IF(Settings!$D$27="Yes",G7,1))</f>
        <v/>
      </c>
      <c r="I7" s="11">
        <f>IF(A7="","",IFERROR(VALUE(SUBSTITUTE(SUBSTITUTE(INDEX('Shopify Import'!$A:$CZ,7,Settings!$E$26)&amp;"","$",""),",","")),0)/IF(Settings!$D$27="Yes",G7,1))</f>
        <v/>
      </c>
      <c r="J7" s="11">
        <f>IF(A7="","",F7+H7-I7)</f>
        <v/>
      </c>
      <c r="K7">
        <f>IF(A7="","",IFERROR(IF(B7="",NA(),MATCH(B7,Products!$B$5:$B$204,0)),IFERROR(MATCH(A7,Products!$A$5:$A$204,0),"")))</f>
        <v/>
      </c>
      <c r="L7">
        <f>IF(A7="","",IF(K7="","⚠ not in Products",INDEX(Products!$A$5:$A$204,K7)))</f>
        <v/>
      </c>
      <c r="M7" s="11">
        <f>IF(A7="","",J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+IFERROR(INDEX(Settings!$D$5:$D$9,MATCH("Shopify",Settings!$A$5:$A$9,0)),0)*D7)</f>
        <v/>
      </c>
      <c r="N7" s="11">
        <f>IF(A7="","",IF(K7="",0,D7*INDEX(Products!$I$5:$I$204,K7)))</f>
        <v/>
      </c>
      <c r="O7" s="11">
        <f>IF(A7="","",IF(K7="",0,J7*INDEX(Products!$H$5:$H$204,K7)))</f>
        <v/>
      </c>
      <c r="P7" s="11">
        <f>IF(A7="","",J7-M7-N7-O7)</f>
        <v/>
      </c>
    </row>
    <row r="8">
      <c r="A8">
        <f>IFERROR(INDEX('Shopify Import'!$A:$CZ,8,Settings!$E$20)&amp;"","")</f>
        <v/>
      </c>
      <c r="B8">
        <f>IFERROR(INDEX('Shopify Import'!$A:$CZ,8,Settings!$E$21)&amp;"","")</f>
        <v/>
      </c>
      <c r="C8">
        <f>IFERROR(INDEX('Shopify Import'!$A:$CZ,8,Settings!$E$22)&amp;"","")</f>
        <v/>
      </c>
      <c r="D8">
        <f>IF(A8="","",IFERROR(VALUE(SUBSTITUTE(SUBSTITUTE(INDEX('Shopify Import'!$A:$CZ,8,Settings!$E$23)&amp;"","$",""),",","")),0))</f>
        <v/>
      </c>
      <c r="E8" s="11">
        <f>IF(A8="","",IFERROR(VALUE(SUBSTITUTE(SUBSTITUTE(INDEX('Shopify Import'!$A:$CZ,8,Settings!$E$24)&amp;"","$",""),",","")),0))</f>
        <v/>
      </c>
      <c r="F8" s="11">
        <f>IF(A8="","",D8*E8)</f>
        <v/>
      </c>
      <c r="G8">
        <f>IF(A8="","",IF(C8="",1,COUNTIF($C$2:$C$1501,C8)))</f>
        <v/>
      </c>
      <c r="H8" s="11">
        <f>IF(A8="","",IFERROR(VALUE(SUBSTITUTE(SUBSTITUTE(INDEX('Shopify Import'!$A:$CZ,8,Settings!$E$25)&amp;"","$",""),",","")),0)/IF(Settings!$D$27="Yes",G8,1))</f>
        <v/>
      </c>
      <c r="I8" s="11">
        <f>IF(A8="","",IFERROR(VALUE(SUBSTITUTE(SUBSTITUTE(INDEX('Shopify Import'!$A:$CZ,8,Settings!$E$26)&amp;"","$",""),",","")),0)/IF(Settings!$D$27="Yes",G8,1))</f>
        <v/>
      </c>
      <c r="J8" s="11">
        <f>IF(A8="","",F8+H8-I8)</f>
        <v/>
      </c>
      <c r="K8">
        <f>IF(A8="","",IFERROR(IF(B8="",NA(),MATCH(B8,Products!$B$5:$B$204,0)),IFERROR(MATCH(A8,Products!$A$5:$A$204,0),"")))</f>
        <v/>
      </c>
      <c r="L8">
        <f>IF(A8="","",IF(K8="","⚠ not in Products",INDEX(Products!$A$5:$A$204,K8)))</f>
        <v/>
      </c>
      <c r="M8" s="11">
        <f>IF(A8="","",J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+IFERROR(INDEX(Settings!$D$5:$D$9,MATCH("Shopify",Settings!$A$5:$A$9,0)),0)*D8)</f>
        <v/>
      </c>
      <c r="N8" s="11">
        <f>IF(A8="","",IF(K8="",0,D8*INDEX(Products!$I$5:$I$204,K8)))</f>
        <v/>
      </c>
      <c r="O8" s="11">
        <f>IF(A8="","",IF(K8="",0,J8*INDEX(Products!$H$5:$H$204,K8)))</f>
        <v/>
      </c>
      <c r="P8" s="11">
        <f>IF(A8="","",J8-M8-N8-O8)</f>
        <v/>
      </c>
    </row>
    <row r="9">
      <c r="A9">
        <f>IFERROR(INDEX('Shopify Import'!$A:$CZ,9,Settings!$E$20)&amp;"","")</f>
        <v/>
      </c>
      <c r="B9">
        <f>IFERROR(INDEX('Shopify Import'!$A:$CZ,9,Settings!$E$21)&amp;"","")</f>
        <v/>
      </c>
      <c r="C9">
        <f>IFERROR(INDEX('Shopify Import'!$A:$CZ,9,Settings!$E$22)&amp;"","")</f>
        <v/>
      </c>
      <c r="D9">
        <f>IF(A9="","",IFERROR(VALUE(SUBSTITUTE(SUBSTITUTE(INDEX('Shopify Import'!$A:$CZ,9,Settings!$E$23)&amp;"","$",""),",","")),0))</f>
        <v/>
      </c>
      <c r="E9" s="11">
        <f>IF(A9="","",IFERROR(VALUE(SUBSTITUTE(SUBSTITUTE(INDEX('Shopify Import'!$A:$CZ,9,Settings!$E$24)&amp;"","$",""),",","")),0))</f>
        <v/>
      </c>
      <c r="F9" s="11">
        <f>IF(A9="","",D9*E9)</f>
        <v/>
      </c>
      <c r="G9">
        <f>IF(A9="","",IF(C9="",1,COUNTIF($C$2:$C$1501,C9)))</f>
        <v/>
      </c>
      <c r="H9" s="11">
        <f>IF(A9="","",IFERROR(VALUE(SUBSTITUTE(SUBSTITUTE(INDEX('Shopify Import'!$A:$CZ,9,Settings!$E$25)&amp;"","$",""),",","")),0)/IF(Settings!$D$27="Yes",G9,1))</f>
        <v/>
      </c>
      <c r="I9" s="11">
        <f>IF(A9="","",IFERROR(VALUE(SUBSTITUTE(SUBSTITUTE(INDEX('Shopify Import'!$A:$CZ,9,Settings!$E$26)&amp;"","$",""),",","")),0)/IF(Settings!$D$27="Yes",G9,1))</f>
        <v/>
      </c>
      <c r="J9" s="11">
        <f>IF(A9="","",F9+H9-I9)</f>
        <v/>
      </c>
      <c r="K9">
        <f>IF(A9="","",IFERROR(IF(B9="",NA(),MATCH(B9,Products!$B$5:$B$204,0)),IFERROR(MATCH(A9,Products!$A$5:$A$204,0),"")))</f>
        <v/>
      </c>
      <c r="L9">
        <f>IF(A9="","",IF(K9="","⚠ not in Products",INDEX(Products!$A$5:$A$204,K9)))</f>
        <v/>
      </c>
      <c r="M9" s="11">
        <f>IF(A9="","",J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+IFERROR(INDEX(Settings!$D$5:$D$9,MATCH("Shopify",Settings!$A$5:$A$9,0)),0)*D9)</f>
        <v/>
      </c>
      <c r="N9" s="11">
        <f>IF(A9="","",IF(K9="",0,D9*INDEX(Products!$I$5:$I$204,K9)))</f>
        <v/>
      </c>
      <c r="O9" s="11">
        <f>IF(A9="","",IF(K9="",0,J9*INDEX(Products!$H$5:$H$204,K9)))</f>
        <v/>
      </c>
      <c r="P9" s="11">
        <f>IF(A9="","",J9-M9-N9-O9)</f>
        <v/>
      </c>
    </row>
    <row r="10">
      <c r="A10">
        <f>IFERROR(INDEX('Shopify Import'!$A:$CZ,10,Settings!$E$20)&amp;"","")</f>
        <v/>
      </c>
      <c r="B10">
        <f>IFERROR(INDEX('Shopify Import'!$A:$CZ,10,Settings!$E$21)&amp;"","")</f>
        <v/>
      </c>
      <c r="C10">
        <f>IFERROR(INDEX('Shopify Import'!$A:$CZ,10,Settings!$E$22)&amp;"","")</f>
        <v/>
      </c>
      <c r="D10">
        <f>IF(A10="","",IFERROR(VALUE(SUBSTITUTE(SUBSTITUTE(INDEX('Shopify Import'!$A:$CZ,10,Settings!$E$23)&amp;"","$",""),",","")),0))</f>
        <v/>
      </c>
      <c r="E10" s="11">
        <f>IF(A10="","",IFERROR(VALUE(SUBSTITUTE(SUBSTITUTE(INDEX('Shopify Import'!$A:$CZ,10,Settings!$E$24)&amp;"","$",""),",","")),0))</f>
        <v/>
      </c>
      <c r="F10" s="11">
        <f>IF(A10="","",D10*E10)</f>
        <v/>
      </c>
      <c r="G10">
        <f>IF(A10="","",IF(C10="",1,COUNTIF($C$2:$C$1501,C10)))</f>
        <v/>
      </c>
      <c r="H10" s="11">
        <f>IF(A10="","",IFERROR(VALUE(SUBSTITUTE(SUBSTITUTE(INDEX('Shopify Import'!$A:$CZ,10,Settings!$E$25)&amp;"","$",""),",","")),0)/IF(Settings!$D$27="Yes",G10,1))</f>
        <v/>
      </c>
      <c r="I10" s="11">
        <f>IF(A10="","",IFERROR(VALUE(SUBSTITUTE(SUBSTITUTE(INDEX('Shopify Import'!$A:$CZ,10,Settings!$E$26)&amp;"","$",""),",","")),0)/IF(Settings!$D$27="Yes",G10,1))</f>
        <v/>
      </c>
      <c r="J10" s="11">
        <f>IF(A10="","",F10+H10-I10)</f>
        <v/>
      </c>
      <c r="K10">
        <f>IF(A10="","",IFERROR(IF(B10="",NA(),MATCH(B10,Products!$B$5:$B$204,0)),IFERROR(MATCH(A10,Products!$A$5:$A$204,0),"")))</f>
        <v/>
      </c>
      <c r="L10">
        <f>IF(A10="","",IF(K10="","⚠ not in Products",INDEX(Products!$A$5:$A$204,K10)))</f>
        <v/>
      </c>
      <c r="M10" s="11">
        <f>IF(A10="","",J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+IFERROR(INDEX(Settings!$D$5:$D$9,MATCH("Shopify",Settings!$A$5:$A$9,0)),0)*D10)</f>
        <v/>
      </c>
      <c r="N10" s="11">
        <f>IF(A10="","",IF(K10="",0,D10*INDEX(Products!$I$5:$I$204,K10)))</f>
        <v/>
      </c>
      <c r="O10" s="11">
        <f>IF(A10="","",IF(K10="",0,J10*INDEX(Products!$H$5:$H$204,K10)))</f>
        <v/>
      </c>
      <c r="P10" s="11">
        <f>IF(A10="","",J10-M10-N10-O10)</f>
        <v/>
      </c>
    </row>
    <row r="11">
      <c r="A11">
        <f>IFERROR(INDEX('Shopify Import'!$A:$CZ,11,Settings!$E$20)&amp;"","")</f>
        <v/>
      </c>
      <c r="B11">
        <f>IFERROR(INDEX('Shopify Import'!$A:$CZ,11,Settings!$E$21)&amp;"","")</f>
        <v/>
      </c>
      <c r="C11">
        <f>IFERROR(INDEX('Shopify Import'!$A:$CZ,11,Settings!$E$22)&amp;"","")</f>
        <v/>
      </c>
      <c r="D11">
        <f>IF(A11="","",IFERROR(VALUE(SUBSTITUTE(SUBSTITUTE(INDEX('Shopify Import'!$A:$CZ,11,Settings!$E$23)&amp;"","$",""),",","")),0))</f>
        <v/>
      </c>
      <c r="E11" s="11">
        <f>IF(A11="","",IFERROR(VALUE(SUBSTITUTE(SUBSTITUTE(INDEX('Shopify Import'!$A:$CZ,11,Settings!$E$24)&amp;"","$",""),",","")),0))</f>
        <v/>
      </c>
      <c r="F11" s="11">
        <f>IF(A11="","",D11*E11)</f>
        <v/>
      </c>
      <c r="G11">
        <f>IF(A11="","",IF(C11="",1,COUNTIF($C$2:$C$1501,C11)))</f>
        <v/>
      </c>
      <c r="H11" s="11">
        <f>IF(A11="","",IFERROR(VALUE(SUBSTITUTE(SUBSTITUTE(INDEX('Shopify Import'!$A:$CZ,11,Settings!$E$25)&amp;"","$",""),",","")),0)/IF(Settings!$D$27="Yes",G11,1))</f>
        <v/>
      </c>
      <c r="I11" s="11">
        <f>IF(A11="","",IFERROR(VALUE(SUBSTITUTE(SUBSTITUTE(INDEX('Shopify Import'!$A:$CZ,11,Settings!$E$26)&amp;"","$",""),",","")),0)/IF(Settings!$D$27="Yes",G11,1))</f>
        <v/>
      </c>
      <c r="J11" s="11">
        <f>IF(A11="","",F11+H11-I11)</f>
        <v/>
      </c>
      <c r="K11">
        <f>IF(A11="","",IFERROR(IF(B11="",NA(),MATCH(B11,Products!$B$5:$B$204,0)),IFERROR(MATCH(A11,Products!$A$5:$A$204,0),"")))</f>
        <v/>
      </c>
      <c r="L11">
        <f>IF(A11="","",IF(K11="","⚠ not in Products",INDEX(Products!$A$5:$A$204,K11)))</f>
        <v/>
      </c>
      <c r="M11" s="11">
        <f>IF(A11="","",J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+IFERROR(INDEX(Settings!$D$5:$D$9,MATCH("Shopify",Settings!$A$5:$A$9,0)),0)*D11)</f>
        <v/>
      </c>
      <c r="N11" s="11">
        <f>IF(A11="","",IF(K11="",0,D11*INDEX(Products!$I$5:$I$204,K11)))</f>
        <v/>
      </c>
      <c r="O11" s="11">
        <f>IF(A11="","",IF(K11="",0,J11*INDEX(Products!$H$5:$H$204,K11)))</f>
        <v/>
      </c>
      <c r="P11" s="11">
        <f>IF(A11="","",J11-M11-N11-O11)</f>
        <v/>
      </c>
    </row>
    <row r="12">
      <c r="A12">
        <f>IFERROR(INDEX('Shopify Import'!$A:$CZ,12,Settings!$E$20)&amp;"","")</f>
        <v/>
      </c>
      <c r="B12">
        <f>IFERROR(INDEX('Shopify Import'!$A:$CZ,12,Settings!$E$21)&amp;"","")</f>
        <v/>
      </c>
      <c r="C12">
        <f>IFERROR(INDEX('Shopify Import'!$A:$CZ,12,Settings!$E$22)&amp;"","")</f>
        <v/>
      </c>
      <c r="D12">
        <f>IF(A12="","",IFERROR(VALUE(SUBSTITUTE(SUBSTITUTE(INDEX('Shopify Import'!$A:$CZ,12,Settings!$E$23)&amp;"","$",""),",","")),0))</f>
        <v/>
      </c>
      <c r="E12" s="11">
        <f>IF(A12="","",IFERROR(VALUE(SUBSTITUTE(SUBSTITUTE(INDEX('Shopify Import'!$A:$CZ,12,Settings!$E$24)&amp;"","$",""),",","")),0))</f>
        <v/>
      </c>
      <c r="F12" s="11">
        <f>IF(A12="","",D12*E12)</f>
        <v/>
      </c>
      <c r="G12">
        <f>IF(A12="","",IF(C12="",1,COUNTIF($C$2:$C$1501,C12)))</f>
        <v/>
      </c>
      <c r="H12" s="11">
        <f>IF(A12="","",IFERROR(VALUE(SUBSTITUTE(SUBSTITUTE(INDEX('Shopify Import'!$A:$CZ,12,Settings!$E$25)&amp;"","$",""),",","")),0)/IF(Settings!$D$27="Yes",G12,1))</f>
        <v/>
      </c>
      <c r="I12" s="11">
        <f>IF(A12="","",IFERROR(VALUE(SUBSTITUTE(SUBSTITUTE(INDEX('Shopify Import'!$A:$CZ,12,Settings!$E$26)&amp;"","$",""),",","")),0)/IF(Settings!$D$27="Yes",G12,1))</f>
        <v/>
      </c>
      <c r="J12" s="11">
        <f>IF(A12="","",F12+H12-I12)</f>
        <v/>
      </c>
      <c r="K12">
        <f>IF(A12="","",IFERROR(IF(B12="",NA(),MATCH(B12,Products!$B$5:$B$204,0)),IFERROR(MATCH(A12,Products!$A$5:$A$204,0),"")))</f>
        <v/>
      </c>
      <c r="L12">
        <f>IF(A12="","",IF(K12="","⚠ not in Products",INDEX(Products!$A$5:$A$204,K12)))</f>
        <v/>
      </c>
      <c r="M12" s="11">
        <f>IF(A12="","",J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+IFERROR(INDEX(Settings!$D$5:$D$9,MATCH("Shopify",Settings!$A$5:$A$9,0)),0)*D12)</f>
        <v/>
      </c>
      <c r="N12" s="11">
        <f>IF(A12="","",IF(K12="",0,D12*INDEX(Products!$I$5:$I$204,K12)))</f>
        <v/>
      </c>
      <c r="O12" s="11">
        <f>IF(A12="","",IF(K12="",0,J12*INDEX(Products!$H$5:$H$204,K12)))</f>
        <v/>
      </c>
      <c r="P12" s="11">
        <f>IF(A12="","",J12-M12-N12-O12)</f>
        <v/>
      </c>
    </row>
    <row r="13">
      <c r="A13">
        <f>IFERROR(INDEX('Shopify Import'!$A:$CZ,13,Settings!$E$20)&amp;"","")</f>
        <v/>
      </c>
      <c r="B13">
        <f>IFERROR(INDEX('Shopify Import'!$A:$CZ,13,Settings!$E$21)&amp;"","")</f>
        <v/>
      </c>
      <c r="C13">
        <f>IFERROR(INDEX('Shopify Import'!$A:$CZ,13,Settings!$E$22)&amp;"","")</f>
        <v/>
      </c>
      <c r="D13">
        <f>IF(A13="","",IFERROR(VALUE(SUBSTITUTE(SUBSTITUTE(INDEX('Shopify Import'!$A:$CZ,13,Settings!$E$23)&amp;"","$",""),",","")),0))</f>
        <v/>
      </c>
      <c r="E13" s="11">
        <f>IF(A13="","",IFERROR(VALUE(SUBSTITUTE(SUBSTITUTE(INDEX('Shopify Import'!$A:$CZ,13,Settings!$E$24)&amp;"","$",""),",","")),0))</f>
        <v/>
      </c>
      <c r="F13" s="11">
        <f>IF(A13="","",D13*E13)</f>
        <v/>
      </c>
      <c r="G13">
        <f>IF(A13="","",IF(C13="",1,COUNTIF($C$2:$C$1501,C13)))</f>
        <v/>
      </c>
      <c r="H13" s="11">
        <f>IF(A13="","",IFERROR(VALUE(SUBSTITUTE(SUBSTITUTE(INDEX('Shopify Import'!$A:$CZ,13,Settings!$E$25)&amp;"","$",""),",","")),0)/IF(Settings!$D$27="Yes",G13,1))</f>
        <v/>
      </c>
      <c r="I13" s="11">
        <f>IF(A13="","",IFERROR(VALUE(SUBSTITUTE(SUBSTITUTE(INDEX('Shopify Import'!$A:$CZ,13,Settings!$E$26)&amp;"","$",""),",","")),0)/IF(Settings!$D$27="Yes",G13,1))</f>
        <v/>
      </c>
      <c r="J13" s="11">
        <f>IF(A13="","",F13+H13-I13)</f>
        <v/>
      </c>
      <c r="K13">
        <f>IF(A13="","",IFERROR(IF(B13="",NA(),MATCH(B13,Products!$B$5:$B$204,0)),IFERROR(MATCH(A13,Products!$A$5:$A$204,0),"")))</f>
        <v/>
      </c>
      <c r="L13">
        <f>IF(A13="","",IF(K13="","⚠ not in Products",INDEX(Products!$A$5:$A$204,K13)))</f>
        <v/>
      </c>
      <c r="M13" s="11">
        <f>IF(A13="","",J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+IFERROR(INDEX(Settings!$D$5:$D$9,MATCH("Shopify",Settings!$A$5:$A$9,0)),0)*D13)</f>
        <v/>
      </c>
      <c r="N13" s="11">
        <f>IF(A13="","",IF(K13="",0,D13*INDEX(Products!$I$5:$I$204,K13)))</f>
        <v/>
      </c>
      <c r="O13" s="11">
        <f>IF(A13="","",IF(K13="",0,J13*INDEX(Products!$H$5:$H$204,K13)))</f>
        <v/>
      </c>
      <c r="P13" s="11">
        <f>IF(A13="","",J13-M13-N13-O13)</f>
        <v/>
      </c>
    </row>
    <row r="14">
      <c r="A14">
        <f>IFERROR(INDEX('Shopify Import'!$A:$CZ,14,Settings!$E$20)&amp;"","")</f>
        <v/>
      </c>
      <c r="B14">
        <f>IFERROR(INDEX('Shopify Import'!$A:$CZ,14,Settings!$E$21)&amp;"","")</f>
        <v/>
      </c>
      <c r="C14">
        <f>IFERROR(INDEX('Shopify Import'!$A:$CZ,14,Settings!$E$22)&amp;"","")</f>
        <v/>
      </c>
      <c r="D14">
        <f>IF(A14="","",IFERROR(VALUE(SUBSTITUTE(SUBSTITUTE(INDEX('Shopify Import'!$A:$CZ,14,Settings!$E$23)&amp;"","$",""),",","")),0))</f>
        <v/>
      </c>
      <c r="E14" s="11">
        <f>IF(A14="","",IFERROR(VALUE(SUBSTITUTE(SUBSTITUTE(INDEX('Shopify Import'!$A:$CZ,14,Settings!$E$24)&amp;"","$",""),",","")),0))</f>
        <v/>
      </c>
      <c r="F14" s="11">
        <f>IF(A14="","",D14*E14)</f>
        <v/>
      </c>
      <c r="G14">
        <f>IF(A14="","",IF(C14="",1,COUNTIF($C$2:$C$1501,C14)))</f>
        <v/>
      </c>
      <c r="H14" s="11">
        <f>IF(A14="","",IFERROR(VALUE(SUBSTITUTE(SUBSTITUTE(INDEX('Shopify Import'!$A:$CZ,14,Settings!$E$25)&amp;"","$",""),",","")),0)/IF(Settings!$D$27="Yes",G14,1))</f>
        <v/>
      </c>
      <c r="I14" s="11">
        <f>IF(A14="","",IFERROR(VALUE(SUBSTITUTE(SUBSTITUTE(INDEX('Shopify Import'!$A:$CZ,14,Settings!$E$26)&amp;"","$",""),",","")),0)/IF(Settings!$D$27="Yes",G14,1))</f>
        <v/>
      </c>
      <c r="J14" s="11">
        <f>IF(A14="","",F14+H14-I14)</f>
        <v/>
      </c>
      <c r="K14">
        <f>IF(A14="","",IFERROR(IF(B14="",NA(),MATCH(B14,Products!$B$5:$B$204,0)),IFERROR(MATCH(A14,Products!$A$5:$A$204,0),"")))</f>
        <v/>
      </c>
      <c r="L14">
        <f>IF(A14="","",IF(K14="","⚠ not in Products",INDEX(Products!$A$5:$A$204,K14)))</f>
        <v/>
      </c>
      <c r="M14" s="11">
        <f>IF(A14="","",J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+IFERROR(INDEX(Settings!$D$5:$D$9,MATCH("Shopify",Settings!$A$5:$A$9,0)),0)*D14)</f>
        <v/>
      </c>
      <c r="N14" s="11">
        <f>IF(A14="","",IF(K14="",0,D14*INDEX(Products!$I$5:$I$204,K14)))</f>
        <v/>
      </c>
      <c r="O14" s="11">
        <f>IF(A14="","",IF(K14="",0,J14*INDEX(Products!$H$5:$H$204,K14)))</f>
        <v/>
      </c>
      <c r="P14" s="11">
        <f>IF(A14="","",J14-M14-N14-O14)</f>
        <v/>
      </c>
    </row>
    <row r="15">
      <c r="A15">
        <f>IFERROR(INDEX('Shopify Import'!$A:$CZ,15,Settings!$E$20)&amp;"","")</f>
        <v/>
      </c>
      <c r="B15">
        <f>IFERROR(INDEX('Shopify Import'!$A:$CZ,15,Settings!$E$21)&amp;"","")</f>
        <v/>
      </c>
      <c r="C15">
        <f>IFERROR(INDEX('Shopify Import'!$A:$CZ,15,Settings!$E$22)&amp;"","")</f>
        <v/>
      </c>
      <c r="D15">
        <f>IF(A15="","",IFERROR(VALUE(SUBSTITUTE(SUBSTITUTE(INDEX('Shopify Import'!$A:$CZ,15,Settings!$E$23)&amp;"","$",""),",","")),0))</f>
        <v/>
      </c>
      <c r="E15" s="11">
        <f>IF(A15="","",IFERROR(VALUE(SUBSTITUTE(SUBSTITUTE(INDEX('Shopify Import'!$A:$CZ,15,Settings!$E$24)&amp;"","$",""),",","")),0))</f>
        <v/>
      </c>
      <c r="F15" s="11">
        <f>IF(A15="","",D15*E15)</f>
        <v/>
      </c>
      <c r="G15">
        <f>IF(A15="","",IF(C15="",1,COUNTIF($C$2:$C$1501,C15)))</f>
        <v/>
      </c>
      <c r="H15" s="11">
        <f>IF(A15="","",IFERROR(VALUE(SUBSTITUTE(SUBSTITUTE(INDEX('Shopify Import'!$A:$CZ,15,Settings!$E$25)&amp;"","$",""),",","")),0)/IF(Settings!$D$27="Yes",G15,1))</f>
        <v/>
      </c>
      <c r="I15" s="11">
        <f>IF(A15="","",IFERROR(VALUE(SUBSTITUTE(SUBSTITUTE(INDEX('Shopify Import'!$A:$CZ,15,Settings!$E$26)&amp;"","$",""),",","")),0)/IF(Settings!$D$27="Yes",G15,1))</f>
        <v/>
      </c>
      <c r="J15" s="11">
        <f>IF(A15="","",F15+H15-I15)</f>
        <v/>
      </c>
      <c r="K15">
        <f>IF(A15="","",IFERROR(IF(B15="",NA(),MATCH(B15,Products!$B$5:$B$204,0)),IFERROR(MATCH(A15,Products!$A$5:$A$204,0),"")))</f>
        <v/>
      </c>
      <c r="L15">
        <f>IF(A15="","",IF(K15="","⚠ not in Products",INDEX(Products!$A$5:$A$204,K15)))</f>
        <v/>
      </c>
      <c r="M15" s="11">
        <f>IF(A15="","",J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15+IFERROR(INDEX(Settings!$D$5:$D$9,MATCH("Shopify",Settings!$A$5:$A$9,0)),0)*D15)</f>
        <v/>
      </c>
      <c r="N15" s="11">
        <f>IF(A15="","",IF(K15="",0,D15*INDEX(Products!$I$5:$I$204,K15)))</f>
        <v/>
      </c>
      <c r="O15" s="11">
        <f>IF(A15="","",IF(K15="",0,J15*INDEX(Products!$H$5:$H$204,K15)))</f>
        <v/>
      </c>
      <c r="P15" s="11">
        <f>IF(A15="","",J15-M15-N15-O15)</f>
        <v/>
      </c>
    </row>
    <row r="16">
      <c r="A16">
        <f>IFERROR(INDEX('Shopify Import'!$A:$CZ,16,Settings!$E$20)&amp;"","")</f>
        <v/>
      </c>
      <c r="B16">
        <f>IFERROR(INDEX('Shopify Import'!$A:$CZ,16,Settings!$E$21)&amp;"","")</f>
        <v/>
      </c>
      <c r="C16">
        <f>IFERROR(INDEX('Shopify Import'!$A:$CZ,16,Settings!$E$22)&amp;"","")</f>
        <v/>
      </c>
      <c r="D16">
        <f>IF(A16="","",IFERROR(VALUE(SUBSTITUTE(SUBSTITUTE(INDEX('Shopify Import'!$A:$CZ,16,Settings!$E$23)&amp;"","$",""),",","")),0))</f>
        <v/>
      </c>
      <c r="E16" s="11">
        <f>IF(A16="","",IFERROR(VALUE(SUBSTITUTE(SUBSTITUTE(INDEX('Shopify Import'!$A:$CZ,16,Settings!$E$24)&amp;"","$",""),",","")),0))</f>
        <v/>
      </c>
      <c r="F16" s="11">
        <f>IF(A16="","",D16*E16)</f>
        <v/>
      </c>
      <c r="G16">
        <f>IF(A16="","",IF(C16="",1,COUNTIF($C$2:$C$1501,C16)))</f>
        <v/>
      </c>
      <c r="H16" s="11">
        <f>IF(A16="","",IFERROR(VALUE(SUBSTITUTE(SUBSTITUTE(INDEX('Shopify Import'!$A:$CZ,16,Settings!$E$25)&amp;"","$",""),",","")),0)/IF(Settings!$D$27="Yes",G16,1))</f>
        <v/>
      </c>
      <c r="I16" s="11">
        <f>IF(A16="","",IFERROR(VALUE(SUBSTITUTE(SUBSTITUTE(INDEX('Shopify Import'!$A:$CZ,16,Settings!$E$26)&amp;"","$",""),",","")),0)/IF(Settings!$D$27="Yes",G16,1))</f>
        <v/>
      </c>
      <c r="J16" s="11">
        <f>IF(A16="","",F16+H16-I16)</f>
        <v/>
      </c>
      <c r="K16">
        <f>IF(A16="","",IFERROR(IF(B16="",NA(),MATCH(B16,Products!$B$5:$B$204,0)),IFERROR(MATCH(A16,Products!$A$5:$A$204,0),"")))</f>
        <v/>
      </c>
      <c r="L16">
        <f>IF(A16="","",IF(K16="","⚠ not in Products",INDEX(Products!$A$5:$A$204,K16)))</f>
        <v/>
      </c>
      <c r="M16" s="11">
        <f>IF(A16="","",J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16+IFERROR(INDEX(Settings!$D$5:$D$9,MATCH("Shopify",Settings!$A$5:$A$9,0)),0)*D16)</f>
        <v/>
      </c>
      <c r="N16" s="11">
        <f>IF(A16="","",IF(K16="",0,D16*INDEX(Products!$I$5:$I$204,K16)))</f>
        <v/>
      </c>
      <c r="O16" s="11">
        <f>IF(A16="","",IF(K16="",0,J16*INDEX(Products!$H$5:$H$204,K16)))</f>
        <v/>
      </c>
      <c r="P16" s="11">
        <f>IF(A16="","",J16-M16-N16-O16)</f>
        <v/>
      </c>
    </row>
    <row r="17">
      <c r="A17">
        <f>IFERROR(INDEX('Shopify Import'!$A:$CZ,17,Settings!$E$20)&amp;"","")</f>
        <v/>
      </c>
      <c r="B17">
        <f>IFERROR(INDEX('Shopify Import'!$A:$CZ,17,Settings!$E$21)&amp;"","")</f>
        <v/>
      </c>
      <c r="C17">
        <f>IFERROR(INDEX('Shopify Import'!$A:$CZ,17,Settings!$E$22)&amp;"","")</f>
        <v/>
      </c>
      <c r="D17">
        <f>IF(A17="","",IFERROR(VALUE(SUBSTITUTE(SUBSTITUTE(INDEX('Shopify Import'!$A:$CZ,17,Settings!$E$23)&amp;"","$",""),",","")),0))</f>
        <v/>
      </c>
      <c r="E17" s="11">
        <f>IF(A17="","",IFERROR(VALUE(SUBSTITUTE(SUBSTITUTE(INDEX('Shopify Import'!$A:$CZ,17,Settings!$E$24)&amp;"","$",""),",","")),0))</f>
        <v/>
      </c>
      <c r="F17" s="11">
        <f>IF(A17="","",D17*E17)</f>
        <v/>
      </c>
      <c r="G17">
        <f>IF(A17="","",IF(C17="",1,COUNTIF($C$2:$C$1501,C17)))</f>
        <v/>
      </c>
      <c r="H17" s="11">
        <f>IF(A17="","",IFERROR(VALUE(SUBSTITUTE(SUBSTITUTE(INDEX('Shopify Import'!$A:$CZ,17,Settings!$E$25)&amp;"","$",""),",","")),0)/IF(Settings!$D$27="Yes",G17,1))</f>
        <v/>
      </c>
      <c r="I17" s="11">
        <f>IF(A17="","",IFERROR(VALUE(SUBSTITUTE(SUBSTITUTE(INDEX('Shopify Import'!$A:$CZ,17,Settings!$E$26)&amp;"","$",""),",","")),0)/IF(Settings!$D$27="Yes",G17,1))</f>
        <v/>
      </c>
      <c r="J17" s="11">
        <f>IF(A17="","",F17+H17-I17)</f>
        <v/>
      </c>
      <c r="K17">
        <f>IF(A17="","",IFERROR(IF(B17="",NA(),MATCH(B17,Products!$B$5:$B$204,0)),IFERROR(MATCH(A17,Products!$A$5:$A$204,0),"")))</f>
        <v/>
      </c>
      <c r="L17">
        <f>IF(A17="","",IF(K17="","⚠ not in Products",INDEX(Products!$A$5:$A$204,K17)))</f>
        <v/>
      </c>
      <c r="M17" s="11">
        <f>IF(A17="","",J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17+IFERROR(INDEX(Settings!$D$5:$D$9,MATCH("Shopify",Settings!$A$5:$A$9,0)),0)*D17)</f>
        <v/>
      </c>
      <c r="N17" s="11">
        <f>IF(A17="","",IF(K17="",0,D17*INDEX(Products!$I$5:$I$204,K17)))</f>
        <v/>
      </c>
      <c r="O17" s="11">
        <f>IF(A17="","",IF(K17="",0,J17*INDEX(Products!$H$5:$H$204,K17)))</f>
        <v/>
      </c>
      <c r="P17" s="11">
        <f>IF(A17="","",J17-M17-N17-O17)</f>
        <v/>
      </c>
    </row>
    <row r="18">
      <c r="A18">
        <f>IFERROR(INDEX('Shopify Import'!$A:$CZ,18,Settings!$E$20)&amp;"","")</f>
        <v/>
      </c>
      <c r="B18">
        <f>IFERROR(INDEX('Shopify Import'!$A:$CZ,18,Settings!$E$21)&amp;"","")</f>
        <v/>
      </c>
      <c r="C18">
        <f>IFERROR(INDEX('Shopify Import'!$A:$CZ,18,Settings!$E$22)&amp;"","")</f>
        <v/>
      </c>
      <c r="D18">
        <f>IF(A18="","",IFERROR(VALUE(SUBSTITUTE(SUBSTITUTE(INDEX('Shopify Import'!$A:$CZ,18,Settings!$E$23)&amp;"","$",""),",","")),0))</f>
        <v/>
      </c>
      <c r="E18" s="11">
        <f>IF(A18="","",IFERROR(VALUE(SUBSTITUTE(SUBSTITUTE(INDEX('Shopify Import'!$A:$CZ,18,Settings!$E$24)&amp;"","$",""),",","")),0))</f>
        <v/>
      </c>
      <c r="F18" s="11">
        <f>IF(A18="","",D18*E18)</f>
        <v/>
      </c>
      <c r="G18">
        <f>IF(A18="","",IF(C18="",1,COUNTIF($C$2:$C$1501,C18)))</f>
        <v/>
      </c>
      <c r="H18" s="11">
        <f>IF(A18="","",IFERROR(VALUE(SUBSTITUTE(SUBSTITUTE(INDEX('Shopify Import'!$A:$CZ,18,Settings!$E$25)&amp;"","$",""),",","")),0)/IF(Settings!$D$27="Yes",G18,1))</f>
        <v/>
      </c>
      <c r="I18" s="11">
        <f>IF(A18="","",IFERROR(VALUE(SUBSTITUTE(SUBSTITUTE(INDEX('Shopify Import'!$A:$CZ,18,Settings!$E$26)&amp;"","$",""),",","")),0)/IF(Settings!$D$27="Yes",G18,1))</f>
        <v/>
      </c>
      <c r="J18" s="11">
        <f>IF(A18="","",F18+H18-I18)</f>
        <v/>
      </c>
      <c r="K18">
        <f>IF(A18="","",IFERROR(IF(B18="",NA(),MATCH(B18,Products!$B$5:$B$204,0)),IFERROR(MATCH(A18,Products!$A$5:$A$204,0),"")))</f>
        <v/>
      </c>
      <c r="L18">
        <f>IF(A18="","",IF(K18="","⚠ not in Products",INDEX(Products!$A$5:$A$204,K18)))</f>
        <v/>
      </c>
      <c r="M18" s="11">
        <f>IF(A18="","",J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18+IFERROR(INDEX(Settings!$D$5:$D$9,MATCH("Shopify",Settings!$A$5:$A$9,0)),0)*D18)</f>
        <v/>
      </c>
      <c r="N18" s="11">
        <f>IF(A18="","",IF(K18="",0,D18*INDEX(Products!$I$5:$I$204,K18)))</f>
        <v/>
      </c>
      <c r="O18" s="11">
        <f>IF(A18="","",IF(K18="",0,J18*INDEX(Products!$H$5:$H$204,K18)))</f>
        <v/>
      </c>
      <c r="P18" s="11">
        <f>IF(A18="","",J18-M18-N18-O18)</f>
        <v/>
      </c>
    </row>
    <row r="19">
      <c r="A19">
        <f>IFERROR(INDEX('Shopify Import'!$A:$CZ,19,Settings!$E$20)&amp;"","")</f>
        <v/>
      </c>
      <c r="B19">
        <f>IFERROR(INDEX('Shopify Import'!$A:$CZ,19,Settings!$E$21)&amp;"","")</f>
        <v/>
      </c>
      <c r="C19">
        <f>IFERROR(INDEX('Shopify Import'!$A:$CZ,19,Settings!$E$22)&amp;"","")</f>
        <v/>
      </c>
      <c r="D19">
        <f>IF(A19="","",IFERROR(VALUE(SUBSTITUTE(SUBSTITUTE(INDEX('Shopify Import'!$A:$CZ,19,Settings!$E$23)&amp;"","$",""),",","")),0))</f>
        <v/>
      </c>
      <c r="E19" s="11">
        <f>IF(A19="","",IFERROR(VALUE(SUBSTITUTE(SUBSTITUTE(INDEX('Shopify Import'!$A:$CZ,19,Settings!$E$24)&amp;"","$",""),",","")),0))</f>
        <v/>
      </c>
      <c r="F19" s="11">
        <f>IF(A19="","",D19*E19)</f>
        <v/>
      </c>
      <c r="G19">
        <f>IF(A19="","",IF(C19="",1,COUNTIF($C$2:$C$1501,C19)))</f>
        <v/>
      </c>
      <c r="H19" s="11">
        <f>IF(A19="","",IFERROR(VALUE(SUBSTITUTE(SUBSTITUTE(INDEX('Shopify Import'!$A:$CZ,19,Settings!$E$25)&amp;"","$",""),",","")),0)/IF(Settings!$D$27="Yes",G19,1))</f>
        <v/>
      </c>
      <c r="I19" s="11">
        <f>IF(A19="","",IFERROR(VALUE(SUBSTITUTE(SUBSTITUTE(INDEX('Shopify Import'!$A:$CZ,19,Settings!$E$26)&amp;"","$",""),",","")),0)/IF(Settings!$D$27="Yes",G19,1))</f>
        <v/>
      </c>
      <c r="J19" s="11">
        <f>IF(A19="","",F19+H19-I19)</f>
        <v/>
      </c>
      <c r="K19">
        <f>IF(A19="","",IFERROR(IF(B19="",NA(),MATCH(B19,Products!$B$5:$B$204,0)),IFERROR(MATCH(A19,Products!$A$5:$A$204,0),"")))</f>
        <v/>
      </c>
      <c r="L19">
        <f>IF(A19="","",IF(K19="","⚠ not in Products",INDEX(Products!$A$5:$A$204,K19)))</f>
        <v/>
      </c>
      <c r="M19" s="11">
        <f>IF(A19="","",J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19+IFERROR(INDEX(Settings!$D$5:$D$9,MATCH("Shopify",Settings!$A$5:$A$9,0)),0)*D19)</f>
        <v/>
      </c>
      <c r="N19" s="11">
        <f>IF(A19="","",IF(K19="",0,D19*INDEX(Products!$I$5:$I$204,K19)))</f>
        <v/>
      </c>
      <c r="O19" s="11">
        <f>IF(A19="","",IF(K19="",0,J19*INDEX(Products!$H$5:$H$204,K19)))</f>
        <v/>
      </c>
      <c r="P19" s="11">
        <f>IF(A19="","",J19-M19-N19-O19)</f>
        <v/>
      </c>
    </row>
    <row r="20">
      <c r="A20">
        <f>IFERROR(INDEX('Shopify Import'!$A:$CZ,20,Settings!$E$20)&amp;"","")</f>
        <v/>
      </c>
      <c r="B20">
        <f>IFERROR(INDEX('Shopify Import'!$A:$CZ,20,Settings!$E$21)&amp;"","")</f>
        <v/>
      </c>
      <c r="C20">
        <f>IFERROR(INDEX('Shopify Import'!$A:$CZ,20,Settings!$E$22)&amp;"","")</f>
        <v/>
      </c>
      <c r="D20">
        <f>IF(A20="","",IFERROR(VALUE(SUBSTITUTE(SUBSTITUTE(INDEX('Shopify Import'!$A:$CZ,20,Settings!$E$23)&amp;"","$",""),",","")),0))</f>
        <v/>
      </c>
      <c r="E20" s="11">
        <f>IF(A20="","",IFERROR(VALUE(SUBSTITUTE(SUBSTITUTE(INDEX('Shopify Import'!$A:$CZ,20,Settings!$E$24)&amp;"","$",""),",","")),0))</f>
        <v/>
      </c>
      <c r="F20" s="11">
        <f>IF(A20="","",D20*E20)</f>
        <v/>
      </c>
      <c r="G20">
        <f>IF(A20="","",IF(C20="",1,COUNTIF($C$2:$C$1501,C20)))</f>
        <v/>
      </c>
      <c r="H20" s="11">
        <f>IF(A20="","",IFERROR(VALUE(SUBSTITUTE(SUBSTITUTE(INDEX('Shopify Import'!$A:$CZ,20,Settings!$E$25)&amp;"","$",""),",","")),0)/IF(Settings!$D$27="Yes",G20,1))</f>
        <v/>
      </c>
      <c r="I20" s="11">
        <f>IF(A20="","",IFERROR(VALUE(SUBSTITUTE(SUBSTITUTE(INDEX('Shopify Import'!$A:$CZ,20,Settings!$E$26)&amp;"","$",""),",","")),0)/IF(Settings!$D$27="Yes",G20,1))</f>
        <v/>
      </c>
      <c r="J20" s="11">
        <f>IF(A20="","",F20+H20-I20)</f>
        <v/>
      </c>
      <c r="K20">
        <f>IF(A20="","",IFERROR(IF(B20="",NA(),MATCH(B20,Products!$B$5:$B$204,0)),IFERROR(MATCH(A20,Products!$A$5:$A$204,0),"")))</f>
        <v/>
      </c>
      <c r="L20">
        <f>IF(A20="","",IF(K20="","⚠ not in Products",INDEX(Products!$A$5:$A$204,K20)))</f>
        <v/>
      </c>
      <c r="M20" s="11">
        <f>IF(A20="","",J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20+IFERROR(INDEX(Settings!$D$5:$D$9,MATCH("Shopify",Settings!$A$5:$A$9,0)),0)*D20)</f>
        <v/>
      </c>
      <c r="N20" s="11">
        <f>IF(A20="","",IF(K20="",0,D20*INDEX(Products!$I$5:$I$204,K20)))</f>
        <v/>
      </c>
      <c r="O20" s="11">
        <f>IF(A20="","",IF(K20="",0,J20*INDEX(Products!$H$5:$H$204,K20)))</f>
        <v/>
      </c>
      <c r="P20" s="11">
        <f>IF(A20="","",J20-M20-N20-O20)</f>
        <v/>
      </c>
    </row>
    <row r="21">
      <c r="A21">
        <f>IFERROR(INDEX('Shopify Import'!$A:$CZ,21,Settings!$E$20)&amp;"","")</f>
        <v/>
      </c>
      <c r="B21">
        <f>IFERROR(INDEX('Shopify Import'!$A:$CZ,21,Settings!$E$21)&amp;"","")</f>
        <v/>
      </c>
      <c r="C21">
        <f>IFERROR(INDEX('Shopify Import'!$A:$CZ,21,Settings!$E$22)&amp;"","")</f>
        <v/>
      </c>
      <c r="D21">
        <f>IF(A21="","",IFERROR(VALUE(SUBSTITUTE(SUBSTITUTE(INDEX('Shopify Import'!$A:$CZ,21,Settings!$E$23)&amp;"","$",""),",","")),0))</f>
        <v/>
      </c>
      <c r="E21" s="11">
        <f>IF(A21="","",IFERROR(VALUE(SUBSTITUTE(SUBSTITUTE(INDEX('Shopify Import'!$A:$CZ,21,Settings!$E$24)&amp;"","$",""),",","")),0))</f>
        <v/>
      </c>
      <c r="F21" s="11">
        <f>IF(A21="","",D21*E21)</f>
        <v/>
      </c>
      <c r="G21">
        <f>IF(A21="","",IF(C21="",1,COUNTIF($C$2:$C$1501,C21)))</f>
        <v/>
      </c>
      <c r="H21" s="11">
        <f>IF(A21="","",IFERROR(VALUE(SUBSTITUTE(SUBSTITUTE(INDEX('Shopify Import'!$A:$CZ,21,Settings!$E$25)&amp;"","$",""),",","")),0)/IF(Settings!$D$27="Yes",G21,1))</f>
        <v/>
      </c>
      <c r="I21" s="11">
        <f>IF(A21="","",IFERROR(VALUE(SUBSTITUTE(SUBSTITUTE(INDEX('Shopify Import'!$A:$CZ,21,Settings!$E$26)&amp;"","$",""),",","")),0)/IF(Settings!$D$27="Yes",G21,1))</f>
        <v/>
      </c>
      <c r="J21" s="11">
        <f>IF(A21="","",F21+H21-I21)</f>
        <v/>
      </c>
      <c r="K21">
        <f>IF(A21="","",IFERROR(IF(B21="",NA(),MATCH(B21,Products!$B$5:$B$204,0)),IFERROR(MATCH(A21,Products!$A$5:$A$204,0),"")))</f>
        <v/>
      </c>
      <c r="L21">
        <f>IF(A21="","",IF(K21="","⚠ not in Products",INDEX(Products!$A$5:$A$204,K21)))</f>
        <v/>
      </c>
      <c r="M21" s="11">
        <f>IF(A21="","",J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21+IFERROR(INDEX(Settings!$D$5:$D$9,MATCH("Shopify",Settings!$A$5:$A$9,0)),0)*D21)</f>
        <v/>
      </c>
      <c r="N21" s="11">
        <f>IF(A21="","",IF(K21="",0,D21*INDEX(Products!$I$5:$I$204,K21)))</f>
        <v/>
      </c>
      <c r="O21" s="11">
        <f>IF(A21="","",IF(K21="",0,J21*INDEX(Products!$H$5:$H$204,K21)))</f>
        <v/>
      </c>
      <c r="P21" s="11">
        <f>IF(A21="","",J21-M21-N21-O21)</f>
        <v/>
      </c>
    </row>
    <row r="22">
      <c r="A22">
        <f>IFERROR(INDEX('Shopify Import'!$A:$CZ,22,Settings!$E$20)&amp;"","")</f>
        <v/>
      </c>
      <c r="B22">
        <f>IFERROR(INDEX('Shopify Import'!$A:$CZ,22,Settings!$E$21)&amp;"","")</f>
        <v/>
      </c>
      <c r="C22">
        <f>IFERROR(INDEX('Shopify Import'!$A:$CZ,22,Settings!$E$22)&amp;"","")</f>
        <v/>
      </c>
      <c r="D22">
        <f>IF(A22="","",IFERROR(VALUE(SUBSTITUTE(SUBSTITUTE(INDEX('Shopify Import'!$A:$CZ,22,Settings!$E$23)&amp;"","$",""),",","")),0))</f>
        <v/>
      </c>
      <c r="E22" s="11">
        <f>IF(A22="","",IFERROR(VALUE(SUBSTITUTE(SUBSTITUTE(INDEX('Shopify Import'!$A:$CZ,22,Settings!$E$24)&amp;"","$",""),",","")),0))</f>
        <v/>
      </c>
      <c r="F22" s="11">
        <f>IF(A22="","",D22*E22)</f>
        <v/>
      </c>
      <c r="G22">
        <f>IF(A22="","",IF(C22="",1,COUNTIF($C$2:$C$1501,C22)))</f>
        <v/>
      </c>
      <c r="H22" s="11">
        <f>IF(A22="","",IFERROR(VALUE(SUBSTITUTE(SUBSTITUTE(INDEX('Shopify Import'!$A:$CZ,22,Settings!$E$25)&amp;"","$",""),",","")),0)/IF(Settings!$D$27="Yes",G22,1))</f>
        <v/>
      </c>
      <c r="I22" s="11">
        <f>IF(A22="","",IFERROR(VALUE(SUBSTITUTE(SUBSTITUTE(INDEX('Shopify Import'!$A:$CZ,22,Settings!$E$26)&amp;"","$",""),",","")),0)/IF(Settings!$D$27="Yes",G22,1))</f>
        <v/>
      </c>
      <c r="J22" s="11">
        <f>IF(A22="","",F22+H22-I22)</f>
        <v/>
      </c>
      <c r="K22">
        <f>IF(A22="","",IFERROR(IF(B22="",NA(),MATCH(B22,Products!$B$5:$B$204,0)),IFERROR(MATCH(A22,Products!$A$5:$A$204,0),"")))</f>
        <v/>
      </c>
      <c r="L22">
        <f>IF(A22="","",IF(K22="","⚠ not in Products",INDEX(Products!$A$5:$A$204,K22)))</f>
        <v/>
      </c>
      <c r="M22" s="11">
        <f>IF(A22="","",J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22+IFERROR(INDEX(Settings!$D$5:$D$9,MATCH("Shopify",Settings!$A$5:$A$9,0)),0)*D22)</f>
        <v/>
      </c>
      <c r="N22" s="11">
        <f>IF(A22="","",IF(K22="",0,D22*INDEX(Products!$I$5:$I$204,K22)))</f>
        <v/>
      </c>
      <c r="O22" s="11">
        <f>IF(A22="","",IF(K22="",0,J22*INDEX(Products!$H$5:$H$204,K22)))</f>
        <v/>
      </c>
      <c r="P22" s="11">
        <f>IF(A22="","",J22-M22-N22-O22)</f>
        <v/>
      </c>
    </row>
    <row r="23">
      <c r="A23">
        <f>IFERROR(INDEX('Shopify Import'!$A:$CZ,23,Settings!$E$20)&amp;"","")</f>
        <v/>
      </c>
      <c r="B23">
        <f>IFERROR(INDEX('Shopify Import'!$A:$CZ,23,Settings!$E$21)&amp;"","")</f>
        <v/>
      </c>
      <c r="C23">
        <f>IFERROR(INDEX('Shopify Import'!$A:$CZ,23,Settings!$E$22)&amp;"","")</f>
        <v/>
      </c>
      <c r="D23">
        <f>IF(A23="","",IFERROR(VALUE(SUBSTITUTE(SUBSTITUTE(INDEX('Shopify Import'!$A:$CZ,23,Settings!$E$23)&amp;"","$",""),",","")),0))</f>
        <v/>
      </c>
      <c r="E23" s="11">
        <f>IF(A23="","",IFERROR(VALUE(SUBSTITUTE(SUBSTITUTE(INDEX('Shopify Import'!$A:$CZ,23,Settings!$E$24)&amp;"","$",""),",","")),0))</f>
        <v/>
      </c>
      <c r="F23" s="11">
        <f>IF(A23="","",D23*E23)</f>
        <v/>
      </c>
      <c r="G23">
        <f>IF(A23="","",IF(C23="",1,COUNTIF($C$2:$C$1501,C23)))</f>
        <v/>
      </c>
      <c r="H23" s="11">
        <f>IF(A23="","",IFERROR(VALUE(SUBSTITUTE(SUBSTITUTE(INDEX('Shopify Import'!$A:$CZ,23,Settings!$E$25)&amp;"","$",""),",","")),0)/IF(Settings!$D$27="Yes",G23,1))</f>
        <v/>
      </c>
      <c r="I23" s="11">
        <f>IF(A23="","",IFERROR(VALUE(SUBSTITUTE(SUBSTITUTE(INDEX('Shopify Import'!$A:$CZ,23,Settings!$E$26)&amp;"","$",""),",","")),0)/IF(Settings!$D$27="Yes",G23,1))</f>
        <v/>
      </c>
      <c r="J23" s="11">
        <f>IF(A23="","",F23+H23-I23)</f>
        <v/>
      </c>
      <c r="K23">
        <f>IF(A23="","",IFERROR(IF(B23="",NA(),MATCH(B23,Products!$B$5:$B$204,0)),IFERROR(MATCH(A23,Products!$A$5:$A$204,0),"")))</f>
        <v/>
      </c>
      <c r="L23">
        <f>IF(A23="","",IF(K23="","⚠ not in Products",INDEX(Products!$A$5:$A$204,K23)))</f>
        <v/>
      </c>
      <c r="M23" s="11">
        <f>IF(A23="","",J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23+IFERROR(INDEX(Settings!$D$5:$D$9,MATCH("Shopify",Settings!$A$5:$A$9,0)),0)*D23)</f>
        <v/>
      </c>
      <c r="N23" s="11">
        <f>IF(A23="","",IF(K23="",0,D23*INDEX(Products!$I$5:$I$204,K23)))</f>
        <v/>
      </c>
      <c r="O23" s="11">
        <f>IF(A23="","",IF(K23="",0,J23*INDEX(Products!$H$5:$H$204,K23)))</f>
        <v/>
      </c>
      <c r="P23" s="11">
        <f>IF(A23="","",J23-M23-N23-O23)</f>
        <v/>
      </c>
    </row>
    <row r="24">
      <c r="A24">
        <f>IFERROR(INDEX('Shopify Import'!$A:$CZ,24,Settings!$E$20)&amp;"","")</f>
        <v/>
      </c>
      <c r="B24">
        <f>IFERROR(INDEX('Shopify Import'!$A:$CZ,24,Settings!$E$21)&amp;"","")</f>
        <v/>
      </c>
      <c r="C24">
        <f>IFERROR(INDEX('Shopify Import'!$A:$CZ,24,Settings!$E$22)&amp;"","")</f>
        <v/>
      </c>
      <c r="D24">
        <f>IF(A24="","",IFERROR(VALUE(SUBSTITUTE(SUBSTITUTE(INDEX('Shopify Import'!$A:$CZ,24,Settings!$E$23)&amp;"","$",""),",","")),0))</f>
        <v/>
      </c>
      <c r="E24" s="11">
        <f>IF(A24="","",IFERROR(VALUE(SUBSTITUTE(SUBSTITUTE(INDEX('Shopify Import'!$A:$CZ,24,Settings!$E$24)&amp;"","$",""),",","")),0))</f>
        <v/>
      </c>
      <c r="F24" s="11">
        <f>IF(A24="","",D24*E24)</f>
        <v/>
      </c>
      <c r="G24">
        <f>IF(A24="","",IF(C24="",1,COUNTIF($C$2:$C$1501,C24)))</f>
        <v/>
      </c>
      <c r="H24" s="11">
        <f>IF(A24="","",IFERROR(VALUE(SUBSTITUTE(SUBSTITUTE(INDEX('Shopify Import'!$A:$CZ,24,Settings!$E$25)&amp;"","$",""),",","")),0)/IF(Settings!$D$27="Yes",G24,1))</f>
        <v/>
      </c>
      <c r="I24" s="11">
        <f>IF(A24="","",IFERROR(VALUE(SUBSTITUTE(SUBSTITUTE(INDEX('Shopify Import'!$A:$CZ,24,Settings!$E$26)&amp;"","$",""),",","")),0)/IF(Settings!$D$27="Yes",G24,1))</f>
        <v/>
      </c>
      <c r="J24" s="11">
        <f>IF(A24="","",F24+H24-I24)</f>
        <v/>
      </c>
      <c r="K24">
        <f>IF(A24="","",IFERROR(IF(B24="",NA(),MATCH(B24,Products!$B$5:$B$204,0)),IFERROR(MATCH(A24,Products!$A$5:$A$204,0),"")))</f>
        <v/>
      </c>
      <c r="L24">
        <f>IF(A24="","",IF(K24="","⚠ not in Products",INDEX(Products!$A$5:$A$204,K24)))</f>
        <v/>
      </c>
      <c r="M24" s="11">
        <f>IF(A24="","",J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24+IFERROR(INDEX(Settings!$D$5:$D$9,MATCH("Shopify",Settings!$A$5:$A$9,0)),0)*D24)</f>
        <v/>
      </c>
      <c r="N24" s="11">
        <f>IF(A24="","",IF(K24="",0,D24*INDEX(Products!$I$5:$I$204,K24)))</f>
        <v/>
      </c>
      <c r="O24" s="11">
        <f>IF(A24="","",IF(K24="",0,J24*INDEX(Products!$H$5:$H$204,K24)))</f>
        <v/>
      </c>
      <c r="P24" s="11">
        <f>IF(A24="","",J24-M24-N24-O24)</f>
        <v/>
      </c>
    </row>
    <row r="25">
      <c r="A25">
        <f>IFERROR(INDEX('Shopify Import'!$A:$CZ,25,Settings!$E$20)&amp;"","")</f>
        <v/>
      </c>
      <c r="B25">
        <f>IFERROR(INDEX('Shopify Import'!$A:$CZ,25,Settings!$E$21)&amp;"","")</f>
        <v/>
      </c>
      <c r="C25">
        <f>IFERROR(INDEX('Shopify Import'!$A:$CZ,25,Settings!$E$22)&amp;"","")</f>
        <v/>
      </c>
      <c r="D25">
        <f>IF(A25="","",IFERROR(VALUE(SUBSTITUTE(SUBSTITUTE(INDEX('Shopify Import'!$A:$CZ,25,Settings!$E$23)&amp;"","$",""),",","")),0))</f>
        <v/>
      </c>
      <c r="E25" s="11">
        <f>IF(A25="","",IFERROR(VALUE(SUBSTITUTE(SUBSTITUTE(INDEX('Shopify Import'!$A:$CZ,25,Settings!$E$24)&amp;"","$",""),",","")),0))</f>
        <v/>
      </c>
      <c r="F25" s="11">
        <f>IF(A25="","",D25*E25)</f>
        <v/>
      </c>
      <c r="G25">
        <f>IF(A25="","",IF(C25="",1,COUNTIF($C$2:$C$1501,C25)))</f>
        <v/>
      </c>
      <c r="H25" s="11">
        <f>IF(A25="","",IFERROR(VALUE(SUBSTITUTE(SUBSTITUTE(INDEX('Shopify Import'!$A:$CZ,25,Settings!$E$25)&amp;"","$",""),",","")),0)/IF(Settings!$D$27="Yes",G25,1))</f>
        <v/>
      </c>
      <c r="I25" s="11">
        <f>IF(A25="","",IFERROR(VALUE(SUBSTITUTE(SUBSTITUTE(INDEX('Shopify Import'!$A:$CZ,25,Settings!$E$26)&amp;"","$",""),",","")),0)/IF(Settings!$D$27="Yes",G25,1))</f>
        <v/>
      </c>
      <c r="J25" s="11">
        <f>IF(A25="","",F25+H25-I25)</f>
        <v/>
      </c>
      <c r="K25">
        <f>IF(A25="","",IFERROR(IF(B25="",NA(),MATCH(B25,Products!$B$5:$B$204,0)),IFERROR(MATCH(A25,Products!$A$5:$A$204,0),"")))</f>
        <v/>
      </c>
      <c r="L25">
        <f>IF(A25="","",IF(K25="","⚠ not in Products",INDEX(Products!$A$5:$A$204,K25)))</f>
        <v/>
      </c>
      <c r="M25" s="11">
        <f>IF(A25="","",J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25+IFERROR(INDEX(Settings!$D$5:$D$9,MATCH("Shopify",Settings!$A$5:$A$9,0)),0)*D25)</f>
        <v/>
      </c>
      <c r="N25" s="11">
        <f>IF(A25="","",IF(K25="",0,D25*INDEX(Products!$I$5:$I$204,K25)))</f>
        <v/>
      </c>
      <c r="O25" s="11">
        <f>IF(A25="","",IF(K25="",0,J25*INDEX(Products!$H$5:$H$204,K25)))</f>
        <v/>
      </c>
      <c r="P25" s="11">
        <f>IF(A25="","",J25-M25-N25-O25)</f>
        <v/>
      </c>
    </row>
    <row r="26">
      <c r="A26">
        <f>IFERROR(INDEX('Shopify Import'!$A:$CZ,26,Settings!$E$20)&amp;"","")</f>
        <v/>
      </c>
      <c r="B26">
        <f>IFERROR(INDEX('Shopify Import'!$A:$CZ,26,Settings!$E$21)&amp;"","")</f>
        <v/>
      </c>
      <c r="C26">
        <f>IFERROR(INDEX('Shopify Import'!$A:$CZ,26,Settings!$E$22)&amp;"","")</f>
        <v/>
      </c>
      <c r="D26">
        <f>IF(A26="","",IFERROR(VALUE(SUBSTITUTE(SUBSTITUTE(INDEX('Shopify Import'!$A:$CZ,26,Settings!$E$23)&amp;"","$",""),",","")),0))</f>
        <v/>
      </c>
      <c r="E26" s="11">
        <f>IF(A26="","",IFERROR(VALUE(SUBSTITUTE(SUBSTITUTE(INDEX('Shopify Import'!$A:$CZ,26,Settings!$E$24)&amp;"","$",""),",","")),0))</f>
        <v/>
      </c>
      <c r="F26" s="11">
        <f>IF(A26="","",D26*E26)</f>
        <v/>
      </c>
      <c r="G26">
        <f>IF(A26="","",IF(C26="",1,COUNTIF($C$2:$C$1501,C26)))</f>
        <v/>
      </c>
      <c r="H26" s="11">
        <f>IF(A26="","",IFERROR(VALUE(SUBSTITUTE(SUBSTITUTE(INDEX('Shopify Import'!$A:$CZ,26,Settings!$E$25)&amp;"","$",""),",","")),0)/IF(Settings!$D$27="Yes",G26,1))</f>
        <v/>
      </c>
      <c r="I26" s="11">
        <f>IF(A26="","",IFERROR(VALUE(SUBSTITUTE(SUBSTITUTE(INDEX('Shopify Import'!$A:$CZ,26,Settings!$E$26)&amp;"","$",""),",","")),0)/IF(Settings!$D$27="Yes",G26,1))</f>
        <v/>
      </c>
      <c r="J26" s="11">
        <f>IF(A26="","",F26+H26-I26)</f>
        <v/>
      </c>
      <c r="K26">
        <f>IF(A26="","",IFERROR(IF(B26="",NA(),MATCH(B26,Products!$B$5:$B$204,0)),IFERROR(MATCH(A26,Products!$A$5:$A$204,0),"")))</f>
        <v/>
      </c>
      <c r="L26">
        <f>IF(A26="","",IF(K26="","⚠ not in Products",INDEX(Products!$A$5:$A$204,K26)))</f>
        <v/>
      </c>
      <c r="M26" s="11">
        <f>IF(A26="","",J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26+IFERROR(INDEX(Settings!$D$5:$D$9,MATCH("Shopify",Settings!$A$5:$A$9,0)),0)*D26)</f>
        <v/>
      </c>
      <c r="N26" s="11">
        <f>IF(A26="","",IF(K26="",0,D26*INDEX(Products!$I$5:$I$204,K26)))</f>
        <v/>
      </c>
      <c r="O26" s="11">
        <f>IF(A26="","",IF(K26="",0,J26*INDEX(Products!$H$5:$H$204,K26)))</f>
        <v/>
      </c>
      <c r="P26" s="11">
        <f>IF(A26="","",J26-M26-N26-O26)</f>
        <v/>
      </c>
    </row>
    <row r="27">
      <c r="A27">
        <f>IFERROR(INDEX('Shopify Import'!$A:$CZ,27,Settings!$E$20)&amp;"","")</f>
        <v/>
      </c>
      <c r="B27">
        <f>IFERROR(INDEX('Shopify Import'!$A:$CZ,27,Settings!$E$21)&amp;"","")</f>
        <v/>
      </c>
      <c r="C27">
        <f>IFERROR(INDEX('Shopify Import'!$A:$CZ,27,Settings!$E$22)&amp;"","")</f>
        <v/>
      </c>
      <c r="D27">
        <f>IF(A27="","",IFERROR(VALUE(SUBSTITUTE(SUBSTITUTE(INDEX('Shopify Import'!$A:$CZ,27,Settings!$E$23)&amp;"","$",""),",","")),0))</f>
        <v/>
      </c>
      <c r="E27" s="11">
        <f>IF(A27="","",IFERROR(VALUE(SUBSTITUTE(SUBSTITUTE(INDEX('Shopify Import'!$A:$CZ,27,Settings!$E$24)&amp;"","$",""),",","")),0))</f>
        <v/>
      </c>
      <c r="F27" s="11">
        <f>IF(A27="","",D27*E27)</f>
        <v/>
      </c>
      <c r="G27">
        <f>IF(A27="","",IF(C27="",1,COUNTIF($C$2:$C$1501,C27)))</f>
        <v/>
      </c>
      <c r="H27" s="11">
        <f>IF(A27="","",IFERROR(VALUE(SUBSTITUTE(SUBSTITUTE(INDEX('Shopify Import'!$A:$CZ,27,Settings!$E$25)&amp;"","$",""),",","")),0)/IF(Settings!$D$27="Yes",G27,1))</f>
        <v/>
      </c>
      <c r="I27" s="11">
        <f>IF(A27="","",IFERROR(VALUE(SUBSTITUTE(SUBSTITUTE(INDEX('Shopify Import'!$A:$CZ,27,Settings!$E$26)&amp;"","$",""),",","")),0)/IF(Settings!$D$27="Yes",G27,1))</f>
        <v/>
      </c>
      <c r="J27" s="11">
        <f>IF(A27="","",F27+H27-I27)</f>
        <v/>
      </c>
      <c r="K27">
        <f>IF(A27="","",IFERROR(IF(B27="",NA(),MATCH(B27,Products!$B$5:$B$204,0)),IFERROR(MATCH(A27,Products!$A$5:$A$204,0),"")))</f>
        <v/>
      </c>
      <c r="L27">
        <f>IF(A27="","",IF(K27="","⚠ not in Products",INDEX(Products!$A$5:$A$204,K27)))</f>
        <v/>
      </c>
      <c r="M27" s="11">
        <f>IF(A27="","",J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27+IFERROR(INDEX(Settings!$D$5:$D$9,MATCH("Shopify",Settings!$A$5:$A$9,0)),0)*D27)</f>
        <v/>
      </c>
      <c r="N27" s="11">
        <f>IF(A27="","",IF(K27="",0,D27*INDEX(Products!$I$5:$I$204,K27)))</f>
        <v/>
      </c>
      <c r="O27" s="11">
        <f>IF(A27="","",IF(K27="",0,J27*INDEX(Products!$H$5:$H$204,K27)))</f>
        <v/>
      </c>
      <c r="P27" s="11">
        <f>IF(A27="","",J27-M27-N27-O27)</f>
        <v/>
      </c>
    </row>
    <row r="28">
      <c r="A28">
        <f>IFERROR(INDEX('Shopify Import'!$A:$CZ,28,Settings!$E$20)&amp;"","")</f>
        <v/>
      </c>
      <c r="B28">
        <f>IFERROR(INDEX('Shopify Import'!$A:$CZ,28,Settings!$E$21)&amp;"","")</f>
        <v/>
      </c>
      <c r="C28">
        <f>IFERROR(INDEX('Shopify Import'!$A:$CZ,28,Settings!$E$22)&amp;"","")</f>
        <v/>
      </c>
      <c r="D28">
        <f>IF(A28="","",IFERROR(VALUE(SUBSTITUTE(SUBSTITUTE(INDEX('Shopify Import'!$A:$CZ,28,Settings!$E$23)&amp;"","$",""),",","")),0))</f>
        <v/>
      </c>
      <c r="E28" s="11">
        <f>IF(A28="","",IFERROR(VALUE(SUBSTITUTE(SUBSTITUTE(INDEX('Shopify Import'!$A:$CZ,28,Settings!$E$24)&amp;"","$",""),",","")),0))</f>
        <v/>
      </c>
      <c r="F28" s="11">
        <f>IF(A28="","",D28*E28)</f>
        <v/>
      </c>
      <c r="G28">
        <f>IF(A28="","",IF(C28="",1,COUNTIF($C$2:$C$1501,C28)))</f>
        <v/>
      </c>
      <c r="H28" s="11">
        <f>IF(A28="","",IFERROR(VALUE(SUBSTITUTE(SUBSTITUTE(INDEX('Shopify Import'!$A:$CZ,28,Settings!$E$25)&amp;"","$",""),",","")),0)/IF(Settings!$D$27="Yes",G28,1))</f>
        <v/>
      </c>
      <c r="I28" s="11">
        <f>IF(A28="","",IFERROR(VALUE(SUBSTITUTE(SUBSTITUTE(INDEX('Shopify Import'!$A:$CZ,28,Settings!$E$26)&amp;"","$",""),",","")),0)/IF(Settings!$D$27="Yes",G28,1))</f>
        <v/>
      </c>
      <c r="J28" s="11">
        <f>IF(A28="","",F28+H28-I28)</f>
        <v/>
      </c>
      <c r="K28">
        <f>IF(A28="","",IFERROR(IF(B28="",NA(),MATCH(B28,Products!$B$5:$B$204,0)),IFERROR(MATCH(A28,Products!$A$5:$A$204,0),"")))</f>
        <v/>
      </c>
      <c r="L28">
        <f>IF(A28="","",IF(K28="","⚠ not in Products",INDEX(Products!$A$5:$A$204,K28)))</f>
        <v/>
      </c>
      <c r="M28" s="11">
        <f>IF(A28="","",J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28+IFERROR(INDEX(Settings!$D$5:$D$9,MATCH("Shopify",Settings!$A$5:$A$9,0)),0)*D28)</f>
        <v/>
      </c>
      <c r="N28" s="11">
        <f>IF(A28="","",IF(K28="",0,D28*INDEX(Products!$I$5:$I$204,K28)))</f>
        <v/>
      </c>
      <c r="O28" s="11">
        <f>IF(A28="","",IF(K28="",0,J28*INDEX(Products!$H$5:$H$204,K28)))</f>
        <v/>
      </c>
      <c r="P28" s="11">
        <f>IF(A28="","",J28-M28-N28-O28)</f>
        <v/>
      </c>
    </row>
    <row r="29">
      <c r="A29">
        <f>IFERROR(INDEX('Shopify Import'!$A:$CZ,29,Settings!$E$20)&amp;"","")</f>
        <v/>
      </c>
      <c r="B29">
        <f>IFERROR(INDEX('Shopify Import'!$A:$CZ,29,Settings!$E$21)&amp;"","")</f>
        <v/>
      </c>
      <c r="C29">
        <f>IFERROR(INDEX('Shopify Import'!$A:$CZ,29,Settings!$E$22)&amp;"","")</f>
        <v/>
      </c>
      <c r="D29">
        <f>IF(A29="","",IFERROR(VALUE(SUBSTITUTE(SUBSTITUTE(INDEX('Shopify Import'!$A:$CZ,29,Settings!$E$23)&amp;"","$",""),",","")),0))</f>
        <v/>
      </c>
      <c r="E29" s="11">
        <f>IF(A29="","",IFERROR(VALUE(SUBSTITUTE(SUBSTITUTE(INDEX('Shopify Import'!$A:$CZ,29,Settings!$E$24)&amp;"","$",""),",","")),0))</f>
        <v/>
      </c>
      <c r="F29" s="11">
        <f>IF(A29="","",D29*E29)</f>
        <v/>
      </c>
      <c r="G29">
        <f>IF(A29="","",IF(C29="",1,COUNTIF($C$2:$C$1501,C29)))</f>
        <v/>
      </c>
      <c r="H29" s="11">
        <f>IF(A29="","",IFERROR(VALUE(SUBSTITUTE(SUBSTITUTE(INDEX('Shopify Import'!$A:$CZ,29,Settings!$E$25)&amp;"","$",""),",","")),0)/IF(Settings!$D$27="Yes",G29,1))</f>
        <v/>
      </c>
      <c r="I29" s="11">
        <f>IF(A29="","",IFERROR(VALUE(SUBSTITUTE(SUBSTITUTE(INDEX('Shopify Import'!$A:$CZ,29,Settings!$E$26)&amp;"","$",""),",","")),0)/IF(Settings!$D$27="Yes",G29,1))</f>
        <v/>
      </c>
      <c r="J29" s="11">
        <f>IF(A29="","",F29+H29-I29)</f>
        <v/>
      </c>
      <c r="K29">
        <f>IF(A29="","",IFERROR(IF(B29="",NA(),MATCH(B29,Products!$B$5:$B$204,0)),IFERROR(MATCH(A29,Products!$A$5:$A$204,0),"")))</f>
        <v/>
      </c>
      <c r="L29">
        <f>IF(A29="","",IF(K29="","⚠ not in Products",INDEX(Products!$A$5:$A$204,K29)))</f>
        <v/>
      </c>
      <c r="M29" s="11">
        <f>IF(A29="","",J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29+IFERROR(INDEX(Settings!$D$5:$D$9,MATCH("Shopify",Settings!$A$5:$A$9,0)),0)*D29)</f>
        <v/>
      </c>
      <c r="N29" s="11">
        <f>IF(A29="","",IF(K29="",0,D29*INDEX(Products!$I$5:$I$204,K29)))</f>
        <v/>
      </c>
      <c r="O29" s="11">
        <f>IF(A29="","",IF(K29="",0,J29*INDEX(Products!$H$5:$H$204,K29)))</f>
        <v/>
      </c>
      <c r="P29" s="11">
        <f>IF(A29="","",J29-M29-N29-O29)</f>
        <v/>
      </c>
    </row>
    <row r="30">
      <c r="A30">
        <f>IFERROR(INDEX('Shopify Import'!$A:$CZ,30,Settings!$E$20)&amp;"","")</f>
        <v/>
      </c>
      <c r="B30">
        <f>IFERROR(INDEX('Shopify Import'!$A:$CZ,30,Settings!$E$21)&amp;"","")</f>
        <v/>
      </c>
      <c r="C30">
        <f>IFERROR(INDEX('Shopify Import'!$A:$CZ,30,Settings!$E$22)&amp;"","")</f>
        <v/>
      </c>
      <c r="D30">
        <f>IF(A30="","",IFERROR(VALUE(SUBSTITUTE(SUBSTITUTE(INDEX('Shopify Import'!$A:$CZ,30,Settings!$E$23)&amp;"","$",""),",","")),0))</f>
        <v/>
      </c>
      <c r="E30" s="11">
        <f>IF(A30="","",IFERROR(VALUE(SUBSTITUTE(SUBSTITUTE(INDEX('Shopify Import'!$A:$CZ,30,Settings!$E$24)&amp;"","$",""),",","")),0))</f>
        <v/>
      </c>
      <c r="F30" s="11">
        <f>IF(A30="","",D30*E30)</f>
        <v/>
      </c>
      <c r="G30">
        <f>IF(A30="","",IF(C30="",1,COUNTIF($C$2:$C$1501,C30)))</f>
        <v/>
      </c>
      <c r="H30" s="11">
        <f>IF(A30="","",IFERROR(VALUE(SUBSTITUTE(SUBSTITUTE(INDEX('Shopify Import'!$A:$CZ,30,Settings!$E$25)&amp;"","$",""),",","")),0)/IF(Settings!$D$27="Yes",G30,1))</f>
        <v/>
      </c>
      <c r="I30" s="11">
        <f>IF(A30="","",IFERROR(VALUE(SUBSTITUTE(SUBSTITUTE(INDEX('Shopify Import'!$A:$CZ,30,Settings!$E$26)&amp;"","$",""),",","")),0)/IF(Settings!$D$27="Yes",G30,1))</f>
        <v/>
      </c>
      <c r="J30" s="11">
        <f>IF(A30="","",F30+H30-I30)</f>
        <v/>
      </c>
      <c r="K30">
        <f>IF(A30="","",IFERROR(IF(B30="",NA(),MATCH(B30,Products!$B$5:$B$204,0)),IFERROR(MATCH(A30,Products!$A$5:$A$204,0),"")))</f>
        <v/>
      </c>
      <c r="L30">
        <f>IF(A30="","",IF(K30="","⚠ not in Products",INDEX(Products!$A$5:$A$204,K30)))</f>
        <v/>
      </c>
      <c r="M30" s="11">
        <f>IF(A30="","",J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30+IFERROR(INDEX(Settings!$D$5:$D$9,MATCH("Shopify",Settings!$A$5:$A$9,0)),0)*D30)</f>
        <v/>
      </c>
      <c r="N30" s="11">
        <f>IF(A30="","",IF(K30="",0,D30*INDEX(Products!$I$5:$I$204,K30)))</f>
        <v/>
      </c>
      <c r="O30" s="11">
        <f>IF(A30="","",IF(K30="",0,J30*INDEX(Products!$H$5:$H$204,K30)))</f>
        <v/>
      </c>
      <c r="P30" s="11">
        <f>IF(A30="","",J30-M30-N30-O30)</f>
        <v/>
      </c>
    </row>
    <row r="31">
      <c r="A31">
        <f>IFERROR(INDEX('Shopify Import'!$A:$CZ,31,Settings!$E$20)&amp;"","")</f>
        <v/>
      </c>
      <c r="B31">
        <f>IFERROR(INDEX('Shopify Import'!$A:$CZ,31,Settings!$E$21)&amp;"","")</f>
        <v/>
      </c>
      <c r="C31">
        <f>IFERROR(INDEX('Shopify Import'!$A:$CZ,31,Settings!$E$22)&amp;"","")</f>
        <v/>
      </c>
      <c r="D31">
        <f>IF(A31="","",IFERROR(VALUE(SUBSTITUTE(SUBSTITUTE(INDEX('Shopify Import'!$A:$CZ,31,Settings!$E$23)&amp;"","$",""),",","")),0))</f>
        <v/>
      </c>
      <c r="E31" s="11">
        <f>IF(A31="","",IFERROR(VALUE(SUBSTITUTE(SUBSTITUTE(INDEX('Shopify Import'!$A:$CZ,31,Settings!$E$24)&amp;"","$",""),",","")),0))</f>
        <v/>
      </c>
      <c r="F31" s="11">
        <f>IF(A31="","",D31*E31)</f>
        <v/>
      </c>
      <c r="G31">
        <f>IF(A31="","",IF(C31="",1,COUNTIF($C$2:$C$1501,C31)))</f>
        <v/>
      </c>
      <c r="H31" s="11">
        <f>IF(A31="","",IFERROR(VALUE(SUBSTITUTE(SUBSTITUTE(INDEX('Shopify Import'!$A:$CZ,31,Settings!$E$25)&amp;"","$",""),",","")),0)/IF(Settings!$D$27="Yes",G31,1))</f>
        <v/>
      </c>
      <c r="I31" s="11">
        <f>IF(A31="","",IFERROR(VALUE(SUBSTITUTE(SUBSTITUTE(INDEX('Shopify Import'!$A:$CZ,31,Settings!$E$26)&amp;"","$",""),",","")),0)/IF(Settings!$D$27="Yes",G31,1))</f>
        <v/>
      </c>
      <c r="J31" s="11">
        <f>IF(A31="","",F31+H31-I31)</f>
        <v/>
      </c>
      <c r="K31">
        <f>IF(A31="","",IFERROR(IF(B31="",NA(),MATCH(B31,Products!$B$5:$B$204,0)),IFERROR(MATCH(A31,Products!$A$5:$A$204,0),"")))</f>
        <v/>
      </c>
      <c r="L31">
        <f>IF(A31="","",IF(K31="","⚠ not in Products",INDEX(Products!$A$5:$A$204,K31)))</f>
        <v/>
      </c>
      <c r="M31" s="11">
        <f>IF(A31="","",J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31+IFERROR(INDEX(Settings!$D$5:$D$9,MATCH("Shopify",Settings!$A$5:$A$9,0)),0)*D31)</f>
        <v/>
      </c>
      <c r="N31" s="11">
        <f>IF(A31="","",IF(K31="",0,D31*INDEX(Products!$I$5:$I$204,K31)))</f>
        <v/>
      </c>
      <c r="O31" s="11">
        <f>IF(A31="","",IF(K31="",0,J31*INDEX(Products!$H$5:$H$204,K31)))</f>
        <v/>
      </c>
      <c r="P31" s="11">
        <f>IF(A31="","",J31-M31-N31-O31)</f>
        <v/>
      </c>
    </row>
    <row r="32">
      <c r="A32">
        <f>IFERROR(INDEX('Shopify Import'!$A:$CZ,32,Settings!$E$20)&amp;"","")</f>
        <v/>
      </c>
      <c r="B32">
        <f>IFERROR(INDEX('Shopify Import'!$A:$CZ,32,Settings!$E$21)&amp;"","")</f>
        <v/>
      </c>
      <c r="C32">
        <f>IFERROR(INDEX('Shopify Import'!$A:$CZ,32,Settings!$E$22)&amp;"","")</f>
        <v/>
      </c>
      <c r="D32">
        <f>IF(A32="","",IFERROR(VALUE(SUBSTITUTE(SUBSTITUTE(INDEX('Shopify Import'!$A:$CZ,32,Settings!$E$23)&amp;"","$",""),",","")),0))</f>
        <v/>
      </c>
      <c r="E32" s="11">
        <f>IF(A32="","",IFERROR(VALUE(SUBSTITUTE(SUBSTITUTE(INDEX('Shopify Import'!$A:$CZ,32,Settings!$E$24)&amp;"","$",""),",","")),0))</f>
        <v/>
      </c>
      <c r="F32" s="11">
        <f>IF(A32="","",D32*E32)</f>
        <v/>
      </c>
      <c r="G32">
        <f>IF(A32="","",IF(C32="",1,COUNTIF($C$2:$C$1501,C32)))</f>
        <v/>
      </c>
      <c r="H32" s="11">
        <f>IF(A32="","",IFERROR(VALUE(SUBSTITUTE(SUBSTITUTE(INDEX('Shopify Import'!$A:$CZ,32,Settings!$E$25)&amp;"","$",""),",","")),0)/IF(Settings!$D$27="Yes",G32,1))</f>
        <v/>
      </c>
      <c r="I32" s="11">
        <f>IF(A32="","",IFERROR(VALUE(SUBSTITUTE(SUBSTITUTE(INDEX('Shopify Import'!$A:$CZ,32,Settings!$E$26)&amp;"","$",""),",","")),0)/IF(Settings!$D$27="Yes",G32,1))</f>
        <v/>
      </c>
      <c r="J32" s="11">
        <f>IF(A32="","",F32+H32-I32)</f>
        <v/>
      </c>
      <c r="K32">
        <f>IF(A32="","",IFERROR(IF(B32="",NA(),MATCH(B32,Products!$B$5:$B$204,0)),IFERROR(MATCH(A32,Products!$A$5:$A$204,0),"")))</f>
        <v/>
      </c>
      <c r="L32">
        <f>IF(A32="","",IF(K32="","⚠ not in Products",INDEX(Products!$A$5:$A$204,K32)))</f>
        <v/>
      </c>
      <c r="M32" s="11">
        <f>IF(A32="","",J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32+IFERROR(INDEX(Settings!$D$5:$D$9,MATCH("Shopify",Settings!$A$5:$A$9,0)),0)*D32)</f>
        <v/>
      </c>
      <c r="N32" s="11">
        <f>IF(A32="","",IF(K32="",0,D32*INDEX(Products!$I$5:$I$204,K32)))</f>
        <v/>
      </c>
      <c r="O32" s="11">
        <f>IF(A32="","",IF(K32="",0,J32*INDEX(Products!$H$5:$H$204,K32)))</f>
        <v/>
      </c>
      <c r="P32" s="11">
        <f>IF(A32="","",J32-M32-N32-O32)</f>
        <v/>
      </c>
    </row>
    <row r="33">
      <c r="A33">
        <f>IFERROR(INDEX('Shopify Import'!$A:$CZ,33,Settings!$E$20)&amp;"","")</f>
        <v/>
      </c>
      <c r="B33">
        <f>IFERROR(INDEX('Shopify Import'!$A:$CZ,33,Settings!$E$21)&amp;"","")</f>
        <v/>
      </c>
      <c r="C33">
        <f>IFERROR(INDEX('Shopify Import'!$A:$CZ,33,Settings!$E$22)&amp;"","")</f>
        <v/>
      </c>
      <c r="D33">
        <f>IF(A33="","",IFERROR(VALUE(SUBSTITUTE(SUBSTITUTE(INDEX('Shopify Import'!$A:$CZ,33,Settings!$E$23)&amp;"","$",""),",","")),0))</f>
        <v/>
      </c>
      <c r="E33" s="11">
        <f>IF(A33="","",IFERROR(VALUE(SUBSTITUTE(SUBSTITUTE(INDEX('Shopify Import'!$A:$CZ,33,Settings!$E$24)&amp;"","$",""),",","")),0))</f>
        <v/>
      </c>
      <c r="F33" s="11">
        <f>IF(A33="","",D33*E33)</f>
        <v/>
      </c>
      <c r="G33">
        <f>IF(A33="","",IF(C33="",1,COUNTIF($C$2:$C$1501,C33)))</f>
        <v/>
      </c>
      <c r="H33" s="11">
        <f>IF(A33="","",IFERROR(VALUE(SUBSTITUTE(SUBSTITUTE(INDEX('Shopify Import'!$A:$CZ,33,Settings!$E$25)&amp;"","$",""),",","")),0)/IF(Settings!$D$27="Yes",G33,1))</f>
        <v/>
      </c>
      <c r="I33" s="11">
        <f>IF(A33="","",IFERROR(VALUE(SUBSTITUTE(SUBSTITUTE(INDEX('Shopify Import'!$A:$CZ,33,Settings!$E$26)&amp;"","$",""),",","")),0)/IF(Settings!$D$27="Yes",G33,1))</f>
        <v/>
      </c>
      <c r="J33" s="11">
        <f>IF(A33="","",F33+H33-I33)</f>
        <v/>
      </c>
      <c r="K33">
        <f>IF(A33="","",IFERROR(IF(B33="",NA(),MATCH(B33,Products!$B$5:$B$204,0)),IFERROR(MATCH(A33,Products!$A$5:$A$204,0),"")))</f>
        <v/>
      </c>
      <c r="L33">
        <f>IF(A33="","",IF(K33="","⚠ not in Products",INDEX(Products!$A$5:$A$204,K33)))</f>
        <v/>
      </c>
      <c r="M33" s="11">
        <f>IF(A33="","",J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33+IFERROR(INDEX(Settings!$D$5:$D$9,MATCH("Shopify",Settings!$A$5:$A$9,0)),0)*D33)</f>
        <v/>
      </c>
      <c r="N33" s="11">
        <f>IF(A33="","",IF(K33="",0,D33*INDEX(Products!$I$5:$I$204,K33)))</f>
        <v/>
      </c>
      <c r="O33" s="11">
        <f>IF(A33="","",IF(K33="",0,J33*INDEX(Products!$H$5:$H$204,K33)))</f>
        <v/>
      </c>
      <c r="P33" s="11">
        <f>IF(A33="","",J33-M33-N33-O33)</f>
        <v/>
      </c>
    </row>
    <row r="34">
      <c r="A34">
        <f>IFERROR(INDEX('Shopify Import'!$A:$CZ,34,Settings!$E$20)&amp;"","")</f>
        <v/>
      </c>
      <c r="B34">
        <f>IFERROR(INDEX('Shopify Import'!$A:$CZ,34,Settings!$E$21)&amp;"","")</f>
        <v/>
      </c>
      <c r="C34">
        <f>IFERROR(INDEX('Shopify Import'!$A:$CZ,34,Settings!$E$22)&amp;"","")</f>
        <v/>
      </c>
      <c r="D34">
        <f>IF(A34="","",IFERROR(VALUE(SUBSTITUTE(SUBSTITUTE(INDEX('Shopify Import'!$A:$CZ,34,Settings!$E$23)&amp;"","$",""),",","")),0))</f>
        <v/>
      </c>
      <c r="E34" s="11">
        <f>IF(A34="","",IFERROR(VALUE(SUBSTITUTE(SUBSTITUTE(INDEX('Shopify Import'!$A:$CZ,34,Settings!$E$24)&amp;"","$",""),",","")),0))</f>
        <v/>
      </c>
      <c r="F34" s="11">
        <f>IF(A34="","",D34*E34)</f>
        <v/>
      </c>
      <c r="G34">
        <f>IF(A34="","",IF(C34="",1,COUNTIF($C$2:$C$1501,C34)))</f>
        <v/>
      </c>
      <c r="H34" s="11">
        <f>IF(A34="","",IFERROR(VALUE(SUBSTITUTE(SUBSTITUTE(INDEX('Shopify Import'!$A:$CZ,34,Settings!$E$25)&amp;"","$",""),",","")),0)/IF(Settings!$D$27="Yes",G34,1))</f>
        <v/>
      </c>
      <c r="I34" s="11">
        <f>IF(A34="","",IFERROR(VALUE(SUBSTITUTE(SUBSTITUTE(INDEX('Shopify Import'!$A:$CZ,34,Settings!$E$26)&amp;"","$",""),",","")),0)/IF(Settings!$D$27="Yes",G34,1))</f>
        <v/>
      </c>
      <c r="J34" s="11">
        <f>IF(A34="","",F34+H34-I34)</f>
        <v/>
      </c>
      <c r="K34">
        <f>IF(A34="","",IFERROR(IF(B34="",NA(),MATCH(B34,Products!$B$5:$B$204,0)),IFERROR(MATCH(A34,Products!$A$5:$A$204,0),"")))</f>
        <v/>
      </c>
      <c r="L34">
        <f>IF(A34="","",IF(K34="","⚠ not in Products",INDEX(Products!$A$5:$A$204,K34)))</f>
        <v/>
      </c>
      <c r="M34" s="11">
        <f>IF(A34="","",J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34+IFERROR(INDEX(Settings!$D$5:$D$9,MATCH("Shopify",Settings!$A$5:$A$9,0)),0)*D34)</f>
        <v/>
      </c>
      <c r="N34" s="11">
        <f>IF(A34="","",IF(K34="",0,D34*INDEX(Products!$I$5:$I$204,K34)))</f>
        <v/>
      </c>
      <c r="O34" s="11">
        <f>IF(A34="","",IF(K34="",0,J34*INDEX(Products!$H$5:$H$204,K34)))</f>
        <v/>
      </c>
      <c r="P34" s="11">
        <f>IF(A34="","",J34-M34-N34-O34)</f>
        <v/>
      </c>
    </row>
    <row r="35">
      <c r="A35">
        <f>IFERROR(INDEX('Shopify Import'!$A:$CZ,35,Settings!$E$20)&amp;"","")</f>
        <v/>
      </c>
      <c r="B35">
        <f>IFERROR(INDEX('Shopify Import'!$A:$CZ,35,Settings!$E$21)&amp;"","")</f>
        <v/>
      </c>
      <c r="C35">
        <f>IFERROR(INDEX('Shopify Import'!$A:$CZ,35,Settings!$E$22)&amp;"","")</f>
        <v/>
      </c>
      <c r="D35">
        <f>IF(A35="","",IFERROR(VALUE(SUBSTITUTE(SUBSTITUTE(INDEX('Shopify Import'!$A:$CZ,35,Settings!$E$23)&amp;"","$",""),",","")),0))</f>
        <v/>
      </c>
      <c r="E35" s="11">
        <f>IF(A35="","",IFERROR(VALUE(SUBSTITUTE(SUBSTITUTE(INDEX('Shopify Import'!$A:$CZ,35,Settings!$E$24)&amp;"","$",""),",","")),0))</f>
        <v/>
      </c>
      <c r="F35" s="11">
        <f>IF(A35="","",D35*E35)</f>
        <v/>
      </c>
      <c r="G35">
        <f>IF(A35="","",IF(C35="",1,COUNTIF($C$2:$C$1501,C35)))</f>
        <v/>
      </c>
      <c r="H35" s="11">
        <f>IF(A35="","",IFERROR(VALUE(SUBSTITUTE(SUBSTITUTE(INDEX('Shopify Import'!$A:$CZ,35,Settings!$E$25)&amp;"","$",""),",","")),0)/IF(Settings!$D$27="Yes",G35,1))</f>
        <v/>
      </c>
      <c r="I35" s="11">
        <f>IF(A35="","",IFERROR(VALUE(SUBSTITUTE(SUBSTITUTE(INDEX('Shopify Import'!$A:$CZ,35,Settings!$E$26)&amp;"","$",""),",","")),0)/IF(Settings!$D$27="Yes",G35,1))</f>
        <v/>
      </c>
      <c r="J35" s="11">
        <f>IF(A35="","",F35+H35-I35)</f>
        <v/>
      </c>
      <c r="K35">
        <f>IF(A35="","",IFERROR(IF(B35="",NA(),MATCH(B35,Products!$B$5:$B$204,0)),IFERROR(MATCH(A35,Products!$A$5:$A$204,0),"")))</f>
        <v/>
      </c>
      <c r="L35">
        <f>IF(A35="","",IF(K35="","⚠ not in Products",INDEX(Products!$A$5:$A$204,K35)))</f>
        <v/>
      </c>
      <c r="M35" s="11">
        <f>IF(A35="","",J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35+IFERROR(INDEX(Settings!$D$5:$D$9,MATCH("Shopify",Settings!$A$5:$A$9,0)),0)*D35)</f>
        <v/>
      </c>
      <c r="N35" s="11">
        <f>IF(A35="","",IF(K35="",0,D35*INDEX(Products!$I$5:$I$204,K35)))</f>
        <v/>
      </c>
      <c r="O35" s="11">
        <f>IF(A35="","",IF(K35="",0,J35*INDEX(Products!$H$5:$H$204,K35)))</f>
        <v/>
      </c>
      <c r="P35" s="11">
        <f>IF(A35="","",J35-M35-N35-O35)</f>
        <v/>
      </c>
    </row>
    <row r="36">
      <c r="A36">
        <f>IFERROR(INDEX('Shopify Import'!$A:$CZ,36,Settings!$E$20)&amp;"","")</f>
        <v/>
      </c>
      <c r="B36">
        <f>IFERROR(INDEX('Shopify Import'!$A:$CZ,36,Settings!$E$21)&amp;"","")</f>
        <v/>
      </c>
      <c r="C36">
        <f>IFERROR(INDEX('Shopify Import'!$A:$CZ,36,Settings!$E$22)&amp;"","")</f>
        <v/>
      </c>
      <c r="D36">
        <f>IF(A36="","",IFERROR(VALUE(SUBSTITUTE(SUBSTITUTE(INDEX('Shopify Import'!$A:$CZ,36,Settings!$E$23)&amp;"","$",""),",","")),0))</f>
        <v/>
      </c>
      <c r="E36" s="11">
        <f>IF(A36="","",IFERROR(VALUE(SUBSTITUTE(SUBSTITUTE(INDEX('Shopify Import'!$A:$CZ,36,Settings!$E$24)&amp;"","$",""),",","")),0))</f>
        <v/>
      </c>
      <c r="F36" s="11">
        <f>IF(A36="","",D36*E36)</f>
        <v/>
      </c>
      <c r="G36">
        <f>IF(A36="","",IF(C36="",1,COUNTIF($C$2:$C$1501,C36)))</f>
        <v/>
      </c>
      <c r="H36" s="11">
        <f>IF(A36="","",IFERROR(VALUE(SUBSTITUTE(SUBSTITUTE(INDEX('Shopify Import'!$A:$CZ,36,Settings!$E$25)&amp;"","$",""),",","")),0)/IF(Settings!$D$27="Yes",G36,1))</f>
        <v/>
      </c>
      <c r="I36" s="11">
        <f>IF(A36="","",IFERROR(VALUE(SUBSTITUTE(SUBSTITUTE(INDEX('Shopify Import'!$A:$CZ,36,Settings!$E$26)&amp;"","$",""),",","")),0)/IF(Settings!$D$27="Yes",G36,1))</f>
        <v/>
      </c>
      <c r="J36" s="11">
        <f>IF(A36="","",F36+H36-I36)</f>
        <v/>
      </c>
      <c r="K36">
        <f>IF(A36="","",IFERROR(IF(B36="",NA(),MATCH(B36,Products!$B$5:$B$204,0)),IFERROR(MATCH(A36,Products!$A$5:$A$204,0),"")))</f>
        <v/>
      </c>
      <c r="L36">
        <f>IF(A36="","",IF(K36="","⚠ not in Products",INDEX(Products!$A$5:$A$204,K36)))</f>
        <v/>
      </c>
      <c r="M36" s="11">
        <f>IF(A36="","",J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36+IFERROR(INDEX(Settings!$D$5:$D$9,MATCH("Shopify",Settings!$A$5:$A$9,0)),0)*D36)</f>
        <v/>
      </c>
      <c r="N36" s="11">
        <f>IF(A36="","",IF(K36="",0,D36*INDEX(Products!$I$5:$I$204,K36)))</f>
        <v/>
      </c>
      <c r="O36" s="11">
        <f>IF(A36="","",IF(K36="",0,J36*INDEX(Products!$H$5:$H$204,K36)))</f>
        <v/>
      </c>
      <c r="P36" s="11">
        <f>IF(A36="","",J36-M36-N36-O36)</f>
        <v/>
      </c>
    </row>
    <row r="37">
      <c r="A37">
        <f>IFERROR(INDEX('Shopify Import'!$A:$CZ,37,Settings!$E$20)&amp;"","")</f>
        <v/>
      </c>
      <c r="B37">
        <f>IFERROR(INDEX('Shopify Import'!$A:$CZ,37,Settings!$E$21)&amp;"","")</f>
        <v/>
      </c>
      <c r="C37">
        <f>IFERROR(INDEX('Shopify Import'!$A:$CZ,37,Settings!$E$22)&amp;"","")</f>
        <v/>
      </c>
      <c r="D37">
        <f>IF(A37="","",IFERROR(VALUE(SUBSTITUTE(SUBSTITUTE(INDEX('Shopify Import'!$A:$CZ,37,Settings!$E$23)&amp;"","$",""),",","")),0))</f>
        <v/>
      </c>
      <c r="E37" s="11">
        <f>IF(A37="","",IFERROR(VALUE(SUBSTITUTE(SUBSTITUTE(INDEX('Shopify Import'!$A:$CZ,37,Settings!$E$24)&amp;"","$",""),",","")),0))</f>
        <v/>
      </c>
      <c r="F37" s="11">
        <f>IF(A37="","",D37*E37)</f>
        <v/>
      </c>
      <c r="G37">
        <f>IF(A37="","",IF(C37="",1,COUNTIF($C$2:$C$1501,C37)))</f>
        <v/>
      </c>
      <c r="H37" s="11">
        <f>IF(A37="","",IFERROR(VALUE(SUBSTITUTE(SUBSTITUTE(INDEX('Shopify Import'!$A:$CZ,37,Settings!$E$25)&amp;"","$",""),",","")),0)/IF(Settings!$D$27="Yes",G37,1))</f>
        <v/>
      </c>
      <c r="I37" s="11">
        <f>IF(A37="","",IFERROR(VALUE(SUBSTITUTE(SUBSTITUTE(INDEX('Shopify Import'!$A:$CZ,37,Settings!$E$26)&amp;"","$",""),",","")),0)/IF(Settings!$D$27="Yes",G37,1))</f>
        <v/>
      </c>
      <c r="J37" s="11">
        <f>IF(A37="","",F37+H37-I37)</f>
        <v/>
      </c>
      <c r="K37">
        <f>IF(A37="","",IFERROR(IF(B37="",NA(),MATCH(B37,Products!$B$5:$B$204,0)),IFERROR(MATCH(A37,Products!$A$5:$A$204,0),"")))</f>
        <v/>
      </c>
      <c r="L37">
        <f>IF(A37="","",IF(K37="","⚠ not in Products",INDEX(Products!$A$5:$A$204,K37)))</f>
        <v/>
      </c>
      <c r="M37" s="11">
        <f>IF(A37="","",J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37+IFERROR(INDEX(Settings!$D$5:$D$9,MATCH("Shopify",Settings!$A$5:$A$9,0)),0)*D37)</f>
        <v/>
      </c>
      <c r="N37" s="11">
        <f>IF(A37="","",IF(K37="",0,D37*INDEX(Products!$I$5:$I$204,K37)))</f>
        <v/>
      </c>
      <c r="O37" s="11">
        <f>IF(A37="","",IF(K37="",0,J37*INDEX(Products!$H$5:$H$204,K37)))</f>
        <v/>
      </c>
      <c r="P37" s="11">
        <f>IF(A37="","",J37-M37-N37-O37)</f>
        <v/>
      </c>
    </row>
    <row r="38">
      <c r="A38">
        <f>IFERROR(INDEX('Shopify Import'!$A:$CZ,38,Settings!$E$20)&amp;"","")</f>
        <v/>
      </c>
      <c r="B38">
        <f>IFERROR(INDEX('Shopify Import'!$A:$CZ,38,Settings!$E$21)&amp;"","")</f>
        <v/>
      </c>
      <c r="C38">
        <f>IFERROR(INDEX('Shopify Import'!$A:$CZ,38,Settings!$E$22)&amp;"","")</f>
        <v/>
      </c>
      <c r="D38">
        <f>IF(A38="","",IFERROR(VALUE(SUBSTITUTE(SUBSTITUTE(INDEX('Shopify Import'!$A:$CZ,38,Settings!$E$23)&amp;"","$",""),",","")),0))</f>
        <v/>
      </c>
      <c r="E38" s="11">
        <f>IF(A38="","",IFERROR(VALUE(SUBSTITUTE(SUBSTITUTE(INDEX('Shopify Import'!$A:$CZ,38,Settings!$E$24)&amp;"","$",""),",","")),0))</f>
        <v/>
      </c>
      <c r="F38" s="11">
        <f>IF(A38="","",D38*E38)</f>
        <v/>
      </c>
      <c r="G38">
        <f>IF(A38="","",IF(C38="",1,COUNTIF($C$2:$C$1501,C38)))</f>
        <v/>
      </c>
      <c r="H38" s="11">
        <f>IF(A38="","",IFERROR(VALUE(SUBSTITUTE(SUBSTITUTE(INDEX('Shopify Import'!$A:$CZ,38,Settings!$E$25)&amp;"","$",""),",","")),0)/IF(Settings!$D$27="Yes",G38,1))</f>
        <v/>
      </c>
      <c r="I38" s="11">
        <f>IF(A38="","",IFERROR(VALUE(SUBSTITUTE(SUBSTITUTE(INDEX('Shopify Import'!$A:$CZ,38,Settings!$E$26)&amp;"","$",""),",","")),0)/IF(Settings!$D$27="Yes",G38,1))</f>
        <v/>
      </c>
      <c r="J38" s="11">
        <f>IF(A38="","",F38+H38-I38)</f>
        <v/>
      </c>
      <c r="K38">
        <f>IF(A38="","",IFERROR(IF(B38="",NA(),MATCH(B38,Products!$B$5:$B$204,0)),IFERROR(MATCH(A38,Products!$A$5:$A$204,0),"")))</f>
        <v/>
      </c>
      <c r="L38">
        <f>IF(A38="","",IF(K38="","⚠ not in Products",INDEX(Products!$A$5:$A$204,K38)))</f>
        <v/>
      </c>
      <c r="M38" s="11">
        <f>IF(A38="","",J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38+IFERROR(INDEX(Settings!$D$5:$D$9,MATCH("Shopify",Settings!$A$5:$A$9,0)),0)*D38)</f>
        <v/>
      </c>
      <c r="N38" s="11">
        <f>IF(A38="","",IF(K38="",0,D38*INDEX(Products!$I$5:$I$204,K38)))</f>
        <v/>
      </c>
      <c r="O38" s="11">
        <f>IF(A38="","",IF(K38="",0,J38*INDEX(Products!$H$5:$H$204,K38)))</f>
        <v/>
      </c>
      <c r="P38" s="11">
        <f>IF(A38="","",J38-M38-N38-O38)</f>
        <v/>
      </c>
    </row>
    <row r="39">
      <c r="A39">
        <f>IFERROR(INDEX('Shopify Import'!$A:$CZ,39,Settings!$E$20)&amp;"","")</f>
        <v/>
      </c>
      <c r="B39">
        <f>IFERROR(INDEX('Shopify Import'!$A:$CZ,39,Settings!$E$21)&amp;"","")</f>
        <v/>
      </c>
      <c r="C39">
        <f>IFERROR(INDEX('Shopify Import'!$A:$CZ,39,Settings!$E$22)&amp;"","")</f>
        <v/>
      </c>
      <c r="D39">
        <f>IF(A39="","",IFERROR(VALUE(SUBSTITUTE(SUBSTITUTE(INDEX('Shopify Import'!$A:$CZ,39,Settings!$E$23)&amp;"","$",""),",","")),0))</f>
        <v/>
      </c>
      <c r="E39" s="11">
        <f>IF(A39="","",IFERROR(VALUE(SUBSTITUTE(SUBSTITUTE(INDEX('Shopify Import'!$A:$CZ,39,Settings!$E$24)&amp;"","$",""),",","")),0))</f>
        <v/>
      </c>
      <c r="F39" s="11">
        <f>IF(A39="","",D39*E39)</f>
        <v/>
      </c>
      <c r="G39">
        <f>IF(A39="","",IF(C39="",1,COUNTIF($C$2:$C$1501,C39)))</f>
        <v/>
      </c>
      <c r="H39" s="11">
        <f>IF(A39="","",IFERROR(VALUE(SUBSTITUTE(SUBSTITUTE(INDEX('Shopify Import'!$A:$CZ,39,Settings!$E$25)&amp;"","$",""),",","")),0)/IF(Settings!$D$27="Yes",G39,1))</f>
        <v/>
      </c>
      <c r="I39" s="11">
        <f>IF(A39="","",IFERROR(VALUE(SUBSTITUTE(SUBSTITUTE(INDEX('Shopify Import'!$A:$CZ,39,Settings!$E$26)&amp;"","$",""),",","")),0)/IF(Settings!$D$27="Yes",G39,1))</f>
        <v/>
      </c>
      <c r="J39" s="11">
        <f>IF(A39="","",F39+H39-I39)</f>
        <v/>
      </c>
      <c r="K39">
        <f>IF(A39="","",IFERROR(IF(B39="",NA(),MATCH(B39,Products!$B$5:$B$204,0)),IFERROR(MATCH(A39,Products!$A$5:$A$204,0),"")))</f>
        <v/>
      </c>
      <c r="L39">
        <f>IF(A39="","",IF(K39="","⚠ not in Products",INDEX(Products!$A$5:$A$204,K39)))</f>
        <v/>
      </c>
      <c r="M39" s="11">
        <f>IF(A39="","",J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39+IFERROR(INDEX(Settings!$D$5:$D$9,MATCH("Shopify",Settings!$A$5:$A$9,0)),0)*D39)</f>
        <v/>
      </c>
      <c r="N39" s="11">
        <f>IF(A39="","",IF(K39="",0,D39*INDEX(Products!$I$5:$I$204,K39)))</f>
        <v/>
      </c>
      <c r="O39" s="11">
        <f>IF(A39="","",IF(K39="",0,J39*INDEX(Products!$H$5:$H$204,K39)))</f>
        <v/>
      </c>
      <c r="P39" s="11">
        <f>IF(A39="","",J39-M39-N39-O39)</f>
        <v/>
      </c>
    </row>
    <row r="40">
      <c r="A40">
        <f>IFERROR(INDEX('Shopify Import'!$A:$CZ,40,Settings!$E$20)&amp;"","")</f>
        <v/>
      </c>
      <c r="B40">
        <f>IFERROR(INDEX('Shopify Import'!$A:$CZ,40,Settings!$E$21)&amp;"","")</f>
        <v/>
      </c>
      <c r="C40">
        <f>IFERROR(INDEX('Shopify Import'!$A:$CZ,40,Settings!$E$22)&amp;"","")</f>
        <v/>
      </c>
      <c r="D40">
        <f>IF(A40="","",IFERROR(VALUE(SUBSTITUTE(SUBSTITUTE(INDEX('Shopify Import'!$A:$CZ,40,Settings!$E$23)&amp;"","$",""),",","")),0))</f>
        <v/>
      </c>
      <c r="E40" s="11">
        <f>IF(A40="","",IFERROR(VALUE(SUBSTITUTE(SUBSTITUTE(INDEX('Shopify Import'!$A:$CZ,40,Settings!$E$24)&amp;"","$",""),",","")),0))</f>
        <v/>
      </c>
      <c r="F40" s="11">
        <f>IF(A40="","",D40*E40)</f>
        <v/>
      </c>
      <c r="G40">
        <f>IF(A40="","",IF(C40="",1,COUNTIF($C$2:$C$1501,C40)))</f>
        <v/>
      </c>
      <c r="H40" s="11">
        <f>IF(A40="","",IFERROR(VALUE(SUBSTITUTE(SUBSTITUTE(INDEX('Shopify Import'!$A:$CZ,40,Settings!$E$25)&amp;"","$",""),",","")),0)/IF(Settings!$D$27="Yes",G40,1))</f>
        <v/>
      </c>
      <c r="I40" s="11">
        <f>IF(A40="","",IFERROR(VALUE(SUBSTITUTE(SUBSTITUTE(INDEX('Shopify Import'!$A:$CZ,40,Settings!$E$26)&amp;"","$",""),",","")),0)/IF(Settings!$D$27="Yes",G40,1))</f>
        <v/>
      </c>
      <c r="J40" s="11">
        <f>IF(A40="","",F40+H40-I40)</f>
        <v/>
      </c>
      <c r="K40">
        <f>IF(A40="","",IFERROR(IF(B40="",NA(),MATCH(B40,Products!$B$5:$B$204,0)),IFERROR(MATCH(A40,Products!$A$5:$A$204,0),"")))</f>
        <v/>
      </c>
      <c r="L40">
        <f>IF(A40="","",IF(K40="","⚠ not in Products",INDEX(Products!$A$5:$A$204,K40)))</f>
        <v/>
      </c>
      <c r="M40" s="11">
        <f>IF(A40="","",J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40+IFERROR(INDEX(Settings!$D$5:$D$9,MATCH("Shopify",Settings!$A$5:$A$9,0)),0)*D40)</f>
        <v/>
      </c>
      <c r="N40" s="11">
        <f>IF(A40="","",IF(K40="",0,D40*INDEX(Products!$I$5:$I$204,K40)))</f>
        <v/>
      </c>
      <c r="O40" s="11">
        <f>IF(A40="","",IF(K40="",0,J40*INDEX(Products!$H$5:$H$204,K40)))</f>
        <v/>
      </c>
      <c r="P40" s="11">
        <f>IF(A40="","",J40-M40-N40-O40)</f>
        <v/>
      </c>
    </row>
    <row r="41">
      <c r="A41">
        <f>IFERROR(INDEX('Shopify Import'!$A:$CZ,41,Settings!$E$20)&amp;"","")</f>
        <v/>
      </c>
      <c r="B41">
        <f>IFERROR(INDEX('Shopify Import'!$A:$CZ,41,Settings!$E$21)&amp;"","")</f>
        <v/>
      </c>
      <c r="C41">
        <f>IFERROR(INDEX('Shopify Import'!$A:$CZ,41,Settings!$E$22)&amp;"","")</f>
        <v/>
      </c>
      <c r="D41">
        <f>IF(A41="","",IFERROR(VALUE(SUBSTITUTE(SUBSTITUTE(INDEX('Shopify Import'!$A:$CZ,41,Settings!$E$23)&amp;"","$",""),",","")),0))</f>
        <v/>
      </c>
      <c r="E41" s="11">
        <f>IF(A41="","",IFERROR(VALUE(SUBSTITUTE(SUBSTITUTE(INDEX('Shopify Import'!$A:$CZ,41,Settings!$E$24)&amp;"","$",""),",","")),0))</f>
        <v/>
      </c>
      <c r="F41" s="11">
        <f>IF(A41="","",D41*E41)</f>
        <v/>
      </c>
      <c r="G41">
        <f>IF(A41="","",IF(C41="",1,COUNTIF($C$2:$C$1501,C41)))</f>
        <v/>
      </c>
      <c r="H41" s="11">
        <f>IF(A41="","",IFERROR(VALUE(SUBSTITUTE(SUBSTITUTE(INDEX('Shopify Import'!$A:$CZ,41,Settings!$E$25)&amp;"","$",""),",","")),0)/IF(Settings!$D$27="Yes",G41,1))</f>
        <v/>
      </c>
      <c r="I41" s="11">
        <f>IF(A41="","",IFERROR(VALUE(SUBSTITUTE(SUBSTITUTE(INDEX('Shopify Import'!$A:$CZ,41,Settings!$E$26)&amp;"","$",""),",","")),0)/IF(Settings!$D$27="Yes",G41,1))</f>
        <v/>
      </c>
      <c r="J41" s="11">
        <f>IF(A41="","",F41+H41-I41)</f>
        <v/>
      </c>
      <c r="K41">
        <f>IF(A41="","",IFERROR(IF(B41="",NA(),MATCH(B41,Products!$B$5:$B$204,0)),IFERROR(MATCH(A41,Products!$A$5:$A$204,0),"")))</f>
        <v/>
      </c>
      <c r="L41">
        <f>IF(A41="","",IF(K41="","⚠ not in Products",INDEX(Products!$A$5:$A$204,K41)))</f>
        <v/>
      </c>
      <c r="M41" s="11">
        <f>IF(A41="","",J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41+IFERROR(INDEX(Settings!$D$5:$D$9,MATCH("Shopify",Settings!$A$5:$A$9,0)),0)*D41)</f>
        <v/>
      </c>
      <c r="N41" s="11">
        <f>IF(A41="","",IF(K41="",0,D41*INDEX(Products!$I$5:$I$204,K41)))</f>
        <v/>
      </c>
      <c r="O41" s="11">
        <f>IF(A41="","",IF(K41="",0,J41*INDEX(Products!$H$5:$H$204,K41)))</f>
        <v/>
      </c>
      <c r="P41" s="11">
        <f>IF(A41="","",J41-M41-N41-O41)</f>
        <v/>
      </c>
    </row>
    <row r="42">
      <c r="A42">
        <f>IFERROR(INDEX('Shopify Import'!$A:$CZ,42,Settings!$E$20)&amp;"","")</f>
        <v/>
      </c>
      <c r="B42">
        <f>IFERROR(INDEX('Shopify Import'!$A:$CZ,42,Settings!$E$21)&amp;"","")</f>
        <v/>
      </c>
      <c r="C42">
        <f>IFERROR(INDEX('Shopify Import'!$A:$CZ,42,Settings!$E$22)&amp;"","")</f>
        <v/>
      </c>
      <c r="D42">
        <f>IF(A42="","",IFERROR(VALUE(SUBSTITUTE(SUBSTITUTE(INDEX('Shopify Import'!$A:$CZ,42,Settings!$E$23)&amp;"","$",""),",","")),0))</f>
        <v/>
      </c>
      <c r="E42" s="11">
        <f>IF(A42="","",IFERROR(VALUE(SUBSTITUTE(SUBSTITUTE(INDEX('Shopify Import'!$A:$CZ,42,Settings!$E$24)&amp;"","$",""),",","")),0))</f>
        <v/>
      </c>
      <c r="F42" s="11">
        <f>IF(A42="","",D42*E42)</f>
        <v/>
      </c>
      <c r="G42">
        <f>IF(A42="","",IF(C42="",1,COUNTIF($C$2:$C$1501,C42)))</f>
        <v/>
      </c>
      <c r="H42" s="11">
        <f>IF(A42="","",IFERROR(VALUE(SUBSTITUTE(SUBSTITUTE(INDEX('Shopify Import'!$A:$CZ,42,Settings!$E$25)&amp;"","$",""),",","")),0)/IF(Settings!$D$27="Yes",G42,1))</f>
        <v/>
      </c>
      <c r="I42" s="11">
        <f>IF(A42="","",IFERROR(VALUE(SUBSTITUTE(SUBSTITUTE(INDEX('Shopify Import'!$A:$CZ,42,Settings!$E$26)&amp;"","$",""),",","")),0)/IF(Settings!$D$27="Yes",G42,1))</f>
        <v/>
      </c>
      <c r="J42" s="11">
        <f>IF(A42="","",F42+H42-I42)</f>
        <v/>
      </c>
      <c r="K42">
        <f>IF(A42="","",IFERROR(IF(B42="",NA(),MATCH(B42,Products!$B$5:$B$204,0)),IFERROR(MATCH(A42,Products!$A$5:$A$204,0),"")))</f>
        <v/>
      </c>
      <c r="L42">
        <f>IF(A42="","",IF(K42="","⚠ not in Products",INDEX(Products!$A$5:$A$204,K42)))</f>
        <v/>
      </c>
      <c r="M42" s="11">
        <f>IF(A42="","",J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42+IFERROR(INDEX(Settings!$D$5:$D$9,MATCH("Shopify",Settings!$A$5:$A$9,0)),0)*D42)</f>
        <v/>
      </c>
      <c r="N42" s="11">
        <f>IF(A42="","",IF(K42="",0,D42*INDEX(Products!$I$5:$I$204,K42)))</f>
        <v/>
      </c>
      <c r="O42" s="11">
        <f>IF(A42="","",IF(K42="",0,J42*INDEX(Products!$H$5:$H$204,K42)))</f>
        <v/>
      </c>
      <c r="P42" s="11">
        <f>IF(A42="","",J42-M42-N42-O42)</f>
        <v/>
      </c>
    </row>
    <row r="43">
      <c r="A43">
        <f>IFERROR(INDEX('Shopify Import'!$A:$CZ,43,Settings!$E$20)&amp;"","")</f>
        <v/>
      </c>
      <c r="B43">
        <f>IFERROR(INDEX('Shopify Import'!$A:$CZ,43,Settings!$E$21)&amp;"","")</f>
        <v/>
      </c>
      <c r="C43">
        <f>IFERROR(INDEX('Shopify Import'!$A:$CZ,43,Settings!$E$22)&amp;"","")</f>
        <v/>
      </c>
      <c r="D43">
        <f>IF(A43="","",IFERROR(VALUE(SUBSTITUTE(SUBSTITUTE(INDEX('Shopify Import'!$A:$CZ,43,Settings!$E$23)&amp;"","$",""),",","")),0))</f>
        <v/>
      </c>
      <c r="E43" s="11">
        <f>IF(A43="","",IFERROR(VALUE(SUBSTITUTE(SUBSTITUTE(INDEX('Shopify Import'!$A:$CZ,43,Settings!$E$24)&amp;"","$",""),",","")),0))</f>
        <v/>
      </c>
      <c r="F43" s="11">
        <f>IF(A43="","",D43*E43)</f>
        <v/>
      </c>
      <c r="G43">
        <f>IF(A43="","",IF(C43="",1,COUNTIF($C$2:$C$1501,C43)))</f>
        <v/>
      </c>
      <c r="H43" s="11">
        <f>IF(A43="","",IFERROR(VALUE(SUBSTITUTE(SUBSTITUTE(INDEX('Shopify Import'!$A:$CZ,43,Settings!$E$25)&amp;"","$",""),",","")),0)/IF(Settings!$D$27="Yes",G43,1))</f>
        <v/>
      </c>
      <c r="I43" s="11">
        <f>IF(A43="","",IFERROR(VALUE(SUBSTITUTE(SUBSTITUTE(INDEX('Shopify Import'!$A:$CZ,43,Settings!$E$26)&amp;"","$",""),",","")),0)/IF(Settings!$D$27="Yes",G43,1))</f>
        <v/>
      </c>
      <c r="J43" s="11">
        <f>IF(A43="","",F43+H43-I43)</f>
        <v/>
      </c>
      <c r="K43">
        <f>IF(A43="","",IFERROR(IF(B43="",NA(),MATCH(B43,Products!$B$5:$B$204,0)),IFERROR(MATCH(A43,Products!$A$5:$A$204,0),"")))</f>
        <v/>
      </c>
      <c r="L43">
        <f>IF(A43="","",IF(K43="","⚠ not in Products",INDEX(Products!$A$5:$A$204,K43)))</f>
        <v/>
      </c>
      <c r="M43" s="11">
        <f>IF(A43="","",J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43+IFERROR(INDEX(Settings!$D$5:$D$9,MATCH("Shopify",Settings!$A$5:$A$9,0)),0)*D43)</f>
        <v/>
      </c>
      <c r="N43" s="11">
        <f>IF(A43="","",IF(K43="",0,D43*INDEX(Products!$I$5:$I$204,K43)))</f>
        <v/>
      </c>
      <c r="O43" s="11">
        <f>IF(A43="","",IF(K43="",0,J43*INDEX(Products!$H$5:$H$204,K43)))</f>
        <v/>
      </c>
      <c r="P43" s="11">
        <f>IF(A43="","",J43-M43-N43-O43)</f>
        <v/>
      </c>
    </row>
    <row r="44">
      <c r="A44">
        <f>IFERROR(INDEX('Shopify Import'!$A:$CZ,44,Settings!$E$20)&amp;"","")</f>
        <v/>
      </c>
      <c r="B44">
        <f>IFERROR(INDEX('Shopify Import'!$A:$CZ,44,Settings!$E$21)&amp;"","")</f>
        <v/>
      </c>
      <c r="C44">
        <f>IFERROR(INDEX('Shopify Import'!$A:$CZ,44,Settings!$E$22)&amp;"","")</f>
        <v/>
      </c>
      <c r="D44">
        <f>IF(A44="","",IFERROR(VALUE(SUBSTITUTE(SUBSTITUTE(INDEX('Shopify Import'!$A:$CZ,44,Settings!$E$23)&amp;"","$",""),",","")),0))</f>
        <v/>
      </c>
      <c r="E44" s="11">
        <f>IF(A44="","",IFERROR(VALUE(SUBSTITUTE(SUBSTITUTE(INDEX('Shopify Import'!$A:$CZ,44,Settings!$E$24)&amp;"","$",""),",","")),0))</f>
        <v/>
      </c>
      <c r="F44" s="11">
        <f>IF(A44="","",D44*E44)</f>
        <v/>
      </c>
      <c r="G44">
        <f>IF(A44="","",IF(C44="",1,COUNTIF($C$2:$C$1501,C44)))</f>
        <v/>
      </c>
      <c r="H44" s="11">
        <f>IF(A44="","",IFERROR(VALUE(SUBSTITUTE(SUBSTITUTE(INDEX('Shopify Import'!$A:$CZ,44,Settings!$E$25)&amp;"","$",""),",","")),0)/IF(Settings!$D$27="Yes",G44,1))</f>
        <v/>
      </c>
      <c r="I44" s="11">
        <f>IF(A44="","",IFERROR(VALUE(SUBSTITUTE(SUBSTITUTE(INDEX('Shopify Import'!$A:$CZ,44,Settings!$E$26)&amp;"","$",""),",","")),0)/IF(Settings!$D$27="Yes",G44,1))</f>
        <v/>
      </c>
      <c r="J44" s="11">
        <f>IF(A44="","",F44+H44-I44)</f>
        <v/>
      </c>
      <c r="K44">
        <f>IF(A44="","",IFERROR(IF(B44="",NA(),MATCH(B44,Products!$B$5:$B$204,0)),IFERROR(MATCH(A44,Products!$A$5:$A$204,0),"")))</f>
        <v/>
      </c>
      <c r="L44">
        <f>IF(A44="","",IF(K44="","⚠ not in Products",INDEX(Products!$A$5:$A$204,K44)))</f>
        <v/>
      </c>
      <c r="M44" s="11">
        <f>IF(A44="","",J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44+IFERROR(INDEX(Settings!$D$5:$D$9,MATCH("Shopify",Settings!$A$5:$A$9,0)),0)*D44)</f>
        <v/>
      </c>
      <c r="N44" s="11">
        <f>IF(A44="","",IF(K44="",0,D44*INDEX(Products!$I$5:$I$204,K44)))</f>
        <v/>
      </c>
      <c r="O44" s="11">
        <f>IF(A44="","",IF(K44="",0,J44*INDEX(Products!$H$5:$H$204,K44)))</f>
        <v/>
      </c>
      <c r="P44" s="11">
        <f>IF(A44="","",J44-M44-N44-O44)</f>
        <v/>
      </c>
    </row>
    <row r="45">
      <c r="A45">
        <f>IFERROR(INDEX('Shopify Import'!$A:$CZ,45,Settings!$E$20)&amp;"","")</f>
        <v/>
      </c>
      <c r="B45">
        <f>IFERROR(INDEX('Shopify Import'!$A:$CZ,45,Settings!$E$21)&amp;"","")</f>
        <v/>
      </c>
      <c r="C45">
        <f>IFERROR(INDEX('Shopify Import'!$A:$CZ,45,Settings!$E$22)&amp;"","")</f>
        <v/>
      </c>
      <c r="D45">
        <f>IF(A45="","",IFERROR(VALUE(SUBSTITUTE(SUBSTITUTE(INDEX('Shopify Import'!$A:$CZ,45,Settings!$E$23)&amp;"","$",""),",","")),0))</f>
        <v/>
      </c>
      <c r="E45" s="11">
        <f>IF(A45="","",IFERROR(VALUE(SUBSTITUTE(SUBSTITUTE(INDEX('Shopify Import'!$A:$CZ,45,Settings!$E$24)&amp;"","$",""),",","")),0))</f>
        <v/>
      </c>
      <c r="F45" s="11">
        <f>IF(A45="","",D45*E45)</f>
        <v/>
      </c>
      <c r="G45">
        <f>IF(A45="","",IF(C45="",1,COUNTIF($C$2:$C$1501,C45)))</f>
        <v/>
      </c>
      <c r="H45" s="11">
        <f>IF(A45="","",IFERROR(VALUE(SUBSTITUTE(SUBSTITUTE(INDEX('Shopify Import'!$A:$CZ,45,Settings!$E$25)&amp;"","$",""),",","")),0)/IF(Settings!$D$27="Yes",G45,1))</f>
        <v/>
      </c>
      <c r="I45" s="11">
        <f>IF(A45="","",IFERROR(VALUE(SUBSTITUTE(SUBSTITUTE(INDEX('Shopify Import'!$A:$CZ,45,Settings!$E$26)&amp;"","$",""),",","")),0)/IF(Settings!$D$27="Yes",G45,1))</f>
        <v/>
      </c>
      <c r="J45" s="11">
        <f>IF(A45="","",F45+H45-I45)</f>
        <v/>
      </c>
      <c r="K45">
        <f>IF(A45="","",IFERROR(IF(B45="",NA(),MATCH(B45,Products!$B$5:$B$204,0)),IFERROR(MATCH(A45,Products!$A$5:$A$204,0),"")))</f>
        <v/>
      </c>
      <c r="L45">
        <f>IF(A45="","",IF(K45="","⚠ not in Products",INDEX(Products!$A$5:$A$204,K45)))</f>
        <v/>
      </c>
      <c r="M45" s="11">
        <f>IF(A45="","",J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45+IFERROR(INDEX(Settings!$D$5:$D$9,MATCH("Shopify",Settings!$A$5:$A$9,0)),0)*D45)</f>
        <v/>
      </c>
      <c r="N45" s="11">
        <f>IF(A45="","",IF(K45="",0,D45*INDEX(Products!$I$5:$I$204,K45)))</f>
        <v/>
      </c>
      <c r="O45" s="11">
        <f>IF(A45="","",IF(K45="",0,J45*INDEX(Products!$H$5:$H$204,K45)))</f>
        <v/>
      </c>
      <c r="P45" s="11">
        <f>IF(A45="","",J45-M45-N45-O45)</f>
        <v/>
      </c>
    </row>
    <row r="46">
      <c r="A46">
        <f>IFERROR(INDEX('Shopify Import'!$A:$CZ,46,Settings!$E$20)&amp;"","")</f>
        <v/>
      </c>
      <c r="B46">
        <f>IFERROR(INDEX('Shopify Import'!$A:$CZ,46,Settings!$E$21)&amp;"","")</f>
        <v/>
      </c>
      <c r="C46">
        <f>IFERROR(INDEX('Shopify Import'!$A:$CZ,46,Settings!$E$22)&amp;"","")</f>
        <v/>
      </c>
      <c r="D46">
        <f>IF(A46="","",IFERROR(VALUE(SUBSTITUTE(SUBSTITUTE(INDEX('Shopify Import'!$A:$CZ,46,Settings!$E$23)&amp;"","$",""),",","")),0))</f>
        <v/>
      </c>
      <c r="E46" s="11">
        <f>IF(A46="","",IFERROR(VALUE(SUBSTITUTE(SUBSTITUTE(INDEX('Shopify Import'!$A:$CZ,46,Settings!$E$24)&amp;"","$",""),",","")),0))</f>
        <v/>
      </c>
      <c r="F46" s="11">
        <f>IF(A46="","",D46*E46)</f>
        <v/>
      </c>
      <c r="G46">
        <f>IF(A46="","",IF(C46="",1,COUNTIF($C$2:$C$1501,C46)))</f>
        <v/>
      </c>
      <c r="H46" s="11">
        <f>IF(A46="","",IFERROR(VALUE(SUBSTITUTE(SUBSTITUTE(INDEX('Shopify Import'!$A:$CZ,46,Settings!$E$25)&amp;"","$",""),",","")),0)/IF(Settings!$D$27="Yes",G46,1))</f>
        <v/>
      </c>
      <c r="I46" s="11">
        <f>IF(A46="","",IFERROR(VALUE(SUBSTITUTE(SUBSTITUTE(INDEX('Shopify Import'!$A:$CZ,46,Settings!$E$26)&amp;"","$",""),",","")),0)/IF(Settings!$D$27="Yes",G46,1))</f>
        <v/>
      </c>
      <c r="J46" s="11">
        <f>IF(A46="","",F46+H46-I46)</f>
        <v/>
      </c>
      <c r="K46">
        <f>IF(A46="","",IFERROR(IF(B46="",NA(),MATCH(B46,Products!$B$5:$B$204,0)),IFERROR(MATCH(A46,Products!$A$5:$A$204,0),"")))</f>
        <v/>
      </c>
      <c r="L46">
        <f>IF(A46="","",IF(K46="","⚠ not in Products",INDEX(Products!$A$5:$A$204,K46)))</f>
        <v/>
      </c>
      <c r="M46" s="11">
        <f>IF(A46="","",J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46+IFERROR(INDEX(Settings!$D$5:$D$9,MATCH("Shopify",Settings!$A$5:$A$9,0)),0)*D46)</f>
        <v/>
      </c>
      <c r="N46" s="11">
        <f>IF(A46="","",IF(K46="",0,D46*INDEX(Products!$I$5:$I$204,K46)))</f>
        <v/>
      </c>
      <c r="O46" s="11">
        <f>IF(A46="","",IF(K46="",0,J46*INDEX(Products!$H$5:$H$204,K46)))</f>
        <v/>
      </c>
      <c r="P46" s="11">
        <f>IF(A46="","",J46-M46-N46-O46)</f>
        <v/>
      </c>
    </row>
    <row r="47">
      <c r="A47">
        <f>IFERROR(INDEX('Shopify Import'!$A:$CZ,47,Settings!$E$20)&amp;"","")</f>
        <v/>
      </c>
      <c r="B47">
        <f>IFERROR(INDEX('Shopify Import'!$A:$CZ,47,Settings!$E$21)&amp;"","")</f>
        <v/>
      </c>
      <c r="C47">
        <f>IFERROR(INDEX('Shopify Import'!$A:$CZ,47,Settings!$E$22)&amp;"","")</f>
        <v/>
      </c>
      <c r="D47">
        <f>IF(A47="","",IFERROR(VALUE(SUBSTITUTE(SUBSTITUTE(INDEX('Shopify Import'!$A:$CZ,47,Settings!$E$23)&amp;"","$",""),",","")),0))</f>
        <v/>
      </c>
      <c r="E47" s="11">
        <f>IF(A47="","",IFERROR(VALUE(SUBSTITUTE(SUBSTITUTE(INDEX('Shopify Import'!$A:$CZ,47,Settings!$E$24)&amp;"","$",""),",","")),0))</f>
        <v/>
      </c>
      <c r="F47" s="11">
        <f>IF(A47="","",D47*E47)</f>
        <v/>
      </c>
      <c r="G47">
        <f>IF(A47="","",IF(C47="",1,COUNTIF($C$2:$C$1501,C47)))</f>
        <v/>
      </c>
      <c r="H47" s="11">
        <f>IF(A47="","",IFERROR(VALUE(SUBSTITUTE(SUBSTITUTE(INDEX('Shopify Import'!$A:$CZ,47,Settings!$E$25)&amp;"","$",""),",","")),0)/IF(Settings!$D$27="Yes",G47,1))</f>
        <v/>
      </c>
      <c r="I47" s="11">
        <f>IF(A47="","",IFERROR(VALUE(SUBSTITUTE(SUBSTITUTE(INDEX('Shopify Import'!$A:$CZ,47,Settings!$E$26)&amp;"","$",""),",","")),0)/IF(Settings!$D$27="Yes",G47,1))</f>
        <v/>
      </c>
      <c r="J47" s="11">
        <f>IF(A47="","",F47+H47-I47)</f>
        <v/>
      </c>
      <c r="K47">
        <f>IF(A47="","",IFERROR(IF(B47="",NA(),MATCH(B47,Products!$B$5:$B$204,0)),IFERROR(MATCH(A47,Products!$A$5:$A$204,0),"")))</f>
        <v/>
      </c>
      <c r="L47">
        <f>IF(A47="","",IF(K47="","⚠ not in Products",INDEX(Products!$A$5:$A$204,K47)))</f>
        <v/>
      </c>
      <c r="M47" s="11">
        <f>IF(A47="","",J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47+IFERROR(INDEX(Settings!$D$5:$D$9,MATCH("Shopify",Settings!$A$5:$A$9,0)),0)*D47)</f>
        <v/>
      </c>
      <c r="N47" s="11">
        <f>IF(A47="","",IF(K47="",0,D47*INDEX(Products!$I$5:$I$204,K47)))</f>
        <v/>
      </c>
      <c r="O47" s="11">
        <f>IF(A47="","",IF(K47="",0,J47*INDEX(Products!$H$5:$H$204,K47)))</f>
        <v/>
      </c>
      <c r="P47" s="11">
        <f>IF(A47="","",J47-M47-N47-O47)</f>
        <v/>
      </c>
    </row>
    <row r="48">
      <c r="A48">
        <f>IFERROR(INDEX('Shopify Import'!$A:$CZ,48,Settings!$E$20)&amp;"","")</f>
        <v/>
      </c>
      <c r="B48">
        <f>IFERROR(INDEX('Shopify Import'!$A:$CZ,48,Settings!$E$21)&amp;"","")</f>
        <v/>
      </c>
      <c r="C48">
        <f>IFERROR(INDEX('Shopify Import'!$A:$CZ,48,Settings!$E$22)&amp;"","")</f>
        <v/>
      </c>
      <c r="D48">
        <f>IF(A48="","",IFERROR(VALUE(SUBSTITUTE(SUBSTITUTE(INDEX('Shopify Import'!$A:$CZ,48,Settings!$E$23)&amp;"","$",""),",","")),0))</f>
        <v/>
      </c>
      <c r="E48" s="11">
        <f>IF(A48="","",IFERROR(VALUE(SUBSTITUTE(SUBSTITUTE(INDEX('Shopify Import'!$A:$CZ,48,Settings!$E$24)&amp;"","$",""),",","")),0))</f>
        <v/>
      </c>
      <c r="F48" s="11">
        <f>IF(A48="","",D48*E48)</f>
        <v/>
      </c>
      <c r="G48">
        <f>IF(A48="","",IF(C48="",1,COUNTIF($C$2:$C$1501,C48)))</f>
        <v/>
      </c>
      <c r="H48" s="11">
        <f>IF(A48="","",IFERROR(VALUE(SUBSTITUTE(SUBSTITUTE(INDEX('Shopify Import'!$A:$CZ,48,Settings!$E$25)&amp;"","$",""),",","")),0)/IF(Settings!$D$27="Yes",G48,1))</f>
        <v/>
      </c>
      <c r="I48" s="11">
        <f>IF(A48="","",IFERROR(VALUE(SUBSTITUTE(SUBSTITUTE(INDEX('Shopify Import'!$A:$CZ,48,Settings!$E$26)&amp;"","$",""),",","")),0)/IF(Settings!$D$27="Yes",G48,1))</f>
        <v/>
      </c>
      <c r="J48" s="11">
        <f>IF(A48="","",F48+H48-I48)</f>
        <v/>
      </c>
      <c r="K48">
        <f>IF(A48="","",IFERROR(IF(B48="",NA(),MATCH(B48,Products!$B$5:$B$204,0)),IFERROR(MATCH(A48,Products!$A$5:$A$204,0),"")))</f>
        <v/>
      </c>
      <c r="L48">
        <f>IF(A48="","",IF(K48="","⚠ not in Products",INDEX(Products!$A$5:$A$204,K48)))</f>
        <v/>
      </c>
      <c r="M48" s="11">
        <f>IF(A48="","",J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48+IFERROR(INDEX(Settings!$D$5:$D$9,MATCH("Shopify",Settings!$A$5:$A$9,0)),0)*D48)</f>
        <v/>
      </c>
      <c r="N48" s="11">
        <f>IF(A48="","",IF(K48="",0,D48*INDEX(Products!$I$5:$I$204,K48)))</f>
        <v/>
      </c>
      <c r="O48" s="11">
        <f>IF(A48="","",IF(K48="",0,J48*INDEX(Products!$H$5:$H$204,K48)))</f>
        <v/>
      </c>
      <c r="P48" s="11">
        <f>IF(A48="","",J48-M48-N48-O48)</f>
        <v/>
      </c>
    </row>
    <row r="49">
      <c r="A49">
        <f>IFERROR(INDEX('Shopify Import'!$A:$CZ,49,Settings!$E$20)&amp;"","")</f>
        <v/>
      </c>
      <c r="B49">
        <f>IFERROR(INDEX('Shopify Import'!$A:$CZ,49,Settings!$E$21)&amp;"","")</f>
        <v/>
      </c>
      <c r="C49">
        <f>IFERROR(INDEX('Shopify Import'!$A:$CZ,49,Settings!$E$22)&amp;"","")</f>
        <v/>
      </c>
      <c r="D49">
        <f>IF(A49="","",IFERROR(VALUE(SUBSTITUTE(SUBSTITUTE(INDEX('Shopify Import'!$A:$CZ,49,Settings!$E$23)&amp;"","$",""),",","")),0))</f>
        <v/>
      </c>
      <c r="E49" s="11">
        <f>IF(A49="","",IFERROR(VALUE(SUBSTITUTE(SUBSTITUTE(INDEX('Shopify Import'!$A:$CZ,49,Settings!$E$24)&amp;"","$",""),",","")),0))</f>
        <v/>
      </c>
      <c r="F49" s="11">
        <f>IF(A49="","",D49*E49)</f>
        <v/>
      </c>
      <c r="G49">
        <f>IF(A49="","",IF(C49="",1,COUNTIF($C$2:$C$1501,C49)))</f>
        <v/>
      </c>
      <c r="H49" s="11">
        <f>IF(A49="","",IFERROR(VALUE(SUBSTITUTE(SUBSTITUTE(INDEX('Shopify Import'!$A:$CZ,49,Settings!$E$25)&amp;"","$",""),",","")),0)/IF(Settings!$D$27="Yes",G49,1))</f>
        <v/>
      </c>
      <c r="I49" s="11">
        <f>IF(A49="","",IFERROR(VALUE(SUBSTITUTE(SUBSTITUTE(INDEX('Shopify Import'!$A:$CZ,49,Settings!$E$26)&amp;"","$",""),",","")),0)/IF(Settings!$D$27="Yes",G49,1))</f>
        <v/>
      </c>
      <c r="J49" s="11">
        <f>IF(A49="","",F49+H49-I49)</f>
        <v/>
      </c>
      <c r="K49">
        <f>IF(A49="","",IFERROR(IF(B49="",NA(),MATCH(B49,Products!$B$5:$B$204,0)),IFERROR(MATCH(A49,Products!$A$5:$A$204,0),"")))</f>
        <v/>
      </c>
      <c r="L49">
        <f>IF(A49="","",IF(K49="","⚠ not in Products",INDEX(Products!$A$5:$A$204,K49)))</f>
        <v/>
      </c>
      <c r="M49" s="11">
        <f>IF(A49="","",J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49+IFERROR(INDEX(Settings!$D$5:$D$9,MATCH("Shopify",Settings!$A$5:$A$9,0)),0)*D49)</f>
        <v/>
      </c>
      <c r="N49" s="11">
        <f>IF(A49="","",IF(K49="",0,D49*INDEX(Products!$I$5:$I$204,K49)))</f>
        <v/>
      </c>
      <c r="O49" s="11">
        <f>IF(A49="","",IF(K49="",0,J49*INDEX(Products!$H$5:$H$204,K49)))</f>
        <v/>
      </c>
      <c r="P49" s="11">
        <f>IF(A49="","",J49-M49-N49-O49)</f>
        <v/>
      </c>
    </row>
    <row r="50">
      <c r="A50">
        <f>IFERROR(INDEX('Shopify Import'!$A:$CZ,50,Settings!$E$20)&amp;"","")</f>
        <v/>
      </c>
      <c r="B50">
        <f>IFERROR(INDEX('Shopify Import'!$A:$CZ,50,Settings!$E$21)&amp;"","")</f>
        <v/>
      </c>
      <c r="C50">
        <f>IFERROR(INDEX('Shopify Import'!$A:$CZ,50,Settings!$E$22)&amp;"","")</f>
        <v/>
      </c>
      <c r="D50">
        <f>IF(A50="","",IFERROR(VALUE(SUBSTITUTE(SUBSTITUTE(INDEX('Shopify Import'!$A:$CZ,50,Settings!$E$23)&amp;"","$",""),",","")),0))</f>
        <v/>
      </c>
      <c r="E50" s="11">
        <f>IF(A50="","",IFERROR(VALUE(SUBSTITUTE(SUBSTITUTE(INDEX('Shopify Import'!$A:$CZ,50,Settings!$E$24)&amp;"","$",""),",","")),0))</f>
        <v/>
      </c>
      <c r="F50" s="11">
        <f>IF(A50="","",D50*E50)</f>
        <v/>
      </c>
      <c r="G50">
        <f>IF(A50="","",IF(C50="",1,COUNTIF($C$2:$C$1501,C50)))</f>
        <v/>
      </c>
      <c r="H50" s="11">
        <f>IF(A50="","",IFERROR(VALUE(SUBSTITUTE(SUBSTITUTE(INDEX('Shopify Import'!$A:$CZ,50,Settings!$E$25)&amp;"","$",""),",","")),0)/IF(Settings!$D$27="Yes",G50,1))</f>
        <v/>
      </c>
      <c r="I50" s="11">
        <f>IF(A50="","",IFERROR(VALUE(SUBSTITUTE(SUBSTITUTE(INDEX('Shopify Import'!$A:$CZ,50,Settings!$E$26)&amp;"","$",""),",","")),0)/IF(Settings!$D$27="Yes",G50,1))</f>
        <v/>
      </c>
      <c r="J50" s="11">
        <f>IF(A50="","",F50+H50-I50)</f>
        <v/>
      </c>
      <c r="K50">
        <f>IF(A50="","",IFERROR(IF(B50="",NA(),MATCH(B50,Products!$B$5:$B$204,0)),IFERROR(MATCH(A50,Products!$A$5:$A$204,0),"")))</f>
        <v/>
      </c>
      <c r="L50">
        <f>IF(A50="","",IF(K50="","⚠ not in Products",INDEX(Products!$A$5:$A$204,K50)))</f>
        <v/>
      </c>
      <c r="M50" s="11">
        <f>IF(A50="","",J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50+IFERROR(INDEX(Settings!$D$5:$D$9,MATCH("Shopify",Settings!$A$5:$A$9,0)),0)*D50)</f>
        <v/>
      </c>
      <c r="N50" s="11">
        <f>IF(A50="","",IF(K50="",0,D50*INDEX(Products!$I$5:$I$204,K50)))</f>
        <v/>
      </c>
      <c r="O50" s="11">
        <f>IF(A50="","",IF(K50="",0,J50*INDEX(Products!$H$5:$H$204,K50)))</f>
        <v/>
      </c>
      <c r="P50" s="11">
        <f>IF(A50="","",J50-M50-N50-O50)</f>
        <v/>
      </c>
    </row>
    <row r="51">
      <c r="A51">
        <f>IFERROR(INDEX('Shopify Import'!$A:$CZ,51,Settings!$E$20)&amp;"","")</f>
        <v/>
      </c>
      <c r="B51">
        <f>IFERROR(INDEX('Shopify Import'!$A:$CZ,51,Settings!$E$21)&amp;"","")</f>
        <v/>
      </c>
      <c r="C51">
        <f>IFERROR(INDEX('Shopify Import'!$A:$CZ,51,Settings!$E$22)&amp;"","")</f>
        <v/>
      </c>
      <c r="D51">
        <f>IF(A51="","",IFERROR(VALUE(SUBSTITUTE(SUBSTITUTE(INDEX('Shopify Import'!$A:$CZ,51,Settings!$E$23)&amp;"","$",""),",","")),0))</f>
        <v/>
      </c>
      <c r="E51" s="11">
        <f>IF(A51="","",IFERROR(VALUE(SUBSTITUTE(SUBSTITUTE(INDEX('Shopify Import'!$A:$CZ,51,Settings!$E$24)&amp;"","$",""),",","")),0))</f>
        <v/>
      </c>
      <c r="F51" s="11">
        <f>IF(A51="","",D51*E51)</f>
        <v/>
      </c>
      <c r="G51">
        <f>IF(A51="","",IF(C51="",1,COUNTIF($C$2:$C$1501,C51)))</f>
        <v/>
      </c>
      <c r="H51" s="11">
        <f>IF(A51="","",IFERROR(VALUE(SUBSTITUTE(SUBSTITUTE(INDEX('Shopify Import'!$A:$CZ,51,Settings!$E$25)&amp;"","$",""),",","")),0)/IF(Settings!$D$27="Yes",G51,1))</f>
        <v/>
      </c>
      <c r="I51" s="11">
        <f>IF(A51="","",IFERROR(VALUE(SUBSTITUTE(SUBSTITUTE(INDEX('Shopify Import'!$A:$CZ,51,Settings!$E$26)&amp;"","$",""),",","")),0)/IF(Settings!$D$27="Yes",G51,1))</f>
        <v/>
      </c>
      <c r="J51" s="11">
        <f>IF(A51="","",F51+H51-I51)</f>
        <v/>
      </c>
      <c r="K51">
        <f>IF(A51="","",IFERROR(IF(B51="",NA(),MATCH(B51,Products!$B$5:$B$204,0)),IFERROR(MATCH(A51,Products!$A$5:$A$204,0),"")))</f>
        <v/>
      </c>
      <c r="L51">
        <f>IF(A51="","",IF(K51="","⚠ not in Products",INDEX(Products!$A$5:$A$204,K51)))</f>
        <v/>
      </c>
      <c r="M51" s="11">
        <f>IF(A51="","",J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51+IFERROR(INDEX(Settings!$D$5:$D$9,MATCH("Shopify",Settings!$A$5:$A$9,0)),0)*D51)</f>
        <v/>
      </c>
      <c r="N51" s="11">
        <f>IF(A51="","",IF(K51="",0,D51*INDEX(Products!$I$5:$I$204,K51)))</f>
        <v/>
      </c>
      <c r="O51" s="11">
        <f>IF(A51="","",IF(K51="",0,J51*INDEX(Products!$H$5:$H$204,K51)))</f>
        <v/>
      </c>
      <c r="P51" s="11">
        <f>IF(A51="","",J51-M51-N51-O51)</f>
        <v/>
      </c>
    </row>
    <row r="52">
      <c r="A52">
        <f>IFERROR(INDEX('Shopify Import'!$A:$CZ,52,Settings!$E$20)&amp;"","")</f>
        <v/>
      </c>
      <c r="B52">
        <f>IFERROR(INDEX('Shopify Import'!$A:$CZ,52,Settings!$E$21)&amp;"","")</f>
        <v/>
      </c>
      <c r="C52">
        <f>IFERROR(INDEX('Shopify Import'!$A:$CZ,52,Settings!$E$22)&amp;"","")</f>
        <v/>
      </c>
      <c r="D52">
        <f>IF(A52="","",IFERROR(VALUE(SUBSTITUTE(SUBSTITUTE(INDEX('Shopify Import'!$A:$CZ,52,Settings!$E$23)&amp;"","$",""),",","")),0))</f>
        <v/>
      </c>
      <c r="E52" s="11">
        <f>IF(A52="","",IFERROR(VALUE(SUBSTITUTE(SUBSTITUTE(INDEX('Shopify Import'!$A:$CZ,52,Settings!$E$24)&amp;"","$",""),",","")),0))</f>
        <v/>
      </c>
      <c r="F52" s="11">
        <f>IF(A52="","",D52*E52)</f>
        <v/>
      </c>
      <c r="G52">
        <f>IF(A52="","",IF(C52="",1,COUNTIF($C$2:$C$1501,C52)))</f>
        <v/>
      </c>
      <c r="H52" s="11">
        <f>IF(A52="","",IFERROR(VALUE(SUBSTITUTE(SUBSTITUTE(INDEX('Shopify Import'!$A:$CZ,52,Settings!$E$25)&amp;"","$",""),",","")),0)/IF(Settings!$D$27="Yes",G52,1))</f>
        <v/>
      </c>
      <c r="I52" s="11">
        <f>IF(A52="","",IFERROR(VALUE(SUBSTITUTE(SUBSTITUTE(INDEX('Shopify Import'!$A:$CZ,52,Settings!$E$26)&amp;"","$",""),",","")),0)/IF(Settings!$D$27="Yes",G52,1))</f>
        <v/>
      </c>
      <c r="J52" s="11">
        <f>IF(A52="","",F52+H52-I52)</f>
        <v/>
      </c>
      <c r="K52">
        <f>IF(A52="","",IFERROR(IF(B52="",NA(),MATCH(B52,Products!$B$5:$B$204,0)),IFERROR(MATCH(A52,Products!$A$5:$A$204,0),"")))</f>
        <v/>
      </c>
      <c r="L52">
        <f>IF(A52="","",IF(K52="","⚠ not in Products",INDEX(Products!$A$5:$A$204,K52)))</f>
        <v/>
      </c>
      <c r="M52" s="11">
        <f>IF(A52="","",J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52+IFERROR(INDEX(Settings!$D$5:$D$9,MATCH("Shopify",Settings!$A$5:$A$9,0)),0)*D52)</f>
        <v/>
      </c>
      <c r="N52" s="11">
        <f>IF(A52="","",IF(K52="",0,D52*INDEX(Products!$I$5:$I$204,K52)))</f>
        <v/>
      </c>
      <c r="O52" s="11">
        <f>IF(A52="","",IF(K52="",0,J52*INDEX(Products!$H$5:$H$204,K52)))</f>
        <v/>
      </c>
      <c r="P52" s="11">
        <f>IF(A52="","",J52-M52-N52-O52)</f>
        <v/>
      </c>
    </row>
    <row r="53">
      <c r="A53">
        <f>IFERROR(INDEX('Shopify Import'!$A:$CZ,53,Settings!$E$20)&amp;"","")</f>
        <v/>
      </c>
      <c r="B53">
        <f>IFERROR(INDEX('Shopify Import'!$A:$CZ,53,Settings!$E$21)&amp;"","")</f>
        <v/>
      </c>
      <c r="C53">
        <f>IFERROR(INDEX('Shopify Import'!$A:$CZ,53,Settings!$E$22)&amp;"","")</f>
        <v/>
      </c>
      <c r="D53">
        <f>IF(A53="","",IFERROR(VALUE(SUBSTITUTE(SUBSTITUTE(INDEX('Shopify Import'!$A:$CZ,53,Settings!$E$23)&amp;"","$",""),",","")),0))</f>
        <v/>
      </c>
      <c r="E53" s="11">
        <f>IF(A53="","",IFERROR(VALUE(SUBSTITUTE(SUBSTITUTE(INDEX('Shopify Import'!$A:$CZ,53,Settings!$E$24)&amp;"","$",""),",","")),0))</f>
        <v/>
      </c>
      <c r="F53" s="11">
        <f>IF(A53="","",D53*E53)</f>
        <v/>
      </c>
      <c r="G53">
        <f>IF(A53="","",IF(C53="",1,COUNTIF($C$2:$C$1501,C53)))</f>
        <v/>
      </c>
      <c r="H53" s="11">
        <f>IF(A53="","",IFERROR(VALUE(SUBSTITUTE(SUBSTITUTE(INDEX('Shopify Import'!$A:$CZ,53,Settings!$E$25)&amp;"","$",""),",","")),0)/IF(Settings!$D$27="Yes",G53,1))</f>
        <v/>
      </c>
      <c r="I53" s="11">
        <f>IF(A53="","",IFERROR(VALUE(SUBSTITUTE(SUBSTITUTE(INDEX('Shopify Import'!$A:$CZ,53,Settings!$E$26)&amp;"","$",""),",","")),0)/IF(Settings!$D$27="Yes",G53,1))</f>
        <v/>
      </c>
      <c r="J53" s="11">
        <f>IF(A53="","",F53+H53-I53)</f>
        <v/>
      </c>
      <c r="K53">
        <f>IF(A53="","",IFERROR(IF(B53="",NA(),MATCH(B53,Products!$B$5:$B$204,0)),IFERROR(MATCH(A53,Products!$A$5:$A$204,0),"")))</f>
        <v/>
      </c>
      <c r="L53">
        <f>IF(A53="","",IF(K53="","⚠ not in Products",INDEX(Products!$A$5:$A$204,K53)))</f>
        <v/>
      </c>
      <c r="M53" s="11">
        <f>IF(A53="","",J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53+IFERROR(INDEX(Settings!$D$5:$D$9,MATCH("Shopify",Settings!$A$5:$A$9,0)),0)*D53)</f>
        <v/>
      </c>
      <c r="N53" s="11">
        <f>IF(A53="","",IF(K53="",0,D53*INDEX(Products!$I$5:$I$204,K53)))</f>
        <v/>
      </c>
      <c r="O53" s="11">
        <f>IF(A53="","",IF(K53="",0,J53*INDEX(Products!$H$5:$H$204,K53)))</f>
        <v/>
      </c>
      <c r="P53" s="11">
        <f>IF(A53="","",J53-M53-N53-O53)</f>
        <v/>
      </c>
    </row>
    <row r="54">
      <c r="A54">
        <f>IFERROR(INDEX('Shopify Import'!$A:$CZ,54,Settings!$E$20)&amp;"","")</f>
        <v/>
      </c>
      <c r="B54">
        <f>IFERROR(INDEX('Shopify Import'!$A:$CZ,54,Settings!$E$21)&amp;"","")</f>
        <v/>
      </c>
      <c r="C54">
        <f>IFERROR(INDEX('Shopify Import'!$A:$CZ,54,Settings!$E$22)&amp;"","")</f>
        <v/>
      </c>
      <c r="D54">
        <f>IF(A54="","",IFERROR(VALUE(SUBSTITUTE(SUBSTITUTE(INDEX('Shopify Import'!$A:$CZ,54,Settings!$E$23)&amp;"","$",""),",","")),0))</f>
        <v/>
      </c>
      <c r="E54" s="11">
        <f>IF(A54="","",IFERROR(VALUE(SUBSTITUTE(SUBSTITUTE(INDEX('Shopify Import'!$A:$CZ,54,Settings!$E$24)&amp;"","$",""),",","")),0))</f>
        <v/>
      </c>
      <c r="F54" s="11">
        <f>IF(A54="","",D54*E54)</f>
        <v/>
      </c>
      <c r="G54">
        <f>IF(A54="","",IF(C54="",1,COUNTIF($C$2:$C$1501,C54)))</f>
        <v/>
      </c>
      <c r="H54" s="11">
        <f>IF(A54="","",IFERROR(VALUE(SUBSTITUTE(SUBSTITUTE(INDEX('Shopify Import'!$A:$CZ,54,Settings!$E$25)&amp;"","$",""),",","")),0)/IF(Settings!$D$27="Yes",G54,1))</f>
        <v/>
      </c>
      <c r="I54" s="11">
        <f>IF(A54="","",IFERROR(VALUE(SUBSTITUTE(SUBSTITUTE(INDEX('Shopify Import'!$A:$CZ,54,Settings!$E$26)&amp;"","$",""),",","")),0)/IF(Settings!$D$27="Yes",G54,1))</f>
        <v/>
      </c>
      <c r="J54" s="11">
        <f>IF(A54="","",F54+H54-I54)</f>
        <v/>
      </c>
      <c r="K54">
        <f>IF(A54="","",IFERROR(IF(B54="",NA(),MATCH(B54,Products!$B$5:$B$204,0)),IFERROR(MATCH(A54,Products!$A$5:$A$204,0),"")))</f>
        <v/>
      </c>
      <c r="L54">
        <f>IF(A54="","",IF(K54="","⚠ not in Products",INDEX(Products!$A$5:$A$204,K54)))</f>
        <v/>
      </c>
      <c r="M54" s="11">
        <f>IF(A54="","",J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54+IFERROR(INDEX(Settings!$D$5:$D$9,MATCH("Shopify",Settings!$A$5:$A$9,0)),0)*D54)</f>
        <v/>
      </c>
      <c r="N54" s="11">
        <f>IF(A54="","",IF(K54="",0,D54*INDEX(Products!$I$5:$I$204,K54)))</f>
        <v/>
      </c>
      <c r="O54" s="11">
        <f>IF(A54="","",IF(K54="",0,J54*INDEX(Products!$H$5:$H$204,K54)))</f>
        <v/>
      </c>
      <c r="P54" s="11">
        <f>IF(A54="","",J54-M54-N54-O54)</f>
        <v/>
      </c>
    </row>
    <row r="55">
      <c r="A55">
        <f>IFERROR(INDEX('Shopify Import'!$A:$CZ,55,Settings!$E$20)&amp;"","")</f>
        <v/>
      </c>
      <c r="B55">
        <f>IFERROR(INDEX('Shopify Import'!$A:$CZ,55,Settings!$E$21)&amp;"","")</f>
        <v/>
      </c>
      <c r="C55">
        <f>IFERROR(INDEX('Shopify Import'!$A:$CZ,55,Settings!$E$22)&amp;"","")</f>
        <v/>
      </c>
      <c r="D55">
        <f>IF(A55="","",IFERROR(VALUE(SUBSTITUTE(SUBSTITUTE(INDEX('Shopify Import'!$A:$CZ,55,Settings!$E$23)&amp;"","$",""),",","")),0))</f>
        <v/>
      </c>
      <c r="E55" s="11">
        <f>IF(A55="","",IFERROR(VALUE(SUBSTITUTE(SUBSTITUTE(INDEX('Shopify Import'!$A:$CZ,55,Settings!$E$24)&amp;"","$",""),",","")),0))</f>
        <v/>
      </c>
      <c r="F55" s="11">
        <f>IF(A55="","",D55*E55)</f>
        <v/>
      </c>
      <c r="G55">
        <f>IF(A55="","",IF(C55="",1,COUNTIF($C$2:$C$1501,C55)))</f>
        <v/>
      </c>
      <c r="H55" s="11">
        <f>IF(A55="","",IFERROR(VALUE(SUBSTITUTE(SUBSTITUTE(INDEX('Shopify Import'!$A:$CZ,55,Settings!$E$25)&amp;"","$",""),",","")),0)/IF(Settings!$D$27="Yes",G55,1))</f>
        <v/>
      </c>
      <c r="I55" s="11">
        <f>IF(A55="","",IFERROR(VALUE(SUBSTITUTE(SUBSTITUTE(INDEX('Shopify Import'!$A:$CZ,55,Settings!$E$26)&amp;"","$",""),",","")),0)/IF(Settings!$D$27="Yes",G55,1))</f>
        <v/>
      </c>
      <c r="J55" s="11">
        <f>IF(A55="","",F55+H55-I55)</f>
        <v/>
      </c>
      <c r="K55">
        <f>IF(A55="","",IFERROR(IF(B55="",NA(),MATCH(B55,Products!$B$5:$B$204,0)),IFERROR(MATCH(A55,Products!$A$5:$A$204,0),"")))</f>
        <v/>
      </c>
      <c r="L55">
        <f>IF(A55="","",IF(K55="","⚠ not in Products",INDEX(Products!$A$5:$A$204,K55)))</f>
        <v/>
      </c>
      <c r="M55" s="11">
        <f>IF(A55="","",J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55+IFERROR(INDEX(Settings!$D$5:$D$9,MATCH("Shopify",Settings!$A$5:$A$9,0)),0)*D55)</f>
        <v/>
      </c>
      <c r="N55" s="11">
        <f>IF(A55="","",IF(K55="",0,D55*INDEX(Products!$I$5:$I$204,K55)))</f>
        <v/>
      </c>
      <c r="O55" s="11">
        <f>IF(A55="","",IF(K55="",0,J55*INDEX(Products!$H$5:$H$204,K55)))</f>
        <v/>
      </c>
      <c r="P55" s="11">
        <f>IF(A55="","",J55-M55-N55-O55)</f>
        <v/>
      </c>
    </row>
    <row r="56">
      <c r="A56">
        <f>IFERROR(INDEX('Shopify Import'!$A:$CZ,56,Settings!$E$20)&amp;"","")</f>
        <v/>
      </c>
      <c r="B56">
        <f>IFERROR(INDEX('Shopify Import'!$A:$CZ,56,Settings!$E$21)&amp;"","")</f>
        <v/>
      </c>
      <c r="C56">
        <f>IFERROR(INDEX('Shopify Import'!$A:$CZ,56,Settings!$E$22)&amp;"","")</f>
        <v/>
      </c>
      <c r="D56">
        <f>IF(A56="","",IFERROR(VALUE(SUBSTITUTE(SUBSTITUTE(INDEX('Shopify Import'!$A:$CZ,56,Settings!$E$23)&amp;"","$",""),",","")),0))</f>
        <v/>
      </c>
      <c r="E56" s="11">
        <f>IF(A56="","",IFERROR(VALUE(SUBSTITUTE(SUBSTITUTE(INDEX('Shopify Import'!$A:$CZ,56,Settings!$E$24)&amp;"","$",""),",","")),0))</f>
        <v/>
      </c>
      <c r="F56" s="11">
        <f>IF(A56="","",D56*E56)</f>
        <v/>
      </c>
      <c r="G56">
        <f>IF(A56="","",IF(C56="",1,COUNTIF($C$2:$C$1501,C56)))</f>
        <v/>
      </c>
      <c r="H56" s="11">
        <f>IF(A56="","",IFERROR(VALUE(SUBSTITUTE(SUBSTITUTE(INDEX('Shopify Import'!$A:$CZ,56,Settings!$E$25)&amp;"","$",""),",","")),0)/IF(Settings!$D$27="Yes",G56,1))</f>
        <v/>
      </c>
      <c r="I56" s="11">
        <f>IF(A56="","",IFERROR(VALUE(SUBSTITUTE(SUBSTITUTE(INDEX('Shopify Import'!$A:$CZ,56,Settings!$E$26)&amp;"","$",""),",","")),0)/IF(Settings!$D$27="Yes",G56,1))</f>
        <v/>
      </c>
      <c r="J56" s="11">
        <f>IF(A56="","",F56+H56-I56)</f>
        <v/>
      </c>
      <c r="K56">
        <f>IF(A56="","",IFERROR(IF(B56="",NA(),MATCH(B56,Products!$B$5:$B$204,0)),IFERROR(MATCH(A56,Products!$A$5:$A$204,0),"")))</f>
        <v/>
      </c>
      <c r="L56">
        <f>IF(A56="","",IF(K56="","⚠ not in Products",INDEX(Products!$A$5:$A$204,K56)))</f>
        <v/>
      </c>
      <c r="M56" s="11">
        <f>IF(A56="","",J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56+IFERROR(INDEX(Settings!$D$5:$D$9,MATCH("Shopify",Settings!$A$5:$A$9,0)),0)*D56)</f>
        <v/>
      </c>
      <c r="N56" s="11">
        <f>IF(A56="","",IF(K56="",0,D56*INDEX(Products!$I$5:$I$204,K56)))</f>
        <v/>
      </c>
      <c r="O56" s="11">
        <f>IF(A56="","",IF(K56="",0,J56*INDEX(Products!$H$5:$H$204,K56)))</f>
        <v/>
      </c>
      <c r="P56" s="11">
        <f>IF(A56="","",J56-M56-N56-O56)</f>
        <v/>
      </c>
    </row>
    <row r="57">
      <c r="A57">
        <f>IFERROR(INDEX('Shopify Import'!$A:$CZ,57,Settings!$E$20)&amp;"","")</f>
        <v/>
      </c>
      <c r="B57">
        <f>IFERROR(INDEX('Shopify Import'!$A:$CZ,57,Settings!$E$21)&amp;"","")</f>
        <v/>
      </c>
      <c r="C57">
        <f>IFERROR(INDEX('Shopify Import'!$A:$CZ,57,Settings!$E$22)&amp;"","")</f>
        <v/>
      </c>
      <c r="D57">
        <f>IF(A57="","",IFERROR(VALUE(SUBSTITUTE(SUBSTITUTE(INDEX('Shopify Import'!$A:$CZ,57,Settings!$E$23)&amp;"","$",""),",","")),0))</f>
        <v/>
      </c>
      <c r="E57" s="11">
        <f>IF(A57="","",IFERROR(VALUE(SUBSTITUTE(SUBSTITUTE(INDEX('Shopify Import'!$A:$CZ,57,Settings!$E$24)&amp;"","$",""),",","")),0))</f>
        <v/>
      </c>
      <c r="F57" s="11">
        <f>IF(A57="","",D57*E57)</f>
        <v/>
      </c>
      <c r="G57">
        <f>IF(A57="","",IF(C57="",1,COUNTIF($C$2:$C$1501,C57)))</f>
        <v/>
      </c>
      <c r="H57" s="11">
        <f>IF(A57="","",IFERROR(VALUE(SUBSTITUTE(SUBSTITUTE(INDEX('Shopify Import'!$A:$CZ,57,Settings!$E$25)&amp;"","$",""),",","")),0)/IF(Settings!$D$27="Yes",G57,1))</f>
        <v/>
      </c>
      <c r="I57" s="11">
        <f>IF(A57="","",IFERROR(VALUE(SUBSTITUTE(SUBSTITUTE(INDEX('Shopify Import'!$A:$CZ,57,Settings!$E$26)&amp;"","$",""),",","")),0)/IF(Settings!$D$27="Yes",G57,1))</f>
        <v/>
      </c>
      <c r="J57" s="11">
        <f>IF(A57="","",F57+H57-I57)</f>
        <v/>
      </c>
      <c r="K57">
        <f>IF(A57="","",IFERROR(IF(B57="",NA(),MATCH(B57,Products!$B$5:$B$204,0)),IFERROR(MATCH(A57,Products!$A$5:$A$204,0),"")))</f>
        <v/>
      </c>
      <c r="L57">
        <f>IF(A57="","",IF(K57="","⚠ not in Products",INDEX(Products!$A$5:$A$204,K57)))</f>
        <v/>
      </c>
      <c r="M57" s="11">
        <f>IF(A57="","",J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57+IFERROR(INDEX(Settings!$D$5:$D$9,MATCH("Shopify",Settings!$A$5:$A$9,0)),0)*D57)</f>
        <v/>
      </c>
      <c r="N57" s="11">
        <f>IF(A57="","",IF(K57="",0,D57*INDEX(Products!$I$5:$I$204,K57)))</f>
        <v/>
      </c>
      <c r="O57" s="11">
        <f>IF(A57="","",IF(K57="",0,J57*INDEX(Products!$H$5:$H$204,K57)))</f>
        <v/>
      </c>
      <c r="P57" s="11">
        <f>IF(A57="","",J57-M57-N57-O57)</f>
        <v/>
      </c>
    </row>
    <row r="58">
      <c r="A58">
        <f>IFERROR(INDEX('Shopify Import'!$A:$CZ,58,Settings!$E$20)&amp;"","")</f>
        <v/>
      </c>
      <c r="B58">
        <f>IFERROR(INDEX('Shopify Import'!$A:$CZ,58,Settings!$E$21)&amp;"","")</f>
        <v/>
      </c>
      <c r="C58">
        <f>IFERROR(INDEX('Shopify Import'!$A:$CZ,58,Settings!$E$22)&amp;"","")</f>
        <v/>
      </c>
      <c r="D58">
        <f>IF(A58="","",IFERROR(VALUE(SUBSTITUTE(SUBSTITUTE(INDEX('Shopify Import'!$A:$CZ,58,Settings!$E$23)&amp;"","$",""),",","")),0))</f>
        <v/>
      </c>
      <c r="E58" s="11">
        <f>IF(A58="","",IFERROR(VALUE(SUBSTITUTE(SUBSTITUTE(INDEX('Shopify Import'!$A:$CZ,58,Settings!$E$24)&amp;"","$",""),",","")),0))</f>
        <v/>
      </c>
      <c r="F58" s="11">
        <f>IF(A58="","",D58*E58)</f>
        <v/>
      </c>
      <c r="G58">
        <f>IF(A58="","",IF(C58="",1,COUNTIF($C$2:$C$1501,C58)))</f>
        <v/>
      </c>
      <c r="H58" s="11">
        <f>IF(A58="","",IFERROR(VALUE(SUBSTITUTE(SUBSTITUTE(INDEX('Shopify Import'!$A:$CZ,58,Settings!$E$25)&amp;"","$",""),",","")),0)/IF(Settings!$D$27="Yes",G58,1))</f>
        <v/>
      </c>
      <c r="I58" s="11">
        <f>IF(A58="","",IFERROR(VALUE(SUBSTITUTE(SUBSTITUTE(INDEX('Shopify Import'!$A:$CZ,58,Settings!$E$26)&amp;"","$",""),",","")),0)/IF(Settings!$D$27="Yes",G58,1))</f>
        <v/>
      </c>
      <c r="J58" s="11">
        <f>IF(A58="","",F58+H58-I58)</f>
        <v/>
      </c>
      <c r="K58">
        <f>IF(A58="","",IFERROR(IF(B58="",NA(),MATCH(B58,Products!$B$5:$B$204,0)),IFERROR(MATCH(A58,Products!$A$5:$A$204,0),"")))</f>
        <v/>
      </c>
      <c r="L58">
        <f>IF(A58="","",IF(K58="","⚠ not in Products",INDEX(Products!$A$5:$A$204,K58)))</f>
        <v/>
      </c>
      <c r="M58" s="11">
        <f>IF(A58="","",J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58+IFERROR(INDEX(Settings!$D$5:$D$9,MATCH("Shopify",Settings!$A$5:$A$9,0)),0)*D58)</f>
        <v/>
      </c>
      <c r="N58" s="11">
        <f>IF(A58="","",IF(K58="",0,D58*INDEX(Products!$I$5:$I$204,K58)))</f>
        <v/>
      </c>
      <c r="O58" s="11">
        <f>IF(A58="","",IF(K58="",0,J58*INDEX(Products!$H$5:$H$204,K58)))</f>
        <v/>
      </c>
      <c r="P58" s="11">
        <f>IF(A58="","",J58-M58-N58-O58)</f>
        <v/>
      </c>
    </row>
    <row r="59">
      <c r="A59">
        <f>IFERROR(INDEX('Shopify Import'!$A:$CZ,59,Settings!$E$20)&amp;"","")</f>
        <v/>
      </c>
      <c r="B59">
        <f>IFERROR(INDEX('Shopify Import'!$A:$CZ,59,Settings!$E$21)&amp;"","")</f>
        <v/>
      </c>
      <c r="C59">
        <f>IFERROR(INDEX('Shopify Import'!$A:$CZ,59,Settings!$E$22)&amp;"","")</f>
        <v/>
      </c>
      <c r="D59">
        <f>IF(A59="","",IFERROR(VALUE(SUBSTITUTE(SUBSTITUTE(INDEX('Shopify Import'!$A:$CZ,59,Settings!$E$23)&amp;"","$",""),",","")),0))</f>
        <v/>
      </c>
      <c r="E59" s="11">
        <f>IF(A59="","",IFERROR(VALUE(SUBSTITUTE(SUBSTITUTE(INDEX('Shopify Import'!$A:$CZ,59,Settings!$E$24)&amp;"","$",""),",","")),0))</f>
        <v/>
      </c>
      <c r="F59" s="11">
        <f>IF(A59="","",D59*E59)</f>
        <v/>
      </c>
      <c r="G59">
        <f>IF(A59="","",IF(C59="",1,COUNTIF($C$2:$C$1501,C59)))</f>
        <v/>
      </c>
      <c r="H59" s="11">
        <f>IF(A59="","",IFERROR(VALUE(SUBSTITUTE(SUBSTITUTE(INDEX('Shopify Import'!$A:$CZ,59,Settings!$E$25)&amp;"","$",""),",","")),0)/IF(Settings!$D$27="Yes",G59,1))</f>
        <v/>
      </c>
      <c r="I59" s="11">
        <f>IF(A59="","",IFERROR(VALUE(SUBSTITUTE(SUBSTITUTE(INDEX('Shopify Import'!$A:$CZ,59,Settings!$E$26)&amp;"","$",""),",","")),0)/IF(Settings!$D$27="Yes",G59,1))</f>
        <v/>
      </c>
      <c r="J59" s="11">
        <f>IF(A59="","",F59+H59-I59)</f>
        <v/>
      </c>
      <c r="K59">
        <f>IF(A59="","",IFERROR(IF(B59="",NA(),MATCH(B59,Products!$B$5:$B$204,0)),IFERROR(MATCH(A59,Products!$A$5:$A$204,0),"")))</f>
        <v/>
      </c>
      <c r="L59">
        <f>IF(A59="","",IF(K59="","⚠ not in Products",INDEX(Products!$A$5:$A$204,K59)))</f>
        <v/>
      </c>
      <c r="M59" s="11">
        <f>IF(A59="","",J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59+IFERROR(INDEX(Settings!$D$5:$D$9,MATCH("Shopify",Settings!$A$5:$A$9,0)),0)*D59)</f>
        <v/>
      </c>
      <c r="N59" s="11">
        <f>IF(A59="","",IF(K59="",0,D59*INDEX(Products!$I$5:$I$204,K59)))</f>
        <v/>
      </c>
      <c r="O59" s="11">
        <f>IF(A59="","",IF(K59="",0,J59*INDEX(Products!$H$5:$H$204,K59)))</f>
        <v/>
      </c>
      <c r="P59" s="11">
        <f>IF(A59="","",J59-M59-N59-O59)</f>
        <v/>
      </c>
    </row>
    <row r="60">
      <c r="A60">
        <f>IFERROR(INDEX('Shopify Import'!$A:$CZ,60,Settings!$E$20)&amp;"","")</f>
        <v/>
      </c>
      <c r="B60">
        <f>IFERROR(INDEX('Shopify Import'!$A:$CZ,60,Settings!$E$21)&amp;"","")</f>
        <v/>
      </c>
      <c r="C60">
        <f>IFERROR(INDEX('Shopify Import'!$A:$CZ,60,Settings!$E$22)&amp;"","")</f>
        <v/>
      </c>
      <c r="D60">
        <f>IF(A60="","",IFERROR(VALUE(SUBSTITUTE(SUBSTITUTE(INDEX('Shopify Import'!$A:$CZ,60,Settings!$E$23)&amp;"","$",""),",","")),0))</f>
        <v/>
      </c>
      <c r="E60" s="11">
        <f>IF(A60="","",IFERROR(VALUE(SUBSTITUTE(SUBSTITUTE(INDEX('Shopify Import'!$A:$CZ,60,Settings!$E$24)&amp;"","$",""),",","")),0))</f>
        <v/>
      </c>
      <c r="F60" s="11">
        <f>IF(A60="","",D60*E60)</f>
        <v/>
      </c>
      <c r="G60">
        <f>IF(A60="","",IF(C60="",1,COUNTIF($C$2:$C$1501,C60)))</f>
        <v/>
      </c>
      <c r="H60" s="11">
        <f>IF(A60="","",IFERROR(VALUE(SUBSTITUTE(SUBSTITUTE(INDEX('Shopify Import'!$A:$CZ,60,Settings!$E$25)&amp;"","$",""),",","")),0)/IF(Settings!$D$27="Yes",G60,1))</f>
        <v/>
      </c>
      <c r="I60" s="11">
        <f>IF(A60="","",IFERROR(VALUE(SUBSTITUTE(SUBSTITUTE(INDEX('Shopify Import'!$A:$CZ,60,Settings!$E$26)&amp;"","$",""),",","")),0)/IF(Settings!$D$27="Yes",G60,1))</f>
        <v/>
      </c>
      <c r="J60" s="11">
        <f>IF(A60="","",F60+H60-I60)</f>
        <v/>
      </c>
      <c r="K60">
        <f>IF(A60="","",IFERROR(IF(B60="",NA(),MATCH(B60,Products!$B$5:$B$204,0)),IFERROR(MATCH(A60,Products!$A$5:$A$204,0),"")))</f>
        <v/>
      </c>
      <c r="L60">
        <f>IF(A60="","",IF(K60="","⚠ not in Products",INDEX(Products!$A$5:$A$204,K60)))</f>
        <v/>
      </c>
      <c r="M60" s="11">
        <f>IF(A60="","",J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60+IFERROR(INDEX(Settings!$D$5:$D$9,MATCH("Shopify",Settings!$A$5:$A$9,0)),0)*D60)</f>
        <v/>
      </c>
      <c r="N60" s="11">
        <f>IF(A60="","",IF(K60="",0,D60*INDEX(Products!$I$5:$I$204,K60)))</f>
        <v/>
      </c>
      <c r="O60" s="11">
        <f>IF(A60="","",IF(K60="",0,J60*INDEX(Products!$H$5:$H$204,K60)))</f>
        <v/>
      </c>
      <c r="P60" s="11">
        <f>IF(A60="","",J60-M60-N60-O60)</f>
        <v/>
      </c>
    </row>
    <row r="61">
      <c r="A61">
        <f>IFERROR(INDEX('Shopify Import'!$A:$CZ,61,Settings!$E$20)&amp;"","")</f>
        <v/>
      </c>
      <c r="B61">
        <f>IFERROR(INDEX('Shopify Import'!$A:$CZ,61,Settings!$E$21)&amp;"","")</f>
        <v/>
      </c>
      <c r="C61">
        <f>IFERROR(INDEX('Shopify Import'!$A:$CZ,61,Settings!$E$22)&amp;"","")</f>
        <v/>
      </c>
      <c r="D61">
        <f>IF(A61="","",IFERROR(VALUE(SUBSTITUTE(SUBSTITUTE(INDEX('Shopify Import'!$A:$CZ,61,Settings!$E$23)&amp;"","$",""),",","")),0))</f>
        <v/>
      </c>
      <c r="E61" s="11">
        <f>IF(A61="","",IFERROR(VALUE(SUBSTITUTE(SUBSTITUTE(INDEX('Shopify Import'!$A:$CZ,61,Settings!$E$24)&amp;"","$",""),",","")),0))</f>
        <v/>
      </c>
      <c r="F61" s="11">
        <f>IF(A61="","",D61*E61)</f>
        <v/>
      </c>
      <c r="G61">
        <f>IF(A61="","",IF(C61="",1,COUNTIF($C$2:$C$1501,C61)))</f>
        <v/>
      </c>
      <c r="H61" s="11">
        <f>IF(A61="","",IFERROR(VALUE(SUBSTITUTE(SUBSTITUTE(INDEX('Shopify Import'!$A:$CZ,61,Settings!$E$25)&amp;"","$",""),",","")),0)/IF(Settings!$D$27="Yes",G61,1))</f>
        <v/>
      </c>
      <c r="I61" s="11">
        <f>IF(A61="","",IFERROR(VALUE(SUBSTITUTE(SUBSTITUTE(INDEX('Shopify Import'!$A:$CZ,61,Settings!$E$26)&amp;"","$",""),",","")),0)/IF(Settings!$D$27="Yes",G61,1))</f>
        <v/>
      </c>
      <c r="J61" s="11">
        <f>IF(A61="","",F61+H61-I61)</f>
        <v/>
      </c>
      <c r="K61">
        <f>IF(A61="","",IFERROR(IF(B61="",NA(),MATCH(B61,Products!$B$5:$B$204,0)),IFERROR(MATCH(A61,Products!$A$5:$A$204,0),"")))</f>
        <v/>
      </c>
      <c r="L61">
        <f>IF(A61="","",IF(K61="","⚠ not in Products",INDEX(Products!$A$5:$A$204,K61)))</f>
        <v/>
      </c>
      <c r="M61" s="11">
        <f>IF(A61="","",J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61+IFERROR(INDEX(Settings!$D$5:$D$9,MATCH("Shopify",Settings!$A$5:$A$9,0)),0)*D61)</f>
        <v/>
      </c>
      <c r="N61" s="11">
        <f>IF(A61="","",IF(K61="",0,D61*INDEX(Products!$I$5:$I$204,K61)))</f>
        <v/>
      </c>
      <c r="O61" s="11">
        <f>IF(A61="","",IF(K61="",0,J61*INDEX(Products!$H$5:$H$204,K61)))</f>
        <v/>
      </c>
      <c r="P61" s="11">
        <f>IF(A61="","",J61-M61-N61-O61)</f>
        <v/>
      </c>
    </row>
    <row r="62">
      <c r="A62">
        <f>IFERROR(INDEX('Shopify Import'!$A:$CZ,62,Settings!$E$20)&amp;"","")</f>
        <v/>
      </c>
      <c r="B62">
        <f>IFERROR(INDEX('Shopify Import'!$A:$CZ,62,Settings!$E$21)&amp;"","")</f>
        <v/>
      </c>
      <c r="C62">
        <f>IFERROR(INDEX('Shopify Import'!$A:$CZ,62,Settings!$E$22)&amp;"","")</f>
        <v/>
      </c>
      <c r="D62">
        <f>IF(A62="","",IFERROR(VALUE(SUBSTITUTE(SUBSTITUTE(INDEX('Shopify Import'!$A:$CZ,62,Settings!$E$23)&amp;"","$",""),",","")),0))</f>
        <v/>
      </c>
      <c r="E62" s="11">
        <f>IF(A62="","",IFERROR(VALUE(SUBSTITUTE(SUBSTITUTE(INDEX('Shopify Import'!$A:$CZ,62,Settings!$E$24)&amp;"","$",""),",","")),0))</f>
        <v/>
      </c>
      <c r="F62" s="11">
        <f>IF(A62="","",D62*E62)</f>
        <v/>
      </c>
      <c r="G62">
        <f>IF(A62="","",IF(C62="",1,COUNTIF($C$2:$C$1501,C62)))</f>
        <v/>
      </c>
      <c r="H62" s="11">
        <f>IF(A62="","",IFERROR(VALUE(SUBSTITUTE(SUBSTITUTE(INDEX('Shopify Import'!$A:$CZ,62,Settings!$E$25)&amp;"","$",""),",","")),0)/IF(Settings!$D$27="Yes",G62,1))</f>
        <v/>
      </c>
      <c r="I62" s="11">
        <f>IF(A62="","",IFERROR(VALUE(SUBSTITUTE(SUBSTITUTE(INDEX('Shopify Import'!$A:$CZ,62,Settings!$E$26)&amp;"","$",""),",","")),0)/IF(Settings!$D$27="Yes",G62,1))</f>
        <v/>
      </c>
      <c r="J62" s="11">
        <f>IF(A62="","",F62+H62-I62)</f>
        <v/>
      </c>
      <c r="K62">
        <f>IF(A62="","",IFERROR(IF(B62="",NA(),MATCH(B62,Products!$B$5:$B$204,0)),IFERROR(MATCH(A62,Products!$A$5:$A$204,0),"")))</f>
        <v/>
      </c>
      <c r="L62">
        <f>IF(A62="","",IF(K62="","⚠ not in Products",INDEX(Products!$A$5:$A$204,K62)))</f>
        <v/>
      </c>
      <c r="M62" s="11">
        <f>IF(A62="","",J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62+IFERROR(INDEX(Settings!$D$5:$D$9,MATCH("Shopify",Settings!$A$5:$A$9,0)),0)*D62)</f>
        <v/>
      </c>
      <c r="N62" s="11">
        <f>IF(A62="","",IF(K62="",0,D62*INDEX(Products!$I$5:$I$204,K62)))</f>
        <v/>
      </c>
      <c r="O62" s="11">
        <f>IF(A62="","",IF(K62="",0,J62*INDEX(Products!$H$5:$H$204,K62)))</f>
        <v/>
      </c>
      <c r="P62" s="11">
        <f>IF(A62="","",J62-M62-N62-O62)</f>
        <v/>
      </c>
    </row>
    <row r="63">
      <c r="A63">
        <f>IFERROR(INDEX('Shopify Import'!$A:$CZ,63,Settings!$E$20)&amp;"","")</f>
        <v/>
      </c>
      <c r="B63">
        <f>IFERROR(INDEX('Shopify Import'!$A:$CZ,63,Settings!$E$21)&amp;"","")</f>
        <v/>
      </c>
      <c r="C63">
        <f>IFERROR(INDEX('Shopify Import'!$A:$CZ,63,Settings!$E$22)&amp;"","")</f>
        <v/>
      </c>
      <c r="D63">
        <f>IF(A63="","",IFERROR(VALUE(SUBSTITUTE(SUBSTITUTE(INDEX('Shopify Import'!$A:$CZ,63,Settings!$E$23)&amp;"","$",""),",","")),0))</f>
        <v/>
      </c>
      <c r="E63" s="11">
        <f>IF(A63="","",IFERROR(VALUE(SUBSTITUTE(SUBSTITUTE(INDEX('Shopify Import'!$A:$CZ,63,Settings!$E$24)&amp;"","$",""),",","")),0))</f>
        <v/>
      </c>
      <c r="F63" s="11">
        <f>IF(A63="","",D63*E63)</f>
        <v/>
      </c>
      <c r="G63">
        <f>IF(A63="","",IF(C63="",1,COUNTIF($C$2:$C$1501,C63)))</f>
        <v/>
      </c>
      <c r="H63" s="11">
        <f>IF(A63="","",IFERROR(VALUE(SUBSTITUTE(SUBSTITUTE(INDEX('Shopify Import'!$A:$CZ,63,Settings!$E$25)&amp;"","$",""),",","")),0)/IF(Settings!$D$27="Yes",G63,1))</f>
        <v/>
      </c>
      <c r="I63" s="11">
        <f>IF(A63="","",IFERROR(VALUE(SUBSTITUTE(SUBSTITUTE(INDEX('Shopify Import'!$A:$CZ,63,Settings!$E$26)&amp;"","$",""),",","")),0)/IF(Settings!$D$27="Yes",G63,1))</f>
        <v/>
      </c>
      <c r="J63" s="11">
        <f>IF(A63="","",F63+H63-I63)</f>
        <v/>
      </c>
      <c r="K63">
        <f>IF(A63="","",IFERROR(IF(B63="",NA(),MATCH(B63,Products!$B$5:$B$204,0)),IFERROR(MATCH(A63,Products!$A$5:$A$204,0),"")))</f>
        <v/>
      </c>
      <c r="L63">
        <f>IF(A63="","",IF(K63="","⚠ not in Products",INDEX(Products!$A$5:$A$204,K63)))</f>
        <v/>
      </c>
      <c r="M63" s="11">
        <f>IF(A63="","",J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63+IFERROR(INDEX(Settings!$D$5:$D$9,MATCH("Shopify",Settings!$A$5:$A$9,0)),0)*D63)</f>
        <v/>
      </c>
      <c r="N63" s="11">
        <f>IF(A63="","",IF(K63="",0,D63*INDEX(Products!$I$5:$I$204,K63)))</f>
        <v/>
      </c>
      <c r="O63" s="11">
        <f>IF(A63="","",IF(K63="",0,J63*INDEX(Products!$H$5:$H$204,K63)))</f>
        <v/>
      </c>
      <c r="P63" s="11">
        <f>IF(A63="","",J63-M63-N63-O63)</f>
        <v/>
      </c>
    </row>
    <row r="64">
      <c r="A64">
        <f>IFERROR(INDEX('Shopify Import'!$A:$CZ,64,Settings!$E$20)&amp;"","")</f>
        <v/>
      </c>
      <c r="B64">
        <f>IFERROR(INDEX('Shopify Import'!$A:$CZ,64,Settings!$E$21)&amp;"","")</f>
        <v/>
      </c>
      <c r="C64">
        <f>IFERROR(INDEX('Shopify Import'!$A:$CZ,64,Settings!$E$22)&amp;"","")</f>
        <v/>
      </c>
      <c r="D64">
        <f>IF(A64="","",IFERROR(VALUE(SUBSTITUTE(SUBSTITUTE(INDEX('Shopify Import'!$A:$CZ,64,Settings!$E$23)&amp;"","$",""),",","")),0))</f>
        <v/>
      </c>
      <c r="E64" s="11">
        <f>IF(A64="","",IFERROR(VALUE(SUBSTITUTE(SUBSTITUTE(INDEX('Shopify Import'!$A:$CZ,64,Settings!$E$24)&amp;"","$",""),",","")),0))</f>
        <v/>
      </c>
      <c r="F64" s="11">
        <f>IF(A64="","",D64*E64)</f>
        <v/>
      </c>
      <c r="G64">
        <f>IF(A64="","",IF(C64="",1,COUNTIF($C$2:$C$1501,C64)))</f>
        <v/>
      </c>
      <c r="H64" s="11">
        <f>IF(A64="","",IFERROR(VALUE(SUBSTITUTE(SUBSTITUTE(INDEX('Shopify Import'!$A:$CZ,64,Settings!$E$25)&amp;"","$",""),",","")),0)/IF(Settings!$D$27="Yes",G64,1))</f>
        <v/>
      </c>
      <c r="I64" s="11">
        <f>IF(A64="","",IFERROR(VALUE(SUBSTITUTE(SUBSTITUTE(INDEX('Shopify Import'!$A:$CZ,64,Settings!$E$26)&amp;"","$",""),",","")),0)/IF(Settings!$D$27="Yes",G64,1))</f>
        <v/>
      </c>
      <c r="J64" s="11">
        <f>IF(A64="","",F64+H64-I64)</f>
        <v/>
      </c>
      <c r="K64">
        <f>IF(A64="","",IFERROR(IF(B64="",NA(),MATCH(B64,Products!$B$5:$B$204,0)),IFERROR(MATCH(A64,Products!$A$5:$A$204,0),"")))</f>
        <v/>
      </c>
      <c r="L64">
        <f>IF(A64="","",IF(K64="","⚠ not in Products",INDEX(Products!$A$5:$A$204,K64)))</f>
        <v/>
      </c>
      <c r="M64" s="11">
        <f>IF(A64="","",J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64+IFERROR(INDEX(Settings!$D$5:$D$9,MATCH("Shopify",Settings!$A$5:$A$9,0)),0)*D64)</f>
        <v/>
      </c>
      <c r="N64" s="11">
        <f>IF(A64="","",IF(K64="",0,D64*INDEX(Products!$I$5:$I$204,K64)))</f>
        <v/>
      </c>
      <c r="O64" s="11">
        <f>IF(A64="","",IF(K64="",0,J64*INDEX(Products!$H$5:$H$204,K64)))</f>
        <v/>
      </c>
      <c r="P64" s="11">
        <f>IF(A64="","",J64-M64-N64-O64)</f>
        <v/>
      </c>
    </row>
    <row r="65">
      <c r="A65">
        <f>IFERROR(INDEX('Shopify Import'!$A:$CZ,65,Settings!$E$20)&amp;"","")</f>
        <v/>
      </c>
      <c r="B65">
        <f>IFERROR(INDEX('Shopify Import'!$A:$CZ,65,Settings!$E$21)&amp;"","")</f>
        <v/>
      </c>
      <c r="C65">
        <f>IFERROR(INDEX('Shopify Import'!$A:$CZ,65,Settings!$E$22)&amp;"","")</f>
        <v/>
      </c>
      <c r="D65">
        <f>IF(A65="","",IFERROR(VALUE(SUBSTITUTE(SUBSTITUTE(INDEX('Shopify Import'!$A:$CZ,65,Settings!$E$23)&amp;"","$",""),",","")),0))</f>
        <v/>
      </c>
      <c r="E65" s="11">
        <f>IF(A65="","",IFERROR(VALUE(SUBSTITUTE(SUBSTITUTE(INDEX('Shopify Import'!$A:$CZ,65,Settings!$E$24)&amp;"","$",""),",","")),0))</f>
        <v/>
      </c>
      <c r="F65" s="11">
        <f>IF(A65="","",D65*E65)</f>
        <v/>
      </c>
      <c r="G65">
        <f>IF(A65="","",IF(C65="",1,COUNTIF($C$2:$C$1501,C65)))</f>
        <v/>
      </c>
      <c r="H65" s="11">
        <f>IF(A65="","",IFERROR(VALUE(SUBSTITUTE(SUBSTITUTE(INDEX('Shopify Import'!$A:$CZ,65,Settings!$E$25)&amp;"","$",""),",","")),0)/IF(Settings!$D$27="Yes",G65,1))</f>
        <v/>
      </c>
      <c r="I65" s="11">
        <f>IF(A65="","",IFERROR(VALUE(SUBSTITUTE(SUBSTITUTE(INDEX('Shopify Import'!$A:$CZ,65,Settings!$E$26)&amp;"","$",""),",","")),0)/IF(Settings!$D$27="Yes",G65,1))</f>
        <v/>
      </c>
      <c r="J65" s="11">
        <f>IF(A65="","",F65+H65-I65)</f>
        <v/>
      </c>
      <c r="K65">
        <f>IF(A65="","",IFERROR(IF(B65="",NA(),MATCH(B65,Products!$B$5:$B$204,0)),IFERROR(MATCH(A65,Products!$A$5:$A$204,0),"")))</f>
        <v/>
      </c>
      <c r="L65">
        <f>IF(A65="","",IF(K65="","⚠ not in Products",INDEX(Products!$A$5:$A$204,K65)))</f>
        <v/>
      </c>
      <c r="M65" s="11">
        <f>IF(A65="","",J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65+IFERROR(INDEX(Settings!$D$5:$D$9,MATCH("Shopify",Settings!$A$5:$A$9,0)),0)*D65)</f>
        <v/>
      </c>
      <c r="N65" s="11">
        <f>IF(A65="","",IF(K65="",0,D65*INDEX(Products!$I$5:$I$204,K65)))</f>
        <v/>
      </c>
      <c r="O65" s="11">
        <f>IF(A65="","",IF(K65="",0,J65*INDEX(Products!$H$5:$H$204,K65)))</f>
        <v/>
      </c>
      <c r="P65" s="11">
        <f>IF(A65="","",J65-M65-N65-O65)</f>
        <v/>
      </c>
    </row>
    <row r="66">
      <c r="A66">
        <f>IFERROR(INDEX('Shopify Import'!$A:$CZ,66,Settings!$E$20)&amp;"","")</f>
        <v/>
      </c>
      <c r="B66">
        <f>IFERROR(INDEX('Shopify Import'!$A:$CZ,66,Settings!$E$21)&amp;"","")</f>
        <v/>
      </c>
      <c r="C66">
        <f>IFERROR(INDEX('Shopify Import'!$A:$CZ,66,Settings!$E$22)&amp;"","")</f>
        <v/>
      </c>
      <c r="D66">
        <f>IF(A66="","",IFERROR(VALUE(SUBSTITUTE(SUBSTITUTE(INDEX('Shopify Import'!$A:$CZ,66,Settings!$E$23)&amp;"","$",""),",","")),0))</f>
        <v/>
      </c>
      <c r="E66" s="11">
        <f>IF(A66="","",IFERROR(VALUE(SUBSTITUTE(SUBSTITUTE(INDEX('Shopify Import'!$A:$CZ,66,Settings!$E$24)&amp;"","$",""),",","")),0))</f>
        <v/>
      </c>
      <c r="F66" s="11">
        <f>IF(A66="","",D66*E66)</f>
        <v/>
      </c>
      <c r="G66">
        <f>IF(A66="","",IF(C66="",1,COUNTIF($C$2:$C$1501,C66)))</f>
        <v/>
      </c>
      <c r="H66" s="11">
        <f>IF(A66="","",IFERROR(VALUE(SUBSTITUTE(SUBSTITUTE(INDEX('Shopify Import'!$A:$CZ,66,Settings!$E$25)&amp;"","$",""),",","")),0)/IF(Settings!$D$27="Yes",G66,1))</f>
        <v/>
      </c>
      <c r="I66" s="11">
        <f>IF(A66="","",IFERROR(VALUE(SUBSTITUTE(SUBSTITUTE(INDEX('Shopify Import'!$A:$CZ,66,Settings!$E$26)&amp;"","$",""),",","")),0)/IF(Settings!$D$27="Yes",G66,1))</f>
        <v/>
      </c>
      <c r="J66" s="11">
        <f>IF(A66="","",F66+H66-I66)</f>
        <v/>
      </c>
      <c r="K66">
        <f>IF(A66="","",IFERROR(IF(B66="",NA(),MATCH(B66,Products!$B$5:$B$204,0)),IFERROR(MATCH(A66,Products!$A$5:$A$204,0),"")))</f>
        <v/>
      </c>
      <c r="L66">
        <f>IF(A66="","",IF(K66="","⚠ not in Products",INDEX(Products!$A$5:$A$204,K66)))</f>
        <v/>
      </c>
      <c r="M66" s="11">
        <f>IF(A66="","",J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66+IFERROR(INDEX(Settings!$D$5:$D$9,MATCH("Shopify",Settings!$A$5:$A$9,0)),0)*D66)</f>
        <v/>
      </c>
      <c r="N66" s="11">
        <f>IF(A66="","",IF(K66="",0,D66*INDEX(Products!$I$5:$I$204,K66)))</f>
        <v/>
      </c>
      <c r="O66" s="11">
        <f>IF(A66="","",IF(K66="",0,J66*INDEX(Products!$H$5:$H$204,K66)))</f>
        <v/>
      </c>
      <c r="P66" s="11">
        <f>IF(A66="","",J66-M66-N66-O66)</f>
        <v/>
      </c>
    </row>
    <row r="67">
      <c r="A67">
        <f>IFERROR(INDEX('Shopify Import'!$A:$CZ,67,Settings!$E$20)&amp;"","")</f>
        <v/>
      </c>
      <c r="B67">
        <f>IFERROR(INDEX('Shopify Import'!$A:$CZ,67,Settings!$E$21)&amp;"","")</f>
        <v/>
      </c>
      <c r="C67">
        <f>IFERROR(INDEX('Shopify Import'!$A:$CZ,67,Settings!$E$22)&amp;"","")</f>
        <v/>
      </c>
      <c r="D67">
        <f>IF(A67="","",IFERROR(VALUE(SUBSTITUTE(SUBSTITUTE(INDEX('Shopify Import'!$A:$CZ,67,Settings!$E$23)&amp;"","$",""),",","")),0))</f>
        <v/>
      </c>
      <c r="E67" s="11">
        <f>IF(A67="","",IFERROR(VALUE(SUBSTITUTE(SUBSTITUTE(INDEX('Shopify Import'!$A:$CZ,67,Settings!$E$24)&amp;"","$",""),",","")),0))</f>
        <v/>
      </c>
      <c r="F67" s="11">
        <f>IF(A67="","",D67*E67)</f>
        <v/>
      </c>
      <c r="G67">
        <f>IF(A67="","",IF(C67="",1,COUNTIF($C$2:$C$1501,C67)))</f>
        <v/>
      </c>
      <c r="H67" s="11">
        <f>IF(A67="","",IFERROR(VALUE(SUBSTITUTE(SUBSTITUTE(INDEX('Shopify Import'!$A:$CZ,67,Settings!$E$25)&amp;"","$",""),",","")),0)/IF(Settings!$D$27="Yes",G67,1))</f>
        <v/>
      </c>
      <c r="I67" s="11">
        <f>IF(A67="","",IFERROR(VALUE(SUBSTITUTE(SUBSTITUTE(INDEX('Shopify Import'!$A:$CZ,67,Settings!$E$26)&amp;"","$",""),",","")),0)/IF(Settings!$D$27="Yes",G67,1))</f>
        <v/>
      </c>
      <c r="J67" s="11">
        <f>IF(A67="","",F67+H67-I67)</f>
        <v/>
      </c>
      <c r="K67">
        <f>IF(A67="","",IFERROR(IF(B67="",NA(),MATCH(B67,Products!$B$5:$B$204,0)),IFERROR(MATCH(A67,Products!$A$5:$A$204,0),"")))</f>
        <v/>
      </c>
      <c r="L67">
        <f>IF(A67="","",IF(K67="","⚠ not in Products",INDEX(Products!$A$5:$A$204,K67)))</f>
        <v/>
      </c>
      <c r="M67" s="11">
        <f>IF(A67="","",J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67+IFERROR(INDEX(Settings!$D$5:$D$9,MATCH("Shopify",Settings!$A$5:$A$9,0)),0)*D67)</f>
        <v/>
      </c>
      <c r="N67" s="11">
        <f>IF(A67="","",IF(K67="",0,D67*INDEX(Products!$I$5:$I$204,K67)))</f>
        <v/>
      </c>
      <c r="O67" s="11">
        <f>IF(A67="","",IF(K67="",0,J67*INDEX(Products!$H$5:$H$204,K67)))</f>
        <v/>
      </c>
      <c r="P67" s="11">
        <f>IF(A67="","",J67-M67-N67-O67)</f>
        <v/>
      </c>
    </row>
    <row r="68">
      <c r="A68">
        <f>IFERROR(INDEX('Shopify Import'!$A:$CZ,68,Settings!$E$20)&amp;"","")</f>
        <v/>
      </c>
      <c r="B68">
        <f>IFERROR(INDEX('Shopify Import'!$A:$CZ,68,Settings!$E$21)&amp;"","")</f>
        <v/>
      </c>
      <c r="C68">
        <f>IFERROR(INDEX('Shopify Import'!$A:$CZ,68,Settings!$E$22)&amp;"","")</f>
        <v/>
      </c>
      <c r="D68">
        <f>IF(A68="","",IFERROR(VALUE(SUBSTITUTE(SUBSTITUTE(INDEX('Shopify Import'!$A:$CZ,68,Settings!$E$23)&amp;"","$",""),",","")),0))</f>
        <v/>
      </c>
      <c r="E68" s="11">
        <f>IF(A68="","",IFERROR(VALUE(SUBSTITUTE(SUBSTITUTE(INDEX('Shopify Import'!$A:$CZ,68,Settings!$E$24)&amp;"","$",""),",","")),0))</f>
        <v/>
      </c>
      <c r="F68" s="11">
        <f>IF(A68="","",D68*E68)</f>
        <v/>
      </c>
      <c r="G68">
        <f>IF(A68="","",IF(C68="",1,COUNTIF($C$2:$C$1501,C68)))</f>
        <v/>
      </c>
      <c r="H68" s="11">
        <f>IF(A68="","",IFERROR(VALUE(SUBSTITUTE(SUBSTITUTE(INDEX('Shopify Import'!$A:$CZ,68,Settings!$E$25)&amp;"","$",""),",","")),0)/IF(Settings!$D$27="Yes",G68,1))</f>
        <v/>
      </c>
      <c r="I68" s="11">
        <f>IF(A68="","",IFERROR(VALUE(SUBSTITUTE(SUBSTITUTE(INDEX('Shopify Import'!$A:$CZ,68,Settings!$E$26)&amp;"","$",""),",","")),0)/IF(Settings!$D$27="Yes",G68,1))</f>
        <v/>
      </c>
      <c r="J68" s="11">
        <f>IF(A68="","",F68+H68-I68)</f>
        <v/>
      </c>
      <c r="K68">
        <f>IF(A68="","",IFERROR(IF(B68="",NA(),MATCH(B68,Products!$B$5:$B$204,0)),IFERROR(MATCH(A68,Products!$A$5:$A$204,0),"")))</f>
        <v/>
      </c>
      <c r="L68">
        <f>IF(A68="","",IF(K68="","⚠ not in Products",INDEX(Products!$A$5:$A$204,K68)))</f>
        <v/>
      </c>
      <c r="M68" s="11">
        <f>IF(A68="","",J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68+IFERROR(INDEX(Settings!$D$5:$D$9,MATCH("Shopify",Settings!$A$5:$A$9,0)),0)*D68)</f>
        <v/>
      </c>
      <c r="N68" s="11">
        <f>IF(A68="","",IF(K68="",0,D68*INDEX(Products!$I$5:$I$204,K68)))</f>
        <v/>
      </c>
      <c r="O68" s="11">
        <f>IF(A68="","",IF(K68="",0,J68*INDEX(Products!$H$5:$H$204,K68)))</f>
        <v/>
      </c>
      <c r="P68" s="11">
        <f>IF(A68="","",J68-M68-N68-O68)</f>
        <v/>
      </c>
    </row>
    <row r="69">
      <c r="A69">
        <f>IFERROR(INDEX('Shopify Import'!$A:$CZ,69,Settings!$E$20)&amp;"","")</f>
        <v/>
      </c>
      <c r="B69">
        <f>IFERROR(INDEX('Shopify Import'!$A:$CZ,69,Settings!$E$21)&amp;"","")</f>
        <v/>
      </c>
      <c r="C69">
        <f>IFERROR(INDEX('Shopify Import'!$A:$CZ,69,Settings!$E$22)&amp;"","")</f>
        <v/>
      </c>
      <c r="D69">
        <f>IF(A69="","",IFERROR(VALUE(SUBSTITUTE(SUBSTITUTE(INDEX('Shopify Import'!$A:$CZ,69,Settings!$E$23)&amp;"","$",""),",","")),0))</f>
        <v/>
      </c>
      <c r="E69" s="11">
        <f>IF(A69="","",IFERROR(VALUE(SUBSTITUTE(SUBSTITUTE(INDEX('Shopify Import'!$A:$CZ,69,Settings!$E$24)&amp;"","$",""),",","")),0))</f>
        <v/>
      </c>
      <c r="F69" s="11">
        <f>IF(A69="","",D69*E69)</f>
        <v/>
      </c>
      <c r="G69">
        <f>IF(A69="","",IF(C69="",1,COUNTIF($C$2:$C$1501,C69)))</f>
        <v/>
      </c>
      <c r="H69" s="11">
        <f>IF(A69="","",IFERROR(VALUE(SUBSTITUTE(SUBSTITUTE(INDEX('Shopify Import'!$A:$CZ,69,Settings!$E$25)&amp;"","$",""),",","")),0)/IF(Settings!$D$27="Yes",G69,1))</f>
        <v/>
      </c>
      <c r="I69" s="11">
        <f>IF(A69="","",IFERROR(VALUE(SUBSTITUTE(SUBSTITUTE(INDEX('Shopify Import'!$A:$CZ,69,Settings!$E$26)&amp;"","$",""),",","")),0)/IF(Settings!$D$27="Yes",G69,1))</f>
        <v/>
      </c>
      <c r="J69" s="11">
        <f>IF(A69="","",F69+H69-I69)</f>
        <v/>
      </c>
      <c r="K69">
        <f>IF(A69="","",IFERROR(IF(B69="",NA(),MATCH(B69,Products!$B$5:$B$204,0)),IFERROR(MATCH(A69,Products!$A$5:$A$204,0),"")))</f>
        <v/>
      </c>
      <c r="L69">
        <f>IF(A69="","",IF(K69="","⚠ not in Products",INDEX(Products!$A$5:$A$204,K69)))</f>
        <v/>
      </c>
      <c r="M69" s="11">
        <f>IF(A69="","",J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69+IFERROR(INDEX(Settings!$D$5:$D$9,MATCH("Shopify",Settings!$A$5:$A$9,0)),0)*D69)</f>
        <v/>
      </c>
      <c r="N69" s="11">
        <f>IF(A69="","",IF(K69="",0,D69*INDEX(Products!$I$5:$I$204,K69)))</f>
        <v/>
      </c>
      <c r="O69" s="11">
        <f>IF(A69="","",IF(K69="",0,J69*INDEX(Products!$H$5:$H$204,K69)))</f>
        <v/>
      </c>
      <c r="P69" s="11">
        <f>IF(A69="","",J69-M69-N69-O69)</f>
        <v/>
      </c>
    </row>
    <row r="70">
      <c r="A70">
        <f>IFERROR(INDEX('Shopify Import'!$A:$CZ,70,Settings!$E$20)&amp;"","")</f>
        <v/>
      </c>
      <c r="B70">
        <f>IFERROR(INDEX('Shopify Import'!$A:$CZ,70,Settings!$E$21)&amp;"","")</f>
        <v/>
      </c>
      <c r="C70">
        <f>IFERROR(INDEX('Shopify Import'!$A:$CZ,70,Settings!$E$22)&amp;"","")</f>
        <v/>
      </c>
      <c r="D70">
        <f>IF(A70="","",IFERROR(VALUE(SUBSTITUTE(SUBSTITUTE(INDEX('Shopify Import'!$A:$CZ,70,Settings!$E$23)&amp;"","$",""),",","")),0))</f>
        <v/>
      </c>
      <c r="E70" s="11">
        <f>IF(A70="","",IFERROR(VALUE(SUBSTITUTE(SUBSTITUTE(INDEX('Shopify Import'!$A:$CZ,70,Settings!$E$24)&amp;"","$",""),",","")),0))</f>
        <v/>
      </c>
      <c r="F70" s="11">
        <f>IF(A70="","",D70*E70)</f>
        <v/>
      </c>
      <c r="G70">
        <f>IF(A70="","",IF(C70="",1,COUNTIF($C$2:$C$1501,C70)))</f>
        <v/>
      </c>
      <c r="H70" s="11">
        <f>IF(A70="","",IFERROR(VALUE(SUBSTITUTE(SUBSTITUTE(INDEX('Shopify Import'!$A:$CZ,70,Settings!$E$25)&amp;"","$",""),",","")),0)/IF(Settings!$D$27="Yes",G70,1))</f>
        <v/>
      </c>
      <c r="I70" s="11">
        <f>IF(A70="","",IFERROR(VALUE(SUBSTITUTE(SUBSTITUTE(INDEX('Shopify Import'!$A:$CZ,70,Settings!$E$26)&amp;"","$",""),",","")),0)/IF(Settings!$D$27="Yes",G70,1))</f>
        <v/>
      </c>
      <c r="J70" s="11">
        <f>IF(A70="","",F70+H70-I70)</f>
        <v/>
      </c>
      <c r="K70">
        <f>IF(A70="","",IFERROR(IF(B70="",NA(),MATCH(B70,Products!$B$5:$B$204,0)),IFERROR(MATCH(A70,Products!$A$5:$A$204,0),"")))</f>
        <v/>
      </c>
      <c r="L70">
        <f>IF(A70="","",IF(K70="","⚠ not in Products",INDEX(Products!$A$5:$A$204,K70)))</f>
        <v/>
      </c>
      <c r="M70" s="11">
        <f>IF(A70="","",J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70+IFERROR(INDEX(Settings!$D$5:$D$9,MATCH("Shopify",Settings!$A$5:$A$9,0)),0)*D70)</f>
        <v/>
      </c>
      <c r="N70" s="11">
        <f>IF(A70="","",IF(K70="",0,D70*INDEX(Products!$I$5:$I$204,K70)))</f>
        <v/>
      </c>
      <c r="O70" s="11">
        <f>IF(A70="","",IF(K70="",0,J70*INDEX(Products!$H$5:$H$204,K70)))</f>
        <v/>
      </c>
      <c r="P70" s="11">
        <f>IF(A70="","",J70-M70-N70-O70)</f>
        <v/>
      </c>
    </row>
    <row r="71">
      <c r="A71">
        <f>IFERROR(INDEX('Shopify Import'!$A:$CZ,71,Settings!$E$20)&amp;"","")</f>
        <v/>
      </c>
      <c r="B71">
        <f>IFERROR(INDEX('Shopify Import'!$A:$CZ,71,Settings!$E$21)&amp;"","")</f>
        <v/>
      </c>
      <c r="C71">
        <f>IFERROR(INDEX('Shopify Import'!$A:$CZ,71,Settings!$E$22)&amp;"","")</f>
        <v/>
      </c>
      <c r="D71">
        <f>IF(A71="","",IFERROR(VALUE(SUBSTITUTE(SUBSTITUTE(INDEX('Shopify Import'!$A:$CZ,71,Settings!$E$23)&amp;"","$",""),",","")),0))</f>
        <v/>
      </c>
      <c r="E71" s="11">
        <f>IF(A71="","",IFERROR(VALUE(SUBSTITUTE(SUBSTITUTE(INDEX('Shopify Import'!$A:$CZ,71,Settings!$E$24)&amp;"","$",""),",","")),0))</f>
        <v/>
      </c>
      <c r="F71" s="11">
        <f>IF(A71="","",D71*E71)</f>
        <v/>
      </c>
      <c r="G71">
        <f>IF(A71="","",IF(C71="",1,COUNTIF($C$2:$C$1501,C71)))</f>
        <v/>
      </c>
      <c r="H71" s="11">
        <f>IF(A71="","",IFERROR(VALUE(SUBSTITUTE(SUBSTITUTE(INDEX('Shopify Import'!$A:$CZ,71,Settings!$E$25)&amp;"","$",""),",","")),0)/IF(Settings!$D$27="Yes",G71,1))</f>
        <v/>
      </c>
      <c r="I71" s="11">
        <f>IF(A71="","",IFERROR(VALUE(SUBSTITUTE(SUBSTITUTE(INDEX('Shopify Import'!$A:$CZ,71,Settings!$E$26)&amp;"","$",""),",","")),0)/IF(Settings!$D$27="Yes",G71,1))</f>
        <v/>
      </c>
      <c r="J71" s="11">
        <f>IF(A71="","",F71+H71-I71)</f>
        <v/>
      </c>
      <c r="K71">
        <f>IF(A71="","",IFERROR(IF(B71="",NA(),MATCH(B71,Products!$B$5:$B$204,0)),IFERROR(MATCH(A71,Products!$A$5:$A$204,0),"")))</f>
        <v/>
      </c>
      <c r="L71">
        <f>IF(A71="","",IF(K71="","⚠ not in Products",INDEX(Products!$A$5:$A$204,K71)))</f>
        <v/>
      </c>
      <c r="M71" s="11">
        <f>IF(A71="","",J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71+IFERROR(INDEX(Settings!$D$5:$D$9,MATCH("Shopify",Settings!$A$5:$A$9,0)),0)*D71)</f>
        <v/>
      </c>
      <c r="N71" s="11">
        <f>IF(A71="","",IF(K71="",0,D71*INDEX(Products!$I$5:$I$204,K71)))</f>
        <v/>
      </c>
      <c r="O71" s="11">
        <f>IF(A71="","",IF(K71="",0,J71*INDEX(Products!$H$5:$H$204,K71)))</f>
        <v/>
      </c>
      <c r="P71" s="11">
        <f>IF(A71="","",J71-M71-N71-O71)</f>
        <v/>
      </c>
    </row>
    <row r="72">
      <c r="A72">
        <f>IFERROR(INDEX('Shopify Import'!$A:$CZ,72,Settings!$E$20)&amp;"","")</f>
        <v/>
      </c>
      <c r="B72">
        <f>IFERROR(INDEX('Shopify Import'!$A:$CZ,72,Settings!$E$21)&amp;"","")</f>
        <v/>
      </c>
      <c r="C72">
        <f>IFERROR(INDEX('Shopify Import'!$A:$CZ,72,Settings!$E$22)&amp;"","")</f>
        <v/>
      </c>
      <c r="D72">
        <f>IF(A72="","",IFERROR(VALUE(SUBSTITUTE(SUBSTITUTE(INDEX('Shopify Import'!$A:$CZ,72,Settings!$E$23)&amp;"","$",""),",","")),0))</f>
        <v/>
      </c>
      <c r="E72" s="11">
        <f>IF(A72="","",IFERROR(VALUE(SUBSTITUTE(SUBSTITUTE(INDEX('Shopify Import'!$A:$CZ,72,Settings!$E$24)&amp;"","$",""),",","")),0))</f>
        <v/>
      </c>
      <c r="F72" s="11">
        <f>IF(A72="","",D72*E72)</f>
        <v/>
      </c>
      <c r="G72">
        <f>IF(A72="","",IF(C72="",1,COUNTIF($C$2:$C$1501,C72)))</f>
        <v/>
      </c>
      <c r="H72" s="11">
        <f>IF(A72="","",IFERROR(VALUE(SUBSTITUTE(SUBSTITUTE(INDEX('Shopify Import'!$A:$CZ,72,Settings!$E$25)&amp;"","$",""),",","")),0)/IF(Settings!$D$27="Yes",G72,1))</f>
        <v/>
      </c>
      <c r="I72" s="11">
        <f>IF(A72="","",IFERROR(VALUE(SUBSTITUTE(SUBSTITUTE(INDEX('Shopify Import'!$A:$CZ,72,Settings!$E$26)&amp;"","$",""),",","")),0)/IF(Settings!$D$27="Yes",G72,1))</f>
        <v/>
      </c>
      <c r="J72" s="11">
        <f>IF(A72="","",F72+H72-I72)</f>
        <v/>
      </c>
      <c r="K72">
        <f>IF(A72="","",IFERROR(IF(B72="",NA(),MATCH(B72,Products!$B$5:$B$204,0)),IFERROR(MATCH(A72,Products!$A$5:$A$204,0),"")))</f>
        <v/>
      </c>
      <c r="L72">
        <f>IF(A72="","",IF(K72="","⚠ not in Products",INDEX(Products!$A$5:$A$204,K72)))</f>
        <v/>
      </c>
      <c r="M72" s="11">
        <f>IF(A72="","",J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72+IFERROR(INDEX(Settings!$D$5:$D$9,MATCH("Shopify",Settings!$A$5:$A$9,0)),0)*D72)</f>
        <v/>
      </c>
      <c r="N72" s="11">
        <f>IF(A72="","",IF(K72="",0,D72*INDEX(Products!$I$5:$I$204,K72)))</f>
        <v/>
      </c>
      <c r="O72" s="11">
        <f>IF(A72="","",IF(K72="",0,J72*INDEX(Products!$H$5:$H$204,K72)))</f>
        <v/>
      </c>
      <c r="P72" s="11">
        <f>IF(A72="","",J72-M72-N72-O72)</f>
        <v/>
      </c>
    </row>
    <row r="73">
      <c r="A73">
        <f>IFERROR(INDEX('Shopify Import'!$A:$CZ,73,Settings!$E$20)&amp;"","")</f>
        <v/>
      </c>
      <c r="B73">
        <f>IFERROR(INDEX('Shopify Import'!$A:$CZ,73,Settings!$E$21)&amp;"","")</f>
        <v/>
      </c>
      <c r="C73">
        <f>IFERROR(INDEX('Shopify Import'!$A:$CZ,73,Settings!$E$22)&amp;"","")</f>
        <v/>
      </c>
      <c r="D73">
        <f>IF(A73="","",IFERROR(VALUE(SUBSTITUTE(SUBSTITUTE(INDEX('Shopify Import'!$A:$CZ,73,Settings!$E$23)&amp;"","$",""),",","")),0))</f>
        <v/>
      </c>
      <c r="E73" s="11">
        <f>IF(A73="","",IFERROR(VALUE(SUBSTITUTE(SUBSTITUTE(INDEX('Shopify Import'!$A:$CZ,73,Settings!$E$24)&amp;"","$",""),",","")),0))</f>
        <v/>
      </c>
      <c r="F73" s="11">
        <f>IF(A73="","",D73*E73)</f>
        <v/>
      </c>
      <c r="G73">
        <f>IF(A73="","",IF(C73="",1,COUNTIF($C$2:$C$1501,C73)))</f>
        <v/>
      </c>
      <c r="H73" s="11">
        <f>IF(A73="","",IFERROR(VALUE(SUBSTITUTE(SUBSTITUTE(INDEX('Shopify Import'!$A:$CZ,73,Settings!$E$25)&amp;"","$",""),",","")),0)/IF(Settings!$D$27="Yes",G73,1))</f>
        <v/>
      </c>
      <c r="I73" s="11">
        <f>IF(A73="","",IFERROR(VALUE(SUBSTITUTE(SUBSTITUTE(INDEX('Shopify Import'!$A:$CZ,73,Settings!$E$26)&amp;"","$",""),",","")),0)/IF(Settings!$D$27="Yes",G73,1))</f>
        <v/>
      </c>
      <c r="J73" s="11">
        <f>IF(A73="","",F73+H73-I73)</f>
        <v/>
      </c>
      <c r="K73">
        <f>IF(A73="","",IFERROR(IF(B73="",NA(),MATCH(B73,Products!$B$5:$B$204,0)),IFERROR(MATCH(A73,Products!$A$5:$A$204,0),"")))</f>
        <v/>
      </c>
      <c r="L73">
        <f>IF(A73="","",IF(K73="","⚠ not in Products",INDEX(Products!$A$5:$A$204,K73)))</f>
        <v/>
      </c>
      <c r="M73" s="11">
        <f>IF(A73="","",J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73+IFERROR(INDEX(Settings!$D$5:$D$9,MATCH("Shopify",Settings!$A$5:$A$9,0)),0)*D73)</f>
        <v/>
      </c>
      <c r="N73" s="11">
        <f>IF(A73="","",IF(K73="",0,D73*INDEX(Products!$I$5:$I$204,K73)))</f>
        <v/>
      </c>
      <c r="O73" s="11">
        <f>IF(A73="","",IF(K73="",0,J73*INDEX(Products!$H$5:$H$204,K73)))</f>
        <v/>
      </c>
      <c r="P73" s="11">
        <f>IF(A73="","",J73-M73-N73-O73)</f>
        <v/>
      </c>
    </row>
    <row r="74">
      <c r="A74">
        <f>IFERROR(INDEX('Shopify Import'!$A:$CZ,74,Settings!$E$20)&amp;"","")</f>
        <v/>
      </c>
      <c r="B74">
        <f>IFERROR(INDEX('Shopify Import'!$A:$CZ,74,Settings!$E$21)&amp;"","")</f>
        <v/>
      </c>
      <c r="C74">
        <f>IFERROR(INDEX('Shopify Import'!$A:$CZ,74,Settings!$E$22)&amp;"","")</f>
        <v/>
      </c>
      <c r="D74">
        <f>IF(A74="","",IFERROR(VALUE(SUBSTITUTE(SUBSTITUTE(INDEX('Shopify Import'!$A:$CZ,74,Settings!$E$23)&amp;"","$",""),",","")),0))</f>
        <v/>
      </c>
      <c r="E74" s="11">
        <f>IF(A74="","",IFERROR(VALUE(SUBSTITUTE(SUBSTITUTE(INDEX('Shopify Import'!$A:$CZ,74,Settings!$E$24)&amp;"","$",""),",","")),0))</f>
        <v/>
      </c>
      <c r="F74" s="11">
        <f>IF(A74="","",D74*E74)</f>
        <v/>
      </c>
      <c r="G74">
        <f>IF(A74="","",IF(C74="",1,COUNTIF($C$2:$C$1501,C74)))</f>
        <v/>
      </c>
      <c r="H74" s="11">
        <f>IF(A74="","",IFERROR(VALUE(SUBSTITUTE(SUBSTITUTE(INDEX('Shopify Import'!$A:$CZ,74,Settings!$E$25)&amp;"","$",""),",","")),0)/IF(Settings!$D$27="Yes",G74,1))</f>
        <v/>
      </c>
      <c r="I74" s="11">
        <f>IF(A74="","",IFERROR(VALUE(SUBSTITUTE(SUBSTITUTE(INDEX('Shopify Import'!$A:$CZ,74,Settings!$E$26)&amp;"","$",""),",","")),0)/IF(Settings!$D$27="Yes",G74,1))</f>
        <v/>
      </c>
      <c r="J74" s="11">
        <f>IF(A74="","",F74+H74-I74)</f>
        <v/>
      </c>
      <c r="K74">
        <f>IF(A74="","",IFERROR(IF(B74="",NA(),MATCH(B74,Products!$B$5:$B$204,0)),IFERROR(MATCH(A74,Products!$A$5:$A$204,0),"")))</f>
        <v/>
      </c>
      <c r="L74">
        <f>IF(A74="","",IF(K74="","⚠ not in Products",INDEX(Products!$A$5:$A$204,K74)))</f>
        <v/>
      </c>
      <c r="M74" s="11">
        <f>IF(A74="","",J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74+IFERROR(INDEX(Settings!$D$5:$D$9,MATCH("Shopify",Settings!$A$5:$A$9,0)),0)*D74)</f>
        <v/>
      </c>
      <c r="N74" s="11">
        <f>IF(A74="","",IF(K74="",0,D74*INDEX(Products!$I$5:$I$204,K74)))</f>
        <v/>
      </c>
      <c r="O74" s="11">
        <f>IF(A74="","",IF(K74="",0,J74*INDEX(Products!$H$5:$H$204,K74)))</f>
        <v/>
      </c>
      <c r="P74" s="11">
        <f>IF(A74="","",J74-M74-N74-O74)</f>
        <v/>
      </c>
    </row>
    <row r="75">
      <c r="A75">
        <f>IFERROR(INDEX('Shopify Import'!$A:$CZ,75,Settings!$E$20)&amp;"","")</f>
        <v/>
      </c>
      <c r="B75">
        <f>IFERROR(INDEX('Shopify Import'!$A:$CZ,75,Settings!$E$21)&amp;"","")</f>
        <v/>
      </c>
      <c r="C75">
        <f>IFERROR(INDEX('Shopify Import'!$A:$CZ,75,Settings!$E$22)&amp;"","")</f>
        <v/>
      </c>
      <c r="D75">
        <f>IF(A75="","",IFERROR(VALUE(SUBSTITUTE(SUBSTITUTE(INDEX('Shopify Import'!$A:$CZ,75,Settings!$E$23)&amp;"","$",""),",","")),0))</f>
        <v/>
      </c>
      <c r="E75" s="11">
        <f>IF(A75="","",IFERROR(VALUE(SUBSTITUTE(SUBSTITUTE(INDEX('Shopify Import'!$A:$CZ,75,Settings!$E$24)&amp;"","$",""),",","")),0))</f>
        <v/>
      </c>
      <c r="F75" s="11">
        <f>IF(A75="","",D75*E75)</f>
        <v/>
      </c>
      <c r="G75">
        <f>IF(A75="","",IF(C75="",1,COUNTIF($C$2:$C$1501,C75)))</f>
        <v/>
      </c>
      <c r="H75" s="11">
        <f>IF(A75="","",IFERROR(VALUE(SUBSTITUTE(SUBSTITUTE(INDEX('Shopify Import'!$A:$CZ,75,Settings!$E$25)&amp;"","$",""),",","")),0)/IF(Settings!$D$27="Yes",G75,1))</f>
        <v/>
      </c>
      <c r="I75" s="11">
        <f>IF(A75="","",IFERROR(VALUE(SUBSTITUTE(SUBSTITUTE(INDEX('Shopify Import'!$A:$CZ,75,Settings!$E$26)&amp;"","$",""),",","")),0)/IF(Settings!$D$27="Yes",G75,1))</f>
        <v/>
      </c>
      <c r="J75" s="11">
        <f>IF(A75="","",F75+H75-I75)</f>
        <v/>
      </c>
      <c r="K75">
        <f>IF(A75="","",IFERROR(IF(B75="",NA(),MATCH(B75,Products!$B$5:$B$204,0)),IFERROR(MATCH(A75,Products!$A$5:$A$204,0),"")))</f>
        <v/>
      </c>
      <c r="L75">
        <f>IF(A75="","",IF(K75="","⚠ not in Products",INDEX(Products!$A$5:$A$204,K75)))</f>
        <v/>
      </c>
      <c r="M75" s="11">
        <f>IF(A75="","",J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75+IFERROR(INDEX(Settings!$D$5:$D$9,MATCH("Shopify",Settings!$A$5:$A$9,0)),0)*D75)</f>
        <v/>
      </c>
      <c r="N75" s="11">
        <f>IF(A75="","",IF(K75="",0,D75*INDEX(Products!$I$5:$I$204,K75)))</f>
        <v/>
      </c>
      <c r="O75" s="11">
        <f>IF(A75="","",IF(K75="",0,J75*INDEX(Products!$H$5:$H$204,K75)))</f>
        <v/>
      </c>
      <c r="P75" s="11">
        <f>IF(A75="","",J75-M75-N75-O75)</f>
        <v/>
      </c>
    </row>
    <row r="76">
      <c r="A76">
        <f>IFERROR(INDEX('Shopify Import'!$A:$CZ,76,Settings!$E$20)&amp;"","")</f>
        <v/>
      </c>
      <c r="B76">
        <f>IFERROR(INDEX('Shopify Import'!$A:$CZ,76,Settings!$E$21)&amp;"","")</f>
        <v/>
      </c>
      <c r="C76">
        <f>IFERROR(INDEX('Shopify Import'!$A:$CZ,76,Settings!$E$22)&amp;"","")</f>
        <v/>
      </c>
      <c r="D76">
        <f>IF(A76="","",IFERROR(VALUE(SUBSTITUTE(SUBSTITUTE(INDEX('Shopify Import'!$A:$CZ,76,Settings!$E$23)&amp;"","$",""),",","")),0))</f>
        <v/>
      </c>
      <c r="E76" s="11">
        <f>IF(A76="","",IFERROR(VALUE(SUBSTITUTE(SUBSTITUTE(INDEX('Shopify Import'!$A:$CZ,76,Settings!$E$24)&amp;"","$",""),",","")),0))</f>
        <v/>
      </c>
      <c r="F76" s="11">
        <f>IF(A76="","",D76*E76)</f>
        <v/>
      </c>
      <c r="G76">
        <f>IF(A76="","",IF(C76="",1,COUNTIF($C$2:$C$1501,C76)))</f>
        <v/>
      </c>
      <c r="H76" s="11">
        <f>IF(A76="","",IFERROR(VALUE(SUBSTITUTE(SUBSTITUTE(INDEX('Shopify Import'!$A:$CZ,76,Settings!$E$25)&amp;"","$",""),",","")),0)/IF(Settings!$D$27="Yes",G76,1))</f>
        <v/>
      </c>
      <c r="I76" s="11">
        <f>IF(A76="","",IFERROR(VALUE(SUBSTITUTE(SUBSTITUTE(INDEX('Shopify Import'!$A:$CZ,76,Settings!$E$26)&amp;"","$",""),",","")),0)/IF(Settings!$D$27="Yes",G76,1))</f>
        <v/>
      </c>
      <c r="J76" s="11">
        <f>IF(A76="","",F76+H76-I76)</f>
        <v/>
      </c>
      <c r="K76">
        <f>IF(A76="","",IFERROR(IF(B76="",NA(),MATCH(B76,Products!$B$5:$B$204,0)),IFERROR(MATCH(A76,Products!$A$5:$A$204,0),"")))</f>
        <v/>
      </c>
      <c r="L76">
        <f>IF(A76="","",IF(K76="","⚠ not in Products",INDEX(Products!$A$5:$A$204,K76)))</f>
        <v/>
      </c>
      <c r="M76" s="11">
        <f>IF(A76="","",J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76+IFERROR(INDEX(Settings!$D$5:$D$9,MATCH("Shopify",Settings!$A$5:$A$9,0)),0)*D76)</f>
        <v/>
      </c>
      <c r="N76" s="11">
        <f>IF(A76="","",IF(K76="",0,D76*INDEX(Products!$I$5:$I$204,K76)))</f>
        <v/>
      </c>
      <c r="O76" s="11">
        <f>IF(A76="","",IF(K76="",0,J76*INDEX(Products!$H$5:$H$204,K76)))</f>
        <v/>
      </c>
      <c r="P76" s="11">
        <f>IF(A76="","",J76-M76-N76-O76)</f>
        <v/>
      </c>
    </row>
    <row r="77">
      <c r="A77">
        <f>IFERROR(INDEX('Shopify Import'!$A:$CZ,77,Settings!$E$20)&amp;"","")</f>
        <v/>
      </c>
      <c r="B77">
        <f>IFERROR(INDEX('Shopify Import'!$A:$CZ,77,Settings!$E$21)&amp;"","")</f>
        <v/>
      </c>
      <c r="C77">
        <f>IFERROR(INDEX('Shopify Import'!$A:$CZ,77,Settings!$E$22)&amp;"","")</f>
        <v/>
      </c>
      <c r="D77">
        <f>IF(A77="","",IFERROR(VALUE(SUBSTITUTE(SUBSTITUTE(INDEX('Shopify Import'!$A:$CZ,77,Settings!$E$23)&amp;"","$",""),",","")),0))</f>
        <v/>
      </c>
      <c r="E77" s="11">
        <f>IF(A77="","",IFERROR(VALUE(SUBSTITUTE(SUBSTITUTE(INDEX('Shopify Import'!$A:$CZ,77,Settings!$E$24)&amp;"","$",""),",","")),0))</f>
        <v/>
      </c>
      <c r="F77" s="11">
        <f>IF(A77="","",D77*E77)</f>
        <v/>
      </c>
      <c r="G77">
        <f>IF(A77="","",IF(C77="",1,COUNTIF($C$2:$C$1501,C77)))</f>
        <v/>
      </c>
      <c r="H77" s="11">
        <f>IF(A77="","",IFERROR(VALUE(SUBSTITUTE(SUBSTITUTE(INDEX('Shopify Import'!$A:$CZ,77,Settings!$E$25)&amp;"","$",""),",","")),0)/IF(Settings!$D$27="Yes",G77,1))</f>
        <v/>
      </c>
      <c r="I77" s="11">
        <f>IF(A77="","",IFERROR(VALUE(SUBSTITUTE(SUBSTITUTE(INDEX('Shopify Import'!$A:$CZ,77,Settings!$E$26)&amp;"","$",""),",","")),0)/IF(Settings!$D$27="Yes",G77,1))</f>
        <v/>
      </c>
      <c r="J77" s="11">
        <f>IF(A77="","",F77+H77-I77)</f>
        <v/>
      </c>
      <c r="K77">
        <f>IF(A77="","",IFERROR(IF(B77="",NA(),MATCH(B77,Products!$B$5:$B$204,0)),IFERROR(MATCH(A77,Products!$A$5:$A$204,0),"")))</f>
        <v/>
      </c>
      <c r="L77">
        <f>IF(A77="","",IF(K77="","⚠ not in Products",INDEX(Products!$A$5:$A$204,K77)))</f>
        <v/>
      </c>
      <c r="M77" s="11">
        <f>IF(A77="","",J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77+IFERROR(INDEX(Settings!$D$5:$D$9,MATCH("Shopify",Settings!$A$5:$A$9,0)),0)*D77)</f>
        <v/>
      </c>
      <c r="N77" s="11">
        <f>IF(A77="","",IF(K77="",0,D77*INDEX(Products!$I$5:$I$204,K77)))</f>
        <v/>
      </c>
      <c r="O77" s="11">
        <f>IF(A77="","",IF(K77="",0,J77*INDEX(Products!$H$5:$H$204,K77)))</f>
        <v/>
      </c>
      <c r="P77" s="11">
        <f>IF(A77="","",J77-M77-N77-O77)</f>
        <v/>
      </c>
    </row>
    <row r="78">
      <c r="A78">
        <f>IFERROR(INDEX('Shopify Import'!$A:$CZ,78,Settings!$E$20)&amp;"","")</f>
        <v/>
      </c>
      <c r="B78">
        <f>IFERROR(INDEX('Shopify Import'!$A:$CZ,78,Settings!$E$21)&amp;"","")</f>
        <v/>
      </c>
      <c r="C78">
        <f>IFERROR(INDEX('Shopify Import'!$A:$CZ,78,Settings!$E$22)&amp;"","")</f>
        <v/>
      </c>
      <c r="D78">
        <f>IF(A78="","",IFERROR(VALUE(SUBSTITUTE(SUBSTITUTE(INDEX('Shopify Import'!$A:$CZ,78,Settings!$E$23)&amp;"","$",""),",","")),0))</f>
        <v/>
      </c>
      <c r="E78" s="11">
        <f>IF(A78="","",IFERROR(VALUE(SUBSTITUTE(SUBSTITUTE(INDEX('Shopify Import'!$A:$CZ,78,Settings!$E$24)&amp;"","$",""),",","")),0))</f>
        <v/>
      </c>
      <c r="F78" s="11">
        <f>IF(A78="","",D78*E78)</f>
        <v/>
      </c>
      <c r="G78">
        <f>IF(A78="","",IF(C78="",1,COUNTIF($C$2:$C$1501,C78)))</f>
        <v/>
      </c>
      <c r="H78" s="11">
        <f>IF(A78="","",IFERROR(VALUE(SUBSTITUTE(SUBSTITUTE(INDEX('Shopify Import'!$A:$CZ,78,Settings!$E$25)&amp;"","$",""),",","")),0)/IF(Settings!$D$27="Yes",G78,1))</f>
        <v/>
      </c>
      <c r="I78" s="11">
        <f>IF(A78="","",IFERROR(VALUE(SUBSTITUTE(SUBSTITUTE(INDEX('Shopify Import'!$A:$CZ,78,Settings!$E$26)&amp;"","$",""),",","")),0)/IF(Settings!$D$27="Yes",G78,1))</f>
        <v/>
      </c>
      <c r="J78" s="11">
        <f>IF(A78="","",F78+H78-I78)</f>
        <v/>
      </c>
      <c r="K78">
        <f>IF(A78="","",IFERROR(IF(B78="",NA(),MATCH(B78,Products!$B$5:$B$204,0)),IFERROR(MATCH(A78,Products!$A$5:$A$204,0),"")))</f>
        <v/>
      </c>
      <c r="L78">
        <f>IF(A78="","",IF(K78="","⚠ not in Products",INDEX(Products!$A$5:$A$204,K78)))</f>
        <v/>
      </c>
      <c r="M78" s="11">
        <f>IF(A78="","",J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78+IFERROR(INDEX(Settings!$D$5:$D$9,MATCH("Shopify",Settings!$A$5:$A$9,0)),0)*D78)</f>
        <v/>
      </c>
      <c r="N78" s="11">
        <f>IF(A78="","",IF(K78="",0,D78*INDEX(Products!$I$5:$I$204,K78)))</f>
        <v/>
      </c>
      <c r="O78" s="11">
        <f>IF(A78="","",IF(K78="",0,J78*INDEX(Products!$H$5:$H$204,K78)))</f>
        <v/>
      </c>
      <c r="P78" s="11">
        <f>IF(A78="","",J78-M78-N78-O78)</f>
        <v/>
      </c>
    </row>
    <row r="79">
      <c r="A79">
        <f>IFERROR(INDEX('Shopify Import'!$A:$CZ,79,Settings!$E$20)&amp;"","")</f>
        <v/>
      </c>
      <c r="B79">
        <f>IFERROR(INDEX('Shopify Import'!$A:$CZ,79,Settings!$E$21)&amp;"","")</f>
        <v/>
      </c>
      <c r="C79">
        <f>IFERROR(INDEX('Shopify Import'!$A:$CZ,79,Settings!$E$22)&amp;"","")</f>
        <v/>
      </c>
      <c r="D79">
        <f>IF(A79="","",IFERROR(VALUE(SUBSTITUTE(SUBSTITUTE(INDEX('Shopify Import'!$A:$CZ,79,Settings!$E$23)&amp;"","$",""),",","")),0))</f>
        <v/>
      </c>
      <c r="E79" s="11">
        <f>IF(A79="","",IFERROR(VALUE(SUBSTITUTE(SUBSTITUTE(INDEX('Shopify Import'!$A:$CZ,79,Settings!$E$24)&amp;"","$",""),",","")),0))</f>
        <v/>
      </c>
      <c r="F79" s="11">
        <f>IF(A79="","",D79*E79)</f>
        <v/>
      </c>
      <c r="G79">
        <f>IF(A79="","",IF(C79="",1,COUNTIF($C$2:$C$1501,C79)))</f>
        <v/>
      </c>
      <c r="H79" s="11">
        <f>IF(A79="","",IFERROR(VALUE(SUBSTITUTE(SUBSTITUTE(INDEX('Shopify Import'!$A:$CZ,79,Settings!$E$25)&amp;"","$",""),",","")),0)/IF(Settings!$D$27="Yes",G79,1))</f>
        <v/>
      </c>
      <c r="I79" s="11">
        <f>IF(A79="","",IFERROR(VALUE(SUBSTITUTE(SUBSTITUTE(INDEX('Shopify Import'!$A:$CZ,79,Settings!$E$26)&amp;"","$",""),",","")),0)/IF(Settings!$D$27="Yes",G79,1))</f>
        <v/>
      </c>
      <c r="J79" s="11">
        <f>IF(A79="","",F79+H79-I79)</f>
        <v/>
      </c>
      <c r="K79">
        <f>IF(A79="","",IFERROR(IF(B79="",NA(),MATCH(B79,Products!$B$5:$B$204,0)),IFERROR(MATCH(A79,Products!$A$5:$A$204,0),"")))</f>
        <v/>
      </c>
      <c r="L79">
        <f>IF(A79="","",IF(K79="","⚠ not in Products",INDEX(Products!$A$5:$A$204,K79)))</f>
        <v/>
      </c>
      <c r="M79" s="11">
        <f>IF(A79="","",J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79+IFERROR(INDEX(Settings!$D$5:$D$9,MATCH("Shopify",Settings!$A$5:$A$9,0)),0)*D79)</f>
        <v/>
      </c>
      <c r="N79" s="11">
        <f>IF(A79="","",IF(K79="",0,D79*INDEX(Products!$I$5:$I$204,K79)))</f>
        <v/>
      </c>
      <c r="O79" s="11">
        <f>IF(A79="","",IF(K79="",0,J79*INDEX(Products!$H$5:$H$204,K79)))</f>
        <v/>
      </c>
      <c r="P79" s="11">
        <f>IF(A79="","",J79-M79-N79-O79)</f>
        <v/>
      </c>
    </row>
    <row r="80">
      <c r="A80">
        <f>IFERROR(INDEX('Shopify Import'!$A:$CZ,80,Settings!$E$20)&amp;"","")</f>
        <v/>
      </c>
      <c r="B80">
        <f>IFERROR(INDEX('Shopify Import'!$A:$CZ,80,Settings!$E$21)&amp;"","")</f>
        <v/>
      </c>
      <c r="C80">
        <f>IFERROR(INDEX('Shopify Import'!$A:$CZ,80,Settings!$E$22)&amp;"","")</f>
        <v/>
      </c>
      <c r="D80">
        <f>IF(A80="","",IFERROR(VALUE(SUBSTITUTE(SUBSTITUTE(INDEX('Shopify Import'!$A:$CZ,80,Settings!$E$23)&amp;"","$",""),",","")),0))</f>
        <v/>
      </c>
      <c r="E80" s="11">
        <f>IF(A80="","",IFERROR(VALUE(SUBSTITUTE(SUBSTITUTE(INDEX('Shopify Import'!$A:$CZ,80,Settings!$E$24)&amp;"","$",""),",","")),0))</f>
        <v/>
      </c>
      <c r="F80" s="11">
        <f>IF(A80="","",D80*E80)</f>
        <v/>
      </c>
      <c r="G80">
        <f>IF(A80="","",IF(C80="",1,COUNTIF($C$2:$C$1501,C80)))</f>
        <v/>
      </c>
      <c r="H80" s="11">
        <f>IF(A80="","",IFERROR(VALUE(SUBSTITUTE(SUBSTITUTE(INDEX('Shopify Import'!$A:$CZ,80,Settings!$E$25)&amp;"","$",""),",","")),0)/IF(Settings!$D$27="Yes",G80,1))</f>
        <v/>
      </c>
      <c r="I80" s="11">
        <f>IF(A80="","",IFERROR(VALUE(SUBSTITUTE(SUBSTITUTE(INDEX('Shopify Import'!$A:$CZ,80,Settings!$E$26)&amp;"","$",""),",","")),0)/IF(Settings!$D$27="Yes",G80,1))</f>
        <v/>
      </c>
      <c r="J80" s="11">
        <f>IF(A80="","",F80+H80-I80)</f>
        <v/>
      </c>
      <c r="K80">
        <f>IF(A80="","",IFERROR(IF(B80="",NA(),MATCH(B80,Products!$B$5:$B$204,0)),IFERROR(MATCH(A80,Products!$A$5:$A$204,0),"")))</f>
        <v/>
      </c>
      <c r="L80">
        <f>IF(A80="","",IF(K80="","⚠ not in Products",INDEX(Products!$A$5:$A$204,K80)))</f>
        <v/>
      </c>
      <c r="M80" s="11">
        <f>IF(A80="","",J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80+IFERROR(INDEX(Settings!$D$5:$D$9,MATCH("Shopify",Settings!$A$5:$A$9,0)),0)*D80)</f>
        <v/>
      </c>
      <c r="N80" s="11">
        <f>IF(A80="","",IF(K80="",0,D80*INDEX(Products!$I$5:$I$204,K80)))</f>
        <v/>
      </c>
      <c r="O80" s="11">
        <f>IF(A80="","",IF(K80="",0,J80*INDEX(Products!$H$5:$H$204,K80)))</f>
        <v/>
      </c>
      <c r="P80" s="11">
        <f>IF(A80="","",J80-M80-N80-O80)</f>
        <v/>
      </c>
    </row>
    <row r="81">
      <c r="A81">
        <f>IFERROR(INDEX('Shopify Import'!$A:$CZ,81,Settings!$E$20)&amp;"","")</f>
        <v/>
      </c>
      <c r="B81">
        <f>IFERROR(INDEX('Shopify Import'!$A:$CZ,81,Settings!$E$21)&amp;"","")</f>
        <v/>
      </c>
      <c r="C81">
        <f>IFERROR(INDEX('Shopify Import'!$A:$CZ,81,Settings!$E$22)&amp;"","")</f>
        <v/>
      </c>
      <c r="D81">
        <f>IF(A81="","",IFERROR(VALUE(SUBSTITUTE(SUBSTITUTE(INDEX('Shopify Import'!$A:$CZ,81,Settings!$E$23)&amp;"","$",""),",","")),0))</f>
        <v/>
      </c>
      <c r="E81" s="11">
        <f>IF(A81="","",IFERROR(VALUE(SUBSTITUTE(SUBSTITUTE(INDEX('Shopify Import'!$A:$CZ,81,Settings!$E$24)&amp;"","$",""),",","")),0))</f>
        <v/>
      </c>
      <c r="F81" s="11">
        <f>IF(A81="","",D81*E81)</f>
        <v/>
      </c>
      <c r="G81">
        <f>IF(A81="","",IF(C81="",1,COUNTIF($C$2:$C$1501,C81)))</f>
        <v/>
      </c>
      <c r="H81" s="11">
        <f>IF(A81="","",IFERROR(VALUE(SUBSTITUTE(SUBSTITUTE(INDEX('Shopify Import'!$A:$CZ,81,Settings!$E$25)&amp;"","$",""),",","")),0)/IF(Settings!$D$27="Yes",G81,1))</f>
        <v/>
      </c>
      <c r="I81" s="11">
        <f>IF(A81="","",IFERROR(VALUE(SUBSTITUTE(SUBSTITUTE(INDEX('Shopify Import'!$A:$CZ,81,Settings!$E$26)&amp;"","$",""),",","")),0)/IF(Settings!$D$27="Yes",G81,1))</f>
        <v/>
      </c>
      <c r="J81" s="11">
        <f>IF(A81="","",F81+H81-I81)</f>
        <v/>
      </c>
      <c r="K81">
        <f>IF(A81="","",IFERROR(IF(B81="",NA(),MATCH(B81,Products!$B$5:$B$204,0)),IFERROR(MATCH(A81,Products!$A$5:$A$204,0),"")))</f>
        <v/>
      </c>
      <c r="L81">
        <f>IF(A81="","",IF(K81="","⚠ not in Products",INDEX(Products!$A$5:$A$204,K81)))</f>
        <v/>
      </c>
      <c r="M81" s="11">
        <f>IF(A81="","",J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81+IFERROR(INDEX(Settings!$D$5:$D$9,MATCH("Shopify",Settings!$A$5:$A$9,0)),0)*D81)</f>
        <v/>
      </c>
      <c r="N81" s="11">
        <f>IF(A81="","",IF(K81="",0,D81*INDEX(Products!$I$5:$I$204,K81)))</f>
        <v/>
      </c>
      <c r="O81" s="11">
        <f>IF(A81="","",IF(K81="",0,J81*INDEX(Products!$H$5:$H$204,K81)))</f>
        <v/>
      </c>
      <c r="P81" s="11">
        <f>IF(A81="","",J81-M81-N81-O81)</f>
        <v/>
      </c>
    </row>
    <row r="82">
      <c r="A82">
        <f>IFERROR(INDEX('Shopify Import'!$A:$CZ,82,Settings!$E$20)&amp;"","")</f>
        <v/>
      </c>
      <c r="B82">
        <f>IFERROR(INDEX('Shopify Import'!$A:$CZ,82,Settings!$E$21)&amp;"","")</f>
        <v/>
      </c>
      <c r="C82">
        <f>IFERROR(INDEX('Shopify Import'!$A:$CZ,82,Settings!$E$22)&amp;"","")</f>
        <v/>
      </c>
      <c r="D82">
        <f>IF(A82="","",IFERROR(VALUE(SUBSTITUTE(SUBSTITUTE(INDEX('Shopify Import'!$A:$CZ,82,Settings!$E$23)&amp;"","$",""),",","")),0))</f>
        <v/>
      </c>
      <c r="E82" s="11">
        <f>IF(A82="","",IFERROR(VALUE(SUBSTITUTE(SUBSTITUTE(INDEX('Shopify Import'!$A:$CZ,82,Settings!$E$24)&amp;"","$",""),",","")),0))</f>
        <v/>
      </c>
      <c r="F82" s="11">
        <f>IF(A82="","",D82*E82)</f>
        <v/>
      </c>
      <c r="G82">
        <f>IF(A82="","",IF(C82="",1,COUNTIF($C$2:$C$1501,C82)))</f>
        <v/>
      </c>
      <c r="H82" s="11">
        <f>IF(A82="","",IFERROR(VALUE(SUBSTITUTE(SUBSTITUTE(INDEX('Shopify Import'!$A:$CZ,82,Settings!$E$25)&amp;"","$",""),",","")),0)/IF(Settings!$D$27="Yes",G82,1))</f>
        <v/>
      </c>
      <c r="I82" s="11">
        <f>IF(A82="","",IFERROR(VALUE(SUBSTITUTE(SUBSTITUTE(INDEX('Shopify Import'!$A:$CZ,82,Settings!$E$26)&amp;"","$",""),",","")),0)/IF(Settings!$D$27="Yes",G82,1))</f>
        <v/>
      </c>
      <c r="J82" s="11">
        <f>IF(A82="","",F82+H82-I82)</f>
        <v/>
      </c>
      <c r="K82">
        <f>IF(A82="","",IFERROR(IF(B82="",NA(),MATCH(B82,Products!$B$5:$B$204,0)),IFERROR(MATCH(A82,Products!$A$5:$A$204,0),"")))</f>
        <v/>
      </c>
      <c r="L82">
        <f>IF(A82="","",IF(K82="","⚠ not in Products",INDEX(Products!$A$5:$A$204,K82)))</f>
        <v/>
      </c>
      <c r="M82" s="11">
        <f>IF(A82="","",J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82+IFERROR(INDEX(Settings!$D$5:$D$9,MATCH("Shopify",Settings!$A$5:$A$9,0)),0)*D82)</f>
        <v/>
      </c>
      <c r="N82" s="11">
        <f>IF(A82="","",IF(K82="",0,D82*INDEX(Products!$I$5:$I$204,K82)))</f>
        <v/>
      </c>
      <c r="O82" s="11">
        <f>IF(A82="","",IF(K82="",0,J82*INDEX(Products!$H$5:$H$204,K82)))</f>
        <v/>
      </c>
      <c r="P82" s="11">
        <f>IF(A82="","",J82-M82-N82-O82)</f>
        <v/>
      </c>
    </row>
    <row r="83">
      <c r="A83">
        <f>IFERROR(INDEX('Shopify Import'!$A:$CZ,83,Settings!$E$20)&amp;"","")</f>
        <v/>
      </c>
      <c r="B83">
        <f>IFERROR(INDEX('Shopify Import'!$A:$CZ,83,Settings!$E$21)&amp;"","")</f>
        <v/>
      </c>
      <c r="C83">
        <f>IFERROR(INDEX('Shopify Import'!$A:$CZ,83,Settings!$E$22)&amp;"","")</f>
        <v/>
      </c>
      <c r="D83">
        <f>IF(A83="","",IFERROR(VALUE(SUBSTITUTE(SUBSTITUTE(INDEX('Shopify Import'!$A:$CZ,83,Settings!$E$23)&amp;"","$",""),",","")),0))</f>
        <v/>
      </c>
      <c r="E83" s="11">
        <f>IF(A83="","",IFERROR(VALUE(SUBSTITUTE(SUBSTITUTE(INDEX('Shopify Import'!$A:$CZ,83,Settings!$E$24)&amp;"","$",""),",","")),0))</f>
        <v/>
      </c>
      <c r="F83" s="11">
        <f>IF(A83="","",D83*E83)</f>
        <v/>
      </c>
      <c r="G83">
        <f>IF(A83="","",IF(C83="",1,COUNTIF($C$2:$C$1501,C83)))</f>
        <v/>
      </c>
      <c r="H83" s="11">
        <f>IF(A83="","",IFERROR(VALUE(SUBSTITUTE(SUBSTITUTE(INDEX('Shopify Import'!$A:$CZ,83,Settings!$E$25)&amp;"","$",""),",","")),0)/IF(Settings!$D$27="Yes",G83,1))</f>
        <v/>
      </c>
      <c r="I83" s="11">
        <f>IF(A83="","",IFERROR(VALUE(SUBSTITUTE(SUBSTITUTE(INDEX('Shopify Import'!$A:$CZ,83,Settings!$E$26)&amp;"","$",""),",","")),0)/IF(Settings!$D$27="Yes",G83,1))</f>
        <v/>
      </c>
      <c r="J83" s="11">
        <f>IF(A83="","",F83+H83-I83)</f>
        <v/>
      </c>
      <c r="K83">
        <f>IF(A83="","",IFERROR(IF(B83="",NA(),MATCH(B83,Products!$B$5:$B$204,0)),IFERROR(MATCH(A83,Products!$A$5:$A$204,0),"")))</f>
        <v/>
      </c>
      <c r="L83">
        <f>IF(A83="","",IF(K83="","⚠ not in Products",INDEX(Products!$A$5:$A$204,K83)))</f>
        <v/>
      </c>
      <c r="M83" s="11">
        <f>IF(A83="","",J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83+IFERROR(INDEX(Settings!$D$5:$D$9,MATCH("Shopify",Settings!$A$5:$A$9,0)),0)*D83)</f>
        <v/>
      </c>
      <c r="N83" s="11">
        <f>IF(A83="","",IF(K83="",0,D83*INDEX(Products!$I$5:$I$204,K83)))</f>
        <v/>
      </c>
      <c r="O83" s="11">
        <f>IF(A83="","",IF(K83="",0,J83*INDEX(Products!$H$5:$H$204,K83)))</f>
        <v/>
      </c>
      <c r="P83" s="11">
        <f>IF(A83="","",J83-M83-N83-O83)</f>
        <v/>
      </c>
    </row>
    <row r="84">
      <c r="A84">
        <f>IFERROR(INDEX('Shopify Import'!$A:$CZ,84,Settings!$E$20)&amp;"","")</f>
        <v/>
      </c>
      <c r="B84">
        <f>IFERROR(INDEX('Shopify Import'!$A:$CZ,84,Settings!$E$21)&amp;"","")</f>
        <v/>
      </c>
      <c r="C84">
        <f>IFERROR(INDEX('Shopify Import'!$A:$CZ,84,Settings!$E$22)&amp;"","")</f>
        <v/>
      </c>
      <c r="D84">
        <f>IF(A84="","",IFERROR(VALUE(SUBSTITUTE(SUBSTITUTE(INDEX('Shopify Import'!$A:$CZ,84,Settings!$E$23)&amp;"","$",""),",","")),0))</f>
        <v/>
      </c>
      <c r="E84" s="11">
        <f>IF(A84="","",IFERROR(VALUE(SUBSTITUTE(SUBSTITUTE(INDEX('Shopify Import'!$A:$CZ,84,Settings!$E$24)&amp;"","$",""),",","")),0))</f>
        <v/>
      </c>
      <c r="F84" s="11">
        <f>IF(A84="","",D84*E84)</f>
        <v/>
      </c>
      <c r="G84">
        <f>IF(A84="","",IF(C84="",1,COUNTIF($C$2:$C$1501,C84)))</f>
        <v/>
      </c>
      <c r="H84" s="11">
        <f>IF(A84="","",IFERROR(VALUE(SUBSTITUTE(SUBSTITUTE(INDEX('Shopify Import'!$A:$CZ,84,Settings!$E$25)&amp;"","$",""),",","")),0)/IF(Settings!$D$27="Yes",G84,1))</f>
        <v/>
      </c>
      <c r="I84" s="11">
        <f>IF(A84="","",IFERROR(VALUE(SUBSTITUTE(SUBSTITUTE(INDEX('Shopify Import'!$A:$CZ,84,Settings!$E$26)&amp;"","$",""),",","")),0)/IF(Settings!$D$27="Yes",G84,1))</f>
        <v/>
      </c>
      <c r="J84" s="11">
        <f>IF(A84="","",F84+H84-I84)</f>
        <v/>
      </c>
      <c r="K84">
        <f>IF(A84="","",IFERROR(IF(B84="",NA(),MATCH(B84,Products!$B$5:$B$204,0)),IFERROR(MATCH(A84,Products!$A$5:$A$204,0),"")))</f>
        <v/>
      </c>
      <c r="L84">
        <f>IF(A84="","",IF(K84="","⚠ not in Products",INDEX(Products!$A$5:$A$204,K84)))</f>
        <v/>
      </c>
      <c r="M84" s="11">
        <f>IF(A84="","",J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84+IFERROR(INDEX(Settings!$D$5:$D$9,MATCH("Shopify",Settings!$A$5:$A$9,0)),0)*D84)</f>
        <v/>
      </c>
      <c r="N84" s="11">
        <f>IF(A84="","",IF(K84="",0,D84*INDEX(Products!$I$5:$I$204,K84)))</f>
        <v/>
      </c>
      <c r="O84" s="11">
        <f>IF(A84="","",IF(K84="",0,J84*INDEX(Products!$H$5:$H$204,K84)))</f>
        <v/>
      </c>
      <c r="P84" s="11">
        <f>IF(A84="","",J84-M84-N84-O84)</f>
        <v/>
      </c>
    </row>
    <row r="85">
      <c r="A85">
        <f>IFERROR(INDEX('Shopify Import'!$A:$CZ,85,Settings!$E$20)&amp;"","")</f>
        <v/>
      </c>
      <c r="B85">
        <f>IFERROR(INDEX('Shopify Import'!$A:$CZ,85,Settings!$E$21)&amp;"","")</f>
        <v/>
      </c>
      <c r="C85">
        <f>IFERROR(INDEX('Shopify Import'!$A:$CZ,85,Settings!$E$22)&amp;"","")</f>
        <v/>
      </c>
      <c r="D85">
        <f>IF(A85="","",IFERROR(VALUE(SUBSTITUTE(SUBSTITUTE(INDEX('Shopify Import'!$A:$CZ,85,Settings!$E$23)&amp;"","$",""),",","")),0))</f>
        <v/>
      </c>
      <c r="E85" s="11">
        <f>IF(A85="","",IFERROR(VALUE(SUBSTITUTE(SUBSTITUTE(INDEX('Shopify Import'!$A:$CZ,85,Settings!$E$24)&amp;"","$",""),",","")),0))</f>
        <v/>
      </c>
      <c r="F85" s="11">
        <f>IF(A85="","",D85*E85)</f>
        <v/>
      </c>
      <c r="G85">
        <f>IF(A85="","",IF(C85="",1,COUNTIF($C$2:$C$1501,C85)))</f>
        <v/>
      </c>
      <c r="H85" s="11">
        <f>IF(A85="","",IFERROR(VALUE(SUBSTITUTE(SUBSTITUTE(INDEX('Shopify Import'!$A:$CZ,85,Settings!$E$25)&amp;"","$",""),",","")),0)/IF(Settings!$D$27="Yes",G85,1))</f>
        <v/>
      </c>
      <c r="I85" s="11">
        <f>IF(A85="","",IFERROR(VALUE(SUBSTITUTE(SUBSTITUTE(INDEX('Shopify Import'!$A:$CZ,85,Settings!$E$26)&amp;"","$",""),",","")),0)/IF(Settings!$D$27="Yes",G85,1))</f>
        <v/>
      </c>
      <c r="J85" s="11">
        <f>IF(A85="","",F85+H85-I85)</f>
        <v/>
      </c>
      <c r="K85">
        <f>IF(A85="","",IFERROR(IF(B85="",NA(),MATCH(B85,Products!$B$5:$B$204,0)),IFERROR(MATCH(A85,Products!$A$5:$A$204,0),"")))</f>
        <v/>
      </c>
      <c r="L85">
        <f>IF(A85="","",IF(K85="","⚠ not in Products",INDEX(Products!$A$5:$A$204,K85)))</f>
        <v/>
      </c>
      <c r="M85" s="11">
        <f>IF(A85="","",J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85+IFERROR(INDEX(Settings!$D$5:$D$9,MATCH("Shopify",Settings!$A$5:$A$9,0)),0)*D85)</f>
        <v/>
      </c>
      <c r="N85" s="11">
        <f>IF(A85="","",IF(K85="",0,D85*INDEX(Products!$I$5:$I$204,K85)))</f>
        <v/>
      </c>
      <c r="O85" s="11">
        <f>IF(A85="","",IF(K85="",0,J85*INDEX(Products!$H$5:$H$204,K85)))</f>
        <v/>
      </c>
      <c r="P85" s="11">
        <f>IF(A85="","",J85-M85-N85-O85)</f>
        <v/>
      </c>
    </row>
    <row r="86">
      <c r="A86">
        <f>IFERROR(INDEX('Shopify Import'!$A:$CZ,86,Settings!$E$20)&amp;"","")</f>
        <v/>
      </c>
      <c r="B86">
        <f>IFERROR(INDEX('Shopify Import'!$A:$CZ,86,Settings!$E$21)&amp;"","")</f>
        <v/>
      </c>
      <c r="C86">
        <f>IFERROR(INDEX('Shopify Import'!$A:$CZ,86,Settings!$E$22)&amp;"","")</f>
        <v/>
      </c>
      <c r="D86">
        <f>IF(A86="","",IFERROR(VALUE(SUBSTITUTE(SUBSTITUTE(INDEX('Shopify Import'!$A:$CZ,86,Settings!$E$23)&amp;"","$",""),",","")),0))</f>
        <v/>
      </c>
      <c r="E86" s="11">
        <f>IF(A86="","",IFERROR(VALUE(SUBSTITUTE(SUBSTITUTE(INDEX('Shopify Import'!$A:$CZ,86,Settings!$E$24)&amp;"","$",""),",","")),0))</f>
        <v/>
      </c>
      <c r="F86" s="11">
        <f>IF(A86="","",D86*E86)</f>
        <v/>
      </c>
      <c r="G86">
        <f>IF(A86="","",IF(C86="",1,COUNTIF($C$2:$C$1501,C86)))</f>
        <v/>
      </c>
      <c r="H86" s="11">
        <f>IF(A86="","",IFERROR(VALUE(SUBSTITUTE(SUBSTITUTE(INDEX('Shopify Import'!$A:$CZ,86,Settings!$E$25)&amp;"","$",""),",","")),0)/IF(Settings!$D$27="Yes",G86,1))</f>
        <v/>
      </c>
      <c r="I86" s="11">
        <f>IF(A86="","",IFERROR(VALUE(SUBSTITUTE(SUBSTITUTE(INDEX('Shopify Import'!$A:$CZ,86,Settings!$E$26)&amp;"","$",""),",","")),0)/IF(Settings!$D$27="Yes",G86,1))</f>
        <v/>
      </c>
      <c r="J86" s="11">
        <f>IF(A86="","",F86+H86-I86)</f>
        <v/>
      </c>
      <c r="K86">
        <f>IF(A86="","",IFERROR(IF(B86="",NA(),MATCH(B86,Products!$B$5:$B$204,0)),IFERROR(MATCH(A86,Products!$A$5:$A$204,0),"")))</f>
        <v/>
      </c>
      <c r="L86">
        <f>IF(A86="","",IF(K86="","⚠ not in Products",INDEX(Products!$A$5:$A$204,K86)))</f>
        <v/>
      </c>
      <c r="M86" s="11">
        <f>IF(A86="","",J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86+IFERROR(INDEX(Settings!$D$5:$D$9,MATCH("Shopify",Settings!$A$5:$A$9,0)),0)*D86)</f>
        <v/>
      </c>
      <c r="N86" s="11">
        <f>IF(A86="","",IF(K86="",0,D86*INDEX(Products!$I$5:$I$204,K86)))</f>
        <v/>
      </c>
      <c r="O86" s="11">
        <f>IF(A86="","",IF(K86="",0,J86*INDEX(Products!$H$5:$H$204,K86)))</f>
        <v/>
      </c>
      <c r="P86" s="11">
        <f>IF(A86="","",J86-M86-N86-O86)</f>
        <v/>
      </c>
    </row>
    <row r="87">
      <c r="A87">
        <f>IFERROR(INDEX('Shopify Import'!$A:$CZ,87,Settings!$E$20)&amp;"","")</f>
        <v/>
      </c>
      <c r="B87">
        <f>IFERROR(INDEX('Shopify Import'!$A:$CZ,87,Settings!$E$21)&amp;"","")</f>
        <v/>
      </c>
      <c r="C87">
        <f>IFERROR(INDEX('Shopify Import'!$A:$CZ,87,Settings!$E$22)&amp;"","")</f>
        <v/>
      </c>
      <c r="D87">
        <f>IF(A87="","",IFERROR(VALUE(SUBSTITUTE(SUBSTITUTE(INDEX('Shopify Import'!$A:$CZ,87,Settings!$E$23)&amp;"","$",""),",","")),0))</f>
        <v/>
      </c>
      <c r="E87" s="11">
        <f>IF(A87="","",IFERROR(VALUE(SUBSTITUTE(SUBSTITUTE(INDEX('Shopify Import'!$A:$CZ,87,Settings!$E$24)&amp;"","$",""),",","")),0))</f>
        <v/>
      </c>
      <c r="F87" s="11">
        <f>IF(A87="","",D87*E87)</f>
        <v/>
      </c>
      <c r="G87">
        <f>IF(A87="","",IF(C87="",1,COUNTIF($C$2:$C$1501,C87)))</f>
        <v/>
      </c>
      <c r="H87" s="11">
        <f>IF(A87="","",IFERROR(VALUE(SUBSTITUTE(SUBSTITUTE(INDEX('Shopify Import'!$A:$CZ,87,Settings!$E$25)&amp;"","$",""),",","")),0)/IF(Settings!$D$27="Yes",G87,1))</f>
        <v/>
      </c>
      <c r="I87" s="11">
        <f>IF(A87="","",IFERROR(VALUE(SUBSTITUTE(SUBSTITUTE(INDEX('Shopify Import'!$A:$CZ,87,Settings!$E$26)&amp;"","$",""),",","")),0)/IF(Settings!$D$27="Yes",G87,1))</f>
        <v/>
      </c>
      <c r="J87" s="11">
        <f>IF(A87="","",F87+H87-I87)</f>
        <v/>
      </c>
      <c r="K87">
        <f>IF(A87="","",IFERROR(IF(B87="",NA(),MATCH(B87,Products!$B$5:$B$204,0)),IFERROR(MATCH(A87,Products!$A$5:$A$204,0),"")))</f>
        <v/>
      </c>
      <c r="L87">
        <f>IF(A87="","",IF(K87="","⚠ not in Products",INDEX(Products!$A$5:$A$204,K87)))</f>
        <v/>
      </c>
      <c r="M87" s="11">
        <f>IF(A87="","",J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87+IFERROR(INDEX(Settings!$D$5:$D$9,MATCH("Shopify",Settings!$A$5:$A$9,0)),0)*D87)</f>
        <v/>
      </c>
      <c r="N87" s="11">
        <f>IF(A87="","",IF(K87="",0,D87*INDEX(Products!$I$5:$I$204,K87)))</f>
        <v/>
      </c>
      <c r="O87" s="11">
        <f>IF(A87="","",IF(K87="",0,J87*INDEX(Products!$H$5:$H$204,K87)))</f>
        <v/>
      </c>
      <c r="P87" s="11">
        <f>IF(A87="","",J87-M87-N87-O87)</f>
        <v/>
      </c>
    </row>
    <row r="88">
      <c r="A88">
        <f>IFERROR(INDEX('Shopify Import'!$A:$CZ,88,Settings!$E$20)&amp;"","")</f>
        <v/>
      </c>
      <c r="B88">
        <f>IFERROR(INDEX('Shopify Import'!$A:$CZ,88,Settings!$E$21)&amp;"","")</f>
        <v/>
      </c>
      <c r="C88">
        <f>IFERROR(INDEX('Shopify Import'!$A:$CZ,88,Settings!$E$22)&amp;"","")</f>
        <v/>
      </c>
      <c r="D88">
        <f>IF(A88="","",IFERROR(VALUE(SUBSTITUTE(SUBSTITUTE(INDEX('Shopify Import'!$A:$CZ,88,Settings!$E$23)&amp;"","$",""),",","")),0))</f>
        <v/>
      </c>
      <c r="E88" s="11">
        <f>IF(A88="","",IFERROR(VALUE(SUBSTITUTE(SUBSTITUTE(INDEX('Shopify Import'!$A:$CZ,88,Settings!$E$24)&amp;"","$",""),",","")),0))</f>
        <v/>
      </c>
      <c r="F88" s="11">
        <f>IF(A88="","",D88*E88)</f>
        <v/>
      </c>
      <c r="G88">
        <f>IF(A88="","",IF(C88="",1,COUNTIF($C$2:$C$1501,C88)))</f>
        <v/>
      </c>
      <c r="H88" s="11">
        <f>IF(A88="","",IFERROR(VALUE(SUBSTITUTE(SUBSTITUTE(INDEX('Shopify Import'!$A:$CZ,88,Settings!$E$25)&amp;"","$",""),",","")),0)/IF(Settings!$D$27="Yes",G88,1))</f>
        <v/>
      </c>
      <c r="I88" s="11">
        <f>IF(A88="","",IFERROR(VALUE(SUBSTITUTE(SUBSTITUTE(INDEX('Shopify Import'!$A:$CZ,88,Settings!$E$26)&amp;"","$",""),",","")),0)/IF(Settings!$D$27="Yes",G88,1))</f>
        <v/>
      </c>
      <c r="J88" s="11">
        <f>IF(A88="","",F88+H88-I88)</f>
        <v/>
      </c>
      <c r="K88">
        <f>IF(A88="","",IFERROR(IF(B88="",NA(),MATCH(B88,Products!$B$5:$B$204,0)),IFERROR(MATCH(A88,Products!$A$5:$A$204,0),"")))</f>
        <v/>
      </c>
      <c r="L88">
        <f>IF(A88="","",IF(K88="","⚠ not in Products",INDEX(Products!$A$5:$A$204,K88)))</f>
        <v/>
      </c>
      <c r="M88" s="11">
        <f>IF(A88="","",J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88+IFERROR(INDEX(Settings!$D$5:$D$9,MATCH("Shopify",Settings!$A$5:$A$9,0)),0)*D88)</f>
        <v/>
      </c>
      <c r="N88" s="11">
        <f>IF(A88="","",IF(K88="",0,D88*INDEX(Products!$I$5:$I$204,K88)))</f>
        <v/>
      </c>
      <c r="O88" s="11">
        <f>IF(A88="","",IF(K88="",0,J88*INDEX(Products!$H$5:$H$204,K88)))</f>
        <v/>
      </c>
      <c r="P88" s="11">
        <f>IF(A88="","",J88-M88-N88-O88)</f>
        <v/>
      </c>
    </row>
    <row r="89">
      <c r="A89">
        <f>IFERROR(INDEX('Shopify Import'!$A:$CZ,89,Settings!$E$20)&amp;"","")</f>
        <v/>
      </c>
      <c r="B89">
        <f>IFERROR(INDEX('Shopify Import'!$A:$CZ,89,Settings!$E$21)&amp;"","")</f>
        <v/>
      </c>
      <c r="C89">
        <f>IFERROR(INDEX('Shopify Import'!$A:$CZ,89,Settings!$E$22)&amp;"","")</f>
        <v/>
      </c>
      <c r="D89">
        <f>IF(A89="","",IFERROR(VALUE(SUBSTITUTE(SUBSTITUTE(INDEX('Shopify Import'!$A:$CZ,89,Settings!$E$23)&amp;"","$",""),",","")),0))</f>
        <v/>
      </c>
      <c r="E89" s="11">
        <f>IF(A89="","",IFERROR(VALUE(SUBSTITUTE(SUBSTITUTE(INDEX('Shopify Import'!$A:$CZ,89,Settings!$E$24)&amp;"","$",""),",","")),0))</f>
        <v/>
      </c>
      <c r="F89" s="11">
        <f>IF(A89="","",D89*E89)</f>
        <v/>
      </c>
      <c r="G89">
        <f>IF(A89="","",IF(C89="",1,COUNTIF($C$2:$C$1501,C89)))</f>
        <v/>
      </c>
      <c r="H89" s="11">
        <f>IF(A89="","",IFERROR(VALUE(SUBSTITUTE(SUBSTITUTE(INDEX('Shopify Import'!$A:$CZ,89,Settings!$E$25)&amp;"","$",""),",","")),0)/IF(Settings!$D$27="Yes",G89,1))</f>
        <v/>
      </c>
      <c r="I89" s="11">
        <f>IF(A89="","",IFERROR(VALUE(SUBSTITUTE(SUBSTITUTE(INDEX('Shopify Import'!$A:$CZ,89,Settings!$E$26)&amp;"","$",""),",","")),0)/IF(Settings!$D$27="Yes",G89,1))</f>
        <v/>
      </c>
      <c r="J89" s="11">
        <f>IF(A89="","",F89+H89-I89)</f>
        <v/>
      </c>
      <c r="K89">
        <f>IF(A89="","",IFERROR(IF(B89="",NA(),MATCH(B89,Products!$B$5:$B$204,0)),IFERROR(MATCH(A89,Products!$A$5:$A$204,0),"")))</f>
        <v/>
      </c>
      <c r="L89">
        <f>IF(A89="","",IF(K89="","⚠ not in Products",INDEX(Products!$A$5:$A$204,K89)))</f>
        <v/>
      </c>
      <c r="M89" s="11">
        <f>IF(A89="","",J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89+IFERROR(INDEX(Settings!$D$5:$D$9,MATCH("Shopify",Settings!$A$5:$A$9,0)),0)*D89)</f>
        <v/>
      </c>
      <c r="N89" s="11">
        <f>IF(A89="","",IF(K89="",0,D89*INDEX(Products!$I$5:$I$204,K89)))</f>
        <v/>
      </c>
      <c r="O89" s="11">
        <f>IF(A89="","",IF(K89="",0,J89*INDEX(Products!$H$5:$H$204,K89)))</f>
        <v/>
      </c>
      <c r="P89" s="11">
        <f>IF(A89="","",J89-M89-N89-O89)</f>
        <v/>
      </c>
    </row>
    <row r="90">
      <c r="A90">
        <f>IFERROR(INDEX('Shopify Import'!$A:$CZ,90,Settings!$E$20)&amp;"","")</f>
        <v/>
      </c>
      <c r="B90">
        <f>IFERROR(INDEX('Shopify Import'!$A:$CZ,90,Settings!$E$21)&amp;"","")</f>
        <v/>
      </c>
      <c r="C90">
        <f>IFERROR(INDEX('Shopify Import'!$A:$CZ,90,Settings!$E$22)&amp;"","")</f>
        <v/>
      </c>
      <c r="D90">
        <f>IF(A90="","",IFERROR(VALUE(SUBSTITUTE(SUBSTITUTE(INDEX('Shopify Import'!$A:$CZ,90,Settings!$E$23)&amp;"","$",""),",","")),0))</f>
        <v/>
      </c>
      <c r="E90" s="11">
        <f>IF(A90="","",IFERROR(VALUE(SUBSTITUTE(SUBSTITUTE(INDEX('Shopify Import'!$A:$CZ,90,Settings!$E$24)&amp;"","$",""),",","")),0))</f>
        <v/>
      </c>
      <c r="F90" s="11">
        <f>IF(A90="","",D90*E90)</f>
        <v/>
      </c>
      <c r="G90">
        <f>IF(A90="","",IF(C90="",1,COUNTIF($C$2:$C$1501,C90)))</f>
        <v/>
      </c>
      <c r="H90" s="11">
        <f>IF(A90="","",IFERROR(VALUE(SUBSTITUTE(SUBSTITUTE(INDEX('Shopify Import'!$A:$CZ,90,Settings!$E$25)&amp;"","$",""),",","")),0)/IF(Settings!$D$27="Yes",G90,1))</f>
        <v/>
      </c>
      <c r="I90" s="11">
        <f>IF(A90="","",IFERROR(VALUE(SUBSTITUTE(SUBSTITUTE(INDEX('Shopify Import'!$A:$CZ,90,Settings!$E$26)&amp;"","$",""),",","")),0)/IF(Settings!$D$27="Yes",G90,1))</f>
        <v/>
      </c>
      <c r="J90" s="11">
        <f>IF(A90="","",F90+H90-I90)</f>
        <v/>
      </c>
      <c r="K90">
        <f>IF(A90="","",IFERROR(IF(B90="",NA(),MATCH(B90,Products!$B$5:$B$204,0)),IFERROR(MATCH(A90,Products!$A$5:$A$204,0),"")))</f>
        <v/>
      </c>
      <c r="L90">
        <f>IF(A90="","",IF(K90="","⚠ not in Products",INDEX(Products!$A$5:$A$204,K90)))</f>
        <v/>
      </c>
      <c r="M90" s="11">
        <f>IF(A90="","",J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90+IFERROR(INDEX(Settings!$D$5:$D$9,MATCH("Shopify",Settings!$A$5:$A$9,0)),0)*D90)</f>
        <v/>
      </c>
      <c r="N90" s="11">
        <f>IF(A90="","",IF(K90="",0,D90*INDEX(Products!$I$5:$I$204,K90)))</f>
        <v/>
      </c>
      <c r="O90" s="11">
        <f>IF(A90="","",IF(K90="",0,J90*INDEX(Products!$H$5:$H$204,K90)))</f>
        <v/>
      </c>
      <c r="P90" s="11">
        <f>IF(A90="","",J90-M90-N90-O90)</f>
        <v/>
      </c>
    </row>
    <row r="91">
      <c r="A91">
        <f>IFERROR(INDEX('Shopify Import'!$A:$CZ,91,Settings!$E$20)&amp;"","")</f>
        <v/>
      </c>
      <c r="B91">
        <f>IFERROR(INDEX('Shopify Import'!$A:$CZ,91,Settings!$E$21)&amp;"","")</f>
        <v/>
      </c>
      <c r="C91">
        <f>IFERROR(INDEX('Shopify Import'!$A:$CZ,91,Settings!$E$22)&amp;"","")</f>
        <v/>
      </c>
      <c r="D91">
        <f>IF(A91="","",IFERROR(VALUE(SUBSTITUTE(SUBSTITUTE(INDEX('Shopify Import'!$A:$CZ,91,Settings!$E$23)&amp;"","$",""),",","")),0))</f>
        <v/>
      </c>
      <c r="E91" s="11">
        <f>IF(A91="","",IFERROR(VALUE(SUBSTITUTE(SUBSTITUTE(INDEX('Shopify Import'!$A:$CZ,91,Settings!$E$24)&amp;"","$",""),",","")),0))</f>
        <v/>
      </c>
      <c r="F91" s="11">
        <f>IF(A91="","",D91*E91)</f>
        <v/>
      </c>
      <c r="G91">
        <f>IF(A91="","",IF(C91="",1,COUNTIF($C$2:$C$1501,C91)))</f>
        <v/>
      </c>
      <c r="H91" s="11">
        <f>IF(A91="","",IFERROR(VALUE(SUBSTITUTE(SUBSTITUTE(INDEX('Shopify Import'!$A:$CZ,91,Settings!$E$25)&amp;"","$",""),",","")),0)/IF(Settings!$D$27="Yes",G91,1))</f>
        <v/>
      </c>
      <c r="I91" s="11">
        <f>IF(A91="","",IFERROR(VALUE(SUBSTITUTE(SUBSTITUTE(INDEX('Shopify Import'!$A:$CZ,91,Settings!$E$26)&amp;"","$",""),",","")),0)/IF(Settings!$D$27="Yes",G91,1))</f>
        <v/>
      </c>
      <c r="J91" s="11">
        <f>IF(A91="","",F91+H91-I91)</f>
        <v/>
      </c>
      <c r="K91">
        <f>IF(A91="","",IFERROR(IF(B91="",NA(),MATCH(B91,Products!$B$5:$B$204,0)),IFERROR(MATCH(A91,Products!$A$5:$A$204,0),"")))</f>
        <v/>
      </c>
      <c r="L91">
        <f>IF(A91="","",IF(K91="","⚠ not in Products",INDEX(Products!$A$5:$A$204,K91)))</f>
        <v/>
      </c>
      <c r="M91" s="11">
        <f>IF(A91="","",J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91+IFERROR(INDEX(Settings!$D$5:$D$9,MATCH("Shopify",Settings!$A$5:$A$9,0)),0)*D91)</f>
        <v/>
      </c>
      <c r="N91" s="11">
        <f>IF(A91="","",IF(K91="",0,D91*INDEX(Products!$I$5:$I$204,K91)))</f>
        <v/>
      </c>
      <c r="O91" s="11">
        <f>IF(A91="","",IF(K91="",0,J91*INDEX(Products!$H$5:$H$204,K91)))</f>
        <v/>
      </c>
      <c r="P91" s="11">
        <f>IF(A91="","",J91-M91-N91-O91)</f>
        <v/>
      </c>
    </row>
    <row r="92">
      <c r="A92">
        <f>IFERROR(INDEX('Shopify Import'!$A:$CZ,92,Settings!$E$20)&amp;"","")</f>
        <v/>
      </c>
      <c r="B92">
        <f>IFERROR(INDEX('Shopify Import'!$A:$CZ,92,Settings!$E$21)&amp;"","")</f>
        <v/>
      </c>
      <c r="C92">
        <f>IFERROR(INDEX('Shopify Import'!$A:$CZ,92,Settings!$E$22)&amp;"","")</f>
        <v/>
      </c>
      <c r="D92">
        <f>IF(A92="","",IFERROR(VALUE(SUBSTITUTE(SUBSTITUTE(INDEX('Shopify Import'!$A:$CZ,92,Settings!$E$23)&amp;"","$",""),",","")),0))</f>
        <v/>
      </c>
      <c r="E92" s="11">
        <f>IF(A92="","",IFERROR(VALUE(SUBSTITUTE(SUBSTITUTE(INDEX('Shopify Import'!$A:$CZ,92,Settings!$E$24)&amp;"","$",""),",","")),0))</f>
        <v/>
      </c>
      <c r="F92" s="11">
        <f>IF(A92="","",D92*E92)</f>
        <v/>
      </c>
      <c r="G92">
        <f>IF(A92="","",IF(C92="",1,COUNTIF($C$2:$C$1501,C92)))</f>
        <v/>
      </c>
      <c r="H92" s="11">
        <f>IF(A92="","",IFERROR(VALUE(SUBSTITUTE(SUBSTITUTE(INDEX('Shopify Import'!$A:$CZ,92,Settings!$E$25)&amp;"","$",""),",","")),0)/IF(Settings!$D$27="Yes",G92,1))</f>
        <v/>
      </c>
      <c r="I92" s="11">
        <f>IF(A92="","",IFERROR(VALUE(SUBSTITUTE(SUBSTITUTE(INDEX('Shopify Import'!$A:$CZ,92,Settings!$E$26)&amp;"","$",""),",","")),0)/IF(Settings!$D$27="Yes",G92,1))</f>
        <v/>
      </c>
      <c r="J92" s="11">
        <f>IF(A92="","",F92+H92-I92)</f>
        <v/>
      </c>
      <c r="K92">
        <f>IF(A92="","",IFERROR(IF(B92="",NA(),MATCH(B92,Products!$B$5:$B$204,0)),IFERROR(MATCH(A92,Products!$A$5:$A$204,0),"")))</f>
        <v/>
      </c>
      <c r="L92">
        <f>IF(A92="","",IF(K92="","⚠ not in Products",INDEX(Products!$A$5:$A$204,K92)))</f>
        <v/>
      </c>
      <c r="M92" s="11">
        <f>IF(A92="","",J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92+IFERROR(INDEX(Settings!$D$5:$D$9,MATCH("Shopify",Settings!$A$5:$A$9,0)),0)*D92)</f>
        <v/>
      </c>
      <c r="N92" s="11">
        <f>IF(A92="","",IF(K92="",0,D92*INDEX(Products!$I$5:$I$204,K92)))</f>
        <v/>
      </c>
      <c r="O92" s="11">
        <f>IF(A92="","",IF(K92="",0,J92*INDEX(Products!$H$5:$H$204,K92)))</f>
        <v/>
      </c>
      <c r="P92" s="11">
        <f>IF(A92="","",J92-M92-N92-O92)</f>
        <v/>
      </c>
    </row>
    <row r="93">
      <c r="A93">
        <f>IFERROR(INDEX('Shopify Import'!$A:$CZ,93,Settings!$E$20)&amp;"","")</f>
        <v/>
      </c>
      <c r="B93">
        <f>IFERROR(INDEX('Shopify Import'!$A:$CZ,93,Settings!$E$21)&amp;"","")</f>
        <v/>
      </c>
      <c r="C93">
        <f>IFERROR(INDEX('Shopify Import'!$A:$CZ,93,Settings!$E$22)&amp;"","")</f>
        <v/>
      </c>
      <c r="D93">
        <f>IF(A93="","",IFERROR(VALUE(SUBSTITUTE(SUBSTITUTE(INDEX('Shopify Import'!$A:$CZ,93,Settings!$E$23)&amp;"","$",""),",","")),0))</f>
        <v/>
      </c>
      <c r="E93" s="11">
        <f>IF(A93="","",IFERROR(VALUE(SUBSTITUTE(SUBSTITUTE(INDEX('Shopify Import'!$A:$CZ,93,Settings!$E$24)&amp;"","$",""),",","")),0))</f>
        <v/>
      </c>
      <c r="F93" s="11">
        <f>IF(A93="","",D93*E93)</f>
        <v/>
      </c>
      <c r="G93">
        <f>IF(A93="","",IF(C93="",1,COUNTIF($C$2:$C$1501,C93)))</f>
        <v/>
      </c>
      <c r="H93" s="11">
        <f>IF(A93="","",IFERROR(VALUE(SUBSTITUTE(SUBSTITUTE(INDEX('Shopify Import'!$A:$CZ,93,Settings!$E$25)&amp;"","$",""),",","")),0)/IF(Settings!$D$27="Yes",G93,1))</f>
        <v/>
      </c>
      <c r="I93" s="11">
        <f>IF(A93="","",IFERROR(VALUE(SUBSTITUTE(SUBSTITUTE(INDEX('Shopify Import'!$A:$CZ,93,Settings!$E$26)&amp;"","$",""),",","")),0)/IF(Settings!$D$27="Yes",G93,1))</f>
        <v/>
      </c>
      <c r="J93" s="11">
        <f>IF(A93="","",F93+H93-I93)</f>
        <v/>
      </c>
      <c r="K93">
        <f>IF(A93="","",IFERROR(IF(B93="",NA(),MATCH(B93,Products!$B$5:$B$204,0)),IFERROR(MATCH(A93,Products!$A$5:$A$204,0),"")))</f>
        <v/>
      </c>
      <c r="L93">
        <f>IF(A93="","",IF(K93="","⚠ not in Products",INDEX(Products!$A$5:$A$204,K93)))</f>
        <v/>
      </c>
      <c r="M93" s="11">
        <f>IF(A93="","",J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93+IFERROR(INDEX(Settings!$D$5:$D$9,MATCH("Shopify",Settings!$A$5:$A$9,0)),0)*D93)</f>
        <v/>
      </c>
      <c r="N93" s="11">
        <f>IF(A93="","",IF(K93="",0,D93*INDEX(Products!$I$5:$I$204,K93)))</f>
        <v/>
      </c>
      <c r="O93" s="11">
        <f>IF(A93="","",IF(K93="",0,J93*INDEX(Products!$H$5:$H$204,K93)))</f>
        <v/>
      </c>
      <c r="P93" s="11">
        <f>IF(A93="","",J93-M93-N93-O93)</f>
        <v/>
      </c>
    </row>
    <row r="94">
      <c r="A94">
        <f>IFERROR(INDEX('Shopify Import'!$A:$CZ,94,Settings!$E$20)&amp;"","")</f>
        <v/>
      </c>
      <c r="B94">
        <f>IFERROR(INDEX('Shopify Import'!$A:$CZ,94,Settings!$E$21)&amp;"","")</f>
        <v/>
      </c>
      <c r="C94">
        <f>IFERROR(INDEX('Shopify Import'!$A:$CZ,94,Settings!$E$22)&amp;"","")</f>
        <v/>
      </c>
      <c r="D94">
        <f>IF(A94="","",IFERROR(VALUE(SUBSTITUTE(SUBSTITUTE(INDEX('Shopify Import'!$A:$CZ,94,Settings!$E$23)&amp;"","$",""),",","")),0))</f>
        <v/>
      </c>
      <c r="E94" s="11">
        <f>IF(A94="","",IFERROR(VALUE(SUBSTITUTE(SUBSTITUTE(INDEX('Shopify Import'!$A:$CZ,94,Settings!$E$24)&amp;"","$",""),",","")),0))</f>
        <v/>
      </c>
      <c r="F94" s="11">
        <f>IF(A94="","",D94*E94)</f>
        <v/>
      </c>
      <c r="G94">
        <f>IF(A94="","",IF(C94="",1,COUNTIF($C$2:$C$1501,C94)))</f>
        <v/>
      </c>
      <c r="H94" s="11">
        <f>IF(A94="","",IFERROR(VALUE(SUBSTITUTE(SUBSTITUTE(INDEX('Shopify Import'!$A:$CZ,94,Settings!$E$25)&amp;"","$",""),",","")),0)/IF(Settings!$D$27="Yes",G94,1))</f>
        <v/>
      </c>
      <c r="I94" s="11">
        <f>IF(A94="","",IFERROR(VALUE(SUBSTITUTE(SUBSTITUTE(INDEX('Shopify Import'!$A:$CZ,94,Settings!$E$26)&amp;"","$",""),",","")),0)/IF(Settings!$D$27="Yes",G94,1))</f>
        <v/>
      </c>
      <c r="J94" s="11">
        <f>IF(A94="","",F94+H94-I94)</f>
        <v/>
      </c>
      <c r="K94">
        <f>IF(A94="","",IFERROR(IF(B94="",NA(),MATCH(B94,Products!$B$5:$B$204,0)),IFERROR(MATCH(A94,Products!$A$5:$A$204,0),"")))</f>
        <v/>
      </c>
      <c r="L94">
        <f>IF(A94="","",IF(K94="","⚠ not in Products",INDEX(Products!$A$5:$A$204,K94)))</f>
        <v/>
      </c>
      <c r="M94" s="11">
        <f>IF(A94="","",J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94+IFERROR(INDEX(Settings!$D$5:$D$9,MATCH("Shopify",Settings!$A$5:$A$9,0)),0)*D94)</f>
        <v/>
      </c>
      <c r="N94" s="11">
        <f>IF(A94="","",IF(K94="",0,D94*INDEX(Products!$I$5:$I$204,K94)))</f>
        <v/>
      </c>
      <c r="O94" s="11">
        <f>IF(A94="","",IF(K94="",0,J94*INDEX(Products!$H$5:$H$204,K94)))</f>
        <v/>
      </c>
      <c r="P94" s="11">
        <f>IF(A94="","",J94-M94-N94-O94)</f>
        <v/>
      </c>
    </row>
    <row r="95">
      <c r="A95">
        <f>IFERROR(INDEX('Shopify Import'!$A:$CZ,95,Settings!$E$20)&amp;"","")</f>
        <v/>
      </c>
      <c r="B95">
        <f>IFERROR(INDEX('Shopify Import'!$A:$CZ,95,Settings!$E$21)&amp;"","")</f>
        <v/>
      </c>
      <c r="C95">
        <f>IFERROR(INDEX('Shopify Import'!$A:$CZ,95,Settings!$E$22)&amp;"","")</f>
        <v/>
      </c>
      <c r="D95">
        <f>IF(A95="","",IFERROR(VALUE(SUBSTITUTE(SUBSTITUTE(INDEX('Shopify Import'!$A:$CZ,95,Settings!$E$23)&amp;"","$",""),",","")),0))</f>
        <v/>
      </c>
      <c r="E95" s="11">
        <f>IF(A95="","",IFERROR(VALUE(SUBSTITUTE(SUBSTITUTE(INDEX('Shopify Import'!$A:$CZ,95,Settings!$E$24)&amp;"","$",""),",","")),0))</f>
        <v/>
      </c>
      <c r="F95" s="11">
        <f>IF(A95="","",D95*E95)</f>
        <v/>
      </c>
      <c r="G95">
        <f>IF(A95="","",IF(C95="",1,COUNTIF($C$2:$C$1501,C95)))</f>
        <v/>
      </c>
      <c r="H95" s="11">
        <f>IF(A95="","",IFERROR(VALUE(SUBSTITUTE(SUBSTITUTE(INDEX('Shopify Import'!$A:$CZ,95,Settings!$E$25)&amp;"","$",""),",","")),0)/IF(Settings!$D$27="Yes",G95,1))</f>
        <v/>
      </c>
      <c r="I95" s="11">
        <f>IF(A95="","",IFERROR(VALUE(SUBSTITUTE(SUBSTITUTE(INDEX('Shopify Import'!$A:$CZ,95,Settings!$E$26)&amp;"","$",""),",","")),0)/IF(Settings!$D$27="Yes",G95,1))</f>
        <v/>
      </c>
      <c r="J95" s="11">
        <f>IF(A95="","",F95+H95-I95)</f>
        <v/>
      </c>
      <c r="K95">
        <f>IF(A95="","",IFERROR(IF(B95="",NA(),MATCH(B95,Products!$B$5:$B$204,0)),IFERROR(MATCH(A95,Products!$A$5:$A$204,0),"")))</f>
        <v/>
      </c>
      <c r="L95">
        <f>IF(A95="","",IF(K95="","⚠ not in Products",INDEX(Products!$A$5:$A$204,K95)))</f>
        <v/>
      </c>
      <c r="M95" s="11">
        <f>IF(A95="","",J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95+IFERROR(INDEX(Settings!$D$5:$D$9,MATCH("Shopify",Settings!$A$5:$A$9,0)),0)*D95)</f>
        <v/>
      </c>
      <c r="N95" s="11">
        <f>IF(A95="","",IF(K95="",0,D95*INDEX(Products!$I$5:$I$204,K95)))</f>
        <v/>
      </c>
      <c r="O95" s="11">
        <f>IF(A95="","",IF(K95="",0,J95*INDEX(Products!$H$5:$H$204,K95)))</f>
        <v/>
      </c>
      <c r="P95" s="11">
        <f>IF(A95="","",J95-M95-N95-O95)</f>
        <v/>
      </c>
    </row>
    <row r="96">
      <c r="A96">
        <f>IFERROR(INDEX('Shopify Import'!$A:$CZ,96,Settings!$E$20)&amp;"","")</f>
        <v/>
      </c>
      <c r="B96">
        <f>IFERROR(INDEX('Shopify Import'!$A:$CZ,96,Settings!$E$21)&amp;"","")</f>
        <v/>
      </c>
      <c r="C96">
        <f>IFERROR(INDEX('Shopify Import'!$A:$CZ,96,Settings!$E$22)&amp;"","")</f>
        <v/>
      </c>
      <c r="D96">
        <f>IF(A96="","",IFERROR(VALUE(SUBSTITUTE(SUBSTITUTE(INDEX('Shopify Import'!$A:$CZ,96,Settings!$E$23)&amp;"","$",""),",","")),0))</f>
        <v/>
      </c>
      <c r="E96" s="11">
        <f>IF(A96="","",IFERROR(VALUE(SUBSTITUTE(SUBSTITUTE(INDEX('Shopify Import'!$A:$CZ,96,Settings!$E$24)&amp;"","$",""),",","")),0))</f>
        <v/>
      </c>
      <c r="F96" s="11">
        <f>IF(A96="","",D96*E96)</f>
        <v/>
      </c>
      <c r="G96">
        <f>IF(A96="","",IF(C96="",1,COUNTIF($C$2:$C$1501,C96)))</f>
        <v/>
      </c>
      <c r="H96" s="11">
        <f>IF(A96="","",IFERROR(VALUE(SUBSTITUTE(SUBSTITUTE(INDEX('Shopify Import'!$A:$CZ,96,Settings!$E$25)&amp;"","$",""),",","")),0)/IF(Settings!$D$27="Yes",G96,1))</f>
        <v/>
      </c>
      <c r="I96" s="11">
        <f>IF(A96="","",IFERROR(VALUE(SUBSTITUTE(SUBSTITUTE(INDEX('Shopify Import'!$A:$CZ,96,Settings!$E$26)&amp;"","$",""),",","")),0)/IF(Settings!$D$27="Yes",G96,1))</f>
        <v/>
      </c>
      <c r="J96" s="11">
        <f>IF(A96="","",F96+H96-I96)</f>
        <v/>
      </c>
      <c r="K96">
        <f>IF(A96="","",IFERROR(IF(B96="",NA(),MATCH(B96,Products!$B$5:$B$204,0)),IFERROR(MATCH(A96,Products!$A$5:$A$204,0),"")))</f>
        <v/>
      </c>
      <c r="L96">
        <f>IF(A96="","",IF(K96="","⚠ not in Products",INDEX(Products!$A$5:$A$204,K96)))</f>
        <v/>
      </c>
      <c r="M96" s="11">
        <f>IF(A96="","",J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96+IFERROR(INDEX(Settings!$D$5:$D$9,MATCH("Shopify",Settings!$A$5:$A$9,0)),0)*D96)</f>
        <v/>
      </c>
      <c r="N96" s="11">
        <f>IF(A96="","",IF(K96="",0,D96*INDEX(Products!$I$5:$I$204,K96)))</f>
        <v/>
      </c>
      <c r="O96" s="11">
        <f>IF(A96="","",IF(K96="",0,J96*INDEX(Products!$H$5:$H$204,K96)))</f>
        <v/>
      </c>
      <c r="P96" s="11">
        <f>IF(A96="","",J96-M96-N96-O96)</f>
        <v/>
      </c>
    </row>
    <row r="97">
      <c r="A97">
        <f>IFERROR(INDEX('Shopify Import'!$A:$CZ,97,Settings!$E$20)&amp;"","")</f>
        <v/>
      </c>
      <c r="B97">
        <f>IFERROR(INDEX('Shopify Import'!$A:$CZ,97,Settings!$E$21)&amp;"","")</f>
        <v/>
      </c>
      <c r="C97">
        <f>IFERROR(INDEX('Shopify Import'!$A:$CZ,97,Settings!$E$22)&amp;"","")</f>
        <v/>
      </c>
      <c r="D97">
        <f>IF(A97="","",IFERROR(VALUE(SUBSTITUTE(SUBSTITUTE(INDEX('Shopify Import'!$A:$CZ,97,Settings!$E$23)&amp;"","$",""),",","")),0))</f>
        <v/>
      </c>
      <c r="E97" s="11">
        <f>IF(A97="","",IFERROR(VALUE(SUBSTITUTE(SUBSTITUTE(INDEX('Shopify Import'!$A:$CZ,97,Settings!$E$24)&amp;"","$",""),",","")),0))</f>
        <v/>
      </c>
      <c r="F97" s="11">
        <f>IF(A97="","",D97*E97)</f>
        <v/>
      </c>
      <c r="G97">
        <f>IF(A97="","",IF(C97="",1,COUNTIF($C$2:$C$1501,C97)))</f>
        <v/>
      </c>
      <c r="H97" s="11">
        <f>IF(A97="","",IFERROR(VALUE(SUBSTITUTE(SUBSTITUTE(INDEX('Shopify Import'!$A:$CZ,97,Settings!$E$25)&amp;"","$",""),",","")),0)/IF(Settings!$D$27="Yes",G97,1))</f>
        <v/>
      </c>
      <c r="I97" s="11">
        <f>IF(A97="","",IFERROR(VALUE(SUBSTITUTE(SUBSTITUTE(INDEX('Shopify Import'!$A:$CZ,97,Settings!$E$26)&amp;"","$",""),",","")),0)/IF(Settings!$D$27="Yes",G97,1))</f>
        <v/>
      </c>
      <c r="J97" s="11">
        <f>IF(A97="","",F97+H97-I97)</f>
        <v/>
      </c>
      <c r="K97">
        <f>IF(A97="","",IFERROR(IF(B97="",NA(),MATCH(B97,Products!$B$5:$B$204,0)),IFERROR(MATCH(A97,Products!$A$5:$A$204,0),"")))</f>
        <v/>
      </c>
      <c r="L97">
        <f>IF(A97="","",IF(K97="","⚠ not in Products",INDEX(Products!$A$5:$A$204,K97)))</f>
        <v/>
      </c>
      <c r="M97" s="11">
        <f>IF(A97="","",J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97+IFERROR(INDEX(Settings!$D$5:$D$9,MATCH("Shopify",Settings!$A$5:$A$9,0)),0)*D97)</f>
        <v/>
      </c>
      <c r="N97" s="11">
        <f>IF(A97="","",IF(K97="",0,D97*INDEX(Products!$I$5:$I$204,K97)))</f>
        <v/>
      </c>
      <c r="O97" s="11">
        <f>IF(A97="","",IF(K97="",0,J97*INDEX(Products!$H$5:$H$204,K97)))</f>
        <v/>
      </c>
      <c r="P97" s="11">
        <f>IF(A97="","",J97-M97-N97-O97)</f>
        <v/>
      </c>
    </row>
    <row r="98">
      <c r="A98">
        <f>IFERROR(INDEX('Shopify Import'!$A:$CZ,98,Settings!$E$20)&amp;"","")</f>
        <v/>
      </c>
      <c r="B98">
        <f>IFERROR(INDEX('Shopify Import'!$A:$CZ,98,Settings!$E$21)&amp;"","")</f>
        <v/>
      </c>
      <c r="C98">
        <f>IFERROR(INDEX('Shopify Import'!$A:$CZ,98,Settings!$E$22)&amp;"","")</f>
        <v/>
      </c>
      <c r="D98">
        <f>IF(A98="","",IFERROR(VALUE(SUBSTITUTE(SUBSTITUTE(INDEX('Shopify Import'!$A:$CZ,98,Settings!$E$23)&amp;"","$",""),",","")),0))</f>
        <v/>
      </c>
      <c r="E98" s="11">
        <f>IF(A98="","",IFERROR(VALUE(SUBSTITUTE(SUBSTITUTE(INDEX('Shopify Import'!$A:$CZ,98,Settings!$E$24)&amp;"","$",""),",","")),0))</f>
        <v/>
      </c>
      <c r="F98" s="11">
        <f>IF(A98="","",D98*E98)</f>
        <v/>
      </c>
      <c r="G98">
        <f>IF(A98="","",IF(C98="",1,COUNTIF($C$2:$C$1501,C98)))</f>
        <v/>
      </c>
      <c r="H98" s="11">
        <f>IF(A98="","",IFERROR(VALUE(SUBSTITUTE(SUBSTITUTE(INDEX('Shopify Import'!$A:$CZ,98,Settings!$E$25)&amp;"","$",""),",","")),0)/IF(Settings!$D$27="Yes",G98,1))</f>
        <v/>
      </c>
      <c r="I98" s="11">
        <f>IF(A98="","",IFERROR(VALUE(SUBSTITUTE(SUBSTITUTE(INDEX('Shopify Import'!$A:$CZ,98,Settings!$E$26)&amp;"","$",""),",","")),0)/IF(Settings!$D$27="Yes",G98,1))</f>
        <v/>
      </c>
      <c r="J98" s="11">
        <f>IF(A98="","",F98+H98-I98)</f>
        <v/>
      </c>
      <c r="K98">
        <f>IF(A98="","",IFERROR(IF(B98="",NA(),MATCH(B98,Products!$B$5:$B$204,0)),IFERROR(MATCH(A98,Products!$A$5:$A$204,0),"")))</f>
        <v/>
      </c>
      <c r="L98">
        <f>IF(A98="","",IF(K98="","⚠ not in Products",INDEX(Products!$A$5:$A$204,K98)))</f>
        <v/>
      </c>
      <c r="M98" s="11">
        <f>IF(A98="","",J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98+IFERROR(INDEX(Settings!$D$5:$D$9,MATCH("Shopify",Settings!$A$5:$A$9,0)),0)*D98)</f>
        <v/>
      </c>
      <c r="N98" s="11">
        <f>IF(A98="","",IF(K98="",0,D98*INDEX(Products!$I$5:$I$204,K98)))</f>
        <v/>
      </c>
      <c r="O98" s="11">
        <f>IF(A98="","",IF(K98="",0,J98*INDEX(Products!$H$5:$H$204,K98)))</f>
        <v/>
      </c>
      <c r="P98" s="11">
        <f>IF(A98="","",J98-M98-N98-O98)</f>
        <v/>
      </c>
    </row>
    <row r="99">
      <c r="A99">
        <f>IFERROR(INDEX('Shopify Import'!$A:$CZ,99,Settings!$E$20)&amp;"","")</f>
        <v/>
      </c>
      <c r="B99">
        <f>IFERROR(INDEX('Shopify Import'!$A:$CZ,99,Settings!$E$21)&amp;"","")</f>
        <v/>
      </c>
      <c r="C99">
        <f>IFERROR(INDEX('Shopify Import'!$A:$CZ,99,Settings!$E$22)&amp;"","")</f>
        <v/>
      </c>
      <c r="D99">
        <f>IF(A99="","",IFERROR(VALUE(SUBSTITUTE(SUBSTITUTE(INDEX('Shopify Import'!$A:$CZ,99,Settings!$E$23)&amp;"","$",""),",","")),0))</f>
        <v/>
      </c>
      <c r="E99" s="11">
        <f>IF(A99="","",IFERROR(VALUE(SUBSTITUTE(SUBSTITUTE(INDEX('Shopify Import'!$A:$CZ,99,Settings!$E$24)&amp;"","$",""),",","")),0))</f>
        <v/>
      </c>
      <c r="F99" s="11">
        <f>IF(A99="","",D99*E99)</f>
        <v/>
      </c>
      <c r="G99">
        <f>IF(A99="","",IF(C99="",1,COUNTIF($C$2:$C$1501,C99)))</f>
        <v/>
      </c>
      <c r="H99" s="11">
        <f>IF(A99="","",IFERROR(VALUE(SUBSTITUTE(SUBSTITUTE(INDEX('Shopify Import'!$A:$CZ,99,Settings!$E$25)&amp;"","$",""),",","")),0)/IF(Settings!$D$27="Yes",G99,1))</f>
        <v/>
      </c>
      <c r="I99" s="11">
        <f>IF(A99="","",IFERROR(VALUE(SUBSTITUTE(SUBSTITUTE(INDEX('Shopify Import'!$A:$CZ,99,Settings!$E$26)&amp;"","$",""),",","")),0)/IF(Settings!$D$27="Yes",G99,1))</f>
        <v/>
      </c>
      <c r="J99" s="11">
        <f>IF(A99="","",F99+H99-I99)</f>
        <v/>
      </c>
      <c r="K99">
        <f>IF(A99="","",IFERROR(IF(B99="",NA(),MATCH(B99,Products!$B$5:$B$204,0)),IFERROR(MATCH(A99,Products!$A$5:$A$204,0),"")))</f>
        <v/>
      </c>
      <c r="L99">
        <f>IF(A99="","",IF(K99="","⚠ not in Products",INDEX(Products!$A$5:$A$204,K99)))</f>
        <v/>
      </c>
      <c r="M99" s="11">
        <f>IF(A99="","",J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99+IFERROR(INDEX(Settings!$D$5:$D$9,MATCH("Shopify",Settings!$A$5:$A$9,0)),0)*D99)</f>
        <v/>
      </c>
      <c r="N99" s="11">
        <f>IF(A99="","",IF(K99="",0,D99*INDEX(Products!$I$5:$I$204,K99)))</f>
        <v/>
      </c>
      <c r="O99" s="11">
        <f>IF(A99="","",IF(K99="",0,J99*INDEX(Products!$H$5:$H$204,K99)))</f>
        <v/>
      </c>
      <c r="P99" s="11">
        <f>IF(A99="","",J99-M99-N99-O99)</f>
        <v/>
      </c>
    </row>
    <row r="100">
      <c r="A100">
        <f>IFERROR(INDEX('Shopify Import'!$A:$CZ,100,Settings!$E$20)&amp;"","")</f>
        <v/>
      </c>
      <c r="B100">
        <f>IFERROR(INDEX('Shopify Import'!$A:$CZ,100,Settings!$E$21)&amp;"","")</f>
        <v/>
      </c>
      <c r="C100">
        <f>IFERROR(INDEX('Shopify Import'!$A:$CZ,100,Settings!$E$22)&amp;"","")</f>
        <v/>
      </c>
      <c r="D100">
        <f>IF(A100="","",IFERROR(VALUE(SUBSTITUTE(SUBSTITUTE(INDEX('Shopify Import'!$A:$CZ,100,Settings!$E$23)&amp;"","$",""),",","")),0))</f>
        <v/>
      </c>
      <c r="E100" s="11">
        <f>IF(A100="","",IFERROR(VALUE(SUBSTITUTE(SUBSTITUTE(INDEX('Shopify Import'!$A:$CZ,100,Settings!$E$24)&amp;"","$",""),",","")),0))</f>
        <v/>
      </c>
      <c r="F100" s="11">
        <f>IF(A100="","",D100*E100)</f>
        <v/>
      </c>
      <c r="G100">
        <f>IF(A100="","",IF(C100="",1,COUNTIF($C$2:$C$1501,C100)))</f>
        <v/>
      </c>
      <c r="H100" s="11">
        <f>IF(A100="","",IFERROR(VALUE(SUBSTITUTE(SUBSTITUTE(INDEX('Shopify Import'!$A:$CZ,100,Settings!$E$25)&amp;"","$",""),",","")),0)/IF(Settings!$D$27="Yes",G100,1))</f>
        <v/>
      </c>
      <c r="I100" s="11">
        <f>IF(A100="","",IFERROR(VALUE(SUBSTITUTE(SUBSTITUTE(INDEX('Shopify Import'!$A:$CZ,100,Settings!$E$26)&amp;"","$",""),",","")),0)/IF(Settings!$D$27="Yes",G100,1))</f>
        <v/>
      </c>
      <c r="J100" s="11">
        <f>IF(A100="","",F100+H100-I100)</f>
        <v/>
      </c>
      <c r="K100">
        <f>IF(A100="","",IFERROR(IF(B100="",NA(),MATCH(B100,Products!$B$5:$B$204,0)),IFERROR(MATCH(A100,Products!$A$5:$A$204,0),"")))</f>
        <v/>
      </c>
      <c r="L100">
        <f>IF(A100="","",IF(K100="","⚠ not in Products",INDEX(Products!$A$5:$A$204,K100)))</f>
        <v/>
      </c>
      <c r="M100" s="11">
        <f>IF(A100="","",J100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100+IFERROR(INDEX(Settings!$D$5:$D$9,MATCH("Shopify",Settings!$A$5:$A$9,0)),0)*D100)</f>
        <v/>
      </c>
      <c r="N100" s="11">
        <f>IF(A100="","",IF(K100="",0,D100*INDEX(Products!$I$5:$I$204,K100)))</f>
        <v/>
      </c>
      <c r="O100" s="11">
        <f>IF(A100="","",IF(K100="",0,J100*INDEX(Products!$H$5:$H$204,K100)))</f>
        <v/>
      </c>
      <c r="P100" s="11">
        <f>IF(A100="","",J100-M100-N100-O100)</f>
        <v/>
      </c>
    </row>
    <row r="101">
      <c r="A101">
        <f>IFERROR(INDEX('Shopify Import'!$A:$CZ,101,Settings!$E$20)&amp;"","")</f>
        <v/>
      </c>
      <c r="B101">
        <f>IFERROR(INDEX('Shopify Import'!$A:$CZ,101,Settings!$E$21)&amp;"","")</f>
        <v/>
      </c>
      <c r="C101">
        <f>IFERROR(INDEX('Shopify Import'!$A:$CZ,101,Settings!$E$22)&amp;"","")</f>
        <v/>
      </c>
      <c r="D101">
        <f>IF(A101="","",IFERROR(VALUE(SUBSTITUTE(SUBSTITUTE(INDEX('Shopify Import'!$A:$CZ,101,Settings!$E$23)&amp;"","$",""),",","")),0))</f>
        <v/>
      </c>
      <c r="E101" s="11">
        <f>IF(A101="","",IFERROR(VALUE(SUBSTITUTE(SUBSTITUTE(INDEX('Shopify Import'!$A:$CZ,101,Settings!$E$24)&amp;"","$",""),",","")),0))</f>
        <v/>
      </c>
      <c r="F101" s="11">
        <f>IF(A101="","",D101*E101)</f>
        <v/>
      </c>
      <c r="G101">
        <f>IF(A101="","",IF(C101="",1,COUNTIF($C$2:$C$1501,C101)))</f>
        <v/>
      </c>
      <c r="H101" s="11">
        <f>IF(A101="","",IFERROR(VALUE(SUBSTITUTE(SUBSTITUTE(INDEX('Shopify Import'!$A:$CZ,101,Settings!$E$25)&amp;"","$",""),",","")),0)/IF(Settings!$D$27="Yes",G101,1))</f>
        <v/>
      </c>
      <c r="I101" s="11">
        <f>IF(A101="","",IFERROR(VALUE(SUBSTITUTE(SUBSTITUTE(INDEX('Shopify Import'!$A:$CZ,101,Settings!$E$26)&amp;"","$",""),",","")),0)/IF(Settings!$D$27="Yes",G101,1))</f>
        <v/>
      </c>
      <c r="J101" s="11">
        <f>IF(A101="","",F101+H101-I101)</f>
        <v/>
      </c>
      <c r="K101">
        <f>IF(A101="","",IFERROR(IF(B101="",NA(),MATCH(B101,Products!$B$5:$B$204,0)),IFERROR(MATCH(A101,Products!$A$5:$A$204,0),"")))</f>
        <v/>
      </c>
      <c r="L101">
        <f>IF(A101="","",IF(K101="","⚠ not in Products",INDEX(Products!$A$5:$A$204,K101)))</f>
        <v/>
      </c>
      <c r="M101" s="11">
        <f>IF(A101="","",J101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101+IFERROR(INDEX(Settings!$D$5:$D$9,MATCH("Shopify",Settings!$A$5:$A$9,0)),0)*D101)</f>
        <v/>
      </c>
      <c r="N101" s="11">
        <f>IF(A101="","",IF(K101="",0,D101*INDEX(Products!$I$5:$I$204,K101)))</f>
        <v/>
      </c>
      <c r="O101" s="11">
        <f>IF(A101="","",IF(K101="",0,J101*INDEX(Products!$H$5:$H$204,K101)))</f>
        <v/>
      </c>
      <c r="P101" s="11">
        <f>IF(A101="","",J101-M101-N101-O101)</f>
        <v/>
      </c>
    </row>
    <row r="102">
      <c r="A102">
        <f>IFERROR(INDEX('Shopify Import'!$A:$CZ,102,Settings!$E$20)&amp;"","")</f>
        <v/>
      </c>
      <c r="B102">
        <f>IFERROR(INDEX('Shopify Import'!$A:$CZ,102,Settings!$E$21)&amp;"","")</f>
        <v/>
      </c>
      <c r="C102">
        <f>IFERROR(INDEX('Shopify Import'!$A:$CZ,102,Settings!$E$22)&amp;"","")</f>
        <v/>
      </c>
      <c r="D102">
        <f>IF(A102="","",IFERROR(VALUE(SUBSTITUTE(SUBSTITUTE(INDEX('Shopify Import'!$A:$CZ,102,Settings!$E$23)&amp;"","$",""),",","")),0))</f>
        <v/>
      </c>
      <c r="E102" s="11">
        <f>IF(A102="","",IFERROR(VALUE(SUBSTITUTE(SUBSTITUTE(INDEX('Shopify Import'!$A:$CZ,102,Settings!$E$24)&amp;"","$",""),",","")),0))</f>
        <v/>
      </c>
      <c r="F102" s="11">
        <f>IF(A102="","",D102*E102)</f>
        <v/>
      </c>
      <c r="G102">
        <f>IF(A102="","",IF(C102="",1,COUNTIF($C$2:$C$1501,C102)))</f>
        <v/>
      </c>
      <c r="H102" s="11">
        <f>IF(A102="","",IFERROR(VALUE(SUBSTITUTE(SUBSTITUTE(INDEX('Shopify Import'!$A:$CZ,102,Settings!$E$25)&amp;"","$",""),",","")),0)/IF(Settings!$D$27="Yes",G102,1))</f>
        <v/>
      </c>
      <c r="I102" s="11">
        <f>IF(A102="","",IFERROR(VALUE(SUBSTITUTE(SUBSTITUTE(INDEX('Shopify Import'!$A:$CZ,102,Settings!$E$26)&amp;"","$",""),",","")),0)/IF(Settings!$D$27="Yes",G102,1))</f>
        <v/>
      </c>
      <c r="J102" s="11">
        <f>IF(A102="","",F102+H102-I102)</f>
        <v/>
      </c>
      <c r="K102">
        <f>IF(A102="","",IFERROR(IF(B102="",NA(),MATCH(B102,Products!$B$5:$B$204,0)),IFERROR(MATCH(A102,Products!$A$5:$A$204,0),"")))</f>
        <v/>
      </c>
      <c r="L102">
        <f>IF(A102="","",IF(K102="","⚠ not in Products",INDEX(Products!$A$5:$A$204,K102)))</f>
        <v/>
      </c>
      <c r="M102" s="11">
        <f>IF(A102="","",J102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102+IFERROR(INDEX(Settings!$D$5:$D$9,MATCH("Shopify",Settings!$A$5:$A$9,0)),0)*D102)</f>
        <v/>
      </c>
      <c r="N102" s="11">
        <f>IF(A102="","",IF(K102="",0,D102*INDEX(Products!$I$5:$I$204,K102)))</f>
        <v/>
      </c>
      <c r="O102" s="11">
        <f>IF(A102="","",IF(K102="",0,J102*INDEX(Products!$H$5:$H$204,K102)))</f>
        <v/>
      </c>
      <c r="P102" s="11">
        <f>IF(A102="","",J102-M102-N102-O102)</f>
        <v/>
      </c>
    </row>
    <row r="103">
      <c r="A103">
        <f>IFERROR(INDEX('Shopify Import'!$A:$CZ,103,Settings!$E$20)&amp;"","")</f>
        <v/>
      </c>
      <c r="B103">
        <f>IFERROR(INDEX('Shopify Import'!$A:$CZ,103,Settings!$E$21)&amp;"","")</f>
        <v/>
      </c>
      <c r="C103">
        <f>IFERROR(INDEX('Shopify Import'!$A:$CZ,103,Settings!$E$22)&amp;"","")</f>
        <v/>
      </c>
      <c r="D103">
        <f>IF(A103="","",IFERROR(VALUE(SUBSTITUTE(SUBSTITUTE(INDEX('Shopify Import'!$A:$CZ,103,Settings!$E$23)&amp;"","$",""),",","")),0))</f>
        <v/>
      </c>
      <c r="E103" s="11">
        <f>IF(A103="","",IFERROR(VALUE(SUBSTITUTE(SUBSTITUTE(INDEX('Shopify Import'!$A:$CZ,103,Settings!$E$24)&amp;"","$",""),",","")),0))</f>
        <v/>
      </c>
      <c r="F103" s="11">
        <f>IF(A103="","",D103*E103)</f>
        <v/>
      </c>
      <c r="G103">
        <f>IF(A103="","",IF(C103="",1,COUNTIF($C$2:$C$1501,C103)))</f>
        <v/>
      </c>
      <c r="H103" s="11">
        <f>IF(A103="","",IFERROR(VALUE(SUBSTITUTE(SUBSTITUTE(INDEX('Shopify Import'!$A:$CZ,103,Settings!$E$25)&amp;"","$",""),",","")),0)/IF(Settings!$D$27="Yes",G103,1))</f>
        <v/>
      </c>
      <c r="I103" s="11">
        <f>IF(A103="","",IFERROR(VALUE(SUBSTITUTE(SUBSTITUTE(INDEX('Shopify Import'!$A:$CZ,103,Settings!$E$26)&amp;"","$",""),",","")),0)/IF(Settings!$D$27="Yes",G103,1))</f>
        <v/>
      </c>
      <c r="J103" s="11">
        <f>IF(A103="","",F103+H103-I103)</f>
        <v/>
      </c>
      <c r="K103">
        <f>IF(A103="","",IFERROR(IF(B103="",NA(),MATCH(B103,Products!$B$5:$B$204,0)),IFERROR(MATCH(A103,Products!$A$5:$A$204,0),"")))</f>
        <v/>
      </c>
      <c r="L103">
        <f>IF(A103="","",IF(K103="","⚠ not in Products",INDEX(Products!$A$5:$A$204,K103)))</f>
        <v/>
      </c>
      <c r="M103" s="11">
        <f>IF(A103="","",J103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103+IFERROR(INDEX(Settings!$D$5:$D$9,MATCH("Shopify",Settings!$A$5:$A$9,0)),0)*D103)</f>
        <v/>
      </c>
      <c r="N103" s="11">
        <f>IF(A103="","",IF(K103="",0,D103*INDEX(Products!$I$5:$I$204,K103)))</f>
        <v/>
      </c>
      <c r="O103" s="11">
        <f>IF(A103="","",IF(K103="",0,J103*INDEX(Products!$H$5:$H$204,K103)))</f>
        <v/>
      </c>
      <c r="P103" s="11">
        <f>IF(A103="","",J103-M103-N103-O103)</f>
        <v/>
      </c>
    </row>
    <row r="104">
      <c r="A104">
        <f>IFERROR(INDEX('Shopify Import'!$A:$CZ,104,Settings!$E$20)&amp;"","")</f>
        <v/>
      </c>
      <c r="B104">
        <f>IFERROR(INDEX('Shopify Import'!$A:$CZ,104,Settings!$E$21)&amp;"","")</f>
        <v/>
      </c>
      <c r="C104">
        <f>IFERROR(INDEX('Shopify Import'!$A:$CZ,104,Settings!$E$22)&amp;"","")</f>
        <v/>
      </c>
      <c r="D104">
        <f>IF(A104="","",IFERROR(VALUE(SUBSTITUTE(SUBSTITUTE(INDEX('Shopify Import'!$A:$CZ,104,Settings!$E$23)&amp;"","$",""),",","")),0))</f>
        <v/>
      </c>
      <c r="E104" s="11">
        <f>IF(A104="","",IFERROR(VALUE(SUBSTITUTE(SUBSTITUTE(INDEX('Shopify Import'!$A:$CZ,104,Settings!$E$24)&amp;"","$",""),",","")),0))</f>
        <v/>
      </c>
      <c r="F104" s="11">
        <f>IF(A104="","",D104*E104)</f>
        <v/>
      </c>
      <c r="G104">
        <f>IF(A104="","",IF(C104="",1,COUNTIF($C$2:$C$1501,C104)))</f>
        <v/>
      </c>
      <c r="H104" s="11">
        <f>IF(A104="","",IFERROR(VALUE(SUBSTITUTE(SUBSTITUTE(INDEX('Shopify Import'!$A:$CZ,104,Settings!$E$25)&amp;"","$",""),",","")),0)/IF(Settings!$D$27="Yes",G104,1))</f>
        <v/>
      </c>
      <c r="I104" s="11">
        <f>IF(A104="","",IFERROR(VALUE(SUBSTITUTE(SUBSTITUTE(INDEX('Shopify Import'!$A:$CZ,104,Settings!$E$26)&amp;"","$",""),",","")),0)/IF(Settings!$D$27="Yes",G104,1))</f>
        <v/>
      </c>
      <c r="J104" s="11">
        <f>IF(A104="","",F104+H104-I104)</f>
        <v/>
      </c>
      <c r="K104">
        <f>IF(A104="","",IFERROR(IF(B104="",NA(),MATCH(B104,Products!$B$5:$B$204,0)),IFERROR(MATCH(A104,Products!$A$5:$A$204,0),"")))</f>
        <v/>
      </c>
      <c r="L104">
        <f>IF(A104="","",IF(K104="","⚠ not in Products",INDEX(Products!$A$5:$A$204,K104)))</f>
        <v/>
      </c>
      <c r="M104" s="11">
        <f>IF(A104="","",J104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104+IFERROR(INDEX(Settings!$D$5:$D$9,MATCH("Shopify",Settings!$A$5:$A$9,0)),0)*D104)</f>
        <v/>
      </c>
      <c r="N104" s="11">
        <f>IF(A104="","",IF(K104="",0,D104*INDEX(Products!$I$5:$I$204,K104)))</f>
        <v/>
      </c>
      <c r="O104" s="11">
        <f>IF(A104="","",IF(K104="",0,J104*INDEX(Products!$H$5:$H$204,K104)))</f>
        <v/>
      </c>
      <c r="P104" s="11">
        <f>IF(A104="","",J104-M104-N104-O104)</f>
        <v/>
      </c>
    </row>
    <row r="105">
      <c r="A105">
        <f>IFERROR(INDEX('Shopify Import'!$A:$CZ,105,Settings!$E$20)&amp;"","")</f>
        <v/>
      </c>
      <c r="B105">
        <f>IFERROR(INDEX('Shopify Import'!$A:$CZ,105,Settings!$E$21)&amp;"","")</f>
        <v/>
      </c>
      <c r="C105">
        <f>IFERROR(INDEX('Shopify Import'!$A:$CZ,105,Settings!$E$22)&amp;"","")</f>
        <v/>
      </c>
      <c r="D105">
        <f>IF(A105="","",IFERROR(VALUE(SUBSTITUTE(SUBSTITUTE(INDEX('Shopify Import'!$A:$CZ,105,Settings!$E$23)&amp;"","$",""),",","")),0))</f>
        <v/>
      </c>
      <c r="E105" s="11">
        <f>IF(A105="","",IFERROR(VALUE(SUBSTITUTE(SUBSTITUTE(INDEX('Shopify Import'!$A:$CZ,105,Settings!$E$24)&amp;"","$",""),",","")),0))</f>
        <v/>
      </c>
      <c r="F105" s="11">
        <f>IF(A105="","",D105*E105)</f>
        <v/>
      </c>
      <c r="G105">
        <f>IF(A105="","",IF(C105="",1,COUNTIF($C$2:$C$1501,C105)))</f>
        <v/>
      </c>
      <c r="H105" s="11">
        <f>IF(A105="","",IFERROR(VALUE(SUBSTITUTE(SUBSTITUTE(INDEX('Shopify Import'!$A:$CZ,105,Settings!$E$25)&amp;"","$",""),",","")),0)/IF(Settings!$D$27="Yes",G105,1))</f>
        <v/>
      </c>
      <c r="I105" s="11">
        <f>IF(A105="","",IFERROR(VALUE(SUBSTITUTE(SUBSTITUTE(INDEX('Shopify Import'!$A:$CZ,105,Settings!$E$26)&amp;"","$",""),",","")),0)/IF(Settings!$D$27="Yes",G105,1))</f>
        <v/>
      </c>
      <c r="J105" s="11">
        <f>IF(A105="","",F105+H105-I105)</f>
        <v/>
      </c>
      <c r="K105">
        <f>IF(A105="","",IFERROR(IF(B105="",NA(),MATCH(B105,Products!$B$5:$B$204,0)),IFERROR(MATCH(A105,Products!$A$5:$A$204,0),"")))</f>
        <v/>
      </c>
      <c r="L105">
        <f>IF(A105="","",IF(K105="","⚠ not in Products",INDEX(Products!$A$5:$A$204,K105)))</f>
        <v/>
      </c>
      <c r="M105" s="11">
        <f>IF(A105="","",J105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105+IFERROR(INDEX(Settings!$D$5:$D$9,MATCH("Shopify",Settings!$A$5:$A$9,0)),0)*D105)</f>
        <v/>
      </c>
      <c r="N105" s="11">
        <f>IF(A105="","",IF(K105="",0,D105*INDEX(Products!$I$5:$I$204,K105)))</f>
        <v/>
      </c>
      <c r="O105" s="11">
        <f>IF(A105="","",IF(K105="",0,J105*INDEX(Products!$H$5:$H$204,K105)))</f>
        <v/>
      </c>
      <c r="P105" s="11">
        <f>IF(A105="","",J105-M105-N105-O105)</f>
        <v/>
      </c>
    </row>
    <row r="106">
      <c r="A106">
        <f>IFERROR(INDEX('Shopify Import'!$A:$CZ,106,Settings!$E$20)&amp;"","")</f>
        <v/>
      </c>
      <c r="B106">
        <f>IFERROR(INDEX('Shopify Import'!$A:$CZ,106,Settings!$E$21)&amp;"","")</f>
        <v/>
      </c>
      <c r="C106">
        <f>IFERROR(INDEX('Shopify Import'!$A:$CZ,106,Settings!$E$22)&amp;"","")</f>
        <v/>
      </c>
      <c r="D106">
        <f>IF(A106="","",IFERROR(VALUE(SUBSTITUTE(SUBSTITUTE(INDEX('Shopify Import'!$A:$CZ,106,Settings!$E$23)&amp;"","$",""),",","")),0))</f>
        <v/>
      </c>
      <c r="E106" s="11">
        <f>IF(A106="","",IFERROR(VALUE(SUBSTITUTE(SUBSTITUTE(INDEX('Shopify Import'!$A:$CZ,106,Settings!$E$24)&amp;"","$",""),",","")),0))</f>
        <v/>
      </c>
      <c r="F106" s="11">
        <f>IF(A106="","",D106*E106)</f>
        <v/>
      </c>
      <c r="G106">
        <f>IF(A106="","",IF(C106="",1,COUNTIF($C$2:$C$1501,C106)))</f>
        <v/>
      </c>
      <c r="H106" s="11">
        <f>IF(A106="","",IFERROR(VALUE(SUBSTITUTE(SUBSTITUTE(INDEX('Shopify Import'!$A:$CZ,106,Settings!$E$25)&amp;"","$",""),",","")),0)/IF(Settings!$D$27="Yes",G106,1))</f>
        <v/>
      </c>
      <c r="I106" s="11">
        <f>IF(A106="","",IFERROR(VALUE(SUBSTITUTE(SUBSTITUTE(INDEX('Shopify Import'!$A:$CZ,106,Settings!$E$26)&amp;"","$",""),",","")),0)/IF(Settings!$D$27="Yes",G106,1))</f>
        <v/>
      </c>
      <c r="J106" s="11">
        <f>IF(A106="","",F106+H106-I106)</f>
        <v/>
      </c>
      <c r="K106">
        <f>IF(A106="","",IFERROR(IF(B106="",NA(),MATCH(B106,Products!$B$5:$B$204,0)),IFERROR(MATCH(A106,Products!$A$5:$A$204,0),"")))</f>
        <v/>
      </c>
      <c r="L106">
        <f>IF(A106="","",IF(K106="","⚠ not in Products",INDEX(Products!$A$5:$A$204,K106)))</f>
        <v/>
      </c>
      <c r="M106" s="11">
        <f>IF(A106="","",J106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106+IFERROR(INDEX(Settings!$D$5:$D$9,MATCH("Shopify",Settings!$A$5:$A$9,0)),0)*D106)</f>
        <v/>
      </c>
      <c r="N106" s="11">
        <f>IF(A106="","",IF(K106="",0,D106*INDEX(Products!$I$5:$I$204,K106)))</f>
        <v/>
      </c>
      <c r="O106" s="11">
        <f>IF(A106="","",IF(K106="",0,J106*INDEX(Products!$H$5:$H$204,K106)))</f>
        <v/>
      </c>
      <c r="P106" s="11">
        <f>IF(A106="","",J106-M106-N106-O106)</f>
        <v/>
      </c>
    </row>
    <row r="107">
      <c r="A107">
        <f>IFERROR(INDEX('Shopify Import'!$A:$CZ,107,Settings!$E$20)&amp;"","")</f>
        <v/>
      </c>
      <c r="B107">
        <f>IFERROR(INDEX('Shopify Import'!$A:$CZ,107,Settings!$E$21)&amp;"","")</f>
        <v/>
      </c>
      <c r="C107">
        <f>IFERROR(INDEX('Shopify Import'!$A:$CZ,107,Settings!$E$22)&amp;"","")</f>
        <v/>
      </c>
      <c r="D107">
        <f>IF(A107="","",IFERROR(VALUE(SUBSTITUTE(SUBSTITUTE(INDEX('Shopify Import'!$A:$CZ,107,Settings!$E$23)&amp;"","$",""),",","")),0))</f>
        <v/>
      </c>
      <c r="E107" s="11">
        <f>IF(A107="","",IFERROR(VALUE(SUBSTITUTE(SUBSTITUTE(INDEX('Shopify Import'!$A:$CZ,107,Settings!$E$24)&amp;"","$",""),",","")),0))</f>
        <v/>
      </c>
      <c r="F107" s="11">
        <f>IF(A107="","",D107*E107)</f>
        <v/>
      </c>
      <c r="G107">
        <f>IF(A107="","",IF(C107="",1,COUNTIF($C$2:$C$1501,C107)))</f>
        <v/>
      </c>
      <c r="H107" s="11">
        <f>IF(A107="","",IFERROR(VALUE(SUBSTITUTE(SUBSTITUTE(INDEX('Shopify Import'!$A:$CZ,107,Settings!$E$25)&amp;"","$",""),",","")),0)/IF(Settings!$D$27="Yes",G107,1))</f>
        <v/>
      </c>
      <c r="I107" s="11">
        <f>IF(A107="","",IFERROR(VALUE(SUBSTITUTE(SUBSTITUTE(INDEX('Shopify Import'!$A:$CZ,107,Settings!$E$26)&amp;"","$",""),",","")),0)/IF(Settings!$D$27="Yes",G107,1))</f>
        <v/>
      </c>
      <c r="J107" s="11">
        <f>IF(A107="","",F107+H107-I107)</f>
        <v/>
      </c>
      <c r="K107">
        <f>IF(A107="","",IFERROR(IF(B107="",NA(),MATCH(B107,Products!$B$5:$B$204,0)),IFERROR(MATCH(A107,Products!$A$5:$A$204,0),"")))</f>
        <v/>
      </c>
      <c r="L107">
        <f>IF(A107="","",IF(K107="","⚠ not in Products",INDEX(Products!$A$5:$A$204,K107)))</f>
        <v/>
      </c>
      <c r="M107" s="11">
        <f>IF(A107="","",J107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107+IFERROR(INDEX(Settings!$D$5:$D$9,MATCH("Shopify",Settings!$A$5:$A$9,0)),0)*D107)</f>
        <v/>
      </c>
      <c r="N107" s="11">
        <f>IF(A107="","",IF(K107="",0,D107*INDEX(Products!$I$5:$I$204,K107)))</f>
        <v/>
      </c>
      <c r="O107" s="11">
        <f>IF(A107="","",IF(K107="",0,J107*INDEX(Products!$H$5:$H$204,K107)))</f>
        <v/>
      </c>
      <c r="P107" s="11">
        <f>IF(A107="","",J107-M107-N107-O107)</f>
        <v/>
      </c>
    </row>
    <row r="108">
      <c r="A108">
        <f>IFERROR(INDEX('Shopify Import'!$A:$CZ,108,Settings!$E$20)&amp;"","")</f>
        <v/>
      </c>
      <c r="B108">
        <f>IFERROR(INDEX('Shopify Import'!$A:$CZ,108,Settings!$E$21)&amp;"","")</f>
        <v/>
      </c>
      <c r="C108">
        <f>IFERROR(INDEX('Shopify Import'!$A:$CZ,108,Settings!$E$22)&amp;"","")</f>
        <v/>
      </c>
      <c r="D108">
        <f>IF(A108="","",IFERROR(VALUE(SUBSTITUTE(SUBSTITUTE(INDEX('Shopify Import'!$A:$CZ,108,Settings!$E$23)&amp;"","$",""),",","")),0))</f>
        <v/>
      </c>
      <c r="E108" s="11">
        <f>IF(A108="","",IFERROR(VALUE(SUBSTITUTE(SUBSTITUTE(INDEX('Shopify Import'!$A:$CZ,108,Settings!$E$24)&amp;"","$",""),",","")),0))</f>
        <v/>
      </c>
      <c r="F108" s="11">
        <f>IF(A108="","",D108*E108)</f>
        <v/>
      </c>
      <c r="G108">
        <f>IF(A108="","",IF(C108="",1,COUNTIF($C$2:$C$1501,C108)))</f>
        <v/>
      </c>
      <c r="H108" s="11">
        <f>IF(A108="","",IFERROR(VALUE(SUBSTITUTE(SUBSTITUTE(INDEX('Shopify Import'!$A:$CZ,108,Settings!$E$25)&amp;"","$",""),",","")),0)/IF(Settings!$D$27="Yes",G108,1))</f>
        <v/>
      </c>
      <c r="I108" s="11">
        <f>IF(A108="","",IFERROR(VALUE(SUBSTITUTE(SUBSTITUTE(INDEX('Shopify Import'!$A:$CZ,108,Settings!$E$26)&amp;"","$",""),",","")),0)/IF(Settings!$D$27="Yes",G108,1))</f>
        <v/>
      </c>
      <c r="J108" s="11">
        <f>IF(A108="","",F108+H108-I108)</f>
        <v/>
      </c>
      <c r="K108">
        <f>IF(A108="","",IFERROR(IF(B108="",NA(),MATCH(B108,Products!$B$5:$B$204,0)),IFERROR(MATCH(A108,Products!$A$5:$A$204,0),"")))</f>
        <v/>
      </c>
      <c r="L108">
        <f>IF(A108="","",IF(K108="","⚠ not in Products",INDEX(Products!$A$5:$A$204,K108)))</f>
        <v/>
      </c>
      <c r="M108" s="11">
        <f>IF(A108="","",J108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108+IFERROR(INDEX(Settings!$D$5:$D$9,MATCH("Shopify",Settings!$A$5:$A$9,0)),0)*D108)</f>
        <v/>
      </c>
      <c r="N108" s="11">
        <f>IF(A108="","",IF(K108="",0,D108*INDEX(Products!$I$5:$I$204,K108)))</f>
        <v/>
      </c>
      <c r="O108" s="11">
        <f>IF(A108="","",IF(K108="",0,J108*INDEX(Products!$H$5:$H$204,K108)))</f>
        <v/>
      </c>
      <c r="P108" s="11">
        <f>IF(A108="","",J108-M108-N108-O108)</f>
        <v/>
      </c>
    </row>
    <row r="109">
      <c r="A109">
        <f>IFERROR(INDEX('Shopify Import'!$A:$CZ,109,Settings!$E$20)&amp;"","")</f>
        <v/>
      </c>
      <c r="B109">
        <f>IFERROR(INDEX('Shopify Import'!$A:$CZ,109,Settings!$E$21)&amp;"","")</f>
        <v/>
      </c>
      <c r="C109">
        <f>IFERROR(INDEX('Shopify Import'!$A:$CZ,109,Settings!$E$22)&amp;"","")</f>
        <v/>
      </c>
      <c r="D109">
        <f>IF(A109="","",IFERROR(VALUE(SUBSTITUTE(SUBSTITUTE(INDEX('Shopify Import'!$A:$CZ,109,Settings!$E$23)&amp;"","$",""),",","")),0))</f>
        <v/>
      </c>
      <c r="E109" s="11">
        <f>IF(A109="","",IFERROR(VALUE(SUBSTITUTE(SUBSTITUTE(INDEX('Shopify Import'!$A:$CZ,109,Settings!$E$24)&amp;"","$",""),",","")),0))</f>
        <v/>
      </c>
      <c r="F109" s="11">
        <f>IF(A109="","",D109*E109)</f>
        <v/>
      </c>
      <c r="G109">
        <f>IF(A109="","",IF(C109="",1,COUNTIF($C$2:$C$1501,C109)))</f>
        <v/>
      </c>
      <c r="H109" s="11">
        <f>IF(A109="","",IFERROR(VALUE(SUBSTITUTE(SUBSTITUTE(INDEX('Shopify Import'!$A:$CZ,109,Settings!$E$25)&amp;"","$",""),",","")),0)/IF(Settings!$D$27="Yes",G109,1))</f>
        <v/>
      </c>
      <c r="I109" s="11">
        <f>IF(A109="","",IFERROR(VALUE(SUBSTITUTE(SUBSTITUTE(INDEX('Shopify Import'!$A:$CZ,109,Settings!$E$26)&amp;"","$",""),",","")),0)/IF(Settings!$D$27="Yes",G109,1))</f>
        <v/>
      </c>
      <c r="J109" s="11">
        <f>IF(A109="","",F109+H109-I109)</f>
        <v/>
      </c>
      <c r="K109">
        <f>IF(A109="","",IFERROR(IF(B109="",NA(),MATCH(B109,Products!$B$5:$B$204,0)),IFERROR(MATCH(A109,Products!$A$5:$A$204,0),"")))</f>
        <v/>
      </c>
      <c r="L109">
        <f>IF(A109="","",IF(K109="","⚠ not in Products",INDEX(Products!$A$5:$A$204,K109)))</f>
        <v/>
      </c>
      <c r="M109" s="11">
        <f>IF(A109="","",J109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109+IFERROR(INDEX(Settings!$D$5:$D$9,MATCH("Shopify",Settings!$A$5:$A$9,0)),0)*D109)</f>
        <v/>
      </c>
      <c r="N109" s="11">
        <f>IF(A109="","",IF(K109="",0,D109*INDEX(Products!$I$5:$I$204,K109)))</f>
        <v/>
      </c>
      <c r="O109" s="11">
        <f>IF(A109="","",IF(K109="",0,J109*INDEX(Products!$H$5:$H$204,K109)))</f>
        <v/>
      </c>
      <c r="P109" s="11">
        <f>IF(A109="","",J109-M109-N109-O109)</f>
        <v/>
      </c>
    </row>
    <row r="110">
      <c r="A110">
        <f>IFERROR(INDEX('Shopify Import'!$A:$CZ,110,Settings!$E$20)&amp;"","")</f>
        <v/>
      </c>
      <c r="B110">
        <f>IFERROR(INDEX('Shopify Import'!$A:$CZ,110,Settings!$E$21)&amp;"","")</f>
        <v/>
      </c>
      <c r="C110">
        <f>IFERROR(INDEX('Shopify Import'!$A:$CZ,110,Settings!$E$22)&amp;"","")</f>
        <v/>
      </c>
      <c r="D110">
        <f>IF(A110="","",IFERROR(VALUE(SUBSTITUTE(SUBSTITUTE(INDEX('Shopify Import'!$A:$CZ,110,Settings!$E$23)&amp;"","$",""),",","")),0))</f>
        <v/>
      </c>
      <c r="E110" s="11">
        <f>IF(A110="","",IFERROR(VALUE(SUBSTITUTE(SUBSTITUTE(INDEX('Shopify Import'!$A:$CZ,110,Settings!$E$24)&amp;"","$",""),",","")),0))</f>
        <v/>
      </c>
      <c r="F110" s="11">
        <f>IF(A110="","",D110*E110)</f>
        <v/>
      </c>
      <c r="G110">
        <f>IF(A110="","",IF(C110="",1,COUNTIF($C$2:$C$1501,C110)))</f>
        <v/>
      </c>
      <c r="H110" s="11">
        <f>IF(A110="","",IFERROR(VALUE(SUBSTITUTE(SUBSTITUTE(INDEX('Shopify Import'!$A:$CZ,110,Settings!$E$25)&amp;"","$",""),",","")),0)/IF(Settings!$D$27="Yes",G110,1))</f>
        <v/>
      </c>
      <c r="I110" s="11">
        <f>IF(A110="","",IFERROR(VALUE(SUBSTITUTE(SUBSTITUTE(INDEX('Shopify Import'!$A:$CZ,110,Settings!$E$26)&amp;"","$",""),",","")),0)/IF(Settings!$D$27="Yes",G110,1))</f>
        <v/>
      </c>
      <c r="J110" s="11">
        <f>IF(A110="","",F110+H110-I110)</f>
        <v/>
      </c>
      <c r="K110">
        <f>IF(A110="","",IFERROR(IF(B110="",NA(),MATCH(B110,Products!$B$5:$B$204,0)),IFERROR(MATCH(A110,Products!$A$5:$A$204,0),"")))</f>
        <v/>
      </c>
      <c r="L110">
        <f>IF(A110="","",IF(K110="","⚠ not in Products",INDEX(Products!$A$5:$A$204,K110)))</f>
        <v/>
      </c>
      <c r="M110" s="11">
        <f>IF(A110="","",J110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110+IFERROR(INDEX(Settings!$D$5:$D$9,MATCH("Shopify",Settings!$A$5:$A$9,0)),0)*D110)</f>
        <v/>
      </c>
      <c r="N110" s="11">
        <f>IF(A110="","",IF(K110="",0,D110*INDEX(Products!$I$5:$I$204,K110)))</f>
        <v/>
      </c>
      <c r="O110" s="11">
        <f>IF(A110="","",IF(K110="",0,J110*INDEX(Products!$H$5:$H$204,K110)))</f>
        <v/>
      </c>
      <c r="P110" s="11">
        <f>IF(A110="","",J110-M110-N110-O110)</f>
        <v/>
      </c>
    </row>
    <row r="111">
      <c r="A111">
        <f>IFERROR(INDEX('Shopify Import'!$A:$CZ,111,Settings!$E$20)&amp;"","")</f>
        <v/>
      </c>
      <c r="B111">
        <f>IFERROR(INDEX('Shopify Import'!$A:$CZ,111,Settings!$E$21)&amp;"","")</f>
        <v/>
      </c>
      <c r="C111">
        <f>IFERROR(INDEX('Shopify Import'!$A:$CZ,111,Settings!$E$22)&amp;"","")</f>
        <v/>
      </c>
      <c r="D111">
        <f>IF(A111="","",IFERROR(VALUE(SUBSTITUTE(SUBSTITUTE(INDEX('Shopify Import'!$A:$CZ,111,Settings!$E$23)&amp;"","$",""),",","")),0))</f>
        <v/>
      </c>
      <c r="E111" s="11">
        <f>IF(A111="","",IFERROR(VALUE(SUBSTITUTE(SUBSTITUTE(INDEX('Shopify Import'!$A:$CZ,111,Settings!$E$24)&amp;"","$",""),",","")),0))</f>
        <v/>
      </c>
      <c r="F111" s="11">
        <f>IF(A111="","",D111*E111)</f>
        <v/>
      </c>
      <c r="G111">
        <f>IF(A111="","",IF(C111="",1,COUNTIF($C$2:$C$1501,C111)))</f>
        <v/>
      </c>
      <c r="H111" s="11">
        <f>IF(A111="","",IFERROR(VALUE(SUBSTITUTE(SUBSTITUTE(INDEX('Shopify Import'!$A:$CZ,111,Settings!$E$25)&amp;"","$",""),",","")),0)/IF(Settings!$D$27="Yes",G111,1))</f>
        <v/>
      </c>
      <c r="I111" s="11">
        <f>IF(A111="","",IFERROR(VALUE(SUBSTITUTE(SUBSTITUTE(INDEX('Shopify Import'!$A:$CZ,111,Settings!$E$26)&amp;"","$",""),",","")),0)/IF(Settings!$D$27="Yes",G111,1))</f>
        <v/>
      </c>
      <c r="J111" s="11">
        <f>IF(A111="","",F111+H111-I111)</f>
        <v/>
      </c>
      <c r="K111">
        <f>IF(A111="","",IFERROR(IF(B111="",NA(),MATCH(B111,Products!$B$5:$B$204,0)),IFERROR(MATCH(A111,Products!$A$5:$A$204,0),"")))</f>
        <v/>
      </c>
      <c r="L111">
        <f>IF(A111="","",IF(K111="","⚠ not in Products",INDEX(Products!$A$5:$A$204,K111)))</f>
        <v/>
      </c>
      <c r="M111" s="11">
        <f>IF(A111="","",J111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111+IFERROR(INDEX(Settings!$D$5:$D$9,MATCH("Shopify",Settings!$A$5:$A$9,0)),0)*D111)</f>
        <v/>
      </c>
      <c r="N111" s="11">
        <f>IF(A111="","",IF(K111="",0,D111*INDEX(Products!$I$5:$I$204,K111)))</f>
        <v/>
      </c>
      <c r="O111" s="11">
        <f>IF(A111="","",IF(K111="",0,J111*INDEX(Products!$H$5:$H$204,K111)))</f>
        <v/>
      </c>
      <c r="P111" s="11">
        <f>IF(A111="","",J111-M111-N111-O111)</f>
        <v/>
      </c>
    </row>
    <row r="112">
      <c r="A112">
        <f>IFERROR(INDEX('Shopify Import'!$A:$CZ,112,Settings!$E$20)&amp;"","")</f>
        <v/>
      </c>
      <c r="B112">
        <f>IFERROR(INDEX('Shopify Import'!$A:$CZ,112,Settings!$E$21)&amp;"","")</f>
        <v/>
      </c>
      <c r="C112">
        <f>IFERROR(INDEX('Shopify Import'!$A:$CZ,112,Settings!$E$22)&amp;"","")</f>
        <v/>
      </c>
      <c r="D112">
        <f>IF(A112="","",IFERROR(VALUE(SUBSTITUTE(SUBSTITUTE(INDEX('Shopify Import'!$A:$CZ,112,Settings!$E$23)&amp;"","$",""),",","")),0))</f>
        <v/>
      </c>
      <c r="E112" s="11">
        <f>IF(A112="","",IFERROR(VALUE(SUBSTITUTE(SUBSTITUTE(INDEX('Shopify Import'!$A:$CZ,112,Settings!$E$24)&amp;"","$",""),",","")),0))</f>
        <v/>
      </c>
      <c r="F112" s="11">
        <f>IF(A112="","",D112*E112)</f>
        <v/>
      </c>
      <c r="G112">
        <f>IF(A112="","",IF(C112="",1,COUNTIF($C$2:$C$1501,C112)))</f>
        <v/>
      </c>
      <c r="H112" s="11">
        <f>IF(A112="","",IFERROR(VALUE(SUBSTITUTE(SUBSTITUTE(INDEX('Shopify Import'!$A:$CZ,112,Settings!$E$25)&amp;"","$",""),",","")),0)/IF(Settings!$D$27="Yes",G112,1))</f>
        <v/>
      </c>
      <c r="I112" s="11">
        <f>IF(A112="","",IFERROR(VALUE(SUBSTITUTE(SUBSTITUTE(INDEX('Shopify Import'!$A:$CZ,112,Settings!$E$26)&amp;"","$",""),",","")),0)/IF(Settings!$D$27="Yes",G112,1))</f>
        <v/>
      </c>
      <c r="J112" s="11">
        <f>IF(A112="","",F112+H112-I112)</f>
        <v/>
      </c>
      <c r="K112">
        <f>IF(A112="","",IFERROR(IF(B112="",NA(),MATCH(B112,Products!$B$5:$B$204,0)),IFERROR(MATCH(A112,Products!$A$5:$A$204,0),"")))</f>
        <v/>
      </c>
      <c r="L112">
        <f>IF(A112="","",IF(K112="","⚠ not in Products",INDEX(Products!$A$5:$A$204,K112)))</f>
        <v/>
      </c>
      <c r="M112" s="11">
        <f>IF(A112="","",J112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112+IFERROR(INDEX(Settings!$D$5:$D$9,MATCH("Shopify",Settings!$A$5:$A$9,0)),0)*D112)</f>
        <v/>
      </c>
      <c r="N112" s="11">
        <f>IF(A112="","",IF(K112="",0,D112*INDEX(Products!$I$5:$I$204,K112)))</f>
        <v/>
      </c>
      <c r="O112" s="11">
        <f>IF(A112="","",IF(K112="",0,J112*INDEX(Products!$H$5:$H$204,K112)))</f>
        <v/>
      </c>
      <c r="P112" s="11">
        <f>IF(A112="","",J112-M112-N112-O112)</f>
        <v/>
      </c>
    </row>
    <row r="113">
      <c r="A113">
        <f>IFERROR(INDEX('Shopify Import'!$A:$CZ,113,Settings!$E$20)&amp;"","")</f>
        <v/>
      </c>
      <c r="B113">
        <f>IFERROR(INDEX('Shopify Import'!$A:$CZ,113,Settings!$E$21)&amp;"","")</f>
        <v/>
      </c>
      <c r="C113">
        <f>IFERROR(INDEX('Shopify Import'!$A:$CZ,113,Settings!$E$22)&amp;"","")</f>
        <v/>
      </c>
      <c r="D113">
        <f>IF(A113="","",IFERROR(VALUE(SUBSTITUTE(SUBSTITUTE(INDEX('Shopify Import'!$A:$CZ,113,Settings!$E$23)&amp;"","$",""),",","")),0))</f>
        <v/>
      </c>
      <c r="E113" s="11">
        <f>IF(A113="","",IFERROR(VALUE(SUBSTITUTE(SUBSTITUTE(INDEX('Shopify Import'!$A:$CZ,113,Settings!$E$24)&amp;"","$",""),",","")),0))</f>
        <v/>
      </c>
      <c r="F113" s="11">
        <f>IF(A113="","",D113*E113)</f>
        <v/>
      </c>
      <c r="G113">
        <f>IF(A113="","",IF(C113="",1,COUNTIF($C$2:$C$1501,C113)))</f>
        <v/>
      </c>
      <c r="H113" s="11">
        <f>IF(A113="","",IFERROR(VALUE(SUBSTITUTE(SUBSTITUTE(INDEX('Shopify Import'!$A:$CZ,113,Settings!$E$25)&amp;"","$",""),",","")),0)/IF(Settings!$D$27="Yes",G113,1))</f>
        <v/>
      </c>
      <c r="I113" s="11">
        <f>IF(A113="","",IFERROR(VALUE(SUBSTITUTE(SUBSTITUTE(INDEX('Shopify Import'!$A:$CZ,113,Settings!$E$26)&amp;"","$",""),",","")),0)/IF(Settings!$D$27="Yes",G113,1))</f>
        <v/>
      </c>
      <c r="J113" s="11">
        <f>IF(A113="","",F113+H113-I113)</f>
        <v/>
      </c>
      <c r="K113">
        <f>IF(A113="","",IFERROR(IF(B113="",NA(),MATCH(B113,Products!$B$5:$B$204,0)),IFERROR(MATCH(A113,Products!$A$5:$A$204,0),"")))</f>
        <v/>
      </c>
      <c r="L113">
        <f>IF(A113="","",IF(K113="","⚠ not in Products",INDEX(Products!$A$5:$A$204,K113)))</f>
        <v/>
      </c>
      <c r="M113" s="11">
        <f>IF(A113="","",J113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113+IFERROR(INDEX(Settings!$D$5:$D$9,MATCH("Shopify",Settings!$A$5:$A$9,0)),0)*D113)</f>
        <v/>
      </c>
      <c r="N113" s="11">
        <f>IF(A113="","",IF(K113="",0,D113*INDEX(Products!$I$5:$I$204,K113)))</f>
        <v/>
      </c>
      <c r="O113" s="11">
        <f>IF(A113="","",IF(K113="",0,J113*INDEX(Products!$H$5:$H$204,K113)))</f>
        <v/>
      </c>
      <c r="P113" s="11">
        <f>IF(A113="","",J113-M113-N113-O113)</f>
        <v/>
      </c>
    </row>
    <row r="114">
      <c r="A114">
        <f>IFERROR(INDEX('Shopify Import'!$A:$CZ,114,Settings!$E$20)&amp;"","")</f>
        <v/>
      </c>
      <c r="B114">
        <f>IFERROR(INDEX('Shopify Import'!$A:$CZ,114,Settings!$E$21)&amp;"","")</f>
        <v/>
      </c>
      <c r="C114">
        <f>IFERROR(INDEX('Shopify Import'!$A:$CZ,114,Settings!$E$22)&amp;"","")</f>
        <v/>
      </c>
      <c r="D114">
        <f>IF(A114="","",IFERROR(VALUE(SUBSTITUTE(SUBSTITUTE(INDEX('Shopify Import'!$A:$CZ,114,Settings!$E$23)&amp;"","$",""),",","")),0))</f>
        <v/>
      </c>
      <c r="E114" s="11">
        <f>IF(A114="","",IFERROR(VALUE(SUBSTITUTE(SUBSTITUTE(INDEX('Shopify Import'!$A:$CZ,114,Settings!$E$24)&amp;"","$",""),",","")),0))</f>
        <v/>
      </c>
      <c r="F114" s="11">
        <f>IF(A114="","",D114*E114)</f>
        <v/>
      </c>
      <c r="G114">
        <f>IF(A114="","",IF(C114="",1,COUNTIF($C$2:$C$1501,C114)))</f>
        <v/>
      </c>
      <c r="H114" s="11">
        <f>IF(A114="","",IFERROR(VALUE(SUBSTITUTE(SUBSTITUTE(INDEX('Shopify Import'!$A:$CZ,114,Settings!$E$25)&amp;"","$",""),",","")),0)/IF(Settings!$D$27="Yes",G114,1))</f>
        <v/>
      </c>
      <c r="I114" s="11">
        <f>IF(A114="","",IFERROR(VALUE(SUBSTITUTE(SUBSTITUTE(INDEX('Shopify Import'!$A:$CZ,114,Settings!$E$26)&amp;"","$",""),",","")),0)/IF(Settings!$D$27="Yes",G114,1))</f>
        <v/>
      </c>
      <c r="J114" s="11">
        <f>IF(A114="","",F114+H114-I114)</f>
        <v/>
      </c>
      <c r="K114">
        <f>IF(A114="","",IFERROR(IF(B114="",NA(),MATCH(B114,Products!$B$5:$B$204,0)),IFERROR(MATCH(A114,Products!$A$5:$A$204,0),"")))</f>
        <v/>
      </c>
      <c r="L114">
        <f>IF(A114="","",IF(K114="","⚠ not in Products",INDEX(Products!$A$5:$A$204,K114)))</f>
        <v/>
      </c>
      <c r="M114" s="11">
        <f>IF(A114="","",J114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114+IFERROR(INDEX(Settings!$D$5:$D$9,MATCH("Shopify",Settings!$A$5:$A$9,0)),0)*D114)</f>
        <v/>
      </c>
      <c r="N114" s="11">
        <f>IF(A114="","",IF(K114="",0,D114*INDEX(Products!$I$5:$I$204,K114)))</f>
        <v/>
      </c>
      <c r="O114" s="11">
        <f>IF(A114="","",IF(K114="",0,J114*INDEX(Products!$H$5:$H$204,K114)))</f>
        <v/>
      </c>
      <c r="P114" s="11">
        <f>IF(A114="","",J114-M114-N114-O114)</f>
        <v/>
      </c>
    </row>
    <row r="115">
      <c r="A115">
        <f>IFERROR(INDEX('Shopify Import'!$A:$CZ,115,Settings!$E$20)&amp;"","")</f>
        <v/>
      </c>
      <c r="B115">
        <f>IFERROR(INDEX('Shopify Import'!$A:$CZ,115,Settings!$E$21)&amp;"","")</f>
        <v/>
      </c>
      <c r="C115">
        <f>IFERROR(INDEX('Shopify Import'!$A:$CZ,115,Settings!$E$22)&amp;"","")</f>
        <v/>
      </c>
      <c r="D115">
        <f>IF(A115="","",IFERROR(VALUE(SUBSTITUTE(SUBSTITUTE(INDEX('Shopify Import'!$A:$CZ,115,Settings!$E$23)&amp;"","$",""),",","")),0))</f>
        <v/>
      </c>
      <c r="E115" s="11">
        <f>IF(A115="","",IFERROR(VALUE(SUBSTITUTE(SUBSTITUTE(INDEX('Shopify Import'!$A:$CZ,115,Settings!$E$24)&amp;"","$",""),",","")),0))</f>
        <v/>
      </c>
      <c r="F115" s="11">
        <f>IF(A115="","",D115*E115)</f>
        <v/>
      </c>
      <c r="G115">
        <f>IF(A115="","",IF(C115="",1,COUNTIF($C$2:$C$1501,C115)))</f>
        <v/>
      </c>
      <c r="H115" s="11">
        <f>IF(A115="","",IFERROR(VALUE(SUBSTITUTE(SUBSTITUTE(INDEX('Shopify Import'!$A:$CZ,115,Settings!$E$25)&amp;"","$",""),",","")),0)/IF(Settings!$D$27="Yes",G115,1))</f>
        <v/>
      </c>
      <c r="I115" s="11">
        <f>IF(A115="","",IFERROR(VALUE(SUBSTITUTE(SUBSTITUTE(INDEX('Shopify Import'!$A:$CZ,115,Settings!$E$26)&amp;"","$",""),",","")),0)/IF(Settings!$D$27="Yes",G115,1))</f>
        <v/>
      </c>
      <c r="J115" s="11">
        <f>IF(A115="","",F115+H115-I115)</f>
        <v/>
      </c>
      <c r="K115">
        <f>IF(A115="","",IFERROR(IF(B115="",NA(),MATCH(B115,Products!$B$5:$B$204,0)),IFERROR(MATCH(A115,Products!$A$5:$A$204,0),"")))</f>
        <v/>
      </c>
      <c r="L115">
        <f>IF(A115="","",IF(K115="","⚠ not in Products",INDEX(Products!$A$5:$A$204,K115)))</f>
        <v/>
      </c>
      <c r="M115" s="11">
        <f>IF(A115="","",J115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115+IFERROR(INDEX(Settings!$D$5:$D$9,MATCH("Shopify",Settings!$A$5:$A$9,0)),0)*D115)</f>
        <v/>
      </c>
      <c r="N115" s="11">
        <f>IF(A115="","",IF(K115="",0,D115*INDEX(Products!$I$5:$I$204,K115)))</f>
        <v/>
      </c>
      <c r="O115" s="11">
        <f>IF(A115="","",IF(K115="",0,J115*INDEX(Products!$H$5:$H$204,K115)))</f>
        <v/>
      </c>
      <c r="P115" s="11">
        <f>IF(A115="","",J115-M115-N115-O115)</f>
        <v/>
      </c>
    </row>
    <row r="116">
      <c r="A116">
        <f>IFERROR(INDEX('Shopify Import'!$A:$CZ,116,Settings!$E$20)&amp;"","")</f>
        <v/>
      </c>
      <c r="B116">
        <f>IFERROR(INDEX('Shopify Import'!$A:$CZ,116,Settings!$E$21)&amp;"","")</f>
        <v/>
      </c>
      <c r="C116">
        <f>IFERROR(INDEX('Shopify Import'!$A:$CZ,116,Settings!$E$22)&amp;"","")</f>
        <v/>
      </c>
      <c r="D116">
        <f>IF(A116="","",IFERROR(VALUE(SUBSTITUTE(SUBSTITUTE(INDEX('Shopify Import'!$A:$CZ,116,Settings!$E$23)&amp;"","$",""),",","")),0))</f>
        <v/>
      </c>
      <c r="E116" s="11">
        <f>IF(A116="","",IFERROR(VALUE(SUBSTITUTE(SUBSTITUTE(INDEX('Shopify Import'!$A:$CZ,116,Settings!$E$24)&amp;"","$",""),",","")),0))</f>
        <v/>
      </c>
      <c r="F116" s="11">
        <f>IF(A116="","",D116*E116)</f>
        <v/>
      </c>
      <c r="G116">
        <f>IF(A116="","",IF(C116="",1,COUNTIF($C$2:$C$1501,C116)))</f>
        <v/>
      </c>
      <c r="H116" s="11">
        <f>IF(A116="","",IFERROR(VALUE(SUBSTITUTE(SUBSTITUTE(INDEX('Shopify Import'!$A:$CZ,116,Settings!$E$25)&amp;"","$",""),",","")),0)/IF(Settings!$D$27="Yes",G116,1))</f>
        <v/>
      </c>
      <c r="I116" s="11">
        <f>IF(A116="","",IFERROR(VALUE(SUBSTITUTE(SUBSTITUTE(INDEX('Shopify Import'!$A:$CZ,116,Settings!$E$26)&amp;"","$",""),",","")),0)/IF(Settings!$D$27="Yes",G116,1))</f>
        <v/>
      </c>
      <c r="J116" s="11">
        <f>IF(A116="","",F116+H116-I116)</f>
        <v/>
      </c>
      <c r="K116">
        <f>IF(A116="","",IFERROR(IF(B116="",NA(),MATCH(B116,Products!$B$5:$B$204,0)),IFERROR(MATCH(A116,Products!$A$5:$A$204,0),"")))</f>
        <v/>
      </c>
      <c r="L116">
        <f>IF(A116="","",IF(K116="","⚠ not in Products",INDEX(Products!$A$5:$A$204,K116)))</f>
        <v/>
      </c>
      <c r="M116" s="11">
        <f>IF(A116="","",J116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116+IFERROR(INDEX(Settings!$D$5:$D$9,MATCH("Shopify",Settings!$A$5:$A$9,0)),0)*D116)</f>
        <v/>
      </c>
      <c r="N116" s="11">
        <f>IF(A116="","",IF(K116="",0,D116*INDEX(Products!$I$5:$I$204,K116)))</f>
        <v/>
      </c>
      <c r="O116" s="11">
        <f>IF(A116="","",IF(K116="",0,J116*INDEX(Products!$H$5:$H$204,K116)))</f>
        <v/>
      </c>
      <c r="P116" s="11">
        <f>IF(A116="","",J116-M116-N116-O116)</f>
        <v/>
      </c>
    </row>
    <row r="117">
      <c r="A117">
        <f>IFERROR(INDEX('Shopify Import'!$A:$CZ,117,Settings!$E$20)&amp;"","")</f>
        <v/>
      </c>
      <c r="B117">
        <f>IFERROR(INDEX('Shopify Import'!$A:$CZ,117,Settings!$E$21)&amp;"","")</f>
        <v/>
      </c>
      <c r="C117">
        <f>IFERROR(INDEX('Shopify Import'!$A:$CZ,117,Settings!$E$22)&amp;"","")</f>
        <v/>
      </c>
      <c r="D117">
        <f>IF(A117="","",IFERROR(VALUE(SUBSTITUTE(SUBSTITUTE(INDEX('Shopify Import'!$A:$CZ,117,Settings!$E$23)&amp;"","$",""),",","")),0))</f>
        <v/>
      </c>
      <c r="E117" s="11">
        <f>IF(A117="","",IFERROR(VALUE(SUBSTITUTE(SUBSTITUTE(INDEX('Shopify Import'!$A:$CZ,117,Settings!$E$24)&amp;"","$",""),",","")),0))</f>
        <v/>
      </c>
      <c r="F117" s="11">
        <f>IF(A117="","",D117*E117)</f>
        <v/>
      </c>
      <c r="G117">
        <f>IF(A117="","",IF(C117="",1,COUNTIF($C$2:$C$1501,C117)))</f>
        <v/>
      </c>
      <c r="H117" s="11">
        <f>IF(A117="","",IFERROR(VALUE(SUBSTITUTE(SUBSTITUTE(INDEX('Shopify Import'!$A:$CZ,117,Settings!$E$25)&amp;"","$",""),",","")),0)/IF(Settings!$D$27="Yes",G117,1))</f>
        <v/>
      </c>
      <c r="I117" s="11">
        <f>IF(A117="","",IFERROR(VALUE(SUBSTITUTE(SUBSTITUTE(INDEX('Shopify Import'!$A:$CZ,117,Settings!$E$26)&amp;"","$",""),",","")),0)/IF(Settings!$D$27="Yes",G117,1))</f>
        <v/>
      </c>
      <c r="J117" s="11">
        <f>IF(A117="","",F117+H117-I117)</f>
        <v/>
      </c>
      <c r="K117">
        <f>IF(A117="","",IFERROR(IF(B117="",NA(),MATCH(B117,Products!$B$5:$B$204,0)),IFERROR(MATCH(A117,Products!$A$5:$A$204,0),"")))</f>
        <v/>
      </c>
      <c r="L117">
        <f>IF(A117="","",IF(K117="","⚠ not in Products",INDEX(Products!$A$5:$A$204,K117)))</f>
        <v/>
      </c>
      <c r="M117" s="11">
        <f>IF(A117="","",J117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117+IFERROR(INDEX(Settings!$D$5:$D$9,MATCH("Shopify",Settings!$A$5:$A$9,0)),0)*D117)</f>
        <v/>
      </c>
      <c r="N117" s="11">
        <f>IF(A117="","",IF(K117="",0,D117*INDEX(Products!$I$5:$I$204,K117)))</f>
        <v/>
      </c>
      <c r="O117" s="11">
        <f>IF(A117="","",IF(K117="",0,J117*INDEX(Products!$H$5:$H$204,K117)))</f>
        <v/>
      </c>
      <c r="P117" s="11">
        <f>IF(A117="","",J117-M117-N117-O117)</f>
        <v/>
      </c>
    </row>
    <row r="118">
      <c r="A118">
        <f>IFERROR(INDEX('Shopify Import'!$A:$CZ,118,Settings!$E$20)&amp;"","")</f>
        <v/>
      </c>
      <c r="B118">
        <f>IFERROR(INDEX('Shopify Import'!$A:$CZ,118,Settings!$E$21)&amp;"","")</f>
        <v/>
      </c>
      <c r="C118">
        <f>IFERROR(INDEX('Shopify Import'!$A:$CZ,118,Settings!$E$22)&amp;"","")</f>
        <v/>
      </c>
      <c r="D118">
        <f>IF(A118="","",IFERROR(VALUE(SUBSTITUTE(SUBSTITUTE(INDEX('Shopify Import'!$A:$CZ,118,Settings!$E$23)&amp;"","$",""),",","")),0))</f>
        <v/>
      </c>
      <c r="E118" s="11">
        <f>IF(A118="","",IFERROR(VALUE(SUBSTITUTE(SUBSTITUTE(INDEX('Shopify Import'!$A:$CZ,118,Settings!$E$24)&amp;"","$",""),",","")),0))</f>
        <v/>
      </c>
      <c r="F118" s="11">
        <f>IF(A118="","",D118*E118)</f>
        <v/>
      </c>
      <c r="G118">
        <f>IF(A118="","",IF(C118="",1,COUNTIF($C$2:$C$1501,C118)))</f>
        <v/>
      </c>
      <c r="H118" s="11">
        <f>IF(A118="","",IFERROR(VALUE(SUBSTITUTE(SUBSTITUTE(INDEX('Shopify Import'!$A:$CZ,118,Settings!$E$25)&amp;"","$",""),",","")),0)/IF(Settings!$D$27="Yes",G118,1))</f>
        <v/>
      </c>
      <c r="I118" s="11">
        <f>IF(A118="","",IFERROR(VALUE(SUBSTITUTE(SUBSTITUTE(INDEX('Shopify Import'!$A:$CZ,118,Settings!$E$26)&amp;"","$",""),",","")),0)/IF(Settings!$D$27="Yes",G118,1))</f>
        <v/>
      </c>
      <c r="J118" s="11">
        <f>IF(A118="","",F118+H118-I118)</f>
        <v/>
      </c>
      <c r="K118">
        <f>IF(A118="","",IFERROR(IF(B118="",NA(),MATCH(B118,Products!$B$5:$B$204,0)),IFERROR(MATCH(A118,Products!$A$5:$A$204,0),"")))</f>
        <v/>
      </c>
      <c r="L118">
        <f>IF(A118="","",IF(K118="","⚠ not in Products",INDEX(Products!$A$5:$A$204,K118)))</f>
        <v/>
      </c>
      <c r="M118" s="11">
        <f>IF(A118="","",J118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118+IFERROR(INDEX(Settings!$D$5:$D$9,MATCH("Shopify",Settings!$A$5:$A$9,0)),0)*D118)</f>
        <v/>
      </c>
      <c r="N118" s="11">
        <f>IF(A118="","",IF(K118="",0,D118*INDEX(Products!$I$5:$I$204,K118)))</f>
        <v/>
      </c>
      <c r="O118" s="11">
        <f>IF(A118="","",IF(K118="",0,J118*INDEX(Products!$H$5:$H$204,K118)))</f>
        <v/>
      </c>
      <c r="P118" s="11">
        <f>IF(A118="","",J118-M118-N118-O118)</f>
        <v/>
      </c>
    </row>
    <row r="119">
      <c r="A119">
        <f>IFERROR(INDEX('Shopify Import'!$A:$CZ,119,Settings!$E$20)&amp;"","")</f>
        <v/>
      </c>
      <c r="B119">
        <f>IFERROR(INDEX('Shopify Import'!$A:$CZ,119,Settings!$E$21)&amp;"","")</f>
        <v/>
      </c>
      <c r="C119">
        <f>IFERROR(INDEX('Shopify Import'!$A:$CZ,119,Settings!$E$22)&amp;"","")</f>
        <v/>
      </c>
      <c r="D119">
        <f>IF(A119="","",IFERROR(VALUE(SUBSTITUTE(SUBSTITUTE(INDEX('Shopify Import'!$A:$CZ,119,Settings!$E$23)&amp;"","$",""),",","")),0))</f>
        <v/>
      </c>
      <c r="E119" s="11">
        <f>IF(A119="","",IFERROR(VALUE(SUBSTITUTE(SUBSTITUTE(INDEX('Shopify Import'!$A:$CZ,119,Settings!$E$24)&amp;"","$",""),",","")),0))</f>
        <v/>
      </c>
      <c r="F119" s="11">
        <f>IF(A119="","",D119*E119)</f>
        <v/>
      </c>
      <c r="G119">
        <f>IF(A119="","",IF(C119="",1,COUNTIF($C$2:$C$1501,C119)))</f>
        <v/>
      </c>
      <c r="H119" s="11">
        <f>IF(A119="","",IFERROR(VALUE(SUBSTITUTE(SUBSTITUTE(INDEX('Shopify Import'!$A:$CZ,119,Settings!$E$25)&amp;"","$",""),",","")),0)/IF(Settings!$D$27="Yes",G119,1))</f>
        <v/>
      </c>
      <c r="I119" s="11">
        <f>IF(A119="","",IFERROR(VALUE(SUBSTITUTE(SUBSTITUTE(INDEX('Shopify Import'!$A:$CZ,119,Settings!$E$26)&amp;"","$",""),",","")),0)/IF(Settings!$D$27="Yes",G119,1))</f>
        <v/>
      </c>
      <c r="J119" s="11">
        <f>IF(A119="","",F119+H119-I119)</f>
        <v/>
      </c>
      <c r="K119">
        <f>IF(A119="","",IFERROR(IF(B119="",NA(),MATCH(B119,Products!$B$5:$B$204,0)),IFERROR(MATCH(A119,Products!$A$5:$A$204,0),"")))</f>
        <v/>
      </c>
      <c r="L119">
        <f>IF(A119="","",IF(K119="","⚠ not in Products",INDEX(Products!$A$5:$A$204,K119)))</f>
        <v/>
      </c>
      <c r="M119" s="11">
        <f>IF(A119="","",J119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119+IFERROR(INDEX(Settings!$D$5:$D$9,MATCH("Shopify",Settings!$A$5:$A$9,0)),0)*D119)</f>
        <v/>
      </c>
      <c r="N119" s="11">
        <f>IF(A119="","",IF(K119="",0,D119*INDEX(Products!$I$5:$I$204,K119)))</f>
        <v/>
      </c>
      <c r="O119" s="11">
        <f>IF(A119="","",IF(K119="",0,J119*INDEX(Products!$H$5:$H$204,K119)))</f>
        <v/>
      </c>
      <c r="P119" s="11">
        <f>IF(A119="","",J119-M119-N119-O119)</f>
        <v/>
      </c>
    </row>
    <row r="120">
      <c r="A120">
        <f>IFERROR(INDEX('Shopify Import'!$A:$CZ,120,Settings!$E$20)&amp;"","")</f>
        <v/>
      </c>
      <c r="B120">
        <f>IFERROR(INDEX('Shopify Import'!$A:$CZ,120,Settings!$E$21)&amp;"","")</f>
        <v/>
      </c>
      <c r="C120">
        <f>IFERROR(INDEX('Shopify Import'!$A:$CZ,120,Settings!$E$22)&amp;"","")</f>
        <v/>
      </c>
      <c r="D120">
        <f>IF(A120="","",IFERROR(VALUE(SUBSTITUTE(SUBSTITUTE(INDEX('Shopify Import'!$A:$CZ,120,Settings!$E$23)&amp;"","$",""),",","")),0))</f>
        <v/>
      </c>
      <c r="E120" s="11">
        <f>IF(A120="","",IFERROR(VALUE(SUBSTITUTE(SUBSTITUTE(INDEX('Shopify Import'!$A:$CZ,120,Settings!$E$24)&amp;"","$",""),",","")),0))</f>
        <v/>
      </c>
      <c r="F120" s="11">
        <f>IF(A120="","",D120*E120)</f>
        <v/>
      </c>
      <c r="G120">
        <f>IF(A120="","",IF(C120="",1,COUNTIF($C$2:$C$1501,C120)))</f>
        <v/>
      </c>
      <c r="H120" s="11">
        <f>IF(A120="","",IFERROR(VALUE(SUBSTITUTE(SUBSTITUTE(INDEX('Shopify Import'!$A:$CZ,120,Settings!$E$25)&amp;"","$",""),",","")),0)/IF(Settings!$D$27="Yes",G120,1))</f>
        <v/>
      </c>
      <c r="I120" s="11">
        <f>IF(A120="","",IFERROR(VALUE(SUBSTITUTE(SUBSTITUTE(INDEX('Shopify Import'!$A:$CZ,120,Settings!$E$26)&amp;"","$",""),",","")),0)/IF(Settings!$D$27="Yes",G120,1))</f>
        <v/>
      </c>
      <c r="J120" s="11">
        <f>IF(A120="","",F120+H120-I120)</f>
        <v/>
      </c>
      <c r="K120">
        <f>IF(A120="","",IFERROR(IF(B120="",NA(),MATCH(B120,Products!$B$5:$B$204,0)),IFERROR(MATCH(A120,Products!$A$5:$A$204,0),"")))</f>
        <v/>
      </c>
      <c r="L120">
        <f>IF(A120="","",IF(K120="","⚠ not in Products",INDEX(Products!$A$5:$A$204,K120)))</f>
        <v/>
      </c>
      <c r="M120" s="11">
        <f>IF(A120="","",J120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120+IFERROR(INDEX(Settings!$D$5:$D$9,MATCH("Shopify",Settings!$A$5:$A$9,0)),0)*D120)</f>
        <v/>
      </c>
      <c r="N120" s="11">
        <f>IF(A120="","",IF(K120="",0,D120*INDEX(Products!$I$5:$I$204,K120)))</f>
        <v/>
      </c>
      <c r="O120" s="11">
        <f>IF(A120="","",IF(K120="",0,J120*INDEX(Products!$H$5:$H$204,K120)))</f>
        <v/>
      </c>
      <c r="P120" s="11">
        <f>IF(A120="","",J120-M120-N120-O120)</f>
        <v/>
      </c>
    </row>
    <row r="121">
      <c r="A121">
        <f>IFERROR(INDEX('Shopify Import'!$A:$CZ,121,Settings!$E$20)&amp;"","")</f>
        <v/>
      </c>
      <c r="B121">
        <f>IFERROR(INDEX('Shopify Import'!$A:$CZ,121,Settings!$E$21)&amp;"","")</f>
        <v/>
      </c>
      <c r="C121">
        <f>IFERROR(INDEX('Shopify Import'!$A:$CZ,121,Settings!$E$22)&amp;"","")</f>
        <v/>
      </c>
      <c r="D121">
        <f>IF(A121="","",IFERROR(VALUE(SUBSTITUTE(SUBSTITUTE(INDEX('Shopify Import'!$A:$CZ,121,Settings!$E$23)&amp;"","$",""),",","")),0))</f>
        <v/>
      </c>
      <c r="E121" s="11">
        <f>IF(A121="","",IFERROR(VALUE(SUBSTITUTE(SUBSTITUTE(INDEX('Shopify Import'!$A:$CZ,121,Settings!$E$24)&amp;"","$",""),",","")),0))</f>
        <v/>
      </c>
      <c r="F121" s="11">
        <f>IF(A121="","",D121*E121)</f>
        <v/>
      </c>
      <c r="G121">
        <f>IF(A121="","",IF(C121="",1,COUNTIF($C$2:$C$1501,C121)))</f>
        <v/>
      </c>
      <c r="H121" s="11">
        <f>IF(A121="","",IFERROR(VALUE(SUBSTITUTE(SUBSTITUTE(INDEX('Shopify Import'!$A:$CZ,121,Settings!$E$25)&amp;"","$",""),",","")),0)/IF(Settings!$D$27="Yes",G121,1))</f>
        <v/>
      </c>
      <c r="I121" s="11">
        <f>IF(A121="","",IFERROR(VALUE(SUBSTITUTE(SUBSTITUTE(INDEX('Shopify Import'!$A:$CZ,121,Settings!$E$26)&amp;"","$",""),",","")),0)/IF(Settings!$D$27="Yes",G121,1))</f>
        <v/>
      </c>
      <c r="J121" s="11">
        <f>IF(A121="","",F121+H121-I121)</f>
        <v/>
      </c>
      <c r="K121">
        <f>IF(A121="","",IFERROR(IF(B121="",NA(),MATCH(B121,Products!$B$5:$B$204,0)),IFERROR(MATCH(A121,Products!$A$5:$A$204,0),"")))</f>
        <v/>
      </c>
      <c r="L121">
        <f>IF(A121="","",IF(K121="","⚠ not in Products",INDEX(Products!$A$5:$A$204,K121)))</f>
        <v/>
      </c>
      <c r="M121" s="11">
        <f>IF(A121="","",J121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121+IFERROR(INDEX(Settings!$D$5:$D$9,MATCH("Shopify",Settings!$A$5:$A$9,0)),0)*D121)</f>
        <v/>
      </c>
      <c r="N121" s="11">
        <f>IF(A121="","",IF(K121="",0,D121*INDEX(Products!$I$5:$I$204,K121)))</f>
        <v/>
      </c>
      <c r="O121" s="11">
        <f>IF(A121="","",IF(K121="",0,J121*INDEX(Products!$H$5:$H$204,K121)))</f>
        <v/>
      </c>
      <c r="P121" s="11">
        <f>IF(A121="","",J121-M121-N121-O121)</f>
        <v/>
      </c>
    </row>
    <row r="122">
      <c r="A122">
        <f>IFERROR(INDEX('Shopify Import'!$A:$CZ,122,Settings!$E$20)&amp;"","")</f>
        <v/>
      </c>
      <c r="B122">
        <f>IFERROR(INDEX('Shopify Import'!$A:$CZ,122,Settings!$E$21)&amp;"","")</f>
        <v/>
      </c>
      <c r="C122">
        <f>IFERROR(INDEX('Shopify Import'!$A:$CZ,122,Settings!$E$22)&amp;"","")</f>
        <v/>
      </c>
      <c r="D122">
        <f>IF(A122="","",IFERROR(VALUE(SUBSTITUTE(SUBSTITUTE(INDEX('Shopify Import'!$A:$CZ,122,Settings!$E$23)&amp;"","$",""),",","")),0))</f>
        <v/>
      </c>
      <c r="E122" s="11">
        <f>IF(A122="","",IFERROR(VALUE(SUBSTITUTE(SUBSTITUTE(INDEX('Shopify Import'!$A:$CZ,122,Settings!$E$24)&amp;"","$",""),",","")),0))</f>
        <v/>
      </c>
      <c r="F122" s="11">
        <f>IF(A122="","",D122*E122)</f>
        <v/>
      </c>
      <c r="G122">
        <f>IF(A122="","",IF(C122="",1,COUNTIF($C$2:$C$1501,C122)))</f>
        <v/>
      </c>
      <c r="H122" s="11">
        <f>IF(A122="","",IFERROR(VALUE(SUBSTITUTE(SUBSTITUTE(INDEX('Shopify Import'!$A:$CZ,122,Settings!$E$25)&amp;"","$",""),",","")),0)/IF(Settings!$D$27="Yes",G122,1))</f>
        <v/>
      </c>
      <c r="I122" s="11">
        <f>IF(A122="","",IFERROR(VALUE(SUBSTITUTE(SUBSTITUTE(INDEX('Shopify Import'!$A:$CZ,122,Settings!$E$26)&amp;"","$",""),",","")),0)/IF(Settings!$D$27="Yes",G122,1))</f>
        <v/>
      </c>
      <c r="J122" s="11">
        <f>IF(A122="","",F122+H122-I122)</f>
        <v/>
      </c>
      <c r="K122">
        <f>IF(A122="","",IFERROR(IF(B122="",NA(),MATCH(B122,Products!$B$5:$B$204,0)),IFERROR(MATCH(A122,Products!$A$5:$A$204,0),"")))</f>
        <v/>
      </c>
      <c r="L122">
        <f>IF(A122="","",IF(K122="","⚠ not in Products",INDEX(Products!$A$5:$A$204,K122)))</f>
        <v/>
      </c>
      <c r="M122" s="11">
        <f>IF(A122="","",J122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122+IFERROR(INDEX(Settings!$D$5:$D$9,MATCH("Shopify",Settings!$A$5:$A$9,0)),0)*D122)</f>
        <v/>
      </c>
      <c r="N122" s="11">
        <f>IF(A122="","",IF(K122="",0,D122*INDEX(Products!$I$5:$I$204,K122)))</f>
        <v/>
      </c>
      <c r="O122" s="11">
        <f>IF(A122="","",IF(K122="",0,J122*INDEX(Products!$H$5:$H$204,K122)))</f>
        <v/>
      </c>
      <c r="P122" s="11">
        <f>IF(A122="","",J122-M122-N122-O122)</f>
        <v/>
      </c>
    </row>
    <row r="123">
      <c r="A123">
        <f>IFERROR(INDEX('Shopify Import'!$A:$CZ,123,Settings!$E$20)&amp;"","")</f>
        <v/>
      </c>
      <c r="B123">
        <f>IFERROR(INDEX('Shopify Import'!$A:$CZ,123,Settings!$E$21)&amp;"","")</f>
        <v/>
      </c>
      <c r="C123">
        <f>IFERROR(INDEX('Shopify Import'!$A:$CZ,123,Settings!$E$22)&amp;"","")</f>
        <v/>
      </c>
      <c r="D123">
        <f>IF(A123="","",IFERROR(VALUE(SUBSTITUTE(SUBSTITUTE(INDEX('Shopify Import'!$A:$CZ,123,Settings!$E$23)&amp;"","$",""),",","")),0))</f>
        <v/>
      </c>
      <c r="E123" s="11">
        <f>IF(A123="","",IFERROR(VALUE(SUBSTITUTE(SUBSTITUTE(INDEX('Shopify Import'!$A:$CZ,123,Settings!$E$24)&amp;"","$",""),",","")),0))</f>
        <v/>
      </c>
      <c r="F123" s="11">
        <f>IF(A123="","",D123*E123)</f>
        <v/>
      </c>
      <c r="G123">
        <f>IF(A123="","",IF(C123="",1,COUNTIF($C$2:$C$1501,C123)))</f>
        <v/>
      </c>
      <c r="H123" s="11">
        <f>IF(A123="","",IFERROR(VALUE(SUBSTITUTE(SUBSTITUTE(INDEX('Shopify Import'!$A:$CZ,123,Settings!$E$25)&amp;"","$",""),",","")),0)/IF(Settings!$D$27="Yes",G123,1))</f>
        <v/>
      </c>
      <c r="I123" s="11">
        <f>IF(A123="","",IFERROR(VALUE(SUBSTITUTE(SUBSTITUTE(INDEX('Shopify Import'!$A:$CZ,123,Settings!$E$26)&amp;"","$",""),",","")),0)/IF(Settings!$D$27="Yes",G123,1))</f>
        <v/>
      </c>
      <c r="J123" s="11">
        <f>IF(A123="","",F123+H123-I123)</f>
        <v/>
      </c>
      <c r="K123">
        <f>IF(A123="","",IFERROR(IF(B123="",NA(),MATCH(B123,Products!$B$5:$B$204,0)),IFERROR(MATCH(A123,Products!$A$5:$A$204,0),"")))</f>
        <v/>
      </c>
      <c r="L123">
        <f>IF(A123="","",IF(K123="","⚠ not in Products",INDEX(Products!$A$5:$A$204,K123)))</f>
        <v/>
      </c>
      <c r="M123" s="11">
        <f>IF(A123="","",J123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123+IFERROR(INDEX(Settings!$D$5:$D$9,MATCH("Shopify",Settings!$A$5:$A$9,0)),0)*D123)</f>
        <v/>
      </c>
      <c r="N123" s="11">
        <f>IF(A123="","",IF(K123="",0,D123*INDEX(Products!$I$5:$I$204,K123)))</f>
        <v/>
      </c>
      <c r="O123" s="11">
        <f>IF(A123="","",IF(K123="",0,J123*INDEX(Products!$H$5:$H$204,K123)))</f>
        <v/>
      </c>
      <c r="P123" s="11">
        <f>IF(A123="","",J123-M123-N123-O123)</f>
        <v/>
      </c>
    </row>
    <row r="124">
      <c r="A124">
        <f>IFERROR(INDEX('Shopify Import'!$A:$CZ,124,Settings!$E$20)&amp;"","")</f>
        <v/>
      </c>
      <c r="B124">
        <f>IFERROR(INDEX('Shopify Import'!$A:$CZ,124,Settings!$E$21)&amp;"","")</f>
        <v/>
      </c>
      <c r="C124">
        <f>IFERROR(INDEX('Shopify Import'!$A:$CZ,124,Settings!$E$22)&amp;"","")</f>
        <v/>
      </c>
      <c r="D124">
        <f>IF(A124="","",IFERROR(VALUE(SUBSTITUTE(SUBSTITUTE(INDEX('Shopify Import'!$A:$CZ,124,Settings!$E$23)&amp;"","$",""),",","")),0))</f>
        <v/>
      </c>
      <c r="E124" s="11">
        <f>IF(A124="","",IFERROR(VALUE(SUBSTITUTE(SUBSTITUTE(INDEX('Shopify Import'!$A:$CZ,124,Settings!$E$24)&amp;"","$",""),",","")),0))</f>
        <v/>
      </c>
      <c r="F124" s="11">
        <f>IF(A124="","",D124*E124)</f>
        <v/>
      </c>
      <c r="G124">
        <f>IF(A124="","",IF(C124="",1,COUNTIF($C$2:$C$1501,C124)))</f>
        <v/>
      </c>
      <c r="H124" s="11">
        <f>IF(A124="","",IFERROR(VALUE(SUBSTITUTE(SUBSTITUTE(INDEX('Shopify Import'!$A:$CZ,124,Settings!$E$25)&amp;"","$",""),",","")),0)/IF(Settings!$D$27="Yes",G124,1))</f>
        <v/>
      </c>
      <c r="I124" s="11">
        <f>IF(A124="","",IFERROR(VALUE(SUBSTITUTE(SUBSTITUTE(INDEX('Shopify Import'!$A:$CZ,124,Settings!$E$26)&amp;"","$",""),",","")),0)/IF(Settings!$D$27="Yes",G124,1))</f>
        <v/>
      </c>
      <c r="J124" s="11">
        <f>IF(A124="","",F124+H124-I124)</f>
        <v/>
      </c>
      <c r="K124">
        <f>IF(A124="","",IFERROR(IF(B124="",NA(),MATCH(B124,Products!$B$5:$B$204,0)),IFERROR(MATCH(A124,Products!$A$5:$A$204,0),"")))</f>
        <v/>
      </c>
      <c r="L124">
        <f>IF(A124="","",IF(K124="","⚠ not in Products",INDEX(Products!$A$5:$A$204,K124)))</f>
        <v/>
      </c>
      <c r="M124" s="11">
        <f>IF(A124="","",J124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124+IFERROR(INDEX(Settings!$D$5:$D$9,MATCH("Shopify",Settings!$A$5:$A$9,0)),0)*D124)</f>
        <v/>
      </c>
      <c r="N124" s="11">
        <f>IF(A124="","",IF(K124="",0,D124*INDEX(Products!$I$5:$I$204,K124)))</f>
        <v/>
      </c>
      <c r="O124" s="11">
        <f>IF(A124="","",IF(K124="",0,J124*INDEX(Products!$H$5:$H$204,K124)))</f>
        <v/>
      </c>
      <c r="P124" s="11">
        <f>IF(A124="","",J124-M124-N124-O124)</f>
        <v/>
      </c>
    </row>
    <row r="125">
      <c r="A125">
        <f>IFERROR(INDEX('Shopify Import'!$A:$CZ,125,Settings!$E$20)&amp;"","")</f>
        <v/>
      </c>
      <c r="B125">
        <f>IFERROR(INDEX('Shopify Import'!$A:$CZ,125,Settings!$E$21)&amp;"","")</f>
        <v/>
      </c>
      <c r="C125">
        <f>IFERROR(INDEX('Shopify Import'!$A:$CZ,125,Settings!$E$22)&amp;"","")</f>
        <v/>
      </c>
      <c r="D125">
        <f>IF(A125="","",IFERROR(VALUE(SUBSTITUTE(SUBSTITUTE(INDEX('Shopify Import'!$A:$CZ,125,Settings!$E$23)&amp;"","$",""),",","")),0))</f>
        <v/>
      </c>
      <c r="E125" s="11">
        <f>IF(A125="","",IFERROR(VALUE(SUBSTITUTE(SUBSTITUTE(INDEX('Shopify Import'!$A:$CZ,125,Settings!$E$24)&amp;"","$",""),",","")),0))</f>
        <v/>
      </c>
      <c r="F125" s="11">
        <f>IF(A125="","",D125*E125)</f>
        <v/>
      </c>
      <c r="G125">
        <f>IF(A125="","",IF(C125="",1,COUNTIF($C$2:$C$1501,C125)))</f>
        <v/>
      </c>
      <c r="H125" s="11">
        <f>IF(A125="","",IFERROR(VALUE(SUBSTITUTE(SUBSTITUTE(INDEX('Shopify Import'!$A:$CZ,125,Settings!$E$25)&amp;"","$",""),",","")),0)/IF(Settings!$D$27="Yes",G125,1))</f>
        <v/>
      </c>
      <c r="I125" s="11">
        <f>IF(A125="","",IFERROR(VALUE(SUBSTITUTE(SUBSTITUTE(INDEX('Shopify Import'!$A:$CZ,125,Settings!$E$26)&amp;"","$",""),",","")),0)/IF(Settings!$D$27="Yes",G125,1))</f>
        <v/>
      </c>
      <c r="J125" s="11">
        <f>IF(A125="","",F125+H125-I125)</f>
        <v/>
      </c>
      <c r="K125">
        <f>IF(A125="","",IFERROR(IF(B125="",NA(),MATCH(B125,Products!$B$5:$B$204,0)),IFERROR(MATCH(A125,Products!$A$5:$A$204,0),"")))</f>
        <v/>
      </c>
      <c r="L125">
        <f>IF(A125="","",IF(K125="","⚠ not in Products",INDEX(Products!$A$5:$A$204,K125)))</f>
        <v/>
      </c>
      <c r="M125" s="11">
        <f>IF(A125="","",J125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125+IFERROR(INDEX(Settings!$D$5:$D$9,MATCH("Shopify",Settings!$A$5:$A$9,0)),0)*D125)</f>
        <v/>
      </c>
      <c r="N125" s="11">
        <f>IF(A125="","",IF(K125="",0,D125*INDEX(Products!$I$5:$I$204,K125)))</f>
        <v/>
      </c>
      <c r="O125" s="11">
        <f>IF(A125="","",IF(K125="",0,J125*INDEX(Products!$H$5:$H$204,K125)))</f>
        <v/>
      </c>
      <c r="P125" s="11">
        <f>IF(A125="","",J125-M125-N125-O125)</f>
        <v/>
      </c>
    </row>
    <row r="126">
      <c r="A126">
        <f>IFERROR(INDEX('Shopify Import'!$A:$CZ,126,Settings!$E$20)&amp;"","")</f>
        <v/>
      </c>
      <c r="B126">
        <f>IFERROR(INDEX('Shopify Import'!$A:$CZ,126,Settings!$E$21)&amp;"","")</f>
        <v/>
      </c>
      <c r="C126">
        <f>IFERROR(INDEX('Shopify Import'!$A:$CZ,126,Settings!$E$22)&amp;"","")</f>
        <v/>
      </c>
      <c r="D126">
        <f>IF(A126="","",IFERROR(VALUE(SUBSTITUTE(SUBSTITUTE(INDEX('Shopify Import'!$A:$CZ,126,Settings!$E$23)&amp;"","$",""),",","")),0))</f>
        <v/>
      </c>
      <c r="E126" s="11">
        <f>IF(A126="","",IFERROR(VALUE(SUBSTITUTE(SUBSTITUTE(INDEX('Shopify Import'!$A:$CZ,126,Settings!$E$24)&amp;"","$",""),",","")),0))</f>
        <v/>
      </c>
      <c r="F126" s="11">
        <f>IF(A126="","",D126*E126)</f>
        <v/>
      </c>
      <c r="G126">
        <f>IF(A126="","",IF(C126="",1,COUNTIF($C$2:$C$1501,C126)))</f>
        <v/>
      </c>
      <c r="H126" s="11">
        <f>IF(A126="","",IFERROR(VALUE(SUBSTITUTE(SUBSTITUTE(INDEX('Shopify Import'!$A:$CZ,126,Settings!$E$25)&amp;"","$",""),",","")),0)/IF(Settings!$D$27="Yes",G126,1))</f>
        <v/>
      </c>
      <c r="I126" s="11">
        <f>IF(A126="","",IFERROR(VALUE(SUBSTITUTE(SUBSTITUTE(INDEX('Shopify Import'!$A:$CZ,126,Settings!$E$26)&amp;"","$",""),",","")),0)/IF(Settings!$D$27="Yes",G126,1))</f>
        <v/>
      </c>
      <c r="J126" s="11">
        <f>IF(A126="","",F126+H126-I126)</f>
        <v/>
      </c>
      <c r="K126">
        <f>IF(A126="","",IFERROR(IF(B126="",NA(),MATCH(B126,Products!$B$5:$B$204,0)),IFERROR(MATCH(A126,Products!$A$5:$A$204,0),"")))</f>
        <v/>
      </c>
      <c r="L126">
        <f>IF(A126="","",IF(K126="","⚠ not in Products",INDEX(Products!$A$5:$A$204,K126)))</f>
        <v/>
      </c>
      <c r="M126" s="11">
        <f>IF(A126="","",J126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126+IFERROR(INDEX(Settings!$D$5:$D$9,MATCH("Shopify",Settings!$A$5:$A$9,0)),0)*D126)</f>
        <v/>
      </c>
      <c r="N126" s="11">
        <f>IF(A126="","",IF(K126="",0,D126*INDEX(Products!$I$5:$I$204,K126)))</f>
        <v/>
      </c>
      <c r="O126" s="11">
        <f>IF(A126="","",IF(K126="",0,J126*INDEX(Products!$H$5:$H$204,K126)))</f>
        <v/>
      </c>
      <c r="P126" s="11">
        <f>IF(A126="","",J126-M126-N126-O126)</f>
        <v/>
      </c>
    </row>
    <row r="127">
      <c r="A127">
        <f>IFERROR(INDEX('Shopify Import'!$A:$CZ,127,Settings!$E$20)&amp;"","")</f>
        <v/>
      </c>
      <c r="B127">
        <f>IFERROR(INDEX('Shopify Import'!$A:$CZ,127,Settings!$E$21)&amp;"","")</f>
        <v/>
      </c>
      <c r="C127">
        <f>IFERROR(INDEX('Shopify Import'!$A:$CZ,127,Settings!$E$22)&amp;"","")</f>
        <v/>
      </c>
      <c r="D127">
        <f>IF(A127="","",IFERROR(VALUE(SUBSTITUTE(SUBSTITUTE(INDEX('Shopify Import'!$A:$CZ,127,Settings!$E$23)&amp;"","$",""),",","")),0))</f>
        <v/>
      </c>
      <c r="E127" s="11">
        <f>IF(A127="","",IFERROR(VALUE(SUBSTITUTE(SUBSTITUTE(INDEX('Shopify Import'!$A:$CZ,127,Settings!$E$24)&amp;"","$",""),",","")),0))</f>
        <v/>
      </c>
      <c r="F127" s="11">
        <f>IF(A127="","",D127*E127)</f>
        <v/>
      </c>
      <c r="G127">
        <f>IF(A127="","",IF(C127="",1,COUNTIF($C$2:$C$1501,C127)))</f>
        <v/>
      </c>
      <c r="H127" s="11">
        <f>IF(A127="","",IFERROR(VALUE(SUBSTITUTE(SUBSTITUTE(INDEX('Shopify Import'!$A:$CZ,127,Settings!$E$25)&amp;"","$",""),",","")),0)/IF(Settings!$D$27="Yes",G127,1))</f>
        <v/>
      </c>
      <c r="I127" s="11">
        <f>IF(A127="","",IFERROR(VALUE(SUBSTITUTE(SUBSTITUTE(INDEX('Shopify Import'!$A:$CZ,127,Settings!$E$26)&amp;"","$",""),",","")),0)/IF(Settings!$D$27="Yes",G127,1))</f>
        <v/>
      </c>
      <c r="J127" s="11">
        <f>IF(A127="","",F127+H127-I127)</f>
        <v/>
      </c>
      <c r="K127">
        <f>IF(A127="","",IFERROR(IF(B127="",NA(),MATCH(B127,Products!$B$5:$B$204,0)),IFERROR(MATCH(A127,Products!$A$5:$A$204,0),"")))</f>
        <v/>
      </c>
      <c r="L127">
        <f>IF(A127="","",IF(K127="","⚠ not in Products",INDEX(Products!$A$5:$A$204,K127)))</f>
        <v/>
      </c>
      <c r="M127" s="11">
        <f>IF(A127="","",J127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127+IFERROR(INDEX(Settings!$D$5:$D$9,MATCH("Shopify",Settings!$A$5:$A$9,0)),0)*D127)</f>
        <v/>
      </c>
      <c r="N127" s="11">
        <f>IF(A127="","",IF(K127="",0,D127*INDEX(Products!$I$5:$I$204,K127)))</f>
        <v/>
      </c>
      <c r="O127" s="11">
        <f>IF(A127="","",IF(K127="",0,J127*INDEX(Products!$H$5:$H$204,K127)))</f>
        <v/>
      </c>
      <c r="P127" s="11">
        <f>IF(A127="","",J127-M127-N127-O127)</f>
        <v/>
      </c>
    </row>
    <row r="128">
      <c r="A128">
        <f>IFERROR(INDEX('Shopify Import'!$A:$CZ,128,Settings!$E$20)&amp;"","")</f>
        <v/>
      </c>
      <c r="B128">
        <f>IFERROR(INDEX('Shopify Import'!$A:$CZ,128,Settings!$E$21)&amp;"","")</f>
        <v/>
      </c>
      <c r="C128">
        <f>IFERROR(INDEX('Shopify Import'!$A:$CZ,128,Settings!$E$22)&amp;"","")</f>
        <v/>
      </c>
      <c r="D128">
        <f>IF(A128="","",IFERROR(VALUE(SUBSTITUTE(SUBSTITUTE(INDEX('Shopify Import'!$A:$CZ,128,Settings!$E$23)&amp;"","$",""),",","")),0))</f>
        <v/>
      </c>
      <c r="E128" s="11">
        <f>IF(A128="","",IFERROR(VALUE(SUBSTITUTE(SUBSTITUTE(INDEX('Shopify Import'!$A:$CZ,128,Settings!$E$24)&amp;"","$",""),",","")),0))</f>
        <v/>
      </c>
      <c r="F128" s="11">
        <f>IF(A128="","",D128*E128)</f>
        <v/>
      </c>
      <c r="G128">
        <f>IF(A128="","",IF(C128="",1,COUNTIF($C$2:$C$1501,C128)))</f>
        <v/>
      </c>
      <c r="H128" s="11">
        <f>IF(A128="","",IFERROR(VALUE(SUBSTITUTE(SUBSTITUTE(INDEX('Shopify Import'!$A:$CZ,128,Settings!$E$25)&amp;"","$",""),",","")),0)/IF(Settings!$D$27="Yes",G128,1))</f>
        <v/>
      </c>
      <c r="I128" s="11">
        <f>IF(A128="","",IFERROR(VALUE(SUBSTITUTE(SUBSTITUTE(INDEX('Shopify Import'!$A:$CZ,128,Settings!$E$26)&amp;"","$",""),",","")),0)/IF(Settings!$D$27="Yes",G128,1))</f>
        <v/>
      </c>
      <c r="J128" s="11">
        <f>IF(A128="","",F128+H128-I128)</f>
        <v/>
      </c>
      <c r="K128">
        <f>IF(A128="","",IFERROR(IF(B128="",NA(),MATCH(B128,Products!$B$5:$B$204,0)),IFERROR(MATCH(A128,Products!$A$5:$A$204,0),"")))</f>
        <v/>
      </c>
      <c r="L128">
        <f>IF(A128="","",IF(K128="","⚠ not in Products",INDEX(Products!$A$5:$A$204,K128)))</f>
        <v/>
      </c>
      <c r="M128" s="11">
        <f>IF(A128="","",J128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128+IFERROR(INDEX(Settings!$D$5:$D$9,MATCH("Shopify",Settings!$A$5:$A$9,0)),0)*D128)</f>
        <v/>
      </c>
      <c r="N128" s="11">
        <f>IF(A128="","",IF(K128="",0,D128*INDEX(Products!$I$5:$I$204,K128)))</f>
        <v/>
      </c>
      <c r="O128" s="11">
        <f>IF(A128="","",IF(K128="",0,J128*INDEX(Products!$H$5:$H$204,K128)))</f>
        <v/>
      </c>
      <c r="P128" s="11">
        <f>IF(A128="","",J128-M128-N128-O128)</f>
        <v/>
      </c>
    </row>
    <row r="129">
      <c r="A129">
        <f>IFERROR(INDEX('Shopify Import'!$A:$CZ,129,Settings!$E$20)&amp;"","")</f>
        <v/>
      </c>
      <c r="B129">
        <f>IFERROR(INDEX('Shopify Import'!$A:$CZ,129,Settings!$E$21)&amp;"","")</f>
        <v/>
      </c>
      <c r="C129">
        <f>IFERROR(INDEX('Shopify Import'!$A:$CZ,129,Settings!$E$22)&amp;"","")</f>
        <v/>
      </c>
      <c r="D129">
        <f>IF(A129="","",IFERROR(VALUE(SUBSTITUTE(SUBSTITUTE(INDEX('Shopify Import'!$A:$CZ,129,Settings!$E$23)&amp;"","$",""),",","")),0))</f>
        <v/>
      </c>
      <c r="E129" s="11">
        <f>IF(A129="","",IFERROR(VALUE(SUBSTITUTE(SUBSTITUTE(INDEX('Shopify Import'!$A:$CZ,129,Settings!$E$24)&amp;"","$",""),",","")),0))</f>
        <v/>
      </c>
      <c r="F129" s="11">
        <f>IF(A129="","",D129*E129)</f>
        <v/>
      </c>
      <c r="G129">
        <f>IF(A129="","",IF(C129="",1,COUNTIF($C$2:$C$1501,C129)))</f>
        <v/>
      </c>
      <c r="H129" s="11">
        <f>IF(A129="","",IFERROR(VALUE(SUBSTITUTE(SUBSTITUTE(INDEX('Shopify Import'!$A:$CZ,129,Settings!$E$25)&amp;"","$",""),",","")),0)/IF(Settings!$D$27="Yes",G129,1))</f>
        <v/>
      </c>
      <c r="I129" s="11">
        <f>IF(A129="","",IFERROR(VALUE(SUBSTITUTE(SUBSTITUTE(INDEX('Shopify Import'!$A:$CZ,129,Settings!$E$26)&amp;"","$",""),",","")),0)/IF(Settings!$D$27="Yes",G129,1))</f>
        <v/>
      </c>
      <c r="J129" s="11">
        <f>IF(A129="","",F129+H129-I129)</f>
        <v/>
      </c>
      <c r="K129">
        <f>IF(A129="","",IFERROR(IF(B129="",NA(),MATCH(B129,Products!$B$5:$B$204,0)),IFERROR(MATCH(A129,Products!$A$5:$A$204,0),"")))</f>
        <v/>
      </c>
      <c r="L129">
        <f>IF(A129="","",IF(K129="","⚠ not in Products",INDEX(Products!$A$5:$A$204,K129)))</f>
        <v/>
      </c>
      <c r="M129" s="11">
        <f>IF(A129="","",J129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129+IFERROR(INDEX(Settings!$D$5:$D$9,MATCH("Shopify",Settings!$A$5:$A$9,0)),0)*D129)</f>
        <v/>
      </c>
      <c r="N129" s="11">
        <f>IF(A129="","",IF(K129="",0,D129*INDEX(Products!$I$5:$I$204,K129)))</f>
        <v/>
      </c>
      <c r="O129" s="11">
        <f>IF(A129="","",IF(K129="",0,J129*INDEX(Products!$H$5:$H$204,K129)))</f>
        <v/>
      </c>
      <c r="P129" s="11">
        <f>IF(A129="","",J129-M129-N129-O129)</f>
        <v/>
      </c>
    </row>
    <row r="130">
      <c r="A130">
        <f>IFERROR(INDEX('Shopify Import'!$A:$CZ,130,Settings!$E$20)&amp;"","")</f>
        <v/>
      </c>
      <c r="B130">
        <f>IFERROR(INDEX('Shopify Import'!$A:$CZ,130,Settings!$E$21)&amp;"","")</f>
        <v/>
      </c>
      <c r="C130">
        <f>IFERROR(INDEX('Shopify Import'!$A:$CZ,130,Settings!$E$22)&amp;"","")</f>
        <v/>
      </c>
      <c r="D130">
        <f>IF(A130="","",IFERROR(VALUE(SUBSTITUTE(SUBSTITUTE(INDEX('Shopify Import'!$A:$CZ,130,Settings!$E$23)&amp;"","$",""),",","")),0))</f>
        <v/>
      </c>
      <c r="E130" s="11">
        <f>IF(A130="","",IFERROR(VALUE(SUBSTITUTE(SUBSTITUTE(INDEX('Shopify Import'!$A:$CZ,130,Settings!$E$24)&amp;"","$",""),",","")),0))</f>
        <v/>
      </c>
      <c r="F130" s="11">
        <f>IF(A130="","",D130*E130)</f>
        <v/>
      </c>
      <c r="G130">
        <f>IF(A130="","",IF(C130="",1,COUNTIF($C$2:$C$1501,C130)))</f>
        <v/>
      </c>
      <c r="H130" s="11">
        <f>IF(A130="","",IFERROR(VALUE(SUBSTITUTE(SUBSTITUTE(INDEX('Shopify Import'!$A:$CZ,130,Settings!$E$25)&amp;"","$",""),",","")),0)/IF(Settings!$D$27="Yes",G130,1))</f>
        <v/>
      </c>
      <c r="I130" s="11">
        <f>IF(A130="","",IFERROR(VALUE(SUBSTITUTE(SUBSTITUTE(INDEX('Shopify Import'!$A:$CZ,130,Settings!$E$26)&amp;"","$",""),",","")),0)/IF(Settings!$D$27="Yes",G130,1))</f>
        <v/>
      </c>
      <c r="J130" s="11">
        <f>IF(A130="","",F130+H130-I130)</f>
        <v/>
      </c>
      <c r="K130">
        <f>IF(A130="","",IFERROR(IF(B130="",NA(),MATCH(B130,Products!$B$5:$B$204,0)),IFERROR(MATCH(A130,Products!$A$5:$A$204,0),"")))</f>
        <v/>
      </c>
      <c r="L130">
        <f>IF(A130="","",IF(K130="","⚠ not in Products",INDEX(Products!$A$5:$A$204,K130)))</f>
        <v/>
      </c>
      <c r="M130" s="11">
        <f>IF(A130="","",J130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130+IFERROR(INDEX(Settings!$D$5:$D$9,MATCH("Shopify",Settings!$A$5:$A$9,0)),0)*D130)</f>
        <v/>
      </c>
      <c r="N130" s="11">
        <f>IF(A130="","",IF(K130="",0,D130*INDEX(Products!$I$5:$I$204,K130)))</f>
        <v/>
      </c>
      <c r="O130" s="11">
        <f>IF(A130="","",IF(K130="",0,J130*INDEX(Products!$H$5:$H$204,K130)))</f>
        <v/>
      </c>
      <c r="P130" s="11">
        <f>IF(A130="","",J130-M130-N130-O130)</f>
        <v/>
      </c>
    </row>
    <row r="131">
      <c r="A131">
        <f>IFERROR(INDEX('Shopify Import'!$A:$CZ,131,Settings!$E$20)&amp;"","")</f>
        <v/>
      </c>
      <c r="B131">
        <f>IFERROR(INDEX('Shopify Import'!$A:$CZ,131,Settings!$E$21)&amp;"","")</f>
        <v/>
      </c>
      <c r="C131">
        <f>IFERROR(INDEX('Shopify Import'!$A:$CZ,131,Settings!$E$22)&amp;"","")</f>
        <v/>
      </c>
      <c r="D131">
        <f>IF(A131="","",IFERROR(VALUE(SUBSTITUTE(SUBSTITUTE(INDEX('Shopify Import'!$A:$CZ,131,Settings!$E$23)&amp;"","$",""),",","")),0))</f>
        <v/>
      </c>
      <c r="E131" s="11">
        <f>IF(A131="","",IFERROR(VALUE(SUBSTITUTE(SUBSTITUTE(INDEX('Shopify Import'!$A:$CZ,131,Settings!$E$24)&amp;"","$",""),",","")),0))</f>
        <v/>
      </c>
      <c r="F131" s="11">
        <f>IF(A131="","",D131*E131)</f>
        <v/>
      </c>
      <c r="G131">
        <f>IF(A131="","",IF(C131="",1,COUNTIF($C$2:$C$1501,C131)))</f>
        <v/>
      </c>
      <c r="H131" s="11">
        <f>IF(A131="","",IFERROR(VALUE(SUBSTITUTE(SUBSTITUTE(INDEX('Shopify Import'!$A:$CZ,131,Settings!$E$25)&amp;"","$",""),",","")),0)/IF(Settings!$D$27="Yes",G131,1))</f>
        <v/>
      </c>
      <c r="I131" s="11">
        <f>IF(A131="","",IFERROR(VALUE(SUBSTITUTE(SUBSTITUTE(INDEX('Shopify Import'!$A:$CZ,131,Settings!$E$26)&amp;"","$",""),",","")),0)/IF(Settings!$D$27="Yes",G131,1))</f>
        <v/>
      </c>
      <c r="J131" s="11">
        <f>IF(A131="","",F131+H131-I131)</f>
        <v/>
      </c>
      <c r="K131">
        <f>IF(A131="","",IFERROR(IF(B131="",NA(),MATCH(B131,Products!$B$5:$B$204,0)),IFERROR(MATCH(A131,Products!$A$5:$A$204,0),"")))</f>
        <v/>
      </c>
      <c r="L131">
        <f>IF(A131="","",IF(K131="","⚠ not in Products",INDEX(Products!$A$5:$A$204,K131)))</f>
        <v/>
      </c>
      <c r="M131" s="11">
        <f>IF(A131="","",J131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131+IFERROR(INDEX(Settings!$D$5:$D$9,MATCH("Shopify",Settings!$A$5:$A$9,0)),0)*D131)</f>
        <v/>
      </c>
      <c r="N131" s="11">
        <f>IF(A131="","",IF(K131="",0,D131*INDEX(Products!$I$5:$I$204,K131)))</f>
        <v/>
      </c>
      <c r="O131" s="11">
        <f>IF(A131="","",IF(K131="",0,J131*INDEX(Products!$H$5:$H$204,K131)))</f>
        <v/>
      </c>
      <c r="P131" s="11">
        <f>IF(A131="","",J131-M131-N131-O131)</f>
        <v/>
      </c>
    </row>
    <row r="132">
      <c r="A132">
        <f>IFERROR(INDEX('Shopify Import'!$A:$CZ,132,Settings!$E$20)&amp;"","")</f>
        <v/>
      </c>
      <c r="B132">
        <f>IFERROR(INDEX('Shopify Import'!$A:$CZ,132,Settings!$E$21)&amp;"","")</f>
        <v/>
      </c>
      <c r="C132">
        <f>IFERROR(INDEX('Shopify Import'!$A:$CZ,132,Settings!$E$22)&amp;"","")</f>
        <v/>
      </c>
      <c r="D132">
        <f>IF(A132="","",IFERROR(VALUE(SUBSTITUTE(SUBSTITUTE(INDEX('Shopify Import'!$A:$CZ,132,Settings!$E$23)&amp;"","$",""),",","")),0))</f>
        <v/>
      </c>
      <c r="E132" s="11">
        <f>IF(A132="","",IFERROR(VALUE(SUBSTITUTE(SUBSTITUTE(INDEX('Shopify Import'!$A:$CZ,132,Settings!$E$24)&amp;"","$",""),",","")),0))</f>
        <v/>
      </c>
      <c r="F132" s="11">
        <f>IF(A132="","",D132*E132)</f>
        <v/>
      </c>
      <c r="G132">
        <f>IF(A132="","",IF(C132="",1,COUNTIF($C$2:$C$1501,C132)))</f>
        <v/>
      </c>
      <c r="H132" s="11">
        <f>IF(A132="","",IFERROR(VALUE(SUBSTITUTE(SUBSTITUTE(INDEX('Shopify Import'!$A:$CZ,132,Settings!$E$25)&amp;"","$",""),",","")),0)/IF(Settings!$D$27="Yes",G132,1))</f>
        <v/>
      </c>
      <c r="I132" s="11">
        <f>IF(A132="","",IFERROR(VALUE(SUBSTITUTE(SUBSTITUTE(INDEX('Shopify Import'!$A:$CZ,132,Settings!$E$26)&amp;"","$",""),",","")),0)/IF(Settings!$D$27="Yes",G132,1))</f>
        <v/>
      </c>
      <c r="J132" s="11">
        <f>IF(A132="","",F132+H132-I132)</f>
        <v/>
      </c>
      <c r="K132">
        <f>IF(A132="","",IFERROR(IF(B132="",NA(),MATCH(B132,Products!$B$5:$B$204,0)),IFERROR(MATCH(A132,Products!$A$5:$A$204,0),"")))</f>
        <v/>
      </c>
      <c r="L132">
        <f>IF(A132="","",IF(K132="","⚠ not in Products",INDEX(Products!$A$5:$A$204,K132)))</f>
        <v/>
      </c>
      <c r="M132" s="11">
        <f>IF(A132="","",J132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132+IFERROR(INDEX(Settings!$D$5:$D$9,MATCH("Shopify",Settings!$A$5:$A$9,0)),0)*D132)</f>
        <v/>
      </c>
      <c r="N132" s="11">
        <f>IF(A132="","",IF(K132="",0,D132*INDEX(Products!$I$5:$I$204,K132)))</f>
        <v/>
      </c>
      <c r="O132" s="11">
        <f>IF(A132="","",IF(K132="",0,J132*INDEX(Products!$H$5:$H$204,K132)))</f>
        <v/>
      </c>
      <c r="P132" s="11">
        <f>IF(A132="","",J132-M132-N132-O132)</f>
        <v/>
      </c>
    </row>
    <row r="133">
      <c r="A133">
        <f>IFERROR(INDEX('Shopify Import'!$A:$CZ,133,Settings!$E$20)&amp;"","")</f>
        <v/>
      </c>
      <c r="B133">
        <f>IFERROR(INDEX('Shopify Import'!$A:$CZ,133,Settings!$E$21)&amp;"","")</f>
        <v/>
      </c>
      <c r="C133">
        <f>IFERROR(INDEX('Shopify Import'!$A:$CZ,133,Settings!$E$22)&amp;"","")</f>
        <v/>
      </c>
      <c r="D133">
        <f>IF(A133="","",IFERROR(VALUE(SUBSTITUTE(SUBSTITUTE(INDEX('Shopify Import'!$A:$CZ,133,Settings!$E$23)&amp;"","$",""),",","")),0))</f>
        <v/>
      </c>
      <c r="E133" s="11">
        <f>IF(A133="","",IFERROR(VALUE(SUBSTITUTE(SUBSTITUTE(INDEX('Shopify Import'!$A:$CZ,133,Settings!$E$24)&amp;"","$",""),",","")),0))</f>
        <v/>
      </c>
      <c r="F133" s="11">
        <f>IF(A133="","",D133*E133)</f>
        <v/>
      </c>
      <c r="G133">
        <f>IF(A133="","",IF(C133="",1,COUNTIF($C$2:$C$1501,C133)))</f>
        <v/>
      </c>
      <c r="H133" s="11">
        <f>IF(A133="","",IFERROR(VALUE(SUBSTITUTE(SUBSTITUTE(INDEX('Shopify Import'!$A:$CZ,133,Settings!$E$25)&amp;"","$",""),",","")),0)/IF(Settings!$D$27="Yes",G133,1))</f>
        <v/>
      </c>
      <c r="I133" s="11">
        <f>IF(A133="","",IFERROR(VALUE(SUBSTITUTE(SUBSTITUTE(INDEX('Shopify Import'!$A:$CZ,133,Settings!$E$26)&amp;"","$",""),",","")),0)/IF(Settings!$D$27="Yes",G133,1))</f>
        <v/>
      </c>
      <c r="J133" s="11">
        <f>IF(A133="","",F133+H133-I133)</f>
        <v/>
      </c>
      <c r="K133">
        <f>IF(A133="","",IFERROR(IF(B133="",NA(),MATCH(B133,Products!$B$5:$B$204,0)),IFERROR(MATCH(A133,Products!$A$5:$A$204,0),"")))</f>
        <v/>
      </c>
      <c r="L133">
        <f>IF(A133="","",IF(K133="","⚠ not in Products",INDEX(Products!$A$5:$A$204,K133)))</f>
        <v/>
      </c>
      <c r="M133" s="11">
        <f>IF(A133="","",J133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133+IFERROR(INDEX(Settings!$D$5:$D$9,MATCH("Shopify",Settings!$A$5:$A$9,0)),0)*D133)</f>
        <v/>
      </c>
      <c r="N133" s="11">
        <f>IF(A133="","",IF(K133="",0,D133*INDEX(Products!$I$5:$I$204,K133)))</f>
        <v/>
      </c>
      <c r="O133" s="11">
        <f>IF(A133="","",IF(K133="",0,J133*INDEX(Products!$H$5:$H$204,K133)))</f>
        <v/>
      </c>
      <c r="P133" s="11">
        <f>IF(A133="","",J133-M133-N133-O133)</f>
        <v/>
      </c>
    </row>
    <row r="134">
      <c r="A134">
        <f>IFERROR(INDEX('Shopify Import'!$A:$CZ,134,Settings!$E$20)&amp;"","")</f>
        <v/>
      </c>
      <c r="B134">
        <f>IFERROR(INDEX('Shopify Import'!$A:$CZ,134,Settings!$E$21)&amp;"","")</f>
        <v/>
      </c>
      <c r="C134">
        <f>IFERROR(INDEX('Shopify Import'!$A:$CZ,134,Settings!$E$22)&amp;"","")</f>
        <v/>
      </c>
      <c r="D134">
        <f>IF(A134="","",IFERROR(VALUE(SUBSTITUTE(SUBSTITUTE(INDEX('Shopify Import'!$A:$CZ,134,Settings!$E$23)&amp;"","$",""),",","")),0))</f>
        <v/>
      </c>
      <c r="E134" s="11">
        <f>IF(A134="","",IFERROR(VALUE(SUBSTITUTE(SUBSTITUTE(INDEX('Shopify Import'!$A:$CZ,134,Settings!$E$24)&amp;"","$",""),",","")),0))</f>
        <v/>
      </c>
      <c r="F134" s="11">
        <f>IF(A134="","",D134*E134)</f>
        <v/>
      </c>
      <c r="G134">
        <f>IF(A134="","",IF(C134="",1,COUNTIF($C$2:$C$1501,C134)))</f>
        <v/>
      </c>
      <c r="H134" s="11">
        <f>IF(A134="","",IFERROR(VALUE(SUBSTITUTE(SUBSTITUTE(INDEX('Shopify Import'!$A:$CZ,134,Settings!$E$25)&amp;"","$",""),",","")),0)/IF(Settings!$D$27="Yes",G134,1))</f>
        <v/>
      </c>
      <c r="I134" s="11">
        <f>IF(A134="","",IFERROR(VALUE(SUBSTITUTE(SUBSTITUTE(INDEX('Shopify Import'!$A:$CZ,134,Settings!$E$26)&amp;"","$",""),",","")),0)/IF(Settings!$D$27="Yes",G134,1))</f>
        <v/>
      </c>
      <c r="J134" s="11">
        <f>IF(A134="","",F134+H134-I134)</f>
        <v/>
      </c>
      <c r="K134">
        <f>IF(A134="","",IFERROR(IF(B134="",NA(),MATCH(B134,Products!$B$5:$B$204,0)),IFERROR(MATCH(A134,Products!$A$5:$A$204,0),"")))</f>
        <v/>
      </c>
      <c r="L134">
        <f>IF(A134="","",IF(K134="","⚠ not in Products",INDEX(Products!$A$5:$A$204,K134)))</f>
        <v/>
      </c>
      <c r="M134" s="11">
        <f>IF(A134="","",J134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134+IFERROR(INDEX(Settings!$D$5:$D$9,MATCH("Shopify",Settings!$A$5:$A$9,0)),0)*D134)</f>
        <v/>
      </c>
      <c r="N134" s="11">
        <f>IF(A134="","",IF(K134="",0,D134*INDEX(Products!$I$5:$I$204,K134)))</f>
        <v/>
      </c>
      <c r="O134" s="11">
        <f>IF(A134="","",IF(K134="",0,J134*INDEX(Products!$H$5:$H$204,K134)))</f>
        <v/>
      </c>
      <c r="P134" s="11">
        <f>IF(A134="","",J134-M134-N134-O134)</f>
        <v/>
      </c>
    </row>
    <row r="135">
      <c r="A135">
        <f>IFERROR(INDEX('Shopify Import'!$A:$CZ,135,Settings!$E$20)&amp;"","")</f>
        <v/>
      </c>
      <c r="B135">
        <f>IFERROR(INDEX('Shopify Import'!$A:$CZ,135,Settings!$E$21)&amp;"","")</f>
        <v/>
      </c>
      <c r="C135">
        <f>IFERROR(INDEX('Shopify Import'!$A:$CZ,135,Settings!$E$22)&amp;"","")</f>
        <v/>
      </c>
      <c r="D135">
        <f>IF(A135="","",IFERROR(VALUE(SUBSTITUTE(SUBSTITUTE(INDEX('Shopify Import'!$A:$CZ,135,Settings!$E$23)&amp;"","$",""),",","")),0))</f>
        <v/>
      </c>
      <c r="E135" s="11">
        <f>IF(A135="","",IFERROR(VALUE(SUBSTITUTE(SUBSTITUTE(INDEX('Shopify Import'!$A:$CZ,135,Settings!$E$24)&amp;"","$",""),",","")),0))</f>
        <v/>
      </c>
      <c r="F135" s="11">
        <f>IF(A135="","",D135*E135)</f>
        <v/>
      </c>
      <c r="G135">
        <f>IF(A135="","",IF(C135="",1,COUNTIF($C$2:$C$1501,C135)))</f>
        <v/>
      </c>
      <c r="H135" s="11">
        <f>IF(A135="","",IFERROR(VALUE(SUBSTITUTE(SUBSTITUTE(INDEX('Shopify Import'!$A:$CZ,135,Settings!$E$25)&amp;"","$",""),",","")),0)/IF(Settings!$D$27="Yes",G135,1))</f>
        <v/>
      </c>
      <c r="I135" s="11">
        <f>IF(A135="","",IFERROR(VALUE(SUBSTITUTE(SUBSTITUTE(INDEX('Shopify Import'!$A:$CZ,135,Settings!$E$26)&amp;"","$",""),",","")),0)/IF(Settings!$D$27="Yes",G135,1))</f>
        <v/>
      </c>
      <c r="J135" s="11">
        <f>IF(A135="","",F135+H135-I135)</f>
        <v/>
      </c>
      <c r="K135">
        <f>IF(A135="","",IFERROR(IF(B135="",NA(),MATCH(B135,Products!$B$5:$B$204,0)),IFERROR(MATCH(A135,Products!$A$5:$A$204,0),"")))</f>
        <v/>
      </c>
      <c r="L135">
        <f>IF(A135="","",IF(K135="","⚠ not in Products",INDEX(Products!$A$5:$A$204,K135)))</f>
        <v/>
      </c>
      <c r="M135" s="11">
        <f>IF(A135="","",J135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135+IFERROR(INDEX(Settings!$D$5:$D$9,MATCH("Shopify",Settings!$A$5:$A$9,0)),0)*D135)</f>
        <v/>
      </c>
      <c r="N135" s="11">
        <f>IF(A135="","",IF(K135="",0,D135*INDEX(Products!$I$5:$I$204,K135)))</f>
        <v/>
      </c>
      <c r="O135" s="11">
        <f>IF(A135="","",IF(K135="",0,J135*INDEX(Products!$H$5:$H$204,K135)))</f>
        <v/>
      </c>
      <c r="P135" s="11">
        <f>IF(A135="","",J135-M135-N135-O135)</f>
        <v/>
      </c>
    </row>
    <row r="136">
      <c r="A136">
        <f>IFERROR(INDEX('Shopify Import'!$A:$CZ,136,Settings!$E$20)&amp;"","")</f>
        <v/>
      </c>
      <c r="B136">
        <f>IFERROR(INDEX('Shopify Import'!$A:$CZ,136,Settings!$E$21)&amp;"","")</f>
        <v/>
      </c>
      <c r="C136">
        <f>IFERROR(INDEX('Shopify Import'!$A:$CZ,136,Settings!$E$22)&amp;"","")</f>
        <v/>
      </c>
      <c r="D136">
        <f>IF(A136="","",IFERROR(VALUE(SUBSTITUTE(SUBSTITUTE(INDEX('Shopify Import'!$A:$CZ,136,Settings!$E$23)&amp;"","$",""),",","")),0))</f>
        <v/>
      </c>
      <c r="E136" s="11">
        <f>IF(A136="","",IFERROR(VALUE(SUBSTITUTE(SUBSTITUTE(INDEX('Shopify Import'!$A:$CZ,136,Settings!$E$24)&amp;"","$",""),",","")),0))</f>
        <v/>
      </c>
      <c r="F136" s="11">
        <f>IF(A136="","",D136*E136)</f>
        <v/>
      </c>
      <c r="G136">
        <f>IF(A136="","",IF(C136="",1,COUNTIF($C$2:$C$1501,C136)))</f>
        <v/>
      </c>
      <c r="H136" s="11">
        <f>IF(A136="","",IFERROR(VALUE(SUBSTITUTE(SUBSTITUTE(INDEX('Shopify Import'!$A:$CZ,136,Settings!$E$25)&amp;"","$",""),",","")),0)/IF(Settings!$D$27="Yes",G136,1))</f>
        <v/>
      </c>
      <c r="I136" s="11">
        <f>IF(A136="","",IFERROR(VALUE(SUBSTITUTE(SUBSTITUTE(INDEX('Shopify Import'!$A:$CZ,136,Settings!$E$26)&amp;"","$",""),",","")),0)/IF(Settings!$D$27="Yes",G136,1))</f>
        <v/>
      </c>
      <c r="J136" s="11">
        <f>IF(A136="","",F136+H136-I136)</f>
        <v/>
      </c>
      <c r="K136">
        <f>IF(A136="","",IFERROR(IF(B136="",NA(),MATCH(B136,Products!$B$5:$B$204,0)),IFERROR(MATCH(A136,Products!$A$5:$A$204,0),"")))</f>
        <v/>
      </c>
      <c r="L136">
        <f>IF(A136="","",IF(K136="","⚠ not in Products",INDEX(Products!$A$5:$A$204,K136)))</f>
        <v/>
      </c>
      <c r="M136" s="11">
        <f>IF(A136="","",J136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136+IFERROR(INDEX(Settings!$D$5:$D$9,MATCH("Shopify",Settings!$A$5:$A$9,0)),0)*D136)</f>
        <v/>
      </c>
      <c r="N136" s="11">
        <f>IF(A136="","",IF(K136="",0,D136*INDEX(Products!$I$5:$I$204,K136)))</f>
        <v/>
      </c>
      <c r="O136" s="11">
        <f>IF(A136="","",IF(K136="",0,J136*INDEX(Products!$H$5:$H$204,K136)))</f>
        <v/>
      </c>
      <c r="P136" s="11">
        <f>IF(A136="","",J136-M136-N136-O136)</f>
        <v/>
      </c>
    </row>
    <row r="137">
      <c r="A137">
        <f>IFERROR(INDEX('Shopify Import'!$A:$CZ,137,Settings!$E$20)&amp;"","")</f>
        <v/>
      </c>
      <c r="B137">
        <f>IFERROR(INDEX('Shopify Import'!$A:$CZ,137,Settings!$E$21)&amp;"","")</f>
        <v/>
      </c>
      <c r="C137">
        <f>IFERROR(INDEX('Shopify Import'!$A:$CZ,137,Settings!$E$22)&amp;"","")</f>
        <v/>
      </c>
      <c r="D137">
        <f>IF(A137="","",IFERROR(VALUE(SUBSTITUTE(SUBSTITUTE(INDEX('Shopify Import'!$A:$CZ,137,Settings!$E$23)&amp;"","$",""),",","")),0))</f>
        <v/>
      </c>
      <c r="E137" s="11">
        <f>IF(A137="","",IFERROR(VALUE(SUBSTITUTE(SUBSTITUTE(INDEX('Shopify Import'!$A:$CZ,137,Settings!$E$24)&amp;"","$",""),",","")),0))</f>
        <v/>
      </c>
      <c r="F137" s="11">
        <f>IF(A137="","",D137*E137)</f>
        <v/>
      </c>
      <c r="G137">
        <f>IF(A137="","",IF(C137="",1,COUNTIF($C$2:$C$1501,C137)))</f>
        <v/>
      </c>
      <c r="H137" s="11">
        <f>IF(A137="","",IFERROR(VALUE(SUBSTITUTE(SUBSTITUTE(INDEX('Shopify Import'!$A:$CZ,137,Settings!$E$25)&amp;"","$",""),",","")),0)/IF(Settings!$D$27="Yes",G137,1))</f>
        <v/>
      </c>
      <c r="I137" s="11">
        <f>IF(A137="","",IFERROR(VALUE(SUBSTITUTE(SUBSTITUTE(INDEX('Shopify Import'!$A:$CZ,137,Settings!$E$26)&amp;"","$",""),",","")),0)/IF(Settings!$D$27="Yes",G137,1))</f>
        <v/>
      </c>
      <c r="J137" s="11">
        <f>IF(A137="","",F137+H137-I137)</f>
        <v/>
      </c>
      <c r="K137">
        <f>IF(A137="","",IFERROR(IF(B137="",NA(),MATCH(B137,Products!$B$5:$B$204,0)),IFERROR(MATCH(A137,Products!$A$5:$A$204,0),"")))</f>
        <v/>
      </c>
      <c r="L137">
        <f>IF(A137="","",IF(K137="","⚠ not in Products",INDEX(Products!$A$5:$A$204,K137)))</f>
        <v/>
      </c>
      <c r="M137" s="11">
        <f>IF(A137="","",J137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137+IFERROR(INDEX(Settings!$D$5:$D$9,MATCH("Shopify",Settings!$A$5:$A$9,0)),0)*D137)</f>
        <v/>
      </c>
      <c r="N137" s="11">
        <f>IF(A137="","",IF(K137="",0,D137*INDEX(Products!$I$5:$I$204,K137)))</f>
        <v/>
      </c>
      <c r="O137" s="11">
        <f>IF(A137="","",IF(K137="",0,J137*INDEX(Products!$H$5:$H$204,K137)))</f>
        <v/>
      </c>
      <c r="P137" s="11">
        <f>IF(A137="","",J137-M137-N137-O137)</f>
        <v/>
      </c>
    </row>
    <row r="138">
      <c r="A138">
        <f>IFERROR(INDEX('Shopify Import'!$A:$CZ,138,Settings!$E$20)&amp;"","")</f>
        <v/>
      </c>
      <c r="B138">
        <f>IFERROR(INDEX('Shopify Import'!$A:$CZ,138,Settings!$E$21)&amp;"","")</f>
        <v/>
      </c>
      <c r="C138">
        <f>IFERROR(INDEX('Shopify Import'!$A:$CZ,138,Settings!$E$22)&amp;"","")</f>
        <v/>
      </c>
      <c r="D138">
        <f>IF(A138="","",IFERROR(VALUE(SUBSTITUTE(SUBSTITUTE(INDEX('Shopify Import'!$A:$CZ,138,Settings!$E$23)&amp;"","$",""),",","")),0))</f>
        <v/>
      </c>
      <c r="E138" s="11">
        <f>IF(A138="","",IFERROR(VALUE(SUBSTITUTE(SUBSTITUTE(INDEX('Shopify Import'!$A:$CZ,138,Settings!$E$24)&amp;"","$",""),",","")),0))</f>
        <v/>
      </c>
      <c r="F138" s="11">
        <f>IF(A138="","",D138*E138)</f>
        <v/>
      </c>
      <c r="G138">
        <f>IF(A138="","",IF(C138="",1,COUNTIF($C$2:$C$1501,C138)))</f>
        <v/>
      </c>
      <c r="H138" s="11">
        <f>IF(A138="","",IFERROR(VALUE(SUBSTITUTE(SUBSTITUTE(INDEX('Shopify Import'!$A:$CZ,138,Settings!$E$25)&amp;"","$",""),",","")),0)/IF(Settings!$D$27="Yes",G138,1))</f>
        <v/>
      </c>
      <c r="I138" s="11">
        <f>IF(A138="","",IFERROR(VALUE(SUBSTITUTE(SUBSTITUTE(INDEX('Shopify Import'!$A:$CZ,138,Settings!$E$26)&amp;"","$",""),",","")),0)/IF(Settings!$D$27="Yes",G138,1))</f>
        <v/>
      </c>
      <c r="J138" s="11">
        <f>IF(A138="","",F138+H138-I138)</f>
        <v/>
      </c>
      <c r="K138">
        <f>IF(A138="","",IFERROR(IF(B138="",NA(),MATCH(B138,Products!$B$5:$B$204,0)),IFERROR(MATCH(A138,Products!$A$5:$A$204,0),"")))</f>
        <v/>
      </c>
      <c r="L138">
        <f>IF(A138="","",IF(K138="","⚠ not in Products",INDEX(Products!$A$5:$A$204,K138)))</f>
        <v/>
      </c>
      <c r="M138" s="11">
        <f>IF(A138="","",J138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138+IFERROR(INDEX(Settings!$D$5:$D$9,MATCH("Shopify",Settings!$A$5:$A$9,0)),0)*D138)</f>
        <v/>
      </c>
      <c r="N138" s="11">
        <f>IF(A138="","",IF(K138="",0,D138*INDEX(Products!$I$5:$I$204,K138)))</f>
        <v/>
      </c>
      <c r="O138" s="11">
        <f>IF(A138="","",IF(K138="",0,J138*INDEX(Products!$H$5:$H$204,K138)))</f>
        <v/>
      </c>
      <c r="P138" s="11">
        <f>IF(A138="","",J138-M138-N138-O138)</f>
        <v/>
      </c>
    </row>
    <row r="139">
      <c r="A139">
        <f>IFERROR(INDEX('Shopify Import'!$A:$CZ,139,Settings!$E$20)&amp;"","")</f>
        <v/>
      </c>
      <c r="B139">
        <f>IFERROR(INDEX('Shopify Import'!$A:$CZ,139,Settings!$E$21)&amp;"","")</f>
        <v/>
      </c>
      <c r="C139">
        <f>IFERROR(INDEX('Shopify Import'!$A:$CZ,139,Settings!$E$22)&amp;"","")</f>
        <v/>
      </c>
      <c r="D139">
        <f>IF(A139="","",IFERROR(VALUE(SUBSTITUTE(SUBSTITUTE(INDEX('Shopify Import'!$A:$CZ,139,Settings!$E$23)&amp;"","$",""),",","")),0))</f>
        <v/>
      </c>
      <c r="E139" s="11">
        <f>IF(A139="","",IFERROR(VALUE(SUBSTITUTE(SUBSTITUTE(INDEX('Shopify Import'!$A:$CZ,139,Settings!$E$24)&amp;"","$",""),",","")),0))</f>
        <v/>
      </c>
      <c r="F139" s="11">
        <f>IF(A139="","",D139*E139)</f>
        <v/>
      </c>
      <c r="G139">
        <f>IF(A139="","",IF(C139="",1,COUNTIF($C$2:$C$1501,C139)))</f>
        <v/>
      </c>
      <c r="H139" s="11">
        <f>IF(A139="","",IFERROR(VALUE(SUBSTITUTE(SUBSTITUTE(INDEX('Shopify Import'!$A:$CZ,139,Settings!$E$25)&amp;"","$",""),",","")),0)/IF(Settings!$D$27="Yes",G139,1))</f>
        <v/>
      </c>
      <c r="I139" s="11">
        <f>IF(A139="","",IFERROR(VALUE(SUBSTITUTE(SUBSTITUTE(INDEX('Shopify Import'!$A:$CZ,139,Settings!$E$26)&amp;"","$",""),",","")),0)/IF(Settings!$D$27="Yes",G139,1))</f>
        <v/>
      </c>
      <c r="J139" s="11">
        <f>IF(A139="","",F139+H139-I139)</f>
        <v/>
      </c>
      <c r="K139">
        <f>IF(A139="","",IFERROR(IF(B139="",NA(),MATCH(B139,Products!$B$5:$B$204,0)),IFERROR(MATCH(A139,Products!$A$5:$A$204,0),"")))</f>
        <v/>
      </c>
      <c r="L139">
        <f>IF(A139="","",IF(K139="","⚠ not in Products",INDEX(Products!$A$5:$A$204,K139)))</f>
        <v/>
      </c>
      <c r="M139" s="11">
        <f>IF(A139="","",J139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139+IFERROR(INDEX(Settings!$D$5:$D$9,MATCH("Shopify",Settings!$A$5:$A$9,0)),0)*D139)</f>
        <v/>
      </c>
      <c r="N139" s="11">
        <f>IF(A139="","",IF(K139="",0,D139*INDEX(Products!$I$5:$I$204,K139)))</f>
        <v/>
      </c>
      <c r="O139" s="11">
        <f>IF(A139="","",IF(K139="",0,J139*INDEX(Products!$H$5:$H$204,K139)))</f>
        <v/>
      </c>
      <c r="P139" s="11">
        <f>IF(A139="","",J139-M139-N139-O139)</f>
        <v/>
      </c>
    </row>
    <row r="140">
      <c r="A140">
        <f>IFERROR(INDEX('Shopify Import'!$A:$CZ,140,Settings!$E$20)&amp;"","")</f>
        <v/>
      </c>
      <c r="B140">
        <f>IFERROR(INDEX('Shopify Import'!$A:$CZ,140,Settings!$E$21)&amp;"","")</f>
        <v/>
      </c>
      <c r="C140">
        <f>IFERROR(INDEX('Shopify Import'!$A:$CZ,140,Settings!$E$22)&amp;"","")</f>
        <v/>
      </c>
      <c r="D140">
        <f>IF(A140="","",IFERROR(VALUE(SUBSTITUTE(SUBSTITUTE(INDEX('Shopify Import'!$A:$CZ,140,Settings!$E$23)&amp;"","$",""),",","")),0))</f>
        <v/>
      </c>
      <c r="E140" s="11">
        <f>IF(A140="","",IFERROR(VALUE(SUBSTITUTE(SUBSTITUTE(INDEX('Shopify Import'!$A:$CZ,140,Settings!$E$24)&amp;"","$",""),",","")),0))</f>
        <v/>
      </c>
      <c r="F140" s="11">
        <f>IF(A140="","",D140*E140)</f>
        <v/>
      </c>
      <c r="G140">
        <f>IF(A140="","",IF(C140="",1,COUNTIF($C$2:$C$1501,C140)))</f>
        <v/>
      </c>
      <c r="H140" s="11">
        <f>IF(A140="","",IFERROR(VALUE(SUBSTITUTE(SUBSTITUTE(INDEX('Shopify Import'!$A:$CZ,140,Settings!$E$25)&amp;"","$",""),",","")),0)/IF(Settings!$D$27="Yes",G140,1))</f>
        <v/>
      </c>
      <c r="I140" s="11">
        <f>IF(A140="","",IFERROR(VALUE(SUBSTITUTE(SUBSTITUTE(INDEX('Shopify Import'!$A:$CZ,140,Settings!$E$26)&amp;"","$",""),",","")),0)/IF(Settings!$D$27="Yes",G140,1))</f>
        <v/>
      </c>
      <c r="J140" s="11">
        <f>IF(A140="","",F140+H140-I140)</f>
        <v/>
      </c>
      <c r="K140">
        <f>IF(A140="","",IFERROR(IF(B140="",NA(),MATCH(B140,Products!$B$5:$B$204,0)),IFERROR(MATCH(A140,Products!$A$5:$A$204,0),"")))</f>
        <v/>
      </c>
      <c r="L140">
        <f>IF(A140="","",IF(K140="","⚠ not in Products",INDEX(Products!$A$5:$A$204,K140)))</f>
        <v/>
      </c>
      <c r="M140" s="11">
        <f>IF(A140="","",J140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140+IFERROR(INDEX(Settings!$D$5:$D$9,MATCH("Shopify",Settings!$A$5:$A$9,0)),0)*D140)</f>
        <v/>
      </c>
      <c r="N140" s="11">
        <f>IF(A140="","",IF(K140="",0,D140*INDEX(Products!$I$5:$I$204,K140)))</f>
        <v/>
      </c>
      <c r="O140" s="11">
        <f>IF(A140="","",IF(K140="",0,J140*INDEX(Products!$H$5:$H$204,K140)))</f>
        <v/>
      </c>
      <c r="P140" s="11">
        <f>IF(A140="","",J140-M140-N140-O140)</f>
        <v/>
      </c>
    </row>
    <row r="141">
      <c r="A141">
        <f>IFERROR(INDEX('Shopify Import'!$A:$CZ,141,Settings!$E$20)&amp;"","")</f>
        <v/>
      </c>
      <c r="B141">
        <f>IFERROR(INDEX('Shopify Import'!$A:$CZ,141,Settings!$E$21)&amp;"","")</f>
        <v/>
      </c>
      <c r="C141">
        <f>IFERROR(INDEX('Shopify Import'!$A:$CZ,141,Settings!$E$22)&amp;"","")</f>
        <v/>
      </c>
      <c r="D141">
        <f>IF(A141="","",IFERROR(VALUE(SUBSTITUTE(SUBSTITUTE(INDEX('Shopify Import'!$A:$CZ,141,Settings!$E$23)&amp;"","$",""),",","")),0))</f>
        <v/>
      </c>
      <c r="E141" s="11">
        <f>IF(A141="","",IFERROR(VALUE(SUBSTITUTE(SUBSTITUTE(INDEX('Shopify Import'!$A:$CZ,141,Settings!$E$24)&amp;"","$",""),",","")),0))</f>
        <v/>
      </c>
      <c r="F141" s="11">
        <f>IF(A141="","",D141*E141)</f>
        <v/>
      </c>
      <c r="G141">
        <f>IF(A141="","",IF(C141="",1,COUNTIF($C$2:$C$1501,C141)))</f>
        <v/>
      </c>
      <c r="H141" s="11">
        <f>IF(A141="","",IFERROR(VALUE(SUBSTITUTE(SUBSTITUTE(INDEX('Shopify Import'!$A:$CZ,141,Settings!$E$25)&amp;"","$",""),",","")),0)/IF(Settings!$D$27="Yes",G141,1))</f>
        <v/>
      </c>
      <c r="I141" s="11">
        <f>IF(A141="","",IFERROR(VALUE(SUBSTITUTE(SUBSTITUTE(INDEX('Shopify Import'!$A:$CZ,141,Settings!$E$26)&amp;"","$",""),",","")),0)/IF(Settings!$D$27="Yes",G141,1))</f>
        <v/>
      </c>
      <c r="J141" s="11">
        <f>IF(A141="","",F141+H141-I141)</f>
        <v/>
      </c>
      <c r="K141">
        <f>IF(A141="","",IFERROR(IF(B141="",NA(),MATCH(B141,Products!$B$5:$B$204,0)),IFERROR(MATCH(A141,Products!$A$5:$A$204,0),"")))</f>
        <v/>
      </c>
      <c r="L141">
        <f>IF(A141="","",IF(K141="","⚠ not in Products",INDEX(Products!$A$5:$A$204,K141)))</f>
        <v/>
      </c>
      <c r="M141" s="11">
        <f>IF(A141="","",J141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141+IFERROR(INDEX(Settings!$D$5:$D$9,MATCH("Shopify",Settings!$A$5:$A$9,0)),0)*D141)</f>
        <v/>
      </c>
      <c r="N141" s="11">
        <f>IF(A141="","",IF(K141="",0,D141*INDEX(Products!$I$5:$I$204,K141)))</f>
        <v/>
      </c>
      <c r="O141" s="11">
        <f>IF(A141="","",IF(K141="",0,J141*INDEX(Products!$H$5:$H$204,K141)))</f>
        <v/>
      </c>
      <c r="P141" s="11">
        <f>IF(A141="","",J141-M141-N141-O141)</f>
        <v/>
      </c>
    </row>
    <row r="142">
      <c r="A142">
        <f>IFERROR(INDEX('Shopify Import'!$A:$CZ,142,Settings!$E$20)&amp;"","")</f>
        <v/>
      </c>
      <c r="B142">
        <f>IFERROR(INDEX('Shopify Import'!$A:$CZ,142,Settings!$E$21)&amp;"","")</f>
        <v/>
      </c>
      <c r="C142">
        <f>IFERROR(INDEX('Shopify Import'!$A:$CZ,142,Settings!$E$22)&amp;"","")</f>
        <v/>
      </c>
      <c r="D142">
        <f>IF(A142="","",IFERROR(VALUE(SUBSTITUTE(SUBSTITUTE(INDEX('Shopify Import'!$A:$CZ,142,Settings!$E$23)&amp;"","$",""),",","")),0))</f>
        <v/>
      </c>
      <c r="E142" s="11">
        <f>IF(A142="","",IFERROR(VALUE(SUBSTITUTE(SUBSTITUTE(INDEX('Shopify Import'!$A:$CZ,142,Settings!$E$24)&amp;"","$",""),",","")),0))</f>
        <v/>
      </c>
      <c r="F142" s="11">
        <f>IF(A142="","",D142*E142)</f>
        <v/>
      </c>
      <c r="G142">
        <f>IF(A142="","",IF(C142="",1,COUNTIF($C$2:$C$1501,C142)))</f>
        <v/>
      </c>
      <c r="H142" s="11">
        <f>IF(A142="","",IFERROR(VALUE(SUBSTITUTE(SUBSTITUTE(INDEX('Shopify Import'!$A:$CZ,142,Settings!$E$25)&amp;"","$",""),",","")),0)/IF(Settings!$D$27="Yes",G142,1))</f>
        <v/>
      </c>
      <c r="I142" s="11">
        <f>IF(A142="","",IFERROR(VALUE(SUBSTITUTE(SUBSTITUTE(INDEX('Shopify Import'!$A:$CZ,142,Settings!$E$26)&amp;"","$",""),",","")),0)/IF(Settings!$D$27="Yes",G142,1))</f>
        <v/>
      </c>
      <c r="J142" s="11">
        <f>IF(A142="","",F142+H142-I142)</f>
        <v/>
      </c>
      <c r="K142">
        <f>IF(A142="","",IFERROR(IF(B142="",NA(),MATCH(B142,Products!$B$5:$B$204,0)),IFERROR(MATCH(A142,Products!$A$5:$A$204,0),"")))</f>
        <v/>
      </c>
      <c r="L142">
        <f>IF(A142="","",IF(K142="","⚠ not in Products",INDEX(Products!$A$5:$A$204,K142)))</f>
        <v/>
      </c>
      <c r="M142" s="11">
        <f>IF(A142="","",J142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142+IFERROR(INDEX(Settings!$D$5:$D$9,MATCH("Shopify",Settings!$A$5:$A$9,0)),0)*D142)</f>
        <v/>
      </c>
      <c r="N142" s="11">
        <f>IF(A142="","",IF(K142="",0,D142*INDEX(Products!$I$5:$I$204,K142)))</f>
        <v/>
      </c>
      <c r="O142" s="11">
        <f>IF(A142="","",IF(K142="",0,J142*INDEX(Products!$H$5:$H$204,K142)))</f>
        <v/>
      </c>
      <c r="P142" s="11">
        <f>IF(A142="","",J142-M142-N142-O142)</f>
        <v/>
      </c>
    </row>
    <row r="143">
      <c r="A143">
        <f>IFERROR(INDEX('Shopify Import'!$A:$CZ,143,Settings!$E$20)&amp;"","")</f>
        <v/>
      </c>
      <c r="B143">
        <f>IFERROR(INDEX('Shopify Import'!$A:$CZ,143,Settings!$E$21)&amp;"","")</f>
        <v/>
      </c>
      <c r="C143">
        <f>IFERROR(INDEX('Shopify Import'!$A:$CZ,143,Settings!$E$22)&amp;"","")</f>
        <v/>
      </c>
      <c r="D143">
        <f>IF(A143="","",IFERROR(VALUE(SUBSTITUTE(SUBSTITUTE(INDEX('Shopify Import'!$A:$CZ,143,Settings!$E$23)&amp;"","$",""),",","")),0))</f>
        <v/>
      </c>
      <c r="E143" s="11">
        <f>IF(A143="","",IFERROR(VALUE(SUBSTITUTE(SUBSTITUTE(INDEX('Shopify Import'!$A:$CZ,143,Settings!$E$24)&amp;"","$",""),",","")),0))</f>
        <v/>
      </c>
      <c r="F143" s="11">
        <f>IF(A143="","",D143*E143)</f>
        <v/>
      </c>
      <c r="G143">
        <f>IF(A143="","",IF(C143="",1,COUNTIF($C$2:$C$1501,C143)))</f>
        <v/>
      </c>
      <c r="H143" s="11">
        <f>IF(A143="","",IFERROR(VALUE(SUBSTITUTE(SUBSTITUTE(INDEX('Shopify Import'!$A:$CZ,143,Settings!$E$25)&amp;"","$",""),",","")),0)/IF(Settings!$D$27="Yes",G143,1))</f>
        <v/>
      </c>
      <c r="I143" s="11">
        <f>IF(A143="","",IFERROR(VALUE(SUBSTITUTE(SUBSTITUTE(INDEX('Shopify Import'!$A:$CZ,143,Settings!$E$26)&amp;"","$",""),",","")),0)/IF(Settings!$D$27="Yes",G143,1))</f>
        <v/>
      </c>
      <c r="J143" s="11">
        <f>IF(A143="","",F143+H143-I143)</f>
        <v/>
      </c>
      <c r="K143">
        <f>IF(A143="","",IFERROR(IF(B143="",NA(),MATCH(B143,Products!$B$5:$B$204,0)),IFERROR(MATCH(A143,Products!$A$5:$A$204,0),"")))</f>
        <v/>
      </c>
      <c r="L143">
        <f>IF(A143="","",IF(K143="","⚠ not in Products",INDEX(Products!$A$5:$A$204,K143)))</f>
        <v/>
      </c>
      <c r="M143" s="11">
        <f>IF(A143="","",J143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143+IFERROR(INDEX(Settings!$D$5:$D$9,MATCH("Shopify",Settings!$A$5:$A$9,0)),0)*D143)</f>
        <v/>
      </c>
      <c r="N143" s="11">
        <f>IF(A143="","",IF(K143="",0,D143*INDEX(Products!$I$5:$I$204,K143)))</f>
        <v/>
      </c>
      <c r="O143" s="11">
        <f>IF(A143="","",IF(K143="",0,J143*INDEX(Products!$H$5:$H$204,K143)))</f>
        <v/>
      </c>
      <c r="P143" s="11">
        <f>IF(A143="","",J143-M143-N143-O143)</f>
        <v/>
      </c>
    </row>
    <row r="144">
      <c r="A144">
        <f>IFERROR(INDEX('Shopify Import'!$A:$CZ,144,Settings!$E$20)&amp;"","")</f>
        <v/>
      </c>
      <c r="B144">
        <f>IFERROR(INDEX('Shopify Import'!$A:$CZ,144,Settings!$E$21)&amp;"","")</f>
        <v/>
      </c>
      <c r="C144">
        <f>IFERROR(INDEX('Shopify Import'!$A:$CZ,144,Settings!$E$22)&amp;"","")</f>
        <v/>
      </c>
      <c r="D144">
        <f>IF(A144="","",IFERROR(VALUE(SUBSTITUTE(SUBSTITUTE(INDEX('Shopify Import'!$A:$CZ,144,Settings!$E$23)&amp;"","$",""),",","")),0))</f>
        <v/>
      </c>
      <c r="E144" s="11">
        <f>IF(A144="","",IFERROR(VALUE(SUBSTITUTE(SUBSTITUTE(INDEX('Shopify Import'!$A:$CZ,144,Settings!$E$24)&amp;"","$",""),",","")),0))</f>
        <v/>
      </c>
      <c r="F144" s="11">
        <f>IF(A144="","",D144*E144)</f>
        <v/>
      </c>
      <c r="G144">
        <f>IF(A144="","",IF(C144="",1,COUNTIF($C$2:$C$1501,C144)))</f>
        <v/>
      </c>
      <c r="H144" s="11">
        <f>IF(A144="","",IFERROR(VALUE(SUBSTITUTE(SUBSTITUTE(INDEX('Shopify Import'!$A:$CZ,144,Settings!$E$25)&amp;"","$",""),",","")),0)/IF(Settings!$D$27="Yes",G144,1))</f>
        <v/>
      </c>
      <c r="I144" s="11">
        <f>IF(A144="","",IFERROR(VALUE(SUBSTITUTE(SUBSTITUTE(INDEX('Shopify Import'!$A:$CZ,144,Settings!$E$26)&amp;"","$",""),",","")),0)/IF(Settings!$D$27="Yes",G144,1))</f>
        <v/>
      </c>
      <c r="J144" s="11">
        <f>IF(A144="","",F144+H144-I144)</f>
        <v/>
      </c>
      <c r="K144">
        <f>IF(A144="","",IFERROR(IF(B144="",NA(),MATCH(B144,Products!$B$5:$B$204,0)),IFERROR(MATCH(A144,Products!$A$5:$A$204,0),"")))</f>
        <v/>
      </c>
      <c r="L144">
        <f>IF(A144="","",IF(K144="","⚠ not in Products",INDEX(Products!$A$5:$A$204,K144)))</f>
        <v/>
      </c>
      <c r="M144" s="11">
        <f>IF(A144="","",J144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144+IFERROR(INDEX(Settings!$D$5:$D$9,MATCH("Shopify",Settings!$A$5:$A$9,0)),0)*D144)</f>
        <v/>
      </c>
      <c r="N144" s="11">
        <f>IF(A144="","",IF(K144="",0,D144*INDEX(Products!$I$5:$I$204,K144)))</f>
        <v/>
      </c>
      <c r="O144" s="11">
        <f>IF(A144="","",IF(K144="",0,J144*INDEX(Products!$H$5:$H$204,K144)))</f>
        <v/>
      </c>
      <c r="P144" s="11">
        <f>IF(A144="","",J144-M144-N144-O144)</f>
        <v/>
      </c>
    </row>
    <row r="145">
      <c r="A145">
        <f>IFERROR(INDEX('Shopify Import'!$A:$CZ,145,Settings!$E$20)&amp;"","")</f>
        <v/>
      </c>
      <c r="B145">
        <f>IFERROR(INDEX('Shopify Import'!$A:$CZ,145,Settings!$E$21)&amp;"","")</f>
        <v/>
      </c>
      <c r="C145">
        <f>IFERROR(INDEX('Shopify Import'!$A:$CZ,145,Settings!$E$22)&amp;"","")</f>
        <v/>
      </c>
      <c r="D145">
        <f>IF(A145="","",IFERROR(VALUE(SUBSTITUTE(SUBSTITUTE(INDEX('Shopify Import'!$A:$CZ,145,Settings!$E$23)&amp;"","$",""),",","")),0))</f>
        <v/>
      </c>
      <c r="E145" s="11">
        <f>IF(A145="","",IFERROR(VALUE(SUBSTITUTE(SUBSTITUTE(INDEX('Shopify Import'!$A:$CZ,145,Settings!$E$24)&amp;"","$",""),",","")),0))</f>
        <v/>
      </c>
      <c r="F145" s="11">
        <f>IF(A145="","",D145*E145)</f>
        <v/>
      </c>
      <c r="G145">
        <f>IF(A145="","",IF(C145="",1,COUNTIF($C$2:$C$1501,C145)))</f>
        <v/>
      </c>
      <c r="H145" s="11">
        <f>IF(A145="","",IFERROR(VALUE(SUBSTITUTE(SUBSTITUTE(INDEX('Shopify Import'!$A:$CZ,145,Settings!$E$25)&amp;"","$",""),",","")),0)/IF(Settings!$D$27="Yes",G145,1))</f>
        <v/>
      </c>
      <c r="I145" s="11">
        <f>IF(A145="","",IFERROR(VALUE(SUBSTITUTE(SUBSTITUTE(INDEX('Shopify Import'!$A:$CZ,145,Settings!$E$26)&amp;"","$",""),",","")),0)/IF(Settings!$D$27="Yes",G145,1))</f>
        <v/>
      </c>
      <c r="J145" s="11">
        <f>IF(A145="","",F145+H145-I145)</f>
        <v/>
      </c>
      <c r="K145">
        <f>IF(A145="","",IFERROR(IF(B145="",NA(),MATCH(B145,Products!$B$5:$B$204,0)),IFERROR(MATCH(A145,Products!$A$5:$A$204,0),"")))</f>
        <v/>
      </c>
      <c r="L145">
        <f>IF(A145="","",IF(K145="","⚠ not in Products",INDEX(Products!$A$5:$A$204,K145)))</f>
        <v/>
      </c>
      <c r="M145" s="11">
        <f>IF(A145="","",J145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145+IFERROR(INDEX(Settings!$D$5:$D$9,MATCH("Shopify",Settings!$A$5:$A$9,0)),0)*D145)</f>
        <v/>
      </c>
      <c r="N145" s="11">
        <f>IF(A145="","",IF(K145="",0,D145*INDEX(Products!$I$5:$I$204,K145)))</f>
        <v/>
      </c>
      <c r="O145" s="11">
        <f>IF(A145="","",IF(K145="",0,J145*INDEX(Products!$H$5:$H$204,K145)))</f>
        <v/>
      </c>
      <c r="P145" s="11">
        <f>IF(A145="","",J145-M145-N145-O145)</f>
        <v/>
      </c>
    </row>
    <row r="146">
      <c r="A146">
        <f>IFERROR(INDEX('Shopify Import'!$A:$CZ,146,Settings!$E$20)&amp;"","")</f>
        <v/>
      </c>
      <c r="B146">
        <f>IFERROR(INDEX('Shopify Import'!$A:$CZ,146,Settings!$E$21)&amp;"","")</f>
        <v/>
      </c>
      <c r="C146">
        <f>IFERROR(INDEX('Shopify Import'!$A:$CZ,146,Settings!$E$22)&amp;"","")</f>
        <v/>
      </c>
      <c r="D146">
        <f>IF(A146="","",IFERROR(VALUE(SUBSTITUTE(SUBSTITUTE(INDEX('Shopify Import'!$A:$CZ,146,Settings!$E$23)&amp;"","$",""),",","")),0))</f>
        <v/>
      </c>
      <c r="E146" s="11">
        <f>IF(A146="","",IFERROR(VALUE(SUBSTITUTE(SUBSTITUTE(INDEX('Shopify Import'!$A:$CZ,146,Settings!$E$24)&amp;"","$",""),",","")),0))</f>
        <v/>
      </c>
      <c r="F146" s="11">
        <f>IF(A146="","",D146*E146)</f>
        <v/>
      </c>
      <c r="G146">
        <f>IF(A146="","",IF(C146="",1,COUNTIF($C$2:$C$1501,C146)))</f>
        <v/>
      </c>
      <c r="H146" s="11">
        <f>IF(A146="","",IFERROR(VALUE(SUBSTITUTE(SUBSTITUTE(INDEX('Shopify Import'!$A:$CZ,146,Settings!$E$25)&amp;"","$",""),",","")),0)/IF(Settings!$D$27="Yes",G146,1))</f>
        <v/>
      </c>
      <c r="I146" s="11">
        <f>IF(A146="","",IFERROR(VALUE(SUBSTITUTE(SUBSTITUTE(INDEX('Shopify Import'!$A:$CZ,146,Settings!$E$26)&amp;"","$",""),",","")),0)/IF(Settings!$D$27="Yes",G146,1))</f>
        <v/>
      </c>
      <c r="J146" s="11">
        <f>IF(A146="","",F146+H146-I146)</f>
        <v/>
      </c>
      <c r="K146">
        <f>IF(A146="","",IFERROR(IF(B146="",NA(),MATCH(B146,Products!$B$5:$B$204,0)),IFERROR(MATCH(A146,Products!$A$5:$A$204,0),"")))</f>
        <v/>
      </c>
      <c r="L146">
        <f>IF(A146="","",IF(K146="","⚠ not in Products",INDEX(Products!$A$5:$A$204,K146)))</f>
        <v/>
      </c>
      <c r="M146" s="11">
        <f>IF(A146="","",J146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146+IFERROR(INDEX(Settings!$D$5:$D$9,MATCH("Shopify",Settings!$A$5:$A$9,0)),0)*D146)</f>
        <v/>
      </c>
      <c r="N146" s="11">
        <f>IF(A146="","",IF(K146="",0,D146*INDEX(Products!$I$5:$I$204,K146)))</f>
        <v/>
      </c>
      <c r="O146" s="11">
        <f>IF(A146="","",IF(K146="",0,J146*INDEX(Products!$H$5:$H$204,K146)))</f>
        <v/>
      </c>
      <c r="P146" s="11">
        <f>IF(A146="","",J146-M146-N146-O146)</f>
        <v/>
      </c>
    </row>
    <row r="147">
      <c r="A147">
        <f>IFERROR(INDEX('Shopify Import'!$A:$CZ,147,Settings!$E$20)&amp;"","")</f>
        <v/>
      </c>
      <c r="B147">
        <f>IFERROR(INDEX('Shopify Import'!$A:$CZ,147,Settings!$E$21)&amp;"","")</f>
        <v/>
      </c>
      <c r="C147">
        <f>IFERROR(INDEX('Shopify Import'!$A:$CZ,147,Settings!$E$22)&amp;"","")</f>
        <v/>
      </c>
      <c r="D147">
        <f>IF(A147="","",IFERROR(VALUE(SUBSTITUTE(SUBSTITUTE(INDEX('Shopify Import'!$A:$CZ,147,Settings!$E$23)&amp;"","$",""),",","")),0))</f>
        <v/>
      </c>
      <c r="E147" s="11">
        <f>IF(A147="","",IFERROR(VALUE(SUBSTITUTE(SUBSTITUTE(INDEX('Shopify Import'!$A:$CZ,147,Settings!$E$24)&amp;"","$",""),",","")),0))</f>
        <v/>
      </c>
      <c r="F147" s="11">
        <f>IF(A147="","",D147*E147)</f>
        <v/>
      </c>
      <c r="G147">
        <f>IF(A147="","",IF(C147="",1,COUNTIF($C$2:$C$1501,C147)))</f>
        <v/>
      </c>
      <c r="H147" s="11">
        <f>IF(A147="","",IFERROR(VALUE(SUBSTITUTE(SUBSTITUTE(INDEX('Shopify Import'!$A:$CZ,147,Settings!$E$25)&amp;"","$",""),",","")),0)/IF(Settings!$D$27="Yes",G147,1))</f>
        <v/>
      </c>
      <c r="I147" s="11">
        <f>IF(A147="","",IFERROR(VALUE(SUBSTITUTE(SUBSTITUTE(INDEX('Shopify Import'!$A:$CZ,147,Settings!$E$26)&amp;"","$",""),",","")),0)/IF(Settings!$D$27="Yes",G147,1))</f>
        <v/>
      </c>
      <c r="J147" s="11">
        <f>IF(A147="","",F147+H147-I147)</f>
        <v/>
      </c>
      <c r="K147">
        <f>IF(A147="","",IFERROR(IF(B147="",NA(),MATCH(B147,Products!$B$5:$B$204,0)),IFERROR(MATCH(A147,Products!$A$5:$A$204,0),"")))</f>
        <v/>
      </c>
      <c r="L147">
        <f>IF(A147="","",IF(K147="","⚠ not in Products",INDEX(Products!$A$5:$A$204,K147)))</f>
        <v/>
      </c>
      <c r="M147" s="11">
        <f>IF(A147="","",J147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147+IFERROR(INDEX(Settings!$D$5:$D$9,MATCH("Shopify",Settings!$A$5:$A$9,0)),0)*D147)</f>
        <v/>
      </c>
      <c r="N147" s="11">
        <f>IF(A147="","",IF(K147="",0,D147*INDEX(Products!$I$5:$I$204,K147)))</f>
        <v/>
      </c>
      <c r="O147" s="11">
        <f>IF(A147="","",IF(K147="",0,J147*INDEX(Products!$H$5:$H$204,K147)))</f>
        <v/>
      </c>
      <c r="P147" s="11">
        <f>IF(A147="","",J147-M147-N147-O147)</f>
        <v/>
      </c>
    </row>
    <row r="148">
      <c r="A148">
        <f>IFERROR(INDEX('Shopify Import'!$A:$CZ,148,Settings!$E$20)&amp;"","")</f>
        <v/>
      </c>
      <c r="B148">
        <f>IFERROR(INDEX('Shopify Import'!$A:$CZ,148,Settings!$E$21)&amp;"","")</f>
        <v/>
      </c>
      <c r="C148">
        <f>IFERROR(INDEX('Shopify Import'!$A:$CZ,148,Settings!$E$22)&amp;"","")</f>
        <v/>
      </c>
      <c r="D148">
        <f>IF(A148="","",IFERROR(VALUE(SUBSTITUTE(SUBSTITUTE(INDEX('Shopify Import'!$A:$CZ,148,Settings!$E$23)&amp;"","$",""),",","")),0))</f>
        <v/>
      </c>
      <c r="E148" s="11">
        <f>IF(A148="","",IFERROR(VALUE(SUBSTITUTE(SUBSTITUTE(INDEX('Shopify Import'!$A:$CZ,148,Settings!$E$24)&amp;"","$",""),",","")),0))</f>
        <v/>
      </c>
      <c r="F148" s="11">
        <f>IF(A148="","",D148*E148)</f>
        <v/>
      </c>
      <c r="G148">
        <f>IF(A148="","",IF(C148="",1,COUNTIF($C$2:$C$1501,C148)))</f>
        <v/>
      </c>
      <c r="H148" s="11">
        <f>IF(A148="","",IFERROR(VALUE(SUBSTITUTE(SUBSTITUTE(INDEX('Shopify Import'!$A:$CZ,148,Settings!$E$25)&amp;"","$",""),",","")),0)/IF(Settings!$D$27="Yes",G148,1))</f>
        <v/>
      </c>
      <c r="I148" s="11">
        <f>IF(A148="","",IFERROR(VALUE(SUBSTITUTE(SUBSTITUTE(INDEX('Shopify Import'!$A:$CZ,148,Settings!$E$26)&amp;"","$",""),",","")),0)/IF(Settings!$D$27="Yes",G148,1))</f>
        <v/>
      </c>
      <c r="J148" s="11">
        <f>IF(A148="","",F148+H148-I148)</f>
        <v/>
      </c>
      <c r="K148">
        <f>IF(A148="","",IFERROR(IF(B148="",NA(),MATCH(B148,Products!$B$5:$B$204,0)),IFERROR(MATCH(A148,Products!$A$5:$A$204,0),"")))</f>
        <v/>
      </c>
      <c r="L148">
        <f>IF(A148="","",IF(K148="","⚠ not in Products",INDEX(Products!$A$5:$A$204,K148)))</f>
        <v/>
      </c>
      <c r="M148" s="11">
        <f>IF(A148="","",J148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148+IFERROR(INDEX(Settings!$D$5:$D$9,MATCH("Shopify",Settings!$A$5:$A$9,0)),0)*D148)</f>
        <v/>
      </c>
      <c r="N148" s="11">
        <f>IF(A148="","",IF(K148="",0,D148*INDEX(Products!$I$5:$I$204,K148)))</f>
        <v/>
      </c>
      <c r="O148" s="11">
        <f>IF(A148="","",IF(K148="",0,J148*INDEX(Products!$H$5:$H$204,K148)))</f>
        <v/>
      </c>
      <c r="P148" s="11">
        <f>IF(A148="","",J148-M148-N148-O148)</f>
        <v/>
      </c>
    </row>
    <row r="149">
      <c r="A149">
        <f>IFERROR(INDEX('Shopify Import'!$A:$CZ,149,Settings!$E$20)&amp;"","")</f>
        <v/>
      </c>
      <c r="B149">
        <f>IFERROR(INDEX('Shopify Import'!$A:$CZ,149,Settings!$E$21)&amp;"","")</f>
        <v/>
      </c>
      <c r="C149">
        <f>IFERROR(INDEX('Shopify Import'!$A:$CZ,149,Settings!$E$22)&amp;"","")</f>
        <v/>
      </c>
      <c r="D149">
        <f>IF(A149="","",IFERROR(VALUE(SUBSTITUTE(SUBSTITUTE(INDEX('Shopify Import'!$A:$CZ,149,Settings!$E$23)&amp;"","$",""),",","")),0))</f>
        <v/>
      </c>
      <c r="E149" s="11">
        <f>IF(A149="","",IFERROR(VALUE(SUBSTITUTE(SUBSTITUTE(INDEX('Shopify Import'!$A:$CZ,149,Settings!$E$24)&amp;"","$",""),",","")),0))</f>
        <v/>
      </c>
      <c r="F149" s="11">
        <f>IF(A149="","",D149*E149)</f>
        <v/>
      </c>
      <c r="G149">
        <f>IF(A149="","",IF(C149="",1,COUNTIF($C$2:$C$1501,C149)))</f>
        <v/>
      </c>
      <c r="H149" s="11">
        <f>IF(A149="","",IFERROR(VALUE(SUBSTITUTE(SUBSTITUTE(INDEX('Shopify Import'!$A:$CZ,149,Settings!$E$25)&amp;"","$",""),",","")),0)/IF(Settings!$D$27="Yes",G149,1))</f>
        <v/>
      </c>
      <c r="I149" s="11">
        <f>IF(A149="","",IFERROR(VALUE(SUBSTITUTE(SUBSTITUTE(INDEX('Shopify Import'!$A:$CZ,149,Settings!$E$26)&amp;"","$",""),",","")),0)/IF(Settings!$D$27="Yes",G149,1))</f>
        <v/>
      </c>
      <c r="J149" s="11">
        <f>IF(A149="","",F149+H149-I149)</f>
        <v/>
      </c>
      <c r="K149">
        <f>IF(A149="","",IFERROR(IF(B149="",NA(),MATCH(B149,Products!$B$5:$B$204,0)),IFERROR(MATCH(A149,Products!$A$5:$A$204,0),"")))</f>
        <v/>
      </c>
      <c r="L149">
        <f>IF(A149="","",IF(K149="","⚠ not in Products",INDEX(Products!$A$5:$A$204,K149)))</f>
        <v/>
      </c>
      <c r="M149" s="11">
        <f>IF(A149="","",J149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149+IFERROR(INDEX(Settings!$D$5:$D$9,MATCH("Shopify",Settings!$A$5:$A$9,0)),0)*D149)</f>
        <v/>
      </c>
      <c r="N149" s="11">
        <f>IF(A149="","",IF(K149="",0,D149*INDEX(Products!$I$5:$I$204,K149)))</f>
        <v/>
      </c>
      <c r="O149" s="11">
        <f>IF(A149="","",IF(K149="",0,J149*INDEX(Products!$H$5:$H$204,K149)))</f>
        <v/>
      </c>
      <c r="P149" s="11">
        <f>IF(A149="","",J149-M149-N149-O149)</f>
        <v/>
      </c>
    </row>
    <row r="150">
      <c r="A150">
        <f>IFERROR(INDEX('Shopify Import'!$A:$CZ,150,Settings!$E$20)&amp;"","")</f>
        <v/>
      </c>
      <c r="B150">
        <f>IFERROR(INDEX('Shopify Import'!$A:$CZ,150,Settings!$E$21)&amp;"","")</f>
        <v/>
      </c>
      <c r="C150">
        <f>IFERROR(INDEX('Shopify Import'!$A:$CZ,150,Settings!$E$22)&amp;"","")</f>
        <v/>
      </c>
      <c r="D150">
        <f>IF(A150="","",IFERROR(VALUE(SUBSTITUTE(SUBSTITUTE(INDEX('Shopify Import'!$A:$CZ,150,Settings!$E$23)&amp;"","$",""),",","")),0))</f>
        <v/>
      </c>
      <c r="E150" s="11">
        <f>IF(A150="","",IFERROR(VALUE(SUBSTITUTE(SUBSTITUTE(INDEX('Shopify Import'!$A:$CZ,150,Settings!$E$24)&amp;"","$",""),",","")),0))</f>
        <v/>
      </c>
      <c r="F150" s="11">
        <f>IF(A150="","",D150*E150)</f>
        <v/>
      </c>
      <c r="G150">
        <f>IF(A150="","",IF(C150="",1,COUNTIF($C$2:$C$1501,C150)))</f>
        <v/>
      </c>
      <c r="H150" s="11">
        <f>IF(A150="","",IFERROR(VALUE(SUBSTITUTE(SUBSTITUTE(INDEX('Shopify Import'!$A:$CZ,150,Settings!$E$25)&amp;"","$",""),",","")),0)/IF(Settings!$D$27="Yes",G150,1))</f>
        <v/>
      </c>
      <c r="I150" s="11">
        <f>IF(A150="","",IFERROR(VALUE(SUBSTITUTE(SUBSTITUTE(INDEX('Shopify Import'!$A:$CZ,150,Settings!$E$26)&amp;"","$",""),",","")),0)/IF(Settings!$D$27="Yes",G150,1))</f>
        <v/>
      </c>
      <c r="J150" s="11">
        <f>IF(A150="","",F150+H150-I150)</f>
        <v/>
      </c>
      <c r="K150">
        <f>IF(A150="","",IFERROR(IF(B150="",NA(),MATCH(B150,Products!$B$5:$B$204,0)),IFERROR(MATCH(A150,Products!$A$5:$A$204,0),"")))</f>
        <v/>
      </c>
      <c r="L150">
        <f>IF(A150="","",IF(K150="","⚠ not in Products",INDEX(Products!$A$5:$A$204,K150)))</f>
        <v/>
      </c>
      <c r="M150" s="11">
        <f>IF(A150="","",J150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150+IFERROR(INDEX(Settings!$D$5:$D$9,MATCH("Shopify",Settings!$A$5:$A$9,0)),0)*D150)</f>
        <v/>
      </c>
      <c r="N150" s="11">
        <f>IF(A150="","",IF(K150="",0,D150*INDEX(Products!$I$5:$I$204,K150)))</f>
        <v/>
      </c>
      <c r="O150" s="11">
        <f>IF(A150="","",IF(K150="",0,J150*INDEX(Products!$H$5:$H$204,K150)))</f>
        <v/>
      </c>
      <c r="P150" s="11">
        <f>IF(A150="","",J150-M150-N150-O150)</f>
        <v/>
      </c>
    </row>
    <row r="151">
      <c r="A151">
        <f>IFERROR(INDEX('Shopify Import'!$A:$CZ,151,Settings!$E$20)&amp;"","")</f>
        <v/>
      </c>
      <c r="B151">
        <f>IFERROR(INDEX('Shopify Import'!$A:$CZ,151,Settings!$E$21)&amp;"","")</f>
        <v/>
      </c>
      <c r="C151">
        <f>IFERROR(INDEX('Shopify Import'!$A:$CZ,151,Settings!$E$22)&amp;"","")</f>
        <v/>
      </c>
      <c r="D151">
        <f>IF(A151="","",IFERROR(VALUE(SUBSTITUTE(SUBSTITUTE(INDEX('Shopify Import'!$A:$CZ,151,Settings!$E$23)&amp;"","$",""),",","")),0))</f>
        <v/>
      </c>
      <c r="E151" s="11">
        <f>IF(A151="","",IFERROR(VALUE(SUBSTITUTE(SUBSTITUTE(INDEX('Shopify Import'!$A:$CZ,151,Settings!$E$24)&amp;"","$",""),",","")),0))</f>
        <v/>
      </c>
      <c r="F151" s="11">
        <f>IF(A151="","",D151*E151)</f>
        <v/>
      </c>
      <c r="G151">
        <f>IF(A151="","",IF(C151="",1,COUNTIF($C$2:$C$1501,C151)))</f>
        <v/>
      </c>
      <c r="H151" s="11">
        <f>IF(A151="","",IFERROR(VALUE(SUBSTITUTE(SUBSTITUTE(INDEX('Shopify Import'!$A:$CZ,151,Settings!$E$25)&amp;"","$",""),",","")),0)/IF(Settings!$D$27="Yes",G151,1))</f>
        <v/>
      </c>
      <c r="I151" s="11">
        <f>IF(A151="","",IFERROR(VALUE(SUBSTITUTE(SUBSTITUTE(INDEX('Shopify Import'!$A:$CZ,151,Settings!$E$26)&amp;"","$",""),",","")),0)/IF(Settings!$D$27="Yes",G151,1))</f>
        <v/>
      </c>
      <c r="J151" s="11">
        <f>IF(A151="","",F151+H151-I151)</f>
        <v/>
      </c>
      <c r="K151">
        <f>IF(A151="","",IFERROR(IF(B151="",NA(),MATCH(B151,Products!$B$5:$B$204,0)),IFERROR(MATCH(A151,Products!$A$5:$A$204,0),"")))</f>
        <v/>
      </c>
      <c r="L151">
        <f>IF(A151="","",IF(K151="","⚠ not in Products",INDEX(Products!$A$5:$A$204,K151)))</f>
        <v/>
      </c>
      <c r="M151" s="11">
        <f>IF(A151="","",J151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151+IFERROR(INDEX(Settings!$D$5:$D$9,MATCH("Shopify",Settings!$A$5:$A$9,0)),0)*D151)</f>
        <v/>
      </c>
      <c r="N151" s="11">
        <f>IF(A151="","",IF(K151="",0,D151*INDEX(Products!$I$5:$I$204,K151)))</f>
        <v/>
      </c>
      <c r="O151" s="11">
        <f>IF(A151="","",IF(K151="",0,J151*INDEX(Products!$H$5:$H$204,K151)))</f>
        <v/>
      </c>
      <c r="P151" s="11">
        <f>IF(A151="","",J151-M151-N151-O151)</f>
        <v/>
      </c>
    </row>
    <row r="152">
      <c r="A152">
        <f>IFERROR(INDEX('Shopify Import'!$A:$CZ,152,Settings!$E$20)&amp;"","")</f>
        <v/>
      </c>
      <c r="B152">
        <f>IFERROR(INDEX('Shopify Import'!$A:$CZ,152,Settings!$E$21)&amp;"","")</f>
        <v/>
      </c>
      <c r="C152">
        <f>IFERROR(INDEX('Shopify Import'!$A:$CZ,152,Settings!$E$22)&amp;"","")</f>
        <v/>
      </c>
      <c r="D152">
        <f>IF(A152="","",IFERROR(VALUE(SUBSTITUTE(SUBSTITUTE(INDEX('Shopify Import'!$A:$CZ,152,Settings!$E$23)&amp;"","$",""),",","")),0))</f>
        <v/>
      </c>
      <c r="E152" s="11">
        <f>IF(A152="","",IFERROR(VALUE(SUBSTITUTE(SUBSTITUTE(INDEX('Shopify Import'!$A:$CZ,152,Settings!$E$24)&amp;"","$",""),",","")),0))</f>
        <v/>
      </c>
      <c r="F152" s="11">
        <f>IF(A152="","",D152*E152)</f>
        <v/>
      </c>
      <c r="G152">
        <f>IF(A152="","",IF(C152="",1,COUNTIF($C$2:$C$1501,C152)))</f>
        <v/>
      </c>
      <c r="H152" s="11">
        <f>IF(A152="","",IFERROR(VALUE(SUBSTITUTE(SUBSTITUTE(INDEX('Shopify Import'!$A:$CZ,152,Settings!$E$25)&amp;"","$",""),",","")),0)/IF(Settings!$D$27="Yes",G152,1))</f>
        <v/>
      </c>
      <c r="I152" s="11">
        <f>IF(A152="","",IFERROR(VALUE(SUBSTITUTE(SUBSTITUTE(INDEX('Shopify Import'!$A:$CZ,152,Settings!$E$26)&amp;"","$",""),",","")),0)/IF(Settings!$D$27="Yes",G152,1))</f>
        <v/>
      </c>
      <c r="J152" s="11">
        <f>IF(A152="","",F152+H152-I152)</f>
        <v/>
      </c>
      <c r="K152">
        <f>IF(A152="","",IFERROR(IF(B152="",NA(),MATCH(B152,Products!$B$5:$B$204,0)),IFERROR(MATCH(A152,Products!$A$5:$A$204,0),"")))</f>
        <v/>
      </c>
      <c r="L152">
        <f>IF(A152="","",IF(K152="","⚠ not in Products",INDEX(Products!$A$5:$A$204,K152)))</f>
        <v/>
      </c>
      <c r="M152" s="11">
        <f>IF(A152="","",J152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152+IFERROR(INDEX(Settings!$D$5:$D$9,MATCH("Shopify",Settings!$A$5:$A$9,0)),0)*D152)</f>
        <v/>
      </c>
      <c r="N152" s="11">
        <f>IF(A152="","",IF(K152="",0,D152*INDEX(Products!$I$5:$I$204,K152)))</f>
        <v/>
      </c>
      <c r="O152" s="11">
        <f>IF(A152="","",IF(K152="",0,J152*INDEX(Products!$H$5:$H$204,K152)))</f>
        <v/>
      </c>
      <c r="P152" s="11">
        <f>IF(A152="","",J152-M152-N152-O152)</f>
        <v/>
      </c>
    </row>
    <row r="153">
      <c r="A153">
        <f>IFERROR(INDEX('Shopify Import'!$A:$CZ,153,Settings!$E$20)&amp;"","")</f>
        <v/>
      </c>
      <c r="B153">
        <f>IFERROR(INDEX('Shopify Import'!$A:$CZ,153,Settings!$E$21)&amp;"","")</f>
        <v/>
      </c>
      <c r="C153">
        <f>IFERROR(INDEX('Shopify Import'!$A:$CZ,153,Settings!$E$22)&amp;"","")</f>
        <v/>
      </c>
      <c r="D153">
        <f>IF(A153="","",IFERROR(VALUE(SUBSTITUTE(SUBSTITUTE(INDEX('Shopify Import'!$A:$CZ,153,Settings!$E$23)&amp;"","$",""),",","")),0))</f>
        <v/>
      </c>
      <c r="E153" s="11">
        <f>IF(A153="","",IFERROR(VALUE(SUBSTITUTE(SUBSTITUTE(INDEX('Shopify Import'!$A:$CZ,153,Settings!$E$24)&amp;"","$",""),",","")),0))</f>
        <v/>
      </c>
      <c r="F153" s="11">
        <f>IF(A153="","",D153*E153)</f>
        <v/>
      </c>
      <c r="G153">
        <f>IF(A153="","",IF(C153="",1,COUNTIF($C$2:$C$1501,C153)))</f>
        <v/>
      </c>
      <c r="H153" s="11">
        <f>IF(A153="","",IFERROR(VALUE(SUBSTITUTE(SUBSTITUTE(INDEX('Shopify Import'!$A:$CZ,153,Settings!$E$25)&amp;"","$",""),",","")),0)/IF(Settings!$D$27="Yes",G153,1))</f>
        <v/>
      </c>
      <c r="I153" s="11">
        <f>IF(A153="","",IFERROR(VALUE(SUBSTITUTE(SUBSTITUTE(INDEX('Shopify Import'!$A:$CZ,153,Settings!$E$26)&amp;"","$",""),",","")),0)/IF(Settings!$D$27="Yes",G153,1))</f>
        <v/>
      </c>
      <c r="J153" s="11">
        <f>IF(A153="","",F153+H153-I153)</f>
        <v/>
      </c>
      <c r="K153">
        <f>IF(A153="","",IFERROR(IF(B153="",NA(),MATCH(B153,Products!$B$5:$B$204,0)),IFERROR(MATCH(A153,Products!$A$5:$A$204,0),"")))</f>
        <v/>
      </c>
      <c r="L153">
        <f>IF(A153="","",IF(K153="","⚠ not in Products",INDEX(Products!$A$5:$A$204,K153)))</f>
        <v/>
      </c>
      <c r="M153" s="11">
        <f>IF(A153="","",J153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153+IFERROR(INDEX(Settings!$D$5:$D$9,MATCH("Shopify",Settings!$A$5:$A$9,0)),0)*D153)</f>
        <v/>
      </c>
      <c r="N153" s="11">
        <f>IF(A153="","",IF(K153="",0,D153*INDEX(Products!$I$5:$I$204,K153)))</f>
        <v/>
      </c>
      <c r="O153" s="11">
        <f>IF(A153="","",IF(K153="",0,J153*INDEX(Products!$H$5:$H$204,K153)))</f>
        <v/>
      </c>
      <c r="P153" s="11">
        <f>IF(A153="","",J153-M153-N153-O153)</f>
        <v/>
      </c>
    </row>
    <row r="154">
      <c r="A154">
        <f>IFERROR(INDEX('Shopify Import'!$A:$CZ,154,Settings!$E$20)&amp;"","")</f>
        <v/>
      </c>
      <c r="B154">
        <f>IFERROR(INDEX('Shopify Import'!$A:$CZ,154,Settings!$E$21)&amp;"","")</f>
        <v/>
      </c>
      <c r="C154">
        <f>IFERROR(INDEX('Shopify Import'!$A:$CZ,154,Settings!$E$22)&amp;"","")</f>
        <v/>
      </c>
      <c r="D154">
        <f>IF(A154="","",IFERROR(VALUE(SUBSTITUTE(SUBSTITUTE(INDEX('Shopify Import'!$A:$CZ,154,Settings!$E$23)&amp;"","$",""),",","")),0))</f>
        <v/>
      </c>
      <c r="E154" s="11">
        <f>IF(A154="","",IFERROR(VALUE(SUBSTITUTE(SUBSTITUTE(INDEX('Shopify Import'!$A:$CZ,154,Settings!$E$24)&amp;"","$",""),",","")),0))</f>
        <v/>
      </c>
      <c r="F154" s="11">
        <f>IF(A154="","",D154*E154)</f>
        <v/>
      </c>
      <c r="G154">
        <f>IF(A154="","",IF(C154="",1,COUNTIF($C$2:$C$1501,C154)))</f>
        <v/>
      </c>
      <c r="H154" s="11">
        <f>IF(A154="","",IFERROR(VALUE(SUBSTITUTE(SUBSTITUTE(INDEX('Shopify Import'!$A:$CZ,154,Settings!$E$25)&amp;"","$",""),",","")),0)/IF(Settings!$D$27="Yes",G154,1))</f>
        <v/>
      </c>
      <c r="I154" s="11">
        <f>IF(A154="","",IFERROR(VALUE(SUBSTITUTE(SUBSTITUTE(INDEX('Shopify Import'!$A:$CZ,154,Settings!$E$26)&amp;"","$",""),",","")),0)/IF(Settings!$D$27="Yes",G154,1))</f>
        <v/>
      </c>
      <c r="J154" s="11">
        <f>IF(A154="","",F154+H154-I154)</f>
        <v/>
      </c>
      <c r="K154">
        <f>IF(A154="","",IFERROR(IF(B154="",NA(),MATCH(B154,Products!$B$5:$B$204,0)),IFERROR(MATCH(A154,Products!$A$5:$A$204,0),"")))</f>
        <v/>
      </c>
      <c r="L154">
        <f>IF(A154="","",IF(K154="","⚠ not in Products",INDEX(Products!$A$5:$A$204,K154)))</f>
        <v/>
      </c>
      <c r="M154" s="11">
        <f>IF(A154="","",J154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154+IFERROR(INDEX(Settings!$D$5:$D$9,MATCH("Shopify",Settings!$A$5:$A$9,0)),0)*D154)</f>
        <v/>
      </c>
      <c r="N154" s="11">
        <f>IF(A154="","",IF(K154="",0,D154*INDEX(Products!$I$5:$I$204,K154)))</f>
        <v/>
      </c>
      <c r="O154" s="11">
        <f>IF(A154="","",IF(K154="",0,J154*INDEX(Products!$H$5:$H$204,K154)))</f>
        <v/>
      </c>
      <c r="P154" s="11">
        <f>IF(A154="","",J154-M154-N154-O154)</f>
        <v/>
      </c>
    </row>
    <row r="155">
      <c r="A155">
        <f>IFERROR(INDEX('Shopify Import'!$A:$CZ,155,Settings!$E$20)&amp;"","")</f>
        <v/>
      </c>
      <c r="B155">
        <f>IFERROR(INDEX('Shopify Import'!$A:$CZ,155,Settings!$E$21)&amp;"","")</f>
        <v/>
      </c>
      <c r="C155">
        <f>IFERROR(INDEX('Shopify Import'!$A:$CZ,155,Settings!$E$22)&amp;"","")</f>
        <v/>
      </c>
      <c r="D155">
        <f>IF(A155="","",IFERROR(VALUE(SUBSTITUTE(SUBSTITUTE(INDEX('Shopify Import'!$A:$CZ,155,Settings!$E$23)&amp;"","$",""),",","")),0))</f>
        <v/>
      </c>
      <c r="E155" s="11">
        <f>IF(A155="","",IFERROR(VALUE(SUBSTITUTE(SUBSTITUTE(INDEX('Shopify Import'!$A:$CZ,155,Settings!$E$24)&amp;"","$",""),",","")),0))</f>
        <v/>
      </c>
      <c r="F155" s="11">
        <f>IF(A155="","",D155*E155)</f>
        <v/>
      </c>
      <c r="G155">
        <f>IF(A155="","",IF(C155="",1,COUNTIF($C$2:$C$1501,C155)))</f>
        <v/>
      </c>
      <c r="H155" s="11">
        <f>IF(A155="","",IFERROR(VALUE(SUBSTITUTE(SUBSTITUTE(INDEX('Shopify Import'!$A:$CZ,155,Settings!$E$25)&amp;"","$",""),",","")),0)/IF(Settings!$D$27="Yes",G155,1))</f>
        <v/>
      </c>
      <c r="I155" s="11">
        <f>IF(A155="","",IFERROR(VALUE(SUBSTITUTE(SUBSTITUTE(INDEX('Shopify Import'!$A:$CZ,155,Settings!$E$26)&amp;"","$",""),",","")),0)/IF(Settings!$D$27="Yes",G155,1))</f>
        <v/>
      </c>
      <c r="J155" s="11">
        <f>IF(A155="","",F155+H155-I155)</f>
        <v/>
      </c>
      <c r="K155">
        <f>IF(A155="","",IFERROR(IF(B155="",NA(),MATCH(B155,Products!$B$5:$B$204,0)),IFERROR(MATCH(A155,Products!$A$5:$A$204,0),"")))</f>
        <v/>
      </c>
      <c r="L155">
        <f>IF(A155="","",IF(K155="","⚠ not in Products",INDEX(Products!$A$5:$A$204,K155)))</f>
        <v/>
      </c>
      <c r="M155" s="11">
        <f>IF(A155="","",J155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155+IFERROR(INDEX(Settings!$D$5:$D$9,MATCH("Shopify",Settings!$A$5:$A$9,0)),0)*D155)</f>
        <v/>
      </c>
      <c r="N155" s="11">
        <f>IF(A155="","",IF(K155="",0,D155*INDEX(Products!$I$5:$I$204,K155)))</f>
        <v/>
      </c>
      <c r="O155" s="11">
        <f>IF(A155="","",IF(K155="",0,J155*INDEX(Products!$H$5:$H$204,K155)))</f>
        <v/>
      </c>
      <c r="P155" s="11">
        <f>IF(A155="","",J155-M155-N155-O155)</f>
        <v/>
      </c>
    </row>
    <row r="156">
      <c r="A156">
        <f>IFERROR(INDEX('Shopify Import'!$A:$CZ,156,Settings!$E$20)&amp;"","")</f>
        <v/>
      </c>
      <c r="B156">
        <f>IFERROR(INDEX('Shopify Import'!$A:$CZ,156,Settings!$E$21)&amp;"","")</f>
        <v/>
      </c>
      <c r="C156">
        <f>IFERROR(INDEX('Shopify Import'!$A:$CZ,156,Settings!$E$22)&amp;"","")</f>
        <v/>
      </c>
      <c r="D156">
        <f>IF(A156="","",IFERROR(VALUE(SUBSTITUTE(SUBSTITUTE(INDEX('Shopify Import'!$A:$CZ,156,Settings!$E$23)&amp;"","$",""),",","")),0))</f>
        <v/>
      </c>
      <c r="E156" s="11">
        <f>IF(A156="","",IFERROR(VALUE(SUBSTITUTE(SUBSTITUTE(INDEX('Shopify Import'!$A:$CZ,156,Settings!$E$24)&amp;"","$",""),",","")),0))</f>
        <v/>
      </c>
      <c r="F156" s="11">
        <f>IF(A156="","",D156*E156)</f>
        <v/>
      </c>
      <c r="G156">
        <f>IF(A156="","",IF(C156="",1,COUNTIF($C$2:$C$1501,C156)))</f>
        <v/>
      </c>
      <c r="H156" s="11">
        <f>IF(A156="","",IFERROR(VALUE(SUBSTITUTE(SUBSTITUTE(INDEX('Shopify Import'!$A:$CZ,156,Settings!$E$25)&amp;"","$",""),",","")),0)/IF(Settings!$D$27="Yes",G156,1))</f>
        <v/>
      </c>
      <c r="I156" s="11">
        <f>IF(A156="","",IFERROR(VALUE(SUBSTITUTE(SUBSTITUTE(INDEX('Shopify Import'!$A:$CZ,156,Settings!$E$26)&amp;"","$",""),",","")),0)/IF(Settings!$D$27="Yes",G156,1))</f>
        <v/>
      </c>
      <c r="J156" s="11">
        <f>IF(A156="","",F156+H156-I156)</f>
        <v/>
      </c>
      <c r="K156">
        <f>IF(A156="","",IFERROR(IF(B156="",NA(),MATCH(B156,Products!$B$5:$B$204,0)),IFERROR(MATCH(A156,Products!$A$5:$A$204,0),"")))</f>
        <v/>
      </c>
      <c r="L156">
        <f>IF(A156="","",IF(K156="","⚠ not in Products",INDEX(Products!$A$5:$A$204,K156)))</f>
        <v/>
      </c>
      <c r="M156" s="11">
        <f>IF(A156="","",J156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156+IFERROR(INDEX(Settings!$D$5:$D$9,MATCH("Shopify",Settings!$A$5:$A$9,0)),0)*D156)</f>
        <v/>
      </c>
      <c r="N156" s="11">
        <f>IF(A156="","",IF(K156="",0,D156*INDEX(Products!$I$5:$I$204,K156)))</f>
        <v/>
      </c>
      <c r="O156" s="11">
        <f>IF(A156="","",IF(K156="",0,J156*INDEX(Products!$H$5:$H$204,K156)))</f>
        <v/>
      </c>
      <c r="P156" s="11">
        <f>IF(A156="","",J156-M156-N156-O156)</f>
        <v/>
      </c>
    </row>
    <row r="157">
      <c r="A157">
        <f>IFERROR(INDEX('Shopify Import'!$A:$CZ,157,Settings!$E$20)&amp;"","")</f>
        <v/>
      </c>
      <c r="B157">
        <f>IFERROR(INDEX('Shopify Import'!$A:$CZ,157,Settings!$E$21)&amp;"","")</f>
        <v/>
      </c>
      <c r="C157">
        <f>IFERROR(INDEX('Shopify Import'!$A:$CZ,157,Settings!$E$22)&amp;"","")</f>
        <v/>
      </c>
      <c r="D157">
        <f>IF(A157="","",IFERROR(VALUE(SUBSTITUTE(SUBSTITUTE(INDEX('Shopify Import'!$A:$CZ,157,Settings!$E$23)&amp;"","$",""),",","")),0))</f>
        <v/>
      </c>
      <c r="E157" s="11">
        <f>IF(A157="","",IFERROR(VALUE(SUBSTITUTE(SUBSTITUTE(INDEX('Shopify Import'!$A:$CZ,157,Settings!$E$24)&amp;"","$",""),",","")),0))</f>
        <v/>
      </c>
      <c r="F157" s="11">
        <f>IF(A157="","",D157*E157)</f>
        <v/>
      </c>
      <c r="G157">
        <f>IF(A157="","",IF(C157="",1,COUNTIF($C$2:$C$1501,C157)))</f>
        <v/>
      </c>
      <c r="H157" s="11">
        <f>IF(A157="","",IFERROR(VALUE(SUBSTITUTE(SUBSTITUTE(INDEX('Shopify Import'!$A:$CZ,157,Settings!$E$25)&amp;"","$",""),",","")),0)/IF(Settings!$D$27="Yes",G157,1))</f>
        <v/>
      </c>
      <c r="I157" s="11">
        <f>IF(A157="","",IFERROR(VALUE(SUBSTITUTE(SUBSTITUTE(INDEX('Shopify Import'!$A:$CZ,157,Settings!$E$26)&amp;"","$",""),",","")),0)/IF(Settings!$D$27="Yes",G157,1))</f>
        <v/>
      </c>
      <c r="J157" s="11">
        <f>IF(A157="","",F157+H157-I157)</f>
        <v/>
      </c>
      <c r="K157">
        <f>IF(A157="","",IFERROR(IF(B157="",NA(),MATCH(B157,Products!$B$5:$B$204,0)),IFERROR(MATCH(A157,Products!$A$5:$A$204,0),"")))</f>
        <v/>
      </c>
      <c r="L157">
        <f>IF(A157="","",IF(K157="","⚠ not in Products",INDEX(Products!$A$5:$A$204,K157)))</f>
        <v/>
      </c>
      <c r="M157" s="11">
        <f>IF(A157="","",J157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157+IFERROR(INDEX(Settings!$D$5:$D$9,MATCH("Shopify",Settings!$A$5:$A$9,0)),0)*D157)</f>
        <v/>
      </c>
      <c r="N157" s="11">
        <f>IF(A157="","",IF(K157="",0,D157*INDEX(Products!$I$5:$I$204,K157)))</f>
        <v/>
      </c>
      <c r="O157" s="11">
        <f>IF(A157="","",IF(K157="",0,J157*INDEX(Products!$H$5:$H$204,K157)))</f>
        <v/>
      </c>
      <c r="P157" s="11">
        <f>IF(A157="","",J157-M157-N157-O157)</f>
        <v/>
      </c>
    </row>
    <row r="158">
      <c r="A158">
        <f>IFERROR(INDEX('Shopify Import'!$A:$CZ,158,Settings!$E$20)&amp;"","")</f>
        <v/>
      </c>
      <c r="B158">
        <f>IFERROR(INDEX('Shopify Import'!$A:$CZ,158,Settings!$E$21)&amp;"","")</f>
        <v/>
      </c>
      <c r="C158">
        <f>IFERROR(INDEX('Shopify Import'!$A:$CZ,158,Settings!$E$22)&amp;"","")</f>
        <v/>
      </c>
      <c r="D158">
        <f>IF(A158="","",IFERROR(VALUE(SUBSTITUTE(SUBSTITUTE(INDEX('Shopify Import'!$A:$CZ,158,Settings!$E$23)&amp;"","$",""),",","")),0))</f>
        <v/>
      </c>
      <c r="E158" s="11">
        <f>IF(A158="","",IFERROR(VALUE(SUBSTITUTE(SUBSTITUTE(INDEX('Shopify Import'!$A:$CZ,158,Settings!$E$24)&amp;"","$",""),",","")),0))</f>
        <v/>
      </c>
      <c r="F158" s="11">
        <f>IF(A158="","",D158*E158)</f>
        <v/>
      </c>
      <c r="G158">
        <f>IF(A158="","",IF(C158="",1,COUNTIF($C$2:$C$1501,C158)))</f>
        <v/>
      </c>
      <c r="H158" s="11">
        <f>IF(A158="","",IFERROR(VALUE(SUBSTITUTE(SUBSTITUTE(INDEX('Shopify Import'!$A:$CZ,158,Settings!$E$25)&amp;"","$",""),",","")),0)/IF(Settings!$D$27="Yes",G158,1))</f>
        <v/>
      </c>
      <c r="I158" s="11">
        <f>IF(A158="","",IFERROR(VALUE(SUBSTITUTE(SUBSTITUTE(INDEX('Shopify Import'!$A:$CZ,158,Settings!$E$26)&amp;"","$",""),",","")),0)/IF(Settings!$D$27="Yes",G158,1))</f>
        <v/>
      </c>
      <c r="J158" s="11">
        <f>IF(A158="","",F158+H158-I158)</f>
        <v/>
      </c>
      <c r="K158">
        <f>IF(A158="","",IFERROR(IF(B158="",NA(),MATCH(B158,Products!$B$5:$B$204,0)),IFERROR(MATCH(A158,Products!$A$5:$A$204,0),"")))</f>
        <v/>
      </c>
      <c r="L158">
        <f>IF(A158="","",IF(K158="","⚠ not in Products",INDEX(Products!$A$5:$A$204,K158)))</f>
        <v/>
      </c>
      <c r="M158" s="11">
        <f>IF(A158="","",J158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158+IFERROR(INDEX(Settings!$D$5:$D$9,MATCH("Shopify",Settings!$A$5:$A$9,0)),0)*D158)</f>
        <v/>
      </c>
      <c r="N158" s="11">
        <f>IF(A158="","",IF(K158="",0,D158*INDEX(Products!$I$5:$I$204,K158)))</f>
        <v/>
      </c>
      <c r="O158" s="11">
        <f>IF(A158="","",IF(K158="",0,J158*INDEX(Products!$H$5:$H$204,K158)))</f>
        <v/>
      </c>
      <c r="P158" s="11">
        <f>IF(A158="","",J158-M158-N158-O158)</f>
        <v/>
      </c>
    </row>
    <row r="159">
      <c r="A159">
        <f>IFERROR(INDEX('Shopify Import'!$A:$CZ,159,Settings!$E$20)&amp;"","")</f>
        <v/>
      </c>
      <c r="B159">
        <f>IFERROR(INDEX('Shopify Import'!$A:$CZ,159,Settings!$E$21)&amp;"","")</f>
        <v/>
      </c>
      <c r="C159">
        <f>IFERROR(INDEX('Shopify Import'!$A:$CZ,159,Settings!$E$22)&amp;"","")</f>
        <v/>
      </c>
      <c r="D159">
        <f>IF(A159="","",IFERROR(VALUE(SUBSTITUTE(SUBSTITUTE(INDEX('Shopify Import'!$A:$CZ,159,Settings!$E$23)&amp;"","$",""),",","")),0))</f>
        <v/>
      </c>
      <c r="E159" s="11">
        <f>IF(A159="","",IFERROR(VALUE(SUBSTITUTE(SUBSTITUTE(INDEX('Shopify Import'!$A:$CZ,159,Settings!$E$24)&amp;"","$",""),",","")),0))</f>
        <v/>
      </c>
      <c r="F159" s="11">
        <f>IF(A159="","",D159*E159)</f>
        <v/>
      </c>
      <c r="G159">
        <f>IF(A159="","",IF(C159="",1,COUNTIF($C$2:$C$1501,C159)))</f>
        <v/>
      </c>
      <c r="H159" s="11">
        <f>IF(A159="","",IFERROR(VALUE(SUBSTITUTE(SUBSTITUTE(INDEX('Shopify Import'!$A:$CZ,159,Settings!$E$25)&amp;"","$",""),",","")),0)/IF(Settings!$D$27="Yes",G159,1))</f>
        <v/>
      </c>
      <c r="I159" s="11">
        <f>IF(A159="","",IFERROR(VALUE(SUBSTITUTE(SUBSTITUTE(INDEX('Shopify Import'!$A:$CZ,159,Settings!$E$26)&amp;"","$",""),",","")),0)/IF(Settings!$D$27="Yes",G159,1))</f>
        <v/>
      </c>
      <c r="J159" s="11">
        <f>IF(A159="","",F159+H159-I159)</f>
        <v/>
      </c>
      <c r="K159">
        <f>IF(A159="","",IFERROR(IF(B159="",NA(),MATCH(B159,Products!$B$5:$B$204,0)),IFERROR(MATCH(A159,Products!$A$5:$A$204,0),"")))</f>
        <v/>
      </c>
      <c r="L159">
        <f>IF(A159="","",IF(K159="","⚠ not in Products",INDEX(Products!$A$5:$A$204,K159)))</f>
        <v/>
      </c>
      <c r="M159" s="11">
        <f>IF(A159="","",J159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159+IFERROR(INDEX(Settings!$D$5:$D$9,MATCH("Shopify",Settings!$A$5:$A$9,0)),0)*D159)</f>
        <v/>
      </c>
      <c r="N159" s="11">
        <f>IF(A159="","",IF(K159="",0,D159*INDEX(Products!$I$5:$I$204,K159)))</f>
        <v/>
      </c>
      <c r="O159" s="11">
        <f>IF(A159="","",IF(K159="",0,J159*INDEX(Products!$H$5:$H$204,K159)))</f>
        <v/>
      </c>
      <c r="P159" s="11">
        <f>IF(A159="","",J159-M159-N159-O159)</f>
        <v/>
      </c>
    </row>
    <row r="160">
      <c r="A160">
        <f>IFERROR(INDEX('Shopify Import'!$A:$CZ,160,Settings!$E$20)&amp;"","")</f>
        <v/>
      </c>
      <c r="B160">
        <f>IFERROR(INDEX('Shopify Import'!$A:$CZ,160,Settings!$E$21)&amp;"","")</f>
        <v/>
      </c>
      <c r="C160">
        <f>IFERROR(INDEX('Shopify Import'!$A:$CZ,160,Settings!$E$22)&amp;"","")</f>
        <v/>
      </c>
      <c r="D160">
        <f>IF(A160="","",IFERROR(VALUE(SUBSTITUTE(SUBSTITUTE(INDEX('Shopify Import'!$A:$CZ,160,Settings!$E$23)&amp;"","$",""),",","")),0))</f>
        <v/>
      </c>
      <c r="E160" s="11">
        <f>IF(A160="","",IFERROR(VALUE(SUBSTITUTE(SUBSTITUTE(INDEX('Shopify Import'!$A:$CZ,160,Settings!$E$24)&amp;"","$",""),",","")),0))</f>
        <v/>
      </c>
      <c r="F160" s="11">
        <f>IF(A160="","",D160*E160)</f>
        <v/>
      </c>
      <c r="G160">
        <f>IF(A160="","",IF(C160="",1,COUNTIF($C$2:$C$1501,C160)))</f>
        <v/>
      </c>
      <c r="H160" s="11">
        <f>IF(A160="","",IFERROR(VALUE(SUBSTITUTE(SUBSTITUTE(INDEX('Shopify Import'!$A:$CZ,160,Settings!$E$25)&amp;"","$",""),",","")),0)/IF(Settings!$D$27="Yes",G160,1))</f>
        <v/>
      </c>
      <c r="I160" s="11">
        <f>IF(A160="","",IFERROR(VALUE(SUBSTITUTE(SUBSTITUTE(INDEX('Shopify Import'!$A:$CZ,160,Settings!$E$26)&amp;"","$",""),",","")),0)/IF(Settings!$D$27="Yes",G160,1))</f>
        <v/>
      </c>
      <c r="J160" s="11">
        <f>IF(A160="","",F160+H160-I160)</f>
        <v/>
      </c>
      <c r="K160">
        <f>IF(A160="","",IFERROR(IF(B160="",NA(),MATCH(B160,Products!$B$5:$B$204,0)),IFERROR(MATCH(A160,Products!$A$5:$A$204,0),"")))</f>
        <v/>
      </c>
      <c r="L160">
        <f>IF(A160="","",IF(K160="","⚠ not in Products",INDEX(Products!$A$5:$A$204,K160)))</f>
        <v/>
      </c>
      <c r="M160" s="11">
        <f>IF(A160="","",J160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160+IFERROR(INDEX(Settings!$D$5:$D$9,MATCH("Shopify",Settings!$A$5:$A$9,0)),0)*D160)</f>
        <v/>
      </c>
      <c r="N160" s="11">
        <f>IF(A160="","",IF(K160="",0,D160*INDEX(Products!$I$5:$I$204,K160)))</f>
        <v/>
      </c>
      <c r="O160" s="11">
        <f>IF(A160="","",IF(K160="",0,J160*INDEX(Products!$H$5:$H$204,K160)))</f>
        <v/>
      </c>
      <c r="P160" s="11">
        <f>IF(A160="","",J160-M160-N160-O160)</f>
        <v/>
      </c>
    </row>
    <row r="161">
      <c r="A161">
        <f>IFERROR(INDEX('Shopify Import'!$A:$CZ,161,Settings!$E$20)&amp;"","")</f>
        <v/>
      </c>
      <c r="B161">
        <f>IFERROR(INDEX('Shopify Import'!$A:$CZ,161,Settings!$E$21)&amp;"","")</f>
        <v/>
      </c>
      <c r="C161">
        <f>IFERROR(INDEX('Shopify Import'!$A:$CZ,161,Settings!$E$22)&amp;"","")</f>
        <v/>
      </c>
      <c r="D161">
        <f>IF(A161="","",IFERROR(VALUE(SUBSTITUTE(SUBSTITUTE(INDEX('Shopify Import'!$A:$CZ,161,Settings!$E$23)&amp;"","$",""),",","")),0))</f>
        <v/>
      </c>
      <c r="E161" s="11">
        <f>IF(A161="","",IFERROR(VALUE(SUBSTITUTE(SUBSTITUTE(INDEX('Shopify Import'!$A:$CZ,161,Settings!$E$24)&amp;"","$",""),",","")),0))</f>
        <v/>
      </c>
      <c r="F161" s="11">
        <f>IF(A161="","",D161*E161)</f>
        <v/>
      </c>
      <c r="G161">
        <f>IF(A161="","",IF(C161="",1,COUNTIF($C$2:$C$1501,C161)))</f>
        <v/>
      </c>
      <c r="H161" s="11">
        <f>IF(A161="","",IFERROR(VALUE(SUBSTITUTE(SUBSTITUTE(INDEX('Shopify Import'!$A:$CZ,161,Settings!$E$25)&amp;"","$",""),",","")),0)/IF(Settings!$D$27="Yes",G161,1))</f>
        <v/>
      </c>
      <c r="I161" s="11">
        <f>IF(A161="","",IFERROR(VALUE(SUBSTITUTE(SUBSTITUTE(INDEX('Shopify Import'!$A:$CZ,161,Settings!$E$26)&amp;"","$",""),",","")),0)/IF(Settings!$D$27="Yes",G161,1))</f>
        <v/>
      </c>
      <c r="J161" s="11">
        <f>IF(A161="","",F161+H161-I161)</f>
        <v/>
      </c>
      <c r="K161">
        <f>IF(A161="","",IFERROR(IF(B161="",NA(),MATCH(B161,Products!$B$5:$B$204,0)),IFERROR(MATCH(A161,Products!$A$5:$A$204,0),"")))</f>
        <v/>
      </c>
      <c r="L161">
        <f>IF(A161="","",IF(K161="","⚠ not in Products",INDEX(Products!$A$5:$A$204,K161)))</f>
        <v/>
      </c>
      <c r="M161" s="11">
        <f>IF(A161="","",J161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161+IFERROR(INDEX(Settings!$D$5:$D$9,MATCH("Shopify",Settings!$A$5:$A$9,0)),0)*D161)</f>
        <v/>
      </c>
      <c r="N161" s="11">
        <f>IF(A161="","",IF(K161="",0,D161*INDEX(Products!$I$5:$I$204,K161)))</f>
        <v/>
      </c>
      <c r="O161" s="11">
        <f>IF(A161="","",IF(K161="",0,J161*INDEX(Products!$H$5:$H$204,K161)))</f>
        <v/>
      </c>
      <c r="P161" s="11">
        <f>IF(A161="","",J161-M161-N161-O161)</f>
        <v/>
      </c>
    </row>
    <row r="162">
      <c r="A162">
        <f>IFERROR(INDEX('Shopify Import'!$A:$CZ,162,Settings!$E$20)&amp;"","")</f>
        <v/>
      </c>
      <c r="B162">
        <f>IFERROR(INDEX('Shopify Import'!$A:$CZ,162,Settings!$E$21)&amp;"","")</f>
        <v/>
      </c>
      <c r="C162">
        <f>IFERROR(INDEX('Shopify Import'!$A:$CZ,162,Settings!$E$22)&amp;"","")</f>
        <v/>
      </c>
      <c r="D162">
        <f>IF(A162="","",IFERROR(VALUE(SUBSTITUTE(SUBSTITUTE(INDEX('Shopify Import'!$A:$CZ,162,Settings!$E$23)&amp;"","$",""),",","")),0))</f>
        <v/>
      </c>
      <c r="E162" s="11">
        <f>IF(A162="","",IFERROR(VALUE(SUBSTITUTE(SUBSTITUTE(INDEX('Shopify Import'!$A:$CZ,162,Settings!$E$24)&amp;"","$",""),",","")),0))</f>
        <v/>
      </c>
      <c r="F162" s="11">
        <f>IF(A162="","",D162*E162)</f>
        <v/>
      </c>
      <c r="G162">
        <f>IF(A162="","",IF(C162="",1,COUNTIF($C$2:$C$1501,C162)))</f>
        <v/>
      </c>
      <c r="H162" s="11">
        <f>IF(A162="","",IFERROR(VALUE(SUBSTITUTE(SUBSTITUTE(INDEX('Shopify Import'!$A:$CZ,162,Settings!$E$25)&amp;"","$",""),",","")),0)/IF(Settings!$D$27="Yes",G162,1))</f>
        <v/>
      </c>
      <c r="I162" s="11">
        <f>IF(A162="","",IFERROR(VALUE(SUBSTITUTE(SUBSTITUTE(INDEX('Shopify Import'!$A:$CZ,162,Settings!$E$26)&amp;"","$",""),",","")),0)/IF(Settings!$D$27="Yes",G162,1))</f>
        <v/>
      </c>
      <c r="J162" s="11">
        <f>IF(A162="","",F162+H162-I162)</f>
        <v/>
      </c>
      <c r="K162">
        <f>IF(A162="","",IFERROR(IF(B162="",NA(),MATCH(B162,Products!$B$5:$B$204,0)),IFERROR(MATCH(A162,Products!$A$5:$A$204,0),"")))</f>
        <v/>
      </c>
      <c r="L162">
        <f>IF(A162="","",IF(K162="","⚠ not in Products",INDEX(Products!$A$5:$A$204,K162)))</f>
        <v/>
      </c>
      <c r="M162" s="11">
        <f>IF(A162="","",J162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162+IFERROR(INDEX(Settings!$D$5:$D$9,MATCH("Shopify",Settings!$A$5:$A$9,0)),0)*D162)</f>
        <v/>
      </c>
      <c r="N162" s="11">
        <f>IF(A162="","",IF(K162="",0,D162*INDEX(Products!$I$5:$I$204,K162)))</f>
        <v/>
      </c>
      <c r="O162" s="11">
        <f>IF(A162="","",IF(K162="",0,J162*INDEX(Products!$H$5:$H$204,K162)))</f>
        <v/>
      </c>
      <c r="P162" s="11">
        <f>IF(A162="","",J162-M162-N162-O162)</f>
        <v/>
      </c>
    </row>
    <row r="163">
      <c r="A163">
        <f>IFERROR(INDEX('Shopify Import'!$A:$CZ,163,Settings!$E$20)&amp;"","")</f>
        <v/>
      </c>
      <c r="B163">
        <f>IFERROR(INDEX('Shopify Import'!$A:$CZ,163,Settings!$E$21)&amp;"","")</f>
        <v/>
      </c>
      <c r="C163">
        <f>IFERROR(INDEX('Shopify Import'!$A:$CZ,163,Settings!$E$22)&amp;"","")</f>
        <v/>
      </c>
      <c r="D163">
        <f>IF(A163="","",IFERROR(VALUE(SUBSTITUTE(SUBSTITUTE(INDEX('Shopify Import'!$A:$CZ,163,Settings!$E$23)&amp;"","$",""),",","")),0))</f>
        <v/>
      </c>
      <c r="E163" s="11">
        <f>IF(A163="","",IFERROR(VALUE(SUBSTITUTE(SUBSTITUTE(INDEX('Shopify Import'!$A:$CZ,163,Settings!$E$24)&amp;"","$",""),",","")),0))</f>
        <v/>
      </c>
      <c r="F163" s="11">
        <f>IF(A163="","",D163*E163)</f>
        <v/>
      </c>
      <c r="G163">
        <f>IF(A163="","",IF(C163="",1,COUNTIF($C$2:$C$1501,C163)))</f>
        <v/>
      </c>
      <c r="H163" s="11">
        <f>IF(A163="","",IFERROR(VALUE(SUBSTITUTE(SUBSTITUTE(INDEX('Shopify Import'!$A:$CZ,163,Settings!$E$25)&amp;"","$",""),",","")),0)/IF(Settings!$D$27="Yes",G163,1))</f>
        <v/>
      </c>
      <c r="I163" s="11">
        <f>IF(A163="","",IFERROR(VALUE(SUBSTITUTE(SUBSTITUTE(INDEX('Shopify Import'!$A:$CZ,163,Settings!$E$26)&amp;"","$",""),",","")),0)/IF(Settings!$D$27="Yes",G163,1))</f>
        <v/>
      </c>
      <c r="J163" s="11">
        <f>IF(A163="","",F163+H163-I163)</f>
        <v/>
      </c>
      <c r="K163">
        <f>IF(A163="","",IFERROR(IF(B163="",NA(),MATCH(B163,Products!$B$5:$B$204,0)),IFERROR(MATCH(A163,Products!$A$5:$A$204,0),"")))</f>
        <v/>
      </c>
      <c r="L163">
        <f>IF(A163="","",IF(K163="","⚠ not in Products",INDEX(Products!$A$5:$A$204,K163)))</f>
        <v/>
      </c>
      <c r="M163" s="11">
        <f>IF(A163="","",J163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163+IFERROR(INDEX(Settings!$D$5:$D$9,MATCH("Shopify",Settings!$A$5:$A$9,0)),0)*D163)</f>
        <v/>
      </c>
      <c r="N163" s="11">
        <f>IF(A163="","",IF(K163="",0,D163*INDEX(Products!$I$5:$I$204,K163)))</f>
        <v/>
      </c>
      <c r="O163" s="11">
        <f>IF(A163="","",IF(K163="",0,J163*INDEX(Products!$H$5:$H$204,K163)))</f>
        <v/>
      </c>
      <c r="P163" s="11">
        <f>IF(A163="","",J163-M163-N163-O163)</f>
        <v/>
      </c>
    </row>
    <row r="164">
      <c r="A164">
        <f>IFERROR(INDEX('Shopify Import'!$A:$CZ,164,Settings!$E$20)&amp;"","")</f>
        <v/>
      </c>
      <c r="B164">
        <f>IFERROR(INDEX('Shopify Import'!$A:$CZ,164,Settings!$E$21)&amp;"","")</f>
        <v/>
      </c>
      <c r="C164">
        <f>IFERROR(INDEX('Shopify Import'!$A:$CZ,164,Settings!$E$22)&amp;"","")</f>
        <v/>
      </c>
      <c r="D164">
        <f>IF(A164="","",IFERROR(VALUE(SUBSTITUTE(SUBSTITUTE(INDEX('Shopify Import'!$A:$CZ,164,Settings!$E$23)&amp;"","$",""),",","")),0))</f>
        <v/>
      </c>
      <c r="E164" s="11">
        <f>IF(A164="","",IFERROR(VALUE(SUBSTITUTE(SUBSTITUTE(INDEX('Shopify Import'!$A:$CZ,164,Settings!$E$24)&amp;"","$",""),",","")),0))</f>
        <v/>
      </c>
      <c r="F164" s="11">
        <f>IF(A164="","",D164*E164)</f>
        <v/>
      </c>
      <c r="G164">
        <f>IF(A164="","",IF(C164="",1,COUNTIF($C$2:$C$1501,C164)))</f>
        <v/>
      </c>
      <c r="H164" s="11">
        <f>IF(A164="","",IFERROR(VALUE(SUBSTITUTE(SUBSTITUTE(INDEX('Shopify Import'!$A:$CZ,164,Settings!$E$25)&amp;"","$",""),",","")),0)/IF(Settings!$D$27="Yes",G164,1))</f>
        <v/>
      </c>
      <c r="I164" s="11">
        <f>IF(A164="","",IFERROR(VALUE(SUBSTITUTE(SUBSTITUTE(INDEX('Shopify Import'!$A:$CZ,164,Settings!$E$26)&amp;"","$",""),",","")),0)/IF(Settings!$D$27="Yes",G164,1))</f>
        <v/>
      </c>
      <c r="J164" s="11">
        <f>IF(A164="","",F164+H164-I164)</f>
        <v/>
      </c>
      <c r="K164">
        <f>IF(A164="","",IFERROR(IF(B164="",NA(),MATCH(B164,Products!$B$5:$B$204,0)),IFERROR(MATCH(A164,Products!$A$5:$A$204,0),"")))</f>
        <v/>
      </c>
      <c r="L164">
        <f>IF(A164="","",IF(K164="","⚠ not in Products",INDEX(Products!$A$5:$A$204,K164)))</f>
        <v/>
      </c>
      <c r="M164" s="11">
        <f>IF(A164="","",J164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164+IFERROR(INDEX(Settings!$D$5:$D$9,MATCH("Shopify",Settings!$A$5:$A$9,0)),0)*D164)</f>
        <v/>
      </c>
      <c r="N164" s="11">
        <f>IF(A164="","",IF(K164="",0,D164*INDEX(Products!$I$5:$I$204,K164)))</f>
        <v/>
      </c>
      <c r="O164" s="11">
        <f>IF(A164="","",IF(K164="",0,J164*INDEX(Products!$H$5:$H$204,K164)))</f>
        <v/>
      </c>
      <c r="P164" s="11">
        <f>IF(A164="","",J164-M164-N164-O164)</f>
        <v/>
      </c>
    </row>
    <row r="165">
      <c r="A165">
        <f>IFERROR(INDEX('Shopify Import'!$A:$CZ,165,Settings!$E$20)&amp;"","")</f>
        <v/>
      </c>
      <c r="B165">
        <f>IFERROR(INDEX('Shopify Import'!$A:$CZ,165,Settings!$E$21)&amp;"","")</f>
        <v/>
      </c>
      <c r="C165">
        <f>IFERROR(INDEX('Shopify Import'!$A:$CZ,165,Settings!$E$22)&amp;"","")</f>
        <v/>
      </c>
      <c r="D165">
        <f>IF(A165="","",IFERROR(VALUE(SUBSTITUTE(SUBSTITUTE(INDEX('Shopify Import'!$A:$CZ,165,Settings!$E$23)&amp;"","$",""),",","")),0))</f>
        <v/>
      </c>
      <c r="E165" s="11">
        <f>IF(A165="","",IFERROR(VALUE(SUBSTITUTE(SUBSTITUTE(INDEX('Shopify Import'!$A:$CZ,165,Settings!$E$24)&amp;"","$",""),",","")),0))</f>
        <v/>
      </c>
      <c r="F165" s="11">
        <f>IF(A165="","",D165*E165)</f>
        <v/>
      </c>
      <c r="G165">
        <f>IF(A165="","",IF(C165="",1,COUNTIF($C$2:$C$1501,C165)))</f>
        <v/>
      </c>
      <c r="H165" s="11">
        <f>IF(A165="","",IFERROR(VALUE(SUBSTITUTE(SUBSTITUTE(INDEX('Shopify Import'!$A:$CZ,165,Settings!$E$25)&amp;"","$",""),",","")),0)/IF(Settings!$D$27="Yes",G165,1))</f>
        <v/>
      </c>
      <c r="I165" s="11">
        <f>IF(A165="","",IFERROR(VALUE(SUBSTITUTE(SUBSTITUTE(INDEX('Shopify Import'!$A:$CZ,165,Settings!$E$26)&amp;"","$",""),",","")),0)/IF(Settings!$D$27="Yes",G165,1))</f>
        <v/>
      </c>
      <c r="J165" s="11">
        <f>IF(A165="","",F165+H165-I165)</f>
        <v/>
      </c>
      <c r="K165">
        <f>IF(A165="","",IFERROR(IF(B165="",NA(),MATCH(B165,Products!$B$5:$B$204,0)),IFERROR(MATCH(A165,Products!$A$5:$A$204,0),"")))</f>
        <v/>
      </c>
      <c r="L165">
        <f>IF(A165="","",IF(K165="","⚠ not in Products",INDEX(Products!$A$5:$A$204,K165)))</f>
        <v/>
      </c>
      <c r="M165" s="11">
        <f>IF(A165="","",J165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165+IFERROR(INDEX(Settings!$D$5:$D$9,MATCH("Shopify",Settings!$A$5:$A$9,0)),0)*D165)</f>
        <v/>
      </c>
      <c r="N165" s="11">
        <f>IF(A165="","",IF(K165="",0,D165*INDEX(Products!$I$5:$I$204,K165)))</f>
        <v/>
      </c>
      <c r="O165" s="11">
        <f>IF(A165="","",IF(K165="",0,J165*INDEX(Products!$H$5:$H$204,K165)))</f>
        <v/>
      </c>
      <c r="P165" s="11">
        <f>IF(A165="","",J165-M165-N165-O165)</f>
        <v/>
      </c>
    </row>
    <row r="166">
      <c r="A166">
        <f>IFERROR(INDEX('Shopify Import'!$A:$CZ,166,Settings!$E$20)&amp;"","")</f>
        <v/>
      </c>
      <c r="B166">
        <f>IFERROR(INDEX('Shopify Import'!$A:$CZ,166,Settings!$E$21)&amp;"","")</f>
        <v/>
      </c>
      <c r="C166">
        <f>IFERROR(INDEX('Shopify Import'!$A:$CZ,166,Settings!$E$22)&amp;"","")</f>
        <v/>
      </c>
      <c r="D166">
        <f>IF(A166="","",IFERROR(VALUE(SUBSTITUTE(SUBSTITUTE(INDEX('Shopify Import'!$A:$CZ,166,Settings!$E$23)&amp;"","$",""),",","")),0))</f>
        <v/>
      </c>
      <c r="E166" s="11">
        <f>IF(A166="","",IFERROR(VALUE(SUBSTITUTE(SUBSTITUTE(INDEX('Shopify Import'!$A:$CZ,166,Settings!$E$24)&amp;"","$",""),",","")),0))</f>
        <v/>
      </c>
      <c r="F166" s="11">
        <f>IF(A166="","",D166*E166)</f>
        <v/>
      </c>
      <c r="G166">
        <f>IF(A166="","",IF(C166="",1,COUNTIF($C$2:$C$1501,C166)))</f>
        <v/>
      </c>
      <c r="H166" s="11">
        <f>IF(A166="","",IFERROR(VALUE(SUBSTITUTE(SUBSTITUTE(INDEX('Shopify Import'!$A:$CZ,166,Settings!$E$25)&amp;"","$",""),",","")),0)/IF(Settings!$D$27="Yes",G166,1))</f>
        <v/>
      </c>
      <c r="I166" s="11">
        <f>IF(A166="","",IFERROR(VALUE(SUBSTITUTE(SUBSTITUTE(INDEX('Shopify Import'!$A:$CZ,166,Settings!$E$26)&amp;"","$",""),",","")),0)/IF(Settings!$D$27="Yes",G166,1))</f>
        <v/>
      </c>
      <c r="J166" s="11">
        <f>IF(A166="","",F166+H166-I166)</f>
        <v/>
      </c>
      <c r="K166">
        <f>IF(A166="","",IFERROR(IF(B166="",NA(),MATCH(B166,Products!$B$5:$B$204,0)),IFERROR(MATCH(A166,Products!$A$5:$A$204,0),"")))</f>
        <v/>
      </c>
      <c r="L166">
        <f>IF(A166="","",IF(K166="","⚠ not in Products",INDEX(Products!$A$5:$A$204,K166)))</f>
        <v/>
      </c>
      <c r="M166" s="11">
        <f>IF(A166="","",J166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166+IFERROR(INDEX(Settings!$D$5:$D$9,MATCH("Shopify",Settings!$A$5:$A$9,0)),0)*D166)</f>
        <v/>
      </c>
      <c r="N166" s="11">
        <f>IF(A166="","",IF(K166="",0,D166*INDEX(Products!$I$5:$I$204,K166)))</f>
        <v/>
      </c>
      <c r="O166" s="11">
        <f>IF(A166="","",IF(K166="",0,J166*INDEX(Products!$H$5:$H$204,K166)))</f>
        <v/>
      </c>
      <c r="P166" s="11">
        <f>IF(A166="","",J166-M166-N166-O166)</f>
        <v/>
      </c>
    </row>
    <row r="167">
      <c r="A167">
        <f>IFERROR(INDEX('Shopify Import'!$A:$CZ,167,Settings!$E$20)&amp;"","")</f>
        <v/>
      </c>
      <c r="B167">
        <f>IFERROR(INDEX('Shopify Import'!$A:$CZ,167,Settings!$E$21)&amp;"","")</f>
        <v/>
      </c>
      <c r="C167">
        <f>IFERROR(INDEX('Shopify Import'!$A:$CZ,167,Settings!$E$22)&amp;"","")</f>
        <v/>
      </c>
      <c r="D167">
        <f>IF(A167="","",IFERROR(VALUE(SUBSTITUTE(SUBSTITUTE(INDEX('Shopify Import'!$A:$CZ,167,Settings!$E$23)&amp;"","$",""),",","")),0))</f>
        <v/>
      </c>
      <c r="E167" s="11">
        <f>IF(A167="","",IFERROR(VALUE(SUBSTITUTE(SUBSTITUTE(INDEX('Shopify Import'!$A:$CZ,167,Settings!$E$24)&amp;"","$",""),",","")),0))</f>
        <v/>
      </c>
      <c r="F167" s="11">
        <f>IF(A167="","",D167*E167)</f>
        <v/>
      </c>
      <c r="G167">
        <f>IF(A167="","",IF(C167="",1,COUNTIF($C$2:$C$1501,C167)))</f>
        <v/>
      </c>
      <c r="H167" s="11">
        <f>IF(A167="","",IFERROR(VALUE(SUBSTITUTE(SUBSTITUTE(INDEX('Shopify Import'!$A:$CZ,167,Settings!$E$25)&amp;"","$",""),",","")),0)/IF(Settings!$D$27="Yes",G167,1))</f>
        <v/>
      </c>
      <c r="I167" s="11">
        <f>IF(A167="","",IFERROR(VALUE(SUBSTITUTE(SUBSTITUTE(INDEX('Shopify Import'!$A:$CZ,167,Settings!$E$26)&amp;"","$",""),",","")),0)/IF(Settings!$D$27="Yes",G167,1))</f>
        <v/>
      </c>
      <c r="J167" s="11">
        <f>IF(A167="","",F167+H167-I167)</f>
        <v/>
      </c>
      <c r="K167">
        <f>IF(A167="","",IFERROR(IF(B167="",NA(),MATCH(B167,Products!$B$5:$B$204,0)),IFERROR(MATCH(A167,Products!$A$5:$A$204,0),"")))</f>
        <v/>
      </c>
      <c r="L167">
        <f>IF(A167="","",IF(K167="","⚠ not in Products",INDEX(Products!$A$5:$A$204,K167)))</f>
        <v/>
      </c>
      <c r="M167" s="11">
        <f>IF(A167="","",J167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167+IFERROR(INDEX(Settings!$D$5:$D$9,MATCH("Shopify",Settings!$A$5:$A$9,0)),0)*D167)</f>
        <v/>
      </c>
      <c r="N167" s="11">
        <f>IF(A167="","",IF(K167="",0,D167*INDEX(Products!$I$5:$I$204,K167)))</f>
        <v/>
      </c>
      <c r="O167" s="11">
        <f>IF(A167="","",IF(K167="",0,J167*INDEX(Products!$H$5:$H$204,K167)))</f>
        <v/>
      </c>
      <c r="P167" s="11">
        <f>IF(A167="","",J167-M167-N167-O167)</f>
        <v/>
      </c>
    </row>
    <row r="168">
      <c r="A168">
        <f>IFERROR(INDEX('Shopify Import'!$A:$CZ,168,Settings!$E$20)&amp;"","")</f>
        <v/>
      </c>
      <c r="B168">
        <f>IFERROR(INDEX('Shopify Import'!$A:$CZ,168,Settings!$E$21)&amp;"","")</f>
        <v/>
      </c>
      <c r="C168">
        <f>IFERROR(INDEX('Shopify Import'!$A:$CZ,168,Settings!$E$22)&amp;"","")</f>
        <v/>
      </c>
      <c r="D168">
        <f>IF(A168="","",IFERROR(VALUE(SUBSTITUTE(SUBSTITUTE(INDEX('Shopify Import'!$A:$CZ,168,Settings!$E$23)&amp;"","$",""),",","")),0))</f>
        <v/>
      </c>
      <c r="E168" s="11">
        <f>IF(A168="","",IFERROR(VALUE(SUBSTITUTE(SUBSTITUTE(INDEX('Shopify Import'!$A:$CZ,168,Settings!$E$24)&amp;"","$",""),",","")),0))</f>
        <v/>
      </c>
      <c r="F168" s="11">
        <f>IF(A168="","",D168*E168)</f>
        <v/>
      </c>
      <c r="G168">
        <f>IF(A168="","",IF(C168="",1,COUNTIF($C$2:$C$1501,C168)))</f>
        <v/>
      </c>
      <c r="H168" s="11">
        <f>IF(A168="","",IFERROR(VALUE(SUBSTITUTE(SUBSTITUTE(INDEX('Shopify Import'!$A:$CZ,168,Settings!$E$25)&amp;"","$",""),",","")),0)/IF(Settings!$D$27="Yes",G168,1))</f>
        <v/>
      </c>
      <c r="I168" s="11">
        <f>IF(A168="","",IFERROR(VALUE(SUBSTITUTE(SUBSTITUTE(INDEX('Shopify Import'!$A:$CZ,168,Settings!$E$26)&amp;"","$",""),",","")),0)/IF(Settings!$D$27="Yes",G168,1))</f>
        <v/>
      </c>
      <c r="J168" s="11">
        <f>IF(A168="","",F168+H168-I168)</f>
        <v/>
      </c>
      <c r="K168">
        <f>IF(A168="","",IFERROR(IF(B168="",NA(),MATCH(B168,Products!$B$5:$B$204,0)),IFERROR(MATCH(A168,Products!$A$5:$A$204,0),"")))</f>
        <v/>
      </c>
      <c r="L168">
        <f>IF(A168="","",IF(K168="","⚠ not in Products",INDEX(Products!$A$5:$A$204,K168)))</f>
        <v/>
      </c>
      <c r="M168" s="11">
        <f>IF(A168="","",J168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168+IFERROR(INDEX(Settings!$D$5:$D$9,MATCH("Shopify",Settings!$A$5:$A$9,0)),0)*D168)</f>
        <v/>
      </c>
      <c r="N168" s="11">
        <f>IF(A168="","",IF(K168="",0,D168*INDEX(Products!$I$5:$I$204,K168)))</f>
        <v/>
      </c>
      <c r="O168" s="11">
        <f>IF(A168="","",IF(K168="",0,J168*INDEX(Products!$H$5:$H$204,K168)))</f>
        <v/>
      </c>
      <c r="P168" s="11">
        <f>IF(A168="","",J168-M168-N168-O168)</f>
        <v/>
      </c>
    </row>
    <row r="169">
      <c r="A169">
        <f>IFERROR(INDEX('Shopify Import'!$A:$CZ,169,Settings!$E$20)&amp;"","")</f>
        <v/>
      </c>
      <c r="B169">
        <f>IFERROR(INDEX('Shopify Import'!$A:$CZ,169,Settings!$E$21)&amp;"","")</f>
        <v/>
      </c>
      <c r="C169">
        <f>IFERROR(INDEX('Shopify Import'!$A:$CZ,169,Settings!$E$22)&amp;"","")</f>
        <v/>
      </c>
      <c r="D169">
        <f>IF(A169="","",IFERROR(VALUE(SUBSTITUTE(SUBSTITUTE(INDEX('Shopify Import'!$A:$CZ,169,Settings!$E$23)&amp;"","$",""),",","")),0))</f>
        <v/>
      </c>
      <c r="E169" s="11">
        <f>IF(A169="","",IFERROR(VALUE(SUBSTITUTE(SUBSTITUTE(INDEX('Shopify Import'!$A:$CZ,169,Settings!$E$24)&amp;"","$",""),",","")),0))</f>
        <v/>
      </c>
      <c r="F169" s="11">
        <f>IF(A169="","",D169*E169)</f>
        <v/>
      </c>
      <c r="G169">
        <f>IF(A169="","",IF(C169="",1,COUNTIF($C$2:$C$1501,C169)))</f>
        <v/>
      </c>
      <c r="H169" s="11">
        <f>IF(A169="","",IFERROR(VALUE(SUBSTITUTE(SUBSTITUTE(INDEX('Shopify Import'!$A:$CZ,169,Settings!$E$25)&amp;"","$",""),",","")),0)/IF(Settings!$D$27="Yes",G169,1))</f>
        <v/>
      </c>
      <c r="I169" s="11">
        <f>IF(A169="","",IFERROR(VALUE(SUBSTITUTE(SUBSTITUTE(INDEX('Shopify Import'!$A:$CZ,169,Settings!$E$26)&amp;"","$",""),",","")),0)/IF(Settings!$D$27="Yes",G169,1))</f>
        <v/>
      </c>
      <c r="J169" s="11">
        <f>IF(A169="","",F169+H169-I169)</f>
        <v/>
      </c>
      <c r="K169">
        <f>IF(A169="","",IFERROR(IF(B169="",NA(),MATCH(B169,Products!$B$5:$B$204,0)),IFERROR(MATCH(A169,Products!$A$5:$A$204,0),"")))</f>
        <v/>
      </c>
      <c r="L169">
        <f>IF(A169="","",IF(K169="","⚠ not in Products",INDEX(Products!$A$5:$A$204,K169)))</f>
        <v/>
      </c>
      <c r="M169" s="11">
        <f>IF(A169="","",J169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169+IFERROR(INDEX(Settings!$D$5:$D$9,MATCH("Shopify",Settings!$A$5:$A$9,0)),0)*D169)</f>
        <v/>
      </c>
      <c r="N169" s="11">
        <f>IF(A169="","",IF(K169="",0,D169*INDEX(Products!$I$5:$I$204,K169)))</f>
        <v/>
      </c>
      <c r="O169" s="11">
        <f>IF(A169="","",IF(K169="",0,J169*INDEX(Products!$H$5:$H$204,K169)))</f>
        <v/>
      </c>
      <c r="P169" s="11">
        <f>IF(A169="","",J169-M169-N169-O169)</f>
        <v/>
      </c>
    </row>
    <row r="170">
      <c r="A170">
        <f>IFERROR(INDEX('Shopify Import'!$A:$CZ,170,Settings!$E$20)&amp;"","")</f>
        <v/>
      </c>
      <c r="B170">
        <f>IFERROR(INDEX('Shopify Import'!$A:$CZ,170,Settings!$E$21)&amp;"","")</f>
        <v/>
      </c>
      <c r="C170">
        <f>IFERROR(INDEX('Shopify Import'!$A:$CZ,170,Settings!$E$22)&amp;"","")</f>
        <v/>
      </c>
      <c r="D170">
        <f>IF(A170="","",IFERROR(VALUE(SUBSTITUTE(SUBSTITUTE(INDEX('Shopify Import'!$A:$CZ,170,Settings!$E$23)&amp;"","$",""),",","")),0))</f>
        <v/>
      </c>
      <c r="E170" s="11">
        <f>IF(A170="","",IFERROR(VALUE(SUBSTITUTE(SUBSTITUTE(INDEX('Shopify Import'!$A:$CZ,170,Settings!$E$24)&amp;"","$",""),",","")),0))</f>
        <v/>
      </c>
      <c r="F170" s="11">
        <f>IF(A170="","",D170*E170)</f>
        <v/>
      </c>
      <c r="G170">
        <f>IF(A170="","",IF(C170="",1,COUNTIF($C$2:$C$1501,C170)))</f>
        <v/>
      </c>
      <c r="H170" s="11">
        <f>IF(A170="","",IFERROR(VALUE(SUBSTITUTE(SUBSTITUTE(INDEX('Shopify Import'!$A:$CZ,170,Settings!$E$25)&amp;"","$",""),",","")),0)/IF(Settings!$D$27="Yes",G170,1))</f>
        <v/>
      </c>
      <c r="I170" s="11">
        <f>IF(A170="","",IFERROR(VALUE(SUBSTITUTE(SUBSTITUTE(INDEX('Shopify Import'!$A:$CZ,170,Settings!$E$26)&amp;"","$",""),",","")),0)/IF(Settings!$D$27="Yes",G170,1))</f>
        <v/>
      </c>
      <c r="J170" s="11">
        <f>IF(A170="","",F170+H170-I170)</f>
        <v/>
      </c>
      <c r="K170">
        <f>IF(A170="","",IFERROR(IF(B170="",NA(),MATCH(B170,Products!$B$5:$B$204,0)),IFERROR(MATCH(A170,Products!$A$5:$A$204,0),"")))</f>
        <v/>
      </c>
      <c r="L170">
        <f>IF(A170="","",IF(K170="","⚠ not in Products",INDEX(Products!$A$5:$A$204,K170)))</f>
        <v/>
      </c>
      <c r="M170" s="11">
        <f>IF(A170="","",J170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170+IFERROR(INDEX(Settings!$D$5:$D$9,MATCH("Shopify",Settings!$A$5:$A$9,0)),0)*D170)</f>
        <v/>
      </c>
      <c r="N170" s="11">
        <f>IF(A170="","",IF(K170="",0,D170*INDEX(Products!$I$5:$I$204,K170)))</f>
        <v/>
      </c>
      <c r="O170" s="11">
        <f>IF(A170="","",IF(K170="",0,J170*INDEX(Products!$H$5:$H$204,K170)))</f>
        <v/>
      </c>
      <c r="P170" s="11">
        <f>IF(A170="","",J170-M170-N170-O170)</f>
        <v/>
      </c>
    </row>
    <row r="171">
      <c r="A171">
        <f>IFERROR(INDEX('Shopify Import'!$A:$CZ,171,Settings!$E$20)&amp;"","")</f>
        <v/>
      </c>
      <c r="B171">
        <f>IFERROR(INDEX('Shopify Import'!$A:$CZ,171,Settings!$E$21)&amp;"","")</f>
        <v/>
      </c>
      <c r="C171">
        <f>IFERROR(INDEX('Shopify Import'!$A:$CZ,171,Settings!$E$22)&amp;"","")</f>
        <v/>
      </c>
      <c r="D171">
        <f>IF(A171="","",IFERROR(VALUE(SUBSTITUTE(SUBSTITUTE(INDEX('Shopify Import'!$A:$CZ,171,Settings!$E$23)&amp;"","$",""),",","")),0))</f>
        <v/>
      </c>
      <c r="E171" s="11">
        <f>IF(A171="","",IFERROR(VALUE(SUBSTITUTE(SUBSTITUTE(INDEX('Shopify Import'!$A:$CZ,171,Settings!$E$24)&amp;"","$",""),",","")),0))</f>
        <v/>
      </c>
      <c r="F171" s="11">
        <f>IF(A171="","",D171*E171)</f>
        <v/>
      </c>
      <c r="G171">
        <f>IF(A171="","",IF(C171="",1,COUNTIF($C$2:$C$1501,C171)))</f>
        <v/>
      </c>
      <c r="H171" s="11">
        <f>IF(A171="","",IFERROR(VALUE(SUBSTITUTE(SUBSTITUTE(INDEX('Shopify Import'!$A:$CZ,171,Settings!$E$25)&amp;"","$",""),",","")),0)/IF(Settings!$D$27="Yes",G171,1))</f>
        <v/>
      </c>
      <c r="I171" s="11">
        <f>IF(A171="","",IFERROR(VALUE(SUBSTITUTE(SUBSTITUTE(INDEX('Shopify Import'!$A:$CZ,171,Settings!$E$26)&amp;"","$",""),",","")),0)/IF(Settings!$D$27="Yes",G171,1))</f>
        <v/>
      </c>
      <c r="J171" s="11">
        <f>IF(A171="","",F171+H171-I171)</f>
        <v/>
      </c>
      <c r="K171">
        <f>IF(A171="","",IFERROR(IF(B171="",NA(),MATCH(B171,Products!$B$5:$B$204,0)),IFERROR(MATCH(A171,Products!$A$5:$A$204,0),"")))</f>
        <v/>
      </c>
      <c r="L171">
        <f>IF(A171="","",IF(K171="","⚠ not in Products",INDEX(Products!$A$5:$A$204,K171)))</f>
        <v/>
      </c>
      <c r="M171" s="11">
        <f>IF(A171="","",J171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171+IFERROR(INDEX(Settings!$D$5:$D$9,MATCH("Shopify",Settings!$A$5:$A$9,0)),0)*D171)</f>
        <v/>
      </c>
      <c r="N171" s="11">
        <f>IF(A171="","",IF(K171="",0,D171*INDEX(Products!$I$5:$I$204,K171)))</f>
        <v/>
      </c>
      <c r="O171" s="11">
        <f>IF(A171="","",IF(K171="",0,J171*INDEX(Products!$H$5:$H$204,K171)))</f>
        <v/>
      </c>
      <c r="P171" s="11">
        <f>IF(A171="","",J171-M171-N171-O171)</f>
        <v/>
      </c>
    </row>
    <row r="172">
      <c r="A172">
        <f>IFERROR(INDEX('Shopify Import'!$A:$CZ,172,Settings!$E$20)&amp;"","")</f>
        <v/>
      </c>
      <c r="B172">
        <f>IFERROR(INDEX('Shopify Import'!$A:$CZ,172,Settings!$E$21)&amp;"","")</f>
        <v/>
      </c>
      <c r="C172">
        <f>IFERROR(INDEX('Shopify Import'!$A:$CZ,172,Settings!$E$22)&amp;"","")</f>
        <v/>
      </c>
      <c r="D172">
        <f>IF(A172="","",IFERROR(VALUE(SUBSTITUTE(SUBSTITUTE(INDEX('Shopify Import'!$A:$CZ,172,Settings!$E$23)&amp;"","$",""),",","")),0))</f>
        <v/>
      </c>
      <c r="E172" s="11">
        <f>IF(A172="","",IFERROR(VALUE(SUBSTITUTE(SUBSTITUTE(INDEX('Shopify Import'!$A:$CZ,172,Settings!$E$24)&amp;"","$",""),",","")),0))</f>
        <v/>
      </c>
      <c r="F172" s="11">
        <f>IF(A172="","",D172*E172)</f>
        <v/>
      </c>
      <c r="G172">
        <f>IF(A172="","",IF(C172="",1,COUNTIF($C$2:$C$1501,C172)))</f>
        <v/>
      </c>
      <c r="H172" s="11">
        <f>IF(A172="","",IFERROR(VALUE(SUBSTITUTE(SUBSTITUTE(INDEX('Shopify Import'!$A:$CZ,172,Settings!$E$25)&amp;"","$",""),",","")),0)/IF(Settings!$D$27="Yes",G172,1))</f>
        <v/>
      </c>
      <c r="I172" s="11">
        <f>IF(A172="","",IFERROR(VALUE(SUBSTITUTE(SUBSTITUTE(INDEX('Shopify Import'!$A:$CZ,172,Settings!$E$26)&amp;"","$",""),",","")),0)/IF(Settings!$D$27="Yes",G172,1))</f>
        <v/>
      </c>
      <c r="J172" s="11">
        <f>IF(A172="","",F172+H172-I172)</f>
        <v/>
      </c>
      <c r="K172">
        <f>IF(A172="","",IFERROR(IF(B172="",NA(),MATCH(B172,Products!$B$5:$B$204,0)),IFERROR(MATCH(A172,Products!$A$5:$A$204,0),"")))</f>
        <v/>
      </c>
      <c r="L172">
        <f>IF(A172="","",IF(K172="","⚠ not in Products",INDEX(Products!$A$5:$A$204,K172)))</f>
        <v/>
      </c>
      <c r="M172" s="11">
        <f>IF(A172="","",J172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172+IFERROR(INDEX(Settings!$D$5:$D$9,MATCH("Shopify",Settings!$A$5:$A$9,0)),0)*D172)</f>
        <v/>
      </c>
      <c r="N172" s="11">
        <f>IF(A172="","",IF(K172="",0,D172*INDEX(Products!$I$5:$I$204,K172)))</f>
        <v/>
      </c>
      <c r="O172" s="11">
        <f>IF(A172="","",IF(K172="",0,J172*INDEX(Products!$H$5:$H$204,K172)))</f>
        <v/>
      </c>
      <c r="P172" s="11">
        <f>IF(A172="","",J172-M172-N172-O172)</f>
        <v/>
      </c>
    </row>
    <row r="173">
      <c r="A173">
        <f>IFERROR(INDEX('Shopify Import'!$A:$CZ,173,Settings!$E$20)&amp;"","")</f>
        <v/>
      </c>
      <c r="B173">
        <f>IFERROR(INDEX('Shopify Import'!$A:$CZ,173,Settings!$E$21)&amp;"","")</f>
        <v/>
      </c>
      <c r="C173">
        <f>IFERROR(INDEX('Shopify Import'!$A:$CZ,173,Settings!$E$22)&amp;"","")</f>
        <v/>
      </c>
      <c r="D173">
        <f>IF(A173="","",IFERROR(VALUE(SUBSTITUTE(SUBSTITUTE(INDEX('Shopify Import'!$A:$CZ,173,Settings!$E$23)&amp;"","$",""),",","")),0))</f>
        <v/>
      </c>
      <c r="E173" s="11">
        <f>IF(A173="","",IFERROR(VALUE(SUBSTITUTE(SUBSTITUTE(INDEX('Shopify Import'!$A:$CZ,173,Settings!$E$24)&amp;"","$",""),",","")),0))</f>
        <v/>
      </c>
      <c r="F173" s="11">
        <f>IF(A173="","",D173*E173)</f>
        <v/>
      </c>
      <c r="G173">
        <f>IF(A173="","",IF(C173="",1,COUNTIF($C$2:$C$1501,C173)))</f>
        <v/>
      </c>
      <c r="H173" s="11">
        <f>IF(A173="","",IFERROR(VALUE(SUBSTITUTE(SUBSTITUTE(INDEX('Shopify Import'!$A:$CZ,173,Settings!$E$25)&amp;"","$",""),",","")),0)/IF(Settings!$D$27="Yes",G173,1))</f>
        <v/>
      </c>
      <c r="I173" s="11">
        <f>IF(A173="","",IFERROR(VALUE(SUBSTITUTE(SUBSTITUTE(INDEX('Shopify Import'!$A:$CZ,173,Settings!$E$26)&amp;"","$",""),",","")),0)/IF(Settings!$D$27="Yes",G173,1))</f>
        <v/>
      </c>
      <c r="J173" s="11">
        <f>IF(A173="","",F173+H173-I173)</f>
        <v/>
      </c>
      <c r="K173">
        <f>IF(A173="","",IFERROR(IF(B173="",NA(),MATCH(B173,Products!$B$5:$B$204,0)),IFERROR(MATCH(A173,Products!$A$5:$A$204,0),"")))</f>
        <v/>
      </c>
      <c r="L173">
        <f>IF(A173="","",IF(K173="","⚠ not in Products",INDEX(Products!$A$5:$A$204,K173)))</f>
        <v/>
      </c>
      <c r="M173" s="11">
        <f>IF(A173="","",J173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173+IFERROR(INDEX(Settings!$D$5:$D$9,MATCH("Shopify",Settings!$A$5:$A$9,0)),0)*D173)</f>
        <v/>
      </c>
      <c r="N173" s="11">
        <f>IF(A173="","",IF(K173="",0,D173*INDEX(Products!$I$5:$I$204,K173)))</f>
        <v/>
      </c>
      <c r="O173" s="11">
        <f>IF(A173="","",IF(K173="",0,J173*INDEX(Products!$H$5:$H$204,K173)))</f>
        <v/>
      </c>
      <c r="P173" s="11">
        <f>IF(A173="","",J173-M173-N173-O173)</f>
        <v/>
      </c>
    </row>
    <row r="174">
      <c r="A174">
        <f>IFERROR(INDEX('Shopify Import'!$A:$CZ,174,Settings!$E$20)&amp;"","")</f>
        <v/>
      </c>
      <c r="B174">
        <f>IFERROR(INDEX('Shopify Import'!$A:$CZ,174,Settings!$E$21)&amp;"","")</f>
        <v/>
      </c>
      <c r="C174">
        <f>IFERROR(INDEX('Shopify Import'!$A:$CZ,174,Settings!$E$22)&amp;"","")</f>
        <v/>
      </c>
      <c r="D174">
        <f>IF(A174="","",IFERROR(VALUE(SUBSTITUTE(SUBSTITUTE(INDEX('Shopify Import'!$A:$CZ,174,Settings!$E$23)&amp;"","$",""),",","")),0))</f>
        <v/>
      </c>
      <c r="E174" s="11">
        <f>IF(A174="","",IFERROR(VALUE(SUBSTITUTE(SUBSTITUTE(INDEX('Shopify Import'!$A:$CZ,174,Settings!$E$24)&amp;"","$",""),",","")),0))</f>
        <v/>
      </c>
      <c r="F174" s="11">
        <f>IF(A174="","",D174*E174)</f>
        <v/>
      </c>
      <c r="G174">
        <f>IF(A174="","",IF(C174="",1,COUNTIF($C$2:$C$1501,C174)))</f>
        <v/>
      </c>
      <c r="H174" s="11">
        <f>IF(A174="","",IFERROR(VALUE(SUBSTITUTE(SUBSTITUTE(INDEX('Shopify Import'!$A:$CZ,174,Settings!$E$25)&amp;"","$",""),",","")),0)/IF(Settings!$D$27="Yes",G174,1))</f>
        <v/>
      </c>
      <c r="I174" s="11">
        <f>IF(A174="","",IFERROR(VALUE(SUBSTITUTE(SUBSTITUTE(INDEX('Shopify Import'!$A:$CZ,174,Settings!$E$26)&amp;"","$",""),",","")),0)/IF(Settings!$D$27="Yes",G174,1))</f>
        <v/>
      </c>
      <c r="J174" s="11">
        <f>IF(A174="","",F174+H174-I174)</f>
        <v/>
      </c>
      <c r="K174">
        <f>IF(A174="","",IFERROR(IF(B174="",NA(),MATCH(B174,Products!$B$5:$B$204,0)),IFERROR(MATCH(A174,Products!$A$5:$A$204,0),"")))</f>
        <v/>
      </c>
      <c r="L174">
        <f>IF(A174="","",IF(K174="","⚠ not in Products",INDEX(Products!$A$5:$A$204,K174)))</f>
        <v/>
      </c>
      <c r="M174" s="11">
        <f>IF(A174="","",J174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174+IFERROR(INDEX(Settings!$D$5:$D$9,MATCH("Shopify",Settings!$A$5:$A$9,0)),0)*D174)</f>
        <v/>
      </c>
      <c r="N174" s="11">
        <f>IF(A174="","",IF(K174="",0,D174*INDEX(Products!$I$5:$I$204,K174)))</f>
        <v/>
      </c>
      <c r="O174" s="11">
        <f>IF(A174="","",IF(K174="",0,J174*INDEX(Products!$H$5:$H$204,K174)))</f>
        <v/>
      </c>
      <c r="P174" s="11">
        <f>IF(A174="","",J174-M174-N174-O174)</f>
        <v/>
      </c>
    </row>
    <row r="175">
      <c r="A175">
        <f>IFERROR(INDEX('Shopify Import'!$A:$CZ,175,Settings!$E$20)&amp;"","")</f>
        <v/>
      </c>
      <c r="B175">
        <f>IFERROR(INDEX('Shopify Import'!$A:$CZ,175,Settings!$E$21)&amp;"","")</f>
        <v/>
      </c>
      <c r="C175">
        <f>IFERROR(INDEX('Shopify Import'!$A:$CZ,175,Settings!$E$22)&amp;"","")</f>
        <v/>
      </c>
      <c r="D175">
        <f>IF(A175="","",IFERROR(VALUE(SUBSTITUTE(SUBSTITUTE(INDEX('Shopify Import'!$A:$CZ,175,Settings!$E$23)&amp;"","$",""),",","")),0))</f>
        <v/>
      </c>
      <c r="E175" s="11">
        <f>IF(A175="","",IFERROR(VALUE(SUBSTITUTE(SUBSTITUTE(INDEX('Shopify Import'!$A:$CZ,175,Settings!$E$24)&amp;"","$",""),",","")),0))</f>
        <v/>
      </c>
      <c r="F175" s="11">
        <f>IF(A175="","",D175*E175)</f>
        <v/>
      </c>
      <c r="G175">
        <f>IF(A175="","",IF(C175="",1,COUNTIF($C$2:$C$1501,C175)))</f>
        <v/>
      </c>
      <c r="H175" s="11">
        <f>IF(A175="","",IFERROR(VALUE(SUBSTITUTE(SUBSTITUTE(INDEX('Shopify Import'!$A:$CZ,175,Settings!$E$25)&amp;"","$",""),",","")),0)/IF(Settings!$D$27="Yes",G175,1))</f>
        <v/>
      </c>
      <c r="I175" s="11">
        <f>IF(A175="","",IFERROR(VALUE(SUBSTITUTE(SUBSTITUTE(INDEX('Shopify Import'!$A:$CZ,175,Settings!$E$26)&amp;"","$",""),",","")),0)/IF(Settings!$D$27="Yes",G175,1))</f>
        <v/>
      </c>
      <c r="J175" s="11">
        <f>IF(A175="","",F175+H175-I175)</f>
        <v/>
      </c>
      <c r="K175">
        <f>IF(A175="","",IFERROR(IF(B175="",NA(),MATCH(B175,Products!$B$5:$B$204,0)),IFERROR(MATCH(A175,Products!$A$5:$A$204,0),"")))</f>
        <v/>
      </c>
      <c r="L175">
        <f>IF(A175="","",IF(K175="","⚠ not in Products",INDEX(Products!$A$5:$A$204,K175)))</f>
        <v/>
      </c>
      <c r="M175" s="11">
        <f>IF(A175="","",J175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175+IFERROR(INDEX(Settings!$D$5:$D$9,MATCH("Shopify",Settings!$A$5:$A$9,0)),0)*D175)</f>
        <v/>
      </c>
      <c r="N175" s="11">
        <f>IF(A175="","",IF(K175="",0,D175*INDEX(Products!$I$5:$I$204,K175)))</f>
        <v/>
      </c>
      <c r="O175" s="11">
        <f>IF(A175="","",IF(K175="",0,J175*INDEX(Products!$H$5:$H$204,K175)))</f>
        <v/>
      </c>
      <c r="P175" s="11">
        <f>IF(A175="","",J175-M175-N175-O175)</f>
        <v/>
      </c>
    </row>
    <row r="176">
      <c r="A176">
        <f>IFERROR(INDEX('Shopify Import'!$A:$CZ,176,Settings!$E$20)&amp;"","")</f>
        <v/>
      </c>
      <c r="B176">
        <f>IFERROR(INDEX('Shopify Import'!$A:$CZ,176,Settings!$E$21)&amp;"","")</f>
        <v/>
      </c>
      <c r="C176">
        <f>IFERROR(INDEX('Shopify Import'!$A:$CZ,176,Settings!$E$22)&amp;"","")</f>
        <v/>
      </c>
      <c r="D176">
        <f>IF(A176="","",IFERROR(VALUE(SUBSTITUTE(SUBSTITUTE(INDEX('Shopify Import'!$A:$CZ,176,Settings!$E$23)&amp;"","$",""),",","")),0))</f>
        <v/>
      </c>
      <c r="E176" s="11">
        <f>IF(A176="","",IFERROR(VALUE(SUBSTITUTE(SUBSTITUTE(INDEX('Shopify Import'!$A:$CZ,176,Settings!$E$24)&amp;"","$",""),",","")),0))</f>
        <v/>
      </c>
      <c r="F176" s="11">
        <f>IF(A176="","",D176*E176)</f>
        <v/>
      </c>
      <c r="G176">
        <f>IF(A176="","",IF(C176="",1,COUNTIF($C$2:$C$1501,C176)))</f>
        <v/>
      </c>
      <c r="H176" s="11">
        <f>IF(A176="","",IFERROR(VALUE(SUBSTITUTE(SUBSTITUTE(INDEX('Shopify Import'!$A:$CZ,176,Settings!$E$25)&amp;"","$",""),",","")),0)/IF(Settings!$D$27="Yes",G176,1))</f>
        <v/>
      </c>
      <c r="I176" s="11">
        <f>IF(A176="","",IFERROR(VALUE(SUBSTITUTE(SUBSTITUTE(INDEX('Shopify Import'!$A:$CZ,176,Settings!$E$26)&amp;"","$",""),",","")),0)/IF(Settings!$D$27="Yes",G176,1))</f>
        <v/>
      </c>
      <c r="J176" s="11">
        <f>IF(A176="","",F176+H176-I176)</f>
        <v/>
      </c>
      <c r="K176">
        <f>IF(A176="","",IFERROR(IF(B176="",NA(),MATCH(B176,Products!$B$5:$B$204,0)),IFERROR(MATCH(A176,Products!$A$5:$A$204,0),"")))</f>
        <v/>
      </c>
      <c r="L176">
        <f>IF(A176="","",IF(K176="","⚠ not in Products",INDEX(Products!$A$5:$A$204,K176)))</f>
        <v/>
      </c>
      <c r="M176" s="11">
        <f>IF(A176="","",J176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176+IFERROR(INDEX(Settings!$D$5:$D$9,MATCH("Shopify",Settings!$A$5:$A$9,0)),0)*D176)</f>
        <v/>
      </c>
      <c r="N176" s="11">
        <f>IF(A176="","",IF(K176="",0,D176*INDEX(Products!$I$5:$I$204,K176)))</f>
        <v/>
      </c>
      <c r="O176" s="11">
        <f>IF(A176="","",IF(K176="",0,J176*INDEX(Products!$H$5:$H$204,K176)))</f>
        <v/>
      </c>
      <c r="P176" s="11">
        <f>IF(A176="","",J176-M176-N176-O176)</f>
        <v/>
      </c>
    </row>
    <row r="177">
      <c r="A177">
        <f>IFERROR(INDEX('Shopify Import'!$A:$CZ,177,Settings!$E$20)&amp;"","")</f>
        <v/>
      </c>
      <c r="B177">
        <f>IFERROR(INDEX('Shopify Import'!$A:$CZ,177,Settings!$E$21)&amp;"","")</f>
        <v/>
      </c>
      <c r="C177">
        <f>IFERROR(INDEX('Shopify Import'!$A:$CZ,177,Settings!$E$22)&amp;"","")</f>
        <v/>
      </c>
      <c r="D177">
        <f>IF(A177="","",IFERROR(VALUE(SUBSTITUTE(SUBSTITUTE(INDEX('Shopify Import'!$A:$CZ,177,Settings!$E$23)&amp;"","$",""),",","")),0))</f>
        <v/>
      </c>
      <c r="E177" s="11">
        <f>IF(A177="","",IFERROR(VALUE(SUBSTITUTE(SUBSTITUTE(INDEX('Shopify Import'!$A:$CZ,177,Settings!$E$24)&amp;"","$",""),",","")),0))</f>
        <v/>
      </c>
      <c r="F177" s="11">
        <f>IF(A177="","",D177*E177)</f>
        <v/>
      </c>
      <c r="G177">
        <f>IF(A177="","",IF(C177="",1,COUNTIF($C$2:$C$1501,C177)))</f>
        <v/>
      </c>
      <c r="H177" s="11">
        <f>IF(A177="","",IFERROR(VALUE(SUBSTITUTE(SUBSTITUTE(INDEX('Shopify Import'!$A:$CZ,177,Settings!$E$25)&amp;"","$",""),",","")),0)/IF(Settings!$D$27="Yes",G177,1))</f>
        <v/>
      </c>
      <c r="I177" s="11">
        <f>IF(A177="","",IFERROR(VALUE(SUBSTITUTE(SUBSTITUTE(INDEX('Shopify Import'!$A:$CZ,177,Settings!$E$26)&amp;"","$",""),",","")),0)/IF(Settings!$D$27="Yes",G177,1))</f>
        <v/>
      </c>
      <c r="J177" s="11">
        <f>IF(A177="","",F177+H177-I177)</f>
        <v/>
      </c>
      <c r="K177">
        <f>IF(A177="","",IFERROR(IF(B177="",NA(),MATCH(B177,Products!$B$5:$B$204,0)),IFERROR(MATCH(A177,Products!$A$5:$A$204,0),"")))</f>
        <v/>
      </c>
      <c r="L177">
        <f>IF(A177="","",IF(K177="","⚠ not in Products",INDEX(Products!$A$5:$A$204,K177)))</f>
        <v/>
      </c>
      <c r="M177" s="11">
        <f>IF(A177="","",J177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177+IFERROR(INDEX(Settings!$D$5:$D$9,MATCH("Shopify",Settings!$A$5:$A$9,0)),0)*D177)</f>
        <v/>
      </c>
      <c r="N177" s="11">
        <f>IF(A177="","",IF(K177="",0,D177*INDEX(Products!$I$5:$I$204,K177)))</f>
        <v/>
      </c>
      <c r="O177" s="11">
        <f>IF(A177="","",IF(K177="",0,J177*INDEX(Products!$H$5:$H$204,K177)))</f>
        <v/>
      </c>
      <c r="P177" s="11">
        <f>IF(A177="","",J177-M177-N177-O177)</f>
        <v/>
      </c>
    </row>
    <row r="178">
      <c r="A178">
        <f>IFERROR(INDEX('Shopify Import'!$A:$CZ,178,Settings!$E$20)&amp;"","")</f>
        <v/>
      </c>
      <c r="B178">
        <f>IFERROR(INDEX('Shopify Import'!$A:$CZ,178,Settings!$E$21)&amp;"","")</f>
        <v/>
      </c>
      <c r="C178">
        <f>IFERROR(INDEX('Shopify Import'!$A:$CZ,178,Settings!$E$22)&amp;"","")</f>
        <v/>
      </c>
      <c r="D178">
        <f>IF(A178="","",IFERROR(VALUE(SUBSTITUTE(SUBSTITUTE(INDEX('Shopify Import'!$A:$CZ,178,Settings!$E$23)&amp;"","$",""),",","")),0))</f>
        <v/>
      </c>
      <c r="E178" s="11">
        <f>IF(A178="","",IFERROR(VALUE(SUBSTITUTE(SUBSTITUTE(INDEX('Shopify Import'!$A:$CZ,178,Settings!$E$24)&amp;"","$",""),",","")),0))</f>
        <v/>
      </c>
      <c r="F178" s="11">
        <f>IF(A178="","",D178*E178)</f>
        <v/>
      </c>
      <c r="G178">
        <f>IF(A178="","",IF(C178="",1,COUNTIF($C$2:$C$1501,C178)))</f>
        <v/>
      </c>
      <c r="H178" s="11">
        <f>IF(A178="","",IFERROR(VALUE(SUBSTITUTE(SUBSTITUTE(INDEX('Shopify Import'!$A:$CZ,178,Settings!$E$25)&amp;"","$",""),",","")),0)/IF(Settings!$D$27="Yes",G178,1))</f>
        <v/>
      </c>
      <c r="I178" s="11">
        <f>IF(A178="","",IFERROR(VALUE(SUBSTITUTE(SUBSTITUTE(INDEX('Shopify Import'!$A:$CZ,178,Settings!$E$26)&amp;"","$",""),",","")),0)/IF(Settings!$D$27="Yes",G178,1))</f>
        <v/>
      </c>
      <c r="J178" s="11">
        <f>IF(A178="","",F178+H178-I178)</f>
        <v/>
      </c>
      <c r="K178">
        <f>IF(A178="","",IFERROR(IF(B178="",NA(),MATCH(B178,Products!$B$5:$B$204,0)),IFERROR(MATCH(A178,Products!$A$5:$A$204,0),"")))</f>
        <v/>
      </c>
      <c r="L178">
        <f>IF(A178="","",IF(K178="","⚠ not in Products",INDEX(Products!$A$5:$A$204,K178)))</f>
        <v/>
      </c>
      <c r="M178" s="11">
        <f>IF(A178="","",J178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178+IFERROR(INDEX(Settings!$D$5:$D$9,MATCH("Shopify",Settings!$A$5:$A$9,0)),0)*D178)</f>
        <v/>
      </c>
      <c r="N178" s="11">
        <f>IF(A178="","",IF(K178="",0,D178*INDEX(Products!$I$5:$I$204,K178)))</f>
        <v/>
      </c>
      <c r="O178" s="11">
        <f>IF(A178="","",IF(K178="",0,J178*INDEX(Products!$H$5:$H$204,K178)))</f>
        <v/>
      </c>
      <c r="P178" s="11">
        <f>IF(A178="","",J178-M178-N178-O178)</f>
        <v/>
      </c>
    </row>
    <row r="179">
      <c r="A179">
        <f>IFERROR(INDEX('Shopify Import'!$A:$CZ,179,Settings!$E$20)&amp;"","")</f>
        <v/>
      </c>
      <c r="B179">
        <f>IFERROR(INDEX('Shopify Import'!$A:$CZ,179,Settings!$E$21)&amp;"","")</f>
        <v/>
      </c>
      <c r="C179">
        <f>IFERROR(INDEX('Shopify Import'!$A:$CZ,179,Settings!$E$22)&amp;"","")</f>
        <v/>
      </c>
      <c r="D179">
        <f>IF(A179="","",IFERROR(VALUE(SUBSTITUTE(SUBSTITUTE(INDEX('Shopify Import'!$A:$CZ,179,Settings!$E$23)&amp;"","$",""),",","")),0))</f>
        <v/>
      </c>
      <c r="E179" s="11">
        <f>IF(A179="","",IFERROR(VALUE(SUBSTITUTE(SUBSTITUTE(INDEX('Shopify Import'!$A:$CZ,179,Settings!$E$24)&amp;"","$",""),",","")),0))</f>
        <v/>
      </c>
      <c r="F179" s="11">
        <f>IF(A179="","",D179*E179)</f>
        <v/>
      </c>
      <c r="G179">
        <f>IF(A179="","",IF(C179="",1,COUNTIF($C$2:$C$1501,C179)))</f>
        <v/>
      </c>
      <c r="H179" s="11">
        <f>IF(A179="","",IFERROR(VALUE(SUBSTITUTE(SUBSTITUTE(INDEX('Shopify Import'!$A:$CZ,179,Settings!$E$25)&amp;"","$",""),",","")),0)/IF(Settings!$D$27="Yes",G179,1))</f>
        <v/>
      </c>
      <c r="I179" s="11">
        <f>IF(A179="","",IFERROR(VALUE(SUBSTITUTE(SUBSTITUTE(INDEX('Shopify Import'!$A:$CZ,179,Settings!$E$26)&amp;"","$",""),",","")),0)/IF(Settings!$D$27="Yes",G179,1))</f>
        <v/>
      </c>
      <c r="J179" s="11">
        <f>IF(A179="","",F179+H179-I179)</f>
        <v/>
      </c>
      <c r="K179">
        <f>IF(A179="","",IFERROR(IF(B179="",NA(),MATCH(B179,Products!$B$5:$B$204,0)),IFERROR(MATCH(A179,Products!$A$5:$A$204,0),"")))</f>
        <v/>
      </c>
      <c r="L179">
        <f>IF(A179="","",IF(K179="","⚠ not in Products",INDEX(Products!$A$5:$A$204,K179)))</f>
        <v/>
      </c>
      <c r="M179" s="11">
        <f>IF(A179="","",J179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179+IFERROR(INDEX(Settings!$D$5:$D$9,MATCH("Shopify",Settings!$A$5:$A$9,0)),0)*D179)</f>
        <v/>
      </c>
      <c r="N179" s="11">
        <f>IF(A179="","",IF(K179="",0,D179*INDEX(Products!$I$5:$I$204,K179)))</f>
        <v/>
      </c>
      <c r="O179" s="11">
        <f>IF(A179="","",IF(K179="",0,J179*INDEX(Products!$H$5:$H$204,K179)))</f>
        <v/>
      </c>
      <c r="P179" s="11">
        <f>IF(A179="","",J179-M179-N179-O179)</f>
        <v/>
      </c>
    </row>
    <row r="180">
      <c r="A180">
        <f>IFERROR(INDEX('Shopify Import'!$A:$CZ,180,Settings!$E$20)&amp;"","")</f>
        <v/>
      </c>
      <c r="B180">
        <f>IFERROR(INDEX('Shopify Import'!$A:$CZ,180,Settings!$E$21)&amp;"","")</f>
        <v/>
      </c>
      <c r="C180">
        <f>IFERROR(INDEX('Shopify Import'!$A:$CZ,180,Settings!$E$22)&amp;"","")</f>
        <v/>
      </c>
      <c r="D180">
        <f>IF(A180="","",IFERROR(VALUE(SUBSTITUTE(SUBSTITUTE(INDEX('Shopify Import'!$A:$CZ,180,Settings!$E$23)&amp;"","$",""),",","")),0))</f>
        <v/>
      </c>
      <c r="E180" s="11">
        <f>IF(A180="","",IFERROR(VALUE(SUBSTITUTE(SUBSTITUTE(INDEX('Shopify Import'!$A:$CZ,180,Settings!$E$24)&amp;"","$",""),",","")),0))</f>
        <v/>
      </c>
      <c r="F180" s="11">
        <f>IF(A180="","",D180*E180)</f>
        <v/>
      </c>
      <c r="G180">
        <f>IF(A180="","",IF(C180="",1,COUNTIF($C$2:$C$1501,C180)))</f>
        <v/>
      </c>
      <c r="H180" s="11">
        <f>IF(A180="","",IFERROR(VALUE(SUBSTITUTE(SUBSTITUTE(INDEX('Shopify Import'!$A:$CZ,180,Settings!$E$25)&amp;"","$",""),",","")),0)/IF(Settings!$D$27="Yes",G180,1))</f>
        <v/>
      </c>
      <c r="I180" s="11">
        <f>IF(A180="","",IFERROR(VALUE(SUBSTITUTE(SUBSTITUTE(INDEX('Shopify Import'!$A:$CZ,180,Settings!$E$26)&amp;"","$",""),",","")),0)/IF(Settings!$D$27="Yes",G180,1))</f>
        <v/>
      </c>
      <c r="J180" s="11">
        <f>IF(A180="","",F180+H180-I180)</f>
        <v/>
      </c>
      <c r="K180">
        <f>IF(A180="","",IFERROR(IF(B180="",NA(),MATCH(B180,Products!$B$5:$B$204,0)),IFERROR(MATCH(A180,Products!$A$5:$A$204,0),"")))</f>
        <v/>
      </c>
      <c r="L180">
        <f>IF(A180="","",IF(K180="","⚠ not in Products",INDEX(Products!$A$5:$A$204,K180)))</f>
        <v/>
      </c>
      <c r="M180" s="11">
        <f>IF(A180="","",J180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180+IFERROR(INDEX(Settings!$D$5:$D$9,MATCH("Shopify",Settings!$A$5:$A$9,0)),0)*D180)</f>
        <v/>
      </c>
      <c r="N180" s="11">
        <f>IF(A180="","",IF(K180="",0,D180*INDEX(Products!$I$5:$I$204,K180)))</f>
        <v/>
      </c>
      <c r="O180" s="11">
        <f>IF(A180="","",IF(K180="",0,J180*INDEX(Products!$H$5:$H$204,K180)))</f>
        <v/>
      </c>
      <c r="P180" s="11">
        <f>IF(A180="","",J180-M180-N180-O180)</f>
        <v/>
      </c>
    </row>
    <row r="181">
      <c r="A181">
        <f>IFERROR(INDEX('Shopify Import'!$A:$CZ,181,Settings!$E$20)&amp;"","")</f>
        <v/>
      </c>
      <c r="B181">
        <f>IFERROR(INDEX('Shopify Import'!$A:$CZ,181,Settings!$E$21)&amp;"","")</f>
        <v/>
      </c>
      <c r="C181">
        <f>IFERROR(INDEX('Shopify Import'!$A:$CZ,181,Settings!$E$22)&amp;"","")</f>
        <v/>
      </c>
      <c r="D181">
        <f>IF(A181="","",IFERROR(VALUE(SUBSTITUTE(SUBSTITUTE(INDEX('Shopify Import'!$A:$CZ,181,Settings!$E$23)&amp;"","$",""),",","")),0))</f>
        <v/>
      </c>
      <c r="E181" s="11">
        <f>IF(A181="","",IFERROR(VALUE(SUBSTITUTE(SUBSTITUTE(INDEX('Shopify Import'!$A:$CZ,181,Settings!$E$24)&amp;"","$",""),",","")),0))</f>
        <v/>
      </c>
      <c r="F181" s="11">
        <f>IF(A181="","",D181*E181)</f>
        <v/>
      </c>
      <c r="G181">
        <f>IF(A181="","",IF(C181="",1,COUNTIF($C$2:$C$1501,C181)))</f>
        <v/>
      </c>
      <c r="H181" s="11">
        <f>IF(A181="","",IFERROR(VALUE(SUBSTITUTE(SUBSTITUTE(INDEX('Shopify Import'!$A:$CZ,181,Settings!$E$25)&amp;"","$",""),",","")),0)/IF(Settings!$D$27="Yes",G181,1))</f>
        <v/>
      </c>
      <c r="I181" s="11">
        <f>IF(A181="","",IFERROR(VALUE(SUBSTITUTE(SUBSTITUTE(INDEX('Shopify Import'!$A:$CZ,181,Settings!$E$26)&amp;"","$",""),",","")),0)/IF(Settings!$D$27="Yes",G181,1))</f>
        <v/>
      </c>
      <c r="J181" s="11">
        <f>IF(A181="","",F181+H181-I181)</f>
        <v/>
      </c>
      <c r="K181">
        <f>IF(A181="","",IFERROR(IF(B181="",NA(),MATCH(B181,Products!$B$5:$B$204,0)),IFERROR(MATCH(A181,Products!$A$5:$A$204,0),"")))</f>
        <v/>
      </c>
      <c r="L181">
        <f>IF(A181="","",IF(K181="","⚠ not in Products",INDEX(Products!$A$5:$A$204,K181)))</f>
        <v/>
      </c>
      <c r="M181" s="11">
        <f>IF(A181="","",J181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181+IFERROR(INDEX(Settings!$D$5:$D$9,MATCH("Shopify",Settings!$A$5:$A$9,0)),0)*D181)</f>
        <v/>
      </c>
      <c r="N181" s="11">
        <f>IF(A181="","",IF(K181="",0,D181*INDEX(Products!$I$5:$I$204,K181)))</f>
        <v/>
      </c>
      <c r="O181" s="11">
        <f>IF(A181="","",IF(K181="",0,J181*INDEX(Products!$H$5:$H$204,K181)))</f>
        <v/>
      </c>
      <c r="P181" s="11">
        <f>IF(A181="","",J181-M181-N181-O181)</f>
        <v/>
      </c>
    </row>
    <row r="182">
      <c r="A182">
        <f>IFERROR(INDEX('Shopify Import'!$A:$CZ,182,Settings!$E$20)&amp;"","")</f>
        <v/>
      </c>
      <c r="B182">
        <f>IFERROR(INDEX('Shopify Import'!$A:$CZ,182,Settings!$E$21)&amp;"","")</f>
        <v/>
      </c>
      <c r="C182">
        <f>IFERROR(INDEX('Shopify Import'!$A:$CZ,182,Settings!$E$22)&amp;"","")</f>
        <v/>
      </c>
      <c r="D182">
        <f>IF(A182="","",IFERROR(VALUE(SUBSTITUTE(SUBSTITUTE(INDEX('Shopify Import'!$A:$CZ,182,Settings!$E$23)&amp;"","$",""),",","")),0))</f>
        <v/>
      </c>
      <c r="E182" s="11">
        <f>IF(A182="","",IFERROR(VALUE(SUBSTITUTE(SUBSTITUTE(INDEX('Shopify Import'!$A:$CZ,182,Settings!$E$24)&amp;"","$",""),",","")),0))</f>
        <v/>
      </c>
      <c r="F182" s="11">
        <f>IF(A182="","",D182*E182)</f>
        <v/>
      </c>
      <c r="G182">
        <f>IF(A182="","",IF(C182="",1,COUNTIF($C$2:$C$1501,C182)))</f>
        <v/>
      </c>
      <c r="H182" s="11">
        <f>IF(A182="","",IFERROR(VALUE(SUBSTITUTE(SUBSTITUTE(INDEX('Shopify Import'!$A:$CZ,182,Settings!$E$25)&amp;"","$",""),",","")),0)/IF(Settings!$D$27="Yes",G182,1))</f>
        <v/>
      </c>
      <c r="I182" s="11">
        <f>IF(A182="","",IFERROR(VALUE(SUBSTITUTE(SUBSTITUTE(INDEX('Shopify Import'!$A:$CZ,182,Settings!$E$26)&amp;"","$",""),",","")),0)/IF(Settings!$D$27="Yes",G182,1))</f>
        <v/>
      </c>
      <c r="J182" s="11">
        <f>IF(A182="","",F182+H182-I182)</f>
        <v/>
      </c>
      <c r="K182">
        <f>IF(A182="","",IFERROR(IF(B182="",NA(),MATCH(B182,Products!$B$5:$B$204,0)),IFERROR(MATCH(A182,Products!$A$5:$A$204,0),"")))</f>
        <v/>
      </c>
      <c r="L182">
        <f>IF(A182="","",IF(K182="","⚠ not in Products",INDEX(Products!$A$5:$A$204,K182)))</f>
        <v/>
      </c>
      <c r="M182" s="11">
        <f>IF(A182="","",J182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182+IFERROR(INDEX(Settings!$D$5:$D$9,MATCH("Shopify",Settings!$A$5:$A$9,0)),0)*D182)</f>
        <v/>
      </c>
      <c r="N182" s="11">
        <f>IF(A182="","",IF(K182="",0,D182*INDEX(Products!$I$5:$I$204,K182)))</f>
        <v/>
      </c>
      <c r="O182" s="11">
        <f>IF(A182="","",IF(K182="",0,J182*INDEX(Products!$H$5:$H$204,K182)))</f>
        <v/>
      </c>
      <c r="P182" s="11">
        <f>IF(A182="","",J182-M182-N182-O182)</f>
        <v/>
      </c>
    </row>
    <row r="183">
      <c r="A183">
        <f>IFERROR(INDEX('Shopify Import'!$A:$CZ,183,Settings!$E$20)&amp;"","")</f>
        <v/>
      </c>
      <c r="B183">
        <f>IFERROR(INDEX('Shopify Import'!$A:$CZ,183,Settings!$E$21)&amp;"","")</f>
        <v/>
      </c>
      <c r="C183">
        <f>IFERROR(INDEX('Shopify Import'!$A:$CZ,183,Settings!$E$22)&amp;"","")</f>
        <v/>
      </c>
      <c r="D183">
        <f>IF(A183="","",IFERROR(VALUE(SUBSTITUTE(SUBSTITUTE(INDEX('Shopify Import'!$A:$CZ,183,Settings!$E$23)&amp;"","$",""),",","")),0))</f>
        <v/>
      </c>
      <c r="E183" s="11">
        <f>IF(A183="","",IFERROR(VALUE(SUBSTITUTE(SUBSTITUTE(INDEX('Shopify Import'!$A:$CZ,183,Settings!$E$24)&amp;"","$",""),",","")),0))</f>
        <v/>
      </c>
      <c r="F183" s="11">
        <f>IF(A183="","",D183*E183)</f>
        <v/>
      </c>
      <c r="G183">
        <f>IF(A183="","",IF(C183="",1,COUNTIF($C$2:$C$1501,C183)))</f>
        <v/>
      </c>
      <c r="H183" s="11">
        <f>IF(A183="","",IFERROR(VALUE(SUBSTITUTE(SUBSTITUTE(INDEX('Shopify Import'!$A:$CZ,183,Settings!$E$25)&amp;"","$",""),",","")),0)/IF(Settings!$D$27="Yes",G183,1))</f>
        <v/>
      </c>
      <c r="I183" s="11">
        <f>IF(A183="","",IFERROR(VALUE(SUBSTITUTE(SUBSTITUTE(INDEX('Shopify Import'!$A:$CZ,183,Settings!$E$26)&amp;"","$",""),",","")),0)/IF(Settings!$D$27="Yes",G183,1))</f>
        <v/>
      </c>
      <c r="J183" s="11">
        <f>IF(A183="","",F183+H183-I183)</f>
        <v/>
      </c>
      <c r="K183">
        <f>IF(A183="","",IFERROR(IF(B183="",NA(),MATCH(B183,Products!$B$5:$B$204,0)),IFERROR(MATCH(A183,Products!$A$5:$A$204,0),"")))</f>
        <v/>
      </c>
      <c r="L183">
        <f>IF(A183="","",IF(K183="","⚠ not in Products",INDEX(Products!$A$5:$A$204,K183)))</f>
        <v/>
      </c>
      <c r="M183" s="11">
        <f>IF(A183="","",J183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183+IFERROR(INDEX(Settings!$D$5:$D$9,MATCH("Shopify",Settings!$A$5:$A$9,0)),0)*D183)</f>
        <v/>
      </c>
      <c r="N183" s="11">
        <f>IF(A183="","",IF(K183="",0,D183*INDEX(Products!$I$5:$I$204,K183)))</f>
        <v/>
      </c>
      <c r="O183" s="11">
        <f>IF(A183="","",IF(K183="",0,J183*INDEX(Products!$H$5:$H$204,K183)))</f>
        <v/>
      </c>
      <c r="P183" s="11">
        <f>IF(A183="","",J183-M183-N183-O183)</f>
        <v/>
      </c>
    </row>
    <row r="184">
      <c r="A184">
        <f>IFERROR(INDEX('Shopify Import'!$A:$CZ,184,Settings!$E$20)&amp;"","")</f>
        <v/>
      </c>
      <c r="B184">
        <f>IFERROR(INDEX('Shopify Import'!$A:$CZ,184,Settings!$E$21)&amp;"","")</f>
        <v/>
      </c>
      <c r="C184">
        <f>IFERROR(INDEX('Shopify Import'!$A:$CZ,184,Settings!$E$22)&amp;"","")</f>
        <v/>
      </c>
      <c r="D184">
        <f>IF(A184="","",IFERROR(VALUE(SUBSTITUTE(SUBSTITUTE(INDEX('Shopify Import'!$A:$CZ,184,Settings!$E$23)&amp;"","$",""),",","")),0))</f>
        <v/>
      </c>
      <c r="E184" s="11">
        <f>IF(A184="","",IFERROR(VALUE(SUBSTITUTE(SUBSTITUTE(INDEX('Shopify Import'!$A:$CZ,184,Settings!$E$24)&amp;"","$",""),",","")),0))</f>
        <v/>
      </c>
      <c r="F184" s="11">
        <f>IF(A184="","",D184*E184)</f>
        <v/>
      </c>
      <c r="G184">
        <f>IF(A184="","",IF(C184="",1,COUNTIF($C$2:$C$1501,C184)))</f>
        <v/>
      </c>
      <c r="H184" s="11">
        <f>IF(A184="","",IFERROR(VALUE(SUBSTITUTE(SUBSTITUTE(INDEX('Shopify Import'!$A:$CZ,184,Settings!$E$25)&amp;"","$",""),",","")),0)/IF(Settings!$D$27="Yes",G184,1))</f>
        <v/>
      </c>
      <c r="I184" s="11">
        <f>IF(A184="","",IFERROR(VALUE(SUBSTITUTE(SUBSTITUTE(INDEX('Shopify Import'!$A:$CZ,184,Settings!$E$26)&amp;"","$",""),",","")),0)/IF(Settings!$D$27="Yes",G184,1))</f>
        <v/>
      </c>
      <c r="J184" s="11">
        <f>IF(A184="","",F184+H184-I184)</f>
        <v/>
      </c>
      <c r="K184">
        <f>IF(A184="","",IFERROR(IF(B184="",NA(),MATCH(B184,Products!$B$5:$B$204,0)),IFERROR(MATCH(A184,Products!$A$5:$A$204,0),"")))</f>
        <v/>
      </c>
      <c r="L184">
        <f>IF(A184="","",IF(K184="","⚠ not in Products",INDEX(Products!$A$5:$A$204,K184)))</f>
        <v/>
      </c>
      <c r="M184" s="11">
        <f>IF(A184="","",J184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184+IFERROR(INDEX(Settings!$D$5:$D$9,MATCH("Shopify",Settings!$A$5:$A$9,0)),0)*D184)</f>
        <v/>
      </c>
      <c r="N184" s="11">
        <f>IF(A184="","",IF(K184="",0,D184*INDEX(Products!$I$5:$I$204,K184)))</f>
        <v/>
      </c>
      <c r="O184" s="11">
        <f>IF(A184="","",IF(K184="",0,J184*INDEX(Products!$H$5:$H$204,K184)))</f>
        <v/>
      </c>
      <c r="P184" s="11">
        <f>IF(A184="","",J184-M184-N184-O184)</f>
        <v/>
      </c>
    </row>
    <row r="185">
      <c r="A185">
        <f>IFERROR(INDEX('Shopify Import'!$A:$CZ,185,Settings!$E$20)&amp;"","")</f>
        <v/>
      </c>
      <c r="B185">
        <f>IFERROR(INDEX('Shopify Import'!$A:$CZ,185,Settings!$E$21)&amp;"","")</f>
        <v/>
      </c>
      <c r="C185">
        <f>IFERROR(INDEX('Shopify Import'!$A:$CZ,185,Settings!$E$22)&amp;"","")</f>
        <v/>
      </c>
      <c r="D185">
        <f>IF(A185="","",IFERROR(VALUE(SUBSTITUTE(SUBSTITUTE(INDEX('Shopify Import'!$A:$CZ,185,Settings!$E$23)&amp;"","$",""),",","")),0))</f>
        <v/>
      </c>
      <c r="E185" s="11">
        <f>IF(A185="","",IFERROR(VALUE(SUBSTITUTE(SUBSTITUTE(INDEX('Shopify Import'!$A:$CZ,185,Settings!$E$24)&amp;"","$",""),",","")),0))</f>
        <v/>
      </c>
      <c r="F185" s="11">
        <f>IF(A185="","",D185*E185)</f>
        <v/>
      </c>
      <c r="G185">
        <f>IF(A185="","",IF(C185="",1,COUNTIF($C$2:$C$1501,C185)))</f>
        <v/>
      </c>
      <c r="H185" s="11">
        <f>IF(A185="","",IFERROR(VALUE(SUBSTITUTE(SUBSTITUTE(INDEX('Shopify Import'!$A:$CZ,185,Settings!$E$25)&amp;"","$",""),",","")),0)/IF(Settings!$D$27="Yes",G185,1))</f>
        <v/>
      </c>
      <c r="I185" s="11">
        <f>IF(A185="","",IFERROR(VALUE(SUBSTITUTE(SUBSTITUTE(INDEX('Shopify Import'!$A:$CZ,185,Settings!$E$26)&amp;"","$",""),",","")),0)/IF(Settings!$D$27="Yes",G185,1))</f>
        <v/>
      </c>
      <c r="J185" s="11">
        <f>IF(A185="","",F185+H185-I185)</f>
        <v/>
      </c>
      <c r="K185">
        <f>IF(A185="","",IFERROR(IF(B185="",NA(),MATCH(B185,Products!$B$5:$B$204,0)),IFERROR(MATCH(A185,Products!$A$5:$A$204,0),"")))</f>
        <v/>
      </c>
      <c r="L185">
        <f>IF(A185="","",IF(K185="","⚠ not in Products",INDEX(Products!$A$5:$A$204,K185)))</f>
        <v/>
      </c>
      <c r="M185" s="11">
        <f>IF(A185="","",J185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185+IFERROR(INDEX(Settings!$D$5:$D$9,MATCH("Shopify",Settings!$A$5:$A$9,0)),0)*D185)</f>
        <v/>
      </c>
      <c r="N185" s="11">
        <f>IF(A185="","",IF(K185="",0,D185*INDEX(Products!$I$5:$I$204,K185)))</f>
        <v/>
      </c>
      <c r="O185" s="11">
        <f>IF(A185="","",IF(K185="",0,J185*INDEX(Products!$H$5:$H$204,K185)))</f>
        <v/>
      </c>
      <c r="P185" s="11">
        <f>IF(A185="","",J185-M185-N185-O185)</f>
        <v/>
      </c>
    </row>
    <row r="186">
      <c r="A186">
        <f>IFERROR(INDEX('Shopify Import'!$A:$CZ,186,Settings!$E$20)&amp;"","")</f>
        <v/>
      </c>
      <c r="B186">
        <f>IFERROR(INDEX('Shopify Import'!$A:$CZ,186,Settings!$E$21)&amp;"","")</f>
        <v/>
      </c>
      <c r="C186">
        <f>IFERROR(INDEX('Shopify Import'!$A:$CZ,186,Settings!$E$22)&amp;"","")</f>
        <v/>
      </c>
      <c r="D186">
        <f>IF(A186="","",IFERROR(VALUE(SUBSTITUTE(SUBSTITUTE(INDEX('Shopify Import'!$A:$CZ,186,Settings!$E$23)&amp;"","$",""),",","")),0))</f>
        <v/>
      </c>
      <c r="E186" s="11">
        <f>IF(A186="","",IFERROR(VALUE(SUBSTITUTE(SUBSTITUTE(INDEX('Shopify Import'!$A:$CZ,186,Settings!$E$24)&amp;"","$",""),",","")),0))</f>
        <v/>
      </c>
      <c r="F186" s="11">
        <f>IF(A186="","",D186*E186)</f>
        <v/>
      </c>
      <c r="G186">
        <f>IF(A186="","",IF(C186="",1,COUNTIF($C$2:$C$1501,C186)))</f>
        <v/>
      </c>
      <c r="H186" s="11">
        <f>IF(A186="","",IFERROR(VALUE(SUBSTITUTE(SUBSTITUTE(INDEX('Shopify Import'!$A:$CZ,186,Settings!$E$25)&amp;"","$",""),",","")),0)/IF(Settings!$D$27="Yes",G186,1))</f>
        <v/>
      </c>
      <c r="I186" s="11">
        <f>IF(A186="","",IFERROR(VALUE(SUBSTITUTE(SUBSTITUTE(INDEX('Shopify Import'!$A:$CZ,186,Settings!$E$26)&amp;"","$",""),",","")),0)/IF(Settings!$D$27="Yes",G186,1))</f>
        <v/>
      </c>
      <c r="J186" s="11">
        <f>IF(A186="","",F186+H186-I186)</f>
        <v/>
      </c>
      <c r="K186">
        <f>IF(A186="","",IFERROR(IF(B186="",NA(),MATCH(B186,Products!$B$5:$B$204,0)),IFERROR(MATCH(A186,Products!$A$5:$A$204,0),"")))</f>
        <v/>
      </c>
      <c r="L186">
        <f>IF(A186="","",IF(K186="","⚠ not in Products",INDEX(Products!$A$5:$A$204,K186)))</f>
        <v/>
      </c>
      <c r="M186" s="11">
        <f>IF(A186="","",J186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186+IFERROR(INDEX(Settings!$D$5:$D$9,MATCH("Shopify",Settings!$A$5:$A$9,0)),0)*D186)</f>
        <v/>
      </c>
      <c r="N186" s="11">
        <f>IF(A186="","",IF(K186="",0,D186*INDEX(Products!$I$5:$I$204,K186)))</f>
        <v/>
      </c>
      <c r="O186" s="11">
        <f>IF(A186="","",IF(K186="",0,J186*INDEX(Products!$H$5:$H$204,K186)))</f>
        <v/>
      </c>
      <c r="P186" s="11">
        <f>IF(A186="","",J186-M186-N186-O186)</f>
        <v/>
      </c>
    </row>
    <row r="187">
      <c r="A187">
        <f>IFERROR(INDEX('Shopify Import'!$A:$CZ,187,Settings!$E$20)&amp;"","")</f>
        <v/>
      </c>
      <c r="B187">
        <f>IFERROR(INDEX('Shopify Import'!$A:$CZ,187,Settings!$E$21)&amp;"","")</f>
        <v/>
      </c>
      <c r="C187">
        <f>IFERROR(INDEX('Shopify Import'!$A:$CZ,187,Settings!$E$22)&amp;"","")</f>
        <v/>
      </c>
      <c r="D187">
        <f>IF(A187="","",IFERROR(VALUE(SUBSTITUTE(SUBSTITUTE(INDEX('Shopify Import'!$A:$CZ,187,Settings!$E$23)&amp;"","$",""),",","")),0))</f>
        <v/>
      </c>
      <c r="E187" s="11">
        <f>IF(A187="","",IFERROR(VALUE(SUBSTITUTE(SUBSTITUTE(INDEX('Shopify Import'!$A:$CZ,187,Settings!$E$24)&amp;"","$",""),",","")),0))</f>
        <v/>
      </c>
      <c r="F187" s="11">
        <f>IF(A187="","",D187*E187)</f>
        <v/>
      </c>
      <c r="G187">
        <f>IF(A187="","",IF(C187="",1,COUNTIF($C$2:$C$1501,C187)))</f>
        <v/>
      </c>
      <c r="H187" s="11">
        <f>IF(A187="","",IFERROR(VALUE(SUBSTITUTE(SUBSTITUTE(INDEX('Shopify Import'!$A:$CZ,187,Settings!$E$25)&amp;"","$",""),",","")),0)/IF(Settings!$D$27="Yes",G187,1))</f>
        <v/>
      </c>
      <c r="I187" s="11">
        <f>IF(A187="","",IFERROR(VALUE(SUBSTITUTE(SUBSTITUTE(INDEX('Shopify Import'!$A:$CZ,187,Settings!$E$26)&amp;"","$",""),",","")),0)/IF(Settings!$D$27="Yes",G187,1))</f>
        <v/>
      </c>
      <c r="J187" s="11">
        <f>IF(A187="","",F187+H187-I187)</f>
        <v/>
      </c>
      <c r="K187">
        <f>IF(A187="","",IFERROR(IF(B187="",NA(),MATCH(B187,Products!$B$5:$B$204,0)),IFERROR(MATCH(A187,Products!$A$5:$A$204,0),"")))</f>
        <v/>
      </c>
      <c r="L187">
        <f>IF(A187="","",IF(K187="","⚠ not in Products",INDEX(Products!$A$5:$A$204,K187)))</f>
        <v/>
      </c>
      <c r="M187" s="11">
        <f>IF(A187="","",J187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187+IFERROR(INDEX(Settings!$D$5:$D$9,MATCH("Shopify",Settings!$A$5:$A$9,0)),0)*D187)</f>
        <v/>
      </c>
      <c r="N187" s="11">
        <f>IF(A187="","",IF(K187="",0,D187*INDEX(Products!$I$5:$I$204,K187)))</f>
        <v/>
      </c>
      <c r="O187" s="11">
        <f>IF(A187="","",IF(K187="",0,J187*INDEX(Products!$H$5:$H$204,K187)))</f>
        <v/>
      </c>
      <c r="P187" s="11">
        <f>IF(A187="","",J187-M187-N187-O187)</f>
        <v/>
      </c>
    </row>
    <row r="188">
      <c r="A188">
        <f>IFERROR(INDEX('Shopify Import'!$A:$CZ,188,Settings!$E$20)&amp;"","")</f>
        <v/>
      </c>
      <c r="B188">
        <f>IFERROR(INDEX('Shopify Import'!$A:$CZ,188,Settings!$E$21)&amp;"","")</f>
        <v/>
      </c>
      <c r="C188">
        <f>IFERROR(INDEX('Shopify Import'!$A:$CZ,188,Settings!$E$22)&amp;"","")</f>
        <v/>
      </c>
      <c r="D188">
        <f>IF(A188="","",IFERROR(VALUE(SUBSTITUTE(SUBSTITUTE(INDEX('Shopify Import'!$A:$CZ,188,Settings!$E$23)&amp;"","$",""),",","")),0))</f>
        <v/>
      </c>
      <c r="E188" s="11">
        <f>IF(A188="","",IFERROR(VALUE(SUBSTITUTE(SUBSTITUTE(INDEX('Shopify Import'!$A:$CZ,188,Settings!$E$24)&amp;"","$",""),",","")),0))</f>
        <v/>
      </c>
      <c r="F188" s="11">
        <f>IF(A188="","",D188*E188)</f>
        <v/>
      </c>
      <c r="G188">
        <f>IF(A188="","",IF(C188="",1,COUNTIF($C$2:$C$1501,C188)))</f>
        <v/>
      </c>
      <c r="H188" s="11">
        <f>IF(A188="","",IFERROR(VALUE(SUBSTITUTE(SUBSTITUTE(INDEX('Shopify Import'!$A:$CZ,188,Settings!$E$25)&amp;"","$",""),",","")),0)/IF(Settings!$D$27="Yes",G188,1))</f>
        <v/>
      </c>
      <c r="I188" s="11">
        <f>IF(A188="","",IFERROR(VALUE(SUBSTITUTE(SUBSTITUTE(INDEX('Shopify Import'!$A:$CZ,188,Settings!$E$26)&amp;"","$",""),",","")),0)/IF(Settings!$D$27="Yes",G188,1))</f>
        <v/>
      </c>
      <c r="J188" s="11">
        <f>IF(A188="","",F188+H188-I188)</f>
        <v/>
      </c>
      <c r="K188">
        <f>IF(A188="","",IFERROR(IF(B188="",NA(),MATCH(B188,Products!$B$5:$B$204,0)),IFERROR(MATCH(A188,Products!$A$5:$A$204,0),"")))</f>
        <v/>
      </c>
      <c r="L188">
        <f>IF(A188="","",IF(K188="","⚠ not in Products",INDEX(Products!$A$5:$A$204,K188)))</f>
        <v/>
      </c>
      <c r="M188" s="11">
        <f>IF(A188="","",J188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188+IFERROR(INDEX(Settings!$D$5:$D$9,MATCH("Shopify",Settings!$A$5:$A$9,0)),0)*D188)</f>
        <v/>
      </c>
      <c r="N188" s="11">
        <f>IF(A188="","",IF(K188="",0,D188*INDEX(Products!$I$5:$I$204,K188)))</f>
        <v/>
      </c>
      <c r="O188" s="11">
        <f>IF(A188="","",IF(K188="",0,J188*INDEX(Products!$H$5:$H$204,K188)))</f>
        <v/>
      </c>
      <c r="P188" s="11">
        <f>IF(A188="","",J188-M188-N188-O188)</f>
        <v/>
      </c>
    </row>
    <row r="189">
      <c r="A189">
        <f>IFERROR(INDEX('Shopify Import'!$A:$CZ,189,Settings!$E$20)&amp;"","")</f>
        <v/>
      </c>
      <c r="B189">
        <f>IFERROR(INDEX('Shopify Import'!$A:$CZ,189,Settings!$E$21)&amp;"","")</f>
        <v/>
      </c>
      <c r="C189">
        <f>IFERROR(INDEX('Shopify Import'!$A:$CZ,189,Settings!$E$22)&amp;"","")</f>
        <v/>
      </c>
      <c r="D189">
        <f>IF(A189="","",IFERROR(VALUE(SUBSTITUTE(SUBSTITUTE(INDEX('Shopify Import'!$A:$CZ,189,Settings!$E$23)&amp;"","$",""),",","")),0))</f>
        <v/>
      </c>
      <c r="E189" s="11">
        <f>IF(A189="","",IFERROR(VALUE(SUBSTITUTE(SUBSTITUTE(INDEX('Shopify Import'!$A:$CZ,189,Settings!$E$24)&amp;"","$",""),",","")),0))</f>
        <v/>
      </c>
      <c r="F189" s="11">
        <f>IF(A189="","",D189*E189)</f>
        <v/>
      </c>
      <c r="G189">
        <f>IF(A189="","",IF(C189="",1,COUNTIF($C$2:$C$1501,C189)))</f>
        <v/>
      </c>
      <c r="H189" s="11">
        <f>IF(A189="","",IFERROR(VALUE(SUBSTITUTE(SUBSTITUTE(INDEX('Shopify Import'!$A:$CZ,189,Settings!$E$25)&amp;"","$",""),",","")),0)/IF(Settings!$D$27="Yes",G189,1))</f>
        <v/>
      </c>
      <c r="I189" s="11">
        <f>IF(A189="","",IFERROR(VALUE(SUBSTITUTE(SUBSTITUTE(INDEX('Shopify Import'!$A:$CZ,189,Settings!$E$26)&amp;"","$",""),",","")),0)/IF(Settings!$D$27="Yes",G189,1))</f>
        <v/>
      </c>
      <c r="J189" s="11">
        <f>IF(A189="","",F189+H189-I189)</f>
        <v/>
      </c>
      <c r="K189">
        <f>IF(A189="","",IFERROR(IF(B189="",NA(),MATCH(B189,Products!$B$5:$B$204,0)),IFERROR(MATCH(A189,Products!$A$5:$A$204,0),"")))</f>
        <v/>
      </c>
      <c r="L189">
        <f>IF(A189="","",IF(K189="","⚠ not in Products",INDEX(Products!$A$5:$A$204,K189)))</f>
        <v/>
      </c>
      <c r="M189" s="11">
        <f>IF(A189="","",J189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189+IFERROR(INDEX(Settings!$D$5:$D$9,MATCH("Shopify",Settings!$A$5:$A$9,0)),0)*D189)</f>
        <v/>
      </c>
      <c r="N189" s="11">
        <f>IF(A189="","",IF(K189="",0,D189*INDEX(Products!$I$5:$I$204,K189)))</f>
        <v/>
      </c>
      <c r="O189" s="11">
        <f>IF(A189="","",IF(K189="",0,J189*INDEX(Products!$H$5:$H$204,K189)))</f>
        <v/>
      </c>
      <c r="P189" s="11">
        <f>IF(A189="","",J189-M189-N189-O189)</f>
        <v/>
      </c>
    </row>
    <row r="190">
      <c r="A190">
        <f>IFERROR(INDEX('Shopify Import'!$A:$CZ,190,Settings!$E$20)&amp;"","")</f>
        <v/>
      </c>
      <c r="B190">
        <f>IFERROR(INDEX('Shopify Import'!$A:$CZ,190,Settings!$E$21)&amp;"","")</f>
        <v/>
      </c>
      <c r="C190">
        <f>IFERROR(INDEX('Shopify Import'!$A:$CZ,190,Settings!$E$22)&amp;"","")</f>
        <v/>
      </c>
      <c r="D190">
        <f>IF(A190="","",IFERROR(VALUE(SUBSTITUTE(SUBSTITUTE(INDEX('Shopify Import'!$A:$CZ,190,Settings!$E$23)&amp;"","$",""),",","")),0))</f>
        <v/>
      </c>
      <c r="E190" s="11">
        <f>IF(A190="","",IFERROR(VALUE(SUBSTITUTE(SUBSTITUTE(INDEX('Shopify Import'!$A:$CZ,190,Settings!$E$24)&amp;"","$",""),",","")),0))</f>
        <v/>
      </c>
      <c r="F190" s="11">
        <f>IF(A190="","",D190*E190)</f>
        <v/>
      </c>
      <c r="G190">
        <f>IF(A190="","",IF(C190="",1,COUNTIF($C$2:$C$1501,C190)))</f>
        <v/>
      </c>
      <c r="H190" s="11">
        <f>IF(A190="","",IFERROR(VALUE(SUBSTITUTE(SUBSTITUTE(INDEX('Shopify Import'!$A:$CZ,190,Settings!$E$25)&amp;"","$",""),",","")),0)/IF(Settings!$D$27="Yes",G190,1))</f>
        <v/>
      </c>
      <c r="I190" s="11">
        <f>IF(A190="","",IFERROR(VALUE(SUBSTITUTE(SUBSTITUTE(INDEX('Shopify Import'!$A:$CZ,190,Settings!$E$26)&amp;"","$",""),",","")),0)/IF(Settings!$D$27="Yes",G190,1))</f>
        <v/>
      </c>
      <c r="J190" s="11">
        <f>IF(A190="","",F190+H190-I190)</f>
        <v/>
      </c>
      <c r="K190">
        <f>IF(A190="","",IFERROR(IF(B190="",NA(),MATCH(B190,Products!$B$5:$B$204,0)),IFERROR(MATCH(A190,Products!$A$5:$A$204,0),"")))</f>
        <v/>
      </c>
      <c r="L190">
        <f>IF(A190="","",IF(K190="","⚠ not in Products",INDEX(Products!$A$5:$A$204,K190)))</f>
        <v/>
      </c>
      <c r="M190" s="11">
        <f>IF(A190="","",J190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190+IFERROR(INDEX(Settings!$D$5:$D$9,MATCH("Shopify",Settings!$A$5:$A$9,0)),0)*D190)</f>
        <v/>
      </c>
      <c r="N190" s="11">
        <f>IF(A190="","",IF(K190="",0,D190*INDEX(Products!$I$5:$I$204,K190)))</f>
        <v/>
      </c>
      <c r="O190" s="11">
        <f>IF(A190="","",IF(K190="",0,J190*INDEX(Products!$H$5:$H$204,K190)))</f>
        <v/>
      </c>
      <c r="P190" s="11">
        <f>IF(A190="","",J190-M190-N190-O190)</f>
        <v/>
      </c>
    </row>
    <row r="191">
      <c r="A191">
        <f>IFERROR(INDEX('Shopify Import'!$A:$CZ,191,Settings!$E$20)&amp;"","")</f>
        <v/>
      </c>
      <c r="B191">
        <f>IFERROR(INDEX('Shopify Import'!$A:$CZ,191,Settings!$E$21)&amp;"","")</f>
        <v/>
      </c>
      <c r="C191">
        <f>IFERROR(INDEX('Shopify Import'!$A:$CZ,191,Settings!$E$22)&amp;"","")</f>
        <v/>
      </c>
      <c r="D191">
        <f>IF(A191="","",IFERROR(VALUE(SUBSTITUTE(SUBSTITUTE(INDEX('Shopify Import'!$A:$CZ,191,Settings!$E$23)&amp;"","$",""),",","")),0))</f>
        <v/>
      </c>
      <c r="E191" s="11">
        <f>IF(A191="","",IFERROR(VALUE(SUBSTITUTE(SUBSTITUTE(INDEX('Shopify Import'!$A:$CZ,191,Settings!$E$24)&amp;"","$",""),",","")),0))</f>
        <v/>
      </c>
      <c r="F191" s="11">
        <f>IF(A191="","",D191*E191)</f>
        <v/>
      </c>
      <c r="G191">
        <f>IF(A191="","",IF(C191="",1,COUNTIF($C$2:$C$1501,C191)))</f>
        <v/>
      </c>
      <c r="H191" s="11">
        <f>IF(A191="","",IFERROR(VALUE(SUBSTITUTE(SUBSTITUTE(INDEX('Shopify Import'!$A:$CZ,191,Settings!$E$25)&amp;"","$",""),",","")),0)/IF(Settings!$D$27="Yes",G191,1))</f>
        <v/>
      </c>
      <c r="I191" s="11">
        <f>IF(A191="","",IFERROR(VALUE(SUBSTITUTE(SUBSTITUTE(INDEX('Shopify Import'!$A:$CZ,191,Settings!$E$26)&amp;"","$",""),",","")),0)/IF(Settings!$D$27="Yes",G191,1))</f>
        <v/>
      </c>
      <c r="J191" s="11">
        <f>IF(A191="","",F191+H191-I191)</f>
        <v/>
      </c>
      <c r="K191">
        <f>IF(A191="","",IFERROR(IF(B191="",NA(),MATCH(B191,Products!$B$5:$B$204,0)),IFERROR(MATCH(A191,Products!$A$5:$A$204,0),"")))</f>
        <v/>
      </c>
      <c r="L191">
        <f>IF(A191="","",IF(K191="","⚠ not in Products",INDEX(Products!$A$5:$A$204,K191)))</f>
        <v/>
      </c>
      <c r="M191" s="11">
        <f>IF(A191="","",J191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191+IFERROR(INDEX(Settings!$D$5:$D$9,MATCH("Shopify",Settings!$A$5:$A$9,0)),0)*D191)</f>
        <v/>
      </c>
      <c r="N191" s="11">
        <f>IF(A191="","",IF(K191="",0,D191*INDEX(Products!$I$5:$I$204,K191)))</f>
        <v/>
      </c>
      <c r="O191" s="11">
        <f>IF(A191="","",IF(K191="",0,J191*INDEX(Products!$H$5:$H$204,K191)))</f>
        <v/>
      </c>
      <c r="P191" s="11">
        <f>IF(A191="","",J191-M191-N191-O191)</f>
        <v/>
      </c>
    </row>
    <row r="192">
      <c r="A192">
        <f>IFERROR(INDEX('Shopify Import'!$A:$CZ,192,Settings!$E$20)&amp;"","")</f>
        <v/>
      </c>
      <c r="B192">
        <f>IFERROR(INDEX('Shopify Import'!$A:$CZ,192,Settings!$E$21)&amp;"","")</f>
        <v/>
      </c>
      <c r="C192">
        <f>IFERROR(INDEX('Shopify Import'!$A:$CZ,192,Settings!$E$22)&amp;"","")</f>
        <v/>
      </c>
      <c r="D192">
        <f>IF(A192="","",IFERROR(VALUE(SUBSTITUTE(SUBSTITUTE(INDEX('Shopify Import'!$A:$CZ,192,Settings!$E$23)&amp;"","$",""),",","")),0))</f>
        <v/>
      </c>
      <c r="E192" s="11">
        <f>IF(A192="","",IFERROR(VALUE(SUBSTITUTE(SUBSTITUTE(INDEX('Shopify Import'!$A:$CZ,192,Settings!$E$24)&amp;"","$",""),",","")),0))</f>
        <v/>
      </c>
      <c r="F192" s="11">
        <f>IF(A192="","",D192*E192)</f>
        <v/>
      </c>
      <c r="G192">
        <f>IF(A192="","",IF(C192="",1,COUNTIF($C$2:$C$1501,C192)))</f>
        <v/>
      </c>
      <c r="H192" s="11">
        <f>IF(A192="","",IFERROR(VALUE(SUBSTITUTE(SUBSTITUTE(INDEX('Shopify Import'!$A:$CZ,192,Settings!$E$25)&amp;"","$",""),",","")),0)/IF(Settings!$D$27="Yes",G192,1))</f>
        <v/>
      </c>
      <c r="I192" s="11">
        <f>IF(A192="","",IFERROR(VALUE(SUBSTITUTE(SUBSTITUTE(INDEX('Shopify Import'!$A:$CZ,192,Settings!$E$26)&amp;"","$",""),",","")),0)/IF(Settings!$D$27="Yes",G192,1))</f>
        <v/>
      </c>
      <c r="J192" s="11">
        <f>IF(A192="","",F192+H192-I192)</f>
        <v/>
      </c>
      <c r="K192">
        <f>IF(A192="","",IFERROR(IF(B192="",NA(),MATCH(B192,Products!$B$5:$B$204,0)),IFERROR(MATCH(A192,Products!$A$5:$A$204,0),"")))</f>
        <v/>
      </c>
      <c r="L192">
        <f>IF(A192="","",IF(K192="","⚠ not in Products",INDEX(Products!$A$5:$A$204,K192)))</f>
        <v/>
      </c>
      <c r="M192" s="11">
        <f>IF(A192="","",J192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192+IFERROR(INDEX(Settings!$D$5:$D$9,MATCH("Shopify",Settings!$A$5:$A$9,0)),0)*D192)</f>
        <v/>
      </c>
      <c r="N192" s="11">
        <f>IF(A192="","",IF(K192="",0,D192*INDEX(Products!$I$5:$I$204,K192)))</f>
        <v/>
      </c>
      <c r="O192" s="11">
        <f>IF(A192="","",IF(K192="",0,J192*INDEX(Products!$H$5:$H$204,K192)))</f>
        <v/>
      </c>
      <c r="P192" s="11">
        <f>IF(A192="","",J192-M192-N192-O192)</f>
        <v/>
      </c>
    </row>
    <row r="193">
      <c r="A193">
        <f>IFERROR(INDEX('Shopify Import'!$A:$CZ,193,Settings!$E$20)&amp;"","")</f>
        <v/>
      </c>
      <c r="B193">
        <f>IFERROR(INDEX('Shopify Import'!$A:$CZ,193,Settings!$E$21)&amp;"","")</f>
        <v/>
      </c>
      <c r="C193">
        <f>IFERROR(INDEX('Shopify Import'!$A:$CZ,193,Settings!$E$22)&amp;"","")</f>
        <v/>
      </c>
      <c r="D193">
        <f>IF(A193="","",IFERROR(VALUE(SUBSTITUTE(SUBSTITUTE(INDEX('Shopify Import'!$A:$CZ,193,Settings!$E$23)&amp;"","$",""),",","")),0))</f>
        <v/>
      </c>
      <c r="E193" s="11">
        <f>IF(A193="","",IFERROR(VALUE(SUBSTITUTE(SUBSTITUTE(INDEX('Shopify Import'!$A:$CZ,193,Settings!$E$24)&amp;"","$",""),",","")),0))</f>
        <v/>
      </c>
      <c r="F193" s="11">
        <f>IF(A193="","",D193*E193)</f>
        <v/>
      </c>
      <c r="G193">
        <f>IF(A193="","",IF(C193="",1,COUNTIF($C$2:$C$1501,C193)))</f>
        <v/>
      </c>
      <c r="H193" s="11">
        <f>IF(A193="","",IFERROR(VALUE(SUBSTITUTE(SUBSTITUTE(INDEX('Shopify Import'!$A:$CZ,193,Settings!$E$25)&amp;"","$",""),",","")),0)/IF(Settings!$D$27="Yes",G193,1))</f>
        <v/>
      </c>
      <c r="I193" s="11">
        <f>IF(A193="","",IFERROR(VALUE(SUBSTITUTE(SUBSTITUTE(INDEX('Shopify Import'!$A:$CZ,193,Settings!$E$26)&amp;"","$",""),",","")),0)/IF(Settings!$D$27="Yes",G193,1))</f>
        <v/>
      </c>
      <c r="J193" s="11">
        <f>IF(A193="","",F193+H193-I193)</f>
        <v/>
      </c>
      <c r="K193">
        <f>IF(A193="","",IFERROR(IF(B193="",NA(),MATCH(B193,Products!$B$5:$B$204,0)),IFERROR(MATCH(A193,Products!$A$5:$A$204,0),"")))</f>
        <v/>
      </c>
      <c r="L193">
        <f>IF(A193="","",IF(K193="","⚠ not in Products",INDEX(Products!$A$5:$A$204,K193)))</f>
        <v/>
      </c>
      <c r="M193" s="11">
        <f>IF(A193="","",J193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193+IFERROR(INDEX(Settings!$D$5:$D$9,MATCH("Shopify",Settings!$A$5:$A$9,0)),0)*D193)</f>
        <v/>
      </c>
      <c r="N193" s="11">
        <f>IF(A193="","",IF(K193="",0,D193*INDEX(Products!$I$5:$I$204,K193)))</f>
        <v/>
      </c>
      <c r="O193" s="11">
        <f>IF(A193="","",IF(K193="",0,J193*INDEX(Products!$H$5:$H$204,K193)))</f>
        <v/>
      </c>
      <c r="P193" s="11">
        <f>IF(A193="","",J193-M193-N193-O193)</f>
        <v/>
      </c>
    </row>
    <row r="194">
      <c r="A194">
        <f>IFERROR(INDEX('Shopify Import'!$A:$CZ,194,Settings!$E$20)&amp;"","")</f>
        <v/>
      </c>
      <c r="B194">
        <f>IFERROR(INDEX('Shopify Import'!$A:$CZ,194,Settings!$E$21)&amp;"","")</f>
        <v/>
      </c>
      <c r="C194">
        <f>IFERROR(INDEX('Shopify Import'!$A:$CZ,194,Settings!$E$22)&amp;"","")</f>
        <v/>
      </c>
      <c r="D194">
        <f>IF(A194="","",IFERROR(VALUE(SUBSTITUTE(SUBSTITUTE(INDEX('Shopify Import'!$A:$CZ,194,Settings!$E$23)&amp;"","$",""),",","")),0))</f>
        <v/>
      </c>
      <c r="E194" s="11">
        <f>IF(A194="","",IFERROR(VALUE(SUBSTITUTE(SUBSTITUTE(INDEX('Shopify Import'!$A:$CZ,194,Settings!$E$24)&amp;"","$",""),",","")),0))</f>
        <v/>
      </c>
      <c r="F194" s="11">
        <f>IF(A194="","",D194*E194)</f>
        <v/>
      </c>
      <c r="G194">
        <f>IF(A194="","",IF(C194="",1,COUNTIF($C$2:$C$1501,C194)))</f>
        <v/>
      </c>
      <c r="H194" s="11">
        <f>IF(A194="","",IFERROR(VALUE(SUBSTITUTE(SUBSTITUTE(INDEX('Shopify Import'!$A:$CZ,194,Settings!$E$25)&amp;"","$",""),",","")),0)/IF(Settings!$D$27="Yes",G194,1))</f>
        <v/>
      </c>
      <c r="I194" s="11">
        <f>IF(A194="","",IFERROR(VALUE(SUBSTITUTE(SUBSTITUTE(INDEX('Shopify Import'!$A:$CZ,194,Settings!$E$26)&amp;"","$",""),",","")),0)/IF(Settings!$D$27="Yes",G194,1))</f>
        <v/>
      </c>
      <c r="J194" s="11">
        <f>IF(A194="","",F194+H194-I194)</f>
        <v/>
      </c>
      <c r="K194">
        <f>IF(A194="","",IFERROR(IF(B194="",NA(),MATCH(B194,Products!$B$5:$B$204,0)),IFERROR(MATCH(A194,Products!$A$5:$A$204,0),"")))</f>
        <v/>
      </c>
      <c r="L194">
        <f>IF(A194="","",IF(K194="","⚠ not in Products",INDEX(Products!$A$5:$A$204,K194)))</f>
        <v/>
      </c>
      <c r="M194" s="11">
        <f>IF(A194="","",J194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194+IFERROR(INDEX(Settings!$D$5:$D$9,MATCH("Shopify",Settings!$A$5:$A$9,0)),0)*D194)</f>
        <v/>
      </c>
      <c r="N194" s="11">
        <f>IF(A194="","",IF(K194="",0,D194*INDEX(Products!$I$5:$I$204,K194)))</f>
        <v/>
      </c>
      <c r="O194" s="11">
        <f>IF(A194="","",IF(K194="",0,J194*INDEX(Products!$H$5:$H$204,K194)))</f>
        <v/>
      </c>
      <c r="P194" s="11">
        <f>IF(A194="","",J194-M194-N194-O194)</f>
        <v/>
      </c>
    </row>
    <row r="195">
      <c r="A195">
        <f>IFERROR(INDEX('Shopify Import'!$A:$CZ,195,Settings!$E$20)&amp;"","")</f>
        <v/>
      </c>
      <c r="B195">
        <f>IFERROR(INDEX('Shopify Import'!$A:$CZ,195,Settings!$E$21)&amp;"","")</f>
        <v/>
      </c>
      <c r="C195">
        <f>IFERROR(INDEX('Shopify Import'!$A:$CZ,195,Settings!$E$22)&amp;"","")</f>
        <v/>
      </c>
      <c r="D195">
        <f>IF(A195="","",IFERROR(VALUE(SUBSTITUTE(SUBSTITUTE(INDEX('Shopify Import'!$A:$CZ,195,Settings!$E$23)&amp;"","$",""),",","")),0))</f>
        <v/>
      </c>
      <c r="E195" s="11">
        <f>IF(A195="","",IFERROR(VALUE(SUBSTITUTE(SUBSTITUTE(INDEX('Shopify Import'!$A:$CZ,195,Settings!$E$24)&amp;"","$",""),",","")),0))</f>
        <v/>
      </c>
      <c r="F195" s="11">
        <f>IF(A195="","",D195*E195)</f>
        <v/>
      </c>
      <c r="G195">
        <f>IF(A195="","",IF(C195="",1,COUNTIF($C$2:$C$1501,C195)))</f>
        <v/>
      </c>
      <c r="H195" s="11">
        <f>IF(A195="","",IFERROR(VALUE(SUBSTITUTE(SUBSTITUTE(INDEX('Shopify Import'!$A:$CZ,195,Settings!$E$25)&amp;"","$",""),",","")),0)/IF(Settings!$D$27="Yes",G195,1))</f>
        <v/>
      </c>
      <c r="I195" s="11">
        <f>IF(A195="","",IFERROR(VALUE(SUBSTITUTE(SUBSTITUTE(INDEX('Shopify Import'!$A:$CZ,195,Settings!$E$26)&amp;"","$",""),",","")),0)/IF(Settings!$D$27="Yes",G195,1))</f>
        <v/>
      </c>
      <c r="J195" s="11">
        <f>IF(A195="","",F195+H195-I195)</f>
        <v/>
      </c>
      <c r="K195">
        <f>IF(A195="","",IFERROR(IF(B195="",NA(),MATCH(B195,Products!$B$5:$B$204,0)),IFERROR(MATCH(A195,Products!$A$5:$A$204,0),"")))</f>
        <v/>
      </c>
      <c r="L195">
        <f>IF(A195="","",IF(K195="","⚠ not in Products",INDEX(Products!$A$5:$A$204,K195)))</f>
        <v/>
      </c>
      <c r="M195" s="11">
        <f>IF(A195="","",J195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195+IFERROR(INDEX(Settings!$D$5:$D$9,MATCH("Shopify",Settings!$A$5:$A$9,0)),0)*D195)</f>
        <v/>
      </c>
      <c r="N195" s="11">
        <f>IF(A195="","",IF(K195="",0,D195*INDEX(Products!$I$5:$I$204,K195)))</f>
        <v/>
      </c>
      <c r="O195" s="11">
        <f>IF(A195="","",IF(K195="",0,J195*INDEX(Products!$H$5:$H$204,K195)))</f>
        <v/>
      </c>
      <c r="P195" s="11">
        <f>IF(A195="","",J195-M195-N195-O195)</f>
        <v/>
      </c>
    </row>
    <row r="196">
      <c r="A196">
        <f>IFERROR(INDEX('Shopify Import'!$A:$CZ,196,Settings!$E$20)&amp;"","")</f>
        <v/>
      </c>
      <c r="B196">
        <f>IFERROR(INDEX('Shopify Import'!$A:$CZ,196,Settings!$E$21)&amp;"","")</f>
        <v/>
      </c>
      <c r="C196">
        <f>IFERROR(INDEX('Shopify Import'!$A:$CZ,196,Settings!$E$22)&amp;"","")</f>
        <v/>
      </c>
      <c r="D196">
        <f>IF(A196="","",IFERROR(VALUE(SUBSTITUTE(SUBSTITUTE(INDEX('Shopify Import'!$A:$CZ,196,Settings!$E$23)&amp;"","$",""),",","")),0))</f>
        <v/>
      </c>
      <c r="E196" s="11">
        <f>IF(A196="","",IFERROR(VALUE(SUBSTITUTE(SUBSTITUTE(INDEX('Shopify Import'!$A:$CZ,196,Settings!$E$24)&amp;"","$",""),",","")),0))</f>
        <v/>
      </c>
      <c r="F196" s="11">
        <f>IF(A196="","",D196*E196)</f>
        <v/>
      </c>
      <c r="G196">
        <f>IF(A196="","",IF(C196="",1,COUNTIF($C$2:$C$1501,C196)))</f>
        <v/>
      </c>
      <c r="H196" s="11">
        <f>IF(A196="","",IFERROR(VALUE(SUBSTITUTE(SUBSTITUTE(INDEX('Shopify Import'!$A:$CZ,196,Settings!$E$25)&amp;"","$",""),",","")),0)/IF(Settings!$D$27="Yes",G196,1))</f>
        <v/>
      </c>
      <c r="I196" s="11">
        <f>IF(A196="","",IFERROR(VALUE(SUBSTITUTE(SUBSTITUTE(INDEX('Shopify Import'!$A:$CZ,196,Settings!$E$26)&amp;"","$",""),",","")),0)/IF(Settings!$D$27="Yes",G196,1))</f>
        <v/>
      </c>
      <c r="J196" s="11">
        <f>IF(A196="","",F196+H196-I196)</f>
        <v/>
      </c>
      <c r="K196">
        <f>IF(A196="","",IFERROR(IF(B196="",NA(),MATCH(B196,Products!$B$5:$B$204,0)),IFERROR(MATCH(A196,Products!$A$5:$A$204,0),"")))</f>
        <v/>
      </c>
      <c r="L196">
        <f>IF(A196="","",IF(K196="","⚠ not in Products",INDEX(Products!$A$5:$A$204,K196)))</f>
        <v/>
      </c>
      <c r="M196" s="11">
        <f>IF(A196="","",J196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196+IFERROR(INDEX(Settings!$D$5:$D$9,MATCH("Shopify",Settings!$A$5:$A$9,0)),0)*D196)</f>
        <v/>
      </c>
      <c r="N196" s="11">
        <f>IF(A196="","",IF(K196="",0,D196*INDEX(Products!$I$5:$I$204,K196)))</f>
        <v/>
      </c>
      <c r="O196" s="11">
        <f>IF(A196="","",IF(K196="",0,J196*INDEX(Products!$H$5:$H$204,K196)))</f>
        <v/>
      </c>
      <c r="P196" s="11">
        <f>IF(A196="","",J196-M196-N196-O196)</f>
        <v/>
      </c>
    </row>
    <row r="197">
      <c r="A197">
        <f>IFERROR(INDEX('Shopify Import'!$A:$CZ,197,Settings!$E$20)&amp;"","")</f>
        <v/>
      </c>
      <c r="B197">
        <f>IFERROR(INDEX('Shopify Import'!$A:$CZ,197,Settings!$E$21)&amp;"","")</f>
        <v/>
      </c>
      <c r="C197">
        <f>IFERROR(INDEX('Shopify Import'!$A:$CZ,197,Settings!$E$22)&amp;"","")</f>
        <v/>
      </c>
      <c r="D197">
        <f>IF(A197="","",IFERROR(VALUE(SUBSTITUTE(SUBSTITUTE(INDEX('Shopify Import'!$A:$CZ,197,Settings!$E$23)&amp;"","$",""),",","")),0))</f>
        <v/>
      </c>
      <c r="E197" s="11">
        <f>IF(A197="","",IFERROR(VALUE(SUBSTITUTE(SUBSTITUTE(INDEX('Shopify Import'!$A:$CZ,197,Settings!$E$24)&amp;"","$",""),",","")),0))</f>
        <v/>
      </c>
      <c r="F197" s="11">
        <f>IF(A197="","",D197*E197)</f>
        <v/>
      </c>
      <c r="G197">
        <f>IF(A197="","",IF(C197="",1,COUNTIF($C$2:$C$1501,C197)))</f>
        <v/>
      </c>
      <c r="H197" s="11">
        <f>IF(A197="","",IFERROR(VALUE(SUBSTITUTE(SUBSTITUTE(INDEX('Shopify Import'!$A:$CZ,197,Settings!$E$25)&amp;"","$",""),",","")),0)/IF(Settings!$D$27="Yes",G197,1))</f>
        <v/>
      </c>
      <c r="I197" s="11">
        <f>IF(A197="","",IFERROR(VALUE(SUBSTITUTE(SUBSTITUTE(INDEX('Shopify Import'!$A:$CZ,197,Settings!$E$26)&amp;"","$",""),",","")),0)/IF(Settings!$D$27="Yes",G197,1))</f>
        <v/>
      </c>
      <c r="J197" s="11">
        <f>IF(A197="","",F197+H197-I197)</f>
        <v/>
      </c>
      <c r="K197">
        <f>IF(A197="","",IFERROR(IF(B197="",NA(),MATCH(B197,Products!$B$5:$B$204,0)),IFERROR(MATCH(A197,Products!$A$5:$A$204,0),"")))</f>
        <v/>
      </c>
      <c r="L197">
        <f>IF(A197="","",IF(K197="","⚠ not in Products",INDEX(Products!$A$5:$A$204,K197)))</f>
        <v/>
      </c>
      <c r="M197" s="11">
        <f>IF(A197="","",J197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197+IFERROR(INDEX(Settings!$D$5:$D$9,MATCH("Shopify",Settings!$A$5:$A$9,0)),0)*D197)</f>
        <v/>
      </c>
      <c r="N197" s="11">
        <f>IF(A197="","",IF(K197="",0,D197*INDEX(Products!$I$5:$I$204,K197)))</f>
        <v/>
      </c>
      <c r="O197" s="11">
        <f>IF(A197="","",IF(K197="",0,J197*INDEX(Products!$H$5:$H$204,K197)))</f>
        <v/>
      </c>
      <c r="P197" s="11">
        <f>IF(A197="","",J197-M197-N197-O197)</f>
        <v/>
      </c>
    </row>
    <row r="198">
      <c r="A198">
        <f>IFERROR(INDEX('Shopify Import'!$A:$CZ,198,Settings!$E$20)&amp;"","")</f>
        <v/>
      </c>
      <c r="B198">
        <f>IFERROR(INDEX('Shopify Import'!$A:$CZ,198,Settings!$E$21)&amp;"","")</f>
        <v/>
      </c>
      <c r="C198">
        <f>IFERROR(INDEX('Shopify Import'!$A:$CZ,198,Settings!$E$22)&amp;"","")</f>
        <v/>
      </c>
      <c r="D198">
        <f>IF(A198="","",IFERROR(VALUE(SUBSTITUTE(SUBSTITUTE(INDEX('Shopify Import'!$A:$CZ,198,Settings!$E$23)&amp;"","$",""),",","")),0))</f>
        <v/>
      </c>
      <c r="E198" s="11">
        <f>IF(A198="","",IFERROR(VALUE(SUBSTITUTE(SUBSTITUTE(INDEX('Shopify Import'!$A:$CZ,198,Settings!$E$24)&amp;"","$",""),",","")),0))</f>
        <v/>
      </c>
      <c r="F198" s="11">
        <f>IF(A198="","",D198*E198)</f>
        <v/>
      </c>
      <c r="G198">
        <f>IF(A198="","",IF(C198="",1,COUNTIF($C$2:$C$1501,C198)))</f>
        <v/>
      </c>
      <c r="H198" s="11">
        <f>IF(A198="","",IFERROR(VALUE(SUBSTITUTE(SUBSTITUTE(INDEX('Shopify Import'!$A:$CZ,198,Settings!$E$25)&amp;"","$",""),",","")),0)/IF(Settings!$D$27="Yes",G198,1))</f>
        <v/>
      </c>
      <c r="I198" s="11">
        <f>IF(A198="","",IFERROR(VALUE(SUBSTITUTE(SUBSTITUTE(INDEX('Shopify Import'!$A:$CZ,198,Settings!$E$26)&amp;"","$",""),",","")),0)/IF(Settings!$D$27="Yes",G198,1))</f>
        <v/>
      </c>
      <c r="J198" s="11">
        <f>IF(A198="","",F198+H198-I198)</f>
        <v/>
      </c>
      <c r="K198">
        <f>IF(A198="","",IFERROR(IF(B198="",NA(),MATCH(B198,Products!$B$5:$B$204,0)),IFERROR(MATCH(A198,Products!$A$5:$A$204,0),"")))</f>
        <v/>
      </c>
      <c r="L198">
        <f>IF(A198="","",IF(K198="","⚠ not in Products",INDEX(Products!$A$5:$A$204,K198)))</f>
        <v/>
      </c>
      <c r="M198" s="11">
        <f>IF(A198="","",J198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198+IFERROR(INDEX(Settings!$D$5:$D$9,MATCH("Shopify",Settings!$A$5:$A$9,0)),0)*D198)</f>
        <v/>
      </c>
      <c r="N198" s="11">
        <f>IF(A198="","",IF(K198="",0,D198*INDEX(Products!$I$5:$I$204,K198)))</f>
        <v/>
      </c>
      <c r="O198" s="11">
        <f>IF(A198="","",IF(K198="",0,J198*INDEX(Products!$H$5:$H$204,K198)))</f>
        <v/>
      </c>
      <c r="P198" s="11">
        <f>IF(A198="","",J198-M198-N198-O198)</f>
        <v/>
      </c>
    </row>
    <row r="199">
      <c r="A199">
        <f>IFERROR(INDEX('Shopify Import'!$A:$CZ,199,Settings!$E$20)&amp;"","")</f>
        <v/>
      </c>
      <c r="B199">
        <f>IFERROR(INDEX('Shopify Import'!$A:$CZ,199,Settings!$E$21)&amp;"","")</f>
        <v/>
      </c>
      <c r="C199">
        <f>IFERROR(INDEX('Shopify Import'!$A:$CZ,199,Settings!$E$22)&amp;"","")</f>
        <v/>
      </c>
      <c r="D199">
        <f>IF(A199="","",IFERROR(VALUE(SUBSTITUTE(SUBSTITUTE(INDEX('Shopify Import'!$A:$CZ,199,Settings!$E$23)&amp;"","$",""),",","")),0))</f>
        <v/>
      </c>
      <c r="E199" s="11">
        <f>IF(A199="","",IFERROR(VALUE(SUBSTITUTE(SUBSTITUTE(INDEX('Shopify Import'!$A:$CZ,199,Settings!$E$24)&amp;"","$",""),",","")),0))</f>
        <v/>
      </c>
      <c r="F199" s="11">
        <f>IF(A199="","",D199*E199)</f>
        <v/>
      </c>
      <c r="G199">
        <f>IF(A199="","",IF(C199="",1,COUNTIF($C$2:$C$1501,C199)))</f>
        <v/>
      </c>
      <c r="H199" s="11">
        <f>IF(A199="","",IFERROR(VALUE(SUBSTITUTE(SUBSTITUTE(INDEX('Shopify Import'!$A:$CZ,199,Settings!$E$25)&amp;"","$",""),",","")),0)/IF(Settings!$D$27="Yes",G199,1))</f>
        <v/>
      </c>
      <c r="I199" s="11">
        <f>IF(A199="","",IFERROR(VALUE(SUBSTITUTE(SUBSTITUTE(INDEX('Shopify Import'!$A:$CZ,199,Settings!$E$26)&amp;"","$",""),",","")),0)/IF(Settings!$D$27="Yes",G199,1))</f>
        <v/>
      </c>
      <c r="J199" s="11">
        <f>IF(A199="","",F199+H199-I199)</f>
        <v/>
      </c>
      <c r="K199">
        <f>IF(A199="","",IFERROR(IF(B199="",NA(),MATCH(B199,Products!$B$5:$B$204,0)),IFERROR(MATCH(A199,Products!$A$5:$A$204,0),"")))</f>
        <v/>
      </c>
      <c r="L199">
        <f>IF(A199="","",IF(K199="","⚠ not in Products",INDEX(Products!$A$5:$A$204,K199)))</f>
        <v/>
      </c>
      <c r="M199" s="11">
        <f>IF(A199="","",J199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199+IFERROR(INDEX(Settings!$D$5:$D$9,MATCH("Shopify",Settings!$A$5:$A$9,0)),0)*D199)</f>
        <v/>
      </c>
      <c r="N199" s="11">
        <f>IF(A199="","",IF(K199="",0,D199*INDEX(Products!$I$5:$I$204,K199)))</f>
        <v/>
      </c>
      <c r="O199" s="11">
        <f>IF(A199="","",IF(K199="",0,J199*INDEX(Products!$H$5:$H$204,K199)))</f>
        <v/>
      </c>
      <c r="P199" s="11">
        <f>IF(A199="","",J199-M199-N199-O199)</f>
        <v/>
      </c>
    </row>
    <row r="200">
      <c r="A200">
        <f>IFERROR(INDEX('Shopify Import'!$A:$CZ,200,Settings!$E$20)&amp;"","")</f>
        <v/>
      </c>
      <c r="B200">
        <f>IFERROR(INDEX('Shopify Import'!$A:$CZ,200,Settings!$E$21)&amp;"","")</f>
        <v/>
      </c>
      <c r="C200">
        <f>IFERROR(INDEX('Shopify Import'!$A:$CZ,200,Settings!$E$22)&amp;"","")</f>
        <v/>
      </c>
      <c r="D200">
        <f>IF(A200="","",IFERROR(VALUE(SUBSTITUTE(SUBSTITUTE(INDEX('Shopify Import'!$A:$CZ,200,Settings!$E$23)&amp;"","$",""),",","")),0))</f>
        <v/>
      </c>
      <c r="E200" s="11">
        <f>IF(A200="","",IFERROR(VALUE(SUBSTITUTE(SUBSTITUTE(INDEX('Shopify Import'!$A:$CZ,200,Settings!$E$24)&amp;"","$",""),",","")),0))</f>
        <v/>
      </c>
      <c r="F200" s="11">
        <f>IF(A200="","",D200*E200)</f>
        <v/>
      </c>
      <c r="G200">
        <f>IF(A200="","",IF(C200="",1,COUNTIF($C$2:$C$1501,C200)))</f>
        <v/>
      </c>
      <c r="H200" s="11">
        <f>IF(A200="","",IFERROR(VALUE(SUBSTITUTE(SUBSTITUTE(INDEX('Shopify Import'!$A:$CZ,200,Settings!$E$25)&amp;"","$",""),",","")),0)/IF(Settings!$D$27="Yes",G200,1))</f>
        <v/>
      </c>
      <c r="I200" s="11">
        <f>IF(A200="","",IFERROR(VALUE(SUBSTITUTE(SUBSTITUTE(INDEX('Shopify Import'!$A:$CZ,200,Settings!$E$26)&amp;"","$",""),",","")),0)/IF(Settings!$D$27="Yes",G200,1))</f>
        <v/>
      </c>
      <c r="J200" s="11">
        <f>IF(A200="","",F200+H200-I200)</f>
        <v/>
      </c>
      <c r="K200">
        <f>IF(A200="","",IFERROR(IF(B200="",NA(),MATCH(B200,Products!$B$5:$B$204,0)),IFERROR(MATCH(A200,Products!$A$5:$A$204,0),"")))</f>
        <v/>
      </c>
      <c r="L200">
        <f>IF(A200="","",IF(K200="","⚠ not in Products",INDEX(Products!$A$5:$A$204,K200)))</f>
        <v/>
      </c>
      <c r="M200" s="11">
        <f>IF(A200="","",J200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200+IFERROR(INDEX(Settings!$D$5:$D$9,MATCH("Shopify",Settings!$A$5:$A$9,0)),0)*D200)</f>
        <v/>
      </c>
      <c r="N200" s="11">
        <f>IF(A200="","",IF(K200="",0,D200*INDEX(Products!$I$5:$I$204,K200)))</f>
        <v/>
      </c>
      <c r="O200" s="11">
        <f>IF(A200="","",IF(K200="",0,J200*INDEX(Products!$H$5:$H$204,K200)))</f>
        <v/>
      </c>
      <c r="P200" s="11">
        <f>IF(A200="","",J200-M200-N200-O200)</f>
        <v/>
      </c>
    </row>
    <row r="201">
      <c r="A201">
        <f>IFERROR(INDEX('Shopify Import'!$A:$CZ,201,Settings!$E$20)&amp;"","")</f>
        <v/>
      </c>
      <c r="B201">
        <f>IFERROR(INDEX('Shopify Import'!$A:$CZ,201,Settings!$E$21)&amp;"","")</f>
        <v/>
      </c>
      <c r="C201">
        <f>IFERROR(INDEX('Shopify Import'!$A:$CZ,201,Settings!$E$22)&amp;"","")</f>
        <v/>
      </c>
      <c r="D201">
        <f>IF(A201="","",IFERROR(VALUE(SUBSTITUTE(SUBSTITUTE(INDEX('Shopify Import'!$A:$CZ,201,Settings!$E$23)&amp;"","$",""),",","")),0))</f>
        <v/>
      </c>
      <c r="E201" s="11">
        <f>IF(A201="","",IFERROR(VALUE(SUBSTITUTE(SUBSTITUTE(INDEX('Shopify Import'!$A:$CZ,201,Settings!$E$24)&amp;"","$",""),",","")),0))</f>
        <v/>
      </c>
      <c r="F201" s="11">
        <f>IF(A201="","",D201*E201)</f>
        <v/>
      </c>
      <c r="G201">
        <f>IF(A201="","",IF(C201="",1,COUNTIF($C$2:$C$1501,C201)))</f>
        <v/>
      </c>
      <c r="H201" s="11">
        <f>IF(A201="","",IFERROR(VALUE(SUBSTITUTE(SUBSTITUTE(INDEX('Shopify Import'!$A:$CZ,201,Settings!$E$25)&amp;"","$",""),",","")),0)/IF(Settings!$D$27="Yes",G201,1))</f>
        <v/>
      </c>
      <c r="I201" s="11">
        <f>IF(A201="","",IFERROR(VALUE(SUBSTITUTE(SUBSTITUTE(INDEX('Shopify Import'!$A:$CZ,201,Settings!$E$26)&amp;"","$",""),",","")),0)/IF(Settings!$D$27="Yes",G201,1))</f>
        <v/>
      </c>
      <c r="J201" s="11">
        <f>IF(A201="","",F201+H201-I201)</f>
        <v/>
      </c>
      <c r="K201">
        <f>IF(A201="","",IFERROR(IF(B201="",NA(),MATCH(B201,Products!$B$5:$B$204,0)),IFERROR(MATCH(A201,Products!$A$5:$A$204,0),"")))</f>
        <v/>
      </c>
      <c r="L201">
        <f>IF(A201="","",IF(K201="","⚠ not in Products",INDEX(Products!$A$5:$A$204,K201)))</f>
        <v/>
      </c>
      <c r="M201" s="11">
        <f>IF(A201="","",J201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201+IFERROR(INDEX(Settings!$D$5:$D$9,MATCH("Shopify",Settings!$A$5:$A$9,0)),0)*D201)</f>
        <v/>
      </c>
      <c r="N201" s="11">
        <f>IF(A201="","",IF(K201="",0,D201*INDEX(Products!$I$5:$I$204,K201)))</f>
        <v/>
      </c>
      <c r="O201" s="11">
        <f>IF(A201="","",IF(K201="",0,J201*INDEX(Products!$H$5:$H$204,K201)))</f>
        <v/>
      </c>
      <c r="P201" s="11">
        <f>IF(A201="","",J201-M201-N201-O201)</f>
        <v/>
      </c>
    </row>
    <row r="202">
      <c r="A202">
        <f>IFERROR(INDEX('Shopify Import'!$A:$CZ,202,Settings!$E$20)&amp;"","")</f>
        <v/>
      </c>
      <c r="B202">
        <f>IFERROR(INDEX('Shopify Import'!$A:$CZ,202,Settings!$E$21)&amp;"","")</f>
        <v/>
      </c>
      <c r="C202">
        <f>IFERROR(INDEX('Shopify Import'!$A:$CZ,202,Settings!$E$22)&amp;"","")</f>
        <v/>
      </c>
      <c r="D202">
        <f>IF(A202="","",IFERROR(VALUE(SUBSTITUTE(SUBSTITUTE(INDEX('Shopify Import'!$A:$CZ,202,Settings!$E$23)&amp;"","$",""),",","")),0))</f>
        <v/>
      </c>
      <c r="E202" s="11">
        <f>IF(A202="","",IFERROR(VALUE(SUBSTITUTE(SUBSTITUTE(INDEX('Shopify Import'!$A:$CZ,202,Settings!$E$24)&amp;"","$",""),",","")),0))</f>
        <v/>
      </c>
      <c r="F202" s="11">
        <f>IF(A202="","",D202*E202)</f>
        <v/>
      </c>
      <c r="G202">
        <f>IF(A202="","",IF(C202="",1,COUNTIF($C$2:$C$1501,C202)))</f>
        <v/>
      </c>
      <c r="H202" s="11">
        <f>IF(A202="","",IFERROR(VALUE(SUBSTITUTE(SUBSTITUTE(INDEX('Shopify Import'!$A:$CZ,202,Settings!$E$25)&amp;"","$",""),",","")),0)/IF(Settings!$D$27="Yes",G202,1))</f>
        <v/>
      </c>
      <c r="I202" s="11">
        <f>IF(A202="","",IFERROR(VALUE(SUBSTITUTE(SUBSTITUTE(INDEX('Shopify Import'!$A:$CZ,202,Settings!$E$26)&amp;"","$",""),",","")),0)/IF(Settings!$D$27="Yes",G202,1))</f>
        <v/>
      </c>
      <c r="J202" s="11">
        <f>IF(A202="","",F202+H202-I202)</f>
        <v/>
      </c>
      <c r="K202">
        <f>IF(A202="","",IFERROR(IF(B202="",NA(),MATCH(B202,Products!$B$5:$B$204,0)),IFERROR(MATCH(A202,Products!$A$5:$A$204,0),"")))</f>
        <v/>
      </c>
      <c r="L202">
        <f>IF(A202="","",IF(K202="","⚠ not in Products",INDEX(Products!$A$5:$A$204,K202)))</f>
        <v/>
      </c>
      <c r="M202" s="11">
        <f>IF(A202="","",J202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202+IFERROR(INDEX(Settings!$D$5:$D$9,MATCH("Shopify",Settings!$A$5:$A$9,0)),0)*D202)</f>
        <v/>
      </c>
      <c r="N202" s="11">
        <f>IF(A202="","",IF(K202="",0,D202*INDEX(Products!$I$5:$I$204,K202)))</f>
        <v/>
      </c>
      <c r="O202" s="11">
        <f>IF(A202="","",IF(K202="",0,J202*INDEX(Products!$H$5:$H$204,K202)))</f>
        <v/>
      </c>
      <c r="P202" s="11">
        <f>IF(A202="","",J202-M202-N202-O202)</f>
        <v/>
      </c>
    </row>
    <row r="203">
      <c r="A203">
        <f>IFERROR(INDEX('Shopify Import'!$A:$CZ,203,Settings!$E$20)&amp;"","")</f>
        <v/>
      </c>
      <c r="B203">
        <f>IFERROR(INDEX('Shopify Import'!$A:$CZ,203,Settings!$E$21)&amp;"","")</f>
        <v/>
      </c>
      <c r="C203">
        <f>IFERROR(INDEX('Shopify Import'!$A:$CZ,203,Settings!$E$22)&amp;"","")</f>
        <v/>
      </c>
      <c r="D203">
        <f>IF(A203="","",IFERROR(VALUE(SUBSTITUTE(SUBSTITUTE(INDEX('Shopify Import'!$A:$CZ,203,Settings!$E$23)&amp;"","$",""),",","")),0))</f>
        <v/>
      </c>
      <c r="E203" s="11">
        <f>IF(A203="","",IFERROR(VALUE(SUBSTITUTE(SUBSTITUTE(INDEX('Shopify Import'!$A:$CZ,203,Settings!$E$24)&amp;"","$",""),",","")),0))</f>
        <v/>
      </c>
      <c r="F203" s="11">
        <f>IF(A203="","",D203*E203)</f>
        <v/>
      </c>
      <c r="G203">
        <f>IF(A203="","",IF(C203="",1,COUNTIF($C$2:$C$1501,C203)))</f>
        <v/>
      </c>
      <c r="H203" s="11">
        <f>IF(A203="","",IFERROR(VALUE(SUBSTITUTE(SUBSTITUTE(INDEX('Shopify Import'!$A:$CZ,203,Settings!$E$25)&amp;"","$",""),",","")),0)/IF(Settings!$D$27="Yes",G203,1))</f>
        <v/>
      </c>
      <c r="I203" s="11">
        <f>IF(A203="","",IFERROR(VALUE(SUBSTITUTE(SUBSTITUTE(INDEX('Shopify Import'!$A:$CZ,203,Settings!$E$26)&amp;"","$",""),",","")),0)/IF(Settings!$D$27="Yes",G203,1))</f>
        <v/>
      </c>
      <c r="J203" s="11">
        <f>IF(A203="","",F203+H203-I203)</f>
        <v/>
      </c>
      <c r="K203">
        <f>IF(A203="","",IFERROR(IF(B203="",NA(),MATCH(B203,Products!$B$5:$B$204,0)),IFERROR(MATCH(A203,Products!$A$5:$A$204,0),"")))</f>
        <v/>
      </c>
      <c r="L203">
        <f>IF(A203="","",IF(K203="","⚠ not in Products",INDEX(Products!$A$5:$A$204,K203)))</f>
        <v/>
      </c>
      <c r="M203" s="11">
        <f>IF(A203="","",J203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203+IFERROR(INDEX(Settings!$D$5:$D$9,MATCH("Shopify",Settings!$A$5:$A$9,0)),0)*D203)</f>
        <v/>
      </c>
      <c r="N203" s="11">
        <f>IF(A203="","",IF(K203="",0,D203*INDEX(Products!$I$5:$I$204,K203)))</f>
        <v/>
      </c>
      <c r="O203" s="11">
        <f>IF(A203="","",IF(K203="",0,J203*INDEX(Products!$H$5:$H$204,K203)))</f>
        <v/>
      </c>
      <c r="P203" s="11">
        <f>IF(A203="","",J203-M203-N203-O203)</f>
        <v/>
      </c>
    </row>
    <row r="204">
      <c r="A204">
        <f>IFERROR(INDEX('Shopify Import'!$A:$CZ,204,Settings!$E$20)&amp;"","")</f>
        <v/>
      </c>
      <c r="B204">
        <f>IFERROR(INDEX('Shopify Import'!$A:$CZ,204,Settings!$E$21)&amp;"","")</f>
        <v/>
      </c>
      <c r="C204">
        <f>IFERROR(INDEX('Shopify Import'!$A:$CZ,204,Settings!$E$22)&amp;"","")</f>
        <v/>
      </c>
      <c r="D204">
        <f>IF(A204="","",IFERROR(VALUE(SUBSTITUTE(SUBSTITUTE(INDEX('Shopify Import'!$A:$CZ,204,Settings!$E$23)&amp;"","$",""),",","")),0))</f>
        <v/>
      </c>
      <c r="E204" s="11">
        <f>IF(A204="","",IFERROR(VALUE(SUBSTITUTE(SUBSTITUTE(INDEX('Shopify Import'!$A:$CZ,204,Settings!$E$24)&amp;"","$",""),",","")),0))</f>
        <v/>
      </c>
      <c r="F204" s="11">
        <f>IF(A204="","",D204*E204)</f>
        <v/>
      </c>
      <c r="G204">
        <f>IF(A204="","",IF(C204="",1,COUNTIF($C$2:$C$1501,C204)))</f>
        <v/>
      </c>
      <c r="H204" s="11">
        <f>IF(A204="","",IFERROR(VALUE(SUBSTITUTE(SUBSTITUTE(INDEX('Shopify Import'!$A:$CZ,204,Settings!$E$25)&amp;"","$",""),",","")),0)/IF(Settings!$D$27="Yes",G204,1))</f>
        <v/>
      </c>
      <c r="I204" s="11">
        <f>IF(A204="","",IFERROR(VALUE(SUBSTITUTE(SUBSTITUTE(INDEX('Shopify Import'!$A:$CZ,204,Settings!$E$26)&amp;"","$",""),",","")),0)/IF(Settings!$D$27="Yes",G204,1))</f>
        <v/>
      </c>
      <c r="J204" s="11">
        <f>IF(A204="","",F204+H204-I204)</f>
        <v/>
      </c>
      <c r="K204">
        <f>IF(A204="","",IFERROR(IF(B204="",NA(),MATCH(B204,Products!$B$5:$B$204,0)),IFERROR(MATCH(A204,Products!$A$5:$A$204,0),"")))</f>
        <v/>
      </c>
      <c r="L204">
        <f>IF(A204="","",IF(K204="","⚠ not in Products",INDEX(Products!$A$5:$A$204,K204)))</f>
        <v/>
      </c>
      <c r="M204" s="11">
        <f>IF(A204="","",J204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204+IFERROR(INDEX(Settings!$D$5:$D$9,MATCH("Shopify",Settings!$A$5:$A$9,0)),0)*D204)</f>
        <v/>
      </c>
      <c r="N204" s="11">
        <f>IF(A204="","",IF(K204="",0,D204*INDEX(Products!$I$5:$I$204,K204)))</f>
        <v/>
      </c>
      <c r="O204" s="11">
        <f>IF(A204="","",IF(K204="",0,J204*INDEX(Products!$H$5:$H$204,K204)))</f>
        <v/>
      </c>
      <c r="P204" s="11">
        <f>IF(A204="","",J204-M204-N204-O204)</f>
        <v/>
      </c>
    </row>
    <row r="205">
      <c r="A205">
        <f>IFERROR(INDEX('Shopify Import'!$A:$CZ,205,Settings!$E$20)&amp;"","")</f>
        <v/>
      </c>
      <c r="B205">
        <f>IFERROR(INDEX('Shopify Import'!$A:$CZ,205,Settings!$E$21)&amp;"","")</f>
        <v/>
      </c>
      <c r="C205">
        <f>IFERROR(INDEX('Shopify Import'!$A:$CZ,205,Settings!$E$22)&amp;"","")</f>
        <v/>
      </c>
      <c r="D205">
        <f>IF(A205="","",IFERROR(VALUE(SUBSTITUTE(SUBSTITUTE(INDEX('Shopify Import'!$A:$CZ,205,Settings!$E$23)&amp;"","$",""),",","")),0))</f>
        <v/>
      </c>
      <c r="E205" s="11">
        <f>IF(A205="","",IFERROR(VALUE(SUBSTITUTE(SUBSTITUTE(INDEX('Shopify Import'!$A:$CZ,205,Settings!$E$24)&amp;"","$",""),",","")),0))</f>
        <v/>
      </c>
      <c r="F205" s="11">
        <f>IF(A205="","",D205*E205)</f>
        <v/>
      </c>
      <c r="G205">
        <f>IF(A205="","",IF(C205="",1,COUNTIF($C$2:$C$1501,C205)))</f>
        <v/>
      </c>
      <c r="H205" s="11">
        <f>IF(A205="","",IFERROR(VALUE(SUBSTITUTE(SUBSTITUTE(INDEX('Shopify Import'!$A:$CZ,205,Settings!$E$25)&amp;"","$",""),",","")),0)/IF(Settings!$D$27="Yes",G205,1))</f>
        <v/>
      </c>
      <c r="I205" s="11">
        <f>IF(A205="","",IFERROR(VALUE(SUBSTITUTE(SUBSTITUTE(INDEX('Shopify Import'!$A:$CZ,205,Settings!$E$26)&amp;"","$",""),",","")),0)/IF(Settings!$D$27="Yes",G205,1))</f>
        <v/>
      </c>
      <c r="J205" s="11">
        <f>IF(A205="","",F205+H205-I205)</f>
        <v/>
      </c>
      <c r="K205">
        <f>IF(A205="","",IFERROR(IF(B205="",NA(),MATCH(B205,Products!$B$5:$B$204,0)),IFERROR(MATCH(A205,Products!$A$5:$A$204,0),"")))</f>
        <v/>
      </c>
      <c r="L205">
        <f>IF(A205="","",IF(K205="","⚠ not in Products",INDEX(Products!$A$5:$A$204,K205)))</f>
        <v/>
      </c>
      <c r="M205" s="11">
        <f>IF(A205="","",J205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205+IFERROR(INDEX(Settings!$D$5:$D$9,MATCH("Shopify",Settings!$A$5:$A$9,0)),0)*D205)</f>
        <v/>
      </c>
      <c r="N205" s="11">
        <f>IF(A205="","",IF(K205="",0,D205*INDEX(Products!$I$5:$I$204,K205)))</f>
        <v/>
      </c>
      <c r="O205" s="11">
        <f>IF(A205="","",IF(K205="",0,J205*INDEX(Products!$H$5:$H$204,K205)))</f>
        <v/>
      </c>
      <c r="P205" s="11">
        <f>IF(A205="","",J205-M205-N205-O205)</f>
        <v/>
      </c>
    </row>
    <row r="206">
      <c r="A206">
        <f>IFERROR(INDEX('Shopify Import'!$A:$CZ,206,Settings!$E$20)&amp;"","")</f>
        <v/>
      </c>
      <c r="B206">
        <f>IFERROR(INDEX('Shopify Import'!$A:$CZ,206,Settings!$E$21)&amp;"","")</f>
        <v/>
      </c>
      <c r="C206">
        <f>IFERROR(INDEX('Shopify Import'!$A:$CZ,206,Settings!$E$22)&amp;"","")</f>
        <v/>
      </c>
      <c r="D206">
        <f>IF(A206="","",IFERROR(VALUE(SUBSTITUTE(SUBSTITUTE(INDEX('Shopify Import'!$A:$CZ,206,Settings!$E$23)&amp;"","$",""),",","")),0))</f>
        <v/>
      </c>
      <c r="E206" s="11">
        <f>IF(A206="","",IFERROR(VALUE(SUBSTITUTE(SUBSTITUTE(INDEX('Shopify Import'!$A:$CZ,206,Settings!$E$24)&amp;"","$",""),",","")),0))</f>
        <v/>
      </c>
      <c r="F206" s="11">
        <f>IF(A206="","",D206*E206)</f>
        <v/>
      </c>
      <c r="G206">
        <f>IF(A206="","",IF(C206="",1,COUNTIF($C$2:$C$1501,C206)))</f>
        <v/>
      </c>
      <c r="H206" s="11">
        <f>IF(A206="","",IFERROR(VALUE(SUBSTITUTE(SUBSTITUTE(INDEX('Shopify Import'!$A:$CZ,206,Settings!$E$25)&amp;"","$",""),",","")),0)/IF(Settings!$D$27="Yes",G206,1))</f>
        <v/>
      </c>
      <c r="I206" s="11">
        <f>IF(A206="","",IFERROR(VALUE(SUBSTITUTE(SUBSTITUTE(INDEX('Shopify Import'!$A:$CZ,206,Settings!$E$26)&amp;"","$",""),",","")),0)/IF(Settings!$D$27="Yes",G206,1))</f>
        <v/>
      </c>
      <c r="J206" s="11">
        <f>IF(A206="","",F206+H206-I206)</f>
        <v/>
      </c>
      <c r="K206">
        <f>IF(A206="","",IFERROR(IF(B206="",NA(),MATCH(B206,Products!$B$5:$B$204,0)),IFERROR(MATCH(A206,Products!$A$5:$A$204,0),"")))</f>
        <v/>
      </c>
      <c r="L206">
        <f>IF(A206="","",IF(K206="","⚠ not in Products",INDEX(Products!$A$5:$A$204,K206)))</f>
        <v/>
      </c>
      <c r="M206" s="11">
        <f>IF(A206="","",J206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206+IFERROR(INDEX(Settings!$D$5:$D$9,MATCH("Shopify",Settings!$A$5:$A$9,0)),0)*D206)</f>
        <v/>
      </c>
      <c r="N206" s="11">
        <f>IF(A206="","",IF(K206="",0,D206*INDEX(Products!$I$5:$I$204,K206)))</f>
        <v/>
      </c>
      <c r="O206" s="11">
        <f>IF(A206="","",IF(K206="",0,J206*INDEX(Products!$H$5:$H$204,K206)))</f>
        <v/>
      </c>
      <c r="P206" s="11">
        <f>IF(A206="","",J206-M206-N206-O206)</f>
        <v/>
      </c>
    </row>
    <row r="207">
      <c r="A207">
        <f>IFERROR(INDEX('Shopify Import'!$A:$CZ,207,Settings!$E$20)&amp;"","")</f>
        <v/>
      </c>
      <c r="B207">
        <f>IFERROR(INDEX('Shopify Import'!$A:$CZ,207,Settings!$E$21)&amp;"","")</f>
        <v/>
      </c>
      <c r="C207">
        <f>IFERROR(INDEX('Shopify Import'!$A:$CZ,207,Settings!$E$22)&amp;"","")</f>
        <v/>
      </c>
      <c r="D207">
        <f>IF(A207="","",IFERROR(VALUE(SUBSTITUTE(SUBSTITUTE(INDEX('Shopify Import'!$A:$CZ,207,Settings!$E$23)&amp;"","$",""),",","")),0))</f>
        <v/>
      </c>
      <c r="E207" s="11">
        <f>IF(A207="","",IFERROR(VALUE(SUBSTITUTE(SUBSTITUTE(INDEX('Shopify Import'!$A:$CZ,207,Settings!$E$24)&amp;"","$",""),",","")),0))</f>
        <v/>
      </c>
      <c r="F207" s="11">
        <f>IF(A207="","",D207*E207)</f>
        <v/>
      </c>
      <c r="G207">
        <f>IF(A207="","",IF(C207="",1,COUNTIF($C$2:$C$1501,C207)))</f>
        <v/>
      </c>
      <c r="H207" s="11">
        <f>IF(A207="","",IFERROR(VALUE(SUBSTITUTE(SUBSTITUTE(INDEX('Shopify Import'!$A:$CZ,207,Settings!$E$25)&amp;"","$",""),",","")),0)/IF(Settings!$D$27="Yes",G207,1))</f>
        <v/>
      </c>
      <c r="I207" s="11">
        <f>IF(A207="","",IFERROR(VALUE(SUBSTITUTE(SUBSTITUTE(INDEX('Shopify Import'!$A:$CZ,207,Settings!$E$26)&amp;"","$",""),",","")),0)/IF(Settings!$D$27="Yes",G207,1))</f>
        <v/>
      </c>
      <c r="J207" s="11">
        <f>IF(A207="","",F207+H207-I207)</f>
        <v/>
      </c>
      <c r="K207">
        <f>IF(A207="","",IFERROR(IF(B207="",NA(),MATCH(B207,Products!$B$5:$B$204,0)),IFERROR(MATCH(A207,Products!$A$5:$A$204,0),"")))</f>
        <v/>
      </c>
      <c r="L207">
        <f>IF(A207="","",IF(K207="","⚠ not in Products",INDEX(Products!$A$5:$A$204,K207)))</f>
        <v/>
      </c>
      <c r="M207" s="11">
        <f>IF(A207="","",J207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207+IFERROR(INDEX(Settings!$D$5:$D$9,MATCH("Shopify",Settings!$A$5:$A$9,0)),0)*D207)</f>
        <v/>
      </c>
      <c r="N207" s="11">
        <f>IF(A207="","",IF(K207="",0,D207*INDEX(Products!$I$5:$I$204,K207)))</f>
        <v/>
      </c>
      <c r="O207" s="11">
        <f>IF(A207="","",IF(K207="",0,J207*INDEX(Products!$H$5:$H$204,K207)))</f>
        <v/>
      </c>
      <c r="P207" s="11">
        <f>IF(A207="","",J207-M207-N207-O207)</f>
        <v/>
      </c>
    </row>
    <row r="208">
      <c r="A208">
        <f>IFERROR(INDEX('Shopify Import'!$A:$CZ,208,Settings!$E$20)&amp;"","")</f>
        <v/>
      </c>
      <c r="B208">
        <f>IFERROR(INDEX('Shopify Import'!$A:$CZ,208,Settings!$E$21)&amp;"","")</f>
        <v/>
      </c>
      <c r="C208">
        <f>IFERROR(INDEX('Shopify Import'!$A:$CZ,208,Settings!$E$22)&amp;"","")</f>
        <v/>
      </c>
      <c r="D208">
        <f>IF(A208="","",IFERROR(VALUE(SUBSTITUTE(SUBSTITUTE(INDEX('Shopify Import'!$A:$CZ,208,Settings!$E$23)&amp;"","$",""),",","")),0))</f>
        <v/>
      </c>
      <c r="E208" s="11">
        <f>IF(A208="","",IFERROR(VALUE(SUBSTITUTE(SUBSTITUTE(INDEX('Shopify Import'!$A:$CZ,208,Settings!$E$24)&amp;"","$",""),",","")),0))</f>
        <v/>
      </c>
      <c r="F208" s="11">
        <f>IF(A208="","",D208*E208)</f>
        <v/>
      </c>
      <c r="G208">
        <f>IF(A208="","",IF(C208="",1,COUNTIF($C$2:$C$1501,C208)))</f>
        <v/>
      </c>
      <c r="H208" s="11">
        <f>IF(A208="","",IFERROR(VALUE(SUBSTITUTE(SUBSTITUTE(INDEX('Shopify Import'!$A:$CZ,208,Settings!$E$25)&amp;"","$",""),",","")),0)/IF(Settings!$D$27="Yes",G208,1))</f>
        <v/>
      </c>
      <c r="I208" s="11">
        <f>IF(A208="","",IFERROR(VALUE(SUBSTITUTE(SUBSTITUTE(INDEX('Shopify Import'!$A:$CZ,208,Settings!$E$26)&amp;"","$",""),",","")),0)/IF(Settings!$D$27="Yes",G208,1))</f>
        <v/>
      </c>
      <c r="J208" s="11">
        <f>IF(A208="","",F208+H208-I208)</f>
        <v/>
      </c>
      <c r="K208">
        <f>IF(A208="","",IFERROR(IF(B208="",NA(),MATCH(B208,Products!$B$5:$B$204,0)),IFERROR(MATCH(A208,Products!$A$5:$A$204,0),"")))</f>
        <v/>
      </c>
      <c r="L208">
        <f>IF(A208="","",IF(K208="","⚠ not in Products",INDEX(Products!$A$5:$A$204,K208)))</f>
        <v/>
      </c>
      <c r="M208" s="11">
        <f>IF(A208="","",J208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208+IFERROR(INDEX(Settings!$D$5:$D$9,MATCH("Shopify",Settings!$A$5:$A$9,0)),0)*D208)</f>
        <v/>
      </c>
      <c r="N208" s="11">
        <f>IF(A208="","",IF(K208="",0,D208*INDEX(Products!$I$5:$I$204,K208)))</f>
        <v/>
      </c>
      <c r="O208" s="11">
        <f>IF(A208="","",IF(K208="",0,J208*INDEX(Products!$H$5:$H$204,K208)))</f>
        <v/>
      </c>
      <c r="P208" s="11">
        <f>IF(A208="","",J208-M208-N208-O208)</f>
        <v/>
      </c>
    </row>
    <row r="209">
      <c r="A209">
        <f>IFERROR(INDEX('Shopify Import'!$A:$CZ,209,Settings!$E$20)&amp;"","")</f>
        <v/>
      </c>
      <c r="B209">
        <f>IFERROR(INDEX('Shopify Import'!$A:$CZ,209,Settings!$E$21)&amp;"","")</f>
        <v/>
      </c>
      <c r="C209">
        <f>IFERROR(INDEX('Shopify Import'!$A:$CZ,209,Settings!$E$22)&amp;"","")</f>
        <v/>
      </c>
      <c r="D209">
        <f>IF(A209="","",IFERROR(VALUE(SUBSTITUTE(SUBSTITUTE(INDEX('Shopify Import'!$A:$CZ,209,Settings!$E$23)&amp;"","$",""),",","")),0))</f>
        <v/>
      </c>
      <c r="E209" s="11">
        <f>IF(A209="","",IFERROR(VALUE(SUBSTITUTE(SUBSTITUTE(INDEX('Shopify Import'!$A:$CZ,209,Settings!$E$24)&amp;"","$",""),",","")),0))</f>
        <v/>
      </c>
      <c r="F209" s="11">
        <f>IF(A209="","",D209*E209)</f>
        <v/>
      </c>
      <c r="G209">
        <f>IF(A209="","",IF(C209="",1,COUNTIF($C$2:$C$1501,C209)))</f>
        <v/>
      </c>
      <c r="H209" s="11">
        <f>IF(A209="","",IFERROR(VALUE(SUBSTITUTE(SUBSTITUTE(INDEX('Shopify Import'!$A:$CZ,209,Settings!$E$25)&amp;"","$",""),",","")),0)/IF(Settings!$D$27="Yes",G209,1))</f>
        <v/>
      </c>
      <c r="I209" s="11">
        <f>IF(A209="","",IFERROR(VALUE(SUBSTITUTE(SUBSTITUTE(INDEX('Shopify Import'!$A:$CZ,209,Settings!$E$26)&amp;"","$",""),",","")),0)/IF(Settings!$D$27="Yes",G209,1))</f>
        <v/>
      </c>
      <c r="J209" s="11">
        <f>IF(A209="","",F209+H209-I209)</f>
        <v/>
      </c>
      <c r="K209">
        <f>IF(A209="","",IFERROR(IF(B209="",NA(),MATCH(B209,Products!$B$5:$B$204,0)),IFERROR(MATCH(A209,Products!$A$5:$A$204,0),"")))</f>
        <v/>
      </c>
      <c r="L209">
        <f>IF(A209="","",IF(K209="","⚠ not in Products",INDEX(Products!$A$5:$A$204,K209)))</f>
        <v/>
      </c>
      <c r="M209" s="11">
        <f>IF(A209="","",J209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209+IFERROR(INDEX(Settings!$D$5:$D$9,MATCH("Shopify",Settings!$A$5:$A$9,0)),0)*D209)</f>
        <v/>
      </c>
      <c r="N209" s="11">
        <f>IF(A209="","",IF(K209="",0,D209*INDEX(Products!$I$5:$I$204,K209)))</f>
        <v/>
      </c>
      <c r="O209" s="11">
        <f>IF(A209="","",IF(K209="",0,J209*INDEX(Products!$H$5:$H$204,K209)))</f>
        <v/>
      </c>
      <c r="P209" s="11">
        <f>IF(A209="","",J209-M209-N209-O209)</f>
        <v/>
      </c>
    </row>
    <row r="210">
      <c r="A210">
        <f>IFERROR(INDEX('Shopify Import'!$A:$CZ,210,Settings!$E$20)&amp;"","")</f>
        <v/>
      </c>
      <c r="B210">
        <f>IFERROR(INDEX('Shopify Import'!$A:$CZ,210,Settings!$E$21)&amp;"","")</f>
        <v/>
      </c>
      <c r="C210">
        <f>IFERROR(INDEX('Shopify Import'!$A:$CZ,210,Settings!$E$22)&amp;"","")</f>
        <v/>
      </c>
      <c r="D210">
        <f>IF(A210="","",IFERROR(VALUE(SUBSTITUTE(SUBSTITUTE(INDEX('Shopify Import'!$A:$CZ,210,Settings!$E$23)&amp;"","$",""),",","")),0))</f>
        <v/>
      </c>
      <c r="E210" s="11">
        <f>IF(A210="","",IFERROR(VALUE(SUBSTITUTE(SUBSTITUTE(INDEX('Shopify Import'!$A:$CZ,210,Settings!$E$24)&amp;"","$",""),",","")),0))</f>
        <v/>
      </c>
      <c r="F210" s="11">
        <f>IF(A210="","",D210*E210)</f>
        <v/>
      </c>
      <c r="G210">
        <f>IF(A210="","",IF(C210="",1,COUNTIF($C$2:$C$1501,C210)))</f>
        <v/>
      </c>
      <c r="H210" s="11">
        <f>IF(A210="","",IFERROR(VALUE(SUBSTITUTE(SUBSTITUTE(INDEX('Shopify Import'!$A:$CZ,210,Settings!$E$25)&amp;"","$",""),",","")),0)/IF(Settings!$D$27="Yes",G210,1))</f>
        <v/>
      </c>
      <c r="I210" s="11">
        <f>IF(A210="","",IFERROR(VALUE(SUBSTITUTE(SUBSTITUTE(INDEX('Shopify Import'!$A:$CZ,210,Settings!$E$26)&amp;"","$",""),",","")),0)/IF(Settings!$D$27="Yes",G210,1))</f>
        <v/>
      </c>
      <c r="J210" s="11">
        <f>IF(A210="","",F210+H210-I210)</f>
        <v/>
      </c>
      <c r="K210">
        <f>IF(A210="","",IFERROR(IF(B210="",NA(),MATCH(B210,Products!$B$5:$B$204,0)),IFERROR(MATCH(A210,Products!$A$5:$A$204,0),"")))</f>
        <v/>
      </c>
      <c r="L210">
        <f>IF(A210="","",IF(K210="","⚠ not in Products",INDEX(Products!$A$5:$A$204,K210)))</f>
        <v/>
      </c>
      <c r="M210" s="11">
        <f>IF(A210="","",J210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210+IFERROR(INDEX(Settings!$D$5:$D$9,MATCH("Shopify",Settings!$A$5:$A$9,0)),0)*D210)</f>
        <v/>
      </c>
      <c r="N210" s="11">
        <f>IF(A210="","",IF(K210="",0,D210*INDEX(Products!$I$5:$I$204,K210)))</f>
        <v/>
      </c>
      <c r="O210" s="11">
        <f>IF(A210="","",IF(K210="",0,J210*INDEX(Products!$H$5:$H$204,K210)))</f>
        <v/>
      </c>
      <c r="P210" s="11">
        <f>IF(A210="","",J210-M210-N210-O210)</f>
        <v/>
      </c>
    </row>
    <row r="211">
      <c r="A211">
        <f>IFERROR(INDEX('Shopify Import'!$A:$CZ,211,Settings!$E$20)&amp;"","")</f>
        <v/>
      </c>
      <c r="B211">
        <f>IFERROR(INDEX('Shopify Import'!$A:$CZ,211,Settings!$E$21)&amp;"","")</f>
        <v/>
      </c>
      <c r="C211">
        <f>IFERROR(INDEX('Shopify Import'!$A:$CZ,211,Settings!$E$22)&amp;"","")</f>
        <v/>
      </c>
      <c r="D211">
        <f>IF(A211="","",IFERROR(VALUE(SUBSTITUTE(SUBSTITUTE(INDEX('Shopify Import'!$A:$CZ,211,Settings!$E$23)&amp;"","$",""),",","")),0))</f>
        <v/>
      </c>
      <c r="E211" s="11">
        <f>IF(A211="","",IFERROR(VALUE(SUBSTITUTE(SUBSTITUTE(INDEX('Shopify Import'!$A:$CZ,211,Settings!$E$24)&amp;"","$",""),",","")),0))</f>
        <v/>
      </c>
      <c r="F211" s="11">
        <f>IF(A211="","",D211*E211)</f>
        <v/>
      </c>
      <c r="G211">
        <f>IF(A211="","",IF(C211="",1,COUNTIF($C$2:$C$1501,C211)))</f>
        <v/>
      </c>
      <c r="H211" s="11">
        <f>IF(A211="","",IFERROR(VALUE(SUBSTITUTE(SUBSTITUTE(INDEX('Shopify Import'!$A:$CZ,211,Settings!$E$25)&amp;"","$",""),",","")),0)/IF(Settings!$D$27="Yes",G211,1))</f>
        <v/>
      </c>
      <c r="I211" s="11">
        <f>IF(A211="","",IFERROR(VALUE(SUBSTITUTE(SUBSTITUTE(INDEX('Shopify Import'!$A:$CZ,211,Settings!$E$26)&amp;"","$",""),",","")),0)/IF(Settings!$D$27="Yes",G211,1))</f>
        <v/>
      </c>
      <c r="J211" s="11">
        <f>IF(A211="","",F211+H211-I211)</f>
        <v/>
      </c>
      <c r="K211">
        <f>IF(A211="","",IFERROR(IF(B211="",NA(),MATCH(B211,Products!$B$5:$B$204,0)),IFERROR(MATCH(A211,Products!$A$5:$A$204,0),"")))</f>
        <v/>
      </c>
      <c r="L211">
        <f>IF(A211="","",IF(K211="","⚠ not in Products",INDEX(Products!$A$5:$A$204,K211)))</f>
        <v/>
      </c>
      <c r="M211" s="11">
        <f>IF(A211="","",J211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211+IFERROR(INDEX(Settings!$D$5:$D$9,MATCH("Shopify",Settings!$A$5:$A$9,0)),0)*D211)</f>
        <v/>
      </c>
      <c r="N211" s="11">
        <f>IF(A211="","",IF(K211="",0,D211*INDEX(Products!$I$5:$I$204,K211)))</f>
        <v/>
      </c>
      <c r="O211" s="11">
        <f>IF(A211="","",IF(K211="",0,J211*INDEX(Products!$H$5:$H$204,K211)))</f>
        <v/>
      </c>
      <c r="P211" s="11">
        <f>IF(A211="","",J211-M211-N211-O211)</f>
        <v/>
      </c>
    </row>
    <row r="212">
      <c r="A212">
        <f>IFERROR(INDEX('Shopify Import'!$A:$CZ,212,Settings!$E$20)&amp;"","")</f>
        <v/>
      </c>
      <c r="B212">
        <f>IFERROR(INDEX('Shopify Import'!$A:$CZ,212,Settings!$E$21)&amp;"","")</f>
        <v/>
      </c>
      <c r="C212">
        <f>IFERROR(INDEX('Shopify Import'!$A:$CZ,212,Settings!$E$22)&amp;"","")</f>
        <v/>
      </c>
      <c r="D212">
        <f>IF(A212="","",IFERROR(VALUE(SUBSTITUTE(SUBSTITUTE(INDEX('Shopify Import'!$A:$CZ,212,Settings!$E$23)&amp;"","$",""),",","")),0))</f>
        <v/>
      </c>
      <c r="E212" s="11">
        <f>IF(A212="","",IFERROR(VALUE(SUBSTITUTE(SUBSTITUTE(INDEX('Shopify Import'!$A:$CZ,212,Settings!$E$24)&amp;"","$",""),",","")),0))</f>
        <v/>
      </c>
      <c r="F212" s="11">
        <f>IF(A212="","",D212*E212)</f>
        <v/>
      </c>
      <c r="G212">
        <f>IF(A212="","",IF(C212="",1,COUNTIF($C$2:$C$1501,C212)))</f>
        <v/>
      </c>
      <c r="H212" s="11">
        <f>IF(A212="","",IFERROR(VALUE(SUBSTITUTE(SUBSTITUTE(INDEX('Shopify Import'!$A:$CZ,212,Settings!$E$25)&amp;"","$",""),",","")),0)/IF(Settings!$D$27="Yes",G212,1))</f>
        <v/>
      </c>
      <c r="I212" s="11">
        <f>IF(A212="","",IFERROR(VALUE(SUBSTITUTE(SUBSTITUTE(INDEX('Shopify Import'!$A:$CZ,212,Settings!$E$26)&amp;"","$",""),",","")),0)/IF(Settings!$D$27="Yes",G212,1))</f>
        <v/>
      </c>
      <c r="J212" s="11">
        <f>IF(A212="","",F212+H212-I212)</f>
        <v/>
      </c>
      <c r="K212">
        <f>IF(A212="","",IFERROR(IF(B212="",NA(),MATCH(B212,Products!$B$5:$B$204,0)),IFERROR(MATCH(A212,Products!$A$5:$A$204,0),"")))</f>
        <v/>
      </c>
      <c r="L212">
        <f>IF(A212="","",IF(K212="","⚠ not in Products",INDEX(Products!$A$5:$A$204,K212)))</f>
        <v/>
      </c>
      <c r="M212" s="11">
        <f>IF(A212="","",J212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212+IFERROR(INDEX(Settings!$D$5:$D$9,MATCH("Shopify",Settings!$A$5:$A$9,0)),0)*D212)</f>
        <v/>
      </c>
      <c r="N212" s="11">
        <f>IF(A212="","",IF(K212="",0,D212*INDEX(Products!$I$5:$I$204,K212)))</f>
        <v/>
      </c>
      <c r="O212" s="11">
        <f>IF(A212="","",IF(K212="",0,J212*INDEX(Products!$H$5:$H$204,K212)))</f>
        <v/>
      </c>
      <c r="P212" s="11">
        <f>IF(A212="","",J212-M212-N212-O212)</f>
        <v/>
      </c>
    </row>
    <row r="213">
      <c r="A213">
        <f>IFERROR(INDEX('Shopify Import'!$A:$CZ,213,Settings!$E$20)&amp;"","")</f>
        <v/>
      </c>
      <c r="B213">
        <f>IFERROR(INDEX('Shopify Import'!$A:$CZ,213,Settings!$E$21)&amp;"","")</f>
        <v/>
      </c>
      <c r="C213">
        <f>IFERROR(INDEX('Shopify Import'!$A:$CZ,213,Settings!$E$22)&amp;"","")</f>
        <v/>
      </c>
      <c r="D213">
        <f>IF(A213="","",IFERROR(VALUE(SUBSTITUTE(SUBSTITUTE(INDEX('Shopify Import'!$A:$CZ,213,Settings!$E$23)&amp;"","$",""),",","")),0))</f>
        <v/>
      </c>
      <c r="E213" s="11">
        <f>IF(A213="","",IFERROR(VALUE(SUBSTITUTE(SUBSTITUTE(INDEX('Shopify Import'!$A:$CZ,213,Settings!$E$24)&amp;"","$",""),",","")),0))</f>
        <v/>
      </c>
      <c r="F213" s="11">
        <f>IF(A213="","",D213*E213)</f>
        <v/>
      </c>
      <c r="G213">
        <f>IF(A213="","",IF(C213="",1,COUNTIF($C$2:$C$1501,C213)))</f>
        <v/>
      </c>
      <c r="H213" s="11">
        <f>IF(A213="","",IFERROR(VALUE(SUBSTITUTE(SUBSTITUTE(INDEX('Shopify Import'!$A:$CZ,213,Settings!$E$25)&amp;"","$",""),",","")),0)/IF(Settings!$D$27="Yes",G213,1))</f>
        <v/>
      </c>
      <c r="I213" s="11">
        <f>IF(A213="","",IFERROR(VALUE(SUBSTITUTE(SUBSTITUTE(INDEX('Shopify Import'!$A:$CZ,213,Settings!$E$26)&amp;"","$",""),",","")),0)/IF(Settings!$D$27="Yes",G213,1))</f>
        <v/>
      </c>
      <c r="J213" s="11">
        <f>IF(A213="","",F213+H213-I213)</f>
        <v/>
      </c>
      <c r="K213">
        <f>IF(A213="","",IFERROR(IF(B213="",NA(),MATCH(B213,Products!$B$5:$B$204,0)),IFERROR(MATCH(A213,Products!$A$5:$A$204,0),"")))</f>
        <v/>
      </c>
      <c r="L213">
        <f>IF(A213="","",IF(K213="","⚠ not in Products",INDEX(Products!$A$5:$A$204,K213)))</f>
        <v/>
      </c>
      <c r="M213" s="11">
        <f>IF(A213="","",J213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213+IFERROR(INDEX(Settings!$D$5:$D$9,MATCH("Shopify",Settings!$A$5:$A$9,0)),0)*D213)</f>
        <v/>
      </c>
      <c r="N213" s="11">
        <f>IF(A213="","",IF(K213="",0,D213*INDEX(Products!$I$5:$I$204,K213)))</f>
        <v/>
      </c>
      <c r="O213" s="11">
        <f>IF(A213="","",IF(K213="",0,J213*INDEX(Products!$H$5:$H$204,K213)))</f>
        <v/>
      </c>
      <c r="P213" s="11">
        <f>IF(A213="","",J213-M213-N213-O213)</f>
        <v/>
      </c>
    </row>
    <row r="214">
      <c r="A214">
        <f>IFERROR(INDEX('Shopify Import'!$A:$CZ,214,Settings!$E$20)&amp;"","")</f>
        <v/>
      </c>
      <c r="B214">
        <f>IFERROR(INDEX('Shopify Import'!$A:$CZ,214,Settings!$E$21)&amp;"","")</f>
        <v/>
      </c>
      <c r="C214">
        <f>IFERROR(INDEX('Shopify Import'!$A:$CZ,214,Settings!$E$22)&amp;"","")</f>
        <v/>
      </c>
      <c r="D214">
        <f>IF(A214="","",IFERROR(VALUE(SUBSTITUTE(SUBSTITUTE(INDEX('Shopify Import'!$A:$CZ,214,Settings!$E$23)&amp;"","$",""),",","")),0))</f>
        <v/>
      </c>
      <c r="E214" s="11">
        <f>IF(A214="","",IFERROR(VALUE(SUBSTITUTE(SUBSTITUTE(INDEX('Shopify Import'!$A:$CZ,214,Settings!$E$24)&amp;"","$",""),",","")),0))</f>
        <v/>
      </c>
      <c r="F214" s="11">
        <f>IF(A214="","",D214*E214)</f>
        <v/>
      </c>
      <c r="G214">
        <f>IF(A214="","",IF(C214="",1,COUNTIF($C$2:$C$1501,C214)))</f>
        <v/>
      </c>
      <c r="H214" s="11">
        <f>IF(A214="","",IFERROR(VALUE(SUBSTITUTE(SUBSTITUTE(INDEX('Shopify Import'!$A:$CZ,214,Settings!$E$25)&amp;"","$",""),",","")),0)/IF(Settings!$D$27="Yes",G214,1))</f>
        <v/>
      </c>
      <c r="I214" s="11">
        <f>IF(A214="","",IFERROR(VALUE(SUBSTITUTE(SUBSTITUTE(INDEX('Shopify Import'!$A:$CZ,214,Settings!$E$26)&amp;"","$",""),",","")),0)/IF(Settings!$D$27="Yes",G214,1))</f>
        <v/>
      </c>
      <c r="J214" s="11">
        <f>IF(A214="","",F214+H214-I214)</f>
        <v/>
      </c>
      <c r="K214">
        <f>IF(A214="","",IFERROR(IF(B214="",NA(),MATCH(B214,Products!$B$5:$B$204,0)),IFERROR(MATCH(A214,Products!$A$5:$A$204,0),"")))</f>
        <v/>
      </c>
      <c r="L214">
        <f>IF(A214="","",IF(K214="","⚠ not in Products",INDEX(Products!$A$5:$A$204,K214)))</f>
        <v/>
      </c>
      <c r="M214" s="11">
        <f>IF(A214="","",J214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214+IFERROR(INDEX(Settings!$D$5:$D$9,MATCH("Shopify",Settings!$A$5:$A$9,0)),0)*D214)</f>
        <v/>
      </c>
      <c r="N214" s="11">
        <f>IF(A214="","",IF(K214="",0,D214*INDEX(Products!$I$5:$I$204,K214)))</f>
        <v/>
      </c>
      <c r="O214" s="11">
        <f>IF(A214="","",IF(K214="",0,J214*INDEX(Products!$H$5:$H$204,K214)))</f>
        <v/>
      </c>
      <c r="P214" s="11">
        <f>IF(A214="","",J214-M214-N214-O214)</f>
        <v/>
      </c>
    </row>
    <row r="215">
      <c r="A215">
        <f>IFERROR(INDEX('Shopify Import'!$A:$CZ,215,Settings!$E$20)&amp;"","")</f>
        <v/>
      </c>
      <c r="B215">
        <f>IFERROR(INDEX('Shopify Import'!$A:$CZ,215,Settings!$E$21)&amp;"","")</f>
        <v/>
      </c>
      <c r="C215">
        <f>IFERROR(INDEX('Shopify Import'!$A:$CZ,215,Settings!$E$22)&amp;"","")</f>
        <v/>
      </c>
      <c r="D215">
        <f>IF(A215="","",IFERROR(VALUE(SUBSTITUTE(SUBSTITUTE(INDEX('Shopify Import'!$A:$CZ,215,Settings!$E$23)&amp;"","$",""),",","")),0))</f>
        <v/>
      </c>
      <c r="E215" s="11">
        <f>IF(A215="","",IFERROR(VALUE(SUBSTITUTE(SUBSTITUTE(INDEX('Shopify Import'!$A:$CZ,215,Settings!$E$24)&amp;"","$",""),",","")),0))</f>
        <v/>
      </c>
      <c r="F215" s="11">
        <f>IF(A215="","",D215*E215)</f>
        <v/>
      </c>
      <c r="G215">
        <f>IF(A215="","",IF(C215="",1,COUNTIF($C$2:$C$1501,C215)))</f>
        <v/>
      </c>
      <c r="H215" s="11">
        <f>IF(A215="","",IFERROR(VALUE(SUBSTITUTE(SUBSTITUTE(INDEX('Shopify Import'!$A:$CZ,215,Settings!$E$25)&amp;"","$",""),",","")),0)/IF(Settings!$D$27="Yes",G215,1))</f>
        <v/>
      </c>
      <c r="I215" s="11">
        <f>IF(A215="","",IFERROR(VALUE(SUBSTITUTE(SUBSTITUTE(INDEX('Shopify Import'!$A:$CZ,215,Settings!$E$26)&amp;"","$",""),",","")),0)/IF(Settings!$D$27="Yes",G215,1))</f>
        <v/>
      </c>
      <c r="J215" s="11">
        <f>IF(A215="","",F215+H215-I215)</f>
        <v/>
      </c>
      <c r="K215">
        <f>IF(A215="","",IFERROR(IF(B215="",NA(),MATCH(B215,Products!$B$5:$B$204,0)),IFERROR(MATCH(A215,Products!$A$5:$A$204,0),"")))</f>
        <v/>
      </c>
      <c r="L215">
        <f>IF(A215="","",IF(K215="","⚠ not in Products",INDEX(Products!$A$5:$A$204,K215)))</f>
        <v/>
      </c>
      <c r="M215" s="11">
        <f>IF(A215="","",J215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215+IFERROR(INDEX(Settings!$D$5:$D$9,MATCH("Shopify",Settings!$A$5:$A$9,0)),0)*D215)</f>
        <v/>
      </c>
      <c r="N215" s="11">
        <f>IF(A215="","",IF(K215="",0,D215*INDEX(Products!$I$5:$I$204,K215)))</f>
        <v/>
      </c>
      <c r="O215" s="11">
        <f>IF(A215="","",IF(K215="",0,J215*INDEX(Products!$H$5:$H$204,K215)))</f>
        <v/>
      </c>
      <c r="P215" s="11">
        <f>IF(A215="","",J215-M215-N215-O215)</f>
        <v/>
      </c>
    </row>
    <row r="216">
      <c r="A216">
        <f>IFERROR(INDEX('Shopify Import'!$A:$CZ,216,Settings!$E$20)&amp;"","")</f>
        <v/>
      </c>
      <c r="B216">
        <f>IFERROR(INDEX('Shopify Import'!$A:$CZ,216,Settings!$E$21)&amp;"","")</f>
        <v/>
      </c>
      <c r="C216">
        <f>IFERROR(INDEX('Shopify Import'!$A:$CZ,216,Settings!$E$22)&amp;"","")</f>
        <v/>
      </c>
      <c r="D216">
        <f>IF(A216="","",IFERROR(VALUE(SUBSTITUTE(SUBSTITUTE(INDEX('Shopify Import'!$A:$CZ,216,Settings!$E$23)&amp;"","$",""),",","")),0))</f>
        <v/>
      </c>
      <c r="E216" s="11">
        <f>IF(A216="","",IFERROR(VALUE(SUBSTITUTE(SUBSTITUTE(INDEX('Shopify Import'!$A:$CZ,216,Settings!$E$24)&amp;"","$",""),",","")),0))</f>
        <v/>
      </c>
      <c r="F216" s="11">
        <f>IF(A216="","",D216*E216)</f>
        <v/>
      </c>
      <c r="G216">
        <f>IF(A216="","",IF(C216="",1,COUNTIF($C$2:$C$1501,C216)))</f>
        <v/>
      </c>
      <c r="H216" s="11">
        <f>IF(A216="","",IFERROR(VALUE(SUBSTITUTE(SUBSTITUTE(INDEX('Shopify Import'!$A:$CZ,216,Settings!$E$25)&amp;"","$",""),",","")),0)/IF(Settings!$D$27="Yes",G216,1))</f>
        <v/>
      </c>
      <c r="I216" s="11">
        <f>IF(A216="","",IFERROR(VALUE(SUBSTITUTE(SUBSTITUTE(INDEX('Shopify Import'!$A:$CZ,216,Settings!$E$26)&amp;"","$",""),",","")),0)/IF(Settings!$D$27="Yes",G216,1))</f>
        <v/>
      </c>
      <c r="J216" s="11">
        <f>IF(A216="","",F216+H216-I216)</f>
        <v/>
      </c>
      <c r="K216">
        <f>IF(A216="","",IFERROR(IF(B216="",NA(),MATCH(B216,Products!$B$5:$B$204,0)),IFERROR(MATCH(A216,Products!$A$5:$A$204,0),"")))</f>
        <v/>
      </c>
      <c r="L216">
        <f>IF(A216="","",IF(K216="","⚠ not in Products",INDEX(Products!$A$5:$A$204,K216)))</f>
        <v/>
      </c>
      <c r="M216" s="11">
        <f>IF(A216="","",J216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216+IFERROR(INDEX(Settings!$D$5:$D$9,MATCH("Shopify",Settings!$A$5:$A$9,0)),0)*D216)</f>
        <v/>
      </c>
      <c r="N216" s="11">
        <f>IF(A216="","",IF(K216="",0,D216*INDEX(Products!$I$5:$I$204,K216)))</f>
        <v/>
      </c>
      <c r="O216" s="11">
        <f>IF(A216="","",IF(K216="",0,J216*INDEX(Products!$H$5:$H$204,K216)))</f>
        <v/>
      </c>
      <c r="P216" s="11">
        <f>IF(A216="","",J216-M216-N216-O216)</f>
        <v/>
      </c>
    </row>
    <row r="217">
      <c r="A217">
        <f>IFERROR(INDEX('Shopify Import'!$A:$CZ,217,Settings!$E$20)&amp;"","")</f>
        <v/>
      </c>
      <c r="B217">
        <f>IFERROR(INDEX('Shopify Import'!$A:$CZ,217,Settings!$E$21)&amp;"","")</f>
        <v/>
      </c>
      <c r="C217">
        <f>IFERROR(INDEX('Shopify Import'!$A:$CZ,217,Settings!$E$22)&amp;"","")</f>
        <v/>
      </c>
      <c r="D217">
        <f>IF(A217="","",IFERROR(VALUE(SUBSTITUTE(SUBSTITUTE(INDEX('Shopify Import'!$A:$CZ,217,Settings!$E$23)&amp;"","$",""),",","")),0))</f>
        <v/>
      </c>
      <c r="E217" s="11">
        <f>IF(A217="","",IFERROR(VALUE(SUBSTITUTE(SUBSTITUTE(INDEX('Shopify Import'!$A:$CZ,217,Settings!$E$24)&amp;"","$",""),",","")),0))</f>
        <v/>
      </c>
      <c r="F217" s="11">
        <f>IF(A217="","",D217*E217)</f>
        <v/>
      </c>
      <c r="G217">
        <f>IF(A217="","",IF(C217="",1,COUNTIF($C$2:$C$1501,C217)))</f>
        <v/>
      </c>
      <c r="H217" s="11">
        <f>IF(A217="","",IFERROR(VALUE(SUBSTITUTE(SUBSTITUTE(INDEX('Shopify Import'!$A:$CZ,217,Settings!$E$25)&amp;"","$",""),",","")),0)/IF(Settings!$D$27="Yes",G217,1))</f>
        <v/>
      </c>
      <c r="I217" s="11">
        <f>IF(A217="","",IFERROR(VALUE(SUBSTITUTE(SUBSTITUTE(INDEX('Shopify Import'!$A:$CZ,217,Settings!$E$26)&amp;"","$",""),",","")),0)/IF(Settings!$D$27="Yes",G217,1))</f>
        <v/>
      </c>
      <c r="J217" s="11">
        <f>IF(A217="","",F217+H217-I217)</f>
        <v/>
      </c>
      <c r="K217">
        <f>IF(A217="","",IFERROR(IF(B217="",NA(),MATCH(B217,Products!$B$5:$B$204,0)),IFERROR(MATCH(A217,Products!$A$5:$A$204,0),"")))</f>
        <v/>
      </c>
      <c r="L217">
        <f>IF(A217="","",IF(K217="","⚠ not in Products",INDEX(Products!$A$5:$A$204,K217)))</f>
        <v/>
      </c>
      <c r="M217" s="11">
        <f>IF(A217="","",J217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217+IFERROR(INDEX(Settings!$D$5:$D$9,MATCH("Shopify",Settings!$A$5:$A$9,0)),0)*D217)</f>
        <v/>
      </c>
      <c r="N217" s="11">
        <f>IF(A217="","",IF(K217="",0,D217*INDEX(Products!$I$5:$I$204,K217)))</f>
        <v/>
      </c>
      <c r="O217" s="11">
        <f>IF(A217="","",IF(K217="",0,J217*INDEX(Products!$H$5:$H$204,K217)))</f>
        <v/>
      </c>
      <c r="P217" s="11">
        <f>IF(A217="","",J217-M217-N217-O217)</f>
        <v/>
      </c>
    </row>
    <row r="218">
      <c r="A218">
        <f>IFERROR(INDEX('Shopify Import'!$A:$CZ,218,Settings!$E$20)&amp;"","")</f>
        <v/>
      </c>
      <c r="B218">
        <f>IFERROR(INDEX('Shopify Import'!$A:$CZ,218,Settings!$E$21)&amp;"","")</f>
        <v/>
      </c>
      <c r="C218">
        <f>IFERROR(INDEX('Shopify Import'!$A:$CZ,218,Settings!$E$22)&amp;"","")</f>
        <v/>
      </c>
      <c r="D218">
        <f>IF(A218="","",IFERROR(VALUE(SUBSTITUTE(SUBSTITUTE(INDEX('Shopify Import'!$A:$CZ,218,Settings!$E$23)&amp;"","$",""),",","")),0))</f>
        <v/>
      </c>
      <c r="E218" s="11">
        <f>IF(A218="","",IFERROR(VALUE(SUBSTITUTE(SUBSTITUTE(INDEX('Shopify Import'!$A:$CZ,218,Settings!$E$24)&amp;"","$",""),",","")),0))</f>
        <v/>
      </c>
      <c r="F218" s="11">
        <f>IF(A218="","",D218*E218)</f>
        <v/>
      </c>
      <c r="G218">
        <f>IF(A218="","",IF(C218="",1,COUNTIF($C$2:$C$1501,C218)))</f>
        <v/>
      </c>
      <c r="H218" s="11">
        <f>IF(A218="","",IFERROR(VALUE(SUBSTITUTE(SUBSTITUTE(INDEX('Shopify Import'!$A:$CZ,218,Settings!$E$25)&amp;"","$",""),",","")),0)/IF(Settings!$D$27="Yes",G218,1))</f>
        <v/>
      </c>
      <c r="I218" s="11">
        <f>IF(A218="","",IFERROR(VALUE(SUBSTITUTE(SUBSTITUTE(INDEX('Shopify Import'!$A:$CZ,218,Settings!$E$26)&amp;"","$",""),",","")),0)/IF(Settings!$D$27="Yes",G218,1))</f>
        <v/>
      </c>
      <c r="J218" s="11">
        <f>IF(A218="","",F218+H218-I218)</f>
        <v/>
      </c>
      <c r="K218">
        <f>IF(A218="","",IFERROR(IF(B218="",NA(),MATCH(B218,Products!$B$5:$B$204,0)),IFERROR(MATCH(A218,Products!$A$5:$A$204,0),"")))</f>
        <v/>
      </c>
      <c r="L218">
        <f>IF(A218="","",IF(K218="","⚠ not in Products",INDEX(Products!$A$5:$A$204,K218)))</f>
        <v/>
      </c>
      <c r="M218" s="11">
        <f>IF(A218="","",J218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218+IFERROR(INDEX(Settings!$D$5:$D$9,MATCH("Shopify",Settings!$A$5:$A$9,0)),0)*D218)</f>
        <v/>
      </c>
      <c r="N218" s="11">
        <f>IF(A218="","",IF(K218="",0,D218*INDEX(Products!$I$5:$I$204,K218)))</f>
        <v/>
      </c>
      <c r="O218" s="11">
        <f>IF(A218="","",IF(K218="",0,J218*INDEX(Products!$H$5:$H$204,K218)))</f>
        <v/>
      </c>
      <c r="P218" s="11">
        <f>IF(A218="","",J218-M218-N218-O218)</f>
        <v/>
      </c>
    </row>
    <row r="219">
      <c r="A219">
        <f>IFERROR(INDEX('Shopify Import'!$A:$CZ,219,Settings!$E$20)&amp;"","")</f>
        <v/>
      </c>
      <c r="B219">
        <f>IFERROR(INDEX('Shopify Import'!$A:$CZ,219,Settings!$E$21)&amp;"","")</f>
        <v/>
      </c>
      <c r="C219">
        <f>IFERROR(INDEX('Shopify Import'!$A:$CZ,219,Settings!$E$22)&amp;"","")</f>
        <v/>
      </c>
      <c r="D219">
        <f>IF(A219="","",IFERROR(VALUE(SUBSTITUTE(SUBSTITUTE(INDEX('Shopify Import'!$A:$CZ,219,Settings!$E$23)&amp;"","$",""),",","")),0))</f>
        <v/>
      </c>
      <c r="E219" s="11">
        <f>IF(A219="","",IFERROR(VALUE(SUBSTITUTE(SUBSTITUTE(INDEX('Shopify Import'!$A:$CZ,219,Settings!$E$24)&amp;"","$",""),",","")),0))</f>
        <v/>
      </c>
      <c r="F219" s="11">
        <f>IF(A219="","",D219*E219)</f>
        <v/>
      </c>
      <c r="G219">
        <f>IF(A219="","",IF(C219="",1,COUNTIF($C$2:$C$1501,C219)))</f>
        <v/>
      </c>
      <c r="H219" s="11">
        <f>IF(A219="","",IFERROR(VALUE(SUBSTITUTE(SUBSTITUTE(INDEX('Shopify Import'!$A:$CZ,219,Settings!$E$25)&amp;"","$",""),",","")),0)/IF(Settings!$D$27="Yes",G219,1))</f>
        <v/>
      </c>
      <c r="I219" s="11">
        <f>IF(A219="","",IFERROR(VALUE(SUBSTITUTE(SUBSTITUTE(INDEX('Shopify Import'!$A:$CZ,219,Settings!$E$26)&amp;"","$",""),",","")),0)/IF(Settings!$D$27="Yes",G219,1))</f>
        <v/>
      </c>
      <c r="J219" s="11">
        <f>IF(A219="","",F219+H219-I219)</f>
        <v/>
      </c>
      <c r="K219">
        <f>IF(A219="","",IFERROR(IF(B219="",NA(),MATCH(B219,Products!$B$5:$B$204,0)),IFERROR(MATCH(A219,Products!$A$5:$A$204,0),"")))</f>
        <v/>
      </c>
      <c r="L219">
        <f>IF(A219="","",IF(K219="","⚠ not in Products",INDEX(Products!$A$5:$A$204,K219)))</f>
        <v/>
      </c>
      <c r="M219" s="11">
        <f>IF(A219="","",J219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219+IFERROR(INDEX(Settings!$D$5:$D$9,MATCH("Shopify",Settings!$A$5:$A$9,0)),0)*D219)</f>
        <v/>
      </c>
      <c r="N219" s="11">
        <f>IF(A219="","",IF(K219="",0,D219*INDEX(Products!$I$5:$I$204,K219)))</f>
        <v/>
      </c>
      <c r="O219" s="11">
        <f>IF(A219="","",IF(K219="",0,J219*INDEX(Products!$H$5:$H$204,K219)))</f>
        <v/>
      </c>
      <c r="P219" s="11">
        <f>IF(A219="","",J219-M219-N219-O219)</f>
        <v/>
      </c>
    </row>
    <row r="220">
      <c r="A220">
        <f>IFERROR(INDEX('Shopify Import'!$A:$CZ,220,Settings!$E$20)&amp;"","")</f>
        <v/>
      </c>
      <c r="B220">
        <f>IFERROR(INDEX('Shopify Import'!$A:$CZ,220,Settings!$E$21)&amp;"","")</f>
        <v/>
      </c>
      <c r="C220">
        <f>IFERROR(INDEX('Shopify Import'!$A:$CZ,220,Settings!$E$22)&amp;"","")</f>
        <v/>
      </c>
      <c r="D220">
        <f>IF(A220="","",IFERROR(VALUE(SUBSTITUTE(SUBSTITUTE(INDEX('Shopify Import'!$A:$CZ,220,Settings!$E$23)&amp;"","$",""),",","")),0))</f>
        <v/>
      </c>
      <c r="E220" s="11">
        <f>IF(A220="","",IFERROR(VALUE(SUBSTITUTE(SUBSTITUTE(INDEX('Shopify Import'!$A:$CZ,220,Settings!$E$24)&amp;"","$",""),",","")),0))</f>
        <v/>
      </c>
      <c r="F220" s="11">
        <f>IF(A220="","",D220*E220)</f>
        <v/>
      </c>
      <c r="G220">
        <f>IF(A220="","",IF(C220="",1,COUNTIF($C$2:$C$1501,C220)))</f>
        <v/>
      </c>
      <c r="H220" s="11">
        <f>IF(A220="","",IFERROR(VALUE(SUBSTITUTE(SUBSTITUTE(INDEX('Shopify Import'!$A:$CZ,220,Settings!$E$25)&amp;"","$",""),",","")),0)/IF(Settings!$D$27="Yes",G220,1))</f>
        <v/>
      </c>
      <c r="I220" s="11">
        <f>IF(A220="","",IFERROR(VALUE(SUBSTITUTE(SUBSTITUTE(INDEX('Shopify Import'!$A:$CZ,220,Settings!$E$26)&amp;"","$",""),",","")),0)/IF(Settings!$D$27="Yes",G220,1))</f>
        <v/>
      </c>
      <c r="J220" s="11">
        <f>IF(A220="","",F220+H220-I220)</f>
        <v/>
      </c>
      <c r="K220">
        <f>IF(A220="","",IFERROR(IF(B220="",NA(),MATCH(B220,Products!$B$5:$B$204,0)),IFERROR(MATCH(A220,Products!$A$5:$A$204,0),"")))</f>
        <v/>
      </c>
      <c r="L220">
        <f>IF(A220="","",IF(K220="","⚠ not in Products",INDEX(Products!$A$5:$A$204,K220)))</f>
        <v/>
      </c>
      <c r="M220" s="11">
        <f>IF(A220="","",J220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220+IFERROR(INDEX(Settings!$D$5:$D$9,MATCH("Shopify",Settings!$A$5:$A$9,0)),0)*D220)</f>
        <v/>
      </c>
      <c r="N220" s="11">
        <f>IF(A220="","",IF(K220="",0,D220*INDEX(Products!$I$5:$I$204,K220)))</f>
        <v/>
      </c>
      <c r="O220" s="11">
        <f>IF(A220="","",IF(K220="",0,J220*INDEX(Products!$H$5:$H$204,K220)))</f>
        <v/>
      </c>
      <c r="P220" s="11">
        <f>IF(A220="","",J220-M220-N220-O220)</f>
        <v/>
      </c>
    </row>
    <row r="221">
      <c r="A221">
        <f>IFERROR(INDEX('Shopify Import'!$A:$CZ,221,Settings!$E$20)&amp;"","")</f>
        <v/>
      </c>
      <c r="B221">
        <f>IFERROR(INDEX('Shopify Import'!$A:$CZ,221,Settings!$E$21)&amp;"","")</f>
        <v/>
      </c>
      <c r="C221">
        <f>IFERROR(INDEX('Shopify Import'!$A:$CZ,221,Settings!$E$22)&amp;"","")</f>
        <v/>
      </c>
      <c r="D221">
        <f>IF(A221="","",IFERROR(VALUE(SUBSTITUTE(SUBSTITUTE(INDEX('Shopify Import'!$A:$CZ,221,Settings!$E$23)&amp;"","$",""),",","")),0))</f>
        <v/>
      </c>
      <c r="E221" s="11">
        <f>IF(A221="","",IFERROR(VALUE(SUBSTITUTE(SUBSTITUTE(INDEX('Shopify Import'!$A:$CZ,221,Settings!$E$24)&amp;"","$",""),",","")),0))</f>
        <v/>
      </c>
      <c r="F221" s="11">
        <f>IF(A221="","",D221*E221)</f>
        <v/>
      </c>
      <c r="G221">
        <f>IF(A221="","",IF(C221="",1,COUNTIF($C$2:$C$1501,C221)))</f>
        <v/>
      </c>
      <c r="H221" s="11">
        <f>IF(A221="","",IFERROR(VALUE(SUBSTITUTE(SUBSTITUTE(INDEX('Shopify Import'!$A:$CZ,221,Settings!$E$25)&amp;"","$",""),",","")),0)/IF(Settings!$D$27="Yes",G221,1))</f>
        <v/>
      </c>
      <c r="I221" s="11">
        <f>IF(A221="","",IFERROR(VALUE(SUBSTITUTE(SUBSTITUTE(INDEX('Shopify Import'!$A:$CZ,221,Settings!$E$26)&amp;"","$",""),",","")),0)/IF(Settings!$D$27="Yes",G221,1))</f>
        <v/>
      </c>
      <c r="J221" s="11">
        <f>IF(A221="","",F221+H221-I221)</f>
        <v/>
      </c>
      <c r="K221">
        <f>IF(A221="","",IFERROR(IF(B221="",NA(),MATCH(B221,Products!$B$5:$B$204,0)),IFERROR(MATCH(A221,Products!$A$5:$A$204,0),"")))</f>
        <v/>
      </c>
      <c r="L221">
        <f>IF(A221="","",IF(K221="","⚠ not in Products",INDEX(Products!$A$5:$A$204,K221)))</f>
        <v/>
      </c>
      <c r="M221" s="11">
        <f>IF(A221="","",J221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221+IFERROR(INDEX(Settings!$D$5:$D$9,MATCH("Shopify",Settings!$A$5:$A$9,0)),0)*D221)</f>
        <v/>
      </c>
      <c r="N221" s="11">
        <f>IF(A221="","",IF(K221="",0,D221*INDEX(Products!$I$5:$I$204,K221)))</f>
        <v/>
      </c>
      <c r="O221" s="11">
        <f>IF(A221="","",IF(K221="",0,J221*INDEX(Products!$H$5:$H$204,K221)))</f>
        <v/>
      </c>
      <c r="P221" s="11">
        <f>IF(A221="","",J221-M221-N221-O221)</f>
        <v/>
      </c>
    </row>
    <row r="222">
      <c r="A222">
        <f>IFERROR(INDEX('Shopify Import'!$A:$CZ,222,Settings!$E$20)&amp;"","")</f>
        <v/>
      </c>
      <c r="B222">
        <f>IFERROR(INDEX('Shopify Import'!$A:$CZ,222,Settings!$E$21)&amp;"","")</f>
        <v/>
      </c>
      <c r="C222">
        <f>IFERROR(INDEX('Shopify Import'!$A:$CZ,222,Settings!$E$22)&amp;"","")</f>
        <v/>
      </c>
      <c r="D222">
        <f>IF(A222="","",IFERROR(VALUE(SUBSTITUTE(SUBSTITUTE(INDEX('Shopify Import'!$A:$CZ,222,Settings!$E$23)&amp;"","$",""),",","")),0))</f>
        <v/>
      </c>
      <c r="E222" s="11">
        <f>IF(A222="","",IFERROR(VALUE(SUBSTITUTE(SUBSTITUTE(INDEX('Shopify Import'!$A:$CZ,222,Settings!$E$24)&amp;"","$",""),",","")),0))</f>
        <v/>
      </c>
      <c r="F222" s="11">
        <f>IF(A222="","",D222*E222)</f>
        <v/>
      </c>
      <c r="G222">
        <f>IF(A222="","",IF(C222="",1,COUNTIF($C$2:$C$1501,C222)))</f>
        <v/>
      </c>
      <c r="H222" s="11">
        <f>IF(A222="","",IFERROR(VALUE(SUBSTITUTE(SUBSTITUTE(INDEX('Shopify Import'!$A:$CZ,222,Settings!$E$25)&amp;"","$",""),",","")),0)/IF(Settings!$D$27="Yes",G222,1))</f>
        <v/>
      </c>
      <c r="I222" s="11">
        <f>IF(A222="","",IFERROR(VALUE(SUBSTITUTE(SUBSTITUTE(INDEX('Shopify Import'!$A:$CZ,222,Settings!$E$26)&amp;"","$",""),",","")),0)/IF(Settings!$D$27="Yes",G222,1))</f>
        <v/>
      </c>
      <c r="J222" s="11">
        <f>IF(A222="","",F222+H222-I222)</f>
        <v/>
      </c>
      <c r="K222">
        <f>IF(A222="","",IFERROR(IF(B222="",NA(),MATCH(B222,Products!$B$5:$B$204,0)),IFERROR(MATCH(A222,Products!$A$5:$A$204,0),"")))</f>
        <v/>
      </c>
      <c r="L222">
        <f>IF(A222="","",IF(K222="","⚠ not in Products",INDEX(Products!$A$5:$A$204,K222)))</f>
        <v/>
      </c>
      <c r="M222" s="11">
        <f>IF(A222="","",J222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222+IFERROR(INDEX(Settings!$D$5:$D$9,MATCH("Shopify",Settings!$A$5:$A$9,0)),0)*D222)</f>
        <v/>
      </c>
      <c r="N222" s="11">
        <f>IF(A222="","",IF(K222="",0,D222*INDEX(Products!$I$5:$I$204,K222)))</f>
        <v/>
      </c>
      <c r="O222" s="11">
        <f>IF(A222="","",IF(K222="",0,J222*INDEX(Products!$H$5:$H$204,K222)))</f>
        <v/>
      </c>
      <c r="P222" s="11">
        <f>IF(A222="","",J222-M222-N222-O222)</f>
        <v/>
      </c>
    </row>
    <row r="223">
      <c r="A223">
        <f>IFERROR(INDEX('Shopify Import'!$A:$CZ,223,Settings!$E$20)&amp;"","")</f>
        <v/>
      </c>
      <c r="B223">
        <f>IFERROR(INDEX('Shopify Import'!$A:$CZ,223,Settings!$E$21)&amp;"","")</f>
        <v/>
      </c>
      <c r="C223">
        <f>IFERROR(INDEX('Shopify Import'!$A:$CZ,223,Settings!$E$22)&amp;"","")</f>
        <v/>
      </c>
      <c r="D223">
        <f>IF(A223="","",IFERROR(VALUE(SUBSTITUTE(SUBSTITUTE(INDEX('Shopify Import'!$A:$CZ,223,Settings!$E$23)&amp;"","$",""),",","")),0))</f>
        <v/>
      </c>
      <c r="E223" s="11">
        <f>IF(A223="","",IFERROR(VALUE(SUBSTITUTE(SUBSTITUTE(INDEX('Shopify Import'!$A:$CZ,223,Settings!$E$24)&amp;"","$",""),",","")),0))</f>
        <v/>
      </c>
      <c r="F223" s="11">
        <f>IF(A223="","",D223*E223)</f>
        <v/>
      </c>
      <c r="G223">
        <f>IF(A223="","",IF(C223="",1,COUNTIF($C$2:$C$1501,C223)))</f>
        <v/>
      </c>
      <c r="H223" s="11">
        <f>IF(A223="","",IFERROR(VALUE(SUBSTITUTE(SUBSTITUTE(INDEX('Shopify Import'!$A:$CZ,223,Settings!$E$25)&amp;"","$",""),",","")),0)/IF(Settings!$D$27="Yes",G223,1))</f>
        <v/>
      </c>
      <c r="I223" s="11">
        <f>IF(A223="","",IFERROR(VALUE(SUBSTITUTE(SUBSTITUTE(INDEX('Shopify Import'!$A:$CZ,223,Settings!$E$26)&amp;"","$",""),",","")),0)/IF(Settings!$D$27="Yes",G223,1))</f>
        <v/>
      </c>
      <c r="J223" s="11">
        <f>IF(A223="","",F223+H223-I223)</f>
        <v/>
      </c>
      <c r="K223">
        <f>IF(A223="","",IFERROR(IF(B223="",NA(),MATCH(B223,Products!$B$5:$B$204,0)),IFERROR(MATCH(A223,Products!$A$5:$A$204,0),"")))</f>
        <v/>
      </c>
      <c r="L223">
        <f>IF(A223="","",IF(K223="","⚠ not in Products",INDEX(Products!$A$5:$A$204,K223)))</f>
        <v/>
      </c>
      <c r="M223" s="11">
        <f>IF(A223="","",J223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223+IFERROR(INDEX(Settings!$D$5:$D$9,MATCH("Shopify",Settings!$A$5:$A$9,0)),0)*D223)</f>
        <v/>
      </c>
      <c r="N223" s="11">
        <f>IF(A223="","",IF(K223="",0,D223*INDEX(Products!$I$5:$I$204,K223)))</f>
        <v/>
      </c>
      <c r="O223" s="11">
        <f>IF(A223="","",IF(K223="",0,J223*INDEX(Products!$H$5:$H$204,K223)))</f>
        <v/>
      </c>
      <c r="P223" s="11">
        <f>IF(A223="","",J223-M223-N223-O223)</f>
        <v/>
      </c>
    </row>
    <row r="224">
      <c r="A224">
        <f>IFERROR(INDEX('Shopify Import'!$A:$CZ,224,Settings!$E$20)&amp;"","")</f>
        <v/>
      </c>
      <c r="B224">
        <f>IFERROR(INDEX('Shopify Import'!$A:$CZ,224,Settings!$E$21)&amp;"","")</f>
        <v/>
      </c>
      <c r="C224">
        <f>IFERROR(INDEX('Shopify Import'!$A:$CZ,224,Settings!$E$22)&amp;"","")</f>
        <v/>
      </c>
      <c r="D224">
        <f>IF(A224="","",IFERROR(VALUE(SUBSTITUTE(SUBSTITUTE(INDEX('Shopify Import'!$A:$CZ,224,Settings!$E$23)&amp;"","$",""),",","")),0))</f>
        <v/>
      </c>
      <c r="E224" s="11">
        <f>IF(A224="","",IFERROR(VALUE(SUBSTITUTE(SUBSTITUTE(INDEX('Shopify Import'!$A:$CZ,224,Settings!$E$24)&amp;"","$",""),",","")),0))</f>
        <v/>
      </c>
      <c r="F224" s="11">
        <f>IF(A224="","",D224*E224)</f>
        <v/>
      </c>
      <c r="G224">
        <f>IF(A224="","",IF(C224="",1,COUNTIF($C$2:$C$1501,C224)))</f>
        <v/>
      </c>
      <c r="H224" s="11">
        <f>IF(A224="","",IFERROR(VALUE(SUBSTITUTE(SUBSTITUTE(INDEX('Shopify Import'!$A:$CZ,224,Settings!$E$25)&amp;"","$",""),",","")),0)/IF(Settings!$D$27="Yes",G224,1))</f>
        <v/>
      </c>
      <c r="I224" s="11">
        <f>IF(A224="","",IFERROR(VALUE(SUBSTITUTE(SUBSTITUTE(INDEX('Shopify Import'!$A:$CZ,224,Settings!$E$26)&amp;"","$",""),",","")),0)/IF(Settings!$D$27="Yes",G224,1))</f>
        <v/>
      </c>
      <c r="J224" s="11">
        <f>IF(A224="","",F224+H224-I224)</f>
        <v/>
      </c>
      <c r="K224">
        <f>IF(A224="","",IFERROR(IF(B224="",NA(),MATCH(B224,Products!$B$5:$B$204,0)),IFERROR(MATCH(A224,Products!$A$5:$A$204,0),"")))</f>
        <v/>
      </c>
      <c r="L224">
        <f>IF(A224="","",IF(K224="","⚠ not in Products",INDEX(Products!$A$5:$A$204,K224)))</f>
        <v/>
      </c>
      <c r="M224" s="11">
        <f>IF(A224="","",J224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224+IFERROR(INDEX(Settings!$D$5:$D$9,MATCH("Shopify",Settings!$A$5:$A$9,0)),0)*D224)</f>
        <v/>
      </c>
      <c r="N224" s="11">
        <f>IF(A224="","",IF(K224="",0,D224*INDEX(Products!$I$5:$I$204,K224)))</f>
        <v/>
      </c>
      <c r="O224" s="11">
        <f>IF(A224="","",IF(K224="",0,J224*INDEX(Products!$H$5:$H$204,K224)))</f>
        <v/>
      </c>
      <c r="P224" s="11">
        <f>IF(A224="","",J224-M224-N224-O224)</f>
        <v/>
      </c>
    </row>
    <row r="225">
      <c r="A225">
        <f>IFERROR(INDEX('Shopify Import'!$A:$CZ,225,Settings!$E$20)&amp;"","")</f>
        <v/>
      </c>
      <c r="B225">
        <f>IFERROR(INDEX('Shopify Import'!$A:$CZ,225,Settings!$E$21)&amp;"","")</f>
        <v/>
      </c>
      <c r="C225">
        <f>IFERROR(INDEX('Shopify Import'!$A:$CZ,225,Settings!$E$22)&amp;"","")</f>
        <v/>
      </c>
      <c r="D225">
        <f>IF(A225="","",IFERROR(VALUE(SUBSTITUTE(SUBSTITUTE(INDEX('Shopify Import'!$A:$CZ,225,Settings!$E$23)&amp;"","$",""),",","")),0))</f>
        <v/>
      </c>
      <c r="E225" s="11">
        <f>IF(A225="","",IFERROR(VALUE(SUBSTITUTE(SUBSTITUTE(INDEX('Shopify Import'!$A:$CZ,225,Settings!$E$24)&amp;"","$",""),",","")),0))</f>
        <v/>
      </c>
      <c r="F225" s="11">
        <f>IF(A225="","",D225*E225)</f>
        <v/>
      </c>
      <c r="G225">
        <f>IF(A225="","",IF(C225="",1,COUNTIF($C$2:$C$1501,C225)))</f>
        <v/>
      </c>
      <c r="H225" s="11">
        <f>IF(A225="","",IFERROR(VALUE(SUBSTITUTE(SUBSTITUTE(INDEX('Shopify Import'!$A:$CZ,225,Settings!$E$25)&amp;"","$",""),",","")),0)/IF(Settings!$D$27="Yes",G225,1))</f>
        <v/>
      </c>
      <c r="I225" s="11">
        <f>IF(A225="","",IFERROR(VALUE(SUBSTITUTE(SUBSTITUTE(INDEX('Shopify Import'!$A:$CZ,225,Settings!$E$26)&amp;"","$",""),",","")),0)/IF(Settings!$D$27="Yes",G225,1))</f>
        <v/>
      </c>
      <c r="J225" s="11">
        <f>IF(A225="","",F225+H225-I225)</f>
        <v/>
      </c>
      <c r="K225">
        <f>IF(A225="","",IFERROR(IF(B225="",NA(),MATCH(B225,Products!$B$5:$B$204,0)),IFERROR(MATCH(A225,Products!$A$5:$A$204,0),"")))</f>
        <v/>
      </c>
      <c r="L225">
        <f>IF(A225="","",IF(K225="","⚠ not in Products",INDEX(Products!$A$5:$A$204,K225)))</f>
        <v/>
      </c>
      <c r="M225" s="11">
        <f>IF(A225="","",J225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225+IFERROR(INDEX(Settings!$D$5:$D$9,MATCH("Shopify",Settings!$A$5:$A$9,0)),0)*D225)</f>
        <v/>
      </c>
      <c r="N225" s="11">
        <f>IF(A225="","",IF(K225="",0,D225*INDEX(Products!$I$5:$I$204,K225)))</f>
        <v/>
      </c>
      <c r="O225" s="11">
        <f>IF(A225="","",IF(K225="",0,J225*INDEX(Products!$H$5:$H$204,K225)))</f>
        <v/>
      </c>
      <c r="P225" s="11">
        <f>IF(A225="","",J225-M225-N225-O225)</f>
        <v/>
      </c>
    </row>
    <row r="226">
      <c r="A226">
        <f>IFERROR(INDEX('Shopify Import'!$A:$CZ,226,Settings!$E$20)&amp;"","")</f>
        <v/>
      </c>
      <c r="B226">
        <f>IFERROR(INDEX('Shopify Import'!$A:$CZ,226,Settings!$E$21)&amp;"","")</f>
        <v/>
      </c>
      <c r="C226">
        <f>IFERROR(INDEX('Shopify Import'!$A:$CZ,226,Settings!$E$22)&amp;"","")</f>
        <v/>
      </c>
      <c r="D226">
        <f>IF(A226="","",IFERROR(VALUE(SUBSTITUTE(SUBSTITUTE(INDEX('Shopify Import'!$A:$CZ,226,Settings!$E$23)&amp;"","$",""),",","")),0))</f>
        <v/>
      </c>
      <c r="E226" s="11">
        <f>IF(A226="","",IFERROR(VALUE(SUBSTITUTE(SUBSTITUTE(INDEX('Shopify Import'!$A:$CZ,226,Settings!$E$24)&amp;"","$",""),",","")),0))</f>
        <v/>
      </c>
      <c r="F226" s="11">
        <f>IF(A226="","",D226*E226)</f>
        <v/>
      </c>
      <c r="G226">
        <f>IF(A226="","",IF(C226="",1,COUNTIF($C$2:$C$1501,C226)))</f>
        <v/>
      </c>
      <c r="H226" s="11">
        <f>IF(A226="","",IFERROR(VALUE(SUBSTITUTE(SUBSTITUTE(INDEX('Shopify Import'!$A:$CZ,226,Settings!$E$25)&amp;"","$",""),",","")),0)/IF(Settings!$D$27="Yes",G226,1))</f>
        <v/>
      </c>
      <c r="I226" s="11">
        <f>IF(A226="","",IFERROR(VALUE(SUBSTITUTE(SUBSTITUTE(INDEX('Shopify Import'!$A:$CZ,226,Settings!$E$26)&amp;"","$",""),",","")),0)/IF(Settings!$D$27="Yes",G226,1))</f>
        <v/>
      </c>
      <c r="J226" s="11">
        <f>IF(A226="","",F226+H226-I226)</f>
        <v/>
      </c>
      <c r="K226">
        <f>IF(A226="","",IFERROR(IF(B226="",NA(),MATCH(B226,Products!$B$5:$B$204,0)),IFERROR(MATCH(A226,Products!$A$5:$A$204,0),"")))</f>
        <v/>
      </c>
      <c r="L226">
        <f>IF(A226="","",IF(K226="","⚠ not in Products",INDEX(Products!$A$5:$A$204,K226)))</f>
        <v/>
      </c>
      <c r="M226" s="11">
        <f>IF(A226="","",J226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226+IFERROR(INDEX(Settings!$D$5:$D$9,MATCH("Shopify",Settings!$A$5:$A$9,0)),0)*D226)</f>
        <v/>
      </c>
      <c r="N226" s="11">
        <f>IF(A226="","",IF(K226="",0,D226*INDEX(Products!$I$5:$I$204,K226)))</f>
        <v/>
      </c>
      <c r="O226" s="11">
        <f>IF(A226="","",IF(K226="",0,J226*INDEX(Products!$H$5:$H$204,K226)))</f>
        <v/>
      </c>
      <c r="P226" s="11">
        <f>IF(A226="","",J226-M226-N226-O226)</f>
        <v/>
      </c>
    </row>
    <row r="227">
      <c r="A227">
        <f>IFERROR(INDEX('Shopify Import'!$A:$CZ,227,Settings!$E$20)&amp;"","")</f>
        <v/>
      </c>
      <c r="B227">
        <f>IFERROR(INDEX('Shopify Import'!$A:$CZ,227,Settings!$E$21)&amp;"","")</f>
        <v/>
      </c>
      <c r="C227">
        <f>IFERROR(INDEX('Shopify Import'!$A:$CZ,227,Settings!$E$22)&amp;"","")</f>
        <v/>
      </c>
      <c r="D227">
        <f>IF(A227="","",IFERROR(VALUE(SUBSTITUTE(SUBSTITUTE(INDEX('Shopify Import'!$A:$CZ,227,Settings!$E$23)&amp;"","$",""),",","")),0))</f>
        <v/>
      </c>
      <c r="E227" s="11">
        <f>IF(A227="","",IFERROR(VALUE(SUBSTITUTE(SUBSTITUTE(INDEX('Shopify Import'!$A:$CZ,227,Settings!$E$24)&amp;"","$",""),",","")),0))</f>
        <v/>
      </c>
      <c r="F227" s="11">
        <f>IF(A227="","",D227*E227)</f>
        <v/>
      </c>
      <c r="G227">
        <f>IF(A227="","",IF(C227="",1,COUNTIF($C$2:$C$1501,C227)))</f>
        <v/>
      </c>
      <c r="H227" s="11">
        <f>IF(A227="","",IFERROR(VALUE(SUBSTITUTE(SUBSTITUTE(INDEX('Shopify Import'!$A:$CZ,227,Settings!$E$25)&amp;"","$",""),",","")),0)/IF(Settings!$D$27="Yes",G227,1))</f>
        <v/>
      </c>
      <c r="I227" s="11">
        <f>IF(A227="","",IFERROR(VALUE(SUBSTITUTE(SUBSTITUTE(INDEX('Shopify Import'!$A:$CZ,227,Settings!$E$26)&amp;"","$",""),",","")),0)/IF(Settings!$D$27="Yes",G227,1))</f>
        <v/>
      </c>
      <c r="J227" s="11">
        <f>IF(A227="","",F227+H227-I227)</f>
        <v/>
      </c>
      <c r="K227">
        <f>IF(A227="","",IFERROR(IF(B227="",NA(),MATCH(B227,Products!$B$5:$B$204,0)),IFERROR(MATCH(A227,Products!$A$5:$A$204,0),"")))</f>
        <v/>
      </c>
      <c r="L227">
        <f>IF(A227="","",IF(K227="","⚠ not in Products",INDEX(Products!$A$5:$A$204,K227)))</f>
        <v/>
      </c>
      <c r="M227" s="11">
        <f>IF(A227="","",J227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227+IFERROR(INDEX(Settings!$D$5:$D$9,MATCH("Shopify",Settings!$A$5:$A$9,0)),0)*D227)</f>
        <v/>
      </c>
      <c r="N227" s="11">
        <f>IF(A227="","",IF(K227="",0,D227*INDEX(Products!$I$5:$I$204,K227)))</f>
        <v/>
      </c>
      <c r="O227" s="11">
        <f>IF(A227="","",IF(K227="",0,J227*INDEX(Products!$H$5:$H$204,K227)))</f>
        <v/>
      </c>
      <c r="P227" s="11">
        <f>IF(A227="","",J227-M227-N227-O227)</f>
        <v/>
      </c>
    </row>
    <row r="228">
      <c r="A228">
        <f>IFERROR(INDEX('Shopify Import'!$A:$CZ,228,Settings!$E$20)&amp;"","")</f>
        <v/>
      </c>
      <c r="B228">
        <f>IFERROR(INDEX('Shopify Import'!$A:$CZ,228,Settings!$E$21)&amp;"","")</f>
        <v/>
      </c>
      <c r="C228">
        <f>IFERROR(INDEX('Shopify Import'!$A:$CZ,228,Settings!$E$22)&amp;"","")</f>
        <v/>
      </c>
      <c r="D228">
        <f>IF(A228="","",IFERROR(VALUE(SUBSTITUTE(SUBSTITUTE(INDEX('Shopify Import'!$A:$CZ,228,Settings!$E$23)&amp;"","$",""),",","")),0))</f>
        <v/>
      </c>
      <c r="E228" s="11">
        <f>IF(A228="","",IFERROR(VALUE(SUBSTITUTE(SUBSTITUTE(INDEX('Shopify Import'!$A:$CZ,228,Settings!$E$24)&amp;"","$",""),",","")),0))</f>
        <v/>
      </c>
      <c r="F228" s="11">
        <f>IF(A228="","",D228*E228)</f>
        <v/>
      </c>
      <c r="G228">
        <f>IF(A228="","",IF(C228="",1,COUNTIF($C$2:$C$1501,C228)))</f>
        <v/>
      </c>
      <c r="H228" s="11">
        <f>IF(A228="","",IFERROR(VALUE(SUBSTITUTE(SUBSTITUTE(INDEX('Shopify Import'!$A:$CZ,228,Settings!$E$25)&amp;"","$",""),",","")),0)/IF(Settings!$D$27="Yes",G228,1))</f>
        <v/>
      </c>
      <c r="I228" s="11">
        <f>IF(A228="","",IFERROR(VALUE(SUBSTITUTE(SUBSTITUTE(INDEX('Shopify Import'!$A:$CZ,228,Settings!$E$26)&amp;"","$",""),",","")),0)/IF(Settings!$D$27="Yes",G228,1))</f>
        <v/>
      </c>
      <c r="J228" s="11">
        <f>IF(A228="","",F228+H228-I228)</f>
        <v/>
      </c>
      <c r="K228">
        <f>IF(A228="","",IFERROR(IF(B228="",NA(),MATCH(B228,Products!$B$5:$B$204,0)),IFERROR(MATCH(A228,Products!$A$5:$A$204,0),"")))</f>
        <v/>
      </c>
      <c r="L228">
        <f>IF(A228="","",IF(K228="","⚠ not in Products",INDEX(Products!$A$5:$A$204,K228)))</f>
        <v/>
      </c>
      <c r="M228" s="11">
        <f>IF(A228="","",J228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228+IFERROR(INDEX(Settings!$D$5:$D$9,MATCH("Shopify",Settings!$A$5:$A$9,0)),0)*D228)</f>
        <v/>
      </c>
      <c r="N228" s="11">
        <f>IF(A228="","",IF(K228="",0,D228*INDEX(Products!$I$5:$I$204,K228)))</f>
        <v/>
      </c>
      <c r="O228" s="11">
        <f>IF(A228="","",IF(K228="",0,J228*INDEX(Products!$H$5:$H$204,K228)))</f>
        <v/>
      </c>
      <c r="P228" s="11">
        <f>IF(A228="","",J228-M228-N228-O228)</f>
        <v/>
      </c>
    </row>
    <row r="229">
      <c r="A229">
        <f>IFERROR(INDEX('Shopify Import'!$A:$CZ,229,Settings!$E$20)&amp;"","")</f>
        <v/>
      </c>
      <c r="B229">
        <f>IFERROR(INDEX('Shopify Import'!$A:$CZ,229,Settings!$E$21)&amp;"","")</f>
        <v/>
      </c>
      <c r="C229">
        <f>IFERROR(INDEX('Shopify Import'!$A:$CZ,229,Settings!$E$22)&amp;"","")</f>
        <v/>
      </c>
      <c r="D229">
        <f>IF(A229="","",IFERROR(VALUE(SUBSTITUTE(SUBSTITUTE(INDEX('Shopify Import'!$A:$CZ,229,Settings!$E$23)&amp;"","$",""),",","")),0))</f>
        <v/>
      </c>
      <c r="E229" s="11">
        <f>IF(A229="","",IFERROR(VALUE(SUBSTITUTE(SUBSTITUTE(INDEX('Shopify Import'!$A:$CZ,229,Settings!$E$24)&amp;"","$",""),",","")),0))</f>
        <v/>
      </c>
      <c r="F229" s="11">
        <f>IF(A229="","",D229*E229)</f>
        <v/>
      </c>
      <c r="G229">
        <f>IF(A229="","",IF(C229="",1,COUNTIF($C$2:$C$1501,C229)))</f>
        <v/>
      </c>
      <c r="H229" s="11">
        <f>IF(A229="","",IFERROR(VALUE(SUBSTITUTE(SUBSTITUTE(INDEX('Shopify Import'!$A:$CZ,229,Settings!$E$25)&amp;"","$",""),",","")),0)/IF(Settings!$D$27="Yes",G229,1))</f>
        <v/>
      </c>
      <c r="I229" s="11">
        <f>IF(A229="","",IFERROR(VALUE(SUBSTITUTE(SUBSTITUTE(INDEX('Shopify Import'!$A:$CZ,229,Settings!$E$26)&amp;"","$",""),",","")),0)/IF(Settings!$D$27="Yes",G229,1))</f>
        <v/>
      </c>
      <c r="J229" s="11">
        <f>IF(A229="","",F229+H229-I229)</f>
        <v/>
      </c>
      <c r="K229">
        <f>IF(A229="","",IFERROR(IF(B229="",NA(),MATCH(B229,Products!$B$5:$B$204,0)),IFERROR(MATCH(A229,Products!$A$5:$A$204,0),"")))</f>
        <v/>
      </c>
      <c r="L229">
        <f>IF(A229="","",IF(K229="","⚠ not in Products",INDEX(Products!$A$5:$A$204,K229)))</f>
        <v/>
      </c>
      <c r="M229" s="11">
        <f>IF(A229="","",J229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229+IFERROR(INDEX(Settings!$D$5:$D$9,MATCH("Shopify",Settings!$A$5:$A$9,0)),0)*D229)</f>
        <v/>
      </c>
      <c r="N229" s="11">
        <f>IF(A229="","",IF(K229="",0,D229*INDEX(Products!$I$5:$I$204,K229)))</f>
        <v/>
      </c>
      <c r="O229" s="11">
        <f>IF(A229="","",IF(K229="",0,J229*INDEX(Products!$H$5:$H$204,K229)))</f>
        <v/>
      </c>
      <c r="P229" s="11">
        <f>IF(A229="","",J229-M229-N229-O229)</f>
        <v/>
      </c>
    </row>
    <row r="230">
      <c r="A230">
        <f>IFERROR(INDEX('Shopify Import'!$A:$CZ,230,Settings!$E$20)&amp;"","")</f>
        <v/>
      </c>
      <c r="B230">
        <f>IFERROR(INDEX('Shopify Import'!$A:$CZ,230,Settings!$E$21)&amp;"","")</f>
        <v/>
      </c>
      <c r="C230">
        <f>IFERROR(INDEX('Shopify Import'!$A:$CZ,230,Settings!$E$22)&amp;"","")</f>
        <v/>
      </c>
      <c r="D230">
        <f>IF(A230="","",IFERROR(VALUE(SUBSTITUTE(SUBSTITUTE(INDEX('Shopify Import'!$A:$CZ,230,Settings!$E$23)&amp;"","$",""),",","")),0))</f>
        <v/>
      </c>
      <c r="E230" s="11">
        <f>IF(A230="","",IFERROR(VALUE(SUBSTITUTE(SUBSTITUTE(INDEX('Shopify Import'!$A:$CZ,230,Settings!$E$24)&amp;"","$",""),",","")),0))</f>
        <v/>
      </c>
      <c r="F230" s="11">
        <f>IF(A230="","",D230*E230)</f>
        <v/>
      </c>
      <c r="G230">
        <f>IF(A230="","",IF(C230="",1,COUNTIF($C$2:$C$1501,C230)))</f>
        <v/>
      </c>
      <c r="H230" s="11">
        <f>IF(A230="","",IFERROR(VALUE(SUBSTITUTE(SUBSTITUTE(INDEX('Shopify Import'!$A:$CZ,230,Settings!$E$25)&amp;"","$",""),",","")),0)/IF(Settings!$D$27="Yes",G230,1))</f>
        <v/>
      </c>
      <c r="I230" s="11">
        <f>IF(A230="","",IFERROR(VALUE(SUBSTITUTE(SUBSTITUTE(INDEX('Shopify Import'!$A:$CZ,230,Settings!$E$26)&amp;"","$",""),",","")),0)/IF(Settings!$D$27="Yes",G230,1))</f>
        <v/>
      </c>
      <c r="J230" s="11">
        <f>IF(A230="","",F230+H230-I230)</f>
        <v/>
      </c>
      <c r="K230">
        <f>IF(A230="","",IFERROR(IF(B230="",NA(),MATCH(B230,Products!$B$5:$B$204,0)),IFERROR(MATCH(A230,Products!$A$5:$A$204,0),"")))</f>
        <v/>
      </c>
      <c r="L230">
        <f>IF(A230="","",IF(K230="","⚠ not in Products",INDEX(Products!$A$5:$A$204,K230)))</f>
        <v/>
      </c>
      <c r="M230" s="11">
        <f>IF(A230="","",J230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230+IFERROR(INDEX(Settings!$D$5:$D$9,MATCH("Shopify",Settings!$A$5:$A$9,0)),0)*D230)</f>
        <v/>
      </c>
      <c r="N230" s="11">
        <f>IF(A230="","",IF(K230="",0,D230*INDEX(Products!$I$5:$I$204,K230)))</f>
        <v/>
      </c>
      <c r="O230" s="11">
        <f>IF(A230="","",IF(K230="",0,J230*INDEX(Products!$H$5:$H$204,K230)))</f>
        <v/>
      </c>
      <c r="P230" s="11">
        <f>IF(A230="","",J230-M230-N230-O230)</f>
        <v/>
      </c>
    </row>
    <row r="231">
      <c r="A231">
        <f>IFERROR(INDEX('Shopify Import'!$A:$CZ,231,Settings!$E$20)&amp;"","")</f>
        <v/>
      </c>
      <c r="B231">
        <f>IFERROR(INDEX('Shopify Import'!$A:$CZ,231,Settings!$E$21)&amp;"","")</f>
        <v/>
      </c>
      <c r="C231">
        <f>IFERROR(INDEX('Shopify Import'!$A:$CZ,231,Settings!$E$22)&amp;"","")</f>
        <v/>
      </c>
      <c r="D231">
        <f>IF(A231="","",IFERROR(VALUE(SUBSTITUTE(SUBSTITUTE(INDEX('Shopify Import'!$A:$CZ,231,Settings!$E$23)&amp;"","$",""),",","")),0))</f>
        <v/>
      </c>
      <c r="E231" s="11">
        <f>IF(A231="","",IFERROR(VALUE(SUBSTITUTE(SUBSTITUTE(INDEX('Shopify Import'!$A:$CZ,231,Settings!$E$24)&amp;"","$",""),",","")),0))</f>
        <v/>
      </c>
      <c r="F231" s="11">
        <f>IF(A231="","",D231*E231)</f>
        <v/>
      </c>
      <c r="G231">
        <f>IF(A231="","",IF(C231="",1,COUNTIF($C$2:$C$1501,C231)))</f>
        <v/>
      </c>
      <c r="H231" s="11">
        <f>IF(A231="","",IFERROR(VALUE(SUBSTITUTE(SUBSTITUTE(INDEX('Shopify Import'!$A:$CZ,231,Settings!$E$25)&amp;"","$",""),",","")),0)/IF(Settings!$D$27="Yes",G231,1))</f>
        <v/>
      </c>
      <c r="I231" s="11">
        <f>IF(A231="","",IFERROR(VALUE(SUBSTITUTE(SUBSTITUTE(INDEX('Shopify Import'!$A:$CZ,231,Settings!$E$26)&amp;"","$",""),",","")),0)/IF(Settings!$D$27="Yes",G231,1))</f>
        <v/>
      </c>
      <c r="J231" s="11">
        <f>IF(A231="","",F231+H231-I231)</f>
        <v/>
      </c>
      <c r="K231">
        <f>IF(A231="","",IFERROR(IF(B231="",NA(),MATCH(B231,Products!$B$5:$B$204,0)),IFERROR(MATCH(A231,Products!$A$5:$A$204,0),"")))</f>
        <v/>
      </c>
      <c r="L231">
        <f>IF(A231="","",IF(K231="","⚠ not in Products",INDEX(Products!$A$5:$A$204,K231)))</f>
        <v/>
      </c>
      <c r="M231" s="11">
        <f>IF(A231="","",J231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231+IFERROR(INDEX(Settings!$D$5:$D$9,MATCH("Shopify",Settings!$A$5:$A$9,0)),0)*D231)</f>
        <v/>
      </c>
      <c r="N231" s="11">
        <f>IF(A231="","",IF(K231="",0,D231*INDEX(Products!$I$5:$I$204,K231)))</f>
        <v/>
      </c>
      <c r="O231" s="11">
        <f>IF(A231="","",IF(K231="",0,J231*INDEX(Products!$H$5:$H$204,K231)))</f>
        <v/>
      </c>
      <c r="P231" s="11">
        <f>IF(A231="","",J231-M231-N231-O231)</f>
        <v/>
      </c>
    </row>
    <row r="232">
      <c r="A232">
        <f>IFERROR(INDEX('Shopify Import'!$A:$CZ,232,Settings!$E$20)&amp;"","")</f>
        <v/>
      </c>
      <c r="B232">
        <f>IFERROR(INDEX('Shopify Import'!$A:$CZ,232,Settings!$E$21)&amp;"","")</f>
        <v/>
      </c>
      <c r="C232">
        <f>IFERROR(INDEX('Shopify Import'!$A:$CZ,232,Settings!$E$22)&amp;"","")</f>
        <v/>
      </c>
      <c r="D232">
        <f>IF(A232="","",IFERROR(VALUE(SUBSTITUTE(SUBSTITUTE(INDEX('Shopify Import'!$A:$CZ,232,Settings!$E$23)&amp;"","$",""),",","")),0))</f>
        <v/>
      </c>
      <c r="E232" s="11">
        <f>IF(A232="","",IFERROR(VALUE(SUBSTITUTE(SUBSTITUTE(INDEX('Shopify Import'!$A:$CZ,232,Settings!$E$24)&amp;"","$",""),",","")),0))</f>
        <v/>
      </c>
      <c r="F232" s="11">
        <f>IF(A232="","",D232*E232)</f>
        <v/>
      </c>
      <c r="G232">
        <f>IF(A232="","",IF(C232="",1,COUNTIF($C$2:$C$1501,C232)))</f>
        <v/>
      </c>
      <c r="H232" s="11">
        <f>IF(A232="","",IFERROR(VALUE(SUBSTITUTE(SUBSTITUTE(INDEX('Shopify Import'!$A:$CZ,232,Settings!$E$25)&amp;"","$",""),",","")),0)/IF(Settings!$D$27="Yes",G232,1))</f>
        <v/>
      </c>
      <c r="I232" s="11">
        <f>IF(A232="","",IFERROR(VALUE(SUBSTITUTE(SUBSTITUTE(INDEX('Shopify Import'!$A:$CZ,232,Settings!$E$26)&amp;"","$",""),",","")),0)/IF(Settings!$D$27="Yes",G232,1))</f>
        <v/>
      </c>
      <c r="J232" s="11">
        <f>IF(A232="","",F232+H232-I232)</f>
        <v/>
      </c>
      <c r="K232">
        <f>IF(A232="","",IFERROR(IF(B232="",NA(),MATCH(B232,Products!$B$5:$B$204,0)),IFERROR(MATCH(A232,Products!$A$5:$A$204,0),"")))</f>
        <v/>
      </c>
      <c r="L232">
        <f>IF(A232="","",IF(K232="","⚠ not in Products",INDEX(Products!$A$5:$A$204,K232)))</f>
        <v/>
      </c>
      <c r="M232" s="11">
        <f>IF(A232="","",J232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232+IFERROR(INDEX(Settings!$D$5:$D$9,MATCH("Shopify",Settings!$A$5:$A$9,0)),0)*D232)</f>
        <v/>
      </c>
      <c r="N232" s="11">
        <f>IF(A232="","",IF(K232="",0,D232*INDEX(Products!$I$5:$I$204,K232)))</f>
        <v/>
      </c>
      <c r="O232" s="11">
        <f>IF(A232="","",IF(K232="",0,J232*INDEX(Products!$H$5:$H$204,K232)))</f>
        <v/>
      </c>
      <c r="P232" s="11">
        <f>IF(A232="","",J232-M232-N232-O232)</f>
        <v/>
      </c>
    </row>
    <row r="233">
      <c r="A233">
        <f>IFERROR(INDEX('Shopify Import'!$A:$CZ,233,Settings!$E$20)&amp;"","")</f>
        <v/>
      </c>
      <c r="B233">
        <f>IFERROR(INDEX('Shopify Import'!$A:$CZ,233,Settings!$E$21)&amp;"","")</f>
        <v/>
      </c>
      <c r="C233">
        <f>IFERROR(INDEX('Shopify Import'!$A:$CZ,233,Settings!$E$22)&amp;"","")</f>
        <v/>
      </c>
      <c r="D233">
        <f>IF(A233="","",IFERROR(VALUE(SUBSTITUTE(SUBSTITUTE(INDEX('Shopify Import'!$A:$CZ,233,Settings!$E$23)&amp;"","$",""),",","")),0))</f>
        <v/>
      </c>
      <c r="E233" s="11">
        <f>IF(A233="","",IFERROR(VALUE(SUBSTITUTE(SUBSTITUTE(INDEX('Shopify Import'!$A:$CZ,233,Settings!$E$24)&amp;"","$",""),",","")),0))</f>
        <v/>
      </c>
      <c r="F233" s="11">
        <f>IF(A233="","",D233*E233)</f>
        <v/>
      </c>
      <c r="G233">
        <f>IF(A233="","",IF(C233="",1,COUNTIF($C$2:$C$1501,C233)))</f>
        <v/>
      </c>
      <c r="H233" s="11">
        <f>IF(A233="","",IFERROR(VALUE(SUBSTITUTE(SUBSTITUTE(INDEX('Shopify Import'!$A:$CZ,233,Settings!$E$25)&amp;"","$",""),",","")),0)/IF(Settings!$D$27="Yes",G233,1))</f>
        <v/>
      </c>
      <c r="I233" s="11">
        <f>IF(A233="","",IFERROR(VALUE(SUBSTITUTE(SUBSTITUTE(INDEX('Shopify Import'!$A:$CZ,233,Settings!$E$26)&amp;"","$",""),",","")),0)/IF(Settings!$D$27="Yes",G233,1))</f>
        <v/>
      </c>
      <c r="J233" s="11">
        <f>IF(A233="","",F233+H233-I233)</f>
        <v/>
      </c>
      <c r="K233">
        <f>IF(A233="","",IFERROR(IF(B233="",NA(),MATCH(B233,Products!$B$5:$B$204,0)),IFERROR(MATCH(A233,Products!$A$5:$A$204,0),"")))</f>
        <v/>
      </c>
      <c r="L233">
        <f>IF(A233="","",IF(K233="","⚠ not in Products",INDEX(Products!$A$5:$A$204,K233)))</f>
        <v/>
      </c>
      <c r="M233" s="11">
        <f>IF(A233="","",J233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233+IFERROR(INDEX(Settings!$D$5:$D$9,MATCH("Shopify",Settings!$A$5:$A$9,0)),0)*D233)</f>
        <v/>
      </c>
      <c r="N233" s="11">
        <f>IF(A233="","",IF(K233="",0,D233*INDEX(Products!$I$5:$I$204,K233)))</f>
        <v/>
      </c>
      <c r="O233" s="11">
        <f>IF(A233="","",IF(K233="",0,J233*INDEX(Products!$H$5:$H$204,K233)))</f>
        <v/>
      </c>
      <c r="P233" s="11">
        <f>IF(A233="","",J233-M233-N233-O233)</f>
        <v/>
      </c>
    </row>
    <row r="234">
      <c r="A234">
        <f>IFERROR(INDEX('Shopify Import'!$A:$CZ,234,Settings!$E$20)&amp;"","")</f>
        <v/>
      </c>
      <c r="B234">
        <f>IFERROR(INDEX('Shopify Import'!$A:$CZ,234,Settings!$E$21)&amp;"","")</f>
        <v/>
      </c>
      <c r="C234">
        <f>IFERROR(INDEX('Shopify Import'!$A:$CZ,234,Settings!$E$22)&amp;"","")</f>
        <v/>
      </c>
      <c r="D234">
        <f>IF(A234="","",IFERROR(VALUE(SUBSTITUTE(SUBSTITUTE(INDEX('Shopify Import'!$A:$CZ,234,Settings!$E$23)&amp;"","$",""),",","")),0))</f>
        <v/>
      </c>
      <c r="E234" s="11">
        <f>IF(A234="","",IFERROR(VALUE(SUBSTITUTE(SUBSTITUTE(INDEX('Shopify Import'!$A:$CZ,234,Settings!$E$24)&amp;"","$",""),",","")),0))</f>
        <v/>
      </c>
      <c r="F234" s="11">
        <f>IF(A234="","",D234*E234)</f>
        <v/>
      </c>
      <c r="G234">
        <f>IF(A234="","",IF(C234="",1,COUNTIF($C$2:$C$1501,C234)))</f>
        <v/>
      </c>
      <c r="H234" s="11">
        <f>IF(A234="","",IFERROR(VALUE(SUBSTITUTE(SUBSTITUTE(INDEX('Shopify Import'!$A:$CZ,234,Settings!$E$25)&amp;"","$",""),",","")),0)/IF(Settings!$D$27="Yes",G234,1))</f>
        <v/>
      </c>
      <c r="I234" s="11">
        <f>IF(A234="","",IFERROR(VALUE(SUBSTITUTE(SUBSTITUTE(INDEX('Shopify Import'!$A:$CZ,234,Settings!$E$26)&amp;"","$",""),",","")),0)/IF(Settings!$D$27="Yes",G234,1))</f>
        <v/>
      </c>
      <c r="J234" s="11">
        <f>IF(A234="","",F234+H234-I234)</f>
        <v/>
      </c>
      <c r="K234">
        <f>IF(A234="","",IFERROR(IF(B234="",NA(),MATCH(B234,Products!$B$5:$B$204,0)),IFERROR(MATCH(A234,Products!$A$5:$A$204,0),"")))</f>
        <v/>
      </c>
      <c r="L234">
        <f>IF(A234="","",IF(K234="","⚠ not in Products",INDEX(Products!$A$5:$A$204,K234)))</f>
        <v/>
      </c>
      <c r="M234" s="11">
        <f>IF(A234="","",J234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234+IFERROR(INDEX(Settings!$D$5:$D$9,MATCH("Shopify",Settings!$A$5:$A$9,0)),0)*D234)</f>
        <v/>
      </c>
      <c r="N234" s="11">
        <f>IF(A234="","",IF(K234="",0,D234*INDEX(Products!$I$5:$I$204,K234)))</f>
        <v/>
      </c>
      <c r="O234" s="11">
        <f>IF(A234="","",IF(K234="",0,J234*INDEX(Products!$H$5:$H$204,K234)))</f>
        <v/>
      </c>
      <c r="P234" s="11">
        <f>IF(A234="","",J234-M234-N234-O234)</f>
        <v/>
      </c>
    </row>
    <row r="235">
      <c r="A235">
        <f>IFERROR(INDEX('Shopify Import'!$A:$CZ,235,Settings!$E$20)&amp;"","")</f>
        <v/>
      </c>
      <c r="B235">
        <f>IFERROR(INDEX('Shopify Import'!$A:$CZ,235,Settings!$E$21)&amp;"","")</f>
        <v/>
      </c>
      <c r="C235">
        <f>IFERROR(INDEX('Shopify Import'!$A:$CZ,235,Settings!$E$22)&amp;"","")</f>
        <v/>
      </c>
      <c r="D235">
        <f>IF(A235="","",IFERROR(VALUE(SUBSTITUTE(SUBSTITUTE(INDEX('Shopify Import'!$A:$CZ,235,Settings!$E$23)&amp;"","$",""),",","")),0))</f>
        <v/>
      </c>
      <c r="E235" s="11">
        <f>IF(A235="","",IFERROR(VALUE(SUBSTITUTE(SUBSTITUTE(INDEX('Shopify Import'!$A:$CZ,235,Settings!$E$24)&amp;"","$",""),",","")),0))</f>
        <v/>
      </c>
      <c r="F235" s="11">
        <f>IF(A235="","",D235*E235)</f>
        <v/>
      </c>
      <c r="G235">
        <f>IF(A235="","",IF(C235="",1,COUNTIF($C$2:$C$1501,C235)))</f>
        <v/>
      </c>
      <c r="H235" s="11">
        <f>IF(A235="","",IFERROR(VALUE(SUBSTITUTE(SUBSTITUTE(INDEX('Shopify Import'!$A:$CZ,235,Settings!$E$25)&amp;"","$",""),",","")),0)/IF(Settings!$D$27="Yes",G235,1))</f>
        <v/>
      </c>
      <c r="I235" s="11">
        <f>IF(A235="","",IFERROR(VALUE(SUBSTITUTE(SUBSTITUTE(INDEX('Shopify Import'!$A:$CZ,235,Settings!$E$26)&amp;"","$",""),",","")),0)/IF(Settings!$D$27="Yes",G235,1))</f>
        <v/>
      </c>
      <c r="J235" s="11">
        <f>IF(A235="","",F235+H235-I235)</f>
        <v/>
      </c>
      <c r="K235">
        <f>IF(A235="","",IFERROR(IF(B235="",NA(),MATCH(B235,Products!$B$5:$B$204,0)),IFERROR(MATCH(A235,Products!$A$5:$A$204,0),"")))</f>
        <v/>
      </c>
      <c r="L235">
        <f>IF(A235="","",IF(K235="","⚠ not in Products",INDEX(Products!$A$5:$A$204,K235)))</f>
        <v/>
      </c>
      <c r="M235" s="11">
        <f>IF(A235="","",J235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235+IFERROR(INDEX(Settings!$D$5:$D$9,MATCH("Shopify",Settings!$A$5:$A$9,0)),0)*D235)</f>
        <v/>
      </c>
      <c r="N235" s="11">
        <f>IF(A235="","",IF(K235="",0,D235*INDEX(Products!$I$5:$I$204,K235)))</f>
        <v/>
      </c>
      <c r="O235" s="11">
        <f>IF(A235="","",IF(K235="",0,J235*INDEX(Products!$H$5:$H$204,K235)))</f>
        <v/>
      </c>
      <c r="P235" s="11">
        <f>IF(A235="","",J235-M235-N235-O235)</f>
        <v/>
      </c>
    </row>
    <row r="236">
      <c r="A236">
        <f>IFERROR(INDEX('Shopify Import'!$A:$CZ,236,Settings!$E$20)&amp;"","")</f>
        <v/>
      </c>
      <c r="B236">
        <f>IFERROR(INDEX('Shopify Import'!$A:$CZ,236,Settings!$E$21)&amp;"","")</f>
        <v/>
      </c>
      <c r="C236">
        <f>IFERROR(INDEX('Shopify Import'!$A:$CZ,236,Settings!$E$22)&amp;"","")</f>
        <v/>
      </c>
      <c r="D236">
        <f>IF(A236="","",IFERROR(VALUE(SUBSTITUTE(SUBSTITUTE(INDEX('Shopify Import'!$A:$CZ,236,Settings!$E$23)&amp;"","$",""),",","")),0))</f>
        <v/>
      </c>
      <c r="E236" s="11">
        <f>IF(A236="","",IFERROR(VALUE(SUBSTITUTE(SUBSTITUTE(INDEX('Shopify Import'!$A:$CZ,236,Settings!$E$24)&amp;"","$",""),",","")),0))</f>
        <v/>
      </c>
      <c r="F236" s="11">
        <f>IF(A236="","",D236*E236)</f>
        <v/>
      </c>
      <c r="G236">
        <f>IF(A236="","",IF(C236="",1,COUNTIF($C$2:$C$1501,C236)))</f>
        <v/>
      </c>
      <c r="H236" s="11">
        <f>IF(A236="","",IFERROR(VALUE(SUBSTITUTE(SUBSTITUTE(INDEX('Shopify Import'!$A:$CZ,236,Settings!$E$25)&amp;"","$",""),",","")),0)/IF(Settings!$D$27="Yes",G236,1))</f>
        <v/>
      </c>
      <c r="I236" s="11">
        <f>IF(A236="","",IFERROR(VALUE(SUBSTITUTE(SUBSTITUTE(INDEX('Shopify Import'!$A:$CZ,236,Settings!$E$26)&amp;"","$",""),",","")),0)/IF(Settings!$D$27="Yes",G236,1))</f>
        <v/>
      </c>
      <c r="J236" s="11">
        <f>IF(A236="","",F236+H236-I236)</f>
        <v/>
      </c>
      <c r="K236">
        <f>IF(A236="","",IFERROR(IF(B236="",NA(),MATCH(B236,Products!$B$5:$B$204,0)),IFERROR(MATCH(A236,Products!$A$5:$A$204,0),"")))</f>
        <v/>
      </c>
      <c r="L236">
        <f>IF(A236="","",IF(K236="","⚠ not in Products",INDEX(Products!$A$5:$A$204,K236)))</f>
        <v/>
      </c>
      <c r="M236" s="11">
        <f>IF(A236="","",J236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236+IFERROR(INDEX(Settings!$D$5:$D$9,MATCH("Shopify",Settings!$A$5:$A$9,0)),0)*D236)</f>
        <v/>
      </c>
      <c r="N236" s="11">
        <f>IF(A236="","",IF(K236="",0,D236*INDEX(Products!$I$5:$I$204,K236)))</f>
        <v/>
      </c>
      <c r="O236" s="11">
        <f>IF(A236="","",IF(K236="",0,J236*INDEX(Products!$H$5:$H$204,K236)))</f>
        <v/>
      </c>
      <c r="P236" s="11">
        <f>IF(A236="","",J236-M236-N236-O236)</f>
        <v/>
      </c>
    </row>
    <row r="237">
      <c r="A237">
        <f>IFERROR(INDEX('Shopify Import'!$A:$CZ,237,Settings!$E$20)&amp;"","")</f>
        <v/>
      </c>
      <c r="B237">
        <f>IFERROR(INDEX('Shopify Import'!$A:$CZ,237,Settings!$E$21)&amp;"","")</f>
        <v/>
      </c>
      <c r="C237">
        <f>IFERROR(INDEX('Shopify Import'!$A:$CZ,237,Settings!$E$22)&amp;"","")</f>
        <v/>
      </c>
      <c r="D237">
        <f>IF(A237="","",IFERROR(VALUE(SUBSTITUTE(SUBSTITUTE(INDEX('Shopify Import'!$A:$CZ,237,Settings!$E$23)&amp;"","$",""),",","")),0))</f>
        <v/>
      </c>
      <c r="E237" s="11">
        <f>IF(A237="","",IFERROR(VALUE(SUBSTITUTE(SUBSTITUTE(INDEX('Shopify Import'!$A:$CZ,237,Settings!$E$24)&amp;"","$",""),",","")),0))</f>
        <v/>
      </c>
      <c r="F237" s="11">
        <f>IF(A237="","",D237*E237)</f>
        <v/>
      </c>
      <c r="G237">
        <f>IF(A237="","",IF(C237="",1,COUNTIF($C$2:$C$1501,C237)))</f>
        <v/>
      </c>
      <c r="H237" s="11">
        <f>IF(A237="","",IFERROR(VALUE(SUBSTITUTE(SUBSTITUTE(INDEX('Shopify Import'!$A:$CZ,237,Settings!$E$25)&amp;"","$",""),",","")),0)/IF(Settings!$D$27="Yes",G237,1))</f>
        <v/>
      </c>
      <c r="I237" s="11">
        <f>IF(A237="","",IFERROR(VALUE(SUBSTITUTE(SUBSTITUTE(INDEX('Shopify Import'!$A:$CZ,237,Settings!$E$26)&amp;"","$",""),",","")),0)/IF(Settings!$D$27="Yes",G237,1))</f>
        <v/>
      </c>
      <c r="J237" s="11">
        <f>IF(A237="","",F237+H237-I237)</f>
        <v/>
      </c>
      <c r="K237">
        <f>IF(A237="","",IFERROR(IF(B237="",NA(),MATCH(B237,Products!$B$5:$B$204,0)),IFERROR(MATCH(A237,Products!$A$5:$A$204,0),"")))</f>
        <v/>
      </c>
      <c r="L237">
        <f>IF(A237="","",IF(K237="","⚠ not in Products",INDEX(Products!$A$5:$A$204,K237)))</f>
        <v/>
      </c>
      <c r="M237" s="11">
        <f>IF(A237="","",J237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237+IFERROR(INDEX(Settings!$D$5:$D$9,MATCH("Shopify",Settings!$A$5:$A$9,0)),0)*D237)</f>
        <v/>
      </c>
      <c r="N237" s="11">
        <f>IF(A237="","",IF(K237="",0,D237*INDEX(Products!$I$5:$I$204,K237)))</f>
        <v/>
      </c>
      <c r="O237" s="11">
        <f>IF(A237="","",IF(K237="",0,J237*INDEX(Products!$H$5:$H$204,K237)))</f>
        <v/>
      </c>
      <c r="P237" s="11">
        <f>IF(A237="","",J237-M237-N237-O237)</f>
        <v/>
      </c>
    </row>
    <row r="238">
      <c r="A238">
        <f>IFERROR(INDEX('Shopify Import'!$A:$CZ,238,Settings!$E$20)&amp;"","")</f>
        <v/>
      </c>
      <c r="B238">
        <f>IFERROR(INDEX('Shopify Import'!$A:$CZ,238,Settings!$E$21)&amp;"","")</f>
        <v/>
      </c>
      <c r="C238">
        <f>IFERROR(INDEX('Shopify Import'!$A:$CZ,238,Settings!$E$22)&amp;"","")</f>
        <v/>
      </c>
      <c r="D238">
        <f>IF(A238="","",IFERROR(VALUE(SUBSTITUTE(SUBSTITUTE(INDEX('Shopify Import'!$A:$CZ,238,Settings!$E$23)&amp;"","$",""),",","")),0))</f>
        <v/>
      </c>
      <c r="E238" s="11">
        <f>IF(A238="","",IFERROR(VALUE(SUBSTITUTE(SUBSTITUTE(INDEX('Shopify Import'!$A:$CZ,238,Settings!$E$24)&amp;"","$",""),",","")),0))</f>
        <v/>
      </c>
      <c r="F238" s="11">
        <f>IF(A238="","",D238*E238)</f>
        <v/>
      </c>
      <c r="G238">
        <f>IF(A238="","",IF(C238="",1,COUNTIF($C$2:$C$1501,C238)))</f>
        <v/>
      </c>
      <c r="H238" s="11">
        <f>IF(A238="","",IFERROR(VALUE(SUBSTITUTE(SUBSTITUTE(INDEX('Shopify Import'!$A:$CZ,238,Settings!$E$25)&amp;"","$",""),",","")),0)/IF(Settings!$D$27="Yes",G238,1))</f>
        <v/>
      </c>
      <c r="I238" s="11">
        <f>IF(A238="","",IFERROR(VALUE(SUBSTITUTE(SUBSTITUTE(INDEX('Shopify Import'!$A:$CZ,238,Settings!$E$26)&amp;"","$",""),",","")),0)/IF(Settings!$D$27="Yes",G238,1))</f>
        <v/>
      </c>
      <c r="J238" s="11">
        <f>IF(A238="","",F238+H238-I238)</f>
        <v/>
      </c>
      <c r="K238">
        <f>IF(A238="","",IFERROR(IF(B238="",NA(),MATCH(B238,Products!$B$5:$B$204,0)),IFERROR(MATCH(A238,Products!$A$5:$A$204,0),"")))</f>
        <v/>
      </c>
      <c r="L238">
        <f>IF(A238="","",IF(K238="","⚠ not in Products",INDEX(Products!$A$5:$A$204,K238)))</f>
        <v/>
      </c>
      <c r="M238" s="11">
        <f>IF(A238="","",J238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238+IFERROR(INDEX(Settings!$D$5:$D$9,MATCH("Shopify",Settings!$A$5:$A$9,0)),0)*D238)</f>
        <v/>
      </c>
      <c r="N238" s="11">
        <f>IF(A238="","",IF(K238="",0,D238*INDEX(Products!$I$5:$I$204,K238)))</f>
        <v/>
      </c>
      <c r="O238" s="11">
        <f>IF(A238="","",IF(K238="",0,J238*INDEX(Products!$H$5:$H$204,K238)))</f>
        <v/>
      </c>
      <c r="P238" s="11">
        <f>IF(A238="","",J238-M238-N238-O238)</f>
        <v/>
      </c>
    </row>
    <row r="239">
      <c r="A239">
        <f>IFERROR(INDEX('Shopify Import'!$A:$CZ,239,Settings!$E$20)&amp;"","")</f>
        <v/>
      </c>
      <c r="B239">
        <f>IFERROR(INDEX('Shopify Import'!$A:$CZ,239,Settings!$E$21)&amp;"","")</f>
        <v/>
      </c>
      <c r="C239">
        <f>IFERROR(INDEX('Shopify Import'!$A:$CZ,239,Settings!$E$22)&amp;"","")</f>
        <v/>
      </c>
      <c r="D239">
        <f>IF(A239="","",IFERROR(VALUE(SUBSTITUTE(SUBSTITUTE(INDEX('Shopify Import'!$A:$CZ,239,Settings!$E$23)&amp;"","$",""),",","")),0))</f>
        <v/>
      </c>
      <c r="E239" s="11">
        <f>IF(A239="","",IFERROR(VALUE(SUBSTITUTE(SUBSTITUTE(INDEX('Shopify Import'!$A:$CZ,239,Settings!$E$24)&amp;"","$",""),",","")),0))</f>
        <v/>
      </c>
      <c r="F239" s="11">
        <f>IF(A239="","",D239*E239)</f>
        <v/>
      </c>
      <c r="G239">
        <f>IF(A239="","",IF(C239="",1,COUNTIF($C$2:$C$1501,C239)))</f>
        <v/>
      </c>
      <c r="H239" s="11">
        <f>IF(A239="","",IFERROR(VALUE(SUBSTITUTE(SUBSTITUTE(INDEX('Shopify Import'!$A:$CZ,239,Settings!$E$25)&amp;"","$",""),",","")),0)/IF(Settings!$D$27="Yes",G239,1))</f>
        <v/>
      </c>
      <c r="I239" s="11">
        <f>IF(A239="","",IFERROR(VALUE(SUBSTITUTE(SUBSTITUTE(INDEX('Shopify Import'!$A:$CZ,239,Settings!$E$26)&amp;"","$",""),",","")),0)/IF(Settings!$D$27="Yes",G239,1))</f>
        <v/>
      </c>
      <c r="J239" s="11">
        <f>IF(A239="","",F239+H239-I239)</f>
        <v/>
      </c>
      <c r="K239">
        <f>IF(A239="","",IFERROR(IF(B239="",NA(),MATCH(B239,Products!$B$5:$B$204,0)),IFERROR(MATCH(A239,Products!$A$5:$A$204,0),"")))</f>
        <v/>
      </c>
      <c r="L239">
        <f>IF(A239="","",IF(K239="","⚠ not in Products",INDEX(Products!$A$5:$A$204,K239)))</f>
        <v/>
      </c>
      <c r="M239" s="11">
        <f>IF(A239="","",J239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239+IFERROR(INDEX(Settings!$D$5:$D$9,MATCH("Shopify",Settings!$A$5:$A$9,0)),0)*D239)</f>
        <v/>
      </c>
      <c r="N239" s="11">
        <f>IF(A239="","",IF(K239="",0,D239*INDEX(Products!$I$5:$I$204,K239)))</f>
        <v/>
      </c>
      <c r="O239" s="11">
        <f>IF(A239="","",IF(K239="",0,J239*INDEX(Products!$H$5:$H$204,K239)))</f>
        <v/>
      </c>
      <c r="P239" s="11">
        <f>IF(A239="","",J239-M239-N239-O239)</f>
        <v/>
      </c>
    </row>
    <row r="240">
      <c r="A240">
        <f>IFERROR(INDEX('Shopify Import'!$A:$CZ,240,Settings!$E$20)&amp;"","")</f>
        <v/>
      </c>
      <c r="B240">
        <f>IFERROR(INDEX('Shopify Import'!$A:$CZ,240,Settings!$E$21)&amp;"","")</f>
        <v/>
      </c>
      <c r="C240">
        <f>IFERROR(INDEX('Shopify Import'!$A:$CZ,240,Settings!$E$22)&amp;"","")</f>
        <v/>
      </c>
      <c r="D240">
        <f>IF(A240="","",IFERROR(VALUE(SUBSTITUTE(SUBSTITUTE(INDEX('Shopify Import'!$A:$CZ,240,Settings!$E$23)&amp;"","$",""),",","")),0))</f>
        <v/>
      </c>
      <c r="E240" s="11">
        <f>IF(A240="","",IFERROR(VALUE(SUBSTITUTE(SUBSTITUTE(INDEX('Shopify Import'!$A:$CZ,240,Settings!$E$24)&amp;"","$",""),",","")),0))</f>
        <v/>
      </c>
      <c r="F240" s="11">
        <f>IF(A240="","",D240*E240)</f>
        <v/>
      </c>
      <c r="G240">
        <f>IF(A240="","",IF(C240="",1,COUNTIF($C$2:$C$1501,C240)))</f>
        <v/>
      </c>
      <c r="H240" s="11">
        <f>IF(A240="","",IFERROR(VALUE(SUBSTITUTE(SUBSTITUTE(INDEX('Shopify Import'!$A:$CZ,240,Settings!$E$25)&amp;"","$",""),",","")),0)/IF(Settings!$D$27="Yes",G240,1))</f>
        <v/>
      </c>
      <c r="I240" s="11">
        <f>IF(A240="","",IFERROR(VALUE(SUBSTITUTE(SUBSTITUTE(INDEX('Shopify Import'!$A:$CZ,240,Settings!$E$26)&amp;"","$",""),",","")),0)/IF(Settings!$D$27="Yes",G240,1))</f>
        <v/>
      </c>
      <c r="J240" s="11">
        <f>IF(A240="","",F240+H240-I240)</f>
        <v/>
      </c>
      <c r="K240">
        <f>IF(A240="","",IFERROR(IF(B240="",NA(),MATCH(B240,Products!$B$5:$B$204,0)),IFERROR(MATCH(A240,Products!$A$5:$A$204,0),"")))</f>
        <v/>
      </c>
      <c r="L240">
        <f>IF(A240="","",IF(K240="","⚠ not in Products",INDEX(Products!$A$5:$A$204,K240)))</f>
        <v/>
      </c>
      <c r="M240" s="11">
        <f>IF(A240="","",J240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240+IFERROR(INDEX(Settings!$D$5:$D$9,MATCH("Shopify",Settings!$A$5:$A$9,0)),0)*D240)</f>
        <v/>
      </c>
      <c r="N240" s="11">
        <f>IF(A240="","",IF(K240="",0,D240*INDEX(Products!$I$5:$I$204,K240)))</f>
        <v/>
      </c>
      <c r="O240" s="11">
        <f>IF(A240="","",IF(K240="",0,J240*INDEX(Products!$H$5:$H$204,K240)))</f>
        <v/>
      </c>
      <c r="P240" s="11">
        <f>IF(A240="","",J240-M240-N240-O240)</f>
        <v/>
      </c>
    </row>
    <row r="241">
      <c r="A241">
        <f>IFERROR(INDEX('Shopify Import'!$A:$CZ,241,Settings!$E$20)&amp;"","")</f>
        <v/>
      </c>
      <c r="B241">
        <f>IFERROR(INDEX('Shopify Import'!$A:$CZ,241,Settings!$E$21)&amp;"","")</f>
        <v/>
      </c>
      <c r="C241">
        <f>IFERROR(INDEX('Shopify Import'!$A:$CZ,241,Settings!$E$22)&amp;"","")</f>
        <v/>
      </c>
      <c r="D241">
        <f>IF(A241="","",IFERROR(VALUE(SUBSTITUTE(SUBSTITUTE(INDEX('Shopify Import'!$A:$CZ,241,Settings!$E$23)&amp;"","$",""),",","")),0))</f>
        <v/>
      </c>
      <c r="E241" s="11">
        <f>IF(A241="","",IFERROR(VALUE(SUBSTITUTE(SUBSTITUTE(INDEX('Shopify Import'!$A:$CZ,241,Settings!$E$24)&amp;"","$",""),",","")),0))</f>
        <v/>
      </c>
      <c r="F241" s="11">
        <f>IF(A241="","",D241*E241)</f>
        <v/>
      </c>
      <c r="G241">
        <f>IF(A241="","",IF(C241="",1,COUNTIF($C$2:$C$1501,C241)))</f>
        <v/>
      </c>
      <c r="H241" s="11">
        <f>IF(A241="","",IFERROR(VALUE(SUBSTITUTE(SUBSTITUTE(INDEX('Shopify Import'!$A:$CZ,241,Settings!$E$25)&amp;"","$",""),",","")),0)/IF(Settings!$D$27="Yes",G241,1))</f>
        <v/>
      </c>
      <c r="I241" s="11">
        <f>IF(A241="","",IFERROR(VALUE(SUBSTITUTE(SUBSTITUTE(INDEX('Shopify Import'!$A:$CZ,241,Settings!$E$26)&amp;"","$",""),",","")),0)/IF(Settings!$D$27="Yes",G241,1))</f>
        <v/>
      </c>
      <c r="J241" s="11">
        <f>IF(A241="","",F241+H241-I241)</f>
        <v/>
      </c>
      <c r="K241">
        <f>IF(A241="","",IFERROR(IF(B241="",NA(),MATCH(B241,Products!$B$5:$B$204,0)),IFERROR(MATCH(A241,Products!$A$5:$A$204,0),"")))</f>
        <v/>
      </c>
      <c r="L241">
        <f>IF(A241="","",IF(K241="","⚠ not in Products",INDEX(Products!$A$5:$A$204,K241)))</f>
        <v/>
      </c>
      <c r="M241" s="11">
        <f>IF(A241="","",J241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241+IFERROR(INDEX(Settings!$D$5:$D$9,MATCH("Shopify",Settings!$A$5:$A$9,0)),0)*D241)</f>
        <v/>
      </c>
      <c r="N241" s="11">
        <f>IF(A241="","",IF(K241="",0,D241*INDEX(Products!$I$5:$I$204,K241)))</f>
        <v/>
      </c>
      <c r="O241" s="11">
        <f>IF(A241="","",IF(K241="",0,J241*INDEX(Products!$H$5:$H$204,K241)))</f>
        <v/>
      </c>
      <c r="P241" s="11">
        <f>IF(A241="","",J241-M241-N241-O241)</f>
        <v/>
      </c>
    </row>
    <row r="242">
      <c r="A242">
        <f>IFERROR(INDEX('Shopify Import'!$A:$CZ,242,Settings!$E$20)&amp;"","")</f>
        <v/>
      </c>
      <c r="B242">
        <f>IFERROR(INDEX('Shopify Import'!$A:$CZ,242,Settings!$E$21)&amp;"","")</f>
        <v/>
      </c>
      <c r="C242">
        <f>IFERROR(INDEX('Shopify Import'!$A:$CZ,242,Settings!$E$22)&amp;"","")</f>
        <v/>
      </c>
      <c r="D242">
        <f>IF(A242="","",IFERROR(VALUE(SUBSTITUTE(SUBSTITUTE(INDEX('Shopify Import'!$A:$CZ,242,Settings!$E$23)&amp;"","$",""),",","")),0))</f>
        <v/>
      </c>
      <c r="E242" s="11">
        <f>IF(A242="","",IFERROR(VALUE(SUBSTITUTE(SUBSTITUTE(INDEX('Shopify Import'!$A:$CZ,242,Settings!$E$24)&amp;"","$",""),",","")),0))</f>
        <v/>
      </c>
      <c r="F242" s="11">
        <f>IF(A242="","",D242*E242)</f>
        <v/>
      </c>
      <c r="G242">
        <f>IF(A242="","",IF(C242="",1,COUNTIF($C$2:$C$1501,C242)))</f>
        <v/>
      </c>
      <c r="H242" s="11">
        <f>IF(A242="","",IFERROR(VALUE(SUBSTITUTE(SUBSTITUTE(INDEX('Shopify Import'!$A:$CZ,242,Settings!$E$25)&amp;"","$",""),",","")),0)/IF(Settings!$D$27="Yes",G242,1))</f>
        <v/>
      </c>
      <c r="I242" s="11">
        <f>IF(A242="","",IFERROR(VALUE(SUBSTITUTE(SUBSTITUTE(INDEX('Shopify Import'!$A:$CZ,242,Settings!$E$26)&amp;"","$",""),",","")),0)/IF(Settings!$D$27="Yes",G242,1))</f>
        <v/>
      </c>
      <c r="J242" s="11">
        <f>IF(A242="","",F242+H242-I242)</f>
        <v/>
      </c>
      <c r="K242">
        <f>IF(A242="","",IFERROR(IF(B242="",NA(),MATCH(B242,Products!$B$5:$B$204,0)),IFERROR(MATCH(A242,Products!$A$5:$A$204,0),"")))</f>
        <v/>
      </c>
      <c r="L242">
        <f>IF(A242="","",IF(K242="","⚠ not in Products",INDEX(Products!$A$5:$A$204,K242)))</f>
        <v/>
      </c>
      <c r="M242" s="11">
        <f>IF(A242="","",J242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242+IFERROR(INDEX(Settings!$D$5:$D$9,MATCH("Shopify",Settings!$A$5:$A$9,0)),0)*D242)</f>
        <v/>
      </c>
      <c r="N242" s="11">
        <f>IF(A242="","",IF(K242="",0,D242*INDEX(Products!$I$5:$I$204,K242)))</f>
        <v/>
      </c>
      <c r="O242" s="11">
        <f>IF(A242="","",IF(K242="",0,J242*INDEX(Products!$H$5:$H$204,K242)))</f>
        <v/>
      </c>
      <c r="P242" s="11">
        <f>IF(A242="","",J242-M242-N242-O242)</f>
        <v/>
      </c>
    </row>
    <row r="243">
      <c r="A243">
        <f>IFERROR(INDEX('Shopify Import'!$A:$CZ,243,Settings!$E$20)&amp;"","")</f>
        <v/>
      </c>
      <c r="B243">
        <f>IFERROR(INDEX('Shopify Import'!$A:$CZ,243,Settings!$E$21)&amp;"","")</f>
        <v/>
      </c>
      <c r="C243">
        <f>IFERROR(INDEX('Shopify Import'!$A:$CZ,243,Settings!$E$22)&amp;"","")</f>
        <v/>
      </c>
      <c r="D243">
        <f>IF(A243="","",IFERROR(VALUE(SUBSTITUTE(SUBSTITUTE(INDEX('Shopify Import'!$A:$CZ,243,Settings!$E$23)&amp;"","$",""),",","")),0))</f>
        <v/>
      </c>
      <c r="E243" s="11">
        <f>IF(A243="","",IFERROR(VALUE(SUBSTITUTE(SUBSTITUTE(INDEX('Shopify Import'!$A:$CZ,243,Settings!$E$24)&amp;"","$",""),",","")),0))</f>
        <v/>
      </c>
      <c r="F243" s="11">
        <f>IF(A243="","",D243*E243)</f>
        <v/>
      </c>
      <c r="G243">
        <f>IF(A243="","",IF(C243="",1,COUNTIF($C$2:$C$1501,C243)))</f>
        <v/>
      </c>
      <c r="H243" s="11">
        <f>IF(A243="","",IFERROR(VALUE(SUBSTITUTE(SUBSTITUTE(INDEX('Shopify Import'!$A:$CZ,243,Settings!$E$25)&amp;"","$",""),",","")),0)/IF(Settings!$D$27="Yes",G243,1))</f>
        <v/>
      </c>
      <c r="I243" s="11">
        <f>IF(A243="","",IFERROR(VALUE(SUBSTITUTE(SUBSTITUTE(INDEX('Shopify Import'!$A:$CZ,243,Settings!$E$26)&amp;"","$",""),",","")),0)/IF(Settings!$D$27="Yes",G243,1))</f>
        <v/>
      </c>
      <c r="J243" s="11">
        <f>IF(A243="","",F243+H243-I243)</f>
        <v/>
      </c>
      <c r="K243">
        <f>IF(A243="","",IFERROR(IF(B243="",NA(),MATCH(B243,Products!$B$5:$B$204,0)),IFERROR(MATCH(A243,Products!$A$5:$A$204,0),"")))</f>
        <v/>
      </c>
      <c r="L243">
        <f>IF(A243="","",IF(K243="","⚠ not in Products",INDEX(Products!$A$5:$A$204,K243)))</f>
        <v/>
      </c>
      <c r="M243" s="11">
        <f>IF(A243="","",J243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243+IFERROR(INDEX(Settings!$D$5:$D$9,MATCH("Shopify",Settings!$A$5:$A$9,0)),0)*D243)</f>
        <v/>
      </c>
      <c r="N243" s="11">
        <f>IF(A243="","",IF(K243="",0,D243*INDEX(Products!$I$5:$I$204,K243)))</f>
        <v/>
      </c>
      <c r="O243" s="11">
        <f>IF(A243="","",IF(K243="",0,J243*INDEX(Products!$H$5:$H$204,K243)))</f>
        <v/>
      </c>
      <c r="P243" s="11">
        <f>IF(A243="","",J243-M243-N243-O243)</f>
        <v/>
      </c>
    </row>
    <row r="244">
      <c r="A244">
        <f>IFERROR(INDEX('Shopify Import'!$A:$CZ,244,Settings!$E$20)&amp;"","")</f>
        <v/>
      </c>
      <c r="B244">
        <f>IFERROR(INDEX('Shopify Import'!$A:$CZ,244,Settings!$E$21)&amp;"","")</f>
        <v/>
      </c>
      <c r="C244">
        <f>IFERROR(INDEX('Shopify Import'!$A:$CZ,244,Settings!$E$22)&amp;"","")</f>
        <v/>
      </c>
      <c r="D244">
        <f>IF(A244="","",IFERROR(VALUE(SUBSTITUTE(SUBSTITUTE(INDEX('Shopify Import'!$A:$CZ,244,Settings!$E$23)&amp;"","$",""),",","")),0))</f>
        <v/>
      </c>
      <c r="E244" s="11">
        <f>IF(A244="","",IFERROR(VALUE(SUBSTITUTE(SUBSTITUTE(INDEX('Shopify Import'!$A:$CZ,244,Settings!$E$24)&amp;"","$",""),",","")),0))</f>
        <v/>
      </c>
      <c r="F244" s="11">
        <f>IF(A244="","",D244*E244)</f>
        <v/>
      </c>
      <c r="G244">
        <f>IF(A244="","",IF(C244="",1,COUNTIF($C$2:$C$1501,C244)))</f>
        <v/>
      </c>
      <c r="H244" s="11">
        <f>IF(A244="","",IFERROR(VALUE(SUBSTITUTE(SUBSTITUTE(INDEX('Shopify Import'!$A:$CZ,244,Settings!$E$25)&amp;"","$",""),",","")),0)/IF(Settings!$D$27="Yes",G244,1))</f>
        <v/>
      </c>
      <c r="I244" s="11">
        <f>IF(A244="","",IFERROR(VALUE(SUBSTITUTE(SUBSTITUTE(INDEX('Shopify Import'!$A:$CZ,244,Settings!$E$26)&amp;"","$",""),",","")),0)/IF(Settings!$D$27="Yes",G244,1))</f>
        <v/>
      </c>
      <c r="J244" s="11">
        <f>IF(A244="","",F244+H244-I244)</f>
        <v/>
      </c>
      <c r="K244">
        <f>IF(A244="","",IFERROR(IF(B244="",NA(),MATCH(B244,Products!$B$5:$B$204,0)),IFERROR(MATCH(A244,Products!$A$5:$A$204,0),"")))</f>
        <v/>
      </c>
      <c r="L244">
        <f>IF(A244="","",IF(K244="","⚠ not in Products",INDEX(Products!$A$5:$A$204,K244)))</f>
        <v/>
      </c>
      <c r="M244" s="11">
        <f>IF(A244="","",J244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244+IFERROR(INDEX(Settings!$D$5:$D$9,MATCH("Shopify",Settings!$A$5:$A$9,0)),0)*D244)</f>
        <v/>
      </c>
      <c r="N244" s="11">
        <f>IF(A244="","",IF(K244="",0,D244*INDEX(Products!$I$5:$I$204,K244)))</f>
        <v/>
      </c>
      <c r="O244" s="11">
        <f>IF(A244="","",IF(K244="",0,J244*INDEX(Products!$H$5:$H$204,K244)))</f>
        <v/>
      </c>
      <c r="P244" s="11">
        <f>IF(A244="","",J244-M244-N244-O244)</f>
        <v/>
      </c>
    </row>
    <row r="245">
      <c r="A245">
        <f>IFERROR(INDEX('Shopify Import'!$A:$CZ,245,Settings!$E$20)&amp;"","")</f>
        <v/>
      </c>
      <c r="B245">
        <f>IFERROR(INDEX('Shopify Import'!$A:$CZ,245,Settings!$E$21)&amp;"","")</f>
        <v/>
      </c>
      <c r="C245">
        <f>IFERROR(INDEX('Shopify Import'!$A:$CZ,245,Settings!$E$22)&amp;"","")</f>
        <v/>
      </c>
      <c r="D245">
        <f>IF(A245="","",IFERROR(VALUE(SUBSTITUTE(SUBSTITUTE(INDEX('Shopify Import'!$A:$CZ,245,Settings!$E$23)&amp;"","$",""),",","")),0))</f>
        <v/>
      </c>
      <c r="E245" s="11">
        <f>IF(A245="","",IFERROR(VALUE(SUBSTITUTE(SUBSTITUTE(INDEX('Shopify Import'!$A:$CZ,245,Settings!$E$24)&amp;"","$",""),",","")),0))</f>
        <v/>
      </c>
      <c r="F245" s="11">
        <f>IF(A245="","",D245*E245)</f>
        <v/>
      </c>
      <c r="G245">
        <f>IF(A245="","",IF(C245="",1,COUNTIF($C$2:$C$1501,C245)))</f>
        <v/>
      </c>
      <c r="H245" s="11">
        <f>IF(A245="","",IFERROR(VALUE(SUBSTITUTE(SUBSTITUTE(INDEX('Shopify Import'!$A:$CZ,245,Settings!$E$25)&amp;"","$",""),",","")),0)/IF(Settings!$D$27="Yes",G245,1))</f>
        <v/>
      </c>
      <c r="I245" s="11">
        <f>IF(A245="","",IFERROR(VALUE(SUBSTITUTE(SUBSTITUTE(INDEX('Shopify Import'!$A:$CZ,245,Settings!$E$26)&amp;"","$",""),",","")),0)/IF(Settings!$D$27="Yes",G245,1))</f>
        <v/>
      </c>
      <c r="J245" s="11">
        <f>IF(A245="","",F245+H245-I245)</f>
        <v/>
      </c>
      <c r="K245">
        <f>IF(A245="","",IFERROR(IF(B245="",NA(),MATCH(B245,Products!$B$5:$B$204,0)),IFERROR(MATCH(A245,Products!$A$5:$A$204,0),"")))</f>
        <v/>
      </c>
      <c r="L245">
        <f>IF(A245="","",IF(K245="","⚠ not in Products",INDEX(Products!$A$5:$A$204,K245)))</f>
        <v/>
      </c>
      <c r="M245" s="11">
        <f>IF(A245="","",J245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245+IFERROR(INDEX(Settings!$D$5:$D$9,MATCH("Shopify",Settings!$A$5:$A$9,0)),0)*D245)</f>
        <v/>
      </c>
      <c r="N245" s="11">
        <f>IF(A245="","",IF(K245="",0,D245*INDEX(Products!$I$5:$I$204,K245)))</f>
        <v/>
      </c>
      <c r="O245" s="11">
        <f>IF(A245="","",IF(K245="",0,J245*INDEX(Products!$H$5:$H$204,K245)))</f>
        <v/>
      </c>
      <c r="P245" s="11">
        <f>IF(A245="","",J245-M245-N245-O245)</f>
        <v/>
      </c>
    </row>
    <row r="246">
      <c r="A246">
        <f>IFERROR(INDEX('Shopify Import'!$A:$CZ,246,Settings!$E$20)&amp;"","")</f>
        <v/>
      </c>
      <c r="B246">
        <f>IFERROR(INDEX('Shopify Import'!$A:$CZ,246,Settings!$E$21)&amp;"","")</f>
        <v/>
      </c>
      <c r="C246">
        <f>IFERROR(INDEX('Shopify Import'!$A:$CZ,246,Settings!$E$22)&amp;"","")</f>
        <v/>
      </c>
      <c r="D246">
        <f>IF(A246="","",IFERROR(VALUE(SUBSTITUTE(SUBSTITUTE(INDEX('Shopify Import'!$A:$CZ,246,Settings!$E$23)&amp;"","$",""),",","")),0))</f>
        <v/>
      </c>
      <c r="E246" s="11">
        <f>IF(A246="","",IFERROR(VALUE(SUBSTITUTE(SUBSTITUTE(INDEX('Shopify Import'!$A:$CZ,246,Settings!$E$24)&amp;"","$",""),",","")),0))</f>
        <v/>
      </c>
      <c r="F246" s="11">
        <f>IF(A246="","",D246*E246)</f>
        <v/>
      </c>
      <c r="G246">
        <f>IF(A246="","",IF(C246="",1,COUNTIF($C$2:$C$1501,C246)))</f>
        <v/>
      </c>
      <c r="H246" s="11">
        <f>IF(A246="","",IFERROR(VALUE(SUBSTITUTE(SUBSTITUTE(INDEX('Shopify Import'!$A:$CZ,246,Settings!$E$25)&amp;"","$",""),",","")),0)/IF(Settings!$D$27="Yes",G246,1))</f>
        <v/>
      </c>
      <c r="I246" s="11">
        <f>IF(A246="","",IFERROR(VALUE(SUBSTITUTE(SUBSTITUTE(INDEX('Shopify Import'!$A:$CZ,246,Settings!$E$26)&amp;"","$",""),",","")),0)/IF(Settings!$D$27="Yes",G246,1))</f>
        <v/>
      </c>
      <c r="J246" s="11">
        <f>IF(A246="","",F246+H246-I246)</f>
        <v/>
      </c>
      <c r="K246">
        <f>IF(A246="","",IFERROR(IF(B246="",NA(),MATCH(B246,Products!$B$5:$B$204,0)),IFERROR(MATCH(A246,Products!$A$5:$A$204,0),"")))</f>
        <v/>
      </c>
      <c r="L246">
        <f>IF(A246="","",IF(K246="","⚠ not in Products",INDEX(Products!$A$5:$A$204,K246)))</f>
        <v/>
      </c>
      <c r="M246" s="11">
        <f>IF(A246="","",J246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246+IFERROR(INDEX(Settings!$D$5:$D$9,MATCH("Shopify",Settings!$A$5:$A$9,0)),0)*D246)</f>
        <v/>
      </c>
      <c r="N246" s="11">
        <f>IF(A246="","",IF(K246="",0,D246*INDEX(Products!$I$5:$I$204,K246)))</f>
        <v/>
      </c>
      <c r="O246" s="11">
        <f>IF(A246="","",IF(K246="",0,J246*INDEX(Products!$H$5:$H$204,K246)))</f>
        <v/>
      </c>
      <c r="P246" s="11">
        <f>IF(A246="","",J246-M246-N246-O246)</f>
        <v/>
      </c>
    </row>
    <row r="247">
      <c r="A247">
        <f>IFERROR(INDEX('Shopify Import'!$A:$CZ,247,Settings!$E$20)&amp;"","")</f>
        <v/>
      </c>
      <c r="B247">
        <f>IFERROR(INDEX('Shopify Import'!$A:$CZ,247,Settings!$E$21)&amp;"","")</f>
        <v/>
      </c>
      <c r="C247">
        <f>IFERROR(INDEX('Shopify Import'!$A:$CZ,247,Settings!$E$22)&amp;"","")</f>
        <v/>
      </c>
      <c r="D247">
        <f>IF(A247="","",IFERROR(VALUE(SUBSTITUTE(SUBSTITUTE(INDEX('Shopify Import'!$A:$CZ,247,Settings!$E$23)&amp;"","$",""),",","")),0))</f>
        <v/>
      </c>
      <c r="E247" s="11">
        <f>IF(A247="","",IFERROR(VALUE(SUBSTITUTE(SUBSTITUTE(INDEX('Shopify Import'!$A:$CZ,247,Settings!$E$24)&amp;"","$",""),",","")),0))</f>
        <v/>
      </c>
      <c r="F247" s="11">
        <f>IF(A247="","",D247*E247)</f>
        <v/>
      </c>
      <c r="G247">
        <f>IF(A247="","",IF(C247="",1,COUNTIF($C$2:$C$1501,C247)))</f>
        <v/>
      </c>
      <c r="H247" s="11">
        <f>IF(A247="","",IFERROR(VALUE(SUBSTITUTE(SUBSTITUTE(INDEX('Shopify Import'!$A:$CZ,247,Settings!$E$25)&amp;"","$",""),",","")),0)/IF(Settings!$D$27="Yes",G247,1))</f>
        <v/>
      </c>
      <c r="I247" s="11">
        <f>IF(A247="","",IFERROR(VALUE(SUBSTITUTE(SUBSTITUTE(INDEX('Shopify Import'!$A:$CZ,247,Settings!$E$26)&amp;"","$",""),",","")),0)/IF(Settings!$D$27="Yes",G247,1))</f>
        <v/>
      </c>
      <c r="J247" s="11">
        <f>IF(A247="","",F247+H247-I247)</f>
        <v/>
      </c>
      <c r="K247">
        <f>IF(A247="","",IFERROR(IF(B247="",NA(),MATCH(B247,Products!$B$5:$B$204,0)),IFERROR(MATCH(A247,Products!$A$5:$A$204,0),"")))</f>
        <v/>
      </c>
      <c r="L247">
        <f>IF(A247="","",IF(K247="","⚠ not in Products",INDEX(Products!$A$5:$A$204,K247)))</f>
        <v/>
      </c>
      <c r="M247" s="11">
        <f>IF(A247="","",J247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247+IFERROR(INDEX(Settings!$D$5:$D$9,MATCH("Shopify",Settings!$A$5:$A$9,0)),0)*D247)</f>
        <v/>
      </c>
      <c r="N247" s="11">
        <f>IF(A247="","",IF(K247="",0,D247*INDEX(Products!$I$5:$I$204,K247)))</f>
        <v/>
      </c>
      <c r="O247" s="11">
        <f>IF(A247="","",IF(K247="",0,J247*INDEX(Products!$H$5:$H$204,K247)))</f>
        <v/>
      </c>
      <c r="P247" s="11">
        <f>IF(A247="","",J247-M247-N247-O247)</f>
        <v/>
      </c>
    </row>
    <row r="248">
      <c r="A248">
        <f>IFERROR(INDEX('Shopify Import'!$A:$CZ,248,Settings!$E$20)&amp;"","")</f>
        <v/>
      </c>
      <c r="B248">
        <f>IFERROR(INDEX('Shopify Import'!$A:$CZ,248,Settings!$E$21)&amp;"","")</f>
        <v/>
      </c>
      <c r="C248">
        <f>IFERROR(INDEX('Shopify Import'!$A:$CZ,248,Settings!$E$22)&amp;"","")</f>
        <v/>
      </c>
      <c r="D248">
        <f>IF(A248="","",IFERROR(VALUE(SUBSTITUTE(SUBSTITUTE(INDEX('Shopify Import'!$A:$CZ,248,Settings!$E$23)&amp;"","$",""),",","")),0))</f>
        <v/>
      </c>
      <c r="E248" s="11">
        <f>IF(A248="","",IFERROR(VALUE(SUBSTITUTE(SUBSTITUTE(INDEX('Shopify Import'!$A:$CZ,248,Settings!$E$24)&amp;"","$",""),",","")),0))</f>
        <v/>
      </c>
      <c r="F248" s="11">
        <f>IF(A248="","",D248*E248)</f>
        <v/>
      </c>
      <c r="G248">
        <f>IF(A248="","",IF(C248="",1,COUNTIF($C$2:$C$1501,C248)))</f>
        <v/>
      </c>
      <c r="H248" s="11">
        <f>IF(A248="","",IFERROR(VALUE(SUBSTITUTE(SUBSTITUTE(INDEX('Shopify Import'!$A:$CZ,248,Settings!$E$25)&amp;"","$",""),",","")),0)/IF(Settings!$D$27="Yes",G248,1))</f>
        <v/>
      </c>
      <c r="I248" s="11">
        <f>IF(A248="","",IFERROR(VALUE(SUBSTITUTE(SUBSTITUTE(INDEX('Shopify Import'!$A:$CZ,248,Settings!$E$26)&amp;"","$",""),",","")),0)/IF(Settings!$D$27="Yes",G248,1))</f>
        <v/>
      </c>
      <c r="J248" s="11">
        <f>IF(A248="","",F248+H248-I248)</f>
        <v/>
      </c>
      <c r="K248">
        <f>IF(A248="","",IFERROR(IF(B248="",NA(),MATCH(B248,Products!$B$5:$B$204,0)),IFERROR(MATCH(A248,Products!$A$5:$A$204,0),"")))</f>
        <v/>
      </c>
      <c r="L248">
        <f>IF(A248="","",IF(K248="","⚠ not in Products",INDEX(Products!$A$5:$A$204,K248)))</f>
        <v/>
      </c>
      <c r="M248" s="11">
        <f>IF(A248="","",J248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248+IFERROR(INDEX(Settings!$D$5:$D$9,MATCH("Shopify",Settings!$A$5:$A$9,0)),0)*D248)</f>
        <v/>
      </c>
      <c r="N248" s="11">
        <f>IF(A248="","",IF(K248="",0,D248*INDEX(Products!$I$5:$I$204,K248)))</f>
        <v/>
      </c>
      <c r="O248" s="11">
        <f>IF(A248="","",IF(K248="",0,J248*INDEX(Products!$H$5:$H$204,K248)))</f>
        <v/>
      </c>
      <c r="P248" s="11">
        <f>IF(A248="","",J248-M248-N248-O248)</f>
        <v/>
      </c>
    </row>
    <row r="249">
      <c r="A249">
        <f>IFERROR(INDEX('Shopify Import'!$A:$CZ,249,Settings!$E$20)&amp;"","")</f>
        <v/>
      </c>
      <c r="B249">
        <f>IFERROR(INDEX('Shopify Import'!$A:$CZ,249,Settings!$E$21)&amp;"","")</f>
        <v/>
      </c>
      <c r="C249">
        <f>IFERROR(INDEX('Shopify Import'!$A:$CZ,249,Settings!$E$22)&amp;"","")</f>
        <v/>
      </c>
      <c r="D249">
        <f>IF(A249="","",IFERROR(VALUE(SUBSTITUTE(SUBSTITUTE(INDEX('Shopify Import'!$A:$CZ,249,Settings!$E$23)&amp;"","$",""),",","")),0))</f>
        <v/>
      </c>
      <c r="E249" s="11">
        <f>IF(A249="","",IFERROR(VALUE(SUBSTITUTE(SUBSTITUTE(INDEX('Shopify Import'!$A:$CZ,249,Settings!$E$24)&amp;"","$",""),",","")),0))</f>
        <v/>
      </c>
      <c r="F249" s="11">
        <f>IF(A249="","",D249*E249)</f>
        <v/>
      </c>
      <c r="G249">
        <f>IF(A249="","",IF(C249="",1,COUNTIF($C$2:$C$1501,C249)))</f>
        <v/>
      </c>
      <c r="H249" s="11">
        <f>IF(A249="","",IFERROR(VALUE(SUBSTITUTE(SUBSTITUTE(INDEX('Shopify Import'!$A:$CZ,249,Settings!$E$25)&amp;"","$",""),",","")),0)/IF(Settings!$D$27="Yes",G249,1))</f>
        <v/>
      </c>
      <c r="I249" s="11">
        <f>IF(A249="","",IFERROR(VALUE(SUBSTITUTE(SUBSTITUTE(INDEX('Shopify Import'!$A:$CZ,249,Settings!$E$26)&amp;"","$",""),",","")),0)/IF(Settings!$D$27="Yes",G249,1))</f>
        <v/>
      </c>
      <c r="J249" s="11">
        <f>IF(A249="","",F249+H249-I249)</f>
        <v/>
      </c>
      <c r="K249">
        <f>IF(A249="","",IFERROR(IF(B249="",NA(),MATCH(B249,Products!$B$5:$B$204,0)),IFERROR(MATCH(A249,Products!$A$5:$A$204,0),"")))</f>
        <v/>
      </c>
      <c r="L249">
        <f>IF(A249="","",IF(K249="","⚠ not in Products",INDEX(Products!$A$5:$A$204,K249)))</f>
        <v/>
      </c>
      <c r="M249" s="11">
        <f>IF(A249="","",J249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249+IFERROR(INDEX(Settings!$D$5:$D$9,MATCH("Shopify",Settings!$A$5:$A$9,0)),0)*D249)</f>
        <v/>
      </c>
      <c r="N249" s="11">
        <f>IF(A249="","",IF(K249="",0,D249*INDEX(Products!$I$5:$I$204,K249)))</f>
        <v/>
      </c>
      <c r="O249" s="11">
        <f>IF(A249="","",IF(K249="",0,J249*INDEX(Products!$H$5:$H$204,K249)))</f>
        <v/>
      </c>
      <c r="P249" s="11">
        <f>IF(A249="","",J249-M249-N249-O249)</f>
        <v/>
      </c>
    </row>
    <row r="250">
      <c r="A250">
        <f>IFERROR(INDEX('Shopify Import'!$A:$CZ,250,Settings!$E$20)&amp;"","")</f>
        <v/>
      </c>
      <c r="B250">
        <f>IFERROR(INDEX('Shopify Import'!$A:$CZ,250,Settings!$E$21)&amp;"","")</f>
        <v/>
      </c>
      <c r="C250">
        <f>IFERROR(INDEX('Shopify Import'!$A:$CZ,250,Settings!$E$22)&amp;"","")</f>
        <v/>
      </c>
      <c r="D250">
        <f>IF(A250="","",IFERROR(VALUE(SUBSTITUTE(SUBSTITUTE(INDEX('Shopify Import'!$A:$CZ,250,Settings!$E$23)&amp;"","$",""),",","")),0))</f>
        <v/>
      </c>
      <c r="E250" s="11">
        <f>IF(A250="","",IFERROR(VALUE(SUBSTITUTE(SUBSTITUTE(INDEX('Shopify Import'!$A:$CZ,250,Settings!$E$24)&amp;"","$",""),",","")),0))</f>
        <v/>
      </c>
      <c r="F250" s="11">
        <f>IF(A250="","",D250*E250)</f>
        <v/>
      </c>
      <c r="G250">
        <f>IF(A250="","",IF(C250="",1,COUNTIF($C$2:$C$1501,C250)))</f>
        <v/>
      </c>
      <c r="H250" s="11">
        <f>IF(A250="","",IFERROR(VALUE(SUBSTITUTE(SUBSTITUTE(INDEX('Shopify Import'!$A:$CZ,250,Settings!$E$25)&amp;"","$",""),",","")),0)/IF(Settings!$D$27="Yes",G250,1))</f>
        <v/>
      </c>
      <c r="I250" s="11">
        <f>IF(A250="","",IFERROR(VALUE(SUBSTITUTE(SUBSTITUTE(INDEX('Shopify Import'!$A:$CZ,250,Settings!$E$26)&amp;"","$",""),",","")),0)/IF(Settings!$D$27="Yes",G250,1))</f>
        <v/>
      </c>
      <c r="J250" s="11">
        <f>IF(A250="","",F250+H250-I250)</f>
        <v/>
      </c>
      <c r="K250">
        <f>IF(A250="","",IFERROR(IF(B250="",NA(),MATCH(B250,Products!$B$5:$B$204,0)),IFERROR(MATCH(A250,Products!$A$5:$A$204,0),"")))</f>
        <v/>
      </c>
      <c r="L250">
        <f>IF(A250="","",IF(K250="","⚠ not in Products",INDEX(Products!$A$5:$A$204,K250)))</f>
        <v/>
      </c>
      <c r="M250" s="11">
        <f>IF(A250="","",J250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250+IFERROR(INDEX(Settings!$D$5:$D$9,MATCH("Shopify",Settings!$A$5:$A$9,0)),0)*D250)</f>
        <v/>
      </c>
      <c r="N250" s="11">
        <f>IF(A250="","",IF(K250="",0,D250*INDEX(Products!$I$5:$I$204,K250)))</f>
        <v/>
      </c>
      <c r="O250" s="11">
        <f>IF(A250="","",IF(K250="",0,J250*INDEX(Products!$H$5:$H$204,K250)))</f>
        <v/>
      </c>
      <c r="P250" s="11">
        <f>IF(A250="","",J250-M250-N250-O250)</f>
        <v/>
      </c>
    </row>
    <row r="251">
      <c r="A251">
        <f>IFERROR(INDEX('Shopify Import'!$A:$CZ,251,Settings!$E$20)&amp;"","")</f>
        <v/>
      </c>
      <c r="B251">
        <f>IFERROR(INDEX('Shopify Import'!$A:$CZ,251,Settings!$E$21)&amp;"","")</f>
        <v/>
      </c>
      <c r="C251">
        <f>IFERROR(INDEX('Shopify Import'!$A:$CZ,251,Settings!$E$22)&amp;"","")</f>
        <v/>
      </c>
      <c r="D251">
        <f>IF(A251="","",IFERROR(VALUE(SUBSTITUTE(SUBSTITUTE(INDEX('Shopify Import'!$A:$CZ,251,Settings!$E$23)&amp;"","$",""),",","")),0))</f>
        <v/>
      </c>
      <c r="E251" s="11">
        <f>IF(A251="","",IFERROR(VALUE(SUBSTITUTE(SUBSTITUTE(INDEX('Shopify Import'!$A:$CZ,251,Settings!$E$24)&amp;"","$",""),",","")),0))</f>
        <v/>
      </c>
      <c r="F251" s="11">
        <f>IF(A251="","",D251*E251)</f>
        <v/>
      </c>
      <c r="G251">
        <f>IF(A251="","",IF(C251="",1,COUNTIF($C$2:$C$1501,C251)))</f>
        <v/>
      </c>
      <c r="H251" s="11">
        <f>IF(A251="","",IFERROR(VALUE(SUBSTITUTE(SUBSTITUTE(INDEX('Shopify Import'!$A:$CZ,251,Settings!$E$25)&amp;"","$",""),",","")),0)/IF(Settings!$D$27="Yes",G251,1))</f>
        <v/>
      </c>
      <c r="I251" s="11">
        <f>IF(A251="","",IFERROR(VALUE(SUBSTITUTE(SUBSTITUTE(INDEX('Shopify Import'!$A:$CZ,251,Settings!$E$26)&amp;"","$",""),",","")),0)/IF(Settings!$D$27="Yes",G251,1))</f>
        <v/>
      </c>
      <c r="J251" s="11">
        <f>IF(A251="","",F251+H251-I251)</f>
        <v/>
      </c>
      <c r="K251">
        <f>IF(A251="","",IFERROR(IF(B251="",NA(),MATCH(B251,Products!$B$5:$B$204,0)),IFERROR(MATCH(A251,Products!$A$5:$A$204,0),"")))</f>
        <v/>
      </c>
      <c r="L251">
        <f>IF(A251="","",IF(K251="","⚠ not in Products",INDEX(Products!$A$5:$A$204,K251)))</f>
        <v/>
      </c>
      <c r="M251" s="11">
        <f>IF(A251="","",J251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251+IFERROR(INDEX(Settings!$D$5:$D$9,MATCH("Shopify",Settings!$A$5:$A$9,0)),0)*D251)</f>
        <v/>
      </c>
      <c r="N251" s="11">
        <f>IF(A251="","",IF(K251="",0,D251*INDEX(Products!$I$5:$I$204,K251)))</f>
        <v/>
      </c>
      <c r="O251" s="11">
        <f>IF(A251="","",IF(K251="",0,J251*INDEX(Products!$H$5:$H$204,K251)))</f>
        <v/>
      </c>
      <c r="P251" s="11">
        <f>IF(A251="","",J251-M251-N251-O251)</f>
        <v/>
      </c>
    </row>
    <row r="252">
      <c r="A252">
        <f>IFERROR(INDEX('Shopify Import'!$A:$CZ,252,Settings!$E$20)&amp;"","")</f>
        <v/>
      </c>
      <c r="B252">
        <f>IFERROR(INDEX('Shopify Import'!$A:$CZ,252,Settings!$E$21)&amp;"","")</f>
        <v/>
      </c>
      <c r="C252">
        <f>IFERROR(INDEX('Shopify Import'!$A:$CZ,252,Settings!$E$22)&amp;"","")</f>
        <v/>
      </c>
      <c r="D252">
        <f>IF(A252="","",IFERROR(VALUE(SUBSTITUTE(SUBSTITUTE(INDEX('Shopify Import'!$A:$CZ,252,Settings!$E$23)&amp;"","$",""),",","")),0))</f>
        <v/>
      </c>
      <c r="E252" s="11">
        <f>IF(A252="","",IFERROR(VALUE(SUBSTITUTE(SUBSTITUTE(INDEX('Shopify Import'!$A:$CZ,252,Settings!$E$24)&amp;"","$",""),",","")),0))</f>
        <v/>
      </c>
      <c r="F252" s="11">
        <f>IF(A252="","",D252*E252)</f>
        <v/>
      </c>
      <c r="G252">
        <f>IF(A252="","",IF(C252="",1,COUNTIF($C$2:$C$1501,C252)))</f>
        <v/>
      </c>
      <c r="H252" s="11">
        <f>IF(A252="","",IFERROR(VALUE(SUBSTITUTE(SUBSTITUTE(INDEX('Shopify Import'!$A:$CZ,252,Settings!$E$25)&amp;"","$",""),",","")),0)/IF(Settings!$D$27="Yes",G252,1))</f>
        <v/>
      </c>
      <c r="I252" s="11">
        <f>IF(A252="","",IFERROR(VALUE(SUBSTITUTE(SUBSTITUTE(INDEX('Shopify Import'!$A:$CZ,252,Settings!$E$26)&amp;"","$",""),",","")),0)/IF(Settings!$D$27="Yes",G252,1))</f>
        <v/>
      </c>
      <c r="J252" s="11">
        <f>IF(A252="","",F252+H252-I252)</f>
        <v/>
      </c>
      <c r="K252">
        <f>IF(A252="","",IFERROR(IF(B252="",NA(),MATCH(B252,Products!$B$5:$B$204,0)),IFERROR(MATCH(A252,Products!$A$5:$A$204,0),"")))</f>
        <v/>
      </c>
      <c r="L252">
        <f>IF(A252="","",IF(K252="","⚠ not in Products",INDEX(Products!$A$5:$A$204,K252)))</f>
        <v/>
      </c>
      <c r="M252" s="11">
        <f>IF(A252="","",J252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252+IFERROR(INDEX(Settings!$D$5:$D$9,MATCH("Shopify",Settings!$A$5:$A$9,0)),0)*D252)</f>
        <v/>
      </c>
      <c r="N252" s="11">
        <f>IF(A252="","",IF(K252="",0,D252*INDEX(Products!$I$5:$I$204,K252)))</f>
        <v/>
      </c>
      <c r="O252" s="11">
        <f>IF(A252="","",IF(K252="",0,J252*INDEX(Products!$H$5:$H$204,K252)))</f>
        <v/>
      </c>
      <c r="P252" s="11">
        <f>IF(A252="","",J252-M252-N252-O252)</f>
        <v/>
      </c>
    </row>
    <row r="253">
      <c r="A253">
        <f>IFERROR(INDEX('Shopify Import'!$A:$CZ,253,Settings!$E$20)&amp;"","")</f>
        <v/>
      </c>
      <c r="B253">
        <f>IFERROR(INDEX('Shopify Import'!$A:$CZ,253,Settings!$E$21)&amp;"","")</f>
        <v/>
      </c>
      <c r="C253">
        <f>IFERROR(INDEX('Shopify Import'!$A:$CZ,253,Settings!$E$22)&amp;"","")</f>
        <v/>
      </c>
      <c r="D253">
        <f>IF(A253="","",IFERROR(VALUE(SUBSTITUTE(SUBSTITUTE(INDEX('Shopify Import'!$A:$CZ,253,Settings!$E$23)&amp;"","$",""),",","")),0))</f>
        <v/>
      </c>
      <c r="E253" s="11">
        <f>IF(A253="","",IFERROR(VALUE(SUBSTITUTE(SUBSTITUTE(INDEX('Shopify Import'!$A:$CZ,253,Settings!$E$24)&amp;"","$",""),",","")),0))</f>
        <v/>
      </c>
      <c r="F253" s="11">
        <f>IF(A253="","",D253*E253)</f>
        <v/>
      </c>
      <c r="G253">
        <f>IF(A253="","",IF(C253="",1,COUNTIF($C$2:$C$1501,C253)))</f>
        <v/>
      </c>
      <c r="H253" s="11">
        <f>IF(A253="","",IFERROR(VALUE(SUBSTITUTE(SUBSTITUTE(INDEX('Shopify Import'!$A:$CZ,253,Settings!$E$25)&amp;"","$",""),",","")),0)/IF(Settings!$D$27="Yes",G253,1))</f>
        <v/>
      </c>
      <c r="I253" s="11">
        <f>IF(A253="","",IFERROR(VALUE(SUBSTITUTE(SUBSTITUTE(INDEX('Shopify Import'!$A:$CZ,253,Settings!$E$26)&amp;"","$",""),",","")),0)/IF(Settings!$D$27="Yes",G253,1))</f>
        <v/>
      </c>
      <c r="J253" s="11">
        <f>IF(A253="","",F253+H253-I253)</f>
        <v/>
      </c>
      <c r="K253">
        <f>IF(A253="","",IFERROR(IF(B253="",NA(),MATCH(B253,Products!$B$5:$B$204,0)),IFERROR(MATCH(A253,Products!$A$5:$A$204,0),"")))</f>
        <v/>
      </c>
      <c r="L253">
        <f>IF(A253="","",IF(K253="","⚠ not in Products",INDEX(Products!$A$5:$A$204,K253)))</f>
        <v/>
      </c>
      <c r="M253" s="11">
        <f>IF(A253="","",J253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253+IFERROR(INDEX(Settings!$D$5:$D$9,MATCH("Shopify",Settings!$A$5:$A$9,0)),0)*D253)</f>
        <v/>
      </c>
      <c r="N253" s="11">
        <f>IF(A253="","",IF(K253="",0,D253*INDEX(Products!$I$5:$I$204,K253)))</f>
        <v/>
      </c>
      <c r="O253" s="11">
        <f>IF(A253="","",IF(K253="",0,J253*INDEX(Products!$H$5:$H$204,K253)))</f>
        <v/>
      </c>
      <c r="P253" s="11">
        <f>IF(A253="","",J253-M253-N253-O253)</f>
        <v/>
      </c>
    </row>
    <row r="254">
      <c r="A254">
        <f>IFERROR(INDEX('Shopify Import'!$A:$CZ,254,Settings!$E$20)&amp;"","")</f>
        <v/>
      </c>
      <c r="B254">
        <f>IFERROR(INDEX('Shopify Import'!$A:$CZ,254,Settings!$E$21)&amp;"","")</f>
        <v/>
      </c>
      <c r="C254">
        <f>IFERROR(INDEX('Shopify Import'!$A:$CZ,254,Settings!$E$22)&amp;"","")</f>
        <v/>
      </c>
      <c r="D254">
        <f>IF(A254="","",IFERROR(VALUE(SUBSTITUTE(SUBSTITUTE(INDEX('Shopify Import'!$A:$CZ,254,Settings!$E$23)&amp;"","$",""),",","")),0))</f>
        <v/>
      </c>
      <c r="E254" s="11">
        <f>IF(A254="","",IFERROR(VALUE(SUBSTITUTE(SUBSTITUTE(INDEX('Shopify Import'!$A:$CZ,254,Settings!$E$24)&amp;"","$",""),",","")),0))</f>
        <v/>
      </c>
      <c r="F254" s="11">
        <f>IF(A254="","",D254*E254)</f>
        <v/>
      </c>
      <c r="G254">
        <f>IF(A254="","",IF(C254="",1,COUNTIF($C$2:$C$1501,C254)))</f>
        <v/>
      </c>
      <c r="H254" s="11">
        <f>IF(A254="","",IFERROR(VALUE(SUBSTITUTE(SUBSTITUTE(INDEX('Shopify Import'!$A:$CZ,254,Settings!$E$25)&amp;"","$",""),",","")),0)/IF(Settings!$D$27="Yes",G254,1))</f>
        <v/>
      </c>
      <c r="I254" s="11">
        <f>IF(A254="","",IFERROR(VALUE(SUBSTITUTE(SUBSTITUTE(INDEX('Shopify Import'!$A:$CZ,254,Settings!$E$26)&amp;"","$",""),",","")),0)/IF(Settings!$D$27="Yes",G254,1))</f>
        <v/>
      </c>
      <c r="J254" s="11">
        <f>IF(A254="","",F254+H254-I254)</f>
        <v/>
      </c>
      <c r="K254">
        <f>IF(A254="","",IFERROR(IF(B254="",NA(),MATCH(B254,Products!$B$5:$B$204,0)),IFERROR(MATCH(A254,Products!$A$5:$A$204,0),"")))</f>
        <v/>
      </c>
      <c r="L254">
        <f>IF(A254="","",IF(K254="","⚠ not in Products",INDEX(Products!$A$5:$A$204,K254)))</f>
        <v/>
      </c>
      <c r="M254" s="11">
        <f>IF(A254="","",J254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254+IFERROR(INDEX(Settings!$D$5:$D$9,MATCH("Shopify",Settings!$A$5:$A$9,0)),0)*D254)</f>
        <v/>
      </c>
      <c r="N254" s="11">
        <f>IF(A254="","",IF(K254="",0,D254*INDEX(Products!$I$5:$I$204,K254)))</f>
        <v/>
      </c>
      <c r="O254" s="11">
        <f>IF(A254="","",IF(K254="",0,J254*INDEX(Products!$H$5:$H$204,K254)))</f>
        <v/>
      </c>
      <c r="P254" s="11">
        <f>IF(A254="","",J254-M254-N254-O254)</f>
        <v/>
      </c>
    </row>
    <row r="255">
      <c r="A255">
        <f>IFERROR(INDEX('Shopify Import'!$A:$CZ,255,Settings!$E$20)&amp;"","")</f>
        <v/>
      </c>
      <c r="B255">
        <f>IFERROR(INDEX('Shopify Import'!$A:$CZ,255,Settings!$E$21)&amp;"","")</f>
        <v/>
      </c>
      <c r="C255">
        <f>IFERROR(INDEX('Shopify Import'!$A:$CZ,255,Settings!$E$22)&amp;"","")</f>
        <v/>
      </c>
      <c r="D255">
        <f>IF(A255="","",IFERROR(VALUE(SUBSTITUTE(SUBSTITUTE(INDEX('Shopify Import'!$A:$CZ,255,Settings!$E$23)&amp;"","$",""),",","")),0))</f>
        <v/>
      </c>
      <c r="E255" s="11">
        <f>IF(A255="","",IFERROR(VALUE(SUBSTITUTE(SUBSTITUTE(INDEX('Shopify Import'!$A:$CZ,255,Settings!$E$24)&amp;"","$",""),",","")),0))</f>
        <v/>
      </c>
      <c r="F255" s="11">
        <f>IF(A255="","",D255*E255)</f>
        <v/>
      </c>
      <c r="G255">
        <f>IF(A255="","",IF(C255="",1,COUNTIF($C$2:$C$1501,C255)))</f>
        <v/>
      </c>
      <c r="H255" s="11">
        <f>IF(A255="","",IFERROR(VALUE(SUBSTITUTE(SUBSTITUTE(INDEX('Shopify Import'!$A:$CZ,255,Settings!$E$25)&amp;"","$",""),",","")),0)/IF(Settings!$D$27="Yes",G255,1))</f>
        <v/>
      </c>
      <c r="I255" s="11">
        <f>IF(A255="","",IFERROR(VALUE(SUBSTITUTE(SUBSTITUTE(INDEX('Shopify Import'!$A:$CZ,255,Settings!$E$26)&amp;"","$",""),",","")),0)/IF(Settings!$D$27="Yes",G255,1))</f>
        <v/>
      </c>
      <c r="J255" s="11">
        <f>IF(A255="","",F255+H255-I255)</f>
        <v/>
      </c>
      <c r="K255">
        <f>IF(A255="","",IFERROR(IF(B255="",NA(),MATCH(B255,Products!$B$5:$B$204,0)),IFERROR(MATCH(A255,Products!$A$5:$A$204,0),"")))</f>
        <v/>
      </c>
      <c r="L255">
        <f>IF(A255="","",IF(K255="","⚠ not in Products",INDEX(Products!$A$5:$A$204,K255)))</f>
        <v/>
      </c>
      <c r="M255" s="11">
        <f>IF(A255="","",J255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255+IFERROR(INDEX(Settings!$D$5:$D$9,MATCH("Shopify",Settings!$A$5:$A$9,0)),0)*D255)</f>
        <v/>
      </c>
      <c r="N255" s="11">
        <f>IF(A255="","",IF(K255="",0,D255*INDEX(Products!$I$5:$I$204,K255)))</f>
        <v/>
      </c>
      <c r="O255" s="11">
        <f>IF(A255="","",IF(K255="",0,J255*INDEX(Products!$H$5:$H$204,K255)))</f>
        <v/>
      </c>
      <c r="P255" s="11">
        <f>IF(A255="","",J255-M255-N255-O255)</f>
        <v/>
      </c>
    </row>
    <row r="256">
      <c r="A256">
        <f>IFERROR(INDEX('Shopify Import'!$A:$CZ,256,Settings!$E$20)&amp;"","")</f>
        <v/>
      </c>
      <c r="B256">
        <f>IFERROR(INDEX('Shopify Import'!$A:$CZ,256,Settings!$E$21)&amp;"","")</f>
        <v/>
      </c>
      <c r="C256">
        <f>IFERROR(INDEX('Shopify Import'!$A:$CZ,256,Settings!$E$22)&amp;"","")</f>
        <v/>
      </c>
      <c r="D256">
        <f>IF(A256="","",IFERROR(VALUE(SUBSTITUTE(SUBSTITUTE(INDEX('Shopify Import'!$A:$CZ,256,Settings!$E$23)&amp;"","$",""),",","")),0))</f>
        <v/>
      </c>
      <c r="E256" s="11">
        <f>IF(A256="","",IFERROR(VALUE(SUBSTITUTE(SUBSTITUTE(INDEX('Shopify Import'!$A:$CZ,256,Settings!$E$24)&amp;"","$",""),",","")),0))</f>
        <v/>
      </c>
      <c r="F256" s="11">
        <f>IF(A256="","",D256*E256)</f>
        <v/>
      </c>
      <c r="G256">
        <f>IF(A256="","",IF(C256="",1,COUNTIF($C$2:$C$1501,C256)))</f>
        <v/>
      </c>
      <c r="H256" s="11">
        <f>IF(A256="","",IFERROR(VALUE(SUBSTITUTE(SUBSTITUTE(INDEX('Shopify Import'!$A:$CZ,256,Settings!$E$25)&amp;"","$",""),",","")),0)/IF(Settings!$D$27="Yes",G256,1))</f>
        <v/>
      </c>
      <c r="I256" s="11">
        <f>IF(A256="","",IFERROR(VALUE(SUBSTITUTE(SUBSTITUTE(INDEX('Shopify Import'!$A:$CZ,256,Settings!$E$26)&amp;"","$",""),",","")),0)/IF(Settings!$D$27="Yes",G256,1))</f>
        <v/>
      </c>
      <c r="J256" s="11">
        <f>IF(A256="","",F256+H256-I256)</f>
        <v/>
      </c>
      <c r="K256">
        <f>IF(A256="","",IFERROR(IF(B256="",NA(),MATCH(B256,Products!$B$5:$B$204,0)),IFERROR(MATCH(A256,Products!$A$5:$A$204,0),"")))</f>
        <v/>
      </c>
      <c r="L256">
        <f>IF(A256="","",IF(K256="","⚠ not in Products",INDEX(Products!$A$5:$A$204,K256)))</f>
        <v/>
      </c>
      <c r="M256" s="11">
        <f>IF(A256="","",J256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256+IFERROR(INDEX(Settings!$D$5:$D$9,MATCH("Shopify",Settings!$A$5:$A$9,0)),0)*D256)</f>
        <v/>
      </c>
      <c r="N256" s="11">
        <f>IF(A256="","",IF(K256="",0,D256*INDEX(Products!$I$5:$I$204,K256)))</f>
        <v/>
      </c>
      <c r="O256" s="11">
        <f>IF(A256="","",IF(K256="",0,J256*INDEX(Products!$H$5:$H$204,K256)))</f>
        <v/>
      </c>
      <c r="P256" s="11">
        <f>IF(A256="","",J256-M256-N256-O256)</f>
        <v/>
      </c>
    </row>
    <row r="257">
      <c r="A257">
        <f>IFERROR(INDEX('Shopify Import'!$A:$CZ,257,Settings!$E$20)&amp;"","")</f>
        <v/>
      </c>
      <c r="B257">
        <f>IFERROR(INDEX('Shopify Import'!$A:$CZ,257,Settings!$E$21)&amp;"","")</f>
        <v/>
      </c>
      <c r="C257">
        <f>IFERROR(INDEX('Shopify Import'!$A:$CZ,257,Settings!$E$22)&amp;"","")</f>
        <v/>
      </c>
      <c r="D257">
        <f>IF(A257="","",IFERROR(VALUE(SUBSTITUTE(SUBSTITUTE(INDEX('Shopify Import'!$A:$CZ,257,Settings!$E$23)&amp;"","$",""),",","")),0))</f>
        <v/>
      </c>
      <c r="E257" s="11">
        <f>IF(A257="","",IFERROR(VALUE(SUBSTITUTE(SUBSTITUTE(INDEX('Shopify Import'!$A:$CZ,257,Settings!$E$24)&amp;"","$",""),",","")),0))</f>
        <v/>
      </c>
      <c r="F257" s="11">
        <f>IF(A257="","",D257*E257)</f>
        <v/>
      </c>
      <c r="G257">
        <f>IF(A257="","",IF(C257="",1,COUNTIF($C$2:$C$1501,C257)))</f>
        <v/>
      </c>
      <c r="H257" s="11">
        <f>IF(A257="","",IFERROR(VALUE(SUBSTITUTE(SUBSTITUTE(INDEX('Shopify Import'!$A:$CZ,257,Settings!$E$25)&amp;"","$",""),",","")),0)/IF(Settings!$D$27="Yes",G257,1))</f>
        <v/>
      </c>
      <c r="I257" s="11">
        <f>IF(A257="","",IFERROR(VALUE(SUBSTITUTE(SUBSTITUTE(INDEX('Shopify Import'!$A:$CZ,257,Settings!$E$26)&amp;"","$",""),",","")),0)/IF(Settings!$D$27="Yes",G257,1))</f>
        <v/>
      </c>
      <c r="J257" s="11">
        <f>IF(A257="","",F257+H257-I257)</f>
        <v/>
      </c>
      <c r="K257">
        <f>IF(A257="","",IFERROR(IF(B257="",NA(),MATCH(B257,Products!$B$5:$B$204,0)),IFERROR(MATCH(A257,Products!$A$5:$A$204,0),"")))</f>
        <v/>
      </c>
      <c r="L257">
        <f>IF(A257="","",IF(K257="","⚠ not in Products",INDEX(Products!$A$5:$A$204,K257)))</f>
        <v/>
      </c>
      <c r="M257" s="11">
        <f>IF(A257="","",J257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257+IFERROR(INDEX(Settings!$D$5:$D$9,MATCH("Shopify",Settings!$A$5:$A$9,0)),0)*D257)</f>
        <v/>
      </c>
      <c r="N257" s="11">
        <f>IF(A257="","",IF(K257="",0,D257*INDEX(Products!$I$5:$I$204,K257)))</f>
        <v/>
      </c>
      <c r="O257" s="11">
        <f>IF(A257="","",IF(K257="",0,J257*INDEX(Products!$H$5:$H$204,K257)))</f>
        <v/>
      </c>
      <c r="P257" s="11">
        <f>IF(A257="","",J257-M257-N257-O257)</f>
        <v/>
      </c>
    </row>
    <row r="258">
      <c r="A258">
        <f>IFERROR(INDEX('Shopify Import'!$A:$CZ,258,Settings!$E$20)&amp;"","")</f>
        <v/>
      </c>
      <c r="B258">
        <f>IFERROR(INDEX('Shopify Import'!$A:$CZ,258,Settings!$E$21)&amp;"","")</f>
        <v/>
      </c>
      <c r="C258">
        <f>IFERROR(INDEX('Shopify Import'!$A:$CZ,258,Settings!$E$22)&amp;"","")</f>
        <v/>
      </c>
      <c r="D258">
        <f>IF(A258="","",IFERROR(VALUE(SUBSTITUTE(SUBSTITUTE(INDEX('Shopify Import'!$A:$CZ,258,Settings!$E$23)&amp;"","$",""),",","")),0))</f>
        <v/>
      </c>
      <c r="E258" s="11">
        <f>IF(A258="","",IFERROR(VALUE(SUBSTITUTE(SUBSTITUTE(INDEX('Shopify Import'!$A:$CZ,258,Settings!$E$24)&amp;"","$",""),",","")),0))</f>
        <v/>
      </c>
      <c r="F258" s="11">
        <f>IF(A258="","",D258*E258)</f>
        <v/>
      </c>
      <c r="G258">
        <f>IF(A258="","",IF(C258="",1,COUNTIF($C$2:$C$1501,C258)))</f>
        <v/>
      </c>
      <c r="H258" s="11">
        <f>IF(A258="","",IFERROR(VALUE(SUBSTITUTE(SUBSTITUTE(INDEX('Shopify Import'!$A:$CZ,258,Settings!$E$25)&amp;"","$",""),",","")),0)/IF(Settings!$D$27="Yes",G258,1))</f>
        <v/>
      </c>
      <c r="I258" s="11">
        <f>IF(A258="","",IFERROR(VALUE(SUBSTITUTE(SUBSTITUTE(INDEX('Shopify Import'!$A:$CZ,258,Settings!$E$26)&amp;"","$",""),",","")),0)/IF(Settings!$D$27="Yes",G258,1))</f>
        <v/>
      </c>
      <c r="J258" s="11">
        <f>IF(A258="","",F258+H258-I258)</f>
        <v/>
      </c>
      <c r="K258">
        <f>IF(A258="","",IFERROR(IF(B258="",NA(),MATCH(B258,Products!$B$5:$B$204,0)),IFERROR(MATCH(A258,Products!$A$5:$A$204,0),"")))</f>
        <v/>
      </c>
      <c r="L258">
        <f>IF(A258="","",IF(K258="","⚠ not in Products",INDEX(Products!$A$5:$A$204,K258)))</f>
        <v/>
      </c>
      <c r="M258" s="11">
        <f>IF(A258="","",J258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258+IFERROR(INDEX(Settings!$D$5:$D$9,MATCH("Shopify",Settings!$A$5:$A$9,0)),0)*D258)</f>
        <v/>
      </c>
      <c r="N258" s="11">
        <f>IF(A258="","",IF(K258="",0,D258*INDEX(Products!$I$5:$I$204,K258)))</f>
        <v/>
      </c>
      <c r="O258" s="11">
        <f>IF(A258="","",IF(K258="",0,J258*INDEX(Products!$H$5:$H$204,K258)))</f>
        <v/>
      </c>
      <c r="P258" s="11">
        <f>IF(A258="","",J258-M258-N258-O258)</f>
        <v/>
      </c>
    </row>
    <row r="259">
      <c r="A259">
        <f>IFERROR(INDEX('Shopify Import'!$A:$CZ,259,Settings!$E$20)&amp;"","")</f>
        <v/>
      </c>
      <c r="B259">
        <f>IFERROR(INDEX('Shopify Import'!$A:$CZ,259,Settings!$E$21)&amp;"","")</f>
        <v/>
      </c>
      <c r="C259">
        <f>IFERROR(INDEX('Shopify Import'!$A:$CZ,259,Settings!$E$22)&amp;"","")</f>
        <v/>
      </c>
      <c r="D259">
        <f>IF(A259="","",IFERROR(VALUE(SUBSTITUTE(SUBSTITUTE(INDEX('Shopify Import'!$A:$CZ,259,Settings!$E$23)&amp;"","$",""),",","")),0))</f>
        <v/>
      </c>
      <c r="E259" s="11">
        <f>IF(A259="","",IFERROR(VALUE(SUBSTITUTE(SUBSTITUTE(INDEX('Shopify Import'!$A:$CZ,259,Settings!$E$24)&amp;"","$",""),",","")),0))</f>
        <v/>
      </c>
      <c r="F259" s="11">
        <f>IF(A259="","",D259*E259)</f>
        <v/>
      </c>
      <c r="G259">
        <f>IF(A259="","",IF(C259="",1,COUNTIF($C$2:$C$1501,C259)))</f>
        <v/>
      </c>
      <c r="H259" s="11">
        <f>IF(A259="","",IFERROR(VALUE(SUBSTITUTE(SUBSTITUTE(INDEX('Shopify Import'!$A:$CZ,259,Settings!$E$25)&amp;"","$",""),",","")),0)/IF(Settings!$D$27="Yes",G259,1))</f>
        <v/>
      </c>
      <c r="I259" s="11">
        <f>IF(A259="","",IFERROR(VALUE(SUBSTITUTE(SUBSTITUTE(INDEX('Shopify Import'!$A:$CZ,259,Settings!$E$26)&amp;"","$",""),",","")),0)/IF(Settings!$D$27="Yes",G259,1))</f>
        <v/>
      </c>
      <c r="J259" s="11">
        <f>IF(A259="","",F259+H259-I259)</f>
        <v/>
      </c>
      <c r="K259">
        <f>IF(A259="","",IFERROR(IF(B259="",NA(),MATCH(B259,Products!$B$5:$B$204,0)),IFERROR(MATCH(A259,Products!$A$5:$A$204,0),"")))</f>
        <v/>
      </c>
      <c r="L259">
        <f>IF(A259="","",IF(K259="","⚠ not in Products",INDEX(Products!$A$5:$A$204,K259)))</f>
        <v/>
      </c>
      <c r="M259" s="11">
        <f>IF(A259="","",J259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259+IFERROR(INDEX(Settings!$D$5:$D$9,MATCH("Shopify",Settings!$A$5:$A$9,0)),0)*D259)</f>
        <v/>
      </c>
      <c r="N259" s="11">
        <f>IF(A259="","",IF(K259="",0,D259*INDEX(Products!$I$5:$I$204,K259)))</f>
        <v/>
      </c>
      <c r="O259" s="11">
        <f>IF(A259="","",IF(K259="",0,J259*INDEX(Products!$H$5:$H$204,K259)))</f>
        <v/>
      </c>
      <c r="P259" s="11">
        <f>IF(A259="","",J259-M259-N259-O259)</f>
        <v/>
      </c>
    </row>
    <row r="260">
      <c r="A260">
        <f>IFERROR(INDEX('Shopify Import'!$A:$CZ,260,Settings!$E$20)&amp;"","")</f>
        <v/>
      </c>
      <c r="B260">
        <f>IFERROR(INDEX('Shopify Import'!$A:$CZ,260,Settings!$E$21)&amp;"","")</f>
        <v/>
      </c>
      <c r="C260">
        <f>IFERROR(INDEX('Shopify Import'!$A:$CZ,260,Settings!$E$22)&amp;"","")</f>
        <v/>
      </c>
      <c r="D260">
        <f>IF(A260="","",IFERROR(VALUE(SUBSTITUTE(SUBSTITUTE(INDEX('Shopify Import'!$A:$CZ,260,Settings!$E$23)&amp;"","$",""),",","")),0))</f>
        <v/>
      </c>
      <c r="E260" s="11">
        <f>IF(A260="","",IFERROR(VALUE(SUBSTITUTE(SUBSTITUTE(INDEX('Shopify Import'!$A:$CZ,260,Settings!$E$24)&amp;"","$",""),",","")),0))</f>
        <v/>
      </c>
      <c r="F260" s="11">
        <f>IF(A260="","",D260*E260)</f>
        <v/>
      </c>
      <c r="G260">
        <f>IF(A260="","",IF(C260="",1,COUNTIF($C$2:$C$1501,C260)))</f>
        <v/>
      </c>
      <c r="H260" s="11">
        <f>IF(A260="","",IFERROR(VALUE(SUBSTITUTE(SUBSTITUTE(INDEX('Shopify Import'!$A:$CZ,260,Settings!$E$25)&amp;"","$",""),",","")),0)/IF(Settings!$D$27="Yes",G260,1))</f>
        <v/>
      </c>
      <c r="I260" s="11">
        <f>IF(A260="","",IFERROR(VALUE(SUBSTITUTE(SUBSTITUTE(INDEX('Shopify Import'!$A:$CZ,260,Settings!$E$26)&amp;"","$",""),",","")),0)/IF(Settings!$D$27="Yes",G260,1))</f>
        <v/>
      </c>
      <c r="J260" s="11">
        <f>IF(A260="","",F260+H260-I260)</f>
        <v/>
      </c>
      <c r="K260">
        <f>IF(A260="","",IFERROR(IF(B260="",NA(),MATCH(B260,Products!$B$5:$B$204,0)),IFERROR(MATCH(A260,Products!$A$5:$A$204,0),"")))</f>
        <v/>
      </c>
      <c r="L260">
        <f>IF(A260="","",IF(K260="","⚠ not in Products",INDEX(Products!$A$5:$A$204,K260)))</f>
        <v/>
      </c>
      <c r="M260" s="11">
        <f>IF(A260="","",J260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260+IFERROR(INDEX(Settings!$D$5:$D$9,MATCH("Shopify",Settings!$A$5:$A$9,0)),0)*D260)</f>
        <v/>
      </c>
      <c r="N260" s="11">
        <f>IF(A260="","",IF(K260="",0,D260*INDEX(Products!$I$5:$I$204,K260)))</f>
        <v/>
      </c>
      <c r="O260" s="11">
        <f>IF(A260="","",IF(K260="",0,J260*INDEX(Products!$H$5:$H$204,K260)))</f>
        <v/>
      </c>
      <c r="P260" s="11">
        <f>IF(A260="","",J260-M260-N260-O260)</f>
        <v/>
      </c>
    </row>
    <row r="261">
      <c r="A261">
        <f>IFERROR(INDEX('Shopify Import'!$A:$CZ,261,Settings!$E$20)&amp;"","")</f>
        <v/>
      </c>
      <c r="B261">
        <f>IFERROR(INDEX('Shopify Import'!$A:$CZ,261,Settings!$E$21)&amp;"","")</f>
        <v/>
      </c>
      <c r="C261">
        <f>IFERROR(INDEX('Shopify Import'!$A:$CZ,261,Settings!$E$22)&amp;"","")</f>
        <v/>
      </c>
      <c r="D261">
        <f>IF(A261="","",IFERROR(VALUE(SUBSTITUTE(SUBSTITUTE(INDEX('Shopify Import'!$A:$CZ,261,Settings!$E$23)&amp;"","$",""),",","")),0))</f>
        <v/>
      </c>
      <c r="E261" s="11">
        <f>IF(A261="","",IFERROR(VALUE(SUBSTITUTE(SUBSTITUTE(INDEX('Shopify Import'!$A:$CZ,261,Settings!$E$24)&amp;"","$",""),",","")),0))</f>
        <v/>
      </c>
      <c r="F261" s="11">
        <f>IF(A261="","",D261*E261)</f>
        <v/>
      </c>
      <c r="G261">
        <f>IF(A261="","",IF(C261="",1,COUNTIF($C$2:$C$1501,C261)))</f>
        <v/>
      </c>
      <c r="H261" s="11">
        <f>IF(A261="","",IFERROR(VALUE(SUBSTITUTE(SUBSTITUTE(INDEX('Shopify Import'!$A:$CZ,261,Settings!$E$25)&amp;"","$",""),",","")),0)/IF(Settings!$D$27="Yes",G261,1))</f>
        <v/>
      </c>
      <c r="I261" s="11">
        <f>IF(A261="","",IFERROR(VALUE(SUBSTITUTE(SUBSTITUTE(INDEX('Shopify Import'!$A:$CZ,261,Settings!$E$26)&amp;"","$",""),",","")),0)/IF(Settings!$D$27="Yes",G261,1))</f>
        <v/>
      </c>
      <c r="J261" s="11">
        <f>IF(A261="","",F261+H261-I261)</f>
        <v/>
      </c>
      <c r="K261">
        <f>IF(A261="","",IFERROR(IF(B261="",NA(),MATCH(B261,Products!$B$5:$B$204,0)),IFERROR(MATCH(A261,Products!$A$5:$A$204,0),"")))</f>
        <v/>
      </c>
      <c r="L261">
        <f>IF(A261="","",IF(K261="","⚠ not in Products",INDEX(Products!$A$5:$A$204,K261)))</f>
        <v/>
      </c>
      <c r="M261" s="11">
        <f>IF(A261="","",J261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261+IFERROR(INDEX(Settings!$D$5:$D$9,MATCH("Shopify",Settings!$A$5:$A$9,0)),0)*D261)</f>
        <v/>
      </c>
      <c r="N261" s="11">
        <f>IF(A261="","",IF(K261="",0,D261*INDEX(Products!$I$5:$I$204,K261)))</f>
        <v/>
      </c>
      <c r="O261" s="11">
        <f>IF(A261="","",IF(K261="",0,J261*INDEX(Products!$H$5:$H$204,K261)))</f>
        <v/>
      </c>
      <c r="P261" s="11">
        <f>IF(A261="","",J261-M261-N261-O261)</f>
        <v/>
      </c>
    </row>
    <row r="262">
      <c r="A262">
        <f>IFERROR(INDEX('Shopify Import'!$A:$CZ,262,Settings!$E$20)&amp;"","")</f>
        <v/>
      </c>
      <c r="B262">
        <f>IFERROR(INDEX('Shopify Import'!$A:$CZ,262,Settings!$E$21)&amp;"","")</f>
        <v/>
      </c>
      <c r="C262">
        <f>IFERROR(INDEX('Shopify Import'!$A:$CZ,262,Settings!$E$22)&amp;"","")</f>
        <v/>
      </c>
      <c r="D262">
        <f>IF(A262="","",IFERROR(VALUE(SUBSTITUTE(SUBSTITUTE(INDEX('Shopify Import'!$A:$CZ,262,Settings!$E$23)&amp;"","$",""),",","")),0))</f>
        <v/>
      </c>
      <c r="E262" s="11">
        <f>IF(A262="","",IFERROR(VALUE(SUBSTITUTE(SUBSTITUTE(INDEX('Shopify Import'!$A:$CZ,262,Settings!$E$24)&amp;"","$",""),",","")),0))</f>
        <v/>
      </c>
      <c r="F262" s="11">
        <f>IF(A262="","",D262*E262)</f>
        <v/>
      </c>
      <c r="G262">
        <f>IF(A262="","",IF(C262="",1,COUNTIF($C$2:$C$1501,C262)))</f>
        <v/>
      </c>
      <c r="H262" s="11">
        <f>IF(A262="","",IFERROR(VALUE(SUBSTITUTE(SUBSTITUTE(INDEX('Shopify Import'!$A:$CZ,262,Settings!$E$25)&amp;"","$",""),",","")),0)/IF(Settings!$D$27="Yes",G262,1))</f>
        <v/>
      </c>
      <c r="I262" s="11">
        <f>IF(A262="","",IFERROR(VALUE(SUBSTITUTE(SUBSTITUTE(INDEX('Shopify Import'!$A:$CZ,262,Settings!$E$26)&amp;"","$",""),",","")),0)/IF(Settings!$D$27="Yes",G262,1))</f>
        <v/>
      </c>
      <c r="J262" s="11">
        <f>IF(A262="","",F262+H262-I262)</f>
        <v/>
      </c>
      <c r="K262">
        <f>IF(A262="","",IFERROR(IF(B262="",NA(),MATCH(B262,Products!$B$5:$B$204,0)),IFERROR(MATCH(A262,Products!$A$5:$A$204,0),"")))</f>
        <v/>
      </c>
      <c r="L262">
        <f>IF(A262="","",IF(K262="","⚠ not in Products",INDEX(Products!$A$5:$A$204,K262)))</f>
        <v/>
      </c>
      <c r="M262" s="11">
        <f>IF(A262="","",J262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262+IFERROR(INDEX(Settings!$D$5:$D$9,MATCH("Shopify",Settings!$A$5:$A$9,0)),0)*D262)</f>
        <v/>
      </c>
      <c r="N262" s="11">
        <f>IF(A262="","",IF(K262="",0,D262*INDEX(Products!$I$5:$I$204,K262)))</f>
        <v/>
      </c>
      <c r="O262" s="11">
        <f>IF(A262="","",IF(K262="",0,J262*INDEX(Products!$H$5:$H$204,K262)))</f>
        <v/>
      </c>
      <c r="P262" s="11">
        <f>IF(A262="","",J262-M262-N262-O262)</f>
        <v/>
      </c>
    </row>
    <row r="263">
      <c r="A263">
        <f>IFERROR(INDEX('Shopify Import'!$A:$CZ,263,Settings!$E$20)&amp;"","")</f>
        <v/>
      </c>
      <c r="B263">
        <f>IFERROR(INDEX('Shopify Import'!$A:$CZ,263,Settings!$E$21)&amp;"","")</f>
        <v/>
      </c>
      <c r="C263">
        <f>IFERROR(INDEX('Shopify Import'!$A:$CZ,263,Settings!$E$22)&amp;"","")</f>
        <v/>
      </c>
      <c r="D263">
        <f>IF(A263="","",IFERROR(VALUE(SUBSTITUTE(SUBSTITUTE(INDEX('Shopify Import'!$A:$CZ,263,Settings!$E$23)&amp;"","$",""),",","")),0))</f>
        <v/>
      </c>
      <c r="E263" s="11">
        <f>IF(A263="","",IFERROR(VALUE(SUBSTITUTE(SUBSTITUTE(INDEX('Shopify Import'!$A:$CZ,263,Settings!$E$24)&amp;"","$",""),",","")),0))</f>
        <v/>
      </c>
      <c r="F263" s="11">
        <f>IF(A263="","",D263*E263)</f>
        <v/>
      </c>
      <c r="G263">
        <f>IF(A263="","",IF(C263="",1,COUNTIF($C$2:$C$1501,C263)))</f>
        <v/>
      </c>
      <c r="H263" s="11">
        <f>IF(A263="","",IFERROR(VALUE(SUBSTITUTE(SUBSTITUTE(INDEX('Shopify Import'!$A:$CZ,263,Settings!$E$25)&amp;"","$",""),",","")),0)/IF(Settings!$D$27="Yes",G263,1))</f>
        <v/>
      </c>
      <c r="I263" s="11">
        <f>IF(A263="","",IFERROR(VALUE(SUBSTITUTE(SUBSTITUTE(INDEX('Shopify Import'!$A:$CZ,263,Settings!$E$26)&amp;"","$",""),",","")),0)/IF(Settings!$D$27="Yes",G263,1))</f>
        <v/>
      </c>
      <c r="J263" s="11">
        <f>IF(A263="","",F263+H263-I263)</f>
        <v/>
      </c>
      <c r="K263">
        <f>IF(A263="","",IFERROR(IF(B263="",NA(),MATCH(B263,Products!$B$5:$B$204,0)),IFERROR(MATCH(A263,Products!$A$5:$A$204,0),"")))</f>
        <v/>
      </c>
      <c r="L263">
        <f>IF(A263="","",IF(K263="","⚠ not in Products",INDEX(Products!$A$5:$A$204,K263)))</f>
        <v/>
      </c>
      <c r="M263" s="11">
        <f>IF(A263="","",J263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263+IFERROR(INDEX(Settings!$D$5:$D$9,MATCH("Shopify",Settings!$A$5:$A$9,0)),0)*D263)</f>
        <v/>
      </c>
      <c r="N263" s="11">
        <f>IF(A263="","",IF(K263="",0,D263*INDEX(Products!$I$5:$I$204,K263)))</f>
        <v/>
      </c>
      <c r="O263" s="11">
        <f>IF(A263="","",IF(K263="",0,J263*INDEX(Products!$H$5:$H$204,K263)))</f>
        <v/>
      </c>
      <c r="P263" s="11">
        <f>IF(A263="","",J263-M263-N263-O263)</f>
        <v/>
      </c>
    </row>
    <row r="264">
      <c r="A264">
        <f>IFERROR(INDEX('Shopify Import'!$A:$CZ,264,Settings!$E$20)&amp;"","")</f>
        <v/>
      </c>
      <c r="B264">
        <f>IFERROR(INDEX('Shopify Import'!$A:$CZ,264,Settings!$E$21)&amp;"","")</f>
        <v/>
      </c>
      <c r="C264">
        <f>IFERROR(INDEX('Shopify Import'!$A:$CZ,264,Settings!$E$22)&amp;"","")</f>
        <v/>
      </c>
      <c r="D264">
        <f>IF(A264="","",IFERROR(VALUE(SUBSTITUTE(SUBSTITUTE(INDEX('Shopify Import'!$A:$CZ,264,Settings!$E$23)&amp;"","$",""),",","")),0))</f>
        <v/>
      </c>
      <c r="E264" s="11">
        <f>IF(A264="","",IFERROR(VALUE(SUBSTITUTE(SUBSTITUTE(INDEX('Shopify Import'!$A:$CZ,264,Settings!$E$24)&amp;"","$",""),",","")),0))</f>
        <v/>
      </c>
      <c r="F264" s="11">
        <f>IF(A264="","",D264*E264)</f>
        <v/>
      </c>
      <c r="G264">
        <f>IF(A264="","",IF(C264="",1,COUNTIF($C$2:$C$1501,C264)))</f>
        <v/>
      </c>
      <c r="H264" s="11">
        <f>IF(A264="","",IFERROR(VALUE(SUBSTITUTE(SUBSTITUTE(INDEX('Shopify Import'!$A:$CZ,264,Settings!$E$25)&amp;"","$",""),",","")),0)/IF(Settings!$D$27="Yes",G264,1))</f>
        <v/>
      </c>
      <c r="I264" s="11">
        <f>IF(A264="","",IFERROR(VALUE(SUBSTITUTE(SUBSTITUTE(INDEX('Shopify Import'!$A:$CZ,264,Settings!$E$26)&amp;"","$",""),",","")),0)/IF(Settings!$D$27="Yes",G264,1))</f>
        <v/>
      </c>
      <c r="J264" s="11">
        <f>IF(A264="","",F264+H264-I264)</f>
        <v/>
      </c>
      <c r="K264">
        <f>IF(A264="","",IFERROR(IF(B264="",NA(),MATCH(B264,Products!$B$5:$B$204,0)),IFERROR(MATCH(A264,Products!$A$5:$A$204,0),"")))</f>
        <v/>
      </c>
      <c r="L264">
        <f>IF(A264="","",IF(K264="","⚠ not in Products",INDEX(Products!$A$5:$A$204,K264)))</f>
        <v/>
      </c>
      <c r="M264" s="11">
        <f>IF(A264="","",J264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264+IFERROR(INDEX(Settings!$D$5:$D$9,MATCH("Shopify",Settings!$A$5:$A$9,0)),0)*D264)</f>
        <v/>
      </c>
      <c r="N264" s="11">
        <f>IF(A264="","",IF(K264="",0,D264*INDEX(Products!$I$5:$I$204,K264)))</f>
        <v/>
      </c>
      <c r="O264" s="11">
        <f>IF(A264="","",IF(K264="",0,J264*INDEX(Products!$H$5:$H$204,K264)))</f>
        <v/>
      </c>
      <c r="P264" s="11">
        <f>IF(A264="","",J264-M264-N264-O264)</f>
        <v/>
      </c>
    </row>
    <row r="265">
      <c r="A265">
        <f>IFERROR(INDEX('Shopify Import'!$A:$CZ,265,Settings!$E$20)&amp;"","")</f>
        <v/>
      </c>
      <c r="B265">
        <f>IFERROR(INDEX('Shopify Import'!$A:$CZ,265,Settings!$E$21)&amp;"","")</f>
        <v/>
      </c>
      <c r="C265">
        <f>IFERROR(INDEX('Shopify Import'!$A:$CZ,265,Settings!$E$22)&amp;"","")</f>
        <v/>
      </c>
      <c r="D265">
        <f>IF(A265="","",IFERROR(VALUE(SUBSTITUTE(SUBSTITUTE(INDEX('Shopify Import'!$A:$CZ,265,Settings!$E$23)&amp;"","$",""),",","")),0))</f>
        <v/>
      </c>
      <c r="E265" s="11">
        <f>IF(A265="","",IFERROR(VALUE(SUBSTITUTE(SUBSTITUTE(INDEX('Shopify Import'!$A:$CZ,265,Settings!$E$24)&amp;"","$",""),",","")),0))</f>
        <v/>
      </c>
      <c r="F265" s="11">
        <f>IF(A265="","",D265*E265)</f>
        <v/>
      </c>
      <c r="G265">
        <f>IF(A265="","",IF(C265="",1,COUNTIF($C$2:$C$1501,C265)))</f>
        <v/>
      </c>
      <c r="H265" s="11">
        <f>IF(A265="","",IFERROR(VALUE(SUBSTITUTE(SUBSTITUTE(INDEX('Shopify Import'!$A:$CZ,265,Settings!$E$25)&amp;"","$",""),",","")),0)/IF(Settings!$D$27="Yes",G265,1))</f>
        <v/>
      </c>
      <c r="I265" s="11">
        <f>IF(A265="","",IFERROR(VALUE(SUBSTITUTE(SUBSTITUTE(INDEX('Shopify Import'!$A:$CZ,265,Settings!$E$26)&amp;"","$",""),",","")),0)/IF(Settings!$D$27="Yes",G265,1))</f>
        <v/>
      </c>
      <c r="J265" s="11">
        <f>IF(A265="","",F265+H265-I265)</f>
        <v/>
      </c>
      <c r="K265">
        <f>IF(A265="","",IFERROR(IF(B265="",NA(),MATCH(B265,Products!$B$5:$B$204,0)),IFERROR(MATCH(A265,Products!$A$5:$A$204,0),"")))</f>
        <v/>
      </c>
      <c r="L265">
        <f>IF(A265="","",IF(K265="","⚠ not in Products",INDEX(Products!$A$5:$A$204,K265)))</f>
        <v/>
      </c>
      <c r="M265" s="11">
        <f>IF(A265="","",J265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265+IFERROR(INDEX(Settings!$D$5:$D$9,MATCH("Shopify",Settings!$A$5:$A$9,0)),0)*D265)</f>
        <v/>
      </c>
      <c r="N265" s="11">
        <f>IF(A265="","",IF(K265="",0,D265*INDEX(Products!$I$5:$I$204,K265)))</f>
        <v/>
      </c>
      <c r="O265" s="11">
        <f>IF(A265="","",IF(K265="",0,J265*INDEX(Products!$H$5:$H$204,K265)))</f>
        <v/>
      </c>
      <c r="P265" s="11">
        <f>IF(A265="","",J265-M265-N265-O265)</f>
        <v/>
      </c>
    </row>
    <row r="266">
      <c r="A266">
        <f>IFERROR(INDEX('Shopify Import'!$A:$CZ,266,Settings!$E$20)&amp;"","")</f>
        <v/>
      </c>
      <c r="B266">
        <f>IFERROR(INDEX('Shopify Import'!$A:$CZ,266,Settings!$E$21)&amp;"","")</f>
        <v/>
      </c>
      <c r="C266">
        <f>IFERROR(INDEX('Shopify Import'!$A:$CZ,266,Settings!$E$22)&amp;"","")</f>
        <v/>
      </c>
      <c r="D266">
        <f>IF(A266="","",IFERROR(VALUE(SUBSTITUTE(SUBSTITUTE(INDEX('Shopify Import'!$A:$CZ,266,Settings!$E$23)&amp;"","$",""),",","")),0))</f>
        <v/>
      </c>
      <c r="E266" s="11">
        <f>IF(A266="","",IFERROR(VALUE(SUBSTITUTE(SUBSTITUTE(INDEX('Shopify Import'!$A:$CZ,266,Settings!$E$24)&amp;"","$",""),",","")),0))</f>
        <v/>
      </c>
      <c r="F266" s="11">
        <f>IF(A266="","",D266*E266)</f>
        <v/>
      </c>
      <c r="G266">
        <f>IF(A266="","",IF(C266="",1,COUNTIF($C$2:$C$1501,C266)))</f>
        <v/>
      </c>
      <c r="H266" s="11">
        <f>IF(A266="","",IFERROR(VALUE(SUBSTITUTE(SUBSTITUTE(INDEX('Shopify Import'!$A:$CZ,266,Settings!$E$25)&amp;"","$",""),",","")),0)/IF(Settings!$D$27="Yes",G266,1))</f>
        <v/>
      </c>
      <c r="I266" s="11">
        <f>IF(A266="","",IFERROR(VALUE(SUBSTITUTE(SUBSTITUTE(INDEX('Shopify Import'!$A:$CZ,266,Settings!$E$26)&amp;"","$",""),",","")),0)/IF(Settings!$D$27="Yes",G266,1))</f>
        <v/>
      </c>
      <c r="J266" s="11">
        <f>IF(A266="","",F266+H266-I266)</f>
        <v/>
      </c>
      <c r="K266">
        <f>IF(A266="","",IFERROR(IF(B266="",NA(),MATCH(B266,Products!$B$5:$B$204,0)),IFERROR(MATCH(A266,Products!$A$5:$A$204,0),"")))</f>
        <v/>
      </c>
      <c r="L266">
        <f>IF(A266="","",IF(K266="","⚠ not in Products",INDEX(Products!$A$5:$A$204,K266)))</f>
        <v/>
      </c>
      <c r="M266" s="11">
        <f>IF(A266="","",J266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266+IFERROR(INDEX(Settings!$D$5:$D$9,MATCH("Shopify",Settings!$A$5:$A$9,0)),0)*D266)</f>
        <v/>
      </c>
      <c r="N266" s="11">
        <f>IF(A266="","",IF(K266="",0,D266*INDEX(Products!$I$5:$I$204,K266)))</f>
        <v/>
      </c>
      <c r="O266" s="11">
        <f>IF(A266="","",IF(K266="",0,J266*INDEX(Products!$H$5:$H$204,K266)))</f>
        <v/>
      </c>
      <c r="P266" s="11">
        <f>IF(A266="","",J266-M266-N266-O266)</f>
        <v/>
      </c>
    </row>
    <row r="267">
      <c r="A267">
        <f>IFERROR(INDEX('Shopify Import'!$A:$CZ,267,Settings!$E$20)&amp;"","")</f>
        <v/>
      </c>
      <c r="B267">
        <f>IFERROR(INDEX('Shopify Import'!$A:$CZ,267,Settings!$E$21)&amp;"","")</f>
        <v/>
      </c>
      <c r="C267">
        <f>IFERROR(INDEX('Shopify Import'!$A:$CZ,267,Settings!$E$22)&amp;"","")</f>
        <v/>
      </c>
      <c r="D267">
        <f>IF(A267="","",IFERROR(VALUE(SUBSTITUTE(SUBSTITUTE(INDEX('Shopify Import'!$A:$CZ,267,Settings!$E$23)&amp;"","$",""),",","")),0))</f>
        <v/>
      </c>
      <c r="E267" s="11">
        <f>IF(A267="","",IFERROR(VALUE(SUBSTITUTE(SUBSTITUTE(INDEX('Shopify Import'!$A:$CZ,267,Settings!$E$24)&amp;"","$",""),",","")),0))</f>
        <v/>
      </c>
      <c r="F267" s="11">
        <f>IF(A267="","",D267*E267)</f>
        <v/>
      </c>
      <c r="G267">
        <f>IF(A267="","",IF(C267="",1,COUNTIF($C$2:$C$1501,C267)))</f>
        <v/>
      </c>
      <c r="H267" s="11">
        <f>IF(A267="","",IFERROR(VALUE(SUBSTITUTE(SUBSTITUTE(INDEX('Shopify Import'!$A:$CZ,267,Settings!$E$25)&amp;"","$",""),",","")),0)/IF(Settings!$D$27="Yes",G267,1))</f>
        <v/>
      </c>
      <c r="I267" s="11">
        <f>IF(A267="","",IFERROR(VALUE(SUBSTITUTE(SUBSTITUTE(INDEX('Shopify Import'!$A:$CZ,267,Settings!$E$26)&amp;"","$",""),",","")),0)/IF(Settings!$D$27="Yes",G267,1))</f>
        <v/>
      </c>
      <c r="J267" s="11">
        <f>IF(A267="","",F267+H267-I267)</f>
        <v/>
      </c>
      <c r="K267">
        <f>IF(A267="","",IFERROR(IF(B267="",NA(),MATCH(B267,Products!$B$5:$B$204,0)),IFERROR(MATCH(A267,Products!$A$5:$A$204,0),"")))</f>
        <v/>
      </c>
      <c r="L267">
        <f>IF(A267="","",IF(K267="","⚠ not in Products",INDEX(Products!$A$5:$A$204,K267)))</f>
        <v/>
      </c>
      <c r="M267" s="11">
        <f>IF(A267="","",J267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267+IFERROR(INDEX(Settings!$D$5:$D$9,MATCH("Shopify",Settings!$A$5:$A$9,0)),0)*D267)</f>
        <v/>
      </c>
      <c r="N267" s="11">
        <f>IF(A267="","",IF(K267="",0,D267*INDEX(Products!$I$5:$I$204,K267)))</f>
        <v/>
      </c>
      <c r="O267" s="11">
        <f>IF(A267="","",IF(K267="",0,J267*INDEX(Products!$H$5:$H$204,K267)))</f>
        <v/>
      </c>
      <c r="P267" s="11">
        <f>IF(A267="","",J267-M267-N267-O267)</f>
        <v/>
      </c>
    </row>
    <row r="268">
      <c r="A268">
        <f>IFERROR(INDEX('Shopify Import'!$A:$CZ,268,Settings!$E$20)&amp;"","")</f>
        <v/>
      </c>
      <c r="B268">
        <f>IFERROR(INDEX('Shopify Import'!$A:$CZ,268,Settings!$E$21)&amp;"","")</f>
        <v/>
      </c>
      <c r="C268">
        <f>IFERROR(INDEX('Shopify Import'!$A:$CZ,268,Settings!$E$22)&amp;"","")</f>
        <v/>
      </c>
      <c r="D268">
        <f>IF(A268="","",IFERROR(VALUE(SUBSTITUTE(SUBSTITUTE(INDEX('Shopify Import'!$A:$CZ,268,Settings!$E$23)&amp;"","$",""),",","")),0))</f>
        <v/>
      </c>
      <c r="E268" s="11">
        <f>IF(A268="","",IFERROR(VALUE(SUBSTITUTE(SUBSTITUTE(INDEX('Shopify Import'!$A:$CZ,268,Settings!$E$24)&amp;"","$",""),",","")),0))</f>
        <v/>
      </c>
      <c r="F268" s="11">
        <f>IF(A268="","",D268*E268)</f>
        <v/>
      </c>
      <c r="G268">
        <f>IF(A268="","",IF(C268="",1,COUNTIF($C$2:$C$1501,C268)))</f>
        <v/>
      </c>
      <c r="H268" s="11">
        <f>IF(A268="","",IFERROR(VALUE(SUBSTITUTE(SUBSTITUTE(INDEX('Shopify Import'!$A:$CZ,268,Settings!$E$25)&amp;"","$",""),",","")),0)/IF(Settings!$D$27="Yes",G268,1))</f>
        <v/>
      </c>
      <c r="I268" s="11">
        <f>IF(A268="","",IFERROR(VALUE(SUBSTITUTE(SUBSTITUTE(INDEX('Shopify Import'!$A:$CZ,268,Settings!$E$26)&amp;"","$",""),",","")),0)/IF(Settings!$D$27="Yes",G268,1))</f>
        <v/>
      </c>
      <c r="J268" s="11">
        <f>IF(A268="","",F268+H268-I268)</f>
        <v/>
      </c>
      <c r="K268">
        <f>IF(A268="","",IFERROR(IF(B268="",NA(),MATCH(B268,Products!$B$5:$B$204,0)),IFERROR(MATCH(A268,Products!$A$5:$A$204,0),"")))</f>
        <v/>
      </c>
      <c r="L268">
        <f>IF(A268="","",IF(K268="","⚠ not in Products",INDEX(Products!$A$5:$A$204,K268)))</f>
        <v/>
      </c>
      <c r="M268" s="11">
        <f>IF(A268="","",J268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268+IFERROR(INDEX(Settings!$D$5:$D$9,MATCH("Shopify",Settings!$A$5:$A$9,0)),0)*D268)</f>
        <v/>
      </c>
      <c r="N268" s="11">
        <f>IF(A268="","",IF(K268="",0,D268*INDEX(Products!$I$5:$I$204,K268)))</f>
        <v/>
      </c>
      <c r="O268" s="11">
        <f>IF(A268="","",IF(K268="",0,J268*INDEX(Products!$H$5:$H$204,K268)))</f>
        <v/>
      </c>
      <c r="P268" s="11">
        <f>IF(A268="","",J268-M268-N268-O268)</f>
        <v/>
      </c>
    </row>
    <row r="269">
      <c r="A269">
        <f>IFERROR(INDEX('Shopify Import'!$A:$CZ,269,Settings!$E$20)&amp;"","")</f>
        <v/>
      </c>
      <c r="B269">
        <f>IFERROR(INDEX('Shopify Import'!$A:$CZ,269,Settings!$E$21)&amp;"","")</f>
        <v/>
      </c>
      <c r="C269">
        <f>IFERROR(INDEX('Shopify Import'!$A:$CZ,269,Settings!$E$22)&amp;"","")</f>
        <v/>
      </c>
      <c r="D269">
        <f>IF(A269="","",IFERROR(VALUE(SUBSTITUTE(SUBSTITUTE(INDEX('Shopify Import'!$A:$CZ,269,Settings!$E$23)&amp;"","$",""),",","")),0))</f>
        <v/>
      </c>
      <c r="E269" s="11">
        <f>IF(A269="","",IFERROR(VALUE(SUBSTITUTE(SUBSTITUTE(INDEX('Shopify Import'!$A:$CZ,269,Settings!$E$24)&amp;"","$",""),",","")),0))</f>
        <v/>
      </c>
      <c r="F269" s="11">
        <f>IF(A269="","",D269*E269)</f>
        <v/>
      </c>
      <c r="G269">
        <f>IF(A269="","",IF(C269="",1,COUNTIF($C$2:$C$1501,C269)))</f>
        <v/>
      </c>
      <c r="H269" s="11">
        <f>IF(A269="","",IFERROR(VALUE(SUBSTITUTE(SUBSTITUTE(INDEX('Shopify Import'!$A:$CZ,269,Settings!$E$25)&amp;"","$",""),",","")),0)/IF(Settings!$D$27="Yes",G269,1))</f>
        <v/>
      </c>
      <c r="I269" s="11">
        <f>IF(A269="","",IFERROR(VALUE(SUBSTITUTE(SUBSTITUTE(INDEX('Shopify Import'!$A:$CZ,269,Settings!$E$26)&amp;"","$",""),",","")),0)/IF(Settings!$D$27="Yes",G269,1))</f>
        <v/>
      </c>
      <c r="J269" s="11">
        <f>IF(A269="","",F269+H269-I269)</f>
        <v/>
      </c>
      <c r="K269">
        <f>IF(A269="","",IFERROR(IF(B269="",NA(),MATCH(B269,Products!$B$5:$B$204,0)),IFERROR(MATCH(A269,Products!$A$5:$A$204,0),"")))</f>
        <v/>
      </c>
      <c r="L269">
        <f>IF(A269="","",IF(K269="","⚠ not in Products",INDEX(Products!$A$5:$A$204,K269)))</f>
        <v/>
      </c>
      <c r="M269" s="11">
        <f>IF(A269="","",J269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269+IFERROR(INDEX(Settings!$D$5:$D$9,MATCH("Shopify",Settings!$A$5:$A$9,0)),0)*D269)</f>
        <v/>
      </c>
      <c r="N269" s="11">
        <f>IF(A269="","",IF(K269="",0,D269*INDEX(Products!$I$5:$I$204,K269)))</f>
        <v/>
      </c>
      <c r="O269" s="11">
        <f>IF(A269="","",IF(K269="",0,J269*INDEX(Products!$H$5:$H$204,K269)))</f>
        <v/>
      </c>
      <c r="P269" s="11">
        <f>IF(A269="","",J269-M269-N269-O269)</f>
        <v/>
      </c>
    </row>
    <row r="270">
      <c r="A270">
        <f>IFERROR(INDEX('Shopify Import'!$A:$CZ,270,Settings!$E$20)&amp;"","")</f>
        <v/>
      </c>
      <c r="B270">
        <f>IFERROR(INDEX('Shopify Import'!$A:$CZ,270,Settings!$E$21)&amp;"","")</f>
        <v/>
      </c>
      <c r="C270">
        <f>IFERROR(INDEX('Shopify Import'!$A:$CZ,270,Settings!$E$22)&amp;"","")</f>
        <v/>
      </c>
      <c r="D270">
        <f>IF(A270="","",IFERROR(VALUE(SUBSTITUTE(SUBSTITUTE(INDEX('Shopify Import'!$A:$CZ,270,Settings!$E$23)&amp;"","$",""),",","")),0))</f>
        <v/>
      </c>
      <c r="E270" s="11">
        <f>IF(A270="","",IFERROR(VALUE(SUBSTITUTE(SUBSTITUTE(INDEX('Shopify Import'!$A:$CZ,270,Settings!$E$24)&amp;"","$",""),",","")),0))</f>
        <v/>
      </c>
      <c r="F270" s="11">
        <f>IF(A270="","",D270*E270)</f>
        <v/>
      </c>
      <c r="G270">
        <f>IF(A270="","",IF(C270="",1,COUNTIF($C$2:$C$1501,C270)))</f>
        <v/>
      </c>
      <c r="H270" s="11">
        <f>IF(A270="","",IFERROR(VALUE(SUBSTITUTE(SUBSTITUTE(INDEX('Shopify Import'!$A:$CZ,270,Settings!$E$25)&amp;"","$",""),",","")),0)/IF(Settings!$D$27="Yes",G270,1))</f>
        <v/>
      </c>
      <c r="I270" s="11">
        <f>IF(A270="","",IFERROR(VALUE(SUBSTITUTE(SUBSTITUTE(INDEX('Shopify Import'!$A:$CZ,270,Settings!$E$26)&amp;"","$",""),",","")),0)/IF(Settings!$D$27="Yes",G270,1))</f>
        <v/>
      </c>
      <c r="J270" s="11">
        <f>IF(A270="","",F270+H270-I270)</f>
        <v/>
      </c>
      <c r="K270">
        <f>IF(A270="","",IFERROR(IF(B270="",NA(),MATCH(B270,Products!$B$5:$B$204,0)),IFERROR(MATCH(A270,Products!$A$5:$A$204,0),"")))</f>
        <v/>
      </c>
      <c r="L270">
        <f>IF(A270="","",IF(K270="","⚠ not in Products",INDEX(Products!$A$5:$A$204,K270)))</f>
        <v/>
      </c>
      <c r="M270" s="11">
        <f>IF(A270="","",J270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270+IFERROR(INDEX(Settings!$D$5:$D$9,MATCH("Shopify",Settings!$A$5:$A$9,0)),0)*D270)</f>
        <v/>
      </c>
      <c r="N270" s="11">
        <f>IF(A270="","",IF(K270="",0,D270*INDEX(Products!$I$5:$I$204,K270)))</f>
        <v/>
      </c>
      <c r="O270" s="11">
        <f>IF(A270="","",IF(K270="",0,J270*INDEX(Products!$H$5:$H$204,K270)))</f>
        <v/>
      </c>
      <c r="P270" s="11">
        <f>IF(A270="","",J270-M270-N270-O270)</f>
        <v/>
      </c>
    </row>
    <row r="271">
      <c r="A271">
        <f>IFERROR(INDEX('Shopify Import'!$A:$CZ,271,Settings!$E$20)&amp;"","")</f>
        <v/>
      </c>
      <c r="B271">
        <f>IFERROR(INDEX('Shopify Import'!$A:$CZ,271,Settings!$E$21)&amp;"","")</f>
        <v/>
      </c>
      <c r="C271">
        <f>IFERROR(INDEX('Shopify Import'!$A:$CZ,271,Settings!$E$22)&amp;"","")</f>
        <v/>
      </c>
      <c r="D271">
        <f>IF(A271="","",IFERROR(VALUE(SUBSTITUTE(SUBSTITUTE(INDEX('Shopify Import'!$A:$CZ,271,Settings!$E$23)&amp;"","$",""),",","")),0))</f>
        <v/>
      </c>
      <c r="E271" s="11">
        <f>IF(A271="","",IFERROR(VALUE(SUBSTITUTE(SUBSTITUTE(INDEX('Shopify Import'!$A:$CZ,271,Settings!$E$24)&amp;"","$",""),",","")),0))</f>
        <v/>
      </c>
      <c r="F271" s="11">
        <f>IF(A271="","",D271*E271)</f>
        <v/>
      </c>
      <c r="G271">
        <f>IF(A271="","",IF(C271="",1,COUNTIF($C$2:$C$1501,C271)))</f>
        <v/>
      </c>
      <c r="H271" s="11">
        <f>IF(A271="","",IFERROR(VALUE(SUBSTITUTE(SUBSTITUTE(INDEX('Shopify Import'!$A:$CZ,271,Settings!$E$25)&amp;"","$",""),",","")),0)/IF(Settings!$D$27="Yes",G271,1))</f>
        <v/>
      </c>
      <c r="I271" s="11">
        <f>IF(A271="","",IFERROR(VALUE(SUBSTITUTE(SUBSTITUTE(INDEX('Shopify Import'!$A:$CZ,271,Settings!$E$26)&amp;"","$",""),",","")),0)/IF(Settings!$D$27="Yes",G271,1))</f>
        <v/>
      </c>
      <c r="J271" s="11">
        <f>IF(A271="","",F271+H271-I271)</f>
        <v/>
      </c>
      <c r="K271">
        <f>IF(A271="","",IFERROR(IF(B271="",NA(),MATCH(B271,Products!$B$5:$B$204,0)),IFERROR(MATCH(A271,Products!$A$5:$A$204,0),"")))</f>
        <v/>
      </c>
      <c r="L271">
        <f>IF(A271="","",IF(K271="","⚠ not in Products",INDEX(Products!$A$5:$A$204,K271)))</f>
        <v/>
      </c>
      <c r="M271" s="11">
        <f>IF(A271="","",J271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271+IFERROR(INDEX(Settings!$D$5:$D$9,MATCH("Shopify",Settings!$A$5:$A$9,0)),0)*D271)</f>
        <v/>
      </c>
      <c r="N271" s="11">
        <f>IF(A271="","",IF(K271="",0,D271*INDEX(Products!$I$5:$I$204,K271)))</f>
        <v/>
      </c>
      <c r="O271" s="11">
        <f>IF(A271="","",IF(K271="",0,J271*INDEX(Products!$H$5:$H$204,K271)))</f>
        <v/>
      </c>
      <c r="P271" s="11">
        <f>IF(A271="","",J271-M271-N271-O271)</f>
        <v/>
      </c>
    </row>
    <row r="272">
      <c r="A272">
        <f>IFERROR(INDEX('Shopify Import'!$A:$CZ,272,Settings!$E$20)&amp;"","")</f>
        <v/>
      </c>
      <c r="B272">
        <f>IFERROR(INDEX('Shopify Import'!$A:$CZ,272,Settings!$E$21)&amp;"","")</f>
        <v/>
      </c>
      <c r="C272">
        <f>IFERROR(INDEX('Shopify Import'!$A:$CZ,272,Settings!$E$22)&amp;"","")</f>
        <v/>
      </c>
      <c r="D272">
        <f>IF(A272="","",IFERROR(VALUE(SUBSTITUTE(SUBSTITUTE(INDEX('Shopify Import'!$A:$CZ,272,Settings!$E$23)&amp;"","$",""),",","")),0))</f>
        <v/>
      </c>
      <c r="E272" s="11">
        <f>IF(A272="","",IFERROR(VALUE(SUBSTITUTE(SUBSTITUTE(INDEX('Shopify Import'!$A:$CZ,272,Settings!$E$24)&amp;"","$",""),",","")),0))</f>
        <v/>
      </c>
      <c r="F272" s="11">
        <f>IF(A272="","",D272*E272)</f>
        <v/>
      </c>
      <c r="G272">
        <f>IF(A272="","",IF(C272="",1,COUNTIF($C$2:$C$1501,C272)))</f>
        <v/>
      </c>
      <c r="H272" s="11">
        <f>IF(A272="","",IFERROR(VALUE(SUBSTITUTE(SUBSTITUTE(INDEX('Shopify Import'!$A:$CZ,272,Settings!$E$25)&amp;"","$",""),",","")),0)/IF(Settings!$D$27="Yes",G272,1))</f>
        <v/>
      </c>
      <c r="I272" s="11">
        <f>IF(A272="","",IFERROR(VALUE(SUBSTITUTE(SUBSTITUTE(INDEX('Shopify Import'!$A:$CZ,272,Settings!$E$26)&amp;"","$",""),",","")),0)/IF(Settings!$D$27="Yes",G272,1))</f>
        <v/>
      </c>
      <c r="J272" s="11">
        <f>IF(A272="","",F272+H272-I272)</f>
        <v/>
      </c>
      <c r="K272">
        <f>IF(A272="","",IFERROR(IF(B272="",NA(),MATCH(B272,Products!$B$5:$B$204,0)),IFERROR(MATCH(A272,Products!$A$5:$A$204,0),"")))</f>
        <v/>
      </c>
      <c r="L272">
        <f>IF(A272="","",IF(K272="","⚠ not in Products",INDEX(Products!$A$5:$A$204,K272)))</f>
        <v/>
      </c>
      <c r="M272" s="11">
        <f>IF(A272="","",J272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272+IFERROR(INDEX(Settings!$D$5:$D$9,MATCH("Shopify",Settings!$A$5:$A$9,0)),0)*D272)</f>
        <v/>
      </c>
      <c r="N272" s="11">
        <f>IF(A272="","",IF(K272="",0,D272*INDEX(Products!$I$5:$I$204,K272)))</f>
        <v/>
      </c>
      <c r="O272" s="11">
        <f>IF(A272="","",IF(K272="",0,J272*INDEX(Products!$H$5:$H$204,K272)))</f>
        <v/>
      </c>
      <c r="P272" s="11">
        <f>IF(A272="","",J272-M272-N272-O272)</f>
        <v/>
      </c>
    </row>
    <row r="273">
      <c r="A273">
        <f>IFERROR(INDEX('Shopify Import'!$A:$CZ,273,Settings!$E$20)&amp;"","")</f>
        <v/>
      </c>
      <c r="B273">
        <f>IFERROR(INDEX('Shopify Import'!$A:$CZ,273,Settings!$E$21)&amp;"","")</f>
        <v/>
      </c>
      <c r="C273">
        <f>IFERROR(INDEX('Shopify Import'!$A:$CZ,273,Settings!$E$22)&amp;"","")</f>
        <v/>
      </c>
      <c r="D273">
        <f>IF(A273="","",IFERROR(VALUE(SUBSTITUTE(SUBSTITUTE(INDEX('Shopify Import'!$A:$CZ,273,Settings!$E$23)&amp;"","$",""),",","")),0))</f>
        <v/>
      </c>
      <c r="E273" s="11">
        <f>IF(A273="","",IFERROR(VALUE(SUBSTITUTE(SUBSTITUTE(INDEX('Shopify Import'!$A:$CZ,273,Settings!$E$24)&amp;"","$",""),",","")),0))</f>
        <v/>
      </c>
      <c r="F273" s="11">
        <f>IF(A273="","",D273*E273)</f>
        <v/>
      </c>
      <c r="G273">
        <f>IF(A273="","",IF(C273="",1,COUNTIF($C$2:$C$1501,C273)))</f>
        <v/>
      </c>
      <c r="H273" s="11">
        <f>IF(A273="","",IFERROR(VALUE(SUBSTITUTE(SUBSTITUTE(INDEX('Shopify Import'!$A:$CZ,273,Settings!$E$25)&amp;"","$",""),",","")),0)/IF(Settings!$D$27="Yes",G273,1))</f>
        <v/>
      </c>
      <c r="I273" s="11">
        <f>IF(A273="","",IFERROR(VALUE(SUBSTITUTE(SUBSTITUTE(INDEX('Shopify Import'!$A:$CZ,273,Settings!$E$26)&amp;"","$",""),",","")),0)/IF(Settings!$D$27="Yes",G273,1))</f>
        <v/>
      </c>
      <c r="J273" s="11">
        <f>IF(A273="","",F273+H273-I273)</f>
        <v/>
      </c>
      <c r="K273">
        <f>IF(A273="","",IFERROR(IF(B273="",NA(),MATCH(B273,Products!$B$5:$B$204,0)),IFERROR(MATCH(A273,Products!$A$5:$A$204,0),"")))</f>
        <v/>
      </c>
      <c r="L273">
        <f>IF(A273="","",IF(K273="","⚠ not in Products",INDEX(Products!$A$5:$A$204,K273)))</f>
        <v/>
      </c>
      <c r="M273" s="11">
        <f>IF(A273="","",J273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273+IFERROR(INDEX(Settings!$D$5:$D$9,MATCH("Shopify",Settings!$A$5:$A$9,0)),0)*D273)</f>
        <v/>
      </c>
      <c r="N273" s="11">
        <f>IF(A273="","",IF(K273="",0,D273*INDEX(Products!$I$5:$I$204,K273)))</f>
        <v/>
      </c>
      <c r="O273" s="11">
        <f>IF(A273="","",IF(K273="",0,J273*INDEX(Products!$H$5:$H$204,K273)))</f>
        <v/>
      </c>
      <c r="P273" s="11">
        <f>IF(A273="","",J273-M273-N273-O273)</f>
        <v/>
      </c>
    </row>
    <row r="274">
      <c r="A274">
        <f>IFERROR(INDEX('Shopify Import'!$A:$CZ,274,Settings!$E$20)&amp;"","")</f>
        <v/>
      </c>
      <c r="B274">
        <f>IFERROR(INDEX('Shopify Import'!$A:$CZ,274,Settings!$E$21)&amp;"","")</f>
        <v/>
      </c>
      <c r="C274">
        <f>IFERROR(INDEX('Shopify Import'!$A:$CZ,274,Settings!$E$22)&amp;"","")</f>
        <v/>
      </c>
      <c r="D274">
        <f>IF(A274="","",IFERROR(VALUE(SUBSTITUTE(SUBSTITUTE(INDEX('Shopify Import'!$A:$CZ,274,Settings!$E$23)&amp;"","$",""),",","")),0))</f>
        <v/>
      </c>
      <c r="E274" s="11">
        <f>IF(A274="","",IFERROR(VALUE(SUBSTITUTE(SUBSTITUTE(INDEX('Shopify Import'!$A:$CZ,274,Settings!$E$24)&amp;"","$",""),",","")),0))</f>
        <v/>
      </c>
      <c r="F274" s="11">
        <f>IF(A274="","",D274*E274)</f>
        <v/>
      </c>
      <c r="G274">
        <f>IF(A274="","",IF(C274="",1,COUNTIF($C$2:$C$1501,C274)))</f>
        <v/>
      </c>
      <c r="H274" s="11">
        <f>IF(A274="","",IFERROR(VALUE(SUBSTITUTE(SUBSTITUTE(INDEX('Shopify Import'!$A:$CZ,274,Settings!$E$25)&amp;"","$",""),",","")),0)/IF(Settings!$D$27="Yes",G274,1))</f>
        <v/>
      </c>
      <c r="I274" s="11">
        <f>IF(A274="","",IFERROR(VALUE(SUBSTITUTE(SUBSTITUTE(INDEX('Shopify Import'!$A:$CZ,274,Settings!$E$26)&amp;"","$",""),",","")),0)/IF(Settings!$D$27="Yes",G274,1))</f>
        <v/>
      </c>
      <c r="J274" s="11">
        <f>IF(A274="","",F274+H274-I274)</f>
        <v/>
      </c>
      <c r="K274">
        <f>IF(A274="","",IFERROR(IF(B274="",NA(),MATCH(B274,Products!$B$5:$B$204,0)),IFERROR(MATCH(A274,Products!$A$5:$A$204,0),"")))</f>
        <v/>
      </c>
      <c r="L274">
        <f>IF(A274="","",IF(K274="","⚠ not in Products",INDEX(Products!$A$5:$A$204,K274)))</f>
        <v/>
      </c>
      <c r="M274" s="11">
        <f>IF(A274="","",J274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274+IFERROR(INDEX(Settings!$D$5:$D$9,MATCH("Shopify",Settings!$A$5:$A$9,0)),0)*D274)</f>
        <v/>
      </c>
      <c r="N274" s="11">
        <f>IF(A274="","",IF(K274="",0,D274*INDEX(Products!$I$5:$I$204,K274)))</f>
        <v/>
      </c>
      <c r="O274" s="11">
        <f>IF(A274="","",IF(K274="",0,J274*INDEX(Products!$H$5:$H$204,K274)))</f>
        <v/>
      </c>
      <c r="P274" s="11">
        <f>IF(A274="","",J274-M274-N274-O274)</f>
        <v/>
      </c>
    </row>
    <row r="275">
      <c r="A275">
        <f>IFERROR(INDEX('Shopify Import'!$A:$CZ,275,Settings!$E$20)&amp;"","")</f>
        <v/>
      </c>
      <c r="B275">
        <f>IFERROR(INDEX('Shopify Import'!$A:$CZ,275,Settings!$E$21)&amp;"","")</f>
        <v/>
      </c>
      <c r="C275">
        <f>IFERROR(INDEX('Shopify Import'!$A:$CZ,275,Settings!$E$22)&amp;"","")</f>
        <v/>
      </c>
      <c r="D275">
        <f>IF(A275="","",IFERROR(VALUE(SUBSTITUTE(SUBSTITUTE(INDEX('Shopify Import'!$A:$CZ,275,Settings!$E$23)&amp;"","$",""),",","")),0))</f>
        <v/>
      </c>
      <c r="E275" s="11">
        <f>IF(A275="","",IFERROR(VALUE(SUBSTITUTE(SUBSTITUTE(INDEX('Shopify Import'!$A:$CZ,275,Settings!$E$24)&amp;"","$",""),",","")),0))</f>
        <v/>
      </c>
      <c r="F275" s="11">
        <f>IF(A275="","",D275*E275)</f>
        <v/>
      </c>
      <c r="G275">
        <f>IF(A275="","",IF(C275="",1,COUNTIF($C$2:$C$1501,C275)))</f>
        <v/>
      </c>
      <c r="H275" s="11">
        <f>IF(A275="","",IFERROR(VALUE(SUBSTITUTE(SUBSTITUTE(INDEX('Shopify Import'!$A:$CZ,275,Settings!$E$25)&amp;"","$",""),",","")),0)/IF(Settings!$D$27="Yes",G275,1))</f>
        <v/>
      </c>
      <c r="I275" s="11">
        <f>IF(A275="","",IFERROR(VALUE(SUBSTITUTE(SUBSTITUTE(INDEX('Shopify Import'!$A:$CZ,275,Settings!$E$26)&amp;"","$",""),",","")),0)/IF(Settings!$D$27="Yes",G275,1))</f>
        <v/>
      </c>
      <c r="J275" s="11">
        <f>IF(A275="","",F275+H275-I275)</f>
        <v/>
      </c>
      <c r="K275">
        <f>IF(A275="","",IFERROR(IF(B275="",NA(),MATCH(B275,Products!$B$5:$B$204,0)),IFERROR(MATCH(A275,Products!$A$5:$A$204,0),"")))</f>
        <v/>
      </c>
      <c r="L275">
        <f>IF(A275="","",IF(K275="","⚠ not in Products",INDEX(Products!$A$5:$A$204,K275)))</f>
        <v/>
      </c>
      <c r="M275" s="11">
        <f>IF(A275="","",J275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275+IFERROR(INDEX(Settings!$D$5:$D$9,MATCH("Shopify",Settings!$A$5:$A$9,0)),0)*D275)</f>
        <v/>
      </c>
      <c r="N275" s="11">
        <f>IF(A275="","",IF(K275="",0,D275*INDEX(Products!$I$5:$I$204,K275)))</f>
        <v/>
      </c>
      <c r="O275" s="11">
        <f>IF(A275="","",IF(K275="",0,J275*INDEX(Products!$H$5:$H$204,K275)))</f>
        <v/>
      </c>
      <c r="P275" s="11">
        <f>IF(A275="","",J275-M275-N275-O275)</f>
        <v/>
      </c>
    </row>
    <row r="276">
      <c r="A276">
        <f>IFERROR(INDEX('Shopify Import'!$A:$CZ,276,Settings!$E$20)&amp;"","")</f>
        <v/>
      </c>
      <c r="B276">
        <f>IFERROR(INDEX('Shopify Import'!$A:$CZ,276,Settings!$E$21)&amp;"","")</f>
        <v/>
      </c>
      <c r="C276">
        <f>IFERROR(INDEX('Shopify Import'!$A:$CZ,276,Settings!$E$22)&amp;"","")</f>
        <v/>
      </c>
      <c r="D276">
        <f>IF(A276="","",IFERROR(VALUE(SUBSTITUTE(SUBSTITUTE(INDEX('Shopify Import'!$A:$CZ,276,Settings!$E$23)&amp;"","$",""),",","")),0))</f>
        <v/>
      </c>
      <c r="E276" s="11">
        <f>IF(A276="","",IFERROR(VALUE(SUBSTITUTE(SUBSTITUTE(INDEX('Shopify Import'!$A:$CZ,276,Settings!$E$24)&amp;"","$",""),",","")),0))</f>
        <v/>
      </c>
      <c r="F276" s="11">
        <f>IF(A276="","",D276*E276)</f>
        <v/>
      </c>
      <c r="G276">
        <f>IF(A276="","",IF(C276="",1,COUNTIF($C$2:$C$1501,C276)))</f>
        <v/>
      </c>
      <c r="H276" s="11">
        <f>IF(A276="","",IFERROR(VALUE(SUBSTITUTE(SUBSTITUTE(INDEX('Shopify Import'!$A:$CZ,276,Settings!$E$25)&amp;"","$",""),",","")),0)/IF(Settings!$D$27="Yes",G276,1))</f>
        <v/>
      </c>
      <c r="I276" s="11">
        <f>IF(A276="","",IFERROR(VALUE(SUBSTITUTE(SUBSTITUTE(INDEX('Shopify Import'!$A:$CZ,276,Settings!$E$26)&amp;"","$",""),",","")),0)/IF(Settings!$D$27="Yes",G276,1))</f>
        <v/>
      </c>
      <c r="J276" s="11">
        <f>IF(A276="","",F276+H276-I276)</f>
        <v/>
      </c>
      <c r="K276">
        <f>IF(A276="","",IFERROR(IF(B276="",NA(),MATCH(B276,Products!$B$5:$B$204,0)),IFERROR(MATCH(A276,Products!$A$5:$A$204,0),"")))</f>
        <v/>
      </c>
      <c r="L276">
        <f>IF(A276="","",IF(K276="","⚠ not in Products",INDEX(Products!$A$5:$A$204,K276)))</f>
        <v/>
      </c>
      <c r="M276" s="11">
        <f>IF(A276="","",J276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276+IFERROR(INDEX(Settings!$D$5:$D$9,MATCH("Shopify",Settings!$A$5:$A$9,0)),0)*D276)</f>
        <v/>
      </c>
      <c r="N276" s="11">
        <f>IF(A276="","",IF(K276="",0,D276*INDEX(Products!$I$5:$I$204,K276)))</f>
        <v/>
      </c>
      <c r="O276" s="11">
        <f>IF(A276="","",IF(K276="",0,J276*INDEX(Products!$H$5:$H$204,K276)))</f>
        <v/>
      </c>
      <c r="P276" s="11">
        <f>IF(A276="","",J276-M276-N276-O276)</f>
        <v/>
      </c>
    </row>
    <row r="277">
      <c r="A277">
        <f>IFERROR(INDEX('Shopify Import'!$A:$CZ,277,Settings!$E$20)&amp;"","")</f>
        <v/>
      </c>
      <c r="B277">
        <f>IFERROR(INDEX('Shopify Import'!$A:$CZ,277,Settings!$E$21)&amp;"","")</f>
        <v/>
      </c>
      <c r="C277">
        <f>IFERROR(INDEX('Shopify Import'!$A:$CZ,277,Settings!$E$22)&amp;"","")</f>
        <v/>
      </c>
      <c r="D277">
        <f>IF(A277="","",IFERROR(VALUE(SUBSTITUTE(SUBSTITUTE(INDEX('Shopify Import'!$A:$CZ,277,Settings!$E$23)&amp;"","$",""),",","")),0))</f>
        <v/>
      </c>
      <c r="E277" s="11">
        <f>IF(A277="","",IFERROR(VALUE(SUBSTITUTE(SUBSTITUTE(INDEX('Shopify Import'!$A:$CZ,277,Settings!$E$24)&amp;"","$",""),",","")),0))</f>
        <v/>
      </c>
      <c r="F277" s="11">
        <f>IF(A277="","",D277*E277)</f>
        <v/>
      </c>
      <c r="G277">
        <f>IF(A277="","",IF(C277="",1,COUNTIF($C$2:$C$1501,C277)))</f>
        <v/>
      </c>
      <c r="H277" s="11">
        <f>IF(A277="","",IFERROR(VALUE(SUBSTITUTE(SUBSTITUTE(INDEX('Shopify Import'!$A:$CZ,277,Settings!$E$25)&amp;"","$",""),",","")),0)/IF(Settings!$D$27="Yes",G277,1))</f>
        <v/>
      </c>
      <c r="I277" s="11">
        <f>IF(A277="","",IFERROR(VALUE(SUBSTITUTE(SUBSTITUTE(INDEX('Shopify Import'!$A:$CZ,277,Settings!$E$26)&amp;"","$",""),",","")),0)/IF(Settings!$D$27="Yes",G277,1))</f>
        <v/>
      </c>
      <c r="J277" s="11">
        <f>IF(A277="","",F277+H277-I277)</f>
        <v/>
      </c>
      <c r="K277">
        <f>IF(A277="","",IFERROR(IF(B277="",NA(),MATCH(B277,Products!$B$5:$B$204,0)),IFERROR(MATCH(A277,Products!$A$5:$A$204,0),"")))</f>
        <v/>
      </c>
      <c r="L277">
        <f>IF(A277="","",IF(K277="","⚠ not in Products",INDEX(Products!$A$5:$A$204,K277)))</f>
        <v/>
      </c>
      <c r="M277" s="11">
        <f>IF(A277="","",J277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277+IFERROR(INDEX(Settings!$D$5:$D$9,MATCH("Shopify",Settings!$A$5:$A$9,0)),0)*D277)</f>
        <v/>
      </c>
      <c r="N277" s="11">
        <f>IF(A277="","",IF(K277="",0,D277*INDEX(Products!$I$5:$I$204,K277)))</f>
        <v/>
      </c>
      <c r="O277" s="11">
        <f>IF(A277="","",IF(K277="",0,J277*INDEX(Products!$H$5:$H$204,K277)))</f>
        <v/>
      </c>
      <c r="P277" s="11">
        <f>IF(A277="","",J277-M277-N277-O277)</f>
        <v/>
      </c>
    </row>
    <row r="278">
      <c r="A278">
        <f>IFERROR(INDEX('Shopify Import'!$A:$CZ,278,Settings!$E$20)&amp;"","")</f>
        <v/>
      </c>
      <c r="B278">
        <f>IFERROR(INDEX('Shopify Import'!$A:$CZ,278,Settings!$E$21)&amp;"","")</f>
        <v/>
      </c>
      <c r="C278">
        <f>IFERROR(INDEX('Shopify Import'!$A:$CZ,278,Settings!$E$22)&amp;"","")</f>
        <v/>
      </c>
      <c r="D278">
        <f>IF(A278="","",IFERROR(VALUE(SUBSTITUTE(SUBSTITUTE(INDEX('Shopify Import'!$A:$CZ,278,Settings!$E$23)&amp;"","$",""),",","")),0))</f>
        <v/>
      </c>
      <c r="E278" s="11">
        <f>IF(A278="","",IFERROR(VALUE(SUBSTITUTE(SUBSTITUTE(INDEX('Shopify Import'!$A:$CZ,278,Settings!$E$24)&amp;"","$",""),",","")),0))</f>
        <v/>
      </c>
      <c r="F278" s="11">
        <f>IF(A278="","",D278*E278)</f>
        <v/>
      </c>
      <c r="G278">
        <f>IF(A278="","",IF(C278="",1,COUNTIF($C$2:$C$1501,C278)))</f>
        <v/>
      </c>
      <c r="H278" s="11">
        <f>IF(A278="","",IFERROR(VALUE(SUBSTITUTE(SUBSTITUTE(INDEX('Shopify Import'!$A:$CZ,278,Settings!$E$25)&amp;"","$",""),",","")),0)/IF(Settings!$D$27="Yes",G278,1))</f>
        <v/>
      </c>
      <c r="I278" s="11">
        <f>IF(A278="","",IFERROR(VALUE(SUBSTITUTE(SUBSTITUTE(INDEX('Shopify Import'!$A:$CZ,278,Settings!$E$26)&amp;"","$",""),",","")),0)/IF(Settings!$D$27="Yes",G278,1))</f>
        <v/>
      </c>
      <c r="J278" s="11">
        <f>IF(A278="","",F278+H278-I278)</f>
        <v/>
      </c>
      <c r="K278">
        <f>IF(A278="","",IFERROR(IF(B278="",NA(),MATCH(B278,Products!$B$5:$B$204,0)),IFERROR(MATCH(A278,Products!$A$5:$A$204,0),"")))</f>
        <v/>
      </c>
      <c r="L278">
        <f>IF(A278="","",IF(K278="","⚠ not in Products",INDEX(Products!$A$5:$A$204,K278)))</f>
        <v/>
      </c>
      <c r="M278" s="11">
        <f>IF(A278="","",J278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278+IFERROR(INDEX(Settings!$D$5:$D$9,MATCH("Shopify",Settings!$A$5:$A$9,0)),0)*D278)</f>
        <v/>
      </c>
      <c r="N278" s="11">
        <f>IF(A278="","",IF(K278="",0,D278*INDEX(Products!$I$5:$I$204,K278)))</f>
        <v/>
      </c>
      <c r="O278" s="11">
        <f>IF(A278="","",IF(K278="",0,J278*INDEX(Products!$H$5:$H$204,K278)))</f>
        <v/>
      </c>
      <c r="P278" s="11">
        <f>IF(A278="","",J278-M278-N278-O278)</f>
        <v/>
      </c>
    </row>
    <row r="279">
      <c r="A279">
        <f>IFERROR(INDEX('Shopify Import'!$A:$CZ,279,Settings!$E$20)&amp;"","")</f>
        <v/>
      </c>
      <c r="B279">
        <f>IFERROR(INDEX('Shopify Import'!$A:$CZ,279,Settings!$E$21)&amp;"","")</f>
        <v/>
      </c>
      <c r="C279">
        <f>IFERROR(INDEX('Shopify Import'!$A:$CZ,279,Settings!$E$22)&amp;"","")</f>
        <v/>
      </c>
      <c r="D279">
        <f>IF(A279="","",IFERROR(VALUE(SUBSTITUTE(SUBSTITUTE(INDEX('Shopify Import'!$A:$CZ,279,Settings!$E$23)&amp;"","$",""),",","")),0))</f>
        <v/>
      </c>
      <c r="E279" s="11">
        <f>IF(A279="","",IFERROR(VALUE(SUBSTITUTE(SUBSTITUTE(INDEX('Shopify Import'!$A:$CZ,279,Settings!$E$24)&amp;"","$",""),",","")),0))</f>
        <v/>
      </c>
      <c r="F279" s="11">
        <f>IF(A279="","",D279*E279)</f>
        <v/>
      </c>
      <c r="G279">
        <f>IF(A279="","",IF(C279="",1,COUNTIF($C$2:$C$1501,C279)))</f>
        <v/>
      </c>
      <c r="H279" s="11">
        <f>IF(A279="","",IFERROR(VALUE(SUBSTITUTE(SUBSTITUTE(INDEX('Shopify Import'!$A:$CZ,279,Settings!$E$25)&amp;"","$",""),",","")),0)/IF(Settings!$D$27="Yes",G279,1))</f>
        <v/>
      </c>
      <c r="I279" s="11">
        <f>IF(A279="","",IFERROR(VALUE(SUBSTITUTE(SUBSTITUTE(INDEX('Shopify Import'!$A:$CZ,279,Settings!$E$26)&amp;"","$",""),",","")),0)/IF(Settings!$D$27="Yes",G279,1))</f>
        <v/>
      </c>
      <c r="J279" s="11">
        <f>IF(A279="","",F279+H279-I279)</f>
        <v/>
      </c>
      <c r="K279">
        <f>IF(A279="","",IFERROR(IF(B279="",NA(),MATCH(B279,Products!$B$5:$B$204,0)),IFERROR(MATCH(A279,Products!$A$5:$A$204,0),"")))</f>
        <v/>
      </c>
      <c r="L279">
        <f>IF(A279="","",IF(K279="","⚠ not in Products",INDEX(Products!$A$5:$A$204,K279)))</f>
        <v/>
      </c>
      <c r="M279" s="11">
        <f>IF(A279="","",J279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279+IFERROR(INDEX(Settings!$D$5:$D$9,MATCH("Shopify",Settings!$A$5:$A$9,0)),0)*D279)</f>
        <v/>
      </c>
      <c r="N279" s="11">
        <f>IF(A279="","",IF(K279="",0,D279*INDEX(Products!$I$5:$I$204,K279)))</f>
        <v/>
      </c>
      <c r="O279" s="11">
        <f>IF(A279="","",IF(K279="",0,J279*INDEX(Products!$H$5:$H$204,K279)))</f>
        <v/>
      </c>
      <c r="P279" s="11">
        <f>IF(A279="","",J279-M279-N279-O279)</f>
        <v/>
      </c>
    </row>
    <row r="280">
      <c r="A280">
        <f>IFERROR(INDEX('Shopify Import'!$A:$CZ,280,Settings!$E$20)&amp;"","")</f>
        <v/>
      </c>
      <c r="B280">
        <f>IFERROR(INDEX('Shopify Import'!$A:$CZ,280,Settings!$E$21)&amp;"","")</f>
        <v/>
      </c>
      <c r="C280">
        <f>IFERROR(INDEX('Shopify Import'!$A:$CZ,280,Settings!$E$22)&amp;"","")</f>
        <v/>
      </c>
      <c r="D280">
        <f>IF(A280="","",IFERROR(VALUE(SUBSTITUTE(SUBSTITUTE(INDEX('Shopify Import'!$A:$CZ,280,Settings!$E$23)&amp;"","$",""),",","")),0))</f>
        <v/>
      </c>
      <c r="E280" s="11">
        <f>IF(A280="","",IFERROR(VALUE(SUBSTITUTE(SUBSTITUTE(INDEX('Shopify Import'!$A:$CZ,280,Settings!$E$24)&amp;"","$",""),",","")),0))</f>
        <v/>
      </c>
      <c r="F280" s="11">
        <f>IF(A280="","",D280*E280)</f>
        <v/>
      </c>
      <c r="G280">
        <f>IF(A280="","",IF(C280="",1,COUNTIF($C$2:$C$1501,C280)))</f>
        <v/>
      </c>
      <c r="H280" s="11">
        <f>IF(A280="","",IFERROR(VALUE(SUBSTITUTE(SUBSTITUTE(INDEX('Shopify Import'!$A:$CZ,280,Settings!$E$25)&amp;"","$",""),",","")),0)/IF(Settings!$D$27="Yes",G280,1))</f>
        <v/>
      </c>
      <c r="I280" s="11">
        <f>IF(A280="","",IFERROR(VALUE(SUBSTITUTE(SUBSTITUTE(INDEX('Shopify Import'!$A:$CZ,280,Settings!$E$26)&amp;"","$",""),",","")),0)/IF(Settings!$D$27="Yes",G280,1))</f>
        <v/>
      </c>
      <c r="J280" s="11">
        <f>IF(A280="","",F280+H280-I280)</f>
        <v/>
      </c>
      <c r="K280">
        <f>IF(A280="","",IFERROR(IF(B280="",NA(),MATCH(B280,Products!$B$5:$B$204,0)),IFERROR(MATCH(A280,Products!$A$5:$A$204,0),"")))</f>
        <v/>
      </c>
      <c r="L280">
        <f>IF(A280="","",IF(K280="","⚠ not in Products",INDEX(Products!$A$5:$A$204,K280)))</f>
        <v/>
      </c>
      <c r="M280" s="11">
        <f>IF(A280="","",J280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280+IFERROR(INDEX(Settings!$D$5:$D$9,MATCH("Shopify",Settings!$A$5:$A$9,0)),0)*D280)</f>
        <v/>
      </c>
      <c r="N280" s="11">
        <f>IF(A280="","",IF(K280="",0,D280*INDEX(Products!$I$5:$I$204,K280)))</f>
        <v/>
      </c>
      <c r="O280" s="11">
        <f>IF(A280="","",IF(K280="",0,J280*INDEX(Products!$H$5:$H$204,K280)))</f>
        <v/>
      </c>
      <c r="P280" s="11">
        <f>IF(A280="","",J280-M280-N280-O280)</f>
        <v/>
      </c>
    </row>
    <row r="281">
      <c r="A281">
        <f>IFERROR(INDEX('Shopify Import'!$A:$CZ,281,Settings!$E$20)&amp;"","")</f>
        <v/>
      </c>
      <c r="B281">
        <f>IFERROR(INDEX('Shopify Import'!$A:$CZ,281,Settings!$E$21)&amp;"","")</f>
        <v/>
      </c>
      <c r="C281">
        <f>IFERROR(INDEX('Shopify Import'!$A:$CZ,281,Settings!$E$22)&amp;"","")</f>
        <v/>
      </c>
      <c r="D281">
        <f>IF(A281="","",IFERROR(VALUE(SUBSTITUTE(SUBSTITUTE(INDEX('Shopify Import'!$A:$CZ,281,Settings!$E$23)&amp;"","$",""),",","")),0))</f>
        <v/>
      </c>
      <c r="E281" s="11">
        <f>IF(A281="","",IFERROR(VALUE(SUBSTITUTE(SUBSTITUTE(INDEX('Shopify Import'!$A:$CZ,281,Settings!$E$24)&amp;"","$",""),",","")),0))</f>
        <v/>
      </c>
      <c r="F281" s="11">
        <f>IF(A281="","",D281*E281)</f>
        <v/>
      </c>
      <c r="G281">
        <f>IF(A281="","",IF(C281="",1,COUNTIF($C$2:$C$1501,C281)))</f>
        <v/>
      </c>
      <c r="H281" s="11">
        <f>IF(A281="","",IFERROR(VALUE(SUBSTITUTE(SUBSTITUTE(INDEX('Shopify Import'!$A:$CZ,281,Settings!$E$25)&amp;"","$",""),",","")),0)/IF(Settings!$D$27="Yes",G281,1))</f>
        <v/>
      </c>
      <c r="I281" s="11">
        <f>IF(A281="","",IFERROR(VALUE(SUBSTITUTE(SUBSTITUTE(INDEX('Shopify Import'!$A:$CZ,281,Settings!$E$26)&amp;"","$",""),",","")),0)/IF(Settings!$D$27="Yes",G281,1))</f>
        <v/>
      </c>
      <c r="J281" s="11">
        <f>IF(A281="","",F281+H281-I281)</f>
        <v/>
      </c>
      <c r="K281">
        <f>IF(A281="","",IFERROR(IF(B281="",NA(),MATCH(B281,Products!$B$5:$B$204,0)),IFERROR(MATCH(A281,Products!$A$5:$A$204,0),"")))</f>
        <v/>
      </c>
      <c r="L281">
        <f>IF(A281="","",IF(K281="","⚠ not in Products",INDEX(Products!$A$5:$A$204,K281)))</f>
        <v/>
      </c>
      <c r="M281" s="11">
        <f>IF(A281="","",J281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281+IFERROR(INDEX(Settings!$D$5:$D$9,MATCH("Shopify",Settings!$A$5:$A$9,0)),0)*D281)</f>
        <v/>
      </c>
      <c r="N281" s="11">
        <f>IF(A281="","",IF(K281="",0,D281*INDEX(Products!$I$5:$I$204,K281)))</f>
        <v/>
      </c>
      <c r="O281" s="11">
        <f>IF(A281="","",IF(K281="",0,J281*INDEX(Products!$H$5:$H$204,K281)))</f>
        <v/>
      </c>
      <c r="P281" s="11">
        <f>IF(A281="","",J281-M281-N281-O281)</f>
        <v/>
      </c>
    </row>
    <row r="282">
      <c r="A282">
        <f>IFERROR(INDEX('Shopify Import'!$A:$CZ,282,Settings!$E$20)&amp;"","")</f>
        <v/>
      </c>
      <c r="B282">
        <f>IFERROR(INDEX('Shopify Import'!$A:$CZ,282,Settings!$E$21)&amp;"","")</f>
        <v/>
      </c>
      <c r="C282">
        <f>IFERROR(INDEX('Shopify Import'!$A:$CZ,282,Settings!$E$22)&amp;"","")</f>
        <v/>
      </c>
      <c r="D282">
        <f>IF(A282="","",IFERROR(VALUE(SUBSTITUTE(SUBSTITUTE(INDEX('Shopify Import'!$A:$CZ,282,Settings!$E$23)&amp;"","$",""),",","")),0))</f>
        <v/>
      </c>
      <c r="E282" s="11">
        <f>IF(A282="","",IFERROR(VALUE(SUBSTITUTE(SUBSTITUTE(INDEX('Shopify Import'!$A:$CZ,282,Settings!$E$24)&amp;"","$",""),",","")),0))</f>
        <v/>
      </c>
      <c r="F282" s="11">
        <f>IF(A282="","",D282*E282)</f>
        <v/>
      </c>
      <c r="G282">
        <f>IF(A282="","",IF(C282="",1,COUNTIF($C$2:$C$1501,C282)))</f>
        <v/>
      </c>
      <c r="H282" s="11">
        <f>IF(A282="","",IFERROR(VALUE(SUBSTITUTE(SUBSTITUTE(INDEX('Shopify Import'!$A:$CZ,282,Settings!$E$25)&amp;"","$",""),",","")),0)/IF(Settings!$D$27="Yes",G282,1))</f>
        <v/>
      </c>
      <c r="I282" s="11">
        <f>IF(A282="","",IFERROR(VALUE(SUBSTITUTE(SUBSTITUTE(INDEX('Shopify Import'!$A:$CZ,282,Settings!$E$26)&amp;"","$",""),",","")),0)/IF(Settings!$D$27="Yes",G282,1))</f>
        <v/>
      </c>
      <c r="J282" s="11">
        <f>IF(A282="","",F282+H282-I282)</f>
        <v/>
      </c>
      <c r="K282">
        <f>IF(A282="","",IFERROR(IF(B282="",NA(),MATCH(B282,Products!$B$5:$B$204,0)),IFERROR(MATCH(A282,Products!$A$5:$A$204,0),"")))</f>
        <v/>
      </c>
      <c r="L282">
        <f>IF(A282="","",IF(K282="","⚠ not in Products",INDEX(Products!$A$5:$A$204,K282)))</f>
        <v/>
      </c>
      <c r="M282" s="11">
        <f>IF(A282="","",J282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282+IFERROR(INDEX(Settings!$D$5:$D$9,MATCH("Shopify",Settings!$A$5:$A$9,0)),0)*D282)</f>
        <v/>
      </c>
      <c r="N282" s="11">
        <f>IF(A282="","",IF(K282="",0,D282*INDEX(Products!$I$5:$I$204,K282)))</f>
        <v/>
      </c>
      <c r="O282" s="11">
        <f>IF(A282="","",IF(K282="",0,J282*INDEX(Products!$H$5:$H$204,K282)))</f>
        <v/>
      </c>
      <c r="P282" s="11">
        <f>IF(A282="","",J282-M282-N282-O282)</f>
        <v/>
      </c>
    </row>
    <row r="283">
      <c r="A283">
        <f>IFERROR(INDEX('Shopify Import'!$A:$CZ,283,Settings!$E$20)&amp;"","")</f>
        <v/>
      </c>
      <c r="B283">
        <f>IFERROR(INDEX('Shopify Import'!$A:$CZ,283,Settings!$E$21)&amp;"","")</f>
        <v/>
      </c>
      <c r="C283">
        <f>IFERROR(INDEX('Shopify Import'!$A:$CZ,283,Settings!$E$22)&amp;"","")</f>
        <v/>
      </c>
      <c r="D283">
        <f>IF(A283="","",IFERROR(VALUE(SUBSTITUTE(SUBSTITUTE(INDEX('Shopify Import'!$A:$CZ,283,Settings!$E$23)&amp;"","$",""),",","")),0))</f>
        <v/>
      </c>
      <c r="E283" s="11">
        <f>IF(A283="","",IFERROR(VALUE(SUBSTITUTE(SUBSTITUTE(INDEX('Shopify Import'!$A:$CZ,283,Settings!$E$24)&amp;"","$",""),",","")),0))</f>
        <v/>
      </c>
      <c r="F283" s="11">
        <f>IF(A283="","",D283*E283)</f>
        <v/>
      </c>
      <c r="G283">
        <f>IF(A283="","",IF(C283="",1,COUNTIF($C$2:$C$1501,C283)))</f>
        <v/>
      </c>
      <c r="H283" s="11">
        <f>IF(A283="","",IFERROR(VALUE(SUBSTITUTE(SUBSTITUTE(INDEX('Shopify Import'!$A:$CZ,283,Settings!$E$25)&amp;"","$",""),",","")),0)/IF(Settings!$D$27="Yes",G283,1))</f>
        <v/>
      </c>
      <c r="I283" s="11">
        <f>IF(A283="","",IFERROR(VALUE(SUBSTITUTE(SUBSTITUTE(INDEX('Shopify Import'!$A:$CZ,283,Settings!$E$26)&amp;"","$",""),",","")),0)/IF(Settings!$D$27="Yes",G283,1))</f>
        <v/>
      </c>
      <c r="J283" s="11">
        <f>IF(A283="","",F283+H283-I283)</f>
        <v/>
      </c>
      <c r="K283">
        <f>IF(A283="","",IFERROR(IF(B283="",NA(),MATCH(B283,Products!$B$5:$B$204,0)),IFERROR(MATCH(A283,Products!$A$5:$A$204,0),"")))</f>
        <v/>
      </c>
      <c r="L283">
        <f>IF(A283="","",IF(K283="","⚠ not in Products",INDEX(Products!$A$5:$A$204,K283)))</f>
        <v/>
      </c>
      <c r="M283" s="11">
        <f>IF(A283="","",J283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283+IFERROR(INDEX(Settings!$D$5:$D$9,MATCH("Shopify",Settings!$A$5:$A$9,0)),0)*D283)</f>
        <v/>
      </c>
      <c r="N283" s="11">
        <f>IF(A283="","",IF(K283="",0,D283*INDEX(Products!$I$5:$I$204,K283)))</f>
        <v/>
      </c>
      <c r="O283" s="11">
        <f>IF(A283="","",IF(K283="",0,J283*INDEX(Products!$H$5:$H$204,K283)))</f>
        <v/>
      </c>
      <c r="P283" s="11">
        <f>IF(A283="","",J283-M283-N283-O283)</f>
        <v/>
      </c>
    </row>
    <row r="284">
      <c r="A284">
        <f>IFERROR(INDEX('Shopify Import'!$A:$CZ,284,Settings!$E$20)&amp;"","")</f>
        <v/>
      </c>
      <c r="B284">
        <f>IFERROR(INDEX('Shopify Import'!$A:$CZ,284,Settings!$E$21)&amp;"","")</f>
        <v/>
      </c>
      <c r="C284">
        <f>IFERROR(INDEX('Shopify Import'!$A:$CZ,284,Settings!$E$22)&amp;"","")</f>
        <v/>
      </c>
      <c r="D284">
        <f>IF(A284="","",IFERROR(VALUE(SUBSTITUTE(SUBSTITUTE(INDEX('Shopify Import'!$A:$CZ,284,Settings!$E$23)&amp;"","$",""),",","")),0))</f>
        <v/>
      </c>
      <c r="E284" s="11">
        <f>IF(A284="","",IFERROR(VALUE(SUBSTITUTE(SUBSTITUTE(INDEX('Shopify Import'!$A:$CZ,284,Settings!$E$24)&amp;"","$",""),",","")),0))</f>
        <v/>
      </c>
      <c r="F284" s="11">
        <f>IF(A284="","",D284*E284)</f>
        <v/>
      </c>
      <c r="G284">
        <f>IF(A284="","",IF(C284="",1,COUNTIF($C$2:$C$1501,C284)))</f>
        <v/>
      </c>
      <c r="H284" s="11">
        <f>IF(A284="","",IFERROR(VALUE(SUBSTITUTE(SUBSTITUTE(INDEX('Shopify Import'!$A:$CZ,284,Settings!$E$25)&amp;"","$",""),",","")),0)/IF(Settings!$D$27="Yes",G284,1))</f>
        <v/>
      </c>
      <c r="I284" s="11">
        <f>IF(A284="","",IFERROR(VALUE(SUBSTITUTE(SUBSTITUTE(INDEX('Shopify Import'!$A:$CZ,284,Settings!$E$26)&amp;"","$",""),",","")),0)/IF(Settings!$D$27="Yes",G284,1))</f>
        <v/>
      </c>
      <c r="J284" s="11">
        <f>IF(A284="","",F284+H284-I284)</f>
        <v/>
      </c>
      <c r="K284">
        <f>IF(A284="","",IFERROR(IF(B284="",NA(),MATCH(B284,Products!$B$5:$B$204,0)),IFERROR(MATCH(A284,Products!$A$5:$A$204,0),"")))</f>
        <v/>
      </c>
      <c r="L284">
        <f>IF(A284="","",IF(K284="","⚠ not in Products",INDEX(Products!$A$5:$A$204,K284)))</f>
        <v/>
      </c>
      <c r="M284" s="11">
        <f>IF(A284="","",J284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284+IFERROR(INDEX(Settings!$D$5:$D$9,MATCH("Shopify",Settings!$A$5:$A$9,0)),0)*D284)</f>
        <v/>
      </c>
      <c r="N284" s="11">
        <f>IF(A284="","",IF(K284="",0,D284*INDEX(Products!$I$5:$I$204,K284)))</f>
        <v/>
      </c>
      <c r="O284" s="11">
        <f>IF(A284="","",IF(K284="",0,J284*INDEX(Products!$H$5:$H$204,K284)))</f>
        <v/>
      </c>
      <c r="P284" s="11">
        <f>IF(A284="","",J284-M284-N284-O284)</f>
        <v/>
      </c>
    </row>
    <row r="285">
      <c r="A285">
        <f>IFERROR(INDEX('Shopify Import'!$A:$CZ,285,Settings!$E$20)&amp;"","")</f>
        <v/>
      </c>
      <c r="B285">
        <f>IFERROR(INDEX('Shopify Import'!$A:$CZ,285,Settings!$E$21)&amp;"","")</f>
        <v/>
      </c>
      <c r="C285">
        <f>IFERROR(INDEX('Shopify Import'!$A:$CZ,285,Settings!$E$22)&amp;"","")</f>
        <v/>
      </c>
      <c r="D285">
        <f>IF(A285="","",IFERROR(VALUE(SUBSTITUTE(SUBSTITUTE(INDEX('Shopify Import'!$A:$CZ,285,Settings!$E$23)&amp;"","$",""),",","")),0))</f>
        <v/>
      </c>
      <c r="E285" s="11">
        <f>IF(A285="","",IFERROR(VALUE(SUBSTITUTE(SUBSTITUTE(INDEX('Shopify Import'!$A:$CZ,285,Settings!$E$24)&amp;"","$",""),",","")),0))</f>
        <v/>
      </c>
      <c r="F285" s="11">
        <f>IF(A285="","",D285*E285)</f>
        <v/>
      </c>
      <c r="G285">
        <f>IF(A285="","",IF(C285="",1,COUNTIF($C$2:$C$1501,C285)))</f>
        <v/>
      </c>
      <c r="H285" s="11">
        <f>IF(A285="","",IFERROR(VALUE(SUBSTITUTE(SUBSTITUTE(INDEX('Shopify Import'!$A:$CZ,285,Settings!$E$25)&amp;"","$",""),",","")),0)/IF(Settings!$D$27="Yes",G285,1))</f>
        <v/>
      </c>
      <c r="I285" s="11">
        <f>IF(A285="","",IFERROR(VALUE(SUBSTITUTE(SUBSTITUTE(INDEX('Shopify Import'!$A:$CZ,285,Settings!$E$26)&amp;"","$",""),",","")),0)/IF(Settings!$D$27="Yes",G285,1))</f>
        <v/>
      </c>
      <c r="J285" s="11">
        <f>IF(A285="","",F285+H285-I285)</f>
        <v/>
      </c>
      <c r="K285">
        <f>IF(A285="","",IFERROR(IF(B285="",NA(),MATCH(B285,Products!$B$5:$B$204,0)),IFERROR(MATCH(A285,Products!$A$5:$A$204,0),"")))</f>
        <v/>
      </c>
      <c r="L285">
        <f>IF(A285="","",IF(K285="","⚠ not in Products",INDEX(Products!$A$5:$A$204,K285)))</f>
        <v/>
      </c>
      <c r="M285" s="11">
        <f>IF(A285="","",J285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285+IFERROR(INDEX(Settings!$D$5:$D$9,MATCH("Shopify",Settings!$A$5:$A$9,0)),0)*D285)</f>
        <v/>
      </c>
      <c r="N285" s="11">
        <f>IF(A285="","",IF(K285="",0,D285*INDEX(Products!$I$5:$I$204,K285)))</f>
        <v/>
      </c>
      <c r="O285" s="11">
        <f>IF(A285="","",IF(K285="",0,J285*INDEX(Products!$H$5:$H$204,K285)))</f>
        <v/>
      </c>
      <c r="P285" s="11">
        <f>IF(A285="","",J285-M285-N285-O285)</f>
        <v/>
      </c>
    </row>
    <row r="286">
      <c r="A286">
        <f>IFERROR(INDEX('Shopify Import'!$A:$CZ,286,Settings!$E$20)&amp;"","")</f>
        <v/>
      </c>
      <c r="B286">
        <f>IFERROR(INDEX('Shopify Import'!$A:$CZ,286,Settings!$E$21)&amp;"","")</f>
        <v/>
      </c>
      <c r="C286">
        <f>IFERROR(INDEX('Shopify Import'!$A:$CZ,286,Settings!$E$22)&amp;"","")</f>
        <v/>
      </c>
      <c r="D286">
        <f>IF(A286="","",IFERROR(VALUE(SUBSTITUTE(SUBSTITUTE(INDEX('Shopify Import'!$A:$CZ,286,Settings!$E$23)&amp;"","$",""),",","")),0))</f>
        <v/>
      </c>
      <c r="E286" s="11">
        <f>IF(A286="","",IFERROR(VALUE(SUBSTITUTE(SUBSTITUTE(INDEX('Shopify Import'!$A:$CZ,286,Settings!$E$24)&amp;"","$",""),",","")),0))</f>
        <v/>
      </c>
      <c r="F286" s="11">
        <f>IF(A286="","",D286*E286)</f>
        <v/>
      </c>
      <c r="G286">
        <f>IF(A286="","",IF(C286="",1,COUNTIF($C$2:$C$1501,C286)))</f>
        <v/>
      </c>
      <c r="H286" s="11">
        <f>IF(A286="","",IFERROR(VALUE(SUBSTITUTE(SUBSTITUTE(INDEX('Shopify Import'!$A:$CZ,286,Settings!$E$25)&amp;"","$",""),",","")),0)/IF(Settings!$D$27="Yes",G286,1))</f>
        <v/>
      </c>
      <c r="I286" s="11">
        <f>IF(A286="","",IFERROR(VALUE(SUBSTITUTE(SUBSTITUTE(INDEX('Shopify Import'!$A:$CZ,286,Settings!$E$26)&amp;"","$",""),",","")),0)/IF(Settings!$D$27="Yes",G286,1))</f>
        <v/>
      </c>
      <c r="J286" s="11">
        <f>IF(A286="","",F286+H286-I286)</f>
        <v/>
      </c>
      <c r="K286">
        <f>IF(A286="","",IFERROR(IF(B286="",NA(),MATCH(B286,Products!$B$5:$B$204,0)),IFERROR(MATCH(A286,Products!$A$5:$A$204,0),"")))</f>
        <v/>
      </c>
      <c r="L286">
        <f>IF(A286="","",IF(K286="","⚠ not in Products",INDEX(Products!$A$5:$A$204,K286)))</f>
        <v/>
      </c>
      <c r="M286" s="11">
        <f>IF(A286="","",J286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286+IFERROR(INDEX(Settings!$D$5:$D$9,MATCH("Shopify",Settings!$A$5:$A$9,0)),0)*D286)</f>
        <v/>
      </c>
      <c r="N286" s="11">
        <f>IF(A286="","",IF(K286="",0,D286*INDEX(Products!$I$5:$I$204,K286)))</f>
        <v/>
      </c>
      <c r="O286" s="11">
        <f>IF(A286="","",IF(K286="",0,J286*INDEX(Products!$H$5:$H$204,K286)))</f>
        <v/>
      </c>
      <c r="P286" s="11">
        <f>IF(A286="","",J286-M286-N286-O286)</f>
        <v/>
      </c>
    </row>
    <row r="287">
      <c r="A287">
        <f>IFERROR(INDEX('Shopify Import'!$A:$CZ,287,Settings!$E$20)&amp;"","")</f>
        <v/>
      </c>
      <c r="B287">
        <f>IFERROR(INDEX('Shopify Import'!$A:$CZ,287,Settings!$E$21)&amp;"","")</f>
        <v/>
      </c>
      <c r="C287">
        <f>IFERROR(INDEX('Shopify Import'!$A:$CZ,287,Settings!$E$22)&amp;"","")</f>
        <v/>
      </c>
      <c r="D287">
        <f>IF(A287="","",IFERROR(VALUE(SUBSTITUTE(SUBSTITUTE(INDEX('Shopify Import'!$A:$CZ,287,Settings!$E$23)&amp;"","$",""),",","")),0))</f>
        <v/>
      </c>
      <c r="E287" s="11">
        <f>IF(A287="","",IFERROR(VALUE(SUBSTITUTE(SUBSTITUTE(INDEX('Shopify Import'!$A:$CZ,287,Settings!$E$24)&amp;"","$",""),",","")),0))</f>
        <v/>
      </c>
      <c r="F287" s="11">
        <f>IF(A287="","",D287*E287)</f>
        <v/>
      </c>
      <c r="G287">
        <f>IF(A287="","",IF(C287="",1,COUNTIF($C$2:$C$1501,C287)))</f>
        <v/>
      </c>
      <c r="H287" s="11">
        <f>IF(A287="","",IFERROR(VALUE(SUBSTITUTE(SUBSTITUTE(INDEX('Shopify Import'!$A:$CZ,287,Settings!$E$25)&amp;"","$",""),",","")),0)/IF(Settings!$D$27="Yes",G287,1))</f>
        <v/>
      </c>
      <c r="I287" s="11">
        <f>IF(A287="","",IFERROR(VALUE(SUBSTITUTE(SUBSTITUTE(INDEX('Shopify Import'!$A:$CZ,287,Settings!$E$26)&amp;"","$",""),",","")),0)/IF(Settings!$D$27="Yes",G287,1))</f>
        <v/>
      </c>
      <c r="J287" s="11">
        <f>IF(A287="","",F287+H287-I287)</f>
        <v/>
      </c>
      <c r="K287">
        <f>IF(A287="","",IFERROR(IF(B287="",NA(),MATCH(B287,Products!$B$5:$B$204,0)),IFERROR(MATCH(A287,Products!$A$5:$A$204,0),"")))</f>
        <v/>
      </c>
      <c r="L287">
        <f>IF(A287="","",IF(K287="","⚠ not in Products",INDEX(Products!$A$5:$A$204,K287)))</f>
        <v/>
      </c>
      <c r="M287" s="11">
        <f>IF(A287="","",J287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287+IFERROR(INDEX(Settings!$D$5:$D$9,MATCH("Shopify",Settings!$A$5:$A$9,0)),0)*D287)</f>
        <v/>
      </c>
      <c r="N287" s="11">
        <f>IF(A287="","",IF(K287="",0,D287*INDEX(Products!$I$5:$I$204,K287)))</f>
        <v/>
      </c>
      <c r="O287" s="11">
        <f>IF(A287="","",IF(K287="",0,J287*INDEX(Products!$H$5:$H$204,K287)))</f>
        <v/>
      </c>
      <c r="P287" s="11">
        <f>IF(A287="","",J287-M287-N287-O287)</f>
        <v/>
      </c>
    </row>
    <row r="288">
      <c r="A288">
        <f>IFERROR(INDEX('Shopify Import'!$A:$CZ,288,Settings!$E$20)&amp;"","")</f>
        <v/>
      </c>
      <c r="B288">
        <f>IFERROR(INDEX('Shopify Import'!$A:$CZ,288,Settings!$E$21)&amp;"","")</f>
        <v/>
      </c>
      <c r="C288">
        <f>IFERROR(INDEX('Shopify Import'!$A:$CZ,288,Settings!$E$22)&amp;"","")</f>
        <v/>
      </c>
      <c r="D288">
        <f>IF(A288="","",IFERROR(VALUE(SUBSTITUTE(SUBSTITUTE(INDEX('Shopify Import'!$A:$CZ,288,Settings!$E$23)&amp;"","$",""),",","")),0))</f>
        <v/>
      </c>
      <c r="E288" s="11">
        <f>IF(A288="","",IFERROR(VALUE(SUBSTITUTE(SUBSTITUTE(INDEX('Shopify Import'!$A:$CZ,288,Settings!$E$24)&amp;"","$",""),",","")),0))</f>
        <v/>
      </c>
      <c r="F288" s="11">
        <f>IF(A288="","",D288*E288)</f>
        <v/>
      </c>
      <c r="G288">
        <f>IF(A288="","",IF(C288="",1,COUNTIF($C$2:$C$1501,C288)))</f>
        <v/>
      </c>
      <c r="H288" s="11">
        <f>IF(A288="","",IFERROR(VALUE(SUBSTITUTE(SUBSTITUTE(INDEX('Shopify Import'!$A:$CZ,288,Settings!$E$25)&amp;"","$",""),",","")),0)/IF(Settings!$D$27="Yes",G288,1))</f>
        <v/>
      </c>
      <c r="I288" s="11">
        <f>IF(A288="","",IFERROR(VALUE(SUBSTITUTE(SUBSTITUTE(INDEX('Shopify Import'!$A:$CZ,288,Settings!$E$26)&amp;"","$",""),",","")),0)/IF(Settings!$D$27="Yes",G288,1))</f>
        <v/>
      </c>
      <c r="J288" s="11">
        <f>IF(A288="","",F288+H288-I288)</f>
        <v/>
      </c>
      <c r="K288">
        <f>IF(A288="","",IFERROR(IF(B288="",NA(),MATCH(B288,Products!$B$5:$B$204,0)),IFERROR(MATCH(A288,Products!$A$5:$A$204,0),"")))</f>
        <v/>
      </c>
      <c r="L288">
        <f>IF(A288="","",IF(K288="","⚠ not in Products",INDEX(Products!$A$5:$A$204,K288)))</f>
        <v/>
      </c>
      <c r="M288" s="11">
        <f>IF(A288="","",J288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288+IFERROR(INDEX(Settings!$D$5:$D$9,MATCH("Shopify",Settings!$A$5:$A$9,0)),0)*D288)</f>
        <v/>
      </c>
      <c r="N288" s="11">
        <f>IF(A288="","",IF(K288="",0,D288*INDEX(Products!$I$5:$I$204,K288)))</f>
        <v/>
      </c>
      <c r="O288" s="11">
        <f>IF(A288="","",IF(K288="",0,J288*INDEX(Products!$H$5:$H$204,K288)))</f>
        <v/>
      </c>
      <c r="P288" s="11">
        <f>IF(A288="","",J288-M288-N288-O288)</f>
        <v/>
      </c>
    </row>
    <row r="289">
      <c r="A289">
        <f>IFERROR(INDEX('Shopify Import'!$A:$CZ,289,Settings!$E$20)&amp;"","")</f>
        <v/>
      </c>
      <c r="B289">
        <f>IFERROR(INDEX('Shopify Import'!$A:$CZ,289,Settings!$E$21)&amp;"","")</f>
        <v/>
      </c>
      <c r="C289">
        <f>IFERROR(INDEX('Shopify Import'!$A:$CZ,289,Settings!$E$22)&amp;"","")</f>
        <v/>
      </c>
      <c r="D289">
        <f>IF(A289="","",IFERROR(VALUE(SUBSTITUTE(SUBSTITUTE(INDEX('Shopify Import'!$A:$CZ,289,Settings!$E$23)&amp;"","$",""),",","")),0))</f>
        <v/>
      </c>
      <c r="E289" s="11">
        <f>IF(A289="","",IFERROR(VALUE(SUBSTITUTE(SUBSTITUTE(INDEX('Shopify Import'!$A:$CZ,289,Settings!$E$24)&amp;"","$",""),",","")),0))</f>
        <v/>
      </c>
      <c r="F289" s="11">
        <f>IF(A289="","",D289*E289)</f>
        <v/>
      </c>
      <c r="G289">
        <f>IF(A289="","",IF(C289="",1,COUNTIF($C$2:$C$1501,C289)))</f>
        <v/>
      </c>
      <c r="H289" s="11">
        <f>IF(A289="","",IFERROR(VALUE(SUBSTITUTE(SUBSTITUTE(INDEX('Shopify Import'!$A:$CZ,289,Settings!$E$25)&amp;"","$",""),",","")),0)/IF(Settings!$D$27="Yes",G289,1))</f>
        <v/>
      </c>
      <c r="I289" s="11">
        <f>IF(A289="","",IFERROR(VALUE(SUBSTITUTE(SUBSTITUTE(INDEX('Shopify Import'!$A:$CZ,289,Settings!$E$26)&amp;"","$",""),",","")),0)/IF(Settings!$D$27="Yes",G289,1))</f>
        <v/>
      </c>
      <c r="J289" s="11">
        <f>IF(A289="","",F289+H289-I289)</f>
        <v/>
      </c>
      <c r="K289">
        <f>IF(A289="","",IFERROR(IF(B289="",NA(),MATCH(B289,Products!$B$5:$B$204,0)),IFERROR(MATCH(A289,Products!$A$5:$A$204,0),"")))</f>
        <v/>
      </c>
      <c r="L289">
        <f>IF(A289="","",IF(K289="","⚠ not in Products",INDEX(Products!$A$5:$A$204,K289)))</f>
        <v/>
      </c>
      <c r="M289" s="11">
        <f>IF(A289="","",J289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289+IFERROR(INDEX(Settings!$D$5:$D$9,MATCH("Shopify",Settings!$A$5:$A$9,0)),0)*D289)</f>
        <v/>
      </c>
      <c r="N289" s="11">
        <f>IF(A289="","",IF(K289="",0,D289*INDEX(Products!$I$5:$I$204,K289)))</f>
        <v/>
      </c>
      <c r="O289" s="11">
        <f>IF(A289="","",IF(K289="",0,J289*INDEX(Products!$H$5:$H$204,K289)))</f>
        <v/>
      </c>
      <c r="P289" s="11">
        <f>IF(A289="","",J289-M289-N289-O289)</f>
        <v/>
      </c>
    </row>
    <row r="290">
      <c r="A290">
        <f>IFERROR(INDEX('Shopify Import'!$A:$CZ,290,Settings!$E$20)&amp;"","")</f>
        <v/>
      </c>
      <c r="B290">
        <f>IFERROR(INDEX('Shopify Import'!$A:$CZ,290,Settings!$E$21)&amp;"","")</f>
        <v/>
      </c>
      <c r="C290">
        <f>IFERROR(INDEX('Shopify Import'!$A:$CZ,290,Settings!$E$22)&amp;"","")</f>
        <v/>
      </c>
      <c r="D290">
        <f>IF(A290="","",IFERROR(VALUE(SUBSTITUTE(SUBSTITUTE(INDEX('Shopify Import'!$A:$CZ,290,Settings!$E$23)&amp;"","$",""),",","")),0))</f>
        <v/>
      </c>
      <c r="E290" s="11">
        <f>IF(A290="","",IFERROR(VALUE(SUBSTITUTE(SUBSTITUTE(INDEX('Shopify Import'!$A:$CZ,290,Settings!$E$24)&amp;"","$",""),",","")),0))</f>
        <v/>
      </c>
      <c r="F290" s="11">
        <f>IF(A290="","",D290*E290)</f>
        <v/>
      </c>
      <c r="G290">
        <f>IF(A290="","",IF(C290="",1,COUNTIF($C$2:$C$1501,C290)))</f>
        <v/>
      </c>
      <c r="H290" s="11">
        <f>IF(A290="","",IFERROR(VALUE(SUBSTITUTE(SUBSTITUTE(INDEX('Shopify Import'!$A:$CZ,290,Settings!$E$25)&amp;"","$",""),",","")),0)/IF(Settings!$D$27="Yes",G290,1))</f>
        <v/>
      </c>
      <c r="I290" s="11">
        <f>IF(A290="","",IFERROR(VALUE(SUBSTITUTE(SUBSTITUTE(INDEX('Shopify Import'!$A:$CZ,290,Settings!$E$26)&amp;"","$",""),",","")),0)/IF(Settings!$D$27="Yes",G290,1))</f>
        <v/>
      </c>
      <c r="J290" s="11">
        <f>IF(A290="","",F290+H290-I290)</f>
        <v/>
      </c>
      <c r="K290">
        <f>IF(A290="","",IFERROR(IF(B290="",NA(),MATCH(B290,Products!$B$5:$B$204,0)),IFERROR(MATCH(A290,Products!$A$5:$A$204,0),"")))</f>
        <v/>
      </c>
      <c r="L290">
        <f>IF(A290="","",IF(K290="","⚠ not in Products",INDEX(Products!$A$5:$A$204,K290)))</f>
        <v/>
      </c>
      <c r="M290" s="11">
        <f>IF(A290="","",J290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290+IFERROR(INDEX(Settings!$D$5:$D$9,MATCH("Shopify",Settings!$A$5:$A$9,0)),0)*D290)</f>
        <v/>
      </c>
      <c r="N290" s="11">
        <f>IF(A290="","",IF(K290="",0,D290*INDEX(Products!$I$5:$I$204,K290)))</f>
        <v/>
      </c>
      <c r="O290" s="11">
        <f>IF(A290="","",IF(K290="",0,J290*INDEX(Products!$H$5:$H$204,K290)))</f>
        <v/>
      </c>
      <c r="P290" s="11">
        <f>IF(A290="","",J290-M290-N290-O290)</f>
        <v/>
      </c>
    </row>
    <row r="291">
      <c r="A291">
        <f>IFERROR(INDEX('Shopify Import'!$A:$CZ,291,Settings!$E$20)&amp;"","")</f>
        <v/>
      </c>
      <c r="B291">
        <f>IFERROR(INDEX('Shopify Import'!$A:$CZ,291,Settings!$E$21)&amp;"","")</f>
        <v/>
      </c>
      <c r="C291">
        <f>IFERROR(INDEX('Shopify Import'!$A:$CZ,291,Settings!$E$22)&amp;"","")</f>
        <v/>
      </c>
      <c r="D291">
        <f>IF(A291="","",IFERROR(VALUE(SUBSTITUTE(SUBSTITUTE(INDEX('Shopify Import'!$A:$CZ,291,Settings!$E$23)&amp;"","$",""),",","")),0))</f>
        <v/>
      </c>
      <c r="E291" s="11">
        <f>IF(A291="","",IFERROR(VALUE(SUBSTITUTE(SUBSTITUTE(INDEX('Shopify Import'!$A:$CZ,291,Settings!$E$24)&amp;"","$",""),",","")),0))</f>
        <v/>
      </c>
      <c r="F291" s="11">
        <f>IF(A291="","",D291*E291)</f>
        <v/>
      </c>
      <c r="G291">
        <f>IF(A291="","",IF(C291="",1,COUNTIF($C$2:$C$1501,C291)))</f>
        <v/>
      </c>
      <c r="H291" s="11">
        <f>IF(A291="","",IFERROR(VALUE(SUBSTITUTE(SUBSTITUTE(INDEX('Shopify Import'!$A:$CZ,291,Settings!$E$25)&amp;"","$",""),",","")),0)/IF(Settings!$D$27="Yes",G291,1))</f>
        <v/>
      </c>
      <c r="I291" s="11">
        <f>IF(A291="","",IFERROR(VALUE(SUBSTITUTE(SUBSTITUTE(INDEX('Shopify Import'!$A:$CZ,291,Settings!$E$26)&amp;"","$",""),",","")),0)/IF(Settings!$D$27="Yes",G291,1))</f>
        <v/>
      </c>
      <c r="J291" s="11">
        <f>IF(A291="","",F291+H291-I291)</f>
        <v/>
      </c>
      <c r="K291">
        <f>IF(A291="","",IFERROR(IF(B291="",NA(),MATCH(B291,Products!$B$5:$B$204,0)),IFERROR(MATCH(A291,Products!$A$5:$A$204,0),"")))</f>
        <v/>
      </c>
      <c r="L291">
        <f>IF(A291="","",IF(K291="","⚠ not in Products",INDEX(Products!$A$5:$A$204,K291)))</f>
        <v/>
      </c>
      <c r="M291" s="11">
        <f>IF(A291="","",J291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291+IFERROR(INDEX(Settings!$D$5:$D$9,MATCH("Shopify",Settings!$A$5:$A$9,0)),0)*D291)</f>
        <v/>
      </c>
      <c r="N291" s="11">
        <f>IF(A291="","",IF(K291="",0,D291*INDEX(Products!$I$5:$I$204,K291)))</f>
        <v/>
      </c>
      <c r="O291" s="11">
        <f>IF(A291="","",IF(K291="",0,J291*INDEX(Products!$H$5:$H$204,K291)))</f>
        <v/>
      </c>
      <c r="P291" s="11">
        <f>IF(A291="","",J291-M291-N291-O291)</f>
        <v/>
      </c>
    </row>
    <row r="292">
      <c r="A292">
        <f>IFERROR(INDEX('Shopify Import'!$A:$CZ,292,Settings!$E$20)&amp;"","")</f>
        <v/>
      </c>
      <c r="B292">
        <f>IFERROR(INDEX('Shopify Import'!$A:$CZ,292,Settings!$E$21)&amp;"","")</f>
        <v/>
      </c>
      <c r="C292">
        <f>IFERROR(INDEX('Shopify Import'!$A:$CZ,292,Settings!$E$22)&amp;"","")</f>
        <v/>
      </c>
      <c r="D292">
        <f>IF(A292="","",IFERROR(VALUE(SUBSTITUTE(SUBSTITUTE(INDEX('Shopify Import'!$A:$CZ,292,Settings!$E$23)&amp;"","$",""),",","")),0))</f>
        <v/>
      </c>
      <c r="E292" s="11">
        <f>IF(A292="","",IFERROR(VALUE(SUBSTITUTE(SUBSTITUTE(INDEX('Shopify Import'!$A:$CZ,292,Settings!$E$24)&amp;"","$",""),",","")),0))</f>
        <v/>
      </c>
      <c r="F292" s="11">
        <f>IF(A292="","",D292*E292)</f>
        <v/>
      </c>
      <c r="G292">
        <f>IF(A292="","",IF(C292="",1,COUNTIF($C$2:$C$1501,C292)))</f>
        <v/>
      </c>
      <c r="H292" s="11">
        <f>IF(A292="","",IFERROR(VALUE(SUBSTITUTE(SUBSTITUTE(INDEX('Shopify Import'!$A:$CZ,292,Settings!$E$25)&amp;"","$",""),",","")),0)/IF(Settings!$D$27="Yes",G292,1))</f>
        <v/>
      </c>
      <c r="I292" s="11">
        <f>IF(A292="","",IFERROR(VALUE(SUBSTITUTE(SUBSTITUTE(INDEX('Shopify Import'!$A:$CZ,292,Settings!$E$26)&amp;"","$",""),",","")),0)/IF(Settings!$D$27="Yes",G292,1))</f>
        <v/>
      </c>
      <c r="J292" s="11">
        <f>IF(A292="","",F292+H292-I292)</f>
        <v/>
      </c>
      <c r="K292">
        <f>IF(A292="","",IFERROR(IF(B292="",NA(),MATCH(B292,Products!$B$5:$B$204,0)),IFERROR(MATCH(A292,Products!$A$5:$A$204,0),"")))</f>
        <v/>
      </c>
      <c r="L292">
        <f>IF(A292="","",IF(K292="","⚠ not in Products",INDEX(Products!$A$5:$A$204,K292)))</f>
        <v/>
      </c>
      <c r="M292" s="11">
        <f>IF(A292="","",J292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292+IFERROR(INDEX(Settings!$D$5:$D$9,MATCH("Shopify",Settings!$A$5:$A$9,0)),0)*D292)</f>
        <v/>
      </c>
      <c r="N292" s="11">
        <f>IF(A292="","",IF(K292="",0,D292*INDEX(Products!$I$5:$I$204,K292)))</f>
        <v/>
      </c>
      <c r="O292" s="11">
        <f>IF(A292="","",IF(K292="",0,J292*INDEX(Products!$H$5:$H$204,K292)))</f>
        <v/>
      </c>
      <c r="P292" s="11">
        <f>IF(A292="","",J292-M292-N292-O292)</f>
        <v/>
      </c>
    </row>
    <row r="293">
      <c r="A293">
        <f>IFERROR(INDEX('Shopify Import'!$A:$CZ,293,Settings!$E$20)&amp;"","")</f>
        <v/>
      </c>
      <c r="B293">
        <f>IFERROR(INDEX('Shopify Import'!$A:$CZ,293,Settings!$E$21)&amp;"","")</f>
        <v/>
      </c>
      <c r="C293">
        <f>IFERROR(INDEX('Shopify Import'!$A:$CZ,293,Settings!$E$22)&amp;"","")</f>
        <v/>
      </c>
      <c r="D293">
        <f>IF(A293="","",IFERROR(VALUE(SUBSTITUTE(SUBSTITUTE(INDEX('Shopify Import'!$A:$CZ,293,Settings!$E$23)&amp;"","$",""),",","")),0))</f>
        <v/>
      </c>
      <c r="E293" s="11">
        <f>IF(A293="","",IFERROR(VALUE(SUBSTITUTE(SUBSTITUTE(INDEX('Shopify Import'!$A:$CZ,293,Settings!$E$24)&amp;"","$",""),",","")),0))</f>
        <v/>
      </c>
      <c r="F293" s="11">
        <f>IF(A293="","",D293*E293)</f>
        <v/>
      </c>
      <c r="G293">
        <f>IF(A293="","",IF(C293="",1,COUNTIF($C$2:$C$1501,C293)))</f>
        <v/>
      </c>
      <c r="H293" s="11">
        <f>IF(A293="","",IFERROR(VALUE(SUBSTITUTE(SUBSTITUTE(INDEX('Shopify Import'!$A:$CZ,293,Settings!$E$25)&amp;"","$",""),",","")),0)/IF(Settings!$D$27="Yes",G293,1))</f>
        <v/>
      </c>
      <c r="I293" s="11">
        <f>IF(A293="","",IFERROR(VALUE(SUBSTITUTE(SUBSTITUTE(INDEX('Shopify Import'!$A:$CZ,293,Settings!$E$26)&amp;"","$",""),",","")),0)/IF(Settings!$D$27="Yes",G293,1))</f>
        <v/>
      </c>
      <c r="J293" s="11">
        <f>IF(A293="","",F293+H293-I293)</f>
        <v/>
      </c>
      <c r="K293">
        <f>IF(A293="","",IFERROR(IF(B293="",NA(),MATCH(B293,Products!$B$5:$B$204,0)),IFERROR(MATCH(A293,Products!$A$5:$A$204,0),"")))</f>
        <v/>
      </c>
      <c r="L293">
        <f>IF(A293="","",IF(K293="","⚠ not in Products",INDEX(Products!$A$5:$A$204,K293)))</f>
        <v/>
      </c>
      <c r="M293" s="11">
        <f>IF(A293="","",J293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293+IFERROR(INDEX(Settings!$D$5:$D$9,MATCH("Shopify",Settings!$A$5:$A$9,0)),0)*D293)</f>
        <v/>
      </c>
      <c r="N293" s="11">
        <f>IF(A293="","",IF(K293="",0,D293*INDEX(Products!$I$5:$I$204,K293)))</f>
        <v/>
      </c>
      <c r="O293" s="11">
        <f>IF(A293="","",IF(K293="",0,J293*INDEX(Products!$H$5:$H$204,K293)))</f>
        <v/>
      </c>
      <c r="P293" s="11">
        <f>IF(A293="","",J293-M293-N293-O293)</f>
        <v/>
      </c>
    </row>
    <row r="294">
      <c r="A294">
        <f>IFERROR(INDEX('Shopify Import'!$A:$CZ,294,Settings!$E$20)&amp;"","")</f>
        <v/>
      </c>
      <c r="B294">
        <f>IFERROR(INDEX('Shopify Import'!$A:$CZ,294,Settings!$E$21)&amp;"","")</f>
        <v/>
      </c>
      <c r="C294">
        <f>IFERROR(INDEX('Shopify Import'!$A:$CZ,294,Settings!$E$22)&amp;"","")</f>
        <v/>
      </c>
      <c r="D294">
        <f>IF(A294="","",IFERROR(VALUE(SUBSTITUTE(SUBSTITUTE(INDEX('Shopify Import'!$A:$CZ,294,Settings!$E$23)&amp;"","$",""),",","")),0))</f>
        <v/>
      </c>
      <c r="E294" s="11">
        <f>IF(A294="","",IFERROR(VALUE(SUBSTITUTE(SUBSTITUTE(INDEX('Shopify Import'!$A:$CZ,294,Settings!$E$24)&amp;"","$",""),",","")),0))</f>
        <v/>
      </c>
      <c r="F294" s="11">
        <f>IF(A294="","",D294*E294)</f>
        <v/>
      </c>
      <c r="G294">
        <f>IF(A294="","",IF(C294="",1,COUNTIF($C$2:$C$1501,C294)))</f>
        <v/>
      </c>
      <c r="H294" s="11">
        <f>IF(A294="","",IFERROR(VALUE(SUBSTITUTE(SUBSTITUTE(INDEX('Shopify Import'!$A:$CZ,294,Settings!$E$25)&amp;"","$",""),",","")),0)/IF(Settings!$D$27="Yes",G294,1))</f>
        <v/>
      </c>
      <c r="I294" s="11">
        <f>IF(A294="","",IFERROR(VALUE(SUBSTITUTE(SUBSTITUTE(INDEX('Shopify Import'!$A:$CZ,294,Settings!$E$26)&amp;"","$",""),",","")),0)/IF(Settings!$D$27="Yes",G294,1))</f>
        <v/>
      </c>
      <c r="J294" s="11">
        <f>IF(A294="","",F294+H294-I294)</f>
        <v/>
      </c>
      <c r="K294">
        <f>IF(A294="","",IFERROR(IF(B294="",NA(),MATCH(B294,Products!$B$5:$B$204,0)),IFERROR(MATCH(A294,Products!$A$5:$A$204,0),"")))</f>
        <v/>
      </c>
      <c r="L294">
        <f>IF(A294="","",IF(K294="","⚠ not in Products",INDEX(Products!$A$5:$A$204,K294)))</f>
        <v/>
      </c>
      <c r="M294" s="11">
        <f>IF(A294="","",J294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294+IFERROR(INDEX(Settings!$D$5:$D$9,MATCH("Shopify",Settings!$A$5:$A$9,0)),0)*D294)</f>
        <v/>
      </c>
      <c r="N294" s="11">
        <f>IF(A294="","",IF(K294="",0,D294*INDEX(Products!$I$5:$I$204,K294)))</f>
        <v/>
      </c>
      <c r="O294" s="11">
        <f>IF(A294="","",IF(K294="",0,J294*INDEX(Products!$H$5:$H$204,K294)))</f>
        <v/>
      </c>
      <c r="P294" s="11">
        <f>IF(A294="","",J294-M294-N294-O294)</f>
        <v/>
      </c>
    </row>
    <row r="295">
      <c r="A295">
        <f>IFERROR(INDEX('Shopify Import'!$A:$CZ,295,Settings!$E$20)&amp;"","")</f>
        <v/>
      </c>
      <c r="B295">
        <f>IFERROR(INDEX('Shopify Import'!$A:$CZ,295,Settings!$E$21)&amp;"","")</f>
        <v/>
      </c>
      <c r="C295">
        <f>IFERROR(INDEX('Shopify Import'!$A:$CZ,295,Settings!$E$22)&amp;"","")</f>
        <v/>
      </c>
      <c r="D295">
        <f>IF(A295="","",IFERROR(VALUE(SUBSTITUTE(SUBSTITUTE(INDEX('Shopify Import'!$A:$CZ,295,Settings!$E$23)&amp;"","$",""),",","")),0))</f>
        <v/>
      </c>
      <c r="E295" s="11">
        <f>IF(A295="","",IFERROR(VALUE(SUBSTITUTE(SUBSTITUTE(INDEX('Shopify Import'!$A:$CZ,295,Settings!$E$24)&amp;"","$",""),",","")),0))</f>
        <v/>
      </c>
      <c r="F295" s="11">
        <f>IF(A295="","",D295*E295)</f>
        <v/>
      </c>
      <c r="G295">
        <f>IF(A295="","",IF(C295="",1,COUNTIF($C$2:$C$1501,C295)))</f>
        <v/>
      </c>
      <c r="H295" s="11">
        <f>IF(A295="","",IFERROR(VALUE(SUBSTITUTE(SUBSTITUTE(INDEX('Shopify Import'!$A:$CZ,295,Settings!$E$25)&amp;"","$",""),",","")),0)/IF(Settings!$D$27="Yes",G295,1))</f>
        <v/>
      </c>
      <c r="I295" s="11">
        <f>IF(A295="","",IFERROR(VALUE(SUBSTITUTE(SUBSTITUTE(INDEX('Shopify Import'!$A:$CZ,295,Settings!$E$26)&amp;"","$",""),",","")),0)/IF(Settings!$D$27="Yes",G295,1))</f>
        <v/>
      </c>
      <c r="J295" s="11">
        <f>IF(A295="","",F295+H295-I295)</f>
        <v/>
      </c>
      <c r="K295">
        <f>IF(A295="","",IFERROR(IF(B295="",NA(),MATCH(B295,Products!$B$5:$B$204,0)),IFERROR(MATCH(A295,Products!$A$5:$A$204,0),"")))</f>
        <v/>
      </c>
      <c r="L295">
        <f>IF(A295="","",IF(K295="","⚠ not in Products",INDEX(Products!$A$5:$A$204,K295)))</f>
        <v/>
      </c>
      <c r="M295" s="11">
        <f>IF(A295="","",J295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295+IFERROR(INDEX(Settings!$D$5:$D$9,MATCH("Shopify",Settings!$A$5:$A$9,0)),0)*D295)</f>
        <v/>
      </c>
      <c r="N295" s="11">
        <f>IF(A295="","",IF(K295="",0,D295*INDEX(Products!$I$5:$I$204,K295)))</f>
        <v/>
      </c>
      <c r="O295" s="11">
        <f>IF(A295="","",IF(K295="",0,J295*INDEX(Products!$H$5:$H$204,K295)))</f>
        <v/>
      </c>
      <c r="P295" s="11">
        <f>IF(A295="","",J295-M295-N295-O295)</f>
        <v/>
      </c>
    </row>
    <row r="296">
      <c r="A296">
        <f>IFERROR(INDEX('Shopify Import'!$A:$CZ,296,Settings!$E$20)&amp;"","")</f>
        <v/>
      </c>
      <c r="B296">
        <f>IFERROR(INDEX('Shopify Import'!$A:$CZ,296,Settings!$E$21)&amp;"","")</f>
        <v/>
      </c>
      <c r="C296">
        <f>IFERROR(INDEX('Shopify Import'!$A:$CZ,296,Settings!$E$22)&amp;"","")</f>
        <v/>
      </c>
      <c r="D296">
        <f>IF(A296="","",IFERROR(VALUE(SUBSTITUTE(SUBSTITUTE(INDEX('Shopify Import'!$A:$CZ,296,Settings!$E$23)&amp;"","$",""),",","")),0))</f>
        <v/>
      </c>
      <c r="E296" s="11">
        <f>IF(A296="","",IFERROR(VALUE(SUBSTITUTE(SUBSTITUTE(INDEX('Shopify Import'!$A:$CZ,296,Settings!$E$24)&amp;"","$",""),",","")),0))</f>
        <v/>
      </c>
      <c r="F296" s="11">
        <f>IF(A296="","",D296*E296)</f>
        <v/>
      </c>
      <c r="G296">
        <f>IF(A296="","",IF(C296="",1,COUNTIF($C$2:$C$1501,C296)))</f>
        <v/>
      </c>
      <c r="H296" s="11">
        <f>IF(A296="","",IFERROR(VALUE(SUBSTITUTE(SUBSTITUTE(INDEX('Shopify Import'!$A:$CZ,296,Settings!$E$25)&amp;"","$",""),",","")),0)/IF(Settings!$D$27="Yes",G296,1))</f>
        <v/>
      </c>
      <c r="I296" s="11">
        <f>IF(A296="","",IFERROR(VALUE(SUBSTITUTE(SUBSTITUTE(INDEX('Shopify Import'!$A:$CZ,296,Settings!$E$26)&amp;"","$",""),",","")),0)/IF(Settings!$D$27="Yes",G296,1))</f>
        <v/>
      </c>
      <c r="J296" s="11">
        <f>IF(A296="","",F296+H296-I296)</f>
        <v/>
      </c>
      <c r="K296">
        <f>IF(A296="","",IFERROR(IF(B296="",NA(),MATCH(B296,Products!$B$5:$B$204,0)),IFERROR(MATCH(A296,Products!$A$5:$A$204,0),"")))</f>
        <v/>
      </c>
      <c r="L296">
        <f>IF(A296="","",IF(K296="","⚠ not in Products",INDEX(Products!$A$5:$A$204,K296)))</f>
        <v/>
      </c>
      <c r="M296" s="11">
        <f>IF(A296="","",J296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296+IFERROR(INDEX(Settings!$D$5:$D$9,MATCH("Shopify",Settings!$A$5:$A$9,0)),0)*D296)</f>
        <v/>
      </c>
      <c r="N296" s="11">
        <f>IF(A296="","",IF(K296="",0,D296*INDEX(Products!$I$5:$I$204,K296)))</f>
        <v/>
      </c>
      <c r="O296" s="11">
        <f>IF(A296="","",IF(K296="",0,J296*INDEX(Products!$H$5:$H$204,K296)))</f>
        <v/>
      </c>
      <c r="P296" s="11">
        <f>IF(A296="","",J296-M296-N296-O296)</f>
        <v/>
      </c>
    </row>
    <row r="297">
      <c r="A297">
        <f>IFERROR(INDEX('Shopify Import'!$A:$CZ,297,Settings!$E$20)&amp;"","")</f>
        <v/>
      </c>
      <c r="B297">
        <f>IFERROR(INDEX('Shopify Import'!$A:$CZ,297,Settings!$E$21)&amp;"","")</f>
        <v/>
      </c>
      <c r="C297">
        <f>IFERROR(INDEX('Shopify Import'!$A:$CZ,297,Settings!$E$22)&amp;"","")</f>
        <v/>
      </c>
      <c r="D297">
        <f>IF(A297="","",IFERROR(VALUE(SUBSTITUTE(SUBSTITUTE(INDEX('Shopify Import'!$A:$CZ,297,Settings!$E$23)&amp;"","$",""),",","")),0))</f>
        <v/>
      </c>
      <c r="E297" s="11">
        <f>IF(A297="","",IFERROR(VALUE(SUBSTITUTE(SUBSTITUTE(INDEX('Shopify Import'!$A:$CZ,297,Settings!$E$24)&amp;"","$",""),",","")),0))</f>
        <v/>
      </c>
      <c r="F297" s="11">
        <f>IF(A297="","",D297*E297)</f>
        <v/>
      </c>
      <c r="G297">
        <f>IF(A297="","",IF(C297="",1,COUNTIF($C$2:$C$1501,C297)))</f>
        <v/>
      </c>
      <c r="H297" s="11">
        <f>IF(A297="","",IFERROR(VALUE(SUBSTITUTE(SUBSTITUTE(INDEX('Shopify Import'!$A:$CZ,297,Settings!$E$25)&amp;"","$",""),",","")),0)/IF(Settings!$D$27="Yes",G297,1))</f>
        <v/>
      </c>
      <c r="I297" s="11">
        <f>IF(A297="","",IFERROR(VALUE(SUBSTITUTE(SUBSTITUTE(INDEX('Shopify Import'!$A:$CZ,297,Settings!$E$26)&amp;"","$",""),",","")),0)/IF(Settings!$D$27="Yes",G297,1))</f>
        <v/>
      </c>
      <c r="J297" s="11">
        <f>IF(A297="","",F297+H297-I297)</f>
        <v/>
      </c>
      <c r="K297">
        <f>IF(A297="","",IFERROR(IF(B297="",NA(),MATCH(B297,Products!$B$5:$B$204,0)),IFERROR(MATCH(A297,Products!$A$5:$A$204,0),"")))</f>
        <v/>
      </c>
      <c r="L297">
        <f>IF(A297="","",IF(K297="","⚠ not in Products",INDEX(Products!$A$5:$A$204,K297)))</f>
        <v/>
      </c>
      <c r="M297" s="11">
        <f>IF(A297="","",J297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297+IFERROR(INDEX(Settings!$D$5:$D$9,MATCH("Shopify",Settings!$A$5:$A$9,0)),0)*D297)</f>
        <v/>
      </c>
      <c r="N297" s="11">
        <f>IF(A297="","",IF(K297="",0,D297*INDEX(Products!$I$5:$I$204,K297)))</f>
        <v/>
      </c>
      <c r="O297" s="11">
        <f>IF(A297="","",IF(K297="",0,J297*INDEX(Products!$H$5:$H$204,K297)))</f>
        <v/>
      </c>
      <c r="P297" s="11">
        <f>IF(A297="","",J297-M297-N297-O297)</f>
        <v/>
      </c>
    </row>
    <row r="298">
      <c r="A298">
        <f>IFERROR(INDEX('Shopify Import'!$A:$CZ,298,Settings!$E$20)&amp;"","")</f>
        <v/>
      </c>
      <c r="B298">
        <f>IFERROR(INDEX('Shopify Import'!$A:$CZ,298,Settings!$E$21)&amp;"","")</f>
        <v/>
      </c>
      <c r="C298">
        <f>IFERROR(INDEX('Shopify Import'!$A:$CZ,298,Settings!$E$22)&amp;"","")</f>
        <v/>
      </c>
      <c r="D298">
        <f>IF(A298="","",IFERROR(VALUE(SUBSTITUTE(SUBSTITUTE(INDEX('Shopify Import'!$A:$CZ,298,Settings!$E$23)&amp;"","$",""),",","")),0))</f>
        <v/>
      </c>
      <c r="E298" s="11">
        <f>IF(A298="","",IFERROR(VALUE(SUBSTITUTE(SUBSTITUTE(INDEX('Shopify Import'!$A:$CZ,298,Settings!$E$24)&amp;"","$",""),",","")),0))</f>
        <v/>
      </c>
      <c r="F298" s="11">
        <f>IF(A298="","",D298*E298)</f>
        <v/>
      </c>
      <c r="G298">
        <f>IF(A298="","",IF(C298="",1,COUNTIF($C$2:$C$1501,C298)))</f>
        <v/>
      </c>
      <c r="H298" s="11">
        <f>IF(A298="","",IFERROR(VALUE(SUBSTITUTE(SUBSTITUTE(INDEX('Shopify Import'!$A:$CZ,298,Settings!$E$25)&amp;"","$",""),",","")),0)/IF(Settings!$D$27="Yes",G298,1))</f>
        <v/>
      </c>
      <c r="I298" s="11">
        <f>IF(A298="","",IFERROR(VALUE(SUBSTITUTE(SUBSTITUTE(INDEX('Shopify Import'!$A:$CZ,298,Settings!$E$26)&amp;"","$",""),",","")),0)/IF(Settings!$D$27="Yes",G298,1))</f>
        <v/>
      </c>
      <c r="J298" s="11">
        <f>IF(A298="","",F298+H298-I298)</f>
        <v/>
      </c>
      <c r="K298">
        <f>IF(A298="","",IFERROR(IF(B298="",NA(),MATCH(B298,Products!$B$5:$B$204,0)),IFERROR(MATCH(A298,Products!$A$5:$A$204,0),"")))</f>
        <v/>
      </c>
      <c r="L298">
        <f>IF(A298="","",IF(K298="","⚠ not in Products",INDEX(Products!$A$5:$A$204,K298)))</f>
        <v/>
      </c>
      <c r="M298" s="11">
        <f>IF(A298="","",J298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298+IFERROR(INDEX(Settings!$D$5:$D$9,MATCH("Shopify",Settings!$A$5:$A$9,0)),0)*D298)</f>
        <v/>
      </c>
      <c r="N298" s="11">
        <f>IF(A298="","",IF(K298="",0,D298*INDEX(Products!$I$5:$I$204,K298)))</f>
        <v/>
      </c>
      <c r="O298" s="11">
        <f>IF(A298="","",IF(K298="",0,J298*INDEX(Products!$H$5:$H$204,K298)))</f>
        <v/>
      </c>
      <c r="P298" s="11">
        <f>IF(A298="","",J298-M298-N298-O298)</f>
        <v/>
      </c>
    </row>
    <row r="299">
      <c r="A299">
        <f>IFERROR(INDEX('Shopify Import'!$A:$CZ,299,Settings!$E$20)&amp;"","")</f>
        <v/>
      </c>
      <c r="B299">
        <f>IFERROR(INDEX('Shopify Import'!$A:$CZ,299,Settings!$E$21)&amp;"","")</f>
        <v/>
      </c>
      <c r="C299">
        <f>IFERROR(INDEX('Shopify Import'!$A:$CZ,299,Settings!$E$22)&amp;"","")</f>
        <v/>
      </c>
      <c r="D299">
        <f>IF(A299="","",IFERROR(VALUE(SUBSTITUTE(SUBSTITUTE(INDEX('Shopify Import'!$A:$CZ,299,Settings!$E$23)&amp;"","$",""),",","")),0))</f>
        <v/>
      </c>
      <c r="E299" s="11">
        <f>IF(A299="","",IFERROR(VALUE(SUBSTITUTE(SUBSTITUTE(INDEX('Shopify Import'!$A:$CZ,299,Settings!$E$24)&amp;"","$",""),",","")),0))</f>
        <v/>
      </c>
      <c r="F299" s="11">
        <f>IF(A299="","",D299*E299)</f>
        <v/>
      </c>
      <c r="G299">
        <f>IF(A299="","",IF(C299="",1,COUNTIF($C$2:$C$1501,C299)))</f>
        <v/>
      </c>
      <c r="H299" s="11">
        <f>IF(A299="","",IFERROR(VALUE(SUBSTITUTE(SUBSTITUTE(INDEX('Shopify Import'!$A:$CZ,299,Settings!$E$25)&amp;"","$",""),",","")),0)/IF(Settings!$D$27="Yes",G299,1))</f>
        <v/>
      </c>
      <c r="I299" s="11">
        <f>IF(A299="","",IFERROR(VALUE(SUBSTITUTE(SUBSTITUTE(INDEX('Shopify Import'!$A:$CZ,299,Settings!$E$26)&amp;"","$",""),",","")),0)/IF(Settings!$D$27="Yes",G299,1))</f>
        <v/>
      </c>
      <c r="J299" s="11">
        <f>IF(A299="","",F299+H299-I299)</f>
        <v/>
      </c>
      <c r="K299">
        <f>IF(A299="","",IFERROR(IF(B299="",NA(),MATCH(B299,Products!$B$5:$B$204,0)),IFERROR(MATCH(A299,Products!$A$5:$A$204,0),"")))</f>
        <v/>
      </c>
      <c r="L299">
        <f>IF(A299="","",IF(K299="","⚠ not in Products",INDEX(Products!$A$5:$A$204,K299)))</f>
        <v/>
      </c>
      <c r="M299" s="11">
        <f>IF(A299="","",J299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299+IFERROR(INDEX(Settings!$D$5:$D$9,MATCH("Shopify",Settings!$A$5:$A$9,0)),0)*D299)</f>
        <v/>
      </c>
      <c r="N299" s="11">
        <f>IF(A299="","",IF(K299="",0,D299*INDEX(Products!$I$5:$I$204,K299)))</f>
        <v/>
      </c>
      <c r="O299" s="11">
        <f>IF(A299="","",IF(K299="",0,J299*INDEX(Products!$H$5:$H$204,K299)))</f>
        <v/>
      </c>
      <c r="P299" s="11">
        <f>IF(A299="","",J299-M299-N299-O299)</f>
        <v/>
      </c>
    </row>
    <row r="300">
      <c r="A300">
        <f>IFERROR(INDEX('Shopify Import'!$A:$CZ,300,Settings!$E$20)&amp;"","")</f>
        <v/>
      </c>
      <c r="B300">
        <f>IFERROR(INDEX('Shopify Import'!$A:$CZ,300,Settings!$E$21)&amp;"","")</f>
        <v/>
      </c>
      <c r="C300">
        <f>IFERROR(INDEX('Shopify Import'!$A:$CZ,300,Settings!$E$22)&amp;"","")</f>
        <v/>
      </c>
      <c r="D300">
        <f>IF(A300="","",IFERROR(VALUE(SUBSTITUTE(SUBSTITUTE(INDEX('Shopify Import'!$A:$CZ,300,Settings!$E$23)&amp;"","$",""),",","")),0))</f>
        <v/>
      </c>
      <c r="E300" s="11">
        <f>IF(A300="","",IFERROR(VALUE(SUBSTITUTE(SUBSTITUTE(INDEX('Shopify Import'!$A:$CZ,300,Settings!$E$24)&amp;"","$",""),",","")),0))</f>
        <v/>
      </c>
      <c r="F300" s="11">
        <f>IF(A300="","",D300*E300)</f>
        <v/>
      </c>
      <c r="G300">
        <f>IF(A300="","",IF(C300="",1,COUNTIF($C$2:$C$1501,C300)))</f>
        <v/>
      </c>
      <c r="H300" s="11">
        <f>IF(A300="","",IFERROR(VALUE(SUBSTITUTE(SUBSTITUTE(INDEX('Shopify Import'!$A:$CZ,300,Settings!$E$25)&amp;"","$",""),",","")),0)/IF(Settings!$D$27="Yes",G300,1))</f>
        <v/>
      </c>
      <c r="I300" s="11">
        <f>IF(A300="","",IFERROR(VALUE(SUBSTITUTE(SUBSTITUTE(INDEX('Shopify Import'!$A:$CZ,300,Settings!$E$26)&amp;"","$",""),",","")),0)/IF(Settings!$D$27="Yes",G300,1))</f>
        <v/>
      </c>
      <c r="J300" s="11">
        <f>IF(A300="","",F300+H300-I300)</f>
        <v/>
      </c>
      <c r="K300">
        <f>IF(A300="","",IFERROR(IF(B300="",NA(),MATCH(B300,Products!$B$5:$B$204,0)),IFERROR(MATCH(A300,Products!$A$5:$A$204,0),"")))</f>
        <v/>
      </c>
      <c r="L300">
        <f>IF(A300="","",IF(K300="","⚠ not in Products",INDEX(Products!$A$5:$A$204,K300)))</f>
        <v/>
      </c>
      <c r="M300" s="11">
        <f>IF(A300="","",J300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300+IFERROR(INDEX(Settings!$D$5:$D$9,MATCH("Shopify",Settings!$A$5:$A$9,0)),0)*D300)</f>
        <v/>
      </c>
      <c r="N300" s="11">
        <f>IF(A300="","",IF(K300="",0,D300*INDEX(Products!$I$5:$I$204,K300)))</f>
        <v/>
      </c>
      <c r="O300" s="11">
        <f>IF(A300="","",IF(K300="",0,J300*INDEX(Products!$H$5:$H$204,K300)))</f>
        <v/>
      </c>
      <c r="P300" s="11">
        <f>IF(A300="","",J300-M300-N300-O300)</f>
        <v/>
      </c>
    </row>
    <row r="301">
      <c r="A301">
        <f>IFERROR(INDEX('Shopify Import'!$A:$CZ,301,Settings!$E$20)&amp;"","")</f>
        <v/>
      </c>
      <c r="B301">
        <f>IFERROR(INDEX('Shopify Import'!$A:$CZ,301,Settings!$E$21)&amp;"","")</f>
        <v/>
      </c>
      <c r="C301">
        <f>IFERROR(INDEX('Shopify Import'!$A:$CZ,301,Settings!$E$22)&amp;"","")</f>
        <v/>
      </c>
      <c r="D301">
        <f>IF(A301="","",IFERROR(VALUE(SUBSTITUTE(SUBSTITUTE(INDEX('Shopify Import'!$A:$CZ,301,Settings!$E$23)&amp;"","$",""),",","")),0))</f>
        <v/>
      </c>
      <c r="E301" s="11">
        <f>IF(A301="","",IFERROR(VALUE(SUBSTITUTE(SUBSTITUTE(INDEX('Shopify Import'!$A:$CZ,301,Settings!$E$24)&amp;"","$",""),",","")),0))</f>
        <v/>
      </c>
      <c r="F301" s="11">
        <f>IF(A301="","",D301*E301)</f>
        <v/>
      </c>
      <c r="G301">
        <f>IF(A301="","",IF(C301="",1,COUNTIF($C$2:$C$1501,C301)))</f>
        <v/>
      </c>
      <c r="H301" s="11">
        <f>IF(A301="","",IFERROR(VALUE(SUBSTITUTE(SUBSTITUTE(INDEX('Shopify Import'!$A:$CZ,301,Settings!$E$25)&amp;"","$",""),",","")),0)/IF(Settings!$D$27="Yes",G301,1))</f>
        <v/>
      </c>
      <c r="I301" s="11">
        <f>IF(A301="","",IFERROR(VALUE(SUBSTITUTE(SUBSTITUTE(INDEX('Shopify Import'!$A:$CZ,301,Settings!$E$26)&amp;"","$",""),",","")),0)/IF(Settings!$D$27="Yes",G301,1))</f>
        <v/>
      </c>
      <c r="J301" s="11">
        <f>IF(A301="","",F301+H301-I301)</f>
        <v/>
      </c>
      <c r="K301">
        <f>IF(A301="","",IFERROR(IF(B301="",NA(),MATCH(B301,Products!$B$5:$B$204,0)),IFERROR(MATCH(A301,Products!$A$5:$A$204,0),"")))</f>
        <v/>
      </c>
      <c r="L301">
        <f>IF(A301="","",IF(K301="","⚠ not in Products",INDEX(Products!$A$5:$A$204,K301)))</f>
        <v/>
      </c>
      <c r="M301" s="11">
        <f>IF(A301="","",J301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301+IFERROR(INDEX(Settings!$D$5:$D$9,MATCH("Shopify",Settings!$A$5:$A$9,0)),0)*D301)</f>
        <v/>
      </c>
      <c r="N301" s="11">
        <f>IF(A301="","",IF(K301="",0,D301*INDEX(Products!$I$5:$I$204,K301)))</f>
        <v/>
      </c>
      <c r="O301" s="11">
        <f>IF(A301="","",IF(K301="",0,J301*INDEX(Products!$H$5:$H$204,K301)))</f>
        <v/>
      </c>
      <c r="P301" s="11">
        <f>IF(A301="","",J301-M301-N301-O301)</f>
        <v/>
      </c>
    </row>
    <row r="302">
      <c r="A302">
        <f>IFERROR(INDEX('Shopify Import'!$A:$CZ,302,Settings!$E$20)&amp;"","")</f>
        <v/>
      </c>
      <c r="B302">
        <f>IFERROR(INDEX('Shopify Import'!$A:$CZ,302,Settings!$E$21)&amp;"","")</f>
        <v/>
      </c>
      <c r="C302">
        <f>IFERROR(INDEX('Shopify Import'!$A:$CZ,302,Settings!$E$22)&amp;"","")</f>
        <v/>
      </c>
      <c r="D302">
        <f>IF(A302="","",IFERROR(VALUE(SUBSTITUTE(SUBSTITUTE(INDEX('Shopify Import'!$A:$CZ,302,Settings!$E$23)&amp;"","$",""),",","")),0))</f>
        <v/>
      </c>
      <c r="E302" s="11">
        <f>IF(A302="","",IFERROR(VALUE(SUBSTITUTE(SUBSTITUTE(INDEX('Shopify Import'!$A:$CZ,302,Settings!$E$24)&amp;"","$",""),",","")),0))</f>
        <v/>
      </c>
      <c r="F302" s="11">
        <f>IF(A302="","",D302*E302)</f>
        <v/>
      </c>
      <c r="G302">
        <f>IF(A302="","",IF(C302="",1,COUNTIF($C$2:$C$1501,C302)))</f>
        <v/>
      </c>
      <c r="H302" s="11">
        <f>IF(A302="","",IFERROR(VALUE(SUBSTITUTE(SUBSTITUTE(INDEX('Shopify Import'!$A:$CZ,302,Settings!$E$25)&amp;"","$",""),",","")),0)/IF(Settings!$D$27="Yes",G302,1))</f>
        <v/>
      </c>
      <c r="I302" s="11">
        <f>IF(A302="","",IFERROR(VALUE(SUBSTITUTE(SUBSTITUTE(INDEX('Shopify Import'!$A:$CZ,302,Settings!$E$26)&amp;"","$",""),",","")),0)/IF(Settings!$D$27="Yes",G302,1))</f>
        <v/>
      </c>
      <c r="J302" s="11">
        <f>IF(A302="","",F302+H302-I302)</f>
        <v/>
      </c>
      <c r="K302">
        <f>IF(A302="","",IFERROR(IF(B302="",NA(),MATCH(B302,Products!$B$5:$B$204,0)),IFERROR(MATCH(A302,Products!$A$5:$A$204,0),"")))</f>
        <v/>
      </c>
      <c r="L302">
        <f>IF(A302="","",IF(K302="","⚠ not in Products",INDEX(Products!$A$5:$A$204,K302)))</f>
        <v/>
      </c>
      <c r="M302" s="11">
        <f>IF(A302="","",J302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302+IFERROR(INDEX(Settings!$D$5:$D$9,MATCH("Shopify",Settings!$A$5:$A$9,0)),0)*D302)</f>
        <v/>
      </c>
      <c r="N302" s="11">
        <f>IF(A302="","",IF(K302="",0,D302*INDEX(Products!$I$5:$I$204,K302)))</f>
        <v/>
      </c>
      <c r="O302" s="11">
        <f>IF(A302="","",IF(K302="",0,J302*INDEX(Products!$H$5:$H$204,K302)))</f>
        <v/>
      </c>
      <c r="P302" s="11">
        <f>IF(A302="","",J302-M302-N302-O302)</f>
        <v/>
      </c>
    </row>
    <row r="303">
      <c r="A303">
        <f>IFERROR(INDEX('Shopify Import'!$A:$CZ,303,Settings!$E$20)&amp;"","")</f>
        <v/>
      </c>
      <c r="B303">
        <f>IFERROR(INDEX('Shopify Import'!$A:$CZ,303,Settings!$E$21)&amp;"","")</f>
        <v/>
      </c>
      <c r="C303">
        <f>IFERROR(INDEX('Shopify Import'!$A:$CZ,303,Settings!$E$22)&amp;"","")</f>
        <v/>
      </c>
      <c r="D303">
        <f>IF(A303="","",IFERROR(VALUE(SUBSTITUTE(SUBSTITUTE(INDEX('Shopify Import'!$A:$CZ,303,Settings!$E$23)&amp;"","$",""),",","")),0))</f>
        <v/>
      </c>
      <c r="E303" s="11">
        <f>IF(A303="","",IFERROR(VALUE(SUBSTITUTE(SUBSTITUTE(INDEX('Shopify Import'!$A:$CZ,303,Settings!$E$24)&amp;"","$",""),",","")),0))</f>
        <v/>
      </c>
      <c r="F303" s="11">
        <f>IF(A303="","",D303*E303)</f>
        <v/>
      </c>
      <c r="G303">
        <f>IF(A303="","",IF(C303="",1,COUNTIF($C$2:$C$1501,C303)))</f>
        <v/>
      </c>
      <c r="H303" s="11">
        <f>IF(A303="","",IFERROR(VALUE(SUBSTITUTE(SUBSTITUTE(INDEX('Shopify Import'!$A:$CZ,303,Settings!$E$25)&amp;"","$",""),",","")),0)/IF(Settings!$D$27="Yes",G303,1))</f>
        <v/>
      </c>
      <c r="I303" s="11">
        <f>IF(A303="","",IFERROR(VALUE(SUBSTITUTE(SUBSTITUTE(INDEX('Shopify Import'!$A:$CZ,303,Settings!$E$26)&amp;"","$",""),",","")),0)/IF(Settings!$D$27="Yes",G303,1))</f>
        <v/>
      </c>
      <c r="J303" s="11">
        <f>IF(A303="","",F303+H303-I303)</f>
        <v/>
      </c>
      <c r="K303">
        <f>IF(A303="","",IFERROR(IF(B303="",NA(),MATCH(B303,Products!$B$5:$B$204,0)),IFERROR(MATCH(A303,Products!$A$5:$A$204,0),"")))</f>
        <v/>
      </c>
      <c r="L303">
        <f>IF(A303="","",IF(K303="","⚠ not in Products",INDEX(Products!$A$5:$A$204,K303)))</f>
        <v/>
      </c>
      <c r="M303" s="11">
        <f>IF(A303="","",J303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303+IFERROR(INDEX(Settings!$D$5:$D$9,MATCH("Shopify",Settings!$A$5:$A$9,0)),0)*D303)</f>
        <v/>
      </c>
      <c r="N303" s="11">
        <f>IF(A303="","",IF(K303="",0,D303*INDEX(Products!$I$5:$I$204,K303)))</f>
        <v/>
      </c>
      <c r="O303" s="11">
        <f>IF(A303="","",IF(K303="",0,J303*INDEX(Products!$H$5:$H$204,K303)))</f>
        <v/>
      </c>
      <c r="P303" s="11">
        <f>IF(A303="","",J303-M303-N303-O303)</f>
        <v/>
      </c>
    </row>
    <row r="304">
      <c r="A304">
        <f>IFERROR(INDEX('Shopify Import'!$A:$CZ,304,Settings!$E$20)&amp;"","")</f>
        <v/>
      </c>
      <c r="B304">
        <f>IFERROR(INDEX('Shopify Import'!$A:$CZ,304,Settings!$E$21)&amp;"","")</f>
        <v/>
      </c>
      <c r="C304">
        <f>IFERROR(INDEX('Shopify Import'!$A:$CZ,304,Settings!$E$22)&amp;"","")</f>
        <v/>
      </c>
      <c r="D304">
        <f>IF(A304="","",IFERROR(VALUE(SUBSTITUTE(SUBSTITUTE(INDEX('Shopify Import'!$A:$CZ,304,Settings!$E$23)&amp;"","$",""),",","")),0))</f>
        <v/>
      </c>
      <c r="E304" s="11">
        <f>IF(A304="","",IFERROR(VALUE(SUBSTITUTE(SUBSTITUTE(INDEX('Shopify Import'!$A:$CZ,304,Settings!$E$24)&amp;"","$",""),",","")),0))</f>
        <v/>
      </c>
      <c r="F304" s="11">
        <f>IF(A304="","",D304*E304)</f>
        <v/>
      </c>
      <c r="G304">
        <f>IF(A304="","",IF(C304="",1,COUNTIF($C$2:$C$1501,C304)))</f>
        <v/>
      </c>
      <c r="H304" s="11">
        <f>IF(A304="","",IFERROR(VALUE(SUBSTITUTE(SUBSTITUTE(INDEX('Shopify Import'!$A:$CZ,304,Settings!$E$25)&amp;"","$",""),",","")),0)/IF(Settings!$D$27="Yes",G304,1))</f>
        <v/>
      </c>
      <c r="I304" s="11">
        <f>IF(A304="","",IFERROR(VALUE(SUBSTITUTE(SUBSTITUTE(INDEX('Shopify Import'!$A:$CZ,304,Settings!$E$26)&amp;"","$",""),",","")),0)/IF(Settings!$D$27="Yes",G304,1))</f>
        <v/>
      </c>
      <c r="J304" s="11">
        <f>IF(A304="","",F304+H304-I304)</f>
        <v/>
      </c>
      <c r="K304">
        <f>IF(A304="","",IFERROR(IF(B304="",NA(),MATCH(B304,Products!$B$5:$B$204,0)),IFERROR(MATCH(A304,Products!$A$5:$A$204,0),"")))</f>
        <v/>
      </c>
      <c r="L304">
        <f>IF(A304="","",IF(K304="","⚠ not in Products",INDEX(Products!$A$5:$A$204,K304)))</f>
        <v/>
      </c>
      <c r="M304" s="11">
        <f>IF(A304="","",J304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304+IFERROR(INDEX(Settings!$D$5:$D$9,MATCH("Shopify",Settings!$A$5:$A$9,0)),0)*D304)</f>
        <v/>
      </c>
      <c r="N304" s="11">
        <f>IF(A304="","",IF(K304="",0,D304*INDEX(Products!$I$5:$I$204,K304)))</f>
        <v/>
      </c>
      <c r="O304" s="11">
        <f>IF(A304="","",IF(K304="",0,J304*INDEX(Products!$H$5:$H$204,K304)))</f>
        <v/>
      </c>
      <c r="P304" s="11">
        <f>IF(A304="","",J304-M304-N304-O304)</f>
        <v/>
      </c>
    </row>
    <row r="305">
      <c r="A305">
        <f>IFERROR(INDEX('Shopify Import'!$A:$CZ,305,Settings!$E$20)&amp;"","")</f>
        <v/>
      </c>
      <c r="B305">
        <f>IFERROR(INDEX('Shopify Import'!$A:$CZ,305,Settings!$E$21)&amp;"","")</f>
        <v/>
      </c>
      <c r="C305">
        <f>IFERROR(INDEX('Shopify Import'!$A:$CZ,305,Settings!$E$22)&amp;"","")</f>
        <v/>
      </c>
      <c r="D305">
        <f>IF(A305="","",IFERROR(VALUE(SUBSTITUTE(SUBSTITUTE(INDEX('Shopify Import'!$A:$CZ,305,Settings!$E$23)&amp;"","$",""),",","")),0))</f>
        <v/>
      </c>
      <c r="E305" s="11">
        <f>IF(A305="","",IFERROR(VALUE(SUBSTITUTE(SUBSTITUTE(INDEX('Shopify Import'!$A:$CZ,305,Settings!$E$24)&amp;"","$",""),",","")),0))</f>
        <v/>
      </c>
      <c r="F305" s="11">
        <f>IF(A305="","",D305*E305)</f>
        <v/>
      </c>
      <c r="G305">
        <f>IF(A305="","",IF(C305="",1,COUNTIF($C$2:$C$1501,C305)))</f>
        <v/>
      </c>
      <c r="H305" s="11">
        <f>IF(A305="","",IFERROR(VALUE(SUBSTITUTE(SUBSTITUTE(INDEX('Shopify Import'!$A:$CZ,305,Settings!$E$25)&amp;"","$",""),",","")),0)/IF(Settings!$D$27="Yes",G305,1))</f>
        <v/>
      </c>
      <c r="I305" s="11">
        <f>IF(A305="","",IFERROR(VALUE(SUBSTITUTE(SUBSTITUTE(INDEX('Shopify Import'!$A:$CZ,305,Settings!$E$26)&amp;"","$",""),",","")),0)/IF(Settings!$D$27="Yes",G305,1))</f>
        <v/>
      </c>
      <c r="J305" s="11">
        <f>IF(A305="","",F305+H305-I305)</f>
        <v/>
      </c>
      <c r="K305">
        <f>IF(A305="","",IFERROR(IF(B305="",NA(),MATCH(B305,Products!$B$5:$B$204,0)),IFERROR(MATCH(A305,Products!$A$5:$A$204,0),"")))</f>
        <v/>
      </c>
      <c r="L305">
        <f>IF(A305="","",IF(K305="","⚠ not in Products",INDEX(Products!$A$5:$A$204,K305)))</f>
        <v/>
      </c>
      <c r="M305" s="11">
        <f>IF(A305="","",J305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305+IFERROR(INDEX(Settings!$D$5:$D$9,MATCH("Shopify",Settings!$A$5:$A$9,0)),0)*D305)</f>
        <v/>
      </c>
      <c r="N305" s="11">
        <f>IF(A305="","",IF(K305="",0,D305*INDEX(Products!$I$5:$I$204,K305)))</f>
        <v/>
      </c>
      <c r="O305" s="11">
        <f>IF(A305="","",IF(K305="",0,J305*INDEX(Products!$H$5:$H$204,K305)))</f>
        <v/>
      </c>
      <c r="P305" s="11">
        <f>IF(A305="","",J305-M305-N305-O305)</f>
        <v/>
      </c>
    </row>
    <row r="306">
      <c r="A306">
        <f>IFERROR(INDEX('Shopify Import'!$A:$CZ,306,Settings!$E$20)&amp;"","")</f>
        <v/>
      </c>
      <c r="B306">
        <f>IFERROR(INDEX('Shopify Import'!$A:$CZ,306,Settings!$E$21)&amp;"","")</f>
        <v/>
      </c>
      <c r="C306">
        <f>IFERROR(INDEX('Shopify Import'!$A:$CZ,306,Settings!$E$22)&amp;"","")</f>
        <v/>
      </c>
      <c r="D306">
        <f>IF(A306="","",IFERROR(VALUE(SUBSTITUTE(SUBSTITUTE(INDEX('Shopify Import'!$A:$CZ,306,Settings!$E$23)&amp;"","$",""),",","")),0))</f>
        <v/>
      </c>
      <c r="E306" s="11">
        <f>IF(A306="","",IFERROR(VALUE(SUBSTITUTE(SUBSTITUTE(INDEX('Shopify Import'!$A:$CZ,306,Settings!$E$24)&amp;"","$",""),",","")),0))</f>
        <v/>
      </c>
      <c r="F306" s="11">
        <f>IF(A306="","",D306*E306)</f>
        <v/>
      </c>
      <c r="G306">
        <f>IF(A306="","",IF(C306="",1,COUNTIF($C$2:$C$1501,C306)))</f>
        <v/>
      </c>
      <c r="H306" s="11">
        <f>IF(A306="","",IFERROR(VALUE(SUBSTITUTE(SUBSTITUTE(INDEX('Shopify Import'!$A:$CZ,306,Settings!$E$25)&amp;"","$",""),",","")),0)/IF(Settings!$D$27="Yes",G306,1))</f>
        <v/>
      </c>
      <c r="I306" s="11">
        <f>IF(A306="","",IFERROR(VALUE(SUBSTITUTE(SUBSTITUTE(INDEX('Shopify Import'!$A:$CZ,306,Settings!$E$26)&amp;"","$",""),",","")),0)/IF(Settings!$D$27="Yes",G306,1))</f>
        <v/>
      </c>
      <c r="J306" s="11">
        <f>IF(A306="","",F306+H306-I306)</f>
        <v/>
      </c>
      <c r="K306">
        <f>IF(A306="","",IFERROR(IF(B306="",NA(),MATCH(B306,Products!$B$5:$B$204,0)),IFERROR(MATCH(A306,Products!$A$5:$A$204,0),"")))</f>
        <v/>
      </c>
      <c r="L306">
        <f>IF(A306="","",IF(K306="","⚠ not in Products",INDEX(Products!$A$5:$A$204,K306)))</f>
        <v/>
      </c>
      <c r="M306" s="11">
        <f>IF(A306="","",J306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306+IFERROR(INDEX(Settings!$D$5:$D$9,MATCH("Shopify",Settings!$A$5:$A$9,0)),0)*D306)</f>
        <v/>
      </c>
      <c r="N306" s="11">
        <f>IF(A306="","",IF(K306="",0,D306*INDEX(Products!$I$5:$I$204,K306)))</f>
        <v/>
      </c>
      <c r="O306" s="11">
        <f>IF(A306="","",IF(K306="",0,J306*INDEX(Products!$H$5:$H$204,K306)))</f>
        <v/>
      </c>
      <c r="P306" s="11">
        <f>IF(A306="","",J306-M306-N306-O306)</f>
        <v/>
      </c>
    </row>
    <row r="307">
      <c r="A307">
        <f>IFERROR(INDEX('Shopify Import'!$A:$CZ,307,Settings!$E$20)&amp;"","")</f>
        <v/>
      </c>
      <c r="B307">
        <f>IFERROR(INDEX('Shopify Import'!$A:$CZ,307,Settings!$E$21)&amp;"","")</f>
        <v/>
      </c>
      <c r="C307">
        <f>IFERROR(INDEX('Shopify Import'!$A:$CZ,307,Settings!$E$22)&amp;"","")</f>
        <v/>
      </c>
      <c r="D307">
        <f>IF(A307="","",IFERROR(VALUE(SUBSTITUTE(SUBSTITUTE(INDEX('Shopify Import'!$A:$CZ,307,Settings!$E$23)&amp;"","$",""),",","")),0))</f>
        <v/>
      </c>
      <c r="E307" s="11">
        <f>IF(A307="","",IFERROR(VALUE(SUBSTITUTE(SUBSTITUTE(INDEX('Shopify Import'!$A:$CZ,307,Settings!$E$24)&amp;"","$",""),",","")),0))</f>
        <v/>
      </c>
      <c r="F307" s="11">
        <f>IF(A307="","",D307*E307)</f>
        <v/>
      </c>
      <c r="G307">
        <f>IF(A307="","",IF(C307="",1,COUNTIF($C$2:$C$1501,C307)))</f>
        <v/>
      </c>
      <c r="H307" s="11">
        <f>IF(A307="","",IFERROR(VALUE(SUBSTITUTE(SUBSTITUTE(INDEX('Shopify Import'!$A:$CZ,307,Settings!$E$25)&amp;"","$",""),",","")),0)/IF(Settings!$D$27="Yes",G307,1))</f>
        <v/>
      </c>
      <c r="I307" s="11">
        <f>IF(A307="","",IFERROR(VALUE(SUBSTITUTE(SUBSTITUTE(INDEX('Shopify Import'!$A:$CZ,307,Settings!$E$26)&amp;"","$",""),",","")),0)/IF(Settings!$D$27="Yes",G307,1))</f>
        <v/>
      </c>
      <c r="J307" s="11">
        <f>IF(A307="","",F307+H307-I307)</f>
        <v/>
      </c>
      <c r="K307">
        <f>IF(A307="","",IFERROR(IF(B307="",NA(),MATCH(B307,Products!$B$5:$B$204,0)),IFERROR(MATCH(A307,Products!$A$5:$A$204,0),"")))</f>
        <v/>
      </c>
      <c r="L307">
        <f>IF(A307="","",IF(K307="","⚠ not in Products",INDEX(Products!$A$5:$A$204,K307)))</f>
        <v/>
      </c>
      <c r="M307" s="11">
        <f>IF(A307="","",J307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307+IFERROR(INDEX(Settings!$D$5:$D$9,MATCH("Shopify",Settings!$A$5:$A$9,0)),0)*D307)</f>
        <v/>
      </c>
      <c r="N307" s="11">
        <f>IF(A307="","",IF(K307="",0,D307*INDEX(Products!$I$5:$I$204,K307)))</f>
        <v/>
      </c>
      <c r="O307" s="11">
        <f>IF(A307="","",IF(K307="",0,J307*INDEX(Products!$H$5:$H$204,K307)))</f>
        <v/>
      </c>
      <c r="P307" s="11">
        <f>IF(A307="","",J307-M307-N307-O307)</f>
        <v/>
      </c>
    </row>
    <row r="308">
      <c r="A308">
        <f>IFERROR(INDEX('Shopify Import'!$A:$CZ,308,Settings!$E$20)&amp;"","")</f>
        <v/>
      </c>
      <c r="B308">
        <f>IFERROR(INDEX('Shopify Import'!$A:$CZ,308,Settings!$E$21)&amp;"","")</f>
        <v/>
      </c>
      <c r="C308">
        <f>IFERROR(INDEX('Shopify Import'!$A:$CZ,308,Settings!$E$22)&amp;"","")</f>
        <v/>
      </c>
      <c r="D308">
        <f>IF(A308="","",IFERROR(VALUE(SUBSTITUTE(SUBSTITUTE(INDEX('Shopify Import'!$A:$CZ,308,Settings!$E$23)&amp;"","$",""),",","")),0))</f>
        <v/>
      </c>
      <c r="E308" s="11">
        <f>IF(A308="","",IFERROR(VALUE(SUBSTITUTE(SUBSTITUTE(INDEX('Shopify Import'!$A:$CZ,308,Settings!$E$24)&amp;"","$",""),",","")),0))</f>
        <v/>
      </c>
      <c r="F308" s="11">
        <f>IF(A308="","",D308*E308)</f>
        <v/>
      </c>
      <c r="G308">
        <f>IF(A308="","",IF(C308="",1,COUNTIF($C$2:$C$1501,C308)))</f>
        <v/>
      </c>
      <c r="H308" s="11">
        <f>IF(A308="","",IFERROR(VALUE(SUBSTITUTE(SUBSTITUTE(INDEX('Shopify Import'!$A:$CZ,308,Settings!$E$25)&amp;"","$",""),",","")),0)/IF(Settings!$D$27="Yes",G308,1))</f>
        <v/>
      </c>
      <c r="I308" s="11">
        <f>IF(A308="","",IFERROR(VALUE(SUBSTITUTE(SUBSTITUTE(INDEX('Shopify Import'!$A:$CZ,308,Settings!$E$26)&amp;"","$",""),",","")),0)/IF(Settings!$D$27="Yes",G308,1))</f>
        <v/>
      </c>
      <c r="J308" s="11">
        <f>IF(A308="","",F308+H308-I308)</f>
        <v/>
      </c>
      <c r="K308">
        <f>IF(A308="","",IFERROR(IF(B308="",NA(),MATCH(B308,Products!$B$5:$B$204,0)),IFERROR(MATCH(A308,Products!$A$5:$A$204,0),"")))</f>
        <v/>
      </c>
      <c r="L308">
        <f>IF(A308="","",IF(K308="","⚠ not in Products",INDEX(Products!$A$5:$A$204,K308)))</f>
        <v/>
      </c>
      <c r="M308" s="11">
        <f>IF(A308="","",J308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308+IFERROR(INDEX(Settings!$D$5:$D$9,MATCH("Shopify",Settings!$A$5:$A$9,0)),0)*D308)</f>
        <v/>
      </c>
      <c r="N308" s="11">
        <f>IF(A308="","",IF(K308="",0,D308*INDEX(Products!$I$5:$I$204,K308)))</f>
        <v/>
      </c>
      <c r="O308" s="11">
        <f>IF(A308="","",IF(K308="",0,J308*INDEX(Products!$H$5:$H$204,K308)))</f>
        <v/>
      </c>
      <c r="P308" s="11">
        <f>IF(A308="","",J308-M308-N308-O308)</f>
        <v/>
      </c>
    </row>
    <row r="309">
      <c r="A309">
        <f>IFERROR(INDEX('Shopify Import'!$A:$CZ,309,Settings!$E$20)&amp;"","")</f>
        <v/>
      </c>
      <c r="B309">
        <f>IFERROR(INDEX('Shopify Import'!$A:$CZ,309,Settings!$E$21)&amp;"","")</f>
        <v/>
      </c>
      <c r="C309">
        <f>IFERROR(INDEX('Shopify Import'!$A:$CZ,309,Settings!$E$22)&amp;"","")</f>
        <v/>
      </c>
      <c r="D309">
        <f>IF(A309="","",IFERROR(VALUE(SUBSTITUTE(SUBSTITUTE(INDEX('Shopify Import'!$A:$CZ,309,Settings!$E$23)&amp;"","$",""),",","")),0))</f>
        <v/>
      </c>
      <c r="E309" s="11">
        <f>IF(A309="","",IFERROR(VALUE(SUBSTITUTE(SUBSTITUTE(INDEX('Shopify Import'!$A:$CZ,309,Settings!$E$24)&amp;"","$",""),",","")),0))</f>
        <v/>
      </c>
      <c r="F309" s="11">
        <f>IF(A309="","",D309*E309)</f>
        <v/>
      </c>
      <c r="G309">
        <f>IF(A309="","",IF(C309="",1,COUNTIF($C$2:$C$1501,C309)))</f>
        <v/>
      </c>
      <c r="H309" s="11">
        <f>IF(A309="","",IFERROR(VALUE(SUBSTITUTE(SUBSTITUTE(INDEX('Shopify Import'!$A:$CZ,309,Settings!$E$25)&amp;"","$",""),",","")),0)/IF(Settings!$D$27="Yes",G309,1))</f>
        <v/>
      </c>
      <c r="I309" s="11">
        <f>IF(A309="","",IFERROR(VALUE(SUBSTITUTE(SUBSTITUTE(INDEX('Shopify Import'!$A:$CZ,309,Settings!$E$26)&amp;"","$",""),",","")),0)/IF(Settings!$D$27="Yes",G309,1))</f>
        <v/>
      </c>
      <c r="J309" s="11">
        <f>IF(A309="","",F309+H309-I309)</f>
        <v/>
      </c>
      <c r="K309">
        <f>IF(A309="","",IFERROR(IF(B309="",NA(),MATCH(B309,Products!$B$5:$B$204,0)),IFERROR(MATCH(A309,Products!$A$5:$A$204,0),"")))</f>
        <v/>
      </c>
      <c r="L309">
        <f>IF(A309="","",IF(K309="","⚠ not in Products",INDEX(Products!$A$5:$A$204,K309)))</f>
        <v/>
      </c>
      <c r="M309" s="11">
        <f>IF(A309="","",J309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309+IFERROR(INDEX(Settings!$D$5:$D$9,MATCH("Shopify",Settings!$A$5:$A$9,0)),0)*D309)</f>
        <v/>
      </c>
      <c r="N309" s="11">
        <f>IF(A309="","",IF(K309="",0,D309*INDEX(Products!$I$5:$I$204,K309)))</f>
        <v/>
      </c>
      <c r="O309" s="11">
        <f>IF(A309="","",IF(K309="",0,J309*INDEX(Products!$H$5:$H$204,K309)))</f>
        <v/>
      </c>
      <c r="P309" s="11">
        <f>IF(A309="","",J309-M309-N309-O309)</f>
        <v/>
      </c>
    </row>
    <row r="310">
      <c r="A310">
        <f>IFERROR(INDEX('Shopify Import'!$A:$CZ,310,Settings!$E$20)&amp;"","")</f>
        <v/>
      </c>
      <c r="B310">
        <f>IFERROR(INDEX('Shopify Import'!$A:$CZ,310,Settings!$E$21)&amp;"","")</f>
        <v/>
      </c>
      <c r="C310">
        <f>IFERROR(INDEX('Shopify Import'!$A:$CZ,310,Settings!$E$22)&amp;"","")</f>
        <v/>
      </c>
      <c r="D310">
        <f>IF(A310="","",IFERROR(VALUE(SUBSTITUTE(SUBSTITUTE(INDEX('Shopify Import'!$A:$CZ,310,Settings!$E$23)&amp;"","$",""),",","")),0))</f>
        <v/>
      </c>
      <c r="E310" s="11">
        <f>IF(A310="","",IFERROR(VALUE(SUBSTITUTE(SUBSTITUTE(INDEX('Shopify Import'!$A:$CZ,310,Settings!$E$24)&amp;"","$",""),",","")),0))</f>
        <v/>
      </c>
      <c r="F310" s="11">
        <f>IF(A310="","",D310*E310)</f>
        <v/>
      </c>
      <c r="G310">
        <f>IF(A310="","",IF(C310="",1,COUNTIF($C$2:$C$1501,C310)))</f>
        <v/>
      </c>
      <c r="H310" s="11">
        <f>IF(A310="","",IFERROR(VALUE(SUBSTITUTE(SUBSTITUTE(INDEX('Shopify Import'!$A:$CZ,310,Settings!$E$25)&amp;"","$",""),",","")),0)/IF(Settings!$D$27="Yes",G310,1))</f>
        <v/>
      </c>
      <c r="I310" s="11">
        <f>IF(A310="","",IFERROR(VALUE(SUBSTITUTE(SUBSTITUTE(INDEX('Shopify Import'!$A:$CZ,310,Settings!$E$26)&amp;"","$",""),",","")),0)/IF(Settings!$D$27="Yes",G310,1))</f>
        <v/>
      </c>
      <c r="J310" s="11">
        <f>IF(A310="","",F310+H310-I310)</f>
        <v/>
      </c>
      <c r="K310">
        <f>IF(A310="","",IFERROR(IF(B310="",NA(),MATCH(B310,Products!$B$5:$B$204,0)),IFERROR(MATCH(A310,Products!$A$5:$A$204,0),"")))</f>
        <v/>
      </c>
      <c r="L310">
        <f>IF(A310="","",IF(K310="","⚠ not in Products",INDEX(Products!$A$5:$A$204,K310)))</f>
        <v/>
      </c>
      <c r="M310" s="11">
        <f>IF(A310="","",J310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310+IFERROR(INDEX(Settings!$D$5:$D$9,MATCH("Shopify",Settings!$A$5:$A$9,0)),0)*D310)</f>
        <v/>
      </c>
      <c r="N310" s="11">
        <f>IF(A310="","",IF(K310="",0,D310*INDEX(Products!$I$5:$I$204,K310)))</f>
        <v/>
      </c>
      <c r="O310" s="11">
        <f>IF(A310="","",IF(K310="",0,J310*INDEX(Products!$H$5:$H$204,K310)))</f>
        <v/>
      </c>
      <c r="P310" s="11">
        <f>IF(A310="","",J310-M310-N310-O310)</f>
        <v/>
      </c>
    </row>
    <row r="311">
      <c r="A311">
        <f>IFERROR(INDEX('Shopify Import'!$A:$CZ,311,Settings!$E$20)&amp;"","")</f>
        <v/>
      </c>
      <c r="B311">
        <f>IFERROR(INDEX('Shopify Import'!$A:$CZ,311,Settings!$E$21)&amp;"","")</f>
        <v/>
      </c>
      <c r="C311">
        <f>IFERROR(INDEX('Shopify Import'!$A:$CZ,311,Settings!$E$22)&amp;"","")</f>
        <v/>
      </c>
      <c r="D311">
        <f>IF(A311="","",IFERROR(VALUE(SUBSTITUTE(SUBSTITUTE(INDEX('Shopify Import'!$A:$CZ,311,Settings!$E$23)&amp;"","$",""),",","")),0))</f>
        <v/>
      </c>
      <c r="E311" s="11">
        <f>IF(A311="","",IFERROR(VALUE(SUBSTITUTE(SUBSTITUTE(INDEX('Shopify Import'!$A:$CZ,311,Settings!$E$24)&amp;"","$",""),",","")),0))</f>
        <v/>
      </c>
      <c r="F311" s="11">
        <f>IF(A311="","",D311*E311)</f>
        <v/>
      </c>
      <c r="G311">
        <f>IF(A311="","",IF(C311="",1,COUNTIF($C$2:$C$1501,C311)))</f>
        <v/>
      </c>
      <c r="H311" s="11">
        <f>IF(A311="","",IFERROR(VALUE(SUBSTITUTE(SUBSTITUTE(INDEX('Shopify Import'!$A:$CZ,311,Settings!$E$25)&amp;"","$",""),",","")),0)/IF(Settings!$D$27="Yes",G311,1))</f>
        <v/>
      </c>
      <c r="I311" s="11">
        <f>IF(A311="","",IFERROR(VALUE(SUBSTITUTE(SUBSTITUTE(INDEX('Shopify Import'!$A:$CZ,311,Settings!$E$26)&amp;"","$",""),",","")),0)/IF(Settings!$D$27="Yes",G311,1))</f>
        <v/>
      </c>
      <c r="J311" s="11">
        <f>IF(A311="","",F311+H311-I311)</f>
        <v/>
      </c>
      <c r="K311">
        <f>IF(A311="","",IFERROR(IF(B311="",NA(),MATCH(B311,Products!$B$5:$B$204,0)),IFERROR(MATCH(A311,Products!$A$5:$A$204,0),"")))</f>
        <v/>
      </c>
      <c r="L311">
        <f>IF(A311="","",IF(K311="","⚠ not in Products",INDEX(Products!$A$5:$A$204,K311)))</f>
        <v/>
      </c>
      <c r="M311" s="11">
        <f>IF(A311="","",J311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311+IFERROR(INDEX(Settings!$D$5:$D$9,MATCH("Shopify",Settings!$A$5:$A$9,0)),0)*D311)</f>
        <v/>
      </c>
      <c r="N311" s="11">
        <f>IF(A311="","",IF(K311="",0,D311*INDEX(Products!$I$5:$I$204,K311)))</f>
        <v/>
      </c>
      <c r="O311" s="11">
        <f>IF(A311="","",IF(K311="",0,J311*INDEX(Products!$H$5:$H$204,K311)))</f>
        <v/>
      </c>
      <c r="P311" s="11">
        <f>IF(A311="","",J311-M311-N311-O311)</f>
        <v/>
      </c>
    </row>
    <row r="312">
      <c r="A312">
        <f>IFERROR(INDEX('Shopify Import'!$A:$CZ,312,Settings!$E$20)&amp;"","")</f>
        <v/>
      </c>
      <c r="B312">
        <f>IFERROR(INDEX('Shopify Import'!$A:$CZ,312,Settings!$E$21)&amp;"","")</f>
        <v/>
      </c>
      <c r="C312">
        <f>IFERROR(INDEX('Shopify Import'!$A:$CZ,312,Settings!$E$22)&amp;"","")</f>
        <v/>
      </c>
      <c r="D312">
        <f>IF(A312="","",IFERROR(VALUE(SUBSTITUTE(SUBSTITUTE(INDEX('Shopify Import'!$A:$CZ,312,Settings!$E$23)&amp;"","$",""),",","")),0))</f>
        <v/>
      </c>
      <c r="E312" s="11">
        <f>IF(A312="","",IFERROR(VALUE(SUBSTITUTE(SUBSTITUTE(INDEX('Shopify Import'!$A:$CZ,312,Settings!$E$24)&amp;"","$",""),",","")),0))</f>
        <v/>
      </c>
      <c r="F312" s="11">
        <f>IF(A312="","",D312*E312)</f>
        <v/>
      </c>
      <c r="G312">
        <f>IF(A312="","",IF(C312="",1,COUNTIF($C$2:$C$1501,C312)))</f>
        <v/>
      </c>
      <c r="H312" s="11">
        <f>IF(A312="","",IFERROR(VALUE(SUBSTITUTE(SUBSTITUTE(INDEX('Shopify Import'!$A:$CZ,312,Settings!$E$25)&amp;"","$",""),",","")),0)/IF(Settings!$D$27="Yes",G312,1))</f>
        <v/>
      </c>
      <c r="I312" s="11">
        <f>IF(A312="","",IFERROR(VALUE(SUBSTITUTE(SUBSTITUTE(INDEX('Shopify Import'!$A:$CZ,312,Settings!$E$26)&amp;"","$",""),",","")),0)/IF(Settings!$D$27="Yes",G312,1))</f>
        <v/>
      </c>
      <c r="J312" s="11">
        <f>IF(A312="","",F312+H312-I312)</f>
        <v/>
      </c>
      <c r="K312">
        <f>IF(A312="","",IFERROR(IF(B312="",NA(),MATCH(B312,Products!$B$5:$B$204,0)),IFERROR(MATCH(A312,Products!$A$5:$A$204,0),"")))</f>
        <v/>
      </c>
      <c r="L312">
        <f>IF(A312="","",IF(K312="","⚠ not in Products",INDEX(Products!$A$5:$A$204,K312)))</f>
        <v/>
      </c>
      <c r="M312" s="11">
        <f>IF(A312="","",J312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312+IFERROR(INDEX(Settings!$D$5:$D$9,MATCH("Shopify",Settings!$A$5:$A$9,0)),0)*D312)</f>
        <v/>
      </c>
      <c r="N312" s="11">
        <f>IF(A312="","",IF(K312="",0,D312*INDEX(Products!$I$5:$I$204,K312)))</f>
        <v/>
      </c>
      <c r="O312" s="11">
        <f>IF(A312="","",IF(K312="",0,J312*INDEX(Products!$H$5:$H$204,K312)))</f>
        <v/>
      </c>
      <c r="P312" s="11">
        <f>IF(A312="","",J312-M312-N312-O312)</f>
        <v/>
      </c>
    </row>
    <row r="313">
      <c r="A313">
        <f>IFERROR(INDEX('Shopify Import'!$A:$CZ,313,Settings!$E$20)&amp;"","")</f>
        <v/>
      </c>
      <c r="B313">
        <f>IFERROR(INDEX('Shopify Import'!$A:$CZ,313,Settings!$E$21)&amp;"","")</f>
        <v/>
      </c>
      <c r="C313">
        <f>IFERROR(INDEX('Shopify Import'!$A:$CZ,313,Settings!$E$22)&amp;"","")</f>
        <v/>
      </c>
      <c r="D313">
        <f>IF(A313="","",IFERROR(VALUE(SUBSTITUTE(SUBSTITUTE(INDEX('Shopify Import'!$A:$CZ,313,Settings!$E$23)&amp;"","$",""),",","")),0))</f>
        <v/>
      </c>
      <c r="E313" s="11">
        <f>IF(A313="","",IFERROR(VALUE(SUBSTITUTE(SUBSTITUTE(INDEX('Shopify Import'!$A:$CZ,313,Settings!$E$24)&amp;"","$",""),",","")),0))</f>
        <v/>
      </c>
      <c r="F313" s="11">
        <f>IF(A313="","",D313*E313)</f>
        <v/>
      </c>
      <c r="G313">
        <f>IF(A313="","",IF(C313="",1,COUNTIF($C$2:$C$1501,C313)))</f>
        <v/>
      </c>
      <c r="H313" s="11">
        <f>IF(A313="","",IFERROR(VALUE(SUBSTITUTE(SUBSTITUTE(INDEX('Shopify Import'!$A:$CZ,313,Settings!$E$25)&amp;"","$",""),",","")),0)/IF(Settings!$D$27="Yes",G313,1))</f>
        <v/>
      </c>
      <c r="I313" s="11">
        <f>IF(A313="","",IFERROR(VALUE(SUBSTITUTE(SUBSTITUTE(INDEX('Shopify Import'!$A:$CZ,313,Settings!$E$26)&amp;"","$",""),",","")),0)/IF(Settings!$D$27="Yes",G313,1))</f>
        <v/>
      </c>
      <c r="J313" s="11">
        <f>IF(A313="","",F313+H313-I313)</f>
        <v/>
      </c>
      <c r="K313">
        <f>IF(A313="","",IFERROR(IF(B313="",NA(),MATCH(B313,Products!$B$5:$B$204,0)),IFERROR(MATCH(A313,Products!$A$5:$A$204,0),"")))</f>
        <v/>
      </c>
      <c r="L313">
        <f>IF(A313="","",IF(K313="","⚠ not in Products",INDEX(Products!$A$5:$A$204,K313)))</f>
        <v/>
      </c>
      <c r="M313" s="11">
        <f>IF(A313="","",J313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313+IFERROR(INDEX(Settings!$D$5:$D$9,MATCH("Shopify",Settings!$A$5:$A$9,0)),0)*D313)</f>
        <v/>
      </c>
      <c r="N313" s="11">
        <f>IF(A313="","",IF(K313="",0,D313*INDEX(Products!$I$5:$I$204,K313)))</f>
        <v/>
      </c>
      <c r="O313" s="11">
        <f>IF(A313="","",IF(K313="",0,J313*INDEX(Products!$H$5:$H$204,K313)))</f>
        <v/>
      </c>
      <c r="P313" s="11">
        <f>IF(A313="","",J313-M313-N313-O313)</f>
        <v/>
      </c>
    </row>
    <row r="314">
      <c r="A314">
        <f>IFERROR(INDEX('Shopify Import'!$A:$CZ,314,Settings!$E$20)&amp;"","")</f>
        <v/>
      </c>
      <c r="B314">
        <f>IFERROR(INDEX('Shopify Import'!$A:$CZ,314,Settings!$E$21)&amp;"","")</f>
        <v/>
      </c>
      <c r="C314">
        <f>IFERROR(INDEX('Shopify Import'!$A:$CZ,314,Settings!$E$22)&amp;"","")</f>
        <v/>
      </c>
      <c r="D314">
        <f>IF(A314="","",IFERROR(VALUE(SUBSTITUTE(SUBSTITUTE(INDEX('Shopify Import'!$A:$CZ,314,Settings!$E$23)&amp;"","$",""),",","")),0))</f>
        <v/>
      </c>
      <c r="E314" s="11">
        <f>IF(A314="","",IFERROR(VALUE(SUBSTITUTE(SUBSTITUTE(INDEX('Shopify Import'!$A:$CZ,314,Settings!$E$24)&amp;"","$",""),",","")),0))</f>
        <v/>
      </c>
      <c r="F314" s="11">
        <f>IF(A314="","",D314*E314)</f>
        <v/>
      </c>
      <c r="G314">
        <f>IF(A314="","",IF(C314="",1,COUNTIF($C$2:$C$1501,C314)))</f>
        <v/>
      </c>
      <c r="H314" s="11">
        <f>IF(A314="","",IFERROR(VALUE(SUBSTITUTE(SUBSTITUTE(INDEX('Shopify Import'!$A:$CZ,314,Settings!$E$25)&amp;"","$",""),",","")),0)/IF(Settings!$D$27="Yes",G314,1))</f>
        <v/>
      </c>
      <c r="I314" s="11">
        <f>IF(A314="","",IFERROR(VALUE(SUBSTITUTE(SUBSTITUTE(INDEX('Shopify Import'!$A:$CZ,314,Settings!$E$26)&amp;"","$",""),",","")),0)/IF(Settings!$D$27="Yes",G314,1))</f>
        <v/>
      </c>
      <c r="J314" s="11">
        <f>IF(A314="","",F314+H314-I314)</f>
        <v/>
      </c>
      <c r="K314">
        <f>IF(A314="","",IFERROR(IF(B314="",NA(),MATCH(B314,Products!$B$5:$B$204,0)),IFERROR(MATCH(A314,Products!$A$5:$A$204,0),"")))</f>
        <v/>
      </c>
      <c r="L314">
        <f>IF(A314="","",IF(K314="","⚠ not in Products",INDEX(Products!$A$5:$A$204,K314)))</f>
        <v/>
      </c>
      <c r="M314" s="11">
        <f>IF(A314="","",J314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314+IFERROR(INDEX(Settings!$D$5:$D$9,MATCH("Shopify",Settings!$A$5:$A$9,0)),0)*D314)</f>
        <v/>
      </c>
      <c r="N314" s="11">
        <f>IF(A314="","",IF(K314="",0,D314*INDEX(Products!$I$5:$I$204,K314)))</f>
        <v/>
      </c>
      <c r="O314" s="11">
        <f>IF(A314="","",IF(K314="",0,J314*INDEX(Products!$H$5:$H$204,K314)))</f>
        <v/>
      </c>
      <c r="P314" s="11">
        <f>IF(A314="","",J314-M314-N314-O314)</f>
        <v/>
      </c>
    </row>
    <row r="315">
      <c r="A315">
        <f>IFERROR(INDEX('Shopify Import'!$A:$CZ,315,Settings!$E$20)&amp;"","")</f>
        <v/>
      </c>
      <c r="B315">
        <f>IFERROR(INDEX('Shopify Import'!$A:$CZ,315,Settings!$E$21)&amp;"","")</f>
        <v/>
      </c>
      <c r="C315">
        <f>IFERROR(INDEX('Shopify Import'!$A:$CZ,315,Settings!$E$22)&amp;"","")</f>
        <v/>
      </c>
      <c r="D315">
        <f>IF(A315="","",IFERROR(VALUE(SUBSTITUTE(SUBSTITUTE(INDEX('Shopify Import'!$A:$CZ,315,Settings!$E$23)&amp;"","$",""),",","")),0))</f>
        <v/>
      </c>
      <c r="E315" s="11">
        <f>IF(A315="","",IFERROR(VALUE(SUBSTITUTE(SUBSTITUTE(INDEX('Shopify Import'!$A:$CZ,315,Settings!$E$24)&amp;"","$",""),",","")),0))</f>
        <v/>
      </c>
      <c r="F315" s="11">
        <f>IF(A315="","",D315*E315)</f>
        <v/>
      </c>
      <c r="G315">
        <f>IF(A315="","",IF(C315="",1,COUNTIF($C$2:$C$1501,C315)))</f>
        <v/>
      </c>
      <c r="H315" s="11">
        <f>IF(A315="","",IFERROR(VALUE(SUBSTITUTE(SUBSTITUTE(INDEX('Shopify Import'!$A:$CZ,315,Settings!$E$25)&amp;"","$",""),",","")),0)/IF(Settings!$D$27="Yes",G315,1))</f>
        <v/>
      </c>
      <c r="I315" s="11">
        <f>IF(A315="","",IFERROR(VALUE(SUBSTITUTE(SUBSTITUTE(INDEX('Shopify Import'!$A:$CZ,315,Settings!$E$26)&amp;"","$",""),",","")),0)/IF(Settings!$D$27="Yes",G315,1))</f>
        <v/>
      </c>
      <c r="J315" s="11">
        <f>IF(A315="","",F315+H315-I315)</f>
        <v/>
      </c>
      <c r="K315">
        <f>IF(A315="","",IFERROR(IF(B315="",NA(),MATCH(B315,Products!$B$5:$B$204,0)),IFERROR(MATCH(A315,Products!$A$5:$A$204,0),"")))</f>
        <v/>
      </c>
      <c r="L315">
        <f>IF(A315="","",IF(K315="","⚠ not in Products",INDEX(Products!$A$5:$A$204,K315)))</f>
        <v/>
      </c>
      <c r="M315" s="11">
        <f>IF(A315="","",J315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315+IFERROR(INDEX(Settings!$D$5:$D$9,MATCH("Shopify",Settings!$A$5:$A$9,0)),0)*D315)</f>
        <v/>
      </c>
      <c r="N315" s="11">
        <f>IF(A315="","",IF(K315="",0,D315*INDEX(Products!$I$5:$I$204,K315)))</f>
        <v/>
      </c>
      <c r="O315" s="11">
        <f>IF(A315="","",IF(K315="",0,J315*INDEX(Products!$H$5:$H$204,K315)))</f>
        <v/>
      </c>
      <c r="P315" s="11">
        <f>IF(A315="","",J315-M315-N315-O315)</f>
        <v/>
      </c>
    </row>
    <row r="316">
      <c r="A316">
        <f>IFERROR(INDEX('Shopify Import'!$A:$CZ,316,Settings!$E$20)&amp;"","")</f>
        <v/>
      </c>
      <c r="B316">
        <f>IFERROR(INDEX('Shopify Import'!$A:$CZ,316,Settings!$E$21)&amp;"","")</f>
        <v/>
      </c>
      <c r="C316">
        <f>IFERROR(INDEX('Shopify Import'!$A:$CZ,316,Settings!$E$22)&amp;"","")</f>
        <v/>
      </c>
      <c r="D316">
        <f>IF(A316="","",IFERROR(VALUE(SUBSTITUTE(SUBSTITUTE(INDEX('Shopify Import'!$A:$CZ,316,Settings!$E$23)&amp;"","$",""),",","")),0))</f>
        <v/>
      </c>
      <c r="E316" s="11">
        <f>IF(A316="","",IFERROR(VALUE(SUBSTITUTE(SUBSTITUTE(INDEX('Shopify Import'!$A:$CZ,316,Settings!$E$24)&amp;"","$",""),",","")),0))</f>
        <v/>
      </c>
      <c r="F316" s="11">
        <f>IF(A316="","",D316*E316)</f>
        <v/>
      </c>
      <c r="G316">
        <f>IF(A316="","",IF(C316="",1,COUNTIF($C$2:$C$1501,C316)))</f>
        <v/>
      </c>
      <c r="H316" s="11">
        <f>IF(A316="","",IFERROR(VALUE(SUBSTITUTE(SUBSTITUTE(INDEX('Shopify Import'!$A:$CZ,316,Settings!$E$25)&amp;"","$",""),",","")),0)/IF(Settings!$D$27="Yes",G316,1))</f>
        <v/>
      </c>
      <c r="I316" s="11">
        <f>IF(A316="","",IFERROR(VALUE(SUBSTITUTE(SUBSTITUTE(INDEX('Shopify Import'!$A:$CZ,316,Settings!$E$26)&amp;"","$",""),",","")),0)/IF(Settings!$D$27="Yes",G316,1))</f>
        <v/>
      </c>
      <c r="J316" s="11">
        <f>IF(A316="","",F316+H316-I316)</f>
        <v/>
      </c>
      <c r="K316">
        <f>IF(A316="","",IFERROR(IF(B316="",NA(),MATCH(B316,Products!$B$5:$B$204,0)),IFERROR(MATCH(A316,Products!$A$5:$A$204,0),"")))</f>
        <v/>
      </c>
      <c r="L316">
        <f>IF(A316="","",IF(K316="","⚠ not in Products",INDEX(Products!$A$5:$A$204,K316)))</f>
        <v/>
      </c>
      <c r="M316" s="11">
        <f>IF(A316="","",J316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316+IFERROR(INDEX(Settings!$D$5:$D$9,MATCH("Shopify",Settings!$A$5:$A$9,0)),0)*D316)</f>
        <v/>
      </c>
      <c r="N316" s="11">
        <f>IF(A316="","",IF(K316="",0,D316*INDEX(Products!$I$5:$I$204,K316)))</f>
        <v/>
      </c>
      <c r="O316" s="11">
        <f>IF(A316="","",IF(K316="",0,J316*INDEX(Products!$H$5:$H$204,K316)))</f>
        <v/>
      </c>
      <c r="P316" s="11">
        <f>IF(A316="","",J316-M316-N316-O316)</f>
        <v/>
      </c>
    </row>
    <row r="317">
      <c r="A317">
        <f>IFERROR(INDEX('Shopify Import'!$A:$CZ,317,Settings!$E$20)&amp;"","")</f>
        <v/>
      </c>
      <c r="B317">
        <f>IFERROR(INDEX('Shopify Import'!$A:$CZ,317,Settings!$E$21)&amp;"","")</f>
        <v/>
      </c>
      <c r="C317">
        <f>IFERROR(INDEX('Shopify Import'!$A:$CZ,317,Settings!$E$22)&amp;"","")</f>
        <v/>
      </c>
      <c r="D317">
        <f>IF(A317="","",IFERROR(VALUE(SUBSTITUTE(SUBSTITUTE(INDEX('Shopify Import'!$A:$CZ,317,Settings!$E$23)&amp;"","$",""),",","")),0))</f>
        <v/>
      </c>
      <c r="E317" s="11">
        <f>IF(A317="","",IFERROR(VALUE(SUBSTITUTE(SUBSTITUTE(INDEX('Shopify Import'!$A:$CZ,317,Settings!$E$24)&amp;"","$",""),",","")),0))</f>
        <v/>
      </c>
      <c r="F317" s="11">
        <f>IF(A317="","",D317*E317)</f>
        <v/>
      </c>
      <c r="G317">
        <f>IF(A317="","",IF(C317="",1,COUNTIF($C$2:$C$1501,C317)))</f>
        <v/>
      </c>
      <c r="H317" s="11">
        <f>IF(A317="","",IFERROR(VALUE(SUBSTITUTE(SUBSTITUTE(INDEX('Shopify Import'!$A:$CZ,317,Settings!$E$25)&amp;"","$",""),",","")),0)/IF(Settings!$D$27="Yes",G317,1))</f>
        <v/>
      </c>
      <c r="I317" s="11">
        <f>IF(A317="","",IFERROR(VALUE(SUBSTITUTE(SUBSTITUTE(INDEX('Shopify Import'!$A:$CZ,317,Settings!$E$26)&amp;"","$",""),",","")),0)/IF(Settings!$D$27="Yes",G317,1))</f>
        <v/>
      </c>
      <c r="J317" s="11">
        <f>IF(A317="","",F317+H317-I317)</f>
        <v/>
      </c>
      <c r="K317">
        <f>IF(A317="","",IFERROR(IF(B317="",NA(),MATCH(B317,Products!$B$5:$B$204,0)),IFERROR(MATCH(A317,Products!$A$5:$A$204,0),"")))</f>
        <v/>
      </c>
      <c r="L317">
        <f>IF(A317="","",IF(K317="","⚠ not in Products",INDEX(Products!$A$5:$A$204,K317)))</f>
        <v/>
      </c>
      <c r="M317" s="11">
        <f>IF(A317="","",J317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317+IFERROR(INDEX(Settings!$D$5:$D$9,MATCH("Shopify",Settings!$A$5:$A$9,0)),0)*D317)</f>
        <v/>
      </c>
      <c r="N317" s="11">
        <f>IF(A317="","",IF(K317="",0,D317*INDEX(Products!$I$5:$I$204,K317)))</f>
        <v/>
      </c>
      <c r="O317" s="11">
        <f>IF(A317="","",IF(K317="",0,J317*INDEX(Products!$H$5:$H$204,K317)))</f>
        <v/>
      </c>
      <c r="P317" s="11">
        <f>IF(A317="","",J317-M317-N317-O317)</f>
        <v/>
      </c>
    </row>
    <row r="318">
      <c r="A318">
        <f>IFERROR(INDEX('Shopify Import'!$A:$CZ,318,Settings!$E$20)&amp;"","")</f>
        <v/>
      </c>
      <c r="B318">
        <f>IFERROR(INDEX('Shopify Import'!$A:$CZ,318,Settings!$E$21)&amp;"","")</f>
        <v/>
      </c>
      <c r="C318">
        <f>IFERROR(INDEX('Shopify Import'!$A:$CZ,318,Settings!$E$22)&amp;"","")</f>
        <v/>
      </c>
      <c r="D318">
        <f>IF(A318="","",IFERROR(VALUE(SUBSTITUTE(SUBSTITUTE(INDEX('Shopify Import'!$A:$CZ,318,Settings!$E$23)&amp;"","$",""),",","")),0))</f>
        <v/>
      </c>
      <c r="E318" s="11">
        <f>IF(A318="","",IFERROR(VALUE(SUBSTITUTE(SUBSTITUTE(INDEX('Shopify Import'!$A:$CZ,318,Settings!$E$24)&amp;"","$",""),",","")),0))</f>
        <v/>
      </c>
      <c r="F318" s="11">
        <f>IF(A318="","",D318*E318)</f>
        <v/>
      </c>
      <c r="G318">
        <f>IF(A318="","",IF(C318="",1,COUNTIF($C$2:$C$1501,C318)))</f>
        <v/>
      </c>
      <c r="H318" s="11">
        <f>IF(A318="","",IFERROR(VALUE(SUBSTITUTE(SUBSTITUTE(INDEX('Shopify Import'!$A:$CZ,318,Settings!$E$25)&amp;"","$",""),",","")),0)/IF(Settings!$D$27="Yes",G318,1))</f>
        <v/>
      </c>
      <c r="I318" s="11">
        <f>IF(A318="","",IFERROR(VALUE(SUBSTITUTE(SUBSTITUTE(INDEX('Shopify Import'!$A:$CZ,318,Settings!$E$26)&amp;"","$",""),",","")),0)/IF(Settings!$D$27="Yes",G318,1))</f>
        <v/>
      </c>
      <c r="J318" s="11">
        <f>IF(A318="","",F318+H318-I318)</f>
        <v/>
      </c>
      <c r="K318">
        <f>IF(A318="","",IFERROR(IF(B318="",NA(),MATCH(B318,Products!$B$5:$B$204,0)),IFERROR(MATCH(A318,Products!$A$5:$A$204,0),"")))</f>
        <v/>
      </c>
      <c r="L318">
        <f>IF(A318="","",IF(K318="","⚠ not in Products",INDEX(Products!$A$5:$A$204,K318)))</f>
        <v/>
      </c>
      <c r="M318" s="11">
        <f>IF(A318="","",J318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318+IFERROR(INDEX(Settings!$D$5:$D$9,MATCH("Shopify",Settings!$A$5:$A$9,0)),0)*D318)</f>
        <v/>
      </c>
      <c r="N318" s="11">
        <f>IF(A318="","",IF(K318="",0,D318*INDEX(Products!$I$5:$I$204,K318)))</f>
        <v/>
      </c>
      <c r="O318" s="11">
        <f>IF(A318="","",IF(K318="",0,J318*INDEX(Products!$H$5:$H$204,K318)))</f>
        <v/>
      </c>
      <c r="P318" s="11">
        <f>IF(A318="","",J318-M318-N318-O318)</f>
        <v/>
      </c>
    </row>
    <row r="319">
      <c r="A319">
        <f>IFERROR(INDEX('Shopify Import'!$A:$CZ,319,Settings!$E$20)&amp;"","")</f>
        <v/>
      </c>
      <c r="B319">
        <f>IFERROR(INDEX('Shopify Import'!$A:$CZ,319,Settings!$E$21)&amp;"","")</f>
        <v/>
      </c>
      <c r="C319">
        <f>IFERROR(INDEX('Shopify Import'!$A:$CZ,319,Settings!$E$22)&amp;"","")</f>
        <v/>
      </c>
      <c r="D319">
        <f>IF(A319="","",IFERROR(VALUE(SUBSTITUTE(SUBSTITUTE(INDEX('Shopify Import'!$A:$CZ,319,Settings!$E$23)&amp;"","$",""),",","")),0))</f>
        <v/>
      </c>
      <c r="E319" s="11">
        <f>IF(A319="","",IFERROR(VALUE(SUBSTITUTE(SUBSTITUTE(INDEX('Shopify Import'!$A:$CZ,319,Settings!$E$24)&amp;"","$",""),",","")),0))</f>
        <v/>
      </c>
      <c r="F319" s="11">
        <f>IF(A319="","",D319*E319)</f>
        <v/>
      </c>
      <c r="G319">
        <f>IF(A319="","",IF(C319="",1,COUNTIF($C$2:$C$1501,C319)))</f>
        <v/>
      </c>
      <c r="H319" s="11">
        <f>IF(A319="","",IFERROR(VALUE(SUBSTITUTE(SUBSTITUTE(INDEX('Shopify Import'!$A:$CZ,319,Settings!$E$25)&amp;"","$",""),",","")),0)/IF(Settings!$D$27="Yes",G319,1))</f>
        <v/>
      </c>
      <c r="I319" s="11">
        <f>IF(A319="","",IFERROR(VALUE(SUBSTITUTE(SUBSTITUTE(INDEX('Shopify Import'!$A:$CZ,319,Settings!$E$26)&amp;"","$",""),",","")),0)/IF(Settings!$D$27="Yes",G319,1))</f>
        <v/>
      </c>
      <c r="J319" s="11">
        <f>IF(A319="","",F319+H319-I319)</f>
        <v/>
      </c>
      <c r="K319">
        <f>IF(A319="","",IFERROR(IF(B319="",NA(),MATCH(B319,Products!$B$5:$B$204,0)),IFERROR(MATCH(A319,Products!$A$5:$A$204,0),"")))</f>
        <v/>
      </c>
      <c r="L319">
        <f>IF(A319="","",IF(K319="","⚠ not in Products",INDEX(Products!$A$5:$A$204,K319)))</f>
        <v/>
      </c>
      <c r="M319" s="11">
        <f>IF(A319="","",J319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319+IFERROR(INDEX(Settings!$D$5:$D$9,MATCH("Shopify",Settings!$A$5:$A$9,0)),0)*D319)</f>
        <v/>
      </c>
      <c r="N319" s="11">
        <f>IF(A319="","",IF(K319="",0,D319*INDEX(Products!$I$5:$I$204,K319)))</f>
        <v/>
      </c>
      <c r="O319" s="11">
        <f>IF(A319="","",IF(K319="",0,J319*INDEX(Products!$H$5:$H$204,K319)))</f>
        <v/>
      </c>
      <c r="P319" s="11">
        <f>IF(A319="","",J319-M319-N319-O319)</f>
        <v/>
      </c>
    </row>
    <row r="320">
      <c r="A320">
        <f>IFERROR(INDEX('Shopify Import'!$A:$CZ,320,Settings!$E$20)&amp;"","")</f>
        <v/>
      </c>
      <c r="B320">
        <f>IFERROR(INDEX('Shopify Import'!$A:$CZ,320,Settings!$E$21)&amp;"","")</f>
        <v/>
      </c>
      <c r="C320">
        <f>IFERROR(INDEX('Shopify Import'!$A:$CZ,320,Settings!$E$22)&amp;"","")</f>
        <v/>
      </c>
      <c r="D320">
        <f>IF(A320="","",IFERROR(VALUE(SUBSTITUTE(SUBSTITUTE(INDEX('Shopify Import'!$A:$CZ,320,Settings!$E$23)&amp;"","$",""),",","")),0))</f>
        <v/>
      </c>
      <c r="E320" s="11">
        <f>IF(A320="","",IFERROR(VALUE(SUBSTITUTE(SUBSTITUTE(INDEX('Shopify Import'!$A:$CZ,320,Settings!$E$24)&amp;"","$",""),",","")),0))</f>
        <v/>
      </c>
      <c r="F320" s="11">
        <f>IF(A320="","",D320*E320)</f>
        <v/>
      </c>
      <c r="G320">
        <f>IF(A320="","",IF(C320="",1,COUNTIF($C$2:$C$1501,C320)))</f>
        <v/>
      </c>
      <c r="H320" s="11">
        <f>IF(A320="","",IFERROR(VALUE(SUBSTITUTE(SUBSTITUTE(INDEX('Shopify Import'!$A:$CZ,320,Settings!$E$25)&amp;"","$",""),",","")),0)/IF(Settings!$D$27="Yes",G320,1))</f>
        <v/>
      </c>
      <c r="I320" s="11">
        <f>IF(A320="","",IFERROR(VALUE(SUBSTITUTE(SUBSTITUTE(INDEX('Shopify Import'!$A:$CZ,320,Settings!$E$26)&amp;"","$",""),",","")),0)/IF(Settings!$D$27="Yes",G320,1))</f>
        <v/>
      </c>
      <c r="J320" s="11">
        <f>IF(A320="","",F320+H320-I320)</f>
        <v/>
      </c>
      <c r="K320">
        <f>IF(A320="","",IFERROR(IF(B320="",NA(),MATCH(B320,Products!$B$5:$B$204,0)),IFERROR(MATCH(A320,Products!$A$5:$A$204,0),"")))</f>
        <v/>
      </c>
      <c r="L320">
        <f>IF(A320="","",IF(K320="","⚠ not in Products",INDEX(Products!$A$5:$A$204,K320)))</f>
        <v/>
      </c>
      <c r="M320" s="11">
        <f>IF(A320="","",J320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320+IFERROR(INDEX(Settings!$D$5:$D$9,MATCH("Shopify",Settings!$A$5:$A$9,0)),0)*D320)</f>
        <v/>
      </c>
      <c r="N320" s="11">
        <f>IF(A320="","",IF(K320="",0,D320*INDEX(Products!$I$5:$I$204,K320)))</f>
        <v/>
      </c>
      <c r="O320" s="11">
        <f>IF(A320="","",IF(K320="",0,J320*INDEX(Products!$H$5:$H$204,K320)))</f>
        <v/>
      </c>
      <c r="P320" s="11">
        <f>IF(A320="","",J320-M320-N320-O320)</f>
        <v/>
      </c>
    </row>
    <row r="321">
      <c r="A321">
        <f>IFERROR(INDEX('Shopify Import'!$A:$CZ,321,Settings!$E$20)&amp;"","")</f>
        <v/>
      </c>
      <c r="B321">
        <f>IFERROR(INDEX('Shopify Import'!$A:$CZ,321,Settings!$E$21)&amp;"","")</f>
        <v/>
      </c>
      <c r="C321">
        <f>IFERROR(INDEX('Shopify Import'!$A:$CZ,321,Settings!$E$22)&amp;"","")</f>
        <v/>
      </c>
      <c r="D321">
        <f>IF(A321="","",IFERROR(VALUE(SUBSTITUTE(SUBSTITUTE(INDEX('Shopify Import'!$A:$CZ,321,Settings!$E$23)&amp;"","$",""),",","")),0))</f>
        <v/>
      </c>
      <c r="E321" s="11">
        <f>IF(A321="","",IFERROR(VALUE(SUBSTITUTE(SUBSTITUTE(INDEX('Shopify Import'!$A:$CZ,321,Settings!$E$24)&amp;"","$",""),",","")),0))</f>
        <v/>
      </c>
      <c r="F321" s="11">
        <f>IF(A321="","",D321*E321)</f>
        <v/>
      </c>
      <c r="G321">
        <f>IF(A321="","",IF(C321="",1,COUNTIF($C$2:$C$1501,C321)))</f>
        <v/>
      </c>
      <c r="H321" s="11">
        <f>IF(A321="","",IFERROR(VALUE(SUBSTITUTE(SUBSTITUTE(INDEX('Shopify Import'!$A:$CZ,321,Settings!$E$25)&amp;"","$",""),",","")),0)/IF(Settings!$D$27="Yes",G321,1))</f>
        <v/>
      </c>
      <c r="I321" s="11">
        <f>IF(A321="","",IFERROR(VALUE(SUBSTITUTE(SUBSTITUTE(INDEX('Shopify Import'!$A:$CZ,321,Settings!$E$26)&amp;"","$",""),",","")),0)/IF(Settings!$D$27="Yes",G321,1))</f>
        <v/>
      </c>
      <c r="J321" s="11">
        <f>IF(A321="","",F321+H321-I321)</f>
        <v/>
      </c>
      <c r="K321">
        <f>IF(A321="","",IFERROR(IF(B321="",NA(),MATCH(B321,Products!$B$5:$B$204,0)),IFERROR(MATCH(A321,Products!$A$5:$A$204,0),"")))</f>
        <v/>
      </c>
      <c r="L321">
        <f>IF(A321="","",IF(K321="","⚠ not in Products",INDEX(Products!$A$5:$A$204,K321)))</f>
        <v/>
      </c>
      <c r="M321" s="11">
        <f>IF(A321="","",J321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321+IFERROR(INDEX(Settings!$D$5:$D$9,MATCH("Shopify",Settings!$A$5:$A$9,0)),0)*D321)</f>
        <v/>
      </c>
      <c r="N321" s="11">
        <f>IF(A321="","",IF(K321="",0,D321*INDEX(Products!$I$5:$I$204,K321)))</f>
        <v/>
      </c>
      <c r="O321" s="11">
        <f>IF(A321="","",IF(K321="",0,J321*INDEX(Products!$H$5:$H$204,K321)))</f>
        <v/>
      </c>
      <c r="P321" s="11">
        <f>IF(A321="","",J321-M321-N321-O321)</f>
        <v/>
      </c>
    </row>
    <row r="322">
      <c r="A322">
        <f>IFERROR(INDEX('Shopify Import'!$A:$CZ,322,Settings!$E$20)&amp;"","")</f>
        <v/>
      </c>
      <c r="B322">
        <f>IFERROR(INDEX('Shopify Import'!$A:$CZ,322,Settings!$E$21)&amp;"","")</f>
        <v/>
      </c>
      <c r="C322">
        <f>IFERROR(INDEX('Shopify Import'!$A:$CZ,322,Settings!$E$22)&amp;"","")</f>
        <v/>
      </c>
      <c r="D322">
        <f>IF(A322="","",IFERROR(VALUE(SUBSTITUTE(SUBSTITUTE(INDEX('Shopify Import'!$A:$CZ,322,Settings!$E$23)&amp;"","$",""),",","")),0))</f>
        <v/>
      </c>
      <c r="E322" s="11">
        <f>IF(A322="","",IFERROR(VALUE(SUBSTITUTE(SUBSTITUTE(INDEX('Shopify Import'!$A:$CZ,322,Settings!$E$24)&amp;"","$",""),",","")),0))</f>
        <v/>
      </c>
      <c r="F322" s="11">
        <f>IF(A322="","",D322*E322)</f>
        <v/>
      </c>
      <c r="G322">
        <f>IF(A322="","",IF(C322="",1,COUNTIF($C$2:$C$1501,C322)))</f>
        <v/>
      </c>
      <c r="H322" s="11">
        <f>IF(A322="","",IFERROR(VALUE(SUBSTITUTE(SUBSTITUTE(INDEX('Shopify Import'!$A:$CZ,322,Settings!$E$25)&amp;"","$",""),",","")),0)/IF(Settings!$D$27="Yes",G322,1))</f>
        <v/>
      </c>
      <c r="I322" s="11">
        <f>IF(A322="","",IFERROR(VALUE(SUBSTITUTE(SUBSTITUTE(INDEX('Shopify Import'!$A:$CZ,322,Settings!$E$26)&amp;"","$",""),",","")),0)/IF(Settings!$D$27="Yes",G322,1))</f>
        <v/>
      </c>
      <c r="J322" s="11">
        <f>IF(A322="","",F322+H322-I322)</f>
        <v/>
      </c>
      <c r="K322">
        <f>IF(A322="","",IFERROR(IF(B322="",NA(),MATCH(B322,Products!$B$5:$B$204,0)),IFERROR(MATCH(A322,Products!$A$5:$A$204,0),"")))</f>
        <v/>
      </c>
      <c r="L322">
        <f>IF(A322="","",IF(K322="","⚠ not in Products",INDEX(Products!$A$5:$A$204,K322)))</f>
        <v/>
      </c>
      <c r="M322" s="11">
        <f>IF(A322="","",J322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322+IFERROR(INDEX(Settings!$D$5:$D$9,MATCH("Shopify",Settings!$A$5:$A$9,0)),0)*D322)</f>
        <v/>
      </c>
      <c r="N322" s="11">
        <f>IF(A322="","",IF(K322="",0,D322*INDEX(Products!$I$5:$I$204,K322)))</f>
        <v/>
      </c>
      <c r="O322" s="11">
        <f>IF(A322="","",IF(K322="",0,J322*INDEX(Products!$H$5:$H$204,K322)))</f>
        <v/>
      </c>
      <c r="P322" s="11">
        <f>IF(A322="","",J322-M322-N322-O322)</f>
        <v/>
      </c>
    </row>
    <row r="323">
      <c r="A323">
        <f>IFERROR(INDEX('Shopify Import'!$A:$CZ,323,Settings!$E$20)&amp;"","")</f>
        <v/>
      </c>
      <c r="B323">
        <f>IFERROR(INDEX('Shopify Import'!$A:$CZ,323,Settings!$E$21)&amp;"","")</f>
        <v/>
      </c>
      <c r="C323">
        <f>IFERROR(INDEX('Shopify Import'!$A:$CZ,323,Settings!$E$22)&amp;"","")</f>
        <v/>
      </c>
      <c r="D323">
        <f>IF(A323="","",IFERROR(VALUE(SUBSTITUTE(SUBSTITUTE(INDEX('Shopify Import'!$A:$CZ,323,Settings!$E$23)&amp;"","$",""),",","")),0))</f>
        <v/>
      </c>
      <c r="E323" s="11">
        <f>IF(A323="","",IFERROR(VALUE(SUBSTITUTE(SUBSTITUTE(INDEX('Shopify Import'!$A:$CZ,323,Settings!$E$24)&amp;"","$",""),",","")),0))</f>
        <v/>
      </c>
      <c r="F323" s="11">
        <f>IF(A323="","",D323*E323)</f>
        <v/>
      </c>
      <c r="G323">
        <f>IF(A323="","",IF(C323="",1,COUNTIF($C$2:$C$1501,C323)))</f>
        <v/>
      </c>
      <c r="H323" s="11">
        <f>IF(A323="","",IFERROR(VALUE(SUBSTITUTE(SUBSTITUTE(INDEX('Shopify Import'!$A:$CZ,323,Settings!$E$25)&amp;"","$",""),",","")),0)/IF(Settings!$D$27="Yes",G323,1))</f>
        <v/>
      </c>
      <c r="I323" s="11">
        <f>IF(A323="","",IFERROR(VALUE(SUBSTITUTE(SUBSTITUTE(INDEX('Shopify Import'!$A:$CZ,323,Settings!$E$26)&amp;"","$",""),",","")),0)/IF(Settings!$D$27="Yes",G323,1))</f>
        <v/>
      </c>
      <c r="J323" s="11">
        <f>IF(A323="","",F323+H323-I323)</f>
        <v/>
      </c>
      <c r="K323">
        <f>IF(A323="","",IFERROR(IF(B323="",NA(),MATCH(B323,Products!$B$5:$B$204,0)),IFERROR(MATCH(A323,Products!$A$5:$A$204,0),"")))</f>
        <v/>
      </c>
      <c r="L323">
        <f>IF(A323="","",IF(K323="","⚠ not in Products",INDEX(Products!$A$5:$A$204,K323)))</f>
        <v/>
      </c>
      <c r="M323" s="11">
        <f>IF(A323="","",J323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323+IFERROR(INDEX(Settings!$D$5:$D$9,MATCH("Shopify",Settings!$A$5:$A$9,0)),0)*D323)</f>
        <v/>
      </c>
      <c r="N323" s="11">
        <f>IF(A323="","",IF(K323="",0,D323*INDEX(Products!$I$5:$I$204,K323)))</f>
        <v/>
      </c>
      <c r="O323" s="11">
        <f>IF(A323="","",IF(K323="",0,J323*INDEX(Products!$H$5:$H$204,K323)))</f>
        <v/>
      </c>
      <c r="P323" s="11">
        <f>IF(A323="","",J323-M323-N323-O323)</f>
        <v/>
      </c>
    </row>
    <row r="324">
      <c r="A324">
        <f>IFERROR(INDEX('Shopify Import'!$A:$CZ,324,Settings!$E$20)&amp;"","")</f>
        <v/>
      </c>
      <c r="B324">
        <f>IFERROR(INDEX('Shopify Import'!$A:$CZ,324,Settings!$E$21)&amp;"","")</f>
        <v/>
      </c>
      <c r="C324">
        <f>IFERROR(INDEX('Shopify Import'!$A:$CZ,324,Settings!$E$22)&amp;"","")</f>
        <v/>
      </c>
      <c r="D324">
        <f>IF(A324="","",IFERROR(VALUE(SUBSTITUTE(SUBSTITUTE(INDEX('Shopify Import'!$A:$CZ,324,Settings!$E$23)&amp;"","$",""),",","")),0))</f>
        <v/>
      </c>
      <c r="E324" s="11">
        <f>IF(A324="","",IFERROR(VALUE(SUBSTITUTE(SUBSTITUTE(INDEX('Shopify Import'!$A:$CZ,324,Settings!$E$24)&amp;"","$",""),",","")),0))</f>
        <v/>
      </c>
      <c r="F324" s="11">
        <f>IF(A324="","",D324*E324)</f>
        <v/>
      </c>
      <c r="G324">
        <f>IF(A324="","",IF(C324="",1,COUNTIF($C$2:$C$1501,C324)))</f>
        <v/>
      </c>
      <c r="H324" s="11">
        <f>IF(A324="","",IFERROR(VALUE(SUBSTITUTE(SUBSTITUTE(INDEX('Shopify Import'!$A:$CZ,324,Settings!$E$25)&amp;"","$",""),",","")),0)/IF(Settings!$D$27="Yes",G324,1))</f>
        <v/>
      </c>
      <c r="I324" s="11">
        <f>IF(A324="","",IFERROR(VALUE(SUBSTITUTE(SUBSTITUTE(INDEX('Shopify Import'!$A:$CZ,324,Settings!$E$26)&amp;"","$",""),",","")),0)/IF(Settings!$D$27="Yes",G324,1))</f>
        <v/>
      </c>
      <c r="J324" s="11">
        <f>IF(A324="","",F324+H324-I324)</f>
        <v/>
      </c>
      <c r="K324">
        <f>IF(A324="","",IFERROR(IF(B324="",NA(),MATCH(B324,Products!$B$5:$B$204,0)),IFERROR(MATCH(A324,Products!$A$5:$A$204,0),"")))</f>
        <v/>
      </c>
      <c r="L324">
        <f>IF(A324="","",IF(K324="","⚠ not in Products",INDEX(Products!$A$5:$A$204,K324)))</f>
        <v/>
      </c>
      <c r="M324" s="11">
        <f>IF(A324="","",J324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324+IFERROR(INDEX(Settings!$D$5:$D$9,MATCH("Shopify",Settings!$A$5:$A$9,0)),0)*D324)</f>
        <v/>
      </c>
      <c r="N324" s="11">
        <f>IF(A324="","",IF(K324="",0,D324*INDEX(Products!$I$5:$I$204,K324)))</f>
        <v/>
      </c>
      <c r="O324" s="11">
        <f>IF(A324="","",IF(K324="",0,J324*INDEX(Products!$H$5:$H$204,K324)))</f>
        <v/>
      </c>
      <c r="P324" s="11">
        <f>IF(A324="","",J324-M324-N324-O324)</f>
        <v/>
      </c>
    </row>
    <row r="325">
      <c r="A325">
        <f>IFERROR(INDEX('Shopify Import'!$A:$CZ,325,Settings!$E$20)&amp;"","")</f>
        <v/>
      </c>
      <c r="B325">
        <f>IFERROR(INDEX('Shopify Import'!$A:$CZ,325,Settings!$E$21)&amp;"","")</f>
        <v/>
      </c>
      <c r="C325">
        <f>IFERROR(INDEX('Shopify Import'!$A:$CZ,325,Settings!$E$22)&amp;"","")</f>
        <v/>
      </c>
      <c r="D325">
        <f>IF(A325="","",IFERROR(VALUE(SUBSTITUTE(SUBSTITUTE(INDEX('Shopify Import'!$A:$CZ,325,Settings!$E$23)&amp;"","$",""),",","")),0))</f>
        <v/>
      </c>
      <c r="E325" s="11">
        <f>IF(A325="","",IFERROR(VALUE(SUBSTITUTE(SUBSTITUTE(INDEX('Shopify Import'!$A:$CZ,325,Settings!$E$24)&amp;"","$",""),",","")),0))</f>
        <v/>
      </c>
      <c r="F325" s="11">
        <f>IF(A325="","",D325*E325)</f>
        <v/>
      </c>
      <c r="G325">
        <f>IF(A325="","",IF(C325="",1,COUNTIF($C$2:$C$1501,C325)))</f>
        <v/>
      </c>
      <c r="H325" s="11">
        <f>IF(A325="","",IFERROR(VALUE(SUBSTITUTE(SUBSTITUTE(INDEX('Shopify Import'!$A:$CZ,325,Settings!$E$25)&amp;"","$",""),",","")),0)/IF(Settings!$D$27="Yes",G325,1))</f>
        <v/>
      </c>
      <c r="I325" s="11">
        <f>IF(A325="","",IFERROR(VALUE(SUBSTITUTE(SUBSTITUTE(INDEX('Shopify Import'!$A:$CZ,325,Settings!$E$26)&amp;"","$",""),",","")),0)/IF(Settings!$D$27="Yes",G325,1))</f>
        <v/>
      </c>
      <c r="J325" s="11">
        <f>IF(A325="","",F325+H325-I325)</f>
        <v/>
      </c>
      <c r="K325">
        <f>IF(A325="","",IFERROR(IF(B325="",NA(),MATCH(B325,Products!$B$5:$B$204,0)),IFERROR(MATCH(A325,Products!$A$5:$A$204,0),"")))</f>
        <v/>
      </c>
      <c r="L325">
        <f>IF(A325="","",IF(K325="","⚠ not in Products",INDEX(Products!$A$5:$A$204,K325)))</f>
        <v/>
      </c>
      <c r="M325" s="11">
        <f>IF(A325="","",J325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325+IFERROR(INDEX(Settings!$D$5:$D$9,MATCH("Shopify",Settings!$A$5:$A$9,0)),0)*D325)</f>
        <v/>
      </c>
      <c r="N325" s="11">
        <f>IF(A325="","",IF(K325="",0,D325*INDEX(Products!$I$5:$I$204,K325)))</f>
        <v/>
      </c>
      <c r="O325" s="11">
        <f>IF(A325="","",IF(K325="",0,J325*INDEX(Products!$H$5:$H$204,K325)))</f>
        <v/>
      </c>
      <c r="P325" s="11">
        <f>IF(A325="","",J325-M325-N325-O325)</f>
        <v/>
      </c>
    </row>
    <row r="326">
      <c r="A326">
        <f>IFERROR(INDEX('Shopify Import'!$A:$CZ,326,Settings!$E$20)&amp;"","")</f>
        <v/>
      </c>
      <c r="B326">
        <f>IFERROR(INDEX('Shopify Import'!$A:$CZ,326,Settings!$E$21)&amp;"","")</f>
        <v/>
      </c>
      <c r="C326">
        <f>IFERROR(INDEX('Shopify Import'!$A:$CZ,326,Settings!$E$22)&amp;"","")</f>
        <v/>
      </c>
      <c r="D326">
        <f>IF(A326="","",IFERROR(VALUE(SUBSTITUTE(SUBSTITUTE(INDEX('Shopify Import'!$A:$CZ,326,Settings!$E$23)&amp;"","$",""),",","")),0))</f>
        <v/>
      </c>
      <c r="E326" s="11">
        <f>IF(A326="","",IFERROR(VALUE(SUBSTITUTE(SUBSTITUTE(INDEX('Shopify Import'!$A:$CZ,326,Settings!$E$24)&amp;"","$",""),",","")),0))</f>
        <v/>
      </c>
      <c r="F326" s="11">
        <f>IF(A326="","",D326*E326)</f>
        <v/>
      </c>
      <c r="G326">
        <f>IF(A326="","",IF(C326="",1,COUNTIF($C$2:$C$1501,C326)))</f>
        <v/>
      </c>
      <c r="H326" s="11">
        <f>IF(A326="","",IFERROR(VALUE(SUBSTITUTE(SUBSTITUTE(INDEX('Shopify Import'!$A:$CZ,326,Settings!$E$25)&amp;"","$",""),",","")),0)/IF(Settings!$D$27="Yes",G326,1))</f>
        <v/>
      </c>
      <c r="I326" s="11">
        <f>IF(A326="","",IFERROR(VALUE(SUBSTITUTE(SUBSTITUTE(INDEX('Shopify Import'!$A:$CZ,326,Settings!$E$26)&amp;"","$",""),",","")),0)/IF(Settings!$D$27="Yes",G326,1))</f>
        <v/>
      </c>
      <c r="J326" s="11">
        <f>IF(A326="","",F326+H326-I326)</f>
        <v/>
      </c>
      <c r="K326">
        <f>IF(A326="","",IFERROR(IF(B326="",NA(),MATCH(B326,Products!$B$5:$B$204,0)),IFERROR(MATCH(A326,Products!$A$5:$A$204,0),"")))</f>
        <v/>
      </c>
      <c r="L326">
        <f>IF(A326="","",IF(K326="","⚠ not in Products",INDEX(Products!$A$5:$A$204,K326)))</f>
        <v/>
      </c>
      <c r="M326" s="11">
        <f>IF(A326="","",J326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326+IFERROR(INDEX(Settings!$D$5:$D$9,MATCH("Shopify",Settings!$A$5:$A$9,0)),0)*D326)</f>
        <v/>
      </c>
      <c r="N326" s="11">
        <f>IF(A326="","",IF(K326="",0,D326*INDEX(Products!$I$5:$I$204,K326)))</f>
        <v/>
      </c>
      <c r="O326" s="11">
        <f>IF(A326="","",IF(K326="",0,J326*INDEX(Products!$H$5:$H$204,K326)))</f>
        <v/>
      </c>
      <c r="P326" s="11">
        <f>IF(A326="","",J326-M326-N326-O326)</f>
        <v/>
      </c>
    </row>
    <row r="327">
      <c r="A327">
        <f>IFERROR(INDEX('Shopify Import'!$A:$CZ,327,Settings!$E$20)&amp;"","")</f>
        <v/>
      </c>
      <c r="B327">
        <f>IFERROR(INDEX('Shopify Import'!$A:$CZ,327,Settings!$E$21)&amp;"","")</f>
        <v/>
      </c>
      <c r="C327">
        <f>IFERROR(INDEX('Shopify Import'!$A:$CZ,327,Settings!$E$22)&amp;"","")</f>
        <v/>
      </c>
      <c r="D327">
        <f>IF(A327="","",IFERROR(VALUE(SUBSTITUTE(SUBSTITUTE(INDEX('Shopify Import'!$A:$CZ,327,Settings!$E$23)&amp;"","$",""),",","")),0))</f>
        <v/>
      </c>
      <c r="E327" s="11">
        <f>IF(A327="","",IFERROR(VALUE(SUBSTITUTE(SUBSTITUTE(INDEX('Shopify Import'!$A:$CZ,327,Settings!$E$24)&amp;"","$",""),",","")),0))</f>
        <v/>
      </c>
      <c r="F327" s="11">
        <f>IF(A327="","",D327*E327)</f>
        <v/>
      </c>
      <c r="G327">
        <f>IF(A327="","",IF(C327="",1,COUNTIF($C$2:$C$1501,C327)))</f>
        <v/>
      </c>
      <c r="H327" s="11">
        <f>IF(A327="","",IFERROR(VALUE(SUBSTITUTE(SUBSTITUTE(INDEX('Shopify Import'!$A:$CZ,327,Settings!$E$25)&amp;"","$",""),",","")),0)/IF(Settings!$D$27="Yes",G327,1))</f>
        <v/>
      </c>
      <c r="I327" s="11">
        <f>IF(A327="","",IFERROR(VALUE(SUBSTITUTE(SUBSTITUTE(INDEX('Shopify Import'!$A:$CZ,327,Settings!$E$26)&amp;"","$",""),",","")),0)/IF(Settings!$D$27="Yes",G327,1))</f>
        <v/>
      </c>
      <c r="J327" s="11">
        <f>IF(A327="","",F327+H327-I327)</f>
        <v/>
      </c>
      <c r="K327">
        <f>IF(A327="","",IFERROR(IF(B327="",NA(),MATCH(B327,Products!$B$5:$B$204,0)),IFERROR(MATCH(A327,Products!$A$5:$A$204,0),"")))</f>
        <v/>
      </c>
      <c r="L327">
        <f>IF(A327="","",IF(K327="","⚠ not in Products",INDEX(Products!$A$5:$A$204,K327)))</f>
        <v/>
      </c>
      <c r="M327" s="11">
        <f>IF(A327="","",J327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327+IFERROR(INDEX(Settings!$D$5:$D$9,MATCH("Shopify",Settings!$A$5:$A$9,0)),0)*D327)</f>
        <v/>
      </c>
      <c r="N327" s="11">
        <f>IF(A327="","",IF(K327="",0,D327*INDEX(Products!$I$5:$I$204,K327)))</f>
        <v/>
      </c>
      <c r="O327" s="11">
        <f>IF(A327="","",IF(K327="",0,J327*INDEX(Products!$H$5:$H$204,K327)))</f>
        <v/>
      </c>
      <c r="P327" s="11">
        <f>IF(A327="","",J327-M327-N327-O327)</f>
        <v/>
      </c>
    </row>
    <row r="328">
      <c r="A328">
        <f>IFERROR(INDEX('Shopify Import'!$A:$CZ,328,Settings!$E$20)&amp;"","")</f>
        <v/>
      </c>
      <c r="B328">
        <f>IFERROR(INDEX('Shopify Import'!$A:$CZ,328,Settings!$E$21)&amp;"","")</f>
        <v/>
      </c>
      <c r="C328">
        <f>IFERROR(INDEX('Shopify Import'!$A:$CZ,328,Settings!$E$22)&amp;"","")</f>
        <v/>
      </c>
      <c r="D328">
        <f>IF(A328="","",IFERROR(VALUE(SUBSTITUTE(SUBSTITUTE(INDEX('Shopify Import'!$A:$CZ,328,Settings!$E$23)&amp;"","$",""),",","")),0))</f>
        <v/>
      </c>
      <c r="E328" s="11">
        <f>IF(A328="","",IFERROR(VALUE(SUBSTITUTE(SUBSTITUTE(INDEX('Shopify Import'!$A:$CZ,328,Settings!$E$24)&amp;"","$",""),",","")),0))</f>
        <v/>
      </c>
      <c r="F328" s="11">
        <f>IF(A328="","",D328*E328)</f>
        <v/>
      </c>
      <c r="G328">
        <f>IF(A328="","",IF(C328="",1,COUNTIF($C$2:$C$1501,C328)))</f>
        <v/>
      </c>
      <c r="H328" s="11">
        <f>IF(A328="","",IFERROR(VALUE(SUBSTITUTE(SUBSTITUTE(INDEX('Shopify Import'!$A:$CZ,328,Settings!$E$25)&amp;"","$",""),",","")),0)/IF(Settings!$D$27="Yes",G328,1))</f>
        <v/>
      </c>
      <c r="I328" s="11">
        <f>IF(A328="","",IFERROR(VALUE(SUBSTITUTE(SUBSTITUTE(INDEX('Shopify Import'!$A:$CZ,328,Settings!$E$26)&amp;"","$",""),",","")),0)/IF(Settings!$D$27="Yes",G328,1))</f>
        <v/>
      </c>
      <c r="J328" s="11">
        <f>IF(A328="","",F328+H328-I328)</f>
        <v/>
      </c>
      <c r="K328">
        <f>IF(A328="","",IFERROR(IF(B328="",NA(),MATCH(B328,Products!$B$5:$B$204,0)),IFERROR(MATCH(A328,Products!$A$5:$A$204,0),"")))</f>
        <v/>
      </c>
      <c r="L328">
        <f>IF(A328="","",IF(K328="","⚠ not in Products",INDEX(Products!$A$5:$A$204,K328)))</f>
        <v/>
      </c>
      <c r="M328" s="11">
        <f>IF(A328="","",J328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328+IFERROR(INDEX(Settings!$D$5:$D$9,MATCH("Shopify",Settings!$A$5:$A$9,0)),0)*D328)</f>
        <v/>
      </c>
      <c r="N328" s="11">
        <f>IF(A328="","",IF(K328="",0,D328*INDEX(Products!$I$5:$I$204,K328)))</f>
        <v/>
      </c>
      <c r="O328" s="11">
        <f>IF(A328="","",IF(K328="",0,J328*INDEX(Products!$H$5:$H$204,K328)))</f>
        <v/>
      </c>
      <c r="P328" s="11">
        <f>IF(A328="","",J328-M328-N328-O328)</f>
        <v/>
      </c>
    </row>
    <row r="329">
      <c r="A329">
        <f>IFERROR(INDEX('Shopify Import'!$A:$CZ,329,Settings!$E$20)&amp;"","")</f>
        <v/>
      </c>
      <c r="B329">
        <f>IFERROR(INDEX('Shopify Import'!$A:$CZ,329,Settings!$E$21)&amp;"","")</f>
        <v/>
      </c>
      <c r="C329">
        <f>IFERROR(INDEX('Shopify Import'!$A:$CZ,329,Settings!$E$22)&amp;"","")</f>
        <v/>
      </c>
      <c r="D329">
        <f>IF(A329="","",IFERROR(VALUE(SUBSTITUTE(SUBSTITUTE(INDEX('Shopify Import'!$A:$CZ,329,Settings!$E$23)&amp;"","$",""),",","")),0))</f>
        <v/>
      </c>
      <c r="E329" s="11">
        <f>IF(A329="","",IFERROR(VALUE(SUBSTITUTE(SUBSTITUTE(INDEX('Shopify Import'!$A:$CZ,329,Settings!$E$24)&amp;"","$",""),",","")),0))</f>
        <v/>
      </c>
      <c r="F329" s="11">
        <f>IF(A329="","",D329*E329)</f>
        <v/>
      </c>
      <c r="G329">
        <f>IF(A329="","",IF(C329="",1,COUNTIF($C$2:$C$1501,C329)))</f>
        <v/>
      </c>
      <c r="H329" s="11">
        <f>IF(A329="","",IFERROR(VALUE(SUBSTITUTE(SUBSTITUTE(INDEX('Shopify Import'!$A:$CZ,329,Settings!$E$25)&amp;"","$",""),",","")),0)/IF(Settings!$D$27="Yes",G329,1))</f>
        <v/>
      </c>
      <c r="I329" s="11">
        <f>IF(A329="","",IFERROR(VALUE(SUBSTITUTE(SUBSTITUTE(INDEX('Shopify Import'!$A:$CZ,329,Settings!$E$26)&amp;"","$",""),",","")),0)/IF(Settings!$D$27="Yes",G329,1))</f>
        <v/>
      </c>
      <c r="J329" s="11">
        <f>IF(A329="","",F329+H329-I329)</f>
        <v/>
      </c>
      <c r="K329">
        <f>IF(A329="","",IFERROR(IF(B329="",NA(),MATCH(B329,Products!$B$5:$B$204,0)),IFERROR(MATCH(A329,Products!$A$5:$A$204,0),"")))</f>
        <v/>
      </c>
      <c r="L329">
        <f>IF(A329="","",IF(K329="","⚠ not in Products",INDEX(Products!$A$5:$A$204,K329)))</f>
        <v/>
      </c>
      <c r="M329" s="11">
        <f>IF(A329="","",J329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329+IFERROR(INDEX(Settings!$D$5:$D$9,MATCH("Shopify",Settings!$A$5:$A$9,0)),0)*D329)</f>
        <v/>
      </c>
      <c r="N329" s="11">
        <f>IF(A329="","",IF(K329="",0,D329*INDEX(Products!$I$5:$I$204,K329)))</f>
        <v/>
      </c>
      <c r="O329" s="11">
        <f>IF(A329="","",IF(K329="",0,J329*INDEX(Products!$H$5:$H$204,K329)))</f>
        <v/>
      </c>
      <c r="P329" s="11">
        <f>IF(A329="","",J329-M329-N329-O329)</f>
        <v/>
      </c>
    </row>
    <row r="330">
      <c r="A330">
        <f>IFERROR(INDEX('Shopify Import'!$A:$CZ,330,Settings!$E$20)&amp;"","")</f>
        <v/>
      </c>
      <c r="B330">
        <f>IFERROR(INDEX('Shopify Import'!$A:$CZ,330,Settings!$E$21)&amp;"","")</f>
        <v/>
      </c>
      <c r="C330">
        <f>IFERROR(INDEX('Shopify Import'!$A:$CZ,330,Settings!$E$22)&amp;"","")</f>
        <v/>
      </c>
      <c r="D330">
        <f>IF(A330="","",IFERROR(VALUE(SUBSTITUTE(SUBSTITUTE(INDEX('Shopify Import'!$A:$CZ,330,Settings!$E$23)&amp;"","$",""),",","")),0))</f>
        <v/>
      </c>
      <c r="E330" s="11">
        <f>IF(A330="","",IFERROR(VALUE(SUBSTITUTE(SUBSTITUTE(INDEX('Shopify Import'!$A:$CZ,330,Settings!$E$24)&amp;"","$",""),",","")),0))</f>
        <v/>
      </c>
      <c r="F330" s="11">
        <f>IF(A330="","",D330*E330)</f>
        <v/>
      </c>
      <c r="G330">
        <f>IF(A330="","",IF(C330="",1,COUNTIF($C$2:$C$1501,C330)))</f>
        <v/>
      </c>
      <c r="H330" s="11">
        <f>IF(A330="","",IFERROR(VALUE(SUBSTITUTE(SUBSTITUTE(INDEX('Shopify Import'!$A:$CZ,330,Settings!$E$25)&amp;"","$",""),",","")),0)/IF(Settings!$D$27="Yes",G330,1))</f>
        <v/>
      </c>
      <c r="I330" s="11">
        <f>IF(A330="","",IFERROR(VALUE(SUBSTITUTE(SUBSTITUTE(INDEX('Shopify Import'!$A:$CZ,330,Settings!$E$26)&amp;"","$",""),",","")),0)/IF(Settings!$D$27="Yes",G330,1))</f>
        <v/>
      </c>
      <c r="J330" s="11">
        <f>IF(A330="","",F330+H330-I330)</f>
        <v/>
      </c>
      <c r="K330">
        <f>IF(A330="","",IFERROR(IF(B330="",NA(),MATCH(B330,Products!$B$5:$B$204,0)),IFERROR(MATCH(A330,Products!$A$5:$A$204,0),"")))</f>
        <v/>
      </c>
      <c r="L330">
        <f>IF(A330="","",IF(K330="","⚠ not in Products",INDEX(Products!$A$5:$A$204,K330)))</f>
        <v/>
      </c>
      <c r="M330" s="11">
        <f>IF(A330="","",J330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330+IFERROR(INDEX(Settings!$D$5:$D$9,MATCH("Shopify",Settings!$A$5:$A$9,0)),0)*D330)</f>
        <v/>
      </c>
      <c r="N330" s="11">
        <f>IF(A330="","",IF(K330="",0,D330*INDEX(Products!$I$5:$I$204,K330)))</f>
        <v/>
      </c>
      <c r="O330" s="11">
        <f>IF(A330="","",IF(K330="",0,J330*INDEX(Products!$H$5:$H$204,K330)))</f>
        <v/>
      </c>
      <c r="P330" s="11">
        <f>IF(A330="","",J330-M330-N330-O330)</f>
        <v/>
      </c>
    </row>
    <row r="331">
      <c r="A331">
        <f>IFERROR(INDEX('Shopify Import'!$A:$CZ,331,Settings!$E$20)&amp;"","")</f>
        <v/>
      </c>
      <c r="B331">
        <f>IFERROR(INDEX('Shopify Import'!$A:$CZ,331,Settings!$E$21)&amp;"","")</f>
        <v/>
      </c>
      <c r="C331">
        <f>IFERROR(INDEX('Shopify Import'!$A:$CZ,331,Settings!$E$22)&amp;"","")</f>
        <v/>
      </c>
      <c r="D331">
        <f>IF(A331="","",IFERROR(VALUE(SUBSTITUTE(SUBSTITUTE(INDEX('Shopify Import'!$A:$CZ,331,Settings!$E$23)&amp;"","$",""),",","")),0))</f>
        <v/>
      </c>
      <c r="E331" s="11">
        <f>IF(A331="","",IFERROR(VALUE(SUBSTITUTE(SUBSTITUTE(INDEX('Shopify Import'!$A:$CZ,331,Settings!$E$24)&amp;"","$",""),",","")),0))</f>
        <v/>
      </c>
      <c r="F331" s="11">
        <f>IF(A331="","",D331*E331)</f>
        <v/>
      </c>
      <c r="G331">
        <f>IF(A331="","",IF(C331="",1,COUNTIF($C$2:$C$1501,C331)))</f>
        <v/>
      </c>
      <c r="H331" s="11">
        <f>IF(A331="","",IFERROR(VALUE(SUBSTITUTE(SUBSTITUTE(INDEX('Shopify Import'!$A:$CZ,331,Settings!$E$25)&amp;"","$",""),",","")),0)/IF(Settings!$D$27="Yes",G331,1))</f>
        <v/>
      </c>
      <c r="I331" s="11">
        <f>IF(A331="","",IFERROR(VALUE(SUBSTITUTE(SUBSTITUTE(INDEX('Shopify Import'!$A:$CZ,331,Settings!$E$26)&amp;"","$",""),",","")),0)/IF(Settings!$D$27="Yes",G331,1))</f>
        <v/>
      </c>
      <c r="J331" s="11">
        <f>IF(A331="","",F331+H331-I331)</f>
        <v/>
      </c>
      <c r="K331">
        <f>IF(A331="","",IFERROR(IF(B331="",NA(),MATCH(B331,Products!$B$5:$B$204,0)),IFERROR(MATCH(A331,Products!$A$5:$A$204,0),"")))</f>
        <v/>
      </c>
      <c r="L331">
        <f>IF(A331="","",IF(K331="","⚠ not in Products",INDEX(Products!$A$5:$A$204,K331)))</f>
        <v/>
      </c>
      <c r="M331" s="11">
        <f>IF(A331="","",J331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331+IFERROR(INDEX(Settings!$D$5:$D$9,MATCH("Shopify",Settings!$A$5:$A$9,0)),0)*D331)</f>
        <v/>
      </c>
      <c r="N331" s="11">
        <f>IF(A331="","",IF(K331="",0,D331*INDEX(Products!$I$5:$I$204,K331)))</f>
        <v/>
      </c>
      <c r="O331" s="11">
        <f>IF(A331="","",IF(K331="",0,J331*INDEX(Products!$H$5:$H$204,K331)))</f>
        <v/>
      </c>
      <c r="P331" s="11">
        <f>IF(A331="","",J331-M331-N331-O331)</f>
        <v/>
      </c>
    </row>
    <row r="332">
      <c r="A332">
        <f>IFERROR(INDEX('Shopify Import'!$A:$CZ,332,Settings!$E$20)&amp;"","")</f>
        <v/>
      </c>
      <c r="B332">
        <f>IFERROR(INDEX('Shopify Import'!$A:$CZ,332,Settings!$E$21)&amp;"","")</f>
        <v/>
      </c>
      <c r="C332">
        <f>IFERROR(INDEX('Shopify Import'!$A:$CZ,332,Settings!$E$22)&amp;"","")</f>
        <v/>
      </c>
      <c r="D332">
        <f>IF(A332="","",IFERROR(VALUE(SUBSTITUTE(SUBSTITUTE(INDEX('Shopify Import'!$A:$CZ,332,Settings!$E$23)&amp;"","$",""),",","")),0))</f>
        <v/>
      </c>
      <c r="E332" s="11">
        <f>IF(A332="","",IFERROR(VALUE(SUBSTITUTE(SUBSTITUTE(INDEX('Shopify Import'!$A:$CZ,332,Settings!$E$24)&amp;"","$",""),",","")),0))</f>
        <v/>
      </c>
      <c r="F332" s="11">
        <f>IF(A332="","",D332*E332)</f>
        <v/>
      </c>
      <c r="G332">
        <f>IF(A332="","",IF(C332="",1,COUNTIF($C$2:$C$1501,C332)))</f>
        <v/>
      </c>
      <c r="H332" s="11">
        <f>IF(A332="","",IFERROR(VALUE(SUBSTITUTE(SUBSTITUTE(INDEX('Shopify Import'!$A:$CZ,332,Settings!$E$25)&amp;"","$",""),",","")),0)/IF(Settings!$D$27="Yes",G332,1))</f>
        <v/>
      </c>
      <c r="I332" s="11">
        <f>IF(A332="","",IFERROR(VALUE(SUBSTITUTE(SUBSTITUTE(INDEX('Shopify Import'!$A:$CZ,332,Settings!$E$26)&amp;"","$",""),",","")),0)/IF(Settings!$D$27="Yes",G332,1))</f>
        <v/>
      </c>
      <c r="J332" s="11">
        <f>IF(A332="","",F332+H332-I332)</f>
        <v/>
      </c>
      <c r="K332">
        <f>IF(A332="","",IFERROR(IF(B332="",NA(),MATCH(B332,Products!$B$5:$B$204,0)),IFERROR(MATCH(A332,Products!$A$5:$A$204,0),"")))</f>
        <v/>
      </c>
      <c r="L332">
        <f>IF(A332="","",IF(K332="","⚠ not in Products",INDEX(Products!$A$5:$A$204,K332)))</f>
        <v/>
      </c>
      <c r="M332" s="11">
        <f>IF(A332="","",J332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332+IFERROR(INDEX(Settings!$D$5:$D$9,MATCH("Shopify",Settings!$A$5:$A$9,0)),0)*D332)</f>
        <v/>
      </c>
      <c r="N332" s="11">
        <f>IF(A332="","",IF(K332="",0,D332*INDEX(Products!$I$5:$I$204,K332)))</f>
        <v/>
      </c>
      <c r="O332" s="11">
        <f>IF(A332="","",IF(K332="",0,J332*INDEX(Products!$H$5:$H$204,K332)))</f>
        <v/>
      </c>
      <c r="P332" s="11">
        <f>IF(A332="","",J332-M332-N332-O332)</f>
        <v/>
      </c>
    </row>
    <row r="333">
      <c r="A333">
        <f>IFERROR(INDEX('Shopify Import'!$A:$CZ,333,Settings!$E$20)&amp;"","")</f>
        <v/>
      </c>
      <c r="B333">
        <f>IFERROR(INDEX('Shopify Import'!$A:$CZ,333,Settings!$E$21)&amp;"","")</f>
        <v/>
      </c>
      <c r="C333">
        <f>IFERROR(INDEX('Shopify Import'!$A:$CZ,333,Settings!$E$22)&amp;"","")</f>
        <v/>
      </c>
      <c r="D333">
        <f>IF(A333="","",IFERROR(VALUE(SUBSTITUTE(SUBSTITUTE(INDEX('Shopify Import'!$A:$CZ,333,Settings!$E$23)&amp;"","$",""),",","")),0))</f>
        <v/>
      </c>
      <c r="E333" s="11">
        <f>IF(A333="","",IFERROR(VALUE(SUBSTITUTE(SUBSTITUTE(INDEX('Shopify Import'!$A:$CZ,333,Settings!$E$24)&amp;"","$",""),",","")),0))</f>
        <v/>
      </c>
      <c r="F333" s="11">
        <f>IF(A333="","",D333*E333)</f>
        <v/>
      </c>
      <c r="G333">
        <f>IF(A333="","",IF(C333="",1,COUNTIF($C$2:$C$1501,C333)))</f>
        <v/>
      </c>
      <c r="H333" s="11">
        <f>IF(A333="","",IFERROR(VALUE(SUBSTITUTE(SUBSTITUTE(INDEX('Shopify Import'!$A:$CZ,333,Settings!$E$25)&amp;"","$",""),",","")),0)/IF(Settings!$D$27="Yes",G333,1))</f>
        <v/>
      </c>
      <c r="I333" s="11">
        <f>IF(A333="","",IFERROR(VALUE(SUBSTITUTE(SUBSTITUTE(INDEX('Shopify Import'!$A:$CZ,333,Settings!$E$26)&amp;"","$",""),",","")),0)/IF(Settings!$D$27="Yes",G333,1))</f>
        <v/>
      </c>
      <c r="J333" s="11">
        <f>IF(A333="","",F333+H333-I333)</f>
        <v/>
      </c>
      <c r="K333">
        <f>IF(A333="","",IFERROR(IF(B333="",NA(),MATCH(B333,Products!$B$5:$B$204,0)),IFERROR(MATCH(A333,Products!$A$5:$A$204,0),"")))</f>
        <v/>
      </c>
      <c r="L333">
        <f>IF(A333="","",IF(K333="","⚠ not in Products",INDEX(Products!$A$5:$A$204,K333)))</f>
        <v/>
      </c>
      <c r="M333" s="11">
        <f>IF(A333="","",J333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333+IFERROR(INDEX(Settings!$D$5:$D$9,MATCH("Shopify",Settings!$A$5:$A$9,0)),0)*D333)</f>
        <v/>
      </c>
      <c r="N333" s="11">
        <f>IF(A333="","",IF(K333="",0,D333*INDEX(Products!$I$5:$I$204,K333)))</f>
        <v/>
      </c>
      <c r="O333" s="11">
        <f>IF(A333="","",IF(K333="",0,J333*INDEX(Products!$H$5:$H$204,K333)))</f>
        <v/>
      </c>
      <c r="P333" s="11">
        <f>IF(A333="","",J333-M333-N333-O333)</f>
        <v/>
      </c>
    </row>
    <row r="334">
      <c r="A334">
        <f>IFERROR(INDEX('Shopify Import'!$A:$CZ,334,Settings!$E$20)&amp;"","")</f>
        <v/>
      </c>
      <c r="B334">
        <f>IFERROR(INDEX('Shopify Import'!$A:$CZ,334,Settings!$E$21)&amp;"","")</f>
        <v/>
      </c>
      <c r="C334">
        <f>IFERROR(INDEX('Shopify Import'!$A:$CZ,334,Settings!$E$22)&amp;"","")</f>
        <v/>
      </c>
      <c r="D334">
        <f>IF(A334="","",IFERROR(VALUE(SUBSTITUTE(SUBSTITUTE(INDEX('Shopify Import'!$A:$CZ,334,Settings!$E$23)&amp;"","$",""),",","")),0))</f>
        <v/>
      </c>
      <c r="E334" s="11">
        <f>IF(A334="","",IFERROR(VALUE(SUBSTITUTE(SUBSTITUTE(INDEX('Shopify Import'!$A:$CZ,334,Settings!$E$24)&amp;"","$",""),",","")),0))</f>
        <v/>
      </c>
      <c r="F334" s="11">
        <f>IF(A334="","",D334*E334)</f>
        <v/>
      </c>
      <c r="G334">
        <f>IF(A334="","",IF(C334="",1,COUNTIF($C$2:$C$1501,C334)))</f>
        <v/>
      </c>
      <c r="H334" s="11">
        <f>IF(A334="","",IFERROR(VALUE(SUBSTITUTE(SUBSTITUTE(INDEX('Shopify Import'!$A:$CZ,334,Settings!$E$25)&amp;"","$",""),",","")),0)/IF(Settings!$D$27="Yes",G334,1))</f>
        <v/>
      </c>
      <c r="I334" s="11">
        <f>IF(A334="","",IFERROR(VALUE(SUBSTITUTE(SUBSTITUTE(INDEX('Shopify Import'!$A:$CZ,334,Settings!$E$26)&amp;"","$",""),",","")),0)/IF(Settings!$D$27="Yes",G334,1))</f>
        <v/>
      </c>
      <c r="J334" s="11">
        <f>IF(A334="","",F334+H334-I334)</f>
        <v/>
      </c>
      <c r="K334">
        <f>IF(A334="","",IFERROR(IF(B334="",NA(),MATCH(B334,Products!$B$5:$B$204,0)),IFERROR(MATCH(A334,Products!$A$5:$A$204,0),"")))</f>
        <v/>
      </c>
      <c r="L334">
        <f>IF(A334="","",IF(K334="","⚠ not in Products",INDEX(Products!$A$5:$A$204,K334)))</f>
        <v/>
      </c>
      <c r="M334" s="11">
        <f>IF(A334="","",J334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334+IFERROR(INDEX(Settings!$D$5:$D$9,MATCH("Shopify",Settings!$A$5:$A$9,0)),0)*D334)</f>
        <v/>
      </c>
      <c r="N334" s="11">
        <f>IF(A334="","",IF(K334="",0,D334*INDEX(Products!$I$5:$I$204,K334)))</f>
        <v/>
      </c>
      <c r="O334" s="11">
        <f>IF(A334="","",IF(K334="",0,J334*INDEX(Products!$H$5:$H$204,K334)))</f>
        <v/>
      </c>
      <c r="P334" s="11">
        <f>IF(A334="","",J334-M334-N334-O334)</f>
        <v/>
      </c>
    </row>
    <row r="335">
      <c r="A335">
        <f>IFERROR(INDEX('Shopify Import'!$A:$CZ,335,Settings!$E$20)&amp;"","")</f>
        <v/>
      </c>
      <c r="B335">
        <f>IFERROR(INDEX('Shopify Import'!$A:$CZ,335,Settings!$E$21)&amp;"","")</f>
        <v/>
      </c>
      <c r="C335">
        <f>IFERROR(INDEX('Shopify Import'!$A:$CZ,335,Settings!$E$22)&amp;"","")</f>
        <v/>
      </c>
      <c r="D335">
        <f>IF(A335="","",IFERROR(VALUE(SUBSTITUTE(SUBSTITUTE(INDEX('Shopify Import'!$A:$CZ,335,Settings!$E$23)&amp;"","$",""),",","")),0))</f>
        <v/>
      </c>
      <c r="E335" s="11">
        <f>IF(A335="","",IFERROR(VALUE(SUBSTITUTE(SUBSTITUTE(INDEX('Shopify Import'!$A:$CZ,335,Settings!$E$24)&amp;"","$",""),",","")),0))</f>
        <v/>
      </c>
      <c r="F335" s="11">
        <f>IF(A335="","",D335*E335)</f>
        <v/>
      </c>
      <c r="G335">
        <f>IF(A335="","",IF(C335="",1,COUNTIF($C$2:$C$1501,C335)))</f>
        <v/>
      </c>
      <c r="H335" s="11">
        <f>IF(A335="","",IFERROR(VALUE(SUBSTITUTE(SUBSTITUTE(INDEX('Shopify Import'!$A:$CZ,335,Settings!$E$25)&amp;"","$",""),",","")),0)/IF(Settings!$D$27="Yes",G335,1))</f>
        <v/>
      </c>
      <c r="I335" s="11">
        <f>IF(A335="","",IFERROR(VALUE(SUBSTITUTE(SUBSTITUTE(INDEX('Shopify Import'!$A:$CZ,335,Settings!$E$26)&amp;"","$",""),",","")),0)/IF(Settings!$D$27="Yes",G335,1))</f>
        <v/>
      </c>
      <c r="J335" s="11">
        <f>IF(A335="","",F335+H335-I335)</f>
        <v/>
      </c>
      <c r="K335">
        <f>IF(A335="","",IFERROR(IF(B335="",NA(),MATCH(B335,Products!$B$5:$B$204,0)),IFERROR(MATCH(A335,Products!$A$5:$A$204,0),"")))</f>
        <v/>
      </c>
      <c r="L335">
        <f>IF(A335="","",IF(K335="","⚠ not in Products",INDEX(Products!$A$5:$A$204,K335)))</f>
        <v/>
      </c>
      <c r="M335" s="11">
        <f>IF(A335="","",J335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335+IFERROR(INDEX(Settings!$D$5:$D$9,MATCH("Shopify",Settings!$A$5:$A$9,0)),0)*D335)</f>
        <v/>
      </c>
      <c r="N335" s="11">
        <f>IF(A335="","",IF(K335="",0,D335*INDEX(Products!$I$5:$I$204,K335)))</f>
        <v/>
      </c>
      <c r="O335" s="11">
        <f>IF(A335="","",IF(K335="",0,J335*INDEX(Products!$H$5:$H$204,K335)))</f>
        <v/>
      </c>
      <c r="P335" s="11">
        <f>IF(A335="","",J335-M335-N335-O335)</f>
        <v/>
      </c>
    </row>
    <row r="336">
      <c r="A336">
        <f>IFERROR(INDEX('Shopify Import'!$A:$CZ,336,Settings!$E$20)&amp;"","")</f>
        <v/>
      </c>
      <c r="B336">
        <f>IFERROR(INDEX('Shopify Import'!$A:$CZ,336,Settings!$E$21)&amp;"","")</f>
        <v/>
      </c>
      <c r="C336">
        <f>IFERROR(INDEX('Shopify Import'!$A:$CZ,336,Settings!$E$22)&amp;"","")</f>
        <v/>
      </c>
      <c r="D336">
        <f>IF(A336="","",IFERROR(VALUE(SUBSTITUTE(SUBSTITUTE(INDEX('Shopify Import'!$A:$CZ,336,Settings!$E$23)&amp;"","$",""),",","")),0))</f>
        <v/>
      </c>
      <c r="E336" s="11">
        <f>IF(A336="","",IFERROR(VALUE(SUBSTITUTE(SUBSTITUTE(INDEX('Shopify Import'!$A:$CZ,336,Settings!$E$24)&amp;"","$",""),",","")),0))</f>
        <v/>
      </c>
      <c r="F336" s="11">
        <f>IF(A336="","",D336*E336)</f>
        <v/>
      </c>
      <c r="G336">
        <f>IF(A336="","",IF(C336="",1,COUNTIF($C$2:$C$1501,C336)))</f>
        <v/>
      </c>
      <c r="H336" s="11">
        <f>IF(A336="","",IFERROR(VALUE(SUBSTITUTE(SUBSTITUTE(INDEX('Shopify Import'!$A:$CZ,336,Settings!$E$25)&amp;"","$",""),",","")),0)/IF(Settings!$D$27="Yes",G336,1))</f>
        <v/>
      </c>
      <c r="I336" s="11">
        <f>IF(A336="","",IFERROR(VALUE(SUBSTITUTE(SUBSTITUTE(INDEX('Shopify Import'!$A:$CZ,336,Settings!$E$26)&amp;"","$",""),",","")),0)/IF(Settings!$D$27="Yes",G336,1))</f>
        <v/>
      </c>
      <c r="J336" s="11">
        <f>IF(A336="","",F336+H336-I336)</f>
        <v/>
      </c>
      <c r="K336">
        <f>IF(A336="","",IFERROR(IF(B336="",NA(),MATCH(B336,Products!$B$5:$B$204,0)),IFERROR(MATCH(A336,Products!$A$5:$A$204,0),"")))</f>
        <v/>
      </c>
      <c r="L336">
        <f>IF(A336="","",IF(K336="","⚠ not in Products",INDEX(Products!$A$5:$A$204,K336)))</f>
        <v/>
      </c>
      <c r="M336" s="11">
        <f>IF(A336="","",J336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336+IFERROR(INDEX(Settings!$D$5:$D$9,MATCH("Shopify",Settings!$A$5:$A$9,0)),0)*D336)</f>
        <v/>
      </c>
      <c r="N336" s="11">
        <f>IF(A336="","",IF(K336="",0,D336*INDEX(Products!$I$5:$I$204,K336)))</f>
        <v/>
      </c>
      <c r="O336" s="11">
        <f>IF(A336="","",IF(K336="",0,J336*INDEX(Products!$H$5:$H$204,K336)))</f>
        <v/>
      </c>
      <c r="P336" s="11">
        <f>IF(A336="","",J336-M336-N336-O336)</f>
        <v/>
      </c>
    </row>
    <row r="337">
      <c r="A337">
        <f>IFERROR(INDEX('Shopify Import'!$A:$CZ,337,Settings!$E$20)&amp;"","")</f>
        <v/>
      </c>
      <c r="B337">
        <f>IFERROR(INDEX('Shopify Import'!$A:$CZ,337,Settings!$E$21)&amp;"","")</f>
        <v/>
      </c>
      <c r="C337">
        <f>IFERROR(INDEX('Shopify Import'!$A:$CZ,337,Settings!$E$22)&amp;"","")</f>
        <v/>
      </c>
      <c r="D337">
        <f>IF(A337="","",IFERROR(VALUE(SUBSTITUTE(SUBSTITUTE(INDEX('Shopify Import'!$A:$CZ,337,Settings!$E$23)&amp;"","$",""),",","")),0))</f>
        <v/>
      </c>
      <c r="E337" s="11">
        <f>IF(A337="","",IFERROR(VALUE(SUBSTITUTE(SUBSTITUTE(INDEX('Shopify Import'!$A:$CZ,337,Settings!$E$24)&amp;"","$",""),",","")),0))</f>
        <v/>
      </c>
      <c r="F337" s="11">
        <f>IF(A337="","",D337*E337)</f>
        <v/>
      </c>
      <c r="G337">
        <f>IF(A337="","",IF(C337="",1,COUNTIF($C$2:$C$1501,C337)))</f>
        <v/>
      </c>
      <c r="H337" s="11">
        <f>IF(A337="","",IFERROR(VALUE(SUBSTITUTE(SUBSTITUTE(INDEX('Shopify Import'!$A:$CZ,337,Settings!$E$25)&amp;"","$",""),",","")),0)/IF(Settings!$D$27="Yes",G337,1))</f>
        <v/>
      </c>
      <c r="I337" s="11">
        <f>IF(A337="","",IFERROR(VALUE(SUBSTITUTE(SUBSTITUTE(INDEX('Shopify Import'!$A:$CZ,337,Settings!$E$26)&amp;"","$",""),",","")),0)/IF(Settings!$D$27="Yes",G337,1))</f>
        <v/>
      </c>
      <c r="J337" s="11">
        <f>IF(A337="","",F337+H337-I337)</f>
        <v/>
      </c>
      <c r="K337">
        <f>IF(A337="","",IFERROR(IF(B337="",NA(),MATCH(B337,Products!$B$5:$B$204,0)),IFERROR(MATCH(A337,Products!$A$5:$A$204,0),"")))</f>
        <v/>
      </c>
      <c r="L337">
        <f>IF(A337="","",IF(K337="","⚠ not in Products",INDEX(Products!$A$5:$A$204,K337)))</f>
        <v/>
      </c>
      <c r="M337" s="11">
        <f>IF(A337="","",J337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337+IFERROR(INDEX(Settings!$D$5:$D$9,MATCH("Shopify",Settings!$A$5:$A$9,0)),0)*D337)</f>
        <v/>
      </c>
      <c r="N337" s="11">
        <f>IF(A337="","",IF(K337="",0,D337*INDEX(Products!$I$5:$I$204,K337)))</f>
        <v/>
      </c>
      <c r="O337" s="11">
        <f>IF(A337="","",IF(K337="",0,J337*INDEX(Products!$H$5:$H$204,K337)))</f>
        <v/>
      </c>
      <c r="P337" s="11">
        <f>IF(A337="","",J337-M337-N337-O337)</f>
        <v/>
      </c>
    </row>
    <row r="338">
      <c r="A338">
        <f>IFERROR(INDEX('Shopify Import'!$A:$CZ,338,Settings!$E$20)&amp;"","")</f>
        <v/>
      </c>
      <c r="B338">
        <f>IFERROR(INDEX('Shopify Import'!$A:$CZ,338,Settings!$E$21)&amp;"","")</f>
        <v/>
      </c>
      <c r="C338">
        <f>IFERROR(INDEX('Shopify Import'!$A:$CZ,338,Settings!$E$22)&amp;"","")</f>
        <v/>
      </c>
      <c r="D338">
        <f>IF(A338="","",IFERROR(VALUE(SUBSTITUTE(SUBSTITUTE(INDEX('Shopify Import'!$A:$CZ,338,Settings!$E$23)&amp;"","$",""),",","")),0))</f>
        <v/>
      </c>
      <c r="E338" s="11">
        <f>IF(A338="","",IFERROR(VALUE(SUBSTITUTE(SUBSTITUTE(INDEX('Shopify Import'!$A:$CZ,338,Settings!$E$24)&amp;"","$",""),",","")),0))</f>
        <v/>
      </c>
      <c r="F338" s="11">
        <f>IF(A338="","",D338*E338)</f>
        <v/>
      </c>
      <c r="G338">
        <f>IF(A338="","",IF(C338="",1,COUNTIF($C$2:$C$1501,C338)))</f>
        <v/>
      </c>
      <c r="H338" s="11">
        <f>IF(A338="","",IFERROR(VALUE(SUBSTITUTE(SUBSTITUTE(INDEX('Shopify Import'!$A:$CZ,338,Settings!$E$25)&amp;"","$",""),",","")),0)/IF(Settings!$D$27="Yes",G338,1))</f>
        <v/>
      </c>
      <c r="I338" s="11">
        <f>IF(A338="","",IFERROR(VALUE(SUBSTITUTE(SUBSTITUTE(INDEX('Shopify Import'!$A:$CZ,338,Settings!$E$26)&amp;"","$",""),",","")),0)/IF(Settings!$D$27="Yes",G338,1))</f>
        <v/>
      </c>
      <c r="J338" s="11">
        <f>IF(A338="","",F338+H338-I338)</f>
        <v/>
      </c>
      <c r="K338">
        <f>IF(A338="","",IFERROR(IF(B338="",NA(),MATCH(B338,Products!$B$5:$B$204,0)),IFERROR(MATCH(A338,Products!$A$5:$A$204,0),"")))</f>
        <v/>
      </c>
      <c r="L338">
        <f>IF(A338="","",IF(K338="","⚠ not in Products",INDEX(Products!$A$5:$A$204,K338)))</f>
        <v/>
      </c>
      <c r="M338" s="11">
        <f>IF(A338="","",J338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338+IFERROR(INDEX(Settings!$D$5:$D$9,MATCH("Shopify",Settings!$A$5:$A$9,0)),0)*D338)</f>
        <v/>
      </c>
      <c r="N338" s="11">
        <f>IF(A338="","",IF(K338="",0,D338*INDEX(Products!$I$5:$I$204,K338)))</f>
        <v/>
      </c>
      <c r="O338" s="11">
        <f>IF(A338="","",IF(K338="",0,J338*INDEX(Products!$H$5:$H$204,K338)))</f>
        <v/>
      </c>
      <c r="P338" s="11">
        <f>IF(A338="","",J338-M338-N338-O338)</f>
        <v/>
      </c>
    </row>
    <row r="339">
      <c r="A339">
        <f>IFERROR(INDEX('Shopify Import'!$A:$CZ,339,Settings!$E$20)&amp;"","")</f>
        <v/>
      </c>
      <c r="B339">
        <f>IFERROR(INDEX('Shopify Import'!$A:$CZ,339,Settings!$E$21)&amp;"","")</f>
        <v/>
      </c>
      <c r="C339">
        <f>IFERROR(INDEX('Shopify Import'!$A:$CZ,339,Settings!$E$22)&amp;"","")</f>
        <v/>
      </c>
      <c r="D339">
        <f>IF(A339="","",IFERROR(VALUE(SUBSTITUTE(SUBSTITUTE(INDEX('Shopify Import'!$A:$CZ,339,Settings!$E$23)&amp;"","$",""),",","")),0))</f>
        <v/>
      </c>
      <c r="E339" s="11">
        <f>IF(A339="","",IFERROR(VALUE(SUBSTITUTE(SUBSTITUTE(INDEX('Shopify Import'!$A:$CZ,339,Settings!$E$24)&amp;"","$",""),",","")),0))</f>
        <v/>
      </c>
      <c r="F339" s="11">
        <f>IF(A339="","",D339*E339)</f>
        <v/>
      </c>
      <c r="G339">
        <f>IF(A339="","",IF(C339="",1,COUNTIF($C$2:$C$1501,C339)))</f>
        <v/>
      </c>
      <c r="H339" s="11">
        <f>IF(A339="","",IFERROR(VALUE(SUBSTITUTE(SUBSTITUTE(INDEX('Shopify Import'!$A:$CZ,339,Settings!$E$25)&amp;"","$",""),",","")),0)/IF(Settings!$D$27="Yes",G339,1))</f>
        <v/>
      </c>
      <c r="I339" s="11">
        <f>IF(A339="","",IFERROR(VALUE(SUBSTITUTE(SUBSTITUTE(INDEX('Shopify Import'!$A:$CZ,339,Settings!$E$26)&amp;"","$",""),",","")),0)/IF(Settings!$D$27="Yes",G339,1))</f>
        <v/>
      </c>
      <c r="J339" s="11">
        <f>IF(A339="","",F339+H339-I339)</f>
        <v/>
      </c>
      <c r="K339">
        <f>IF(A339="","",IFERROR(IF(B339="",NA(),MATCH(B339,Products!$B$5:$B$204,0)),IFERROR(MATCH(A339,Products!$A$5:$A$204,0),"")))</f>
        <v/>
      </c>
      <c r="L339">
        <f>IF(A339="","",IF(K339="","⚠ not in Products",INDEX(Products!$A$5:$A$204,K339)))</f>
        <v/>
      </c>
      <c r="M339" s="11">
        <f>IF(A339="","",J339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339+IFERROR(INDEX(Settings!$D$5:$D$9,MATCH("Shopify",Settings!$A$5:$A$9,0)),0)*D339)</f>
        <v/>
      </c>
      <c r="N339" s="11">
        <f>IF(A339="","",IF(K339="",0,D339*INDEX(Products!$I$5:$I$204,K339)))</f>
        <v/>
      </c>
      <c r="O339" s="11">
        <f>IF(A339="","",IF(K339="",0,J339*INDEX(Products!$H$5:$H$204,K339)))</f>
        <v/>
      </c>
      <c r="P339" s="11">
        <f>IF(A339="","",J339-M339-N339-O339)</f>
        <v/>
      </c>
    </row>
    <row r="340">
      <c r="A340">
        <f>IFERROR(INDEX('Shopify Import'!$A:$CZ,340,Settings!$E$20)&amp;"","")</f>
        <v/>
      </c>
      <c r="B340">
        <f>IFERROR(INDEX('Shopify Import'!$A:$CZ,340,Settings!$E$21)&amp;"","")</f>
        <v/>
      </c>
      <c r="C340">
        <f>IFERROR(INDEX('Shopify Import'!$A:$CZ,340,Settings!$E$22)&amp;"","")</f>
        <v/>
      </c>
      <c r="D340">
        <f>IF(A340="","",IFERROR(VALUE(SUBSTITUTE(SUBSTITUTE(INDEX('Shopify Import'!$A:$CZ,340,Settings!$E$23)&amp;"","$",""),",","")),0))</f>
        <v/>
      </c>
      <c r="E340" s="11">
        <f>IF(A340="","",IFERROR(VALUE(SUBSTITUTE(SUBSTITUTE(INDEX('Shopify Import'!$A:$CZ,340,Settings!$E$24)&amp;"","$",""),",","")),0))</f>
        <v/>
      </c>
      <c r="F340" s="11">
        <f>IF(A340="","",D340*E340)</f>
        <v/>
      </c>
      <c r="G340">
        <f>IF(A340="","",IF(C340="",1,COUNTIF($C$2:$C$1501,C340)))</f>
        <v/>
      </c>
      <c r="H340" s="11">
        <f>IF(A340="","",IFERROR(VALUE(SUBSTITUTE(SUBSTITUTE(INDEX('Shopify Import'!$A:$CZ,340,Settings!$E$25)&amp;"","$",""),",","")),0)/IF(Settings!$D$27="Yes",G340,1))</f>
        <v/>
      </c>
      <c r="I340" s="11">
        <f>IF(A340="","",IFERROR(VALUE(SUBSTITUTE(SUBSTITUTE(INDEX('Shopify Import'!$A:$CZ,340,Settings!$E$26)&amp;"","$",""),",","")),0)/IF(Settings!$D$27="Yes",G340,1))</f>
        <v/>
      </c>
      <c r="J340" s="11">
        <f>IF(A340="","",F340+H340-I340)</f>
        <v/>
      </c>
      <c r="K340">
        <f>IF(A340="","",IFERROR(IF(B340="",NA(),MATCH(B340,Products!$B$5:$B$204,0)),IFERROR(MATCH(A340,Products!$A$5:$A$204,0),"")))</f>
        <v/>
      </c>
      <c r="L340">
        <f>IF(A340="","",IF(K340="","⚠ not in Products",INDEX(Products!$A$5:$A$204,K340)))</f>
        <v/>
      </c>
      <c r="M340" s="11">
        <f>IF(A340="","",J340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340+IFERROR(INDEX(Settings!$D$5:$D$9,MATCH("Shopify",Settings!$A$5:$A$9,0)),0)*D340)</f>
        <v/>
      </c>
      <c r="N340" s="11">
        <f>IF(A340="","",IF(K340="",0,D340*INDEX(Products!$I$5:$I$204,K340)))</f>
        <v/>
      </c>
      <c r="O340" s="11">
        <f>IF(A340="","",IF(K340="",0,J340*INDEX(Products!$H$5:$H$204,K340)))</f>
        <v/>
      </c>
      <c r="P340" s="11">
        <f>IF(A340="","",J340-M340-N340-O340)</f>
        <v/>
      </c>
    </row>
    <row r="341">
      <c r="A341">
        <f>IFERROR(INDEX('Shopify Import'!$A:$CZ,341,Settings!$E$20)&amp;"","")</f>
        <v/>
      </c>
      <c r="B341">
        <f>IFERROR(INDEX('Shopify Import'!$A:$CZ,341,Settings!$E$21)&amp;"","")</f>
        <v/>
      </c>
      <c r="C341">
        <f>IFERROR(INDEX('Shopify Import'!$A:$CZ,341,Settings!$E$22)&amp;"","")</f>
        <v/>
      </c>
      <c r="D341">
        <f>IF(A341="","",IFERROR(VALUE(SUBSTITUTE(SUBSTITUTE(INDEX('Shopify Import'!$A:$CZ,341,Settings!$E$23)&amp;"","$",""),",","")),0))</f>
        <v/>
      </c>
      <c r="E341" s="11">
        <f>IF(A341="","",IFERROR(VALUE(SUBSTITUTE(SUBSTITUTE(INDEX('Shopify Import'!$A:$CZ,341,Settings!$E$24)&amp;"","$",""),",","")),0))</f>
        <v/>
      </c>
      <c r="F341" s="11">
        <f>IF(A341="","",D341*E341)</f>
        <v/>
      </c>
      <c r="G341">
        <f>IF(A341="","",IF(C341="",1,COUNTIF($C$2:$C$1501,C341)))</f>
        <v/>
      </c>
      <c r="H341" s="11">
        <f>IF(A341="","",IFERROR(VALUE(SUBSTITUTE(SUBSTITUTE(INDEX('Shopify Import'!$A:$CZ,341,Settings!$E$25)&amp;"","$",""),",","")),0)/IF(Settings!$D$27="Yes",G341,1))</f>
        <v/>
      </c>
      <c r="I341" s="11">
        <f>IF(A341="","",IFERROR(VALUE(SUBSTITUTE(SUBSTITUTE(INDEX('Shopify Import'!$A:$CZ,341,Settings!$E$26)&amp;"","$",""),",","")),0)/IF(Settings!$D$27="Yes",G341,1))</f>
        <v/>
      </c>
      <c r="J341" s="11">
        <f>IF(A341="","",F341+H341-I341)</f>
        <v/>
      </c>
      <c r="K341">
        <f>IF(A341="","",IFERROR(IF(B341="",NA(),MATCH(B341,Products!$B$5:$B$204,0)),IFERROR(MATCH(A341,Products!$A$5:$A$204,0),"")))</f>
        <v/>
      </c>
      <c r="L341">
        <f>IF(A341="","",IF(K341="","⚠ not in Products",INDEX(Products!$A$5:$A$204,K341)))</f>
        <v/>
      </c>
      <c r="M341" s="11">
        <f>IF(A341="","",J341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341+IFERROR(INDEX(Settings!$D$5:$D$9,MATCH("Shopify",Settings!$A$5:$A$9,0)),0)*D341)</f>
        <v/>
      </c>
      <c r="N341" s="11">
        <f>IF(A341="","",IF(K341="",0,D341*INDEX(Products!$I$5:$I$204,K341)))</f>
        <v/>
      </c>
      <c r="O341" s="11">
        <f>IF(A341="","",IF(K341="",0,J341*INDEX(Products!$H$5:$H$204,K341)))</f>
        <v/>
      </c>
      <c r="P341" s="11">
        <f>IF(A341="","",J341-M341-N341-O341)</f>
        <v/>
      </c>
    </row>
    <row r="342">
      <c r="A342">
        <f>IFERROR(INDEX('Shopify Import'!$A:$CZ,342,Settings!$E$20)&amp;"","")</f>
        <v/>
      </c>
      <c r="B342">
        <f>IFERROR(INDEX('Shopify Import'!$A:$CZ,342,Settings!$E$21)&amp;"","")</f>
        <v/>
      </c>
      <c r="C342">
        <f>IFERROR(INDEX('Shopify Import'!$A:$CZ,342,Settings!$E$22)&amp;"","")</f>
        <v/>
      </c>
      <c r="D342">
        <f>IF(A342="","",IFERROR(VALUE(SUBSTITUTE(SUBSTITUTE(INDEX('Shopify Import'!$A:$CZ,342,Settings!$E$23)&amp;"","$",""),",","")),0))</f>
        <v/>
      </c>
      <c r="E342" s="11">
        <f>IF(A342="","",IFERROR(VALUE(SUBSTITUTE(SUBSTITUTE(INDEX('Shopify Import'!$A:$CZ,342,Settings!$E$24)&amp;"","$",""),",","")),0))</f>
        <v/>
      </c>
      <c r="F342" s="11">
        <f>IF(A342="","",D342*E342)</f>
        <v/>
      </c>
      <c r="G342">
        <f>IF(A342="","",IF(C342="",1,COUNTIF($C$2:$C$1501,C342)))</f>
        <v/>
      </c>
      <c r="H342" s="11">
        <f>IF(A342="","",IFERROR(VALUE(SUBSTITUTE(SUBSTITUTE(INDEX('Shopify Import'!$A:$CZ,342,Settings!$E$25)&amp;"","$",""),",","")),0)/IF(Settings!$D$27="Yes",G342,1))</f>
        <v/>
      </c>
      <c r="I342" s="11">
        <f>IF(A342="","",IFERROR(VALUE(SUBSTITUTE(SUBSTITUTE(INDEX('Shopify Import'!$A:$CZ,342,Settings!$E$26)&amp;"","$",""),",","")),0)/IF(Settings!$D$27="Yes",G342,1))</f>
        <v/>
      </c>
      <c r="J342" s="11">
        <f>IF(A342="","",F342+H342-I342)</f>
        <v/>
      </c>
      <c r="K342">
        <f>IF(A342="","",IFERROR(IF(B342="",NA(),MATCH(B342,Products!$B$5:$B$204,0)),IFERROR(MATCH(A342,Products!$A$5:$A$204,0),"")))</f>
        <v/>
      </c>
      <c r="L342">
        <f>IF(A342="","",IF(K342="","⚠ not in Products",INDEX(Products!$A$5:$A$204,K342)))</f>
        <v/>
      </c>
      <c r="M342" s="11">
        <f>IF(A342="","",J342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342+IFERROR(INDEX(Settings!$D$5:$D$9,MATCH("Shopify",Settings!$A$5:$A$9,0)),0)*D342)</f>
        <v/>
      </c>
      <c r="N342" s="11">
        <f>IF(A342="","",IF(K342="",0,D342*INDEX(Products!$I$5:$I$204,K342)))</f>
        <v/>
      </c>
      <c r="O342" s="11">
        <f>IF(A342="","",IF(K342="",0,J342*INDEX(Products!$H$5:$H$204,K342)))</f>
        <v/>
      </c>
      <c r="P342" s="11">
        <f>IF(A342="","",J342-M342-N342-O342)</f>
        <v/>
      </c>
    </row>
    <row r="343">
      <c r="A343">
        <f>IFERROR(INDEX('Shopify Import'!$A:$CZ,343,Settings!$E$20)&amp;"","")</f>
        <v/>
      </c>
      <c r="B343">
        <f>IFERROR(INDEX('Shopify Import'!$A:$CZ,343,Settings!$E$21)&amp;"","")</f>
        <v/>
      </c>
      <c r="C343">
        <f>IFERROR(INDEX('Shopify Import'!$A:$CZ,343,Settings!$E$22)&amp;"","")</f>
        <v/>
      </c>
      <c r="D343">
        <f>IF(A343="","",IFERROR(VALUE(SUBSTITUTE(SUBSTITUTE(INDEX('Shopify Import'!$A:$CZ,343,Settings!$E$23)&amp;"","$",""),",","")),0))</f>
        <v/>
      </c>
      <c r="E343" s="11">
        <f>IF(A343="","",IFERROR(VALUE(SUBSTITUTE(SUBSTITUTE(INDEX('Shopify Import'!$A:$CZ,343,Settings!$E$24)&amp;"","$",""),",","")),0))</f>
        <v/>
      </c>
      <c r="F343" s="11">
        <f>IF(A343="","",D343*E343)</f>
        <v/>
      </c>
      <c r="G343">
        <f>IF(A343="","",IF(C343="",1,COUNTIF($C$2:$C$1501,C343)))</f>
        <v/>
      </c>
      <c r="H343" s="11">
        <f>IF(A343="","",IFERROR(VALUE(SUBSTITUTE(SUBSTITUTE(INDEX('Shopify Import'!$A:$CZ,343,Settings!$E$25)&amp;"","$",""),",","")),0)/IF(Settings!$D$27="Yes",G343,1))</f>
        <v/>
      </c>
      <c r="I343" s="11">
        <f>IF(A343="","",IFERROR(VALUE(SUBSTITUTE(SUBSTITUTE(INDEX('Shopify Import'!$A:$CZ,343,Settings!$E$26)&amp;"","$",""),",","")),0)/IF(Settings!$D$27="Yes",G343,1))</f>
        <v/>
      </c>
      <c r="J343" s="11">
        <f>IF(A343="","",F343+H343-I343)</f>
        <v/>
      </c>
      <c r="K343">
        <f>IF(A343="","",IFERROR(IF(B343="",NA(),MATCH(B343,Products!$B$5:$B$204,0)),IFERROR(MATCH(A343,Products!$A$5:$A$204,0),"")))</f>
        <v/>
      </c>
      <c r="L343">
        <f>IF(A343="","",IF(K343="","⚠ not in Products",INDEX(Products!$A$5:$A$204,K343)))</f>
        <v/>
      </c>
      <c r="M343" s="11">
        <f>IF(A343="","",J343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343+IFERROR(INDEX(Settings!$D$5:$D$9,MATCH("Shopify",Settings!$A$5:$A$9,0)),0)*D343)</f>
        <v/>
      </c>
      <c r="N343" s="11">
        <f>IF(A343="","",IF(K343="",0,D343*INDEX(Products!$I$5:$I$204,K343)))</f>
        <v/>
      </c>
      <c r="O343" s="11">
        <f>IF(A343="","",IF(K343="",0,J343*INDEX(Products!$H$5:$H$204,K343)))</f>
        <v/>
      </c>
      <c r="P343" s="11">
        <f>IF(A343="","",J343-M343-N343-O343)</f>
        <v/>
      </c>
    </row>
    <row r="344">
      <c r="A344">
        <f>IFERROR(INDEX('Shopify Import'!$A:$CZ,344,Settings!$E$20)&amp;"","")</f>
        <v/>
      </c>
      <c r="B344">
        <f>IFERROR(INDEX('Shopify Import'!$A:$CZ,344,Settings!$E$21)&amp;"","")</f>
        <v/>
      </c>
      <c r="C344">
        <f>IFERROR(INDEX('Shopify Import'!$A:$CZ,344,Settings!$E$22)&amp;"","")</f>
        <v/>
      </c>
      <c r="D344">
        <f>IF(A344="","",IFERROR(VALUE(SUBSTITUTE(SUBSTITUTE(INDEX('Shopify Import'!$A:$CZ,344,Settings!$E$23)&amp;"","$",""),",","")),0))</f>
        <v/>
      </c>
      <c r="E344" s="11">
        <f>IF(A344="","",IFERROR(VALUE(SUBSTITUTE(SUBSTITUTE(INDEX('Shopify Import'!$A:$CZ,344,Settings!$E$24)&amp;"","$",""),",","")),0))</f>
        <v/>
      </c>
      <c r="F344" s="11">
        <f>IF(A344="","",D344*E344)</f>
        <v/>
      </c>
      <c r="G344">
        <f>IF(A344="","",IF(C344="",1,COUNTIF($C$2:$C$1501,C344)))</f>
        <v/>
      </c>
      <c r="H344" s="11">
        <f>IF(A344="","",IFERROR(VALUE(SUBSTITUTE(SUBSTITUTE(INDEX('Shopify Import'!$A:$CZ,344,Settings!$E$25)&amp;"","$",""),",","")),0)/IF(Settings!$D$27="Yes",G344,1))</f>
        <v/>
      </c>
      <c r="I344" s="11">
        <f>IF(A344="","",IFERROR(VALUE(SUBSTITUTE(SUBSTITUTE(INDEX('Shopify Import'!$A:$CZ,344,Settings!$E$26)&amp;"","$",""),",","")),0)/IF(Settings!$D$27="Yes",G344,1))</f>
        <v/>
      </c>
      <c r="J344" s="11">
        <f>IF(A344="","",F344+H344-I344)</f>
        <v/>
      </c>
      <c r="K344">
        <f>IF(A344="","",IFERROR(IF(B344="",NA(),MATCH(B344,Products!$B$5:$B$204,0)),IFERROR(MATCH(A344,Products!$A$5:$A$204,0),"")))</f>
        <v/>
      </c>
      <c r="L344">
        <f>IF(A344="","",IF(K344="","⚠ not in Products",INDEX(Products!$A$5:$A$204,K344)))</f>
        <v/>
      </c>
      <c r="M344" s="11">
        <f>IF(A344="","",J344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344+IFERROR(INDEX(Settings!$D$5:$D$9,MATCH("Shopify",Settings!$A$5:$A$9,0)),0)*D344)</f>
        <v/>
      </c>
      <c r="N344" s="11">
        <f>IF(A344="","",IF(K344="",0,D344*INDEX(Products!$I$5:$I$204,K344)))</f>
        <v/>
      </c>
      <c r="O344" s="11">
        <f>IF(A344="","",IF(K344="",0,J344*INDEX(Products!$H$5:$H$204,K344)))</f>
        <v/>
      </c>
      <c r="P344" s="11">
        <f>IF(A344="","",J344-M344-N344-O344)</f>
        <v/>
      </c>
    </row>
    <row r="345">
      <c r="A345">
        <f>IFERROR(INDEX('Shopify Import'!$A:$CZ,345,Settings!$E$20)&amp;"","")</f>
        <v/>
      </c>
      <c r="B345">
        <f>IFERROR(INDEX('Shopify Import'!$A:$CZ,345,Settings!$E$21)&amp;"","")</f>
        <v/>
      </c>
      <c r="C345">
        <f>IFERROR(INDEX('Shopify Import'!$A:$CZ,345,Settings!$E$22)&amp;"","")</f>
        <v/>
      </c>
      <c r="D345">
        <f>IF(A345="","",IFERROR(VALUE(SUBSTITUTE(SUBSTITUTE(INDEX('Shopify Import'!$A:$CZ,345,Settings!$E$23)&amp;"","$",""),",","")),0))</f>
        <v/>
      </c>
      <c r="E345" s="11">
        <f>IF(A345="","",IFERROR(VALUE(SUBSTITUTE(SUBSTITUTE(INDEX('Shopify Import'!$A:$CZ,345,Settings!$E$24)&amp;"","$",""),",","")),0))</f>
        <v/>
      </c>
      <c r="F345" s="11">
        <f>IF(A345="","",D345*E345)</f>
        <v/>
      </c>
      <c r="G345">
        <f>IF(A345="","",IF(C345="",1,COUNTIF($C$2:$C$1501,C345)))</f>
        <v/>
      </c>
      <c r="H345" s="11">
        <f>IF(A345="","",IFERROR(VALUE(SUBSTITUTE(SUBSTITUTE(INDEX('Shopify Import'!$A:$CZ,345,Settings!$E$25)&amp;"","$",""),",","")),0)/IF(Settings!$D$27="Yes",G345,1))</f>
        <v/>
      </c>
      <c r="I345" s="11">
        <f>IF(A345="","",IFERROR(VALUE(SUBSTITUTE(SUBSTITUTE(INDEX('Shopify Import'!$A:$CZ,345,Settings!$E$26)&amp;"","$",""),",","")),0)/IF(Settings!$D$27="Yes",G345,1))</f>
        <v/>
      </c>
      <c r="J345" s="11">
        <f>IF(A345="","",F345+H345-I345)</f>
        <v/>
      </c>
      <c r="K345">
        <f>IF(A345="","",IFERROR(IF(B345="",NA(),MATCH(B345,Products!$B$5:$B$204,0)),IFERROR(MATCH(A345,Products!$A$5:$A$204,0),"")))</f>
        <v/>
      </c>
      <c r="L345">
        <f>IF(A345="","",IF(K345="","⚠ not in Products",INDEX(Products!$A$5:$A$204,K345)))</f>
        <v/>
      </c>
      <c r="M345" s="11">
        <f>IF(A345="","",J345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345+IFERROR(INDEX(Settings!$D$5:$D$9,MATCH("Shopify",Settings!$A$5:$A$9,0)),0)*D345)</f>
        <v/>
      </c>
      <c r="N345" s="11">
        <f>IF(A345="","",IF(K345="",0,D345*INDEX(Products!$I$5:$I$204,K345)))</f>
        <v/>
      </c>
      <c r="O345" s="11">
        <f>IF(A345="","",IF(K345="",0,J345*INDEX(Products!$H$5:$H$204,K345)))</f>
        <v/>
      </c>
      <c r="P345" s="11">
        <f>IF(A345="","",J345-M345-N345-O345)</f>
        <v/>
      </c>
    </row>
    <row r="346">
      <c r="A346">
        <f>IFERROR(INDEX('Shopify Import'!$A:$CZ,346,Settings!$E$20)&amp;"","")</f>
        <v/>
      </c>
      <c r="B346">
        <f>IFERROR(INDEX('Shopify Import'!$A:$CZ,346,Settings!$E$21)&amp;"","")</f>
        <v/>
      </c>
      <c r="C346">
        <f>IFERROR(INDEX('Shopify Import'!$A:$CZ,346,Settings!$E$22)&amp;"","")</f>
        <v/>
      </c>
      <c r="D346">
        <f>IF(A346="","",IFERROR(VALUE(SUBSTITUTE(SUBSTITUTE(INDEX('Shopify Import'!$A:$CZ,346,Settings!$E$23)&amp;"","$",""),",","")),0))</f>
        <v/>
      </c>
      <c r="E346" s="11">
        <f>IF(A346="","",IFERROR(VALUE(SUBSTITUTE(SUBSTITUTE(INDEX('Shopify Import'!$A:$CZ,346,Settings!$E$24)&amp;"","$",""),",","")),0))</f>
        <v/>
      </c>
      <c r="F346" s="11">
        <f>IF(A346="","",D346*E346)</f>
        <v/>
      </c>
      <c r="G346">
        <f>IF(A346="","",IF(C346="",1,COUNTIF($C$2:$C$1501,C346)))</f>
        <v/>
      </c>
      <c r="H346" s="11">
        <f>IF(A346="","",IFERROR(VALUE(SUBSTITUTE(SUBSTITUTE(INDEX('Shopify Import'!$A:$CZ,346,Settings!$E$25)&amp;"","$",""),",","")),0)/IF(Settings!$D$27="Yes",G346,1))</f>
        <v/>
      </c>
      <c r="I346" s="11">
        <f>IF(A346="","",IFERROR(VALUE(SUBSTITUTE(SUBSTITUTE(INDEX('Shopify Import'!$A:$CZ,346,Settings!$E$26)&amp;"","$",""),",","")),0)/IF(Settings!$D$27="Yes",G346,1))</f>
        <v/>
      </c>
      <c r="J346" s="11">
        <f>IF(A346="","",F346+H346-I346)</f>
        <v/>
      </c>
      <c r="K346">
        <f>IF(A346="","",IFERROR(IF(B346="",NA(),MATCH(B346,Products!$B$5:$B$204,0)),IFERROR(MATCH(A346,Products!$A$5:$A$204,0),"")))</f>
        <v/>
      </c>
      <c r="L346">
        <f>IF(A346="","",IF(K346="","⚠ not in Products",INDEX(Products!$A$5:$A$204,K346)))</f>
        <v/>
      </c>
      <c r="M346" s="11">
        <f>IF(A346="","",J346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346+IFERROR(INDEX(Settings!$D$5:$D$9,MATCH("Shopify",Settings!$A$5:$A$9,0)),0)*D346)</f>
        <v/>
      </c>
      <c r="N346" s="11">
        <f>IF(A346="","",IF(K346="",0,D346*INDEX(Products!$I$5:$I$204,K346)))</f>
        <v/>
      </c>
      <c r="O346" s="11">
        <f>IF(A346="","",IF(K346="",0,J346*INDEX(Products!$H$5:$H$204,K346)))</f>
        <v/>
      </c>
      <c r="P346" s="11">
        <f>IF(A346="","",J346-M346-N346-O346)</f>
        <v/>
      </c>
    </row>
    <row r="347">
      <c r="A347">
        <f>IFERROR(INDEX('Shopify Import'!$A:$CZ,347,Settings!$E$20)&amp;"","")</f>
        <v/>
      </c>
      <c r="B347">
        <f>IFERROR(INDEX('Shopify Import'!$A:$CZ,347,Settings!$E$21)&amp;"","")</f>
        <v/>
      </c>
      <c r="C347">
        <f>IFERROR(INDEX('Shopify Import'!$A:$CZ,347,Settings!$E$22)&amp;"","")</f>
        <v/>
      </c>
      <c r="D347">
        <f>IF(A347="","",IFERROR(VALUE(SUBSTITUTE(SUBSTITUTE(INDEX('Shopify Import'!$A:$CZ,347,Settings!$E$23)&amp;"","$",""),",","")),0))</f>
        <v/>
      </c>
      <c r="E347" s="11">
        <f>IF(A347="","",IFERROR(VALUE(SUBSTITUTE(SUBSTITUTE(INDEX('Shopify Import'!$A:$CZ,347,Settings!$E$24)&amp;"","$",""),",","")),0))</f>
        <v/>
      </c>
      <c r="F347" s="11">
        <f>IF(A347="","",D347*E347)</f>
        <v/>
      </c>
      <c r="G347">
        <f>IF(A347="","",IF(C347="",1,COUNTIF($C$2:$C$1501,C347)))</f>
        <v/>
      </c>
      <c r="H347" s="11">
        <f>IF(A347="","",IFERROR(VALUE(SUBSTITUTE(SUBSTITUTE(INDEX('Shopify Import'!$A:$CZ,347,Settings!$E$25)&amp;"","$",""),",","")),0)/IF(Settings!$D$27="Yes",G347,1))</f>
        <v/>
      </c>
      <c r="I347" s="11">
        <f>IF(A347="","",IFERROR(VALUE(SUBSTITUTE(SUBSTITUTE(INDEX('Shopify Import'!$A:$CZ,347,Settings!$E$26)&amp;"","$",""),",","")),0)/IF(Settings!$D$27="Yes",G347,1))</f>
        <v/>
      </c>
      <c r="J347" s="11">
        <f>IF(A347="","",F347+H347-I347)</f>
        <v/>
      </c>
      <c r="K347">
        <f>IF(A347="","",IFERROR(IF(B347="",NA(),MATCH(B347,Products!$B$5:$B$204,0)),IFERROR(MATCH(A347,Products!$A$5:$A$204,0),"")))</f>
        <v/>
      </c>
      <c r="L347">
        <f>IF(A347="","",IF(K347="","⚠ not in Products",INDEX(Products!$A$5:$A$204,K347)))</f>
        <v/>
      </c>
      <c r="M347" s="11">
        <f>IF(A347="","",J347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347+IFERROR(INDEX(Settings!$D$5:$D$9,MATCH("Shopify",Settings!$A$5:$A$9,0)),0)*D347)</f>
        <v/>
      </c>
      <c r="N347" s="11">
        <f>IF(A347="","",IF(K347="",0,D347*INDEX(Products!$I$5:$I$204,K347)))</f>
        <v/>
      </c>
      <c r="O347" s="11">
        <f>IF(A347="","",IF(K347="",0,J347*INDEX(Products!$H$5:$H$204,K347)))</f>
        <v/>
      </c>
      <c r="P347" s="11">
        <f>IF(A347="","",J347-M347-N347-O347)</f>
        <v/>
      </c>
    </row>
    <row r="348">
      <c r="A348">
        <f>IFERROR(INDEX('Shopify Import'!$A:$CZ,348,Settings!$E$20)&amp;"","")</f>
        <v/>
      </c>
      <c r="B348">
        <f>IFERROR(INDEX('Shopify Import'!$A:$CZ,348,Settings!$E$21)&amp;"","")</f>
        <v/>
      </c>
      <c r="C348">
        <f>IFERROR(INDEX('Shopify Import'!$A:$CZ,348,Settings!$E$22)&amp;"","")</f>
        <v/>
      </c>
      <c r="D348">
        <f>IF(A348="","",IFERROR(VALUE(SUBSTITUTE(SUBSTITUTE(INDEX('Shopify Import'!$A:$CZ,348,Settings!$E$23)&amp;"","$",""),",","")),0))</f>
        <v/>
      </c>
      <c r="E348" s="11">
        <f>IF(A348="","",IFERROR(VALUE(SUBSTITUTE(SUBSTITUTE(INDEX('Shopify Import'!$A:$CZ,348,Settings!$E$24)&amp;"","$",""),",","")),0))</f>
        <v/>
      </c>
      <c r="F348" s="11">
        <f>IF(A348="","",D348*E348)</f>
        <v/>
      </c>
      <c r="G348">
        <f>IF(A348="","",IF(C348="",1,COUNTIF($C$2:$C$1501,C348)))</f>
        <v/>
      </c>
      <c r="H348" s="11">
        <f>IF(A348="","",IFERROR(VALUE(SUBSTITUTE(SUBSTITUTE(INDEX('Shopify Import'!$A:$CZ,348,Settings!$E$25)&amp;"","$",""),",","")),0)/IF(Settings!$D$27="Yes",G348,1))</f>
        <v/>
      </c>
      <c r="I348" s="11">
        <f>IF(A348="","",IFERROR(VALUE(SUBSTITUTE(SUBSTITUTE(INDEX('Shopify Import'!$A:$CZ,348,Settings!$E$26)&amp;"","$",""),",","")),0)/IF(Settings!$D$27="Yes",G348,1))</f>
        <v/>
      </c>
      <c r="J348" s="11">
        <f>IF(A348="","",F348+H348-I348)</f>
        <v/>
      </c>
      <c r="K348">
        <f>IF(A348="","",IFERROR(IF(B348="",NA(),MATCH(B348,Products!$B$5:$B$204,0)),IFERROR(MATCH(A348,Products!$A$5:$A$204,0),"")))</f>
        <v/>
      </c>
      <c r="L348">
        <f>IF(A348="","",IF(K348="","⚠ not in Products",INDEX(Products!$A$5:$A$204,K348)))</f>
        <v/>
      </c>
      <c r="M348" s="11">
        <f>IF(A348="","",J348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348+IFERROR(INDEX(Settings!$D$5:$D$9,MATCH("Shopify",Settings!$A$5:$A$9,0)),0)*D348)</f>
        <v/>
      </c>
      <c r="N348" s="11">
        <f>IF(A348="","",IF(K348="",0,D348*INDEX(Products!$I$5:$I$204,K348)))</f>
        <v/>
      </c>
      <c r="O348" s="11">
        <f>IF(A348="","",IF(K348="",0,J348*INDEX(Products!$H$5:$H$204,K348)))</f>
        <v/>
      </c>
      <c r="P348" s="11">
        <f>IF(A348="","",J348-M348-N348-O348)</f>
        <v/>
      </c>
    </row>
    <row r="349">
      <c r="A349">
        <f>IFERROR(INDEX('Shopify Import'!$A:$CZ,349,Settings!$E$20)&amp;"","")</f>
        <v/>
      </c>
      <c r="B349">
        <f>IFERROR(INDEX('Shopify Import'!$A:$CZ,349,Settings!$E$21)&amp;"","")</f>
        <v/>
      </c>
      <c r="C349">
        <f>IFERROR(INDEX('Shopify Import'!$A:$CZ,349,Settings!$E$22)&amp;"","")</f>
        <v/>
      </c>
      <c r="D349">
        <f>IF(A349="","",IFERROR(VALUE(SUBSTITUTE(SUBSTITUTE(INDEX('Shopify Import'!$A:$CZ,349,Settings!$E$23)&amp;"","$",""),",","")),0))</f>
        <v/>
      </c>
      <c r="E349" s="11">
        <f>IF(A349="","",IFERROR(VALUE(SUBSTITUTE(SUBSTITUTE(INDEX('Shopify Import'!$A:$CZ,349,Settings!$E$24)&amp;"","$",""),",","")),0))</f>
        <v/>
      </c>
      <c r="F349" s="11">
        <f>IF(A349="","",D349*E349)</f>
        <v/>
      </c>
      <c r="G349">
        <f>IF(A349="","",IF(C349="",1,COUNTIF($C$2:$C$1501,C349)))</f>
        <v/>
      </c>
      <c r="H349" s="11">
        <f>IF(A349="","",IFERROR(VALUE(SUBSTITUTE(SUBSTITUTE(INDEX('Shopify Import'!$A:$CZ,349,Settings!$E$25)&amp;"","$",""),",","")),0)/IF(Settings!$D$27="Yes",G349,1))</f>
        <v/>
      </c>
      <c r="I349" s="11">
        <f>IF(A349="","",IFERROR(VALUE(SUBSTITUTE(SUBSTITUTE(INDEX('Shopify Import'!$A:$CZ,349,Settings!$E$26)&amp;"","$",""),",","")),0)/IF(Settings!$D$27="Yes",G349,1))</f>
        <v/>
      </c>
      <c r="J349" s="11">
        <f>IF(A349="","",F349+H349-I349)</f>
        <v/>
      </c>
      <c r="K349">
        <f>IF(A349="","",IFERROR(IF(B349="",NA(),MATCH(B349,Products!$B$5:$B$204,0)),IFERROR(MATCH(A349,Products!$A$5:$A$204,0),"")))</f>
        <v/>
      </c>
      <c r="L349">
        <f>IF(A349="","",IF(K349="","⚠ not in Products",INDEX(Products!$A$5:$A$204,K349)))</f>
        <v/>
      </c>
      <c r="M349" s="11">
        <f>IF(A349="","",J349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349+IFERROR(INDEX(Settings!$D$5:$D$9,MATCH("Shopify",Settings!$A$5:$A$9,0)),0)*D349)</f>
        <v/>
      </c>
      <c r="N349" s="11">
        <f>IF(A349="","",IF(K349="",0,D349*INDEX(Products!$I$5:$I$204,K349)))</f>
        <v/>
      </c>
      <c r="O349" s="11">
        <f>IF(A349="","",IF(K349="",0,J349*INDEX(Products!$H$5:$H$204,K349)))</f>
        <v/>
      </c>
      <c r="P349" s="11">
        <f>IF(A349="","",J349-M349-N349-O349)</f>
        <v/>
      </c>
    </row>
    <row r="350">
      <c r="A350">
        <f>IFERROR(INDEX('Shopify Import'!$A:$CZ,350,Settings!$E$20)&amp;"","")</f>
        <v/>
      </c>
      <c r="B350">
        <f>IFERROR(INDEX('Shopify Import'!$A:$CZ,350,Settings!$E$21)&amp;"","")</f>
        <v/>
      </c>
      <c r="C350">
        <f>IFERROR(INDEX('Shopify Import'!$A:$CZ,350,Settings!$E$22)&amp;"","")</f>
        <v/>
      </c>
      <c r="D350">
        <f>IF(A350="","",IFERROR(VALUE(SUBSTITUTE(SUBSTITUTE(INDEX('Shopify Import'!$A:$CZ,350,Settings!$E$23)&amp;"","$",""),",","")),0))</f>
        <v/>
      </c>
      <c r="E350" s="11">
        <f>IF(A350="","",IFERROR(VALUE(SUBSTITUTE(SUBSTITUTE(INDEX('Shopify Import'!$A:$CZ,350,Settings!$E$24)&amp;"","$",""),",","")),0))</f>
        <v/>
      </c>
      <c r="F350" s="11">
        <f>IF(A350="","",D350*E350)</f>
        <v/>
      </c>
      <c r="G350">
        <f>IF(A350="","",IF(C350="",1,COUNTIF($C$2:$C$1501,C350)))</f>
        <v/>
      </c>
      <c r="H350" s="11">
        <f>IF(A350="","",IFERROR(VALUE(SUBSTITUTE(SUBSTITUTE(INDEX('Shopify Import'!$A:$CZ,350,Settings!$E$25)&amp;"","$",""),",","")),0)/IF(Settings!$D$27="Yes",G350,1))</f>
        <v/>
      </c>
      <c r="I350" s="11">
        <f>IF(A350="","",IFERROR(VALUE(SUBSTITUTE(SUBSTITUTE(INDEX('Shopify Import'!$A:$CZ,350,Settings!$E$26)&amp;"","$",""),",","")),0)/IF(Settings!$D$27="Yes",G350,1))</f>
        <v/>
      </c>
      <c r="J350" s="11">
        <f>IF(A350="","",F350+H350-I350)</f>
        <v/>
      </c>
      <c r="K350">
        <f>IF(A350="","",IFERROR(IF(B350="",NA(),MATCH(B350,Products!$B$5:$B$204,0)),IFERROR(MATCH(A350,Products!$A$5:$A$204,0),"")))</f>
        <v/>
      </c>
      <c r="L350">
        <f>IF(A350="","",IF(K350="","⚠ not in Products",INDEX(Products!$A$5:$A$204,K350)))</f>
        <v/>
      </c>
      <c r="M350" s="11">
        <f>IF(A350="","",J350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350+IFERROR(INDEX(Settings!$D$5:$D$9,MATCH("Shopify",Settings!$A$5:$A$9,0)),0)*D350)</f>
        <v/>
      </c>
      <c r="N350" s="11">
        <f>IF(A350="","",IF(K350="",0,D350*INDEX(Products!$I$5:$I$204,K350)))</f>
        <v/>
      </c>
      <c r="O350" s="11">
        <f>IF(A350="","",IF(K350="",0,J350*INDEX(Products!$H$5:$H$204,K350)))</f>
        <v/>
      </c>
      <c r="P350" s="11">
        <f>IF(A350="","",J350-M350-N350-O350)</f>
        <v/>
      </c>
    </row>
    <row r="351">
      <c r="A351">
        <f>IFERROR(INDEX('Shopify Import'!$A:$CZ,351,Settings!$E$20)&amp;"","")</f>
        <v/>
      </c>
      <c r="B351">
        <f>IFERROR(INDEX('Shopify Import'!$A:$CZ,351,Settings!$E$21)&amp;"","")</f>
        <v/>
      </c>
      <c r="C351">
        <f>IFERROR(INDEX('Shopify Import'!$A:$CZ,351,Settings!$E$22)&amp;"","")</f>
        <v/>
      </c>
      <c r="D351">
        <f>IF(A351="","",IFERROR(VALUE(SUBSTITUTE(SUBSTITUTE(INDEX('Shopify Import'!$A:$CZ,351,Settings!$E$23)&amp;"","$",""),",","")),0))</f>
        <v/>
      </c>
      <c r="E351" s="11">
        <f>IF(A351="","",IFERROR(VALUE(SUBSTITUTE(SUBSTITUTE(INDEX('Shopify Import'!$A:$CZ,351,Settings!$E$24)&amp;"","$",""),",","")),0))</f>
        <v/>
      </c>
      <c r="F351" s="11">
        <f>IF(A351="","",D351*E351)</f>
        <v/>
      </c>
      <c r="G351">
        <f>IF(A351="","",IF(C351="",1,COUNTIF($C$2:$C$1501,C351)))</f>
        <v/>
      </c>
      <c r="H351" s="11">
        <f>IF(A351="","",IFERROR(VALUE(SUBSTITUTE(SUBSTITUTE(INDEX('Shopify Import'!$A:$CZ,351,Settings!$E$25)&amp;"","$",""),",","")),0)/IF(Settings!$D$27="Yes",G351,1))</f>
        <v/>
      </c>
      <c r="I351" s="11">
        <f>IF(A351="","",IFERROR(VALUE(SUBSTITUTE(SUBSTITUTE(INDEX('Shopify Import'!$A:$CZ,351,Settings!$E$26)&amp;"","$",""),",","")),0)/IF(Settings!$D$27="Yes",G351,1))</f>
        <v/>
      </c>
      <c r="J351" s="11">
        <f>IF(A351="","",F351+H351-I351)</f>
        <v/>
      </c>
      <c r="K351">
        <f>IF(A351="","",IFERROR(IF(B351="",NA(),MATCH(B351,Products!$B$5:$B$204,0)),IFERROR(MATCH(A351,Products!$A$5:$A$204,0),"")))</f>
        <v/>
      </c>
      <c r="L351">
        <f>IF(A351="","",IF(K351="","⚠ not in Products",INDEX(Products!$A$5:$A$204,K351)))</f>
        <v/>
      </c>
      <c r="M351" s="11">
        <f>IF(A351="","",J351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351+IFERROR(INDEX(Settings!$D$5:$D$9,MATCH("Shopify",Settings!$A$5:$A$9,0)),0)*D351)</f>
        <v/>
      </c>
      <c r="N351" s="11">
        <f>IF(A351="","",IF(K351="",0,D351*INDEX(Products!$I$5:$I$204,K351)))</f>
        <v/>
      </c>
      <c r="O351" s="11">
        <f>IF(A351="","",IF(K351="",0,J351*INDEX(Products!$H$5:$H$204,K351)))</f>
        <v/>
      </c>
      <c r="P351" s="11">
        <f>IF(A351="","",J351-M351-N351-O351)</f>
        <v/>
      </c>
    </row>
    <row r="352">
      <c r="A352">
        <f>IFERROR(INDEX('Shopify Import'!$A:$CZ,352,Settings!$E$20)&amp;"","")</f>
        <v/>
      </c>
      <c r="B352">
        <f>IFERROR(INDEX('Shopify Import'!$A:$CZ,352,Settings!$E$21)&amp;"","")</f>
        <v/>
      </c>
      <c r="C352">
        <f>IFERROR(INDEX('Shopify Import'!$A:$CZ,352,Settings!$E$22)&amp;"","")</f>
        <v/>
      </c>
      <c r="D352">
        <f>IF(A352="","",IFERROR(VALUE(SUBSTITUTE(SUBSTITUTE(INDEX('Shopify Import'!$A:$CZ,352,Settings!$E$23)&amp;"","$",""),",","")),0))</f>
        <v/>
      </c>
      <c r="E352" s="11">
        <f>IF(A352="","",IFERROR(VALUE(SUBSTITUTE(SUBSTITUTE(INDEX('Shopify Import'!$A:$CZ,352,Settings!$E$24)&amp;"","$",""),",","")),0))</f>
        <v/>
      </c>
      <c r="F352" s="11">
        <f>IF(A352="","",D352*E352)</f>
        <v/>
      </c>
      <c r="G352">
        <f>IF(A352="","",IF(C352="",1,COUNTIF($C$2:$C$1501,C352)))</f>
        <v/>
      </c>
      <c r="H352" s="11">
        <f>IF(A352="","",IFERROR(VALUE(SUBSTITUTE(SUBSTITUTE(INDEX('Shopify Import'!$A:$CZ,352,Settings!$E$25)&amp;"","$",""),",","")),0)/IF(Settings!$D$27="Yes",G352,1))</f>
        <v/>
      </c>
      <c r="I352" s="11">
        <f>IF(A352="","",IFERROR(VALUE(SUBSTITUTE(SUBSTITUTE(INDEX('Shopify Import'!$A:$CZ,352,Settings!$E$26)&amp;"","$",""),",","")),0)/IF(Settings!$D$27="Yes",G352,1))</f>
        <v/>
      </c>
      <c r="J352" s="11">
        <f>IF(A352="","",F352+H352-I352)</f>
        <v/>
      </c>
      <c r="K352">
        <f>IF(A352="","",IFERROR(IF(B352="",NA(),MATCH(B352,Products!$B$5:$B$204,0)),IFERROR(MATCH(A352,Products!$A$5:$A$204,0),"")))</f>
        <v/>
      </c>
      <c r="L352">
        <f>IF(A352="","",IF(K352="","⚠ not in Products",INDEX(Products!$A$5:$A$204,K352)))</f>
        <v/>
      </c>
      <c r="M352" s="11">
        <f>IF(A352="","",J352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352+IFERROR(INDEX(Settings!$D$5:$D$9,MATCH("Shopify",Settings!$A$5:$A$9,0)),0)*D352)</f>
        <v/>
      </c>
      <c r="N352" s="11">
        <f>IF(A352="","",IF(K352="",0,D352*INDEX(Products!$I$5:$I$204,K352)))</f>
        <v/>
      </c>
      <c r="O352" s="11">
        <f>IF(A352="","",IF(K352="",0,J352*INDEX(Products!$H$5:$H$204,K352)))</f>
        <v/>
      </c>
      <c r="P352" s="11">
        <f>IF(A352="","",J352-M352-N352-O352)</f>
        <v/>
      </c>
    </row>
    <row r="353">
      <c r="A353">
        <f>IFERROR(INDEX('Shopify Import'!$A:$CZ,353,Settings!$E$20)&amp;"","")</f>
        <v/>
      </c>
      <c r="B353">
        <f>IFERROR(INDEX('Shopify Import'!$A:$CZ,353,Settings!$E$21)&amp;"","")</f>
        <v/>
      </c>
      <c r="C353">
        <f>IFERROR(INDEX('Shopify Import'!$A:$CZ,353,Settings!$E$22)&amp;"","")</f>
        <v/>
      </c>
      <c r="D353">
        <f>IF(A353="","",IFERROR(VALUE(SUBSTITUTE(SUBSTITUTE(INDEX('Shopify Import'!$A:$CZ,353,Settings!$E$23)&amp;"","$",""),",","")),0))</f>
        <v/>
      </c>
      <c r="E353" s="11">
        <f>IF(A353="","",IFERROR(VALUE(SUBSTITUTE(SUBSTITUTE(INDEX('Shopify Import'!$A:$CZ,353,Settings!$E$24)&amp;"","$",""),",","")),0))</f>
        <v/>
      </c>
      <c r="F353" s="11">
        <f>IF(A353="","",D353*E353)</f>
        <v/>
      </c>
      <c r="G353">
        <f>IF(A353="","",IF(C353="",1,COUNTIF($C$2:$C$1501,C353)))</f>
        <v/>
      </c>
      <c r="H353" s="11">
        <f>IF(A353="","",IFERROR(VALUE(SUBSTITUTE(SUBSTITUTE(INDEX('Shopify Import'!$A:$CZ,353,Settings!$E$25)&amp;"","$",""),",","")),0)/IF(Settings!$D$27="Yes",G353,1))</f>
        <v/>
      </c>
      <c r="I353" s="11">
        <f>IF(A353="","",IFERROR(VALUE(SUBSTITUTE(SUBSTITUTE(INDEX('Shopify Import'!$A:$CZ,353,Settings!$E$26)&amp;"","$",""),",","")),0)/IF(Settings!$D$27="Yes",G353,1))</f>
        <v/>
      </c>
      <c r="J353" s="11">
        <f>IF(A353="","",F353+H353-I353)</f>
        <v/>
      </c>
      <c r="K353">
        <f>IF(A353="","",IFERROR(IF(B353="",NA(),MATCH(B353,Products!$B$5:$B$204,0)),IFERROR(MATCH(A353,Products!$A$5:$A$204,0),"")))</f>
        <v/>
      </c>
      <c r="L353">
        <f>IF(A353="","",IF(K353="","⚠ not in Products",INDEX(Products!$A$5:$A$204,K353)))</f>
        <v/>
      </c>
      <c r="M353" s="11">
        <f>IF(A353="","",J353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353+IFERROR(INDEX(Settings!$D$5:$D$9,MATCH("Shopify",Settings!$A$5:$A$9,0)),0)*D353)</f>
        <v/>
      </c>
      <c r="N353" s="11">
        <f>IF(A353="","",IF(K353="",0,D353*INDEX(Products!$I$5:$I$204,K353)))</f>
        <v/>
      </c>
      <c r="O353" s="11">
        <f>IF(A353="","",IF(K353="",0,J353*INDEX(Products!$H$5:$H$204,K353)))</f>
        <v/>
      </c>
      <c r="P353" s="11">
        <f>IF(A353="","",J353-M353-N353-O353)</f>
        <v/>
      </c>
    </row>
    <row r="354">
      <c r="A354">
        <f>IFERROR(INDEX('Shopify Import'!$A:$CZ,354,Settings!$E$20)&amp;"","")</f>
        <v/>
      </c>
      <c r="B354">
        <f>IFERROR(INDEX('Shopify Import'!$A:$CZ,354,Settings!$E$21)&amp;"","")</f>
        <v/>
      </c>
      <c r="C354">
        <f>IFERROR(INDEX('Shopify Import'!$A:$CZ,354,Settings!$E$22)&amp;"","")</f>
        <v/>
      </c>
      <c r="D354">
        <f>IF(A354="","",IFERROR(VALUE(SUBSTITUTE(SUBSTITUTE(INDEX('Shopify Import'!$A:$CZ,354,Settings!$E$23)&amp;"","$",""),",","")),0))</f>
        <v/>
      </c>
      <c r="E354" s="11">
        <f>IF(A354="","",IFERROR(VALUE(SUBSTITUTE(SUBSTITUTE(INDEX('Shopify Import'!$A:$CZ,354,Settings!$E$24)&amp;"","$",""),",","")),0))</f>
        <v/>
      </c>
      <c r="F354" s="11">
        <f>IF(A354="","",D354*E354)</f>
        <v/>
      </c>
      <c r="G354">
        <f>IF(A354="","",IF(C354="",1,COUNTIF($C$2:$C$1501,C354)))</f>
        <v/>
      </c>
      <c r="H354" s="11">
        <f>IF(A354="","",IFERROR(VALUE(SUBSTITUTE(SUBSTITUTE(INDEX('Shopify Import'!$A:$CZ,354,Settings!$E$25)&amp;"","$",""),",","")),0)/IF(Settings!$D$27="Yes",G354,1))</f>
        <v/>
      </c>
      <c r="I354" s="11">
        <f>IF(A354="","",IFERROR(VALUE(SUBSTITUTE(SUBSTITUTE(INDEX('Shopify Import'!$A:$CZ,354,Settings!$E$26)&amp;"","$",""),",","")),0)/IF(Settings!$D$27="Yes",G354,1))</f>
        <v/>
      </c>
      <c r="J354" s="11">
        <f>IF(A354="","",F354+H354-I354)</f>
        <v/>
      </c>
      <c r="K354">
        <f>IF(A354="","",IFERROR(IF(B354="",NA(),MATCH(B354,Products!$B$5:$B$204,0)),IFERROR(MATCH(A354,Products!$A$5:$A$204,0),"")))</f>
        <v/>
      </c>
      <c r="L354">
        <f>IF(A354="","",IF(K354="","⚠ not in Products",INDEX(Products!$A$5:$A$204,K354)))</f>
        <v/>
      </c>
      <c r="M354" s="11">
        <f>IF(A354="","",J354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354+IFERROR(INDEX(Settings!$D$5:$D$9,MATCH("Shopify",Settings!$A$5:$A$9,0)),0)*D354)</f>
        <v/>
      </c>
      <c r="N354" s="11">
        <f>IF(A354="","",IF(K354="",0,D354*INDEX(Products!$I$5:$I$204,K354)))</f>
        <v/>
      </c>
      <c r="O354" s="11">
        <f>IF(A354="","",IF(K354="",0,J354*INDEX(Products!$H$5:$H$204,K354)))</f>
        <v/>
      </c>
      <c r="P354" s="11">
        <f>IF(A354="","",J354-M354-N354-O354)</f>
        <v/>
      </c>
    </row>
    <row r="355">
      <c r="A355">
        <f>IFERROR(INDEX('Shopify Import'!$A:$CZ,355,Settings!$E$20)&amp;"","")</f>
        <v/>
      </c>
      <c r="B355">
        <f>IFERROR(INDEX('Shopify Import'!$A:$CZ,355,Settings!$E$21)&amp;"","")</f>
        <v/>
      </c>
      <c r="C355">
        <f>IFERROR(INDEX('Shopify Import'!$A:$CZ,355,Settings!$E$22)&amp;"","")</f>
        <v/>
      </c>
      <c r="D355">
        <f>IF(A355="","",IFERROR(VALUE(SUBSTITUTE(SUBSTITUTE(INDEX('Shopify Import'!$A:$CZ,355,Settings!$E$23)&amp;"","$",""),",","")),0))</f>
        <v/>
      </c>
      <c r="E355" s="11">
        <f>IF(A355="","",IFERROR(VALUE(SUBSTITUTE(SUBSTITUTE(INDEX('Shopify Import'!$A:$CZ,355,Settings!$E$24)&amp;"","$",""),",","")),0))</f>
        <v/>
      </c>
      <c r="F355" s="11">
        <f>IF(A355="","",D355*E355)</f>
        <v/>
      </c>
      <c r="G355">
        <f>IF(A355="","",IF(C355="",1,COUNTIF($C$2:$C$1501,C355)))</f>
        <v/>
      </c>
      <c r="H355" s="11">
        <f>IF(A355="","",IFERROR(VALUE(SUBSTITUTE(SUBSTITUTE(INDEX('Shopify Import'!$A:$CZ,355,Settings!$E$25)&amp;"","$",""),",","")),0)/IF(Settings!$D$27="Yes",G355,1))</f>
        <v/>
      </c>
      <c r="I355" s="11">
        <f>IF(A355="","",IFERROR(VALUE(SUBSTITUTE(SUBSTITUTE(INDEX('Shopify Import'!$A:$CZ,355,Settings!$E$26)&amp;"","$",""),",","")),0)/IF(Settings!$D$27="Yes",G355,1))</f>
        <v/>
      </c>
      <c r="J355" s="11">
        <f>IF(A355="","",F355+H355-I355)</f>
        <v/>
      </c>
      <c r="K355">
        <f>IF(A355="","",IFERROR(IF(B355="",NA(),MATCH(B355,Products!$B$5:$B$204,0)),IFERROR(MATCH(A355,Products!$A$5:$A$204,0),"")))</f>
        <v/>
      </c>
      <c r="L355">
        <f>IF(A355="","",IF(K355="","⚠ not in Products",INDEX(Products!$A$5:$A$204,K355)))</f>
        <v/>
      </c>
      <c r="M355" s="11">
        <f>IF(A355="","",J355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355+IFERROR(INDEX(Settings!$D$5:$D$9,MATCH("Shopify",Settings!$A$5:$A$9,0)),0)*D355)</f>
        <v/>
      </c>
      <c r="N355" s="11">
        <f>IF(A355="","",IF(K355="",0,D355*INDEX(Products!$I$5:$I$204,K355)))</f>
        <v/>
      </c>
      <c r="O355" s="11">
        <f>IF(A355="","",IF(K355="",0,J355*INDEX(Products!$H$5:$H$204,K355)))</f>
        <v/>
      </c>
      <c r="P355" s="11">
        <f>IF(A355="","",J355-M355-N355-O355)</f>
        <v/>
      </c>
    </row>
    <row r="356">
      <c r="A356">
        <f>IFERROR(INDEX('Shopify Import'!$A:$CZ,356,Settings!$E$20)&amp;"","")</f>
        <v/>
      </c>
      <c r="B356">
        <f>IFERROR(INDEX('Shopify Import'!$A:$CZ,356,Settings!$E$21)&amp;"","")</f>
        <v/>
      </c>
      <c r="C356">
        <f>IFERROR(INDEX('Shopify Import'!$A:$CZ,356,Settings!$E$22)&amp;"","")</f>
        <v/>
      </c>
      <c r="D356">
        <f>IF(A356="","",IFERROR(VALUE(SUBSTITUTE(SUBSTITUTE(INDEX('Shopify Import'!$A:$CZ,356,Settings!$E$23)&amp;"","$",""),",","")),0))</f>
        <v/>
      </c>
      <c r="E356" s="11">
        <f>IF(A356="","",IFERROR(VALUE(SUBSTITUTE(SUBSTITUTE(INDEX('Shopify Import'!$A:$CZ,356,Settings!$E$24)&amp;"","$",""),",","")),0))</f>
        <v/>
      </c>
      <c r="F356" s="11">
        <f>IF(A356="","",D356*E356)</f>
        <v/>
      </c>
      <c r="G356">
        <f>IF(A356="","",IF(C356="",1,COUNTIF($C$2:$C$1501,C356)))</f>
        <v/>
      </c>
      <c r="H356" s="11">
        <f>IF(A356="","",IFERROR(VALUE(SUBSTITUTE(SUBSTITUTE(INDEX('Shopify Import'!$A:$CZ,356,Settings!$E$25)&amp;"","$",""),",","")),0)/IF(Settings!$D$27="Yes",G356,1))</f>
        <v/>
      </c>
      <c r="I356" s="11">
        <f>IF(A356="","",IFERROR(VALUE(SUBSTITUTE(SUBSTITUTE(INDEX('Shopify Import'!$A:$CZ,356,Settings!$E$26)&amp;"","$",""),",","")),0)/IF(Settings!$D$27="Yes",G356,1))</f>
        <v/>
      </c>
      <c r="J356" s="11">
        <f>IF(A356="","",F356+H356-I356)</f>
        <v/>
      </c>
      <c r="K356">
        <f>IF(A356="","",IFERROR(IF(B356="",NA(),MATCH(B356,Products!$B$5:$B$204,0)),IFERROR(MATCH(A356,Products!$A$5:$A$204,0),"")))</f>
        <v/>
      </c>
      <c r="L356">
        <f>IF(A356="","",IF(K356="","⚠ not in Products",INDEX(Products!$A$5:$A$204,K356)))</f>
        <v/>
      </c>
      <c r="M356" s="11">
        <f>IF(A356="","",J356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356+IFERROR(INDEX(Settings!$D$5:$D$9,MATCH("Shopify",Settings!$A$5:$A$9,0)),0)*D356)</f>
        <v/>
      </c>
      <c r="N356" s="11">
        <f>IF(A356="","",IF(K356="",0,D356*INDEX(Products!$I$5:$I$204,K356)))</f>
        <v/>
      </c>
      <c r="O356" s="11">
        <f>IF(A356="","",IF(K356="",0,J356*INDEX(Products!$H$5:$H$204,K356)))</f>
        <v/>
      </c>
      <c r="P356" s="11">
        <f>IF(A356="","",J356-M356-N356-O356)</f>
        <v/>
      </c>
    </row>
    <row r="357">
      <c r="A357">
        <f>IFERROR(INDEX('Shopify Import'!$A:$CZ,357,Settings!$E$20)&amp;"","")</f>
        <v/>
      </c>
      <c r="B357">
        <f>IFERROR(INDEX('Shopify Import'!$A:$CZ,357,Settings!$E$21)&amp;"","")</f>
        <v/>
      </c>
      <c r="C357">
        <f>IFERROR(INDEX('Shopify Import'!$A:$CZ,357,Settings!$E$22)&amp;"","")</f>
        <v/>
      </c>
      <c r="D357">
        <f>IF(A357="","",IFERROR(VALUE(SUBSTITUTE(SUBSTITUTE(INDEX('Shopify Import'!$A:$CZ,357,Settings!$E$23)&amp;"","$",""),",","")),0))</f>
        <v/>
      </c>
      <c r="E357" s="11">
        <f>IF(A357="","",IFERROR(VALUE(SUBSTITUTE(SUBSTITUTE(INDEX('Shopify Import'!$A:$CZ,357,Settings!$E$24)&amp;"","$",""),",","")),0))</f>
        <v/>
      </c>
      <c r="F357" s="11">
        <f>IF(A357="","",D357*E357)</f>
        <v/>
      </c>
      <c r="G357">
        <f>IF(A357="","",IF(C357="",1,COUNTIF($C$2:$C$1501,C357)))</f>
        <v/>
      </c>
      <c r="H357" s="11">
        <f>IF(A357="","",IFERROR(VALUE(SUBSTITUTE(SUBSTITUTE(INDEX('Shopify Import'!$A:$CZ,357,Settings!$E$25)&amp;"","$",""),",","")),0)/IF(Settings!$D$27="Yes",G357,1))</f>
        <v/>
      </c>
      <c r="I357" s="11">
        <f>IF(A357="","",IFERROR(VALUE(SUBSTITUTE(SUBSTITUTE(INDEX('Shopify Import'!$A:$CZ,357,Settings!$E$26)&amp;"","$",""),",","")),0)/IF(Settings!$D$27="Yes",G357,1))</f>
        <v/>
      </c>
      <c r="J357" s="11">
        <f>IF(A357="","",F357+H357-I357)</f>
        <v/>
      </c>
      <c r="K357">
        <f>IF(A357="","",IFERROR(IF(B357="",NA(),MATCH(B357,Products!$B$5:$B$204,0)),IFERROR(MATCH(A357,Products!$A$5:$A$204,0),"")))</f>
        <v/>
      </c>
      <c r="L357">
        <f>IF(A357="","",IF(K357="","⚠ not in Products",INDEX(Products!$A$5:$A$204,K357)))</f>
        <v/>
      </c>
      <c r="M357" s="11">
        <f>IF(A357="","",J357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357+IFERROR(INDEX(Settings!$D$5:$D$9,MATCH("Shopify",Settings!$A$5:$A$9,0)),0)*D357)</f>
        <v/>
      </c>
      <c r="N357" s="11">
        <f>IF(A357="","",IF(K357="",0,D357*INDEX(Products!$I$5:$I$204,K357)))</f>
        <v/>
      </c>
      <c r="O357" s="11">
        <f>IF(A357="","",IF(K357="",0,J357*INDEX(Products!$H$5:$H$204,K357)))</f>
        <v/>
      </c>
      <c r="P357" s="11">
        <f>IF(A357="","",J357-M357-N357-O357)</f>
        <v/>
      </c>
    </row>
    <row r="358">
      <c r="A358">
        <f>IFERROR(INDEX('Shopify Import'!$A:$CZ,358,Settings!$E$20)&amp;"","")</f>
        <v/>
      </c>
      <c r="B358">
        <f>IFERROR(INDEX('Shopify Import'!$A:$CZ,358,Settings!$E$21)&amp;"","")</f>
        <v/>
      </c>
      <c r="C358">
        <f>IFERROR(INDEX('Shopify Import'!$A:$CZ,358,Settings!$E$22)&amp;"","")</f>
        <v/>
      </c>
      <c r="D358">
        <f>IF(A358="","",IFERROR(VALUE(SUBSTITUTE(SUBSTITUTE(INDEX('Shopify Import'!$A:$CZ,358,Settings!$E$23)&amp;"","$",""),",","")),0))</f>
        <v/>
      </c>
      <c r="E358" s="11">
        <f>IF(A358="","",IFERROR(VALUE(SUBSTITUTE(SUBSTITUTE(INDEX('Shopify Import'!$A:$CZ,358,Settings!$E$24)&amp;"","$",""),",","")),0))</f>
        <v/>
      </c>
      <c r="F358" s="11">
        <f>IF(A358="","",D358*E358)</f>
        <v/>
      </c>
      <c r="G358">
        <f>IF(A358="","",IF(C358="",1,COUNTIF($C$2:$C$1501,C358)))</f>
        <v/>
      </c>
      <c r="H358" s="11">
        <f>IF(A358="","",IFERROR(VALUE(SUBSTITUTE(SUBSTITUTE(INDEX('Shopify Import'!$A:$CZ,358,Settings!$E$25)&amp;"","$",""),",","")),0)/IF(Settings!$D$27="Yes",G358,1))</f>
        <v/>
      </c>
      <c r="I358" s="11">
        <f>IF(A358="","",IFERROR(VALUE(SUBSTITUTE(SUBSTITUTE(INDEX('Shopify Import'!$A:$CZ,358,Settings!$E$26)&amp;"","$",""),",","")),0)/IF(Settings!$D$27="Yes",G358,1))</f>
        <v/>
      </c>
      <c r="J358" s="11">
        <f>IF(A358="","",F358+H358-I358)</f>
        <v/>
      </c>
      <c r="K358">
        <f>IF(A358="","",IFERROR(IF(B358="",NA(),MATCH(B358,Products!$B$5:$B$204,0)),IFERROR(MATCH(A358,Products!$A$5:$A$204,0),"")))</f>
        <v/>
      </c>
      <c r="L358">
        <f>IF(A358="","",IF(K358="","⚠ not in Products",INDEX(Products!$A$5:$A$204,K358)))</f>
        <v/>
      </c>
      <c r="M358" s="11">
        <f>IF(A358="","",J358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358+IFERROR(INDEX(Settings!$D$5:$D$9,MATCH("Shopify",Settings!$A$5:$A$9,0)),0)*D358)</f>
        <v/>
      </c>
      <c r="N358" s="11">
        <f>IF(A358="","",IF(K358="",0,D358*INDEX(Products!$I$5:$I$204,K358)))</f>
        <v/>
      </c>
      <c r="O358" s="11">
        <f>IF(A358="","",IF(K358="",0,J358*INDEX(Products!$H$5:$H$204,K358)))</f>
        <v/>
      </c>
      <c r="P358" s="11">
        <f>IF(A358="","",J358-M358-N358-O358)</f>
        <v/>
      </c>
    </row>
    <row r="359">
      <c r="A359">
        <f>IFERROR(INDEX('Shopify Import'!$A:$CZ,359,Settings!$E$20)&amp;"","")</f>
        <v/>
      </c>
      <c r="B359">
        <f>IFERROR(INDEX('Shopify Import'!$A:$CZ,359,Settings!$E$21)&amp;"","")</f>
        <v/>
      </c>
      <c r="C359">
        <f>IFERROR(INDEX('Shopify Import'!$A:$CZ,359,Settings!$E$22)&amp;"","")</f>
        <v/>
      </c>
      <c r="D359">
        <f>IF(A359="","",IFERROR(VALUE(SUBSTITUTE(SUBSTITUTE(INDEX('Shopify Import'!$A:$CZ,359,Settings!$E$23)&amp;"","$",""),",","")),0))</f>
        <v/>
      </c>
      <c r="E359" s="11">
        <f>IF(A359="","",IFERROR(VALUE(SUBSTITUTE(SUBSTITUTE(INDEX('Shopify Import'!$A:$CZ,359,Settings!$E$24)&amp;"","$",""),",","")),0))</f>
        <v/>
      </c>
      <c r="F359" s="11">
        <f>IF(A359="","",D359*E359)</f>
        <v/>
      </c>
      <c r="G359">
        <f>IF(A359="","",IF(C359="",1,COUNTIF($C$2:$C$1501,C359)))</f>
        <v/>
      </c>
      <c r="H359" s="11">
        <f>IF(A359="","",IFERROR(VALUE(SUBSTITUTE(SUBSTITUTE(INDEX('Shopify Import'!$A:$CZ,359,Settings!$E$25)&amp;"","$",""),",","")),0)/IF(Settings!$D$27="Yes",G359,1))</f>
        <v/>
      </c>
      <c r="I359" s="11">
        <f>IF(A359="","",IFERROR(VALUE(SUBSTITUTE(SUBSTITUTE(INDEX('Shopify Import'!$A:$CZ,359,Settings!$E$26)&amp;"","$",""),",","")),0)/IF(Settings!$D$27="Yes",G359,1))</f>
        <v/>
      </c>
      <c r="J359" s="11">
        <f>IF(A359="","",F359+H359-I359)</f>
        <v/>
      </c>
      <c r="K359">
        <f>IF(A359="","",IFERROR(IF(B359="",NA(),MATCH(B359,Products!$B$5:$B$204,0)),IFERROR(MATCH(A359,Products!$A$5:$A$204,0),"")))</f>
        <v/>
      </c>
      <c r="L359">
        <f>IF(A359="","",IF(K359="","⚠ not in Products",INDEX(Products!$A$5:$A$204,K359)))</f>
        <v/>
      </c>
      <c r="M359" s="11">
        <f>IF(A359="","",J359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359+IFERROR(INDEX(Settings!$D$5:$D$9,MATCH("Shopify",Settings!$A$5:$A$9,0)),0)*D359)</f>
        <v/>
      </c>
      <c r="N359" s="11">
        <f>IF(A359="","",IF(K359="",0,D359*INDEX(Products!$I$5:$I$204,K359)))</f>
        <v/>
      </c>
      <c r="O359" s="11">
        <f>IF(A359="","",IF(K359="",0,J359*INDEX(Products!$H$5:$H$204,K359)))</f>
        <v/>
      </c>
      <c r="P359" s="11">
        <f>IF(A359="","",J359-M359-N359-O359)</f>
        <v/>
      </c>
    </row>
    <row r="360">
      <c r="A360">
        <f>IFERROR(INDEX('Shopify Import'!$A:$CZ,360,Settings!$E$20)&amp;"","")</f>
        <v/>
      </c>
      <c r="B360">
        <f>IFERROR(INDEX('Shopify Import'!$A:$CZ,360,Settings!$E$21)&amp;"","")</f>
        <v/>
      </c>
      <c r="C360">
        <f>IFERROR(INDEX('Shopify Import'!$A:$CZ,360,Settings!$E$22)&amp;"","")</f>
        <v/>
      </c>
      <c r="D360">
        <f>IF(A360="","",IFERROR(VALUE(SUBSTITUTE(SUBSTITUTE(INDEX('Shopify Import'!$A:$CZ,360,Settings!$E$23)&amp;"","$",""),",","")),0))</f>
        <v/>
      </c>
      <c r="E360" s="11">
        <f>IF(A360="","",IFERROR(VALUE(SUBSTITUTE(SUBSTITUTE(INDEX('Shopify Import'!$A:$CZ,360,Settings!$E$24)&amp;"","$",""),",","")),0))</f>
        <v/>
      </c>
      <c r="F360" s="11">
        <f>IF(A360="","",D360*E360)</f>
        <v/>
      </c>
      <c r="G360">
        <f>IF(A360="","",IF(C360="",1,COUNTIF($C$2:$C$1501,C360)))</f>
        <v/>
      </c>
      <c r="H360" s="11">
        <f>IF(A360="","",IFERROR(VALUE(SUBSTITUTE(SUBSTITUTE(INDEX('Shopify Import'!$A:$CZ,360,Settings!$E$25)&amp;"","$",""),",","")),0)/IF(Settings!$D$27="Yes",G360,1))</f>
        <v/>
      </c>
      <c r="I360" s="11">
        <f>IF(A360="","",IFERROR(VALUE(SUBSTITUTE(SUBSTITUTE(INDEX('Shopify Import'!$A:$CZ,360,Settings!$E$26)&amp;"","$",""),",","")),0)/IF(Settings!$D$27="Yes",G360,1))</f>
        <v/>
      </c>
      <c r="J360" s="11">
        <f>IF(A360="","",F360+H360-I360)</f>
        <v/>
      </c>
      <c r="K360">
        <f>IF(A360="","",IFERROR(IF(B360="",NA(),MATCH(B360,Products!$B$5:$B$204,0)),IFERROR(MATCH(A360,Products!$A$5:$A$204,0),"")))</f>
        <v/>
      </c>
      <c r="L360">
        <f>IF(A360="","",IF(K360="","⚠ not in Products",INDEX(Products!$A$5:$A$204,K360)))</f>
        <v/>
      </c>
      <c r="M360" s="11">
        <f>IF(A360="","",J360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360+IFERROR(INDEX(Settings!$D$5:$D$9,MATCH("Shopify",Settings!$A$5:$A$9,0)),0)*D360)</f>
        <v/>
      </c>
      <c r="N360" s="11">
        <f>IF(A360="","",IF(K360="",0,D360*INDEX(Products!$I$5:$I$204,K360)))</f>
        <v/>
      </c>
      <c r="O360" s="11">
        <f>IF(A360="","",IF(K360="",0,J360*INDEX(Products!$H$5:$H$204,K360)))</f>
        <v/>
      </c>
      <c r="P360" s="11">
        <f>IF(A360="","",J360-M360-N360-O360)</f>
        <v/>
      </c>
    </row>
    <row r="361">
      <c r="A361">
        <f>IFERROR(INDEX('Shopify Import'!$A:$CZ,361,Settings!$E$20)&amp;"","")</f>
        <v/>
      </c>
      <c r="B361">
        <f>IFERROR(INDEX('Shopify Import'!$A:$CZ,361,Settings!$E$21)&amp;"","")</f>
        <v/>
      </c>
      <c r="C361">
        <f>IFERROR(INDEX('Shopify Import'!$A:$CZ,361,Settings!$E$22)&amp;"","")</f>
        <v/>
      </c>
      <c r="D361">
        <f>IF(A361="","",IFERROR(VALUE(SUBSTITUTE(SUBSTITUTE(INDEX('Shopify Import'!$A:$CZ,361,Settings!$E$23)&amp;"","$",""),",","")),0))</f>
        <v/>
      </c>
      <c r="E361" s="11">
        <f>IF(A361="","",IFERROR(VALUE(SUBSTITUTE(SUBSTITUTE(INDEX('Shopify Import'!$A:$CZ,361,Settings!$E$24)&amp;"","$",""),",","")),0))</f>
        <v/>
      </c>
      <c r="F361" s="11">
        <f>IF(A361="","",D361*E361)</f>
        <v/>
      </c>
      <c r="G361">
        <f>IF(A361="","",IF(C361="",1,COUNTIF($C$2:$C$1501,C361)))</f>
        <v/>
      </c>
      <c r="H361" s="11">
        <f>IF(A361="","",IFERROR(VALUE(SUBSTITUTE(SUBSTITUTE(INDEX('Shopify Import'!$A:$CZ,361,Settings!$E$25)&amp;"","$",""),",","")),0)/IF(Settings!$D$27="Yes",G361,1))</f>
        <v/>
      </c>
      <c r="I361" s="11">
        <f>IF(A361="","",IFERROR(VALUE(SUBSTITUTE(SUBSTITUTE(INDEX('Shopify Import'!$A:$CZ,361,Settings!$E$26)&amp;"","$",""),",","")),0)/IF(Settings!$D$27="Yes",G361,1))</f>
        <v/>
      </c>
      <c r="J361" s="11">
        <f>IF(A361="","",F361+H361-I361)</f>
        <v/>
      </c>
      <c r="K361">
        <f>IF(A361="","",IFERROR(IF(B361="",NA(),MATCH(B361,Products!$B$5:$B$204,0)),IFERROR(MATCH(A361,Products!$A$5:$A$204,0),"")))</f>
        <v/>
      </c>
      <c r="L361">
        <f>IF(A361="","",IF(K361="","⚠ not in Products",INDEX(Products!$A$5:$A$204,K361)))</f>
        <v/>
      </c>
      <c r="M361" s="11">
        <f>IF(A361="","",J361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361+IFERROR(INDEX(Settings!$D$5:$D$9,MATCH("Shopify",Settings!$A$5:$A$9,0)),0)*D361)</f>
        <v/>
      </c>
      <c r="N361" s="11">
        <f>IF(A361="","",IF(K361="",0,D361*INDEX(Products!$I$5:$I$204,K361)))</f>
        <v/>
      </c>
      <c r="O361" s="11">
        <f>IF(A361="","",IF(K361="",0,J361*INDEX(Products!$H$5:$H$204,K361)))</f>
        <v/>
      </c>
      <c r="P361" s="11">
        <f>IF(A361="","",J361-M361-N361-O361)</f>
        <v/>
      </c>
    </row>
    <row r="362">
      <c r="A362">
        <f>IFERROR(INDEX('Shopify Import'!$A:$CZ,362,Settings!$E$20)&amp;"","")</f>
        <v/>
      </c>
      <c r="B362">
        <f>IFERROR(INDEX('Shopify Import'!$A:$CZ,362,Settings!$E$21)&amp;"","")</f>
        <v/>
      </c>
      <c r="C362">
        <f>IFERROR(INDEX('Shopify Import'!$A:$CZ,362,Settings!$E$22)&amp;"","")</f>
        <v/>
      </c>
      <c r="D362">
        <f>IF(A362="","",IFERROR(VALUE(SUBSTITUTE(SUBSTITUTE(INDEX('Shopify Import'!$A:$CZ,362,Settings!$E$23)&amp;"","$",""),",","")),0))</f>
        <v/>
      </c>
      <c r="E362" s="11">
        <f>IF(A362="","",IFERROR(VALUE(SUBSTITUTE(SUBSTITUTE(INDEX('Shopify Import'!$A:$CZ,362,Settings!$E$24)&amp;"","$",""),",","")),0))</f>
        <v/>
      </c>
      <c r="F362" s="11">
        <f>IF(A362="","",D362*E362)</f>
        <v/>
      </c>
      <c r="G362">
        <f>IF(A362="","",IF(C362="",1,COUNTIF($C$2:$C$1501,C362)))</f>
        <v/>
      </c>
      <c r="H362" s="11">
        <f>IF(A362="","",IFERROR(VALUE(SUBSTITUTE(SUBSTITUTE(INDEX('Shopify Import'!$A:$CZ,362,Settings!$E$25)&amp;"","$",""),",","")),0)/IF(Settings!$D$27="Yes",G362,1))</f>
        <v/>
      </c>
      <c r="I362" s="11">
        <f>IF(A362="","",IFERROR(VALUE(SUBSTITUTE(SUBSTITUTE(INDEX('Shopify Import'!$A:$CZ,362,Settings!$E$26)&amp;"","$",""),",","")),0)/IF(Settings!$D$27="Yes",G362,1))</f>
        <v/>
      </c>
      <c r="J362" s="11">
        <f>IF(A362="","",F362+H362-I362)</f>
        <v/>
      </c>
      <c r="K362">
        <f>IF(A362="","",IFERROR(IF(B362="",NA(),MATCH(B362,Products!$B$5:$B$204,0)),IFERROR(MATCH(A362,Products!$A$5:$A$204,0),"")))</f>
        <v/>
      </c>
      <c r="L362">
        <f>IF(A362="","",IF(K362="","⚠ not in Products",INDEX(Products!$A$5:$A$204,K362)))</f>
        <v/>
      </c>
      <c r="M362" s="11">
        <f>IF(A362="","",J362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362+IFERROR(INDEX(Settings!$D$5:$D$9,MATCH("Shopify",Settings!$A$5:$A$9,0)),0)*D362)</f>
        <v/>
      </c>
      <c r="N362" s="11">
        <f>IF(A362="","",IF(K362="",0,D362*INDEX(Products!$I$5:$I$204,K362)))</f>
        <v/>
      </c>
      <c r="O362" s="11">
        <f>IF(A362="","",IF(K362="",0,J362*INDEX(Products!$H$5:$H$204,K362)))</f>
        <v/>
      </c>
      <c r="P362" s="11">
        <f>IF(A362="","",J362-M362-N362-O362)</f>
        <v/>
      </c>
    </row>
    <row r="363">
      <c r="A363">
        <f>IFERROR(INDEX('Shopify Import'!$A:$CZ,363,Settings!$E$20)&amp;"","")</f>
        <v/>
      </c>
      <c r="B363">
        <f>IFERROR(INDEX('Shopify Import'!$A:$CZ,363,Settings!$E$21)&amp;"","")</f>
        <v/>
      </c>
      <c r="C363">
        <f>IFERROR(INDEX('Shopify Import'!$A:$CZ,363,Settings!$E$22)&amp;"","")</f>
        <v/>
      </c>
      <c r="D363">
        <f>IF(A363="","",IFERROR(VALUE(SUBSTITUTE(SUBSTITUTE(INDEX('Shopify Import'!$A:$CZ,363,Settings!$E$23)&amp;"","$",""),",","")),0))</f>
        <v/>
      </c>
      <c r="E363" s="11">
        <f>IF(A363="","",IFERROR(VALUE(SUBSTITUTE(SUBSTITUTE(INDEX('Shopify Import'!$A:$CZ,363,Settings!$E$24)&amp;"","$",""),",","")),0))</f>
        <v/>
      </c>
      <c r="F363" s="11">
        <f>IF(A363="","",D363*E363)</f>
        <v/>
      </c>
      <c r="G363">
        <f>IF(A363="","",IF(C363="",1,COUNTIF($C$2:$C$1501,C363)))</f>
        <v/>
      </c>
      <c r="H363" s="11">
        <f>IF(A363="","",IFERROR(VALUE(SUBSTITUTE(SUBSTITUTE(INDEX('Shopify Import'!$A:$CZ,363,Settings!$E$25)&amp;"","$",""),",","")),0)/IF(Settings!$D$27="Yes",G363,1))</f>
        <v/>
      </c>
      <c r="I363" s="11">
        <f>IF(A363="","",IFERROR(VALUE(SUBSTITUTE(SUBSTITUTE(INDEX('Shopify Import'!$A:$CZ,363,Settings!$E$26)&amp;"","$",""),",","")),0)/IF(Settings!$D$27="Yes",G363,1))</f>
        <v/>
      </c>
      <c r="J363" s="11">
        <f>IF(A363="","",F363+H363-I363)</f>
        <v/>
      </c>
      <c r="K363">
        <f>IF(A363="","",IFERROR(IF(B363="",NA(),MATCH(B363,Products!$B$5:$B$204,0)),IFERROR(MATCH(A363,Products!$A$5:$A$204,0),"")))</f>
        <v/>
      </c>
      <c r="L363">
        <f>IF(A363="","",IF(K363="","⚠ not in Products",INDEX(Products!$A$5:$A$204,K363)))</f>
        <v/>
      </c>
      <c r="M363" s="11">
        <f>IF(A363="","",J363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363+IFERROR(INDEX(Settings!$D$5:$D$9,MATCH("Shopify",Settings!$A$5:$A$9,0)),0)*D363)</f>
        <v/>
      </c>
      <c r="N363" s="11">
        <f>IF(A363="","",IF(K363="",0,D363*INDEX(Products!$I$5:$I$204,K363)))</f>
        <v/>
      </c>
      <c r="O363" s="11">
        <f>IF(A363="","",IF(K363="",0,J363*INDEX(Products!$H$5:$H$204,K363)))</f>
        <v/>
      </c>
      <c r="P363" s="11">
        <f>IF(A363="","",J363-M363-N363-O363)</f>
        <v/>
      </c>
    </row>
    <row r="364">
      <c r="A364">
        <f>IFERROR(INDEX('Shopify Import'!$A:$CZ,364,Settings!$E$20)&amp;"","")</f>
        <v/>
      </c>
      <c r="B364">
        <f>IFERROR(INDEX('Shopify Import'!$A:$CZ,364,Settings!$E$21)&amp;"","")</f>
        <v/>
      </c>
      <c r="C364">
        <f>IFERROR(INDEX('Shopify Import'!$A:$CZ,364,Settings!$E$22)&amp;"","")</f>
        <v/>
      </c>
      <c r="D364">
        <f>IF(A364="","",IFERROR(VALUE(SUBSTITUTE(SUBSTITUTE(INDEX('Shopify Import'!$A:$CZ,364,Settings!$E$23)&amp;"","$",""),",","")),0))</f>
        <v/>
      </c>
      <c r="E364" s="11">
        <f>IF(A364="","",IFERROR(VALUE(SUBSTITUTE(SUBSTITUTE(INDEX('Shopify Import'!$A:$CZ,364,Settings!$E$24)&amp;"","$",""),",","")),0))</f>
        <v/>
      </c>
      <c r="F364" s="11">
        <f>IF(A364="","",D364*E364)</f>
        <v/>
      </c>
      <c r="G364">
        <f>IF(A364="","",IF(C364="",1,COUNTIF($C$2:$C$1501,C364)))</f>
        <v/>
      </c>
      <c r="H364" s="11">
        <f>IF(A364="","",IFERROR(VALUE(SUBSTITUTE(SUBSTITUTE(INDEX('Shopify Import'!$A:$CZ,364,Settings!$E$25)&amp;"","$",""),",","")),0)/IF(Settings!$D$27="Yes",G364,1))</f>
        <v/>
      </c>
      <c r="I364" s="11">
        <f>IF(A364="","",IFERROR(VALUE(SUBSTITUTE(SUBSTITUTE(INDEX('Shopify Import'!$A:$CZ,364,Settings!$E$26)&amp;"","$",""),",","")),0)/IF(Settings!$D$27="Yes",G364,1))</f>
        <v/>
      </c>
      <c r="J364" s="11">
        <f>IF(A364="","",F364+H364-I364)</f>
        <v/>
      </c>
      <c r="K364">
        <f>IF(A364="","",IFERROR(IF(B364="",NA(),MATCH(B364,Products!$B$5:$B$204,0)),IFERROR(MATCH(A364,Products!$A$5:$A$204,0),"")))</f>
        <v/>
      </c>
      <c r="L364">
        <f>IF(A364="","",IF(K364="","⚠ not in Products",INDEX(Products!$A$5:$A$204,K364)))</f>
        <v/>
      </c>
      <c r="M364" s="11">
        <f>IF(A364="","",J364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364+IFERROR(INDEX(Settings!$D$5:$D$9,MATCH("Shopify",Settings!$A$5:$A$9,0)),0)*D364)</f>
        <v/>
      </c>
      <c r="N364" s="11">
        <f>IF(A364="","",IF(K364="",0,D364*INDEX(Products!$I$5:$I$204,K364)))</f>
        <v/>
      </c>
      <c r="O364" s="11">
        <f>IF(A364="","",IF(K364="",0,J364*INDEX(Products!$H$5:$H$204,K364)))</f>
        <v/>
      </c>
      <c r="P364" s="11">
        <f>IF(A364="","",J364-M364-N364-O364)</f>
        <v/>
      </c>
    </row>
    <row r="365">
      <c r="A365">
        <f>IFERROR(INDEX('Shopify Import'!$A:$CZ,365,Settings!$E$20)&amp;"","")</f>
        <v/>
      </c>
      <c r="B365">
        <f>IFERROR(INDEX('Shopify Import'!$A:$CZ,365,Settings!$E$21)&amp;"","")</f>
        <v/>
      </c>
      <c r="C365">
        <f>IFERROR(INDEX('Shopify Import'!$A:$CZ,365,Settings!$E$22)&amp;"","")</f>
        <v/>
      </c>
      <c r="D365">
        <f>IF(A365="","",IFERROR(VALUE(SUBSTITUTE(SUBSTITUTE(INDEX('Shopify Import'!$A:$CZ,365,Settings!$E$23)&amp;"","$",""),",","")),0))</f>
        <v/>
      </c>
      <c r="E365" s="11">
        <f>IF(A365="","",IFERROR(VALUE(SUBSTITUTE(SUBSTITUTE(INDEX('Shopify Import'!$A:$CZ,365,Settings!$E$24)&amp;"","$",""),",","")),0))</f>
        <v/>
      </c>
      <c r="F365" s="11">
        <f>IF(A365="","",D365*E365)</f>
        <v/>
      </c>
      <c r="G365">
        <f>IF(A365="","",IF(C365="",1,COUNTIF($C$2:$C$1501,C365)))</f>
        <v/>
      </c>
      <c r="H365" s="11">
        <f>IF(A365="","",IFERROR(VALUE(SUBSTITUTE(SUBSTITUTE(INDEX('Shopify Import'!$A:$CZ,365,Settings!$E$25)&amp;"","$",""),",","")),0)/IF(Settings!$D$27="Yes",G365,1))</f>
        <v/>
      </c>
      <c r="I365" s="11">
        <f>IF(A365="","",IFERROR(VALUE(SUBSTITUTE(SUBSTITUTE(INDEX('Shopify Import'!$A:$CZ,365,Settings!$E$26)&amp;"","$",""),",","")),0)/IF(Settings!$D$27="Yes",G365,1))</f>
        <v/>
      </c>
      <c r="J365" s="11">
        <f>IF(A365="","",F365+H365-I365)</f>
        <v/>
      </c>
      <c r="K365">
        <f>IF(A365="","",IFERROR(IF(B365="",NA(),MATCH(B365,Products!$B$5:$B$204,0)),IFERROR(MATCH(A365,Products!$A$5:$A$204,0),"")))</f>
        <v/>
      </c>
      <c r="L365">
        <f>IF(A365="","",IF(K365="","⚠ not in Products",INDEX(Products!$A$5:$A$204,K365)))</f>
        <v/>
      </c>
      <c r="M365" s="11">
        <f>IF(A365="","",J365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365+IFERROR(INDEX(Settings!$D$5:$D$9,MATCH("Shopify",Settings!$A$5:$A$9,0)),0)*D365)</f>
        <v/>
      </c>
      <c r="N365" s="11">
        <f>IF(A365="","",IF(K365="",0,D365*INDEX(Products!$I$5:$I$204,K365)))</f>
        <v/>
      </c>
      <c r="O365" s="11">
        <f>IF(A365="","",IF(K365="",0,J365*INDEX(Products!$H$5:$H$204,K365)))</f>
        <v/>
      </c>
      <c r="P365" s="11">
        <f>IF(A365="","",J365-M365-N365-O365)</f>
        <v/>
      </c>
    </row>
    <row r="366">
      <c r="A366">
        <f>IFERROR(INDEX('Shopify Import'!$A:$CZ,366,Settings!$E$20)&amp;"","")</f>
        <v/>
      </c>
      <c r="B366">
        <f>IFERROR(INDEX('Shopify Import'!$A:$CZ,366,Settings!$E$21)&amp;"","")</f>
        <v/>
      </c>
      <c r="C366">
        <f>IFERROR(INDEX('Shopify Import'!$A:$CZ,366,Settings!$E$22)&amp;"","")</f>
        <v/>
      </c>
      <c r="D366">
        <f>IF(A366="","",IFERROR(VALUE(SUBSTITUTE(SUBSTITUTE(INDEX('Shopify Import'!$A:$CZ,366,Settings!$E$23)&amp;"","$",""),",","")),0))</f>
        <v/>
      </c>
      <c r="E366" s="11">
        <f>IF(A366="","",IFERROR(VALUE(SUBSTITUTE(SUBSTITUTE(INDEX('Shopify Import'!$A:$CZ,366,Settings!$E$24)&amp;"","$",""),",","")),0))</f>
        <v/>
      </c>
      <c r="F366" s="11">
        <f>IF(A366="","",D366*E366)</f>
        <v/>
      </c>
      <c r="G366">
        <f>IF(A366="","",IF(C366="",1,COUNTIF($C$2:$C$1501,C366)))</f>
        <v/>
      </c>
      <c r="H366" s="11">
        <f>IF(A366="","",IFERROR(VALUE(SUBSTITUTE(SUBSTITUTE(INDEX('Shopify Import'!$A:$CZ,366,Settings!$E$25)&amp;"","$",""),",","")),0)/IF(Settings!$D$27="Yes",G366,1))</f>
        <v/>
      </c>
      <c r="I366" s="11">
        <f>IF(A366="","",IFERROR(VALUE(SUBSTITUTE(SUBSTITUTE(INDEX('Shopify Import'!$A:$CZ,366,Settings!$E$26)&amp;"","$",""),",","")),0)/IF(Settings!$D$27="Yes",G366,1))</f>
        <v/>
      </c>
      <c r="J366" s="11">
        <f>IF(A366="","",F366+H366-I366)</f>
        <v/>
      </c>
      <c r="K366">
        <f>IF(A366="","",IFERROR(IF(B366="",NA(),MATCH(B366,Products!$B$5:$B$204,0)),IFERROR(MATCH(A366,Products!$A$5:$A$204,0),"")))</f>
        <v/>
      </c>
      <c r="L366">
        <f>IF(A366="","",IF(K366="","⚠ not in Products",INDEX(Products!$A$5:$A$204,K366)))</f>
        <v/>
      </c>
      <c r="M366" s="11">
        <f>IF(A366="","",J366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366+IFERROR(INDEX(Settings!$D$5:$D$9,MATCH("Shopify",Settings!$A$5:$A$9,0)),0)*D366)</f>
        <v/>
      </c>
      <c r="N366" s="11">
        <f>IF(A366="","",IF(K366="",0,D366*INDEX(Products!$I$5:$I$204,K366)))</f>
        <v/>
      </c>
      <c r="O366" s="11">
        <f>IF(A366="","",IF(K366="",0,J366*INDEX(Products!$H$5:$H$204,K366)))</f>
        <v/>
      </c>
      <c r="P366" s="11">
        <f>IF(A366="","",J366-M366-N366-O366)</f>
        <v/>
      </c>
    </row>
    <row r="367">
      <c r="A367">
        <f>IFERROR(INDEX('Shopify Import'!$A:$CZ,367,Settings!$E$20)&amp;"","")</f>
        <v/>
      </c>
      <c r="B367">
        <f>IFERROR(INDEX('Shopify Import'!$A:$CZ,367,Settings!$E$21)&amp;"","")</f>
        <v/>
      </c>
      <c r="C367">
        <f>IFERROR(INDEX('Shopify Import'!$A:$CZ,367,Settings!$E$22)&amp;"","")</f>
        <v/>
      </c>
      <c r="D367">
        <f>IF(A367="","",IFERROR(VALUE(SUBSTITUTE(SUBSTITUTE(INDEX('Shopify Import'!$A:$CZ,367,Settings!$E$23)&amp;"","$",""),",","")),0))</f>
        <v/>
      </c>
      <c r="E367" s="11">
        <f>IF(A367="","",IFERROR(VALUE(SUBSTITUTE(SUBSTITUTE(INDEX('Shopify Import'!$A:$CZ,367,Settings!$E$24)&amp;"","$",""),",","")),0))</f>
        <v/>
      </c>
      <c r="F367" s="11">
        <f>IF(A367="","",D367*E367)</f>
        <v/>
      </c>
      <c r="G367">
        <f>IF(A367="","",IF(C367="",1,COUNTIF($C$2:$C$1501,C367)))</f>
        <v/>
      </c>
      <c r="H367" s="11">
        <f>IF(A367="","",IFERROR(VALUE(SUBSTITUTE(SUBSTITUTE(INDEX('Shopify Import'!$A:$CZ,367,Settings!$E$25)&amp;"","$",""),",","")),0)/IF(Settings!$D$27="Yes",G367,1))</f>
        <v/>
      </c>
      <c r="I367" s="11">
        <f>IF(A367="","",IFERROR(VALUE(SUBSTITUTE(SUBSTITUTE(INDEX('Shopify Import'!$A:$CZ,367,Settings!$E$26)&amp;"","$",""),",","")),0)/IF(Settings!$D$27="Yes",G367,1))</f>
        <v/>
      </c>
      <c r="J367" s="11">
        <f>IF(A367="","",F367+H367-I367)</f>
        <v/>
      </c>
      <c r="K367">
        <f>IF(A367="","",IFERROR(IF(B367="",NA(),MATCH(B367,Products!$B$5:$B$204,0)),IFERROR(MATCH(A367,Products!$A$5:$A$204,0),"")))</f>
        <v/>
      </c>
      <c r="L367">
        <f>IF(A367="","",IF(K367="","⚠ not in Products",INDEX(Products!$A$5:$A$204,K367)))</f>
        <v/>
      </c>
      <c r="M367" s="11">
        <f>IF(A367="","",J367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367+IFERROR(INDEX(Settings!$D$5:$D$9,MATCH("Shopify",Settings!$A$5:$A$9,0)),0)*D367)</f>
        <v/>
      </c>
      <c r="N367" s="11">
        <f>IF(A367="","",IF(K367="",0,D367*INDEX(Products!$I$5:$I$204,K367)))</f>
        <v/>
      </c>
      <c r="O367" s="11">
        <f>IF(A367="","",IF(K367="",0,J367*INDEX(Products!$H$5:$H$204,K367)))</f>
        <v/>
      </c>
      <c r="P367" s="11">
        <f>IF(A367="","",J367-M367-N367-O367)</f>
        <v/>
      </c>
    </row>
    <row r="368">
      <c r="A368">
        <f>IFERROR(INDEX('Shopify Import'!$A:$CZ,368,Settings!$E$20)&amp;"","")</f>
        <v/>
      </c>
      <c r="B368">
        <f>IFERROR(INDEX('Shopify Import'!$A:$CZ,368,Settings!$E$21)&amp;"","")</f>
        <v/>
      </c>
      <c r="C368">
        <f>IFERROR(INDEX('Shopify Import'!$A:$CZ,368,Settings!$E$22)&amp;"","")</f>
        <v/>
      </c>
      <c r="D368">
        <f>IF(A368="","",IFERROR(VALUE(SUBSTITUTE(SUBSTITUTE(INDEX('Shopify Import'!$A:$CZ,368,Settings!$E$23)&amp;"","$",""),",","")),0))</f>
        <v/>
      </c>
      <c r="E368" s="11">
        <f>IF(A368="","",IFERROR(VALUE(SUBSTITUTE(SUBSTITUTE(INDEX('Shopify Import'!$A:$CZ,368,Settings!$E$24)&amp;"","$",""),",","")),0))</f>
        <v/>
      </c>
      <c r="F368" s="11">
        <f>IF(A368="","",D368*E368)</f>
        <v/>
      </c>
      <c r="G368">
        <f>IF(A368="","",IF(C368="",1,COUNTIF($C$2:$C$1501,C368)))</f>
        <v/>
      </c>
      <c r="H368" s="11">
        <f>IF(A368="","",IFERROR(VALUE(SUBSTITUTE(SUBSTITUTE(INDEX('Shopify Import'!$A:$CZ,368,Settings!$E$25)&amp;"","$",""),",","")),0)/IF(Settings!$D$27="Yes",G368,1))</f>
        <v/>
      </c>
      <c r="I368" s="11">
        <f>IF(A368="","",IFERROR(VALUE(SUBSTITUTE(SUBSTITUTE(INDEX('Shopify Import'!$A:$CZ,368,Settings!$E$26)&amp;"","$",""),",","")),0)/IF(Settings!$D$27="Yes",G368,1))</f>
        <v/>
      </c>
      <c r="J368" s="11">
        <f>IF(A368="","",F368+H368-I368)</f>
        <v/>
      </c>
      <c r="K368">
        <f>IF(A368="","",IFERROR(IF(B368="",NA(),MATCH(B368,Products!$B$5:$B$204,0)),IFERROR(MATCH(A368,Products!$A$5:$A$204,0),"")))</f>
        <v/>
      </c>
      <c r="L368">
        <f>IF(A368="","",IF(K368="","⚠ not in Products",INDEX(Products!$A$5:$A$204,K368)))</f>
        <v/>
      </c>
      <c r="M368" s="11">
        <f>IF(A368="","",J368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368+IFERROR(INDEX(Settings!$D$5:$D$9,MATCH("Shopify",Settings!$A$5:$A$9,0)),0)*D368)</f>
        <v/>
      </c>
      <c r="N368" s="11">
        <f>IF(A368="","",IF(K368="",0,D368*INDEX(Products!$I$5:$I$204,K368)))</f>
        <v/>
      </c>
      <c r="O368" s="11">
        <f>IF(A368="","",IF(K368="",0,J368*INDEX(Products!$H$5:$H$204,K368)))</f>
        <v/>
      </c>
      <c r="P368" s="11">
        <f>IF(A368="","",J368-M368-N368-O368)</f>
        <v/>
      </c>
    </row>
    <row r="369">
      <c r="A369">
        <f>IFERROR(INDEX('Shopify Import'!$A:$CZ,369,Settings!$E$20)&amp;"","")</f>
        <v/>
      </c>
      <c r="B369">
        <f>IFERROR(INDEX('Shopify Import'!$A:$CZ,369,Settings!$E$21)&amp;"","")</f>
        <v/>
      </c>
      <c r="C369">
        <f>IFERROR(INDEX('Shopify Import'!$A:$CZ,369,Settings!$E$22)&amp;"","")</f>
        <v/>
      </c>
      <c r="D369">
        <f>IF(A369="","",IFERROR(VALUE(SUBSTITUTE(SUBSTITUTE(INDEX('Shopify Import'!$A:$CZ,369,Settings!$E$23)&amp;"","$",""),",","")),0))</f>
        <v/>
      </c>
      <c r="E369" s="11">
        <f>IF(A369="","",IFERROR(VALUE(SUBSTITUTE(SUBSTITUTE(INDEX('Shopify Import'!$A:$CZ,369,Settings!$E$24)&amp;"","$",""),",","")),0))</f>
        <v/>
      </c>
      <c r="F369" s="11">
        <f>IF(A369="","",D369*E369)</f>
        <v/>
      </c>
      <c r="G369">
        <f>IF(A369="","",IF(C369="",1,COUNTIF($C$2:$C$1501,C369)))</f>
        <v/>
      </c>
      <c r="H369" s="11">
        <f>IF(A369="","",IFERROR(VALUE(SUBSTITUTE(SUBSTITUTE(INDEX('Shopify Import'!$A:$CZ,369,Settings!$E$25)&amp;"","$",""),",","")),0)/IF(Settings!$D$27="Yes",G369,1))</f>
        <v/>
      </c>
      <c r="I369" s="11">
        <f>IF(A369="","",IFERROR(VALUE(SUBSTITUTE(SUBSTITUTE(INDEX('Shopify Import'!$A:$CZ,369,Settings!$E$26)&amp;"","$",""),",","")),0)/IF(Settings!$D$27="Yes",G369,1))</f>
        <v/>
      </c>
      <c r="J369" s="11">
        <f>IF(A369="","",F369+H369-I369)</f>
        <v/>
      </c>
      <c r="K369">
        <f>IF(A369="","",IFERROR(IF(B369="",NA(),MATCH(B369,Products!$B$5:$B$204,0)),IFERROR(MATCH(A369,Products!$A$5:$A$204,0),"")))</f>
        <v/>
      </c>
      <c r="L369">
        <f>IF(A369="","",IF(K369="","⚠ not in Products",INDEX(Products!$A$5:$A$204,K369)))</f>
        <v/>
      </c>
      <c r="M369" s="11">
        <f>IF(A369="","",J369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369+IFERROR(INDEX(Settings!$D$5:$D$9,MATCH("Shopify",Settings!$A$5:$A$9,0)),0)*D369)</f>
        <v/>
      </c>
      <c r="N369" s="11">
        <f>IF(A369="","",IF(K369="",0,D369*INDEX(Products!$I$5:$I$204,K369)))</f>
        <v/>
      </c>
      <c r="O369" s="11">
        <f>IF(A369="","",IF(K369="",0,J369*INDEX(Products!$H$5:$H$204,K369)))</f>
        <v/>
      </c>
      <c r="P369" s="11">
        <f>IF(A369="","",J369-M369-N369-O369)</f>
        <v/>
      </c>
    </row>
    <row r="370">
      <c r="A370">
        <f>IFERROR(INDEX('Shopify Import'!$A:$CZ,370,Settings!$E$20)&amp;"","")</f>
        <v/>
      </c>
      <c r="B370">
        <f>IFERROR(INDEX('Shopify Import'!$A:$CZ,370,Settings!$E$21)&amp;"","")</f>
        <v/>
      </c>
      <c r="C370">
        <f>IFERROR(INDEX('Shopify Import'!$A:$CZ,370,Settings!$E$22)&amp;"","")</f>
        <v/>
      </c>
      <c r="D370">
        <f>IF(A370="","",IFERROR(VALUE(SUBSTITUTE(SUBSTITUTE(INDEX('Shopify Import'!$A:$CZ,370,Settings!$E$23)&amp;"","$",""),",","")),0))</f>
        <v/>
      </c>
      <c r="E370" s="11">
        <f>IF(A370="","",IFERROR(VALUE(SUBSTITUTE(SUBSTITUTE(INDEX('Shopify Import'!$A:$CZ,370,Settings!$E$24)&amp;"","$",""),",","")),0))</f>
        <v/>
      </c>
      <c r="F370" s="11">
        <f>IF(A370="","",D370*E370)</f>
        <v/>
      </c>
      <c r="G370">
        <f>IF(A370="","",IF(C370="",1,COUNTIF($C$2:$C$1501,C370)))</f>
        <v/>
      </c>
      <c r="H370" s="11">
        <f>IF(A370="","",IFERROR(VALUE(SUBSTITUTE(SUBSTITUTE(INDEX('Shopify Import'!$A:$CZ,370,Settings!$E$25)&amp;"","$",""),",","")),0)/IF(Settings!$D$27="Yes",G370,1))</f>
        <v/>
      </c>
      <c r="I370" s="11">
        <f>IF(A370="","",IFERROR(VALUE(SUBSTITUTE(SUBSTITUTE(INDEX('Shopify Import'!$A:$CZ,370,Settings!$E$26)&amp;"","$",""),",","")),0)/IF(Settings!$D$27="Yes",G370,1))</f>
        <v/>
      </c>
      <c r="J370" s="11">
        <f>IF(A370="","",F370+H370-I370)</f>
        <v/>
      </c>
      <c r="K370">
        <f>IF(A370="","",IFERROR(IF(B370="",NA(),MATCH(B370,Products!$B$5:$B$204,0)),IFERROR(MATCH(A370,Products!$A$5:$A$204,0),"")))</f>
        <v/>
      </c>
      <c r="L370">
        <f>IF(A370="","",IF(K370="","⚠ not in Products",INDEX(Products!$A$5:$A$204,K370)))</f>
        <v/>
      </c>
      <c r="M370" s="11">
        <f>IF(A370="","",J370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370+IFERROR(INDEX(Settings!$D$5:$D$9,MATCH("Shopify",Settings!$A$5:$A$9,0)),0)*D370)</f>
        <v/>
      </c>
      <c r="N370" s="11">
        <f>IF(A370="","",IF(K370="",0,D370*INDEX(Products!$I$5:$I$204,K370)))</f>
        <v/>
      </c>
      <c r="O370" s="11">
        <f>IF(A370="","",IF(K370="",0,J370*INDEX(Products!$H$5:$H$204,K370)))</f>
        <v/>
      </c>
      <c r="P370" s="11">
        <f>IF(A370="","",J370-M370-N370-O370)</f>
        <v/>
      </c>
    </row>
    <row r="371">
      <c r="A371">
        <f>IFERROR(INDEX('Shopify Import'!$A:$CZ,371,Settings!$E$20)&amp;"","")</f>
        <v/>
      </c>
      <c r="B371">
        <f>IFERROR(INDEX('Shopify Import'!$A:$CZ,371,Settings!$E$21)&amp;"","")</f>
        <v/>
      </c>
      <c r="C371">
        <f>IFERROR(INDEX('Shopify Import'!$A:$CZ,371,Settings!$E$22)&amp;"","")</f>
        <v/>
      </c>
      <c r="D371">
        <f>IF(A371="","",IFERROR(VALUE(SUBSTITUTE(SUBSTITUTE(INDEX('Shopify Import'!$A:$CZ,371,Settings!$E$23)&amp;"","$",""),",","")),0))</f>
        <v/>
      </c>
      <c r="E371" s="11">
        <f>IF(A371="","",IFERROR(VALUE(SUBSTITUTE(SUBSTITUTE(INDEX('Shopify Import'!$A:$CZ,371,Settings!$E$24)&amp;"","$",""),",","")),0))</f>
        <v/>
      </c>
      <c r="F371" s="11">
        <f>IF(A371="","",D371*E371)</f>
        <v/>
      </c>
      <c r="G371">
        <f>IF(A371="","",IF(C371="",1,COUNTIF($C$2:$C$1501,C371)))</f>
        <v/>
      </c>
      <c r="H371" s="11">
        <f>IF(A371="","",IFERROR(VALUE(SUBSTITUTE(SUBSTITUTE(INDEX('Shopify Import'!$A:$CZ,371,Settings!$E$25)&amp;"","$",""),",","")),0)/IF(Settings!$D$27="Yes",G371,1))</f>
        <v/>
      </c>
      <c r="I371" s="11">
        <f>IF(A371="","",IFERROR(VALUE(SUBSTITUTE(SUBSTITUTE(INDEX('Shopify Import'!$A:$CZ,371,Settings!$E$26)&amp;"","$",""),",","")),0)/IF(Settings!$D$27="Yes",G371,1))</f>
        <v/>
      </c>
      <c r="J371" s="11">
        <f>IF(A371="","",F371+H371-I371)</f>
        <v/>
      </c>
      <c r="K371">
        <f>IF(A371="","",IFERROR(IF(B371="",NA(),MATCH(B371,Products!$B$5:$B$204,0)),IFERROR(MATCH(A371,Products!$A$5:$A$204,0),"")))</f>
        <v/>
      </c>
      <c r="L371">
        <f>IF(A371="","",IF(K371="","⚠ not in Products",INDEX(Products!$A$5:$A$204,K371)))</f>
        <v/>
      </c>
      <c r="M371" s="11">
        <f>IF(A371="","",J371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371+IFERROR(INDEX(Settings!$D$5:$D$9,MATCH("Shopify",Settings!$A$5:$A$9,0)),0)*D371)</f>
        <v/>
      </c>
      <c r="N371" s="11">
        <f>IF(A371="","",IF(K371="",0,D371*INDEX(Products!$I$5:$I$204,K371)))</f>
        <v/>
      </c>
      <c r="O371" s="11">
        <f>IF(A371="","",IF(K371="",0,J371*INDEX(Products!$H$5:$H$204,K371)))</f>
        <v/>
      </c>
      <c r="P371" s="11">
        <f>IF(A371="","",J371-M371-N371-O371)</f>
        <v/>
      </c>
    </row>
    <row r="372">
      <c r="A372">
        <f>IFERROR(INDEX('Shopify Import'!$A:$CZ,372,Settings!$E$20)&amp;"","")</f>
        <v/>
      </c>
      <c r="B372">
        <f>IFERROR(INDEX('Shopify Import'!$A:$CZ,372,Settings!$E$21)&amp;"","")</f>
        <v/>
      </c>
      <c r="C372">
        <f>IFERROR(INDEX('Shopify Import'!$A:$CZ,372,Settings!$E$22)&amp;"","")</f>
        <v/>
      </c>
      <c r="D372">
        <f>IF(A372="","",IFERROR(VALUE(SUBSTITUTE(SUBSTITUTE(INDEX('Shopify Import'!$A:$CZ,372,Settings!$E$23)&amp;"","$",""),",","")),0))</f>
        <v/>
      </c>
      <c r="E372" s="11">
        <f>IF(A372="","",IFERROR(VALUE(SUBSTITUTE(SUBSTITUTE(INDEX('Shopify Import'!$A:$CZ,372,Settings!$E$24)&amp;"","$",""),",","")),0))</f>
        <v/>
      </c>
      <c r="F372" s="11">
        <f>IF(A372="","",D372*E372)</f>
        <v/>
      </c>
      <c r="G372">
        <f>IF(A372="","",IF(C372="",1,COUNTIF($C$2:$C$1501,C372)))</f>
        <v/>
      </c>
      <c r="H372" s="11">
        <f>IF(A372="","",IFERROR(VALUE(SUBSTITUTE(SUBSTITUTE(INDEX('Shopify Import'!$A:$CZ,372,Settings!$E$25)&amp;"","$",""),",","")),0)/IF(Settings!$D$27="Yes",G372,1))</f>
        <v/>
      </c>
      <c r="I372" s="11">
        <f>IF(A372="","",IFERROR(VALUE(SUBSTITUTE(SUBSTITUTE(INDEX('Shopify Import'!$A:$CZ,372,Settings!$E$26)&amp;"","$",""),",","")),0)/IF(Settings!$D$27="Yes",G372,1))</f>
        <v/>
      </c>
      <c r="J372" s="11">
        <f>IF(A372="","",F372+H372-I372)</f>
        <v/>
      </c>
      <c r="K372">
        <f>IF(A372="","",IFERROR(IF(B372="",NA(),MATCH(B372,Products!$B$5:$B$204,0)),IFERROR(MATCH(A372,Products!$A$5:$A$204,0),"")))</f>
        <v/>
      </c>
      <c r="L372">
        <f>IF(A372="","",IF(K372="","⚠ not in Products",INDEX(Products!$A$5:$A$204,K372)))</f>
        <v/>
      </c>
      <c r="M372" s="11">
        <f>IF(A372="","",J372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372+IFERROR(INDEX(Settings!$D$5:$D$9,MATCH("Shopify",Settings!$A$5:$A$9,0)),0)*D372)</f>
        <v/>
      </c>
      <c r="N372" s="11">
        <f>IF(A372="","",IF(K372="",0,D372*INDEX(Products!$I$5:$I$204,K372)))</f>
        <v/>
      </c>
      <c r="O372" s="11">
        <f>IF(A372="","",IF(K372="",0,J372*INDEX(Products!$H$5:$H$204,K372)))</f>
        <v/>
      </c>
      <c r="P372" s="11">
        <f>IF(A372="","",J372-M372-N372-O372)</f>
        <v/>
      </c>
    </row>
    <row r="373">
      <c r="A373">
        <f>IFERROR(INDEX('Shopify Import'!$A:$CZ,373,Settings!$E$20)&amp;"","")</f>
        <v/>
      </c>
      <c r="B373">
        <f>IFERROR(INDEX('Shopify Import'!$A:$CZ,373,Settings!$E$21)&amp;"","")</f>
        <v/>
      </c>
      <c r="C373">
        <f>IFERROR(INDEX('Shopify Import'!$A:$CZ,373,Settings!$E$22)&amp;"","")</f>
        <v/>
      </c>
      <c r="D373">
        <f>IF(A373="","",IFERROR(VALUE(SUBSTITUTE(SUBSTITUTE(INDEX('Shopify Import'!$A:$CZ,373,Settings!$E$23)&amp;"","$",""),",","")),0))</f>
        <v/>
      </c>
      <c r="E373" s="11">
        <f>IF(A373="","",IFERROR(VALUE(SUBSTITUTE(SUBSTITUTE(INDEX('Shopify Import'!$A:$CZ,373,Settings!$E$24)&amp;"","$",""),",","")),0))</f>
        <v/>
      </c>
      <c r="F373" s="11">
        <f>IF(A373="","",D373*E373)</f>
        <v/>
      </c>
      <c r="G373">
        <f>IF(A373="","",IF(C373="",1,COUNTIF($C$2:$C$1501,C373)))</f>
        <v/>
      </c>
      <c r="H373" s="11">
        <f>IF(A373="","",IFERROR(VALUE(SUBSTITUTE(SUBSTITUTE(INDEX('Shopify Import'!$A:$CZ,373,Settings!$E$25)&amp;"","$",""),",","")),0)/IF(Settings!$D$27="Yes",G373,1))</f>
        <v/>
      </c>
      <c r="I373" s="11">
        <f>IF(A373="","",IFERROR(VALUE(SUBSTITUTE(SUBSTITUTE(INDEX('Shopify Import'!$A:$CZ,373,Settings!$E$26)&amp;"","$",""),",","")),0)/IF(Settings!$D$27="Yes",G373,1))</f>
        <v/>
      </c>
      <c r="J373" s="11">
        <f>IF(A373="","",F373+H373-I373)</f>
        <v/>
      </c>
      <c r="K373">
        <f>IF(A373="","",IFERROR(IF(B373="",NA(),MATCH(B373,Products!$B$5:$B$204,0)),IFERROR(MATCH(A373,Products!$A$5:$A$204,0),"")))</f>
        <v/>
      </c>
      <c r="L373">
        <f>IF(A373="","",IF(K373="","⚠ not in Products",INDEX(Products!$A$5:$A$204,K373)))</f>
        <v/>
      </c>
      <c r="M373" s="11">
        <f>IF(A373="","",J373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373+IFERROR(INDEX(Settings!$D$5:$D$9,MATCH("Shopify",Settings!$A$5:$A$9,0)),0)*D373)</f>
        <v/>
      </c>
      <c r="N373" s="11">
        <f>IF(A373="","",IF(K373="",0,D373*INDEX(Products!$I$5:$I$204,K373)))</f>
        <v/>
      </c>
      <c r="O373" s="11">
        <f>IF(A373="","",IF(K373="",0,J373*INDEX(Products!$H$5:$H$204,K373)))</f>
        <v/>
      </c>
      <c r="P373" s="11">
        <f>IF(A373="","",J373-M373-N373-O373)</f>
        <v/>
      </c>
    </row>
    <row r="374">
      <c r="A374">
        <f>IFERROR(INDEX('Shopify Import'!$A:$CZ,374,Settings!$E$20)&amp;"","")</f>
        <v/>
      </c>
      <c r="B374">
        <f>IFERROR(INDEX('Shopify Import'!$A:$CZ,374,Settings!$E$21)&amp;"","")</f>
        <v/>
      </c>
      <c r="C374">
        <f>IFERROR(INDEX('Shopify Import'!$A:$CZ,374,Settings!$E$22)&amp;"","")</f>
        <v/>
      </c>
      <c r="D374">
        <f>IF(A374="","",IFERROR(VALUE(SUBSTITUTE(SUBSTITUTE(INDEX('Shopify Import'!$A:$CZ,374,Settings!$E$23)&amp;"","$",""),",","")),0))</f>
        <v/>
      </c>
      <c r="E374" s="11">
        <f>IF(A374="","",IFERROR(VALUE(SUBSTITUTE(SUBSTITUTE(INDEX('Shopify Import'!$A:$CZ,374,Settings!$E$24)&amp;"","$",""),",","")),0))</f>
        <v/>
      </c>
      <c r="F374" s="11">
        <f>IF(A374="","",D374*E374)</f>
        <v/>
      </c>
      <c r="G374">
        <f>IF(A374="","",IF(C374="",1,COUNTIF($C$2:$C$1501,C374)))</f>
        <v/>
      </c>
      <c r="H374" s="11">
        <f>IF(A374="","",IFERROR(VALUE(SUBSTITUTE(SUBSTITUTE(INDEX('Shopify Import'!$A:$CZ,374,Settings!$E$25)&amp;"","$",""),",","")),0)/IF(Settings!$D$27="Yes",G374,1))</f>
        <v/>
      </c>
      <c r="I374" s="11">
        <f>IF(A374="","",IFERROR(VALUE(SUBSTITUTE(SUBSTITUTE(INDEX('Shopify Import'!$A:$CZ,374,Settings!$E$26)&amp;"","$",""),",","")),0)/IF(Settings!$D$27="Yes",G374,1))</f>
        <v/>
      </c>
      <c r="J374" s="11">
        <f>IF(A374="","",F374+H374-I374)</f>
        <v/>
      </c>
      <c r="K374">
        <f>IF(A374="","",IFERROR(IF(B374="",NA(),MATCH(B374,Products!$B$5:$B$204,0)),IFERROR(MATCH(A374,Products!$A$5:$A$204,0),"")))</f>
        <v/>
      </c>
      <c r="L374">
        <f>IF(A374="","",IF(K374="","⚠ not in Products",INDEX(Products!$A$5:$A$204,K374)))</f>
        <v/>
      </c>
      <c r="M374" s="11">
        <f>IF(A374="","",J374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374+IFERROR(INDEX(Settings!$D$5:$D$9,MATCH("Shopify",Settings!$A$5:$A$9,0)),0)*D374)</f>
        <v/>
      </c>
      <c r="N374" s="11">
        <f>IF(A374="","",IF(K374="",0,D374*INDEX(Products!$I$5:$I$204,K374)))</f>
        <v/>
      </c>
      <c r="O374" s="11">
        <f>IF(A374="","",IF(K374="",0,J374*INDEX(Products!$H$5:$H$204,K374)))</f>
        <v/>
      </c>
      <c r="P374" s="11">
        <f>IF(A374="","",J374-M374-N374-O374)</f>
        <v/>
      </c>
    </row>
    <row r="375">
      <c r="A375">
        <f>IFERROR(INDEX('Shopify Import'!$A:$CZ,375,Settings!$E$20)&amp;"","")</f>
        <v/>
      </c>
      <c r="B375">
        <f>IFERROR(INDEX('Shopify Import'!$A:$CZ,375,Settings!$E$21)&amp;"","")</f>
        <v/>
      </c>
      <c r="C375">
        <f>IFERROR(INDEX('Shopify Import'!$A:$CZ,375,Settings!$E$22)&amp;"","")</f>
        <v/>
      </c>
      <c r="D375">
        <f>IF(A375="","",IFERROR(VALUE(SUBSTITUTE(SUBSTITUTE(INDEX('Shopify Import'!$A:$CZ,375,Settings!$E$23)&amp;"","$",""),",","")),0))</f>
        <v/>
      </c>
      <c r="E375" s="11">
        <f>IF(A375="","",IFERROR(VALUE(SUBSTITUTE(SUBSTITUTE(INDEX('Shopify Import'!$A:$CZ,375,Settings!$E$24)&amp;"","$",""),",","")),0))</f>
        <v/>
      </c>
      <c r="F375" s="11">
        <f>IF(A375="","",D375*E375)</f>
        <v/>
      </c>
      <c r="G375">
        <f>IF(A375="","",IF(C375="",1,COUNTIF($C$2:$C$1501,C375)))</f>
        <v/>
      </c>
      <c r="H375" s="11">
        <f>IF(A375="","",IFERROR(VALUE(SUBSTITUTE(SUBSTITUTE(INDEX('Shopify Import'!$A:$CZ,375,Settings!$E$25)&amp;"","$",""),",","")),0)/IF(Settings!$D$27="Yes",G375,1))</f>
        <v/>
      </c>
      <c r="I375" s="11">
        <f>IF(A375="","",IFERROR(VALUE(SUBSTITUTE(SUBSTITUTE(INDEX('Shopify Import'!$A:$CZ,375,Settings!$E$26)&amp;"","$",""),",","")),0)/IF(Settings!$D$27="Yes",G375,1))</f>
        <v/>
      </c>
      <c r="J375" s="11">
        <f>IF(A375="","",F375+H375-I375)</f>
        <v/>
      </c>
      <c r="K375">
        <f>IF(A375="","",IFERROR(IF(B375="",NA(),MATCH(B375,Products!$B$5:$B$204,0)),IFERROR(MATCH(A375,Products!$A$5:$A$204,0),"")))</f>
        <v/>
      </c>
      <c r="L375">
        <f>IF(A375="","",IF(K375="","⚠ not in Products",INDEX(Products!$A$5:$A$204,K375)))</f>
        <v/>
      </c>
      <c r="M375" s="11">
        <f>IF(A375="","",J375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375+IFERROR(INDEX(Settings!$D$5:$D$9,MATCH("Shopify",Settings!$A$5:$A$9,0)),0)*D375)</f>
        <v/>
      </c>
      <c r="N375" s="11">
        <f>IF(A375="","",IF(K375="",0,D375*INDEX(Products!$I$5:$I$204,K375)))</f>
        <v/>
      </c>
      <c r="O375" s="11">
        <f>IF(A375="","",IF(K375="",0,J375*INDEX(Products!$H$5:$H$204,K375)))</f>
        <v/>
      </c>
      <c r="P375" s="11">
        <f>IF(A375="","",J375-M375-N375-O375)</f>
        <v/>
      </c>
    </row>
    <row r="376">
      <c r="A376">
        <f>IFERROR(INDEX('Shopify Import'!$A:$CZ,376,Settings!$E$20)&amp;"","")</f>
        <v/>
      </c>
      <c r="B376">
        <f>IFERROR(INDEX('Shopify Import'!$A:$CZ,376,Settings!$E$21)&amp;"","")</f>
        <v/>
      </c>
      <c r="C376">
        <f>IFERROR(INDEX('Shopify Import'!$A:$CZ,376,Settings!$E$22)&amp;"","")</f>
        <v/>
      </c>
      <c r="D376">
        <f>IF(A376="","",IFERROR(VALUE(SUBSTITUTE(SUBSTITUTE(INDEX('Shopify Import'!$A:$CZ,376,Settings!$E$23)&amp;"","$",""),",","")),0))</f>
        <v/>
      </c>
      <c r="E376" s="11">
        <f>IF(A376="","",IFERROR(VALUE(SUBSTITUTE(SUBSTITUTE(INDEX('Shopify Import'!$A:$CZ,376,Settings!$E$24)&amp;"","$",""),",","")),0))</f>
        <v/>
      </c>
      <c r="F376" s="11">
        <f>IF(A376="","",D376*E376)</f>
        <v/>
      </c>
      <c r="G376">
        <f>IF(A376="","",IF(C376="",1,COUNTIF($C$2:$C$1501,C376)))</f>
        <v/>
      </c>
      <c r="H376" s="11">
        <f>IF(A376="","",IFERROR(VALUE(SUBSTITUTE(SUBSTITUTE(INDEX('Shopify Import'!$A:$CZ,376,Settings!$E$25)&amp;"","$",""),",","")),0)/IF(Settings!$D$27="Yes",G376,1))</f>
        <v/>
      </c>
      <c r="I376" s="11">
        <f>IF(A376="","",IFERROR(VALUE(SUBSTITUTE(SUBSTITUTE(INDEX('Shopify Import'!$A:$CZ,376,Settings!$E$26)&amp;"","$",""),",","")),0)/IF(Settings!$D$27="Yes",G376,1))</f>
        <v/>
      </c>
      <c r="J376" s="11">
        <f>IF(A376="","",F376+H376-I376)</f>
        <v/>
      </c>
      <c r="K376">
        <f>IF(A376="","",IFERROR(IF(B376="",NA(),MATCH(B376,Products!$B$5:$B$204,0)),IFERROR(MATCH(A376,Products!$A$5:$A$204,0),"")))</f>
        <v/>
      </c>
      <c r="L376">
        <f>IF(A376="","",IF(K376="","⚠ not in Products",INDEX(Products!$A$5:$A$204,K376)))</f>
        <v/>
      </c>
      <c r="M376" s="11">
        <f>IF(A376="","",J376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376+IFERROR(INDEX(Settings!$D$5:$D$9,MATCH("Shopify",Settings!$A$5:$A$9,0)),0)*D376)</f>
        <v/>
      </c>
      <c r="N376" s="11">
        <f>IF(A376="","",IF(K376="",0,D376*INDEX(Products!$I$5:$I$204,K376)))</f>
        <v/>
      </c>
      <c r="O376" s="11">
        <f>IF(A376="","",IF(K376="",0,J376*INDEX(Products!$H$5:$H$204,K376)))</f>
        <v/>
      </c>
      <c r="P376" s="11">
        <f>IF(A376="","",J376-M376-N376-O376)</f>
        <v/>
      </c>
    </row>
    <row r="377">
      <c r="A377">
        <f>IFERROR(INDEX('Shopify Import'!$A:$CZ,377,Settings!$E$20)&amp;"","")</f>
        <v/>
      </c>
      <c r="B377">
        <f>IFERROR(INDEX('Shopify Import'!$A:$CZ,377,Settings!$E$21)&amp;"","")</f>
        <v/>
      </c>
      <c r="C377">
        <f>IFERROR(INDEX('Shopify Import'!$A:$CZ,377,Settings!$E$22)&amp;"","")</f>
        <v/>
      </c>
      <c r="D377">
        <f>IF(A377="","",IFERROR(VALUE(SUBSTITUTE(SUBSTITUTE(INDEX('Shopify Import'!$A:$CZ,377,Settings!$E$23)&amp;"","$",""),",","")),0))</f>
        <v/>
      </c>
      <c r="E377" s="11">
        <f>IF(A377="","",IFERROR(VALUE(SUBSTITUTE(SUBSTITUTE(INDEX('Shopify Import'!$A:$CZ,377,Settings!$E$24)&amp;"","$",""),",","")),0))</f>
        <v/>
      </c>
      <c r="F377" s="11">
        <f>IF(A377="","",D377*E377)</f>
        <v/>
      </c>
      <c r="G377">
        <f>IF(A377="","",IF(C377="",1,COUNTIF($C$2:$C$1501,C377)))</f>
        <v/>
      </c>
      <c r="H377" s="11">
        <f>IF(A377="","",IFERROR(VALUE(SUBSTITUTE(SUBSTITUTE(INDEX('Shopify Import'!$A:$CZ,377,Settings!$E$25)&amp;"","$",""),",","")),0)/IF(Settings!$D$27="Yes",G377,1))</f>
        <v/>
      </c>
      <c r="I377" s="11">
        <f>IF(A377="","",IFERROR(VALUE(SUBSTITUTE(SUBSTITUTE(INDEX('Shopify Import'!$A:$CZ,377,Settings!$E$26)&amp;"","$",""),",","")),0)/IF(Settings!$D$27="Yes",G377,1))</f>
        <v/>
      </c>
      <c r="J377" s="11">
        <f>IF(A377="","",F377+H377-I377)</f>
        <v/>
      </c>
      <c r="K377">
        <f>IF(A377="","",IFERROR(IF(B377="",NA(),MATCH(B377,Products!$B$5:$B$204,0)),IFERROR(MATCH(A377,Products!$A$5:$A$204,0),"")))</f>
        <v/>
      </c>
      <c r="L377">
        <f>IF(A377="","",IF(K377="","⚠ not in Products",INDEX(Products!$A$5:$A$204,K377)))</f>
        <v/>
      </c>
      <c r="M377" s="11">
        <f>IF(A377="","",J377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377+IFERROR(INDEX(Settings!$D$5:$D$9,MATCH("Shopify",Settings!$A$5:$A$9,0)),0)*D377)</f>
        <v/>
      </c>
      <c r="N377" s="11">
        <f>IF(A377="","",IF(K377="",0,D377*INDEX(Products!$I$5:$I$204,K377)))</f>
        <v/>
      </c>
      <c r="O377" s="11">
        <f>IF(A377="","",IF(K377="",0,J377*INDEX(Products!$H$5:$H$204,K377)))</f>
        <v/>
      </c>
      <c r="P377" s="11">
        <f>IF(A377="","",J377-M377-N377-O377)</f>
        <v/>
      </c>
    </row>
    <row r="378">
      <c r="A378">
        <f>IFERROR(INDEX('Shopify Import'!$A:$CZ,378,Settings!$E$20)&amp;"","")</f>
        <v/>
      </c>
      <c r="B378">
        <f>IFERROR(INDEX('Shopify Import'!$A:$CZ,378,Settings!$E$21)&amp;"","")</f>
        <v/>
      </c>
      <c r="C378">
        <f>IFERROR(INDEX('Shopify Import'!$A:$CZ,378,Settings!$E$22)&amp;"","")</f>
        <v/>
      </c>
      <c r="D378">
        <f>IF(A378="","",IFERROR(VALUE(SUBSTITUTE(SUBSTITUTE(INDEX('Shopify Import'!$A:$CZ,378,Settings!$E$23)&amp;"","$",""),",","")),0))</f>
        <v/>
      </c>
      <c r="E378" s="11">
        <f>IF(A378="","",IFERROR(VALUE(SUBSTITUTE(SUBSTITUTE(INDEX('Shopify Import'!$A:$CZ,378,Settings!$E$24)&amp;"","$",""),",","")),0))</f>
        <v/>
      </c>
      <c r="F378" s="11">
        <f>IF(A378="","",D378*E378)</f>
        <v/>
      </c>
      <c r="G378">
        <f>IF(A378="","",IF(C378="",1,COUNTIF($C$2:$C$1501,C378)))</f>
        <v/>
      </c>
      <c r="H378" s="11">
        <f>IF(A378="","",IFERROR(VALUE(SUBSTITUTE(SUBSTITUTE(INDEX('Shopify Import'!$A:$CZ,378,Settings!$E$25)&amp;"","$",""),",","")),0)/IF(Settings!$D$27="Yes",G378,1))</f>
        <v/>
      </c>
      <c r="I378" s="11">
        <f>IF(A378="","",IFERROR(VALUE(SUBSTITUTE(SUBSTITUTE(INDEX('Shopify Import'!$A:$CZ,378,Settings!$E$26)&amp;"","$",""),",","")),0)/IF(Settings!$D$27="Yes",G378,1))</f>
        <v/>
      </c>
      <c r="J378" s="11">
        <f>IF(A378="","",F378+H378-I378)</f>
        <v/>
      </c>
      <c r="K378">
        <f>IF(A378="","",IFERROR(IF(B378="",NA(),MATCH(B378,Products!$B$5:$B$204,0)),IFERROR(MATCH(A378,Products!$A$5:$A$204,0),"")))</f>
        <v/>
      </c>
      <c r="L378">
        <f>IF(A378="","",IF(K378="","⚠ not in Products",INDEX(Products!$A$5:$A$204,K378)))</f>
        <v/>
      </c>
      <c r="M378" s="11">
        <f>IF(A378="","",J378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378+IFERROR(INDEX(Settings!$D$5:$D$9,MATCH("Shopify",Settings!$A$5:$A$9,0)),0)*D378)</f>
        <v/>
      </c>
      <c r="N378" s="11">
        <f>IF(A378="","",IF(K378="",0,D378*INDEX(Products!$I$5:$I$204,K378)))</f>
        <v/>
      </c>
      <c r="O378" s="11">
        <f>IF(A378="","",IF(K378="",0,J378*INDEX(Products!$H$5:$H$204,K378)))</f>
        <v/>
      </c>
      <c r="P378" s="11">
        <f>IF(A378="","",J378-M378-N378-O378)</f>
        <v/>
      </c>
    </row>
    <row r="379">
      <c r="A379">
        <f>IFERROR(INDEX('Shopify Import'!$A:$CZ,379,Settings!$E$20)&amp;"","")</f>
        <v/>
      </c>
      <c r="B379">
        <f>IFERROR(INDEX('Shopify Import'!$A:$CZ,379,Settings!$E$21)&amp;"","")</f>
        <v/>
      </c>
      <c r="C379">
        <f>IFERROR(INDEX('Shopify Import'!$A:$CZ,379,Settings!$E$22)&amp;"","")</f>
        <v/>
      </c>
      <c r="D379">
        <f>IF(A379="","",IFERROR(VALUE(SUBSTITUTE(SUBSTITUTE(INDEX('Shopify Import'!$A:$CZ,379,Settings!$E$23)&amp;"","$",""),",","")),0))</f>
        <v/>
      </c>
      <c r="E379" s="11">
        <f>IF(A379="","",IFERROR(VALUE(SUBSTITUTE(SUBSTITUTE(INDEX('Shopify Import'!$A:$CZ,379,Settings!$E$24)&amp;"","$",""),",","")),0))</f>
        <v/>
      </c>
      <c r="F379" s="11">
        <f>IF(A379="","",D379*E379)</f>
        <v/>
      </c>
      <c r="G379">
        <f>IF(A379="","",IF(C379="",1,COUNTIF($C$2:$C$1501,C379)))</f>
        <v/>
      </c>
      <c r="H379" s="11">
        <f>IF(A379="","",IFERROR(VALUE(SUBSTITUTE(SUBSTITUTE(INDEX('Shopify Import'!$A:$CZ,379,Settings!$E$25)&amp;"","$",""),",","")),0)/IF(Settings!$D$27="Yes",G379,1))</f>
        <v/>
      </c>
      <c r="I379" s="11">
        <f>IF(A379="","",IFERROR(VALUE(SUBSTITUTE(SUBSTITUTE(INDEX('Shopify Import'!$A:$CZ,379,Settings!$E$26)&amp;"","$",""),",","")),0)/IF(Settings!$D$27="Yes",G379,1))</f>
        <v/>
      </c>
      <c r="J379" s="11">
        <f>IF(A379="","",F379+H379-I379)</f>
        <v/>
      </c>
      <c r="K379">
        <f>IF(A379="","",IFERROR(IF(B379="",NA(),MATCH(B379,Products!$B$5:$B$204,0)),IFERROR(MATCH(A379,Products!$A$5:$A$204,0),"")))</f>
        <v/>
      </c>
      <c r="L379">
        <f>IF(A379="","",IF(K379="","⚠ not in Products",INDEX(Products!$A$5:$A$204,K379)))</f>
        <v/>
      </c>
      <c r="M379" s="11">
        <f>IF(A379="","",J379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379+IFERROR(INDEX(Settings!$D$5:$D$9,MATCH("Shopify",Settings!$A$5:$A$9,0)),0)*D379)</f>
        <v/>
      </c>
      <c r="N379" s="11">
        <f>IF(A379="","",IF(K379="",0,D379*INDEX(Products!$I$5:$I$204,K379)))</f>
        <v/>
      </c>
      <c r="O379" s="11">
        <f>IF(A379="","",IF(K379="",0,J379*INDEX(Products!$H$5:$H$204,K379)))</f>
        <v/>
      </c>
      <c r="P379" s="11">
        <f>IF(A379="","",J379-M379-N379-O379)</f>
        <v/>
      </c>
    </row>
    <row r="380">
      <c r="A380">
        <f>IFERROR(INDEX('Shopify Import'!$A:$CZ,380,Settings!$E$20)&amp;"","")</f>
        <v/>
      </c>
      <c r="B380">
        <f>IFERROR(INDEX('Shopify Import'!$A:$CZ,380,Settings!$E$21)&amp;"","")</f>
        <v/>
      </c>
      <c r="C380">
        <f>IFERROR(INDEX('Shopify Import'!$A:$CZ,380,Settings!$E$22)&amp;"","")</f>
        <v/>
      </c>
      <c r="D380">
        <f>IF(A380="","",IFERROR(VALUE(SUBSTITUTE(SUBSTITUTE(INDEX('Shopify Import'!$A:$CZ,380,Settings!$E$23)&amp;"","$",""),",","")),0))</f>
        <v/>
      </c>
      <c r="E380" s="11">
        <f>IF(A380="","",IFERROR(VALUE(SUBSTITUTE(SUBSTITUTE(INDEX('Shopify Import'!$A:$CZ,380,Settings!$E$24)&amp;"","$",""),",","")),0))</f>
        <v/>
      </c>
      <c r="F380" s="11">
        <f>IF(A380="","",D380*E380)</f>
        <v/>
      </c>
      <c r="G380">
        <f>IF(A380="","",IF(C380="",1,COUNTIF($C$2:$C$1501,C380)))</f>
        <v/>
      </c>
      <c r="H380" s="11">
        <f>IF(A380="","",IFERROR(VALUE(SUBSTITUTE(SUBSTITUTE(INDEX('Shopify Import'!$A:$CZ,380,Settings!$E$25)&amp;"","$",""),",","")),0)/IF(Settings!$D$27="Yes",G380,1))</f>
        <v/>
      </c>
      <c r="I380" s="11">
        <f>IF(A380="","",IFERROR(VALUE(SUBSTITUTE(SUBSTITUTE(INDEX('Shopify Import'!$A:$CZ,380,Settings!$E$26)&amp;"","$",""),",","")),0)/IF(Settings!$D$27="Yes",G380,1))</f>
        <v/>
      </c>
      <c r="J380" s="11">
        <f>IF(A380="","",F380+H380-I380)</f>
        <v/>
      </c>
      <c r="K380">
        <f>IF(A380="","",IFERROR(IF(B380="",NA(),MATCH(B380,Products!$B$5:$B$204,0)),IFERROR(MATCH(A380,Products!$A$5:$A$204,0),"")))</f>
        <v/>
      </c>
      <c r="L380">
        <f>IF(A380="","",IF(K380="","⚠ not in Products",INDEX(Products!$A$5:$A$204,K380)))</f>
        <v/>
      </c>
      <c r="M380" s="11">
        <f>IF(A380="","",J380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380+IFERROR(INDEX(Settings!$D$5:$D$9,MATCH("Shopify",Settings!$A$5:$A$9,0)),0)*D380)</f>
        <v/>
      </c>
      <c r="N380" s="11">
        <f>IF(A380="","",IF(K380="",0,D380*INDEX(Products!$I$5:$I$204,K380)))</f>
        <v/>
      </c>
      <c r="O380" s="11">
        <f>IF(A380="","",IF(K380="",0,J380*INDEX(Products!$H$5:$H$204,K380)))</f>
        <v/>
      </c>
      <c r="P380" s="11">
        <f>IF(A380="","",J380-M380-N380-O380)</f>
        <v/>
      </c>
    </row>
    <row r="381">
      <c r="A381">
        <f>IFERROR(INDEX('Shopify Import'!$A:$CZ,381,Settings!$E$20)&amp;"","")</f>
        <v/>
      </c>
      <c r="B381">
        <f>IFERROR(INDEX('Shopify Import'!$A:$CZ,381,Settings!$E$21)&amp;"","")</f>
        <v/>
      </c>
      <c r="C381">
        <f>IFERROR(INDEX('Shopify Import'!$A:$CZ,381,Settings!$E$22)&amp;"","")</f>
        <v/>
      </c>
      <c r="D381">
        <f>IF(A381="","",IFERROR(VALUE(SUBSTITUTE(SUBSTITUTE(INDEX('Shopify Import'!$A:$CZ,381,Settings!$E$23)&amp;"","$",""),",","")),0))</f>
        <v/>
      </c>
      <c r="E381" s="11">
        <f>IF(A381="","",IFERROR(VALUE(SUBSTITUTE(SUBSTITUTE(INDEX('Shopify Import'!$A:$CZ,381,Settings!$E$24)&amp;"","$",""),",","")),0))</f>
        <v/>
      </c>
      <c r="F381" s="11">
        <f>IF(A381="","",D381*E381)</f>
        <v/>
      </c>
      <c r="G381">
        <f>IF(A381="","",IF(C381="",1,COUNTIF($C$2:$C$1501,C381)))</f>
        <v/>
      </c>
      <c r="H381" s="11">
        <f>IF(A381="","",IFERROR(VALUE(SUBSTITUTE(SUBSTITUTE(INDEX('Shopify Import'!$A:$CZ,381,Settings!$E$25)&amp;"","$",""),",","")),0)/IF(Settings!$D$27="Yes",G381,1))</f>
        <v/>
      </c>
      <c r="I381" s="11">
        <f>IF(A381="","",IFERROR(VALUE(SUBSTITUTE(SUBSTITUTE(INDEX('Shopify Import'!$A:$CZ,381,Settings!$E$26)&amp;"","$",""),",","")),0)/IF(Settings!$D$27="Yes",G381,1))</f>
        <v/>
      </c>
      <c r="J381" s="11">
        <f>IF(A381="","",F381+H381-I381)</f>
        <v/>
      </c>
      <c r="K381">
        <f>IF(A381="","",IFERROR(IF(B381="",NA(),MATCH(B381,Products!$B$5:$B$204,0)),IFERROR(MATCH(A381,Products!$A$5:$A$204,0),"")))</f>
        <v/>
      </c>
      <c r="L381">
        <f>IF(A381="","",IF(K381="","⚠ not in Products",INDEX(Products!$A$5:$A$204,K381)))</f>
        <v/>
      </c>
      <c r="M381" s="11">
        <f>IF(A381="","",J381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381+IFERROR(INDEX(Settings!$D$5:$D$9,MATCH("Shopify",Settings!$A$5:$A$9,0)),0)*D381)</f>
        <v/>
      </c>
      <c r="N381" s="11">
        <f>IF(A381="","",IF(K381="",0,D381*INDEX(Products!$I$5:$I$204,K381)))</f>
        <v/>
      </c>
      <c r="O381" s="11">
        <f>IF(A381="","",IF(K381="",0,J381*INDEX(Products!$H$5:$H$204,K381)))</f>
        <v/>
      </c>
      <c r="P381" s="11">
        <f>IF(A381="","",J381-M381-N381-O381)</f>
        <v/>
      </c>
    </row>
    <row r="382">
      <c r="A382">
        <f>IFERROR(INDEX('Shopify Import'!$A:$CZ,382,Settings!$E$20)&amp;"","")</f>
        <v/>
      </c>
      <c r="B382">
        <f>IFERROR(INDEX('Shopify Import'!$A:$CZ,382,Settings!$E$21)&amp;"","")</f>
        <v/>
      </c>
      <c r="C382">
        <f>IFERROR(INDEX('Shopify Import'!$A:$CZ,382,Settings!$E$22)&amp;"","")</f>
        <v/>
      </c>
      <c r="D382">
        <f>IF(A382="","",IFERROR(VALUE(SUBSTITUTE(SUBSTITUTE(INDEX('Shopify Import'!$A:$CZ,382,Settings!$E$23)&amp;"","$",""),",","")),0))</f>
        <v/>
      </c>
      <c r="E382" s="11">
        <f>IF(A382="","",IFERROR(VALUE(SUBSTITUTE(SUBSTITUTE(INDEX('Shopify Import'!$A:$CZ,382,Settings!$E$24)&amp;"","$",""),",","")),0))</f>
        <v/>
      </c>
      <c r="F382" s="11">
        <f>IF(A382="","",D382*E382)</f>
        <v/>
      </c>
      <c r="G382">
        <f>IF(A382="","",IF(C382="",1,COUNTIF($C$2:$C$1501,C382)))</f>
        <v/>
      </c>
      <c r="H382" s="11">
        <f>IF(A382="","",IFERROR(VALUE(SUBSTITUTE(SUBSTITUTE(INDEX('Shopify Import'!$A:$CZ,382,Settings!$E$25)&amp;"","$",""),",","")),0)/IF(Settings!$D$27="Yes",G382,1))</f>
        <v/>
      </c>
      <c r="I382" s="11">
        <f>IF(A382="","",IFERROR(VALUE(SUBSTITUTE(SUBSTITUTE(INDEX('Shopify Import'!$A:$CZ,382,Settings!$E$26)&amp;"","$",""),",","")),0)/IF(Settings!$D$27="Yes",G382,1))</f>
        <v/>
      </c>
      <c r="J382" s="11">
        <f>IF(A382="","",F382+H382-I382)</f>
        <v/>
      </c>
      <c r="K382">
        <f>IF(A382="","",IFERROR(IF(B382="",NA(),MATCH(B382,Products!$B$5:$B$204,0)),IFERROR(MATCH(A382,Products!$A$5:$A$204,0),"")))</f>
        <v/>
      </c>
      <c r="L382">
        <f>IF(A382="","",IF(K382="","⚠ not in Products",INDEX(Products!$A$5:$A$204,K382)))</f>
        <v/>
      </c>
      <c r="M382" s="11">
        <f>IF(A382="","",J382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382+IFERROR(INDEX(Settings!$D$5:$D$9,MATCH("Shopify",Settings!$A$5:$A$9,0)),0)*D382)</f>
        <v/>
      </c>
      <c r="N382" s="11">
        <f>IF(A382="","",IF(K382="",0,D382*INDEX(Products!$I$5:$I$204,K382)))</f>
        <v/>
      </c>
      <c r="O382" s="11">
        <f>IF(A382="","",IF(K382="",0,J382*INDEX(Products!$H$5:$H$204,K382)))</f>
        <v/>
      </c>
      <c r="P382" s="11">
        <f>IF(A382="","",J382-M382-N382-O382)</f>
        <v/>
      </c>
    </row>
    <row r="383">
      <c r="A383">
        <f>IFERROR(INDEX('Shopify Import'!$A:$CZ,383,Settings!$E$20)&amp;"","")</f>
        <v/>
      </c>
      <c r="B383">
        <f>IFERROR(INDEX('Shopify Import'!$A:$CZ,383,Settings!$E$21)&amp;"","")</f>
        <v/>
      </c>
      <c r="C383">
        <f>IFERROR(INDEX('Shopify Import'!$A:$CZ,383,Settings!$E$22)&amp;"","")</f>
        <v/>
      </c>
      <c r="D383">
        <f>IF(A383="","",IFERROR(VALUE(SUBSTITUTE(SUBSTITUTE(INDEX('Shopify Import'!$A:$CZ,383,Settings!$E$23)&amp;"","$",""),",","")),0))</f>
        <v/>
      </c>
      <c r="E383" s="11">
        <f>IF(A383="","",IFERROR(VALUE(SUBSTITUTE(SUBSTITUTE(INDEX('Shopify Import'!$A:$CZ,383,Settings!$E$24)&amp;"","$",""),",","")),0))</f>
        <v/>
      </c>
      <c r="F383" s="11">
        <f>IF(A383="","",D383*E383)</f>
        <v/>
      </c>
      <c r="G383">
        <f>IF(A383="","",IF(C383="",1,COUNTIF($C$2:$C$1501,C383)))</f>
        <v/>
      </c>
      <c r="H383" s="11">
        <f>IF(A383="","",IFERROR(VALUE(SUBSTITUTE(SUBSTITUTE(INDEX('Shopify Import'!$A:$CZ,383,Settings!$E$25)&amp;"","$",""),",","")),0)/IF(Settings!$D$27="Yes",G383,1))</f>
        <v/>
      </c>
      <c r="I383" s="11">
        <f>IF(A383="","",IFERROR(VALUE(SUBSTITUTE(SUBSTITUTE(INDEX('Shopify Import'!$A:$CZ,383,Settings!$E$26)&amp;"","$",""),",","")),0)/IF(Settings!$D$27="Yes",G383,1))</f>
        <v/>
      </c>
      <c r="J383" s="11">
        <f>IF(A383="","",F383+H383-I383)</f>
        <v/>
      </c>
      <c r="K383">
        <f>IF(A383="","",IFERROR(IF(B383="",NA(),MATCH(B383,Products!$B$5:$B$204,0)),IFERROR(MATCH(A383,Products!$A$5:$A$204,0),"")))</f>
        <v/>
      </c>
      <c r="L383">
        <f>IF(A383="","",IF(K383="","⚠ not in Products",INDEX(Products!$A$5:$A$204,K383)))</f>
        <v/>
      </c>
      <c r="M383" s="11">
        <f>IF(A383="","",J383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383+IFERROR(INDEX(Settings!$D$5:$D$9,MATCH("Shopify",Settings!$A$5:$A$9,0)),0)*D383)</f>
        <v/>
      </c>
      <c r="N383" s="11">
        <f>IF(A383="","",IF(K383="",0,D383*INDEX(Products!$I$5:$I$204,K383)))</f>
        <v/>
      </c>
      <c r="O383" s="11">
        <f>IF(A383="","",IF(K383="",0,J383*INDEX(Products!$H$5:$H$204,K383)))</f>
        <v/>
      </c>
      <c r="P383" s="11">
        <f>IF(A383="","",J383-M383-N383-O383)</f>
        <v/>
      </c>
    </row>
    <row r="384">
      <c r="A384">
        <f>IFERROR(INDEX('Shopify Import'!$A:$CZ,384,Settings!$E$20)&amp;"","")</f>
        <v/>
      </c>
      <c r="B384">
        <f>IFERROR(INDEX('Shopify Import'!$A:$CZ,384,Settings!$E$21)&amp;"","")</f>
        <v/>
      </c>
      <c r="C384">
        <f>IFERROR(INDEX('Shopify Import'!$A:$CZ,384,Settings!$E$22)&amp;"","")</f>
        <v/>
      </c>
      <c r="D384">
        <f>IF(A384="","",IFERROR(VALUE(SUBSTITUTE(SUBSTITUTE(INDEX('Shopify Import'!$A:$CZ,384,Settings!$E$23)&amp;"","$",""),",","")),0))</f>
        <v/>
      </c>
      <c r="E384" s="11">
        <f>IF(A384="","",IFERROR(VALUE(SUBSTITUTE(SUBSTITUTE(INDEX('Shopify Import'!$A:$CZ,384,Settings!$E$24)&amp;"","$",""),",","")),0))</f>
        <v/>
      </c>
      <c r="F384" s="11">
        <f>IF(A384="","",D384*E384)</f>
        <v/>
      </c>
      <c r="G384">
        <f>IF(A384="","",IF(C384="",1,COUNTIF($C$2:$C$1501,C384)))</f>
        <v/>
      </c>
      <c r="H384" s="11">
        <f>IF(A384="","",IFERROR(VALUE(SUBSTITUTE(SUBSTITUTE(INDEX('Shopify Import'!$A:$CZ,384,Settings!$E$25)&amp;"","$",""),",","")),0)/IF(Settings!$D$27="Yes",G384,1))</f>
        <v/>
      </c>
      <c r="I384" s="11">
        <f>IF(A384="","",IFERROR(VALUE(SUBSTITUTE(SUBSTITUTE(INDEX('Shopify Import'!$A:$CZ,384,Settings!$E$26)&amp;"","$",""),",","")),0)/IF(Settings!$D$27="Yes",G384,1))</f>
        <v/>
      </c>
      <c r="J384" s="11">
        <f>IF(A384="","",F384+H384-I384)</f>
        <v/>
      </c>
      <c r="K384">
        <f>IF(A384="","",IFERROR(IF(B384="",NA(),MATCH(B384,Products!$B$5:$B$204,0)),IFERROR(MATCH(A384,Products!$A$5:$A$204,0),"")))</f>
        <v/>
      </c>
      <c r="L384">
        <f>IF(A384="","",IF(K384="","⚠ not in Products",INDEX(Products!$A$5:$A$204,K384)))</f>
        <v/>
      </c>
      <c r="M384" s="11">
        <f>IF(A384="","",J384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384+IFERROR(INDEX(Settings!$D$5:$D$9,MATCH("Shopify",Settings!$A$5:$A$9,0)),0)*D384)</f>
        <v/>
      </c>
      <c r="N384" s="11">
        <f>IF(A384="","",IF(K384="",0,D384*INDEX(Products!$I$5:$I$204,K384)))</f>
        <v/>
      </c>
      <c r="O384" s="11">
        <f>IF(A384="","",IF(K384="",0,J384*INDEX(Products!$H$5:$H$204,K384)))</f>
        <v/>
      </c>
      <c r="P384" s="11">
        <f>IF(A384="","",J384-M384-N384-O384)</f>
        <v/>
      </c>
    </row>
    <row r="385">
      <c r="A385">
        <f>IFERROR(INDEX('Shopify Import'!$A:$CZ,385,Settings!$E$20)&amp;"","")</f>
        <v/>
      </c>
      <c r="B385">
        <f>IFERROR(INDEX('Shopify Import'!$A:$CZ,385,Settings!$E$21)&amp;"","")</f>
        <v/>
      </c>
      <c r="C385">
        <f>IFERROR(INDEX('Shopify Import'!$A:$CZ,385,Settings!$E$22)&amp;"","")</f>
        <v/>
      </c>
      <c r="D385">
        <f>IF(A385="","",IFERROR(VALUE(SUBSTITUTE(SUBSTITUTE(INDEX('Shopify Import'!$A:$CZ,385,Settings!$E$23)&amp;"","$",""),",","")),0))</f>
        <v/>
      </c>
      <c r="E385" s="11">
        <f>IF(A385="","",IFERROR(VALUE(SUBSTITUTE(SUBSTITUTE(INDEX('Shopify Import'!$A:$CZ,385,Settings!$E$24)&amp;"","$",""),",","")),0))</f>
        <v/>
      </c>
      <c r="F385" s="11">
        <f>IF(A385="","",D385*E385)</f>
        <v/>
      </c>
      <c r="G385">
        <f>IF(A385="","",IF(C385="",1,COUNTIF($C$2:$C$1501,C385)))</f>
        <v/>
      </c>
      <c r="H385" s="11">
        <f>IF(A385="","",IFERROR(VALUE(SUBSTITUTE(SUBSTITUTE(INDEX('Shopify Import'!$A:$CZ,385,Settings!$E$25)&amp;"","$",""),",","")),0)/IF(Settings!$D$27="Yes",G385,1))</f>
        <v/>
      </c>
      <c r="I385" s="11">
        <f>IF(A385="","",IFERROR(VALUE(SUBSTITUTE(SUBSTITUTE(INDEX('Shopify Import'!$A:$CZ,385,Settings!$E$26)&amp;"","$",""),",","")),0)/IF(Settings!$D$27="Yes",G385,1))</f>
        <v/>
      </c>
      <c r="J385" s="11">
        <f>IF(A385="","",F385+H385-I385)</f>
        <v/>
      </c>
      <c r="K385">
        <f>IF(A385="","",IFERROR(IF(B385="",NA(),MATCH(B385,Products!$B$5:$B$204,0)),IFERROR(MATCH(A385,Products!$A$5:$A$204,0),"")))</f>
        <v/>
      </c>
      <c r="L385">
        <f>IF(A385="","",IF(K385="","⚠ not in Products",INDEX(Products!$A$5:$A$204,K385)))</f>
        <v/>
      </c>
      <c r="M385" s="11">
        <f>IF(A385="","",J385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385+IFERROR(INDEX(Settings!$D$5:$D$9,MATCH("Shopify",Settings!$A$5:$A$9,0)),0)*D385)</f>
        <v/>
      </c>
      <c r="N385" s="11">
        <f>IF(A385="","",IF(K385="",0,D385*INDEX(Products!$I$5:$I$204,K385)))</f>
        <v/>
      </c>
      <c r="O385" s="11">
        <f>IF(A385="","",IF(K385="",0,J385*INDEX(Products!$H$5:$H$204,K385)))</f>
        <v/>
      </c>
      <c r="P385" s="11">
        <f>IF(A385="","",J385-M385-N385-O385)</f>
        <v/>
      </c>
    </row>
    <row r="386">
      <c r="A386">
        <f>IFERROR(INDEX('Shopify Import'!$A:$CZ,386,Settings!$E$20)&amp;"","")</f>
        <v/>
      </c>
      <c r="B386">
        <f>IFERROR(INDEX('Shopify Import'!$A:$CZ,386,Settings!$E$21)&amp;"","")</f>
        <v/>
      </c>
      <c r="C386">
        <f>IFERROR(INDEX('Shopify Import'!$A:$CZ,386,Settings!$E$22)&amp;"","")</f>
        <v/>
      </c>
      <c r="D386">
        <f>IF(A386="","",IFERROR(VALUE(SUBSTITUTE(SUBSTITUTE(INDEX('Shopify Import'!$A:$CZ,386,Settings!$E$23)&amp;"","$",""),",","")),0))</f>
        <v/>
      </c>
      <c r="E386" s="11">
        <f>IF(A386="","",IFERROR(VALUE(SUBSTITUTE(SUBSTITUTE(INDEX('Shopify Import'!$A:$CZ,386,Settings!$E$24)&amp;"","$",""),",","")),0))</f>
        <v/>
      </c>
      <c r="F386" s="11">
        <f>IF(A386="","",D386*E386)</f>
        <v/>
      </c>
      <c r="G386">
        <f>IF(A386="","",IF(C386="",1,COUNTIF($C$2:$C$1501,C386)))</f>
        <v/>
      </c>
      <c r="H386" s="11">
        <f>IF(A386="","",IFERROR(VALUE(SUBSTITUTE(SUBSTITUTE(INDEX('Shopify Import'!$A:$CZ,386,Settings!$E$25)&amp;"","$",""),",","")),0)/IF(Settings!$D$27="Yes",G386,1))</f>
        <v/>
      </c>
      <c r="I386" s="11">
        <f>IF(A386="","",IFERROR(VALUE(SUBSTITUTE(SUBSTITUTE(INDEX('Shopify Import'!$A:$CZ,386,Settings!$E$26)&amp;"","$",""),",","")),0)/IF(Settings!$D$27="Yes",G386,1))</f>
        <v/>
      </c>
      <c r="J386" s="11">
        <f>IF(A386="","",F386+H386-I386)</f>
        <v/>
      </c>
      <c r="K386">
        <f>IF(A386="","",IFERROR(IF(B386="",NA(),MATCH(B386,Products!$B$5:$B$204,0)),IFERROR(MATCH(A386,Products!$A$5:$A$204,0),"")))</f>
        <v/>
      </c>
      <c r="L386">
        <f>IF(A386="","",IF(K386="","⚠ not in Products",INDEX(Products!$A$5:$A$204,K386)))</f>
        <v/>
      </c>
      <c r="M386" s="11">
        <f>IF(A386="","",J386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386+IFERROR(INDEX(Settings!$D$5:$D$9,MATCH("Shopify",Settings!$A$5:$A$9,0)),0)*D386)</f>
        <v/>
      </c>
      <c r="N386" s="11">
        <f>IF(A386="","",IF(K386="",0,D386*INDEX(Products!$I$5:$I$204,K386)))</f>
        <v/>
      </c>
      <c r="O386" s="11">
        <f>IF(A386="","",IF(K386="",0,J386*INDEX(Products!$H$5:$H$204,K386)))</f>
        <v/>
      </c>
      <c r="P386" s="11">
        <f>IF(A386="","",J386-M386-N386-O386)</f>
        <v/>
      </c>
    </row>
    <row r="387">
      <c r="A387">
        <f>IFERROR(INDEX('Shopify Import'!$A:$CZ,387,Settings!$E$20)&amp;"","")</f>
        <v/>
      </c>
      <c r="B387">
        <f>IFERROR(INDEX('Shopify Import'!$A:$CZ,387,Settings!$E$21)&amp;"","")</f>
        <v/>
      </c>
      <c r="C387">
        <f>IFERROR(INDEX('Shopify Import'!$A:$CZ,387,Settings!$E$22)&amp;"","")</f>
        <v/>
      </c>
      <c r="D387">
        <f>IF(A387="","",IFERROR(VALUE(SUBSTITUTE(SUBSTITUTE(INDEX('Shopify Import'!$A:$CZ,387,Settings!$E$23)&amp;"","$",""),",","")),0))</f>
        <v/>
      </c>
      <c r="E387" s="11">
        <f>IF(A387="","",IFERROR(VALUE(SUBSTITUTE(SUBSTITUTE(INDEX('Shopify Import'!$A:$CZ,387,Settings!$E$24)&amp;"","$",""),",","")),0))</f>
        <v/>
      </c>
      <c r="F387" s="11">
        <f>IF(A387="","",D387*E387)</f>
        <v/>
      </c>
      <c r="G387">
        <f>IF(A387="","",IF(C387="",1,COUNTIF($C$2:$C$1501,C387)))</f>
        <v/>
      </c>
      <c r="H387" s="11">
        <f>IF(A387="","",IFERROR(VALUE(SUBSTITUTE(SUBSTITUTE(INDEX('Shopify Import'!$A:$CZ,387,Settings!$E$25)&amp;"","$",""),",","")),0)/IF(Settings!$D$27="Yes",G387,1))</f>
        <v/>
      </c>
      <c r="I387" s="11">
        <f>IF(A387="","",IFERROR(VALUE(SUBSTITUTE(SUBSTITUTE(INDEX('Shopify Import'!$A:$CZ,387,Settings!$E$26)&amp;"","$",""),",","")),0)/IF(Settings!$D$27="Yes",G387,1))</f>
        <v/>
      </c>
      <c r="J387" s="11">
        <f>IF(A387="","",F387+H387-I387)</f>
        <v/>
      </c>
      <c r="K387">
        <f>IF(A387="","",IFERROR(IF(B387="",NA(),MATCH(B387,Products!$B$5:$B$204,0)),IFERROR(MATCH(A387,Products!$A$5:$A$204,0),"")))</f>
        <v/>
      </c>
      <c r="L387">
        <f>IF(A387="","",IF(K387="","⚠ not in Products",INDEX(Products!$A$5:$A$204,K387)))</f>
        <v/>
      </c>
      <c r="M387" s="11">
        <f>IF(A387="","",J387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387+IFERROR(INDEX(Settings!$D$5:$D$9,MATCH("Shopify",Settings!$A$5:$A$9,0)),0)*D387)</f>
        <v/>
      </c>
      <c r="N387" s="11">
        <f>IF(A387="","",IF(K387="",0,D387*INDEX(Products!$I$5:$I$204,K387)))</f>
        <v/>
      </c>
      <c r="O387" s="11">
        <f>IF(A387="","",IF(K387="",0,J387*INDEX(Products!$H$5:$H$204,K387)))</f>
        <v/>
      </c>
      <c r="P387" s="11">
        <f>IF(A387="","",J387-M387-N387-O387)</f>
        <v/>
      </c>
    </row>
    <row r="388">
      <c r="A388">
        <f>IFERROR(INDEX('Shopify Import'!$A:$CZ,388,Settings!$E$20)&amp;"","")</f>
        <v/>
      </c>
      <c r="B388">
        <f>IFERROR(INDEX('Shopify Import'!$A:$CZ,388,Settings!$E$21)&amp;"","")</f>
        <v/>
      </c>
      <c r="C388">
        <f>IFERROR(INDEX('Shopify Import'!$A:$CZ,388,Settings!$E$22)&amp;"","")</f>
        <v/>
      </c>
      <c r="D388">
        <f>IF(A388="","",IFERROR(VALUE(SUBSTITUTE(SUBSTITUTE(INDEX('Shopify Import'!$A:$CZ,388,Settings!$E$23)&amp;"","$",""),",","")),0))</f>
        <v/>
      </c>
      <c r="E388" s="11">
        <f>IF(A388="","",IFERROR(VALUE(SUBSTITUTE(SUBSTITUTE(INDEX('Shopify Import'!$A:$CZ,388,Settings!$E$24)&amp;"","$",""),",","")),0))</f>
        <v/>
      </c>
      <c r="F388" s="11">
        <f>IF(A388="","",D388*E388)</f>
        <v/>
      </c>
      <c r="G388">
        <f>IF(A388="","",IF(C388="",1,COUNTIF($C$2:$C$1501,C388)))</f>
        <v/>
      </c>
      <c r="H388" s="11">
        <f>IF(A388="","",IFERROR(VALUE(SUBSTITUTE(SUBSTITUTE(INDEX('Shopify Import'!$A:$CZ,388,Settings!$E$25)&amp;"","$",""),",","")),0)/IF(Settings!$D$27="Yes",G388,1))</f>
        <v/>
      </c>
      <c r="I388" s="11">
        <f>IF(A388="","",IFERROR(VALUE(SUBSTITUTE(SUBSTITUTE(INDEX('Shopify Import'!$A:$CZ,388,Settings!$E$26)&amp;"","$",""),",","")),0)/IF(Settings!$D$27="Yes",G388,1))</f>
        <v/>
      </c>
      <c r="J388" s="11">
        <f>IF(A388="","",F388+H388-I388)</f>
        <v/>
      </c>
      <c r="K388">
        <f>IF(A388="","",IFERROR(IF(B388="",NA(),MATCH(B388,Products!$B$5:$B$204,0)),IFERROR(MATCH(A388,Products!$A$5:$A$204,0),"")))</f>
        <v/>
      </c>
      <c r="L388">
        <f>IF(A388="","",IF(K388="","⚠ not in Products",INDEX(Products!$A$5:$A$204,K388)))</f>
        <v/>
      </c>
      <c r="M388" s="11">
        <f>IF(A388="","",J388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388+IFERROR(INDEX(Settings!$D$5:$D$9,MATCH("Shopify",Settings!$A$5:$A$9,0)),0)*D388)</f>
        <v/>
      </c>
      <c r="N388" s="11">
        <f>IF(A388="","",IF(K388="",0,D388*INDEX(Products!$I$5:$I$204,K388)))</f>
        <v/>
      </c>
      <c r="O388" s="11">
        <f>IF(A388="","",IF(K388="",0,J388*INDEX(Products!$H$5:$H$204,K388)))</f>
        <v/>
      </c>
      <c r="P388" s="11">
        <f>IF(A388="","",J388-M388-N388-O388)</f>
        <v/>
      </c>
    </row>
    <row r="389">
      <c r="A389">
        <f>IFERROR(INDEX('Shopify Import'!$A:$CZ,389,Settings!$E$20)&amp;"","")</f>
        <v/>
      </c>
      <c r="B389">
        <f>IFERROR(INDEX('Shopify Import'!$A:$CZ,389,Settings!$E$21)&amp;"","")</f>
        <v/>
      </c>
      <c r="C389">
        <f>IFERROR(INDEX('Shopify Import'!$A:$CZ,389,Settings!$E$22)&amp;"","")</f>
        <v/>
      </c>
      <c r="D389">
        <f>IF(A389="","",IFERROR(VALUE(SUBSTITUTE(SUBSTITUTE(INDEX('Shopify Import'!$A:$CZ,389,Settings!$E$23)&amp;"","$",""),",","")),0))</f>
        <v/>
      </c>
      <c r="E389" s="11">
        <f>IF(A389="","",IFERROR(VALUE(SUBSTITUTE(SUBSTITUTE(INDEX('Shopify Import'!$A:$CZ,389,Settings!$E$24)&amp;"","$",""),",","")),0))</f>
        <v/>
      </c>
      <c r="F389" s="11">
        <f>IF(A389="","",D389*E389)</f>
        <v/>
      </c>
      <c r="G389">
        <f>IF(A389="","",IF(C389="",1,COUNTIF($C$2:$C$1501,C389)))</f>
        <v/>
      </c>
      <c r="H389" s="11">
        <f>IF(A389="","",IFERROR(VALUE(SUBSTITUTE(SUBSTITUTE(INDEX('Shopify Import'!$A:$CZ,389,Settings!$E$25)&amp;"","$",""),",","")),0)/IF(Settings!$D$27="Yes",G389,1))</f>
        <v/>
      </c>
      <c r="I389" s="11">
        <f>IF(A389="","",IFERROR(VALUE(SUBSTITUTE(SUBSTITUTE(INDEX('Shopify Import'!$A:$CZ,389,Settings!$E$26)&amp;"","$",""),",","")),0)/IF(Settings!$D$27="Yes",G389,1))</f>
        <v/>
      </c>
      <c r="J389" s="11">
        <f>IF(A389="","",F389+H389-I389)</f>
        <v/>
      </c>
      <c r="K389">
        <f>IF(A389="","",IFERROR(IF(B389="",NA(),MATCH(B389,Products!$B$5:$B$204,0)),IFERROR(MATCH(A389,Products!$A$5:$A$204,0),"")))</f>
        <v/>
      </c>
      <c r="L389">
        <f>IF(A389="","",IF(K389="","⚠ not in Products",INDEX(Products!$A$5:$A$204,K389)))</f>
        <v/>
      </c>
      <c r="M389" s="11">
        <f>IF(A389="","",J389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389+IFERROR(INDEX(Settings!$D$5:$D$9,MATCH("Shopify",Settings!$A$5:$A$9,0)),0)*D389)</f>
        <v/>
      </c>
      <c r="N389" s="11">
        <f>IF(A389="","",IF(K389="",0,D389*INDEX(Products!$I$5:$I$204,K389)))</f>
        <v/>
      </c>
      <c r="O389" s="11">
        <f>IF(A389="","",IF(K389="",0,J389*INDEX(Products!$H$5:$H$204,K389)))</f>
        <v/>
      </c>
      <c r="P389" s="11">
        <f>IF(A389="","",J389-M389-N389-O389)</f>
        <v/>
      </c>
    </row>
    <row r="390">
      <c r="A390">
        <f>IFERROR(INDEX('Shopify Import'!$A:$CZ,390,Settings!$E$20)&amp;"","")</f>
        <v/>
      </c>
      <c r="B390">
        <f>IFERROR(INDEX('Shopify Import'!$A:$CZ,390,Settings!$E$21)&amp;"","")</f>
        <v/>
      </c>
      <c r="C390">
        <f>IFERROR(INDEX('Shopify Import'!$A:$CZ,390,Settings!$E$22)&amp;"","")</f>
        <v/>
      </c>
      <c r="D390">
        <f>IF(A390="","",IFERROR(VALUE(SUBSTITUTE(SUBSTITUTE(INDEX('Shopify Import'!$A:$CZ,390,Settings!$E$23)&amp;"","$",""),",","")),0))</f>
        <v/>
      </c>
      <c r="E390" s="11">
        <f>IF(A390="","",IFERROR(VALUE(SUBSTITUTE(SUBSTITUTE(INDEX('Shopify Import'!$A:$CZ,390,Settings!$E$24)&amp;"","$",""),",","")),0))</f>
        <v/>
      </c>
      <c r="F390" s="11">
        <f>IF(A390="","",D390*E390)</f>
        <v/>
      </c>
      <c r="G390">
        <f>IF(A390="","",IF(C390="",1,COUNTIF($C$2:$C$1501,C390)))</f>
        <v/>
      </c>
      <c r="H390" s="11">
        <f>IF(A390="","",IFERROR(VALUE(SUBSTITUTE(SUBSTITUTE(INDEX('Shopify Import'!$A:$CZ,390,Settings!$E$25)&amp;"","$",""),",","")),0)/IF(Settings!$D$27="Yes",G390,1))</f>
        <v/>
      </c>
      <c r="I390" s="11">
        <f>IF(A390="","",IFERROR(VALUE(SUBSTITUTE(SUBSTITUTE(INDEX('Shopify Import'!$A:$CZ,390,Settings!$E$26)&amp;"","$",""),",","")),0)/IF(Settings!$D$27="Yes",G390,1))</f>
        <v/>
      </c>
      <c r="J390" s="11">
        <f>IF(A390="","",F390+H390-I390)</f>
        <v/>
      </c>
      <c r="K390">
        <f>IF(A390="","",IFERROR(IF(B390="",NA(),MATCH(B390,Products!$B$5:$B$204,0)),IFERROR(MATCH(A390,Products!$A$5:$A$204,0),"")))</f>
        <v/>
      </c>
      <c r="L390">
        <f>IF(A390="","",IF(K390="","⚠ not in Products",INDEX(Products!$A$5:$A$204,K390)))</f>
        <v/>
      </c>
      <c r="M390" s="11">
        <f>IF(A390="","",J390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390+IFERROR(INDEX(Settings!$D$5:$D$9,MATCH("Shopify",Settings!$A$5:$A$9,0)),0)*D390)</f>
        <v/>
      </c>
      <c r="N390" s="11">
        <f>IF(A390="","",IF(K390="",0,D390*INDEX(Products!$I$5:$I$204,K390)))</f>
        <v/>
      </c>
      <c r="O390" s="11">
        <f>IF(A390="","",IF(K390="",0,J390*INDEX(Products!$H$5:$H$204,K390)))</f>
        <v/>
      </c>
      <c r="P390" s="11">
        <f>IF(A390="","",J390-M390-N390-O390)</f>
        <v/>
      </c>
    </row>
    <row r="391">
      <c r="A391">
        <f>IFERROR(INDEX('Shopify Import'!$A:$CZ,391,Settings!$E$20)&amp;"","")</f>
        <v/>
      </c>
      <c r="B391">
        <f>IFERROR(INDEX('Shopify Import'!$A:$CZ,391,Settings!$E$21)&amp;"","")</f>
        <v/>
      </c>
      <c r="C391">
        <f>IFERROR(INDEX('Shopify Import'!$A:$CZ,391,Settings!$E$22)&amp;"","")</f>
        <v/>
      </c>
      <c r="D391">
        <f>IF(A391="","",IFERROR(VALUE(SUBSTITUTE(SUBSTITUTE(INDEX('Shopify Import'!$A:$CZ,391,Settings!$E$23)&amp;"","$",""),",","")),0))</f>
        <v/>
      </c>
      <c r="E391" s="11">
        <f>IF(A391="","",IFERROR(VALUE(SUBSTITUTE(SUBSTITUTE(INDEX('Shopify Import'!$A:$CZ,391,Settings!$E$24)&amp;"","$",""),",","")),0))</f>
        <v/>
      </c>
      <c r="F391" s="11">
        <f>IF(A391="","",D391*E391)</f>
        <v/>
      </c>
      <c r="G391">
        <f>IF(A391="","",IF(C391="",1,COUNTIF($C$2:$C$1501,C391)))</f>
        <v/>
      </c>
      <c r="H391" s="11">
        <f>IF(A391="","",IFERROR(VALUE(SUBSTITUTE(SUBSTITUTE(INDEX('Shopify Import'!$A:$CZ,391,Settings!$E$25)&amp;"","$",""),",","")),0)/IF(Settings!$D$27="Yes",G391,1))</f>
        <v/>
      </c>
      <c r="I391" s="11">
        <f>IF(A391="","",IFERROR(VALUE(SUBSTITUTE(SUBSTITUTE(INDEX('Shopify Import'!$A:$CZ,391,Settings!$E$26)&amp;"","$",""),",","")),0)/IF(Settings!$D$27="Yes",G391,1))</f>
        <v/>
      </c>
      <c r="J391" s="11">
        <f>IF(A391="","",F391+H391-I391)</f>
        <v/>
      </c>
      <c r="K391">
        <f>IF(A391="","",IFERROR(IF(B391="",NA(),MATCH(B391,Products!$B$5:$B$204,0)),IFERROR(MATCH(A391,Products!$A$5:$A$204,0),"")))</f>
        <v/>
      </c>
      <c r="L391">
        <f>IF(A391="","",IF(K391="","⚠ not in Products",INDEX(Products!$A$5:$A$204,K391)))</f>
        <v/>
      </c>
      <c r="M391" s="11">
        <f>IF(A391="","",J391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391+IFERROR(INDEX(Settings!$D$5:$D$9,MATCH("Shopify",Settings!$A$5:$A$9,0)),0)*D391)</f>
        <v/>
      </c>
      <c r="N391" s="11">
        <f>IF(A391="","",IF(K391="",0,D391*INDEX(Products!$I$5:$I$204,K391)))</f>
        <v/>
      </c>
      <c r="O391" s="11">
        <f>IF(A391="","",IF(K391="",0,J391*INDEX(Products!$H$5:$H$204,K391)))</f>
        <v/>
      </c>
      <c r="P391" s="11">
        <f>IF(A391="","",J391-M391-N391-O391)</f>
        <v/>
      </c>
    </row>
    <row r="392">
      <c r="A392">
        <f>IFERROR(INDEX('Shopify Import'!$A:$CZ,392,Settings!$E$20)&amp;"","")</f>
        <v/>
      </c>
      <c r="B392">
        <f>IFERROR(INDEX('Shopify Import'!$A:$CZ,392,Settings!$E$21)&amp;"","")</f>
        <v/>
      </c>
      <c r="C392">
        <f>IFERROR(INDEX('Shopify Import'!$A:$CZ,392,Settings!$E$22)&amp;"","")</f>
        <v/>
      </c>
      <c r="D392">
        <f>IF(A392="","",IFERROR(VALUE(SUBSTITUTE(SUBSTITUTE(INDEX('Shopify Import'!$A:$CZ,392,Settings!$E$23)&amp;"","$",""),",","")),0))</f>
        <v/>
      </c>
      <c r="E392" s="11">
        <f>IF(A392="","",IFERROR(VALUE(SUBSTITUTE(SUBSTITUTE(INDEX('Shopify Import'!$A:$CZ,392,Settings!$E$24)&amp;"","$",""),",","")),0))</f>
        <v/>
      </c>
      <c r="F392" s="11">
        <f>IF(A392="","",D392*E392)</f>
        <v/>
      </c>
      <c r="G392">
        <f>IF(A392="","",IF(C392="",1,COUNTIF($C$2:$C$1501,C392)))</f>
        <v/>
      </c>
      <c r="H392" s="11">
        <f>IF(A392="","",IFERROR(VALUE(SUBSTITUTE(SUBSTITUTE(INDEX('Shopify Import'!$A:$CZ,392,Settings!$E$25)&amp;"","$",""),",","")),0)/IF(Settings!$D$27="Yes",G392,1))</f>
        <v/>
      </c>
      <c r="I392" s="11">
        <f>IF(A392="","",IFERROR(VALUE(SUBSTITUTE(SUBSTITUTE(INDEX('Shopify Import'!$A:$CZ,392,Settings!$E$26)&amp;"","$",""),",","")),0)/IF(Settings!$D$27="Yes",G392,1))</f>
        <v/>
      </c>
      <c r="J392" s="11">
        <f>IF(A392="","",F392+H392-I392)</f>
        <v/>
      </c>
      <c r="K392">
        <f>IF(A392="","",IFERROR(IF(B392="",NA(),MATCH(B392,Products!$B$5:$B$204,0)),IFERROR(MATCH(A392,Products!$A$5:$A$204,0),"")))</f>
        <v/>
      </c>
      <c r="L392">
        <f>IF(A392="","",IF(K392="","⚠ not in Products",INDEX(Products!$A$5:$A$204,K392)))</f>
        <v/>
      </c>
      <c r="M392" s="11">
        <f>IF(A392="","",J392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392+IFERROR(INDEX(Settings!$D$5:$D$9,MATCH("Shopify",Settings!$A$5:$A$9,0)),0)*D392)</f>
        <v/>
      </c>
      <c r="N392" s="11">
        <f>IF(A392="","",IF(K392="",0,D392*INDEX(Products!$I$5:$I$204,K392)))</f>
        <v/>
      </c>
      <c r="O392" s="11">
        <f>IF(A392="","",IF(K392="",0,J392*INDEX(Products!$H$5:$H$204,K392)))</f>
        <v/>
      </c>
      <c r="P392" s="11">
        <f>IF(A392="","",J392-M392-N392-O392)</f>
        <v/>
      </c>
    </row>
    <row r="393">
      <c r="A393">
        <f>IFERROR(INDEX('Shopify Import'!$A:$CZ,393,Settings!$E$20)&amp;"","")</f>
        <v/>
      </c>
      <c r="B393">
        <f>IFERROR(INDEX('Shopify Import'!$A:$CZ,393,Settings!$E$21)&amp;"","")</f>
        <v/>
      </c>
      <c r="C393">
        <f>IFERROR(INDEX('Shopify Import'!$A:$CZ,393,Settings!$E$22)&amp;"","")</f>
        <v/>
      </c>
      <c r="D393">
        <f>IF(A393="","",IFERROR(VALUE(SUBSTITUTE(SUBSTITUTE(INDEX('Shopify Import'!$A:$CZ,393,Settings!$E$23)&amp;"","$",""),",","")),0))</f>
        <v/>
      </c>
      <c r="E393" s="11">
        <f>IF(A393="","",IFERROR(VALUE(SUBSTITUTE(SUBSTITUTE(INDEX('Shopify Import'!$A:$CZ,393,Settings!$E$24)&amp;"","$",""),",","")),0))</f>
        <v/>
      </c>
      <c r="F393" s="11">
        <f>IF(A393="","",D393*E393)</f>
        <v/>
      </c>
      <c r="G393">
        <f>IF(A393="","",IF(C393="",1,COUNTIF($C$2:$C$1501,C393)))</f>
        <v/>
      </c>
      <c r="H393" s="11">
        <f>IF(A393="","",IFERROR(VALUE(SUBSTITUTE(SUBSTITUTE(INDEX('Shopify Import'!$A:$CZ,393,Settings!$E$25)&amp;"","$",""),",","")),0)/IF(Settings!$D$27="Yes",G393,1))</f>
        <v/>
      </c>
      <c r="I393" s="11">
        <f>IF(A393="","",IFERROR(VALUE(SUBSTITUTE(SUBSTITUTE(INDEX('Shopify Import'!$A:$CZ,393,Settings!$E$26)&amp;"","$",""),",","")),0)/IF(Settings!$D$27="Yes",G393,1))</f>
        <v/>
      </c>
      <c r="J393" s="11">
        <f>IF(A393="","",F393+H393-I393)</f>
        <v/>
      </c>
      <c r="K393">
        <f>IF(A393="","",IFERROR(IF(B393="",NA(),MATCH(B393,Products!$B$5:$B$204,0)),IFERROR(MATCH(A393,Products!$A$5:$A$204,0),"")))</f>
        <v/>
      </c>
      <c r="L393">
        <f>IF(A393="","",IF(K393="","⚠ not in Products",INDEX(Products!$A$5:$A$204,K393)))</f>
        <v/>
      </c>
      <c r="M393" s="11">
        <f>IF(A393="","",J393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393+IFERROR(INDEX(Settings!$D$5:$D$9,MATCH("Shopify",Settings!$A$5:$A$9,0)),0)*D393)</f>
        <v/>
      </c>
      <c r="N393" s="11">
        <f>IF(A393="","",IF(K393="",0,D393*INDEX(Products!$I$5:$I$204,K393)))</f>
        <v/>
      </c>
      <c r="O393" s="11">
        <f>IF(A393="","",IF(K393="",0,J393*INDEX(Products!$H$5:$H$204,K393)))</f>
        <v/>
      </c>
      <c r="P393" s="11">
        <f>IF(A393="","",J393-M393-N393-O393)</f>
        <v/>
      </c>
    </row>
    <row r="394">
      <c r="A394">
        <f>IFERROR(INDEX('Shopify Import'!$A:$CZ,394,Settings!$E$20)&amp;"","")</f>
        <v/>
      </c>
      <c r="B394">
        <f>IFERROR(INDEX('Shopify Import'!$A:$CZ,394,Settings!$E$21)&amp;"","")</f>
        <v/>
      </c>
      <c r="C394">
        <f>IFERROR(INDEX('Shopify Import'!$A:$CZ,394,Settings!$E$22)&amp;"","")</f>
        <v/>
      </c>
      <c r="D394">
        <f>IF(A394="","",IFERROR(VALUE(SUBSTITUTE(SUBSTITUTE(INDEX('Shopify Import'!$A:$CZ,394,Settings!$E$23)&amp;"","$",""),",","")),0))</f>
        <v/>
      </c>
      <c r="E394" s="11">
        <f>IF(A394="","",IFERROR(VALUE(SUBSTITUTE(SUBSTITUTE(INDEX('Shopify Import'!$A:$CZ,394,Settings!$E$24)&amp;"","$",""),",","")),0))</f>
        <v/>
      </c>
      <c r="F394" s="11">
        <f>IF(A394="","",D394*E394)</f>
        <v/>
      </c>
      <c r="G394">
        <f>IF(A394="","",IF(C394="",1,COUNTIF($C$2:$C$1501,C394)))</f>
        <v/>
      </c>
      <c r="H394" s="11">
        <f>IF(A394="","",IFERROR(VALUE(SUBSTITUTE(SUBSTITUTE(INDEX('Shopify Import'!$A:$CZ,394,Settings!$E$25)&amp;"","$",""),",","")),0)/IF(Settings!$D$27="Yes",G394,1))</f>
        <v/>
      </c>
      <c r="I394" s="11">
        <f>IF(A394="","",IFERROR(VALUE(SUBSTITUTE(SUBSTITUTE(INDEX('Shopify Import'!$A:$CZ,394,Settings!$E$26)&amp;"","$",""),",","")),0)/IF(Settings!$D$27="Yes",G394,1))</f>
        <v/>
      </c>
      <c r="J394" s="11">
        <f>IF(A394="","",F394+H394-I394)</f>
        <v/>
      </c>
      <c r="K394">
        <f>IF(A394="","",IFERROR(IF(B394="",NA(),MATCH(B394,Products!$B$5:$B$204,0)),IFERROR(MATCH(A394,Products!$A$5:$A$204,0),"")))</f>
        <v/>
      </c>
      <c r="L394">
        <f>IF(A394="","",IF(K394="","⚠ not in Products",INDEX(Products!$A$5:$A$204,K394)))</f>
        <v/>
      </c>
      <c r="M394" s="11">
        <f>IF(A394="","",J394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394+IFERROR(INDEX(Settings!$D$5:$D$9,MATCH("Shopify",Settings!$A$5:$A$9,0)),0)*D394)</f>
        <v/>
      </c>
      <c r="N394" s="11">
        <f>IF(A394="","",IF(K394="",0,D394*INDEX(Products!$I$5:$I$204,K394)))</f>
        <v/>
      </c>
      <c r="O394" s="11">
        <f>IF(A394="","",IF(K394="",0,J394*INDEX(Products!$H$5:$H$204,K394)))</f>
        <v/>
      </c>
      <c r="P394" s="11">
        <f>IF(A394="","",J394-M394-N394-O394)</f>
        <v/>
      </c>
    </row>
    <row r="395">
      <c r="A395">
        <f>IFERROR(INDEX('Shopify Import'!$A:$CZ,395,Settings!$E$20)&amp;"","")</f>
        <v/>
      </c>
      <c r="B395">
        <f>IFERROR(INDEX('Shopify Import'!$A:$CZ,395,Settings!$E$21)&amp;"","")</f>
        <v/>
      </c>
      <c r="C395">
        <f>IFERROR(INDEX('Shopify Import'!$A:$CZ,395,Settings!$E$22)&amp;"","")</f>
        <v/>
      </c>
      <c r="D395">
        <f>IF(A395="","",IFERROR(VALUE(SUBSTITUTE(SUBSTITUTE(INDEX('Shopify Import'!$A:$CZ,395,Settings!$E$23)&amp;"","$",""),",","")),0))</f>
        <v/>
      </c>
      <c r="E395" s="11">
        <f>IF(A395="","",IFERROR(VALUE(SUBSTITUTE(SUBSTITUTE(INDEX('Shopify Import'!$A:$CZ,395,Settings!$E$24)&amp;"","$",""),",","")),0))</f>
        <v/>
      </c>
      <c r="F395" s="11">
        <f>IF(A395="","",D395*E395)</f>
        <v/>
      </c>
      <c r="G395">
        <f>IF(A395="","",IF(C395="",1,COUNTIF($C$2:$C$1501,C395)))</f>
        <v/>
      </c>
      <c r="H395" s="11">
        <f>IF(A395="","",IFERROR(VALUE(SUBSTITUTE(SUBSTITUTE(INDEX('Shopify Import'!$A:$CZ,395,Settings!$E$25)&amp;"","$",""),",","")),0)/IF(Settings!$D$27="Yes",G395,1))</f>
        <v/>
      </c>
      <c r="I395" s="11">
        <f>IF(A395="","",IFERROR(VALUE(SUBSTITUTE(SUBSTITUTE(INDEX('Shopify Import'!$A:$CZ,395,Settings!$E$26)&amp;"","$",""),",","")),0)/IF(Settings!$D$27="Yes",G395,1))</f>
        <v/>
      </c>
      <c r="J395" s="11">
        <f>IF(A395="","",F395+H395-I395)</f>
        <v/>
      </c>
      <c r="K395">
        <f>IF(A395="","",IFERROR(IF(B395="",NA(),MATCH(B395,Products!$B$5:$B$204,0)),IFERROR(MATCH(A395,Products!$A$5:$A$204,0),"")))</f>
        <v/>
      </c>
      <c r="L395">
        <f>IF(A395="","",IF(K395="","⚠ not in Products",INDEX(Products!$A$5:$A$204,K395)))</f>
        <v/>
      </c>
      <c r="M395" s="11">
        <f>IF(A395="","",J395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395+IFERROR(INDEX(Settings!$D$5:$D$9,MATCH("Shopify",Settings!$A$5:$A$9,0)),0)*D395)</f>
        <v/>
      </c>
      <c r="N395" s="11">
        <f>IF(A395="","",IF(K395="",0,D395*INDEX(Products!$I$5:$I$204,K395)))</f>
        <v/>
      </c>
      <c r="O395" s="11">
        <f>IF(A395="","",IF(K395="",0,J395*INDEX(Products!$H$5:$H$204,K395)))</f>
        <v/>
      </c>
      <c r="P395" s="11">
        <f>IF(A395="","",J395-M395-N395-O395)</f>
        <v/>
      </c>
    </row>
    <row r="396">
      <c r="A396">
        <f>IFERROR(INDEX('Shopify Import'!$A:$CZ,396,Settings!$E$20)&amp;"","")</f>
        <v/>
      </c>
      <c r="B396">
        <f>IFERROR(INDEX('Shopify Import'!$A:$CZ,396,Settings!$E$21)&amp;"","")</f>
        <v/>
      </c>
      <c r="C396">
        <f>IFERROR(INDEX('Shopify Import'!$A:$CZ,396,Settings!$E$22)&amp;"","")</f>
        <v/>
      </c>
      <c r="D396">
        <f>IF(A396="","",IFERROR(VALUE(SUBSTITUTE(SUBSTITUTE(INDEX('Shopify Import'!$A:$CZ,396,Settings!$E$23)&amp;"","$",""),",","")),0))</f>
        <v/>
      </c>
      <c r="E396" s="11">
        <f>IF(A396="","",IFERROR(VALUE(SUBSTITUTE(SUBSTITUTE(INDEX('Shopify Import'!$A:$CZ,396,Settings!$E$24)&amp;"","$",""),",","")),0))</f>
        <v/>
      </c>
      <c r="F396" s="11">
        <f>IF(A396="","",D396*E396)</f>
        <v/>
      </c>
      <c r="G396">
        <f>IF(A396="","",IF(C396="",1,COUNTIF($C$2:$C$1501,C396)))</f>
        <v/>
      </c>
      <c r="H396" s="11">
        <f>IF(A396="","",IFERROR(VALUE(SUBSTITUTE(SUBSTITUTE(INDEX('Shopify Import'!$A:$CZ,396,Settings!$E$25)&amp;"","$",""),",","")),0)/IF(Settings!$D$27="Yes",G396,1))</f>
        <v/>
      </c>
      <c r="I396" s="11">
        <f>IF(A396="","",IFERROR(VALUE(SUBSTITUTE(SUBSTITUTE(INDEX('Shopify Import'!$A:$CZ,396,Settings!$E$26)&amp;"","$",""),",","")),0)/IF(Settings!$D$27="Yes",G396,1))</f>
        <v/>
      </c>
      <c r="J396" s="11">
        <f>IF(A396="","",F396+H396-I396)</f>
        <v/>
      </c>
      <c r="K396">
        <f>IF(A396="","",IFERROR(IF(B396="",NA(),MATCH(B396,Products!$B$5:$B$204,0)),IFERROR(MATCH(A396,Products!$A$5:$A$204,0),"")))</f>
        <v/>
      </c>
      <c r="L396">
        <f>IF(A396="","",IF(K396="","⚠ not in Products",INDEX(Products!$A$5:$A$204,K396)))</f>
        <v/>
      </c>
      <c r="M396" s="11">
        <f>IF(A396="","",J396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396+IFERROR(INDEX(Settings!$D$5:$D$9,MATCH("Shopify",Settings!$A$5:$A$9,0)),0)*D396)</f>
        <v/>
      </c>
      <c r="N396" s="11">
        <f>IF(A396="","",IF(K396="",0,D396*INDEX(Products!$I$5:$I$204,K396)))</f>
        <v/>
      </c>
      <c r="O396" s="11">
        <f>IF(A396="","",IF(K396="",0,J396*INDEX(Products!$H$5:$H$204,K396)))</f>
        <v/>
      </c>
      <c r="P396" s="11">
        <f>IF(A396="","",J396-M396-N396-O396)</f>
        <v/>
      </c>
    </row>
    <row r="397">
      <c r="A397">
        <f>IFERROR(INDEX('Shopify Import'!$A:$CZ,397,Settings!$E$20)&amp;"","")</f>
        <v/>
      </c>
      <c r="B397">
        <f>IFERROR(INDEX('Shopify Import'!$A:$CZ,397,Settings!$E$21)&amp;"","")</f>
        <v/>
      </c>
      <c r="C397">
        <f>IFERROR(INDEX('Shopify Import'!$A:$CZ,397,Settings!$E$22)&amp;"","")</f>
        <v/>
      </c>
      <c r="D397">
        <f>IF(A397="","",IFERROR(VALUE(SUBSTITUTE(SUBSTITUTE(INDEX('Shopify Import'!$A:$CZ,397,Settings!$E$23)&amp;"","$",""),",","")),0))</f>
        <v/>
      </c>
      <c r="E397" s="11">
        <f>IF(A397="","",IFERROR(VALUE(SUBSTITUTE(SUBSTITUTE(INDEX('Shopify Import'!$A:$CZ,397,Settings!$E$24)&amp;"","$",""),",","")),0))</f>
        <v/>
      </c>
      <c r="F397" s="11">
        <f>IF(A397="","",D397*E397)</f>
        <v/>
      </c>
      <c r="G397">
        <f>IF(A397="","",IF(C397="",1,COUNTIF($C$2:$C$1501,C397)))</f>
        <v/>
      </c>
      <c r="H397" s="11">
        <f>IF(A397="","",IFERROR(VALUE(SUBSTITUTE(SUBSTITUTE(INDEX('Shopify Import'!$A:$CZ,397,Settings!$E$25)&amp;"","$",""),",","")),0)/IF(Settings!$D$27="Yes",G397,1))</f>
        <v/>
      </c>
      <c r="I397" s="11">
        <f>IF(A397="","",IFERROR(VALUE(SUBSTITUTE(SUBSTITUTE(INDEX('Shopify Import'!$A:$CZ,397,Settings!$E$26)&amp;"","$",""),",","")),0)/IF(Settings!$D$27="Yes",G397,1))</f>
        <v/>
      </c>
      <c r="J397" s="11">
        <f>IF(A397="","",F397+H397-I397)</f>
        <v/>
      </c>
      <c r="K397">
        <f>IF(A397="","",IFERROR(IF(B397="",NA(),MATCH(B397,Products!$B$5:$B$204,0)),IFERROR(MATCH(A397,Products!$A$5:$A$204,0),"")))</f>
        <v/>
      </c>
      <c r="L397">
        <f>IF(A397="","",IF(K397="","⚠ not in Products",INDEX(Products!$A$5:$A$204,K397)))</f>
        <v/>
      </c>
      <c r="M397" s="11">
        <f>IF(A397="","",J397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397+IFERROR(INDEX(Settings!$D$5:$D$9,MATCH("Shopify",Settings!$A$5:$A$9,0)),0)*D397)</f>
        <v/>
      </c>
      <c r="N397" s="11">
        <f>IF(A397="","",IF(K397="",0,D397*INDEX(Products!$I$5:$I$204,K397)))</f>
        <v/>
      </c>
      <c r="O397" s="11">
        <f>IF(A397="","",IF(K397="",0,J397*INDEX(Products!$H$5:$H$204,K397)))</f>
        <v/>
      </c>
      <c r="P397" s="11">
        <f>IF(A397="","",J397-M397-N397-O397)</f>
        <v/>
      </c>
    </row>
    <row r="398">
      <c r="A398">
        <f>IFERROR(INDEX('Shopify Import'!$A:$CZ,398,Settings!$E$20)&amp;"","")</f>
        <v/>
      </c>
      <c r="B398">
        <f>IFERROR(INDEX('Shopify Import'!$A:$CZ,398,Settings!$E$21)&amp;"","")</f>
        <v/>
      </c>
      <c r="C398">
        <f>IFERROR(INDEX('Shopify Import'!$A:$CZ,398,Settings!$E$22)&amp;"","")</f>
        <v/>
      </c>
      <c r="D398">
        <f>IF(A398="","",IFERROR(VALUE(SUBSTITUTE(SUBSTITUTE(INDEX('Shopify Import'!$A:$CZ,398,Settings!$E$23)&amp;"","$",""),",","")),0))</f>
        <v/>
      </c>
      <c r="E398" s="11">
        <f>IF(A398="","",IFERROR(VALUE(SUBSTITUTE(SUBSTITUTE(INDEX('Shopify Import'!$A:$CZ,398,Settings!$E$24)&amp;"","$",""),",","")),0))</f>
        <v/>
      </c>
      <c r="F398" s="11">
        <f>IF(A398="","",D398*E398)</f>
        <v/>
      </c>
      <c r="G398">
        <f>IF(A398="","",IF(C398="",1,COUNTIF($C$2:$C$1501,C398)))</f>
        <v/>
      </c>
      <c r="H398" s="11">
        <f>IF(A398="","",IFERROR(VALUE(SUBSTITUTE(SUBSTITUTE(INDEX('Shopify Import'!$A:$CZ,398,Settings!$E$25)&amp;"","$",""),",","")),0)/IF(Settings!$D$27="Yes",G398,1))</f>
        <v/>
      </c>
      <c r="I398" s="11">
        <f>IF(A398="","",IFERROR(VALUE(SUBSTITUTE(SUBSTITUTE(INDEX('Shopify Import'!$A:$CZ,398,Settings!$E$26)&amp;"","$",""),",","")),0)/IF(Settings!$D$27="Yes",G398,1))</f>
        <v/>
      </c>
      <c r="J398" s="11">
        <f>IF(A398="","",F398+H398-I398)</f>
        <v/>
      </c>
      <c r="K398">
        <f>IF(A398="","",IFERROR(IF(B398="",NA(),MATCH(B398,Products!$B$5:$B$204,0)),IFERROR(MATCH(A398,Products!$A$5:$A$204,0),"")))</f>
        <v/>
      </c>
      <c r="L398">
        <f>IF(A398="","",IF(K398="","⚠ not in Products",INDEX(Products!$A$5:$A$204,K398)))</f>
        <v/>
      </c>
      <c r="M398" s="11">
        <f>IF(A398="","",J398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398+IFERROR(INDEX(Settings!$D$5:$D$9,MATCH("Shopify",Settings!$A$5:$A$9,0)),0)*D398)</f>
        <v/>
      </c>
      <c r="N398" s="11">
        <f>IF(A398="","",IF(K398="",0,D398*INDEX(Products!$I$5:$I$204,K398)))</f>
        <v/>
      </c>
      <c r="O398" s="11">
        <f>IF(A398="","",IF(K398="",0,J398*INDEX(Products!$H$5:$H$204,K398)))</f>
        <v/>
      </c>
      <c r="P398" s="11">
        <f>IF(A398="","",J398-M398-N398-O398)</f>
        <v/>
      </c>
    </row>
    <row r="399">
      <c r="A399">
        <f>IFERROR(INDEX('Shopify Import'!$A:$CZ,399,Settings!$E$20)&amp;"","")</f>
        <v/>
      </c>
      <c r="B399">
        <f>IFERROR(INDEX('Shopify Import'!$A:$CZ,399,Settings!$E$21)&amp;"","")</f>
        <v/>
      </c>
      <c r="C399">
        <f>IFERROR(INDEX('Shopify Import'!$A:$CZ,399,Settings!$E$22)&amp;"","")</f>
        <v/>
      </c>
      <c r="D399">
        <f>IF(A399="","",IFERROR(VALUE(SUBSTITUTE(SUBSTITUTE(INDEX('Shopify Import'!$A:$CZ,399,Settings!$E$23)&amp;"","$",""),",","")),0))</f>
        <v/>
      </c>
      <c r="E399" s="11">
        <f>IF(A399="","",IFERROR(VALUE(SUBSTITUTE(SUBSTITUTE(INDEX('Shopify Import'!$A:$CZ,399,Settings!$E$24)&amp;"","$",""),",","")),0))</f>
        <v/>
      </c>
      <c r="F399" s="11">
        <f>IF(A399="","",D399*E399)</f>
        <v/>
      </c>
      <c r="G399">
        <f>IF(A399="","",IF(C399="",1,COUNTIF($C$2:$C$1501,C399)))</f>
        <v/>
      </c>
      <c r="H399" s="11">
        <f>IF(A399="","",IFERROR(VALUE(SUBSTITUTE(SUBSTITUTE(INDEX('Shopify Import'!$A:$CZ,399,Settings!$E$25)&amp;"","$",""),",","")),0)/IF(Settings!$D$27="Yes",G399,1))</f>
        <v/>
      </c>
      <c r="I399" s="11">
        <f>IF(A399="","",IFERROR(VALUE(SUBSTITUTE(SUBSTITUTE(INDEX('Shopify Import'!$A:$CZ,399,Settings!$E$26)&amp;"","$",""),",","")),0)/IF(Settings!$D$27="Yes",G399,1))</f>
        <v/>
      </c>
      <c r="J399" s="11">
        <f>IF(A399="","",F399+H399-I399)</f>
        <v/>
      </c>
      <c r="K399">
        <f>IF(A399="","",IFERROR(IF(B399="",NA(),MATCH(B399,Products!$B$5:$B$204,0)),IFERROR(MATCH(A399,Products!$A$5:$A$204,0),"")))</f>
        <v/>
      </c>
      <c r="L399">
        <f>IF(A399="","",IF(K399="","⚠ not in Products",INDEX(Products!$A$5:$A$204,K399)))</f>
        <v/>
      </c>
      <c r="M399" s="11">
        <f>IF(A399="","",J399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399+IFERROR(INDEX(Settings!$D$5:$D$9,MATCH("Shopify",Settings!$A$5:$A$9,0)),0)*D399)</f>
        <v/>
      </c>
      <c r="N399" s="11">
        <f>IF(A399="","",IF(K399="",0,D399*INDEX(Products!$I$5:$I$204,K399)))</f>
        <v/>
      </c>
      <c r="O399" s="11">
        <f>IF(A399="","",IF(K399="",0,J399*INDEX(Products!$H$5:$H$204,K399)))</f>
        <v/>
      </c>
      <c r="P399" s="11">
        <f>IF(A399="","",J399-M399-N399-O399)</f>
        <v/>
      </c>
    </row>
    <row r="400">
      <c r="A400">
        <f>IFERROR(INDEX('Shopify Import'!$A:$CZ,400,Settings!$E$20)&amp;"","")</f>
        <v/>
      </c>
      <c r="B400">
        <f>IFERROR(INDEX('Shopify Import'!$A:$CZ,400,Settings!$E$21)&amp;"","")</f>
        <v/>
      </c>
      <c r="C400">
        <f>IFERROR(INDEX('Shopify Import'!$A:$CZ,400,Settings!$E$22)&amp;"","")</f>
        <v/>
      </c>
      <c r="D400">
        <f>IF(A400="","",IFERROR(VALUE(SUBSTITUTE(SUBSTITUTE(INDEX('Shopify Import'!$A:$CZ,400,Settings!$E$23)&amp;"","$",""),",","")),0))</f>
        <v/>
      </c>
      <c r="E400" s="11">
        <f>IF(A400="","",IFERROR(VALUE(SUBSTITUTE(SUBSTITUTE(INDEX('Shopify Import'!$A:$CZ,400,Settings!$E$24)&amp;"","$",""),",","")),0))</f>
        <v/>
      </c>
      <c r="F400" s="11">
        <f>IF(A400="","",D400*E400)</f>
        <v/>
      </c>
      <c r="G400">
        <f>IF(A400="","",IF(C400="",1,COUNTIF($C$2:$C$1501,C400)))</f>
        <v/>
      </c>
      <c r="H400" s="11">
        <f>IF(A400="","",IFERROR(VALUE(SUBSTITUTE(SUBSTITUTE(INDEX('Shopify Import'!$A:$CZ,400,Settings!$E$25)&amp;"","$",""),",","")),0)/IF(Settings!$D$27="Yes",G400,1))</f>
        <v/>
      </c>
      <c r="I400" s="11">
        <f>IF(A400="","",IFERROR(VALUE(SUBSTITUTE(SUBSTITUTE(INDEX('Shopify Import'!$A:$CZ,400,Settings!$E$26)&amp;"","$",""),",","")),0)/IF(Settings!$D$27="Yes",G400,1))</f>
        <v/>
      </c>
      <c r="J400" s="11">
        <f>IF(A400="","",F400+H400-I400)</f>
        <v/>
      </c>
      <c r="K400">
        <f>IF(A400="","",IFERROR(IF(B400="",NA(),MATCH(B400,Products!$B$5:$B$204,0)),IFERROR(MATCH(A400,Products!$A$5:$A$204,0),"")))</f>
        <v/>
      </c>
      <c r="L400">
        <f>IF(A400="","",IF(K400="","⚠ not in Products",INDEX(Products!$A$5:$A$204,K400)))</f>
        <v/>
      </c>
      <c r="M400" s="11">
        <f>IF(A400="","",J400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400+IFERROR(INDEX(Settings!$D$5:$D$9,MATCH("Shopify",Settings!$A$5:$A$9,0)),0)*D400)</f>
        <v/>
      </c>
      <c r="N400" s="11">
        <f>IF(A400="","",IF(K400="",0,D400*INDEX(Products!$I$5:$I$204,K400)))</f>
        <v/>
      </c>
      <c r="O400" s="11">
        <f>IF(A400="","",IF(K400="",0,J400*INDEX(Products!$H$5:$H$204,K400)))</f>
        <v/>
      </c>
      <c r="P400" s="11">
        <f>IF(A400="","",J400-M400-N400-O400)</f>
        <v/>
      </c>
    </row>
    <row r="401">
      <c r="A401">
        <f>IFERROR(INDEX('Shopify Import'!$A:$CZ,401,Settings!$E$20)&amp;"","")</f>
        <v/>
      </c>
      <c r="B401">
        <f>IFERROR(INDEX('Shopify Import'!$A:$CZ,401,Settings!$E$21)&amp;"","")</f>
        <v/>
      </c>
      <c r="C401">
        <f>IFERROR(INDEX('Shopify Import'!$A:$CZ,401,Settings!$E$22)&amp;"","")</f>
        <v/>
      </c>
      <c r="D401">
        <f>IF(A401="","",IFERROR(VALUE(SUBSTITUTE(SUBSTITUTE(INDEX('Shopify Import'!$A:$CZ,401,Settings!$E$23)&amp;"","$",""),",","")),0))</f>
        <v/>
      </c>
      <c r="E401" s="11">
        <f>IF(A401="","",IFERROR(VALUE(SUBSTITUTE(SUBSTITUTE(INDEX('Shopify Import'!$A:$CZ,401,Settings!$E$24)&amp;"","$",""),",","")),0))</f>
        <v/>
      </c>
      <c r="F401" s="11">
        <f>IF(A401="","",D401*E401)</f>
        <v/>
      </c>
      <c r="G401">
        <f>IF(A401="","",IF(C401="",1,COUNTIF($C$2:$C$1501,C401)))</f>
        <v/>
      </c>
      <c r="H401" s="11">
        <f>IF(A401="","",IFERROR(VALUE(SUBSTITUTE(SUBSTITUTE(INDEX('Shopify Import'!$A:$CZ,401,Settings!$E$25)&amp;"","$",""),",","")),0)/IF(Settings!$D$27="Yes",G401,1))</f>
        <v/>
      </c>
      <c r="I401" s="11">
        <f>IF(A401="","",IFERROR(VALUE(SUBSTITUTE(SUBSTITUTE(INDEX('Shopify Import'!$A:$CZ,401,Settings!$E$26)&amp;"","$",""),",","")),0)/IF(Settings!$D$27="Yes",G401,1))</f>
        <v/>
      </c>
      <c r="J401" s="11">
        <f>IF(A401="","",F401+H401-I401)</f>
        <v/>
      </c>
      <c r="K401">
        <f>IF(A401="","",IFERROR(IF(B401="",NA(),MATCH(B401,Products!$B$5:$B$204,0)),IFERROR(MATCH(A401,Products!$A$5:$A$204,0),"")))</f>
        <v/>
      </c>
      <c r="L401">
        <f>IF(A401="","",IF(K401="","⚠ not in Products",INDEX(Products!$A$5:$A$204,K401)))</f>
        <v/>
      </c>
      <c r="M401" s="11">
        <f>IF(A401="","",J401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401+IFERROR(INDEX(Settings!$D$5:$D$9,MATCH("Shopify",Settings!$A$5:$A$9,0)),0)*D401)</f>
        <v/>
      </c>
      <c r="N401" s="11">
        <f>IF(A401="","",IF(K401="",0,D401*INDEX(Products!$I$5:$I$204,K401)))</f>
        <v/>
      </c>
      <c r="O401" s="11">
        <f>IF(A401="","",IF(K401="",0,J401*INDEX(Products!$H$5:$H$204,K401)))</f>
        <v/>
      </c>
      <c r="P401" s="11">
        <f>IF(A401="","",J401-M401-N401-O401)</f>
        <v/>
      </c>
    </row>
    <row r="402">
      <c r="A402">
        <f>IFERROR(INDEX('Shopify Import'!$A:$CZ,402,Settings!$E$20)&amp;"","")</f>
        <v/>
      </c>
      <c r="B402">
        <f>IFERROR(INDEX('Shopify Import'!$A:$CZ,402,Settings!$E$21)&amp;"","")</f>
        <v/>
      </c>
      <c r="C402">
        <f>IFERROR(INDEX('Shopify Import'!$A:$CZ,402,Settings!$E$22)&amp;"","")</f>
        <v/>
      </c>
      <c r="D402">
        <f>IF(A402="","",IFERROR(VALUE(SUBSTITUTE(SUBSTITUTE(INDEX('Shopify Import'!$A:$CZ,402,Settings!$E$23)&amp;"","$",""),",","")),0))</f>
        <v/>
      </c>
      <c r="E402" s="11">
        <f>IF(A402="","",IFERROR(VALUE(SUBSTITUTE(SUBSTITUTE(INDEX('Shopify Import'!$A:$CZ,402,Settings!$E$24)&amp;"","$",""),",","")),0))</f>
        <v/>
      </c>
      <c r="F402" s="11">
        <f>IF(A402="","",D402*E402)</f>
        <v/>
      </c>
      <c r="G402">
        <f>IF(A402="","",IF(C402="",1,COUNTIF($C$2:$C$1501,C402)))</f>
        <v/>
      </c>
      <c r="H402" s="11">
        <f>IF(A402="","",IFERROR(VALUE(SUBSTITUTE(SUBSTITUTE(INDEX('Shopify Import'!$A:$CZ,402,Settings!$E$25)&amp;"","$",""),",","")),0)/IF(Settings!$D$27="Yes",G402,1))</f>
        <v/>
      </c>
      <c r="I402" s="11">
        <f>IF(A402="","",IFERROR(VALUE(SUBSTITUTE(SUBSTITUTE(INDEX('Shopify Import'!$A:$CZ,402,Settings!$E$26)&amp;"","$",""),",","")),0)/IF(Settings!$D$27="Yes",G402,1))</f>
        <v/>
      </c>
      <c r="J402" s="11">
        <f>IF(A402="","",F402+H402-I402)</f>
        <v/>
      </c>
      <c r="K402">
        <f>IF(A402="","",IFERROR(IF(B402="",NA(),MATCH(B402,Products!$B$5:$B$204,0)),IFERROR(MATCH(A402,Products!$A$5:$A$204,0),"")))</f>
        <v/>
      </c>
      <c r="L402">
        <f>IF(A402="","",IF(K402="","⚠ not in Products",INDEX(Products!$A$5:$A$204,K402)))</f>
        <v/>
      </c>
      <c r="M402" s="11">
        <f>IF(A402="","",J402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402+IFERROR(INDEX(Settings!$D$5:$D$9,MATCH("Shopify",Settings!$A$5:$A$9,0)),0)*D402)</f>
        <v/>
      </c>
      <c r="N402" s="11">
        <f>IF(A402="","",IF(K402="",0,D402*INDEX(Products!$I$5:$I$204,K402)))</f>
        <v/>
      </c>
      <c r="O402" s="11">
        <f>IF(A402="","",IF(K402="",0,J402*INDEX(Products!$H$5:$H$204,K402)))</f>
        <v/>
      </c>
      <c r="P402" s="11">
        <f>IF(A402="","",J402-M402-N402-O402)</f>
        <v/>
      </c>
    </row>
    <row r="403">
      <c r="A403">
        <f>IFERROR(INDEX('Shopify Import'!$A:$CZ,403,Settings!$E$20)&amp;"","")</f>
        <v/>
      </c>
      <c r="B403">
        <f>IFERROR(INDEX('Shopify Import'!$A:$CZ,403,Settings!$E$21)&amp;"","")</f>
        <v/>
      </c>
      <c r="C403">
        <f>IFERROR(INDEX('Shopify Import'!$A:$CZ,403,Settings!$E$22)&amp;"","")</f>
        <v/>
      </c>
      <c r="D403">
        <f>IF(A403="","",IFERROR(VALUE(SUBSTITUTE(SUBSTITUTE(INDEX('Shopify Import'!$A:$CZ,403,Settings!$E$23)&amp;"","$",""),",","")),0))</f>
        <v/>
      </c>
      <c r="E403" s="11">
        <f>IF(A403="","",IFERROR(VALUE(SUBSTITUTE(SUBSTITUTE(INDEX('Shopify Import'!$A:$CZ,403,Settings!$E$24)&amp;"","$",""),",","")),0))</f>
        <v/>
      </c>
      <c r="F403" s="11">
        <f>IF(A403="","",D403*E403)</f>
        <v/>
      </c>
      <c r="G403">
        <f>IF(A403="","",IF(C403="",1,COUNTIF($C$2:$C$1501,C403)))</f>
        <v/>
      </c>
      <c r="H403" s="11">
        <f>IF(A403="","",IFERROR(VALUE(SUBSTITUTE(SUBSTITUTE(INDEX('Shopify Import'!$A:$CZ,403,Settings!$E$25)&amp;"","$",""),",","")),0)/IF(Settings!$D$27="Yes",G403,1))</f>
        <v/>
      </c>
      <c r="I403" s="11">
        <f>IF(A403="","",IFERROR(VALUE(SUBSTITUTE(SUBSTITUTE(INDEX('Shopify Import'!$A:$CZ,403,Settings!$E$26)&amp;"","$",""),",","")),0)/IF(Settings!$D$27="Yes",G403,1))</f>
        <v/>
      </c>
      <c r="J403" s="11">
        <f>IF(A403="","",F403+H403-I403)</f>
        <v/>
      </c>
      <c r="K403">
        <f>IF(A403="","",IFERROR(IF(B403="",NA(),MATCH(B403,Products!$B$5:$B$204,0)),IFERROR(MATCH(A403,Products!$A$5:$A$204,0),"")))</f>
        <v/>
      </c>
      <c r="L403">
        <f>IF(A403="","",IF(K403="","⚠ not in Products",INDEX(Products!$A$5:$A$204,K403)))</f>
        <v/>
      </c>
      <c r="M403" s="11">
        <f>IF(A403="","",J403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403+IFERROR(INDEX(Settings!$D$5:$D$9,MATCH("Shopify",Settings!$A$5:$A$9,0)),0)*D403)</f>
        <v/>
      </c>
      <c r="N403" s="11">
        <f>IF(A403="","",IF(K403="",0,D403*INDEX(Products!$I$5:$I$204,K403)))</f>
        <v/>
      </c>
      <c r="O403" s="11">
        <f>IF(A403="","",IF(K403="",0,J403*INDEX(Products!$H$5:$H$204,K403)))</f>
        <v/>
      </c>
      <c r="P403" s="11">
        <f>IF(A403="","",J403-M403-N403-O403)</f>
        <v/>
      </c>
    </row>
    <row r="404">
      <c r="A404">
        <f>IFERROR(INDEX('Shopify Import'!$A:$CZ,404,Settings!$E$20)&amp;"","")</f>
        <v/>
      </c>
      <c r="B404">
        <f>IFERROR(INDEX('Shopify Import'!$A:$CZ,404,Settings!$E$21)&amp;"","")</f>
        <v/>
      </c>
      <c r="C404">
        <f>IFERROR(INDEX('Shopify Import'!$A:$CZ,404,Settings!$E$22)&amp;"","")</f>
        <v/>
      </c>
      <c r="D404">
        <f>IF(A404="","",IFERROR(VALUE(SUBSTITUTE(SUBSTITUTE(INDEX('Shopify Import'!$A:$CZ,404,Settings!$E$23)&amp;"","$",""),",","")),0))</f>
        <v/>
      </c>
      <c r="E404" s="11">
        <f>IF(A404="","",IFERROR(VALUE(SUBSTITUTE(SUBSTITUTE(INDEX('Shopify Import'!$A:$CZ,404,Settings!$E$24)&amp;"","$",""),",","")),0))</f>
        <v/>
      </c>
      <c r="F404" s="11">
        <f>IF(A404="","",D404*E404)</f>
        <v/>
      </c>
      <c r="G404">
        <f>IF(A404="","",IF(C404="",1,COUNTIF($C$2:$C$1501,C404)))</f>
        <v/>
      </c>
      <c r="H404" s="11">
        <f>IF(A404="","",IFERROR(VALUE(SUBSTITUTE(SUBSTITUTE(INDEX('Shopify Import'!$A:$CZ,404,Settings!$E$25)&amp;"","$",""),",","")),0)/IF(Settings!$D$27="Yes",G404,1))</f>
        <v/>
      </c>
      <c r="I404" s="11">
        <f>IF(A404="","",IFERROR(VALUE(SUBSTITUTE(SUBSTITUTE(INDEX('Shopify Import'!$A:$CZ,404,Settings!$E$26)&amp;"","$",""),",","")),0)/IF(Settings!$D$27="Yes",G404,1))</f>
        <v/>
      </c>
      <c r="J404" s="11">
        <f>IF(A404="","",F404+H404-I404)</f>
        <v/>
      </c>
      <c r="K404">
        <f>IF(A404="","",IFERROR(IF(B404="",NA(),MATCH(B404,Products!$B$5:$B$204,0)),IFERROR(MATCH(A404,Products!$A$5:$A$204,0),"")))</f>
        <v/>
      </c>
      <c r="L404">
        <f>IF(A404="","",IF(K404="","⚠ not in Products",INDEX(Products!$A$5:$A$204,K404)))</f>
        <v/>
      </c>
      <c r="M404" s="11">
        <f>IF(A404="","",J404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404+IFERROR(INDEX(Settings!$D$5:$D$9,MATCH("Shopify",Settings!$A$5:$A$9,0)),0)*D404)</f>
        <v/>
      </c>
      <c r="N404" s="11">
        <f>IF(A404="","",IF(K404="",0,D404*INDEX(Products!$I$5:$I$204,K404)))</f>
        <v/>
      </c>
      <c r="O404" s="11">
        <f>IF(A404="","",IF(K404="",0,J404*INDEX(Products!$H$5:$H$204,K404)))</f>
        <v/>
      </c>
      <c r="P404" s="11">
        <f>IF(A404="","",J404-M404-N404-O404)</f>
        <v/>
      </c>
    </row>
    <row r="405">
      <c r="A405">
        <f>IFERROR(INDEX('Shopify Import'!$A:$CZ,405,Settings!$E$20)&amp;"","")</f>
        <v/>
      </c>
      <c r="B405">
        <f>IFERROR(INDEX('Shopify Import'!$A:$CZ,405,Settings!$E$21)&amp;"","")</f>
        <v/>
      </c>
      <c r="C405">
        <f>IFERROR(INDEX('Shopify Import'!$A:$CZ,405,Settings!$E$22)&amp;"","")</f>
        <v/>
      </c>
      <c r="D405">
        <f>IF(A405="","",IFERROR(VALUE(SUBSTITUTE(SUBSTITUTE(INDEX('Shopify Import'!$A:$CZ,405,Settings!$E$23)&amp;"","$",""),",","")),0))</f>
        <v/>
      </c>
      <c r="E405" s="11">
        <f>IF(A405="","",IFERROR(VALUE(SUBSTITUTE(SUBSTITUTE(INDEX('Shopify Import'!$A:$CZ,405,Settings!$E$24)&amp;"","$",""),",","")),0))</f>
        <v/>
      </c>
      <c r="F405" s="11">
        <f>IF(A405="","",D405*E405)</f>
        <v/>
      </c>
      <c r="G405">
        <f>IF(A405="","",IF(C405="",1,COUNTIF($C$2:$C$1501,C405)))</f>
        <v/>
      </c>
      <c r="H405" s="11">
        <f>IF(A405="","",IFERROR(VALUE(SUBSTITUTE(SUBSTITUTE(INDEX('Shopify Import'!$A:$CZ,405,Settings!$E$25)&amp;"","$",""),",","")),0)/IF(Settings!$D$27="Yes",G405,1))</f>
        <v/>
      </c>
      <c r="I405" s="11">
        <f>IF(A405="","",IFERROR(VALUE(SUBSTITUTE(SUBSTITUTE(INDEX('Shopify Import'!$A:$CZ,405,Settings!$E$26)&amp;"","$",""),",","")),0)/IF(Settings!$D$27="Yes",G405,1))</f>
        <v/>
      </c>
      <c r="J405" s="11">
        <f>IF(A405="","",F405+H405-I405)</f>
        <v/>
      </c>
      <c r="K405">
        <f>IF(A405="","",IFERROR(IF(B405="",NA(),MATCH(B405,Products!$B$5:$B$204,0)),IFERROR(MATCH(A405,Products!$A$5:$A$204,0),"")))</f>
        <v/>
      </c>
      <c r="L405">
        <f>IF(A405="","",IF(K405="","⚠ not in Products",INDEX(Products!$A$5:$A$204,K405)))</f>
        <v/>
      </c>
      <c r="M405" s="11">
        <f>IF(A405="","",J405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405+IFERROR(INDEX(Settings!$D$5:$D$9,MATCH("Shopify",Settings!$A$5:$A$9,0)),0)*D405)</f>
        <v/>
      </c>
      <c r="N405" s="11">
        <f>IF(A405="","",IF(K405="",0,D405*INDEX(Products!$I$5:$I$204,K405)))</f>
        <v/>
      </c>
      <c r="O405" s="11">
        <f>IF(A405="","",IF(K405="",0,J405*INDEX(Products!$H$5:$H$204,K405)))</f>
        <v/>
      </c>
      <c r="P405" s="11">
        <f>IF(A405="","",J405-M405-N405-O405)</f>
        <v/>
      </c>
    </row>
    <row r="406">
      <c r="A406">
        <f>IFERROR(INDEX('Shopify Import'!$A:$CZ,406,Settings!$E$20)&amp;"","")</f>
        <v/>
      </c>
      <c r="B406">
        <f>IFERROR(INDEX('Shopify Import'!$A:$CZ,406,Settings!$E$21)&amp;"","")</f>
        <v/>
      </c>
      <c r="C406">
        <f>IFERROR(INDEX('Shopify Import'!$A:$CZ,406,Settings!$E$22)&amp;"","")</f>
        <v/>
      </c>
      <c r="D406">
        <f>IF(A406="","",IFERROR(VALUE(SUBSTITUTE(SUBSTITUTE(INDEX('Shopify Import'!$A:$CZ,406,Settings!$E$23)&amp;"","$",""),",","")),0))</f>
        <v/>
      </c>
      <c r="E406" s="11">
        <f>IF(A406="","",IFERROR(VALUE(SUBSTITUTE(SUBSTITUTE(INDEX('Shopify Import'!$A:$CZ,406,Settings!$E$24)&amp;"","$",""),",","")),0))</f>
        <v/>
      </c>
      <c r="F406" s="11">
        <f>IF(A406="","",D406*E406)</f>
        <v/>
      </c>
      <c r="G406">
        <f>IF(A406="","",IF(C406="",1,COUNTIF($C$2:$C$1501,C406)))</f>
        <v/>
      </c>
      <c r="H406" s="11">
        <f>IF(A406="","",IFERROR(VALUE(SUBSTITUTE(SUBSTITUTE(INDEX('Shopify Import'!$A:$CZ,406,Settings!$E$25)&amp;"","$",""),",","")),0)/IF(Settings!$D$27="Yes",G406,1))</f>
        <v/>
      </c>
      <c r="I406" s="11">
        <f>IF(A406="","",IFERROR(VALUE(SUBSTITUTE(SUBSTITUTE(INDEX('Shopify Import'!$A:$CZ,406,Settings!$E$26)&amp;"","$",""),",","")),0)/IF(Settings!$D$27="Yes",G406,1))</f>
        <v/>
      </c>
      <c r="J406" s="11">
        <f>IF(A406="","",F406+H406-I406)</f>
        <v/>
      </c>
      <c r="K406">
        <f>IF(A406="","",IFERROR(IF(B406="",NA(),MATCH(B406,Products!$B$5:$B$204,0)),IFERROR(MATCH(A406,Products!$A$5:$A$204,0),"")))</f>
        <v/>
      </c>
      <c r="L406">
        <f>IF(A406="","",IF(K406="","⚠ not in Products",INDEX(Products!$A$5:$A$204,K406)))</f>
        <v/>
      </c>
      <c r="M406" s="11">
        <f>IF(A406="","",J406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406+IFERROR(INDEX(Settings!$D$5:$D$9,MATCH("Shopify",Settings!$A$5:$A$9,0)),0)*D406)</f>
        <v/>
      </c>
      <c r="N406" s="11">
        <f>IF(A406="","",IF(K406="",0,D406*INDEX(Products!$I$5:$I$204,K406)))</f>
        <v/>
      </c>
      <c r="O406" s="11">
        <f>IF(A406="","",IF(K406="",0,J406*INDEX(Products!$H$5:$H$204,K406)))</f>
        <v/>
      </c>
      <c r="P406" s="11">
        <f>IF(A406="","",J406-M406-N406-O406)</f>
        <v/>
      </c>
    </row>
    <row r="407">
      <c r="A407">
        <f>IFERROR(INDEX('Shopify Import'!$A:$CZ,407,Settings!$E$20)&amp;"","")</f>
        <v/>
      </c>
      <c r="B407">
        <f>IFERROR(INDEX('Shopify Import'!$A:$CZ,407,Settings!$E$21)&amp;"","")</f>
        <v/>
      </c>
      <c r="C407">
        <f>IFERROR(INDEX('Shopify Import'!$A:$CZ,407,Settings!$E$22)&amp;"","")</f>
        <v/>
      </c>
      <c r="D407">
        <f>IF(A407="","",IFERROR(VALUE(SUBSTITUTE(SUBSTITUTE(INDEX('Shopify Import'!$A:$CZ,407,Settings!$E$23)&amp;"","$",""),",","")),0))</f>
        <v/>
      </c>
      <c r="E407" s="11">
        <f>IF(A407="","",IFERROR(VALUE(SUBSTITUTE(SUBSTITUTE(INDEX('Shopify Import'!$A:$CZ,407,Settings!$E$24)&amp;"","$",""),",","")),0))</f>
        <v/>
      </c>
      <c r="F407" s="11">
        <f>IF(A407="","",D407*E407)</f>
        <v/>
      </c>
      <c r="G407">
        <f>IF(A407="","",IF(C407="",1,COUNTIF($C$2:$C$1501,C407)))</f>
        <v/>
      </c>
      <c r="H407" s="11">
        <f>IF(A407="","",IFERROR(VALUE(SUBSTITUTE(SUBSTITUTE(INDEX('Shopify Import'!$A:$CZ,407,Settings!$E$25)&amp;"","$",""),",","")),0)/IF(Settings!$D$27="Yes",G407,1))</f>
        <v/>
      </c>
      <c r="I407" s="11">
        <f>IF(A407="","",IFERROR(VALUE(SUBSTITUTE(SUBSTITUTE(INDEX('Shopify Import'!$A:$CZ,407,Settings!$E$26)&amp;"","$",""),",","")),0)/IF(Settings!$D$27="Yes",G407,1))</f>
        <v/>
      </c>
      <c r="J407" s="11">
        <f>IF(A407="","",F407+H407-I407)</f>
        <v/>
      </c>
      <c r="K407">
        <f>IF(A407="","",IFERROR(IF(B407="",NA(),MATCH(B407,Products!$B$5:$B$204,0)),IFERROR(MATCH(A407,Products!$A$5:$A$204,0),"")))</f>
        <v/>
      </c>
      <c r="L407">
        <f>IF(A407="","",IF(K407="","⚠ not in Products",INDEX(Products!$A$5:$A$204,K407)))</f>
        <v/>
      </c>
      <c r="M407" s="11">
        <f>IF(A407="","",J407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407+IFERROR(INDEX(Settings!$D$5:$D$9,MATCH("Shopify",Settings!$A$5:$A$9,0)),0)*D407)</f>
        <v/>
      </c>
      <c r="N407" s="11">
        <f>IF(A407="","",IF(K407="",0,D407*INDEX(Products!$I$5:$I$204,K407)))</f>
        <v/>
      </c>
      <c r="O407" s="11">
        <f>IF(A407="","",IF(K407="",0,J407*INDEX(Products!$H$5:$H$204,K407)))</f>
        <v/>
      </c>
      <c r="P407" s="11">
        <f>IF(A407="","",J407-M407-N407-O407)</f>
        <v/>
      </c>
    </row>
    <row r="408">
      <c r="A408">
        <f>IFERROR(INDEX('Shopify Import'!$A:$CZ,408,Settings!$E$20)&amp;"","")</f>
        <v/>
      </c>
      <c r="B408">
        <f>IFERROR(INDEX('Shopify Import'!$A:$CZ,408,Settings!$E$21)&amp;"","")</f>
        <v/>
      </c>
      <c r="C408">
        <f>IFERROR(INDEX('Shopify Import'!$A:$CZ,408,Settings!$E$22)&amp;"","")</f>
        <v/>
      </c>
      <c r="D408">
        <f>IF(A408="","",IFERROR(VALUE(SUBSTITUTE(SUBSTITUTE(INDEX('Shopify Import'!$A:$CZ,408,Settings!$E$23)&amp;"","$",""),",","")),0))</f>
        <v/>
      </c>
      <c r="E408" s="11">
        <f>IF(A408="","",IFERROR(VALUE(SUBSTITUTE(SUBSTITUTE(INDEX('Shopify Import'!$A:$CZ,408,Settings!$E$24)&amp;"","$",""),",","")),0))</f>
        <v/>
      </c>
      <c r="F408" s="11">
        <f>IF(A408="","",D408*E408)</f>
        <v/>
      </c>
      <c r="G408">
        <f>IF(A408="","",IF(C408="",1,COUNTIF($C$2:$C$1501,C408)))</f>
        <v/>
      </c>
      <c r="H408" s="11">
        <f>IF(A408="","",IFERROR(VALUE(SUBSTITUTE(SUBSTITUTE(INDEX('Shopify Import'!$A:$CZ,408,Settings!$E$25)&amp;"","$",""),",","")),0)/IF(Settings!$D$27="Yes",G408,1))</f>
        <v/>
      </c>
      <c r="I408" s="11">
        <f>IF(A408="","",IFERROR(VALUE(SUBSTITUTE(SUBSTITUTE(INDEX('Shopify Import'!$A:$CZ,408,Settings!$E$26)&amp;"","$",""),",","")),0)/IF(Settings!$D$27="Yes",G408,1))</f>
        <v/>
      </c>
      <c r="J408" s="11">
        <f>IF(A408="","",F408+H408-I408)</f>
        <v/>
      </c>
      <c r="K408">
        <f>IF(A408="","",IFERROR(IF(B408="",NA(),MATCH(B408,Products!$B$5:$B$204,0)),IFERROR(MATCH(A408,Products!$A$5:$A$204,0),"")))</f>
        <v/>
      </c>
      <c r="L408">
        <f>IF(A408="","",IF(K408="","⚠ not in Products",INDEX(Products!$A$5:$A$204,K408)))</f>
        <v/>
      </c>
      <c r="M408" s="11">
        <f>IF(A408="","",J408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408+IFERROR(INDEX(Settings!$D$5:$D$9,MATCH("Shopify",Settings!$A$5:$A$9,0)),0)*D408)</f>
        <v/>
      </c>
      <c r="N408" s="11">
        <f>IF(A408="","",IF(K408="",0,D408*INDEX(Products!$I$5:$I$204,K408)))</f>
        <v/>
      </c>
      <c r="O408" s="11">
        <f>IF(A408="","",IF(K408="",0,J408*INDEX(Products!$H$5:$H$204,K408)))</f>
        <v/>
      </c>
      <c r="P408" s="11">
        <f>IF(A408="","",J408-M408-N408-O408)</f>
        <v/>
      </c>
    </row>
    <row r="409">
      <c r="A409">
        <f>IFERROR(INDEX('Shopify Import'!$A:$CZ,409,Settings!$E$20)&amp;"","")</f>
        <v/>
      </c>
      <c r="B409">
        <f>IFERROR(INDEX('Shopify Import'!$A:$CZ,409,Settings!$E$21)&amp;"","")</f>
        <v/>
      </c>
      <c r="C409">
        <f>IFERROR(INDEX('Shopify Import'!$A:$CZ,409,Settings!$E$22)&amp;"","")</f>
        <v/>
      </c>
      <c r="D409">
        <f>IF(A409="","",IFERROR(VALUE(SUBSTITUTE(SUBSTITUTE(INDEX('Shopify Import'!$A:$CZ,409,Settings!$E$23)&amp;"","$",""),",","")),0))</f>
        <v/>
      </c>
      <c r="E409" s="11">
        <f>IF(A409="","",IFERROR(VALUE(SUBSTITUTE(SUBSTITUTE(INDEX('Shopify Import'!$A:$CZ,409,Settings!$E$24)&amp;"","$",""),",","")),0))</f>
        <v/>
      </c>
      <c r="F409" s="11">
        <f>IF(A409="","",D409*E409)</f>
        <v/>
      </c>
      <c r="G409">
        <f>IF(A409="","",IF(C409="",1,COUNTIF($C$2:$C$1501,C409)))</f>
        <v/>
      </c>
      <c r="H409" s="11">
        <f>IF(A409="","",IFERROR(VALUE(SUBSTITUTE(SUBSTITUTE(INDEX('Shopify Import'!$A:$CZ,409,Settings!$E$25)&amp;"","$",""),",","")),0)/IF(Settings!$D$27="Yes",G409,1))</f>
        <v/>
      </c>
      <c r="I409" s="11">
        <f>IF(A409="","",IFERROR(VALUE(SUBSTITUTE(SUBSTITUTE(INDEX('Shopify Import'!$A:$CZ,409,Settings!$E$26)&amp;"","$",""),",","")),0)/IF(Settings!$D$27="Yes",G409,1))</f>
        <v/>
      </c>
      <c r="J409" s="11">
        <f>IF(A409="","",F409+H409-I409)</f>
        <v/>
      </c>
      <c r="K409">
        <f>IF(A409="","",IFERROR(IF(B409="",NA(),MATCH(B409,Products!$B$5:$B$204,0)),IFERROR(MATCH(A409,Products!$A$5:$A$204,0),"")))</f>
        <v/>
      </c>
      <c r="L409">
        <f>IF(A409="","",IF(K409="","⚠ not in Products",INDEX(Products!$A$5:$A$204,K409)))</f>
        <v/>
      </c>
      <c r="M409" s="11">
        <f>IF(A409="","",J409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409+IFERROR(INDEX(Settings!$D$5:$D$9,MATCH("Shopify",Settings!$A$5:$A$9,0)),0)*D409)</f>
        <v/>
      </c>
      <c r="N409" s="11">
        <f>IF(A409="","",IF(K409="",0,D409*INDEX(Products!$I$5:$I$204,K409)))</f>
        <v/>
      </c>
      <c r="O409" s="11">
        <f>IF(A409="","",IF(K409="",0,J409*INDEX(Products!$H$5:$H$204,K409)))</f>
        <v/>
      </c>
      <c r="P409" s="11">
        <f>IF(A409="","",J409-M409-N409-O409)</f>
        <v/>
      </c>
    </row>
    <row r="410">
      <c r="A410">
        <f>IFERROR(INDEX('Shopify Import'!$A:$CZ,410,Settings!$E$20)&amp;"","")</f>
        <v/>
      </c>
      <c r="B410">
        <f>IFERROR(INDEX('Shopify Import'!$A:$CZ,410,Settings!$E$21)&amp;"","")</f>
        <v/>
      </c>
      <c r="C410">
        <f>IFERROR(INDEX('Shopify Import'!$A:$CZ,410,Settings!$E$22)&amp;"","")</f>
        <v/>
      </c>
      <c r="D410">
        <f>IF(A410="","",IFERROR(VALUE(SUBSTITUTE(SUBSTITUTE(INDEX('Shopify Import'!$A:$CZ,410,Settings!$E$23)&amp;"","$",""),",","")),0))</f>
        <v/>
      </c>
      <c r="E410" s="11">
        <f>IF(A410="","",IFERROR(VALUE(SUBSTITUTE(SUBSTITUTE(INDEX('Shopify Import'!$A:$CZ,410,Settings!$E$24)&amp;"","$",""),",","")),0))</f>
        <v/>
      </c>
      <c r="F410" s="11">
        <f>IF(A410="","",D410*E410)</f>
        <v/>
      </c>
      <c r="G410">
        <f>IF(A410="","",IF(C410="",1,COUNTIF($C$2:$C$1501,C410)))</f>
        <v/>
      </c>
      <c r="H410" s="11">
        <f>IF(A410="","",IFERROR(VALUE(SUBSTITUTE(SUBSTITUTE(INDEX('Shopify Import'!$A:$CZ,410,Settings!$E$25)&amp;"","$",""),",","")),0)/IF(Settings!$D$27="Yes",G410,1))</f>
        <v/>
      </c>
      <c r="I410" s="11">
        <f>IF(A410="","",IFERROR(VALUE(SUBSTITUTE(SUBSTITUTE(INDEX('Shopify Import'!$A:$CZ,410,Settings!$E$26)&amp;"","$",""),",","")),0)/IF(Settings!$D$27="Yes",G410,1))</f>
        <v/>
      </c>
      <c r="J410" s="11">
        <f>IF(A410="","",F410+H410-I410)</f>
        <v/>
      </c>
      <c r="K410">
        <f>IF(A410="","",IFERROR(IF(B410="",NA(),MATCH(B410,Products!$B$5:$B$204,0)),IFERROR(MATCH(A410,Products!$A$5:$A$204,0),"")))</f>
        <v/>
      </c>
      <c r="L410">
        <f>IF(A410="","",IF(K410="","⚠ not in Products",INDEX(Products!$A$5:$A$204,K410)))</f>
        <v/>
      </c>
      <c r="M410" s="11">
        <f>IF(A410="","",J410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410+IFERROR(INDEX(Settings!$D$5:$D$9,MATCH("Shopify",Settings!$A$5:$A$9,0)),0)*D410)</f>
        <v/>
      </c>
      <c r="N410" s="11">
        <f>IF(A410="","",IF(K410="",0,D410*INDEX(Products!$I$5:$I$204,K410)))</f>
        <v/>
      </c>
      <c r="O410" s="11">
        <f>IF(A410="","",IF(K410="",0,J410*INDEX(Products!$H$5:$H$204,K410)))</f>
        <v/>
      </c>
      <c r="P410" s="11">
        <f>IF(A410="","",J410-M410-N410-O410)</f>
        <v/>
      </c>
    </row>
    <row r="411">
      <c r="A411">
        <f>IFERROR(INDEX('Shopify Import'!$A:$CZ,411,Settings!$E$20)&amp;"","")</f>
        <v/>
      </c>
      <c r="B411">
        <f>IFERROR(INDEX('Shopify Import'!$A:$CZ,411,Settings!$E$21)&amp;"","")</f>
        <v/>
      </c>
      <c r="C411">
        <f>IFERROR(INDEX('Shopify Import'!$A:$CZ,411,Settings!$E$22)&amp;"","")</f>
        <v/>
      </c>
      <c r="D411">
        <f>IF(A411="","",IFERROR(VALUE(SUBSTITUTE(SUBSTITUTE(INDEX('Shopify Import'!$A:$CZ,411,Settings!$E$23)&amp;"","$",""),",","")),0))</f>
        <v/>
      </c>
      <c r="E411" s="11">
        <f>IF(A411="","",IFERROR(VALUE(SUBSTITUTE(SUBSTITUTE(INDEX('Shopify Import'!$A:$CZ,411,Settings!$E$24)&amp;"","$",""),",","")),0))</f>
        <v/>
      </c>
      <c r="F411" s="11">
        <f>IF(A411="","",D411*E411)</f>
        <v/>
      </c>
      <c r="G411">
        <f>IF(A411="","",IF(C411="",1,COUNTIF($C$2:$C$1501,C411)))</f>
        <v/>
      </c>
      <c r="H411" s="11">
        <f>IF(A411="","",IFERROR(VALUE(SUBSTITUTE(SUBSTITUTE(INDEX('Shopify Import'!$A:$CZ,411,Settings!$E$25)&amp;"","$",""),",","")),0)/IF(Settings!$D$27="Yes",G411,1))</f>
        <v/>
      </c>
      <c r="I411" s="11">
        <f>IF(A411="","",IFERROR(VALUE(SUBSTITUTE(SUBSTITUTE(INDEX('Shopify Import'!$A:$CZ,411,Settings!$E$26)&amp;"","$",""),",","")),0)/IF(Settings!$D$27="Yes",G411,1))</f>
        <v/>
      </c>
      <c r="J411" s="11">
        <f>IF(A411="","",F411+H411-I411)</f>
        <v/>
      </c>
      <c r="K411">
        <f>IF(A411="","",IFERROR(IF(B411="",NA(),MATCH(B411,Products!$B$5:$B$204,0)),IFERROR(MATCH(A411,Products!$A$5:$A$204,0),"")))</f>
        <v/>
      </c>
      <c r="L411">
        <f>IF(A411="","",IF(K411="","⚠ not in Products",INDEX(Products!$A$5:$A$204,K411)))</f>
        <v/>
      </c>
      <c r="M411" s="11">
        <f>IF(A411="","",J411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411+IFERROR(INDEX(Settings!$D$5:$D$9,MATCH("Shopify",Settings!$A$5:$A$9,0)),0)*D411)</f>
        <v/>
      </c>
      <c r="N411" s="11">
        <f>IF(A411="","",IF(K411="",0,D411*INDEX(Products!$I$5:$I$204,K411)))</f>
        <v/>
      </c>
      <c r="O411" s="11">
        <f>IF(A411="","",IF(K411="",0,J411*INDEX(Products!$H$5:$H$204,K411)))</f>
        <v/>
      </c>
      <c r="P411" s="11">
        <f>IF(A411="","",J411-M411-N411-O411)</f>
        <v/>
      </c>
    </row>
    <row r="412">
      <c r="A412">
        <f>IFERROR(INDEX('Shopify Import'!$A:$CZ,412,Settings!$E$20)&amp;"","")</f>
        <v/>
      </c>
      <c r="B412">
        <f>IFERROR(INDEX('Shopify Import'!$A:$CZ,412,Settings!$E$21)&amp;"","")</f>
        <v/>
      </c>
      <c r="C412">
        <f>IFERROR(INDEX('Shopify Import'!$A:$CZ,412,Settings!$E$22)&amp;"","")</f>
        <v/>
      </c>
      <c r="D412">
        <f>IF(A412="","",IFERROR(VALUE(SUBSTITUTE(SUBSTITUTE(INDEX('Shopify Import'!$A:$CZ,412,Settings!$E$23)&amp;"","$",""),",","")),0))</f>
        <v/>
      </c>
      <c r="E412" s="11">
        <f>IF(A412="","",IFERROR(VALUE(SUBSTITUTE(SUBSTITUTE(INDEX('Shopify Import'!$A:$CZ,412,Settings!$E$24)&amp;"","$",""),",","")),0))</f>
        <v/>
      </c>
      <c r="F412" s="11">
        <f>IF(A412="","",D412*E412)</f>
        <v/>
      </c>
      <c r="G412">
        <f>IF(A412="","",IF(C412="",1,COUNTIF($C$2:$C$1501,C412)))</f>
        <v/>
      </c>
      <c r="H412" s="11">
        <f>IF(A412="","",IFERROR(VALUE(SUBSTITUTE(SUBSTITUTE(INDEX('Shopify Import'!$A:$CZ,412,Settings!$E$25)&amp;"","$",""),",","")),0)/IF(Settings!$D$27="Yes",G412,1))</f>
        <v/>
      </c>
      <c r="I412" s="11">
        <f>IF(A412="","",IFERROR(VALUE(SUBSTITUTE(SUBSTITUTE(INDEX('Shopify Import'!$A:$CZ,412,Settings!$E$26)&amp;"","$",""),",","")),0)/IF(Settings!$D$27="Yes",G412,1))</f>
        <v/>
      </c>
      <c r="J412" s="11">
        <f>IF(A412="","",F412+H412-I412)</f>
        <v/>
      </c>
      <c r="K412">
        <f>IF(A412="","",IFERROR(IF(B412="",NA(),MATCH(B412,Products!$B$5:$B$204,0)),IFERROR(MATCH(A412,Products!$A$5:$A$204,0),"")))</f>
        <v/>
      </c>
      <c r="L412">
        <f>IF(A412="","",IF(K412="","⚠ not in Products",INDEX(Products!$A$5:$A$204,K412)))</f>
        <v/>
      </c>
      <c r="M412" s="11">
        <f>IF(A412="","",J412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412+IFERROR(INDEX(Settings!$D$5:$D$9,MATCH("Shopify",Settings!$A$5:$A$9,0)),0)*D412)</f>
        <v/>
      </c>
      <c r="N412" s="11">
        <f>IF(A412="","",IF(K412="",0,D412*INDEX(Products!$I$5:$I$204,K412)))</f>
        <v/>
      </c>
      <c r="O412" s="11">
        <f>IF(A412="","",IF(K412="",0,J412*INDEX(Products!$H$5:$H$204,K412)))</f>
        <v/>
      </c>
      <c r="P412" s="11">
        <f>IF(A412="","",J412-M412-N412-O412)</f>
        <v/>
      </c>
    </row>
    <row r="413">
      <c r="A413">
        <f>IFERROR(INDEX('Shopify Import'!$A:$CZ,413,Settings!$E$20)&amp;"","")</f>
        <v/>
      </c>
      <c r="B413">
        <f>IFERROR(INDEX('Shopify Import'!$A:$CZ,413,Settings!$E$21)&amp;"","")</f>
        <v/>
      </c>
      <c r="C413">
        <f>IFERROR(INDEX('Shopify Import'!$A:$CZ,413,Settings!$E$22)&amp;"","")</f>
        <v/>
      </c>
      <c r="D413">
        <f>IF(A413="","",IFERROR(VALUE(SUBSTITUTE(SUBSTITUTE(INDEX('Shopify Import'!$A:$CZ,413,Settings!$E$23)&amp;"","$",""),",","")),0))</f>
        <v/>
      </c>
      <c r="E413" s="11">
        <f>IF(A413="","",IFERROR(VALUE(SUBSTITUTE(SUBSTITUTE(INDEX('Shopify Import'!$A:$CZ,413,Settings!$E$24)&amp;"","$",""),",","")),0))</f>
        <v/>
      </c>
      <c r="F413" s="11">
        <f>IF(A413="","",D413*E413)</f>
        <v/>
      </c>
      <c r="G413">
        <f>IF(A413="","",IF(C413="",1,COUNTIF($C$2:$C$1501,C413)))</f>
        <v/>
      </c>
      <c r="H413" s="11">
        <f>IF(A413="","",IFERROR(VALUE(SUBSTITUTE(SUBSTITUTE(INDEX('Shopify Import'!$A:$CZ,413,Settings!$E$25)&amp;"","$",""),",","")),0)/IF(Settings!$D$27="Yes",G413,1))</f>
        <v/>
      </c>
      <c r="I413" s="11">
        <f>IF(A413="","",IFERROR(VALUE(SUBSTITUTE(SUBSTITUTE(INDEX('Shopify Import'!$A:$CZ,413,Settings!$E$26)&amp;"","$",""),",","")),0)/IF(Settings!$D$27="Yes",G413,1))</f>
        <v/>
      </c>
      <c r="J413" s="11">
        <f>IF(A413="","",F413+H413-I413)</f>
        <v/>
      </c>
      <c r="K413">
        <f>IF(A413="","",IFERROR(IF(B413="",NA(),MATCH(B413,Products!$B$5:$B$204,0)),IFERROR(MATCH(A413,Products!$A$5:$A$204,0),"")))</f>
        <v/>
      </c>
      <c r="L413">
        <f>IF(A413="","",IF(K413="","⚠ not in Products",INDEX(Products!$A$5:$A$204,K413)))</f>
        <v/>
      </c>
      <c r="M413" s="11">
        <f>IF(A413="","",J413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413+IFERROR(INDEX(Settings!$D$5:$D$9,MATCH("Shopify",Settings!$A$5:$A$9,0)),0)*D413)</f>
        <v/>
      </c>
      <c r="N413" s="11">
        <f>IF(A413="","",IF(K413="",0,D413*INDEX(Products!$I$5:$I$204,K413)))</f>
        <v/>
      </c>
      <c r="O413" s="11">
        <f>IF(A413="","",IF(K413="",0,J413*INDEX(Products!$H$5:$H$204,K413)))</f>
        <v/>
      </c>
      <c r="P413" s="11">
        <f>IF(A413="","",J413-M413-N413-O413)</f>
        <v/>
      </c>
    </row>
    <row r="414">
      <c r="A414">
        <f>IFERROR(INDEX('Shopify Import'!$A:$CZ,414,Settings!$E$20)&amp;"","")</f>
        <v/>
      </c>
      <c r="B414">
        <f>IFERROR(INDEX('Shopify Import'!$A:$CZ,414,Settings!$E$21)&amp;"","")</f>
        <v/>
      </c>
      <c r="C414">
        <f>IFERROR(INDEX('Shopify Import'!$A:$CZ,414,Settings!$E$22)&amp;"","")</f>
        <v/>
      </c>
      <c r="D414">
        <f>IF(A414="","",IFERROR(VALUE(SUBSTITUTE(SUBSTITUTE(INDEX('Shopify Import'!$A:$CZ,414,Settings!$E$23)&amp;"","$",""),",","")),0))</f>
        <v/>
      </c>
      <c r="E414" s="11">
        <f>IF(A414="","",IFERROR(VALUE(SUBSTITUTE(SUBSTITUTE(INDEX('Shopify Import'!$A:$CZ,414,Settings!$E$24)&amp;"","$",""),",","")),0))</f>
        <v/>
      </c>
      <c r="F414" s="11">
        <f>IF(A414="","",D414*E414)</f>
        <v/>
      </c>
      <c r="G414">
        <f>IF(A414="","",IF(C414="",1,COUNTIF($C$2:$C$1501,C414)))</f>
        <v/>
      </c>
      <c r="H414" s="11">
        <f>IF(A414="","",IFERROR(VALUE(SUBSTITUTE(SUBSTITUTE(INDEX('Shopify Import'!$A:$CZ,414,Settings!$E$25)&amp;"","$",""),",","")),0)/IF(Settings!$D$27="Yes",G414,1))</f>
        <v/>
      </c>
      <c r="I414" s="11">
        <f>IF(A414="","",IFERROR(VALUE(SUBSTITUTE(SUBSTITUTE(INDEX('Shopify Import'!$A:$CZ,414,Settings!$E$26)&amp;"","$",""),",","")),0)/IF(Settings!$D$27="Yes",G414,1))</f>
        <v/>
      </c>
      <c r="J414" s="11">
        <f>IF(A414="","",F414+H414-I414)</f>
        <v/>
      </c>
      <c r="K414">
        <f>IF(A414="","",IFERROR(IF(B414="",NA(),MATCH(B414,Products!$B$5:$B$204,0)),IFERROR(MATCH(A414,Products!$A$5:$A$204,0),"")))</f>
        <v/>
      </c>
      <c r="L414">
        <f>IF(A414="","",IF(K414="","⚠ not in Products",INDEX(Products!$A$5:$A$204,K414)))</f>
        <v/>
      </c>
      <c r="M414" s="11">
        <f>IF(A414="","",J414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414+IFERROR(INDEX(Settings!$D$5:$D$9,MATCH("Shopify",Settings!$A$5:$A$9,0)),0)*D414)</f>
        <v/>
      </c>
      <c r="N414" s="11">
        <f>IF(A414="","",IF(K414="",0,D414*INDEX(Products!$I$5:$I$204,K414)))</f>
        <v/>
      </c>
      <c r="O414" s="11">
        <f>IF(A414="","",IF(K414="",0,J414*INDEX(Products!$H$5:$H$204,K414)))</f>
        <v/>
      </c>
      <c r="P414" s="11">
        <f>IF(A414="","",J414-M414-N414-O414)</f>
        <v/>
      </c>
    </row>
    <row r="415">
      <c r="A415">
        <f>IFERROR(INDEX('Shopify Import'!$A:$CZ,415,Settings!$E$20)&amp;"","")</f>
        <v/>
      </c>
      <c r="B415">
        <f>IFERROR(INDEX('Shopify Import'!$A:$CZ,415,Settings!$E$21)&amp;"","")</f>
        <v/>
      </c>
      <c r="C415">
        <f>IFERROR(INDEX('Shopify Import'!$A:$CZ,415,Settings!$E$22)&amp;"","")</f>
        <v/>
      </c>
      <c r="D415">
        <f>IF(A415="","",IFERROR(VALUE(SUBSTITUTE(SUBSTITUTE(INDEX('Shopify Import'!$A:$CZ,415,Settings!$E$23)&amp;"","$",""),",","")),0))</f>
        <v/>
      </c>
      <c r="E415" s="11">
        <f>IF(A415="","",IFERROR(VALUE(SUBSTITUTE(SUBSTITUTE(INDEX('Shopify Import'!$A:$CZ,415,Settings!$E$24)&amp;"","$",""),",","")),0))</f>
        <v/>
      </c>
      <c r="F415" s="11">
        <f>IF(A415="","",D415*E415)</f>
        <v/>
      </c>
      <c r="G415">
        <f>IF(A415="","",IF(C415="",1,COUNTIF($C$2:$C$1501,C415)))</f>
        <v/>
      </c>
      <c r="H415" s="11">
        <f>IF(A415="","",IFERROR(VALUE(SUBSTITUTE(SUBSTITUTE(INDEX('Shopify Import'!$A:$CZ,415,Settings!$E$25)&amp;"","$",""),",","")),0)/IF(Settings!$D$27="Yes",G415,1))</f>
        <v/>
      </c>
      <c r="I415" s="11">
        <f>IF(A415="","",IFERROR(VALUE(SUBSTITUTE(SUBSTITUTE(INDEX('Shopify Import'!$A:$CZ,415,Settings!$E$26)&amp;"","$",""),",","")),0)/IF(Settings!$D$27="Yes",G415,1))</f>
        <v/>
      </c>
      <c r="J415" s="11">
        <f>IF(A415="","",F415+H415-I415)</f>
        <v/>
      </c>
      <c r="K415">
        <f>IF(A415="","",IFERROR(IF(B415="",NA(),MATCH(B415,Products!$B$5:$B$204,0)),IFERROR(MATCH(A415,Products!$A$5:$A$204,0),"")))</f>
        <v/>
      </c>
      <c r="L415">
        <f>IF(A415="","",IF(K415="","⚠ not in Products",INDEX(Products!$A$5:$A$204,K415)))</f>
        <v/>
      </c>
      <c r="M415" s="11">
        <f>IF(A415="","",J415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415+IFERROR(INDEX(Settings!$D$5:$D$9,MATCH("Shopify",Settings!$A$5:$A$9,0)),0)*D415)</f>
        <v/>
      </c>
      <c r="N415" s="11">
        <f>IF(A415="","",IF(K415="",0,D415*INDEX(Products!$I$5:$I$204,K415)))</f>
        <v/>
      </c>
      <c r="O415" s="11">
        <f>IF(A415="","",IF(K415="",0,J415*INDEX(Products!$H$5:$H$204,K415)))</f>
        <v/>
      </c>
      <c r="P415" s="11">
        <f>IF(A415="","",J415-M415-N415-O415)</f>
        <v/>
      </c>
    </row>
    <row r="416">
      <c r="A416">
        <f>IFERROR(INDEX('Shopify Import'!$A:$CZ,416,Settings!$E$20)&amp;"","")</f>
        <v/>
      </c>
      <c r="B416">
        <f>IFERROR(INDEX('Shopify Import'!$A:$CZ,416,Settings!$E$21)&amp;"","")</f>
        <v/>
      </c>
      <c r="C416">
        <f>IFERROR(INDEX('Shopify Import'!$A:$CZ,416,Settings!$E$22)&amp;"","")</f>
        <v/>
      </c>
      <c r="D416">
        <f>IF(A416="","",IFERROR(VALUE(SUBSTITUTE(SUBSTITUTE(INDEX('Shopify Import'!$A:$CZ,416,Settings!$E$23)&amp;"","$",""),",","")),0))</f>
        <v/>
      </c>
      <c r="E416" s="11">
        <f>IF(A416="","",IFERROR(VALUE(SUBSTITUTE(SUBSTITUTE(INDEX('Shopify Import'!$A:$CZ,416,Settings!$E$24)&amp;"","$",""),",","")),0))</f>
        <v/>
      </c>
      <c r="F416" s="11">
        <f>IF(A416="","",D416*E416)</f>
        <v/>
      </c>
      <c r="G416">
        <f>IF(A416="","",IF(C416="",1,COUNTIF($C$2:$C$1501,C416)))</f>
        <v/>
      </c>
      <c r="H416" s="11">
        <f>IF(A416="","",IFERROR(VALUE(SUBSTITUTE(SUBSTITUTE(INDEX('Shopify Import'!$A:$CZ,416,Settings!$E$25)&amp;"","$",""),",","")),0)/IF(Settings!$D$27="Yes",G416,1))</f>
        <v/>
      </c>
      <c r="I416" s="11">
        <f>IF(A416="","",IFERROR(VALUE(SUBSTITUTE(SUBSTITUTE(INDEX('Shopify Import'!$A:$CZ,416,Settings!$E$26)&amp;"","$",""),",","")),0)/IF(Settings!$D$27="Yes",G416,1))</f>
        <v/>
      </c>
      <c r="J416" s="11">
        <f>IF(A416="","",F416+H416-I416)</f>
        <v/>
      </c>
      <c r="K416">
        <f>IF(A416="","",IFERROR(IF(B416="",NA(),MATCH(B416,Products!$B$5:$B$204,0)),IFERROR(MATCH(A416,Products!$A$5:$A$204,0),"")))</f>
        <v/>
      </c>
      <c r="L416">
        <f>IF(A416="","",IF(K416="","⚠ not in Products",INDEX(Products!$A$5:$A$204,K416)))</f>
        <v/>
      </c>
      <c r="M416" s="11">
        <f>IF(A416="","",J416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416+IFERROR(INDEX(Settings!$D$5:$D$9,MATCH("Shopify",Settings!$A$5:$A$9,0)),0)*D416)</f>
        <v/>
      </c>
      <c r="N416" s="11">
        <f>IF(A416="","",IF(K416="",0,D416*INDEX(Products!$I$5:$I$204,K416)))</f>
        <v/>
      </c>
      <c r="O416" s="11">
        <f>IF(A416="","",IF(K416="",0,J416*INDEX(Products!$H$5:$H$204,K416)))</f>
        <v/>
      </c>
      <c r="P416" s="11">
        <f>IF(A416="","",J416-M416-N416-O416)</f>
        <v/>
      </c>
    </row>
    <row r="417">
      <c r="A417">
        <f>IFERROR(INDEX('Shopify Import'!$A:$CZ,417,Settings!$E$20)&amp;"","")</f>
        <v/>
      </c>
      <c r="B417">
        <f>IFERROR(INDEX('Shopify Import'!$A:$CZ,417,Settings!$E$21)&amp;"","")</f>
        <v/>
      </c>
      <c r="C417">
        <f>IFERROR(INDEX('Shopify Import'!$A:$CZ,417,Settings!$E$22)&amp;"","")</f>
        <v/>
      </c>
      <c r="D417">
        <f>IF(A417="","",IFERROR(VALUE(SUBSTITUTE(SUBSTITUTE(INDEX('Shopify Import'!$A:$CZ,417,Settings!$E$23)&amp;"","$",""),",","")),0))</f>
        <v/>
      </c>
      <c r="E417" s="11">
        <f>IF(A417="","",IFERROR(VALUE(SUBSTITUTE(SUBSTITUTE(INDEX('Shopify Import'!$A:$CZ,417,Settings!$E$24)&amp;"","$",""),",","")),0))</f>
        <v/>
      </c>
      <c r="F417" s="11">
        <f>IF(A417="","",D417*E417)</f>
        <v/>
      </c>
      <c r="G417">
        <f>IF(A417="","",IF(C417="",1,COUNTIF($C$2:$C$1501,C417)))</f>
        <v/>
      </c>
      <c r="H417" s="11">
        <f>IF(A417="","",IFERROR(VALUE(SUBSTITUTE(SUBSTITUTE(INDEX('Shopify Import'!$A:$CZ,417,Settings!$E$25)&amp;"","$",""),",","")),0)/IF(Settings!$D$27="Yes",G417,1))</f>
        <v/>
      </c>
      <c r="I417" s="11">
        <f>IF(A417="","",IFERROR(VALUE(SUBSTITUTE(SUBSTITUTE(INDEX('Shopify Import'!$A:$CZ,417,Settings!$E$26)&amp;"","$",""),",","")),0)/IF(Settings!$D$27="Yes",G417,1))</f>
        <v/>
      </c>
      <c r="J417" s="11">
        <f>IF(A417="","",F417+H417-I417)</f>
        <v/>
      </c>
      <c r="K417">
        <f>IF(A417="","",IFERROR(IF(B417="",NA(),MATCH(B417,Products!$B$5:$B$204,0)),IFERROR(MATCH(A417,Products!$A$5:$A$204,0),"")))</f>
        <v/>
      </c>
      <c r="L417">
        <f>IF(A417="","",IF(K417="","⚠ not in Products",INDEX(Products!$A$5:$A$204,K417)))</f>
        <v/>
      </c>
      <c r="M417" s="11">
        <f>IF(A417="","",J417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417+IFERROR(INDEX(Settings!$D$5:$D$9,MATCH("Shopify",Settings!$A$5:$A$9,0)),0)*D417)</f>
        <v/>
      </c>
      <c r="N417" s="11">
        <f>IF(A417="","",IF(K417="",0,D417*INDEX(Products!$I$5:$I$204,K417)))</f>
        <v/>
      </c>
      <c r="O417" s="11">
        <f>IF(A417="","",IF(K417="",0,J417*INDEX(Products!$H$5:$H$204,K417)))</f>
        <v/>
      </c>
      <c r="P417" s="11">
        <f>IF(A417="","",J417-M417-N417-O417)</f>
        <v/>
      </c>
    </row>
    <row r="418">
      <c r="A418">
        <f>IFERROR(INDEX('Shopify Import'!$A:$CZ,418,Settings!$E$20)&amp;"","")</f>
        <v/>
      </c>
      <c r="B418">
        <f>IFERROR(INDEX('Shopify Import'!$A:$CZ,418,Settings!$E$21)&amp;"","")</f>
        <v/>
      </c>
      <c r="C418">
        <f>IFERROR(INDEX('Shopify Import'!$A:$CZ,418,Settings!$E$22)&amp;"","")</f>
        <v/>
      </c>
      <c r="D418">
        <f>IF(A418="","",IFERROR(VALUE(SUBSTITUTE(SUBSTITUTE(INDEX('Shopify Import'!$A:$CZ,418,Settings!$E$23)&amp;"","$",""),",","")),0))</f>
        <v/>
      </c>
      <c r="E418" s="11">
        <f>IF(A418="","",IFERROR(VALUE(SUBSTITUTE(SUBSTITUTE(INDEX('Shopify Import'!$A:$CZ,418,Settings!$E$24)&amp;"","$",""),",","")),0))</f>
        <v/>
      </c>
      <c r="F418" s="11">
        <f>IF(A418="","",D418*E418)</f>
        <v/>
      </c>
      <c r="G418">
        <f>IF(A418="","",IF(C418="",1,COUNTIF($C$2:$C$1501,C418)))</f>
        <v/>
      </c>
      <c r="H418" s="11">
        <f>IF(A418="","",IFERROR(VALUE(SUBSTITUTE(SUBSTITUTE(INDEX('Shopify Import'!$A:$CZ,418,Settings!$E$25)&amp;"","$",""),",","")),0)/IF(Settings!$D$27="Yes",G418,1))</f>
        <v/>
      </c>
      <c r="I418" s="11">
        <f>IF(A418="","",IFERROR(VALUE(SUBSTITUTE(SUBSTITUTE(INDEX('Shopify Import'!$A:$CZ,418,Settings!$E$26)&amp;"","$",""),",","")),0)/IF(Settings!$D$27="Yes",G418,1))</f>
        <v/>
      </c>
      <c r="J418" s="11">
        <f>IF(A418="","",F418+H418-I418)</f>
        <v/>
      </c>
      <c r="K418">
        <f>IF(A418="","",IFERROR(IF(B418="",NA(),MATCH(B418,Products!$B$5:$B$204,0)),IFERROR(MATCH(A418,Products!$A$5:$A$204,0),"")))</f>
        <v/>
      </c>
      <c r="L418">
        <f>IF(A418="","",IF(K418="","⚠ not in Products",INDEX(Products!$A$5:$A$204,K418)))</f>
        <v/>
      </c>
      <c r="M418" s="11">
        <f>IF(A418="","",J418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418+IFERROR(INDEX(Settings!$D$5:$D$9,MATCH("Shopify",Settings!$A$5:$A$9,0)),0)*D418)</f>
        <v/>
      </c>
      <c r="N418" s="11">
        <f>IF(A418="","",IF(K418="",0,D418*INDEX(Products!$I$5:$I$204,K418)))</f>
        <v/>
      </c>
      <c r="O418" s="11">
        <f>IF(A418="","",IF(K418="",0,J418*INDEX(Products!$H$5:$H$204,K418)))</f>
        <v/>
      </c>
      <c r="P418" s="11">
        <f>IF(A418="","",J418-M418-N418-O418)</f>
        <v/>
      </c>
    </row>
    <row r="419">
      <c r="A419">
        <f>IFERROR(INDEX('Shopify Import'!$A:$CZ,419,Settings!$E$20)&amp;"","")</f>
        <v/>
      </c>
      <c r="B419">
        <f>IFERROR(INDEX('Shopify Import'!$A:$CZ,419,Settings!$E$21)&amp;"","")</f>
        <v/>
      </c>
      <c r="C419">
        <f>IFERROR(INDEX('Shopify Import'!$A:$CZ,419,Settings!$E$22)&amp;"","")</f>
        <v/>
      </c>
      <c r="D419">
        <f>IF(A419="","",IFERROR(VALUE(SUBSTITUTE(SUBSTITUTE(INDEX('Shopify Import'!$A:$CZ,419,Settings!$E$23)&amp;"","$",""),",","")),0))</f>
        <v/>
      </c>
      <c r="E419" s="11">
        <f>IF(A419="","",IFERROR(VALUE(SUBSTITUTE(SUBSTITUTE(INDEX('Shopify Import'!$A:$CZ,419,Settings!$E$24)&amp;"","$",""),",","")),0))</f>
        <v/>
      </c>
      <c r="F419" s="11">
        <f>IF(A419="","",D419*E419)</f>
        <v/>
      </c>
      <c r="G419">
        <f>IF(A419="","",IF(C419="",1,COUNTIF($C$2:$C$1501,C419)))</f>
        <v/>
      </c>
      <c r="H419" s="11">
        <f>IF(A419="","",IFERROR(VALUE(SUBSTITUTE(SUBSTITUTE(INDEX('Shopify Import'!$A:$CZ,419,Settings!$E$25)&amp;"","$",""),",","")),0)/IF(Settings!$D$27="Yes",G419,1))</f>
        <v/>
      </c>
      <c r="I419" s="11">
        <f>IF(A419="","",IFERROR(VALUE(SUBSTITUTE(SUBSTITUTE(INDEX('Shopify Import'!$A:$CZ,419,Settings!$E$26)&amp;"","$",""),",","")),0)/IF(Settings!$D$27="Yes",G419,1))</f>
        <v/>
      </c>
      <c r="J419" s="11">
        <f>IF(A419="","",F419+H419-I419)</f>
        <v/>
      </c>
      <c r="K419">
        <f>IF(A419="","",IFERROR(IF(B419="",NA(),MATCH(B419,Products!$B$5:$B$204,0)),IFERROR(MATCH(A419,Products!$A$5:$A$204,0),"")))</f>
        <v/>
      </c>
      <c r="L419">
        <f>IF(A419="","",IF(K419="","⚠ not in Products",INDEX(Products!$A$5:$A$204,K419)))</f>
        <v/>
      </c>
      <c r="M419" s="11">
        <f>IF(A419="","",J419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419+IFERROR(INDEX(Settings!$D$5:$D$9,MATCH("Shopify",Settings!$A$5:$A$9,0)),0)*D419)</f>
        <v/>
      </c>
      <c r="N419" s="11">
        <f>IF(A419="","",IF(K419="",0,D419*INDEX(Products!$I$5:$I$204,K419)))</f>
        <v/>
      </c>
      <c r="O419" s="11">
        <f>IF(A419="","",IF(K419="",0,J419*INDEX(Products!$H$5:$H$204,K419)))</f>
        <v/>
      </c>
      <c r="P419" s="11">
        <f>IF(A419="","",J419-M419-N419-O419)</f>
        <v/>
      </c>
    </row>
    <row r="420">
      <c r="A420">
        <f>IFERROR(INDEX('Shopify Import'!$A:$CZ,420,Settings!$E$20)&amp;"","")</f>
        <v/>
      </c>
      <c r="B420">
        <f>IFERROR(INDEX('Shopify Import'!$A:$CZ,420,Settings!$E$21)&amp;"","")</f>
        <v/>
      </c>
      <c r="C420">
        <f>IFERROR(INDEX('Shopify Import'!$A:$CZ,420,Settings!$E$22)&amp;"","")</f>
        <v/>
      </c>
      <c r="D420">
        <f>IF(A420="","",IFERROR(VALUE(SUBSTITUTE(SUBSTITUTE(INDEX('Shopify Import'!$A:$CZ,420,Settings!$E$23)&amp;"","$",""),",","")),0))</f>
        <v/>
      </c>
      <c r="E420" s="11">
        <f>IF(A420="","",IFERROR(VALUE(SUBSTITUTE(SUBSTITUTE(INDEX('Shopify Import'!$A:$CZ,420,Settings!$E$24)&amp;"","$",""),",","")),0))</f>
        <v/>
      </c>
      <c r="F420" s="11">
        <f>IF(A420="","",D420*E420)</f>
        <v/>
      </c>
      <c r="G420">
        <f>IF(A420="","",IF(C420="",1,COUNTIF($C$2:$C$1501,C420)))</f>
        <v/>
      </c>
      <c r="H420" s="11">
        <f>IF(A420="","",IFERROR(VALUE(SUBSTITUTE(SUBSTITUTE(INDEX('Shopify Import'!$A:$CZ,420,Settings!$E$25)&amp;"","$",""),",","")),0)/IF(Settings!$D$27="Yes",G420,1))</f>
        <v/>
      </c>
      <c r="I420" s="11">
        <f>IF(A420="","",IFERROR(VALUE(SUBSTITUTE(SUBSTITUTE(INDEX('Shopify Import'!$A:$CZ,420,Settings!$E$26)&amp;"","$",""),",","")),0)/IF(Settings!$D$27="Yes",G420,1))</f>
        <v/>
      </c>
      <c r="J420" s="11">
        <f>IF(A420="","",F420+H420-I420)</f>
        <v/>
      </c>
      <c r="K420">
        <f>IF(A420="","",IFERROR(IF(B420="",NA(),MATCH(B420,Products!$B$5:$B$204,0)),IFERROR(MATCH(A420,Products!$A$5:$A$204,0),"")))</f>
        <v/>
      </c>
      <c r="L420">
        <f>IF(A420="","",IF(K420="","⚠ not in Products",INDEX(Products!$A$5:$A$204,K420)))</f>
        <v/>
      </c>
      <c r="M420" s="11">
        <f>IF(A420="","",J420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420+IFERROR(INDEX(Settings!$D$5:$D$9,MATCH("Shopify",Settings!$A$5:$A$9,0)),0)*D420)</f>
        <v/>
      </c>
      <c r="N420" s="11">
        <f>IF(A420="","",IF(K420="",0,D420*INDEX(Products!$I$5:$I$204,K420)))</f>
        <v/>
      </c>
      <c r="O420" s="11">
        <f>IF(A420="","",IF(K420="",0,J420*INDEX(Products!$H$5:$H$204,K420)))</f>
        <v/>
      </c>
      <c r="P420" s="11">
        <f>IF(A420="","",J420-M420-N420-O420)</f>
        <v/>
      </c>
    </row>
    <row r="421">
      <c r="A421">
        <f>IFERROR(INDEX('Shopify Import'!$A:$CZ,421,Settings!$E$20)&amp;"","")</f>
        <v/>
      </c>
      <c r="B421">
        <f>IFERROR(INDEX('Shopify Import'!$A:$CZ,421,Settings!$E$21)&amp;"","")</f>
        <v/>
      </c>
      <c r="C421">
        <f>IFERROR(INDEX('Shopify Import'!$A:$CZ,421,Settings!$E$22)&amp;"","")</f>
        <v/>
      </c>
      <c r="D421">
        <f>IF(A421="","",IFERROR(VALUE(SUBSTITUTE(SUBSTITUTE(INDEX('Shopify Import'!$A:$CZ,421,Settings!$E$23)&amp;"","$",""),",","")),0))</f>
        <v/>
      </c>
      <c r="E421" s="11">
        <f>IF(A421="","",IFERROR(VALUE(SUBSTITUTE(SUBSTITUTE(INDEX('Shopify Import'!$A:$CZ,421,Settings!$E$24)&amp;"","$",""),",","")),0))</f>
        <v/>
      </c>
      <c r="F421" s="11">
        <f>IF(A421="","",D421*E421)</f>
        <v/>
      </c>
      <c r="G421">
        <f>IF(A421="","",IF(C421="",1,COUNTIF($C$2:$C$1501,C421)))</f>
        <v/>
      </c>
      <c r="H421" s="11">
        <f>IF(A421="","",IFERROR(VALUE(SUBSTITUTE(SUBSTITUTE(INDEX('Shopify Import'!$A:$CZ,421,Settings!$E$25)&amp;"","$",""),",","")),0)/IF(Settings!$D$27="Yes",G421,1))</f>
        <v/>
      </c>
      <c r="I421" s="11">
        <f>IF(A421="","",IFERROR(VALUE(SUBSTITUTE(SUBSTITUTE(INDEX('Shopify Import'!$A:$CZ,421,Settings!$E$26)&amp;"","$",""),",","")),0)/IF(Settings!$D$27="Yes",G421,1))</f>
        <v/>
      </c>
      <c r="J421" s="11">
        <f>IF(A421="","",F421+H421-I421)</f>
        <v/>
      </c>
      <c r="K421">
        <f>IF(A421="","",IFERROR(IF(B421="",NA(),MATCH(B421,Products!$B$5:$B$204,0)),IFERROR(MATCH(A421,Products!$A$5:$A$204,0),"")))</f>
        <v/>
      </c>
      <c r="L421">
        <f>IF(A421="","",IF(K421="","⚠ not in Products",INDEX(Products!$A$5:$A$204,K421)))</f>
        <v/>
      </c>
      <c r="M421" s="11">
        <f>IF(A421="","",J421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421+IFERROR(INDEX(Settings!$D$5:$D$9,MATCH("Shopify",Settings!$A$5:$A$9,0)),0)*D421)</f>
        <v/>
      </c>
      <c r="N421" s="11">
        <f>IF(A421="","",IF(K421="",0,D421*INDEX(Products!$I$5:$I$204,K421)))</f>
        <v/>
      </c>
      <c r="O421" s="11">
        <f>IF(A421="","",IF(K421="",0,J421*INDEX(Products!$H$5:$H$204,K421)))</f>
        <v/>
      </c>
      <c r="P421" s="11">
        <f>IF(A421="","",J421-M421-N421-O421)</f>
        <v/>
      </c>
    </row>
    <row r="422">
      <c r="A422">
        <f>IFERROR(INDEX('Shopify Import'!$A:$CZ,422,Settings!$E$20)&amp;"","")</f>
        <v/>
      </c>
      <c r="B422">
        <f>IFERROR(INDEX('Shopify Import'!$A:$CZ,422,Settings!$E$21)&amp;"","")</f>
        <v/>
      </c>
      <c r="C422">
        <f>IFERROR(INDEX('Shopify Import'!$A:$CZ,422,Settings!$E$22)&amp;"","")</f>
        <v/>
      </c>
      <c r="D422">
        <f>IF(A422="","",IFERROR(VALUE(SUBSTITUTE(SUBSTITUTE(INDEX('Shopify Import'!$A:$CZ,422,Settings!$E$23)&amp;"","$",""),",","")),0))</f>
        <v/>
      </c>
      <c r="E422" s="11">
        <f>IF(A422="","",IFERROR(VALUE(SUBSTITUTE(SUBSTITUTE(INDEX('Shopify Import'!$A:$CZ,422,Settings!$E$24)&amp;"","$",""),",","")),0))</f>
        <v/>
      </c>
      <c r="F422" s="11">
        <f>IF(A422="","",D422*E422)</f>
        <v/>
      </c>
      <c r="G422">
        <f>IF(A422="","",IF(C422="",1,COUNTIF($C$2:$C$1501,C422)))</f>
        <v/>
      </c>
      <c r="H422" s="11">
        <f>IF(A422="","",IFERROR(VALUE(SUBSTITUTE(SUBSTITUTE(INDEX('Shopify Import'!$A:$CZ,422,Settings!$E$25)&amp;"","$",""),",","")),0)/IF(Settings!$D$27="Yes",G422,1))</f>
        <v/>
      </c>
      <c r="I422" s="11">
        <f>IF(A422="","",IFERROR(VALUE(SUBSTITUTE(SUBSTITUTE(INDEX('Shopify Import'!$A:$CZ,422,Settings!$E$26)&amp;"","$",""),",","")),0)/IF(Settings!$D$27="Yes",G422,1))</f>
        <v/>
      </c>
      <c r="J422" s="11">
        <f>IF(A422="","",F422+H422-I422)</f>
        <v/>
      </c>
      <c r="K422">
        <f>IF(A422="","",IFERROR(IF(B422="",NA(),MATCH(B422,Products!$B$5:$B$204,0)),IFERROR(MATCH(A422,Products!$A$5:$A$204,0),"")))</f>
        <v/>
      </c>
      <c r="L422">
        <f>IF(A422="","",IF(K422="","⚠ not in Products",INDEX(Products!$A$5:$A$204,K422)))</f>
        <v/>
      </c>
      <c r="M422" s="11">
        <f>IF(A422="","",J422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422+IFERROR(INDEX(Settings!$D$5:$D$9,MATCH("Shopify",Settings!$A$5:$A$9,0)),0)*D422)</f>
        <v/>
      </c>
      <c r="N422" s="11">
        <f>IF(A422="","",IF(K422="",0,D422*INDEX(Products!$I$5:$I$204,K422)))</f>
        <v/>
      </c>
      <c r="O422" s="11">
        <f>IF(A422="","",IF(K422="",0,J422*INDEX(Products!$H$5:$H$204,K422)))</f>
        <v/>
      </c>
      <c r="P422" s="11">
        <f>IF(A422="","",J422-M422-N422-O422)</f>
        <v/>
      </c>
    </row>
    <row r="423">
      <c r="A423">
        <f>IFERROR(INDEX('Shopify Import'!$A:$CZ,423,Settings!$E$20)&amp;"","")</f>
        <v/>
      </c>
      <c r="B423">
        <f>IFERROR(INDEX('Shopify Import'!$A:$CZ,423,Settings!$E$21)&amp;"","")</f>
        <v/>
      </c>
      <c r="C423">
        <f>IFERROR(INDEX('Shopify Import'!$A:$CZ,423,Settings!$E$22)&amp;"","")</f>
        <v/>
      </c>
      <c r="D423">
        <f>IF(A423="","",IFERROR(VALUE(SUBSTITUTE(SUBSTITUTE(INDEX('Shopify Import'!$A:$CZ,423,Settings!$E$23)&amp;"","$",""),",","")),0))</f>
        <v/>
      </c>
      <c r="E423" s="11">
        <f>IF(A423="","",IFERROR(VALUE(SUBSTITUTE(SUBSTITUTE(INDEX('Shopify Import'!$A:$CZ,423,Settings!$E$24)&amp;"","$",""),",","")),0))</f>
        <v/>
      </c>
      <c r="F423" s="11">
        <f>IF(A423="","",D423*E423)</f>
        <v/>
      </c>
      <c r="G423">
        <f>IF(A423="","",IF(C423="",1,COUNTIF($C$2:$C$1501,C423)))</f>
        <v/>
      </c>
      <c r="H423" s="11">
        <f>IF(A423="","",IFERROR(VALUE(SUBSTITUTE(SUBSTITUTE(INDEX('Shopify Import'!$A:$CZ,423,Settings!$E$25)&amp;"","$",""),",","")),0)/IF(Settings!$D$27="Yes",G423,1))</f>
        <v/>
      </c>
      <c r="I423" s="11">
        <f>IF(A423="","",IFERROR(VALUE(SUBSTITUTE(SUBSTITUTE(INDEX('Shopify Import'!$A:$CZ,423,Settings!$E$26)&amp;"","$",""),",","")),0)/IF(Settings!$D$27="Yes",G423,1))</f>
        <v/>
      </c>
      <c r="J423" s="11">
        <f>IF(A423="","",F423+H423-I423)</f>
        <v/>
      </c>
      <c r="K423">
        <f>IF(A423="","",IFERROR(IF(B423="",NA(),MATCH(B423,Products!$B$5:$B$204,0)),IFERROR(MATCH(A423,Products!$A$5:$A$204,0),"")))</f>
        <v/>
      </c>
      <c r="L423">
        <f>IF(A423="","",IF(K423="","⚠ not in Products",INDEX(Products!$A$5:$A$204,K423)))</f>
        <v/>
      </c>
      <c r="M423" s="11">
        <f>IF(A423="","",J423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423+IFERROR(INDEX(Settings!$D$5:$D$9,MATCH("Shopify",Settings!$A$5:$A$9,0)),0)*D423)</f>
        <v/>
      </c>
      <c r="N423" s="11">
        <f>IF(A423="","",IF(K423="",0,D423*INDEX(Products!$I$5:$I$204,K423)))</f>
        <v/>
      </c>
      <c r="O423" s="11">
        <f>IF(A423="","",IF(K423="",0,J423*INDEX(Products!$H$5:$H$204,K423)))</f>
        <v/>
      </c>
      <c r="P423" s="11">
        <f>IF(A423="","",J423-M423-N423-O423)</f>
        <v/>
      </c>
    </row>
    <row r="424">
      <c r="A424">
        <f>IFERROR(INDEX('Shopify Import'!$A:$CZ,424,Settings!$E$20)&amp;"","")</f>
        <v/>
      </c>
      <c r="B424">
        <f>IFERROR(INDEX('Shopify Import'!$A:$CZ,424,Settings!$E$21)&amp;"","")</f>
        <v/>
      </c>
      <c r="C424">
        <f>IFERROR(INDEX('Shopify Import'!$A:$CZ,424,Settings!$E$22)&amp;"","")</f>
        <v/>
      </c>
      <c r="D424">
        <f>IF(A424="","",IFERROR(VALUE(SUBSTITUTE(SUBSTITUTE(INDEX('Shopify Import'!$A:$CZ,424,Settings!$E$23)&amp;"","$",""),",","")),0))</f>
        <v/>
      </c>
      <c r="E424" s="11">
        <f>IF(A424="","",IFERROR(VALUE(SUBSTITUTE(SUBSTITUTE(INDEX('Shopify Import'!$A:$CZ,424,Settings!$E$24)&amp;"","$",""),",","")),0))</f>
        <v/>
      </c>
      <c r="F424" s="11">
        <f>IF(A424="","",D424*E424)</f>
        <v/>
      </c>
      <c r="G424">
        <f>IF(A424="","",IF(C424="",1,COUNTIF($C$2:$C$1501,C424)))</f>
        <v/>
      </c>
      <c r="H424" s="11">
        <f>IF(A424="","",IFERROR(VALUE(SUBSTITUTE(SUBSTITUTE(INDEX('Shopify Import'!$A:$CZ,424,Settings!$E$25)&amp;"","$",""),",","")),0)/IF(Settings!$D$27="Yes",G424,1))</f>
        <v/>
      </c>
      <c r="I424" s="11">
        <f>IF(A424="","",IFERROR(VALUE(SUBSTITUTE(SUBSTITUTE(INDEX('Shopify Import'!$A:$CZ,424,Settings!$E$26)&amp;"","$",""),",","")),0)/IF(Settings!$D$27="Yes",G424,1))</f>
        <v/>
      </c>
      <c r="J424" s="11">
        <f>IF(A424="","",F424+H424-I424)</f>
        <v/>
      </c>
      <c r="K424">
        <f>IF(A424="","",IFERROR(IF(B424="",NA(),MATCH(B424,Products!$B$5:$B$204,0)),IFERROR(MATCH(A424,Products!$A$5:$A$204,0),"")))</f>
        <v/>
      </c>
      <c r="L424">
        <f>IF(A424="","",IF(K424="","⚠ not in Products",INDEX(Products!$A$5:$A$204,K424)))</f>
        <v/>
      </c>
      <c r="M424" s="11">
        <f>IF(A424="","",J424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424+IFERROR(INDEX(Settings!$D$5:$D$9,MATCH("Shopify",Settings!$A$5:$A$9,0)),0)*D424)</f>
        <v/>
      </c>
      <c r="N424" s="11">
        <f>IF(A424="","",IF(K424="",0,D424*INDEX(Products!$I$5:$I$204,K424)))</f>
        <v/>
      </c>
      <c r="O424" s="11">
        <f>IF(A424="","",IF(K424="",0,J424*INDEX(Products!$H$5:$H$204,K424)))</f>
        <v/>
      </c>
      <c r="P424" s="11">
        <f>IF(A424="","",J424-M424-N424-O424)</f>
        <v/>
      </c>
    </row>
    <row r="425">
      <c r="A425">
        <f>IFERROR(INDEX('Shopify Import'!$A:$CZ,425,Settings!$E$20)&amp;"","")</f>
        <v/>
      </c>
      <c r="B425">
        <f>IFERROR(INDEX('Shopify Import'!$A:$CZ,425,Settings!$E$21)&amp;"","")</f>
        <v/>
      </c>
      <c r="C425">
        <f>IFERROR(INDEX('Shopify Import'!$A:$CZ,425,Settings!$E$22)&amp;"","")</f>
        <v/>
      </c>
      <c r="D425">
        <f>IF(A425="","",IFERROR(VALUE(SUBSTITUTE(SUBSTITUTE(INDEX('Shopify Import'!$A:$CZ,425,Settings!$E$23)&amp;"","$",""),",","")),0))</f>
        <v/>
      </c>
      <c r="E425" s="11">
        <f>IF(A425="","",IFERROR(VALUE(SUBSTITUTE(SUBSTITUTE(INDEX('Shopify Import'!$A:$CZ,425,Settings!$E$24)&amp;"","$",""),",","")),0))</f>
        <v/>
      </c>
      <c r="F425" s="11">
        <f>IF(A425="","",D425*E425)</f>
        <v/>
      </c>
      <c r="G425">
        <f>IF(A425="","",IF(C425="",1,COUNTIF($C$2:$C$1501,C425)))</f>
        <v/>
      </c>
      <c r="H425" s="11">
        <f>IF(A425="","",IFERROR(VALUE(SUBSTITUTE(SUBSTITUTE(INDEX('Shopify Import'!$A:$CZ,425,Settings!$E$25)&amp;"","$",""),",","")),0)/IF(Settings!$D$27="Yes",G425,1))</f>
        <v/>
      </c>
      <c r="I425" s="11">
        <f>IF(A425="","",IFERROR(VALUE(SUBSTITUTE(SUBSTITUTE(INDEX('Shopify Import'!$A:$CZ,425,Settings!$E$26)&amp;"","$",""),",","")),0)/IF(Settings!$D$27="Yes",G425,1))</f>
        <v/>
      </c>
      <c r="J425" s="11">
        <f>IF(A425="","",F425+H425-I425)</f>
        <v/>
      </c>
      <c r="K425">
        <f>IF(A425="","",IFERROR(IF(B425="",NA(),MATCH(B425,Products!$B$5:$B$204,0)),IFERROR(MATCH(A425,Products!$A$5:$A$204,0),"")))</f>
        <v/>
      </c>
      <c r="L425">
        <f>IF(A425="","",IF(K425="","⚠ not in Products",INDEX(Products!$A$5:$A$204,K425)))</f>
        <v/>
      </c>
      <c r="M425" s="11">
        <f>IF(A425="","",J425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425+IFERROR(INDEX(Settings!$D$5:$D$9,MATCH("Shopify",Settings!$A$5:$A$9,0)),0)*D425)</f>
        <v/>
      </c>
      <c r="N425" s="11">
        <f>IF(A425="","",IF(K425="",0,D425*INDEX(Products!$I$5:$I$204,K425)))</f>
        <v/>
      </c>
      <c r="O425" s="11">
        <f>IF(A425="","",IF(K425="",0,J425*INDEX(Products!$H$5:$H$204,K425)))</f>
        <v/>
      </c>
      <c r="P425" s="11">
        <f>IF(A425="","",J425-M425-N425-O425)</f>
        <v/>
      </c>
    </row>
    <row r="426">
      <c r="A426">
        <f>IFERROR(INDEX('Shopify Import'!$A:$CZ,426,Settings!$E$20)&amp;"","")</f>
        <v/>
      </c>
      <c r="B426">
        <f>IFERROR(INDEX('Shopify Import'!$A:$CZ,426,Settings!$E$21)&amp;"","")</f>
        <v/>
      </c>
      <c r="C426">
        <f>IFERROR(INDEX('Shopify Import'!$A:$CZ,426,Settings!$E$22)&amp;"","")</f>
        <v/>
      </c>
      <c r="D426">
        <f>IF(A426="","",IFERROR(VALUE(SUBSTITUTE(SUBSTITUTE(INDEX('Shopify Import'!$A:$CZ,426,Settings!$E$23)&amp;"","$",""),",","")),0))</f>
        <v/>
      </c>
      <c r="E426" s="11">
        <f>IF(A426="","",IFERROR(VALUE(SUBSTITUTE(SUBSTITUTE(INDEX('Shopify Import'!$A:$CZ,426,Settings!$E$24)&amp;"","$",""),",","")),0))</f>
        <v/>
      </c>
      <c r="F426" s="11">
        <f>IF(A426="","",D426*E426)</f>
        <v/>
      </c>
      <c r="G426">
        <f>IF(A426="","",IF(C426="",1,COUNTIF($C$2:$C$1501,C426)))</f>
        <v/>
      </c>
      <c r="H426" s="11">
        <f>IF(A426="","",IFERROR(VALUE(SUBSTITUTE(SUBSTITUTE(INDEX('Shopify Import'!$A:$CZ,426,Settings!$E$25)&amp;"","$",""),",","")),0)/IF(Settings!$D$27="Yes",G426,1))</f>
        <v/>
      </c>
      <c r="I426" s="11">
        <f>IF(A426="","",IFERROR(VALUE(SUBSTITUTE(SUBSTITUTE(INDEX('Shopify Import'!$A:$CZ,426,Settings!$E$26)&amp;"","$",""),",","")),0)/IF(Settings!$D$27="Yes",G426,1))</f>
        <v/>
      </c>
      <c r="J426" s="11">
        <f>IF(A426="","",F426+H426-I426)</f>
        <v/>
      </c>
      <c r="K426">
        <f>IF(A426="","",IFERROR(IF(B426="",NA(),MATCH(B426,Products!$B$5:$B$204,0)),IFERROR(MATCH(A426,Products!$A$5:$A$204,0),"")))</f>
        <v/>
      </c>
      <c r="L426">
        <f>IF(A426="","",IF(K426="","⚠ not in Products",INDEX(Products!$A$5:$A$204,K426)))</f>
        <v/>
      </c>
      <c r="M426" s="11">
        <f>IF(A426="","",J426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426+IFERROR(INDEX(Settings!$D$5:$D$9,MATCH("Shopify",Settings!$A$5:$A$9,0)),0)*D426)</f>
        <v/>
      </c>
      <c r="N426" s="11">
        <f>IF(A426="","",IF(K426="",0,D426*INDEX(Products!$I$5:$I$204,K426)))</f>
        <v/>
      </c>
      <c r="O426" s="11">
        <f>IF(A426="","",IF(K426="",0,J426*INDEX(Products!$H$5:$H$204,K426)))</f>
        <v/>
      </c>
      <c r="P426" s="11">
        <f>IF(A426="","",J426-M426-N426-O426)</f>
        <v/>
      </c>
    </row>
    <row r="427">
      <c r="A427">
        <f>IFERROR(INDEX('Shopify Import'!$A:$CZ,427,Settings!$E$20)&amp;"","")</f>
        <v/>
      </c>
      <c r="B427">
        <f>IFERROR(INDEX('Shopify Import'!$A:$CZ,427,Settings!$E$21)&amp;"","")</f>
        <v/>
      </c>
      <c r="C427">
        <f>IFERROR(INDEX('Shopify Import'!$A:$CZ,427,Settings!$E$22)&amp;"","")</f>
        <v/>
      </c>
      <c r="D427">
        <f>IF(A427="","",IFERROR(VALUE(SUBSTITUTE(SUBSTITUTE(INDEX('Shopify Import'!$A:$CZ,427,Settings!$E$23)&amp;"","$",""),",","")),0))</f>
        <v/>
      </c>
      <c r="E427" s="11">
        <f>IF(A427="","",IFERROR(VALUE(SUBSTITUTE(SUBSTITUTE(INDEX('Shopify Import'!$A:$CZ,427,Settings!$E$24)&amp;"","$",""),",","")),0))</f>
        <v/>
      </c>
      <c r="F427" s="11">
        <f>IF(A427="","",D427*E427)</f>
        <v/>
      </c>
      <c r="G427">
        <f>IF(A427="","",IF(C427="",1,COUNTIF($C$2:$C$1501,C427)))</f>
        <v/>
      </c>
      <c r="H427" s="11">
        <f>IF(A427="","",IFERROR(VALUE(SUBSTITUTE(SUBSTITUTE(INDEX('Shopify Import'!$A:$CZ,427,Settings!$E$25)&amp;"","$",""),",","")),0)/IF(Settings!$D$27="Yes",G427,1))</f>
        <v/>
      </c>
      <c r="I427" s="11">
        <f>IF(A427="","",IFERROR(VALUE(SUBSTITUTE(SUBSTITUTE(INDEX('Shopify Import'!$A:$CZ,427,Settings!$E$26)&amp;"","$",""),",","")),0)/IF(Settings!$D$27="Yes",G427,1))</f>
        <v/>
      </c>
      <c r="J427" s="11">
        <f>IF(A427="","",F427+H427-I427)</f>
        <v/>
      </c>
      <c r="K427">
        <f>IF(A427="","",IFERROR(IF(B427="",NA(),MATCH(B427,Products!$B$5:$B$204,0)),IFERROR(MATCH(A427,Products!$A$5:$A$204,0),"")))</f>
        <v/>
      </c>
      <c r="L427">
        <f>IF(A427="","",IF(K427="","⚠ not in Products",INDEX(Products!$A$5:$A$204,K427)))</f>
        <v/>
      </c>
      <c r="M427" s="11">
        <f>IF(A427="","",J427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427+IFERROR(INDEX(Settings!$D$5:$D$9,MATCH("Shopify",Settings!$A$5:$A$9,0)),0)*D427)</f>
        <v/>
      </c>
      <c r="N427" s="11">
        <f>IF(A427="","",IF(K427="",0,D427*INDEX(Products!$I$5:$I$204,K427)))</f>
        <v/>
      </c>
      <c r="O427" s="11">
        <f>IF(A427="","",IF(K427="",0,J427*INDEX(Products!$H$5:$H$204,K427)))</f>
        <v/>
      </c>
      <c r="P427" s="11">
        <f>IF(A427="","",J427-M427-N427-O427)</f>
        <v/>
      </c>
    </row>
    <row r="428">
      <c r="A428">
        <f>IFERROR(INDEX('Shopify Import'!$A:$CZ,428,Settings!$E$20)&amp;"","")</f>
        <v/>
      </c>
      <c r="B428">
        <f>IFERROR(INDEX('Shopify Import'!$A:$CZ,428,Settings!$E$21)&amp;"","")</f>
        <v/>
      </c>
      <c r="C428">
        <f>IFERROR(INDEX('Shopify Import'!$A:$CZ,428,Settings!$E$22)&amp;"","")</f>
        <v/>
      </c>
      <c r="D428">
        <f>IF(A428="","",IFERROR(VALUE(SUBSTITUTE(SUBSTITUTE(INDEX('Shopify Import'!$A:$CZ,428,Settings!$E$23)&amp;"","$",""),",","")),0))</f>
        <v/>
      </c>
      <c r="E428" s="11">
        <f>IF(A428="","",IFERROR(VALUE(SUBSTITUTE(SUBSTITUTE(INDEX('Shopify Import'!$A:$CZ,428,Settings!$E$24)&amp;"","$",""),",","")),0))</f>
        <v/>
      </c>
      <c r="F428" s="11">
        <f>IF(A428="","",D428*E428)</f>
        <v/>
      </c>
      <c r="G428">
        <f>IF(A428="","",IF(C428="",1,COUNTIF($C$2:$C$1501,C428)))</f>
        <v/>
      </c>
      <c r="H428" s="11">
        <f>IF(A428="","",IFERROR(VALUE(SUBSTITUTE(SUBSTITUTE(INDEX('Shopify Import'!$A:$CZ,428,Settings!$E$25)&amp;"","$",""),",","")),0)/IF(Settings!$D$27="Yes",G428,1))</f>
        <v/>
      </c>
      <c r="I428" s="11">
        <f>IF(A428="","",IFERROR(VALUE(SUBSTITUTE(SUBSTITUTE(INDEX('Shopify Import'!$A:$CZ,428,Settings!$E$26)&amp;"","$",""),",","")),0)/IF(Settings!$D$27="Yes",G428,1))</f>
        <v/>
      </c>
      <c r="J428" s="11">
        <f>IF(A428="","",F428+H428-I428)</f>
        <v/>
      </c>
      <c r="K428">
        <f>IF(A428="","",IFERROR(IF(B428="",NA(),MATCH(B428,Products!$B$5:$B$204,0)),IFERROR(MATCH(A428,Products!$A$5:$A$204,0),"")))</f>
        <v/>
      </c>
      <c r="L428">
        <f>IF(A428="","",IF(K428="","⚠ not in Products",INDEX(Products!$A$5:$A$204,K428)))</f>
        <v/>
      </c>
      <c r="M428" s="11">
        <f>IF(A428="","",J428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428+IFERROR(INDEX(Settings!$D$5:$D$9,MATCH("Shopify",Settings!$A$5:$A$9,0)),0)*D428)</f>
        <v/>
      </c>
      <c r="N428" s="11">
        <f>IF(A428="","",IF(K428="",0,D428*INDEX(Products!$I$5:$I$204,K428)))</f>
        <v/>
      </c>
      <c r="O428" s="11">
        <f>IF(A428="","",IF(K428="",0,J428*INDEX(Products!$H$5:$H$204,K428)))</f>
        <v/>
      </c>
      <c r="P428" s="11">
        <f>IF(A428="","",J428-M428-N428-O428)</f>
        <v/>
      </c>
    </row>
    <row r="429">
      <c r="A429">
        <f>IFERROR(INDEX('Shopify Import'!$A:$CZ,429,Settings!$E$20)&amp;"","")</f>
        <v/>
      </c>
      <c r="B429">
        <f>IFERROR(INDEX('Shopify Import'!$A:$CZ,429,Settings!$E$21)&amp;"","")</f>
        <v/>
      </c>
      <c r="C429">
        <f>IFERROR(INDEX('Shopify Import'!$A:$CZ,429,Settings!$E$22)&amp;"","")</f>
        <v/>
      </c>
      <c r="D429">
        <f>IF(A429="","",IFERROR(VALUE(SUBSTITUTE(SUBSTITUTE(INDEX('Shopify Import'!$A:$CZ,429,Settings!$E$23)&amp;"","$",""),",","")),0))</f>
        <v/>
      </c>
      <c r="E429" s="11">
        <f>IF(A429="","",IFERROR(VALUE(SUBSTITUTE(SUBSTITUTE(INDEX('Shopify Import'!$A:$CZ,429,Settings!$E$24)&amp;"","$",""),",","")),0))</f>
        <v/>
      </c>
      <c r="F429" s="11">
        <f>IF(A429="","",D429*E429)</f>
        <v/>
      </c>
      <c r="G429">
        <f>IF(A429="","",IF(C429="",1,COUNTIF($C$2:$C$1501,C429)))</f>
        <v/>
      </c>
      <c r="H429" s="11">
        <f>IF(A429="","",IFERROR(VALUE(SUBSTITUTE(SUBSTITUTE(INDEX('Shopify Import'!$A:$CZ,429,Settings!$E$25)&amp;"","$",""),",","")),0)/IF(Settings!$D$27="Yes",G429,1))</f>
        <v/>
      </c>
      <c r="I429" s="11">
        <f>IF(A429="","",IFERROR(VALUE(SUBSTITUTE(SUBSTITUTE(INDEX('Shopify Import'!$A:$CZ,429,Settings!$E$26)&amp;"","$",""),",","")),0)/IF(Settings!$D$27="Yes",G429,1))</f>
        <v/>
      </c>
      <c r="J429" s="11">
        <f>IF(A429="","",F429+H429-I429)</f>
        <v/>
      </c>
      <c r="K429">
        <f>IF(A429="","",IFERROR(IF(B429="",NA(),MATCH(B429,Products!$B$5:$B$204,0)),IFERROR(MATCH(A429,Products!$A$5:$A$204,0),"")))</f>
        <v/>
      </c>
      <c r="L429">
        <f>IF(A429="","",IF(K429="","⚠ not in Products",INDEX(Products!$A$5:$A$204,K429)))</f>
        <v/>
      </c>
      <c r="M429" s="11">
        <f>IF(A429="","",J429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429+IFERROR(INDEX(Settings!$D$5:$D$9,MATCH("Shopify",Settings!$A$5:$A$9,0)),0)*D429)</f>
        <v/>
      </c>
      <c r="N429" s="11">
        <f>IF(A429="","",IF(K429="",0,D429*INDEX(Products!$I$5:$I$204,K429)))</f>
        <v/>
      </c>
      <c r="O429" s="11">
        <f>IF(A429="","",IF(K429="",0,J429*INDEX(Products!$H$5:$H$204,K429)))</f>
        <v/>
      </c>
      <c r="P429" s="11">
        <f>IF(A429="","",J429-M429-N429-O429)</f>
        <v/>
      </c>
    </row>
    <row r="430">
      <c r="A430">
        <f>IFERROR(INDEX('Shopify Import'!$A:$CZ,430,Settings!$E$20)&amp;"","")</f>
        <v/>
      </c>
      <c r="B430">
        <f>IFERROR(INDEX('Shopify Import'!$A:$CZ,430,Settings!$E$21)&amp;"","")</f>
        <v/>
      </c>
      <c r="C430">
        <f>IFERROR(INDEX('Shopify Import'!$A:$CZ,430,Settings!$E$22)&amp;"","")</f>
        <v/>
      </c>
      <c r="D430">
        <f>IF(A430="","",IFERROR(VALUE(SUBSTITUTE(SUBSTITUTE(INDEX('Shopify Import'!$A:$CZ,430,Settings!$E$23)&amp;"","$",""),",","")),0))</f>
        <v/>
      </c>
      <c r="E430" s="11">
        <f>IF(A430="","",IFERROR(VALUE(SUBSTITUTE(SUBSTITUTE(INDEX('Shopify Import'!$A:$CZ,430,Settings!$E$24)&amp;"","$",""),",","")),0))</f>
        <v/>
      </c>
      <c r="F430" s="11">
        <f>IF(A430="","",D430*E430)</f>
        <v/>
      </c>
      <c r="G430">
        <f>IF(A430="","",IF(C430="",1,COUNTIF($C$2:$C$1501,C430)))</f>
        <v/>
      </c>
      <c r="H430" s="11">
        <f>IF(A430="","",IFERROR(VALUE(SUBSTITUTE(SUBSTITUTE(INDEX('Shopify Import'!$A:$CZ,430,Settings!$E$25)&amp;"","$",""),",","")),0)/IF(Settings!$D$27="Yes",G430,1))</f>
        <v/>
      </c>
      <c r="I430" s="11">
        <f>IF(A430="","",IFERROR(VALUE(SUBSTITUTE(SUBSTITUTE(INDEX('Shopify Import'!$A:$CZ,430,Settings!$E$26)&amp;"","$",""),",","")),0)/IF(Settings!$D$27="Yes",G430,1))</f>
        <v/>
      </c>
      <c r="J430" s="11">
        <f>IF(A430="","",F430+H430-I430)</f>
        <v/>
      </c>
      <c r="K430">
        <f>IF(A430="","",IFERROR(IF(B430="",NA(),MATCH(B430,Products!$B$5:$B$204,0)),IFERROR(MATCH(A430,Products!$A$5:$A$204,0),"")))</f>
        <v/>
      </c>
      <c r="L430">
        <f>IF(A430="","",IF(K430="","⚠ not in Products",INDEX(Products!$A$5:$A$204,K430)))</f>
        <v/>
      </c>
      <c r="M430" s="11">
        <f>IF(A430="","",J430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430+IFERROR(INDEX(Settings!$D$5:$D$9,MATCH("Shopify",Settings!$A$5:$A$9,0)),0)*D430)</f>
        <v/>
      </c>
      <c r="N430" s="11">
        <f>IF(A430="","",IF(K430="",0,D430*INDEX(Products!$I$5:$I$204,K430)))</f>
        <v/>
      </c>
      <c r="O430" s="11">
        <f>IF(A430="","",IF(K430="",0,J430*INDEX(Products!$H$5:$H$204,K430)))</f>
        <v/>
      </c>
      <c r="P430" s="11">
        <f>IF(A430="","",J430-M430-N430-O430)</f>
        <v/>
      </c>
    </row>
    <row r="431">
      <c r="A431">
        <f>IFERROR(INDEX('Shopify Import'!$A:$CZ,431,Settings!$E$20)&amp;"","")</f>
        <v/>
      </c>
      <c r="B431">
        <f>IFERROR(INDEX('Shopify Import'!$A:$CZ,431,Settings!$E$21)&amp;"","")</f>
        <v/>
      </c>
      <c r="C431">
        <f>IFERROR(INDEX('Shopify Import'!$A:$CZ,431,Settings!$E$22)&amp;"","")</f>
        <v/>
      </c>
      <c r="D431">
        <f>IF(A431="","",IFERROR(VALUE(SUBSTITUTE(SUBSTITUTE(INDEX('Shopify Import'!$A:$CZ,431,Settings!$E$23)&amp;"","$",""),",","")),0))</f>
        <v/>
      </c>
      <c r="E431" s="11">
        <f>IF(A431="","",IFERROR(VALUE(SUBSTITUTE(SUBSTITUTE(INDEX('Shopify Import'!$A:$CZ,431,Settings!$E$24)&amp;"","$",""),",","")),0))</f>
        <v/>
      </c>
      <c r="F431" s="11">
        <f>IF(A431="","",D431*E431)</f>
        <v/>
      </c>
      <c r="G431">
        <f>IF(A431="","",IF(C431="",1,COUNTIF($C$2:$C$1501,C431)))</f>
        <v/>
      </c>
      <c r="H431" s="11">
        <f>IF(A431="","",IFERROR(VALUE(SUBSTITUTE(SUBSTITUTE(INDEX('Shopify Import'!$A:$CZ,431,Settings!$E$25)&amp;"","$",""),",","")),0)/IF(Settings!$D$27="Yes",G431,1))</f>
        <v/>
      </c>
      <c r="I431" s="11">
        <f>IF(A431="","",IFERROR(VALUE(SUBSTITUTE(SUBSTITUTE(INDEX('Shopify Import'!$A:$CZ,431,Settings!$E$26)&amp;"","$",""),",","")),0)/IF(Settings!$D$27="Yes",G431,1))</f>
        <v/>
      </c>
      <c r="J431" s="11">
        <f>IF(A431="","",F431+H431-I431)</f>
        <v/>
      </c>
      <c r="K431">
        <f>IF(A431="","",IFERROR(IF(B431="",NA(),MATCH(B431,Products!$B$5:$B$204,0)),IFERROR(MATCH(A431,Products!$A$5:$A$204,0),"")))</f>
        <v/>
      </c>
      <c r="L431">
        <f>IF(A431="","",IF(K431="","⚠ not in Products",INDEX(Products!$A$5:$A$204,K431)))</f>
        <v/>
      </c>
      <c r="M431" s="11">
        <f>IF(A431="","",J431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431+IFERROR(INDEX(Settings!$D$5:$D$9,MATCH("Shopify",Settings!$A$5:$A$9,0)),0)*D431)</f>
        <v/>
      </c>
      <c r="N431" s="11">
        <f>IF(A431="","",IF(K431="",0,D431*INDEX(Products!$I$5:$I$204,K431)))</f>
        <v/>
      </c>
      <c r="O431" s="11">
        <f>IF(A431="","",IF(K431="",0,J431*INDEX(Products!$H$5:$H$204,K431)))</f>
        <v/>
      </c>
      <c r="P431" s="11">
        <f>IF(A431="","",J431-M431-N431-O431)</f>
        <v/>
      </c>
    </row>
    <row r="432">
      <c r="A432">
        <f>IFERROR(INDEX('Shopify Import'!$A:$CZ,432,Settings!$E$20)&amp;"","")</f>
        <v/>
      </c>
      <c r="B432">
        <f>IFERROR(INDEX('Shopify Import'!$A:$CZ,432,Settings!$E$21)&amp;"","")</f>
        <v/>
      </c>
      <c r="C432">
        <f>IFERROR(INDEX('Shopify Import'!$A:$CZ,432,Settings!$E$22)&amp;"","")</f>
        <v/>
      </c>
      <c r="D432">
        <f>IF(A432="","",IFERROR(VALUE(SUBSTITUTE(SUBSTITUTE(INDEX('Shopify Import'!$A:$CZ,432,Settings!$E$23)&amp;"","$",""),",","")),0))</f>
        <v/>
      </c>
      <c r="E432" s="11">
        <f>IF(A432="","",IFERROR(VALUE(SUBSTITUTE(SUBSTITUTE(INDEX('Shopify Import'!$A:$CZ,432,Settings!$E$24)&amp;"","$",""),",","")),0))</f>
        <v/>
      </c>
      <c r="F432" s="11">
        <f>IF(A432="","",D432*E432)</f>
        <v/>
      </c>
      <c r="G432">
        <f>IF(A432="","",IF(C432="",1,COUNTIF($C$2:$C$1501,C432)))</f>
        <v/>
      </c>
      <c r="H432" s="11">
        <f>IF(A432="","",IFERROR(VALUE(SUBSTITUTE(SUBSTITUTE(INDEX('Shopify Import'!$A:$CZ,432,Settings!$E$25)&amp;"","$",""),",","")),0)/IF(Settings!$D$27="Yes",G432,1))</f>
        <v/>
      </c>
      <c r="I432" s="11">
        <f>IF(A432="","",IFERROR(VALUE(SUBSTITUTE(SUBSTITUTE(INDEX('Shopify Import'!$A:$CZ,432,Settings!$E$26)&amp;"","$",""),",","")),0)/IF(Settings!$D$27="Yes",G432,1))</f>
        <v/>
      </c>
      <c r="J432" s="11">
        <f>IF(A432="","",F432+H432-I432)</f>
        <v/>
      </c>
      <c r="K432">
        <f>IF(A432="","",IFERROR(IF(B432="",NA(),MATCH(B432,Products!$B$5:$B$204,0)),IFERROR(MATCH(A432,Products!$A$5:$A$204,0),"")))</f>
        <v/>
      </c>
      <c r="L432">
        <f>IF(A432="","",IF(K432="","⚠ not in Products",INDEX(Products!$A$5:$A$204,K432)))</f>
        <v/>
      </c>
      <c r="M432" s="11">
        <f>IF(A432="","",J432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432+IFERROR(INDEX(Settings!$D$5:$D$9,MATCH("Shopify",Settings!$A$5:$A$9,0)),0)*D432)</f>
        <v/>
      </c>
      <c r="N432" s="11">
        <f>IF(A432="","",IF(K432="",0,D432*INDEX(Products!$I$5:$I$204,K432)))</f>
        <v/>
      </c>
      <c r="O432" s="11">
        <f>IF(A432="","",IF(K432="",0,J432*INDEX(Products!$H$5:$H$204,K432)))</f>
        <v/>
      </c>
      <c r="P432" s="11">
        <f>IF(A432="","",J432-M432-N432-O432)</f>
        <v/>
      </c>
    </row>
    <row r="433">
      <c r="A433">
        <f>IFERROR(INDEX('Shopify Import'!$A:$CZ,433,Settings!$E$20)&amp;"","")</f>
        <v/>
      </c>
      <c r="B433">
        <f>IFERROR(INDEX('Shopify Import'!$A:$CZ,433,Settings!$E$21)&amp;"","")</f>
        <v/>
      </c>
      <c r="C433">
        <f>IFERROR(INDEX('Shopify Import'!$A:$CZ,433,Settings!$E$22)&amp;"","")</f>
        <v/>
      </c>
      <c r="D433">
        <f>IF(A433="","",IFERROR(VALUE(SUBSTITUTE(SUBSTITUTE(INDEX('Shopify Import'!$A:$CZ,433,Settings!$E$23)&amp;"","$",""),",","")),0))</f>
        <v/>
      </c>
      <c r="E433" s="11">
        <f>IF(A433="","",IFERROR(VALUE(SUBSTITUTE(SUBSTITUTE(INDEX('Shopify Import'!$A:$CZ,433,Settings!$E$24)&amp;"","$",""),",","")),0))</f>
        <v/>
      </c>
      <c r="F433" s="11">
        <f>IF(A433="","",D433*E433)</f>
        <v/>
      </c>
      <c r="G433">
        <f>IF(A433="","",IF(C433="",1,COUNTIF($C$2:$C$1501,C433)))</f>
        <v/>
      </c>
      <c r="H433" s="11">
        <f>IF(A433="","",IFERROR(VALUE(SUBSTITUTE(SUBSTITUTE(INDEX('Shopify Import'!$A:$CZ,433,Settings!$E$25)&amp;"","$",""),",","")),0)/IF(Settings!$D$27="Yes",G433,1))</f>
        <v/>
      </c>
      <c r="I433" s="11">
        <f>IF(A433="","",IFERROR(VALUE(SUBSTITUTE(SUBSTITUTE(INDEX('Shopify Import'!$A:$CZ,433,Settings!$E$26)&amp;"","$",""),",","")),0)/IF(Settings!$D$27="Yes",G433,1))</f>
        <v/>
      </c>
      <c r="J433" s="11">
        <f>IF(A433="","",F433+H433-I433)</f>
        <v/>
      </c>
      <c r="K433">
        <f>IF(A433="","",IFERROR(IF(B433="",NA(),MATCH(B433,Products!$B$5:$B$204,0)),IFERROR(MATCH(A433,Products!$A$5:$A$204,0),"")))</f>
        <v/>
      </c>
      <c r="L433">
        <f>IF(A433="","",IF(K433="","⚠ not in Products",INDEX(Products!$A$5:$A$204,K433)))</f>
        <v/>
      </c>
      <c r="M433" s="11">
        <f>IF(A433="","",J433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433+IFERROR(INDEX(Settings!$D$5:$D$9,MATCH("Shopify",Settings!$A$5:$A$9,0)),0)*D433)</f>
        <v/>
      </c>
      <c r="N433" s="11">
        <f>IF(A433="","",IF(K433="",0,D433*INDEX(Products!$I$5:$I$204,K433)))</f>
        <v/>
      </c>
      <c r="O433" s="11">
        <f>IF(A433="","",IF(K433="",0,J433*INDEX(Products!$H$5:$H$204,K433)))</f>
        <v/>
      </c>
      <c r="P433" s="11">
        <f>IF(A433="","",J433-M433-N433-O433)</f>
        <v/>
      </c>
    </row>
    <row r="434">
      <c r="A434">
        <f>IFERROR(INDEX('Shopify Import'!$A:$CZ,434,Settings!$E$20)&amp;"","")</f>
        <v/>
      </c>
      <c r="B434">
        <f>IFERROR(INDEX('Shopify Import'!$A:$CZ,434,Settings!$E$21)&amp;"","")</f>
        <v/>
      </c>
      <c r="C434">
        <f>IFERROR(INDEX('Shopify Import'!$A:$CZ,434,Settings!$E$22)&amp;"","")</f>
        <v/>
      </c>
      <c r="D434">
        <f>IF(A434="","",IFERROR(VALUE(SUBSTITUTE(SUBSTITUTE(INDEX('Shopify Import'!$A:$CZ,434,Settings!$E$23)&amp;"","$",""),",","")),0))</f>
        <v/>
      </c>
      <c r="E434" s="11">
        <f>IF(A434="","",IFERROR(VALUE(SUBSTITUTE(SUBSTITUTE(INDEX('Shopify Import'!$A:$CZ,434,Settings!$E$24)&amp;"","$",""),",","")),0))</f>
        <v/>
      </c>
      <c r="F434" s="11">
        <f>IF(A434="","",D434*E434)</f>
        <v/>
      </c>
      <c r="G434">
        <f>IF(A434="","",IF(C434="",1,COUNTIF($C$2:$C$1501,C434)))</f>
        <v/>
      </c>
      <c r="H434" s="11">
        <f>IF(A434="","",IFERROR(VALUE(SUBSTITUTE(SUBSTITUTE(INDEX('Shopify Import'!$A:$CZ,434,Settings!$E$25)&amp;"","$",""),",","")),0)/IF(Settings!$D$27="Yes",G434,1))</f>
        <v/>
      </c>
      <c r="I434" s="11">
        <f>IF(A434="","",IFERROR(VALUE(SUBSTITUTE(SUBSTITUTE(INDEX('Shopify Import'!$A:$CZ,434,Settings!$E$26)&amp;"","$",""),",","")),0)/IF(Settings!$D$27="Yes",G434,1))</f>
        <v/>
      </c>
      <c r="J434" s="11">
        <f>IF(A434="","",F434+H434-I434)</f>
        <v/>
      </c>
      <c r="K434">
        <f>IF(A434="","",IFERROR(IF(B434="",NA(),MATCH(B434,Products!$B$5:$B$204,0)),IFERROR(MATCH(A434,Products!$A$5:$A$204,0),"")))</f>
        <v/>
      </c>
      <c r="L434">
        <f>IF(A434="","",IF(K434="","⚠ not in Products",INDEX(Products!$A$5:$A$204,K434)))</f>
        <v/>
      </c>
      <c r="M434" s="11">
        <f>IF(A434="","",J434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434+IFERROR(INDEX(Settings!$D$5:$D$9,MATCH("Shopify",Settings!$A$5:$A$9,0)),0)*D434)</f>
        <v/>
      </c>
      <c r="N434" s="11">
        <f>IF(A434="","",IF(K434="",0,D434*INDEX(Products!$I$5:$I$204,K434)))</f>
        <v/>
      </c>
      <c r="O434" s="11">
        <f>IF(A434="","",IF(K434="",0,J434*INDEX(Products!$H$5:$H$204,K434)))</f>
        <v/>
      </c>
      <c r="P434" s="11">
        <f>IF(A434="","",J434-M434-N434-O434)</f>
        <v/>
      </c>
    </row>
    <row r="435">
      <c r="A435">
        <f>IFERROR(INDEX('Shopify Import'!$A:$CZ,435,Settings!$E$20)&amp;"","")</f>
        <v/>
      </c>
      <c r="B435">
        <f>IFERROR(INDEX('Shopify Import'!$A:$CZ,435,Settings!$E$21)&amp;"","")</f>
        <v/>
      </c>
      <c r="C435">
        <f>IFERROR(INDEX('Shopify Import'!$A:$CZ,435,Settings!$E$22)&amp;"","")</f>
        <v/>
      </c>
      <c r="D435">
        <f>IF(A435="","",IFERROR(VALUE(SUBSTITUTE(SUBSTITUTE(INDEX('Shopify Import'!$A:$CZ,435,Settings!$E$23)&amp;"","$",""),",","")),0))</f>
        <v/>
      </c>
      <c r="E435" s="11">
        <f>IF(A435="","",IFERROR(VALUE(SUBSTITUTE(SUBSTITUTE(INDEX('Shopify Import'!$A:$CZ,435,Settings!$E$24)&amp;"","$",""),",","")),0))</f>
        <v/>
      </c>
      <c r="F435" s="11">
        <f>IF(A435="","",D435*E435)</f>
        <v/>
      </c>
      <c r="G435">
        <f>IF(A435="","",IF(C435="",1,COUNTIF($C$2:$C$1501,C435)))</f>
        <v/>
      </c>
      <c r="H435" s="11">
        <f>IF(A435="","",IFERROR(VALUE(SUBSTITUTE(SUBSTITUTE(INDEX('Shopify Import'!$A:$CZ,435,Settings!$E$25)&amp;"","$",""),",","")),0)/IF(Settings!$D$27="Yes",G435,1))</f>
        <v/>
      </c>
      <c r="I435" s="11">
        <f>IF(A435="","",IFERROR(VALUE(SUBSTITUTE(SUBSTITUTE(INDEX('Shopify Import'!$A:$CZ,435,Settings!$E$26)&amp;"","$",""),",","")),0)/IF(Settings!$D$27="Yes",G435,1))</f>
        <v/>
      </c>
      <c r="J435" s="11">
        <f>IF(A435="","",F435+H435-I435)</f>
        <v/>
      </c>
      <c r="K435">
        <f>IF(A435="","",IFERROR(IF(B435="",NA(),MATCH(B435,Products!$B$5:$B$204,0)),IFERROR(MATCH(A435,Products!$A$5:$A$204,0),"")))</f>
        <v/>
      </c>
      <c r="L435">
        <f>IF(A435="","",IF(K435="","⚠ not in Products",INDEX(Products!$A$5:$A$204,K435)))</f>
        <v/>
      </c>
      <c r="M435" s="11">
        <f>IF(A435="","",J435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435+IFERROR(INDEX(Settings!$D$5:$D$9,MATCH("Shopify",Settings!$A$5:$A$9,0)),0)*D435)</f>
        <v/>
      </c>
      <c r="N435" s="11">
        <f>IF(A435="","",IF(K435="",0,D435*INDEX(Products!$I$5:$I$204,K435)))</f>
        <v/>
      </c>
      <c r="O435" s="11">
        <f>IF(A435="","",IF(K435="",0,J435*INDEX(Products!$H$5:$H$204,K435)))</f>
        <v/>
      </c>
      <c r="P435" s="11">
        <f>IF(A435="","",J435-M435-N435-O435)</f>
        <v/>
      </c>
    </row>
    <row r="436">
      <c r="A436">
        <f>IFERROR(INDEX('Shopify Import'!$A:$CZ,436,Settings!$E$20)&amp;"","")</f>
        <v/>
      </c>
      <c r="B436">
        <f>IFERROR(INDEX('Shopify Import'!$A:$CZ,436,Settings!$E$21)&amp;"","")</f>
        <v/>
      </c>
      <c r="C436">
        <f>IFERROR(INDEX('Shopify Import'!$A:$CZ,436,Settings!$E$22)&amp;"","")</f>
        <v/>
      </c>
      <c r="D436">
        <f>IF(A436="","",IFERROR(VALUE(SUBSTITUTE(SUBSTITUTE(INDEX('Shopify Import'!$A:$CZ,436,Settings!$E$23)&amp;"","$",""),",","")),0))</f>
        <v/>
      </c>
      <c r="E436" s="11">
        <f>IF(A436="","",IFERROR(VALUE(SUBSTITUTE(SUBSTITUTE(INDEX('Shopify Import'!$A:$CZ,436,Settings!$E$24)&amp;"","$",""),",","")),0))</f>
        <v/>
      </c>
      <c r="F436" s="11">
        <f>IF(A436="","",D436*E436)</f>
        <v/>
      </c>
      <c r="G436">
        <f>IF(A436="","",IF(C436="",1,COUNTIF($C$2:$C$1501,C436)))</f>
        <v/>
      </c>
      <c r="H436" s="11">
        <f>IF(A436="","",IFERROR(VALUE(SUBSTITUTE(SUBSTITUTE(INDEX('Shopify Import'!$A:$CZ,436,Settings!$E$25)&amp;"","$",""),",","")),0)/IF(Settings!$D$27="Yes",G436,1))</f>
        <v/>
      </c>
      <c r="I436" s="11">
        <f>IF(A436="","",IFERROR(VALUE(SUBSTITUTE(SUBSTITUTE(INDEX('Shopify Import'!$A:$CZ,436,Settings!$E$26)&amp;"","$",""),",","")),0)/IF(Settings!$D$27="Yes",G436,1))</f>
        <v/>
      </c>
      <c r="J436" s="11">
        <f>IF(A436="","",F436+H436-I436)</f>
        <v/>
      </c>
      <c r="K436">
        <f>IF(A436="","",IFERROR(IF(B436="",NA(),MATCH(B436,Products!$B$5:$B$204,0)),IFERROR(MATCH(A436,Products!$A$5:$A$204,0),"")))</f>
        <v/>
      </c>
      <c r="L436">
        <f>IF(A436="","",IF(K436="","⚠ not in Products",INDEX(Products!$A$5:$A$204,K436)))</f>
        <v/>
      </c>
      <c r="M436" s="11">
        <f>IF(A436="","",J436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436+IFERROR(INDEX(Settings!$D$5:$D$9,MATCH("Shopify",Settings!$A$5:$A$9,0)),0)*D436)</f>
        <v/>
      </c>
      <c r="N436" s="11">
        <f>IF(A436="","",IF(K436="",0,D436*INDEX(Products!$I$5:$I$204,K436)))</f>
        <v/>
      </c>
      <c r="O436" s="11">
        <f>IF(A436="","",IF(K436="",0,J436*INDEX(Products!$H$5:$H$204,K436)))</f>
        <v/>
      </c>
      <c r="P436" s="11">
        <f>IF(A436="","",J436-M436-N436-O436)</f>
        <v/>
      </c>
    </row>
    <row r="437">
      <c r="A437">
        <f>IFERROR(INDEX('Shopify Import'!$A:$CZ,437,Settings!$E$20)&amp;"","")</f>
        <v/>
      </c>
      <c r="B437">
        <f>IFERROR(INDEX('Shopify Import'!$A:$CZ,437,Settings!$E$21)&amp;"","")</f>
        <v/>
      </c>
      <c r="C437">
        <f>IFERROR(INDEX('Shopify Import'!$A:$CZ,437,Settings!$E$22)&amp;"","")</f>
        <v/>
      </c>
      <c r="D437">
        <f>IF(A437="","",IFERROR(VALUE(SUBSTITUTE(SUBSTITUTE(INDEX('Shopify Import'!$A:$CZ,437,Settings!$E$23)&amp;"","$",""),",","")),0))</f>
        <v/>
      </c>
      <c r="E437" s="11">
        <f>IF(A437="","",IFERROR(VALUE(SUBSTITUTE(SUBSTITUTE(INDEX('Shopify Import'!$A:$CZ,437,Settings!$E$24)&amp;"","$",""),",","")),0))</f>
        <v/>
      </c>
      <c r="F437" s="11">
        <f>IF(A437="","",D437*E437)</f>
        <v/>
      </c>
      <c r="G437">
        <f>IF(A437="","",IF(C437="",1,COUNTIF($C$2:$C$1501,C437)))</f>
        <v/>
      </c>
      <c r="H437" s="11">
        <f>IF(A437="","",IFERROR(VALUE(SUBSTITUTE(SUBSTITUTE(INDEX('Shopify Import'!$A:$CZ,437,Settings!$E$25)&amp;"","$",""),",","")),0)/IF(Settings!$D$27="Yes",G437,1))</f>
        <v/>
      </c>
      <c r="I437" s="11">
        <f>IF(A437="","",IFERROR(VALUE(SUBSTITUTE(SUBSTITUTE(INDEX('Shopify Import'!$A:$CZ,437,Settings!$E$26)&amp;"","$",""),",","")),0)/IF(Settings!$D$27="Yes",G437,1))</f>
        <v/>
      </c>
      <c r="J437" s="11">
        <f>IF(A437="","",F437+H437-I437)</f>
        <v/>
      </c>
      <c r="K437">
        <f>IF(A437="","",IFERROR(IF(B437="",NA(),MATCH(B437,Products!$B$5:$B$204,0)),IFERROR(MATCH(A437,Products!$A$5:$A$204,0),"")))</f>
        <v/>
      </c>
      <c r="L437">
        <f>IF(A437="","",IF(K437="","⚠ not in Products",INDEX(Products!$A$5:$A$204,K437)))</f>
        <v/>
      </c>
      <c r="M437" s="11">
        <f>IF(A437="","",J437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437+IFERROR(INDEX(Settings!$D$5:$D$9,MATCH("Shopify",Settings!$A$5:$A$9,0)),0)*D437)</f>
        <v/>
      </c>
      <c r="N437" s="11">
        <f>IF(A437="","",IF(K437="",0,D437*INDEX(Products!$I$5:$I$204,K437)))</f>
        <v/>
      </c>
      <c r="O437" s="11">
        <f>IF(A437="","",IF(K437="",0,J437*INDEX(Products!$H$5:$H$204,K437)))</f>
        <v/>
      </c>
      <c r="P437" s="11">
        <f>IF(A437="","",J437-M437-N437-O437)</f>
        <v/>
      </c>
    </row>
    <row r="438">
      <c r="A438">
        <f>IFERROR(INDEX('Shopify Import'!$A:$CZ,438,Settings!$E$20)&amp;"","")</f>
        <v/>
      </c>
      <c r="B438">
        <f>IFERROR(INDEX('Shopify Import'!$A:$CZ,438,Settings!$E$21)&amp;"","")</f>
        <v/>
      </c>
      <c r="C438">
        <f>IFERROR(INDEX('Shopify Import'!$A:$CZ,438,Settings!$E$22)&amp;"","")</f>
        <v/>
      </c>
      <c r="D438">
        <f>IF(A438="","",IFERROR(VALUE(SUBSTITUTE(SUBSTITUTE(INDEX('Shopify Import'!$A:$CZ,438,Settings!$E$23)&amp;"","$",""),",","")),0))</f>
        <v/>
      </c>
      <c r="E438" s="11">
        <f>IF(A438="","",IFERROR(VALUE(SUBSTITUTE(SUBSTITUTE(INDEX('Shopify Import'!$A:$CZ,438,Settings!$E$24)&amp;"","$",""),",","")),0))</f>
        <v/>
      </c>
      <c r="F438" s="11">
        <f>IF(A438="","",D438*E438)</f>
        <v/>
      </c>
      <c r="G438">
        <f>IF(A438="","",IF(C438="",1,COUNTIF($C$2:$C$1501,C438)))</f>
        <v/>
      </c>
      <c r="H438" s="11">
        <f>IF(A438="","",IFERROR(VALUE(SUBSTITUTE(SUBSTITUTE(INDEX('Shopify Import'!$A:$CZ,438,Settings!$E$25)&amp;"","$",""),",","")),0)/IF(Settings!$D$27="Yes",G438,1))</f>
        <v/>
      </c>
      <c r="I438" s="11">
        <f>IF(A438="","",IFERROR(VALUE(SUBSTITUTE(SUBSTITUTE(INDEX('Shopify Import'!$A:$CZ,438,Settings!$E$26)&amp;"","$",""),",","")),0)/IF(Settings!$D$27="Yes",G438,1))</f>
        <v/>
      </c>
      <c r="J438" s="11">
        <f>IF(A438="","",F438+H438-I438)</f>
        <v/>
      </c>
      <c r="K438">
        <f>IF(A438="","",IFERROR(IF(B438="",NA(),MATCH(B438,Products!$B$5:$B$204,0)),IFERROR(MATCH(A438,Products!$A$5:$A$204,0),"")))</f>
        <v/>
      </c>
      <c r="L438">
        <f>IF(A438="","",IF(K438="","⚠ not in Products",INDEX(Products!$A$5:$A$204,K438)))</f>
        <v/>
      </c>
      <c r="M438" s="11">
        <f>IF(A438="","",J438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438+IFERROR(INDEX(Settings!$D$5:$D$9,MATCH("Shopify",Settings!$A$5:$A$9,0)),0)*D438)</f>
        <v/>
      </c>
      <c r="N438" s="11">
        <f>IF(A438="","",IF(K438="",0,D438*INDEX(Products!$I$5:$I$204,K438)))</f>
        <v/>
      </c>
      <c r="O438" s="11">
        <f>IF(A438="","",IF(K438="",0,J438*INDEX(Products!$H$5:$H$204,K438)))</f>
        <v/>
      </c>
      <c r="P438" s="11">
        <f>IF(A438="","",J438-M438-N438-O438)</f>
        <v/>
      </c>
    </row>
    <row r="439">
      <c r="A439">
        <f>IFERROR(INDEX('Shopify Import'!$A:$CZ,439,Settings!$E$20)&amp;"","")</f>
        <v/>
      </c>
      <c r="B439">
        <f>IFERROR(INDEX('Shopify Import'!$A:$CZ,439,Settings!$E$21)&amp;"","")</f>
        <v/>
      </c>
      <c r="C439">
        <f>IFERROR(INDEX('Shopify Import'!$A:$CZ,439,Settings!$E$22)&amp;"","")</f>
        <v/>
      </c>
      <c r="D439">
        <f>IF(A439="","",IFERROR(VALUE(SUBSTITUTE(SUBSTITUTE(INDEX('Shopify Import'!$A:$CZ,439,Settings!$E$23)&amp;"","$",""),",","")),0))</f>
        <v/>
      </c>
      <c r="E439" s="11">
        <f>IF(A439="","",IFERROR(VALUE(SUBSTITUTE(SUBSTITUTE(INDEX('Shopify Import'!$A:$CZ,439,Settings!$E$24)&amp;"","$",""),",","")),0))</f>
        <v/>
      </c>
      <c r="F439" s="11">
        <f>IF(A439="","",D439*E439)</f>
        <v/>
      </c>
      <c r="G439">
        <f>IF(A439="","",IF(C439="",1,COUNTIF($C$2:$C$1501,C439)))</f>
        <v/>
      </c>
      <c r="H439" s="11">
        <f>IF(A439="","",IFERROR(VALUE(SUBSTITUTE(SUBSTITUTE(INDEX('Shopify Import'!$A:$CZ,439,Settings!$E$25)&amp;"","$",""),",","")),0)/IF(Settings!$D$27="Yes",G439,1))</f>
        <v/>
      </c>
      <c r="I439" s="11">
        <f>IF(A439="","",IFERROR(VALUE(SUBSTITUTE(SUBSTITUTE(INDEX('Shopify Import'!$A:$CZ,439,Settings!$E$26)&amp;"","$",""),",","")),0)/IF(Settings!$D$27="Yes",G439,1))</f>
        <v/>
      </c>
      <c r="J439" s="11">
        <f>IF(A439="","",F439+H439-I439)</f>
        <v/>
      </c>
      <c r="K439">
        <f>IF(A439="","",IFERROR(IF(B439="",NA(),MATCH(B439,Products!$B$5:$B$204,0)),IFERROR(MATCH(A439,Products!$A$5:$A$204,0),"")))</f>
        <v/>
      </c>
      <c r="L439">
        <f>IF(A439="","",IF(K439="","⚠ not in Products",INDEX(Products!$A$5:$A$204,K439)))</f>
        <v/>
      </c>
      <c r="M439" s="11">
        <f>IF(A439="","",J439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439+IFERROR(INDEX(Settings!$D$5:$D$9,MATCH("Shopify",Settings!$A$5:$A$9,0)),0)*D439)</f>
        <v/>
      </c>
      <c r="N439" s="11">
        <f>IF(A439="","",IF(K439="",0,D439*INDEX(Products!$I$5:$I$204,K439)))</f>
        <v/>
      </c>
      <c r="O439" s="11">
        <f>IF(A439="","",IF(K439="",0,J439*INDEX(Products!$H$5:$H$204,K439)))</f>
        <v/>
      </c>
      <c r="P439" s="11">
        <f>IF(A439="","",J439-M439-N439-O439)</f>
        <v/>
      </c>
    </row>
    <row r="440">
      <c r="A440">
        <f>IFERROR(INDEX('Shopify Import'!$A:$CZ,440,Settings!$E$20)&amp;"","")</f>
        <v/>
      </c>
      <c r="B440">
        <f>IFERROR(INDEX('Shopify Import'!$A:$CZ,440,Settings!$E$21)&amp;"","")</f>
        <v/>
      </c>
      <c r="C440">
        <f>IFERROR(INDEX('Shopify Import'!$A:$CZ,440,Settings!$E$22)&amp;"","")</f>
        <v/>
      </c>
      <c r="D440">
        <f>IF(A440="","",IFERROR(VALUE(SUBSTITUTE(SUBSTITUTE(INDEX('Shopify Import'!$A:$CZ,440,Settings!$E$23)&amp;"","$",""),",","")),0))</f>
        <v/>
      </c>
      <c r="E440" s="11">
        <f>IF(A440="","",IFERROR(VALUE(SUBSTITUTE(SUBSTITUTE(INDEX('Shopify Import'!$A:$CZ,440,Settings!$E$24)&amp;"","$",""),",","")),0))</f>
        <v/>
      </c>
      <c r="F440" s="11">
        <f>IF(A440="","",D440*E440)</f>
        <v/>
      </c>
      <c r="G440">
        <f>IF(A440="","",IF(C440="",1,COUNTIF($C$2:$C$1501,C440)))</f>
        <v/>
      </c>
      <c r="H440" s="11">
        <f>IF(A440="","",IFERROR(VALUE(SUBSTITUTE(SUBSTITUTE(INDEX('Shopify Import'!$A:$CZ,440,Settings!$E$25)&amp;"","$",""),",","")),0)/IF(Settings!$D$27="Yes",G440,1))</f>
        <v/>
      </c>
      <c r="I440" s="11">
        <f>IF(A440="","",IFERROR(VALUE(SUBSTITUTE(SUBSTITUTE(INDEX('Shopify Import'!$A:$CZ,440,Settings!$E$26)&amp;"","$",""),",","")),0)/IF(Settings!$D$27="Yes",G440,1))</f>
        <v/>
      </c>
      <c r="J440" s="11">
        <f>IF(A440="","",F440+H440-I440)</f>
        <v/>
      </c>
      <c r="K440">
        <f>IF(A440="","",IFERROR(IF(B440="",NA(),MATCH(B440,Products!$B$5:$B$204,0)),IFERROR(MATCH(A440,Products!$A$5:$A$204,0),"")))</f>
        <v/>
      </c>
      <c r="L440">
        <f>IF(A440="","",IF(K440="","⚠ not in Products",INDEX(Products!$A$5:$A$204,K440)))</f>
        <v/>
      </c>
      <c r="M440" s="11">
        <f>IF(A440="","",J440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440+IFERROR(INDEX(Settings!$D$5:$D$9,MATCH("Shopify",Settings!$A$5:$A$9,0)),0)*D440)</f>
        <v/>
      </c>
      <c r="N440" s="11">
        <f>IF(A440="","",IF(K440="",0,D440*INDEX(Products!$I$5:$I$204,K440)))</f>
        <v/>
      </c>
      <c r="O440" s="11">
        <f>IF(A440="","",IF(K440="",0,J440*INDEX(Products!$H$5:$H$204,K440)))</f>
        <v/>
      </c>
      <c r="P440" s="11">
        <f>IF(A440="","",J440-M440-N440-O440)</f>
        <v/>
      </c>
    </row>
    <row r="441">
      <c r="A441">
        <f>IFERROR(INDEX('Shopify Import'!$A:$CZ,441,Settings!$E$20)&amp;"","")</f>
        <v/>
      </c>
      <c r="B441">
        <f>IFERROR(INDEX('Shopify Import'!$A:$CZ,441,Settings!$E$21)&amp;"","")</f>
        <v/>
      </c>
      <c r="C441">
        <f>IFERROR(INDEX('Shopify Import'!$A:$CZ,441,Settings!$E$22)&amp;"","")</f>
        <v/>
      </c>
      <c r="D441">
        <f>IF(A441="","",IFERROR(VALUE(SUBSTITUTE(SUBSTITUTE(INDEX('Shopify Import'!$A:$CZ,441,Settings!$E$23)&amp;"","$",""),",","")),0))</f>
        <v/>
      </c>
      <c r="E441" s="11">
        <f>IF(A441="","",IFERROR(VALUE(SUBSTITUTE(SUBSTITUTE(INDEX('Shopify Import'!$A:$CZ,441,Settings!$E$24)&amp;"","$",""),",","")),0))</f>
        <v/>
      </c>
      <c r="F441" s="11">
        <f>IF(A441="","",D441*E441)</f>
        <v/>
      </c>
      <c r="G441">
        <f>IF(A441="","",IF(C441="",1,COUNTIF($C$2:$C$1501,C441)))</f>
        <v/>
      </c>
      <c r="H441" s="11">
        <f>IF(A441="","",IFERROR(VALUE(SUBSTITUTE(SUBSTITUTE(INDEX('Shopify Import'!$A:$CZ,441,Settings!$E$25)&amp;"","$",""),",","")),0)/IF(Settings!$D$27="Yes",G441,1))</f>
        <v/>
      </c>
      <c r="I441" s="11">
        <f>IF(A441="","",IFERROR(VALUE(SUBSTITUTE(SUBSTITUTE(INDEX('Shopify Import'!$A:$CZ,441,Settings!$E$26)&amp;"","$",""),",","")),0)/IF(Settings!$D$27="Yes",G441,1))</f>
        <v/>
      </c>
      <c r="J441" s="11">
        <f>IF(A441="","",F441+H441-I441)</f>
        <v/>
      </c>
      <c r="K441">
        <f>IF(A441="","",IFERROR(IF(B441="",NA(),MATCH(B441,Products!$B$5:$B$204,0)),IFERROR(MATCH(A441,Products!$A$5:$A$204,0),"")))</f>
        <v/>
      </c>
      <c r="L441">
        <f>IF(A441="","",IF(K441="","⚠ not in Products",INDEX(Products!$A$5:$A$204,K441)))</f>
        <v/>
      </c>
      <c r="M441" s="11">
        <f>IF(A441="","",J441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441+IFERROR(INDEX(Settings!$D$5:$D$9,MATCH("Shopify",Settings!$A$5:$A$9,0)),0)*D441)</f>
        <v/>
      </c>
      <c r="N441" s="11">
        <f>IF(A441="","",IF(K441="",0,D441*INDEX(Products!$I$5:$I$204,K441)))</f>
        <v/>
      </c>
      <c r="O441" s="11">
        <f>IF(A441="","",IF(K441="",0,J441*INDEX(Products!$H$5:$H$204,K441)))</f>
        <v/>
      </c>
      <c r="P441" s="11">
        <f>IF(A441="","",J441-M441-N441-O441)</f>
        <v/>
      </c>
    </row>
    <row r="442">
      <c r="A442">
        <f>IFERROR(INDEX('Shopify Import'!$A:$CZ,442,Settings!$E$20)&amp;"","")</f>
        <v/>
      </c>
      <c r="B442">
        <f>IFERROR(INDEX('Shopify Import'!$A:$CZ,442,Settings!$E$21)&amp;"","")</f>
        <v/>
      </c>
      <c r="C442">
        <f>IFERROR(INDEX('Shopify Import'!$A:$CZ,442,Settings!$E$22)&amp;"","")</f>
        <v/>
      </c>
      <c r="D442">
        <f>IF(A442="","",IFERROR(VALUE(SUBSTITUTE(SUBSTITUTE(INDEX('Shopify Import'!$A:$CZ,442,Settings!$E$23)&amp;"","$",""),",","")),0))</f>
        <v/>
      </c>
      <c r="E442" s="11">
        <f>IF(A442="","",IFERROR(VALUE(SUBSTITUTE(SUBSTITUTE(INDEX('Shopify Import'!$A:$CZ,442,Settings!$E$24)&amp;"","$",""),",","")),0))</f>
        <v/>
      </c>
      <c r="F442" s="11">
        <f>IF(A442="","",D442*E442)</f>
        <v/>
      </c>
      <c r="G442">
        <f>IF(A442="","",IF(C442="",1,COUNTIF($C$2:$C$1501,C442)))</f>
        <v/>
      </c>
      <c r="H442" s="11">
        <f>IF(A442="","",IFERROR(VALUE(SUBSTITUTE(SUBSTITUTE(INDEX('Shopify Import'!$A:$CZ,442,Settings!$E$25)&amp;"","$",""),",","")),0)/IF(Settings!$D$27="Yes",G442,1))</f>
        <v/>
      </c>
      <c r="I442" s="11">
        <f>IF(A442="","",IFERROR(VALUE(SUBSTITUTE(SUBSTITUTE(INDEX('Shopify Import'!$A:$CZ,442,Settings!$E$26)&amp;"","$",""),",","")),0)/IF(Settings!$D$27="Yes",G442,1))</f>
        <v/>
      </c>
      <c r="J442" s="11">
        <f>IF(A442="","",F442+H442-I442)</f>
        <v/>
      </c>
      <c r="K442">
        <f>IF(A442="","",IFERROR(IF(B442="",NA(),MATCH(B442,Products!$B$5:$B$204,0)),IFERROR(MATCH(A442,Products!$A$5:$A$204,0),"")))</f>
        <v/>
      </c>
      <c r="L442">
        <f>IF(A442="","",IF(K442="","⚠ not in Products",INDEX(Products!$A$5:$A$204,K442)))</f>
        <v/>
      </c>
      <c r="M442" s="11">
        <f>IF(A442="","",J442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442+IFERROR(INDEX(Settings!$D$5:$D$9,MATCH("Shopify",Settings!$A$5:$A$9,0)),0)*D442)</f>
        <v/>
      </c>
      <c r="N442" s="11">
        <f>IF(A442="","",IF(K442="",0,D442*INDEX(Products!$I$5:$I$204,K442)))</f>
        <v/>
      </c>
      <c r="O442" s="11">
        <f>IF(A442="","",IF(K442="",0,J442*INDEX(Products!$H$5:$H$204,K442)))</f>
        <v/>
      </c>
      <c r="P442" s="11">
        <f>IF(A442="","",J442-M442-N442-O442)</f>
        <v/>
      </c>
    </row>
    <row r="443">
      <c r="A443">
        <f>IFERROR(INDEX('Shopify Import'!$A:$CZ,443,Settings!$E$20)&amp;"","")</f>
        <v/>
      </c>
      <c r="B443">
        <f>IFERROR(INDEX('Shopify Import'!$A:$CZ,443,Settings!$E$21)&amp;"","")</f>
        <v/>
      </c>
      <c r="C443">
        <f>IFERROR(INDEX('Shopify Import'!$A:$CZ,443,Settings!$E$22)&amp;"","")</f>
        <v/>
      </c>
      <c r="D443">
        <f>IF(A443="","",IFERROR(VALUE(SUBSTITUTE(SUBSTITUTE(INDEX('Shopify Import'!$A:$CZ,443,Settings!$E$23)&amp;"","$",""),",","")),0))</f>
        <v/>
      </c>
      <c r="E443" s="11">
        <f>IF(A443="","",IFERROR(VALUE(SUBSTITUTE(SUBSTITUTE(INDEX('Shopify Import'!$A:$CZ,443,Settings!$E$24)&amp;"","$",""),",","")),0))</f>
        <v/>
      </c>
      <c r="F443" s="11">
        <f>IF(A443="","",D443*E443)</f>
        <v/>
      </c>
      <c r="G443">
        <f>IF(A443="","",IF(C443="",1,COUNTIF($C$2:$C$1501,C443)))</f>
        <v/>
      </c>
      <c r="H443" s="11">
        <f>IF(A443="","",IFERROR(VALUE(SUBSTITUTE(SUBSTITUTE(INDEX('Shopify Import'!$A:$CZ,443,Settings!$E$25)&amp;"","$",""),",","")),0)/IF(Settings!$D$27="Yes",G443,1))</f>
        <v/>
      </c>
      <c r="I443" s="11">
        <f>IF(A443="","",IFERROR(VALUE(SUBSTITUTE(SUBSTITUTE(INDEX('Shopify Import'!$A:$CZ,443,Settings!$E$26)&amp;"","$",""),",","")),0)/IF(Settings!$D$27="Yes",G443,1))</f>
        <v/>
      </c>
      <c r="J443" s="11">
        <f>IF(A443="","",F443+H443-I443)</f>
        <v/>
      </c>
      <c r="K443">
        <f>IF(A443="","",IFERROR(IF(B443="",NA(),MATCH(B443,Products!$B$5:$B$204,0)),IFERROR(MATCH(A443,Products!$A$5:$A$204,0),"")))</f>
        <v/>
      </c>
      <c r="L443">
        <f>IF(A443="","",IF(K443="","⚠ not in Products",INDEX(Products!$A$5:$A$204,K443)))</f>
        <v/>
      </c>
      <c r="M443" s="11">
        <f>IF(A443="","",J443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443+IFERROR(INDEX(Settings!$D$5:$D$9,MATCH("Shopify",Settings!$A$5:$A$9,0)),0)*D443)</f>
        <v/>
      </c>
      <c r="N443" s="11">
        <f>IF(A443="","",IF(K443="",0,D443*INDEX(Products!$I$5:$I$204,K443)))</f>
        <v/>
      </c>
      <c r="O443" s="11">
        <f>IF(A443="","",IF(K443="",0,J443*INDEX(Products!$H$5:$H$204,K443)))</f>
        <v/>
      </c>
      <c r="P443" s="11">
        <f>IF(A443="","",J443-M443-N443-O443)</f>
        <v/>
      </c>
    </row>
    <row r="444">
      <c r="A444">
        <f>IFERROR(INDEX('Shopify Import'!$A:$CZ,444,Settings!$E$20)&amp;"","")</f>
        <v/>
      </c>
      <c r="B444">
        <f>IFERROR(INDEX('Shopify Import'!$A:$CZ,444,Settings!$E$21)&amp;"","")</f>
        <v/>
      </c>
      <c r="C444">
        <f>IFERROR(INDEX('Shopify Import'!$A:$CZ,444,Settings!$E$22)&amp;"","")</f>
        <v/>
      </c>
      <c r="D444">
        <f>IF(A444="","",IFERROR(VALUE(SUBSTITUTE(SUBSTITUTE(INDEX('Shopify Import'!$A:$CZ,444,Settings!$E$23)&amp;"","$",""),",","")),0))</f>
        <v/>
      </c>
      <c r="E444" s="11">
        <f>IF(A444="","",IFERROR(VALUE(SUBSTITUTE(SUBSTITUTE(INDEX('Shopify Import'!$A:$CZ,444,Settings!$E$24)&amp;"","$",""),",","")),0))</f>
        <v/>
      </c>
      <c r="F444" s="11">
        <f>IF(A444="","",D444*E444)</f>
        <v/>
      </c>
      <c r="G444">
        <f>IF(A444="","",IF(C444="",1,COUNTIF($C$2:$C$1501,C444)))</f>
        <v/>
      </c>
      <c r="H444" s="11">
        <f>IF(A444="","",IFERROR(VALUE(SUBSTITUTE(SUBSTITUTE(INDEX('Shopify Import'!$A:$CZ,444,Settings!$E$25)&amp;"","$",""),",","")),0)/IF(Settings!$D$27="Yes",G444,1))</f>
        <v/>
      </c>
      <c r="I444" s="11">
        <f>IF(A444="","",IFERROR(VALUE(SUBSTITUTE(SUBSTITUTE(INDEX('Shopify Import'!$A:$CZ,444,Settings!$E$26)&amp;"","$",""),",","")),0)/IF(Settings!$D$27="Yes",G444,1))</f>
        <v/>
      </c>
      <c r="J444" s="11">
        <f>IF(A444="","",F444+H444-I444)</f>
        <v/>
      </c>
      <c r="K444">
        <f>IF(A444="","",IFERROR(IF(B444="",NA(),MATCH(B444,Products!$B$5:$B$204,0)),IFERROR(MATCH(A444,Products!$A$5:$A$204,0),"")))</f>
        <v/>
      </c>
      <c r="L444">
        <f>IF(A444="","",IF(K444="","⚠ not in Products",INDEX(Products!$A$5:$A$204,K444)))</f>
        <v/>
      </c>
      <c r="M444" s="11">
        <f>IF(A444="","",J444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444+IFERROR(INDEX(Settings!$D$5:$D$9,MATCH("Shopify",Settings!$A$5:$A$9,0)),0)*D444)</f>
        <v/>
      </c>
      <c r="N444" s="11">
        <f>IF(A444="","",IF(K444="",0,D444*INDEX(Products!$I$5:$I$204,K444)))</f>
        <v/>
      </c>
      <c r="O444" s="11">
        <f>IF(A444="","",IF(K444="",0,J444*INDEX(Products!$H$5:$H$204,K444)))</f>
        <v/>
      </c>
      <c r="P444" s="11">
        <f>IF(A444="","",J444-M444-N444-O444)</f>
        <v/>
      </c>
    </row>
    <row r="445">
      <c r="A445">
        <f>IFERROR(INDEX('Shopify Import'!$A:$CZ,445,Settings!$E$20)&amp;"","")</f>
        <v/>
      </c>
      <c r="B445">
        <f>IFERROR(INDEX('Shopify Import'!$A:$CZ,445,Settings!$E$21)&amp;"","")</f>
        <v/>
      </c>
      <c r="C445">
        <f>IFERROR(INDEX('Shopify Import'!$A:$CZ,445,Settings!$E$22)&amp;"","")</f>
        <v/>
      </c>
      <c r="D445">
        <f>IF(A445="","",IFERROR(VALUE(SUBSTITUTE(SUBSTITUTE(INDEX('Shopify Import'!$A:$CZ,445,Settings!$E$23)&amp;"","$",""),",","")),0))</f>
        <v/>
      </c>
      <c r="E445" s="11">
        <f>IF(A445="","",IFERROR(VALUE(SUBSTITUTE(SUBSTITUTE(INDEX('Shopify Import'!$A:$CZ,445,Settings!$E$24)&amp;"","$",""),",","")),0))</f>
        <v/>
      </c>
      <c r="F445" s="11">
        <f>IF(A445="","",D445*E445)</f>
        <v/>
      </c>
      <c r="G445">
        <f>IF(A445="","",IF(C445="",1,COUNTIF($C$2:$C$1501,C445)))</f>
        <v/>
      </c>
      <c r="H445" s="11">
        <f>IF(A445="","",IFERROR(VALUE(SUBSTITUTE(SUBSTITUTE(INDEX('Shopify Import'!$A:$CZ,445,Settings!$E$25)&amp;"","$",""),",","")),0)/IF(Settings!$D$27="Yes",G445,1))</f>
        <v/>
      </c>
      <c r="I445" s="11">
        <f>IF(A445="","",IFERROR(VALUE(SUBSTITUTE(SUBSTITUTE(INDEX('Shopify Import'!$A:$CZ,445,Settings!$E$26)&amp;"","$",""),",","")),0)/IF(Settings!$D$27="Yes",G445,1))</f>
        <v/>
      </c>
      <c r="J445" s="11">
        <f>IF(A445="","",F445+H445-I445)</f>
        <v/>
      </c>
      <c r="K445">
        <f>IF(A445="","",IFERROR(IF(B445="",NA(),MATCH(B445,Products!$B$5:$B$204,0)),IFERROR(MATCH(A445,Products!$A$5:$A$204,0),"")))</f>
        <v/>
      </c>
      <c r="L445">
        <f>IF(A445="","",IF(K445="","⚠ not in Products",INDEX(Products!$A$5:$A$204,K445)))</f>
        <v/>
      </c>
      <c r="M445" s="11">
        <f>IF(A445="","",J445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445+IFERROR(INDEX(Settings!$D$5:$D$9,MATCH("Shopify",Settings!$A$5:$A$9,0)),0)*D445)</f>
        <v/>
      </c>
      <c r="N445" s="11">
        <f>IF(A445="","",IF(K445="",0,D445*INDEX(Products!$I$5:$I$204,K445)))</f>
        <v/>
      </c>
      <c r="O445" s="11">
        <f>IF(A445="","",IF(K445="",0,J445*INDEX(Products!$H$5:$H$204,K445)))</f>
        <v/>
      </c>
      <c r="P445" s="11">
        <f>IF(A445="","",J445-M445-N445-O445)</f>
        <v/>
      </c>
    </row>
    <row r="446">
      <c r="A446">
        <f>IFERROR(INDEX('Shopify Import'!$A:$CZ,446,Settings!$E$20)&amp;"","")</f>
        <v/>
      </c>
      <c r="B446">
        <f>IFERROR(INDEX('Shopify Import'!$A:$CZ,446,Settings!$E$21)&amp;"","")</f>
        <v/>
      </c>
      <c r="C446">
        <f>IFERROR(INDEX('Shopify Import'!$A:$CZ,446,Settings!$E$22)&amp;"","")</f>
        <v/>
      </c>
      <c r="D446">
        <f>IF(A446="","",IFERROR(VALUE(SUBSTITUTE(SUBSTITUTE(INDEX('Shopify Import'!$A:$CZ,446,Settings!$E$23)&amp;"","$",""),",","")),0))</f>
        <v/>
      </c>
      <c r="E446" s="11">
        <f>IF(A446="","",IFERROR(VALUE(SUBSTITUTE(SUBSTITUTE(INDEX('Shopify Import'!$A:$CZ,446,Settings!$E$24)&amp;"","$",""),",","")),0))</f>
        <v/>
      </c>
      <c r="F446" s="11">
        <f>IF(A446="","",D446*E446)</f>
        <v/>
      </c>
      <c r="G446">
        <f>IF(A446="","",IF(C446="",1,COUNTIF($C$2:$C$1501,C446)))</f>
        <v/>
      </c>
      <c r="H446" s="11">
        <f>IF(A446="","",IFERROR(VALUE(SUBSTITUTE(SUBSTITUTE(INDEX('Shopify Import'!$A:$CZ,446,Settings!$E$25)&amp;"","$",""),",","")),0)/IF(Settings!$D$27="Yes",G446,1))</f>
        <v/>
      </c>
      <c r="I446" s="11">
        <f>IF(A446="","",IFERROR(VALUE(SUBSTITUTE(SUBSTITUTE(INDEX('Shopify Import'!$A:$CZ,446,Settings!$E$26)&amp;"","$",""),",","")),0)/IF(Settings!$D$27="Yes",G446,1))</f>
        <v/>
      </c>
      <c r="J446" s="11">
        <f>IF(A446="","",F446+H446-I446)</f>
        <v/>
      </c>
      <c r="K446">
        <f>IF(A446="","",IFERROR(IF(B446="",NA(),MATCH(B446,Products!$B$5:$B$204,0)),IFERROR(MATCH(A446,Products!$A$5:$A$204,0),"")))</f>
        <v/>
      </c>
      <c r="L446">
        <f>IF(A446="","",IF(K446="","⚠ not in Products",INDEX(Products!$A$5:$A$204,K446)))</f>
        <v/>
      </c>
      <c r="M446" s="11">
        <f>IF(A446="","",J446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446+IFERROR(INDEX(Settings!$D$5:$D$9,MATCH("Shopify",Settings!$A$5:$A$9,0)),0)*D446)</f>
        <v/>
      </c>
      <c r="N446" s="11">
        <f>IF(A446="","",IF(K446="",0,D446*INDEX(Products!$I$5:$I$204,K446)))</f>
        <v/>
      </c>
      <c r="O446" s="11">
        <f>IF(A446="","",IF(K446="",0,J446*INDEX(Products!$H$5:$H$204,K446)))</f>
        <v/>
      </c>
      <c r="P446" s="11">
        <f>IF(A446="","",J446-M446-N446-O446)</f>
        <v/>
      </c>
    </row>
    <row r="447">
      <c r="A447">
        <f>IFERROR(INDEX('Shopify Import'!$A:$CZ,447,Settings!$E$20)&amp;"","")</f>
        <v/>
      </c>
      <c r="B447">
        <f>IFERROR(INDEX('Shopify Import'!$A:$CZ,447,Settings!$E$21)&amp;"","")</f>
        <v/>
      </c>
      <c r="C447">
        <f>IFERROR(INDEX('Shopify Import'!$A:$CZ,447,Settings!$E$22)&amp;"","")</f>
        <v/>
      </c>
      <c r="D447">
        <f>IF(A447="","",IFERROR(VALUE(SUBSTITUTE(SUBSTITUTE(INDEX('Shopify Import'!$A:$CZ,447,Settings!$E$23)&amp;"","$",""),",","")),0))</f>
        <v/>
      </c>
      <c r="E447" s="11">
        <f>IF(A447="","",IFERROR(VALUE(SUBSTITUTE(SUBSTITUTE(INDEX('Shopify Import'!$A:$CZ,447,Settings!$E$24)&amp;"","$",""),",","")),0))</f>
        <v/>
      </c>
      <c r="F447" s="11">
        <f>IF(A447="","",D447*E447)</f>
        <v/>
      </c>
      <c r="G447">
        <f>IF(A447="","",IF(C447="",1,COUNTIF($C$2:$C$1501,C447)))</f>
        <v/>
      </c>
      <c r="H447" s="11">
        <f>IF(A447="","",IFERROR(VALUE(SUBSTITUTE(SUBSTITUTE(INDEX('Shopify Import'!$A:$CZ,447,Settings!$E$25)&amp;"","$",""),",","")),0)/IF(Settings!$D$27="Yes",G447,1))</f>
        <v/>
      </c>
      <c r="I447" s="11">
        <f>IF(A447="","",IFERROR(VALUE(SUBSTITUTE(SUBSTITUTE(INDEX('Shopify Import'!$A:$CZ,447,Settings!$E$26)&amp;"","$",""),",","")),0)/IF(Settings!$D$27="Yes",G447,1))</f>
        <v/>
      </c>
      <c r="J447" s="11">
        <f>IF(A447="","",F447+H447-I447)</f>
        <v/>
      </c>
      <c r="K447">
        <f>IF(A447="","",IFERROR(IF(B447="",NA(),MATCH(B447,Products!$B$5:$B$204,0)),IFERROR(MATCH(A447,Products!$A$5:$A$204,0),"")))</f>
        <v/>
      </c>
      <c r="L447">
        <f>IF(A447="","",IF(K447="","⚠ not in Products",INDEX(Products!$A$5:$A$204,K447)))</f>
        <v/>
      </c>
      <c r="M447" s="11">
        <f>IF(A447="","",J447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447+IFERROR(INDEX(Settings!$D$5:$D$9,MATCH("Shopify",Settings!$A$5:$A$9,0)),0)*D447)</f>
        <v/>
      </c>
      <c r="N447" s="11">
        <f>IF(A447="","",IF(K447="",0,D447*INDEX(Products!$I$5:$I$204,K447)))</f>
        <v/>
      </c>
      <c r="O447" s="11">
        <f>IF(A447="","",IF(K447="",0,J447*INDEX(Products!$H$5:$H$204,K447)))</f>
        <v/>
      </c>
      <c r="P447" s="11">
        <f>IF(A447="","",J447-M447-N447-O447)</f>
        <v/>
      </c>
    </row>
    <row r="448">
      <c r="A448">
        <f>IFERROR(INDEX('Shopify Import'!$A:$CZ,448,Settings!$E$20)&amp;"","")</f>
        <v/>
      </c>
      <c r="B448">
        <f>IFERROR(INDEX('Shopify Import'!$A:$CZ,448,Settings!$E$21)&amp;"","")</f>
        <v/>
      </c>
      <c r="C448">
        <f>IFERROR(INDEX('Shopify Import'!$A:$CZ,448,Settings!$E$22)&amp;"","")</f>
        <v/>
      </c>
      <c r="D448">
        <f>IF(A448="","",IFERROR(VALUE(SUBSTITUTE(SUBSTITUTE(INDEX('Shopify Import'!$A:$CZ,448,Settings!$E$23)&amp;"","$",""),",","")),0))</f>
        <v/>
      </c>
      <c r="E448" s="11">
        <f>IF(A448="","",IFERROR(VALUE(SUBSTITUTE(SUBSTITUTE(INDEX('Shopify Import'!$A:$CZ,448,Settings!$E$24)&amp;"","$",""),",","")),0))</f>
        <v/>
      </c>
      <c r="F448" s="11">
        <f>IF(A448="","",D448*E448)</f>
        <v/>
      </c>
      <c r="G448">
        <f>IF(A448="","",IF(C448="",1,COUNTIF($C$2:$C$1501,C448)))</f>
        <v/>
      </c>
      <c r="H448" s="11">
        <f>IF(A448="","",IFERROR(VALUE(SUBSTITUTE(SUBSTITUTE(INDEX('Shopify Import'!$A:$CZ,448,Settings!$E$25)&amp;"","$",""),",","")),0)/IF(Settings!$D$27="Yes",G448,1))</f>
        <v/>
      </c>
      <c r="I448" s="11">
        <f>IF(A448="","",IFERROR(VALUE(SUBSTITUTE(SUBSTITUTE(INDEX('Shopify Import'!$A:$CZ,448,Settings!$E$26)&amp;"","$",""),",","")),0)/IF(Settings!$D$27="Yes",G448,1))</f>
        <v/>
      </c>
      <c r="J448" s="11">
        <f>IF(A448="","",F448+H448-I448)</f>
        <v/>
      </c>
      <c r="K448">
        <f>IF(A448="","",IFERROR(IF(B448="",NA(),MATCH(B448,Products!$B$5:$B$204,0)),IFERROR(MATCH(A448,Products!$A$5:$A$204,0),"")))</f>
        <v/>
      </c>
      <c r="L448">
        <f>IF(A448="","",IF(K448="","⚠ not in Products",INDEX(Products!$A$5:$A$204,K448)))</f>
        <v/>
      </c>
      <c r="M448" s="11">
        <f>IF(A448="","",J448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448+IFERROR(INDEX(Settings!$D$5:$D$9,MATCH("Shopify",Settings!$A$5:$A$9,0)),0)*D448)</f>
        <v/>
      </c>
      <c r="N448" s="11">
        <f>IF(A448="","",IF(K448="",0,D448*INDEX(Products!$I$5:$I$204,K448)))</f>
        <v/>
      </c>
      <c r="O448" s="11">
        <f>IF(A448="","",IF(K448="",0,J448*INDEX(Products!$H$5:$H$204,K448)))</f>
        <v/>
      </c>
      <c r="P448" s="11">
        <f>IF(A448="","",J448-M448-N448-O448)</f>
        <v/>
      </c>
    </row>
    <row r="449">
      <c r="A449">
        <f>IFERROR(INDEX('Shopify Import'!$A:$CZ,449,Settings!$E$20)&amp;"","")</f>
        <v/>
      </c>
      <c r="B449">
        <f>IFERROR(INDEX('Shopify Import'!$A:$CZ,449,Settings!$E$21)&amp;"","")</f>
        <v/>
      </c>
      <c r="C449">
        <f>IFERROR(INDEX('Shopify Import'!$A:$CZ,449,Settings!$E$22)&amp;"","")</f>
        <v/>
      </c>
      <c r="D449">
        <f>IF(A449="","",IFERROR(VALUE(SUBSTITUTE(SUBSTITUTE(INDEX('Shopify Import'!$A:$CZ,449,Settings!$E$23)&amp;"","$",""),",","")),0))</f>
        <v/>
      </c>
      <c r="E449" s="11">
        <f>IF(A449="","",IFERROR(VALUE(SUBSTITUTE(SUBSTITUTE(INDEX('Shopify Import'!$A:$CZ,449,Settings!$E$24)&amp;"","$",""),",","")),0))</f>
        <v/>
      </c>
      <c r="F449" s="11">
        <f>IF(A449="","",D449*E449)</f>
        <v/>
      </c>
      <c r="G449">
        <f>IF(A449="","",IF(C449="",1,COUNTIF($C$2:$C$1501,C449)))</f>
        <v/>
      </c>
      <c r="H449" s="11">
        <f>IF(A449="","",IFERROR(VALUE(SUBSTITUTE(SUBSTITUTE(INDEX('Shopify Import'!$A:$CZ,449,Settings!$E$25)&amp;"","$",""),",","")),0)/IF(Settings!$D$27="Yes",G449,1))</f>
        <v/>
      </c>
      <c r="I449" s="11">
        <f>IF(A449="","",IFERROR(VALUE(SUBSTITUTE(SUBSTITUTE(INDEX('Shopify Import'!$A:$CZ,449,Settings!$E$26)&amp;"","$",""),",","")),0)/IF(Settings!$D$27="Yes",G449,1))</f>
        <v/>
      </c>
      <c r="J449" s="11">
        <f>IF(A449="","",F449+H449-I449)</f>
        <v/>
      </c>
      <c r="K449">
        <f>IF(A449="","",IFERROR(IF(B449="",NA(),MATCH(B449,Products!$B$5:$B$204,0)),IFERROR(MATCH(A449,Products!$A$5:$A$204,0),"")))</f>
        <v/>
      </c>
      <c r="L449">
        <f>IF(A449="","",IF(K449="","⚠ not in Products",INDEX(Products!$A$5:$A$204,K449)))</f>
        <v/>
      </c>
      <c r="M449" s="11">
        <f>IF(A449="","",J449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449+IFERROR(INDEX(Settings!$D$5:$D$9,MATCH("Shopify",Settings!$A$5:$A$9,0)),0)*D449)</f>
        <v/>
      </c>
      <c r="N449" s="11">
        <f>IF(A449="","",IF(K449="",0,D449*INDEX(Products!$I$5:$I$204,K449)))</f>
        <v/>
      </c>
      <c r="O449" s="11">
        <f>IF(A449="","",IF(K449="",0,J449*INDEX(Products!$H$5:$H$204,K449)))</f>
        <v/>
      </c>
      <c r="P449" s="11">
        <f>IF(A449="","",J449-M449-N449-O449)</f>
        <v/>
      </c>
    </row>
    <row r="450">
      <c r="A450">
        <f>IFERROR(INDEX('Shopify Import'!$A:$CZ,450,Settings!$E$20)&amp;"","")</f>
        <v/>
      </c>
      <c r="B450">
        <f>IFERROR(INDEX('Shopify Import'!$A:$CZ,450,Settings!$E$21)&amp;"","")</f>
        <v/>
      </c>
      <c r="C450">
        <f>IFERROR(INDEX('Shopify Import'!$A:$CZ,450,Settings!$E$22)&amp;"","")</f>
        <v/>
      </c>
      <c r="D450">
        <f>IF(A450="","",IFERROR(VALUE(SUBSTITUTE(SUBSTITUTE(INDEX('Shopify Import'!$A:$CZ,450,Settings!$E$23)&amp;"","$",""),",","")),0))</f>
        <v/>
      </c>
      <c r="E450" s="11">
        <f>IF(A450="","",IFERROR(VALUE(SUBSTITUTE(SUBSTITUTE(INDEX('Shopify Import'!$A:$CZ,450,Settings!$E$24)&amp;"","$",""),",","")),0))</f>
        <v/>
      </c>
      <c r="F450" s="11">
        <f>IF(A450="","",D450*E450)</f>
        <v/>
      </c>
      <c r="G450">
        <f>IF(A450="","",IF(C450="",1,COUNTIF($C$2:$C$1501,C450)))</f>
        <v/>
      </c>
      <c r="H450" s="11">
        <f>IF(A450="","",IFERROR(VALUE(SUBSTITUTE(SUBSTITUTE(INDEX('Shopify Import'!$A:$CZ,450,Settings!$E$25)&amp;"","$",""),",","")),0)/IF(Settings!$D$27="Yes",G450,1))</f>
        <v/>
      </c>
      <c r="I450" s="11">
        <f>IF(A450="","",IFERROR(VALUE(SUBSTITUTE(SUBSTITUTE(INDEX('Shopify Import'!$A:$CZ,450,Settings!$E$26)&amp;"","$",""),",","")),0)/IF(Settings!$D$27="Yes",G450,1))</f>
        <v/>
      </c>
      <c r="J450" s="11">
        <f>IF(A450="","",F450+H450-I450)</f>
        <v/>
      </c>
      <c r="K450">
        <f>IF(A450="","",IFERROR(IF(B450="",NA(),MATCH(B450,Products!$B$5:$B$204,0)),IFERROR(MATCH(A450,Products!$A$5:$A$204,0),"")))</f>
        <v/>
      </c>
      <c r="L450">
        <f>IF(A450="","",IF(K450="","⚠ not in Products",INDEX(Products!$A$5:$A$204,K450)))</f>
        <v/>
      </c>
      <c r="M450" s="11">
        <f>IF(A450="","",J450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450+IFERROR(INDEX(Settings!$D$5:$D$9,MATCH("Shopify",Settings!$A$5:$A$9,0)),0)*D450)</f>
        <v/>
      </c>
      <c r="N450" s="11">
        <f>IF(A450="","",IF(K450="",0,D450*INDEX(Products!$I$5:$I$204,K450)))</f>
        <v/>
      </c>
      <c r="O450" s="11">
        <f>IF(A450="","",IF(K450="",0,J450*INDEX(Products!$H$5:$H$204,K450)))</f>
        <v/>
      </c>
      <c r="P450" s="11">
        <f>IF(A450="","",J450-M450-N450-O450)</f>
        <v/>
      </c>
    </row>
    <row r="451">
      <c r="A451">
        <f>IFERROR(INDEX('Shopify Import'!$A:$CZ,451,Settings!$E$20)&amp;"","")</f>
        <v/>
      </c>
      <c r="B451">
        <f>IFERROR(INDEX('Shopify Import'!$A:$CZ,451,Settings!$E$21)&amp;"","")</f>
        <v/>
      </c>
      <c r="C451">
        <f>IFERROR(INDEX('Shopify Import'!$A:$CZ,451,Settings!$E$22)&amp;"","")</f>
        <v/>
      </c>
      <c r="D451">
        <f>IF(A451="","",IFERROR(VALUE(SUBSTITUTE(SUBSTITUTE(INDEX('Shopify Import'!$A:$CZ,451,Settings!$E$23)&amp;"","$",""),",","")),0))</f>
        <v/>
      </c>
      <c r="E451" s="11">
        <f>IF(A451="","",IFERROR(VALUE(SUBSTITUTE(SUBSTITUTE(INDEX('Shopify Import'!$A:$CZ,451,Settings!$E$24)&amp;"","$",""),",","")),0))</f>
        <v/>
      </c>
      <c r="F451" s="11">
        <f>IF(A451="","",D451*E451)</f>
        <v/>
      </c>
      <c r="G451">
        <f>IF(A451="","",IF(C451="",1,COUNTIF($C$2:$C$1501,C451)))</f>
        <v/>
      </c>
      <c r="H451" s="11">
        <f>IF(A451="","",IFERROR(VALUE(SUBSTITUTE(SUBSTITUTE(INDEX('Shopify Import'!$A:$CZ,451,Settings!$E$25)&amp;"","$",""),",","")),0)/IF(Settings!$D$27="Yes",G451,1))</f>
        <v/>
      </c>
      <c r="I451" s="11">
        <f>IF(A451="","",IFERROR(VALUE(SUBSTITUTE(SUBSTITUTE(INDEX('Shopify Import'!$A:$CZ,451,Settings!$E$26)&amp;"","$",""),",","")),0)/IF(Settings!$D$27="Yes",G451,1))</f>
        <v/>
      </c>
      <c r="J451" s="11">
        <f>IF(A451="","",F451+H451-I451)</f>
        <v/>
      </c>
      <c r="K451">
        <f>IF(A451="","",IFERROR(IF(B451="",NA(),MATCH(B451,Products!$B$5:$B$204,0)),IFERROR(MATCH(A451,Products!$A$5:$A$204,0),"")))</f>
        <v/>
      </c>
      <c r="L451">
        <f>IF(A451="","",IF(K451="","⚠ not in Products",INDEX(Products!$A$5:$A$204,K451)))</f>
        <v/>
      </c>
      <c r="M451" s="11">
        <f>IF(A451="","",J451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451+IFERROR(INDEX(Settings!$D$5:$D$9,MATCH("Shopify",Settings!$A$5:$A$9,0)),0)*D451)</f>
        <v/>
      </c>
      <c r="N451" s="11">
        <f>IF(A451="","",IF(K451="",0,D451*INDEX(Products!$I$5:$I$204,K451)))</f>
        <v/>
      </c>
      <c r="O451" s="11">
        <f>IF(A451="","",IF(K451="",0,J451*INDEX(Products!$H$5:$H$204,K451)))</f>
        <v/>
      </c>
      <c r="P451" s="11">
        <f>IF(A451="","",J451-M451-N451-O451)</f>
        <v/>
      </c>
    </row>
    <row r="452">
      <c r="A452">
        <f>IFERROR(INDEX('Shopify Import'!$A:$CZ,452,Settings!$E$20)&amp;"","")</f>
        <v/>
      </c>
      <c r="B452">
        <f>IFERROR(INDEX('Shopify Import'!$A:$CZ,452,Settings!$E$21)&amp;"","")</f>
        <v/>
      </c>
      <c r="C452">
        <f>IFERROR(INDEX('Shopify Import'!$A:$CZ,452,Settings!$E$22)&amp;"","")</f>
        <v/>
      </c>
      <c r="D452">
        <f>IF(A452="","",IFERROR(VALUE(SUBSTITUTE(SUBSTITUTE(INDEX('Shopify Import'!$A:$CZ,452,Settings!$E$23)&amp;"","$",""),",","")),0))</f>
        <v/>
      </c>
      <c r="E452" s="11">
        <f>IF(A452="","",IFERROR(VALUE(SUBSTITUTE(SUBSTITUTE(INDEX('Shopify Import'!$A:$CZ,452,Settings!$E$24)&amp;"","$",""),",","")),0))</f>
        <v/>
      </c>
      <c r="F452" s="11">
        <f>IF(A452="","",D452*E452)</f>
        <v/>
      </c>
      <c r="G452">
        <f>IF(A452="","",IF(C452="",1,COUNTIF($C$2:$C$1501,C452)))</f>
        <v/>
      </c>
      <c r="H452" s="11">
        <f>IF(A452="","",IFERROR(VALUE(SUBSTITUTE(SUBSTITUTE(INDEX('Shopify Import'!$A:$CZ,452,Settings!$E$25)&amp;"","$",""),",","")),0)/IF(Settings!$D$27="Yes",G452,1))</f>
        <v/>
      </c>
      <c r="I452" s="11">
        <f>IF(A452="","",IFERROR(VALUE(SUBSTITUTE(SUBSTITUTE(INDEX('Shopify Import'!$A:$CZ,452,Settings!$E$26)&amp;"","$",""),",","")),0)/IF(Settings!$D$27="Yes",G452,1))</f>
        <v/>
      </c>
      <c r="J452" s="11">
        <f>IF(A452="","",F452+H452-I452)</f>
        <v/>
      </c>
      <c r="K452">
        <f>IF(A452="","",IFERROR(IF(B452="",NA(),MATCH(B452,Products!$B$5:$B$204,0)),IFERROR(MATCH(A452,Products!$A$5:$A$204,0),"")))</f>
        <v/>
      </c>
      <c r="L452">
        <f>IF(A452="","",IF(K452="","⚠ not in Products",INDEX(Products!$A$5:$A$204,K452)))</f>
        <v/>
      </c>
      <c r="M452" s="11">
        <f>IF(A452="","",J452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452+IFERROR(INDEX(Settings!$D$5:$D$9,MATCH("Shopify",Settings!$A$5:$A$9,0)),0)*D452)</f>
        <v/>
      </c>
      <c r="N452" s="11">
        <f>IF(A452="","",IF(K452="",0,D452*INDEX(Products!$I$5:$I$204,K452)))</f>
        <v/>
      </c>
      <c r="O452" s="11">
        <f>IF(A452="","",IF(K452="",0,J452*INDEX(Products!$H$5:$H$204,K452)))</f>
        <v/>
      </c>
      <c r="P452" s="11">
        <f>IF(A452="","",J452-M452-N452-O452)</f>
        <v/>
      </c>
    </row>
    <row r="453">
      <c r="A453">
        <f>IFERROR(INDEX('Shopify Import'!$A:$CZ,453,Settings!$E$20)&amp;"","")</f>
        <v/>
      </c>
      <c r="B453">
        <f>IFERROR(INDEX('Shopify Import'!$A:$CZ,453,Settings!$E$21)&amp;"","")</f>
        <v/>
      </c>
      <c r="C453">
        <f>IFERROR(INDEX('Shopify Import'!$A:$CZ,453,Settings!$E$22)&amp;"","")</f>
        <v/>
      </c>
      <c r="D453">
        <f>IF(A453="","",IFERROR(VALUE(SUBSTITUTE(SUBSTITUTE(INDEX('Shopify Import'!$A:$CZ,453,Settings!$E$23)&amp;"","$",""),",","")),0))</f>
        <v/>
      </c>
      <c r="E453" s="11">
        <f>IF(A453="","",IFERROR(VALUE(SUBSTITUTE(SUBSTITUTE(INDEX('Shopify Import'!$A:$CZ,453,Settings!$E$24)&amp;"","$",""),",","")),0))</f>
        <v/>
      </c>
      <c r="F453" s="11">
        <f>IF(A453="","",D453*E453)</f>
        <v/>
      </c>
      <c r="G453">
        <f>IF(A453="","",IF(C453="",1,COUNTIF($C$2:$C$1501,C453)))</f>
        <v/>
      </c>
      <c r="H453" s="11">
        <f>IF(A453="","",IFERROR(VALUE(SUBSTITUTE(SUBSTITUTE(INDEX('Shopify Import'!$A:$CZ,453,Settings!$E$25)&amp;"","$",""),",","")),0)/IF(Settings!$D$27="Yes",G453,1))</f>
        <v/>
      </c>
      <c r="I453" s="11">
        <f>IF(A453="","",IFERROR(VALUE(SUBSTITUTE(SUBSTITUTE(INDEX('Shopify Import'!$A:$CZ,453,Settings!$E$26)&amp;"","$",""),",","")),0)/IF(Settings!$D$27="Yes",G453,1))</f>
        <v/>
      </c>
      <c r="J453" s="11">
        <f>IF(A453="","",F453+H453-I453)</f>
        <v/>
      </c>
      <c r="K453">
        <f>IF(A453="","",IFERROR(IF(B453="",NA(),MATCH(B453,Products!$B$5:$B$204,0)),IFERROR(MATCH(A453,Products!$A$5:$A$204,0),"")))</f>
        <v/>
      </c>
      <c r="L453">
        <f>IF(A453="","",IF(K453="","⚠ not in Products",INDEX(Products!$A$5:$A$204,K453)))</f>
        <v/>
      </c>
      <c r="M453" s="11">
        <f>IF(A453="","",J453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453+IFERROR(INDEX(Settings!$D$5:$D$9,MATCH("Shopify",Settings!$A$5:$A$9,0)),0)*D453)</f>
        <v/>
      </c>
      <c r="N453" s="11">
        <f>IF(A453="","",IF(K453="",0,D453*INDEX(Products!$I$5:$I$204,K453)))</f>
        <v/>
      </c>
      <c r="O453" s="11">
        <f>IF(A453="","",IF(K453="",0,J453*INDEX(Products!$H$5:$H$204,K453)))</f>
        <v/>
      </c>
      <c r="P453" s="11">
        <f>IF(A453="","",J453-M453-N453-O453)</f>
        <v/>
      </c>
    </row>
    <row r="454">
      <c r="A454">
        <f>IFERROR(INDEX('Shopify Import'!$A:$CZ,454,Settings!$E$20)&amp;"","")</f>
        <v/>
      </c>
      <c r="B454">
        <f>IFERROR(INDEX('Shopify Import'!$A:$CZ,454,Settings!$E$21)&amp;"","")</f>
        <v/>
      </c>
      <c r="C454">
        <f>IFERROR(INDEX('Shopify Import'!$A:$CZ,454,Settings!$E$22)&amp;"","")</f>
        <v/>
      </c>
      <c r="D454">
        <f>IF(A454="","",IFERROR(VALUE(SUBSTITUTE(SUBSTITUTE(INDEX('Shopify Import'!$A:$CZ,454,Settings!$E$23)&amp;"","$",""),",","")),0))</f>
        <v/>
      </c>
      <c r="E454" s="11">
        <f>IF(A454="","",IFERROR(VALUE(SUBSTITUTE(SUBSTITUTE(INDEX('Shopify Import'!$A:$CZ,454,Settings!$E$24)&amp;"","$",""),",","")),0))</f>
        <v/>
      </c>
      <c r="F454" s="11">
        <f>IF(A454="","",D454*E454)</f>
        <v/>
      </c>
      <c r="G454">
        <f>IF(A454="","",IF(C454="",1,COUNTIF($C$2:$C$1501,C454)))</f>
        <v/>
      </c>
      <c r="H454" s="11">
        <f>IF(A454="","",IFERROR(VALUE(SUBSTITUTE(SUBSTITUTE(INDEX('Shopify Import'!$A:$CZ,454,Settings!$E$25)&amp;"","$",""),",","")),0)/IF(Settings!$D$27="Yes",G454,1))</f>
        <v/>
      </c>
      <c r="I454" s="11">
        <f>IF(A454="","",IFERROR(VALUE(SUBSTITUTE(SUBSTITUTE(INDEX('Shopify Import'!$A:$CZ,454,Settings!$E$26)&amp;"","$",""),",","")),0)/IF(Settings!$D$27="Yes",G454,1))</f>
        <v/>
      </c>
      <c r="J454" s="11">
        <f>IF(A454="","",F454+H454-I454)</f>
        <v/>
      </c>
      <c r="K454">
        <f>IF(A454="","",IFERROR(IF(B454="",NA(),MATCH(B454,Products!$B$5:$B$204,0)),IFERROR(MATCH(A454,Products!$A$5:$A$204,0),"")))</f>
        <v/>
      </c>
      <c r="L454">
        <f>IF(A454="","",IF(K454="","⚠ not in Products",INDEX(Products!$A$5:$A$204,K454)))</f>
        <v/>
      </c>
      <c r="M454" s="11">
        <f>IF(A454="","",J454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454+IFERROR(INDEX(Settings!$D$5:$D$9,MATCH("Shopify",Settings!$A$5:$A$9,0)),0)*D454)</f>
        <v/>
      </c>
      <c r="N454" s="11">
        <f>IF(A454="","",IF(K454="",0,D454*INDEX(Products!$I$5:$I$204,K454)))</f>
        <v/>
      </c>
      <c r="O454" s="11">
        <f>IF(A454="","",IF(K454="",0,J454*INDEX(Products!$H$5:$H$204,K454)))</f>
        <v/>
      </c>
      <c r="P454" s="11">
        <f>IF(A454="","",J454-M454-N454-O454)</f>
        <v/>
      </c>
    </row>
    <row r="455">
      <c r="A455">
        <f>IFERROR(INDEX('Shopify Import'!$A:$CZ,455,Settings!$E$20)&amp;"","")</f>
        <v/>
      </c>
      <c r="B455">
        <f>IFERROR(INDEX('Shopify Import'!$A:$CZ,455,Settings!$E$21)&amp;"","")</f>
        <v/>
      </c>
      <c r="C455">
        <f>IFERROR(INDEX('Shopify Import'!$A:$CZ,455,Settings!$E$22)&amp;"","")</f>
        <v/>
      </c>
      <c r="D455">
        <f>IF(A455="","",IFERROR(VALUE(SUBSTITUTE(SUBSTITUTE(INDEX('Shopify Import'!$A:$CZ,455,Settings!$E$23)&amp;"","$",""),",","")),0))</f>
        <v/>
      </c>
      <c r="E455" s="11">
        <f>IF(A455="","",IFERROR(VALUE(SUBSTITUTE(SUBSTITUTE(INDEX('Shopify Import'!$A:$CZ,455,Settings!$E$24)&amp;"","$",""),",","")),0))</f>
        <v/>
      </c>
      <c r="F455" s="11">
        <f>IF(A455="","",D455*E455)</f>
        <v/>
      </c>
      <c r="G455">
        <f>IF(A455="","",IF(C455="",1,COUNTIF($C$2:$C$1501,C455)))</f>
        <v/>
      </c>
      <c r="H455" s="11">
        <f>IF(A455="","",IFERROR(VALUE(SUBSTITUTE(SUBSTITUTE(INDEX('Shopify Import'!$A:$CZ,455,Settings!$E$25)&amp;"","$",""),",","")),0)/IF(Settings!$D$27="Yes",G455,1))</f>
        <v/>
      </c>
      <c r="I455" s="11">
        <f>IF(A455="","",IFERROR(VALUE(SUBSTITUTE(SUBSTITUTE(INDEX('Shopify Import'!$A:$CZ,455,Settings!$E$26)&amp;"","$",""),",","")),0)/IF(Settings!$D$27="Yes",G455,1))</f>
        <v/>
      </c>
      <c r="J455" s="11">
        <f>IF(A455="","",F455+H455-I455)</f>
        <v/>
      </c>
      <c r="K455">
        <f>IF(A455="","",IFERROR(IF(B455="",NA(),MATCH(B455,Products!$B$5:$B$204,0)),IFERROR(MATCH(A455,Products!$A$5:$A$204,0),"")))</f>
        <v/>
      </c>
      <c r="L455">
        <f>IF(A455="","",IF(K455="","⚠ not in Products",INDEX(Products!$A$5:$A$204,K455)))</f>
        <v/>
      </c>
      <c r="M455" s="11">
        <f>IF(A455="","",J455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455+IFERROR(INDEX(Settings!$D$5:$D$9,MATCH("Shopify",Settings!$A$5:$A$9,0)),0)*D455)</f>
        <v/>
      </c>
      <c r="N455" s="11">
        <f>IF(A455="","",IF(K455="",0,D455*INDEX(Products!$I$5:$I$204,K455)))</f>
        <v/>
      </c>
      <c r="O455" s="11">
        <f>IF(A455="","",IF(K455="",0,J455*INDEX(Products!$H$5:$H$204,K455)))</f>
        <v/>
      </c>
      <c r="P455" s="11">
        <f>IF(A455="","",J455-M455-N455-O455)</f>
        <v/>
      </c>
    </row>
    <row r="456">
      <c r="A456">
        <f>IFERROR(INDEX('Shopify Import'!$A:$CZ,456,Settings!$E$20)&amp;"","")</f>
        <v/>
      </c>
      <c r="B456">
        <f>IFERROR(INDEX('Shopify Import'!$A:$CZ,456,Settings!$E$21)&amp;"","")</f>
        <v/>
      </c>
      <c r="C456">
        <f>IFERROR(INDEX('Shopify Import'!$A:$CZ,456,Settings!$E$22)&amp;"","")</f>
        <v/>
      </c>
      <c r="D456">
        <f>IF(A456="","",IFERROR(VALUE(SUBSTITUTE(SUBSTITUTE(INDEX('Shopify Import'!$A:$CZ,456,Settings!$E$23)&amp;"","$",""),",","")),0))</f>
        <v/>
      </c>
      <c r="E456" s="11">
        <f>IF(A456="","",IFERROR(VALUE(SUBSTITUTE(SUBSTITUTE(INDEX('Shopify Import'!$A:$CZ,456,Settings!$E$24)&amp;"","$",""),",","")),0))</f>
        <v/>
      </c>
      <c r="F456" s="11">
        <f>IF(A456="","",D456*E456)</f>
        <v/>
      </c>
      <c r="G456">
        <f>IF(A456="","",IF(C456="",1,COUNTIF($C$2:$C$1501,C456)))</f>
        <v/>
      </c>
      <c r="H456" s="11">
        <f>IF(A456="","",IFERROR(VALUE(SUBSTITUTE(SUBSTITUTE(INDEX('Shopify Import'!$A:$CZ,456,Settings!$E$25)&amp;"","$",""),",","")),0)/IF(Settings!$D$27="Yes",G456,1))</f>
        <v/>
      </c>
      <c r="I456" s="11">
        <f>IF(A456="","",IFERROR(VALUE(SUBSTITUTE(SUBSTITUTE(INDEX('Shopify Import'!$A:$CZ,456,Settings!$E$26)&amp;"","$",""),",","")),0)/IF(Settings!$D$27="Yes",G456,1))</f>
        <v/>
      </c>
      <c r="J456" s="11">
        <f>IF(A456="","",F456+H456-I456)</f>
        <v/>
      </c>
      <c r="K456">
        <f>IF(A456="","",IFERROR(IF(B456="",NA(),MATCH(B456,Products!$B$5:$B$204,0)),IFERROR(MATCH(A456,Products!$A$5:$A$204,0),"")))</f>
        <v/>
      </c>
      <c r="L456">
        <f>IF(A456="","",IF(K456="","⚠ not in Products",INDEX(Products!$A$5:$A$204,K456)))</f>
        <v/>
      </c>
      <c r="M456" s="11">
        <f>IF(A456="","",J456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456+IFERROR(INDEX(Settings!$D$5:$D$9,MATCH("Shopify",Settings!$A$5:$A$9,0)),0)*D456)</f>
        <v/>
      </c>
      <c r="N456" s="11">
        <f>IF(A456="","",IF(K456="",0,D456*INDEX(Products!$I$5:$I$204,K456)))</f>
        <v/>
      </c>
      <c r="O456" s="11">
        <f>IF(A456="","",IF(K456="",0,J456*INDEX(Products!$H$5:$H$204,K456)))</f>
        <v/>
      </c>
      <c r="P456" s="11">
        <f>IF(A456="","",J456-M456-N456-O456)</f>
        <v/>
      </c>
    </row>
    <row r="457">
      <c r="A457">
        <f>IFERROR(INDEX('Shopify Import'!$A:$CZ,457,Settings!$E$20)&amp;"","")</f>
        <v/>
      </c>
      <c r="B457">
        <f>IFERROR(INDEX('Shopify Import'!$A:$CZ,457,Settings!$E$21)&amp;"","")</f>
        <v/>
      </c>
      <c r="C457">
        <f>IFERROR(INDEX('Shopify Import'!$A:$CZ,457,Settings!$E$22)&amp;"","")</f>
        <v/>
      </c>
      <c r="D457">
        <f>IF(A457="","",IFERROR(VALUE(SUBSTITUTE(SUBSTITUTE(INDEX('Shopify Import'!$A:$CZ,457,Settings!$E$23)&amp;"","$",""),",","")),0))</f>
        <v/>
      </c>
      <c r="E457" s="11">
        <f>IF(A457="","",IFERROR(VALUE(SUBSTITUTE(SUBSTITUTE(INDEX('Shopify Import'!$A:$CZ,457,Settings!$E$24)&amp;"","$",""),",","")),0))</f>
        <v/>
      </c>
      <c r="F457" s="11">
        <f>IF(A457="","",D457*E457)</f>
        <v/>
      </c>
      <c r="G457">
        <f>IF(A457="","",IF(C457="",1,COUNTIF($C$2:$C$1501,C457)))</f>
        <v/>
      </c>
      <c r="H457" s="11">
        <f>IF(A457="","",IFERROR(VALUE(SUBSTITUTE(SUBSTITUTE(INDEX('Shopify Import'!$A:$CZ,457,Settings!$E$25)&amp;"","$",""),",","")),0)/IF(Settings!$D$27="Yes",G457,1))</f>
        <v/>
      </c>
      <c r="I457" s="11">
        <f>IF(A457="","",IFERROR(VALUE(SUBSTITUTE(SUBSTITUTE(INDEX('Shopify Import'!$A:$CZ,457,Settings!$E$26)&amp;"","$",""),",","")),0)/IF(Settings!$D$27="Yes",G457,1))</f>
        <v/>
      </c>
      <c r="J457" s="11">
        <f>IF(A457="","",F457+H457-I457)</f>
        <v/>
      </c>
      <c r="K457">
        <f>IF(A457="","",IFERROR(IF(B457="",NA(),MATCH(B457,Products!$B$5:$B$204,0)),IFERROR(MATCH(A457,Products!$A$5:$A$204,0),"")))</f>
        <v/>
      </c>
      <c r="L457">
        <f>IF(A457="","",IF(K457="","⚠ not in Products",INDEX(Products!$A$5:$A$204,K457)))</f>
        <v/>
      </c>
      <c r="M457" s="11">
        <f>IF(A457="","",J457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457+IFERROR(INDEX(Settings!$D$5:$D$9,MATCH("Shopify",Settings!$A$5:$A$9,0)),0)*D457)</f>
        <v/>
      </c>
      <c r="N457" s="11">
        <f>IF(A457="","",IF(K457="",0,D457*INDEX(Products!$I$5:$I$204,K457)))</f>
        <v/>
      </c>
      <c r="O457" s="11">
        <f>IF(A457="","",IF(K457="",0,J457*INDEX(Products!$H$5:$H$204,K457)))</f>
        <v/>
      </c>
      <c r="P457" s="11">
        <f>IF(A457="","",J457-M457-N457-O457)</f>
        <v/>
      </c>
    </row>
    <row r="458">
      <c r="A458">
        <f>IFERROR(INDEX('Shopify Import'!$A:$CZ,458,Settings!$E$20)&amp;"","")</f>
        <v/>
      </c>
      <c r="B458">
        <f>IFERROR(INDEX('Shopify Import'!$A:$CZ,458,Settings!$E$21)&amp;"","")</f>
        <v/>
      </c>
      <c r="C458">
        <f>IFERROR(INDEX('Shopify Import'!$A:$CZ,458,Settings!$E$22)&amp;"","")</f>
        <v/>
      </c>
      <c r="D458">
        <f>IF(A458="","",IFERROR(VALUE(SUBSTITUTE(SUBSTITUTE(INDEX('Shopify Import'!$A:$CZ,458,Settings!$E$23)&amp;"","$",""),",","")),0))</f>
        <v/>
      </c>
      <c r="E458" s="11">
        <f>IF(A458="","",IFERROR(VALUE(SUBSTITUTE(SUBSTITUTE(INDEX('Shopify Import'!$A:$CZ,458,Settings!$E$24)&amp;"","$",""),",","")),0))</f>
        <v/>
      </c>
      <c r="F458" s="11">
        <f>IF(A458="","",D458*E458)</f>
        <v/>
      </c>
      <c r="G458">
        <f>IF(A458="","",IF(C458="",1,COUNTIF($C$2:$C$1501,C458)))</f>
        <v/>
      </c>
      <c r="H458" s="11">
        <f>IF(A458="","",IFERROR(VALUE(SUBSTITUTE(SUBSTITUTE(INDEX('Shopify Import'!$A:$CZ,458,Settings!$E$25)&amp;"","$",""),",","")),0)/IF(Settings!$D$27="Yes",G458,1))</f>
        <v/>
      </c>
      <c r="I458" s="11">
        <f>IF(A458="","",IFERROR(VALUE(SUBSTITUTE(SUBSTITUTE(INDEX('Shopify Import'!$A:$CZ,458,Settings!$E$26)&amp;"","$",""),",","")),0)/IF(Settings!$D$27="Yes",G458,1))</f>
        <v/>
      </c>
      <c r="J458" s="11">
        <f>IF(A458="","",F458+H458-I458)</f>
        <v/>
      </c>
      <c r="K458">
        <f>IF(A458="","",IFERROR(IF(B458="",NA(),MATCH(B458,Products!$B$5:$B$204,0)),IFERROR(MATCH(A458,Products!$A$5:$A$204,0),"")))</f>
        <v/>
      </c>
      <c r="L458">
        <f>IF(A458="","",IF(K458="","⚠ not in Products",INDEX(Products!$A$5:$A$204,K458)))</f>
        <v/>
      </c>
      <c r="M458" s="11">
        <f>IF(A458="","",J458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458+IFERROR(INDEX(Settings!$D$5:$D$9,MATCH("Shopify",Settings!$A$5:$A$9,0)),0)*D458)</f>
        <v/>
      </c>
      <c r="N458" s="11">
        <f>IF(A458="","",IF(K458="",0,D458*INDEX(Products!$I$5:$I$204,K458)))</f>
        <v/>
      </c>
      <c r="O458" s="11">
        <f>IF(A458="","",IF(K458="",0,J458*INDEX(Products!$H$5:$H$204,K458)))</f>
        <v/>
      </c>
      <c r="P458" s="11">
        <f>IF(A458="","",J458-M458-N458-O458)</f>
        <v/>
      </c>
    </row>
    <row r="459">
      <c r="A459">
        <f>IFERROR(INDEX('Shopify Import'!$A:$CZ,459,Settings!$E$20)&amp;"","")</f>
        <v/>
      </c>
      <c r="B459">
        <f>IFERROR(INDEX('Shopify Import'!$A:$CZ,459,Settings!$E$21)&amp;"","")</f>
        <v/>
      </c>
      <c r="C459">
        <f>IFERROR(INDEX('Shopify Import'!$A:$CZ,459,Settings!$E$22)&amp;"","")</f>
        <v/>
      </c>
      <c r="D459">
        <f>IF(A459="","",IFERROR(VALUE(SUBSTITUTE(SUBSTITUTE(INDEX('Shopify Import'!$A:$CZ,459,Settings!$E$23)&amp;"","$",""),",","")),0))</f>
        <v/>
      </c>
      <c r="E459" s="11">
        <f>IF(A459="","",IFERROR(VALUE(SUBSTITUTE(SUBSTITUTE(INDEX('Shopify Import'!$A:$CZ,459,Settings!$E$24)&amp;"","$",""),",","")),0))</f>
        <v/>
      </c>
      <c r="F459" s="11">
        <f>IF(A459="","",D459*E459)</f>
        <v/>
      </c>
      <c r="G459">
        <f>IF(A459="","",IF(C459="",1,COUNTIF($C$2:$C$1501,C459)))</f>
        <v/>
      </c>
      <c r="H459" s="11">
        <f>IF(A459="","",IFERROR(VALUE(SUBSTITUTE(SUBSTITUTE(INDEX('Shopify Import'!$A:$CZ,459,Settings!$E$25)&amp;"","$",""),",","")),0)/IF(Settings!$D$27="Yes",G459,1))</f>
        <v/>
      </c>
      <c r="I459" s="11">
        <f>IF(A459="","",IFERROR(VALUE(SUBSTITUTE(SUBSTITUTE(INDEX('Shopify Import'!$A:$CZ,459,Settings!$E$26)&amp;"","$",""),",","")),0)/IF(Settings!$D$27="Yes",G459,1))</f>
        <v/>
      </c>
      <c r="J459" s="11">
        <f>IF(A459="","",F459+H459-I459)</f>
        <v/>
      </c>
      <c r="K459">
        <f>IF(A459="","",IFERROR(IF(B459="",NA(),MATCH(B459,Products!$B$5:$B$204,0)),IFERROR(MATCH(A459,Products!$A$5:$A$204,0),"")))</f>
        <v/>
      </c>
      <c r="L459">
        <f>IF(A459="","",IF(K459="","⚠ not in Products",INDEX(Products!$A$5:$A$204,K459)))</f>
        <v/>
      </c>
      <c r="M459" s="11">
        <f>IF(A459="","",J459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459+IFERROR(INDEX(Settings!$D$5:$D$9,MATCH("Shopify",Settings!$A$5:$A$9,0)),0)*D459)</f>
        <v/>
      </c>
      <c r="N459" s="11">
        <f>IF(A459="","",IF(K459="",0,D459*INDEX(Products!$I$5:$I$204,K459)))</f>
        <v/>
      </c>
      <c r="O459" s="11">
        <f>IF(A459="","",IF(K459="",0,J459*INDEX(Products!$H$5:$H$204,K459)))</f>
        <v/>
      </c>
      <c r="P459" s="11">
        <f>IF(A459="","",J459-M459-N459-O459)</f>
        <v/>
      </c>
    </row>
    <row r="460">
      <c r="A460">
        <f>IFERROR(INDEX('Shopify Import'!$A:$CZ,460,Settings!$E$20)&amp;"","")</f>
        <v/>
      </c>
      <c r="B460">
        <f>IFERROR(INDEX('Shopify Import'!$A:$CZ,460,Settings!$E$21)&amp;"","")</f>
        <v/>
      </c>
      <c r="C460">
        <f>IFERROR(INDEX('Shopify Import'!$A:$CZ,460,Settings!$E$22)&amp;"","")</f>
        <v/>
      </c>
      <c r="D460">
        <f>IF(A460="","",IFERROR(VALUE(SUBSTITUTE(SUBSTITUTE(INDEX('Shopify Import'!$A:$CZ,460,Settings!$E$23)&amp;"","$",""),",","")),0))</f>
        <v/>
      </c>
      <c r="E460" s="11">
        <f>IF(A460="","",IFERROR(VALUE(SUBSTITUTE(SUBSTITUTE(INDEX('Shopify Import'!$A:$CZ,460,Settings!$E$24)&amp;"","$",""),",","")),0))</f>
        <v/>
      </c>
      <c r="F460" s="11">
        <f>IF(A460="","",D460*E460)</f>
        <v/>
      </c>
      <c r="G460">
        <f>IF(A460="","",IF(C460="",1,COUNTIF($C$2:$C$1501,C460)))</f>
        <v/>
      </c>
      <c r="H460" s="11">
        <f>IF(A460="","",IFERROR(VALUE(SUBSTITUTE(SUBSTITUTE(INDEX('Shopify Import'!$A:$CZ,460,Settings!$E$25)&amp;"","$",""),",","")),0)/IF(Settings!$D$27="Yes",G460,1))</f>
        <v/>
      </c>
      <c r="I460" s="11">
        <f>IF(A460="","",IFERROR(VALUE(SUBSTITUTE(SUBSTITUTE(INDEX('Shopify Import'!$A:$CZ,460,Settings!$E$26)&amp;"","$",""),",","")),0)/IF(Settings!$D$27="Yes",G460,1))</f>
        <v/>
      </c>
      <c r="J460" s="11">
        <f>IF(A460="","",F460+H460-I460)</f>
        <v/>
      </c>
      <c r="K460">
        <f>IF(A460="","",IFERROR(IF(B460="",NA(),MATCH(B460,Products!$B$5:$B$204,0)),IFERROR(MATCH(A460,Products!$A$5:$A$204,0),"")))</f>
        <v/>
      </c>
      <c r="L460">
        <f>IF(A460="","",IF(K460="","⚠ not in Products",INDEX(Products!$A$5:$A$204,K460)))</f>
        <v/>
      </c>
      <c r="M460" s="11">
        <f>IF(A460="","",J460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460+IFERROR(INDEX(Settings!$D$5:$D$9,MATCH("Shopify",Settings!$A$5:$A$9,0)),0)*D460)</f>
        <v/>
      </c>
      <c r="N460" s="11">
        <f>IF(A460="","",IF(K460="",0,D460*INDEX(Products!$I$5:$I$204,K460)))</f>
        <v/>
      </c>
      <c r="O460" s="11">
        <f>IF(A460="","",IF(K460="",0,J460*INDEX(Products!$H$5:$H$204,K460)))</f>
        <v/>
      </c>
      <c r="P460" s="11">
        <f>IF(A460="","",J460-M460-N460-O460)</f>
        <v/>
      </c>
    </row>
    <row r="461">
      <c r="A461">
        <f>IFERROR(INDEX('Shopify Import'!$A:$CZ,461,Settings!$E$20)&amp;"","")</f>
        <v/>
      </c>
      <c r="B461">
        <f>IFERROR(INDEX('Shopify Import'!$A:$CZ,461,Settings!$E$21)&amp;"","")</f>
        <v/>
      </c>
      <c r="C461">
        <f>IFERROR(INDEX('Shopify Import'!$A:$CZ,461,Settings!$E$22)&amp;"","")</f>
        <v/>
      </c>
      <c r="D461">
        <f>IF(A461="","",IFERROR(VALUE(SUBSTITUTE(SUBSTITUTE(INDEX('Shopify Import'!$A:$CZ,461,Settings!$E$23)&amp;"","$",""),",","")),0))</f>
        <v/>
      </c>
      <c r="E461" s="11">
        <f>IF(A461="","",IFERROR(VALUE(SUBSTITUTE(SUBSTITUTE(INDEX('Shopify Import'!$A:$CZ,461,Settings!$E$24)&amp;"","$",""),",","")),0))</f>
        <v/>
      </c>
      <c r="F461" s="11">
        <f>IF(A461="","",D461*E461)</f>
        <v/>
      </c>
      <c r="G461">
        <f>IF(A461="","",IF(C461="",1,COUNTIF($C$2:$C$1501,C461)))</f>
        <v/>
      </c>
      <c r="H461" s="11">
        <f>IF(A461="","",IFERROR(VALUE(SUBSTITUTE(SUBSTITUTE(INDEX('Shopify Import'!$A:$CZ,461,Settings!$E$25)&amp;"","$",""),",","")),0)/IF(Settings!$D$27="Yes",G461,1))</f>
        <v/>
      </c>
      <c r="I461" s="11">
        <f>IF(A461="","",IFERROR(VALUE(SUBSTITUTE(SUBSTITUTE(INDEX('Shopify Import'!$A:$CZ,461,Settings!$E$26)&amp;"","$",""),",","")),0)/IF(Settings!$D$27="Yes",G461,1))</f>
        <v/>
      </c>
      <c r="J461" s="11">
        <f>IF(A461="","",F461+H461-I461)</f>
        <v/>
      </c>
      <c r="K461">
        <f>IF(A461="","",IFERROR(IF(B461="",NA(),MATCH(B461,Products!$B$5:$B$204,0)),IFERROR(MATCH(A461,Products!$A$5:$A$204,0),"")))</f>
        <v/>
      </c>
      <c r="L461">
        <f>IF(A461="","",IF(K461="","⚠ not in Products",INDEX(Products!$A$5:$A$204,K461)))</f>
        <v/>
      </c>
      <c r="M461" s="11">
        <f>IF(A461="","",J461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461+IFERROR(INDEX(Settings!$D$5:$D$9,MATCH("Shopify",Settings!$A$5:$A$9,0)),0)*D461)</f>
        <v/>
      </c>
      <c r="N461" s="11">
        <f>IF(A461="","",IF(K461="",0,D461*INDEX(Products!$I$5:$I$204,K461)))</f>
        <v/>
      </c>
      <c r="O461" s="11">
        <f>IF(A461="","",IF(K461="",0,J461*INDEX(Products!$H$5:$H$204,K461)))</f>
        <v/>
      </c>
      <c r="P461" s="11">
        <f>IF(A461="","",J461-M461-N461-O461)</f>
        <v/>
      </c>
    </row>
    <row r="462">
      <c r="A462">
        <f>IFERROR(INDEX('Shopify Import'!$A:$CZ,462,Settings!$E$20)&amp;"","")</f>
        <v/>
      </c>
      <c r="B462">
        <f>IFERROR(INDEX('Shopify Import'!$A:$CZ,462,Settings!$E$21)&amp;"","")</f>
        <v/>
      </c>
      <c r="C462">
        <f>IFERROR(INDEX('Shopify Import'!$A:$CZ,462,Settings!$E$22)&amp;"","")</f>
        <v/>
      </c>
      <c r="D462">
        <f>IF(A462="","",IFERROR(VALUE(SUBSTITUTE(SUBSTITUTE(INDEX('Shopify Import'!$A:$CZ,462,Settings!$E$23)&amp;"","$",""),",","")),0))</f>
        <v/>
      </c>
      <c r="E462" s="11">
        <f>IF(A462="","",IFERROR(VALUE(SUBSTITUTE(SUBSTITUTE(INDEX('Shopify Import'!$A:$CZ,462,Settings!$E$24)&amp;"","$",""),",","")),0))</f>
        <v/>
      </c>
      <c r="F462" s="11">
        <f>IF(A462="","",D462*E462)</f>
        <v/>
      </c>
      <c r="G462">
        <f>IF(A462="","",IF(C462="",1,COUNTIF($C$2:$C$1501,C462)))</f>
        <v/>
      </c>
      <c r="H462" s="11">
        <f>IF(A462="","",IFERROR(VALUE(SUBSTITUTE(SUBSTITUTE(INDEX('Shopify Import'!$A:$CZ,462,Settings!$E$25)&amp;"","$",""),",","")),0)/IF(Settings!$D$27="Yes",G462,1))</f>
        <v/>
      </c>
      <c r="I462" s="11">
        <f>IF(A462="","",IFERROR(VALUE(SUBSTITUTE(SUBSTITUTE(INDEX('Shopify Import'!$A:$CZ,462,Settings!$E$26)&amp;"","$",""),",","")),0)/IF(Settings!$D$27="Yes",G462,1))</f>
        <v/>
      </c>
      <c r="J462" s="11">
        <f>IF(A462="","",F462+H462-I462)</f>
        <v/>
      </c>
      <c r="K462">
        <f>IF(A462="","",IFERROR(IF(B462="",NA(),MATCH(B462,Products!$B$5:$B$204,0)),IFERROR(MATCH(A462,Products!$A$5:$A$204,0),"")))</f>
        <v/>
      </c>
      <c r="L462">
        <f>IF(A462="","",IF(K462="","⚠ not in Products",INDEX(Products!$A$5:$A$204,K462)))</f>
        <v/>
      </c>
      <c r="M462" s="11">
        <f>IF(A462="","",J462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462+IFERROR(INDEX(Settings!$D$5:$D$9,MATCH("Shopify",Settings!$A$5:$A$9,0)),0)*D462)</f>
        <v/>
      </c>
      <c r="N462" s="11">
        <f>IF(A462="","",IF(K462="",0,D462*INDEX(Products!$I$5:$I$204,K462)))</f>
        <v/>
      </c>
      <c r="O462" s="11">
        <f>IF(A462="","",IF(K462="",0,J462*INDEX(Products!$H$5:$H$204,K462)))</f>
        <v/>
      </c>
      <c r="P462" s="11">
        <f>IF(A462="","",J462-M462-N462-O462)</f>
        <v/>
      </c>
    </row>
    <row r="463">
      <c r="A463">
        <f>IFERROR(INDEX('Shopify Import'!$A:$CZ,463,Settings!$E$20)&amp;"","")</f>
        <v/>
      </c>
      <c r="B463">
        <f>IFERROR(INDEX('Shopify Import'!$A:$CZ,463,Settings!$E$21)&amp;"","")</f>
        <v/>
      </c>
      <c r="C463">
        <f>IFERROR(INDEX('Shopify Import'!$A:$CZ,463,Settings!$E$22)&amp;"","")</f>
        <v/>
      </c>
      <c r="D463">
        <f>IF(A463="","",IFERROR(VALUE(SUBSTITUTE(SUBSTITUTE(INDEX('Shopify Import'!$A:$CZ,463,Settings!$E$23)&amp;"","$",""),",","")),0))</f>
        <v/>
      </c>
      <c r="E463" s="11">
        <f>IF(A463="","",IFERROR(VALUE(SUBSTITUTE(SUBSTITUTE(INDEX('Shopify Import'!$A:$CZ,463,Settings!$E$24)&amp;"","$",""),",","")),0))</f>
        <v/>
      </c>
      <c r="F463" s="11">
        <f>IF(A463="","",D463*E463)</f>
        <v/>
      </c>
      <c r="G463">
        <f>IF(A463="","",IF(C463="",1,COUNTIF($C$2:$C$1501,C463)))</f>
        <v/>
      </c>
      <c r="H463" s="11">
        <f>IF(A463="","",IFERROR(VALUE(SUBSTITUTE(SUBSTITUTE(INDEX('Shopify Import'!$A:$CZ,463,Settings!$E$25)&amp;"","$",""),",","")),0)/IF(Settings!$D$27="Yes",G463,1))</f>
        <v/>
      </c>
      <c r="I463" s="11">
        <f>IF(A463="","",IFERROR(VALUE(SUBSTITUTE(SUBSTITUTE(INDEX('Shopify Import'!$A:$CZ,463,Settings!$E$26)&amp;"","$",""),",","")),0)/IF(Settings!$D$27="Yes",G463,1))</f>
        <v/>
      </c>
      <c r="J463" s="11">
        <f>IF(A463="","",F463+H463-I463)</f>
        <v/>
      </c>
      <c r="K463">
        <f>IF(A463="","",IFERROR(IF(B463="",NA(),MATCH(B463,Products!$B$5:$B$204,0)),IFERROR(MATCH(A463,Products!$A$5:$A$204,0),"")))</f>
        <v/>
      </c>
      <c r="L463">
        <f>IF(A463="","",IF(K463="","⚠ not in Products",INDEX(Products!$A$5:$A$204,K463)))</f>
        <v/>
      </c>
      <c r="M463" s="11">
        <f>IF(A463="","",J463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463+IFERROR(INDEX(Settings!$D$5:$D$9,MATCH("Shopify",Settings!$A$5:$A$9,0)),0)*D463)</f>
        <v/>
      </c>
      <c r="N463" s="11">
        <f>IF(A463="","",IF(K463="",0,D463*INDEX(Products!$I$5:$I$204,K463)))</f>
        <v/>
      </c>
      <c r="O463" s="11">
        <f>IF(A463="","",IF(K463="",0,J463*INDEX(Products!$H$5:$H$204,K463)))</f>
        <v/>
      </c>
      <c r="P463" s="11">
        <f>IF(A463="","",J463-M463-N463-O463)</f>
        <v/>
      </c>
    </row>
    <row r="464">
      <c r="A464">
        <f>IFERROR(INDEX('Shopify Import'!$A:$CZ,464,Settings!$E$20)&amp;"","")</f>
        <v/>
      </c>
      <c r="B464">
        <f>IFERROR(INDEX('Shopify Import'!$A:$CZ,464,Settings!$E$21)&amp;"","")</f>
        <v/>
      </c>
      <c r="C464">
        <f>IFERROR(INDEX('Shopify Import'!$A:$CZ,464,Settings!$E$22)&amp;"","")</f>
        <v/>
      </c>
      <c r="D464">
        <f>IF(A464="","",IFERROR(VALUE(SUBSTITUTE(SUBSTITUTE(INDEX('Shopify Import'!$A:$CZ,464,Settings!$E$23)&amp;"","$",""),",","")),0))</f>
        <v/>
      </c>
      <c r="E464" s="11">
        <f>IF(A464="","",IFERROR(VALUE(SUBSTITUTE(SUBSTITUTE(INDEX('Shopify Import'!$A:$CZ,464,Settings!$E$24)&amp;"","$",""),",","")),0))</f>
        <v/>
      </c>
      <c r="F464" s="11">
        <f>IF(A464="","",D464*E464)</f>
        <v/>
      </c>
      <c r="G464">
        <f>IF(A464="","",IF(C464="",1,COUNTIF($C$2:$C$1501,C464)))</f>
        <v/>
      </c>
      <c r="H464" s="11">
        <f>IF(A464="","",IFERROR(VALUE(SUBSTITUTE(SUBSTITUTE(INDEX('Shopify Import'!$A:$CZ,464,Settings!$E$25)&amp;"","$",""),",","")),0)/IF(Settings!$D$27="Yes",G464,1))</f>
        <v/>
      </c>
      <c r="I464" s="11">
        <f>IF(A464="","",IFERROR(VALUE(SUBSTITUTE(SUBSTITUTE(INDEX('Shopify Import'!$A:$CZ,464,Settings!$E$26)&amp;"","$",""),",","")),0)/IF(Settings!$D$27="Yes",G464,1))</f>
        <v/>
      </c>
      <c r="J464" s="11">
        <f>IF(A464="","",F464+H464-I464)</f>
        <v/>
      </c>
      <c r="K464">
        <f>IF(A464="","",IFERROR(IF(B464="",NA(),MATCH(B464,Products!$B$5:$B$204,0)),IFERROR(MATCH(A464,Products!$A$5:$A$204,0),"")))</f>
        <v/>
      </c>
      <c r="L464">
        <f>IF(A464="","",IF(K464="","⚠ not in Products",INDEX(Products!$A$5:$A$204,K464)))</f>
        <v/>
      </c>
      <c r="M464" s="11">
        <f>IF(A464="","",J464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464+IFERROR(INDEX(Settings!$D$5:$D$9,MATCH("Shopify",Settings!$A$5:$A$9,0)),0)*D464)</f>
        <v/>
      </c>
      <c r="N464" s="11">
        <f>IF(A464="","",IF(K464="",0,D464*INDEX(Products!$I$5:$I$204,K464)))</f>
        <v/>
      </c>
      <c r="O464" s="11">
        <f>IF(A464="","",IF(K464="",0,J464*INDEX(Products!$H$5:$H$204,K464)))</f>
        <v/>
      </c>
      <c r="P464" s="11">
        <f>IF(A464="","",J464-M464-N464-O464)</f>
        <v/>
      </c>
    </row>
    <row r="465">
      <c r="A465">
        <f>IFERROR(INDEX('Shopify Import'!$A:$CZ,465,Settings!$E$20)&amp;"","")</f>
        <v/>
      </c>
      <c r="B465">
        <f>IFERROR(INDEX('Shopify Import'!$A:$CZ,465,Settings!$E$21)&amp;"","")</f>
        <v/>
      </c>
      <c r="C465">
        <f>IFERROR(INDEX('Shopify Import'!$A:$CZ,465,Settings!$E$22)&amp;"","")</f>
        <v/>
      </c>
      <c r="D465">
        <f>IF(A465="","",IFERROR(VALUE(SUBSTITUTE(SUBSTITUTE(INDEX('Shopify Import'!$A:$CZ,465,Settings!$E$23)&amp;"","$",""),",","")),0))</f>
        <v/>
      </c>
      <c r="E465" s="11">
        <f>IF(A465="","",IFERROR(VALUE(SUBSTITUTE(SUBSTITUTE(INDEX('Shopify Import'!$A:$CZ,465,Settings!$E$24)&amp;"","$",""),",","")),0))</f>
        <v/>
      </c>
      <c r="F465" s="11">
        <f>IF(A465="","",D465*E465)</f>
        <v/>
      </c>
      <c r="G465">
        <f>IF(A465="","",IF(C465="",1,COUNTIF($C$2:$C$1501,C465)))</f>
        <v/>
      </c>
      <c r="H465" s="11">
        <f>IF(A465="","",IFERROR(VALUE(SUBSTITUTE(SUBSTITUTE(INDEX('Shopify Import'!$A:$CZ,465,Settings!$E$25)&amp;"","$",""),",","")),0)/IF(Settings!$D$27="Yes",G465,1))</f>
        <v/>
      </c>
      <c r="I465" s="11">
        <f>IF(A465="","",IFERROR(VALUE(SUBSTITUTE(SUBSTITUTE(INDEX('Shopify Import'!$A:$CZ,465,Settings!$E$26)&amp;"","$",""),",","")),0)/IF(Settings!$D$27="Yes",G465,1))</f>
        <v/>
      </c>
      <c r="J465" s="11">
        <f>IF(A465="","",F465+H465-I465)</f>
        <v/>
      </c>
      <c r="K465">
        <f>IF(A465="","",IFERROR(IF(B465="",NA(),MATCH(B465,Products!$B$5:$B$204,0)),IFERROR(MATCH(A465,Products!$A$5:$A$204,0),"")))</f>
        <v/>
      </c>
      <c r="L465">
        <f>IF(A465="","",IF(K465="","⚠ not in Products",INDEX(Products!$A$5:$A$204,K465)))</f>
        <v/>
      </c>
      <c r="M465" s="11">
        <f>IF(A465="","",J465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465+IFERROR(INDEX(Settings!$D$5:$D$9,MATCH("Shopify",Settings!$A$5:$A$9,0)),0)*D465)</f>
        <v/>
      </c>
      <c r="N465" s="11">
        <f>IF(A465="","",IF(K465="",0,D465*INDEX(Products!$I$5:$I$204,K465)))</f>
        <v/>
      </c>
      <c r="O465" s="11">
        <f>IF(A465="","",IF(K465="",0,J465*INDEX(Products!$H$5:$H$204,K465)))</f>
        <v/>
      </c>
      <c r="P465" s="11">
        <f>IF(A465="","",J465-M465-N465-O465)</f>
        <v/>
      </c>
    </row>
    <row r="466">
      <c r="A466">
        <f>IFERROR(INDEX('Shopify Import'!$A:$CZ,466,Settings!$E$20)&amp;"","")</f>
        <v/>
      </c>
      <c r="B466">
        <f>IFERROR(INDEX('Shopify Import'!$A:$CZ,466,Settings!$E$21)&amp;"","")</f>
        <v/>
      </c>
      <c r="C466">
        <f>IFERROR(INDEX('Shopify Import'!$A:$CZ,466,Settings!$E$22)&amp;"","")</f>
        <v/>
      </c>
      <c r="D466">
        <f>IF(A466="","",IFERROR(VALUE(SUBSTITUTE(SUBSTITUTE(INDEX('Shopify Import'!$A:$CZ,466,Settings!$E$23)&amp;"","$",""),",","")),0))</f>
        <v/>
      </c>
      <c r="E466" s="11">
        <f>IF(A466="","",IFERROR(VALUE(SUBSTITUTE(SUBSTITUTE(INDEX('Shopify Import'!$A:$CZ,466,Settings!$E$24)&amp;"","$",""),",","")),0))</f>
        <v/>
      </c>
      <c r="F466" s="11">
        <f>IF(A466="","",D466*E466)</f>
        <v/>
      </c>
      <c r="G466">
        <f>IF(A466="","",IF(C466="",1,COUNTIF($C$2:$C$1501,C466)))</f>
        <v/>
      </c>
      <c r="H466" s="11">
        <f>IF(A466="","",IFERROR(VALUE(SUBSTITUTE(SUBSTITUTE(INDEX('Shopify Import'!$A:$CZ,466,Settings!$E$25)&amp;"","$",""),",","")),0)/IF(Settings!$D$27="Yes",G466,1))</f>
        <v/>
      </c>
      <c r="I466" s="11">
        <f>IF(A466="","",IFERROR(VALUE(SUBSTITUTE(SUBSTITUTE(INDEX('Shopify Import'!$A:$CZ,466,Settings!$E$26)&amp;"","$",""),",","")),0)/IF(Settings!$D$27="Yes",G466,1))</f>
        <v/>
      </c>
      <c r="J466" s="11">
        <f>IF(A466="","",F466+H466-I466)</f>
        <v/>
      </c>
      <c r="K466">
        <f>IF(A466="","",IFERROR(IF(B466="",NA(),MATCH(B466,Products!$B$5:$B$204,0)),IFERROR(MATCH(A466,Products!$A$5:$A$204,0),"")))</f>
        <v/>
      </c>
      <c r="L466">
        <f>IF(A466="","",IF(K466="","⚠ not in Products",INDEX(Products!$A$5:$A$204,K466)))</f>
        <v/>
      </c>
      <c r="M466" s="11">
        <f>IF(A466="","",J466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466+IFERROR(INDEX(Settings!$D$5:$D$9,MATCH("Shopify",Settings!$A$5:$A$9,0)),0)*D466)</f>
        <v/>
      </c>
      <c r="N466" s="11">
        <f>IF(A466="","",IF(K466="",0,D466*INDEX(Products!$I$5:$I$204,K466)))</f>
        <v/>
      </c>
      <c r="O466" s="11">
        <f>IF(A466="","",IF(K466="",0,J466*INDEX(Products!$H$5:$H$204,K466)))</f>
        <v/>
      </c>
      <c r="P466" s="11">
        <f>IF(A466="","",J466-M466-N466-O466)</f>
        <v/>
      </c>
    </row>
    <row r="467">
      <c r="A467">
        <f>IFERROR(INDEX('Shopify Import'!$A:$CZ,467,Settings!$E$20)&amp;"","")</f>
        <v/>
      </c>
      <c r="B467">
        <f>IFERROR(INDEX('Shopify Import'!$A:$CZ,467,Settings!$E$21)&amp;"","")</f>
        <v/>
      </c>
      <c r="C467">
        <f>IFERROR(INDEX('Shopify Import'!$A:$CZ,467,Settings!$E$22)&amp;"","")</f>
        <v/>
      </c>
      <c r="D467">
        <f>IF(A467="","",IFERROR(VALUE(SUBSTITUTE(SUBSTITUTE(INDEX('Shopify Import'!$A:$CZ,467,Settings!$E$23)&amp;"","$",""),",","")),0))</f>
        <v/>
      </c>
      <c r="E467" s="11">
        <f>IF(A467="","",IFERROR(VALUE(SUBSTITUTE(SUBSTITUTE(INDEX('Shopify Import'!$A:$CZ,467,Settings!$E$24)&amp;"","$",""),",","")),0))</f>
        <v/>
      </c>
      <c r="F467" s="11">
        <f>IF(A467="","",D467*E467)</f>
        <v/>
      </c>
      <c r="G467">
        <f>IF(A467="","",IF(C467="",1,COUNTIF($C$2:$C$1501,C467)))</f>
        <v/>
      </c>
      <c r="H467" s="11">
        <f>IF(A467="","",IFERROR(VALUE(SUBSTITUTE(SUBSTITUTE(INDEX('Shopify Import'!$A:$CZ,467,Settings!$E$25)&amp;"","$",""),",","")),0)/IF(Settings!$D$27="Yes",G467,1))</f>
        <v/>
      </c>
      <c r="I467" s="11">
        <f>IF(A467="","",IFERROR(VALUE(SUBSTITUTE(SUBSTITUTE(INDEX('Shopify Import'!$A:$CZ,467,Settings!$E$26)&amp;"","$",""),",","")),0)/IF(Settings!$D$27="Yes",G467,1))</f>
        <v/>
      </c>
      <c r="J467" s="11">
        <f>IF(A467="","",F467+H467-I467)</f>
        <v/>
      </c>
      <c r="K467">
        <f>IF(A467="","",IFERROR(IF(B467="",NA(),MATCH(B467,Products!$B$5:$B$204,0)),IFERROR(MATCH(A467,Products!$A$5:$A$204,0),"")))</f>
        <v/>
      </c>
      <c r="L467">
        <f>IF(A467="","",IF(K467="","⚠ not in Products",INDEX(Products!$A$5:$A$204,K467)))</f>
        <v/>
      </c>
      <c r="M467" s="11">
        <f>IF(A467="","",J467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467+IFERROR(INDEX(Settings!$D$5:$D$9,MATCH("Shopify",Settings!$A$5:$A$9,0)),0)*D467)</f>
        <v/>
      </c>
      <c r="N467" s="11">
        <f>IF(A467="","",IF(K467="",0,D467*INDEX(Products!$I$5:$I$204,K467)))</f>
        <v/>
      </c>
      <c r="O467" s="11">
        <f>IF(A467="","",IF(K467="",0,J467*INDEX(Products!$H$5:$H$204,K467)))</f>
        <v/>
      </c>
      <c r="P467" s="11">
        <f>IF(A467="","",J467-M467-N467-O467)</f>
        <v/>
      </c>
    </row>
    <row r="468">
      <c r="A468">
        <f>IFERROR(INDEX('Shopify Import'!$A:$CZ,468,Settings!$E$20)&amp;"","")</f>
        <v/>
      </c>
      <c r="B468">
        <f>IFERROR(INDEX('Shopify Import'!$A:$CZ,468,Settings!$E$21)&amp;"","")</f>
        <v/>
      </c>
      <c r="C468">
        <f>IFERROR(INDEX('Shopify Import'!$A:$CZ,468,Settings!$E$22)&amp;"","")</f>
        <v/>
      </c>
      <c r="D468">
        <f>IF(A468="","",IFERROR(VALUE(SUBSTITUTE(SUBSTITUTE(INDEX('Shopify Import'!$A:$CZ,468,Settings!$E$23)&amp;"","$",""),",","")),0))</f>
        <v/>
      </c>
      <c r="E468" s="11">
        <f>IF(A468="","",IFERROR(VALUE(SUBSTITUTE(SUBSTITUTE(INDEX('Shopify Import'!$A:$CZ,468,Settings!$E$24)&amp;"","$",""),",","")),0))</f>
        <v/>
      </c>
      <c r="F468" s="11">
        <f>IF(A468="","",D468*E468)</f>
        <v/>
      </c>
      <c r="G468">
        <f>IF(A468="","",IF(C468="",1,COUNTIF($C$2:$C$1501,C468)))</f>
        <v/>
      </c>
      <c r="H468" s="11">
        <f>IF(A468="","",IFERROR(VALUE(SUBSTITUTE(SUBSTITUTE(INDEX('Shopify Import'!$A:$CZ,468,Settings!$E$25)&amp;"","$",""),",","")),0)/IF(Settings!$D$27="Yes",G468,1))</f>
        <v/>
      </c>
      <c r="I468" s="11">
        <f>IF(A468="","",IFERROR(VALUE(SUBSTITUTE(SUBSTITUTE(INDEX('Shopify Import'!$A:$CZ,468,Settings!$E$26)&amp;"","$",""),",","")),0)/IF(Settings!$D$27="Yes",G468,1))</f>
        <v/>
      </c>
      <c r="J468" s="11">
        <f>IF(A468="","",F468+H468-I468)</f>
        <v/>
      </c>
      <c r="K468">
        <f>IF(A468="","",IFERROR(IF(B468="",NA(),MATCH(B468,Products!$B$5:$B$204,0)),IFERROR(MATCH(A468,Products!$A$5:$A$204,0),"")))</f>
        <v/>
      </c>
      <c r="L468">
        <f>IF(A468="","",IF(K468="","⚠ not in Products",INDEX(Products!$A$5:$A$204,K468)))</f>
        <v/>
      </c>
      <c r="M468" s="11">
        <f>IF(A468="","",J468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468+IFERROR(INDEX(Settings!$D$5:$D$9,MATCH("Shopify",Settings!$A$5:$A$9,0)),0)*D468)</f>
        <v/>
      </c>
      <c r="N468" s="11">
        <f>IF(A468="","",IF(K468="",0,D468*INDEX(Products!$I$5:$I$204,K468)))</f>
        <v/>
      </c>
      <c r="O468" s="11">
        <f>IF(A468="","",IF(K468="",0,J468*INDEX(Products!$H$5:$H$204,K468)))</f>
        <v/>
      </c>
      <c r="P468" s="11">
        <f>IF(A468="","",J468-M468-N468-O468)</f>
        <v/>
      </c>
    </row>
    <row r="469">
      <c r="A469">
        <f>IFERROR(INDEX('Shopify Import'!$A:$CZ,469,Settings!$E$20)&amp;"","")</f>
        <v/>
      </c>
      <c r="B469">
        <f>IFERROR(INDEX('Shopify Import'!$A:$CZ,469,Settings!$E$21)&amp;"","")</f>
        <v/>
      </c>
      <c r="C469">
        <f>IFERROR(INDEX('Shopify Import'!$A:$CZ,469,Settings!$E$22)&amp;"","")</f>
        <v/>
      </c>
      <c r="D469">
        <f>IF(A469="","",IFERROR(VALUE(SUBSTITUTE(SUBSTITUTE(INDEX('Shopify Import'!$A:$CZ,469,Settings!$E$23)&amp;"","$",""),",","")),0))</f>
        <v/>
      </c>
      <c r="E469" s="11">
        <f>IF(A469="","",IFERROR(VALUE(SUBSTITUTE(SUBSTITUTE(INDEX('Shopify Import'!$A:$CZ,469,Settings!$E$24)&amp;"","$",""),",","")),0))</f>
        <v/>
      </c>
      <c r="F469" s="11">
        <f>IF(A469="","",D469*E469)</f>
        <v/>
      </c>
      <c r="G469">
        <f>IF(A469="","",IF(C469="",1,COUNTIF($C$2:$C$1501,C469)))</f>
        <v/>
      </c>
      <c r="H469" s="11">
        <f>IF(A469="","",IFERROR(VALUE(SUBSTITUTE(SUBSTITUTE(INDEX('Shopify Import'!$A:$CZ,469,Settings!$E$25)&amp;"","$",""),",","")),0)/IF(Settings!$D$27="Yes",G469,1))</f>
        <v/>
      </c>
      <c r="I469" s="11">
        <f>IF(A469="","",IFERROR(VALUE(SUBSTITUTE(SUBSTITUTE(INDEX('Shopify Import'!$A:$CZ,469,Settings!$E$26)&amp;"","$",""),",","")),0)/IF(Settings!$D$27="Yes",G469,1))</f>
        <v/>
      </c>
      <c r="J469" s="11">
        <f>IF(A469="","",F469+H469-I469)</f>
        <v/>
      </c>
      <c r="K469">
        <f>IF(A469="","",IFERROR(IF(B469="",NA(),MATCH(B469,Products!$B$5:$B$204,0)),IFERROR(MATCH(A469,Products!$A$5:$A$204,0),"")))</f>
        <v/>
      </c>
      <c r="L469">
        <f>IF(A469="","",IF(K469="","⚠ not in Products",INDEX(Products!$A$5:$A$204,K469)))</f>
        <v/>
      </c>
      <c r="M469" s="11">
        <f>IF(A469="","",J469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469+IFERROR(INDEX(Settings!$D$5:$D$9,MATCH("Shopify",Settings!$A$5:$A$9,0)),0)*D469)</f>
        <v/>
      </c>
      <c r="N469" s="11">
        <f>IF(A469="","",IF(K469="",0,D469*INDEX(Products!$I$5:$I$204,K469)))</f>
        <v/>
      </c>
      <c r="O469" s="11">
        <f>IF(A469="","",IF(K469="",0,J469*INDEX(Products!$H$5:$H$204,K469)))</f>
        <v/>
      </c>
      <c r="P469" s="11">
        <f>IF(A469="","",J469-M469-N469-O469)</f>
        <v/>
      </c>
    </row>
    <row r="470">
      <c r="A470">
        <f>IFERROR(INDEX('Shopify Import'!$A:$CZ,470,Settings!$E$20)&amp;"","")</f>
        <v/>
      </c>
      <c r="B470">
        <f>IFERROR(INDEX('Shopify Import'!$A:$CZ,470,Settings!$E$21)&amp;"","")</f>
        <v/>
      </c>
      <c r="C470">
        <f>IFERROR(INDEX('Shopify Import'!$A:$CZ,470,Settings!$E$22)&amp;"","")</f>
        <v/>
      </c>
      <c r="D470">
        <f>IF(A470="","",IFERROR(VALUE(SUBSTITUTE(SUBSTITUTE(INDEX('Shopify Import'!$A:$CZ,470,Settings!$E$23)&amp;"","$",""),",","")),0))</f>
        <v/>
      </c>
      <c r="E470" s="11">
        <f>IF(A470="","",IFERROR(VALUE(SUBSTITUTE(SUBSTITUTE(INDEX('Shopify Import'!$A:$CZ,470,Settings!$E$24)&amp;"","$",""),",","")),0))</f>
        <v/>
      </c>
      <c r="F470" s="11">
        <f>IF(A470="","",D470*E470)</f>
        <v/>
      </c>
      <c r="G470">
        <f>IF(A470="","",IF(C470="",1,COUNTIF($C$2:$C$1501,C470)))</f>
        <v/>
      </c>
      <c r="H470" s="11">
        <f>IF(A470="","",IFERROR(VALUE(SUBSTITUTE(SUBSTITUTE(INDEX('Shopify Import'!$A:$CZ,470,Settings!$E$25)&amp;"","$",""),",","")),0)/IF(Settings!$D$27="Yes",G470,1))</f>
        <v/>
      </c>
      <c r="I470" s="11">
        <f>IF(A470="","",IFERROR(VALUE(SUBSTITUTE(SUBSTITUTE(INDEX('Shopify Import'!$A:$CZ,470,Settings!$E$26)&amp;"","$",""),",","")),0)/IF(Settings!$D$27="Yes",G470,1))</f>
        <v/>
      </c>
      <c r="J470" s="11">
        <f>IF(A470="","",F470+H470-I470)</f>
        <v/>
      </c>
      <c r="K470">
        <f>IF(A470="","",IFERROR(IF(B470="",NA(),MATCH(B470,Products!$B$5:$B$204,0)),IFERROR(MATCH(A470,Products!$A$5:$A$204,0),"")))</f>
        <v/>
      </c>
      <c r="L470">
        <f>IF(A470="","",IF(K470="","⚠ not in Products",INDEX(Products!$A$5:$A$204,K470)))</f>
        <v/>
      </c>
      <c r="M470" s="11">
        <f>IF(A470="","",J470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470+IFERROR(INDEX(Settings!$D$5:$D$9,MATCH("Shopify",Settings!$A$5:$A$9,0)),0)*D470)</f>
        <v/>
      </c>
      <c r="N470" s="11">
        <f>IF(A470="","",IF(K470="",0,D470*INDEX(Products!$I$5:$I$204,K470)))</f>
        <v/>
      </c>
      <c r="O470" s="11">
        <f>IF(A470="","",IF(K470="",0,J470*INDEX(Products!$H$5:$H$204,K470)))</f>
        <v/>
      </c>
      <c r="P470" s="11">
        <f>IF(A470="","",J470-M470-N470-O470)</f>
        <v/>
      </c>
    </row>
    <row r="471">
      <c r="A471">
        <f>IFERROR(INDEX('Shopify Import'!$A:$CZ,471,Settings!$E$20)&amp;"","")</f>
        <v/>
      </c>
      <c r="B471">
        <f>IFERROR(INDEX('Shopify Import'!$A:$CZ,471,Settings!$E$21)&amp;"","")</f>
        <v/>
      </c>
      <c r="C471">
        <f>IFERROR(INDEX('Shopify Import'!$A:$CZ,471,Settings!$E$22)&amp;"","")</f>
        <v/>
      </c>
      <c r="D471">
        <f>IF(A471="","",IFERROR(VALUE(SUBSTITUTE(SUBSTITUTE(INDEX('Shopify Import'!$A:$CZ,471,Settings!$E$23)&amp;"","$",""),",","")),0))</f>
        <v/>
      </c>
      <c r="E471" s="11">
        <f>IF(A471="","",IFERROR(VALUE(SUBSTITUTE(SUBSTITUTE(INDEX('Shopify Import'!$A:$CZ,471,Settings!$E$24)&amp;"","$",""),",","")),0))</f>
        <v/>
      </c>
      <c r="F471" s="11">
        <f>IF(A471="","",D471*E471)</f>
        <v/>
      </c>
      <c r="G471">
        <f>IF(A471="","",IF(C471="",1,COUNTIF($C$2:$C$1501,C471)))</f>
        <v/>
      </c>
      <c r="H471" s="11">
        <f>IF(A471="","",IFERROR(VALUE(SUBSTITUTE(SUBSTITUTE(INDEX('Shopify Import'!$A:$CZ,471,Settings!$E$25)&amp;"","$",""),",","")),0)/IF(Settings!$D$27="Yes",G471,1))</f>
        <v/>
      </c>
      <c r="I471" s="11">
        <f>IF(A471="","",IFERROR(VALUE(SUBSTITUTE(SUBSTITUTE(INDEX('Shopify Import'!$A:$CZ,471,Settings!$E$26)&amp;"","$",""),",","")),0)/IF(Settings!$D$27="Yes",G471,1))</f>
        <v/>
      </c>
      <c r="J471" s="11">
        <f>IF(A471="","",F471+H471-I471)</f>
        <v/>
      </c>
      <c r="K471">
        <f>IF(A471="","",IFERROR(IF(B471="",NA(),MATCH(B471,Products!$B$5:$B$204,0)),IFERROR(MATCH(A471,Products!$A$5:$A$204,0),"")))</f>
        <v/>
      </c>
      <c r="L471">
        <f>IF(A471="","",IF(K471="","⚠ not in Products",INDEX(Products!$A$5:$A$204,K471)))</f>
        <v/>
      </c>
      <c r="M471" s="11">
        <f>IF(A471="","",J471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471+IFERROR(INDEX(Settings!$D$5:$D$9,MATCH("Shopify",Settings!$A$5:$A$9,0)),0)*D471)</f>
        <v/>
      </c>
      <c r="N471" s="11">
        <f>IF(A471="","",IF(K471="",0,D471*INDEX(Products!$I$5:$I$204,K471)))</f>
        <v/>
      </c>
      <c r="O471" s="11">
        <f>IF(A471="","",IF(K471="",0,J471*INDEX(Products!$H$5:$H$204,K471)))</f>
        <v/>
      </c>
      <c r="P471" s="11">
        <f>IF(A471="","",J471-M471-N471-O471)</f>
        <v/>
      </c>
    </row>
    <row r="472">
      <c r="A472">
        <f>IFERROR(INDEX('Shopify Import'!$A:$CZ,472,Settings!$E$20)&amp;"","")</f>
        <v/>
      </c>
      <c r="B472">
        <f>IFERROR(INDEX('Shopify Import'!$A:$CZ,472,Settings!$E$21)&amp;"","")</f>
        <v/>
      </c>
      <c r="C472">
        <f>IFERROR(INDEX('Shopify Import'!$A:$CZ,472,Settings!$E$22)&amp;"","")</f>
        <v/>
      </c>
      <c r="D472">
        <f>IF(A472="","",IFERROR(VALUE(SUBSTITUTE(SUBSTITUTE(INDEX('Shopify Import'!$A:$CZ,472,Settings!$E$23)&amp;"","$",""),",","")),0))</f>
        <v/>
      </c>
      <c r="E472" s="11">
        <f>IF(A472="","",IFERROR(VALUE(SUBSTITUTE(SUBSTITUTE(INDEX('Shopify Import'!$A:$CZ,472,Settings!$E$24)&amp;"","$",""),",","")),0))</f>
        <v/>
      </c>
      <c r="F472" s="11">
        <f>IF(A472="","",D472*E472)</f>
        <v/>
      </c>
      <c r="G472">
        <f>IF(A472="","",IF(C472="",1,COUNTIF($C$2:$C$1501,C472)))</f>
        <v/>
      </c>
      <c r="H472" s="11">
        <f>IF(A472="","",IFERROR(VALUE(SUBSTITUTE(SUBSTITUTE(INDEX('Shopify Import'!$A:$CZ,472,Settings!$E$25)&amp;"","$",""),",","")),0)/IF(Settings!$D$27="Yes",G472,1))</f>
        <v/>
      </c>
      <c r="I472" s="11">
        <f>IF(A472="","",IFERROR(VALUE(SUBSTITUTE(SUBSTITUTE(INDEX('Shopify Import'!$A:$CZ,472,Settings!$E$26)&amp;"","$",""),",","")),0)/IF(Settings!$D$27="Yes",G472,1))</f>
        <v/>
      </c>
      <c r="J472" s="11">
        <f>IF(A472="","",F472+H472-I472)</f>
        <v/>
      </c>
      <c r="K472">
        <f>IF(A472="","",IFERROR(IF(B472="",NA(),MATCH(B472,Products!$B$5:$B$204,0)),IFERROR(MATCH(A472,Products!$A$5:$A$204,0),"")))</f>
        <v/>
      </c>
      <c r="L472">
        <f>IF(A472="","",IF(K472="","⚠ not in Products",INDEX(Products!$A$5:$A$204,K472)))</f>
        <v/>
      </c>
      <c r="M472" s="11">
        <f>IF(A472="","",J472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472+IFERROR(INDEX(Settings!$D$5:$D$9,MATCH("Shopify",Settings!$A$5:$A$9,0)),0)*D472)</f>
        <v/>
      </c>
      <c r="N472" s="11">
        <f>IF(A472="","",IF(K472="",0,D472*INDEX(Products!$I$5:$I$204,K472)))</f>
        <v/>
      </c>
      <c r="O472" s="11">
        <f>IF(A472="","",IF(K472="",0,J472*INDEX(Products!$H$5:$H$204,K472)))</f>
        <v/>
      </c>
      <c r="P472" s="11">
        <f>IF(A472="","",J472-M472-N472-O472)</f>
        <v/>
      </c>
    </row>
    <row r="473">
      <c r="A473">
        <f>IFERROR(INDEX('Shopify Import'!$A:$CZ,473,Settings!$E$20)&amp;"","")</f>
        <v/>
      </c>
      <c r="B473">
        <f>IFERROR(INDEX('Shopify Import'!$A:$CZ,473,Settings!$E$21)&amp;"","")</f>
        <v/>
      </c>
      <c r="C473">
        <f>IFERROR(INDEX('Shopify Import'!$A:$CZ,473,Settings!$E$22)&amp;"","")</f>
        <v/>
      </c>
      <c r="D473">
        <f>IF(A473="","",IFERROR(VALUE(SUBSTITUTE(SUBSTITUTE(INDEX('Shopify Import'!$A:$CZ,473,Settings!$E$23)&amp;"","$",""),",","")),0))</f>
        <v/>
      </c>
      <c r="E473" s="11">
        <f>IF(A473="","",IFERROR(VALUE(SUBSTITUTE(SUBSTITUTE(INDEX('Shopify Import'!$A:$CZ,473,Settings!$E$24)&amp;"","$",""),",","")),0))</f>
        <v/>
      </c>
      <c r="F473" s="11">
        <f>IF(A473="","",D473*E473)</f>
        <v/>
      </c>
      <c r="G473">
        <f>IF(A473="","",IF(C473="",1,COUNTIF($C$2:$C$1501,C473)))</f>
        <v/>
      </c>
      <c r="H473" s="11">
        <f>IF(A473="","",IFERROR(VALUE(SUBSTITUTE(SUBSTITUTE(INDEX('Shopify Import'!$A:$CZ,473,Settings!$E$25)&amp;"","$",""),",","")),0)/IF(Settings!$D$27="Yes",G473,1))</f>
        <v/>
      </c>
      <c r="I473" s="11">
        <f>IF(A473="","",IFERROR(VALUE(SUBSTITUTE(SUBSTITUTE(INDEX('Shopify Import'!$A:$CZ,473,Settings!$E$26)&amp;"","$",""),",","")),0)/IF(Settings!$D$27="Yes",G473,1))</f>
        <v/>
      </c>
      <c r="J473" s="11">
        <f>IF(A473="","",F473+H473-I473)</f>
        <v/>
      </c>
      <c r="K473">
        <f>IF(A473="","",IFERROR(IF(B473="",NA(),MATCH(B473,Products!$B$5:$B$204,0)),IFERROR(MATCH(A473,Products!$A$5:$A$204,0),"")))</f>
        <v/>
      </c>
      <c r="L473">
        <f>IF(A473="","",IF(K473="","⚠ not in Products",INDEX(Products!$A$5:$A$204,K473)))</f>
        <v/>
      </c>
      <c r="M473" s="11">
        <f>IF(A473="","",J473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473+IFERROR(INDEX(Settings!$D$5:$D$9,MATCH("Shopify",Settings!$A$5:$A$9,0)),0)*D473)</f>
        <v/>
      </c>
      <c r="N473" s="11">
        <f>IF(A473="","",IF(K473="",0,D473*INDEX(Products!$I$5:$I$204,K473)))</f>
        <v/>
      </c>
      <c r="O473" s="11">
        <f>IF(A473="","",IF(K473="",0,J473*INDEX(Products!$H$5:$H$204,K473)))</f>
        <v/>
      </c>
      <c r="P473" s="11">
        <f>IF(A473="","",J473-M473-N473-O473)</f>
        <v/>
      </c>
    </row>
    <row r="474">
      <c r="A474">
        <f>IFERROR(INDEX('Shopify Import'!$A:$CZ,474,Settings!$E$20)&amp;"","")</f>
        <v/>
      </c>
      <c r="B474">
        <f>IFERROR(INDEX('Shopify Import'!$A:$CZ,474,Settings!$E$21)&amp;"","")</f>
        <v/>
      </c>
      <c r="C474">
        <f>IFERROR(INDEX('Shopify Import'!$A:$CZ,474,Settings!$E$22)&amp;"","")</f>
        <v/>
      </c>
      <c r="D474">
        <f>IF(A474="","",IFERROR(VALUE(SUBSTITUTE(SUBSTITUTE(INDEX('Shopify Import'!$A:$CZ,474,Settings!$E$23)&amp;"","$",""),",","")),0))</f>
        <v/>
      </c>
      <c r="E474" s="11">
        <f>IF(A474="","",IFERROR(VALUE(SUBSTITUTE(SUBSTITUTE(INDEX('Shopify Import'!$A:$CZ,474,Settings!$E$24)&amp;"","$",""),",","")),0))</f>
        <v/>
      </c>
      <c r="F474" s="11">
        <f>IF(A474="","",D474*E474)</f>
        <v/>
      </c>
      <c r="G474">
        <f>IF(A474="","",IF(C474="",1,COUNTIF($C$2:$C$1501,C474)))</f>
        <v/>
      </c>
      <c r="H474" s="11">
        <f>IF(A474="","",IFERROR(VALUE(SUBSTITUTE(SUBSTITUTE(INDEX('Shopify Import'!$A:$CZ,474,Settings!$E$25)&amp;"","$",""),",","")),0)/IF(Settings!$D$27="Yes",G474,1))</f>
        <v/>
      </c>
      <c r="I474" s="11">
        <f>IF(A474="","",IFERROR(VALUE(SUBSTITUTE(SUBSTITUTE(INDEX('Shopify Import'!$A:$CZ,474,Settings!$E$26)&amp;"","$",""),",","")),0)/IF(Settings!$D$27="Yes",G474,1))</f>
        <v/>
      </c>
      <c r="J474" s="11">
        <f>IF(A474="","",F474+H474-I474)</f>
        <v/>
      </c>
      <c r="K474">
        <f>IF(A474="","",IFERROR(IF(B474="",NA(),MATCH(B474,Products!$B$5:$B$204,0)),IFERROR(MATCH(A474,Products!$A$5:$A$204,0),"")))</f>
        <v/>
      </c>
      <c r="L474">
        <f>IF(A474="","",IF(K474="","⚠ not in Products",INDEX(Products!$A$5:$A$204,K474)))</f>
        <v/>
      </c>
      <c r="M474" s="11">
        <f>IF(A474="","",J474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474+IFERROR(INDEX(Settings!$D$5:$D$9,MATCH("Shopify",Settings!$A$5:$A$9,0)),0)*D474)</f>
        <v/>
      </c>
      <c r="N474" s="11">
        <f>IF(A474="","",IF(K474="",0,D474*INDEX(Products!$I$5:$I$204,K474)))</f>
        <v/>
      </c>
      <c r="O474" s="11">
        <f>IF(A474="","",IF(K474="",0,J474*INDEX(Products!$H$5:$H$204,K474)))</f>
        <v/>
      </c>
      <c r="P474" s="11">
        <f>IF(A474="","",J474-M474-N474-O474)</f>
        <v/>
      </c>
    </row>
    <row r="475">
      <c r="A475">
        <f>IFERROR(INDEX('Shopify Import'!$A:$CZ,475,Settings!$E$20)&amp;"","")</f>
        <v/>
      </c>
      <c r="B475">
        <f>IFERROR(INDEX('Shopify Import'!$A:$CZ,475,Settings!$E$21)&amp;"","")</f>
        <v/>
      </c>
      <c r="C475">
        <f>IFERROR(INDEX('Shopify Import'!$A:$CZ,475,Settings!$E$22)&amp;"","")</f>
        <v/>
      </c>
      <c r="D475">
        <f>IF(A475="","",IFERROR(VALUE(SUBSTITUTE(SUBSTITUTE(INDEX('Shopify Import'!$A:$CZ,475,Settings!$E$23)&amp;"","$",""),",","")),0))</f>
        <v/>
      </c>
      <c r="E475" s="11">
        <f>IF(A475="","",IFERROR(VALUE(SUBSTITUTE(SUBSTITUTE(INDEX('Shopify Import'!$A:$CZ,475,Settings!$E$24)&amp;"","$",""),",","")),0))</f>
        <v/>
      </c>
      <c r="F475" s="11">
        <f>IF(A475="","",D475*E475)</f>
        <v/>
      </c>
      <c r="G475">
        <f>IF(A475="","",IF(C475="",1,COUNTIF($C$2:$C$1501,C475)))</f>
        <v/>
      </c>
      <c r="H475" s="11">
        <f>IF(A475="","",IFERROR(VALUE(SUBSTITUTE(SUBSTITUTE(INDEX('Shopify Import'!$A:$CZ,475,Settings!$E$25)&amp;"","$",""),",","")),0)/IF(Settings!$D$27="Yes",G475,1))</f>
        <v/>
      </c>
      <c r="I475" s="11">
        <f>IF(A475="","",IFERROR(VALUE(SUBSTITUTE(SUBSTITUTE(INDEX('Shopify Import'!$A:$CZ,475,Settings!$E$26)&amp;"","$",""),",","")),0)/IF(Settings!$D$27="Yes",G475,1))</f>
        <v/>
      </c>
      <c r="J475" s="11">
        <f>IF(A475="","",F475+H475-I475)</f>
        <v/>
      </c>
      <c r="K475">
        <f>IF(A475="","",IFERROR(IF(B475="",NA(),MATCH(B475,Products!$B$5:$B$204,0)),IFERROR(MATCH(A475,Products!$A$5:$A$204,0),"")))</f>
        <v/>
      </c>
      <c r="L475">
        <f>IF(A475="","",IF(K475="","⚠ not in Products",INDEX(Products!$A$5:$A$204,K475)))</f>
        <v/>
      </c>
      <c r="M475" s="11">
        <f>IF(A475="","",J475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475+IFERROR(INDEX(Settings!$D$5:$D$9,MATCH("Shopify",Settings!$A$5:$A$9,0)),0)*D475)</f>
        <v/>
      </c>
      <c r="N475" s="11">
        <f>IF(A475="","",IF(K475="",0,D475*INDEX(Products!$I$5:$I$204,K475)))</f>
        <v/>
      </c>
      <c r="O475" s="11">
        <f>IF(A475="","",IF(K475="",0,J475*INDEX(Products!$H$5:$H$204,K475)))</f>
        <v/>
      </c>
      <c r="P475" s="11">
        <f>IF(A475="","",J475-M475-N475-O475)</f>
        <v/>
      </c>
    </row>
    <row r="476">
      <c r="A476">
        <f>IFERROR(INDEX('Shopify Import'!$A:$CZ,476,Settings!$E$20)&amp;"","")</f>
        <v/>
      </c>
      <c r="B476">
        <f>IFERROR(INDEX('Shopify Import'!$A:$CZ,476,Settings!$E$21)&amp;"","")</f>
        <v/>
      </c>
      <c r="C476">
        <f>IFERROR(INDEX('Shopify Import'!$A:$CZ,476,Settings!$E$22)&amp;"","")</f>
        <v/>
      </c>
      <c r="D476">
        <f>IF(A476="","",IFERROR(VALUE(SUBSTITUTE(SUBSTITUTE(INDEX('Shopify Import'!$A:$CZ,476,Settings!$E$23)&amp;"","$",""),",","")),0))</f>
        <v/>
      </c>
      <c r="E476" s="11">
        <f>IF(A476="","",IFERROR(VALUE(SUBSTITUTE(SUBSTITUTE(INDEX('Shopify Import'!$A:$CZ,476,Settings!$E$24)&amp;"","$",""),",","")),0))</f>
        <v/>
      </c>
      <c r="F476" s="11">
        <f>IF(A476="","",D476*E476)</f>
        <v/>
      </c>
      <c r="G476">
        <f>IF(A476="","",IF(C476="",1,COUNTIF($C$2:$C$1501,C476)))</f>
        <v/>
      </c>
      <c r="H476" s="11">
        <f>IF(A476="","",IFERROR(VALUE(SUBSTITUTE(SUBSTITUTE(INDEX('Shopify Import'!$A:$CZ,476,Settings!$E$25)&amp;"","$",""),",","")),0)/IF(Settings!$D$27="Yes",G476,1))</f>
        <v/>
      </c>
      <c r="I476" s="11">
        <f>IF(A476="","",IFERROR(VALUE(SUBSTITUTE(SUBSTITUTE(INDEX('Shopify Import'!$A:$CZ,476,Settings!$E$26)&amp;"","$",""),",","")),0)/IF(Settings!$D$27="Yes",G476,1))</f>
        <v/>
      </c>
      <c r="J476" s="11">
        <f>IF(A476="","",F476+H476-I476)</f>
        <v/>
      </c>
      <c r="K476">
        <f>IF(A476="","",IFERROR(IF(B476="",NA(),MATCH(B476,Products!$B$5:$B$204,0)),IFERROR(MATCH(A476,Products!$A$5:$A$204,0),"")))</f>
        <v/>
      </c>
      <c r="L476">
        <f>IF(A476="","",IF(K476="","⚠ not in Products",INDEX(Products!$A$5:$A$204,K476)))</f>
        <v/>
      </c>
      <c r="M476" s="11">
        <f>IF(A476="","",J476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476+IFERROR(INDEX(Settings!$D$5:$D$9,MATCH("Shopify",Settings!$A$5:$A$9,0)),0)*D476)</f>
        <v/>
      </c>
      <c r="N476" s="11">
        <f>IF(A476="","",IF(K476="",0,D476*INDEX(Products!$I$5:$I$204,K476)))</f>
        <v/>
      </c>
      <c r="O476" s="11">
        <f>IF(A476="","",IF(K476="",0,J476*INDEX(Products!$H$5:$H$204,K476)))</f>
        <v/>
      </c>
      <c r="P476" s="11">
        <f>IF(A476="","",J476-M476-N476-O476)</f>
        <v/>
      </c>
    </row>
    <row r="477">
      <c r="A477">
        <f>IFERROR(INDEX('Shopify Import'!$A:$CZ,477,Settings!$E$20)&amp;"","")</f>
        <v/>
      </c>
      <c r="B477">
        <f>IFERROR(INDEX('Shopify Import'!$A:$CZ,477,Settings!$E$21)&amp;"","")</f>
        <v/>
      </c>
      <c r="C477">
        <f>IFERROR(INDEX('Shopify Import'!$A:$CZ,477,Settings!$E$22)&amp;"","")</f>
        <v/>
      </c>
      <c r="D477">
        <f>IF(A477="","",IFERROR(VALUE(SUBSTITUTE(SUBSTITUTE(INDEX('Shopify Import'!$A:$CZ,477,Settings!$E$23)&amp;"","$",""),",","")),0))</f>
        <v/>
      </c>
      <c r="E477" s="11">
        <f>IF(A477="","",IFERROR(VALUE(SUBSTITUTE(SUBSTITUTE(INDEX('Shopify Import'!$A:$CZ,477,Settings!$E$24)&amp;"","$",""),",","")),0))</f>
        <v/>
      </c>
      <c r="F477" s="11">
        <f>IF(A477="","",D477*E477)</f>
        <v/>
      </c>
      <c r="G477">
        <f>IF(A477="","",IF(C477="",1,COUNTIF($C$2:$C$1501,C477)))</f>
        <v/>
      </c>
      <c r="H477" s="11">
        <f>IF(A477="","",IFERROR(VALUE(SUBSTITUTE(SUBSTITUTE(INDEX('Shopify Import'!$A:$CZ,477,Settings!$E$25)&amp;"","$",""),",","")),0)/IF(Settings!$D$27="Yes",G477,1))</f>
        <v/>
      </c>
      <c r="I477" s="11">
        <f>IF(A477="","",IFERROR(VALUE(SUBSTITUTE(SUBSTITUTE(INDEX('Shopify Import'!$A:$CZ,477,Settings!$E$26)&amp;"","$",""),",","")),0)/IF(Settings!$D$27="Yes",G477,1))</f>
        <v/>
      </c>
      <c r="J477" s="11">
        <f>IF(A477="","",F477+H477-I477)</f>
        <v/>
      </c>
      <c r="K477">
        <f>IF(A477="","",IFERROR(IF(B477="",NA(),MATCH(B477,Products!$B$5:$B$204,0)),IFERROR(MATCH(A477,Products!$A$5:$A$204,0),"")))</f>
        <v/>
      </c>
      <c r="L477">
        <f>IF(A477="","",IF(K477="","⚠ not in Products",INDEX(Products!$A$5:$A$204,K477)))</f>
        <v/>
      </c>
      <c r="M477" s="11">
        <f>IF(A477="","",J477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477+IFERROR(INDEX(Settings!$D$5:$D$9,MATCH("Shopify",Settings!$A$5:$A$9,0)),0)*D477)</f>
        <v/>
      </c>
      <c r="N477" s="11">
        <f>IF(A477="","",IF(K477="",0,D477*INDEX(Products!$I$5:$I$204,K477)))</f>
        <v/>
      </c>
      <c r="O477" s="11">
        <f>IF(A477="","",IF(K477="",0,J477*INDEX(Products!$H$5:$H$204,K477)))</f>
        <v/>
      </c>
      <c r="P477" s="11">
        <f>IF(A477="","",J477-M477-N477-O477)</f>
        <v/>
      </c>
    </row>
    <row r="478">
      <c r="A478">
        <f>IFERROR(INDEX('Shopify Import'!$A:$CZ,478,Settings!$E$20)&amp;"","")</f>
        <v/>
      </c>
      <c r="B478">
        <f>IFERROR(INDEX('Shopify Import'!$A:$CZ,478,Settings!$E$21)&amp;"","")</f>
        <v/>
      </c>
      <c r="C478">
        <f>IFERROR(INDEX('Shopify Import'!$A:$CZ,478,Settings!$E$22)&amp;"","")</f>
        <v/>
      </c>
      <c r="D478">
        <f>IF(A478="","",IFERROR(VALUE(SUBSTITUTE(SUBSTITUTE(INDEX('Shopify Import'!$A:$CZ,478,Settings!$E$23)&amp;"","$",""),",","")),0))</f>
        <v/>
      </c>
      <c r="E478" s="11">
        <f>IF(A478="","",IFERROR(VALUE(SUBSTITUTE(SUBSTITUTE(INDEX('Shopify Import'!$A:$CZ,478,Settings!$E$24)&amp;"","$",""),",","")),0))</f>
        <v/>
      </c>
      <c r="F478" s="11">
        <f>IF(A478="","",D478*E478)</f>
        <v/>
      </c>
      <c r="G478">
        <f>IF(A478="","",IF(C478="",1,COUNTIF($C$2:$C$1501,C478)))</f>
        <v/>
      </c>
      <c r="H478" s="11">
        <f>IF(A478="","",IFERROR(VALUE(SUBSTITUTE(SUBSTITUTE(INDEX('Shopify Import'!$A:$CZ,478,Settings!$E$25)&amp;"","$",""),",","")),0)/IF(Settings!$D$27="Yes",G478,1))</f>
        <v/>
      </c>
      <c r="I478" s="11">
        <f>IF(A478="","",IFERROR(VALUE(SUBSTITUTE(SUBSTITUTE(INDEX('Shopify Import'!$A:$CZ,478,Settings!$E$26)&amp;"","$",""),",","")),0)/IF(Settings!$D$27="Yes",G478,1))</f>
        <v/>
      </c>
      <c r="J478" s="11">
        <f>IF(A478="","",F478+H478-I478)</f>
        <v/>
      </c>
      <c r="K478">
        <f>IF(A478="","",IFERROR(IF(B478="",NA(),MATCH(B478,Products!$B$5:$B$204,0)),IFERROR(MATCH(A478,Products!$A$5:$A$204,0),"")))</f>
        <v/>
      </c>
      <c r="L478">
        <f>IF(A478="","",IF(K478="","⚠ not in Products",INDEX(Products!$A$5:$A$204,K478)))</f>
        <v/>
      </c>
      <c r="M478" s="11">
        <f>IF(A478="","",J478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478+IFERROR(INDEX(Settings!$D$5:$D$9,MATCH("Shopify",Settings!$A$5:$A$9,0)),0)*D478)</f>
        <v/>
      </c>
      <c r="N478" s="11">
        <f>IF(A478="","",IF(K478="",0,D478*INDEX(Products!$I$5:$I$204,K478)))</f>
        <v/>
      </c>
      <c r="O478" s="11">
        <f>IF(A478="","",IF(K478="",0,J478*INDEX(Products!$H$5:$H$204,K478)))</f>
        <v/>
      </c>
      <c r="P478" s="11">
        <f>IF(A478="","",J478-M478-N478-O478)</f>
        <v/>
      </c>
    </row>
    <row r="479">
      <c r="A479">
        <f>IFERROR(INDEX('Shopify Import'!$A:$CZ,479,Settings!$E$20)&amp;"","")</f>
        <v/>
      </c>
      <c r="B479">
        <f>IFERROR(INDEX('Shopify Import'!$A:$CZ,479,Settings!$E$21)&amp;"","")</f>
        <v/>
      </c>
      <c r="C479">
        <f>IFERROR(INDEX('Shopify Import'!$A:$CZ,479,Settings!$E$22)&amp;"","")</f>
        <v/>
      </c>
      <c r="D479">
        <f>IF(A479="","",IFERROR(VALUE(SUBSTITUTE(SUBSTITUTE(INDEX('Shopify Import'!$A:$CZ,479,Settings!$E$23)&amp;"","$",""),",","")),0))</f>
        <v/>
      </c>
      <c r="E479" s="11">
        <f>IF(A479="","",IFERROR(VALUE(SUBSTITUTE(SUBSTITUTE(INDEX('Shopify Import'!$A:$CZ,479,Settings!$E$24)&amp;"","$",""),",","")),0))</f>
        <v/>
      </c>
      <c r="F479" s="11">
        <f>IF(A479="","",D479*E479)</f>
        <v/>
      </c>
      <c r="G479">
        <f>IF(A479="","",IF(C479="",1,COUNTIF($C$2:$C$1501,C479)))</f>
        <v/>
      </c>
      <c r="H479" s="11">
        <f>IF(A479="","",IFERROR(VALUE(SUBSTITUTE(SUBSTITUTE(INDEX('Shopify Import'!$A:$CZ,479,Settings!$E$25)&amp;"","$",""),",","")),0)/IF(Settings!$D$27="Yes",G479,1))</f>
        <v/>
      </c>
      <c r="I479" s="11">
        <f>IF(A479="","",IFERROR(VALUE(SUBSTITUTE(SUBSTITUTE(INDEX('Shopify Import'!$A:$CZ,479,Settings!$E$26)&amp;"","$",""),",","")),0)/IF(Settings!$D$27="Yes",G479,1))</f>
        <v/>
      </c>
      <c r="J479" s="11">
        <f>IF(A479="","",F479+H479-I479)</f>
        <v/>
      </c>
      <c r="K479">
        <f>IF(A479="","",IFERROR(IF(B479="",NA(),MATCH(B479,Products!$B$5:$B$204,0)),IFERROR(MATCH(A479,Products!$A$5:$A$204,0),"")))</f>
        <v/>
      </c>
      <c r="L479">
        <f>IF(A479="","",IF(K479="","⚠ not in Products",INDEX(Products!$A$5:$A$204,K479)))</f>
        <v/>
      </c>
      <c r="M479" s="11">
        <f>IF(A479="","",J479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479+IFERROR(INDEX(Settings!$D$5:$D$9,MATCH("Shopify",Settings!$A$5:$A$9,0)),0)*D479)</f>
        <v/>
      </c>
      <c r="N479" s="11">
        <f>IF(A479="","",IF(K479="",0,D479*INDEX(Products!$I$5:$I$204,K479)))</f>
        <v/>
      </c>
      <c r="O479" s="11">
        <f>IF(A479="","",IF(K479="",0,J479*INDEX(Products!$H$5:$H$204,K479)))</f>
        <v/>
      </c>
      <c r="P479" s="11">
        <f>IF(A479="","",J479-M479-N479-O479)</f>
        <v/>
      </c>
    </row>
    <row r="480">
      <c r="A480">
        <f>IFERROR(INDEX('Shopify Import'!$A:$CZ,480,Settings!$E$20)&amp;"","")</f>
        <v/>
      </c>
      <c r="B480">
        <f>IFERROR(INDEX('Shopify Import'!$A:$CZ,480,Settings!$E$21)&amp;"","")</f>
        <v/>
      </c>
      <c r="C480">
        <f>IFERROR(INDEX('Shopify Import'!$A:$CZ,480,Settings!$E$22)&amp;"","")</f>
        <v/>
      </c>
      <c r="D480">
        <f>IF(A480="","",IFERROR(VALUE(SUBSTITUTE(SUBSTITUTE(INDEX('Shopify Import'!$A:$CZ,480,Settings!$E$23)&amp;"","$",""),",","")),0))</f>
        <v/>
      </c>
      <c r="E480" s="11">
        <f>IF(A480="","",IFERROR(VALUE(SUBSTITUTE(SUBSTITUTE(INDEX('Shopify Import'!$A:$CZ,480,Settings!$E$24)&amp;"","$",""),",","")),0))</f>
        <v/>
      </c>
      <c r="F480" s="11">
        <f>IF(A480="","",D480*E480)</f>
        <v/>
      </c>
      <c r="G480">
        <f>IF(A480="","",IF(C480="",1,COUNTIF($C$2:$C$1501,C480)))</f>
        <v/>
      </c>
      <c r="H480" s="11">
        <f>IF(A480="","",IFERROR(VALUE(SUBSTITUTE(SUBSTITUTE(INDEX('Shopify Import'!$A:$CZ,480,Settings!$E$25)&amp;"","$",""),",","")),0)/IF(Settings!$D$27="Yes",G480,1))</f>
        <v/>
      </c>
      <c r="I480" s="11">
        <f>IF(A480="","",IFERROR(VALUE(SUBSTITUTE(SUBSTITUTE(INDEX('Shopify Import'!$A:$CZ,480,Settings!$E$26)&amp;"","$",""),",","")),0)/IF(Settings!$D$27="Yes",G480,1))</f>
        <v/>
      </c>
      <c r="J480" s="11">
        <f>IF(A480="","",F480+H480-I480)</f>
        <v/>
      </c>
      <c r="K480">
        <f>IF(A480="","",IFERROR(IF(B480="",NA(),MATCH(B480,Products!$B$5:$B$204,0)),IFERROR(MATCH(A480,Products!$A$5:$A$204,0),"")))</f>
        <v/>
      </c>
      <c r="L480">
        <f>IF(A480="","",IF(K480="","⚠ not in Products",INDEX(Products!$A$5:$A$204,K480)))</f>
        <v/>
      </c>
      <c r="M480" s="11">
        <f>IF(A480="","",J480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480+IFERROR(INDEX(Settings!$D$5:$D$9,MATCH("Shopify",Settings!$A$5:$A$9,0)),0)*D480)</f>
        <v/>
      </c>
      <c r="N480" s="11">
        <f>IF(A480="","",IF(K480="",0,D480*INDEX(Products!$I$5:$I$204,K480)))</f>
        <v/>
      </c>
      <c r="O480" s="11">
        <f>IF(A480="","",IF(K480="",0,J480*INDEX(Products!$H$5:$H$204,K480)))</f>
        <v/>
      </c>
      <c r="P480" s="11">
        <f>IF(A480="","",J480-M480-N480-O480)</f>
        <v/>
      </c>
    </row>
    <row r="481">
      <c r="A481">
        <f>IFERROR(INDEX('Shopify Import'!$A:$CZ,481,Settings!$E$20)&amp;"","")</f>
        <v/>
      </c>
      <c r="B481">
        <f>IFERROR(INDEX('Shopify Import'!$A:$CZ,481,Settings!$E$21)&amp;"","")</f>
        <v/>
      </c>
      <c r="C481">
        <f>IFERROR(INDEX('Shopify Import'!$A:$CZ,481,Settings!$E$22)&amp;"","")</f>
        <v/>
      </c>
      <c r="D481">
        <f>IF(A481="","",IFERROR(VALUE(SUBSTITUTE(SUBSTITUTE(INDEX('Shopify Import'!$A:$CZ,481,Settings!$E$23)&amp;"","$",""),",","")),0))</f>
        <v/>
      </c>
      <c r="E481" s="11">
        <f>IF(A481="","",IFERROR(VALUE(SUBSTITUTE(SUBSTITUTE(INDEX('Shopify Import'!$A:$CZ,481,Settings!$E$24)&amp;"","$",""),",","")),0))</f>
        <v/>
      </c>
      <c r="F481" s="11">
        <f>IF(A481="","",D481*E481)</f>
        <v/>
      </c>
      <c r="G481">
        <f>IF(A481="","",IF(C481="",1,COUNTIF($C$2:$C$1501,C481)))</f>
        <v/>
      </c>
      <c r="H481" s="11">
        <f>IF(A481="","",IFERROR(VALUE(SUBSTITUTE(SUBSTITUTE(INDEX('Shopify Import'!$A:$CZ,481,Settings!$E$25)&amp;"","$",""),",","")),0)/IF(Settings!$D$27="Yes",G481,1))</f>
        <v/>
      </c>
      <c r="I481" s="11">
        <f>IF(A481="","",IFERROR(VALUE(SUBSTITUTE(SUBSTITUTE(INDEX('Shopify Import'!$A:$CZ,481,Settings!$E$26)&amp;"","$",""),",","")),0)/IF(Settings!$D$27="Yes",G481,1))</f>
        <v/>
      </c>
      <c r="J481" s="11">
        <f>IF(A481="","",F481+H481-I481)</f>
        <v/>
      </c>
      <c r="K481">
        <f>IF(A481="","",IFERROR(IF(B481="",NA(),MATCH(B481,Products!$B$5:$B$204,0)),IFERROR(MATCH(A481,Products!$A$5:$A$204,0),"")))</f>
        <v/>
      </c>
      <c r="L481">
        <f>IF(A481="","",IF(K481="","⚠ not in Products",INDEX(Products!$A$5:$A$204,K481)))</f>
        <v/>
      </c>
      <c r="M481" s="11">
        <f>IF(A481="","",J481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481+IFERROR(INDEX(Settings!$D$5:$D$9,MATCH("Shopify",Settings!$A$5:$A$9,0)),0)*D481)</f>
        <v/>
      </c>
      <c r="N481" s="11">
        <f>IF(A481="","",IF(K481="",0,D481*INDEX(Products!$I$5:$I$204,K481)))</f>
        <v/>
      </c>
      <c r="O481" s="11">
        <f>IF(A481="","",IF(K481="",0,J481*INDEX(Products!$H$5:$H$204,K481)))</f>
        <v/>
      </c>
      <c r="P481" s="11">
        <f>IF(A481="","",J481-M481-N481-O481)</f>
        <v/>
      </c>
    </row>
    <row r="482">
      <c r="A482">
        <f>IFERROR(INDEX('Shopify Import'!$A:$CZ,482,Settings!$E$20)&amp;"","")</f>
        <v/>
      </c>
      <c r="B482">
        <f>IFERROR(INDEX('Shopify Import'!$A:$CZ,482,Settings!$E$21)&amp;"","")</f>
        <v/>
      </c>
      <c r="C482">
        <f>IFERROR(INDEX('Shopify Import'!$A:$CZ,482,Settings!$E$22)&amp;"","")</f>
        <v/>
      </c>
      <c r="D482">
        <f>IF(A482="","",IFERROR(VALUE(SUBSTITUTE(SUBSTITUTE(INDEX('Shopify Import'!$A:$CZ,482,Settings!$E$23)&amp;"","$",""),",","")),0))</f>
        <v/>
      </c>
      <c r="E482" s="11">
        <f>IF(A482="","",IFERROR(VALUE(SUBSTITUTE(SUBSTITUTE(INDEX('Shopify Import'!$A:$CZ,482,Settings!$E$24)&amp;"","$",""),",","")),0))</f>
        <v/>
      </c>
      <c r="F482" s="11">
        <f>IF(A482="","",D482*E482)</f>
        <v/>
      </c>
      <c r="G482">
        <f>IF(A482="","",IF(C482="",1,COUNTIF($C$2:$C$1501,C482)))</f>
        <v/>
      </c>
      <c r="H482" s="11">
        <f>IF(A482="","",IFERROR(VALUE(SUBSTITUTE(SUBSTITUTE(INDEX('Shopify Import'!$A:$CZ,482,Settings!$E$25)&amp;"","$",""),",","")),0)/IF(Settings!$D$27="Yes",G482,1))</f>
        <v/>
      </c>
      <c r="I482" s="11">
        <f>IF(A482="","",IFERROR(VALUE(SUBSTITUTE(SUBSTITUTE(INDEX('Shopify Import'!$A:$CZ,482,Settings!$E$26)&amp;"","$",""),",","")),0)/IF(Settings!$D$27="Yes",G482,1))</f>
        <v/>
      </c>
      <c r="J482" s="11">
        <f>IF(A482="","",F482+H482-I482)</f>
        <v/>
      </c>
      <c r="K482">
        <f>IF(A482="","",IFERROR(IF(B482="",NA(),MATCH(B482,Products!$B$5:$B$204,0)),IFERROR(MATCH(A482,Products!$A$5:$A$204,0),"")))</f>
        <v/>
      </c>
      <c r="L482">
        <f>IF(A482="","",IF(K482="","⚠ not in Products",INDEX(Products!$A$5:$A$204,K482)))</f>
        <v/>
      </c>
      <c r="M482" s="11">
        <f>IF(A482="","",J482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482+IFERROR(INDEX(Settings!$D$5:$D$9,MATCH("Shopify",Settings!$A$5:$A$9,0)),0)*D482)</f>
        <v/>
      </c>
      <c r="N482" s="11">
        <f>IF(A482="","",IF(K482="",0,D482*INDEX(Products!$I$5:$I$204,K482)))</f>
        <v/>
      </c>
      <c r="O482" s="11">
        <f>IF(A482="","",IF(K482="",0,J482*INDEX(Products!$H$5:$H$204,K482)))</f>
        <v/>
      </c>
      <c r="P482" s="11">
        <f>IF(A482="","",J482-M482-N482-O482)</f>
        <v/>
      </c>
    </row>
    <row r="483">
      <c r="A483">
        <f>IFERROR(INDEX('Shopify Import'!$A:$CZ,483,Settings!$E$20)&amp;"","")</f>
        <v/>
      </c>
      <c r="B483">
        <f>IFERROR(INDEX('Shopify Import'!$A:$CZ,483,Settings!$E$21)&amp;"","")</f>
        <v/>
      </c>
      <c r="C483">
        <f>IFERROR(INDEX('Shopify Import'!$A:$CZ,483,Settings!$E$22)&amp;"","")</f>
        <v/>
      </c>
      <c r="D483">
        <f>IF(A483="","",IFERROR(VALUE(SUBSTITUTE(SUBSTITUTE(INDEX('Shopify Import'!$A:$CZ,483,Settings!$E$23)&amp;"","$",""),",","")),0))</f>
        <v/>
      </c>
      <c r="E483" s="11">
        <f>IF(A483="","",IFERROR(VALUE(SUBSTITUTE(SUBSTITUTE(INDEX('Shopify Import'!$A:$CZ,483,Settings!$E$24)&amp;"","$",""),",","")),0))</f>
        <v/>
      </c>
      <c r="F483" s="11">
        <f>IF(A483="","",D483*E483)</f>
        <v/>
      </c>
      <c r="G483">
        <f>IF(A483="","",IF(C483="",1,COUNTIF($C$2:$C$1501,C483)))</f>
        <v/>
      </c>
      <c r="H483" s="11">
        <f>IF(A483="","",IFERROR(VALUE(SUBSTITUTE(SUBSTITUTE(INDEX('Shopify Import'!$A:$CZ,483,Settings!$E$25)&amp;"","$",""),",","")),0)/IF(Settings!$D$27="Yes",G483,1))</f>
        <v/>
      </c>
      <c r="I483" s="11">
        <f>IF(A483="","",IFERROR(VALUE(SUBSTITUTE(SUBSTITUTE(INDEX('Shopify Import'!$A:$CZ,483,Settings!$E$26)&amp;"","$",""),",","")),0)/IF(Settings!$D$27="Yes",G483,1))</f>
        <v/>
      </c>
      <c r="J483" s="11">
        <f>IF(A483="","",F483+H483-I483)</f>
        <v/>
      </c>
      <c r="K483">
        <f>IF(A483="","",IFERROR(IF(B483="",NA(),MATCH(B483,Products!$B$5:$B$204,0)),IFERROR(MATCH(A483,Products!$A$5:$A$204,0),"")))</f>
        <v/>
      </c>
      <c r="L483">
        <f>IF(A483="","",IF(K483="","⚠ not in Products",INDEX(Products!$A$5:$A$204,K483)))</f>
        <v/>
      </c>
      <c r="M483" s="11">
        <f>IF(A483="","",J483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483+IFERROR(INDEX(Settings!$D$5:$D$9,MATCH("Shopify",Settings!$A$5:$A$9,0)),0)*D483)</f>
        <v/>
      </c>
      <c r="N483" s="11">
        <f>IF(A483="","",IF(K483="",0,D483*INDEX(Products!$I$5:$I$204,K483)))</f>
        <v/>
      </c>
      <c r="O483" s="11">
        <f>IF(A483="","",IF(K483="",0,J483*INDEX(Products!$H$5:$H$204,K483)))</f>
        <v/>
      </c>
      <c r="P483" s="11">
        <f>IF(A483="","",J483-M483-N483-O483)</f>
        <v/>
      </c>
    </row>
    <row r="484">
      <c r="A484">
        <f>IFERROR(INDEX('Shopify Import'!$A:$CZ,484,Settings!$E$20)&amp;"","")</f>
        <v/>
      </c>
      <c r="B484">
        <f>IFERROR(INDEX('Shopify Import'!$A:$CZ,484,Settings!$E$21)&amp;"","")</f>
        <v/>
      </c>
      <c r="C484">
        <f>IFERROR(INDEX('Shopify Import'!$A:$CZ,484,Settings!$E$22)&amp;"","")</f>
        <v/>
      </c>
      <c r="D484">
        <f>IF(A484="","",IFERROR(VALUE(SUBSTITUTE(SUBSTITUTE(INDEX('Shopify Import'!$A:$CZ,484,Settings!$E$23)&amp;"","$",""),",","")),0))</f>
        <v/>
      </c>
      <c r="E484" s="11">
        <f>IF(A484="","",IFERROR(VALUE(SUBSTITUTE(SUBSTITUTE(INDEX('Shopify Import'!$A:$CZ,484,Settings!$E$24)&amp;"","$",""),",","")),0))</f>
        <v/>
      </c>
      <c r="F484" s="11">
        <f>IF(A484="","",D484*E484)</f>
        <v/>
      </c>
      <c r="G484">
        <f>IF(A484="","",IF(C484="",1,COUNTIF($C$2:$C$1501,C484)))</f>
        <v/>
      </c>
      <c r="H484" s="11">
        <f>IF(A484="","",IFERROR(VALUE(SUBSTITUTE(SUBSTITUTE(INDEX('Shopify Import'!$A:$CZ,484,Settings!$E$25)&amp;"","$",""),",","")),0)/IF(Settings!$D$27="Yes",G484,1))</f>
        <v/>
      </c>
      <c r="I484" s="11">
        <f>IF(A484="","",IFERROR(VALUE(SUBSTITUTE(SUBSTITUTE(INDEX('Shopify Import'!$A:$CZ,484,Settings!$E$26)&amp;"","$",""),",","")),0)/IF(Settings!$D$27="Yes",G484,1))</f>
        <v/>
      </c>
      <c r="J484" s="11">
        <f>IF(A484="","",F484+H484-I484)</f>
        <v/>
      </c>
      <c r="K484">
        <f>IF(A484="","",IFERROR(IF(B484="",NA(),MATCH(B484,Products!$B$5:$B$204,0)),IFERROR(MATCH(A484,Products!$A$5:$A$204,0),"")))</f>
        <v/>
      </c>
      <c r="L484">
        <f>IF(A484="","",IF(K484="","⚠ not in Products",INDEX(Products!$A$5:$A$204,K484)))</f>
        <v/>
      </c>
      <c r="M484" s="11">
        <f>IF(A484="","",J484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484+IFERROR(INDEX(Settings!$D$5:$D$9,MATCH("Shopify",Settings!$A$5:$A$9,0)),0)*D484)</f>
        <v/>
      </c>
      <c r="N484" s="11">
        <f>IF(A484="","",IF(K484="",0,D484*INDEX(Products!$I$5:$I$204,K484)))</f>
        <v/>
      </c>
      <c r="O484" s="11">
        <f>IF(A484="","",IF(K484="",0,J484*INDEX(Products!$H$5:$H$204,K484)))</f>
        <v/>
      </c>
      <c r="P484" s="11">
        <f>IF(A484="","",J484-M484-N484-O484)</f>
        <v/>
      </c>
    </row>
    <row r="485">
      <c r="A485">
        <f>IFERROR(INDEX('Shopify Import'!$A:$CZ,485,Settings!$E$20)&amp;"","")</f>
        <v/>
      </c>
      <c r="B485">
        <f>IFERROR(INDEX('Shopify Import'!$A:$CZ,485,Settings!$E$21)&amp;"","")</f>
        <v/>
      </c>
      <c r="C485">
        <f>IFERROR(INDEX('Shopify Import'!$A:$CZ,485,Settings!$E$22)&amp;"","")</f>
        <v/>
      </c>
      <c r="D485">
        <f>IF(A485="","",IFERROR(VALUE(SUBSTITUTE(SUBSTITUTE(INDEX('Shopify Import'!$A:$CZ,485,Settings!$E$23)&amp;"","$",""),",","")),0))</f>
        <v/>
      </c>
      <c r="E485" s="11">
        <f>IF(A485="","",IFERROR(VALUE(SUBSTITUTE(SUBSTITUTE(INDEX('Shopify Import'!$A:$CZ,485,Settings!$E$24)&amp;"","$",""),",","")),0))</f>
        <v/>
      </c>
      <c r="F485" s="11">
        <f>IF(A485="","",D485*E485)</f>
        <v/>
      </c>
      <c r="G485">
        <f>IF(A485="","",IF(C485="",1,COUNTIF($C$2:$C$1501,C485)))</f>
        <v/>
      </c>
      <c r="H485" s="11">
        <f>IF(A485="","",IFERROR(VALUE(SUBSTITUTE(SUBSTITUTE(INDEX('Shopify Import'!$A:$CZ,485,Settings!$E$25)&amp;"","$",""),",","")),0)/IF(Settings!$D$27="Yes",G485,1))</f>
        <v/>
      </c>
      <c r="I485" s="11">
        <f>IF(A485="","",IFERROR(VALUE(SUBSTITUTE(SUBSTITUTE(INDEX('Shopify Import'!$A:$CZ,485,Settings!$E$26)&amp;"","$",""),",","")),0)/IF(Settings!$D$27="Yes",G485,1))</f>
        <v/>
      </c>
      <c r="J485" s="11">
        <f>IF(A485="","",F485+H485-I485)</f>
        <v/>
      </c>
      <c r="K485">
        <f>IF(A485="","",IFERROR(IF(B485="",NA(),MATCH(B485,Products!$B$5:$B$204,0)),IFERROR(MATCH(A485,Products!$A$5:$A$204,0),"")))</f>
        <v/>
      </c>
      <c r="L485">
        <f>IF(A485="","",IF(K485="","⚠ not in Products",INDEX(Products!$A$5:$A$204,K485)))</f>
        <v/>
      </c>
      <c r="M485" s="11">
        <f>IF(A485="","",J485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485+IFERROR(INDEX(Settings!$D$5:$D$9,MATCH("Shopify",Settings!$A$5:$A$9,0)),0)*D485)</f>
        <v/>
      </c>
      <c r="N485" s="11">
        <f>IF(A485="","",IF(K485="",0,D485*INDEX(Products!$I$5:$I$204,K485)))</f>
        <v/>
      </c>
      <c r="O485" s="11">
        <f>IF(A485="","",IF(K485="",0,J485*INDEX(Products!$H$5:$H$204,K485)))</f>
        <v/>
      </c>
      <c r="P485" s="11">
        <f>IF(A485="","",J485-M485-N485-O485)</f>
        <v/>
      </c>
    </row>
    <row r="486">
      <c r="A486">
        <f>IFERROR(INDEX('Shopify Import'!$A:$CZ,486,Settings!$E$20)&amp;"","")</f>
        <v/>
      </c>
      <c r="B486">
        <f>IFERROR(INDEX('Shopify Import'!$A:$CZ,486,Settings!$E$21)&amp;"","")</f>
        <v/>
      </c>
      <c r="C486">
        <f>IFERROR(INDEX('Shopify Import'!$A:$CZ,486,Settings!$E$22)&amp;"","")</f>
        <v/>
      </c>
      <c r="D486">
        <f>IF(A486="","",IFERROR(VALUE(SUBSTITUTE(SUBSTITUTE(INDEX('Shopify Import'!$A:$CZ,486,Settings!$E$23)&amp;"","$",""),",","")),0))</f>
        <v/>
      </c>
      <c r="E486" s="11">
        <f>IF(A486="","",IFERROR(VALUE(SUBSTITUTE(SUBSTITUTE(INDEX('Shopify Import'!$A:$CZ,486,Settings!$E$24)&amp;"","$",""),",","")),0))</f>
        <v/>
      </c>
      <c r="F486" s="11">
        <f>IF(A486="","",D486*E486)</f>
        <v/>
      </c>
      <c r="G486">
        <f>IF(A486="","",IF(C486="",1,COUNTIF($C$2:$C$1501,C486)))</f>
        <v/>
      </c>
      <c r="H486" s="11">
        <f>IF(A486="","",IFERROR(VALUE(SUBSTITUTE(SUBSTITUTE(INDEX('Shopify Import'!$A:$CZ,486,Settings!$E$25)&amp;"","$",""),",","")),0)/IF(Settings!$D$27="Yes",G486,1))</f>
        <v/>
      </c>
      <c r="I486" s="11">
        <f>IF(A486="","",IFERROR(VALUE(SUBSTITUTE(SUBSTITUTE(INDEX('Shopify Import'!$A:$CZ,486,Settings!$E$26)&amp;"","$",""),",","")),0)/IF(Settings!$D$27="Yes",G486,1))</f>
        <v/>
      </c>
      <c r="J486" s="11">
        <f>IF(A486="","",F486+H486-I486)</f>
        <v/>
      </c>
      <c r="K486">
        <f>IF(A486="","",IFERROR(IF(B486="",NA(),MATCH(B486,Products!$B$5:$B$204,0)),IFERROR(MATCH(A486,Products!$A$5:$A$204,0),"")))</f>
        <v/>
      </c>
      <c r="L486">
        <f>IF(A486="","",IF(K486="","⚠ not in Products",INDEX(Products!$A$5:$A$204,K486)))</f>
        <v/>
      </c>
      <c r="M486" s="11">
        <f>IF(A486="","",J486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486+IFERROR(INDEX(Settings!$D$5:$D$9,MATCH("Shopify",Settings!$A$5:$A$9,0)),0)*D486)</f>
        <v/>
      </c>
      <c r="N486" s="11">
        <f>IF(A486="","",IF(K486="",0,D486*INDEX(Products!$I$5:$I$204,K486)))</f>
        <v/>
      </c>
      <c r="O486" s="11">
        <f>IF(A486="","",IF(K486="",0,J486*INDEX(Products!$H$5:$H$204,K486)))</f>
        <v/>
      </c>
      <c r="P486" s="11">
        <f>IF(A486="","",J486-M486-N486-O486)</f>
        <v/>
      </c>
    </row>
    <row r="487">
      <c r="A487">
        <f>IFERROR(INDEX('Shopify Import'!$A:$CZ,487,Settings!$E$20)&amp;"","")</f>
        <v/>
      </c>
      <c r="B487">
        <f>IFERROR(INDEX('Shopify Import'!$A:$CZ,487,Settings!$E$21)&amp;"","")</f>
        <v/>
      </c>
      <c r="C487">
        <f>IFERROR(INDEX('Shopify Import'!$A:$CZ,487,Settings!$E$22)&amp;"","")</f>
        <v/>
      </c>
      <c r="D487">
        <f>IF(A487="","",IFERROR(VALUE(SUBSTITUTE(SUBSTITUTE(INDEX('Shopify Import'!$A:$CZ,487,Settings!$E$23)&amp;"","$",""),",","")),0))</f>
        <v/>
      </c>
      <c r="E487" s="11">
        <f>IF(A487="","",IFERROR(VALUE(SUBSTITUTE(SUBSTITUTE(INDEX('Shopify Import'!$A:$CZ,487,Settings!$E$24)&amp;"","$",""),",","")),0))</f>
        <v/>
      </c>
      <c r="F487" s="11">
        <f>IF(A487="","",D487*E487)</f>
        <v/>
      </c>
      <c r="G487">
        <f>IF(A487="","",IF(C487="",1,COUNTIF($C$2:$C$1501,C487)))</f>
        <v/>
      </c>
      <c r="H487" s="11">
        <f>IF(A487="","",IFERROR(VALUE(SUBSTITUTE(SUBSTITUTE(INDEX('Shopify Import'!$A:$CZ,487,Settings!$E$25)&amp;"","$",""),",","")),0)/IF(Settings!$D$27="Yes",G487,1))</f>
        <v/>
      </c>
      <c r="I487" s="11">
        <f>IF(A487="","",IFERROR(VALUE(SUBSTITUTE(SUBSTITUTE(INDEX('Shopify Import'!$A:$CZ,487,Settings!$E$26)&amp;"","$",""),",","")),0)/IF(Settings!$D$27="Yes",G487,1))</f>
        <v/>
      </c>
      <c r="J487" s="11">
        <f>IF(A487="","",F487+H487-I487)</f>
        <v/>
      </c>
      <c r="K487">
        <f>IF(A487="","",IFERROR(IF(B487="",NA(),MATCH(B487,Products!$B$5:$B$204,0)),IFERROR(MATCH(A487,Products!$A$5:$A$204,0),"")))</f>
        <v/>
      </c>
      <c r="L487">
        <f>IF(A487="","",IF(K487="","⚠ not in Products",INDEX(Products!$A$5:$A$204,K487)))</f>
        <v/>
      </c>
      <c r="M487" s="11">
        <f>IF(A487="","",J487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487+IFERROR(INDEX(Settings!$D$5:$D$9,MATCH("Shopify",Settings!$A$5:$A$9,0)),0)*D487)</f>
        <v/>
      </c>
      <c r="N487" s="11">
        <f>IF(A487="","",IF(K487="",0,D487*INDEX(Products!$I$5:$I$204,K487)))</f>
        <v/>
      </c>
      <c r="O487" s="11">
        <f>IF(A487="","",IF(K487="",0,J487*INDEX(Products!$H$5:$H$204,K487)))</f>
        <v/>
      </c>
      <c r="P487" s="11">
        <f>IF(A487="","",J487-M487-N487-O487)</f>
        <v/>
      </c>
    </row>
    <row r="488">
      <c r="A488">
        <f>IFERROR(INDEX('Shopify Import'!$A:$CZ,488,Settings!$E$20)&amp;"","")</f>
        <v/>
      </c>
      <c r="B488">
        <f>IFERROR(INDEX('Shopify Import'!$A:$CZ,488,Settings!$E$21)&amp;"","")</f>
        <v/>
      </c>
      <c r="C488">
        <f>IFERROR(INDEX('Shopify Import'!$A:$CZ,488,Settings!$E$22)&amp;"","")</f>
        <v/>
      </c>
      <c r="D488">
        <f>IF(A488="","",IFERROR(VALUE(SUBSTITUTE(SUBSTITUTE(INDEX('Shopify Import'!$A:$CZ,488,Settings!$E$23)&amp;"","$",""),",","")),0))</f>
        <v/>
      </c>
      <c r="E488" s="11">
        <f>IF(A488="","",IFERROR(VALUE(SUBSTITUTE(SUBSTITUTE(INDEX('Shopify Import'!$A:$CZ,488,Settings!$E$24)&amp;"","$",""),",","")),0))</f>
        <v/>
      </c>
      <c r="F488" s="11">
        <f>IF(A488="","",D488*E488)</f>
        <v/>
      </c>
      <c r="G488">
        <f>IF(A488="","",IF(C488="",1,COUNTIF($C$2:$C$1501,C488)))</f>
        <v/>
      </c>
      <c r="H488" s="11">
        <f>IF(A488="","",IFERROR(VALUE(SUBSTITUTE(SUBSTITUTE(INDEX('Shopify Import'!$A:$CZ,488,Settings!$E$25)&amp;"","$",""),",","")),0)/IF(Settings!$D$27="Yes",G488,1))</f>
        <v/>
      </c>
      <c r="I488" s="11">
        <f>IF(A488="","",IFERROR(VALUE(SUBSTITUTE(SUBSTITUTE(INDEX('Shopify Import'!$A:$CZ,488,Settings!$E$26)&amp;"","$",""),",","")),0)/IF(Settings!$D$27="Yes",G488,1))</f>
        <v/>
      </c>
      <c r="J488" s="11">
        <f>IF(A488="","",F488+H488-I488)</f>
        <v/>
      </c>
      <c r="K488">
        <f>IF(A488="","",IFERROR(IF(B488="",NA(),MATCH(B488,Products!$B$5:$B$204,0)),IFERROR(MATCH(A488,Products!$A$5:$A$204,0),"")))</f>
        <v/>
      </c>
      <c r="L488">
        <f>IF(A488="","",IF(K488="","⚠ not in Products",INDEX(Products!$A$5:$A$204,K488)))</f>
        <v/>
      </c>
      <c r="M488" s="11">
        <f>IF(A488="","",J488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488+IFERROR(INDEX(Settings!$D$5:$D$9,MATCH("Shopify",Settings!$A$5:$A$9,0)),0)*D488)</f>
        <v/>
      </c>
      <c r="N488" s="11">
        <f>IF(A488="","",IF(K488="",0,D488*INDEX(Products!$I$5:$I$204,K488)))</f>
        <v/>
      </c>
      <c r="O488" s="11">
        <f>IF(A488="","",IF(K488="",0,J488*INDEX(Products!$H$5:$H$204,K488)))</f>
        <v/>
      </c>
      <c r="P488" s="11">
        <f>IF(A488="","",J488-M488-N488-O488)</f>
        <v/>
      </c>
    </row>
    <row r="489">
      <c r="A489">
        <f>IFERROR(INDEX('Shopify Import'!$A:$CZ,489,Settings!$E$20)&amp;"","")</f>
        <v/>
      </c>
      <c r="B489">
        <f>IFERROR(INDEX('Shopify Import'!$A:$CZ,489,Settings!$E$21)&amp;"","")</f>
        <v/>
      </c>
      <c r="C489">
        <f>IFERROR(INDEX('Shopify Import'!$A:$CZ,489,Settings!$E$22)&amp;"","")</f>
        <v/>
      </c>
      <c r="D489">
        <f>IF(A489="","",IFERROR(VALUE(SUBSTITUTE(SUBSTITUTE(INDEX('Shopify Import'!$A:$CZ,489,Settings!$E$23)&amp;"","$",""),",","")),0))</f>
        <v/>
      </c>
      <c r="E489" s="11">
        <f>IF(A489="","",IFERROR(VALUE(SUBSTITUTE(SUBSTITUTE(INDEX('Shopify Import'!$A:$CZ,489,Settings!$E$24)&amp;"","$",""),",","")),0))</f>
        <v/>
      </c>
      <c r="F489" s="11">
        <f>IF(A489="","",D489*E489)</f>
        <v/>
      </c>
      <c r="G489">
        <f>IF(A489="","",IF(C489="",1,COUNTIF($C$2:$C$1501,C489)))</f>
        <v/>
      </c>
      <c r="H489" s="11">
        <f>IF(A489="","",IFERROR(VALUE(SUBSTITUTE(SUBSTITUTE(INDEX('Shopify Import'!$A:$CZ,489,Settings!$E$25)&amp;"","$",""),",","")),0)/IF(Settings!$D$27="Yes",G489,1))</f>
        <v/>
      </c>
      <c r="I489" s="11">
        <f>IF(A489="","",IFERROR(VALUE(SUBSTITUTE(SUBSTITUTE(INDEX('Shopify Import'!$A:$CZ,489,Settings!$E$26)&amp;"","$",""),",","")),0)/IF(Settings!$D$27="Yes",G489,1))</f>
        <v/>
      </c>
      <c r="J489" s="11">
        <f>IF(A489="","",F489+H489-I489)</f>
        <v/>
      </c>
      <c r="K489">
        <f>IF(A489="","",IFERROR(IF(B489="",NA(),MATCH(B489,Products!$B$5:$B$204,0)),IFERROR(MATCH(A489,Products!$A$5:$A$204,0),"")))</f>
        <v/>
      </c>
      <c r="L489">
        <f>IF(A489="","",IF(K489="","⚠ not in Products",INDEX(Products!$A$5:$A$204,K489)))</f>
        <v/>
      </c>
      <c r="M489" s="11">
        <f>IF(A489="","",J489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489+IFERROR(INDEX(Settings!$D$5:$D$9,MATCH("Shopify",Settings!$A$5:$A$9,0)),0)*D489)</f>
        <v/>
      </c>
      <c r="N489" s="11">
        <f>IF(A489="","",IF(K489="",0,D489*INDEX(Products!$I$5:$I$204,K489)))</f>
        <v/>
      </c>
      <c r="O489" s="11">
        <f>IF(A489="","",IF(K489="",0,J489*INDEX(Products!$H$5:$H$204,K489)))</f>
        <v/>
      </c>
      <c r="P489" s="11">
        <f>IF(A489="","",J489-M489-N489-O489)</f>
        <v/>
      </c>
    </row>
    <row r="490">
      <c r="A490">
        <f>IFERROR(INDEX('Shopify Import'!$A:$CZ,490,Settings!$E$20)&amp;"","")</f>
        <v/>
      </c>
      <c r="B490">
        <f>IFERROR(INDEX('Shopify Import'!$A:$CZ,490,Settings!$E$21)&amp;"","")</f>
        <v/>
      </c>
      <c r="C490">
        <f>IFERROR(INDEX('Shopify Import'!$A:$CZ,490,Settings!$E$22)&amp;"","")</f>
        <v/>
      </c>
      <c r="D490">
        <f>IF(A490="","",IFERROR(VALUE(SUBSTITUTE(SUBSTITUTE(INDEX('Shopify Import'!$A:$CZ,490,Settings!$E$23)&amp;"","$",""),",","")),0))</f>
        <v/>
      </c>
      <c r="E490" s="11">
        <f>IF(A490="","",IFERROR(VALUE(SUBSTITUTE(SUBSTITUTE(INDEX('Shopify Import'!$A:$CZ,490,Settings!$E$24)&amp;"","$",""),",","")),0))</f>
        <v/>
      </c>
      <c r="F490" s="11">
        <f>IF(A490="","",D490*E490)</f>
        <v/>
      </c>
      <c r="G490">
        <f>IF(A490="","",IF(C490="",1,COUNTIF($C$2:$C$1501,C490)))</f>
        <v/>
      </c>
      <c r="H490" s="11">
        <f>IF(A490="","",IFERROR(VALUE(SUBSTITUTE(SUBSTITUTE(INDEX('Shopify Import'!$A:$CZ,490,Settings!$E$25)&amp;"","$",""),",","")),0)/IF(Settings!$D$27="Yes",G490,1))</f>
        <v/>
      </c>
      <c r="I490" s="11">
        <f>IF(A490="","",IFERROR(VALUE(SUBSTITUTE(SUBSTITUTE(INDEX('Shopify Import'!$A:$CZ,490,Settings!$E$26)&amp;"","$",""),",","")),0)/IF(Settings!$D$27="Yes",G490,1))</f>
        <v/>
      </c>
      <c r="J490" s="11">
        <f>IF(A490="","",F490+H490-I490)</f>
        <v/>
      </c>
      <c r="K490">
        <f>IF(A490="","",IFERROR(IF(B490="",NA(),MATCH(B490,Products!$B$5:$B$204,0)),IFERROR(MATCH(A490,Products!$A$5:$A$204,0),"")))</f>
        <v/>
      </c>
      <c r="L490">
        <f>IF(A490="","",IF(K490="","⚠ not in Products",INDEX(Products!$A$5:$A$204,K490)))</f>
        <v/>
      </c>
      <c r="M490" s="11">
        <f>IF(A490="","",J490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490+IFERROR(INDEX(Settings!$D$5:$D$9,MATCH("Shopify",Settings!$A$5:$A$9,0)),0)*D490)</f>
        <v/>
      </c>
      <c r="N490" s="11">
        <f>IF(A490="","",IF(K490="",0,D490*INDEX(Products!$I$5:$I$204,K490)))</f>
        <v/>
      </c>
      <c r="O490" s="11">
        <f>IF(A490="","",IF(K490="",0,J490*INDEX(Products!$H$5:$H$204,K490)))</f>
        <v/>
      </c>
      <c r="P490" s="11">
        <f>IF(A490="","",J490-M490-N490-O490)</f>
        <v/>
      </c>
    </row>
    <row r="491">
      <c r="A491">
        <f>IFERROR(INDEX('Shopify Import'!$A:$CZ,491,Settings!$E$20)&amp;"","")</f>
        <v/>
      </c>
      <c r="B491">
        <f>IFERROR(INDEX('Shopify Import'!$A:$CZ,491,Settings!$E$21)&amp;"","")</f>
        <v/>
      </c>
      <c r="C491">
        <f>IFERROR(INDEX('Shopify Import'!$A:$CZ,491,Settings!$E$22)&amp;"","")</f>
        <v/>
      </c>
      <c r="D491">
        <f>IF(A491="","",IFERROR(VALUE(SUBSTITUTE(SUBSTITUTE(INDEX('Shopify Import'!$A:$CZ,491,Settings!$E$23)&amp;"","$",""),",","")),0))</f>
        <v/>
      </c>
      <c r="E491" s="11">
        <f>IF(A491="","",IFERROR(VALUE(SUBSTITUTE(SUBSTITUTE(INDEX('Shopify Import'!$A:$CZ,491,Settings!$E$24)&amp;"","$",""),",","")),0))</f>
        <v/>
      </c>
      <c r="F491" s="11">
        <f>IF(A491="","",D491*E491)</f>
        <v/>
      </c>
      <c r="G491">
        <f>IF(A491="","",IF(C491="",1,COUNTIF($C$2:$C$1501,C491)))</f>
        <v/>
      </c>
      <c r="H491" s="11">
        <f>IF(A491="","",IFERROR(VALUE(SUBSTITUTE(SUBSTITUTE(INDEX('Shopify Import'!$A:$CZ,491,Settings!$E$25)&amp;"","$",""),",","")),0)/IF(Settings!$D$27="Yes",G491,1))</f>
        <v/>
      </c>
      <c r="I491" s="11">
        <f>IF(A491="","",IFERROR(VALUE(SUBSTITUTE(SUBSTITUTE(INDEX('Shopify Import'!$A:$CZ,491,Settings!$E$26)&amp;"","$",""),",","")),0)/IF(Settings!$D$27="Yes",G491,1))</f>
        <v/>
      </c>
      <c r="J491" s="11">
        <f>IF(A491="","",F491+H491-I491)</f>
        <v/>
      </c>
      <c r="K491">
        <f>IF(A491="","",IFERROR(IF(B491="",NA(),MATCH(B491,Products!$B$5:$B$204,0)),IFERROR(MATCH(A491,Products!$A$5:$A$204,0),"")))</f>
        <v/>
      </c>
      <c r="L491">
        <f>IF(A491="","",IF(K491="","⚠ not in Products",INDEX(Products!$A$5:$A$204,K491)))</f>
        <v/>
      </c>
      <c r="M491" s="11">
        <f>IF(A491="","",J491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491+IFERROR(INDEX(Settings!$D$5:$D$9,MATCH("Shopify",Settings!$A$5:$A$9,0)),0)*D491)</f>
        <v/>
      </c>
      <c r="N491" s="11">
        <f>IF(A491="","",IF(K491="",0,D491*INDEX(Products!$I$5:$I$204,K491)))</f>
        <v/>
      </c>
      <c r="O491" s="11">
        <f>IF(A491="","",IF(K491="",0,J491*INDEX(Products!$H$5:$H$204,K491)))</f>
        <v/>
      </c>
      <c r="P491" s="11">
        <f>IF(A491="","",J491-M491-N491-O491)</f>
        <v/>
      </c>
    </row>
    <row r="492">
      <c r="A492">
        <f>IFERROR(INDEX('Shopify Import'!$A:$CZ,492,Settings!$E$20)&amp;"","")</f>
        <v/>
      </c>
      <c r="B492">
        <f>IFERROR(INDEX('Shopify Import'!$A:$CZ,492,Settings!$E$21)&amp;"","")</f>
        <v/>
      </c>
      <c r="C492">
        <f>IFERROR(INDEX('Shopify Import'!$A:$CZ,492,Settings!$E$22)&amp;"","")</f>
        <v/>
      </c>
      <c r="D492">
        <f>IF(A492="","",IFERROR(VALUE(SUBSTITUTE(SUBSTITUTE(INDEX('Shopify Import'!$A:$CZ,492,Settings!$E$23)&amp;"","$",""),",","")),0))</f>
        <v/>
      </c>
      <c r="E492" s="11">
        <f>IF(A492="","",IFERROR(VALUE(SUBSTITUTE(SUBSTITUTE(INDEX('Shopify Import'!$A:$CZ,492,Settings!$E$24)&amp;"","$",""),",","")),0))</f>
        <v/>
      </c>
      <c r="F492" s="11">
        <f>IF(A492="","",D492*E492)</f>
        <v/>
      </c>
      <c r="G492">
        <f>IF(A492="","",IF(C492="",1,COUNTIF($C$2:$C$1501,C492)))</f>
        <v/>
      </c>
      <c r="H492" s="11">
        <f>IF(A492="","",IFERROR(VALUE(SUBSTITUTE(SUBSTITUTE(INDEX('Shopify Import'!$A:$CZ,492,Settings!$E$25)&amp;"","$",""),",","")),0)/IF(Settings!$D$27="Yes",G492,1))</f>
        <v/>
      </c>
      <c r="I492" s="11">
        <f>IF(A492="","",IFERROR(VALUE(SUBSTITUTE(SUBSTITUTE(INDEX('Shopify Import'!$A:$CZ,492,Settings!$E$26)&amp;"","$",""),",","")),0)/IF(Settings!$D$27="Yes",G492,1))</f>
        <v/>
      </c>
      <c r="J492" s="11">
        <f>IF(A492="","",F492+H492-I492)</f>
        <v/>
      </c>
      <c r="K492">
        <f>IF(A492="","",IFERROR(IF(B492="",NA(),MATCH(B492,Products!$B$5:$B$204,0)),IFERROR(MATCH(A492,Products!$A$5:$A$204,0),"")))</f>
        <v/>
      </c>
      <c r="L492">
        <f>IF(A492="","",IF(K492="","⚠ not in Products",INDEX(Products!$A$5:$A$204,K492)))</f>
        <v/>
      </c>
      <c r="M492" s="11">
        <f>IF(A492="","",J492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492+IFERROR(INDEX(Settings!$D$5:$D$9,MATCH("Shopify",Settings!$A$5:$A$9,0)),0)*D492)</f>
        <v/>
      </c>
      <c r="N492" s="11">
        <f>IF(A492="","",IF(K492="",0,D492*INDEX(Products!$I$5:$I$204,K492)))</f>
        <v/>
      </c>
      <c r="O492" s="11">
        <f>IF(A492="","",IF(K492="",0,J492*INDEX(Products!$H$5:$H$204,K492)))</f>
        <v/>
      </c>
      <c r="P492" s="11">
        <f>IF(A492="","",J492-M492-N492-O492)</f>
        <v/>
      </c>
    </row>
    <row r="493">
      <c r="A493">
        <f>IFERROR(INDEX('Shopify Import'!$A:$CZ,493,Settings!$E$20)&amp;"","")</f>
        <v/>
      </c>
      <c r="B493">
        <f>IFERROR(INDEX('Shopify Import'!$A:$CZ,493,Settings!$E$21)&amp;"","")</f>
        <v/>
      </c>
      <c r="C493">
        <f>IFERROR(INDEX('Shopify Import'!$A:$CZ,493,Settings!$E$22)&amp;"","")</f>
        <v/>
      </c>
      <c r="D493">
        <f>IF(A493="","",IFERROR(VALUE(SUBSTITUTE(SUBSTITUTE(INDEX('Shopify Import'!$A:$CZ,493,Settings!$E$23)&amp;"","$",""),",","")),0))</f>
        <v/>
      </c>
      <c r="E493" s="11">
        <f>IF(A493="","",IFERROR(VALUE(SUBSTITUTE(SUBSTITUTE(INDEX('Shopify Import'!$A:$CZ,493,Settings!$E$24)&amp;"","$",""),",","")),0))</f>
        <v/>
      </c>
      <c r="F493" s="11">
        <f>IF(A493="","",D493*E493)</f>
        <v/>
      </c>
      <c r="G493">
        <f>IF(A493="","",IF(C493="",1,COUNTIF($C$2:$C$1501,C493)))</f>
        <v/>
      </c>
      <c r="H493" s="11">
        <f>IF(A493="","",IFERROR(VALUE(SUBSTITUTE(SUBSTITUTE(INDEX('Shopify Import'!$A:$CZ,493,Settings!$E$25)&amp;"","$",""),",","")),0)/IF(Settings!$D$27="Yes",G493,1))</f>
        <v/>
      </c>
      <c r="I493" s="11">
        <f>IF(A493="","",IFERROR(VALUE(SUBSTITUTE(SUBSTITUTE(INDEX('Shopify Import'!$A:$CZ,493,Settings!$E$26)&amp;"","$",""),",","")),0)/IF(Settings!$D$27="Yes",G493,1))</f>
        <v/>
      </c>
      <c r="J493" s="11">
        <f>IF(A493="","",F493+H493-I493)</f>
        <v/>
      </c>
      <c r="K493">
        <f>IF(A493="","",IFERROR(IF(B493="",NA(),MATCH(B493,Products!$B$5:$B$204,0)),IFERROR(MATCH(A493,Products!$A$5:$A$204,0),"")))</f>
        <v/>
      </c>
      <c r="L493">
        <f>IF(A493="","",IF(K493="","⚠ not in Products",INDEX(Products!$A$5:$A$204,K493)))</f>
        <v/>
      </c>
      <c r="M493" s="11">
        <f>IF(A493="","",J493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493+IFERROR(INDEX(Settings!$D$5:$D$9,MATCH("Shopify",Settings!$A$5:$A$9,0)),0)*D493)</f>
        <v/>
      </c>
      <c r="N493" s="11">
        <f>IF(A493="","",IF(K493="",0,D493*INDEX(Products!$I$5:$I$204,K493)))</f>
        <v/>
      </c>
      <c r="O493" s="11">
        <f>IF(A493="","",IF(K493="",0,J493*INDEX(Products!$H$5:$H$204,K493)))</f>
        <v/>
      </c>
      <c r="P493" s="11">
        <f>IF(A493="","",J493-M493-N493-O493)</f>
        <v/>
      </c>
    </row>
    <row r="494">
      <c r="A494">
        <f>IFERROR(INDEX('Shopify Import'!$A:$CZ,494,Settings!$E$20)&amp;"","")</f>
        <v/>
      </c>
      <c r="B494">
        <f>IFERROR(INDEX('Shopify Import'!$A:$CZ,494,Settings!$E$21)&amp;"","")</f>
        <v/>
      </c>
      <c r="C494">
        <f>IFERROR(INDEX('Shopify Import'!$A:$CZ,494,Settings!$E$22)&amp;"","")</f>
        <v/>
      </c>
      <c r="D494">
        <f>IF(A494="","",IFERROR(VALUE(SUBSTITUTE(SUBSTITUTE(INDEX('Shopify Import'!$A:$CZ,494,Settings!$E$23)&amp;"","$",""),",","")),0))</f>
        <v/>
      </c>
      <c r="E494" s="11">
        <f>IF(A494="","",IFERROR(VALUE(SUBSTITUTE(SUBSTITUTE(INDEX('Shopify Import'!$A:$CZ,494,Settings!$E$24)&amp;"","$",""),",","")),0))</f>
        <v/>
      </c>
      <c r="F494" s="11">
        <f>IF(A494="","",D494*E494)</f>
        <v/>
      </c>
      <c r="G494">
        <f>IF(A494="","",IF(C494="",1,COUNTIF($C$2:$C$1501,C494)))</f>
        <v/>
      </c>
      <c r="H494" s="11">
        <f>IF(A494="","",IFERROR(VALUE(SUBSTITUTE(SUBSTITUTE(INDEX('Shopify Import'!$A:$CZ,494,Settings!$E$25)&amp;"","$",""),",","")),0)/IF(Settings!$D$27="Yes",G494,1))</f>
        <v/>
      </c>
      <c r="I494" s="11">
        <f>IF(A494="","",IFERROR(VALUE(SUBSTITUTE(SUBSTITUTE(INDEX('Shopify Import'!$A:$CZ,494,Settings!$E$26)&amp;"","$",""),",","")),0)/IF(Settings!$D$27="Yes",G494,1))</f>
        <v/>
      </c>
      <c r="J494" s="11">
        <f>IF(A494="","",F494+H494-I494)</f>
        <v/>
      </c>
      <c r="K494">
        <f>IF(A494="","",IFERROR(IF(B494="",NA(),MATCH(B494,Products!$B$5:$B$204,0)),IFERROR(MATCH(A494,Products!$A$5:$A$204,0),"")))</f>
        <v/>
      </c>
      <c r="L494">
        <f>IF(A494="","",IF(K494="","⚠ not in Products",INDEX(Products!$A$5:$A$204,K494)))</f>
        <v/>
      </c>
      <c r="M494" s="11">
        <f>IF(A494="","",J494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494+IFERROR(INDEX(Settings!$D$5:$D$9,MATCH("Shopify",Settings!$A$5:$A$9,0)),0)*D494)</f>
        <v/>
      </c>
      <c r="N494" s="11">
        <f>IF(A494="","",IF(K494="",0,D494*INDEX(Products!$I$5:$I$204,K494)))</f>
        <v/>
      </c>
      <c r="O494" s="11">
        <f>IF(A494="","",IF(K494="",0,J494*INDEX(Products!$H$5:$H$204,K494)))</f>
        <v/>
      </c>
      <c r="P494" s="11">
        <f>IF(A494="","",J494-M494-N494-O494)</f>
        <v/>
      </c>
    </row>
    <row r="495">
      <c r="A495">
        <f>IFERROR(INDEX('Shopify Import'!$A:$CZ,495,Settings!$E$20)&amp;"","")</f>
        <v/>
      </c>
      <c r="B495">
        <f>IFERROR(INDEX('Shopify Import'!$A:$CZ,495,Settings!$E$21)&amp;"","")</f>
        <v/>
      </c>
      <c r="C495">
        <f>IFERROR(INDEX('Shopify Import'!$A:$CZ,495,Settings!$E$22)&amp;"","")</f>
        <v/>
      </c>
      <c r="D495">
        <f>IF(A495="","",IFERROR(VALUE(SUBSTITUTE(SUBSTITUTE(INDEX('Shopify Import'!$A:$CZ,495,Settings!$E$23)&amp;"","$",""),",","")),0))</f>
        <v/>
      </c>
      <c r="E495" s="11">
        <f>IF(A495="","",IFERROR(VALUE(SUBSTITUTE(SUBSTITUTE(INDEX('Shopify Import'!$A:$CZ,495,Settings!$E$24)&amp;"","$",""),",","")),0))</f>
        <v/>
      </c>
      <c r="F495" s="11">
        <f>IF(A495="","",D495*E495)</f>
        <v/>
      </c>
      <c r="G495">
        <f>IF(A495="","",IF(C495="",1,COUNTIF($C$2:$C$1501,C495)))</f>
        <v/>
      </c>
      <c r="H495" s="11">
        <f>IF(A495="","",IFERROR(VALUE(SUBSTITUTE(SUBSTITUTE(INDEX('Shopify Import'!$A:$CZ,495,Settings!$E$25)&amp;"","$",""),",","")),0)/IF(Settings!$D$27="Yes",G495,1))</f>
        <v/>
      </c>
      <c r="I495" s="11">
        <f>IF(A495="","",IFERROR(VALUE(SUBSTITUTE(SUBSTITUTE(INDEX('Shopify Import'!$A:$CZ,495,Settings!$E$26)&amp;"","$",""),",","")),0)/IF(Settings!$D$27="Yes",G495,1))</f>
        <v/>
      </c>
      <c r="J495" s="11">
        <f>IF(A495="","",F495+H495-I495)</f>
        <v/>
      </c>
      <c r="K495">
        <f>IF(A495="","",IFERROR(IF(B495="",NA(),MATCH(B495,Products!$B$5:$B$204,0)),IFERROR(MATCH(A495,Products!$A$5:$A$204,0),"")))</f>
        <v/>
      </c>
      <c r="L495">
        <f>IF(A495="","",IF(K495="","⚠ not in Products",INDEX(Products!$A$5:$A$204,K495)))</f>
        <v/>
      </c>
      <c r="M495" s="11">
        <f>IF(A495="","",J495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495+IFERROR(INDEX(Settings!$D$5:$D$9,MATCH("Shopify",Settings!$A$5:$A$9,0)),0)*D495)</f>
        <v/>
      </c>
      <c r="N495" s="11">
        <f>IF(A495="","",IF(K495="",0,D495*INDEX(Products!$I$5:$I$204,K495)))</f>
        <v/>
      </c>
      <c r="O495" s="11">
        <f>IF(A495="","",IF(K495="",0,J495*INDEX(Products!$H$5:$H$204,K495)))</f>
        <v/>
      </c>
      <c r="P495" s="11">
        <f>IF(A495="","",J495-M495-N495-O495)</f>
        <v/>
      </c>
    </row>
    <row r="496">
      <c r="A496">
        <f>IFERROR(INDEX('Shopify Import'!$A:$CZ,496,Settings!$E$20)&amp;"","")</f>
        <v/>
      </c>
      <c r="B496">
        <f>IFERROR(INDEX('Shopify Import'!$A:$CZ,496,Settings!$E$21)&amp;"","")</f>
        <v/>
      </c>
      <c r="C496">
        <f>IFERROR(INDEX('Shopify Import'!$A:$CZ,496,Settings!$E$22)&amp;"","")</f>
        <v/>
      </c>
      <c r="D496">
        <f>IF(A496="","",IFERROR(VALUE(SUBSTITUTE(SUBSTITUTE(INDEX('Shopify Import'!$A:$CZ,496,Settings!$E$23)&amp;"","$",""),",","")),0))</f>
        <v/>
      </c>
      <c r="E496" s="11">
        <f>IF(A496="","",IFERROR(VALUE(SUBSTITUTE(SUBSTITUTE(INDEX('Shopify Import'!$A:$CZ,496,Settings!$E$24)&amp;"","$",""),",","")),0))</f>
        <v/>
      </c>
      <c r="F496" s="11">
        <f>IF(A496="","",D496*E496)</f>
        <v/>
      </c>
      <c r="G496">
        <f>IF(A496="","",IF(C496="",1,COUNTIF($C$2:$C$1501,C496)))</f>
        <v/>
      </c>
      <c r="H496" s="11">
        <f>IF(A496="","",IFERROR(VALUE(SUBSTITUTE(SUBSTITUTE(INDEX('Shopify Import'!$A:$CZ,496,Settings!$E$25)&amp;"","$",""),",","")),0)/IF(Settings!$D$27="Yes",G496,1))</f>
        <v/>
      </c>
      <c r="I496" s="11">
        <f>IF(A496="","",IFERROR(VALUE(SUBSTITUTE(SUBSTITUTE(INDEX('Shopify Import'!$A:$CZ,496,Settings!$E$26)&amp;"","$",""),",","")),0)/IF(Settings!$D$27="Yes",G496,1))</f>
        <v/>
      </c>
      <c r="J496" s="11">
        <f>IF(A496="","",F496+H496-I496)</f>
        <v/>
      </c>
      <c r="K496">
        <f>IF(A496="","",IFERROR(IF(B496="",NA(),MATCH(B496,Products!$B$5:$B$204,0)),IFERROR(MATCH(A496,Products!$A$5:$A$204,0),"")))</f>
        <v/>
      </c>
      <c r="L496">
        <f>IF(A496="","",IF(K496="","⚠ not in Products",INDEX(Products!$A$5:$A$204,K496)))</f>
        <v/>
      </c>
      <c r="M496" s="11">
        <f>IF(A496="","",J496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496+IFERROR(INDEX(Settings!$D$5:$D$9,MATCH("Shopify",Settings!$A$5:$A$9,0)),0)*D496)</f>
        <v/>
      </c>
      <c r="N496" s="11">
        <f>IF(A496="","",IF(K496="",0,D496*INDEX(Products!$I$5:$I$204,K496)))</f>
        <v/>
      </c>
      <c r="O496" s="11">
        <f>IF(A496="","",IF(K496="",0,J496*INDEX(Products!$H$5:$H$204,K496)))</f>
        <v/>
      </c>
      <c r="P496" s="11">
        <f>IF(A496="","",J496-M496-N496-O496)</f>
        <v/>
      </c>
    </row>
    <row r="497">
      <c r="A497">
        <f>IFERROR(INDEX('Shopify Import'!$A:$CZ,497,Settings!$E$20)&amp;"","")</f>
        <v/>
      </c>
      <c r="B497">
        <f>IFERROR(INDEX('Shopify Import'!$A:$CZ,497,Settings!$E$21)&amp;"","")</f>
        <v/>
      </c>
      <c r="C497">
        <f>IFERROR(INDEX('Shopify Import'!$A:$CZ,497,Settings!$E$22)&amp;"","")</f>
        <v/>
      </c>
      <c r="D497">
        <f>IF(A497="","",IFERROR(VALUE(SUBSTITUTE(SUBSTITUTE(INDEX('Shopify Import'!$A:$CZ,497,Settings!$E$23)&amp;"","$",""),",","")),0))</f>
        <v/>
      </c>
      <c r="E497" s="11">
        <f>IF(A497="","",IFERROR(VALUE(SUBSTITUTE(SUBSTITUTE(INDEX('Shopify Import'!$A:$CZ,497,Settings!$E$24)&amp;"","$",""),",","")),0))</f>
        <v/>
      </c>
      <c r="F497" s="11">
        <f>IF(A497="","",D497*E497)</f>
        <v/>
      </c>
      <c r="G497">
        <f>IF(A497="","",IF(C497="",1,COUNTIF($C$2:$C$1501,C497)))</f>
        <v/>
      </c>
      <c r="H497" s="11">
        <f>IF(A497="","",IFERROR(VALUE(SUBSTITUTE(SUBSTITUTE(INDEX('Shopify Import'!$A:$CZ,497,Settings!$E$25)&amp;"","$",""),",","")),0)/IF(Settings!$D$27="Yes",G497,1))</f>
        <v/>
      </c>
      <c r="I497" s="11">
        <f>IF(A497="","",IFERROR(VALUE(SUBSTITUTE(SUBSTITUTE(INDEX('Shopify Import'!$A:$CZ,497,Settings!$E$26)&amp;"","$",""),",","")),0)/IF(Settings!$D$27="Yes",G497,1))</f>
        <v/>
      </c>
      <c r="J497" s="11">
        <f>IF(A497="","",F497+H497-I497)</f>
        <v/>
      </c>
      <c r="K497">
        <f>IF(A497="","",IFERROR(IF(B497="",NA(),MATCH(B497,Products!$B$5:$B$204,0)),IFERROR(MATCH(A497,Products!$A$5:$A$204,0),"")))</f>
        <v/>
      </c>
      <c r="L497">
        <f>IF(A497="","",IF(K497="","⚠ not in Products",INDEX(Products!$A$5:$A$204,K497)))</f>
        <v/>
      </c>
      <c r="M497" s="11">
        <f>IF(A497="","",J497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497+IFERROR(INDEX(Settings!$D$5:$D$9,MATCH("Shopify",Settings!$A$5:$A$9,0)),0)*D497)</f>
        <v/>
      </c>
      <c r="N497" s="11">
        <f>IF(A497="","",IF(K497="",0,D497*INDEX(Products!$I$5:$I$204,K497)))</f>
        <v/>
      </c>
      <c r="O497" s="11">
        <f>IF(A497="","",IF(K497="",0,J497*INDEX(Products!$H$5:$H$204,K497)))</f>
        <v/>
      </c>
      <c r="P497" s="11">
        <f>IF(A497="","",J497-M497-N497-O497)</f>
        <v/>
      </c>
    </row>
    <row r="498">
      <c r="A498">
        <f>IFERROR(INDEX('Shopify Import'!$A:$CZ,498,Settings!$E$20)&amp;"","")</f>
        <v/>
      </c>
      <c r="B498">
        <f>IFERROR(INDEX('Shopify Import'!$A:$CZ,498,Settings!$E$21)&amp;"","")</f>
        <v/>
      </c>
      <c r="C498">
        <f>IFERROR(INDEX('Shopify Import'!$A:$CZ,498,Settings!$E$22)&amp;"","")</f>
        <v/>
      </c>
      <c r="D498">
        <f>IF(A498="","",IFERROR(VALUE(SUBSTITUTE(SUBSTITUTE(INDEX('Shopify Import'!$A:$CZ,498,Settings!$E$23)&amp;"","$",""),",","")),0))</f>
        <v/>
      </c>
      <c r="E498" s="11">
        <f>IF(A498="","",IFERROR(VALUE(SUBSTITUTE(SUBSTITUTE(INDEX('Shopify Import'!$A:$CZ,498,Settings!$E$24)&amp;"","$",""),",","")),0))</f>
        <v/>
      </c>
      <c r="F498" s="11">
        <f>IF(A498="","",D498*E498)</f>
        <v/>
      </c>
      <c r="G498">
        <f>IF(A498="","",IF(C498="",1,COUNTIF($C$2:$C$1501,C498)))</f>
        <v/>
      </c>
      <c r="H498" s="11">
        <f>IF(A498="","",IFERROR(VALUE(SUBSTITUTE(SUBSTITUTE(INDEX('Shopify Import'!$A:$CZ,498,Settings!$E$25)&amp;"","$",""),",","")),0)/IF(Settings!$D$27="Yes",G498,1))</f>
        <v/>
      </c>
      <c r="I498" s="11">
        <f>IF(A498="","",IFERROR(VALUE(SUBSTITUTE(SUBSTITUTE(INDEX('Shopify Import'!$A:$CZ,498,Settings!$E$26)&amp;"","$",""),",","")),0)/IF(Settings!$D$27="Yes",G498,1))</f>
        <v/>
      </c>
      <c r="J498" s="11">
        <f>IF(A498="","",F498+H498-I498)</f>
        <v/>
      </c>
      <c r="K498">
        <f>IF(A498="","",IFERROR(IF(B498="",NA(),MATCH(B498,Products!$B$5:$B$204,0)),IFERROR(MATCH(A498,Products!$A$5:$A$204,0),"")))</f>
        <v/>
      </c>
      <c r="L498">
        <f>IF(A498="","",IF(K498="","⚠ not in Products",INDEX(Products!$A$5:$A$204,K498)))</f>
        <v/>
      </c>
      <c r="M498" s="11">
        <f>IF(A498="","",J498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498+IFERROR(INDEX(Settings!$D$5:$D$9,MATCH("Shopify",Settings!$A$5:$A$9,0)),0)*D498)</f>
        <v/>
      </c>
      <c r="N498" s="11">
        <f>IF(A498="","",IF(K498="",0,D498*INDEX(Products!$I$5:$I$204,K498)))</f>
        <v/>
      </c>
      <c r="O498" s="11">
        <f>IF(A498="","",IF(K498="",0,J498*INDEX(Products!$H$5:$H$204,K498)))</f>
        <v/>
      </c>
      <c r="P498" s="11">
        <f>IF(A498="","",J498-M498-N498-O498)</f>
        <v/>
      </c>
    </row>
    <row r="499">
      <c r="A499">
        <f>IFERROR(INDEX('Shopify Import'!$A:$CZ,499,Settings!$E$20)&amp;"","")</f>
        <v/>
      </c>
      <c r="B499">
        <f>IFERROR(INDEX('Shopify Import'!$A:$CZ,499,Settings!$E$21)&amp;"","")</f>
        <v/>
      </c>
      <c r="C499">
        <f>IFERROR(INDEX('Shopify Import'!$A:$CZ,499,Settings!$E$22)&amp;"","")</f>
        <v/>
      </c>
      <c r="D499">
        <f>IF(A499="","",IFERROR(VALUE(SUBSTITUTE(SUBSTITUTE(INDEX('Shopify Import'!$A:$CZ,499,Settings!$E$23)&amp;"","$",""),",","")),0))</f>
        <v/>
      </c>
      <c r="E499" s="11">
        <f>IF(A499="","",IFERROR(VALUE(SUBSTITUTE(SUBSTITUTE(INDEX('Shopify Import'!$A:$CZ,499,Settings!$E$24)&amp;"","$",""),",","")),0))</f>
        <v/>
      </c>
      <c r="F499" s="11">
        <f>IF(A499="","",D499*E499)</f>
        <v/>
      </c>
      <c r="G499">
        <f>IF(A499="","",IF(C499="",1,COUNTIF($C$2:$C$1501,C499)))</f>
        <v/>
      </c>
      <c r="H499" s="11">
        <f>IF(A499="","",IFERROR(VALUE(SUBSTITUTE(SUBSTITUTE(INDEX('Shopify Import'!$A:$CZ,499,Settings!$E$25)&amp;"","$",""),",","")),0)/IF(Settings!$D$27="Yes",G499,1))</f>
        <v/>
      </c>
      <c r="I499" s="11">
        <f>IF(A499="","",IFERROR(VALUE(SUBSTITUTE(SUBSTITUTE(INDEX('Shopify Import'!$A:$CZ,499,Settings!$E$26)&amp;"","$",""),",","")),0)/IF(Settings!$D$27="Yes",G499,1))</f>
        <v/>
      </c>
      <c r="J499" s="11">
        <f>IF(A499="","",F499+H499-I499)</f>
        <v/>
      </c>
      <c r="K499">
        <f>IF(A499="","",IFERROR(IF(B499="",NA(),MATCH(B499,Products!$B$5:$B$204,0)),IFERROR(MATCH(A499,Products!$A$5:$A$204,0),"")))</f>
        <v/>
      </c>
      <c r="L499">
        <f>IF(A499="","",IF(K499="","⚠ not in Products",INDEX(Products!$A$5:$A$204,K499)))</f>
        <v/>
      </c>
      <c r="M499" s="11">
        <f>IF(A499="","",J499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499+IFERROR(INDEX(Settings!$D$5:$D$9,MATCH("Shopify",Settings!$A$5:$A$9,0)),0)*D499)</f>
        <v/>
      </c>
      <c r="N499" s="11">
        <f>IF(A499="","",IF(K499="",0,D499*INDEX(Products!$I$5:$I$204,K499)))</f>
        <v/>
      </c>
      <c r="O499" s="11">
        <f>IF(A499="","",IF(K499="",0,J499*INDEX(Products!$H$5:$H$204,K499)))</f>
        <v/>
      </c>
      <c r="P499" s="11">
        <f>IF(A499="","",J499-M499-N499-O499)</f>
        <v/>
      </c>
    </row>
    <row r="500">
      <c r="A500">
        <f>IFERROR(INDEX('Shopify Import'!$A:$CZ,500,Settings!$E$20)&amp;"","")</f>
        <v/>
      </c>
      <c r="B500">
        <f>IFERROR(INDEX('Shopify Import'!$A:$CZ,500,Settings!$E$21)&amp;"","")</f>
        <v/>
      </c>
      <c r="C500">
        <f>IFERROR(INDEX('Shopify Import'!$A:$CZ,500,Settings!$E$22)&amp;"","")</f>
        <v/>
      </c>
      <c r="D500">
        <f>IF(A500="","",IFERROR(VALUE(SUBSTITUTE(SUBSTITUTE(INDEX('Shopify Import'!$A:$CZ,500,Settings!$E$23)&amp;"","$",""),",","")),0))</f>
        <v/>
      </c>
      <c r="E500" s="11">
        <f>IF(A500="","",IFERROR(VALUE(SUBSTITUTE(SUBSTITUTE(INDEX('Shopify Import'!$A:$CZ,500,Settings!$E$24)&amp;"","$",""),",","")),0))</f>
        <v/>
      </c>
      <c r="F500" s="11">
        <f>IF(A500="","",D500*E500)</f>
        <v/>
      </c>
      <c r="G500">
        <f>IF(A500="","",IF(C500="",1,COUNTIF($C$2:$C$1501,C500)))</f>
        <v/>
      </c>
      <c r="H500" s="11">
        <f>IF(A500="","",IFERROR(VALUE(SUBSTITUTE(SUBSTITUTE(INDEX('Shopify Import'!$A:$CZ,500,Settings!$E$25)&amp;"","$",""),",","")),0)/IF(Settings!$D$27="Yes",G500,1))</f>
        <v/>
      </c>
      <c r="I500" s="11">
        <f>IF(A500="","",IFERROR(VALUE(SUBSTITUTE(SUBSTITUTE(INDEX('Shopify Import'!$A:$CZ,500,Settings!$E$26)&amp;"","$",""),",","")),0)/IF(Settings!$D$27="Yes",G500,1))</f>
        <v/>
      </c>
      <c r="J500" s="11">
        <f>IF(A500="","",F500+H500-I500)</f>
        <v/>
      </c>
      <c r="K500">
        <f>IF(A500="","",IFERROR(IF(B500="",NA(),MATCH(B500,Products!$B$5:$B$204,0)),IFERROR(MATCH(A500,Products!$A$5:$A$204,0),"")))</f>
        <v/>
      </c>
      <c r="L500">
        <f>IF(A500="","",IF(K500="","⚠ not in Products",INDEX(Products!$A$5:$A$204,K500)))</f>
        <v/>
      </c>
      <c r="M500" s="11">
        <f>IF(A500="","",J500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500+IFERROR(INDEX(Settings!$D$5:$D$9,MATCH("Shopify",Settings!$A$5:$A$9,0)),0)*D500)</f>
        <v/>
      </c>
      <c r="N500" s="11">
        <f>IF(A500="","",IF(K500="",0,D500*INDEX(Products!$I$5:$I$204,K500)))</f>
        <v/>
      </c>
      <c r="O500" s="11">
        <f>IF(A500="","",IF(K500="",0,J500*INDEX(Products!$H$5:$H$204,K500)))</f>
        <v/>
      </c>
      <c r="P500" s="11">
        <f>IF(A500="","",J500-M500-N500-O500)</f>
        <v/>
      </c>
    </row>
    <row r="501">
      <c r="A501">
        <f>IFERROR(INDEX('Shopify Import'!$A:$CZ,501,Settings!$E$20)&amp;"","")</f>
        <v/>
      </c>
      <c r="B501">
        <f>IFERROR(INDEX('Shopify Import'!$A:$CZ,501,Settings!$E$21)&amp;"","")</f>
        <v/>
      </c>
      <c r="C501">
        <f>IFERROR(INDEX('Shopify Import'!$A:$CZ,501,Settings!$E$22)&amp;"","")</f>
        <v/>
      </c>
      <c r="D501">
        <f>IF(A501="","",IFERROR(VALUE(SUBSTITUTE(SUBSTITUTE(INDEX('Shopify Import'!$A:$CZ,501,Settings!$E$23)&amp;"","$",""),",","")),0))</f>
        <v/>
      </c>
      <c r="E501" s="11">
        <f>IF(A501="","",IFERROR(VALUE(SUBSTITUTE(SUBSTITUTE(INDEX('Shopify Import'!$A:$CZ,501,Settings!$E$24)&amp;"","$",""),",","")),0))</f>
        <v/>
      </c>
      <c r="F501" s="11">
        <f>IF(A501="","",D501*E501)</f>
        <v/>
      </c>
      <c r="G501">
        <f>IF(A501="","",IF(C501="",1,COUNTIF($C$2:$C$1501,C501)))</f>
        <v/>
      </c>
      <c r="H501" s="11">
        <f>IF(A501="","",IFERROR(VALUE(SUBSTITUTE(SUBSTITUTE(INDEX('Shopify Import'!$A:$CZ,501,Settings!$E$25)&amp;"","$",""),",","")),0)/IF(Settings!$D$27="Yes",G501,1))</f>
        <v/>
      </c>
      <c r="I501" s="11">
        <f>IF(A501="","",IFERROR(VALUE(SUBSTITUTE(SUBSTITUTE(INDEX('Shopify Import'!$A:$CZ,501,Settings!$E$26)&amp;"","$",""),",","")),0)/IF(Settings!$D$27="Yes",G501,1))</f>
        <v/>
      </c>
      <c r="J501" s="11">
        <f>IF(A501="","",F501+H501-I501)</f>
        <v/>
      </c>
      <c r="K501">
        <f>IF(A501="","",IFERROR(IF(B501="",NA(),MATCH(B501,Products!$B$5:$B$204,0)),IFERROR(MATCH(A501,Products!$A$5:$A$204,0),"")))</f>
        <v/>
      </c>
      <c r="L501">
        <f>IF(A501="","",IF(K501="","⚠ not in Products",INDEX(Products!$A$5:$A$204,K501)))</f>
        <v/>
      </c>
      <c r="M501" s="11">
        <f>IF(A501="","",J501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501+IFERROR(INDEX(Settings!$D$5:$D$9,MATCH("Shopify",Settings!$A$5:$A$9,0)),0)*D501)</f>
        <v/>
      </c>
      <c r="N501" s="11">
        <f>IF(A501="","",IF(K501="",0,D501*INDEX(Products!$I$5:$I$204,K501)))</f>
        <v/>
      </c>
      <c r="O501" s="11">
        <f>IF(A501="","",IF(K501="",0,J501*INDEX(Products!$H$5:$H$204,K501)))</f>
        <v/>
      </c>
      <c r="P501" s="11">
        <f>IF(A501="","",J501-M501-N501-O501)</f>
        <v/>
      </c>
    </row>
    <row r="502">
      <c r="A502">
        <f>IFERROR(INDEX('Shopify Import'!$A:$CZ,502,Settings!$E$20)&amp;"","")</f>
        <v/>
      </c>
      <c r="B502">
        <f>IFERROR(INDEX('Shopify Import'!$A:$CZ,502,Settings!$E$21)&amp;"","")</f>
        <v/>
      </c>
      <c r="C502">
        <f>IFERROR(INDEX('Shopify Import'!$A:$CZ,502,Settings!$E$22)&amp;"","")</f>
        <v/>
      </c>
      <c r="D502">
        <f>IF(A502="","",IFERROR(VALUE(SUBSTITUTE(SUBSTITUTE(INDEX('Shopify Import'!$A:$CZ,502,Settings!$E$23)&amp;"","$",""),",","")),0))</f>
        <v/>
      </c>
      <c r="E502" s="11">
        <f>IF(A502="","",IFERROR(VALUE(SUBSTITUTE(SUBSTITUTE(INDEX('Shopify Import'!$A:$CZ,502,Settings!$E$24)&amp;"","$",""),",","")),0))</f>
        <v/>
      </c>
      <c r="F502" s="11">
        <f>IF(A502="","",D502*E502)</f>
        <v/>
      </c>
      <c r="G502">
        <f>IF(A502="","",IF(C502="",1,COUNTIF($C$2:$C$1501,C502)))</f>
        <v/>
      </c>
      <c r="H502" s="11">
        <f>IF(A502="","",IFERROR(VALUE(SUBSTITUTE(SUBSTITUTE(INDEX('Shopify Import'!$A:$CZ,502,Settings!$E$25)&amp;"","$",""),",","")),0)/IF(Settings!$D$27="Yes",G502,1))</f>
        <v/>
      </c>
      <c r="I502" s="11">
        <f>IF(A502="","",IFERROR(VALUE(SUBSTITUTE(SUBSTITUTE(INDEX('Shopify Import'!$A:$CZ,502,Settings!$E$26)&amp;"","$",""),",","")),0)/IF(Settings!$D$27="Yes",G502,1))</f>
        <v/>
      </c>
      <c r="J502" s="11">
        <f>IF(A502="","",F502+H502-I502)</f>
        <v/>
      </c>
      <c r="K502">
        <f>IF(A502="","",IFERROR(IF(B502="",NA(),MATCH(B502,Products!$B$5:$B$204,0)),IFERROR(MATCH(A502,Products!$A$5:$A$204,0),"")))</f>
        <v/>
      </c>
      <c r="L502">
        <f>IF(A502="","",IF(K502="","⚠ not in Products",INDEX(Products!$A$5:$A$204,K502)))</f>
        <v/>
      </c>
      <c r="M502" s="11">
        <f>IF(A502="","",J502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502+IFERROR(INDEX(Settings!$D$5:$D$9,MATCH("Shopify",Settings!$A$5:$A$9,0)),0)*D502)</f>
        <v/>
      </c>
      <c r="N502" s="11">
        <f>IF(A502="","",IF(K502="",0,D502*INDEX(Products!$I$5:$I$204,K502)))</f>
        <v/>
      </c>
      <c r="O502" s="11">
        <f>IF(A502="","",IF(K502="",0,J502*INDEX(Products!$H$5:$H$204,K502)))</f>
        <v/>
      </c>
      <c r="P502" s="11">
        <f>IF(A502="","",J502-M502-N502-O502)</f>
        <v/>
      </c>
    </row>
    <row r="503">
      <c r="A503">
        <f>IFERROR(INDEX('Shopify Import'!$A:$CZ,503,Settings!$E$20)&amp;"","")</f>
        <v/>
      </c>
      <c r="B503">
        <f>IFERROR(INDEX('Shopify Import'!$A:$CZ,503,Settings!$E$21)&amp;"","")</f>
        <v/>
      </c>
      <c r="C503">
        <f>IFERROR(INDEX('Shopify Import'!$A:$CZ,503,Settings!$E$22)&amp;"","")</f>
        <v/>
      </c>
      <c r="D503">
        <f>IF(A503="","",IFERROR(VALUE(SUBSTITUTE(SUBSTITUTE(INDEX('Shopify Import'!$A:$CZ,503,Settings!$E$23)&amp;"","$",""),",","")),0))</f>
        <v/>
      </c>
      <c r="E503" s="11">
        <f>IF(A503="","",IFERROR(VALUE(SUBSTITUTE(SUBSTITUTE(INDEX('Shopify Import'!$A:$CZ,503,Settings!$E$24)&amp;"","$",""),",","")),0))</f>
        <v/>
      </c>
      <c r="F503" s="11">
        <f>IF(A503="","",D503*E503)</f>
        <v/>
      </c>
      <c r="G503">
        <f>IF(A503="","",IF(C503="",1,COUNTIF($C$2:$C$1501,C503)))</f>
        <v/>
      </c>
      <c r="H503" s="11">
        <f>IF(A503="","",IFERROR(VALUE(SUBSTITUTE(SUBSTITUTE(INDEX('Shopify Import'!$A:$CZ,503,Settings!$E$25)&amp;"","$",""),",","")),0)/IF(Settings!$D$27="Yes",G503,1))</f>
        <v/>
      </c>
      <c r="I503" s="11">
        <f>IF(A503="","",IFERROR(VALUE(SUBSTITUTE(SUBSTITUTE(INDEX('Shopify Import'!$A:$CZ,503,Settings!$E$26)&amp;"","$",""),",","")),0)/IF(Settings!$D$27="Yes",G503,1))</f>
        <v/>
      </c>
      <c r="J503" s="11">
        <f>IF(A503="","",F503+H503-I503)</f>
        <v/>
      </c>
      <c r="K503">
        <f>IF(A503="","",IFERROR(IF(B503="",NA(),MATCH(B503,Products!$B$5:$B$204,0)),IFERROR(MATCH(A503,Products!$A$5:$A$204,0),"")))</f>
        <v/>
      </c>
      <c r="L503">
        <f>IF(A503="","",IF(K503="","⚠ not in Products",INDEX(Products!$A$5:$A$204,K503)))</f>
        <v/>
      </c>
      <c r="M503" s="11">
        <f>IF(A503="","",J503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503+IFERROR(INDEX(Settings!$D$5:$D$9,MATCH("Shopify",Settings!$A$5:$A$9,0)),0)*D503)</f>
        <v/>
      </c>
      <c r="N503" s="11">
        <f>IF(A503="","",IF(K503="",0,D503*INDEX(Products!$I$5:$I$204,K503)))</f>
        <v/>
      </c>
      <c r="O503" s="11">
        <f>IF(A503="","",IF(K503="",0,J503*INDEX(Products!$H$5:$H$204,K503)))</f>
        <v/>
      </c>
      <c r="P503" s="11">
        <f>IF(A503="","",J503-M503-N503-O503)</f>
        <v/>
      </c>
    </row>
    <row r="504">
      <c r="A504">
        <f>IFERROR(INDEX('Shopify Import'!$A:$CZ,504,Settings!$E$20)&amp;"","")</f>
        <v/>
      </c>
      <c r="B504">
        <f>IFERROR(INDEX('Shopify Import'!$A:$CZ,504,Settings!$E$21)&amp;"","")</f>
        <v/>
      </c>
      <c r="C504">
        <f>IFERROR(INDEX('Shopify Import'!$A:$CZ,504,Settings!$E$22)&amp;"","")</f>
        <v/>
      </c>
      <c r="D504">
        <f>IF(A504="","",IFERROR(VALUE(SUBSTITUTE(SUBSTITUTE(INDEX('Shopify Import'!$A:$CZ,504,Settings!$E$23)&amp;"","$",""),",","")),0))</f>
        <v/>
      </c>
      <c r="E504" s="11">
        <f>IF(A504="","",IFERROR(VALUE(SUBSTITUTE(SUBSTITUTE(INDEX('Shopify Import'!$A:$CZ,504,Settings!$E$24)&amp;"","$",""),",","")),0))</f>
        <v/>
      </c>
      <c r="F504" s="11">
        <f>IF(A504="","",D504*E504)</f>
        <v/>
      </c>
      <c r="G504">
        <f>IF(A504="","",IF(C504="",1,COUNTIF($C$2:$C$1501,C504)))</f>
        <v/>
      </c>
      <c r="H504" s="11">
        <f>IF(A504="","",IFERROR(VALUE(SUBSTITUTE(SUBSTITUTE(INDEX('Shopify Import'!$A:$CZ,504,Settings!$E$25)&amp;"","$",""),",","")),0)/IF(Settings!$D$27="Yes",G504,1))</f>
        <v/>
      </c>
      <c r="I504" s="11">
        <f>IF(A504="","",IFERROR(VALUE(SUBSTITUTE(SUBSTITUTE(INDEX('Shopify Import'!$A:$CZ,504,Settings!$E$26)&amp;"","$",""),",","")),0)/IF(Settings!$D$27="Yes",G504,1))</f>
        <v/>
      </c>
      <c r="J504" s="11">
        <f>IF(A504="","",F504+H504-I504)</f>
        <v/>
      </c>
      <c r="K504">
        <f>IF(A504="","",IFERROR(IF(B504="",NA(),MATCH(B504,Products!$B$5:$B$204,0)),IFERROR(MATCH(A504,Products!$A$5:$A$204,0),"")))</f>
        <v/>
      </c>
      <c r="L504">
        <f>IF(A504="","",IF(K504="","⚠ not in Products",INDEX(Products!$A$5:$A$204,K504)))</f>
        <v/>
      </c>
      <c r="M504" s="11">
        <f>IF(A504="","",J504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504+IFERROR(INDEX(Settings!$D$5:$D$9,MATCH("Shopify",Settings!$A$5:$A$9,0)),0)*D504)</f>
        <v/>
      </c>
      <c r="N504" s="11">
        <f>IF(A504="","",IF(K504="",0,D504*INDEX(Products!$I$5:$I$204,K504)))</f>
        <v/>
      </c>
      <c r="O504" s="11">
        <f>IF(A504="","",IF(K504="",0,J504*INDEX(Products!$H$5:$H$204,K504)))</f>
        <v/>
      </c>
      <c r="P504" s="11">
        <f>IF(A504="","",J504-M504-N504-O504)</f>
        <v/>
      </c>
    </row>
    <row r="505">
      <c r="A505">
        <f>IFERROR(INDEX('Shopify Import'!$A:$CZ,505,Settings!$E$20)&amp;"","")</f>
        <v/>
      </c>
      <c r="B505">
        <f>IFERROR(INDEX('Shopify Import'!$A:$CZ,505,Settings!$E$21)&amp;"","")</f>
        <v/>
      </c>
      <c r="C505">
        <f>IFERROR(INDEX('Shopify Import'!$A:$CZ,505,Settings!$E$22)&amp;"","")</f>
        <v/>
      </c>
      <c r="D505">
        <f>IF(A505="","",IFERROR(VALUE(SUBSTITUTE(SUBSTITUTE(INDEX('Shopify Import'!$A:$CZ,505,Settings!$E$23)&amp;"","$",""),",","")),0))</f>
        <v/>
      </c>
      <c r="E505" s="11">
        <f>IF(A505="","",IFERROR(VALUE(SUBSTITUTE(SUBSTITUTE(INDEX('Shopify Import'!$A:$CZ,505,Settings!$E$24)&amp;"","$",""),",","")),0))</f>
        <v/>
      </c>
      <c r="F505" s="11">
        <f>IF(A505="","",D505*E505)</f>
        <v/>
      </c>
      <c r="G505">
        <f>IF(A505="","",IF(C505="",1,COUNTIF($C$2:$C$1501,C505)))</f>
        <v/>
      </c>
      <c r="H505" s="11">
        <f>IF(A505="","",IFERROR(VALUE(SUBSTITUTE(SUBSTITUTE(INDEX('Shopify Import'!$A:$CZ,505,Settings!$E$25)&amp;"","$",""),",","")),0)/IF(Settings!$D$27="Yes",G505,1))</f>
        <v/>
      </c>
      <c r="I505" s="11">
        <f>IF(A505="","",IFERROR(VALUE(SUBSTITUTE(SUBSTITUTE(INDEX('Shopify Import'!$A:$CZ,505,Settings!$E$26)&amp;"","$",""),",","")),0)/IF(Settings!$D$27="Yes",G505,1))</f>
        <v/>
      </c>
      <c r="J505" s="11">
        <f>IF(A505="","",F505+H505-I505)</f>
        <v/>
      </c>
      <c r="K505">
        <f>IF(A505="","",IFERROR(IF(B505="",NA(),MATCH(B505,Products!$B$5:$B$204,0)),IFERROR(MATCH(A505,Products!$A$5:$A$204,0),"")))</f>
        <v/>
      </c>
      <c r="L505">
        <f>IF(A505="","",IF(K505="","⚠ not in Products",INDEX(Products!$A$5:$A$204,K505)))</f>
        <v/>
      </c>
      <c r="M505" s="11">
        <f>IF(A505="","",J505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505+IFERROR(INDEX(Settings!$D$5:$D$9,MATCH("Shopify",Settings!$A$5:$A$9,0)),0)*D505)</f>
        <v/>
      </c>
      <c r="N505" s="11">
        <f>IF(A505="","",IF(K505="",0,D505*INDEX(Products!$I$5:$I$204,K505)))</f>
        <v/>
      </c>
      <c r="O505" s="11">
        <f>IF(A505="","",IF(K505="",0,J505*INDEX(Products!$H$5:$H$204,K505)))</f>
        <v/>
      </c>
      <c r="P505" s="11">
        <f>IF(A505="","",J505-M505-N505-O505)</f>
        <v/>
      </c>
    </row>
    <row r="506">
      <c r="A506">
        <f>IFERROR(INDEX('Shopify Import'!$A:$CZ,506,Settings!$E$20)&amp;"","")</f>
        <v/>
      </c>
      <c r="B506">
        <f>IFERROR(INDEX('Shopify Import'!$A:$CZ,506,Settings!$E$21)&amp;"","")</f>
        <v/>
      </c>
      <c r="C506">
        <f>IFERROR(INDEX('Shopify Import'!$A:$CZ,506,Settings!$E$22)&amp;"","")</f>
        <v/>
      </c>
      <c r="D506">
        <f>IF(A506="","",IFERROR(VALUE(SUBSTITUTE(SUBSTITUTE(INDEX('Shopify Import'!$A:$CZ,506,Settings!$E$23)&amp;"","$",""),",","")),0))</f>
        <v/>
      </c>
      <c r="E506" s="11">
        <f>IF(A506="","",IFERROR(VALUE(SUBSTITUTE(SUBSTITUTE(INDEX('Shopify Import'!$A:$CZ,506,Settings!$E$24)&amp;"","$",""),",","")),0))</f>
        <v/>
      </c>
      <c r="F506" s="11">
        <f>IF(A506="","",D506*E506)</f>
        <v/>
      </c>
      <c r="G506">
        <f>IF(A506="","",IF(C506="",1,COUNTIF($C$2:$C$1501,C506)))</f>
        <v/>
      </c>
      <c r="H506" s="11">
        <f>IF(A506="","",IFERROR(VALUE(SUBSTITUTE(SUBSTITUTE(INDEX('Shopify Import'!$A:$CZ,506,Settings!$E$25)&amp;"","$",""),",","")),0)/IF(Settings!$D$27="Yes",G506,1))</f>
        <v/>
      </c>
      <c r="I506" s="11">
        <f>IF(A506="","",IFERROR(VALUE(SUBSTITUTE(SUBSTITUTE(INDEX('Shopify Import'!$A:$CZ,506,Settings!$E$26)&amp;"","$",""),",","")),0)/IF(Settings!$D$27="Yes",G506,1))</f>
        <v/>
      </c>
      <c r="J506" s="11">
        <f>IF(A506="","",F506+H506-I506)</f>
        <v/>
      </c>
      <c r="K506">
        <f>IF(A506="","",IFERROR(IF(B506="",NA(),MATCH(B506,Products!$B$5:$B$204,0)),IFERROR(MATCH(A506,Products!$A$5:$A$204,0),"")))</f>
        <v/>
      </c>
      <c r="L506">
        <f>IF(A506="","",IF(K506="","⚠ not in Products",INDEX(Products!$A$5:$A$204,K506)))</f>
        <v/>
      </c>
      <c r="M506" s="11">
        <f>IF(A506="","",J506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506+IFERROR(INDEX(Settings!$D$5:$D$9,MATCH("Shopify",Settings!$A$5:$A$9,0)),0)*D506)</f>
        <v/>
      </c>
      <c r="N506" s="11">
        <f>IF(A506="","",IF(K506="",0,D506*INDEX(Products!$I$5:$I$204,K506)))</f>
        <v/>
      </c>
      <c r="O506" s="11">
        <f>IF(A506="","",IF(K506="",0,J506*INDEX(Products!$H$5:$H$204,K506)))</f>
        <v/>
      </c>
      <c r="P506" s="11">
        <f>IF(A506="","",J506-M506-N506-O506)</f>
        <v/>
      </c>
    </row>
    <row r="507">
      <c r="A507">
        <f>IFERROR(INDEX('Shopify Import'!$A:$CZ,507,Settings!$E$20)&amp;"","")</f>
        <v/>
      </c>
      <c r="B507">
        <f>IFERROR(INDEX('Shopify Import'!$A:$CZ,507,Settings!$E$21)&amp;"","")</f>
        <v/>
      </c>
      <c r="C507">
        <f>IFERROR(INDEX('Shopify Import'!$A:$CZ,507,Settings!$E$22)&amp;"","")</f>
        <v/>
      </c>
      <c r="D507">
        <f>IF(A507="","",IFERROR(VALUE(SUBSTITUTE(SUBSTITUTE(INDEX('Shopify Import'!$A:$CZ,507,Settings!$E$23)&amp;"","$",""),",","")),0))</f>
        <v/>
      </c>
      <c r="E507" s="11">
        <f>IF(A507="","",IFERROR(VALUE(SUBSTITUTE(SUBSTITUTE(INDEX('Shopify Import'!$A:$CZ,507,Settings!$E$24)&amp;"","$",""),",","")),0))</f>
        <v/>
      </c>
      <c r="F507" s="11">
        <f>IF(A507="","",D507*E507)</f>
        <v/>
      </c>
      <c r="G507">
        <f>IF(A507="","",IF(C507="",1,COUNTIF($C$2:$C$1501,C507)))</f>
        <v/>
      </c>
      <c r="H507" s="11">
        <f>IF(A507="","",IFERROR(VALUE(SUBSTITUTE(SUBSTITUTE(INDEX('Shopify Import'!$A:$CZ,507,Settings!$E$25)&amp;"","$",""),",","")),0)/IF(Settings!$D$27="Yes",G507,1))</f>
        <v/>
      </c>
      <c r="I507" s="11">
        <f>IF(A507="","",IFERROR(VALUE(SUBSTITUTE(SUBSTITUTE(INDEX('Shopify Import'!$A:$CZ,507,Settings!$E$26)&amp;"","$",""),",","")),0)/IF(Settings!$D$27="Yes",G507,1))</f>
        <v/>
      </c>
      <c r="J507" s="11">
        <f>IF(A507="","",F507+H507-I507)</f>
        <v/>
      </c>
      <c r="K507">
        <f>IF(A507="","",IFERROR(IF(B507="",NA(),MATCH(B507,Products!$B$5:$B$204,0)),IFERROR(MATCH(A507,Products!$A$5:$A$204,0),"")))</f>
        <v/>
      </c>
      <c r="L507">
        <f>IF(A507="","",IF(K507="","⚠ not in Products",INDEX(Products!$A$5:$A$204,K507)))</f>
        <v/>
      </c>
      <c r="M507" s="11">
        <f>IF(A507="","",J507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507+IFERROR(INDEX(Settings!$D$5:$D$9,MATCH("Shopify",Settings!$A$5:$A$9,0)),0)*D507)</f>
        <v/>
      </c>
      <c r="N507" s="11">
        <f>IF(A507="","",IF(K507="",0,D507*INDEX(Products!$I$5:$I$204,K507)))</f>
        <v/>
      </c>
      <c r="O507" s="11">
        <f>IF(A507="","",IF(K507="",0,J507*INDEX(Products!$H$5:$H$204,K507)))</f>
        <v/>
      </c>
      <c r="P507" s="11">
        <f>IF(A507="","",J507-M507-N507-O507)</f>
        <v/>
      </c>
    </row>
    <row r="508">
      <c r="A508">
        <f>IFERROR(INDEX('Shopify Import'!$A:$CZ,508,Settings!$E$20)&amp;"","")</f>
        <v/>
      </c>
      <c r="B508">
        <f>IFERROR(INDEX('Shopify Import'!$A:$CZ,508,Settings!$E$21)&amp;"","")</f>
        <v/>
      </c>
      <c r="C508">
        <f>IFERROR(INDEX('Shopify Import'!$A:$CZ,508,Settings!$E$22)&amp;"","")</f>
        <v/>
      </c>
      <c r="D508">
        <f>IF(A508="","",IFERROR(VALUE(SUBSTITUTE(SUBSTITUTE(INDEX('Shopify Import'!$A:$CZ,508,Settings!$E$23)&amp;"","$",""),",","")),0))</f>
        <v/>
      </c>
      <c r="E508" s="11">
        <f>IF(A508="","",IFERROR(VALUE(SUBSTITUTE(SUBSTITUTE(INDEX('Shopify Import'!$A:$CZ,508,Settings!$E$24)&amp;"","$",""),",","")),0))</f>
        <v/>
      </c>
      <c r="F508" s="11">
        <f>IF(A508="","",D508*E508)</f>
        <v/>
      </c>
      <c r="G508">
        <f>IF(A508="","",IF(C508="",1,COUNTIF($C$2:$C$1501,C508)))</f>
        <v/>
      </c>
      <c r="H508" s="11">
        <f>IF(A508="","",IFERROR(VALUE(SUBSTITUTE(SUBSTITUTE(INDEX('Shopify Import'!$A:$CZ,508,Settings!$E$25)&amp;"","$",""),",","")),0)/IF(Settings!$D$27="Yes",G508,1))</f>
        <v/>
      </c>
      <c r="I508" s="11">
        <f>IF(A508="","",IFERROR(VALUE(SUBSTITUTE(SUBSTITUTE(INDEX('Shopify Import'!$A:$CZ,508,Settings!$E$26)&amp;"","$",""),",","")),0)/IF(Settings!$D$27="Yes",G508,1))</f>
        <v/>
      </c>
      <c r="J508" s="11">
        <f>IF(A508="","",F508+H508-I508)</f>
        <v/>
      </c>
      <c r="K508">
        <f>IF(A508="","",IFERROR(IF(B508="",NA(),MATCH(B508,Products!$B$5:$B$204,0)),IFERROR(MATCH(A508,Products!$A$5:$A$204,0),"")))</f>
        <v/>
      </c>
      <c r="L508">
        <f>IF(A508="","",IF(K508="","⚠ not in Products",INDEX(Products!$A$5:$A$204,K508)))</f>
        <v/>
      </c>
      <c r="M508" s="11">
        <f>IF(A508="","",J508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508+IFERROR(INDEX(Settings!$D$5:$D$9,MATCH("Shopify",Settings!$A$5:$A$9,0)),0)*D508)</f>
        <v/>
      </c>
      <c r="N508" s="11">
        <f>IF(A508="","",IF(K508="",0,D508*INDEX(Products!$I$5:$I$204,K508)))</f>
        <v/>
      </c>
      <c r="O508" s="11">
        <f>IF(A508="","",IF(K508="",0,J508*INDEX(Products!$H$5:$H$204,K508)))</f>
        <v/>
      </c>
      <c r="P508" s="11">
        <f>IF(A508="","",J508-M508-N508-O508)</f>
        <v/>
      </c>
    </row>
    <row r="509">
      <c r="A509">
        <f>IFERROR(INDEX('Shopify Import'!$A:$CZ,509,Settings!$E$20)&amp;"","")</f>
        <v/>
      </c>
      <c r="B509">
        <f>IFERROR(INDEX('Shopify Import'!$A:$CZ,509,Settings!$E$21)&amp;"","")</f>
        <v/>
      </c>
      <c r="C509">
        <f>IFERROR(INDEX('Shopify Import'!$A:$CZ,509,Settings!$E$22)&amp;"","")</f>
        <v/>
      </c>
      <c r="D509">
        <f>IF(A509="","",IFERROR(VALUE(SUBSTITUTE(SUBSTITUTE(INDEX('Shopify Import'!$A:$CZ,509,Settings!$E$23)&amp;"","$",""),",","")),0))</f>
        <v/>
      </c>
      <c r="E509" s="11">
        <f>IF(A509="","",IFERROR(VALUE(SUBSTITUTE(SUBSTITUTE(INDEX('Shopify Import'!$A:$CZ,509,Settings!$E$24)&amp;"","$",""),",","")),0))</f>
        <v/>
      </c>
      <c r="F509" s="11">
        <f>IF(A509="","",D509*E509)</f>
        <v/>
      </c>
      <c r="G509">
        <f>IF(A509="","",IF(C509="",1,COUNTIF($C$2:$C$1501,C509)))</f>
        <v/>
      </c>
      <c r="H509" s="11">
        <f>IF(A509="","",IFERROR(VALUE(SUBSTITUTE(SUBSTITUTE(INDEX('Shopify Import'!$A:$CZ,509,Settings!$E$25)&amp;"","$",""),",","")),0)/IF(Settings!$D$27="Yes",G509,1))</f>
        <v/>
      </c>
      <c r="I509" s="11">
        <f>IF(A509="","",IFERROR(VALUE(SUBSTITUTE(SUBSTITUTE(INDEX('Shopify Import'!$A:$CZ,509,Settings!$E$26)&amp;"","$",""),",","")),0)/IF(Settings!$D$27="Yes",G509,1))</f>
        <v/>
      </c>
      <c r="J509" s="11">
        <f>IF(A509="","",F509+H509-I509)</f>
        <v/>
      </c>
      <c r="K509">
        <f>IF(A509="","",IFERROR(IF(B509="",NA(),MATCH(B509,Products!$B$5:$B$204,0)),IFERROR(MATCH(A509,Products!$A$5:$A$204,0),"")))</f>
        <v/>
      </c>
      <c r="L509">
        <f>IF(A509="","",IF(K509="","⚠ not in Products",INDEX(Products!$A$5:$A$204,K509)))</f>
        <v/>
      </c>
      <c r="M509" s="11">
        <f>IF(A509="","",J509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509+IFERROR(INDEX(Settings!$D$5:$D$9,MATCH("Shopify",Settings!$A$5:$A$9,0)),0)*D509)</f>
        <v/>
      </c>
      <c r="N509" s="11">
        <f>IF(A509="","",IF(K509="",0,D509*INDEX(Products!$I$5:$I$204,K509)))</f>
        <v/>
      </c>
      <c r="O509" s="11">
        <f>IF(A509="","",IF(K509="",0,J509*INDEX(Products!$H$5:$H$204,K509)))</f>
        <v/>
      </c>
      <c r="P509" s="11">
        <f>IF(A509="","",J509-M509-N509-O509)</f>
        <v/>
      </c>
    </row>
    <row r="510">
      <c r="A510">
        <f>IFERROR(INDEX('Shopify Import'!$A:$CZ,510,Settings!$E$20)&amp;"","")</f>
        <v/>
      </c>
      <c r="B510">
        <f>IFERROR(INDEX('Shopify Import'!$A:$CZ,510,Settings!$E$21)&amp;"","")</f>
        <v/>
      </c>
      <c r="C510">
        <f>IFERROR(INDEX('Shopify Import'!$A:$CZ,510,Settings!$E$22)&amp;"","")</f>
        <v/>
      </c>
      <c r="D510">
        <f>IF(A510="","",IFERROR(VALUE(SUBSTITUTE(SUBSTITUTE(INDEX('Shopify Import'!$A:$CZ,510,Settings!$E$23)&amp;"","$",""),",","")),0))</f>
        <v/>
      </c>
      <c r="E510" s="11">
        <f>IF(A510="","",IFERROR(VALUE(SUBSTITUTE(SUBSTITUTE(INDEX('Shopify Import'!$A:$CZ,510,Settings!$E$24)&amp;"","$",""),",","")),0))</f>
        <v/>
      </c>
      <c r="F510" s="11">
        <f>IF(A510="","",D510*E510)</f>
        <v/>
      </c>
      <c r="G510">
        <f>IF(A510="","",IF(C510="",1,COUNTIF($C$2:$C$1501,C510)))</f>
        <v/>
      </c>
      <c r="H510" s="11">
        <f>IF(A510="","",IFERROR(VALUE(SUBSTITUTE(SUBSTITUTE(INDEX('Shopify Import'!$A:$CZ,510,Settings!$E$25)&amp;"","$",""),",","")),0)/IF(Settings!$D$27="Yes",G510,1))</f>
        <v/>
      </c>
      <c r="I510" s="11">
        <f>IF(A510="","",IFERROR(VALUE(SUBSTITUTE(SUBSTITUTE(INDEX('Shopify Import'!$A:$CZ,510,Settings!$E$26)&amp;"","$",""),",","")),0)/IF(Settings!$D$27="Yes",G510,1))</f>
        <v/>
      </c>
      <c r="J510" s="11">
        <f>IF(A510="","",F510+H510-I510)</f>
        <v/>
      </c>
      <c r="K510">
        <f>IF(A510="","",IFERROR(IF(B510="",NA(),MATCH(B510,Products!$B$5:$B$204,0)),IFERROR(MATCH(A510,Products!$A$5:$A$204,0),"")))</f>
        <v/>
      </c>
      <c r="L510">
        <f>IF(A510="","",IF(K510="","⚠ not in Products",INDEX(Products!$A$5:$A$204,K510)))</f>
        <v/>
      </c>
      <c r="M510" s="11">
        <f>IF(A510="","",J510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510+IFERROR(INDEX(Settings!$D$5:$D$9,MATCH("Shopify",Settings!$A$5:$A$9,0)),0)*D510)</f>
        <v/>
      </c>
      <c r="N510" s="11">
        <f>IF(A510="","",IF(K510="",0,D510*INDEX(Products!$I$5:$I$204,K510)))</f>
        <v/>
      </c>
      <c r="O510" s="11">
        <f>IF(A510="","",IF(K510="",0,J510*INDEX(Products!$H$5:$H$204,K510)))</f>
        <v/>
      </c>
      <c r="P510" s="11">
        <f>IF(A510="","",J510-M510-N510-O510)</f>
        <v/>
      </c>
    </row>
    <row r="511">
      <c r="A511">
        <f>IFERROR(INDEX('Shopify Import'!$A:$CZ,511,Settings!$E$20)&amp;"","")</f>
        <v/>
      </c>
      <c r="B511">
        <f>IFERROR(INDEX('Shopify Import'!$A:$CZ,511,Settings!$E$21)&amp;"","")</f>
        <v/>
      </c>
      <c r="C511">
        <f>IFERROR(INDEX('Shopify Import'!$A:$CZ,511,Settings!$E$22)&amp;"","")</f>
        <v/>
      </c>
      <c r="D511">
        <f>IF(A511="","",IFERROR(VALUE(SUBSTITUTE(SUBSTITUTE(INDEX('Shopify Import'!$A:$CZ,511,Settings!$E$23)&amp;"","$",""),",","")),0))</f>
        <v/>
      </c>
      <c r="E511" s="11">
        <f>IF(A511="","",IFERROR(VALUE(SUBSTITUTE(SUBSTITUTE(INDEX('Shopify Import'!$A:$CZ,511,Settings!$E$24)&amp;"","$",""),",","")),0))</f>
        <v/>
      </c>
      <c r="F511" s="11">
        <f>IF(A511="","",D511*E511)</f>
        <v/>
      </c>
      <c r="G511">
        <f>IF(A511="","",IF(C511="",1,COUNTIF($C$2:$C$1501,C511)))</f>
        <v/>
      </c>
      <c r="H511" s="11">
        <f>IF(A511="","",IFERROR(VALUE(SUBSTITUTE(SUBSTITUTE(INDEX('Shopify Import'!$A:$CZ,511,Settings!$E$25)&amp;"","$",""),",","")),0)/IF(Settings!$D$27="Yes",G511,1))</f>
        <v/>
      </c>
      <c r="I511" s="11">
        <f>IF(A511="","",IFERROR(VALUE(SUBSTITUTE(SUBSTITUTE(INDEX('Shopify Import'!$A:$CZ,511,Settings!$E$26)&amp;"","$",""),",","")),0)/IF(Settings!$D$27="Yes",G511,1))</f>
        <v/>
      </c>
      <c r="J511" s="11">
        <f>IF(A511="","",F511+H511-I511)</f>
        <v/>
      </c>
      <c r="K511">
        <f>IF(A511="","",IFERROR(IF(B511="",NA(),MATCH(B511,Products!$B$5:$B$204,0)),IFERROR(MATCH(A511,Products!$A$5:$A$204,0),"")))</f>
        <v/>
      </c>
      <c r="L511">
        <f>IF(A511="","",IF(K511="","⚠ not in Products",INDEX(Products!$A$5:$A$204,K511)))</f>
        <v/>
      </c>
      <c r="M511" s="11">
        <f>IF(A511="","",J511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511+IFERROR(INDEX(Settings!$D$5:$D$9,MATCH("Shopify",Settings!$A$5:$A$9,0)),0)*D511)</f>
        <v/>
      </c>
      <c r="N511" s="11">
        <f>IF(A511="","",IF(K511="",0,D511*INDEX(Products!$I$5:$I$204,K511)))</f>
        <v/>
      </c>
      <c r="O511" s="11">
        <f>IF(A511="","",IF(K511="",0,J511*INDEX(Products!$H$5:$H$204,K511)))</f>
        <v/>
      </c>
      <c r="P511" s="11">
        <f>IF(A511="","",J511-M511-N511-O511)</f>
        <v/>
      </c>
    </row>
    <row r="512">
      <c r="A512">
        <f>IFERROR(INDEX('Shopify Import'!$A:$CZ,512,Settings!$E$20)&amp;"","")</f>
        <v/>
      </c>
      <c r="B512">
        <f>IFERROR(INDEX('Shopify Import'!$A:$CZ,512,Settings!$E$21)&amp;"","")</f>
        <v/>
      </c>
      <c r="C512">
        <f>IFERROR(INDEX('Shopify Import'!$A:$CZ,512,Settings!$E$22)&amp;"","")</f>
        <v/>
      </c>
      <c r="D512">
        <f>IF(A512="","",IFERROR(VALUE(SUBSTITUTE(SUBSTITUTE(INDEX('Shopify Import'!$A:$CZ,512,Settings!$E$23)&amp;"","$",""),",","")),0))</f>
        <v/>
      </c>
      <c r="E512" s="11">
        <f>IF(A512="","",IFERROR(VALUE(SUBSTITUTE(SUBSTITUTE(INDEX('Shopify Import'!$A:$CZ,512,Settings!$E$24)&amp;"","$",""),",","")),0))</f>
        <v/>
      </c>
      <c r="F512" s="11">
        <f>IF(A512="","",D512*E512)</f>
        <v/>
      </c>
      <c r="G512">
        <f>IF(A512="","",IF(C512="",1,COUNTIF($C$2:$C$1501,C512)))</f>
        <v/>
      </c>
      <c r="H512" s="11">
        <f>IF(A512="","",IFERROR(VALUE(SUBSTITUTE(SUBSTITUTE(INDEX('Shopify Import'!$A:$CZ,512,Settings!$E$25)&amp;"","$",""),",","")),0)/IF(Settings!$D$27="Yes",G512,1))</f>
        <v/>
      </c>
      <c r="I512" s="11">
        <f>IF(A512="","",IFERROR(VALUE(SUBSTITUTE(SUBSTITUTE(INDEX('Shopify Import'!$A:$CZ,512,Settings!$E$26)&amp;"","$",""),",","")),0)/IF(Settings!$D$27="Yes",G512,1))</f>
        <v/>
      </c>
      <c r="J512" s="11">
        <f>IF(A512="","",F512+H512-I512)</f>
        <v/>
      </c>
      <c r="K512">
        <f>IF(A512="","",IFERROR(IF(B512="",NA(),MATCH(B512,Products!$B$5:$B$204,0)),IFERROR(MATCH(A512,Products!$A$5:$A$204,0),"")))</f>
        <v/>
      </c>
      <c r="L512">
        <f>IF(A512="","",IF(K512="","⚠ not in Products",INDEX(Products!$A$5:$A$204,K512)))</f>
        <v/>
      </c>
      <c r="M512" s="11">
        <f>IF(A512="","",J512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512+IFERROR(INDEX(Settings!$D$5:$D$9,MATCH("Shopify",Settings!$A$5:$A$9,0)),0)*D512)</f>
        <v/>
      </c>
      <c r="N512" s="11">
        <f>IF(A512="","",IF(K512="",0,D512*INDEX(Products!$I$5:$I$204,K512)))</f>
        <v/>
      </c>
      <c r="O512" s="11">
        <f>IF(A512="","",IF(K512="",0,J512*INDEX(Products!$H$5:$H$204,K512)))</f>
        <v/>
      </c>
      <c r="P512" s="11">
        <f>IF(A512="","",J512-M512-N512-O512)</f>
        <v/>
      </c>
    </row>
    <row r="513">
      <c r="A513">
        <f>IFERROR(INDEX('Shopify Import'!$A:$CZ,513,Settings!$E$20)&amp;"","")</f>
        <v/>
      </c>
      <c r="B513">
        <f>IFERROR(INDEX('Shopify Import'!$A:$CZ,513,Settings!$E$21)&amp;"","")</f>
        <v/>
      </c>
      <c r="C513">
        <f>IFERROR(INDEX('Shopify Import'!$A:$CZ,513,Settings!$E$22)&amp;"","")</f>
        <v/>
      </c>
      <c r="D513">
        <f>IF(A513="","",IFERROR(VALUE(SUBSTITUTE(SUBSTITUTE(INDEX('Shopify Import'!$A:$CZ,513,Settings!$E$23)&amp;"","$",""),",","")),0))</f>
        <v/>
      </c>
      <c r="E513" s="11">
        <f>IF(A513="","",IFERROR(VALUE(SUBSTITUTE(SUBSTITUTE(INDEX('Shopify Import'!$A:$CZ,513,Settings!$E$24)&amp;"","$",""),",","")),0))</f>
        <v/>
      </c>
      <c r="F513" s="11">
        <f>IF(A513="","",D513*E513)</f>
        <v/>
      </c>
      <c r="G513">
        <f>IF(A513="","",IF(C513="",1,COUNTIF($C$2:$C$1501,C513)))</f>
        <v/>
      </c>
      <c r="H513" s="11">
        <f>IF(A513="","",IFERROR(VALUE(SUBSTITUTE(SUBSTITUTE(INDEX('Shopify Import'!$A:$CZ,513,Settings!$E$25)&amp;"","$",""),",","")),0)/IF(Settings!$D$27="Yes",G513,1))</f>
        <v/>
      </c>
      <c r="I513" s="11">
        <f>IF(A513="","",IFERROR(VALUE(SUBSTITUTE(SUBSTITUTE(INDEX('Shopify Import'!$A:$CZ,513,Settings!$E$26)&amp;"","$",""),",","")),0)/IF(Settings!$D$27="Yes",G513,1))</f>
        <v/>
      </c>
      <c r="J513" s="11">
        <f>IF(A513="","",F513+H513-I513)</f>
        <v/>
      </c>
      <c r="K513">
        <f>IF(A513="","",IFERROR(IF(B513="",NA(),MATCH(B513,Products!$B$5:$B$204,0)),IFERROR(MATCH(A513,Products!$A$5:$A$204,0),"")))</f>
        <v/>
      </c>
      <c r="L513">
        <f>IF(A513="","",IF(K513="","⚠ not in Products",INDEX(Products!$A$5:$A$204,K513)))</f>
        <v/>
      </c>
      <c r="M513" s="11">
        <f>IF(A513="","",J513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513+IFERROR(INDEX(Settings!$D$5:$D$9,MATCH("Shopify",Settings!$A$5:$A$9,0)),0)*D513)</f>
        <v/>
      </c>
      <c r="N513" s="11">
        <f>IF(A513="","",IF(K513="",0,D513*INDEX(Products!$I$5:$I$204,K513)))</f>
        <v/>
      </c>
      <c r="O513" s="11">
        <f>IF(A513="","",IF(K513="",0,J513*INDEX(Products!$H$5:$H$204,K513)))</f>
        <v/>
      </c>
      <c r="P513" s="11">
        <f>IF(A513="","",J513-M513-N513-O513)</f>
        <v/>
      </c>
    </row>
    <row r="514">
      <c r="A514">
        <f>IFERROR(INDEX('Shopify Import'!$A:$CZ,514,Settings!$E$20)&amp;"","")</f>
        <v/>
      </c>
      <c r="B514">
        <f>IFERROR(INDEX('Shopify Import'!$A:$CZ,514,Settings!$E$21)&amp;"","")</f>
        <v/>
      </c>
      <c r="C514">
        <f>IFERROR(INDEX('Shopify Import'!$A:$CZ,514,Settings!$E$22)&amp;"","")</f>
        <v/>
      </c>
      <c r="D514">
        <f>IF(A514="","",IFERROR(VALUE(SUBSTITUTE(SUBSTITUTE(INDEX('Shopify Import'!$A:$CZ,514,Settings!$E$23)&amp;"","$",""),",","")),0))</f>
        <v/>
      </c>
      <c r="E514" s="11">
        <f>IF(A514="","",IFERROR(VALUE(SUBSTITUTE(SUBSTITUTE(INDEX('Shopify Import'!$A:$CZ,514,Settings!$E$24)&amp;"","$",""),",","")),0))</f>
        <v/>
      </c>
      <c r="F514" s="11">
        <f>IF(A514="","",D514*E514)</f>
        <v/>
      </c>
      <c r="G514">
        <f>IF(A514="","",IF(C514="",1,COUNTIF($C$2:$C$1501,C514)))</f>
        <v/>
      </c>
      <c r="H514" s="11">
        <f>IF(A514="","",IFERROR(VALUE(SUBSTITUTE(SUBSTITUTE(INDEX('Shopify Import'!$A:$CZ,514,Settings!$E$25)&amp;"","$",""),",","")),0)/IF(Settings!$D$27="Yes",G514,1))</f>
        <v/>
      </c>
      <c r="I514" s="11">
        <f>IF(A514="","",IFERROR(VALUE(SUBSTITUTE(SUBSTITUTE(INDEX('Shopify Import'!$A:$CZ,514,Settings!$E$26)&amp;"","$",""),",","")),0)/IF(Settings!$D$27="Yes",G514,1))</f>
        <v/>
      </c>
      <c r="J514" s="11">
        <f>IF(A514="","",F514+H514-I514)</f>
        <v/>
      </c>
      <c r="K514">
        <f>IF(A514="","",IFERROR(IF(B514="",NA(),MATCH(B514,Products!$B$5:$B$204,0)),IFERROR(MATCH(A514,Products!$A$5:$A$204,0),"")))</f>
        <v/>
      </c>
      <c r="L514">
        <f>IF(A514="","",IF(K514="","⚠ not in Products",INDEX(Products!$A$5:$A$204,K514)))</f>
        <v/>
      </c>
      <c r="M514" s="11">
        <f>IF(A514="","",J514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514+IFERROR(INDEX(Settings!$D$5:$D$9,MATCH("Shopify",Settings!$A$5:$A$9,0)),0)*D514)</f>
        <v/>
      </c>
      <c r="N514" s="11">
        <f>IF(A514="","",IF(K514="",0,D514*INDEX(Products!$I$5:$I$204,K514)))</f>
        <v/>
      </c>
      <c r="O514" s="11">
        <f>IF(A514="","",IF(K514="",0,J514*INDEX(Products!$H$5:$H$204,K514)))</f>
        <v/>
      </c>
      <c r="P514" s="11">
        <f>IF(A514="","",J514-M514-N514-O514)</f>
        <v/>
      </c>
    </row>
    <row r="515">
      <c r="A515">
        <f>IFERROR(INDEX('Shopify Import'!$A:$CZ,515,Settings!$E$20)&amp;"","")</f>
        <v/>
      </c>
      <c r="B515">
        <f>IFERROR(INDEX('Shopify Import'!$A:$CZ,515,Settings!$E$21)&amp;"","")</f>
        <v/>
      </c>
      <c r="C515">
        <f>IFERROR(INDEX('Shopify Import'!$A:$CZ,515,Settings!$E$22)&amp;"","")</f>
        <v/>
      </c>
      <c r="D515">
        <f>IF(A515="","",IFERROR(VALUE(SUBSTITUTE(SUBSTITUTE(INDEX('Shopify Import'!$A:$CZ,515,Settings!$E$23)&amp;"","$",""),",","")),0))</f>
        <v/>
      </c>
      <c r="E515" s="11">
        <f>IF(A515="","",IFERROR(VALUE(SUBSTITUTE(SUBSTITUTE(INDEX('Shopify Import'!$A:$CZ,515,Settings!$E$24)&amp;"","$",""),",","")),0))</f>
        <v/>
      </c>
      <c r="F515" s="11">
        <f>IF(A515="","",D515*E515)</f>
        <v/>
      </c>
      <c r="G515">
        <f>IF(A515="","",IF(C515="",1,COUNTIF($C$2:$C$1501,C515)))</f>
        <v/>
      </c>
      <c r="H515" s="11">
        <f>IF(A515="","",IFERROR(VALUE(SUBSTITUTE(SUBSTITUTE(INDEX('Shopify Import'!$A:$CZ,515,Settings!$E$25)&amp;"","$",""),",","")),0)/IF(Settings!$D$27="Yes",G515,1))</f>
        <v/>
      </c>
      <c r="I515" s="11">
        <f>IF(A515="","",IFERROR(VALUE(SUBSTITUTE(SUBSTITUTE(INDEX('Shopify Import'!$A:$CZ,515,Settings!$E$26)&amp;"","$",""),",","")),0)/IF(Settings!$D$27="Yes",G515,1))</f>
        <v/>
      </c>
      <c r="J515" s="11">
        <f>IF(A515="","",F515+H515-I515)</f>
        <v/>
      </c>
      <c r="K515">
        <f>IF(A515="","",IFERROR(IF(B515="",NA(),MATCH(B515,Products!$B$5:$B$204,0)),IFERROR(MATCH(A515,Products!$A$5:$A$204,0),"")))</f>
        <v/>
      </c>
      <c r="L515">
        <f>IF(A515="","",IF(K515="","⚠ not in Products",INDEX(Products!$A$5:$A$204,K515)))</f>
        <v/>
      </c>
      <c r="M515" s="11">
        <f>IF(A515="","",J515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515+IFERROR(INDEX(Settings!$D$5:$D$9,MATCH("Shopify",Settings!$A$5:$A$9,0)),0)*D515)</f>
        <v/>
      </c>
      <c r="N515" s="11">
        <f>IF(A515="","",IF(K515="",0,D515*INDEX(Products!$I$5:$I$204,K515)))</f>
        <v/>
      </c>
      <c r="O515" s="11">
        <f>IF(A515="","",IF(K515="",0,J515*INDEX(Products!$H$5:$H$204,K515)))</f>
        <v/>
      </c>
      <c r="P515" s="11">
        <f>IF(A515="","",J515-M515-N515-O515)</f>
        <v/>
      </c>
    </row>
    <row r="516">
      <c r="A516">
        <f>IFERROR(INDEX('Shopify Import'!$A:$CZ,516,Settings!$E$20)&amp;"","")</f>
        <v/>
      </c>
      <c r="B516">
        <f>IFERROR(INDEX('Shopify Import'!$A:$CZ,516,Settings!$E$21)&amp;"","")</f>
        <v/>
      </c>
      <c r="C516">
        <f>IFERROR(INDEX('Shopify Import'!$A:$CZ,516,Settings!$E$22)&amp;"","")</f>
        <v/>
      </c>
      <c r="D516">
        <f>IF(A516="","",IFERROR(VALUE(SUBSTITUTE(SUBSTITUTE(INDEX('Shopify Import'!$A:$CZ,516,Settings!$E$23)&amp;"","$",""),",","")),0))</f>
        <v/>
      </c>
      <c r="E516" s="11">
        <f>IF(A516="","",IFERROR(VALUE(SUBSTITUTE(SUBSTITUTE(INDEX('Shopify Import'!$A:$CZ,516,Settings!$E$24)&amp;"","$",""),",","")),0))</f>
        <v/>
      </c>
      <c r="F516" s="11">
        <f>IF(A516="","",D516*E516)</f>
        <v/>
      </c>
      <c r="G516">
        <f>IF(A516="","",IF(C516="",1,COUNTIF($C$2:$C$1501,C516)))</f>
        <v/>
      </c>
      <c r="H516" s="11">
        <f>IF(A516="","",IFERROR(VALUE(SUBSTITUTE(SUBSTITUTE(INDEX('Shopify Import'!$A:$CZ,516,Settings!$E$25)&amp;"","$",""),",","")),0)/IF(Settings!$D$27="Yes",G516,1))</f>
        <v/>
      </c>
      <c r="I516" s="11">
        <f>IF(A516="","",IFERROR(VALUE(SUBSTITUTE(SUBSTITUTE(INDEX('Shopify Import'!$A:$CZ,516,Settings!$E$26)&amp;"","$",""),",","")),0)/IF(Settings!$D$27="Yes",G516,1))</f>
        <v/>
      </c>
      <c r="J516" s="11">
        <f>IF(A516="","",F516+H516-I516)</f>
        <v/>
      </c>
      <c r="K516">
        <f>IF(A516="","",IFERROR(IF(B516="",NA(),MATCH(B516,Products!$B$5:$B$204,0)),IFERROR(MATCH(A516,Products!$A$5:$A$204,0),"")))</f>
        <v/>
      </c>
      <c r="L516">
        <f>IF(A516="","",IF(K516="","⚠ not in Products",INDEX(Products!$A$5:$A$204,K516)))</f>
        <v/>
      </c>
      <c r="M516" s="11">
        <f>IF(A516="","",J516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516+IFERROR(INDEX(Settings!$D$5:$D$9,MATCH("Shopify",Settings!$A$5:$A$9,0)),0)*D516)</f>
        <v/>
      </c>
      <c r="N516" s="11">
        <f>IF(A516="","",IF(K516="",0,D516*INDEX(Products!$I$5:$I$204,K516)))</f>
        <v/>
      </c>
      <c r="O516" s="11">
        <f>IF(A516="","",IF(K516="",0,J516*INDEX(Products!$H$5:$H$204,K516)))</f>
        <v/>
      </c>
      <c r="P516" s="11">
        <f>IF(A516="","",J516-M516-N516-O516)</f>
        <v/>
      </c>
    </row>
    <row r="517">
      <c r="A517">
        <f>IFERROR(INDEX('Shopify Import'!$A:$CZ,517,Settings!$E$20)&amp;"","")</f>
        <v/>
      </c>
      <c r="B517">
        <f>IFERROR(INDEX('Shopify Import'!$A:$CZ,517,Settings!$E$21)&amp;"","")</f>
        <v/>
      </c>
      <c r="C517">
        <f>IFERROR(INDEX('Shopify Import'!$A:$CZ,517,Settings!$E$22)&amp;"","")</f>
        <v/>
      </c>
      <c r="D517">
        <f>IF(A517="","",IFERROR(VALUE(SUBSTITUTE(SUBSTITUTE(INDEX('Shopify Import'!$A:$CZ,517,Settings!$E$23)&amp;"","$",""),",","")),0))</f>
        <v/>
      </c>
      <c r="E517" s="11">
        <f>IF(A517="","",IFERROR(VALUE(SUBSTITUTE(SUBSTITUTE(INDEX('Shopify Import'!$A:$CZ,517,Settings!$E$24)&amp;"","$",""),",","")),0))</f>
        <v/>
      </c>
      <c r="F517" s="11">
        <f>IF(A517="","",D517*E517)</f>
        <v/>
      </c>
      <c r="G517">
        <f>IF(A517="","",IF(C517="",1,COUNTIF($C$2:$C$1501,C517)))</f>
        <v/>
      </c>
      <c r="H517" s="11">
        <f>IF(A517="","",IFERROR(VALUE(SUBSTITUTE(SUBSTITUTE(INDEX('Shopify Import'!$A:$CZ,517,Settings!$E$25)&amp;"","$",""),",","")),0)/IF(Settings!$D$27="Yes",G517,1))</f>
        <v/>
      </c>
      <c r="I517" s="11">
        <f>IF(A517="","",IFERROR(VALUE(SUBSTITUTE(SUBSTITUTE(INDEX('Shopify Import'!$A:$CZ,517,Settings!$E$26)&amp;"","$",""),",","")),0)/IF(Settings!$D$27="Yes",G517,1))</f>
        <v/>
      </c>
      <c r="J517" s="11">
        <f>IF(A517="","",F517+H517-I517)</f>
        <v/>
      </c>
      <c r="K517">
        <f>IF(A517="","",IFERROR(IF(B517="",NA(),MATCH(B517,Products!$B$5:$B$204,0)),IFERROR(MATCH(A517,Products!$A$5:$A$204,0),"")))</f>
        <v/>
      </c>
      <c r="L517">
        <f>IF(A517="","",IF(K517="","⚠ not in Products",INDEX(Products!$A$5:$A$204,K517)))</f>
        <v/>
      </c>
      <c r="M517" s="11">
        <f>IF(A517="","",J517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517+IFERROR(INDEX(Settings!$D$5:$D$9,MATCH("Shopify",Settings!$A$5:$A$9,0)),0)*D517)</f>
        <v/>
      </c>
      <c r="N517" s="11">
        <f>IF(A517="","",IF(K517="",0,D517*INDEX(Products!$I$5:$I$204,K517)))</f>
        <v/>
      </c>
      <c r="O517" s="11">
        <f>IF(A517="","",IF(K517="",0,J517*INDEX(Products!$H$5:$H$204,K517)))</f>
        <v/>
      </c>
      <c r="P517" s="11">
        <f>IF(A517="","",J517-M517-N517-O517)</f>
        <v/>
      </c>
    </row>
    <row r="518">
      <c r="A518">
        <f>IFERROR(INDEX('Shopify Import'!$A:$CZ,518,Settings!$E$20)&amp;"","")</f>
        <v/>
      </c>
      <c r="B518">
        <f>IFERROR(INDEX('Shopify Import'!$A:$CZ,518,Settings!$E$21)&amp;"","")</f>
        <v/>
      </c>
      <c r="C518">
        <f>IFERROR(INDEX('Shopify Import'!$A:$CZ,518,Settings!$E$22)&amp;"","")</f>
        <v/>
      </c>
      <c r="D518">
        <f>IF(A518="","",IFERROR(VALUE(SUBSTITUTE(SUBSTITUTE(INDEX('Shopify Import'!$A:$CZ,518,Settings!$E$23)&amp;"","$",""),",","")),0))</f>
        <v/>
      </c>
      <c r="E518" s="11">
        <f>IF(A518="","",IFERROR(VALUE(SUBSTITUTE(SUBSTITUTE(INDEX('Shopify Import'!$A:$CZ,518,Settings!$E$24)&amp;"","$",""),",","")),0))</f>
        <v/>
      </c>
      <c r="F518" s="11">
        <f>IF(A518="","",D518*E518)</f>
        <v/>
      </c>
      <c r="G518">
        <f>IF(A518="","",IF(C518="",1,COUNTIF($C$2:$C$1501,C518)))</f>
        <v/>
      </c>
      <c r="H518" s="11">
        <f>IF(A518="","",IFERROR(VALUE(SUBSTITUTE(SUBSTITUTE(INDEX('Shopify Import'!$A:$CZ,518,Settings!$E$25)&amp;"","$",""),",","")),0)/IF(Settings!$D$27="Yes",G518,1))</f>
        <v/>
      </c>
      <c r="I518" s="11">
        <f>IF(A518="","",IFERROR(VALUE(SUBSTITUTE(SUBSTITUTE(INDEX('Shopify Import'!$A:$CZ,518,Settings!$E$26)&amp;"","$",""),",","")),0)/IF(Settings!$D$27="Yes",G518,1))</f>
        <v/>
      </c>
      <c r="J518" s="11">
        <f>IF(A518="","",F518+H518-I518)</f>
        <v/>
      </c>
      <c r="K518">
        <f>IF(A518="","",IFERROR(IF(B518="",NA(),MATCH(B518,Products!$B$5:$B$204,0)),IFERROR(MATCH(A518,Products!$A$5:$A$204,0),"")))</f>
        <v/>
      </c>
      <c r="L518">
        <f>IF(A518="","",IF(K518="","⚠ not in Products",INDEX(Products!$A$5:$A$204,K518)))</f>
        <v/>
      </c>
      <c r="M518" s="11">
        <f>IF(A518="","",J518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518+IFERROR(INDEX(Settings!$D$5:$D$9,MATCH("Shopify",Settings!$A$5:$A$9,0)),0)*D518)</f>
        <v/>
      </c>
      <c r="N518" s="11">
        <f>IF(A518="","",IF(K518="",0,D518*INDEX(Products!$I$5:$I$204,K518)))</f>
        <v/>
      </c>
      <c r="O518" s="11">
        <f>IF(A518="","",IF(K518="",0,J518*INDEX(Products!$H$5:$H$204,K518)))</f>
        <v/>
      </c>
      <c r="P518" s="11">
        <f>IF(A518="","",J518-M518-N518-O518)</f>
        <v/>
      </c>
    </row>
    <row r="519">
      <c r="A519">
        <f>IFERROR(INDEX('Shopify Import'!$A:$CZ,519,Settings!$E$20)&amp;"","")</f>
        <v/>
      </c>
      <c r="B519">
        <f>IFERROR(INDEX('Shopify Import'!$A:$CZ,519,Settings!$E$21)&amp;"","")</f>
        <v/>
      </c>
      <c r="C519">
        <f>IFERROR(INDEX('Shopify Import'!$A:$CZ,519,Settings!$E$22)&amp;"","")</f>
        <v/>
      </c>
      <c r="D519">
        <f>IF(A519="","",IFERROR(VALUE(SUBSTITUTE(SUBSTITUTE(INDEX('Shopify Import'!$A:$CZ,519,Settings!$E$23)&amp;"","$",""),",","")),0))</f>
        <v/>
      </c>
      <c r="E519" s="11">
        <f>IF(A519="","",IFERROR(VALUE(SUBSTITUTE(SUBSTITUTE(INDEX('Shopify Import'!$A:$CZ,519,Settings!$E$24)&amp;"","$",""),",","")),0))</f>
        <v/>
      </c>
      <c r="F519" s="11">
        <f>IF(A519="","",D519*E519)</f>
        <v/>
      </c>
      <c r="G519">
        <f>IF(A519="","",IF(C519="",1,COUNTIF($C$2:$C$1501,C519)))</f>
        <v/>
      </c>
      <c r="H519" s="11">
        <f>IF(A519="","",IFERROR(VALUE(SUBSTITUTE(SUBSTITUTE(INDEX('Shopify Import'!$A:$CZ,519,Settings!$E$25)&amp;"","$",""),",","")),0)/IF(Settings!$D$27="Yes",G519,1))</f>
        <v/>
      </c>
      <c r="I519" s="11">
        <f>IF(A519="","",IFERROR(VALUE(SUBSTITUTE(SUBSTITUTE(INDEX('Shopify Import'!$A:$CZ,519,Settings!$E$26)&amp;"","$",""),",","")),0)/IF(Settings!$D$27="Yes",G519,1))</f>
        <v/>
      </c>
      <c r="J519" s="11">
        <f>IF(A519="","",F519+H519-I519)</f>
        <v/>
      </c>
      <c r="K519">
        <f>IF(A519="","",IFERROR(IF(B519="",NA(),MATCH(B519,Products!$B$5:$B$204,0)),IFERROR(MATCH(A519,Products!$A$5:$A$204,0),"")))</f>
        <v/>
      </c>
      <c r="L519">
        <f>IF(A519="","",IF(K519="","⚠ not in Products",INDEX(Products!$A$5:$A$204,K519)))</f>
        <v/>
      </c>
      <c r="M519" s="11">
        <f>IF(A519="","",J519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519+IFERROR(INDEX(Settings!$D$5:$D$9,MATCH("Shopify",Settings!$A$5:$A$9,0)),0)*D519)</f>
        <v/>
      </c>
      <c r="N519" s="11">
        <f>IF(A519="","",IF(K519="",0,D519*INDEX(Products!$I$5:$I$204,K519)))</f>
        <v/>
      </c>
      <c r="O519" s="11">
        <f>IF(A519="","",IF(K519="",0,J519*INDEX(Products!$H$5:$H$204,K519)))</f>
        <v/>
      </c>
      <c r="P519" s="11">
        <f>IF(A519="","",J519-M519-N519-O519)</f>
        <v/>
      </c>
    </row>
    <row r="520">
      <c r="A520">
        <f>IFERROR(INDEX('Shopify Import'!$A:$CZ,520,Settings!$E$20)&amp;"","")</f>
        <v/>
      </c>
      <c r="B520">
        <f>IFERROR(INDEX('Shopify Import'!$A:$CZ,520,Settings!$E$21)&amp;"","")</f>
        <v/>
      </c>
      <c r="C520">
        <f>IFERROR(INDEX('Shopify Import'!$A:$CZ,520,Settings!$E$22)&amp;"","")</f>
        <v/>
      </c>
      <c r="D520">
        <f>IF(A520="","",IFERROR(VALUE(SUBSTITUTE(SUBSTITUTE(INDEX('Shopify Import'!$A:$CZ,520,Settings!$E$23)&amp;"","$",""),",","")),0))</f>
        <v/>
      </c>
      <c r="E520" s="11">
        <f>IF(A520="","",IFERROR(VALUE(SUBSTITUTE(SUBSTITUTE(INDEX('Shopify Import'!$A:$CZ,520,Settings!$E$24)&amp;"","$",""),",","")),0))</f>
        <v/>
      </c>
      <c r="F520" s="11">
        <f>IF(A520="","",D520*E520)</f>
        <v/>
      </c>
      <c r="G520">
        <f>IF(A520="","",IF(C520="",1,COUNTIF($C$2:$C$1501,C520)))</f>
        <v/>
      </c>
      <c r="H520" s="11">
        <f>IF(A520="","",IFERROR(VALUE(SUBSTITUTE(SUBSTITUTE(INDEX('Shopify Import'!$A:$CZ,520,Settings!$E$25)&amp;"","$",""),",","")),0)/IF(Settings!$D$27="Yes",G520,1))</f>
        <v/>
      </c>
      <c r="I520" s="11">
        <f>IF(A520="","",IFERROR(VALUE(SUBSTITUTE(SUBSTITUTE(INDEX('Shopify Import'!$A:$CZ,520,Settings!$E$26)&amp;"","$",""),",","")),0)/IF(Settings!$D$27="Yes",G520,1))</f>
        <v/>
      </c>
      <c r="J520" s="11">
        <f>IF(A520="","",F520+H520-I520)</f>
        <v/>
      </c>
      <c r="K520">
        <f>IF(A520="","",IFERROR(IF(B520="",NA(),MATCH(B520,Products!$B$5:$B$204,0)),IFERROR(MATCH(A520,Products!$A$5:$A$204,0),"")))</f>
        <v/>
      </c>
      <c r="L520">
        <f>IF(A520="","",IF(K520="","⚠ not in Products",INDEX(Products!$A$5:$A$204,K520)))</f>
        <v/>
      </c>
      <c r="M520" s="11">
        <f>IF(A520="","",J520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520+IFERROR(INDEX(Settings!$D$5:$D$9,MATCH("Shopify",Settings!$A$5:$A$9,0)),0)*D520)</f>
        <v/>
      </c>
      <c r="N520" s="11">
        <f>IF(A520="","",IF(K520="",0,D520*INDEX(Products!$I$5:$I$204,K520)))</f>
        <v/>
      </c>
      <c r="O520" s="11">
        <f>IF(A520="","",IF(K520="",0,J520*INDEX(Products!$H$5:$H$204,K520)))</f>
        <v/>
      </c>
      <c r="P520" s="11">
        <f>IF(A520="","",J520-M520-N520-O520)</f>
        <v/>
      </c>
    </row>
    <row r="521">
      <c r="A521">
        <f>IFERROR(INDEX('Shopify Import'!$A:$CZ,521,Settings!$E$20)&amp;"","")</f>
        <v/>
      </c>
      <c r="B521">
        <f>IFERROR(INDEX('Shopify Import'!$A:$CZ,521,Settings!$E$21)&amp;"","")</f>
        <v/>
      </c>
      <c r="C521">
        <f>IFERROR(INDEX('Shopify Import'!$A:$CZ,521,Settings!$E$22)&amp;"","")</f>
        <v/>
      </c>
      <c r="D521">
        <f>IF(A521="","",IFERROR(VALUE(SUBSTITUTE(SUBSTITUTE(INDEX('Shopify Import'!$A:$CZ,521,Settings!$E$23)&amp;"","$",""),",","")),0))</f>
        <v/>
      </c>
      <c r="E521" s="11">
        <f>IF(A521="","",IFERROR(VALUE(SUBSTITUTE(SUBSTITUTE(INDEX('Shopify Import'!$A:$CZ,521,Settings!$E$24)&amp;"","$",""),",","")),0))</f>
        <v/>
      </c>
      <c r="F521" s="11">
        <f>IF(A521="","",D521*E521)</f>
        <v/>
      </c>
      <c r="G521">
        <f>IF(A521="","",IF(C521="",1,COUNTIF($C$2:$C$1501,C521)))</f>
        <v/>
      </c>
      <c r="H521" s="11">
        <f>IF(A521="","",IFERROR(VALUE(SUBSTITUTE(SUBSTITUTE(INDEX('Shopify Import'!$A:$CZ,521,Settings!$E$25)&amp;"","$",""),",","")),0)/IF(Settings!$D$27="Yes",G521,1))</f>
        <v/>
      </c>
      <c r="I521" s="11">
        <f>IF(A521="","",IFERROR(VALUE(SUBSTITUTE(SUBSTITUTE(INDEX('Shopify Import'!$A:$CZ,521,Settings!$E$26)&amp;"","$",""),",","")),0)/IF(Settings!$D$27="Yes",G521,1))</f>
        <v/>
      </c>
      <c r="J521" s="11">
        <f>IF(A521="","",F521+H521-I521)</f>
        <v/>
      </c>
      <c r="K521">
        <f>IF(A521="","",IFERROR(IF(B521="",NA(),MATCH(B521,Products!$B$5:$B$204,0)),IFERROR(MATCH(A521,Products!$A$5:$A$204,0),"")))</f>
        <v/>
      </c>
      <c r="L521">
        <f>IF(A521="","",IF(K521="","⚠ not in Products",INDEX(Products!$A$5:$A$204,K521)))</f>
        <v/>
      </c>
      <c r="M521" s="11">
        <f>IF(A521="","",J521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521+IFERROR(INDEX(Settings!$D$5:$D$9,MATCH("Shopify",Settings!$A$5:$A$9,0)),0)*D521)</f>
        <v/>
      </c>
      <c r="N521" s="11">
        <f>IF(A521="","",IF(K521="",0,D521*INDEX(Products!$I$5:$I$204,K521)))</f>
        <v/>
      </c>
      <c r="O521" s="11">
        <f>IF(A521="","",IF(K521="",0,J521*INDEX(Products!$H$5:$H$204,K521)))</f>
        <v/>
      </c>
      <c r="P521" s="11">
        <f>IF(A521="","",J521-M521-N521-O521)</f>
        <v/>
      </c>
    </row>
    <row r="522">
      <c r="A522">
        <f>IFERROR(INDEX('Shopify Import'!$A:$CZ,522,Settings!$E$20)&amp;"","")</f>
        <v/>
      </c>
      <c r="B522">
        <f>IFERROR(INDEX('Shopify Import'!$A:$CZ,522,Settings!$E$21)&amp;"","")</f>
        <v/>
      </c>
      <c r="C522">
        <f>IFERROR(INDEX('Shopify Import'!$A:$CZ,522,Settings!$E$22)&amp;"","")</f>
        <v/>
      </c>
      <c r="D522">
        <f>IF(A522="","",IFERROR(VALUE(SUBSTITUTE(SUBSTITUTE(INDEX('Shopify Import'!$A:$CZ,522,Settings!$E$23)&amp;"","$",""),",","")),0))</f>
        <v/>
      </c>
      <c r="E522" s="11">
        <f>IF(A522="","",IFERROR(VALUE(SUBSTITUTE(SUBSTITUTE(INDEX('Shopify Import'!$A:$CZ,522,Settings!$E$24)&amp;"","$",""),",","")),0))</f>
        <v/>
      </c>
      <c r="F522" s="11">
        <f>IF(A522="","",D522*E522)</f>
        <v/>
      </c>
      <c r="G522">
        <f>IF(A522="","",IF(C522="",1,COUNTIF($C$2:$C$1501,C522)))</f>
        <v/>
      </c>
      <c r="H522" s="11">
        <f>IF(A522="","",IFERROR(VALUE(SUBSTITUTE(SUBSTITUTE(INDEX('Shopify Import'!$A:$CZ,522,Settings!$E$25)&amp;"","$",""),",","")),0)/IF(Settings!$D$27="Yes",G522,1))</f>
        <v/>
      </c>
      <c r="I522" s="11">
        <f>IF(A522="","",IFERROR(VALUE(SUBSTITUTE(SUBSTITUTE(INDEX('Shopify Import'!$A:$CZ,522,Settings!$E$26)&amp;"","$",""),",","")),0)/IF(Settings!$D$27="Yes",G522,1))</f>
        <v/>
      </c>
      <c r="J522" s="11">
        <f>IF(A522="","",F522+H522-I522)</f>
        <v/>
      </c>
      <c r="K522">
        <f>IF(A522="","",IFERROR(IF(B522="",NA(),MATCH(B522,Products!$B$5:$B$204,0)),IFERROR(MATCH(A522,Products!$A$5:$A$204,0),"")))</f>
        <v/>
      </c>
      <c r="L522">
        <f>IF(A522="","",IF(K522="","⚠ not in Products",INDEX(Products!$A$5:$A$204,K522)))</f>
        <v/>
      </c>
      <c r="M522" s="11">
        <f>IF(A522="","",J522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522+IFERROR(INDEX(Settings!$D$5:$D$9,MATCH("Shopify",Settings!$A$5:$A$9,0)),0)*D522)</f>
        <v/>
      </c>
      <c r="N522" s="11">
        <f>IF(A522="","",IF(K522="",0,D522*INDEX(Products!$I$5:$I$204,K522)))</f>
        <v/>
      </c>
      <c r="O522" s="11">
        <f>IF(A522="","",IF(K522="",0,J522*INDEX(Products!$H$5:$H$204,K522)))</f>
        <v/>
      </c>
      <c r="P522" s="11">
        <f>IF(A522="","",J522-M522-N522-O522)</f>
        <v/>
      </c>
    </row>
    <row r="523">
      <c r="A523">
        <f>IFERROR(INDEX('Shopify Import'!$A:$CZ,523,Settings!$E$20)&amp;"","")</f>
        <v/>
      </c>
      <c r="B523">
        <f>IFERROR(INDEX('Shopify Import'!$A:$CZ,523,Settings!$E$21)&amp;"","")</f>
        <v/>
      </c>
      <c r="C523">
        <f>IFERROR(INDEX('Shopify Import'!$A:$CZ,523,Settings!$E$22)&amp;"","")</f>
        <v/>
      </c>
      <c r="D523">
        <f>IF(A523="","",IFERROR(VALUE(SUBSTITUTE(SUBSTITUTE(INDEX('Shopify Import'!$A:$CZ,523,Settings!$E$23)&amp;"","$",""),",","")),0))</f>
        <v/>
      </c>
      <c r="E523" s="11">
        <f>IF(A523="","",IFERROR(VALUE(SUBSTITUTE(SUBSTITUTE(INDEX('Shopify Import'!$A:$CZ,523,Settings!$E$24)&amp;"","$",""),",","")),0))</f>
        <v/>
      </c>
      <c r="F523" s="11">
        <f>IF(A523="","",D523*E523)</f>
        <v/>
      </c>
      <c r="G523">
        <f>IF(A523="","",IF(C523="",1,COUNTIF($C$2:$C$1501,C523)))</f>
        <v/>
      </c>
      <c r="H523" s="11">
        <f>IF(A523="","",IFERROR(VALUE(SUBSTITUTE(SUBSTITUTE(INDEX('Shopify Import'!$A:$CZ,523,Settings!$E$25)&amp;"","$",""),",","")),0)/IF(Settings!$D$27="Yes",G523,1))</f>
        <v/>
      </c>
      <c r="I523" s="11">
        <f>IF(A523="","",IFERROR(VALUE(SUBSTITUTE(SUBSTITUTE(INDEX('Shopify Import'!$A:$CZ,523,Settings!$E$26)&amp;"","$",""),",","")),0)/IF(Settings!$D$27="Yes",G523,1))</f>
        <v/>
      </c>
      <c r="J523" s="11">
        <f>IF(A523="","",F523+H523-I523)</f>
        <v/>
      </c>
      <c r="K523">
        <f>IF(A523="","",IFERROR(IF(B523="",NA(),MATCH(B523,Products!$B$5:$B$204,0)),IFERROR(MATCH(A523,Products!$A$5:$A$204,0),"")))</f>
        <v/>
      </c>
      <c r="L523">
        <f>IF(A523="","",IF(K523="","⚠ not in Products",INDEX(Products!$A$5:$A$204,K523)))</f>
        <v/>
      </c>
      <c r="M523" s="11">
        <f>IF(A523="","",J523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523+IFERROR(INDEX(Settings!$D$5:$D$9,MATCH("Shopify",Settings!$A$5:$A$9,0)),0)*D523)</f>
        <v/>
      </c>
      <c r="N523" s="11">
        <f>IF(A523="","",IF(K523="",0,D523*INDEX(Products!$I$5:$I$204,K523)))</f>
        <v/>
      </c>
      <c r="O523" s="11">
        <f>IF(A523="","",IF(K523="",0,J523*INDEX(Products!$H$5:$H$204,K523)))</f>
        <v/>
      </c>
      <c r="P523" s="11">
        <f>IF(A523="","",J523-M523-N523-O523)</f>
        <v/>
      </c>
    </row>
    <row r="524">
      <c r="A524">
        <f>IFERROR(INDEX('Shopify Import'!$A:$CZ,524,Settings!$E$20)&amp;"","")</f>
        <v/>
      </c>
      <c r="B524">
        <f>IFERROR(INDEX('Shopify Import'!$A:$CZ,524,Settings!$E$21)&amp;"","")</f>
        <v/>
      </c>
      <c r="C524">
        <f>IFERROR(INDEX('Shopify Import'!$A:$CZ,524,Settings!$E$22)&amp;"","")</f>
        <v/>
      </c>
      <c r="D524">
        <f>IF(A524="","",IFERROR(VALUE(SUBSTITUTE(SUBSTITUTE(INDEX('Shopify Import'!$A:$CZ,524,Settings!$E$23)&amp;"","$",""),",","")),0))</f>
        <v/>
      </c>
      <c r="E524" s="11">
        <f>IF(A524="","",IFERROR(VALUE(SUBSTITUTE(SUBSTITUTE(INDEX('Shopify Import'!$A:$CZ,524,Settings!$E$24)&amp;"","$",""),",","")),0))</f>
        <v/>
      </c>
      <c r="F524" s="11">
        <f>IF(A524="","",D524*E524)</f>
        <v/>
      </c>
      <c r="G524">
        <f>IF(A524="","",IF(C524="",1,COUNTIF($C$2:$C$1501,C524)))</f>
        <v/>
      </c>
      <c r="H524" s="11">
        <f>IF(A524="","",IFERROR(VALUE(SUBSTITUTE(SUBSTITUTE(INDEX('Shopify Import'!$A:$CZ,524,Settings!$E$25)&amp;"","$",""),",","")),0)/IF(Settings!$D$27="Yes",G524,1))</f>
        <v/>
      </c>
      <c r="I524" s="11">
        <f>IF(A524="","",IFERROR(VALUE(SUBSTITUTE(SUBSTITUTE(INDEX('Shopify Import'!$A:$CZ,524,Settings!$E$26)&amp;"","$",""),",","")),0)/IF(Settings!$D$27="Yes",G524,1))</f>
        <v/>
      </c>
      <c r="J524" s="11">
        <f>IF(A524="","",F524+H524-I524)</f>
        <v/>
      </c>
      <c r="K524">
        <f>IF(A524="","",IFERROR(IF(B524="",NA(),MATCH(B524,Products!$B$5:$B$204,0)),IFERROR(MATCH(A524,Products!$A$5:$A$204,0),"")))</f>
        <v/>
      </c>
      <c r="L524">
        <f>IF(A524="","",IF(K524="","⚠ not in Products",INDEX(Products!$A$5:$A$204,K524)))</f>
        <v/>
      </c>
      <c r="M524" s="11">
        <f>IF(A524="","",J524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524+IFERROR(INDEX(Settings!$D$5:$D$9,MATCH("Shopify",Settings!$A$5:$A$9,0)),0)*D524)</f>
        <v/>
      </c>
      <c r="N524" s="11">
        <f>IF(A524="","",IF(K524="",0,D524*INDEX(Products!$I$5:$I$204,K524)))</f>
        <v/>
      </c>
      <c r="O524" s="11">
        <f>IF(A524="","",IF(K524="",0,J524*INDEX(Products!$H$5:$H$204,K524)))</f>
        <v/>
      </c>
      <c r="P524" s="11">
        <f>IF(A524="","",J524-M524-N524-O524)</f>
        <v/>
      </c>
    </row>
    <row r="525">
      <c r="A525">
        <f>IFERROR(INDEX('Shopify Import'!$A:$CZ,525,Settings!$E$20)&amp;"","")</f>
        <v/>
      </c>
      <c r="B525">
        <f>IFERROR(INDEX('Shopify Import'!$A:$CZ,525,Settings!$E$21)&amp;"","")</f>
        <v/>
      </c>
      <c r="C525">
        <f>IFERROR(INDEX('Shopify Import'!$A:$CZ,525,Settings!$E$22)&amp;"","")</f>
        <v/>
      </c>
      <c r="D525">
        <f>IF(A525="","",IFERROR(VALUE(SUBSTITUTE(SUBSTITUTE(INDEX('Shopify Import'!$A:$CZ,525,Settings!$E$23)&amp;"","$",""),",","")),0))</f>
        <v/>
      </c>
      <c r="E525" s="11">
        <f>IF(A525="","",IFERROR(VALUE(SUBSTITUTE(SUBSTITUTE(INDEX('Shopify Import'!$A:$CZ,525,Settings!$E$24)&amp;"","$",""),",","")),0))</f>
        <v/>
      </c>
      <c r="F525" s="11">
        <f>IF(A525="","",D525*E525)</f>
        <v/>
      </c>
      <c r="G525">
        <f>IF(A525="","",IF(C525="",1,COUNTIF($C$2:$C$1501,C525)))</f>
        <v/>
      </c>
      <c r="H525" s="11">
        <f>IF(A525="","",IFERROR(VALUE(SUBSTITUTE(SUBSTITUTE(INDEX('Shopify Import'!$A:$CZ,525,Settings!$E$25)&amp;"","$",""),",","")),0)/IF(Settings!$D$27="Yes",G525,1))</f>
        <v/>
      </c>
      <c r="I525" s="11">
        <f>IF(A525="","",IFERROR(VALUE(SUBSTITUTE(SUBSTITUTE(INDEX('Shopify Import'!$A:$CZ,525,Settings!$E$26)&amp;"","$",""),",","")),0)/IF(Settings!$D$27="Yes",G525,1))</f>
        <v/>
      </c>
      <c r="J525" s="11">
        <f>IF(A525="","",F525+H525-I525)</f>
        <v/>
      </c>
      <c r="K525">
        <f>IF(A525="","",IFERROR(IF(B525="",NA(),MATCH(B525,Products!$B$5:$B$204,0)),IFERROR(MATCH(A525,Products!$A$5:$A$204,0),"")))</f>
        <v/>
      </c>
      <c r="L525">
        <f>IF(A525="","",IF(K525="","⚠ not in Products",INDEX(Products!$A$5:$A$204,K525)))</f>
        <v/>
      </c>
      <c r="M525" s="11">
        <f>IF(A525="","",J525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525+IFERROR(INDEX(Settings!$D$5:$D$9,MATCH("Shopify",Settings!$A$5:$A$9,0)),0)*D525)</f>
        <v/>
      </c>
      <c r="N525" s="11">
        <f>IF(A525="","",IF(K525="",0,D525*INDEX(Products!$I$5:$I$204,K525)))</f>
        <v/>
      </c>
      <c r="O525" s="11">
        <f>IF(A525="","",IF(K525="",0,J525*INDEX(Products!$H$5:$H$204,K525)))</f>
        <v/>
      </c>
      <c r="P525" s="11">
        <f>IF(A525="","",J525-M525-N525-O525)</f>
        <v/>
      </c>
    </row>
    <row r="526">
      <c r="A526">
        <f>IFERROR(INDEX('Shopify Import'!$A:$CZ,526,Settings!$E$20)&amp;"","")</f>
        <v/>
      </c>
      <c r="B526">
        <f>IFERROR(INDEX('Shopify Import'!$A:$CZ,526,Settings!$E$21)&amp;"","")</f>
        <v/>
      </c>
      <c r="C526">
        <f>IFERROR(INDEX('Shopify Import'!$A:$CZ,526,Settings!$E$22)&amp;"","")</f>
        <v/>
      </c>
      <c r="D526">
        <f>IF(A526="","",IFERROR(VALUE(SUBSTITUTE(SUBSTITUTE(INDEX('Shopify Import'!$A:$CZ,526,Settings!$E$23)&amp;"","$",""),",","")),0))</f>
        <v/>
      </c>
      <c r="E526" s="11">
        <f>IF(A526="","",IFERROR(VALUE(SUBSTITUTE(SUBSTITUTE(INDEX('Shopify Import'!$A:$CZ,526,Settings!$E$24)&amp;"","$",""),",","")),0))</f>
        <v/>
      </c>
      <c r="F526" s="11">
        <f>IF(A526="","",D526*E526)</f>
        <v/>
      </c>
      <c r="G526">
        <f>IF(A526="","",IF(C526="",1,COUNTIF($C$2:$C$1501,C526)))</f>
        <v/>
      </c>
      <c r="H526" s="11">
        <f>IF(A526="","",IFERROR(VALUE(SUBSTITUTE(SUBSTITUTE(INDEX('Shopify Import'!$A:$CZ,526,Settings!$E$25)&amp;"","$",""),",","")),0)/IF(Settings!$D$27="Yes",G526,1))</f>
        <v/>
      </c>
      <c r="I526" s="11">
        <f>IF(A526="","",IFERROR(VALUE(SUBSTITUTE(SUBSTITUTE(INDEX('Shopify Import'!$A:$CZ,526,Settings!$E$26)&amp;"","$",""),",","")),0)/IF(Settings!$D$27="Yes",G526,1))</f>
        <v/>
      </c>
      <c r="J526" s="11">
        <f>IF(A526="","",F526+H526-I526)</f>
        <v/>
      </c>
      <c r="K526">
        <f>IF(A526="","",IFERROR(IF(B526="",NA(),MATCH(B526,Products!$B$5:$B$204,0)),IFERROR(MATCH(A526,Products!$A$5:$A$204,0),"")))</f>
        <v/>
      </c>
      <c r="L526">
        <f>IF(A526="","",IF(K526="","⚠ not in Products",INDEX(Products!$A$5:$A$204,K526)))</f>
        <v/>
      </c>
      <c r="M526" s="11">
        <f>IF(A526="","",J526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526+IFERROR(INDEX(Settings!$D$5:$D$9,MATCH("Shopify",Settings!$A$5:$A$9,0)),0)*D526)</f>
        <v/>
      </c>
      <c r="N526" s="11">
        <f>IF(A526="","",IF(K526="",0,D526*INDEX(Products!$I$5:$I$204,K526)))</f>
        <v/>
      </c>
      <c r="O526" s="11">
        <f>IF(A526="","",IF(K526="",0,J526*INDEX(Products!$H$5:$H$204,K526)))</f>
        <v/>
      </c>
      <c r="P526" s="11">
        <f>IF(A526="","",J526-M526-N526-O526)</f>
        <v/>
      </c>
    </row>
    <row r="527">
      <c r="A527">
        <f>IFERROR(INDEX('Shopify Import'!$A:$CZ,527,Settings!$E$20)&amp;"","")</f>
        <v/>
      </c>
      <c r="B527">
        <f>IFERROR(INDEX('Shopify Import'!$A:$CZ,527,Settings!$E$21)&amp;"","")</f>
        <v/>
      </c>
      <c r="C527">
        <f>IFERROR(INDEX('Shopify Import'!$A:$CZ,527,Settings!$E$22)&amp;"","")</f>
        <v/>
      </c>
      <c r="D527">
        <f>IF(A527="","",IFERROR(VALUE(SUBSTITUTE(SUBSTITUTE(INDEX('Shopify Import'!$A:$CZ,527,Settings!$E$23)&amp;"","$",""),",","")),0))</f>
        <v/>
      </c>
      <c r="E527" s="11">
        <f>IF(A527="","",IFERROR(VALUE(SUBSTITUTE(SUBSTITUTE(INDEX('Shopify Import'!$A:$CZ,527,Settings!$E$24)&amp;"","$",""),",","")),0))</f>
        <v/>
      </c>
      <c r="F527" s="11">
        <f>IF(A527="","",D527*E527)</f>
        <v/>
      </c>
      <c r="G527">
        <f>IF(A527="","",IF(C527="",1,COUNTIF($C$2:$C$1501,C527)))</f>
        <v/>
      </c>
      <c r="H527" s="11">
        <f>IF(A527="","",IFERROR(VALUE(SUBSTITUTE(SUBSTITUTE(INDEX('Shopify Import'!$A:$CZ,527,Settings!$E$25)&amp;"","$",""),",","")),0)/IF(Settings!$D$27="Yes",G527,1))</f>
        <v/>
      </c>
      <c r="I527" s="11">
        <f>IF(A527="","",IFERROR(VALUE(SUBSTITUTE(SUBSTITUTE(INDEX('Shopify Import'!$A:$CZ,527,Settings!$E$26)&amp;"","$",""),",","")),0)/IF(Settings!$D$27="Yes",G527,1))</f>
        <v/>
      </c>
      <c r="J527" s="11">
        <f>IF(A527="","",F527+H527-I527)</f>
        <v/>
      </c>
      <c r="K527">
        <f>IF(A527="","",IFERROR(IF(B527="",NA(),MATCH(B527,Products!$B$5:$B$204,0)),IFERROR(MATCH(A527,Products!$A$5:$A$204,0),"")))</f>
        <v/>
      </c>
      <c r="L527">
        <f>IF(A527="","",IF(K527="","⚠ not in Products",INDEX(Products!$A$5:$A$204,K527)))</f>
        <v/>
      </c>
      <c r="M527" s="11">
        <f>IF(A527="","",J527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527+IFERROR(INDEX(Settings!$D$5:$D$9,MATCH("Shopify",Settings!$A$5:$A$9,0)),0)*D527)</f>
        <v/>
      </c>
      <c r="N527" s="11">
        <f>IF(A527="","",IF(K527="",0,D527*INDEX(Products!$I$5:$I$204,K527)))</f>
        <v/>
      </c>
      <c r="O527" s="11">
        <f>IF(A527="","",IF(K527="",0,J527*INDEX(Products!$H$5:$H$204,K527)))</f>
        <v/>
      </c>
      <c r="P527" s="11">
        <f>IF(A527="","",J527-M527-N527-O527)</f>
        <v/>
      </c>
    </row>
    <row r="528">
      <c r="A528">
        <f>IFERROR(INDEX('Shopify Import'!$A:$CZ,528,Settings!$E$20)&amp;"","")</f>
        <v/>
      </c>
      <c r="B528">
        <f>IFERROR(INDEX('Shopify Import'!$A:$CZ,528,Settings!$E$21)&amp;"","")</f>
        <v/>
      </c>
      <c r="C528">
        <f>IFERROR(INDEX('Shopify Import'!$A:$CZ,528,Settings!$E$22)&amp;"","")</f>
        <v/>
      </c>
      <c r="D528">
        <f>IF(A528="","",IFERROR(VALUE(SUBSTITUTE(SUBSTITUTE(INDEX('Shopify Import'!$A:$CZ,528,Settings!$E$23)&amp;"","$",""),",","")),0))</f>
        <v/>
      </c>
      <c r="E528" s="11">
        <f>IF(A528="","",IFERROR(VALUE(SUBSTITUTE(SUBSTITUTE(INDEX('Shopify Import'!$A:$CZ,528,Settings!$E$24)&amp;"","$",""),",","")),0))</f>
        <v/>
      </c>
      <c r="F528" s="11">
        <f>IF(A528="","",D528*E528)</f>
        <v/>
      </c>
      <c r="G528">
        <f>IF(A528="","",IF(C528="",1,COUNTIF($C$2:$C$1501,C528)))</f>
        <v/>
      </c>
      <c r="H528" s="11">
        <f>IF(A528="","",IFERROR(VALUE(SUBSTITUTE(SUBSTITUTE(INDEX('Shopify Import'!$A:$CZ,528,Settings!$E$25)&amp;"","$",""),",","")),0)/IF(Settings!$D$27="Yes",G528,1))</f>
        <v/>
      </c>
      <c r="I528" s="11">
        <f>IF(A528="","",IFERROR(VALUE(SUBSTITUTE(SUBSTITUTE(INDEX('Shopify Import'!$A:$CZ,528,Settings!$E$26)&amp;"","$",""),",","")),0)/IF(Settings!$D$27="Yes",G528,1))</f>
        <v/>
      </c>
      <c r="J528" s="11">
        <f>IF(A528="","",F528+H528-I528)</f>
        <v/>
      </c>
      <c r="K528">
        <f>IF(A528="","",IFERROR(IF(B528="",NA(),MATCH(B528,Products!$B$5:$B$204,0)),IFERROR(MATCH(A528,Products!$A$5:$A$204,0),"")))</f>
        <v/>
      </c>
      <c r="L528">
        <f>IF(A528="","",IF(K528="","⚠ not in Products",INDEX(Products!$A$5:$A$204,K528)))</f>
        <v/>
      </c>
      <c r="M528" s="11">
        <f>IF(A528="","",J528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528+IFERROR(INDEX(Settings!$D$5:$D$9,MATCH("Shopify",Settings!$A$5:$A$9,0)),0)*D528)</f>
        <v/>
      </c>
      <c r="N528" s="11">
        <f>IF(A528="","",IF(K528="",0,D528*INDEX(Products!$I$5:$I$204,K528)))</f>
        <v/>
      </c>
      <c r="O528" s="11">
        <f>IF(A528="","",IF(K528="",0,J528*INDEX(Products!$H$5:$H$204,K528)))</f>
        <v/>
      </c>
      <c r="P528" s="11">
        <f>IF(A528="","",J528-M528-N528-O528)</f>
        <v/>
      </c>
    </row>
    <row r="529">
      <c r="A529">
        <f>IFERROR(INDEX('Shopify Import'!$A:$CZ,529,Settings!$E$20)&amp;"","")</f>
        <v/>
      </c>
      <c r="B529">
        <f>IFERROR(INDEX('Shopify Import'!$A:$CZ,529,Settings!$E$21)&amp;"","")</f>
        <v/>
      </c>
      <c r="C529">
        <f>IFERROR(INDEX('Shopify Import'!$A:$CZ,529,Settings!$E$22)&amp;"","")</f>
        <v/>
      </c>
      <c r="D529">
        <f>IF(A529="","",IFERROR(VALUE(SUBSTITUTE(SUBSTITUTE(INDEX('Shopify Import'!$A:$CZ,529,Settings!$E$23)&amp;"","$",""),",","")),0))</f>
        <v/>
      </c>
      <c r="E529" s="11">
        <f>IF(A529="","",IFERROR(VALUE(SUBSTITUTE(SUBSTITUTE(INDEX('Shopify Import'!$A:$CZ,529,Settings!$E$24)&amp;"","$",""),",","")),0))</f>
        <v/>
      </c>
      <c r="F529" s="11">
        <f>IF(A529="","",D529*E529)</f>
        <v/>
      </c>
      <c r="G529">
        <f>IF(A529="","",IF(C529="",1,COUNTIF($C$2:$C$1501,C529)))</f>
        <v/>
      </c>
      <c r="H529" s="11">
        <f>IF(A529="","",IFERROR(VALUE(SUBSTITUTE(SUBSTITUTE(INDEX('Shopify Import'!$A:$CZ,529,Settings!$E$25)&amp;"","$",""),",","")),0)/IF(Settings!$D$27="Yes",G529,1))</f>
        <v/>
      </c>
      <c r="I529" s="11">
        <f>IF(A529="","",IFERROR(VALUE(SUBSTITUTE(SUBSTITUTE(INDEX('Shopify Import'!$A:$CZ,529,Settings!$E$26)&amp;"","$",""),",","")),0)/IF(Settings!$D$27="Yes",G529,1))</f>
        <v/>
      </c>
      <c r="J529" s="11">
        <f>IF(A529="","",F529+H529-I529)</f>
        <v/>
      </c>
      <c r="K529">
        <f>IF(A529="","",IFERROR(IF(B529="",NA(),MATCH(B529,Products!$B$5:$B$204,0)),IFERROR(MATCH(A529,Products!$A$5:$A$204,0),"")))</f>
        <v/>
      </c>
      <c r="L529">
        <f>IF(A529="","",IF(K529="","⚠ not in Products",INDEX(Products!$A$5:$A$204,K529)))</f>
        <v/>
      </c>
      <c r="M529" s="11">
        <f>IF(A529="","",J529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529+IFERROR(INDEX(Settings!$D$5:$D$9,MATCH("Shopify",Settings!$A$5:$A$9,0)),0)*D529)</f>
        <v/>
      </c>
      <c r="N529" s="11">
        <f>IF(A529="","",IF(K529="",0,D529*INDEX(Products!$I$5:$I$204,K529)))</f>
        <v/>
      </c>
      <c r="O529" s="11">
        <f>IF(A529="","",IF(K529="",0,J529*INDEX(Products!$H$5:$H$204,K529)))</f>
        <v/>
      </c>
      <c r="P529" s="11">
        <f>IF(A529="","",J529-M529-N529-O529)</f>
        <v/>
      </c>
    </row>
    <row r="530">
      <c r="A530">
        <f>IFERROR(INDEX('Shopify Import'!$A:$CZ,530,Settings!$E$20)&amp;"","")</f>
        <v/>
      </c>
      <c r="B530">
        <f>IFERROR(INDEX('Shopify Import'!$A:$CZ,530,Settings!$E$21)&amp;"","")</f>
        <v/>
      </c>
      <c r="C530">
        <f>IFERROR(INDEX('Shopify Import'!$A:$CZ,530,Settings!$E$22)&amp;"","")</f>
        <v/>
      </c>
      <c r="D530">
        <f>IF(A530="","",IFERROR(VALUE(SUBSTITUTE(SUBSTITUTE(INDEX('Shopify Import'!$A:$CZ,530,Settings!$E$23)&amp;"","$",""),",","")),0))</f>
        <v/>
      </c>
      <c r="E530" s="11">
        <f>IF(A530="","",IFERROR(VALUE(SUBSTITUTE(SUBSTITUTE(INDEX('Shopify Import'!$A:$CZ,530,Settings!$E$24)&amp;"","$",""),",","")),0))</f>
        <v/>
      </c>
      <c r="F530" s="11">
        <f>IF(A530="","",D530*E530)</f>
        <v/>
      </c>
      <c r="G530">
        <f>IF(A530="","",IF(C530="",1,COUNTIF($C$2:$C$1501,C530)))</f>
        <v/>
      </c>
      <c r="H530" s="11">
        <f>IF(A530="","",IFERROR(VALUE(SUBSTITUTE(SUBSTITUTE(INDEX('Shopify Import'!$A:$CZ,530,Settings!$E$25)&amp;"","$",""),",","")),0)/IF(Settings!$D$27="Yes",G530,1))</f>
        <v/>
      </c>
      <c r="I530" s="11">
        <f>IF(A530="","",IFERROR(VALUE(SUBSTITUTE(SUBSTITUTE(INDEX('Shopify Import'!$A:$CZ,530,Settings!$E$26)&amp;"","$",""),",","")),0)/IF(Settings!$D$27="Yes",G530,1))</f>
        <v/>
      </c>
      <c r="J530" s="11">
        <f>IF(A530="","",F530+H530-I530)</f>
        <v/>
      </c>
      <c r="K530">
        <f>IF(A530="","",IFERROR(IF(B530="",NA(),MATCH(B530,Products!$B$5:$B$204,0)),IFERROR(MATCH(A530,Products!$A$5:$A$204,0),"")))</f>
        <v/>
      </c>
      <c r="L530">
        <f>IF(A530="","",IF(K530="","⚠ not in Products",INDEX(Products!$A$5:$A$204,K530)))</f>
        <v/>
      </c>
      <c r="M530" s="11">
        <f>IF(A530="","",J530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530+IFERROR(INDEX(Settings!$D$5:$D$9,MATCH("Shopify",Settings!$A$5:$A$9,0)),0)*D530)</f>
        <v/>
      </c>
      <c r="N530" s="11">
        <f>IF(A530="","",IF(K530="",0,D530*INDEX(Products!$I$5:$I$204,K530)))</f>
        <v/>
      </c>
      <c r="O530" s="11">
        <f>IF(A530="","",IF(K530="",0,J530*INDEX(Products!$H$5:$H$204,K530)))</f>
        <v/>
      </c>
      <c r="P530" s="11">
        <f>IF(A530="","",J530-M530-N530-O530)</f>
        <v/>
      </c>
    </row>
    <row r="531">
      <c r="A531">
        <f>IFERROR(INDEX('Shopify Import'!$A:$CZ,531,Settings!$E$20)&amp;"","")</f>
        <v/>
      </c>
      <c r="B531">
        <f>IFERROR(INDEX('Shopify Import'!$A:$CZ,531,Settings!$E$21)&amp;"","")</f>
        <v/>
      </c>
      <c r="C531">
        <f>IFERROR(INDEX('Shopify Import'!$A:$CZ,531,Settings!$E$22)&amp;"","")</f>
        <v/>
      </c>
      <c r="D531">
        <f>IF(A531="","",IFERROR(VALUE(SUBSTITUTE(SUBSTITUTE(INDEX('Shopify Import'!$A:$CZ,531,Settings!$E$23)&amp;"","$",""),",","")),0))</f>
        <v/>
      </c>
      <c r="E531" s="11">
        <f>IF(A531="","",IFERROR(VALUE(SUBSTITUTE(SUBSTITUTE(INDEX('Shopify Import'!$A:$CZ,531,Settings!$E$24)&amp;"","$",""),",","")),0))</f>
        <v/>
      </c>
      <c r="F531" s="11">
        <f>IF(A531="","",D531*E531)</f>
        <v/>
      </c>
      <c r="G531">
        <f>IF(A531="","",IF(C531="",1,COUNTIF($C$2:$C$1501,C531)))</f>
        <v/>
      </c>
      <c r="H531" s="11">
        <f>IF(A531="","",IFERROR(VALUE(SUBSTITUTE(SUBSTITUTE(INDEX('Shopify Import'!$A:$CZ,531,Settings!$E$25)&amp;"","$",""),",","")),0)/IF(Settings!$D$27="Yes",G531,1))</f>
        <v/>
      </c>
      <c r="I531" s="11">
        <f>IF(A531="","",IFERROR(VALUE(SUBSTITUTE(SUBSTITUTE(INDEX('Shopify Import'!$A:$CZ,531,Settings!$E$26)&amp;"","$",""),",","")),0)/IF(Settings!$D$27="Yes",G531,1))</f>
        <v/>
      </c>
      <c r="J531" s="11">
        <f>IF(A531="","",F531+H531-I531)</f>
        <v/>
      </c>
      <c r="K531">
        <f>IF(A531="","",IFERROR(IF(B531="",NA(),MATCH(B531,Products!$B$5:$B$204,0)),IFERROR(MATCH(A531,Products!$A$5:$A$204,0),"")))</f>
        <v/>
      </c>
      <c r="L531">
        <f>IF(A531="","",IF(K531="","⚠ not in Products",INDEX(Products!$A$5:$A$204,K531)))</f>
        <v/>
      </c>
      <c r="M531" s="11">
        <f>IF(A531="","",J531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531+IFERROR(INDEX(Settings!$D$5:$D$9,MATCH("Shopify",Settings!$A$5:$A$9,0)),0)*D531)</f>
        <v/>
      </c>
      <c r="N531" s="11">
        <f>IF(A531="","",IF(K531="",0,D531*INDEX(Products!$I$5:$I$204,K531)))</f>
        <v/>
      </c>
      <c r="O531" s="11">
        <f>IF(A531="","",IF(K531="",0,J531*INDEX(Products!$H$5:$H$204,K531)))</f>
        <v/>
      </c>
      <c r="P531" s="11">
        <f>IF(A531="","",J531-M531-N531-O531)</f>
        <v/>
      </c>
    </row>
    <row r="532">
      <c r="A532">
        <f>IFERROR(INDEX('Shopify Import'!$A:$CZ,532,Settings!$E$20)&amp;"","")</f>
        <v/>
      </c>
      <c r="B532">
        <f>IFERROR(INDEX('Shopify Import'!$A:$CZ,532,Settings!$E$21)&amp;"","")</f>
        <v/>
      </c>
      <c r="C532">
        <f>IFERROR(INDEX('Shopify Import'!$A:$CZ,532,Settings!$E$22)&amp;"","")</f>
        <v/>
      </c>
      <c r="D532">
        <f>IF(A532="","",IFERROR(VALUE(SUBSTITUTE(SUBSTITUTE(INDEX('Shopify Import'!$A:$CZ,532,Settings!$E$23)&amp;"","$",""),",","")),0))</f>
        <v/>
      </c>
      <c r="E532" s="11">
        <f>IF(A532="","",IFERROR(VALUE(SUBSTITUTE(SUBSTITUTE(INDEX('Shopify Import'!$A:$CZ,532,Settings!$E$24)&amp;"","$",""),",","")),0))</f>
        <v/>
      </c>
      <c r="F532" s="11">
        <f>IF(A532="","",D532*E532)</f>
        <v/>
      </c>
      <c r="G532">
        <f>IF(A532="","",IF(C532="",1,COUNTIF($C$2:$C$1501,C532)))</f>
        <v/>
      </c>
      <c r="H532" s="11">
        <f>IF(A532="","",IFERROR(VALUE(SUBSTITUTE(SUBSTITUTE(INDEX('Shopify Import'!$A:$CZ,532,Settings!$E$25)&amp;"","$",""),",","")),0)/IF(Settings!$D$27="Yes",G532,1))</f>
        <v/>
      </c>
      <c r="I532" s="11">
        <f>IF(A532="","",IFERROR(VALUE(SUBSTITUTE(SUBSTITUTE(INDEX('Shopify Import'!$A:$CZ,532,Settings!$E$26)&amp;"","$",""),",","")),0)/IF(Settings!$D$27="Yes",G532,1))</f>
        <v/>
      </c>
      <c r="J532" s="11">
        <f>IF(A532="","",F532+H532-I532)</f>
        <v/>
      </c>
      <c r="K532">
        <f>IF(A532="","",IFERROR(IF(B532="",NA(),MATCH(B532,Products!$B$5:$B$204,0)),IFERROR(MATCH(A532,Products!$A$5:$A$204,0),"")))</f>
        <v/>
      </c>
      <c r="L532">
        <f>IF(A532="","",IF(K532="","⚠ not in Products",INDEX(Products!$A$5:$A$204,K532)))</f>
        <v/>
      </c>
      <c r="M532" s="11">
        <f>IF(A532="","",J532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532+IFERROR(INDEX(Settings!$D$5:$D$9,MATCH("Shopify",Settings!$A$5:$A$9,0)),0)*D532)</f>
        <v/>
      </c>
      <c r="N532" s="11">
        <f>IF(A532="","",IF(K532="",0,D532*INDEX(Products!$I$5:$I$204,K532)))</f>
        <v/>
      </c>
      <c r="O532" s="11">
        <f>IF(A532="","",IF(K532="",0,J532*INDEX(Products!$H$5:$H$204,K532)))</f>
        <v/>
      </c>
      <c r="P532" s="11">
        <f>IF(A532="","",J532-M532-N532-O532)</f>
        <v/>
      </c>
    </row>
    <row r="533">
      <c r="A533">
        <f>IFERROR(INDEX('Shopify Import'!$A:$CZ,533,Settings!$E$20)&amp;"","")</f>
        <v/>
      </c>
      <c r="B533">
        <f>IFERROR(INDEX('Shopify Import'!$A:$CZ,533,Settings!$E$21)&amp;"","")</f>
        <v/>
      </c>
      <c r="C533">
        <f>IFERROR(INDEX('Shopify Import'!$A:$CZ,533,Settings!$E$22)&amp;"","")</f>
        <v/>
      </c>
      <c r="D533">
        <f>IF(A533="","",IFERROR(VALUE(SUBSTITUTE(SUBSTITUTE(INDEX('Shopify Import'!$A:$CZ,533,Settings!$E$23)&amp;"","$",""),",","")),0))</f>
        <v/>
      </c>
      <c r="E533" s="11">
        <f>IF(A533="","",IFERROR(VALUE(SUBSTITUTE(SUBSTITUTE(INDEX('Shopify Import'!$A:$CZ,533,Settings!$E$24)&amp;"","$",""),",","")),0))</f>
        <v/>
      </c>
      <c r="F533" s="11">
        <f>IF(A533="","",D533*E533)</f>
        <v/>
      </c>
      <c r="G533">
        <f>IF(A533="","",IF(C533="",1,COUNTIF($C$2:$C$1501,C533)))</f>
        <v/>
      </c>
      <c r="H533" s="11">
        <f>IF(A533="","",IFERROR(VALUE(SUBSTITUTE(SUBSTITUTE(INDEX('Shopify Import'!$A:$CZ,533,Settings!$E$25)&amp;"","$",""),",","")),0)/IF(Settings!$D$27="Yes",G533,1))</f>
        <v/>
      </c>
      <c r="I533" s="11">
        <f>IF(A533="","",IFERROR(VALUE(SUBSTITUTE(SUBSTITUTE(INDEX('Shopify Import'!$A:$CZ,533,Settings!$E$26)&amp;"","$",""),",","")),0)/IF(Settings!$D$27="Yes",G533,1))</f>
        <v/>
      </c>
      <c r="J533" s="11">
        <f>IF(A533="","",F533+H533-I533)</f>
        <v/>
      </c>
      <c r="K533">
        <f>IF(A533="","",IFERROR(IF(B533="",NA(),MATCH(B533,Products!$B$5:$B$204,0)),IFERROR(MATCH(A533,Products!$A$5:$A$204,0),"")))</f>
        <v/>
      </c>
      <c r="L533">
        <f>IF(A533="","",IF(K533="","⚠ not in Products",INDEX(Products!$A$5:$A$204,K533)))</f>
        <v/>
      </c>
      <c r="M533" s="11">
        <f>IF(A533="","",J533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533+IFERROR(INDEX(Settings!$D$5:$D$9,MATCH("Shopify",Settings!$A$5:$A$9,0)),0)*D533)</f>
        <v/>
      </c>
      <c r="N533" s="11">
        <f>IF(A533="","",IF(K533="",0,D533*INDEX(Products!$I$5:$I$204,K533)))</f>
        <v/>
      </c>
      <c r="O533" s="11">
        <f>IF(A533="","",IF(K533="",0,J533*INDEX(Products!$H$5:$H$204,K533)))</f>
        <v/>
      </c>
      <c r="P533" s="11">
        <f>IF(A533="","",J533-M533-N533-O533)</f>
        <v/>
      </c>
    </row>
    <row r="534">
      <c r="A534">
        <f>IFERROR(INDEX('Shopify Import'!$A:$CZ,534,Settings!$E$20)&amp;"","")</f>
        <v/>
      </c>
      <c r="B534">
        <f>IFERROR(INDEX('Shopify Import'!$A:$CZ,534,Settings!$E$21)&amp;"","")</f>
        <v/>
      </c>
      <c r="C534">
        <f>IFERROR(INDEX('Shopify Import'!$A:$CZ,534,Settings!$E$22)&amp;"","")</f>
        <v/>
      </c>
      <c r="D534">
        <f>IF(A534="","",IFERROR(VALUE(SUBSTITUTE(SUBSTITUTE(INDEX('Shopify Import'!$A:$CZ,534,Settings!$E$23)&amp;"","$",""),",","")),0))</f>
        <v/>
      </c>
      <c r="E534" s="11">
        <f>IF(A534="","",IFERROR(VALUE(SUBSTITUTE(SUBSTITUTE(INDEX('Shopify Import'!$A:$CZ,534,Settings!$E$24)&amp;"","$",""),",","")),0))</f>
        <v/>
      </c>
      <c r="F534" s="11">
        <f>IF(A534="","",D534*E534)</f>
        <v/>
      </c>
      <c r="G534">
        <f>IF(A534="","",IF(C534="",1,COUNTIF($C$2:$C$1501,C534)))</f>
        <v/>
      </c>
      <c r="H534" s="11">
        <f>IF(A534="","",IFERROR(VALUE(SUBSTITUTE(SUBSTITUTE(INDEX('Shopify Import'!$A:$CZ,534,Settings!$E$25)&amp;"","$",""),",","")),0)/IF(Settings!$D$27="Yes",G534,1))</f>
        <v/>
      </c>
      <c r="I534" s="11">
        <f>IF(A534="","",IFERROR(VALUE(SUBSTITUTE(SUBSTITUTE(INDEX('Shopify Import'!$A:$CZ,534,Settings!$E$26)&amp;"","$",""),",","")),0)/IF(Settings!$D$27="Yes",G534,1))</f>
        <v/>
      </c>
      <c r="J534" s="11">
        <f>IF(A534="","",F534+H534-I534)</f>
        <v/>
      </c>
      <c r="K534">
        <f>IF(A534="","",IFERROR(IF(B534="",NA(),MATCH(B534,Products!$B$5:$B$204,0)),IFERROR(MATCH(A534,Products!$A$5:$A$204,0),"")))</f>
        <v/>
      </c>
      <c r="L534">
        <f>IF(A534="","",IF(K534="","⚠ not in Products",INDEX(Products!$A$5:$A$204,K534)))</f>
        <v/>
      </c>
      <c r="M534" s="11">
        <f>IF(A534="","",J534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534+IFERROR(INDEX(Settings!$D$5:$D$9,MATCH("Shopify",Settings!$A$5:$A$9,0)),0)*D534)</f>
        <v/>
      </c>
      <c r="N534" s="11">
        <f>IF(A534="","",IF(K534="",0,D534*INDEX(Products!$I$5:$I$204,K534)))</f>
        <v/>
      </c>
      <c r="O534" s="11">
        <f>IF(A534="","",IF(K534="",0,J534*INDEX(Products!$H$5:$H$204,K534)))</f>
        <v/>
      </c>
      <c r="P534" s="11">
        <f>IF(A534="","",J534-M534-N534-O534)</f>
        <v/>
      </c>
    </row>
    <row r="535">
      <c r="A535">
        <f>IFERROR(INDEX('Shopify Import'!$A:$CZ,535,Settings!$E$20)&amp;"","")</f>
        <v/>
      </c>
      <c r="B535">
        <f>IFERROR(INDEX('Shopify Import'!$A:$CZ,535,Settings!$E$21)&amp;"","")</f>
        <v/>
      </c>
      <c r="C535">
        <f>IFERROR(INDEX('Shopify Import'!$A:$CZ,535,Settings!$E$22)&amp;"","")</f>
        <v/>
      </c>
      <c r="D535">
        <f>IF(A535="","",IFERROR(VALUE(SUBSTITUTE(SUBSTITUTE(INDEX('Shopify Import'!$A:$CZ,535,Settings!$E$23)&amp;"","$",""),",","")),0))</f>
        <v/>
      </c>
      <c r="E535" s="11">
        <f>IF(A535="","",IFERROR(VALUE(SUBSTITUTE(SUBSTITUTE(INDEX('Shopify Import'!$A:$CZ,535,Settings!$E$24)&amp;"","$",""),",","")),0))</f>
        <v/>
      </c>
      <c r="F535" s="11">
        <f>IF(A535="","",D535*E535)</f>
        <v/>
      </c>
      <c r="G535">
        <f>IF(A535="","",IF(C535="",1,COUNTIF($C$2:$C$1501,C535)))</f>
        <v/>
      </c>
      <c r="H535" s="11">
        <f>IF(A535="","",IFERROR(VALUE(SUBSTITUTE(SUBSTITUTE(INDEX('Shopify Import'!$A:$CZ,535,Settings!$E$25)&amp;"","$",""),",","")),0)/IF(Settings!$D$27="Yes",G535,1))</f>
        <v/>
      </c>
      <c r="I535" s="11">
        <f>IF(A535="","",IFERROR(VALUE(SUBSTITUTE(SUBSTITUTE(INDEX('Shopify Import'!$A:$CZ,535,Settings!$E$26)&amp;"","$",""),",","")),0)/IF(Settings!$D$27="Yes",G535,1))</f>
        <v/>
      </c>
      <c r="J535" s="11">
        <f>IF(A535="","",F535+H535-I535)</f>
        <v/>
      </c>
      <c r="K535">
        <f>IF(A535="","",IFERROR(IF(B535="",NA(),MATCH(B535,Products!$B$5:$B$204,0)),IFERROR(MATCH(A535,Products!$A$5:$A$204,0),"")))</f>
        <v/>
      </c>
      <c r="L535">
        <f>IF(A535="","",IF(K535="","⚠ not in Products",INDEX(Products!$A$5:$A$204,K535)))</f>
        <v/>
      </c>
      <c r="M535" s="11">
        <f>IF(A535="","",J535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535+IFERROR(INDEX(Settings!$D$5:$D$9,MATCH("Shopify",Settings!$A$5:$A$9,0)),0)*D535)</f>
        <v/>
      </c>
      <c r="N535" s="11">
        <f>IF(A535="","",IF(K535="",0,D535*INDEX(Products!$I$5:$I$204,K535)))</f>
        <v/>
      </c>
      <c r="O535" s="11">
        <f>IF(A535="","",IF(K535="",0,J535*INDEX(Products!$H$5:$H$204,K535)))</f>
        <v/>
      </c>
      <c r="P535" s="11">
        <f>IF(A535="","",J535-M535-N535-O535)</f>
        <v/>
      </c>
    </row>
    <row r="536">
      <c r="A536">
        <f>IFERROR(INDEX('Shopify Import'!$A:$CZ,536,Settings!$E$20)&amp;"","")</f>
        <v/>
      </c>
      <c r="B536">
        <f>IFERROR(INDEX('Shopify Import'!$A:$CZ,536,Settings!$E$21)&amp;"","")</f>
        <v/>
      </c>
      <c r="C536">
        <f>IFERROR(INDEX('Shopify Import'!$A:$CZ,536,Settings!$E$22)&amp;"","")</f>
        <v/>
      </c>
      <c r="D536">
        <f>IF(A536="","",IFERROR(VALUE(SUBSTITUTE(SUBSTITUTE(INDEX('Shopify Import'!$A:$CZ,536,Settings!$E$23)&amp;"","$",""),",","")),0))</f>
        <v/>
      </c>
      <c r="E536" s="11">
        <f>IF(A536="","",IFERROR(VALUE(SUBSTITUTE(SUBSTITUTE(INDEX('Shopify Import'!$A:$CZ,536,Settings!$E$24)&amp;"","$",""),",","")),0))</f>
        <v/>
      </c>
      <c r="F536" s="11">
        <f>IF(A536="","",D536*E536)</f>
        <v/>
      </c>
      <c r="G536">
        <f>IF(A536="","",IF(C536="",1,COUNTIF($C$2:$C$1501,C536)))</f>
        <v/>
      </c>
      <c r="H536" s="11">
        <f>IF(A536="","",IFERROR(VALUE(SUBSTITUTE(SUBSTITUTE(INDEX('Shopify Import'!$A:$CZ,536,Settings!$E$25)&amp;"","$",""),",","")),0)/IF(Settings!$D$27="Yes",G536,1))</f>
        <v/>
      </c>
      <c r="I536" s="11">
        <f>IF(A536="","",IFERROR(VALUE(SUBSTITUTE(SUBSTITUTE(INDEX('Shopify Import'!$A:$CZ,536,Settings!$E$26)&amp;"","$",""),",","")),0)/IF(Settings!$D$27="Yes",G536,1))</f>
        <v/>
      </c>
      <c r="J536" s="11">
        <f>IF(A536="","",F536+H536-I536)</f>
        <v/>
      </c>
      <c r="K536">
        <f>IF(A536="","",IFERROR(IF(B536="",NA(),MATCH(B536,Products!$B$5:$B$204,0)),IFERROR(MATCH(A536,Products!$A$5:$A$204,0),"")))</f>
        <v/>
      </c>
      <c r="L536">
        <f>IF(A536="","",IF(K536="","⚠ not in Products",INDEX(Products!$A$5:$A$204,K536)))</f>
        <v/>
      </c>
      <c r="M536" s="11">
        <f>IF(A536="","",J536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536+IFERROR(INDEX(Settings!$D$5:$D$9,MATCH("Shopify",Settings!$A$5:$A$9,0)),0)*D536)</f>
        <v/>
      </c>
      <c r="N536" s="11">
        <f>IF(A536="","",IF(K536="",0,D536*INDEX(Products!$I$5:$I$204,K536)))</f>
        <v/>
      </c>
      <c r="O536" s="11">
        <f>IF(A536="","",IF(K536="",0,J536*INDEX(Products!$H$5:$H$204,K536)))</f>
        <v/>
      </c>
      <c r="P536" s="11">
        <f>IF(A536="","",J536-M536-N536-O536)</f>
        <v/>
      </c>
    </row>
    <row r="537">
      <c r="A537">
        <f>IFERROR(INDEX('Shopify Import'!$A:$CZ,537,Settings!$E$20)&amp;"","")</f>
        <v/>
      </c>
      <c r="B537">
        <f>IFERROR(INDEX('Shopify Import'!$A:$CZ,537,Settings!$E$21)&amp;"","")</f>
        <v/>
      </c>
      <c r="C537">
        <f>IFERROR(INDEX('Shopify Import'!$A:$CZ,537,Settings!$E$22)&amp;"","")</f>
        <v/>
      </c>
      <c r="D537">
        <f>IF(A537="","",IFERROR(VALUE(SUBSTITUTE(SUBSTITUTE(INDEX('Shopify Import'!$A:$CZ,537,Settings!$E$23)&amp;"","$",""),",","")),0))</f>
        <v/>
      </c>
      <c r="E537" s="11">
        <f>IF(A537="","",IFERROR(VALUE(SUBSTITUTE(SUBSTITUTE(INDEX('Shopify Import'!$A:$CZ,537,Settings!$E$24)&amp;"","$",""),",","")),0))</f>
        <v/>
      </c>
      <c r="F537" s="11">
        <f>IF(A537="","",D537*E537)</f>
        <v/>
      </c>
      <c r="G537">
        <f>IF(A537="","",IF(C537="",1,COUNTIF($C$2:$C$1501,C537)))</f>
        <v/>
      </c>
      <c r="H537" s="11">
        <f>IF(A537="","",IFERROR(VALUE(SUBSTITUTE(SUBSTITUTE(INDEX('Shopify Import'!$A:$CZ,537,Settings!$E$25)&amp;"","$",""),",","")),0)/IF(Settings!$D$27="Yes",G537,1))</f>
        <v/>
      </c>
      <c r="I537" s="11">
        <f>IF(A537="","",IFERROR(VALUE(SUBSTITUTE(SUBSTITUTE(INDEX('Shopify Import'!$A:$CZ,537,Settings!$E$26)&amp;"","$",""),",","")),0)/IF(Settings!$D$27="Yes",G537,1))</f>
        <v/>
      </c>
      <c r="J537" s="11">
        <f>IF(A537="","",F537+H537-I537)</f>
        <v/>
      </c>
      <c r="K537">
        <f>IF(A537="","",IFERROR(IF(B537="",NA(),MATCH(B537,Products!$B$5:$B$204,0)),IFERROR(MATCH(A537,Products!$A$5:$A$204,0),"")))</f>
        <v/>
      </c>
      <c r="L537">
        <f>IF(A537="","",IF(K537="","⚠ not in Products",INDEX(Products!$A$5:$A$204,K537)))</f>
        <v/>
      </c>
      <c r="M537" s="11">
        <f>IF(A537="","",J537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537+IFERROR(INDEX(Settings!$D$5:$D$9,MATCH("Shopify",Settings!$A$5:$A$9,0)),0)*D537)</f>
        <v/>
      </c>
      <c r="N537" s="11">
        <f>IF(A537="","",IF(K537="",0,D537*INDEX(Products!$I$5:$I$204,K537)))</f>
        <v/>
      </c>
      <c r="O537" s="11">
        <f>IF(A537="","",IF(K537="",0,J537*INDEX(Products!$H$5:$H$204,K537)))</f>
        <v/>
      </c>
      <c r="P537" s="11">
        <f>IF(A537="","",J537-M537-N537-O537)</f>
        <v/>
      </c>
    </row>
    <row r="538">
      <c r="A538">
        <f>IFERROR(INDEX('Shopify Import'!$A:$CZ,538,Settings!$E$20)&amp;"","")</f>
        <v/>
      </c>
      <c r="B538">
        <f>IFERROR(INDEX('Shopify Import'!$A:$CZ,538,Settings!$E$21)&amp;"","")</f>
        <v/>
      </c>
      <c r="C538">
        <f>IFERROR(INDEX('Shopify Import'!$A:$CZ,538,Settings!$E$22)&amp;"","")</f>
        <v/>
      </c>
      <c r="D538">
        <f>IF(A538="","",IFERROR(VALUE(SUBSTITUTE(SUBSTITUTE(INDEX('Shopify Import'!$A:$CZ,538,Settings!$E$23)&amp;"","$",""),",","")),0))</f>
        <v/>
      </c>
      <c r="E538" s="11">
        <f>IF(A538="","",IFERROR(VALUE(SUBSTITUTE(SUBSTITUTE(INDEX('Shopify Import'!$A:$CZ,538,Settings!$E$24)&amp;"","$",""),",","")),0))</f>
        <v/>
      </c>
      <c r="F538" s="11">
        <f>IF(A538="","",D538*E538)</f>
        <v/>
      </c>
      <c r="G538">
        <f>IF(A538="","",IF(C538="",1,COUNTIF($C$2:$C$1501,C538)))</f>
        <v/>
      </c>
      <c r="H538" s="11">
        <f>IF(A538="","",IFERROR(VALUE(SUBSTITUTE(SUBSTITUTE(INDEX('Shopify Import'!$A:$CZ,538,Settings!$E$25)&amp;"","$",""),",","")),0)/IF(Settings!$D$27="Yes",G538,1))</f>
        <v/>
      </c>
      <c r="I538" s="11">
        <f>IF(A538="","",IFERROR(VALUE(SUBSTITUTE(SUBSTITUTE(INDEX('Shopify Import'!$A:$CZ,538,Settings!$E$26)&amp;"","$",""),",","")),0)/IF(Settings!$D$27="Yes",G538,1))</f>
        <v/>
      </c>
      <c r="J538" s="11">
        <f>IF(A538="","",F538+H538-I538)</f>
        <v/>
      </c>
      <c r="K538">
        <f>IF(A538="","",IFERROR(IF(B538="",NA(),MATCH(B538,Products!$B$5:$B$204,0)),IFERROR(MATCH(A538,Products!$A$5:$A$204,0),"")))</f>
        <v/>
      </c>
      <c r="L538">
        <f>IF(A538="","",IF(K538="","⚠ not in Products",INDEX(Products!$A$5:$A$204,K538)))</f>
        <v/>
      </c>
      <c r="M538" s="11">
        <f>IF(A538="","",J538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538+IFERROR(INDEX(Settings!$D$5:$D$9,MATCH("Shopify",Settings!$A$5:$A$9,0)),0)*D538)</f>
        <v/>
      </c>
      <c r="N538" s="11">
        <f>IF(A538="","",IF(K538="",0,D538*INDEX(Products!$I$5:$I$204,K538)))</f>
        <v/>
      </c>
      <c r="O538" s="11">
        <f>IF(A538="","",IF(K538="",0,J538*INDEX(Products!$H$5:$H$204,K538)))</f>
        <v/>
      </c>
      <c r="P538" s="11">
        <f>IF(A538="","",J538-M538-N538-O538)</f>
        <v/>
      </c>
    </row>
    <row r="539">
      <c r="A539">
        <f>IFERROR(INDEX('Shopify Import'!$A:$CZ,539,Settings!$E$20)&amp;"","")</f>
        <v/>
      </c>
      <c r="B539">
        <f>IFERROR(INDEX('Shopify Import'!$A:$CZ,539,Settings!$E$21)&amp;"","")</f>
        <v/>
      </c>
      <c r="C539">
        <f>IFERROR(INDEX('Shopify Import'!$A:$CZ,539,Settings!$E$22)&amp;"","")</f>
        <v/>
      </c>
      <c r="D539">
        <f>IF(A539="","",IFERROR(VALUE(SUBSTITUTE(SUBSTITUTE(INDEX('Shopify Import'!$A:$CZ,539,Settings!$E$23)&amp;"","$",""),",","")),0))</f>
        <v/>
      </c>
      <c r="E539" s="11">
        <f>IF(A539="","",IFERROR(VALUE(SUBSTITUTE(SUBSTITUTE(INDEX('Shopify Import'!$A:$CZ,539,Settings!$E$24)&amp;"","$",""),",","")),0))</f>
        <v/>
      </c>
      <c r="F539" s="11">
        <f>IF(A539="","",D539*E539)</f>
        <v/>
      </c>
      <c r="G539">
        <f>IF(A539="","",IF(C539="",1,COUNTIF($C$2:$C$1501,C539)))</f>
        <v/>
      </c>
      <c r="H539" s="11">
        <f>IF(A539="","",IFERROR(VALUE(SUBSTITUTE(SUBSTITUTE(INDEX('Shopify Import'!$A:$CZ,539,Settings!$E$25)&amp;"","$",""),",","")),0)/IF(Settings!$D$27="Yes",G539,1))</f>
        <v/>
      </c>
      <c r="I539" s="11">
        <f>IF(A539="","",IFERROR(VALUE(SUBSTITUTE(SUBSTITUTE(INDEX('Shopify Import'!$A:$CZ,539,Settings!$E$26)&amp;"","$",""),",","")),0)/IF(Settings!$D$27="Yes",G539,1))</f>
        <v/>
      </c>
      <c r="J539" s="11">
        <f>IF(A539="","",F539+H539-I539)</f>
        <v/>
      </c>
      <c r="K539">
        <f>IF(A539="","",IFERROR(IF(B539="",NA(),MATCH(B539,Products!$B$5:$B$204,0)),IFERROR(MATCH(A539,Products!$A$5:$A$204,0),"")))</f>
        <v/>
      </c>
      <c r="L539">
        <f>IF(A539="","",IF(K539="","⚠ not in Products",INDEX(Products!$A$5:$A$204,K539)))</f>
        <v/>
      </c>
      <c r="M539" s="11">
        <f>IF(A539="","",J539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539+IFERROR(INDEX(Settings!$D$5:$D$9,MATCH("Shopify",Settings!$A$5:$A$9,0)),0)*D539)</f>
        <v/>
      </c>
      <c r="N539" s="11">
        <f>IF(A539="","",IF(K539="",0,D539*INDEX(Products!$I$5:$I$204,K539)))</f>
        <v/>
      </c>
      <c r="O539" s="11">
        <f>IF(A539="","",IF(K539="",0,J539*INDEX(Products!$H$5:$H$204,K539)))</f>
        <v/>
      </c>
      <c r="P539" s="11">
        <f>IF(A539="","",J539-M539-N539-O539)</f>
        <v/>
      </c>
    </row>
    <row r="540">
      <c r="A540">
        <f>IFERROR(INDEX('Shopify Import'!$A:$CZ,540,Settings!$E$20)&amp;"","")</f>
        <v/>
      </c>
      <c r="B540">
        <f>IFERROR(INDEX('Shopify Import'!$A:$CZ,540,Settings!$E$21)&amp;"","")</f>
        <v/>
      </c>
      <c r="C540">
        <f>IFERROR(INDEX('Shopify Import'!$A:$CZ,540,Settings!$E$22)&amp;"","")</f>
        <v/>
      </c>
      <c r="D540">
        <f>IF(A540="","",IFERROR(VALUE(SUBSTITUTE(SUBSTITUTE(INDEX('Shopify Import'!$A:$CZ,540,Settings!$E$23)&amp;"","$",""),",","")),0))</f>
        <v/>
      </c>
      <c r="E540" s="11">
        <f>IF(A540="","",IFERROR(VALUE(SUBSTITUTE(SUBSTITUTE(INDEX('Shopify Import'!$A:$CZ,540,Settings!$E$24)&amp;"","$",""),",","")),0))</f>
        <v/>
      </c>
      <c r="F540" s="11">
        <f>IF(A540="","",D540*E540)</f>
        <v/>
      </c>
      <c r="G540">
        <f>IF(A540="","",IF(C540="",1,COUNTIF($C$2:$C$1501,C540)))</f>
        <v/>
      </c>
      <c r="H540" s="11">
        <f>IF(A540="","",IFERROR(VALUE(SUBSTITUTE(SUBSTITUTE(INDEX('Shopify Import'!$A:$CZ,540,Settings!$E$25)&amp;"","$",""),",","")),0)/IF(Settings!$D$27="Yes",G540,1))</f>
        <v/>
      </c>
      <c r="I540" s="11">
        <f>IF(A540="","",IFERROR(VALUE(SUBSTITUTE(SUBSTITUTE(INDEX('Shopify Import'!$A:$CZ,540,Settings!$E$26)&amp;"","$",""),",","")),0)/IF(Settings!$D$27="Yes",G540,1))</f>
        <v/>
      </c>
      <c r="J540" s="11">
        <f>IF(A540="","",F540+H540-I540)</f>
        <v/>
      </c>
      <c r="K540">
        <f>IF(A540="","",IFERROR(IF(B540="",NA(),MATCH(B540,Products!$B$5:$B$204,0)),IFERROR(MATCH(A540,Products!$A$5:$A$204,0),"")))</f>
        <v/>
      </c>
      <c r="L540">
        <f>IF(A540="","",IF(K540="","⚠ not in Products",INDEX(Products!$A$5:$A$204,K540)))</f>
        <v/>
      </c>
      <c r="M540" s="11">
        <f>IF(A540="","",J540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540+IFERROR(INDEX(Settings!$D$5:$D$9,MATCH("Shopify",Settings!$A$5:$A$9,0)),0)*D540)</f>
        <v/>
      </c>
      <c r="N540" s="11">
        <f>IF(A540="","",IF(K540="",0,D540*INDEX(Products!$I$5:$I$204,K540)))</f>
        <v/>
      </c>
      <c r="O540" s="11">
        <f>IF(A540="","",IF(K540="",0,J540*INDEX(Products!$H$5:$H$204,K540)))</f>
        <v/>
      </c>
      <c r="P540" s="11">
        <f>IF(A540="","",J540-M540-N540-O540)</f>
        <v/>
      </c>
    </row>
    <row r="541">
      <c r="A541">
        <f>IFERROR(INDEX('Shopify Import'!$A:$CZ,541,Settings!$E$20)&amp;"","")</f>
        <v/>
      </c>
      <c r="B541">
        <f>IFERROR(INDEX('Shopify Import'!$A:$CZ,541,Settings!$E$21)&amp;"","")</f>
        <v/>
      </c>
      <c r="C541">
        <f>IFERROR(INDEX('Shopify Import'!$A:$CZ,541,Settings!$E$22)&amp;"","")</f>
        <v/>
      </c>
      <c r="D541">
        <f>IF(A541="","",IFERROR(VALUE(SUBSTITUTE(SUBSTITUTE(INDEX('Shopify Import'!$A:$CZ,541,Settings!$E$23)&amp;"","$",""),",","")),0))</f>
        <v/>
      </c>
      <c r="E541" s="11">
        <f>IF(A541="","",IFERROR(VALUE(SUBSTITUTE(SUBSTITUTE(INDEX('Shopify Import'!$A:$CZ,541,Settings!$E$24)&amp;"","$",""),",","")),0))</f>
        <v/>
      </c>
      <c r="F541" s="11">
        <f>IF(A541="","",D541*E541)</f>
        <v/>
      </c>
      <c r="G541">
        <f>IF(A541="","",IF(C541="",1,COUNTIF($C$2:$C$1501,C541)))</f>
        <v/>
      </c>
      <c r="H541" s="11">
        <f>IF(A541="","",IFERROR(VALUE(SUBSTITUTE(SUBSTITUTE(INDEX('Shopify Import'!$A:$CZ,541,Settings!$E$25)&amp;"","$",""),",","")),0)/IF(Settings!$D$27="Yes",G541,1))</f>
        <v/>
      </c>
      <c r="I541" s="11">
        <f>IF(A541="","",IFERROR(VALUE(SUBSTITUTE(SUBSTITUTE(INDEX('Shopify Import'!$A:$CZ,541,Settings!$E$26)&amp;"","$",""),",","")),0)/IF(Settings!$D$27="Yes",G541,1))</f>
        <v/>
      </c>
      <c r="J541" s="11">
        <f>IF(A541="","",F541+H541-I541)</f>
        <v/>
      </c>
      <c r="K541">
        <f>IF(A541="","",IFERROR(IF(B541="",NA(),MATCH(B541,Products!$B$5:$B$204,0)),IFERROR(MATCH(A541,Products!$A$5:$A$204,0),"")))</f>
        <v/>
      </c>
      <c r="L541">
        <f>IF(A541="","",IF(K541="","⚠ not in Products",INDEX(Products!$A$5:$A$204,K541)))</f>
        <v/>
      </c>
      <c r="M541" s="11">
        <f>IF(A541="","",J541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541+IFERROR(INDEX(Settings!$D$5:$D$9,MATCH("Shopify",Settings!$A$5:$A$9,0)),0)*D541)</f>
        <v/>
      </c>
      <c r="N541" s="11">
        <f>IF(A541="","",IF(K541="",0,D541*INDEX(Products!$I$5:$I$204,K541)))</f>
        <v/>
      </c>
      <c r="O541" s="11">
        <f>IF(A541="","",IF(K541="",0,J541*INDEX(Products!$H$5:$H$204,K541)))</f>
        <v/>
      </c>
      <c r="P541" s="11">
        <f>IF(A541="","",J541-M541-N541-O541)</f>
        <v/>
      </c>
    </row>
    <row r="542">
      <c r="A542">
        <f>IFERROR(INDEX('Shopify Import'!$A:$CZ,542,Settings!$E$20)&amp;"","")</f>
        <v/>
      </c>
      <c r="B542">
        <f>IFERROR(INDEX('Shopify Import'!$A:$CZ,542,Settings!$E$21)&amp;"","")</f>
        <v/>
      </c>
      <c r="C542">
        <f>IFERROR(INDEX('Shopify Import'!$A:$CZ,542,Settings!$E$22)&amp;"","")</f>
        <v/>
      </c>
      <c r="D542">
        <f>IF(A542="","",IFERROR(VALUE(SUBSTITUTE(SUBSTITUTE(INDEX('Shopify Import'!$A:$CZ,542,Settings!$E$23)&amp;"","$",""),",","")),0))</f>
        <v/>
      </c>
      <c r="E542" s="11">
        <f>IF(A542="","",IFERROR(VALUE(SUBSTITUTE(SUBSTITUTE(INDEX('Shopify Import'!$A:$CZ,542,Settings!$E$24)&amp;"","$",""),",","")),0))</f>
        <v/>
      </c>
      <c r="F542" s="11">
        <f>IF(A542="","",D542*E542)</f>
        <v/>
      </c>
      <c r="G542">
        <f>IF(A542="","",IF(C542="",1,COUNTIF($C$2:$C$1501,C542)))</f>
        <v/>
      </c>
      <c r="H542" s="11">
        <f>IF(A542="","",IFERROR(VALUE(SUBSTITUTE(SUBSTITUTE(INDEX('Shopify Import'!$A:$CZ,542,Settings!$E$25)&amp;"","$",""),",","")),0)/IF(Settings!$D$27="Yes",G542,1))</f>
        <v/>
      </c>
      <c r="I542" s="11">
        <f>IF(A542="","",IFERROR(VALUE(SUBSTITUTE(SUBSTITUTE(INDEX('Shopify Import'!$A:$CZ,542,Settings!$E$26)&amp;"","$",""),",","")),0)/IF(Settings!$D$27="Yes",G542,1))</f>
        <v/>
      </c>
      <c r="J542" s="11">
        <f>IF(A542="","",F542+H542-I542)</f>
        <v/>
      </c>
      <c r="K542">
        <f>IF(A542="","",IFERROR(IF(B542="",NA(),MATCH(B542,Products!$B$5:$B$204,0)),IFERROR(MATCH(A542,Products!$A$5:$A$204,0),"")))</f>
        <v/>
      </c>
      <c r="L542">
        <f>IF(A542="","",IF(K542="","⚠ not in Products",INDEX(Products!$A$5:$A$204,K542)))</f>
        <v/>
      </c>
      <c r="M542" s="11">
        <f>IF(A542="","",J542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542+IFERROR(INDEX(Settings!$D$5:$D$9,MATCH("Shopify",Settings!$A$5:$A$9,0)),0)*D542)</f>
        <v/>
      </c>
      <c r="N542" s="11">
        <f>IF(A542="","",IF(K542="",0,D542*INDEX(Products!$I$5:$I$204,K542)))</f>
        <v/>
      </c>
      <c r="O542" s="11">
        <f>IF(A542="","",IF(K542="",0,J542*INDEX(Products!$H$5:$H$204,K542)))</f>
        <v/>
      </c>
      <c r="P542" s="11">
        <f>IF(A542="","",J542-M542-N542-O542)</f>
        <v/>
      </c>
    </row>
    <row r="543">
      <c r="A543">
        <f>IFERROR(INDEX('Shopify Import'!$A:$CZ,543,Settings!$E$20)&amp;"","")</f>
        <v/>
      </c>
      <c r="B543">
        <f>IFERROR(INDEX('Shopify Import'!$A:$CZ,543,Settings!$E$21)&amp;"","")</f>
        <v/>
      </c>
      <c r="C543">
        <f>IFERROR(INDEX('Shopify Import'!$A:$CZ,543,Settings!$E$22)&amp;"","")</f>
        <v/>
      </c>
      <c r="D543">
        <f>IF(A543="","",IFERROR(VALUE(SUBSTITUTE(SUBSTITUTE(INDEX('Shopify Import'!$A:$CZ,543,Settings!$E$23)&amp;"","$",""),",","")),0))</f>
        <v/>
      </c>
      <c r="E543" s="11">
        <f>IF(A543="","",IFERROR(VALUE(SUBSTITUTE(SUBSTITUTE(INDEX('Shopify Import'!$A:$CZ,543,Settings!$E$24)&amp;"","$",""),",","")),0))</f>
        <v/>
      </c>
      <c r="F543" s="11">
        <f>IF(A543="","",D543*E543)</f>
        <v/>
      </c>
      <c r="G543">
        <f>IF(A543="","",IF(C543="",1,COUNTIF($C$2:$C$1501,C543)))</f>
        <v/>
      </c>
      <c r="H543" s="11">
        <f>IF(A543="","",IFERROR(VALUE(SUBSTITUTE(SUBSTITUTE(INDEX('Shopify Import'!$A:$CZ,543,Settings!$E$25)&amp;"","$",""),",","")),0)/IF(Settings!$D$27="Yes",G543,1))</f>
        <v/>
      </c>
      <c r="I543" s="11">
        <f>IF(A543="","",IFERROR(VALUE(SUBSTITUTE(SUBSTITUTE(INDEX('Shopify Import'!$A:$CZ,543,Settings!$E$26)&amp;"","$",""),",","")),0)/IF(Settings!$D$27="Yes",G543,1))</f>
        <v/>
      </c>
      <c r="J543" s="11">
        <f>IF(A543="","",F543+H543-I543)</f>
        <v/>
      </c>
      <c r="K543">
        <f>IF(A543="","",IFERROR(IF(B543="",NA(),MATCH(B543,Products!$B$5:$B$204,0)),IFERROR(MATCH(A543,Products!$A$5:$A$204,0),"")))</f>
        <v/>
      </c>
      <c r="L543">
        <f>IF(A543="","",IF(K543="","⚠ not in Products",INDEX(Products!$A$5:$A$204,K543)))</f>
        <v/>
      </c>
      <c r="M543" s="11">
        <f>IF(A543="","",J543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543+IFERROR(INDEX(Settings!$D$5:$D$9,MATCH("Shopify",Settings!$A$5:$A$9,0)),0)*D543)</f>
        <v/>
      </c>
      <c r="N543" s="11">
        <f>IF(A543="","",IF(K543="",0,D543*INDEX(Products!$I$5:$I$204,K543)))</f>
        <v/>
      </c>
      <c r="O543" s="11">
        <f>IF(A543="","",IF(K543="",0,J543*INDEX(Products!$H$5:$H$204,K543)))</f>
        <v/>
      </c>
      <c r="P543" s="11">
        <f>IF(A543="","",J543-M543-N543-O543)</f>
        <v/>
      </c>
    </row>
    <row r="544">
      <c r="A544">
        <f>IFERROR(INDEX('Shopify Import'!$A:$CZ,544,Settings!$E$20)&amp;"","")</f>
        <v/>
      </c>
      <c r="B544">
        <f>IFERROR(INDEX('Shopify Import'!$A:$CZ,544,Settings!$E$21)&amp;"","")</f>
        <v/>
      </c>
      <c r="C544">
        <f>IFERROR(INDEX('Shopify Import'!$A:$CZ,544,Settings!$E$22)&amp;"","")</f>
        <v/>
      </c>
      <c r="D544">
        <f>IF(A544="","",IFERROR(VALUE(SUBSTITUTE(SUBSTITUTE(INDEX('Shopify Import'!$A:$CZ,544,Settings!$E$23)&amp;"","$",""),",","")),0))</f>
        <v/>
      </c>
      <c r="E544" s="11">
        <f>IF(A544="","",IFERROR(VALUE(SUBSTITUTE(SUBSTITUTE(INDEX('Shopify Import'!$A:$CZ,544,Settings!$E$24)&amp;"","$",""),",","")),0))</f>
        <v/>
      </c>
      <c r="F544" s="11">
        <f>IF(A544="","",D544*E544)</f>
        <v/>
      </c>
      <c r="G544">
        <f>IF(A544="","",IF(C544="",1,COUNTIF($C$2:$C$1501,C544)))</f>
        <v/>
      </c>
      <c r="H544" s="11">
        <f>IF(A544="","",IFERROR(VALUE(SUBSTITUTE(SUBSTITUTE(INDEX('Shopify Import'!$A:$CZ,544,Settings!$E$25)&amp;"","$",""),",","")),0)/IF(Settings!$D$27="Yes",G544,1))</f>
        <v/>
      </c>
      <c r="I544" s="11">
        <f>IF(A544="","",IFERROR(VALUE(SUBSTITUTE(SUBSTITUTE(INDEX('Shopify Import'!$A:$CZ,544,Settings!$E$26)&amp;"","$",""),",","")),0)/IF(Settings!$D$27="Yes",G544,1))</f>
        <v/>
      </c>
      <c r="J544" s="11">
        <f>IF(A544="","",F544+H544-I544)</f>
        <v/>
      </c>
      <c r="K544">
        <f>IF(A544="","",IFERROR(IF(B544="",NA(),MATCH(B544,Products!$B$5:$B$204,0)),IFERROR(MATCH(A544,Products!$A$5:$A$204,0),"")))</f>
        <v/>
      </c>
      <c r="L544">
        <f>IF(A544="","",IF(K544="","⚠ not in Products",INDEX(Products!$A$5:$A$204,K544)))</f>
        <v/>
      </c>
      <c r="M544" s="11">
        <f>IF(A544="","",J544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544+IFERROR(INDEX(Settings!$D$5:$D$9,MATCH("Shopify",Settings!$A$5:$A$9,0)),0)*D544)</f>
        <v/>
      </c>
      <c r="N544" s="11">
        <f>IF(A544="","",IF(K544="",0,D544*INDEX(Products!$I$5:$I$204,K544)))</f>
        <v/>
      </c>
      <c r="O544" s="11">
        <f>IF(A544="","",IF(K544="",0,J544*INDEX(Products!$H$5:$H$204,K544)))</f>
        <v/>
      </c>
      <c r="P544" s="11">
        <f>IF(A544="","",J544-M544-N544-O544)</f>
        <v/>
      </c>
    </row>
    <row r="545">
      <c r="A545">
        <f>IFERROR(INDEX('Shopify Import'!$A:$CZ,545,Settings!$E$20)&amp;"","")</f>
        <v/>
      </c>
      <c r="B545">
        <f>IFERROR(INDEX('Shopify Import'!$A:$CZ,545,Settings!$E$21)&amp;"","")</f>
        <v/>
      </c>
      <c r="C545">
        <f>IFERROR(INDEX('Shopify Import'!$A:$CZ,545,Settings!$E$22)&amp;"","")</f>
        <v/>
      </c>
      <c r="D545">
        <f>IF(A545="","",IFERROR(VALUE(SUBSTITUTE(SUBSTITUTE(INDEX('Shopify Import'!$A:$CZ,545,Settings!$E$23)&amp;"","$",""),",","")),0))</f>
        <v/>
      </c>
      <c r="E545" s="11">
        <f>IF(A545="","",IFERROR(VALUE(SUBSTITUTE(SUBSTITUTE(INDEX('Shopify Import'!$A:$CZ,545,Settings!$E$24)&amp;"","$",""),",","")),0))</f>
        <v/>
      </c>
      <c r="F545" s="11">
        <f>IF(A545="","",D545*E545)</f>
        <v/>
      </c>
      <c r="G545">
        <f>IF(A545="","",IF(C545="",1,COUNTIF($C$2:$C$1501,C545)))</f>
        <v/>
      </c>
      <c r="H545" s="11">
        <f>IF(A545="","",IFERROR(VALUE(SUBSTITUTE(SUBSTITUTE(INDEX('Shopify Import'!$A:$CZ,545,Settings!$E$25)&amp;"","$",""),",","")),0)/IF(Settings!$D$27="Yes",G545,1))</f>
        <v/>
      </c>
      <c r="I545" s="11">
        <f>IF(A545="","",IFERROR(VALUE(SUBSTITUTE(SUBSTITUTE(INDEX('Shopify Import'!$A:$CZ,545,Settings!$E$26)&amp;"","$",""),",","")),0)/IF(Settings!$D$27="Yes",G545,1))</f>
        <v/>
      </c>
      <c r="J545" s="11">
        <f>IF(A545="","",F545+H545-I545)</f>
        <v/>
      </c>
      <c r="K545">
        <f>IF(A545="","",IFERROR(IF(B545="",NA(),MATCH(B545,Products!$B$5:$B$204,0)),IFERROR(MATCH(A545,Products!$A$5:$A$204,0),"")))</f>
        <v/>
      </c>
      <c r="L545">
        <f>IF(A545="","",IF(K545="","⚠ not in Products",INDEX(Products!$A$5:$A$204,K545)))</f>
        <v/>
      </c>
      <c r="M545" s="11">
        <f>IF(A545="","",J545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545+IFERROR(INDEX(Settings!$D$5:$D$9,MATCH("Shopify",Settings!$A$5:$A$9,0)),0)*D545)</f>
        <v/>
      </c>
      <c r="N545" s="11">
        <f>IF(A545="","",IF(K545="",0,D545*INDEX(Products!$I$5:$I$204,K545)))</f>
        <v/>
      </c>
      <c r="O545" s="11">
        <f>IF(A545="","",IF(K545="",0,J545*INDEX(Products!$H$5:$H$204,K545)))</f>
        <v/>
      </c>
      <c r="P545" s="11">
        <f>IF(A545="","",J545-M545-N545-O545)</f>
        <v/>
      </c>
    </row>
    <row r="546">
      <c r="A546">
        <f>IFERROR(INDEX('Shopify Import'!$A:$CZ,546,Settings!$E$20)&amp;"","")</f>
        <v/>
      </c>
      <c r="B546">
        <f>IFERROR(INDEX('Shopify Import'!$A:$CZ,546,Settings!$E$21)&amp;"","")</f>
        <v/>
      </c>
      <c r="C546">
        <f>IFERROR(INDEX('Shopify Import'!$A:$CZ,546,Settings!$E$22)&amp;"","")</f>
        <v/>
      </c>
      <c r="D546">
        <f>IF(A546="","",IFERROR(VALUE(SUBSTITUTE(SUBSTITUTE(INDEX('Shopify Import'!$A:$CZ,546,Settings!$E$23)&amp;"","$",""),",","")),0))</f>
        <v/>
      </c>
      <c r="E546" s="11">
        <f>IF(A546="","",IFERROR(VALUE(SUBSTITUTE(SUBSTITUTE(INDEX('Shopify Import'!$A:$CZ,546,Settings!$E$24)&amp;"","$",""),",","")),0))</f>
        <v/>
      </c>
      <c r="F546" s="11">
        <f>IF(A546="","",D546*E546)</f>
        <v/>
      </c>
      <c r="G546">
        <f>IF(A546="","",IF(C546="",1,COUNTIF($C$2:$C$1501,C546)))</f>
        <v/>
      </c>
      <c r="H546" s="11">
        <f>IF(A546="","",IFERROR(VALUE(SUBSTITUTE(SUBSTITUTE(INDEX('Shopify Import'!$A:$CZ,546,Settings!$E$25)&amp;"","$",""),",","")),0)/IF(Settings!$D$27="Yes",G546,1))</f>
        <v/>
      </c>
      <c r="I546" s="11">
        <f>IF(A546="","",IFERROR(VALUE(SUBSTITUTE(SUBSTITUTE(INDEX('Shopify Import'!$A:$CZ,546,Settings!$E$26)&amp;"","$",""),",","")),0)/IF(Settings!$D$27="Yes",G546,1))</f>
        <v/>
      </c>
      <c r="J546" s="11">
        <f>IF(A546="","",F546+H546-I546)</f>
        <v/>
      </c>
      <c r="K546">
        <f>IF(A546="","",IFERROR(IF(B546="",NA(),MATCH(B546,Products!$B$5:$B$204,0)),IFERROR(MATCH(A546,Products!$A$5:$A$204,0),"")))</f>
        <v/>
      </c>
      <c r="L546">
        <f>IF(A546="","",IF(K546="","⚠ not in Products",INDEX(Products!$A$5:$A$204,K546)))</f>
        <v/>
      </c>
      <c r="M546" s="11">
        <f>IF(A546="","",J546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546+IFERROR(INDEX(Settings!$D$5:$D$9,MATCH("Shopify",Settings!$A$5:$A$9,0)),0)*D546)</f>
        <v/>
      </c>
      <c r="N546" s="11">
        <f>IF(A546="","",IF(K546="",0,D546*INDEX(Products!$I$5:$I$204,K546)))</f>
        <v/>
      </c>
      <c r="O546" s="11">
        <f>IF(A546="","",IF(K546="",0,J546*INDEX(Products!$H$5:$H$204,K546)))</f>
        <v/>
      </c>
      <c r="P546" s="11">
        <f>IF(A546="","",J546-M546-N546-O546)</f>
        <v/>
      </c>
    </row>
    <row r="547">
      <c r="A547">
        <f>IFERROR(INDEX('Shopify Import'!$A:$CZ,547,Settings!$E$20)&amp;"","")</f>
        <v/>
      </c>
      <c r="B547">
        <f>IFERROR(INDEX('Shopify Import'!$A:$CZ,547,Settings!$E$21)&amp;"","")</f>
        <v/>
      </c>
      <c r="C547">
        <f>IFERROR(INDEX('Shopify Import'!$A:$CZ,547,Settings!$E$22)&amp;"","")</f>
        <v/>
      </c>
      <c r="D547">
        <f>IF(A547="","",IFERROR(VALUE(SUBSTITUTE(SUBSTITUTE(INDEX('Shopify Import'!$A:$CZ,547,Settings!$E$23)&amp;"","$",""),",","")),0))</f>
        <v/>
      </c>
      <c r="E547" s="11">
        <f>IF(A547="","",IFERROR(VALUE(SUBSTITUTE(SUBSTITUTE(INDEX('Shopify Import'!$A:$CZ,547,Settings!$E$24)&amp;"","$",""),",","")),0))</f>
        <v/>
      </c>
      <c r="F547" s="11">
        <f>IF(A547="","",D547*E547)</f>
        <v/>
      </c>
      <c r="G547">
        <f>IF(A547="","",IF(C547="",1,COUNTIF($C$2:$C$1501,C547)))</f>
        <v/>
      </c>
      <c r="H547" s="11">
        <f>IF(A547="","",IFERROR(VALUE(SUBSTITUTE(SUBSTITUTE(INDEX('Shopify Import'!$A:$CZ,547,Settings!$E$25)&amp;"","$",""),",","")),0)/IF(Settings!$D$27="Yes",G547,1))</f>
        <v/>
      </c>
      <c r="I547" s="11">
        <f>IF(A547="","",IFERROR(VALUE(SUBSTITUTE(SUBSTITUTE(INDEX('Shopify Import'!$A:$CZ,547,Settings!$E$26)&amp;"","$",""),",","")),0)/IF(Settings!$D$27="Yes",G547,1))</f>
        <v/>
      </c>
      <c r="J547" s="11">
        <f>IF(A547="","",F547+H547-I547)</f>
        <v/>
      </c>
      <c r="K547">
        <f>IF(A547="","",IFERROR(IF(B547="",NA(),MATCH(B547,Products!$B$5:$B$204,0)),IFERROR(MATCH(A547,Products!$A$5:$A$204,0),"")))</f>
        <v/>
      </c>
      <c r="L547">
        <f>IF(A547="","",IF(K547="","⚠ not in Products",INDEX(Products!$A$5:$A$204,K547)))</f>
        <v/>
      </c>
      <c r="M547" s="11">
        <f>IF(A547="","",J547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547+IFERROR(INDEX(Settings!$D$5:$D$9,MATCH("Shopify",Settings!$A$5:$A$9,0)),0)*D547)</f>
        <v/>
      </c>
      <c r="N547" s="11">
        <f>IF(A547="","",IF(K547="",0,D547*INDEX(Products!$I$5:$I$204,K547)))</f>
        <v/>
      </c>
      <c r="O547" s="11">
        <f>IF(A547="","",IF(K547="",0,J547*INDEX(Products!$H$5:$H$204,K547)))</f>
        <v/>
      </c>
      <c r="P547" s="11">
        <f>IF(A547="","",J547-M547-N547-O547)</f>
        <v/>
      </c>
    </row>
    <row r="548">
      <c r="A548">
        <f>IFERROR(INDEX('Shopify Import'!$A:$CZ,548,Settings!$E$20)&amp;"","")</f>
        <v/>
      </c>
      <c r="B548">
        <f>IFERROR(INDEX('Shopify Import'!$A:$CZ,548,Settings!$E$21)&amp;"","")</f>
        <v/>
      </c>
      <c r="C548">
        <f>IFERROR(INDEX('Shopify Import'!$A:$CZ,548,Settings!$E$22)&amp;"","")</f>
        <v/>
      </c>
      <c r="D548">
        <f>IF(A548="","",IFERROR(VALUE(SUBSTITUTE(SUBSTITUTE(INDEX('Shopify Import'!$A:$CZ,548,Settings!$E$23)&amp;"","$",""),",","")),0))</f>
        <v/>
      </c>
      <c r="E548" s="11">
        <f>IF(A548="","",IFERROR(VALUE(SUBSTITUTE(SUBSTITUTE(INDEX('Shopify Import'!$A:$CZ,548,Settings!$E$24)&amp;"","$",""),",","")),0))</f>
        <v/>
      </c>
      <c r="F548" s="11">
        <f>IF(A548="","",D548*E548)</f>
        <v/>
      </c>
      <c r="G548">
        <f>IF(A548="","",IF(C548="",1,COUNTIF($C$2:$C$1501,C548)))</f>
        <v/>
      </c>
      <c r="H548" s="11">
        <f>IF(A548="","",IFERROR(VALUE(SUBSTITUTE(SUBSTITUTE(INDEX('Shopify Import'!$A:$CZ,548,Settings!$E$25)&amp;"","$",""),",","")),0)/IF(Settings!$D$27="Yes",G548,1))</f>
        <v/>
      </c>
      <c r="I548" s="11">
        <f>IF(A548="","",IFERROR(VALUE(SUBSTITUTE(SUBSTITUTE(INDEX('Shopify Import'!$A:$CZ,548,Settings!$E$26)&amp;"","$",""),",","")),0)/IF(Settings!$D$27="Yes",G548,1))</f>
        <v/>
      </c>
      <c r="J548" s="11">
        <f>IF(A548="","",F548+H548-I548)</f>
        <v/>
      </c>
      <c r="K548">
        <f>IF(A548="","",IFERROR(IF(B548="",NA(),MATCH(B548,Products!$B$5:$B$204,0)),IFERROR(MATCH(A548,Products!$A$5:$A$204,0),"")))</f>
        <v/>
      </c>
      <c r="L548">
        <f>IF(A548="","",IF(K548="","⚠ not in Products",INDEX(Products!$A$5:$A$204,K548)))</f>
        <v/>
      </c>
      <c r="M548" s="11">
        <f>IF(A548="","",J548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548+IFERROR(INDEX(Settings!$D$5:$D$9,MATCH("Shopify",Settings!$A$5:$A$9,0)),0)*D548)</f>
        <v/>
      </c>
      <c r="N548" s="11">
        <f>IF(A548="","",IF(K548="",0,D548*INDEX(Products!$I$5:$I$204,K548)))</f>
        <v/>
      </c>
      <c r="O548" s="11">
        <f>IF(A548="","",IF(K548="",0,J548*INDEX(Products!$H$5:$H$204,K548)))</f>
        <v/>
      </c>
      <c r="P548" s="11">
        <f>IF(A548="","",J548-M548-N548-O548)</f>
        <v/>
      </c>
    </row>
    <row r="549">
      <c r="A549">
        <f>IFERROR(INDEX('Shopify Import'!$A:$CZ,549,Settings!$E$20)&amp;"","")</f>
        <v/>
      </c>
      <c r="B549">
        <f>IFERROR(INDEX('Shopify Import'!$A:$CZ,549,Settings!$E$21)&amp;"","")</f>
        <v/>
      </c>
      <c r="C549">
        <f>IFERROR(INDEX('Shopify Import'!$A:$CZ,549,Settings!$E$22)&amp;"","")</f>
        <v/>
      </c>
      <c r="D549">
        <f>IF(A549="","",IFERROR(VALUE(SUBSTITUTE(SUBSTITUTE(INDEX('Shopify Import'!$A:$CZ,549,Settings!$E$23)&amp;"","$",""),",","")),0))</f>
        <v/>
      </c>
      <c r="E549" s="11">
        <f>IF(A549="","",IFERROR(VALUE(SUBSTITUTE(SUBSTITUTE(INDEX('Shopify Import'!$A:$CZ,549,Settings!$E$24)&amp;"","$",""),",","")),0))</f>
        <v/>
      </c>
      <c r="F549" s="11">
        <f>IF(A549="","",D549*E549)</f>
        <v/>
      </c>
      <c r="G549">
        <f>IF(A549="","",IF(C549="",1,COUNTIF($C$2:$C$1501,C549)))</f>
        <v/>
      </c>
      <c r="H549" s="11">
        <f>IF(A549="","",IFERROR(VALUE(SUBSTITUTE(SUBSTITUTE(INDEX('Shopify Import'!$A:$CZ,549,Settings!$E$25)&amp;"","$",""),",","")),0)/IF(Settings!$D$27="Yes",G549,1))</f>
        <v/>
      </c>
      <c r="I549" s="11">
        <f>IF(A549="","",IFERROR(VALUE(SUBSTITUTE(SUBSTITUTE(INDEX('Shopify Import'!$A:$CZ,549,Settings!$E$26)&amp;"","$",""),",","")),0)/IF(Settings!$D$27="Yes",G549,1))</f>
        <v/>
      </c>
      <c r="J549" s="11">
        <f>IF(A549="","",F549+H549-I549)</f>
        <v/>
      </c>
      <c r="K549">
        <f>IF(A549="","",IFERROR(IF(B549="",NA(),MATCH(B549,Products!$B$5:$B$204,0)),IFERROR(MATCH(A549,Products!$A$5:$A$204,0),"")))</f>
        <v/>
      </c>
      <c r="L549">
        <f>IF(A549="","",IF(K549="","⚠ not in Products",INDEX(Products!$A$5:$A$204,K549)))</f>
        <v/>
      </c>
      <c r="M549" s="11">
        <f>IF(A549="","",J549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549+IFERROR(INDEX(Settings!$D$5:$D$9,MATCH("Shopify",Settings!$A$5:$A$9,0)),0)*D549)</f>
        <v/>
      </c>
      <c r="N549" s="11">
        <f>IF(A549="","",IF(K549="",0,D549*INDEX(Products!$I$5:$I$204,K549)))</f>
        <v/>
      </c>
      <c r="O549" s="11">
        <f>IF(A549="","",IF(K549="",0,J549*INDEX(Products!$H$5:$H$204,K549)))</f>
        <v/>
      </c>
      <c r="P549" s="11">
        <f>IF(A549="","",J549-M549-N549-O549)</f>
        <v/>
      </c>
    </row>
    <row r="550">
      <c r="A550">
        <f>IFERROR(INDEX('Shopify Import'!$A:$CZ,550,Settings!$E$20)&amp;"","")</f>
        <v/>
      </c>
      <c r="B550">
        <f>IFERROR(INDEX('Shopify Import'!$A:$CZ,550,Settings!$E$21)&amp;"","")</f>
        <v/>
      </c>
      <c r="C550">
        <f>IFERROR(INDEX('Shopify Import'!$A:$CZ,550,Settings!$E$22)&amp;"","")</f>
        <v/>
      </c>
      <c r="D550">
        <f>IF(A550="","",IFERROR(VALUE(SUBSTITUTE(SUBSTITUTE(INDEX('Shopify Import'!$A:$CZ,550,Settings!$E$23)&amp;"","$",""),",","")),0))</f>
        <v/>
      </c>
      <c r="E550" s="11">
        <f>IF(A550="","",IFERROR(VALUE(SUBSTITUTE(SUBSTITUTE(INDEX('Shopify Import'!$A:$CZ,550,Settings!$E$24)&amp;"","$",""),",","")),0))</f>
        <v/>
      </c>
      <c r="F550" s="11">
        <f>IF(A550="","",D550*E550)</f>
        <v/>
      </c>
      <c r="G550">
        <f>IF(A550="","",IF(C550="",1,COUNTIF($C$2:$C$1501,C550)))</f>
        <v/>
      </c>
      <c r="H550" s="11">
        <f>IF(A550="","",IFERROR(VALUE(SUBSTITUTE(SUBSTITUTE(INDEX('Shopify Import'!$A:$CZ,550,Settings!$E$25)&amp;"","$",""),",","")),0)/IF(Settings!$D$27="Yes",G550,1))</f>
        <v/>
      </c>
      <c r="I550" s="11">
        <f>IF(A550="","",IFERROR(VALUE(SUBSTITUTE(SUBSTITUTE(INDEX('Shopify Import'!$A:$CZ,550,Settings!$E$26)&amp;"","$",""),",","")),0)/IF(Settings!$D$27="Yes",G550,1))</f>
        <v/>
      </c>
      <c r="J550" s="11">
        <f>IF(A550="","",F550+H550-I550)</f>
        <v/>
      </c>
      <c r="K550">
        <f>IF(A550="","",IFERROR(IF(B550="",NA(),MATCH(B550,Products!$B$5:$B$204,0)),IFERROR(MATCH(A550,Products!$A$5:$A$204,0),"")))</f>
        <v/>
      </c>
      <c r="L550">
        <f>IF(A550="","",IF(K550="","⚠ not in Products",INDEX(Products!$A$5:$A$204,K550)))</f>
        <v/>
      </c>
      <c r="M550" s="11">
        <f>IF(A550="","",J550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550+IFERROR(INDEX(Settings!$D$5:$D$9,MATCH("Shopify",Settings!$A$5:$A$9,0)),0)*D550)</f>
        <v/>
      </c>
      <c r="N550" s="11">
        <f>IF(A550="","",IF(K550="",0,D550*INDEX(Products!$I$5:$I$204,K550)))</f>
        <v/>
      </c>
      <c r="O550" s="11">
        <f>IF(A550="","",IF(K550="",0,J550*INDEX(Products!$H$5:$H$204,K550)))</f>
        <v/>
      </c>
      <c r="P550" s="11">
        <f>IF(A550="","",J550-M550-N550-O550)</f>
        <v/>
      </c>
    </row>
    <row r="551">
      <c r="A551">
        <f>IFERROR(INDEX('Shopify Import'!$A:$CZ,551,Settings!$E$20)&amp;"","")</f>
        <v/>
      </c>
      <c r="B551">
        <f>IFERROR(INDEX('Shopify Import'!$A:$CZ,551,Settings!$E$21)&amp;"","")</f>
        <v/>
      </c>
      <c r="C551">
        <f>IFERROR(INDEX('Shopify Import'!$A:$CZ,551,Settings!$E$22)&amp;"","")</f>
        <v/>
      </c>
      <c r="D551">
        <f>IF(A551="","",IFERROR(VALUE(SUBSTITUTE(SUBSTITUTE(INDEX('Shopify Import'!$A:$CZ,551,Settings!$E$23)&amp;"","$",""),",","")),0))</f>
        <v/>
      </c>
      <c r="E551" s="11">
        <f>IF(A551="","",IFERROR(VALUE(SUBSTITUTE(SUBSTITUTE(INDEX('Shopify Import'!$A:$CZ,551,Settings!$E$24)&amp;"","$",""),",","")),0))</f>
        <v/>
      </c>
      <c r="F551" s="11">
        <f>IF(A551="","",D551*E551)</f>
        <v/>
      </c>
      <c r="G551">
        <f>IF(A551="","",IF(C551="",1,COUNTIF($C$2:$C$1501,C551)))</f>
        <v/>
      </c>
      <c r="H551" s="11">
        <f>IF(A551="","",IFERROR(VALUE(SUBSTITUTE(SUBSTITUTE(INDEX('Shopify Import'!$A:$CZ,551,Settings!$E$25)&amp;"","$",""),",","")),0)/IF(Settings!$D$27="Yes",G551,1))</f>
        <v/>
      </c>
      <c r="I551" s="11">
        <f>IF(A551="","",IFERROR(VALUE(SUBSTITUTE(SUBSTITUTE(INDEX('Shopify Import'!$A:$CZ,551,Settings!$E$26)&amp;"","$",""),",","")),0)/IF(Settings!$D$27="Yes",G551,1))</f>
        <v/>
      </c>
      <c r="J551" s="11">
        <f>IF(A551="","",F551+H551-I551)</f>
        <v/>
      </c>
      <c r="K551">
        <f>IF(A551="","",IFERROR(IF(B551="",NA(),MATCH(B551,Products!$B$5:$B$204,0)),IFERROR(MATCH(A551,Products!$A$5:$A$204,0),"")))</f>
        <v/>
      </c>
      <c r="L551">
        <f>IF(A551="","",IF(K551="","⚠ not in Products",INDEX(Products!$A$5:$A$204,K551)))</f>
        <v/>
      </c>
      <c r="M551" s="11">
        <f>IF(A551="","",J551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551+IFERROR(INDEX(Settings!$D$5:$D$9,MATCH("Shopify",Settings!$A$5:$A$9,0)),0)*D551)</f>
        <v/>
      </c>
      <c r="N551" s="11">
        <f>IF(A551="","",IF(K551="",0,D551*INDEX(Products!$I$5:$I$204,K551)))</f>
        <v/>
      </c>
      <c r="O551" s="11">
        <f>IF(A551="","",IF(K551="",0,J551*INDEX(Products!$H$5:$H$204,K551)))</f>
        <v/>
      </c>
      <c r="P551" s="11">
        <f>IF(A551="","",J551-M551-N551-O551)</f>
        <v/>
      </c>
    </row>
    <row r="552">
      <c r="A552">
        <f>IFERROR(INDEX('Shopify Import'!$A:$CZ,552,Settings!$E$20)&amp;"","")</f>
        <v/>
      </c>
      <c r="B552">
        <f>IFERROR(INDEX('Shopify Import'!$A:$CZ,552,Settings!$E$21)&amp;"","")</f>
        <v/>
      </c>
      <c r="C552">
        <f>IFERROR(INDEX('Shopify Import'!$A:$CZ,552,Settings!$E$22)&amp;"","")</f>
        <v/>
      </c>
      <c r="D552">
        <f>IF(A552="","",IFERROR(VALUE(SUBSTITUTE(SUBSTITUTE(INDEX('Shopify Import'!$A:$CZ,552,Settings!$E$23)&amp;"","$",""),",","")),0))</f>
        <v/>
      </c>
      <c r="E552" s="11">
        <f>IF(A552="","",IFERROR(VALUE(SUBSTITUTE(SUBSTITUTE(INDEX('Shopify Import'!$A:$CZ,552,Settings!$E$24)&amp;"","$",""),",","")),0))</f>
        <v/>
      </c>
      <c r="F552" s="11">
        <f>IF(A552="","",D552*E552)</f>
        <v/>
      </c>
      <c r="G552">
        <f>IF(A552="","",IF(C552="",1,COUNTIF($C$2:$C$1501,C552)))</f>
        <v/>
      </c>
      <c r="H552" s="11">
        <f>IF(A552="","",IFERROR(VALUE(SUBSTITUTE(SUBSTITUTE(INDEX('Shopify Import'!$A:$CZ,552,Settings!$E$25)&amp;"","$",""),",","")),0)/IF(Settings!$D$27="Yes",G552,1))</f>
        <v/>
      </c>
      <c r="I552" s="11">
        <f>IF(A552="","",IFERROR(VALUE(SUBSTITUTE(SUBSTITUTE(INDEX('Shopify Import'!$A:$CZ,552,Settings!$E$26)&amp;"","$",""),",","")),0)/IF(Settings!$D$27="Yes",G552,1))</f>
        <v/>
      </c>
      <c r="J552" s="11">
        <f>IF(A552="","",F552+H552-I552)</f>
        <v/>
      </c>
      <c r="K552">
        <f>IF(A552="","",IFERROR(IF(B552="",NA(),MATCH(B552,Products!$B$5:$B$204,0)),IFERROR(MATCH(A552,Products!$A$5:$A$204,0),"")))</f>
        <v/>
      </c>
      <c r="L552">
        <f>IF(A552="","",IF(K552="","⚠ not in Products",INDEX(Products!$A$5:$A$204,K552)))</f>
        <v/>
      </c>
      <c r="M552" s="11">
        <f>IF(A552="","",J552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552+IFERROR(INDEX(Settings!$D$5:$D$9,MATCH("Shopify",Settings!$A$5:$A$9,0)),0)*D552)</f>
        <v/>
      </c>
      <c r="N552" s="11">
        <f>IF(A552="","",IF(K552="",0,D552*INDEX(Products!$I$5:$I$204,K552)))</f>
        <v/>
      </c>
      <c r="O552" s="11">
        <f>IF(A552="","",IF(K552="",0,J552*INDEX(Products!$H$5:$H$204,K552)))</f>
        <v/>
      </c>
      <c r="P552" s="11">
        <f>IF(A552="","",J552-M552-N552-O552)</f>
        <v/>
      </c>
    </row>
    <row r="553">
      <c r="A553">
        <f>IFERROR(INDEX('Shopify Import'!$A:$CZ,553,Settings!$E$20)&amp;"","")</f>
        <v/>
      </c>
      <c r="B553">
        <f>IFERROR(INDEX('Shopify Import'!$A:$CZ,553,Settings!$E$21)&amp;"","")</f>
        <v/>
      </c>
      <c r="C553">
        <f>IFERROR(INDEX('Shopify Import'!$A:$CZ,553,Settings!$E$22)&amp;"","")</f>
        <v/>
      </c>
      <c r="D553">
        <f>IF(A553="","",IFERROR(VALUE(SUBSTITUTE(SUBSTITUTE(INDEX('Shopify Import'!$A:$CZ,553,Settings!$E$23)&amp;"","$",""),",","")),0))</f>
        <v/>
      </c>
      <c r="E553" s="11">
        <f>IF(A553="","",IFERROR(VALUE(SUBSTITUTE(SUBSTITUTE(INDEX('Shopify Import'!$A:$CZ,553,Settings!$E$24)&amp;"","$",""),",","")),0))</f>
        <v/>
      </c>
      <c r="F553" s="11">
        <f>IF(A553="","",D553*E553)</f>
        <v/>
      </c>
      <c r="G553">
        <f>IF(A553="","",IF(C553="",1,COUNTIF($C$2:$C$1501,C553)))</f>
        <v/>
      </c>
      <c r="H553" s="11">
        <f>IF(A553="","",IFERROR(VALUE(SUBSTITUTE(SUBSTITUTE(INDEX('Shopify Import'!$A:$CZ,553,Settings!$E$25)&amp;"","$",""),",","")),0)/IF(Settings!$D$27="Yes",G553,1))</f>
        <v/>
      </c>
      <c r="I553" s="11">
        <f>IF(A553="","",IFERROR(VALUE(SUBSTITUTE(SUBSTITUTE(INDEX('Shopify Import'!$A:$CZ,553,Settings!$E$26)&amp;"","$",""),",","")),0)/IF(Settings!$D$27="Yes",G553,1))</f>
        <v/>
      </c>
      <c r="J553" s="11">
        <f>IF(A553="","",F553+H553-I553)</f>
        <v/>
      </c>
      <c r="K553">
        <f>IF(A553="","",IFERROR(IF(B553="",NA(),MATCH(B553,Products!$B$5:$B$204,0)),IFERROR(MATCH(A553,Products!$A$5:$A$204,0),"")))</f>
        <v/>
      </c>
      <c r="L553">
        <f>IF(A553="","",IF(K553="","⚠ not in Products",INDEX(Products!$A$5:$A$204,K553)))</f>
        <v/>
      </c>
      <c r="M553" s="11">
        <f>IF(A553="","",J553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553+IFERROR(INDEX(Settings!$D$5:$D$9,MATCH("Shopify",Settings!$A$5:$A$9,0)),0)*D553)</f>
        <v/>
      </c>
      <c r="N553" s="11">
        <f>IF(A553="","",IF(K553="",0,D553*INDEX(Products!$I$5:$I$204,K553)))</f>
        <v/>
      </c>
      <c r="O553" s="11">
        <f>IF(A553="","",IF(K553="",0,J553*INDEX(Products!$H$5:$H$204,K553)))</f>
        <v/>
      </c>
      <c r="P553" s="11">
        <f>IF(A553="","",J553-M553-N553-O553)</f>
        <v/>
      </c>
    </row>
    <row r="554">
      <c r="A554">
        <f>IFERROR(INDEX('Shopify Import'!$A:$CZ,554,Settings!$E$20)&amp;"","")</f>
        <v/>
      </c>
      <c r="B554">
        <f>IFERROR(INDEX('Shopify Import'!$A:$CZ,554,Settings!$E$21)&amp;"","")</f>
        <v/>
      </c>
      <c r="C554">
        <f>IFERROR(INDEX('Shopify Import'!$A:$CZ,554,Settings!$E$22)&amp;"","")</f>
        <v/>
      </c>
      <c r="D554">
        <f>IF(A554="","",IFERROR(VALUE(SUBSTITUTE(SUBSTITUTE(INDEX('Shopify Import'!$A:$CZ,554,Settings!$E$23)&amp;"","$",""),",","")),0))</f>
        <v/>
      </c>
      <c r="E554" s="11">
        <f>IF(A554="","",IFERROR(VALUE(SUBSTITUTE(SUBSTITUTE(INDEX('Shopify Import'!$A:$CZ,554,Settings!$E$24)&amp;"","$",""),",","")),0))</f>
        <v/>
      </c>
      <c r="F554" s="11">
        <f>IF(A554="","",D554*E554)</f>
        <v/>
      </c>
      <c r="G554">
        <f>IF(A554="","",IF(C554="",1,COUNTIF($C$2:$C$1501,C554)))</f>
        <v/>
      </c>
      <c r="H554" s="11">
        <f>IF(A554="","",IFERROR(VALUE(SUBSTITUTE(SUBSTITUTE(INDEX('Shopify Import'!$A:$CZ,554,Settings!$E$25)&amp;"","$",""),",","")),0)/IF(Settings!$D$27="Yes",G554,1))</f>
        <v/>
      </c>
      <c r="I554" s="11">
        <f>IF(A554="","",IFERROR(VALUE(SUBSTITUTE(SUBSTITUTE(INDEX('Shopify Import'!$A:$CZ,554,Settings!$E$26)&amp;"","$",""),",","")),0)/IF(Settings!$D$27="Yes",G554,1))</f>
        <v/>
      </c>
      <c r="J554" s="11">
        <f>IF(A554="","",F554+H554-I554)</f>
        <v/>
      </c>
      <c r="K554">
        <f>IF(A554="","",IFERROR(IF(B554="",NA(),MATCH(B554,Products!$B$5:$B$204,0)),IFERROR(MATCH(A554,Products!$A$5:$A$204,0),"")))</f>
        <v/>
      </c>
      <c r="L554">
        <f>IF(A554="","",IF(K554="","⚠ not in Products",INDEX(Products!$A$5:$A$204,K554)))</f>
        <v/>
      </c>
      <c r="M554" s="11">
        <f>IF(A554="","",J554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554+IFERROR(INDEX(Settings!$D$5:$D$9,MATCH("Shopify",Settings!$A$5:$A$9,0)),0)*D554)</f>
        <v/>
      </c>
      <c r="N554" s="11">
        <f>IF(A554="","",IF(K554="",0,D554*INDEX(Products!$I$5:$I$204,K554)))</f>
        <v/>
      </c>
      <c r="O554" s="11">
        <f>IF(A554="","",IF(K554="",0,J554*INDEX(Products!$H$5:$H$204,K554)))</f>
        <v/>
      </c>
      <c r="P554" s="11">
        <f>IF(A554="","",J554-M554-N554-O554)</f>
        <v/>
      </c>
    </row>
    <row r="555">
      <c r="A555">
        <f>IFERROR(INDEX('Shopify Import'!$A:$CZ,555,Settings!$E$20)&amp;"","")</f>
        <v/>
      </c>
      <c r="B555">
        <f>IFERROR(INDEX('Shopify Import'!$A:$CZ,555,Settings!$E$21)&amp;"","")</f>
        <v/>
      </c>
      <c r="C555">
        <f>IFERROR(INDEX('Shopify Import'!$A:$CZ,555,Settings!$E$22)&amp;"","")</f>
        <v/>
      </c>
      <c r="D555">
        <f>IF(A555="","",IFERROR(VALUE(SUBSTITUTE(SUBSTITUTE(INDEX('Shopify Import'!$A:$CZ,555,Settings!$E$23)&amp;"","$",""),",","")),0))</f>
        <v/>
      </c>
      <c r="E555" s="11">
        <f>IF(A555="","",IFERROR(VALUE(SUBSTITUTE(SUBSTITUTE(INDEX('Shopify Import'!$A:$CZ,555,Settings!$E$24)&amp;"","$",""),",","")),0))</f>
        <v/>
      </c>
      <c r="F555" s="11">
        <f>IF(A555="","",D555*E555)</f>
        <v/>
      </c>
      <c r="G555">
        <f>IF(A555="","",IF(C555="",1,COUNTIF($C$2:$C$1501,C555)))</f>
        <v/>
      </c>
      <c r="H555" s="11">
        <f>IF(A555="","",IFERROR(VALUE(SUBSTITUTE(SUBSTITUTE(INDEX('Shopify Import'!$A:$CZ,555,Settings!$E$25)&amp;"","$",""),",","")),0)/IF(Settings!$D$27="Yes",G555,1))</f>
        <v/>
      </c>
      <c r="I555" s="11">
        <f>IF(A555="","",IFERROR(VALUE(SUBSTITUTE(SUBSTITUTE(INDEX('Shopify Import'!$A:$CZ,555,Settings!$E$26)&amp;"","$",""),",","")),0)/IF(Settings!$D$27="Yes",G555,1))</f>
        <v/>
      </c>
      <c r="J555" s="11">
        <f>IF(A555="","",F555+H555-I555)</f>
        <v/>
      </c>
      <c r="K555">
        <f>IF(A555="","",IFERROR(IF(B555="",NA(),MATCH(B555,Products!$B$5:$B$204,0)),IFERROR(MATCH(A555,Products!$A$5:$A$204,0),"")))</f>
        <v/>
      </c>
      <c r="L555">
        <f>IF(A555="","",IF(K555="","⚠ not in Products",INDEX(Products!$A$5:$A$204,K555)))</f>
        <v/>
      </c>
      <c r="M555" s="11">
        <f>IF(A555="","",J555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555+IFERROR(INDEX(Settings!$D$5:$D$9,MATCH("Shopify",Settings!$A$5:$A$9,0)),0)*D555)</f>
        <v/>
      </c>
      <c r="N555" s="11">
        <f>IF(A555="","",IF(K555="",0,D555*INDEX(Products!$I$5:$I$204,K555)))</f>
        <v/>
      </c>
      <c r="O555" s="11">
        <f>IF(A555="","",IF(K555="",0,J555*INDEX(Products!$H$5:$H$204,K555)))</f>
        <v/>
      </c>
      <c r="P555" s="11">
        <f>IF(A555="","",J555-M555-N555-O555)</f>
        <v/>
      </c>
    </row>
    <row r="556">
      <c r="A556">
        <f>IFERROR(INDEX('Shopify Import'!$A:$CZ,556,Settings!$E$20)&amp;"","")</f>
        <v/>
      </c>
      <c r="B556">
        <f>IFERROR(INDEX('Shopify Import'!$A:$CZ,556,Settings!$E$21)&amp;"","")</f>
        <v/>
      </c>
      <c r="C556">
        <f>IFERROR(INDEX('Shopify Import'!$A:$CZ,556,Settings!$E$22)&amp;"","")</f>
        <v/>
      </c>
      <c r="D556">
        <f>IF(A556="","",IFERROR(VALUE(SUBSTITUTE(SUBSTITUTE(INDEX('Shopify Import'!$A:$CZ,556,Settings!$E$23)&amp;"","$",""),",","")),0))</f>
        <v/>
      </c>
      <c r="E556" s="11">
        <f>IF(A556="","",IFERROR(VALUE(SUBSTITUTE(SUBSTITUTE(INDEX('Shopify Import'!$A:$CZ,556,Settings!$E$24)&amp;"","$",""),",","")),0))</f>
        <v/>
      </c>
      <c r="F556" s="11">
        <f>IF(A556="","",D556*E556)</f>
        <v/>
      </c>
      <c r="G556">
        <f>IF(A556="","",IF(C556="",1,COUNTIF($C$2:$C$1501,C556)))</f>
        <v/>
      </c>
      <c r="H556" s="11">
        <f>IF(A556="","",IFERROR(VALUE(SUBSTITUTE(SUBSTITUTE(INDEX('Shopify Import'!$A:$CZ,556,Settings!$E$25)&amp;"","$",""),",","")),0)/IF(Settings!$D$27="Yes",G556,1))</f>
        <v/>
      </c>
      <c r="I556" s="11">
        <f>IF(A556="","",IFERROR(VALUE(SUBSTITUTE(SUBSTITUTE(INDEX('Shopify Import'!$A:$CZ,556,Settings!$E$26)&amp;"","$",""),",","")),0)/IF(Settings!$D$27="Yes",G556,1))</f>
        <v/>
      </c>
      <c r="J556" s="11">
        <f>IF(A556="","",F556+H556-I556)</f>
        <v/>
      </c>
      <c r="K556">
        <f>IF(A556="","",IFERROR(IF(B556="",NA(),MATCH(B556,Products!$B$5:$B$204,0)),IFERROR(MATCH(A556,Products!$A$5:$A$204,0),"")))</f>
        <v/>
      </c>
      <c r="L556">
        <f>IF(A556="","",IF(K556="","⚠ not in Products",INDEX(Products!$A$5:$A$204,K556)))</f>
        <v/>
      </c>
      <c r="M556" s="11">
        <f>IF(A556="","",J556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556+IFERROR(INDEX(Settings!$D$5:$D$9,MATCH("Shopify",Settings!$A$5:$A$9,0)),0)*D556)</f>
        <v/>
      </c>
      <c r="N556" s="11">
        <f>IF(A556="","",IF(K556="",0,D556*INDEX(Products!$I$5:$I$204,K556)))</f>
        <v/>
      </c>
      <c r="O556" s="11">
        <f>IF(A556="","",IF(K556="",0,J556*INDEX(Products!$H$5:$H$204,K556)))</f>
        <v/>
      </c>
      <c r="P556" s="11">
        <f>IF(A556="","",J556-M556-N556-O556)</f>
        <v/>
      </c>
    </row>
    <row r="557">
      <c r="A557">
        <f>IFERROR(INDEX('Shopify Import'!$A:$CZ,557,Settings!$E$20)&amp;"","")</f>
        <v/>
      </c>
      <c r="B557">
        <f>IFERROR(INDEX('Shopify Import'!$A:$CZ,557,Settings!$E$21)&amp;"","")</f>
        <v/>
      </c>
      <c r="C557">
        <f>IFERROR(INDEX('Shopify Import'!$A:$CZ,557,Settings!$E$22)&amp;"","")</f>
        <v/>
      </c>
      <c r="D557">
        <f>IF(A557="","",IFERROR(VALUE(SUBSTITUTE(SUBSTITUTE(INDEX('Shopify Import'!$A:$CZ,557,Settings!$E$23)&amp;"","$",""),",","")),0))</f>
        <v/>
      </c>
      <c r="E557" s="11">
        <f>IF(A557="","",IFERROR(VALUE(SUBSTITUTE(SUBSTITUTE(INDEX('Shopify Import'!$A:$CZ,557,Settings!$E$24)&amp;"","$",""),",","")),0))</f>
        <v/>
      </c>
      <c r="F557" s="11">
        <f>IF(A557="","",D557*E557)</f>
        <v/>
      </c>
      <c r="G557">
        <f>IF(A557="","",IF(C557="",1,COUNTIF($C$2:$C$1501,C557)))</f>
        <v/>
      </c>
      <c r="H557" s="11">
        <f>IF(A557="","",IFERROR(VALUE(SUBSTITUTE(SUBSTITUTE(INDEX('Shopify Import'!$A:$CZ,557,Settings!$E$25)&amp;"","$",""),",","")),0)/IF(Settings!$D$27="Yes",G557,1))</f>
        <v/>
      </c>
      <c r="I557" s="11">
        <f>IF(A557="","",IFERROR(VALUE(SUBSTITUTE(SUBSTITUTE(INDEX('Shopify Import'!$A:$CZ,557,Settings!$E$26)&amp;"","$",""),",","")),0)/IF(Settings!$D$27="Yes",G557,1))</f>
        <v/>
      </c>
      <c r="J557" s="11">
        <f>IF(A557="","",F557+H557-I557)</f>
        <v/>
      </c>
      <c r="K557">
        <f>IF(A557="","",IFERROR(IF(B557="",NA(),MATCH(B557,Products!$B$5:$B$204,0)),IFERROR(MATCH(A557,Products!$A$5:$A$204,0),"")))</f>
        <v/>
      </c>
      <c r="L557">
        <f>IF(A557="","",IF(K557="","⚠ not in Products",INDEX(Products!$A$5:$A$204,K557)))</f>
        <v/>
      </c>
      <c r="M557" s="11">
        <f>IF(A557="","",J557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557+IFERROR(INDEX(Settings!$D$5:$D$9,MATCH("Shopify",Settings!$A$5:$A$9,0)),0)*D557)</f>
        <v/>
      </c>
      <c r="N557" s="11">
        <f>IF(A557="","",IF(K557="",0,D557*INDEX(Products!$I$5:$I$204,K557)))</f>
        <v/>
      </c>
      <c r="O557" s="11">
        <f>IF(A557="","",IF(K557="",0,J557*INDEX(Products!$H$5:$H$204,K557)))</f>
        <v/>
      </c>
      <c r="P557" s="11">
        <f>IF(A557="","",J557-M557-N557-O557)</f>
        <v/>
      </c>
    </row>
    <row r="558">
      <c r="A558">
        <f>IFERROR(INDEX('Shopify Import'!$A:$CZ,558,Settings!$E$20)&amp;"","")</f>
        <v/>
      </c>
      <c r="B558">
        <f>IFERROR(INDEX('Shopify Import'!$A:$CZ,558,Settings!$E$21)&amp;"","")</f>
        <v/>
      </c>
      <c r="C558">
        <f>IFERROR(INDEX('Shopify Import'!$A:$CZ,558,Settings!$E$22)&amp;"","")</f>
        <v/>
      </c>
      <c r="D558">
        <f>IF(A558="","",IFERROR(VALUE(SUBSTITUTE(SUBSTITUTE(INDEX('Shopify Import'!$A:$CZ,558,Settings!$E$23)&amp;"","$",""),",","")),0))</f>
        <v/>
      </c>
      <c r="E558" s="11">
        <f>IF(A558="","",IFERROR(VALUE(SUBSTITUTE(SUBSTITUTE(INDEX('Shopify Import'!$A:$CZ,558,Settings!$E$24)&amp;"","$",""),",","")),0))</f>
        <v/>
      </c>
      <c r="F558" s="11">
        <f>IF(A558="","",D558*E558)</f>
        <v/>
      </c>
      <c r="G558">
        <f>IF(A558="","",IF(C558="",1,COUNTIF($C$2:$C$1501,C558)))</f>
        <v/>
      </c>
      <c r="H558" s="11">
        <f>IF(A558="","",IFERROR(VALUE(SUBSTITUTE(SUBSTITUTE(INDEX('Shopify Import'!$A:$CZ,558,Settings!$E$25)&amp;"","$",""),",","")),0)/IF(Settings!$D$27="Yes",G558,1))</f>
        <v/>
      </c>
      <c r="I558" s="11">
        <f>IF(A558="","",IFERROR(VALUE(SUBSTITUTE(SUBSTITUTE(INDEX('Shopify Import'!$A:$CZ,558,Settings!$E$26)&amp;"","$",""),",","")),0)/IF(Settings!$D$27="Yes",G558,1))</f>
        <v/>
      </c>
      <c r="J558" s="11">
        <f>IF(A558="","",F558+H558-I558)</f>
        <v/>
      </c>
      <c r="K558">
        <f>IF(A558="","",IFERROR(IF(B558="",NA(),MATCH(B558,Products!$B$5:$B$204,0)),IFERROR(MATCH(A558,Products!$A$5:$A$204,0),"")))</f>
        <v/>
      </c>
      <c r="L558">
        <f>IF(A558="","",IF(K558="","⚠ not in Products",INDEX(Products!$A$5:$A$204,K558)))</f>
        <v/>
      </c>
      <c r="M558" s="11">
        <f>IF(A558="","",J558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558+IFERROR(INDEX(Settings!$D$5:$D$9,MATCH("Shopify",Settings!$A$5:$A$9,0)),0)*D558)</f>
        <v/>
      </c>
      <c r="N558" s="11">
        <f>IF(A558="","",IF(K558="",0,D558*INDEX(Products!$I$5:$I$204,K558)))</f>
        <v/>
      </c>
      <c r="O558" s="11">
        <f>IF(A558="","",IF(K558="",0,J558*INDEX(Products!$H$5:$H$204,K558)))</f>
        <v/>
      </c>
      <c r="P558" s="11">
        <f>IF(A558="","",J558-M558-N558-O558)</f>
        <v/>
      </c>
    </row>
    <row r="559">
      <c r="A559">
        <f>IFERROR(INDEX('Shopify Import'!$A:$CZ,559,Settings!$E$20)&amp;"","")</f>
        <v/>
      </c>
      <c r="B559">
        <f>IFERROR(INDEX('Shopify Import'!$A:$CZ,559,Settings!$E$21)&amp;"","")</f>
        <v/>
      </c>
      <c r="C559">
        <f>IFERROR(INDEX('Shopify Import'!$A:$CZ,559,Settings!$E$22)&amp;"","")</f>
        <v/>
      </c>
      <c r="D559">
        <f>IF(A559="","",IFERROR(VALUE(SUBSTITUTE(SUBSTITUTE(INDEX('Shopify Import'!$A:$CZ,559,Settings!$E$23)&amp;"","$",""),",","")),0))</f>
        <v/>
      </c>
      <c r="E559" s="11">
        <f>IF(A559="","",IFERROR(VALUE(SUBSTITUTE(SUBSTITUTE(INDEX('Shopify Import'!$A:$CZ,559,Settings!$E$24)&amp;"","$",""),",","")),0))</f>
        <v/>
      </c>
      <c r="F559" s="11">
        <f>IF(A559="","",D559*E559)</f>
        <v/>
      </c>
      <c r="G559">
        <f>IF(A559="","",IF(C559="",1,COUNTIF($C$2:$C$1501,C559)))</f>
        <v/>
      </c>
      <c r="H559" s="11">
        <f>IF(A559="","",IFERROR(VALUE(SUBSTITUTE(SUBSTITUTE(INDEX('Shopify Import'!$A:$CZ,559,Settings!$E$25)&amp;"","$",""),",","")),0)/IF(Settings!$D$27="Yes",G559,1))</f>
        <v/>
      </c>
      <c r="I559" s="11">
        <f>IF(A559="","",IFERROR(VALUE(SUBSTITUTE(SUBSTITUTE(INDEX('Shopify Import'!$A:$CZ,559,Settings!$E$26)&amp;"","$",""),",","")),0)/IF(Settings!$D$27="Yes",G559,1))</f>
        <v/>
      </c>
      <c r="J559" s="11">
        <f>IF(A559="","",F559+H559-I559)</f>
        <v/>
      </c>
      <c r="K559">
        <f>IF(A559="","",IFERROR(IF(B559="",NA(),MATCH(B559,Products!$B$5:$B$204,0)),IFERROR(MATCH(A559,Products!$A$5:$A$204,0),"")))</f>
        <v/>
      </c>
      <c r="L559">
        <f>IF(A559="","",IF(K559="","⚠ not in Products",INDEX(Products!$A$5:$A$204,K559)))</f>
        <v/>
      </c>
      <c r="M559" s="11">
        <f>IF(A559="","",J559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559+IFERROR(INDEX(Settings!$D$5:$D$9,MATCH("Shopify",Settings!$A$5:$A$9,0)),0)*D559)</f>
        <v/>
      </c>
      <c r="N559" s="11">
        <f>IF(A559="","",IF(K559="",0,D559*INDEX(Products!$I$5:$I$204,K559)))</f>
        <v/>
      </c>
      <c r="O559" s="11">
        <f>IF(A559="","",IF(K559="",0,J559*INDEX(Products!$H$5:$H$204,K559)))</f>
        <v/>
      </c>
      <c r="P559" s="11">
        <f>IF(A559="","",J559-M559-N559-O559)</f>
        <v/>
      </c>
    </row>
    <row r="560">
      <c r="A560">
        <f>IFERROR(INDEX('Shopify Import'!$A:$CZ,560,Settings!$E$20)&amp;"","")</f>
        <v/>
      </c>
      <c r="B560">
        <f>IFERROR(INDEX('Shopify Import'!$A:$CZ,560,Settings!$E$21)&amp;"","")</f>
        <v/>
      </c>
      <c r="C560">
        <f>IFERROR(INDEX('Shopify Import'!$A:$CZ,560,Settings!$E$22)&amp;"","")</f>
        <v/>
      </c>
      <c r="D560">
        <f>IF(A560="","",IFERROR(VALUE(SUBSTITUTE(SUBSTITUTE(INDEX('Shopify Import'!$A:$CZ,560,Settings!$E$23)&amp;"","$",""),",","")),0))</f>
        <v/>
      </c>
      <c r="E560" s="11">
        <f>IF(A560="","",IFERROR(VALUE(SUBSTITUTE(SUBSTITUTE(INDEX('Shopify Import'!$A:$CZ,560,Settings!$E$24)&amp;"","$",""),",","")),0))</f>
        <v/>
      </c>
      <c r="F560" s="11">
        <f>IF(A560="","",D560*E560)</f>
        <v/>
      </c>
      <c r="G560">
        <f>IF(A560="","",IF(C560="",1,COUNTIF($C$2:$C$1501,C560)))</f>
        <v/>
      </c>
      <c r="H560" s="11">
        <f>IF(A560="","",IFERROR(VALUE(SUBSTITUTE(SUBSTITUTE(INDEX('Shopify Import'!$A:$CZ,560,Settings!$E$25)&amp;"","$",""),",","")),0)/IF(Settings!$D$27="Yes",G560,1))</f>
        <v/>
      </c>
      <c r="I560" s="11">
        <f>IF(A560="","",IFERROR(VALUE(SUBSTITUTE(SUBSTITUTE(INDEX('Shopify Import'!$A:$CZ,560,Settings!$E$26)&amp;"","$",""),",","")),0)/IF(Settings!$D$27="Yes",G560,1))</f>
        <v/>
      </c>
      <c r="J560" s="11">
        <f>IF(A560="","",F560+H560-I560)</f>
        <v/>
      </c>
      <c r="K560">
        <f>IF(A560="","",IFERROR(IF(B560="",NA(),MATCH(B560,Products!$B$5:$B$204,0)),IFERROR(MATCH(A560,Products!$A$5:$A$204,0),"")))</f>
        <v/>
      </c>
      <c r="L560">
        <f>IF(A560="","",IF(K560="","⚠ not in Products",INDEX(Products!$A$5:$A$204,K560)))</f>
        <v/>
      </c>
      <c r="M560" s="11">
        <f>IF(A560="","",J560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560+IFERROR(INDEX(Settings!$D$5:$D$9,MATCH("Shopify",Settings!$A$5:$A$9,0)),0)*D560)</f>
        <v/>
      </c>
      <c r="N560" s="11">
        <f>IF(A560="","",IF(K560="",0,D560*INDEX(Products!$I$5:$I$204,K560)))</f>
        <v/>
      </c>
      <c r="O560" s="11">
        <f>IF(A560="","",IF(K560="",0,J560*INDEX(Products!$H$5:$H$204,K560)))</f>
        <v/>
      </c>
      <c r="P560" s="11">
        <f>IF(A560="","",J560-M560-N560-O560)</f>
        <v/>
      </c>
    </row>
    <row r="561">
      <c r="A561">
        <f>IFERROR(INDEX('Shopify Import'!$A:$CZ,561,Settings!$E$20)&amp;"","")</f>
        <v/>
      </c>
      <c r="B561">
        <f>IFERROR(INDEX('Shopify Import'!$A:$CZ,561,Settings!$E$21)&amp;"","")</f>
        <v/>
      </c>
      <c r="C561">
        <f>IFERROR(INDEX('Shopify Import'!$A:$CZ,561,Settings!$E$22)&amp;"","")</f>
        <v/>
      </c>
      <c r="D561">
        <f>IF(A561="","",IFERROR(VALUE(SUBSTITUTE(SUBSTITUTE(INDEX('Shopify Import'!$A:$CZ,561,Settings!$E$23)&amp;"","$",""),",","")),0))</f>
        <v/>
      </c>
      <c r="E561" s="11">
        <f>IF(A561="","",IFERROR(VALUE(SUBSTITUTE(SUBSTITUTE(INDEX('Shopify Import'!$A:$CZ,561,Settings!$E$24)&amp;"","$",""),",","")),0))</f>
        <v/>
      </c>
      <c r="F561" s="11">
        <f>IF(A561="","",D561*E561)</f>
        <v/>
      </c>
      <c r="G561">
        <f>IF(A561="","",IF(C561="",1,COUNTIF($C$2:$C$1501,C561)))</f>
        <v/>
      </c>
      <c r="H561" s="11">
        <f>IF(A561="","",IFERROR(VALUE(SUBSTITUTE(SUBSTITUTE(INDEX('Shopify Import'!$A:$CZ,561,Settings!$E$25)&amp;"","$",""),",","")),0)/IF(Settings!$D$27="Yes",G561,1))</f>
        <v/>
      </c>
      <c r="I561" s="11">
        <f>IF(A561="","",IFERROR(VALUE(SUBSTITUTE(SUBSTITUTE(INDEX('Shopify Import'!$A:$CZ,561,Settings!$E$26)&amp;"","$",""),",","")),0)/IF(Settings!$D$27="Yes",G561,1))</f>
        <v/>
      </c>
      <c r="J561" s="11">
        <f>IF(A561="","",F561+H561-I561)</f>
        <v/>
      </c>
      <c r="K561">
        <f>IF(A561="","",IFERROR(IF(B561="",NA(),MATCH(B561,Products!$B$5:$B$204,0)),IFERROR(MATCH(A561,Products!$A$5:$A$204,0),"")))</f>
        <v/>
      </c>
      <c r="L561">
        <f>IF(A561="","",IF(K561="","⚠ not in Products",INDEX(Products!$A$5:$A$204,K561)))</f>
        <v/>
      </c>
      <c r="M561" s="11">
        <f>IF(A561="","",J561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561+IFERROR(INDEX(Settings!$D$5:$D$9,MATCH("Shopify",Settings!$A$5:$A$9,0)),0)*D561)</f>
        <v/>
      </c>
      <c r="N561" s="11">
        <f>IF(A561="","",IF(K561="",0,D561*INDEX(Products!$I$5:$I$204,K561)))</f>
        <v/>
      </c>
      <c r="O561" s="11">
        <f>IF(A561="","",IF(K561="",0,J561*INDEX(Products!$H$5:$H$204,K561)))</f>
        <v/>
      </c>
      <c r="P561" s="11">
        <f>IF(A561="","",J561-M561-N561-O561)</f>
        <v/>
      </c>
    </row>
    <row r="562">
      <c r="A562">
        <f>IFERROR(INDEX('Shopify Import'!$A:$CZ,562,Settings!$E$20)&amp;"","")</f>
        <v/>
      </c>
      <c r="B562">
        <f>IFERROR(INDEX('Shopify Import'!$A:$CZ,562,Settings!$E$21)&amp;"","")</f>
        <v/>
      </c>
      <c r="C562">
        <f>IFERROR(INDEX('Shopify Import'!$A:$CZ,562,Settings!$E$22)&amp;"","")</f>
        <v/>
      </c>
      <c r="D562">
        <f>IF(A562="","",IFERROR(VALUE(SUBSTITUTE(SUBSTITUTE(INDEX('Shopify Import'!$A:$CZ,562,Settings!$E$23)&amp;"","$",""),",","")),0))</f>
        <v/>
      </c>
      <c r="E562" s="11">
        <f>IF(A562="","",IFERROR(VALUE(SUBSTITUTE(SUBSTITUTE(INDEX('Shopify Import'!$A:$CZ,562,Settings!$E$24)&amp;"","$",""),",","")),0))</f>
        <v/>
      </c>
      <c r="F562" s="11">
        <f>IF(A562="","",D562*E562)</f>
        <v/>
      </c>
      <c r="G562">
        <f>IF(A562="","",IF(C562="",1,COUNTIF($C$2:$C$1501,C562)))</f>
        <v/>
      </c>
      <c r="H562" s="11">
        <f>IF(A562="","",IFERROR(VALUE(SUBSTITUTE(SUBSTITUTE(INDEX('Shopify Import'!$A:$CZ,562,Settings!$E$25)&amp;"","$",""),",","")),0)/IF(Settings!$D$27="Yes",G562,1))</f>
        <v/>
      </c>
      <c r="I562" s="11">
        <f>IF(A562="","",IFERROR(VALUE(SUBSTITUTE(SUBSTITUTE(INDEX('Shopify Import'!$A:$CZ,562,Settings!$E$26)&amp;"","$",""),",","")),0)/IF(Settings!$D$27="Yes",G562,1))</f>
        <v/>
      </c>
      <c r="J562" s="11">
        <f>IF(A562="","",F562+H562-I562)</f>
        <v/>
      </c>
      <c r="K562">
        <f>IF(A562="","",IFERROR(IF(B562="",NA(),MATCH(B562,Products!$B$5:$B$204,0)),IFERROR(MATCH(A562,Products!$A$5:$A$204,0),"")))</f>
        <v/>
      </c>
      <c r="L562">
        <f>IF(A562="","",IF(K562="","⚠ not in Products",INDEX(Products!$A$5:$A$204,K562)))</f>
        <v/>
      </c>
      <c r="M562" s="11">
        <f>IF(A562="","",J562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562+IFERROR(INDEX(Settings!$D$5:$D$9,MATCH("Shopify",Settings!$A$5:$A$9,0)),0)*D562)</f>
        <v/>
      </c>
      <c r="N562" s="11">
        <f>IF(A562="","",IF(K562="",0,D562*INDEX(Products!$I$5:$I$204,K562)))</f>
        <v/>
      </c>
      <c r="O562" s="11">
        <f>IF(A562="","",IF(K562="",0,J562*INDEX(Products!$H$5:$H$204,K562)))</f>
        <v/>
      </c>
      <c r="P562" s="11">
        <f>IF(A562="","",J562-M562-N562-O562)</f>
        <v/>
      </c>
    </row>
    <row r="563">
      <c r="A563">
        <f>IFERROR(INDEX('Shopify Import'!$A:$CZ,563,Settings!$E$20)&amp;"","")</f>
        <v/>
      </c>
      <c r="B563">
        <f>IFERROR(INDEX('Shopify Import'!$A:$CZ,563,Settings!$E$21)&amp;"","")</f>
        <v/>
      </c>
      <c r="C563">
        <f>IFERROR(INDEX('Shopify Import'!$A:$CZ,563,Settings!$E$22)&amp;"","")</f>
        <v/>
      </c>
      <c r="D563">
        <f>IF(A563="","",IFERROR(VALUE(SUBSTITUTE(SUBSTITUTE(INDEX('Shopify Import'!$A:$CZ,563,Settings!$E$23)&amp;"","$",""),",","")),0))</f>
        <v/>
      </c>
      <c r="E563" s="11">
        <f>IF(A563="","",IFERROR(VALUE(SUBSTITUTE(SUBSTITUTE(INDEX('Shopify Import'!$A:$CZ,563,Settings!$E$24)&amp;"","$",""),",","")),0))</f>
        <v/>
      </c>
      <c r="F563" s="11">
        <f>IF(A563="","",D563*E563)</f>
        <v/>
      </c>
      <c r="G563">
        <f>IF(A563="","",IF(C563="",1,COUNTIF($C$2:$C$1501,C563)))</f>
        <v/>
      </c>
      <c r="H563" s="11">
        <f>IF(A563="","",IFERROR(VALUE(SUBSTITUTE(SUBSTITUTE(INDEX('Shopify Import'!$A:$CZ,563,Settings!$E$25)&amp;"","$",""),",","")),0)/IF(Settings!$D$27="Yes",G563,1))</f>
        <v/>
      </c>
      <c r="I563" s="11">
        <f>IF(A563="","",IFERROR(VALUE(SUBSTITUTE(SUBSTITUTE(INDEX('Shopify Import'!$A:$CZ,563,Settings!$E$26)&amp;"","$",""),",","")),0)/IF(Settings!$D$27="Yes",G563,1))</f>
        <v/>
      </c>
      <c r="J563" s="11">
        <f>IF(A563="","",F563+H563-I563)</f>
        <v/>
      </c>
      <c r="K563">
        <f>IF(A563="","",IFERROR(IF(B563="",NA(),MATCH(B563,Products!$B$5:$B$204,0)),IFERROR(MATCH(A563,Products!$A$5:$A$204,0),"")))</f>
        <v/>
      </c>
      <c r="L563">
        <f>IF(A563="","",IF(K563="","⚠ not in Products",INDEX(Products!$A$5:$A$204,K563)))</f>
        <v/>
      </c>
      <c r="M563" s="11">
        <f>IF(A563="","",J563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563+IFERROR(INDEX(Settings!$D$5:$D$9,MATCH("Shopify",Settings!$A$5:$A$9,0)),0)*D563)</f>
        <v/>
      </c>
      <c r="N563" s="11">
        <f>IF(A563="","",IF(K563="",0,D563*INDEX(Products!$I$5:$I$204,K563)))</f>
        <v/>
      </c>
      <c r="O563" s="11">
        <f>IF(A563="","",IF(K563="",0,J563*INDEX(Products!$H$5:$H$204,K563)))</f>
        <v/>
      </c>
      <c r="P563" s="11">
        <f>IF(A563="","",J563-M563-N563-O563)</f>
        <v/>
      </c>
    </row>
    <row r="564">
      <c r="A564">
        <f>IFERROR(INDEX('Shopify Import'!$A:$CZ,564,Settings!$E$20)&amp;"","")</f>
        <v/>
      </c>
      <c r="B564">
        <f>IFERROR(INDEX('Shopify Import'!$A:$CZ,564,Settings!$E$21)&amp;"","")</f>
        <v/>
      </c>
      <c r="C564">
        <f>IFERROR(INDEX('Shopify Import'!$A:$CZ,564,Settings!$E$22)&amp;"","")</f>
        <v/>
      </c>
      <c r="D564">
        <f>IF(A564="","",IFERROR(VALUE(SUBSTITUTE(SUBSTITUTE(INDEX('Shopify Import'!$A:$CZ,564,Settings!$E$23)&amp;"","$",""),",","")),0))</f>
        <v/>
      </c>
      <c r="E564" s="11">
        <f>IF(A564="","",IFERROR(VALUE(SUBSTITUTE(SUBSTITUTE(INDEX('Shopify Import'!$A:$CZ,564,Settings!$E$24)&amp;"","$",""),",","")),0))</f>
        <v/>
      </c>
      <c r="F564" s="11">
        <f>IF(A564="","",D564*E564)</f>
        <v/>
      </c>
      <c r="G564">
        <f>IF(A564="","",IF(C564="",1,COUNTIF($C$2:$C$1501,C564)))</f>
        <v/>
      </c>
      <c r="H564" s="11">
        <f>IF(A564="","",IFERROR(VALUE(SUBSTITUTE(SUBSTITUTE(INDEX('Shopify Import'!$A:$CZ,564,Settings!$E$25)&amp;"","$",""),",","")),0)/IF(Settings!$D$27="Yes",G564,1))</f>
        <v/>
      </c>
      <c r="I564" s="11">
        <f>IF(A564="","",IFERROR(VALUE(SUBSTITUTE(SUBSTITUTE(INDEX('Shopify Import'!$A:$CZ,564,Settings!$E$26)&amp;"","$",""),",","")),0)/IF(Settings!$D$27="Yes",G564,1))</f>
        <v/>
      </c>
      <c r="J564" s="11">
        <f>IF(A564="","",F564+H564-I564)</f>
        <v/>
      </c>
      <c r="K564">
        <f>IF(A564="","",IFERROR(IF(B564="",NA(),MATCH(B564,Products!$B$5:$B$204,0)),IFERROR(MATCH(A564,Products!$A$5:$A$204,0),"")))</f>
        <v/>
      </c>
      <c r="L564">
        <f>IF(A564="","",IF(K564="","⚠ not in Products",INDEX(Products!$A$5:$A$204,K564)))</f>
        <v/>
      </c>
      <c r="M564" s="11">
        <f>IF(A564="","",J564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564+IFERROR(INDEX(Settings!$D$5:$D$9,MATCH("Shopify",Settings!$A$5:$A$9,0)),0)*D564)</f>
        <v/>
      </c>
      <c r="N564" s="11">
        <f>IF(A564="","",IF(K564="",0,D564*INDEX(Products!$I$5:$I$204,K564)))</f>
        <v/>
      </c>
      <c r="O564" s="11">
        <f>IF(A564="","",IF(K564="",0,J564*INDEX(Products!$H$5:$H$204,K564)))</f>
        <v/>
      </c>
      <c r="P564" s="11">
        <f>IF(A564="","",J564-M564-N564-O564)</f>
        <v/>
      </c>
    </row>
    <row r="565">
      <c r="A565">
        <f>IFERROR(INDEX('Shopify Import'!$A:$CZ,565,Settings!$E$20)&amp;"","")</f>
        <v/>
      </c>
      <c r="B565">
        <f>IFERROR(INDEX('Shopify Import'!$A:$CZ,565,Settings!$E$21)&amp;"","")</f>
        <v/>
      </c>
      <c r="C565">
        <f>IFERROR(INDEX('Shopify Import'!$A:$CZ,565,Settings!$E$22)&amp;"","")</f>
        <v/>
      </c>
      <c r="D565">
        <f>IF(A565="","",IFERROR(VALUE(SUBSTITUTE(SUBSTITUTE(INDEX('Shopify Import'!$A:$CZ,565,Settings!$E$23)&amp;"","$",""),",","")),0))</f>
        <v/>
      </c>
      <c r="E565" s="11">
        <f>IF(A565="","",IFERROR(VALUE(SUBSTITUTE(SUBSTITUTE(INDEX('Shopify Import'!$A:$CZ,565,Settings!$E$24)&amp;"","$",""),",","")),0))</f>
        <v/>
      </c>
      <c r="F565" s="11">
        <f>IF(A565="","",D565*E565)</f>
        <v/>
      </c>
      <c r="G565">
        <f>IF(A565="","",IF(C565="",1,COUNTIF($C$2:$C$1501,C565)))</f>
        <v/>
      </c>
      <c r="H565" s="11">
        <f>IF(A565="","",IFERROR(VALUE(SUBSTITUTE(SUBSTITUTE(INDEX('Shopify Import'!$A:$CZ,565,Settings!$E$25)&amp;"","$",""),",","")),0)/IF(Settings!$D$27="Yes",G565,1))</f>
        <v/>
      </c>
      <c r="I565" s="11">
        <f>IF(A565="","",IFERROR(VALUE(SUBSTITUTE(SUBSTITUTE(INDEX('Shopify Import'!$A:$CZ,565,Settings!$E$26)&amp;"","$",""),",","")),0)/IF(Settings!$D$27="Yes",G565,1))</f>
        <v/>
      </c>
      <c r="J565" s="11">
        <f>IF(A565="","",F565+H565-I565)</f>
        <v/>
      </c>
      <c r="K565">
        <f>IF(A565="","",IFERROR(IF(B565="",NA(),MATCH(B565,Products!$B$5:$B$204,0)),IFERROR(MATCH(A565,Products!$A$5:$A$204,0),"")))</f>
        <v/>
      </c>
      <c r="L565">
        <f>IF(A565="","",IF(K565="","⚠ not in Products",INDEX(Products!$A$5:$A$204,K565)))</f>
        <v/>
      </c>
      <c r="M565" s="11">
        <f>IF(A565="","",J565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565+IFERROR(INDEX(Settings!$D$5:$D$9,MATCH("Shopify",Settings!$A$5:$A$9,0)),0)*D565)</f>
        <v/>
      </c>
      <c r="N565" s="11">
        <f>IF(A565="","",IF(K565="",0,D565*INDEX(Products!$I$5:$I$204,K565)))</f>
        <v/>
      </c>
      <c r="O565" s="11">
        <f>IF(A565="","",IF(K565="",0,J565*INDEX(Products!$H$5:$H$204,K565)))</f>
        <v/>
      </c>
      <c r="P565" s="11">
        <f>IF(A565="","",J565-M565-N565-O565)</f>
        <v/>
      </c>
    </row>
    <row r="566">
      <c r="A566">
        <f>IFERROR(INDEX('Shopify Import'!$A:$CZ,566,Settings!$E$20)&amp;"","")</f>
        <v/>
      </c>
      <c r="B566">
        <f>IFERROR(INDEX('Shopify Import'!$A:$CZ,566,Settings!$E$21)&amp;"","")</f>
        <v/>
      </c>
      <c r="C566">
        <f>IFERROR(INDEX('Shopify Import'!$A:$CZ,566,Settings!$E$22)&amp;"","")</f>
        <v/>
      </c>
      <c r="D566">
        <f>IF(A566="","",IFERROR(VALUE(SUBSTITUTE(SUBSTITUTE(INDEX('Shopify Import'!$A:$CZ,566,Settings!$E$23)&amp;"","$",""),",","")),0))</f>
        <v/>
      </c>
      <c r="E566" s="11">
        <f>IF(A566="","",IFERROR(VALUE(SUBSTITUTE(SUBSTITUTE(INDEX('Shopify Import'!$A:$CZ,566,Settings!$E$24)&amp;"","$",""),",","")),0))</f>
        <v/>
      </c>
      <c r="F566" s="11">
        <f>IF(A566="","",D566*E566)</f>
        <v/>
      </c>
      <c r="G566">
        <f>IF(A566="","",IF(C566="",1,COUNTIF($C$2:$C$1501,C566)))</f>
        <v/>
      </c>
      <c r="H566" s="11">
        <f>IF(A566="","",IFERROR(VALUE(SUBSTITUTE(SUBSTITUTE(INDEX('Shopify Import'!$A:$CZ,566,Settings!$E$25)&amp;"","$",""),",","")),0)/IF(Settings!$D$27="Yes",G566,1))</f>
        <v/>
      </c>
      <c r="I566" s="11">
        <f>IF(A566="","",IFERROR(VALUE(SUBSTITUTE(SUBSTITUTE(INDEX('Shopify Import'!$A:$CZ,566,Settings!$E$26)&amp;"","$",""),",","")),0)/IF(Settings!$D$27="Yes",G566,1))</f>
        <v/>
      </c>
      <c r="J566" s="11">
        <f>IF(A566="","",F566+H566-I566)</f>
        <v/>
      </c>
      <c r="K566">
        <f>IF(A566="","",IFERROR(IF(B566="",NA(),MATCH(B566,Products!$B$5:$B$204,0)),IFERROR(MATCH(A566,Products!$A$5:$A$204,0),"")))</f>
        <v/>
      </c>
      <c r="L566">
        <f>IF(A566="","",IF(K566="","⚠ not in Products",INDEX(Products!$A$5:$A$204,K566)))</f>
        <v/>
      </c>
      <c r="M566" s="11">
        <f>IF(A566="","",J566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566+IFERROR(INDEX(Settings!$D$5:$D$9,MATCH("Shopify",Settings!$A$5:$A$9,0)),0)*D566)</f>
        <v/>
      </c>
      <c r="N566" s="11">
        <f>IF(A566="","",IF(K566="",0,D566*INDEX(Products!$I$5:$I$204,K566)))</f>
        <v/>
      </c>
      <c r="O566" s="11">
        <f>IF(A566="","",IF(K566="",0,J566*INDEX(Products!$H$5:$H$204,K566)))</f>
        <v/>
      </c>
      <c r="P566" s="11">
        <f>IF(A566="","",J566-M566-N566-O566)</f>
        <v/>
      </c>
    </row>
    <row r="567">
      <c r="A567">
        <f>IFERROR(INDEX('Shopify Import'!$A:$CZ,567,Settings!$E$20)&amp;"","")</f>
        <v/>
      </c>
      <c r="B567">
        <f>IFERROR(INDEX('Shopify Import'!$A:$CZ,567,Settings!$E$21)&amp;"","")</f>
        <v/>
      </c>
      <c r="C567">
        <f>IFERROR(INDEX('Shopify Import'!$A:$CZ,567,Settings!$E$22)&amp;"","")</f>
        <v/>
      </c>
      <c r="D567">
        <f>IF(A567="","",IFERROR(VALUE(SUBSTITUTE(SUBSTITUTE(INDEX('Shopify Import'!$A:$CZ,567,Settings!$E$23)&amp;"","$",""),",","")),0))</f>
        <v/>
      </c>
      <c r="E567" s="11">
        <f>IF(A567="","",IFERROR(VALUE(SUBSTITUTE(SUBSTITUTE(INDEX('Shopify Import'!$A:$CZ,567,Settings!$E$24)&amp;"","$",""),",","")),0))</f>
        <v/>
      </c>
      <c r="F567" s="11">
        <f>IF(A567="","",D567*E567)</f>
        <v/>
      </c>
      <c r="G567">
        <f>IF(A567="","",IF(C567="",1,COUNTIF($C$2:$C$1501,C567)))</f>
        <v/>
      </c>
      <c r="H567" s="11">
        <f>IF(A567="","",IFERROR(VALUE(SUBSTITUTE(SUBSTITUTE(INDEX('Shopify Import'!$A:$CZ,567,Settings!$E$25)&amp;"","$",""),",","")),0)/IF(Settings!$D$27="Yes",G567,1))</f>
        <v/>
      </c>
      <c r="I567" s="11">
        <f>IF(A567="","",IFERROR(VALUE(SUBSTITUTE(SUBSTITUTE(INDEX('Shopify Import'!$A:$CZ,567,Settings!$E$26)&amp;"","$",""),",","")),0)/IF(Settings!$D$27="Yes",G567,1))</f>
        <v/>
      </c>
      <c r="J567" s="11">
        <f>IF(A567="","",F567+H567-I567)</f>
        <v/>
      </c>
      <c r="K567">
        <f>IF(A567="","",IFERROR(IF(B567="",NA(),MATCH(B567,Products!$B$5:$B$204,0)),IFERROR(MATCH(A567,Products!$A$5:$A$204,0),"")))</f>
        <v/>
      </c>
      <c r="L567">
        <f>IF(A567="","",IF(K567="","⚠ not in Products",INDEX(Products!$A$5:$A$204,K567)))</f>
        <v/>
      </c>
      <c r="M567" s="11">
        <f>IF(A567="","",J567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567+IFERROR(INDEX(Settings!$D$5:$D$9,MATCH("Shopify",Settings!$A$5:$A$9,0)),0)*D567)</f>
        <v/>
      </c>
      <c r="N567" s="11">
        <f>IF(A567="","",IF(K567="",0,D567*INDEX(Products!$I$5:$I$204,K567)))</f>
        <v/>
      </c>
      <c r="O567" s="11">
        <f>IF(A567="","",IF(K567="",0,J567*INDEX(Products!$H$5:$H$204,K567)))</f>
        <v/>
      </c>
      <c r="P567" s="11">
        <f>IF(A567="","",J567-M567-N567-O567)</f>
        <v/>
      </c>
    </row>
    <row r="568">
      <c r="A568">
        <f>IFERROR(INDEX('Shopify Import'!$A:$CZ,568,Settings!$E$20)&amp;"","")</f>
        <v/>
      </c>
      <c r="B568">
        <f>IFERROR(INDEX('Shopify Import'!$A:$CZ,568,Settings!$E$21)&amp;"","")</f>
        <v/>
      </c>
      <c r="C568">
        <f>IFERROR(INDEX('Shopify Import'!$A:$CZ,568,Settings!$E$22)&amp;"","")</f>
        <v/>
      </c>
      <c r="D568">
        <f>IF(A568="","",IFERROR(VALUE(SUBSTITUTE(SUBSTITUTE(INDEX('Shopify Import'!$A:$CZ,568,Settings!$E$23)&amp;"","$",""),",","")),0))</f>
        <v/>
      </c>
      <c r="E568" s="11">
        <f>IF(A568="","",IFERROR(VALUE(SUBSTITUTE(SUBSTITUTE(INDEX('Shopify Import'!$A:$CZ,568,Settings!$E$24)&amp;"","$",""),",","")),0))</f>
        <v/>
      </c>
      <c r="F568" s="11">
        <f>IF(A568="","",D568*E568)</f>
        <v/>
      </c>
      <c r="G568">
        <f>IF(A568="","",IF(C568="",1,COUNTIF($C$2:$C$1501,C568)))</f>
        <v/>
      </c>
      <c r="H568" s="11">
        <f>IF(A568="","",IFERROR(VALUE(SUBSTITUTE(SUBSTITUTE(INDEX('Shopify Import'!$A:$CZ,568,Settings!$E$25)&amp;"","$",""),",","")),0)/IF(Settings!$D$27="Yes",G568,1))</f>
        <v/>
      </c>
      <c r="I568" s="11">
        <f>IF(A568="","",IFERROR(VALUE(SUBSTITUTE(SUBSTITUTE(INDEX('Shopify Import'!$A:$CZ,568,Settings!$E$26)&amp;"","$",""),",","")),0)/IF(Settings!$D$27="Yes",G568,1))</f>
        <v/>
      </c>
      <c r="J568" s="11">
        <f>IF(A568="","",F568+H568-I568)</f>
        <v/>
      </c>
      <c r="K568">
        <f>IF(A568="","",IFERROR(IF(B568="",NA(),MATCH(B568,Products!$B$5:$B$204,0)),IFERROR(MATCH(A568,Products!$A$5:$A$204,0),"")))</f>
        <v/>
      </c>
      <c r="L568">
        <f>IF(A568="","",IF(K568="","⚠ not in Products",INDEX(Products!$A$5:$A$204,K568)))</f>
        <v/>
      </c>
      <c r="M568" s="11">
        <f>IF(A568="","",J568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568+IFERROR(INDEX(Settings!$D$5:$D$9,MATCH("Shopify",Settings!$A$5:$A$9,0)),0)*D568)</f>
        <v/>
      </c>
      <c r="N568" s="11">
        <f>IF(A568="","",IF(K568="",0,D568*INDEX(Products!$I$5:$I$204,K568)))</f>
        <v/>
      </c>
      <c r="O568" s="11">
        <f>IF(A568="","",IF(K568="",0,J568*INDEX(Products!$H$5:$H$204,K568)))</f>
        <v/>
      </c>
      <c r="P568" s="11">
        <f>IF(A568="","",J568-M568-N568-O568)</f>
        <v/>
      </c>
    </row>
    <row r="569">
      <c r="A569">
        <f>IFERROR(INDEX('Shopify Import'!$A:$CZ,569,Settings!$E$20)&amp;"","")</f>
        <v/>
      </c>
      <c r="B569">
        <f>IFERROR(INDEX('Shopify Import'!$A:$CZ,569,Settings!$E$21)&amp;"","")</f>
        <v/>
      </c>
      <c r="C569">
        <f>IFERROR(INDEX('Shopify Import'!$A:$CZ,569,Settings!$E$22)&amp;"","")</f>
        <v/>
      </c>
      <c r="D569">
        <f>IF(A569="","",IFERROR(VALUE(SUBSTITUTE(SUBSTITUTE(INDEX('Shopify Import'!$A:$CZ,569,Settings!$E$23)&amp;"","$",""),",","")),0))</f>
        <v/>
      </c>
      <c r="E569" s="11">
        <f>IF(A569="","",IFERROR(VALUE(SUBSTITUTE(SUBSTITUTE(INDEX('Shopify Import'!$A:$CZ,569,Settings!$E$24)&amp;"","$",""),",","")),0))</f>
        <v/>
      </c>
      <c r="F569" s="11">
        <f>IF(A569="","",D569*E569)</f>
        <v/>
      </c>
      <c r="G569">
        <f>IF(A569="","",IF(C569="",1,COUNTIF($C$2:$C$1501,C569)))</f>
        <v/>
      </c>
      <c r="H569" s="11">
        <f>IF(A569="","",IFERROR(VALUE(SUBSTITUTE(SUBSTITUTE(INDEX('Shopify Import'!$A:$CZ,569,Settings!$E$25)&amp;"","$",""),",","")),0)/IF(Settings!$D$27="Yes",G569,1))</f>
        <v/>
      </c>
      <c r="I569" s="11">
        <f>IF(A569="","",IFERROR(VALUE(SUBSTITUTE(SUBSTITUTE(INDEX('Shopify Import'!$A:$CZ,569,Settings!$E$26)&amp;"","$",""),",","")),0)/IF(Settings!$D$27="Yes",G569,1))</f>
        <v/>
      </c>
      <c r="J569" s="11">
        <f>IF(A569="","",F569+H569-I569)</f>
        <v/>
      </c>
      <c r="K569">
        <f>IF(A569="","",IFERROR(IF(B569="",NA(),MATCH(B569,Products!$B$5:$B$204,0)),IFERROR(MATCH(A569,Products!$A$5:$A$204,0),"")))</f>
        <v/>
      </c>
      <c r="L569">
        <f>IF(A569="","",IF(K569="","⚠ not in Products",INDEX(Products!$A$5:$A$204,K569)))</f>
        <v/>
      </c>
      <c r="M569" s="11">
        <f>IF(A569="","",J569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569+IFERROR(INDEX(Settings!$D$5:$D$9,MATCH("Shopify",Settings!$A$5:$A$9,0)),0)*D569)</f>
        <v/>
      </c>
      <c r="N569" s="11">
        <f>IF(A569="","",IF(K569="",0,D569*INDEX(Products!$I$5:$I$204,K569)))</f>
        <v/>
      </c>
      <c r="O569" s="11">
        <f>IF(A569="","",IF(K569="",0,J569*INDEX(Products!$H$5:$H$204,K569)))</f>
        <v/>
      </c>
      <c r="P569" s="11">
        <f>IF(A569="","",J569-M569-N569-O569)</f>
        <v/>
      </c>
    </row>
    <row r="570">
      <c r="A570">
        <f>IFERROR(INDEX('Shopify Import'!$A:$CZ,570,Settings!$E$20)&amp;"","")</f>
        <v/>
      </c>
      <c r="B570">
        <f>IFERROR(INDEX('Shopify Import'!$A:$CZ,570,Settings!$E$21)&amp;"","")</f>
        <v/>
      </c>
      <c r="C570">
        <f>IFERROR(INDEX('Shopify Import'!$A:$CZ,570,Settings!$E$22)&amp;"","")</f>
        <v/>
      </c>
      <c r="D570">
        <f>IF(A570="","",IFERROR(VALUE(SUBSTITUTE(SUBSTITUTE(INDEX('Shopify Import'!$A:$CZ,570,Settings!$E$23)&amp;"","$",""),",","")),0))</f>
        <v/>
      </c>
      <c r="E570" s="11">
        <f>IF(A570="","",IFERROR(VALUE(SUBSTITUTE(SUBSTITUTE(INDEX('Shopify Import'!$A:$CZ,570,Settings!$E$24)&amp;"","$",""),",","")),0))</f>
        <v/>
      </c>
      <c r="F570" s="11">
        <f>IF(A570="","",D570*E570)</f>
        <v/>
      </c>
      <c r="G570">
        <f>IF(A570="","",IF(C570="",1,COUNTIF($C$2:$C$1501,C570)))</f>
        <v/>
      </c>
      <c r="H570" s="11">
        <f>IF(A570="","",IFERROR(VALUE(SUBSTITUTE(SUBSTITUTE(INDEX('Shopify Import'!$A:$CZ,570,Settings!$E$25)&amp;"","$",""),",","")),0)/IF(Settings!$D$27="Yes",G570,1))</f>
        <v/>
      </c>
      <c r="I570" s="11">
        <f>IF(A570="","",IFERROR(VALUE(SUBSTITUTE(SUBSTITUTE(INDEX('Shopify Import'!$A:$CZ,570,Settings!$E$26)&amp;"","$",""),",","")),0)/IF(Settings!$D$27="Yes",G570,1))</f>
        <v/>
      </c>
      <c r="J570" s="11">
        <f>IF(A570="","",F570+H570-I570)</f>
        <v/>
      </c>
      <c r="K570">
        <f>IF(A570="","",IFERROR(IF(B570="",NA(),MATCH(B570,Products!$B$5:$B$204,0)),IFERROR(MATCH(A570,Products!$A$5:$A$204,0),"")))</f>
        <v/>
      </c>
      <c r="L570">
        <f>IF(A570="","",IF(K570="","⚠ not in Products",INDEX(Products!$A$5:$A$204,K570)))</f>
        <v/>
      </c>
      <c r="M570" s="11">
        <f>IF(A570="","",J570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570+IFERROR(INDEX(Settings!$D$5:$D$9,MATCH("Shopify",Settings!$A$5:$A$9,0)),0)*D570)</f>
        <v/>
      </c>
      <c r="N570" s="11">
        <f>IF(A570="","",IF(K570="",0,D570*INDEX(Products!$I$5:$I$204,K570)))</f>
        <v/>
      </c>
      <c r="O570" s="11">
        <f>IF(A570="","",IF(K570="",0,J570*INDEX(Products!$H$5:$H$204,K570)))</f>
        <v/>
      </c>
      <c r="P570" s="11">
        <f>IF(A570="","",J570-M570-N570-O570)</f>
        <v/>
      </c>
    </row>
    <row r="571">
      <c r="A571">
        <f>IFERROR(INDEX('Shopify Import'!$A:$CZ,571,Settings!$E$20)&amp;"","")</f>
        <v/>
      </c>
      <c r="B571">
        <f>IFERROR(INDEX('Shopify Import'!$A:$CZ,571,Settings!$E$21)&amp;"","")</f>
        <v/>
      </c>
      <c r="C571">
        <f>IFERROR(INDEX('Shopify Import'!$A:$CZ,571,Settings!$E$22)&amp;"","")</f>
        <v/>
      </c>
      <c r="D571">
        <f>IF(A571="","",IFERROR(VALUE(SUBSTITUTE(SUBSTITUTE(INDEX('Shopify Import'!$A:$CZ,571,Settings!$E$23)&amp;"","$",""),",","")),0))</f>
        <v/>
      </c>
      <c r="E571" s="11">
        <f>IF(A571="","",IFERROR(VALUE(SUBSTITUTE(SUBSTITUTE(INDEX('Shopify Import'!$A:$CZ,571,Settings!$E$24)&amp;"","$",""),",","")),0))</f>
        <v/>
      </c>
      <c r="F571" s="11">
        <f>IF(A571="","",D571*E571)</f>
        <v/>
      </c>
      <c r="G571">
        <f>IF(A571="","",IF(C571="",1,COUNTIF($C$2:$C$1501,C571)))</f>
        <v/>
      </c>
      <c r="H571" s="11">
        <f>IF(A571="","",IFERROR(VALUE(SUBSTITUTE(SUBSTITUTE(INDEX('Shopify Import'!$A:$CZ,571,Settings!$E$25)&amp;"","$",""),",","")),0)/IF(Settings!$D$27="Yes",G571,1))</f>
        <v/>
      </c>
      <c r="I571" s="11">
        <f>IF(A571="","",IFERROR(VALUE(SUBSTITUTE(SUBSTITUTE(INDEX('Shopify Import'!$A:$CZ,571,Settings!$E$26)&amp;"","$",""),",","")),0)/IF(Settings!$D$27="Yes",G571,1))</f>
        <v/>
      </c>
      <c r="J571" s="11">
        <f>IF(A571="","",F571+H571-I571)</f>
        <v/>
      </c>
      <c r="K571">
        <f>IF(A571="","",IFERROR(IF(B571="",NA(),MATCH(B571,Products!$B$5:$B$204,0)),IFERROR(MATCH(A571,Products!$A$5:$A$204,0),"")))</f>
        <v/>
      </c>
      <c r="L571">
        <f>IF(A571="","",IF(K571="","⚠ not in Products",INDEX(Products!$A$5:$A$204,K571)))</f>
        <v/>
      </c>
      <c r="M571" s="11">
        <f>IF(A571="","",J571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571+IFERROR(INDEX(Settings!$D$5:$D$9,MATCH("Shopify",Settings!$A$5:$A$9,0)),0)*D571)</f>
        <v/>
      </c>
      <c r="N571" s="11">
        <f>IF(A571="","",IF(K571="",0,D571*INDEX(Products!$I$5:$I$204,K571)))</f>
        <v/>
      </c>
      <c r="O571" s="11">
        <f>IF(A571="","",IF(K571="",0,J571*INDEX(Products!$H$5:$H$204,K571)))</f>
        <v/>
      </c>
      <c r="P571" s="11">
        <f>IF(A571="","",J571-M571-N571-O571)</f>
        <v/>
      </c>
    </row>
    <row r="572">
      <c r="A572">
        <f>IFERROR(INDEX('Shopify Import'!$A:$CZ,572,Settings!$E$20)&amp;"","")</f>
        <v/>
      </c>
      <c r="B572">
        <f>IFERROR(INDEX('Shopify Import'!$A:$CZ,572,Settings!$E$21)&amp;"","")</f>
        <v/>
      </c>
      <c r="C572">
        <f>IFERROR(INDEX('Shopify Import'!$A:$CZ,572,Settings!$E$22)&amp;"","")</f>
        <v/>
      </c>
      <c r="D572">
        <f>IF(A572="","",IFERROR(VALUE(SUBSTITUTE(SUBSTITUTE(INDEX('Shopify Import'!$A:$CZ,572,Settings!$E$23)&amp;"","$",""),",","")),0))</f>
        <v/>
      </c>
      <c r="E572" s="11">
        <f>IF(A572="","",IFERROR(VALUE(SUBSTITUTE(SUBSTITUTE(INDEX('Shopify Import'!$A:$CZ,572,Settings!$E$24)&amp;"","$",""),",","")),0))</f>
        <v/>
      </c>
      <c r="F572" s="11">
        <f>IF(A572="","",D572*E572)</f>
        <v/>
      </c>
      <c r="G572">
        <f>IF(A572="","",IF(C572="",1,COUNTIF($C$2:$C$1501,C572)))</f>
        <v/>
      </c>
      <c r="H572" s="11">
        <f>IF(A572="","",IFERROR(VALUE(SUBSTITUTE(SUBSTITUTE(INDEX('Shopify Import'!$A:$CZ,572,Settings!$E$25)&amp;"","$",""),",","")),0)/IF(Settings!$D$27="Yes",G572,1))</f>
        <v/>
      </c>
      <c r="I572" s="11">
        <f>IF(A572="","",IFERROR(VALUE(SUBSTITUTE(SUBSTITUTE(INDEX('Shopify Import'!$A:$CZ,572,Settings!$E$26)&amp;"","$",""),",","")),0)/IF(Settings!$D$27="Yes",G572,1))</f>
        <v/>
      </c>
      <c r="J572" s="11">
        <f>IF(A572="","",F572+H572-I572)</f>
        <v/>
      </c>
      <c r="K572">
        <f>IF(A572="","",IFERROR(IF(B572="",NA(),MATCH(B572,Products!$B$5:$B$204,0)),IFERROR(MATCH(A572,Products!$A$5:$A$204,0),"")))</f>
        <v/>
      </c>
      <c r="L572">
        <f>IF(A572="","",IF(K572="","⚠ not in Products",INDEX(Products!$A$5:$A$204,K572)))</f>
        <v/>
      </c>
      <c r="M572" s="11">
        <f>IF(A572="","",J572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572+IFERROR(INDEX(Settings!$D$5:$D$9,MATCH("Shopify",Settings!$A$5:$A$9,0)),0)*D572)</f>
        <v/>
      </c>
      <c r="N572" s="11">
        <f>IF(A572="","",IF(K572="",0,D572*INDEX(Products!$I$5:$I$204,K572)))</f>
        <v/>
      </c>
      <c r="O572" s="11">
        <f>IF(A572="","",IF(K572="",0,J572*INDEX(Products!$H$5:$H$204,K572)))</f>
        <v/>
      </c>
      <c r="P572" s="11">
        <f>IF(A572="","",J572-M572-N572-O572)</f>
        <v/>
      </c>
    </row>
    <row r="573">
      <c r="A573">
        <f>IFERROR(INDEX('Shopify Import'!$A:$CZ,573,Settings!$E$20)&amp;"","")</f>
        <v/>
      </c>
      <c r="B573">
        <f>IFERROR(INDEX('Shopify Import'!$A:$CZ,573,Settings!$E$21)&amp;"","")</f>
        <v/>
      </c>
      <c r="C573">
        <f>IFERROR(INDEX('Shopify Import'!$A:$CZ,573,Settings!$E$22)&amp;"","")</f>
        <v/>
      </c>
      <c r="D573">
        <f>IF(A573="","",IFERROR(VALUE(SUBSTITUTE(SUBSTITUTE(INDEX('Shopify Import'!$A:$CZ,573,Settings!$E$23)&amp;"","$",""),",","")),0))</f>
        <v/>
      </c>
      <c r="E573" s="11">
        <f>IF(A573="","",IFERROR(VALUE(SUBSTITUTE(SUBSTITUTE(INDEX('Shopify Import'!$A:$CZ,573,Settings!$E$24)&amp;"","$",""),",","")),0))</f>
        <v/>
      </c>
      <c r="F573" s="11">
        <f>IF(A573="","",D573*E573)</f>
        <v/>
      </c>
      <c r="G573">
        <f>IF(A573="","",IF(C573="",1,COUNTIF($C$2:$C$1501,C573)))</f>
        <v/>
      </c>
      <c r="H573" s="11">
        <f>IF(A573="","",IFERROR(VALUE(SUBSTITUTE(SUBSTITUTE(INDEX('Shopify Import'!$A:$CZ,573,Settings!$E$25)&amp;"","$",""),",","")),0)/IF(Settings!$D$27="Yes",G573,1))</f>
        <v/>
      </c>
      <c r="I573" s="11">
        <f>IF(A573="","",IFERROR(VALUE(SUBSTITUTE(SUBSTITUTE(INDEX('Shopify Import'!$A:$CZ,573,Settings!$E$26)&amp;"","$",""),",","")),0)/IF(Settings!$D$27="Yes",G573,1))</f>
        <v/>
      </c>
      <c r="J573" s="11">
        <f>IF(A573="","",F573+H573-I573)</f>
        <v/>
      </c>
      <c r="K573">
        <f>IF(A573="","",IFERROR(IF(B573="",NA(),MATCH(B573,Products!$B$5:$B$204,0)),IFERROR(MATCH(A573,Products!$A$5:$A$204,0),"")))</f>
        <v/>
      </c>
      <c r="L573">
        <f>IF(A573="","",IF(K573="","⚠ not in Products",INDEX(Products!$A$5:$A$204,K573)))</f>
        <v/>
      </c>
      <c r="M573" s="11">
        <f>IF(A573="","",J573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573+IFERROR(INDEX(Settings!$D$5:$D$9,MATCH("Shopify",Settings!$A$5:$A$9,0)),0)*D573)</f>
        <v/>
      </c>
      <c r="N573" s="11">
        <f>IF(A573="","",IF(K573="",0,D573*INDEX(Products!$I$5:$I$204,K573)))</f>
        <v/>
      </c>
      <c r="O573" s="11">
        <f>IF(A573="","",IF(K573="",0,J573*INDEX(Products!$H$5:$H$204,K573)))</f>
        <v/>
      </c>
      <c r="P573" s="11">
        <f>IF(A573="","",J573-M573-N573-O573)</f>
        <v/>
      </c>
    </row>
    <row r="574">
      <c r="A574">
        <f>IFERROR(INDEX('Shopify Import'!$A:$CZ,574,Settings!$E$20)&amp;"","")</f>
        <v/>
      </c>
      <c r="B574">
        <f>IFERROR(INDEX('Shopify Import'!$A:$CZ,574,Settings!$E$21)&amp;"","")</f>
        <v/>
      </c>
      <c r="C574">
        <f>IFERROR(INDEX('Shopify Import'!$A:$CZ,574,Settings!$E$22)&amp;"","")</f>
        <v/>
      </c>
      <c r="D574">
        <f>IF(A574="","",IFERROR(VALUE(SUBSTITUTE(SUBSTITUTE(INDEX('Shopify Import'!$A:$CZ,574,Settings!$E$23)&amp;"","$",""),",","")),0))</f>
        <v/>
      </c>
      <c r="E574" s="11">
        <f>IF(A574="","",IFERROR(VALUE(SUBSTITUTE(SUBSTITUTE(INDEX('Shopify Import'!$A:$CZ,574,Settings!$E$24)&amp;"","$",""),",","")),0))</f>
        <v/>
      </c>
      <c r="F574" s="11">
        <f>IF(A574="","",D574*E574)</f>
        <v/>
      </c>
      <c r="G574">
        <f>IF(A574="","",IF(C574="",1,COUNTIF($C$2:$C$1501,C574)))</f>
        <v/>
      </c>
      <c r="H574" s="11">
        <f>IF(A574="","",IFERROR(VALUE(SUBSTITUTE(SUBSTITUTE(INDEX('Shopify Import'!$A:$CZ,574,Settings!$E$25)&amp;"","$",""),",","")),0)/IF(Settings!$D$27="Yes",G574,1))</f>
        <v/>
      </c>
      <c r="I574" s="11">
        <f>IF(A574="","",IFERROR(VALUE(SUBSTITUTE(SUBSTITUTE(INDEX('Shopify Import'!$A:$CZ,574,Settings!$E$26)&amp;"","$",""),",","")),0)/IF(Settings!$D$27="Yes",G574,1))</f>
        <v/>
      </c>
      <c r="J574" s="11">
        <f>IF(A574="","",F574+H574-I574)</f>
        <v/>
      </c>
      <c r="K574">
        <f>IF(A574="","",IFERROR(IF(B574="",NA(),MATCH(B574,Products!$B$5:$B$204,0)),IFERROR(MATCH(A574,Products!$A$5:$A$204,0),"")))</f>
        <v/>
      </c>
      <c r="L574">
        <f>IF(A574="","",IF(K574="","⚠ not in Products",INDEX(Products!$A$5:$A$204,K574)))</f>
        <v/>
      </c>
      <c r="M574" s="11">
        <f>IF(A574="","",J574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574+IFERROR(INDEX(Settings!$D$5:$D$9,MATCH("Shopify",Settings!$A$5:$A$9,0)),0)*D574)</f>
        <v/>
      </c>
      <c r="N574" s="11">
        <f>IF(A574="","",IF(K574="",0,D574*INDEX(Products!$I$5:$I$204,K574)))</f>
        <v/>
      </c>
      <c r="O574" s="11">
        <f>IF(A574="","",IF(K574="",0,J574*INDEX(Products!$H$5:$H$204,K574)))</f>
        <v/>
      </c>
      <c r="P574" s="11">
        <f>IF(A574="","",J574-M574-N574-O574)</f>
        <v/>
      </c>
    </row>
    <row r="575">
      <c r="A575">
        <f>IFERROR(INDEX('Shopify Import'!$A:$CZ,575,Settings!$E$20)&amp;"","")</f>
        <v/>
      </c>
      <c r="B575">
        <f>IFERROR(INDEX('Shopify Import'!$A:$CZ,575,Settings!$E$21)&amp;"","")</f>
        <v/>
      </c>
      <c r="C575">
        <f>IFERROR(INDEX('Shopify Import'!$A:$CZ,575,Settings!$E$22)&amp;"","")</f>
        <v/>
      </c>
      <c r="D575">
        <f>IF(A575="","",IFERROR(VALUE(SUBSTITUTE(SUBSTITUTE(INDEX('Shopify Import'!$A:$CZ,575,Settings!$E$23)&amp;"","$",""),",","")),0))</f>
        <v/>
      </c>
      <c r="E575" s="11">
        <f>IF(A575="","",IFERROR(VALUE(SUBSTITUTE(SUBSTITUTE(INDEX('Shopify Import'!$A:$CZ,575,Settings!$E$24)&amp;"","$",""),",","")),0))</f>
        <v/>
      </c>
      <c r="F575" s="11">
        <f>IF(A575="","",D575*E575)</f>
        <v/>
      </c>
      <c r="G575">
        <f>IF(A575="","",IF(C575="",1,COUNTIF($C$2:$C$1501,C575)))</f>
        <v/>
      </c>
      <c r="H575" s="11">
        <f>IF(A575="","",IFERROR(VALUE(SUBSTITUTE(SUBSTITUTE(INDEX('Shopify Import'!$A:$CZ,575,Settings!$E$25)&amp;"","$",""),",","")),0)/IF(Settings!$D$27="Yes",G575,1))</f>
        <v/>
      </c>
      <c r="I575" s="11">
        <f>IF(A575="","",IFERROR(VALUE(SUBSTITUTE(SUBSTITUTE(INDEX('Shopify Import'!$A:$CZ,575,Settings!$E$26)&amp;"","$",""),",","")),0)/IF(Settings!$D$27="Yes",G575,1))</f>
        <v/>
      </c>
      <c r="J575" s="11">
        <f>IF(A575="","",F575+H575-I575)</f>
        <v/>
      </c>
      <c r="K575">
        <f>IF(A575="","",IFERROR(IF(B575="",NA(),MATCH(B575,Products!$B$5:$B$204,0)),IFERROR(MATCH(A575,Products!$A$5:$A$204,0),"")))</f>
        <v/>
      </c>
      <c r="L575">
        <f>IF(A575="","",IF(K575="","⚠ not in Products",INDEX(Products!$A$5:$A$204,K575)))</f>
        <v/>
      </c>
      <c r="M575" s="11">
        <f>IF(A575="","",J575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575+IFERROR(INDEX(Settings!$D$5:$D$9,MATCH("Shopify",Settings!$A$5:$A$9,0)),0)*D575)</f>
        <v/>
      </c>
      <c r="N575" s="11">
        <f>IF(A575="","",IF(K575="",0,D575*INDEX(Products!$I$5:$I$204,K575)))</f>
        <v/>
      </c>
      <c r="O575" s="11">
        <f>IF(A575="","",IF(K575="",0,J575*INDEX(Products!$H$5:$H$204,K575)))</f>
        <v/>
      </c>
      <c r="P575" s="11">
        <f>IF(A575="","",J575-M575-N575-O575)</f>
        <v/>
      </c>
    </row>
    <row r="576">
      <c r="A576">
        <f>IFERROR(INDEX('Shopify Import'!$A:$CZ,576,Settings!$E$20)&amp;"","")</f>
        <v/>
      </c>
      <c r="B576">
        <f>IFERROR(INDEX('Shopify Import'!$A:$CZ,576,Settings!$E$21)&amp;"","")</f>
        <v/>
      </c>
      <c r="C576">
        <f>IFERROR(INDEX('Shopify Import'!$A:$CZ,576,Settings!$E$22)&amp;"","")</f>
        <v/>
      </c>
      <c r="D576">
        <f>IF(A576="","",IFERROR(VALUE(SUBSTITUTE(SUBSTITUTE(INDEX('Shopify Import'!$A:$CZ,576,Settings!$E$23)&amp;"","$",""),",","")),0))</f>
        <v/>
      </c>
      <c r="E576" s="11">
        <f>IF(A576="","",IFERROR(VALUE(SUBSTITUTE(SUBSTITUTE(INDEX('Shopify Import'!$A:$CZ,576,Settings!$E$24)&amp;"","$",""),",","")),0))</f>
        <v/>
      </c>
      <c r="F576" s="11">
        <f>IF(A576="","",D576*E576)</f>
        <v/>
      </c>
      <c r="G576">
        <f>IF(A576="","",IF(C576="",1,COUNTIF($C$2:$C$1501,C576)))</f>
        <v/>
      </c>
      <c r="H576" s="11">
        <f>IF(A576="","",IFERROR(VALUE(SUBSTITUTE(SUBSTITUTE(INDEX('Shopify Import'!$A:$CZ,576,Settings!$E$25)&amp;"","$",""),",","")),0)/IF(Settings!$D$27="Yes",G576,1))</f>
        <v/>
      </c>
      <c r="I576" s="11">
        <f>IF(A576="","",IFERROR(VALUE(SUBSTITUTE(SUBSTITUTE(INDEX('Shopify Import'!$A:$CZ,576,Settings!$E$26)&amp;"","$",""),",","")),0)/IF(Settings!$D$27="Yes",G576,1))</f>
        <v/>
      </c>
      <c r="J576" s="11">
        <f>IF(A576="","",F576+H576-I576)</f>
        <v/>
      </c>
      <c r="K576">
        <f>IF(A576="","",IFERROR(IF(B576="",NA(),MATCH(B576,Products!$B$5:$B$204,0)),IFERROR(MATCH(A576,Products!$A$5:$A$204,0),"")))</f>
        <v/>
      </c>
      <c r="L576">
        <f>IF(A576="","",IF(K576="","⚠ not in Products",INDEX(Products!$A$5:$A$204,K576)))</f>
        <v/>
      </c>
      <c r="M576" s="11">
        <f>IF(A576="","",J576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576+IFERROR(INDEX(Settings!$D$5:$D$9,MATCH("Shopify",Settings!$A$5:$A$9,0)),0)*D576)</f>
        <v/>
      </c>
      <c r="N576" s="11">
        <f>IF(A576="","",IF(K576="",0,D576*INDEX(Products!$I$5:$I$204,K576)))</f>
        <v/>
      </c>
      <c r="O576" s="11">
        <f>IF(A576="","",IF(K576="",0,J576*INDEX(Products!$H$5:$H$204,K576)))</f>
        <v/>
      </c>
      <c r="P576" s="11">
        <f>IF(A576="","",J576-M576-N576-O576)</f>
        <v/>
      </c>
    </row>
    <row r="577">
      <c r="A577">
        <f>IFERROR(INDEX('Shopify Import'!$A:$CZ,577,Settings!$E$20)&amp;"","")</f>
        <v/>
      </c>
      <c r="B577">
        <f>IFERROR(INDEX('Shopify Import'!$A:$CZ,577,Settings!$E$21)&amp;"","")</f>
        <v/>
      </c>
      <c r="C577">
        <f>IFERROR(INDEX('Shopify Import'!$A:$CZ,577,Settings!$E$22)&amp;"","")</f>
        <v/>
      </c>
      <c r="D577">
        <f>IF(A577="","",IFERROR(VALUE(SUBSTITUTE(SUBSTITUTE(INDEX('Shopify Import'!$A:$CZ,577,Settings!$E$23)&amp;"","$",""),",","")),0))</f>
        <v/>
      </c>
      <c r="E577" s="11">
        <f>IF(A577="","",IFERROR(VALUE(SUBSTITUTE(SUBSTITUTE(INDEX('Shopify Import'!$A:$CZ,577,Settings!$E$24)&amp;"","$",""),",","")),0))</f>
        <v/>
      </c>
      <c r="F577" s="11">
        <f>IF(A577="","",D577*E577)</f>
        <v/>
      </c>
      <c r="G577">
        <f>IF(A577="","",IF(C577="",1,COUNTIF($C$2:$C$1501,C577)))</f>
        <v/>
      </c>
      <c r="H577" s="11">
        <f>IF(A577="","",IFERROR(VALUE(SUBSTITUTE(SUBSTITUTE(INDEX('Shopify Import'!$A:$CZ,577,Settings!$E$25)&amp;"","$",""),",","")),0)/IF(Settings!$D$27="Yes",G577,1))</f>
        <v/>
      </c>
      <c r="I577" s="11">
        <f>IF(A577="","",IFERROR(VALUE(SUBSTITUTE(SUBSTITUTE(INDEX('Shopify Import'!$A:$CZ,577,Settings!$E$26)&amp;"","$",""),",","")),0)/IF(Settings!$D$27="Yes",G577,1))</f>
        <v/>
      </c>
      <c r="J577" s="11">
        <f>IF(A577="","",F577+H577-I577)</f>
        <v/>
      </c>
      <c r="K577">
        <f>IF(A577="","",IFERROR(IF(B577="",NA(),MATCH(B577,Products!$B$5:$B$204,0)),IFERROR(MATCH(A577,Products!$A$5:$A$204,0),"")))</f>
        <v/>
      </c>
      <c r="L577">
        <f>IF(A577="","",IF(K577="","⚠ not in Products",INDEX(Products!$A$5:$A$204,K577)))</f>
        <v/>
      </c>
      <c r="M577" s="11">
        <f>IF(A577="","",J577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577+IFERROR(INDEX(Settings!$D$5:$D$9,MATCH("Shopify",Settings!$A$5:$A$9,0)),0)*D577)</f>
        <v/>
      </c>
      <c r="N577" s="11">
        <f>IF(A577="","",IF(K577="",0,D577*INDEX(Products!$I$5:$I$204,K577)))</f>
        <v/>
      </c>
      <c r="O577" s="11">
        <f>IF(A577="","",IF(K577="",0,J577*INDEX(Products!$H$5:$H$204,K577)))</f>
        <v/>
      </c>
      <c r="P577" s="11">
        <f>IF(A577="","",J577-M577-N577-O577)</f>
        <v/>
      </c>
    </row>
    <row r="578">
      <c r="A578">
        <f>IFERROR(INDEX('Shopify Import'!$A:$CZ,578,Settings!$E$20)&amp;"","")</f>
        <v/>
      </c>
      <c r="B578">
        <f>IFERROR(INDEX('Shopify Import'!$A:$CZ,578,Settings!$E$21)&amp;"","")</f>
        <v/>
      </c>
      <c r="C578">
        <f>IFERROR(INDEX('Shopify Import'!$A:$CZ,578,Settings!$E$22)&amp;"","")</f>
        <v/>
      </c>
      <c r="D578">
        <f>IF(A578="","",IFERROR(VALUE(SUBSTITUTE(SUBSTITUTE(INDEX('Shopify Import'!$A:$CZ,578,Settings!$E$23)&amp;"","$",""),",","")),0))</f>
        <v/>
      </c>
      <c r="E578" s="11">
        <f>IF(A578="","",IFERROR(VALUE(SUBSTITUTE(SUBSTITUTE(INDEX('Shopify Import'!$A:$CZ,578,Settings!$E$24)&amp;"","$",""),",","")),0))</f>
        <v/>
      </c>
      <c r="F578" s="11">
        <f>IF(A578="","",D578*E578)</f>
        <v/>
      </c>
      <c r="G578">
        <f>IF(A578="","",IF(C578="",1,COUNTIF($C$2:$C$1501,C578)))</f>
        <v/>
      </c>
      <c r="H578" s="11">
        <f>IF(A578="","",IFERROR(VALUE(SUBSTITUTE(SUBSTITUTE(INDEX('Shopify Import'!$A:$CZ,578,Settings!$E$25)&amp;"","$",""),",","")),0)/IF(Settings!$D$27="Yes",G578,1))</f>
        <v/>
      </c>
      <c r="I578" s="11">
        <f>IF(A578="","",IFERROR(VALUE(SUBSTITUTE(SUBSTITUTE(INDEX('Shopify Import'!$A:$CZ,578,Settings!$E$26)&amp;"","$",""),",","")),0)/IF(Settings!$D$27="Yes",G578,1))</f>
        <v/>
      </c>
      <c r="J578" s="11">
        <f>IF(A578="","",F578+H578-I578)</f>
        <v/>
      </c>
      <c r="K578">
        <f>IF(A578="","",IFERROR(IF(B578="",NA(),MATCH(B578,Products!$B$5:$B$204,0)),IFERROR(MATCH(A578,Products!$A$5:$A$204,0),"")))</f>
        <v/>
      </c>
      <c r="L578">
        <f>IF(A578="","",IF(K578="","⚠ not in Products",INDEX(Products!$A$5:$A$204,K578)))</f>
        <v/>
      </c>
      <c r="M578" s="11">
        <f>IF(A578="","",J578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578+IFERROR(INDEX(Settings!$D$5:$D$9,MATCH("Shopify",Settings!$A$5:$A$9,0)),0)*D578)</f>
        <v/>
      </c>
      <c r="N578" s="11">
        <f>IF(A578="","",IF(K578="",0,D578*INDEX(Products!$I$5:$I$204,K578)))</f>
        <v/>
      </c>
      <c r="O578" s="11">
        <f>IF(A578="","",IF(K578="",0,J578*INDEX(Products!$H$5:$H$204,K578)))</f>
        <v/>
      </c>
      <c r="P578" s="11">
        <f>IF(A578="","",J578-M578-N578-O578)</f>
        <v/>
      </c>
    </row>
    <row r="579">
      <c r="A579">
        <f>IFERROR(INDEX('Shopify Import'!$A:$CZ,579,Settings!$E$20)&amp;"","")</f>
        <v/>
      </c>
      <c r="B579">
        <f>IFERROR(INDEX('Shopify Import'!$A:$CZ,579,Settings!$E$21)&amp;"","")</f>
        <v/>
      </c>
      <c r="C579">
        <f>IFERROR(INDEX('Shopify Import'!$A:$CZ,579,Settings!$E$22)&amp;"","")</f>
        <v/>
      </c>
      <c r="D579">
        <f>IF(A579="","",IFERROR(VALUE(SUBSTITUTE(SUBSTITUTE(INDEX('Shopify Import'!$A:$CZ,579,Settings!$E$23)&amp;"","$",""),",","")),0))</f>
        <v/>
      </c>
      <c r="E579" s="11">
        <f>IF(A579="","",IFERROR(VALUE(SUBSTITUTE(SUBSTITUTE(INDEX('Shopify Import'!$A:$CZ,579,Settings!$E$24)&amp;"","$",""),",","")),0))</f>
        <v/>
      </c>
      <c r="F579" s="11">
        <f>IF(A579="","",D579*E579)</f>
        <v/>
      </c>
      <c r="G579">
        <f>IF(A579="","",IF(C579="",1,COUNTIF($C$2:$C$1501,C579)))</f>
        <v/>
      </c>
      <c r="H579" s="11">
        <f>IF(A579="","",IFERROR(VALUE(SUBSTITUTE(SUBSTITUTE(INDEX('Shopify Import'!$A:$CZ,579,Settings!$E$25)&amp;"","$",""),",","")),0)/IF(Settings!$D$27="Yes",G579,1))</f>
        <v/>
      </c>
      <c r="I579" s="11">
        <f>IF(A579="","",IFERROR(VALUE(SUBSTITUTE(SUBSTITUTE(INDEX('Shopify Import'!$A:$CZ,579,Settings!$E$26)&amp;"","$",""),",","")),0)/IF(Settings!$D$27="Yes",G579,1))</f>
        <v/>
      </c>
      <c r="J579" s="11">
        <f>IF(A579="","",F579+H579-I579)</f>
        <v/>
      </c>
      <c r="K579">
        <f>IF(A579="","",IFERROR(IF(B579="",NA(),MATCH(B579,Products!$B$5:$B$204,0)),IFERROR(MATCH(A579,Products!$A$5:$A$204,0),"")))</f>
        <v/>
      </c>
      <c r="L579">
        <f>IF(A579="","",IF(K579="","⚠ not in Products",INDEX(Products!$A$5:$A$204,K579)))</f>
        <v/>
      </c>
      <c r="M579" s="11">
        <f>IF(A579="","",J579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579+IFERROR(INDEX(Settings!$D$5:$D$9,MATCH("Shopify",Settings!$A$5:$A$9,0)),0)*D579)</f>
        <v/>
      </c>
      <c r="N579" s="11">
        <f>IF(A579="","",IF(K579="",0,D579*INDEX(Products!$I$5:$I$204,K579)))</f>
        <v/>
      </c>
      <c r="O579" s="11">
        <f>IF(A579="","",IF(K579="",0,J579*INDEX(Products!$H$5:$H$204,K579)))</f>
        <v/>
      </c>
      <c r="P579" s="11">
        <f>IF(A579="","",J579-M579-N579-O579)</f>
        <v/>
      </c>
    </row>
    <row r="580">
      <c r="A580">
        <f>IFERROR(INDEX('Shopify Import'!$A:$CZ,580,Settings!$E$20)&amp;"","")</f>
        <v/>
      </c>
      <c r="B580">
        <f>IFERROR(INDEX('Shopify Import'!$A:$CZ,580,Settings!$E$21)&amp;"","")</f>
        <v/>
      </c>
      <c r="C580">
        <f>IFERROR(INDEX('Shopify Import'!$A:$CZ,580,Settings!$E$22)&amp;"","")</f>
        <v/>
      </c>
      <c r="D580">
        <f>IF(A580="","",IFERROR(VALUE(SUBSTITUTE(SUBSTITUTE(INDEX('Shopify Import'!$A:$CZ,580,Settings!$E$23)&amp;"","$",""),",","")),0))</f>
        <v/>
      </c>
      <c r="E580" s="11">
        <f>IF(A580="","",IFERROR(VALUE(SUBSTITUTE(SUBSTITUTE(INDEX('Shopify Import'!$A:$CZ,580,Settings!$E$24)&amp;"","$",""),",","")),0))</f>
        <v/>
      </c>
      <c r="F580" s="11">
        <f>IF(A580="","",D580*E580)</f>
        <v/>
      </c>
      <c r="G580">
        <f>IF(A580="","",IF(C580="",1,COUNTIF($C$2:$C$1501,C580)))</f>
        <v/>
      </c>
      <c r="H580" s="11">
        <f>IF(A580="","",IFERROR(VALUE(SUBSTITUTE(SUBSTITUTE(INDEX('Shopify Import'!$A:$CZ,580,Settings!$E$25)&amp;"","$",""),",","")),0)/IF(Settings!$D$27="Yes",G580,1))</f>
        <v/>
      </c>
      <c r="I580" s="11">
        <f>IF(A580="","",IFERROR(VALUE(SUBSTITUTE(SUBSTITUTE(INDEX('Shopify Import'!$A:$CZ,580,Settings!$E$26)&amp;"","$",""),",","")),0)/IF(Settings!$D$27="Yes",G580,1))</f>
        <v/>
      </c>
      <c r="J580" s="11">
        <f>IF(A580="","",F580+H580-I580)</f>
        <v/>
      </c>
      <c r="K580">
        <f>IF(A580="","",IFERROR(IF(B580="",NA(),MATCH(B580,Products!$B$5:$B$204,0)),IFERROR(MATCH(A580,Products!$A$5:$A$204,0),"")))</f>
        <v/>
      </c>
      <c r="L580">
        <f>IF(A580="","",IF(K580="","⚠ not in Products",INDEX(Products!$A$5:$A$204,K580)))</f>
        <v/>
      </c>
      <c r="M580" s="11">
        <f>IF(A580="","",J580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580+IFERROR(INDEX(Settings!$D$5:$D$9,MATCH("Shopify",Settings!$A$5:$A$9,0)),0)*D580)</f>
        <v/>
      </c>
      <c r="N580" s="11">
        <f>IF(A580="","",IF(K580="",0,D580*INDEX(Products!$I$5:$I$204,K580)))</f>
        <v/>
      </c>
      <c r="O580" s="11">
        <f>IF(A580="","",IF(K580="",0,J580*INDEX(Products!$H$5:$H$204,K580)))</f>
        <v/>
      </c>
      <c r="P580" s="11">
        <f>IF(A580="","",J580-M580-N580-O580)</f>
        <v/>
      </c>
    </row>
    <row r="581">
      <c r="A581">
        <f>IFERROR(INDEX('Shopify Import'!$A:$CZ,581,Settings!$E$20)&amp;"","")</f>
        <v/>
      </c>
      <c r="B581">
        <f>IFERROR(INDEX('Shopify Import'!$A:$CZ,581,Settings!$E$21)&amp;"","")</f>
        <v/>
      </c>
      <c r="C581">
        <f>IFERROR(INDEX('Shopify Import'!$A:$CZ,581,Settings!$E$22)&amp;"","")</f>
        <v/>
      </c>
      <c r="D581">
        <f>IF(A581="","",IFERROR(VALUE(SUBSTITUTE(SUBSTITUTE(INDEX('Shopify Import'!$A:$CZ,581,Settings!$E$23)&amp;"","$",""),",","")),0))</f>
        <v/>
      </c>
      <c r="E581" s="11">
        <f>IF(A581="","",IFERROR(VALUE(SUBSTITUTE(SUBSTITUTE(INDEX('Shopify Import'!$A:$CZ,581,Settings!$E$24)&amp;"","$",""),",","")),0))</f>
        <v/>
      </c>
      <c r="F581" s="11">
        <f>IF(A581="","",D581*E581)</f>
        <v/>
      </c>
      <c r="G581">
        <f>IF(A581="","",IF(C581="",1,COUNTIF($C$2:$C$1501,C581)))</f>
        <v/>
      </c>
      <c r="H581" s="11">
        <f>IF(A581="","",IFERROR(VALUE(SUBSTITUTE(SUBSTITUTE(INDEX('Shopify Import'!$A:$CZ,581,Settings!$E$25)&amp;"","$",""),",","")),0)/IF(Settings!$D$27="Yes",G581,1))</f>
        <v/>
      </c>
      <c r="I581" s="11">
        <f>IF(A581="","",IFERROR(VALUE(SUBSTITUTE(SUBSTITUTE(INDEX('Shopify Import'!$A:$CZ,581,Settings!$E$26)&amp;"","$",""),",","")),0)/IF(Settings!$D$27="Yes",G581,1))</f>
        <v/>
      </c>
      <c r="J581" s="11">
        <f>IF(A581="","",F581+H581-I581)</f>
        <v/>
      </c>
      <c r="K581">
        <f>IF(A581="","",IFERROR(IF(B581="",NA(),MATCH(B581,Products!$B$5:$B$204,0)),IFERROR(MATCH(A581,Products!$A$5:$A$204,0),"")))</f>
        <v/>
      </c>
      <c r="L581">
        <f>IF(A581="","",IF(K581="","⚠ not in Products",INDEX(Products!$A$5:$A$204,K581)))</f>
        <v/>
      </c>
      <c r="M581" s="11">
        <f>IF(A581="","",J581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581+IFERROR(INDEX(Settings!$D$5:$D$9,MATCH("Shopify",Settings!$A$5:$A$9,0)),0)*D581)</f>
        <v/>
      </c>
      <c r="N581" s="11">
        <f>IF(A581="","",IF(K581="",0,D581*INDEX(Products!$I$5:$I$204,K581)))</f>
        <v/>
      </c>
      <c r="O581" s="11">
        <f>IF(A581="","",IF(K581="",0,J581*INDEX(Products!$H$5:$H$204,K581)))</f>
        <v/>
      </c>
      <c r="P581" s="11">
        <f>IF(A581="","",J581-M581-N581-O581)</f>
        <v/>
      </c>
    </row>
    <row r="582">
      <c r="A582">
        <f>IFERROR(INDEX('Shopify Import'!$A:$CZ,582,Settings!$E$20)&amp;"","")</f>
        <v/>
      </c>
      <c r="B582">
        <f>IFERROR(INDEX('Shopify Import'!$A:$CZ,582,Settings!$E$21)&amp;"","")</f>
        <v/>
      </c>
      <c r="C582">
        <f>IFERROR(INDEX('Shopify Import'!$A:$CZ,582,Settings!$E$22)&amp;"","")</f>
        <v/>
      </c>
      <c r="D582">
        <f>IF(A582="","",IFERROR(VALUE(SUBSTITUTE(SUBSTITUTE(INDEX('Shopify Import'!$A:$CZ,582,Settings!$E$23)&amp;"","$",""),",","")),0))</f>
        <v/>
      </c>
      <c r="E582" s="11">
        <f>IF(A582="","",IFERROR(VALUE(SUBSTITUTE(SUBSTITUTE(INDEX('Shopify Import'!$A:$CZ,582,Settings!$E$24)&amp;"","$",""),",","")),0))</f>
        <v/>
      </c>
      <c r="F582" s="11">
        <f>IF(A582="","",D582*E582)</f>
        <v/>
      </c>
      <c r="G582">
        <f>IF(A582="","",IF(C582="",1,COUNTIF($C$2:$C$1501,C582)))</f>
        <v/>
      </c>
      <c r="H582" s="11">
        <f>IF(A582="","",IFERROR(VALUE(SUBSTITUTE(SUBSTITUTE(INDEX('Shopify Import'!$A:$CZ,582,Settings!$E$25)&amp;"","$",""),",","")),0)/IF(Settings!$D$27="Yes",G582,1))</f>
        <v/>
      </c>
      <c r="I582" s="11">
        <f>IF(A582="","",IFERROR(VALUE(SUBSTITUTE(SUBSTITUTE(INDEX('Shopify Import'!$A:$CZ,582,Settings!$E$26)&amp;"","$",""),",","")),0)/IF(Settings!$D$27="Yes",G582,1))</f>
        <v/>
      </c>
      <c r="J582" s="11">
        <f>IF(A582="","",F582+H582-I582)</f>
        <v/>
      </c>
      <c r="K582">
        <f>IF(A582="","",IFERROR(IF(B582="",NA(),MATCH(B582,Products!$B$5:$B$204,0)),IFERROR(MATCH(A582,Products!$A$5:$A$204,0),"")))</f>
        <v/>
      </c>
      <c r="L582">
        <f>IF(A582="","",IF(K582="","⚠ not in Products",INDEX(Products!$A$5:$A$204,K582)))</f>
        <v/>
      </c>
      <c r="M582" s="11">
        <f>IF(A582="","",J582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582+IFERROR(INDEX(Settings!$D$5:$D$9,MATCH("Shopify",Settings!$A$5:$A$9,0)),0)*D582)</f>
        <v/>
      </c>
      <c r="N582" s="11">
        <f>IF(A582="","",IF(K582="",0,D582*INDEX(Products!$I$5:$I$204,K582)))</f>
        <v/>
      </c>
      <c r="O582" s="11">
        <f>IF(A582="","",IF(K582="",0,J582*INDEX(Products!$H$5:$H$204,K582)))</f>
        <v/>
      </c>
      <c r="P582" s="11">
        <f>IF(A582="","",J582-M582-N582-O582)</f>
        <v/>
      </c>
    </row>
    <row r="583">
      <c r="A583">
        <f>IFERROR(INDEX('Shopify Import'!$A:$CZ,583,Settings!$E$20)&amp;"","")</f>
        <v/>
      </c>
      <c r="B583">
        <f>IFERROR(INDEX('Shopify Import'!$A:$CZ,583,Settings!$E$21)&amp;"","")</f>
        <v/>
      </c>
      <c r="C583">
        <f>IFERROR(INDEX('Shopify Import'!$A:$CZ,583,Settings!$E$22)&amp;"","")</f>
        <v/>
      </c>
      <c r="D583">
        <f>IF(A583="","",IFERROR(VALUE(SUBSTITUTE(SUBSTITUTE(INDEX('Shopify Import'!$A:$CZ,583,Settings!$E$23)&amp;"","$",""),",","")),0))</f>
        <v/>
      </c>
      <c r="E583" s="11">
        <f>IF(A583="","",IFERROR(VALUE(SUBSTITUTE(SUBSTITUTE(INDEX('Shopify Import'!$A:$CZ,583,Settings!$E$24)&amp;"","$",""),",","")),0))</f>
        <v/>
      </c>
      <c r="F583" s="11">
        <f>IF(A583="","",D583*E583)</f>
        <v/>
      </c>
      <c r="G583">
        <f>IF(A583="","",IF(C583="",1,COUNTIF($C$2:$C$1501,C583)))</f>
        <v/>
      </c>
      <c r="H583" s="11">
        <f>IF(A583="","",IFERROR(VALUE(SUBSTITUTE(SUBSTITUTE(INDEX('Shopify Import'!$A:$CZ,583,Settings!$E$25)&amp;"","$",""),",","")),0)/IF(Settings!$D$27="Yes",G583,1))</f>
        <v/>
      </c>
      <c r="I583" s="11">
        <f>IF(A583="","",IFERROR(VALUE(SUBSTITUTE(SUBSTITUTE(INDEX('Shopify Import'!$A:$CZ,583,Settings!$E$26)&amp;"","$",""),",","")),0)/IF(Settings!$D$27="Yes",G583,1))</f>
        <v/>
      </c>
      <c r="J583" s="11">
        <f>IF(A583="","",F583+H583-I583)</f>
        <v/>
      </c>
      <c r="K583">
        <f>IF(A583="","",IFERROR(IF(B583="",NA(),MATCH(B583,Products!$B$5:$B$204,0)),IFERROR(MATCH(A583,Products!$A$5:$A$204,0),"")))</f>
        <v/>
      </c>
      <c r="L583">
        <f>IF(A583="","",IF(K583="","⚠ not in Products",INDEX(Products!$A$5:$A$204,K583)))</f>
        <v/>
      </c>
      <c r="M583" s="11">
        <f>IF(A583="","",J583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583+IFERROR(INDEX(Settings!$D$5:$D$9,MATCH("Shopify",Settings!$A$5:$A$9,0)),0)*D583)</f>
        <v/>
      </c>
      <c r="N583" s="11">
        <f>IF(A583="","",IF(K583="",0,D583*INDEX(Products!$I$5:$I$204,K583)))</f>
        <v/>
      </c>
      <c r="O583" s="11">
        <f>IF(A583="","",IF(K583="",0,J583*INDEX(Products!$H$5:$H$204,K583)))</f>
        <v/>
      </c>
      <c r="P583" s="11">
        <f>IF(A583="","",J583-M583-N583-O583)</f>
        <v/>
      </c>
    </row>
    <row r="584">
      <c r="A584">
        <f>IFERROR(INDEX('Shopify Import'!$A:$CZ,584,Settings!$E$20)&amp;"","")</f>
        <v/>
      </c>
      <c r="B584">
        <f>IFERROR(INDEX('Shopify Import'!$A:$CZ,584,Settings!$E$21)&amp;"","")</f>
        <v/>
      </c>
      <c r="C584">
        <f>IFERROR(INDEX('Shopify Import'!$A:$CZ,584,Settings!$E$22)&amp;"","")</f>
        <v/>
      </c>
      <c r="D584">
        <f>IF(A584="","",IFERROR(VALUE(SUBSTITUTE(SUBSTITUTE(INDEX('Shopify Import'!$A:$CZ,584,Settings!$E$23)&amp;"","$",""),",","")),0))</f>
        <v/>
      </c>
      <c r="E584" s="11">
        <f>IF(A584="","",IFERROR(VALUE(SUBSTITUTE(SUBSTITUTE(INDEX('Shopify Import'!$A:$CZ,584,Settings!$E$24)&amp;"","$",""),",","")),0))</f>
        <v/>
      </c>
      <c r="F584" s="11">
        <f>IF(A584="","",D584*E584)</f>
        <v/>
      </c>
      <c r="G584">
        <f>IF(A584="","",IF(C584="",1,COUNTIF($C$2:$C$1501,C584)))</f>
        <v/>
      </c>
      <c r="H584" s="11">
        <f>IF(A584="","",IFERROR(VALUE(SUBSTITUTE(SUBSTITUTE(INDEX('Shopify Import'!$A:$CZ,584,Settings!$E$25)&amp;"","$",""),",","")),0)/IF(Settings!$D$27="Yes",G584,1))</f>
        <v/>
      </c>
      <c r="I584" s="11">
        <f>IF(A584="","",IFERROR(VALUE(SUBSTITUTE(SUBSTITUTE(INDEX('Shopify Import'!$A:$CZ,584,Settings!$E$26)&amp;"","$",""),",","")),0)/IF(Settings!$D$27="Yes",G584,1))</f>
        <v/>
      </c>
      <c r="J584" s="11">
        <f>IF(A584="","",F584+H584-I584)</f>
        <v/>
      </c>
      <c r="K584">
        <f>IF(A584="","",IFERROR(IF(B584="",NA(),MATCH(B584,Products!$B$5:$B$204,0)),IFERROR(MATCH(A584,Products!$A$5:$A$204,0),"")))</f>
        <v/>
      </c>
      <c r="L584">
        <f>IF(A584="","",IF(K584="","⚠ not in Products",INDEX(Products!$A$5:$A$204,K584)))</f>
        <v/>
      </c>
      <c r="M584" s="11">
        <f>IF(A584="","",J584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584+IFERROR(INDEX(Settings!$D$5:$D$9,MATCH("Shopify",Settings!$A$5:$A$9,0)),0)*D584)</f>
        <v/>
      </c>
      <c r="N584" s="11">
        <f>IF(A584="","",IF(K584="",0,D584*INDEX(Products!$I$5:$I$204,K584)))</f>
        <v/>
      </c>
      <c r="O584" s="11">
        <f>IF(A584="","",IF(K584="",0,J584*INDEX(Products!$H$5:$H$204,K584)))</f>
        <v/>
      </c>
      <c r="P584" s="11">
        <f>IF(A584="","",J584-M584-N584-O584)</f>
        <v/>
      </c>
    </row>
    <row r="585">
      <c r="A585">
        <f>IFERROR(INDEX('Shopify Import'!$A:$CZ,585,Settings!$E$20)&amp;"","")</f>
        <v/>
      </c>
      <c r="B585">
        <f>IFERROR(INDEX('Shopify Import'!$A:$CZ,585,Settings!$E$21)&amp;"","")</f>
        <v/>
      </c>
      <c r="C585">
        <f>IFERROR(INDEX('Shopify Import'!$A:$CZ,585,Settings!$E$22)&amp;"","")</f>
        <v/>
      </c>
      <c r="D585">
        <f>IF(A585="","",IFERROR(VALUE(SUBSTITUTE(SUBSTITUTE(INDEX('Shopify Import'!$A:$CZ,585,Settings!$E$23)&amp;"","$",""),",","")),0))</f>
        <v/>
      </c>
      <c r="E585" s="11">
        <f>IF(A585="","",IFERROR(VALUE(SUBSTITUTE(SUBSTITUTE(INDEX('Shopify Import'!$A:$CZ,585,Settings!$E$24)&amp;"","$",""),",","")),0))</f>
        <v/>
      </c>
      <c r="F585" s="11">
        <f>IF(A585="","",D585*E585)</f>
        <v/>
      </c>
      <c r="G585">
        <f>IF(A585="","",IF(C585="",1,COUNTIF($C$2:$C$1501,C585)))</f>
        <v/>
      </c>
      <c r="H585" s="11">
        <f>IF(A585="","",IFERROR(VALUE(SUBSTITUTE(SUBSTITUTE(INDEX('Shopify Import'!$A:$CZ,585,Settings!$E$25)&amp;"","$",""),",","")),0)/IF(Settings!$D$27="Yes",G585,1))</f>
        <v/>
      </c>
      <c r="I585" s="11">
        <f>IF(A585="","",IFERROR(VALUE(SUBSTITUTE(SUBSTITUTE(INDEX('Shopify Import'!$A:$CZ,585,Settings!$E$26)&amp;"","$",""),",","")),0)/IF(Settings!$D$27="Yes",G585,1))</f>
        <v/>
      </c>
      <c r="J585" s="11">
        <f>IF(A585="","",F585+H585-I585)</f>
        <v/>
      </c>
      <c r="K585">
        <f>IF(A585="","",IFERROR(IF(B585="",NA(),MATCH(B585,Products!$B$5:$B$204,0)),IFERROR(MATCH(A585,Products!$A$5:$A$204,0),"")))</f>
        <v/>
      </c>
      <c r="L585">
        <f>IF(A585="","",IF(K585="","⚠ not in Products",INDEX(Products!$A$5:$A$204,K585)))</f>
        <v/>
      </c>
      <c r="M585" s="11">
        <f>IF(A585="","",J585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585+IFERROR(INDEX(Settings!$D$5:$D$9,MATCH("Shopify",Settings!$A$5:$A$9,0)),0)*D585)</f>
        <v/>
      </c>
      <c r="N585" s="11">
        <f>IF(A585="","",IF(K585="",0,D585*INDEX(Products!$I$5:$I$204,K585)))</f>
        <v/>
      </c>
      <c r="O585" s="11">
        <f>IF(A585="","",IF(K585="",0,J585*INDEX(Products!$H$5:$H$204,K585)))</f>
        <v/>
      </c>
      <c r="P585" s="11">
        <f>IF(A585="","",J585-M585-N585-O585)</f>
        <v/>
      </c>
    </row>
    <row r="586">
      <c r="A586">
        <f>IFERROR(INDEX('Shopify Import'!$A:$CZ,586,Settings!$E$20)&amp;"","")</f>
        <v/>
      </c>
      <c r="B586">
        <f>IFERROR(INDEX('Shopify Import'!$A:$CZ,586,Settings!$E$21)&amp;"","")</f>
        <v/>
      </c>
      <c r="C586">
        <f>IFERROR(INDEX('Shopify Import'!$A:$CZ,586,Settings!$E$22)&amp;"","")</f>
        <v/>
      </c>
      <c r="D586">
        <f>IF(A586="","",IFERROR(VALUE(SUBSTITUTE(SUBSTITUTE(INDEX('Shopify Import'!$A:$CZ,586,Settings!$E$23)&amp;"","$",""),",","")),0))</f>
        <v/>
      </c>
      <c r="E586" s="11">
        <f>IF(A586="","",IFERROR(VALUE(SUBSTITUTE(SUBSTITUTE(INDEX('Shopify Import'!$A:$CZ,586,Settings!$E$24)&amp;"","$",""),",","")),0))</f>
        <v/>
      </c>
      <c r="F586" s="11">
        <f>IF(A586="","",D586*E586)</f>
        <v/>
      </c>
      <c r="G586">
        <f>IF(A586="","",IF(C586="",1,COUNTIF($C$2:$C$1501,C586)))</f>
        <v/>
      </c>
      <c r="H586" s="11">
        <f>IF(A586="","",IFERROR(VALUE(SUBSTITUTE(SUBSTITUTE(INDEX('Shopify Import'!$A:$CZ,586,Settings!$E$25)&amp;"","$",""),",","")),0)/IF(Settings!$D$27="Yes",G586,1))</f>
        <v/>
      </c>
      <c r="I586" s="11">
        <f>IF(A586="","",IFERROR(VALUE(SUBSTITUTE(SUBSTITUTE(INDEX('Shopify Import'!$A:$CZ,586,Settings!$E$26)&amp;"","$",""),",","")),0)/IF(Settings!$D$27="Yes",G586,1))</f>
        <v/>
      </c>
      <c r="J586" s="11">
        <f>IF(A586="","",F586+H586-I586)</f>
        <v/>
      </c>
      <c r="K586">
        <f>IF(A586="","",IFERROR(IF(B586="",NA(),MATCH(B586,Products!$B$5:$B$204,0)),IFERROR(MATCH(A586,Products!$A$5:$A$204,0),"")))</f>
        <v/>
      </c>
      <c r="L586">
        <f>IF(A586="","",IF(K586="","⚠ not in Products",INDEX(Products!$A$5:$A$204,K586)))</f>
        <v/>
      </c>
      <c r="M586" s="11">
        <f>IF(A586="","",J586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586+IFERROR(INDEX(Settings!$D$5:$D$9,MATCH("Shopify",Settings!$A$5:$A$9,0)),0)*D586)</f>
        <v/>
      </c>
      <c r="N586" s="11">
        <f>IF(A586="","",IF(K586="",0,D586*INDEX(Products!$I$5:$I$204,K586)))</f>
        <v/>
      </c>
      <c r="O586" s="11">
        <f>IF(A586="","",IF(K586="",0,J586*INDEX(Products!$H$5:$H$204,K586)))</f>
        <v/>
      </c>
      <c r="P586" s="11">
        <f>IF(A586="","",J586-M586-N586-O586)</f>
        <v/>
      </c>
    </row>
    <row r="587">
      <c r="A587">
        <f>IFERROR(INDEX('Shopify Import'!$A:$CZ,587,Settings!$E$20)&amp;"","")</f>
        <v/>
      </c>
      <c r="B587">
        <f>IFERROR(INDEX('Shopify Import'!$A:$CZ,587,Settings!$E$21)&amp;"","")</f>
        <v/>
      </c>
      <c r="C587">
        <f>IFERROR(INDEX('Shopify Import'!$A:$CZ,587,Settings!$E$22)&amp;"","")</f>
        <v/>
      </c>
      <c r="D587">
        <f>IF(A587="","",IFERROR(VALUE(SUBSTITUTE(SUBSTITUTE(INDEX('Shopify Import'!$A:$CZ,587,Settings!$E$23)&amp;"","$",""),",","")),0))</f>
        <v/>
      </c>
      <c r="E587" s="11">
        <f>IF(A587="","",IFERROR(VALUE(SUBSTITUTE(SUBSTITUTE(INDEX('Shopify Import'!$A:$CZ,587,Settings!$E$24)&amp;"","$",""),",","")),0))</f>
        <v/>
      </c>
      <c r="F587" s="11">
        <f>IF(A587="","",D587*E587)</f>
        <v/>
      </c>
      <c r="G587">
        <f>IF(A587="","",IF(C587="",1,COUNTIF($C$2:$C$1501,C587)))</f>
        <v/>
      </c>
      <c r="H587" s="11">
        <f>IF(A587="","",IFERROR(VALUE(SUBSTITUTE(SUBSTITUTE(INDEX('Shopify Import'!$A:$CZ,587,Settings!$E$25)&amp;"","$",""),",","")),0)/IF(Settings!$D$27="Yes",G587,1))</f>
        <v/>
      </c>
      <c r="I587" s="11">
        <f>IF(A587="","",IFERROR(VALUE(SUBSTITUTE(SUBSTITUTE(INDEX('Shopify Import'!$A:$CZ,587,Settings!$E$26)&amp;"","$",""),",","")),0)/IF(Settings!$D$27="Yes",G587,1))</f>
        <v/>
      </c>
      <c r="J587" s="11">
        <f>IF(A587="","",F587+H587-I587)</f>
        <v/>
      </c>
      <c r="K587">
        <f>IF(A587="","",IFERROR(IF(B587="",NA(),MATCH(B587,Products!$B$5:$B$204,0)),IFERROR(MATCH(A587,Products!$A$5:$A$204,0),"")))</f>
        <v/>
      </c>
      <c r="L587">
        <f>IF(A587="","",IF(K587="","⚠ not in Products",INDEX(Products!$A$5:$A$204,K587)))</f>
        <v/>
      </c>
      <c r="M587" s="11">
        <f>IF(A587="","",J587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587+IFERROR(INDEX(Settings!$D$5:$D$9,MATCH("Shopify",Settings!$A$5:$A$9,0)),0)*D587)</f>
        <v/>
      </c>
      <c r="N587" s="11">
        <f>IF(A587="","",IF(K587="",0,D587*INDEX(Products!$I$5:$I$204,K587)))</f>
        <v/>
      </c>
      <c r="O587" s="11">
        <f>IF(A587="","",IF(K587="",0,J587*INDEX(Products!$H$5:$H$204,K587)))</f>
        <v/>
      </c>
      <c r="P587" s="11">
        <f>IF(A587="","",J587-M587-N587-O587)</f>
        <v/>
      </c>
    </row>
    <row r="588">
      <c r="A588">
        <f>IFERROR(INDEX('Shopify Import'!$A:$CZ,588,Settings!$E$20)&amp;"","")</f>
        <v/>
      </c>
      <c r="B588">
        <f>IFERROR(INDEX('Shopify Import'!$A:$CZ,588,Settings!$E$21)&amp;"","")</f>
        <v/>
      </c>
      <c r="C588">
        <f>IFERROR(INDEX('Shopify Import'!$A:$CZ,588,Settings!$E$22)&amp;"","")</f>
        <v/>
      </c>
      <c r="D588">
        <f>IF(A588="","",IFERROR(VALUE(SUBSTITUTE(SUBSTITUTE(INDEX('Shopify Import'!$A:$CZ,588,Settings!$E$23)&amp;"","$",""),",","")),0))</f>
        <v/>
      </c>
      <c r="E588" s="11">
        <f>IF(A588="","",IFERROR(VALUE(SUBSTITUTE(SUBSTITUTE(INDEX('Shopify Import'!$A:$CZ,588,Settings!$E$24)&amp;"","$",""),",","")),0))</f>
        <v/>
      </c>
      <c r="F588" s="11">
        <f>IF(A588="","",D588*E588)</f>
        <v/>
      </c>
      <c r="G588">
        <f>IF(A588="","",IF(C588="",1,COUNTIF($C$2:$C$1501,C588)))</f>
        <v/>
      </c>
      <c r="H588" s="11">
        <f>IF(A588="","",IFERROR(VALUE(SUBSTITUTE(SUBSTITUTE(INDEX('Shopify Import'!$A:$CZ,588,Settings!$E$25)&amp;"","$",""),",","")),0)/IF(Settings!$D$27="Yes",G588,1))</f>
        <v/>
      </c>
      <c r="I588" s="11">
        <f>IF(A588="","",IFERROR(VALUE(SUBSTITUTE(SUBSTITUTE(INDEX('Shopify Import'!$A:$CZ,588,Settings!$E$26)&amp;"","$",""),",","")),0)/IF(Settings!$D$27="Yes",G588,1))</f>
        <v/>
      </c>
      <c r="J588" s="11">
        <f>IF(A588="","",F588+H588-I588)</f>
        <v/>
      </c>
      <c r="K588">
        <f>IF(A588="","",IFERROR(IF(B588="",NA(),MATCH(B588,Products!$B$5:$B$204,0)),IFERROR(MATCH(A588,Products!$A$5:$A$204,0),"")))</f>
        <v/>
      </c>
      <c r="L588">
        <f>IF(A588="","",IF(K588="","⚠ not in Products",INDEX(Products!$A$5:$A$204,K588)))</f>
        <v/>
      </c>
      <c r="M588" s="11">
        <f>IF(A588="","",J588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588+IFERROR(INDEX(Settings!$D$5:$D$9,MATCH("Shopify",Settings!$A$5:$A$9,0)),0)*D588)</f>
        <v/>
      </c>
      <c r="N588" s="11">
        <f>IF(A588="","",IF(K588="",0,D588*INDEX(Products!$I$5:$I$204,K588)))</f>
        <v/>
      </c>
      <c r="O588" s="11">
        <f>IF(A588="","",IF(K588="",0,J588*INDEX(Products!$H$5:$H$204,K588)))</f>
        <v/>
      </c>
      <c r="P588" s="11">
        <f>IF(A588="","",J588-M588-N588-O588)</f>
        <v/>
      </c>
    </row>
    <row r="589">
      <c r="A589">
        <f>IFERROR(INDEX('Shopify Import'!$A:$CZ,589,Settings!$E$20)&amp;"","")</f>
        <v/>
      </c>
      <c r="B589">
        <f>IFERROR(INDEX('Shopify Import'!$A:$CZ,589,Settings!$E$21)&amp;"","")</f>
        <v/>
      </c>
      <c r="C589">
        <f>IFERROR(INDEX('Shopify Import'!$A:$CZ,589,Settings!$E$22)&amp;"","")</f>
        <v/>
      </c>
      <c r="D589">
        <f>IF(A589="","",IFERROR(VALUE(SUBSTITUTE(SUBSTITUTE(INDEX('Shopify Import'!$A:$CZ,589,Settings!$E$23)&amp;"","$",""),",","")),0))</f>
        <v/>
      </c>
      <c r="E589" s="11">
        <f>IF(A589="","",IFERROR(VALUE(SUBSTITUTE(SUBSTITUTE(INDEX('Shopify Import'!$A:$CZ,589,Settings!$E$24)&amp;"","$",""),",","")),0))</f>
        <v/>
      </c>
      <c r="F589" s="11">
        <f>IF(A589="","",D589*E589)</f>
        <v/>
      </c>
      <c r="G589">
        <f>IF(A589="","",IF(C589="",1,COUNTIF($C$2:$C$1501,C589)))</f>
        <v/>
      </c>
      <c r="H589" s="11">
        <f>IF(A589="","",IFERROR(VALUE(SUBSTITUTE(SUBSTITUTE(INDEX('Shopify Import'!$A:$CZ,589,Settings!$E$25)&amp;"","$",""),",","")),0)/IF(Settings!$D$27="Yes",G589,1))</f>
        <v/>
      </c>
      <c r="I589" s="11">
        <f>IF(A589="","",IFERROR(VALUE(SUBSTITUTE(SUBSTITUTE(INDEX('Shopify Import'!$A:$CZ,589,Settings!$E$26)&amp;"","$",""),",","")),0)/IF(Settings!$D$27="Yes",G589,1))</f>
        <v/>
      </c>
      <c r="J589" s="11">
        <f>IF(A589="","",F589+H589-I589)</f>
        <v/>
      </c>
      <c r="K589">
        <f>IF(A589="","",IFERROR(IF(B589="",NA(),MATCH(B589,Products!$B$5:$B$204,0)),IFERROR(MATCH(A589,Products!$A$5:$A$204,0),"")))</f>
        <v/>
      </c>
      <c r="L589">
        <f>IF(A589="","",IF(K589="","⚠ not in Products",INDEX(Products!$A$5:$A$204,K589)))</f>
        <v/>
      </c>
      <c r="M589" s="11">
        <f>IF(A589="","",J589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589+IFERROR(INDEX(Settings!$D$5:$D$9,MATCH("Shopify",Settings!$A$5:$A$9,0)),0)*D589)</f>
        <v/>
      </c>
      <c r="N589" s="11">
        <f>IF(A589="","",IF(K589="",0,D589*INDEX(Products!$I$5:$I$204,K589)))</f>
        <v/>
      </c>
      <c r="O589" s="11">
        <f>IF(A589="","",IF(K589="",0,J589*INDEX(Products!$H$5:$H$204,K589)))</f>
        <v/>
      </c>
      <c r="P589" s="11">
        <f>IF(A589="","",J589-M589-N589-O589)</f>
        <v/>
      </c>
    </row>
    <row r="590">
      <c r="A590">
        <f>IFERROR(INDEX('Shopify Import'!$A:$CZ,590,Settings!$E$20)&amp;"","")</f>
        <v/>
      </c>
      <c r="B590">
        <f>IFERROR(INDEX('Shopify Import'!$A:$CZ,590,Settings!$E$21)&amp;"","")</f>
        <v/>
      </c>
      <c r="C590">
        <f>IFERROR(INDEX('Shopify Import'!$A:$CZ,590,Settings!$E$22)&amp;"","")</f>
        <v/>
      </c>
      <c r="D590">
        <f>IF(A590="","",IFERROR(VALUE(SUBSTITUTE(SUBSTITUTE(INDEX('Shopify Import'!$A:$CZ,590,Settings!$E$23)&amp;"","$",""),",","")),0))</f>
        <v/>
      </c>
      <c r="E590" s="11">
        <f>IF(A590="","",IFERROR(VALUE(SUBSTITUTE(SUBSTITUTE(INDEX('Shopify Import'!$A:$CZ,590,Settings!$E$24)&amp;"","$",""),",","")),0))</f>
        <v/>
      </c>
      <c r="F590" s="11">
        <f>IF(A590="","",D590*E590)</f>
        <v/>
      </c>
      <c r="G590">
        <f>IF(A590="","",IF(C590="",1,COUNTIF($C$2:$C$1501,C590)))</f>
        <v/>
      </c>
      <c r="H590" s="11">
        <f>IF(A590="","",IFERROR(VALUE(SUBSTITUTE(SUBSTITUTE(INDEX('Shopify Import'!$A:$CZ,590,Settings!$E$25)&amp;"","$",""),",","")),0)/IF(Settings!$D$27="Yes",G590,1))</f>
        <v/>
      </c>
      <c r="I590" s="11">
        <f>IF(A590="","",IFERROR(VALUE(SUBSTITUTE(SUBSTITUTE(INDEX('Shopify Import'!$A:$CZ,590,Settings!$E$26)&amp;"","$",""),",","")),0)/IF(Settings!$D$27="Yes",G590,1))</f>
        <v/>
      </c>
      <c r="J590" s="11">
        <f>IF(A590="","",F590+H590-I590)</f>
        <v/>
      </c>
      <c r="K590">
        <f>IF(A590="","",IFERROR(IF(B590="",NA(),MATCH(B590,Products!$B$5:$B$204,0)),IFERROR(MATCH(A590,Products!$A$5:$A$204,0),"")))</f>
        <v/>
      </c>
      <c r="L590">
        <f>IF(A590="","",IF(K590="","⚠ not in Products",INDEX(Products!$A$5:$A$204,K590)))</f>
        <v/>
      </c>
      <c r="M590" s="11">
        <f>IF(A590="","",J590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590+IFERROR(INDEX(Settings!$D$5:$D$9,MATCH("Shopify",Settings!$A$5:$A$9,0)),0)*D590)</f>
        <v/>
      </c>
      <c r="N590" s="11">
        <f>IF(A590="","",IF(K590="",0,D590*INDEX(Products!$I$5:$I$204,K590)))</f>
        <v/>
      </c>
      <c r="O590" s="11">
        <f>IF(A590="","",IF(K590="",0,J590*INDEX(Products!$H$5:$H$204,K590)))</f>
        <v/>
      </c>
      <c r="P590" s="11">
        <f>IF(A590="","",J590-M590-N590-O590)</f>
        <v/>
      </c>
    </row>
    <row r="591">
      <c r="A591">
        <f>IFERROR(INDEX('Shopify Import'!$A:$CZ,591,Settings!$E$20)&amp;"","")</f>
        <v/>
      </c>
      <c r="B591">
        <f>IFERROR(INDEX('Shopify Import'!$A:$CZ,591,Settings!$E$21)&amp;"","")</f>
        <v/>
      </c>
      <c r="C591">
        <f>IFERROR(INDEX('Shopify Import'!$A:$CZ,591,Settings!$E$22)&amp;"","")</f>
        <v/>
      </c>
      <c r="D591">
        <f>IF(A591="","",IFERROR(VALUE(SUBSTITUTE(SUBSTITUTE(INDEX('Shopify Import'!$A:$CZ,591,Settings!$E$23)&amp;"","$",""),",","")),0))</f>
        <v/>
      </c>
      <c r="E591" s="11">
        <f>IF(A591="","",IFERROR(VALUE(SUBSTITUTE(SUBSTITUTE(INDEX('Shopify Import'!$A:$CZ,591,Settings!$E$24)&amp;"","$",""),",","")),0))</f>
        <v/>
      </c>
      <c r="F591" s="11">
        <f>IF(A591="","",D591*E591)</f>
        <v/>
      </c>
      <c r="G591">
        <f>IF(A591="","",IF(C591="",1,COUNTIF($C$2:$C$1501,C591)))</f>
        <v/>
      </c>
      <c r="H591" s="11">
        <f>IF(A591="","",IFERROR(VALUE(SUBSTITUTE(SUBSTITUTE(INDEX('Shopify Import'!$A:$CZ,591,Settings!$E$25)&amp;"","$",""),",","")),0)/IF(Settings!$D$27="Yes",G591,1))</f>
        <v/>
      </c>
      <c r="I591" s="11">
        <f>IF(A591="","",IFERROR(VALUE(SUBSTITUTE(SUBSTITUTE(INDEX('Shopify Import'!$A:$CZ,591,Settings!$E$26)&amp;"","$",""),",","")),0)/IF(Settings!$D$27="Yes",G591,1))</f>
        <v/>
      </c>
      <c r="J591" s="11">
        <f>IF(A591="","",F591+H591-I591)</f>
        <v/>
      </c>
      <c r="K591">
        <f>IF(A591="","",IFERROR(IF(B591="",NA(),MATCH(B591,Products!$B$5:$B$204,0)),IFERROR(MATCH(A591,Products!$A$5:$A$204,0),"")))</f>
        <v/>
      </c>
      <c r="L591">
        <f>IF(A591="","",IF(K591="","⚠ not in Products",INDEX(Products!$A$5:$A$204,K591)))</f>
        <v/>
      </c>
      <c r="M591" s="11">
        <f>IF(A591="","",J591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591+IFERROR(INDEX(Settings!$D$5:$D$9,MATCH("Shopify",Settings!$A$5:$A$9,0)),0)*D591)</f>
        <v/>
      </c>
      <c r="N591" s="11">
        <f>IF(A591="","",IF(K591="",0,D591*INDEX(Products!$I$5:$I$204,K591)))</f>
        <v/>
      </c>
      <c r="O591" s="11">
        <f>IF(A591="","",IF(K591="",0,J591*INDEX(Products!$H$5:$H$204,K591)))</f>
        <v/>
      </c>
      <c r="P591" s="11">
        <f>IF(A591="","",J591-M591-N591-O591)</f>
        <v/>
      </c>
    </row>
    <row r="592">
      <c r="A592">
        <f>IFERROR(INDEX('Shopify Import'!$A:$CZ,592,Settings!$E$20)&amp;"","")</f>
        <v/>
      </c>
      <c r="B592">
        <f>IFERROR(INDEX('Shopify Import'!$A:$CZ,592,Settings!$E$21)&amp;"","")</f>
        <v/>
      </c>
      <c r="C592">
        <f>IFERROR(INDEX('Shopify Import'!$A:$CZ,592,Settings!$E$22)&amp;"","")</f>
        <v/>
      </c>
      <c r="D592">
        <f>IF(A592="","",IFERROR(VALUE(SUBSTITUTE(SUBSTITUTE(INDEX('Shopify Import'!$A:$CZ,592,Settings!$E$23)&amp;"","$",""),",","")),0))</f>
        <v/>
      </c>
      <c r="E592" s="11">
        <f>IF(A592="","",IFERROR(VALUE(SUBSTITUTE(SUBSTITUTE(INDEX('Shopify Import'!$A:$CZ,592,Settings!$E$24)&amp;"","$",""),",","")),0))</f>
        <v/>
      </c>
      <c r="F592" s="11">
        <f>IF(A592="","",D592*E592)</f>
        <v/>
      </c>
      <c r="G592">
        <f>IF(A592="","",IF(C592="",1,COUNTIF($C$2:$C$1501,C592)))</f>
        <v/>
      </c>
      <c r="H592" s="11">
        <f>IF(A592="","",IFERROR(VALUE(SUBSTITUTE(SUBSTITUTE(INDEX('Shopify Import'!$A:$CZ,592,Settings!$E$25)&amp;"","$",""),",","")),0)/IF(Settings!$D$27="Yes",G592,1))</f>
        <v/>
      </c>
      <c r="I592" s="11">
        <f>IF(A592="","",IFERROR(VALUE(SUBSTITUTE(SUBSTITUTE(INDEX('Shopify Import'!$A:$CZ,592,Settings!$E$26)&amp;"","$",""),",","")),0)/IF(Settings!$D$27="Yes",G592,1))</f>
        <v/>
      </c>
      <c r="J592" s="11">
        <f>IF(A592="","",F592+H592-I592)</f>
        <v/>
      </c>
      <c r="K592">
        <f>IF(A592="","",IFERROR(IF(B592="",NA(),MATCH(B592,Products!$B$5:$B$204,0)),IFERROR(MATCH(A592,Products!$A$5:$A$204,0),"")))</f>
        <v/>
      </c>
      <c r="L592">
        <f>IF(A592="","",IF(K592="","⚠ not in Products",INDEX(Products!$A$5:$A$204,K592)))</f>
        <v/>
      </c>
      <c r="M592" s="11">
        <f>IF(A592="","",J592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592+IFERROR(INDEX(Settings!$D$5:$D$9,MATCH("Shopify",Settings!$A$5:$A$9,0)),0)*D592)</f>
        <v/>
      </c>
      <c r="N592" s="11">
        <f>IF(A592="","",IF(K592="",0,D592*INDEX(Products!$I$5:$I$204,K592)))</f>
        <v/>
      </c>
      <c r="O592" s="11">
        <f>IF(A592="","",IF(K592="",0,J592*INDEX(Products!$H$5:$H$204,K592)))</f>
        <v/>
      </c>
      <c r="P592" s="11">
        <f>IF(A592="","",J592-M592-N592-O592)</f>
        <v/>
      </c>
    </row>
    <row r="593">
      <c r="A593">
        <f>IFERROR(INDEX('Shopify Import'!$A:$CZ,593,Settings!$E$20)&amp;"","")</f>
        <v/>
      </c>
      <c r="B593">
        <f>IFERROR(INDEX('Shopify Import'!$A:$CZ,593,Settings!$E$21)&amp;"","")</f>
        <v/>
      </c>
      <c r="C593">
        <f>IFERROR(INDEX('Shopify Import'!$A:$CZ,593,Settings!$E$22)&amp;"","")</f>
        <v/>
      </c>
      <c r="D593">
        <f>IF(A593="","",IFERROR(VALUE(SUBSTITUTE(SUBSTITUTE(INDEX('Shopify Import'!$A:$CZ,593,Settings!$E$23)&amp;"","$",""),",","")),0))</f>
        <v/>
      </c>
      <c r="E593" s="11">
        <f>IF(A593="","",IFERROR(VALUE(SUBSTITUTE(SUBSTITUTE(INDEX('Shopify Import'!$A:$CZ,593,Settings!$E$24)&amp;"","$",""),",","")),0))</f>
        <v/>
      </c>
      <c r="F593" s="11">
        <f>IF(A593="","",D593*E593)</f>
        <v/>
      </c>
      <c r="G593">
        <f>IF(A593="","",IF(C593="",1,COUNTIF($C$2:$C$1501,C593)))</f>
        <v/>
      </c>
      <c r="H593" s="11">
        <f>IF(A593="","",IFERROR(VALUE(SUBSTITUTE(SUBSTITUTE(INDEX('Shopify Import'!$A:$CZ,593,Settings!$E$25)&amp;"","$",""),",","")),0)/IF(Settings!$D$27="Yes",G593,1))</f>
        <v/>
      </c>
      <c r="I593" s="11">
        <f>IF(A593="","",IFERROR(VALUE(SUBSTITUTE(SUBSTITUTE(INDEX('Shopify Import'!$A:$CZ,593,Settings!$E$26)&amp;"","$",""),",","")),0)/IF(Settings!$D$27="Yes",G593,1))</f>
        <v/>
      </c>
      <c r="J593" s="11">
        <f>IF(A593="","",F593+H593-I593)</f>
        <v/>
      </c>
      <c r="K593">
        <f>IF(A593="","",IFERROR(IF(B593="",NA(),MATCH(B593,Products!$B$5:$B$204,0)),IFERROR(MATCH(A593,Products!$A$5:$A$204,0),"")))</f>
        <v/>
      </c>
      <c r="L593">
        <f>IF(A593="","",IF(K593="","⚠ not in Products",INDEX(Products!$A$5:$A$204,K593)))</f>
        <v/>
      </c>
      <c r="M593" s="11">
        <f>IF(A593="","",J593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593+IFERROR(INDEX(Settings!$D$5:$D$9,MATCH("Shopify",Settings!$A$5:$A$9,0)),0)*D593)</f>
        <v/>
      </c>
      <c r="N593" s="11">
        <f>IF(A593="","",IF(K593="",0,D593*INDEX(Products!$I$5:$I$204,K593)))</f>
        <v/>
      </c>
      <c r="O593" s="11">
        <f>IF(A593="","",IF(K593="",0,J593*INDEX(Products!$H$5:$H$204,K593)))</f>
        <v/>
      </c>
      <c r="P593" s="11">
        <f>IF(A593="","",J593-M593-N593-O593)</f>
        <v/>
      </c>
    </row>
    <row r="594">
      <c r="A594">
        <f>IFERROR(INDEX('Shopify Import'!$A:$CZ,594,Settings!$E$20)&amp;"","")</f>
        <v/>
      </c>
      <c r="B594">
        <f>IFERROR(INDEX('Shopify Import'!$A:$CZ,594,Settings!$E$21)&amp;"","")</f>
        <v/>
      </c>
      <c r="C594">
        <f>IFERROR(INDEX('Shopify Import'!$A:$CZ,594,Settings!$E$22)&amp;"","")</f>
        <v/>
      </c>
      <c r="D594">
        <f>IF(A594="","",IFERROR(VALUE(SUBSTITUTE(SUBSTITUTE(INDEX('Shopify Import'!$A:$CZ,594,Settings!$E$23)&amp;"","$",""),",","")),0))</f>
        <v/>
      </c>
      <c r="E594" s="11">
        <f>IF(A594="","",IFERROR(VALUE(SUBSTITUTE(SUBSTITUTE(INDEX('Shopify Import'!$A:$CZ,594,Settings!$E$24)&amp;"","$",""),",","")),0))</f>
        <v/>
      </c>
      <c r="F594" s="11">
        <f>IF(A594="","",D594*E594)</f>
        <v/>
      </c>
      <c r="G594">
        <f>IF(A594="","",IF(C594="",1,COUNTIF($C$2:$C$1501,C594)))</f>
        <v/>
      </c>
      <c r="H594" s="11">
        <f>IF(A594="","",IFERROR(VALUE(SUBSTITUTE(SUBSTITUTE(INDEX('Shopify Import'!$A:$CZ,594,Settings!$E$25)&amp;"","$",""),",","")),0)/IF(Settings!$D$27="Yes",G594,1))</f>
        <v/>
      </c>
      <c r="I594" s="11">
        <f>IF(A594="","",IFERROR(VALUE(SUBSTITUTE(SUBSTITUTE(INDEX('Shopify Import'!$A:$CZ,594,Settings!$E$26)&amp;"","$",""),",","")),0)/IF(Settings!$D$27="Yes",G594,1))</f>
        <v/>
      </c>
      <c r="J594" s="11">
        <f>IF(A594="","",F594+H594-I594)</f>
        <v/>
      </c>
      <c r="K594">
        <f>IF(A594="","",IFERROR(IF(B594="",NA(),MATCH(B594,Products!$B$5:$B$204,0)),IFERROR(MATCH(A594,Products!$A$5:$A$204,0),"")))</f>
        <v/>
      </c>
      <c r="L594">
        <f>IF(A594="","",IF(K594="","⚠ not in Products",INDEX(Products!$A$5:$A$204,K594)))</f>
        <v/>
      </c>
      <c r="M594" s="11">
        <f>IF(A594="","",J594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594+IFERROR(INDEX(Settings!$D$5:$D$9,MATCH("Shopify",Settings!$A$5:$A$9,0)),0)*D594)</f>
        <v/>
      </c>
      <c r="N594" s="11">
        <f>IF(A594="","",IF(K594="",0,D594*INDEX(Products!$I$5:$I$204,K594)))</f>
        <v/>
      </c>
      <c r="O594" s="11">
        <f>IF(A594="","",IF(K594="",0,J594*INDEX(Products!$H$5:$H$204,K594)))</f>
        <v/>
      </c>
      <c r="P594" s="11">
        <f>IF(A594="","",J594-M594-N594-O594)</f>
        <v/>
      </c>
    </row>
    <row r="595">
      <c r="A595">
        <f>IFERROR(INDEX('Shopify Import'!$A:$CZ,595,Settings!$E$20)&amp;"","")</f>
        <v/>
      </c>
      <c r="B595">
        <f>IFERROR(INDEX('Shopify Import'!$A:$CZ,595,Settings!$E$21)&amp;"","")</f>
        <v/>
      </c>
      <c r="C595">
        <f>IFERROR(INDEX('Shopify Import'!$A:$CZ,595,Settings!$E$22)&amp;"","")</f>
        <v/>
      </c>
      <c r="D595">
        <f>IF(A595="","",IFERROR(VALUE(SUBSTITUTE(SUBSTITUTE(INDEX('Shopify Import'!$A:$CZ,595,Settings!$E$23)&amp;"","$",""),",","")),0))</f>
        <v/>
      </c>
      <c r="E595" s="11">
        <f>IF(A595="","",IFERROR(VALUE(SUBSTITUTE(SUBSTITUTE(INDEX('Shopify Import'!$A:$CZ,595,Settings!$E$24)&amp;"","$",""),",","")),0))</f>
        <v/>
      </c>
      <c r="F595" s="11">
        <f>IF(A595="","",D595*E595)</f>
        <v/>
      </c>
      <c r="G595">
        <f>IF(A595="","",IF(C595="",1,COUNTIF($C$2:$C$1501,C595)))</f>
        <v/>
      </c>
      <c r="H595" s="11">
        <f>IF(A595="","",IFERROR(VALUE(SUBSTITUTE(SUBSTITUTE(INDEX('Shopify Import'!$A:$CZ,595,Settings!$E$25)&amp;"","$",""),",","")),0)/IF(Settings!$D$27="Yes",G595,1))</f>
        <v/>
      </c>
      <c r="I595" s="11">
        <f>IF(A595="","",IFERROR(VALUE(SUBSTITUTE(SUBSTITUTE(INDEX('Shopify Import'!$A:$CZ,595,Settings!$E$26)&amp;"","$",""),",","")),0)/IF(Settings!$D$27="Yes",G595,1))</f>
        <v/>
      </c>
      <c r="J595" s="11">
        <f>IF(A595="","",F595+H595-I595)</f>
        <v/>
      </c>
      <c r="K595">
        <f>IF(A595="","",IFERROR(IF(B595="",NA(),MATCH(B595,Products!$B$5:$B$204,0)),IFERROR(MATCH(A595,Products!$A$5:$A$204,0),"")))</f>
        <v/>
      </c>
      <c r="L595">
        <f>IF(A595="","",IF(K595="","⚠ not in Products",INDEX(Products!$A$5:$A$204,K595)))</f>
        <v/>
      </c>
      <c r="M595" s="11">
        <f>IF(A595="","",J595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595+IFERROR(INDEX(Settings!$D$5:$D$9,MATCH("Shopify",Settings!$A$5:$A$9,0)),0)*D595)</f>
        <v/>
      </c>
      <c r="N595" s="11">
        <f>IF(A595="","",IF(K595="",0,D595*INDEX(Products!$I$5:$I$204,K595)))</f>
        <v/>
      </c>
      <c r="O595" s="11">
        <f>IF(A595="","",IF(K595="",0,J595*INDEX(Products!$H$5:$H$204,K595)))</f>
        <v/>
      </c>
      <c r="P595" s="11">
        <f>IF(A595="","",J595-M595-N595-O595)</f>
        <v/>
      </c>
    </row>
    <row r="596">
      <c r="A596">
        <f>IFERROR(INDEX('Shopify Import'!$A:$CZ,596,Settings!$E$20)&amp;"","")</f>
        <v/>
      </c>
      <c r="B596">
        <f>IFERROR(INDEX('Shopify Import'!$A:$CZ,596,Settings!$E$21)&amp;"","")</f>
        <v/>
      </c>
      <c r="C596">
        <f>IFERROR(INDEX('Shopify Import'!$A:$CZ,596,Settings!$E$22)&amp;"","")</f>
        <v/>
      </c>
      <c r="D596">
        <f>IF(A596="","",IFERROR(VALUE(SUBSTITUTE(SUBSTITUTE(INDEX('Shopify Import'!$A:$CZ,596,Settings!$E$23)&amp;"","$",""),",","")),0))</f>
        <v/>
      </c>
      <c r="E596" s="11">
        <f>IF(A596="","",IFERROR(VALUE(SUBSTITUTE(SUBSTITUTE(INDEX('Shopify Import'!$A:$CZ,596,Settings!$E$24)&amp;"","$",""),",","")),0))</f>
        <v/>
      </c>
      <c r="F596" s="11">
        <f>IF(A596="","",D596*E596)</f>
        <v/>
      </c>
      <c r="G596">
        <f>IF(A596="","",IF(C596="",1,COUNTIF($C$2:$C$1501,C596)))</f>
        <v/>
      </c>
      <c r="H596" s="11">
        <f>IF(A596="","",IFERROR(VALUE(SUBSTITUTE(SUBSTITUTE(INDEX('Shopify Import'!$A:$CZ,596,Settings!$E$25)&amp;"","$",""),",","")),0)/IF(Settings!$D$27="Yes",G596,1))</f>
        <v/>
      </c>
      <c r="I596" s="11">
        <f>IF(A596="","",IFERROR(VALUE(SUBSTITUTE(SUBSTITUTE(INDEX('Shopify Import'!$A:$CZ,596,Settings!$E$26)&amp;"","$",""),",","")),0)/IF(Settings!$D$27="Yes",G596,1))</f>
        <v/>
      </c>
      <c r="J596" s="11">
        <f>IF(A596="","",F596+H596-I596)</f>
        <v/>
      </c>
      <c r="K596">
        <f>IF(A596="","",IFERROR(IF(B596="",NA(),MATCH(B596,Products!$B$5:$B$204,0)),IFERROR(MATCH(A596,Products!$A$5:$A$204,0),"")))</f>
        <v/>
      </c>
      <c r="L596">
        <f>IF(A596="","",IF(K596="","⚠ not in Products",INDEX(Products!$A$5:$A$204,K596)))</f>
        <v/>
      </c>
      <c r="M596" s="11">
        <f>IF(A596="","",J596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596+IFERROR(INDEX(Settings!$D$5:$D$9,MATCH("Shopify",Settings!$A$5:$A$9,0)),0)*D596)</f>
        <v/>
      </c>
      <c r="N596" s="11">
        <f>IF(A596="","",IF(K596="",0,D596*INDEX(Products!$I$5:$I$204,K596)))</f>
        <v/>
      </c>
      <c r="O596" s="11">
        <f>IF(A596="","",IF(K596="",0,J596*INDEX(Products!$H$5:$H$204,K596)))</f>
        <v/>
      </c>
      <c r="P596" s="11">
        <f>IF(A596="","",J596-M596-N596-O596)</f>
        <v/>
      </c>
    </row>
    <row r="597">
      <c r="A597">
        <f>IFERROR(INDEX('Shopify Import'!$A:$CZ,597,Settings!$E$20)&amp;"","")</f>
        <v/>
      </c>
      <c r="B597">
        <f>IFERROR(INDEX('Shopify Import'!$A:$CZ,597,Settings!$E$21)&amp;"","")</f>
        <v/>
      </c>
      <c r="C597">
        <f>IFERROR(INDEX('Shopify Import'!$A:$CZ,597,Settings!$E$22)&amp;"","")</f>
        <v/>
      </c>
      <c r="D597">
        <f>IF(A597="","",IFERROR(VALUE(SUBSTITUTE(SUBSTITUTE(INDEX('Shopify Import'!$A:$CZ,597,Settings!$E$23)&amp;"","$",""),",","")),0))</f>
        <v/>
      </c>
      <c r="E597" s="11">
        <f>IF(A597="","",IFERROR(VALUE(SUBSTITUTE(SUBSTITUTE(INDEX('Shopify Import'!$A:$CZ,597,Settings!$E$24)&amp;"","$",""),",","")),0))</f>
        <v/>
      </c>
      <c r="F597" s="11">
        <f>IF(A597="","",D597*E597)</f>
        <v/>
      </c>
      <c r="G597">
        <f>IF(A597="","",IF(C597="",1,COUNTIF($C$2:$C$1501,C597)))</f>
        <v/>
      </c>
      <c r="H597" s="11">
        <f>IF(A597="","",IFERROR(VALUE(SUBSTITUTE(SUBSTITUTE(INDEX('Shopify Import'!$A:$CZ,597,Settings!$E$25)&amp;"","$",""),",","")),0)/IF(Settings!$D$27="Yes",G597,1))</f>
        <v/>
      </c>
      <c r="I597" s="11">
        <f>IF(A597="","",IFERROR(VALUE(SUBSTITUTE(SUBSTITUTE(INDEX('Shopify Import'!$A:$CZ,597,Settings!$E$26)&amp;"","$",""),",","")),0)/IF(Settings!$D$27="Yes",G597,1))</f>
        <v/>
      </c>
      <c r="J597" s="11">
        <f>IF(A597="","",F597+H597-I597)</f>
        <v/>
      </c>
      <c r="K597">
        <f>IF(A597="","",IFERROR(IF(B597="",NA(),MATCH(B597,Products!$B$5:$B$204,0)),IFERROR(MATCH(A597,Products!$A$5:$A$204,0),"")))</f>
        <v/>
      </c>
      <c r="L597">
        <f>IF(A597="","",IF(K597="","⚠ not in Products",INDEX(Products!$A$5:$A$204,K597)))</f>
        <v/>
      </c>
      <c r="M597" s="11">
        <f>IF(A597="","",J597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597+IFERROR(INDEX(Settings!$D$5:$D$9,MATCH("Shopify",Settings!$A$5:$A$9,0)),0)*D597)</f>
        <v/>
      </c>
      <c r="N597" s="11">
        <f>IF(A597="","",IF(K597="",0,D597*INDEX(Products!$I$5:$I$204,K597)))</f>
        <v/>
      </c>
      <c r="O597" s="11">
        <f>IF(A597="","",IF(K597="",0,J597*INDEX(Products!$H$5:$H$204,K597)))</f>
        <v/>
      </c>
      <c r="P597" s="11">
        <f>IF(A597="","",J597-M597-N597-O597)</f>
        <v/>
      </c>
    </row>
    <row r="598">
      <c r="A598">
        <f>IFERROR(INDEX('Shopify Import'!$A:$CZ,598,Settings!$E$20)&amp;"","")</f>
        <v/>
      </c>
      <c r="B598">
        <f>IFERROR(INDEX('Shopify Import'!$A:$CZ,598,Settings!$E$21)&amp;"","")</f>
        <v/>
      </c>
      <c r="C598">
        <f>IFERROR(INDEX('Shopify Import'!$A:$CZ,598,Settings!$E$22)&amp;"","")</f>
        <v/>
      </c>
      <c r="D598">
        <f>IF(A598="","",IFERROR(VALUE(SUBSTITUTE(SUBSTITUTE(INDEX('Shopify Import'!$A:$CZ,598,Settings!$E$23)&amp;"","$",""),",","")),0))</f>
        <v/>
      </c>
      <c r="E598" s="11">
        <f>IF(A598="","",IFERROR(VALUE(SUBSTITUTE(SUBSTITUTE(INDEX('Shopify Import'!$A:$CZ,598,Settings!$E$24)&amp;"","$",""),",","")),0))</f>
        <v/>
      </c>
      <c r="F598" s="11">
        <f>IF(A598="","",D598*E598)</f>
        <v/>
      </c>
      <c r="G598">
        <f>IF(A598="","",IF(C598="",1,COUNTIF($C$2:$C$1501,C598)))</f>
        <v/>
      </c>
      <c r="H598" s="11">
        <f>IF(A598="","",IFERROR(VALUE(SUBSTITUTE(SUBSTITUTE(INDEX('Shopify Import'!$A:$CZ,598,Settings!$E$25)&amp;"","$",""),",","")),0)/IF(Settings!$D$27="Yes",G598,1))</f>
        <v/>
      </c>
      <c r="I598" s="11">
        <f>IF(A598="","",IFERROR(VALUE(SUBSTITUTE(SUBSTITUTE(INDEX('Shopify Import'!$A:$CZ,598,Settings!$E$26)&amp;"","$",""),",","")),0)/IF(Settings!$D$27="Yes",G598,1))</f>
        <v/>
      </c>
      <c r="J598" s="11">
        <f>IF(A598="","",F598+H598-I598)</f>
        <v/>
      </c>
      <c r="K598">
        <f>IF(A598="","",IFERROR(IF(B598="",NA(),MATCH(B598,Products!$B$5:$B$204,0)),IFERROR(MATCH(A598,Products!$A$5:$A$204,0),"")))</f>
        <v/>
      </c>
      <c r="L598">
        <f>IF(A598="","",IF(K598="","⚠ not in Products",INDEX(Products!$A$5:$A$204,K598)))</f>
        <v/>
      </c>
      <c r="M598" s="11">
        <f>IF(A598="","",J598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598+IFERROR(INDEX(Settings!$D$5:$D$9,MATCH("Shopify",Settings!$A$5:$A$9,0)),0)*D598)</f>
        <v/>
      </c>
      <c r="N598" s="11">
        <f>IF(A598="","",IF(K598="",0,D598*INDEX(Products!$I$5:$I$204,K598)))</f>
        <v/>
      </c>
      <c r="O598" s="11">
        <f>IF(A598="","",IF(K598="",0,J598*INDEX(Products!$H$5:$H$204,K598)))</f>
        <v/>
      </c>
      <c r="P598" s="11">
        <f>IF(A598="","",J598-M598-N598-O598)</f>
        <v/>
      </c>
    </row>
    <row r="599">
      <c r="A599">
        <f>IFERROR(INDEX('Shopify Import'!$A:$CZ,599,Settings!$E$20)&amp;"","")</f>
        <v/>
      </c>
      <c r="B599">
        <f>IFERROR(INDEX('Shopify Import'!$A:$CZ,599,Settings!$E$21)&amp;"","")</f>
        <v/>
      </c>
      <c r="C599">
        <f>IFERROR(INDEX('Shopify Import'!$A:$CZ,599,Settings!$E$22)&amp;"","")</f>
        <v/>
      </c>
      <c r="D599">
        <f>IF(A599="","",IFERROR(VALUE(SUBSTITUTE(SUBSTITUTE(INDEX('Shopify Import'!$A:$CZ,599,Settings!$E$23)&amp;"","$",""),",","")),0))</f>
        <v/>
      </c>
      <c r="E599" s="11">
        <f>IF(A599="","",IFERROR(VALUE(SUBSTITUTE(SUBSTITUTE(INDEX('Shopify Import'!$A:$CZ,599,Settings!$E$24)&amp;"","$",""),",","")),0))</f>
        <v/>
      </c>
      <c r="F599" s="11">
        <f>IF(A599="","",D599*E599)</f>
        <v/>
      </c>
      <c r="G599">
        <f>IF(A599="","",IF(C599="",1,COUNTIF($C$2:$C$1501,C599)))</f>
        <v/>
      </c>
      <c r="H599" s="11">
        <f>IF(A599="","",IFERROR(VALUE(SUBSTITUTE(SUBSTITUTE(INDEX('Shopify Import'!$A:$CZ,599,Settings!$E$25)&amp;"","$",""),",","")),0)/IF(Settings!$D$27="Yes",G599,1))</f>
        <v/>
      </c>
      <c r="I599" s="11">
        <f>IF(A599="","",IFERROR(VALUE(SUBSTITUTE(SUBSTITUTE(INDEX('Shopify Import'!$A:$CZ,599,Settings!$E$26)&amp;"","$",""),",","")),0)/IF(Settings!$D$27="Yes",G599,1))</f>
        <v/>
      </c>
      <c r="J599" s="11">
        <f>IF(A599="","",F599+H599-I599)</f>
        <v/>
      </c>
      <c r="K599">
        <f>IF(A599="","",IFERROR(IF(B599="",NA(),MATCH(B599,Products!$B$5:$B$204,0)),IFERROR(MATCH(A599,Products!$A$5:$A$204,0),"")))</f>
        <v/>
      </c>
      <c r="L599">
        <f>IF(A599="","",IF(K599="","⚠ not in Products",INDEX(Products!$A$5:$A$204,K599)))</f>
        <v/>
      </c>
      <c r="M599" s="11">
        <f>IF(A599="","",J599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599+IFERROR(INDEX(Settings!$D$5:$D$9,MATCH("Shopify",Settings!$A$5:$A$9,0)),0)*D599)</f>
        <v/>
      </c>
      <c r="N599" s="11">
        <f>IF(A599="","",IF(K599="",0,D599*INDEX(Products!$I$5:$I$204,K599)))</f>
        <v/>
      </c>
      <c r="O599" s="11">
        <f>IF(A599="","",IF(K599="",0,J599*INDEX(Products!$H$5:$H$204,K599)))</f>
        <v/>
      </c>
      <c r="P599" s="11">
        <f>IF(A599="","",J599-M599-N599-O599)</f>
        <v/>
      </c>
    </row>
    <row r="600">
      <c r="A600">
        <f>IFERROR(INDEX('Shopify Import'!$A:$CZ,600,Settings!$E$20)&amp;"","")</f>
        <v/>
      </c>
      <c r="B600">
        <f>IFERROR(INDEX('Shopify Import'!$A:$CZ,600,Settings!$E$21)&amp;"","")</f>
        <v/>
      </c>
      <c r="C600">
        <f>IFERROR(INDEX('Shopify Import'!$A:$CZ,600,Settings!$E$22)&amp;"","")</f>
        <v/>
      </c>
      <c r="D600">
        <f>IF(A600="","",IFERROR(VALUE(SUBSTITUTE(SUBSTITUTE(INDEX('Shopify Import'!$A:$CZ,600,Settings!$E$23)&amp;"","$",""),",","")),0))</f>
        <v/>
      </c>
      <c r="E600" s="11">
        <f>IF(A600="","",IFERROR(VALUE(SUBSTITUTE(SUBSTITUTE(INDEX('Shopify Import'!$A:$CZ,600,Settings!$E$24)&amp;"","$",""),",","")),0))</f>
        <v/>
      </c>
      <c r="F600" s="11">
        <f>IF(A600="","",D600*E600)</f>
        <v/>
      </c>
      <c r="G600">
        <f>IF(A600="","",IF(C600="",1,COUNTIF($C$2:$C$1501,C600)))</f>
        <v/>
      </c>
      <c r="H600" s="11">
        <f>IF(A600="","",IFERROR(VALUE(SUBSTITUTE(SUBSTITUTE(INDEX('Shopify Import'!$A:$CZ,600,Settings!$E$25)&amp;"","$",""),",","")),0)/IF(Settings!$D$27="Yes",G600,1))</f>
        <v/>
      </c>
      <c r="I600" s="11">
        <f>IF(A600="","",IFERROR(VALUE(SUBSTITUTE(SUBSTITUTE(INDEX('Shopify Import'!$A:$CZ,600,Settings!$E$26)&amp;"","$",""),",","")),0)/IF(Settings!$D$27="Yes",G600,1))</f>
        <v/>
      </c>
      <c r="J600" s="11">
        <f>IF(A600="","",F600+H600-I600)</f>
        <v/>
      </c>
      <c r="K600">
        <f>IF(A600="","",IFERROR(IF(B600="",NA(),MATCH(B600,Products!$B$5:$B$204,0)),IFERROR(MATCH(A600,Products!$A$5:$A$204,0),"")))</f>
        <v/>
      </c>
      <c r="L600">
        <f>IF(A600="","",IF(K600="","⚠ not in Products",INDEX(Products!$A$5:$A$204,K600)))</f>
        <v/>
      </c>
      <c r="M600" s="11">
        <f>IF(A600="","",J600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600+IFERROR(INDEX(Settings!$D$5:$D$9,MATCH("Shopify",Settings!$A$5:$A$9,0)),0)*D600)</f>
        <v/>
      </c>
      <c r="N600" s="11">
        <f>IF(A600="","",IF(K600="",0,D600*INDEX(Products!$I$5:$I$204,K600)))</f>
        <v/>
      </c>
      <c r="O600" s="11">
        <f>IF(A600="","",IF(K600="",0,J600*INDEX(Products!$H$5:$H$204,K600)))</f>
        <v/>
      </c>
      <c r="P600" s="11">
        <f>IF(A600="","",J600-M600-N600-O600)</f>
        <v/>
      </c>
    </row>
    <row r="601">
      <c r="A601">
        <f>IFERROR(INDEX('Shopify Import'!$A:$CZ,601,Settings!$E$20)&amp;"","")</f>
        <v/>
      </c>
      <c r="B601">
        <f>IFERROR(INDEX('Shopify Import'!$A:$CZ,601,Settings!$E$21)&amp;"","")</f>
        <v/>
      </c>
      <c r="C601">
        <f>IFERROR(INDEX('Shopify Import'!$A:$CZ,601,Settings!$E$22)&amp;"","")</f>
        <v/>
      </c>
      <c r="D601">
        <f>IF(A601="","",IFERROR(VALUE(SUBSTITUTE(SUBSTITUTE(INDEX('Shopify Import'!$A:$CZ,601,Settings!$E$23)&amp;"","$",""),",","")),0))</f>
        <v/>
      </c>
      <c r="E601" s="11">
        <f>IF(A601="","",IFERROR(VALUE(SUBSTITUTE(SUBSTITUTE(INDEX('Shopify Import'!$A:$CZ,601,Settings!$E$24)&amp;"","$",""),",","")),0))</f>
        <v/>
      </c>
      <c r="F601" s="11">
        <f>IF(A601="","",D601*E601)</f>
        <v/>
      </c>
      <c r="G601">
        <f>IF(A601="","",IF(C601="",1,COUNTIF($C$2:$C$1501,C601)))</f>
        <v/>
      </c>
      <c r="H601" s="11">
        <f>IF(A601="","",IFERROR(VALUE(SUBSTITUTE(SUBSTITUTE(INDEX('Shopify Import'!$A:$CZ,601,Settings!$E$25)&amp;"","$",""),",","")),0)/IF(Settings!$D$27="Yes",G601,1))</f>
        <v/>
      </c>
      <c r="I601" s="11">
        <f>IF(A601="","",IFERROR(VALUE(SUBSTITUTE(SUBSTITUTE(INDEX('Shopify Import'!$A:$CZ,601,Settings!$E$26)&amp;"","$",""),",","")),0)/IF(Settings!$D$27="Yes",G601,1))</f>
        <v/>
      </c>
      <c r="J601" s="11">
        <f>IF(A601="","",F601+H601-I601)</f>
        <v/>
      </c>
      <c r="K601">
        <f>IF(A601="","",IFERROR(IF(B601="",NA(),MATCH(B601,Products!$B$5:$B$204,0)),IFERROR(MATCH(A601,Products!$A$5:$A$204,0),"")))</f>
        <v/>
      </c>
      <c r="L601">
        <f>IF(A601="","",IF(K601="","⚠ not in Products",INDEX(Products!$A$5:$A$204,K601)))</f>
        <v/>
      </c>
      <c r="M601" s="11">
        <f>IF(A601="","",J601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601+IFERROR(INDEX(Settings!$D$5:$D$9,MATCH("Shopify",Settings!$A$5:$A$9,0)),0)*D601)</f>
        <v/>
      </c>
      <c r="N601" s="11">
        <f>IF(A601="","",IF(K601="",0,D601*INDEX(Products!$I$5:$I$204,K601)))</f>
        <v/>
      </c>
      <c r="O601" s="11">
        <f>IF(A601="","",IF(K601="",0,J601*INDEX(Products!$H$5:$H$204,K601)))</f>
        <v/>
      </c>
      <c r="P601" s="11">
        <f>IF(A601="","",J601-M601-N601-O601)</f>
        <v/>
      </c>
    </row>
    <row r="602">
      <c r="A602">
        <f>IFERROR(INDEX('Shopify Import'!$A:$CZ,602,Settings!$E$20)&amp;"","")</f>
        <v/>
      </c>
      <c r="B602">
        <f>IFERROR(INDEX('Shopify Import'!$A:$CZ,602,Settings!$E$21)&amp;"","")</f>
        <v/>
      </c>
      <c r="C602">
        <f>IFERROR(INDEX('Shopify Import'!$A:$CZ,602,Settings!$E$22)&amp;"","")</f>
        <v/>
      </c>
      <c r="D602">
        <f>IF(A602="","",IFERROR(VALUE(SUBSTITUTE(SUBSTITUTE(INDEX('Shopify Import'!$A:$CZ,602,Settings!$E$23)&amp;"","$",""),",","")),0))</f>
        <v/>
      </c>
      <c r="E602" s="11">
        <f>IF(A602="","",IFERROR(VALUE(SUBSTITUTE(SUBSTITUTE(INDEX('Shopify Import'!$A:$CZ,602,Settings!$E$24)&amp;"","$",""),",","")),0))</f>
        <v/>
      </c>
      <c r="F602" s="11">
        <f>IF(A602="","",D602*E602)</f>
        <v/>
      </c>
      <c r="G602">
        <f>IF(A602="","",IF(C602="",1,COUNTIF($C$2:$C$1501,C602)))</f>
        <v/>
      </c>
      <c r="H602" s="11">
        <f>IF(A602="","",IFERROR(VALUE(SUBSTITUTE(SUBSTITUTE(INDEX('Shopify Import'!$A:$CZ,602,Settings!$E$25)&amp;"","$",""),",","")),0)/IF(Settings!$D$27="Yes",G602,1))</f>
        <v/>
      </c>
      <c r="I602" s="11">
        <f>IF(A602="","",IFERROR(VALUE(SUBSTITUTE(SUBSTITUTE(INDEX('Shopify Import'!$A:$CZ,602,Settings!$E$26)&amp;"","$",""),",","")),0)/IF(Settings!$D$27="Yes",G602,1))</f>
        <v/>
      </c>
      <c r="J602" s="11">
        <f>IF(A602="","",F602+H602-I602)</f>
        <v/>
      </c>
      <c r="K602">
        <f>IF(A602="","",IFERROR(IF(B602="",NA(),MATCH(B602,Products!$B$5:$B$204,0)),IFERROR(MATCH(A602,Products!$A$5:$A$204,0),"")))</f>
        <v/>
      </c>
      <c r="L602">
        <f>IF(A602="","",IF(K602="","⚠ not in Products",INDEX(Products!$A$5:$A$204,K602)))</f>
        <v/>
      </c>
      <c r="M602" s="11">
        <f>IF(A602="","",J602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602+IFERROR(INDEX(Settings!$D$5:$D$9,MATCH("Shopify",Settings!$A$5:$A$9,0)),0)*D602)</f>
        <v/>
      </c>
      <c r="N602" s="11">
        <f>IF(A602="","",IF(K602="",0,D602*INDEX(Products!$I$5:$I$204,K602)))</f>
        <v/>
      </c>
      <c r="O602" s="11">
        <f>IF(A602="","",IF(K602="",0,J602*INDEX(Products!$H$5:$H$204,K602)))</f>
        <v/>
      </c>
      <c r="P602" s="11">
        <f>IF(A602="","",J602-M602-N602-O602)</f>
        <v/>
      </c>
    </row>
    <row r="603">
      <c r="A603">
        <f>IFERROR(INDEX('Shopify Import'!$A:$CZ,603,Settings!$E$20)&amp;"","")</f>
        <v/>
      </c>
      <c r="B603">
        <f>IFERROR(INDEX('Shopify Import'!$A:$CZ,603,Settings!$E$21)&amp;"","")</f>
        <v/>
      </c>
      <c r="C603">
        <f>IFERROR(INDEX('Shopify Import'!$A:$CZ,603,Settings!$E$22)&amp;"","")</f>
        <v/>
      </c>
      <c r="D603">
        <f>IF(A603="","",IFERROR(VALUE(SUBSTITUTE(SUBSTITUTE(INDEX('Shopify Import'!$A:$CZ,603,Settings!$E$23)&amp;"","$",""),",","")),0))</f>
        <v/>
      </c>
      <c r="E603" s="11">
        <f>IF(A603="","",IFERROR(VALUE(SUBSTITUTE(SUBSTITUTE(INDEX('Shopify Import'!$A:$CZ,603,Settings!$E$24)&amp;"","$",""),",","")),0))</f>
        <v/>
      </c>
      <c r="F603" s="11">
        <f>IF(A603="","",D603*E603)</f>
        <v/>
      </c>
      <c r="G603">
        <f>IF(A603="","",IF(C603="",1,COUNTIF($C$2:$C$1501,C603)))</f>
        <v/>
      </c>
      <c r="H603" s="11">
        <f>IF(A603="","",IFERROR(VALUE(SUBSTITUTE(SUBSTITUTE(INDEX('Shopify Import'!$A:$CZ,603,Settings!$E$25)&amp;"","$",""),",","")),0)/IF(Settings!$D$27="Yes",G603,1))</f>
        <v/>
      </c>
      <c r="I603" s="11">
        <f>IF(A603="","",IFERROR(VALUE(SUBSTITUTE(SUBSTITUTE(INDEX('Shopify Import'!$A:$CZ,603,Settings!$E$26)&amp;"","$",""),",","")),0)/IF(Settings!$D$27="Yes",G603,1))</f>
        <v/>
      </c>
      <c r="J603" s="11">
        <f>IF(A603="","",F603+H603-I603)</f>
        <v/>
      </c>
      <c r="K603">
        <f>IF(A603="","",IFERROR(IF(B603="",NA(),MATCH(B603,Products!$B$5:$B$204,0)),IFERROR(MATCH(A603,Products!$A$5:$A$204,0),"")))</f>
        <v/>
      </c>
      <c r="L603">
        <f>IF(A603="","",IF(K603="","⚠ not in Products",INDEX(Products!$A$5:$A$204,K603)))</f>
        <v/>
      </c>
      <c r="M603" s="11">
        <f>IF(A603="","",J603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603+IFERROR(INDEX(Settings!$D$5:$D$9,MATCH("Shopify",Settings!$A$5:$A$9,0)),0)*D603)</f>
        <v/>
      </c>
      <c r="N603" s="11">
        <f>IF(A603="","",IF(K603="",0,D603*INDEX(Products!$I$5:$I$204,K603)))</f>
        <v/>
      </c>
      <c r="O603" s="11">
        <f>IF(A603="","",IF(K603="",0,J603*INDEX(Products!$H$5:$H$204,K603)))</f>
        <v/>
      </c>
      <c r="P603" s="11">
        <f>IF(A603="","",J603-M603-N603-O603)</f>
        <v/>
      </c>
    </row>
    <row r="604">
      <c r="A604">
        <f>IFERROR(INDEX('Shopify Import'!$A:$CZ,604,Settings!$E$20)&amp;"","")</f>
        <v/>
      </c>
      <c r="B604">
        <f>IFERROR(INDEX('Shopify Import'!$A:$CZ,604,Settings!$E$21)&amp;"","")</f>
        <v/>
      </c>
      <c r="C604">
        <f>IFERROR(INDEX('Shopify Import'!$A:$CZ,604,Settings!$E$22)&amp;"","")</f>
        <v/>
      </c>
      <c r="D604">
        <f>IF(A604="","",IFERROR(VALUE(SUBSTITUTE(SUBSTITUTE(INDEX('Shopify Import'!$A:$CZ,604,Settings!$E$23)&amp;"","$",""),",","")),0))</f>
        <v/>
      </c>
      <c r="E604" s="11">
        <f>IF(A604="","",IFERROR(VALUE(SUBSTITUTE(SUBSTITUTE(INDEX('Shopify Import'!$A:$CZ,604,Settings!$E$24)&amp;"","$",""),",","")),0))</f>
        <v/>
      </c>
      <c r="F604" s="11">
        <f>IF(A604="","",D604*E604)</f>
        <v/>
      </c>
      <c r="G604">
        <f>IF(A604="","",IF(C604="",1,COUNTIF($C$2:$C$1501,C604)))</f>
        <v/>
      </c>
      <c r="H604" s="11">
        <f>IF(A604="","",IFERROR(VALUE(SUBSTITUTE(SUBSTITUTE(INDEX('Shopify Import'!$A:$CZ,604,Settings!$E$25)&amp;"","$",""),",","")),0)/IF(Settings!$D$27="Yes",G604,1))</f>
        <v/>
      </c>
      <c r="I604" s="11">
        <f>IF(A604="","",IFERROR(VALUE(SUBSTITUTE(SUBSTITUTE(INDEX('Shopify Import'!$A:$CZ,604,Settings!$E$26)&amp;"","$",""),",","")),0)/IF(Settings!$D$27="Yes",G604,1))</f>
        <v/>
      </c>
      <c r="J604" s="11">
        <f>IF(A604="","",F604+H604-I604)</f>
        <v/>
      </c>
      <c r="K604">
        <f>IF(A604="","",IFERROR(IF(B604="",NA(),MATCH(B604,Products!$B$5:$B$204,0)),IFERROR(MATCH(A604,Products!$A$5:$A$204,0),"")))</f>
        <v/>
      </c>
      <c r="L604">
        <f>IF(A604="","",IF(K604="","⚠ not in Products",INDEX(Products!$A$5:$A$204,K604)))</f>
        <v/>
      </c>
      <c r="M604" s="11">
        <f>IF(A604="","",J604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604+IFERROR(INDEX(Settings!$D$5:$D$9,MATCH("Shopify",Settings!$A$5:$A$9,0)),0)*D604)</f>
        <v/>
      </c>
      <c r="N604" s="11">
        <f>IF(A604="","",IF(K604="",0,D604*INDEX(Products!$I$5:$I$204,K604)))</f>
        <v/>
      </c>
      <c r="O604" s="11">
        <f>IF(A604="","",IF(K604="",0,J604*INDEX(Products!$H$5:$H$204,K604)))</f>
        <v/>
      </c>
      <c r="P604" s="11">
        <f>IF(A604="","",J604-M604-N604-O604)</f>
        <v/>
      </c>
    </row>
    <row r="605">
      <c r="A605">
        <f>IFERROR(INDEX('Shopify Import'!$A:$CZ,605,Settings!$E$20)&amp;"","")</f>
        <v/>
      </c>
      <c r="B605">
        <f>IFERROR(INDEX('Shopify Import'!$A:$CZ,605,Settings!$E$21)&amp;"","")</f>
        <v/>
      </c>
      <c r="C605">
        <f>IFERROR(INDEX('Shopify Import'!$A:$CZ,605,Settings!$E$22)&amp;"","")</f>
        <v/>
      </c>
      <c r="D605">
        <f>IF(A605="","",IFERROR(VALUE(SUBSTITUTE(SUBSTITUTE(INDEX('Shopify Import'!$A:$CZ,605,Settings!$E$23)&amp;"","$",""),",","")),0))</f>
        <v/>
      </c>
      <c r="E605" s="11">
        <f>IF(A605="","",IFERROR(VALUE(SUBSTITUTE(SUBSTITUTE(INDEX('Shopify Import'!$A:$CZ,605,Settings!$E$24)&amp;"","$",""),",","")),0))</f>
        <v/>
      </c>
      <c r="F605" s="11">
        <f>IF(A605="","",D605*E605)</f>
        <v/>
      </c>
      <c r="G605">
        <f>IF(A605="","",IF(C605="",1,COUNTIF($C$2:$C$1501,C605)))</f>
        <v/>
      </c>
      <c r="H605" s="11">
        <f>IF(A605="","",IFERROR(VALUE(SUBSTITUTE(SUBSTITUTE(INDEX('Shopify Import'!$A:$CZ,605,Settings!$E$25)&amp;"","$",""),",","")),0)/IF(Settings!$D$27="Yes",G605,1))</f>
        <v/>
      </c>
      <c r="I605" s="11">
        <f>IF(A605="","",IFERROR(VALUE(SUBSTITUTE(SUBSTITUTE(INDEX('Shopify Import'!$A:$CZ,605,Settings!$E$26)&amp;"","$",""),",","")),0)/IF(Settings!$D$27="Yes",G605,1))</f>
        <v/>
      </c>
      <c r="J605" s="11">
        <f>IF(A605="","",F605+H605-I605)</f>
        <v/>
      </c>
      <c r="K605">
        <f>IF(A605="","",IFERROR(IF(B605="",NA(),MATCH(B605,Products!$B$5:$B$204,0)),IFERROR(MATCH(A605,Products!$A$5:$A$204,0),"")))</f>
        <v/>
      </c>
      <c r="L605">
        <f>IF(A605="","",IF(K605="","⚠ not in Products",INDEX(Products!$A$5:$A$204,K605)))</f>
        <v/>
      </c>
      <c r="M605" s="11">
        <f>IF(A605="","",J605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605+IFERROR(INDEX(Settings!$D$5:$D$9,MATCH("Shopify",Settings!$A$5:$A$9,0)),0)*D605)</f>
        <v/>
      </c>
      <c r="N605" s="11">
        <f>IF(A605="","",IF(K605="",0,D605*INDEX(Products!$I$5:$I$204,K605)))</f>
        <v/>
      </c>
      <c r="O605" s="11">
        <f>IF(A605="","",IF(K605="",0,J605*INDEX(Products!$H$5:$H$204,K605)))</f>
        <v/>
      </c>
      <c r="P605" s="11">
        <f>IF(A605="","",J605-M605-N605-O605)</f>
        <v/>
      </c>
    </row>
    <row r="606">
      <c r="A606">
        <f>IFERROR(INDEX('Shopify Import'!$A:$CZ,606,Settings!$E$20)&amp;"","")</f>
        <v/>
      </c>
      <c r="B606">
        <f>IFERROR(INDEX('Shopify Import'!$A:$CZ,606,Settings!$E$21)&amp;"","")</f>
        <v/>
      </c>
      <c r="C606">
        <f>IFERROR(INDEX('Shopify Import'!$A:$CZ,606,Settings!$E$22)&amp;"","")</f>
        <v/>
      </c>
      <c r="D606">
        <f>IF(A606="","",IFERROR(VALUE(SUBSTITUTE(SUBSTITUTE(INDEX('Shopify Import'!$A:$CZ,606,Settings!$E$23)&amp;"","$",""),",","")),0))</f>
        <v/>
      </c>
      <c r="E606" s="11">
        <f>IF(A606="","",IFERROR(VALUE(SUBSTITUTE(SUBSTITUTE(INDEX('Shopify Import'!$A:$CZ,606,Settings!$E$24)&amp;"","$",""),",","")),0))</f>
        <v/>
      </c>
      <c r="F606" s="11">
        <f>IF(A606="","",D606*E606)</f>
        <v/>
      </c>
      <c r="G606">
        <f>IF(A606="","",IF(C606="",1,COUNTIF($C$2:$C$1501,C606)))</f>
        <v/>
      </c>
      <c r="H606" s="11">
        <f>IF(A606="","",IFERROR(VALUE(SUBSTITUTE(SUBSTITUTE(INDEX('Shopify Import'!$A:$CZ,606,Settings!$E$25)&amp;"","$",""),",","")),0)/IF(Settings!$D$27="Yes",G606,1))</f>
        <v/>
      </c>
      <c r="I606" s="11">
        <f>IF(A606="","",IFERROR(VALUE(SUBSTITUTE(SUBSTITUTE(INDEX('Shopify Import'!$A:$CZ,606,Settings!$E$26)&amp;"","$",""),",","")),0)/IF(Settings!$D$27="Yes",G606,1))</f>
        <v/>
      </c>
      <c r="J606" s="11">
        <f>IF(A606="","",F606+H606-I606)</f>
        <v/>
      </c>
      <c r="K606">
        <f>IF(A606="","",IFERROR(IF(B606="",NA(),MATCH(B606,Products!$B$5:$B$204,0)),IFERROR(MATCH(A606,Products!$A$5:$A$204,0),"")))</f>
        <v/>
      </c>
      <c r="L606">
        <f>IF(A606="","",IF(K606="","⚠ not in Products",INDEX(Products!$A$5:$A$204,K606)))</f>
        <v/>
      </c>
      <c r="M606" s="11">
        <f>IF(A606="","",J606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606+IFERROR(INDEX(Settings!$D$5:$D$9,MATCH("Shopify",Settings!$A$5:$A$9,0)),0)*D606)</f>
        <v/>
      </c>
      <c r="N606" s="11">
        <f>IF(A606="","",IF(K606="",0,D606*INDEX(Products!$I$5:$I$204,K606)))</f>
        <v/>
      </c>
      <c r="O606" s="11">
        <f>IF(A606="","",IF(K606="",0,J606*INDEX(Products!$H$5:$H$204,K606)))</f>
        <v/>
      </c>
      <c r="P606" s="11">
        <f>IF(A606="","",J606-M606-N606-O606)</f>
        <v/>
      </c>
    </row>
    <row r="607">
      <c r="A607">
        <f>IFERROR(INDEX('Shopify Import'!$A:$CZ,607,Settings!$E$20)&amp;"","")</f>
        <v/>
      </c>
      <c r="B607">
        <f>IFERROR(INDEX('Shopify Import'!$A:$CZ,607,Settings!$E$21)&amp;"","")</f>
        <v/>
      </c>
      <c r="C607">
        <f>IFERROR(INDEX('Shopify Import'!$A:$CZ,607,Settings!$E$22)&amp;"","")</f>
        <v/>
      </c>
      <c r="D607">
        <f>IF(A607="","",IFERROR(VALUE(SUBSTITUTE(SUBSTITUTE(INDEX('Shopify Import'!$A:$CZ,607,Settings!$E$23)&amp;"","$",""),",","")),0))</f>
        <v/>
      </c>
      <c r="E607" s="11">
        <f>IF(A607="","",IFERROR(VALUE(SUBSTITUTE(SUBSTITUTE(INDEX('Shopify Import'!$A:$CZ,607,Settings!$E$24)&amp;"","$",""),",","")),0))</f>
        <v/>
      </c>
      <c r="F607" s="11">
        <f>IF(A607="","",D607*E607)</f>
        <v/>
      </c>
      <c r="G607">
        <f>IF(A607="","",IF(C607="",1,COUNTIF($C$2:$C$1501,C607)))</f>
        <v/>
      </c>
      <c r="H607" s="11">
        <f>IF(A607="","",IFERROR(VALUE(SUBSTITUTE(SUBSTITUTE(INDEX('Shopify Import'!$A:$CZ,607,Settings!$E$25)&amp;"","$",""),",","")),0)/IF(Settings!$D$27="Yes",G607,1))</f>
        <v/>
      </c>
      <c r="I607" s="11">
        <f>IF(A607="","",IFERROR(VALUE(SUBSTITUTE(SUBSTITUTE(INDEX('Shopify Import'!$A:$CZ,607,Settings!$E$26)&amp;"","$",""),",","")),0)/IF(Settings!$D$27="Yes",G607,1))</f>
        <v/>
      </c>
      <c r="J607" s="11">
        <f>IF(A607="","",F607+H607-I607)</f>
        <v/>
      </c>
      <c r="K607">
        <f>IF(A607="","",IFERROR(IF(B607="",NA(),MATCH(B607,Products!$B$5:$B$204,0)),IFERROR(MATCH(A607,Products!$A$5:$A$204,0),"")))</f>
        <v/>
      </c>
      <c r="L607">
        <f>IF(A607="","",IF(K607="","⚠ not in Products",INDEX(Products!$A$5:$A$204,K607)))</f>
        <v/>
      </c>
      <c r="M607" s="11">
        <f>IF(A607="","",J607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607+IFERROR(INDEX(Settings!$D$5:$D$9,MATCH("Shopify",Settings!$A$5:$A$9,0)),0)*D607)</f>
        <v/>
      </c>
      <c r="N607" s="11">
        <f>IF(A607="","",IF(K607="",0,D607*INDEX(Products!$I$5:$I$204,K607)))</f>
        <v/>
      </c>
      <c r="O607" s="11">
        <f>IF(A607="","",IF(K607="",0,J607*INDEX(Products!$H$5:$H$204,K607)))</f>
        <v/>
      </c>
      <c r="P607" s="11">
        <f>IF(A607="","",J607-M607-N607-O607)</f>
        <v/>
      </c>
    </row>
    <row r="608">
      <c r="A608">
        <f>IFERROR(INDEX('Shopify Import'!$A:$CZ,608,Settings!$E$20)&amp;"","")</f>
        <v/>
      </c>
      <c r="B608">
        <f>IFERROR(INDEX('Shopify Import'!$A:$CZ,608,Settings!$E$21)&amp;"","")</f>
        <v/>
      </c>
      <c r="C608">
        <f>IFERROR(INDEX('Shopify Import'!$A:$CZ,608,Settings!$E$22)&amp;"","")</f>
        <v/>
      </c>
      <c r="D608">
        <f>IF(A608="","",IFERROR(VALUE(SUBSTITUTE(SUBSTITUTE(INDEX('Shopify Import'!$A:$CZ,608,Settings!$E$23)&amp;"","$",""),",","")),0))</f>
        <v/>
      </c>
      <c r="E608" s="11">
        <f>IF(A608="","",IFERROR(VALUE(SUBSTITUTE(SUBSTITUTE(INDEX('Shopify Import'!$A:$CZ,608,Settings!$E$24)&amp;"","$",""),",","")),0))</f>
        <v/>
      </c>
      <c r="F608" s="11">
        <f>IF(A608="","",D608*E608)</f>
        <v/>
      </c>
      <c r="G608">
        <f>IF(A608="","",IF(C608="",1,COUNTIF($C$2:$C$1501,C608)))</f>
        <v/>
      </c>
      <c r="H608" s="11">
        <f>IF(A608="","",IFERROR(VALUE(SUBSTITUTE(SUBSTITUTE(INDEX('Shopify Import'!$A:$CZ,608,Settings!$E$25)&amp;"","$",""),",","")),0)/IF(Settings!$D$27="Yes",G608,1))</f>
        <v/>
      </c>
      <c r="I608" s="11">
        <f>IF(A608="","",IFERROR(VALUE(SUBSTITUTE(SUBSTITUTE(INDEX('Shopify Import'!$A:$CZ,608,Settings!$E$26)&amp;"","$",""),",","")),0)/IF(Settings!$D$27="Yes",G608,1))</f>
        <v/>
      </c>
      <c r="J608" s="11">
        <f>IF(A608="","",F608+H608-I608)</f>
        <v/>
      </c>
      <c r="K608">
        <f>IF(A608="","",IFERROR(IF(B608="",NA(),MATCH(B608,Products!$B$5:$B$204,0)),IFERROR(MATCH(A608,Products!$A$5:$A$204,0),"")))</f>
        <v/>
      </c>
      <c r="L608">
        <f>IF(A608="","",IF(K608="","⚠ not in Products",INDEX(Products!$A$5:$A$204,K608)))</f>
        <v/>
      </c>
      <c r="M608" s="11">
        <f>IF(A608="","",J608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608+IFERROR(INDEX(Settings!$D$5:$D$9,MATCH("Shopify",Settings!$A$5:$A$9,0)),0)*D608)</f>
        <v/>
      </c>
      <c r="N608" s="11">
        <f>IF(A608="","",IF(K608="",0,D608*INDEX(Products!$I$5:$I$204,K608)))</f>
        <v/>
      </c>
      <c r="O608" s="11">
        <f>IF(A608="","",IF(K608="",0,J608*INDEX(Products!$H$5:$H$204,K608)))</f>
        <v/>
      </c>
      <c r="P608" s="11">
        <f>IF(A608="","",J608-M608-N608-O608)</f>
        <v/>
      </c>
    </row>
    <row r="609">
      <c r="A609">
        <f>IFERROR(INDEX('Shopify Import'!$A:$CZ,609,Settings!$E$20)&amp;"","")</f>
        <v/>
      </c>
      <c r="B609">
        <f>IFERROR(INDEX('Shopify Import'!$A:$CZ,609,Settings!$E$21)&amp;"","")</f>
        <v/>
      </c>
      <c r="C609">
        <f>IFERROR(INDEX('Shopify Import'!$A:$CZ,609,Settings!$E$22)&amp;"","")</f>
        <v/>
      </c>
      <c r="D609">
        <f>IF(A609="","",IFERROR(VALUE(SUBSTITUTE(SUBSTITUTE(INDEX('Shopify Import'!$A:$CZ,609,Settings!$E$23)&amp;"","$",""),",","")),0))</f>
        <v/>
      </c>
      <c r="E609" s="11">
        <f>IF(A609="","",IFERROR(VALUE(SUBSTITUTE(SUBSTITUTE(INDEX('Shopify Import'!$A:$CZ,609,Settings!$E$24)&amp;"","$",""),",","")),0))</f>
        <v/>
      </c>
      <c r="F609" s="11">
        <f>IF(A609="","",D609*E609)</f>
        <v/>
      </c>
      <c r="G609">
        <f>IF(A609="","",IF(C609="",1,COUNTIF($C$2:$C$1501,C609)))</f>
        <v/>
      </c>
      <c r="H609" s="11">
        <f>IF(A609="","",IFERROR(VALUE(SUBSTITUTE(SUBSTITUTE(INDEX('Shopify Import'!$A:$CZ,609,Settings!$E$25)&amp;"","$",""),",","")),0)/IF(Settings!$D$27="Yes",G609,1))</f>
        <v/>
      </c>
      <c r="I609" s="11">
        <f>IF(A609="","",IFERROR(VALUE(SUBSTITUTE(SUBSTITUTE(INDEX('Shopify Import'!$A:$CZ,609,Settings!$E$26)&amp;"","$",""),",","")),0)/IF(Settings!$D$27="Yes",G609,1))</f>
        <v/>
      </c>
      <c r="J609" s="11">
        <f>IF(A609="","",F609+H609-I609)</f>
        <v/>
      </c>
      <c r="K609">
        <f>IF(A609="","",IFERROR(IF(B609="",NA(),MATCH(B609,Products!$B$5:$B$204,0)),IFERROR(MATCH(A609,Products!$A$5:$A$204,0),"")))</f>
        <v/>
      </c>
      <c r="L609">
        <f>IF(A609="","",IF(K609="","⚠ not in Products",INDEX(Products!$A$5:$A$204,K609)))</f>
        <v/>
      </c>
      <c r="M609" s="11">
        <f>IF(A609="","",J609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609+IFERROR(INDEX(Settings!$D$5:$D$9,MATCH("Shopify",Settings!$A$5:$A$9,0)),0)*D609)</f>
        <v/>
      </c>
      <c r="N609" s="11">
        <f>IF(A609="","",IF(K609="",0,D609*INDEX(Products!$I$5:$I$204,K609)))</f>
        <v/>
      </c>
      <c r="O609" s="11">
        <f>IF(A609="","",IF(K609="",0,J609*INDEX(Products!$H$5:$H$204,K609)))</f>
        <v/>
      </c>
      <c r="P609" s="11">
        <f>IF(A609="","",J609-M609-N609-O609)</f>
        <v/>
      </c>
    </row>
    <row r="610">
      <c r="A610">
        <f>IFERROR(INDEX('Shopify Import'!$A:$CZ,610,Settings!$E$20)&amp;"","")</f>
        <v/>
      </c>
      <c r="B610">
        <f>IFERROR(INDEX('Shopify Import'!$A:$CZ,610,Settings!$E$21)&amp;"","")</f>
        <v/>
      </c>
      <c r="C610">
        <f>IFERROR(INDEX('Shopify Import'!$A:$CZ,610,Settings!$E$22)&amp;"","")</f>
        <v/>
      </c>
      <c r="D610">
        <f>IF(A610="","",IFERROR(VALUE(SUBSTITUTE(SUBSTITUTE(INDEX('Shopify Import'!$A:$CZ,610,Settings!$E$23)&amp;"","$",""),",","")),0))</f>
        <v/>
      </c>
      <c r="E610" s="11">
        <f>IF(A610="","",IFERROR(VALUE(SUBSTITUTE(SUBSTITUTE(INDEX('Shopify Import'!$A:$CZ,610,Settings!$E$24)&amp;"","$",""),",","")),0))</f>
        <v/>
      </c>
      <c r="F610" s="11">
        <f>IF(A610="","",D610*E610)</f>
        <v/>
      </c>
      <c r="G610">
        <f>IF(A610="","",IF(C610="",1,COUNTIF($C$2:$C$1501,C610)))</f>
        <v/>
      </c>
      <c r="H610" s="11">
        <f>IF(A610="","",IFERROR(VALUE(SUBSTITUTE(SUBSTITUTE(INDEX('Shopify Import'!$A:$CZ,610,Settings!$E$25)&amp;"","$",""),",","")),0)/IF(Settings!$D$27="Yes",G610,1))</f>
        <v/>
      </c>
      <c r="I610" s="11">
        <f>IF(A610="","",IFERROR(VALUE(SUBSTITUTE(SUBSTITUTE(INDEX('Shopify Import'!$A:$CZ,610,Settings!$E$26)&amp;"","$",""),",","")),0)/IF(Settings!$D$27="Yes",G610,1))</f>
        <v/>
      </c>
      <c r="J610" s="11">
        <f>IF(A610="","",F610+H610-I610)</f>
        <v/>
      </c>
      <c r="K610">
        <f>IF(A610="","",IFERROR(IF(B610="",NA(),MATCH(B610,Products!$B$5:$B$204,0)),IFERROR(MATCH(A610,Products!$A$5:$A$204,0),"")))</f>
        <v/>
      </c>
      <c r="L610">
        <f>IF(A610="","",IF(K610="","⚠ not in Products",INDEX(Products!$A$5:$A$204,K610)))</f>
        <v/>
      </c>
      <c r="M610" s="11">
        <f>IF(A610="","",J610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610+IFERROR(INDEX(Settings!$D$5:$D$9,MATCH("Shopify",Settings!$A$5:$A$9,0)),0)*D610)</f>
        <v/>
      </c>
      <c r="N610" s="11">
        <f>IF(A610="","",IF(K610="",0,D610*INDEX(Products!$I$5:$I$204,K610)))</f>
        <v/>
      </c>
      <c r="O610" s="11">
        <f>IF(A610="","",IF(K610="",0,J610*INDEX(Products!$H$5:$H$204,K610)))</f>
        <v/>
      </c>
      <c r="P610" s="11">
        <f>IF(A610="","",J610-M610-N610-O610)</f>
        <v/>
      </c>
    </row>
    <row r="611">
      <c r="A611">
        <f>IFERROR(INDEX('Shopify Import'!$A:$CZ,611,Settings!$E$20)&amp;"","")</f>
        <v/>
      </c>
      <c r="B611">
        <f>IFERROR(INDEX('Shopify Import'!$A:$CZ,611,Settings!$E$21)&amp;"","")</f>
        <v/>
      </c>
      <c r="C611">
        <f>IFERROR(INDEX('Shopify Import'!$A:$CZ,611,Settings!$E$22)&amp;"","")</f>
        <v/>
      </c>
      <c r="D611">
        <f>IF(A611="","",IFERROR(VALUE(SUBSTITUTE(SUBSTITUTE(INDEX('Shopify Import'!$A:$CZ,611,Settings!$E$23)&amp;"","$",""),",","")),0))</f>
        <v/>
      </c>
      <c r="E611" s="11">
        <f>IF(A611="","",IFERROR(VALUE(SUBSTITUTE(SUBSTITUTE(INDEX('Shopify Import'!$A:$CZ,611,Settings!$E$24)&amp;"","$",""),",","")),0))</f>
        <v/>
      </c>
      <c r="F611" s="11">
        <f>IF(A611="","",D611*E611)</f>
        <v/>
      </c>
      <c r="G611">
        <f>IF(A611="","",IF(C611="",1,COUNTIF($C$2:$C$1501,C611)))</f>
        <v/>
      </c>
      <c r="H611" s="11">
        <f>IF(A611="","",IFERROR(VALUE(SUBSTITUTE(SUBSTITUTE(INDEX('Shopify Import'!$A:$CZ,611,Settings!$E$25)&amp;"","$",""),",","")),0)/IF(Settings!$D$27="Yes",G611,1))</f>
        <v/>
      </c>
      <c r="I611" s="11">
        <f>IF(A611="","",IFERROR(VALUE(SUBSTITUTE(SUBSTITUTE(INDEX('Shopify Import'!$A:$CZ,611,Settings!$E$26)&amp;"","$",""),",","")),0)/IF(Settings!$D$27="Yes",G611,1))</f>
        <v/>
      </c>
      <c r="J611" s="11">
        <f>IF(A611="","",F611+H611-I611)</f>
        <v/>
      </c>
      <c r="K611">
        <f>IF(A611="","",IFERROR(IF(B611="",NA(),MATCH(B611,Products!$B$5:$B$204,0)),IFERROR(MATCH(A611,Products!$A$5:$A$204,0),"")))</f>
        <v/>
      </c>
      <c r="L611">
        <f>IF(A611="","",IF(K611="","⚠ not in Products",INDEX(Products!$A$5:$A$204,K611)))</f>
        <v/>
      </c>
      <c r="M611" s="11">
        <f>IF(A611="","",J611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611+IFERROR(INDEX(Settings!$D$5:$D$9,MATCH("Shopify",Settings!$A$5:$A$9,0)),0)*D611)</f>
        <v/>
      </c>
      <c r="N611" s="11">
        <f>IF(A611="","",IF(K611="",0,D611*INDEX(Products!$I$5:$I$204,K611)))</f>
        <v/>
      </c>
      <c r="O611" s="11">
        <f>IF(A611="","",IF(K611="",0,J611*INDEX(Products!$H$5:$H$204,K611)))</f>
        <v/>
      </c>
      <c r="P611" s="11">
        <f>IF(A611="","",J611-M611-N611-O611)</f>
        <v/>
      </c>
    </row>
    <row r="612">
      <c r="A612">
        <f>IFERROR(INDEX('Shopify Import'!$A:$CZ,612,Settings!$E$20)&amp;"","")</f>
        <v/>
      </c>
      <c r="B612">
        <f>IFERROR(INDEX('Shopify Import'!$A:$CZ,612,Settings!$E$21)&amp;"","")</f>
        <v/>
      </c>
      <c r="C612">
        <f>IFERROR(INDEX('Shopify Import'!$A:$CZ,612,Settings!$E$22)&amp;"","")</f>
        <v/>
      </c>
      <c r="D612">
        <f>IF(A612="","",IFERROR(VALUE(SUBSTITUTE(SUBSTITUTE(INDEX('Shopify Import'!$A:$CZ,612,Settings!$E$23)&amp;"","$",""),",","")),0))</f>
        <v/>
      </c>
      <c r="E612" s="11">
        <f>IF(A612="","",IFERROR(VALUE(SUBSTITUTE(SUBSTITUTE(INDEX('Shopify Import'!$A:$CZ,612,Settings!$E$24)&amp;"","$",""),",","")),0))</f>
        <v/>
      </c>
      <c r="F612" s="11">
        <f>IF(A612="","",D612*E612)</f>
        <v/>
      </c>
      <c r="G612">
        <f>IF(A612="","",IF(C612="",1,COUNTIF($C$2:$C$1501,C612)))</f>
        <v/>
      </c>
      <c r="H612" s="11">
        <f>IF(A612="","",IFERROR(VALUE(SUBSTITUTE(SUBSTITUTE(INDEX('Shopify Import'!$A:$CZ,612,Settings!$E$25)&amp;"","$",""),",","")),0)/IF(Settings!$D$27="Yes",G612,1))</f>
        <v/>
      </c>
      <c r="I612" s="11">
        <f>IF(A612="","",IFERROR(VALUE(SUBSTITUTE(SUBSTITUTE(INDEX('Shopify Import'!$A:$CZ,612,Settings!$E$26)&amp;"","$",""),",","")),0)/IF(Settings!$D$27="Yes",G612,1))</f>
        <v/>
      </c>
      <c r="J612" s="11">
        <f>IF(A612="","",F612+H612-I612)</f>
        <v/>
      </c>
      <c r="K612">
        <f>IF(A612="","",IFERROR(IF(B612="",NA(),MATCH(B612,Products!$B$5:$B$204,0)),IFERROR(MATCH(A612,Products!$A$5:$A$204,0),"")))</f>
        <v/>
      </c>
      <c r="L612">
        <f>IF(A612="","",IF(K612="","⚠ not in Products",INDEX(Products!$A$5:$A$204,K612)))</f>
        <v/>
      </c>
      <c r="M612" s="11">
        <f>IF(A612="","",J612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612+IFERROR(INDEX(Settings!$D$5:$D$9,MATCH("Shopify",Settings!$A$5:$A$9,0)),0)*D612)</f>
        <v/>
      </c>
      <c r="N612" s="11">
        <f>IF(A612="","",IF(K612="",0,D612*INDEX(Products!$I$5:$I$204,K612)))</f>
        <v/>
      </c>
      <c r="O612" s="11">
        <f>IF(A612="","",IF(K612="",0,J612*INDEX(Products!$H$5:$H$204,K612)))</f>
        <v/>
      </c>
      <c r="P612" s="11">
        <f>IF(A612="","",J612-M612-N612-O612)</f>
        <v/>
      </c>
    </row>
    <row r="613">
      <c r="A613">
        <f>IFERROR(INDEX('Shopify Import'!$A:$CZ,613,Settings!$E$20)&amp;"","")</f>
        <v/>
      </c>
      <c r="B613">
        <f>IFERROR(INDEX('Shopify Import'!$A:$CZ,613,Settings!$E$21)&amp;"","")</f>
        <v/>
      </c>
      <c r="C613">
        <f>IFERROR(INDEX('Shopify Import'!$A:$CZ,613,Settings!$E$22)&amp;"","")</f>
        <v/>
      </c>
      <c r="D613">
        <f>IF(A613="","",IFERROR(VALUE(SUBSTITUTE(SUBSTITUTE(INDEX('Shopify Import'!$A:$CZ,613,Settings!$E$23)&amp;"","$",""),",","")),0))</f>
        <v/>
      </c>
      <c r="E613" s="11">
        <f>IF(A613="","",IFERROR(VALUE(SUBSTITUTE(SUBSTITUTE(INDEX('Shopify Import'!$A:$CZ,613,Settings!$E$24)&amp;"","$",""),",","")),0))</f>
        <v/>
      </c>
      <c r="F613" s="11">
        <f>IF(A613="","",D613*E613)</f>
        <v/>
      </c>
      <c r="G613">
        <f>IF(A613="","",IF(C613="",1,COUNTIF($C$2:$C$1501,C613)))</f>
        <v/>
      </c>
      <c r="H613" s="11">
        <f>IF(A613="","",IFERROR(VALUE(SUBSTITUTE(SUBSTITUTE(INDEX('Shopify Import'!$A:$CZ,613,Settings!$E$25)&amp;"","$",""),",","")),0)/IF(Settings!$D$27="Yes",G613,1))</f>
        <v/>
      </c>
      <c r="I613" s="11">
        <f>IF(A613="","",IFERROR(VALUE(SUBSTITUTE(SUBSTITUTE(INDEX('Shopify Import'!$A:$CZ,613,Settings!$E$26)&amp;"","$",""),",","")),0)/IF(Settings!$D$27="Yes",G613,1))</f>
        <v/>
      </c>
      <c r="J613" s="11">
        <f>IF(A613="","",F613+H613-I613)</f>
        <v/>
      </c>
      <c r="K613">
        <f>IF(A613="","",IFERROR(IF(B613="",NA(),MATCH(B613,Products!$B$5:$B$204,0)),IFERROR(MATCH(A613,Products!$A$5:$A$204,0),"")))</f>
        <v/>
      </c>
      <c r="L613">
        <f>IF(A613="","",IF(K613="","⚠ not in Products",INDEX(Products!$A$5:$A$204,K613)))</f>
        <v/>
      </c>
      <c r="M613" s="11">
        <f>IF(A613="","",J613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613+IFERROR(INDEX(Settings!$D$5:$D$9,MATCH("Shopify",Settings!$A$5:$A$9,0)),0)*D613)</f>
        <v/>
      </c>
      <c r="N613" s="11">
        <f>IF(A613="","",IF(K613="",0,D613*INDEX(Products!$I$5:$I$204,K613)))</f>
        <v/>
      </c>
      <c r="O613" s="11">
        <f>IF(A613="","",IF(K613="",0,J613*INDEX(Products!$H$5:$H$204,K613)))</f>
        <v/>
      </c>
      <c r="P613" s="11">
        <f>IF(A613="","",J613-M613-N613-O613)</f>
        <v/>
      </c>
    </row>
    <row r="614">
      <c r="A614">
        <f>IFERROR(INDEX('Shopify Import'!$A:$CZ,614,Settings!$E$20)&amp;"","")</f>
        <v/>
      </c>
      <c r="B614">
        <f>IFERROR(INDEX('Shopify Import'!$A:$CZ,614,Settings!$E$21)&amp;"","")</f>
        <v/>
      </c>
      <c r="C614">
        <f>IFERROR(INDEX('Shopify Import'!$A:$CZ,614,Settings!$E$22)&amp;"","")</f>
        <v/>
      </c>
      <c r="D614">
        <f>IF(A614="","",IFERROR(VALUE(SUBSTITUTE(SUBSTITUTE(INDEX('Shopify Import'!$A:$CZ,614,Settings!$E$23)&amp;"","$",""),",","")),0))</f>
        <v/>
      </c>
      <c r="E614" s="11">
        <f>IF(A614="","",IFERROR(VALUE(SUBSTITUTE(SUBSTITUTE(INDEX('Shopify Import'!$A:$CZ,614,Settings!$E$24)&amp;"","$",""),",","")),0))</f>
        <v/>
      </c>
      <c r="F614" s="11">
        <f>IF(A614="","",D614*E614)</f>
        <v/>
      </c>
      <c r="G614">
        <f>IF(A614="","",IF(C614="",1,COUNTIF($C$2:$C$1501,C614)))</f>
        <v/>
      </c>
      <c r="H614" s="11">
        <f>IF(A614="","",IFERROR(VALUE(SUBSTITUTE(SUBSTITUTE(INDEX('Shopify Import'!$A:$CZ,614,Settings!$E$25)&amp;"","$",""),",","")),0)/IF(Settings!$D$27="Yes",G614,1))</f>
        <v/>
      </c>
      <c r="I614" s="11">
        <f>IF(A614="","",IFERROR(VALUE(SUBSTITUTE(SUBSTITUTE(INDEX('Shopify Import'!$A:$CZ,614,Settings!$E$26)&amp;"","$",""),",","")),0)/IF(Settings!$D$27="Yes",G614,1))</f>
        <v/>
      </c>
      <c r="J614" s="11">
        <f>IF(A614="","",F614+H614-I614)</f>
        <v/>
      </c>
      <c r="K614">
        <f>IF(A614="","",IFERROR(IF(B614="",NA(),MATCH(B614,Products!$B$5:$B$204,0)),IFERROR(MATCH(A614,Products!$A$5:$A$204,0),"")))</f>
        <v/>
      </c>
      <c r="L614">
        <f>IF(A614="","",IF(K614="","⚠ not in Products",INDEX(Products!$A$5:$A$204,K614)))</f>
        <v/>
      </c>
      <c r="M614" s="11">
        <f>IF(A614="","",J614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614+IFERROR(INDEX(Settings!$D$5:$D$9,MATCH("Shopify",Settings!$A$5:$A$9,0)),0)*D614)</f>
        <v/>
      </c>
      <c r="N614" s="11">
        <f>IF(A614="","",IF(K614="",0,D614*INDEX(Products!$I$5:$I$204,K614)))</f>
        <v/>
      </c>
      <c r="O614" s="11">
        <f>IF(A614="","",IF(K614="",0,J614*INDEX(Products!$H$5:$H$204,K614)))</f>
        <v/>
      </c>
      <c r="P614" s="11">
        <f>IF(A614="","",J614-M614-N614-O614)</f>
        <v/>
      </c>
    </row>
    <row r="615">
      <c r="A615">
        <f>IFERROR(INDEX('Shopify Import'!$A:$CZ,615,Settings!$E$20)&amp;"","")</f>
        <v/>
      </c>
      <c r="B615">
        <f>IFERROR(INDEX('Shopify Import'!$A:$CZ,615,Settings!$E$21)&amp;"","")</f>
        <v/>
      </c>
      <c r="C615">
        <f>IFERROR(INDEX('Shopify Import'!$A:$CZ,615,Settings!$E$22)&amp;"","")</f>
        <v/>
      </c>
      <c r="D615">
        <f>IF(A615="","",IFERROR(VALUE(SUBSTITUTE(SUBSTITUTE(INDEX('Shopify Import'!$A:$CZ,615,Settings!$E$23)&amp;"","$",""),",","")),0))</f>
        <v/>
      </c>
      <c r="E615" s="11">
        <f>IF(A615="","",IFERROR(VALUE(SUBSTITUTE(SUBSTITUTE(INDEX('Shopify Import'!$A:$CZ,615,Settings!$E$24)&amp;"","$",""),",","")),0))</f>
        <v/>
      </c>
      <c r="F615" s="11">
        <f>IF(A615="","",D615*E615)</f>
        <v/>
      </c>
      <c r="G615">
        <f>IF(A615="","",IF(C615="",1,COUNTIF($C$2:$C$1501,C615)))</f>
        <v/>
      </c>
      <c r="H615" s="11">
        <f>IF(A615="","",IFERROR(VALUE(SUBSTITUTE(SUBSTITUTE(INDEX('Shopify Import'!$A:$CZ,615,Settings!$E$25)&amp;"","$",""),",","")),0)/IF(Settings!$D$27="Yes",G615,1))</f>
        <v/>
      </c>
      <c r="I615" s="11">
        <f>IF(A615="","",IFERROR(VALUE(SUBSTITUTE(SUBSTITUTE(INDEX('Shopify Import'!$A:$CZ,615,Settings!$E$26)&amp;"","$",""),",","")),0)/IF(Settings!$D$27="Yes",G615,1))</f>
        <v/>
      </c>
      <c r="J615" s="11">
        <f>IF(A615="","",F615+H615-I615)</f>
        <v/>
      </c>
      <c r="K615">
        <f>IF(A615="","",IFERROR(IF(B615="",NA(),MATCH(B615,Products!$B$5:$B$204,0)),IFERROR(MATCH(A615,Products!$A$5:$A$204,0),"")))</f>
        <v/>
      </c>
      <c r="L615">
        <f>IF(A615="","",IF(K615="","⚠ not in Products",INDEX(Products!$A$5:$A$204,K615)))</f>
        <v/>
      </c>
      <c r="M615" s="11">
        <f>IF(A615="","",J615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615+IFERROR(INDEX(Settings!$D$5:$D$9,MATCH("Shopify",Settings!$A$5:$A$9,0)),0)*D615)</f>
        <v/>
      </c>
      <c r="N615" s="11">
        <f>IF(A615="","",IF(K615="",0,D615*INDEX(Products!$I$5:$I$204,K615)))</f>
        <v/>
      </c>
      <c r="O615" s="11">
        <f>IF(A615="","",IF(K615="",0,J615*INDEX(Products!$H$5:$H$204,K615)))</f>
        <v/>
      </c>
      <c r="P615" s="11">
        <f>IF(A615="","",J615-M615-N615-O615)</f>
        <v/>
      </c>
    </row>
    <row r="616">
      <c r="A616">
        <f>IFERROR(INDEX('Shopify Import'!$A:$CZ,616,Settings!$E$20)&amp;"","")</f>
        <v/>
      </c>
      <c r="B616">
        <f>IFERROR(INDEX('Shopify Import'!$A:$CZ,616,Settings!$E$21)&amp;"","")</f>
        <v/>
      </c>
      <c r="C616">
        <f>IFERROR(INDEX('Shopify Import'!$A:$CZ,616,Settings!$E$22)&amp;"","")</f>
        <v/>
      </c>
      <c r="D616">
        <f>IF(A616="","",IFERROR(VALUE(SUBSTITUTE(SUBSTITUTE(INDEX('Shopify Import'!$A:$CZ,616,Settings!$E$23)&amp;"","$",""),",","")),0))</f>
        <v/>
      </c>
      <c r="E616" s="11">
        <f>IF(A616="","",IFERROR(VALUE(SUBSTITUTE(SUBSTITUTE(INDEX('Shopify Import'!$A:$CZ,616,Settings!$E$24)&amp;"","$",""),",","")),0))</f>
        <v/>
      </c>
      <c r="F616" s="11">
        <f>IF(A616="","",D616*E616)</f>
        <v/>
      </c>
      <c r="G616">
        <f>IF(A616="","",IF(C616="",1,COUNTIF($C$2:$C$1501,C616)))</f>
        <v/>
      </c>
      <c r="H616" s="11">
        <f>IF(A616="","",IFERROR(VALUE(SUBSTITUTE(SUBSTITUTE(INDEX('Shopify Import'!$A:$CZ,616,Settings!$E$25)&amp;"","$",""),",","")),0)/IF(Settings!$D$27="Yes",G616,1))</f>
        <v/>
      </c>
      <c r="I616" s="11">
        <f>IF(A616="","",IFERROR(VALUE(SUBSTITUTE(SUBSTITUTE(INDEX('Shopify Import'!$A:$CZ,616,Settings!$E$26)&amp;"","$",""),",","")),0)/IF(Settings!$D$27="Yes",G616,1))</f>
        <v/>
      </c>
      <c r="J616" s="11">
        <f>IF(A616="","",F616+H616-I616)</f>
        <v/>
      </c>
      <c r="K616">
        <f>IF(A616="","",IFERROR(IF(B616="",NA(),MATCH(B616,Products!$B$5:$B$204,0)),IFERROR(MATCH(A616,Products!$A$5:$A$204,0),"")))</f>
        <v/>
      </c>
      <c r="L616">
        <f>IF(A616="","",IF(K616="","⚠ not in Products",INDEX(Products!$A$5:$A$204,K616)))</f>
        <v/>
      </c>
      <c r="M616" s="11">
        <f>IF(A616="","",J616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616+IFERROR(INDEX(Settings!$D$5:$D$9,MATCH("Shopify",Settings!$A$5:$A$9,0)),0)*D616)</f>
        <v/>
      </c>
      <c r="N616" s="11">
        <f>IF(A616="","",IF(K616="",0,D616*INDEX(Products!$I$5:$I$204,K616)))</f>
        <v/>
      </c>
      <c r="O616" s="11">
        <f>IF(A616="","",IF(K616="",0,J616*INDEX(Products!$H$5:$H$204,K616)))</f>
        <v/>
      </c>
      <c r="P616" s="11">
        <f>IF(A616="","",J616-M616-N616-O616)</f>
        <v/>
      </c>
    </row>
    <row r="617">
      <c r="A617">
        <f>IFERROR(INDEX('Shopify Import'!$A:$CZ,617,Settings!$E$20)&amp;"","")</f>
        <v/>
      </c>
      <c r="B617">
        <f>IFERROR(INDEX('Shopify Import'!$A:$CZ,617,Settings!$E$21)&amp;"","")</f>
        <v/>
      </c>
      <c r="C617">
        <f>IFERROR(INDEX('Shopify Import'!$A:$CZ,617,Settings!$E$22)&amp;"","")</f>
        <v/>
      </c>
      <c r="D617">
        <f>IF(A617="","",IFERROR(VALUE(SUBSTITUTE(SUBSTITUTE(INDEX('Shopify Import'!$A:$CZ,617,Settings!$E$23)&amp;"","$",""),",","")),0))</f>
        <v/>
      </c>
      <c r="E617" s="11">
        <f>IF(A617="","",IFERROR(VALUE(SUBSTITUTE(SUBSTITUTE(INDEX('Shopify Import'!$A:$CZ,617,Settings!$E$24)&amp;"","$",""),",","")),0))</f>
        <v/>
      </c>
      <c r="F617" s="11">
        <f>IF(A617="","",D617*E617)</f>
        <v/>
      </c>
      <c r="G617">
        <f>IF(A617="","",IF(C617="",1,COUNTIF($C$2:$C$1501,C617)))</f>
        <v/>
      </c>
      <c r="H617" s="11">
        <f>IF(A617="","",IFERROR(VALUE(SUBSTITUTE(SUBSTITUTE(INDEX('Shopify Import'!$A:$CZ,617,Settings!$E$25)&amp;"","$",""),",","")),0)/IF(Settings!$D$27="Yes",G617,1))</f>
        <v/>
      </c>
      <c r="I617" s="11">
        <f>IF(A617="","",IFERROR(VALUE(SUBSTITUTE(SUBSTITUTE(INDEX('Shopify Import'!$A:$CZ,617,Settings!$E$26)&amp;"","$",""),",","")),0)/IF(Settings!$D$27="Yes",G617,1))</f>
        <v/>
      </c>
      <c r="J617" s="11">
        <f>IF(A617="","",F617+H617-I617)</f>
        <v/>
      </c>
      <c r="K617">
        <f>IF(A617="","",IFERROR(IF(B617="",NA(),MATCH(B617,Products!$B$5:$B$204,0)),IFERROR(MATCH(A617,Products!$A$5:$A$204,0),"")))</f>
        <v/>
      </c>
      <c r="L617">
        <f>IF(A617="","",IF(K617="","⚠ not in Products",INDEX(Products!$A$5:$A$204,K617)))</f>
        <v/>
      </c>
      <c r="M617" s="11">
        <f>IF(A617="","",J617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617+IFERROR(INDEX(Settings!$D$5:$D$9,MATCH("Shopify",Settings!$A$5:$A$9,0)),0)*D617)</f>
        <v/>
      </c>
      <c r="N617" s="11">
        <f>IF(A617="","",IF(K617="",0,D617*INDEX(Products!$I$5:$I$204,K617)))</f>
        <v/>
      </c>
      <c r="O617" s="11">
        <f>IF(A617="","",IF(K617="",0,J617*INDEX(Products!$H$5:$H$204,K617)))</f>
        <v/>
      </c>
      <c r="P617" s="11">
        <f>IF(A617="","",J617-M617-N617-O617)</f>
        <v/>
      </c>
    </row>
    <row r="618">
      <c r="A618">
        <f>IFERROR(INDEX('Shopify Import'!$A:$CZ,618,Settings!$E$20)&amp;"","")</f>
        <v/>
      </c>
      <c r="B618">
        <f>IFERROR(INDEX('Shopify Import'!$A:$CZ,618,Settings!$E$21)&amp;"","")</f>
        <v/>
      </c>
      <c r="C618">
        <f>IFERROR(INDEX('Shopify Import'!$A:$CZ,618,Settings!$E$22)&amp;"","")</f>
        <v/>
      </c>
      <c r="D618">
        <f>IF(A618="","",IFERROR(VALUE(SUBSTITUTE(SUBSTITUTE(INDEX('Shopify Import'!$A:$CZ,618,Settings!$E$23)&amp;"","$",""),",","")),0))</f>
        <v/>
      </c>
      <c r="E618" s="11">
        <f>IF(A618="","",IFERROR(VALUE(SUBSTITUTE(SUBSTITUTE(INDEX('Shopify Import'!$A:$CZ,618,Settings!$E$24)&amp;"","$",""),",","")),0))</f>
        <v/>
      </c>
      <c r="F618" s="11">
        <f>IF(A618="","",D618*E618)</f>
        <v/>
      </c>
      <c r="G618">
        <f>IF(A618="","",IF(C618="",1,COUNTIF($C$2:$C$1501,C618)))</f>
        <v/>
      </c>
      <c r="H618" s="11">
        <f>IF(A618="","",IFERROR(VALUE(SUBSTITUTE(SUBSTITUTE(INDEX('Shopify Import'!$A:$CZ,618,Settings!$E$25)&amp;"","$",""),",","")),0)/IF(Settings!$D$27="Yes",G618,1))</f>
        <v/>
      </c>
      <c r="I618" s="11">
        <f>IF(A618="","",IFERROR(VALUE(SUBSTITUTE(SUBSTITUTE(INDEX('Shopify Import'!$A:$CZ,618,Settings!$E$26)&amp;"","$",""),",","")),0)/IF(Settings!$D$27="Yes",G618,1))</f>
        <v/>
      </c>
      <c r="J618" s="11">
        <f>IF(A618="","",F618+H618-I618)</f>
        <v/>
      </c>
      <c r="K618">
        <f>IF(A618="","",IFERROR(IF(B618="",NA(),MATCH(B618,Products!$B$5:$B$204,0)),IFERROR(MATCH(A618,Products!$A$5:$A$204,0),"")))</f>
        <v/>
      </c>
      <c r="L618">
        <f>IF(A618="","",IF(K618="","⚠ not in Products",INDEX(Products!$A$5:$A$204,K618)))</f>
        <v/>
      </c>
      <c r="M618" s="11">
        <f>IF(A618="","",J618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618+IFERROR(INDEX(Settings!$D$5:$D$9,MATCH("Shopify",Settings!$A$5:$A$9,0)),0)*D618)</f>
        <v/>
      </c>
      <c r="N618" s="11">
        <f>IF(A618="","",IF(K618="",0,D618*INDEX(Products!$I$5:$I$204,K618)))</f>
        <v/>
      </c>
      <c r="O618" s="11">
        <f>IF(A618="","",IF(K618="",0,J618*INDEX(Products!$H$5:$H$204,K618)))</f>
        <v/>
      </c>
      <c r="P618" s="11">
        <f>IF(A618="","",J618-M618-N618-O618)</f>
        <v/>
      </c>
    </row>
    <row r="619">
      <c r="A619">
        <f>IFERROR(INDEX('Shopify Import'!$A:$CZ,619,Settings!$E$20)&amp;"","")</f>
        <v/>
      </c>
      <c r="B619">
        <f>IFERROR(INDEX('Shopify Import'!$A:$CZ,619,Settings!$E$21)&amp;"","")</f>
        <v/>
      </c>
      <c r="C619">
        <f>IFERROR(INDEX('Shopify Import'!$A:$CZ,619,Settings!$E$22)&amp;"","")</f>
        <v/>
      </c>
      <c r="D619">
        <f>IF(A619="","",IFERROR(VALUE(SUBSTITUTE(SUBSTITUTE(INDEX('Shopify Import'!$A:$CZ,619,Settings!$E$23)&amp;"","$",""),",","")),0))</f>
        <v/>
      </c>
      <c r="E619" s="11">
        <f>IF(A619="","",IFERROR(VALUE(SUBSTITUTE(SUBSTITUTE(INDEX('Shopify Import'!$A:$CZ,619,Settings!$E$24)&amp;"","$",""),",","")),0))</f>
        <v/>
      </c>
      <c r="F619" s="11">
        <f>IF(A619="","",D619*E619)</f>
        <v/>
      </c>
      <c r="G619">
        <f>IF(A619="","",IF(C619="",1,COUNTIF($C$2:$C$1501,C619)))</f>
        <v/>
      </c>
      <c r="H619" s="11">
        <f>IF(A619="","",IFERROR(VALUE(SUBSTITUTE(SUBSTITUTE(INDEX('Shopify Import'!$A:$CZ,619,Settings!$E$25)&amp;"","$",""),",","")),0)/IF(Settings!$D$27="Yes",G619,1))</f>
        <v/>
      </c>
      <c r="I619" s="11">
        <f>IF(A619="","",IFERROR(VALUE(SUBSTITUTE(SUBSTITUTE(INDEX('Shopify Import'!$A:$CZ,619,Settings!$E$26)&amp;"","$",""),",","")),0)/IF(Settings!$D$27="Yes",G619,1))</f>
        <v/>
      </c>
      <c r="J619" s="11">
        <f>IF(A619="","",F619+H619-I619)</f>
        <v/>
      </c>
      <c r="K619">
        <f>IF(A619="","",IFERROR(IF(B619="",NA(),MATCH(B619,Products!$B$5:$B$204,0)),IFERROR(MATCH(A619,Products!$A$5:$A$204,0),"")))</f>
        <v/>
      </c>
      <c r="L619">
        <f>IF(A619="","",IF(K619="","⚠ not in Products",INDEX(Products!$A$5:$A$204,K619)))</f>
        <v/>
      </c>
      <c r="M619" s="11">
        <f>IF(A619="","",J619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619+IFERROR(INDEX(Settings!$D$5:$D$9,MATCH("Shopify",Settings!$A$5:$A$9,0)),0)*D619)</f>
        <v/>
      </c>
      <c r="N619" s="11">
        <f>IF(A619="","",IF(K619="",0,D619*INDEX(Products!$I$5:$I$204,K619)))</f>
        <v/>
      </c>
      <c r="O619" s="11">
        <f>IF(A619="","",IF(K619="",0,J619*INDEX(Products!$H$5:$H$204,K619)))</f>
        <v/>
      </c>
      <c r="P619" s="11">
        <f>IF(A619="","",J619-M619-N619-O619)</f>
        <v/>
      </c>
    </row>
    <row r="620">
      <c r="A620">
        <f>IFERROR(INDEX('Shopify Import'!$A:$CZ,620,Settings!$E$20)&amp;"","")</f>
        <v/>
      </c>
      <c r="B620">
        <f>IFERROR(INDEX('Shopify Import'!$A:$CZ,620,Settings!$E$21)&amp;"","")</f>
        <v/>
      </c>
      <c r="C620">
        <f>IFERROR(INDEX('Shopify Import'!$A:$CZ,620,Settings!$E$22)&amp;"","")</f>
        <v/>
      </c>
      <c r="D620">
        <f>IF(A620="","",IFERROR(VALUE(SUBSTITUTE(SUBSTITUTE(INDEX('Shopify Import'!$A:$CZ,620,Settings!$E$23)&amp;"","$",""),",","")),0))</f>
        <v/>
      </c>
      <c r="E620" s="11">
        <f>IF(A620="","",IFERROR(VALUE(SUBSTITUTE(SUBSTITUTE(INDEX('Shopify Import'!$A:$CZ,620,Settings!$E$24)&amp;"","$",""),",","")),0))</f>
        <v/>
      </c>
      <c r="F620" s="11">
        <f>IF(A620="","",D620*E620)</f>
        <v/>
      </c>
      <c r="G620">
        <f>IF(A620="","",IF(C620="",1,COUNTIF($C$2:$C$1501,C620)))</f>
        <v/>
      </c>
      <c r="H620" s="11">
        <f>IF(A620="","",IFERROR(VALUE(SUBSTITUTE(SUBSTITUTE(INDEX('Shopify Import'!$A:$CZ,620,Settings!$E$25)&amp;"","$",""),",","")),0)/IF(Settings!$D$27="Yes",G620,1))</f>
        <v/>
      </c>
      <c r="I620" s="11">
        <f>IF(A620="","",IFERROR(VALUE(SUBSTITUTE(SUBSTITUTE(INDEX('Shopify Import'!$A:$CZ,620,Settings!$E$26)&amp;"","$",""),",","")),0)/IF(Settings!$D$27="Yes",G620,1))</f>
        <v/>
      </c>
      <c r="J620" s="11">
        <f>IF(A620="","",F620+H620-I620)</f>
        <v/>
      </c>
      <c r="K620">
        <f>IF(A620="","",IFERROR(IF(B620="",NA(),MATCH(B620,Products!$B$5:$B$204,0)),IFERROR(MATCH(A620,Products!$A$5:$A$204,0),"")))</f>
        <v/>
      </c>
      <c r="L620">
        <f>IF(A620="","",IF(K620="","⚠ not in Products",INDEX(Products!$A$5:$A$204,K620)))</f>
        <v/>
      </c>
      <c r="M620" s="11">
        <f>IF(A620="","",J620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620+IFERROR(INDEX(Settings!$D$5:$D$9,MATCH("Shopify",Settings!$A$5:$A$9,0)),0)*D620)</f>
        <v/>
      </c>
      <c r="N620" s="11">
        <f>IF(A620="","",IF(K620="",0,D620*INDEX(Products!$I$5:$I$204,K620)))</f>
        <v/>
      </c>
      <c r="O620" s="11">
        <f>IF(A620="","",IF(K620="",0,J620*INDEX(Products!$H$5:$H$204,K620)))</f>
        <v/>
      </c>
      <c r="P620" s="11">
        <f>IF(A620="","",J620-M620-N620-O620)</f>
        <v/>
      </c>
    </row>
    <row r="621">
      <c r="A621">
        <f>IFERROR(INDEX('Shopify Import'!$A:$CZ,621,Settings!$E$20)&amp;"","")</f>
        <v/>
      </c>
      <c r="B621">
        <f>IFERROR(INDEX('Shopify Import'!$A:$CZ,621,Settings!$E$21)&amp;"","")</f>
        <v/>
      </c>
      <c r="C621">
        <f>IFERROR(INDEX('Shopify Import'!$A:$CZ,621,Settings!$E$22)&amp;"","")</f>
        <v/>
      </c>
      <c r="D621">
        <f>IF(A621="","",IFERROR(VALUE(SUBSTITUTE(SUBSTITUTE(INDEX('Shopify Import'!$A:$CZ,621,Settings!$E$23)&amp;"","$",""),",","")),0))</f>
        <v/>
      </c>
      <c r="E621" s="11">
        <f>IF(A621="","",IFERROR(VALUE(SUBSTITUTE(SUBSTITUTE(INDEX('Shopify Import'!$A:$CZ,621,Settings!$E$24)&amp;"","$",""),",","")),0))</f>
        <v/>
      </c>
      <c r="F621" s="11">
        <f>IF(A621="","",D621*E621)</f>
        <v/>
      </c>
      <c r="G621">
        <f>IF(A621="","",IF(C621="",1,COUNTIF($C$2:$C$1501,C621)))</f>
        <v/>
      </c>
      <c r="H621" s="11">
        <f>IF(A621="","",IFERROR(VALUE(SUBSTITUTE(SUBSTITUTE(INDEX('Shopify Import'!$A:$CZ,621,Settings!$E$25)&amp;"","$",""),",","")),0)/IF(Settings!$D$27="Yes",G621,1))</f>
        <v/>
      </c>
      <c r="I621" s="11">
        <f>IF(A621="","",IFERROR(VALUE(SUBSTITUTE(SUBSTITUTE(INDEX('Shopify Import'!$A:$CZ,621,Settings!$E$26)&amp;"","$",""),",","")),0)/IF(Settings!$D$27="Yes",G621,1))</f>
        <v/>
      </c>
      <c r="J621" s="11">
        <f>IF(A621="","",F621+H621-I621)</f>
        <v/>
      </c>
      <c r="K621">
        <f>IF(A621="","",IFERROR(IF(B621="",NA(),MATCH(B621,Products!$B$5:$B$204,0)),IFERROR(MATCH(A621,Products!$A$5:$A$204,0),"")))</f>
        <v/>
      </c>
      <c r="L621">
        <f>IF(A621="","",IF(K621="","⚠ not in Products",INDEX(Products!$A$5:$A$204,K621)))</f>
        <v/>
      </c>
      <c r="M621" s="11">
        <f>IF(A621="","",J621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621+IFERROR(INDEX(Settings!$D$5:$D$9,MATCH("Shopify",Settings!$A$5:$A$9,0)),0)*D621)</f>
        <v/>
      </c>
      <c r="N621" s="11">
        <f>IF(A621="","",IF(K621="",0,D621*INDEX(Products!$I$5:$I$204,K621)))</f>
        <v/>
      </c>
      <c r="O621" s="11">
        <f>IF(A621="","",IF(K621="",0,J621*INDEX(Products!$H$5:$H$204,K621)))</f>
        <v/>
      </c>
      <c r="P621" s="11">
        <f>IF(A621="","",J621-M621-N621-O621)</f>
        <v/>
      </c>
    </row>
    <row r="622">
      <c r="A622">
        <f>IFERROR(INDEX('Shopify Import'!$A:$CZ,622,Settings!$E$20)&amp;"","")</f>
        <v/>
      </c>
      <c r="B622">
        <f>IFERROR(INDEX('Shopify Import'!$A:$CZ,622,Settings!$E$21)&amp;"","")</f>
        <v/>
      </c>
      <c r="C622">
        <f>IFERROR(INDEX('Shopify Import'!$A:$CZ,622,Settings!$E$22)&amp;"","")</f>
        <v/>
      </c>
      <c r="D622">
        <f>IF(A622="","",IFERROR(VALUE(SUBSTITUTE(SUBSTITUTE(INDEX('Shopify Import'!$A:$CZ,622,Settings!$E$23)&amp;"","$",""),",","")),0))</f>
        <v/>
      </c>
      <c r="E622" s="11">
        <f>IF(A622="","",IFERROR(VALUE(SUBSTITUTE(SUBSTITUTE(INDEX('Shopify Import'!$A:$CZ,622,Settings!$E$24)&amp;"","$",""),",","")),0))</f>
        <v/>
      </c>
      <c r="F622" s="11">
        <f>IF(A622="","",D622*E622)</f>
        <v/>
      </c>
      <c r="G622">
        <f>IF(A622="","",IF(C622="",1,COUNTIF($C$2:$C$1501,C622)))</f>
        <v/>
      </c>
      <c r="H622" s="11">
        <f>IF(A622="","",IFERROR(VALUE(SUBSTITUTE(SUBSTITUTE(INDEX('Shopify Import'!$A:$CZ,622,Settings!$E$25)&amp;"","$",""),",","")),0)/IF(Settings!$D$27="Yes",G622,1))</f>
        <v/>
      </c>
      <c r="I622" s="11">
        <f>IF(A622="","",IFERROR(VALUE(SUBSTITUTE(SUBSTITUTE(INDEX('Shopify Import'!$A:$CZ,622,Settings!$E$26)&amp;"","$",""),",","")),0)/IF(Settings!$D$27="Yes",G622,1))</f>
        <v/>
      </c>
      <c r="J622" s="11">
        <f>IF(A622="","",F622+H622-I622)</f>
        <v/>
      </c>
      <c r="K622">
        <f>IF(A622="","",IFERROR(IF(B622="",NA(),MATCH(B622,Products!$B$5:$B$204,0)),IFERROR(MATCH(A622,Products!$A$5:$A$204,0),"")))</f>
        <v/>
      </c>
      <c r="L622">
        <f>IF(A622="","",IF(K622="","⚠ not in Products",INDEX(Products!$A$5:$A$204,K622)))</f>
        <v/>
      </c>
      <c r="M622" s="11">
        <f>IF(A622="","",J622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622+IFERROR(INDEX(Settings!$D$5:$D$9,MATCH("Shopify",Settings!$A$5:$A$9,0)),0)*D622)</f>
        <v/>
      </c>
      <c r="N622" s="11">
        <f>IF(A622="","",IF(K622="",0,D622*INDEX(Products!$I$5:$I$204,K622)))</f>
        <v/>
      </c>
      <c r="O622" s="11">
        <f>IF(A622="","",IF(K622="",0,J622*INDEX(Products!$H$5:$H$204,K622)))</f>
        <v/>
      </c>
      <c r="P622" s="11">
        <f>IF(A622="","",J622-M622-N622-O622)</f>
        <v/>
      </c>
    </row>
    <row r="623">
      <c r="A623">
        <f>IFERROR(INDEX('Shopify Import'!$A:$CZ,623,Settings!$E$20)&amp;"","")</f>
        <v/>
      </c>
      <c r="B623">
        <f>IFERROR(INDEX('Shopify Import'!$A:$CZ,623,Settings!$E$21)&amp;"","")</f>
        <v/>
      </c>
      <c r="C623">
        <f>IFERROR(INDEX('Shopify Import'!$A:$CZ,623,Settings!$E$22)&amp;"","")</f>
        <v/>
      </c>
      <c r="D623">
        <f>IF(A623="","",IFERROR(VALUE(SUBSTITUTE(SUBSTITUTE(INDEX('Shopify Import'!$A:$CZ,623,Settings!$E$23)&amp;"","$",""),",","")),0))</f>
        <v/>
      </c>
      <c r="E623" s="11">
        <f>IF(A623="","",IFERROR(VALUE(SUBSTITUTE(SUBSTITUTE(INDEX('Shopify Import'!$A:$CZ,623,Settings!$E$24)&amp;"","$",""),",","")),0))</f>
        <v/>
      </c>
      <c r="F623" s="11">
        <f>IF(A623="","",D623*E623)</f>
        <v/>
      </c>
      <c r="G623">
        <f>IF(A623="","",IF(C623="",1,COUNTIF($C$2:$C$1501,C623)))</f>
        <v/>
      </c>
      <c r="H623" s="11">
        <f>IF(A623="","",IFERROR(VALUE(SUBSTITUTE(SUBSTITUTE(INDEX('Shopify Import'!$A:$CZ,623,Settings!$E$25)&amp;"","$",""),",","")),0)/IF(Settings!$D$27="Yes",G623,1))</f>
        <v/>
      </c>
      <c r="I623" s="11">
        <f>IF(A623="","",IFERROR(VALUE(SUBSTITUTE(SUBSTITUTE(INDEX('Shopify Import'!$A:$CZ,623,Settings!$E$26)&amp;"","$",""),",","")),0)/IF(Settings!$D$27="Yes",G623,1))</f>
        <v/>
      </c>
      <c r="J623" s="11">
        <f>IF(A623="","",F623+H623-I623)</f>
        <v/>
      </c>
      <c r="K623">
        <f>IF(A623="","",IFERROR(IF(B623="",NA(),MATCH(B623,Products!$B$5:$B$204,0)),IFERROR(MATCH(A623,Products!$A$5:$A$204,0),"")))</f>
        <v/>
      </c>
      <c r="L623">
        <f>IF(A623="","",IF(K623="","⚠ not in Products",INDEX(Products!$A$5:$A$204,K623)))</f>
        <v/>
      </c>
      <c r="M623" s="11">
        <f>IF(A623="","",J623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623+IFERROR(INDEX(Settings!$D$5:$D$9,MATCH("Shopify",Settings!$A$5:$A$9,0)),0)*D623)</f>
        <v/>
      </c>
      <c r="N623" s="11">
        <f>IF(A623="","",IF(K623="",0,D623*INDEX(Products!$I$5:$I$204,K623)))</f>
        <v/>
      </c>
      <c r="O623" s="11">
        <f>IF(A623="","",IF(K623="",0,J623*INDEX(Products!$H$5:$H$204,K623)))</f>
        <v/>
      </c>
      <c r="P623" s="11">
        <f>IF(A623="","",J623-M623-N623-O623)</f>
        <v/>
      </c>
    </row>
    <row r="624">
      <c r="A624">
        <f>IFERROR(INDEX('Shopify Import'!$A:$CZ,624,Settings!$E$20)&amp;"","")</f>
        <v/>
      </c>
      <c r="B624">
        <f>IFERROR(INDEX('Shopify Import'!$A:$CZ,624,Settings!$E$21)&amp;"","")</f>
        <v/>
      </c>
      <c r="C624">
        <f>IFERROR(INDEX('Shopify Import'!$A:$CZ,624,Settings!$E$22)&amp;"","")</f>
        <v/>
      </c>
      <c r="D624">
        <f>IF(A624="","",IFERROR(VALUE(SUBSTITUTE(SUBSTITUTE(INDEX('Shopify Import'!$A:$CZ,624,Settings!$E$23)&amp;"","$",""),",","")),0))</f>
        <v/>
      </c>
      <c r="E624" s="11">
        <f>IF(A624="","",IFERROR(VALUE(SUBSTITUTE(SUBSTITUTE(INDEX('Shopify Import'!$A:$CZ,624,Settings!$E$24)&amp;"","$",""),",","")),0))</f>
        <v/>
      </c>
      <c r="F624" s="11">
        <f>IF(A624="","",D624*E624)</f>
        <v/>
      </c>
      <c r="G624">
        <f>IF(A624="","",IF(C624="",1,COUNTIF($C$2:$C$1501,C624)))</f>
        <v/>
      </c>
      <c r="H624" s="11">
        <f>IF(A624="","",IFERROR(VALUE(SUBSTITUTE(SUBSTITUTE(INDEX('Shopify Import'!$A:$CZ,624,Settings!$E$25)&amp;"","$",""),",","")),0)/IF(Settings!$D$27="Yes",G624,1))</f>
        <v/>
      </c>
      <c r="I624" s="11">
        <f>IF(A624="","",IFERROR(VALUE(SUBSTITUTE(SUBSTITUTE(INDEX('Shopify Import'!$A:$CZ,624,Settings!$E$26)&amp;"","$",""),",","")),0)/IF(Settings!$D$27="Yes",G624,1))</f>
        <v/>
      </c>
      <c r="J624" s="11">
        <f>IF(A624="","",F624+H624-I624)</f>
        <v/>
      </c>
      <c r="K624">
        <f>IF(A624="","",IFERROR(IF(B624="",NA(),MATCH(B624,Products!$B$5:$B$204,0)),IFERROR(MATCH(A624,Products!$A$5:$A$204,0),"")))</f>
        <v/>
      </c>
      <c r="L624">
        <f>IF(A624="","",IF(K624="","⚠ not in Products",INDEX(Products!$A$5:$A$204,K624)))</f>
        <v/>
      </c>
      <c r="M624" s="11">
        <f>IF(A624="","",J624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624+IFERROR(INDEX(Settings!$D$5:$D$9,MATCH("Shopify",Settings!$A$5:$A$9,0)),0)*D624)</f>
        <v/>
      </c>
      <c r="N624" s="11">
        <f>IF(A624="","",IF(K624="",0,D624*INDEX(Products!$I$5:$I$204,K624)))</f>
        <v/>
      </c>
      <c r="O624" s="11">
        <f>IF(A624="","",IF(K624="",0,J624*INDEX(Products!$H$5:$H$204,K624)))</f>
        <v/>
      </c>
      <c r="P624" s="11">
        <f>IF(A624="","",J624-M624-N624-O624)</f>
        <v/>
      </c>
    </row>
    <row r="625">
      <c r="A625">
        <f>IFERROR(INDEX('Shopify Import'!$A:$CZ,625,Settings!$E$20)&amp;"","")</f>
        <v/>
      </c>
      <c r="B625">
        <f>IFERROR(INDEX('Shopify Import'!$A:$CZ,625,Settings!$E$21)&amp;"","")</f>
        <v/>
      </c>
      <c r="C625">
        <f>IFERROR(INDEX('Shopify Import'!$A:$CZ,625,Settings!$E$22)&amp;"","")</f>
        <v/>
      </c>
      <c r="D625">
        <f>IF(A625="","",IFERROR(VALUE(SUBSTITUTE(SUBSTITUTE(INDEX('Shopify Import'!$A:$CZ,625,Settings!$E$23)&amp;"","$",""),",","")),0))</f>
        <v/>
      </c>
      <c r="E625" s="11">
        <f>IF(A625="","",IFERROR(VALUE(SUBSTITUTE(SUBSTITUTE(INDEX('Shopify Import'!$A:$CZ,625,Settings!$E$24)&amp;"","$",""),",","")),0))</f>
        <v/>
      </c>
      <c r="F625" s="11">
        <f>IF(A625="","",D625*E625)</f>
        <v/>
      </c>
      <c r="G625">
        <f>IF(A625="","",IF(C625="",1,COUNTIF($C$2:$C$1501,C625)))</f>
        <v/>
      </c>
      <c r="H625" s="11">
        <f>IF(A625="","",IFERROR(VALUE(SUBSTITUTE(SUBSTITUTE(INDEX('Shopify Import'!$A:$CZ,625,Settings!$E$25)&amp;"","$",""),",","")),0)/IF(Settings!$D$27="Yes",G625,1))</f>
        <v/>
      </c>
      <c r="I625" s="11">
        <f>IF(A625="","",IFERROR(VALUE(SUBSTITUTE(SUBSTITUTE(INDEX('Shopify Import'!$A:$CZ,625,Settings!$E$26)&amp;"","$",""),",","")),0)/IF(Settings!$D$27="Yes",G625,1))</f>
        <v/>
      </c>
      <c r="J625" s="11">
        <f>IF(A625="","",F625+H625-I625)</f>
        <v/>
      </c>
      <c r="K625">
        <f>IF(A625="","",IFERROR(IF(B625="",NA(),MATCH(B625,Products!$B$5:$B$204,0)),IFERROR(MATCH(A625,Products!$A$5:$A$204,0),"")))</f>
        <v/>
      </c>
      <c r="L625">
        <f>IF(A625="","",IF(K625="","⚠ not in Products",INDEX(Products!$A$5:$A$204,K625)))</f>
        <v/>
      </c>
      <c r="M625" s="11">
        <f>IF(A625="","",J625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625+IFERROR(INDEX(Settings!$D$5:$D$9,MATCH("Shopify",Settings!$A$5:$A$9,0)),0)*D625)</f>
        <v/>
      </c>
      <c r="N625" s="11">
        <f>IF(A625="","",IF(K625="",0,D625*INDEX(Products!$I$5:$I$204,K625)))</f>
        <v/>
      </c>
      <c r="O625" s="11">
        <f>IF(A625="","",IF(K625="",0,J625*INDEX(Products!$H$5:$H$204,K625)))</f>
        <v/>
      </c>
      <c r="P625" s="11">
        <f>IF(A625="","",J625-M625-N625-O625)</f>
        <v/>
      </c>
    </row>
    <row r="626">
      <c r="A626">
        <f>IFERROR(INDEX('Shopify Import'!$A:$CZ,626,Settings!$E$20)&amp;"","")</f>
        <v/>
      </c>
      <c r="B626">
        <f>IFERROR(INDEX('Shopify Import'!$A:$CZ,626,Settings!$E$21)&amp;"","")</f>
        <v/>
      </c>
      <c r="C626">
        <f>IFERROR(INDEX('Shopify Import'!$A:$CZ,626,Settings!$E$22)&amp;"","")</f>
        <v/>
      </c>
      <c r="D626">
        <f>IF(A626="","",IFERROR(VALUE(SUBSTITUTE(SUBSTITUTE(INDEX('Shopify Import'!$A:$CZ,626,Settings!$E$23)&amp;"","$",""),",","")),0))</f>
        <v/>
      </c>
      <c r="E626" s="11">
        <f>IF(A626="","",IFERROR(VALUE(SUBSTITUTE(SUBSTITUTE(INDEX('Shopify Import'!$A:$CZ,626,Settings!$E$24)&amp;"","$",""),",","")),0))</f>
        <v/>
      </c>
      <c r="F626" s="11">
        <f>IF(A626="","",D626*E626)</f>
        <v/>
      </c>
      <c r="G626">
        <f>IF(A626="","",IF(C626="",1,COUNTIF($C$2:$C$1501,C626)))</f>
        <v/>
      </c>
      <c r="H626" s="11">
        <f>IF(A626="","",IFERROR(VALUE(SUBSTITUTE(SUBSTITUTE(INDEX('Shopify Import'!$A:$CZ,626,Settings!$E$25)&amp;"","$",""),",","")),0)/IF(Settings!$D$27="Yes",G626,1))</f>
        <v/>
      </c>
      <c r="I626" s="11">
        <f>IF(A626="","",IFERROR(VALUE(SUBSTITUTE(SUBSTITUTE(INDEX('Shopify Import'!$A:$CZ,626,Settings!$E$26)&amp;"","$",""),",","")),0)/IF(Settings!$D$27="Yes",G626,1))</f>
        <v/>
      </c>
      <c r="J626" s="11">
        <f>IF(A626="","",F626+H626-I626)</f>
        <v/>
      </c>
      <c r="K626">
        <f>IF(A626="","",IFERROR(IF(B626="",NA(),MATCH(B626,Products!$B$5:$B$204,0)),IFERROR(MATCH(A626,Products!$A$5:$A$204,0),"")))</f>
        <v/>
      </c>
      <c r="L626">
        <f>IF(A626="","",IF(K626="","⚠ not in Products",INDEX(Products!$A$5:$A$204,K626)))</f>
        <v/>
      </c>
      <c r="M626" s="11">
        <f>IF(A626="","",J626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626+IFERROR(INDEX(Settings!$D$5:$D$9,MATCH("Shopify",Settings!$A$5:$A$9,0)),0)*D626)</f>
        <v/>
      </c>
      <c r="N626" s="11">
        <f>IF(A626="","",IF(K626="",0,D626*INDEX(Products!$I$5:$I$204,K626)))</f>
        <v/>
      </c>
      <c r="O626" s="11">
        <f>IF(A626="","",IF(K626="",0,J626*INDEX(Products!$H$5:$H$204,K626)))</f>
        <v/>
      </c>
      <c r="P626" s="11">
        <f>IF(A626="","",J626-M626-N626-O626)</f>
        <v/>
      </c>
    </row>
    <row r="627">
      <c r="A627">
        <f>IFERROR(INDEX('Shopify Import'!$A:$CZ,627,Settings!$E$20)&amp;"","")</f>
        <v/>
      </c>
      <c r="B627">
        <f>IFERROR(INDEX('Shopify Import'!$A:$CZ,627,Settings!$E$21)&amp;"","")</f>
        <v/>
      </c>
      <c r="C627">
        <f>IFERROR(INDEX('Shopify Import'!$A:$CZ,627,Settings!$E$22)&amp;"","")</f>
        <v/>
      </c>
      <c r="D627">
        <f>IF(A627="","",IFERROR(VALUE(SUBSTITUTE(SUBSTITUTE(INDEX('Shopify Import'!$A:$CZ,627,Settings!$E$23)&amp;"","$",""),",","")),0))</f>
        <v/>
      </c>
      <c r="E627" s="11">
        <f>IF(A627="","",IFERROR(VALUE(SUBSTITUTE(SUBSTITUTE(INDEX('Shopify Import'!$A:$CZ,627,Settings!$E$24)&amp;"","$",""),",","")),0))</f>
        <v/>
      </c>
      <c r="F627" s="11">
        <f>IF(A627="","",D627*E627)</f>
        <v/>
      </c>
      <c r="G627">
        <f>IF(A627="","",IF(C627="",1,COUNTIF($C$2:$C$1501,C627)))</f>
        <v/>
      </c>
      <c r="H627" s="11">
        <f>IF(A627="","",IFERROR(VALUE(SUBSTITUTE(SUBSTITUTE(INDEX('Shopify Import'!$A:$CZ,627,Settings!$E$25)&amp;"","$",""),",","")),0)/IF(Settings!$D$27="Yes",G627,1))</f>
        <v/>
      </c>
      <c r="I627" s="11">
        <f>IF(A627="","",IFERROR(VALUE(SUBSTITUTE(SUBSTITUTE(INDEX('Shopify Import'!$A:$CZ,627,Settings!$E$26)&amp;"","$",""),",","")),0)/IF(Settings!$D$27="Yes",G627,1))</f>
        <v/>
      </c>
      <c r="J627" s="11">
        <f>IF(A627="","",F627+H627-I627)</f>
        <v/>
      </c>
      <c r="K627">
        <f>IF(A627="","",IFERROR(IF(B627="",NA(),MATCH(B627,Products!$B$5:$B$204,0)),IFERROR(MATCH(A627,Products!$A$5:$A$204,0),"")))</f>
        <v/>
      </c>
      <c r="L627">
        <f>IF(A627="","",IF(K627="","⚠ not in Products",INDEX(Products!$A$5:$A$204,K627)))</f>
        <v/>
      </c>
      <c r="M627" s="11">
        <f>IF(A627="","",J627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627+IFERROR(INDEX(Settings!$D$5:$D$9,MATCH("Shopify",Settings!$A$5:$A$9,0)),0)*D627)</f>
        <v/>
      </c>
      <c r="N627" s="11">
        <f>IF(A627="","",IF(K627="",0,D627*INDEX(Products!$I$5:$I$204,K627)))</f>
        <v/>
      </c>
      <c r="O627" s="11">
        <f>IF(A627="","",IF(K627="",0,J627*INDEX(Products!$H$5:$H$204,K627)))</f>
        <v/>
      </c>
      <c r="P627" s="11">
        <f>IF(A627="","",J627-M627-N627-O627)</f>
        <v/>
      </c>
    </row>
    <row r="628">
      <c r="A628">
        <f>IFERROR(INDEX('Shopify Import'!$A:$CZ,628,Settings!$E$20)&amp;"","")</f>
        <v/>
      </c>
      <c r="B628">
        <f>IFERROR(INDEX('Shopify Import'!$A:$CZ,628,Settings!$E$21)&amp;"","")</f>
        <v/>
      </c>
      <c r="C628">
        <f>IFERROR(INDEX('Shopify Import'!$A:$CZ,628,Settings!$E$22)&amp;"","")</f>
        <v/>
      </c>
      <c r="D628">
        <f>IF(A628="","",IFERROR(VALUE(SUBSTITUTE(SUBSTITUTE(INDEX('Shopify Import'!$A:$CZ,628,Settings!$E$23)&amp;"","$",""),",","")),0))</f>
        <v/>
      </c>
      <c r="E628" s="11">
        <f>IF(A628="","",IFERROR(VALUE(SUBSTITUTE(SUBSTITUTE(INDEX('Shopify Import'!$A:$CZ,628,Settings!$E$24)&amp;"","$",""),",","")),0))</f>
        <v/>
      </c>
      <c r="F628" s="11">
        <f>IF(A628="","",D628*E628)</f>
        <v/>
      </c>
      <c r="G628">
        <f>IF(A628="","",IF(C628="",1,COUNTIF($C$2:$C$1501,C628)))</f>
        <v/>
      </c>
      <c r="H628" s="11">
        <f>IF(A628="","",IFERROR(VALUE(SUBSTITUTE(SUBSTITUTE(INDEX('Shopify Import'!$A:$CZ,628,Settings!$E$25)&amp;"","$",""),",","")),0)/IF(Settings!$D$27="Yes",G628,1))</f>
        <v/>
      </c>
      <c r="I628" s="11">
        <f>IF(A628="","",IFERROR(VALUE(SUBSTITUTE(SUBSTITUTE(INDEX('Shopify Import'!$A:$CZ,628,Settings!$E$26)&amp;"","$",""),",","")),0)/IF(Settings!$D$27="Yes",G628,1))</f>
        <v/>
      </c>
      <c r="J628" s="11">
        <f>IF(A628="","",F628+H628-I628)</f>
        <v/>
      </c>
      <c r="K628">
        <f>IF(A628="","",IFERROR(IF(B628="",NA(),MATCH(B628,Products!$B$5:$B$204,0)),IFERROR(MATCH(A628,Products!$A$5:$A$204,0),"")))</f>
        <v/>
      </c>
      <c r="L628">
        <f>IF(A628="","",IF(K628="","⚠ not in Products",INDEX(Products!$A$5:$A$204,K628)))</f>
        <v/>
      </c>
      <c r="M628" s="11">
        <f>IF(A628="","",J628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628+IFERROR(INDEX(Settings!$D$5:$D$9,MATCH("Shopify",Settings!$A$5:$A$9,0)),0)*D628)</f>
        <v/>
      </c>
      <c r="N628" s="11">
        <f>IF(A628="","",IF(K628="",0,D628*INDEX(Products!$I$5:$I$204,K628)))</f>
        <v/>
      </c>
      <c r="O628" s="11">
        <f>IF(A628="","",IF(K628="",0,J628*INDEX(Products!$H$5:$H$204,K628)))</f>
        <v/>
      </c>
      <c r="P628" s="11">
        <f>IF(A628="","",J628-M628-N628-O628)</f>
        <v/>
      </c>
    </row>
    <row r="629">
      <c r="A629">
        <f>IFERROR(INDEX('Shopify Import'!$A:$CZ,629,Settings!$E$20)&amp;"","")</f>
        <v/>
      </c>
      <c r="B629">
        <f>IFERROR(INDEX('Shopify Import'!$A:$CZ,629,Settings!$E$21)&amp;"","")</f>
        <v/>
      </c>
      <c r="C629">
        <f>IFERROR(INDEX('Shopify Import'!$A:$CZ,629,Settings!$E$22)&amp;"","")</f>
        <v/>
      </c>
      <c r="D629">
        <f>IF(A629="","",IFERROR(VALUE(SUBSTITUTE(SUBSTITUTE(INDEX('Shopify Import'!$A:$CZ,629,Settings!$E$23)&amp;"","$",""),",","")),0))</f>
        <v/>
      </c>
      <c r="E629" s="11">
        <f>IF(A629="","",IFERROR(VALUE(SUBSTITUTE(SUBSTITUTE(INDEX('Shopify Import'!$A:$CZ,629,Settings!$E$24)&amp;"","$",""),",","")),0))</f>
        <v/>
      </c>
      <c r="F629" s="11">
        <f>IF(A629="","",D629*E629)</f>
        <v/>
      </c>
      <c r="G629">
        <f>IF(A629="","",IF(C629="",1,COUNTIF($C$2:$C$1501,C629)))</f>
        <v/>
      </c>
      <c r="H629" s="11">
        <f>IF(A629="","",IFERROR(VALUE(SUBSTITUTE(SUBSTITUTE(INDEX('Shopify Import'!$A:$CZ,629,Settings!$E$25)&amp;"","$",""),",","")),0)/IF(Settings!$D$27="Yes",G629,1))</f>
        <v/>
      </c>
      <c r="I629" s="11">
        <f>IF(A629="","",IFERROR(VALUE(SUBSTITUTE(SUBSTITUTE(INDEX('Shopify Import'!$A:$CZ,629,Settings!$E$26)&amp;"","$",""),",","")),0)/IF(Settings!$D$27="Yes",G629,1))</f>
        <v/>
      </c>
      <c r="J629" s="11">
        <f>IF(A629="","",F629+H629-I629)</f>
        <v/>
      </c>
      <c r="K629">
        <f>IF(A629="","",IFERROR(IF(B629="",NA(),MATCH(B629,Products!$B$5:$B$204,0)),IFERROR(MATCH(A629,Products!$A$5:$A$204,0),"")))</f>
        <v/>
      </c>
      <c r="L629">
        <f>IF(A629="","",IF(K629="","⚠ not in Products",INDEX(Products!$A$5:$A$204,K629)))</f>
        <v/>
      </c>
      <c r="M629" s="11">
        <f>IF(A629="","",J629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629+IFERROR(INDEX(Settings!$D$5:$D$9,MATCH("Shopify",Settings!$A$5:$A$9,0)),0)*D629)</f>
        <v/>
      </c>
      <c r="N629" s="11">
        <f>IF(A629="","",IF(K629="",0,D629*INDEX(Products!$I$5:$I$204,K629)))</f>
        <v/>
      </c>
      <c r="O629" s="11">
        <f>IF(A629="","",IF(K629="",0,J629*INDEX(Products!$H$5:$H$204,K629)))</f>
        <v/>
      </c>
      <c r="P629" s="11">
        <f>IF(A629="","",J629-M629-N629-O629)</f>
        <v/>
      </c>
    </row>
    <row r="630">
      <c r="A630">
        <f>IFERROR(INDEX('Shopify Import'!$A:$CZ,630,Settings!$E$20)&amp;"","")</f>
        <v/>
      </c>
      <c r="B630">
        <f>IFERROR(INDEX('Shopify Import'!$A:$CZ,630,Settings!$E$21)&amp;"","")</f>
        <v/>
      </c>
      <c r="C630">
        <f>IFERROR(INDEX('Shopify Import'!$A:$CZ,630,Settings!$E$22)&amp;"","")</f>
        <v/>
      </c>
      <c r="D630">
        <f>IF(A630="","",IFERROR(VALUE(SUBSTITUTE(SUBSTITUTE(INDEX('Shopify Import'!$A:$CZ,630,Settings!$E$23)&amp;"","$",""),",","")),0))</f>
        <v/>
      </c>
      <c r="E630" s="11">
        <f>IF(A630="","",IFERROR(VALUE(SUBSTITUTE(SUBSTITUTE(INDEX('Shopify Import'!$A:$CZ,630,Settings!$E$24)&amp;"","$",""),",","")),0))</f>
        <v/>
      </c>
      <c r="F630" s="11">
        <f>IF(A630="","",D630*E630)</f>
        <v/>
      </c>
      <c r="G630">
        <f>IF(A630="","",IF(C630="",1,COUNTIF($C$2:$C$1501,C630)))</f>
        <v/>
      </c>
      <c r="H630" s="11">
        <f>IF(A630="","",IFERROR(VALUE(SUBSTITUTE(SUBSTITUTE(INDEX('Shopify Import'!$A:$CZ,630,Settings!$E$25)&amp;"","$",""),",","")),0)/IF(Settings!$D$27="Yes",G630,1))</f>
        <v/>
      </c>
      <c r="I630" s="11">
        <f>IF(A630="","",IFERROR(VALUE(SUBSTITUTE(SUBSTITUTE(INDEX('Shopify Import'!$A:$CZ,630,Settings!$E$26)&amp;"","$",""),",","")),0)/IF(Settings!$D$27="Yes",G630,1))</f>
        <v/>
      </c>
      <c r="J630" s="11">
        <f>IF(A630="","",F630+H630-I630)</f>
        <v/>
      </c>
      <c r="K630">
        <f>IF(A630="","",IFERROR(IF(B630="",NA(),MATCH(B630,Products!$B$5:$B$204,0)),IFERROR(MATCH(A630,Products!$A$5:$A$204,0),"")))</f>
        <v/>
      </c>
      <c r="L630">
        <f>IF(A630="","",IF(K630="","⚠ not in Products",INDEX(Products!$A$5:$A$204,K630)))</f>
        <v/>
      </c>
      <c r="M630" s="11">
        <f>IF(A630="","",J630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630+IFERROR(INDEX(Settings!$D$5:$D$9,MATCH("Shopify",Settings!$A$5:$A$9,0)),0)*D630)</f>
        <v/>
      </c>
      <c r="N630" s="11">
        <f>IF(A630="","",IF(K630="",0,D630*INDEX(Products!$I$5:$I$204,K630)))</f>
        <v/>
      </c>
      <c r="O630" s="11">
        <f>IF(A630="","",IF(K630="",0,J630*INDEX(Products!$H$5:$H$204,K630)))</f>
        <v/>
      </c>
      <c r="P630" s="11">
        <f>IF(A630="","",J630-M630-N630-O630)</f>
        <v/>
      </c>
    </row>
    <row r="631">
      <c r="A631">
        <f>IFERROR(INDEX('Shopify Import'!$A:$CZ,631,Settings!$E$20)&amp;"","")</f>
        <v/>
      </c>
      <c r="B631">
        <f>IFERROR(INDEX('Shopify Import'!$A:$CZ,631,Settings!$E$21)&amp;"","")</f>
        <v/>
      </c>
      <c r="C631">
        <f>IFERROR(INDEX('Shopify Import'!$A:$CZ,631,Settings!$E$22)&amp;"","")</f>
        <v/>
      </c>
      <c r="D631">
        <f>IF(A631="","",IFERROR(VALUE(SUBSTITUTE(SUBSTITUTE(INDEX('Shopify Import'!$A:$CZ,631,Settings!$E$23)&amp;"","$",""),",","")),0))</f>
        <v/>
      </c>
      <c r="E631" s="11">
        <f>IF(A631="","",IFERROR(VALUE(SUBSTITUTE(SUBSTITUTE(INDEX('Shopify Import'!$A:$CZ,631,Settings!$E$24)&amp;"","$",""),",","")),0))</f>
        <v/>
      </c>
      <c r="F631" s="11">
        <f>IF(A631="","",D631*E631)</f>
        <v/>
      </c>
      <c r="G631">
        <f>IF(A631="","",IF(C631="",1,COUNTIF($C$2:$C$1501,C631)))</f>
        <v/>
      </c>
      <c r="H631" s="11">
        <f>IF(A631="","",IFERROR(VALUE(SUBSTITUTE(SUBSTITUTE(INDEX('Shopify Import'!$A:$CZ,631,Settings!$E$25)&amp;"","$",""),",","")),0)/IF(Settings!$D$27="Yes",G631,1))</f>
        <v/>
      </c>
      <c r="I631" s="11">
        <f>IF(A631="","",IFERROR(VALUE(SUBSTITUTE(SUBSTITUTE(INDEX('Shopify Import'!$A:$CZ,631,Settings!$E$26)&amp;"","$",""),",","")),0)/IF(Settings!$D$27="Yes",G631,1))</f>
        <v/>
      </c>
      <c r="J631" s="11">
        <f>IF(A631="","",F631+H631-I631)</f>
        <v/>
      </c>
      <c r="K631">
        <f>IF(A631="","",IFERROR(IF(B631="",NA(),MATCH(B631,Products!$B$5:$B$204,0)),IFERROR(MATCH(A631,Products!$A$5:$A$204,0),"")))</f>
        <v/>
      </c>
      <c r="L631">
        <f>IF(A631="","",IF(K631="","⚠ not in Products",INDEX(Products!$A$5:$A$204,K631)))</f>
        <v/>
      </c>
      <c r="M631" s="11">
        <f>IF(A631="","",J631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631+IFERROR(INDEX(Settings!$D$5:$D$9,MATCH("Shopify",Settings!$A$5:$A$9,0)),0)*D631)</f>
        <v/>
      </c>
      <c r="N631" s="11">
        <f>IF(A631="","",IF(K631="",0,D631*INDEX(Products!$I$5:$I$204,K631)))</f>
        <v/>
      </c>
      <c r="O631" s="11">
        <f>IF(A631="","",IF(K631="",0,J631*INDEX(Products!$H$5:$H$204,K631)))</f>
        <v/>
      </c>
      <c r="P631" s="11">
        <f>IF(A631="","",J631-M631-N631-O631)</f>
        <v/>
      </c>
    </row>
    <row r="632">
      <c r="A632">
        <f>IFERROR(INDEX('Shopify Import'!$A:$CZ,632,Settings!$E$20)&amp;"","")</f>
        <v/>
      </c>
      <c r="B632">
        <f>IFERROR(INDEX('Shopify Import'!$A:$CZ,632,Settings!$E$21)&amp;"","")</f>
        <v/>
      </c>
      <c r="C632">
        <f>IFERROR(INDEX('Shopify Import'!$A:$CZ,632,Settings!$E$22)&amp;"","")</f>
        <v/>
      </c>
      <c r="D632">
        <f>IF(A632="","",IFERROR(VALUE(SUBSTITUTE(SUBSTITUTE(INDEX('Shopify Import'!$A:$CZ,632,Settings!$E$23)&amp;"","$",""),",","")),0))</f>
        <v/>
      </c>
      <c r="E632" s="11">
        <f>IF(A632="","",IFERROR(VALUE(SUBSTITUTE(SUBSTITUTE(INDEX('Shopify Import'!$A:$CZ,632,Settings!$E$24)&amp;"","$",""),",","")),0))</f>
        <v/>
      </c>
      <c r="F632" s="11">
        <f>IF(A632="","",D632*E632)</f>
        <v/>
      </c>
      <c r="G632">
        <f>IF(A632="","",IF(C632="",1,COUNTIF($C$2:$C$1501,C632)))</f>
        <v/>
      </c>
      <c r="H632" s="11">
        <f>IF(A632="","",IFERROR(VALUE(SUBSTITUTE(SUBSTITUTE(INDEX('Shopify Import'!$A:$CZ,632,Settings!$E$25)&amp;"","$",""),",","")),0)/IF(Settings!$D$27="Yes",G632,1))</f>
        <v/>
      </c>
      <c r="I632" s="11">
        <f>IF(A632="","",IFERROR(VALUE(SUBSTITUTE(SUBSTITUTE(INDEX('Shopify Import'!$A:$CZ,632,Settings!$E$26)&amp;"","$",""),",","")),0)/IF(Settings!$D$27="Yes",G632,1))</f>
        <v/>
      </c>
      <c r="J632" s="11">
        <f>IF(A632="","",F632+H632-I632)</f>
        <v/>
      </c>
      <c r="K632">
        <f>IF(A632="","",IFERROR(IF(B632="",NA(),MATCH(B632,Products!$B$5:$B$204,0)),IFERROR(MATCH(A632,Products!$A$5:$A$204,0),"")))</f>
        <v/>
      </c>
      <c r="L632">
        <f>IF(A632="","",IF(K632="","⚠ not in Products",INDEX(Products!$A$5:$A$204,K632)))</f>
        <v/>
      </c>
      <c r="M632" s="11">
        <f>IF(A632="","",J632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632+IFERROR(INDEX(Settings!$D$5:$D$9,MATCH("Shopify",Settings!$A$5:$A$9,0)),0)*D632)</f>
        <v/>
      </c>
      <c r="N632" s="11">
        <f>IF(A632="","",IF(K632="",0,D632*INDEX(Products!$I$5:$I$204,K632)))</f>
        <v/>
      </c>
      <c r="O632" s="11">
        <f>IF(A632="","",IF(K632="",0,J632*INDEX(Products!$H$5:$H$204,K632)))</f>
        <v/>
      </c>
      <c r="P632" s="11">
        <f>IF(A632="","",J632-M632-N632-O632)</f>
        <v/>
      </c>
    </row>
    <row r="633">
      <c r="A633">
        <f>IFERROR(INDEX('Shopify Import'!$A:$CZ,633,Settings!$E$20)&amp;"","")</f>
        <v/>
      </c>
      <c r="B633">
        <f>IFERROR(INDEX('Shopify Import'!$A:$CZ,633,Settings!$E$21)&amp;"","")</f>
        <v/>
      </c>
      <c r="C633">
        <f>IFERROR(INDEX('Shopify Import'!$A:$CZ,633,Settings!$E$22)&amp;"","")</f>
        <v/>
      </c>
      <c r="D633">
        <f>IF(A633="","",IFERROR(VALUE(SUBSTITUTE(SUBSTITUTE(INDEX('Shopify Import'!$A:$CZ,633,Settings!$E$23)&amp;"","$",""),",","")),0))</f>
        <v/>
      </c>
      <c r="E633" s="11">
        <f>IF(A633="","",IFERROR(VALUE(SUBSTITUTE(SUBSTITUTE(INDEX('Shopify Import'!$A:$CZ,633,Settings!$E$24)&amp;"","$",""),",","")),0))</f>
        <v/>
      </c>
      <c r="F633" s="11">
        <f>IF(A633="","",D633*E633)</f>
        <v/>
      </c>
      <c r="G633">
        <f>IF(A633="","",IF(C633="",1,COUNTIF($C$2:$C$1501,C633)))</f>
        <v/>
      </c>
      <c r="H633" s="11">
        <f>IF(A633="","",IFERROR(VALUE(SUBSTITUTE(SUBSTITUTE(INDEX('Shopify Import'!$A:$CZ,633,Settings!$E$25)&amp;"","$",""),",","")),0)/IF(Settings!$D$27="Yes",G633,1))</f>
        <v/>
      </c>
      <c r="I633" s="11">
        <f>IF(A633="","",IFERROR(VALUE(SUBSTITUTE(SUBSTITUTE(INDEX('Shopify Import'!$A:$CZ,633,Settings!$E$26)&amp;"","$",""),",","")),0)/IF(Settings!$D$27="Yes",G633,1))</f>
        <v/>
      </c>
      <c r="J633" s="11">
        <f>IF(A633="","",F633+H633-I633)</f>
        <v/>
      </c>
      <c r="K633">
        <f>IF(A633="","",IFERROR(IF(B633="",NA(),MATCH(B633,Products!$B$5:$B$204,0)),IFERROR(MATCH(A633,Products!$A$5:$A$204,0),"")))</f>
        <v/>
      </c>
      <c r="L633">
        <f>IF(A633="","",IF(K633="","⚠ not in Products",INDEX(Products!$A$5:$A$204,K633)))</f>
        <v/>
      </c>
      <c r="M633" s="11">
        <f>IF(A633="","",J633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633+IFERROR(INDEX(Settings!$D$5:$D$9,MATCH("Shopify",Settings!$A$5:$A$9,0)),0)*D633)</f>
        <v/>
      </c>
      <c r="N633" s="11">
        <f>IF(A633="","",IF(K633="",0,D633*INDEX(Products!$I$5:$I$204,K633)))</f>
        <v/>
      </c>
      <c r="O633" s="11">
        <f>IF(A633="","",IF(K633="",0,J633*INDEX(Products!$H$5:$H$204,K633)))</f>
        <v/>
      </c>
      <c r="P633" s="11">
        <f>IF(A633="","",J633-M633-N633-O633)</f>
        <v/>
      </c>
    </row>
    <row r="634">
      <c r="A634">
        <f>IFERROR(INDEX('Shopify Import'!$A:$CZ,634,Settings!$E$20)&amp;"","")</f>
        <v/>
      </c>
      <c r="B634">
        <f>IFERROR(INDEX('Shopify Import'!$A:$CZ,634,Settings!$E$21)&amp;"","")</f>
        <v/>
      </c>
      <c r="C634">
        <f>IFERROR(INDEX('Shopify Import'!$A:$CZ,634,Settings!$E$22)&amp;"","")</f>
        <v/>
      </c>
      <c r="D634">
        <f>IF(A634="","",IFERROR(VALUE(SUBSTITUTE(SUBSTITUTE(INDEX('Shopify Import'!$A:$CZ,634,Settings!$E$23)&amp;"","$",""),",","")),0))</f>
        <v/>
      </c>
      <c r="E634" s="11">
        <f>IF(A634="","",IFERROR(VALUE(SUBSTITUTE(SUBSTITUTE(INDEX('Shopify Import'!$A:$CZ,634,Settings!$E$24)&amp;"","$",""),",","")),0))</f>
        <v/>
      </c>
      <c r="F634" s="11">
        <f>IF(A634="","",D634*E634)</f>
        <v/>
      </c>
      <c r="G634">
        <f>IF(A634="","",IF(C634="",1,COUNTIF($C$2:$C$1501,C634)))</f>
        <v/>
      </c>
      <c r="H634" s="11">
        <f>IF(A634="","",IFERROR(VALUE(SUBSTITUTE(SUBSTITUTE(INDEX('Shopify Import'!$A:$CZ,634,Settings!$E$25)&amp;"","$",""),",","")),0)/IF(Settings!$D$27="Yes",G634,1))</f>
        <v/>
      </c>
      <c r="I634" s="11">
        <f>IF(A634="","",IFERROR(VALUE(SUBSTITUTE(SUBSTITUTE(INDEX('Shopify Import'!$A:$CZ,634,Settings!$E$26)&amp;"","$",""),",","")),0)/IF(Settings!$D$27="Yes",G634,1))</f>
        <v/>
      </c>
      <c r="J634" s="11">
        <f>IF(A634="","",F634+H634-I634)</f>
        <v/>
      </c>
      <c r="K634">
        <f>IF(A634="","",IFERROR(IF(B634="",NA(),MATCH(B634,Products!$B$5:$B$204,0)),IFERROR(MATCH(A634,Products!$A$5:$A$204,0),"")))</f>
        <v/>
      </c>
      <c r="L634">
        <f>IF(A634="","",IF(K634="","⚠ not in Products",INDEX(Products!$A$5:$A$204,K634)))</f>
        <v/>
      </c>
      <c r="M634" s="11">
        <f>IF(A634="","",J634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634+IFERROR(INDEX(Settings!$D$5:$D$9,MATCH("Shopify",Settings!$A$5:$A$9,0)),0)*D634)</f>
        <v/>
      </c>
      <c r="N634" s="11">
        <f>IF(A634="","",IF(K634="",0,D634*INDEX(Products!$I$5:$I$204,K634)))</f>
        <v/>
      </c>
      <c r="O634" s="11">
        <f>IF(A634="","",IF(K634="",0,J634*INDEX(Products!$H$5:$H$204,K634)))</f>
        <v/>
      </c>
      <c r="P634" s="11">
        <f>IF(A634="","",J634-M634-N634-O634)</f>
        <v/>
      </c>
    </row>
    <row r="635">
      <c r="A635">
        <f>IFERROR(INDEX('Shopify Import'!$A:$CZ,635,Settings!$E$20)&amp;"","")</f>
        <v/>
      </c>
      <c r="B635">
        <f>IFERROR(INDEX('Shopify Import'!$A:$CZ,635,Settings!$E$21)&amp;"","")</f>
        <v/>
      </c>
      <c r="C635">
        <f>IFERROR(INDEX('Shopify Import'!$A:$CZ,635,Settings!$E$22)&amp;"","")</f>
        <v/>
      </c>
      <c r="D635">
        <f>IF(A635="","",IFERROR(VALUE(SUBSTITUTE(SUBSTITUTE(INDEX('Shopify Import'!$A:$CZ,635,Settings!$E$23)&amp;"","$",""),",","")),0))</f>
        <v/>
      </c>
      <c r="E635" s="11">
        <f>IF(A635="","",IFERROR(VALUE(SUBSTITUTE(SUBSTITUTE(INDEX('Shopify Import'!$A:$CZ,635,Settings!$E$24)&amp;"","$",""),",","")),0))</f>
        <v/>
      </c>
      <c r="F635" s="11">
        <f>IF(A635="","",D635*E635)</f>
        <v/>
      </c>
      <c r="G635">
        <f>IF(A635="","",IF(C635="",1,COUNTIF($C$2:$C$1501,C635)))</f>
        <v/>
      </c>
      <c r="H635" s="11">
        <f>IF(A635="","",IFERROR(VALUE(SUBSTITUTE(SUBSTITUTE(INDEX('Shopify Import'!$A:$CZ,635,Settings!$E$25)&amp;"","$",""),",","")),0)/IF(Settings!$D$27="Yes",G635,1))</f>
        <v/>
      </c>
      <c r="I635" s="11">
        <f>IF(A635="","",IFERROR(VALUE(SUBSTITUTE(SUBSTITUTE(INDEX('Shopify Import'!$A:$CZ,635,Settings!$E$26)&amp;"","$",""),",","")),0)/IF(Settings!$D$27="Yes",G635,1))</f>
        <v/>
      </c>
      <c r="J635" s="11">
        <f>IF(A635="","",F635+H635-I635)</f>
        <v/>
      </c>
      <c r="K635">
        <f>IF(A635="","",IFERROR(IF(B635="",NA(),MATCH(B635,Products!$B$5:$B$204,0)),IFERROR(MATCH(A635,Products!$A$5:$A$204,0),"")))</f>
        <v/>
      </c>
      <c r="L635">
        <f>IF(A635="","",IF(K635="","⚠ not in Products",INDEX(Products!$A$5:$A$204,K635)))</f>
        <v/>
      </c>
      <c r="M635" s="11">
        <f>IF(A635="","",J635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635+IFERROR(INDEX(Settings!$D$5:$D$9,MATCH("Shopify",Settings!$A$5:$A$9,0)),0)*D635)</f>
        <v/>
      </c>
      <c r="N635" s="11">
        <f>IF(A635="","",IF(K635="",0,D635*INDEX(Products!$I$5:$I$204,K635)))</f>
        <v/>
      </c>
      <c r="O635" s="11">
        <f>IF(A635="","",IF(K635="",0,J635*INDEX(Products!$H$5:$H$204,K635)))</f>
        <v/>
      </c>
      <c r="P635" s="11">
        <f>IF(A635="","",J635-M635-N635-O635)</f>
        <v/>
      </c>
    </row>
    <row r="636">
      <c r="A636">
        <f>IFERROR(INDEX('Shopify Import'!$A:$CZ,636,Settings!$E$20)&amp;"","")</f>
        <v/>
      </c>
      <c r="B636">
        <f>IFERROR(INDEX('Shopify Import'!$A:$CZ,636,Settings!$E$21)&amp;"","")</f>
        <v/>
      </c>
      <c r="C636">
        <f>IFERROR(INDEX('Shopify Import'!$A:$CZ,636,Settings!$E$22)&amp;"","")</f>
        <v/>
      </c>
      <c r="D636">
        <f>IF(A636="","",IFERROR(VALUE(SUBSTITUTE(SUBSTITUTE(INDEX('Shopify Import'!$A:$CZ,636,Settings!$E$23)&amp;"","$",""),",","")),0))</f>
        <v/>
      </c>
      <c r="E636" s="11">
        <f>IF(A636="","",IFERROR(VALUE(SUBSTITUTE(SUBSTITUTE(INDEX('Shopify Import'!$A:$CZ,636,Settings!$E$24)&amp;"","$",""),",","")),0))</f>
        <v/>
      </c>
      <c r="F636" s="11">
        <f>IF(A636="","",D636*E636)</f>
        <v/>
      </c>
      <c r="G636">
        <f>IF(A636="","",IF(C636="",1,COUNTIF($C$2:$C$1501,C636)))</f>
        <v/>
      </c>
      <c r="H636" s="11">
        <f>IF(A636="","",IFERROR(VALUE(SUBSTITUTE(SUBSTITUTE(INDEX('Shopify Import'!$A:$CZ,636,Settings!$E$25)&amp;"","$",""),",","")),0)/IF(Settings!$D$27="Yes",G636,1))</f>
        <v/>
      </c>
      <c r="I636" s="11">
        <f>IF(A636="","",IFERROR(VALUE(SUBSTITUTE(SUBSTITUTE(INDEX('Shopify Import'!$A:$CZ,636,Settings!$E$26)&amp;"","$",""),",","")),0)/IF(Settings!$D$27="Yes",G636,1))</f>
        <v/>
      </c>
      <c r="J636" s="11">
        <f>IF(A636="","",F636+H636-I636)</f>
        <v/>
      </c>
      <c r="K636">
        <f>IF(A636="","",IFERROR(IF(B636="",NA(),MATCH(B636,Products!$B$5:$B$204,0)),IFERROR(MATCH(A636,Products!$A$5:$A$204,0),"")))</f>
        <v/>
      </c>
      <c r="L636">
        <f>IF(A636="","",IF(K636="","⚠ not in Products",INDEX(Products!$A$5:$A$204,K636)))</f>
        <v/>
      </c>
      <c r="M636" s="11">
        <f>IF(A636="","",J636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636+IFERROR(INDEX(Settings!$D$5:$D$9,MATCH("Shopify",Settings!$A$5:$A$9,0)),0)*D636)</f>
        <v/>
      </c>
      <c r="N636" s="11">
        <f>IF(A636="","",IF(K636="",0,D636*INDEX(Products!$I$5:$I$204,K636)))</f>
        <v/>
      </c>
      <c r="O636" s="11">
        <f>IF(A636="","",IF(K636="",0,J636*INDEX(Products!$H$5:$H$204,K636)))</f>
        <v/>
      </c>
      <c r="P636" s="11">
        <f>IF(A636="","",J636-M636-N636-O636)</f>
        <v/>
      </c>
    </row>
    <row r="637">
      <c r="A637">
        <f>IFERROR(INDEX('Shopify Import'!$A:$CZ,637,Settings!$E$20)&amp;"","")</f>
        <v/>
      </c>
      <c r="B637">
        <f>IFERROR(INDEX('Shopify Import'!$A:$CZ,637,Settings!$E$21)&amp;"","")</f>
        <v/>
      </c>
      <c r="C637">
        <f>IFERROR(INDEX('Shopify Import'!$A:$CZ,637,Settings!$E$22)&amp;"","")</f>
        <v/>
      </c>
      <c r="D637">
        <f>IF(A637="","",IFERROR(VALUE(SUBSTITUTE(SUBSTITUTE(INDEX('Shopify Import'!$A:$CZ,637,Settings!$E$23)&amp;"","$",""),",","")),0))</f>
        <v/>
      </c>
      <c r="E637" s="11">
        <f>IF(A637="","",IFERROR(VALUE(SUBSTITUTE(SUBSTITUTE(INDEX('Shopify Import'!$A:$CZ,637,Settings!$E$24)&amp;"","$",""),",","")),0))</f>
        <v/>
      </c>
      <c r="F637" s="11">
        <f>IF(A637="","",D637*E637)</f>
        <v/>
      </c>
      <c r="G637">
        <f>IF(A637="","",IF(C637="",1,COUNTIF($C$2:$C$1501,C637)))</f>
        <v/>
      </c>
      <c r="H637" s="11">
        <f>IF(A637="","",IFERROR(VALUE(SUBSTITUTE(SUBSTITUTE(INDEX('Shopify Import'!$A:$CZ,637,Settings!$E$25)&amp;"","$",""),",","")),0)/IF(Settings!$D$27="Yes",G637,1))</f>
        <v/>
      </c>
      <c r="I637" s="11">
        <f>IF(A637="","",IFERROR(VALUE(SUBSTITUTE(SUBSTITUTE(INDEX('Shopify Import'!$A:$CZ,637,Settings!$E$26)&amp;"","$",""),",","")),0)/IF(Settings!$D$27="Yes",G637,1))</f>
        <v/>
      </c>
      <c r="J637" s="11">
        <f>IF(A637="","",F637+H637-I637)</f>
        <v/>
      </c>
      <c r="K637">
        <f>IF(A637="","",IFERROR(IF(B637="",NA(),MATCH(B637,Products!$B$5:$B$204,0)),IFERROR(MATCH(A637,Products!$A$5:$A$204,0),"")))</f>
        <v/>
      </c>
      <c r="L637">
        <f>IF(A637="","",IF(K637="","⚠ not in Products",INDEX(Products!$A$5:$A$204,K637)))</f>
        <v/>
      </c>
      <c r="M637" s="11">
        <f>IF(A637="","",J637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637+IFERROR(INDEX(Settings!$D$5:$D$9,MATCH("Shopify",Settings!$A$5:$A$9,0)),0)*D637)</f>
        <v/>
      </c>
      <c r="N637" s="11">
        <f>IF(A637="","",IF(K637="",0,D637*INDEX(Products!$I$5:$I$204,K637)))</f>
        <v/>
      </c>
      <c r="O637" s="11">
        <f>IF(A637="","",IF(K637="",0,J637*INDEX(Products!$H$5:$H$204,K637)))</f>
        <v/>
      </c>
      <c r="P637" s="11">
        <f>IF(A637="","",J637-M637-N637-O637)</f>
        <v/>
      </c>
    </row>
    <row r="638">
      <c r="A638">
        <f>IFERROR(INDEX('Shopify Import'!$A:$CZ,638,Settings!$E$20)&amp;"","")</f>
        <v/>
      </c>
      <c r="B638">
        <f>IFERROR(INDEX('Shopify Import'!$A:$CZ,638,Settings!$E$21)&amp;"","")</f>
        <v/>
      </c>
      <c r="C638">
        <f>IFERROR(INDEX('Shopify Import'!$A:$CZ,638,Settings!$E$22)&amp;"","")</f>
        <v/>
      </c>
      <c r="D638">
        <f>IF(A638="","",IFERROR(VALUE(SUBSTITUTE(SUBSTITUTE(INDEX('Shopify Import'!$A:$CZ,638,Settings!$E$23)&amp;"","$",""),",","")),0))</f>
        <v/>
      </c>
      <c r="E638" s="11">
        <f>IF(A638="","",IFERROR(VALUE(SUBSTITUTE(SUBSTITUTE(INDEX('Shopify Import'!$A:$CZ,638,Settings!$E$24)&amp;"","$",""),",","")),0))</f>
        <v/>
      </c>
      <c r="F638" s="11">
        <f>IF(A638="","",D638*E638)</f>
        <v/>
      </c>
      <c r="G638">
        <f>IF(A638="","",IF(C638="",1,COUNTIF($C$2:$C$1501,C638)))</f>
        <v/>
      </c>
      <c r="H638" s="11">
        <f>IF(A638="","",IFERROR(VALUE(SUBSTITUTE(SUBSTITUTE(INDEX('Shopify Import'!$A:$CZ,638,Settings!$E$25)&amp;"","$",""),",","")),0)/IF(Settings!$D$27="Yes",G638,1))</f>
        <v/>
      </c>
      <c r="I638" s="11">
        <f>IF(A638="","",IFERROR(VALUE(SUBSTITUTE(SUBSTITUTE(INDEX('Shopify Import'!$A:$CZ,638,Settings!$E$26)&amp;"","$",""),",","")),0)/IF(Settings!$D$27="Yes",G638,1))</f>
        <v/>
      </c>
      <c r="J638" s="11">
        <f>IF(A638="","",F638+H638-I638)</f>
        <v/>
      </c>
      <c r="K638">
        <f>IF(A638="","",IFERROR(IF(B638="",NA(),MATCH(B638,Products!$B$5:$B$204,0)),IFERROR(MATCH(A638,Products!$A$5:$A$204,0),"")))</f>
        <v/>
      </c>
      <c r="L638">
        <f>IF(A638="","",IF(K638="","⚠ not in Products",INDEX(Products!$A$5:$A$204,K638)))</f>
        <v/>
      </c>
      <c r="M638" s="11">
        <f>IF(A638="","",J638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638+IFERROR(INDEX(Settings!$D$5:$D$9,MATCH("Shopify",Settings!$A$5:$A$9,0)),0)*D638)</f>
        <v/>
      </c>
      <c r="N638" s="11">
        <f>IF(A638="","",IF(K638="",0,D638*INDEX(Products!$I$5:$I$204,K638)))</f>
        <v/>
      </c>
      <c r="O638" s="11">
        <f>IF(A638="","",IF(K638="",0,J638*INDEX(Products!$H$5:$H$204,K638)))</f>
        <v/>
      </c>
      <c r="P638" s="11">
        <f>IF(A638="","",J638-M638-N638-O638)</f>
        <v/>
      </c>
    </row>
    <row r="639">
      <c r="A639">
        <f>IFERROR(INDEX('Shopify Import'!$A:$CZ,639,Settings!$E$20)&amp;"","")</f>
        <v/>
      </c>
      <c r="B639">
        <f>IFERROR(INDEX('Shopify Import'!$A:$CZ,639,Settings!$E$21)&amp;"","")</f>
        <v/>
      </c>
      <c r="C639">
        <f>IFERROR(INDEX('Shopify Import'!$A:$CZ,639,Settings!$E$22)&amp;"","")</f>
        <v/>
      </c>
      <c r="D639">
        <f>IF(A639="","",IFERROR(VALUE(SUBSTITUTE(SUBSTITUTE(INDEX('Shopify Import'!$A:$CZ,639,Settings!$E$23)&amp;"","$",""),",","")),0))</f>
        <v/>
      </c>
      <c r="E639" s="11">
        <f>IF(A639="","",IFERROR(VALUE(SUBSTITUTE(SUBSTITUTE(INDEX('Shopify Import'!$A:$CZ,639,Settings!$E$24)&amp;"","$",""),",","")),0))</f>
        <v/>
      </c>
      <c r="F639" s="11">
        <f>IF(A639="","",D639*E639)</f>
        <v/>
      </c>
      <c r="G639">
        <f>IF(A639="","",IF(C639="",1,COUNTIF($C$2:$C$1501,C639)))</f>
        <v/>
      </c>
      <c r="H639" s="11">
        <f>IF(A639="","",IFERROR(VALUE(SUBSTITUTE(SUBSTITUTE(INDEX('Shopify Import'!$A:$CZ,639,Settings!$E$25)&amp;"","$",""),",","")),0)/IF(Settings!$D$27="Yes",G639,1))</f>
        <v/>
      </c>
      <c r="I639" s="11">
        <f>IF(A639="","",IFERROR(VALUE(SUBSTITUTE(SUBSTITUTE(INDEX('Shopify Import'!$A:$CZ,639,Settings!$E$26)&amp;"","$",""),",","")),0)/IF(Settings!$D$27="Yes",G639,1))</f>
        <v/>
      </c>
      <c r="J639" s="11">
        <f>IF(A639="","",F639+H639-I639)</f>
        <v/>
      </c>
      <c r="K639">
        <f>IF(A639="","",IFERROR(IF(B639="",NA(),MATCH(B639,Products!$B$5:$B$204,0)),IFERROR(MATCH(A639,Products!$A$5:$A$204,0),"")))</f>
        <v/>
      </c>
      <c r="L639">
        <f>IF(A639="","",IF(K639="","⚠ not in Products",INDEX(Products!$A$5:$A$204,K639)))</f>
        <v/>
      </c>
      <c r="M639" s="11">
        <f>IF(A639="","",J639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639+IFERROR(INDEX(Settings!$D$5:$D$9,MATCH("Shopify",Settings!$A$5:$A$9,0)),0)*D639)</f>
        <v/>
      </c>
      <c r="N639" s="11">
        <f>IF(A639="","",IF(K639="",0,D639*INDEX(Products!$I$5:$I$204,K639)))</f>
        <v/>
      </c>
      <c r="O639" s="11">
        <f>IF(A639="","",IF(K639="",0,J639*INDEX(Products!$H$5:$H$204,K639)))</f>
        <v/>
      </c>
      <c r="P639" s="11">
        <f>IF(A639="","",J639-M639-N639-O639)</f>
        <v/>
      </c>
    </row>
    <row r="640">
      <c r="A640">
        <f>IFERROR(INDEX('Shopify Import'!$A:$CZ,640,Settings!$E$20)&amp;"","")</f>
        <v/>
      </c>
      <c r="B640">
        <f>IFERROR(INDEX('Shopify Import'!$A:$CZ,640,Settings!$E$21)&amp;"","")</f>
        <v/>
      </c>
      <c r="C640">
        <f>IFERROR(INDEX('Shopify Import'!$A:$CZ,640,Settings!$E$22)&amp;"","")</f>
        <v/>
      </c>
      <c r="D640">
        <f>IF(A640="","",IFERROR(VALUE(SUBSTITUTE(SUBSTITUTE(INDEX('Shopify Import'!$A:$CZ,640,Settings!$E$23)&amp;"","$",""),",","")),0))</f>
        <v/>
      </c>
      <c r="E640" s="11">
        <f>IF(A640="","",IFERROR(VALUE(SUBSTITUTE(SUBSTITUTE(INDEX('Shopify Import'!$A:$CZ,640,Settings!$E$24)&amp;"","$",""),",","")),0))</f>
        <v/>
      </c>
      <c r="F640" s="11">
        <f>IF(A640="","",D640*E640)</f>
        <v/>
      </c>
      <c r="G640">
        <f>IF(A640="","",IF(C640="",1,COUNTIF($C$2:$C$1501,C640)))</f>
        <v/>
      </c>
      <c r="H640" s="11">
        <f>IF(A640="","",IFERROR(VALUE(SUBSTITUTE(SUBSTITUTE(INDEX('Shopify Import'!$A:$CZ,640,Settings!$E$25)&amp;"","$",""),",","")),0)/IF(Settings!$D$27="Yes",G640,1))</f>
        <v/>
      </c>
      <c r="I640" s="11">
        <f>IF(A640="","",IFERROR(VALUE(SUBSTITUTE(SUBSTITUTE(INDEX('Shopify Import'!$A:$CZ,640,Settings!$E$26)&amp;"","$",""),",","")),0)/IF(Settings!$D$27="Yes",G640,1))</f>
        <v/>
      </c>
      <c r="J640" s="11">
        <f>IF(A640="","",F640+H640-I640)</f>
        <v/>
      </c>
      <c r="K640">
        <f>IF(A640="","",IFERROR(IF(B640="",NA(),MATCH(B640,Products!$B$5:$B$204,0)),IFERROR(MATCH(A640,Products!$A$5:$A$204,0),"")))</f>
        <v/>
      </c>
      <c r="L640">
        <f>IF(A640="","",IF(K640="","⚠ not in Products",INDEX(Products!$A$5:$A$204,K640)))</f>
        <v/>
      </c>
      <c r="M640" s="11">
        <f>IF(A640="","",J640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640+IFERROR(INDEX(Settings!$D$5:$D$9,MATCH("Shopify",Settings!$A$5:$A$9,0)),0)*D640)</f>
        <v/>
      </c>
      <c r="N640" s="11">
        <f>IF(A640="","",IF(K640="",0,D640*INDEX(Products!$I$5:$I$204,K640)))</f>
        <v/>
      </c>
      <c r="O640" s="11">
        <f>IF(A640="","",IF(K640="",0,J640*INDEX(Products!$H$5:$H$204,K640)))</f>
        <v/>
      </c>
      <c r="P640" s="11">
        <f>IF(A640="","",J640-M640-N640-O640)</f>
        <v/>
      </c>
    </row>
    <row r="641">
      <c r="A641">
        <f>IFERROR(INDEX('Shopify Import'!$A:$CZ,641,Settings!$E$20)&amp;"","")</f>
        <v/>
      </c>
      <c r="B641">
        <f>IFERROR(INDEX('Shopify Import'!$A:$CZ,641,Settings!$E$21)&amp;"","")</f>
        <v/>
      </c>
      <c r="C641">
        <f>IFERROR(INDEX('Shopify Import'!$A:$CZ,641,Settings!$E$22)&amp;"","")</f>
        <v/>
      </c>
      <c r="D641">
        <f>IF(A641="","",IFERROR(VALUE(SUBSTITUTE(SUBSTITUTE(INDEX('Shopify Import'!$A:$CZ,641,Settings!$E$23)&amp;"","$",""),",","")),0))</f>
        <v/>
      </c>
      <c r="E641" s="11">
        <f>IF(A641="","",IFERROR(VALUE(SUBSTITUTE(SUBSTITUTE(INDEX('Shopify Import'!$A:$CZ,641,Settings!$E$24)&amp;"","$",""),",","")),0))</f>
        <v/>
      </c>
      <c r="F641" s="11">
        <f>IF(A641="","",D641*E641)</f>
        <v/>
      </c>
      <c r="G641">
        <f>IF(A641="","",IF(C641="",1,COUNTIF($C$2:$C$1501,C641)))</f>
        <v/>
      </c>
      <c r="H641" s="11">
        <f>IF(A641="","",IFERROR(VALUE(SUBSTITUTE(SUBSTITUTE(INDEX('Shopify Import'!$A:$CZ,641,Settings!$E$25)&amp;"","$",""),",","")),0)/IF(Settings!$D$27="Yes",G641,1))</f>
        <v/>
      </c>
      <c r="I641" s="11">
        <f>IF(A641="","",IFERROR(VALUE(SUBSTITUTE(SUBSTITUTE(INDEX('Shopify Import'!$A:$CZ,641,Settings!$E$26)&amp;"","$",""),",","")),0)/IF(Settings!$D$27="Yes",G641,1))</f>
        <v/>
      </c>
      <c r="J641" s="11">
        <f>IF(A641="","",F641+H641-I641)</f>
        <v/>
      </c>
      <c r="K641">
        <f>IF(A641="","",IFERROR(IF(B641="",NA(),MATCH(B641,Products!$B$5:$B$204,0)),IFERROR(MATCH(A641,Products!$A$5:$A$204,0),"")))</f>
        <v/>
      </c>
      <c r="L641">
        <f>IF(A641="","",IF(K641="","⚠ not in Products",INDEX(Products!$A$5:$A$204,K641)))</f>
        <v/>
      </c>
      <c r="M641" s="11">
        <f>IF(A641="","",J641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641+IFERROR(INDEX(Settings!$D$5:$D$9,MATCH("Shopify",Settings!$A$5:$A$9,0)),0)*D641)</f>
        <v/>
      </c>
      <c r="N641" s="11">
        <f>IF(A641="","",IF(K641="",0,D641*INDEX(Products!$I$5:$I$204,K641)))</f>
        <v/>
      </c>
      <c r="O641" s="11">
        <f>IF(A641="","",IF(K641="",0,J641*INDEX(Products!$H$5:$H$204,K641)))</f>
        <v/>
      </c>
      <c r="P641" s="11">
        <f>IF(A641="","",J641-M641-N641-O641)</f>
        <v/>
      </c>
    </row>
    <row r="642">
      <c r="A642">
        <f>IFERROR(INDEX('Shopify Import'!$A:$CZ,642,Settings!$E$20)&amp;"","")</f>
        <v/>
      </c>
      <c r="B642">
        <f>IFERROR(INDEX('Shopify Import'!$A:$CZ,642,Settings!$E$21)&amp;"","")</f>
        <v/>
      </c>
      <c r="C642">
        <f>IFERROR(INDEX('Shopify Import'!$A:$CZ,642,Settings!$E$22)&amp;"","")</f>
        <v/>
      </c>
      <c r="D642">
        <f>IF(A642="","",IFERROR(VALUE(SUBSTITUTE(SUBSTITUTE(INDEX('Shopify Import'!$A:$CZ,642,Settings!$E$23)&amp;"","$",""),",","")),0))</f>
        <v/>
      </c>
      <c r="E642" s="11">
        <f>IF(A642="","",IFERROR(VALUE(SUBSTITUTE(SUBSTITUTE(INDEX('Shopify Import'!$A:$CZ,642,Settings!$E$24)&amp;"","$",""),",","")),0))</f>
        <v/>
      </c>
      <c r="F642" s="11">
        <f>IF(A642="","",D642*E642)</f>
        <v/>
      </c>
      <c r="G642">
        <f>IF(A642="","",IF(C642="",1,COUNTIF($C$2:$C$1501,C642)))</f>
        <v/>
      </c>
      <c r="H642" s="11">
        <f>IF(A642="","",IFERROR(VALUE(SUBSTITUTE(SUBSTITUTE(INDEX('Shopify Import'!$A:$CZ,642,Settings!$E$25)&amp;"","$",""),",","")),0)/IF(Settings!$D$27="Yes",G642,1))</f>
        <v/>
      </c>
      <c r="I642" s="11">
        <f>IF(A642="","",IFERROR(VALUE(SUBSTITUTE(SUBSTITUTE(INDEX('Shopify Import'!$A:$CZ,642,Settings!$E$26)&amp;"","$",""),",","")),0)/IF(Settings!$D$27="Yes",G642,1))</f>
        <v/>
      </c>
      <c r="J642" s="11">
        <f>IF(A642="","",F642+H642-I642)</f>
        <v/>
      </c>
      <c r="K642">
        <f>IF(A642="","",IFERROR(IF(B642="",NA(),MATCH(B642,Products!$B$5:$B$204,0)),IFERROR(MATCH(A642,Products!$A$5:$A$204,0),"")))</f>
        <v/>
      </c>
      <c r="L642">
        <f>IF(A642="","",IF(K642="","⚠ not in Products",INDEX(Products!$A$5:$A$204,K642)))</f>
        <v/>
      </c>
      <c r="M642" s="11">
        <f>IF(A642="","",J642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642+IFERROR(INDEX(Settings!$D$5:$D$9,MATCH("Shopify",Settings!$A$5:$A$9,0)),0)*D642)</f>
        <v/>
      </c>
      <c r="N642" s="11">
        <f>IF(A642="","",IF(K642="",0,D642*INDEX(Products!$I$5:$I$204,K642)))</f>
        <v/>
      </c>
      <c r="O642" s="11">
        <f>IF(A642="","",IF(K642="",0,J642*INDEX(Products!$H$5:$H$204,K642)))</f>
        <v/>
      </c>
      <c r="P642" s="11">
        <f>IF(A642="","",J642-M642-N642-O642)</f>
        <v/>
      </c>
    </row>
    <row r="643">
      <c r="A643">
        <f>IFERROR(INDEX('Shopify Import'!$A:$CZ,643,Settings!$E$20)&amp;"","")</f>
        <v/>
      </c>
      <c r="B643">
        <f>IFERROR(INDEX('Shopify Import'!$A:$CZ,643,Settings!$E$21)&amp;"","")</f>
        <v/>
      </c>
      <c r="C643">
        <f>IFERROR(INDEX('Shopify Import'!$A:$CZ,643,Settings!$E$22)&amp;"","")</f>
        <v/>
      </c>
      <c r="D643">
        <f>IF(A643="","",IFERROR(VALUE(SUBSTITUTE(SUBSTITUTE(INDEX('Shopify Import'!$A:$CZ,643,Settings!$E$23)&amp;"","$",""),",","")),0))</f>
        <v/>
      </c>
      <c r="E643" s="11">
        <f>IF(A643="","",IFERROR(VALUE(SUBSTITUTE(SUBSTITUTE(INDEX('Shopify Import'!$A:$CZ,643,Settings!$E$24)&amp;"","$",""),",","")),0))</f>
        <v/>
      </c>
      <c r="F643" s="11">
        <f>IF(A643="","",D643*E643)</f>
        <v/>
      </c>
      <c r="G643">
        <f>IF(A643="","",IF(C643="",1,COUNTIF($C$2:$C$1501,C643)))</f>
        <v/>
      </c>
      <c r="H643" s="11">
        <f>IF(A643="","",IFERROR(VALUE(SUBSTITUTE(SUBSTITUTE(INDEX('Shopify Import'!$A:$CZ,643,Settings!$E$25)&amp;"","$",""),",","")),0)/IF(Settings!$D$27="Yes",G643,1))</f>
        <v/>
      </c>
      <c r="I643" s="11">
        <f>IF(A643="","",IFERROR(VALUE(SUBSTITUTE(SUBSTITUTE(INDEX('Shopify Import'!$A:$CZ,643,Settings!$E$26)&amp;"","$",""),",","")),0)/IF(Settings!$D$27="Yes",G643,1))</f>
        <v/>
      </c>
      <c r="J643" s="11">
        <f>IF(A643="","",F643+H643-I643)</f>
        <v/>
      </c>
      <c r="K643">
        <f>IF(A643="","",IFERROR(IF(B643="",NA(),MATCH(B643,Products!$B$5:$B$204,0)),IFERROR(MATCH(A643,Products!$A$5:$A$204,0),"")))</f>
        <v/>
      </c>
      <c r="L643">
        <f>IF(A643="","",IF(K643="","⚠ not in Products",INDEX(Products!$A$5:$A$204,K643)))</f>
        <v/>
      </c>
      <c r="M643" s="11">
        <f>IF(A643="","",J643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643+IFERROR(INDEX(Settings!$D$5:$D$9,MATCH("Shopify",Settings!$A$5:$A$9,0)),0)*D643)</f>
        <v/>
      </c>
      <c r="N643" s="11">
        <f>IF(A643="","",IF(K643="",0,D643*INDEX(Products!$I$5:$I$204,K643)))</f>
        <v/>
      </c>
      <c r="O643" s="11">
        <f>IF(A643="","",IF(K643="",0,J643*INDEX(Products!$H$5:$H$204,K643)))</f>
        <v/>
      </c>
      <c r="P643" s="11">
        <f>IF(A643="","",J643-M643-N643-O643)</f>
        <v/>
      </c>
    </row>
    <row r="644">
      <c r="A644">
        <f>IFERROR(INDEX('Shopify Import'!$A:$CZ,644,Settings!$E$20)&amp;"","")</f>
        <v/>
      </c>
      <c r="B644">
        <f>IFERROR(INDEX('Shopify Import'!$A:$CZ,644,Settings!$E$21)&amp;"","")</f>
        <v/>
      </c>
      <c r="C644">
        <f>IFERROR(INDEX('Shopify Import'!$A:$CZ,644,Settings!$E$22)&amp;"","")</f>
        <v/>
      </c>
      <c r="D644">
        <f>IF(A644="","",IFERROR(VALUE(SUBSTITUTE(SUBSTITUTE(INDEX('Shopify Import'!$A:$CZ,644,Settings!$E$23)&amp;"","$",""),",","")),0))</f>
        <v/>
      </c>
      <c r="E644" s="11">
        <f>IF(A644="","",IFERROR(VALUE(SUBSTITUTE(SUBSTITUTE(INDEX('Shopify Import'!$A:$CZ,644,Settings!$E$24)&amp;"","$",""),",","")),0))</f>
        <v/>
      </c>
      <c r="F644" s="11">
        <f>IF(A644="","",D644*E644)</f>
        <v/>
      </c>
      <c r="G644">
        <f>IF(A644="","",IF(C644="",1,COUNTIF($C$2:$C$1501,C644)))</f>
        <v/>
      </c>
      <c r="H644" s="11">
        <f>IF(A644="","",IFERROR(VALUE(SUBSTITUTE(SUBSTITUTE(INDEX('Shopify Import'!$A:$CZ,644,Settings!$E$25)&amp;"","$",""),",","")),0)/IF(Settings!$D$27="Yes",G644,1))</f>
        <v/>
      </c>
      <c r="I644" s="11">
        <f>IF(A644="","",IFERROR(VALUE(SUBSTITUTE(SUBSTITUTE(INDEX('Shopify Import'!$A:$CZ,644,Settings!$E$26)&amp;"","$",""),",","")),0)/IF(Settings!$D$27="Yes",G644,1))</f>
        <v/>
      </c>
      <c r="J644" s="11">
        <f>IF(A644="","",F644+H644-I644)</f>
        <v/>
      </c>
      <c r="K644">
        <f>IF(A644="","",IFERROR(IF(B644="",NA(),MATCH(B644,Products!$B$5:$B$204,0)),IFERROR(MATCH(A644,Products!$A$5:$A$204,0),"")))</f>
        <v/>
      </c>
      <c r="L644">
        <f>IF(A644="","",IF(K644="","⚠ not in Products",INDEX(Products!$A$5:$A$204,K644)))</f>
        <v/>
      </c>
      <c r="M644" s="11">
        <f>IF(A644="","",J644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644+IFERROR(INDEX(Settings!$D$5:$D$9,MATCH("Shopify",Settings!$A$5:$A$9,0)),0)*D644)</f>
        <v/>
      </c>
      <c r="N644" s="11">
        <f>IF(A644="","",IF(K644="",0,D644*INDEX(Products!$I$5:$I$204,K644)))</f>
        <v/>
      </c>
      <c r="O644" s="11">
        <f>IF(A644="","",IF(K644="",0,J644*INDEX(Products!$H$5:$H$204,K644)))</f>
        <v/>
      </c>
      <c r="P644" s="11">
        <f>IF(A644="","",J644-M644-N644-O644)</f>
        <v/>
      </c>
    </row>
    <row r="645">
      <c r="A645">
        <f>IFERROR(INDEX('Shopify Import'!$A:$CZ,645,Settings!$E$20)&amp;"","")</f>
        <v/>
      </c>
      <c r="B645">
        <f>IFERROR(INDEX('Shopify Import'!$A:$CZ,645,Settings!$E$21)&amp;"","")</f>
        <v/>
      </c>
      <c r="C645">
        <f>IFERROR(INDEX('Shopify Import'!$A:$CZ,645,Settings!$E$22)&amp;"","")</f>
        <v/>
      </c>
      <c r="D645">
        <f>IF(A645="","",IFERROR(VALUE(SUBSTITUTE(SUBSTITUTE(INDEX('Shopify Import'!$A:$CZ,645,Settings!$E$23)&amp;"","$",""),",","")),0))</f>
        <v/>
      </c>
      <c r="E645" s="11">
        <f>IF(A645="","",IFERROR(VALUE(SUBSTITUTE(SUBSTITUTE(INDEX('Shopify Import'!$A:$CZ,645,Settings!$E$24)&amp;"","$",""),",","")),0))</f>
        <v/>
      </c>
      <c r="F645" s="11">
        <f>IF(A645="","",D645*E645)</f>
        <v/>
      </c>
      <c r="G645">
        <f>IF(A645="","",IF(C645="",1,COUNTIF($C$2:$C$1501,C645)))</f>
        <v/>
      </c>
      <c r="H645" s="11">
        <f>IF(A645="","",IFERROR(VALUE(SUBSTITUTE(SUBSTITUTE(INDEX('Shopify Import'!$A:$CZ,645,Settings!$E$25)&amp;"","$",""),",","")),0)/IF(Settings!$D$27="Yes",G645,1))</f>
        <v/>
      </c>
      <c r="I645" s="11">
        <f>IF(A645="","",IFERROR(VALUE(SUBSTITUTE(SUBSTITUTE(INDEX('Shopify Import'!$A:$CZ,645,Settings!$E$26)&amp;"","$",""),",","")),0)/IF(Settings!$D$27="Yes",G645,1))</f>
        <v/>
      </c>
      <c r="J645" s="11">
        <f>IF(A645="","",F645+H645-I645)</f>
        <v/>
      </c>
      <c r="K645">
        <f>IF(A645="","",IFERROR(IF(B645="",NA(),MATCH(B645,Products!$B$5:$B$204,0)),IFERROR(MATCH(A645,Products!$A$5:$A$204,0),"")))</f>
        <v/>
      </c>
      <c r="L645">
        <f>IF(A645="","",IF(K645="","⚠ not in Products",INDEX(Products!$A$5:$A$204,K645)))</f>
        <v/>
      </c>
      <c r="M645" s="11">
        <f>IF(A645="","",J645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645+IFERROR(INDEX(Settings!$D$5:$D$9,MATCH("Shopify",Settings!$A$5:$A$9,0)),0)*D645)</f>
        <v/>
      </c>
      <c r="N645" s="11">
        <f>IF(A645="","",IF(K645="",0,D645*INDEX(Products!$I$5:$I$204,K645)))</f>
        <v/>
      </c>
      <c r="O645" s="11">
        <f>IF(A645="","",IF(K645="",0,J645*INDEX(Products!$H$5:$H$204,K645)))</f>
        <v/>
      </c>
      <c r="P645" s="11">
        <f>IF(A645="","",J645-M645-N645-O645)</f>
        <v/>
      </c>
    </row>
    <row r="646">
      <c r="A646">
        <f>IFERROR(INDEX('Shopify Import'!$A:$CZ,646,Settings!$E$20)&amp;"","")</f>
        <v/>
      </c>
      <c r="B646">
        <f>IFERROR(INDEX('Shopify Import'!$A:$CZ,646,Settings!$E$21)&amp;"","")</f>
        <v/>
      </c>
      <c r="C646">
        <f>IFERROR(INDEX('Shopify Import'!$A:$CZ,646,Settings!$E$22)&amp;"","")</f>
        <v/>
      </c>
      <c r="D646">
        <f>IF(A646="","",IFERROR(VALUE(SUBSTITUTE(SUBSTITUTE(INDEX('Shopify Import'!$A:$CZ,646,Settings!$E$23)&amp;"","$",""),",","")),0))</f>
        <v/>
      </c>
      <c r="E646" s="11">
        <f>IF(A646="","",IFERROR(VALUE(SUBSTITUTE(SUBSTITUTE(INDEX('Shopify Import'!$A:$CZ,646,Settings!$E$24)&amp;"","$",""),",","")),0))</f>
        <v/>
      </c>
      <c r="F646" s="11">
        <f>IF(A646="","",D646*E646)</f>
        <v/>
      </c>
      <c r="G646">
        <f>IF(A646="","",IF(C646="",1,COUNTIF($C$2:$C$1501,C646)))</f>
        <v/>
      </c>
      <c r="H646" s="11">
        <f>IF(A646="","",IFERROR(VALUE(SUBSTITUTE(SUBSTITUTE(INDEX('Shopify Import'!$A:$CZ,646,Settings!$E$25)&amp;"","$",""),",","")),0)/IF(Settings!$D$27="Yes",G646,1))</f>
        <v/>
      </c>
      <c r="I646" s="11">
        <f>IF(A646="","",IFERROR(VALUE(SUBSTITUTE(SUBSTITUTE(INDEX('Shopify Import'!$A:$CZ,646,Settings!$E$26)&amp;"","$",""),",","")),0)/IF(Settings!$D$27="Yes",G646,1))</f>
        <v/>
      </c>
      <c r="J646" s="11">
        <f>IF(A646="","",F646+H646-I646)</f>
        <v/>
      </c>
      <c r="K646">
        <f>IF(A646="","",IFERROR(IF(B646="",NA(),MATCH(B646,Products!$B$5:$B$204,0)),IFERROR(MATCH(A646,Products!$A$5:$A$204,0),"")))</f>
        <v/>
      </c>
      <c r="L646">
        <f>IF(A646="","",IF(K646="","⚠ not in Products",INDEX(Products!$A$5:$A$204,K646)))</f>
        <v/>
      </c>
      <c r="M646" s="11">
        <f>IF(A646="","",J646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646+IFERROR(INDEX(Settings!$D$5:$D$9,MATCH("Shopify",Settings!$A$5:$A$9,0)),0)*D646)</f>
        <v/>
      </c>
      <c r="N646" s="11">
        <f>IF(A646="","",IF(K646="",0,D646*INDEX(Products!$I$5:$I$204,K646)))</f>
        <v/>
      </c>
      <c r="O646" s="11">
        <f>IF(A646="","",IF(K646="",0,J646*INDEX(Products!$H$5:$H$204,K646)))</f>
        <v/>
      </c>
      <c r="P646" s="11">
        <f>IF(A646="","",J646-M646-N646-O646)</f>
        <v/>
      </c>
    </row>
    <row r="647">
      <c r="A647">
        <f>IFERROR(INDEX('Shopify Import'!$A:$CZ,647,Settings!$E$20)&amp;"","")</f>
        <v/>
      </c>
      <c r="B647">
        <f>IFERROR(INDEX('Shopify Import'!$A:$CZ,647,Settings!$E$21)&amp;"","")</f>
        <v/>
      </c>
      <c r="C647">
        <f>IFERROR(INDEX('Shopify Import'!$A:$CZ,647,Settings!$E$22)&amp;"","")</f>
        <v/>
      </c>
      <c r="D647">
        <f>IF(A647="","",IFERROR(VALUE(SUBSTITUTE(SUBSTITUTE(INDEX('Shopify Import'!$A:$CZ,647,Settings!$E$23)&amp;"","$",""),",","")),0))</f>
        <v/>
      </c>
      <c r="E647" s="11">
        <f>IF(A647="","",IFERROR(VALUE(SUBSTITUTE(SUBSTITUTE(INDEX('Shopify Import'!$A:$CZ,647,Settings!$E$24)&amp;"","$",""),",","")),0))</f>
        <v/>
      </c>
      <c r="F647" s="11">
        <f>IF(A647="","",D647*E647)</f>
        <v/>
      </c>
      <c r="G647">
        <f>IF(A647="","",IF(C647="",1,COUNTIF($C$2:$C$1501,C647)))</f>
        <v/>
      </c>
      <c r="H647" s="11">
        <f>IF(A647="","",IFERROR(VALUE(SUBSTITUTE(SUBSTITUTE(INDEX('Shopify Import'!$A:$CZ,647,Settings!$E$25)&amp;"","$",""),",","")),0)/IF(Settings!$D$27="Yes",G647,1))</f>
        <v/>
      </c>
      <c r="I647" s="11">
        <f>IF(A647="","",IFERROR(VALUE(SUBSTITUTE(SUBSTITUTE(INDEX('Shopify Import'!$A:$CZ,647,Settings!$E$26)&amp;"","$",""),",","")),0)/IF(Settings!$D$27="Yes",G647,1))</f>
        <v/>
      </c>
      <c r="J647" s="11">
        <f>IF(A647="","",F647+H647-I647)</f>
        <v/>
      </c>
      <c r="K647">
        <f>IF(A647="","",IFERROR(IF(B647="",NA(),MATCH(B647,Products!$B$5:$B$204,0)),IFERROR(MATCH(A647,Products!$A$5:$A$204,0),"")))</f>
        <v/>
      </c>
      <c r="L647">
        <f>IF(A647="","",IF(K647="","⚠ not in Products",INDEX(Products!$A$5:$A$204,K647)))</f>
        <v/>
      </c>
      <c r="M647" s="11">
        <f>IF(A647="","",J647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647+IFERROR(INDEX(Settings!$D$5:$D$9,MATCH("Shopify",Settings!$A$5:$A$9,0)),0)*D647)</f>
        <v/>
      </c>
      <c r="N647" s="11">
        <f>IF(A647="","",IF(K647="",0,D647*INDEX(Products!$I$5:$I$204,K647)))</f>
        <v/>
      </c>
      <c r="O647" s="11">
        <f>IF(A647="","",IF(K647="",0,J647*INDEX(Products!$H$5:$H$204,K647)))</f>
        <v/>
      </c>
      <c r="P647" s="11">
        <f>IF(A647="","",J647-M647-N647-O647)</f>
        <v/>
      </c>
    </row>
    <row r="648">
      <c r="A648">
        <f>IFERROR(INDEX('Shopify Import'!$A:$CZ,648,Settings!$E$20)&amp;"","")</f>
        <v/>
      </c>
      <c r="B648">
        <f>IFERROR(INDEX('Shopify Import'!$A:$CZ,648,Settings!$E$21)&amp;"","")</f>
        <v/>
      </c>
      <c r="C648">
        <f>IFERROR(INDEX('Shopify Import'!$A:$CZ,648,Settings!$E$22)&amp;"","")</f>
        <v/>
      </c>
      <c r="D648">
        <f>IF(A648="","",IFERROR(VALUE(SUBSTITUTE(SUBSTITUTE(INDEX('Shopify Import'!$A:$CZ,648,Settings!$E$23)&amp;"","$",""),",","")),0))</f>
        <v/>
      </c>
      <c r="E648" s="11">
        <f>IF(A648="","",IFERROR(VALUE(SUBSTITUTE(SUBSTITUTE(INDEX('Shopify Import'!$A:$CZ,648,Settings!$E$24)&amp;"","$",""),",","")),0))</f>
        <v/>
      </c>
      <c r="F648" s="11">
        <f>IF(A648="","",D648*E648)</f>
        <v/>
      </c>
      <c r="G648">
        <f>IF(A648="","",IF(C648="",1,COUNTIF($C$2:$C$1501,C648)))</f>
        <v/>
      </c>
      <c r="H648" s="11">
        <f>IF(A648="","",IFERROR(VALUE(SUBSTITUTE(SUBSTITUTE(INDEX('Shopify Import'!$A:$CZ,648,Settings!$E$25)&amp;"","$",""),",","")),0)/IF(Settings!$D$27="Yes",G648,1))</f>
        <v/>
      </c>
      <c r="I648" s="11">
        <f>IF(A648="","",IFERROR(VALUE(SUBSTITUTE(SUBSTITUTE(INDEX('Shopify Import'!$A:$CZ,648,Settings!$E$26)&amp;"","$",""),",","")),0)/IF(Settings!$D$27="Yes",G648,1))</f>
        <v/>
      </c>
      <c r="J648" s="11">
        <f>IF(A648="","",F648+H648-I648)</f>
        <v/>
      </c>
      <c r="K648">
        <f>IF(A648="","",IFERROR(IF(B648="",NA(),MATCH(B648,Products!$B$5:$B$204,0)),IFERROR(MATCH(A648,Products!$A$5:$A$204,0),"")))</f>
        <v/>
      </c>
      <c r="L648">
        <f>IF(A648="","",IF(K648="","⚠ not in Products",INDEX(Products!$A$5:$A$204,K648)))</f>
        <v/>
      </c>
      <c r="M648" s="11">
        <f>IF(A648="","",J648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648+IFERROR(INDEX(Settings!$D$5:$D$9,MATCH("Shopify",Settings!$A$5:$A$9,0)),0)*D648)</f>
        <v/>
      </c>
      <c r="N648" s="11">
        <f>IF(A648="","",IF(K648="",0,D648*INDEX(Products!$I$5:$I$204,K648)))</f>
        <v/>
      </c>
      <c r="O648" s="11">
        <f>IF(A648="","",IF(K648="",0,J648*INDEX(Products!$H$5:$H$204,K648)))</f>
        <v/>
      </c>
      <c r="P648" s="11">
        <f>IF(A648="","",J648-M648-N648-O648)</f>
        <v/>
      </c>
    </row>
    <row r="649">
      <c r="A649">
        <f>IFERROR(INDEX('Shopify Import'!$A:$CZ,649,Settings!$E$20)&amp;"","")</f>
        <v/>
      </c>
      <c r="B649">
        <f>IFERROR(INDEX('Shopify Import'!$A:$CZ,649,Settings!$E$21)&amp;"","")</f>
        <v/>
      </c>
      <c r="C649">
        <f>IFERROR(INDEX('Shopify Import'!$A:$CZ,649,Settings!$E$22)&amp;"","")</f>
        <v/>
      </c>
      <c r="D649">
        <f>IF(A649="","",IFERROR(VALUE(SUBSTITUTE(SUBSTITUTE(INDEX('Shopify Import'!$A:$CZ,649,Settings!$E$23)&amp;"","$",""),",","")),0))</f>
        <v/>
      </c>
      <c r="E649" s="11">
        <f>IF(A649="","",IFERROR(VALUE(SUBSTITUTE(SUBSTITUTE(INDEX('Shopify Import'!$A:$CZ,649,Settings!$E$24)&amp;"","$",""),",","")),0))</f>
        <v/>
      </c>
      <c r="F649" s="11">
        <f>IF(A649="","",D649*E649)</f>
        <v/>
      </c>
      <c r="G649">
        <f>IF(A649="","",IF(C649="",1,COUNTIF($C$2:$C$1501,C649)))</f>
        <v/>
      </c>
      <c r="H649" s="11">
        <f>IF(A649="","",IFERROR(VALUE(SUBSTITUTE(SUBSTITUTE(INDEX('Shopify Import'!$A:$CZ,649,Settings!$E$25)&amp;"","$",""),",","")),0)/IF(Settings!$D$27="Yes",G649,1))</f>
        <v/>
      </c>
      <c r="I649" s="11">
        <f>IF(A649="","",IFERROR(VALUE(SUBSTITUTE(SUBSTITUTE(INDEX('Shopify Import'!$A:$CZ,649,Settings!$E$26)&amp;"","$",""),",","")),0)/IF(Settings!$D$27="Yes",G649,1))</f>
        <v/>
      </c>
      <c r="J649" s="11">
        <f>IF(A649="","",F649+H649-I649)</f>
        <v/>
      </c>
      <c r="K649">
        <f>IF(A649="","",IFERROR(IF(B649="",NA(),MATCH(B649,Products!$B$5:$B$204,0)),IFERROR(MATCH(A649,Products!$A$5:$A$204,0),"")))</f>
        <v/>
      </c>
      <c r="L649">
        <f>IF(A649="","",IF(K649="","⚠ not in Products",INDEX(Products!$A$5:$A$204,K649)))</f>
        <v/>
      </c>
      <c r="M649" s="11">
        <f>IF(A649="","",J649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649+IFERROR(INDEX(Settings!$D$5:$D$9,MATCH("Shopify",Settings!$A$5:$A$9,0)),0)*D649)</f>
        <v/>
      </c>
      <c r="N649" s="11">
        <f>IF(A649="","",IF(K649="",0,D649*INDEX(Products!$I$5:$I$204,K649)))</f>
        <v/>
      </c>
      <c r="O649" s="11">
        <f>IF(A649="","",IF(K649="",0,J649*INDEX(Products!$H$5:$H$204,K649)))</f>
        <v/>
      </c>
      <c r="P649" s="11">
        <f>IF(A649="","",J649-M649-N649-O649)</f>
        <v/>
      </c>
    </row>
    <row r="650">
      <c r="A650">
        <f>IFERROR(INDEX('Shopify Import'!$A:$CZ,650,Settings!$E$20)&amp;"","")</f>
        <v/>
      </c>
      <c r="B650">
        <f>IFERROR(INDEX('Shopify Import'!$A:$CZ,650,Settings!$E$21)&amp;"","")</f>
        <v/>
      </c>
      <c r="C650">
        <f>IFERROR(INDEX('Shopify Import'!$A:$CZ,650,Settings!$E$22)&amp;"","")</f>
        <v/>
      </c>
      <c r="D650">
        <f>IF(A650="","",IFERROR(VALUE(SUBSTITUTE(SUBSTITUTE(INDEX('Shopify Import'!$A:$CZ,650,Settings!$E$23)&amp;"","$",""),",","")),0))</f>
        <v/>
      </c>
      <c r="E650" s="11">
        <f>IF(A650="","",IFERROR(VALUE(SUBSTITUTE(SUBSTITUTE(INDEX('Shopify Import'!$A:$CZ,650,Settings!$E$24)&amp;"","$",""),",","")),0))</f>
        <v/>
      </c>
      <c r="F650" s="11">
        <f>IF(A650="","",D650*E650)</f>
        <v/>
      </c>
      <c r="G650">
        <f>IF(A650="","",IF(C650="",1,COUNTIF($C$2:$C$1501,C650)))</f>
        <v/>
      </c>
      <c r="H650" s="11">
        <f>IF(A650="","",IFERROR(VALUE(SUBSTITUTE(SUBSTITUTE(INDEX('Shopify Import'!$A:$CZ,650,Settings!$E$25)&amp;"","$",""),",","")),0)/IF(Settings!$D$27="Yes",G650,1))</f>
        <v/>
      </c>
      <c r="I650" s="11">
        <f>IF(A650="","",IFERROR(VALUE(SUBSTITUTE(SUBSTITUTE(INDEX('Shopify Import'!$A:$CZ,650,Settings!$E$26)&amp;"","$",""),",","")),0)/IF(Settings!$D$27="Yes",G650,1))</f>
        <v/>
      </c>
      <c r="J650" s="11">
        <f>IF(A650="","",F650+H650-I650)</f>
        <v/>
      </c>
      <c r="K650">
        <f>IF(A650="","",IFERROR(IF(B650="",NA(),MATCH(B650,Products!$B$5:$B$204,0)),IFERROR(MATCH(A650,Products!$A$5:$A$204,0),"")))</f>
        <v/>
      </c>
      <c r="L650">
        <f>IF(A650="","",IF(K650="","⚠ not in Products",INDEX(Products!$A$5:$A$204,K650)))</f>
        <v/>
      </c>
      <c r="M650" s="11">
        <f>IF(A650="","",J650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650+IFERROR(INDEX(Settings!$D$5:$D$9,MATCH("Shopify",Settings!$A$5:$A$9,0)),0)*D650)</f>
        <v/>
      </c>
      <c r="N650" s="11">
        <f>IF(A650="","",IF(K650="",0,D650*INDEX(Products!$I$5:$I$204,K650)))</f>
        <v/>
      </c>
      <c r="O650" s="11">
        <f>IF(A650="","",IF(K650="",0,J650*INDEX(Products!$H$5:$H$204,K650)))</f>
        <v/>
      </c>
      <c r="P650" s="11">
        <f>IF(A650="","",J650-M650-N650-O650)</f>
        <v/>
      </c>
    </row>
    <row r="651">
      <c r="A651">
        <f>IFERROR(INDEX('Shopify Import'!$A:$CZ,651,Settings!$E$20)&amp;"","")</f>
        <v/>
      </c>
      <c r="B651">
        <f>IFERROR(INDEX('Shopify Import'!$A:$CZ,651,Settings!$E$21)&amp;"","")</f>
        <v/>
      </c>
      <c r="C651">
        <f>IFERROR(INDEX('Shopify Import'!$A:$CZ,651,Settings!$E$22)&amp;"","")</f>
        <v/>
      </c>
      <c r="D651">
        <f>IF(A651="","",IFERROR(VALUE(SUBSTITUTE(SUBSTITUTE(INDEX('Shopify Import'!$A:$CZ,651,Settings!$E$23)&amp;"","$",""),",","")),0))</f>
        <v/>
      </c>
      <c r="E651" s="11">
        <f>IF(A651="","",IFERROR(VALUE(SUBSTITUTE(SUBSTITUTE(INDEX('Shopify Import'!$A:$CZ,651,Settings!$E$24)&amp;"","$",""),",","")),0))</f>
        <v/>
      </c>
      <c r="F651" s="11">
        <f>IF(A651="","",D651*E651)</f>
        <v/>
      </c>
      <c r="G651">
        <f>IF(A651="","",IF(C651="",1,COUNTIF($C$2:$C$1501,C651)))</f>
        <v/>
      </c>
      <c r="H651" s="11">
        <f>IF(A651="","",IFERROR(VALUE(SUBSTITUTE(SUBSTITUTE(INDEX('Shopify Import'!$A:$CZ,651,Settings!$E$25)&amp;"","$",""),",","")),0)/IF(Settings!$D$27="Yes",G651,1))</f>
        <v/>
      </c>
      <c r="I651" s="11">
        <f>IF(A651="","",IFERROR(VALUE(SUBSTITUTE(SUBSTITUTE(INDEX('Shopify Import'!$A:$CZ,651,Settings!$E$26)&amp;"","$",""),",","")),0)/IF(Settings!$D$27="Yes",G651,1))</f>
        <v/>
      </c>
      <c r="J651" s="11">
        <f>IF(A651="","",F651+H651-I651)</f>
        <v/>
      </c>
      <c r="K651">
        <f>IF(A651="","",IFERROR(IF(B651="",NA(),MATCH(B651,Products!$B$5:$B$204,0)),IFERROR(MATCH(A651,Products!$A$5:$A$204,0),"")))</f>
        <v/>
      </c>
      <c r="L651">
        <f>IF(A651="","",IF(K651="","⚠ not in Products",INDEX(Products!$A$5:$A$204,K651)))</f>
        <v/>
      </c>
      <c r="M651" s="11">
        <f>IF(A651="","",J651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651+IFERROR(INDEX(Settings!$D$5:$D$9,MATCH("Shopify",Settings!$A$5:$A$9,0)),0)*D651)</f>
        <v/>
      </c>
      <c r="N651" s="11">
        <f>IF(A651="","",IF(K651="",0,D651*INDEX(Products!$I$5:$I$204,K651)))</f>
        <v/>
      </c>
      <c r="O651" s="11">
        <f>IF(A651="","",IF(K651="",0,J651*INDEX(Products!$H$5:$H$204,K651)))</f>
        <v/>
      </c>
      <c r="P651" s="11">
        <f>IF(A651="","",J651-M651-N651-O651)</f>
        <v/>
      </c>
    </row>
    <row r="652">
      <c r="A652">
        <f>IFERROR(INDEX('Shopify Import'!$A:$CZ,652,Settings!$E$20)&amp;"","")</f>
        <v/>
      </c>
      <c r="B652">
        <f>IFERROR(INDEX('Shopify Import'!$A:$CZ,652,Settings!$E$21)&amp;"","")</f>
        <v/>
      </c>
      <c r="C652">
        <f>IFERROR(INDEX('Shopify Import'!$A:$CZ,652,Settings!$E$22)&amp;"","")</f>
        <v/>
      </c>
      <c r="D652">
        <f>IF(A652="","",IFERROR(VALUE(SUBSTITUTE(SUBSTITUTE(INDEX('Shopify Import'!$A:$CZ,652,Settings!$E$23)&amp;"","$",""),",","")),0))</f>
        <v/>
      </c>
      <c r="E652" s="11">
        <f>IF(A652="","",IFERROR(VALUE(SUBSTITUTE(SUBSTITUTE(INDEX('Shopify Import'!$A:$CZ,652,Settings!$E$24)&amp;"","$",""),",","")),0))</f>
        <v/>
      </c>
      <c r="F652" s="11">
        <f>IF(A652="","",D652*E652)</f>
        <v/>
      </c>
      <c r="G652">
        <f>IF(A652="","",IF(C652="",1,COUNTIF($C$2:$C$1501,C652)))</f>
        <v/>
      </c>
      <c r="H652" s="11">
        <f>IF(A652="","",IFERROR(VALUE(SUBSTITUTE(SUBSTITUTE(INDEX('Shopify Import'!$A:$CZ,652,Settings!$E$25)&amp;"","$",""),",","")),0)/IF(Settings!$D$27="Yes",G652,1))</f>
        <v/>
      </c>
      <c r="I652" s="11">
        <f>IF(A652="","",IFERROR(VALUE(SUBSTITUTE(SUBSTITUTE(INDEX('Shopify Import'!$A:$CZ,652,Settings!$E$26)&amp;"","$",""),",","")),0)/IF(Settings!$D$27="Yes",G652,1))</f>
        <v/>
      </c>
      <c r="J652" s="11">
        <f>IF(A652="","",F652+H652-I652)</f>
        <v/>
      </c>
      <c r="K652">
        <f>IF(A652="","",IFERROR(IF(B652="",NA(),MATCH(B652,Products!$B$5:$B$204,0)),IFERROR(MATCH(A652,Products!$A$5:$A$204,0),"")))</f>
        <v/>
      </c>
      <c r="L652">
        <f>IF(A652="","",IF(K652="","⚠ not in Products",INDEX(Products!$A$5:$A$204,K652)))</f>
        <v/>
      </c>
      <c r="M652" s="11">
        <f>IF(A652="","",J652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652+IFERROR(INDEX(Settings!$D$5:$D$9,MATCH("Shopify",Settings!$A$5:$A$9,0)),0)*D652)</f>
        <v/>
      </c>
      <c r="N652" s="11">
        <f>IF(A652="","",IF(K652="",0,D652*INDEX(Products!$I$5:$I$204,K652)))</f>
        <v/>
      </c>
      <c r="O652" s="11">
        <f>IF(A652="","",IF(K652="",0,J652*INDEX(Products!$H$5:$H$204,K652)))</f>
        <v/>
      </c>
      <c r="P652" s="11">
        <f>IF(A652="","",J652-M652-N652-O652)</f>
        <v/>
      </c>
    </row>
    <row r="653">
      <c r="A653">
        <f>IFERROR(INDEX('Shopify Import'!$A:$CZ,653,Settings!$E$20)&amp;"","")</f>
        <v/>
      </c>
      <c r="B653">
        <f>IFERROR(INDEX('Shopify Import'!$A:$CZ,653,Settings!$E$21)&amp;"","")</f>
        <v/>
      </c>
      <c r="C653">
        <f>IFERROR(INDEX('Shopify Import'!$A:$CZ,653,Settings!$E$22)&amp;"","")</f>
        <v/>
      </c>
      <c r="D653">
        <f>IF(A653="","",IFERROR(VALUE(SUBSTITUTE(SUBSTITUTE(INDEX('Shopify Import'!$A:$CZ,653,Settings!$E$23)&amp;"","$",""),",","")),0))</f>
        <v/>
      </c>
      <c r="E653" s="11">
        <f>IF(A653="","",IFERROR(VALUE(SUBSTITUTE(SUBSTITUTE(INDEX('Shopify Import'!$A:$CZ,653,Settings!$E$24)&amp;"","$",""),",","")),0))</f>
        <v/>
      </c>
      <c r="F653" s="11">
        <f>IF(A653="","",D653*E653)</f>
        <v/>
      </c>
      <c r="G653">
        <f>IF(A653="","",IF(C653="",1,COUNTIF($C$2:$C$1501,C653)))</f>
        <v/>
      </c>
      <c r="H653" s="11">
        <f>IF(A653="","",IFERROR(VALUE(SUBSTITUTE(SUBSTITUTE(INDEX('Shopify Import'!$A:$CZ,653,Settings!$E$25)&amp;"","$",""),",","")),0)/IF(Settings!$D$27="Yes",G653,1))</f>
        <v/>
      </c>
      <c r="I653" s="11">
        <f>IF(A653="","",IFERROR(VALUE(SUBSTITUTE(SUBSTITUTE(INDEX('Shopify Import'!$A:$CZ,653,Settings!$E$26)&amp;"","$",""),",","")),0)/IF(Settings!$D$27="Yes",G653,1))</f>
        <v/>
      </c>
      <c r="J653" s="11">
        <f>IF(A653="","",F653+H653-I653)</f>
        <v/>
      </c>
      <c r="K653">
        <f>IF(A653="","",IFERROR(IF(B653="",NA(),MATCH(B653,Products!$B$5:$B$204,0)),IFERROR(MATCH(A653,Products!$A$5:$A$204,0),"")))</f>
        <v/>
      </c>
      <c r="L653">
        <f>IF(A653="","",IF(K653="","⚠ not in Products",INDEX(Products!$A$5:$A$204,K653)))</f>
        <v/>
      </c>
      <c r="M653" s="11">
        <f>IF(A653="","",J653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653+IFERROR(INDEX(Settings!$D$5:$D$9,MATCH("Shopify",Settings!$A$5:$A$9,0)),0)*D653)</f>
        <v/>
      </c>
      <c r="N653" s="11">
        <f>IF(A653="","",IF(K653="",0,D653*INDEX(Products!$I$5:$I$204,K653)))</f>
        <v/>
      </c>
      <c r="O653" s="11">
        <f>IF(A653="","",IF(K653="",0,J653*INDEX(Products!$H$5:$H$204,K653)))</f>
        <v/>
      </c>
      <c r="P653" s="11">
        <f>IF(A653="","",J653-M653-N653-O653)</f>
        <v/>
      </c>
    </row>
    <row r="654">
      <c r="A654">
        <f>IFERROR(INDEX('Shopify Import'!$A:$CZ,654,Settings!$E$20)&amp;"","")</f>
        <v/>
      </c>
      <c r="B654">
        <f>IFERROR(INDEX('Shopify Import'!$A:$CZ,654,Settings!$E$21)&amp;"","")</f>
        <v/>
      </c>
      <c r="C654">
        <f>IFERROR(INDEX('Shopify Import'!$A:$CZ,654,Settings!$E$22)&amp;"","")</f>
        <v/>
      </c>
      <c r="D654">
        <f>IF(A654="","",IFERROR(VALUE(SUBSTITUTE(SUBSTITUTE(INDEX('Shopify Import'!$A:$CZ,654,Settings!$E$23)&amp;"","$",""),",","")),0))</f>
        <v/>
      </c>
      <c r="E654" s="11">
        <f>IF(A654="","",IFERROR(VALUE(SUBSTITUTE(SUBSTITUTE(INDEX('Shopify Import'!$A:$CZ,654,Settings!$E$24)&amp;"","$",""),",","")),0))</f>
        <v/>
      </c>
      <c r="F654" s="11">
        <f>IF(A654="","",D654*E654)</f>
        <v/>
      </c>
      <c r="G654">
        <f>IF(A654="","",IF(C654="",1,COUNTIF($C$2:$C$1501,C654)))</f>
        <v/>
      </c>
      <c r="H654" s="11">
        <f>IF(A654="","",IFERROR(VALUE(SUBSTITUTE(SUBSTITUTE(INDEX('Shopify Import'!$A:$CZ,654,Settings!$E$25)&amp;"","$",""),",","")),0)/IF(Settings!$D$27="Yes",G654,1))</f>
        <v/>
      </c>
      <c r="I654" s="11">
        <f>IF(A654="","",IFERROR(VALUE(SUBSTITUTE(SUBSTITUTE(INDEX('Shopify Import'!$A:$CZ,654,Settings!$E$26)&amp;"","$",""),",","")),0)/IF(Settings!$D$27="Yes",G654,1))</f>
        <v/>
      </c>
      <c r="J654" s="11">
        <f>IF(A654="","",F654+H654-I654)</f>
        <v/>
      </c>
      <c r="K654">
        <f>IF(A654="","",IFERROR(IF(B654="",NA(),MATCH(B654,Products!$B$5:$B$204,0)),IFERROR(MATCH(A654,Products!$A$5:$A$204,0),"")))</f>
        <v/>
      </c>
      <c r="L654">
        <f>IF(A654="","",IF(K654="","⚠ not in Products",INDEX(Products!$A$5:$A$204,K654)))</f>
        <v/>
      </c>
      <c r="M654" s="11">
        <f>IF(A654="","",J654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654+IFERROR(INDEX(Settings!$D$5:$D$9,MATCH("Shopify",Settings!$A$5:$A$9,0)),0)*D654)</f>
        <v/>
      </c>
      <c r="N654" s="11">
        <f>IF(A654="","",IF(K654="",0,D654*INDEX(Products!$I$5:$I$204,K654)))</f>
        <v/>
      </c>
      <c r="O654" s="11">
        <f>IF(A654="","",IF(K654="",0,J654*INDEX(Products!$H$5:$H$204,K654)))</f>
        <v/>
      </c>
      <c r="P654" s="11">
        <f>IF(A654="","",J654-M654-N654-O654)</f>
        <v/>
      </c>
    </row>
    <row r="655">
      <c r="A655">
        <f>IFERROR(INDEX('Shopify Import'!$A:$CZ,655,Settings!$E$20)&amp;"","")</f>
        <v/>
      </c>
      <c r="B655">
        <f>IFERROR(INDEX('Shopify Import'!$A:$CZ,655,Settings!$E$21)&amp;"","")</f>
        <v/>
      </c>
      <c r="C655">
        <f>IFERROR(INDEX('Shopify Import'!$A:$CZ,655,Settings!$E$22)&amp;"","")</f>
        <v/>
      </c>
      <c r="D655">
        <f>IF(A655="","",IFERROR(VALUE(SUBSTITUTE(SUBSTITUTE(INDEX('Shopify Import'!$A:$CZ,655,Settings!$E$23)&amp;"","$",""),",","")),0))</f>
        <v/>
      </c>
      <c r="E655" s="11">
        <f>IF(A655="","",IFERROR(VALUE(SUBSTITUTE(SUBSTITUTE(INDEX('Shopify Import'!$A:$CZ,655,Settings!$E$24)&amp;"","$",""),",","")),0))</f>
        <v/>
      </c>
      <c r="F655" s="11">
        <f>IF(A655="","",D655*E655)</f>
        <v/>
      </c>
      <c r="G655">
        <f>IF(A655="","",IF(C655="",1,COUNTIF($C$2:$C$1501,C655)))</f>
        <v/>
      </c>
      <c r="H655" s="11">
        <f>IF(A655="","",IFERROR(VALUE(SUBSTITUTE(SUBSTITUTE(INDEX('Shopify Import'!$A:$CZ,655,Settings!$E$25)&amp;"","$",""),",","")),0)/IF(Settings!$D$27="Yes",G655,1))</f>
        <v/>
      </c>
      <c r="I655" s="11">
        <f>IF(A655="","",IFERROR(VALUE(SUBSTITUTE(SUBSTITUTE(INDEX('Shopify Import'!$A:$CZ,655,Settings!$E$26)&amp;"","$",""),",","")),0)/IF(Settings!$D$27="Yes",G655,1))</f>
        <v/>
      </c>
      <c r="J655" s="11">
        <f>IF(A655="","",F655+H655-I655)</f>
        <v/>
      </c>
      <c r="K655">
        <f>IF(A655="","",IFERROR(IF(B655="",NA(),MATCH(B655,Products!$B$5:$B$204,0)),IFERROR(MATCH(A655,Products!$A$5:$A$204,0),"")))</f>
        <v/>
      </c>
      <c r="L655">
        <f>IF(A655="","",IF(K655="","⚠ not in Products",INDEX(Products!$A$5:$A$204,K655)))</f>
        <v/>
      </c>
      <c r="M655" s="11">
        <f>IF(A655="","",J655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655+IFERROR(INDEX(Settings!$D$5:$D$9,MATCH("Shopify",Settings!$A$5:$A$9,0)),0)*D655)</f>
        <v/>
      </c>
      <c r="N655" s="11">
        <f>IF(A655="","",IF(K655="",0,D655*INDEX(Products!$I$5:$I$204,K655)))</f>
        <v/>
      </c>
      <c r="O655" s="11">
        <f>IF(A655="","",IF(K655="",0,J655*INDEX(Products!$H$5:$H$204,K655)))</f>
        <v/>
      </c>
      <c r="P655" s="11">
        <f>IF(A655="","",J655-M655-N655-O655)</f>
        <v/>
      </c>
    </row>
    <row r="656">
      <c r="A656">
        <f>IFERROR(INDEX('Shopify Import'!$A:$CZ,656,Settings!$E$20)&amp;"","")</f>
        <v/>
      </c>
      <c r="B656">
        <f>IFERROR(INDEX('Shopify Import'!$A:$CZ,656,Settings!$E$21)&amp;"","")</f>
        <v/>
      </c>
      <c r="C656">
        <f>IFERROR(INDEX('Shopify Import'!$A:$CZ,656,Settings!$E$22)&amp;"","")</f>
        <v/>
      </c>
      <c r="D656">
        <f>IF(A656="","",IFERROR(VALUE(SUBSTITUTE(SUBSTITUTE(INDEX('Shopify Import'!$A:$CZ,656,Settings!$E$23)&amp;"","$",""),",","")),0))</f>
        <v/>
      </c>
      <c r="E656" s="11">
        <f>IF(A656="","",IFERROR(VALUE(SUBSTITUTE(SUBSTITUTE(INDEX('Shopify Import'!$A:$CZ,656,Settings!$E$24)&amp;"","$",""),",","")),0))</f>
        <v/>
      </c>
      <c r="F656" s="11">
        <f>IF(A656="","",D656*E656)</f>
        <v/>
      </c>
      <c r="G656">
        <f>IF(A656="","",IF(C656="",1,COUNTIF($C$2:$C$1501,C656)))</f>
        <v/>
      </c>
      <c r="H656" s="11">
        <f>IF(A656="","",IFERROR(VALUE(SUBSTITUTE(SUBSTITUTE(INDEX('Shopify Import'!$A:$CZ,656,Settings!$E$25)&amp;"","$",""),",","")),0)/IF(Settings!$D$27="Yes",G656,1))</f>
        <v/>
      </c>
      <c r="I656" s="11">
        <f>IF(A656="","",IFERROR(VALUE(SUBSTITUTE(SUBSTITUTE(INDEX('Shopify Import'!$A:$CZ,656,Settings!$E$26)&amp;"","$",""),",","")),0)/IF(Settings!$D$27="Yes",G656,1))</f>
        <v/>
      </c>
      <c r="J656" s="11">
        <f>IF(A656="","",F656+H656-I656)</f>
        <v/>
      </c>
      <c r="K656">
        <f>IF(A656="","",IFERROR(IF(B656="",NA(),MATCH(B656,Products!$B$5:$B$204,0)),IFERROR(MATCH(A656,Products!$A$5:$A$204,0),"")))</f>
        <v/>
      </c>
      <c r="L656">
        <f>IF(A656="","",IF(K656="","⚠ not in Products",INDEX(Products!$A$5:$A$204,K656)))</f>
        <v/>
      </c>
      <c r="M656" s="11">
        <f>IF(A656="","",J656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656+IFERROR(INDEX(Settings!$D$5:$D$9,MATCH("Shopify",Settings!$A$5:$A$9,0)),0)*D656)</f>
        <v/>
      </c>
      <c r="N656" s="11">
        <f>IF(A656="","",IF(K656="",0,D656*INDEX(Products!$I$5:$I$204,K656)))</f>
        <v/>
      </c>
      <c r="O656" s="11">
        <f>IF(A656="","",IF(K656="",0,J656*INDEX(Products!$H$5:$H$204,K656)))</f>
        <v/>
      </c>
      <c r="P656" s="11">
        <f>IF(A656="","",J656-M656-N656-O656)</f>
        <v/>
      </c>
    </row>
    <row r="657">
      <c r="A657">
        <f>IFERROR(INDEX('Shopify Import'!$A:$CZ,657,Settings!$E$20)&amp;"","")</f>
        <v/>
      </c>
      <c r="B657">
        <f>IFERROR(INDEX('Shopify Import'!$A:$CZ,657,Settings!$E$21)&amp;"","")</f>
        <v/>
      </c>
      <c r="C657">
        <f>IFERROR(INDEX('Shopify Import'!$A:$CZ,657,Settings!$E$22)&amp;"","")</f>
        <v/>
      </c>
      <c r="D657">
        <f>IF(A657="","",IFERROR(VALUE(SUBSTITUTE(SUBSTITUTE(INDEX('Shopify Import'!$A:$CZ,657,Settings!$E$23)&amp;"","$",""),",","")),0))</f>
        <v/>
      </c>
      <c r="E657" s="11">
        <f>IF(A657="","",IFERROR(VALUE(SUBSTITUTE(SUBSTITUTE(INDEX('Shopify Import'!$A:$CZ,657,Settings!$E$24)&amp;"","$",""),",","")),0))</f>
        <v/>
      </c>
      <c r="F657" s="11">
        <f>IF(A657="","",D657*E657)</f>
        <v/>
      </c>
      <c r="G657">
        <f>IF(A657="","",IF(C657="",1,COUNTIF($C$2:$C$1501,C657)))</f>
        <v/>
      </c>
      <c r="H657" s="11">
        <f>IF(A657="","",IFERROR(VALUE(SUBSTITUTE(SUBSTITUTE(INDEX('Shopify Import'!$A:$CZ,657,Settings!$E$25)&amp;"","$",""),",","")),0)/IF(Settings!$D$27="Yes",G657,1))</f>
        <v/>
      </c>
      <c r="I657" s="11">
        <f>IF(A657="","",IFERROR(VALUE(SUBSTITUTE(SUBSTITUTE(INDEX('Shopify Import'!$A:$CZ,657,Settings!$E$26)&amp;"","$",""),",","")),0)/IF(Settings!$D$27="Yes",G657,1))</f>
        <v/>
      </c>
      <c r="J657" s="11">
        <f>IF(A657="","",F657+H657-I657)</f>
        <v/>
      </c>
      <c r="K657">
        <f>IF(A657="","",IFERROR(IF(B657="",NA(),MATCH(B657,Products!$B$5:$B$204,0)),IFERROR(MATCH(A657,Products!$A$5:$A$204,0),"")))</f>
        <v/>
      </c>
      <c r="L657">
        <f>IF(A657="","",IF(K657="","⚠ not in Products",INDEX(Products!$A$5:$A$204,K657)))</f>
        <v/>
      </c>
      <c r="M657" s="11">
        <f>IF(A657="","",J657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657+IFERROR(INDEX(Settings!$D$5:$D$9,MATCH("Shopify",Settings!$A$5:$A$9,0)),0)*D657)</f>
        <v/>
      </c>
      <c r="N657" s="11">
        <f>IF(A657="","",IF(K657="",0,D657*INDEX(Products!$I$5:$I$204,K657)))</f>
        <v/>
      </c>
      <c r="O657" s="11">
        <f>IF(A657="","",IF(K657="",0,J657*INDEX(Products!$H$5:$H$204,K657)))</f>
        <v/>
      </c>
      <c r="P657" s="11">
        <f>IF(A657="","",J657-M657-N657-O657)</f>
        <v/>
      </c>
    </row>
    <row r="658">
      <c r="A658">
        <f>IFERROR(INDEX('Shopify Import'!$A:$CZ,658,Settings!$E$20)&amp;"","")</f>
        <v/>
      </c>
      <c r="B658">
        <f>IFERROR(INDEX('Shopify Import'!$A:$CZ,658,Settings!$E$21)&amp;"","")</f>
        <v/>
      </c>
      <c r="C658">
        <f>IFERROR(INDEX('Shopify Import'!$A:$CZ,658,Settings!$E$22)&amp;"","")</f>
        <v/>
      </c>
      <c r="D658">
        <f>IF(A658="","",IFERROR(VALUE(SUBSTITUTE(SUBSTITUTE(INDEX('Shopify Import'!$A:$CZ,658,Settings!$E$23)&amp;"","$",""),",","")),0))</f>
        <v/>
      </c>
      <c r="E658" s="11">
        <f>IF(A658="","",IFERROR(VALUE(SUBSTITUTE(SUBSTITUTE(INDEX('Shopify Import'!$A:$CZ,658,Settings!$E$24)&amp;"","$",""),",","")),0))</f>
        <v/>
      </c>
      <c r="F658" s="11">
        <f>IF(A658="","",D658*E658)</f>
        <v/>
      </c>
      <c r="G658">
        <f>IF(A658="","",IF(C658="",1,COUNTIF($C$2:$C$1501,C658)))</f>
        <v/>
      </c>
      <c r="H658" s="11">
        <f>IF(A658="","",IFERROR(VALUE(SUBSTITUTE(SUBSTITUTE(INDEX('Shopify Import'!$A:$CZ,658,Settings!$E$25)&amp;"","$",""),",","")),0)/IF(Settings!$D$27="Yes",G658,1))</f>
        <v/>
      </c>
      <c r="I658" s="11">
        <f>IF(A658="","",IFERROR(VALUE(SUBSTITUTE(SUBSTITUTE(INDEX('Shopify Import'!$A:$CZ,658,Settings!$E$26)&amp;"","$",""),",","")),0)/IF(Settings!$D$27="Yes",G658,1))</f>
        <v/>
      </c>
      <c r="J658" s="11">
        <f>IF(A658="","",F658+H658-I658)</f>
        <v/>
      </c>
      <c r="K658">
        <f>IF(A658="","",IFERROR(IF(B658="",NA(),MATCH(B658,Products!$B$5:$B$204,0)),IFERROR(MATCH(A658,Products!$A$5:$A$204,0),"")))</f>
        <v/>
      </c>
      <c r="L658">
        <f>IF(A658="","",IF(K658="","⚠ not in Products",INDEX(Products!$A$5:$A$204,K658)))</f>
        <v/>
      </c>
      <c r="M658" s="11">
        <f>IF(A658="","",J658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658+IFERROR(INDEX(Settings!$D$5:$D$9,MATCH("Shopify",Settings!$A$5:$A$9,0)),0)*D658)</f>
        <v/>
      </c>
      <c r="N658" s="11">
        <f>IF(A658="","",IF(K658="",0,D658*INDEX(Products!$I$5:$I$204,K658)))</f>
        <v/>
      </c>
      <c r="O658" s="11">
        <f>IF(A658="","",IF(K658="",0,J658*INDEX(Products!$H$5:$H$204,K658)))</f>
        <v/>
      </c>
      <c r="P658" s="11">
        <f>IF(A658="","",J658-M658-N658-O658)</f>
        <v/>
      </c>
    </row>
    <row r="659">
      <c r="A659">
        <f>IFERROR(INDEX('Shopify Import'!$A:$CZ,659,Settings!$E$20)&amp;"","")</f>
        <v/>
      </c>
      <c r="B659">
        <f>IFERROR(INDEX('Shopify Import'!$A:$CZ,659,Settings!$E$21)&amp;"","")</f>
        <v/>
      </c>
      <c r="C659">
        <f>IFERROR(INDEX('Shopify Import'!$A:$CZ,659,Settings!$E$22)&amp;"","")</f>
        <v/>
      </c>
      <c r="D659">
        <f>IF(A659="","",IFERROR(VALUE(SUBSTITUTE(SUBSTITUTE(INDEX('Shopify Import'!$A:$CZ,659,Settings!$E$23)&amp;"","$",""),",","")),0))</f>
        <v/>
      </c>
      <c r="E659" s="11">
        <f>IF(A659="","",IFERROR(VALUE(SUBSTITUTE(SUBSTITUTE(INDEX('Shopify Import'!$A:$CZ,659,Settings!$E$24)&amp;"","$",""),",","")),0))</f>
        <v/>
      </c>
      <c r="F659" s="11">
        <f>IF(A659="","",D659*E659)</f>
        <v/>
      </c>
      <c r="G659">
        <f>IF(A659="","",IF(C659="",1,COUNTIF($C$2:$C$1501,C659)))</f>
        <v/>
      </c>
      <c r="H659" s="11">
        <f>IF(A659="","",IFERROR(VALUE(SUBSTITUTE(SUBSTITUTE(INDEX('Shopify Import'!$A:$CZ,659,Settings!$E$25)&amp;"","$",""),",","")),0)/IF(Settings!$D$27="Yes",G659,1))</f>
        <v/>
      </c>
      <c r="I659" s="11">
        <f>IF(A659="","",IFERROR(VALUE(SUBSTITUTE(SUBSTITUTE(INDEX('Shopify Import'!$A:$CZ,659,Settings!$E$26)&amp;"","$",""),",","")),0)/IF(Settings!$D$27="Yes",G659,1))</f>
        <v/>
      </c>
      <c r="J659" s="11">
        <f>IF(A659="","",F659+H659-I659)</f>
        <v/>
      </c>
      <c r="K659">
        <f>IF(A659="","",IFERROR(IF(B659="",NA(),MATCH(B659,Products!$B$5:$B$204,0)),IFERROR(MATCH(A659,Products!$A$5:$A$204,0),"")))</f>
        <v/>
      </c>
      <c r="L659">
        <f>IF(A659="","",IF(K659="","⚠ not in Products",INDEX(Products!$A$5:$A$204,K659)))</f>
        <v/>
      </c>
      <c r="M659" s="11">
        <f>IF(A659="","",J659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659+IFERROR(INDEX(Settings!$D$5:$D$9,MATCH("Shopify",Settings!$A$5:$A$9,0)),0)*D659)</f>
        <v/>
      </c>
      <c r="N659" s="11">
        <f>IF(A659="","",IF(K659="",0,D659*INDEX(Products!$I$5:$I$204,K659)))</f>
        <v/>
      </c>
      <c r="O659" s="11">
        <f>IF(A659="","",IF(K659="",0,J659*INDEX(Products!$H$5:$H$204,K659)))</f>
        <v/>
      </c>
      <c r="P659" s="11">
        <f>IF(A659="","",J659-M659-N659-O659)</f>
        <v/>
      </c>
    </row>
    <row r="660">
      <c r="A660">
        <f>IFERROR(INDEX('Shopify Import'!$A:$CZ,660,Settings!$E$20)&amp;"","")</f>
        <v/>
      </c>
      <c r="B660">
        <f>IFERROR(INDEX('Shopify Import'!$A:$CZ,660,Settings!$E$21)&amp;"","")</f>
        <v/>
      </c>
      <c r="C660">
        <f>IFERROR(INDEX('Shopify Import'!$A:$CZ,660,Settings!$E$22)&amp;"","")</f>
        <v/>
      </c>
      <c r="D660">
        <f>IF(A660="","",IFERROR(VALUE(SUBSTITUTE(SUBSTITUTE(INDEX('Shopify Import'!$A:$CZ,660,Settings!$E$23)&amp;"","$",""),",","")),0))</f>
        <v/>
      </c>
      <c r="E660" s="11">
        <f>IF(A660="","",IFERROR(VALUE(SUBSTITUTE(SUBSTITUTE(INDEX('Shopify Import'!$A:$CZ,660,Settings!$E$24)&amp;"","$",""),",","")),0))</f>
        <v/>
      </c>
      <c r="F660" s="11">
        <f>IF(A660="","",D660*E660)</f>
        <v/>
      </c>
      <c r="G660">
        <f>IF(A660="","",IF(C660="",1,COUNTIF($C$2:$C$1501,C660)))</f>
        <v/>
      </c>
      <c r="H660" s="11">
        <f>IF(A660="","",IFERROR(VALUE(SUBSTITUTE(SUBSTITUTE(INDEX('Shopify Import'!$A:$CZ,660,Settings!$E$25)&amp;"","$",""),",","")),0)/IF(Settings!$D$27="Yes",G660,1))</f>
        <v/>
      </c>
      <c r="I660" s="11">
        <f>IF(A660="","",IFERROR(VALUE(SUBSTITUTE(SUBSTITUTE(INDEX('Shopify Import'!$A:$CZ,660,Settings!$E$26)&amp;"","$",""),",","")),0)/IF(Settings!$D$27="Yes",G660,1))</f>
        <v/>
      </c>
      <c r="J660" s="11">
        <f>IF(A660="","",F660+H660-I660)</f>
        <v/>
      </c>
      <c r="K660">
        <f>IF(A660="","",IFERROR(IF(B660="",NA(),MATCH(B660,Products!$B$5:$B$204,0)),IFERROR(MATCH(A660,Products!$A$5:$A$204,0),"")))</f>
        <v/>
      </c>
      <c r="L660">
        <f>IF(A660="","",IF(K660="","⚠ not in Products",INDEX(Products!$A$5:$A$204,K660)))</f>
        <v/>
      </c>
      <c r="M660" s="11">
        <f>IF(A660="","",J660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660+IFERROR(INDEX(Settings!$D$5:$D$9,MATCH("Shopify",Settings!$A$5:$A$9,0)),0)*D660)</f>
        <v/>
      </c>
      <c r="N660" s="11">
        <f>IF(A660="","",IF(K660="",0,D660*INDEX(Products!$I$5:$I$204,K660)))</f>
        <v/>
      </c>
      <c r="O660" s="11">
        <f>IF(A660="","",IF(K660="",0,J660*INDEX(Products!$H$5:$H$204,K660)))</f>
        <v/>
      </c>
      <c r="P660" s="11">
        <f>IF(A660="","",J660-M660-N660-O660)</f>
        <v/>
      </c>
    </row>
    <row r="661">
      <c r="A661">
        <f>IFERROR(INDEX('Shopify Import'!$A:$CZ,661,Settings!$E$20)&amp;"","")</f>
        <v/>
      </c>
      <c r="B661">
        <f>IFERROR(INDEX('Shopify Import'!$A:$CZ,661,Settings!$E$21)&amp;"","")</f>
        <v/>
      </c>
      <c r="C661">
        <f>IFERROR(INDEX('Shopify Import'!$A:$CZ,661,Settings!$E$22)&amp;"","")</f>
        <v/>
      </c>
      <c r="D661">
        <f>IF(A661="","",IFERROR(VALUE(SUBSTITUTE(SUBSTITUTE(INDEX('Shopify Import'!$A:$CZ,661,Settings!$E$23)&amp;"","$",""),",","")),0))</f>
        <v/>
      </c>
      <c r="E661" s="11">
        <f>IF(A661="","",IFERROR(VALUE(SUBSTITUTE(SUBSTITUTE(INDEX('Shopify Import'!$A:$CZ,661,Settings!$E$24)&amp;"","$",""),",","")),0))</f>
        <v/>
      </c>
      <c r="F661" s="11">
        <f>IF(A661="","",D661*E661)</f>
        <v/>
      </c>
      <c r="G661">
        <f>IF(A661="","",IF(C661="",1,COUNTIF($C$2:$C$1501,C661)))</f>
        <v/>
      </c>
      <c r="H661" s="11">
        <f>IF(A661="","",IFERROR(VALUE(SUBSTITUTE(SUBSTITUTE(INDEX('Shopify Import'!$A:$CZ,661,Settings!$E$25)&amp;"","$",""),",","")),0)/IF(Settings!$D$27="Yes",G661,1))</f>
        <v/>
      </c>
      <c r="I661" s="11">
        <f>IF(A661="","",IFERROR(VALUE(SUBSTITUTE(SUBSTITUTE(INDEX('Shopify Import'!$A:$CZ,661,Settings!$E$26)&amp;"","$",""),",","")),0)/IF(Settings!$D$27="Yes",G661,1))</f>
        <v/>
      </c>
      <c r="J661" s="11">
        <f>IF(A661="","",F661+H661-I661)</f>
        <v/>
      </c>
      <c r="K661">
        <f>IF(A661="","",IFERROR(IF(B661="",NA(),MATCH(B661,Products!$B$5:$B$204,0)),IFERROR(MATCH(A661,Products!$A$5:$A$204,0),"")))</f>
        <v/>
      </c>
      <c r="L661">
        <f>IF(A661="","",IF(K661="","⚠ not in Products",INDEX(Products!$A$5:$A$204,K661)))</f>
        <v/>
      </c>
      <c r="M661" s="11">
        <f>IF(A661="","",J661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661+IFERROR(INDEX(Settings!$D$5:$D$9,MATCH("Shopify",Settings!$A$5:$A$9,0)),0)*D661)</f>
        <v/>
      </c>
      <c r="N661" s="11">
        <f>IF(A661="","",IF(K661="",0,D661*INDEX(Products!$I$5:$I$204,K661)))</f>
        <v/>
      </c>
      <c r="O661" s="11">
        <f>IF(A661="","",IF(K661="",0,J661*INDEX(Products!$H$5:$H$204,K661)))</f>
        <v/>
      </c>
      <c r="P661" s="11">
        <f>IF(A661="","",J661-M661-N661-O661)</f>
        <v/>
      </c>
    </row>
    <row r="662">
      <c r="A662">
        <f>IFERROR(INDEX('Shopify Import'!$A:$CZ,662,Settings!$E$20)&amp;"","")</f>
        <v/>
      </c>
      <c r="B662">
        <f>IFERROR(INDEX('Shopify Import'!$A:$CZ,662,Settings!$E$21)&amp;"","")</f>
        <v/>
      </c>
      <c r="C662">
        <f>IFERROR(INDEX('Shopify Import'!$A:$CZ,662,Settings!$E$22)&amp;"","")</f>
        <v/>
      </c>
      <c r="D662">
        <f>IF(A662="","",IFERROR(VALUE(SUBSTITUTE(SUBSTITUTE(INDEX('Shopify Import'!$A:$CZ,662,Settings!$E$23)&amp;"","$",""),",","")),0))</f>
        <v/>
      </c>
      <c r="E662" s="11">
        <f>IF(A662="","",IFERROR(VALUE(SUBSTITUTE(SUBSTITUTE(INDEX('Shopify Import'!$A:$CZ,662,Settings!$E$24)&amp;"","$",""),",","")),0))</f>
        <v/>
      </c>
      <c r="F662" s="11">
        <f>IF(A662="","",D662*E662)</f>
        <v/>
      </c>
      <c r="G662">
        <f>IF(A662="","",IF(C662="",1,COUNTIF($C$2:$C$1501,C662)))</f>
        <v/>
      </c>
      <c r="H662" s="11">
        <f>IF(A662="","",IFERROR(VALUE(SUBSTITUTE(SUBSTITUTE(INDEX('Shopify Import'!$A:$CZ,662,Settings!$E$25)&amp;"","$",""),",","")),0)/IF(Settings!$D$27="Yes",G662,1))</f>
        <v/>
      </c>
      <c r="I662" s="11">
        <f>IF(A662="","",IFERROR(VALUE(SUBSTITUTE(SUBSTITUTE(INDEX('Shopify Import'!$A:$CZ,662,Settings!$E$26)&amp;"","$",""),",","")),0)/IF(Settings!$D$27="Yes",G662,1))</f>
        <v/>
      </c>
      <c r="J662" s="11">
        <f>IF(A662="","",F662+H662-I662)</f>
        <v/>
      </c>
      <c r="K662">
        <f>IF(A662="","",IFERROR(IF(B662="",NA(),MATCH(B662,Products!$B$5:$B$204,0)),IFERROR(MATCH(A662,Products!$A$5:$A$204,0),"")))</f>
        <v/>
      </c>
      <c r="L662">
        <f>IF(A662="","",IF(K662="","⚠ not in Products",INDEX(Products!$A$5:$A$204,K662)))</f>
        <v/>
      </c>
      <c r="M662" s="11">
        <f>IF(A662="","",J662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662+IFERROR(INDEX(Settings!$D$5:$D$9,MATCH("Shopify",Settings!$A$5:$A$9,0)),0)*D662)</f>
        <v/>
      </c>
      <c r="N662" s="11">
        <f>IF(A662="","",IF(K662="",0,D662*INDEX(Products!$I$5:$I$204,K662)))</f>
        <v/>
      </c>
      <c r="O662" s="11">
        <f>IF(A662="","",IF(K662="",0,J662*INDEX(Products!$H$5:$H$204,K662)))</f>
        <v/>
      </c>
      <c r="P662" s="11">
        <f>IF(A662="","",J662-M662-N662-O662)</f>
        <v/>
      </c>
    </row>
    <row r="663">
      <c r="A663">
        <f>IFERROR(INDEX('Shopify Import'!$A:$CZ,663,Settings!$E$20)&amp;"","")</f>
        <v/>
      </c>
      <c r="B663">
        <f>IFERROR(INDEX('Shopify Import'!$A:$CZ,663,Settings!$E$21)&amp;"","")</f>
        <v/>
      </c>
      <c r="C663">
        <f>IFERROR(INDEX('Shopify Import'!$A:$CZ,663,Settings!$E$22)&amp;"","")</f>
        <v/>
      </c>
      <c r="D663">
        <f>IF(A663="","",IFERROR(VALUE(SUBSTITUTE(SUBSTITUTE(INDEX('Shopify Import'!$A:$CZ,663,Settings!$E$23)&amp;"","$",""),",","")),0))</f>
        <v/>
      </c>
      <c r="E663" s="11">
        <f>IF(A663="","",IFERROR(VALUE(SUBSTITUTE(SUBSTITUTE(INDEX('Shopify Import'!$A:$CZ,663,Settings!$E$24)&amp;"","$",""),",","")),0))</f>
        <v/>
      </c>
      <c r="F663" s="11">
        <f>IF(A663="","",D663*E663)</f>
        <v/>
      </c>
      <c r="G663">
        <f>IF(A663="","",IF(C663="",1,COUNTIF($C$2:$C$1501,C663)))</f>
        <v/>
      </c>
      <c r="H663" s="11">
        <f>IF(A663="","",IFERROR(VALUE(SUBSTITUTE(SUBSTITUTE(INDEX('Shopify Import'!$A:$CZ,663,Settings!$E$25)&amp;"","$",""),",","")),0)/IF(Settings!$D$27="Yes",G663,1))</f>
        <v/>
      </c>
      <c r="I663" s="11">
        <f>IF(A663="","",IFERROR(VALUE(SUBSTITUTE(SUBSTITUTE(INDEX('Shopify Import'!$A:$CZ,663,Settings!$E$26)&amp;"","$",""),",","")),0)/IF(Settings!$D$27="Yes",G663,1))</f>
        <v/>
      </c>
      <c r="J663" s="11">
        <f>IF(A663="","",F663+H663-I663)</f>
        <v/>
      </c>
      <c r="K663">
        <f>IF(A663="","",IFERROR(IF(B663="",NA(),MATCH(B663,Products!$B$5:$B$204,0)),IFERROR(MATCH(A663,Products!$A$5:$A$204,0),"")))</f>
        <v/>
      </c>
      <c r="L663">
        <f>IF(A663="","",IF(K663="","⚠ not in Products",INDEX(Products!$A$5:$A$204,K663)))</f>
        <v/>
      </c>
      <c r="M663" s="11">
        <f>IF(A663="","",J663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663+IFERROR(INDEX(Settings!$D$5:$D$9,MATCH("Shopify",Settings!$A$5:$A$9,0)),0)*D663)</f>
        <v/>
      </c>
      <c r="N663" s="11">
        <f>IF(A663="","",IF(K663="",0,D663*INDEX(Products!$I$5:$I$204,K663)))</f>
        <v/>
      </c>
      <c r="O663" s="11">
        <f>IF(A663="","",IF(K663="",0,J663*INDEX(Products!$H$5:$H$204,K663)))</f>
        <v/>
      </c>
      <c r="P663" s="11">
        <f>IF(A663="","",J663-M663-N663-O663)</f>
        <v/>
      </c>
    </row>
    <row r="664">
      <c r="A664">
        <f>IFERROR(INDEX('Shopify Import'!$A:$CZ,664,Settings!$E$20)&amp;"","")</f>
        <v/>
      </c>
      <c r="B664">
        <f>IFERROR(INDEX('Shopify Import'!$A:$CZ,664,Settings!$E$21)&amp;"","")</f>
        <v/>
      </c>
      <c r="C664">
        <f>IFERROR(INDEX('Shopify Import'!$A:$CZ,664,Settings!$E$22)&amp;"","")</f>
        <v/>
      </c>
      <c r="D664">
        <f>IF(A664="","",IFERROR(VALUE(SUBSTITUTE(SUBSTITUTE(INDEX('Shopify Import'!$A:$CZ,664,Settings!$E$23)&amp;"","$",""),",","")),0))</f>
        <v/>
      </c>
      <c r="E664" s="11">
        <f>IF(A664="","",IFERROR(VALUE(SUBSTITUTE(SUBSTITUTE(INDEX('Shopify Import'!$A:$CZ,664,Settings!$E$24)&amp;"","$",""),",","")),0))</f>
        <v/>
      </c>
      <c r="F664" s="11">
        <f>IF(A664="","",D664*E664)</f>
        <v/>
      </c>
      <c r="G664">
        <f>IF(A664="","",IF(C664="",1,COUNTIF($C$2:$C$1501,C664)))</f>
        <v/>
      </c>
      <c r="H664" s="11">
        <f>IF(A664="","",IFERROR(VALUE(SUBSTITUTE(SUBSTITUTE(INDEX('Shopify Import'!$A:$CZ,664,Settings!$E$25)&amp;"","$",""),",","")),0)/IF(Settings!$D$27="Yes",G664,1))</f>
        <v/>
      </c>
      <c r="I664" s="11">
        <f>IF(A664="","",IFERROR(VALUE(SUBSTITUTE(SUBSTITUTE(INDEX('Shopify Import'!$A:$CZ,664,Settings!$E$26)&amp;"","$",""),",","")),0)/IF(Settings!$D$27="Yes",G664,1))</f>
        <v/>
      </c>
      <c r="J664" s="11">
        <f>IF(A664="","",F664+H664-I664)</f>
        <v/>
      </c>
      <c r="K664">
        <f>IF(A664="","",IFERROR(IF(B664="",NA(),MATCH(B664,Products!$B$5:$B$204,0)),IFERROR(MATCH(A664,Products!$A$5:$A$204,0),"")))</f>
        <v/>
      </c>
      <c r="L664">
        <f>IF(A664="","",IF(K664="","⚠ not in Products",INDEX(Products!$A$5:$A$204,K664)))</f>
        <v/>
      </c>
      <c r="M664" s="11">
        <f>IF(A664="","",J664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664+IFERROR(INDEX(Settings!$D$5:$D$9,MATCH("Shopify",Settings!$A$5:$A$9,0)),0)*D664)</f>
        <v/>
      </c>
      <c r="N664" s="11">
        <f>IF(A664="","",IF(K664="",0,D664*INDEX(Products!$I$5:$I$204,K664)))</f>
        <v/>
      </c>
      <c r="O664" s="11">
        <f>IF(A664="","",IF(K664="",0,J664*INDEX(Products!$H$5:$H$204,K664)))</f>
        <v/>
      </c>
      <c r="P664" s="11">
        <f>IF(A664="","",J664-M664-N664-O664)</f>
        <v/>
      </c>
    </row>
    <row r="665">
      <c r="A665">
        <f>IFERROR(INDEX('Shopify Import'!$A:$CZ,665,Settings!$E$20)&amp;"","")</f>
        <v/>
      </c>
      <c r="B665">
        <f>IFERROR(INDEX('Shopify Import'!$A:$CZ,665,Settings!$E$21)&amp;"","")</f>
        <v/>
      </c>
      <c r="C665">
        <f>IFERROR(INDEX('Shopify Import'!$A:$CZ,665,Settings!$E$22)&amp;"","")</f>
        <v/>
      </c>
      <c r="D665">
        <f>IF(A665="","",IFERROR(VALUE(SUBSTITUTE(SUBSTITUTE(INDEX('Shopify Import'!$A:$CZ,665,Settings!$E$23)&amp;"","$",""),",","")),0))</f>
        <v/>
      </c>
      <c r="E665" s="11">
        <f>IF(A665="","",IFERROR(VALUE(SUBSTITUTE(SUBSTITUTE(INDEX('Shopify Import'!$A:$CZ,665,Settings!$E$24)&amp;"","$",""),",","")),0))</f>
        <v/>
      </c>
      <c r="F665" s="11">
        <f>IF(A665="","",D665*E665)</f>
        <v/>
      </c>
      <c r="G665">
        <f>IF(A665="","",IF(C665="",1,COUNTIF($C$2:$C$1501,C665)))</f>
        <v/>
      </c>
      <c r="H665" s="11">
        <f>IF(A665="","",IFERROR(VALUE(SUBSTITUTE(SUBSTITUTE(INDEX('Shopify Import'!$A:$CZ,665,Settings!$E$25)&amp;"","$",""),",","")),0)/IF(Settings!$D$27="Yes",G665,1))</f>
        <v/>
      </c>
      <c r="I665" s="11">
        <f>IF(A665="","",IFERROR(VALUE(SUBSTITUTE(SUBSTITUTE(INDEX('Shopify Import'!$A:$CZ,665,Settings!$E$26)&amp;"","$",""),",","")),0)/IF(Settings!$D$27="Yes",G665,1))</f>
        <v/>
      </c>
      <c r="J665" s="11">
        <f>IF(A665="","",F665+H665-I665)</f>
        <v/>
      </c>
      <c r="K665">
        <f>IF(A665="","",IFERROR(IF(B665="",NA(),MATCH(B665,Products!$B$5:$B$204,0)),IFERROR(MATCH(A665,Products!$A$5:$A$204,0),"")))</f>
        <v/>
      </c>
      <c r="L665">
        <f>IF(A665="","",IF(K665="","⚠ not in Products",INDEX(Products!$A$5:$A$204,K665)))</f>
        <v/>
      </c>
      <c r="M665" s="11">
        <f>IF(A665="","",J665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665+IFERROR(INDEX(Settings!$D$5:$D$9,MATCH("Shopify",Settings!$A$5:$A$9,0)),0)*D665)</f>
        <v/>
      </c>
      <c r="N665" s="11">
        <f>IF(A665="","",IF(K665="",0,D665*INDEX(Products!$I$5:$I$204,K665)))</f>
        <v/>
      </c>
      <c r="O665" s="11">
        <f>IF(A665="","",IF(K665="",0,J665*INDEX(Products!$H$5:$H$204,K665)))</f>
        <v/>
      </c>
      <c r="P665" s="11">
        <f>IF(A665="","",J665-M665-N665-O665)</f>
        <v/>
      </c>
    </row>
    <row r="666">
      <c r="A666">
        <f>IFERROR(INDEX('Shopify Import'!$A:$CZ,666,Settings!$E$20)&amp;"","")</f>
        <v/>
      </c>
      <c r="B666">
        <f>IFERROR(INDEX('Shopify Import'!$A:$CZ,666,Settings!$E$21)&amp;"","")</f>
        <v/>
      </c>
      <c r="C666">
        <f>IFERROR(INDEX('Shopify Import'!$A:$CZ,666,Settings!$E$22)&amp;"","")</f>
        <v/>
      </c>
      <c r="D666">
        <f>IF(A666="","",IFERROR(VALUE(SUBSTITUTE(SUBSTITUTE(INDEX('Shopify Import'!$A:$CZ,666,Settings!$E$23)&amp;"","$",""),",","")),0))</f>
        <v/>
      </c>
      <c r="E666" s="11">
        <f>IF(A666="","",IFERROR(VALUE(SUBSTITUTE(SUBSTITUTE(INDEX('Shopify Import'!$A:$CZ,666,Settings!$E$24)&amp;"","$",""),",","")),0))</f>
        <v/>
      </c>
      <c r="F666" s="11">
        <f>IF(A666="","",D666*E666)</f>
        <v/>
      </c>
      <c r="G666">
        <f>IF(A666="","",IF(C666="",1,COUNTIF($C$2:$C$1501,C666)))</f>
        <v/>
      </c>
      <c r="H666" s="11">
        <f>IF(A666="","",IFERROR(VALUE(SUBSTITUTE(SUBSTITUTE(INDEX('Shopify Import'!$A:$CZ,666,Settings!$E$25)&amp;"","$",""),",","")),0)/IF(Settings!$D$27="Yes",G666,1))</f>
        <v/>
      </c>
      <c r="I666" s="11">
        <f>IF(A666="","",IFERROR(VALUE(SUBSTITUTE(SUBSTITUTE(INDEX('Shopify Import'!$A:$CZ,666,Settings!$E$26)&amp;"","$",""),",","")),0)/IF(Settings!$D$27="Yes",G666,1))</f>
        <v/>
      </c>
      <c r="J666" s="11">
        <f>IF(A666="","",F666+H666-I666)</f>
        <v/>
      </c>
      <c r="K666">
        <f>IF(A666="","",IFERROR(IF(B666="",NA(),MATCH(B666,Products!$B$5:$B$204,0)),IFERROR(MATCH(A666,Products!$A$5:$A$204,0),"")))</f>
        <v/>
      </c>
      <c r="L666">
        <f>IF(A666="","",IF(K666="","⚠ not in Products",INDEX(Products!$A$5:$A$204,K666)))</f>
        <v/>
      </c>
      <c r="M666" s="11">
        <f>IF(A666="","",J666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666+IFERROR(INDEX(Settings!$D$5:$D$9,MATCH("Shopify",Settings!$A$5:$A$9,0)),0)*D666)</f>
        <v/>
      </c>
      <c r="N666" s="11">
        <f>IF(A666="","",IF(K666="",0,D666*INDEX(Products!$I$5:$I$204,K666)))</f>
        <v/>
      </c>
      <c r="O666" s="11">
        <f>IF(A666="","",IF(K666="",0,J666*INDEX(Products!$H$5:$H$204,K666)))</f>
        <v/>
      </c>
      <c r="P666" s="11">
        <f>IF(A666="","",J666-M666-N666-O666)</f>
        <v/>
      </c>
    </row>
    <row r="667">
      <c r="A667">
        <f>IFERROR(INDEX('Shopify Import'!$A:$CZ,667,Settings!$E$20)&amp;"","")</f>
        <v/>
      </c>
      <c r="B667">
        <f>IFERROR(INDEX('Shopify Import'!$A:$CZ,667,Settings!$E$21)&amp;"","")</f>
        <v/>
      </c>
      <c r="C667">
        <f>IFERROR(INDEX('Shopify Import'!$A:$CZ,667,Settings!$E$22)&amp;"","")</f>
        <v/>
      </c>
      <c r="D667">
        <f>IF(A667="","",IFERROR(VALUE(SUBSTITUTE(SUBSTITUTE(INDEX('Shopify Import'!$A:$CZ,667,Settings!$E$23)&amp;"","$",""),",","")),0))</f>
        <v/>
      </c>
      <c r="E667" s="11">
        <f>IF(A667="","",IFERROR(VALUE(SUBSTITUTE(SUBSTITUTE(INDEX('Shopify Import'!$A:$CZ,667,Settings!$E$24)&amp;"","$",""),",","")),0))</f>
        <v/>
      </c>
      <c r="F667" s="11">
        <f>IF(A667="","",D667*E667)</f>
        <v/>
      </c>
      <c r="G667">
        <f>IF(A667="","",IF(C667="",1,COUNTIF($C$2:$C$1501,C667)))</f>
        <v/>
      </c>
      <c r="H667" s="11">
        <f>IF(A667="","",IFERROR(VALUE(SUBSTITUTE(SUBSTITUTE(INDEX('Shopify Import'!$A:$CZ,667,Settings!$E$25)&amp;"","$",""),",","")),0)/IF(Settings!$D$27="Yes",G667,1))</f>
        <v/>
      </c>
      <c r="I667" s="11">
        <f>IF(A667="","",IFERROR(VALUE(SUBSTITUTE(SUBSTITUTE(INDEX('Shopify Import'!$A:$CZ,667,Settings!$E$26)&amp;"","$",""),",","")),0)/IF(Settings!$D$27="Yes",G667,1))</f>
        <v/>
      </c>
      <c r="J667" s="11">
        <f>IF(A667="","",F667+H667-I667)</f>
        <v/>
      </c>
      <c r="K667">
        <f>IF(A667="","",IFERROR(IF(B667="",NA(),MATCH(B667,Products!$B$5:$B$204,0)),IFERROR(MATCH(A667,Products!$A$5:$A$204,0),"")))</f>
        <v/>
      </c>
      <c r="L667">
        <f>IF(A667="","",IF(K667="","⚠ not in Products",INDEX(Products!$A$5:$A$204,K667)))</f>
        <v/>
      </c>
      <c r="M667" s="11">
        <f>IF(A667="","",J667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667+IFERROR(INDEX(Settings!$D$5:$D$9,MATCH("Shopify",Settings!$A$5:$A$9,0)),0)*D667)</f>
        <v/>
      </c>
      <c r="N667" s="11">
        <f>IF(A667="","",IF(K667="",0,D667*INDEX(Products!$I$5:$I$204,K667)))</f>
        <v/>
      </c>
      <c r="O667" s="11">
        <f>IF(A667="","",IF(K667="",0,J667*INDEX(Products!$H$5:$H$204,K667)))</f>
        <v/>
      </c>
      <c r="P667" s="11">
        <f>IF(A667="","",J667-M667-N667-O667)</f>
        <v/>
      </c>
    </row>
    <row r="668">
      <c r="A668">
        <f>IFERROR(INDEX('Shopify Import'!$A:$CZ,668,Settings!$E$20)&amp;"","")</f>
        <v/>
      </c>
      <c r="B668">
        <f>IFERROR(INDEX('Shopify Import'!$A:$CZ,668,Settings!$E$21)&amp;"","")</f>
        <v/>
      </c>
      <c r="C668">
        <f>IFERROR(INDEX('Shopify Import'!$A:$CZ,668,Settings!$E$22)&amp;"","")</f>
        <v/>
      </c>
      <c r="D668">
        <f>IF(A668="","",IFERROR(VALUE(SUBSTITUTE(SUBSTITUTE(INDEX('Shopify Import'!$A:$CZ,668,Settings!$E$23)&amp;"","$",""),",","")),0))</f>
        <v/>
      </c>
      <c r="E668" s="11">
        <f>IF(A668="","",IFERROR(VALUE(SUBSTITUTE(SUBSTITUTE(INDEX('Shopify Import'!$A:$CZ,668,Settings!$E$24)&amp;"","$",""),",","")),0))</f>
        <v/>
      </c>
      <c r="F668" s="11">
        <f>IF(A668="","",D668*E668)</f>
        <v/>
      </c>
      <c r="G668">
        <f>IF(A668="","",IF(C668="",1,COUNTIF($C$2:$C$1501,C668)))</f>
        <v/>
      </c>
      <c r="H668" s="11">
        <f>IF(A668="","",IFERROR(VALUE(SUBSTITUTE(SUBSTITUTE(INDEX('Shopify Import'!$A:$CZ,668,Settings!$E$25)&amp;"","$",""),",","")),0)/IF(Settings!$D$27="Yes",G668,1))</f>
        <v/>
      </c>
      <c r="I668" s="11">
        <f>IF(A668="","",IFERROR(VALUE(SUBSTITUTE(SUBSTITUTE(INDEX('Shopify Import'!$A:$CZ,668,Settings!$E$26)&amp;"","$",""),",","")),0)/IF(Settings!$D$27="Yes",G668,1))</f>
        <v/>
      </c>
      <c r="J668" s="11">
        <f>IF(A668="","",F668+H668-I668)</f>
        <v/>
      </c>
      <c r="K668">
        <f>IF(A668="","",IFERROR(IF(B668="",NA(),MATCH(B668,Products!$B$5:$B$204,0)),IFERROR(MATCH(A668,Products!$A$5:$A$204,0),"")))</f>
        <v/>
      </c>
      <c r="L668">
        <f>IF(A668="","",IF(K668="","⚠ not in Products",INDEX(Products!$A$5:$A$204,K668)))</f>
        <v/>
      </c>
      <c r="M668" s="11">
        <f>IF(A668="","",J668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668+IFERROR(INDEX(Settings!$D$5:$D$9,MATCH("Shopify",Settings!$A$5:$A$9,0)),0)*D668)</f>
        <v/>
      </c>
      <c r="N668" s="11">
        <f>IF(A668="","",IF(K668="",0,D668*INDEX(Products!$I$5:$I$204,K668)))</f>
        <v/>
      </c>
      <c r="O668" s="11">
        <f>IF(A668="","",IF(K668="",0,J668*INDEX(Products!$H$5:$H$204,K668)))</f>
        <v/>
      </c>
      <c r="P668" s="11">
        <f>IF(A668="","",J668-M668-N668-O668)</f>
        <v/>
      </c>
    </row>
    <row r="669">
      <c r="A669">
        <f>IFERROR(INDEX('Shopify Import'!$A:$CZ,669,Settings!$E$20)&amp;"","")</f>
        <v/>
      </c>
      <c r="B669">
        <f>IFERROR(INDEX('Shopify Import'!$A:$CZ,669,Settings!$E$21)&amp;"","")</f>
        <v/>
      </c>
      <c r="C669">
        <f>IFERROR(INDEX('Shopify Import'!$A:$CZ,669,Settings!$E$22)&amp;"","")</f>
        <v/>
      </c>
      <c r="D669">
        <f>IF(A669="","",IFERROR(VALUE(SUBSTITUTE(SUBSTITUTE(INDEX('Shopify Import'!$A:$CZ,669,Settings!$E$23)&amp;"","$",""),",","")),0))</f>
        <v/>
      </c>
      <c r="E669" s="11">
        <f>IF(A669="","",IFERROR(VALUE(SUBSTITUTE(SUBSTITUTE(INDEX('Shopify Import'!$A:$CZ,669,Settings!$E$24)&amp;"","$",""),",","")),0))</f>
        <v/>
      </c>
      <c r="F669" s="11">
        <f>IF(A669="","",D669*E669)</f>
        <v/>
      </c>
      <c r="G669">
        <f>IF(A669="","",IF(C669="",1,COUNTIF($C$2:$C$1501,C669)))</f>
        <v/>
      </c>
      <c r="H669" s="11">
        <f>IF(A669="","",IFERROR(VALUE(SUBSTITUTE(SUBSTITUTE(INDEX('Shopify Import'!$A:$CZ,669,Settings!$E$25)&amp;"","$",""),",","")),0)/IF(Settings!$D$27="Yes",G669,1))</f>
        <v/>
      </c>
      <c r="I669" s="11">
        <f>IF(A669="","",IFERROR(VALUE(SUBSTITUTE(SUBSTITUTE(INDEX('Shopify Import'!$A:$CZ,669,Settings!$E$26)&amp;"","$",""),",","")),0)/IF(Settings!$D$27="Yes",G669,1))</f>
        <v/>
      </c>
      <c r="J669" s="11">
        <f>IF(A669="","",F669+H669-I669)</f>
        <v/>
      </c>
      <c r="K669">
        <f>IF(A669="","",IFERROR(IF(B669="",NA(),MATCH(B669,Products!$B$5:$B$204,0)),IFERROR(MATCH(A669,Products!$A$5:$A$204,0),"")))</f>
        <v/>
      </c>
      <c r="L669">
        <f>IF(A669="","",IF(K669="","⚠ not in Products",INDEX(Products!$A$5:$A$204,K669)))</f>
        <v/>
      </c>
      <c r="M669" s="11">
        <f>IF(A669="","",J669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669+IFERROR(INDEX(Settings!$D$5:$D$9,MATCH("Shopify",Settings!$A$5:$A$9,0)),0)*D669)</f>
        <v/>
      </c>
      <c r="N669" s="11">
        <f>IF(A669="","",IF(K669="",0,D669*INDEX(Products!$I$5:$I$204,K669)))</f>
        <v/>
      </c>
      <c r="O669" s="11">
        <f>IF(A669="","",IF(K669="",0,J669*INDEX(Products!$H$5:$H$204,K669)))</f>
        <v/>
      </c>
      <c r="P669" s="11">
        <f>IF(A669="","",J669-M669-N669-O669)</f>
        <v/>
      </c>
    </row>
    <row r="670">
      <c r="A670">
        <f>IFERROR(INDEX('Shopify Import'!$A:$CZ,670,Settings!$E$20)&amp;"","")</f>
        <v/>
      </c>
      <c r="B670">
        <f>IFERROR(INDEX('Shopify Import'!$A:$CZ,670,Settings!$E$21)&amp;"","")</f>
        <v/>
      </c>
      <c r="C670">
        <f>IFERROR(INDEX('Shopify Import'!$A:$CZ,670,Settings!$E$22)&amp;"","")</f>
        <v/>
      </c>
      <c r="D670">
        <f>IF(A670="","",IFERROR(VALUE(SUBSTITUTE(SUBSTITUTE(INDEX('Shopify Import'!$A:$CZ,670,Settings!$E$23)&amp;"","$",""),",","")),0))</f>
        <v/>
      </c>
      <c r="E670" s="11">
        <f>IF(A670="","",IFERROR(VALUE(SUBSTITUTE(SUBSTITUTE(INDEX('Shopify Import'!$A:$CZ,670,Settings!$E$24)&amp;"","$",""),",","")),0))</f>
        <v/>
      </c>
      <c r="F670" s="11">
        <f>IF(A670="","",D670*E670)</f>
        <v/>
      </c>
      <c r="G670">
        <f>IF(A670="","",IF(C670="",1,COUNTIF($C$2:$C$1501,C670)))</f>
        <v/>
      </c>
      <c r="H670" s="11">
        <f>IF(A670="","",IFERROR(VALUE(SUBSTITUTE(SUBSTITUTE(INDEX('Shopify Import'!$A:$CZ,670,Settings!$E$25)&amp;"","$",""),",","")),0)/IF(Settings!$D$27="Yes",G670,1))</f>
        <v/>
      </c>
      <c r="I670" s="11">
        <f>IF(A670="","",IFERROR(VALUE(SUBSTITUTE(SUBSTITUTE(INDEX('Shopify Import'!$A:$CZ,670,Settings!$E$26)&amp;"","$",""),",","")),0)/IF(Settings!$D$27="Yes",G670,1))</f>
        <v/>
      </c>
      <c r="J670" s="11">
        <f>IF(A670="","",F670+H670-I670)</f>
        <v/>
      </c>
      <c r="K670">
        <f>IF(A670="","",IFERROR(IF(B670="",NA(),MATCH(B670,Products!$B$5:$B$204,0)),IFERROR(MATCH(A670,Products!$A$5:$A$204,0),"")))</f>
        <v/>
      </c>
      <c r="L670">
        <f>IF(A670="","",IF(K670="","⚠ not in Products",INDEX(Products!$A$5:$A$204,K670)))</f>
        <v/>
      </c>
      <c r="M670" s="11">
        <f>IF(A670="","",J670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670+IFERROR(INDEX(Settings!$D$5:$D$9,MATCH("Shopify",Settings!$A$5:$A$9,0)),0)*D670)</f>
        <v/>
      </c>
      <c r="N670" s="11">
        <f>IF(A670="","",IF(K670="",0,D670*INDEX(Products!$I$5:$I$204,K670)))</f>
        <v/>
      </c>
      <c r="O670" s="11">
        <f>IF(A670="","",IF(K670="",0,J670*INDEX(Products!$H$5:$H$204,K670)))</f>
        <v/>
      </c>
      <c r="P670" s="11">
        <f>IF(A670="","",J670-M670-N670-O670)</f>
        <v/>
      </c>
    </row>
    <row r="671">
      <c r="A671">
        <f>IFERROR(INDEX('Shopify Import'!$A:$CZ,671,Settings!$E$20)&amp;"","")</f>
        <v/>
      </c>
      <c r="B671">
        <f>IFERROR(INDEX('Shopify Import'!$A:$CZ,671,Settings!$E$21)&amp;"","")</f>
        <v/>
      </c>
      <c r="C671">
        <f>IFERROR(INDEX('Shopify Import'!$A:$CZ,671,Settings!$E$22)&amp;"","")</f>
        <v/>
      </c>
      <c r="D671">
        <f>IF(A671="","",IFERROR(VALUE(SUBSTITUTE(SUBSTITUTE(INDEX('Shopify Import'!$A:$CZ,671,Settings!$E$23)&amp;"","$",""),",","")),0))</f>
        <v/>
      </c>
      <c r="E671" s="11">
        <f>IF(A671="","",IFERROR(VALUE(SUBSTITUTE(SUBSTITUTE(INDEX('Shopify Import'!$A:$CZ,671,Settings!$E$24)&amp;"","$",""),",","")),0))</f>
        <v/>
      </c>
      <c r="F671" s="11">
        <f>IF(A671="","",D671*E671)</f>
        <v/>
      </c>
      <c r="G671">
        <f>IF(A671="","",IF(C671="",1,COUNTIF($C$2:$C$1501,C671)))</f>
        <v/>
      </c>
      <c r="H671" s="11">
        <f>IF(A671="","",IFERROR(VALUE(SUBSTITUTE(SUBSTITUTE(INDEX('Shopify Import'!$A:$CZ,671,Settings!$E$25)&amp;"","$",""),",","")),0)/IF(Settings!$D$27="Yes",G671,1))</f>
        <v/>
      </c>
      <c r="I671" s="11">
        <f>IF(A671="","",IFERROR(VALUE(SUBSTITUTE(SUBSTITUTE(INDEX('Shopify Import'!$A:$CZ,671,Settings!$E$26)&amp;"","$",""),",","")),0)/IF(Settings!$D$27="Yes",G671,1))</f>
        <v/>
      </c>
      <c r="J671" s="11">
        <f>IF(A671="","",F671+H671-I671)</f>
        <v/>
      </c>
      <c r="K671">
        <f>IF(A671="","",IFERROR(IF(B671="",NA(),MATCH(B671,Products!$B$5:$B$204,0)),IFERROR(MATCH(A671,Products!$A$5:$A$204,0),"")))</f>
        <v/>
      </c>
      <c r="L671">
        <f>IF(A671="","",IF(K671="","⚠ not in Products",INDEX(Products!$A$5:$A$204,K671)))</f>
        <v/>
      </c>
      <c r="M671" s="11">
        <f>IF(A671="","",J671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671+IFERROR(INDEX(Settings!$D$5:$D$9,MATCH("Shopify",Settings!$A$5:$A$9,0)),0)*D671)</f>
        <v/>
      </c>
      <c r="N671" s="11">
        <f>IF(A671="","",IF(K671="",0,D671*INDEX(Products!$I$5:$I$204,K671)))</f>
        <v/>
      </c>
      <c r="O671" s="11">
        <f>IF(A671="","",IF(K671="",0,J671*INDEX(Products!$H$5:$H$204,K671)))</f>
        <v/>
      </c>
      <c r="P671" s="11">
        <f>IF(A671="","",J671-M671-N671-O671)</f>
        <v/>
      </c>
    </row>
    <row r="672">
      <c r="A672">
        <f>IFERROR(INDEX('Shopify Import'!$A:$CZ,672,Settings!$E$20)&amp;"","")</f>
        <v/>
      </c>
      <c r="B672">
        <f>IFERROR(INDEX('Shopify Import'!$A:$CZ,672,Settings!$E$21)&amp;"","")</f>
        <v/>
      </c>
      <c r="C672">
        <f>IFERROR(INDEX('Shopify Import'!$A:$CZ,672,Settings!$E$22)&amp;"","")</f>
        <v/>
      </c>
      <c r="D672">
        <f>IF(A672="","",IFERROR(VALUE(SUBSTITUTE(SUBSTITUTE(INDEX('Shopify Import'!$A:$CZ,672,Settings!$E$23)&amp;"","$",""),",","")),0))</f>
        <v/>
      </c>
      <c r="E672" s="11">
        <f>IF(A672="","",IFERROR(VALUE(SUBSTITUTE(SUBSTITUTE(INDEX('Shopify Import'!$A:$CZ,672,Settings!$E$24)&amp;"","$",""),",","")),0))</f>
        <v/>
      </c>
      <c r="F672" s="11">
        <f>IF(A672="","",D672*E672)</f>
        <v/>
      </c>
      <c r="G672">
        <f>IF(A672="","",IF(C672="",1,COUNTIF($C$2:$C$1501,C672)))</f>
        <v/>
      </c>
      <c r="H672" s="11">
        <f>IF(A672="","",IFERROR(VALUE(SUBSTITUTE(SUBSTITUTE(INDEX('Shopify Import'!$A:$CZ,672,Settings!$E$25)&amp;"","$",""),",","")),0)/IF(Settings!$D$27="Yes",G672,1))</f>
        <v/>
      </c>
      <c r="I672" s="11">
        <f>IF(A672="","",IFERROR(VALUE(SUBSTITUTE(SUBSTITUTE(INDEX('Shopify Import'!$A:$CZ,672,Settings!$E$26)&amp;"","$",""),",","")),0)/IF(Settings!$D$27="Yes",G672,1))</f>
        <v/>
      </c>
      <c r="J672" s="11">
        <f>IF(A672="","",F672+H672-I672)</f>
        <v/>
      </c>
      <c r="K672">
        <f>IF(A672="","",IFERROR(IF(B672="",NA(),MATCH(B672,Products!$B$5:$B$204,0)),IFERROR(MATCH(A672,Products!$A$5:$A$204,0),"")))</f>
        <v/>
      </c>
      <c r="L672">
        <f>IF(A672="","",IF(K672="","⚠ not in Products",INDEX(Products!$A$5:$A$204,K672)))</f>
        <v/>
      </c>
      <c r="M672" s="11">
        <f>IF(A672="","",J672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672+IFERROR(INDEX(Settings!$D$5:$D$9,MATCH("Shopify",Settings!$A$5:$A$9,0)),0)*D672)</f>
        <v/>
      </c>
      <c r="N672" s="11">
        <f>IF(A672="","",IF(K672="",0,D672*INDEX(Products!$I$5:$I$204,K672)))</f>
        <v/>
      </c>
      <c r="O672" s="11">
        <f>IF(A672="","",IF(K672="",0,J672*INDEX(Products!$H$5:$H$204,K672)))</f>
        <v/>
      </c>
      <c r="P672" s="11">
        <f>IF(A672="","",J672-M672-N672-O672)</f>
        <v/>
      </c>
    </row>
    <row r="673">
      <c r="A673">
        <f>IFERROR(INDEX('Shopify Import'!$A:$CZ,673,Settings!$E$20)&amp;"","")</f>
        <v/>
      </c>
      <c r="B673">
        <f>IFERROR(INDEX('Shopify Import'!$A:$CZ,673,Settings!$E$21)&amp;"","")</f>
        <v/>
      </c>
      <c r="C673">
        <f>IFERROR(INDEX('Shopify Import'!$A:$CZ,673,Settings!$E$22)&amp;"","")</f>
        <v/>
      </c>
      <c r="D673">
        <f>IF(A673="","",IFERROR(VALUE(SUBSTITUTE(SUBSTITUTE(INDEX('Shopify Import'!$A:$CZ,673,Settings!$E$23)&amp;"","$",""),",","")),0))</f>
        <v/>
      </c>
      <c r="E673" s="11">
        <f>IF(A673="","",IFERROR(VALUE(SUBSTITUTE(SUBSTITUTE(INDEX('Shopify Import'!$A:$CZ,673,Settings!$E$24)&amp;"","$",""),",","")),0))</f>
        <v/>
      </c>
      <c r="F673" s="11">
        <f>IF(A673="","",D673*E673)</f>
        <v/>
      </c>
      <c r="G673">
        <f>IF(A673="","",IF(C673="",1,COUNTIF($C$2:$C$1501,C673)))</f>
        <v/>
      </c>
      <c r="H673" s="11">
        <f>IF(A673="","",IFERROR(VALUE(SUBSTITUTE(SUBSTITUTE(INDEX('Shopify Import'!$A:$CZ,673,Settings!$E$25)&amp;"","$",""),",","")),0)/IF(Settings!$D$27="Yes",G673,1))</f>
        <v/>
      </c>
      <c r="I673" s="11">
        <f>IF(A673="","",IFERROR(VALUE(SUBSTITUTE(SUBSTITUTE(INDEX('Shopify Import'!$A:$CZ,673,Settings!$E$26)&amp;"","$",""),",","")),0)/IF(Settings!$D$27="Yes",G673,1))</f>
        <v/>
      </c>
      <c r="J673" s="11">
        <f>IF(A673="","",F673+H673-I673)</f>
        <v/>
      </c>
      <c r="K673">
        <f>IF(A673="","",IFERROR(IF(B673="",NA(),MATCH(B673,Products!$B$5:$B$204,0)),IFERROR(MATCH(A673,Products!$A$5:$A$204,0),"")))</f>
        <v/>
      </c>
      <c r="L673">
        <f>IF(A673="","",IF(K673="","⚠ not in Products",INDEX(Products!$A$5:$A$204,K673)))</f>
        <v/>
      </c>
      <c r="M673" s="11">
        <f>IF(A673="","",J673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673+IFERROR(INDEX(Settings!$D$5:$D$9,MATCH("Shopify",Settings!$A$5:$A$9,0)),0)*D673)</f>
        <v/>
      </c>
      <c r="N673" s="11">
        <f>IF(A673="","",IF(K673="",0,D673*INDEX(Products!$I$5:$I$204,K673)))</f>
        <v/>
      </c>
      <c r="O673" s="11">
        <f>IF(A673="","",IF(K673="",0,J673*INDEX(Products!$H$5:$H$204,K673)))</f>
        <v/>
      </c>
      <c r="P673" s="11">
        <f>IF(A673="","",J673-M673-N673-O673)</f>
        <v/>
      </c>
    </row>
    <row r="674">
      <c r="A674">
        <f>IFERROR(INDEX('Shopify Import'!$A:$CZ,674,Settings!$E$20)&amp;"","")</f>
        <v/>
      </c>
      <c r="B674">
        <f>IFERROR(INDEX('Shopify Import'!$A:$CZ,674,Settings!$E$21)&amp;"","")</f>
        <v/>
      </c>
      <c r="C674">
        <f>IFERROR(INDEX('Shopify Import'!$A:$CZ,674,Settings!$E$22)&amp;"","")</f>
        <v/>
      </c>
      <c r="D674">
        <f>IF(A674="","",IFERROR(VALUE(SUBSTITUTE(SUBSTITUTE(INDEX('Shopify Import'!$A:$CZ,674,Settings!$E$23)&amp;"","$",""),",","")),0))</f>
        <v/>
      </c>
      <c r="E674" s="11">
        <f>IF(A674="","",IFERROR(VALUE(SUBSTITUTE(SUBSTITUTE(INDEX('Shopify Import'!$A:$CZ,674,Settings!$E$24)&amp;"","$",""),",","")),0))</f>
        <v/>
      </c>
      <c r="F674" s="11">
        <f>IF(A674="","",D674*E674)</f>
        <v/>
      </c>
      <c r="G674">
        <f>IF(A674="","",IF(C674="",1,COUNTIF($C$2:$C$1501,C674)))</f>
        <v/>
      </c>
      <c r="H674" s="11">
        <f>IF(A674="","",IFERROR(VALUE(SUBSTITUTE(SUBSTITUTE(INDEX('Shopify Import'!$A:$CZ,674,Settings!$E$25)&amp;"","$",""),",","")),0)/IF(Settings!$D$27="Yes",G674,1))</f>
        <v/>
      </c>
      <c r="I674" s="11">
        <f>IF(A674="","",IFERROR(VALUE(SUBSTITUTE(SUBSTITUTE(INDEX('Shopify Import'!$A:$CZ,674,Settings!$E$26)&amp;"","$",""),",","")),0)/IF(Settings!$D$27="Yes",G674,1))</f>
        <v/>
      </c>
      <c r="J674" s="11">
        <f>IF(A674="","",F674+H674-I674)</f>
        <v/>
      </c>
      <c r="K674">
        <f>IF(A674="","",IFERROR(IF(B674="",NA(),MATCH(B674,Products!$B$5:$B$204,0)),IFERROR(MATCH(A674,Products!$A$5:$A$204,0),"")))</f>
        <v/>
      </c>
      <c r="L674">
        <f>IF(A674="","",IF(K674="","⚠ not in Products",INDEX(Products!$A$5:$A$204,K674)))</f>
        <v/>
      </c>
      <c r="M674" s="11">
        <f>IF(A674="","",J674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674+IFERROR(INDEX(Settings!$D$5:$D$9,MATCH("Shopify",Settings!$A$5:$A$9,0)),0)*D674)</f>
        <v/>
      </c>
      <c r="N674" s="11">
        <f>IF(A674="","",IF(K674="",0,D674*INDEX(Products!$I$5:$I$204,K674)))</f>
        <v/>
      </c>
      <c r="O674" s="11">
        <f>IF(A674="","",IF(K674="",0,J674*INDEX(Products!$H$5:$H$204,K674)))</f>
        <v/>
      </c>
      <c r="P674" s="11">
        <f>IF(A674="","",J674-M674-N674-O674)</f>
        <v/>
      </c>
    </row>
    <row r="675">
      <c r="A675">
        <f>IFERROR(INDEX('Shopify Import'!$A:$CZ,675,Settings!$E$20)&amp;"","")</f>
        <v/>
      </c>
      <c r="B675">
        <f>IFERROR(INDEX('Shopify Import'!$A:$CZ,675,Settings!$E$21)&amp;"","")</f>
        <v/>
      </c>
      <c r="C675">
        <f>IFERROR(INDEX('Shopify Import'!$A:$CZ,675,Settings!$E$22)&amp;"","")</f>
        <v/>
      </c>
      <c r="D675">
        <f>IF(A675="","",IFERROR(VALUE(SUBSTITUTE(SUBSTITUTE(INDEX('Shopify Import'!$A:$CZ,675,Settings!$E$23)&amp;"","$",""),",","")),0))</f>
        <v/>
      </c>
      <c r="E675" s="11">
        <f>IF(A675="","",IFERROR(VALUE(SUBSTITUTE(SUBSTITUTE(INDEX('Shopify Import'!$A:$CZ,675,Settings!$E$24)&amp;"","$",""),",","")),0))</f>
        <v/>
      </c>
      <c r="F675" s="11">
        <f>IF(A675="","",D675*E675)</f>
        <v/>
      </c>
      <c r="G675">
        <f>IF(A675="","",IF(C675="",1,COUNTIF($C$2:$C$1501,C675)))</f>
        <v/>
      </c>
      <c r="H675" s="11">
        <f>IF(A675="","",IFERROR(VALUE(SUBSTITUTE(SUBSTITUTE(INDEX('Shopify Import'!$A:$CZ,675,Settings!$E$25)&amp;"","$",""),",","")),0)/IF(Settings!$D$27="Yes",G675,1))</f>
        <v/>
      </c>
      <c r="I675" s="11">
        <f>IF(A675="","",IFERROR(VALUE(SUBSTITUTE(SUBSTITUTE(INDEX('Shopify Import'!$A:$CZ,675,Settings!$E$26)&amp;"","$",""),",","")),0)/IF(Settings!$D$27="Yes",G675,1))</f>
        <v/>
      </c>
      <c r="J675" s="11">
        <f>IF(A675="","",F675+H675-I675)</f>
        <v/>
      </c>
      <c r="K675">
        <f>IF(A675="","",IFERROR(IF(B675="",NA(),MATCH(B675,Products!$B$5:$B$204,0)),IFERROR(MATCH(A675,Products!$A$5:$A$204,0),"")))</f>
        <v/>
      </c>
      <c r="L675">
        <f>IF(A675="","",IF(K675="","⚠ not in Products",INDEX(Products!$A$5:$A$204,K675)))</f>
        <v/>
      </c>
      <c r="M675" s="11">
        <f>IF(A675="","",J675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675+IFERROR(INDEX(Settings!$D$5:$D$9,MATCH("Shopify",Settings!$A$5:$A$9,0)),0)*D675)</f>
        <v/>
      </c>
      <c r="N675" s="11">
        <f>IF(A675="","",IF(K675="",0,D675*INDEX(Products!$I$5:$I$204,K675)))</f>
        <v/>
      </c>
      <c r="O675" s="11">
        <f>IF(A675="","",IF(K675="",0,J675*INDEX(Products!$H$5:$H$204,K675)))</f>
        <v/>
      </c>
      <c r="P675" s="11">
        <f>IF(A675="","",J675-M675-N675-O675)</f>
        <v/>
      </c>
    </row>
    <row r="676">
      <c r="A676">
        <f>IFERROR(INDEX('Shopify Import'!$A:$CZ,676,Settings!$E$20)&amp;"","")</f>
        <v/>
      </c>
      <c r="B676">
        <f>IFERROR(INDEX('Shopify Import'!$A:$CZ,676,Settings!$E$21)&amp;"","")</f>
        <v/>
      </c>
      <c r="C676">
        <f>IFERROR(INDEX('Shopify Import'!$A:$CZ,676,Settings!$E$22)&amp;"","")</f>
        <v/>
      </c>
      <c r="D676">
        <f>IF(A676="","",IFERROR(VALUE(SUBSTITUTE(SUBSTITUTE(INDEX('Shopify Import'!$A:$CZ,676,Settings!$E$23)&amp;"","$",""),",","")),0))</f>
        <v/>
      </c>
      <c r="E676" s="11">
        <f>IF(A676="","",IFERROR(VALUE(SUBSTITUTE(SUBSTITUTE(INDEX('Shopify Import'!$A:$CZ,676,Settings!$E$24)&amp;"","$",""),",","")),0))</f>
        <v/>
      </c>
      <c r="F676" s="11">
        <f>IF(A676="","",D676*E676)</f>
        <v/>
      </c>
      <c r="G676">
        <f>IF(A676="","",IF(C676="",1,COUNTIF($C$2:$C$1501,C676)))</f>
        <v/>
      </c>
      <c r="H676" s="11">
        <f>IF(A676="","",IFERROR(VALUE(SUBSTITUTE(SUBSTITUTE(INDEX('Shopify Import'!$A:$CZ,676,Settings!$E$25)&amp;"","$",""),",","")),0)/IF(Settings!$D$27="Yes",G676,1))</f>
        <v/>
      </c>
      <c r="I676" s="11">
        <f>IF(A676="","",IFERROR(VALUE(SUBSTITUTE(SUBSTITUTE(INDEX('Shopify Import'!$A:$CZ,676,Settings!$E$26)&amp;"","$",""),",","")),0)/IF(Settings!$D$27="Yes",G676,1))</f>
        <v/>
      </c>
      <c r="J676" s="11">
        <f>IF(A676="","",F676+H676-I676)</f>
        <v/>
      </c>
      <c r="K676">
        <f>IF(A676="","",IFERROR(IF(B676="",NA(),MATCH(B676,Products!$B$5:$B$204,0)),IFERROR(MATCH(A676,Products!$A$5:$A$204,0),"")))</f>
        <v/>
      </c>
      <c r="L676">
        <f>IF(A676="","",IF(K676="","⚠ not in Products",INDEX(Products!$A$5:$A$204,K676)))</f>
        <v/>
      </c>
      <c r="M676" s="11">
        <f>IF(A676="","",J676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676+IFERROR(INDEX(Settings!$D$5:$D$9,MATCH("Shopify",Settings!$A$5:$A$9,0)),0)*D676)</f>
        <v/>
      </c>
      <c r="N676" s="11">
        <f>IF(A676="","",IF(K676="",0,D676*INDEX(Products!$I$5:$I$204,K676)))</f>
        <v/>
      </c>
      <c r="O676" s="11">
        <f>IF(A676="","",IF(K676="",0,J676*INDEX(Products!$H$5:$H$204,K676)))</f>
        <v/>
      </c>
      <c r="P676" s="11">
        <f>IF(A676="","",J676-M676-N676-O676)</f>
        <v/>
      </c>
    </row>
    <row r="677">
      <c r="A677">
        <f>IFERROR(INDEX('Shopify Import'!$A:$CZ,677,Settings!$E$20)&amp;"","")</f>
        <v/>
      </c>
      <c r="B677">
        <f>IFERROR(INDEX('Shopify Import'!$A:$CZ,677,Settings!$E$21)&amp;"","")</f>
        <v/>
      </c>
      <c r="C677">
        <f>IFERROR(INDEX('Shopify Import'!$A:$CZ,677,Settings!$E$22)&amp;"","")</f>
        <v/>
      </c>
      <c r="D677">
        <f>IF(A677="","",IFERROR(VALUE(SUBSTITUTE(SUBSTITUTE(INDEX('Shopify Import'!$A:$CZ,677,Settings!$E$23)&amp;"","$",""),",","")),0))</f>
        <v/>
      </c>
      <c r="E677" s="11">
        <f>IF(A677="","",IFERROR(VALUE(SUBSTITUTE(SUBSTITUTE(INDEX('Shopify Import'!$A:$CZ,677,Settings!$E$24)&amp;"","$",""),",","")),0))</f>
        <v/>
      </c>
      <c r="F677" s="11">
        <f>IF(A677="","",D677*E677)</f>
        <v/>
      </c>
      <c r="G677">
        <f>IF(A677="","",IF(C677="",1,COUNTIF($C$2:$C$1501,C677)))</f>
        <v/>
      </c>
      <c r="H677" s="11">
        <f>IF(A677="","",IFERROR(VALUE(SUBSTITUTE(SUBSTITUTE(INDEX('Shopify Import'!$A:$CZ,677,Settings!$E$25)&amp;"","$",""),",","")),0)/IF(Settings!$D$27="Yes",G677,1))</f>
        <v/>
      </c>
      <c r="I677" s="11">
        <f>IF(A677="","",IFERROR(VALUE(SUBSTITUTE(SUBSTITUTE(INDEX('Shopify Import'!$A:$CZ,677,Settings!$E$26)&amp;"","$",""),",","")),0)/IF(Settings!$D$27="Yes",G677,1))</f>
        <v/>
      </c>
      <c r="J677" s="11">
        <f>IF(A677="","",F677+H677-I677)</f>
        <v/>
      </c>
      <c r="K677">
        <f>IF(A677="","",IFERROR(IF(B677="",NA(),MATCH(B677,Products!$B$5:$B$204,0)),IFERROR(MATCH(A677,Products!$A$5:$A$204,0),"")))</f>
        <v/>
      </c>
      <c r="L677">
        <f>IF(A677="","",IF(K677="","⚠ not in Products",INDEX(Products!$A$5:$A$204,K677)))</f>
        <v/>
      </c>
      <c r="M677" s="11">
        <f>IF(A677="","",J677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677+IFERROR(INDEX(Settings!$D$5:$D$9,MATCH("Shopify",Settings!$A$5:$A$9,0)),0)*D677)</f>
        <v/>
      </c>
      <c r="N677" s="11">
        <f>IF(A677="","",IF(K677="",0,D677*INDEX(Products!$I$5:$I$204,K677)))</f>
        <v/>
      </c>
      <c r="O677" s="11">
        <f>IF(A677="","",IF(K677="",0,J677*INDEX(Products!$H$5:$H$204,K677)))</f>
        <v/>
      </c>
      <c r="P677" s="11">
        <f>IF(A677="","",J677-M677-N677-O677)</f>
        <v/>
      </c>
    </row>
    <row r="678">
      <c r="A678">
        <f>IFERROR(INDEX('Shopify Import'!$A:$CZ,678,Settings!$E$20)&amp;"","")</f>
        <v/>
      </c>
      <c r="B678">
        <f>IFERROR(INDEX('Shopify Import'!$A:$CZ,678,Settings!$E$21)&amp;"","")</f>
        <v/>
      </c>
      <c r="C678">
        <f>IFERROR(INDEX('Shopify Import'!$A:$CZ,678,Settings!$E$22)&amp;"","")</f>
        <v/>
      </c>
      <c r="D678">
        <f>IF(A678="","",IFERROR(VALUE(SUBSTITUTE(SUBSTITUTE(INDEX('Shopify Import'!$A:$CZ,678,Settings!$E$23)&amp;"","$",""),",","")),0))</f>
        <v/>
      </c>
      <c r="E678" s="11">
        <f>IF(A678="","",IFERROR(VALUE(SUBSTITUTE(SUBSTITUTE(INDEX('Shopify Import'!$A:$CZ,678,Settings!$E$24)&amp;"","$",""),",","")),0))</f>
        <v/>
      </c>
      <c r="F678" s="11">
        <f>IF(A678="","",D678*E678)</f>
        <v/>
      </c>
      <c r="G678">
        <f>IF(A678="","",IF(C678="",1,COUNTIF($C$2:$C$1501,C678)))</f>
        <v/>
      </c>
      <c r="H678" s="11">
        <f>IF(A678="","",IFERROR(VALUE(SUBSTITUTE(SUBSTITUTE(INDEX('Shopify Import'!$A:$CZ,678,Settings!$E$25)&amp;"","$",""),",","")),0)/IF(Settings!$D$27="Yes",G678,1))</f>
        <v/>
      </c>
      <c r="I678" s="11">
        <f>IF(A678="","",IFERROR(VALUE(SUBSTITUTE(SUBSTITUTE(INDEX('Shopify Import'!$A:$CZ,678,Settings!$E$26)&amp;"","$",""),",","")),0)/IF(Settings!$D$27="Yes",G678,1))</f>
        <v/>
      </c>
      <c r="J678" s="11">
        <f>IF(A678="","",F678+H678-I678)</f>
        <v/>
      </c>
      <c r="K678">
        <f>IF(A678="","",IFERROR(IF(B678="",NA(),MATCH(B678,Products!$B$5:$B$204,0)),IFERROR(MATCH(A678,Products!$A$5:$A$204,0),"")))</f>
        <v/>
      </c>
      <c r="L678">
        <f>IF(A678="","",IF(K678="","⚠ not in Products",INDEX(Products!$A$5:$A$204,K678)))</f>
        <v/>
      </c>
      <c r="M678" s="11">
        <f>IF(A678="","",J678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678+IFERROR(INDEX(Settings!$D$5:$D$9,MATCH("Shopify",Settings!$A$5:$A$9,0)),0)*D678)</f>
        <v/>
      </c>
      <c r="N678" s="11">
        <f>IF(A678="","",IF(K678="",0,D678*INDEX(Products!$I$5:$I$204,K678)))</f>
        <v/>
      </c>
      <c r="O678" s="11">
        <f>IF(A678="","",IF(K678="",0,J678*INDEX(Products!$H$5:$H$204,K678)))</f>
        <v/>
      </c>
      <c r="P678" s="11">
        <f>IF(A678="","",J678-M678-N678-O678)</f>
        <v/>
      </c>
    </row>
    <row r="679">
      <c r="A679">
        <f>IFERROR(INDEX('Shopify Import'!$A:$CZ,679,Settings!$E$20)&amp;"","")</f>
        <v/>
      </c>
      <c r="B679">
        <f>IFERROR(INDEX('Shopify Import'!$A:$CZ,679,Settings!$E$21)&amp;"","")</f>
        <v/>
      </c>
      <c r="C679">
        <f>IFERROR(INDEX('Shopify Import'!$A:$CZ,679,Settings!$E$22)&amp;"","")</f>
        <v/>
      </c>
      <c r="D679">
        <f>IF(A679="","",IFERROR(VALUE(SUBSTITUTE(SUBSTITUTE(INDEX('Shopify Import'!$A:$CZ,679,Settings!$E$23)&amp;"","$",""),",","")),0))</f>
        <v/>
      </c>
      <c r="E679" s="11">
        <f>IF(A679="","",IFERROR(VALUE(SUBSTITUTE(SUBSTITUTE(INDEX('Shopify Import'!$A:$CZ,679,Settings!$E$24)&amp;"","$",""),",","")),0))</f>
        <v/>
      </c>
      <c r="F679" s="11">
        <f>IF(A679="","",D679*E679)</f>
        <v/>
      </c>
      <c r="G679">
        <f>IF(A679="","",IF(C679="",1,COUNTIF($C$2:$C$1501,C679)))</f>
        <v/>
      </c>
      <c r="H679" s="11">
        <f>IF(A679="","",IFERROR(VALUE(SUBSTITUTE(SUBSTITUTE(INDEX('Shopify Import'!$A:$CZ,679,Settings!$E$25)&amp;"","$",""),",","")),0)/IF(Settings!$D$27="Yes",G679,1))</f>
        <v/>
      </c>
      <c r="I679" s="11">
        <f>IF(A679="","",IFERROR(VALUE(SUBSTITUTE(SUBSTITUTE(INDEX('Shopify Import'!$A:$CZ,679,Settings!$E$26)&amp;"","$",""),",","")),0)/IF(Settings!$D$27="Yes",G679,1))</f>
        <v/>
      </c>
      <c r="J679" s="11">
        <f>IF(A679="","",F679+H679-I679)</f>
        <v/>
      </c>
      <c r="K679">
        <f>IF(A679="","",IFERROR(IF(B679="",NA(),MATCH(B679,Products!$B$5:$B$204,0)),IFERROR(MATCH(A679,Products!$A$5:$A$204,0),"")))</f>
        <v/>
      </c>
      <c r="L679">
        <f>IF(A679="","",IF(K679="","⚠ not in Products",INDEX(Products!$A$5:$A$204,K679)))</f>
        <v/>
      </c>
      <c r="M679" s="11">
        <f>IF(A679="","",J679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679+IFERROR(INDEX(Settings!$D$5:$D$9,MATCH("Shopify",Settings!$A$5:$A$9,0)),0)*D679)</f>
        <v/>
      </c>
      <c r="N679" s="11">
        <f>IF(A679="","",IF(K679="",0,D679*INDEX(Products!$I$5:$I$204,K679)))</f>
        <v/>
      </c>
      <c r="O679" s="11">
        <f>IF(A679="","",IF(K679="",0,J679*INDEX(Products!$H$5:$H$204,K679)))</f>
        <v/>
      </c>
      <c r="P679" s="11">
        <f>IF(A679="","",J679-M679-N679-O679)</f>
        <v/>
      </c>
    </row>
    <row r="680">
      <c r="A680">
        <f>IFERROR(INDEX('Shopify Import'!$A:$CZ,680,Settings!$E$20)&amp;"","")</f>
        <v/>
      </c>
      <c r="B680">
        <f>IFERROR(INDEX('Shopify Import'!$A:$CZ,680,Settings!$E$21)&amp;"","")</f>
        <v/>
      </c>
      <c r="C680">
        <f>IFERROR(INDEX('Shopify Import'!$A:$CZ,680,Settings!$E$22)&amp;"","")</f>
        <v/>
      </c>
      <c r="D680">
        <f>IF(A680="","",IFERROR(VALUE(SUBSTITUTE(SUBSTITUTE(INDEX('Shopify Import'!$A:$CZ,680,Settings!$E$23)&amp;"","$",""),",","")),0))</f>
        <v/>
      </c>
      <c r="E680" s="11">
        <f>IF(A680="","",IFERROR(VALUE(SUBSTITUTE(SUBSTITUTE(INDEX('Shopify Import'!$A:$CZ,680,Settings!$E$24)&amp;"","$",""),",","")),0))</f>
        <v/>
      </c>
      <c r="F680" s="11">
        <f>IF(A680="","",D680*E680)</f>
        <v/>
      </c>
      <c r="G680">
        <f>IF(A680="","",IF(C680="",1,COUNTIF($C$2:$C$1501,C680)))</f>
        <v/>
      </c>
      <c r="H680" s="11">
        <f>IF(A680="","",IFERROR(VALUE(SUBSTITUTE(SUBSTITUTE(INDEX('Shopify Import'!$A:$CZ,680,Settings!$E$25)&amp;"","$",""),",","")),0)/IF(Settings!$D$27="Yes",G680,1))</f>
        <v/>
      </c>
      <c r="I680" s="11">
        <f>IF(A680="","",IFERROR(VALUE(SUBSTITUTE(SUBSTITUTE(INDEX('Shopify Import'!$A:$CZ,680,Settings!$E$26)&amp;"","$",""),",","")),0)/IF(Settings!$D$27="Yes",G680,1))</f>
        <v/>
      </c>
      <c r="J680" s="11">
        <f>IF(A680="","",F680+H680-I680)</f>
        <v/>
      </c>
      <c r="K680">
        <f>IF(A680="","",IFERROR(IF(B680="",NA(),MATCH(B680,Products!$B$5:$B$204,0)),IFERROR(MATCH(A680,Products!$A$5:$A$204,0),"")))</f>
        <v/>
      </c>
      <c r="L680">
        <f>IF(A680="","",IF(K680="","⚠ not in Products",INDEX(Products!$A$5:$A$204,K680)))</f>
        <v/>
      </c>
      <c r="M680" s="11">
        <f>IF(A680="","",J680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680+IFERROR(INDEX(Settings!$D$5:$D$9,MATCH("Shopify",Settings!$A$5:$A$9,0)),0)*D680)</f>
        <v/>
      </c>
      <c r="N680" s="11">
        <f>IF(A680="","",IF(K680="",0,D680*INDEX(Products!$I$5:$I$204,K680)))</f>
        <v/>
      </c>
      <c r="O680" s="11">
        <f>IF(A680="","",IF(K680="",0,J680*INDEX(Products!$H$5:$H$204,K680)))</f>
        <v/>
      </c>
      <c r="P680" s="11">
        <f>IF(A680="","",J680-M680-N680-O680)</f>
        <v/>
      </c>
    </row>
    <row r="681">
      <c r="A681">
        <f>IFERROR(INDEX('Shopify Import'!$A:$CZ,681,Settings!$E$20)&amp;"","")</f>
        <v/>
      </c>
      <c r="B681">
        <f>IFERROR(INDEX('Shopify Import'!$A:$CZ,681,Settings!$E$21)&amp;"","")</f>
        <v/>
      </c>
      <c r="C681">
        <f>IFERROR(INDEX('Shopify Import'!$A:$CZ,681,Settings!$E$22)&amp;"","")</f>
        <v/>
      </c>
      <c r="D681">
        <f>IF(A681="","",IFERROR(VALUE(SUBSTITUTE(SUBSTITUTE(INDEX('Shopify Import'!$A:$CZ,681,Settings!$E$23)&amp;"","$",""),",","")),0))</f>
        <v/>
      </c>
      <c r="E681" s="11">
        <f>IF(A681="","",IFERROR(VALUE(SUBSTITUTE(SUBSTITUTE(INDEX('Shopify Import'!$A:$CZ,681,Settings!$E$24)&amp;"","$",""),",","")),0))</f>
        <v/>
      </c>
      <c r="F681" s="11">
        <f>IF(A681="","",D681*E681)</f>
        <v/>
      </c>
      <c r="G681">
        <f>IF(A681="","",IF(C681="",1,COUNTIF($C$2:$C$1501,C681)))</f>
        <v/>
      </c>
      <c r="H681" s="11">
        <f>IF(A681="","",IFERROR(VALUE(SUBSTITUTE(SUBSTITUTE(INDEX('Shopify Import'!$A:$CZ,681,Settings!$E$25)&amp;"","$",""),",","")),0)/IF(Settings!$D$27="Yes",G681,1))</f>
        <v/>
      </c>
      <c r="I681" s="11">
        <f>IF(A681="","",IFERROR(VALUE(SUBSTITUTE(SUBSTITUTE(INDEX('Shopify Import'!$A:$CZ,681,Settings!$E$26)&amp;"","$",""),",","")),0)/IF(Settings!$D$27="Yes",G681,1))</f>
        <v/>
      </c>
      <c r="J681" s="11">
        <f>IF(A681="","",F681+H681-I681)</f>
        <v/>
      </c>
      <c r="K681">
        <f>IF(A681="","",IFERROR(IF(B681="",NA(),MATCH(B681,Products!$B$5:$B$204,0)),IFERROR(MATCH(A681,Products!$A$5:$A$204,0),"")))</f>
        <v/>
      </c>
      <c r="L681">
        <f>IF(A681="","",IF(K681="","⚠ not in Products",INDEX(Products!$A$5:$A$204,K681)))</f>
        <v/>
      </c>
      <c r="M681" s="11">
        <f>IF(A681="","",J681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681+IFERROR(INDEX(Settings!$D$5:$D$9,MATCH("Shopify",Settings!$A$5:$A$9,0)),0)*D681)</f>
        <v/>
      </c>
      <c r="N681" s="11">
        <f>IF(A681="","",IF(K681="",0,D681*INDEX(Products!$I$5:$I$204,K681)))</f>
        <v/>
      </c>
      <c r="O681" s="11">
        <f>IF(A681="","",IF(K681="",0,J681*INDEX(Products!$H$5:$H$204,K681)))</f>
        <v/>
      </c>
      <c r="P681" s="11">
        <f>IF(A681="","",J681-M681-N681-O681)</f>
        <v/>
      </c>
    </row>
    <row r="682">
      <c r="A682">
        <f>IFERROR(INDEX('Shopify Import'!$A:$CZ,682,Settings!$E$20)&amp;"","")</f>
        <v/>
      </c>
      <c r="B682">
        <f>IFERROR(INDEX('Shopify Import'!$A:$CZ,682,Settings!$E$21)&amp;"","")</f>
        <v/>
      </c>
      <c r="C682">
        <f>IFERROR(INDEX('Shopify Import'!$A:$CZ,682,Settings!$E$22)&amp;"","")</f>
        <v/>
      </c>
      <c r="D682">
        <f>IF(A682="","",IFERROR(VALUE(SUBSTITUTE(SUBSTITUTE(INDEX('Shopify Import'!$A:$CZ,682,Settings!$E$23)&amp;"","$",""),",","")),0))</f>
        <v/>
      </c>
      <c r="E682" s="11">
        <f>IF(A682="","",IFERROR(VALUE(SUBSTITUTE(SUBSTITUTE(INDEX('Shopify Import'!$A:$CZ,682,Settings!$E$24)&amp;"","$",""),",","")),0))</f>
        <v/>
      </c>
      <c r="F682" s="11">
        <f>IF(A682="","",D682*E682)</f>
        <v/>
      </c>
      <c r="G682">
        <f>IF(A682="","",IF(C682="",1,COUNTIF($C$2:$C$1501,C682)))</f>
        <v/>
      </c>
      <c r="H682" s="11">
        <f>IF(A682="","",IFERROR(VALUE(SUBSTITUTE(SUBSTITUTE(INDEX('Shopify Import'!$A:$CZ,682,Settings!$E$25)&amp;"","$",""),",","")),0)/IF(Settings!$D$27="Yes",G682,1))</f>
        <v/>
      </c>
      <c r="I682" s="11">
        <f>IF(A682="","",IFERROR(VALUE(SUBSTITUTE(SUBSTITUTE(INDEX('Shopify Import'!$A:$CZ,682,Settings!$E$26)&amp;"","$",""),",","")),0)/IF(Settings!$D$27="Yes",G682,1))</f>
        <v/>
      </c>
      <c r="J682" s="11">
        <f>IF(A682="","",F682+H682-I682)</f>
        <v/>
      </c>
      <c r="K682">
        <f>IF(A682="","",IFERROR(IF(B682="",NA(),MATCH(B682,Products!$B$5:$B$204,0)),IFERROR(MATCH(A682,Products!$A$5:$A$204,0),"")))</f>
        <v/>
      </c>
      <c r="L682">
        <f>IF(A682="","",IF(K682="","⚠ not in Products",INDEX(Products!$A$5:$A$204,K682)))</f>
        <v/>
      </c>
      <c r="M682" s="11">
        <f>IF(A682="","",J682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682+IFERROR(INDEX(Settings!$D$5:$D$9,MATCH("Shopify",Settings!$A$5:$A$9,0)),0)*D682)</f>
        <v/>
      </c>
      <c r="N682" s="11">
        <f>IF(A682="","",IF(K682="",0,D682*INDEX(Products!$I$5:$I$204,K682)))</f>
        <v/>
      </c>
      <c r="O682" s="11">
        <f>IF(A682="","",IF(K682="",0,J682*INDEX(Products!$H$5:$H$204,K682)))</f>
        <v/>
      </c>
      <c r="P682" s="11">
        <f>IF(A682="","",J682-M682-N682-O682)</f>
        <v/>
      </c>
    </row>
    <row r="683">
      <c r="A683">
        <f>IFERROR(INDEX('Shopify Import'!$A:$CZ,683,Settings!$E$20)&amp;"","")</f>
        <v/>
      </c>
      <c r="B683">
        <f>IFERROR(INDEX('Shopify Import'!$A:$CZ,683,Settings!$E$21)&amp;"","")</f>
        <v/>
      </c>
      <c r="C683">
        <f>IFERROR(INDEX('Shopify Import'!$A:$CZ,683,Settings!$E$22)&amp;"","")</f>
        <v/>
      </c>
      <c r="D683">
        <f>IF(A683="","",IFERROR(VALUE(SUBSTITUTE(SUBSTITUTE(INDEX('Shopify Import'!$A:$CZ,683,Settings!$E$23)&amp;"","$",""),",","")),0))</f>
        <v/>
      </c>
      <c r="E683" s="11">
        <f>IF(A683="","",IFERROR(VALUE(SUBSTITUTE(SUBSTITUTE(INDEX('Shopify Import'!$A:$CZ,683,Settings!$E$24)&amp;"","$",""),",","")),0))</f>
        <v/>
      </c>
      <c r="F683" s="11">
        <f>IF(A683="","",D683*E683)</f>
        <v/>
      </c>
      <c r="G683">
        <f>IF(A683="","",IF(C683="",1,COUNTIF($C$2:$C$1501,C683)))</f>
        <v/>
      </c>
      <c r="H683" s="11">
        <f>IF(A683="","",IFERROR(VALUE(SUBSTITUTE(SUBSTITUTE(INDEX('Shopify Import'!$A:$CZ,683,Settings!$E$25)&amp;"","$",""),",","")),0)/IF(Settings!$D$27="Yes",G683,1))</f>
        <v/>
      </c>
      <c r="I683" s="11">
        <f>IF(A683="","",IFERROR(VALUE(SUBSTITUTE(SUBSTITUTE(INDEX('Shopify Import'!$A:$CZ,683,Settings!$E$26)&amp;"","$",""),",","")),0)/IF(Settings!$D$27="Yes",G683,1))</f>
        <v/>
      </c>
      <c r="J683" s="11">
        <f>IF(A683="","",F683+H683-I683)</f>
        <v/>
      </c>
      <c r="K683">
        <f>IF(A683="","",IFERROR(IF(B683="",NA(),MATCH(B683,Products!$B$5:$B$204,0)),IFERROR(MATCH(A683,Products!$A$5:$A$204,0),"")))</f>
        <v/>
      </c>
      <c r="L683">
        <f>IF(A683="","",IF(K683="","⚠ not in Products",INDEX(Products!$A$5:$A$204,K683)))</f>
        <v/>
      </c>
      <c r="M683" s="11">
        <f>IF(A683="","",J683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683+IFERROR(INDEX(Settings!$D$5:$D$9,MATCH("Shopify",Settings!$A$5:$A$9,0)),0)*D683)</f>
        <v/>
      </c>
      <c r="N683" s="11">
        <f>IF(A683="","",IF(K683="",0,D683*INDEX(Products!$I$5:$I$204,K683)))</f>
        <v/>
      </c>
      <c r="O683" s="11">
        <f>IF(A683="","",IF(K683="",0,J683*INDEX(Products!$H$5:$H$204,K683)))</f>
        <v/>
      </c>
      <c r="P683" s="11">
        <f>IF(A683="","",J683-M683-N683-O683)</f>
        <v/>
      </c>
    </row>
    <row r="684">
      <c r="A684">
        <f>IFERROR(INDEX('Shopify Import'!$A:$CZ,684,Settings!$E$20)&amp;"","")</f>
        <v/>
      </c>
      <c r="B684">
        <f>IFERROR(INDEX('Shopify Import'!$A:$CZ,684,Settings!$E$21)&amp;"","")</f>
        <v/>
      </c>
      <c r="C684">
        <f>IFERROR(INDEX('Shopify Import'!$A:$CZ,684,Settings!$E$22)&amp;"","")</f>
        <v/>
      </c>
      <c r="D684">
        <f>IF(A684="","",IFERROR(VALUE(SUBSTITUTE(SUBSTITUTE(INDEX('Shopify Import'!$A:$CZ,684,Settings!$E$23)&amp;"","$",""),",","")),0))</f>
        <v/>
      </c>
      <c r="E684" s="11">
        <f>IF(A684="","",IFERROR(VALUE(SUBSTITUTE(SUBSTITUTE(INDEX('Shopify Import'!$A:$CZ,684,Settings!$E$24)&amp;"","$",""),",","")),0))</f>
        <v/>
      </c>
      <c r="F684" s="11">
        <f>IF(A684="","",D684*E684)</f>
        <v/>
      </c>
      <c r="G684">
        <f>IF(A684="","",IF(C684="",1,COUNTIF($C$2:$C$1501,C684)))</f>
        <v/>
      </c>
      <c r="H684" s="11">
        <f>IF(A684="","",IFERROR(VALUE(SUBSTITUTE(SUBSTITUTE(INDEX('Shopify Import'!$A:$CZ,684,Settings!$E$25)&amp;"","$",""),",","")),0)/IF(Settings!$D$27="Yes",G684,1))</f>
        <v/>
      </c>
      <c r="I684" s="11">
        <f>IF(A684="","",IFERROR(VALUE(SUBSTITUTE(SUBSTITUTE(INDEX('Shopify Import'!$A:$CZ,684,Settings!$E$26)&amp;"","$",""),",","")),0)/IF(Settings!$D$27="Yes",G684,1))</f>
        <v/>
      </c>
      <c r="J684" s="11">
        <f>IF(A684="","",F684+H684-I684)</f>
        <v/>
      </c>
      <c r="K684">
        <f>IF(A684="","",IFERROR(IF(B684="",NA(),MATCH(B684,Products!$B$5:$B$204,0)),IFERROR(MATCH(A684,Products!$A$5:$A$204,0),"")))</f>
        <v/>
      </c>
      <c r="L684">
        <f>IF(A684="","",IF(K684="","⚠ not in Products",INDEX(Products!$A$5:$A$204,K684)))</f>
        <v/>
      </c>
      <c r="M684" s="11">
        <f>IF(A684="","",J684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684+IFERROR(INDEX(Settings!$D$5:$D$9,MATCH("Shopify",Settings!$A$5:$A$9,0)),0)*D684)</f>
        <v/>
      </c>
      <c r="N684" s="11">
        <f>IF(A684="","",IF(K684="",0,D684*INDEX(Products!$I$5:$I$204,K684)))</f>
        <v/>
      </c>
      <c r="O684" s="11">
        <f>IF(A684="","",IF(K684="",0,J684*INDEX(Products!$H$5:$H$204,K684)))</f>
        <v/>
      </c>
      <c r="P684" s="11">
        <f>IF(A684="","",J684-M684-N684-O684)</f>
        <v/>
      </c>
    </row>
    <row r="685">
      <c r="A685">
        <f>IFERROR(INDEX('Shopify Import'!$A:$CZ,685,Settings!$E$20)&amp;"","")</f>
        <v/>
      </c>
      <c r="B685">
        <f>IFERROR(INDEX('Shopify Import'!$A:$CZ,685,Settings!$E$21)&amp;"","")</f>
        <v/>
      </c>
      <c r="C685">
        <f>IFERROR(INDEX('Shopify Import'!$A:$CZ,685,Settings!$E$22)&amp;"","")</f>
        <v/>
      </c>
      <c r="D685">
        <f>IF(A685="","",IFERROR(VALUE(SUBSTITUTE(SUBSTITUTE(INDEX('Shopify Import'!$A:$CZ,685,Settings!$E$23)&amp;"","$",""),",","")),0))</f>
        <v/>
      </c>
      <c r="E685" s="11">
        <f>IF(A685="","",IFERROR(VALUE(SUBSTITUTE(SUBSTITUTE(INDEX('Shopify Import'!$A:$CZ,685,Settings!$E$24)&amp;"","$",""),",","")),0))</f>
        <v/>
      </c>
      <c r="F685" s="11">
        <f>IF(A685="","",D685*E685)</f>
        <v/>
      </c>
      <c r="G685">
        <f>IF(A685="","",IF(C685="",1,COUNTIF($C$2:$C$1501,C685)))</f>
        <v/>
      </c>
      <c r="H685" s="11">
        <f>IF(A685="","",IFERROR(VALUE(SUBSTITUTE(SUBSTITUTE(INDEX('Shopify Import'!$A:$CZ,685,Settings!$E$25)&amp;"","$",""),",","")),0)/IF(Settings!$D$27="Yes",G685,1))</f>
        <v/>
      </c>
      <c r="I685" s="11">
        <f>IF(A685="","",IFERROR(VALUE(SUBSTITUTE(SUBSTITUTE(INDEX('Shopify Import'!$A:$CZ,685,Settings!$E$26)&amp;"","$",""),",","")),0)/IF(Settings!$D$27="Yes",G685,1))</f>
        <v/>
      </c>
      <c r="J685" s="11">
        <f>IF(A685="","",F685+H685-I685)</f>
        <v/>
      </c>
      <c r="K685">
        <f>IF(A685="","",IFERROR(IF(B685="",NA(),MATCH(B685,Products!$B$5:$B$204,0)),IFERROR(MATCH(A685,Products!$A$5:$A$204,0),"")))</f>
        <v/>
      </c>
      <c r="L685">
        <f>IF(A685="","",IF(K685="","⚠ not in Products",INDEX(Products!$A$5:$A$204,K685)))</f>
        <v/>
      </c>
      <c r="M685" s="11">
        <f>IF(A685="","",J685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685+IFERROR(INDEX(Settings!$D$5:$D$9,MATCH("Shopify",Settings!$A$5:$A$9,0)),0)*D685)</f>
        <v/>
      </c>
      <c r="N685" s="11">
        <f>IF(A685="","",IF(K685="",0,D685*INDEX(Products!$I$5:$I$204,K685)))</f>
        <v/>
      </c>
      <c r="O685" s="11">
        <f>IF(A685="","",IF(K685="",0,J685*INDEX(Products!$H$5:$H$204,K685)))</f>
        <v/>
      </c>
      <c r="P685" s="11">
        <f>IF(A685="","",J685-M685-N685-O685)</f>
        <v/>
      </c>
    </row>
    <row r="686">
      <c r="A686">
        <f>IFERROR(INDEX('Shopify Import'!$A:$CZ,686,Settings!$E$20)&amp;"","")</f>
        <v/>
      </c>
      <c r="B686">
        <f>IFERROR(INDEX('Shopify Import'!$A:$CZ,686,Settings!$E$21)&amp;"","")</f>
        <v/>
      </c>
      <c r="C686">
        <f>IFERROR(INDEX('Shopify Import'!$A:$CZ,686,Settings!$E$22)&amp;"","")</f>
        <v/>
      </c>
      <c r="D686">
        <f>IF(A686="","",IFERROR(VALUE(SUBSTITUTE(SUBSTITUTE(INDEX('Shopify Import'!$A:$CZ,686,Settings!$E$23)&amp;"","$",""),",","")),0))</f>
        <v/>
      </c>
      <c r="E686" s="11">
        <f>IF(A686="","",IFERROR(VALUE(SUBSTITUTE(SUBSTITUTE(INDEX('Shopify Import'!$A:$CZ,686,Settings!$E$24)&amp;"","$",""),",","")),0))</f>
        <v/>
      </c>
      <c r="F686" s="11">
        <f>IF(A686="","",D686*E686)</f>
        <v/>
      </c>
      <c r="G686">
        <f>IF(A686="","",IF(C686="",1,COUNTIF($C$2:$C$1501,C686)))</f>
        <v/>
      </c>
      <c r="H686" s="11">
        <f>IF(A686="","",IFERROR(VALUE(SUBSTITUTE(SUBSTITUTE(INDEX('Shopify Import'!$A:$CZ,686,Settings!$E$25)&amp;"","$",""),",","")),0)/IF(Settings!$D$27="Yes",G686,1))</f>
        <v/>
      </c>
      <c r="I686" s="11">
        <f>IF(A686="","",IFERROR(VALUE(SUBSTITUTE(SUBSTITUTE(INDEX('Shopify Import'!$A:$CZ,686,Settings!$E$26)&amp;"","$",""),",","")),0)/IF(Settings!$D$27="Yes",G686,1))</f>
        <v/>
      </c>
      <c r="J686" s="11">
        <f>IF(A686="","",F686+H686-I686)</f>
        <v/>
      </c>
      <c r="K686">
        <f>IF(A686="","",IFERROR(IF(B686="",NA(),MATCH(B686,Products!$B$5:$B$204,0)),IFERROR(MATCH(A686,Products!$A$5:$A$204,0),"")))</f>
        <v/>
      </c>
      <c r="L686">
        <f>IF(A686="","",IF(K686="","⚠ not in Products",INDEX(Products!$A$5:$A$204,K686)))</f>
        <v/>
      </c>
      <c r="M686" s="11">
        <f>IF(A686="","",J686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686+IFERROR(INDEX(Settings!$D$5:$D$9,MATCH("Shopify",Settings!$A$5:$A$9,0)),0)*D686)</f>
        <v/>
      </c>
      <c r="N686" s="11">
        <f>IF(A686="","",IF(K686="",0,D686*INDEX(Products!$I$5:$I$204,K686)))</f>
        <v/>
      </c>
      <c r="O686" s="11">
        <f>IF(A686="","",IF(K686="",0,J686*INDEX(Products!$H$5:$H$204,K686)))</f>
        <v/>
      </c>
      <c r="P686" s="11">
        <f>IF(A686="","",J686-M686-N686-O686)</f>
        <v/>
      </c>
    </row>
    <row r="687">
      <c r="A687">
        <f>IFERROR(INDEX('Shopify Import'!$A:$CZ,687,Settings!$E$20)&amp;"","")</f>
        <v/>
      </c>
      <c r="B687">
        <f>IFERROR(INDEX('Shopify Import'!$A:$CZ,687,Settings!$E$21)&amp;"","")</f>
        <v/>
      </c>
      <c r="C687">
        <f>IFERROR(INDEX('Shopify Import'!$A:$CZ,687,Settings!$E$22)&amp;"","")</f>
        <v/>
      </c>
      <c r="D687">
        <f>IF(A687="","",IFERROR(VALUE(SUBSTITUTE(SUBSTITUTE(INDEX('Shopify Import'!$A:$CZ,687,Settings!$E$23)&amp;"","$",""),",","")),0))</f>
        <v/>
      </c>
      <c r="E687" s="11">
        <f>IF(A687="","",IFERROR(VALUE(SUBSTITUTE(SUBSTITUTE(INDEX('Shopify Import'!$A:$CZ,687,Settings!$E$24)&amp;"","$",""),",","")),0))</f>
        <v/>
      </c>
      <c r="F687" s="11">
        <f>IF(A687="","",D687*E687)</f>
        <v/>
      </c>
      <c r="G687">
        <f>IF(A687="","",IF(C687="",1,COUNTIF($C$2:$C$1501,C687)))</f>
        <v/>
      </c>
      <c r="H687" s="11">
        <f>IF(A687="","",IFERROR(VALUE(SUBSTITUTE(SUBSTITUTE(INDEX('Shopify Import'!$A:$CZ,687,Settings!$E$25)&amp;"","$",""),",","")),0)/IF(Settings!$D$27="Yes",G687,1))</f>
        <v/>
      </c>
      <c r="I687" s="11">
        <f>IF(A687="","",IFERROR(VALUE(SUBSTITUTE(SUBSTITUTE(INDEX('Shopify Import'!$A:$CZ,687,Settings!$E$26)&amp;"","$",""),",","")),0)/IF(Settings!$D$27="Yes",G687,1))</f>
        <v/>
      </c>
      <c r="J687" s="11">
        <f>IF(A687="","",F687+H687-I687)</f>
        <v/>
      </c>
      <c r="K687">
        <f>IF(A687="","",IFERROR(IF(B687="",NA(),MATCH(B687,Products!$B$5:$B$204,0)),IFERROR(MATCH(A687,Products!$A$5:$A$204,0),"")))</f>
        <v/>
      </c>
      <c r="L687">
        <f>IF(A687="","",IF(K687="","⚠ not in Products",INDEX(Products!$A$5:$A$204,K687)))</f>
        <v/>
      </c>
      <c r="M687" s="11">
        <f>IF(A687="","",J687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687+IFERROR(INDEX(Settings!$D$5:$D$9,MATCH("Shopify",Settings!$A$5:$A$9,0)),0)*D687)</f>
        <v/>
      </c>
      <c r="N687" s="11">
        <f>IF(A687="","",IF(K687="",0,D687*INDEX(Products!$I$5:$I$204,K687)))</f>
        <v/>
      </c>
      <c r="O687" s="11">
        <f>IF(A687="","",IF(K687="",0,J687*INDEX(Products!$H$5:$H$204,K687)))</f>
        <v/>
      </c>
      <c r="P687" s="11">
        <f>IF(A687="","",J687-M687-N687-O687)</f>
        <v/>
      </c>
    </row>
    <row r="688">
      <c r="A688">
        <f>IFERROR(INDEX('Shopify Import'!$A:$CZ,688,Settings!$E$20)&amp;"","")</f>
        <v/>
      </c>
      <c r="B688">
        <f>IFERROR(INDEX('Shopify Import'!$A:$CZ,688,Settings!$E$21)&amp;"","")</f>
        <v/>
      </c>
      <c r="C688">
        <f>IFERROR(INDEX('Shopify Import'!$A:$CZ,688,Settings!$E$22)&amp;"","")</f>
        <v/>
      </c>
      <c r="D688">
        <f>IF(A688="","",IFERROR(VALUE(SUBSTITUTE(SUBSTITUTE(INDEX('Shopify Import'!$A:$CZ,688,Settings!$E$23)&amp;"","$",""),",","")),0))</f>
        <v/>
      </c>
      <c r="E688" s="11">
        <f>IF(A688="","",IFERROR(VALUE(SUBSTITUTE(SUBSTITUTE(INDEX('Shopify Import'!$A:$CZ,688,Settings!$E$24)&amp;"","$",""),",","")),0))</f>
        <v/>
      </c>
      <c r="F688" s="11">
        <f>IF(A688="","",D688*E688)</f>
        <v/>
      </c>
      <c r="G688">
        <f>IF(A688="","",IF(C688="",1,COUNTIF($C$2:$C$1501,C688)))</f>
        <v/>
      </c>
      <c r="H688" s="11">
        <f>IF(A688="","",IFERROR(VALUE(SUBSTITUTE(SUBSTITUTE(INDEX('Shopify Import'!$A:$CZ,688,Settings!$E$25)&amp;"","$",""),",","")),0)/IF(Settings!$D$27="Yes",G688,1))</f>
        <v/>
      </c>
      <c r="I688" s="11">
        <f>IF(A688="","",IFERROR(VALUE(SUBSTITUTE(SUBSTITUTE(INDEX('Shopify Import'!$A:$CZ,688,Settings!$E$26)&amp;"","$",""),",","")),0)/IF(Settings!$D$27="Yes",G688,1))</f>
        <v/>
      </c>
      <c r="J688" s="11">
        <f>IF(A688="","",F688+H688-I688)</f>
        <v/>
      </c>
      <c r="K688">
        <f>IF(A688="","",IFERROR(IF(B688="",NA(),MATCH(B688,Products!$B$5:$B$204,0)),IFERROR(MATCH(A688,Products!$A$5:$A$204,0),"")))</f>
        <v/>
      </c>
      <c r="L688">
        <f>IF(A688="","",IF(K688="","⚠ not in Products",INDEX(Products!$A$5:$A$204,K688)))</f>
        <v/>
      </c>
      <c r="M688" s="11">
        <f>IF(A688="","",J688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688+IFERROR(INDEX(Settings!$D$5:$D$9,MATCH("Shopify",Settings!$A$5:$A$9,0)),0)*D688)</f>
        <v/>
      </c>
      <c r="N688" s="11">
        <f>IF(A688="","",IF(K688="",0,D688*INDEX(Products!$I$5:$I$204,K688)))</f>
        <v/>
      </c>
      <c r="O688" s="11">
        <f>IF(A688="","",IF(K688="",0,J688*INDEX(Products!$H$5:$H$204,K688)))</f>
        <v/>
      </c>
      <c r="P688" s="11">
        <f>IF(A688="","",J688-M688-N688-O688)</f>
        <v/>
      </c>
    </row>
    <row r="689">
      <c r="A689">
        <f>IFERROR(INDEX('Shopify Import'!$A:$CZ,689,Settings!$E$20)&amp;"","")</f>
        <v/>
      </c>
      <c r="B689">
        <f>IFERROR(INDEX('Shopify Import'!$A:$CZ,689,Settings!$E$21)&amp;"","")</f>
        <v/>
      </c>
      <c r="C689">
        <f>IFERROR(INDEX('Shopify Import'!$A:$CZ,689,Settings!$E$22)&amp;"","")</f>
        <v/>
      </c>
      <c r="D689">
        <f>IF(A689="","",IFERROR(VALUE(SUBSTITUTE(SUBSTITUTE(INDEX('Shopify Import'!$A:$CZ,689,Settings!$E$23)&amp;"","$",""),",","")),0))</f>
        <v/>
      </c>
      <c r="E689" s="11">
        <f>IF(A689="","",IFERROR(VALUE(SUBSTITUTE(SUBSTITUTE(INDEX('Shopify Import'!$A:$CZ,689,Settings!$E$24)&amp;"","$",""),",","")),0))</f>
        <v/>
      </c>
      <c r="F689" s="11">
        <f>IF(A689="","",D689*E689)</f>
        <v/>
      </c>
      <c r="G689">
        <f>IF(A689="","",IF(C689="",1,COUNTIF($C$2:$C$1501,C689)))</f>
        <v/>
      </c>
      <c r="H689" s="11">
        <f>IF(A689="","",IFERROR(VALUE(SUBSTITUTE(SUBSTITUTE(INDEX('Shopify Import'!$A:$CZ,689,Settings!$E$25)&amp;"","$",""),",","")),0)/IF(Settings!$D$27="Yes",G689,1))</f>
        <v/>
      </c>
      <c r="I689" s="11">
        <f>IF(A689="","",IFERROR(VALUE(SUBSTITUTE(SUBSTITUTE(INDEX('Shopify Import'!$A:$CZ,689,Settings!$E$26)&amp;"","$",""),",","")),0)/IF(Settings!$D$27="Yes",G689,1))</f>
        <v/>
      </c>
      <c r="J689" s="11">
        <f>IF(A689="","",F689+H689-I689)</f>
        <v/>
      </c>
      <c r="K689">
        <f>IF(A689="","",IFERROR(IF(B689="",NA(),MATCH(B689,Products!$B$5:$B$204,0)),IFERROR(MATCH(A689,Products!$A$5:$A$204,0),"")))</f>
        <v/>
      </c>
      <c r="L689">
        <f>IF(A689="","",IF(K689="","⚠ not in Products",INDEX(Products!$A$5:$A$204,K689)))</f>
        <v/>
      </c>
      <c r="M689" s="11">
        <f>IF(A689="","",J689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689+IFERROR(INDEX(Settings!$D$5:$D$9,MATCH("Shopify",Settings!$A$5:$A$9,0)),0)*D689)</f>
        <v/>
      </c>
      <c r="N689" s="11">
        <f>IF(A689="","",IF(K689="",0,D689*INDEX(Products!$I$5:$I$204,K689)))</f>
        <v/>
      </c>
      <c r="O689" s="11">
        <f>IF(A689="","",IF(K689="",0,J689*INDEX(Products!$H$5:$H$204,K689)))</f>
        <v/>
      </c>
      <c r="P689" s="11">
        <f>IF(A689="","",J689-M689-N689-O689)</f>
        <v/>
      </c>
    </row>
    <row r="690">
      <c r="A690">
        <f>IFERROR(INDEX('Shopify Import'!$A:$CZ,690,Settings!$E$20)&amp;"","")</f>
        <v/>
      </c>
      <c r="B690">
        <f>IFERROR(INDEX('Shopify Import'!$A:$CZ,690,Settings!$E$21)&amp;"","")</f>
        <v/>
      </c>
      <c r="C690">
        <f>IFERROR(INDEX('Shopify Import'!$A:$CZ,690,Settings!$E$22)&amp;"","")</f>
        <v/>
      </c>
      <c r="D690">
        <f>IF(A690="","",IFERROR(VALUE(SUBSTITUTE(SUBSTITUTE(INDEX('Shopify Import'!$A:$CZ,690,Settings!$E$23)&amp;"","$",""),",","")),0))</f>
        <v/>
      </c>
      <c r="E690" s="11">
        <f>IF(A690="","",IFERROR(VALUE(SUBSTITUTE(SUBSTITUTE(INDEX('Shopify Import'!$A:$CZ,690,Settings!$E$24)&amp;"","$",""),",","")),0))</f>
        <v/>
      </c>
      <c r="F690" s="11">
        <f>IF(A690="","",D690*E690)</f>
        <v/>
      </c>
      <c r="G690">
        <f>IF(A690="","",IF(C690="",1,COUNTIF($C$2:$C$1501,C690)))</f>
        <v/>
      </c>
      <c r="H690" s="11">
        <f>IF(A690="","",IFERROR(VALUE(SUBSTITUTE(SUBSTITUTE(INDEX('Shopify Import'!$A:$CZ,690,Settings!$E$25)&amp;"","$",""),",","")),0)/IF(Settings!$D$27="Yes",G690,1))</f>
        <v/>
      </c>
      <c r="I690" s="11">
        <f>IF(A690="","",IFERROR(VALUE(SUBSTITUTE(SUBSTITUTE(INDEX('Shopify Import'!$A:$CZ,690,Settings!$E$26)&amp;"","$",""),",","")),0)/IF(Settings!$D$27="Yes",G690,1))</f>
        <v/>
      </c>
      <c r="J690" s="11">
        <f>IF(A690="","",F690+H690-I690)</f>
        <v/>
      </c>
      <c r="K690">
        <f>IF(A690="","",IFERROR(IF(B690="",NA(),MATCH(B690,Products!$B$5:$B$204,0)),IFERROR(MATCH(A690,Products!$A$5:$A$204,0),"")))</f>
        <v/>
      </c>
      <c r="L690">
        <f>IF(A690="","",IF(K690="","⚠ not in Products",INDEX(Products!$A$5:$A$204,K690)))</f>
        <v/>
      </c>
      <c r="M690" s="11">
        <f>IF(A690="","",J690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690+IFERROR(INDEX(Settings!$D$5:$D$9,MATCH("Shopify",Settings!$A$5:$A$9,0)),0)*D690)</f>
        <v/>
      </c>
      <c r="N690" s="11">
        <f>IF(A690="","",IF(K690="",0,D690*INDEX(Products!$I$5:$I$204,K690)))</f>
        <v/>
      </c>
      <c r="O690" s="11">
        <f>IF(A690="","",IF(K690="",0,J690*INDEX(Products!$H$5:$H$204,K690)))</f>
        <v/>
      </c>
      <c r="P690" s="11">
        <f>IF(A690="","",J690-M690-N690-O690)</f>
        <v/>
      </c>
    </row>
    <row r="691">
      <c r="A691">
        <f>IFERROR(INDEX('Shopify Import'!$A:$CZ,691,Settings!$E$20)&amp;"","")</f>
        <v/>
      </c>
      <c r="B691">
        <f>IFERROR(INDEX('Shopify Import'!$A:$CZ,691,Settings!$E$21)&amp;"","")</f>
        <v/>
      </c>
      <c r="C691">
        <f>IFERROR(INDEX('Shopify Import'!$A:$CZ,691,Settings!$E$22)&amp;"","")</f>
        <v/>
      </c>
      <c r="D691">
        <f>IF(A691="","",IFERROR(VALUE(SUBSTITUTE(SUBSTITUTE(INDEX('Shopify Import'!$A:$CZ,691,Settings!$E$23)&amp;"","$",""),",","")),0))</f>
        <v/>
      </c>
      <c r="E691" s="11">
        <f>IF(A691="","",IFERROR(VALUE(SUBSTITUTE(SUBSTITUTE(INDEX('Shopify Import'!$A:$CZ,691,Settings!$E$24)&amp;"","$",""),",","")),0))</f>
        <v/>
      </c>
      <c r="F691" s="11">
        <f>IF(A691="","",D691*E691)</f>
        <v/>
      </c>
      <c r="G691">
        <f>IF(A691="","",IF(C691="",1,COUNTIF($C$2:$C$1501,C691)))</f>
        <v/>
      </c>
      <c r="H691" s="11">
        <f>IF(A691="","",IFERROR(VALUE(SUBSTITUTE(SUBSTITUTE(INDEX('Shopify Import'!$A:$CZ,691,Settings!$E$25)&amp;"","$",""),",","")),0)/IF(Settings!$D$27="Yes",G691,1))</f>
        <v/>
      </c>
      <c r="I691" s="11">
        <f>IF(A691="","",IFERROR(VALUE(SUBSTITUTE(SUBSTITUTE(INDEX('Shopify Import'!$A:$CZ,691,Settings!$E$26)&amp;"","$",""),",","")),0)/IF(Settings!$D$27="Yes",G691,1))</f>
        <v/>
      </c>
      <c r="J691" s="11">
        <f>IF(A691="","",F691+H691-I691)</f>
        <v/>
      </c>
      <c r="K691">
        <f>IF(A691="","",IFERROR(IF(B691="",NA(),MATCH(B691,Products!$B$5:$B$204,0)),IFERROR(MATCH(A691,Products!$A$5:$A$204,0),"")))</f>
        <v/>
      </c>
      <c r="L691">
        <f>IF(A691="","",IF(K691="","⚠ not in Products",INDEX(Products!$A$5:$A$204,K691)))</f>
        <v/>
      </c>
      <c r="M691" s="11">
        <f>IF(A691="","",J691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691+IFERROR(INDEX(Settings!$D$5:$D$9,MATCH("Shopify",Settings!$A$5:$A$9,0)),0)*D691)</f>
        <v/>
      </c>
      <c r="N691" s="11">
        <f>IF(A691="","",IF(K691="",0,D691*INDEX(Products!$I$5:$I$204,K691)))</f>
        <v/>
      </c>
      <c r="O691" s="11">
        <f>IF(A691="","",IF(K691="",0,J691*INDEX(Products!$H$5:$H$204,K691)))</f>
        <v/>
      </c>
      <c r="P691" s="11">
        <f>IF(A691="","",J691-M691-N691-O691)</f>
        <v/>
      </c>
    </row>
    <row r="692">
      <c r="A692">
        <f>IFERROR(INDEX('Shopify Import'!$A:$CZ,692,Settings!$E$20)&amp;"","")</f>
        <v/>
      </c>
      <c r="B692">
        <f>IFERROR(INDEX('Shopify Import'!$A:$CZ,692,Settings!$E$21)&amp;"","")</f>
        <v/>
      </c>
      <c r="C692">
        <f>IFERROR(INDEX('Shopify Import'!$A:$CZ,692,Settings!$E$22)&amp;"","")</f>
        <v/>
      </c>
      <c r="D692">
        <f>IF(A692="","",IFERROR(VALUE(SUBSTITUTE(SUBSTITUTE(INDEX('Shopify Import'!$A:$CZ,692,Settings!$E$23)&amp;"","$",""),",","")),0))</f>
        <v/>
      </c>
      <c r="E692" s="11">
        <f>IF(A692="","",IFERROR(VALUE(SUBSTITUTE(SUBSTITUTE(INDEX('Shopify Import'!$A:$CZ,692,Settings!$E$24)&amp;"","$",""),",","")),0))</f>
        <v/>
      </c>
      <c r="F692" s="11">
        <f>IF(A692="","",D692*E692)</f>
        <v/>
      </c>
      <c r="G692">
        <f>IF(A692="","",IF(C692="",1,COUNTIF($C$2:$C$1501,C692)))</f>
        <v/>
      </c>
      <c r="H692" s="11">
        <f>IF(A692="","",IFERROR(VALUE(SUBSTITUTE(SUBSTITUTE(INDEX('Shopify Import'!$A:$CZ,692,Settings!$E$25)&amp;"","$",""),",","")),0)/IF(Settings!$D$27="Yes",G692,1))</f>
        <v/>
      </c>
      <c r="I692" s="11">
        <f>IF(A692="","",IFERROR(VALUE(SUBSTITUTE(SUBSTITUTE(INDEX('Shopify Import'!$A:$CZ,692,Settings!$E$26)&amp;"","$",""),",","")),0)/IF(Settings!$D$27="Yes",G692,1))</f>
        <v/>
      </c>
      <c r="J692" s="11">
        <f>IF(A692="","",F692+H692-I692)</f>
        <v/>
      </c>
      <c r="K692">
        <f>IF(A692="","",IFERROR(IF(B692="",NA(),MATCH(B692,Products!$B$5:$B$204,0)),IFERROR(MATCH(A692,Products!$A$5:$A$204,0),"")))</f>
        <v/>
      </c>
      <c r="L692">
        <f>IF(A692="","",IF(K692="","⚠ not in Products",INDEX(Products!$A$5:$A$204,K692)))</f>
        <v/>
      </c>
      <c r="M692" s="11">
        <f>IF(A692="","",J692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692+IFERROR(INDEX(Settings!$D$5:$D$9,MATCH("Shopify",Settings!$A$5:$A$9,0)),0)*D692)</f>
        <v/>
      </c>
      <c r="N692" s="11">
        <f>IF(A692="","",IF(K692="",0,D692*INDEX(Products!$I$5:$I$204,K692)))</f>
        <v/>
      </c>
      <c r="O692" s="11">
        <f>IF(A692="","",IF(K692="",0,J692*INDEX(Products!$H$5:$H$204,K692)))</f>
        <v/>
      </c>
      <c r="P692" s="11">
        <f>IF(A692="","",J692-M692-N692-O692)</f>
        <v/>
      </c>
    </row>
    <row r="693">
      <c r="A693">
        <f>IFERROR(INDEX('Shopify Import'!$A:$CZ,693,Settings!$E$20)&amp;"","")</f>
        <v/>
      </c>
      <c r="B693">
        <f>IFERROR(INDEX('Shopify Import'!$A:$CZ,693,Settings!$E$21)&amp;"","")</f>
        <v/>
      </c>
      <c r="C693">
        <f>IFERROR(INDEX('Shopify Import'!$A:$CZ,693,Settings!$E$22)&amp;"","")</f>
        <v/>
      </c>
      <c r="D693">
        <f>IF(A693="","",IFERROR(VALUE(SUBSTITUTE(SUBSTITUTE(INDEX('Shopify Import'!$A:$CZ,693,Settings!$E$23)&amp;"","$",""),",","")),0))</f>
        <v/>
      </c>
      <c r="E693" s="11">
        <f>IF(A693="","",IFERROR(VALUE(SUBSTITUTE(SUBSTITUTE(INDEX('Shopify Import'!$A:$CZ,693,Settings!$E$24)&amp;"","$",""),",","")),0))</f>
        <v/>
      </c>
      <c r="F693" s="11">
        <f>IF(A693="","",D693*E693)</f>
        <v/>
      </c>
      <c r="G693">
        <f>IF(A693="","",IF(C693="",1,COUNTIF($C$2:$C$1501,C693)))</f>
        <v/>
      </c>
      <c r="H693" s="11">
        <f>IF(A693="","",IFERROR(VALUE(SUBSTITUTE(SUBSTITUTE(INDEX('Shopify Import'!$A:$CZ,693,Settings!$E$25)&amp;"","$",""),",","")),0)/IF(Settings!$D$27="Yes",G693,1))</f>
        <v/>
      </c>
      <c r="I693" s="11">
        <f>IF(A693="","",IFERROR(VALUE(SUBSTITUTE(SUBSTITUTE(INDEX('Shopify Import'!$A:$CZ,693,Settings!$E$26)&amp;"","$",""),",","")),0)/IF(Settings!$D$27="Yes",G693,1))</f>
        <v/>
      </c>
      <c r="J693" s="11">
        <f>IF(A693="","",F693+H693-I693)</f>
        <v/>
      </c>
      <c r="K693">
        <f>IF(A693="","",IFERROR(IF(B693="",NA(),MATCH(B693,Products!$B$5:$B$204,0)),IFERROR(MATCH(A693,Products!$A$5:$A$204,0),"")))</f>
        <v/>
      </c>
      <c r="L693">
        <f>IF(A693="","",IF(K693="","⚠ not in Products",INDEX(Products!$A$5:$A$204,K693)))</f>
        <v/>
      </c>
      <c r="M693" s="11">
        <f>IF(A693="","",J693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693+IFERROR(INDEX(Settings!$D$5:$D$9,MATCH("Shopify",Settings!$A$5:$A$9,0)),0)*D693)</f>
        <v/>
      </c>
      <c r="N693" s="11">
        <f>IF(A693="","",IF(K693="",0,D693*INDEX(Products!$I$5:$I$204,K693)))</f>
        <v/>
      </c>
      <c r="O693" s="11">
        <f>IF(A693="","",IF(K693="",0,J693*INDEX(Products!$H$5:$H$204,K693)))</f>
        <v/>
      </c>
      <c r="P693" s="11">
        <f>IF(A693="","",J693-M693-N693-O693)</f>
        <v/>
      </c>
    </row>
    <row r="694">
      <c r="A694">
        <f>IFERROR(INDEX('Shopify Import'!$A:$CZ,694,Settings!$E$20)&amp;"","")</f>
        <v/>
      </c>
      <c r="B694">
        <f>IFERROR(INDEX('Shopify Import'!$A:$CZ,694,Settings!$E$21)&amp;"","")</f>
        <v/>
      </c>
      <c r="C694">
        <f>IFERROR(INDEX('Shopify Import'!$A:$CZ,694,Settings!$E$22)&amp;"","")</f>
        <v/>
      </c>
      <c r="D694">
        <f>IF(A694="","",IFERROR(VALUE(SUBSTITUTE(SUBSTITUTE(INDEX('Shopify Import'!$A:$CZ,694,Settings!$E$23)&amp;"","$",""),",","")),0))</f>
        <v/>
      </c>
      <c r="E694" s="11">
        <f>IF(A694="","",IFERROR(VALUE(SUBSTITUTE(SUBSTITUTE(INDEX('Shopify Import'!$A:$CZ,694,Settings!$E$24)&amp;"","$",""),",","")),0))</f>
        <v/>
      </c>
      <c r="F694" s="11">
        <f>IF(A694="","",D694*E694)</f>
        <v/>
      </c>
      <c r="G694">
        <f>IF(A694="","",IF(C694="",1,COUNTIF($C$2:$C$1501,C694)))</f>
        <v/>
      </c>
      <c r="H694" s="11">
        <f>IF(A694="","",IFERROR(VALUE(SUBSTITUTE(SUBSTITUTE(INDEX('Shopify Import'!$A:$CZ,694,Settings!$E$25)&amp;"","$",""),",","")),0)/IF(Settings!$D$27="Yes",G694,1))</f>
        <v/>
      </c>
      <c r="I694" s="11">
        <f>IF(A694="","",IFERROR(VALUE(SUBSTITUTE(SUBSTITUTE(INDEX('Shopify Import'!$A:$CZ,694,Settings!$E$26)&amp;"","$",""),",","")),0)/IF(Settings!$D$27="Yes",G694,1))</f>
        <v/>
      </c>
      <c r="J694" s="11">
        <f>IF(A694="","",F694+H694-I694)</f>
        <v/>
      </c>
      <c r="K694">
        <f>IF(A694="","",IFERROR(IF(B694="",NA(),MATCH(B694,Products!$B$5:$B$204,0)),IFERROR(MATCH(A694,Products!$A$5:$A$204,0),"")))</f>
        <v/>
      </c>
      <c r="L694">
        <f>IF(A694="","",IF(K694="","⚠ not in Products",INDEX(Products!$A$5:$A$204,K694)))</f>
        <v/>
      </c>
      <c r="M694" s="11">
        <f>IF(A694="","",J694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694+IFERROR(INDEX(Settings!$D$5:$D$9,MATCH("Shopify",Settings!$A$5:$A$9,0)),0)*D694)</f>
        <v/>
      </c>
      <c r="N694" s="11">
        <f>IF(A694="","",IF(K694="",0,D694*INDEX(Products!$I$5:$I$204,K694)))</f>
        <v/>
      </c>
      <c r="O694" s="11">
        <f>IF(A694="","",IF(K694="",0,J694*INDEX(Products!$H$5:$H$204,K694)))</f>
        <v/>
      </c>
      <c r="P694" s="11">
        <f>IF(A694="","",J694-M694-N694-O694)</f>
        <v/>
      </c>
    </row>
    <row r="695">
      <c r="A695">
        <f>IFERROR(INDEX('Shopify Import'!$A:$CZ,695,Settings!$E$20)&amp;"","")</f>
        <v/>
      </c>
      <c r="B695">
        <f>IFERROR(INDEX('Shopify Import'!$A:$CZ,695,Settings!$E$21)&amp;"","")</f>
        <v/>
      </c>
      <c r="C695">
        <f>IFERROR(INDEX('Shopify Import'!$A:$CZ,695,Settings!$E$22)&amp;"","")</f>
        <v/>
      </c>
      <c r="D695">
        <f>IF(A695="","",IFERROR(VALUE(SUBSTITUTE(SUBSTITUTE(INDEX('Shopify Import'!$A:$CZ,695,Settings!$E$23)&amp;"","$",""),",","")),0))</f>
        <v/>
      </c>
      <c r="E695" s="11">
        <f>IF(A695="","",IFERROR(VALUE(SUBSTITUTE(SUBSTITUTE(INDEX('Shopify Import'!$A:$CZ,695,Settings!$E$24)&amp;"","$",""),",","")),0))</f>
        <v/>
      </c>
      <c r="F695" s="11">
        <f>IF(A695="","",D695*E695)</f>
        <v/>
      </c>
      <c r="G695">
        <f>IF(A695="","",IF(C695="",1,COUNTIF($C$2:$C$1501,C695)))</f>
        <v/>
      </c>
      <c r="H695" s="11">
        <f>IF(A695="","",IFERROR(VALUE(SUBSTITUTE(SUBSTITUTE(INDEX('Shopify Import'!$A:$CZ,695,Settings!$E$25)&amp;"","$",""),",","")),0)/IF(Settings!$D$27="Yes",G695,1))</f>
        <v/>
      </c>
      <c r="I695" s="11">
        <f>IF(A695="","",IFERROR(VALUE(SUBSTITUTE(SUBSTITUTE(INDEX('Shopify Import'!$A:$CZ,695,Settings!$E$26)&amp;"","$",""),",","")),0)/IF(Settings!$D$27="Yes",G695,1))</f>
        <v/>
      </c>
      <c r="J695" s="11">
        <f>IF(A695="","",F695+H695-I695)</f>
        <v/>
      </c>
      <c r="K695">
        <f>IF(A695="","",IFERROR(IF(B695="",NA(),MATCH(B695,Products!$B$5:$B$204,0)),IFERROR(MATCH(A695,Products!$A$5:$A$204,0),"")))</f>
        <v/>
      </c>
      <c r="L695">
        <f>IF(A695="","",IF(K695="","⚠ not in Products",INDEX(Products!$A$5:$A$204,K695)))</f>
        <v/>
      </c>
      <c r="M695" s="11">
        <f>IF(A695="","",J695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695+IFERROR(INDEX(Settings!$D$5:$D$9,MATCH("Shopify",Settings!$A$5:$A$9,0)),0)*D695)</f>
        <v/>
      </c>
      <c r="N695" s="11">
        <f>IF(A695="","",IF(K695="",0,D695*INDEX(Products!$I$5:$I$204,K695)))</f>
        <v/>
      </c>
      <c r="O695" s="11">
        <f>IF(A695="","",IF(K695="",0,J695*INDEX(Products!$H$5:$H$204,K695)))</f>
        <v/>
      </c>
      <c r="P695" s="11">
        <f>IF(A695="","",J695-M695-N695-O695)</f>
        <v/>
      </c>
    </row>
    <row r="696">
      <c r="A696">
        <f>IFERROR(INDEX('Shopify Import'!$A:$CZ,696,Settings!$E$20)&amp;"","")</f>
        <v/>
      </c>
      <c r="B696">
        <f>IFERROR(INDEX('Shopify Import'!$A:$CZ,696,Settings!$E$21)&amp;"","")</f>
        <v/>
      </c>
      <c r="C696">
        <f>IFERROR(INDEX('Shopify Import'!$A:$CZ,696,Settings!$E$22)&amp;"","")</f>
        <v/>
      </c>
      <c r="D696">
        <f>IF(A696="","",IFERROR(VALUE(SUBSTITUTE(SUBSTITUTE(INDEX('Shopify Import'!$A:$CZ,696,Settings!$E$23)&amp;"","$",""),",","")),0))</f>
        <v/>
      </c>
      <c r="E696" s="11">
        <f>IF(A696="","",IFERROR(VALUE(SUBSTITUTE(SUBSTITUTE(INDEX('Shopify Import'!$A:$CZ,696,Settings!$E$24)&amp;"","$",""),",","")),0))</f>
        <v/>
      </c>
      <c r="F696" s="11">
        <f>IF(A696="","",D696*E696)</f>
        <v/>
      </c>
      <c r="G696">
        <f>IF(A696="","",IF(C696="",1,COUNTIF($C$2:$C$1501,C696)))</f>
        <v/>
      </c>
      <c r="H696" s="11">
        <f>IF(A696="","",IFERROR(VALUE(SUBSTITUTE(SUBSTITUTE(INDEX('Shopify Import'!$A:$CZ,696,Settings!$E$25)&amp;"","$",""),",","")),0)/IF(Settings!$D$27="Yes",G696,1))</f>
        <v/>
      </c>
      <c r="I696" s="11">
        <f>IF(A696="","",IFERROR(VALUE(SUBSTITUTE(SUBSTITUTE(INDEX('Shopify Import'!$A:$CZ,696,Settings!$E$26)&amp;"","$",""),",","")),0)/IF(Settings!$D$27="Yes",G696,1))</f>
        <v/>
      </c>
      <c r="J696" s="11">
        <f>IF(A696="","",F696+H696-I696)</f>
        <v/>
      </c>
      <c r="K696">
        <f>IF(A696="","",IFERROR(IF(B696="",NA(),MATCH(B696,Products!$B$5:$B$204,0)),IFERROR(MATCH(A696,Products!$A$5:$A$204,0),"")))</f>
        <v/>
      </c>
      <c r="L696">
        <f>IF(A696="","",IF(K696="","⚠ not in Products",INDEX(Products!$A$5:$A$204,K696)))</f>
        <v/>
      </c>
      <c r="M696" s="11">
        <f>IF(A696="","",J696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696+IFERROR(INDEX(Settings!$D$5:$D$9,MATCH("Shopify",Settings!$A$5:$A$9,0)),0)*D696)</f>
        <v/>
      </c>
      <c r="N696" s="11">
        <f>IF(A696="","",IF(K696="",0,D696*INDEX(Products!$I$5:$I$204,K696)))</f>
        <v/>
      </c>
      <c r="O696" s="11">
        <f>IF(A696="","",IF(K696="",0,J696*INDEX(Products!$H$5:$H$204,K696)))</f>
        <v/>
      </c>
      <c r="P696" s="11">
        <f>IF(A696="","",J696-M696-N696-O696)</f>
        <v/>
      </c>
    </row>
    <row r="697">
      <c r="A697">
        <f>IFERROR(INDEX('Shopify Import'!$A:$CZ,697,Settings!$E$20)&amp;"","")</f>
        <v/>
      </c>
      <c r="B697">
        <f>IFERROR(INDEX('Shopify Import'!$A:$CZ,697,Settings!$E$21)&amp;"","")</f>
        <v/>
      </c>
      <c r="C697">
        <f>IFERROR(INDEX('Shopify Import'!$A:$CZ,697,Settings!$E$22)&amp;"","")</f>
        <v/>
      </c>
      <c r="D697">
        <f>IF(A697="","",IFERROR(VALUE(SUBSTITUTE(SUBSTITUTE(INDEX('Shopify Import'!$A:$CZ,697,Settings!$E$23)&amp;"","$",""),",","")),0))</f>
        <v/>
      </c>
      <c r="E697" s="11">
        <f>IF(A697="","",IFERROR(VALUE(SUBSTITUTE(SUBSTITUTE(INDEX('Shopify Import'!$A:$CZ,697,Settings!$E$24)&amp;"","$",""),",","")),0))</f>
        <v/>
      </c>
      <c r="F697" s="11">
        <f>IF(A697="","",D697*E697)</f>
        <v/>
      </c>
      <c r="G697">
        <f>IF(A697="","",IF(C697="",1,COUNTIF($C$2:$C$1501,C697)))</f>
        <v/>
      </c>
      <c r="H697" s="11">
        <f>IF(A697="","",IFERROR(VALUE(SUBSTITUTE(SUBSTITUTE(INDEX('Shopify Import'!$A:$CZ,697,Settings!$E$25)&amp;"","$",""),",","")),0)/IF(Settings!$D$27="Yes",G697,1))</f>
        <v/>
      </c>
      <c r="I697" s="11">
        <f>IF(A697="","",IFERROR(VALUE(SUBSTITUTE(SUBSTITUTE(INDEX('Shopify Import'!$A:$CZ,697,Settings!$E$26)&amp;"","$",""),",","")),0)/IF(Settings!$D$27="Yes",G697,1))</f>
        <v/>
      </c>
      <c r="J697" s="11">
        <f>IF(A697="","",F697+H697-I697)</f>
        <v/>
      </c>
      <c r="K697">
        <f>IF(A697="","",IFERROR(IF(B697="",NA(),MATCH(B697,Products!$B$5:$B$204,0)),IFERROR(MATCH(A697,Products!$A$5:$A$204,0),"")))</f>
        <v/>
      </c>
      <c r="L697">
        <f>IF(A697="","",IF(K697="","⚠ not in Products",INDEX(Products!$A$5:$A$204,K697)))</f>
        <v/>
      </c>
      <c r="M697" s="11">
        <f>IF(A697="","",J697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697+IFERROR(INDEX(Settings!$D$5:$D$9,MATCH("Shopify",Settings!$A$5:$A$9,0)),0)*D697)</f>
        <v/>
      </c>
      <c r="N697" s="11">
        <f>IF(A697="","",IF(K697="",0,D697*INDEX(Products!$I$5:$I$204,K697)))</f>
        <v/>
      </c>
      <c r="O697" s="11">
        <f>IF(A697="","",IF(K697="",0,J697*INDEX(Products!$H$5:$H$204,K697)))</f>
        <v/>
      </c>
      <c r="P697" s="11">
        <f>IF(A697="","",J697-M697-N697-O697)</f>
        <v/>
      </c>
    </row>
    <row r="698">
      <c r="A698">
        <f>IFERROR(INDEX('Shopify Import'!$A:$CZ,698,Settings!$E$20)&amp;"","")</f>
        <v/>
      </c>
      <c r="B698">
        <f>IFERROR(INDEX('Shopify Import'!$A:$CZ,698,Settings!$E$21)&amp;"","")</f>
        <v/>
      </c>
      <c r="C698">
        <f>IFERROR(INDEX('Shopify Import'!$A:$CZ,698,Settings!$E$22)&amp;"","")</f>
        <v/>
      </c>
      <c r="D698">
        <f>IF(A698="","",IFERROR(VALUE(SUBSTITUTE(SUBSTITUTE(INDEX('Shopify Import'!$A:$CZ,698,Settings!$E$23)&amp;"","$",""),",","")),0))</f>
        <v/>
      </c>
      <c r="E698" s="11">
        <f>IF(A698="","",IFERROR(VALUE(SUBSTITUTE(SUBSTITUTE(INDEX('Shopify Import'!$A:$CZ,698,Settings!$E$24)&amp;"","$",""),",","")),0))</f>
        <v/>
      </c>
      <c r="F698" s="11">
        <f>IF(A698="","",D698*E698)</f>
        <v/>
      </c>
      <c r="G698">
        <f>IF(A698="","",IF(C698="",1,COUNTIF($C$2:$C$1501,C698)))</f>
        <v/>
      </c>
      <c r="H698" s="11">
        <f>IF(A698="","",IFERROR(VALUE(SUBSTITUTE(SUBSTITUTE(INDEX('Shopify Import'!$A:$CZ,698,Settings!$E$25)&amp;"","$",""),",","")),0)/IF(Settings!$D$27="Yes",G698,1))</f>
        <v/>
      </c>
      <c r="I698" s="11">
        <f>IF(A698="","",IFERROR(VALUE(SUBSTITUTE(SUBSTITUTE(INDEX('Shopify Import'!$A:$CZ,698,Settings!$E$26)&amp;"","$",""),",","")),0)/IF(Settings!$D$27="Yes",G698,1))</f>
        <v/>
      </c>
      <c r="J698" s="11">
        <f>IF(A698="","",F698+H698-I698)</f>
        <v/>
      </c>
      <c r="K698">
        <f>IF(A698="","",IFERROR(IF(B698="",NA(),MATCH(B698,Products!$B$5:$B$204,0)),IFERROR(MATCH(A698,Products!$A$5:$A$204,0),"")))</f>
        <v/>
      </c>
      <c r="L698">
        <f>IF(A698="","",IF(K698="","⚠ not in Products",INDEX(Products!$A$5:$A$204,K698)))</f>
        <v/>
      </c>
      <c r="M698" s="11">
        <f>IF(A698="","",J698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698+IFERROR(INDEX(Settings!$D$5:$D$9,MATCH("Shopify",Settings!$A$5:$A$9,0)),0)*D698)</f>
        <v/>
      </c>
      <c r="N698" s="11">
        <f>IF(A698="","",IF(K698="",0,D698*INDEX(Products!$I$5:$I$204,K698)))</f>
        <v/>
      </c>
      <c r="O698" s="11">
        <f>IF(A698="","",IF(K698="",0,J698*INDEX(Products!$H$5:$H$204,K698)))</f>
        <v/>
      </c>
      <c r="P698" s="11">
        <f>IF(A698="","",J698-M698-N698-O698)</f>
        <v/>
      </c>
    </row>
    <row r="699">
      <c r="A699">
        <f>IFERROR(INDEX('Shopify Import'!$A:$CZ,699,Settings!$E$20)&amp;"","")</f>
        <v/>
      </c>
      <c r="B699">
        <f>IFERROR(INDEX('Shopify Import'!$A:$CZ,699,Settings!$E$21)&amp;"","")</f>
        <v/>
      </c>
      <c r="C699">
        <f>IFERROR(INDEX('Shopify Import'!$A:$CZ,699,Settings!$E$22)&amp;"","")</f>
        <v/>
      </c>
      <c r="D699">
        <f>IF(A699="","",IFERROR(VALUE(SUBSTITUTE(SUBSTITUTE(INDEX('Shopify Import'!$A:$CZ,699,Settings!$E$23)&amp;"","$",""),",","")),0))</f>
        <v/>
      </c>
      <c r="E699" s="11">
        <f>IF(A699="","",IFERROR(VALUE(SUBSTITUTE(SUBSTITUTE(INDEX('Shopify Import'!$A:$CZ,699,Settings!$E$24)&amp;"","$",""),",","")),0))</f>
        <v/>
      </c>
      <c r="F699" s="11">
        <f>IF(A699="","",D699*E699)</f>
        <v/>
      </c>
      <c r="G699">
        <f>IF(A699="","",IF(C699="",1,COUNTIF($C$2:$C$1501,C699)))</f>
        <v/>
      </c>
      <c r="H699" s="11">
        <f>IF(A699="","",IFERROR(VALUE(SUBSTITUTE(SUBSTITUTE(INDEX('Shopify Import'!$A:$CZ,699,Settings!$E$25)&amp;"","$",""),",","")),0)/IF(Settings!$D$27="Yes",G699,1))</f>
        <v/>
      </c>
      <c r="I699" s="11">
        <f>IF(A699="","",IFERROR(VALUE(SUBSTITUTE(SUBSTITUTE(INDEX('Shopify Import'!$A:$CZ,699,Settings!$E$26)&amp;"","$",""),",","")),0)/IF(Settings!$D$27="Yes",G699,1))</f>
        <v/>
      </c>
      <c r="J699" s="11">
        <f>IF(A699="","",F699+H699-I699)</f>
        <v/>
      </c>
      <c r="K699">
        <f>IF(A699="","",IFERROR(IF(B699="",NA(),MATCH(B699,Products!$B$5:$B$204,0)),IFERROR(MATCH(A699,Products!$A$5:$A$204,0),"")))</f>
        <v/>
      </c>
      <c r="L699">
        <f>IF(A699="","",IF(K699="","⚠ not in Products",INDEX(Products!$A$5:$A$204,K699)))</f>
        <v/>
      </c>
      <c r="M699" s="11">
        <f>IF(A699="","",J699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699+IFERROR(INDEX(Settings!$D$5:$D$9,MATCH("Shopify",Settings!$A$5:$A$9,0)),0)*D699)</f>
        <v/>
      </c>
      <c r="N699" s="11">
        <f>IF(A699="","",IF(K699="",0,D699*INDEX(Products!$I$5:$I$204,K699)))</f>
        <v/>
      </c>
      <c r="O699" s="11">
        <f>IF(A699="","",IF(K699="",0,J699*INDEX(Products!$H$5:$H$204,K699)))</f>
        <v/>
      </c>
      <c r="P699" s="11">
        <f>IF(A699="","",J699-M699-N699-O699)</f>
        <v/>
      </c>
    </row>
    <row r="700">
      <c r="A700">
        <f>IFERROR(INDEX('Shopify Import'!$A:$CZ,700,Settings!$E$20)&amp;"","")</f>
        <v/>
      </c>
      <c r="B700">
        <f>IFERROR(INDEX('Shopify Import'!$A:$CZ,700,Settings!$E$21)&amp;"","")</f>
        <v/>
      </c>
      <c r="C700">
        <f>IFERROR(INDEX('Shopify Import'!$A:$CZ,700,Settings!$E$22)&amp;"","")</f>
        <v/>
      </c>
      <c r="D700">
        <f>IF(A700="","",IFERROR(VALUE(SUBSTITUTE(SUBSTITUTE(INDEX('Shopify Import'!$A:$CZ,700,Settings!$E$23)&amp;"","$",""),",","")),0))</f>
        <v/>
      </c>
      <c r="E700" s="11">
        <f>IF(A700="","",IFERROR(VALUE(SUBSTITUTE(SUBSTITUTE(INDEX('Shopify Import'!$A:$CZ,700,Settings!$E$24)&amp;"","$",""),",","")),0))</f>
        <v/>
      </c>
      <c r="F700" s="11">
        <f>IF(A700="","",D700*E700)</f>
        <v/>
      </c>
      <c r="G700">
        <f>IF(A700="","",IF(C700="",1,COUNTIF($C$2:$C$1501,C700)))</f>
        <v/>
      </c>
      <c r="H700" s="11">
        <f>IF(A700="","",IFERROR(VALUE(SUBSTITUTE(SUBSTITUTE(INDEX('Shopify Import'!$A:$CZ,700,Settings!$E$25)&amp;"","$",""),",","")),0)/IF(Settings!$D$27="Yes",G700,1))</f>
        <v/>
      </c>
      <c r="I700" s="11">
        <f>IF(A700="","",IFERROR(VALUE(SUBSTITUTE(SUBSTITUTE(INDEX('Shopify Import'!$A:$CZ,700,Settings!$E$26)&amp;"","$",""),",","")),0)/IF(Settings!$D$27="Yes",G700,1))</f>
        <v/>
      </c>
      <c r="J700" s="11">
        <f>IF(A700="","",F700+H700-I700)</f>
        <v/>
      </c>
      <c r="K700">
        <f>IF(A700="","",IFERROR(IF(B700="",NA(),MATCH(B700,Products!$B$5:$B$204,0)),IFERROR(MATCH(A700,Products!$A$5:$A$204,0),"")))</f>
        <v/>
      </c>
      <c r="L700">
        <f>IF(A700="","",IF(K700="","⚠ not in Products",INDEX(Products!$A$5:$A$204,K700)))</f>
        <v/>
      </c>
      <c r="M700" s="11">
        <f>IF(A700="","",J700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700+IFERROR(INDEX(Settings!$D$5:$D$9,MATCH("Shopify",Settings!$A$5:$A$9,0)),0)*D700)</f>
        <v/>
      </c>
      <c r="N700" s="11">
        <f>IF(A700="","",IF(K700="",0,D700*INDEX(Products!$I$5:$I$204,K700)))</f>
        <v/>
      </c>
      <c r="O700" s="11">
        <f>IF(A700="","",IF(K700="",0,J700*INDEX(Products!$H$5:$H$204,K700)))</f>
        <v/>
      </c>
      <c r="P700" s="11">
        <f>IF(A700="","",J700-M700-N700-O700)</f>
        <v/>
      </c>
    </row>
    <row r="701">
      <c r="A701">
        <f>IFERROR(INDEX('Shopify Import'!$A:$CZ,701,Settings!$E$20)&amp;"","")</f>
        <v/>
      </c>
      <c r="B701">
        <f>IFERROR(INDEX('Shopify Import'!$A:$CZ,701,Settings!$E$21)&amp;"","")</f>
        <v/>
      </c>
      <c r="C701">
        <f>IFERROR(INDEX('Shopify Import'!$A:$CZ,701,Settings!$E$22)&amp;"","")</f>
        <v/>
      </c>
      <c r="D701">
        <f>IF(A701="","",IFERROR(VALUE(SUBSTITUTE(SUBSTITUTE(INDEX('Shopify Import'!$A:$CZ,701,Settings!$E$23)&amp;"","$",""),",","")),0))</f>
        <v/>
      </c>
      <c r="E701" s="11">
        <f>IF(A701="","",IFERROR(VALUE(SUBSTITUTE(SUBSTITUTE(INDEX('Shopify Import'!$A:$CZ,701,Settings!$E$24)&amp;"","$",""),",","")),0))</f>
        <v/>
      </c>
      <c r="F701" s="11">
        <f>IF(A701="","",D701*E701)</f>
        <v/>
      </c>
      <c r="G701">
        <f>IF(A701="","",IF(C701="",1,COUNTIF($C$2:$C$1501,C701)))</f>
        <v/>
      </c>
      <c r="H701" s="11">
        <f>IF(A701="","",IFERROR(VALUE(SUBSTITUTE(SUBSTITUTE(INDEX('Shopify Import'!$A:$CZ,701,Settings!$E$25)&amp;"","$",""),",","")),0)/IF(Settings!$D$27="Yes",G701,1))</f>
        <v/>
      </c>
      <c r="I701" s="11">
        <f>IF(A701="","",IFERROR(VALUE(SUBSTITUTE(SUBSTITUTE(INDEX('Shopify Import'!$A:$CZ,701,Settings!$E$26)&amp;"","$",""),",","")),0)/IF(Settings!$D$27="Yes",G701,1))</f>
        <v/>
      </c>
      <c r="J701" s="11">
        <f>IF(A701="","",F701+H701-I701)</f>
        <v/>
      </c>
      <c r="K701">
        <f>IF(A701="","",IFERROR(IF(B701="",NA(),MATCH(B701,Products!$B$5:$B$204,0)),IFERROR(MATCH(A701,Products!$A$5:$A$204,0),"")))</f>
        <v/>
      </c>
      <c r="L701">
        <f>IF(A701="","",IF(K701="","⚠ not in Products",INDEX(Products!$A$5:$A$204,K701)))</f>
        <v/>
      </c>
      <c r="M701" s="11">
        <f>IF(A701="","",J701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701+IFERROR(INDEX(Settings!$D$5:$D$9,MATCH("Shopify",Settings!$A$5:$A$9,0)),0)*D701)</f>
        <v/>
      </c>
      <c r="N701" s="11">
        <f>IF(A701="","",IF(K701="",0,D701*INDEX(Products!$I$5:$I$204,K701)))</f>
        <v/>
      </c>
      <c r="O701" s="11">
        <f>IF(A701="","",IF(K701="",0,J701*INDEX(Products!$H$5:$H$204,K701)))</f>
        <v/>
      </c>
      <c r="P701" s="11">
        <f>IF(A701="","",J701-M701-N701-O701)</f>
        <v/>
      </c>
    </row>
    <row r="702">
      <c r="A702">
        <f>IFERROR(INDEX('Shopify Import'!$A:$CZ,702,Settings!$E$20)&amp;"","")</f>
        <v/>
      </c>
      <c r="B702">
        <f>IFERROR(INDEX('Shopify Import'!$A:$CZ,702,Settings!$E$21)&amp;"","")</f>
        <v/>
      </c>
      <c r="C702">
        <f>IFERROR(INDEX('Shopify Import'!$A:$CZ,702,Settings!$E$22)&amp;"","")</f>
        <v/>
      </c>
      <c r="D702">
        <f>IF(A702="","",IFERROR(VALUE(SUBSTITUTE(SUBSTITUTE(INDEX('Shopify Import'!$A:$CZ,702,Settings!$E$23)&amp;"","$",""),",","")),0))</f>
        <v/>
      </c>
      <c r="E702" s="11">
        <f>IF(A702="","",IFERROR(VALUE(SUBSTITUTE(SUBSTITUTE(INDEX('Shopify Import'!$A:$CZ,702,Settings!$E$24)&amp;"","$",""),",","")),0))</f>
        <v/>
      </c>
      <c r="F702" s="11">
        <f>IF(A702="","",D702*E702)</f>
        <v/>
      </c>
      <c r="G702">
        <f>IF(A702="","",IF(C702="",1,COUNTIF($C$2:$C$1501,C702)))</f>
        <v/>
      </c>
      <c r="H702" s="11">
        <f>IF(A702="","",IFERROR(VALUE(SUBSTITUTE(SUBSTITUTE(INDEX('Shopify Import'!$A:$CZ,702,Settings!$E$25)&amp;"","$",""),",","")),0)/IF(Settings!$D$27="Yes",G702,1))</f>
        <v/>
      </c>
      <c r="I702" s="11">
        <f>IF(A702="","",IFERROR(VALUE(SUBSTITUTE(SUBSTITUTE(INDEX('Shopify Import'!$A:$CZ,702,Settings!$E$26)&amp;"","$",""),",","")),0)/IF(Settings!$D$27="Yes",G702,1))</f>
        <v/>
      </c>
      <c r="J702" s="11">
        <f>IF(A702="","",F702+H702-I702)</f>
        <v/>
      </c>
      <c r="K702">
        <f>IF(A702="","",IFERROR(IF(B702="",NA(),MATCH(B702,Products!$B$5:$B$204,0)),IFERROR(MATCH(A702,Products!$A$5:$A$204,0),"")))</f>
        <v/>
      </c>
      <c r="L702">
        <f>IF(A702="","",IF(K702="","⚠ not in Products",INDEX(Products!$A$5:$A$204,K702)))</f>
        <v/>
      </c>
      <c r="M702" s="11">
        <f>IF(A702="","",J702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702+IFERROR(INDEX(Settings!$D$5:$D$9,MATCH("Shopify",Settings!$A$5:$A$9,0)),0)*D702)</f>
        <v/>
      </c>
      <c r="N702" s="11">
        <f>IF(A702="","",IF(K702="",0,D702*INDEX(Products!$I$5:$I$204,K702)))</f>
        <v/>
      </c>
      <c r="O702" s="11">
        <f>IF(A702="","",IF(K702="",0,J702*INDEX(Products!$H$5:$H$204,K702)))</f>
        <v/>
      </c>
      <c r="P702" s="11">
        <f>IF(A702="","",J702-M702-N702-O702)</f>
        <v/>
      </c>
    </row>
    <row r="703">
      <c r="A703">
        <f>IFERROR(INDEX('Shopify Import'!$A:$CZ,703,Settings!$E$20)&amp;"","")</f>
        <v/>
      </c>
      <c r="B703">
        <f>IFERROR(INDEX('Shopify Import'!$A:$CZ,703,Settings!$E$21)&amp;"","")</f>
        <v/>
      </c>
      <c r="C703">
        <f>IFERROR(INDEX('Shopify Import'!$A:$CZ,703,Settings!$E$22)&amp;"","")</f>
        <v/>
      </c>
      <c r="D703">
        <f>IF(A703="","",IFERROR(VALUE(SUBSTITUTE(SUBSTITUTE(INDEX('Shopify Import'!$A:$CZ,703,Settings!$E$23)&amp;"","$",""),",","")),0))</f>
        <v/>
      </c>
      <c r="E703" s="11">
        <f>IF(A703="","",IFERROR(VALUE(SUBSTITUTE(SUBSTITUTE(INDEX('Shopify Import'!$A:$CZ,703,Settings!$E$24)&amp;"","$",""),",","")),0))</f>
        <v/>
      </c>
      <c r="F703" s="11">
        <f>IF(A703="","",D703*E703)</f>
        <v/>
      </c>
      <c r="G703">
        <f>IF(A703="","",IF(C703="",1,COUNTIF($C$2:$C$1501,C703)))</f>
        <v/>
      </c>
      <c r="H703" s="11">
        <f>IF(A703="","",IFERROR(VALUE(SUBSTITUTE(SUBSTITUTE(INDEX('Shopify Import'!$A:$CZ,703,Settings!$E$25)&amp;"","$",""),",","")),0)/IF(Settings!$D$27="Yes",G703,1))</f>
        <v/>
      </c>
      <c r="I703" s="11">
        <f>IF(A703="","",IFERROR(VALUE(SUBSTITUTE(SUBSTITUTE(INDEX('Shopify Import'!$A:$CZ,703,Settings!$E$26)&amp;"","$",""),",","")),0)/IF(Settings!$D$27="Yes",G703,1))</f>
        <v/>
      </c>
      <c r="J703" s="11">
        <f>IF(A703="","",F703+H703-I703)</f>
        <v/>
      </c>
      <c r="K703">
        <f>IF(A703="","",IFERROR(IF(B703="",NA(),MATCH(B703,Products!$B$5:$B$204,0)),IFERROR(MATCH(A703,Products!$A$5:$A$204,0),"")))</f>
        <v/>
      </c>
      <c r="L703">
        <f>IF(A703="","",IF(K703="","⚠ not in Products",INDEX(Products!$A$5:$A$204,K703)))</f>
        <v/>
      </c>
      <c r="M703" s="11">
        <f>IF(A703="","",J703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703+IFERROR(INDEX(Settings!$D$5:$D$9,MATCH("Shopify",Settings!$A$5:$A$9,0)),0)*D703)</f>
        <v/>
      </c>
      <c r="N703" s="11">
        <f>IF(A703="","",IF(K703="",0,D703*INDEX(Products!$I$5:$I$204,K703)))</f>
        <v/>
      </c>
      <c r="O703" s="11">
        <f>IF(A703="","",IF(K703="",0,J703*INDEX(Products!$H$5:$H$204,K703)))</f>
        <v/>
      </c>
      <c r="P703" s="11">
        <f>IF(A703="","",J703-M703-N703-O703)</f>
        <v/>
      </c>
    </row>
    <row r="704">
      <c r="A704">
        <f>IFERROR(INDEX('Shopify Import'!$A:$CZ,704,Settings!$E$20)&amp;"","")</f>
        <v/>
      </c>
      <c r="B704">
        <f>IFERROR(INDEX('Shopify Import'!$A:$CZ,704,Settings!$E$21)&amp;"","")</f>
        <v/>
      </c>
      <c r="C704">
        <f>IFERROR(INDEX('Shopify Import'!$A:$CZ,704,Settings!$E$22)&amp;"","")</f>
        <v/>
      </c>
      <c r="D704">
        <f>IF(A704="","",IFERROR(VALUE(SUBSTITUTE(SUBSTITUTE(INDEX('Shopify Import'!$A:$CZ,704,Settings!$E$23)&amp;"","$",""),",","")),0))</f>
        <v/>
      </c>
      <c r="E704" s="11">
        <f>IF(A704="","",IFERROR(VALUE(SUBSTITUTE(SUBSTITUTE(INDEX('Shopify Import'!$A:$CZ,704,Settings!$E$24)&amp;"","$",""),",","")),0))</f>
        <v/>
      </c>
      <c r="F704" s="11">
        <f>IF(A704="","",D704*E704)</f>
        <v/>
      </c>
      <c r="G704">
        <f>IF(A704="","",IF(C704="",1,COUNTIF($C$2:$C$1501,C704)))</f>
        <v/>
      </c>
      <c r="H704" s="11">
        <f>IF(A704="","",IFERROR(VALUE(SUBSTITUTE(SUBSTITUTE(INDEX('Shopify Import'!$A:$CZ,704,Settings!$E$25)&amp;"","$",""),",","")),0)/IF(Settings!$D$27="Yes",G704,1))</f>
        <v/>
      </c>
      <c r="I704" s="11">
        <f>IF(A704="","",IFERROR(VALUE(SUBSTITUTE(SUBSTITUTE(INDEX('Shopify Import'!$A:$CZ,704,Settings!$E$26)&amp;"","$",""),",","")),0)/IF(Settings!$D$27="Yes",G704,1))</f>
        <v/>
      </c>
      <c r="J704" s="11">
        <f>IF(A704="","",F704+H704-I704)</f>
        <v/>
      </c>
      <c r="K704">
        <f>IF(A704="","",IFERROR(IF(B704="",NA(),MATCH(B704,Products!$B$5:$B$204,0)),IFERROR(MATCH(A704,Products!$A$5:$A$204,0),"")))</f>
        <v/>
      </c>
      <c r="L704">
        <f>IF(A704="","",IF(K704="","⚠ not in Products",INDEX(Products!$A$5:$A$204,K704)))</f>
        <v/>
      </c>
      <c r="M704" s="11">
        <f>IF(A704="","",J704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704+IFERROR(INDEX(Settings!$D$5:$D$9,MATCH("Shopify",Settings!$A$5:$A$9,0)),0)*D704)</f>
        <v/>
      </c>
      <c r="N704" s="11">
        <f>IF(A704="","",IF(K704="",0,D704*INDEX(Products!$I$5:$I$204,K704)))</f>
        <v/>
      </c>
      <c r="O704" s="11">
        <f>IF(A704="","",IF(K704="",0,J704*INDEX(Products!$H$5:$H$204,K704)))</f>
        <v/>
      </c>
      <c r="P704" s="11">
        <f>IF(A704="","",J704-M704-N704-O704)</f>
        <v/>
      </c>
    </row>
    <row r="705">
      <c r="A705">
        <f>IFERROR(INDEX('Shopify Import'!$A:$CZ,705,Settings!$E$20)&amp;"","")</f>
        <v/>
      </c>
      <c r="B705">
        <f>IFERROR(INDEX('Shopify Import'!$A:$CZ,705,Settings!$E$21)&amp;"","")</f>
        <v/>
      </c>
      <c r="C705">
        <f>IFERROR(INDEX('Shopify Import'!$A:$CZ,705,Settings!$E$22)&amp;"","")</f>
        <v/>
      </c>
      <c r="D705">
        <f>IF(A705="","",IFERROR(VALUE(SUBSTITUTE(SUBSTITUTE(INDEX('Shopify Import'!$A:$CZ,705,Settings!$E$23)&amp;"","$",""),",","")),0))</f>
        <v/>
      </c>
      <c r="E705" s="11">
        <f>IF(A705="","",IFERROR(VALUE(SUBSTITUTE(SUBSTITUTE(INDEX('Shopify Import'!$A:$CZ,705,Settings!$E$24)&amp;"","$",""),",","")),0))</f>
        <v/>
      </c>
      <c r="F705" s="11">
        <f>IF(A705="","",D705*E705)</f>
        <v/>
      </c>
      <c r="G705">
        <f>IF(A705="","",IF(C705="",1,COUNTIF($C$2:$C$1501,C705)))</f>
        <v/>
      </c>
      <c r="H705" s="11">
        <f>IF(A705="","",IFERROR(VALUE(SUBSTITUTE(SUBSTITUTE(INDEX('Shopify Import'!$A:$CZ,705,Settings!$E$25)&amp;"","$",""),",","")),0)/IF(Settings!$D$27="Yes",G705,1))</f>
        <v/>
      </c>
      <c r="I705" s="11">
        <f>IF(A705="","",IFERROR(VALUE(SUBSTITUTE(SUBSTITUTE(INDEX('Shopify Import'!$A:$CZ,705,Settings!$E$26)&amp;"","$",""),",","")),0)/IF(Settings!$D$27="Yes",G705,1))</f>
        <v/>
      </c>
      <c r="J705" s="11">
        <f>IF(A705="","",F705+H705-I705)</f>
        <v/>
      </c>
      <c r="K705">
        <f>IF(A705="","",IFERROR(IF(B705="",NA(),MATCH(B705,Products!$B$5:$B$204,0)),IFERROR(MATCH(A705,Products!$A$5:$A$204,0),"")))</f>
        <v/>
      </c>
      <c r="L705">
        <f>IF(A705="","",IF(K705="","⚠ not in Products",INDEX(Products!$A$5:$A$204,K705)))</f>
        <v/>
      </c>
      <c r="M705" s="11">
        <f>IF(A705="","",J705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705+IFERROR(INDEX(Settings!$D$5:$D$9,MATCH("Shopify",Settings!$A$5:$A$9,0)),0)*D705)</f>
        <v/>
      </c>
      <c r="N705" s="11">
        <f>IF(A705="","",IF(K705="",0,D705*INDEX(Products!$I$5:$I$204,K705)))</f>
        <v/>
      </c>
      <c r="O705" s="11">
        <f>IF(A705="","",IF(K705="",0,J705*INDEX(Products!$H$5:$H$204,K705)))</f>
        <v/>
      </c>
      <c r="P705" s="11">
        <f>IF(A705="","",J705-M705-N705-O705)</f>
        <v/>
      </c>
    </row>
    <row r="706">
      <c r="A706">
        <f>IFERROR(INDEX('Shopify Import'!$A:$CZ,706,Settings!$E$20)&amp;"","")</f>
        <v/>
      </c>
      <c r="B706">
        <f>IFERROR(INDEX('Shopify Import'!$A:$CZ,706,Settings!$E$21)&amp;"","")</f>
        <v/>
      </c>
      <c r="C706">
        <f>IFERROR(INDEX('Shopify Import'!$A:$CZ,706,Settings!$E$22)&amp;"","")</f>
        <v/>
      </c>
      <c r="D706">
        <f>IF(A706="","",IFERROR(VALUE(SUBSTITUTE(SUBSTITUTE(INDEX('Shopify Import'!$A:$CZ,706,Settings!$E$23)&amp;"","$",""),",","")),0))</f>
        <v/>
      </c>
      <c r="E706" s="11">
        <f>IF(A706="","",IFERROR(VALUE(SUBSTITUTE(SUBSTITUTE(INDEX('Shopify Import'!$A:$CZ,706,Settings!$E$24)&amp;"","$",""),",","")),0))</f>
        <v/>
      </c>
      <c r="F706" s="11">
        <f>IF(A706="","",D706*E706)</f>
        <v/>
      </c>
      <c r="G706">
        <f>IF(A706="","",IF(C706="",1,COUNTIF($C$2:$C$1501,C706)))</f>
        <v/>
      </c>
      <c r="H706" s="11">
        <f>IF(A706="","",IFERROR(VALUE(SUBSTITUTE(SUBSTITUTE(INDEX('Shopify Import'!$A:$CZ,706,Settings!$E$25)&amp;"","$",""),",","")),0)/IF(Settings!$D$27="Yes",G706,1))</f>
        <v/>
      </c>
      <c r="I706" s="11">
        <f>IF(A706="","",IFERROR(VALUE(SUBSTITUTE(SUBSTITUTE(INDEX('Shopify Import'!$A:$CZ,706,Settings!$E$26)&amp;"","$",""),",","")),0)/IF(Settings!$D$27="Yes",G706,1))</f>
        <v/>
      </c>
      <c r="J706" s="11">
        <f>IF(A706="","",F706+H706-I706)</f>
        <v/>
      </c>
      <c r="K706">
        <f>IF(A706="","",IFERROR(IF(B706="",NA(),MATCH(B706,Products!$B$5:$B$204,0)),IFERROR(MATCH(A706,Products!$A$5:$A$204,0),"")))</f>
        <v/>
      </c>
      <c r="L706">
        <f>IF(A706="","",IF(K706="","⚠ not in Products",INDEX(Products!$A$5:$A$204,K706)))</f>
        <v/>
      </c>
      <c r="M706" s="11">
        <f>IF(A706="","",J706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706+IFERROR(INDEX(Settings!$D$5:$D$9,MATCH("Shopify",Settings!$A$5:$A$9,0)),0)*D706)</f>
        <v/>
      </c>
      <c r="N706" s="11">
        <f>IF(A706="","",IF(K706="",0,D706*INDEX(Products!$I$5:$I$204,K706)))</f>
        <v/>
      </c>
      <c r="O706" s="11">
        <f>IF(A706="","",IF(K706="",0,J706*INDEX(Products!$H$5:$H$204,K706)))</f>
        <v/>
      </c>
      <c r="P706" s="11">
        <f>IF(A706="","",J706-M706-N706-O706)</f>
        <v/>
      </c>
    </row>
    <row r="707">
      <c r="A707">
        <f>IFERROR(INDEX('Shopify Import'!$A:$CZ,707,Settings!$E$20)&amp;"","")</f>
        <v/>
      </c>
      <c r="B707">
        <f>IFERROR(INDEX('Shopify Import'!$A:$CZ,707,Settings!$E$21)&amp;"","")</f>
        <v/>
      </c>
      <c r="C707">
        <f>IFERROR(INDEX('Shopify Import'!$A:$CZ,707,Settings!$E$22)&amp;"","")</f>
        <v/>
      </c>
      <c r="D707">
        <f>IF(A707="","",IFERROR(VALUE(SUBSTITUTE(SUBSTITUTE(INDEX('Shopify Import'!$A:$CZ,707,Settings!$E$23)&amp;"","$",""),",","")),0))</f>
        <v/>
      </c>
      <c r="E707" s="11">
        <f>IF(A707="","",IFERROR(VALUE(SUBSTITUTE(SUBSTITUTE(INDEX('Shopify Import'!$A:$CZ,707,Settings!$E$24)&amp;"","$",""),",","")),0))</f>
        <v/>
      </c>
      <c r="F707" s="11">
        <f>IF(A707="","",D707*E707)</f>
        <v/>
      </c>
      <c r="G707">
        <f>IF(A707="","",IF(C707="",1,COUNTIF($C$2:$C$1501,C707)))</f>
        <v/>
      </c>
      <c r="H707" s="11">
        <f>IF(A707="","",IFERROR(VALUE(SUBSTITUTE(SUBSTITUTE(INDEX('Shopify Import'!$A:$CZ,707,Settings!$E$25)&amp;"","$",""),",","")),0)/IF(Settings!$D$27="Yes",G707,1))</f>
        <v/>
      </c>
      <c r="I707" s="11">
        <f>IF(A707="","",IFERROR(VALUE(SUBSTITUTE(SUBSTITUTE(INDEX('Shopify Import'!$A:$CZ,707,Settings!$E$26)&amp;"","$",""),",","")),0)/IF(Settings!$D$27="Yes",G707,1))</f>
        <v/>
      </c>
      <c r="J707" s="11">
        <f>IF(A707="","",F707+H707-I707)</f>
        <v/>
      </c>
      <c r="K707">
        <f>IF(A707="","",IFERROR(IF(B707="",NA(),MATCH(B707,Products!$B$5:$B$204,0)),IFERROR(MATCH(A707,Products!$A$5:$A$204,0),"")))</f>
        <v/>
      </c>
      <c r="L707">
        <f>IF(A707="","",IF(K707="","⚠ not in Products",INDEX(Products!$A$5:$A$204,K707)))</f>
        <v/>
      </c>
      <c r="M707" s="11">
        <f>IF(A707="","",J707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707+IFERROR(INDEX(Settings!$D$5:$D$9,MATCH("Shopify",Settings!$A$5:$A$9,0)),0)*D707)</f>
        <v/>
      </c>
      <c r="N707" s="11">
        <f>IF(A707="","",IF(K707="",0,D707*INDEX(Products!$I$5:$I$204,K707)))</f>
        <v/>
      </c>
      <c r="O707" s="11">
        <f>IF(A707="","",IF(K707="",0,J707*INDEX(Products!$H$5:$H$204,K707)))</f>
        <v/>
      </c>
      <c r="P707" s="11">
        <f>IF(A707="","",J707-M707-N707-O707)</f>
        <v/>
      </c>
    </row>
    <row r="708">
      <c r="A708">
        <f>IFERROR(INDEX('Shopify Import'!$A:$CZ,708,Settings!$E$20)&amp;"","")</f>
        <v/>
      </c>
      <c r="B708">
        <f>IFERROR(INDEX('Shopify Import'!$A:$CZ,708,Settings!$E$21)&amp;"","")</f>
        <v/>
      </c>
      <c r="C708">
        <f>IFERROR(INDEX('Shopify Import'!$A:$CZ,708,Settings!$E$22)&amp;"","")</f>
        <v/>
      </c>
      <c r="D708">
        <f>IF(A708="","",IFERROR(VALUE(SUBSTITUTE(SUBSTITUTE(INDEX('Shopify Import'!$A:$CZ,708,Settings!$E$23)&amp;"","$",""),",","")),0))</f>
        <v/>
      </c>
      <c r="E708" s="11">
        <f>IF(A708="","",IFERROR(VALUE(SUBSTITUTE(SUBSTITUTE(INDEX('Shopify Import'!$A:$CZ,708,Settings!$E$24)&amp;"","$",""),",","")),0))</f>
        <v/>
      </c>
      <c r="F708" s="11">
        <f>IF(A708="","",D708*E708)</f>
        <v/>
      </c>
      <c r="G708">
        <f>IF(A708="","",IF(C708="",1,COUNTIF($C$2:$C$1501,C708)))</f>
        <v/>
      </c>
      <c r="H708" s="11">
        <f>IF(A708="","",IFERROR(VALUE(SUBSTITUTE(SUBSTITUTE(INDEX('Shopify Import'!$A:$CZ,708,Settings!$E$25)&amp;"","$",""),",","")),0)/IF(Settings!$D$27="Yes",G708,1))</f>
        <v/>
      </c>
      <c r="I708" s="11">
        <f>IF(A708="","",IFERROR(VALUE(SUBSTITUTE(SUBSTITUTE(INDEX('Shopify Import'!$A:$CZ,708,Settings!$E$26)&amp;"","$",""),",","")),0)/IF(Settings!$D$27="Yes",G708,1))</f>
        <v/>
      </c>
      <c r="J708" s="11">
        <f>IF(A708="","",F708+H708-I708)</f>
        <v/>
      </c>
      <c r="K708">
        <f>IF(A708="","",IFERROR(IF(B708="",NA(),MATCH(B708,Products!$B$5:$B$204,0)),IFERROR(MATCH(A708,Products!$A$5:$A$204,0),"")))</f>
        <v/>
      </c>
      <c r="L708">
        <f>IF(A708="","",IF(K708="","⚠ not in Products",INDEX(Products!$A$5:$A$204,K708)))</f>
        <v/>
      </c>
      <c r="M708" s="11">
        <f>IF(A708="","",J708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708+IFERROR(INDEX(Settings!$D$5:$D$9,MATCH("Shopify",Settings!$A$5:$A$9,0)),0)*D708)</f>
        <v/>
      </c>
      <c r="N708" s="11">
        <f>IF(A708="","",IF(K708="",0,D708*INDEX(Products!$I$5:$I$204,K708)))</f>
        <v/>
      </c>
      <c r="O708" s="11">
        <f>IF(A708="","",IF(K708="",0,J708*INDEX(Products!$H$5:$H$204,K708)))</f>
        <v/>
      </c>
      <c r="P708" s="11">
        <f>IF(A708="","",J708-M708-N708-O708)</f>
        <v/>
      </c>
    </row>
    <row r="709">
      <c r="A709">
        <f>IFERROR(INDEX('Shopify Import'!$A:$CZ,709,Settings!$E$20)&amp;"","")</f>
        <v/>
      </c>
      <c r="B709">
        <f>IFERROR(INDEX('Shopify Import'!$A:$CZ,709,Settings!$E$21)&amp;"","")</f>
        <v/>
      </c>
      <c r="C709">
        <f>IFERROR(INDEX('Shopify Import'!$A:$CZ,709,Settings!$E$22)&amp;"","")</f>
        <v/>
      </c>
      <c r="D709">
        <f>IF(A709="","",IFERROR(VALUE(SUBSTITUTE(SUBSTITUTE(INDEX('Shopify Import'!$A:$CZ,709,Settings!$E$23)&amp;"","$",""),",","")),0))</f>
        <v/>
      </c>
      <c r="E709" s="11">
        <f>IF(A709="","",IFERROR(VALUE(SUBSTITUTE(SUBSTITUTE(INDEX('Shopify Import'!$A:$CZ,709,Settings!$E$24)&amp;"","$",""),",","")),0))</f>
        <v/>
      </c>
      <c r="F709" s="11">
        <f>IF(A709="","",D709*E709)</f>
        <v/>
      </c>
      <c r="G709">
        <f>IF(A709="","",IF(C709="",1,COUNTIF($C$2:$C$1501,C709)))</f>
        <v/>
      </c>
      <c r="H709" s="11">
        <f>IF(A709="","",IFERROR(VALUE(SUBSTITUTE(SUBSTITUTE(INDEX('Shopify Import'!$A:$CZ,709,Settings!$E$25)&amp;"","$",""),",","")),0)/IF(Settings!$D$27="Yes",G709,1))</f>
        <v/>
      </c>
      <c r="I709" s="11">
        <f>IF(A709="","",IFERROR(VALUE(SUBSTITUTE(SUBSTITUTE(INDEX('Shopify Import'!$A:$CZ,709,Settings!$E$26)&amp;"","$",""),",","")),0)/IF(Settings!$D$27="Yes",G709,1))</f>
        <v/>
      </c>
      <c r="J709" s="11">
        <f>IF(A709="","",F709+H709-I709)</f>
        <v/>
      </c>
      <c r="K709">
        <f>IF(A709="","",IFERROR(IF(B709="",NA(),MATCH(B709,Products!$B$5:$B$204,0)),IFERROR(MATCH(A709,Products!$A$5:$A$204,0),"")))</f>
        <v/>
      </c>
      <c r="L709">
        <f>IF(A709="","",IF(K709="","⚠ not in Products",INDEX(Products!$A$5:$A$204,K709)))</f>
        <v/>
      </c>
      <c r="M709" s="11">
        <f>IF(A709="","",J709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709+IFERROR(INDEX(Settings!$D$5:$D$9,MATCH("Shopify",Settings!$A$5:$A$9,0)),0)*D709)</f>
        <v/>
      </c>
      <c r="N709" s="11">
        <f>IF(A709="","",IF(K709="",0,D709*INDEX(Products!$I$5:$I$204,K709)))</f>
        <v/>
      </c>
      <c r="O709" s="11">
        <f>IF(A709="","",IF(K709="",0,J709*INDEX(Products!$H$5:$H$204,K709)))</f>
        <v/>
      </c>
      <c r="P709" s="11">
        <f>IF(A709="","",J709-M709-N709-O709)</f>
        <v/>
      </c>
    </row>
    <row r="710">
      <c r="A710">
        <f>IFERROR(INDEX('Shopify Import'!$A:$CZ,710,Settings!$E$20)&amp;"","")</f>
        <v/>
      </c>
      <c r="B710">
        <f>IFERROR(INDEX('Shopify Import'!$A:$CZ,710,Settings!$E$21)&amp;"","")</f>
        <v/>
      </c>
      <c r="C710">
        <f>IFERROR(INDEX('Shopify Import'!$A:$CZ,710,Settings!$E$22)&amp;"","")</f>
        <v/>
      </c>
      <c r="D710">
        <f>IF(A710="","",IFERROR(VALUE(SUBSTITUTE(SUBSTITUTE(INDEX('Shopify Import'!$A:$CZ,710,Settings!$E$23)&amp;"","$",""),",","")),0))</f>
        <v/>
      </c>
      <c r="E710" s="11">
        <f>IF(A710="","",IFERROR(VALUE(SUBSTITUTE(SUBSTITUTE(INDEX('Shopify Import'!$A:$CZ,710,Settings!$E$24)&amp;"","$",""),",","")),0))</f>
        <v/>
      </c>
      <c r="F710" s="11">
        <f>IF(A710="","",D710*E710)</f>
        <v/>
      </c>
      <c r="G710">
        <f>IF(A710="","",IF(C710="",1,COUNTIF($C$2:$C$1501,C710)))</f>
        <v/>
      </c>
      <c r="H710" s="11">
        <f>IF(A710="","",IFERROR(VALUE(SUBSTITUTE(SUBSTITUTE(INDEX('Shopify Import'!$A:$CZ,710,Settings!$E$25)&amp;"","$",""),",","")),0)/IF(Settings!$D$27="Yes",G710,1))</f>
        <v/>
      </c>
      <c r="I710" s="11">
        <f>IF(A710="","",IFERROR(VALUE(SUBSTITUTE(SUBSTITUTE(INDEX('Shopify Import'!$A:$CZ,710,Settings!$E$26)&amp;"","$",""),",","")),0)/IF(Settings!$D$27="Yes",G710,1))</f>
        <v/>
      </c>
      <c r="J710" s="11">
        <f>IF(A710="","",F710+H710-I710)</f>
        <v/>
      </c>
      <c r="K710">
        <f>IF(A710="","",IFERROR(IF(B710="",NA(),MATCH(B710,Products!$B$5:$B$204,0)),IFERROR(MATCH(A710,Products!$A$5:$A$204,0),"")))</f>
        <v/>
      </c>
      <c r="L710">
        <f>IF(A710="","",IF(K710="","⚠ not in Products",INDEX(Products!$A$5:$A$204,K710)))</f>
        <v/>
      </c>
      <c r="M710" s="11">
        <f>IF(A710="","",J710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710+IFERROR(INDEX(Settings!$D$5:$D$9,MATCH("Shopify",Settings!$A$5:$A$9,0)),0)*D710)</f>
        <v/>
      </c>
      <c r="N710" s="11">
        <f>IF(A710="","",IF(K710="",0,D710*INDEX(Products!$I$5:$I$204,K710)))</f>
        <v/>
      </c>
      <c r="O710" s="11">
        <f>IF(A710="","",IF(K710="",0,J710*INDEX(Products!$H$5:$H$204,K710)))</f>
        <v/>
      </c>
      <c r="P710" s="11">
        <f>IF(A710="","",J710-M710-N710-O710)</f>
        <v/>
      </c>
    </row>
    <row r="711">
      <c r="A711">
        <f>IFERROR(INDEX('Shopify Import'!$A:$CZ,711,Settings!$E$20)&amp;"","")</f>
        <v/>
      </c>
      <c r="B711">
        <f>IFERROR(INDEX('Shopify Import'!$A:$CZ,711,Settings!$E$21)&amp;"","")</f>
        <v/>
      </c>
      <c r="C711">
        <f>IFERROR(INDEX('Shopify Import'!$A:$CZ,711,Settings!$E$22)&amp;"","")</f>
        <v/>
      </c>
      <c r="D711">
        <f>IF(A711="","",IFERROR(VALUE(SUBSTITUTE(SUBSTITUTE(INDEX('Shopify Import'!$A:$CZ,711,Settings!$E$23)&amp;"","$",""),",","")),0))</f>
        <v/>
      </c>
      <c r="E711" s="11">
        <f>IF(A711="","",IFERROR(VALUE(SUBSTITUTE(SUBSTITUTE(INDEX('Shopify Import'!$A:$CZ,711,Settings!$E$24)&amp;"","$",""),",","")),0))</f>
        <v/>
      </c>
      <c r="F711" s="11">
        <f>IF(A711="","",D711*E711)</f>
        <v/>
      </c>
      <c r="G711">
        <f>IF(A711="","",IF(C711="",1,COUNTIF($C$2:$C$1501,C711)))</f>
        <v/>
      </c>
      <c r="H711" s="11">
        <f>IF(A711="","",IFERROR(VALUE(SUBSTITUTE(SUBSTITUTE(INDEX('Shopify Import'!$A:$CZ,711,Settings!$E$25)&amp;"","$",""),",","")),0)/IF(Settings!$D$27="Yes",G711,1))</f>
        <v/>
      </c>
      <c r="I711" s="11">
        <f>IF(A711="","",IFERROR(VALUE(SUBSTITUTE(SUBSTITUTE(INDEX('Shopify Import'!$A:$CZ,711,Settings!$E$26)&amp;"","$",""),",","")),0)/IF(Settings!$D$27="Yes",G711,1))</f>
        <v/>
      </c>
      <c r="J711" s="11">
        <f>IF(A711="","",F711+H711-I711)</f>
        <v/>
      </c>
      <c r="K711">
        <f>IF(A711="","",IFERROR(IF(B711="",NA(),MATCH(B711,Products!$B$5:$B$204,0)),IFERROR(MATCH(A711,Products!$A$5:$A$204,0),"")))</f>
        <v/>
      </c>
      <c r="L711">
        <f>IF(A711="","",IF(K711="","⚠ not in Products",INDEX(Products!$A$5:$A$204,K711)))</f>
        <v/>
      </c>
      <c r="M711" s="11">
        <f>IF(A711="","",J711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711+IFERROR(INDEX(Settings!$D$5:$D$9,MATCH("Shopify",Settings!$A$5:$A$9,0)),0)*D711)</f>
        <v/>
      </c>
      <c r="N711" s="11">
        <f>IF(A711="","",IF(K711="",0,D711*INDEX(Products!$I$5:$I$204,K711)))</f>
        <v/>
      </c>
      <c r="O711" s="11">
        <f>IF(A711="","",IF(K711="",0,J711*INDEX(Products!$H$5:$H$204,K711)))</f>
        <v/>
      </c>
      <c r="P711" s="11">
        <f>IF(A711="","",J711-M711-N711-O711)</f>
        <v/>
      </c>
    </row>
    <row r="712">
      <c r="A712">
        <f>IFERROR(INDEX('Shopify Import'!$A:$CZ,712,Settings!$E$20)&amp;"","")</f>
        <v/>
      </c>
      <c r="B712">
        <f>IFERROR(INDEX('Shopify Import'!$A:$CZ,712,Settings!$E$21)&amp;"","")</f>
        <v/>
      </c>
      <c r="C712">
        <f>IFERROR(INDEX('Shopify Import'!$A:$CZ,712,Settings!$E$22)&amp;"","")</f>
        <v/>
      </c>
      <c r="D712">
        <f>IF(A712="","",IFERROR(VALUE(SUBSTITUTE(SUBSTITUTE(INDEX('Shopify Import'!$A:$CZ,712,Settings!$E$23)&amp;"","$",""),",","")),0))</f>
        <v/>
      </c>
      <c r="E712" s="11">
        <f>IF(A712="","",IFERROR(VALUE(SUBSTITUTE(SUBSTITUTE(INDEX('Shopify Import'!$A:$CZ,712,Settings!$E$24)&amp;"","$",""),",","")),0))</f>
        <v/>
      </c>
      <c r="F712" s="11">
        <f>IF(A712="","",D712*E712)</f>
        <v/>
      </c>
      <c r="G712">
        <f>IF(A712="","",IF(C712="",1,COUNTIF($C$2:$C$1501,C712)))</f>
        <v/>
      </c>
      <c r="H712" s="11">
        <f>IF(A712="","",IFERROR(VALUE(SUBSTITUTE(SUBSTITUTE(INDEX('Shopify Import'!$A:$CZ,712,Settings!$E$25)&amp;"","$",""),",","")),0)/IF(Settings!$D$27="Yes",G712,1))</f>
        <v/>
      </c>
      <c r="I712" s="11">
        <f>IF(A712="","",IFERROR(VALUE(SUBSTITUTE(SUBSTITUTE(INDEX('Shopify Import'!$A:$CZ,712,Settings!$E$26)&amp;"","$",""),",","")),0)/IF(Settings!$D$27="Yes",G712,1))</f>
        <v/>
      </c>
      <c r="J712" s="11">
        <f>IF(A712="","",F712+H712-I712)</f>
        <v/>
      </c>
      <c r="K712">
        <f>IF(A712="","",IFERROR(IF(B712="",NA(),MATCH(B712,Products!$B$5:$B$204,0)),IFERROR(MATCH(A712,Products!$A$5:$A$204,0),"")))</f>
        <v/>
      </c>
      <c r="L712">
        <f>IF(A712="","",IF(K712="","⚠ not in Products",INDEX(Products!$A$5:$A$204,K712)))</f>
        <v/>
      </c>
      <c r="M712" s="11">
        <f>IF(A712="","",J712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712+IFERROR(INDEX(Settings!$D$5:$D$9,MATCH("Shopify",Settings!$A$5:$A$9,0)),0)*D712)</f>
        <v/>
      </c>
      <c r="N712" s="11">
        <f>IF(A712="","",IF(K712="",0,D712*INDEX(Products!$I$5:$I$204,K712)))</f>
        <v/>
      </c>
      <c r="O712" s="11">
        <f>IF(A712="","",IF(K712="",0,J712*INDEX(Products!$H$5:$H$204,K712)))</f>
        <v/>
      </c>
      <c r="P712" s="11">
        <f>IF(A712="","",J712-M712-N712-O712)</f>
        <v/>
      </c>
    </row>
    <row r="713">
      <c r="A713">
        <f>IFERROR(INDEX('Shopify Import'!$A:$CZ,713,Settings!$E$20)&amp;"","")</f>
        <v/>
      </c>
      <c r="B713">
        <f>IFERROR(INDEX('Shopify Import'!$A:$CZ,713,Settings!$E$21)&amp;"","")</f>
        <v/>
      </c>
      <c r="C713">
        <f>IFERROR(INDEX('Shopify Import'!$A:$CZ,713,Settings!$E$22)&amp;"","")</f>
        <v/>
      </c>
      <c r="D713">
        <f>IF(A713="","",IFERROR(VALUE(SUBSTITUTE(SUBSTITUTE(INDEX('Shopify Import'!$A:$CZ,713,Settings!$E$23)&amp;"","$",""),",","")),0))</f>
        <v/>
      </c>
      <c r="E713" s="11">
        <f>IF(A713="","",IFERROR(VALUE(SUBSTITUTE(SUBSTITUTE(INDEX('Shopify Import'!$A:$CZ,713,Settings!$E$24)&amp;"","$",""),",","")),0))</f>
        <v/>
      </c>
      <c r="F713" s="11">
        <f>IF(A713="","",D713*E713)</f>
        <v/>
      </c>
      <c r="G713">
        <f>IF(A713="","",IF(C713="",1,COUNTIF($C$2:$C$1501,C713)))</f>
        <v/>
      </c>
      <c r="H713" s="11">
        <f>IF(A713="","",IFERROR(VALUE(SUBSTITUTE(SUBSTITUTE(INDEX('Shopify Import'!$A:$CZ,713,Settings!$E$25)&amp;"","$",""),",","")),0)/IF(Settings!$D$27="Yes",G713,1))</f>
        <v/>
      </c>
      <c r="I713" s="11">
        <f>IF(A713="","",IFERROR(VALUE(SUBSTITUTE(SUBSTITUTE(INDEX('Shopify Import'!$A:$CZ,713,Settings!$E$26)&amp;"","$",""),",","")),0)/IF(Settings!$D$27="Yes",G713,1))</f>
        <v/>
      </c>
      <c r="J713" s="11">
        <f>IF(A713="","",F713+H713-I713)</f>
        <v/>
      </c>
      <c r="K713">
        <f>IF(A713="","",IFERROR(IF(B713="",NA(),MATCH(B713,Products!$B$5:$B$204,0)),IFERROR(MATCH(A713,Products!$A$5:$A$204,0),"")))</f>
        <v/>
      </c>
      <c r="L713">
        <f>IF(A713="","",IF(K713="","⚠ not in Products",INDEX(Products!$A$5:$A$204,K713)))</f>
        <v/>
      </c>
      <c r="M713" s="11">
        <f>IF(A713="","",J713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713+IFERROR(INDEX(Settings!$D$5:$D$9,MATCH("Shopify",Settings!$A$5:$A$9,0)),0)*D713)</f>
        <v/>
      </c>
      <c r="N713" s="11">
        <f>IF(A713="","",IF(K713="",0,D713*INDEX(Products!$I$5:$I$204,K713)))</f>
        <v/>
      </c>
      <c r="O713" s="11">
        <f>IF(A713="","",IF(K713="",0,J713*INDEX(Products!$H$5:$H$204,K713)))</f>
        <v/>
      </c>
      <c r="P713" s="11">
        <f>IF(A713="","",J713-M713-N713-O713)</f>
        <v/>
      </c>
    </row>
    <row r="714">
      <c r="A714">
        <f>IFERROR(INDEX('Shopify Import'!$A:$CZ,714,Settings!$E$20)&amp;"","")</f>
        <v/>
      </c>
      <c r="B714">
        <f>IFERROR(INDEX('Shopify Import'!$A:$CZ,714,Settings!$E$21)&amp;"","")</f>
        <v/>
      </c>
      <c r="C714">
        <f>IFERROR(INDEX('Shopify Import'!$A:$CZ,714,Settings!$E$22)&amp;"","")</f>
        <v/>
      </c>
      <c r="D714">
        <f>IF(A714="","",IFERROR(VALUE(SUBSTITUTE(SUBSTITUTE(INDEX('Shopify Import'!$A:$CZ,714,Settings!$E$23)&amp;"","$",""),",","")),0))</f>
        <v/>
      </c>
      <c r="E714" s="11">
        <f>IF(A714="","",IFERROR(VALUE(SUBSTITUTE(SUBSTITUTE(INDEX('Shopify Import'!$A:$CZ,714,Settings!$E$24)&amp;"","$",""),",","")),0))</f>
        <v/>
      </c>
      <c r="F714" s="11">
        <f>IF(A714="","",D714*E714)</f>
        <v/>
      </c>
      <c r="G714">
        <f>IF(A714="","",IF(C714="",1,COUNTIF($C$2:$C$1501,C714)))</f>
        <v/>
      </c>
      <c r="H714" s="11">
        <f>IF(A714="","",IFERROR(VALUE(SUBSTITUTE(SUBSTITUTE(INDEX('Shopify Import'!$A:$CZ,714,Settings!$E$25)&amp;"","$",""),",","")),0)/IF(Settings!$D$27="Yes",G714,1))</f>
        <v/>
      </c>
      <c r="I714" s="11">
        <f>IF(A714="","",IFERROR(VALUE(SUBSTITUTE(SUBSTITUTE(INDEX('Shopify Import'!$A:$CZ,714,Settings!$E$26)&amp;"","$",""),",","")),0)/IF(Settings!$D$27="Yes",G714,1))</f>
        <v/>
      </c>
      <c r="J714" s="11">
        <f>IF(A714="","",F714+H714-I714)</f>
        <v/>
      </c>
      <c r="K714">
        <f>IF(A714="","",IFERROR(IF(B714="",NA(),MATCH(B714,Products!$B$5:$B$204,0)),IFERROR(MATCH(A714,Products!$A$5:$A$204,0),"")))</f>
        <v/>
      </c>
      <c r="L714">
        <f>IF(A714="","",IF(K714="","⚠ not in Products",INDEX(Products!$A$5:$A$204,K714)))</f>
        <v/>
      </c>
      <c r="M714" s="11">
        <f>IF(A714="","",J714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714+IFERROR(INDEX(Settings!$D$5:$D$9,MATCH("Shopify",Settings!$A$5:$A$9,0)),0)*D714)</f>
        <v/>
      </c>
      <c r="N714" s="11">
        <f>IF(A714="","",IF(K714="",0,D714*INDEX(Products!$I$5:$I$204,K714)))</f>
        <v/>
      </c>
      <c r="O714" s="11">
        <f>IF(A714="","",IF(K714="",0,J714*INDEX(Products!$H$5:$H$204,K714)))</f>
        <v/>
      </c>
      <c r="P714" s="11">
        <f>IF(A714="","",J714-M714-N714-O714)</f>
        <v/>
      </c>
    </row>
    <row r="715">
      <c r="A715">
        <f>IFERROR(INDEX('Shopify Import'!$A:$CZ,715,Settings!$E$20)&amp;"","")</f>
        <v/>
      </c>
      <c r="B715">
        <f>IFERROR(INDEX('Shopify Import'!$A:$CZ,715,Settings!$E$21)&amp;"","")</f>
        <v/>
      </c>
      <c r="C715">
        <f>IFERROR(INDEX('Shopify Import'!$A:$CZ,715,Settings!$E$22)&amp;"","")</f>
        <v/>
      </c>
      <c r="D715">
        <f>IF(A715="","",IFERROR(VALUE(SUBSTITUTE(SUBSTITUTE(INDEX('Shopify Import'!$A:$CZ,715,Settings!$E$23)&amp;"","$",""),",","")),0))</f>
        <v/>
      </c>
      <c r="E715" s="11">
        <f>IF(A715="","",IFERROR(VALUE(SUBSTITUTE(SUBSTITUTE(INDEX('Shopify Import'!$A:$CZ,715,Settings!$E$24)&amp;"","$",""),",","")),0))</f>
        <v/>
      </c>
      <c r="F715" s="11">
        <f>IF(A715="","",D715*E715)</f>
        <v/>
      </c>
      <c r="G715">
        <f>IF(A715="","",IF(C715="",1,COUNTIF($C$2:$C$1501,C715)))</f>
        <v/>
      </c>
      <c r="H715" s="11">
        <f>IF(A715="","",IFERROR(VALUE(SUBSTITUTE(SUBSTITUTE(INDEX('Shopify Import'!$A:$CZ,715,Settings!$E$25)&amp;"","$",""),",","")),0)/IF(Settings!$D$27="Yes",G715,1))</f>
        <v/>
      </c>
      <c r="I715" s="11">
        <f>IF(A715="","",IFERROR(VALUE(SUBSTITUTE(SUBSTITUTE(INDEX('Shopify Import'!$A:$CZ,715,Settings!$E$26)&amp;"","$",""),",","")),0)/IF(Settings!$D$27="Yes",G715,1))</f>
        <v/>
      </c>
      <c r="J715" s="11">
        <f>IF(A715="","",F715+H715-I715)</f>
        <v/>
      </c>
      <c r="K715">
        <f>IF(A715="","",IFERROR(IF(B715="",NA(),MATCH(B715,Products!$B$5:$B$204,0)),IFERROR(MATCH(A715,Products!$A$5:$A$204,0),"")))</f>
        <v/>
      </c>
      <c r="L715">
        <f>IF(A715="","",IF(K715="","⚠ not in Products",INDEX(Products!$A$5:$A$204,K715)))</f>
        <v/>
      </c>
      <c r="M715" s="11">
        <f>IF(A715="","",J715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715+IFERROR(INDEX(Settings!$D$5:$D$9,MATCH("Shopify",Settings!$A$5:$A$9,0)),0)*D715)</f>
        <v/>
      </c>
      <c r="N715" s="11">
        <f>IF(A715="","",IF(K715="",0,D715*INDEX(Products!$I$5:$I$204,K715)))</f>
        <v/>
      </c>
      <c r="O715" s="11">
        <f>IF(A715="","",IF(K715="",0,J715*INDEX(Products!$H$5:$H$204,K715)))</f>
        <v/>
      </c>
      <c r="P715" s="11">
        <f>IF(A715="","",J715-M715-N715-O715)</f>
        <v/>
      </c>
    </row>
    <row r="716">
      <c r="A716">
        <f>IFERROR(INDEX('Shopify Import'!$A:$CZ,716,Settings!$E$20)&amp;"","")</f>
        <v/>
      </c>
      <c r="B716">
        <f>IFERROR(INDEX('Shopify Import'!$A:$CZ,716,Settings!$E$21)&amp;"","")</f>
        <v/>
      </c>
      <c r="C716">
        <f>IFERROR(INDEX('Shopify Import'!$A:$CZ,716,Settings!$E$22)&amp;"","")</f>
        <v/>
      </c>
      <c r="D716">
        <f>IF(A716="","",IFERROR(VALUE(SUBSTITUTE(SUBSTITUTE(INDEX('Shopify Import'!$A:$CZ,716,Settings!$E$23)&amp;"","$",""),",","")),0))</f>
        <v/>
      </c>
      <c r="E716" s="11">
        <f>IF(A716="","",IFERROR(VALUE(SUBSTITUTE(SUBSTITUTE(INDEX('Shopify Import'!$A:$CZ,716,Settings!$E$24)&amp;"","$",""),",","")),0))</f>
        <v/>
      </c>
      <c r="F716" s="11">
        <f>IF(A716="","",D716*E716)</f>
        <v/>
      </c>
      <c r="G716">
        <f>IF(A716="","",IF(C716="",1,COUNTIF($C$2:$C$1501,C716)))</f>
        <v/>
      </c>
      <c r="H716" s="11">
        <f>IF(A716="","",IFERROR(VALUE(SUBSTITUTE(SUBSTITUTE(INDEX('Shopify Import'!$A:$CZ,716,Settings!$E$25)&amp;"","$",""),",","")),0)/IF(Settings!$D$27="Yes",G716,1))</f>
        <v/>
      </c>
      <c r="I716" s="11">
        <f>IF(A716="","",IFERROR(VALUE(SUBSTITUTE(SUBSTITUTE(INDEX('Shopify Import'!$A:$CZ,716,Settings!$E$26)&amp;"","$",""),",","")),0)/IF(Settings!$D$27="Yes",G716,1))</f>
        <v/>
      </c>
      <c r="J716" s="11">
        <f>IF(A716="","",F716+H716-I716)</f>
        <v/>
      </c>
      <c r="K716">
        <f>IF(A716="","",IFERROR(IF(B716="",NA(),MATCH(B716,Products!$B$5:$B$204,0)),IFERROR(MATCH(A716,Products!$A$5:$A$204,0),"")))</f>
        <v/>
      </c>
      <c r="L716">
        <f>IF(A716="","",IF(K716="","⚠ not in Products",INDEX(Products!$A$5:$A$204,K716)))</f>
        <v/>
      </c>
      <c r="M716" s="11">
        <f>IF(A716="","",J716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716+IFERROR(INDEX(Settings!$D$5:$D$9,MATCH("Shopify",Settings!$A$5:$A$9,0)),0)*D716)</f>
        <v/>
      </c>
      <c r="N716" s="11">
        <f>IF(A716="","",IF(K716="",0,D716*INDEX(Products!$I$5:$I$204,K716)))</f>
        <v/>
      </c>
      <c r="O716" s="11">
        <f>IF(A716="","",IF(K716="",0,J716*INDEX(Products!$H$5:$H$204,K716)))</f>
        <v/>
      </c>
      <c r="P716" s="11">
        <f>IF(A716="","",J716-M716-N716-O716)</f>
        <v/>
      </c>
    </row>
    <row r="717">
      <c r="A717">
        <f>IFERROR(INDEX('Shopify Import'!$A:$CZ,717,Settings!$E$20)&amp;"","")</f>
        <v/>
      </c>
      <c r="B717">
        <f>IFERROR(INDEX('Shopify Import'!$A:$CZ,717,Settings!$E$21)&amp;"","")</f>
        <v/>
      </c>
      <c r="C717">
        <f>IFERROR(INDEX('Shopify Import'!$A:$CZ,717,Settings!$E$22)&amp;"","")</f>
        <v/>
      </c>
      <c r="D717">
        <f>IF(A717="","",IFERROR(VALUE(SUBSTITUTE(SUBSTITUTE(INDEX('Shopify Import'!$A:$CZ,717,Settings!$E$23)&amp;"","$",""),",","")),0))</f>
        <v/>
      </c>
      <c r="E717" s="11">
        <f>IF(A717="","",IFERROR(VALUE(SUBSTITUTE(SUBSTITUTE(INDEX('Shopify Import'!$A:$CZ,717,Settings!$E$24)&amp;"","$",""),",","")),0))</f>
        <v/>
      </c>
      <c r="F717" s="11">
        <f>IF(A717="","",D717*E717)</f>
        <v/>
      </c>
      <c r="G717">
        <f>IF(A717="","",IF(C717="",1,COUNTIF($C$2:$C$1501,C717)))</f>
        <v/>
      </c>
      <c r="H717" s="11">
        <f>IF(A717="","",IFERROR(VALUE(SUBSTITUTE(SUBSTITUTE(INDEX('Shopify Import'!$A:$CZ,717,Settings!$E$25)&amp;"","$",""),",","")),0)/IF(Settings!$D$27="Yes",G717,1))</f>
        <v/>
      </c>
      <c r="I717" s="11">
        <f>IF(A717="","",IFERROR(VALUE(SUBSTITUTE(SUBSTITUTE(INDEX('Shopify Import'!$A:$CZ,717,Settings!$E$26)&amp;"","$",""),",","")),0)/IF(Settings!$D$27="Yes",G717,1))</f>
        <v/>
      </c>
      <c r="J717" s="11">
        <f>IF(A717="","",F717+H717-I717)</f>
        <v/>
      </c>
      <c r="K717">
        <f>IF(A717="","",IFERROR(IF(B717="",NA(),MATCH(B717,Products!$B$5:$B$204,0)),IFERROR(MATCH(A717,Products!$A$5:$A$204,0),"")))</f>
        <v/>
      </c>
      <c r="L717">
        <f>IF(A717="","",IF(K717="","⚠ not in Products",INDEX(Products!$A$5:$A$204,K717)))</f>
        <v/>
      </c>
      <c r="M717" s="11">
        <f>IF(A717="","",J717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717+IFERROR(INDEX(Settings!$D$5:$D$9,MATCH("Shopify",Settings!$A$5:$A$9,0)),0)*D717)</f>
        <v/>
      </c>
      <c r="N717" s="11">
        <f>IF(A717="","",IF(K717="",0,D717*INDEX(Products!$I$5:$I$204,K717)))</f>
        <v/>
      </c>
      <c r="O717" s="11">
        <f>IF(A717="","",IF(K717="",0,J717*INDEX(Products!$H$5:$H$204,K717)))</f>
        <v/>
      </c>
      <c r="P717" s="11">
        <f>IF(A717="","",J717-M717-N717-O717)</f>
        <v/>
      </c>
    </row>
    <row r="718">
      <c r="A718">
        <f>IFERROR(INDEX('Shopify Import'!$A:$CZ,718,Settings!$E$20)&amp;"","")</f>
        <v/>
      </c>
      <c r="B718">
        <f>IFERROR(INDEX('Shopify Import'!$A:$CZ,718,Settings!$E$21)&amp;"","")</f>
        <v/>
      </c>
      <c r="C718">
        <f>IFERROR(INDEX('Shopify Import'!$A:$CZ,718,Settings!$E$22)&amp;"","")</f>
        <v/>
      </c>
      <c r="D718">
        <f>IF(A718="","",IFERROR(VALUE(SUBSTITUTE(SUBSTITUTE(INDEX('Shopify Import'!$A:$CZ,718,Settings!$E$23)&amp;"","$",""),",","")),0))</f>
        <v/>
      </c>
      <c r="E718" s="11">
        <f>IF(A718="","",IFERROR(VALUE(SUBSTITUTE(SUBSTITUTE(INDEX('Shopify Import'!$A:$CZ,718,Settings!$E$24)&amp;"","$",""),",","")),0))</f>
        <v/>
      </c>
      <c r="F718" s="11">
        <f>IF(A718="","",D718*E718)</f>
        <v/>
      </c>
      <c r="G718">
        <f>IF(A718="","",IF(C718="",1,COUNTIF($C$2:$C$1501,C718)))</f>
        <v/>
      </c>
      <c r="H718" s="11">
        <f>IF(A718="","",IFERROR(VALUE(SUBSTITUTE(SUBSTITUTE(INDEX('Shopify Import'!$A:$CZ,718,Settings!$E$25)&amp;"","$",""),",","")),0)/IF(Settings!$D$27="Yes",G718,1))</f>
        <v/>
      </c>
      <c r="I718" s="11">
        <f>IF(A718="","",IFERROR(VALUE(SUBSTITUTE(SUBSTITUTE(INDEX('Shopify Import'!$A:$CZ,718,Settings!$E$26)&amp;"","$",""),",","")),0)/IF(Settings!$D$27="Yes",G718,1))</f>
        <v/>
      </c>
      <c r="J718" s="11">
        <f>IF(A718="","",F718+H718-I718)</f>
        <v/>
      </c>
      <c r="K718">
        <f>IF(A718="","",IFERROR(IF(B718="",NA(),MATCH(B718,Products!$B$5:$B$204,0)),IFERROR(MATCH(A718,Products!$A$5:$A$204,0),"")))</f>
        <v/>
      </c>
      <c r="L718">
        <f>IF(A718="","",IF(K718="","⚠ not in Products",INDEX(Products!$A$5:$A$204,K718)))</f>
        <v/>
      </c>
      <c r="M718" s="11">
        <f>IF(A718="","",J718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718+IFERROR(INDEX(Settings!$D$5:$D$9,MATCH("Shopify",Settings!$A$5:$A$9,0)),0)*D718)</f>
        <v/>
      </c>
      <c r="N718" s="11">
        <f>IF(A718="","",IF(K718="",0,D718*INDEX(Products!$I$5:$I$204,K718)))</f>
        <v/>
      </c>
      <c r="O718" s="11">
        <f>IF(A718="","",IF(K718="",0,J718*INDEX(Products!$H$5:$H$204,K718)))</f>
        <v/>
      </c>
      <c r="P718" s="11">
        <f>IF(A718="","",J718-M718-N718-O718)</f>
        <v/>
      </c>
    </row>
    <row r="719">
      <c r="A719">
        <f>IFERROR(INDEX('Shopify Import'!$A:$CZ,719,Settings!$E$20)&amp;"","")</f>
        <v/>
      </c>
      <c r="B719">
        <f>IFERROR(INDEX('Shopify Import'!$A:$CZ,719,Settings!$E$21)&amp;"","")</f>
        <v/>
      </c>
      <c r="C719">
        <f>IFERROR(INDEX('Shopify Import'!$A:$CZ,719,Settings!$E$22)&amp;"","")</f>
        <v/>
      </c>
      <c r="D719">
        <f>IF(A719="","",IFERROR(VALUE(SUBSTITUTE(SUBSTITUTE(INDEX('Shopify Import'!$A:$CZ,719,Settings!$E$23)&amp;"","$",""),",","")),0))</f>
        <v/>
      </c>
      <c r="E719" s="11">
        <f>IF(A719="","",IFERROR(VALUE(SUBSTITUTE(SUBSTITUTE(INDEX('Shopify Import'!$A:$CZ,719,Settings!$E$24)&amp;"","$",""),",","")),0))</f>
        <v/>
      </c>
      <c r="F719" s="11">
        <f>IF(A719="","",D719*E719)</f>
        <v/>
      </c>
      <c r="G719">
        <f>IF(A719="","",IF(C719="",1,COUNTIF($C$2:$C$1501,C719)))</f>
        <v/>
      </c>
      <c r="H719" s="11">
        <f>IF(A719="","",IFERROR(VALUE(SUBSTITUTE(SUBSTITUTE(INDEX('Shopify Import'!$A:$CZ,719,Settings!$E$25)&amp;"","$",""),",","")),0)/IF(Settings!$D$27="Yes",G719,1))</f>
        <v/>
      </c>
      <c r="I719" s="11">
        <f>IF(A719="","",IFERROR(VALUE(SUBSTITUTE(SUBSTITUTE(INDEX('Shopify Import'!$A:$CZ,719,Settings!$E$26)&amp;"","$",""),",","")),0)/IF(Settings!$D$27="Yes",G719,1))</f>
        <v/>
      </c>
      <c r="J719" s="11">
        <f>IF(A719="","",F719+H719-I719)</f>
        <v/>
      </c>
      <c r="K719">
        <f>IF(A719="","",IFERROR(IF(B719="",NA(),MATCH(B719,Products!$B$5:$B$204,0)),IFERROR(MATCH(A719,Products!$A$5:$A$204,0),"")))</f>
        <v/>
      </c>
      <c r="L719">
        <f>IF(A719="","",IF(K719="","⚠ not in Products",INDEX(Products!$A$5:$A$204,K719)))</f>
        <v/>
      </c>
      <c r="M719" s="11">
        <f>IF(A719="","",J719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719+IFERROR(INDEX(Settings!$D$5:$D$9,MATCH("Shopify",Settings!$A$5:$A$9,0)),0)*D719)</f>
        <v/>
      </c>
      <c r="N719" s="11">
        <f>IF(A719="","",IF(K719="",0,D719*INDEX(Products!$I$5:$I$204,K719)))</f>
        <v/>
      </c>
      <c r="O719" s="11">
        <f>IF(A719="","",IF(K719="",0,J719*INDEX(Products!$H$5:$H$204,K719)))</f>
        <v/>
      </c>
      <c r="P719" s="11">
        <f>IF(A719="","",J719-M719-N719-O719)</f>
        <v/>
      </c>
    </row>
    <row r="720">
      <c r="A720">
        <f>IFERROR(INDEX('Shopify Import'!$A:$CZ,720,Settings!$E$20)&amp;"","")</f>
        <v/>
      </c>
      <c r="B720">
        <f>IFERROR(INDEX('Shopify Import'!$A:$CZ,720,Settings!$E$21)&amp;"","")</f>
        <v/>
      </c>
      <c r="C720">
        <f>IFERROR(INDEX('Shopify Import'!$A:$CZ,720,Settings!$E$22)&amp;"","")</f>
        <v/>
      </c>
      <c r="D720">
        <f>IF(A720="","",IFERROR(VALUE(SUBSTITUTE(SUBSTITUTE(INDEX('Shopify Import'!$A:$CZ,720,Settings!$E$23)&amp;"","$",""),",","")),0))</f>
        <v/>
      </c>
      <c r="E720" s="11">
        <f>IF(A720="","",IFERROR(VALUE(SUBSTITUTE(SUBSTITUTE(INDEX('Shopify Import'!$A:$CZ,720,Settings!$E$24)&amp;"","$",""),",","")),0))</f>
        <v/>
      </c>
      <c r="F720" s="11">
        <f>IF(A720="","",D720*E720)</f>
        <v/>
      </c>
      <c r="G720">
        <f>IF(A720="","",IF(C720="",1,COUNTIF($C$2:$C$1501,C720)))</f>
        <v/>
      </c>
      <c r="H720" s="11">
        <f>IF(A720="","",IFERROR(VALUE(SUBSTITUTE(SUBSTITUTE(INDEX('Shopify Import'!$A:$CZ,720,Settings!$E$25)&amp;"","$",""),",","")),0)/IF(Settings!$D$27="Yes",G720,1))</f>
        <v/>
      </c>
      <c r="I720" s="11">
        <f>IF(A720="","",IFERROR(VALUE(SUBSTITUTE(SUBSTITUTE(INDEX('Shopify Import'!$A:$CZ,720,Settings!$E$26)&amp;"","$",""),",","")),0)/IF(Settings!$D$27="Yes",G720,1))</f>
        <v/>
      </c>
      <c r="J720" s="11">
        <f>IF(A720="","",F720+H720-I720)</f>
        <v/>
      </c>
      <c r="K720">
        <f>IF(A720="","",IFERROR(IF(B720="",NA(),MATCH(B720,Products!$B$5:$B$204,0)),IFERROR(MATCH(A720,Products!$A$5:$A$204,0),"")))</f>
        <v/>
      </c>
      <c r="L720">
        <f>IF(A720="","",IF(K720="","⚠ not in Products",INDEX(Products!$A$5:$A$204,K720)))</f>
        <v/>
      </c>
      <c r="M720" s="11">
        <f>IF(A720="","",J720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720+IFERROR(INDEX(Settings!$D$5:$D$9,MATCH("Shopify",Settings!$A$5:$A$9,0)),0)*D720)</f>
        <v/>
      </c>
      <c r="N720" s="11">
        <f>IF(A720="","",IF(K720="",0,D720*INDEX(Products!$I$5:$I$204,K720)))</f>
        <v/>
      </c>
      <c r="O720" s="11">
        <f>IF(A720="","",IF(K720="",0,J720*INDEX(Products!$H$5:$H$204,K720)))</f>
        <v/>
      </c>
      <c r="P720" s="11">
        <f>IF(A720="","",J720-M720-N720-O720)</f>
        <v/>
      </c>
    </row>
    <row r="721">
      <c r="A721">
        <f>IFERROR(INDEX('Shopify Import'!$A:$CZ,721,Settings!$E$20)&amp;"","")</f>
        <v/>
      </c>
      <c r="B721">
        <f>IFERROR(INDEX('Shopify Import'!$A:$CZ,721,Settings!$E$21)&amp;"","")</f>
        <v/>
      </c>
      <c r="C721">
        <f>IFERROR(INDEX('Shopify Import'!$A:$CZ,721,Settings!$E$22)&amp;"","")</f>
        <v/>
      </c>
      <c r="D721">
        <f>IF(A721="","",IFERROR(VALUE(SUBSTITUTE(SUBSTITUTE(INDEX('Shopify Import'!$A:$CZ,721,Settings!$E$23)&amp;"","$",""),",","")),0))</f>
        <v/>
      </c>
      <c r="E721" s="11">
        <f>IF(A721="","",IFERROR(VALUE(SUBSTITUTE(SUBSTITUTE(INDEX('Shopify Import'!$A:$CZ,721,Settings!$E$24)&amp;"","$",""),",","")),0))</f>
        <v/>
      </c>
      <c r="F721" s="11">
        <f>IF(A721="","",D721*E721)</f>
        <v/>
      </c>
      <c r="G721">
        <f>IF(A721="","",IF(C721="",1,COUNTIF($C$2:$C$1501,C721)))</f>
        <v/>
      </c>
      <c r="H721" s="11">
        <f>IF(A721="","",IFERROR(VALUE(SUBSTITUTE(SUBSTITUTE(INDEX('Shopify Import'!$A:$CZ,721,Settings!$E$25)&amp;"","$",""),",","")),0)/IF(Settings!$D$27="Yes",G721,1))</f>
        <v/>
      </c>
      <c r="I721" s="11">
        <f>IF(A721="","",IFERROR(VALUE(SUBSTITUTE(SUBSTITUTE(INDEX('Shopify Import'!$A:$CZ,721,Settings!$E$26)&amp;"","$",""),",","")),0)/IF(Settings!$D$27="Yes",G721,1))</f>
        <v/>
      </c>
      <c r="J721" s="11">
        <f>IF(A721="","",F721+H721-I721)</f>
        <v/>
      </c>
      <c r="K721">
        <f>IF(A721="","",IFERROR(IF(B721="",NA(),MATCH(B721,Products!$B$5:$B$204,0)),IFERROR(MATCH(A721,Products!$A$5:$A$204,0),"")))</f>
        <v/>
      </c>
      <c r="L721">
        <f>IF(A721="","",IF(K721="","⚠ not in Products",INDEX(Products!$A$5:$A$204,K721)))</f>
        <v/>
      </c>
      <c r="M721" s="11">
        <f>IF(A721="","",J721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721+IFERROR(INDEX(Settings!$D$5:$D$9,MATCH("Shopify",Settings!$A$5:$A$9,0)),0)*D721)</f>
        <v/>
      </c>
      <c r="N721" s="11">
        <f>IF(A721="","",IF(K721="",0,D721*INDEX(Products!$I$5:$I$204,K721)))</f>
        <v/>
      </c>
      <c r="O721" s="11">
        <f>IF(A721="","",IF(K721="",0,J721*INDEX(Products!$H$5:$H$204,K721)))</f>
        <v/>
      </c>
      <c r="P721" s="11">
        <f>IF(A721="","",J721-M721-N721-O721)</f>
        <v/>
      </c>
    </row>
    <row r="722">
      <c r="A722">
        <f>IFERROR(INDEX('Shopify Import'!$A:$CZ,722,Settings!$E$20)&amp;"","")</f>
        <v/>
      </c>
      <c r="B722">
        <f>IFERROR(INDEX('Shopify Import'!$A:$CZ,722,Settings!$E$21)&amp;"","")</f>
        <v/>
      </c>
      <c r="C722">
        <f>IFERROR(INDEX('Shopify Import'!$A:$CZ,722,Settings!$E$22)&amp;"","")</f>
        <v/>
      </c>
      <c r="D722">
        <f>IF(A722="","",IFERROR(VALUE(SUBSTITUTE(SUBSTITUTE(INDEX('Shopify Import'!$A:$CZ,722,Settings!$E$23)&amp;"","$",""),",","")),0))</f>
        <v/>
      </c>
      <c r="E722" s="11">
        <f>IF(A722="","",IFERROR(VALUE(SUBSTITUTE(SUBSTITUTE(INDEX('Shopify Import'!$A:$CZ,722,Settings!$E$24)&amp;"","$",""),",","")),0))</f>
        <v/>
      </c>
      <c r="F722" s="11">
        <f>IF(A722="","",D722*E722)</f>
        <v/>
      </c>
      <c r="G722">
        <f>IF(A722="","",IF(C722="",1,COUNTIF($C$2:$C$1501,C722)))</f>
        <v/>
      </c>
      <c r="H722" s="11">
        <f>IF(A722="","",IFERROR(VALUE(SUBSTITUTE(SUBSTITUTE(INDEX('Shopify Import'!$A:$CZ,722,Settings!$E$25)&amp;"","$",""),",","")),0)/IF(Settings!$D$27="Yes",G722,1))</f>
        <v/>
      </c>
      <c r="I722" s="11">
        <f>IF(A722="","",IFERROR(VALUE(SUBSTITUTE(SUBSTITUTE(INDEX('Shopify Import'!$A:$CZ,722,Settings!$E$26)&amp;"","$",""),",","")),0)/IF(Settings!$D$27="Yes",G722,1))</f>
        <v/>
      </c>
      <c r="J722" s="11">
        <f>IF(A722="","",F722+H722-I722)</f>
        <v/>
      </c>
      <c r="K722">
        <f>IF(A722="","",IFERROR(IF(B722="",NA(),MATCH(B722,Products!$B$5:$B$204,0)),IFERROR(MATCH(A722,Products!$A$5:$A$204,0),"")))</f>
        <v/>
      </c>
      <c r="L722">
        <f>IF(A722="","",IF(K722="","⚠ not in Products",INDEX(Products!$A$5:$A$204,K722)))</f>
        <v/>
      </c>
      <c r="M722" s="11">
        <f>IF(A722="","",J722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722+IFERROR(INDEX(Settings!$D$5:$D$9,MATCH("Shopify",Settings!$A$5:$A$9,0)),0)*D722)</f>
        <v/>
      </c>
      <c r="N722" s="11">
        <f>IF(A722="","",IF(K722="",0,D722*INDEX(Products!$I$5:$I$204,K722)))</f>
        <v/>
      </c>
      <c r="O722" s="11">
        <f>IF(A722="","",IF(K722="",0,J722*INDEX(Products!$H$5:$H$204,K722)))</f>
        <v/>
      </c>
      <c r="P722" s="11">
        <f>IF(A722="","",J722-M722-N722-O722)</f>
        <v/>
      </c>
    </row>
    <row r="723">
      <c r="A723">
        <f>IFERROR(INDEX('Shopify Import'!$A:$CZ,723,Settings!$E$20)&amp;"","")</f>
        <v/>
      </c>
      <c r="B723">
        <f>IFERROR(INDEX('Shopify Import'!$A:$CZ,723,Settings!$E$21)&amp;"","")</f>
        <v/>
      </c>
      <c r="C723">
        <f>IFERROR(INDEX('Shopify Import'!$A:$CZ,723,Settings!$E$22)&amp;"","")</f>
        <v/>
      </c>
      <c r="D723">
        <f>IF(A723="","",IFERROR(VALUE(SUBSTITUTE(SUBSTITUTE(INDEX('Shopify Import'!$A:$CZ,723,Settings!$E$23)&amp;"","$",""),",","")),0))</f>
        <v/>
      </c>
      <c r="E723" s="11">
        <f>IF(A723="","",IFERROR(VALUE(SUBSTITUTE(SUBSTITUTE(INDEX('Shopify Import'!$A:$CZ,723,Settings!$E$24)&amp;"","$",""),",","")),0))</f>
        <v/>
      </c>
      <c r="F723" s="11">
        <f>IF(A723="","",D723*E723)</f>
        <v/>
      </c>
      <c r="G723">
        <f>IF(A723="","",IF(C723="",1,COUNTIF($C$2:$C$1501,C723)))</f>
        <v/>
      </c>
      <c r="H723" s="11">
        <f>IF(A723="","",IFERROR(VALUE(SUBSTITUTE(SUBSTITUTE(INDEX('Shopify Import'!$A:$CZ,723,Settings!$E$25)&amp;"","$",""),",","")),0)/IF(Settings!$D$27="Yes",G723,1))</f>
        <v/>
      </c>
      <c r="I723" s="11">
        <f>IF(A723="","",IFERROR(VALUE(SUBSTITUTE(SUBSTITUTE(INDEX('Shopify Import'!$A:$CZ,723,Settings!$E$26)&amp;"","$",""),",","")),0)/IF(Settings!$D$27="Yes",G723,1))</f>
        <v/>
      </c>
      <c r="J723" s="11">
        <f>IF(A723="","",F723+H723-I723)</f>
        <v/>
      </c>
      <c r="K723">
        <f>IF(A723="","",IFERROR(IF(B723="",NA(),MATCH(B723,Products!$B$5:$B$204,0)),IFERROR(MATCH(A723,Products!$A$5:$A$204,0),"")))</f>
        <v/>
      </c>
      <c r="L723">
        <f>IF(A723="","",IF(K723="","⚠ not in Products",INDEX(Products!$A$5:$A$204,K723)))</f>
        <v/>
      </c>
      <c r="M723" s="11">
        <f>IF(A723="","",J723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723+IFERROR(INDEX(Settings!$D$5:$D$9,MATCH("Shopify",Settings!$A$5:$A$9,0)),0)*D723)</f>
        <v/>
      </c>
      <c r="N723" s="11">
        <f>IF(A723="","",IF(K723="",0,D723*INDEX(Products!$I$5:$I$204,K723)))</f>
        <v/>
      </c>
      <c r="O723" s="11">
        <f>IF(A723="","",IF(K723="",0,J723*INDEX(Products!$H$5:$H$204,K723)))</f>
        <v/>
      </c>
      <c r="P723" s="11">
        <f>IF(A723="","",J723-M723-N723-O723)</f>
        <v/>
      </c>
    </row>
    <row r="724">
      <c r="A724">
        <f>IFERROR(INDEX('Shopify Import'!$A:$CZ,724,Settings!$E$20)&amp;"","")</f>
        <v/>
      </c>
      <c r="B724">
        <f>IFERROR(INDEX('Shopify Import'!$A:$CZ,724,Settings!$E$21)&amp;"","")</f>
        <v/>
      </c>
      <c r="C724">
        <f>IFERROR(INDEX('Shopify Import'!$A:$CZ,724,Settings!$E$22)&amp;"","")</f>
        <v/>
      </c>
      <c r="D724">
        <f>IF(A724="","",IFERROR(VALUE(SUBSTITUTE(SUBSTITUTE(INDEX('Shopify Import'!$A:$CZ,724,Settings!$E$23)&amp;"","$",""),",","")),0))</f>
        <v/>
      </c>
      <c r="E724" s="11">
        <f>IF(A724="","",IFERROR(VALUE(SUBSTITUTE(SUBSTITUTE(INDEX('Shopify Import'!$A:$CZ,724,Settings!$E$24)&amp;"","$",""),",","")),0))</f>
        <v/>
      </c>
      <c r="F724" s="11">
        <f>IF(A724="","",D724*E724)</f>
        <v/>
      </c>
      <c r="G724">
        <f>IF(A724="","",IF(C724="",1,COUNTIF($C$2:$C$1501,C724)))</f>
        <v/>
      </c>
      <c r="H724" s="11">
        <f>IF(A724="","",IFERROR(VALUE(SUBSTITUTE(SUBSTITUTE(INDEX('Shopify Import'!$A:$CZ,724,Settings!$E$25)&amp;"","$",""),",","")),0)/IF(Settings!$D$27="Yes",G724,1))</f>
        <v/>
      </c>
      <c r="I724" s="11">
        <f>IF(A724="","",IFERROR(VALUE(SUBSTITUTE(SUBSTITUTE(INDEX('Shopify Import'!$A:$CZ,724,Settings!$E$26)&amp;"","$",""),",","")),0)/IF(Settings!$D$27="Yes",G724,1))</f>
        <v/>
      </c>
      <c r="J724" s="11">
        <f>IF(A724="","",F724+H724-I724)</f>
        <v/>
      </c>
      <c r="K724">
        <f>IF(A724="","",IFERROR(IF(B724="",NA(),MATCH(B724,Products!$B$5:$B$204,0)),IFERROR(MATCH(A724,Products!$A$5:$A$204,0),"")))</f>
        <v/>
      </c>
      <c r="L724">
        <f>IF(A724="","",IF(K724="","⚠ not in Products",INDEX(Products!$A$5:$A$204,K724)))</f>
        <v/>
      </c>
      <c r="M724" s="11">
        <f>IF(A724="","",J724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724+IFERROR(INDEX(Settings!$D$5:$D$9,MATCH("Shopify",Settings!$A$5:$A$9,0)),0)*D724)</f>
        <v/>
      </c>
      <c r="N724" s="11">
        <f>IF(A724="","",IF(K724="",0,D724*INDEX(Products!$I$5:$I$204,K724)))</f>
        <v/>
      </c>
      <c r="O724" s="11">
        <f>IF(A724="","",IF(K724="",0,J724*INDEX(Products!$H$5:$H$204,K724)))</f>
        <v/>
      </c>
      <c r="P724" s="11">
        <f>IF(A724="","",J724-M724-N724-O724)</f>
        <v/>
      </c>
    </row>
    <row r="725">
      <c r="A725">
        <f>IFERROR(INDEX('Shopify Import'!$A:$CZ,725,Settings!$E$20)&amp;"","")</f>
        <v/>
      </c>
      <c r="B725">
        <f>IFERROR(INDEX('Shopify Import'!$A:$CZ,725,Settings!$E$21)&amp;"","")</f>
        <v/>
      </c>
      <c r="C725">
        <f>IFERROR(INDEX('Shopify Import'!$A:$CZ,725,Settings!$E$22)&amp;"","")</f>
        <v/>
      </c>
      <c r="D725">
        <f>IF(A725="","",IFERROR(VALUE(SUBSTITUTE(SUBSTITUTE(INDEX('Shopify Import'!$A:$CZ,725,Settings!$E$23)&amp;"","$",""),",","")),0))</f>
        <v/>
      </c>
      <c r="E725" s="11">
        <f>IF(A725="","",IFERROR(VALUE(SUBSTITUTE(SUBSTITUTE(INDEX('Shopify Import'!$A:$CZ,725,Settings!$E$24)&amp;"","$",""),",","")),0))</f>
        <v/>
      </c>
      <c r="F725" s="11">
        <f>IF(A725="","",D725*E725)</f>
        <v/>
      </c>
      <c r="G725">
        <f>IF(A725="","",IF(C725="",1,COUNTIF($C$2:$C$1501,C725)))</f>
        <v/>
      </c>
      <c r="H725" s="11">
        <f>IF(A725="","",IFERROR(VALUE(SUBSTITUTE(SUBSTITUTE(INDEX('Shopify Import'!$A:$CZ,725,Settings!$E$25)&amp;"","$",""),",","")),0)/IF(Settings!$D$27="Yes",G725,1))</f>
        <v/>
      </c>
      <c r="I725" s="11">
        <f>IF(A725="","",IFERROR(VALUE(SUBSTITUTE(SUBSTITUTE(INDEX('Shopify Import'!$A:$CZ,725,Settings!$E$26)&amp;"","$",""),",","")),0)/IF(Settings!$D$27="Yes",G725,1))</f>
        <v/>
      </c>
      <c r="J725" s="11">
        <f>IF(A725="","",F725+H725-I725)</f>
        <v/>
      </c>
      <c r="K725">
        <f>IF(A725="","",IFERROR(IF(B725="",NA(),MATCH(B725,Products!$B$5:$B$204,0)),IFERROR(MATCH(A725,Products!$A$5:$A$204,0),"")))</f>
        <v/>
      </c>
      <c r="L725">
        <f>IF(A725="","",IF(K725="","⚠ not in Products",INDEX(Products!$A$5:$A$204,K725)))</f>
        <v/>
      </c>
      <c r="M725" s="11">
        <f>IF(A725="","",J725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725+IFERROR(INDEX(Settings!$D$5:$D$9,MATCH("Shopify",Settings!$A$5:$A$9,0)),0)*D725)</f>
        <v/>
      </c>
      <c r="N725" s="11">
        <f>IF(A725="","",IF(K725="",0,D725*INDEX(Products!$I$5:$I$204,K725)))</f>
        <v/>
      </c>
      <c r="O725" s="11">
        <f>IF(A725="","",IF(K725="",0,J725*INDEX(Products!$H$5:$H$204,K725)))</f>
        <v/>
      </c>
      <c r="P725" s="11">
        <f>IF(A725="","",J725-M725-N725-O725)</f>
        <v/>
      </c>
    </row>
    <row r="726">
      <c r="A726">
        <f>IFERROR(INDEX('Shopify Import'!$A:$CZ,726,Settings!$E$20)&amp;"","")</f>
        <v/>
      </c>
      <c r="B726">
        <f>IFERROR(INDEX('Shopify Import'!$A:$CZ,726,Settings!$E$21)&amp;"","")</f>
        <v/>
      </c>
      <c r="C726">
        <f>IFERROR(INDEX('Shopify Import'!$A:$CZ,726,Settings!$E$22)&amp;"","")</f>
        <v/>
      </c>
      <c r="D726">
        <f>IF(A726="","",IFERROR(VALUE(SUBSTITUTE(SUBSTITUTE(INDEX('Shopify Import'!$A:$CZ,726,Settings!$E$23)&amp;"","$",""),",","")),0))</f>
        <v/>
      </c>
      <c r="E726" s="11">
        <f>IF(A726="","",IFERROR(VALUE(SUBSTITUTE(SUBSTITUTE(INDEX('Shopify Import'!$A:$CZ,726,Settings!$E$24)&amp;"","$",""),",","")),0))</f>
        <v/>
      </c>
      <c r="F726" s="11">
        <f>IF(A726="","",D726*E726)</f>
        <v/>
      </c>
      <c r="G726">
        <f>IF(A726="","",IF(C726="",1,COUNTIF($C$2:$C$1501,C726)))</f>
        <v/>
      </c>
      <c r="H726" s="11">
        <f>IF(A726="","",IFERROR(VALUE(SUBSTITUTE(SUBSTITUTE(INDEX('Shopify Import'!$A:$CZ,726,Settings!$E$25)&amp;"","$",""),",","")),0)/IF(Settings!$D$27="Yes",G726,1))</f>
        <v/>
      </c>
      <c r="I726" s="11">
        <f>IF(A726="","",IFERROR(VALUE(SUBSTITUTE(SUBSTITUTE(INDEX('Shopify Import'!$A:$CZ,726,Settings!$E$26)&amp;"","$",""),",","")),0)/IF(Settings!$D$27="Yes",G726,1))</f>
        <v/>
      </c>
      <c r="J726" s="11">
        <f>IF(A726="","",F726+H726-I726)</f>
        <v/>
      </c>
      <c r="K726">
        <f>IF(A726="","",IFERROR(IF(B726="",NA(),MATCH(B726,Products!$B$5:$B$204,0)),IFERROR(MATCH(A726,Products!$A$5:$A$204,0),"")))</f>
        <v/>
      </c>
      <c r="L726">
        <f>IF(A726="","",IF(K726="","⚠ not in Products",INDEX(Products!$A$5:$A$204,K726)))</f>
        <v/>
      </c>
      <c r="M726" s="11">
        <f>IF(A726="","",J726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726+IFERROR(INDEX(Settings!$D$5:$D$9,MATCH("Shopify",Settings!$A$5:$A$9,0)),0)*D726)</f>
        <v/>
      </c>
      <c r="N726" s="11">
        <f>IF(A726="","",IF(K726="",0,D726*INDEX(Products!$I$5:$I$204,K726)))</f>
        <v/>
      </c>
      <c r="O726" s="11">
        <f>IF(A726="","",IF(K726="",0,J726*INDEX(Products!$H$5:$H$204,K726)))</f>
        <v/>
      </c>
      <c r="P726" s="11">
        <f>IF(A726="","",J726-M726-N726-O726)</f>
        <v/>
      </c>
    </row>
    <row r="727">
      <c r="A727">
        <f>IFERROR(INDEX('Shopify Import'!$A:$CZ,727,Settings!$E$20)&amp;"","")</f>
        <v/>
      </c>
      <c r="B727">
        <f>IFERROR(INDEX('Shopify Import'!$A:$CZ,727,Settings!$E$21)&amp;"","")</f>
        <v/>
      </c>
      <c r="C727">
        <f>IFERROR(INDEX('Shopify Import'!$A:$CZ,727,Settings!$E$22)&amp;"","")</f>
        <v/>
      </c>
      <c r="D727">
        <f>IF(A727="","",IFERROR(VALUE(SUBSTITUTE(SUBSTITUTE(INDEX('Shopify Import'!$A:$CZ,727,Settings!$E$23)&amp;"","$",""),",","")),0))</f>
        <v/>
      </c>
      <c r="E727" s="11">
        <f>IF(A727="","",IFERROR(VALUE(SUBSTITUTE(SUBSTITUTE(INDEX('Shopify Import'!$A:$CZ,727,Settings!$E$24)&amp;"","$",""),",","")),0))</f>
        <v/>
      </c>
      <c r="F727" s="11">
        <f>IF(A727="","",D727*E727)</f>
        <v/>
      </c>
      <c r="G727">
        <f>IF(A727="","",IF(C727="",1,COUNTIF($C$2:$C$1501,C727)))</f>
        <v/>
      </c>
      <c r="H727" s="11">
        <f>IF(A727="","",IFERROR(VALUE(SUBSTITUTE(SUBSTITUTE(INDEX('Shopify Import'!$A:$CZ,727,Settings!$E$25)&amp;"","$",""),",","")),0)/IF(Settings!$D$27="Yes",G727,1))</f>
        <v/>
      </c>
      <c r="I727" s="11">
        <f>IF(A727="","",IFERROR(VALUE(SUBSTITUTE(SUBSTITUTE(INDEX('Shopify Import'!$A:$CZ,727,Settings!$E$26)&amp;"","$",""),",","")),0)/IF(Settings!$D$27="Yes",G727,1))</f>
        <v/>
      </c>
      <c r="J727" s="11">
        <f>IF(A727="","",F727+H727-I727)</f>
        <v/>
      </c>
      <c r="K727">
        <f>IF(A727="","",IFERROR(IF(B727="",NA(),MATCH(B727,Products!$B$5:$B$204,0)),IFERROR(MATCH(A727,Products!$A$5:$A$204,0),"")))</f>
        <v/>
      </c>
      <c r="L727">
        <f>IF(A727="","",IF(K727="","⚠ not in Products",INDEX(Products!$A$5:$A$204,K727)))</f>
        <v/>
      </c>
      <c r="M727" s="11">
        <f>IF(A727="","",J727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727+IFERROR(INDEX(Settings!$D$5:$D$9,MATCH("Shopify",Settings!$A$5:$A$9,0)),0)*D727)</f>
        <v/>
      </c>
      <c r="N727" s="11">
        <f>IF(A727="","",IF(K727="",0,D727*INDEX(Products!$I$5:$I$204,K727)))</f>
        <v/>
      </c>
      <c r="O727" s="11">
        <f>IF(A727="","",IF(K727="",0,J727*INDEX(Products!$H$5:$H$204,K727)))</f>
        <v/>
      </c>
      <c r="P727" s="11">
        <f>IF(A727="","",J727-M727-N727-O727)</f>
        <v/>
      </c>
    </row>
    <row r="728">
      <c r="A728">
        <f>IFERROR(INDEX('Shopify Import'!$A:$CZ,728,Settings!$E$20)&amp;"","")</f>
        <v/>
      </c>
      <c r="B728">
        <f>IFERROR(INDEX('Shopify Import'!$A:$CZ,728,Settings!$E$21)&amp;"","")</f>
        <v/>
      </c>
      <c r="C728">
        <f>IFERROR(INDEX('Shopify Import'!$A:$CZ,728,Settings!$E$22)&amp;"","")</f>
        <v/>
      </c>
      <c r="D728">
        <f>IF(A728="","",IFERROR(VALUE(SUBSTITUTE(SUBSTITUTE(INDEX('Shopify Import'!$A:$CZ,728,Settings!$E$23)&amp;"","$",""),",","")),0))</f>
        <v/>
      </c>
      <c r="E728" s="11">
        <f>IF(A728="","",IFERROR(VALUE(SUBSTITUTE(SUBSTITUTE(INDEX('Shopify Import'!$A:$CZ,728,Settings!$E$24)&amp;"","$",""),",","")),0))</f>
        <v/>
      </c>
      <c r="F728" s="11">
        <f>IF(A728="","",D728*E728)</f>
        <v/>
      </c>
      <c r="G728">
        <f>IF(A728="","",IF(C728="",1,COUNTIF($C$2:$C$1501,C728)))</f>
        <v/>
      </c>
      <c r="H728" s="11">
        <f>IF(A728="","",IFERROR(VALUE(SUBSTITUTE(SUBSTITUTE(INDEX('Shopify Import'!$A:$CZ,728,Settings!$E$25)&amp;"","$",""),",","")),0)/IF(Settings!$D$27="Yes",G728,1))</f>
        <v/>
      </c>
      <c r="I728" s="11">
        <f>IF(A728="","",IFERROR(VALUE(SUBSTITUTE(SUBSTITUTE(INDEX('Shopify Import'!$A:$CZ,728,Settings!$E$26)&amp;"","$",""),",","")),0)/IF(Settings!$D$27="Yes",G728,1))</f>
        <v/>
      </c>
      <c r="J728" s="11">
        <f>IF(A728="","",F728+H728-I728)</f>
        <v/>
      </c>
      <c r="K728">
        <f>IF(A728="","",IFERROR(IF(B728="",NA(),MATCH(B728,Products!$B$5:$B$204,0)),IFERROR(MATCH(A728,Products!$A$5:$A$204,0),"")))</f>
        <v/>
      </c>
      <c r="L728">
        <f>IF(A728="","",IF(K728="","⚠ not in Products",INDEX(Products!$A$5:$A$204,K728)))</f>
        <v/>
      </c>
      <c r="M728" s="11">
        <f>IF(A728="","",J728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728+IFERROR(INDEX(Settings!$D$5:$D$9,MATCH("Shopify",Settings!$A$5:$A$9,0)),0)*D728)</f>
        <v/>
      </c>
      <c r="N728" s="11">
        <f>IF(A728="","",IF(K728="",0,D728*INDEX(Products!$I$5:$I$204,K728)))</f>
        <v/>
      </c>
      <c r="O728" s="11">
        <f>IF(A728="","",IF(K728="",0,J728*INDEX(Products!$H$5:$H$204,K728)))</f>
        <v/>
      </c>
      <c r="P728" s="11">
        <f>IF(A728="","",J728-M728-N728-O728)</f>
        <v/>
      </c>
    </row>
    <row r="729">
      <c r="A729">
        <f>IFERROR(INDEX('Shopify Import'!$A:$CZ,729,Settings!$E$20)&amp;"","")</f>
        <v/>
      </c>
      <c r="B729">
        <f>IFERROR(INDEX('Shopify Import'!$A:$CZ,729,Settings!$E$21)&amp;"","")</f>
        <v/>
      </c>
      <c r="C729">
        <f>IFERROR(INDEX('Shopify Import'!$A:$CZ,729,Settings!$E$22)&amp;"","")</f>
        <v/>
      </c>
      <c r="D729">
        <f>IF(A729="","",IFERROR(VALUE(SUBSTITUTE(SUBSTITUTE(INDEX('Shopify Import'!$A:$CZ,729,Settings!$E$23)&amp;"","$",""),",","")),0))</f>
        <v/>
      </c>
      <c r="E729" s="11">
        <f>IF(A729="","",IFERROR(VALUE(SUBSTITUTE(SUBSTITUTE(INDEX('Shopify Import'!$A:$CZ,729,Settings!$E$24)&amp;"","$",""),",","")),0))</f>
        <v/>
      </c>
      <c r="F729" s="11">
        <f>IF(A729="","",D729*E729)</f>
        <v/>
      </c>
      <c r="G729">
        <f>IF(A729="","",IF(C729="",1,COUNTIF($C$2:$C$1501,C729)))</f>
        <v/>
      </c>
      <c r="H729" s="11">
        <f>IF(A729="","",IFERROR(VALUE(SUBSTITUTE(SUBSTITUTE(INDEX('Shopify Import'!$A:$CZ,729,Settings!$E$25)&amp;"","$",""),",","")),0)/IF(Settings!$D$27="Yes",G729,1))</f>
        <v/>
      </c>
      <c r="I729" s="11">
        <f>IF(A729="","",IFERROR(VALUE(SUBSTITUTE(SUBSTITUTE(INDEX('Shopify Import'!$A:$CZ,729,Settings!$E$26)&amp;"","$",""),",","")),0)/IF(Settings!$D$27="Yes",G729,1))</f>
        <v/>
      </c>
      <c r="J729" s="11">
        <f>IF(A729="","",F729+H729-I729)</f>
        <v/>
      </c>
      <c r="K729">
        <f>IF(A729="","",IFERROR(IF(B729="",NA(),MATCH(B729,Products!$B$5:$B$204,0)),IFERROR(MATCH(A729,Products!$A$5:$A$204,0),"")))</f>
        <v/>
      </c>
      <c r="L729">
        <f>IF(A729="","",IF(K729="","⚠ not in Products",INDEX(Products!$A$5:$A$204,K729)))</f>
        <v/>
      </c>
      <c r="M729" s="11">
        <f>IF(A729="","",J729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729+IFERROR(INDEX(Settings!$D$5:$D$9,MATCH("Shopify",Settings!$A$5:$A$9,0)),0)*D729)</f>
        <v/>
      </c>
      <c r="N729" s="11">
        <f>IF(A729="","",IF(K729="",0,D729*INDEX(Products!$I$5:$I$204,K729)))</f>
        <v/>
      </c>
      <c r="O729" s="11">
        <f>IF(A729="","",IF(K729="",0,J729*INDEX(Products!$H$5:$H$204,K729)))</f>
        <v/>
      </c>
      <c r="P729" s="11">
        <f>IF(A729="","",J729-M729-N729-O729)</f>
        <v/>
      </c>
    </row>
    <row r="730">
      <c r="A730">
        <f>IFERROR(INDEX('Shopify Import'!$A:$CZ,730,Settings!$E$20)&amp;"","")</f>
        <v/>
      </c>
      <c r="B730">
        <f>IFERROR(INDEX('Shopify Import'!$A:$CZ,730,Settings!$E$21)&amp;"","")</f>
        <v/>
      </c>
      <c r="C730">
        <f>IFERROR(INDEX('Shopify Import'!$A:$CZ,730,Settings!$E$22)&amp;"","")</f>
        <v/>
      </c>
      <c r="D730">
        <f>IF(A730="","",IFERROR(VALUE(SUBSTITUTE(SUBSTITUTE(INDEX('Shopify Import'!$A:$CZ,730,Settings!$E$23)&amp;"","$",""),",","")),0))</f>
        <v/>
      </c>
      <c r="E730" s="11">
        <f>IF(A730="","",IFERROR(VALUE(SUBSTITUTE(SUBSTITUTE(INDEX('Shopify Import'!$A:$CZ,730,Settings!$E$24)&amp;"","$",""),",","")),0))</f>
        <v/>
      </c>
      <c r="F730" s="11">
        <f>IF(A730="","",D730*E730)</f>
        <v/>
      </c>
      <c r="G730">
        <f>IF(A730="","",IF(C730="",1,COUNTIF($C$2:$C$1501,C730)))</f>
        <v/>
      </c>
      <c r="H730" s="11">
        <f>IF(A730="","",IFERROR(VALUE(SUBSTITUTE(SUBSTITUTE(INDEX('Shopify Import'!$A:$CZ,730,Settings!$E$25)&amp;"","$",""),",","")),0)/IF(Settings!$D$27="Yes",G730,1))</f>
        <v/>
      </c>
      <c r="I730" s="11">
        <f>IF(A730="","",IFERROR(VALUE(SUBSTITUTE(SUBSTITUTE(INDEX('Shopify Import'!$A:$CZ,730,Settings!$E$26)&amp;"","$",""),",","")),0)/IF(Settings!$D$27="Yes",G730,1))</f>
        <v/>
      </c>
      <c r="J730" s="11">
        <f>IF(A730="","",F730+H730-I730)</f>
        <v/>
      </c>
      <c r="K730">
        <f>IF(A730="","",IFERROR(IF(B730="",NA(),MATCH(B730,Products!$B$5:$B$204,0)),IFERROR(MATCH(A730,Products!$A$5:$A$204,0),"")))</f>
        <v/>
      </c>
      <c r="L730">
        <f>IF(A730="","",IF(K730="","⚠ not in Products",INDEX(Products!$A$5:$A$204,K730)))</f>
        <v/>
      </c>
      <c r="M730" s="11">
        <f>IF(A730="","",J730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730+IFERROR(INDEX(Settings!$D$5:$D$9,MATCH("Shopify",Settings!$A$5:$A$9,0)),0)*D730)</f>
        <v/>
      </c>
      <c r="N730" s="11">
        <f>IF(A730="","",IF(K730="",0,D730*INDEX(Products!$I$5:$I$204,K730)))</f>
        <v/>
      </c>
      <c r="O730" s="11">
        <f>IF(A730="","",IF(K730="",0,J730*INDEX(Products!$H$5:$H$204,K730)))</f>
        <v/>
      </c>
      <c r="P730" s="11">
        <f>IF(A730="","",J730-M730-N730-O730)</f>
        <v/>
      </c>
    </row>
    <row r="731">
      <c r="A731">
        <f>IFERROR(INDEX('Shopify Import'!$A:$CZ,731,Settings!$E$20)&amp;"","")</f>
        <v/>
      </c>
      <c r="B731">
        <f>IFERROR(INDEX('Shopify Import'!$A:$CZ,731,Settings!$E$21)&amp;"","")</f>
        <v/>
      </c>
      <c r="C731">
        <f>IFERROR(INDEX('Shopify Import'!$A:$CZ,731,Settings!$E$22)&amp;"","")</f>
        <v/>
      </c>
      <c r="D731">
        <f>IF(A731="","",IFERROR(VALUE(SUBSTITUTE(SUBSTITUTE(INDEX('Shopify Import'!$A:$CZ,731,Settings!$E$23)&amp;"","$",""),",","")),0))</f>
        <v/>
      </c>
      <c r="E731" s="11">
        <f>IF(A731="","",IFERROR(VALUE(SUBSTITUTE(SUBSTITUTE(INDEX('Shopify Import'!$A:$CZ,731,Settings!$E$24)&amp;"","$",""),",","")),0))</f>
        <v/>
      </c>
      <c r="F731" s="11">
        <f>IF(A731="","",D731*E731)</f>
        <v/>
      </c>
      <c r="G731">
        <f>IF(A731="","",IF(C731="",1,COUNTIF($C$2:$C$1501,C731)))</f>
        <v/>
      </c>
      <c r="H731" s="11">
        <f>IF(A731="","",IFERROR(VALUE(SUBSTITUTE(SUBSTITUTE(INDEX('Shopify Import'!$A:$CZ,731,Settings!$E$25)&amp;"","$",""),",","")),0)/IF(Settings!$D$27="Yes",G731,1))</f>
        <v/>
      </c>
      <c r="I731" s="11">
        <f>IF(A731="","",IFERROR(VALUE(SUBSTITUTE(SUBSTITUTE(INDEX('Shopify Import'!$A:$CZ,731,Settings!$E$26)&amp;"","$",""),",","")),0)/IF(Settings!$D$27="Yes",G731,1))</f>
        <v/>
      </c>
      <c r="J731" s="11">
        <f>IF(A731="","",F731+H731-I731)</f>
        <v/>
      </c>
      <c r="K731">
        <f>IF(A731="","",IFERROR(IF(B731="",NA(),MATCH(B731,Products!$B$5:$B$204,0)),IFERROR(MATCH(A731,Products!$A$5:$A$204,0),"")))</f>
        <v/>
      </c>
      <c r="L731">
        <f>IF(A731="","",IF(K731="","⚠ not in Products",INDEX(Products!$A$5:$A$204,K731)))</f>
        <v/>
      </c>
      <c r="M731" s="11">
        <f>IF(A731="","",J731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731+IFERROR(INDEX(Settings!$D$5:$D$9,MATCH("Shopify",Settings!$A$5:$A$9,0)),0)*D731)</f>
        <v/>
      </c>
      <c r="N731" s="11">
        <f>IF(A731="","",IF(K731="",0,D731*INDEX(Products!$I$5:$I$204,K731)))</f>
        <v/>
      </c>
      <c r="O731" s="11">
        <f>IF(A731="","",IF(K731="",0,J731*INDEX(Products!$H$5:$H$204,K731)))</f>
        <v/>
      </c>
      <c r="P731" s="11">
        <f>IF(A731="","",J731-M731-N731-O731)</f>
        <v/>
      </c>
    </row>
    <row r="732">
      <c r="A732">
        <f>IFERROR(INDEX('Shopify Import'!$A:$CZ,732,Settings!$E$20)&amp;"","")</f>
        <v/>
      </c>
      <c r="B732">
        <f>IFERROR(INDEX('Shopify Import'!$A:$CZ,732,Settings!$E$21)&amp;"","")</f>
        <v/>
      </c>
      <c r="C732">
        <f>IFERROR(INDEX('Shopify Import'!$A:$CZ,732,Settings!$E$22)&amp;"","")</f>
        <v/>
      </c>
      <c r="D732">
        <f>IF(A732="","",IFERROR(VALUE(SUBSTITUTE(SUBSTITUTE(INDEX('Shopify Import'!$A:$CZ,732,Settings!$E$23)&amp;"","$",""),",","")),0))</f>
        <v/>
      </c>
      <c r="E732" s="11">
        <f>IF(A732="","",IFERROR(VALUE(SUBSTITUTE(SUBSTITUTE(INDEX('Shopify Import'!$A:$CZ,732,Settings!$E$24)&amp;"","$",""),",","")),0))</f>
        <v/>
      </c>
      <c r="F732" s="11">
        <f>IF(A732="","",D732*E732)</f>
        <v/>
      </c>
      <c r="G732">
        <f>IF(A732="","",IF(C732="",1,COUNTIF($C$2:$C$1501,C732)))</f>
        <v/>
      </c>
      <c r="H732" s="11">
        <f>IF(A732="","",IFERROR(VALUE(SUBSTITUTE(SUBSTITUTE(INDEX('Shopify Import'!$A:$CZ,732,Settings!$E$25)&amp;"","$",""),",","")),0)/IF(Settings!$D$27="Yes",G732,1))</f>
        <v/>
      </c>
      <c r="I732" s="11">
        <f>IF(A732="","",IFERROR(VALUE(SUBSTITUTE(SUBSTITUTE(INDEX('Shopify Import'!$A:$CZ,732,Settings!$E$26)&amp;"","$",""),",","")),0)/IF(Settings!$D$27="Yes",G732,1))</f>
        <v/>
      </c>
      <c r="J732" s="11">
        <f>IF(A732="","",F732+H732-I732)</f>
        <v/>
      </c>
      <c r="K732">
        <f>IF(A732="","",IFERROR(IF(B732="",NA(),MATCH(B732,Products!$B$5:$B$204,0)),IFERROR(MATCH(A732,Products!$A$5:$A$204,0),"")))</f>
        <v/>
      </c>
      <c r="L732">
        <f>IF(A732="","",IF(K732="","⚠ not in Products",INDEX(Products!$A$5:$A$204,K732)))</f>
        <v/>
      </c>
      <c r="M732" s="11">
        <f>IF(A732="","",J732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732+IFERROR(INDEX(Settings!$D$5:$D$9,MATCH("Shopify",Settings!$A$5:$A$9,0)),0)*D732)</f>
        <v/>
      </c>
      <c r="N732" s="11">
        <f>IF(A732="","",IF(K732="",0,D732*INDEX(Products!$I$5:$I$204,K732)))</f>
        <v/>
      </c>
      <c r="O732" s="11">
        <f>IF(A732="","",IF(K732="",0,J732*INDEX(Products!$H$5:$H$204,K732)))</f>
        <v/>
      </c>
      <c r="P732" s="11">
        <f>IF(A732="","",J732-M732-N732-O732)</f>
        <v/>
      </c>
    </row>
    <row r="733">
      <c r="A733">
        <f>IFERROR(INDEX('Shopify Import'!$A:$CZ,733,Settings!$E$20)&amp;"","")</f>
        <v/>
      </c>
      <c r="B733">
        <f>IFERROR(INDEX('Shopify Import'!$A:$CZ,733,Settings!$E$21)&amp;"","")</f>
        <v/>
      </c>
      <c r="C733">
        <f>IFERROR(INDEX('Shopify Import'!$A:$CZ,733,Settings!$E$22)&amp;"","")</f>
        <v/>
      </c>
      <c r="D733">
        <f>IF(A733="","",IFERROR(VALUE(SUBSTITUTE(SUBSTITUTE(INDEX('Shopify Import'!$A:$CZ,733,Settings!$E$23)&amp;"","$",""),",","")),0))</f>
        <v/>
      </c>
      <c r="E733" s="11">
        <f>IF(A733="","",IFERROR(VALUE(SUBSTITUTE(SUBSTITUTE(INDEX('Shopify Import'!$A:$CZ,733,Settings!$E$24)&amp;"","$",""),",","")),0))</f>
        <v/>
      </c>
      <c r="F733" s="11">
        <f>IF(A733="","",D733*E733)</f>
        <v/>
      </c>
      <c r="G733">
        <f>IF(A733="","",IF(C733="",1,COUNTIF($C$2:$C$1501,C733)))</f>
        <v/>
      </c>
      <c r="H733" s="11">
        <f>IF(A733="","",IFERROR(VALUE(SUBSTITUTE(SUBSTITUTE(INDEX('Shopify Import'!$A:$CZ,733,Settings!$E$25)&amp;"","$",""),",","")),0)/IF(Settings!$D$27="Yes",G733,1))</f>
        <v/>
      </c>
      <c r="I733" s="11">
        <f>IF(A733="","",IFERROR(VALUE(SUBSTITUTE(SUBSTITUTE(INDEX('Shopify Import'!$A:$CZ,733,Settings!$E$26)&amp;"","$",""),",","")),0)/IF(Settings!$D$27="Yes",G733,1))</f>
        <v/>
      </c>
      <c r="J733" s="11">
        <f>IF(A733="","",F733+H733-I733)</f>
        <v/>
      </c>
      <c r="K733">
        <f>IF(A733="","",IFERROR(IF(B733="",NA(),MATCH(B733,Products!$B$5:$B$204,0)),IFERROR(MATCH(A733,Products!$A$5:$A$204,0),"")))</f>
        <v/>
      </c>
      <c r="L733">
        <f>IF(A733="","",IF(K733="","⚠ not in Products",INDEX(Products!$A$5:$A$204,K733)))</f>
        <v/>
      </c>
      <c r="M733" s="11">
        <f>IF(A733="","",J733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733+IFERROR(INDEX(Settings!$D$5:$D$9,MATCH("Shopify",Settings!$A$5:$A$9,0)),0)*D733)</f>
        <v/>
      </c>
      <c r="N733" s="11">
        <f>IF(A733="","",IF(K733="",0,D733*INDEX(Products!$I$5:$I$204,K733)))</f>
        <v/>
      </c>
      <c r="O733" s="11">
        <f>IF(A733="","",IF(K733="",0,J733*INDEX(Products!$H$5:$H$204,K733)))</f>
        <v/>
      </c>
      <c r="P733" s="11">
        <f>IF(A733="","",J733-M733-N733-O733)</f>
        <v/>
      </c>
    </row>
    <row r="734">
      <c r="A734">
        <f>IFERROR(INDEX('Shopify Import'!$A:$CZ,734,Settings!$E$20)&amp;"","")</f>
        <v/>
      </c>
      <c r="B734">
        <f>IFERROR(INDEX('Shopify Import'!$A:$CZ,734,Settings!$E$21)&amp;"","")</f>
        <v/>
      </c>
      <c r="C734">
        <f>IFERROR(INDEX('Shopify Import'!$A:$CZ,734,Settings!$E$22)&amp;"","")</f>
        <v/>
      </c>
      <c r="D734">
        <f>IF(A734="","",IFERROR(VALUE(SUBSTITUTE(SUBSTITUTE(INDEX('Shopify Import'!$A:$CZ,734,Settings!$E$23)&amp;"","$",""),",","")),0))</f>
        <v/>
      </c>
      <c r="E734" s="11">
        <f>IF(A734="","",IFERROR(VALUE(SUBSTITUTE(SUBSTITUTE(INDEX('Shopify Import'!$A:$CZ,734,Settings!$E$24)&amp;"","$",""),",","")),0))</f>
        <v/>
      </c>
      <c r="F734" s="11">
        <f>IF(A734="","",D734*E734)</f>
        <v/>
      </c>
      <c r="G734">
        <f>IF(A734="","",IF(C734="",1,COUNTIF($C$2:$C$1501,C734)))</f>
        <v/>
      </c>
      <c r="H734" s="11">
        <f>IF(A734="","",IFERROR(VALUE(SUBSTITUTE(SUBSTITUTE(INDEX('Shopify Import'!$A:$CZ,734,Settings!$E$25)&amp;"","$",""),",","")),0)/IF(Settings!$D$27="Yes",G734,1))</f>
        <v/>
      </c>
      <c r="I734" s="11">
        <f>IF(A734="","",IFERROR(VALUE(SUBSTITUTE(SUBSTITUTE(INDEX('Shopify Import'!$A:$CZ,734,Settings!$E$26)&amp;"","$",""),",","")),0)/IF(Settings!$D$27="Yes",G734,1))</f>
        <v/>
      </c>
      <c r="J734" s="11">
        <f>IF(A734="","",F734+H734-I734)</f>
        <v/>
      </c>
      <c r="K734">
        <f>IF(A734="","",IFERROR(IF(B734="",NA(),MATCH(B734,Products!$B$5:$B$204,0)),IFERROR(MATCH(A734,Products!$A$5:$A$204,0),"")))</f>
        <v/>
      </c>
      <c r="L734">
        <f>IF(A734="","",IF(K734="","⚠ not in Products",INDEX(Products!$A$5:$A$204,K734)))</f>
        <v/>
      </c>
      <c r="M734" s="11">
        <f>IF(A734="","",J734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734+IFERROR(INDEX(Settings!$D$5:$D$9,MATCH("Shopify",Settings!$A$5:$A$9,0)),0)*D734)</f>
        <v/>
      </c>
      <c r="N734" s="11">
        <f>IF(A734="","",IF(K734="",0,D734*INDEX(Products!$I$5:$I$204,K734)))</f>
        <v/>
      </c>
      <c r="O734" s="11">
        <f>IF(A734="","",IF(K734="",0,J734*INDEX(Products!$H$5:$H$204,K734)))</f>
        <v/>
      </c>
      <c r="P734" s="11">
        <f>IF(A734="","",J734-M734-N734-O734)</f>
        <v/>
      </c>
    </row>
    <row r="735">
      <c r="A735">
        <f>IFERROR(INDEX('Shopify Import'!$A:$CZ,735,Settings!$E$20)&amp;"","")</f>
        <v/>
      </c>
      <c r="B735">
        <f>IFERROR(INDEX('Shopify Import'!$A:$CZ,735,Settings!$E$21)&amp;"","")</f>
        <v/>
      </c>
      <c r="C735">
        <f>IFERROR(INDEX('Shopify Import'!$A:$CZ,735,Settings!$E$22)&amp;"","")</f>
        <v/>
      </c>
      <c r="D735">
        <f>IF(A735="","",IFERROR(VALUE(SUBSTITUTE(SUBSTITUTE(INDEX('Shopify Import'!$A:$CZ,735,Settings!$E$23)&amp;"","$",""),",","")),0))</f>
        <v/>
      </c>
      <c r="E735" s="11">
        <f>IF(A735="","",IFERROR(VALUE(SUBSTITUTE(SUBSTITUTE(INDEX('Shopify Import'!$A:$CZ,735,Settings!$E$24)&amp;"","$",""),",","")),0))</f>
        <v/>
      </c>
      <c r="F735" s="11">
        <f>IF(A735="","",D735*E735)</f>
        <v/>
      </c>
      <c r="G735">
        <f>IF(A735="","",IF(C735="",1,COUNTIF($C$2:$C$1501,C735)))</f>
        <v/>
      </c>
      <c r="H735" s="11">
        <f>IF(A735="","",IFERROR(VALUE(SUBSTITUTE(SUBSTITUTE(INDEX('Shopify Import'!$A:$CZ,735,Settings!$E$25)&amp;"","$",""),",","")),0)/IF(Settings!$D$27="Yes",G735,1))</f>
        <v/>
      </c>
      <c r="I735" s="11">
        <f>IF(A735="","",IFERROR(VALUE(SUBSTITUTE(SUBSTITUTE(INDEX('Shopify Import'!$A:$CZ,735,Settings!$E$26)&amp;"","$",""),",","")),0)/IF(Settings!$D$27="Yes",G735,1))</f>
        <v/>
      </c>
      <c r="J735" s="11">
        <f>IF(A735="","",F735+H735-I735)</f>
        <v/>
      </c>
      <c r="K735">
        <f>IF(A735="","",IFERROR(IF(B735="",NA(),MATCH(B735,Products!$B$5:$B$204,0)),IFERROR(MATCH(A735,Products!$A$5:$A$204,0),"")))</f>
        <v/>
      </c>
      <c r="L735">
        <f>IF(A735="","",IF(K735="","⚠ not in Products",INDEX(Products!$A$5:$A$204,K735)))</f>
        <v/>
      </c>
      <c r="M735" s="11">
        <f>IF(A735="","",J735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735+IFERROR(INDEX(Settings!$D$5:$D$9,MATCH("Shopify",Settings!$A$5:$A$9,0)),0)*D735)</f>
        <v/>
      </c>
      <c r="N735" s="11">
        <f>IF(A735="","",IF(K735="",0,D735*INDEX(Products!$I$5:$I$204,K735)))</f>
        <v/>
      </c>
      <c r="O735" s="11">
        <f>IF(A735="","",IF(K735="",0,J735*INDEX(Products!$H$5:$H$204,K735)))</f>
        <v/>
      </c>
      <c r="P735" s="11">
        <f>IF(A735="","",J735-M735-N735-O735)</f>
        <v/>
      </c>
    </row>
    <row r="736">
      <c r="A736">
        <f>IFERROR(INDEX('Shopify Import'!$A:$CZ,736,Settings!$E$20)&amp;"","")</f>
        <v/>
      </c>
      <c r="B736">
        <f>IFERROR(INDEX('Shopify Import'!$A:$CZ,736,Settings!$E$21)&amp;"","")</f>
        <v/>
      </c>
      <c r="C736">
        <f>IFERROR(INDEX('Shopify Import'!$A:$CZ,736,Settings!$E$22)&amp;"","")</f>
        <v/>
      </c>
      <c r="D736">
        <f>IF(A736="","",IFERROR(VALUE(SUBSTITUTE(SUBSTITUTE(INDEX('Shopify Import'!$A:$CZ,736,Settings!$E$23)&amp;"","$",""),",","")),0))</f>
        <v/>
      </c>
      <c r="E736" s="11">
        <f>IF(A736="","",IFERROR(VALUE(SUBSTITUTE(SUBSTITUTE(INDEX('Shopify Import'!$A:$CZ,736,Settings!$E$24)&amp;"","$",""),",","")),0))</f>
        <v/>
      </c>
      <c r="F736" s="11">
        <f>IF(A736="","",D736*E736)</f>
        <v/>
      </c>
      <c r="G736">
        <f>IF(A736="","",IF(C736="",1,COUNTIF($C$2:$C$1501,C736)))</f>
        <v/>
      </c>
      <c r="H736" s="11">
        <f>IF(A736="","",IFERROR(VALUE(SUBSTITUTE(SUBSTITUTE(INDEX('Shopify Import'!$A:$CZ,736,Settings!$E$25)&amp;"","$",""),",","")),0)/IF(Settings!$D$27="Yes",G736,1))</f>
        <v/>
      </c>
      <c r="I736" s="11">
        <f>IF(A736="","",IFERROR(VALUE(SUBSTITUTE(SUBSTITUTE(INDEX('Shopify Import'!$A:$CZ,736,Settings!$E$26)&amp;"","$",""),",","")),0)/IF(Settings!$D$27="Yes",G736,1))</f>
        <v/>
      </c>
      <c r="J736" s="11">
        <f>IF(A736="","",F736+H736-I736)</f>
        <v/>
      </c>
      <c r="K736">
        <f>IF(A736="","",IFERROR(IF(B736="",NA(),MATCH(B736,Products!$B$5:$B$204,0)),IFERROR(MATCH(A736,Products!$A$5:$A$204,0),"")))</f>
        <v/>
      </c>
      <c r="L736">
        <f>IF(A736="","",IF(K736="","⚠ not in Products",INDEX(Products!$A$5:$A$204,K736)))</f>
        <v/>
      </c>
      <c r="M736" s="11">
        <f>IF(A736="","",J736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736+IFERROR(INDEX(Settings!$D$5:$D$9,MATCH("Shopify",Settings!$A$5:$A$9,0)),0)*D736)</f>
        <v/>
      </c>
      <c r="N736" s="11">
        <f>IF(A736="","",IF(K736="",0,D736*INDEX(Products!$I$5:$I$204,K736)))</f>
        <v/>
      </c>
      <c r="O736" s="11">
        <f>IF(A736="","",IF(K736="",0,J736*INDEX(Products!$H$5:$H$204,K736)))</f>
        <v/>
      </c>
      <c r="P736" s="11">
        <f>IF(A736="","",J736-M736-N736-O736)</f>
        <v/>
      </c>
    </row>
    <row r="737">
      <c r="A737">
        <f>IFERROR(INDEX('Shopify Import'!$A:$CZ,737,Settings!$E$20)&amp;"","")</f>
        <v/>
      </c>
      <c r="B737">
        <f>IFERROR(INDEX('Shopify Import'!$A:$CZ,737,Settings!$E$21)&amp;"","")</f>
        <v/>
      </c>
      <c r="C737">
        <f>IFERROR(INDEX('Shopify Import'!$A:$CZ,737,Settings!$E$22)&amp;"","")</f>
        <v/>
      </c>
      <c r="D737">
        <f>IF(A737="","",IFERROR(VALUE(SUBSTITUTE(SUBSTITUTE(INDEX('Shopify Import'!$A:$CZ,737,Settings!$E$23)&amp;"","$",""),",","")),0))</f>
        <v/>
      </c>
      <c r="E737" s="11">
        <f>IF(A737="","",IFERROR(VALUE(SUBSTITUTE(SUBSTITUTE(INDEX('Shopify Import'!$A:$CZ,737,Settings!$E$24)&amp;"","$",""),",","")),0))</f>
        <v/>
      </c>
      <c r="F737" s="11">
        <f>IF(A737="","",D737*E737)</f>
        <v/>
      </c>
      <c r="G737">
        <f>IF(A737="","",IF(C737="",1,COUNTIF($C$2:$C$1501,C737)))</f>
        <v/>
      </c>
      <c r="H737" s="11">
        <f>IF(A737="","",IFERROR(VALUE(SUBSTITUTE(SUBSTITUTE(INDEX('Shopify Import'!$A:$CZ,737,Settings!$E$25)&amp;"","$",""),",","")),0)/IF(Settings!$D$27="Yes",G737,1))</f>
        <v/>
      </c>
      <c r="I737" s="11">
        <f>IF(A737="","",IFERROR(VALUE(SUBSTITUTE(SUBSTITUTE(INDEX('Shopify Import'!$A:$CZ,737,Settings!$E$26)&amp;"","$",""),",","")),0)/IF(Settings!$D$27="Yes",G737,1))</f>
        <v/>
      </c>
      <c r="J737" s="11">
        <f>IF(A737="","",F737+H737-I737)</f>
        <v/>
      </c>
      <c r="K737">
        <f>IF(A737="","",IFERROR(IF(B737="",NA(),MATCH(B737,Products!$B$5:$B$204,0)),IFERROR(MATCH(A737,Products!$A$5:$A$204,0),"")))</f>
        <v/>
      </c>
      <c r="L737">
        <f>IF(A737="","",IF(K737="","⚠ not in Products",INDEX(Products!$A$5:$A$204,K737)))</f>
        <v/>
      </c>
      <c r="M737" s="11">
        <f>IF(A737="","",J737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737+IFERROR(INDEX(Settings!$D$5:$D$9,MATCH("Shopify",Settings!$A$5:$A$9,0)),0)*D737)</f>
        <v/>
      </c>
      <c r="N737" s="11">
        <f>IF(A737="","",IF(K737="",0,D737*INDEX(Products!$I$5:$I$204,K737)))</f>
        <v/>
      </c>
      <c r="O737" s="11">
        <f>IF(A737="","",IF(K737="",0,J737*INDEX(Products!$H$5:$H$204,K737)))</f>
        <v/>
      </c>
      <c r="P737" s="11">
        <f>IF(A737="","",J737-M737-N737-O737)</f>
        <v/>
      </c>
    </row>
    <row r="738">
      <c r="A738">
        <f>IFERROR(INDEX('Shopify Import'!$A:$CZ,738,Settings!$E$20)&amp;"","")</f>
        <v/>
      </c>
      <c r="B738">
        <f>IFERROR(INDEX('Shopify Import'!$A:$CZ,738,Settings!$E$21)&amp;"","")</f>
        <v/>
      </c>
      <c r="C738">
        <f>IFERROR(INDEX('Shopify Import'!$A:$CZ,738,Settings!$E$22)&amp;"","")</f>
        <v/>
      </c>
      <c r="D738">
        <f>IF(A738="","",IFERROR(VALUE(SUBSTITUTE(SUBSTITUTE(INDEX('Shopify Import'!$A:$CZ,738,Settings!$E$23)&amp;"","$",""),",","")),0))</f>
        <v/>
      </c>
      <c r="E738" s="11">
        <f>IF(A738="","",IFERROR(VALUE(SUBSTITUTE(SUBSTITUTE(INDEX('Shopify Import'!$A:$CZ,738,Settings!$E$24)&amp;"","$",""),",","")),0))</f>
        <v/>
      </c>
      <c r="F738" s="11">
        <f>IF(A738="","",D738*E738)</f>
        <v/>
      </c>
      <c r="G738">
        <f>IF(A738="","",IF(C738="",1,COUNTIF($C$2:$C$1501,C738)))</f>
        <v/>
      </c>
      <c r="H738" s="11">
        <f>IF(A738="","",IFERROR(VALUE(SUBSTITUTE(SUBSTITUTE(INDEX('Shopify Import'!$A:$CZ,738,Settings!$E$25)&amp;"","$",""),",","")),0)/IF(Settings!$D$27="Yes",G738,1))</f>
        <v/>
      </c>
      <c r="I738" s="11">
        <f>IF(A738="","",IFERROR(VALUE(SUBSTITUTE(SUBSTITUTE(INDEX('Shopify Import'!$A:$CZ,738,Settings!$E$26)&amp;"","$",""),",","")),0)/IF(Settings!$D$27="Yes",G738,1))</f>
        <v/>
      </c>
      <c r="J738" s="11">
        <f>IF(A738="","",F738+H738-I738)</f>
        <v/>
      </c>
      <c r="K738">
        <f>IF(A738="","",IFERROR(IF(B738="",NA(),MATCH(B738,Products!$B$5:$B$204,0)),IFERROR(MATCH(A738,Products!$A$5:$A$204,0),"")))</f>
        <v/>
      </c>
      <c r="L738">
        <f>IF(A738="","",IF(K738="","⚠ not in Products",INDEX(Products!$A$5:$A$204,K738)))</f>
        <v/>
      </c>
      <c r="M738" s="11">
        <f>IF(A738="","",J738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738+IFERROR(INDEX(Settings!$D$5:$D$9,MATCH("Shopify",Settings!$A$5:$A$9,0)),0)*D738)</f>
        <v/>
      </c>
      <c r="N738" s="11">
        <f>IF(A738="","",IF(K738="",0,D738*INDEX(Products!$I$5:$I$204,K738)))</f>
        <v/>
      </c>
      <c r="O738" s="11">
        <f>IF(A738="","",IF(K738="",0,J738*INDEX(Products!$H$5:$H$204,K738)))</f>
        <v/>
      </c>
      <c r="P738" s="11">
        <f>IF(A738="","",J738-M738-N738-O738)</f>
        <v/>
      </c>
    </row>
    <row r="739">
      <c r="A739">
        <f>IFERROR(INDEX('Shopify Import'!$A:$CZ,739,Settings!$E$20)&amp;"","")</f>
        <v/>
      </c>
      <c r="B739">
        <f>IFERROR(INDEX('Shopify Import'!$A:$CZ,739,Settings!$E$21)&amp;"","")</f>
        <v/>
      </c>
      <c r="C739">
        <f>IFERROR(INDEX('Shopify Import'!$A:$CZ,739,Settings!$E$22)&amp;"","")</f>
        <v/>
      </c>
      <c r="D739">
        <f>IF(A739="","",IFERROR(VALUE(SUBSTITUTE(SUBSTITUTE(INDEX('Shopify Import'!$A:$CZ,739,Settings!$E$23)&amp;"","$",""),",","")),0))</f>
        <v/>
      </c>
      <c r="E739" s="11">
        <f>IF(A739="","",IFERROR(VALUE(SUBSTITUTE(SUBSTITUTE(INDEX('Shopify Import'!$A:$CZ,739,Settings!$E$24)&amp;"","$",""),",","")),0))</f>
        <v/>
      </c>
      <c r="F739" s="11">
        <f>IF(A739="","",D739*E739)</f>
        <v/>
      </c>
      <c r="G739">
        <f>IF(A739="","",IF(C739="",1,COUNTIF($C$2:$C$1501,C739)))</f>
        <v/>
      </c>
      <c r="H739" s="11">
        <f>IF(A739="","",IFERROR(VALUE(SUBSTITUTE(SUBSTITUTE(INDEX('Shopify Import'!$A:$CZ,739,Settings!$E$25)&amp;"","$",""),",","")),0)/IF(Settings!$D$27="Yes",G739,1))</f>
        <v/>
      </c>
      <c r="I739" s="11">
        <f>IF(A739="","",IFERROR(VALUE(SUBSTITUTE(SUBSTITUTE(INDEX('Shopify Import'!$A:$CZ,739,Settings!$E$26)&amp;"","$",""),",","")),0)/IF(Settings!$D$27="Yes",G739,1))</f>
        <v/>
      </c>
      <c r="J739" s="11">
        <f>IF(A739="","",F739+H739-I739)</f>
        <v/>
      </c>
      <c r="K739">
        <f>IF(A739="","",IFERROR(IF(B739="",NA(),MATCH(B739,Products!$B$5:$B$204,0)),IFERROR(MATCH(A739,Products!$A$5:$A$204,0),"")))</f>
        <v/>
      </c>
      <c r="L739">
        <f>IF(A739="","",IF(K739="","⚠ not in Products",INDEX(Products!$A$5:$A$204,K739)))</f>
        <v/>
      </c>
      <c r="M739" s="11">
        <f>IF(A739="","",J739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739+IFERROR(INDEX(Settings!$D$5:$D$9,MATCH("Shopify",Settings!$A$5:$A$9,0)),0)*D739)</f>
        <v/>
      </c>
      <c r="N739" s="11">
        <f>IF(A739="","",IF(K739="",0,D739*INDEX(Products!$I$5:$I$204,K739)))</f>
        <v/>
      </c>
      <c r="O739" s="11">
        <f>IF(A739="","",IF(K739="",0,J739*INDEX(Products!$H$5:$H$204,K739)))</f>
        <v/>
      </c>
      <c r="P739" s="11">
        <f>IF(A739="","",J739-M739-N739-O739)</f>
        <v/>
      </c>
    </row>
    <row r="740">
      <c r="A740">
        <f>IFERROR(INDEX('Shopify Import'!$A:$CZ,740,Settings!$E$20)&amp;"","")</f>
        <v/>
      </c>
      <c r="B740">
        <f>IFERROR(INDEX('Shopify Import'!$A:$CZ,740,Settings!$E$21)&amp;"","")</f>
        <v/>
      </c>
      <c r="C740">
        <f>IFERROR(INDEX('Shopify Import'!$A:$CZ,740,Settings!$E$22)&amp;"","")</f>
        <v/>
      </c>
      <c r="D740">
        <f>IF(A740="","",IFERROR(VALUE(SUBSTITUTE(SUBSTITUTE(INDEX('Shopify Import'!$A:$CZ,740,Settings!$E$23)&amp;"","$",""),",","")),0))</f>
        <v/>
      </c>
      <c r="E740" s="11">
        <f>IF(A740="","",IFERROR(VALUE(SUBSTITUTE(SUBSTITUTE(INDEX('Shopify Import'!$A:$CZ,740,Settings!$E$24)&amp;"","$",""),",","")),0))</f>
        <v/>
      </c>
      <c r="F740" s="11">
        <f>IF(A740="","",D740*E740)</f>
        <v/>
      </c>
      <c r="G740">
        <f>IF(A740="","",IF(C740="",1,COUNTIF($C$2:$C$1501,C740)))</f>
        <v/>
      </c>
      <c r="H740" s="11">
        <f>IF(A740="","",IFERROR(VALUE(SUBSTITUTE(SUBSTITUTE(INDEX('Shopify Import'!$A:$CZ,740,Settings!$E$25)&amp;"","$",""),",","")),0)/IF(Settings!$D$27="Yes",G740,1))</f>
        <v/>
      </c>
      <c r="I740" s="11">
        <f>IF(A740="","",IFERROR(VALUE(SUBSTITUTE(SUBSTITUTE(INDEX('Shopify Import'!$A:$CZ,740,Settings!$E$26)&amp;"","$",""),",","")),0)/IF(Settings!$D$27="Yes",G740,1))</f>
        <v/>
      </c>
      <c r="J740" s="11">
        <f>IF(A740="","",F740+H740-I740)</f>
        <v/>
      </c>
      <c r="K740">
        <f>IF(A740="","",IFERROR(IF(B740="",NA(),MATCH(B740,Products!$B$5:$B$204,0)),IFERROR(MATCH(A740,Products!$A$5:$A$204,0),"")))</f>
        <v/>
      </c>
      <c r="L740">
        <f>IF(A740="","",IF(K740="","⚠ not in Products",INDEX(Products!$A$5:$A$204,K740)))</f>
        <v/>
      </c>
      <c r="M740" s="11">
        <f>IF(A740="","",J740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740+IFERROR(INDEX(Settings!$D$5:$D$9,MATCH("Shopify",Settings!$A$5:$A$9,0)),0)*D740)</f>
        <v/>
      </c>
      <c r="N740" s="11">
        <f>IF(A740="","",IF(K740="",0,D740*INDEX(Products!$I$5:$I$204,K740)))</f>
        <v/>
      </c>
      <c r="O740" s="11">
        <f>IF(A740="","",IF(K740="",0,J740*INDEX(Products!$H$5:$H$204,K740)))</f>
        <v/>
      </c>
      <c r="P740" s="11">
        <f>IF(A740="","",J740-M740-N740-O740)</f>
        <v/>
      </c>
    </row>
    <row r="741">
      <c r="A741">
        <f>IFERROR(INDEX('Shopify Import'!$A:$CZ,741,Settings!$E$20)&amp;"","")</f>
        <v/>
      </c>
      <c r="B741">
        <f>IFERROR(INDEX('Shopify Import'!$A:$CZ,741,Settings!$E$21)&amp;"","")</f>
        <v/>
      </c>
      <c r="C741">
        <f>IFERROR(INDEX('Shopify Import'!$A:$CZ,741,Settings!$E$22)&amp;"","")</f>
        <v/>
      </c>
      <c r="D741">
        <f>IF(A741="","",IFERROR(VALUE(SUBSTITUTE(SUBSTITUTE(INDEX('Shopify Import'!$A:$CZ,741,Settings!$E$23)&amp;"","$",""),",","")),0))</f>
        <v/>
      </c>
      <c r="E741" s="11">
        <f>IF(A741="","",IFERROR(VALUE(SUBSTITUTE(SUBSTITUTE(INDEX('Shopify Import'!$A:$CZ,741,Settings!$E$24)&amp;"","$",""),",","")),0))</f>
        <v/>
      </c>
      <c r="F741" s="11">
        <f>IF(A741="","",D741*E741)</f>
        <v/>
      </c>
      <c r="G741">
        <f>IF(A741="","",IF(C741="",1,COUNTIF($C$2:$C$1501,C741)))</f>
        <v/>
      </c>
      <c r="H741" s="11">
        <f>IF(A741="","",IFERROR(VALUE(SUBSTITUTE(SUBSTITUTE(INDEX('Shopify Import'!$A:$CZ,741,Settings!$E$25)&amp;"","$",""),",","")),0)/IF(Settings!$D$27="Yes",G741,1))</f>
        <v/>
      </c>
      <c r="I741" s="11">
        <f>IF(A741="","",IFERROR(VALUE(SUBSTITUTE(SUBSTITUTE(INDEX('Shopify Import'!$A:$CZ,741,Settings!$E$26)&amp;"","$",""),",","")),0)/IF(Settings!$D$27="Yes",G741,1))</f>
        <v/>
      </c>
      <c r="J741" s="11">
        <f>IF(A741="","",F741+H741-I741)</f>
        <v/>
      </c>
      <c r="K741">
        <f>IF(A741="","",IFERROR(IF(B741="",NA(),MATCH(B741,Products!$B$5:$B$204,0)),IFERROR(MATCH(A741,Products!$A$5:$A$204,0),"")))</f>
        <v/>
      </c>
      <c r="L741">
        <f>IF(A741="","",IF(K741="","⚠ not in Products",INDEX(Products!$A$5:$A$204,K741)))</f>
        <v/>
      </c>
      <c r="M741" s="11">
        <f>IF(A741="","",J741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741+IFERROR(INDEX(Settings!$D$5:$D$9,MATCH("Shopify",Settings!$A$5:$A$9,0)),0)*D741)</f>
        <v/>
      </c>
      <c r="N741" s="11">
        <f>IF(A741="","",IF(K741="",0,D741*INDEX(Products!$I$5:$I$204,K741)))</f>
        <v/>
      </c>
      <c r="O741" s="11">
        <f>IF(A741="","",IF(K741="",0,J741*INDEX(Products!$H$5:$H$204,K741)))</f>
        <v/>
      </c>
      <c r="P741" s="11">
        <f>IF(A741="","",J741-M741-N741-O741)</f>
        <v/>
      </c>
    </row>
    <row r="742">
      <c r="A742">
        <f>IFERROR(INDEX('Shopify Import'!$A:$CZ,742,Settings!$E$20)&amp;"","")</f>
        <v/>
      </c>
      <c r="B742">
        <f>IFERROR(INDEX('Shopify Import'!$A:$CZ,742,Settings!$E$21)&amp;"","")</f>
        <v/>
      </c>
      <c r="C742">
        <f>IFERROR(INDEX('Shopify Import'!$A:$CZ,742,Settings!$E$22)&amp;"","")</f>
        <v/>
      </c>
      <c r="D742">
        <f>IF(A742="","",IFERROR(VALUE(SUBSTITUTE(SUBSTITUTE(INDEX('Shopify Import'!$A:$CZ,742,Settings!$E$23)&amp;"","$",""),",","")),0))</f>
        <v/>
      </c>
      <c r="E742" s="11">
        <f>IF(A742="","",IFERROR(VALUE(SUBSTITUTE(SUBSTITUTE(INDEX('Shopify Import'!$A:$CZ,742,Settings!$E$24)&amp;"","$",""),",","")),0))</f>
        <v/>
      </c>
      <c r="F742" s="11">
        <f>IF(A742="","",D742*E742)</f>
        <v/>
      </c>
      <c r="G742">
        <f>IF(A742="","",IF(C742="",1,COUNTIF($C$2:$C$1501,C742)))</f>
        <v/>
      </c>
      <c r="H742" s="11">
        <f>IF(A742="","",IFERROR(VALUE(SUBSTITUTE(SUBSTITUTE(INDEX('Shopify Import'!$A:$CZ,742,Settings!$E$25)&amp;"","$",""),",","")),0)/IF(Settings!$D$27="Yes",G742,1))</f>
        <v/>
      </c>
      <c r="I742" s="11">
        <f>IF(A742="","",IFERROR(VALUE(SUBSTITUTE(SUBSTITUTE(INDEX('Shopify Import'!$A:$CZ,742,Settings!$E$26)&amp;"","$",""),",","")),0)/IF(Settings!$D$27="Yes",G742,1))</f>
        <v/>
      </c>
      <c r="J742" s="11">
        <f>IF(A742="","",F742+H742-I742)</f>
        <v/>
      </c>
      <c r="K742">
        <f>IF(A742="","",IFERROR(IF(B742="",NA(),MATCH(B742,Products!$B$5:$B$204,0)),IFERROR(MATCH(A742,Products!$A$5:$A$204,0),"")))</f>
        <v/>
      </c>
      <c r="L742">
        <f>IF(A742="","",IF(K742="","⚠ not in Products",INDEX(Products!$A$5:$A$204,K742)))</f>
        <v/>
      </c>
      <c r="M742" s="11">
        <f>IF(A742="","",J742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742+IFERROR(INDEX(Settings!$D$5:$D$9,MATCH("Shopify",Settings!$A$5:$A$9,0)),0)*D742)</f>
        <v/>
      </c>
      <c r="N742" s="11">
        <f>IF(A742="","",IF(K742="",0,D742*INDEX(Products!$I$5:$I$204,K742)))</f>
        <v/>
      </c>
      <c r="O742" s="11">
        <f>IF(A742="","",IF(K742="",0,J742*INDEX(Products!$H$5:$H$204,K742)))</f>
        <v/>
      </c>
      <c r="P742" s="11">
        <f>IF(A742="","",J742-M742-N742-O742)</f>
        <v/>
      </c>
    </row>
    <row r="743">
      <c r="A743">
        <f>IFERROR(INDEX('Shopify Import'!$A:$CZ,743,Settings!$E$20)&amp;"","")</f>
        <v/>
      </c>
      <c r="B743">
        <f>IFERROR(INDEX('Shopify Import'!$A:$CZ,743,Settings!$E$21)&amp;"","")</f>
        <v/>
      </c>
      <c r="C743">
        <f>IFERROR(INDEX('Shopify Import'!$A:$CZ,743,Settings!$E$22)&amp;"","")</f>
        <v/>
      </c>
      <c r="D743">
        <f>IF(A743="","",IFERROR(VALUE(SUBSTITUTE(SUBSTITUTE(INDEX('Shopify Import'!$A:$CZ,743,Settings!$E$23)&amp;"","$",""),",","")),0))</f>
        <v/>
      </c>
      <c r="E743" s="11">
        <f>IF(A743="","",IFERROR(VALUE(SUBSTITUTE(SUBSTITUTE(INDEX('Shopify Import'!$A:$CZ,743,Settings!$E$24)&amp;"","$",""),",","")),0))</f>
        <v/>
      </c>
      <c r="F743" s="11">
        <f>IF(A743="","",D743*E743)</f>
        <v/>
      </c>
      <c r="G743">
        <f>IF(A743="","",IF(C743="",1,COUNTIF($C$2:$C$1501,C743)))</f>
        <v/>
      </c>
      <c r="H743" s="11">
        <f>IF(A743="","",IFERROR(VALUE(SUBSTITUTE(SUBSTITUTE(INDEX('Shopify Import'!$A:$CZ,743,Settings!$E$25)&amp;"","$",""),",","")),0)/IF(Settings!$D$27="Yes",G743,1))</f>
        <v/>
      </c>
      <c r="I743" s="11">
        <f>IF(A743="","",IFERROR(VALUE(SUBSTITUTE(SUBSTITUTE(INDEX('Shopify Import'!$A:$CZ,743,Settings!$E$26)&amp;"","$",""),",","")),0)/IF(Settings!$D$27="Yes",G743,1))</f>
        <v/>
      </c>
      <c r="J743" s="11">
        <f>IF(A743="","",F743+H743-I743)</f>
        <v/>
      </c>
      <c r="K743">
        <f>IF(A743="","",IFERROR(IF(B743="",NA(),MATCH(B743,Products!$B$5:$B$204,0)),IFERROR(MATCH(A743,Products!$A$5:$A$204,0),"")))</f>
        <v/>
      </c>
      <c r="L743">
        <f>IF(A743="","",IF(K743="","⚠ not in Products",INDEX(Products!$A$5:$A$204,K743)))</f>
        <v/>
      </c>
      <c r="M743" s="11">
        <f>IF(A743="","",J743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743+IFERROR(INDEX(Settings!$D$5:$D$9,MATCH("Shopify",Settings!$A$5:$A$9,0)),0)*D743)</f>
        <v/>
      </c>
      <c r="N743" s="11">
        <f>IF(A743="","",IF(K743="",0,D743*INDEX(Products!$I$5:$I$204,K743)))</f>
        <v/>
      </c>
      <c r="O743" s="11">
        <f>IF(A743="","",IF(K743="",0,J743*INDEX(Products!$H$5:$H$204,K743)))</f>
        <v/>
      </c>
      <c r="P743" s="11">
        <f>IF(A743="","",J743-M743-N743-O743)</f>
        <v/>
      </c>
    </row>
    <row r="744">
      <c r="A744">
        <f>IFERROR(INDEX('Shopify Import'!$A:$CZ,744,Settings!$E$20)&amp;"","")</f>
        <v/>
      </c>
      <c r="B744">
        <f>IFERROR(INDEX('Shopify Import'!$A:$CZ,744,Settings!$E$21)&amp;"","")</f>
        <v/>
      </c>
      <c r="C744">
        <f>IFERROR(INDEX('Shopify Import'!$A:$CZ,744,Settings!$E$22)&amp;"","")</f>
        <v/>
      </c>
      <c r="D744">
        <f>IF(A744="","",IFERROR(VALUE(SUBSTITUTE(SUBSTITUTE(INDEX('Shopify Import'!$A:$CZ,744,Settings!$E$23)&amp;"","$",""),",","")),0))</f>
        <v/>
      </c>
      <c r="E744" s="11">
        <f>IF(A744="","",IFERROR(VALUE(SUBSTITUTE(SUBSTITUTE(INDEX('Shopify Import'!$A:$CZ,744,Settings!$E$24)&amp;"","$",""),",","")),0))</f>
        <v/>
      </c>
      <c r="F744" s="11">
        <f>IF(A744="","",D744*E744)</f>
        <v/>
      </c>
      <c r="G744">
        <f>IF(A744="","",IF(C744="",1,COUNTIF($C$2:$C$1501,C744)))</f>
        <v/>
      </c>
      <c r="H744" s="11">
        <f>IF(A744="","",IFERROR(VALUE(SUBSTITUTE(SUBSTITUTE(INDEX('Shopify Import'!$A:$CZ,744,Settings!$E$25)&amp;"","$",""),",","")),0)/IF(Settings!$D$27="Yes",G744,1))</f>
        <v/>
      </c>
      <c r="I744" s="11">
        <f>IF(A744="","",IFERROR(VALUE(SUBSTITUTE(SUBSTITUTE(INDEX('Shopify Import'!$A:$CZ,744,Settings!$E$26)&amp;"","$",""),",","")),0)/IF(Settings!$D$27="Yes",G744,1))</f>
        <v/>
      </c>
      <c r="J744" s="11">
        <f>IF(A744="","",F744+H744-I744)</f>
        <v/>
      </c>
      <c r="K744">
        <f>IF(A744="","",IFERROR(IF(B744="",NA(),MATCH(B744,Products!$B$5:$B$204,0)),IFERROR(MATCH(A744,Products!$A$5:$A$204,0),"")))</f>
        <v/>
      </c>
      <c r="L744">
        <f>IF(A744="","",IF(K744="","⚠ not in Products",INDEX(Products!$A$5:$A$204,K744)))</f>
        <v/>
      </c>
      <c r="M744" s="11">
        <f>IF(A744="","",J744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744+IFERROR(INDEX(Settings!$D$5:$D$9,MATCH("Shopify",Settings!$A$5:$A$9,0)),0)*D744)</f>
        <v/>
      </c>
      <c r="N744" s="11">
        <f>IF(A744="","",IF(K744="",0,D744*INDEX(Products!$I$5:$I$204,K744)))</f>
        <v/>
      </c>
      <c r="O744" s="11">
        <f>IF(A744="","",IF(K744="",0,J744*INDEX(Products!$H$5:$H$204,K744)))</f>
        <v/>
      </c>
      <c r="P744" s="11">
        <f>IF(A744="","",J744-M744-N744-O744)</f>
        <v/>
      </c>
    </row>
    <row r="745">
      <c r="A745">
        <f>IFERROR(INDEX('Shopify Import'!$A:$CZ,745,Settings!$E$20)&amp;"","")</f>
        <v/>
      </c>
      <c r="B745">
        <f>IFERROR(INDEX('Shopify Import'!$A:$CZ,745,Settings!$E$21)&amp;"","")</f>
        <v/>
      </c>
      <c r="C745">
        <f>IFERROR(INDEX('Shopify Import'!$A:$CZ,745,Settings!$E$22)&amp;"","")</f>
        <v/>
      </c>
      <c r="D745">
        <f>IF(A745="","",IFERROR(VALUE(SUBSTITUTE(SUBSTITUTE(INDEX('Shopify Import'!$A:$CZ,745,Settings!$E$23)&amp;"","$",""),",","")),0))</f>
        <v/>
      </c>
      <c r="E745" s="11">
        <f>IF(A745="","",IFERROR(VALUE(SUBSTITUTE(SUBSTITUTE(INDEX('Shopify Import'!$A:$CZ,745,Settings!$E$24)&amp;"","$",""),",","")),0))</f>
        <v/>
      </c>
      <c r="F745" s="11">
        <f>IF(A745="","",D745*E745)</f>
        <v/>
      </c>
      <c r="G745">
        <f>IF(A745="","",IF(C745="",1,COUNTIF($C$2:$C$1501,C745)))</f>
        <v/>
      </c>
      <c r="H745" s="11">
        <f>IF(A745="","",IFERROR(VALUE(SUBSTITUTE(SUBSTITUTE(INDEX('Shopify Import'!$A:$CZ,745,Settings!$E$25)&amp;"","$",""),",","")),0)/IF(Settings!$D$27="Yes",G745,1))</f>
        <v/>
      </c>
      <c r="I745" s="11">
        <f>IF(A745="","",IFERROR(VALUE(SUBSTITUTE(SUBSTITUTE(INDEX('Shopify Import'!$A:$CZ,745,Settings!$E$26)&amp;"","$",""),",","")),0)/IF(Settings!$D$27="Yes",G745,1))</f>
        <v/>
      </c>
      <c r="J745" s="11">
        <f>IF(A745="","",F745+H745-I745)</f>
        <v/>
      </c>
      <c r="K745">
        <f>IF(A745="","",IFERROR(IF(B745="",NA(),MATCH(B745,Products!$B$5:$B$204,0)),IFERROR(MATCH(A745,Products!$A$5:$A$204,0),"")))</f>
        <v/>
      </c>
      <c r="L745">
        <f>IF(A745="","",IF(K745="","⚠ not in Products",INDEX(Products!$A$5:$A$204,K745)))</f>
        <v/>
      </c>
      <c r="M745" s="11">
        <f>IF(A745="","",J745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745+IFERROR(INDEX(Settings!$D$5:$D$9,MATCH("Shopify",Settings!$A$5:$A$9,0)),0)*D745)</f>
        <v/>
      </c>
      <c r="N745" s="11">
        <f>IF(A745="","",IF(K745="",0,D745*INDEX(Products!$I$5:$I$204,K745)))</f>
        <v/>
      </c>
      <c r="O745" s="11">
        <f>IF(A745="","",IF(K745="",0,J745*INDEX(Products!$H$5:$H$204,K745)))</f>
        <v/>
      </c>
      <c r="P745" s="11">
        <f>IF(A745="","",J745-M745-N745-O745)</f>
        <v/>
      </c>
    </row>
    <row r="746">
      <c r="A746">
        <f>IFERROR(INDEX('Shopify Import'!$A:$CZ,746,Settings!$E$20)&amp;"","")</f>
        <v/>
      </c>
      <c r="B746">
        <f>IFERROR(INDEX('Shopify Import'!$A:$CZ,746,Settings!$E$21)&amp;"","")</f>
        <v/>
      </c>
      <c r="C746">
        <f>IFERROR(INDEX('Shopify Import'!$A:$CZ,746,Settings!$E$22)&amp;"","")</f>
        <v/>
      </c>
      <c r="D746">
        <f>IF(A746="","",IFERROR(VALUE(SUBSTITUTE(SUBSTITUTE(INDEX('Shopify Import'!$A:$CZ,746,Settings!$E$23)&amp;"","$",""),",","")),0))</f>
        <v/>
      </c>
      <c r="E746" s="11">
        <f>IF(A746="","",IFERROR(VALUE(SUBSTITUTE(SUBSTITUTE(INDEX('Shopify Import'!$A:$CZ,746,Settings!$E$24)&amp;"","$",""),",","")),0))</f>
        <v/>
      </c>
      <c r="F746" s="11">
        <f>IF(A746="","",D746*E746)</f>
        <v/>
      </c>
      <c r="G746">
        <f>IF(A746="","",IF(C746="",1,COUNTIF($C$2:$C$1501,C746)))</f>
        <v/>
      </c>
      <c r="H746" s="11">
        <f>IF(A746="","",IFERROR(VALUE(SUBSTITUTE(SUBSTITUTE(INDEX('Shopify Import'!$A:$CZ,746,Settings!$E$25)&amp;"","$",""),",","")),0)/IF(Settings!$D$27="Yes",G746,1))</f>
        <v/>
      </c>
      <c r="I746" s="11">
        <f>IF(A746="","",IFERROR(VALUE(SUBSTITUTE(SUBSTITUTE(INDEX('Shopify Import'!$A:$CZ,746,Settings!$E$26)&amp;"","$",""),",","")),0)/IF(Settings!$D$27="Yes",G746,1))</f>
        <v/>
      </c>
      <c r="J746" s="11">
        <f>IF(A746="","",F746+H746-I746)</f>
        <v/>
      </c>
      <c r="K746">
        <f>IF(A746="","",IFERROR(IF(B746="",NA(),MATCH(B746,Products!$B$5:$B$204,0)),IFERROR(MATCH(A746,Products!$A$5:$A$204,0),"")))</f>
        <v/>
      </c>
      <c r="L746">
        <f>IF(A746="","",IF(K746="","⚠ not in Products",INDEX(Products!$A$5:$A$204,K746)))</f>
        <v/>
      </c>
      <c r="M746" s="11">
        <f>IF(A746="","",J746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746+IFERROR(INDEX(Settings!$D$5:$D$9,MATCH("Shopify",Settings!$A$5:$A$9,0)),0)*D746)</f>
        <v/>
      </c>
      <c r="N746" s="11">
        <f>IF(A746="","",IF(K746="",0,D746*INDEX(Products!$I$5:$I$204,K746)))</f>
        <v/>
      </c>
      <c r="O746" s="11">
        <f>IF(A746="","",IF(K746="",0,J746*INDEX(Products!$H$5:$H$204,K746)))</f>
        <v/>
      </c>
      <c r="P746" s="11">
        <f>IF(A746="","",J746-M746-N746-O746)</f>
        <v/>
      </c>
    </row>
    <row r="747">
      <c r="A747">
        <f>IFERROR(INDEX('Shopify Import'!$A:$CZ,747,Settings!$E$20)&amp;"","")</f>
        <v/>
      </c>
      <c r="B747">
        <f>IFERROR(INDEX('Shopify Import'!$A:$CZ,747,Settings!$E$21)&amp;"","")</f>
        <v/>
      </c>
      <c r="C747">
        <f>IFERROR(INDEX('Shopify Import'!$A:$CZ,747,Settings!$E$22)&amp;"","")</f>
        <v/>
      </c>
      <c r="D747">
        <f>IF(A747="","",IFERROR(VALUE(SUBSTITUTE(SUBSTITUTE(INDEX('Shopify Import'!$A:$CZ,747,Settings!$E$23)&amp;"","$",""),",","")),0))</f>
        <v/>
      </c>
      <c r="E747" s="11">
        <f>IF(A747="","",IFERROR(VALUE(SUBSTITUTE(SUBSTITUTE(INDEX('Shopify Import'!$A:$CZ,747,Settings!$E$24)&amp;"","$",""),",","")),0))</f>
        <v/>
      </c>
      <c r="F747" s="11">
        <f>IF(A747="","",D747*E747)</f>
        <v/>
      </c>
      <c r="G747">
        <f>IF(A747="","",IF(C747="",1,COUNTIF($C$2:$C$1501,C747)))</f>
        <v/>
      </c>
      <c r="H747" s="11">
        <f>IF(A747="","",IFERROR(VALUE(SUBSTITUTE(SUBSTITUTE(INDEX('Shopify Import'!$A:$CZ,747,Settings!$E$25)&amp;"","$",""),",","")),0)/IF(Settings!$D$27="Yes",G747,1))</f>
        <v/>
      </c>
      <c r="I747" s="11">
        <f>IF(A747="","",IFERROR(VALUE(SUBSTITUTE(SUBSTITUTE(INDEX('Shopify Import'!$A:$CZ,747,Settings!$E$26)&amp;"","$",""),",","")),0)/IF(Settings!$D$27="Yes",G747,1))</f>
        <v/>
      </c>
      <c r="J747" s="11">
        <f>IF(A747="","",F747+H747-I747)</f>
        <v/>
      </c>
      <c r="K747">
        <f>IF(A747="","",IFERROR(IF(B747="",NA(),MATCH(B747,Products!$B$5:$B$204,0)),IFERROR(MATCH(A747,Products!$A$5:$A$204,0),"")))</f>
        <v/>
      </c>
      <c r="L747">
        <f>IF(A747="","",IF(K747="","⚠ not in Products",INDEX(Products!$A$5:$A$204,K747)))</f>
        <v/>
      </c>
      <c r="M747" s="11">
        <f>IF(A747="","",J747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747+IFERROR(INDEX(Settings!$D$5:$D$9,MATCH("Shopify",Settings!$A$5:$A$9,0)),0)*D747)</f>
        <v/>
      </c>
      <c r="N747" s="11">
        <f>IF(A747="","",IF(K747="",0,D747*INDEX(Products!$I$5:$I$204,K747)))</f>
        <v/>
      </c>
      <c r="O747" s="11">
        <f>IF(A747="","",IF(K747="",0,J747*INDEX(Products!$H$5:$H$204,K747)))</f>
        <v/>
      </c>
      <c r="P747" s="11">
        <f>IF(A747="","",J747-M747-N747-O747)</f>
        <v/>
      </c>
    </row>
    <row r="748">
      <c r="A748">
        <f>IFERROR(INDEX('Shopify Import'!$A:$CZ,748,Settings!$E$20)&amp;"","")</f>
        <v/>
      </c>
      <c r="B748">
        <f>IFERROR(INDEX('Shopify Import'!$A:$CZ,748,Settings!$E$21)&amp;"","")</f>
        <v/>
      </c>
      <c r="C748">
        <f>IFERROR(INDEX('Shopify Import'!$A:$CZ,748,Settings!$E$22)&amp;"","")</f>
        <v/>
      </c>
      <c r="D748">
        <f>IF(A748="","",IFERROR(VALUE(SUBSTITUTE(SUBSTITUTE(INDEX('Shopify Import'!$A:$CZ,748,Settings!$E$23)&amp;"","$",""),",","")),0))</f>
        <v/>
      </c>
      <c r="E748" s="11">
        <f>IF(A748="","",IFERROR(VALUE(SUBSTITUTE(SUBSTITUTE(INDEX('Shopify Import'!$A:$CZ,748,Settings!$E$24)&amp;"","$",""),",","")),0))</f>
        <v/>
      </c>
      <c r="F748" s="11">
        <f>IF(A748="","",D748*E748)</f>
        <v/>
      </c>
      <c r="G748">
        <f>IF(A748="","",IF(C748="",1,COUNTIF($C$2:$C$1501,C748)))</f>
        <v/>
      </c>
      <c r="H748" s="11">
        <f>IF(A748="","",IFERROR(VALUE(SUBSTITUTE(SUBSTITUTE(INDEX('Shopify Import'!$A:$CZ,748,Settings!$E$25)&amp;"","$",""),",","")),0)/IF(Settings!$D$27="Yes",G748,1))</f>
        <v/>
      </c>
      <c r="I748" s="11">
        <f>IF(A748="","",IFERROR(VALUE(SUBSTITUTE(SUBSTITUTE(INDEX('Shopify Import'!$A:$CZ,748,Settings!$E$26)&amp;"","$",""),",","")),0)/IF(Settings!$D$27="Yes",G748,1))</f>
        <v/>
      </c>
      <c r="J748" s="11">
        <f>IF(A748="","",F748+H748-I748)</f>
        <v/>
      </c>
      <c r="K748">
        <f>IF(A748="","",IFERROR(IF(B748="",NA(),MATCH(B748,Products!$B$5:$B$204,0)),IFERROR(MATCH(A748,Products!$A$5:$A$204,0),"")))</f>
        <v/>
      </c>
      <c r="L748">
        <f>IF(A748="","",IF(K748="","⚠ not in Products",INDEX(Products!$A$5:$A$204,K748)))</f>
        <v/>
      </c>
      <c r="M748" s="11">
        <f>IF(A748="","",J748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748+IFERROR(INDEX(Settings!$D$5:$D$9,MATCH("Shopify",Settings!$A$5:$A$9,0)),0)*D748)</f>
        <v/>
      </c>
      <c r="N748" s="11">
        <f>IF(A748="","",IF(K748="",0,D748*INDEX(Products!$I$5:$I$204,K748)))</f>
        <v/>
      </c>
      <c r="O748" s="11">
        <f>IF(A748="","",IF(K748="",0,J748*INDEX(Products!$H$5:$H$204,K748)))</f>
        <v/>
      </c>
      <c r="P748" s="11">
        <f>IF(A748="","",J748-M748-N748-O748)</f>
        <v/>
      </c>
    </row>
    <row r="749">
      <c r="A749">
        <f>IFERROR(INDEX('Shopify Import'!$A:$CZ,749,Settings!$E$20)&amp;"","")</f>
        <v/>
      </c>
      <c r="B749">
        <f>IFERROR(INDEX('Shopify Import'!$A:$CZ,749,Settings!$E$21)&amp;"","")</f>
        <v/>
      </c>
      <c r="C749">
        <f>IFERROR(INDEX('Shopify Import'!$A:$CZ,749,Settings!$E$22)&amp;"","")</f>
        <v/>
      </c>
      <c r="D749">
        <f>IF(A749="","",IFERROR(VALUE(SUBSTITUTE(SUBSTITUTE(INDEX('Shopify Import'!$A:$CZ,749,Settings!$E$23)&amp;"","$",""),",","")),0))</f>
        <v/>
      </c>
      <c r="E749" s="11">
        <f>IF(A749="","",IFERROR(VALUE(SUBSTITUTE(SUBSTITUTE(INDEX('Shopify Import'!$A:$CZ,749,Settings!$E$24)&amp;"","$",""),",","")),0))</f>
        <v/>
      </c>
      <c r="F749" s="11">
        <f>IF(A749="","",D749*E749)</f>
        <v/>
      </c>
      <c r="G749">
        <f>IF(A749="","",IF(C749="",1,COUNTIF($C$2:$C$1501,C749)))</f>
        <v/>
      </c>
      <c r="H749" s="11">
        <f>IF(A749="","",IFERROR(VALUE(SUBSTITUTE(SUBSTITUTE(INDEX('Shopify Import'!$A:$CZ,749,Settings!$E$25)&amp;"","$",""),",","")),0)/IF(Settings!$D$27="Yes",G749,1))</f>
        <v/>
      </c>
      <c r="I749" s="11">
        <f>IF(A749="","",IFERROR(VALUE(SUBSTITUTE(SUBSTITUTE(INDEX('Shopify Import'!$A:$CZ,749,Settings!$E$26)&amp;"","$",""),",","")),0)/IF(Settings!$D$27="Yes",G749,1))</f>
        <v/>
      </c>
      <c r="J749" s="11">
        <f>IF(A749="","",F749+H749-I749)</f>
        <v/>
      </c>
      <c r="K749">
        <f>IF(A749="","",IFERROR(IF(B749="",NA(),MATCH(B749,Products!$B$5:$B$204,0)),IFERROR(MATCH(A749,Products!$A$5:$A$204,0),"")))</f>
        <v/>
      </c>
      <c r="L749">
        <f>IF(A749="","",IF(K749="","⚠ not in Products",INDEX(Products!$A$5:$A$204,K749)))</f>
        <v/>
      </c>
      <c r="M749" s="11">
        <f>IF(A749="","",J749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749+IFERROR(INDEX(Settings!$D$5:$D$9,MATCH("Shopify",Settings!$A$5:$A$9,0)),0)*D749)</f>
        <v/>
      </c>
      <c r="N749" s="11">
        <f>IF(A749="","",IF(K749="",0,D749*INDEX(Products!$I$5:$I$204,K749)))</f>
        <v/>
      </c>
      <c r="O749" s="11">
        <f>IF(A749="","",IF(K749="",0,J749*INDEX(Products!$H$5:$H$204,K749)))</f>
        <v/>
      </c>
      <c r="P749" s="11">
        <f>IF(A749="","",J749-M749-N749-O749)</f>
        <v/>
      </c>
    </row>
    <row r="750">
      <c r="A750">
        <f>IFERROR(INDEX('Shopify Import'!$A:$CZ,750,Settings!$E$20)&amp;"","")</f>
        <v/>
      </c>
      <c r="B750">
        <f>IFERROR(INDEX('Shopify Import'!$A:$CZ,750,Settings!$E$21)&amp;"","")</f>
        <v/>
      </c>
      <c r="C750">
        <f>IFERROR(INDEX('Shopify Import'!$A:$CZ,750,Settings!$E$22)&amp;"","")</f>
        <v/>
      </c>
      <c r="D750">
        <f>IF(A750="","",IFERROR(VALUE(SUBSTITUTE(SUBSTITUTE(INDEX('Shopify Import'!$A:$CZ,750,Settings!$E$23)&amp;"","$",""),",","")),0))</f>
        <v/>
      </c>
      <c r="E750" s="11">
        <f>IF(A750="","",IFERROR(VALUE(SUBSTITUTE(SUBSTITUTE(INDEX('Shopify Import'!$A:$CZ,750,Settings!$E$24)&amp;"","$",""),",","")),0))</f>
        <v/>
      </c>
      <c r="F750" s="11">
        <f>IF(A750="","",D750*E750)</f>
        <v/>
      </c>
      <c r="G750">
        <f>IF(A750="","",IF(C750="",1,COUNTIF($C$2:$C$1501,C750)))</f>
        <v/>
      </c>
      <c r="H750" s="11">
        <f>IF(A750="","",IFERROR(VALUE(SUBSTITUTE(SUBSTITUTE(INDEX('Shopify Import'!$A:$CZ,750,Settings!$E$25)&amp;"","$",""),",","")),0)/IF(Settings!$D$27="Yes",G750,1))</f>
        <v/>
      </c>
      <c r="I750" s="11">
        <f>IF(A750="","",IFERROR(VALUE(SUBSTITUTE(SUBSTITUTE(INDEX('Shopify Import'!$A:$CZ,750,Settings!$E$26)&amp;"","$",""),",","")),0)/IF(Settings!$D$27="Yes",G750,1))</f>
        <v/>
      </c>
      <c r="J750" s="11">
        <f>IF(A750="","",F750+H750-I750)</f>
        <v/>
      </c>
      <c r="K750">
        <f>IF(A750="","",IFERROR(IF(B750="",NA(),MATCH(B750,Products!$B$5:$B$204,0)),IFERROR(MATCH(A750,Products!$A$5:$A$204,0),"")))</f>
        <v/>
      </c>
      <c r="L750">
        <f>IF(A750="","",IF(K750="","⚠ not in Products",INDEX(Products!$A$5:$A$204,K750)))</f>
        <v/>
      </c>
      <c r="M750" s="11">
        <f>IF(A750="","",J750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750+IFERROR(INDEX(Settings!$D$5:$D$9,MATCH("Shopify",Settings!$A$5:$A$9,0)),0)*D750)</f>
        <v/>
      </c>
      <c r="N750" s="11">
        <f>IF(A750="","",IF(K750="",0,D750*INDEX(Products!$I$5:$I$204,K750)))</f>
        <v/>
      </c>
      <c r="O750" s="11">
        <f>IF(A750="","",IF(K750="",0,J750*INDEX(Products!$H$5:$H$204,K750)))</f>
        <v/>
      </c>
      <c r="P750" s="11">
        <f>IF(A750="","",J750-M750-N750-O750)</f>
        <v/>
      </c>
    </row>
    <row r="751">
      <c r="A751">
        <f>IFERROR(INDEX('Shopify Import'!$A:$CZ,751,Settings!$E$20)&amp;"","")</f>
        <v/>
      </c>
      <c r="B751">
        <f>IFERROR(INDEX('Shopify Import'!$A:$CZ,751,Settings!$E$21)&amp;"","")</f>
        <v/>
      </c>
      <c r="C751">
        <f>IFERROR(INDEX('Shopify Import'!$A:$CZ,751,Settings!$E$22)&amp;"","")</f>
        <v/>
      </c>
      <c r="D751">
        <f>IF(A751="","",IFERROR(VALUE(SUBSTITUTE(SUBSTITUTE(INDEX('Shopify Import'!$A:$CZ,751,Settings!$E$23)&amp;"","$",""),",","")),0))</f>
        <v/>
      </c>
      <c r="E751" s="11">
        <f>IF(A751="","",IFERROR(VALUE(SUBSTITUTE(SUBSTITUTE(INDEX('Shopify Import'!$A:$CZ,751,Settings!$E$24)&amp;"","$",""),",","")),0))</f>
        <v/>
      </c>
      <c r="F751" s="11">
        <f>IF(A751="","",D751*E751)</f>
        <v/>
      </c>
      <c r="G751">
        <f>IF(A751="","",IF(C751="",1,COUNTIF($C$2:$C$1501,C751)))</f>
        <v/>
      </c>
      <c r="H751" s="11">
        <f>IF(A751="","",IFERROR(VALUE(SUBSTITUTE(SUBSTITUTE(INDEX('Shopify Import'!$A:$CZ,751,Settings!$E$25)&amp;"","$",""),",","")),0)/IF(Settings!$D$27="Yes",G751,1))</f>
        <v/>
      </c>
      <c r="I751" s="11">
        <f>IF(A751="","",IFERROR(VALUE(SUBSTITUTE(SUBSTITUTE(INDEX('Shopify Import'!$A:$CZ,751,Settings!$E$26)&amp;"","$",""),",","")),0)/IF(Settings!$D$27="Yes",G751,1))</f>
        <v/>
      </c>
      <c r="J751" s="11">
        <f>IF(A751="","",F751+H751-I751)</f>
        <v/>
      </c>
      <c r="K751">
        <f>IF(A751="","",IFERROR(IF(B751="",NA(),MATCH(B751,Products!$B$5:$B$204,0)),IFERROR(MATCH(A751,Products!$A$5:$A$204,0),"")))</f>
        <v/>
      </c>
      <c r="L751">
        <f>IF(A751="","",IF(K751="","⚠ not in Products",INDEX(Products!$A$5:$A$204,K751)))</f>
        <v/>
      </c>
      <c r="M751" s="11">
        <f>IF(A751="","",J751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751+IFERROR(INDEX(Settings!$D$5:$D$9,MATCH("Shopify",Settings!$A$5:$A$9,0)),0)*D751)</f>
        <v/>
      </c>
      <c r="N751" s="11">
        <f>IF(A751="","",IF(K751="",0,D751*INDEX(Products!$I$5:$I$204,K751)))</f>
        <v/>
      </c>
      <c r="O751" s="11">
        <f>IF(A751="","",IF(K751="",0,J751*INDEX(Products!$H$5:$H$204,K751)))</f>
        <v/>
      </c>
      <c r="P751" s="11">
        <f>IF(A751="","",J751-M751-N751-O751)</f>
        <v/>
      </c>
    </row>
    <row r="752">
      <c r="A752">
        <f>IFERROR(INDEX('Shopify Import'!$A:$CZ,752,Settings!$E$20)&amp;"","")</f>
        <v/>
      </c>
      <c r="B752">
        <f>IFERROR(INDEX('Shopify Import'!$A:$CZ,752,Settings!$E$21)&amp;"","")</f>
        <v/>
      </c>
      <c r="C752">
        <f>IFERROR(INDEX('Shopify Import'!$A:$CZ,752,Settings!$E$22)&amp;"","")</f>
        <v/>
      </c>
      <c r="D752">
        <f>IF(A752="","",IFERROR(VALUE(SUBSTITUTE(SUBSTITUTE(INDEX('Shopify Import'!$A:$CZ,752,Settings!$E$23)&amp;"","$",""),",","")),0))</f>
        <v/>
      </c>
      <c r="E752" s="11">
        <f>IF(A752="","",IFERROR(VALUE(SUBSTITUTE(SUBSTITUTE(INDEX('Shopify Import'!$A:$CZ,752,Settings!$E$24)&amp;"","$",""),",","")),0))</f>
        <v/>
      </c>
      <c r="F752" s="11">
        <f>IF(A752="","",D752*E752)</f>
        <v/>
      </c>
      <c r="G752">
        <f>IF(A752="","",IF(C752="",1,COUNTIF($C$2:$C$1501,C752)))</f>
        <v/>
      </c>
      <c r="H752" s="11">
        <f>IF(A752="","",IFERROR(VALUE(SUBSTITUTE(SUBSTITUTE(INDEX('Shopify Import'!$A:$CZ,752,Settings!$E$25)&amp;"","$",""),",","")),0)/IF(Settings!$D$27="Yes",G752,1))</f>
        <v/>
      </c>
      <c r="I752" s="11">
        <f>IF(A752="","",IFERROR(VALUE(SUBSTITUTE(SUBSTITUTE(INDEX('Shopify Import'!$A:$CZ,752,Settings!$E$26)&amp;"","$",""),",","")),0)/IF(Settings!$D$27="Yes",G752,1))</f>
        <v/>
      </c>
      <c r="J752" s="11">
        <f>IF(A752="","",F752+H752-I752)</f>
        <v/>
      </c>
      <c r="K752">
        <f>IF(A752="","",IFERROR(IF(B752="",NA(),MATCH(B752,Products!$B$5:$B$204,0)),IFERROR(MATCH(A752,Products!$A$5:$A$204,0),"")))</f>
        <v/>
      </c>
      <c r="L752">
        <f>IF(A752="","",IF(K752="","⚠ not in Products",INDEX(Products!$A$5:$A$204,K752)))</f>
        <v/>
      </c>
      <c r="M752" s="11">
        <f>IF(A752="","",J752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752+IFERROR(INDEX(Settings!$D$5:$D$9,MATCH("Shopify",Settings!$A$5:$A$9,0)),0)*D752)</f>
        <v/>
      </c>
      <c r="N752" s="11">
        <f>IF(A752="","",IF(K752="",0,D752*INDEX(Products!$I$5:$I$204,K752)))</f>
        <v/>
      </c>
      <c r="O752" s="11">
        <f>IF(A752="","",IF(K752="",0,J752*INDEX(Products!$H$5:$H$204,K752)))</f>
        <v/>
      </c>
      <c r="P752" s="11">
        <f>IF(A752="","",J752-M752-N752-O752)</f>
        <v/>
      </c>
    </row>
    <row r="753">
      <c r="A753">
        <f>IFERROR(INDEX('Shopify Import'!$A:$CZ,753,Settings!$E$20)&amp;"","")</f>
        <v/>
      </c>
      <c r="B753">
        <f>IFERROR(INDEX('Shopify Import'!$A:$CZ,753,Settings!$E$21)&amp;"","")</f>
        <v/>
      </c>
      <c r="C753">
        <f>IFERROR(INDEX('Shopify Import'!$A:$CZ,753,Settings!$E$22)&amp;"","")</f>
        <v/>
      </c>
      <c r="D753">
        <f>IF(A753="","",IFERROR(VALUE(SUBSTITUTE(SUBSTITUTE(INDEX('Shopify Import'!$A:$CZ,753,Settings!$E$23)&amp;"","$",""),",","")),0))</f>
        <v/>
      </c>
      <c r="E753" s="11">
        <f>IF(A753="","",IFERROR(VALUE(SUBSTITUTE(SUBSTITUTE(INDEX('Shopify Import'!$A:$CZ,753,Settings!$E$24)&amp;"","$",""),",","")),0))</f>
        <v/>
      </c>
      <c r="F753" s="11">
        <f>IF(A753="","",D753*E753)</f>
        <v/>
      </c>
      <c r="G753">
        <f>IF(A753="","",IF(C753="",1,COUNTIF($C$2:$C$1501,C753)))</f>
        <v/>
      </c>
      <c r="H753" s="11">
        <f>IF(A753="","",IFERROR(VALUE(SUBSTITUTE(SUBSTITUTE(INDEX('Shopify Import'!$A:$CZ,753,Settings!$E$25)&amp;"","$",""),",","")),0)/IF(Settings!$D$27="Yes",G753,1))</f>
        <v/>
      </c>
      <c r="I753" s="11">
        <f>IF(A753="","",IFERROR(VALUE(SUBSTITUTE(SUBSTITUTE(INDEX('Shopify Import'!$A:$CZ,753,Settings!$E$26)&amp;"","$",""),",","")),0)/IF(Settings!$D$27="Yes",G753,1))</f>
        <v/>
      </c>
      <c r="J753" s="11">
        <f>IF(A753="","",F753+H753-I753)</f>
        <v/>
      </c>
      <c r="K753">
        <f>IF(A753="","",IFERROR(IF(B753="",NA(),MATCH(B753,Products!$B$5:$B$204,0)),IFERROR(MATCH(A753,Products!$A$5:$A$204,0),"")))</f>
        <v/>
      </c>
      <c r="L753">
        <f>IF(A753="","",IF(K753="","⚠ not in Products",INDEX(Products!$A$5:$A$204,K753)))</f>
        <v/>
      </c>
      <c r="M753" s="11">
        <f>IF(A753="","",J753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753+IFERROR(INDEX(Settings!$D$5:$D$9,MATCH("Shopify",Settings!$A$5:$A$9,0)),0)*D753)</f>
        <v/>
      </c>
      <c r="N753" s="11">
        <f>IF(A753="","",IF(K753="",0,D753*INDEX(Products!$I$5:$I$204,K753)))</f>
        <v/>
      </c>
      <c r="O753" s="11">
        <f>IF(A753="","",IF(K753="",0,J753*INDEX(Products!$H$5:$H$204,K753)))</f>
        <v/>
      </c>
      <c r="P753" s="11">
        <f>IF(A753="","",J753-M753-N753-O753)</f>
        <v/>
      </c>
    </row>
    <row r="754">
      <c r="A754">
        <f>IFERROR(INDEX('Shopify Import'!$A:$CZ,754,Settings!$E$20)&amp;"","")</f>
        <v/>
      </c>
      <c r="B754">
        <f>IFERROR(INDEX('Shopify Import'!$A:$CZ,754,Settings!$E$21)&amp;"","")</f>
        <v/>
      </c>
      <c r="C754">
        <f>IFERROR(INDEX('Shopify Import'!$A:$CZ,754,Settings!$E$22)&amp;"","")</f>
        <v/>
      </c>
      <c r="D754">
        <f>IF(A754="","",IFERROR(VALUE(SUBSTITUTE(SUBSTITUTE(INDEX('Shopify Import'!$A:$CZ,754,Settings!$E$23)&amp;"","$",""),",","")),0))</f>
        <v/>
      </c>
      <c r="E754" s="11">
        <f>IF(A754="","",IFERROR(VALUE(SUBSTITUTE(SUBSTITUTE(INDEX('Shopify Import'!$A:$CZ,754,Settings!$E$24)&amp;"","$",""),",","")),0))</f>
        <v/>
      </c>
      <c r="F754" s="11">
        <f>IF(A754="","",D754*E754)</f>
        <v/>
      </c>
      <c r="G754">
        <f>IF(A754="","",IF(C754="",1,COUNTIF($C$2:$C$1501,C754)))</f>
        <v/>
      </c>
      <c r="H754" s="11">
        <f>IF(A754="","",IFERROR(VALUE(SUBSTITUTE(SUBSTITUTE(INDEX('Shopify Import'!$A:$CZ,754,Settings!$E$25)&amp;"","$",""),",","")),0)/IF(Settings!$D$27="Yes",G754,1))</f>
        <v/>
      </c>
      <c r="I754" s="11">
        <f>IF(A754="","",IFERROR(VALUE(SUBSTITUTE(SUBSTITUTE(INDEX('Shopify Import'!$A:$CZ,754,Settings!$E$26)&amp;"","$",""),",","")),0)/IF(Settings!$D$27="Yes",G754,1))</f>
        <v/>
      </c>
      <c r="J754" s="11">
        <f>IF(A754="","",F754+H754-I754)</f>
        <v/>
      </c>
      <c r="K754">
        <f>IF(A754="","",IFERROR(IF(B754="",NA(),MATCH(B754,Products!$B$5:$B$204,0)),IFERROR(MATCH(A754,Products!$A$5:$A$204,0),"")))</f>
        <v/>
      </c>
      <c r="L754">
        <f>IF(A754="","",IF(K754="","⚠ not in Products",INDEX(Products!$A$5:$A$204,K754)))</f>
        <v/>
      </c>
      <c r="M754" s="11">
        <f>IF(A754="","",J754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754+IFERROR(INDEX(Settings!$D$5:$D$9,MATCH("Shopify",Settings!$A$5:$A$9,0)),0)*D754)</f>
        <v/>
      </c>
      <c r="N754" s="11">
        <f>IF(A754="","",IF(K754="",0,D754*INDEX(Products!$I$5:$I$204,K754)))</f>
        <v/>
      </c>
      <c r="O754" s="11">
        <f>IF(A754="","",IF(K754="",0,J754*INDEX(Products!$H$5:$H$204,K754)))</f>
        <v/>
      </c>
      <c r="P754" s="11">
        <f>IF(A754="","",J754-M754-N754-O754)</f>
        <v/>
      </c>
    </row>
    <row r="755">
      <c r="A755">
        <f>IFERROR(INDEX('Shopify Import'!$A:$CZ,755,Settings!$E$20)&amp;"","")</f>
        <v/>
      </c>
      <c r="B755">
        <f>IFERROR(INDEX('Shopify Import'!$A:$CZ,755,Settings!$E$21)&amp;"","")</f>
        <v/>
      </c>
      <c r="C755">
        <f>IFERROR(INDEX('Shopify Import'!$A:$CZ,755,Settings!$E$22)&amp;"","")</f>
        <v/>
      </c>
      <c r="D755">
        <f>IF(A755="","",IFERROR(VALUE(SUBSTITUTE(SUBSTITUTE(INDEX('Shopify Import'!$A:$CZ,755,Settings!$E$23)&amp;"","$",""),",","")),0))</f>
        <v/>
      </c>
      <c r="E755" s="11">
        <f>IF(A755="","",IFERROR(VALUE(SUBSTITUTE(SUBSTITUTE(INDEX('Shopify Import'!$A:$CZ,755,Settings!$E$24)&amp;"","$",""),",","")),0))</f>
        <v/>
      </c>
      <c r="F755" s="11">
        <f>IF(A755="","",D755*E755)</f>
        <v/>
      </c>
      <c r="G755">
        <f>IF(A755="","",IF(C755="",1,COUNTIF($C$2:$C$1501,C755)))</f>
        <v/>
      </c>
      <c r="H755" s="11">
        <f>IF(A755="","",IFERROR(VALUE(SUBSTITUTE(SUBSTITUTE(INDEX('Shopify Import'!$A:$CZ,755,Settings!$E$25)&amp;"","$",""),",","")),0)/IF(Settings!$D$27="Yes",G755,1))</f>
        <v/>
      </c>
      <c r="I755" s="11">
        <f>IF(A755="","",IFERROR(VALUE(SUBSTITUTE(SUBSTITUTE(INDEX('Shopify Import'!$A:$CZ,755,Settings!$E$26)&amp;"","$",""),",","")),0)/IF(Settings!$D$27="Yes",G755,1))</f>
        <v/>
      </c>
      <c r="J755" s="11">
        <f>IF(A755="","",F755+H755-I755)</f>
        <v/>
      </c>
      <c r="K755">
        <f>IF(A755="","",IFERROR(IF(B755="",NA(),MATCH(B755,Products!$B$5:$B$204,0)),IFERROR(MATCH(A755,Products!$A$5:$A$204,0),"")))</f>
        <v/>
      </c>
      <c r="L755">
        <f>IF(A755="","",IF(K755="","⚠ not in Products",INDEX(Products!$A$5:$A$204,K755)))</f>
        <v/>
      </c>
      <c r="M755" s="11">
        <f>IF(A755="","",J755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755+IFERROR(INDEX(Settings!$D$5:$D$9,MATCH("Shopify",Settings!$A$5:$A$9,0)),0)*D755)</f>
        <v/>
      </c>
      <c r="N755" s="11">
        <f>IF(A755="","",IF(K755="",0,D755*INDEX(Products!$I$5:$I$204,K755)))</f>
        <v/>
      </c>
      <c r="O755" s="11">
        <f>IF(A755="","",IF(K755="",0,J755*INDEX(Products!$H$5:$H$204,K755)))</f>
        <v/>
      </c>
      <c r="P755" s="11">
        <f>IF(A755="","",J755-M755-N755-O755)</f>
        <v/>
      </c>
    </row>
    <row r="756">
      <c r="A756">
        <f>IFERROR(INDEX('Shopify Import'!$A:$CZ,756,Settings!$E$20)&amp;"","")</f>
        <v/>
      </c>
      <c r="B756">
        <f>IFERROR(INDEX('Shopify Import'!$A:$CZ,756,Settings!$E$21)&amp;"","")</f>
        <v/>
      </c>
      <c r="C756">
        <f>IFERROR(INDEX('Shopify Import'!$A:$CZ,756,Settings!$E$22)&amp;"","")</f>
        <v/>
      </c>
      <c r="D756">
        <f>IF(A756="","",IFERROR(VALUE(SUBSTITUTE(SUBSTITUTE(INDEX('Shopify Import'!$A:$CZ,756,Settings!$E$23)&amp;"","$",""),",","")),0))</f>
        <v/>
      </c>
      <c r="E756" s="11">
        <f>IF(A756="","",IFERROR(VALUE(SUBSTITUTE(SUBSTITUTE(INDEX('Shopify Import'!$A:$CZ,756,Settings!$E$24)&amp;"","$",""),",","")),0))</f>
        <v/>
      </c>
      <c r="F756" s="11">
        <f>IF(A756="","",D756*E756)</f>
        <v/>
      </c>
      <c r="G756">
        <f>IF(A756="","",IF(C756="",1,COUNTIF($C$2:$C$1501,C756)))</f>
        <v/>
      </c>
      <c r="H756" s="11">
        <f>IF(A756="","",IFERROR(VALUE(SUBSTITUTE(SUBSTITUTE(INDEX('Shopify Import'!$A:$CZ,756,Settings!$E$25)&amp;"","$",""),",","")),0)/IF(Settings!$D$27="Yes",G756,1))</f>
        <v/>
      </c>
      <c r="I756" s="11">
        <f>IF(A756="","",IFERROR(VALUE(SUBSTITUTE(SUBSTITUTE(INDEX('Shopify Import'!$A:$CZ,756,Settings!$E$26)&amp;"","$",""),",","")),0)/IF(Settings!$D$27="Yes",G756,1))</f>
        <v/>
      </c>
      <c r="J756" s="11">
        <f>IF(A756="","",F756+H756-I756)</f>
        <v/>
      </c>
      <c r="K756">
        <f>IF(A756="","",IFERROR(IF(B756="",NA(),MATCH(B756,Products!$B$5:$B$204,0)),IFERROR(MATCH(A756,Products!$A$5:$A$204,0),"")))</f>
        <v/>
      </c>
      <c r="L756">
        <f>IF(A756="","",IF(K756="","⚠ not in Products",INDEX(Products!$A$5:$A$204,K756)))</f>
        <v/>
      </c>
      <c r="M756" s="11">
        <f>IF(A756="","",J756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756+IFERROR(INDEX(Settings!$D$5:$D$9,MATCH("Shopify",Settings!$A$5:$A$9,0)),0)*D756)</f>
        <v/>
      </c>
      <c r="N756" s="11">
        <f>IF(A756="","",IF(K756="",0,D756*INDEX(Products!$I$5:$I$204,K756)))</f>
        <v/>
      </c>
      <c r="O756" s="11">
        <f>IF(A756="","",IF(K756="",0,J756*INDEX(Products!$H$5:$H$204,K756)))</f>
        <v/>
      </c>
      <c r="P756" s="11">
        <f>IF(A756="","",J756-M756-N756-O756)</f>
        <v/>
      </c>
    </row>
    <row r="757">
      <c r="A757">
        <f>IFERROR(INDEX('Shopify Import'!$A:$CZ,757,Settings!$E$20)&amp;"","")</f>
        <v/>
      </c>
      <c r="B757">
        <f>IFERROR(INDEX('Shopify Import'!$A:$CZ,757,Settings!$E$21)&amp;"","")</f>
        <v/>
      </c>
      <c r="C757">
        <f>IFERROR(INDEX('Shopify Import'!$A:$CZ,757,Settings!$E$22)&amp;"","")</f>
        <v/>
      </c>
      <c r="D757">
        <f>IF(A757="","",IFERROR(VALUE(SUBSTITUTE(SUBSTITUTE(INDEX('Shopify Import'!$A:$CZ,757,Settings!$E$23)&amp;"","$",""),",","")),0))</f>
        <v/>
      </c>
      <c r="E757" s="11">
        <f>IF(A757="","",IFERROR(VALUE(SUBSTITUTE(SUBSTITUTE(INDEX('Shopify Import'!$A:$CZ,757,Settings!$E$24)&amp;"","$",""),",","")),0))</f>
        <v/>
      </c>
      <c r="F757" s="11">
        <f>IF(A757="","",D757*E757)</f>
        <v/>
      </c>
      <c r="G757">
        <f>IF(A757="","",IF(C757="",1,COUNTIF($C$2:$C$1501,C757)))</f>
        <v/>
      </c>
      <c r="H757" s="11">
        <f>IF(A757="","",IFERROR(VALUE(SUBSTITUTE(SUBSTITUTE(INDEX('Shopify Import'!$A:$CZ,757,Settings!$E$25)&amp;"","$",""),",","")),0)/IF(Settings!$D$27="Yes",G757,1))</f>
        <v/>
      </c>
      <c r="I757" s="11">
        <f>IF(A757="","",IFERROR(VALUE(SUBSTITUTE(SUBSTITUTE(INDEX('Shopify Import'!$A:$CZ,757,Settings!$E$26)&amp;"","$",""),",","")),0)/IF(Settings!$D$27="Yes",G757,1))</f>
        <v/>
      </c>
      <c r="J757" s="11">
        <f>IF(A757="","",F757+H757-I757)</f>
        <v/>
      </c>
      <c r="K757">
        <f>IF(A757="","",IFERROR(IF(B757="",NA(),MATCH(B757,Products!$B$5:$B$204,0)),IFERROR(MATCH(A757,Products!$A$5:$A$204,0),"")))</f>
        <v/>
      </c>
      <c r="L757">
        <f>IF(A757="","",IF(K757="","⚠ not in Products",INDEX(Products!$A$5:$A$204,K757)))</f>
        <v/>
      </c>
      <c r="M757" s="11">
        <f>IF(A757="","",J757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757+IFERROR(INDEX(Settings!$D$5:$D$9,MATCH("Shopify",Settings!$A$5:$A$9,0)),0)*D757)</f>
        <v/>
      </c>
      <c r="N757" s="11">
        <f>IF(A757="","",IF(K757="",0,D757*INDEX(Products!$I$5:$I$204,K757)))</f>
        <v/>
      </c>
      <c r="O757" s="11">
        <f>IF(A757="","",IF(K757="",0,J757*INDEX(Products!$H$5:$H$204,K757)))</f>
        <v/>
      </c>
      <c r="P757" s="11">
        <f>IF(A757="","",J757-M757-N757-O757)</f>
        <v/>
      </c>
    </row>
    <row r="758">
      <c r="A758">
        <f>IFERROR(INDEX('Shopify Import'!$A:$CZ,758,Settings!$E$20)&amp;"","")</f>
        <v/>
      </c>
      <c r="B758">
        <f>IFERROR(INDEX('Shopify Import'!$A:$CZ,758,Settings!$E$21)&amp;"","")</f>
        <v/>
      </c>
      <c r="C758">
        <f>IFERROR(INDEX('Shopify Import'!$A:$CZ,758,Settings!$E$22)&amp;"","")</f>
        <v/>
      </c>
      <c r="D758">
        <f>IF(A758="","",IFERROR(VALUE(SUBSTITUTE(SUBSTITUTE(INDEX('Shopify Import'!$A:$CZ,758,Settings!$E$23)&amp;"","$",""),",","")),0))</f>
        <v/>
      </c>
      <c r="E758" s="11">
        <f>IF(A758="","",IFERROR(VALUE(SUBSTITUTE(SUBSTITUTE(INDEX('Shopify Import'!$A:$CZ,758,Settings!$E$24)&amp;"","$",""),",","")),0))</f>
        <v/>
      </c>
      <c r="F758" s="11">
        <f>IF(A758="","",D758*E758)</f>
        <v/>
      </c>
      <c r="G758">
        <f>IF(A758="","",IF(C758="",1,COUNTIF($C$2:$C$1501,C758)))</f>
        <v/>
      </c>
      <c r="H758" s="11">
        <f>IF(A758="","",IFERROR(VALUE(SUBSTITUTE(SUBSTITUTE(INDEX('Shopify Import'!$A:$CZ,758,Settings!$E$25)&amp;"","$",""),",","")),0)/IF(Settings!$D$27="Yes",G758,1))</f>
        <v/>
      </c>
      <c r="I758" s="11">
        <f>IF(A758="","",IFERROR(VALUE(SUBSTITUTE(SUBSTITUTE(INDEX('Shopify Import'!$A:$CZ,758,Settings!$E$26)&amp;"","$",""),",","")),0)/IF(Settings!$D$27="Yes",G758,1))</f>
        <v/>
      </c>
      <c r="J758" s="11">
        <f>IF(A758="","",F758+H758-I758)</f>
        <v/>
      </c>
      <c r="K758">
        <f>IF(A758="","",IFERROR(IF(B758="",NA(),MATCH(B758,Products!$B$5:$B$204,0)),IFERROR(MATCH(A758,Products!$A$5:$A$204,0),"")))</f>
        <v/>
      </c>
      <c r="L758">
        <f>IF(A758="","",IF(K758="","⚠ not in Products",INDEX(Products!$A$5:$A$204,K758)))</f>
        <v/>
      </c>
      <c r="M758" s="11">
        <f>IF(A758="","",J758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758+IFERROR(INDEX(Settings!$D$5:$D$9,MATCH("Shopify",Settings!$A$5:$A$9,0)),0)*D758)</f>
        <v/>
      </c>
      <c r="N758" s="11">
        <f>IF(A758="","",IF(K758="",0,D758*INDEX(Products!$I$5:$I$204,K758)))</f>
        <v/>
      </c>
      <c r="O758" s="11">
        <f>IF(A758="","",IF(K758="",0,J758*INDEX(Products!$H$5:$H$204,K758)))</f>
        <v/>
      </c>
      <c r="P758" s="11">
        <f>IF(A758="","",J758-M758-N758-O758)</f>
        <v/>
      </c>
    </row>
    <row r="759">
      <c r="A759">
        <f>IFERROR(INDEX('Shopify Import'!$A:$CZ,759,Settings!$E$20)&amp;"","")</f>
        <v/>
      </c>
      <c r="B759">
        <f>IFERROR(INDEX('Shopify Import'!$A:$CZ,759,Settings!$E$21)&amp;"","")</f>
        <v/>
      </c>
      <c r="C759">
        <f>IFERROR(INDEX('Shopify Import'!$A:$CZ,759,Settings!$E$22)&amp;"","")</f>
        <v/>
      </c>
      <c r="D759">
        <f>IF(A759="","",IFERROR(VALUE(SUBSTITUTE(SUBSTITUTE(INDEX('Shopify Import'!$A:$CZ,759,Settings!$E$23)&amp;"","$",""),",","")),0))</f>
        <v/>
      </c>
      <c r="E759" s="11">
        <f>IF(A759="","",IFERROR(VALUE(SUBSTITUTE(SUBSTITUTE(INDEX('Shopify Import'!$A:$CZ,759,Settings!$E$24)&amp;"","$",""),",","")),0))</f>
        <v/>
      </c>
      <c r="F759" s="11">
        <f>IF(A759="","",D759*E759)</f>
        <v/>
      </c>
      <c r="G759">
        <f>IF(A759="","",IF(C759="",1,COUNTIF($C$2:$C$1501,C759)))</f>
        <v/>
      </c>
      <c r="H759" s="11">
        <f>IF(A759="","",IFERROR(VALUE(SUBSTITUTE(SUBSTITUTE(INDEX('Shopify Import'!$A:$CZ,759,Settings!$E$25)&amp;"","$",""),",","")),0)/IF(Settings!$D$27="Yes",G759,1))</f>
        <v/>
      </c>
      <c r="I759" s="11">
        <f>IF(A759="","",IFERROR(VALUE(SUBSTITUTE(SUBSTITUTE(INDEX('Shopify Import'!$A:$CZ,759,Settings!$E$26)&amp;"","$",""),",","")),0)/IF(Settings!$D$27="Yes",G759,1))</f>
        <v/>
      </c>
      <c r="J759" s="11">
        <f>IF(A759="","",F759+H759-I759)</f>
        <v/>
      </c>
      <c r="K759">
        <f>IF(A759="","",IFERROR(IF(B759="",NA(),MATCH(B759,Products!$B$5:$B$204,0)),IFERROR(MATCH(A759,Products!$A$5:$A$204,0),"")))</f>
        <v/>
      </c>
      <c r="L759">
        <f>IF(A759="","",IF(K759="","⚠ not in Products",INDEX(Products!$A$5:$A$204,K759)))</f>
        <v/>
      </c>
      <c r="M759" s="11">
        <f>IF(A759="","",J759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759+IFERROR(INDEX(Settings!$D$5:$D$9,MATCH("Shopify",Settings!$A$5:$A$9,0)),0)*D759)</f>
        <v/>
      </c>
      <c r="N759" s="11">
        <f>IF(A759="","",IF(K759="",0,D759*INDEX(Products!$I$5:$I$204,K759)))</f>
        <v/>
      </c>
      <c r="O759" s="11">
        <f>IF(A759="","",IF(K759="",0,J759*INDEX(Products!$H$5:$H$204,K759)))</f>
        <v/>
      </c>
      <c r="P759" s="11">
        <f>IF(A759="","",J759-M759-N759-O759)</f>
        <v/>
      </c>
    </row>
    <row r="760">
      <c r="A760">
        <f>IFERROR(INDEX('Shopify Import'!$A:$CZ,760,Settings!$E$20)&amp;"","")</f>
        <v/>
      </c>
      <c r="B760">
        <f>IFERROR(INDEX('Shopify Import'!$A:$CZ,760,Settings!$E$21)&amp;"","")</f>
        <v/>
      </c>
      <c r="C760">
        <f>IFERROR(INDEX('Shopify Import'!$A:$CZ,760,Settings!$E$22)&amp;"","")</f>
        <v/>
      </c>
      <c r="D760">
        <f>IF(A760="","",IFERROR(VALUE(SUBSTITUTE(SUBSTITUTE(INDEX('Shopify Import'!$A:$CZ,760,Settings!$E$23)&amp;"","$",""),",","")),0))</f>
        <v/>
      </c>
      <c r="E760" s="11">
        <f>IF(A760="","",IFERROR(VALUE(SUBSTITUTE(SUBSTITUTE(INDEX('Shopify Import'!$A:$CZ,760,Settings!$E$24)&amp;"","$",""),",","")),0))</f>
        <v/>
      </c>
      <c r="F760" s="11">
        <f>IF(A760="","",D760*E760)</f>
        <v/>
      </c>
      <c r="G760">
        <f>IF(A760="","",IF(C760="",1,COUNTIF($C$2:$C$1501,C760)))</f>
        <v/>
      </c>
      <c r="H760" s="11">
        <f>IF(A760="","",IFERROR(VALUE(SUBSTITUTE(SUBSTITUTE(INDEX('Shopify Import'!$A:$CZ,760,Settings!$E$25)&amp;"","$",""),",","")),0)/IF(Settings!$D$27="Yes",G760,1))</f>
        <v/>
      </c>
      <c r="I760" s="11">
        <f>IF(A760="","",IFERROR(VALUE(SUBSTITUTE(SUBSTITUTE(INDEX('Shopify Import'!$A:$CZ,760,Settings!$E$26)&amp;"","$",""),",","")),0)/IF(Settings!$D$27="Yes",G760,1))</f>
        <v/>
      </c>
      <c r="J760" s="11">
        <f>IF(A760="","",F760+H760-I760)</f>
        <v/>
      </c>
      <c r="K760">
        <f>IF(A760="","",IFERROR(IF(B760="",NA(),MATCH(B760,Products!$B$5:$B$204,0)),IFERROR(MATCH(A760,Products!$A$5:$A$204,0),"")))</f>
        <v/>
      </c>
      <c r="L760">
        <f>IF(A760="","",IF(K760="","⚠ not in Products",INDEX(Products!$A$5:$A$204,K760)))</f>
        <v/>
      </c>
      <c r="M760" s="11">
        <f>IF(A760="","",J760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760+IFERROR(INDEX(Settings!$D$5:$D$9,MATCH("Shopify",Settings!$A$5:$A$9,0)),0)*D760)</f>
        <v/>
      </c>
      <c r="N760" s="11">
        <f>IF(A760="","",IF(K760="",0,D760*INDEX(Products!$I$5:$I$204,K760)))</f>
        <v/>
      </c>
      <c r="O760" s="11">
        <f>IF(A760="","",IF(K760="",0,J760*INDEX(Products!$H$5:$H$204,K760)))</f>
        <v/>
      </c>
      <c r="P760" s="11">
        <f>IF(A760="","",J760-M760-N760-O760)</f>
        <v/>
      </c>
    </row>
    <row r="761">
      <c r="A761">
        <f>IFERROR(INDEX('Shopify Import'!$A:$CZ,761,Settings!$E$20)&amp;"","")</f>
        <v/>
      </c>
      <c r="B761">
        <f>IFERROR(INDEX('Shopify Import'!$A:$CZ,761,Settings!$E$21)&amp;"","")</f>
        <v/>
      </c>
      <c r="C761">
        <f>IFERROR(INDEX('Shopify Import'!$A:$CZ,761,Settings!$E$22)&amp;"","")</f>
        <v/>
      </c>
      <c r="D761">
        <f>IF(A761="","",IFERROR(VALUE(SUBSTITUTE(SUBSTITUTE(INDEX('Shopify Import'!$A:$CZ,761,Settings!$E$23)&amp;"","$",""),",","")),0))</f>
        <v/>
      </c>
      <c r="E761" s="11">
        <f>IF(A761="","",IFERROR(VALUE(SUBSTITUTE(SUBSTITUTE(INDEX('Shopify Import'!$A:$CZ,761,Settings!$E$24)&amp;"","$",""),",","")),0))</f>
        <v/>
      </c>
      <c r="F761" s="11">
        <f>IF(A761="","",D761*E761)</f>
        <v/>
      </c>
      <c r="G761">
        <f>IF(A761="","",IF(C761="",1,COUNTIF($C$2:$C$1501,C761)))</f>
        <v/>
      </c>
      <c r="H761" s="11">
        <f>IF(A761="","",IFERROR(VALUE(SUBSTITUTE(SUBSTITUTE(INDEX('Shopify Import'!$A:$CZ,761,Settings!$E$25)&amp;"","$",""),",","")),0)/IF(Settings!$D$27="Yes",G761,1))</f>
        <v/>
      </c>
      <c r="I761" s="11">
        <f>IF(A761="","",IFERROR(VALUE(SUBSTITUTE(SUBSTITUTE(INDEX('Shopify Import'!$A:$CZ,761,Settings!$E$26)&amp;"","$",""),",","")),0)/IF(Settings!$D$27="Yes",G761,1))</f>
        <v/>
      </c>
      <c r="J761" s="11">
        <f>IF(A761="","",F761+H761-I761)</f>
        <v/>
      </c>
      <c r="K761">
        <f>IF(A761="","",IFERROR(IF(B761="",NA(),MATCH(B761,Products!$B$5:$B$204,0)),IFERROR(MATCH(A761,Products!$A$5:$A$204,0),"")))</f>
        <v/>
      </c>
      <c r="L761">
        <f>IF(A761="","",IF(K761="","⚠ not in Products",INDEX(Products!$A$5:$A$204,K761)))</f>
        <v/>
      </c>
      <c r="M761" s="11">
        <f>IF(A761="","",J761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761+IFERROR(INDEX(Settings!$D$5:$D$9,MATCH("Shopify",Settings!$A$5:$A$9,0)),0)*D761)</f>
        <v/>
      </c>
      <c r="N761" s="11">
        <f>IF(A761="","",IF(K761="",0,D761*INDEX(Products!$I$5:$I$204,K761)))</f>
        <v/>
      </c>
      <c r="O761" s="11">
        <f>IF(A761="","",IF(K761="",0,J761*INDEX(Products!$H$5:$H$204,K761)))</f>
        <v/>
      </c>
      <c r="P761" s="11">
        <f>IF(A761="","",J761-M761-N761-O761)</f>
        <v/>
      </c>
    </row>
    <row r="762">
      <c r="A762">
        <f>IFERROR(INDEX('Shopify Import'!$A:$CZ,762,Settings!$E$20)&amp;"","")</f>
        <v/>
      </c>
      <c r="B762">
        <f>IFERROR(INDEX('Shopify Import'!$A:$CZ,762,Settings!$E$21)&amp;"","")</f>
        <v/>
      </c>
      <c r="C762">
        <f>IFERROR(INDEX('Shopify Import'!$A:$CZ,762,Settings!$E$22)&amp;"","")</f>
        <v/>
      </c>
      <c r="D762">
        <f>IF(A762="","",IFERROR(VALUE(SUBSTITUTE(SUBSTITUTE(INDEX('Shopify Import'!$A:$CZ,762,Settings!$E$23)&amp;"","$",""),",","")),0))</f>
        <v/>
      </c>
      <c r="E762" s="11">
        <f>IF(A762="","",IFERROR(VALUE(SUBSTITUTE(SUBSTITUTE(INDEX('Shopify Import'!$A:$CZ,762,Settings!$E$24)&amp;"","$",""),",","")),0))</f>
        <v/>
      </c>
      <c r="F762" s="11">
        <f>IF(A762="","",D762*E762)</f>
        <v/>
      </c>
      <c r="G762">
        <f>IF(A762="","",IF(C762="",1,COUNTIF($C$2:$C$1501,C762)))</f>
        <v/>
      </c>
      <c r="H762" s="11">
        <f>IF(A762="","",IFERROR(VALUE(SUBSTITUTE(SUBSTITUTE(INDEX('Shopify Import'!$A:$CZ,762,Settings!$E$25)&amp;"","$",""),",","")),0)/IF(Settings!$D$27="Yes",G762,1))</f>
        <v/>
      </c>
      <c r="I762" s="11">
        <f>IF(A762="","",IFERROR(VALUE(SUBSTITUTE(SUBSTITUTE(INDEX('Shopify Import'!$A:$CZ,762,Settings!$E$26)&amp;"","$",""),",","")),0)/IF(Settings!$D$27="Yes",G762,1))</f>
        <v/>
      </c>
      <c r="J762" s="11">
        <f>IF(A762="","",F762+H762-I762)</f>
        <v/>
      </c>
      <c r="K762">
        <f>IF(A762="","",IFERROR(IF(B762="",NA(),MATCH(B762,Products!$B$5:$B$204,0)),IFERROR(MATCH(A762,Products!$A$5:$A$204,0),"")))</f>
        <v/>
      </c>
      <c r="L762">
        <f>IF(A762="","",IF(K762="","⚠ not in Products",INDEX(Products!$A$5:$A$204,K762)))</f>
        <v/>
      </c>
      <c r="M762" s="11">
        <f>IF(A762="","",J762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762+IFERROR(INDEX(Settings!$D$5:$D$9,MATCH("Shopify",Settings!$A$5:$A$9,0)),0)*D762)</f>
        <v/>
      </c>
      <c r="N762" s="11">
        <f>IF(A762="","",IF(K762="",0,D762*INDEX(Products!$I$5:$I$204,K762)))</f>
        <v/>
      </c>
      <c r="O762" s="11">
        <f>IF(A762="","",IF(K762="",0,J762*INDEX(Products!$H$5:$H$204,K762)))</f>
        <v/>
      </c>
      <c r="P762" s="11">
        <f>IF(A762="","",J762-M762-N762-O762)</f>
        <v/>
      </c>
    </row>
    <row r="763">
      <c r="A763">
        <f>IFERROR(INDEX('Shopify Import'!$A:$CZ,763,Settings!$E$20)&amp;"","")</f>
        <v/>
      </c>
      <c r="B763">
        <f>IFERROR(INDEX('Shopify Import'!$A:$CZ,763,Settings!$E$21)&amp;"","")</f>
        <v/>
      </c>
      <c r="C763">
        <f>IFERROR(INDEX('Shopify Import'!$A:$CZ,763,Settings!$E$22)&amp;"","")</f>
        <v/>
      </c>
      <c r="D763">
        <f>IF(A763="","",IFERROR(VALUE(SUBSTITUTE(SUBSTITUTE(INDEX('Shopify Import'!$A:$CZ,763,Settings!$E$23)&amp;"","$",""),",","")),0))</f>
        <v/>
      </c>
      <c r="E763" s="11">
        <f>IF(A763="","",IFERROR(VALUE(SUBSTITUTE(SUBSTITUTE(INDEX('Shopify Import'!$A:$CZ,763,Settings!$E$24)&amp;"","$",""),",","")),0))</f>
        <v/>
      </c>
      <c r="F763" s="11">
        <f>IF(A763="","",D763*E763)</f>
        <v/>
      </c>
      <c r="G763">
        <f>IF(A763="","",IF(C763="",1,COUNTIF($C$2:$C$1501,C763)))</f>
        <v/>
      </c>
      <c r="H763" s="11">
        <f>IF(A763="","",IFERROR(VALUE(SUBSTITUTE(SUBSTITUTE(INDEX('Shopify Import'!$A:$CZ,763,Settings!$E$25)&amp;"","$",""),",","")),0)/IF(Settings!$D$27="Yes",G763,1))</f>
        <v/>
      </c>
      <c r="I763" s="11">
        <f>IF(A763="","",IFERROR(VALUE(SUBSTITUTE(SUBSTITUTE(INDEX('Shopify Import'!$A:$CZ,763,Settings!$E$26)&amp;"","$",""),",","")),0)/IF(Settings!$D$27="Yes",G763,1))</f>
        <v/>
      </c>
      <c r="J763" s="11">
        <f>IF(A763="","",F763+H763-I763)</f>
        <v/>
      </c>
      <c r="K763">
        <f>IF(A763="","",IFERROR(IF(B763="",NA(),MATCH(B763,Products!$B$5:$B$204,0)),IFERROR(MATCH(A763,Products!$A$5:$A$204,0),"")))</f>
        <v/>
      </c>
      <c r="L763">
        <f>IF(A763="","",IF(K763="","⚠ not in Products",INDEX(Products!$A$5:$A$204,K763)))</f>
        <v/>
      </c>
      <c r="M763" s="11">
        <f>IF(A763="","",J763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763+IFERROR(INDEX(Settings!$D$5:$D$9,MATCH("Shopify",Settings!$A$5:$A$9,0)),0)*D763)</f>
        <v/>
      </c>
      <c r="N763" s="11">
        <f>IF(A763="","",IF(K763="",0,D763*INDEX(Products!$I$5:$I$204,K763)))</f>
        <v/>
      </c>
      <c r="O763" s="11">
        <f>IF(A763="","",IF(K763="",0,J763*INDEX(Products!$H$5:$H$204,K763)))</f>
        <v/>
      </c>
      <c r="P763" s="11">
        <f>IF(A763="","",J763-M763-N763-O763)</f>
        <v/>
      </c>
    </row>
    <row r="764">
      <c r="A764">
        <f>IFERROR(INDEX('Shopify Import'!$A:$CZ,764,Settings!$E$20)&amp;"","")</f>
        <v/>
      </c>
      <c r="B764">
        <f>IFERROR(INDEX('Shopify Import'!$A:$CZ,764,Settings!$E$21)&amp;"","")</f>
        <v/>
      </c>
      <c r="C764">
        <f>IFERROR(INDEX('Shopify Import'!$A:$CZ,764,Settings!$E$22)&amp;"","")</f>
        <v/>
      </c>
      <c r="D764">
        <f>IF(A764="","",IFERROR(VALUE(SUBSTITUTE(SUBSTITUTE(INDEX('Shopify Import'!$A:$CZ,764,Settings!$E$23)&amp;"","$",""),",","")),0))</f>
        <v/>
      </c>
      <c r="E764" s="11">
        <f>IF(A764="","",IFERROR(VALUE(SUBSTITUTE(SUBSTITUTE(INDEX('Shopify Import'!$A:$CZ,764,Settings!$E$24)&amp;"","$",""),",","")),0))</f>
        <v/>
      </c>
      <c r="F764" s="11">
        <f>IF(A764="","",D764*E764)</f>
        <v/>
      </c>
      <c r="G764">
        <f>IF(A764="","",IF(C764="",1,COUNTIF($C$2:$C$1501,C764)))</f>
        <v/>
      </c>
      <c r="H764" s="11">
        <f>IF(A764="","",IFERROR(VALUE(SUBSTITUTE(SUBSTITUTE(INDEX('Shopify Import'!$A:$CZ,764,Settings!$E$25)&amp;"","$",""),",","")),0)/IF(Settings!$D$27="Yes",G764,1))</f>
        <v/>
      </c>
      <c r="I764" s="11">
        <f>IF(A764="","",IFERROR(VALUE(SUBSTITUTE(SUBSTITUTE(INDEX('Shopify Import'!$A:$CZ,764,Settings!$E$26)&amp;"","$",""),",","")),0)/IF(Settings!$D$27="Yes",G764,1))</f>
        <v/>
      </c>
      <c r="J764" s="11">
        <f>IF(A764="","",F764+H764-I764)</f>
        <v/>
      </c>
      <c r="K764">
        <f>IF(A764="","",IFERROR(IF(B764="",NA(),MATCH(B764,Products!$B$5:$B$204,0)),IFERROR(MATCH(A764,Products!$A$5:$A$204,0),"")))</f>
        <v/>
      </c>
      <c r="L764">
        <f>IF(A764="","",IF(K764="","⚠ not in Products",INDEX(Products!$A$5:$A$204,K764)))</f>
        <v/>
      </c>
      <c r="M764" s="11">
        <f>IF(A764="","",J764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764+IFERROR(INDEX(Settings!$D$5:$D$9,MATCH("Shopify",Settings!$A$5:$A$9,0)),0)*D764)</f>
        <v/>
      </c>
      <c r="N764" s="11">
        <f>IF(A764="","",IF(K764="",0,D764*INDEX(Products!$I$5:$I$204,K764)))</f>
        <v/>
      </c>
      <c r="O764" s="11">
        <f>IF(A764="","",IF(K764="",0,J764*INDEX(Products!$H$5:$H$204,K764)))</f>
        <v/>
      </c>
      <c r="P764" s="11">
        <f>IF(A764="","",J764-M764-N764-O764)</f>
        <v/>
      </c>
    </row>
    <row r="765">
      <c r="A765">
        <f>IFERROR(INDEX('Shopify Import'!$A:$CZ,765,Settings!$E$20)&amp;"","")</f>
        <v/>
      </c>
      <c r="B765">
        <f>IFERROR(INDEX('Shopify Import'!$A:$CZ,765,Settings!$E$21)&amp;"","")</f>
        <v/>
      </c>
      <c r="C765">
        <f>IFERROR(INDEX('Shopify Import'!$A:$CZ,765,Settings!$E$22)&amp;"","")</f>
        <v/>
      </c>
      <c r="D765">
        <f>IF(A765="","",IFERROR(VALUE(SUBSTITUTE(SUBSTITUTE(INDEX('Shopify Import'!$A:$CZ,765,Settings!$E$23)&amp;"","$",""),",","")),0))</f>
        <v/>
      </c>
      <c r="E765" s="11">
        <f>IF(A765="","",IFERROR(VALUE(SUBSTITUTE(SUBSTITUTE(INDEX('Shopify Import'!$A:$CZ,765,Settings!$E$24)&amp;"","$",""),",","")),0))</f>
        <v/>
      </c>
      <c r="F765" s="11">
        <f>IF(A765="","",D765*E765)</f>
        <v/>
      </c>
      <c r="G765">
        <f>IF(A765="","",IF(C765="",1,COUNTIF($C$2:$C$1501,C765)))</f>
        <v/>
      </c>
      <c r="H765" s="11">
        <f>IF(A765="","",IFERROR(VALUE(SUBSTITUTE(SUBSTITUTE(INDEX('Shopify Import'!$A:$CZ,765,Settings!$E$25)&amp;"","$",""),",","")),0)/IF(Settings!$D$27="Yes",G765,1))</f>
        <v/>
      </c>
      <c r="I765" s="11">
        <f>IF(A765="","",IFERROR(VALUE(SUBSTITUTE(SUBSTITUTE(INDEX('Shopify Import'!$A:$CZ,765,Settings!$E$26)&amp;"","$",""),",","")),0)/IF(Settings!$D$27="Yes",G765,1))</f>
        <v/>
      </c>
      <c r="J765" s="11">
        <f>IF(A765="","",F765+H765-I765)</f>
        <v/>
      </c>
      <c r="K765">
        <f>IF(A765="","",IFERROR(IF(B765="",NA(),MATCH(B765,Products!$B$5:$B$204,0)),IFERROR(MATCH(A765,Products!$A$5:$A$204,0),"")))</f>
        <v/>
      </c>
      <c r="L765">
        <f>IF(A765="","",IF(K765="","⚠ not in Products",INDEX(Products!$A$5:$A$204,K765)))</f>
        <v/>
      </c>
      <c r="M765" s="11">
        <f>IF(A765="","",J765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765+IFERROR(INDEX(Settings!$D$5:$D$9,MATCH("Shopify",Settings!$A$5:$A$9,0)),0)*D765)</f>
        <v/>
      </c>
      <c r="N765" s="11">
        <f>IF(A765="","",IF(K765="",0,D765*INDEX(Products!$I$5:$I$204,K765)))</f>
        <v/>
      </c>
      <c r="O765" s="11">
        <f>IF(A765="","",IF(K765="",0,J765*INDEX(Products!$H$5:$H$204,K765)))</f>
        <v/>
      </c>
      <c r="P765" s="11">
        <f>IF(A765="","",J765-M765-N765-O765)</f>
        <v/>
      </c>
    </row>
    <row r="766">
      <c r="A766">
        <f>IFERROR(INDEX('Shopify Import'!$A:$CZ,766,Settings!$E$20)&amp;"","")</f>
        <v/>
      </c>
      <c r="B766">
        <f>IFERROR(INDEX('Shopify Import'!$A:$CZ,766,Settings!$E$21)&amp;"","")</f>
        <v/>
      </c>
      <c r="C766">
        <f>IFERROR(INDEX('Shopify Import'!$A:$CZ,766,Settings!$E$22)&amp;"","")</f>
        <v/>
      </c>
      <c r="D766">
        <f>IF(A766="","",IFERROR(VALUE(SUBSTITUTE(SUBSTITUTE(INDEX('Shopify Import'!$A:$CZ,766,Settings!$E$23)&amp;"","$",""),",","")),0))</f>
        <v/>
      </c>
      <c r="E766" s="11">
        <f>IF(A766="","",IFERROR(VALUE(SUBSTITUTE(SUBSTITUTE(INDEX('Shopify Import'!$A:$CZ,766,Settings!$E$24)&amp;"","$",""),",","")),0))</f>
        <v/>
      </c>
      <c r="F766" s="11">
        <f>IF(A766="","",D766*E766)</f>
        <v/>
      </c>
      <c r="G766">
        <f>IF(A766="","",IF(C766="",1,COUNTIF($C$2:$C$1501,C766)))</f>
        <v/>
      </c>
      <c r="H766" s="11">
        <f>IF(A766="","",IFERROR(VALUE(SUBSTITUTE(SUBSTITUTE(INDEX('Shopify Import'!$A:$CZ,766,Settings!$E$25)&amp;"","$",""),",","")),0)/IF(Settings!$D$27="Yes",G766,1))</f>
        <v/>
      </c>
      <c r="I766" s="11">
        <f>IF(A766="","",IFERROR(VALUE(SUBSTITUTE(SUBSTITUTE(INDEX('Shopify Import'!$A:$CZ,766,Settings!$E$26)&amp;"","$",""),",","")),0)/IF(Settings!$D$27="Yes",G766,1))</f>
        <v/>
      </c>
      <c r="J766" s="11">
        <f>IF(A766="","",F766+H766-I766)</f>
        <v/>
      </c>
      <c r="K766">
        <f>IF(A766="","",IFERROR(IF(B766="",NA(),MATCH(B766,Products!$B$5:$B$204,0)),IFERROR(MATCH(A766,Products!$A$5:$A$204,0),"")))</f>
        <v/>
      </c>
      <c r="L766">
        <f>IF(A766="","",IF(K766="","⚠ not in Products",INDEX(Products!$A$5:$A$204,K766)))</f>
        <v/>
      </c>
      <c r="M766" s="11">
        <f>IF(A766="","",J766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766+IFERROR(INDEX(Settings!$D$5:$D$9,MATCH("Shopify",Settings!$A$5:$A$9,0)),0)*D766)</f>
        <v/>
      </c>
      <c r="N766" s="11">
        <f>IF(A766="","",IF(K766="",0,D766*INDEX(Products!$I$5:$I$204,K766)))</f>
        <v/>
      </c>
      <c r="O766" s="11">
        <f>IF(A766="","",IF(K766="",0,J766*INDEX(Products!$H$5:$H$204,K766)))</f>
        <v/>
      </c>
      <c r="P766" s="11">
        <f>IF(A766="","",J766-M766-N766-O766)</f>
        <v/>
      </c>
    </row>
    <row r="767">
      <c r="A767">
        <f>IFERROR(INDEX('Shopify Import'!$A:$CZ,767,Settings!$E$20)&amp;"","")</f>
        <v/>
      </c>
      <c r="B767">
        <f>IFERROR(INDEX('Shopify Import'!$A:$CZ,767,Settings!$E$21)&amp;"","")</f>
        <v/>
      </c>
      <c r="C767">
        <f>IFERROR(INDEX('Shopify Import'!$A:$CZ,767,Settings!$E$22)&amp;"","")</f>
        <v/>
      </c>
      <c r="D767">
        <f>IF(A767="","",IFERROR(VALUE(SUBSTITUTE(SUBSTITUTE(INDEX('Shopify Import'!$A:$CZ,767,Settings!$E$23)&amp;"","$",""),",","")),0))</f>
        <v/>
      </c>
      <c r="E767" s="11">
        <f>IF(A767="","",IFERROR(VALUE(SUBSTITUTE(SUBSTITUTE(INDEX('Shopify Import'!$A:$CZ,767,Settings!$E$24)&amp;"","$",""),",","")),0))</f>
        <v/>
      </c>
      <c r="F767" s="11">
        <f>IF(A767="","",D767*E767)</f>
        <v/>
      </c>
      <c r="G767">
        <f>IF(A767="","",IF(C767="",1,COUNTIF($C$2:$C$1501,C767)))</f>
        <v/>
      </c>
      <c r="H767" s="11">
        <f>IF(A767="","",IFERROR(VALUE(SUBSTITUTE(SUBSTITUTE(INDEX('Shopify Import'!$A:$CZ,767,Settings!$E$25)&amp;"","$",""),",","")),0)/IF(Settings!$D$27="Yes",G767,1))</f>
        <v/>
      </c>
      <c r="I767" s="11">
        <f>IF(A767="","",IFERROR(VALUE(SUBSTITUTE(SUBSTITUTE(INDEX('Shopify Import'!$A:$CZ,767,Settings!$E$26)&amp;"","$",""),",","")),0)/IF(Settings!$D$27="Yes",G767,1))</f>
        <v/>
      </c>
      <c r="J767" s="11">
        <f>IF(A767="","",F767+H767-I767)</f>
        <v/>
      </c>
      <c r="K767">
        <f>IF(A767="","",IFERROR(IF(B767="",NA(),MATCH(B767,Products!$B$5:$B$204,0)),IFERROR(MATCH(A767,Products!$A$5:$A$204,0),"")))</f>
        <v/>
      </c>
      <c r="L767">
        <f>IF(A767="","",IF(K767="","⚠ not in Products",INDEX(Products!$A$5:$A$204,K767)))</f>
        <v/>
      </c>
      <c r="M767" s="11">
        <f>IF(A767="","",J767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767+IFERROR(INDEX(Settings!$D$5:$D$9,MATCH("Shopify",Settings!$A$5:$A$9,0)),0)*D767)</f>
        <v/>
      </c>
      <c r="N767" s="11">
        <f>IF(A767="","",IF(K767="",0,D767*INDEX(Products!$I$5:$I$204,K767)))</f>
        <v/>
      </c>
      <c r="O767" s="11">
        <f>IF(A767="","",IF(K767="",0,J767*INDEX(Products!$H$5:$H$204,K767)))</f>
        <v/>
      </c>
      <c r="P767" s="11">
        <f>IF(A767="","",J767-M767-N767-O767)</f>
        <v/>
      </c>
    </row>
    <row r="768">
      <c r="A768">
        <f>IFERROR(INDEX('Shopify Import'!$A:$CZ,768,Settings!$E$20)&amp;"","")</f>
        <v/>
      </c>
      <c r="B768">
        <f>IFERROR(INDEX('Shopify Import'!$A:$CZ,768,Settings!$E$21)&amp;"","")</f>
        <v/>
      </c>
      <c r="C768">
        <f>IFERROR(INDEX('Shopify Import'!$A:$CZ,768,Settings!$E$22)&amp;"","")</f>
        <v/>
      </c>
      <c r="D768">
        <f>IF(A768="","",IFERROR(VALUE(SUBSTITUTE(SUBSTITUTE(INDEX('Shopify Import'!$A:$CZ,768,Settings!$E$23)&amp;"","$",""),",","")),0))</f>
        <v/>
      </c>
      <c r="E768" s="11">
        <f>IF(A768="","",IFERROR(VALUE(SUBSTITUTE(SUBSTITUTE(INDEX('Shopify Import'!$A:$CZ,768,Settings!$E$24)&amp;"","$",""),",","")),0))</f>
        <v/>
      </c>
      <c r="F768" s="11">
        <f>IF(A768="","",D768*E768)</f>
        <v/>
      </c>
      <c r="G768">
        <f>IF(A768="","",IF(C768="",1,COUNTIF($C$2:$C$1501,C768)))</f>
        <v/>
      </c>
      <c r="H768" s="11">
        <f>IF(A768="","",IFERROR(VALUE(SUBSTITUTE(SUBSTITUTE(INDEX('Shopify Import'!$A:$CZ,768,Settings!$E$25)&amp;"","$",""),",","")),0)/IF(Settings!$D$27="Yes",G768,1))</f>
        <v/>
      </c>
      <c r="I768" s="11">
        <f>IF(A768="","",IFERROR(VALUE(SUBSTITUTE(SUBSTITUTE(INDEX('Shopify Import'!$A:$CZ,768,Settings!$E$26)&amp;"","$",""),",","")),0)/IF(Settings!$D$27="Yes",G768,1))</f>
        <v/>
      </c>
      <c r="J768" s="11">
        <f>IF(A768="","",F768+H768-I768)</f>
        <v/>
      </c>
      <c r="K768">
        <f>IF(A768="","",IFERROR(IF(B768="",NA(),MATCH(B768,Products!$B$5:$B$204,0)),IFERROR(MATCH(A768,Products!$A$5:$A$204,0),"")))</f>
        <v/>
      </c>
      <c r="L768">
        <f>IF(A768="","",IF(K768="","⚠ not in Products",INDEX(Products!$A$5:$A$204,K768)))</f>
        <v/>
      </c>
      <c r="M768" s="11">
        <f>IF(A768="","",J768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768+IFERROR(INDEX(Settings!$D$5:$D$9,MATCH("Shopify",Settings!$A$5:$A$9,0)),0)*D768)</f>
        <v/>
      </c>
      <c r="N768" s="11">
        <f>IF(A768="","",IF(K768="",0,D768*INDEX(Products!$I$5:$I$204,K768)))</f>
        <v/>
      </c>
      <c r="O768" s="11">
        <f>IF(A768="","",IF(K768="",0,J768*INDEX(Products!$H$5:$H$204,K768)))</f>
        <v/>
      </c>
      <c r="P768" s="11">
        <f>IF(A768="","",J768-M768-N768-O768)</f>
        <v/>
      </c>
    </row>
    <row r="769">
      <c r="A769">
        <f>IFERROR(INDEX('Shopify Import'!$A:$CZ,769,Settings!$E$20)&amp;"","")</f>
        <v/>
      </c>
      <c r="B769">
        <f>IFERROR(INDEX('Shopify Import'!$A:$CZ,769,Settings!$E$21)&amp;"","")</f>
        <v/>
      </c>
      <c r="C769">
        <f>IFERROR(INDEX('Shopify Import'!$A:$CZ,769,Settings!$E$22)&amp;"","")</f>
        <v/>
      </c>
      <c r="D769">
        <f>IF(A769="","",IFERROR(VALUE(SUBSTITUTE(SUBSTITUTE(INDEX('Shopify Import'!$A:$CZ,769,Settings!$E$23)&amp;"","$",""),",","")),0))</f>
        <v/>
      </c>
      <c r="E769" s="11">
        <f>IF(A769="","",IFERROR(VALUE(SUBSTITUTE(SUBSTITUTE(INDEX('Shopify Import'!$A:$CZ,769,Settings!$E$24)&amp;"","$",""),",","")),0))</f>
        <v/>
      </c>
      <c r="F769" s="11">
        <f>IF(A769="","",D769*E769)</f>
        <v/>
      </c>
      <c r="G769">
        <f>IF(A769="","",IF(C769="",1,COUNTIF($C$2:$C$1501,C769)))</f>
        <v/>
      </c>
      <c r="H769" s="11">
        <f>IF(A769="","",IFERROR(VALUE(SUBSTITUTE(SUBSTITUTE(INDEX('Shopify Import'!$A:$CZ,769,Settings!$E$25)&amp;"","$",""),",","")),0)/IF(Settings!$D$27="Yes",G769,1))</f>
        <v/>
      </c>
      <c r="I769" s="11">
        <f>IF(A769="","",IFERROR(VALUE(SUBSTITUTE(SUBSTITUTE(INDEX('Shopify Import'!$A:$CZ,769,Settings!$E$26)&amp;"","$",""),",","")),0)/IF(Settings!$D$27="Yes",G769,1))</f>
        <v/>
      </c>
      <c r="J769" s="11">
        <f>IF(A769="","",F769+H769-I769)</f>
        <v/>
      </c>
      <c r="K769">
        <f>IF(A769="","",IFERROR(IF(B769="",NA(),MATCH(B769,Products!$B$5:$B$204,0)),IFERROR(MATCH(A769,Products!$A$5:$A$204,0),"")))</f>
        <v/>
      </c>
      <c r="L769">
        <f>IF(A769="","",IF(K769="","⚠ not in Products",INDEX(Products!$A$5:$A$204,K769)))</f>
        <v/>
      </c>
      <c r="M769" s="11">
        <f>IF(A769="","",J769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769+IFERROR(INDEX(Settings!$D$5:$D$9,MATCH("Shopify",Settings!$A$5:$A$9,0)),0)*D769)</f>
        <v/>
      </c>
      <c r="N769" s="11">
        <f>IF(A769="","",IF(K769="",0,D769*INDEX(Products!$I$5:$I$204,K769)))</f>
        <v/>
      </c>
      <c r="O769" s="11">
        <f>IF(A769="","",IF(K769="",0,J769*INDEX(Products!$H$5:$H$204,K769)))</f>
        <v/>
      </c>
      <c r="P769" s="11">
        <f>IF(A769="","",J769-M769-N769-O769)</f>
        <v/>
      </c>
    </row>
    <row r="770">
      <c r="A770">
        <f>IFERROR(INDEX('Shopify Import'!$A:$CZ,770,Settings!$E$20)&amp;"","")</f>
        <v/>
      </c>
      <c r="B770">
        <f>IFERROR(INDEX('Shopify Import'!$A:$CZ,770,Settings!$E$21)&amp;"","")</f>
        <v/>
      </c>
      <c r="C770">
        <f>IFERROR(INDEX('Shopify Import'!$A:$CZ,770,Settings!$E$22)&amp;"","")</f>
        <v/>
      </c>
      <c r="D770">
        <f>IF(A770="","",IFERROR(VALUE(SUBSTITUTE(SUBSTITUTE(INDEX('Shopify Import'!$A:$CZ,770,Settings!$E$23)&amp;"","$",""),",","")),0))</f>
        <v/>
      </c>
      <c r="E770" s="11">
        <f>IF(A770="","",IFERROR(VALUE(SUBSTITUTE(SUBSTITUTE(INDEX('Shopify Import'!$A:$CZ,770,Settings!$E$24)&amp;"","$",""),",","")),0))</f>
        <v/>
      </c>
      <c r="F770" s="11">
        <f>IF(A770="","",D770*E770)</f>
        <v/>
      </c>
      <c r="G770">
        <f>IF(A770="","",IF(C770="",1,COUNTIF($C$2:$C$1501,C770)))</f>
        <v/>
      </c>
      <c r="H770" s="11">
        <f>IF(A770="","",IFERROR(VALUE(SUBSTITUTE(SUBSTITUTE(INDEX('Shopify Import'!$A:$CZ,770,Settings!$E$25)&amp;"","$",""),",","")),0)/IF(Settings!$D$27="Yes",G770,1))</f>
        <v/>
      </c>
      <c r="I770" s="11">
        <f>IF(A770="","",IFERROR(VALUE(SUBSTITUTE(SUBSTITUTE(INDEX('Shopify Import'!$A:$CZ,770,Settings!$E$26)&amp;"","$",""),",","")),0)/IF(Settings!$D$27="Yes",G770,1))</f>
        <v/>
      </c>
      <c r="J770" s="11">
        <f>IF(A770="","",F770+H770-I770)</f>
        <v/>
      </c>
      <c r="K770">
        <f>IF(A770="","",IFERROR(IF(B770="",NA(),MATCH(B770,Products!$B$5:$B$204,0)),IFERROR(MATCH(A770,Products!$A$5:$A$204,0),"")))</f>
        <v/>
      </c>
      <c r="L770">
        <f>IF(A770="","",IF(K770="","⚠ not in Products",INDEX(Products!$A$5:$A$204,K770)))</f>
        <v/>
      </c>
      <c r="M770" s="11">
        <f>IF(A770="","",J770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770+IFERROR(INDEX(Settings!$D$5:$D$9,MATCH("Shopify",Settings!$A$5:$A$9,0)),0)*D770)</f>
        <v/>
      </c>
      <c r="N770" s="11">
        <f>IF(A770="","",IF(K770="",0,D770*INDEX(Products!$I$5:$I$204,K770)))</f>
        <v/>
      </c>
      <c r="O770" s="11">
        <f>IF(A770="","",IF(K770="",0,J770*INDEX(Products!$H$5:$H$204,K770)))</f>
        <v/>
      </c>
      <c r="P770" s="11">
        <f>IF(A770="","",J770-M770-N770-O770)</f>
        <v/>
      </c>
    </row>
    <row r="771">
      <c r="A771">
        <f>IFERROR(INDEX('Shopify Import'!$A:$CZ,771,Settings!$E$20)&amp;"","")</f>
        <v/>
      </c>
      <c r="B771">
        <f>IFERROR(INDEX('Shopify Import'!$A:$CZ,771,Settings!$E$21)&amp;"","")</f>
        <v/>
      </c>
      <c r="C771">
        <f>IFERROR(INDEX('Shopify Import'!$A:$CZ,771,Settings!$E$22)&amp;"","")</f>
        <v/>
      </c>
      <c r="D771">
        <f>IF(A771="","",IFERROR(VALUE(SUBSTITUTE(SUBSTITUTE(INDEX('Shopify Import'!$A:$CZ,771,Settings!$E$23)&amp;"","$",""),",","")),0))</f>
        <v/>
      </c>
      <c r="E771" s="11">
        <f>IF(A771="","",IFERROR(VALUE(SUBSTITUTE(SUBSTITUTE(INDEX('Shopify Import'!$A:$CZ,771,Settings!$E$24)&amp;"","$",""),",","")),0))</f>
        <v/>
      </c>
      <c r="F771" s="11">
        <f>IF(A771="","",D771*E771)</f>
        <v/>
      </c>
      <c r="G771">
        <f>IF(A771="","",IF(C771="",1,COUNTIF($C$2:$C$1501,C771)))</f>
        <v/>
      </c>
      <c r="H771" s="11">
        <f>IF(A771="","",IFERROR(VALUE(SUBSTITUTE(SUBSTITUTE(INDEX('Shopify Import'!$A:$CZ,771,Settings!$E$25)&amp;"","$",""),",","")),0)/IF(Settings!$D$27="Yes",G771,1))</f>
        <v/>
      </c>
      <c r="I771" s="11">
        <f>IF(A771="","",IFERROR(VALUE(SUBSTITUTE(SUBSTITUTE(INDEX('Shopify Import'!$A:$CZ,771,Settings!$E$26)&amp;"","$",""),",","")),0)/IF(Settings!$D$27="Yes",G771,1))</f>
        <v/>
      </c>
      <c r="J771" s="11">
        <f>IF(A771="","",F771+H771-I771)</f>
        <v/>
      </c>
      <c r="K771">
        <f>IF(A771="","",IFERROR(IF(B771="",NA(),MATCH(B771,Products!$B$5:$B$204,0)),IFERROR(MATCH(A771,Products!$A$5:$A$204,0),"")))</f>
        <v/>
      </c>
      <c r="L771">
        <f>IF(A771="","",IF(K771="","⚠ not in Products",INDEX(Products!$A$5:$A$204,K771)))</f>
        <v/>
      </c>
      <c r="M771" s="11">
        <f>IF(A771="","",J771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771+IFERROR(INDEX(Settings!$D$5:$D$9,MATCH("Shopify",Settings!$A$5:$A$9,0)),0)*D771)</f>
        <v/>
      </c>
      <c r="N771" s="11">
        <f>IF(A771="","",IF(K771="",0,D771*INDEX(Products!$I$5:$I$204,K771)))</f>
        <v/>
      </c>
      <c r="O771" s="11">
        <f>IF(A771="","",IF(K771="",0,J771*INDEX(Products!$H$5:$H$204,K771)))</f>
        <v/>
      </c>
      <c r="P771" s="11">
        <f>IF(A771="","",J771-M771-N771-O771)</f>
        <v/>
      </c>
    </row>
    <row r="772">
      <c r="A772">
        <f>IFERROR(INDEX('Shopify Import'!$A:$CZ,772,Settings!$E$20)&amp;"","")</f>
        <v/>
      </c>
      <c r="B772">
        <f>IFERROR(INDEX('Shopify Import'!$A:$CZ,772,Settings!$E$21)&amp;"","")</f>
        <v/>
      </c>
      <c r="C772">
        <f>IFERROR(INDEX('Shopify Import'!$A:$CZ,772,Settings!$E$22)&amp;"","")</f>
        <v/>
      </c>
      <c r="D772">
        <f>IF(A772="","",IFERROR(VALUE(SUBSTITUTE(SUBSTITUTE(INDEX('Shopify Import'!$A:$CZ,772,Settings!$E$23)&amp;"","$",""),",","")),0))</f>
        <v/>
      </c>
      <c r="E772" s="11">
        <f>IF(A772="","",IFERROR(VALUE(SUBSTITUTE(SUBSTITUTE(INDEX('Shopify Import'!$A:$CZ,772,Settings!$E$24)&amp;"","$",""),",","")),0))</f>
        <v/>
      </c>
      <c r="F772" s="11">
        <f>IF(A772="","",D772*E772)</f>
        <v/>
      </c>
      <c r="G772">
        <f>IF(A772="","",IF(C772="",1,COUNTIF($C$2:$C$1501,C772)))</f>
        <v/>
      </c>
      <c r="H772" s="11">
        <f>IF(A772="","",IFERROR(VALUE(SUBSTITUTE(SUBSTITUTE(INDEX('Shopify Import'!$A:$CZ,772,Settings!$E$25)&amp;"","$",""),",","")),0)/IF(Settings!$D$27="Yes",G772,1))</f>
        <v/>
      </c>
      <c r="I772" s="11">
        <f>IF(A772="","",IFERROR(VALUE(SUBSTITUTE(SUBSTITUTE(INDEX('Shopify Import'!$A:$CZ,772,Settings!$E$26)&amp;"","$",""),",","")),0)/IF(Settings!$D$27="Yes",G772,1))</f>
        <v/>
      </c>
      <c r="J772" s="11">
        <f>IF(A772="","",F772+H772-I772)</f>
        <v/>
      </c>
      <c r="K772">
        <f>IF(A772="","",IFERROR(IF(B772="",NA(),MATCH(B772,Products!$B$5:$B$204,0)),IFERROR(MATCH(A772,Products!$A$5:$A$204,0),"")))</f>
        <v/>
      </c>
      <c r="L772">
        <f>IF(A772="","",IF(K772="","⚠ not in Products",INDEX(Products!$A$5:$A$204,K772)))</f>
        <v/>
      </c>
      <c r="M772" s="11">
        <f>IF(A772="","",J772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772+IFERROR(INDEX(Settings!$D$5:$D$9,MATCH("Shopify",Settings!$A$5:$A$9,0)),0)*D772)</f>
        <v/>
      </c>
      <c r="N772" s="11">
        <f>IF(A772="","",IF(K772="",0,D772*INDEX(Products!$I$5:$I$204,K772)))</f>
        <v/>
      </c>
      <c r="O772" s="11">
        <f>IF(A772="","",IF(K772="",0,J772*INDEX(Products!$H$5:$H$204,K772)))</f>
        <v/>
      </c>
      <c r="P772" s="11">
        <f>IF(A772="","",J772-M772-N772-O772)</f>
        <v/>
      </c>
    </row>
    <row r="773">
      <c r="A773">
        <f>IFERROR(INDEX('Shopify Import'!$A:$CZ,773,Settings!$E$20)&amp;"","")</f>
        <v/>
      </c>
      <c r="B773">
        <f>IFERROR(INDEX('Shopify Import'!$A:$CZ,773,Settings!$E$21)&amp;"","")</f>
        <v/>
      </c>
      <c r="C773">
        <f>IFERROR(INDEX('Shopify Import'!$A:$CZ,773,Settings!$E$22)&amp;"","")</f>
        <v/>
      </c>
      <c r="D773">
        <f>IF(A773="","",IFERROR(VALUE(SUBSTITUTE(SUBSTITUTE(INDEX('Shopify Import'!$A:$CZ,773,Settings!$E$23)&amp;"","$",""),",","")),0))</f>
        <v/>
      </c>
      <c r="E773" s="11">
        <f>IF(A773="","",IFERROR(VALUE(SUBSTITUTE(SUBSTITUTE(INDEX('Shopify Import'!$A:$CZ,773,Settings!$E$24)&amp;"","$",""),",","")),0))</f>
        <v/>
      </c>
      <c r="F773" s="11">
        <f>IF(A773="","",D773*E773)</f>
        <v/>
      </c>
      <c r="G773">
        <f>IF(A773="","",IF(C773="",1,COUNTIF($C$2:$C$1501,C773)))</f>
        <v/>
      </c>
      <c r="H773" s="11">
        <f>IF(A773="","",IFERROR(VALUE(SUBSTITUTE(SUBSTITUTE(INDEX('Shopify Import'!$A:$CZ,773,Settings!$E$25)&amp;"","$",""),",","")),0)/IF(Settings!$D$27="Yes",G773,1))</f>
        <v/>
      </c>
      <c r="I773" s="11">
        <f>IF(A773="","",IFERROR(VALUE(SUBSTITUTE(SUBSTITUTE(INDEX('Shopify Import'!$A:$CZ,773,Settings!$E$26)&amp;"","$",""),",","")),0)/IF(Settings!$D$27="Yes",G773,1))</f>
        <v/>
      </c>
      <c r="J773" s="11">
        <f>IF(A773="","",F773+H773-I773)</f>
        <v/>
      </c>
      <c r="K773">
        <f>IF(A773="","",IFERROR(IF(B773="",NA(),MATCH(B773,Products!$B$5:$B$204,0)),IFERROR(MATCH(A773,Products!$A$5:$A$204,0),"")))</f>
        <v/>
      </c>
      <c r="L773">
        <f>IF(A773="","",IF(K773="","⚠ not in Products",INDEX(Products!$A$5:$A$204,K773)))</f>
        <v/>
      </c>
      <c r="M773" s="11">
        <f>IF(A773="","",J773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773+IFERROR(INDEX(Settings!$D$5:$D$9,MATCH("Shopify",Settings!$A$5:$A$9,0)),0)*D773)</f>
        <v/>
      </c>
      <c r="N773" s="11">
        <f>IF(A773="","",IF(K773="",0,D773*INDEX(Products!$I$5:$I$204,K773)))</f>
        <v/>
      </c>
      <c r="O773" s="11">
        <f>IF(A773="","",IF(K773="",0,J773*INDEX(Products!$H$5:$H$204,K773)))</f>
        <v/>
      </c>
      <c r="P773" s="11">
        <f>IF(A773="","",J773-M773-N773-O773)</f>
        <v/>
      </c>
    </row>
    <row r="774">
      <c r="A774">
        <f>IFERROR(INDEX('Shopify Import'!$A:$CZ,774,Settings!$E$20)&amp;"","")</f>
        <v/>
      </c>
      <c r="B774">
        <f>IFERROR(INDEX('Shopify Import'!$A:$CZ,774,Settings!$E$21)&amp;"","")</f>
        <v/>
      </c>
      <c r="C774">
        <f>IFERROR(INDEX('Shopify Import'!$A:$CZ,774,Settings!$E$22)&amp;"","")</f>
        <v/>
      </c>
      <c r="D774">
        <f>IF(A774="","",IFERROR(VALUE(SUBSTITUTE(SUBSTITUTE(INDEX('Shopify Import'!$A:$CZ,774,Settings!$E$23)&amp;"","$",""),",","")),0))</f>
        <v/>
      </c>
      <c r="E774" s="11">
        <f>IF(A774="","",IFERROR(VALUE(SUBSTITUTE(SUBSTITUTE(INDEX('Shopify Import'!$A:$CZ,774,Settings!$E$24)&amp;"","$",""),",","")),0))</f>
        <v/>
      </c>
      <c r="F774" s="11">
        <f>IF(A774="","",D774*E774)</f>
        <v/>
      </c>
      <c r="G774">
        <f>IF(A774="","",IF(C774="",1,COUNTIF($C$2:$C$1501,C774)))</f>
        <v/>
      </c>
      <c r="H774" s="11">
        <f>IF(A774="","",IFERROR(VALUE(SUBSTITUTE(SUBSTITUTE(INDEX('Shopify Import'!$A:$CZ,774,Settings!$E$25)&amp;"","$",""),",","")),0)/IF(Settings!$D$27="Yes",G774,1))</f>
        <v/>
      </c>
      <c r="I774" s="11">
        <f>IF(A774="","",IFERROR(VALUE(SUBSTITUTE(SUBSTITUTE(INDEX('Shopify Import'!$A:$CZ,774,Settings!$E$26)&amp;"","$",""),",","")),0)/IF(Settings!$D$27="Yes",G774,1))</f>
        <v/>
      </c>
      <c r="J774" s="11">
        <f>IF(A774="","",F774+H774-I774)</f>
        <v/>
      </c>
      <c r="K774">
        <f>IF(A774="","",IFERROR(IF(B774="",NA(),MATCH(B774,Products!$B$5:$B$204,0)),IFERROR(MATCH(A774,Products!$A$5:$A$204,0),"")))</f>
        <v/>
      </c>
      <c r="L774">
        <f>IF(A774="","",IF(K774="","⚠ not in Products",INDEX(Products!$A$5:$A$204,K774)))</f>
        <v/>
      </c>
      <c r="M774" s="11">
        <f>IF(A774="","",J774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774+IFERROR(INDEX(Settings!$D$5:$D$9,MATCH("Shopify",Settings!$A$5:$A$9,0)),0)*D774)</f>
        <v/>
      </c>
      <c r="N774" s="11">
        <f>IF(A774="","",IF(K774="",0,D774*INDEX(Products!$I$5:$I$204,K774)))</f>
        <v/>
      </c>
      <c r="O774" s="11">
        <f>IF(A774="","",IF(K774="",0,J774*INDEX(Products!$H$5:$H$204,K774)))</f>
        <v/>
      </c>
      <c r="P774" s="11">
        <f>IF(A774="","",J774-M774-N774-O774)</f>
        <v/>
      </c>
    </row>
    <row r="775">
      <c r="A775">
        <f>IFERROR(INDEX('Shopify Import'!$A:$CZ,775,Settings!$E$20)&amp;"","")</f>
        <v/>
      </c>
      <c r="B775">
        <f>IFERROR(INDEX('Shopify Import'!$A:$CZ,775,Settings!$E$21)&amp;"","")</f>
        <v/>
      </c>
      <c r="C775">
        <f>IFERROR(INDEX('Shopify Import'!$A:$CZ,775,Settings!$E$22)&amp;"","")</f>
        <v/>
      </c>
      <c r="D775">
        <f>IF(A775="","",IFERROR(VALUE(SUBSTITUTE(SUBSTITUTE(INDEX('Shopify Import'!$A:$CZ,775,Settings!$E$23)&amp;"","$",""),",","")),0))</f>
        <v/>
      </c>
      <c r="E775" s="11">
        <f>IF(A775="","",IFERROR(VALUE(SUBSTITUTE(SUBSTITUTE(INDEX('Shopify Import'!$A:$CZ,775,Settings!$E$24)&amp;"","$",""),",","")),0))</f>
        <v/>
      </c>
      <c r="F775" s="11">
        <f>IF(A775="","",D775*E775)</f>
        <v/>
      </c>
      <c r="G775">
        <f>IF(A775="","",IF(C775="",1,COUNTIF($C$2:$C$1501,C775)))</f>
        <v/>
      </c>
      <c r="H775" s="11">
        <f>IF(A775="","",IFERROR(VALUE(SUBSTITUTE(SUBSTITUTE(INDEX('Shopify Import'!$A:$CZ,775,Settings!$E$25)&amp;"","$",""),",","")),0)/IF(Settings!$D$27="Yes",G775,1))</f>
        <v/>
      </c>
      <c r="I775" s="11">
        <f>IF(A775="","",IFERROR(VALUE(SUBSTITUTE(SUBSTITUTE(INDEX('Shopify Import'!$A:$CZ,775,Settings!$E$26)&amp;"","$",""),",","")),0)/IF(Settings!$D$27="Yes",G775,1))</f>
        <v/>
      </c>
      <c r="J775" s="11">
        <f>IF(A775="","",F775+H775-I775)</f>
        <v/>
      </c>
      <c r="K775">
        <f>IF(A775="","",IFERROR(IF(B775="",NA(),MATCH(B775,Products!$B$5:$B$204,0)),IFERROR(MATCH(A775,Products!$A$5:$A$204,0),"")))</f>
        <v/>
      </c>
      <c r="L775">
        <f>IF(A775="","",IF(K775="","⚠ not in Products",INDEX(Products!$A$5:$A$204,K775)))</f>
        <v/>
      </c>
      <c r="M775" s="11">
        <f>IF(A775="","",J775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775+IFERROR(INDEX(Settings!$D$5:$D$9,MATCH("Shopify",Settings!$A$5:$A$9,0)),0)*D775)</f>
        <v/>
      </c>
      <c r="N775" s="11">
        <f>IF(A775="","",IF(K775="",0,D775*INDEX(Products!$I$5:$I$204,K775)))</f>
        <v/>
      </c>
      <c r="O775" s="11">
        <f>IF(A775="","",IF(K775="",0,J775*INDEX(Products!$H$5:$H$204,K775)))</f>
        <v/>
      </c>
      <c r="P775" s="11">
        <f>IF(A775="","",J775-M775-N775-O775)</f>
        <v/>
      </c>
    </row>
    <row r="776">
      <c r="A776">
        <f>IFERROR(INDEX('Shopify Import'!$A:$CZ,776,Settings!$E$20)&amp;"","")</f>
        <v/>
      </c>
      <c r="B776">
        <f>IFERROR(INDEX('Shopify Import'!$A:$CZ,776,Settings!$E$21)&amp;"","")</f>
        <v/>
      </c>
      <c r="C776">
        <f>IFERROR(INDEX('Shopify Import'!$A:$CZ,776,Settings!$E$22)&amp;"","")</f>
        <v/>
      </c>
      <c r="D776">
        <f>IF(A776="","",IFERROR(VALUE(SUBSTITUTE(SUBSTITUTE(INDEX('Shopify Import'!$A:$CZ,776,Settings!$E$23)&amp;"","$",""),",","")),0))</f>
        <v/>
      </c>
      <c r="E776" s="11">
        <f>IF(A776="","",IFERROR(VALUE(SUBSTITUTE(SUBSTITUTE(INDEX('Shopify Import'!$A:$CZ,776,Settings!$E$24)&amp;"","$",""),",","")),0))</f>
        <v/>
      </c>
      <c r="F776" s="11">
        <f>IF(A776="","",D776*E776)</f>
        <v/>
      </c>
      <c r="G776">
        <f>IF(A776="","",IF(C776="",1,COUNTIF($C$2:$C$1501,C776)))</f>
        <v/>
      </c>
      <c r="H776" s="11">
        <f>IF(A776="","",IFERROR(VALUE(SUBSTITUTE(SUBSTITUTE(INDEX('Shopify Import'!$A:$CZ,776,Settings!$E$25)&amp;"","$",""),",","")),0)/IF(Settings!$D$27="Yes",G776,1))</f>
        <v/>
      </c>
      <c r="I776" s="11">
        <f>IF(A776="","",IFERROR(VALUE(SUBSTITUTE(SUBSTITUTE(INDEX('Shopify Import'!$A:$CZ,776,Settings!$E$26)&amp;"","$",""),",","")),0)/IF(Settings!$D$27="Yes",G776,1))</f>
        <v/>
      </c>
      <c r="J776" s="11">
        <f>IF(A776="","",F776+H776-I776)</f>
        <v/>
      </c>
      <c r="K776">
        <f>IF(A776="","",IFERROR(IF(B776="",NA(),MATCH(B776,Products!$B$5:$B$204,0)),IFERROR(MATCH(A776,Products!$A$5:$A$204,0),"")))</f>
        <v/>
      </c>
      <c r="L776">
        <f>IF(A776="","",IF(K776="","⚠ not in Products",INDEX(Products!$A$5:$A$204,K776)))</f>
        <v/>
      </c>
      <c r="M776" s="11">
        <f>IF(A776="","",J776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776+IFERROR(INDEX(Settings!$D$5:$D$9,MATCH("Shopify",Settings!$A$5:$A$9,0)),0)*D776)</f>
        <v/>
      </c>
      <c r="N776" s="11">
        <f>IF(A776="","",IF(K776="",0,D776*INDEX(Products!$I$5:$I$204,K776)))</f>
        <v/>
      </c>
      <c r="O776" s="11">
        <f>IF(A776="","",IF(K776="",0,J776*INDEX(Products!$H$5:$H$204,K776)))</f>
        <v/>
      </c>
      <c r="P776" s="11">
        <f>IF(A776="","",J776-M776-N776-O776)</f>
        <v/>
      </c>
    </row>
    <row r="777">
      <c r="A777">
        <f>IFERROR(INDEX('Shopify Import'!$A:$CZ,777,Settings!$E$20)&amp;"","")</f>
        <v/>
      </c>
      <c r="B777">
        <f>IFERROR(INDEX('Shopify Import'!$A:$CZ,777,Settings!$E$21)&amp;"","")</f>
        <v/>
      </c>
      <c r="C777">
        <f>IFERROR(INDEX('Shopify Import'!$A:$CZ,777,Settings!$E$22)&amp;"","")</f>
        <v/>
      </c>
      <c r="D777">
        <f>IF(A777="","",IFERROR(VALUE(SUBSTITUTE(SUBSTITUTE(INDEX('Shopify Import'!$A:$CZ,777,Settings!$E$23)&amp;"","$",""),",","")),0))</f>
        <v/>
      </c>
      <c r="E777" s="11">
        <f>IF(A777="","",IFERROR(VALUE(SUBSTITUTE(SUBSTITUTE(INDEX('Shopify Import'!$A:$CZ,777,Settings!$E$24)&amp;"","$",""),",","")),0))</f>
        <v/>
      </c>
      <c r="F777" s="11">
        <f>IF(A777="","",D777*E777)</f>
        <v/>
      </c>
      <c r="G777">
        <f>IF(A777="","",IF(C777="",1,COUNTIF($C$2:$C$1501,C777)))</f>
        <v/>
      </c>
      <c r="H777" s="11">
        <f>IF(A777="","",IFERROR(VALUE(SUBSTITUTE(SUBSTITUTE(INDEX('Shopify Import'!$A:$CZ,777,Settings!$E$25)&amp;"","$",""),",","")),0)/IF(Settings!$D$27="Yes",G777,1))</f>
        <v/>
      </c>
      <c r="I777" s="11">
        <f>IF(A777="","",IFERROR(VALUE(SUBSTITUTE(SUBSTITUTE(INDEX('Shopify Import'!$A:$CZ,777,Settings!$E$26)&amp;"","$",""),",","")),0)/IF(Settings!$D$27="Yes",G777,1))</f>
        <v/>
      </c>
      <c r="J777" s="11">
        <f>IF(A777="","",F777+H777-I777)</f>
        <v/>
      </c>
      <c r="K777">
        <f>IF(A777="","",IFERROR(IF(B777="",NA(),MATCH(B777,Products!$B$5:$B$204,0)),IFERROR(MATCH(A777,Products!$A$5:$A$204,0),"")))</f>
        <v/>
      </c>
      <c r="L777">
        <f>IF(A777="","",IF(K777="","⚠ not in Products",INDEX(Products!$A$5:$A$204,K777)))</f>
        <v/>
      </c>
      <c r="M777" s="11">
        <f>IF(A777="","",J777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777+IFERROR(INDEX(Settings!$D$5:$D$9,MATCH("Shopify",Settings!$A$5:$A$9,0)),0)*D777)</f>
        <v/>
      </c>
      <c r="N777" s="11">
        <f>IF(A777="","",IF(K777="",0,D777*INDEX(Products!$I$5:$I$204,K777)))</f>
        <v/>
      </c>
      <c r="O777" s="11">
        <f>IF(A777="","",IF(K777="",0,J777*INDEX(Products!$H$5:$H$204,K777)))</f>
        <v/>
      </c>
      <c r="P777" s="11">
        <f>IF(A777="","",J777-M777-N777-O777)</f>
        <v/>
      </c>
    </row>
    <row r="778">
      <c r="A778">
        <f>IFERROR(INDEX('Shopify Import'!$A:$CZ,778,Settings!$E$20)&amp;"","")</f>
        <v/>
      </c>
      <c r="B778">
        <f>IFERROR(INDEX('Shopify Import'!$A:$CZ,778,Settings!$E$21)&amp;"","")</f>
        <v/>
      </c>
      <c r="C778">
        <f>IFERROR(INDEX('Shopify Import'!$A:$CZ,778,Settings!$E$22)&amp;"","")</f>
        <v/>
      </c>
      <c r="D778">
        <f>IF(A778="","",IFERROR(VALUE(SUBSTITUTE(SUBSTITUTE(INDEX('Shopify Import'!$A:$CZ,778,Settings!$E$23)&amp;"","$",""),",","")),0))</f>
        <v/>
      </c>
      <c r="E778" s="11">
        <f>IF(A778="","",IFERROR(VALUE(SUBSTITUTE(SUBSTITUTE(INDEX('Shopify Import'!$A:$CZ,778,Settings!$E$24)&amp;"","$",""),",","")),0))</f>
        <v/>
      </c>
      <c r="F778" s="11">
        <f>IF(A778="","",D778*E778)</f>
        <v/>
      </c>
      <c r="G778">
        <f>IF(A778="","",IF(C778="",1,COUNTIF($C$2:$C$1501,C778)))</f>
        <v/>
      </c>
      <c r="H778" s="11">
        <f>IF(A778="","",IFERROR(VALUE(SUBSTITUTE(SUBSTITUTE(INDEX('Shopify Import'!$A:$CZ,778,Settings!$E$25)&amp;"","$",""),",","")),0)/IF(Settings!$D$27="Yes",G778,1))</f>
        <v/>
      </c>
      <c r="I778" s="11">
        <f>IF(A778="","",IFERROR(VALUE(SUBSTITUTE(SUBSTITUTE(INDEX('Shopify Import'!$A:$CZ,778,Settings!$E$26)&amp;"","$",""),",","")),0)/IF(Settings!$D$27="Yes",G778,1))</f>
        <v/>
      </c>
      <c r="J778" s="11">
        <f>IF(A778="","",F778+H778-I778)</f>
        <v/>
      </c>
      <c r="K778">
        <f>IF(A778="","",IFERROR(IF(B778="",NA(),MATCH(B778,Products!$B$5:$B$204,0)),IFERROR(MATCH(A778,Products!$A$5:$A$204,0),"")))</f>
        <v/>
      </c>
      <c r="L778">
        <f>IF(A778="","",IF(K778="","⚠ not in Products",INDEX(Products!$A$5:$A$204,K778)))</f>
        <v/>
      </c>
      <c r="M778" s="11">
        <f>IF(A778="","",J778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778+IFERROR(INDEX(Settings!$D$5:$D$9,MATCH("Shopify",Settings!$A$5:$A$9,0)),0)*D778)</f>
        <v/>
      </c>
      <c r="N778" s="11">
        <f>IF(A778="","",IF(K778="",0,D778*INDEX(Products!$I$5:$I$204,K778)))</f>
        <v/>
      </c>
      <c r="O778" s="11">
        <f>IF(A778="","",IF(K778="",0,J778*INDEX(Products!$H$5:$H$204,K778)))</f>
        <v/>
      </c>
      <c r="P778" s="11">
        <f>IF(A778="","",J778-M778-N778-O778)</f>
        <v/>
      </c>
    </row>
    <row r="779">
      <c r="A779">
        <f>IFERROR(INDEX('Shopify Import'!$A:$CZ,779,Settings!$E$20)&amp;"","")</f>
        <v/>
      </c>
      <c r="B779">
        <f>IFERROR(INDEX('Shopify Import'!$A:$CZ,779,Settings!$E$21)&amp;"","")</f>
        <v/>
      </c>
      <c r="C779">
        <f>IFERROR(INDEX('Shopify Import'!$A:$CZ,779,Settings!$E$22)&amp;"","")</f>
        <v/>
      </c>
      <c r="D779">
        <f>IF(A779="","",IFERROR(VALUE(SUBSTITUTE(SUBSTITUTE(INDEX('Shopify Import'!$A:$CZ,779,Settings!$E$23)&amp;"","$",""),",","")),0))</f>
        <v/>
      </c>
      <c r="E779" s="11">
        <f>IF(A779="","",IFERROR(VALUE(SUBSTITUTE(SUBSTITUTE(INDEX('Shopify Import'!$A:$CZ,779,Settings!$E$24)&amp;"","$",""),",","")),0))</f>
        <v/>
      </c>
      <c r="F779" s="11">
        <f>IF(A779="","",D779*E779)</f>
        <v/>
      </c>
      <c r="G779">
        <f>IF(A779="","",IF(C779="",1,COUNTIF($C$2:$C$1501,C779)))</f>
        <v/>
      </c>
      <c r="H779" s="11">
        <f>IF(A779="","",IFERROR(VALUE(SUBSTITUTE(SUBSTITUTE(INDEX('Shopify Import'!$A:$CZ,779,Settings!$E$25)&amp;"","$",""),",","")),0)/IF(Settings!$D$27="Yes",G779,1))</f>
        <v/>
      </c>
      <c r="I779" s="11">
        <f>IF(A779="","",IFERROR(VALUE(SUBSTITUTE(SUBSTITUTE(INDEX('Shopify Import'!$A:$CZ,779,Settings!$E$26)&amp;"","$",""),",","")),0)/IF(Settings!$D$27="Yes",G779,1))</f>
        <v/>
      </c>
      <c r="J779" s="11">
        <f>IF(A779="","",F779+H779-I779)</f>
        <v/>
      </c>
      <c r="K779">
        <f>IF(A779="","",IFERROR(IF(B779="",NA(),MATCH(B779,Products!$B$5:$B$204,0)),IFERROR(MATCH(A779,Products!$A$5:$A$204,0),"")))</f>
        <v/>
      </c>
      <c r="L779">
        <f>IF(A779="","",IF(K779="","⚠ not in Products",INDEX(Products!$A$5:$A$204,K779)))</f>
        <v/>
      </c>
      <c r="M779" s="11">
        <f>IF(A779="","",J779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779+IFERROR(INDEX(Settings!$D$5:$D$9,MATCH("Shopify",Settings!$A$5:$A$9,0)),0)*D779)</f>
        <v/>
      </c>
      <c r="N779" s="11">
        <f>IF(A779="","",IF(K779="",0,D779*INDEX(Products!$I$5:$I$204,K779)))</f>
        <v/>
      </c>
      <c r="O779" s="11">
        <f>IF(A779="","",IF(K779="",0,J779*INDEX(Products!$H$5:$H$204,K779)))</f>
        <v/>
      </c>
      <c r="P779" s="11">
        <f>IF(A779="","",J779-M779-N779-O779)</f>
        <v/>
      </c>
    </row>
    <row r="780">
      <c r="A780">
        <f>IFERROR(INDEX('Shopify Import'!$A:$CZ,780,Settings!$E$20)&amp;"","")</f>
        <v/>
      </c>
      <c r="B780">
        <f>IFERROR(INDEX('Shopify Import'!$A:$CZ,780,Settings!$E$21)&amp;"","")</f>
        <v/>
      </c>
      <c r="C780">
        <f>IFERROR(INDEX('Shopify Import'!$A:$CZ,780,Settings!$E$22)&amp;"","")</f>
        <v/>
      </c>
      <c r="D780">
        <f>IF(A780="","",IFERROR(VALUE(SUBSTITUTE(SUBSTITUTE(INDEX('Shopify Import'!$A:$CZ,780,Settings!$E$23)&amp;"","$",""),",","")),0))</f>
        <v/>
      </c>
      <c r="E780" s="11">
        <f>IF(A780="","",IFERROR(VALUE(SUBSTITUTE(SUBSTITUTE(INDEX('Shopify Import'!$A:$CZ,780,Settings!$E$24)&amp;"","$",""),",","")),0))</f>
        <v/>
      </c>
      <c r="F780" s="11">
        <f>IF(A780="","",D780*E780)</f>
        <v/>
      </c>
      <c r="G780">
        <f>IF(A780="","",IF(C780="",1,COUNTIF($C$2:$C$1501,C780)))</f>
        <v/>
      </c>
      <c r="H780" s="11">
        <f>IF(A780="","",IFERROR(VALUE(SUBSTITUTE(SUBSTITUTE(INDEX('Shopify Import'!$A:$CZ,780,Settings!$E$25)&amp;"","$",""),",","")),0)/IF(Settings!$D$27="Yes",G780,1))</f>
        <v/>
      </c>
      <c r="I780" s="11">
        <f>IF(A780="","",IFERROR(VALUE(SUBSTITUTE(SUBSTITUTE(INDEX('Shopify Import'!$A:$CZ,780,Settings!$E$26)&amp;"","$",""),",","")),0)/IF(Settings!$D$27="Yes",G780,1))</f>
        <v/>
      </c>
      <c r="J780" s="11">
        <f>IF(A780="","",F780+H780-I780)</f>
        <v/>
      </c>
      <c r="K780">
        <f>IF(A780="","",IFERROR(IF(B780="",NA(),MATCH(B780,Products!$B$5:$B$204,0)),IFERROR(MATCH(A780,Products!$A$5:$A$204,0),"")))</f>
        <v/>
      </c>
      <c r="L780">
        <f>IF(A780="","",IF(K780="","⚠ not in Products",INDEX(Products!$A$5:$A$204,K780)))</f>
        <v/>
      </c>
      <c r="M780" s="11">
        <f>IF(A780="","",J780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780+IFERROR(INDEX(Settings!$D$5:$D$9,MATCH("Shopify",Settings!$A$5:$A$9,0)),0)*D780)</f>
        <v/>
      </c>
      <c r="N780" s="11">
        <f>IF(A780="","",IF(K780="",0,D780*INDEX(Products!$I$5:$I$204,K780)))</f>
        <v/>
      </c>
      <c r="O780" s="11">
        <f>IF(A780="","",IF(K780="",0,J780*INDEX(Products!$H$5:$H$204,K780)))</f>
        <v/>
      </c>
      <c r="P780" s="11">
        <f>IF(A780="","",J780-M780-N780-O780)</f>
        <v/>
      </c>
    </row>
    <row r="781">
      <c r="A781">
        <f>IFERROR(INDEX('Shopify Import'!$A:$CZ,781,Settings!$E$20)&amp;"","")</f>
        <v/>
      </c>
      <c r="B781">
        <f>IFERROR(INDEX('Shopify Import'!$A:$CZ,781,Settings!$E$21)&amp;"","")</f>
        <v/>
      </c>
      <c r="C781">
        <f>IFERROR(INDEX('Shopify Import'!$A:$CZ,781,Settings!$E$22)&amp;"","")</f>
        <v/>
      </c>
      <c r="D781">
        <f>IF(A781="","",IFERROR(VALUE(SUBSTITUTE(SUBSTITUTE(INDEX('Shopify Import'!$A:$CZ,781,Settings!$E$23)&amp;"","$",""),",","")),0))</f>
        <v/>
      </c>
      <c r="E781" s="11">
        <f>IF(A781="","",IFERROR(VALUE(SUBSTITUTE(SUBSTITUTE(INDEX('Shopify Import'!$A:$CZ,781,Settings!$E$24)&amp;"","$",""),",","")),0))</f>
        <v/>
      </c>
      <c r="F781" s="11">
        <f>IF(A781="","",D781*E781)</f>
        <v/>
      </c>
      <c r="G781">
        <f>IF(A781="","",IF(C781="",1,COUNTIF($C$2:$C$1501,C781)))</f>
        <v/>
      </c>
      <c r="H781" s="11">
        <f>IF(A781="","",IFERROR(VALUE(SUBSTITUTE(SUBSTITUTE(INDEX('Shopify Import'!$A:$CZ,781,Settings!$E$25)&amp;"","$",""),",","")),0)/IF(Settings!$D$27="Yes",G781,1))</f>
        <v/>
      </c>
      <c r="I781" s="11">
        <f>IF(A781="","",IFERROR(VALUE(SUBSTITUTE(SUBSTITUTE(INDEX('Shopify Import'!$A:$CZ,781,Settings!$E$26)&amp;"","$",""),",","")),0)/IF(Settings!$D$27="Yes",G781,1))</f>
        <v/>
      </c>
      <c r="J781" s="11">
        <f>IF(A781="","",F781+H781-I781)</f>
        <v/>
      </c>
      <c r="K781">
        <f>IF(A781="","",IFERROR(IF(B781="",NA(),MATCH(B781,Products!$B$5:$B$204,0)),IFERROR(MATCH(A781,Products!$A$5:$A$204,0),"")))</f>
        <v/>
      </c>
      <c r="L781">
        <f>IF(A781="","",IF(K781="","⚠ not in Products",INDEX(Products!$A$5:$A$204,K781)))</f>
        <v/>
      </c>
      <c r="M781" s="11">
        <f>IF(A781="","",J781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781+IFERROR(INDEX(Settings!$D$5:$D$9,MATCH("Shopify",Settings!$A$5:$A$9,0)),0)*D781)</f>
        <v/>
      </c>
      <c r="N781" s="11">
        <f>IF(A781="","",IF(K781="",0,D781*INDEX(Products!$I$5:$I$204,K781)))</f>
        <v/>
      </c>
      <c r="O781" s="11">
        <f>IF(A781="","",IF(K781="",0,J781*INDEX(Products!$H$5:$H$204,K781)))</f>
        <v/>
      </c>
      <c r="P781" s="11">
        <f>IF(A781="","",J781-M781-N781-O781)</f>
        <v/>
      </c>
    </row>
    <row r="782">
      <c r="A782">
        <f>IFERROR(INDEX('Shopify Import'!$A:$CZ,782,Settings!$E$20)&amp;"","")</f>
        <v/>
      </c>
      <c r="B782">
        <f>IFERROR(INDEX('Shopify Import'!$A:$CZ,782,Settings!$E$21)&amp;"","")</f>
        <v/>
      </c>
      <c r="C782">
        <f>IFERROR(INDEX('Shopify Import'!$A:$CZ,782,Settings!$E$22)&amp;"","")</f>
        <v/>
      </c>
      <c r="D782">
        <f>IF(A782="","",IFERROR(VALUE(SUBSTITUTE(SUBSTITUTE(INDEX('Shopify Import'!$A:$CZ,782,Settings!$E$23)&amp;"","$",""),",","")),0))</f>
        <v/>
      </c>
      <c r="E782" s="11">
        <f>IF(A782="","",IFERROR(VALUE(SUBSTITUTE(SUBSTITUTE(INDEX('Shopify Import'!$A:$CZ,782,Settings!$E$24)&amp;"","$",""),",","")),0))</f>
        <v/>
      </c>
      <c r="F782" s="11">
        <f>IF(A782="","",D782*E782)</f>
        <v/>
      </c>
      <c r="G782">
        <f>IF(A782="","",IF(C782="",1,COUNTIF($C$2:$C$1501,C782)))</f>
        <v/>
      </c>
      <c r="H782" s="11">
        <f>IF(A782="","",IFERROR(VALUE(SUBSTITUTE(SUBSTITUTE(INDEX('Shopify Import'!$A:$CZ,782,Settings!$E$25)&amp;"","$",""),",","")),0)/IF(Settings!$D$27="Yes",G782,1))</f>
        <v/>
      </c>
      <c r="I782" s="11">
        <f>IF(A782="","",IFERROR(VALUE(SUBSTITUTE(SUBSTITUTE(INDEX('Shopify Import'!$A:$CZ,782,Settings!$E$26)&amp;"","$",""),",","")),0)/IF(Settings!$D$27="Yes",G782,1))</f>
        <v/>
      </c>
      <c r="J782" s="11">
        <f>IF(A782="","",F782+H782-I782)</f>
        <v/>
      </c>
      <c r="K782">
        <f>IF(A782="","",IFERROR(IF(B782="",NA(),MATCH(B782,Products!$B$5:$B$204,0)),IFERROR(MATCH(A782,Products!$A$5:$A$204,0),"")))</f>
        <v/>
      </c>
      <c r="L782">
        <f>IF(A782="","",IF(K782="","⚠ not in Products",INDEX(Products!$A$5:$A$204,K782)))</f>
        <v/>
      </c>
      <c r="M782" s="11">
        <f>IF(A782="","",J782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782+IFERROR(INDEX(Settings!$D$5:$D$9,MATCH("Shopify",Settings!$A$5:$A$9,0)),0)*D782)</f>
        <v/>
      </c>
      <c r="N782" s="11">
        <f>IF(A782="","",IF(K782="",0,D782*INDEX(Products!$I$5:$I$204,K782)))</f>
        <v/>
      </c>
      <c r="O782" s="11">
        <f>IF(A782="","",IF(K782="",0,J782*INDEX(Products!$H$5:$H$204,K782)))</f>
        <v/>
      </c>
      <c r="P782" s="11">
        <f>IF(A782="","",J782-M782-N782-O782)</f>
        <v/>
      </c>
    </row>
    <row r="783">
      <c r="A783">
        <f>IFERROR(INDEX('Shopify Import'!$A:$CZ,783,Settings!$E$20)&amp;"","")</f>
        <v/>
      </c>
      <c r="B783">
        <f>IFERROR(INDEX('Shopify Import'!$A:$CZ,783,Settings!$E$21)&amp;"","")</f>
        <v/>
      </c>
      <c r="C783">
        <f>IFERROR(INDEX('Shopify Import'!$A:$CZ,783,Settings!$E$22)&amp;"","")</f>
        <v/>
      </c>
      <c r="D783">
        <f>IF(A783="","",IFERROR(VALUE(SUBSTITUTE(SUBSTITUTE(INDEX('Shopify Import'!$A:$CZ,783,Settings!$E$23)&amp;"","$",""),",","")),0))</f>
        <v/>
      </c>
      <c r="E783" s="11">
        <f>IF(A783="","",IFERROR(VALUE(SUBSTITUTE(SUBSTITUTE(INDEX('Shopify Import'!$A:$CZ,783,Settings!$E$24)&amp;"","$",""),",","")),0))</f>
        <v/>
      </c>
      <c r="F783" s="11">
        <f>IF(A783="","",D783*E783)</f>
        <v/>
      </c>
      <c r="G783">
        <f>IF(A783="","",IF(C783="",1,COUNTIF($C$2:$C$1501,C783)))</f>
        <v/>
      </c>
      <c r="H783" s="11">
        <f>IF(A783="","",IFERROR(VALUE(SUBSTITUTE(SUBSTITUTE(INDEX('Shopify Import'!$A:$CZ,783,Settings!$E$25)&amp;"","$",""),",","")),0)/IF(Settings!$D$27="Yes",G783,1))</f>
        <v/>
      </c>
      <c r="I783" s="11">
        <f>IF(A783="","",IFERROR(VALUE(SUBSTITUTE(SUBSTITUTE(INDEX('Shopify Import'!$A:$CZ,783,Settings!$E$26)&amp;"","$",""),",","")),0)/IF(Settings!$D$27="Yes",G783,1))</f>
        <v/>
      </c>
      <c r="J783" s="11">
        <f>IF(A783="","",F783+H783-I783)</f>
        <v/>
      </c>
      <c r="K783">
        <f>IF(A783="","",IFERROR(IF(B783="",NA(),MATCH(B783,Products!$B$5:$B$204,0)),IFERROR(MATCH(A783,Products!$A$5:$A$204,0),"")))</f>
        <v/>
      </c>
      <c r="L783">
        <f>IF(A783="","",IF(K783="","⚠ not in Products",INDEX(Products!$A$5:$A$204,K783)))</f>
        <v/>
      </c>
      <c r="M783" s="11">
        <f>IF(A783="","",J783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783+IFERROR(INDEX(Settings!$D$5:$D$9,MATCH("Shopify",Settings!$A$5:$A$9,0)),0)*D783)</f>
        <v/>
      </c>
      <c r="N783" s="11">
        <f>IF(A783="","",IF(K783="",0,D783*INDEX(Products!$I$5:$I$204,K783)))</f>
        <v/>
      </c>
      <c r="O783" s="11">
        <f>IF(A783="","",IF(K783="",0,J783*INDEX(Products!$H$5:$H$204,K783)))</f>
        <v/>
      </c>
      <c r="P783" s="11">
        <f>IF(A783="","",J783-M783-N783-O783)</f>
        <v/>
      </c>
    </row>
    <row r="784">
      <c r="A784">
        <f>IFERROR(INDEX('Shopify Import'!$A:$CZ,784,Settings!$E$20)&amp;"","")</f>
        <v/>
      </c>
      <c r="B784">
        <f>IFERROR(INDEX('Shopify Import'!$A:$CZ,784,Settings!$E$21)&amp;"","")</f>
        <v/>
      </c>
      <c r="C784">
        <f>IFERROR(INDEX('Shopify Import'!$A:$CZ,784,Settings!$E$22)&amp;"","")</f>
        <v/>
      </c>
      <c r="D784">
        <f>IF(A784="","",IFERROR(VALUE(SUBSTITUTE(SUBSTITUTE(INDEX('Shopify Import'!$A:$CZ,784,Settings!$E$23)&amp;"","$",""),",","")),0))</f>
        <v/>
      </c>
      <c r="E784" s="11">
        <f>IF(A784="","",IFERROR(VALUE(SUBSTITUTE(SUBSTITUTE(INDEX('Shopify Import'!$A:$CZ,784,Settings!$E$24)&amp;"","$",""),",","")),0))</f>
        <v/>
      </c>
      <c r="F784" s="11">
        <f>IF(A784="","",D784*E784)</f>
        <v/>
      </c>
      <c r="G784">
        <f>IF(A784="","",IF(C784="",1,COUNTIF($C$2:$C$1501,C784)))</f>
        <v/>
      </c>
      <c r="H784" s="11">
        <f>IF(A784="","",IFERROR(VALUE(SUBSTITUTE(SUBSTITUTE(INDEX('Shopify Import'!$A:$CZ,784,Settings!$E$25)&amp;"","$",""),",","")),0)/IF(Settings!$D$27="Yes",G784,1))</f>
        <v/>
      </c>
      <c r="I784" s="11">
        <f>IF(A784="","",IFERROR(VALUE(SUBSTITUTE(SUBSTITUTE(INDEX('Shopify Import'!$A:$CZ,784,Settings!$E$26)&amp;"","$",""),",","")),0)/IF(Settings!$D$27="Yes",G784,1))</f>
        <v/>
      </c>
      <c r="J784" s="11">
        <f>IF(A784="","",F784+H784-I784)</f>
        <v/>
      </c>
      <c r="K784">
        <f>IF(A784="","",IFERROR(IF(B784="",NA(),MATCH(B784,Products!$B$5:$B$204,0)),IFERROR(MATCH(A784,Products!$A$5:$A$204,0),"")))</f>
        <v/>
      </c>
      <c r="L784">
        <f>IF(A784="","",IF(K784="","⚠ not in Products",INDEX(Products!$A$5:$A$204,K784)))</f>
        <v/>
      </c>
      <c r="M784" s="11">
        <f>IF(A784="","",J784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784+IFERROR(INDEX(Settings!$D$5:$D$9,MATCH("Shopify",Settings!$A$5:$A$9,0)),0)*D784)</f>
        <v/>
      </c>
      <c r="N784" s="11">
        <f>IF(A784="","",IF(K784="",0,D784*INDEX(Products!$I$5:$I$204,K784)))</f>
        <v/>
      </c>
      <c r="O784" s="11">
        <f>IF(A784="","",IF(K784="",0,J784*INDEX(Products!$H$5:$H$204,K784)))</f>
        <v/>
      </c>
      <c r="P784" s="11">
        <f>IF(A784="","",J784-M784-N784-O784)</f>
        <v/>
      </c>
    </row>
    <row r="785">
      <c r="A785">
        <f>IFERROR(INDEX('Shopify Import'!$A:$CZ,785,Settings!$E$20)&amp;"","")</f>
        <v/>
      </c>
      <c r="B785">
        <f>IFERROR(INDEX('Shopify Import'!$A:$CZ,785,Settings!$E$21)&amp;"","")</f>
        <v/>
      </c>
      <c r="C785">
        <f>IFERROR(INDEX('Shopify Import'!$A:$CZ,785,Settings!$E$22)&amp;"","")</f>
        <v/>
      </c>
      <c r="D785">
        <f>IF(A785="","",IFERROR(VALUE(SUBSTITUTE(SUBSTITUTE(INDEX('Shopify Import'!$A:$CZ,785,Settings!$E$23)&amp;"","$",""),",","")),0))</f>
        <v/>
      </c>
      <c r="E785" s="11">
        <f>IF(A785="","",IFERROR(VALUE(SUBSTITUTE(SUBSTITUTE(INDEX('Shopify Import'!$A:$CZ,785,Settings!$E$24)&amp;"","$",""),",","")),0))</f>
        <v/>
      </c>
      <c r="F785" s="11">
        <f>IF(A785="","",D785*E785)</f>
        <v/>
      </c>
      <c r="G785">
        <f>IF(A785="","",IF(C785="",1,COUNTIF($C$2:$C$1501,C785)))</f>
        <v/>
      </c>
      <c r="H785" s="11">
        <f>IF(A785="","",IFERROR(VALUE(SUBSTITUTE(SUBSTITUTE(INDEX('Shopify Import'!$A:$CZ,785,Settings!$E$25)&amp;"","$",""),",","")),0)/IF(Settings!$D$27="Yes",G785,1))</f>
        <v/>
      </c>
      <c r="I785" s="11">
        <f>IF(A785="","",IFERROR(VALUE(SUBSTITUTE(SUBSTITUTE(INDEX('Shopify Import'!$A:$CZ,785,Settings!$E$26)&amp;"","$",""),",","")),0)/IF(Settings!$D$27="Yes",G785,1))</f>
        <v/>
      </c>
      <c r="J785" s="11">
        <f>IF(A785="","",F785+H785-I785)</f>
        <v/>
      </c>
      <c r="K785">
        <f>IF(A785="","",IFERROR(IF(B785="",NA(),MATCH(B785,Products!$B$5:$B$204,0)),IFERROR(MATCH(A785,Products!$A$5:$A$204,0),"")))</f>
        <v/>
      </c>
      <c r="L785">
        <f>IF(A785="","",IF(K785="","⚠ not in Products",INDEX(Products!$A$5:$A$204,K785)))</f>
        <v/>
      </c>
      <c r="M785" s="11">
        <f>IF(A785="","",J785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785+IFERROR(INDEX(Settings!$D$5:$D$9,MATCH("Shopify",Settings!$A$5:$A$9,0)),0)*D785)</f>
        <v/>
      </c>
      <c r="N785" s="11">
        <f>IF(A785="","",IF(K785="",0,D785*INDEX(Products!$I$5:$I$204,K785)))</f>
        <v/>
      </c>
      <c r="O785" s="11">
        <f>IF(A785="","",IF(K785="",0,J785*INDEX(Products!$H$5:$H$204,K785)))</f>
        <v/>
      </c>
      <c r="P785" s="11">
        <f>IF(A785="","",J785-M785-N785-O785)</f>
        <v/>
      </c>
    </row>
    <row r="786">
      <c r="A786">
        <f>IFERROR(INDEX('Shopify Import'!$A:$CZ,786,Settings!$E$20)&amp;"","")</f>
        <v/>
      </c>
      <c r="B786">
        <f>IFERROR(INDEX('Shopify Import'!$A:$CZ,786,Settings!$E$21)&amp;"","")</f>
        <v/>
      </c>
      <c r="C786">
        <f>IFERROR(INDEX('Shopify Import'!$A:$CZ,786,Settings!$E$22)&amp;"","")</f>
        <v/>
      </c>
      <c r="D786">
        <f>IF(A786="","",IFERROR(VALUE(SUBSTITUTE(SUBSTITUTE(INDEX('Shopify Import'!$A:$CZ,786,Settings!$E$23)&amp;"","$",""),",","")),0))</f>
        <v/>
      </c>
      <c r="E786" s="11">
        <f>IF(A786="","",IFERROR(VALUE(SUBSTITUTE(SUBSTITUTE(INDEX('Shopify Import'!$A:$CZ,786,Settings!$E$24)&amp;"","$",""),",","")),0))</f>
        <v/>
      </c>
      <c r="F786" s="11">
        <f>IF(A786="","",D786*E786)</f>
        <v/>
      </c>
      <c r="G786">
        <f>IF(A786="","",IF(C786="",1,COUNTIF($C$2:$C$1501,C786)))</f>
        <v/>
      </c>
      <c r="H786" s="11">
        <f>IF(A786="","",IFERROR(VALUE(SUBSTITUTE(SUBSTITUTE(INDEX('Shopify Import'!$A:$CZ,786,Settings!$E$25)&amp;"","$",""),",","")),0)/IF(Settings!$D$27="Yes",G786,1))</f>
        <v/>
      </c>
      <c r="I786" s="11">
        <f>IF(A786="","",IFERROR(VALUE(SUBSTITUTE(SUBSTITUTE(INDEX('Shopify Import'!$A:$CZ,786,Settings!$E$26)&amp;"","$",""),",","")),0)/IF(Settings!$D$27="Yes",G786,1))</f>
        <v/>
      </c>
      <c r="J786" s="11">
        <f>IF(A786="","",F786+H786-I786)</f>
        <v/>
      </c>
      <c r="K786">
        <f>IF(A786="","",IFERROR(IF(B786="",NA(),MATCH(B786,Products!$B$5:$B$204,0)),IFERROR(MATCH(A786,Products!$A$5:$A$204,0),"")))</f>
        <v/>
      </c>
      <c r="L786">
        <f>IF(A786="","",IF(K786="","⚠ not in Products",INDEX(Products!$A$5:$A$204,K786)))</f>
        <v/>
      </c>
      <c r="M786" s="11">
        <f>IF(A786="","",J786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786+IFERROR(INDEX(Settings!$D$5:$D$9,MATCH("Shopify",Settings!$A$5:$A$9,0)),0)*D786)</f>
        <v/>
      </c>
      <c r="N786" s="11">
        <f>IF(A786="","",IF(K786="",0,D786*INDEX(Products!$I$5:$I$204,K786)))</f>
        <v/>
      </c>
      <c r="O786" s="11">
        <f>IF(A786="","",IF(K786="",0,J786*INDEX(Products!$H$5:$H$204,K786)))</f>
        <v/>
      </c>
      <c r="P786" s="11">
        <f>IF(A786="","",J786-M786-N786-O786)</f>
        <v/>
      </c>
    </row>
    <row r="787">
      <c r="A787">
        <f>IFERROR(INDEX('Shopify Import'!$A:$CZ,787,Settings!$E$20)&amp;"","")</f>
        <v/>
      </c>
      <c r="B787">
        <f>IFERROR(INDEX('Shopify Import'!$A:$CZ,787,Settings!$E$21)&amp;"","")</f>
        <v/>
      </c>
      <c r="C787">
        <f>IFERROR(INDEX('Shopify Import'!$A:$CZ,787,Settings!$E$22)&amp;"","")</f>
        <v/>
      </c>
      <c r="D787">
        <f>IF(A787="","",IFERROR(VALUE(SUBSTITUTE(SUBSTITUTE(INDEX('Shopify Import'!$A:$CZ,787,Settings!$E$23)&amp;"","$",""),",","")),0))</f>
        <v/>
      </c>
      <c r="E787" s="11">
        <f>IF(A787="","",IFERROR(VALUE(SUBSTITUTE(SUBSTITUTE(INDEX('Shopify Import'!$A:$CZ,787,Settings!$E$24)&amp;"","$",""),",","")),0))</f>
        <v/>
      </c>
      <c r="F787" s="11">
        <f>IF(A787="","",D787*E787)</f>
        <v/>
      </c>
      <c r="G787">
        <f>IF(A787="","",IF(C787="",1,COUNTIF($C$2:$C$1501,C787)))</f>
        <v/>
      </c>
      <c r="H787" s="11">
        <f>IF(A787="","",IFERROR(VALUE(SUBSTITUTE(SUBSTITUTE(INDEX('Shopify Import'!$A:$CZ,787,Settings!$E$25)&amp;"","$",""),",","")),0)/IF(Settings!$D$27="Yes",G787,1))</f>
        <v/>
      </c>
      <c r="I787" s="11">
        <f>IF(A787="","",IFERROR(VALUE(SUBSTITUTE(SUBSTITUTE(INDEX('Shopify Import'!$A:$CZ,787,Settings!$E$26)&amp;"","$",""),",","")),0)/IF(Settings!$D$27="Yes",G787,1))</f>
        <v/>
      </c>
      <c r="J787" s="11">
        <f>IF(A787="","",F787+H787-I787)</f>
        <v/>
      </c>
      <c r="K787">
        <f>IF(A787="","",IFERROR(IF(B787="",NA(),MATCH(B787,Products!$B$5:$B$204,0)),IFERROR(MATCH(A787,Products!$A$5:$A$204,0),"")))</f>
        <v/>
      </c>
      <c r="L787">
        <f>IF(A787="","",IF(K787="","⚠ not in Products",INDEX(Products!$A$5:$A$204,K787)))</f>
        <v/>
      </c>
      <c r="M787" s="11">
        <f>IF(A787="","",J787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787+IFERROR(INDEX(Settings!$D$5:$D$9,MATCH("Shopify",Settings!$A$5:$A$9,0)),0)*D787)</f>
        <v/>
      </c>
      <c r="N787" s="11">
        <f>IF(A787="","",IF(K787="",0,D787*INDEX(Products!$I$5:$I$204,K787)))</f>
        <v/>
      </c>
      <c r="O787" s="11">
        <f>IF(A787="","",IF(K787="",0,J787*INDEX(Products!$H$5:$H$204,K787)))</f>
        <v/>
      </c>
      <c r="P787" s="11">
        <f>IF(A787="","",J787-M787-N787-O787)</f>
        <v/>
      </c>
    </row>
    <row r="788">
      <c r="A788">
        <f>IFERROR(INDEX('Shopify Import'!$A:$CZ,788,Settings!$E$20)&amp;"","")</f>
        <v/>
      </c>
      <c r="B788">
        <f>IFERROR(INDEX('Shopify Import'!$A:$CZ,788,Settings!$E$21)&amp;"","")</f>
        <v/>
      </c>
      <c r="C788">
        <f>IFERROR(INDEX('Shopify Import'!$A:$CZ,788,Settings!$E$22)&amp;"","")</f>
        <v/>
      </c>
      <c r="D788">
        <f>IF(A788="","",IFERROR(VALUE(SUBSTITUTE(SUBSTITUTE(INDEX('Shopify Import'!$A:$CZ,788,Settings!$E$23)&amp;"","$",""),",","")),0))</f>
        <v/>
      </c>
      <c r="E788" s="11">
        <f>IF(A788="","",IFERROR(VALUE(SUBSTITUTE(SUBSTITUTE(INDEX('Shopify Import'!$A:$CZ,788,Settings!$E$24)&amp;"","$",""),",","")),0))</f>
        <v/>
      </c>
      <c r="F788" s="11">
        <f>IF(A788="","",D788*E788)</f>
        <v/>
      </c>
      <c r="G788">
        <f>IF(A788="","",IF(C788="",1,COUNTIF($C$2:$C$1501,C788)))</f>
        <v/>
      </c>
      <c r="H788" s="11">
        <f>IF(A788="","",IFERROR(VALUE(SUBSTITUTE(SUBSTITUTE(INDEX('Shopify Import'!$A:$CZ,788,Settings!$E$25)&amp;"","$",""),",","")),0)/IF(Settings!$D$27="Yes",G788,1))</f>
        <v/>
      </c>
      <c r="I788" s="11">
        <f>IF(A788="","",IFERROR(VALUE(SUBSTITUTE(SUBSTITUTE(INDEX('Shopify Import'!$A:$CZ,788,Settings!$E$26)&amp;"","$",""),",","")),0)/IF(Settings!$D$27="Yes",G788,1))</f>
        <v/>
      </c>
      <c r="J788" s="11">
        <f>IF(A788="","",F788+H788-I788)</f>
        <v/>
      </c>
      <c r="K788">
        <f>IF(A788="","",IFERROR(IF(B788="",NA(),MATCH(B788,Products!$B$5:$B$204,0)),IFERROR(MATCH(A788,Products!$A$5:$A$204,0),"")))</f>
        <v/>
      </c>
      <c r="L788">
        <f>IF(A788="","",IF(K788="","⚠ not in Products",INDEX(Products!$A$5:$A$204,K788)))</f>
        <v/>
      </c>
      <c r="M788" s="11">
        <f>IF(A788="","",J788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788+IFERROR(INDEX(Settings!$D$5:$D$9,MATCH("Shopify",Settings!$A$5:$A$9,0)),0)*D788)</f>
        <v/>
      </c>
      <c r="N788" s="11">
        <f>IF(A788="","",IF(K788="",0,D788*INDEX(Products!$I$5:$I$204,K788)))</f>
        <v/>
      </c>
      <c r="O788" s="11">
        <f>IF(A788="","",IF(K788="",0,J788*INDEX(Products!$H$5:$H$204,K788)))</f>
        <v/>
      </c>
      <c r="P788" s="11">
        <f>IF(A788="","",J788-M788-N788-O788)</f>
        <v/>
      </c>
    </row>
    <row r="789">
      <c r="A789">
        <f>IFERROR(INDEX('Shopify Import'!$A:$CZ,789,Settings!$E$20)&amp;"","")</f>
        <v/>
      </c>
      <c r="B789">
        <f>IFERROR(INDEX('Shopify Import'!$A:$CZ,789,Settings!$E$21)&amp;"","")</f>
        <v/>
      </c>
      <c r="C789">
        <f>IFERROR(INDEX('Shopify Import'!$A:$CZ,789,Settings!$E$22)&amp;"","")</f>
        <v/>
      </c>
      <c r="D789">
        <f>IF(A789="","",IFERROR(VALUE(SUBSTITUTE(SUBSTITUTE(INDEX('Shopify Import'!$A:$CZ,789,Settings!$E$23)&amp;"","$",""),",","")),0))</f>
        <v/>
      </c>
      <c r="E789" s="11">
        <f>IF(A789="","",IFERROR(VALUE(SUBSTITUTE(SUBSTITUTE(INDEX('Shopify Import'!$A:$CZ,789,Settings!$E$24)&amp;"","$",""),",","")),0))</f>
        <v/>
      </c>
      <c r="F789" s="11">
        <f>IF(A789="","",D789*E789)</f>
        <v/>
      </c>
      <c r="G789">
        <f>IF(A789="","",IF(C789="",1,COUNTIF($C$2:$C$1501,C789)))</f>
        <v/>
      </c>
      <c r="H789" s="11">
        <f>IF(A789="","",IFERROR(VALUE(SUBSTITUTE(SUBSTITUTE(INDEX('Shopify Import'!$A:$CZ,789,Settings!$E$25)&amp;"","$",""),",","")),0)/IF(Settings!$D$27="Yes",G789,1))</f>
        <v/>
      </c>
      <c r="I789" s="11">
        <f>IF(A789="","",IFERROR(VALUE(SUBSTITUTE(SUBSTITUTE(INDEX('Shopify Import'!$A:$CZ,789,Settings!$E$26)&amp;"","$",""),",","")),0)/IF(Settings!$D$27="Yes",G789,1))</f>
        <v/>
      </c>
      <c r="J789" s="11">
        <f>IF(A789="","",F789+H789-I789)</f>
        <v/>
      </c>
      <c r="K789">
        <f>IF(A789="","",IFERROR(IF(B789="",NA(),MATCH(B789,Products!$B$5:$B$204,0)),IFERROR(MATCH(A789,Products!$A$5:$A$204,0),"")))</f>
        <v/>
      </c>
      <c r="L789">
        <f>IF(A789="","",IF(K789="","⚠ not in Products",INDEX(Products!$A$5:$A$204,K789)))</f>
        <v/>
      </c>
      <c r="M789" s="11">
        <f>IF(A789="","",J789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789+IFERROR(INDEX(Settings!$D$5:$D$9,MATCH("Shopify",Settings!$A$5:$A$9,0)),0)*D789)</f>
        <v/>
      </c>
      <c r="N789" s="11">
        <f>IF(A789="","",IF(K789="",0,D789*INDEX(Products!$I$5:$I$204,K789)))</f>
        <v/>
      </c>
      <c r="O789" s="11">
        <f>IF(A789="","",IF(K789="",0,J789*INDEX(Products!$H$5:$H$204,K789)))</f>
        <v/>
      </c>
      <c r="P789" s="11">
        <f>IF(A789="","",J789-M789-N789-O789)</f>
        <v/>
      </c>
    </row>
    <row r="790">
      <c r="A790">
        <f>IFERROR(INDEX('Shopify Import'!$A:$CZ,790,Settings!$E$20)&amp;"","")</f>
        <v/>
      </c>
      <c r="B790">
        <f>IFERROR(INDEX('Shopify Import'!$A:$CZ,790,Settings!$E$21)&amp;"","")</f>
        <v/>
      </c>
      <c r="C790">
        <f>IFERROR(INDEX('Shopify Import'!$A:$CZ,790,Settings!$E$22)&amp;"","")</f>
        <v/>
      </c>
      <c r="D790">
        <f>IF(A790="","",IFERROR(VALUE(SUBSTITUTE(SUBSTITUTE(INDEX('Shopify Import'!$A:$CZ,790,Settings!$E$23)&amp;"","$",""),",","")),0))</f>
        <v/>
      </c>
      <c r="E790" s="11">
        <f>IF(A790="","",IFERROR(VALUE(SUBSTITUTE(SUBSTITUTE(INDEX('Shopify Import'!$A:$CZ,790,Settings!$E$24)&amp;"","$",""),",","")),0))</f>
        <v/>
      </c>
      <c r="F790" s="11">
        <f>IF(A790="","",D790*E790)</f>
        <v/>
      </c>
      <c r="G790">
        <f>IF(A790="","",IF(C790="",1,COUNTIF($C$2:$C$1501,C790)))</f>
        <v/>
      </c>
      <c r="H790" s="11">
        <f>IF(A790="","",IFERROR(VALUE(SUBSTITUTE(SUBSTITUTE(INDEX('Shopify Import'!$A:$CZ,790,Settings!$E$25)&amp;"","$",""),",","")),0)/IF(Settings!$D$27="Yes",G790,1))</f>
        <v/>
      </c>
      <c r="I790" s="11">
        <f>IF(A790="","",IFERROR(VALUE(SUBSTITUTE(SUBSTITUTE(INDEX('Shopify Import'!$A:$CZ,790,Settings!$E$26)&amp;"","$",""),",","")),0)/IF(Settings!$D$27="Yes",G790,1))</f>
        <v/>
      </c>
      <c r="J790" s="11">
        <f>IF(A790="","",F790+H790-I790)</f>
        <v/>
      </c>
      <c r="K790">
        <f>IF(A790="","",IFERROR(IF(B790="",NA(),MATCH(B790,Products!$B$5:$B$204,0)),IFERROR(MATCH(A790,Products!$A$5:$A$204,0),"")))</f>
        <v/>
      </c>
      <c r="L790">
        <f>IF(A790="","",IF(K790="","⚠ not in Products",INDEX(Products!$A$5:$A$204,K790)))</f>
        <v/>
      </c>
      <c r="M790" s="11">
        <f>IF(A790="","",J790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790+IFERROR(INDEX(Settings!$D$5:$D$9,MATCH("Shopify",Settings!$A$5:$A$9,0)),0)*D790)</f>
        <v/>
      </c>
      <c r="N790" s="11">
        <f>IF(A790="","",IF(K790="",0,D790*INDEX(Products!$I$5:$I$204,K790)))</f>
        <v/>
      </c>
      <c r="O790" s="11">
        <f>IF(A790="","",IF(K790="",0,J790*INDEX(Products!$H$5:$H$204,K790)))</f>
        <v/>
      </c>
      <c r="P790" s="11">
        <f>IF(A790="","",J790-M790-N790-O790)</f>
        <v/>
      </c>
    </row>
    <row r="791">
      <c r="A791">
        <f>IFERROR(INDEX('Shopify Import'!$A:$CZ,791,Settings!$E$20)&amp;"","")</f>
        <v/>
      </c>
      <c r="B791">
        <f>IFERROR(INDEX('Shopify Import'!$A:$CZ,791,Settings!$E$21)&amp;"","")</f>
        <v/>
      </c>
      <c r="C791">
        <f>IFERROR(INDEX('Shopify Import'!$A:$CZ,791,Settings!$E$22)&amp;"","")</f>
        <v/>
      </c>
      <c r="D791">
        <f>IF(A791="","",IFERROR(VALUE(SUBSTITUTE(SUBSTITUTE(INDEX('Shopify Import'!$A:$CZ,791,Settings!$E$23)&amp;"","$",""),",","")),0))</f>
        <v/>
      </c>
      <c r="E791" s="11">
        <f>IF(A791="","",IFERROR(VALUE(SUBSTITUTE(SUBSTITUTE(INDEX('Shopify Import'!$A:$CZ,791,Settings!$E$24)&amp;"","$",""),",","")),0))</f>
        <v/>
      </c>
      <c r="F791" s="11">
        <f>IF(A791="","",D791*E791)</f>
        <v/>
      </c>
      <c r="G791">
        <f>IF(A791="","",IF(C791="",1,COUNTIF($C$2:$C$1501,C791)))</f>
        <v/>
      </c>
      <c r="H791" s="11">
        <f>IF(A791="","",IFERROR(VALUE(SUBSTITUTE(SUBSTITUTE(INDEX('Shopify Import'!$A:$CZ,791,Settings!$E$25)&amp;"","$",""),",","")),0)/IF(Settings!$D$27="Yes",G791,1))</f>
        <v/>
      </c>
      <c r="I791" s="11">
        <f>IF(A791="","",IFERROR(VALUE(SUBSTITUTE(SUBSTITUTE(INDEX('Shopify Import'!$A:$CZ,791,Settings!$E$26)&amp;"","$",""),",","")),0)/IF(Settings!$D$27="Yes",G791,1))</f>
        <v/>
      </c>
      <c r="J791" s="11">
        <f>IF(A791="","",F791+H791-I791)</f>
        <v/>
      </c>
      <c r="K791">
        <f>IF(A791="","",IFERROR(IF(B791="",NA(),MATCH(B791,Products!$B$5:$B$204,0)),IFERROR(MATCH(A791,Products!$A$5:$A$204,0),"")))</f>
        <v/>
      </c>
      <c r="L791">
        <f>IF(A791="","",IF(K791="","⚠ not in Products",INDEX(Products!$A$5:$A$204,K791)))</f>
        <v/>
      </c>
      <c r="M791" s="11">
        <f>IF(A791="","",J791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791+IFERROR(INDEX(Settings!$D$5:$D$9,MATCH("Shopify",Settings!$A$5:$A$9,0)),0)*D791)</f>
        <v/>
      </c>
      <c r="N791" s="11">
        <f>IF(A791="","",IF(K791="",0,D791*INDEX(Products!$I$5:$I$204,K791)))</f>
        <v/>
      </c>
      <c r="O791" s="11">
        <f>IF(A791="","",IF(K791="",0,J791*INDEX(Products!$H$5:$H$204,K791)))</f>
        <v/>
      </c>
      <c r="P791" s="11">
        <f>IF(A791="","",J791-M791-N791-O791)</f>
        <v/>
      </c>
    </row>
    <row r="792">
      <c r="A792">
        <f>IFERROR(INDEX('Shopify Import'!$A:$CZ,792,Settings!$E$20)&amp;"","")</f>
        <v/>
      </c>
      <c r="B792">
        <f>IFERROR(INDEX('Shopify Import'!$A:$CZ,792,Settings!$E$21)&amp;"","")</f>
        <v/>
      </c>
      <c r="C792">
        <f>IFERROR(INDEX('Shopify Import'!$A:$CZ,792,Settings!$E$22)&amp;"","")</f>
        <v/>
      </c>
      <c r="D792">
        <f>IF(A792="","",IFERROR(VALUE(SUBSTITUTE(SUBSTITUTE(INDEX('Shopify Import'!$A:$CZ,792,Settings!$E$23)&amp;"","$",""),",","")),0))</f>
        <v/>
      </c>
      <c r="E792" s="11">
        <f>IF(A792="","",IFERROR(VALUE(SUBSTITUTE(SUBSTITUTE(INDEX('Shopify Import'!$A:$CZ,792,Settings!$E$24)&amp;"","$",""),",","")),0))</f>
        <v/>
      </c>
      <c r="F792" s="11">
        <f>IF(A792="","",D792*E792)</f>
        <v/>
      </c>
      <c r="G792">
        <f>IF(A792="","",IF(C792="",1,COUNTIF($C$2:$C$1501,C792)))</f>
        <v/>
      </c>
      <c r="H792" s="11">
        <f>IF(A792="","",IFERROR(VALUE(SUBSTITUTE(SUBSTITUTE(INDEX('Shopify Import'!$A:$CZ,792,Settings!$E$25)&amp;"","$",""),",","")),0)/IF(Settings!$D$27="Yes",G792,1))</f>
        <v/>
      </c>
      <c r="I792" s="11">
        <f>IF(A792="","",IFERROR(VALUE(SUBSTITUTE(SUBSTITUTE(INDEX('Shopify Import'!$A:$CZ,792,Settings!$E$26)&amp;"","$",""),",","")),0)/IF(Settings!$D$27="Yes",G792,1))</f>
        <v/>
      </c>
      <c r="J792" s="11">
        <f>IF(A792="","",F792+H792-I792)</f>
        <v/>
      </c>
      <c r="K792">
        <f>IF(A792="","",IFERROR(IF(B792="",NA(),MATCH(B792,Products!$B$5:$B$204,0)),IFERROR(MATCH(A792,Products!$A$5:$A$204,0),"")))</f>
        <v/>
      </c>
      <c r="L792">
        <f>IF(A792="","",IF(K792="","⚠ not in Products",INDEX(Products!$A$5:$A$204,K792)))</f>
        <v/>
      </c>
      <c r="M792" s="11">
        <f>IF(A792="","",J792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792+IFERROR(INDEX(Settings!$D$5:$D$9,MATCH("Shopify",Settings!$A$5:$A$9,0)),0)*D792)</f>
        <v/>
      </c>
      <c r="N792" s="11">
        <f>IF(A792="","",IF(K792="",0,D792*INDEX(Products!$I$5:$I$204,K792)))</f>
        <v/>
      </c>
      <c r="O792" s="11">
        <f>IF(A792="","",IF(K792="",0,J792*INDEX(Products!$H$5:$H$204,K792)))</f>
        <v/>
      </c>
      <c r="P792" s="11">
        <f>IF(A792="","",J792-M792-N792-O792)</f>
        <v/>
      </c>
    </row>
    <row r="793">
      <c r="A793">
        <f>IFERROR(INDEX('Shopify Import'!$A:$CZ,793,Settings!$E$20)&amp;"","")</f>
        <v/>
      </c>
      <c r="B793">
        <f>IFERROR(INDEX('Shopify Import'!$A:$CZ,793,Settings!$E$21)&amp;"","")</f>
        <v/>
      </c>
      <c r="C793">
        <f>IFERROR(INDEX('Shopify Import'!$A:$CZ,793,Settings!$E$22)&amp;"","")</f>
        <v/>
      </c>
      <c r="D793">
        <f>IF(A793="","",IFERROR(VALUE(SUBSTITUTE(SUBSTITUTE(INDEX('Shopify Import'!$A:$CZ,793,Settings!$E$23)&amp;"","$",""),",","")),0))</f>
        <v/>
      </c>
      <c r="E793" s="11">
        <f>IF(A793="","",IFERROR(VALUE(SUBSTITUTE(SUBSTITUTE(INDEX('Shopify Import'!$A:$CZ,793,Settings!$E$24)&amp;"","$",""),",","")),0))</f>
        <v/>
      </c>
      <c r="F793" s="11">
        <f>IF(A793="","",D793*E793)</f>
        <v/>
      </c>
      <c r="G793">
        <f>IF(A793="","",IF(C793="",1,COUNTIF($C$2:$C$1501,C793)))</f>
        <v/>
      </c>
      <c r="H793" s="11">
        <f>IF(A793="","",IFERROR(VALUE(SUBSTITUTE(SUBSTITUTE(INDEX('Shopify Import'!$A:$CZ,793,Settings!$E$25)&amp;"","$",""),",","")),0)/IF(Settings!$D$27="Yes",G793,1))</f>
        <v/>
      </c>
      <c r="I793" s="11">
        <f>IF(A793="","",IFERROR(VALUE(SUBSTITUTE(SUBSTITUTE(INDEX('Shopify Import'!$A:$CZ,793,Settings!$E$26)&amp;"","$",""),",","")),0)/IF(Settings!$D$27="Yes",G793,1))</f>
        <v/>
      </c>
      <c r="J793" s="11">
        <f>IF(A793="","",F793+H793-I793)</f>
        <v/>
      </c>
      <c r="K793">
        <f>IF(A793="","",IFERROR(IF(B793="",NA(),MATCH(B793,Products!$B$5:$B$204,0)),IFERROR(MATCH(A793,Products!$A$5:$A$204,0),"")))</f>
        <v/>
      </c>
      <c r="L793">
        <f>IF(A793="","",IF(K793="","⚠ not in Products",INDEX(Products!$A$5:$A$204,K793)))</f>
        <v/>
      </c>
      <c r="M793" s="11">
        <f>IF(A793="","",J793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793+IFERROR(INDEX(Settings!$D$5:$D$9,MATCH("Shopify",Settings!$A$5:$A$9,0)),0)*D793)</f>
        <v/>
      </c>
      <c r="N793" s="11">
        <f>IF(A793="","",IF(K793="",0,D793*INDEX(Products!$I$5:$I$204,K793)))</f>
        <v/>
      </c>
      <c r="O793" s="11">
        <f>IF(A793="","",IF(K793="",0,J793*INDEX(Products!$H$5:$H$204,K793)))</f>
        <v/>
      </c>
      <c r="P793" s="11">
        <f>IF(A793="","",J793-M793-N793-O793)</f>
        <v/>
      </c>
    </row>
    <row r="794">
      <c r="A794">
        <f>IFERROR(INDEX('Shopify Import'!$A:$CZ,794,Settings!$E$20)&amp;"","")</f>
        <v/>
      </c>
      <c r="B794">
        <f>IFERROR(INDEX('Shopify Import'!$A:$CZ,794,Settings!$E$21)&amp;"","")</f>
        <v/>
      </c>
      <c r="C794">
        <f>IFERROR(INDEX('Shopify Import'!$A:$CZ,794,Settings!$E$22)&amp;"","")</f>
        <v/>
      </c>
      <c r="D794">
        <f>IF(A794="","",IFERROR(VALUE(SUBSTITUTE(SUBSTITUTE(INDEX('Shopify Import'!$A:$CZ,794,Settings!$E$23)&amp;"","$",""),",","")),0))</f>
        <v/>
      </c>
      <c r="E794" s="11">
        <f>IF(A794="","",IFERROR(VALUE(SUBSTITUTE(SUBSTITUTE(INDEX('Shopify Import'!$A:$CZ,794,Settings!$E$24)&amp;"","$",""),",","")),0))</f>
        <v/>
      </c>
      <c r="F794" s="11">
        <f>IF(A794="","",D794*E794)</f>
        <v/>
      </c>
      <c r="G794">
        <f>IF(A794="","",IF(C794="",1,COUNTIF($C$2:$C$1501,C794)))</f>
        <v/>
      </c>
      <c r="H794" s="11">
        <f>IF(A794="","",IFERROR(VALUE(SUBSTITUTE(SUBSTITUTE(INDEX('Shopify Import'!$A:$CZ,794,Settings!$E$25)&amp;"","$",""),",","")),0)/IF(Settings!$D$27="Yes",G794,1))</f>
        <v/>
      </c>
      <c r="I794" s="11">
        <f>IF(A794="","",IFERROR(VALUE(SUBSTITUTE(SUBSTITUTE(INDEX('Shopify Import'!$A:$CZ,794,Settings!$E$26)&amp;"","$",""),",","")),0)/IF(Settings!$D$27="Yes",G794,1))</f>
        <v/>
      </c>
      <c r="J794" s="11">
        <f>IF(A794="","",F794+H794-I794)</f>
        <v/>
      </c>
      <c r="K794">
        <f>IF(A794="","",IFERROR(IF(B794="",NA(),MATCH(B794,Products!$B$5:$B$204,0)),IFERROR(MATCH(A794,Products!$A$5:$A$204,0),"")))</f>
        <v/>
      </c>
      <c r="L794">
        <f>IF(A794="","",IF(K794="","⚠ not in Products",INDEX(Products!$A$5:$A$204,K794)))</f>
        <v/>
      </c>
      <c r="M794" s="11">
        <f>IF(A794="","",J794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794+IFERROR(INDEX(Settings!$D$5:$D$9,MATCH("Shopify",Settings!$A$5:$A$9,0)),0)*D794)</f>
        <v/>
      </c>
      <c r="N794" s="11">
        <f>IF(A794="","",IF(K794="",0,D794*INDEX(Products!$I$5:$I$204,K794)))</f>
        <v/>
      </c>
      <c r="O794" s="11">
        <f>IF(A794="","",IF(K794="",0,J794*INDEX(Products!$H$5:$H$204,K794)))</f>
        <v/>
      </c>
      <c r="P794" s="11">
        <f>IF(A794="","",J794-M794-N794-O794)</f>
        <v/>
      </c>
    </row>
    <row r="795">
      <c r="A795">
        <f>IFERROR(INDEX('Shopify Import'!$A:$CZ,795,Settings!$E$20)&amp;"","")</f>
        <v/>
      </c>
      <c r="B795">
        <f>IFERROR(INDEX('Shopify Import'!$A:$CZ,795,Settings!$E$21)&amp;"","")</f>
        <v/>
      </c>
      <c r="C795">
        <f>IFERROR(INDEX('Shopify Import'!$A:$CZ,795,Settings!$E$22)&amp;"","")</f>
        <v/>
      </c>
      <c r="D795">
        <f>IF(A795="","",IFERROR(VALUE(SUBSTITUTE(SUBSTITUTE(INDEX('Shopify Import'!$A:$CZ,795,Settings!$E$23)&amp;"","$",""),",","")),0))</f>
        <v/>
      </c>
      <c r="E795" s="11">
        <f>IF(A795="","",IFERROR(VALUE(SUBSTITUTE(SUBSTITUTE(INDEX('Shopify Import'!$A:$CZ,795,Settings!$E$24)&amp;"","$",""),",","")),0))</f>
        <v/>
      </c>
      <c r="F795" s="11">
        <f>IF(A795="","",D795*E795)</f>
        <v/>
      </c>
      <c r="G795">
        <f>IF(A795="","",IF(C795="",1,COUNTIF($C$2:$C$1501,C795)))</f>
        <v/>
      </c>
      <c r="H795" s="11">
        <f>IF(A795="","",IFERROR(VALUE(SUBSTITUTE(SUBSTITUTE(INDEX('Shopify Import'!$A:$CZ,795,Settings!$E$25)&amp;"","$",""),",","")),0)/IF(Settings!$D$27="Yes",G795,1))</f>
        <v/>
      </c>
      <c r="I795" s="11">
        <f>IF(A795="","",IFERROR(VALUE(SUBSTITUTE(SUBSTITUTE(INDEX('Shopify Import'!$A:$CZ,795,Settings!$E$26)&amp;"","$",""),",","")),0)/IF(Settings!$D$27="Yes",G795,1))</f>
        <v/>
      </c>
      <c r="J795" s="11">
        <f>IF(A795="","",F795+H795-I795)</f>
        <v/>
      </c>
      <c r="K795">
        <f>IF(A795="","",IFERROR(IF(B795="",NA(),MATCH(B795,Products!$B$5:$B$204,0)),IFERROR(MATCH(A795,Products!$A$5:$A$204,0),"")))</f>
        <v/>
      </c>
      <c r="L795">
        <f>IF(A795="","",IF(K795="","⚠ not in Products",INDEX(Products!$A$5:$A$204,K795)))</f>
        <v/>
      </c>
      <c r="M795" s="11">
        <f>IF(A795="","",J795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795+IFERROR(INDEX(Settings!$D$5:$D$9,MATCH("Shopify",Settings!$A$5:$A$9,0)),0)*D795)</f>
        <v/>
      </c>
      <c r="N795" s="11">
        <f>IF(A795="","",IF(K795="",0,D795*INDEX(Products!$I$5:$I$204,K795)))</f>
        <v/>
      </c>
      <c r="O795" s="11">
        <f>IF(A795="","",IF(K795="",0,J795*INDEX(Products!$H$5:$H$204,K795)))</f>
        <v/>
      </c>
      <c r="P795" s="11">
        <f>IF(A795="","",J795-M795-N795-O795)</f>
        <v/>
      </c>
    </row>
    <row r="796">
      <c r="A796">
        <f>IFERROR(INDEX('Shopify Import'!$A:$CZ,796,Settings!$E$20)&amp;"","")</f>
        <v/>
      </c>
      <c r="B796">
        <f>IFERROR(INDEX('Shopify Import'!$A:$CZ,796,Settings!$E$21)&amp;"","")</f>
        <v/>
      </c>
      <c r="C796">
        <f>IFERROR(INDEX('Shopify Import'!$A:$CZ,796,Settings!$E$22)&amp;"","")</f>
        <v/>
      </c>
      <c r="D796">
        <f>IF(A796="","",IFERROR(VALUE(SUBSTITUTE(SUBSTITUTE(INDEX('Shopify Import'!$A:$CZ,796,Settings!$E$23)&amp;"","$",""),",","")),0))</f>
        <v/>
      </c>
      <c r="E796" s="11">
        <f>IF(A796="","",IFERROR(VALUE(SUBSTITUTE(SUBSTITUTE(INDEX('Shopify Import'!$A:$CZ,796,Settings!$E$24)&amp;"","$",""),",","")),0))</f>
        <v/>
      </c>
      <c r="F796" s="11">
        <f>IF(A796="","",D796*E796)</f>
        <v/>
      </c>
      <c r="G796">
        <f>IF(A796="","",IF(C796="",1,COUNTIF($C$2:$C$1501,C796)))</f>
        <v/>
      </c>
      <c r="H796" s="11">
        <f>IF(A796="","",IFERROR(VALUE(SUBSTITUTE(SUBSTITUTE(INDEX('Shopify Import'!$A:$CZ,796,Settings!$E$25)&amp;"","$",""),",","")),0)/IF(Settings!$D$27="Yes",G796,1))</f>
        <v/>
      </c>
      <c r="I796" s="11">
        <f>IF(A796="","",IFERROR(VALUE(SUBSTITUTE(SUBSTITUTE(INDEX('Shopify Import'!$A:$CZ,796,Settings!$E$26)&amp;"","$",""),",","")),0)/IF(Settings!$D$27="Yes",G796,1))</f>
        <v/>
      </c>
      <c r="J796" s="11">
        <f>IF(A796="","",F796+H796-I796)</f>
        <v/>
      </c>
      <c r="K796">
        <f>IF(A796="","",IFERROR(IF(B796="",NA(),MATCH(B796,Products!$B$5:$B$204,0)),IFERROR(MATCH(A796,Products!$A$5:$A$204,0),"")))</f>
        <v/>
      </c>
      <c r="L796">
        <f>IF(A796="","",IF(K796="","⚠ not in Products",INDEX(Products!$A$5:$A$204,K796)))</f>
        <v/>
      </c>
      <c r="M796" s="11">
        <f>IF(A796="","",J796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796+IFERROR(INDEX(Settings!$D$5:$D$9,MATCH("Shopify",Settings!$A$5:$A$9,0)),0)*D796)</f>
        <v/>
      </c>
      <c r="N796" s="11">
        <f>IF(A796="","",IF(K796="",0,D796*INDEX(Products!$I$5:$I$204,K796)))</f>
        <v/>
      </c>
      <c r="O796" s="11">
        <f>IF(A796="","",IF(K796="",0,J796*INDEX(Products!$H$5:$H$204,K796)))</f>
        <v/>
      </c>
      <c r="P796" s="11">
        <f>IF(A796="","",J796-M796-N796-O796)</f>
        <v/>
      </c>
    </row>
    <row r="797">
      <c r="A797">
        <f>IFERROR(INDEX('Shopify Import'!$A:$CZ,797,Settings!$E$20)&amp;"","")</f>
        <v/>
      </c>
      <c r="B797">
        <f>IFERROR(INDEX('Shopify Import'!$A:$CZ,797,Settings!$E$21)&amp;"","")</f>
        <v/>
      </c>
      <c r="C797">
        <f>IFERROR(INDEX('Shopify Import'!$A:$CZ,797,Settings!$E$22)&amp;"","")</f>
        <v/>
      </c>
      <c r="D797">
        <f>IF(A797="","",IFERROR(VALUE(SUBSTITUTE(SUBSTITUTE(INDEX('Shopify Import'!$A:$CZ,797,Settings!$E$23)&amp;"","$",""),",","")),0))</f>
        <v/>
      </c>
      <c r="E797" s="11">
        <f>IF(A797="","",IFERROR(VALUE(SUBSTITUTE(SUBSTITUTE(INDEX('Shopify Import'!$A:$CZ,797,Settings!$E$24)&amp;"","$",""),",","")),0))</f>
        <v/>
      </c>
      <c r="F797" s="11">
        <f>IF(A797="","",D797*E797)</f>
        <v/>
      </c>
      <c r="G797">
        <f>IF(A797="","",IF(C797="",1,COUNTIF($C$2:$C$1501,C797)))</f>
        <v/>
      </c>
      <c r="H797" s="11">
        <f>IF(A797="","",IFERROR(VALUE(SUBSTITUTE(SUBSTITUTE(INDEX('Shopify Import'!$A:$CZ,797,Settings!$E$25)&amp;"","$",""),",","")),0)/IF(Settings!$D$27="Yes",G797,1))</f>
        <v/>
      </c>
      <c r="I797" s="11">
        <f>IF(A797="","",IFERROR(VALUE(SUBSTITUTE(SUBSTITUTE(INDEX('Shopify Import'!$A:$CZ,797,Settings!$E$26)&amp;"","$",""),",","")),0)/IF(Settings!$D$27="Yes",G797,1))</f>
        <v/>
      </c>
      <c r="J797" s="11">
        <f>IF(A797="","",F797+H797-I797)</f>
        <v/>
      </c>
      <c r="K797">
        <f>IF(A797="","",IFERROR(IF(B797="",NA(),MATCH(B797,Products!$B$5:$B$204,0)),IFERROR(MATCH(A797,Products!$A$5:$A$204,0),"")))</f>
        <v/>
      </c>
      <c r="L797">
        <f>IF(A797="","",IF(K797="","⚠ not in Products",INDEX(Products!$A$5:$A$204,K797)))</f>
        <v/>
      </c>
      <c r="M797" s="11">
        <f>IF(A797="","",J797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797+IFERROR(INDEX(Settings!$D$5:$D$9,MATCH("Shopify",Settings!$A$5:$A$9,0)),0)*D797)</f>
        <v/>
      </c>
      <c r="N797" s="11">
        <f>IF(A797="","",IF(K797="",0,D797*INDEX(Products!$I$5:$I$204,K797)))</f>
        <v/>
      </c>
      <c r="O797" s="11">
        <f>IF(A797="","",IF(K797="",0,J797*INDEX(Products!$H$5:$H$204,K797)))</f>
        <v/>
      </c>
      <c r="P797" s="11">
        <f>IF(A797="","",J797-M797-N797-O797)</f>
        <v/>
      </c>
    </row>
    <row r="798">
      <c r="A798">
        <f>IFERROR(INDEX('Shopify Import'!$A:$CZ,798,Settings!$E$20)&amp;"","")</f>
        <v/>
      </c>
      <c r="B798">
        <f>IFERROR(INDEX('Shopify Import'!$A:$CZ,798,Settings!$E$21)&amp;"","")</f>
        <v/>
      </c>
      <c r="C798">
        <f>IFERROR(INDEX('Shopify Import'!$A:$CZ,798,Settings!$E$22)&amp;"","")</f>
        <v/>
      </c>
      <c r="D798">
        <f>IF(A798="","",IFERROR(VALUE(SUBSTITUTE(SUBSTITUTE(INDEX('Shopify Import'!$A:$CZ,798,Settings!$E$23)&amp;"","$",""),",","")),0))</f>
        <v/>
      </c>
      <c r="E798" s="11">
        <f>IF(A798="","",IFERROR(VALUE(SUBSTITUTE(SUBSTITUTE(INDEX('Shopify Import'!$A:$CZ,798,Settings!$E$24)&amp;"","$",""),",","")),0))</f>
        <v/>
      </c>
      <c r="F798" s="11">
        <f>IF(A798="","",D798*E798)</f>
        <v/>
      </c>
      <c r="G798">
        <f>IF(A798="","",IF(C798="",1,COUNTIF($C$2:$C$1501,C798)))</f>
        <v/>
      </c>
      <c r="H798" s="11">
        <f>IF(A798="","",IFERROR(VALUE(SUBSTITUTE(SUBSTITUTE(INDEX('Shopify Import'!$A:$CZ,798,Settings!$E$25)&amp;"","$",""),",","")),0)/IF(Settings!$D$27="Yes",G798,1))</f>
        <v/>
      </c>
      <c r="I798" s="11">
        <f>IF(A798="","",IFERROR(VALUE(SUBSTITUTE(SUBSTITUTE(INDEX('Shopify Import'!$A:$CZ,798,Settings!$E$26)&amp;"","$",""),",","")),0)/IF(Settings!$D$27="Yes",G798,1))</f>
        <v/>
      </c>
      <c r="J798" s="11">
        <f>IF(A798="","",F798+H798-I798)</f>
        <v/>
      </c>
      <c r="K798">
        <f>IF(A798="","",IFERROR(IF(B798="",NA(),MATCH(B798,Products!$B$5:$B$204,0)),IFERROR(MATCH(A798,Products!$A$5:$A$204,0),"")))</f>
        <v/>
      </c>
      <c r="L798">
        <f>IF(A798="","",IF(K798="","⚠ not in Products",INDEX(Products!$A$5:$A$204,K798)))</f>
        <v/>
      </c>
      <c r="M798" s="11">
        <f>IF(A798="","",J798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798+IFERROR(INDEX(Settings!$D$5:$D$9,MATCH("Shopify",Settings!$A$5:$A$9,0)),0)*D798)</f>
        <v/>
      </c>
      <c r="N798" s="11">
        <f>IF(A798="","",IF(K798="",0,D798*INDEX(Products!$I$5:$I$204,K798)))</f>
        <v/>
      </c>
      <c r="O798" s="11">
        <f>IF(A798="","",IF(K798="",0,J798*INDEX(Products!$H$5:$H$204,K798)))</f>
        <v/>
      </c>
      <c r="P798" s="11">
        <f>IF(A798="","",J798-M798-N798-O798)</f>
        <v/>
      </c>
    </row>
    <row r="799">
      <c r="A799">
        <f>IFERROR(INDEX('Shopify Import'!$A:$CZ,799,Settings!$E$20)&amp;"","")</f>
        <v/>
      </c>
      <c r="B799">
        <f>IFERROR(INDEX('Shopify Import'!$A:$CZ,799,Settings!$E$21)&amp;"","")</f>
        <v/>
      </c>
      <c r="C799">
        <f>IFERROR(INDEX('Shopify Import'!$A:$CZ,799,Settings!$E$22)&amp;"","")</f>
        <v/>
      </c>
      <c r="D799">
        <f>IF(A799="","",IFERROR(VALUE(SUBSTITUTE(SUBSTITUTE(INDEX('Shopify Import'!$A:$CZ,799,Settings!$E$23)&amp;"","$",""),",","")),0))</f>
        <v/>
      </c>
      <c r="E799" s="11">
        <f>IF(A799="","",IFERROR(VALUE(SUBSTITUTE(SUBSTITUTE(INDEX('Shopify Import'!$A:$CZ,799,Settings!$E$24)&amp;"","$",""),",","")),0))</f>
        <v/>
      </c>
      <c r="F799" s="11">
        <f>IF(A799="","",D799*E799)</f>
        <v/>
      </c>
      <c r="G799">
        <f>IF(A799="","",IF(C799="",1,COUNTIF($C$2:$C$1501,C799)))</f>
        <v/>
      </c>
      <c r="H799" s="11">
        <f>IF(A799="","",IFERROR(VALUE(SUBSTITUTE(SUBSTITUTE(INDEX('Shopify Import'!$A:$CZ,799,Settings!$E$25)&amp;"","$",""),",","")),0)/IF(Settings!$D$27="Yes",G799,1))</f>
        <v/>
      </c>
      <c r="I799" s="11">
        <f>IF(A799="","",IFERROR(VALUE(SUBSTITUTE(SUBSTITUTE(INDEX('Shopify Import'!$A:$CZ,799,Settings!$E$26)&amp;"","$",""),",","")),0)/IF(Settings!$D$27="Yes",G799,1))</f>
        <v/>
      </c>
      <c r="J799" s="11">
        <f>IF(A799="","",F799+H799-I799)</f>
        <v/>
      </c>
      <c r="K799">
        <f>IF(A799="","",IFERROR(IF(B799="",NA(),MATCH(B799,Products!$B$5:$B$204,0)),IFERROR(MATCH(A799,Products!$A$5:$A$204,0),"")))</f>
        <v/>
      </c>
      <c r="L799">
        <f>IF(A799="","",IF(K799="","⚠ not in Products",INDEX(Products!$A$5:$A$204,K799)))</f>
        <v/>
      </c>
      <c r="M799" s="11">
        <f>IF(A799="","",J799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799+IFERROR(INDEX(Settings!$D$5:$D$9,MATCH("Shopify",Settings!$A$5:$A$9,0)),0)*D799)</f>
        <v/>
      </c>
      <c r="N799" s="11">
        <f>IF(A799="","",IF(K799="",0,D799*INDEX(Products!$I$5:$I$204,K799)))</f>
        <v/>
      </c>
      <c r="O799" s="11">
        <f>IF(A799="","",IF(K799="",0,J799*INDEX(Products!$H$5:$H$204,K799)))</f>
        <v/>
      </c>
      <c r="P799" s="11">
        <f>IF(A799="","",J799-M799-N799-O799)</f>
        <v/>
      </c>
    </row>
    <row r="800">
      <c r="A800">
        <f>IFERROR(INDEX('Shopify Import'!$A:$CZ,800,Settings!$E$20)&amp;"","")</f>
        <v/>
      </c>
      <c r="B800">
        <f>IFERROR(INDEX('Shopify Import'!$A:$CZ,800,Settings!$E$21)&amp;"","")</f>
        <v/>
      </c>
      <c r="C800">
        <f>IFERROR(INDEX('Shopify Import'!$A:$CZ,800,Settings!$E$22)&amp;"","")</f>
        <v/>
      </c>
      <c r="D800">
        <f>IF(A800="","",IFERROR(VALUE(SUBSTITUTE(SUBSTITUTE(INDEX('Shopify Import'!$A:$CZ,800,Settings!$E$23)&amp;"","$",""),",","")),0))</f>
        <v/>
      </c>
      <c r="E800" s="11">
        <f>IF(A800="","",IFERROR(VALUE(SUBSTITUTE(SUBSTITUTE(INDEX('Shopify Import'!$A:$CZ,800,Settings!$E$24)&amp;"","$",""),",","")),0))</f>
        <v/>
      </c>
      <c r="F800" s="11">
        <f>IF(A800="","",D800*E800)</f>
        <v/>
      </c>
      <c r="G800">
        <f>IF(A800="","",IF(C800="",1,COUNTIF($C$2:$C$1501,C800)))</f>
        <v/>
      </c>
      <c r="H800" s="11">
        <f>IF(A800="","",IFERROR(VALUE(SUBSTITUTE(SUBSTITUTE(INDEX('Shopify Import'!$A:$CZ,800,Settings!$E$25)&amp;"","$",""),",","")),0)/IF(Settings!$D$27="Yes",G800,1))</f>
        <v/>
      </c>
      <c r="I800" s="11">
        <f>IF(A800="","",IFERROR(VALUE(SUBSTITUTE(SUBSTITUTE(INDEX('Shopify Import'!$A:$CZ,800,Settings!$E$26)&amp;"","$",""),",","")),0)/IF(Settings!$D$27="Yes",G800,1))</f>
        <v/>
      </c>
      <c r="J800" s="11">
        <f>IF(A800="","",F800+H800-I800)</f>
        <v/>
      </c>
      <c r="K800">
        <f>IF(A800="","",IFERROR(IF(B800="",NA(),MATCH(B800,Products!$B$5:$B$204,0)),IFERROR(MATCH(A800,Products!$A$5:$A$204,0),"")))</f>
        <v/>
      </c>
      <c r="L800">
        <f>IF(A800="","",IF(K800="","⚠ not in Products",INDEX(Products!$A$5:$A$204,K800)))</f>
        <v/>
      </c>
      <c r="M800" s="11">
        <f>IF(A800="","",J800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800+IFERROR(INDEX(Settings!$D$5:$D$9,MATCH("Shopify",Settings!$A$5:$A$9,0)),0)*D800)</f>
        <v/>
      </c>
      <c r="N800" s="11">
        <f>IF(A800="","",IF(K800="",0,D800*INDEX(Products!$I$5:$I$204,K800)))</f>
        <v/>
      </c>
      <c r="O800" s="11">
        <f>IF(A800="","",IF(K800="",0,J800*INDEX(Products!$H$5:$H$204,K800)))</f>
        <v/>
      </c>
      <c r="P800" s="11">
        <f>IF(A800="","",J800-M800-N800-O800)</f>
        <v/>
      </c>
    </row>
    <row r="801">
      <c r="A801">
        <f>IFERROR(INDEX('Shopify Import'!$A:$CZ,801,Settings!$E$20)&amp;"","")</f>
        <v/>
      </c>
      <c r="B801">
        <f>IFERROR(INDEX('Shopify Import'!$A:$CZ,801,Settings!$E$21)&amp;"","")</f>
        <v/>
      </c>
      <c r="C801">
        <f>IFERROR(INDEX('Shopify Import'!$A:$CZ,801,Settings!$E$22)&amp;"","")</f>
        <v/>
      </c>
      <c r="D801">
        <f>IF(A801="","",IFERROR(VALUE(SUBSTITUTE(SUBSTITUTE(INDEX('Shopify Import'!$A:$CZ,801,Settings!$E$23)&amp;"","$",""),",","")),0))</f>
        <v/>
      </c>
      <c r="E801" s="11">
        <f>IF(A801="","",IFERROR(VALUE(SUBSTITUTE(SUBSTITUTE(INDEX('Shopify Import'!$A:$CZ,801,Settings!$E$24)&amp;"","$",""),",","")),0))</f>
        <v/>
      </c>
      <c r="F801" s="11">
        <f>IF(A801="","",D801*E801)</f>
        <v/>
      </c>
      <c r="G801">
        <f>IF(A801="","",IF(C801="",1,COUNTIF($C$2:$C$1501,C801)))</f>
        <v/>
      </c>
      <c r="H801" s="11">
        <f>IF(A801="","",IFERROR(VALUE(SUBSTITUTE(SUBSTITUTE(INDEX('Shopify Import'!$A:$CZ,801,Settings!$E$25)&amp;"","$",""),",","")),0)/IF(Settings!$D$27="Yes",G801,1))</f>
        <v/>
      </c>
      <c r="I801" s="11">
        <f>IF(A801="","",IFERROR(VALUE(SUBSTITUTE(SUBSTITUTE(INDEX('Shopify Import'!$A:$CZ,801,Settings!$E$26)&amp;"","$",""),",","")),0)/IF(Settings!$D$27="Yes",G801,1))</f>
        <v/>
      </c>
      <c r="J801" s="11">
        <f>IF(A801="","",F801+H801-I801)</f>
        <v/>
      </c>
      <c r="K801">
        <f>IF(A801="","",IFERROR(IF(B801="",NA(),MATCH(B801,Products!$B$5:$B$204,0)),IFERROR(MATCH(A801,Products!$A$5:$A$204,0),"")))</f>
        <v/>
      </c>
      <c r="L801">
        <f>IF(A801="","",IF(K801="","⚠ not in Products",INDEX(Products!$A$5:$A$204,K801)))</f>
        <v/>
      </c>
      <c r="M801" s="11">
        <f>IF(A801="","",J801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801+IFERROR(INDEX(Settings!$D$5:$D$9,MATCH("Shopify",Settings!$A$5:$A$9,0)),0)*D801)</f>
        <v/>
      </c>
      <c r="N801" s="11">
        <f>IF(A801="","",IF(K801="",0,D801*INDEX(Products!$I$5:$I$204,K801)))</f>
        <v/>
      </c>
      <c r="O801" s="11">
        <f>IF(A801="","",IF(K801="",0,J801*INDEX(Products!$H$5:$H$204,K801)))</f>
        <v/>
      </c>
      <c r="P801" s="11">
        <f>IF(A801="","",J801-M801-N801-O801)</f>
        <v/>
      </c>
    </row>
    <row r="802">
      <c r="A802">
        <f>IFERROR(INDEX('Shopify Import'!$A:$CZ,802,Settings!$E$20)&amp;"","")</f>
        <v/>
      </c>
      <c r="B802">
        <f>IFERROR(INDEX('Shopify Import'!$A:$CZ,802,Settings!$E$21)&amp;"","")</f>
        <v/>
      </c>
      <c r="C802">
        <f>IFERROR(INDEX('Shopify Import'!$A:$CZ,802,Settings!$E$22)&amp;"","")</f>
        <v/>
      </c>
      <c r="D802">
        <f>IF(A802="","",IFERROR(VALUE(SUBSTITUTE(SUBSTITUTE(INDEX('Shopify Import'!$A:$CZ,802,Settings!$E$23)&amp;"","$",""),",","")),0))</f>
        <v/>
      </c>
      <c r="E802" s="11">
        <f>IF(A802="","",IFERROR(VALUE(SUBSTITUTE(SUBSTITUTE(INDEX('Shopify Import'!$A:$CZ,802,Settings!$E$24)&amp;"","$",""),",","")),0))</f>
        <v/>
      </c>
      <c r="F802" s="11">
        <f>IF(A802="","",D802*E802)</f>
        <v/>
      </c>
      <c r="G802">
        <f>IF(A802="","",IF(C802="",1,COUNTIF($C$2:$C$1501,C802)))</f>
        <v/>
      </c>
      <c r="H802" s="11">
        <f>IF(A802="","",IFERROR(VALUE(SUBSTITUTE(SUBSTITUTE(INDEX('Shopify Import'!$A:$CZ,802,Settings!$E$25)&amp;"","$",""),",","")),0)/IF(Settings!$D$27="Yes",G802,1))</f>
        <v/>
      </c>
      <c r="I802" s="11">
        <f>IF(A802="","",IFERROR(VALUE(SUBSTITUTE(SUBSTITUTE(INDEX('Shopify Import'!$A:$CZ,802,Settings!$E$26)&amp;"","$",""),",","")),0)/IF(Settings!$D$27="Yes",G802,1))</f>
        <v/>
      </c>
      <c r="J802" s="11">
        <f>IF(A802="","",F802+H802-I802)</f>
        <v/>
      </c>
      <c r="K802">
        <f>IF(A802="","",IFERROR(IF(B802="",NA(),MATCH(B802,Products!$B$5:$B$204,0)),IFERROR(MATCH(A802,Products!$A$5:$A$204,0),"")))</f>
        <v/>
      </c>
      <c r="L802">
        <f>IF(A802="","",IF(K802="","⚠ not in Products",INDEX(Products!$A$5:$A$204,K802)))</f>
        <v/>
      </c>
      <c r="M802" s="11">
        <f>IF(A802="","",J802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802+IFERROR(INDEX(Settings!$D$5:$D$9,MATCH("Shopify",Settings!$A$5:$A$9,0)),0)*D802)</f>
        <v/>
      </c>
      <c r="N802" s="11">
        <f>IF(A802="","",IF(K802="",0,D802*INDEX(Products!$I$5:$I$204,K802)))</f>
        <v/>
      </c>
      <c r="O802" s="11">
        <f>IF(A802="","",IF(K802="",0,J802*INDEX(Products!$H$5:$H$204,K802)))</f>
        <v/>
      </c>
      <c r="P802" s="11">
        <f>IF(A802="","",J802-M802-N802-O802)</f>
        <v/>
      </c>
    </row>
    <row r="803">
      <c r="A803">
        <f>IFERROR(INDEX('Shopify Import'!$A:$CZ,803,Settings!$E$20)&amp;"","")</f>
        <v/>
      </c>
      <c r="B803">
        <f>IFERROR(INDEX('Shopify Import'!$A:$CZ,803,Settings!$E$21)&amp;"","")</f>
        <v/>
      </c>
      <c r="C803">
        <f>IFERROR(INDEX('Shopify Import'!$A:$CZ,803,Settings!$E$22)&amp;"","")</f>
        <v/>
      </c>
      <c r="D803">
        <f>IF(A803="","",IFERROR(VALUE(SUBSTITUTE(SUBSTITUTE(INDEX('Shopify Import'!$A:$CZ,803,Settings!$E$23)&amp;"","$",""),",","")),0))</f>
        <v/>
      </c>
      <c r="E803" s="11">
        <f>IF(A803="","",IFERROR(VALUE(SUBSTITUTE(SUBSTITUTE(INDEX('Shopify Import'!$A:$CZ,803,Settings!$E$24)&amp;"","$",""),",","")),0))</f>
        <v/>
      </c>
      <c r="F803" s="11">
        <f>IF(A803="","",D803*E803)</f>
        <v/>
      </c>
      <c r="G803">
        <f>IF(A803="","",IF(C803="",1,COUNTIF($C$2:$C$1501,C803)))</f>
        <v/>
      </c>
      <c r="H803" s="11">
        <f>IF(A803="","",IFERROR(VALUE(SUBSTITUTE(SUBSTITUTE(INDEX('Shopify Import'!$A:$CZ,803,Settings!$E$25)&amp;"","$",""),",","")),0)/IF(Settings!$D$27="Yes",G803,1))</f>
        <v/>
      </c>
      <c r="I803" s="11">
        <f>IF(A803="","",IFERROR(VALUE(SUBSTITUTE(SUBSTITUTE(INDEX('Shopify Import'!$A:$CZ,803,Settings!$E$26)&amp;"","$",""),",","")),0)/IF(Settings!$D$27="Yes",G803,1))</f>
        <v/>
      </c>
      <c r="J803" s="11">
        <f>IF(A803="","",F803+H803-I803)</f>
        <v/>
      </c>
      <c r="K803">
        <f>IF(A803="","",IFERROR(IF(B803="",NA(),MATCH(B803,Products!$B$5:$B$204,0)),IFERROR(MATCH(A803,Products!$A$5:$A$204,0),"")))</f>
        <v/>
      </c>
      <c r="L803">
        <f>IF(A803="","",IF(K803="","⚠ not in Products",INDEX(Products!$A$5:$A$204,K803)))</f>
        <v/>
      </c>
      <c r="M803" s="11">
        <f>IF(A803="","",J803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803+IFERROR(INDEX(Settings!$D$5:$D$9,MATCH("Shopify",Settings!$A$5:$A$9,0)),0)*D803)</f>
        <v/>
      </c>
      <c r="N803" s="11">
        <f>IF(A803="","",IF(K803="",0,D803*INDEX(Products!$I$5:$I$204,K803)))</f>
        <v/>
      </c>
      <c r="O803" s="11">
        <f>IF(A803="","",IF(K803="",0,J803*INDEX(Products!$H$5:$H$204,K803)))</f>
        <v/>
      </c>
      <c r="P803" s="11">
        <f>IF(A803="","",J803-M803-N803-O803)</f>
        <v/>
      </c>
    </row>
    <row r="804">
      <c r="A804">
        <f>IFERROR(INDEX('Shopify Import'!$A:$CZ,804,Settings!$E$20)&amp;"","")</f>
        <v/>
      </c>
      <c r="B804">
        <f>IFERROR(INDEX('Shopify Import'!$A:$CZ,804,Settings!$E$21)&amp;"","")</f>
        <v/>
      </c>
      <c r="C804">
        <f>IFERROR(INDEX('Shopify Import'!$A:$CZ,804,Settings!$E$22)&amp;"","")</f>
        <v/>
      </c>
      <c r="D804">
        <f>IF(A804="","",IFERROR(VALUE(SUBSTITUTE(SUBSTITUTE(INDEX('Shopify Import'!$A:$CZ,804,Settings!$E$23)&amp;"","$",""),",","")),0))</f>
        <v/>
      </c>
      <c r="E804" s="11">
        <f>IF(A804="","",IFERROR(VALUE(SUBSTITUTE(SUBSTITUTE(INDEX('Shopify Import'!$A:$CZ,804,Settings!$E$24)&amp;"","$",""),",","")),0))</f>
        <v/>
      </c>
      <c r="F804" s="11">
        <f>IF(A804="","",D804*E804)</f>
        <v/>
      </c>
      <c r="G804">
        <f>IF(A804="","",IF(C804="",1,COUNTIF($C$2:$C$1501,C804)))</f>
        <v/>
      </c>
      <c r="H804" s="11">
        <f>IF(A804="","",IFERROR(VALUE(SUBSTITUTE(SUBSTITUTE(INDEX('Shopify Import'!$A:$CZ,804,Settings!$E$25)&amp;"","$",""),",","")),0)/IF(Settings!$D$27="Yes",G804,1))</f>
        <v/>
      </c>
      <c r="I804" s="11">
        <f>IF(A804="","",IFERROR(VALUE(SUBSTITUTE(SUBSTITUTE(INDEX('Shopify Import'!$A:$CZ,804,Settings!$E$26)&amp;"","$",""),",","")),0)/IF(Settings!$D$27="Yes",G804,1))</f>
        <v/>
      </c>
      <c r="J804" s="11">
        <f>IF(A804="","",F804+H804-I804)</f>
        <v/>
      </c>
      <c r="K804">
        <f>IF(A804="","",IFERROR(IF(B804="",NA(),MATCH(B804,Products!$B$5:$B$204,0)),IFERROR(MATCH(A804,Products!$A$5:$A$204,0),"")))</f>
        <v/>
      </c>
      <c r="L804">
        <f>IF(A804="","",IF(K804="","⚠ not in Products",INDEX(Products!$A$5:$A$204,K804)))</f>
        <v/>
      </c>
      <c r="M804" s="11">
        <f>IF(A804="","",J804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804+IFERROR(INDEX(Settings!$D$5:$D$9,MATCH("Shopify",Settings!$A$5:$A$9,0)),0)*D804)</f>
        <v/>
      </c>
      <c r="N804" s="11">
        <f>IF(A804="","",IF(K804="",0,D804*INDEX(Products!$I$5:$I$204,K804)))</f>
        <v/>
      </c>
      <c r="O804" s="11">
        <f>IF(A804="","",IF(K804="",0,J804*INDEX(Products!$H$5:$H$204,K804)))</f>
        <v/>
      </c>
      <c r="P804" s="11">
        <f>IF(A804="","",J804-M804-N804-O804)</f>
        <v/>
      </c>
    </row>
    <row r="805">
      <c r="A805">
        <f>IFERROR(INDEX('Shopify Import'!$A:$CZ,805,Settings!$E$20)&amp;"","")</f>
        <v/>
      </c>
      <c r="B805">
        <f>IFERROR(INDEX('Shopify Import'!$A:$CZ,805,Settings!$E$21)&amp;"","")</f>
        <v/>
      </c>
      <c r="C805">
        <f>IFERROR(INDEX('Shopify Import'!$A:$CZ,805,Settings!$E$22)&amp;"","")</f>
        <v/>
      </c>
      <c r="D805">
        <f>IF(A805="","",IFERROR(VALUE(SUBSTITUTE(SUBSTITUTE(INDEX('Shopify Import'!$A:$CZ,805,Settings!$E$23)&amp;"","$",""),",","")),0))</f>
        <v/>
      </c>
      <c r="E805" s="11">
        <f>IF(A805="","",IFERROR(VALUE(SUBSTITUTE(SUBSTITUTE(INDEX('Shopify Import'!$A:$CZ,805,Settings!$E$24)&amp;"","$",""),",","")),0))</f>
        <v/>
      </c>
      <c r="F805" s="11">
        <f>IF(A805="","",D805*E805)</f>
        <v/>
      </c>
      <c r="G805">
        <f>IF(A805="","",IF(C805="",1,COUNTIF($C$2:$C$1501,C805)))</f>
        <v/>
      </c>
      <c r="H805" s="11">
        <f>IF(A805="","",IFERROR(VALUE(SUBSTITUTE(SUBSTITUTE(INDEX('Shopify Import'!$A:$CZ,805,Settings!$E$25)&amp;"","$",""),",","")),0)/IF(Settings!$D$27="Yes",G805,1))</f>
        <v/>
      </c>
      <c r="I805" s="11">
        <f>IF(A805="","",IFERROR(VALUE(SUBSTITUTE(SUBSTITUTE(INDEX('Shopify Import'!$A:$CZ,805,Settings!$E$26)&amp;"","$",""),",","")),0)/IF(Settings!$D$27="Yes",G805,1))</f>
        <v/>
      </c>
      <c r="J805" s="11">
        <f>IF(A805="","",F805+H805-I805)</f>
        <v/>
      </c>
      <c r="K805">
        <f>IF(A805="","",IFERROR(IF(B805="",NA(),MATCH(B805,Products!$B$5:$B$204,0)),IFERROR(MATCH(A805,Products!$A$5:$A$204,0),"")))</f>
        <v/>
      </c>
      <c r="L805">
        <f>IF(A805="","",IF(K805="","⚠ not in Products",INDEX(Products!$A$5:$A$204,K805)))</f>
        <v/>
      </c>
      <c r="M805" s="11">
        <f>IF(A805="","",J805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805+IFERROR(INDEX(Settings!$D$5:$D$9,MATCH("Shopify",Settings!$A$5:$A$9,0)),0)*D805)</f>
        <v/>
      </c>
      <c r="N805" s="11">
        <f>IF(A805="","",IF(K805="",0,D805*INDEX(Products!$I$5:$I$204,K805)))</f>
        <v/>
      </c>
      <c r="O805" s="11">
        <f>IF(A805="","",IF(K805="",0,J805*INDEX(Products!$H$5:$H$204,K805)))</f>
        <v/>
      </c>
      <c r="P805" s="11">
        <f>IF(A805="","",J805-M805-N805-O805)</f>
        <v/>
      </c>
    </row>
    <row r="806">
      <c r="A806">
        <f>IFERROR(INDEX('Shopify Import'!$A:$CZ,806,Settings!$E$20)&amp;"","")</f>
        <v/>
      </c>
      <c r="B806">
        <f>IFERROR(INDEX('Shopify Import'!$A:$CZ,806,Settings!$E$21)&amp;"","")</f>
        <v/>
      </c>
      <c r="C806">
        <f>IFERROR(INDEX('Shopify Import'!$A:$CZ,806,Settings!$E$22)&amp;"","")</f>
        <v/>
      </c>
      <c r="D806">
        <f>IF(A806="","",IFERROR(VALUE(SUBSTITUTE(SUBSTITUTE(INDEX('Shopify Import'!$A:$CZ,806,Settings!$E$23)&amp;"","$",""),",","")),0))</f>
        <v/>
      </c>
      <c r="E806" s="11">
        <f>IF(A806="","",IFERROR(VALUE(SUBSTITUTE(SUBSTITUTE(INDEX('Shopify Import'!$A:$CZ,806,Settings!$E$24)&amp;"","$",""),",","")),0))</f>
        <v/>
      </c>
      <c r="F806" s="11">
        <f>IF(A806="","",D806*E806)</f>
        <v/>
      </c>
      <c r="G806">
        <f>IF(A806="","",IF(C806="",1,COUNTIF($C$2:$C$1501,C806)))</f>
        <v/>
      </c>
      <c r="H806" s="11">
        <f>IF(A806="","",IFERROR(VALUE(SUBSTITUTE(SUBSTITUTE(INDEX('Shopify Import'!$A:$CZ,806,Settings!$E$25)&amp;"","$",""),",","")),0)/IF(Settings!$D$27="Yes",G806,1))</f>
        <v/>
      </c>
      <c r="I806" s="11">
        <f>IF(A806="","",IFERROR(VALUE(SUBSTITUTE(SUBSTITUTE(INDEX('Shopify Import'!$A:$CZ,806,Settings!$E$26)&amp;"","$",""),",","")),0)/IF(Settings!$D$27="Yes",G806,1))</f>
        <v/>
      </c>
      <c r="J806" s="11">
        <f>IF(A806="","",F806+H806-I806)</f>
        <v/>
      </c>
      <c r="K806">
        <f>IF(A806="","",IFERROR(IF(B806="",NA(),MATCH(B806,Products!$B$5:$B$204,0)),IFERROR(MATCH(A806,Products!$A$5:$A$204,0),"")))</f>
        <v/>
      </c>
      <c r="L806">
        <f>IF(A806="","",IF(K806="","⚠ not in Products",INDEX(Products!$A$5:$A$204,K806)))</f>
        <v/>
      </c>
      <c r="M806" s="11">
        <f>IF(A806="","",J806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806+IFERROR(INDEX(Settings!$D$5:$D$9,MATCH("Shopify",Settings!$A$5:$A$9,0)),0)*D806)</f>
        <v/>
      </c>
      <c r="N806" s="11">
        <f>IF(A806="","",IF(K806="",0,D806*INDEX(Products!$I$5:$I$204,K806)))</f>
        <v/>
      </c>
      <c r="O806" s="11">
        <f>IF(A806="","",IF(K806="",0,J806*INDEX(Products!$H$5:$H$204,K806)))</f>
        <v/>
      </c>
      <c r="P806" s="11">
        <f>IF(A806="","",J806-M806-N806-O806)</f>
        <v/>
      </c>
    </row>
    <row r="807">
      <c r="A807">
        <f>IFERROR(INDEX('Shopify Import'!$A:$CZ,807,Settings!$E$20)&amp;"","")</f>
        <v/>
      </c>
      <c r="B807">
        <f>IFERROR(INDEX('Shopify Import'!$A:$CZ,807,Settings!$E$21)&amp;"","")</f>
        <v/>
      </c>
      <c r="C807">
        <f>IFERROR(INDEX('Shopify Import'!$A:$CZ,807,Settings!$E$22)&amp;"","")</f>
        <v/>
      </c>
      <c r="D807">
        <f>IF(A807="","",IFERROR(VALUE(SUBSTITUTE(SUBSTITUTE(INDEX('Shopify Import'!$A:$CZ,807,Settings!$E$23)&amp;"","$",""),",","")),0))</f>
        <v/>
      </c>
      <c r="E807" s="11">
        <f>IF(A807="","",IFERROR(VALUE(SUBSTITUTE(SUBSTITUTE(INDEX('Shopify Import'!$A:$CZ,807,Settings!$E$24)&amp;"","$",""),",","")),0))</f>
        <v/>
      </c>
      <c r="F807" s="11">
        <f>IF(A807="","",D807*E807)</f>
        <v/>
      </c>
      <c r="G807">
        <f>IF(A807="","",IF(C807="",1,COUNTIF($C$2:$C$1501,C807)))</f>
        <v/>
      </c>
      <c r="H807" s="11">
        <f>IF(A807="","",IFERROR(VALUE(SUBSTITUTE(SUBSTITUTE(INDEX('Shopify Import'!$A:$CZ,807,Settings!$E$25)&amp;"","$",""),",","")),0)/IF(Settings!$D$27="Yes",G807,1))</f>
        <v/>
      </c>
      <c r="I807" s="11">
        <f>IF(A807="","",IFERROR(VALUE(SUBSTITUTE(SUBSTITUTE(INDEX('Shopify Import'!$A:$CZ,807,Settings!$E$26)&amp;"","$",""),",","")),0)/IF(Settings!$D$27="Yes",G807,1))</f>
        <v/>
      </c>
      <c r="J807" s="11">
        <f>IF(A807="","",F807+H807-I807)</f>
        <v/>
      </c>
      <c r="K807">
        <f>IF(A807="","",IFERROR(IF(B807="",NA(),MATCH(B807,Products!$B$5:$B$204,0)),IFERROR(MATCH(A807,Products!$A$5:$A$204,0),"")))</f>
        <v/>
      </c>
      <c r="L807">
        <f>IF(A807="","",IF(K807="","⚠ not in Products",INDEX(Products!$A$5:$A$204,K807)))</f>
        <v/>
      </c>
      <c r="M807" s="11">
        <f>IF(A807="","",J807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807+IFERROR(INDEX(Settings!$D$5:$D$9,MATCH("Shopify",Settings!$A$5:$A$9,0)),0)*D807)</f>
        <v/>
      </c>
      <c r="N807" s="11">
        <f>IF(A807="","",IF(K807="",0,D807*INDEX(Products!$I$5:$I$204,K807)))</f>
        <v/>
      </c>
      <c r="O807" s="11">
        <f>IF(A807="","",IF(K807="",0,J807*INDEX(Products!$H$5:$H$204,K807)))</f>
        <v/>
      </c>
      <c r="P807" s="11">
        <f>IF(A807="","",J807-M807-N807-O807)</f>
        <v/>
      </c>
    </row>
    <row r="808">
      <c r="A808">
        <f>IFERROR(INDEX('Shopify Import'!$A:$CZ,808,Settings!$E$20)&amp;"","")</f>
        <v/>
      </c>
      <c r="B808">
        <f>IFERROR(INDEX('Shopify Import'!$A:$CZ,808,Settings!$E$21)&amp;"","")</f>
        <v/>
      </c>
      <c r="C808">
        <f>IFERROR(INDEX('Shopify Import'!$A:$CZ,808,Settings!$E$22)&amp;"","")</f>
        <v/>
      </c>
      <c r="D808">
        <f>IF(A808="","",IFERROR(VALUE(SUBSTITUTE(SUBSTITUTE(INDEX('Shopify Import'!$A:$CZ,808,Settings!$E$23)&amp;"","$",""),",","")),0))</f>
        <v/>
      </c>
      <c r="E808" s="11">
        <f>IF(A808="","",IFERROR(VALUE(SUBSTITUTE(SUBSTITUTE(INDEX('Shopify Import'!$A:$CZ,808,Settings!$E$24)&amp;"","$",""),",","")),0))</f>
        <v/>
      </c>
      <c r="F808" s="11">
        <f>IF(A808="","",D808*E808)</f>
        <v/>
      </c>
      <c r="G808">
        <f>IF(A808="","",IF(C808="",1,COUNTIF($C$2:$C$1501,C808)))</f>
        <v/>
      </c>
      <c r="H808" s="11">
        <f>IF(A808="","",IFERROR(VALUE(SUBSTITUTE(SUBSTITUTE(INDEX('Shopify Import'!$A:$CZ,808,Settings!$E$25)&amp;"","$",""),",","")),0)/IF(Settings!$D$27="Yes",G808,1))</f>
        <v/>
      </c>
      <c r="I808" s="11">
        <f>IF(A808="","",IFERROR(VALUE(SUBSTITUTE(SUBSTITUTE(INDEX('Shopify Import'!$A:$CZ,808,Settings!$E$26)&amp;"","$",""),",","")),0)/IF(Settings!$D$27="Yes",G808,1))</f>
        <v/>
      </c>
      <c r="J808" s="11">
        <f>IF(A808="","",F808+H808-I808)</f>
        <v/>
      </c>
      <c r="K808">
        <f>IF(A808="","",IFERROR(IF(B808="",NA(),MATCH(B808,Products!$B$5:$B$204,0)),IFERROR(MATCH(A808,Products!$A$5:$A$204,0),"")))</f>
        <v/>
      </c>
      <c r="L808">
        <f>IF(A808="","",IF(K808="","⚠ not in Products",INDEX(Products!$A$5:$A$204,K808)))</f>
        <v/>
      </c>
      <c r="M808" s="11">
        <f>IF(A808="","",J808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808+IFERROR(INDEX(Settings!$D$5:$D$9,MATCH("Shopify",Settings!$A$5:$A$9,0)),0)*D808)</f>
        <v/>
      </c>
      <c r="N808" s="11">
        <f>IF(A808="","",IF(K808="",0,D808*INDEX(Products!$I$5:$I$204,K808)))</f>
        <v/>
      </c>
      <c r="O808" s="11">
        <f>IF(A808="","",IF(K808="",0,J808*INDEX(Products!$H$5:$H$204,K808)))</f>
        <v/>
      </c>
      <c r="P808" s="11">
        <f>IF(A808="","",J808-M808-N808-O808)</f>
        <v/>
      </c>
    </row>
    <row r="809">
      <c r="A809">
        <f>IFERROR(INDEX('Shopify Import'!$A:$CZ,809,Settings!$E$20)&amp;"","")</f>
        <v/>
      </c>
      <c r="B809">
        <f>IFERROR(INDEX('Shopify Import'!$A:$CZ,809,Settings!$E$21)&amp;"","")</f>
        <v/>
      </c>
      <c r="C809">
        <f>IFERROR(INDEX('Shopify Import'!$A:$CZ,809,Settings!$E$22)&amp;"","")</f>
        <v/>
      </c>
      <c r="D809">
        <f>IF(A809="","",IFERROR(VALUE(SUBSTITUTE(SUBSTITUTE(INDEX('Shopify Import'!$A:$CZ,809,Settings!$E$23)&amp;"","$",""),",","")),0))</f>
        <v/>
      </c>
      <c r="E809" s="11">
        <f>IF(A809="","",IFERROR(VALUE(SUBSTITUTE(SUBSTITUTE(INDEX('Shopify Import'!$A:$CZ,809,Settings!$E$24)&amp;"","$",""),",","")),0))</f>
        <v/>
      </c>
      <c r="F809" s="11">
        <f>IF(A809="","",D809*E809)</f>
        <v/>
      </c>
      <c r="G809">
        <f>IF(A809="","",IF(C809="",1,COUNTIF($C$2:$C$1501,C809)))</f>
        <v/>
      </c>
      <c r="H809" s="11">
        <f>IF(A809="","",IFERROR(VALUE(SUBSTITUTE(SUBSTITUTE(INDEX('Shopify Import'!$A:$CZ,809,Settings!$E$25)&amp;"","$",""),",","")),0)/IF(Settings!$D$27="Yes",G809,1))</f>
        <v/>
      </c>
      <c r="I809" s="11">
        <f>IF(A809="","",IFERROR(VALUE(SUBSTITUTE(SUBSTITUTE(INDEX('Shopify Import'!$A:$CZ,809,Settings!$E$26)&amp;"","$",""),",","")),0)/IF(Settings!$D$27="Yes",G809,1))</f>
        <v/>
      </c>
      <c r="J809" s="11">
        <f>IF(A809="","",F809+H809-I809)</f>
        <v/>
      </c>
      <c r="K809">
        <f>IF(A809="","",IFERROR(IF(B809="",NA(),MATCH(B809,Products!$B$5:$B$204,0)),IFERROR(MATCH(A809,Products!$A$5:$A$204,0),"")))</f>
        <v/>
      </c>
      <c r="L809">
        <f>IF(A809="","",IF(K809="","⚠ not in Products",INDEX(Products!$A$5:$A$204,K809)))</f>
        <v/>
      </c>
      <c r="M809" s="11">
        <f>IF(A809="","",J809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809+IFERROR(INDEX(Settings!$D$5:$D$9,MATCH("Shopify",Settings!$A$5:$A$9,0)),0)*D809)</f>
        <v/>
      </c>
      <c r="N809" s="11">
        <f>IF(A809="","",IF(K809="",0,D809*INDEX(Products!$I$5:$I$204,K809)))</f>
        <v/>
      </c>
      <c r="O809" s="11">
        <f>IF(A809="","",IF(K809="",0,J809*INDEX(Products!$H$5:$H$204,K809)))</f>
        <v/>
      </c>
      <c r="P809" s="11">
        <f>IF(A809="","",J809-M809-N809-O809)</f>
        <v/>
      </c>
    </row>
    <row r="810">
      <c r="A810">
        <f>IFERROR(INDEX('Shopify Import'!$A:$CZ,810,Settings!$E$20)&amp;"","")</f>
        <v/>
      </c>
      <c r="B810">
        <f>IFERROR(INDEX('Shopify Import'!$A:$CZ,810,Settings!$E$21)&amp;"","")</f>
        <v/>
      </c>
      <c r="C810">
        <f>IFERROR(INDEX('Shopify Import'!$A:$CZ,810,Settings!$E$22)&amp;"","")</f>
        <v/>
      </c>
      <c r="D810">
        <f>IF(A810="","",IFERROR(VALUE(SUBSTITUTE(SUBSTITUTE(INDEX('Shopify Import'!$A:$CZ,810,Settings!$E$23)&amp;"","$",""),",","")),0))</f>
        <v/>
      </c>
      <c r="E810" s="11">
        <f>IF(A810="","",IFERROR(VALUE(SUBSTITUTE(SUBSTITUTE(INDEX('Shopify Import'!$A:$CZ,810,Settings!$E$24)&amp;"","$",""),",","")),0))</f>
        <v/>
      </c>
      <c r="F810" s="11">
        <f>IF(A810="","",D810*E810)</f>
        <v/>
      </c>
      <c r="G810">
        <f>IF(A810="","",IF(C810="",1,COUNTIF($C$2:$C$1501,C810)))</f>
        <v/>
      </c>
      <c r="H810" s="11">
        <f>IF(A810="","",IFERROR(VALUE(SUBSTITUTE(SUBSTITUTE(INDEX('Shopify Import'!$A:$CZ,810,Settings!$E$25)&amp;"","$",""),",","")),0)/IF(Settings!$D$27="Yes",G810,1))</f>
        <v/>
      </c>
      <c r="I810" s="11">
        <f>IF(A810="","",IFERROR(VALUE(SUBSTITUTE(SUBSTITUTE(INDEX('Shopify Import'!$A:$CZ,810,Settings!$E$26)&amp;"","$",""),",","")),0)/IF(Settings!$D$27="Yes",G810,1))</f>
        <v/>
      </c>
      <c r="J810" s="11">
        <f>IF(A810="","",F810+H810-I810)</f>
        <v/>
      </c>
      <c r="K810">
        <f>IF(A810="","",IFERROR(IF(B810="",NA(),MATCH(B810,Products!$B$5:$B$204,0)),IFERROR(MATCH(A810,Products!$A$5:$A$204,0),"")))</f>
        <v/>
      </c>
      <c r="L810">
        <f>IF(A810="","",IF(K810="","⚠ not in Products",INDEX(Products!$A$5:$A$204,K810)))</f>
        <v/>
      </c>
      <c r="M810" s="11">
        <f>IF(A810="","",J810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810+IFERROR(INDEX(Settings!$D$5:$D$9,MATCH("Shopify",Settings!$A$5:$A$9,0)),0)*D810)</f>
        <v/>
      </c>
      <c r="N810" s="11">
        <f>IF(A810="","",IF(K810="",0,D810*INDEX(Products!$I$5:$I$204,K810)))</f>
        <v/>
      </c>
      <c r="O810" s="11">
        <f>IF(A810="","",IF(K810="",0,J810*INDEX(Products!$H$5:$H$204,K810)))</f>
        <v/>
      </c>
      <c r="P810" s="11">
        <f>IF(A810="","",J810-M810-N810-O810)</f>
        <v/>
      </c>
    </row>
    <row r="811">
      <c r="A811">
        <f>IFERROR(INDEX('Shopify Import'!$A:$CZ,811,Settings!$E$20)&amp;"","")</f>
        <v/>
      </c>
      <c r="B811">
        <f>IFERROR(INDEX('Shopify Import'!$A:$CZ,811,Settings!$E$21)&amp;"","")</f>
        <v/>
      </c>
      <c r="C811">
        <f>IFERROR(INDEX('Shopify Import'!$A:$CZ,811,Settings!$E$22)&amp;"","")</f>
        <v/>
      </c>
      <c r="D811">
        <f>IF(A811="","",IFERROR(VALUE(SUBSTITUTE(SUBSTITUTE(INDEX('Shopify Import'!$A:$CZ,811,Settings!$E$23)&amp;"","$",""),",","")),0))</f>
        <v/>
      </c>
      <c r="E811" s="11">
        <f>IF(A811="","",IFERROR(VALUE(SUBSTITUTE(SUBSTITUTE(INDEX('Shopify Import'!$A:$CZ,811,Settings!$E$24)&amp;"","$",""),",","")),0))</f>
        <v/>
      </c>
      <c r="F811" s="11">
        <f>IF(A811="","",D811*E811)</f>
        <v/>
      </c>
      <c r="G811">
        <f>IF(A811="","",IF(C811="",1,COUNTIF($C$2:$C$1501,C811)))</f>
        <v/>
      </c>
      <c r="H811" s="11">
        <f>IF(A811="","",IFERROR(VALUE(SUBSTITUTE(SUBSTITUTE(INDEX('Shopify Import'!$A:$CZ,811,Settings!$E$25)&amp;"","$",""),",","")),0)/IF(Settings!$D$27="Yes",G811,1))</f>
        <v/>
      </c>
      <c r="I811" s="11">
        <f>IF(A811="","",IFERROR(VALUE(SUBSTITUTE(SUBSTITUTE(INDEX('Shopify Import'!$A:$CZ,811,Settings!$E$26)&amp;"","$",""),",","")),0)/IF(Settings!$D$27="Yes",G811,1))</f>
        <v/>
      </c>
      <c r="J811" s="11">
        <f>IF(A811="","",F811+H811-I811)</f>
        <v/>
      </c>
      <c r="K811">
        <f>IF(A811="","",IFERROR(IF(B811="",NA(),MATCH(B811,Products!$B$5:$B$204,0)),IFERROR(MATCH(A811,Products!$A$5:$A$204,0),"")))</f>
        <v/>
      </c>
      <c r="L811">
        <f>IF(A811="","",IF(K811="","⚠ not in Products",INDEX(Products!$A$5:$A$204,K811)))</f>
        <v/>
      </c>
      <c r="M811" s="11">
        <f>IF(A811="","",J811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811+IFERROR(INDEX(Settings!$D$5:$D$9,MATCH("Shopify",Settings!$A$5:$A$9,0)),0)*D811)</f>
        <v/>
      </c>
      <c r="N811" s="11">
        <f>IF(A811="","",IF(K811="",0,D811*INDEX(Products!$I$5:$I$204,K811)))</f>
        <v/>
      </c>
      <c r="O811" s="11">
        <f>IF(A811="","",IF(K811="",0,J811*INDEX(Products!$H$5:$H$204,K811)))</f>
        <v/>
      </c>
      <c r="P811" s="11">
        <f>IF(A811="","",J811-M811-N811-O811)</f>
        <v/>
      </c>
    </row>
    <row r="812">
      <c r="A812">
        <f>IFERROR(INDEX('Shopify Import'!$A:$CZ,812,Settings!$E$20)&amp;"","")</f>
        <v/>
      </c>
      <c r="B812">
        <f>IFERROR(INDEX('Shopify Import'!$A:$CZ,812,Settings!$E$21)&amp;"","")</f>
        <v/>
      </c>
      <c r="C812">
        <f>IFERROR(INDEX('Shopify Import'!$A:$CZ,812,Settings!$E$22)&amp;"","")</f>
        <v/>
      </c>
      <c r="D812">
        <f>IF(A812="","",IFERROR(VALUE(SUBSTITUTE(SUBSTITUTE(INDEX('Shopify Import'!$A:$CZ,812,Settings!$E$23)&amp;"","$",""),",","")),0))</f>
        <v/>
      </c>
      <c r="E812" s="11">
        <f>IF(A812="","",IFERROR(VALUE(SUBSTITUTE(SUBSTITUTE(INDEX('Shopify Import'!$A:$CZ,812,Settings!$E$24)&amp;"","$",""),",","")),0))</f>
        <v/>
      </c>
      <c r="F812" s="11">
        <f>IF(A812="","",D812*E812)</f>
        <v/>
      </c>
      <c r="G812">
        <f>IF(A812="","",IF(C812="",1,COUNTIF($C$2:$C$1501,C812)))</f>
        <v/>
      </c>
      <c r="H812" s="11">
        <f>IF(A812="","",IFERROR(VALUE(SUBSTITUTE(SUBSTITUTE(INDEX('Shopify Import'!$A:$CZ,812,Settings!$E$25)&amp;"","$",""),",","")),0)/IF(Settings!$D$27="Yes",G812,1))</f>
        <v/>
      </c>
      <c r="I812" s="11">
        <f>IF(A812="","",IFERROR(VALUE(SUBSTITUTE(SUBSTITUTE(INDEX('Shopify Import'!$A:$CZ,812,Settings!$E$26)&amp;"","$",""),",","")),0)/IF(Settings!$D$27="Yes",G812,1))</f>
        <v/>
      </c>
      <c r="J812" s="11">
        <f>IF(A812="","",F812+H812-I812)</f>
        <v/>
      </c>
      <c r="K812">
        <f>IF(A812="","",IFERROR(IF(B812="",NA(),MATCH(B812,Products!$B$5:$B$204,0)),IFERROR(MATCH(A812,Products!$A$5:$A$204,0),"")))</f>
        <v/>
      </c>
      <c r="L812">
        <f>IF(A812="","",IF(K812="","⚠ not in Products",INDEX(Products!$A$5:$A$204,K812)))</f>
        <v/>
      </c>
      <c r="M812" s="11">
        <f>IF(A812="","",J812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812+IFERROR(INDEX(Settings!$D$5:$D$9,MATCH("Shopify",Settings!$A$5:$A$9,0)),0)*D812)</f>
        <v/>
      </c>
      <c r="N812" s="11">
        <f>IF(A812="","",IF(K812="",0,D812*INDEX(Products!$I$5:$I$204,K812)))</f>
        <v/>
      </c>
      <c r="O812" s="11">
        <f>IF(A812="","",IF(K812="",0,J812*INDEX(Products!$H$5:$H$204,K812)))</f>
        <v/>
      </c>
      <c r="P812" s="11">
        <f>IF(A812="","",J812-M812-N812-O812)</f>
        <v/>
      </c>
    </row>
    <row r="813">
      <c r="A813">
        <f>IFERROR(INDEX('Shopify Import'!$A:$CZ,813,Settings!$E$20)&amp;"","")</f>
        <v/>
      </c>
      <c r="B813">
        <f>IFERROR(INDEX('Shopify Import'!$A:$CZ,813,Settings!$E$21)&amp;"","")</f>
        <v/>
      </c>
      <c r="C813">
        <f>IFERROR(INDEX('Shopify Import'!$A:$CZ,813,Settings!$E$22)&amp;"","")</f>
        <v/>
      </c>
      <c r="D813">
        <f>IF(A813="","",IFERROR(VALUE(SUBSTITUTE(SUBSTITUTE(INDEX('Shopify Import'!$A:$CZ,813,Settings!$E$23)&amp;"","$",""),",","")),0))</f>
        <v/>
      </c>
      <c r="E813" s="11">
        <f>IF(A813="","",IFERROR(VALUE(SUBSTITUTE(SUBSTITUTE(INDEX('Shopify Import'!$A:$CZ,813,Settings!$E$24)&amp;"","$",""),",","")),0))</f>
        <v/>
      </c>
      <c r="F813" s="11">
        <f>IF(A813="","",D813*E813)</f>
        <v/>
      </c>
      <c r="G813">
        <f>IF(A813="","",IF(C813="",1,COUNTIF($C$2:$C$1501,C813)))</f>
        <v/>
      </c>
      <c r="H813" s="11">
        <f>IF(A813="","",IFERROR(VALUE(SUBSTITUTE(SUBSTITUTE(INDEX('Shopify Import'!$A:$CZ,813,Settings!$E$25)&amp;"","$",""),",","")),0)/IF(Settings!$D$27="Yes",G813,1))</f>
        <v/>
      </c>
      <c r="I813" s="11">
        <f>IF(A813="","",IFERROR(VALUE(SUBSTITUTE(SUBSTITUTE(INDEX('Shopify Import'!$A:$CZ,813,Settings!$E$26)&amp;"","$",""),",","")),0)/IF(Settings!$D$27="Yes",G813,1))</f>
        <v/>
      </c>
      <c r="J813" s="11">
        <f>IF(A813="","",F813+H813-I813)</f>
        <v/>
      </c>
      <c r="K813">
        <f>IF(A813="","",IFERROR(IF(B813="",NA(),MATCH(B813,Products!$B$5:$B$204,0)),IFERROR(MATCH(A813,Products!$A$5:$A$204,0),"")))</f>
        <v/>
      </c>
      <c r="L813">
        <f>IF(A813="","",IF(K813="","⚠ not in Products",INDEX(Products!$A$5:$A$204,K813)))</f>
        <v/>
      </c>
      <c r="M813" s="11">
        <f>IF(A813="","",J813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813+IFERROR(INDEX(Settings!$D$5:$D$9,MATCH("Shopify",Settings!$A$5:$A$9,0)),0)*D813)</f>
        <v/>
      </c>
      <c r="N813" s="11">
        <f>IF(A813="","",IF(K813="",0,D813*INDEX(Products!$I$5:$I$204,K813)))</f>
        <v/>
      </c>
      <c r="O813" s="11">
        <f>IF(A813="","",IF(K813="",0,J813*INDEX(Products!$H$5:$H$204,K813)))</f>
        <v/>
      </c>
      <c r="P813" s="11">
        <f>IF(A813="","",J813-M813-N813-O813)</f>
        <v/>
      </c>
    </row>
    <row r="814">
      <c r="A814">
        <f>IFERROR(INDEX('Shopify Import'!$A:$CZ,814,Settings!$E$20)&amp;"","")</f>
        <v/>
      </c>
      <c r="B814">
        <f>IFERROR(INDEX('Shopify Import'!$A:$CZ,814,Settings!$E$21)&amp;"","")</f>
        <v/>
      </c>
      <c r="C814">
        <f>IFERROR(INDEX('Shopify Import'!$A:$CZ,814,Settings!$E$22)&amp;"","")</f>
        <v/>
      </c>
      <c r="D814">
        <f>IF(A814="","",IFERROR(VALUE(SUBSTITUTE(SUBSTITUTE(INDEX('Shopify Import'!$A:$CZ,814,Settings!$E$23)&amp;"","$",""),",","")),0))</f>
        <v/>
      </c>
      <c r="E814" s="11">
        <f>IF(A814="","",IFERROR(VALUE(SUBSTITUTE(SUBSTITUTE(INDEX('Shopify Import'!$A:$CZ,814,Settings!$E$24)&amp;"","$",""),",","")),0))</f>
        <v/>
      </c>
      <c r="F814" s="11">
        <f>IF(A814="","",D814*E814)</f>
        <v/>
      </c>
      <c r="G814">
        <f>IF(A814="","",IF(C814="",1,COUNTIF($C$2:$C$1501,C814)))</f>
        <v/>
      </c>
      <c r="H814" s="11">
        <f>IF(A814="","",IFERROR(VALUE(SUBSTITUTE(SUBSTITUTE(INDEX('Shopify Import'!$A:$CZ,814,Settings!$E$25)&amp;"","$",""),",","")),0)/IF(Settings!$D$27="Yes",G814,1))</f>
        <v/>
      </c>
      <c r="I814" s="11">
        <f>IF(A814="","",IFERROR(VALUE(SUBSTITUTE(SUBSTITUTE(INDEX('Shopify Import'!$A:$CZ,814,Settings!$E$26)&amp;"","$",""),",","")),0)/IF(Settings!$D$27="Yes",G814,1))</f>
        <v/>
      </c>
      <c r="J814" s="11">
        <f>IF(A814="","",F814+H814-I814)</f>
        <v/>
      </c>
      <c r="K814">
        <f>IF(A814="","",IFERROR(IF(B814="",NA(),MATCH(B814,Products!$B$5:$B$204,0)),IFERROR(MATCH(A814,Products!$A$5:$A$204,0),"")))</f>
        <v/>
      </c>
      <c r="L814">
        <f>IF(A814="","",IF(K814="","⚠ not in Products",INDEX(Products!$A$5:$A$204,K814)))</f>
        <v/>
      </c>
      <c r="M814" s="11">
        <f>IF(A814="","",J814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814+IFERROR(INDEX(Settings!$D$5:$D$9,MATCH("Shopify",Settings!$A$5:$A$9,0)),0)*D814)</f>
        <v/>
      </c>
      <c r="N814" s="11">
        <f>IF(A814="","",IF(K814="",0,D814*INDEX(Products!$I$5:$I$204,K814)))</f>
        <v/>
      </c>
      <c r="O814" s="11">
        <f>IF(A814="","",IF(K814="",0,J814*INDEX(Products!$H$5:$H$204,K814)))</f>
        <v/>
      </c>
      <c r="P814" s="11">
        <f>IF(A814="","",J814-M814-N814-O814)</f>
        <v/>
      </c>
    </row>
    <row r="815">
      <c r="A815">
        <f>IFERROR(INDEX('Shopify Import'!$A:$CZ,815,Settings!$E$20)&amp;"","")</f>
        <v/>
      </c>
      <c r="B815">
        <f>IFERROR(INDEX('Shopify Import'!$A:$CZ,815,Settings!$E$21)&amp;"","")</f>
        <v/>
      </c>
      <c r="C815">
        <f>IFERROR(INDEX('Shopify Import'!$A:$CZ,815,Settings!$E$22)&amp;"","")</f>
        <v/>
      </c>
      <c r="D815">
        <f>IF(A815="","",IFERROR(VALUE(SUBSTITUTE(SUBSTITUTE(INDEX('Shopify Import'!$A:$CZ,815,Settings!$E$23)&amp;"","$",""),",","")),0))</f>
        <v/>
      </c>
      <c r="E815" s="11">
        <f>IF(A815="","",IFERROR(VALUE(SUBSTITUTE(SUBSTITUTE(INDEX('Shopify Import'!$A:$CZ,815,Settings!$E$24)&amp;"","$",""),",","")),0))</f>
        <v/>
      </c>
      <c r="F815" s="11">
        <f>IF(A815="","",D815*E815)</f>
        <v/>
      </c>
      <c r="G815">
        <f>IF(A815="","",IF(C815="",1,COUNTIF($C$2:$C$1501,C815)))</f>
        <v/>
      </c>
      <c r="H815" s="11">
        <f>IF(A815="","",IFERROR(VALUE(SUBSTITUTE(SUBSTITUTE(INDEX('Shopify Import'!$A:$CZ,815,Settings!$E$25)&amp;"","$",""),",","")),0)/IF(Settings!$D$27="Yes",G815,1))</f>
        <v/>
      </c>
      <c r="I815" s="11">
        <f>IF(A815="","",IFERROR(VALUE(SUBSTITUTE(SUBSTITUTE(INDEX('Shopify Import'!$A:$CZ,815,Settings!$E$26)&amp;"","$",""),",","")),0)/IF(Settings!$D$27="Yes",G815,1))</f>
        <v/>
      </c>
      <c r="J815" s="11">
        <f>IF(A815="","",F815+H815-I815)</f>
        <v/>
      </c>
      <c r="K815">
        <f>IF(A815="","",IFERROR(IF(B815="",NA(),MATCH(B815,Products!$B$5:$B$204,0)),IFERROR(MATCH(A815,Products!$A$5:$A$204,0),"")))</f>
        <v/>
      </c>
      <c r="L815">
        <f>IF(A815="","",IF(K815="","⚠ not in Products",INDEX(Products!$A$5:$A$204,K815)))</f>
        <v/>
      </c>
      <c r="M815" s="11">
        <f>IF(A815="","",J815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815+IFERROR(INDEX(Settings!$D$5:$D$9,MATCH("Shopify",Settings!$A$5:$A$9,0)),0)*D815)</f>
        <v/>
      </c>
      <c r="N815" s="11">
        <f>IF(A815="","",IF(K815="",0,D815*INDEX(Products!$I$5:$I$204,K815)))</f>
        <v/>
      </c>
      <c r="O815" s="11">
        <f>IF(A815="","",IF(K815="",0,J815*INDEX(Products!$H$5:$H$204,K815)))</f>
        <v/>
      </c>
      <c r="P815" s="11">
        <f>IF(A815="","",J815-M815-N815-O815)</f>
        <v/>
      </c>
    </row>
    <row r="816">
      <c r="A816">
        <f>IFERROR(INDEX('Shopify Import'!$A:$CZ,816,Settings!$E$20)&amp;"","")</f>
        <v/>
      </c>
      <c r="B816">
        <f>IFERROR(INDEX('Shopify Import'!$A:$CZ,816,Settings!$E$21)&amp;"","")</f>
        <v/>
      </c>
      <c r="C816">
        <f>IFERROR(INDEX('Shopify Import'!$A:$CZ,816,Settings!$E$22)&amp;"","")</f>
        <v/>
      </c>
      <c r="D816">
        <f>IF(A816="","",IFERROR(VALUE(SUBSTITUTE(SUBSTITUTE(INDEX('Shopify Import'!$A:$CZ,816,Settings!$E$23)&amp;"","$",""),",","")),0))</f>
        <v/>
      </c>
      <c r="E816" s="11">
        <f>IF(A816="","",IFERROR(VALUE(SUBSTITUTE(SUBSTITUTE(INDEX('Shopify Import'!$A:$CZ,816,Settings!$E$24)&amp;"","$",""),",","")),0))</f>
        <v/>
      </c>
      <c r="F816" s="11">
        <f>IF(A816="","",D816*E816)</f>
        <v/>
      </c>
      <c r="G816">
        <f>IF(A816="","",IF(C816="",1,COUNTIF($C$2:$C$1501,C816)))</f>
        <v/>
      </c>
      <c r="H816" s="11">
        <f>IF(A816="","",IFERROR(VALUE(SUBSTITUTE(SUBSTITUTE(INDEX('Shopify Import'!$A:$CZ,816,Settings!$E$25)&amp;"","$",""),",","")),0)/IF(Settings!$D$27="Yes",G816,1))</f>
        <v/>
      </c>
      <c r="I816" s="11">
        <f>IF(A816="","",IFERROR(VALUE(SUBSTITUTE(SUBSTITUTE(INDEX('Shopify Import'!$A:$CZ,816,Settings!$E$26)&amp;"","$",""),",","")),0)/IF(Settings!$D$27="Yes",G816,1))</f>
        <v/>
      </c>
      <c r="J816" s="11">
        <f>IF(A816="","",F816+H816-I816)</f>
        <v/>
      </c>
      <c r="K816">
        <f>IF(A816="","",IFERROR(IF(B816="",NA(),MATCH(B816,Products!$B$5:$B$204,0)),IFERROR(MATCH(A816,Products!$A$5:$A$204,0),"")))</f>
        <v/>
      </c>
      <c r="L816">
        <f>IF(A816="","",IF(K816="","⚠ not in Products",INDEX(Products!$A$5:$A$204,K816)))</f>
        <v/>
      </c>
      <c r="M816" s="11">
        <f>IF(A816="","",J816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816+IFERROR(INDEX(Settings!$D$5:$D$9,MATCH("Shopify",Settings!$A$5:$A$9,0)),0)*D816)</f>
        <v/>
      </c>
      <c r="N816" s="11">
        <f>IF(A816="","",IF(K816="",0,D816*INDEX(Products!$I$5:$I$204,K816)))</f>
        <v/>
      </c>
      <c r="O816" s="11">
        <f>IF(A816="","",IF(K816="",0,J816*INDEX(Products!$H$5:$H$204,K816)))</f>
        <v/>
      </c>
      <c r="P816" s="11">
        <f>IF(A816="","",J816-M816-N816-O816)</f>
        <v/>
      </c>
    </row>
    <row r="817">
      <c r="A817">
        <f>IFERROR(INDEX('Shopify Import'!$A:$CZ,817,Settings!$E$20)&amp;"","")</f>
        <v/>
      </c>
      <c r="B817">
        <f>IFERROR(INDEX('Shopify Import'!$A:$CZ,817,Settings!$E$21)&amp;"","")</f>
        <v/>
      </c>
      <c r="C817">
        <f>IFERROR(INDEX('Shopify Import'!$A:$CZ,817,Settings!$E$22)&amp;"","")</f>
        <v/>
      </c>
      <c r="D817">
        <f>IF(A817="","",IFERROR(VALUE(SUBSTITUTE(SUBSTITUTE(INDEX('Shopify Import'!$A:$CZ,817,Settings!$E$23)&amp;"","$",""),",","")),0))</f>
        <v/>
      </c>
      <c r="E817" s="11">
        <f>IF(A817="","",IFERROR(VALUE(SUBSTITUTE(SUBSTITUTE(INDEX('Shopify Import'!$A:$CZ,817,Settings!$E$24)&amp;"","$",""),",","")),0))</f>
        <v/>
      </c>
      <c r="F817" s="11">
        <f>IF(A817="","",D817*E817)</f>
        <v/>
      </c>
      <c r="G817">
        <f>IF(A817="","",IF(C817="",1,COUNTIF($C$2:$C$1501,C817)))</f>
        <v/>
      </c>
      <c r="H817" s="11">
        <f>IF(A817="","",IFERROR(VALUE(SUBSTITUTE(SUBSTITUTE(INDEX('Shopify Import'!$A:$CZ,817,Settings!$E$25)&amp;"","$",""),",","")),0)/IF(Settings!$D$27="Yes",G817,1))</f>
        <v/>
      </c>
      <c r="I817" s="11">
        <f>IF(A817="","",IFERROR(VALUE(SUBSTITUTE(SUBSTITUTE(INDEX('Shopify Import'!$A:$CZ,817,Settings!$E$26)&amp;"","$",""),",","")),0)/IF(Settings!$D$27="Yes",G817,1))</f>
        <v/>
      </c>
      <c r="J817" s="11">
        <f>IF(A817="","",F817+H817-I817)</f>
        <v/>
      </c>
      <c r="K817">
        <f>IF(A817="","",IFERROR(IF(B817="",NA(),MATCH(B817,Products!$B$5:$B$204,0)),IFERROR(MATCH(A817,Products!$A$5:$A$204,0),"")))</f>
        <v/>
      </c>
      <c r="L817">
        <f>IF(A817="","",IF(K817="","⚠ not in Products",INDEX(Products!$A$5:$A$204,K817)))</f>
        <v/>
      </c>
      <c r="M817" s="11">
        <f>IF(A817="","",J817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817+IFERROR(INDEX(Settings!$D$5:$D$9,MATCH("Shopify",Settings!$A$5:$A$9,0)),0)*D817)</f>
        <v/>
      </c>
      <c r="N817" s="11">
        <f>IF(A817="","",IF(K817="",0,D817*INDEX(Products!$I$5:$I$204,K817)))</f>
        <v/>
      </c>
      <c r="O817" s="11">
        <f>IF(A817="","",IF(K817="",0,J817*INDEX(Products!$H$5:$H$204,K817)))</f>
        <v/>
      </c>
      <c r="P817" s="11">
        <f>IF(A817="","",J817-M817-N817-O817)</f>
        <v/>
      </c>
    </row>
    <row r="818">
      <c r="A818">
        <f>IFERROR(INDEX('Shopify Import'!$A:$CZ,818,Settings!$E$20)&amp;"","")</f>
        <v/>
      </c>
      <c r="B818">
        <f>IFERROR(INDEX('Shopify Import'!$A:$CZ,818,Settings!$E$21)&amp;"","")</f>
        <v/>
      </c>
      <c r="C818">
        <f>IFERROR(INDEX('Shopify Import'!$A:$CZ,818,Settings!$E$22)&amp;"","")</f>
        <v/>
      </c>
      <c r="D818">
        <f>IF(A818="","",IFERROR(VALUE(SUBSTITUTE(SUBSTITUTE(INDEX('Shopify Import'!$A:$CZ,818,Settings!$E$23)&amp;"","$",""),",","")),0))</f>
        <v/>
      </c>
      <c r="E818" s="11">
        <f>IF(A818="","",IFERROR(VALUE(SUBSTITUTE(SUBSTITUTE(INDEX('Shopify Import'!$A:$CZ,818,Settings!$E$24)&amp;"","$",""),",","")),0))</f>
        <v/>
      </c>
      <c r="F818" s="11">
        <f>IF(A818="","",D818*E818)</f>
        <v/>
      </c>
      <c r="G818">
        <f>IF(A818="","",IF(C818="",1,COUNTIF($C$2:$C$1501,C818)))</f>
        <v/>
      </c>
      <c r="H818" s="11">
        <f>IF(A818="","",IFERROR(VALUE(SUBSTITUTE(SUBSTITUTE(INDEX('Shopify Import'!$A:$CZ,818,Settings!$E$25)&amp;"","$",""),",","")),0)/IF(Settings!$D$27="Yes",G818,1))</f>
        <v/>
      </c>
      <c r="I818" s="11">
        <f>IF(A818="","",IFERROR(VALUE(SUBSTITUTE(SUBSTITUTE(INDEX('Shopify Import'!$A:$CZ,818,Settings!$E$26)&amp;"","$",""),",","")),0)/IF(Settings!$D$27="Yes",G818,1))</f>
        <v/>
      </c>
      <c r="J818" s="11">
        <f>IF(A818="","",F818+H818-I818)</f>
        <v/>
      </c>
      <c r="K818">
        <f>IF(A818="","",IFERROR(IF(B818="",NA(),MATCH(B818,Products!$B$5:$B$204,0)),IFERROR(MATCH(A818,Products!$A$5:$A$204,0),"")))</f>
        <v/>
      </c>
      <c r="L818">
        <f>IF(A818="","",IF(K818="","⚠ not in Products",INDEX(Products!$A$5:$A$204,K818)))</f>
        <v/>
      </c>
      <c r="M818" s="11">
        <f>IF(A818="","",J818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818+IFERROR(INDEX(Settings!$D$5:$D$9,MATCH("Shopify",Settings!$A$5:$A$9,0)),0)*D818)</f>
        <v/>
      </c>
      <c r="N818" s="11">
        <f>IF(A818="","",IF(K818="",0,D818*INDEX(Products!$I$5:$I$204,K818)))</f>
        <v/>
      </c>
      <c r="O818" s="11">
        <f>IF(A818="","",IF(K818="",0,J818*INDEX(Products!$H$5:$H$204,K818)))</f>
        <v/>
      </c>
      <c r="P818" s="11">
        <f>IF(A818="","",J818-M818-N818-O818)</f>
        <v/>
      </c>
    </row>
    <row r="819">
      <c r="A819">
        <f>IFERROR(INDEX('Shopify Import'!$A:$CZ,819,Settings!$E$20)&amp;"","")</f>
        <v/>
      </c>
      <c r="B819">
        <f>IFERROR(INDEX('Shopify Import'!$A:$CZ,819,Settings!$E$21)&amp;"","")</f>
        <v/>
      </c>
      <c r="C819">
        <f>IFERROR(INDEX('Shopify Import'!$A:$CZ,819,Settings!$E$22)&amp;"","")</f>
        <v/>
      </c>
      <c r="D819">
        <f>IF(A819="","",IFERROR(VALUE(SUBSTITUTE(SUBSTITUTE(INDEX('Shopify Import'!$A:$CZ,819,Settings!$E$23)&amp;"","$",""),",","")),0))</f>
        <v/>
      </c>
      <c r="E819" s="11">
        <f>IF(A819="","",IFERROR(VALUE(SUBSTITUTE(SUBSTITUTE(INDEX('Shopify Import'!$A:$CZ,819,Settings!$E$24)&amp;"","$",""),",","")),0))</f>
        <v/>
      </c>
      <c r="F819" s="11">
        <f>IF(A819="","",D819*E819)</f>
        <v/>
      </c>
      <c r="G819">
        <f>IF(A819="","",IF(C819="",1,COUNTIF($C$2:$C$1501,C819)))</f>
        <v/>
      </c>
      <c r="H819" s="11">
        <f>IF(A819="","",IFERROR(VALUE(SUBSTITUTE(SUBSTITUTE(INDEX('Shopify Import'!$A:$CZ,819,Settings!$E$25)&amp;"","$",""),",","")),0)/IF(Settings!$D$27="Yes",G819,1))</f>
        <v/>
      </c>
      <c r="I819" s="11">
        <f>IF(A819="","",IFERROR(VALUE(SUBSTITUTE(SUBSTITUTE(INDEX('Shopify Import'!$A:$CZ,819,Settings!$E$26)&amp;"","$",""),",","")),0)/IF(Settings!$D$27="Yes",G819,1))</f>
        <v/>
      </c>
      <c r="J819" s="11">
        <f>IF(A819="","",F819+H819-I819)</f>
        <v/>
      </c>
      <c r="K819">
        <f>IF(A819="","",IFERROR(IF(B819="",NA(),MATCH(B819,Products!$B$5:$B$204,0)),IFERROR(MATCH(A819,Products!$A$5:$A$204,0),"")))</f>
        <v/>
      </c>
      <c r="L819">
        <f>IF(A819="","",IF(K819="","⚠ not in Products",INDEX(Products!$A$5:$A$204,K819)))</f>
        <v/>
      </c>
      <c r="M819" s="11">
        <f>IF(A819="","",J819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819+IFERROR(INDEX(Settings!$D$5:$D$9,MATCH("Shopify",Settings!$A$5:$A$9,0)),0)*D819)</f>
        <v/>
      </c>
      <c r="N819" s="11">
        <f>IF(A819="","",IF(K819="",0,D819*INDEX(Products!$I$5:$I$204,K819)))</f>
        <v/>
      </c>
      <c r="O819" s="11">
        <f>IF(A819="","",IF(K819="",0,J819*INDEX(Products!$H$5:$H$204,K819)))</f>
        <v/>
      </c>
      <c r="P819" s="11">
        <f>IF(A819="","",J819-M819-N819-O819)</f>
        <v/>
      </c>
    </row>
    <row r="820">
      <c r="A820">
        <f>IFERROR(INDEX('Shopify Import'!$A:$CZ,820,Settings!$E$20)&amp;"","")</f>
        <v/>
      </c>
      <c r="B820">
        <f>IFERROR(INDEX('Shopify Import'!$A:$CZ,820,Settings!$E$21)&amp;"","")</f>
        <v/>
      </c>
      <c r="C820">
        <f>IFERROR(INDEX('Shopify Import'!$A:$CZ,820,Settings!$E$22)&amp;"","")</f>
        <v/>
      </c>
      <c r="D820">
        <f>IF(A820="","",IFERROR(VALUE(SUBSTITUTE(SUBSTITUTE(INDEX('Shopify Import'!$A:$CZ,820,Settings!$E$23)&amp;"","$",""),",","")),0))</f>
        <v/>
      </c>
      <c r="E820" s="11">
        <f>IF(A820="","",IFERROR(VALUE(SUBSTITUTE(SUBSTITUTE(INDEX('Shopify Import'!$A:$CZ,820,Settings!$E$24)&amp;"","$",""),",","")),0))</f>
        <v/>
      </c>
      <c r="F820" s="11">
        <f>IF(A820="","",D820*E820)</f>
        <v/>
      </c>
      <c r="G820">
        <f>IF(A820="","",IF(C820="",1,COUNTIF($C$2:$C$1501,C820)))</f>
        <v/>
      </c>
      <c r="H820" s="11">
        <f>IF(A820="","",IFERROR(VALUE(SUBSTITUTE(SUBSTITUTE(INDEX('Shopify Import'!$A:$CZ,820,Settings!$E$25)&amp;"","$",""),",","")),0)/IF(Settings!$D$27="Yes",G820,1))</f>
        <v/>
      </c>
      <c r="I820" s="11">
        <f>IF(A820="","",IFERROR(VALUE(SUBSTITUTE(SUBSTITUTE(INDEX('Shopify Import'!$A:$CZ,820,Settings!$E$26)&amp;"","$",""),",","")),0)/IF(Settings!$D$27="Yes",G820,1))</f>
        <v/>
      </c>
      <c r="J820" s="11">
        <f>IF(A820="","",F820+H820-I820)</f>
        <v/>
      </c>
      <c r="K820">
        <f>IF(A820="","",IFERROR(IF(B820="",NA(),MATCH(B820,Products!$B$5:$B$204,0)),IFERROR(MATCH(A820,Products!$A$5:$A$204,0),"")))</f>
        <v/>
      </c>
      <c r="L820">
        <f>IF(A820="","",IF(K820="","⚠ not in Products",INDEX(Products!$A$5:$A$204,K820)))</f>
        <v/>
      </c>
      <c r="M820" s="11">
        <f>IF(A820="","",J820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820+IFERROR(INDEX(Settings!$D$5:$D$9,MATCH("Shopify",Settings!$A$5:$A$9,0)),0)*D820)</f>
        <v/>
      </c>
      <c r="N820" s="11">
        <f>IF(A820="","",IF(K820="",0,D820*INDEX(Products!$I$5:$I$204,K820)))</f>
        <v/>
      </c>
      <c r="O820" s="11">
        <f>IF(A820="","",IF(K820="",0,J820*INDEX(Products!$H$5:$H$204,K820)))</f>
        <v/>
      </c>
      <c r="P820" s="11">
        <f>IF(A820="","",J820-M820-N820-O820)</f>
        <v/>
      </c>
    </row>
    <row r="821">
      <c r="A821">
        <f>IFERROR(INDEX('Shopify Import'!$A:$CZ,821,Settings!$E$20)&amp;"","")</f>
        <v/>
      </c>
      <c r="B821">
        <f>IFERROR(INDEX('Shopify Import'!$A:$CZ,821,Settings!$E$21)&amp;"","")</f>
        <v/>
      </c>
      <c r="C821">
        <f>IFERROR(INDEX('Shopify Import'!$A:$CZ,821,Settings!$E$22)&amp;"","")</f>
        <v/>
      </c>
      <c r="D821">
        <f>IF(A821="","",IFERROR(VALUE(SUBSTITUTE(SUBSTITUTE(INDEX('Shopify Import'!$A:$CZ,821,Settings!$E$23)&amp;"","$",""),",","")),0))</f>
        <v/>
      </c>
      <c r="E821" s="11">
        <f>IF(A821="","",IFERROR(VALUE(SUBSTITUTE(SUBSTITUTE(INDEX('Shopify Import'!$A:$CZ,821,Settings!$E$24)&amp;"","$",""),",","")),0))</f>
        <v/>
      </c>
      <c r="F821" s="11">
        <f>IF(A821="","",D821*E821)</f>
        <v/>
      </c>
      <c r="G821">
        <f>IF(A821="","",IF(C821="",1,COUNTIF($C$2:$C$1501,C821)))</f>
        <v/>
      </c>
      <c r="H821" s="11">
        <f>IF(A821="","",IFERROR(VALUE(SUBSTITUTE(SUBSTITUTE(INDEX('Shopify Import'!$A:$CZ,821,Settings!$E$25)&amp;"","$",""),",","")),0)/IF(Settings!$D$27="Yes",G821,1))</f>
        <v/>
      </c>
      <c r="I821" s="11">
        <f>IF(A821="","",IFERROR(VALUE(SUBSTITUTE(SUBSTITUTE(INDEX('Shopify Import'!$A:$CZ,821,Settings!$E$26)&amp;"","$",""),",","")),0)/IF(Settings!$D$27="Yes",G821,1))</f>
        <v/>
      </c>
      <c r="J821" s="11">
        <f>IF(A821="","",F821+H821-I821)</f>
        <v/>
      </c>
      <c r="K821">
        <f>IF(A821="","",IFERROR(IF(B821="",NA(),MATCH(B821,Products!$B$5:$B$204,0)),IFERROR(MATCH(A821,Products!$A$5:$A$204,0),"")))</f>
        <v/>
      </c>
      <c r="L821">
        <f>IF(A821="","",IF(K821="","⚠ not in Products",INDEX(Products!$A$5:$A$204,K821)))</f>
        <v/>
      </c>
      <c r="M821" s="11">
        <f>IF(A821="","",J821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821+IFERROR(INDEX(Settings!$D$5:$D$9,MATCH("Shopify",Settings!$A$5:$A$9,0)),0)*D821)</f>
        <v/>
      </c>
      <c r="N821" s="11">
        <f>IF(A821="","",IF(K821="",0,D821*INDEX(Products!$I$5:$I$204,K821)))</f>
        <v/>
      </c>
      <c r="O821" s="11">
        <f>IF(A821="","",IF(K821="",0,J821*INDEX(Products!$H$5:$H$204,K821)))</f>
        <v/>
      </c>
      <c r="P821" s="11">
        <f>IF(A821="","",J821-M821-N821-O821)</f>
        <v/>
      </c>
    </row>
    <row r="822">
      <c r="A822">
        <f>IFERROR(INDEX('Shopify Import'!$A:$CZ,822,Settings!$E$20)&amp;"","")</f>
        <v/>
      </c>
      <c r="B822">
        <f>IFERROR(INDEX('Shopify Import'!$A:$CZ,822,Settings!$E$21)&amp;"","")</f>
        <v/>
      </c>
      <c r="C822">
        <f>IFERROR(INDEX('Shopify Import'!$A:$CZ,822,Settings!$E$22)&amp;"","")</f>
        <v/>
      </c>
      <c r="D822">
        <f>IF(A822="","",IFERROR(VALUE(SUBSTITUTE(SUBSTITUTE(INDEX('Shopify Import'!$A:$CZ,822,Settings!$E$23)&amp;"","$",""),",","")),0))</f>
        <v/>
      </c>
      <c r="E822" s="11">
        <f>IF(A822="","",IFERROR(VALUE(SUBSTITUTE(SUBSTITUTE(INDEX('Shopify Import'!$A:$CZ,822,Settings!$E$24)&amp;"","$",""),",","")),0))</f>
        <v/>
      </c>
      <c r="F822" s="11">
        <f>IF(A822="","",D822*E822)</f>
        <v/>
      </c>
      <c r="G822">
        <f>IF(A822="","",IF(C822="",1,COUNTIF($C$2:$C$1501,C822)))</f>
        <v/>
      </c>
      <c r="H822" s="11">
        <f>IF(A822="","",IFERROR(VALUE(SUBSTITUTE(SUBSTITUTE(INDEX('Shopify Import'!$A:$CZ,822,Settings!$E$25)&amp;"","$",""),",","")),0)/IF(Settings!$D$27="Yes",G822,1))</f>
        <v/>
      </c>
      <c r="I822" s="11">
        <f>IF(A822="","",IFERROR(VALUE(SUBSTITUTE(SUBSTITUTE(INDEX('Shopify Import'!$A:$CZ,822,Settings!$E$26)&amp;"","$",""),",","")),0)/IF(Settings!$D$27="Yes",G822,1))</f>
        <v/>
      </c>
      <c r="J822" s="11">
        <f>IF(A822="","",F822+H822-I822)</f>
        <v/>
      </c>
      <c r="K822">
        <f>IF(A822="","",IFERROR(IF(B822="",NA(),MATCH(B822,Products!$B$5:$B$204,0)),IFERROR(MATCH(A822,Products!$A$5:$A$204,0),"")))</f>
        <v/>
      </c>
      <c r="L822">
        <f>IF(A822="","",IF(K822="","⚠ not in Products",INDEX(Products!$A$5:$A$204,K822)))</f>
        <v/>
      </c>
      <c r="M822" s="11">
        <f>IF(A822="","",J822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822+IFERROR(INDEX(Settings!$D$5:$D$9,MATCH("Shopify",Settings!$A$5:$A$9,0)),0)*D822)</f>
        <v/>
      </c>
      <c r="N822" s="11">
        <f>IF(A822="","",IF(K822="",0,D822*INDEX(Products!$I$5:$I$204,K822)))</f>
        <v/>
      </c>
      <c r="O822" s="11">
        <f>IF(A822="","",IF(K822="",0,J822*INDEX(Products!$H$5:$H$204,K822)))</f>
        <v/>
      </c>
      <c r="P822" s="11">
        <f>IF(A822="","",J822-M822-N822-O822)</f>
        <v/>
      </c>
    </row>
    <row r="823">
      <c r="A823">
        <f>IFERROR(INDEX('Shopify Import'!$A:$CZ,823,Settings!$E$20)&amp;"","")</f>
        <v/>
      </c>
      <c r="B823">
        <f>IFERROR(INDEX('Shopify Import'!$A:$CZ,823,Settings!$E$21)&amp;"","")</f>
        <v/>
      </c>
      <c r="C823">
        <f>IFERROR(INDEX('Shopify Import'!$A:$CZ,823,Settings!$E$22)&amp;"","")</f>
        <v/>
      </c>
      <c r="D823">
        <f>IF(A823="","",IFERROR(VALUE(SUBSTITUTE(SUBSTITUTE(INDEX('Shopify Import'!$A:$CZ,823,Settings!$E$23)&amp;"","$",""),",","")),0))</f>
        <v/>
      </c>
      <c r="E823" s="11">
        <f>IF(A823="","",IFERROR(VALUE(SUBSTITUTE(SUBSTITUTE(INDEX('Shopify Import'!$A:$CZ,823,Settings!$E$24)&amp;"","$",""),",","")),0))</f>
        <v/>
      </c>
      <c r="F823" s="11">
        <f>IF(A823="","",D823*E823)</f>
        <v/>
      </c>
      <c r="G823">
        <f>IF(A823="","",IF(C823="",1,COUNTIF($C$2:$C$1501,C823)))</f>
        <v/>
      </c>
      <c r="H823" s="11">
        <f>IF(A823="","",IFERROR(VALUE(SUBSTITUTE(SUBSTITUTE(INDEX('Shopify Import'!$A:$CZ,823,Settings!$E$25)&amp;"","$",""),",","")),0)/IF(Settings!$D$27="Yes",G823,1))</f>
        <v/>
      </c>
      <c r="I823" s="11">
        <f>IF(A823="","",IFERROR(VALUE(SUBSTITUTE(SUBSTITUTE(INDEX('Shopify Import'!$A:$CZ,823,Settings!$E$26)&amp;"","$",""),",","")),0)/IF(Settings!$D$27="Yes",G823,1))</f>
        <v/>
      </c>
      <c r="J823" s="11">
        <f>IF(A823="","",F823+H823-I823)</f>
        <v/>
      </c>
      <c r="K823">
        <f>IF(A823="","",IFERROR(IF(B823="",NA(),MATCH(B823,Products!$B$5:$B$204,0)),IFERROR(MATCH(A823,Products!$A$5:$A$204,0),"")))</f>
        <v/>
      </c>
      <c r="L823">
        <f>IF(A823="","",IF(K823="","⚠ not in Products",INDEX(Products!$A$5:$A$204,K823)))</f>
        <v/>
      </c>
      <c r="M823" s="11">
        <f>IF(A823="","",J823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823+IFERROR(INDEX(Settings!$D$5:$D$9,MATCH("Shopify",Settings!$A$5:$A$9,0)),0)*D823)</f>
        <v/>
      </c>
      <c r="N823" s="11">
        <f>IF(A823="","",IF(K823="",0,D823*INDEX(Products!$I$5:$I$204,K823)))</f>
        <v/>
      </c>
      <c r="O823" s="11">
        <f>IF(A823="","",IF(K823="",0,J823*INDEX(Products!$H$5:$H$204,K823)))</f>
        <v/>
      </c>
      <c r="P823" s="11">
        <f>IF(A823="","",J823-M823-N823-O823)</f>
        <v/>
      </c>
    </row>
    <row r="824">
      <c r="A824">
        <f>IFERROR(INDEX('Shopify Import'!$A:$CZ,824,Settings!$E$20)&amp;"","")</f>
        <v/>
      </c>
      <c r="B824">
        <f>IFERROR(INDEX('Shopify Import'!$A:$CZ,824,Settings!$E$21)&amp;"","")</f>
        <v/>
      </c>
      <c r="C824">
        <f>IFERROR(INDEX('Shopify Import'!$A:$CZ,824,Settings!$E$22)&amp;"","")</f>
        <v/>
      </c>
      <c r="D824">
        <f>IF(A824="","",IFERROR(VALUE(SUBSTITUTE(SUBSTITUTE(INDEX('Shopify Import'!$A:$CZ,824,Settings!$E$23)&amp;"","$",""),",","")),0))</f>
        <v/>
      </c>
      <c r="E824" s="11">
        <f>IF(A824="","",IFERROR(VALUE(SUBSTITUTE(SUBSTITUTE(INDEX('Shopify Import'!$A:$CZ,824,Settings!$E$24)&amp;"","$",""),",","")),0))</f>
        <v/>
      </c>
      <c r="F824" s="11">
        <f>IF(A824="","",D824*E824)</f>
        <v/>
      </c>
      <c r="G824">
        <f>IF(A824="","",IF(C824="",1,COUNTIF($C$2:$C$1501,C824)))</f>
        <v/>
      </c>
      <c r="H824" s="11">
        <f>IF(A824="","",IFERROR(VALUE(SUBSTITUTE(SUBSTITUTE(INDEX('Shopify Import'!$A:$CZ,824,Settings!$E$25)&amp;"","$",""),",","")),0)/IF(Settings!$D$27="Yes",G824,1))</f>
        <v/>
      </c>
      <c r="I824" s="11">
        <f>IF(A824="","",IFERROR(VALUE(SUBSTITUTE(SUBSTITUTE(INDEX('Shopify Import'!$A:$CZ,824,Settings!$E$26)&amp;"","$",""),",","")),0)/IF(Settings!$D$27="Yes",G824,1))</f>
        <v/>
      </c>
      <c r="J824" s="11">
        <f>IF(A824="","",F824+H824-I824)</f>
        <v/>
      </c>
      <c r="K824">
        <f>IF(A824="","",IFERROR(IF(B824="",NA(),MATCH(B824,Products!$B$5:$B$204,0)),IFERROR(MATCH(A824,Products!$A$5:$A$204,0),"")))</f>
        <v/>
      </c>
      <c r="L824">
        <f>IF(A824="","",IF(K824="","⚠ not in Products",INDEX(Products!$A$5:$A$204,K824)))</f>
        <v/>
      </c>
      <c r="M824" s="11">
        <f>IF(A824="","",J824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824+IFERROR(INDEX(Settings!$D$5:$D$9,MATCH("Shopify",Settings!$A$5:$A$9,0)),0)*D824)</f>
        <v/>
      </c>
      <c r="N824" s="11">
        <f>IF(A824="","",IF(K824="",0,D824*INDEX(Products!$I$5:$I$204,K824)))</f>
        <v/>
      </c>
      <c r="O824" s="11">
        <f>IF(A824="","",IF(K824="",0,J824*INDEX(Products!$H$5:$H$204,K824)))</f>
        <v/>
      </c>
      <c r="P824" s="11">
        <f>IF(A824="","",J824-M824-N824-O824)</f>
        <v/>
      </c>
    </row>
    <row r="825">
      <c r="A825">
        <f>IFERROR(INDEX('Shopify Import'!$A:$CZ,825,Settings!$E$20)&amp;"","")</f>
        <v/>
      </c>
      <c r="B825">
        <f>IFERROR(INDEX('Shopify Import'!$A:$CZ,825,Settings!$E$21)&amp;"","")</f>
        <v/>
      </c>
      <c r="C825">
        <f>IFERROR(INDEX('Shopify Import'!$A:$CZ,825,Settings!$E$22)&amp;"","")</f>
        <v/>
      </c>
      <c r="D825">
        <f>IF(A825="","",IFERROR(VALUE(SUBSTITUTE(SUBSTITUTE(INDEX('Shopify Import'!$A:$CZ,825,Settings!$E$23)&amp;"","$",""),",","")),0))</f>
        <v/>
      </c>
      <c r="E825" s="11">
        <f>IF(A825="","",IFERROR(VALUE(SUBSTITUTE(SUBSTITUTE(INDEX('Shopify Import'!$A:$CZ,825,Settings!$E$24)&amp;"","$",""),",","")),0))</f>
        <v/>
      </c>
      <c r="F825" s="11">
        <f>IF(A825="","",D825*E825)</f>
        <v/>
      </c>
      <c r="G825">
        <f>IF(A825="","",IF(C825="",1,COUNTIF($C$2:$C$1501,C825)))</f>
        <v/>
      </c>
      <c r="H825" s="11">
        <f>IF(A825="","",IFERROR(VALUE(SUBSTITUTE(SUBSTITUTE(INDEX('Shopify Import'!$A:$CZ,825,Settings!$E$25)&amp;"","$",""),",","")),0)/IF(Settings!$D$27="Yes",G825,1))</f>
        <v/>
      </c>
      <c r="I825" s="11">
        <f>IF(A825="","",IFERROR(VALUE(SUBSTITUTE(SUBSTITUTE(INDEX('Shopify Import'!$A:$CZ,825,Settings!$E$26)&amp;"","$",""),",","")),0)/IF(Settings!$D$27="Yes",G825,1))</f>
        <v/>
      </c>
      <c r="J825" s="11">
        <f>IF(A825="","",F825+H825-I825)</f>
        <v/>
      </c>
      <c r="K825">
        <f>IF(A825="","",IFERROR(IF(B825="",NA(),MATCH(B825,Products!$B$5:$B$204,0)),IFERROR(MATCH(A825,Products!$A$5:$A$204,0),"")))</f>
        <v/>
      </c>
      <c r="L825">
        <f>IF(A825="","",IF(K825="","⚠ not in Products",INDEX(Products!$A$5:$A$204,K825)))</f>
        <v/>
      </c>
      <c r="M825" s="11">
        <f>IF(A825="","",J825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825+IFERROR(INDEX(Settings!$D$5:$D$9,MATCH("Shopify",Settings!$A$5:$A$9,0)),0)*D825)</f>
        <v/>
      </c>
      <c r="N825" s="11">
        <f>IF(A825="","",IF(K825="",0,D825*INDEX(Products!$I$5:$I$204,K825)))</f>
        <v/>
      </c>
      <c r="O825" s="11">
        <f>IF(A825="","",IF(K825="",0,J825*INDEX(Products!$H$5:$H$204,K825)))</f>
        <v/>
      </c>
      <c r="P825" s="11">
        <f>IF(A825="","",J825-M825-N825-O825)</f>
        <v/>
      </c>
    </row>
    <row r="826">
      <c r="A826">
        <f>IFERROR(INDEX('Shopify Import'!$A:$CZ,826,Settings!$E$20)&amp;"","")</f>
        <v/>
      </c>
      <c r="B826">
        <f>IFERROR(INDEX('Shopify Import'!$A:$CZ,826,Settings!$E$21)&amp;"","")</f>
        <v/>
      </c>
      <c r="C826">
        <f>IFERROR(INDEX('Shopify Import'!$A:$CZ,826,Settings!$E$22)&amp;"","")</f>
        <v/>
      </c>
      <c r="D826">
        <f>IF(A826="","",IFERROR(VALUE(SUBSTITUTE(SUBSTITUTE(INDEX('Shopify Import'!$A:$CZ,826,Settings!$E$23)&amp;"","$",""),",","")),0))</f>
        <v/>
      </c>
      <c r="E826" s="11">
        <f>IF(A826="","",IFERROR(VALUE(SUBSTITUTE(SUBSTITUTE(INDEX('Shopify Import'!$A:$CZ,826,Settings!$E$24)&amp;"","$",""),",","")),0))</f>
        <v/>
      </c>
      <c r="F826" s="11">
        <f>IF(A826="","",D826*E826)</f>
        <v/>
      </c>
      <c r="G826">
        <f>IF(A826="","",IF(C826="",1,COUNTIF($C$2:$C$1501,C826)))</f>
        <v/>
      </c>
      <c r="H826" s="11">
        <f>IF(A826="","",IFERROR(VALUE(SUBSTITUTE(SUBSTITUTE(INDEX('Shopify Import'!$A:$CZ,826,Settings!$E$25)&amp;"","$",""),",","")),0)/IF(Settings!$D$27="Yes",G826,1))</f>
        <v/>
      </c>
      <c r="I826" s="11">
        <f>IF(A826="","",IFERROR(VALUE(SUBSTITUTE(SUBSTITUTE(INDEX('Shopify Import'!$A:$CZ,826,Settings!$E$26)&amp;"","$",""),",","")),0)/IF(Settings!$D$27="Yes",G826,1))</f>
        <v/>
      </c>
      <c r="J826" s="11">
        <f>IF(A826="","",F826+H826-I826)</f>
        <v/>
      </c>
      <c r="K826">
        <f>IF(A826="","",IFERROR(IF(B826="",NA(),MATCH(B826,Products!$B$5:$B$204,0)),IFERROR(MATCH(A826,Products!$A$5:$A$204,0),"")))</f>
        <v/>
      </c>
      <c r="L826">
        <f>IF(A826="","",IF(K826="","⚠ not in Products",INDEX(Products!$A$5:$A$204,K826)))</f>
        <v/>
      </c>
      <c r="M826" s="11">
        <f>IF(A826="","",J826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826+IFERROR(INDEX(Settings!$D$5:$D$9,MATCH("Shopify",Settings!$A$5:$A$9,0)),0)*D826)</f>
        <v/>
      </c>
      <c r="N826" s="11">
        <f>IF(A826="","",IF(K826="",0,D826*INDEX(Products!$I$5:$I$204,K826)))</f>
        <v/>
      </c>
      <c r="O826" s="11">
        <f>IF(A826="","",IF(K826="",0,J826*INDEX(Products!$H$5:$H$204,K826)))</f>
        <v/>
      </c>
      <c r="P826" s="11">
        <f>IF(A826="","",J826-M826-N826-O826)</f>
        <v/>
      </c>
    </row>
    <row r="827">
      <c r="A827">
        <f>IFERROR(INDEX('Shopify Import'!$A:$CZ,827,Settings!$E$20)&amp;"","")</f>
        <v/>
      </c>
      <c r="B827">
        <f>IFERROR(INDEX('Shopify Import'!$A:$CZ,827,Settings!$E$21)&amp;"","")</f>
        <v/>
      </c>
      <c r="C827">
        <f>IFERROR(INDEX('Shopify Import'!$A:$CZ,827,Settings!$E$22)&amp;"","")</f>
        <v/>
      </c>
      <c r="D827">
        <f>IF(A827="","",IFERROR(VALUE(SUBSTITUTE(SUBSTITUTE(INDEX('Shopify Import'!$A:$CZ,827,Settings!$E$23)&amp;"","$",""),",","")),0))</f>
        <v/>
      </c>
      <c r="E827" s="11">
        <f>IF(A827="","",IFERROR(VALUE(SUBSTITUTE(SUBSTITUTE(INDEX('Shopify Import'!$A:$CZ,827,Settings!$E$24)&amp;"","$",""),",","")),0))</f>
        <v/>
      </c>
      <c r="F827" s="11">
        <f>IF(A827="","",D827*E827)</f>
        <v/>
      </c>
      <c r="G827">
        <f>IF(A827="","",IF(C827="",1,COUNTIF($C$2:$C$1501,C827)))</f>
        <v/>
      </c>
      <c r="H827" s="11">
        <f>IF(A827="","",IFERROR(VALUE(SUBSTITUTE(SUBSTITUTE(INDEX('Shopify Import'!$A:$CZ,827,Settings!$E$25)&amp;"","$",""),",","")),0)/IF(Settings!$D$27="Yes",G827,1))</f>
        <v/>
      </c>
      <c r="I827" s="11">
        <f>IF(A827="","",IFERROR(VALUE(SUBSTITUTE(SUBSTITUTE(INDEX('Shopify Import'!$A:$CZ,827,Settings!$E$26)&amp;"","$",""),",","")),0)/IF(Settings!$D$27="Yes",G827,1))</f>
        <v/>
      </c>
      <c r="J827" s="11">
        <f>IF(A827="","",F827+H827-I827)</f>
        <v/>
      </c>
      <c r="K827">
        <f>IF(A827="","",IFERROR(IF(B827="",NA(),MATCH(B827,Products!$B$5:$B$204,0)),IFERROR(MATCH(A827,Products!$A$5:$A$204,0),"")))</f>
        <v/>
      </c>
      <c r="L827">
        <f>IF(A827="","",IF(K827="","⚠ not in Products",INDEX(Products!$A$5:$A$204,K827)))</f>
        <v/>
      </c>
      <c r="M827" s="11">
        <f>IF(A827="","",J827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827+IFERROR(INDEX(Settings!$D$5:$D$9,MATCH("Shopify",Settings!$A$5:$A$9,0)),0)*D827)</f>
        <v/>
      </c>
      <c r="N827" s="11">
        <f>IF(A827="","",IF(K827="",0,D827*INDEX(Products!$I$5:$I$204,K827)))</f>
        <v/>
      </c>
      <c r="O827" s="11">
        <f>IF(A827="","",IF(K827="",0,J827*INDEX(Products!$H$5:$H$204,K827)))</f>
        <v/>
      </c>
      <c r="P827" s="11">
        <f>IF(A827="","",J827-M827-N827-O827)</f>
        <v/>
      </c>
    </row>
    <row r="828">
      <c r="A828">
        <f>IFERROR(INDEX('Shopify Import'!$A:$CZ,828,Settings!$E$20)&amp;"","")</f>
        <v/>
      </c>
      <c r="B828">
        <f>IFERROR(INDEX('Shopify Import'!$A:$CZ,828,Settings!$E$21)&amp;"","")</f>
        <v/>
      </c>
      <c r="C828">
        <f>IFERROR(INDEX('Shopify Import'!$A:$CZ,828,Settings!$E$22)&amp;"","")</f>
        <v/>
      </c>
      <c r="D828">
        <f>IF(A828="","",IFERROR(VALUE(SUBSTITUTE(SUBSTITUTE(INDEX('Shopify Import'!$A:$CZ,828,Settings!$E$23)&amp;"","$",""),",","")),0))</f>
        <v/>
      </c>
      <c r="E828" s="11">
        <f>IF(A828="","",IFERROR(VALUE(SUBSTITUTE(SUBSTITUTE(INDEX('Shopify Import'!$A:$CZ,828,Settings!$E$24)&amp;"","$",""),",","")),0))</f>
        <v/>
      </c>
      <c r="F828" s="11">
        <f>IF(A828="","",D828*E828)</f>
        <v/>
      </c>
      <c r="G828">
        <f>IF(A828="","",IF(C828="",1,COUNTIF($C$2:$C$1501,C828)))</f>
        <v/>
      </c>
      <c r="H828" s="11">
        <f>IF(A828="","",IFERROR(VALUE(SUBSTITUTE(SUBSTITUTE(INDEX('Shopify Import'!$A:$CZ,828,Settings!$E$25)&amp;"","$",""),",","")),0)/IF(Settings!$D$27="Yes",G828,1))</f>
        <v/>
      </c>
      <c r="I828" s="11">
        <f>IF(A828="","",IFERROR(VALUE(SUBSTITUTE(SUBSTITUTE(INDEX('Shopify Import'!$A:$CZ,828,Settings!$E$26)&amp;"","$",""),",","")),0)/IF(Settings!$D$27="Yes",G828,1))</f>
        <v/>
      </c>
      <c r="J828" s="11">
        <f>IF(A828="","",F828+H828-I828)</f>
        <v/>
      </c>
      <c r="K828">
        <f>IF(A828="","",IFERROR(IF(B828="",NA(),MATCH(B828,Products!$B$5:$B$204,0)),IFERROR(MATCH(A828,Products!$A$5:$A$204,0),"")))</f>
        <v/>
      </c>
      <c r="L828">
        <f>IF(A828="","",IF(K828="","⚠ not in Products",INDEX(Products!$A$5:$A$204,K828)))</f>
        <v/>
      </c>
      <c r="M828" s="11">
        <f>IF(A828="","",J828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828+IFERROR(INDEX(Settings!$D$5:$D$9,MATCH("Shopify",Settings!$A$5:$A$9,0)),0)*D828)</f>
        <v/>
      </c>
      <c r="N828" s="11">
        <f>IF(A828="","",IF(K828="",0,D828*INDEX(Products!$I$5:$I$204,K828)))</f>
        <v/>
      </c>
      <c r="O828" s="11">
        <f>IF(A828="","",IF(K828="",0,J828*INDEX(Products!$H$5:$H$204,K828)))</f>
        <v/>
      </c>
      <c r="P828" s="11">
        <f>IF(A828="","",J828-M828-N828-O828)</f>
        <v/>
      </c>
    </row>
    <row r="829">
      <c r="A829">
        <f>IFERROR(INDEX('Shopify Import'!$A:$CZ,829,Settings!$E$20)&amp;"","")</f>
        <v/>
      </c>
      <c r="B829">
        <f>IFERROR(INDEX('Shopify Import'!$A:$CZ,829,Settings!$E$21)&amp;"","")</f>
        <v/>
      </c>
      <c r="C829">
        <f>IFERROR(INDEX('Shopify Import'!$A:$CZ,829,Settings!$E$22)&amp;"","")</f>
        <v/>
      </c>
      <c r="D829">
        <f>IF(A829="","",IFERROR(VALUE(SUBSTITUTE(SUBSTITUTE(INDEX('Shopify Import'!$A:$CZ,829,Settings!$E$23)&amp;"","$",""),",","")),0))</f>
        <v/>
      </c>
      <c r="E829" s="11">
        <f>IF(A829="","",IFERROR(VALUE(SUBSTITUTE(SUBSTITUTE(INDEX('Shopify Import'!$A:$CZ,829,Settings!$E$24)&amp;"","$",""),",","")),0))</f>
        <v/>
      </c>
      <c r="F829" s="11">
        <f>IF(A829="","",D829*E829)</f>
        <v/>
      </c>
      <c r="G829">
        <f>IF(A829="","",IF(C829="",1,COUNTIF($C$2:$C$1501,C829)))</f>
        <v/>
      </c>
      <c r="H829" s="11">
        <f>IF(A829="","",IFERROR(VALUE(SUBSTITUTE(SUBSTITUTE(INDEX('Shopify Import'!$A:$CZ,829,Settings!$E$25)&amp;"","$",""),",","")),0)/IF(Settings!$D$27="Yes",G829,1))</f>
        <v/>
      </c>
      <c r="I829" s="11">
        <f>IF(A829="","",IFERROR(VALUE(SUBSTITUTE(SUBSTITUTE(INDEX('Shopify Import'!$A:$CZ,829,Settings!$E$26)&amp;"","$",""),",","")),0)/IF(Settings!$D$27="Yes",G829,1))</f>
        <v/>
      </c>
      <c r="J829" s="11">
        <f>IF(A829="","",F829+H829-I829)</f>
        <v/>
      </c>
      <c r="K829">
        <f>IF(A829="","",IFERROR(IF(B829="",NA(),MATCH(B829,Products!$B$5:$B$204,0)),IFERROR(MATCH(A829,Products!$A$5:$A$204,0),"")))</f>
        <v/>
      </c>
      <c r="L829">
        <f>IF(A829="","",IF(K829="","⚠ not in Products",INDEX(Products!$A$5:$A$204,K829)))</f>
        <v/>
      </c>
      <c r="M829" s="11">
        <f>IF(A829="","",J829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829+IFERROR(INDEX(Settings!$D$5:$D$9,MATCH("Shopify",Settings!$A$5:$A$9,0)),0)*D829)</f>
        <v/>
      </c>
      <c r="N829" s="11">
        <f>IF(A829="","",IF(K829="",0,D829*INDEX(Products!$I$5:$I$204,K829)))</f>
        <v/>
      </c>
      <c r="O829" s="11">
        <f>IF(A829="","",IF(K829="",0,J829*INDEX(Products!$H$5:$H$204,K829)))</f>
        <v/>
      </c>
      <c r="P829" s="11">
        <f>IF(A829="","",J829-M829-N829-O829)</f>
        <v/>
      </c>
    </row>
    <row r="830">
      <c r="A830">
        <f>IFERROR(INDEX('Shopify Import'!$A:$CZ,830,Settings!$E$20)&amp;"","")</f>
        <v/>
      </c>
      <c r="B830">
        <f>IFERROR(INDEX('Shopify Import'!$A:$CZ,830,Settings!$E$21)&amp;"","")</f>
        <v/>
      </c>
      <c r="C830">
        <f>IFERROR(INDEX('Shopify Import'!$A:$CZ,830,Settings!$E$22)&amp;"","")</f>
        <v/>
      </c>
      <c r="D830">
        <f>IF(A830="","",IFERROR(VALUE(SUBSTITUTE(SUBSTITUTE(INDEX('Shopify Import'!$A:$CZ,830,Settings!$E$23)&amp;"","$",""),",","")),0))</f>
        <v/>
      </c>
      <c r="E830" s="11">
        <f>IF(A830="","",IFERROR(VALUE(SUBSTITUTE(SUBSTITUTE(INDEX('Shopify Import'!$A:$CZ,830,Settings!$E$24)&amp;"","$",""),",","")),0))</f>
        <v/>
      </c>
      <c r="F830" s="11">
        <f>IF(A830="","",D830*E830)</f>
        <v/>
      </c>
      <c r="G830">
        <f>IF(A830="","",IF(C830="",1,COUNTIF($C$2:$C$1501,C830)))</f>
        <v/>
      </c>
      <c r="H830" s="11">
        <f>IF(A830="","",IFERROR(VALUE(SUBSTITUTE(SUBSTITUTE(INDEX('Shopify Import'!$A:$CZ,830,Settings!$E$25)&amp;"","$",""),",","")),0)/IF(Settings!$D$27="Yes",G830,1))</f>
        <v/>
      </c>
      <c r="I830" s="11">
        <f>IF(A830="","",IFERROR(VALUE(SUBSTITUTE(SUBSTITUTE(INDEX('Shopify Import'!$A:$CZ,830,Settings!$E$26)&amp;"","$",""),",","")),0)/IF(Settings!$D$27="Yes",G830,1))</f>
        <v/>
      </c>
      <c r="J830" s="11">
        <f>IF(A830="","",F830+H830-I830)</f>
        <v/>
      </c>
      <c r="K830">
        <f>IF(A830="","",IFERROR(IF(B830="",NA(),MATCH(B830,Products!$B$5:$B$204,0)),IFERROR(MATCH(A830,Products!$A$5:$A$204,0),"")))</f>
        <v/>
      </c>
      <c r="L830">
        <f>IF(A830="","",IF(K830="","⚠ not in Products",INDEX(Products!$A$5:$A$204,K830)))</f>
        <v/>
      </c>
      <c r="M830" s="11">
        <f>IF(A830="","",J830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830+IFERROR(INDEX(Settings!$D$5:$D$9,MATCH("Shopify",Settings!$A$5:$A$9,0)),0)*D830)</f>
        <v/>
      </c>
      <c r="N830" s="11">
        <f>IF(A830="","",IF(K830="",0,D830*INDEX(Products!$I$5:$I$204,K830)))</f>
        <v/>
      </c>
      <c r="O830" s="11">
        <f>IF(A830="","",IF(K830="",0,J830*INDEX(Products!$H$5:$H$204,K830)))</f>
        <v/>
      </c>
      <c r="P830" s="11">
        <f>IF(A830="","",J830-M830-N830-O830)</f>
        <v/>
      </c>
    </row>
    <row r="831">
      <c r="A831">
        <f>IFERROR(INDEX('Shopify Import'!$A:$CZ,831,Settings!$E$20)&amp;"","")</f>
        <v/>
      </c>
      <c r="B831">
        <f>IFERROR(INDEX('Shopify Import'!$A:$CZ,831,Settings!$E$21)&amp;"","")</f>
        <v/>
      </c>
      <c r="C831">
        <f>IFERROR(INDEX('Shopify Import'!$A:$CZ,831,Settings!$E$22)&amp;"","")</f>
        <v/>
      </c>
      <c r="D831">
        <f>IF(A831="","",IFERROR(VALUE(SUBSTITUTE(SUBSTITUTE(INDEX('Shopify Import'!$A:$CZ,831,Settings!$E$23)&amp;"","$",""),",","")),0))</f>
        <v/>
      </c>
      <c r="E831" s="11">
        <f>IF(A831="","",IFERROR(VALUE(SUBSTITUTE(SUBSTITUTE(INDEX('Shopify Import'!$A:$CZ,831,Settings!$E$24)&amp;"","$",""),",","")),0))</f>
        <v/>
      </c>
      <c r="F831" s="11">
        <f>IF(A831="","",D831*E831)</f>
        <v/>
      </c>
      <c r="G831">
        <f>IF(A831="","",IF(C831="",1,COUNTIF($C$2:$C$1501,C831)))</f>
        <v/>
      </c>
      <c r="H831" s="11">
        <f>IF(A831="","",IFERROR(VALUE(SUBSTITUTE(SUBSTITUTE(INDEX('Shopify Import'!$A:$CZ,831,Settings!$E$25)&amp;"","$",""),",","")),0)/IF(Settings!$D$27="Yes",G831,1))</f>
        <v/>
      </c>
      <c r="I831" s="11">
        <f>IF(A831="","",IFERROR(VALUE(SUBSTITUTE(SUBSTITUTE(INDEX('Shopify Import'!$A:$CZ,831,Settings!$E$26)&amp;"","$",""),",","")),0)/IF(Settings!$D$27="Yes",G831,1))</f>
        <v/>
      </c>
      <c r="J831" s="11">
        <f>IF(A831="","",F831+H831-I831)</f>
        <v/>
      </c>
      <c r="K831">
        <f>IF(A831="","",IFERROR(IF(B831="",NA(),MATCH(B831,Products!$B$5:$B$204,0)),IFERROR(MATCH(A831,Products!$A$5:$A$204,0),"")))</f>
        <v/>
      </c>
      <c r="L831">
        <f>IF(A831="","",IF(K831="","⚠ not in Products",INDEX(Products!$A$5:$A$204,K831)))</f>
        <v/>
      </c>
      <c r="M831" s="11">
        <f>IF(A831="","",J831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831+IFERROR(INDEX(Settings!$D$5:$D$9,MATCH("Shopify",Settings!$A$5:$A$9,0)),0)*D831)</f>
        <v/>
      </c>
      <c r="N831" s="11">
        <f>IF(A831="","",IF(K831="",0,D831*INDEX(Products!$I$5:$I$204,K831)))</f>
        <v/>
      </c>
      <c r="O831" s="11">
        <f>IF(A831="","",IF(K831="",0,J831*INDEX(Products!$H$5:$H$204,K831)))</f>
        <v/>
      </c>
      <c r="P831" s="11">
        <f>IF(A831="","",J831-M831-N831-O831)</f>
        <v/>
      </c>
    </row>
    <row r="832">
      <c r="A832">
        <f>IFERROR(INDEX('Shopify Import'!$A:$CZ,832,Settings!$E$20)&amp;"","")</f>
        <v/>
      </c>
      <c r="B832">
        <f>IFERROR(INDEX('Shopify Import'!$A:$CZ,832,Settings!$E$21)&amp;"","")</f>
        <v/>
      </c>
      <c r="C832">
        <f>IFERROR(INDEX('Shopify Import'!$A:$CZ,832,Settings!$E$22)&amp;"","")</f>
        <v/>
      </c>
      <c r="D832">
        <f>IF(A832="","",IFERROR(VALUE(SUBSTITUTE(SUBSTITUTE(INDEX('Shopify Import'!$A:$CZ,832,Settings!$E$23)&amp;"","$",""),",","")),0))</f>
        <v/>
      </c>
      <c r="E832" s="11">
        <f>IF(A832="","",IFERROR(VALUE(SUBSTITUTE(SUBSTITUTE(INDEX('Shopify Import'!$A:$CZ,832,Settings!$E$24)&amp;"","$",""),",","")),0))</f>
        <v/>
      </c>
      <c r="F832" s="11">
        <f>IF(A832="","",D832*E832)</f>
        <v/>
      </c>
      <c r="G832">
        <f>IF(A832="","",IF(C832="",1,COUNTIF($C$2:$C$1501,C832)))</f>
        <v/>
      </c>
      <c r="H832" s="11">
        <f>IF(A832="","",IFERROR(VALUE(SUBSTITUTE(SUBSTITUTE(INDEX('Shopify Import'!$A:$CZ,832,Settings!$E$25)&amp;"","$",""),",","")),0)/IF(Settings!$D$27="Yes",G832,1))</f>
        <v/>
      </c>
      <c r="I832" s="11">
        <f>IF(A832="","",IFERROR(VALUE(SUBSTITUTE(SUBSTITUTE(INDEX('Shopify Import'!$A:$CZ,832,Settings!$E$26)&amp;"","$",""),",","")),0)/IF(Settings!$D$27="Yes",G832,1))</f>
        <v/>
      </c>
      <c r="J832" s="11">
        <f>IF(A832="","",F832+H832-I832)</f>
        <v/>
      </c>
      <c r="K832">
        <f>IF(A832="","",IFERROR(IF(B832="",NA(),MATCH(B832,Products!$B$5:$B$204,0)),IFERROR(MATCH(A832,Products!$A$5:$A$204,0),"")))</f>
        <v/>
      </c>
      <c r="L832">
        <f>IF(A832="","",IF(K832="","⚠ not in Products",INDEX(Products!$A$5:$A$204,K832)))</f>
        <v/>
      </c>
      <c r="M832" s="11">
        <f>IF(A832="","",J832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832+IFERROR(INDEX(Settings!$D$5:$D$9,MATCH("Shopify",Settings!$A$5:$A$9,0)),0)*D832)</f>
        <v/>
      </c>
      <c r="N832" s="11">
        <f>IF(A832="","",IF(K832="",0,D832*INDEX(Products!$I$5:$I$204,K832)))</f>
        <v/>
      </c>
      <c r="O832" s="11">
        <f>IF(A832="","",IF(K832="",0,J832*INDEX(Products!$H$5:$H$204,K832)))</f>
        <v/>
      </c>
      <c r="P832" s="11">
        <f>IF(A832="","",J832-M832-N832-O832)</f>
        <v/>
      </c>
    </row>
    <row r="833">
      <c r="A833">
        <f>IFERROR(INDEX('Shopify Import'!$A:$CZ,833,Settings!$E$20)&amp;"","")</f>
        <v/>
      </c>
      <c r="B833">
        <f>IFERROR(INDEX('Shopify Import'!$A:$CZ,833,Settings!$E$21)&amp;"","")</f>
        <v/>
      </c>
      <c r="C833">
        <f>IFERROR(INDEX('Shopify Import'!$A:$CZ,833,Settings!$E$22)&amp;"","")</f>
        <v/>
      </c>
      <c r="D833">
        <f>IF(A833="","",IFERROR(VALUE(SUBSTITUTE(SUBSTITUTE(INDEX('Shopify Import'!$A:$CZ,833,Settings!$E$23)&amp;"","$",""),",","")),0))</f>
        <v/>
      </c>
      <c r="E833" s="11">
        <f>IF(A833="","",IFERROR(VALUE(SUBSTITUTE(SUBSTITUTE(INDEX('Shopify Import'!$A:$CZ,833,Settings!$E$24)&amp;"","$",""),",","")),0))</f>
        <v/>
      </c>
      <c r="F833" s="11">
        <f>IF(A833="","",D833*E833)</f>
        <v/>
      </c>
      <c r="G833">
        <f>IF(A833="","",IF(C833="",1,COUNTIF($C$2:$C$1501,C833)))</f>
        <v/>
      </c>
      <c r="H833" s="11">
        <f>IF(A833="","",IFERROR(VALUE(SUBSTITUTE(SUBSTITUTE(INDEX('Shopify Import'!$A:$CZ,833,Settings!$E$25)&amp;"","$",""),",","")),0)/IF(Settings!$D$27="Yes",G833,1))</f>
        <v/>
      </c>
      <c r="I833" s="11">
        <f>IF(A833="","",IFERROR(VALUE(SUBSTITUTE(SUBSTITUTE(INDEX('Shopify Import'!$A:$CZ,833,Settings!$E$26)&amp;"","$",""),",","")),0)/IF(Settings!$D$27="Yes",G833,1))</f>
        <v/>
      </c>
      <c r="J833" s="11">
        <f>IF(A833="","",F833+H833-I833)</f>
        <v/>
      </c>
      <c r="K833">
        <f>IF(A833="","",IFERROR(IF(B833="",NA(),MATCH(B833,Products!$B$5:$B$204,0)),IFERROR(MATCH(A833,Products!$A$5:$A$204,0),"")))</f>
        <v/>
      </c>
      <c r="L833">
        <f>IF(A833="","",IF(K833="","⚠ not in Products",INDEX(Products!$A$5:$A$204,K833)))</f>
        <v/>
      </c>
      <c r="M833" s="11">
        <f>IF(A833="","",J833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833+IFERROR(INDEX(Settings!$D$5:$D$9,MATCH("Shopify",Settings!$A$5:$A$9,0)),0)*D833)</f>
        <v/>
      </c>
      <c r="N833" s="11">
        <f>IF(A833="","",IF(K833="",0,D833*INDEX(Products!$I$5:$I$204,K833)))</f>
        <v/>
      </c>
      <c r="O833" s="11">
        <f>IF(A833="","",IF(K833="",0,J833*INDEX(Products!$H$5:$H$204,K833)))</f>
        <v/>
      </c>
      <c r="P833" s="11">
        <f>IF(A833="","",J833-M833-N833-O833)</f>
        <v/>
      </c>
    </row>
    <row r="834">
      <c r="A834">
        <f>IFERROR(INDEX('Shopify Import'!$A:$CZ,834,Settings!$E$20)&amp;"","")</f>
        <v/>
      </c>
      <c r="B834">
        <f>IFERROR(INDEX('Shopify Import'!$A:$CZ,834,Settings!$E$21)&amp;"","")</f>
        <v/>
      </c>
      <c r="C834">
        <f>IFERROR(INDEX('Shopify Import'!$A:$CZ,834,Settings!$E$22)&amp;"","")</f>
        <v/>
      </c>
      <c r="D834">
        <f>IF(A834="","",IFERROR(VALUE(SUBSTITUTE(SUBSTITUTE(INDEX('Shopify Import'!$A:$CZ,834,Settings!$E$23)&amp;"","$",""),",","")),0))</f>
        <v/>
      </c>
      <c r="E834" s="11">
        <f>IF(A834="","",IFERROR(VALUE(SUBSTITUTE(SUBSTITUTE(INDEX('Shopify Import'!$A:$CZ,834,Settings!$E$24)&amp;"","$",""),",","")),0))</f>
        <v/>
      </c>
      <c r="F834" s="11">
        <f>IF(A834="","",D834*E834)</f>
        <v/>
      </c>
      <c r="G834">
        <f>IF(A834="","",IF(C834="",1,COUNTIF($C$2:$C$1501,C834)))</f>
        <v/>
      </c>
      <c r="H834" s="11">
        <f>IF(A834="","",IFERROR(VALUE(SUBSTITUTE(SUBSTITUTE(INDEX('Shopify Import'!$A:$CZ,834,Settings!$E$25)&amp;"","$",""),",","")),0)/IF(Settings!$D$27="Yes",G834,1))</f>
        <v/>
      </c>
      <c r="I834" s="11">
        <f>IF(A834="","",IFERROR(VALUE(SUBSTITUTE(SUBSTITUTE(INDEX('Shopify Import'!$A:$CZ,834,Settings!$E$26)&amp;"","$",""),",","")),0)/IF(Settings!$D$27="Yes",G834,1))</f>
        <v/>
      </c>
      <c r="J834" s="11">
        <f>IF(A834="","",F834+H834-I834)</f>
        <v/>
      </c>
      <c r="K834">
        <f>IF(A834="","",IFERROR(IF(B834="",NA(),MATCH(B834,Products!$B$5:$B$204,0)),IFERROR(MATCH(A834,Products!$A$5:$A$204,0),"")))</f>
        <v/>
      </c>
      <c r="L834">
        <f>IF(A834="","",IF(K834="","⚠ not in Products",INDEX(Products!$A$5:$A$204,K834)))</f>
        <v/>
      </c>
      <c r="M834" s="11">
        <f>IF(A834="","",J834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834+IFERROR(INDEX(Settings!$D$5:$D$9,MATCH("Shopify",Settings!$A$5:$A$9,0)),0)*D834)</f>
        <v/>
      </c>
      <c r="N834" s="11">
        <f>IF(A834="","",IF(K834="",0,D834*INDEX(Products!$I$5:$I$204,K834)))</f>
        <v/>
      </c>
      <c r="O834" s="11">
        <f>IF(A834="","",IF(K834="",0,J834*INDEX(Products!$H$5:$H$204,K834)))</f>
        <v/>
      </c>
      <c r="P834" s="11">
        <f>IF(A834="","",J834-M834-N834-O834)</f>
        <v/>
      </c>
    </row>
    <row r="835">
      <c r="A835">
        <f>IFERROR(INDEX('Shopify Import'!$A:$CZ,835,Settings!$E$20)&amp;"","")</f>
        <v/>
      </c>
      <c r="B835">
        <f>IFERROR(INDEX('Shopify Import'!$A:$CZ,835,Settings!$E$21)&amp;"","")</f>
        <v/>
      </c>
      <c r="C835">
        <f>IFERROR(INDEX('Shopify Import'!$A:$CZ,835,Settings!$E$22)&amp;"","")</f>
        <v/>
      </c>
      <c r="D835">
        <f>IF(A835="","",IFERROR(VALUE(SUBSTITUTE(SUBSTITUTE(INDEX('Shopify Import'!$A:$CZ,835,Settings!$E$23)&amp;"","$",""),",","")),0))</f>
        <v/>
      </c>
      <c r="E835" s="11">
        <f>IF(A835="","",IFERROR(VALUE(SUBSTITUTE(SUBSTITUTE(INDEX('Shopify Import'!$A:$CZ,835,Settings!$E$24)&amp;"","$",""),",","")),0))</f>
        <v/>
      </c>
      <c r="F835" s="11">
        <f>IF(A835="","",D835*E835)</f>
        <v/>
      </c>
      <c r="G835">
        <f>IF(A835="","",IF(C835="",1,COUNTIF($C$2:$C$1501,C835)))</f>
        <v/>
      </c>
      <c r="H835" s="11">
        <f>IF(A835="","",IFERROR(VALUE(SUBSTITUTE(SUBSTITUTE(INDEX('Shopify Import'!$A:$CZ,835,Settings!$E$25)&amp;"","$",""),",","")),0)/IF(Settings!$D$27="Yes",G835,1))</f>
        <v/>
      </c>
      <c r="I835" s="11">
        <f>IF(A835="","",IFERROR(VALUE(SUBSTITUTE(SUBSTITUTE(INDEX('Shopify Import'!$A:$CZ,835,Settings!$E$26)&amp;"","$",""),",","")),0)/IF(Settings!$D$27="Yes",G835,1))</f>
        <v/>
      </c>
      <c r="J835" s="11">
        <f>IF(A835="","",F835+H835-I835)</f>
        <v/>
      </c>
      <c r="K835">
        <f>IF(A835="","",IFERROR(IF(B835="",NA(),MATCH(B835,Products!$B$5:$B$204,0)),IFERROR(MATCH(A835,Products!$A$5:$A$204,0),"")))</f>
        <v/>
      </c>
      <c r="L835">
        <f>IF(A835="","",IF(K835="","⚠ not in Products",INDEX(Products!$A$5:$A$204,K835)))</f>
        <v/>
      </c>
      <c r="M835" s="11">
        <f>IF(A835="","",J835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835+IFERROR(INDEX(Settings!$D$5:$D$9,MATCH("Shopify",Settings!$A$5:$A$9,0)),0)*D835)</f>
        <v/>
      </c>
      <c r="N835" s="11">
        <f>IF(A835="","",IF(K835="",0,D835*INDEX(Products!$I$5:$I$204,K835)))</f>
        <v/>
      </c>
      <c r="O835" s="11">
        <f>IF(A835="","",IF(K835="",0,J835*INDEX(Products!$H$5:$H$204,K835)))</f>
        <v/>
      </c>
      <c r="P835" s="11">
        <f>IF(A835="","",J835-M835-N835-O835)</f>
        <v/>
      </c>
    </row>
    <row r="836">
      <c r="A836">
        <f>IFERROR(INDEX('Shopify Import'!$A:$CZ,836,Settings!$E$20)&amp;"","")</f>
        <v/>
      </c>
      <c r="B836">
        <f>IFERROR(INDEX('Shopify Import'!$A:$CZ,836,Settings!$E$21)&amp;"","")</f>
        <v/>
      </c>
      <c r="C836">
        <f>IFERROR(INDEX('Shopify Import'!$A:$CZ,836,Settings!$E$22)&amp;"","")</f>
        <v/>
      </c>
      <c r="D836">
        <f>IF(A836="","",IFERROR(VALUE(SUBSTITUTE(SUBSTITUTE(INDEX('Shopify Import'!$A:$CZ,836,Settings!$E$23)&amp;"","$",""),",","")),0))</f>
        <v/>
      </c>
      <c r="E836" s="11">
        <f>IF(A836="","",IFERROR(VALUE(SUBSTITUTE(SUBSTITUTE(INDEX('Shopify Import'!$A:$CZ,836,Settings!$E$24)&amp;"","$",""),",","")),0))</f>
        <v/>
      </c>
      <c r="F836" s="11">
        <f>IF(A836="","",D836*E836)</f>
        <v/>
      </c>
      <c r="G836">
        <f>IF(A836="","",IF(C836="",1,COUNTIF($C$2:$C$1501,C836)))</f>
        <v/>
      </c>
      <c r="H836" s="11">
        <f>IF(A836="","",IFERROR(VALUE(SUBSTITUTE(SUBSTITUTE(INDEX('Shopify Import'!$A:$CZ,836,Settings!$E$25)&amp;"","$",""),",","")),0)/IF(Settings!$D$27="Yes",G836,1))</f>
        <v/>
      </c>
      <c r="I836" s="11">
        <f>IF(A836="","",IFERROR(VALUE(SUBSTITUTE(SUBSTITUTE(INDEX('Shopify Import'!$A:$CZ,836,Settings!$E$26)&amp;"","$",""),",","")),0)/IF(Settings!$D$27="Yes",G836,1))</f>
        <v/>
      </c>
      <c r="J836" s="11">
        <f>IF(A836="","",F836+H836-I836)</f>
        <v/>
      </c>
      <c r="K836">
        <f>IF(A836="","",IFERROR(IF(B836="",NA(),MATCH(B836,Products!$B$5:$B$204,0)),IFERROR(MATCH(A836,Products!$A$5:$A$204,0),"")))</f>
        <v/>
      </c>
      <c r="L836">
        <f>IF(A836="","",IF(K836="","⚠ not in Products",INDEX(Products!$A$5:$A$204,K836)))</f>
        <v/>
      </c>
      <c r="M836" s="11">
        <f>IF(A836="","",J836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836+IFERROR(INDEX(Settings!$D$5:$D$9,MATCH("Shopify",Settings!$A$5:$A$9,0)),0)*D836)</f>
        <v/>
      </c>
      <c r="N836" s="11">
        <f>IF(A836="","",IF(K836="",0,D836*INDEX(Products!$I$5:$I$204,K836)))</f>
        <v/>
      </c>
      <c r="O836" s="11">
        <f>IF(A836="","",IF(K836="",0,J836*INDEX(Products!$H$5:$H$204,K836)))</f>
        <v/>
      </c>
      <c r="P836" s="11">
        <f>IF(A836="","",J836-M836-N836-O836)</f>
        <v/>
      </c>
    </row>
    <row r="837">
      <c r="A837">
        <f>IFERROR(INDEX('Shopify Import'!$A:$CZ,837,Settings!$E$20)&amp;"","")</f>
        <v/>
      </c>
      <c r="B837">
        <f>IFERROR(INDEX('Shopify Import'!$A:$CZ,837,Settings!$E$21)&amp;"","")</f>
        <v/>
      </c>
      <c r="C837">
        <f>IFERROR(INDEX('Shopify Import'!$A:$CZ,837,Settings!$E$22)&amp;"","")</f>
        <v/>
      </c>
      <c r="D837">
        <f>IF(A837="","",IFERROR(VALUE(SUBSTITUTE(SUBSTITUTE(INDEX('Shopify Import'!$A:$CZ,837,Settings!$E$23)&amp;"","$",""),",","")),0))</f>
        <v/>
      </c>
      <c r="E837" s="11">
        <f>IF(A837="","",IFERROR(VALUE(SUBSTITUTE(SUBSTITUTE(INDEX('Shopify Import'!$A:$CZ,837,Settings!$E$24)&amp;"","$",""),",","")),0))</f>
        <v/>
      </c>
      <c r="F837" s="11">
        <f>IF(A837="","",D837*E837)</f>
        <v/>
      </c>
      <c r="G837">
        <f>IF(A837="","",IF(C837="",1,COUNTIF($C$2:$C$1501,C837)))</f>
        <v/>
      </c>
      <c r="H837" s="11">
        <f>IF(A837="","",IFERROR(VALUE(SUBSTITUTE(SUBSTITUTE(INDEX('Shopify Import'!$A:$CZ,837,Settings!$E$25)&amp;"","$",""),",","")),0)/IF(Settings!$D$27="Yes",G837,1))</f>
        <v/>
      </c>
      <c r="I837" s="11">
        <f>IF(A837="","",IFERROR(VALUE(SUBSTITUTE(SUBSTITUTE(INDEX('Shopify Import'!$A:$CZ,837,Settings!$E$26)&amp;"","$",""),",","")),0)/IF(Settings!$D$27="Yes",G837,1))</f>
        <v/>
      </c>
      <c r="J837" s="11">
        <f>IF(A837="","",F837+H837-I837)</f>
        <v/>
      </c>
      <c r="K837">
        <f>IF(A837="","",IFERROR(IF(B837="",NA(),MATCH(B837,Products!$B$5:$B$204,0)),IFERROR(MATCH(A837,Products!$A$5:$A$204,0),"")))</f>
        <v/>
      </c>
      <c r="L837">
        <f>IF(A837="","",IF(K837="","⚠ not in Products",INDEX(Products!$A$5:$A$204,K837)))</f>
        <v/>
      </c>
      <c r="M837" s="11">
        <f>IF(A837="","",J837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837+IFERROR(INDEX(Settings!$D$5:$D$9,MATCH("Shopify",Settings!$A$5:$A$9,0)),0)*D837)</f>
        <v/>
      </c>
      <c r="N837" s="11">
        <f>IF(A837="","",IF(K837="",0,D837*INDEX(Products!$I$5:$I$204,K837)))</f>
        <v/>
      </c>
      <c r="O837" s="11">
        <f>IF(A837="","",IF(K837="",0,J837*INDEX(Products!$H$5:$H$204,K837)))</f>
        <v/>
      </c>
      <c r="P837" s="11">
        <f>IF(A837="","",J837-M837-N837-O837)</f>
        <v/>
      </c>
    </row>
    <row r="838">
      <c r="A838">
        <f>IFERROR(INDEX('Shopify Import'!$A:$CZ,838,Settings!$E$20)&amp;"","")</f>
        <v/>
      </c>
      <c r="B838">
        <f>IFERROR(INDEX('Shopify Import'!$A:$CZ,838,Settings!$E$21)&amp;"","")</f>
        <v/>
      </c>
      <c r="C838">
        <f>IFERROR(INDEX('Shopify Import'!$A:$CZ,838,Settings!$E$22)&amp;"","")</f>
        <v/>
      </c>
      <c r="D838">
        <f>IF(A838="","",IFERROR(VALUE(SUBSTITUTE(SUBSTITUTE(INDEX('Shopify Import'!$A:$CZ,838,Settings!$E$23)&amp;"","$",""),",","")),0))</f>
        <v/>
      </c>
      <c r="E838" s="11">
        <f>IF(A838="","",IFERROR(VALUE(SUBSTITUTE(SUBSTITUTE(INDEX('Shopify Import'!$A:$CZ,838,Settings!$E$24)&amp;"","$",""),",","")),0))</f>
        <v/>
      </c>
      <c r="F838" s="11">
        <f>IF(A838="","",D838*E838)</f>
        <v/>
      </c>
      <c r="G838">
        <f>IF(A838="","",IF(C838="",1,COUNTIF($C$2:$C$1501,C838)))</f>
        <v/>
      </c>
      <c r="H838" s="11">
        <f>IF(A838="","",IFERROR(VALUE(SUBSTITUTE(SUBSTITUTE(INDEX('Shopify Import'!$A:$CZ,838,Settings!$E$25)&amp;"","$",""),",","")),0)/IF(Settings!$D$27="Yes",G838,1))</f>
        <v/>
      </c>
      <c r="I838" s="11">
        <f>IF(A838="","",IFERROR(VALUE(SUBSTITUTE(SUBSTITUTE(INDEX('Shopify Import'!$A:$CZ,838,Settings!$E$26)&amp;"","$",""),",","")),0)/IF(Settings!$D$27="Yes",G838,1))</f>
        <v/>
      </c>
      <c r="J838" s="11">
        <f>IF(A838="","",F838+H838-I838)</f>
        <v/>
      </c>
      <c r="K838">
        <f>IF(A838="","",IFERROR(IF(B838="",NA(),MATCH(B838,Products!$B$5:$B$204,0)),IFERROR(MATCH(A838,Products!$A$5:$A$204,0),"")))</f>
        <v/>
      </c>
      <c r="L838">
        <f>IF(A838="","",IF(K838="","⚠ not in Products",INDEX(Products!$A$5:$A$204,K838)))</f>
        <v/>
      </c>
      <c r="M838" s="11">
        <f>IF(A838="","",J838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838+IFERROR(INDEX(Settings!$D$5:$D$9,MATCH("Shopify",Settings!$A$5:$A$9,0)),0)*D838)</f>
        <v/>
      </c>
      <c r="N838" s="11">
        <f>IF(A838="","",IF(K838="",0,D838*INDEX(Products!$I$5:$I$204,K838)))</f>
        <v/>
      </c>
      <c r="O838" s="11">
        <f>IF(A838="","",IF(K838="",0,J838*INDEX(Products!$H$5:$H$204,K838)))</f>
        <v/>
      </c>
      <c r="P838" s="11">
        <f>IF(A838="","",J838-M838-N838-O838)</f>
        <v/>
      </c>
    </row>
    <row r="839">
      <c r="A839">
        <f>IFERROR(INDEX('Shopify Import'!$A:$CZ,839,Settings!$E$20)&amp;"","")</f>
        <v/>
      </c>
      <c r="B839">
        <f>IFERROR(INDEX('Shopify Import'!$A:$CZ,839,Settings!$E$21)&amp;"","")</f>
        <v/>
      </c>
      <c r="C839">
        <f>IFERROR(INDEX('Shopify Import'!$A:$CZ,839,Settings!$E$22)&amp;"","")</f>
        <v/>
      </c>
      <c r="D839">
        <f>IF(A839="","",IFERROR(VALUE(SUBSTITUTE(SUBSTITUTE(INDEX('Shopify Import'!$A:$CZ,839,Settings!$E$23)&amp;"","$",""),",","")),0))</f>
        <v/>
      </c>
      <c r="E839" s="11">
        <f>IF(A839="","",IFERROR(VALUE(SUBSTITUTE(SUBSTITUTE(INDEX('Shopify Import'!$A:$CZ,839,Settings!$E$24)&amp;"","$",""),",","")),0))</f>
        <v/>
      </c>
      <c r="F839" s="11">
        <f>IF(A839="","",D839*E839)</f>
        <v/>
      </c>
      <c r="G839">
        <f>IF(A839="","",IF(C839="",1,COUNTIF($C$2:$C$1501,C839)))</f>
        <v/>
      </c>
      <c r="H839" s="11">
        <f>IF(A839="","",IFERROR(VALUE(SUBSTITUTE(SUBSTITUTE(INDEX('Shopify Import'!$A:$CZ,839,Settings!$E$25)&amp;"","$",""),",","")),0)/IF(Settings!$D$27="Yes",G839,1))</f>
        <v/>
      </c>
      <c r="I839" s="11">
        <f>IF(A839="","",IFERROR(VALUE(SUBSTITUTE(SUBSTITUTE(INDEX('Shopify Import'!$A:$CZ,839,Settings!$E$26)&amp;"","$",""),",","")),0)/IF(Settings!$D$27="Yes",G839,1))</f>
        <v/>
      </c>
      <c r="J839" s="11">
        <f>IF(A839="","",F839+H839-I839)</f>
        <v/>
      </c>
      <c r="K839">
        <f>IF(A839="","",IFERROR(IF(B839="",NA(),MATCH(B839,Products!$B$5:$B$204,0)),IFERROR(MATCH(A839,Products!$A$5:$A$204,0),"")))</f>
        <v/>
      </c>
      <c r="L839">
        <f>IF(A839="","",IF(K839="","⚠ not in Products",INDEX(Products!$A$5:$A$204,K839)))</f>
        <v/>
      </c>
      <c r="M839" s="11">
        <f>IF(A839="","",J839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839+IFERROR(INDEX(Settings!$D$5:$D$9,MATCH("Shopify",Settings!$A$5:$A$9,0)),0)*D839)</f>
        <v/>
      </c>
      <c r="N839" s="11">
        <f>IF(A839="","",IF(K839="",0,D839*INDEX(Products!$I$5:$I$204,K839)))</f>
        <v/>
      </c>
      <c r="O839" s="11">
        <f>IF(A839="","",IF(K839="",0,J839*INDEX(Products!$H$5:$H$204,K839)))</f>
        <v/>
      </c>
      <c r="P839" s="11">
        <f>IF(A839="","",J839-M839-N839-O839)</f>
        <v/>
      </c>
    </row>
    <row r="840">
      <c r="A840">
        <f>IFERROR(INDEX('Shopify Import'!$A:$CZ,840,Settings!$E$20)&amp;"","")</f>
        <v/>
      </c>
      <c r="B840">
        <f>IFERROR(INDEX('Shopify Import'!$A:$CZ,840,Settings!$E$21)&amp;"","")</f>
        <v/>
      </c>
      <c r="C840">
        <f>IFERROR(INDEX('Shopify Import'!$A:$CZ,840,Settings!$E$22)&amp;"","")</f>
        <v/>
      </c>
      <c r="D840">
        <f>IF(A840="","",IFERROR(VALUE(SUBSTITUTE(SUBSTITUTE(INDEX('Shopify Import'!$A:$CZ,840,Settings!$E$23)&amp;"","$",""),",","")),0))</f>
        <v/>
      </c>
      <c r="E840" s="11">
        <f>IF(A840="","",IFERROR(VALUE(SUBSTITUTE(SUBSTITUTE(INDEX('Shopify Import'!$A:$CZ,840,Settings!$E$24)&amp;"","$",""),",","")),0))</f>
        <v/>
      </c>
      <c r="F840" s="11">
        <f>IF(A840="","",D840*E840)</f>
        <v/>
      </c>
      <c r="G840">
        <f>IF(A840="","",IF(C840="",1,COUNTIF($C$2:$C$1501,C840)))</f>
        <v/>
      </c>
      <c r="H840" s="11">
        <f>IF(A840="","",IFERROR(VALUE(SUBSTITUTE(SUBSTITUTE(INDEX('Shopify Import'!$A:$CZ,840,Settings!$E$25)&amp;"","$",""),",","")),0)/IF(Settings!$D$27="Yes",G840,1))</f>
        <v/>
      </c>
      <c r="I840" s="11">
        <f>IF(A840="","",IFERROR(VALUE(SUBSTITUTE(SUBSTITUTE(INDEX('Shopify Import'!$A:$CZ,840,Settings!$E$26)&amp;"","$",""),",","")),0)/IF(Settings!$D$27="Yes",G840,1))</f>
        <v/>
      </c>
      <c r="J840" s="11">
        <f>IF(A840="","",F840+H840-I840)</f>
        <v/>
      </c>
      <c r="K840">
        <f>IF(A840="","",IFERROR(IF(B840="",NA(),MATCH(B840,Products!$B$5:$B$204,0)),IFERROR(MATCH(A840,Products!$A$5:$A$204,0),"")))</f>
        <v/>
      </c>
      <c r="L840">
        <f>IF(A840="","",IF(K840="","⚠ not in Products",INDEX(Products!$A$5:$A$204,K840)))</f>
        <v/>
      </c>
      <c r="M840" s="11">
        <f>IF(A840="","",J840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840+IFERROR(INDEX(Settings!$D$5:$D$9,MATCH("Shopify",Settings!$A$5:$A$9,0)),0)*D840)</f>
        <v/>
      </c>
      <c r="N840" s="11">
        <f>IF(A840="","",IF(K840="",0,D840*INDEX(Products!$I$5:$I$204,K840)))</f>
        <v/>
      </c>
      <c r="O840" s="11">
        <f>IF(A840="","",IF(K840="",0,J840*INDEX(Products!$H$5:$H$204,K840)))</f>
        <v/>
      </c>
      <c r="P840" s="11">
        <f>IF(A840="","",J840-M840-N840-O840)</f>
        <v/>
      </c>
    </row>
    <row r="841">
      <c r="A841">
        <f>IFERROR(INDEX('Shopify Import'!$A:$CZ,841,Settings!$E$20)&amp;"","")</f>
        <v/>
      </c>
      <c r="B841">
        <f>IFERROR(INDEX('Shopify Import'!$A:$CZ,841,Settings!$E$21)&amp;"","")</f>
        <v/>
      </c>
      <c r="C841">
        <f>IFERROR(INDEX('Shopify Import'!$A:$CZ,841,Settings!$E$22)&amp;"","")</f>
        <v/>
      </c>
      <c r="D841">
        <f>IF(A841="","",IFERROR(VALUE(SUBSTITUTE(SUBSTITUTE(INDEX('Shopify Import'!$A:$CZ,841,Settings!$E$23)&amp;"","$",""),",","")),0))</f>
        <v/>
      </c>
      <c r="E841" s="11">
        <f>IF(A841="","",IFERROR(VALUE(SUBSTITUTE(SUBSTITUTE(INDEX('Shopify Import'!$A:$CZ,841,Settings!$E$24)&amp;"","$",""),",","")),0))</f>
        <v/>
      </c>
      <c r="F841" s="11">
        <f>IF(A841="","",D841*E841)</f>
        <v/>
      </c>
      <c r="G841">
        <f>IF(A841="","",IF(C841="",1,COUNTIF($C$2:$C$1501,C841)))</f>
        <v/>
      </c>
      <c r="H841" s="11">
        <f>IF(A841="","",IFERROR(VALUE(SUBSTITUTE(SUBSTITUTE(INDEX('Shopify Import'!$A:$CZ,841,Settings!$E$25)&amp;"","$",""),",","")),0)/IF(Settings!$D$27="Yes",G841,1))</f>
        <v/>
      </c>
      <c r="I841" s="11">
        <f>IF(A841="","",IFERROR(VALUE(SUBSTITUTE(SUBSTITUTE(INDEX('Shopify Import'!$A:$CZ,841,Settings!$E$26)&amp;"","$",""),",","")),0)/IF(Settings!$D$27="Yes",G841,1))</f>
        <v/>
      </c>
      <c r="J841" s="11">
        <f>IF(A841="","",F841+H841-I841)</f>
        <v/>
      </c>
      <c r="K841">
        <f>IF(A841="","",IFERROR(IF(B841="",NA(),MATCH(B841,Products!$B$5:$B$204,0)),IFERROR(MATCH(A841,Products!$A$5:$A$204,0),"")))</f>
        <v/>
      </c>
      <c r="L841">
        <f>IF(A841="","",IF(K841="","⚠ not in Products",INDEX(Products!$A$5:$A$204,K841)))</f>
        <v/>
      </c>
      <c r="M841" s="11">
        <f>IF(A841="","",J841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841+IFERROR(INDEX(Settings!$D$5:$D$9,MATCH("Shopify",Settings!$A$5:$A$9,0)),0)*D841)</f>
        <v/>
      </c>
      <c r="N841" s="11">
        <f>IF(A841="","",IF(K841="",0,D841*INDEX(Products!$I$5:$I$204,K841)))</f>
        <v/>
      </c>
      <c r="O841" s="11">
        <f>IF(A841="","",IF(K841="",0,J841*INDEX(Products!$H$5:$H$204,K841)))</f>
        <v/>
      </c>
      <c r="P841" s="11">
        <f>IF(A841="","",J841-M841-N841-O841)</f>
        <v/>
      </c>
    </row>
    <row r="842">
      <c r="A842">
        <f>IFERROR(INDEX('Shopify Import'!$A:$CZ,842,Settings!$E$20)&amp;"","")</f>
        <v/>
      </c>
      <c r="B842">
        <f>IFERROR(INDEX('Shopify Import'!$A:$CZ,842,Settings!$E$21)&amp;"","")</f>
        <v/>
      </c>
      <c r="C842">
        <f>IFERROR(INDEX('Shopify Import'!$A:$CZ,842,Settings!$E$22)&amp;"","")</f>
        <v/>
      </c>
      <c r="D842">
        <f>IF(A842="","",IFERROR(VALUE(SUBSTITUTE(SUBSTITUTE(INDEX('Shopify Import'!$A:$CZ,842,Settings!$E$23)&amp;"","$",""),",","")),0))</f>
        <v/>
      </c>
      <c r="E842" s="11">
        <f>IF(A842="","",IFERROR(VALUE(SUBSTITUTE(SUBSTITUTE(INDEX('Shopify Import'!$A:$CZ,842,Settings!$E$24)&amp;"","$",""),",","")),0))</f>
        <v/>
      </c>
      <c r="F842" s="11">
        <f>IF(A842="","",D842*E842)</f>
        <v/>
      </c>
      <c r="G842">
        <f>IF(A842="","",IF(C842="",1,COUNTIF($C$2:$C$1501,C842)))</f>
        <v/>
      </c>
      <c r="H842" s="11">
        <f>IF(A842="","",IFERROR(VALUE(SUBSTITUTE(SUBSTITUTE(INDEX('Shopify Import'!$A:$CZ,842,Settings!$E$25)&amp;"","$",""),",","")),0)/IF(Settings!$D$27="Yes",G842,1))</f>
        <v/>
      </c>
      <c r="I842" s="11">
        <f>IF(A842="","",IFERROR(VALUE(SUBSTITUTE(SUBSTITUTE(INDEX('Shopify Import'!$A:$CZ,842,Settings!$E$26)&amp;"","$",""),",","")),0)/IF(Settings!$D$27="Yes",G842,1))</f>
        <v/>
      </c>
      <c r="J842" s="11">
        <f>IF(A842="","",F842+H842-I842)</f>
        <v/>
      </c>
      <c r="K842">
        <f>IF(A842="","",IFERROR(IF(B842="",NA(),MATCH(B842,Products!$B$5:$B$204,0)),IFERROR(MATCH(A842,Products!$A$5:$A$204,0),"")))</f>
        <v/>
      </c>
      <c r="L842">
        <f>IF(A842="","",IF(K842="","⚠ not in Products",INDEX(Products!$A$5:$A$204,K842)))</f>
        <v/>
      </c>
      <c r="M842" s="11">
        <f>IF(A842="","",J842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842+IFERROR(INDEX(Settings!$D$5:$D$9,MATCH("Shopify",Settings!$A$5:$A$9,0)),0)*D842)</f>
        <v/>
      </c>
      <c r="N842" s="11">
        <f>IF(A842="","",IF(K842="",0,D842*INDEX(Products!$I$5:$I$204,K842)))</f>
        <v/>
      </c>
      <c r="O842" s="11">
        <f>IF(A842="","",IF(K842="",0,J842*INDEX(Products!$H$5:$H$204,K842)))</f>
        <v/>
      </c>
      <c r="P842" s="11">
        <f>IF(A842="","",J842-M842-N842-O842)</f>
        <v/>
      </c>
    </row>
    <row r="843">
      <c r="A843">
        <f>IFERROR(INDEX('Shopify Import'!$A:$CZ,843,Settings!$E$20)&amp;"","")</f>
        <v/>
      </c>
      <c r="B843">
        <f>IFERROR(INDEX('Shopify Import'!$A:$CZ,843,Settings!$E$21)&amp;"","")</f>
        <v/>
      </c>
      <c r="C843">
        <f>IFERROR(INDEX('Shopify Import'!$A:$CZ,843,Settings!$E$22)&amp;"","")</f>
        <v/>
      </c>
      <c r="D843">
        <f>IF(A843="","",IFERROR(VALUE(SUBSTITUTE(SUBSTITUTE(INDEX('Shopify Import'!$A:$CZ,843,Settings!$E$23)&amp;"","$",""),",","")),0))</f>
        <v/>
      </c>
      <c r="E843" s="11">
        <f>IF(A843="","",IFERROR(VALUE(SUBSTITUTE(SUBSTITUTE(INDEX('Shopify Import'!$A:$CZ,843,Settings!$E$24)&amp;"","$",""),",","")),0))</f>
        <v/>
      </c>
      <c r="F843" s="11">
        <f>IF(A843="","",D843*E843)</f>
        <v/>
      </c>
      <c r="G843">
        <f>IF(A843="","",IF(C843="",1,COUNTIF($C$2:$C$1501,C843)))</f>
        <v/>
      </c>
      <c r="H843" s="11">
        <f>IF(A843="","",IFERROR(VALUE(SUBSTITUTE(SUBSTITUTE(INDEX('Shopify Import'!$A:$CZ,843,Settings!$E$25)&amp;"","$",""),",","")),0)/IF(Settings!$D$27="Yes",G843,1))</f>
        <v/>
      </c>
      <c r="I843" s="11">
        <f>IF(A843="","",IFERROR(VALUE(SUBSTITUTE(SUBSTITUTE(INDEX('Shopify Import'!$A:$CZ,843,Settings!$E$26)&amp;"","$",""),",","")),0)/IF(Settings!$D$27="Yes",G843,1))</f>
        <v/>
      </c>
      <c r="J843" s="11">
        <f>IF(A843="","",F843+H843-I843)</f>
        <v/>
      </c>
      <c r="K843">
        <f>IF(A843="","",IFERROR(IF(B843="",NA(),MATCH(B843,Products!$B$5:$B$204,0)),IFERROR(MATCH(A843,Products!$A$5:$A$204,0),"")))</f>
        <v/>
      </c>
      <c r="L843">
        <f>IF(A843="","",IF(K843="","⚠ not in Products",INDEX(Products!$A$5:$A$204,K843)))</f>
        <v/>
      </c>
      <c r="M843" s="11">
        <f>IF(A843="","",J843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843+IFERROR(INDEX(Settings!$D$5:$D$9,MATCH("Shopify",Settings!$A$5:$A$9,0)),0)*D843)</f>
        <v/>
      </c>
      <c r="N843" s="11">
        <f>IF(A843="","",IF(K843="",0,D843*INDEX(Products!$I$5:$I$204,K843)))</f>
        <v/>
      </c>
      <c r="O843" s="11">
        <f>IF(A843="","",IF(K843="",0,J843*INDEX(Products!$H$5:$H$204,K843)))</f>
        <v/>
      </c>
      <c r="P843" s="11">
        <f>IF(A843="","",J843-M843-N843-O843)</f>
        <v/>
      </c>
    </row>
    <row r="844">
      <c r="A844">
        <f>IFERROR(INDEX('Shopify Import'!$A:$CZ,844,Settings!$E$20)&amp;"","")</f>
        <v/>
      </c>
      <c r="B844">
        <f>IFERROR(INDEX('Shopify Import'!$A:$CZ,844,Settings!$E$21)&amp;"","")</f>
        <v/>
      </c>
      <c r="C844">
        <f>IFERROR(INDEX('Shopify Import'!$A:$CZ,844,Settings!$E$22)&amp;"","")</f>
        <v/>
      </c>
      <c r="D844">
        <f>IF(A844="","",IFERROR(VALUE(SUBSTITUTE(SUBSTITUTE(INDEX('Shopify Import'!$A:$CZ,844,Settings!$E$23)&amp;"","$",""),",","")),0))</f>
        <v/>
      </c>
      <c r="E844" s="11">
        <f>IF(A844="","",IFERROR(VALUE(SUBSTITUTE(SUBSTITUTE(INDEX('Shopify Import'!$A:$CZ,844,Settings!$E$24)&amp;"","$",""),",","")),0))</f>
        <v/>
      </c>
      <c r="F844" s="11">
        <f>IF(A844="","",D844*E844)</f>
        <v/>
      </c>
      <c r="G844">
        <f>IF(A844="","",IF(C844="",1,COUNTIF($C$2:$C$1501,C844)))</f>
        <v/>
      </c>
      <c r="H844" s="11">
        <f>IF(A844="","",IFERROR(VALUE(SUBSTITUTE(SUBSTITUTE(INDEX('Shopify Import'!$A:$CZ,844,Settings!$E$25)&amp;"","$",""),",","")),0)/IF(Settings!$D$27="Yes",G844,1))</f>
        <v/>
      </c>
      <c r="I844" s="11">
        <f>IF(A844="","",IFERROR(VALUE(SUBSTITUTE(SUBSTITUTE(INDEX('Shopify Import'!$A:$CZ,844,Settings!$E$26)&amp;"","$",""),",","")),0)/IF(Settings!$D$27="Yes",G844,1))</f>
        <v/>
      </c>
      <c r="J844" s="11">
        <f>IF(A844="","",F844+H844-I844)</f>
        <v/>
      </c>
      <c r="K844">
        <f>IF(A844="","",IFERROR(IF(B844="",NA(),MATCH(B844,Products!$B$5:$B$204,0)),IFERROR(MATCH(A844,Products!$A$5:$A$204,0),"")))</f>
        <v/>
      </c>
      <c r="L844">
        <f>IF(A844="","",IF(K844="","⚠ not in Products",INDEX(Products!$A$5:$A$204,K844)))</f>
        <v/>
      </c>
      <c r="M844" s="11">
        <f>IF(A844="","",J844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844+IFERROR(INDEX(Settings!$D$5:$D$9,MATCH("Shopify",Settings!$A$5:$A$9,0)),0)*D844)</f>
        <v/>
      </c>
      <c r="N844" s="11">
        <f>IF(A844="","",IF(K844="",0,D844*INDEX(Products!$I$5:$I$204,K844)))</f>
        <v/>
      </c>
      <c r="O844" s="11">
        <f>IF(A844="","",IF(K844="",0,J844*INDEX(Products!$H$5:$H$204,K844)))</f>
        <v/>
      </c>
      <c r="P844" s="11">
        <f>IF(A844="","",J844-M844-N844-O844)</f>
        <v/>
      </c>
    </row>
    <row r="845">
      <c r="A845">
        <f>IFERROR(INDEX('Shopify Import'!$A:$CZ,845,Settings!$E$20)&amp;"","")</f>
        <v/>
      </c>
      <c r="B845">
        <f>IFERROR(INDEX('Shopify Import'!$A:$CZ,845,Settings!$E$21)&amp;"","")</f>
        <v/>
      </c>
      <c r="C845">
        <f>IFERROR(INDEX('Shopify Import'!$A:$CZ,845,Settings!$E$22)&amp;"","")</f>
        <v/>
      </c>
      <c r="D845">
        <f>IF(A845="","",IFERROR(VALUE(SUBSTITUTE(SUBSTITUTE(INDEX('Shopify Import'!$A:$CZ,845,Settings!$E$23)&amp;"","$",""),",","")),0))</f>
        <v/>
      </c>
      <c r="E845" s="11">
        <f>IF(A845="","",IFERROR(VALUE(SUBSTITUTE(SUBSTITUTE(INDEX('Shopify Import'!$A:$CZ,845,Settings!$E$24)&amp;"","$",""),",","")),0))</f>
        <v/>
      </c>
      <c r="F845" s="11">
        <f>IF(A845="","",D845*E845)</f>
        <v/>
      </c>
      <c r="G845">
        <f>IF(A845="","",IF(C845="",1,COUNTIF($C$2:$C$1501,C845)))</f>
        <v/>
      </c>
      <c r="H845" s="11">
        <f>IF(A845="","",IFERROR(VALUE(SUBSTITUTE(SUBSTITUTE(INDEX('Shopify Import'!$A:$CZ,845,Settings!$E$25)&amp;"","$",""),",","")),0)/IF(Settings!$D$27="Yes",G845,1))</f>
        <v/>
      </c>
      <c r="I845" s="11">
        <f>IF(A845="","",IFERROR(VALUE(SUBSTITUTE(SUBSTITUTE(INDEX('Shopify Import'!$A:$CZ,845,Settings!$E$26)&amp;"","$",""),",","")),0)/IF(Settings!$D$27="Yes",G845,1))</f>
        <v/>
      </c>
      <c r="J845" s="11">
        <f>IF(A845="","",F845+H845-I845)</f>
        <v/>
      </c>
      <c r="K845">
        <f>IF(A845="","",IFERROR(IF(B845="",NA(),MATCH(B845,Products!$B$5:$B$204,0)),IFERROR(MATCH(A845,Products!$A$5:$A$204,0),"")))</f>
        <v/>
      </c>
      <c r="L845">
        <f>IF(A845="","",IF(K845="","⚠ not in Products",INDEX(Products!$A$5:$A$204,K845)))</f>
        <v/>
      </c>
      <c r="M845" s="11">
        <f>IF(A845="","",J845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845+IFERROR(INDEX(Settings!$D$5:$D$9,MATCH("Shopify",Settings!$A$5:$A$9,0)),0)*D845)</f>
        <v/>
      </c>
      <c r="N845" s="11">
        <f>IF(A845="","",IF(K845="",0,D845*INDEX(Products!$I$5:$I$204,K845)))</f>
        <v/>
      </c>
      <c r="O845" s="11">
        <f>IF(A845="","",IF(K845="",0,J845*INDEX(Products!$H$5:$H$204,K845)))</f>
        <v/>
      </c>
      <c r="P845" s="11">
        <f>IF(A845="","",J845-M845-N845-O845)</f>
        <v/>
      </c>
    </row>
    <row r="846">
      <c r="A846">
        <f>IFERROR(INDEX('Shopify Import'!$A:$CZ,846,Settings!$E$20)&amp;"","")</f>
        <v/>
      </c>
      <c r="B846">
        <f>IFERROR(INDEX('Shopify Import'!$A:$CZ,846,Settings!$E$21)&amp;"","")</f>
        <v/>
      </c>
      <c r="C846">
        <f>IFERROR(INDEX('Shopify Import'!$A:$CZ,846,Settings!$E$22)&amp;"","")</f>
        <v/>
      </c>
      <c r="D846">
        <f>IF(A846="","",IFERROR(VALUE(SUBSTITUTE(SUBSTITUTE(INDEX('Shopify Import'!$A:$CZ,846,Settings!$E$23)&amp;"","$",""),",","")),0))</f>
        <v/>
      </c>
      <c r="E846" s="11">
        <f>IF(A846="","",IFERROR(VALUE(SUBSTITUTE(SUBSTITUTE(INDEX('Shopify Import'!$A:$CZ,846,Settings!$E$24)&amp;"","$",""),",","")),0))</f>
        <v/>
      </c>
      <c r="F846" s="11">
        <f>IF(A846="","",D846*E846)</f>
        <v/>
      </c>
      <c r="G846">
        <f>IF(A846="","",IF(C846="",1,COUNTIF($C$2:$C$1501,C846)))</f>
        <v/>
      </c>
      <c r="H846" s="11">
        <f>IF(A846="","",IFERROR(VALUE(SUBSTITUTE(SUBSTITUTE(INDEX('Shopify Import'!$A:$CZ,846,Settings!$E$25)&amp;"","$",""),",","")),0)/IF(Settings!$D$27="Yes",G846,1))</f>
        <v/>
      </c>
      <c r="I846" s="11">
        <f>IF(A846="","",IFERROR(VALUE(SUBSTITUTE(SUBSTITUTE(INDEX('Shopify Import'!$A:$CZ,846,Settings!$E$26)&amp;"","$",""),",","")),0)/IF(Settings!$D$27="Yes",G846,1))</f>
        <v/>
      </c>
      <c r="J846" s="11">
        <f>IF(A846="","",F846+H846-I846)</f>
        <v/>
      </c>
      <c r="K846">
        <f>IF(A846="","",IFERROR(IF(B846="",NA(),MATCH(B846,Products!$B$5:$B$204,0)),IFERROR(MATCH(A846,Products!$A$5:$A$204,0),"")))</f>
        <v/>
      </c>
      <c r="L846">
        <f>IF(A846="","",IF(K846="","⚠ not in Products",INDEX(Products!$A$5:$A$204,K846)))</f>
        <v/>
      </c>
      <c r="M846" s="11">
        <f>IF(A846="","",J846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846+IFERROR(INDEX(Settings!$D$5:$D$9,MATCH("Shopify",Settings!$A$5:$A$9,0)),0)*D846)</f>
        <v/>
      </c>
      <c r="N846" s="11">
        <f>IF(A846="","",IF(K846="",0,D846*INDEX(Products!$I$5:$I$204,K846)))</f>
        <v/>
      </c>
      <c r="O846" s="11">
        <f>IF(A846="","",IF(K846="",0,J846*INDEX(Products!$H$5:$H$204,K846)))</f>
        <v/>
      </c>
      <c r="P846" s="11">
        <f>IF(A846="","",J846-M846-N846-O846)</f>
        <v/>
      </c>
    </row>
    <row r="847">
      <c r="A847">
        <f>IFERROR(INDEX('Shopify Import'!$A:$CZ,847,Settings!$E$20)&amp;"","")</f>
        <v/>
      </c>
      <c r="B847">
        <f>IFERROR(INDEX('Shopify Import'!$A:$CZ,847,Settings!$E$21)&amp;"","")</f>
        <v/>
      </c>
      <c r="C847">
        <f>IFERROR(INDEX('Shopify Import'!$A:$CZ,847,Settings!$E$22)&amp;"","")</f>
        <v/>
      </c>
      <c r="D847">
        <f>IF(A847="","",IFERROR(VALUE(SUBSTITUTE(SUBSTITUTE(INDEX('Shopify Import'!$A:$CZ,847,Settings!$E$23)&amp;"","$",""),",","")),0))</f>
        <v/>
      </c>
      <c r="E847" s="11">
        <f>IF(A847="","",IFERROR(VALUE(SUBSTITUTE(SUBSTITUTE(INDEX('Shopify Import'!$A:$CZ,847,Settings!$E$24)&amp;"","$",""),",","")),0))</f>
        <v/>
      </c>
      <c r="F847" s="11">
        <f>IF(A847="","",D847*E847)</f>
        <v/>
      </c>
      <c r="G847">
        <f>IF(A847="","",IF(C847="",1,COUNTIF($C$2:$C$1501,C847)))</f>
        <v/>
      </c>
      <c r="H847" s="11">
        <f>IF(A847="","",IFERROR(VALUE(SUBSTITUTE(SUBSTITUTE(INDEX('Shopify Import'!$A:$CZ,847,Settings!$E$25)&amp;"","$",""),",","")),0)/IF(Settings!$D$27="Yes",G847,1))</f>
        <v/>
      </c>
      <c r="I847" s="11">
        <f>IF(A847="","",IFERROR(VALUE(SUBSTITUTE(SUBSTITUTE(INDEX('Shopify Import'!$A:$CZ,847,Settings!$E$26)&amp;"","$",""),",","")),0)/IF(Settings!$D$27="Yes",G847,1))</f>
        <v/>
      </c>
      <c r="J847" s="11">
        <f>IF(A847="","",F847+H847-I847)</f>
        <v/>
      </c>
      <c r="K847">
        <f>IF(A847="","",IFERROR(IF(B847="",NA(),MATCH(B847,Products!$B$5:$B$204,0)),IFERROR(MATCH(A847,Products!$A$5:$A$204,0),"")))</f>
        <v/>
      </c>
      <c r="L847">
        <f>IF(A847="","",IF(K847="","⚠ not in Products",INDEX(Products!$A$5:$A$204,K847)))</f>
        <v/>
      </c>
      <c r="M847" s="11">
        <f>IF(A847="","",J847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847+IFERROR(INDEX(Settings!$D$5:$D$9,MATCH("Shopify",Settings!$A$5:$A$9,0)),0)*D847)</f>
        <v/>
      </c>
      <c r="N847" s="11">
        <f>IF(A847="","",IF(K847="",0,D847*INDEX(Products!$I$5:$I$204,K847)))</f>
        <v/>
      </c>
      <c r="O847" s="11">
        <f>IF(A847="","",IF(K847="",0,J847*INDEX(Products!$H$5:$H$204,K847)))</f>
        <v/>
      </c>
      <c r="P847" s="11">
        <f>IF(A847="","",J847-M847-N847-O847)</f>
        <v/>
      </c>
    </row>
    <row r="848">
      <c r="A848">
        <f>IFERROR(INDEX('Shopify Import'!$A:$CZ,848,Settings!$E$20)&amp;"","")</f>
        <v/>
      </c>
      <c r="B848">
        <f>IFERROR(INDEX('Shopify Import'!$A:$CZ,848,Settings!$E$21)&amp;"","")</f>
        <v/>
      </c>
      <c r="C848">
        <f>IFERROR(INDEX('Shopify Import'!$A:$CZ,848,Settings!$E$22)&amp;"","")</f>
        <v/>
      </c>
      <c r="D848">
        <f>IF(A848="","",IFERROR(VALUE(SUBSTITUTE(SUBSTITUTE(INDEX('Shopify Import'!$A:$CZ,848,Settings!$E$23)&amp;"","$",""),",","")),0))</f>
        <v/>
      </c>
      <c r="E848" s="11">
        <f>IF(A848="","",IFERROR(VALUE(SUBSTITUTE(SUBSTITUTE(INDEX('Shopify Import'!$A:$CZ,848,Settings!$E$24)&amp;"","$",""),",","")),0))</f>
        <v/>
      </c>
      <c r="F848" s="11">
        <f>IF(A848="","",D848*E848)</f>
        <v/>
      </c>
      <c r="G848">
        <f>IF(A848="","",IF(C848="",1,COUNTIF($C$2:$C$1501,C848)))</f>
        <v/>
      </c>
      <c r="H848" s="11">
        <f>IF(A848="","",IFERROR(VALUE(SUBSTITUTE(SUBSTITUTE(INDEX('Shopify Import'!$A:$CZ,848,Settings!$E$25)&amp;"","$",""),",","")),0)/IF(Settings!$D$27="Yes",G848,1))</f>
        <v/>
      </c>
      <c r="I848" s="11">
        <f>IF(A848="","",IFERROR(VALUE(SUBSTITUTE(SUBSTITUTE(INDEX('Shopify Import'!$A:$CZ,848,Settings!$E$26)&amp;"","$",""),",","")),0)/IF(Settings!$D$27="Yes",G848,1))</f>
        <v/>
      </c>
      <c r="J848" s="11">
        <f>IF(A848="","",F848+H848-I848)</f>
        <v/>
      </c>
      <c r="K848">
        <f>IF(A848="","",IFERROR(IF(B848="",NA(),MATCH(B848,Products!$B$5:$B$204,0)),IFERROR(MATCH(A848,Products!$A$5:$A$204,0),"")))</f>
        <v/>
      </c>
      <c r="L848">
        <f>IF(A848="","",IF(K848="","⚠ not in Products",INDEX(Products!$A$5:$A$204,K848)))</f>
        <v/>
      </c>
      <c r="M848" s="11">
        <f>IF(A848="","",J848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848+IFERROR(INDEX(Settings!$D$5:$D$9,MATCH("Shopify",Settings!$A$5:$A$9,0)),0)*D848)</f>
        <v/>
      </c>
      <c r="N848" s="11">
        <f>IF(A848="","",IF(K848="",0,D848*INDEX(Products!$I$5:$I$204,K848)))</f>
        <v/>
      </c>
      <c r="O848" s="11">
        <f>IF(A848="","",IF(K848="",0,J848*INDEX(Products!$H$5:$H$204,K848)))</f>
        <v/>
      </c>
      <c r="P848" s="11">
        <f>IF(A848="","",J848-M848-N848-O848)</f>
        <v/>
      </c>
    </row>
    <row r="849">
      <c r="A849">
        <f>IFERROR(INDEX('Shopify Import'!$A:$CZ,849,Settings!$E$20)&amp;"","")</f>
        <v/>
      </c>
      <c r="B849">
        <f>IFERROR(INDEX('Shopify Import'!$A:$CZ,849,Settings!$E$21)&amp;"","")</f>
        <v/>
      </c>
      <c r="C849">
        <f>IFERROR(INDEX('Shopify Import'!$A:$CZ,849,Settings!$E$22)&amp;"","")</f>
        <v/>
      </c>
      <c r="D849">
        <f>IF(A849="","",IFERROR(VALUE(SUBSTITUTE(SUBSTITUTE(INDEX('Shopify Import'!$A:$CZ,849,Settings!$E$23)&amp;"","$",""),",","")),0))</f>
        <v/>
      </c>
      <c r="E849" s="11">
        <f>IF(A849="","",IFERROR(VALUE(SUBSTITUTE(SUBSTITUTE(INDEX('Shopify Import'!$A:$CZ,849,Settings!$E$24)&amp;"","$",""),",","")),0))</f>
        <v/>
      </c>
      <c r="F849" s="11">
        <f>IF(A849="","",D849*E849)</f>
        <v/>
      </c>
      <c r="G849">
        <f>IF(A849="","",IF(C849="",1,COUNTIF($C$2:$C$1501,C849)))</f>
        <v/>
      </c>
      <c r="H849" s="11">
        <f>IF(A849="","",IFERROR(VALUE(SUBSTITUTE(SUBSTITUTE(INDEX('Shopify Import'!$A:$CZ,849,Settings!$E$25)&amp;"","$",""),",","")),0)/IF(Settings!$D$27="Yes",G849,1))</f>
        <v/>
      </c>
      <c r="I849" s="11">
        <f>IF(A849="","",IFERROR(VALUE(SUBSTITUTE(SUBSTITUTE(INDEX('Shopify Import'!$A:$CZ,849,Settings!$E$26)&amp;"","$",""),",","")),0)/IF(Settings!$D$27="Yes",G849,1))</f>
        <v/>
      </c>
      <c r="J849" s="11">
        <f>IF(A849="","",F849+H849-I849)</f>
        <v/>
      </c>
      <c r="K849">
        <f>IF(A849="","",IFERROR(IF(B849="",NA(),MATCH(B849,Products!$B$5:$B$204,0)),IFERROR(MATCH(A849,Products!$A$5:$A$204,0),"")))</f>
        <v/>
      </c>
      <c r="L849">
        <f>IF(A849="","",IF(K849="","⚠ not in Products",INDEX(Products!$A$5:$A$204,K849)))</f>
        <v/>
      </c>
      <c r="M849" s="11">
        <f>IF(A849="","",J849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849+IFERROR(INDEX(Settings!$D$5:$D$9,MATCH("Shopify",Settings!$A$5:$A$9,0)),0)*D849)</f>
        <v/>
      </c>
      <c r="N849" s="11">
        <f>IF(A849="","",IF(K849="",0,D849*INDEX(Products!$I$5:$I$204,K849)))</f>
        <v/>
      </c>
      <c r="O849" s="11">
        <f>IF(A849="","",IF(K849="",0,J849*INDEX(Products!$H$5:$H$204,K849)))</f>
        <v/>
      </c>
      <c r="P849" s="11">
        <f>IF(A849="","",J849-M849-N849-O849)</f>
        <v/>
      </c>
    </row>
    <row r="850">
      <c r="A850">
        <f>IFERROR(INDEX('Shopify Import'!$A:$CZ,850,Settings!$E$20)&amp;"","")</f>
        <v/>
      </c>
      <c r="B850">
        <f>IFERROR(INDEX('Shopify Import'!$A:$CZ,850,Settings!$E$21)&amp;"","")</f>
        <v/>
      </c>
      <c r="C850">
        <f>IFERROR(INDEX('Shopify Import'!$A:$CZ,850,Settings!$E$22)&amp;"","")</f>
        <v/>
      </c>
      <c r="D850">
        <f>IF(A850="","",IFERROR(VALUE(SUBSTITUTE(SUBSTITUTE(INDEX('Shopify Import'!$A:$CZ,850,Settings!$E$23)&amp;"","$",""),",","")),0))</f>
        <v/>
      </c>
      <c r="E850" s="11">
        <f>IF(A850="","",IFERROR(VALUE(SUBSTITUTE(SUBSTITUTE(INDEX('Shopify Import'!$A:$CZ,850,Settings!$E$24)&amp;"","$",""),",","")),0))</f>
        <v/>
      </c>
      <c r="F850" s="11">
        <f>IF(A850="","",D850*E850)</f>
        <v/>
      </c>
      <c r="G850">
        <f>IF(A850="","",IF(C850="",1,COUNTIF($C$2:$C$1501,C850)))</f>
        <v/>
      </c>
      <c r="H850" s="11">
        <f>IF(A850="","",IFERROR(VALUE(SUBSTITUTE(SUBSTITUTE(INDEX('Shopify Import'!$A:$CZ,850,Settings!$E$25)&amp;"","$",""),",","")),0)/IF(Settings!$D$27="Yes",G850,1))</f>
        <v/>
      </c>
      <c r="I850" s="11">
        <f>IF(A850="","",IFERROR(VALUE(SUBSTITUTE(SUBSTITUTE(INDEX('Shopify Import'!$A:$CZ,850,Settings!$E$26)&amp;"","$",""),",","")),0)/IF(Settings!$D$27="Yes",G850,1))</f>
        <v/>
      </c>
      <c r="J850" s="11">
        <f>IF(A850="","",F850+H850-I850)</f>
        <v/>
      </c>
      <c r="K850">
        <f>IF(A850="","",IFERROR(IF(B850="",NA(),MATCH(B850,Products!$B$5:$B$204,0)),IFERROR(MATCH(A850,Products!$A$5:$A$204,0),"")))</f>
        <v/>
      </c>
      <c r="L850">
        <f>IF(A850="","",IF(K850="","⚠ not in Products",INDEX(Products!$A$5:$A$204,K850)))</f>
        <v/>
      </c>
      <c r="M850" s="11">
        <f>IF(A850="","",J850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850+IFERROR(INDEX(Settings!$D$5:$D$9,MATCH("Shopify",Settings!$A$5:$A$9,0)),0)*D850)</f>
        <v/>
      </c>
      <c r="N850" s="11">
        <f>IF(A850="","",IF(K850="",0,D850*INDEX(Products!$I$5:$I$204,K850)))</f>
        <v/>
      </c>
      <c r="O850" s="11">
        <f>IF(A850="","",IF(K850="",0,J850*INDEX(Products!$H$5:$H$204,K850)))</f>
        <v/>
      </c>
      <c r="P850" s="11">
        <f>IF(A850="","",J850-M850-N850-O850)</f>
        <v/>
      </c>
    </row>
    <row r="851">
      <c r="A851">
        <f>IFERROR(INDEX('Shopify Import'!$A:$CZ,851,Settings!$E$20)&amp;"","")</f>
        <v/>
      </c>
      <c r="B851">
        <f>IFERROR(INDEX('Shopify Import'!$A:$CZ,851,Settings!$E$21)&amp;"","")</f>
        <v/>
      </c>
      <c r="C851">
        <f>IFERROR(INDEX('Shopify Import'!$A:$CZ,851,Settings!$E$22)&amp;"","")</f>
        <v/>
      </c>
      <c r="D851">
        <f>IF(A851="","",IFERROR(VALUE(SUBSTITUTE(SUBSTITUTE(INDEX('Shopify Import'!$A:$CZ,851,Settings!$E$23)&amp;"","$",""),",","")),0))</f>
        <v/>
      </c>
      <c r="E851" s="11">
        <f>IF(A851="","",IFERROR(VALUE(SUBSTITUTE(SUBSTITUTE(INDEX('Shopify Import'!$A:$CZ,851,Settings!$E$24)&amp;"","$",""),",","")),0))</f>
        <v/>
      </c>
      <c r="F851" s="11">
        <f>IF(A851="","",D851*E851)</f>
        <v/>
      </c>
      <c r="G851">
        <f>IF(A851="","",IF(C851="",1,COUNTIF($C$2:$C$1501,C851)))</f>
        <v/>
      </c>
      <c r="H851" s="11">
        <f>IF(A851="","",IFERROR(VALUE(SUBSTITUTE(SUBSTITUTE(INDEX('Shopify Import'!$A:$CZ,851,Settings!$E$25)&amp;"","$",""),",","")),0)/IF(Settings!$D$27="Yes",G851,1))</f>
        <v/>
      </c>
      <c r="I851" s="11">
        <f>IF(A851="","",IFERROR(VALUE(SUBSTITUTE(SUBSTITUTE(INDEX('Shopify Import'!$A:$CZ,851,Settings!$E$26)&amp;"","$",""),",","")),0)/IF(Settings!$D$27="Yes",G851,1))</f>
        <v/>
      </c>
      <c r="J851" s="11">
        <f>IF(A851="","",F851+H851-I851)</f>
        <v/>
      </c>
      <c r="K851">
        <f>IF(A851="","",IFERROR(IF(B851="",NA(),MATCH(B851,Products!$B$5:$B$204,0)),IFERROR(MATCH(A851,Products!$A$5:$A$204,0),"")))</f>
        <v/>
      </c>
      <c r="L851">
        <f>IF(A851="","",IF(K851="","⚠ not in Products",INDEX(Products!$A$5:$A$204,K851)))</f>
        <v/>
      </c>
      <c r="M851" s="11">
        <f>IF(A851="","",J851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851+IFERROR(INDEX(Settings!$D$5:$D$9,MATCH("Shopify",Settings!$A$5:$A$9,0)),0)*D851)</f>
        <v/>
      </c>
      <c r="N851" s="11">
        <f>IF(A851="","",IF(K851="",0,D851*INDEX(Products!$I$5:$I$204,K851)))</f>
        <v/>
      </c>
      <c r="O851" s="11">
        <f>IF(A851="","",IF(K851="",0,J851*INDEX(Products!$H$5:$H$204,K851)))</f>
        <v/>
      </c>
      <c r="P851" s="11">
        <f>IF(A851="","",J851-M851-N851-O851)</f>
        <v/>
      </c>
    </row>
    <row r="852">
      <c r="A852">
        <f>IFERROR(INDEX('Shopify Import'!$A:$CZ,852,Settings!$E$20)&amp;"","")</f>
        <v/>
      </c>
      <c r="B852">
        <f>IFERROR(INDEX('Shopify Import'!$A:$CZ,852,Settings!$E$21)&amp;"","")</f>
        <v/>
      </c>
      <c r="C852">
        <f>IFERROR(INDEX('Shopify Import'!$A:$CZ,852,Settings!$E$22)&amp;"","")</f>
        <v/>
      </c>
      <c r="D852">
        <f>IF(A852="","",IFERROR(VALUE(SUBSTITUTE(SUBSTITUTE(INDEX('Shopify Import'!$A:$CZ,852,Settings!$E$23)&amp;"","$",""),",","")),0))</f>
        <v/>
      </c>
      <c r="E852" s="11">
        <f>IF(A852="","",IFERROR(VALUE(SUBSTITUTE(SUBSTITUTE(INDEX('Shopify Import'!$A:$CZ,852,Settings!$E$24)&amp;"","$",""),",","")),0))</f>
        <v/>
      </c>
      <c r="F852" s="11">
        <f>IF(A852="","",D852*E852)</f>
        <v/>
      </c>
      <c r="G852">
        <f>IF(A852="","",IF(C852="",1,COUNTIF($C$2:$C$1501,C852)))</f>
        <v/>
      </c>
      <c r="H852" s="11">
        <f>IF(A852="","",IFERROR(VALUE(SUBSTITUTE(SUBSTITUTE(INDEX('Shopify Import'!$A:$CZ,852,Settings!$E$25)&amp;"","$",""),",","")),0)/IF(Settings!$D$27="Yes",G852,1))</f>
        <v/>
      </c>
      <c r="I852" s="11">
        <f>IF(A852="","",IFERROR(VALUE(SUBSTITUTE(SUBSTITUTE(INDEX('Shopify Import'!$A:$CZ,852,Settings!$E$26)&amp;"","$",""),",","")),0)/IF(Settings!$D$27="Yes",G852,1))</f>
        <v/>
      </c>
      <c r="J852" s="11">
        <f>IF(A852="","",F852+H852-I852)</f>
        <v/>
      </c>
      <c r="K852">
        <f>IF(A852="","",IFERROR(IF(B852="",NA(),MATCH(B852,Products!$B$5:$B$204,0)),IFERROR(MATCH(A852,Products!$A$5:$A$204,0),"")))</f>
        <v/>
      </c>
      <c r="L852">
        <f>IF(A852="","",IF(K852="","⚠ not in Products",INDEX(Products!$A$5:$A$204,K852)))</f>
        <v/>
      </c>
      <c r="M852" s="11">
        <f>IF(A852="","",J852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852+IFERROR(INDEX(Settings!$D$5:$D$9,MATCH("Shopify",Settings!$A$5:$A$9,0)),0)*D852)</f>
        <v/>
      </c>
      <c r="N852" s="11">
        <f>IF(A852="","",IF(K852="",0,D852*INDEX(Products!$I$5:$I$204,K852)))</f>
        <v/>
      </c>
      <c r="O852" s="11">
        <f>IF(A852="","",IF(K852="",0,J852*INDEX(Products!$H$5:$H$204,K852)))</f>
        <v/>
      </c>
      <c r="P852" s="11">
        <f>IF(A852="","",J852-M852-N852-O852)</f>
        <v/>
      </c>
    </row>
    <row r="853">
      <c r="A853">
        <f>IFERROR(INDEX('Shopify Import'!$A:$CZ,853,Settings!$E$20)&amp;"","")</f>
        <v/>
      </c>
      <c r="B853">
        <f>IFERROR(INDEX('Shopify Import'!$A:$CZ,853,Settings!$E$21)&amp;"","")</f>
        <v/>
      </c>
      <c r="C853">
        <f>IFERROR(INDEX('Shopify Import'!$A:$CZ,853,Settings!$E$22)&amp;"","")</f>
        <v/>
      </c>
      <c r="D853">
        <f>IF(A853="","",IFERROR(VALUE(SUBSTITUTE(SUBSTITUTE(INDEX('Shopify Import'!$A:$CZ,853,Settings!$E$23)&amp;"","$",""),",","")),0))</f>
        <v/>
      </c>
      <c r="E853" s="11">
        <f>IF(A853="","",IFERROR(VALUE(SUBSTITUTE(SUBSTITUTE(INDEX('Shopify Import'!$A:$CZ,853,Settings!$E$24)&amp;"","$",""),",","")),0))</f>
        <v/>
      </c>
      <c r="F853" s="11">
        <f>IF(A853="","",D853*E853)</f>
        <v/>
      </c>
      <c r="G853">
        <f>IF(A853="","",IF(C853="",1,COUNTIF($C$2:$C$1501,C853)))</f>
        <v/>
      </c>
      <c r="H853" s="11">
        <f>IF(A853="","",IFERROR(VALUE(SUBSTITUTE(SUBSTITUTE(INDEX('Shopify Import'!$A:$CZ,853,Settings!$E$25)&amp;"","$",""),",","")),0)/IF(Settings!$D$27="Yes",G853,1))</f>
        <v/>
      </c>
      <c r="I853" s="11">
        <f>IF(A853="","",IFERROR(VALUE(SUBSTITUTE(SUBSTITUTE(INDEX('Shopify Import'!$A:$CZ,853,Settings!$E$26)&amp;"","$",""),",","")),0)/IF(Settings!$D$27="Yes",G853,1))</f>
        <v/>
      </c>
      <c r="J853" s="11">
        <f>IF(A853="","",F853+H853-I853)</f>
        <v/>
      </c>
      <c r="K853">
        <f>IF(A853="","",IFERROR(IF(B853="",NA(),MATCH(B853,Products!$B$5:$B$204,0)),IFERROR(MATCH(A853,Products!$A$5:$A$204,0),"")))</f>
        <v/>
      </c>
      <c r="L853">
        <f>IF(A853="","",IF(K853="","⚠ not in Products",INDEX(Products!$A$5:$A$204,K853)))</f>
        <v/>
      </c>
      <c r="M853" s="11">
        <f>IF(A853="","",J853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853+IFERROR(INDEX(Settings!$D$5:$D$9,MATCH("Shopify",Settings!$A$5:$A$9,0)),0)*D853)</f>
        <v/>
      </c>
      <c r="N853" s="11">
        <f>IF(A853="","",IF(K853="",0,D853*INDEX(Products!$I$5:$I$204,K853)))</f>
        <v/>
      </c>
      <c r="O853" s="11">
        <f>IF(A853="","",IF(K853="",0,J853*INDEX(Products!$H$5:$H$204,K853)))</f>
        <v/>
      </c>
      <c r="P853" s="11">
        <f>IF(A853="","",J853-M853-N853-O853)</f>
        <v/>
      </c>
    </row>
    <row r="854">
      <c r="A854">
        <f>IFERROR(INDEX('Shopify Import'!$A:$CZ,854,Settings!$E$20)&amp;"","")</f>
        <v/>
      </c>
      <c r="B854">
        <f>IFERROR(INDEX('Shopify Import'!$A:$CZ,854,Settings!$E$21)&amp;"","")</f>
        <v/>
      </c>
      <c r="C854">
        <f>IFERROR(INDEX('Shopify Import'!$A:$CZ,854,Settings!$E$22)&amp;"","")</f>
        <v/>
      </c>
      <c r="D854">
        <f>IF(A854="","",IFERROR(VALUE(SUBSTITUTE(SUBSTITUTE(INDEX('Shopify Import'!$A:$CZ,854,Settings!$E$23)&amp;"","$",""),",","")),0))</f>
        <v/>
      </c>
      <c r="E854" s="11">
        <f>IF(A854="","",IFERROR(VALUE(SUBSTITUTE(SUBSTITUTE(INDEX('Shopify Import'!$A:$CZ,854,Settings!$E$24)&amp;"","$",""),",","")),0))</f>
        <v/>
      </c>
      <c r="F854" s="11">
        <f>IF(A854="","",D854*E854)</f>
        <v/>
      </c>
      <c r="G854">
        <f>IF(A854="","",IF(C854="",1,COUNTIF($C$2:$C$1501,C854)))</f>
        <v/>
      </c>
      <c r="H854" s="11">
        <f>IF(A854="","",IFERROR(VALUE(SUBSTITUTE(SUBSTITUTE(INDEX('Shopify Import'!$A:$CZ,854,Settings!$E$25)&amp;"","$",""),",","")),0)/IF(Settings!$D$27="Yes",G854,1))</f>
        <v/>
      </c>
      <c r="I854" s="11">
        <f>IF(A854="","",IFERROR(VALUE(SUBSTITUTE(SUBSTITUTE(INDEX('Shopify Import'!$A:$CZ,854,Settings!$E$26)&amp;"","$",""),",","")),0)/IF(Settings!$D$27="Yes",G854,1))</f>
        <v/>
      </c>
      <c r="J854" s="11">
        <f>IF(A854="","",F854+H854-I854)</f>
        <v/>
      </c>
      <c r="K854">
        <f>IF(A854="","",IFERROR(IF(B854="",NA(),MATCH(B854,Products!$B$5:$B$204,0)),IFERROR(MATCH(A854,Products!$A$5:$A$204,0),"")))</f>
        <v/>
      </c>
      <c r="L854">
        <f>IF(A854="","",IF(K854="","⚠ not in Products",INDEX(Products!$A$5:$A$204,K854)))</f>
        <v/>
      </c>
      <c r="M854" s="11">
        <f>IF(A854="","",J854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854+IFERROR(INDEX(Settings!$D$5:$D$9,MATCH("Shopify",Settings!$A$5:$A$9,0)),0)*D854)</f>
        <v/>
      </c>
      <c r="N854" s="11">
        <f>IF(A854="","",IF(K854="",0,D854*INDEX(Products!$I$5:$I$204,K854)))</f>
        <v/>
      </c>
      <c r="O854" s="11">
        <f>IF(A854="","",IF(K854="",0,J854*INDEX(Products!$H$5:$H$204,K854)))</f>
        <v/>
      </c>
      <c r="P854" s="11">
        <f>IF(A854="","",J854-M854-N854-O854)</f>
        <v/>
      </c>
    </row>
    <row r="855">
      <c r="A855">
        <f>IFERROR(INDEX('Shopify Import'!$A:$CZ,855,Settings!$E$20)&amp;"","")</f>
        <v/>
      </c>
      <c r="B855">
        <f>IFERROR(INDEX('Shopify Import'!$A:$CZ,855,Settings!$E$21)&amp;"","")</f>
        <v/>
      </c>
      <c r="C855">
        <f>IFERROR(INDEX('Shopify Import'!$A:$CZ,855,Settings!$E$22)&amp;"","")</f>
        <v/>
      </c>
      <c r="D855">
        <f>IF(A855="","",IFERROR(VALUE(SUBSTITUTE(SUBSTITUTE(INDEX('Shopify Import'!$A:$CZ,855,Settings!$E$23)&amp;"","$",""),",","")),0))</f>
        <v/>
      </c>
      <c r="E855" s="11">
        <f>IF(A855="","",IFERROR(VALUE(SUBSTITUTE(SUBSTITUTE(INDEX('Shopify Import'!$A:$CZ,855,Settings!$E$24)&amp;"","$",""),",","")),0))</f>
        <v/>
      </c>
      <c r="F855" s="11">
        <f>IF(A855="","",D855*E855)</f>
        <v/>
      </c>
      <c r="G855">
        <f>IF(A855="","",IF(C855="",1,COUNTIF($C$2:$C$1501,C855)))</f>
        <v/>
      </c>
      <c r="H855" s="11">
        <f>IF(A855="","",IFERROR(VALUE(SUBSTITUTE(SUBSTITUTE(INDEX('Shopify Import'!$A:$CZ,855,Settings!$E$25)&amp;"","$",""),",","")),0)/IF(Settings!$D$27="Yes",G855,1))</f>
        <v/>
      </c>
      <c r="I855" s="11">
        <f>IF(A855="","",IFERROR(VALUE(SUBSTITUTE(SUBSTITUTE(INDEX('Shopify Import'!$A:$CZ,855,Settings!$E$26)&amp;"","$",""),",","")),0)/IF(Settings!$D$27="Yes",G855,1))</f>
        <v/>
      </c>
      <c r="J855" s="11">
        <f>IF(A855="","",F855+H855-I855)</f>
        <v/>
      </c>
      <c r="K855">
        <f>IF(A855="","",IFERROR(IF(B855="",NA(),MATCH(B855,Products!$B$5:$B$204,0)),IFERROR(MATCH(A855,Products!$A$5:$A$204,0),"")))</f>
        <v/>
      </c>
      <c r="L855">
        <f>IF(A855="","",IF(K855="","⚠ not in Products",INDEX(Products!$A$5:$A$204,K855)))</f>
        <v/>
      </c>
      <c r="M855" s="11">
        <f>IF(A855="","",J855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855+IFERROR(INDEX(Settings!$D$5:$D$9,MATCH("Shopify",Settings!$A$5:$A$9,0)),0)*D855)</f>
        <v/>
      </c>
      <c r="N855" s="11">
        <f>IF(A855="","",IF(K855="",0,D855*INDEX(Products!$I$5:$I$204,K855)))</f>
        <v/>
      </c>
      <c r="O855" s="11">
        <f>IF(A855="","",IF(K855="",0,J855*INDEX(Products!$H$5:$H$204,K855)))</f>
        <v/>
      </c>
      <c r="P855" s="11">
        <f>IF(A855="","",J855-M855-N855-O855)</f>
        <v/>
      </c>
    </row>
    <row r="856">
      <c r="A856">
        <f>IFERROR(INDEX('Shopify Import'!$A:$CZ,856,Settings!$E$20)&amp;"","")</f>
        <v/>
      </c>
      <c r="B856">
        <f>IFERROR(INDEX('Shopify Import'!$A:$CZ,856,Settings!$E$21)&amp;"","")</f>
        <v/>
      </c>
      <c r="C856">
        <f>IFERROR(INDEX('Shopify Import'!$A:$CZ,856,Settings!$E$22)&amp;"","")</f>
        <v/>
      </c>
      <c r="D856">
        <f>IF(A856="","",IFERROR(VALUE(SUBSTITUTE(SUBSTITUTE(INDEX('Shopify Import'!$A:$CZ,856,Settings!$E$23)&amp;"","$",""),",","")),0))</f>
        <v/>
      </c>
      <c r="E856" s="11">
        <f>IF(A856="","",IFERROR(VALUE(SUBSTITUTE(SUBSTITUTE(INDEX('Shopify Import'!$A:$CZ,856,Settings!$E$24)&amp;"","$",""),",","")),0))</f>
        <v/>
      </c>
      <c r="F856" s="11">
        <f>IF(A856="","",D856*E856)</f>
        <v/>
      </c>
      <c r="G856">
        <f>IF(A856="","",IF(C856="",1,COUNTIF($C$2:$C$1501,C856)))</f>
        <v/>
      </c>
      <c r="H856" s="11">
        <f>IF(A856="","",IFERROR(VALUE(SUBSTITUTE(SUBSTITUTE(INDEX('Shopify Import'!$A:$CZ,856,Settings!$E$25)&amp;"","$",""),",","")),0)/IF(Settings!$D$27="Yes",G856,1))</f>
        <v/>
      </c>
      <c r="I856" s="11">
        <f>IF(A856="","",IFERROR(VALUE(SUBSTITUTE(SUBSTITUTE(INDEX('Shopify Import'!$A:$CZ,856,Settings!$E$26)&amp;"","$",""),",","")),0)/IF(Settings!$D$27="Yes",G856,1))</f>
        <v/>
      </c>
      <c r="J856" s="11">
        <f>IF(A856="","",F856+H856-I856)</f>
        <v/>
      </c>
      <c r="K856">
        <f>IF(A856="","",IFERROR(IF(B856="",NA(),MATCH(B856,Products!$B$5:$B$204,0)),IFERROR(MATCH(A856,Products!$A$5:$A$204,0),"")))</f>
        <v/>
      </c>
      <c r="L856">
        <f>IF(A856="","",IF(K856="","⚠ not in Products",INDEX(Products!$A$5:$A$204,K856)))</f>
        <v/>
      </c>
      <c r="M856" s="11">
        <f>IF(A856="","",J856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856+IFERROR(INDEX(Settings!$D$5:$D$9,MATCH("Shopify",Settings!$A$5:$A$9,0)),0)*D856)</f>
        <v/>
      </c>
      <c r="N856" s="11">
        <f>IF(A856="","",IF(K856="",0,D856*INDEX(Products!$I$5:$I$204,K856)))</f>
        <v/>
      </c>
      <c r="O856" s="11">
        <f>IF(A856="","",IF(K856="",0,J856*INDEX(Products!$H$5:$H$204,K856)))</f>
        <v/>
      </c>
      <c r="P856" s="11">
        <f>IF(A856="","",J856-M856-N856-O856)</f>
        <v/>
      </c>
    </row>
    <row r="857">
      <c r="A857">
        <f>IFERROR(INDEX('Shopify Import'!$A:$CZ,857,Settings!$E$20)&amp;"","")</f>
        <v/>
      </c>
      <c r="B857">
        <f>IFERROR(INDEX('Shopify Import'!$A:$CZ,857,Settings!$E$21)&amp;"","")</f>
        <v/>
      </c>
      <c r="C857">
        <f>IFERROR(INDEX('Shopify Import'!$A:$CZ,857,Settings!$E$22)&amp;"","")</f>
        <v/>
      </c>
      <c r="D857">
        <f>IF(A857="","",IFERROR(VALUE(SUBSTITUTE(SUBSTITUTE(INDEX('Shopify Import'!$A:$CZ,857,Settings!$E$23)&amp;"","$",""),",","")),0))</f>
        <v/>
      </c>
      <c r="E857" s="11">
        <f>IF(A857="","",IFERROR(VALUE(SUBSTITUTE(SUBSTITUTE(INDEX('Shopify Import'!$A:$CZ,857,Settings!$E$24)&amp;"","$",""),",","")),0))</f>
        <v/>
      </c>
      <c r="F857" s="11">
        <f>IF(A857="","",D857*E857)</f>
        <v/>
      </c>
      <c r="G857">
        <f>IF(A857="","",IF(C857="",1,COUNTIF($C$2:$C$1501,C857)))</f>
        <v/>
      </c>
      <c r="H857" s="11">
        <f>IF(A857="","",IFERROR(VALUE(SUBSTITUTE(SUBSTITUTE(INDEX('Shopify Import'!$A:$CZ,857,Settings!$E$25)&amp;"","$",""),",","")),0)/IF(Settings!$D$27="Yes",G857,1))</f>
        <v/>
      </c>
      <c r="I857" s="11">
        <f>IF(A857="","",IFERROR(VALUE(SUBSTITUTE(SUBSTITUTE(INDEX('Shopify Import'!$A:$CZ,857,Settings!$E$26)&amp;"","$",""),",","")),0)/IF(Settings!$D$27="Yes",G857,1))</f>
        <v/>
      </c>
      <c r="J857" s="11">
        <f>IF(A857="","",F857+H857-I857)</f>
        <v/>
      </c>
      <c r="K857">
        <f>IF(A857="","",IFERROR(IF(B857="",NA(),MATCH(B857,Products!$B$5:$B$204,0)),IFERROR(MATCH(A857,Products!$A$5:$A$204,0),"")))</f>
        <v/>
      </c>
      <c r="L857">
        <f>IF(A857="","",IF(K857="","⚠ not in Products",INDEX(Products!$A$5:$A$204,K857)))</f>
        <v/>
      </c>
      <c r="M857" s="11">
        <f>IF(A857="","",J857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857+IFERROR(INDEX(Settings!$D$5:$D$9,MATCH("Shopify",Settings!$A$5:$A$9,0)),0)*D857)</f>
        <v/>
      </c>
      <c r="N857" s="11">
        <f>IF(A857="","",IF(K857="",0,D857*INDEX(Products!$I$5:$I$204,K857)))</f>
        <v/>
      </c>
      <c r="O857" s="11">
        <f>IF(A857="","",IF(K857="",0,J857*INDEX(Products!$H$5:$H$204,K857)))</f>
        <v/>
      </c>
      <c r="P857" s="11">
        <f>IF(A857="","",J857-M857-N857-O857)</f>
        <v/>
      </c>
    </row>
    <row r="858">
      <c r="A858">
        <f>IFERROR(INDEX('Shopify Import'!$A:$CZ,858,Settings!$E$20)&amp;"","")</f>
        <v/>
      </c>
      <c r="B858">
        <f>IFERROR(INDEX('Shopify Import'!$A:$CZ,858,Settings!$E$21)&amp;"","")</f>
        <v/>
      </c>
      <c r="C858">
        <f>IFERROR(INDEX('Shopify Import'!$A:$CZ,858,Settings!$E$22)&amp;"","")</f>
        <v/>
      </c>
      <c r="D858">
        <f>IF(A858="","",IFERROR(VALUE(SUBSTITUTE(SUBSTITUTE(INDEX('Shopify Import'!$A:$CZ,858,Settings!$E$23)&amp;"","$",""),",","")),0))</f>
        <v/>
      </c>
      <c r="E858" s="11">
        <f>IF(A858="","",IFERROR(VALUE(SUBSTITUTE(SUBSTITUTE(INDEX('Shopify Import'!$A:$CZ,858,Settings!$E$24)&amp;"","$",""),",","")),0))</f>
        <v/>
      </c>
      <c r="F858" s="11">
        <f>IF(A858="","",D858*E858)</f>
        <v/>
      </c>
      <c r="G858">
        <f>IF(A858="","",IF(C858="",1,COUNTIF($C$2:$C$1501,C858)))</f>
        <v/>
      </c>
      <c r="H858" s="11">
        <f>IF(A858="","",IFERROR(VALUE(SUBSTITUTE(SUBSTITUTE(INDEX('Shopify Import'!$A:$CZ,858,Settings!$E$25)&amp;"","$",""),",","")),0)/IF(Settings!$D$27="Yes",G858,1))</f>
        <v/>
      </c>
      <c r="I858" s="11">
        <f>IF(A858="","",IFERROR(VALUE(SUBSTITUTE(SUBSTITUTE(INDEX('Shopify Import'!$A:$CZ,858,Settings!$E$26)&amp;"","$",""),",","")),0)/IF(Settings!$D$27="Yes",G858,1))</f>
        <v/>
      </c>
      <c r="J858" s="11">
        <f>IF(A858="","",F858+H858-I858)</f>
        <v/>
      </c>
      <c r="K858">
        <f>IF(A858="","",IFERROR(IF(B858="",NA(),MATCH(B858,Products!$B$5:$B$204,0)),IFERROR(MATCH(A858,Products!$A$5:$A$204,0),"")))</f>
        <v/>
      </c>
      <c r="L858">
        <f>IF(A858="","",IF(K858="","⚠ not in Products",INDEX(Products!$A$5:$A$204,K858)))</f>
        <v/>
      </c>
      <c r="M858" s="11">
        <f>IF(A858="","",J858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858+IFERROR(INDEX(Settings!$D$5:$D$9,MATCH("Shopify",Settings!$A$5:$A$9,0)),0)*D858)</f>
        <v/>
      </c>
      <c r="N858" s="11">
        <f>IF(A858="","",IF(K858="",0,D858*INDEX(Products!$I$5:$I$204,K858)))</f>
        <v/>
      </c>
      <c r="O858" s="11">
        <f>IF(A858="","",IF(K858="",0,J858*INDEX(Products!$H$5:$H$204,K858)))</f>
        <v/>
      </c>
      <c r="P858" s="11">
        <f>IF(A858="","",J858-M858-N858-O858)</f>
        <v/>
      </c>
    </row>
    <row r="859">
      <c r="A859">
        <f>IFERROR(INDEX('Shopify Import'!$A:$CZ,859,Settings!$E$20)&amp;"","")</f>
        <v/>
      </c>
      <c r="B859">
        <f>IFERROR(INDEX('Shopify Import'!$A:$CZ,859,Settings!$E$21)&amp;"","")</f>
        <v/>
      </c>
      <c r="C859">
        <f>IFERROR(INDEX('Shopify Import'!$A:$CZ,859,Settings!$E$22)&amp;"","")</f>
        <v/>
      </c>
      <c r="D859">
        <f>IF(A859="","",IFERROR(VALUE(SUBSTITUTE(SUBSTITUTE(INDEX('Shopify Import'!$A:$CZ,859,Settings!$E$23)&amp;"","$",""),",","")),0))</f>
        <v/>
      </c>
      <c r="E859" s="11">
        <f>IF(A859="","",IFERROR(VALUE(SUBSTITUTE(SUBSTITUTE(INDEX('Shopify Import'!$A:$CZ,859,Settings!$E$24)&amp;"","$",""),",","")),0))</f>
        <v/>
      </c>
      <c r="F859" s="11">
        <f>IF(A859="","",D859*E859)</f>
        <v/>
      </c>
      <c r="G859">
        <f>IF(A859="","",IF(C859="",1,COUNTIF($C$2:$C$1501,C859)))</f>
        <v/>
      </c>
      <c r="H859" s="11">
        <f>IF(A859="","",IFERROR(VALUE(SUBSTITUTE(SUBSTITUTE(INDEX('Shopify Import'!$A:$CZ,859,Settings!$E$25)&amp;"","$",""),",","")),0)/IF(Settings!$D$27="Yes",G859,1))</f>
        <v/>
      </c>
      <c r="I859" s="11">
        <f>IF(A859="","",IFERROR(VALUE(SUBSTITUTE(SUBSTITUTE(INDEX('Shopify Import'!$A:$CZ,859,Settings!$E$26)&amp;"","$",""),",","")),0)/IF(Settings!$D$27="Yes",G859,1))</f>
        <v/>
      </c>
      <c r="J859" s="11">
        <f>IF(A859="","",F859+H859-I859)</f>
        <v/>
      </c>
      <c r="K859">
        <f>IF(A859="","",IFERROR(IF(B859="",NA(),MATCH(B859,Products!$B$5:$B$204,0)),IFERROR(MATCH(A859,Products!$A$5:$A$204,0),"")))</f>
        <v/>
      </c>
      <c r="L859">
        <f>IF(A859="","",IF(K859="","⚠ not in Products",INDEX(Products!$A$5:$A$204,K859)))</f>
        <v/>
      </c>
      <c r="M859" s="11">
        <f>IF(A859="","",J859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859+IFERROR(INDEX(Settings!$D$5:$D$9,MATCH("Shopify",Settings!$A$5:$A$9,0)),0)*D859)</f>
        <v/>
      </c>
      <c r="N859" s="11">
        <f>IF(A859="","",IF(K859="",0,D859*INDEX(Products!$I$5:$I$204,K859)))</f>
        <v/>
      </c>
      <c r="O859" s="11">
        <f>IF(A859="","",IF(K859="",0,J859*INDEX(Products!$H$5:$H$204,K859)))</f>
        <v/>
      </c>
      <c r="P859" s="11">
        <f>IF(A859="","",J859-M859-N859-O859)</f>
        <v/>
      </c>
    </row>
    <row r="860">
      <c r="A860">
        <f>IFERROR(INDEX('Shopify Import'!$A:$CZ,860,Settings!$E$20)&amp;"","")</f>
        <v/>
      </c>
      <c r="B860">
        <f>IFERROR(INDEX('Shopify Import'!$A:$CZ,860,Settings!$E$21)&amp;"","")</f>
        <v/>
      </c>
      <c r="C860">
        <f>IFERROR(INDEX('Shopify Import'!$A:$CZ,860,Settings!$E$22)&amp;"","")</f>
        <v/>
      </c>
      <c r="D860">
        <f>IF(A860="","",IFERROR(VALUE(SUBSTITUTE(SUBSTITUTE(INDEX('Shopify Import'!$A:$CZ,860,Settings!$E$23)&amp;"","$",""),",","")),0))</f>
        <v/>
      </c>
      <c r="E860" s="11">
        <f>IF(A860="","",IFERROR(VALUE(SUBSTITUTE(SUBSTITUTE(INDEX('Shopify Import'!$A:$CZ,860,Settings!$E$24)&amp;"","$",""),",","")),0))</f>
        <v/>
      </c>
      <c r="F860" s="11">
        <f>IF(A860="","",D860*E860)</f>
        <v/>
      </c>
      <c r="G860">
        <f>IF(A860="","",IF(C860="",1,COUNTIF($C$2:$C$1501,C860)))</f>
        <v/>
      </c>
      <c r="H860" s="11">
        <f>IF(A860="","",IFERROR(VALUE(SUBSTITUTE(SUBSTITUTE(INDEX('Shopify Import'!$A:$CZ,860,Settings!$E$25)&amp;"","$",""),",","")),0)/IF(Settings!$D$27="Yes",G860,1))</f>
        <v/>
      </c>
      <c r="I860" s="11">
        <f>IF(A860="","",IFERROR(VALUE(SUBSTITUTE(SUBSTITUTE(INDEX('Shopify Import'!$A:$CZ,860,Settings!$E$26)&amp;"","$",""),",","")),0)/IF(Settings!$D$27="Yes",G860,1))</f>
        <v/>
      </c>
      <c r="J860" s="11">
        <f>IF(A860="","",F860+H860-I860)</f>
        <v/>
      </c>
      <c r="K860">
        <f>IF(A860="","",IFERROR(IF(B860="",NA(),MATCH(B860,Products!$B$5:$B$204,0)),IFERROR(MATCH(A860,Products!$A$5:$A$204,0),"")))</f>
        <v/>
      </c>
      <c r="L860">
        <f>IF(A860="","",IF(K860="","⚠ not in Products",INDEX(Products!$A$5:$A$204,K860)))</f>
        <v/>
      </c>
      <c r="M860" s="11">
        <f>IF(A860="","",J860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860+IFERROR(INDEX(Settings!$D$5:$D$9,MATCH("Shopify",Settings!$A$5:$A$9,0)),0)*D860)</f>
        <v/>
      </c>
      <c r="N860" s="11">
        <f>IF(A860="","",IF(K860="",0,D860*INDEX(Products!$I$5:$I$204,K860)))</f>
        <v/>
      </c>
      <c r="O860" s="11">
        <f>IF(A860="","",IF(K860="",0,J860*INDEX(Products!$H$5:$H$204,K860)))</f>
        <v/>
      </c>
      <c r="P860" s="11">
        <f>IF(A860="","",J860-M860-N860-O860)</f>
        <v/>
      </c>
    </row>
    <row r="861">
      <c r="A861">
        <f>IFERROR(INDEX('Shopify Import'!$A:$CZ,861,Settings!$E$20)&amp;"","")</f>
        <v/>
      </c>
      <c r="B861">
        <f>IFERROR(INDEX('Shopify Import'!$A:$CZ,861,Settings!$E$21)&amp;"","")</f>
        <v/>
      </c>
      <c r="C861">
        <f>IFERROR(INDEX('Shopify Import'!$A:$CZ,861,Settings!$E$22)&amp;"","")</f>
        <v/>
      </c>
      <c r="D861">
        <f>IF(A861="","",IFERROR(VALUE(SUBSTITUTE(SUBSTITUTE(INDEX('Shopify Import'!$A:$CZ,861,Settings!$E$23)&amp;"","$",""),",","")),0))</f>
        <v/>
      </c>
      <c r="E861" s="11">
        <f>IF(A861="","",IFERROR(VALUE(SUBSTITUTE(SUBSTITUTE(INDEX('Shopify Import'!$A:$CZ,861,Settings!$E$24)&amp;"","$",""),",","")),0))</f>
        <v/>
      </c>
      <c r="F861" s="11">
        <f>IF(A861="","",D861*E861)</f>
        <v/>
      </c>
      <c r="G861">
        <f>IF(A861="","",IF(C861="",1,COUNTIF($C$2:$C$1501,C861)))</f>
        <v/>
      </c>
      <c r="H861" s="11">
        <f>IF(A861="","",IFERROR(VALUE(SUBSTITUTE(SUBSTITUTE(INDEX('Shopify Import'!$A:$CZ,861,Settings!$E$25)&amp;"","$",""),",","")),0)/IF(Settings!$D$27="Yes",G861,1))</f>
        <v/>
      </c>
      <c r="I861" s="11">
        <f>IF(A861="","",IFERROR(VALUE(SUBSTITUTE(SUBSTITUTE(INDEX('Shopify Import'!$A:$CZ,861,Settings!$E$26)&amp;"","$",""),",","")),0)/IF(Settings!$D$27="Yes",G861,1))</f>
        <v/>
      </c>
      <c r="J861" s="11">
        <f>IF(A861="","",F861+H861-I861)</f>
        <v/>
      </c>
      <c r="K861">
        <f>IF(A861="","",IFERROR(IF(B861="",NA(),MATCH(B861,Products!$B$5:$B$204,0)),IFERROR(MATCH(A861,Products!$A$5:$A$204,0),"")))</f>
        <v/>
      </c>
      <c r="L861">
        <f>IF(A861="","",IF(K861="","⚠ not in Products",INDEX(Products!$A$5:$A$204,K861)))</f>
        <v/>
      </c>
      <c r="M861" s="11">
        <f>IF(A861="","",J861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861+IFERROR(INDEX(Settings!$D$5:$D$9,MATCH("Shopify",Settings!$A$5:$A$9,0)),0)*D861)</f>
        <v/>
      </c>
      <c r="N861" s="11">
        <f>IF(A861="","",IF(K861="",0,D861*INDEX(Products!$I$5:$I$204,K861)))</f>
        <v/>
      </c>
      <c r="O861" s="11">
        <f>IF(A861="","",IF(K861="",0,J861*INDEX(Products!$H$5:$H$204,K861)))</f>
        <v/>
      </c>
      <c r="P861" s="11">
        <f>IF(A861="","",J861-M861-N861-O861)</f>
        <v/>
      </c>
    </row>
    <row r="862">
      <c r="A862">
        <f>IFERROR(INDEX('Shopify Import'!$A:$CZ,862,Settings!$E$20)&amp;"","")</f>
        <v/>
      </c>
      <c r="B862">
        <f>IFERROR(INDEX('Shopify Import'!$A:$CZ,862,Settings!$E$21)&amp;"","")</f>
        <v/>
      </c>
      <c r="C862">
        <f>IFERROR(INDEX('Shopify Import'!$A:$CZ,862,Settings!$E$22)&amp;"","")</f>
        <v/>
      </c>
      <c r="D862">
        <f>IF(A862="","",IFERROR(VALUE(SUBSTITUTE(SUBSTITUTE(INDEX('Shopify Import'!$A:$CZ,862,Settings!$E$23)&amp;"","$",""),",","")),0))</f>
        <v/>
      </c>
      <c r="E862" s="11">
        <f>IF(A862="","",IFERROR(VALUE(SUBSTITUTE(SUBSTITUTE(INDEX('Shopify Import'!$A:$CZ,862,Settings!$E$24)&amp;"","$",""),",","")),0))</f>
        <v/>
      </c>
      <c r="F862" s="11">
        <f>IF(A862="","",D862*E862)</f>
        <v/>
      </c>
      <c r="G862">
        <f>IF(A862="","",IF(C862="",1,COUNTIF($C$2:$C$1501,C862)))</f>
        <v/>
      </c>
      <c r="H862" s="11">
        <f>IF(A862="","",IFERROR(VALUE(SUBSTITUTE(SUBSTITUTE(INDEX('Shopify Import'!$A:$CZ,862,Settings!$E$25)&amp;"","$",""),",","")),0)/IF(Settings!$D$27="Yes",G862,1))</f>
        <v/>
      </c>
      <c r="I862" s="11">
        <f>IF(A862="","",IFERROR(VALUE(SUBSTITUTE(SUBSTITUTE(INDEX('Shopify Import'!$A:$CZ,862,Settings!$E$26)&amp;"","$",""),",","")),0)/IF(Settings!$D$27="Yes",G862,1))</f>
        <v/>
      </c>
      <c r="J862" s="11">
        <f>IF(A862="","",F862+H862-I862)</f>
        <v/>
      </c>
      <c r="K862">
        <f>IF(A862="","",IFERROR(IF(B862="",NA(),MATCH(B862,Products!$B$5:$B$204,0)),IFERROR(MATCH(A862,Products!$A$5:$A$204,0),"")))</f>
        <v/>
      </c>
      <c r="L862">
        <f>IF(A862="","",IF(K862="","⚠ not in Products",INDEX(Products!$A$5:$A$204,K862)))</f>
        <v/>
      </c>
      <c r="M862" s="11">
        <f>IF(A862="","",J862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862+IFERROR(INDEX(Settings!$D$5:$D$9,MATCH("Shopify",Settings!$A$5:$A$9,0)),0)*D862)</f>
        <v/>
      </c>
      <c r="N862" s="11">
        <f>IF(A862="","",IF(K862="",0,D862*INDEX(Products!$I$5:$I$204,K862)))</f>
        <v/>
      </c>
      <c r="O862" s="11">
        <f>IF(A862="","",IF(K862="",0,J862*INDEX(Products!$H$5:$H$204,K862)))</f>
        <v/>
      </c>
      <c r="P862" s="11">
        <f>IF(A862="","",J862-M862-N862-O862)</f>
        <v/>
      </c>
    </row>
    <row r="863">
      <c r="A863">
        <f>IFERROR(INDEX('Shopify Import'!$A:$CZ,863,Settings!$E$20)&amp;"","")</f>
        <v/>
      </c>
      <c r="B863">
        <f>IFERROR(INDEX('Shopify Import'!$A:$CZ,863,Settings!$E$21)&amp;"","")</f>
        <v/>
      </c>
      <c r="C863">
        <f>IFERROR(INDEX('Shopify Import'!$A:$CZ,863,Settings!$E$22)&amp;"","")</f>
        <v/>
      </c>
      <c r="D863">
        <f>IF(A863="","",IFERROR(VALUE(SUBSTITUTE(SUBSTITUTE(INDEX('Shopify Import'!$A:$CZ,863,Settings!$E$23)&amp;"","$",""),",","")),0))</f>
        <v/>
      </c>
      <c r="E863" s="11">
        <f>IF(A863="","",IFERROR(VALUE(SUBSTITUTE(SUBSTITUTE(INDEX('Shopify Import'!$A:$CZ,863,Settings!$E$24)&amp;"","$",""),",","")),0))</f>
        <v/>
      </c>
      <c r="F863" s="11">
        <f>IF(A863="","",D863*E863)</f>
        <v/>
      </c>
      <c r="G863">
        <f>IF(A863="","",IF(C863="",1,COUNTIF($C$2:$C$1501,C863)))</f>
        <v/>
      </c>
      <c r="H863" s="11">
        <f>IF(A863="","",IFERROR(VALUE(SUBSTITUTE(SUBSTITUTE(INDEX('Shopify Import'!$A:$CZ,863,Settings!$E$25)&amp;"","$",""),",","")),0)/IF(Settings!$D$27="Yes",G863,1))</f>
        <v/>
      </c>
      <c r="I863" s="11">
        <f>IF(A863="","",IFERROR(VALUE(SUBSTITUTE(SUBSTITUTE(INDEX('Shopify Import'!$A:$CZ,863,Settings!$E$26)&amp;"","$",""),",","")),0)/IF(Settings!$D$27="Yes",G863,1))</f>
        <v/>
      </c>
      <c r="J863" s="11">
        <f>IF(A863="","",F863+H863-I863)</f>
        <v/>
      </c>
      <c r="K863">
        <f>IF(A863="","",IFERROR(IF(B863="",NA(),MATCH(B863,Products!$B$5:$B$204,0)),IFERROR(MATCH(A863,Products!$A$5:$A$204,0),"")))</f>
        <v/>
      </c>
      <c r="L863">
        <f>IF(A863="","",IF(K863="","⚠ not in Products",INDEX(Products!$A$5:$A$204,K863)))</f>
        <v/>
      </c>
      <c r="M863" s="11">
        <f>IF(A863="","",J863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863+IFERROR(INDEX(Settings!$D$5:$D$9,MATCH("Shopify",Settings!$A$5:$A$9,0)),0)*D863)</f>
        <v/>
      </c>
      <c r="N863" s="11">
        <f>IF(A863="","",IF(K863="",0,D863*INDEX(Products!$I$5:$I$204,K863)))</f>
        <v/>
      </c>
      <c r="O863" s="11">
        <f>IF(A863="","",IF(K863="",0,J863*INDEX(Products!$H$5:$H$204,K863)))</f>
        <v/>
      </c>
      <c r="P863" s="11">
        <f>IF(A863="","",J863-M863-N863-O863)</f>
        <v/>
      </c>
    </row>
    <row r="864">
      <c r="A864">
        <f>IFERROR(INDEX('Shopify Import'!$A:$CZ,864,Settings!$E$20)&amp;"","")</f>
        <v/>
      </c>
      <c r="B864">
        <f>IFERROR(INDEX('Shopify Import'!$A:$CZ,864,Settings!$E$21)&amp;"","")</f>
        <v/>
      </c>
      <c r="C864">
        <f>IFERROR(INDEX('Shopify Import'!$A:$CZ,864,Settings!$E$22)&amp;"","")</f>
        <v/>
      </c>
      <c r="D864">
        <f>IF(A864="","",IFERROR(VALUE(SUBSTITUTE(SUBSTITUTE(INDEX('Shopify Import'!$A:$CZ,864,Settings!$E$23)&amp;"","$",""),",","")),0))</f>
        <v/>
      </c>
      <c r="E864" s="11">
        <f>IF(A864="","",IFERROR(VALUE(SUBSTITUTE(SUBSTITUTE(INDEX('Shopify Import'!$A:$CZ,864,Settings!$E$24)&amp;"","$",""),",","")),0))</f>
        <v/>
      </c>
      <c r="F864" s="11">
        <f>IF(A864="","",D864*E864)</f>
        <v/>
      </c>
      <c r="G864">
        <f>IF(A864="","",IF(C864="",1,COUNTIF($C$2:$C$1501,C864)))</f>
        <v/>
      </c>
      <c r="H864" s="11">
        <f>IF(A864="","",IFERROR(VALUE(SUBSTITUTE(SUBSTITUTE(INDEX('Shopify Import'!$A:$CZ,864,Settings!$E$25)&amp;"","$",""),",","")),0)/IF(Settings!$D$27="Yes",G864,1))</f>
        <v/>
      </c>
      <c r="I864" s="11">
        <f>IF(A864="","",IFERROR(VALUE(SUBSTITUTE(SUBSTITUTE(INDEX('Shopify Import'!$A:$CZ,864,Settings!$E$26)&amp;"","$",""),",","")),0)/IF(Settings!$D$27="Yes",G864,1))</f>
        <v/>
      </c>
      <c r="J864" s="11">
        <f>IF(A864="","",F864+H864-I864)</f>
        <v/>
      </c>
      <c r="K864">
        <f>IF(A864="","",IFERROR(IF(B864="",NA(),MATCH(B864,Products!$B$5:$B$204,0)),IFERROR(MATCH(A864,Products!$A$5:$A$204,0),"")))</f>
        <v/>
      </c>
      <c r="L864">
        <f>IF(A864="","",IF(K864="","⚠ not in Products",INDEX(Products!$A$5:$A$204,K864)))</f>
        <v/>
      </c>
      <c r="M864" s="11">
        <f>IF(A864="","",J864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864+IFERROR(INDEX(Settings!$D$5:$D$9,MATCH("Shopify",Settings!$A$5:$A$9,0)),0)*D864)</f>
        <v/>
      </c>
      <c r="N864" s="11">
        <f>IF(A864="","",IF(K864="",0,D864*INDEX(Products!$I$5:$I$204,K864)))</f>
        <v/>
      </c>
      <c r="O864" s="11">
        <f>IF(A864="","",IF(K864="",0,J864*INDEX(Products!$H$5:$H$204,K864)))</f>
        <v/>
      </c>
      <c r="P864" s="11">
        <f>IF(A864="","",J864-M864-N864-O864)</f>
        <v/>
      </c>
    </row>
    <row r="865">
      <c r="A865">
        <f>IFERROR(INDEX('Shopify Import'!$A:$CZ,865,Settings!$E$20)&amp;"","")</f>
        <v/>
      </c>
      <c r="B865">
        <f>IFERROR(INDEX('Shopify Import'!$A:$CZ,865,Settings!$E$21)&amp;"","")</f>
        <v/>
      </c>
      <c r="C865">
        <f>IFERROR(INDEX('Shopify Import'!$A:$CZ,865,Settings!$E$22)&amp;"","")</f>
        <v/>
      </c>
      <c r="D865">
        <f>IF(A865="","",IFERROR(VALUE(SUBSTITUTE(SUBSTITUTE(INDEX('Shopify Import'!$A:$CZ,865,Settings!$E$23)&amp;"","$",""),",","")),0))</f>
        <v/>
      </c>
      <c r="E865" s="11">
        <f>IF(A865="","",IFERROR(VALUE(SUBSTITUTE(SUBSTITUTE(INDEX('Shopify Import'!$A:$CZ,865,Settings!$E$24)&amp;"","$",""),",","")),0))</f>
        <v/>
      </c>
      <c r="F865" s="11">
        <f>IF(A865="","",D865*E865)</f>
        <v/>
      </c>
      <c r="G865">
        <f>IF(A865="","",IF(C865="",1,COUNTIF($C$2:$C$1501,C865)))</f>
        <v/>
      </c>
      <c r="H865" s="11">
        <f>IF(A865="","",IFERROR(VALUE(SUBSTITUTE(SUBSTITUTE(INDEX('Shopify Import'!$A:$CZ,865,Settings!$E$25)&amp;"","$",""),",","")),0)/IF(Settings!$D$27="Yes",G865,1))</f>
        <v/>
      </c>
      <c r="I865" s="11">
        <f>IF(A865="","",IFERROR(VALUE(SUBSTITUTE(SUBSTITUTE(INDEX('Shopify Import'!$A:$CZ,865,Settings!$E$26)&amp;"","$",""),",","")),0)/IF(Settings!$D$27="Yes",G865,1))</f>
        <v/>
      </c>
      <c r="J865" s="11">
        <f>IF(A865="","",F865+H865-I865)</f>
        <v/>
      </c>
      <c r="K865">
        <f>IF(A865="","",IFERROR(IF(B865="",NA(),MATCH(B865,Products!$B$5:$B$204,0)),IFERROR(MATCH(A865,Products!$A$5:$A$204,0),"")))</f>
        <v/>
      </c>
      <c r="L865">
        <f>IF(A865="","",IF(K865="","⚠ not in Products",INDEX(Products!$A$5:$A$204,K865)))</f>
        <v/>
      </c>
      <c r="M865" s="11">
        <f>IF(A865="","",J865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865+IFERROR(INDEX(Settings!$D$5:$D$9,MATCH("Shopify",Settings!$A$5:$A$9,0)),0)*D865)</f>
        <v/>
      </c>
      <c r="N865" s="11">
        <f>IF(A865="","",IF(K865="",0,D865*INDEX(Products!$I$5:$I$204,K865)))</f>
        <v/>
      </c>
      <c r="O865" s="11">
        <f>IF(A865="","",IF(K865="",0,J865*INDEX(Products!$H$5:$H$204,K865)))</f>
        <v/>
      </c>
      <c r="P865" s="11">
        <f>IF(A865="","",J865-M865-N865-O865)</f>
        <v/>
      </c>
    </row>
    <row r="866">
      <c r="A866">
        <f>IFERROR(INDEX('Shopify Import'!$A:$CZ,866,Settings!$E$20)&amp;"","")</f>
        <v/>
      </c>
      <c r="B866">
        <f>IFERROR(INDEX('Shopify Import'!$A:$CZ,866,Settings!$E$21)&amp;"","")</f>
        <v/>
      </c>
      <c r="C866">
        <f>IFERROR(INDEX('Shopify Import'!$A:$CZ,866,Settings!$E$22)&amp;"","")</f>
        <v/>
      </c>
      <c r="D866">
        <f>IF(A866="","",IFERROR(VALUE(SUBSTITUTE(SUBSTITUTE(INDEX('Shopify Import'!$A:$CZ,866,Settings!$E$23)&amp;"","$",""),",","")),0))</f>
        <v/>
      </c>
      <c r="E866" s="11">
        <f>IF(A866="","",IFERROR(VALUE(SUBSTITUTE(SUBSTITUTE(INDEX('Shopify Import'!$A:$CZ,866,Settings!$E$24)&amp;"","$",""),",","")),0))</f>
        <v/>
      </c>
      <c r="F866" s="11">
        <f>IF(A866="","",D866*E866)</f>
        <v/>
      </c>
      <c r="G866">
        <f>IF(A866="","",IF(C866="",1,COUNTIF($C$2:$C$1501,C866)))</f>
        <v/>
      </c>
      <c r="H866" s="11">
        <f>IF(A866="","",IFERROR(VALUE(SUBSTITUTE(SUBSTITUTE(INDEX('Shopify Import'!$A:$CZ,866,Settings!$E$25)&amp;"","$",""),",","")),0)/IF(Settings!$D$27="Yes",G866,1))</f>
        <v/>
      </c>
      <c r="I866" s="11">
        <f>IF(A866="","",IFERROR(VALUE(SUBSTITUTE(SUBSTITUTE(INDEX('Shopify Import'!$A:$CZ,866,Settings!$E$26)&amp;"","$",""),",","")),0)/IF(Settings!$D$27="Yes",G866,1))</f>
        <v/>
      </c>
      <c r="J866" s="11">
        <f>IF(A866="","",F866+H866-I866)</f>
        <v/>
      </c>
      <c r="K866">
        <f>IF(A866="","",IFERROR(IF(B866="",NA(),MATCH(B866,Products!$B$5:$B$204,0)),IFERROR(MATCH(A866,Products!$A$5:$A$204,0),"")))</f>
        <v/>
      </c>
      <c r="L866">
        <f>IF(A866="","",IF(K866="","⚠ not in Products",INDEX(Products!$A$5:$A$204,K866)))</f>
        <v/>
      </c>
      <c r="M866" s="11">
        <f>IF(A866="","",J866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866+IFERROR(INDEX(Settings!$D$5:$D$9,MATCH("Shopify",Settings!$A$5:$A$9,0)),0)*D866)</f>
        <v/>
      </c>
      <c r="N866" s="11">
        <f>IF(A866="","",IF(K866="",0,D866*INDEX(Products!$I$5:$I$204,K866)))</f>
        <v/>
      </c>
      <c r="O866" s="11">
        <f>IF(A866="","",IF(K866="",0,J866*INDEX(Products!$H$5:$H$204,K866)))</f>
        <v/>
      </c>
      <c r="P866" s="11">
        <f>IF(A866="","",J866-M866-N866-O866)</f>
        <v/>
      </c>
    </row>
    <row r="867">
      <c r="A867">
        <f>IFERROR(INDEX('Shopify Import'!$A:$CZ,867,Settings!$E$20)&amp;"","")</f>
        <v/>
      </c>
      <c r="B867">
        <f>IFERROR(INDEX('Shopify Import'!$A:$CZ,867,Settings!$E$21)&amp;"","")</f>
        <v/>
      </c>
      <c r="C867">
        <f>IFERROR(INDEX('Shopify Import'!$A:$CZ,867,Settings!$E$22)&amp;"","")</f>
        <v/>
      </c>
      <c r="D867">
        <f>IF(A867="","",IFERROR(VALUE(SUBSTITUTE(SUBSTITUTE(INDEX('Shopify Import'!$A:$CZ,867,Settings!$E$23)&amp;"","$",""),",","")),0))</f>
        <v/>
      </c>
      <c r="E867" s="11">
        <f>IF(A867="","",IFERROR(VALUE(SUBSTITUTE(SUBSTITUTE(INDEX('Shopify Import'!$A:$CZ,867,Settings!$E$24)&amp;"","$",""),",","")),0))</f>
        <v/>
      </c>
      <c r="F867" s="11">
        <f>IF(A867="","",D867*E867)</f>
        <v/>
      </c>
      <c r="G867">
        <f>IF(A867="","",IF(C867="",1,COUNTIF($C$2:$C$1501,C867)))</f>
        <v/>
      </c>
      <c r="H867" s="11">
        <f>IF(A867="","",IFERROR(VALUE(SUBSTITUTE(SUBSTITUTE(INDEX('Shopify Import'!$A:$CZ,867,Settings!$E$25)&amp;"","$",""),",","")),0)/IF(Settings!$D$27="Yes",G867,1))</f>
        <v/>
      </c>
      <c r="I867" s="11">
        <f>IF(A867="","",IFERROR(VALUE(SUBSTITUTE(SUBSTITUTE(INDEX('Shopify Import'!$A:$CZ,867,Settings!$E$26)&amp;"","$",""),",","")),0)/IF(Settings!$D$27="Yes",G867,1))</f>
        <v/>
      </c>
      <c r="J867" s="11">
        <f>IF(A867="","",F867+H867-I867)</f>
        <v/>
      </c>
      <c r="K867">
        <f>IF(A867="","",IFERROR(IF(B867="",NA(),MATCH(B867,Products!$B$5:$B$204,0)),IFERROR(MATCH(A867,Products!$A$5:$A$204,0),"")))</f>
        <v/>
      </c>
      <c r="L867">
        <f>IF(A867="","",IF(K867="","⚠ not in Products",INDEX(Products!$A$5:$A$204,K867)))</f>
        <v/>
      </c>
      <c r="M867" s="11">
        <f>IF(A867="","",J867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867+IFERROR(INDEX(Settings!$D$5:$D$9,MATCH("Shopify",Settings!$A$5:$A$9,0)),0)*D867)</f>
        <v/>
      </c>
      <c r="N867" s="11">
        <f>IF(A867="","",IF(K867="",0,D867*INDEX(Products!$I$5:$I$204,K867)))</f>
        <v/>
      </c>
      <c r="O867" s="11">
        <f>IF(A867="","",IF(K867="",0,J867*INDEX(Products!$H$5:$H$204,K867)))</f>
        <v/>
      </c>
      <c r="P867" s="11">
        <f>IF(A867="","",J867-M867-N867-O867)</f>
        <v/>
      </c>
    </row>
    <row r="868">
      <c r="A868">
        <f>IFERROR(INDEX('Shopify Import'!$A:$CZ,868,Settings!$E$20)&amp;"","")</f>
        <v/>
      </c>
      <c r="B868">
        <f>IFERROR(INDEX('Shopify Import'!$A:$CZ,868,Settings!$E$21)&amp;"","")</f>
        <v/>
      </c>
      <c r="C868">
        <f>IFERROR(INDEX('Shopify Import'!$A:$CZ,868,Settings!$E$22)&amp;"","")</f>
        <v/>
      </c>
      <c r="D868">
        <f>IF(A868="","",IFERROR(VALUE(SUBSTITUTE(SUBSTITUTE(INDEX('Shopify Import'!$A:$CZ,868,Settings!$E$23)&amp;"","$",""),",","")),0))</f>
        <v/>
      </c>
      <c r="E868" s="11">
        <f>IF(A868="","",IFERROR(VALUE(SUBSTITUTE(SUBSTITUTE(INDEX('Shopify Import'!$A:$CZ,868,Settings!$E$24)&amp;"","$",""),",","")),0))</f>
        <v/>
      </c>
      <c r="F868" s="11">
        <f>IF(A868="","",D868*E868)</f>
        <v/>
      </c>
      <c r="G868">
        <f>IF(A868="","",IF(C868="",1,COUNTIF($C$2:$C$1501,C868)))</f>
        <v/>
      </c>
      <c r="H868" s="11">
        <f>IF(A868="","",IFERROR(VALUE(SUBSTITUTE(SUBSTITUTE(INDEX('Shopify Import'!$A:$CZ,868,Settings!$E$25)&amp;"","$",""),",","")),0)/IF(Settings!$D$27="Yes",G868,1))</f>
        <v/>
      </c>
      <c r="I868" s="11">
        <f>IF(A868="","",IFERROR(VALUE(SUBSTITUTE(SUBSTITUTE(INDEX('Shopify Import'!$A:$CZ,868,Settings!$E$26)&amp;"","$",""),",","")),0)/IF(Settings!$D$27="Yes",G868,1))</f>
        <v/>
      </c>
      <c r="J868" s="11">
        <f>IF(A868="","",F868+H868-I868)</f>
        <v/>
      </c>
      <c r="K868">
        <f>IF(A868="","",IFERROR(IF(B868="",NA(),MATCH(B868,Products!$B$5:$B$204,0)),IFERROR(MATCH(A868,Products!$A$5:$A$204,0),"")))</f>
        <v/>
      </c>
      <c r="L868">
        <f>IF(A868="","",IF(K868="","⚠ not in Products",INDEX(Products!$A$5:$A$204,K868)))</f>
        <v/>
      </c>
      <c r="M868" s="11">
        <f>IF(A868="","",J868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868+IFERROR(INDEX(Settings!$D$5:$D$9,MATCH("Shopify",Settings!$A$5:$A$9,0)),0)*D868)</f>
        <v/>
      </c>
      <c r="N868" s="11">
        <f>IF(A868="","",IF(K868="",0,D868*INDEX(Products!$I$5:$I$204,K868)))</f>
        <v/>
      </c>
      <c r="O868" s="11">
        <f>IF(A868="","",IF(K868="",0,J868*INDEX(Products!$H$5:$H$204,K868)))</f>
        <v/>
      </c>
      <c r="P868" s="11">
        <f>IF(A868="","",J868-M868-N868-O868)</f>
        <v/>
      </c>
    </row>
    <row r="869">
      <c r="A869">
        <f>IFERROR(INDEX('Shopify Import'!$A:$CZ,869,Settings!$E$20)&amp;"","")</f>
        <v/>
      </c>
      <c r="B869">
        <f>IFERROR(INDEX('Shopify Import'!$A:$CZ,869,Settings!$E$21)&amp;"","")</f>
        <v/>
      </c>
      <c r="C869">
        <f>IFERROR(INDEX('Shopify Import'!$A:$CZ,869,Settings!$E$22)&amp;"","")</f>
        <v/>
      </c>
      <c r="D869">
        <f>IF(A869="","",IFERROR(VALUE(SUBSTITUTE(SUBSTITUTE(INDEX('Shopify Import'!$A:$CZ,869,Settings!$E$23)&amp;"","$",""),",","")),0))</f>
        <v/>
      </c>
      <c r="E869" s="11">
        <f>IF(A869="","",IFERROR(VALUE(SUBSTITUTE(SUBSTITUTE(INDEX('Shopify Import'!$A:$CZ,869,Settings!$E$24)&amp;"","$",""),",","")),0))</f>
        <v/>
      </c>
      <c r="F869" s="11">
        <f>IF(A869="","",D869*E869)</f>
        <v/>
      </c>
      <c r="G869">
        <f>IF(A869="","",IF(C869="",1,COUNTIF($C$2:$C$1501,C869)))</f>
        <v/>
      </c>
      <c r="H869" s="11">
        <f>IF(A869="","",IFERROR(VALUE(SUBSTITUTE(SUBSTITUTE(INDEX('Shopify Import'!$A:$CZ,869,Settings!$E$25)&amp;"","$",""),",","")),0)/IF(Settings!$D$27="Yes",G869,1))</f>
        <v/>
      </c>
      <c r="I869" s="11">
        <f>IF(A869="","",IFERROR(VALUE(SUBSTITUTE(SUBSTITUTE(INDEX('Shopify Import'!$A:$CZ,869,Settings!$E$26)&amp;"","$",""),",","")),0)/IF(Settings!$D$27="Yes",G869,1))</f>
        <v/>
      </c>
      <c r="J869" s="11">
        <f>IF(A869="","",F869+H869-I869)</f>
        <v/>
      </c>
      <c r="K869">
        <f>IF(A869="","",IFERROR(IF(B869="",NA(),MATCH(B869,Products!$B$5:$B$204,0)),IFERROR(MATCH(A869,Products!$A$5:$A$204,0),"")))</f>
        <v/>
      </c>
      <c r="L869">
        <f>IF(A869="","",IF(K869="","⚠ not in Products",INDEX(Products!$A$5:$A$204,K869)))</f>
        <v/>
      </c>
      <c r="M869" s="11">
        <f>IF(A869="","",J869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869+IFERROR(INDEX(Settings!$D$5:$D$9,MATCH("Shopify",Settings!$A$5:$A$9,0)),0)*D869)</f>
        <v/>
      </c>
      <c r="N869" s="11">
        <f>IF(A869="","",IF(K869="",0,D869*INDEX(Products!$I$5:$I$204,K869)))</f>
        <v/>
      </c>
      <c r="O869" s="11">
        <f>IF(A869="","",IF(K869="",0,J869*INDEX(Products!$H$5:$H$204,K869)))</f>
        <v/>
      </c>
      <c r="P869" s="11">
        <f>IF(A869="","",J869-M869-N869-O869)</f>
        <v/>
      </c>
    </row>
    <row r="870">
      <c r="A870">
        <f>IFERROR(INDEX('Shopify Import'!$A:$CZ,870,Settings!$E$20)&amp;"","")</f>
        <v/>
      </c>
      <c r="B870">
        <f>IFERROR(INDEX('Shopify Import'!$A:$CZ,870,Settings!$E$21)&amp;"","")</f>
        <v/>
      </c>
      <c r="C870">
        <f>IFERROR(INDEX('Shopify Import'!$A:$CZ,870,Settings!$E$22)&amp;"","")</f>
        <v/>
      </c>
      <c r="D870">
        <f>IF(A870="","",IFERROR(VALUE(SUBSTITUTE(SUBSTITUTE(INDEX('Shopify Import'!$A:$CZ,870,Settings!$E$23)&amp;"","$",""),",","")),0))</f>
        <v/>
      </c>
      <c r="E870" s="11">
        <f>IF(A870="","",IFERROR(VALUE(SUBSTITUTE(SUBSTITUTE(INDEX('Shopify Import'!$A:$CZ,870,Settings!$E$24)&amp;"","$",""),",","")),0))</f>
        <v/>
      </c>
      <c r="F870" s="11">
        <f>IF(A870="","",D870*E870)</f>
        <v/>
      </c>
      <c r="G870">
        <f>IF(A870="","",IF(C870="",1,COUNTIF($C$2:$C$1501,C870)))</f>
        <v/>
      </c>
      <c r="H870" s="11">
        <f>IF(A870="","",IFERROR(VALUE(SUBSTITUTE(SUBSTITUTE(INDEX('Shopify Import'!$A:$CZ,870,Settings!$E$25)&amp;"","$",""),",","")),0)/IF(Settings!$D$27="Yes",G870,1))</f>
        <v/>
      </c>
      <c r="I870" s="11">
        <f>IF(A870="","",IFERROR(VALUE(SUBSTITUTE(SUBSTITUTE(INDEX('Shopify Import'!$A:$CZ,870,Settings!$E$26)&amp;"","$",""),",","")),0)/IF(Settings!$D$27="Yes",G870,1))</f>
        <v/>
      </c>
      <c r="J870" s="11">
        <f>IF(A870="","",F870+H870-I870)</f>
        <v/>
      </c>
      <c r="K870">
        <f>IF(A870="","",IFERROR(IF(B870="",NA(),MATCH(B870,Products!$B$5:$B$204,0)),IFERROR(MATCH(A870,Products!$A$5:$A$204,0),"")))</f>
        <v/>
      </c>
      <c r="L870">
        <f>IF(A870="","",IF(K870="","⚠ not in Products",INDEX(Products!$A$5:$A$204,K870)))</f>
        <v/>
      </c>
      <c r="M870" s="11">
        <f>IF(A870="","",J870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870+IFERROR(INDEX(Settings!$D$5:$D$9,MATCH("Shopify",Settings!$A$5:$A$9,0)),0)*D870)</f>
        <v/>
      </c>
      <c r="N870" s="11">
        <f>IF(A870="","",IF(K870="",0,D870*INDEX(Products!$I$5:$I$204,K870)))</f>
        <v/>
      </c>
      <c r="O870" s="11">
        <f>IF(A870="","",IF(K870="",0,J870*INDEX(Products!$H$5:$H$204,K870)))</f>
        <v/>
      </c>
      <c r="P870" s="11">
        <f>IF(A870="","",J870-M870-N870-O870)</f>
        <v/>
      </c>
    </row>
    <row r="871">
      <c r="A871">
        <f>IFERROR(INDEX('Shopify Import'!$A:$CZ,871,Settings!$E$20)&amp;"","")</f>
        <v/>
      </c>
      <c r="B871">
        <f>IFERROR(INDEX('Shopify Import'!$A:$CZ,871,Settings!$E$21)&amp;"","")</f>
        <v/>
      </c>
      <c r="C871">
        <f>IFERROR(INDEX('Shopify Import'!$A:$CZ,871,Settings!$E$22)&amp;"","")</f>
        <v/>
      </c>
      <c r="D871">
        <f>IF(A871="","",IFERROR(VALUE(SUBSTITUTE(SUBSTITUTE(INDEX('Shopify Import'!$A:$CZ,871,Settings!$E$23)&amp;"","$",""),",","")),0))</f>
        <v/>
      </c>
      <c r="E871" s="11">
        <f>IF(A871="","",IFERROR(VALUE(SUBSTITUTE(SUBSTITUTE(INDEX('Shopify Import'!$A:$CZ,871,Settings!$E$24)&amp;"","$",""),",","")),0))</f>
        <v/>
      </c>
      <c r="F871" s="11">
        <f>IF(A871="","",D871*E871)</f>
        <v/>
      </c>
      <c r="G871">
        <f>IF(A871="","",IF(C871="",1,COUNTIF($C$2:$C$1501,C871)))</f>
        <v/>
      </c>
      <c r="H871" s="11">
        <f>IF(A871="","",IFERROR(VALUE(SUBSTITUTE(SUBSTITUTE(INDEX('Shopify Import'!$A:$CZ,871,Settings!$E$25)&amp;"","$",""),",","")),0)/IF(Settings!$D$27="Yes",G871,1))</f>
        <v/>
      </c>
      <c r="I871" s="11">
        <f>IF(A871="","",IFERROR(VALUE(SUBSTITUTE(SUBSTITUTE(INDEX('Shopify Import'!$A:$CZ,871,Settings!$E$26)&amp;"","$",""),",","")),0)/IF(Settings!$D$27="Yes",G871,1))</f>
        <v/>
      </c>
      <c r="J871" s="11">
        <f>IF(A871="","",F871+H871-I871)</f>
        <v/>
      </c>
      <c r="K871">
        <f>IF(A871="","",IFERROR(IF(B871="",NA(),MATCH(B871,Products!$B$5:$B$204,0)),IFERROR(MATCH(A871,Products!$A$5:$A$204,0),"")))</f>
        <v/>
      </c>
      <c r="L871">
        <f>IF(A871="","",IF(K871="","⚠ not in Products",INDEX(Products!$A$5:$A$204,K871)))</f>
        <v/>
      </c>
      <c r="M871" s="11">
        <f>IF(A871="","",J871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871+IFERROR(INDEX(Settings!$D$5:$D$9,MATCH("Shopify",Settings!$A$5:$A$9,0)),0)*D871)</f>
        <v/>
      </c>
      <c r="N871" s="11">
        <f>IF(A871="","",IF(K871="",0,D871*INDEX(Products!$I$5:$I$204,K871)))</f>
        <v/>
      </c>
      <c r="O871" s="11">
        <f>IF(A871="","",IF(K871="",0,J871*INDEX(Products!$H$5:$H$204,K871)))</f>
        <v/>
      </c>
      <c r="P871" s="11">
        <f>IF(A871="","",J871-M871-N871-O871)</f>
        <v/>
      </c>
    </row>
    <row r="872">
      <c r="A872">
        <f>IFERROR(INDEX('Shopify Import'!$A:$CZ,872,Settings!$E$20)&amp;"","")</f>
        <v/>
      </c>
      <c r="B872">
        <f>IFERROR(INDEX('Shopify Import'!$A:$CZ,872,Settings!$E$21)&amp;"","")</f>
        <v/>
      </c>
      <c r="C872">
        <f>IFERROR(INDEX('Shopify Import'!$A:$CZ,872,Settings!$E$22)&amp;"","")</f>
        <v/>
      </c>
      <c r="D872">
        <f>IF(A872="","",IFERROR(VALUE(SUBSTITUTE(SUBSTITUTE(INDEX('Shopify Import'!$A:$CZ,872,Settings!$E$23)&amp;"","$",""),",","")),0))</f>
        <v/>
      </c>
      <c r="E872" s="11">
        <f>IF(A872="","",IFERROR(VALUE(SUBSTITUTE(SUBSTITUTE(INDEX('Shopify Import'!$A:$CZ,872,Settings!$E$24)&amp;"","$",""),",","")),0))</f>
        <v/>
      </c>
      <c r="F872" s="11">
        <f>IF(A872="","",D872*E872)</f>
        <v/>
      </c>
      <c r="G872">
        <f>IF(A872="","",IF(C872="",1,COUNTIF($C$2:$C$1501,C872)))</f>
        <v/>
      </c>
      <c r="H872" s="11">
        <f>IF(A872="","",IFERROR(VALUE(SUBSTITUTE(SUBSTITUTE(INDEX('Shopify Import'!$A:$CZ,872,Settings!$E$25)&amp;"","$",""),",","")),0)/IF(Settings!$D$27="Yes",G872,1))</f>
        <v/>
      </c>
      <c r="I872" s="11">
        <f>IF(A872="","",IFERROR(VALUE(SUBSTITUTE(SUBSTITUTE(INDEX('Shopify Import'!$A:$CZ,872,Settings!$E$26)&amp;"","$",""),",","")),0)/IF(Settings!$D$27="Yes",G872,1))</f>
        <v/>
      </c>
      <c r="J872" s="11">
        <f>IF(A872="","",F872+H872-I872)</f>
        <v/>
      </c>
      <c r="K872">
        <f>IF(A872="","",IFERROR(IF(B872="",NA(),MATCH(B872,Products!$B$5:$B$204,0)),IFERROR(MATCH(A872,Products!$A$5:$A$204,0),"")))</f>
        <v/>
      </c>
      <c r="L872">
        <f>IF(A872="","",IF(K872="","⚠ not in Products",INDEX(Products!$A$5:$A$204,K872)))</f>
        <v/>
      </c>
      <c r="M872" s="11">
        <f>IF(A872="","",J872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872+IFERROR(INDEX(Settings!$D$5:$D$9,MATCH("Shopify",Settings!$A$5:$A$9,0)),0)*D872)</f>
        <v/>
      </c>
      <c r="N872" s="11">
        <f>IF(A872="","",IF(K872="",0,D872*INDEX(Products!$I$5:$I$204,K872)))</f>
        <v/>
      </c>
      <c r="O872" s="11">
        <f>IF(A872="","",IF(K872="",0,J872*INDEX(Products!$H$5:$H$204,K872)))</f>
        <v/>
      </c>
      <c r="P872" s="11">
        <f>IF(A872="","",J872-M872-N872-O872)</f>
        <v/>
      </c>
    </row>
    <row r="873">
      <c r="A873">
        <f>IFERROR(INDEX('Shopify Import'!$A:$CZ,873,Settings!$E$20)&amp;"","")</f>
        <v/>
      </c>
      <c r="B873">
        <f>IFERROR(INDEX('Shopify Import'!$A:$CZ,873,Settings!$E$21)&amp;"","")</f>
        <v/>
      </c>
      <c r="C873">
        <f>IFERROR(INDEX('Shopify Import'!$A:$CZ,873,Settings!$E$22)&amp;"","")</f>
        <v/>
      </c>
      <c r="D873">
        <f>IF(A873="","",IFERROR(VALUE(SUBSTITUTE(SUBSTITUTE(INDEX('Shopify Import'!$A:$CZ,873,Settings!$E$23)&amp;"","$",""),",","")),0))</f>
        <v/>
      </c>
      <c r="E873" s="11">
        <f>IF(A873="","",IFERROR(VALUE(SUBSTITUTE(SUBSTITUTE(INDEX('Shopify Import'!$A:$CZ,873,Settings!$E$24)&amp;"","$",""),",","")),0))</f>
        <v/>
      </c>
      <c r="F873" s="11">
        <f>IF(A873="","",D873*E873)</f>
        <v/>
      </c>
      <c r="G873">
        <f>IF(A873="","",IF(C873="",1,COUNTIF($C$2:$C$1501,C873)))</f>
        <v/>
      </c>
      <c r="H873" s="11">
        <f>IF(A873="","",IFERROR(VALUE(SUBSTITUTE(SUBSTITUTE(INDEX('Shopify Import'!$A:$CZ,873,Settings!$E$25)&amp;"","$",""),",","")),0)/IF(Settings!$D$27="Yes",G873,1))</f>
        <v/>
      </c>
      <c r="I873" s="11">
        <f>IF(A873="","",IFERROR(VALUE(SUBSTITUTE(SUBSTITUTE(INDEX('Shopify Import'!$A:$CZ,873,Settings!$E$26)&amp;"","$",""),",","")),0)/IF(Settings!$D$27="Yes",G873,1))</f>
        <v/>
      </c>
      <c r="J873" s="11">
        <f>IF(A873="","",F873+H873-I873)</f>
        <v/>
      </c>
      <c r="K873">
        <f>IF(A873="","",IFERROR(IF(B873="",NA(),MATCH(B873,Products!$B$5:$B$204,0)),IFERROR(MATCH(A873,Products!$A$5:$A$204,0),"")))</f>
        <v/>
      </c>
      <c r="L873">
        <f>IF(A873="","",IF(K873="","⚠ not in Products",INDEX(Products!$A$5:$A$204,K873)))</f>
        <v/>
      </c>
      <c r="M873" s="11">
        <f>IF(A873="","",J873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873+IFERROR(INDEX(Settings!$D$5:$D$9,MATCH("Shopify",Settings!$A$5:$A$9,0)),0)*D873)</f>
        <v/>
      </c>
      <c r="N873" s="11">
        <f>IF(A873="","",IF(K873="",0,D873*INDEX(Products!$I$5:$I$204,K873)))</f>
        <v/>
      </c>
      <c r="O873" s="11">
        <f>IF(A873="","",IF(K873="",0,J873*INDEX(Products!$H$5:$H$204,K873)))</f>
        <v/>
      </c>
      <c r="P873" s="11">
        <f>IF(A873="","",J873-M873-N873-O873)</f>
        <v/>
      </c>
    </row>
    <row r="874">
      <c r="A874">
        <f>IFERROR(INDEX('Shopify Import'!$A:$CZ,874,Settings!$E$20)&amp;"","")</f>
        <v/>
      </c>
      <c r="B874">
        <f>IFERROR(INDEX('Shopify Import'!$A:$CZ,874,Settings!$E$21)&amp;"","")</f>
        <v/>
      </c>
      <c r="C874">
        <f>IFERROR(INDEX('Shopify Import'!$A:$CZ,874,Settings!$E$22)&amp;"","")</f>
        <v/>
      </c>
      <c r="D874">
        <f>IF(A874="","",IFERROR(VALUE(SUBSTITUTE(SUBSTITUTE(INDEX('Shopify Import'!$A:$CZ,874,Settings!$E$23)&amp;"","$",""),",","")),0))</f>
        <v/>
      </c>
      <c r="E874" s="11">
        <f>IF(A874="","",IFERROR(VALUE(SUBSTITUTE(SUBSTITUTE(INDEX('Shopify Import'!$A:$CZ,874,Settings!$E$24)&amp;"","$",""),",","")),0))</f>
        <v/>
      </c>
      <c r="F874" s="11">
        <f>IF(A874="","",D874*E874)</f>
        <v/>
      </c>
      <c r="G874">
        <f>IF(A874="","",IF(C874="",1,COUNTIF($C$2:$C$1501,C874)))</f>
        <v/>
      </c>
      <c r="H874" s="11">
        <f>IF(A874="","",IFERROR(VALUE(SUBSTITUTE(SUBSTITUTE(INDEX('Shopify Import'!$A:$CZ,874,Settings!$E$25)&amp;"","$",""),",","")),0)/IF(Settings!$D$27="Yes",G874,1))</f>
        <v/>
      </c>
      <c r="I874" s="11">
        <f>IF(A874="","",IFERROR(VALUE(SUBSTITUTE(SUBSTITUTE(INDEX('Shopify Import'!$A:$CZ,874,Settings!$E$26)&amp;"","$",""),",","")),0)/IF(Settings!$D$27="Yes",G874,1))</f>
        <v/>
      </c>
      <c r="J874" s="11">
        <f>IF(A874="","",F874+H874-I874)</f>
        <v/>
      </c>
      <c r="K874">
        <f>IF(A874="","",IFERROR(IF(B874="",NA(),MATCH(B874,Products!$B$5:$B$204,0)),IFERROR(MATCH(A874,Products!$A$5:$A$204,0),"")))</f>
        <v/>
      </c>
      <c r="L874">
        <f>IF(A874="","",IF(K874="","⚠ not in Products",INDEX(Products!$A$5:$A$204,K874)))</f>
        <v/>
      </c>
      <c r="M874" s="11">
        <f>IF(A874="","",J874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874+IFERROR(INDEX(Settings!$D$5:$D$9,MATCH("Shopify",Settings!$A$5:$A$9,0)),0)*D874)</f>
        <v/>
      </c>
      <c r="N874" s="11">
        <f>IF(A874="","",IF(K874="",0,D874*INDEX(Products!$I$5:$I$204,K874)))</f>
        <v/>
      </c>
      <c r="O874" s="11">
        <f>IF(A874="","",IF(K874="",0,J874*INDEX(Products!$H$5:$H$204,K874)))</f>
        <v/>
      </c>
      <c r="P874" s="11">
        <f>IF(A874="","",J874-M874-N874-O874)</f>
        <v/>
      </c>
    </row>
    <row r="875">
      <c r="A875">
        <f>IFERROR(INDEX('Shopify Import'!$A:$CZ,875,Settings!$E$20)&amp;"","")</f>
        <v/>
      </c>
      <c r="B875">
        <f>IFERROR(INDEX('Shopify Import'!$A:$CZ,875,Settings!$E$21)&amp;"","")</f>
        <v/>
      </c>
      <c r="C875">
        <f>IFERROR(INDEX('Shopify Import'!$A:$CZ,875,Settings!$E$22)&amp;"","")</f>
        <v/>
      </c>
      <c r="D875">
        <f>IF(A875="","",IFERROR(VALUE(SUBSTITUTE(SUBSTITUTE(INDEX('Shopify Import'!$A:$CZ,875,Settings!$E$23)&amp;"","$",""),",","")),0))</f>
        <v/>
      </c>
      <c r="E875" s="11">
        <f>IF(A875="","",IFERROR(VALUE(SUBSTITUTE(SUBSTITUTE(INDEX('Shopify Import'!$A:$CZ,875,Settings!$E$24)&amp;"","$",""),",","")),0))</f>
        <v/>
      </c>
      <c r="F875" s="11">
        <f>IF(A875="","",D875*E875)</f>
        <v/>
      </c>
      <c r="G875">
        <f>IF(A875="","",IF(C875="",1,COUNTIF($C$2:$C$1501,C875)))</f>
        <v/>
      </c>
      <c r="H875" s="11">
        <f>IF(A875="","",IFERROR(VALUE(SUBSTITUTE(SUBSTITUTE(INDEX('Shopify Import'!$A:$CZ,875,Settings!$E$25)&amp;"","$",""),",","")),0)/IF(Settings!$D$27="Yes",G875,1))</f>
        <v/>
      </c>
      <c r="I875" s="11">
        <f>IF(A875="","",IFERROR(VALUE(SUBSTITUTE(SUBSTITUTE(INDEX('Shopify Import'!$A:$CZ,875,Settings!$E$26)&amp;"","$",""),",","")),0)/IF(Settings!$D$27="Yes",G875,1))</f>
        <v/>
      </c>
      <c r="J875" s="11">
        <f>IF(A875="","",F875+H875-I875)</f>
        <v/>
      </c>
      <c r="K875">
        <f>IF(A875="","",IFERROR(IF(B875="",NA(),MATCH(B875,Products!$B$5:$B$204,0)),IFERROR(MATCH(A875,Products!$A$5:$A$204,0),"")))</f>
        <v/>
      </c>
      <c r="L875">
        <f>IF(A875="","",IF(K875="","⚠ not in Products",INDEX(Products!$A$5:$A$204,K875)))</f>
        <v/>
      </c>
      <c r="M875" s="11">
        <f>IF(A875="","",J875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875+IFERROR(INDEX(Settings!$D$5:$D$9,MATCH("Shopify",Settings!$A$5:$A$9,0)),0)*D875)</f>
        <v/>
      </c>
      <c r="N875" s="11">
        <f>IF(A875="","",IF(K875="",0,D875*INDEX(Products!$I$5:$I$204,K875)))</f>
        <v/>
      </c>
      <c r="O875" s="11">
        <f>IF(A875="","",IF(K875="",0,J875*INDEX(Products!$H$5:$H$204,K875)))</f>
        <v/>
      </c>
      <c r="P875" s="11">
        <f>IF(A875="","",J875-M875-N875-O875)</f>
        <v/>
      </c>
    </row>
    <row r="876">
      <c r="A876">
        <f>IFERROR(INDEX('Shopify Import'!$A:$CZ,876,Settings!$E$20)&amp;"","")</f>
        <v/>
      </c>
      <c r="B876">
        <f>IFERROR(INDEX('Shopify Import'!$A:$CZ,876,Settings!$E$21)&amp;"","")</f>
        <v/>
      </c>
      <c r="C876">
        <f>IFERROR(INDEX('Shopify Import'!$A:$CZ,876,Settings!$E$22)&amp;"","")</f>
        <v/>
      </c>
      <c r="D876">
        <f>IF(A876="","",IFERROR(VALUE(SUBSTITUTE(SUBSTITUTE(INDEX('Shopify Import'!$A:$CZ,876,Settings!$E$23)&amp;"","$",""),",","")),0))</f>
        <v/>
      </c>
      <c r="E876" s="11">
        <f>IF(A876="","",IFERROR(VALUE(SUBSTITUTE(SUBSTITUTE(INDEX('Shopify Import'!$A:$CZ,876,Settings!$E$24)&amp;"","$",""),",","")),0))</f>
        <v/>
      </c>
      <c r="F876" s="11">
        <f>IF(A876="","",D876*E876)</f>
        <v/>
      </c>
      <c r="G876">
        <f>IF(A876="","",IF(C876="",1,COUNTIF($C$2:$C$1501,C876)))</f>
        <v/>
      </c>
      <c r="H876" s="11">
        <f>IF(A876="","",IFERROR(VALUE(SUBSTITUTE(SUBSTITUTE(INDEX('Shopify Import'!$A:$CZ,876,Settings!$E$25)&amp;"","$",""),",","")),0)/IF(Settings!$D$27="Yes",G876,1))</f>
        <v/>
      </c>
      <c r="I876" s="11">
        <f>IF(A876="","",IFERROR(VALUE(SUBSTITUTE(SUBSTITUTE(INDEX('Shopify Import'!$A:$CZ,876,Settings!$E$26)&amp;"","$",""),",","")),0)/IF(Settings!$D$27="Yes",G876,1))</f>
        <v/>
      </c>
      <c r="J876" s="11">
        <f>IF(A876="","",F876+H876-I876)</f>
        <v/>
      </c>
      <c r="K876">
        <f>IF(A876="","",IFERROR(IF(B876="",NA(),MATCH(B876,Products!$B$5:$B$204,0)),IFERROR(MATCH(A876,Products!$A$5:$A$204,0),"")))</f>
        <v/>
      </c>
      <c r="L876">
        <f>IF(A876="","",IF(K876="","⚠ not in Products",INDEX(Products!$A$5:$A$204,K876)))</f>
        <v/>
      </c>
      <c r="M876" s="11">
        <f>IF(A876="","",J876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876+IFERROR(INDEX(Settings!$D$5:$D$9,MATCH("Shopify",Settings!$A$5:$A$9,0)),0)*D876)</f>
        <v/>
      </c>
      <c r="N876" s="11">
        <f>IF(A876="","",IF(K876="",0,D876*INDEX(Products!$I$5:$I$204,K876)))</f>
        <v/>
      </c>
      <c r="O876" s="11">
        <f>IF(A876="","",IF(K876="",0,J876*INDEX(Products!$H$5:$H$204,K876)))</f>
        <v/>
      </c>
      <c r="P876" s="11">
        <f>IF(A876="","",J876-M876-N876-O876)</f>
        <v/>
      </c>
    </row>
    <row r="877">
      <c r="A877">
        <f>IFERROR(INDEX('Shopify Import'!$A:$CZ,877,Settings!$E$20)&amp;"","")</f>
        <v/>
      </c>
      <c r="B877">
        <f>IFERROR(INDEX('Shopify Import'!$A:$CZ,877,Settings!$E$21)&amp;"","")</f>
        <v/>
      </c>
      <c r="C877">
        <f>IFERROR(INDEX('Shopify Import'!$A:$CZ,877,Settings!$E$22)&amp;"","")</f>
        <v/>
      </c>
      <c r="D877">
        <f>IF(A877="","",IFERROR(VALUE(SUBSTITUTE(SUBSTITUTE(INDEX('Shopify Import'!$A:$CZ,877,Settings!$E$23)&amp;"","$",""),",","")),0))</f>
        <v/>
      </c>
      <c r="E877" s="11">
        <f>IF(A877="","",IFERROR(VALUE(SUBSTITUTE(SUBSTITUTE(INDEX('Shopify Import'!$A:$CZ,877,Settings!$E$24)&amp;"","$",""),",","")),0))</f>
        <v/>
      </c>
      <c r="F877" s="11">
        <f>IF(A877="","",D877*E877)</f>
        <v/>
      </c>
      <c r="G877">
        <f>IF(A877="","",IF(C877="",1,COUNTIF($C$2:$C$1501,C877)))</f>
        <v/>
      </c>
      <c r="H877" s="11">
        <f>IF(A877="","",IFERROR(VALUE(SUBSTITUTE(SUBSTITUTE(INDEX('Shopify Import'!$A:$CZ,877,Settings!$E$25)&amp;"","$",""),",","")),0)/IF(Settings!$D$27="Yes",G877,1))</f>
        <v/>
      </c>
      <c r="I877" s="11">
        <f>IF(A877="","",IFERROR(VALUE(SUBSTITUTE(SUBSTITUTE(INDEX('Shopify Import'!$A:$CZ,877,Settings!$E$26)&amp;"","$",""),",","")),0)/IF(Settings!$D$27="Yes",G877,1))</f>
        <v/>
      </c>
      <c r="J877" s="11">
        <f>IF(A877="","",F877+H877-I877)</f>
        <v/>
      </c>
      <c r="K877">
        <f>IF(A877="","",IFERROR(IF(B877="",NA(),MATCH(B877,Products!$B$5:$B$204,0)),IFERROR(MATCH(A877,Products!$A$5:$A$204,0),"")))</f>
        <v/>
      </c>
      <c r="L877">
        <f>IF(A877="","",IF(K877="","⚠ not in Products",INDEX(Products!$A$5:$A$204,K877)))</f>
        <v/>
      </c>
      <c r="M877" s="11">
        <f>IF(A877="","",J877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877+IFERROR(INDEX(Settings!$D$5:$D$9,MATCH("Shopify",Settings!$A$5:$A$9,0)),0)*D877)</f>
        <v/>
      </c>
      <c r="N877" s="11">
        <f>IF(A877="","",IF(K877="",0,D877*INDEX(Products!$I$5:$I$204,K877)))</f>
        <v/>
      </c>
      <c r="O877" s="11">
        <f>IF(A877="","",IF(K877="",0,J877*INDEX(Products!$H$5:$H$204,K877)))</f>
        <v/>
      </c>
      <c r="P877" s="11">
        <f>IF(A877="","",J877-M877-N877-O877)</f>
        <v/>
      </c>
    </row>
    <row r="878">
      <c r="A878">
        <f>IFERROR(INDEX('Shopify Import'!$A:$CZ,878,Settings!$E$20)&amp;"","")</f>
        <v/>
      </c>
      <c r="B878">
        <f>IFERROR(INDEX('Shopify Import'!$A:$CZ,878,Settings!$E$21)&amp;"","")</f>
        <v/>
      </c>
      <c r="C878">
        <f>IFERROR(INDEX('Shopify Import'!$A:$CZ,878,Settings!$E$22)&amp;"","")</f>
        <v/>
      </c>
      <c r="D878">
        <f>IF(A878="","",IFERROR(VALUE(SUBSTITUTE(SUBSTITUTE(INDEX('Shopify Import'!$A:$CZ,878,Settings!$E$23)&amp;"","$",""),",","")),0))</f>
        <v/>
      </c>
      <c r="E878" s="11">
        <f>IF(A878="","",IFERROR(VALUE(SUBSTITUTE(SUBSTITUTE(INDEX('Shopify Import'!$A:$CZ,878,Settings!$E$24)&amp;"","$",""),",","")),0))</f>
        <v/>
      </c>
      <c r="F878" s="11">
        <f>IF(A878="","",D878*E878)</f>
        <v/>
      </c>
      <c r="G878">
        <f>IF(A878="","",IF(C878="",1,COUNTIF($C$2:$C$1501,C878)))</f>
        <v/>
      </c>
      <c r="H878" s="11">
        <f>IF(A878="","",IFERROR(VALUE(SUBSTITUTE(SUBSTITUTE(INDEX('Shopify Import'!$A:$CZ,878,Settings!$E$25)&amp;"","$",""),",","")),0)/IF(Settings!$D$27="Yes",G878,1))</f>
        <v/>
      </c>
      <c r="I878" s="11">
        <f>IF(A878="","",IFERROR(VALUE(SUBSTITUTE(SUBSTITUTE(INDEX('Shopify Import'!$A:$CZ,878,Settings!$E$26)&amp;"","$",""),",","")),0)/IF(Settings!$D$27="Yes",G878,1))</f>
        <v/>
      </c>
      <c r="J878" s="11">
        <f>IF(A878="","",F878+H878-I878)</f>
        <v/>
      </c>
      <c r="K878">
        <f>IF(A878="","",IFERROR(IF(B878="",NA(),MATCH(B878,Products!$B$5:$B$204,0)),IFERROR(MATCH(A878,Products!$A$5:$A$204,0),"")))</f>
        <v/>
      </c>
      <c r="L878">
        <f>IF(A878="","",IF(K878="","⚠ not in Products",INDEX(Products!$A$5:$A$204,K878)))</f>
        <v/>
      </c>
      <c r="M878" s="11">
        <f>IF(A878="","",J878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878+IFERROR(INDEX(Settings!$D$5:$D$9,MATCH("Shopify",Settings!$A$5:$A$9,0)),0)*D878)</f>
        <v/>
      </c>
      <c r="N878" s="11">
        <f>IF(A878="","",IF(K878="",0,D878*INDEX(Products!$I$5:$I$204,K878)))</f>
        <v/>
      </c>
      <c r="O878" s="11">
        <f>IF(A878="","",IF(K878="",0,J878*INDEX(Products!$H$5:$H$204,K878)))</f>
        <v/>
      </c>
      <c r="P878" s="11">
        <f>IF(A878="","",J878-M878-N878-O878)</f>
        <v/>
      </c>
    </row>
    <row r="879">
      <c r="A879">
        <f>IFERROR(INDEX('Shopify Import'!$A:$CZ,879,Settings!$E$20)&amp;"","")</f>
        <v/>
      </c>
      <c r="B879">
        <f>IFERROR(INDEX('Shopify Import'!$A:$CZ,879,Settings!$E$21)&amp;"","")</f>
        <v/>
      </c>
      <c r="C879">
        <f>IFERROR(INDEX('Shopify Import'!$A:$CZ,879,Settings!$E$22)&amp;"","")</f>
        <v/>
      </c>
      <c r="D879">
        <f>IF(A879="","",IFERROR(VALUE(SUBSTITUTE(SUBSTITUTE(INDEX('Shopify Import'!$A:$CZ,879,Settings!$E$23)&amp;"","$",""),",","")),0))</f>
        <v/>
      </c>
      <c r="E879" s="11">
        <f>IF(A879="","",IFERROR(VALUE(SUBSTITUTE(SUBSTITUTE(INDEX('Shopify Import'!$A:$CZ,879,Settings!$E$24)&amp;"","$",""),",","")),0))</f>
        <v/>
      </c>
      <c r="F879" s="11">
        <f>IF(A879="","",D879*E879)</f>
        <v/>
      </c>
      <c r="G879">
        <f>IF(A879="","",IF(C879="",1,COUNTIF($C$2:$C$1501,C879)))</f>
        <v/>
      </c>
      <c r="H879" s="11">
        <f>IF(A879="","",IFERROR(VALUE(SUBSTITUTE(SUBSTITUTE(INDEX('Shopify Import'!$A:$CZ,879,Settings!$E$25)&amp;"","$",""),",","")),0)/IF(Settings!$D$27="Yes",G879,1))</f>
        <v/>
      </c>
      <c r="I879" s="11">
        <f>IF(A879="","",IFERROR(VALUE(SUBSTITUTE(SUBSTITUTE(INDEX('Shopify Import'!$A:$CZ,879,Settings!$E$26)&amp;"","$",""),",","")),0)/IF(Settings!$D$27="Yes",G879,1))</f>
        <v/>
      </c>
      <c r="J879" s="11">
        <f>IF(A879="","",F879+H879-I879)</f>
        <v/>
      </c>
      <c r="K879">
        <f>IF(A879="","",IFERROR(IF(B879="",NA(),MATCH(B879,Products!$B$5:$B$204,0)),IFERROR(MATCH(A879,Products!$A$5:$A$204,0),"")))</f>
        <v/>
      </c>
      <c r="L879">
        <f>IF(A879="","",IF(K879="","⚠ not in Products",INDEX(Products!$A$5:$A$204,K879)))</f>
        <v/>
      </c>
      <c r="M879" s="11">
        <f>IF(A879="","",J879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879+IFERROR(INDEX(Settings!$D$5:$D$9,MATCH("Shopify",Settings!$A$5:$A$9,0)),0)*D879)</f>
        <v/>
      </c>
      <c r="N879" s="11">
        <f>IF(A879="","",IF(K879="",0,D879*INDEX(Products!$I$5:$I$204,K879)))</f>
        <v/>
      </c>
      <c r="O879" s="11">
        <f>IF(A879="","",IF(K879="",0,J879*INDEX(Products!$H$5:$H$204,K879)))</f>
        <v/>
      </c>
      <c r="P879" s="11">
        <f>IF(A879="","",J879-M879-N879-O879)</f>
        <v/>
      </c>
    </row>
    <row r="880">
      <c r="A880">
        <f>IFERROR(INDEX('Shopify Import'!$A:$CZ,880,Settings!$E$20)&amp;"","")</f>
        <v/>
      </c>
      <c r="B880">
        <f>IFERROR(INDEX('Shopify Import'!$A:$CZ,880,Settings!$E$21)&amp;"","")</f>
        <v/>
      </c>
      <c r="C880">
        <f>IFERROR(INDEX('Shopify Import'!$A:$CZ,880,Settings!$E$22)&amp;"","")</f>
        <v/>
      </c>
      <c r="D880">
        <f>IF(A880="","",IFERROR(VALUE(SUBSTITUTE(SUBSTITUTE(INDEX('Shopify Import'!$A:$CZ,880,Settings!$E$23)&amp;"","$",""),",","")),0))</f>
        <v/>
      </c>
      <c r="E880" s="11">
        <f>IF(A880="","",IFERROR(VALUE(SUBSTITUTE(SUBSTITUTE(INDEX('Shopify Import'!$A:$CZ,880,Settings!$E$24)&amp;"","$",""),",","")),0))</f>
        <v/>
      </c>
      <c r="F880" s="11">
        <f>IF(A880="","",D880*E880)</f>
        <v/>
      </c>
      <c r="G880">
        <f>IF(A880="","",IF(C880="",1,COUNTIF($C$2:$C$1501,C880)))</f>
        <v/>
      </c>
      <c r="H880" s="11">
        <f>IF(A880="","",IFERROR(VALUE(SUBSTITUTE(SUBSTITUTE(INDEX('Shopify Import'!$A:$CZ,880,Settings!$E$25)&amp;"","$",""),",","")),0)/IF(Settings!$D$27="Yes",G880,1))</f>
        <v/>
      </c>
      <c r="I880" s="11">
        <f>IF(A880="","",IFERROR(VALUE(SUBSTITUTE(SUBSTITUTE(INDEX('Shopify Import'!$A:$CZ,880,Settings!$E$26)&amp;"","$",""),",","")),0)/IF(Settings!$D$27="Yes",G880,1))</f>
        <v/>
      </c>
      <c r="J880" s="11">
        <f>IF(A880="","",F880+H880-I880)</f>
        <v/>
      </c>
      <c r="K880">
        <f>IF(A880="","",IFERROR(IF(B880="",NA(),MATCH(B880,Products!$B$5:$B$204,0)),IFERROR(MATCH(A880,Products!$A$5:$A$204,0),"")))</f>
        <v/>
      </c>
      <c r="L880">
        <f>IF(A880="","",IF(K880="","⚠ not in Products",INDEX(Products!$A$5:$A$204,K880)))</f>
        <v/>
      </c>
      <c r="M880" s="11">
        <f>IF(A880="","",J880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880+IFERROR(INDEX(Settings!$D$5:$D$9,MATCH("Shopify",Settings!$A$5:$A$9,0)),0)*D880)</f>
        <v/>
      </c>
      <c r="N880" s="11">
        <f>IF(A880="","",IF(K880="",0,D880*INDEX(Products!$I$5:$I$204,K880)))</f>
        <v/>
      </c>
      <c r="O880" s="11">
        <f>IF(A880="","",IF(K880="",0,J880*INDEX(Products!$H$5:$H$204,K880)))</f>
        <v/>
      </c>
      <c r="P880" s="11">
        <f>IF(A880="","",J880-M880-N880-O880)</f>
        <v/>
      </c>
    </row>
    <row r="881">
      <c r="A881">
        <f>IFERROR(INDEX('Shopify Import'!$A:$CZ,881,Settings!$E$20)&amp;"","")</f>
        <v/>
      </c>
      <c r="B881">
        <f>IFERROR(INDEX('Shopify Import'!$A:$CZ,881,Settings!$E$21)&amp;"","")</f>
        <v/>
      </c>
      <c r="C881">
        <f>IFERROR(INDEX('Shopify Import'!$A:$CZ,881,Settings!$E$22)&amp;"","")</f>
        <v/>
      </c>
      <c r="D881">
        <f>IF(A881="","",IFERROR(VALUE(SUBSTITUTE(SUBSTITUTE(INDEX('Shopify Import'!$A:$CZ,881,Settings!$E$23)&amp;"","$",""),",","")),0))</f>
        <v/>
      </c>
      <c r="E881" s="11">
        <f>IF(A881="","",IFERROR(VALUE(SUBSTITUTE(SUBSTITUTE(INDEX('Shopify Import'!$A:$CZ,881,Settings!$E$24)&amp;"","$",""),",","")),0))</f>
        <v/>
      </c>
      <c r="F881" s="11">
        <f>IF(A881="","",D881*E881)</f>
        <v/>
      </c>
      <c r="G881">
        <f>IF(A881="","",IF(C881="",1,COUNTIF($C$2:$C$1501,C881)))</f>
        <v/>
      </c>
      <c r="H881" s="11">
        <f>IF(A881="","",IFERROR(VALUE(SUBSTITUTE(SUBSTITUTE(INDEX('Shopify Import'!$A:$CZ,881,Settings!$E$25)&amp;"","$",""),",","")),0)/IF(Settings!$D$27="Yes",G881,1))</f>
        <v/>
      </c>
      <c r="I881" s="11">
        <f>IF(A881="","",IFERROR(VALUE(SUBSTITUTE(SUBSTITUTE(INDEX('Shopify Import'!$A:$CZ,881,Settings!$E$26)&amp;"","$",""),",","")),0)/IF(Settings!$D$27="Yes",G881,1))</f>
        <v/>
      </c>
      <c r="J881" s="11">
        <f>IF(A881="","",F881+H881-I881)</f>
        <v/>
      </c>
      <c r="K881">
        <f>IF(A881="","",IFERROR(IF(B881="",NA(),MATCH(B881,Products!$B$5:$B$204,0)),IFERROR(MATCH(A881,Products!$A$5:$A$204,0),"")))</f>
        <v/>
      </c>
      <c r="L881">
        <f>IF(A881="","",IF(K881="","⚠ not in Products",INDEX(Products!$A$5:$A$204,K881)))</f>
        <v/>
      </c>
      <c r="M881" s="11">
        <f>IF(A881="","",J881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881+IFERROR(INDEX(Settings!$D$5:$D$9,MATCH("Shopify",Settings!$A$5:$A$9,0)),0)*D881)</f>
        <v/>
      </c>
      <c r="N881" s="11">
        <f>IF(A881="","",IF(K881="",0,D881*INDEX(Products!$I$5:$I$204,K881)))</f>
        <v/>
      </c>
      <c r="O881" s="11">
        <f>IF(A881="","",IF(K881="",0,J881*INDEX(Products!$H$5:$H$204,K881)))</f>
        <v/>
      </c>
      <c r="P881" s="11">
        <f>IF(A881="","",J881-M881-N881-O881)</f>
        <v/>
      </c>
    </row>
    <row r="882">
      <c r="A882">
        <f>IFERROR(INDEX('Shopify Import'!$A:$CZ,882,Settings!$E$20)&amp;"","")</f>
        <v/>
      </c>
      <c r="B882">
        <f>IFERROR(INDEX('Shopify Import'!$A:$CZ,882,Settings!$E$21)&amp;"","")</f>
        <v/>
      </c>
      <c r="C882">
        <f>IFERROR(INDEX('Shopify Import'!$A:$CZ,882,Settings!$E$22)&amp;"","")</f>
        <v/>
      </c>
      <c r="D882">
        <f>IF(A882="","",IFERROR(VALUE(SUBSTITUTE(SUBSTITUTE(INDEX('Shopify Import'!$A:$CZ,882,Settings!$E$23)&amp;"","$",""),",","")),0))</f>
        <v/>
      </c>
      <c r="E882" s="11">
        <f>IF(A882="","",IFERROR(VALUE(SUBSTITUTE(SUBSTITUTE(INDEX('Shopify Import'!$A:$CZ,882,Settings!$E$24)&amp;"","$",""),",","")),0))</f>
        <v/>
      </c>
      <c r="F882" s="11">
        <f>IF(A882="","",D882*E882)</f>
        <v/>
      </c>
      <c r="G882">
        <f>IF(A882="","",IF(C882="",1,COUNTIF($C$2:$C$1501,C882)))</f>
        <v/>
      </c>
      <c r="H882" s="11">
        <f>IF(A882="","",IFERROR(VALUE(SUBSTITUTE(SUBSTITUTE(INDEX('Shopify Import'!$A:$CZ,882,Settings!$E$25)&amp;"","$",""),",","")),0)/IF(Settings!$D$27="Yes",G882,1))</f>
        <v/>
      </c>
      <c r="I882" s="11">
        <f>IF(A882="","",IFERROR(VALUE(SUBSTITUTE(SUBSTITUTE(INDEX('Shopify Import'!$A:$CZ,882,Settings!$E$26)&amp;"","$",""),",","")),0)/IF(Settings!$D$27="Yes",G882,1))</f>
        <v/>
      </c>
      <c r="J882" s="11">
        <f>IF(A882="","",F882+H882-I882)</f>
        <v/>
      </c>
      <c r="K882">
        <f>IF(A882="","",IFERROR(IF(B882="",NA(),MATCH(B882,Products!$B$5:$B$204,0)),IFERROR(MATCH(A882,Products!$A$5:$A$204,0),"")))</f>
        <v/>
      </c>
      <c r="L882">
        <f>IF(A882="","",IF(K882="","⚠ not in Products",INDEX(Products!$A$5:$A$204,K882)))</f>
        <v/>
      </c>
      <c r="M882" s="11">
        <f>IF(A882="","",J882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882+IFERROR(INDEX(Settings!$D$5:$D$9,MATCH("Shopify",Settings!$A$5:$A$9,0)),0)*D882)</f>
        <v/>
      </c>
      <c r="N882" s="11">
        <f>IF(A882="","",IF(K882="",0,D882*INDEX(Products!$I$5:$I$204,K882)))</f>
        <v/>
      </c>
      <c r="O882" s="11">
        <f>IF(A882="","",IF(K882="",0,J882*INDEX(Products!$H$5:$H$204,K882)))</f>
        <v/>
      </c>
      <c r="P882" s="11">
        <f>IF(A882="","",J882-M882-N882-O882)</f>
        <v/>
      </c>
    </row>
    <row r="883">
      <c r="A883">
        <f>IFERROR(INDEX('Shopify Import'!$A:$CZ,883,Settings!$E$20)&amp;"","")</f>
        <v/>
      </c>
      <c r="B883">
        <f>IFERROR(INDEX('Shopify Import'!$A:$CZ,883,Settings!$E$21)&amp;"","")</f>
        <v/>
      </c>
      <c r="C883">
        <f>IFERROR(INDEX('Shopify Import'!$A:$CZ,883,Settings!$E$22)&amp;"","")</f>
        <v/>
      </c>
      <c r="D883">
        <f>IF(A883="","",IFERROR(VALUE(SUBSTITUTE(SUBSTITUTE(INDEX('Shopify Import'!$A:$CZ,883,Settings!$E$23)&amp;"","$",""),",","")),0))</f>
        <v/>
      </c>
      <c r="E883" s="11">
        <f>IF(A883="","",IFERROR(VALUE(SUBSTITUTE(SUBSTITUTE(INDEX('Shopify Import'!$A:$CZ,883,Settings!$E$24)&amp;"","$",""),",","")),0))</f>
        <v/>
      </c>
      <c r="F883" s="11">
        <f>IF(A883="","",D883*E883)</f>
        <v/>
      </c>
      <c r="G883">
        <f>IF(A883="","",IF(C883="",1,COUNTIF($C$2:$C$1501,C883)))</f>
        <v/>
      </c>
      <c r="H883" s="11">
        <f>IF(A883="","",IFERROR(VALUE(SUBSTITUTE(SUBSTITUTE(INDEX('Shopify Import'!$A:$CZ,883,Settings!$E$25)&amp;"","$",""),",","")),0)/IF(Settings!$D$27="Yes",G883,1))</f>
        <v/>
      </c>
      <c r="I883" s="11">
        <f>IF(A883="","",IFERROR(VALUE(SUBSTITUTE(SUBSTITUTE(INDEX('Shopify Import'!$A:$CZ,883,Settings!$E$26)&amp;"","$",""),",","")),0)/IF(Settings!$D$27="Yes",G883,1))</f>
        <v/>
      </c>
      <c r="J883" s="11">
        <f>IF(A883="","",F883+H883-I883)</f>
        <v/>
      </c>
      <c r="K883">
        <f>IF(A883="","",IFERROR(IF(B883="",NA(),MATCH(B883,Products!$B$5:$B$204,0)),IFERROR(MATCH(A883,Products!$A$5:$A$204,0),"")))</f>
        <v/>
      </c>
      <c r="L883">
        <f>IF(A883="","",IF(K883="","⚠ not in Products",INDEX(Products!$A$5:$A$204,K883)))</f>
        <v/>
      </c>
      <c r="M883" s="11">
        <f>IF(A883="","",J883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883+IFERROR(INDEX(Settings!$D$5:$D$9,MATCH("Shopify",Settings!$A$5:$A$9,0)),0)*D883)</f>
        <v/>
      </c>
      <c r="N883" s="11">
        <f>IF(A883="","",IF(K883="",0,D883*INDEX(Products!$I$5:$I$204,K883)))</f>
        <v/>
      </c>
      <c r="O883" s="11">
        <f>IF(A883="","",IF(K883="",0,J883*INDEX(Products!$H$5:$H$204,K883)))</f>
        <v/>
      </c>
      <c r="P883" s="11">
        <f>IF(A883="","",J883-M883-N883-O883)</f>
        <v/>
      </c>
    </row>
    <row r="884">
      <c r="A884">
        <f>IFERROR(INDEX('Shopify Import'!$A:$CZ,884,Settings!$E$20)&amp;"","")</f>
        <v/>
      </c>
      <c r="B884">
        <f>IFERROR(INDEX('Shopify Import'!$A:$CZ,884,Settings!$E$21)&amp;"","")</f>
        <v/>
      </c>
      <c r="C884">
        <f>IFERROR(INDEX('Shopify Import'!$A:$CZ,884,Settings!$E$22)&amp;"","")</f>
        <v/>
      </c>
      <c r="D884">
        <f>IF(A884="","",IFERROR(VALUE(SUBSTITUTE(SUBSTITUTE(INDEX('Shopify Import'!$A:$CZ,884,Settings!$E$23)&amp;"","$",""),",","")),0))</f>
        <v/>
      </c>
      <c r="E884" s="11">
        <f>IF(A884="","",IFERROR(VALUE(SUBSTITUTE(SUBSTITUTE(INDEX('Shopify Import'!$A:$CZ,884,Settings!$E$24)&amp;"","$",""),",","")),0))</f>
        <v/>
      </c>
      <c r="F884" s="11">
        <f>IF(A884="","",D884*E884)</f>
        <v/>
      </c>
      <c r="G884">
        <f>IF(A884="","",IF(C884="",1,COUNTIF($C$2:$C$1501,C884)))</f>
        <v/>
      </c>
      <c r="H884" s="11">
        <f>IF(A884="","",IFERROR(VALUE(SUBSTITUTE(SUBSTITUTE(INDEX('Shopify Import'!$A:$CZ,884,Settings!$E$25)&amp;"","$",""),",","")),0)/IF(Settings!$D$27="Yes",G884,1))</f>
        <v/>
      </c>
      <c r="I884" s="11">
        <f>IF(A884="","",IFERROR(VALUE(SUBSTITUTE(SUBSTITUTE(INDEX('Shopify Import'!$A:$CZ,884,Settings!$E$26)&amp;"","$",""),",","")),0)/IF(Settings!$D$27="Yes",G884,1))</f>
        <v/>
      </c>
      <c r="J884" s="11">
        <f>IF(A884="","",F884+H884-I884)</f>
        <v/>
      </c>
      <c r="K884">
        <f>IF(A884="","",IFERROR(IF(B884="",NA(),MATCH(B884,Products!$B$5:$B$204,0)),IFERROR(MATCH(A884,Products!$A$5:$A$204,0),"")))</f>
        <v/>
      </c>
      <c r="L884">
        <f>IF(A884="","",IF(K884="","⚠ not in Products",INDEX(Products!$A$5:$A$204,K884)))</f>
        <v/>
      </c>
      <c r="M884" s="11">
        <f>IF(A884="","",J884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884+IFERROR(INDEX(Settings!$D$5:$D$9,MATCH("Shopify",Settings!$A$5:$A$9,0)),0)*D884)</f>
        <v/>
      </c>
      <c r="N884" s="11">
        <f>IF(A884="","",IF(K884="",0,D884*INDEX(Products!$I$5:$I$204,K884)))</f>
        <v/>
      </c>
      <c r="O884" s="11">
        <f>IF(A884="","",IF(K884="",0,J884*INDEX(Products!$H$5:$H$204,K884)))</f>
        <v/>
      </c>
      <c r="P884" s="11">
        <f>IF(A884="","",J884-M884-N884-O884)</f>
        <v/>
      </c>
    </row>
    <row r="885">
      <c r="A885">
        <f>IFERROR(INDEX('Shopify Import'!$A:$CZ,885,Settings!$E$20)&amp;"","")</f>
        <v/>
      </c>
      <c r="B885">
        <f>IFERROR(INDEX('Shopify Import'!$A:$CZ,885,Settings!$E$21)&amp;"","")</f>
        <v/>
      </c>
      <c r="C885">
        <f>IFERROR(INDEX('Shopify Import'!$A:$CZ,885,Settings!$E$22)&amp;"","")</f>
        <v/>
      </c>
      <c r="D885">
        <f>IF(A885="","",IFERROR(VALUE(SUBSTITUTE(SUBSTITUTE(INDEX('Shopify Import'!$A:$CZ,885,Settings!$E$23)&amp;"","$",""),",","")),0))</f>
        <v/>
      </c>
      <c r="E885" s="11">
        <f>IF(A885="","",IFERROR(VALUE(SUBSTITUTE(SUBSTITUTE(INDEX('Shopify Import'!$A:$CZ,885,Settings!$E$24)&amp;"","$",""),",","")),0))</f>
        <v/>
      </c>
      <c r="F885" s="11">
        <f>IF(A885="","",D885*E885)</f>
        <v/>
      </c>
      <c r="G885">
        <f>IF(A885="","",IF(C885="",1,COUNTIF($C$2:$C$1501,C885)))</f>
        <v/>
      </c>
      <c r="H885" s="11">
        <f>IF(A885="","",IFERROR(VALUE(SUBSTITUTE(SUBSTITUTE(INDEX('Shopify Import'!$A:$CZ,885,Settings!$E$25)&amp;"","$",""),",","")),0)/IF(Settings!$D$27="Yes",G885,1))</f>
        <v/>
      </c>
      <c r="I885" s="11">
        <f>IF(A885="","",IFERROR(VALUE(SUBSTITUTE(SUBSTITUTE(INDEX('Shopify Import'!$A:$CZ,885,Settings!$E$26)&amp;"","$",""),",","")),0)/IF(Settings!$D$27="Yes",G885,1))</f>
        <v/>
      </c>
      <c r="J885" s="11">
        <f>IF(A885="","",F885+H885-I885)</f>
        <v/>
      </c>
      <c r="K885">
        <f>IF(A885="","",IFERROR(IF(B885="",NA(),MATCH(B885,Products!$B$5:$B$204,0)),IFERROR(MATCH(A885,Products!$A$5:$A$204,0),"")))</f>
        <v/>
      </c>
      <c r="L885">
        <f>IF(A885="","",IF(K885="","⚠ not in Products",INDEX(Products!$A$5:$A$204,K885)))</f>
        <v/>
      </c>
      <c r="M885" s="11">
        <f>IF(A885="","",J885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885+IFERROR(INDEX(Settings!$D$5:$D$9,MATCH("Shopify",Settings!$A$5:$A$9,0)),0)*D885)</f>
        <v/>
      </c>
      <c r="N885" s="11">
        <f>IF(A885="","",IF(K885="",0,D885*INDEX(Products!$I$5:$I$204,K885)))</f>
        <v/>
      </c>
      <c r="O885" s="11">
        <f>IF(A885="","",IF(K885="",0,J885*INDEX(Products!$H$5:$H$204,K885)))</f>
        <v/>
      </c>
      <c r="P885" s="11">
        <f>IF(A885="","",J885-M885-N885-O885)</f>
        <v/>
      </c>
    </row>
    <row r="886">
      <c r="A886">
        <f>IFERROR(INDEX('Shopify Import'!$A:$CZ,886,Settings!$E$20)&amp;"","")</f>
        <v/>
      </c>
      <c r="B886">
        <f>IFERROR(INDEX('Shopify Import'!$A:$CZ,886,Settings!$E$21)&amp;"","")</f>
        <v/>
      </c>
      <c r="C886">
        <f>IFERROR(INDEX('Shopify Import'!$A:$CZ,886,Settings!$E$22)&amp;"","")</f>
        <v/>
      </c>
      <c r="D886">
        <f>IF(A886="","",IFERROR(VALUE(SUBSTITUTE(SUBSTITUTE(INDEX('Shopify Import'!$A:$CZ,886,Settings!$E$23)&amp;"","$",""),",","")),0))</f>
        <v/>
      </c>
      <c r="E886" s="11">
        <f>IF(A886="","",IFERROR(VALUE(SUBSTITUTE(SUBSTITUTE(INDEX('Shopify Import'!$A:$CZ,886,Settings!$E$24)&amp;"","$",""),",","")),0))</f>
        <v/>
      </c>
      <c r="F886" s="11">
        <f>IF(A886="","",D886*E886)</f>
        <v/>
      </c>
      <c r="G886">
        <f>IF(A886="","",IF(C886="",1,COUNTIF($C$2:$C$1501,C886)))</f>
        <v/>
      </c>
      <c r="H886" s="11">
        <f>IF(A886="","",IFERROR(VALUE(SUBSTITUTE(SUBSTITUTE(INDEX('Shopify Import'!$A:$CZ,886,Settings!$E$25)&amp;"","$",""),",","")),0)/IF(Settings!$D$27="Yes",G886,1))</f>
        <v/>
      </c>
      <c r="I886" s="11">
        <f>IF(A886="","",IFERROR(VALUE(SUBSTITUTE(SUBSTITUTE(INDEX('Shopify Import'!$A:$CZ,886,Settings!$E$26)&amp;"","$",""),",","")),0)/IF(Settings!$D$27="Yes",G886,1))</f>
        <v/>
      </c>
      <c r="J886" s="11">
        <f>IF(A886="","",F886+H886-I886)</f>
        <v/>
      </c>
      <c r="K886">
        <f>IF(A886="","",IFERROR(IF(B886="",NA(),MATCH(B886,Products!$B$5:$B$204,0)),IFERROR(MATCH(A886,Products!$A$5:$A$204,0),"")))</f>
        <v/>
      </c>
      <c r="L886">
        <f>IF(A886="","",IF(K886="","⚠ not in Products",INDEX(Products!$A$5:$A$204,K886)))</f>
        <v/>
      </c>
      <c r="M886" s="11">
        <f>IF(A886="","",J886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886+IFERROR(INDEX(Settings!$D$5:$D$9,MATCH("Shopify",Settings!$A$5:$A$9,0)),0)*D886)</f>
        <v/>
      </c>
      <c r="N886" s="11">
        <f>IF(A886="","",IF(K886="",0,D886*INDEX(Products!$I$5:$I$204,K886)))</f>
        <v/>
      </c>
      <c r="O886" s="11">
        <f>IF(A886="","",IF(K886="",0,J886*INDEX(Products!$H$5:$H$204,K886)))</f>
        <v/>
      </c>
      <c r="P886" s="11">
        <f>IF(A886="","",J886-M886-N886-O886)</f>
        <v/>
      </c>
    </row>
    <row r="887">
      <c r="A887">
        <f>IFERROR(INDEX('Shopify Import'!$A:$CZ,887,Settings!$E$20)&amp;"","")</f>
        <v/>
      </c>
      <c r="B887">
        <f>IFERROR(INDEX('Shopify Import'!$A:$CZ,887,Settings!$E$21)&amp;"","")</f>
        <v/>
      </c>
      <c r="C887">
        <f>IFERROR(INDEX('Shopify Import'!$A:$CZ,887,Settings!$E$22)&amp;"","")</f>
        <v/>
      </c>
      <c r="D887">
        <f>IF(A887="","",IFERROR(VALUE(SUBSTITUTE(SUBSTITUTE(INDEX('Shopify Import'!$A:$CZ,887,Settings!$E$23)&amp;"","$",""),",","")),0))</f>
        <v/>
      </c>
      <c r="E887" s="11">
        <f>IF(A887="","",IFERROR(VALUE(SUBSTITUTE(SUBSTITUTE(INDEX('Shopify Import'!$A:$CZ,887,Settings!$E$24)&amp;"","$",""),",","")),0))</f>
        <v/>
      </c>
      <c r="F887" s="11">
        <f>IF(A887="","",D887*E887)</f>
        <v/>
      </c>
      <c r="G887">
        <f>IF(A887="","",IF(C887="",1,COUNTIF($C$2:$C$1501,C887)))</f>
        <v/>
      </c>
      <c r="H887" s="11">
        <f>IF(A887="","",IFERROR(VALUE(SUBSTITUTE(SUBSTITUTE(INDEX('Shopify Import'!$A:$CZ,887,Settings!$E$25)&amp;"","$",""),",","")),0)/IF(Settings!$D$27="Yes",G887,1))</f>
        <v/>
      </c>
      <c r="I887" s="11">
        <f>IF(A887="","",IFERROR(VALUE(SUBSTITUTE(SUBSTITUTE(INDEX('Shopify Import'!$A:$CZ,887,Settings!$E$26)&amp;"","$",""),",","")),0)/IF(Settings!$D$27="Yes",G887,1))</f>
        <v/>
      </c>
      <c r="J887" s="11">
        <f>IF(A887="","",F887+H887-I887)</f>
        <v/>
      </c>
      <c r="K887">
        <f>IF(A887="","",IFERROR(IF(B887="",NA(),MATCH(B887,Products!$B$5:$B$204,0)),IFERROR(MATCH(A887,Products!$A$5:$A$204,0),"")))</f>
        <v/>
      </c>
      <c r="L887">
        <f>IF(A887="","",IF(K887="","⚠ not in Products",INDEX(Products!$A$5:$A$204,K887)))</f>
        <v/>
      </c>
      <c r="M887" s="11">
        <f>IF(A887="","",J887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887+IFERROR(INDEX(Settings!$D$5:$D$9,MATCH("Shopify",Settings!$A$5:$A$9,0)),0)*D887)</f>
        <v/>
      </c>
      <c r="N887" s="11">
        <f>IF(A887="","",IF(K887="",0,D887*INDEX(Products!$I$5:$I$204,K887)))</f>
        <v/>
      </c>
      <c r="O887" s="11">
        <f>IF(A887="","",IF(K887="",0,J887*INDEX(Products!$H$5:$H$204,K887)))</f>
        <v/>
      </c>
      <c r="P887" s="11">
        <f>IF(A887="","",J887-M887-N887-O887)</f>
        <v/>
      </c>
    </row>
    <row r="888">
      <c r="A888">
        <f>IFERROR(INDEX('Shopify Import'!$A:$CZ,888,Settings!$E$20)&amp;"","")</f>
        <v/>
      </c>
      <c r="B888">
        <f>IFERROR(INDEX('Shopify Import'!$A:$CZ,888,Settings!$E$21)&amp;"","")</f>
        <v/>
      </c>
      <c r="C888">
        <f>IFERROR(INDEX('Shopify Import'!$A:$CZ,888,Settings!$E$22)&amp;"","")</f>
        <v/>
      </c>
      <c r="D888">
        <f>IF(A888="","",IFERROR(VALUE(SUBSTITUTE(SUBSTITUTE(INDEX('Shopify Import'!$A:$CZ,888,Settings!$E$23)&amp;"","$",""),",","")),0))</f>
        <v/>
      </c>
      <c r="E888" s="11">
        <f>IF(A888="","",IFERROR(VALUE(SUBSTITUTE(SUBSTITUTE(INDEX('Shopify Import'!$A:$CZ,888,Settings!$E$24)&amp;"","$",""),",","")),0))</f>
        <v/>
      </c>
      <c r="F888" s="11">
        <f>IF(A888="","",D888*E888)</f>
        <v/>
      </c>
      <c r="G888">
        <f>IF(A888="","",IF(C888="",1,COUNTIF($C$2:$C$1501,C888)))</f>
        <v/>
      </c>
      <c r="H888" s="11">
        <f>IF(A888="","",IFERROR(VALUE(SUBSTITUTE(SUBSTITUTE(INDEX('Shopify Import'!$A:$CZ,888,Settings!$E$25)&amp;"","$",""),",","")),0)/IF(Settings!$D$27="Yes",G888,1))</f>
        <v/>
      </c>
      <c r="I888" s="11">
        <f>IF(A888="","",IFERROR(VALUE(SUBSTITUTE(SUBSTITUTE(INDEX('Shopify Import'!$A:$CZ,888,Settings!$E$26)&amp;"","$",""),",","")),0)/IF(Settings!$D$27="Yes",G888,1))</f>
        <v/>
      </c>
      <c r="J888" s="11">
        <f>IF(A888="","",F888+H888-I888)</f>
        <v/>
      </c>
      <c r="K888">
        <f>IF(A888="","",IFERROR(IF(B888="",NA(),MATCH(B888,Products!$B$5:$B$204,0)),IFERROR(MATCH(A888,Products!$A$5:$A$204,0),"")))</f>
        <v/>
      </c>
      <c r="L888">
        <f>IF(A888="","",IF(K888="","⚠ not in Products",INDEX(Products!$A$5:$A$204,K888)))</f>
        <v/>
      </c>
      <c r="M888" s="11">
        <f>IF(A888="","",J888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888+IFERROR(INDEX(Settings!$D$5:$D$9,MATCH("Shopify",Settings!$A$5:$A$9,0)),0)*D888)</f>
        <v/>
      </c>
      <c r="N888" s="11">
        <f>IF(A888="","",IF(K888="",0,D888*INDEX(Products!$I$5:$I$204,K888)))</f>
        <v/>
      </c>
      <c r="O888" s="11">
        <f>IF(A888="","",IF(K888="",0,J888*INDEX(Products!$H$5:$H$204,K888)))</f>
        <v/>
      </c>
      <c r="P888" s="11">
        <f>IF(A888="","",J888-M888-N888-O888)</f>
        <v/>
      </c>
    </row>
    <row r="889">
      <c r="A889">
        <f>IFERROR(INDEX('Shopify Import'!$A:$CZ,889,Settings!$E$20)&amp;"","")</f>
        <v/>
      </c>
      <c r="B889">
        <f>IFERROR(INDEX('Shopify Import'!$A:$CZ,889,Settings!$E$21)&amp;"","")</f>
        <v/>
      </c>
      <c r="C889">
        <f>IFERROR(INDEX('Shopify Import'!$A:$CZ,889,Settings!$E$22)&amp;"","")</f>
        <v/>
      </c>
      <c r="D889">
        <f>IF(A889="","",IFERROR(VALUE(SUBSTITUTE(SUBSTITUTE(INDEX('Shopify Import'!$A:$CZ,889,Settings!$E$23)&amp;"","$",""),",","")),0))</f>
        <v/>
      </c>
      <c r="E889" s="11">
        <f>IF(A889="","",IFERROR(VALUE(SUBSTITUTE(SUBSTITUTE(INDEX('Shopify Import'!$A:$CZ,889,Settings!$E$24)&amp;"","$",""),",","")),0))</f>
        <v/>
      </c>
      <c r="F889" s="11">
        <f>IF(A889="","",D889*E889)</f>
        <v/>
      </c>
      <c r="G889">
        <f>IF(A889="","",IF(C889="",1,COUNTIF($C$2:$C$1501,C889)))</f>
        <v/>
      </c>
      <c r="H889" s="11">
        <f>IF(A889="","",IFERROR(VALUE(SUBSTITUTE(SUBSTITUTE(INDEX('Shopify Import'!$A:$CZ,889,Settings!$E$25)&amp;"","$",""),",","")),0)/IF(Settings!$D$27="Yes",G889,1))</f>
        <v/>
      </c>
      <c r="I889" s="11">
        <f>IF(A889="","",IFERROR(VALUE(SUBSTITUTE(SUBSTITUTE(INDEX('Shopify Import'!$A:$CZ,889,Settings!$E$26)&amp;"","$",""),",","")),0)/IF(Settings!$D$27="Yes",G889,1))</f>
        <v/>
      </c>
      <c r="J889" s="11">
        <f>IF(A889="","",F889+H889-I889)</f>
        <v/>
      </c>
      <c r="K889">
        <f>IF(A889="","",IFERROR(IF(B889="",NA(),MATCH(B889,Products!$B$5:$B$204,0)),IFERROR(MATCH(A889,Products!$A$5:$A$204,0),"")))</f>
        <v/>
      </c>
      <c r="L889">
        <f>IF(A889="","",IF(K889="","⚠ not in Products",INDEX(Products!$A$5:$A$204,K889)))</f>
        <v/>
      </c>
      <c r="M889" s="11">
        <f>IF(A889="","",J889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889+IFERROR(INDEX(Settings!$D$5:$D$9,MATCH("Shopify",Settings!$A$5:$A$9,0)),0)*D889)</f>
        <v/>
      </c>
      <c r="N889" s="11">
        <f>IF(A889="","",IF(K889="",0,D889*INDEX(Products!$I$5:$I$204,K889)))</f>
        <v/>
      </c>
      <c r="O889" s="11">
        <f>IF(A889="","",IF(K889="",0,J889*INDEX(Products!$H$5:$H$204,K889)))</f>
        <v/>
      </c>
      <c r="P889" s="11">
        <f>IF(A889="","",J889-M889-N889-O889)</f>
        <v/>
      </c>
    </row>
    <row r="890">
      <c r="A890">
        <f>IFERROR(INDEX('Shopify Import'!$A:$CZ,890,Settings!$E$20)&amp;"","")</f>
        <v/>
      </c>
      <c r="B890">
        <f>IFERROR(INDEX('Shopify Import'!$A:$CZ,890,Settings!$E$21)&amp;"","")</f>
        <v/>
      </c>
      <c r="C890">
        <f>IFERROR(INDEX('Shopify Import'!$A:$CZ,890,Settings!$E$22)&amp;"","")</f>
        <v/>
      </c>
      <c r="D890">
        <f>IF(A890="","",IFERROR(VALUE(SUBSTITUTE(SUBSTITUTE(INDEX('Shopify Import'!$A:$CZ,890,Settings!$E$23)&amp;"","$",""),",","")),0))</f>
        <v/>
      </c>
      <c r="E890" s="11">
        <f>IF(A890="","",IFERROR(VALUE(SUBSTITUTE(SUBSTITUTE(INDEX('Shopify Import'!$A:$CZ,890,Settings!$E$24)&amp;"","$",""),",","")),0))</f>
        <v/>
      </c>
      <c r="F890" s="11">
        <f>IF(A890="","",D890*E890)</f>
        <v/>
      </c>
      <c r="G890">
        <f>IF(A890="","",IF(C890="",1,COUNTIF($C$2:$C$1501,C890)))</f>
        <v/>
      </c>
      <c r="H890" s="11">
        <f>IF(A890="","",IFERROR(VALUE(SUBSTITUTE(SUBSTITUTE(INDEX('Shopify Import'!$A:$CZ,890,Settings!$E$25)&amp;"","$",""),",","")),0)/IF(Settings!$D$27="Yes",G890,1))</f>
        <v/>
      </c>
      <c r="I890" s="11">
        <f>IF(A890="","",IFERROR(VALUE(SUBSTITUTE(SUBSTITUTE(INDEX('Shopify Import'!$A:$CZ,890,Settings!$E$26)&amp;"","$",""),",","")),0)/IF(Settings!$D$27="Yes",G890,1))</f>
        <v/>
      </c>
      <c r="J890" s="11">
        <f>IF(A890="","",F890+H890-I890)</f>
        <v/>
      </c>
      <c r="K890">
        <f>IF(A890="","",IFERROR(IF(B890="",NA(),MATCH(B890,Products!$B$5:$B$204,0)),IFERROR(MATCH(A890,Products!$A$5:$A$204,0),"")))</f>
        <v/>
      </c>
      <c r="L890">
        <f>IF(A890="","",IF(K890="","⚠ not in Products",INDEX(Products!$A$5:$A$204,K890)))</f>
        <v/>
      </c>
      <c r="M890" s="11">
        <f>IF(A890="","",J890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890+IFERROR(INDEX(Settings!$D$5:$D$9,MATCH("Shopify",Settings!$A$5:$A$9,0)),0)*D890)</f>
        <v/>
      </c>
      <c r="N890" s="11">
        <f>IF(A890="","",IF(K890="",0,D890*INDEX(Products!$I$5:$I$204,K890)))</f>
        <v/>
      </c>
      <c r="O890" s="11">
        <f>IF(A890="","",IF(K890="",0,J890*INDEX(Products!$H$5:$H$204,K890)))</f>
        <v/>
      </c>
      <c r="P890" s="11">
        <f>IF(A890="","",J890-M890-N890-O890)</f>
        <v/>
      </c>
    </row>
    <row r="891">
      <c r="A891">
        <f>IFERROR(INDEX('Shopify Import'!$A:$CZ,891,Settings!$E$20)&amp;"","")</f>
        <v/>
      </c>
      <c r="B891">
        <f>IFERROR(INDEX('Shopify Import'!$A:$CZ,891,Settings!$E$21)&amp;"","")</f>
        <v/>
      </c>
      <c r="C891">
        <f>IFERROR(INDEX('Shopify Import'!$A:$CZ,891,Settings!$E$22)&amp;"","")</f>
        <v/>
      </c>
      <c r="D891">
        <f>IF(A891="","",IFERROR(VALUE(SUBSTITUTE(SUBSTITUTE(INDEX('Shopify Import'!$A:$CZ,891,Settings!$E$23)&amp;"","$",""),",","")),0))</f>
        <v/>
      </c>
      <c r="E891" s="11">
        <f>IF(A891="","",IFERROR(VALUE(SUBSTITUTE(SUBSTITUTE(INDEX('Shopify Import'!$A:$CZ,891,Settings!$E$24)&amp;"","$",""),",","")),0))</f>
        <v/>
      </c>
      <c r="F891" s="11">
        <f>IF(A891="","",D891*E891)</f>
        <v/>
      </c>
      <c r="G891">
        <f>IF(A891="","",IF(C891="",1,COUNTIF($C$2:$C$1501,C891)))</f>
        <v/>
      </c>
      <c r="H891" s="11">
        <f>IF(A891="","",IFERROR(VALUE(SUBSTITUTE(SUBSTITUTE(INDEX('Shopify Import'!$A:$CZ,891,Settings!$E$25)&amp;"","$",""),",","")),0)/IF(Settings!$D$27="Yes",G891,1))</f>
        <v/>
      </c>
      <c r="I891" s="11">
        <f>IF(A891="","",IFERROR(VALUE(SUBSTITUTE(SUBSTITUTE(INDEX('Shopify Import'!$A:$CZ,891,Settings!$E$26)&amp;"","$",""),",","")),0)/IF(Settings!$D$27="Yes",G891,1))</f>
        <v/>
      </c>
      <c r="J891" s="11">
        <f>IF(A891="","",F891+H891-I891)</f>
        <v/>
      </c>
      <c r="K891">
        <f>IF(A891="","",IFERROR(IF(B891="",NA(),MATCH(B891,Products!$B$5:$B$204,0)),IFERROR(MATCH(A891,Products!$A$5:$A$204,0),"")))</f>
        <v/>
      </c>
      <c r="L891">
        <f>IF(A891="","",IF(K891="","⚠ not in Products",INDEX(Products!$A$5:$A$204,K891)))</f>
        <v/>
      </c>
      <c r="M891" s="11">
        <f>IF(A891="","",J891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891+IFERROR(INDEX(Settings!$D$5:$D$9,MATCH("Shopify",Settings!$A$5:$A$9,0)),0)*D891)</f>
        <v/>
      </c>
      <c r="N891" s="11">
        <f>IF(A891="","",IF(K891="",0,D891*INDEX(Products!$I$5:$I$204,K891)))</f>
        <v/>
      </c>
      <c r="O891" s="11">
        <f>IF(A891="","",IF(K891="",0,J891*INDEX(Products!$H$5:$H$204,K891)))</f>
        <v/>
      </c>
      <c r="P891" s="11">
        <f>IF(A891="","",J891-M891-N891-O891)</f>
        <v/>
      </c>
    </row>
    <row r="892">
      <c r="A892">
        <f>IFERROR(INDEX('Shopify Import'!$A:$CZ,892,Settings!$E$20)&amp;"","")</f>
        <v/>
      </c>
      <c r="B892">
        <f>IFERROR(INDEX('Shopify Import'!$A:$CZ,892,Settings!$E$21)&amp;"","")</f>
        <v/>
      </c>
      <c r="C892">
        <f>IFERROR(INDEX('Shopify Import'!$A:$CZ,892,Settings!$E$22)&amp;"","")</f>
        <v/>
      </c>
      <c r="D892">
        <f>IF(A892="","",IFERROR(VALUE(SUBSTITUTE(SUBSTITUTE(INDEX('Shopify Import'!$A:$CZ,892,Settings!$E$23)&amp;"","$",""),",","")),0))</f>
        <v/>
      </c>
      <c r="E892" s="11">
        <f>IF(A892="","",IFERROR(VALUE(SUBSTITUTE(SUBSTITUTE(INDEX('Shopify Import'!$A:$CZ,892,Settings!$E$24)&amp;"","$",""),",","")),0))</f>
        <v/>
      </c>
      <c r="F892" s="11">
        <f>IF(A892="","",D892*E892)</f>
        <v/>
      </c>
      <c r="G892">
        <f>IF(A892="","",IF(C892="",1,COUNTIF($C$2:$C$1501,C892)))</f>
        <v/>
      </c>
      <c r="H892" s="11">
        <f>IF(A892="","",IFERROR(VALUE(SUBSTITUTE(SUBSTITUTE(INDEX('Shopify Import'!$A:$CZ,892,Settings!$E$25)&amp;"","$",""),",","")),0)/IF(Settings!$D$27="Yes",G892,1))</f>
        <v/>
      </c>
      <c r="I892" s="11">
        <f>IF(A892="","",IFERROR(VALUE(SUBSTITUTE(SUBSTITUTE(INDEX('Shopify Import'!$A:$CZ,892,Settings!$E$26)&amp;"","$",""),",","")),0)/IF(Settings!$D$27="Yes",G892,1))</f>
        <v/>
      </c>
      <c r="J892" s="11">
        <f>IF(A892="","",F892+H892-I892)</f>
        <v/>
      </c>
      <c r="K892">
        <f>IF(A892="","",IFERROR(IF(B892="",NA(),MATCH(B892,Products!$B$5:$B$204,0)),IFERROR(MATCH(A892,Products!$A$5:$A$204,0),"")))</f>
        <v/>
      </c>
      <c r="L892">
        <f>IF(A892="","",IF(K892="","⚠ not in Products",INDEX(Products!$A$5:$A$204,K892)))</f>
        <v/>
      </c>
      <c r="M892" s="11">
        <f>IF(A892="","",J892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892+IFERROR(INDEX(Settings!$D$5:$D$9,MATCH("Shopify",Settings!$A$5:$A$9,0)),0)*D892)</f>
        <v/>
      </c>
      <c r="N892" s="11">
        <f>IF(A892="","",IF(K892="",0,D892*INDEX(Products!$I$5:$I$204,K892)))</f>
        <v/>
      </c>
      <c r="O892" s="11">
        <f>IF(A892="","",IF(K892="",0,J892*INDEX(Products!$H$5:$H$204,K892)))</f>
        <v/>
      </c>
      <c r="P892" s="11">
        <f>IF(A892="","",J892-M892-N892-O892)</f>
        <v/>
      </c>
    </row>
    <row r="893">
      <c r="A893">
        <f>IFERROR(INDEX('Shopify Import'!$A:$CZ,893,Settings!$E$20)&amp;"","")</f>
        <v/>
      </c>
      <c r="B893">
        <f>IFERROR(INDEX('Shopify Import'!$A:$CZ,893,Settings!$E$21)&amp;"","")</f>
        <v/>
      </c>
      <c r="C893">
        <f>IFERROR(INDEX('Shopify Import'!$A:$CZ,893,Settings!$E$22)&amp;"","")</f>
        <v/>
      </c>
      <c r="D893">
        <f>IF(A893="","",IFERROR(VALUE(SUBSTITUTE(SUBSTITUTE(INDEX('Shopify Import'!$A:$CZ,893,Settings!$E$23)&amp;"","$",""),",","")),0))</f>
        <v/>
      </c>
      <c r="E893" s="11">
        <f>IF(A893="","",IFERROR(VALUE(SUBSTITUTE(SUBSTITUTE(INDEX('Shopify Import'!$A:$CZ,893,Settings!$E$24)&amp;"","$",""),",","")),0))</f>
        <v/>
      </c>
      <c r="F893" s="11">
        <f>IF(A893="","",D893*E893)</f>
        <v/>
      </c>
      <c r="G893">
        <f>IF(A893="","",IF(C893="",1,COUNTIF($C$2:$C$1501,C893)))</f>
        <v/>
      </c>
      <c r="H893" s="11">
        <f>IF(A893="","",IFERROR(VALUE(SUBSTITUTE(SUBSTITUTE(INDEX('Shopify Import'!$A:$CZ,893,Settings!$E$25)&amp;"","$",""),",","")),0)/IF(Settings!$D$27="Yes",G893,1))</f>
        <v/>
      </c>
      <c r="I893" s="11">
        <f>IF(A893="","",IFERROR(VALUE(SUBSTITUTE(SUBSTITUTE(INDEX('Shopify Import'!$A:$CZ,893,Settings!$E$26)&amp;"","$",""),",","")),0)/IF(Settings!$D$27="Yes",G893,1))</f>
        <v/>
      </c>
      <c r="J893" s="11">
        <f>IF(A893="","",F893+H893-I893)</f>
        <v/>
      </c>
      <c r="K893">
        <f>IF(A893="","",IFERROR(IF(B893="",NA(),MATCH(B893,Products!$B$5:$B$204,0)),IFERROR(MATCH(A893,Products!$A$5:$A$204,0),"")))</f>
        <v/>
      </c>
      <c r="L893">
        <f>IF(A893="","",IF(K893="","⚠ not in Products",INDEX(Products!$A$5:$A$204,K893)))</f>
        <v/>
      </c>
      <c r="M893" s="11">
        <f>IF(A893="","",J893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893+IFERROR(INDEX(Settings!$D$5:$D$9,MATCH("Shopify",Settings!$A$5:$A$9,0)),0)*D893)</f>
        <v/>
      </c>
      <c r="N893" s="11">
        <f>IF(A893="","",IF(K893="",0,D893*INDEX(Products!$I$5:$I$204,K893)))</f>
        <v/>
      </c>
      <c r="O893" s="11">
        <f>IF(A893="","",IF(K893="",0,J893*INDEX(Products!$H$5:$H$204,K893)))</f>
        <v/>
      </c>
      <c r="P893" s="11">
        <f>IF(A893="","",J893-M893-N893-O893)</f>
        <v/>
      </c>
    </row>
    <row r="894">
      <c r="A894">
        <f>IFERROR(INDEX('Shopify Import'!$A:$CZ,894,Settings!$E$20)&amp;"","")</f>
        <v/>
      </c>
      <c r="B894">
        <f>IFERROR(INDEX('Shopify Import'!$A:$CZ,894,Settings!$E$21)&amp;"","")</f>
        <v/>
      </c>
      <c r="C894">
        <f>IFERROR(INDEX('Shopify Import'!$A:$CZ,894,Settings!$E$22)&amp;"","")</f>
        <v/>
      </c>
      <c r="D894">
        <f>IF(A894="","",IFERROR(VALUE(SUBSTITUTE(SUBSTITUTE(INDEX('Shopify Import'!$A:$CZ,894,Settings!$E$23)&amp;"","$",""),",","")),0))</f>
        <v/>
      </c>
      <c r="E894" s="11">
        <f>IF(A894="","",IFERROR(VALUE(SUBSTITUTE(SUBSTITUTE(INDEX('Shopify Import'!$A:$CZ,894,Settings!$E$24)&amp;"","$",""),",","")),0))</f>
        <v/>
      </c>
      <c r="F894" s="11">
        <f>IF(A894="","",D894*E894)</f>
        <v/>
      </c>
      <c r="G894">
        <f>IF(A894="","",IF(C894="",1,COUNTIF($C$2:$C$1501,C894)))</f>
        <v/>
      </c>
      <c r="H894" s="11">
        <f>IF(A894="","",IFERROR(VALUE(SUBSTITUTE(SUBSTITUTE(INDEX('Shopify Import'!$A:$CZ,894,Settings!$E$25)&amp;"","$",""),",","")),0)/IF(Settings!$D$27="Yes",G894,1))</f>
        <v/>
      </c>
      <c r="I894" s="11">
        <f>IF(A894="","",IFERROR(VALUE(SUBSTITUTE(SUBSTITUTE(INDEX('Shopify Import'!$A:$CZ,894,Settings!$E$26)&amp;"","$",""),",","")),0)/IF(Settings!$D$27="Yes",G894,1))</f>
        <v/>
      </c>
      <c r="J894" s="11">
        <f>IF(A894="","",F894+H894-I894)</f>
        <v/>
      </c>
      <c r="K894">
        <f>IF(A894="","",IFERROR(IF(B894="",NA(),MATCH(B894,Products!$B$5:$B$204,0)),IFERROR(MATCH(A894,Products!$A$5:$A$204,0),"")))</f>
        <v/>
      </c>
      <c r="L894">
        <f>IF(A894="","",IF(K894="","⚠ not in Products",INDEX(Products!$A$5:$A$204,K894)))</f>
        <v/>
      </c>
      <c r="M894" s="11">
        <f>IF(A894="","",J894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894+IFERROR(INDEX(Settings!$D$5:$D$9,MATCH("Shopify",Settings!$A$5:$A$9,0)),0)*D894)</f>
        <v/>
      </c>
      <c r="N894" s="11">
        <f>IF(A894="","",IF(K894="",0,D894*INDEX(Products!$I$5:$I$204,K894)))</f>
        <v/>
      </c>
      <c r="O894" s="11">
        <f>IF(A894="","",IF(K894="",0,J894*INDEX(Products!$H$5:$H$204,K894)))</f>
        <v/>
      </c>
      <c r="P894" s="11">
        <f>IF(A894="","",J894-M894-N894-O894)</f>
        <v/>
      </c>
    </row>
    <row r="895">
      <c r="A895">
        <f>IFERROR(INDEX('Shopify Import'!$A:$CZ,895,Settings!$E$20)&amp;"","")</f>
        <v/>
      </c>
      <c r="B895">
        <f>IFERROR(INDEX('Shopify Import'!$A:$CZ,895,Settings!$E$21)&amp;"","")</f>
        <v/>
      </c>
      <c r="C895">
        <f>IFERROR(INDEX('Shopify Import'!$A:$CZ,895,Settings!$E$22)&amp;"","")</f>
        <v/>
      </c>
      <c r="D895">
        <f>IF(A895="","",IFERROR(VALUE(SUBSTITUTE(SUBSTITUTE(INDEX('Shopify Import'!$A:$CZ,895,Settings!$E$23)&amp;"","$",""),",","")),0))</f>
        <v/>
      </c>
      <c r="E895" s="11">
        <f>IF(A895="","",IFERROR(VALUE(SUBSTITUTE(SUBSTITUTE(INDEX('Shopify Import'!$A:$CZ,895,Settings!$E$24)&amp;"","$",""),",","")),0))</f>
        <v/>
      </c>
      <c r="F895" s="11">
        <f>IF(A895="","",D895*E895)</f>
        <v/>
      </c>
      <c r="G895">
        <f>IF(A895="","",IF(C895="",1,COUNTIF($C$2:$C$1501,C895)))</f>
        <v/>
      </c>
      <c r="H895" s="11">
        <f>IF(A895="","",IFERROR(VALUE(SUBSTITUTE(SUBSTITUTE(INDEX('Shopify Import'!$A:$CZ,895,Settings!$E$25)&amp;"","$",""),",","")),0)/IF(Settings!$D$27="Yes",G895,1))</f>
        <v/>
      </c>
      <c r="I895" s="11">
        <f>IF(A895="","",IFERROR(VALUE(SUBSTITUTE(SUBSTITUTE(INDEX('Shopify Import'!$A:$CZ,895,Settings!$E$26)&amp;"","$",""),",","")),0)/IF(Settings!$D$27="Yes",G895,1))</f>
        <v/>
      </c>
      <c r="J895" s="11">
        <f>IF(A895="","",F895+H895-I895)</f>
        <v/>
      </c>
      <c r="K895">
        <f>IF(A895="","",IFERROR(IF(B895="",NA(),MATCH(B895,Products!$B$5:$B$204,0)),IFERROR(MATCH(A895,Products!$A$5:$A$204,0),"")))</f>
        <v/>
      </c>
      <c r="L895">
        <f>IF(A895="","",IF(K895="","⚠ not in Products",INDEX(Products!$A$5:$A$204,K895)))</f>
        <v/>
      </c>
      <c r="M895" s="11">
        <f>IF(A895="","",J895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895+IFERROR(INDEX(Settings!$D$5:$D$9,MATCH("Shopify",Settings!$A$5:$A$9,0)),0)*D895)</f>
        <v/>
      </c>
      <c r="N895" s="11">
        <f>IF(A895="","",IF(K895="",0,D895*INDEX(Products!$I$5:$I$204,K895)))</f>
        <v/>
      </c>
      <c r="O895" s="11">
        <f>IF(A895="","",IF(K895="",0,J895*INDEX(Products!$H$5:$H$204,K895)))</f>
        <v/>
      </c>
      <c r="P895" s="11">
        <f>IF(A895="","",J895-M895-N895-O895)</f>
        <v/>
      </c>
    </row>
    <row r="896">
      <c r="A896">
        <f>IFERROR(INDEX('Shopify Import'!$A:$CZ,896,Settings!$E$20)&amp;"","")</f>
        <v/>
      </c>
      <c r="B896">
        <f>IFERROR(INDEX('Shopify Import'!$A:$CZ,896,Settings!$E$21)&amp;"","")</f>
        <v/>
      </c>
      <c r="C896">
        <f>IFERROR(INDEX('Shopify Import'!$A:$CZ,896,Settings!$E$22)&amp;"","")</f>
        <v/>
      </c>
      <c r="D896">
        <f>IF(A896="","",IFERROR(VALUE(SUBSTITUTE(SUBSTITUTE(INDEX('Shopify Import'!$A:$CZ,896,Settings!$E$23)&amp;"","$",""),",","")),0))</f>
        <v/>
      </c>
      <c r="E896" s="11">
        <f>IF(A896="","",IFERROR(VALUE(SUBSTITUTE(SUBSTITUTE(INDEX('Shopify Import'!$A:$CZ,896,Settings!$E$24)&amp;"","$",""),",","")),0))</f>
        <v/>
      </c>
      <c r="F896" s="11">
        <f>IF(A896="","",D896*E896)</f>
        <v/>
      </c>
      <c r="G896">
        <f>IF(A896="","",IF(C896="",1,COUNTIF($C$2:$C$1501,C896)))</f>
        <v/>
      </c>
      <c r="H896" s="11">
        <f>IF(A896="","",IFERROR(VALUE(SUBSTITUTE(SUBSTITUTE(INDEX('Shopify Import'!$A:$CZ,896,Settings!$E$25)&amp;"","$",""),",","")),0)/IF(Settings!$D$27="Yes",G896,1))</f>
        <v/>
      </c>
      <c r="I896" s="11">
        <f>IF(A896="","",IFERROR(VALUE(SUBSTITUTE(SUBSTITUTE(INDEX('Shopify Import'!$A:$CZ,896,Settings!$E$26)&amp;"","$",""),",","")),0)/IF(Settings!$D$27="Yes",G896,1))</f>
        <v/>
      </c>
      <c r="J896" s="11">
        <f>IF(A896="","",F896+H896-I896)</f>
        <v/>
      </c>
      <c r="K896">
        <f>IF(A896="","",IFERROR(IF(B896="",NA(),MATCH(B896,Products!$B$5:$B$204,0)),IFERROR(MATCH(A896,Products!$A$5:$A$204,0),"")))</f>
        <v/>
      </c>
      <c r="L896">
        <f>IF(A896="","",IF(K896="","⚠ not in Products",INDEX(Products!$A$5:$A$204,K896)))</f>
        <v/>
      </c>
      <c r="M896" s="11">
        <f>IF(A896="","",J896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896+IFERROR(INDEX(Settings!$D$5:$D$9,MATCH("Shopify",Settings!$A$5:$A$9,0)),0)*D896)</f>
        <v/>
      </c>
      <c r="N896" s="11">
        <f>IF(A896="","",IF(K896="",0,D896*INDEX(Products!$I$5:$I$204,K896)))</f>
        <v/>
      </c>
      <c r="O896" s="11">
        <f>IF(A896="","",IF(K896="",0,J896*INDEX(Products!$H$5:$H$204,K896)))</f>
        <v/>
      </c>
      <c r="P896" s="11">
        <f>IF(A896="","",J896-M896-N896-O896)</f>
        <v/>
      </c>
    </row>
    <row r="897">
      <c r="A897">
        <f>IFERROR(INDEX('Shopify Import'!$A:$CZ,897,Settings!$E$20)&amp;"","")</f>
        <v/>
      </c>
      <c r="B897">
        <f>IFERROR(INDEX('Shopify Import'!$A:$CZ,897,Settings!$E$21)&amp;"","")</f>
        <v/>
      </c>
      <c r="C897">
        <f>IFERROR(INDEX('Shopify Import'!$A:$CZ,897,Settings!$E$22)&amp;"","")</f>
        <v/>
      </c>
      <c r="D897">
        <f>IF(A897="","",IFERROR(VALUE(SUBSTITUTE(SUBSTITUTE(INDEX('Shopify Import'!$A:$CZ,897,Settings!$E$23)&amp;"","$",""),",","")),0))</f>
        <v/>
      </c>
      <c r="E897" s="11">
        <f>IF(A897="","",IFERROR(VALUE(SUBSTITUTE(SUBSTITUTE(INDEX('Shopify Import'!$A:$CZ,897,Settings!$E$24)&amp;"","$",""),",","")),0))</f>
        <v/>
      </c>
      <c r="F897" s="11">
        <f>IF(A897="","",D897*E897)</f>
        <v/>
      </c>
      <c r="G897">
        <f>IF(A897="","",IF(C897="",1,COUNTIF($C$2:$C$1501,C897)))</f>
        <v/>
      </c>
      <c r="H897" s="11">
        <f>IF(A897="","",IFERROR(VALUE(SUBSTITUTE(SUBSTITUTE(INDEX('Shopify Import'!$A:$CZ,897,Settings!$E$25)&amp;"","$",""),",","")),0)/IF(Settings!$D$27="Yes",G897,1))</f>
        <v/>
      </c>
      <c r="I897" s="11">
        <f>IF(A897="","",IFERROR(VALUE(SUBSTITUTE(SUBSTITUTE(INDEX('Shopify Import'!$A:$CZ,897,Settings!$E$26)&amp;"","$",""),",","")),0)/IF(Settings!$D$27="Yes",G897,1))</f>
        <v/>
      </c>
      <c r="J897" s="11">
        <f>IF(A897="","",F897+H897-I897)</f>
        <v/>
      </c>
      <c r="K897">
        <f>IF(A897="","",IFERROR(IF(B897="",NA(),MATCH(B897,Products!$B$5:$B$204,0)),IFERROR(MATCH(A897,Products!$A$5:$A$204,0),"")))</f>
        <v/>
      </c>
      <c r="L897">
        <f>IF(A897="","",IF(K897="","⚠ not in Products",INDEX(Products!$A$5:$A$204,K897)))</f>
        <v/>
      </c>
      <c r="M897" s="11">
        <f>IF(A897="","",J897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897+IFERROR(INDEX(Settings!$D$5:$D$9,MATCH("Shopify",Settings!$A$5:$A$9,0)),0)*D897)</f>
        <v/>
      </c>
      <c r="N897" s="11">
        <f>IF(A897="","",IF(K897="",0,D897*INDEX(Products!$I$5:$I$204,K897)))</f>
        <v/>
      </c>
      <c r="O897" s="11">
        <f>IF(A897="","",IF(K897="",0,J897*INDEX(Products!$H$5:$H$204,K897)))</f>
        <v/>
      </c>
      <c r="P897" s="11">
        <f>IF(A897="","",J897-M897-N897-O897)</f>
        <v/>
      </c>
    </row>
    <row r="898">
      <c r="A898">
        <f>IFERROR(INDEX('Shopify Import'!$A:$CZ,898,Settings!$E$20)&amp;"","")</f>
        <v/>
      </c>
      <c r="B898">
        <f>IFERROR(INDEX('Shopify Import'!$A:$CZ,898,Settings!$E$21)&amp;"","")</f>
        <v/>
      </c>
      <c r="C898">
        <f>IFERROR(INDEX('Shopify Import'!$A:$CZ,898,Settings!$E$22)&amp;"","")</f>
        <v/>
      </c>
      <c r="D898">
        <f>IF(A898="","",IFERROR(VALUE(SUBSTITUTE(SUBSTITUTE(INDEX('Shopify Import'!$A:$CZ,898,Settings!$E$23)&amp;"","$",""),",","")),0))</f>
        <v/>
      </c>
      <c r="E898" s="11">
        <f>IF(A898="","",IFERROR(VALUE(SUBSTITUTE(SUBSTITUTE(INDEX('Shopify Import'!$A:$CZ,898,Settings!$E$24)&amp;"","$",""),",","")),0))</f>
        <v/>
      </c>
      <c r="F898" s="11">
        <f>IF(A898="","",D898*E898)</f>
        <v/>
      </c>
      <c r="G898">
        <f>IF(A898="","",IF(C898="",1,COUNTIF($C$2:$C$1501,C898)))</f>
        <v/>
      </c>
      <c r="H898" s="11">
        <f>IF(A898="","",IFERROR(VALUE(SUBSTITUTE(SUBSTITUTE(INDEX('Shopify Import'!$A:$CZ,898,Settings!$E$25)&amp;"","$",""),",","")),0)/IF(Settings!$D$27="Yes",G898,1))</f>
        <v/>
      </c>
      <c r="I898" s="11">
        <f>IF(A898="","",IFERROR(VALUE(SUBSTITUTE(SUBSTITUTE(INDEX('Shopify Import'!$A:$CZ,898,Settings!$E$26)&amp;"","$",""),",","")),0)/IF(Settings!$D$27="Yes",G898,1))</f>
        <v/>
      </c>
      <c r="J898" s="11">
        <f>IF(A898="","",F898+H898-I898)</f>
        <v/>
      </c>
      <c r="K898">
        <f>IF(A898="","",IFERROR(IF(B898="",NA(),MATCH(B898,Products!$B$5:$B$204,0)),IFERROR(MATCH(A898,Products!$A$5:$A$204,0),"")))</f>
        <v/>
      </c>
      <c r="L898">
        <f>IF(A898="","",IF(K898="","⚠ not in Products",INDEX(Products!$A$5:$A$204,K898)))</f>
        <v/>
      </c>
      <c r="M898" s="11">
        <f>IF(A898="","",J898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898+IFERROR(INDEX(Settings!$D$5:$D$9,MATCH("Shopify",Settings!$A$5:$A$9,0)),0)*D898)</f>
        <v/>
      </c>
      <c r="N898" s="11">
        <f>IF(A898="","",IF(K898="",0,D898*INDEX(Products!$I$5:$I$204,K898)))</f>
        <v/>
      </c>
      <c r="O898" s="11">
        <f>IF(A898="","",IF(K898="",0,J898*INDEX(Products!$H$5:$H$204,K898)))</f>
        <v/>
      </c>
      <c r="P898" s="11">
        <f>IF(A898="","",J898-M898-N898-O898)</f>
        <v/>
      </c>
    </row>
    <row r="899">
      <c r="A899">
        <f>IFERROR(INDEX('Shopify Import'!$A:$CZ,899,Settings!$E$20)&amp;"","")</f>
        <v/>
      </c>
      <c r="B899">
        <f>IFERROR(INDEX('Shopify Import'!$A:$CZ,899,Settings!$E$21)&amp;"","")</f>
        <v/>
      </c>
      <c r="C899">
        <f>IFERROR(INDEX('Shopify Import'!$A:$CZ,899,Settings!$E$22)&amp;"","")</f>
        <v/>
      </c>
      <c r="D899">
        <f>IF(A899="","",IFERROR(VALUE(SUBSTITUTE(SUBSTITUTE(INDEX('Shopify Import'!$A:$CZ,899,Settings!$E$23)&amp;"","$",""),",","")),0))</f>
        <v/>
      </c>
      <c r="E899" s="11">
        <f>IF(A899="","",IFERROR(VALUE(SUBSTITUTE(SUBSTITUTE(INDEX('Shopify Import'!$A:$CZ,899,Settings!$E$24)&amp;"","$",""),",","")),0))</f>
        <v/>
      </c>
      <c r="F899" s="11">
        <f>IF(A899="","",D899*E899)</f>
        <v/>
      </c>
      <c r="G899">
        <f>IF(A899="","",IF(C899="",1,COUNTIF($C$2:$C$1501,C899)))</f>
        <v/>
      </c>
      <c r="H899" s="11">
        <f>IF(A899="","",IFERROR(VALUE(SUBSTITUTE(SUBSTITUTE(INDEX('Shopify Import'!$A:$CZ,899,Settings!$E$25)&amp;"","$",""),",","")),0)/IF(Settings!$D$27="Yes",G899,1))</f>
        <v/>
      </c>
      <c r="I899" s="11">
        <f>IF(A899="","",IFERROR(VALUE(SUBSTITUTE(SUBSTITUTE(INDEX('Shopify Import'!$A:$CZ,899,Settings!$E$26)&amp;"","$",""),",","")),0)/IF(Settings!$D$27="Yes",G899,1))</f>
        <v/>
      </c>
      <c r="J899" s="11">
        <f>IF(A899="","",F899+H899-I899)</f>
        <v/>
      </c>
      <c r="K899">
        <f>IF(A899="","",IFERROR(IF(B899="",NA(),MATCH(B899,Products!$B$5:$B$204,0)),IFERROR(MATCH(A899,Products!$A$5:$A$204,0),"")))</f>
        <v/>
      </c>
      <c r="L899">
        <f>IF(A899="","",IF(K899="","⚠ not in Products",INDEX(Products!$A$5:$A$204,K899)))</f>
        <v/>
      </c>
      <c r="M899" s="11">
        <f>IF(A899="","",J899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899+IFERROR(INDEX(Settings!$D$5:$D$9,MATCH("Shopify",Settings!$A$5:$A$9,0)),0)*D899)</f>
        <v/>
      </c>
      <c r="N899" s="11">
        <f>IF(A899="","",IF(K899="",0,D899*INDEX(Products!$I$5:$I$204,K899)))</f>
        <v/>
      </c>
      <c r="O899" s="11">
        <f>IF(A899="","",IF(K899="",0,J899*INDEX(Products!$H$5:$H$204,K899)))</f>
        <v/>
      </c>
      <c r="P899" s="11">
        <f>IF(A899="","",J899-M899-N899-O899)</f>
        <v/>
      </c>
    </row>
    <row r="900">
      <c r="A900">
        <f>IFERROR(INDEX('Shopify Import'!$A:$CZ,900,Settings!$E$20)&amp;"","")</f>
        <v/>
      </c>
      <c r="B900">
        <f>IFERROR(INDEX('Shopify Import'!$A:$CZ,900,Settings!$E$21)&amp;"","")</f>
        <v/>
      </c>
      <c r="C900">
        <f>IFERROR(INDEX('Shopify Import'!$A:$CZ,900,Settings!$E$22)&amp;"","")</f>
        <v/>
      </c>
      <c r="D900">
        <f>IF(A900="","",IFERROR(VALUE(SUBSTITUTE(SUBSTITUTE(INDEX('Shopify Import'!$A:$CZ,900,Settings!$E$23)&amp;"","$",""),",","")),0))</f>
        <v/>
      </c>
      <c r="E900" s="11">
        <f>IF(A900="","",IFERROR(VALUE(SUBSTITUTE(SUBSTITUTE(INDEX('Shopify Import'!$A:$CZ,900,Settings!$E$24)&amp;"","$",""),",","")),0))</f>
        <v/>
      </c>
      <c r="F900" s="11">
        <f>IF(A900="","",D900*E900)</f>
        <v/>
      </c>
      <c r="G900">
        <f>IF(A900="","",IF(C900="",1,COUNTIF($C$2:$C$1501,C900)))</f>
        <v/>
      </c>
      <c r="H900" s="11">
        <f>IF(A900="","",IFERROR(VALUE(SUBSTITUTE(SUBSTITUTE(INDEX('Shopify Import'!$A:$CZ,900,Settings!$E$25)&amp;"","$",""),",","")),0)/IF(Settings!$D$27="Yes",G900,1))</f>
        <v/>
      </c>
      <c r="I900" s="11">
        <f>IF(A900="","",IFERROR(VALUE(SUBSTITUTE(SUBSTITUTE(INDEX('Shopify Import'!$A:$CZ,900,Settings!$E$26)&amp;"","$",""),",","")),0)/IF(Settings!$D$27="Yes",G900,1))</f>
        <v/>
      </c>
      <c r="J900" s="11">
        <f>IF(A900="","",F900+H900-I900)</f>
        <v/>
      </c>
      <c r="K900">
        <f>IF(A900="","",IFERROR(IF(B900="",NA(),MATCH(B900,Products!$B$5:$B$204,0)),IFERROR(MATCH(A900,Products!$A$5:$A$204,0),"")))</f>
        <v/>
      </c>
      <c r="L900">
        <f>IF(A900="","",IF(K900="","⚠ not in Products",INDEX(Products!$A$5:$A$204,K900)))</f>
        <v/>
      </c>
      <c r="M900" s="11">
        <f>IF(A900="","",J900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900+IFERROR(INDEX(Settings!$D$5:$D$9,MATCH("Shopify",Settings!$A$5:$A$9,0)),0)*D900)</f>
        <v/>
      </c>
      <c r="N900" s="11">
        <f>IF(A900="","",IF(K900="",0,D900*INDEX(Products!$I$5:$I$204,K900)))</f>
        <v/>
      </c>
      <c r="O900" s="11">
        <f>IF(A900="","",IF(K900="",0,J900*INDEX(Products!$H$5:$H$204,K900)))</f>
        <v/>
      </c>
      <c r="P900" s="11">
        <f>IF(A900="","",J900-M900-N900-O900)</f>
        <v/>
      </c>
    </row>
    <row r="901">
      <c r="A901">
        <f>IFERROR(INDEX('Shopify Import'!$A:$CZ,901,Settings!$E$20)&amp;"","")</f>
        <v/>
      </c>
      <c r="B901">
        <f>IFERROR(INDEX('Shopify Import'!$A:$CZ,901,Settings!$E$21)&amp;"","")</f>
        <v/>
      </c>
      <c r="C901">
        <f>IFERROR(INDEX('Shopify Import'!$A:$CZ,901,Settings!$E$22)&amp;"","")</f>
        <v/>
      </c>
      <c r="D901">
        <f>IF(A901="","",IFERROR(VALUE(SUBSTITUTE(SUBSTITUTE(INDEX('Shopify Import'!$A:$CZ,901,Settings!$E$23)&amp;"","$",""),",","")),0))</f>
        <v/>
      </c>
      <c r="E901" s="11">
        <f>IF(A901="","",IFERROR(VALUE(SUBSTITUTE(SUBSTITUTE(INDEX('Shopify Import'!$A:$CZ,901,Settings!$E$24)&amp;"","$",""),",","")),0))</f>
        <v/>
      </c>
      <c r="F901" s="11">
        <f>IF(A901="","",D901*E901)</f>
        <v/>
      </c>
      <c r="G901">
        <f>IF(A901="","",IF(C901="",1,COUNTIF($C$2:$C$1501,C901)))</f>
        <v/>
      </c>
      <c r="H901" s="11">
        <f>IF(A901="","",IFERROR(VALUE(SUBSTITUTE(SUBSTITUTE(INDEX('Shopify Import'!$A:$CZ,901,Settings!$E$25)&amp;"","$",""),",","")),0)/IF(Settings!$D$27="Yes",G901,1))</f>
        <v/>
      </c>
      <c r="I901" s="11">
        <f>IF(A901="","",IFERROR(VALUE(SUBSTITUTE(SUBSTITUTE(INDEX('Shopify Import'!$A:$CZ,901,Settings!$E$26)&amp;"","$",""),",","")),0)/IF(Settings!$D$27="Yes",G901,1))</f>
        <v/>
      </c>
      <c r="J901" s="11">
        <f>IF(A901="","",F901+H901-I901)</f>
        <v/>
      </c>
      <c r="K901">
        <f>IF(A901="","",IFERROR(IF(B901="",NA(),MATCH(B901,Products!$B$5:$B$204,0)),IFERROR(MATCH(A901,Products!$A$5:$A$204,0),"")))</f>
        <v/>
      </c>
      <c r="L901">
        <f>IF(A901="","",IF(K901="","⚠ not in Products",INDEX(Products!$A$5:$A$204,K901)))</f>
        <v/>
      </c>
      <c r="M901" s="11">
        <f>IF(A901="","",J901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901+IFERROR(INDEX(Settings!$D$5:$D$9,MATCH("Shopify",Settings!$A$5:$A$9,0)),0)*D901)</f>
        <v/>
      </c>
      <c r="N901" s="11">
        <f>IF(A901="","",IF(K901="",0,D901*INDEX(Products!$I$5:$I$204,K901)))</f>
        <v/>
      </c>
      <c r="O901" s="11">
        <f>IF(A901="","",IF(K901="",0,J901*INDEX(Products!$H$5:$H$204,K901)))</f>
        <v/>
      </c>
      <c r="P901" s="11">
        <f>IF(A901="","",J901-M901-N901-O901)</f>
        <v/>
      </c>
    </row>
    <row r="902">
      <c r="A902">
        <f>IFERROR(INDEX('Shopify Import'!$A:$CZ,902,Settings!$E$20)&amp;"","")</f>
        <v/>
      </c>
      <c r="B902">
        <f>IFERROR(INDEX('Shopify Import'!$A:$CZ,902,Settings!$E$21)&amp;"","")</f>
        <v/>
      </c>
      <c r="C902">
        <f>IFERROR(INDEX('Shopify Import'!$A:$CZ,902,Settings!$E$22)&amp;"","")</f>
        <v/>
      </c>
      <c r="D902">
        <f>IF(A902="","",IFERROR(VALUE(SUBSTITUTE(SUBSTITUTE(INDEX('Shopify Import'!$A:$CZ,902,Settings!$E$23)&amp;"","$",""),",","")),0))</f>
        <v/>
      </c>
      <c r="E902" s="11">
        <f>IF(A902="","",IFERROR(VALUE(SUBSTITUTE(SUBSTITUTE(INDEX('Shopify Import'!$A:$CZ,902,Settings!$E$24)&amp;"","$",""),",","")),0))</f>
        <v/>
      </c>
      <c r="F902" s="11">
        <f>IF(A902="","",D902*E902)</f>
        <v/>
      </c>
      <c r="G902">
        <f>IF(A902="","",IF(C902="",1,COUNTIF($C$2:$C$1501,C902)))</f>
        <v/>
      </c>
      <c r="H902" s="11">
        <f>IF(A902="","",IFERROR(VALUE(SUBSTITUTE(SUBSTITUTE(INDEX('Shopify Import'!$A:$CZ,902,Settings!$E$25)&amp;"","$",""),",","")),0)/IF(Settings!$D$27="Yes",G902,1))</f>
        <v/>
      </c>
      <c r="I902" s="11">
        <f>IF(A902="","",IFERROR(VALUE(SUBSTITUTE(SUBSTITUTE(INDEX('Shopify Import'!$A:$CZ,902,Settings!$E$26)&amp;"","$",""),",","")),0)/IF(Settings!$D$27="Yes",G902,1))</f>
        <v/>
      </c>
      <c r="J902" s="11">
        <f>IF(A902="","",F902+H902-I902)</f>
        <v/>
      </c>
      <c r="K902">
        <f>IF(A902="","",IFERROR(IF(B902="",NA(),MATCH(B902,Products!$B$5:$B$204,0)),IFERROR(MATCH(A902,Products!$A$5:$A$204,0),"")))</f>
        <v/>
      </c>
      <c r="L902">
        <f>IF(A902="","",IF(K902="","⚠ not in Products",INDEX(Products!$A$5:$A$204,K902)))</f>
        <v/>
      </c>
      <c r="M902" s="11">
        <f>IF(A902="","",J902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902+IFERROR(INDEX(Settings!$D$5:$D$9,MATCH("Shopify",Settings!$A$5:$A$9,0)),0)*D902)</f>
        <v/>
      </c>
      <c r="N902" s="11">
        <f>IF(A902="","",IF(K902="",0,D902*INDEX(Products!$I$5:$I$204,K902)))</f>
        <v/>
      </c>
      <c r="O902" s="11">
        <f>IF(A902="","",IF(K902="",0,J902*INDEX(Products!$H$5:$H$204,K902)))</f>
        <v/>
      </c>
      <c r="P902" s="11">
        <f>IF(A902="","",J902-M902-N902-O902)</f>
        <v/>
      </c>
    </row>
    <row r="903">
      <c r="A903">
        <f>IFERROR(INDEX('Shopify Import'!$A:$CZ,903,Settings!$E$20)&amp;"","")</f>
        <v/>
      </c>
      <c r="B903">
        <f>IFERROR(INDEX('Shopify Import'!$A:$CZ,903,Settings!$E$21)&amp;"","")</f>
        <v/>
      </c>
      <c r="C903">
        <f>IFERROR(INDEX('Shopify Import'!$A:$CZ,903,Settings!$E$22)&amp;"","")</f>
        <v/>
      </c>
      <c r="D903">
        <f>IF(A903="","",IFERROR(VALUE(SUBSTITUTE(SUBSTITUTE(INDEX('Shopify Import'!$A:$CZ,903,Settings!$E$23)&amp;"","$",""),",","")),0))</f>
        <v/>
      </c>
      <c r="E903" s="11">
        <f>IF(A903="","",IFERROR(VALUE(SUBSTITUTE(SUBSTITUTE(INDEX('Shopify Import'!$A:$CZ,903,Settings!$E$24)&amp;"","$",""),",","")),0))</f>
        <v/>
      </c>
      <c r="F903" s="11">
        <f>IF(A903="","",D903*E903)</f>
        <v/>
      </c>
      <c r="G903">
        <f>IF(A903="","",IF(C903="",1,COUNTIF($C$2:$C$1501,C903)))</f>
        <v/>
      </c>
      <c r="H903" s="11">
        <f>IF(A903="","",IFERROR(VALUE(SUBSTITUTE(SUBSTITUTE(INDEX('Shopify Import'!$A:$CZ,903,Settings!$E$25)&amp;"","$",""),",","")),0)/IF(Settings!$D$27="Yes",G903,1))</f>
        <v/>
      </c>
      <c r="I903" s="11">
        <f>IF(A903="","",IFERROR(VALUE(SUBSTITUTE(SUBSTITUTE(INDEX('Shopify Import'!$A:$CZ,903,Settings!$E$26)&amp;"","$",""),",","")),0)/IF(Settings!$D$27="Yes",G903,1))</f>
        <v/>
      </c>
      <c r="J903" s="11">
        <f>IF(A903="","",F903+H903-I903)</f>
        <v/>
      </c>
      <c r="K903">
        <f>IF(A903="","",IFERROR(IF(B903="",NA(),MATCH(B903,Products!$B$5:$B$204,0)),IFERROR(MATCH(A903,Products!$A$5:$A$204,0),"")))</f>
        <v/>
      </c>
      <c r="L903">
        <f>IF(A903="","",IF(K903="","⚠ not in Products",INDEX(Products!$A$5:$A$204,K903)))</f>
        <v/>
      </c>
      <c r="M903" s="11">
        <f>IF(A903="","",J903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903+IFERROR(INDEX(Settings!$D$5:$D$9,MATCH("Shopify",Settings!$A$5:$A$9,0)),0)*D903)</f>
        <v/>
      </c>
      <c r="N903" s="11">
        <f>IF(A903="","",IF(K903="",0,D903*INDEX(Products!$I$5:$I$204,K903)))</f>
        <v/>
      </c>
      <c r="O903" s="11">
        <f>IF(A903="","",IF(K903="",0,J903*INDEX(Products!$H$5:$H$204,K903)))</f>
        <v/>
      </c>
      <c r="P903" s="11">
        <f>IF(A903="","",J903-M903-N903-O903)</f>
        <v/>
      </c>
    </row>
    <row r="904">
      <c r="A904">
        <f>IFERROR(INDEX('Shopify Import'!$A:$CZ,904,Settings!$E$20)&amp;"","")</f>
        <v/>
      </c>
      <c r="B904">
        <f>IFERROR(INDEX('Shopify Import'!$A:$CZ,904,Settings!$E$21)&amp;"","")</f>
        <v/>
      </c>
      <c r="C904">
        <f>IFERROR(INDEX('Shopify Import'!$A:$CZ,904,Settings!$E$22)&amp;"","")</f>
        <v/>
      </c>
      <c r="D904">
        <f>IF(A904="","",IFERROR(VALUE(SUBSTITUTE(SUBSTITUTE(INDEX('Shopify Import'!$A:$CZ,904,Settings!$E$23)&amp;"","$",""),",","")),0))</f>
        <v/>
      </c>
      <c r="E904" s="11">
        <f>IF(A904="","",IFERROR(VALUE(SUBSTITUTE(SUBSTITUTE(INDEX('Shopify Import'!$A:$CZ,904,Settings!$E$24)&amp;"","$",""),",","")),0))</f>
        <v/>
      </c>
      <c r="F904" s="11">
        <f>IF(A904="","",D904*E904)</f>
        <v/>
      </c>
      <c r="G904">
        <f>IF(A904="","",IF(C904="",1,COUNTIF($C$2:$C$1501,C904)))</f>
        <v/>
      </c>
      <c r="H904" s="11">
        <f>IF(A904="","",IFERROR(VALUE(SUBSTITUTE(SUBSTITUTE(INDEX('Shopify Import'!$A:$CZ,904,Settings!$E$25)&amp;"","$",""),",","")),0)/IF(Settings!$D$27="Yes",G904,1))</f>
        <v/>
      </c>
      <c r="I904" s="11">
        <f>IF(A904="","",IFERROR(VALUE(SUBSTITUTE(SUBSTITUTE(INDEX('Shopify Import'!$A:$CZ,904,Settings!$E$26)&amp;"","$",""),",","")),0)/IF(Settings!$D$27="Yes",G904,1))</f>
        <v/>
      </c>
      <c r="J904" s="11">
        <f>IF(A904="","",F904+H904-I904)</f>
        <v/>
      </c>
      <c r="K904">
        <f>IF(A904="","",IFERROR(IF(B904="",NA(),MATCH(B904,Products!$B$5:$B$204,0)),IFERROR(MATCH(A904,Products!$A$5:$A$204,0),"")))</f>
        <v/>
      </c>
      <c r="L904">
        <f>IF(A904="","",IF(K904="","⚠ not in Products",INDEX(Products!$A$5:$A$204,K904)))</f>
        <v/>
      </c>
      <c r="M904" s="11">
        <f>IF(A904="","",J904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904+IFERROR(INDEX(Settings!$D$5:$D$9,MATCH("Shopify",Settings!$A$5:$A$9,0)),0)*D904)</f>
        <v/>
      </c>
      <c r="N904" s="11">
        <f>IF(A904="","",IF(K904="",0,D904*INDEX(Products!$I$5:$I$204,K904)))</f>
        <v/>
      </c>
      <c r="O904" s="11">
        <f>IF(A904="","",IF(K904="",0,J904*INDEX(Products!$H$5:$H$204,K904)))</f>
        <v/>
      </c>
      <c r="P904" s="11">
        <f>IF(A904="","",J904-M904-N904-O904)</f>
        <v/>
      </c>
    </row>
    <row r="905">
      <c r="A905">
        <f>IFERROR(INDEX('Shopify Import'!$A:$CZ,905,Settings!$E$20)&amp;"","")</f>
        <v/>
      </c>
      <c r="B905">
        <f>IFERROR(INDEX('Shopify Import'!$A:$CZ,905,Settings!$E$21)&amp;"","")</f>
        <v/>
      </c>
      <c r="C905">
        <f>IFERROR(INDEX('Shopify Import'!$A:$CZ,905,Settings!$E$22)&amp;"","")</f>
        <v/>
      </c>
      <c r="D905">
        <f>IF(A905="","",IFERROR(VALUE(SUBSTITUTE(SUBSTITUTE(INDEX('Shopify Import'!$A:$CZ,905,Settings!$E$23)&amp;"","$",""),",","")),0))</f>
        <v/>
      </c>
      <c r="E905" s="11">
        <f>IF(A905="","",IFERROR(VALUE(SUBSTITUTE(SUBSTITUTE(INDEX('Shopify Import'!$A:$CZ,905,Settings!$E$24)&amp;"","$",""),",","")),0))</f>
        <v/>
      </c>
      <c r="F905" s="11">
        <f>IF(A905="","",D905*E905)</f>
        <v/>
      </c>
      <c r="G905">
        <f>IF(A905="","",IF(C905="",1,COUNTIF($C$2:$C$1501,C905)))</f>
        <v/>
      </c>
      <c r="H905" s="11">
        <f>IF(A905="","",IFERROR(VALUE(SUBSTITUTE(SUBSTITUTE(INDEX('Shopify Import'!$A:$CZ,905,Settings!$E$25)&amp;"","$",""),",","")),0)/IF(Settings!$D$27="Yes",G905,1))</f>
        <v/>
      </c>
      <c r="I905" s="11">
        <f>IF(A905="","",IFERROR(VALUE(SUBSTITUTE(SUBSTITUTE(INDEX('Shopify Import'!$A:$CZ,905,Settings!$E$26)&amp;"","$",""),",","")),0)/IF(Settings!$D$27="Yes",G905,1))</f>
        <v/>
      </c>
      <c r="J905" s="11">
        <f>IF(A905="","",F905+H905-I905)</f>
        <v/>
      </c>
      <c r="K905">
        <f>IF(A905="","",IFERROR(IF(B905="",NA(),MATCH(B905,Products!$B$5:$B$204,0)),IFERROR(MATCH(A905,Products!$A$5:$A$204,0),"")))</f>
        <v/>
      </c>
      <c r="L905">
        <f>IF(A905="","",IF(K905="","⚠ not in Products",INDEX(Products!$A$5:$A$204,K905)))</f>
        <v/>
      </c>
      <c r="M905" s="11">
        <f>IF(A905="","",J905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905+IFERROR(INDEX(Settings!$D$5:$D$9,MATCH("Shopify",Settings!$A$5:$A$9,0)),0)*D905)</f>
        <v/>
      </c>
      <c r="N905" s="11">
        <f>IF(A905="","",IF(K905="",0,D905*INDEX(Products!$I$5:$I$204,K905)))</f>
        <v/>
      </c>
      <c r="O905" s="11">
        <f>IF(A905="","",IF(K905="",0,J905*INDEX(Products!$H$5:$H$204,K905)))</f>
        <v/>
      </c>
      <c r="P905" s="11">
        <f>IF(A905="","",J905-M905-N905-O905)</f>
        <v/>
      </c>
    </row>
    <row r="906">
      <c r="A906">
        <f>IFERROR(INDEX('Shopify Import'!$A:$CZ,906,Settings!$E$20)&amp;"","")</f>
        <v/>
      </c>
      <c r="B906">
        <f>IFERROR(INDEX('Shopify Import'!$A:$CZ,906,Settings!$E$21)&amp;"","")</f>
        <v/>
      </c>
      <c r="C906">
        <f>IFERROR(INDEX('Shopify Import'!$A:$CZ,906,Settings!$E$22)&amp;"","")</f>
        <v/>
      </c>
      <c r="D906">
        <f>IF(A906="","",IFERROR(VALUE(SUBSTITUTE(SUBSTITUTE(INDEX('Shopify Import'!$A:$CZ,906,Settings!$E$23)&amp;"","$",""),",","")),0))</f>
        <v/>
      </c>
      <c r="E906" s="11">
        <f>IF(A906="","",IFERROR(VALUE(SUBSTITUTE(SUBSTITUTE(INDEX('Shopify Import'!$A:$CZ,906,Settings!$E$24)&amp;"","$",""),",","")),0))</f>
        <v/>
      </c>
      <c r="F906" s="11">
        <f>IF(A906="","",D906*E906)</f>
        <v/>
      </c>
      <c r="G906">
        <f>IF(A906="","",IF(C906="",1,COUNTIF($C$2:$C$1501,C906)))</f>
        <v/>
      </c>
      <c r="H906" s="11">
        <f>IF(A906="","",IFERROR(VALUE(SUBSTITUTE(SUBSTITUTE(INDEX('Shopify Import'!$A:$CZ,906,Settings!$E$25)&amp;"","$",""),",","")),0)/IF(Settings!$D$27="Yes",G906,1))</f>
        <v/>
      </c>
      <c r="I906" s="11">
        <f>IF(A906="","",IFERROR(VALUE(SUBSTITUTE(SUBSTITUTE(INDEX('Shopify Import'!$A:$CZ,906,Settings!$E$26)&amp;"","$",""),",","")),0)/IF(Settings!$D$27="Yes",G906,1))</f>
        <v/>
      </c>
      <c r="J906" s="11">
        <f>IF(A906="","",F906+H906-I906)</f>
        <v/>
      </c>
      <c r="K906">
        <f>IF(A906="","",IFERROR(IF(B906="",NA(),MATCH(B906,Products!$B$5:$B$204,0)),IFERROR(MATCH(A906,Products!$A$5:$A$204,0),"")))</f>
        <v/>
      </c>
      <c r="L906">
        <f>IF(A906="","",IF(K906="","⚠ not in Products",INDEX(Products!$A$5:$A$204,K906)))</f>
        <v/>
      </c>
      <c r="M906" s="11">
        <f>IF(A906="","",J906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906+IFERROR(INDEX(Settings!$D$5:$D$9,MATCH("Shopify",Settings!$A$5:$A$9,0)),0)*D906)</f>
        <v/>
      </c>
      <c r="N906" s="11">
        <f>IF(A906="","",IF(K906="",0,D906*INDEX(Products!$I$5:$I$204,K906)))</f>
        <v/>
      </c>
      <c r="O906" s="11">
        <f>IF(A906="","",IF(K906="",0,J906*INDEX(Products!$H$5:$H$204,K906)))</f>
        <v/>
      </c>
      <c r="P906" s="11">
        <f>IF(A906="","",J906-M906-N906-O906)</f>
        <v/>
      </c>
    </row>
    <row r="907">
      <c r="A907">
        <f>IFERROR(INDEX('Shopify Import'!$A:$CZ,907,Settings!$E$20)&amp;"","")</f>
        <v/>
      </c>
      <c r="B907">
        <f>IFERROR(INDEX('Shopify Import'!$A:$CZ,907,Settings!$E$21)&amp;"","")</f>
        <v/>
      </c>
      <c r="C907">
        <f>IFERROR(INDEX('Shopify Import'!$A:$CZ,907,Settings!$E$22)&amp;"","")</f>
        <v/>
      </c>
      <c r="D907">
        <f>IF(A907="","",IFERROR(VALUE(SUBSTITUTE(SUBSTITUTE(INDEX('Shopify Import'!$A:$CZ,907,Settings!$E$23)&amp;"","$",""),",","")),0))</f>
        <v/>
      </c>
      <c r="E907" s="11">
        <f>IF(A907="","",IFERROR(VALUE(SUBSTITUTE(SUBSTITUTE(INDEX('Shopify Import'!$A:$CZ,907,Settings!$E$24)&amp;"","$",""),",","")),0))</f>
        <v/>
      </c>
      <c r="F907" s="11">
        <f>IF(A907="","",D907*E907)</f>
        <v/>
      </c>
      <c r="G907">
        <f>IF(A907="","",IF(C907="",1,COUNTIF($C$2:$C$1501,C907)))</f>
        <v/>
      </c>
      <c r="H907" s="11">
        <f>IF(A907="","",IFERROR(VALUE(SUBSTITUTE(SUBSTITUTE(INDEX('Shopify Import'!$A:$CZ,907,Settings!$E$25)&amp;"","$",""),",","")),0)/IF(Settings!$D$27="Yes",G907,1))</f>
        <v/>
      </c>
      <c r="I907" s="11">
        <f>IF(A907="","",IFERROR(VALUE(SUBSTITUTE(SUBSTITUTE(INDEX('Shopify Import'!$A:$CZ,907,Settings!$E$26)&amp;"","$",""),",","")),0)/IF(Settings!$D$27="Yes",G907,1))</f>
        <v/>
      </c>
      <c r="J907" s="11">
        <f>IF(A907="","",F907+H907-I907)</f>
        <v/>
      </c>
      <c r="K907">
        <f>IF(A907="","",IFERROR(IF(B907="",NA(),MATCH(B907,Products!$B$5:$B$204,0)),IFERROR(MATCH(A907,Products!$A$5:$A$204,0),"")))</f>
        <v/>
      </c>
      <c r="L907">
        <f>IF(A907="","",IF(K907="","⚠ not in Products",INDEX(Products!$A$5:$A$204,K907)))</f>
        <v/>
      </c>
      <c r="M907" s="11">
        <f>IF(A907="","",J907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907+IFERROR(INDEX(Settings!$D$5:$D$9,MATCH("Shopify",Settings!$A$5:$A$9,0)),0)*D907)</f>
        <v/>
      </c>
      <c r="N907" s="11">
        <f>IF(A907="","",IF(K907="",0,D907*INDEX(Products!$I$5:$I$204,K907)))</f>
        <v/>
      </c>
      <c r="O907" s="11">
        <f>IF(A907="","",IF(K907="",0,J907*INDEX(Products!$H$5:$H$204,K907)))</f>
        <v/>
      </c>
      <c r="P907" s="11">
        <f>IF(A907="","",J907-M907-N907-O907)</f>
        <v/>
      </c>
    </row>
    <row r="908">
      <c r="A908">
        <f>IFERROR(INDEX('Shopify Import'!$A:$CZ,908,Settings!$E$20)&amp;"","")</f>
        <v/>
      </c>
      <c r="B908">
        <f>IFERROR(INDEX('Shopify Import'!$A:$CZ,908,Settings!$E$21)&amp;"","")</f>
        <v/>
      </c>
      <c r="C908">
        <f>IFERROR(INDEX('Shopify Import'!$A:$CZ,908,Settings!$E$22)&amp;"","")</f>
        <v/>
      </c>
      <c r="D908">
        <f>IF(A908="","",IFERROR(VALUE(SUBSTITUTE(SUBSTITUTE(INDEX('Shopify Import'!$A:$CZ,908,Settings!$E$23)&amp;"","$",""),",","")),0))</f>
        <v/>
      </c>
      <c r="E908" s="11">
        <f>IF(A908="","",IFERROR(VALUE(SUBSTITUTE(SUBSTITUTE(INDEX('Shopify Import'!$A:$CZ,908,Settings!$E$24)&amp;"","$",""),",","")),0))</f>
        <v/>
      </c>
      <c r="F908" s="11">
        <f>IF(A908="","",D908*E908)</f>
        <v/>
      </c>
      <c r="G908">
        <f>IF(A908="","",IF(C908="",1,COUNTIF($C$2:$C$1501,C908)))</f>
        <v/>
      </c>
      <c r="H908" s="11">
        <f>IF(A908="","",IFERROR(VALUE(SUBSTITUTE(SUBSTITUTE(INDEX('Shopify Import'!$A:$CZ,908,Settings!$E$25)&amp;"","$",""),",","")),0)/IF(Settings!$D$27="Yes",G908,1))</f>
        <v/>
      </c>
      <c r="I908" s="11">
        <f>IF(A908="","",IFERROR(VALUE(SUBSTITUTE(SUBSTITUTE(INDEX('Shopify Import'!$A:$CZ,908,Settings!$E$26)&amp;"","$",""),",","")),0)/IF(Settings!$D$27="Yes",G908,1))</f>
        <v/>
      </c>
      <c r="J908" s="11">
        <f>IF(A908="","",F908+H908-I908)</f>
        <v/>
      </c>
      <c r="K908">
        <f>IF(A908="","",IFERROR(IF(B908="",NA(),MATCH(B908,Products!$B$5:$B$204,0)),IFERROR(MATCH(A908,Products!$A$5:$A$204,0),"")))</f>
        <v/>
      </c>
      <c r="L908">
        <f>IF(A908="","",IF(K908="","⚠ not in Products",INDEX(Products!$A$5:$A$204,K908)))</f>
        <v/>
      </c>
      <c r="M908" s="11">
        <f>IF(A908="","",J908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908+IFERROR(INDEX(Settings!$D$5:$D$9,MATCH("Shopify",Settings!$A$5:$A$9,0)),0)*D908)</f>
        <v/>
      </c>
      <c r="N908" s="11">
        <f>IF(A908="","",IF(K908="",0,D908*INDEX(Products!$I$5:$I$204,K908)))</f>
        <v/>
      </c>
      <c r="O908" s="11">
        <f>IF(A908="","",IF(K908="",0,J908*INDEX(Products!$H$5:$H$204,K908)))</f>
        <v/>
      </c>
      <c r="P908" s="11">
        <f>IF(A908="","",J908-M908-N908-O908)</f>
        <v/>
      </c>
    </row>
    <row r="909">
      <c r="A909">
        <f>IFERROR(INDEX('Shopify Import'!$A:$CZ,909,Settings!$E$20)&amp;"","")</f>
        <v/>
      </c>
      <c r="B909">
        <f>IFERROR(INDEX('Shopify Import'!$A:$CZ,909,Settings!$E$21)&amp;"","")</f>
        <v/>
      </c>
      <c r="C909">
        <f>IFERROR(INDEX('Shopify Import'!$A:$CZ,909,Settings!$E$22)&amp;"","")</f>
        <v/>
      </c>
      <c r="D909">
        <f>IF(A909="","",IFERROR(VALUE(SUBSTITUTE(SUBSTITUTE(INDEX('Shopify Import'!$A:$CZ,909,Settings!$E$23)&amp;"","$",""),",","")),0))</f>
        <v/>
      </c>
      <c r="E909" s="11">
        <f>IF(A909="","",IFERROR(VALUE(SUBSTITUTE(SUBSTITUTE(INDEX('Shopify Import'!$A:$CZ,909,Settings!$E$24)&amp;"","$",""),",","")),0))</f>
        <v/>
      </c>
      <c r="F909" s="11">
        <f>IF(A909="","",D909*E909)</f>
        <v/>
      </c>
      <c r="G909">
        <f>IF(A909="","",IF(C909="",1,COUNTIF($C$2:$C$1501,C909)))</f>
        <v/>
      </c>
      <c r="H909" s="11">
        <f>IF(A909="","",IFERROR(VALUE(SUBSTITUTE(SUBSTITUTE(INDEX('Shopify Import'!$A:$CZ,909,Settings!$E$25)&amp;"","$",""),",","")),0)/IF(Settings!$D$27="Yes",G909,1))</f>
        <v/>
      </c>
      <c r="I909" s="11">
        <f>IF(A909="","",IFERROR(VALUE(SUBSTITUTE(SUBSTITUTE(INDEX('Shopify Import'!$A:$CZ,909,Settings!$E$26)&amp;"","$",""),",","")),0)/IF(Settings!$D$27="Yes",G909,1))</f>
        <v/>
      </c>
      <c r="J909" s="11">
        <f>IF(A909="","",F909+H909-I909)</f>
        <v/>
      </c>
      <c r="K909">
        <f>IF(A909="","",IFERROR(IF(B909="",NA(),MATCH(B909,Products!$B$5:$B$204,0)),IFERROR(MATCH(A909,Products!$A$5:$A$204,0),"")))</f>
        <v/>
      </c>
      <c r="L909">
        <f>IF(A909="","",IF(K909="","⚠ not in Products",INDEX(Products!$A$5:$A$204,K909)))</f>
        <v/>
      </c>
      <c r="M909" s="11">
        <f>IF(A909="","",J909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909+IFERROR(INDEX(Settings!$D$5:$D$9,MATCH("Shopify",Settings!$A$5:$A$9,0)),0)*D909)</f>
        <v/>
      </c>
      <c r="N909" s="11">
        <f>IF(A909="","",IF(K909="",0,D909*INDEX(Products!$I$5:$I$204,K909)))</f>
        <v/>
      </c>
      <c r="O909" s="11">
        <f>IF(A909="","",IF(K909="",0,J909*INDEX(Products!$H$5:$H$204,K909)))</f>
        <v/>
      </c>
      <c r="P909" s="11">
        <f>IF(A909="","",J909-M909-N909-O909)</f>
        <v/>
      </c>
    </row>
    <row r="910">
      <c r="A910">
        <f>IFERROR(INDEX('Shopify Import'!$A:$CZ,910,Settings!$E$20)&amp;"","")</f>
        <v/>
      </c>
      <c r="B910">
        <f>IFERROR(INDEX('Shopify Import'!$A:$CZ,910,Settings!$E$21)&amp;"","")</f>
        <v/>
      </c>
      <c r="C910">
        <f>IFERROR(INDEX('Shopify Import'!$A:$CZ,910,Settings!$E$22)&amp;"","")</f>
        <v/>
      </c>
      <c r="D910">
        <f>IF(A910="","",IFERROR(VALUE(SUBSTITUTE(SUBSTITUTE(INDEX('Shopify Import'!$A:$CZ,910,Settings!$E$23)&amp;"","$",""),",","")),0))</f>
        <v/>
      </c>
      <c r="E910" s="11">
        <f>IF(A910="","",IFERROR(VALUE(SUBSTITUTE(SUBSTITUTE(INDEX('Shopify Import'!$A:$CZ,910,Settings!$E$24)&amp;"","$",""),",","")),0))</f>
        <v/>
      </c>
      <c r="F910" s="11">
        <f>IF(A910="","",D910*E910)</f>
        <v/>
      </c>
      <c r="G910">
        <f>IF(A910="","",IF(C910="",1,COUNTIF($C$2:$C$1501,C910)))</f>
        <v/>
      </c>
      <c r="H910" s="11">
        <f>IF(A910="","",IFERROR(VALUE(SUBSTITUTE(SUBSTITUTE(INDEX('Shopify Import'!$A:$CZ,910,Settings!$E$25)&amp;"","$",""),",","")),0)/IF(Settings!$D$27="Yes",G910,1))</f>
        <v/>
      </c>
      <c r="I910" s="11">
        <f>IF(A910="","",IFERROR(VALUE(SUBSTITUTE(SUBSTITUTE(INDEX('Shopify Import'!$A:$CZ,910,Settings!$E$26)&amp;"","$",""),",","")),0)/IF(Settings!$D$27="Yes",G910,1))</f>
        <v/>
      </c>
      <c r="J910" s="11">
        <f>IF(A910="","",F910+H910-I910)</f>
        <v/>
      </c>
      <c r="K910">
        <f>IF(A910="","",IFERROR(IF(B910="",NA(),MATCH(B910,Products!$B$5:$B$204,0)),IFERROR(MATCH(A910,Products!$A$5:$A$204,0),"")))</f>
        <v/>
      </c>
      <c r="L910">
        <f>IF(A910="","",IF(K910="","⚠ not in Products",INDEX(Products!$A$5:$A$204,K910)))</f>
        <v/>
      </c>
      <c r="M910" s="11">
        <f>IF(A910="","",J910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910+IFERROR(INDEX(Settings!$D$5:$D$9,MATCH("Shopify",Settings!$A$5:$A$9,0)),0)*D910)</f>
        <v/>
      </c>
      <c r="N910" s="11">
        <f>IF(A910="","",IF(K910="",0,D910*INDEX(Products!$I$5:$I$204,K910)))</f>
        <v/>
      </c>
      <c r="O910" s="11">
        <f>IF(A910="","",IF(K910="",0,J910*INDEX(Products!$H$5:$H$204,K910)))</f>
        <v/>
      </c>
      <c r="P910" s="11">
        <f>IF(A910="","",J910-M910-N910-O910)</f>
        <v/>
      </c>
    </row>
    <row r="911">
      <c r="A911">
        <f>IFERROR(INDEX('Shopify Import'!$A:$CZ,911,Settings!$E$20)&amp;"","")</f>
        <v/>
      </c>
      <c r="B911">
        <f>IFERROR(INDEX('Shopify Import'!$A:$CZ,911,Settings!$E$21)&amp;"","")</f>
        <v/>
      </c>
      <c r="C911">
        <f>IFERROR(INDEX('Shopify Import'!$A:$CZ,911,Settings!$E$22)&amp;"","")</f>
        <v/>
      </c>
      <c r="D911">
        <f>IF(A911="","",IFERROR(VALUE(SUBSTITUTE(SUBSTITUTE(INDEX('Shopify Import'!$A:$CZ,911,Settings!$E$23)&amp;"","$",""),",","")),0))</f>
        <v/>
      </c>
      <c r="E911" s="11">
        <f>IF(A911="","",IFERROR(VALUE(SUBSTITUTE(SUBSTITUTE(INDEX('Shopify Import'!$A:$CZ,911,Settings!$E$24)&amp;"","$",""),",","")),0))</f>
        <v/>
      </c>
      <c r="F911" s="11">
        <f>IF(A911="","",D911*E911)</f>
        <v/>
      </c>
      <c r="G911">
        <f>IF(A911="","",IF(C911="",1,COUNTIF($C$2:$C$1501,C911)))</f>
        <v/>
      </c>
      <c r="H911" s="11">
        <f>IF(A911="","",IFERROR(VALUE(SUBSTITUTE(SUBSTITUTE(INDEX('Shopify Import'!$A:$CZ,911,Settings!$E$25)&amp;"","$",""),",","")),0)/IF(Settings!$D$27="Yes",G911,1))</f>
        <v/>
      </c>
      <c r="I911" s="11">
        <f>IF(A911="","",IFERROR(VALUE(SUBSTITUTE(SUBSTITUTE(INDEX('Shopify Import'!$A:$CZ,911,Settings!$E$26)&amp;"","$",""),",","")),0)/IF(Settings!$D$27="Yes",G911,1))</f>
        <v/>
      </c>
      <c r="J911" s="11">
        <f>IF(A911="","",F911+H911-I911)</f>
        <v/>
      </c>
      <c r="K911">
        <f>IF(A911="","",IFERROR(IF(B911="",NA(),MATCH(B911,Products!$B$5:$B$204,0)),IFERROR(MATCH(A911,Products!$A$5:$A$204,0),"")))</f>
        <v/>
      </c>
      <c r="L911">
        <f>IF(A911="","",IF(K911="","⚠ not in Products",INDEX(Products!$A$5:$A$204,K911)))</f>
        <v/>
      </c>
      <c r="M911" s="11">
        <f>IF(A911="","",J911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911+IFERROR(INDEX(Settings!$D$5:$D$9,MATCH("Shopify",Settings!$A$5:$A$9,0)),0)*D911)</f>
        <v/>
      </c>
      <c r="N911" s="11">
        <f>IF(A911="","",IF(K911="",0,D911*INDEX(Products!$I$5:$I$204,K911)))</f>
        <v/>
      </c>
      <c r="O911" s="11">
        <f>IF(A911="","",IF(K911="",0,J911*INDEX(Products!$H$5:$H$204,K911)))</f>
        <v/>
      </c>
      <c r="P911" s="11">
        <f>IF(A911="","",J911-M911-N911-O911)</f>
        <v/>
      </c>
    </row>
    <row r="912">
      <c r="A912">
        <f>IFERROR(INDEX('Shopify Import'!$A:$CZ,912,Settings!$E$20)&amp;"","")</f>
        <v/>
      </c>
      <c r="B912">
        <f>IFERROR(INDEX('Shopify Import'!$A:$CZ,912,Settings!$E$21)&amp;"","")</f>
        <v/>
      </c>
      <c r="C912">
        <f>IFERROR(INDEX('Shopify Import'!$A:$CZ,912,Settings!$E$22)&amp;"","")</f>
        <v/>
      </c>
      <c r="D912">
        <f>IF(A912="","",IFERROR(VALUE(SUBSTITUTE(SUBSTITUTE(INDEX('Shopify Import'!$A:$CZ,912,Settings!$E$23)&amp;"","$",""),",","")),0))</f>
        <v/>
      </c>
      <c r="E912" s="11">
        <f>IF(A912="","",IFERROR(VALUE(SUBSTITUTE(SUBSTITUTE(INDEX('Shopify Import'!$A:$CZ,912,Settings!$E$24)&amp;"","$",""),",","")),0))</f>
        <v/>
      </c>
      <c r="F912" s="11">
        <f>IF(A912="","",D912*E912)</f>
        <v/>
      </c>
      <c r="G912">
        <f>IF(A912="","",IF(C912="",1,COUNTIF($C$2:$C$1501,C912)))</f>
        <v/>
      </c>
      <c r="H912" s="11">
        <f>IF(A912="","",IFERROR(VALUE(SUBSTITUTE(SUBSTITUTE(INDEX('Shopify Import'!$A:$CZ,912,Settings!$E$25)&amp;"","$",""),",","")),0)/IF(Settings!$D$27="Yes",G912,1))</f>
        <v/>
      </c>
      <c r="I912" s="11">
        <f>IF(A912="","",IFERROR(VALUE(SUBSTITUTE(SUBSTITUTE(INDEX('Shopify Import'!$A:$CZ,912,Settings!$E$26)&amp;"","$",""),",","")),0)/IF(Settings!$D$27="Yes",G912,1))</f>
        <v/>
      </c>
      <c r="J912" s="11">
        <f>IF(A912="","",F912+H912-I912)</f>
        <v/>
      </c>
      <c r="K912">
        <f>IF(A912="","",IFERROR(IF(B912="",NA(),MATCH(B912,Products!$B$5:$B$204,0)),IFERROR(MATCH(A912,Products!$A$5:$A$204,0),"")))</f>
        <v/>
      </c>
      <c r="L912">
        <f>IF(A912="","",IF(K912="","⚠ not in Products",INDEX(Products!$A$5:$A$204,K912)))</f>
        <v/>
      </c>
      <c r="M912" s="11">
        <f>IF(A912="","",J912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912+IFERROR(INDEX(Settings!$D$5:$D$9,MATCH("Shopify",Settings!$A$5:$A$9,0)),0)*D912)</f>
        <v/>
      </c>
      <c r="N912" s="11">
        <f>IF(A912="","",IF(K912="",0,D912*INDEX(Products!$I$5:$I$204,K912)))</f>
        <v/>
      </c>
      <c r="O912" s="11">
        <f>IF(A912="","",IF(K912="",0,J912*INDEX(Products!$H$5:$H$204,K912)))</f>
        <v/>
      </c>
      <c r="P912" s="11">
        <f>IF(A912="","",J912-M912-N912-O912)</f>
        <v/>
      </c>
    </row>
    <row r="913">
      <c r="A913">
        <f>IFERROR(INDEX('Shopify Import'!$A:$CZ,913,Settings!$E$20)&amp;"","")</f>
        <v/>
      </c>
      <c r="B913">
        <f>IFERROR(INDEX('Shopify Import'!$A:$CZ,913,Settings!$E$21)&amp;"","")</f>
        <v/>
      </c>
      <c r="C913">
        <f>IFERROR(INDEX('Shopify Import'!$A:$CZ,913,Settings!$E$22)&amp;"","")</f>
        <v/>
      </c>
      <c r="D913">
        <f>IF(A913="","",IFERROR(VALUE(SUBSTITUTE(SUBSTITUTE(INDEX('Shopify Import'!$A:$CZ,913,Settings!$E$23)&amp;"","$",""),",","")),0))</f>
        <v/>
      </c>
      <c r="E913" s="11">
        <f>IF(A913="","",IFERROR(VALUE(SUBSTITUTE(SUBSTITUTE(INDEX('Shopify Import'!$A:$CZ,913,Settings!$E$24)&amp;"","$",""),",","")),0))</f>
        <v/>
      </c>
      <c r="F913" s="11">
        <f>IF(A913="","",D913*E913)</f>
        <v/>
      </c>
      <c r="G913">
        <f>IF(A913="","",IF(C913="",1,COUNTIF($C$2:$C$1501,C913)))</f>
        <v/>
      </c>
      <c r="H913" s="11">
        <f>IF(A913="","",IFERROR(VALUE(SUBSTITUTE(SUBSTITUTE(INDEX('Shopify Import'!$A:$CZ,913,Settings!$E$25)&amp;"","$",""),",","")),0)/IF(Settings!$D$27="Yes",G913,1))</f>
        <v/>
      </c>
      <c r="I913" s="11">
        <f>IF(A913="","",IFERROR(VALUE(SUBSTITUTE(SUBSTITUTE(INDEX('Shopify Import'!$A:$CZ,913,Settings!$E$26)&amp;"","$",""),",","")),0)/IF(Settings!$D$27="Yes",G913,1))</f>
        <v/>
      </c>
      <c r="J913" s="11">
        <f>IF(A913="","",F913+H913-I913)</f>
        <v/>
      </c>
      <c r="K913">
        <f>IF(A913="","",IFERROR(IF(B913="",NA(),MATCH(B913,Products!$B$5:$B$204,0)),IFERROR(MATCH(A913,Products!$A$5:$A$204,0),"")))</f>
        <v/>
      </c>
      <c r="L913">
        <f>IF(A913="","",IF(K913="","⚠ not in Products",INDEX(Products!$A$5:$A$204,K913)))</f>
        <v/>
      </c>
      <c r="M913" s="11">
        <f>IF(A913="","",J913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913+IFERROR(INDEX(Settings!$D$5:$D$9,MATCH("Shopify",Settings!$A$5:$A$9,0)),0)*D913)</f>
        <v/>
      </c>
      <c r="N913" s="11">
        <f>IF(A913="","",IF(K913="",0,D913*INDEX(Products!$I$5:$I$204,K913)))</f>
        <v/>
      </c>
      <c r="O913" s="11">
        <f>IF(A913="","",IF(K913="",0,J913*INDEX(Products!$H$5:$H$204,K913)))</f>
        <v/>
      </c>
      <c r="P913" s="11">
        <f>IF(A913="","",J913-M913-N913-O913)</f>
        <v/>
      </c>
    </row>
    <row r="914">
      <c r="A914">
        <f>IFERROR(INDEX('Shopify Import'!$A:$CZ,914,Settings!$E$20)&amp;"","")</f>
        <v/>
      </c>
      <c r="B914">
        <f>IFERROR(INDEX('Shopify Import'!$A:$CZ,914,Settings!$E$21)&amp;"","")</f>
        <v/>
      </c>
      <c r="C914">
        <f>IFERROR(INDEX('Shopify Import'!$A:$CZ,914,Settings!$E$22)&amp;"","")</f>
        <v/>
      </c>
      <c r="D914">
        <f>IF(A914="","",IFERROR(VALUE(SUBSTITUTE(SUBSTITUTE(INDEX('Shopify Import'!$A:$CZ,914,Settings!$E$23)&amp;"","$",""),",","")),0))</f>
        <v/>
      </c>
      <c r="E914" s="11">
        <f>IF(A914="","",IFERROR(VALUE(SUBSTITUTE(SUBSTITUTE(INDEX('Shopify Import'!$A:$CZ,914,Settings!$E$24)&amp;"","$",""),",","")),0))</f>
        <v/>
      </c>
      <c r="F914" s="11">
        <f>IF(A914="","",D914*E914)</f>
        <v/>
      </c>
      <c r="G914">
        <f>IF(A914="","",IF(C914="",1,COUNTIF($C$2:$C$1501,C914)))</f>
        <v/>
      </c>
      <c r="H914" s="11">
        <f>IF(A914="","",IFERROR(VALUE(SUBSTITUTE(SUBSTITUTE(INDEX('Shopify Import'!$A:$CZ,914,Settings!$E$25)&amp;"","$",""),",","")),0)/IF(Settings!$D$27="Yes",G914,1))</f>
        <v/>
      </c>
      <c r="I914" s="11">
        <f>IF(A914="","",IFERROR(VALUE(SUBSTITUTE(SUBSTITUTE(INDEX('Shopify Import'!$A:$CZ,914,Settings!$E$26)&amp;"","$",""),",","")),0)/IF(Settings!$D$27="Yes",G914,1))</f>
        <v/>
      </c>
      <c r="J914" s="11">
        <f>IF(A914="","",F914+H914-I914)</f>
        <v/>
      </c>
      <c r="K914">
        <f>IF(A914="","",IFERROR(IF(B914="",NA(),MATCH(B914,Products!$B$5:$B$204,0)),IFERROR(MATCH(A914,Products!$A$5:$A$204,0),"")))</f>
        <v/>
      </c>
      <c r="L914">
        <f>IF(A914="","",IF(K914="","⚠ not in Products",INDEX(Products!$A$5:$A$204,K914)))</f>
        <v/>
      </c>
      <c r="M914" s="11">
        <f>IF(A914="","",J914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914+IFERROR(INDEX(Settings!$D$5:$D$9,MATCH("Shopify",Settings!$A$5:$A$9,0)),0)*D914)</f>
        <v/>
      </c>
      <c r="N914" s="11">
        <f>IF(A914="","",IF(K914="",0,D914*INDEX(Products!$I$5:$I$204,K914)))</f>
        <v/>
      </c>
      <c r="O914" s="11">
        <f>IF(A914="","",IF(K914="",0,J914*INDEX(Products!$H$5:$H$204,K914)))</f>
        <v/>
      </c>
      <c r="P914" s="11">
        <f>IF(A914="","",J914-M914-N914-O914)</f>
        <v/>
      </c>
    </row>
    <row r="915">
      <c r="A915">
        <f>IFERROR(INDEX('Shopify Import'!$A:$CZ,915,Settings!$E$20)&amp;"","")</f>
        <v/>
      </c>
      <c r="B915">
        <f>IFERROR(INDEX('Shopify Import'!$A:$CZ,915,Settings!$E$21)&amp;"","")</f>
        <v/>
      </c>
      <c r="C915">
        <f>IFERROR(INDEX('Shopify Import'!$A:$CZ,915,Settings!$E$22)&amp;"","")</f>
        <v/>
      </c>
      <c r="D915">
        <f>IF(A915="","",IFERROR(VALUE(SUBSTITUTE(SUBSTITUTE(INDEX('Shopify Import'!$A:$CZ,915,Settings!$E$23)&amp;"","$",""),",","")),0))</f>
        <v/>
      </c>
      <c r="E915" s="11">
        <f>IF(A915="","",IFERROR(VALUE(SUBSTITUTE(SUBSTITUTE(INDEX('Shopify Import'!$A:$CZ,915,Settings!$E$24)&amp;"","$",""),",","")),0))</f>
        <v/>
      </c>
      <c r="F915" s="11">
        <f>IF(A915="","",D915*E915)</f>
        <v/>
      </c>
      <c r="G915">
        <f>IF(A915="","",IF(C915="",1,COUNTIF($C$2:$C$1501,C915)))</f>
        <v/>
      </c>
      <c r="H915" s="11">
        <f>IF(A915="","",IFERROR(VALUE(SUBSTITUTE(SUBSTITUTE(INDEX('Shopify Import'!$A:$CZ,915,Settings!$E$25)&amp;"","$",""),",","")),0)/IF(Settings!$D$27="Yes",G915,1))</f>
        <v/>
      </c>
      <c r="I915" s="11">
        <f>IF(A915="","",IFERROR(VALUE(SUBSTITUTE(SUBSTITUTE(INDEX('Shopify Import'!$A:$CZ,915,Settings!$E$26)&amp;"","$",""),",","")),0)/IF(Settings!$D$27="Yes",G915,1))</f>
        <v/>
      </c>
      <c r="J915" s="11">
        <f>IF(A915="","",F915+H915-I915)</f>
        <v/>
      </c>
      <c r="K915">
        <f>IF(A915="","",IFERROR(IF(B915="",NA(),MATCH(B915,Products!$B$5:$B$204,0)),IFERROR(MATCH(A915,Products!$A$5:$A$204,0),"")))</f>
        <v/>
      </c>
      <c r="L915">
        <f>IF(A915="","",IF(K915="","⚠ not in Products",INDEX(Products!$A$5:$A$204,K915)))</f>
        <v/>
      </c>
      <c r="M915" s="11">
        <f>IF(A915="","",J915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915+IFERROR(INDEX(Settings!$D$5:$D$9,MATCH("Shopify",Settings!$A$5:$A$9,0)),0)*D915)</f>
        <v/>
      </c>
      <c r="N915" s="11">
        <f>IF(A915="","",IF(K915="",0,D915*INDEX(Products!$I$5:$I$204,K915)))</f>
        <v/>
      </c>
      <c r="O915" s="11">
        <f>IF(A915="","",IF(K915="",0,J915*INDEX(Products!$H$5:$H$204,K915)))</f>
        <v/>
      </c>
      <c r="P915" s="11">
        <f>IF(A915="","",J915-M915-N915-O915)</f>
        <v/>
      </c>
    </row>
    <row r="916">
      <c r="A916">
        <f>IFERROR(INDEX('Shopify Import'!$A:$CZ,916,Settings!$E$20)&amp;"","")</f>
        <v/>
      </c>
      <c r="B916">
        <f>IFERROR(INDEX('Shopify Import'!$A:$CZ,916,Settings!$E$21)&amp;"","")</f>
        <v/>
      </c>
      <c r="C916">
        <f>IFERROR(INDEX('Shopify Import'!$A:$CZ,916,Settings!$E$22)&amp;"","")</f>
        <v/>
      </c>
      <c r="D916">
        <f>IF(A916="","",IFERROR(VALUE(SUBSTITUTE(SUBSTITUTE(INDEX('Shopify Import'!$A:$CZ,916,Settings!$E$23)&amp;"","$",""),",","")),0))</f>
        <v/>
      </c>
      <c r="E916" s="11">
        <f>IF(A916="","",IFERROR(VALUE(SUBSTITUTE(SUBSTITUTE(INDEX('Shopify Import'!$A:$CZ,916,Settings!$E$24)&amp;"","$",""),",","")),0))</f>
        <v/>
      </c>
      <c r="F916" s="11">
        <f>IF(A916="","",D916*E916)</f>
        <v/>
      </c>
      <c r="G916">
        <f>IF(A916="","",IF(C916="",1,COUNTIF($C$2:$C$1501,C916)))</f>
        <v/>
      </c>
      <c r="H916" s="11">
        <f>IF(A916="","",IFERROR(VALUE(SUBSTITUTE(SUBSTITUTE(INDEX('Shopify Import'!$A:$CZ,916,Settings!$E$25)&amp;"","$",""),",","")),0)/IF(Settings!$D$27="Yes",G916,1))</f>
        <v/>
      </c>
      <c r="I916" s="11">
        <f>IF(A916="","",IFERROR(VALUE(SUBSTITUTE(SUBSTITUTE(INDEX('Shopify Import'!$A:$CZ,916,Settings!$E$26)&amp;"","$",""),",","")),0)/IF(Settings!$D$27="Yes",G916,1))</f>
        <v/>
      </c>
      <c r="J916" s="11">
        <f>IF(A916="","",F916+H916-I916)</f>
        <v/>
      </c>
      <c r="K916">
        <f>IF(A916="","",IFERROR(IF(B916="",NA(),MATCH(B916,Products!$B$5:$B$204,0)),IFERROR(MATCH(A916,Products!$A$5:$A$204,0),"")))</f>
        <v/>
      </c>
      <c r="L916">
        <f>IF(A916="","",IF(K916="","⚠ not in Products",INDEX(Products!$A$5:$A$204,K916)))</f>
        <v/>
      </c>
      <c r="M916" s="11">
        <f>IF(A916="","",J916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916+IFERROR(INDEX(Settings!$D$5:$D$9,MATCH("Shopify",Settings!$A$5:$A$9,0)),0)*D916)</f>
        <v/>
      </c>
      <c r="N916" s="11">
        <f>IF(A916="","",IF(K916="",0,D916*INDEX(Products!$I$5:$I$204,K916)))</f>
        <v/>
      </c>
      <c r="O916" s="11">
        <f>IF(A916="","",IF(K916="",0,J916*INDEX(Products!$H$5:$H$204,K916)))</f>
        <v/>
      </c>
      <c r="P916" s="11">
        <f>IF(A916="","",J916-M916-N916-O916)</f>
        <v/>
      </c>
    </row>
    <row r="917">
      <c r="A917">
        <f>IFERROR(INDEX('Shopify Import'!$A:$CZ,917,Settings!$E$20)&amp;"","")</f>
        <v/>
      </c>
      <c r="B917">
        <f>IFERROR(INDEX('Shopify Import'!$A:$CZ,917,Settings!$E$21)&amp;"","")</f>
        <v/>
      </c>
      <c r="C917">
        <f>IFERROR(INDEX('Shopify Import'!$A:$CZ,917,Settings!$E$22)&amp;"","")</f>
        <v/>
      </c>
      <c r="D917">
        <f>IF(A917="","",IFERROR(VALUE(SUBSTITUTE(SUBSTITUTE(INDEX('Shopify Import'!$A:$CZ,917,Settings!$E$23)&amp;"","$",""),",","")),0))</f>
        <v/>
      </c>
      <c r="E917" s="11">
        <f>IF(A917="","",IFERROR(VALUE(SUBSTITUTE(SUBSTITUTE(INDEX('Shopify Import'!$A:$CZ,917,Settings!$E$24)&amp;"","$",""),",","")),0))</f>
        <v/>
      </c>
      <c r="F917" s="11">
        <f>IF(A917="","",D917*E917)</f>
        <v/>
      </c>
      <c r="G917">
        <f>IF(A917="","",IF(C917="",1,COUNTIF($C$2:$C$1501,C917)))</f>
        <v/>
      </c>
      <c r="H917" s="11">
        <f>IF(A917="","",IFERROR(VALUE(SUBSTITUTE(SUBSTITUTE(INDEX('Shopify Import'!$A:$CZ,917,Settings!$E$25)&amp;"","$",""),",","")),0)/IF(Settings!$D$27="Yes",G917,1))</f>
        <v/>
      </c>
      <c r="I917" s="11">
        <f>IF(A917="","",IFERROR(VALUE(SUBSTITUTE(SUBSTITUTE(INDEX('Shopify Import'!$A:$CZ,917,Settings!$E$26)&amp;"","$",""),",","")),0)/IF(Settings!$D$27="Yes",G917,1))</f>
        <v/>
      </c>
      <c r="J917" s="11">
        <f>IF(A917="","",F917+H917-I917)</f>
        <v/>
      </c>
      <c r="K917">
        <f>IF(A917="","",IFERROR(IF(B917="",NA(),MATCH(B917,Products!$B$5:$B$204,0)),IFERROR(MATCH(A917,Products!$A$5:$A$204,0),"")))</f>
        <v/>
      </c>
      <c r="L917">
        <f>IF(A917="","",IF(K917="","⚠ not in Products",INDEX(Products!$A$5:$A$204,K917)))</f>
        <v/>
      </c>
      <c r="M917" s="11">
        <f>IF(A917="","",J917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917+IFERROR(INDEX(Settings!$D$5:$D$9,MATCH("Shopify",Settings!$A$5:$A$9,0)),0)*D917)</f>
        <v/>
      </c>
      <c r="N917" s="11">
        <f>IF(A917="","",IF(K917="",0,D917*INDEX(Products!$I$5:$I$204,K917)))</f>
        <v/>
      </c>
      <c r="O917" s="11">
        <f>IF(A917="","",IF(K917="",0,J917*INDEX(Products!$H$5:$H$204,K917)))</f>
        <v/>
      </c>
      <c r="P917" s="11">
        <f>IF(A917="","",J917-M917-N917-O917)</f>
        <v/>
      </c>
    </row>
    <row r="918">
      <c r="A918">
        <f>IFERROR(INDEX('Shopify Import'!$A:$CZ,918,Settings!$E$20)&amp;"","")</f>
        <v/>
      </c>
      <c r="B918">
        <f>IFERROR(INDEX('Shopify Import'!$A:$CZ,918,Settings!$E$21)&amp;"","")</f>
        <v/>
      </c>
      <c r="C918">
        <f>IFERROR(INDEX('Shopify Import'!$A:$CZ,918,Settings!$E$22)&amp;"","")</f>
        <v/>
      </c>
      <c r="D918">
        <f>IF(A918="","",IFERROR(VALUE(SUBSTITUTE(SUBSTITUTE(INDEX('Shopify Import'!$A:$CZ,918,Settings!$E$23)&amp;"","$",""),",","")),0))</f>
        <v/>
      </c>
      <c r="E918" s="11">
        <f>IF(A918="","",IFERROR(VALUE(SUBSTITUTE(SUBSTITUTE(INDEX('Shopify Import'!$A:$CZ,918,Settings!$E$24)&amp;"","$",""),",","")),0))</f>
        <v/>
      </c>
      <c r="F918" s="11">
        <f>IF(A918="","",D918*E918)</f>
        <v/>
      </c>
      <c r="G918">
        <f>IF(A918="","",IF(C918="",1,COUNTIF($C$2:$C$1501,C918)))</f>
        <v/>
      </c>
      <c r="H918" s="11">
        <f>IF(A918="","",IFERROR(VALUE(SUBSTITUTE(SUBSTITUTE(INDEX('Shopify Import'!$A:$CZ,918,Settings!$E$25)&amp;"","$",""),",","")),0)/IF(Settings!$D$27="Yes",G918,1))</f>
        <v/>
      </c>
      <c r="I918" s="11">
        <f>IF(A918="","",IFERROR(VALUE(SUBSTITUTE(SUBSTITUTE(INDEX('Shopify Import'!$A:$CZ,918,Settings!$E$26)&amp;"","$",""),",","")),0)/IF(Settings!$D$27="Yes",G918,1))</f>
        <v/>
      </c>
      <c r="J918" s="11">
        <f>IF(A918="","",F918+H918-I918)</f>
        <v/>
      </c>
      <c r="K918">
        <f>IF(A918="","",IFERROR(IF(B918="",NA(),MATCH(B918,Products!$B$5:$B$204,0)),IFERROR(MATCH(A918,Products!$A$5:$A$204,0),"")))</f>
        <v/>
      </c>
      <c r="L918">
        <f>IF(A918="","",IF(K918="","⚠ not in Products",INDEX(Products!$A$5:$A$204,K918)))</f>
        <v/>
      </c>
      <c r="M918" s="11">
        <f>IF(A918="","",J918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918+IFERROR(INDEX(Settings!$D$5:$D$9,MATCH("Shopify",Settings!$A$5:$A$9,0)),0)*D918)</f>
        <v/>
      </c>
      <c r="N918" s="11">
        <f>IF(A918="","",IF(K918="",0,D918*INDEX(Products!$I$5:$I$204,K918)))</f>
        <v/>
      </c>
      <c r="O918" s="11">
        <f>IF(A918="","",IF(K918="",0,J918*INDEX(Products!$H$5:$H$204,K918)))</f>
        <v/>
      </c>
      <c r="P918" s="11">
        <f>IF(A918="","",J918-M918-N918-O918)</f>
        <v/>
      </c>
    </row>
    <row r="919">
      <c r="A919">
        <f>IFERROR(INDEX('Shopify Import'!$A:$CZ,919,Settings!$E$20)&amp;"","")</f>
        <v/>
      </c>
      <c r="B919">
        <f>IFERROR(INDEX('Shopify Import'!$A:$CZ,919,Settings!$E$21)&amp;"","")</f>
        <v/>
      </c>
      <c r="C919">
        <f>IFERROR(INDEX('Shopify Import'!$A:$CZ,919,Settings!$E$22)&amp;"","")</f>
        <v/>
      </c>
      <c r="D919">
        <f>IF(A919="","",IFERROR(VALUE(SUBSTITUTE(SUBSTITUTE(INDEX('Shopify Import'!$A:$CZ,919,Settings!$E$23)&amp;"","$",""),",","")),0))</f>
        <v/>
      </c>
      <c r="E919" s="11">
        <f>IF(A919="","",IFERROR(VALUE(SUBSTITUTE(SUBSTITUTE(INDEX('Shopify Import'!$A:$CZ,919,Settings!$E$24)&amp;"","$",""),",","")),0))</f>
        <v/>
      </c>
      <c r="F919" s="11">
        <f>IF(A919="","",D919*E919)</f>
        <v/>
      </c>
      <c r="G919">
        <f>IF(A919="","",IF(C919="",1,COUNTIF($C$2:$C$1501,C919)))</f>
        <v/>
      </c>
      <c r="H919" s="11">
        <f>IF(A919="","",IFERROR(VALUE(SUBSTITUTE(SUBSTITUTE(INDEX('Shopify Import'!$A:$CZ,919,Settings!$E$25)&amp;"","$",""),",","")),0)/IF(Settings!$D$27="Yes",G919,1))</f>
        <v/>
      </c>
      <c r="I919" s="11">
        <f>IF(A919="","",IFERROR(VALUE(SUBSTITUTE(SUBSTITUTE(INDEX('Shopify Import'!$A:$CZ,919,Settings!$E$26)&amp;"","$",""),",","")),0)/IF(Settings!$D$27="Yes",G919,1))</f>
        <v/>
      </c>
      <c r="J919" s="11">
        <f>IF(A919="","",F919+H919-I919)</f>
        <v/>
      </c>
      <c r="K919">
        <f>IF(A919="","",IFERROR(IF(B919="",NA(),MATCH(B919,Products!$B$5:$B$204,0)),IFERROR(MATCH(A919,Products!$A$5:$A$204,0),"")))</f>
        <v/>
      </c>
      <c r="L919">
        <f>IF(A919="","",IF(K919="","⚠ not in Products",INDEX(Products!$A$5:$A$204,K919)))</f>
        <v/>
      </c>
      <c r="M919" s="11">
        <f>IF(A919="","",J919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919+IFERROR(INDEX(Settings!$D$5:$D$9,MATCH("Shopify",Settings!$A$5:$A$9,0)),0)*D919)</f>
        <v/>
      </c>
      <c r="N919" s="11">
        <f>IF(A919="","",IF(K919="",0,D919*INDEX(Products!$I$5:$I$204,K919)))</f>
        <v/>
      </c>
      <c r="O919" s="11">
        <f>IF(A919="","",IF(K919="",0,J919*INDEX(Products!$H$5:$H$204,K919)))</f>
        <v/>
      </c>
      <c r="P919" s="11">
        <f>IF(A919="","",J919-M919-N919-O919)</f>
        <v/>
      </c>
    </row>
    <row r="920">
      <c r="A920">
        <f>IFERROR(INDEX('Shopify Import'!$A:$CZ,920,Settings!$E$20)&amp;"","")</f>
        <v/>
      </c>
      <c r="B920">
        <f>IFERROR(INDEX('Shopify Import'!$A:$CZ,920,Settings!$E$21)&amp;"","")</f>
        <v/>
      </c>
      <c r="C920">
        <f>IFERROR(INDEX('Shopify Import'!$A:$CZ,920,Settings!$E$22)&amp;"","")</f>
        <v/>
      </c>
      <c r="D920">
        <f>IF(A920="","",IFERROR(VALUE(SUBSTITUTE(SUBSTITUTE(INDEX('Shopify Import'!$A:$CZ,920,Settings!$E$23)&amp;"","$",""),",","")),0))</f>
        <v/>
      </c>
      <c r="E920" s="11">
        <f>IF(A920="","",IFERROR(VALUE(SUBSTITUTE(SUBSTITUTE(INDEX('Shopify Import'!$A:$CZ,920,Settings!$E$24)&amp;"","$",""),",","")),0))</f>
        <v/>
      </c>
      <c r="F920" s="11">
        <f>IF(A920="","",D920*E920)</f>
        <v/>
      </c>
      <c r="G920">
        <f>IF(A920="","",IF(C920="",1,COUNTIF($C$2:$C$1501,C920)))</f>
        <v/>
      </c>
      <c r="H920" s="11">
        <f>IF(A920="","",IFERROR(VALUE(SUBSTITUTE(SUBSTITUTE(INDEX('Shopify Import'!$A:$CZ,920,Settings!$E$25)&amp;"","$",""),",","")),0)/IF(Settings!$D$27="Yes",G920,1))</f>
        <v/>
      </c>
      <c r="I920" s="11">
        <f>IF(A920="","",IFERROR(VALUE(SUBSTITUTE(SUBSTITUTE(INDEX('Shopify Import'!$A:$CZ,920,Settings!$E$26)&amp;"","$",""),",","")),0)/IF(Settings!$D$27="Yes",G920,1))</f>
        <v/>
      </c>
      <c r="J920" s="11">
        <f>IF(A920="","",F920+H920-I920)</f>
        <v/>
      </c>
      <c r="K920">
        <f>IF(A920="","",IFERROR(IF(B920="",NA(),MATCH(B920,Products!$B$5:$B$204,0)),IFERROR(MATCH(A920,Products!$A$5:$A$204,0),"")))</f>
        <v/>
      </c>
      <c r="L920">
        <f>IF(A920="","",IF(K920="","⚠ not in Products",INDEX(Products!$A$5:$A$204,K920)))</f>
        <v/>
      </c>
      <c r="M920" s="11">
        <f>IF(A920="","",J920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920+IFERROR(INDEX(Settings!$D$5:$D$9,MATCH("Shopify",Settings!$A$5:$A$9,0)),0)*D920)</f>
        <v/>
      </c>
      <c r="N920" s="11">
        <f>IF(A920="","",IF(K920="",0,D920*INDEX(Products!$I$5:$I$204,K920)))</f>
        <v/>
      </c>
      <c r="O920" s="11">
        <f>IF(A920="","",IF(K920="",0,J920*INDEX(Products!$H$5:$H$204,K920)))</f>
        <v/>
      </c>
      <c r="P920" s="11">
        <f>IF(A920="","",J920-M920-N920-O920)</f>
        <v/>
      </c>
    </row>
    <row r="921">
      <c r="A921">
        <f>IFERROR(INDEX('Shopify Import'!$A:$CZ,921,Settings!$E$20)&amp;"","")</f>
        <v/>
      </c>
      <c r="B921">
        <f>IFERROR(INDEX('Shopify Import'!$A:$CZ,921,Settings!$E$21)&amp;"","")</f>
        <v/>
      </c>
      <c r="C921">
        <f>IFERROR(INDEX('Shopify Import'!$A:$CZ,921,Settings!$E$22)&amp;"","")</f>
        <v/>
      </c>
      <c r="D921">
        <f>IF(A921="","",IFERROR(VALUE(SUBSTITUTE(SUBSTITUTE(INDEX('Shopify Import'!$A:$CZ,921,Settings!$E$23)&amp;"","$",""),",","")),0))</f>
        <v/>
      </c>
      <c r="E921" s="11">
        <f>IF(A921="","",IFERROR(VALUE(SUBSTITUTE(SUBSTITUTE(INDEX('Shopify Import'!$A:$CZ,921,Settings!$E$24)&amp;"","$",""),",","")),0))</f>
        <v/>
      </c>
      <c r="F921" s="11">
        <f>IF(A921="","",D921*E921)</f>
        <v/>
      </c>
      <c r="G921">
        <f>IF(A921="","",IF(C921="",1,COUNTIF($C$2:$C$1501,C921)))</f>
        <v/>
      </c>
      <c r="H921" s="11">
        <f>IF(A921="","",IFERROR(VALUE(SUBSTITUTE(SUBSTITUTE(INDEX('Shopify Import'!$A:$CZ,921,Settings!$E$25)&amp;"","$",""),",","")),0)/IF(Settings!$D$27="Yes",G921,1))</f>
        <v/>
      </c>
      <c r="I921" s="11">
        <f>IF(A921="","",IFERROR(VALUE(SUBSTITUTE(SUBSTITUTE(INDEX('Shopify Import'!$A:$CZ,921,Settings!$E$26)&amp;"","$",""),",","")),0)/IF(Settings!$D$27="Yes",G921,1))</f>
        <v/>
      </c>
      <c r="J921" s="11">
        <f>IF(A921="","",F921+H921-I921)</f>
        <v/>
      </c>
      <c r="K921">
        <f>IF(A921="","",IFERROR(IF(B921="",NA(),MATCH(B921,Products!$B$5:$B$204,0)),IFERROR(MATCH(A921,Products!$A$5:$A$204,0),"")))</f>
        <v/>
      </c>
      <c r="L921">
        <f>IF(A921="","",IF(K921="","⚠ not in Products",INDEX(Products!$A$5:$A$204,K921)))</f>
        <v/>
      </c>
      <c r="M921" s="11">
        <f>IF(A921="","",J921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921+IFERROR(INDEX(Settings!$D$5:$D$9,MATCH("Shopify",Settings!$A$5:$A$9,0)),0)*D921)</f>
        <v/>
      </c>
      <c r="N921" s="11">
        <f>IF(A921="","",IF(K921="",0,D921*INDEX(Products!$I$5:$I$204,K921)))</f>
        <v/>
      </c>
      <c r="O921" s="11">
        <f>IF(A921="","",IF(K921="",0,J921*INDEX(Products!$H$5:$H$204,K921)))</f>
        <v/>
      </c>
      <c r="P921" s="11">
        <f>IF(A921="","",J921-M921-N921-O921)</f>
        <v/>
      </c>
    </row>
    <row r="922">
      <c r="A922">
        <f>IFERROR(INDEX('Shopify Import'!$A:$CZ,922,Settings!$E$20)&amp;"","")</f>
        <v/>
      </c>
      <c r="B922">
        <f>IFERROR(INDEX('Shopify Import'!$A:$CZ,922,Settings!$E$21)&amp;"","")</f>
        <v/>
      </c>
      <c r="C922">
        <f>IFERROR(INDEX('Shopify Import'!$A:$CZ,922,Settings!$E$22)&amp;"","")</f>
        <v/>
      </c>
      <c r="D922">
        <f>IF(A922="","",IFERROR(VALUE(SUBSTITUTE(SUBSTITUTE(INDEX('Shopify Import'!$A:$CZ,922,Settings!$E$23)&amp;"","$",""),",","")),0))</f>
        <v/>
      </c>
      <c r="E922" s="11">
        <f>IF(A922="","",IFERROR(VALUE(SUBSTITUTE(SUBSTITUTE(INDEX('Shopify Import'!$A:$CZ,922,Settings!$E$24)&amp;"","$",""),",","")),0))</f>
        <v/>
      </c>
      <c r="F922" s="11">
        <f>IF(A922="","",D922*E922)</f>
        <v/>
      </c>
      <c r="G922">
        <f>IF(A922="","",IF(C922="",1,COUNTIF($C$2:$C$1501,C922)))</f>
        <v/>
      </c>
      <c r="H922" s="11">
        <f>IF(A922="","",IFERROR(VALUE(SUBSTITUTE(SUBSTITUTE(INDEX('Shopify Import'!$A:$CZ,922,Settings!$E$25)&amp;"","$",""),",","")),0)/IF(Settings!$D$27="Yes",G922,1))</f>
        <v/>
      </c>
      <c r="I922" s="11">
        <f>IF(A922="","",IFERROR(VALUE(SUBSTITUTE(SUBSTITUTE(INDEX('Shopify Import'!$A:$CZ,922,Settings!$E$26)&amp;"","$",""),",","")),0)/IF(Settings!$D$27="Yes",G922,1))</f>
        <v/>
      </c>
      <c r="J922" s="11">
        <f>IF(A922="","",F922+H922-I922)</f>
        <v/>
      </c>
      <c r="K922">
        <f>IF(A922="","",IFERROR(IF(B922="",NA(),MATCH(B922,Products!$B$5:$B$204,0)),IFERROR(MATCH(A922,Products!$A$5:$A$204,0),"")))</f>
        <v/>
      </c>
      <c r="L922">
        <f>IF(A922="","",IF(K922="","⚠ not in Products",INDEX(Products!$A$5:$A$204,K922)))</f>
        <v/>
      </c>
      <c r="M922" s="11">
        <f>IF(A922="","",J922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922+IFERROR(INDEX(Settings!$D$5:$D$9,MATCH("Shopify",Settings!$A$5:$A$9,0)),0)*D922)</f>
        <v/>
      </c>
      <c r="N922" s="11">
        <f>IF(A922="","",IF(K922="",0,D922*INDEX(Products!$I$5:$I$204,K922)))</f>
        <v/>
      </c>
      <c r="O922" s="11">
        <f>IF(A922="","",IF(K922="",0,J922*INDEX(Products!$H$5:$H$204,K922)))</f>
        <v/>
      </c>
      <c r="P922" s="11">
        <f>IF(A922="","",J922-M922-N922-O922)</f>
        <v/>
      </c>
    </row>
    <row r="923">
      <c r="A923">
        <f>IFERROR(INDEX('Shopify Import'!$A:$CZ,923,Settings!$E$20)&amp;"","")</f>
        <v/>
      </c>
      <c r="B923">
        <f>IFERROR(INDEX('Shopify Import'!$A:$CZ,923,Settings!$E$21)&amp;"","")</f>
        <v/>
      </c>
      <c r="C923">
        <f>IFERROR(INDEX('Shopify Import'!$A:$CZ,923,Settings!$E$22)&amp;"","")</f>
        <v/>
      </c>
      <c r="D923">
        <f>IF(A923="","",IFERROR(VALUE(SUBSTITUTE(SUBSTITUTE(INDEX('Shopify Import'!$A:$CZ,923,Settings!$E$23)&amp;"","$",""),",","")),0))</f>
        <v/>
      </c>
      <c r="E923" s="11">
        <f>IF(A923="","",IFERROR(VALUE(SUBSTITUTE(SUBSTITUTE(INDEX('Shopify Import'!$A:$CZ,923,Settings!$E$24)&amp;"","$",""),",","")),0))</f>
        <v/>
      </c>
      <c r="F923" s="11">
        <f>IF(A923="","",D923*E923)</f>
        <v/>
      </c>
      <c r="G923">
        <f>IF(A923="","",IF(C923="",1,COUNTIF($C$2:$C$1501,C923)))</f>
        <v/>
      </c>
      <c r="H923" s="11">
        <f>IF(A923="","",IFERROR(VALUE(SUBSTITUTE(SUBSTITUTE(INDEX('Shopify Import'!$A:$CZ,923,Settings!$E$25)&amp;"","$",""),",","")),0)/IF(Settings!$D$27="Yes",G923,1))</f>
        <v/>
      </c>
      <c r="I923" s="11">
        <f>IF(A923="","",IFERROR(VALUE(SUBSTITUTE(SUBSTITUTE(INDEX('Shopify Import'!$A:$CZ,923,Settings!$E$26)&amp;"","$",""),",","")),0)/IF(Settings!$D$27="Yes",G923,1))</f>
        <v/>
      </c>
      <c r="J923" s="11">
        <f>IF(A923="","",F923+H923-I923)</f>
        <v/>
      </c>
      <c r="K923">
        <f>IF(A923="","",IFERROR(IF(B923="",NA(),MATCH(B923,Products!$B$5:$B$204,0)),IFERROR(MATCH(A923,Products!$A$5:$A$204,0),"")))</f>
        <v/>
      </c>
      <c r="L923">
        <f>IF(A923="","",IF(K923="","⚠ not in Products",INDEX(Products!$A$5:$A$204,K923)))</f>
        <v/>
      </c>
      <c r="M923" s="11">
        <f>IF(A923="","",J923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923+IFERROR(INDEX(Settings!$D$5:$D$9,MATCH("Shopify",Settings!$A$5:$A$9,0)),0)*D923)</f>
        <v/>
      </c>
      <c r="N923" s="11">
        <f>IF(A923="","",IF(K923="",0,D923*INDEX(Products!$I$5:$I$204,K923)))</f>
        <v/>
      </c>
      <c r="O923" s="11">
        <f>IF(A923="","",IF(K923="",0,J923*INDEX(Products!$H$5:$H$204,K923)))</f>
        <v/>
      </c>
      <c r="P923" s="11">
        <f>IF(A923="","",J923-M923-N923-O923)</f>
        <v/>
      </c>
    </row>
    <row r="924">
      <c r="A924">
        <f>IFERROR(INDEX('Shopify Import'!$A:$CZ,924,Settings!$E$20)&amp;"","")</f>
        <v/>
      </c>
      <c r="B924">
        <f>IFERROR(INDEX('Shopify Import'!$A:$CZ,924,Settings!$E$21)&amp;"","")</f>
        <v/>
      </c>
      <c r="C924">
        <f>IFERROR(INDEX('Shopify Import'!$A:$CZ,924,Settings!$E$22)&amp;"","")</f>
        <v/>
      </c>
      <c r="D924">
        <f>IF(A924="","",IFERROR(VALUE(SUBSTITUTE(SUBSTITUTE(INDEX('Shopify Import'!$A:$CZ,924,Settings!$E$23)&amp;"","$",""),",","")),0))</f>
        <v/>
      </c>
      <c r="E924" s="11">
        <f>IF(A924="","",IFERROR(VALUE(SUBSTITUTE(SUBSTITUTE(INDEX('Shopify Import'!$A:$CZ,924,Settings!$E$24)&amp;"","$",""),",","")),0))</f>
        <v/>
      </c>
      <c r="F924" s="11">
        <f>IF(A924="","",D924*E924)</f>
        <v/>
      </c>
      <c r="G924">
        <f>IF(A924="","",IF(C924="",1,COUNTIF($C$2:$C$1501,C924)))</f>
        <v/>
      </c>
      <c r="H924" s="11">
        <f>IF(A924="","",IFERROR(VALUE(SUBSTITUTE(SUBSTITUTE(INDEX('Shopify Import'!$A:$CZ,924,Settings!$E$25)&amp;"","$",""),",","")),0)/IF(Settings!$D$27="Yes",G924,1))</f>
        <v/>
      </c>
      <c r="I924" s="11">
        <f>IF(A924="","",IFERROR(VALUE(SUBSTITUTE(SUBSTITUTE(INDEX('Shopify Import'!$A:$CZ,924,Settings!$E$26)&amp;"","$",""),",","")),0)/IF(Settings!$D$27="Yes",G924,1))</f>
        <v/>
      </c>
      <c r="J924" s="11">
        <f>IF(A924="","",F924+H924-I924)</f>
        <v/>
      </c>
      <c r="K924">
        <f>IF(A924="","",IFERROR(IF(B924="",NA(),MATCH(B924,Products!$B$5:$B$204,0)),IFERROR(MATCH(A924,Products!$A$5:$A$204,0),"")))</f>
        <v/>
      </c>
      <c r="L924">
        <f>IF(A924="","",IF(K924="","⚠ not in Products",INDEX(Products!$A$5:$A$204,K924)))</f>
        <v/>
      </c>
      <c r="M924" s="11">
        <f>IF(A924="","",J924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924+IFERROR(INDEX(Settings!$D$5:$D$9,MATCH("Shopify",Settings!$A$5:$A$9,0)),0)*D924)</f>
        <v/>
      </c>
      <c r="N924" s="11">
        <f>IF(A924="","",IF(K924="",0,D924*INDEX(Products!$I$5:$I$204,K924)))</f>
        <v/>
      </c>
      <c r="O924" s="11">
        <f>IF(A924="","",IF(K924="",0,J924*INDEX(Products!$H$5:$H$204,K924)))</f>
        <v/>
      </c>
      <c r="P924" s="11">
        <f>IF(A924="","",J924-M924-N924-O924)</f>
        <v/>
      </c>
    </row>
    <row r="925">
      <c r="A925">
        <f>IFERROR(INDEX('Shopify Import'!$A:$CZ,925,Settings!$E$20)&amp;"","")</f>
        <v/>
      </c>
      <c r="B925">
        <f>IFERROR(INDEX('Shopify Import'!$A:$CZ,925,Settings!$E$21)&amp;"","")</f>
        <v/>
      </c>
      <c r="C925">
        <f>IFERROR(INDEX('Shopify Import'!$A:$CZ,925,Settings!$E$22)&amp;"","")</f>
        <v/>
      </c>
      <c r="D925">
        <f>IF(A925="","",IFERROR(VALUE(SUBSTITUTE(SUBSTITUTE(INDEX('Shopify Import'!$A:$CZ,925,Settings!$E$23)&amp;"","$",""),",","")),0))</f>
        <v/>
      </c>
      <c r="E925" s="11">
        <f>IF(A925="","",IFERROR(VALUE(SUBSTITUTE(SUBSTITUTE(INDEX('Shopify Import'!$A:$CZ,925,Settings!$E$24)&amp;"","$",""),",","")),0))</f>
        <v/>
      </c>
      <c r="F925" s="11">
        <f>IF(A925="","",D925*E925)</f>
        <v/>
      </c>
      <c r="G925">
        <f>IF(A925="","",IF(C925="",1,COUNTIF($C$2:$C$1501,C925)))</f>
        <v/>
      </c>
      <c r="H925" s="11">
        <f>IF(A925="","",IFERROR(VALUE(SUBSTITUTE(SUBSTITUTE(INDEX('Shopify Import'!$A:$CZ,925,Settings!$E$25)&amp;"","$",""),",","")),0)/IF(Settings!$D$27="Yes",G925,1))</f>
        <v/>
      </c>
      <c r="I925" s="11">
        <f>IF(A925="","",IFERROR(VALUE(SUBSTITUTE(SUBSTITUTE(INDEX('Shopify Import'!$A:$CZ,925,Settings!$E$26)&amp;"","$",""),",","")),0)/IF(Settings!$D$27="Yes",G925,1))</f>
        <v/>
      </c>
      <c r="J925" s="11">
        <f>IF(A925="","",F925+H925-I925)</f>
        <v/>
      </c>
      <c r="K925">
        <f>IF(A925="","",IFERROR(IF(B925="",NA(),MATCH(B925,Products!$B$5:$B$204,0)),IFERROR(MATCH(A925,Products!$A$5:$A$204,0),"")))</f>
        <v/>
      </c>
      <c r="L925">
        <f>IF(A925="","",IF(K925="","⚠ not in Products",INDEX(Products!$A$5:$A$204,K925)))</f>
        <v/>
      </c>
      <c r="M925" s="11">
        <f>IF(A925="","",J925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925+IFERROR(INDEX(Settings!$D$5:$D$9,MATCH("Shopify",Settings!$A$5:$A$9,0)),0)*D925)</f>
        <v/>
      </c>
      <c r="N925" s="11">
        <f>IF(A925="","",IF(K925="",0,D925*INDEX(Products!$I$5:$I$204,K925)))</f>
        <v/>
      </c>
      <c r="O925" s="11">
        <f>IF(A925="","",IF(K925="",0,J925*INDEX(Products!$H$5:$H$204,K925)))</f>
        <v/>
      </c>
      <c r="P925" s="11">
        <f>IF(A925="","",J925-M925-N925-O925)</f>
        <v/>
      </c>
    </row>
    <row r="926">
      <c r="A926">
        <f>IFERROR(INDEX('Shopify Import'!$A:$CZ,926,Settings!$E$20)&amp;"","")</f>
        <v/>
      </c>
      <c r="B926">
        <f>IFERROR(INDEX('Shopify Import'!$A:$CZ,926,Settings!$E$21)&amp;"","")</f>
        <v/>
      </c>
      <c r="C926">
        <f>IFERROR(INDEX('Shopify Import'!$A:$CZ,926,Settings!$E$22)&amp;"","")</f>
        <v/>
      </c>
      <c r="D926">
        <f>IF(A926="","",IFERROR(VALUE(SUBSTITUTE(SUBSTITUTE(INDEX('Shopify Import'!$A:$CZ,926,Settings!$E$23)&amp;"","$",""),",","")),0))</f>
        <v/>
      </c>
      <c r="E926" s="11">
        <f>IF(A926="","",IFERROR(VALUE(SUBSTITUTE(SUBSTITUTE(INDEX('Shopify Import'!$A:$CZ,926,Settings!$E$24)&amp;"","$",""),",","")),0))</f>
        <v/>
      </c>
      <c r="F926" s="11">
        <f>IF(A926="","",D926*E926)</f>
        <v/>
      </c>
      <c r="G926">
        <f>IF(A926="","",IF(C926="",1,COUNTIF($C$2:$C$1501,C926)))</f>
        <v/>
      </c>
      <c r="H926" s="11">
        <f>IF(A926="","",IFERROR(VALUE(SUBSTITUTE(SUBSTITUTE(INDEX('Shopify Import'!$A:$CZ,926,Settings!$E$25)&amp;"","$",""),",","")),0)/IF(Settings!$D$27="Yes",G926,1))</f>
        <v/>
      </c>
      <c r="I926" s="11">
        <f>IF(A926="","",IFERROR(VALUE(SUBSTITUTE(SUBSTITUTE(INDEX('Shopify Import'!$A:$CZ,926,Settings!$E$26)&amp;"","$",""),",","")),0)/IF(Settings!$D$27="Yes",G926,1))</f>
        <v/>
      </c>
      <c r="J926" s="11">
        <f>IF(A926="","",F926+H926-I926)</f>
        <v/>
      </c>
      <c r="K926">
        <f>IF(A926="","",IFERROR(IF(B926="",NA(),MATCH(B926,Products!$B$5:$B$204,0)),IFERROR(MATCH(A926,Products!$A$5:$A$204,0),"")))</f>
        <v/>
      </c>
      <c r="L926">
        <f>IF(A926="","",IF(K926="","⚠ not in Products",INDEX(Products!$A$5:$A$204,K926)))</f>
        <v/>
      </c>
      <c r="M926" s="11">
        <f>IF(A926="","",J926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926+IFERROR(INDEX(Settings!$D$5:$D$9,MATCH("Shopify",Settings!$A$5:$A$9,0)),0)*D926)</f>
        <v/>
      </c>
      <c r="N926" s="11">
        <f>IF(A926="","",IF(K926="",0,D926*INDEX(Products!$I$5:$I$204,K926)))</f>
        <v/>
      </c>
      <c r="O926" s="11">
        <f>IF(A926="","",IF(K926="",0,J926*INDEX(Products!$H$5:$H$204,K926)))</f>
        <v/>
      </c>
      <c r="P926" s="11">
        <f>IF(A926="","",J926-M926-N926-O926)</f>
        <v/>
      </c>
    </row>
    <row r="927">
      <c r="A927">
        <f>IFERROR(INDEX('Shopify Import'!$A:$CZ,927,Settings!$E$20)&amp;"","")</f>
        <v/>
      </c>
      <c r="B927">
        <f>IFERROR(INDEX('Shopify Import'!$A:$CZ,927,Settings!$E$21)&amp;"","")</f>
        <v/>
      </c>
      <c r="C927">
        <f>IFERROR(INDEX('Shopify Import'!$A:$CZ,927,Settings!$E$22)&amp;"","")</f>
        <v/>
      </c>
      <c r="D927">
        <f>IF(A927="","",IFERROR(VALUE(SUBSTITUTE(SUBSTITUTE(INDEX('Shopify Import'!$A:$CZ,927,Settings!$E$23)&amp;"","$",""),",","")),0))</f>
        <v/>
      </c>
      <c r="E927" s="11">
        <f>IF(A927="","",IFERROR(VALUE(SUBSTITUTE(SUBSTITUTE(INDEX('Shopify Import'!$A:$CZ,927,Settings!$E$24)&amp;"","$",""),",","")),0))</f>
        <v/>
      </c>
      <c r="F927" s="11">
        <f>IF(A927="","",D927*E927)</f>
        <v/>
      </c>
      <c r="G927">
        <f>IF(A927="","",IF(C927="",1,COUNTIF($C$2:$C$1501,C927)))</f>
        <v/>
      </c>
      <c r="H927" s="11">
        <f>IF(A927="","",IFERROR(VALUE(SUBSTITUTE(SUBSTITUTE(INDEX('Shopify Import'!$A:$CZ,927,Settings!$E$25)&amp;"","$",""),",","")),0)/IF(Settings!$D$27="Yes",G927,1))</f>
        <v/>
      </c>
      <c r="I927" s="11">
        <f>IF(A927="","",IFERROR(VALUE(SUBSTITUTE(SUBSTITUTE(INDEX('Shopify Import'!$A:$CZ,927,Settings!$E$26)&amp;"","$",""),",","")),0)/IF(Settings!$D$27="Yes",G927,1))</f>
        <v/>
      </c>
      <c r="J927" s="11">
        <f>IF(A927="","",F927+H927-I927)</f>
        <v/>
      </c>
      <c r="K927">
        <f>IF(A927="","",IFERROR(IF(B927="",NA(),MATCH(B927,Products!$B$5:$B$204,0)),IFERROR(MATCH(A927,Products!$A$5:$A$204,0),"")))</f>
        <v/>
      </c>
      <c r="L927">
        <f>IF(A927="","",IF(K927="","⚠ not in Products",INDEX(Products!$A$5:$A$204,K927)))</f>
        <v/>
      </c>
      <c r="M927" s="11">
        <f>IF(A927="","",J927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927+IFERROR(INDEX(Settings!$D$5:$D$9,MATCH("Shopify",Settings!$A$5:$A$9,0)),0)*D927)</f>
        <v/>
      </c>
      <c r="N927" s="11">
        <f>IF(A927="","",IF(K927="",0,D927*INDEX(Products!$I$5:$I$204,K927)))</f>
        <v/>
      </c>
      <c r="O927" s="11">
        <f>IF(A927="","",IF(K927="",0,J927*INDEX(Products!$H$5:$H$204,K927)))</f>
        <v/>
      </c>
      <c r="P927" s="11">
        <f>IF(A927="","",J927-M927-N927-O927)</f>
        <v/>
      </c>
    </row>
    <row r="928">
      <c r="A928">
        <f>IFERROR(INDEX('Shopify Import'!$A:$CZ,928,Settings!$E$20)&amp;"","")</f>
        <v/>
      </c>
      <c r="B928">
        <f>IFERROR(INDEX('Shopify Import'!$A:$CZ,928,Settings!$E$21)&amp;"","")</f>
        <v/>
      </c>
      <c r="C928">
        <f>IFERROR(INDEX('Shopify Import'!$A:$CZ,928,Settings!$E$22)&amp;"","")</f>
        <v/>
      </c>
      <c r="D928">
        <f>IF(A928="","",IFERROR(VALUE(SUBSTITUTE(SUBSTITUTE(INDEX('Shopify Import'!$A:$CZ,928,Settings!$E$23)&amp;"","$",""),",","")),0))</f>
        <v/>
      </c>
      <c r="E928" s="11">
        <f>IF(A928="","",IFERROR(VALUE(SUBSTITUTE(SUBSTITUTE(INDEX('Shopify Import'!$A:$CZ,928,Settings!$E$24)&amp;"","$",""),",","")),0))</f>
        <v/>
      </c>
      <c r="F928" s="11">
        <f>IF(A928="","",D928*E928)</f>
        <v/>
      </c>
      <c r="G928">
        <f>IF(A928="","",IF(C928="",1,COUNTIF($C$2:$C$1501,C928)))</f>
        <v/>
      </c>
      <c r="H928" s="11">
        <f>IF(A928="","",IFERROR(VALUE(SUBSTITUTE(SUBSTITUTE(INDEX('Shopify Import'!$A:$CZ,928,Settings!$E$25)&amp;"","$",""),",","")),0)/IF(Settings!$D$27="Yes",G928,1))</f>
        <v/>
      </c>
      <c r="I928" s="11">
        <f>IF(A928="","",IFERROR(VALUE(SUBSTITUTE(SUBSTITUTE(INDEX('Shopify Import'!$A:$CZ,928,Settings!$E$26)&amp;"","$",""),",","")),0)/IF(Settings!$D$27="Yes",G928,1))</f>
        <v/>
      </c>
      <c r="J928" s="11">
        <f>IF(A928="","",F928+H928-I928)</f>
        <v/>
      </c>
      <c r="K928">
        <f>IF(A928="","",IFERROR(IF(B928="",NA(),MATCH(B928,Products!$B$5:$B$204,0)),IFERROR(MATCH(A928,Products!$A$5:$A$204,0),"")))</f>
        <v/>
      </c>
      <c r="L928">
        <f>IF(A928="","",IF(K928="","⚠ not in Products",INDEX(Products!$A$5:$A$204,K928)))</f>
        <v/>
      </c>
      <c r="M928" s="11">
        <f>IF(A928="","",J928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928+IFERROR(INDEX(Settings!$D$5:$D$9,MATCH("Shopify",Settings!$A$5:$A$9,0)),0)*D928)</f>
        <v/>
      </c>
      <c r="N928" s="11">
        <f>IF(A928="","",IF(K928="",0,D928*INDEX(Products!$I$5:$I$204,K928)))</f>
        <v/>
      </c>
      <c r="O928" s="11">
        <f>IF(A928="","",IF(K928="",0,J928*INDEX(Products!$H$5:$H$204,K928)))</f>
        <v/>
      </c>
      <c r="P928" s="11">
        <f>IF(A928="","",J928-M928-N928-O928)</f>
        <v/>
      </c>
    </row>
    <row r="929">
      <c r="A929">
        <f>IFERROR(INDEX('Shopify Import'!$A:$CZ,929,Settings!$E$20)&amp;"","")</f>
        <v/>
      </c>
      <c r="B929">
        <f>IFERROR(INDEX('Shopify Import'!$A:$CZ,929,Settings!$E$21)&amp;"","")</f>
        <v/>
      </c>
      <c r="C929">
        <f>IFERROR(INDEX('Shopify Import'!$A:$CZ,929,Settings!$E$22)&amp;"","")</f>
        <v/>
      </c>
      <c r="D929">
        <f>IF(A929="","",IFERROR(VALUE(SUBSTITUTE(SUBSTITUTE(INDEX('Shopify Import'!$A:$CZ,929,Settings!$E$23)&amp;"","$",""),",","")),0))</f>
        <v/>
      </c>
      <c r="E929" s="11">
        <f>IF(A929="","",IFERROR(VALUE(SUBSTITUTE(SUBSTITUTE(INDEX('Shopify Import'!$A:$CZ,929,Settings!$E$24)&amp;"","$",""),",","")),0))</f>
        <v/>
      </c>
      <c r="F929" s="11">
        <f>IF(A929="","",D929*E929)</f>
        <v/>
      </c>
      <c r="G929">
        <f>IF(A929="","",IF(C929="",1,COUNTIF($C$2:$C$1501,C929)))</f>
        <v/>
      </c>
      <c r="H929" s="11">
        <f>IF(A929="","",IFERROR(VALUE(SUBSTITUTE(SUBSTITUTE(INDEX('Shopify Import'!$A:$CZ,929,Settings!$E$25)&amp;"","$",""),",","")),0)/IF(Settings!$D$27="Yes",G929,1))</f>
        <v/>
      </c>
      <c r="I929" s="11">
        <f>IF(A929="","",IFERROR(VALUE(SUBSTITUTE(SUBSTITUTE(INDEX('Shopify Import'!$A:$CZ,929,Settings!$E$26)&amp;"","$",""),",","")),0)/IF(Settings!$D$27="Yes",G929,1))</f>
        <v/>
      </c>
      <c r="J929" s="11">
        <f>IF(A929="","",F929+H929-I929)</f>
        <v/>
      </c>
      <c r="K929">
        <f>IF(A929="","",IFERROR(IF(B929="",NA(),MATCH(B929,Products!$B$5:$B$204,0)),IFERROR(MATCH(A929,Products!$A$5:$A$204,0),"")))</f>
        <v/>
      </c>
      <c r="L929">
        <f>IF(A929="","",IF(K929="","⚠ not in Products",INDEX(Products!$A$5:$A$204,K929)))</f>
        <v/>
      </c>
      <c r="M929" s="11">
        <f>IF(A929="","",J929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929+IFERROR(INDEX(Settings!$D$5:$D$9,MATCH("Shopify",Settings!$A$5:$A$9,0)),0)*D929)</f>
        <v/>
      </c>
      <c r="N929" s="11">
        <f>IF(A929="","",IF(K929="",0,D929*INDEX(Products!$I$5:$I$204,K929)))</f>
        <v/>
      </c>
      <c r="O929" s="11">
        <f>IF(A929="","",IF(K929="",0,J929*INDEX(Products!$H$5:$H$204,K929)))</f>
        <v/>
      </c>
      <c r="P929" s="11">
        <f>IF(A929="","",J929-M929-N929-O929)</f>
        <v/>
      </c>
    </row>
    <row r="930">
      <c r="A930">
        <f>IFERROR(INDEX('Shopify Import'!$A:$CZ,930,Settings!$E$20)&amp;"","")</f>
        <v/>
      </c>
      <c r="B930">
        <f>IFERROR(INDEX('Shopify Import'!$A:$CZ,930,Settings!$E$21)&amp;"","")</f>
        <v/>
      </c>
      <c r="C930">
        <f>IFERROR(INDEX('Shopify Import'!$A:$CZ,930,Settings!$E$22)&amp;"","")</f>
        <v/>
      </c>
      <c r="D930">
        <f>IF(A930="","",IFERROR(VALUE(SUBSTITUTE(SUBSTITUTE(INDEX('Shopify Import'!$A:$CZ,930,Settings!$E$23)&amp;"","$",""),",","")),0))</f>
        <v/>
      </c>
      <c r="E930" s="11">
        <f>IF(A930="","",IFERROR(VALUE(SUBSTITUTE(SUBSTITUTE(INDEX('Shopify Import'!$A:$CZ,930,Settings!$E$24)&amp;"","$",""),",","")),0))</f>
        <v/>
      </c>
      <c r="F930" s="11">
        <f>IF(A930="","",D930*E930)</f>
        <v/>
      </c>
      <c r="G930">
        <f>IF(A930="","",IF(C930="",1,COUNTIF($C$2:$C$1501,C930)))</f>
        <v/>
      </c>
      <c r="H930" s="11">
        <f>IF(A930="","",IFERROR(VALUE(SUBSTITUTE(SUBSTITUTE(INDEX('Shopify Import'!$A:$CZ,930,Settings!$E$25)&amp;"","$",""),",","")),0)/IF(Settings!$D$27="Yes",G930,1))</f>
        <v/>
      </c>
      <c r="I930" s="11">
        <f>IF(A930="","",IFERROR(VALUE(SUBSTITUTE(SUBSTITUTE(INDEX('Shopify Import'!$A:$CZ,930,Settings!$E$26)&amp;"","$",""),",","")),0)/IF(Settings!$D$27="Yes",G930,1))</f>
        <v/>
      </c>
      <c r="J930" s="11">
        <f>IF(A930="","",F930+H930-I930)</f>
        <v/>
      </c>
      <c r="K930">
        <f>IF(A930="","",IFERROR(IF(B930="",NA(),MATCH(B930,Products!$B$5:$B$204,0)),IFERROR(MATCH(A930,Products!$A$5:$A$204,0),"")))</f>
        <v/>
      </c>
      <c r="L930">
        <f>IF(A930="","",IF(K930="","⚠ not in Products",INDEX(Products!$A$5:$A$204,K930)))</f>
        <v/>
      </c>
      <c r="M930" s="11">
        <f>IF(A930="","",J930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930+IFERROR(INDEX(Settings!$D$5:$D$9,MATCH("Shopify",Settings!$A$5:$A$9,0)),0)*D930)</f>
        <v/>
      </c>
      <c r="N930" s="11">
        <f>IF(A930="","",IF(K930="",0,D930*INDEX(Products!$I$5:$I$204,K930)))</f>
        <v/>
      </c>
      <c r="O930" s="11">
        <f>IF(A930="","",IF(K930="",0,J930*INDEX(Products!$H$5:$H$204,K930)))</f>
        <v/>
      </c>
      <c r="P930" s="11">
        <f>IF(A930="","",J930-M930-N930-O930)</f>
        <v/>
      </c>
    </row>
    <row r="931">
      <c r="A931">
        <f>IFERROR(INDEX('Shopify Import'!$A:$CZ,931,Settings!$E$20)&amp;"","")</f>
        <v/>
      </c>
      <c r="B931">
        <f>IFERROR(INDEX('Shopify Import'!$A:$CZ,931,Settings!$E$21)&amp;"","")</f>
        <v/>
      </c>
      <c r="C931">
        <f>IFERROR(INDEX('Shopify Import'!$A:$CZ,931,Settings!$E$22)&amp;"","")</f>
        <v/>
      </c>
      <c r="D931">
        <f>IF(A931="","",IFERROR(VALUE(SUBSTITUTE(SUBSTITUTE(INDEX('Shopify Import'!$A:$CZ,931,Settings!$E$23)&amp;"","$",""),",","")),0))</f>
        <v/>
      </c>
      <c r="E931" s="11">
        <f>IF(A931="","",IFERROR(VALUE(SUBSTITUTE(SUBSTITUTE(INDEX('Shopify Import'!$A:$CZ,931,Settings!$E$24)&amp;"","$",""),",","")),0))</f>
        <v/>
      </c>
      <c r="F931" s="11">
        <f>IF(A931="","",D931*E931)</f>
        <v/>
      </c>
      <c r="G931">
        <f>IF(A931="","",IF(C931="",1,COUNTIF($C$2:$C$1501,C931)))</f>
        <v/>
      </c>
      <c r="H931" s="11">
        <f>IF(A931="","",IFERROR(VALUE(SUBSTITUTE(SUBSTITUTE(INDEX('Shopify Import'!$A:$CZ,931,Settings!$E$25)&amp;"","$",""),",","")),0)/IF(Settings!$D$27="Yes",G931,1))</f>
        <v/>
      </c>
      <c r="I931" s="11">
        <f>IF(A931="","",IFERROR(VALUE(SUBSTITUTE(SUBSTITUTE(INDEX('Shopify Import'!$A:$CZ,931,Settings!$E$26)&amp;"","$",""),",","")),0)/IF(Settings!$D$27="Yes",G931,1))</f>
        <v/>
      </c>
      <c r="J931" s="11">
        <f>IF(A931="","",F931+H931-I931)</f>
        <v/>
      </c>
      <c r="K931">
        <f>IF(A931="","",IFERROR(IF(B931="",NA(),MATCH(B931,Products!$B$5:$B$204,0)),IFERROR(MATCH(A931,Products!$A$5:$A$204,0),"")))</f>
        <v/>
      </c>
      <c r="L931">
        <f>IF(A931="","",IF(K931="","⚠ not in Products",INDEX(Products!$A$5:$A$204,K931)))</f>
        <v/>
      </c>
      <c r="M931" s="11">
        <f>IF(A931="","",J931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931+IFERROR(INDEX(Settings!$D$5:$D$9,MATCH("Shopify",Settings!$A$5:$A$9,0)),0)*D931)</f>
        <v/>
      </c>
      <c r="N931" s="11">
        <f>IF(A931="","",IF(K931="",0,D931*INDEX(Products!$I$5:$I$204,K931)))</f>
        <v/>
      </c>
      <c r="O931" s="11">
        <f>IF(A931="","",IF(K931="",0,J931*INDEX(Products!$H$5:$H$204,K931)))</f>
        <v/>
      </c>
      <c r="P931" s="11">
        <f>IF(A931="","",J931-M931-N931-O931)</f>
        <v/>
      </c>
    </row>
    <row r="932">
      <c r="A932">
        <f>IFERROR(INDEX('Shopify Import'!$A:$CZ,932,Settings!$E$20)&amp;"","")</f>
        <v/>
      </c>
      <c r="B932">
        <f>IFERROR(INDEX('Shopify Import'!$A:$CZ,932,Settings!$E$21)&amp;"","")</f>
        <v/>
      </c>
      <c r="C932">
        <f>IFERROR(INDEX('Shopify Import'!$A:$CZ,932,Settings!$E$22)&amp;"","")</f>
        <v/>
      </c>
      <c r="D932">
        <f>IF(A932="","",IFERROR(VALUE(SUBSTITUTE(SUBSTITUTE(INDEX('Shopify Import'!$A:$CZ,932,Settings!$E$23)&amp;"","$",""),",","")),0))</f>
        <v/>
      </c>
      <c r="E932" s="11">
        <f>IF(A932="","",IFERROR(VALUE(SUBSTITUTE(SUBSTITUTE(INDEX('Shopify Import'!$A:$CZ,932,Settings!$E$24)&amp;"","$",""),",","")),0))</f>
        <v/>
      </c>
      <c r="F932" s="11">
        <f>IF(A932="","",D932*E932)</f>
        <v/>
      </c>
      <c r="G932">
        <f>IF(A932="","",IF(C932="",1,COUNTIF($C$2:$C$1501,C932)))</f>
        <v/>
      </c>
      <c r="H932" s="11">
        <f>IF(A932="","",IFERROR(VALUE(SUBSTITUTE(SUBSTITUTE(INDEX('Shopify Import'!$A:$CZ,932,Settings!$E$25)&amp;"","$",""),",","")),0)/IF(Settings!$D$27="Yes",G932,1))</f>
        <v/>
      </c>
      <c r="I932" s="11">
        <f>IF(A932="","",IFERROR(VALUE(SUBSTITUTE(SUBSTITUTE(INDEX('Shopify Import'!$A:$CZ,932,Settings!$E$26)&amp;"","$",""),",","")),0)/IF(Settings!$D$27="Yes",G932,1))</f>
        <v/>
      </c>
      <c r="J932" s="11">
        <f>IF(A932="","",F932+H932-I932)</f>
        <v/>
      </c>
      <c r="K932">
        <f>IF(A932="","",IFERROR(IF(B932="",NA(),MATCH(B932,Products!$B$5:$B$204,0)),IFERROR(MATCH(A932,Products!$A$5:$A$204,0),"")))</f>
        <v/>
      </c>
      <c r="L932">
        <f>IF(A932="","",IF(K932="","⚠ not in Products",INDEX(Products!$A$5:$A$204,K932)))</f>
        <v/>
      </c>
      <c r="M932" s="11">
        <f>IF(A932="","",J932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932+IFERROR(INDEX(Settings!$D$5:$D$9,MATCH("Shopify",Settings!$A$5:$A$9,0)),0)*D932)</f>
        <v/>
      </c>
      <c r="N932" s="11">
        <f>IF(A932="","",IF(K932="",0,D932*INDEX(Products!$I$5:$I$204,K932)))</f>
        <v/>
      </c>
      <c r="O932" s="11">
        <f>IF(A932="","",IF(K932="",0,J932*INDEX(Products!$H$5:$H$204,K932)))</f>
        <v/>
      </c>
      <c r="P932" s="11">
        <f>IF(A932="","",J932-M932-N932-O932)</f>
        <v/>
      </c>
    </row>
    <row r="933">
      <c r="A933">
        <f>IFERROR(INDEX('Shopify Import'!$A:$CZ,933,Settings!$E$20)&amp;"","")</f>
        <v/>
      </c>
      <c r="B933">
        <f>IFERROR(INDEX('Shopify Import'!$A:$CZ,933,Settings!$E$21)&amp;"","")</f>
        <v/>
      </c>
      <c r="C933">
        <f>IFERROR(INDEX('Shopify Import'!$A:$CZ,933,Settings!$E$22)&amp;"","")</f>
        <v/>
      </c>
      <c r="D933">
        <f>IF(A933="","",IFERROR(VALUE(SUBSTITUTE(SUBSTITUTE(INDEX('Shopify Import'!$A:$CZ,933,Settings!$E$23)&amp;"","$",""),",","")),0))</f>
        <v/>
      </c>
      <c r="E933" s="11">
        <f>IF(A933="","",IFERROR(VALUE(SUBSTITUTE(SUBSTITUTE(INDEX('Shopify Import'!$A:$CZ,933,Settings!$E$24)&amp;"","$",""),",","")),0))</f>
        <v/>
      </c>
      <c r="F933" s="11">
        <f>IF(A933="","",D933*E933)</f>
        <v/>
      </c>
      <c r="G933">
        <f>IF(A933="","",IF(C933="",1,COUNTIF($C$2:$C$1501,C933)))</f>
        <v/>
      </c>
      <c r="H933" s="11">
        <f>IF(A933="","",IFERROR(VALUE(SUBSTITUTE(SUBSTITUTE(INDEX('Shopify Import'!$A:$CZ,933,Settings!$E$25)&amp;"","$",""),",","")),0)/IF(Settings!$D$27="Yes",G933,1))</f>
        <v/>
      </c>
      <c r="I933" s="11">
        <f>IF(A933="","",IFERROR(VALUE(SUBSTITUTE(SUBSTITUTE(INDEX('Shopify Import'!$A:$CZ,933,Settings!$E$26)&amp;"","$",""),",","")),0)/IF(Settings!$D$27="Yes",G933,1))</f>
        <v/>
      </c>
      <c r="J933" s="11">
        <f>IF(A933="","",F933+H933-I933)</f>
        <v/>
      </c>
      <c r="K933">
        <f>IF(A933="","",IFERROR(IF(B933="",NA(),MATCH(B933,Products!$B$5:$B$204,0)),IFERROR(MATCH(A933,Products!$A$5:$A$204,0),"")))</f>
        <v/>
      </c>
      <c r="L933">
        <f>IF(A933="","",IF(K933="","⚠ not in Products",INDEX(Products!$A$5:$A$204,K933)))</f>
        <v/>
      </c>
      <c r="M933" s="11">
        <f>IF(A933="","",J933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933+IFERROR(INDEX(Settings!$D$5:$D$9,MATCH("Shopify",Settings!$A$5:$A$9,0)),0)*D933)</f>
        <v/>
      </c>
      <c r="N933" s="11">
        <f>IF(A933="","",IF(K933="",0,D933*INDEX(Products!$I$5:$I$204,K933)))</f>
        <v/>
      </c>
      <c r="O933" s="11">
        <f>IF(A933="","",IF(K933="",0,J933*INDEX(Products!$H$5:$H$204,K933)))</f>
        <v/>
      </c>
      <c r="P933" s="11">
        <f>IF(A933="","",J933-M933-N933-O933)</f>
        <v/>
      </c>
    </row>
    <row r="934">
      <c r="A934">
        <f>IFERROR(INDEX('Shopify Import'!$A:$CZ,934,Settings!$E$20)&amp;"","")</f>
        <v/>
      </c>
      <c r="B934">
        <f>IFERROR(INDEX('Shopify Import'!$A:$CZ,934,Settings!$E$21)&amp;"","")</f>
        <v/>
      </c>
      <c r="C934">
        <f>IFERROR(INDEX('Shopify Import'!$A:$CZ,934,Settings!$E$22)&amp;"","")</f>
        <v/>
      </c>
      <c r="D934">
        <f>IF(A934="","",IFERROR(VALUE(SUBSTITUTE(SUBSTITUTE(INDEX('Shopify Import'!$A:$CZ,934,Settings!$E$23)&amp;"","$",""),",","")),0))</f>
        <v/>
      </c>
      <c r="E934" s="11">
        <f>IF(A934="","",IFERROR(VALUE(SUBSTITUTE(SUBSTITUTE(INDEX('Shopify Import'!$A:$CZ,934,Settings!$E$24)&amp;"","$",""),",","")),0))</f>
        <v/>
      </c>
      <c r="F934" s="11">
        <f>IF(A934="","",D934*E934)</f>
        <v/>
      </c>
      <c r="G934">
        <f>IF(A934="","",IF(C934="",1,COUNTIF($C$2:$C$1501,C934)))</f>
        <v/>
      </c>
      <c r="H934" s="11">
        <f>IF(A934="","",IFERROR(VALUE(SUBSTITUTE(SUBSTITUTE(INDEX('Shopify Import'!$A:$CZ,934,Settings!$E$25)&amp;"","$",""),",","")),0)/IF(Settings!$D$27="Yes",G934,1))</f>
        <v/>
      </c>
      <c r="I934" s="11">
        <f>IF(A934="","",IFERROR(VALUE(SUBSTITUTE(SUBSTITUTE(INDEX('Shopify Import'!$A:$CZ,934,Settings!$E$26)&amp;"","$",""),",","")),0)/IF(Settings!$D$27="Yes",G934,1))</f>
        <v/>
      </c>
      <c r="J934" s="11">
        <f>IF(A934="","",F934+H934-I934)</f>
        <v/>
      </c>
      <c r="K934">
        <f>IF(A934="","",IFERROR(IF(B934="",NA(),MATCH(B934,Products!$B$5:$B$204,0)),IFERROR(MATCH(A934,Products!$A$5:$A$204,0),"")))</f>
        <v/>
      </c>
      <c r="L934">
        <f>IF(A934="","",IF(K934="","⚠ not in Products",INDEX(Products!$A$5:$A$204,K934)))</f>
        <v/>
      </c>
      <c r="M934" s="11">
        <f>IF(A934="","",J934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934+IFERROR(INDEX(Settings!$D$5:$D$9,MATCH("Shopify",Settings!$A$5:$A$9,0)),0)*D934)</f>
        <v/>
      </c>
      <c r="N934" s="11">
        <f>IF(A934="","",IF(K934="",0,D934*INDEX(Products!$I$5:$I$204,K934)))</f>
        <v/>
      </c>
      <c r="O934" s="11">
        <f>IF(A934="","",IF(K934="",0,J934*INDEX(Products!$H$5:$H$204,K934)))</f>
        <v/>
      </c>
      <c r="P934" s="11">
        <f>IF(A934="","",J934-M934-N934-O934)</f>
        <v/>
      </c>
    </row>
    <row r="935">
      <c r="A935">
        <f>IFERROR(INDEX('Shopify Import'!$A:$CZ,935,Settings!$E$20)&amp;"","")</f>
        <v/>
      </c>
      <c r="B935">
        <f>IFERROR(INDEX('Shopify Import'!$A:$CZ,935,Settings!$E$21)&amp;"","")</f>
        <v/>
      </c>
      <c r="C935">
        <f>IFERROR(INDEX('Shopify Import'!$A:$CZ,935,Settings!$E$22)&amp;"","")</f>
        <v/>
      </c>
      <c r="D935">
        <f>IF(A935="","",IFERROR(VALUE(SUBSTITUTE(SUBSTITUTE(INDEX('Shopify Import'!$A:$CZ,935,Settings!$E$23)&amp;"","$",""),",","")),0))</f>
        <v/>
      </c>
      <c r="E935" s="11">
        <f>IF(A935="","",IFERROR(VALUE(SUBSTITUTE(SUBSTITUTE(INDEX('Shopify Import'!$A:$CZ,935,Settings!$E$24)&amp;"","$",""),",","")),0))</f>
        <v/>
      </c>
      <c r="F935" s="11">
        <f>IF(A935="","",D935*E935)</f>
        <v/>
      </c>
      <c r="G935">
        <f>IF(A935="","",IF(C935="",1,COUNTIF($C$2:$C$1501,C935)))</f>
        <v/>
      </c>
      <c r="H935" s="11">
        <f>IF(A935="","",IFERROR(VALUE(SUBSTITUTE(SUBSTITUTE(INDEX('Shopify Import'!$A:$CZ,935,Settings!$E$25)&amp;"","$",""),",","")),0)/IF(Settings!$D$27="Yes",G935,1))</f>
        <v/>
      </c>
      <c r="I935" s="11">
        <f>IF(A935="","",IFERROR(VALUE(SUBSTITUTE(SUBSTITUTE(INDEX('Shopify Import'!$A:$CZ,935,Settings!$E$26)&amp;"","$",""),",","")),0)/IF(Settings!$D$27="Yes",G935,1))</f>
        <v/>
      </c>
      <c r="J935" s="11">
        <f>IF(A935="","",F935+H935-I935)</f>
        <v/>
      </c>
      <c r="K935">
        <f>IF(A935="","",IFERROR(IF(B935="",NA(),MATCH(B935,Products!$B$5:$B$204,0)),IFERROR(MATCH(A935,Products!$A$5:$A$204,0),"")))</f>
        <v/>
      </c>
      <c r="L935">
        <f>IF(A935="","",IF(K935="","⚠ not in Products",INDEX(Products!$A$5:$A$204,K935)))</f>
        <v/>
      </c>
      <c r="M935" s="11">
        <f>IF(A935="","",J935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935+IFERROR(INDEX(Settings!$D$5:$D$9,MATCH("Shopify",Settings!$A$5:$A$9,0)),0)*D935)</f>
        <v/>
      </c>
      <c r="N935" s="11">
        <f>IF(A935="","",IF(K935="",0,D935*INDEX(Products!$I$5:$I$204,K935)))</f>
        <v/>
      </c>
      <c r="O935" s="11">
        <f>IF(A935="","",IF(K935="",0,J935*INDEX(Products!$H$5:$H$204,K935)))</f>
        <v/>
      </c>
      <c r="P935" s="11">
        <f>IF(A935="","",J935-M935-N935-O935)</f>
        <v/>
      </c>
    </row>
    <row r="936">
      <c r="A936">
        <f>IFERROR(INDEX('Shopify Import'!$A:$CZ,936,Settings!$E$20)&amp;"","")</f>
        <v/>
      </c>
      <c r="B936">
        <f>IFERROR(INDEX('Shopify Import'!$A:$CZ,936,Settings!$E$21)&amp;"","")</f>
        <v/>
      </c>
      <c r="C936">
        <f>IFERROR(INDEX('Shopify Import'!$A:$CZ,936,Settings!$E$22)&amp;"","")</f>
        <v/>
      </c>
      <c r="D936">
        <f>IF(A936="","",IFERROR(VALUE(SUBSTITUTE(SUBSTITUTE(INDEX('Shopify Import'!$A:$CZ,936,Settings!$E$23)&amp;"","$",""),",","")),0))</f>
        <v/>
      </c>
      <c r="E936" s="11">
        <f>IF(A936="","",IFERROR(VALUE(SUBSTITUTE(SUBSTITUTE(INDEX('Shopify Import'!$A:$CZ,936,Settings!$E$24)&amp;"","$",""),",","")),0))</f>
        <v/>
      </c>
      <c r="F936" s="11">
        <f>IF(A936="","",D936*E936)</f>
        <v/>
      </c>
      <c r="G936">
        <f>IF(A936="","",IF(C936="",1,COUNTIF($C$2:$C$1501,C936)))</f>
        <v/>
      </c>
      <c r="H936" s="11">
        <f>IF(A936="","",IFERROR(VALUE(SUBSTITUTE(SUBSTITUTE(INDEX('Shopify Import'!$A:$CZ,936,Settings!$E$25)&amp;"","$",""),",","")),0)/IF(Settings!$D$27="Yes",G936,1))</f>
        <v/>
      </c>
      <c r="I936" s="11">
        <f>IF(A936="","",IFERROR(VALUE(SUBSTITUTE(SUBSTITUTE(INDEX('Shopify Import'!$A:$CZ,936,Settings!$E$26)&amp;"","$",""),",","")),0)/IF(Settings!$D$27="Yes",G936,1))</f>
        <v/>
      </c>
      <c r="J936" s="11">
        <f>IF(A936="","",F936+H936-I936)</f>
        <v/>
      </c>
      <c r="K936">
        <f>IF(A936="","",IFERROR(IF(B936="",NA(),MATCH(B936,Products!$B$5:$B$204,0)),IFERROR(MATCH(A936,Products!$A$5:$A$204,0),"")))</f>
        <v/>
      </c>
      <c r="L936">
        <f>IF(A936="","",IF(K936="","⚠ not in Products",INDEX(Products!$A$5:$A$204,K936)))</f>
        <v/>
      </c>
      <c r="M936" s="11">
        <f>IF(A936="","",J936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936+IFERROR(INDEX(Settings!$D$5:$D$9,MATCH("Shopify",Settings!$A$5:$A$9,0)),0)*D936)</f>
        <v/>
      </c>
      <c r="N936" s="11">
        <f>IF(A936="","",IF(K936="",0,D936*INDEX(Products!$I$5:$I$204,K936)))</f>
        <v/>
      </c>
      <c r="O936" s="11">
        <f>IF(A936="","",IF(K936="",0,J936*INDEX(Products!$H$5:$H$204,K936)))</f>
        <v/>
      </c>
      <c r="P936" s="11">
        <f>IF(A936="","",J936-M936-N936-O936)</f>
        <v/>
      </c>
    </row>
    <row r="937">
      <c r="A937">
        <f>IFERROR(INDEX('Shopify Import'!$A:$CZ,937,Settings!$E$20)&amp;"","")</f>
        <v/>
      </c>
      <c r="B937">
        <f>IFERROR(INDEX('Shopify Import'!$A:$CZ,937,Settings!$E$21)&amp;"","")</f>
        <v/>
      </c>
      <c r="C937">
        <f>IFERROR(INDEX('Shopify Import'!$A:$CZ,937,Settings!$E$22)&amp;"","")</f>
        <v/>
      </c>
      <c r="D937">
        <f>IF(A937="","",IFERROR(VALUE(SUBSTITUTE(SUBSTITUTE(INDEX('Shopify Import'!$A:$CZ,937,Settings!$E$23)&amp;"","$",""),",","")),0))</f>
        <v/>
      </c>
      <c r="E937" s="11">
        <f>IF(A937="","",IFERROR(VALUE(SUBSTITUTE(SUBSTITUTE(INDEX('Shopify Import'!$A:$CZ,937,Settings!$E$24)&amp;"","$",""),",","")),0))</f>
        <v/>
      </c>
      <c r="F937" s="11">
        <f>IF(A937="","",D937*E937)</f>
        <v/>
      </c>
      <c r="G937">
        <f>IF(A937="","",IF(C937="",1,COUNTIF($C$2:$C$1501,C937)))</f>
        <v/>
      </c>
      <c r="H937" s="11">
        <f>IF(A937="","",IFERROR(VALUE(SUBSTITUTE(SUBSTITUTE(INDEX('Shopify Import'!$A:$CZ,937,Settings!$E$25)&amp;"","$",""),",","")),0)/IF(Settings!$D$27="Yes",G937,1))</f>
        <v/>
      </c>
      <c r="I937" s="11">
        <f>IF(A937="","",IFERROR(VALUE(SUBSTITUTE(SUBSTITUTE(INDEX('Shopify Import'!$A:$CZ,937,Settings!$E$26)&amp;"","$",""),",","")),0)/IF(Settings!$D$27="Yes",G937,1))</f>
        <v/>
      </c>
      <c r="J937" s="11">
        <f>IF(A937="","",F937+H937-I937)</f>
        <v/>
      </c>
      <c r="K937">
        <f>IF(A937="","",IFERROR(IF(B937="",NA(),MATCH(B937,Products!$B$5:$B$204,0)),IFERROR(MATCH(A937,Products!$A$5:$A$204,0),"")))</f>
        <v/>
      </c>
      <c r="L937">
        <f>IF(A937="","",IF(K937="","⚠ not in Products",INDEX(Products!$A$5:$A$204,K937)))</f>
        <v/>
      </c>
      <c r="M937" s="11">
        <f>IF(A937="","",J937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937+IFERROR(INDEX(Settings!$D$5:$D$9,MATCH("Shopify",Settings!$A$5:$A$9,0)),0)*D937)</f>
        <v/>
      </c>
      <c r="N937" s="11">
        <f>IF(A937="","",IF(K937="",0,D937*INDEX(Products!$I$5:$I$204,K937)))</f>
        <v/>
      </c>
      <c r="O937" s="11">
        <f>IF(A937="","",IF(K937="",0,J937*INDEX(Products!$H$5:$H$204,K937)))</f>
        <v/>
      </c>
      <c r="P937" s="11">
        <f>IF(A937="","",J937-M937-N937-O937)</f>
        <v/>
      </c>
    </row>
    <row r="938">
      <c r="A938">
        <f>IFERROR(INDEX('Shopify Import'!$A:$CZ,938,Settings!$E$20)&amp;"","")</f>
        <v/>
      </c>
      <c r="B938">
        <f>IFERROR(INDEX('Shopify Import'!$A:$CZ,938,Settings!$E$21)&amp;"","")</f>
        <v/>
      </c>
      <c r="C938">
        <f>IFERROR(INDEX('Shopify Import'!$A:$CZ,938,Settings!$E$22)&amp;"","")</f>
        <v/>
      </c>
      <c r="D938">
        <f>IF(A938="","",IFERROR(VALUE(SUBSTITUTE(SUBSTITUTE(INDEX('Shopify Import'!$A:$CZ,938,Settings!$E$23)&amp;"","$",""),",","")),0))</f>
        <v/>
      </c>
      <c r="E938" s="11">
        <f>IF(A938="","",IFERROR(VALUE(SUBSTITUTE(SUBSTITUTE(INDEX('Shopify Import'!$A:$CZ,938,Settings!$E$24)&amp;"","$",""),",","")),0))</f>
        <v/>
      </c>
      <c r="F938" s="11">
        <f>IF(A938="","",D938*E938)</f>
        <v/>
      </c>
      <c r="G938">
        <f>IF(A938="","",IF(C938="",1,COUNTIF($C$2:$C$1501,C938)))</f>
        <v/>
      </c>
      <c r="H938" s="11">
        <f>IF(A938="","",IFERROR(VALUE(SUBSTITUTE(SUBSTITUTE(INDEX('Shopify Import'!$A:$CZ,938,Settings!$E$25)&amp;"","$",""),",","")),0)/IF(Settings!$D$27="Yes",G938,1))</f>
        <v/>
      </c>
      <c r="I938" s="11">
        <f>IF(A938="","",IFERROR(VALUE(SUBSTITUTE(SUBSTITUTE(INDEX('Shopify Import'!$A:$CZ,938,Settings!$E$26)&amp;"","$",""),",","")),0)/IF(Settings!$D$27="Yes",G938,1))</f>
        <v/>
      </c>
      <c r="J938" s="11">
        <f>IF(A938="","",F938+H938-I938)</f>
        <v/>
      </c>
      <c r="K938">
        <f>IF(A938="","",IFERROR(IF(B938="",NA(),MATCH(B938,Products!$B$5:$B$204,0)),IFERROR(MATCH(A938,Products!$A$5:$A$204,0),"")))</f>
        <v/>
      </c>
      <c r="L938">
        <f>IF(A938="","",IF(K938="","⚠ not in Products",INDEX(Products!$A$5:$A$204,K938)))</f>
        <v/>
      </c>
      <c r="M938" s="11">
        <f>IF(A938="","",J938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938+IFERROR(INDEX(Settings!$D$5:$D$9,MATCH("Shopify",Settings!$A$5:$A$9,0)),0)*D938)</f>
        <v/>
      </c>
      <c r="N938" s="11">
        <f>IF(A938="","",IF(K938="",0,D938*INDEX(Products!$I$5:$I$204,K938)))</f>
        <v/>
      </c>
      <c r="O938" s="11">
        <f>IF(A938="","",IF(K938="",0,J938*INDEX(Products!$H$5:$H$204,K938)))</f>
        <v/>
      </c>
      <c r="P938" s="11">
        <f>IF(A938="","",J938-M938-N938-O938)</f>
        <v/>
      </c>
    </row>
    <row r="939">
      <c r="A939">
        <f>IFERROR(INDEX('Shopify Import'!$A:$CZ,939,Settings!$E$20)&amp;"","")</f>
        <v/>
      </c>
      <c r="B939">
        <f>IFERROR(INDEX('Shopify Import'!$A:$CZ,939,Settings!$E$21)&amp;"","")</f>
        <v/>
      </c>
      <c r="C939">
        <f>IFERROR(INDEX('Shopify Import'!$A:$CZ,939,Settings!$E$22)&amp;"","")</f>
        <v/>
      </c>
      <c r="D939">
        <f>IF(A939="","",IFERROR(VALUE(SUBSTITUTE(SUBSTITUTE(INDEX('Shopify Import'!$A:$CZ,939,Settings!$E$23)&amp;"","$",""),",","")),0))</f>
        <v/>
      </c>
      <c r="E939" s="11">
        <f>IF(A939="","",IFERROR(VALUE(SUBSTITUTE(SUBSTITUTE(INDEX('Shopify Import'!$A:$CZ,939,Settings!$E$24)&amp;"","$",""),",","")),0))</f>
        <v/>
      </c>
      <c r="F939" s="11">
        <f>IF(A939="","",D939*E939)</f>
        <v/>
      </c>
      <c r="G939">
        <f>IF(A939="","",IF(C939="",1,COUNTIF($C$2:$C$1501,C939)))</f>
        <v/>
      </c>
      <c r="H939" s="11">
        <f>IF(A939="","",IFERROR(VALUE(SUBSTITUTE(SUBSTITUTE(INDEX('Shopify Import'!$A:$CZ,939,Settings!$E$25)&amp;"","$",""),",","")),0)/IF(Settings!$D$27="Yes",G939,1))</f>
        <v/>
      </c>
      <c r="I939" s="11">
        <f>IF(A939="","",IFERROR(VALUE(SUBSTITUTE(SUBSTITUTE(INDEX('Shopify Import'!$A:$CZ,939,Settings!$E$26)&amp;"","$",""),",","")),0)/IF(Settings!$D$27="Yes",G939,1))</f>
        <v/>
      </c>
      <c r="J939" s="11">
        <f>IF(A939="","",F939+H939-I939)</f>
        <v/>
      </c>
      <c r="K939">
        <f>IF(A939="","",IFERROR(IF(B939="",NA(),MATCH(B939,Products!$B$5:$B$204,0)),IFERROR(MATCH(A939,Products!$A$5:$A$204,0),"")))</f>
        <v/>
      </c>
      <c r="L939">
        <f>IF(A939="","",IF(K939="","⚠ not in Products",INDEX(Products!$A$5:$A$204,K939)))</f>
        <v/>
      </c>
      <c r="M939" s="11">
        <f>IF(A939="","",J939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939+IFERROR(INDEX(Settings!$D$5:$D$9,MATCH("Shopify",Settings!$A$5:$A$9,0)),0)*D939)</f>
        <v/>
      </c>
      <c r="N939" s="11">
        <f>IF(A939="","",IF(K939="",0,D939*INDEX(Products!$I$5:$I$204,K939)))</f>
        <v/>
      </c>
      <c r="O939" s="11">
        <f>IF(A939="","",IF(K939="",0,J939*INDEX(Products!$H$5:$H$204,K939)))</f>
        <v/>
      </c>
      <c r="P939" s="11">
        <f>IF(A939="","",J939-M939-N939-O939)</f>
        <v/>
      </c>
    </row>
    <row r="940">
      <c r="A940">
        <f>IFERROR(INDEX('Shopify Import'!$A:$CZ,940,Settings!$E$20)&amp;"","")</f>
        <v/>
      </c>
      <c r="B940">
        <f>IFERROR(INDEX('Shopify Import'!$A:$CZ,940,Settings!$E$21)&amp;"","")</f>
        <v/>
      </c>
      <c r="C940">
        <f>IFERROR(INDEX('Shopify Import'!$A:$CZ,940,Settings!$E$22)&amp;"","")</f>
        <v/>
      </c>
      <c r="D940">
        <f>IF(A940="","",IFERROR(VALUE(SUBSTITUTE(SUBSTITUTE(INDEX('Shopify Import'!$A:$CZ,940,Settings!$E$23)&amp;"","$",""),",","")),0))</f>
        <v/>
      </c>
      <c r="E940" s="11">
        <f>IF(A940="","",IFERROR(VALUE(SUBSTITUTE(SUBSTITUTE(INDEX('Shopify Import'!$A:$CZ,940,Settings!$E$24)&amp;"","$",""),",","")),0))</f>
        <v/>
      </c>
      <c r="F940" s="11">
        <f>IF(A940="","",D940*E940)</f>
        <v/>
      </c>
      <c r="G940">
        <f>IF(A940="","",IF(C940="",1,COUNTIF($C$2:$C$1501,C940)))</f>
        <v/>
      </c>
      <c r="H940" s="11">
        <f>IF(A940="","",IFERROR(VALUE(SUBSTITUTE(SUBSTITUTE(INDEX('Shopify Import'!$A:$CZ,940,Settings!$E$25)&amp;"","$",""),",","")),0)/IF(Settings!$D$27="Yes",G940,1))</f>
        <v/>
      </c>
      <c r="I940" s="11">
        <f>IF(A940="","",IFERROR(VALUE(SUBSTITUTE(SUBSTITUTE(INDEX('Shopify Import'!$A:$CZ,940,Settings!$E$26)&amp;"","$",""),",","")),0)/IF(Settings!$D$27="Yes",G940,1))</f>
        <v/>
      </c>
      <c r="J940" s="11">
        <f>IF(A940="","",F940+H940-I940)</f>
        <v/>
      </c>
      <c r="K940">
        <f>IF(A940="","",IFERROR(IF(B940="",NA(),MATCH(B940,Products!$B$5:$B$204,0)),IFERROR(MATCH(A940,Products!$A$5:$A$204,0),"")))</f>
        <v/>
      </c>
      <c r="L940">
        <f>IF(A940="","",IF(K940="","⚠ not in Products",INDEX(Products!$A$5:$A$204,K940)))</f>
        <v/>
      </c>
      <c r="M940" s="11">
        <f>IF(A940="","",J940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940+IFERROR(INDEX(Settings!$D$5:$D$9,MATCH("Shopify",Settings!$A$5:$A$9,0)),0)*D940)</f>
        <v/>
      </c>
      <c r="N940" s="11">
        <f>IF(A940="","",IF(K940="",0,D940*INDEX(Products!$I$5:$I$204,K940)))</f>
        <v/>
      </c>
      <c r="O940" s="11">
        <f>IF(A940="","",IF(K940="",0,J940*INDEX(Products!$H$5:$H$204,K940)))</f>
        <v/>
      </c>
      <c r="P940" s="11">
        <f>IF(A940="","",J940-M940-N940-O940)</f>
        <v/>
      </c>
    </row>
    <row r="941">
      <c r="A941">
        <f>IFERROR(INDEX('Shopify Import'!$A:$CZ,941,Settings!$E$20)&amp;"","")</f>
        <v/>
      </c>
      <c r="B941">
        <f>IFERROR(INDEX('Shopify Import'!$A:$CZ,941,Settings!$E$21)&amp;"","")</f>
        <v/>
      </c>
      <c r="C941">
        <f>IFERROR(INDEX('Shopify Import'!$A:$CZ,941,Settings!$E$22)&amp;"","")</f>
        <v/>
      </c>
      <c r="D941">
        <f>IF(A941="","",IFERROR(VALUE(SUBSTITUTE(SUBSTITUTE(INDEX('Shopify Import'!$A:$CZ,941,Settings!$E$23)&amp;"","$",""),",","")),0))</f>
        <v/>
      </c>
      <c r="E941" s="11">
        <f>IF(A941="","",IFERROR(VALUE(SUBSTITUTE(SUBSTITUTE(INDEX('Shopify Import'!$A:$CZ,941,Settings!$E$24)&amp;"","$",""),",","")),0))</f>
        <v/>
      </c>
      <c r="F941" s="11">
        <f>IF(A941="","",D941*E941)</f>
        <v/>
      </c>
      <c r="G941">
        <f>IF(A941="","",IF(C941="",1,COUNTIF($C$2:$C$1501,C941)))</f>
        <v/>
      </c>
      <c r="H941" s="11">
        <f>IF(A941="","",IFERROR(VALUE(SUBSTITUTE(SUBSTITUTE(INDEX('Shopify Import'!$A:$CZ,941,Settings!$E$25)&amp;"","$",""),",","")),0)/IF(Settings!$D$27="Yes",G941,1))</f>
        <v/>
      </c>
      <c r="I941" s="11">
        <f>IF(A941="","",IFERROR(VALUE(SUBSTITUTE(SUBSTITUTE(INDEX('Shopify Import'!$A:$CZ,941,Settings!$E$26)&amp;"","$",""),",","")),0)/IF(Settings!$D$27="Yes",G941,1))</f>
        <v/>
      </c>
      <c r="J941" s="11">
        <f>IF(A941="","",F941+H941-I941)</f>
        <v/>
      </c>
      <c r="K941">
        <f>IF(A941="","",IFERROR(IF(B941="",NA(),MATCH(B941,Products!$B$5:$B$204,0)),IFERROR(MATCH(A941,Products!$A$5:$A$204,0),"")))</f>
        <v/>
      </c>
      <c r="L941">
        <f>IF(A941="","",IF(K941="","⚠ not in Products",INDEX(Products!$A$5:$A$204,K941)))</f>
        <v/>
      </c>
      <c r="M941" s="11">
        <f>IF(A941="","",J941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941+IFERROR(INDEX(Settings!$D$5:$D$9,MATCH("Shopify",Settings!$A$5:$A$9,0)),0)*D941)</f>
        <v/>
      </c>
      <c r="N941" s="11">
        <f>IF(A941="","",IF(K941="",0,D941*INDEX(Products!$I$5:$I$204,K941)))</f>
        <v/>
      </c>
      <c r="O941" s="11">
        <f>IF(A941="","",IF(K941="",0,J941*INDEX(Products!$H$5:$H$204,K941)))</f>
        <v/>
      </c>
      <c r="P941" s="11">
        <f>IF(A941="","",J941-M941-N941-O941)</f>
        <v/>
      </c>
    </row>
    <row r="942">
      <c r="A942">
        <f>IFERROR(INDEX('Shopify Import'!$A:$CZ,942,Settings!$E$20)&amp;"","")</f>
        <v/>
      </c>
      <c r="B942">
        <f>IFERROR(INDEX('Shopify Import'!$A:$CZ,942,Settings!$E$21)&amp;"","")</f>
        <v/>
      </c>
      <c r="C942">
        <f>IFERROR(INDEX('Shopify Import'!$A:$CZ,942,Settings!$E$22)&amp;"","")</f>
        <v/>
      </c>
      <c r="D942">
        <f>IF(A942="","",IFERROR(VALUE(SUBSTITUTE(SUBSTITUTE(INDEX('Shopify Import'!$A:$CZ,942,Settings!$E$23)&amp;"","$",""),",","")),0))</f>
        <v/>
      </c>
      <c r="E942" s="11">
        <f>IF(A942="","",IFERROR(VALUE(SUBSTITUTE(SUBSTITUTE(INDEX('Shopify Import'!$A:$CZ,942,Settings!$E$24)&amp;"","$",""),",","")),0))</f>
        <v/>
      </c>
      <c r="F942" s="11">
        <f>IF(A942="","",D942*E942)</f>
        <v/>
      </c>
      <c r="G942">
        <f>IF(A942="","",IF(C942="",1,COUNTIF($C$2:$C$1501,C942)))</f>
        <v/>
      </c>
      <c r="H942" s="11">
        <f>IF(A942="","",IFERROR(VALUE(SUBSTITUTE(SUBSTITUTE(INDEX('Shopify Import'!$A:$CZ,942,Settings!$E$25)&amp;"","$",""),",","")),0)/IF(Settings!$D$27="Yes",G942,1))</f>
        <v/>
      </c>
      <c r="I942" s="11">
        <f>IF(A942="","",IFERROR(VALUE(SUBSTITUTE(SUBSTITUTE(INDEX('Shopify Import'!$A:$CZ,942,Settings!$E$26)&amp;"","$",""),",","")),0)/IF(Settings!$D$27="Yes",G942,1))</f>
        <v/>
      </c>
      <c r="J942" s="11">
        <f>IF(A942="","",F942+H942-I942)</f>
        <v/>
      </c>
      <c r="K942">
        <f>IF(A942="","",IFERROR(IF(B942="",NA(),MATCH(B942,Products!$B$5:$B$204,0)),IFERROR(MATCH(A942,Products!$A$5:$A$204,0),"")))</f>
        <v/>
      </c>
      <c r="L942">
        <f>IF(A942="","",IF(K942="","⚠ not in Products",INDEX(Products!$A$5:$A$204,K942)))</f>
        <v/>
      </c>
      <c r="M942" s="11">
        <f>IF(A942="","",J942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942+IFERROR(INDEX(Settings!$D$5:$D$9,MATCH("Shopify",Settings!$A$5:$A$9,0)),0)*D942)</f>
        <v/>
      </c>
      <c r="N942" s="11">
        <f>IF(A942="","",IF(K942="",0,D942*INDEX(Products!$I$5:$I$204,K942)))</f>
        <v/>
      </c>
      <c r="O942" s="11">
        <f>IF(A942="","",IF(K942="",0,J942*INDEX(Products!$H$5:$H$204,K942)))</f>
        <v/>
      </c>
      <c r="P942" s="11">
        <f>IF(A942="","",J942-M942-N942-O942)</f>
        <v/>
      </c>
    </row>
    <row r="943">
      <c r="A943">
        <f>IFERROR(INDEX('Shopify Import'!$A:$CZ,943,Settings!$E$20)&amp;"","")</f>
        <v/>
      </c>
      <c r="B943">
        <f>IFERROR(INDEX('Shopify Import'!$A:$CZ,943,Settings!$E$21)&amp;"","")</f>
        <v/>
      </c>
      <c r="C943">
        <f>IFERROR(INDEX('Shopify Import'!$A:$CZ,943,Settings!$E$22)&amp;"","")</f>
        <v/>
      </c>
      <c r="D943">
        <f>IF(A943="","",IFERROR(VALUE(SUBSTITUTE(SUBSTITUTE(INDEX('Shopify Import'!$A:$CZ,943,Settings!$E$23)&amp;"","$",""),",","")),0))</f>
        <v/>
      </c>
      <c r="E943" s="11">
        <f>IF(A943="","",IFERROR(VALUE(SUBSTITUTE(SUBSTITUTE(INDEX('Shopify Import'!$A:$CZ,943,Settings!$E$24)&amp;"","$",""),",","")),0))</f>
        <v/>
      </c>
      <c r="F943" s="11">
        <f>IF(A943="","",D943*E943)</f>
        <v/>
      </c>
      <c r="G943">
        <f>IF(A943="","",IF(C943="",1,COUNTIF($C$2:$C$1501,C943)))</f>
        <v/>
      </c>
      <c r="H943" s="11">
        <f>IF(A943="","",IFERROR(VALUE(SUBSTITUTE(SUBSTITUTE(INDEX('Shopify Import'!$A:$CZ,943,Settings!$E$25)&amp;"","$",""),",","")),0)/IF(Settings!$D$27="Yes",G943,1))</f>
        <v/>
      </c>
      <c r="I943" s="11">
        <f>IF(A943="","",IFERROR(VALUE(SUBSTITUTE(SUBSTITUTE(INDEX('Shopify Import'!$A:$CZ,943,Settings!$E$26)&amp;"","$",""),",","")),0)/IF(Settings!$D$27="Yes",G943,1))</f>
        <v/>
      </c>
      <c r="J943" s="11">
        <f>IF(A943="","",F943+H943-I943)</f>
        <v/>
      </c>
      <c r="K943">
        <f>IF(A943="","",IFERROR(IF(B943="",NA(),MATCH(B943,Products!$B$5:$B$204,0)),IFERROR(MATCH(A943,Products!$A$5:$A$204,0),"")))</f>
        <v/>
      </c>
      <c r="L943">
        <f>IF(A943="","",IF(K943="","⚠ not in Products",INDEX(Products!$A$5:$A$204,K943)))</f>
        <v/>
      </c>
      <c r="M943" s="11">
        <f>IF(A943="","",J943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943+IFERROR(INDEX(Settings!$D$5:$D$9,MATCH("Shopify",Settings!$A$5:$A$9,0)),0)*D943)</f>
        <v/>
      </c>
      <c r="N943" s="11">
        <f>IF(A943="","",IF(K943="",0,D943*INDEX(Products!$I$5:$I$204,K943)))</f>
        <v/>
      </c>
      <c r="O943" s="11">
        <f>IF(A943="","",IF(K943="",0,J943*INDEX(Products!$H$5:$H$204,K943)))</f>
        <v/>
      </c>
      <c r="P943" s="11">
        <f>IF(A943="","",J943-M943-N943-O943)</f>
        <v/>
      </c>
    </row>
    <row r="944">
      <c r="A944">
        <f>IFERROR(INDEX('Shopify Import'!$A:$CZ,944,Settings!$E$20)&amp;"","")</f>
        <v/>
      </c>
      <c r="B944">
        <f>IFERROR(INDEX('Shopify Import'!$A:$CZ,944,Settings!$E$21)&amp;"","")</f>
        <v/>
      </c>
      <c r="C944">
        <f>IFERROR(INDEX('Shopify Import'!$A:$CZ,944,Settings!$E$22)&amp;"","")</f>
        <v/>
      </c>
      <c r="D944">
        <f>IF(A944="","",IFERROR(VALUE(SUBSTITUTE(SUBSTITUTE(INDEX('Shopify Import'!$A:$CZ,944,Settings!$E$23)&amp;"","$",""),",","")),0))</f>
        <v/>
      </c>
      <c r="E944" s="11">
        <f>IF(A944="","",IFERROR(VALUE(SUBSTITUTE(SUBSTITUTE(INDEX('Shopify Import'!$A:$CZ,944,Settings!$E$24)&amp;"","$",""),",","")),0))</f>
        <v/>
      </c>
      <c r="F944" s="11">
        <f>IF(A944="","",D944*E944)</f>
        <v/>
      </c>
      <c r="G944">
        <f>IF(A944="","",IF(C944="",1,COUNTIF($C$2:$C$1501,C944)))</f>
        <v/>
      </c>
      <c r="H944" s="11">
        <f>IF(A944="","",IFERROR(VALUE(SUBSTITUTE(SUBSTITUTE(INDEX('Shopify Import'!$A:$CZ,944,Settings!$E$25)&amp;"","$",""),",","")),0)/IF(Settings!$D$27="Yes",G944,1))</f>
        <v/>
      </c>
      <c r="I944" s="11">
        <f>IF(A944="","",IFERROR(VALUE(SUBSTITUTE(SUBSTITUTE(INDEX('Shopify Import'!$A:$CZ,944,Settings!$E$26)&amp;"","$",""),",","")),0)/IF(Settings!$D$27="Yes",G944,1))</f>
        <v/>
      </c>
      <c r="J944" s="11">
        <f>IF(A944="","",F944+H944-I944)</f>
        <v/>
      </c>
      <c r="K944">
        <f>IF(A944="","",IFERROR(IF(B944="",NA(),MATCH(B944,Products!$B$5:$B$204,0)),IFERROR(MATCH(A944,Products!$A$5:$A$204,0),"")))</f>
        <v/>
      </c>
      <c r="L944">
        <f>IF(A944="","",IF(K944="","⚠ not in Products",INDEX(Products!$A$5:$A$204,K944)))</f>
        <v/>
      </c>
      <c r="M944" s="11">
        <f>IF(A944="","",J944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944+IFERROR(INDEX(Settings!$D$5:$D$9,MATCH("Shopify",Settings!$A$5:$A$9,0)),0)*D944)</f>
        <v/>
      </c>
      <c r="N944" s="11">
        <f>IF(A944="","",IF(K944="",0,D944*INDEX(Products!$I$5:$I$204,K944)))</f>
        <v/>
      </c>
      <c r="O944" s="11">
        <f>IF(A944="","",IF(K944="",0,J944*INDEX(Products!$H$5:$H$204,K944)))</f>
        <v/>
      </c>
      <c r="P944" s="11">
        <f>IF(A944="","",J944-M944-N944-O944)</f>
        <v/>
      </c>
    </row>
    <row r="945">
      <c r="A945">
        <f>IFERROR(INDEX('Shopify Import'!$A:$CZ,945,Settings!$E$20)&amp;"","")</f>
        <v/>
      </c>
      <c r="B945">
        <f>IFERROR(INDEX('Shopify Import'!$A:$CZ,945,Settings!$E$21)&amp;"","")</f>
        <v/>
      </c>
      <c r="C945">
        <f>IFERROR(INDEX('Shopify Import'!$A:$CZ,945,Settings!$E$22)&amp;"","")</f>
        <v/>
      </c>
      <c r="D945">
        <f>IF(A945="","",IFERROR(VALUE(SUBSTITUTE(SUBSTITUTE(INDEX('Shopify Import'!$A:$CZ,945,Settings!$E$23)&amp;"","$",""),",","")),0))</f>
        <v/>
      </c>
      <c r="E945" s="11">
        <f>IF(A945="","",IFERROR(VALUE(SUBSTITUTE(SUBSTITUTE(INDEX('Shopify Import'!$A:$CZ,945,Settings!$E$24)&amp;"","$",""),",","")),0))</f>
        <v/>
      </c>
      <c r="F945" s="11">
        <f>IF(A945="","",D945*E945)</f>
        <v/>
      </c>
      <c r="G945">
        <f>IF(A945="","",IF(C945="",1,COUNTIF($C$2:$C$1501,C945)))</f>
        <v/>
      </c>
      <c r="H945" s="11">
        <f>IF(A945="","",IFERROR(VALUE(SUBSTITUTE(SUBSTITUTE(INDEX('Shopify Import'!$A:$CZ,945,Settings!$E$25)&amp;"","$",""),",","")),0)/IF(Settings!$D$27="Yes",G945,1))</f>
        <v/>
      </c>
      <c r="I945" s="11">
        <f>IF(A945="","",IFERROR(VALUE(SUBSTITUTE(SUBSTITUTE(INDEX('Shopify Import'!$A:$CZ,945,Settings!$E$26)&amp;"","$",""),",","")),0)/IF(Settings!$D$27="Yes",G945,1))</f>
        <v/>
      </c>
      <c r="J945" s="11">
        <f>IF(A945="","",F945+H945-I945)</f>
        <v/>
      </c>
      <c r="K945">
        <f>IF(A945="","",IFERROR(IF(B945="",NA(),MATCH(B945,Products!$B$5:$B$204,0)),IFERROR(MATCH(A945,Products!$A$5:$A$204,0),"")))</f>
        <v/>
      </c>
      <c r="L945">
        <f>IF(A945="","",IF(K945="","⚠ not in Products",INDEX(Products!$A$5:$A$204,K945)))</f>
        <v/>
      </c>
      <c r="M945" s="11">
        <f>IF(A945="","",J945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945+IFERROR(INDEX(Settings!$D$5:$D$9,MATCH("Shopify",Settings!$A$5:$A$9,0)),0)*D945)</f>
        <v/>
      </c>
      <c r="N945" s="11">
        <f>IF(A945="","",IF(K945="",0,D945*INDEX(Products!$I$5:$I$204,K945)))</f>
        <v/>
      </c>
      <c r="O945" s="11">
        <f>IF(A945="","",IF(K945="",0,J945*INDEX(Products!$H$5:$H$204,K945)))</f>
        <v/>
      </c>
      <c r="P945" s="11">
        <f>IF(A945="","",J945-M945-N945-O945)</f>
        <v/>
      </c>
    </row>
    <row r="946">
      <c r="A946">
        <f>IFERROR(INDEX('Shopify Import'!$A:$CZ,946,Settings!$E$20)&amp;"","")</f>
        <v/>
      </c>
      <c r="B946">
        <f>IFERROR(INDEX('Shopify Import'!$A:$CZ,946,Settings!$E$21)&amp;"","")</f>
        <v/>
      </c>
      <c r="C946">
        <f>IFERROR(INDEX('Shopify Import'!$A:$CZ,946,Settings!$E$22)&amp;"","")</f>
        <v/>
      </c>
      <c r="D946">
        <f>IF(A946="","",IFERROR(VALUE(SUBSTITUTE(SUBSTITUTE(INDEX('Shopify Import'!$A:$CZ,946,Settings!$E$23)&amp;"","$",""),",","")),0))</f>
        <v/>
      </c>
      <c r="E946" s="11">
        <f>IF(A946="","",IFERROR(VALUE(SUBSTITUTE(SUBSTITUTE(INDEX('Shopify Import'!$A:$CZ,946,Settings!$E$24)&amp;"","$",""),",","")),0))</f>
        <v/>
      </c>
      <c r="F946" s="11">
        <f>IF(A946="","",D946*E946)</f>
        <v/>
      </c>
      <c r="G946">
        <f>IF(A946="","",IF(C946="",1,COUNTIF($C$2:$C$1501,C946)))</f>
        <v/>
      </c>
      <c r="H946" s="11">
        <f>IF(A946="","",IFERROR(VALUE(SUBSTITUTE(SUBSTITUTE(INDEX('Shopify Import'!$A:$CZ,946,Settings!$E$25)&amp;"","$",""),",","")),0)/IF(Settings!$D$27="Yes",G946,1))</f>
        <v/>
      </c>
      <c r="I946" s="11">
        <f>IF(A946="","",IFERROR(VALUE(SUBSTITUTE(SUBSTITUTE(INDEX('Shopify Import'!$A:$CZ,946,Settings!$E$26)&amp;"","$",""),",","")),0)/IF(Settings!$D$27="Yes",G946,1))</f>
        <v/>
      </c>
      <c r="J946" s="11">
        <f>IF(A946="","",F946+H946-I946)</f>
        <v/>
      </c>
      <c r="K946">
        <f>IF(A946="","",IFERROR(IF(B946="",NA(),MATCH(B946,Products!$B$5:$B$204,0)),IFERROR(MATCH(A946,Products!$A$5:$A$204,0),"")))</f>
        <v/>
      </c>
      <c r="L946">
        <f>IF(A946="","",IF(K946="","⚠ not in Products",INDEX(Products!$A$5:$A$204,K946)))</f>
        <v/>
      </c>
      <c r="M946" s="11">
        <f>IF(A946="","",J946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946+IFERROR(INDEX(Settings!$D$5:$D$9,MATCH("Shopify",Settings!$A$5:$A$9,0)),0)*D946)</f>
        <v/>
      </c>
      <c r="N946" s="11">
        <f>IF(A946="","",IF(K946="",0,D946*INDEX(Products!$I$5:$I$204,K946)))</f>
        <v/>
      </c>
      <c r="O946" s="11">
        <f>IF(A946="","",IF(K946="",0,J946*INDEX(Products!$H$5:$H$204,K946)))</f>
        <v/>
      </c>
      <c r="P946" s="11">
        <f>IF(A946="","",J946-M946-N946-O946)</f>
        <v/>
      </c>
    </row>
    <row r="947">
      <c r="A947">
        <f>IFERROR(INDEX('Shopify Import'!$A:$CZ,947,Settings!$E$20)&amp;"","")</f>
        <v/>
      </c>
      <c r="B947">
        <f>IFERROR(INDEX('Shopify Import'!$A:$CZ,947,Settings!$E$21)&amp;"","")</f>
        <v/>
      </c>
      <c r="C947">
        <f>IFERROR(INDEX('Shopify Import'!$A:$CZ,947,Settings!$E$22)&amp;"","")</f>
        <v/>
      </c>
      <c r="D947">
        <f>IF(A947="","",IFERROR(VALUE(SUBSTITUTE(SUBSTITUTE(INDEX('Shopify Import'!$A:$CZ,947,Settings!$E$23)&amp;"","$",""),",","")),0))</f>
        <v/>
      </c>
      <c r="E947" s="11">
        <f>IF(A947="","",IFERROR(VALUE(SUBSTITUTE(SUBSTITUTE(INDEX('Shopify Import'!$A:$CZ,947,Settings!$E$24)&amp;"","$",""),",","")),0))</f>
        <v/>
      </c>
      <c r="F947" s="11">
        <f>IF(A947="","",D947*E947)</f>
        <v/>
      </c>
      <c r="G947">
        <f>IF(A947="","",IF(C947="",1,COUNTIF($C$2:$C$1501,C947)))</f>
        <v/>
      </c>
      <c r="H947" s="11">
        <f>IF(A947="","",IFERROR(VALUE(SUBSTITUTE(SUBSTITUTE(INDEX('Shopify Import'!$A:$CZ,947,Settings!$E$25)&amp;"","$",""),",","")),0)/IF(Settings!$D$27="Yes",G947,1))</f>
        <v/>
      </c>
      <c r="I947" s="11">
        <f>IF(A947="","",IFERROR(VALUE(SUBSTITUTE(SUBSTITUTE(INDEX('Shopify Import'!$A:$CZ,947,Settings!$E$26)&amp;"","$",""),",","")),0)/IF(Settings!$D$27="Yes",G947,1))</f>
        <v/>
      </c>
      <c r="J947" s="11">
        <f>IF(A947="","",F947+H947-I947)</f>
        <v/>
      </c>
      <c r="K947">
        <f>IF(A947="","",IFERROR(IF(B947="",NA(),MATCH(B947,Products!$B$5:$B$204,0)),IFERROR(MATCH(A947,Products!$A$5:$A$204,0),"")))</f>
        <v/>
      </c>
      <c r="L947">
        <f>IF(A947="","",IF(K947="","⚠ not in Products",INDEX(Products!$A$5:$A$204,K947)))</f>
        <v/>
      </c>
      <c r="M947" s="11">
        <f>IF(A947="","",J947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947+IFERROR(INDEX(Settings!$D$5:$D$9,MATCH("Shopify",Settings!$A$5:$A$9,0)),0)*D947)</f>
        <v/>
      </c>
      <c r="N947" s="11">
        <f>IF(A947="","",IF(K947="",0,D947*INDEX(Products!$I$5:$I$204,K947)))</f>
        <v/>
      </c>
      <c r="O947" s="11">
        <f>IF(A947="","",IF(K947="",0,J947*INDEX(Products!$H$5:$H$204,K947)))</f>
        <v/>
      </c>
      <c r="P947" s="11">
        <f>IF(A947="","",J947-M947-N947-O947)</f>
        <v/>
      </c>
    </row>
    <row r="948">
      <c r="A948">
        <f>IFERROR(INDEX('Shopify Import'!$A:$CZ,948,Settings!$E$20)&amp;"","")</f>
        <v/>
      </c>
      <c r="B948">
        <f>IFERROR(INDEX('Shopify Import'!$A:$CZ,948,Settings!$E$21)&amp;"","")</f>
        <v/>
      </c>
      <c r="C948">
        <f>IFERROR(INDEX('Shopify Import'!$A:$CZ,948,Settings!$E$22)&amp;"","")</f>
        <v/>
      </c>
      <c r="D948">
        <f>IF(A948="","",IFERROR(VALUE(SUBSTITUTE(SUBSTITUTE(INDEX('Shopify Import'!$A:$CZ,948,Settings!$E$23)&amp;"","$",""),",","")),0))</f>
        <v/>
      </c>
      <c r="E948" s="11">
        <f>IF(A948="","",IFERROR(VALUE(SUBSTITUTE(SUBSTITUTE(INDEX('Shopify Import'!$A:$CZ,948,Settings!$E$24)&amp;"","$",""),",","")),0))</f>
        <v/>
      </c>
      <c r="F948" s="11">
        <f>IF(A948="","",D948*E948)</f>
        <v/>
      </c>
      <c r="G948">
        <f>IF(A948="","",IF(C948="",1,COUNTIF($C$2:$C$1501,C948)))</f>
        <v/>
      </c>
      <c r="H948" s="11">
        <f>IF(A948="","",IFERROR(VALUE(SUBSTITUTE(SUBSTITUTE(INDEX('Shopify Import'!$A:$CZ,948,Settings!$E$25)&amp;"","$",""),",","")),0)/IF(Settings!$D$27="Yes",G948,1))</f>
        <v/>
      </c>
      <c r="I948" s="11">
        <f>IF(A948="","",IFERROR(VALUE(SUBSTITUTE(SUBSTITUTE(INDEX('Shopify Import'!$A:$CZ,948,Settings!$E$26)&amp;"","$",""),",","")),0)/IF(Settings!$D$27="Yes",G948,1))</f>
        <v/>
      </c>
      <c r="J948" s="11">
        <f>IF(A948="","",F948+H948-I948)</f>
        <v/>
      </c>
      <c r="K948">
        <f>IF(A948="","",IFERROR(IF(B948="",NA(),MATCH(B948,Products!$B$5:$B$204,0)),IFERROR(MATCH(A948,Products!$A$5:$A$204,0),"")))</f>
        <v/>
      </c>
      <c r="L948">
        <f>IF(A948="","",IF(K948="","⚠ not in Products",INDEX(Products!$A$5:$A$204,K948)))</f>
        <v/>
      </c>
      <c r="M948" s="11">
        <f>IF(A948="","",J948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948+IFERROR(INDEX(Settings!$D$5:$D$9,MATCH("Shopify",Settings!$A$5:$A$9,0)),0)*D948)</f>
        <v/>
      </c>
      <c r="N948" s="11">
        <f>IF(A948="","",IF(K948="",0,D948*INDEX(Products!$I$5:$I$204,K948)))</f>
        <v/>
      </c>
      <c r="O948" s="11">
        <f>IF(A948="","",IF(K948="",0,J948*INDEX(Products!$H$5:$H$204,K948)))</f>
        <v/>
      </c>
      <c r="P948" s="11">
        <f>IF(A948="","",J948-M948-N948-O948)</f>
        <v/>
      </c>
    </row>
    <row r="949">
      <c r="A949">
        <f>IFERROR(INDEX('Shopify Import'!$A:$CZ,949,Settings!$E$20)&amp;"","")</f>
        <v/>
      </c>
      <c r="B949">
        <f>IFERROR(INDEX('Shopify Import'!$A:$CZ,949,Settings!$E$21)&amp;"","")</f>
        <v/>
      </c>
      <c r="C949">
        <f>IFERROR(INDEX('Shopify Import'!$A:$CZ,949,Settings!$E$22)&amp;"","")</f>
        <v/>
      </c>
      <c r="D949">
        <f>IF(A949="","",IFERROR(VALUE(SUBSTITUTE(SUBSTITUTE(INDEX('Shopify Import'!$A:$CZ,949,Settings!$E$23)&amp;"","$",""),",","")),0))</f>
        <v/>
      </c>
      <c r="E949" s="11">
        <f>IF(A949="","",IFERROR(VALUE(SUBSTITUTE(SUBSTITUTE(INDEX('Shopify Import'!$A:$CZ,949,Settings!$E$24)&amp;"","$",""),",","")),0))</f>
        <v/>
      </c>
      <c r="F949" s="11">
        <f>IF(A949="","",D949*E949)</f>
        <v/>
      </c>
      <c r="G949">
        <f>IF(A949="","",IF(C949="",1,COUNTIF($C$2:$C$1501,C949)))</f>
        <v/>
      </c>
      <c r="H949" s="11">
        <f>IF(A949="","",IFERROR(VALUE(SUBSTITUTE(SUBSTITUTE(INDEX('Shopify Import'!$A:$CZ,949,Settings!$E$25)&amp;"","$",""),",","")),0)/IF(Settings!$D$27="Yes",G949,1))</f>
        <v/>
      </c>
      <c r="I949" s="11">
        <f>IF(A949="","",IFERROR(VALUE(SUBSTITUTE(SUBSTITUTE(INDEX('Shopify Import'!$A:$CZ,949,Settings!$E$26)&amp;"","$",""),",","")),0)/IF(Settings!$D$27="Yes",G949,1))</f>
        <v/>
      </c>
      <c r="J949" s="11">
        <f>IF(A949="","",F949+H949-I949)</f>
        <v/>
      </c>
      <c r="K949">
        <f>IF(A949="","",IFERROR(IF(B949="",NA(),MATCH(B949,Products!$B$5:$B$204,0)),IFERROR(MATCH(A949,Products!$A$5:$A$204,0),"")))</f>
        <v/>
      </c>
      <c r="L949">
        <f>IF(A949="","",IF(K949="","⚠ not in Products",INDEX(Products!$A$5:$A$204,K949)))</f>
        <v/>
      </c>
      <c r="M949" s="11">
        <f>IF(A949="","",J949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949+IFERROR(INDEX(Settings!$D$5:$D$9,MATCH("Shopify",Settings!$A$5:$A$9,0)),0)*D949)</f>
        <v/>
      </c>
      <c r="N949" s="11">
        <f>IF(A949="","",IF(K949="",0,D949*INDEX(Products!$I$5:$I$204,K949)))</f>
        <v/>
      </c>
      <c r="O949" s="11">
        <f>IF(A949="","",IF(K949="",0,J949*INDEX(Products!$H$5:$H$204,K949)))</f>
        <v/>
      </c>
      <c r="P949" s="11">
        <f>IF(A949="","",J949-M949-N949-O949)</f>
        <v/>
      </c>
    </row>
    <row r="950">
      <c r="A950">
        <f>IFERROR(INDEX('Shopify Import'!$A:$CZ,950,Settings!$E$20)&amp;"","")</f>
        <v/>
      </c>
      <c r="B950">
        <f>IFERROR(INDEX('Shopify Import'!$A:$CZ,950,Settings!$E$21)&amp;"","")</f>
        <v/>
      </c>
      <c r="C950">
        <f>IFERROR(INDEX('Shopify Import'!$A:$CZ,950,Settings!$E$22)&amp;"","")</f>
        <v/>
      </c>
      <c r="D950">
        <f>IF(A950="","",IFERROR(VALUE(SUBSTITUTE(SUBSTITUTE(INDEX('Shopify Import'!$A:$CZ,950,Settings!$E$23)&amp;"","$",""),",","")),0))</f>
        <v/>
      </c>
      <c r="E950" s="11">
        <f>IF(A950="","",IFERROR(VALUE(SUBSTITUTE(SUBSTITUTE(INDEX('Shopify Import'!$A:$CZ,950,Settings!$E$24)&amp;"","$",""),",","")),0))</f>
        <v/>
      </c>
      <c r="F950" s="11">
        <f>IF(A950="","",D950*E950)</f>
        <v/>
      </c>
      <c r="G950">
        <f>IF(A950="","",IF(C950="",1,COUNTIF($C$2:$C$1501,C950)))</f>
        <v/>
      </c>
      <c r="H950" s="11">
        <f>IF(A950="","",IFERROR(VALUE(SUBSTITUTE(SUBSTITUTE(INDEX('Shopify Import'!$A:$CZ,950,Settings!$E$25)&amp;"","$",""),",","")),0)/IF(Settings!$D$27="Yes",G950,1))</f>
        <v/>
      </c>
      <c r="I950" s="11">
        <f>IF(A950="","",IFERROR(VALUE(SUBSTITUTE(SUBSTITUTE(INDEX('Shopify Import'!$A:$CZ,950,Settings!$E$26)&amp;"","$",""),",","")),0)/IF(Settings!$D$27="Yes",G950,1))</f>
        <v/>
      </c>
      <c r="J950" s="11">
        <f>IF(A950="","",F950+H950-I950)</f>
        <v/>
      </c>
      <c r="K950">
        <f>IF(A950="","",IFERROR(IF(B950="",NA(),MATCH(B950,Products!$B$5:$B$204,0)),IFERROR(MATCH(A950,Products!$A$5:$A$204,0),"")))</f>
        <v/>
      </c>
      <c r="L950">
        <f>IF(A950="","",IF(K950="","⚠ not in Products",INDEX(Products!$A$5:$A$204,K950)))</f>
        <v/>
      </c>
      <c r="M950" s="11">
        <f>IF(A950="","",J950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950+IFERROR(INDEX(Settings!$D$5:$D$9,MATCH("Shopify",Settings!$A$5:$A$9,0)),0)*D950)</f>
        <v/>
      </c>
      <c r="N950" s="11">
        <f>IF(A950="","",IF(K950="",0,D950*INDEX(Products!$I$5:$I$204,K950)))</f>
        <v/>
      </c>
      <c r="O950" s="11">
        <f>IF(A950="","",IF(K950="",0,J950*INDEX(Products!$H$5:$H$204,K950)))</f>
        <v/>
      </c>
      <c r="P950" s="11">
        <f>IF(A950="","",J950-M950-N950-O950)</f>
        <v/>
      </c>
    </row>
    <row r="951">
      <c r="A951">
        <f>IFERROR(INDEX('Shopify Import'!$A:$CZ,951,Settings!$E$20)&amp;"","")</f>
        <v/>
      </c>
      <c r="B951">
        <f>IFERROR(INDEX('Shopify Import'!$A:$CZ,951,Settings!$E$21)&amp;"","")</f>
        <v/>
      </c>
      <c r="C951">
        <f>IFERROR(INDEX('Shopify Import'!$A:$CZ,951,Settings!$E$22)&amp;"","")</f>
        <v/>
      </c>
      <c r="D951">
        <f>IF(A951="","",IFERROR(VALUE(SUBSTITUTE(SUBSTITUTE(INDEX('Shopify Import'!$A:$CZ,951,Settings!$E$23)&amp;"","$",""),",","")),0))</f>
        <v/>
      </c>
      <c r="E951" s="11">
        <f>IF(A951="","",IFERROR(VALUE(SUBSTITUTE(SUBSTITUTE(INDEX('Shopify Import'!$A:$CZ,951,Settings!$E$24)&amp;"","$",""),",","")),0))</f>
        <v/>
      </c>
      <c r="F951" s="11">
        <f>IF(A951="","",D951*E951)</f>
        <v/>
      </c>
      <c r="G951">
        <f>IF(A951="","",IF(C951="",1,COUNTIF($C$2:$C$1501,C951)))</f>
        <v/>
      </c>
      <c r="H951" s="11">
        <f>IF(A951="","",IFERROR(VALUE(SUBSTITUTE(SUBSTITUTE(INDEX('Shopify Import'!$A:$CZ,951,Settings!$E$25)&amp;"","$",""),",","")),0)/IF(Settings!$D$27="Yes",G951,1))</f>
        <v/>
      </c>
      <c r="I951" s="11">
        <f>IF(A951="","",IFERROR(VALUE(SUBSTITUTE(SUBSTITUTE(INDEX('Shopify Import'!$A:$CZ,951,Settings!$E$26)&amp;"","$",""),",","")),0)/IF(Settings!$D$27="Yes",G951,1))</f>
        <v/>
      </c>
      <c r="J951" s="11">
        <f>IF(A951="","",F951+H951-I951)</f>
        <v/>
      </c>
      <c r="K951">
        <f>IF(A951="","",IFERROR(IF(B951="",NA(),MATCH(B951,Products!$B$5:$B$204,0)),IFERROR(MATCH(A951,Products!$A$5:$A$204,0),"")))</f>
        <v/>
      </c>
      <c r="L951">
        <f>IF(A951="","",IF(K951="","⚠ not in Products",INDEX(Products!$A$5:$A$204,K951)))</f>
        <v/>
      </c>
      <c r="M951" s="11">
        <f>IF(A951="","",J951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951+IFERROR(INDEX(Settings!$D$5:$D$9,MATCH("Shopify",Settings!$A$5:$A$9,0)),0)*D951)</f>
        <v/>
      </c>
      <c r="N951" s="11">
        <f>IF(A951="","",IF(K951="",0,D951*INDEX(Products!$I$5:$I$204,K951)))</f>
        <v/>
      </c>
      <c r="O951" s="11">
        <f>IF(A951="","",IF(K951="",0,J951*INDEX(Products!$H$5:$H$204,K951)))</f>
        <v/>
      </c>
      <c r="P951" s="11">
        <f>IF(A951="","",J951-M951-N951-O951)</f>
        <v/>
      </c>
    </row>
    <row r="952">
      <c r="A952">
        <f>IFERROR(INDEX('Shopify Import'!$A:$CZ,952,Settings!$E$20)&amp;"","")</f>
        <v/>
      </c>
      <c r="B952">
        <f>IFERROR(INDEX('Shopify Import'!$A:$CZ,952,Settings!$E$21)&amp;"","")</f>
        <v/>
      </c>
      <c r="C952">
        <f>IFERROR(INDEX('Shopify Import'!$A:$CZ,952,Settings!$E$22)&amp;"","")</f>
        <v/>
      </c>
      <c r="D952">
        <f>IF(A952="","",IFERROR(VALUE(SUBSTITUTE(SUBSTITUTE(INDEX('Shopify Import'!$A:$CZ,952,Settings!$E$23)&amp;"","$",""),",","")),0))</f>
        <v/>
      </c>
      <c r="E952" s="11">
        <f>IF(A952="","",IFERROR(VALUE(SUBSTITUTE(SUBSTITUTE(INDEX('Shopify Import'!$A:$CZ,952,Settings!$E$24)&amp;"","$",""),",","")),0))</f>
        <v/>
      </c>
      <c r="F952" s="11">
        <f>IF(A952="","",D952*E952)</f>
        <v/>
      </c>
      <c r="G952">
        <f>IF(A952="","",IF(C952="",1,COUNTIF($C$2:$C$1501,C952)))</f>
        <v/>
      </c>
      <c r="H952" s="11">
        <f>IF(A952="","",IFERROR(VALUE(SUBSTITUTE(SUBSTITUTE(INDEX('Shopify Import'!$A:$CZ,952,Settings!$E$25)&amp;"","$",""),",","")),0)/IF(Settings!$D$27="Yes",G952,1))</f>
        <v/>
      </c>
      <c r="I952" s="11">
        <f>IF(A952="","",IFERROR(VALUE(SUBSTITUTE(SUBSTITUTE(INDEX('Shopify Import'!$A:$CZ,952,Settings!$E$26)&amp;"","$",""),",","")),0)/IF(Settings!$D$27="Yes",G952,1))</f>
        <v/>
      </c>
      <c r="J952" s="11">
        <f>IF(A952="","",F952+H952-I952)</f>
        <v/>
      </c>
      <c r="K952">
        <f>IF(A952="","",IFERROR(IF(B952="",NA(),MATCH(B952,Products!$B$5:$B$204,0)),IFERROR(MATCH(A952,Products!$A$5:$A$204,0),"")))</f>
        <v/>
      </c>
      <c r="L952">
        <f>IF(A952="","",IF(K952="","⚠ not in Products",INDEX(Products!$A$5:$A$204,K952)))</f>
        <v/>
      </c>
      <c r="M952" s="11">
        <f>IF(A952="","",J952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952+IFERROR(INDEX(Settings!$D$5:$D$9,MATCH("Shopify",Settings!$A$5:$A$9,0)),0)*D952)</f>
        <v/>
      </c>
      <c r="N952" s="11">
        <f>IF(A952="","",IF(K952="",0,D952*INDEX(Products!$I$5:$I$204,K952)))</f>
        <v/>
      </c>
      <c r="O952" s="11">
        <f>IF(A952="","",IF(K952="",0,J952*INDEX(Products!$H$5:$H$204,K952)))</f>
        <v/>
      </c>
      <c r="P952" s="11">
        <f>IF(A952="","",J952-M952-N952-O952)</f>
        <v/>
      </c>
    </row>
    <row r="953">
      <c r="A953">
        <f>IFERROR(INDEX('Shopify Import'!$A:$CZ,953,Settings!$E$20)&amp;"","")</f>
        <v/>
      </c>
      <c r="B953">
        <f>IFERROR(INDEX('Shopify Import'!$A:$CZ,953,Settings!$E$21)&amp;"","")</f>
        <v/>
      </c>
      <c r="C953">
        <f>IFERROR(INDEX('Shopify Import'!$A:$CZ,953,Settings!$E$22)&amp;"","")</f>
        <v/>
      </c>
      <c r="D953">
        <f>IF(A953="","",IFERROR(VALUE(SUBSTITUTE(SUBSTITUTE(INDEX('Shopify Import'!$A:$CZ,953,Settings!$E$23)&amp;"","$",""),",","")),0))</f>
        <v/>
      </c>
      <c r="E953" s="11">
        <f>IF(A953="","",IFERROR(VALUE(SUBSTITUTE(SUBSTITUTE(INDEX('Shopify Import'!$A:$CZ,953,Settings!$E$24)&amp;"","$",""),",","")),0))</f>
        <v/>
      </c>
      <c r="F953" s="11">
        <f>IF(A953="","",D953*E953)</f>
        <v/>
      </c>
      <c r="G953">
        <f>IF(A953="","",IF(C953="",1,COUNTIF($C$2:$C$1501,C953)))</f>
        <v/>
      </c>
      <c r="H953" s="11">
        <f>IF(A953="","",IFERROR(VALUE(SUBSTITUTE(SUBSTITUTE(INDEX('Shopify Import'!$A:$CZ,953,Settings!$E$25)&amp;"","$",""),",","")),0)/IF(Settings!$D$27="Yes",G953,1))</f>
        <v/>
      </c>
      <c r="I953" s="11">
        <f>IF(A953="","",IFERROR(VALUE(SUBSTITUTE(SUBSTITUTE(INDEX('Shopify Import'!$A:$CZ,953,Settings!$E$26)&amp;"","$",""),",","")),0)/IF(Settings!$D$27="Yes",G953,1))</f>
        <v/>
      </c>
      <c r="J953" s="11">
        <f>IF(A953="","",F953+H953-I953)</f>
        <v/>
      </c>
      <c r="K953">
        <f>IF(A953="","",IFERROR(IF(B953="",NA(),MATCH(B953,Products!$B$5:$B$204,0)),IFERROR(MATCH(A953,Products!$A$5:$A$204,0),"")))</f>
        <v/>
      </c>
      <c r="L953">
        <f>IF(A953="","",IF(K953="","⚠ not in Products",INDEX(Products!$A$5:$A$204,K953)))</f>
        <v/>
      </c>
      <c r="M953" s="11">
        <f>IF(A953="","",J953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953+IFERROR(INDEX(Settings!$D$5:$D$9,MATCH("Shopify",Settings!$A$5:$A$9,0)),0)*D953)</f>
        <v/>
      </c>
      <c r="N953" s="11">
        <f>IF(A953="","",IF(K953="",0,D953*INDEX(Products!$I$5:$I$204,K953)))</f>
        <v/>
      </c>
      <c r="O953" s="11">
        <f>IF(A953="","",IF(K953="",0,J953*INDEX(Products!$H$5:$H$204,K953)))</f>
        <v/>
      </c>
      <c r="P953" s="11">
        <f>IF(A953="","",J953-M953-N953-O953)</f>
        <v/>
      </c>
    </row>
    <row r="954">
      <c r="A954">
        <f>IFERROR(INDEX('Shopify Import'!$A:$CZ,954,Settings!$E$20)&amp;"","")</f>
        <v/>
      </c>
      <c r="B954">
        <f>IFERROR(INDEX('Shopify Import'!$A:$CZ,954,Settings!$E$21)&amp;"","")</f>
        <v/>
      </c>
      <c r="C954">
        <f>IFERROR(INDEX('Shopify Import'!$A:$CZ,954,Settings!$E$22)&amp;"","")</f>
        <v/>
      </c>
      <c r="D954">
        <f>IF(A954="","",IFERROR(VALUE(SUBSTITUTE(SUBSTITUTE(INDEX('Shopify Import'!$A:$CZ,954,Settings!$E$23)&amp;"","$",""),",","")),0))</f>
        <v/>
      </c>
      <c r="E954" s="11">
        <f>IF(A954="","",IFERROR(VALUE(SUBSTITUTE(SUBSTITUTE(INDEX('Shopify Import'!$A:$CZ,954,Settings!$E$24)&amp;"","$",""),",","")),0))</f>
        <v/>
      </c>
      <c r="F954" s="11">
        <f>IF(A954="","",D954*E954)</f>
        <v/>
      </c>
      <c r="G954">
        <f>IF(A954="","",IF(C954="",1,COUNTIF($C$2:$C$1501,C954)))</f>
        <v/>
      </c>
      <c r="H954" s="11">
        <f>IF(A954="","",IFERROR(VALUE(SUBSTITUTE(SUBSTITUTE(INDEX('Shopify Import'!$A:$CZ,954,Settings!$E$25)&amp;"","$",""),",","")),0)/IF(Settings!$D$27="Yes",G954,1))</f>
        <v/>
      </c>
      <c r="I954" s="11">
        <f>IF(A954="","",IFERROR(VALUE(SUBSTITUTE(SUBSTITUTE(INDEX('Shopify Import'!$A:$CZ,954,Settings!$E$26)&amp;"","$",""),",","")),0)/IF(Settings!$D$27="Yes",G954,1))</f>
        <v/>
      </c>
      <c r="J954" s="11">
        <f>IF(A954="","",F954+H954-I954)</f>
        <v/>
      </c>
      <c r="K954">
        <f>IF(A954="","",IFERROR(IF(B954="",NA(),MATCH(B954,Products!$B$5:$B$204,0)),IFERROR(MATCH(A954,Products!$A$5:$A$204,0),"")))</f>
        <v/>
      </c>
      <c r="L954">
        <f>IF(A954="","",IF(K954="","⚠ not in Products",INDEX(Products!$A$5:$A$204,K954)))</f>
        <v/>
      </c>
      <c r="M954" s="11">
        <f>IF(A954="","",J954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954+IFERROR(INDEX(Settings!$D$5:$D$9,MATCH("Shopify",Settings!$A$5:$A$9,0)),0)*D954)</f>
        <v/>
      </c>
      <c r="N954" s="11">
        <f>IF(A954="","",IF(K954="",0,D954*INDEX(Products!$I$5:$I$204,K954)))</f>
        <v/>
      </c>
      <c r="O954" s="11">
        <f>IF(A954="","",IF(K954="",0,J954*INDEX(Products!$H$5:$H$204,K954)))</f>
        <v/>
      </c>
      <c r="P954" s="11">
        <f>IF(A954="","",J954-M954-N954-O954)</f>
        <v/>
      </c>
    </row>
    <row r="955">
      <c r="A955">
        <f>IFERROR(INDEX('Shopify Import'!$A:$CZ,955,Settings!$E$20)&amp;"","")</f>
        <v/>
      </c>
      <c r="B955">
        <f>IFERROR(INDEX('Shopify Import'!$A:$CZ,955,Settings!$E$21)&amp;"","")</f>
        <v/>
      </c>
      <c r="C955">
        <f>IFERROR(INDEX('Shopify Import'!$A:$CZ,955,Settings!$E$22)&amp;"","")</f>
        <v/>
      </c>
      <c r="D955">
        <f>IF(A955="","",IFERROR(VALUE(SUBSTITUTE(SUBSTITUTE(INDEX('Shopify Import'!$A:$CZ,955,Settings!$E$23)&amp;"","$",""),",","")),0))</f>
        <v/>
      </c>
      <c r="E955" s="11">
        <f>IF(A955="","",IFERROR(VALUE(SUBSTITUTE(SUBSTITUTE(INDEX('Shopify Import'!$A:$CZ,955,Settings!$E$24)&amp;"","$",""),",","")),0))</f>
        <v/>
      </c>
      <c r="F955" s="11">
        <f>IF(A955="","",D955*E955)</f>
        <v/>
      </c>
      <c r="G955">
        <f>IF(A955="","",IF(C955="",1,COUNTIF($C$2:$C$1501,C955)))</f>
        <v/>
      </c>
      <c r="H955" s="11">
        <f>IF(A955="","",IFERROR(VALUE(SUBSTITUTE(SUBSTITUTE(INDEX('Shopify Import'!$A:$CZ,955,Settings!$E$25)&amp;"","$",""),",","")),0)/IF(Settings!$D$27="Yes",G955,1))</f>
        <v/>
      </c>
      <c r="I955" s="11">
        <f>IF(A955="","",IFERROR(VALUE(SUBSTITUTE(SUBSTITUTE(INDEX('Shopify Import'!$A:$CZ,955,Settings!$E$26)&amp;"","$",""),",","")),0)/IF(Settings!$D$27="Yes",G955,1))</f>
        <v/>
      </c>
      <c r="J955" s="11">
        <f>IF(A955="","",F955+H955-I955)</f>
        <v/>
      </c>
      <c r="K955">
        <f>IF(A955="","",IFERROR(IF(B955="",NA(),MATCH(B955,Products!$B$5:$B$204,0)),IFERROR(MATCH(A955,Products!$A$5:$A$204,0),"")))</f>
        <v/>
      </c>
      <c r="L955">
        <f>IF(A955="","",IF(K955="","⚠ not in Products",INDEX(Products!$A$5:$A$204,K955)))</f>
        <v/>
      </c>
      <c r="M955" s="11">
        <f>IF(A955="","",J955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955+IFERROR(INDEX(Settings!$D$5:$D$9,MATCH("Shopify",Settings!$A$5:$A$9,0)),0)*D955)</f>
        <v/>
      </c>
      <c r="N955" s="11">
        <f>IF(A955="","",IF(K955="",0,D955*INDEX(Products!$I$5:$I$204,K955)))</f>
        <v/>
      </c>
      <c r="O955" s="11">
        <f>IF(A955="","",IF(K955="",0,J955*INDEX(Products!$H$5:$H$204,K955)))</f>
        <v/>
      </c>
      <c r="P955" s="11">
        <f>IF(A955="","",J955-M955-N955-O955)</f>
        <v/>
      </c>
    </row>
    <row r="956">
      <c r="A956">
        <f>IFERROR(INDEX('Shopify Import'!$A:$CZ,956,Settings!$E$20)&amp;"","")</f>
        <v/>
      </c>
      <c r="B956">
        <f>IFERROR(INDEX('Shopify Import'!$A:$CZ,956,Settings!$E$21)&amp;"","")</f>
        <v/>
      </c>
      <c r="C956">
        <f>IFERROR(INDEX('Shopify Import'!$A:$CZ,956,Settings!$E$22)&amp;"","")</f>
        <v/>
      </c>
      <c r="D956">
        <f>IF(A956="","",IFERROR(VALUE(SUBSTITUTE(SUBSTITUTE(INDEX('Shopify Import'!$A:$CZ,956,Settings!$E$23)&amp;"","$",""),",","")),0))</f>
        <v/>
      </c>
      <c r="E956" s="11">
        <f>IF(A956="","",IFERROR(VALUE(SUBSTITUTE(SUBSTITUTE(INDEX('Shopify Import'!$A:$CZ,956,Settings!$E$24)&amp;"","$",""),",","")),0))</f>
        <v/>
      </c>
      <c r="F956" s="11">
        <f>IF(A956="","",D956*E956)</f>
        <v/>
      </c>
      <c r="G956">
        <f>IF(A956="","",IF(C956="",1,COUNTIF($C$2:$C$1501,C956)))</f>
        <v/>
      </c>
      <c r="H956" s="11">
        <f>IF(A956="","",IFERROR(VALUE(SUBSTITUTE(SUBSTITUTE(INDEX('Shopify Import'!$A:$CZ,956,Settings!$E$25)&amp;"","$",""),",","")),0)/IF(Settings!$D$27="Yes",G956,1))</f>
        <v/>
      </c>
      <c r="I956" s="11">
        <f>IF(A956="","",IFERROR(VALUE(SUBSTITUTE(SUBSTITUTE(INDEX('Shopify Import'!$A:$CZ,956,Settings!$E$26)&amp;"","$",""),",","")),0)/IF(Settings!$D$27="Yes",G956,1))</f>
        <v/>
      </c>
      <c r="J956" s="11">
        <f>IF(A956="","",F956+H956-I956)</f>
        <v/>
      </c>
      <c r="K956">
        <f>IF(A956="","",IFERROR(IF(B956="",NA(),MATCH(B956,Products!$B$5:$B$204,0)),IFERROR(MATCH(A956,Products!$A$5:$A$204,0),"")))</f>
        <v/>
      </c>
      <c r="L956">
        <f>IF(A956="","",IF(K956="","⚠ not in Products",INDEX(Products!$A$5:$A$204,K956)))</f>
        <v/>
      </c>
      <c r="M956" s="11">
        <f>IF(A956="","",J956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956+IFERROR(INDEX(Settings!$D$5:$D$9,MATCH("Shopify",Settings!$A$5:$A$9,0)),0)*D956)</f>
        <v/>
      </c>
      <c r="N956" s="11">
        <f>IF(A956="","",IF(K956="",0,D956*INDEX(Products!$I$5:$I$204,K956)))</f>
        <v/>
      </c>
      <c r="O956" s="11">
        <f>IF(A956="","",IF(K956="",0,J956*INDEX(Products!$H$5:$H$204,K956)))</f>
        <v/>
      </c>
      <c r="P956" s="11">
        <f>IF(A956="","",J956-M956-N956-O956)</f>
        <v/>
      </c>
    </row>
    <row r="957">
      <c r="A957">
        <f>IFERROR(INDEX('Shopify Import'!$A:$CZ,957,Settings!$E$20)&amp;"","")</f>
        <v/>
      </c>
      <c r="B957">
        <f>IFERROR(INDEX('Shopify Import'!$A:$CZ,957,Settings!$E$21)&amp;"","")</f>
        <v/>
      </c>
      <c r="C957">
        <f>IFERROR(INDEX('Shopify Import'!$A:$CZ,957,Settings!$E$22)&amp;"","")</f>
        <v/>
      </c>
      <c r="D957">
        <f>IF(A957="","",IFERROR(VALUE(SUBSTITUTE(SUBSTITUTE(INDEX('Shopify Import'!$A:$CZ,957,Settings!$E$23)&amp;"","$",""),",","")),0))</f>
        <v/>
      </c>
      <c r="E957" s="11">
        <f>IF(A957="","",IFERROR(VALUE(SUBSTITUTE(SUBSTITUTE(INDEX('Shopify Import'!$A:$CZ,957,Settings!$E$24)&amp;"","$",""),",","")),0))</f>
        <v/>
      </c>
      <c r="F957" s="11">
        <f>IF(A957="","",D957*E957)</f>
        <v/>
      </c>
      <c r="G957">
        <f>IF(A957="","",IF(C957="",1,COUNTIF($C$2:$C$1501,C957)))</f>
        <v/>
      </c>
      <c r="H957" s="11">
        <f>IF(A957="","",IFERROR(VALUE(SUBSTITUTE(SUBSTITUTE(INDEX('Shopify Import'!$A:$CZ,957,Settings!$E$25)&amp;"","$",""),",","")),0)/IF(Settings!$D$27="Yes",G957,1))</f>
        <v/>
      </c>
      <c r="I957" s="11">
        <f>IF(A957="","",IFERROR(VALUE(SUBSTITUTE(SUBSTITUTE(INDEX('Shopify Import'!$A:$CZ,957,Settings!$E$26)&amp;"","$",""),",","")),0)/IF(Settings!$D$27="Yes",G957,1))</f>
        <v/>
      </c>
      <c r="J957" s="11">
        <f>IF(A957="","",F957+H957-I957)</f>
        <v/>
      </c>
      <c r="K957">
        <f>IF(A957="","",IFERROR(IF(B957="",NA(),MATCH(B957,Products!$B$5:$B$204,0)),IFERROR(MATCH(A957,Products!$A$5:$A$204,0),"")))</f>
        <v/>
      </c>
      <c r="L957">
        <f>IF(A957="","",IF(K957="","⚠ not in Products",INDEX(Products!$A$5:$A$204,K957)))</f>
        <v/>
      </c>
      <c r="M957" s="11">
        <f>IF(A957="","",J957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957+IFERROR(INDEX(Settings!$D$5:$D$9,MATCH("Shopify",Settings!$A$5:$A$9,0)),0)*D957)</f>
        <v/>
      </c>
      <c r="N957" s="11">
        <f>IF(A957="","",IF(K957="",0,D957*INDEX(Products!$I$5:$I$204,K957)))</f>
        <v/>
      </c>
      <c r="O957" s="11">
        <f>IF(A957="","",IF(K957="",0,J957*INDEX(Products!$H$5:$H$204,K957)))</f>
        <v/>
      </c>
      <c r="P957" s="11">
        <f>IF(A957="","",J957-M957-N957-O957)</f>
        <v/>
      </c>
    </row>
    <row r="958">
      <c r="A958">
        <f>IFERROR(INDEX('Shopify Import'!$A:$CZ,958,Settings!$E$20)&amp;"","")</f>
        <v/>
      </c>
      <c r="B958">
        <f>IFERROR(INDEX('Shopify Import'!$A:$CZ,958,Settings!$E$21)&amp;"","")</f>
        <v/>
      </c>
      <c r="C958">
        <f>IFERROR(INDEX('Shopify Import'!$A:$CZ,958,Settings!$E$22)&amp;"","")</f>
        <v/>
      </c>
      <c r="D958">
        <f>IF(A958="","",IFERROR(VALUE(SUBSTITUTE(SUBSTITUTE(INDEX('Shopify Import'!$A:$CZ,958,Settings!$E$23)&amp;"","$",""),",","")),0))</f>
        <v/>
      </c>
      <c r="E958" s="11">
        <f>IF(A958="","",IFERROR(VALUE(SUBSTITUTE(SUBSTITUTE(INDEX('Shopify Import'!$A:$CZ,958,Settings!$E$24)&amp;"","$",""),",","")),0))</f>
        <v/>
      </c>
      <c r="F958" s="11">
        <f>IF(A958="","",D958*E958)</f>
        <v/>
      </c>
      <c r="G958">
        <f>IF(A958="","",IF(C958="",1,COUNTIF($C$2:$C$1501,C958)))</f>
        <v/>
      </c>
      <c r="H958" s="11">
        <f>IF(A958="","",IFERROR(VALUE(SUBSTITUTE(SUBSTITUTE(INDEX('Shopify Import'!$A:$CZ,958,Settings!$E$25)&amp;"","$",""),",","")),0)/IF(Settings!$D$27="Yes",G958,1))</f>
        <v/>
      </c>
      <c r="I958" s="11">
        <f>IF(A958="","",IFERROR(VALUE(SUBSTITUTE(SUBSTITUTE(INDEX('Shopify Import'!$A:$CZ,958,Settings!$E$26)&amp;"","$",""),",","")),0)/IF(Settings!$D$27="Yes",G958,1))</f>
        <v/>
      </c>
      <c r="J958" s="11">
        <f>IF(A958="","",F958+H958-I958)</f>
        <v/>
      </c>
      <c r="K958">
        <f>IF(A958="","",IFERROR(IF(B958="",NA(),MATCH(B958,Products!$B$5:$B$204,0)),IFERROR(MATCH(A958,Products!$A$5:$A$204,0),"")))</f>
        <v/>
      </c>
      <c r="L958">
        <f>IF(A958="","",IF(K958="","⚠ not in Products",INDEX(Products!$A$5:$A$204,K958)))</f>
        <v/>
      </c>
      <c r="M958" s="11">
        <f>IF(A958="","",J958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958+IFERROR(INDEX(Settings!$D$5:$D$9,MATCH("Shopify",Settings!$A$5:$A$9,0)),0)*D958)</f>
        <v/>
      </c>
      <c r="N958" s="11">
        <f>IF(A958="","",IF(K958="",0,D958*INDEX(Products!$I$5:$I$204,K958)))</f>
        <v/>
      </c>
      <c r="O958" s="11">
        <f>IF(A958="","",IF(K958="",0,J958*INDEX(Products!$H$5:$H$204,K958)))</f>
        <v/>
      </c>
      <c r="P958" s="11">
        <f>IF(A958="","",J958-M958-N958-O958)</f>
        <v/>
      </c>
    </row>
    <row r="959">
      <c r="A959">
        <f>IFERROR(INDEX('Shopify Import'!$A:$CZ,959,Settings!$E$20)&amp;"","")</f>
        <v/>
      </c>
      <c r="B959">
        <f>IFERROR(INDEX('Shopify Import'!$A:$CZ,959,Settings!$E$21)&amp;"","")</f>
        <v/>
      </c>
      <c r="C959">
        <f>IFERROR(INDEX('Shopify Import'!$A:$CZ,959,Settings!$E$22)&amp;"","")</f>
        <v/>
      </c>
      <c r="D959">
        <f>IF(A959="","",IFERROR(VALUE(SUBSTITUTE(SUBSTITUTE(INDEX('Shopify Import'!$A:$CZ,959,Settings!$E$23)&amp;"","$",""),",","")),0))</f>
        <v/>
      </c>
      <c r="E959" s="11">
        <f>IF(A959="","",IFERROR(VALUE(SUBSTITUTE(SUBSTITUTE(INDEX('Shopify Import'!$A:$CZ,959,Settings!$E$24)&amp;"","$",""),",","")),0))</f>
        <v/>
      </c>
      <c r="F959" s="11">
        <f>IF(A959="","",D959*E959)</f>
        <v/>
      </c>
      <c r="G959">
        <f>IF(A959="","",IF(C959="",1,COUNTIF($C$2:$C$1501,C959)))</f>
        <v/>
      </c>
      <c r="H959" s="11">
        <f>IF(A959="","",IFERROR(VALUE(SUBSTITUTE(SUBSTITUTE(INDEX('Shopify Import'!$A:$CZ,959,Settings!$E$25)&amp;"","$",""),",","")),0)/IF(Settings!$D$27="Yes",G959,1))</f>
        <v/>
      </c>
      <c r="I959" s="11">
        <f>IF(A959="","",IFERROR(VALUE(SUBSTITUTE(SUBSTITUTE(INDEX('Shopify Import'!$A:$CZ,959,Settings!$E$26)&amp;"","$",""),",","")),0)/IF(Settings!$D$27="Yes",G959,1))</f>
        <v/>
      </c>
      <c r="J959" s="11">
        <f>IF(A959="","",F959+H959-I959)</f>
        <v/>
      </c>
      <c r="K959">
        <f>IF(A959="","",IFERROR(IF(B959="",NA(),MATCH(B959,Products!$B$5:$B$204,0)),IFERROR(MATCH(A959,Products!$A$5:$A$204,0),"")))</f>
        <v/>
      </c>
      <c r="L959">
        <f>IF(A959="","",IF(K959="","⚠ not in Products",INDEX(Products!$A$5:$A$204,K959)))</f>
        <v/>
      </c>
      <c r="M959" s="11">
        <f>IF(A959="","",J959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959+IFERROR(INDEX(Settings!$D$5:$D$9,MATCH("Shopify",Settings!$A$5:$A$9,0)),0)*D959)</f>
        <v/>
      </c>
      <c r="N959" s="11">
        <f>IF(A959="","",IF(K959="",0,D959*INDEX(Products!$I$5:$I$204,K959)))</f>
        <v/>
      </c>
      <c r="O959" s="11">
        <f>IF(A959="","",IF(K959="",0,J959*INDEX(Products!$H$5:$H$204,K959)))</f>
        <v/>
      </c>
      <c r="P959" s="11">
        <f>IF(A959="","",J959-M959-N959-O959)</f>
        <v/>
      </c>
    </row>
    <row r="960">
      <c r="A960">
        <f>IFERROR(INDEX('Shopify Import'!$A:$CZ,960,Settings!$E$20)&amp;"","")</f>
        <v/>
      </c>
      <c r="B960">
        <f>IFERROR(INDEX('Shopify Import'!$A:$CZ,960,Settings!$E$21)&amp;"","")</f>
        <v/>
      </c>
      <c r="C960">
        <f>IFERROR(INDEX('Shopify Import'!$A:$CZ,960,Settings!$E$22)&amp;"","")</f>
        <v/>
      </c>
      <c r="D960">
        <f>IF(A960="","",IFERROR(VALUE(SUBSTITUTE(SUBSTITUTE(INDEX('Shopify Import'!$A:$CZ,960,Settings!$E$23)&amp;"","$",""),",","")),0))</f>
        <v/>
      </c>
      <c r="E960" s="11">
        <f>IF(A960="","",IFERROR(VALUE(SUBSTITUTE(SUBSTITUTE(INDEX('Shopify Import'!$A:$CZ,960,Settings!$E$24)&amp;"","$",""),",","")),0))</f>
        <v/>
      </c>
      <c r="F960" s="11">
        <f>IF(A960="","",D960*E960)</f>
        <v/>
      </c>
      <c r="G960">
        <f>IF(A960="","",IF(C960="",1,COUNTIF($C$2:$C$1501,C960)))</f>
        <v/>
      </c>
      <c r="H960" s="11">
        <f>IF(A960="","",IFERROR(VALUE(SUBSTITUTE(SUBSTITUTE(INDEX('Shopify Import'!$A:$CZ,960,Settings!$E$25)&amp;"","$",""),",","")),0)/IF(Settings!$D$27="Yes",G960,1))</f>
        <v/>
      </c>
      <c r="I960" s="11">
        <f>IF(A960="","",IFERROR(VALUE(SUBSTITUTE(SUBSTITUTE(INDEX('Shopify Import'!$A:$CZ,960,Settings!$E$26)&amp;"","$",""),",","")),0)/IF(Settings!$D$27="Yes",G960,1))</f>
        <v/>
      </c>
      <c r="J960" s="11">
        <f>IF(A960="","",F960+H960-I960)</f>
        <v/>
      </c>
      <c r="K960">
        <f>IF(A960="","",IFERROR(IF(B960="",NA(),MATCH(B960,Products!$B$5:$B$204,0)),IFERROR(MATCH(A960,Products!$A$5:$A$204,0),"")))</f>
        <v/>
      </c>
      <c r="L960">
        <f>IF(A960="","",IF(K960="","⚠ not in Products",INDEX(Products!$A$5:$A$204,K960)))</f>
        <v/>
      </c>
      <c r="M960" s="11">
        <f>IF(A960="","",J960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960+IFERROR(INDEX(Settings!$D$5:$D$9,MATCH("Shopify",Settings!$A$5:$A$9,0)),0)*D960)</f>
        <v/>
      </c>
      <c r="N960" s="11">
        <f>IF(A960="","",IF(K960="",0,D960*INDEX(Products!$I$5:$I$204,K960)))</f>
        <v/>
      </c>
      <c r="O960" s="11">
        <f>IF(A960="","",IF(K960="",0,J960*INDEX(Products!$H$5:$H$204,K960)))</f>
        <v/>
      </c>
      <c r="P960" s="11">
        <f>IF(A960="","",J960-M960-N960-O960)</f>
        <v/>
      </c>
    </row>
    <row r="961">
      <c r="A961">
        <f>IFERROR(INDEX('Shopify Import'!$A:$CZ,961,Settings!$E$20)&amp;"","")</f>
        <v/>
      </c>
      <c r="B961">
        <f>IFERROR(INDEX('Shopify Import'!$A:$CZ,961,Settings!$E$21)&amp;"","")</f>
        <v/>
      </c>
      <c r="C961">
        <f>IFERROR(INDEX('Shopify Import'!$A:$CZ,961,Settings!$E$22)&amp;"","")</f>
        <v/>
      </c>
      <c r="D961">
        <f>IF(A961="","",IFERROR(VALUE(SUBSTITUTE(SUBSTITUTE(INDEX('Shopify Import'!$A:$CZ,961,Settings!$E$23)&amp;"","$",""),",","")),0))</f>
        <v/>
      </c>
      <c r="E961" s="11">
        <f>IF(A961="","",IFERROR(VALUE(SUBSTITUTE(SUBSTITUTE(INDEX('Shopify Import'!$A:$CZ,961,Settings!$E$24)&amp;"","$",""),",","")),0))</f>
        <v/>
      </c>
      <c r="F961" s="11">
        <f>IF(A961="","",D961*E961)</f>
        <v/>
      </c>
      <c r="G961">
        <f>IF(A961="","",IF(C961="",1,COUNTIF($C$2:$C$1501,C961)))</f>
        <v/>
      </c>
      <c r="H961" s="11">
        <f>IF(A961="","",IFERROR(VALUE(SUBSTITUTE(SUBSTITUTE(INDEX('Shopify Import'!$A:$CZ,961,Settings!$E$25)&amp;"","$",""),",","")),0)/IF(Settings!$D$27="Yes",G961,1))</f>
        <v/>
      </c>
      <c r="I961" s="11">
        <f>IF(A961="","",IFERROR(VALUE(SUBSTITUTE(SUBSTITUTE(INDEX('Shopify Import'!$A:$CZ,961,Settings!$E$26)&amp;"","$",""),",","")),0)/IF(Settings!$D$27="Yes",G961,1))</f>
        <v/>
      </c>
      <c r="J961" s="11">
        <f>IF(A961="","",F961+H961-I961)</f>
        <v/>
      </c>
      <c r="K961">
        <f>IF(A961="","",IFERROR(IF(B961="",NA(),MATCH(B961,Products!$B$5:$B$204,0)),IFERROR(MATCH(A961,Products!$A$5:$A$204,0),"")))</f>
        <v/>
      </c>
      <c r="L961">
        <f>IF(A961="","",IF(K961="","⚠ not in Products",INDEX(Products!$A$5:$A$204,K961)))</f>
        <v/>
      </c>
      <c r="M961" s="11">
        <f>IF(A961="","",J961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961+IFERROR(INDEX(Settings!$D$5:$D$9,MATCH("Shopify",Settings!$A$5:$A$9,0)),0)*D961)</f>
        <v/>
      </c>
      <c r="N961" s="11">
        <f>IF(A961="","",IF(K961="",0,D961*INDEX(Products!$I$5:$I$204,K961)))</f>
        <v/>
      </c>
      <c r="O961" s="11">
        <f>IF(A961="","",IF(K961="",0,J961*INDEX(Products!$H$5:$H$204,K961)))</f>
        <v/>
      </c>
      <c r="P961" s="11">
        <f>IF(A961="","",J961-M961-N961-O961)</f>
        <v/>
      </c>
    </row>
    <row r="962">
      <c r="A962">
        <f>IFERROR(INDEX('Shopify Import'!$A:$CZ,962,Settings!$E$20)&amp;"","")</f>
        <v/>
      </c>
      <c r="B962">
        <f>IFERROR(INDEX('Shopify Import'!$A:$CZ,962,Settings!$E$21)&amp;"","")</f>
        <v/>
      </c>
      <c r="C962">
        <f>IFERROR(INDEX('Shopify Import'!$A:$CZ,962,Settings!$E$22)&amp;"","")</f>
        <v/>
      </c>
      <c r="D962">
        <f>IF(A962="","",IFERROR(VALUE(SUBSTITUTE(SUBSTITUTE(INDEX('Shopify Import'!$A:$CZ,962,Settings!$E$23)&amp;"","$",""),",","")),0))</f>
        <v/>
      </c>
      <c r="E962" s="11">
        <f>IF(A962="","",IFERROR(VALUE(SUBSTITUTE(SUBSTITUTE(INDEX('Shopify Import'!$A:$CZ,962,Settings!$E$24)&amp;"","$",""),",","")),0))</f>
        <v/>
      </c>
      <c r="F962" s="11">
        <f>IF(A962="","",D962*E962)</f>
        <v/>
      </c>
      <c r="G962">
        <f>IF(A962="","",IF(C962="",1,COUNTIF($C$2:$C$1501,C962)))</f>
        <v/>
      </c>
      <c r="H962" s="11">
        <f>IF(A962="","",IFERROR(VALUE(SUBSTITUTE(SUBSTITUTE(INDEX('Shopify Import'!$A:$CZ,962,Settings!$E$25)&amp;"","$",""),",","")),0)/IF(Settings!$D$27="Yes",G962,1))</f>
        <v/>
      </c>
      <c r="I962" s="11">
        <f>IF(A962="","",IFERROR(VALUE(SUBSTITUTE(SUBSTITUTE(INDEX('Shopify Import'!$A:$CZ,962,Settings!$E$26)&amp;"","$",""),",","")),0)/IF(Settings!$D$27="Yes",G962,1))</f>
        <v/>
      </c>
      <c r="J962" s="11">
        <f>IF(A962="","",F962+H962-I962)</f>
        <v/>
      </c>
      <c r="K962">
        <f>IF(A962="","",IFERROR(IF(B962="",NA(),MATCH(B962,Products!$B$5:$B$204,0)),IFERROR(MATCH(A962,Products!$A$5:$A$204,0),"")))</f>
        <v/>
      </c>
      <c r="L962">
        <f>IF(A962="","",IF(K962="","⚠ not in Products",INDEX(Products!$A$5:$A$204,K962)))</f>
        <v/>
      </c>
      <c r="M962" s="11">
        <f>IF(A962="","",J962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962+IFERROR(INDEX(Settings!$D$5:$D$9,MATCH("Shopify",Settings!$A$5:$A$9,0)),0)*D962)</f>
        <v/>
      </c>
      <c r="N962" s="11">
        <f>IF(A962="","",IF(K962="",0,D962*INDEX(Products!$I$5:$I$204,K962)))</f>
        <v/>
      </c>
      <c r="O962" s="11">
        <f>IF(A962="","",IF(K962="",0,J962*INDEX(Products!$H$5:$H$204,K962)))</f>
        <v/>
      </c>
      <c r="P962" s="11">
        <f>IF(A962="","",J962-M962-N962-O962)</f>
        <v/>
      </c>
    </row>
    <row r="963">
      <c r="A963">
        <f>IFERROR(INDEX('Shopify Import'!$A:$CZ,963,Settings!$E$20)&amp;"","")</f>
        <v/>
      </c>
      <c r="B963">
        <f>IFERROR(INDEX('Shopify Import'!$A:$CZ,963,Settings!$E$21)&amp;"","")</f>
        <v/>
      </c>
      <c r="C963">
        <f>IFERROR(INDEX('Shopify Import'!$A:$CZ,963,Settings!$E$22)&amp;"","")</f>
        <v/>
      </c>
      <c r="D963">
        <f>IF(A963="","",IFERROR(VALUE(SUBSTITUTE(SUBSTITUTE(INDEX('Shopify Import'!$A:$CZ,963,Settings!$E$23)&amp;"","$",""),",","")),0))</f>
        <v/>
      </c>
      <c r="E963" s="11">
        <f>IF(A963="","",IFERROR(VALUE(SUBSTITUTE(SUBSTITUTE(INDEX('Shopify Import'!$A:$CZ,963,Settings!$E$24)&amp;"","$",""),",","")),0))</f>
        <v/>
      </c>
      <c r="F963" s="11">
        <f>IF(A963="","",D963*E963)</f>
        <v/>
      </c>
      <c r="G963">
        <f>IF(A963="","",IF(C963="",1,COUNTIF($C$2:$C$1501,C963)))</f>
        <v/>
      </c>
      <c r="H963" s="11">
        <f>IF(A963="","",IFERROR(VALUE(SUBSTITUTE(SUBSTITUTE(INDEX('Shopify Import'!$A:$CZ,963,Settings!$E$25)&amp;"","$",""),",","")),0)/IF(Settings!$D$27="Yes",G963,1))</f>
        <v/>
      </c>
      <c r="I963" s="11">
        <f>IF(A963="","",IFERROR(VALUE(SUBSTITUTE(SUBSTITUTE(INDEX('Shopify Import'!$A:$CZ,963,Settings!$E$26)&amp;"","$",""),",","")),0)/IF(Settings!$D$27="Yes",G963,1))</f>
        <v/>
      </c>
      <c r="J963" s="11">
        <f>IF(A963="","",F963+H963-I963)</f>
        <v/>
      </c>
      <c r="K963">
        <f>IF(A963="","",IFERROR(IF(B963="",NA(),MATCH(B963,Products!$B$5:$B$204,0)),IFERROR(MATCH(A963,Products!$A$5:$A$204,0),"")))</f>
        <v/>
      </c>
      <c r="L963">
        <f>IF(A963="","",IF(K963="","⚠ not in Products",INDEX(Products!$A$5:$A$204,K963)))</f>
        <v/>
      </c>
      <c r="M963" s="11">
        <f>IF(A963="","",J963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963+IFERROR(INDEX(Settings!$D$5:$D$9,MATCH("Shopify",Settings!$A$5:$A$9,0)),0)*D963)</f>
        <v/>
      </c>
      <c r="N963" s="11">
        <f>IF(A963="","",IF(K963="",0,D963*INDEX(Products!$I$5:$I$204,K963)))</f>
        <v/>
      </c>
      <c r="O963" s="11">
        <f>IF(A963="","",IF(K963="",0,J963*INDEX(Products!$H$5:$H$204,K963)))</f>
        <v/>
      </c>
      <c r="P963" s="11">
        <f>IF(A963="","",J963-M963-N963-O963)</f>
        <v/>
      </c>
    </row>
    <row r="964">
      <c r="A964">
        <f>IFERROR(INDEX('Shopify Import'!$A:$CZ,964,Settings!$E$20)&amp;"","")</f>
        <v/>
      </c>
      <c r="B964">
        <f>IFERROR(INDEX('Shopify Import'!$A:$CZ,964,Settings!$E$21)&amp;"","")</f>
        <v/>
      </c>
      <c r="C964">
        <f>IFERROR(INDEX('Shopify Import'!$A:$CZ,964,Settings!$E$22)&amp;"","")</f>
        <v/>
      </c>
      <c r="D964">
        <f>IF(A964="","",IFERROR(VALUE(SUBSTITUTE(SUBSTITUTE(INDEX('Shopify Import'!$A:$CZ,964,Settings!$E$23)&amp;"","$",""),",","")),0))</f>
        <v/>
      </c>
      <c r="E964" s="11">
        <f>IF(A964="","",IFERROR(VALUE(SUBSTITUTE(SUBSTITUTE(INDEX('Shopify Import'!$A:$CZ,964,Settings!$E$24)&amp;"","$",""),",","")),0))</f>
        <v/>
      </c>
      <c r="F964" s="11">
        <f>IF(A964="","",D964*E964)</f>
        <v/>
      </c>
      <c r="G964">
        <f>IF(A964="","",IF(C964="",1,COUNTIF($C$2:$C$1501,C964)))</f>
        <v/>
      </c>
      <c r="H964" s="11">
        <f>IF(A964="","",IFERROR(VALUE(SUBSTITUTE(SUBSTITUTE(INDEX('Shopify Import'!$A:$CZ,964,Settings!$E$25)&amp;"","$",""),",","")),0)/IF(Settings!$D$27="Yes",G964,1))</f>
        <v/>
      </c>
      <c r="I964" s="11">
        <f>IF(A964="","",IFERROR(VALUE(SUBSTITUTE(SUBSTITUTE(INDEX('Shopify Import'!$A:$CZ,964,Settings!$E$26)&amp;"","$",""),",","")),0)/IF(Settings!$D$27="Yes",G964,1))</f>
        <v/>
      </c>
      <c r="J964" s="11">
        <f>IF(A964="","",F964+H964-I964)</f>
        <v/>
      </c>
      <c r="K964">
        <f>IF(A964="","",IFERROR(IF(B964="",NA(),MATCH(B964,Products!$B$5:$B$204,0)),IFERROR(MATCH(A964,Products!$A$5:$A$204,0),"")))</f>
        <v/>
      </c>
      <c r="L964">
        <f>IF(A964="","",IF(K964="","⚠ not in Products",INDEX(Products!$A$5:$A$204,K964)))</f>
        <v/>
      </c>
      <c r="M964" s="11">
        <f>IF(A964="","",J964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964+IFERROR(INDEX(Settings!$D$5:$D$9,MATCH("Shopify",Settings!$A$5:$A$9,0)),0)*D964)</f>
        <v/>
      </c>
      <c r="N964" s="11">
        <f>IF(A964="","",IF(K964="",0,D964*INDEX(Products!$I$5:$I$204,K964)))</f>
        <v/>
      </c>
      <c r="O964" s="11">
        <f>IF(A964="","",IF(K964="",0,J964*INDEX(Products!$H$5:$H$204,K964)))</f>
        <v/>
      </c>
      <c r="P964" s="11">
        <f>IF(A964="","",J964-M964-N964-O964)</f>
        <v/>
      </c>
    </row>
    <row r="965">
      <c r="A965">
        <f>IFERROR(INDEX('Shopify Import'!$A:$CZ,965,Settings!$E$20)&amp;"","")</f>
        <v/>
      </c>
      <c r="B965">
        <f>IFERROR(INDEX('Shopify Import'!$A:$CZ,965,Settings!$E$21)&amp;"","")</f>
        <v/>
      </c>
      <c r="C965">
        <f>IFERROR(INDEX('Shopify Import'!$A:$CZ,965,Settings!$E$22)&amp;"","")</f>
        <v/>
      </c>
      <c r="D965">
        <f>IF(A965="","",IFERROR(VALUE(SUBSTITUTE(SUBSTITUTE(INDEX('Shopify Import'!$A:$CZ,965,Settings!$E$23)&amp;"","$",""),",","")),0))</f>
        <v/>
      </c>
      <c r="E965" s="11">
        <f>IF(A965="","",IFERROR(VALUE(SUBSTITUTE(SUBSTITUTE(INDEX('Shopify Import'!$A:$CZ,965,Settings!$E$24)&amp;"","$",""),",","")),0))</f>
        <v/>
      </c>
      <c r="F965" s="11">
        <f>IF(A965="","",D965*E965)</f>
        <v/>
      </c>
      <c r="G965">
        <f>IF(A965="","",IF(C965="",1,COUNTIF($C$2:$C$1501,C965)))</f>
        <v/>
      </c>
      <c r="H965" s="11">
        <f>IF(A965="","",IFERROR(VALUE(SUBSTITUTE(SUBSTITUTE(INDEX('Shopify Import'!$A:$CZ,965,Settings!$E$25)&amp;"","$",""),",","")),0)/IF(Settings!$D$27="Yes",G965,1))</f>
        <v/>
      </c>
      <c r="I965" s="11">
        <f>IF(A965="","",IFERROR(VALUE(SUBSTITUTE(SUBSTITUTE(INDEX('Shopify Import'!$A:$CZ,965,Settings!$E$26)&amp;"","$",""),",","")),0)/IF(Settings!$D$27="Yes",G965,1))</f>
        <v/>
      </c>
      <c r="J965" s="11">
        <f>IF(A965="","",F965+H965-I965)</f>
        <v/>
      </c>
      <c r="K965">
        <f>IF(A965="","",IFERROR(IF(B965="",NA(),MATCH(B965,Products!$B$5:$B$204,0)),IFERROR(MATCH(A965,Products!$A$5:$A$204,0),"")))</f>
        <v/>
      </c>
      <c r="L965">
        <f>IF(A965="","",IF(K965="","⚠ not in Products",INDEX(Products!$A$5:$A$204,K965)))</f>
        <v/>
      </c>
      <c r="M965" s="11">
        <f>IF(A965="","",J965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965+IFERROR(INDEX(Settings!$D$5:$D$9,MATCH("Shopify",Settings!$A$5:$A$9,0)),0)*D965)</f>
        <v/>
      </c>
      <c r="N965" s="11">
        <f>IF(A965="","",IF(K965="",0,D965*INDEX(Products!$I$5:$I$204,K965)))</f>
        <v/>
      </c>
      <c r="O965" s="11">
        <f>IF(A965="","",IF(K965="",0,J965*INDEX(Products!$H$5:$H$204,K965)))</f>
        <v/>
      </c>
      <c r="P965" s="11">
        <f>IF(A965="","",J965-M965-N965-O965)</f>
        <v/>
      </c>
    </row>
    <row r="966">
      <c r="A966">
        <f>IFERROR(INDEX('Shopify Import'!$A:$CZ,966,Settings!$E$20)&amp;"","")</f>
        <v/>
      </c>
      <c r="B966">
        <f>IFERROR(INDEX('Shopify Import'!$A:$CZ,966,Settings!$E$21)&amp;"","")</f>
        <v/>
      </c>
      <c r="C966">
        <f>IFERROR(INDEX('Shopify Import'!$A:$CZ,966,Settings!$E$22)&amp;"","")</f>
        <v/>
      </c>
      <c r="D966">
        <f>IF(A966="","",IFERROR(VALUE(SUBSTITUTE(SUBSTITUTE(INDEX('Shopify Import'!$A:$CZ,966,Settings!$E$23)&amp;"","$",""),",","")),0))</f>
        <v/>
      </c>
      <c r="E966" s="11">
        <f>IF(A966="","",IFERROR(VALUE(SUBSTITUTE(SUBSTITUTE(INDEX('Shopify Import'!$A:$CZ,966,Settings!$E$24)&amp;"","$",""),",","")),0))</f>
        <v/>
      </c>
      <c r="F966" s="11">
        <f>IF(A966="","",D966*E966)</f>
        <v/>
      </c>
      <c r="G966">
        <f>IF(A966="","",IF(C966="",1,COUNTIF($C$2:$C$1501,C966)))</f>
        <v/>
      </c>
      <c r="H966" s="11">
        <f>IF(A966="","",IFERROR(VALUE(SUBSTITUTE(SUBSTITUTE(INDEX('Shopify Import'!$A:$CZ,966,Settings!$E$25)&amp;"","$",""),",","")),0)/IF(Settings!$D$27="Yes",G966,1))</f>
        <v/>
      </c>
      <c r="I966" s="11">
        <f>IF(A966="","",IFERROR(VALUE(SUBSTITUTE(SUBSTITUTE(INDEX('Shopify Import'!$A:$CZ,966,Settings!$E$26)&amp;"","$",""),",","")),0)/IF(Settings!$D$27="Yes",G966,1))</f>
        <v/>
      </c>
      <c r="J966" s="11">
        <f>IF(A966="","",F966+H966-I966)</f>
        <v/>
      </c>
      <c r="K966">
        <f>IF(A966="","",IFERROR(IF(B966="",NA(),MATCH(B966,Products!$B$5:$B$204,0)),IFERROR(MATCH(A966,Products!$A$5:$A$204,0),"")))</f>
        <v/>
      </c>
      <c r="L966">
        <f>IF(A966="","",IF(K966="","⚠ not in Products",INDEX(Products!$A$5:$A$204,K966)))</f>
        <v/>
      </c>
      <c r="M966" s="11">
        <f>IF(A966="","",J966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966+IFERROR(INDEX(Settings!$D$5:$D$9,MATCH("Shopify",Settings!$A$5:$A$9,0)),0)*D966)</f>
        <v/>
      </c>
      <c r="N966" s="11">
        <f>IF(A966="","",IF(K966="",0,D966*INDEX(Products!$I$5:$I$204,K966)))</f>
        <v/>
      </c>
      <c r="O966" s="11">
        <f>IF(A966="","",IF(K966="",0,J966*INDEX(Products!$H$5:$H$204,K966)))</f>
        <v/>
      </c>
      <c r="P966" s="11">
        <f>IF(A966="","",J966-M966-N966-O966)</f>
        <v/>
      </c>
    </row>
    <row r="967">
      <c r="A967">
        <f>IFERROR(INDEX('Shopify Import'!$A:$CZ,967,Settings!$E$20)&amp;"","")</f>
        <v/>
      </c>
      <c r="B967">
        <f>IFERROR(INDEX('Shopify Import'!$A:$CZ,967,Settings!$E$21)&amp;"","")</f>
        <v/>
      </c>
      <c r="C967">
        <f>IFERROR(INDEX('Shopify Import'!$A:$CZ,967,Settings!$E$22)&amp;"","")</f>
        <v/>
      </c>
      <c r="D967">
        <f>IF(A967="","",IFERROR(VALUE(SUBSTITUTE(SUBSTITUTE(INDEX('Shopify Import'!$A:$CZ,967,Settings!$E$23)&amp;"","$",""),",","")),0))</f>
        <v/>
      </c>
      <c r="E967" s="11">
        <f>IF(A967="","",IFERROR(VALUE(SUBSTITUTE(SUBSTITUTE(INDEX('Shopify Import'!$A:$CZ,967,Settings!$E$24)&amp;"","$",""),",","")),0))</f>
        <v/>
      </c>
      <c r="F967" s="11">
        <f>IF(A967="","",D967*E967)</f>
        <v/>
      </c>
      <c r="G967">
        <f>IF(A967="","",IF(C967="",1,COUNTIF($C$2:$C$1501,C967)))</f>
        <v/>
      </c>
      <c r="H967" s="11">
        <f>IF(A967="","",IFERROR(VALUE(SUBSTITUTE(SUBSTITUTE(INDEX('Shopify Import'!$A:$CZ,967,Settings!$E$25)&amp;"","$",""),",","")),0)/IF(Settings!$D$27="Yes",G967,1))</f>
        <v/>
      </c>
      <c r="I967" s="11">
        <f>IF(A967="","",IFERROR(VALUE(SUBSTITUTE(SUBSTITUTE(INDEX('Shopify Import'!$A:$CZ,967,Settings!$E$26)&amp;"","$",""),",","")),0)/IF(Settings!$D$27="Yes",G967,1))</f>
        <v/>
      </c>
      <c r="J967" s="11">
        <f>IF(A967="","",F967+H967-I967)</f>
        <v/>
      </c>
      <c r="K967">
        <f>IF(A967="","",IFERROR(IF(B967="",NA(),MATCH(B967,Products!$B$5:$B$204,0)),IFERROR(MATCH(A967,Products!$A$5:$A$204,0),"")))</f>
        <v/>
      </c>
      <c r="L967">
        <f>IF(A967="","",IF(K967="","⚠ not in Products",INDEX(Products!$A$5:$A$204,K967)))</f>
        <v/>
      </c>
      <c r="M967" s="11">
        <f>IF(A967="","",J967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967+IFERROR(INDEX(Settings!$D$5:$D$9,MATCH("Shopify",Settings!$A$5:$A$9,0)),0)*D967)</f>
        <v/>
      </c>
      <c r="N967" s="11">
        <f>IF(A967="","",IF(K967="",0,D967*INDEX(Products!$I$5:$I$204,K967)))</f>
        <v/>
      </c>
      <c r="O967" s="11">
        <f>IF(A967="","",IF(K967="",0,J967*INDEX(Products!$H$5:$H$204,K967)))</f>
        <v/>
      </c>
      <c r="P967" s="11">
        <f>IF(A967="","",J967-M967-N967-O967)</f>
        <v/>
      </c>
    </row>
    <row r="968">
      <c r="A968">
        <f>IFERROR(INDEX('Shopify Import'!$A:$CZ,968,Settings!$E$20)&amp;"","")</f>
        <v/>
      </c>
      <c r="B968">
        <f>IFERROR(INDEX('Shopify Import'!$A:$CZ,968,Settings!$E$21)&amp;"","")</f>
        <v/>
      </c>
      <c r="C968">
        <f>IFERROR(INDEX('Shopify Import'!$A:$CZ,968,Settings!$E$22)&amp;"","")</f>
        <v/>
      </c>
      <c r="D968">
        <f>IF(A968="","",IFERROR(VALUE(SUBSTITUTE(SUBSTITUTE(INDEX('Shopify Import'!$A:$CZ,968,Settings!$E$23)&amp;"","$",""),",","")),0))</f>
        <v/>
      </c>
      <c r="E968" s="11">
        <f>IF(A968="","",IFERROR(VALUE(SUBSTITUTE(SUBSTITUTE(INDEX('Shopify Import'!$A:$CZ,968,Settings!$E$24)&amp;"","$",""),",","")),0))</f>
        <v/>
      </c>
      <c r="F968" s="11">
        <f>IF(A968="","",D968*E968)</f>
        <v/>
      </c>
      <c r="G968">
        <f>IF(A968="","",IF(C968="",1,COUNTIF($C$2:$C$1501,C968)))</f>
        <v/>
      </c>
      <c r="H968" s="11">
        <f>IF(A968="","",IFERROR(VALUE(SUBSTITUTE(SUBSTITUTE(INDEX('Shopify Import'!$A:$CZ,968,Settings!$E$25)&amp;"","$",""),",","")),0)/IF(Settings!$D$27="Yes",G968,1))</f>
        <v/>
      </c>
      <c r="I968" s="11">
        <f>IF(A968="","",IFERROR(VALUE(SUBSTITUTE(SUBSTITUTE(INDEX('Shopify Import'!$A:$CZ,968,Settings!$E$26)&amp;"","$",""),",","")),0)/IF(Settings!$D$27="Yes",G968,1))</f>
        <v/>
      </c>
      <c r="J968" s="11">
        <f>IF(A968="","",F968+H968-I968)</f>
        <v/>
      </c>
      <c r="K968">
        <f>IF(A968="","",IFERROR(IF(B968="",NA(),MATCH(B968,Products!$B$5:$B$204,0)),IFERROR(MATCH(A968,Products!$A$5:$A$204,0),"")))</f>
        <v/>
      </c>
      <c r="L968">
        <f>IF(A968="","",IF(K968="","⚠ not in Products",INDEX(Products!$A$5:$A$204,K968)))</f>
        <v/>
      </c>
      <c r="M968" s="11">
        <f>IF(A968="","",J968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968+IFERROR(INDEX(Settings!$D$5:$D$9,MATCH("Shopify",Settings!$A$5:$A$9,0)),0)*D968)</f>
        <v/>
      </c>
      <c r="N968" s="11">
        <f>IF(A968="","",IF(K968="",0,D968*INDEX(Products!$I$5:$I$204,K968)))</f>
        <v/>
      </c>
      <c r="O968" s="11">
        <f>IF(A968="","",IF(K968="",0,J968*INDEX(Products!$H$5:$H$204,K968)))</f>
        <v/>
      </c>
      <c r="P968" s="11">
        <f>IF(A968="","",J968-M968-N968-O968)</f>
        <v/>
      </c>
    </row>
    <row r="969">
      <c r="A969">
        <f>IFERROR(INDEX('Shopify Import'!$A:$CZ,969,Settings!$E$20)&amp;"","")</f>
        <v/>
      </c>
      <c r="B969">
        <f>IFERROR(INDEX('Shopify Import'!$A:$CZ,969,Settings!$E$21)&amp;"","")</f>
        <v/>
      </c>
      <c r="C969">
        <f>IFERROR(INDEX('Shopify Import'!$A:$CZ,969,Settings!$E$22)&amp;"","")</f>
        <v/>
      </c>
      <c r="D969">
        <f>IF(A969="","",IFERROR(VALUE(SUBSTITUTE(SUBSTITUTE(INDEX('Shopify Import'!$A:$CZ,969,Settings!$E$23)&amp;"","$",""),",","")),0))</f>
        <v/>
      </c>
      <c r="E969" s="11">
        <f>IF(A969="","",IFERROR(VALUE(SUBSTITUTE(SUBSTITUTE(INDEX('Shopify Import'!$A:$CZ,969,Settings!$E$24)&amp;"","$",""),",","")),0))</f>
        <v/>
      </c>
      <c r="F969" s="11">
        <f>IF(A969="","",D969*E969)</f>
        <v/>
      </c>
      <c r="G969">
        <f>IF(A969="","",IF(C969="",1,COUNTIF($C$2:$C$1501,C969)))</f>
        <v/>
      </c>
      <c r="H969" s="11">
        <f>IF(A969="","",IFERROR(VALUE(SUBSTITUTE(SUBSTITUTE(INDEX('Shopify Import'!$A:$CZ,969,Settings!$E$25)&amp;"","$",""),",","")),0)/IF(Settings!$D$27="Yes",G969,1))</f>
        <v/>
      </c>
      <c r="I969" s="11">
        <f>IF(A969="","",IFERROR(VALUE(SUBSTITUTE(SUBSTITUTE(INDEX('Shopify Import'!$A:$CZ,969,Settings!$E$26)&amp;"","$",""),",","")),0)/IF(Settings!$D$27="Yes",G969,1))</f>
        <v/>
      </c>
      <c r="J969" s="11">
        <f>IF(A969="","",F969+H969-I969)</f>
        <v/>
      </c>
      <c r="K969">
        <f>IF(A969="","",IFERROR(IF(B969="",NA(),MATCH(B969,Products!$B$5:$B$204,0)),IFERROR(MATCH(A969,Products!$A$5:$A$204,0),"")))</f>
        <v/>
      </c>
      <c r="L969">
        <f>IF(A969="","",IF(K969="","⚠ not in Products",INDEX(Products!$A$5:$A$204,K969)))</f>
        <v/>
      </c>
      <c r="M969" s="11">
        <f>IF(A969="","",J969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969+IFERROR(INDEX(Settings!$D$5:$D$9,MATCH("Shopify",Settings!$A$5:$A$9,0)),0)*D969)</f>
        <v/>
      </c>
      <c r="N969" s="11">
        <f>IF(A969="","",IF(K969="",0,D969*INDEX(Products!$I$5:$I$204,K969)))</f>
        <v/>
      </c>
      <c r="O969" s="11">
        <f>IF(A969="","",IF(K969="",0,J969*INDEX(Products!$H$5:$H$204,K969)))</f>
        <v/>
      </c>
      <c r="P969" s="11">
        <f>IF(A969="","",J969-M969-N969-O969)</f>
        <v/>
      </c>
    </row>
    <row r="970">
      <c r="A970">
        <f>IFERROR(INDEX('Shopify Import'!$A:$CZ,970,Settings!$E$20)&amp;"","")</f>
        <v/>
      </c>
      <c r="B970">
        <f>IFERROR(INDEX('Shopify Import'!$A:$CZ,970,Settings!$E$21)&amp;"","")</f>
        <v/>
      </c>
      <c r="C970">
        <f>IFERROR(INDEX('Shopify Import'!$A:$CZ,970,Settings!$E$22)&amp;"","")</f>
        <v/>
      </c>
      <c r="D970">
        <f>IF(A970="","",IFERROR(VALUE(SUBSTITUTE(SUBSTITUTE(INDEX('Shopify Import'!$A:$CZ,970,Settings!$E$23)&amp;"","$",""),",","")),0))</f>
        <v/>
      </c>
      <c r="E970" s="11">
        <f>IF(A970="","",IFERROR(VALUE(SUBSTITUTE(SUBSTITUTE(INDEX('Shopify Import'!$A:$CZ,970,Settings!$E$24)&amp;"","$",""),",","")),0))</f>
        <v/>
      </c>
      <c r="F970" s="11">
        <f>IF(A970="","",D970*E970)</f>
        <v/>
      </c>
      <c r="G970">
        <f>IF(A970="","",IF(C970="",1,COUNTIF($C$2:$C$1501,C970)))</f>
        <v/>
      </c>
      <c r="H970" s="11">
        <f>IF(A970="","",IFERROR(VALUE(SUBSTITUTE(SUBSTITUTE(INDEX('Shopify Import'!$A:$CZ,970,Settings!$E$25)&amp;"","$",""),",","")),0)/IF(Settings!$D$27="Yes",G970,1))</f>
        <v/>
      </c>
      <c r="I970" s="11">
        <f>IF(A970="","",IFERROR(VALUE(SUBSTITUTE(SUBSTITUTE(INDEX('Shopify Import'!$A:$CZ,970,Settings!$E$26)&amp;"","$",""),",","")),0)/IF(Settings!$D$27="Yes",G970,1))</f>
        <v/>
      </c>
      <c r="J970" s="11">
        <f>IF(A970="","",F970+H970-I970)</f>
        <v/>
      </c>
      <c r="K970">
        <f>IF(A970="","",IFERROR(IF(B970="",NA(),MATCH(B970,Products!$B$5:$B$204,0)),IFERROR(MATCH(A970,Products!$A$5:$A$204,0),"")))</f>
        <v/>
      </c>
      <c r="L970">
        <f>IF(A970="","",IF(K970="","⚠ not in Products",INDEX(Products!$A$5:$A$204,K970)))</f>
        <v/>
      </c>
      <c r="M970" s="11">
        <f>IF(A970="","",J970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970+IFERROR(INDEX(Settings!$D$5:$D$9,MATCH("Shopify",Settings!$A$5:$A$9,0)),0)*D970)</f>
        <v/>
      </c>
      <c r="N970" s="11">
        <f>IF(A970="","",IF(K970="",0,D970*INDEX(Products!$I$5:$I$204,K970)))</f>
        <v/>
      </c>
      <c r="O970" s="11">
        <f>IF(A970="","",IF(K970="",0,J970*INDEX(Products!$H$5:$H$204,K970)))</f>
        <v/>
      </c>
      <c r="P970" s="11">
        <f>IF(A970="","",J970-M970-N970-O970)</f>
        <v/>
      </c>
    </row>
    <row r="971">
      <c r="A971">
        <f>IFERROR(INDEX('Shopify Import'!$A:$CZ,971,Settings!$E$20)&amp;"","")</f>
        <v/>
      </c>
      <c r="B971">
        <f>IFERROR(INDEX('Shopify Import'!$A:$CZ,971,Settings!$E$21)&amp;"","")</f>
        <v/>
      </c>
      <c r="C971">
        <f>IFERROR(INDEX('Shopify Import'!$A:$CZ,971,Settings!$E$22)&amp;"","")</f>
        <v/>
      </c>
      <c r="D971">
        <f>IF(A971="","",IFERROR(VALUE(SUBSTITUTE(SUBSTITUTE(INDEX('Shopify Import'!$A:$CZ,971,Settings!$E$23)&amp;"","$",""),",","")),0))</f>
        <v/>
      </c>
      <c r="E971" s="11">
        <f>IF(A971="","",IFERROR(VALUE(SUBSTITUTE(SUBSTITUTE(INDEX('Shopify Import'!$A:$CZ,971,Settings!$E$24)&amp;"","$",""),",","")),0))</f>
        <v/>
      </c>
      <c r="F971" s="11">
        <f>IF(A971="","",D971*E971)</f>
        <v/>
      </c>
      <c r="G971">
        <f>IF(A971="","",IF(C971="",1,COUNTIF($C$2:$C$1501,C971)))</f>
        <v/>
      </c>
      <c r="H971" s="11">
        <f>IF(A971="","",IFERROR(VALUE(SUBSTITUTE(SUBSTITUTE(INDEX('Shopify Import'!$A:$CZ,971,Settings!$E$25)&amp;"","$",""),",","")),0)/IF(Settings!$D$27="Yes",G971,1))</f>
        <v/>
      </c>
      <c r="I971" s="11">
        <f>IF(A971="","",IFERROR(VALUE(SUBSTITUTE(SUBSTITUTE(INDEX('Shopify Import'!$A:$CZ,971,Settings!$E$26)&amp;"","$",""),",","")),0)/IF(Settings!$D$27="Yes",G971,1))</f>
        <v/>
      </c>
      <c r="J971" s="11">
        <f>IF(A971="","",F971+H971-I971)</f>
        <v/>
      </c>
      <c r="K971">
        <f>IF(A971="","",IFERROR(IF(B971="",NA(),MATCH(B971,Products!$B$5:$B$204,0)),IFERROR(MATCH(A971,Products!$A$5:$A$204,0),"")))</f>
        <v/>
      </c>
      <c r="L971">
        <f>IF(A971="","",IF(K971="","⚠ not in Products",INDEX(Products!$A$5:$A$204,K971)))</f>
        <v/>
      </c>
      <c r="M971" s="11">
        <f>IF(A971="","",J971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971+IFERROR(INDEX(Settings!$D$5:$D$9,MATCH("Shopify",Settings!$A$5:$A$9,0)),0)*D971)</f>
        <v/>
      </c>
      <c r="N971" s="11">
        <f>IF(A971="","",IF(K971="",0,D971*INDEX(Products!$I$5:$I$204,K971)))</f>
        <v/>
      </c>
      <c r="O971" s="11">
        <f>IF(A971="","",IF(K971="",0,J971*INDEX(Products!$H$5:$H$204,K971)))</f>
        <v/>
      </c>
      <c r="P971" s="11">
        <f>IF(A971="","",J971-M971-N971-O971)</f>
        <v/>
      </c>
    </row>
    <row r="972">
      <c r="A972">
        <f>IFERROR(INDEX('Shopify Import'!$A:$CZ,972,Settings!$E$20)&amp;"","")</f>
        <v/>
      </c>
      <c r="B972">
        <f>IFERROR(INDEX('Shopify Import'!$A:$CZ,972,Settings!$E$21)&amp;"","")</f>
        <v/>
      </c>
      <c r="C972">
        <f>IFERROR(INDEX('Shopify Import'!$A:$CZ,972,Settings!$E$22)&amp;"","")</f>
        <v/>
      </c>
      <c r="D972">
        <f>IF(A972="","",IFERROR(VALUE(SUBSTITUTE(SUBSTITUTE(INDEX('Shopify Import'!$A:$CZ,972,Settings!$E$23)&amp;"","$",""),",","")),0))</f>
        <v/>
      </c>
      <c r="E972" s="11">
        <f>IF(A972="","",IFERROR(VALUE(SUBSTITUTE(SUBSTITUTE(INDEX('Shopify Import'!$A:$CZ,972,Settings!$E$24)&amp;"","$",""),",","")),0))</f>
        <v/>
      </c>
      <c r="F972" s="11">
        <f>IF(A972="","",D972*E972)</f>
        <v/>
      </c>
      <c r="G972">
        <f>IF(A972="","",IF(C972="",1,COUNTIF($C$2:$C$1501,C972)))</f>
        <v/>
      </c>
      <c r="H972" s="11">
        <f>IF(A972="","",IFERROR(VALUE(SUBSTITUTE(SUBSTITUTE(INDEX('Shopify Import'!$A:$CZ,972,Settings!$E$25)&amp;"","$",""),",","")),0)/IF(Settings!$D$27="Yes",G972,1))</f>
        <v/>
      </c>
      <c r="I972" s="11">
        <f>IF(A972="","",IFERROR(VALUE(SUBSTITUTE(SUBSTITUTE(INDEX('Shopify Import'!$A:$CZ,972,Settings!$E$26)&amp;"","$",""),",","")),0)/IF(Settings!$D$27="Yes",G972,1))</f>
        <v/>
      </c>
      <c r="J972" s="11">
        <f>IF(A972="","",F972+H972-I972)</f>
        <v/>
      </c>
      <c r="K972">
        <f>IF(A972="","",IFERROR(IF(B972="",NA(),MATCH(B972,Products!$B$5:$B$204,0)),IFERROR(MATCH(A972,Products!$A$5:$A$204,0),"")))</f>
        <v/>
      </c>
      <c r="L972">
        <f>IF(A972="","",IF(K972="","⚠ not in Products",INDEX(Products!$A$5:$A$204,K972)))</f>
        <v/>
      </c>
      <c r="M972" s="11">
        <f>IF(A972="","",J972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972+IFERROR(INDEX(Settings!$D$5:$D$9,MATCH("Shopify",Settings!$A$5:$A$9,0)),0)*D972)</f>
        <v/>
      </c>
      <c r="N972" s="11">
        <f>IF(A972="","",IF(K972="",0,D972*INDEX(Products!$I$5:$I$204,K972)))</f>
        <v/>
      </c>
      <c r="O972" s="11">
        <f>IF(A972="","",IF(K972="",0,J972*INDEX(Products!$H$5:$H$204,K972)))</f>
        <v/>
      </c>
      <c r="P972" s="11">
        <f>IF(A972="","",J972-M972-N972-O972)</f>
        <v/>
      </c>
    </row>
    <row r="973">
      <c r="A973">
        <f>IFERROR(INDEX('Shopify Import'!$A:$CZ,973,Settings!$E$20)&amp;"","")</f>
        <v/>
      </c>
      <c r="B973">
        <f>IFERROR(INDEX('Shopify Import'!$A:$CZ,973,Settings!$E$21)&amp;"","")</f>
        <v/>
      </c>
      <c r="C973">
        <f>IFERROR(INDEX('Shopify Import'!$A:$CZ,973,Settings!$E$22)&amp;"","")</f>
        <v/>
      </c>
      <c r="D973">
        <f>IF(A973="","",IFERROR(VALUE(SUBSTITUTE(SUBSTITUTE(INDEX('Shopify Import'!$A:$CZ,973,Settings!$E$23)&amp;"","$",""),",","")),0))</f>
        <v/>
      </c>
      <c r="E973" s="11">
        <f>IF(A973="","",IFERROR(VALUE(SUBSTITUTE(SUBSTITUTE(INDEX('Shopify Import'!$A:$CZ,973,Settings!$E$24)&amp;"","$",""),",","")),0))</f>
        <v/>
      </c>
      <c r="F973" s="11">
        <f>IF(A973="","",D973*E973)</f>
        <v/>
      </c>
      <c r="G973">
        <f>IF(A973="","",IF(C973="",1,COUNTIF($C$2:$C$1501,C973)))</f>
        <v/>
      </c>
      <c r="H973" s="11">
        <f>IF(A973="","",IFERROR(VALUE(SUBSTITUTE(SUBSTITUTE(INDEX('Shopify Import'!$A:$CZ,973,Settings!$E$25)&amp;"","$",""),",","")),0)/IF(Settings!$D$27="Yes",G973,1))</f>
        <v/>
      </c>
      <c r="I973" s="11">
        <f>IF(A973="","",IFERROR(VALUE(SUBSTITUTE(SUBSTITUTE(INDEX('Shopify Import'!$A:$CZ,973,Settings!$E$26)&amp;"","$",""),",","")),0)/IF(Settings!$D$27="Yes",G973,1))</f>
        <v/>
      </c>
      <c r="J973" s="11">
        <f>IF(A973="","",F973+H973-I973)</f>
        <v/>
      </c>
      <c r="K973">
        <f>IF(A973="","",IFERROR(IF(B973="",NA(),MATCH(B973,Products!$B$5:$B$204,0)),IFERROR(MATCH(A973,Products!$A$5:$A$204,0),"")))</f>
        <v/>
      </c>
      <c r="L973">
        <f>IF(A973="","",IF(K973="","⚠ not in Products",INDEX(Products!$A$5:$A$204,K973)))</f>
        <v/>
      </c>
      <c r="M973" s="11">
        <f>IF(A973="","",J973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973+IFERROR(INDEX(Settings!$D$5:$D$9,MATCH("Shopify",Settings!$A$5:$A$9,0)),0)*D973)</f>
        <v/>
      </c>
      <c r="N973" s="11">
        <f>IF(A973="","",IF(K973="",0,D973*INDEX(Products!$I$5:$I$204,K973)))</f>
        <v/>
      </c>
      <c r="O973" s="11">
        <f>IF(A973="","",IF(K973="",0,J973*INDEX(Products!$H$5:$H$204,K973)))</f>
        <v/>
      </c>
      <c r="P973" s="11">
        <f>IF(A973="","",J973-M973-N973-O973)</f>
        <v/>
      </c>
    </row>
    <row r="974">
      <c r="A974">
        <f>IFERROR(INDEX('Shopify Import'!$A:$CZ,974,Settings!$E$20)&amp;"","")</f>
        <v/>
      </c>
      <c r="B974">
        <f>IFERROR(INDEX('Shopify Import'!$A:$CZ,974,Settings!$E$21)&amp;"","")</f>
        <v/>
      </c>
      <c r="C974">
        <f>IFERROR(INDEX('Shopify Import'!$A:$CZ,974,Settings!$E$22)&amp;"","")</f>
        <v/>
      </c>
      <c r="D974">
        <f>IF(A974="","",IFERROR(VALUE(SUBSTITUTE(SUBSTITUTE(INDEX('Shopify Import'!$A:$CZ,974,Settings!$E$23)&amp;"","$",""),",","")),0))</f>
        <v/>
      </c>
      <c r="E974" s="11">
        <f>IF(A974="","",IFERROR(VALUE(SUBSTITUTE(SUBSTITUTE(INDEX('Shopify Import'!$A:$CZ,974,Settings!$E$24)&amp;"","$",""),",","")),0))</f>
        <v/>
      </c>
      <c r="F974" s="11">
        <f>IF(A974="","",D974*E974)</f>
        <v/>
      </c>
      <c r="G974">
        <f>IF(A974="","",IF(C974="",1,COUNTIF($C$2:$C$1501,C974)))</f>
        <v/>
      </c>
      <c r="H974" s="11">
        <f>IF(A974="","",IFERROR(VALUE(SUBSTITUTE(SUBSTITUTE(INDEX('Shopify Import'!$A:$CZ,974,Settings!$E$25)&amp;"","$",""),",","")),0)/IF(Settings!$D$27="Yes",G974,1))</f>
        <v/>
      </c>
      <c r="I974" s="11">
        <f>IF(A974="","",IFERROR(VALUE(SUBSTITUTE(SUBSTITUTE(INDEX('Shopify Import'!$A:$CZ,974,Settings!$E$26)&amp;"","$",""),",","")),0)/IF(Settings!$D$27="Yes",G974,1))</f>
        <v/>
      </c>
      <c r="J974" s="11">
        <f>IF(A974="","",F974+H974-I974)</f>
        <v/>
      </c>
      <c r="K974">
        <f>IF(A974="","",IFERROR(IF(B974="",NA(),MATCH(B974,Products!$B$5:$B$204,0)),IFERROR(MATCH(A974,Products!$A$5:$A$204,0),"")))</f>
        <v/>
      </c>
      <c r="L974">
        <f>IF(A974="","",IF(K974="","⚠ not in Products",INDEX(Products!$A$5:$A$204,K974)))</f>
        <v/>
      </c>
      <c r="M974" s="11">
        <f>IF(A974="","",J974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974+IFERROR(INDEX(Settings!$D$5:$D$9,MATCH("Shopify",Settings!$A$5:$A$9,0)),0)*D974)</f>
        <v/>
      </c>
      <c r="N974" s="11">
        <f>IF(A974="","",IF(K974="",0,D974*INDEX(Products!$I$5:$I$204,K974)))</f>
        <v/>
      </c>
      <c r="O974" s="11">
        <f>IF(A974="","",IF(K974="",0,J974*INDEX(Products!$H$5:$H$204,K974)))</f>
        <v/>
      </c>
      <c r="P974" s="11">
        <f>IF(A974="","",J974-M974-N974-O974)</f>
        <v/>
      </c>
    </row>
    <row r="975">
      <c r="A975">
        <f>IFERROR(INDEX('Shopify Import'!$A:$CZ,975,Settings!$E$20)&amp;"","")</f>
        <v/>
      </c>
      <c r="B975">
        <f>IFERROR(INDEX('Shopify Import'!$A:$CZ,975,Settings!$E$21)&amp;"","")</f>
        <v/>
      </c>
      <c r="C975">
        <f>IFERROR(INDEX('Shopify Import'!$A:$CZ,975,Settings!$E$22)&amp;"","")</f>
        <v/>
      </c>
      <c r="D975">
        <f>IF(A975="","",IFERROR(VALUE(SUBSTITUTE(SUBSTITUTE(INDEX('Shopify Import'!$A:$CZ,975,Settings!$E$23)&amp;"","$",""),",","")),0))</f>
        <v/>
      </c>
      <c r="E975" s="11">
        <f>IF(A975="","",IFERROR(VALUE(SUBSTITUTE(SUBSTITUTE(INDEX('Shopify Import'!$A:$CZ,975,Settings!$E$24)&amp;"","$",""),",","")),0))</f>
        <v/>
      </c>
      <c r="F975" s="11">
        <f>IF(A975="","",D975*E975)</f>
        <v/>
      </c>
      <c r="G975">
        <f>IF(A975="","",IF(C975="",1,COUNTIF($C$2:$C$1501,C975)))</f>
        <v/>
      </c>
      <c r="H975" s="11">
        <f>IF(A975="","",IFERROR(VALUE(SUBSTITUTE(SUBSTITUTE(INDEX('Shopify Import'!$A:$CZ,975,Settings!$E$25)&amp;"","$",""),",","")),0)/IF(Settings!$D$27="Yes",G975,1))</f>
        <v/>
      </c>
      <c r="I975" s="11">
        <f>IF(A975="","",IFERROR(VALUE(SUBSTITUTE(SUBSTITUTE(INDEX('Shopify Import'!$A:$CZ,975,Settings!$E$26)&amp;"","$",""),",","")),0)/IF(Settings!$D$27="Yes",G975,1))</f>
        <v/>
      </c>
      <c r="J975" s="11">
        <f>IF(A975="","",F975+H975-I975)</f>
        <v/>
      </c>
      <c r="K975">
        <f>IF(A975="","",IFERROR(IF(B975="",NA(),MATCH(B975,Products!$B$5:$B$204,0)),IFERROR(MATCH(A975,Products!$A$5:$A$204,0),"")))</f>
        <v/>
      </c>
      <c r="L975">
        <f>IF(A975="","",IF(K975="","⚠ not in Products",INDEX(Products!$A$5:$A$204,K975)))</f>
        <v/>
      </c>
      <c r="M975" s="11">
        <f>IF(A975="","",J975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975+IFERROR(INDEX(Settings!$D$5:$D$9,MATCH("Shopify",Settings!$A$5:$A$9,0)),0)*D975)</f>
        <v/>
      </c>
      <c r="N975" s="11">
        <f>IF(A975="","",IF(K975="",0,D975*INDEX(Products!$I$5:$I$204,K975)))</f>
        <v/>
      </c>
      <c r="O975" s="11">
        <f>IF(A975="","",IF(K975="",0,J975*INDEX(Products!$H$5:$H$204,K975)))</f>
        <v/>
      </c>
      <c r="P975" s="11">
        <f>IF(A975="","",J975-M975-N975-O975)</f>
        <v/>
      </c>
    </row>
    <row r="976">
      <c r="A976">
        <f>IFERROR(INDEX('Shopify Import'!$A:$CZ,976,Settings!$E$20)&amp;"","")</f>
        <v/>
      </c>
      <c r="B976">
        <f>IFERROR(INDEX('Shopify Import'!$A:$CZ,976,Settings!$E$21)&amp;"","")</f>
        <v/>
      </c>
      <c r="C976">
        <f>IFERROR(INDEX('Shopify Import'!$A:$CZ,976,Settings!$E$22)&amp;"","")</f>
        <v/>
      </c>
      <c r="D976">
        <f>IF(A976="","",IFERROR(VALUE(SUBSTITUTE(SUBSTITUTE(INDEX('Shopify Import'!$A:$CZ,976,Settings!$E$23)&amp;"","$",""),",","")),0))</f>
        <v/>
      </c>
      <c r="E976" s="11">
        <f>IF(A976="","",IFERROR(VALUE(SUBSTITUTE(SUBSTITUTE(INDEX('Shopify Import'!$A:$CZ,976,Settings!$E$24)&amp;"","$",""),",","")),0))</f>
        <v/>
      </c>
      <c r="F976" s="11">
        <f>IF(A976="","",D976*E976)</f>
        <v/>
      </c>
      <c r="G976">
        <f>IF(A976="","",IF(C976="",1,COUNTIF($C$2:$C$1501,C976)))</f>
        <v/>
      </c>
      <c r="H976" s="11">
        <f>IF(A976="","",IFERROR(VALUE(SUBSTITUTE(SUBSTITUTE(INDEX('Shopify Import'!$A:$CZ,976,Settings!$E$25)&amp;"","$",""),",","")),0)/IF(Settings!$D$27="Yes",G976,1))</f>
        <v/>
      </c>
      <c r="I976" s="11">
        <f>IF(A976="","",IFERROR(VALUE(SUBSTITUTE(SUBSTITUTE(INDEX('Shopify Import'!$A:$CZ,976,Settings!$E$26)&amp;"","$",""),",","")),0)/IF(Settings!$D$27="Yes",G976,1))</f>
        <v/>
      </c>
      <c r="J976" s="11">
        <f>IF(A976="","",F976+H976-I976)</f>
        <v/>
      </c>
      <c r="K976">
        <f>IF(A976="","",IFERROR(IF(B976="",NA(),MATCH(B976,Products!$B$5:$B$204,0)),IFERROR(MATCH(A976,Products!$A$5:$A$204,0),"")))</f>
        <v/>
      </c>
      <c r="L976">
        <f>IF(A976="","",IF(K976="","⚠ not in Products",INDEX(Products!$A$5:$A$204,K976)))</f>
        <v/>
      </c>
      <c r="M976" s="11">
        <f>IF(A976="","",J976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976+IFERROR(INDEX(Settings!$D$5:$D$9,MATCH("Shopify",Settings!$A$5:$A$9,0)),0)*D976)</f>
        <v/>
      </c>
      <c r="N976" s="11">
        <f>IF(A976="","",IF(K976="",0,D976*INDEX(Products!$I$5:$I$204,K976)))</f>
        <v/>
      </c>
      <c r="O976" s="11">
        <f>IF(A976="","",IF(K976="",0,J976*INDEX(Products!$H$5:$H$204,K976)))</f>
        <v/>
      </c>
      <c r="P976" s="11">
        <f>IF(A976="","",J976-M976-N976-O976)</f>
        <v/>
      </c>
    </row>
    <row r="977">
      <c r="A977">
        <f>IFERROR(INDEX('Shopify Import'!$A:$CZ,977,Settings!$E$20)&amp;"","")</f>
        <v/>
      </c>
      <c r="B977">
        <f>IFERROR(INDEX('Shopify Import'!$A:$CZ,977,Settings!$E$21)&amp;"","")</f>
        <v/>
      </c>
      <c r="C977">
        <f>IFERROR(INDEX('Shopify Import'!$A:$CZ,977,Settings!$E$22)&amp;"","")</f>
        <v/>
      </c>
      <c r="D977">
        <f>IF(A977="","",IFERROR(VALUE(SUBSTITUTE(SUBSTITUTE(INDEX('Shopify Import'!$A:$CZ,977,Settings!$E$23)&amp;"","$",""),",","")),0))</f>
        <v/>
      </c>
      <c r="E977" s="11">
        <f>IF(A977="","",IFERROR(VALUE(SUBSTITUTE(SUBSTITUTE(INDEX('Shopify Import'!$A:$CZ,977,Settings!$E$24)&amp;"","$",""),",","")),0))</f>
        <v/>
      </c>
      <c r="F977" s="11">
        <f>IF(A977="","",D977*E977)</f>
        <v/>
      </c>
      <c r="G977">
        <f>IF(A977="","",IF(C977="",1,COUNTIF($C$2:$C$1501,C977)))</f>
        <v/>
      </c>
      <c r="H977" s="11">
        <f>IF(A977="","",IFERROR(VALUE(SUBSTITUTE(SUBSTITUTE(INDEX('Shopify Import'!$A:$CZ,977,Settings!$E$25)&amp;"","$",""),",","")),0)/IF(Settings!$D$27="Yes",G977,1))</f>
        <v/>
      </c>
      <c r="I977" s="11">
        <f>IF(A977="","",IFERROR(VALUE(SUBSTITUTE(SUBSTITUTE(INDEX('Shopify Import'!$A:$CZ,977,Settings!$E$26)&amp;"","$",""),",","")),0)/IF(Settings!$D$27="Yes",G977,1))</f>
        <v/>
      </c>
      <c r="J977" s="11">
        <f>IF(A977="","",F977+H977-I977)</f>
        <v/>
      </c>
      <c r="K977">
        <f>IF(A977="","",IFERROR(IF(B977="",NA(),MATCH(B977,Products!$B$5:$B$204,0)),IFERROR(MATCH(A977,Products!$A$5:$A$204,0),"")))</f>
        <v/>
      </c>
      <c r="L977">
        <f>IF(A977="","",IF(K977="","⚠ not in Products",INDEX(Products!$A$5:$A$204,K977)))</f>
        <v/>
      </c>
      <c r="M977" s="11">
        <f>IF(A977="","",J977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977+IFERROR(INDEX(Settings!$D$5:$D$9,MATCH("Shopify",Settings!$A$5:$A$9,0)),0)*D977)</f>
        <v/>
      </c>
      <c r="N977" s="11">
        <f>IF(A977="","",IF(K977="",0,D977*INDEX(Products!$I$5:$I$204,K977)))</f>
        <v/>
      </c>
      <c r="O977" s="11">
        <f>IF(A977="","",IF(K977="",0,J977*INDEX(Products!$H$5:$H$204,K977)))</f>
        <v/>
      </c>
      <c r="P977" s="11">
        <f>IF(A977="","",J977-M977-N977-O977)</f>
        <v/>
      </c>
    </row>
    <row r="978">
      <c r="A978">
        <f>IFERROR(INDEX('Shopify Import'!$A:$CZ,978,Settings!$E$20)&amp;"","")</f>
        <v/>
      </c>
      <c r="B978">
        <f>IFERROR(INDEX('Shopify Import'!$A:$CZ,978,Settings!$E$21)&amp;"","")</f>
        <v/>
      </c>
      <c r="C978">
        <f>IFERROR(INDEX('Shopify Import'!$A:$CZ,978,Settings!$E$22)&amp;"","")</f>
        <v/>
      </c>
      <c r="D978">
        <f>IF(A978="","",IFERROR(VALUE(SUBSTITUTE(SUBSTITUTE(INDEX('Shopify Import'!$A:$CZ,978,Settings!$E$23)&amp;"","$",""),",","")),0))</f>
        <v/>
      </c>
      <c r="E978" s="11">
        <f>IF(A978="","",IFERROR(VALUE(SUBSTITUTE(SUBSTITUTE(INDEX('Shopify Import'!$A:$CZ,978,Settings!$E$24)&amp;"","$",""),",","")),0))</f>
        <v/>
      </c>
      <c r="F978" s="11">
        <f>IF(A978="","",D978*E978)</f>
        <v/>
      </c>
      <c r="G978">
        <f>IF(A978="","",IF(C978="",1,COUNTIF($C$2:$C$1501,C978)))</f>
        <v/>
      </c>
      <c r="H978" s="11">
        <f>IF(A978="","",IFERROR(VALUE(SUBSTITUTE(SUBSTITUTE(INDEX('Shopify Import'!$A:$CZ,978,Settings!$E$25)&amp;"","$",""),",","")),0)/IF(Settings!$D$27="Yes",G978,1))</f>
        <v/>
      </c>
      <c r="I978" s="11">
        <f>IF(A978="","",IFERROR(VALUE(SUBSTITUTE(SUBSTITUTE(INDEX('Shopify Import'!$A:$CZ,978,Settings!$E$26)&amp;"","$",""),",","")),0)/IF(Settings!$D$27="Yes",G978,1))</f>
        <v/>
      </c>
      <c r="J978" s="11">
        <f>IF(A978="","",F978+H978-I978)</f>
        <v/>
      </c>
      <c r="K978">
        <f>IF(A978="","",IFERROR(IF(B978="",NA(),MATCH(B978,Products!$B$5:$B$204,0)),IFERROR(MATCH(A978,Products!$A$5:$A$204,0),"")))</f>
        <v/>
      </c>
      <c r="L978">
        <f>IF(A978="","",IF(K978="","⚠ not in Products",INDEX(Products!$A$5:$A$204,K978)))</f>
        <v/>
      </c>
      <c r="M978" s="11">
        <f>IF(A978="","",J978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978+IFERROR(INDEX(Settings!$D$5:$D$9,MATCH("Shopify",Settings!$A$5:$A$9,0)),0)*D978)</f>
        <v/>
      </c>
      <c r="N978" s="11">
        <f>IF(A978="","",IF(K978="",0,D978*INDEX(Products!$I$5:$I$204,K978)))</f>
        <v/>
      </c>
      <c r="O978" s="11">
        <f>IF(A978="","",IF(K978="",0,J978*INDEX(Products!$H$5:$H$204,K978)))</f>
        <v/>
      </c>
      <c r="P978" s="11">
        <f>IF(A978="","",J978-M978-N978-O978)</f>
        <v/>
      </c>
    </row>
    <row r="979">
      <c r="A979">
        <f>IFERROR(INDEX('Shopify Import'!$A:$CZ,979,Settings!$E$20)&amp;"","")</f>
        <v/>
      </c>
      <c r="B979">
        <f>IFERROR(INDEX('Shopify Import'!$A:$CZ,979,Settings!$E$21)&amp;"","")</f>
        <v/>
      </c>
      <c r="C979">
        <f>IFERROR(INDEX('Shopify Import'!$A:$CZ,979,Settings!$E$22)&amp;"","")</f>
        <v/>
      </c>
      <c r="D979">
        <f>IF(A979="","",IFERROR(VALUE(SUBSTITUTE(SUBSTITUTE(INDEX('Shopify Import'!$A:$CZ,979,Settings!$E$23)&amp;"","$",""),",","")),0))</f>
        <v/>
      </c>
      <c r="E979" s="11">
        <f>IF(A979="","",IFERROR(VALUE(SUBSTITUTE(SUBSTITUTE(INDEX('Shopify Import'!$A:$CZ,979,Settings!$E$24)&amp;"","$",""),",","")),0))</f>
        <v/>
      </c>
      <c r="F979" s="11">
        <f>IF(A979="","",D979*E979)</f>
        <v/>
      </c>
      <c r="G979">
        <f>IF(A979="","",IF(C979="",1,COUNTIF($C$2:$C$1501,C979)))</f>
        <v/>
      </c>
      <c r="H979" s="11">
        <f>IF(A979="","",IFERROR(VALUE(SUBSTITUTE(SUBSTITUTE(INDEX('Shopify Import'!$A:$CZ,979,Settings!$E$25)&amp;"","$",""),",","")),0)/IF(Settings!$D$27="Yes",G979,1))</f>
        <v/>
      </c>
      <c r="I979" s="11">
        <f>IF(A979="","",IFERROR(VALUE(SUBSTITUTE(SUBSTITUTE(INDEX('Shopify Import'!$A:$CZ,979,Settings!$E$26)&amp;"","$",""),",","")),0)/IF(Settings!$D$27="Yes",G979,1))</f>
        <v/>
      </c>
      <c r="J979" s="11">
        <f>IF(A979="","",F979+H979-I979)</f>
        <v/>
      </c>
      <c r="K979">
        <f>IF(A979="","",IFERROR(IF(B979="",NA(),MATCH(B979,Products!$B$5:$B$204,0)),IFERROR(MATCH(A979,Products!$A$5:$A$204,0),"")))</f>
        <v/>
      </c>
      <c r="L979">
        <f>IF(A979="","",IF(K979="","⚠ not in Products",INDEX(Products!$A$5:$A$204,K979)))</f>
        <v/>
      </c>
      <c r="M979" s="11">
        <f>IF(A979="","",J979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979+IFERROR(INDEX(Settings!$D$5:$D$9,MATCH("Shopify",Settings!$A$5:$A$9,0)),0)*D979)</f>
        <v/>
      </c>
      <c r="N979" s="11">
        <f>IF(A979="","",IF(K979="",0,D979*INDEX(Products!$I$5:$I$204,K979)))</f>
        <v/>
      </c>
      <c r="O979" s="11">
        <f>IF(A979="","",IF(K979="",0,J979*INDEX(Products!$H$5:$H$204,K979)))</f>
        <v/>
      </c>
      <c r="P979" s="11">
        <f>IF(A979="","",J979-M979-N979-O979)</f>
        <v/>
      </c>
    </row>
    <row r="980">
      <c r="A980">
        <f>IFERROR(INDEX('Shopify Import'!$A:$CZ,980,Settings!$E$20)&amp;"","")</f>
        <v/>
      </c>
      <c r="B980">
        <f>IFERROR(INDEX('Shopify Import'!$A:$CZ,980,Settings!$E$21)&amp;"","")</f>
        <v/>
      </c>
      <c r="C980">
        <f>IFERROR(INDEX('Shopify Import'!$A:$CZ,980,Settings!$E$22)&amp;"","")</f>
        <v/>
      </c>
      <c r="D980">
        <f>IF(A980="","",IFERROR(VALUE(SUBSTITUTE(SUBSTITUTE(INDEX('Shopify Import'!$A:$CZ,980,Settings!$E$23)&amp;"","$",""),",","")),0))</f>
        <v/>
      </c>
      <c r="E980" s="11">
        <f>IF(A980="","",IFERROR(VALUE(SUBSTITUTE(SUBSTITUTE(INDEX('Shopify Import'!$A:$CZ,980,Settings!$E$24)&amp;"","$",""),",","")),0))</f>
        <v/>
      </c>
      <c r="F980" s="11">
        <f>IF(A980="","",D980*E980)</f>
        <v/>
      </c>
      <c r="G980">
        <f>IF(A980="","",IF(C980="",1,COUNTIF($C$2:$C$1501,C980)))</f>
        <v/>
      </c>
      <c r="H980" s="11">
        <f>IF(A980="","",IFERROR(VALUE(SUBSTITUTE(SUBSTITUTE(INDEX('Shopify Import'!$A:$CZ,980,Settings!$E$25)&amp;"","$",""),",","")),0)/IF(Settings!$D$27="Yes",G980,1))</f>
        <v/>
      </c>
      <c r="I980" s="11">
        <f>IF(A980="","",IFERROR(VALUE(SUBSTITUTE(SUBSTITUTE(INDEX('Shopify Import'!$A:$CZ,980,Settings!$E$26)&amp;"","$",""),",","")),0)/IF(Settings!$D$27="Yes",G980,1))</f>
        <v/>
      </c>
      <c r="J980" s="11">
        <f>IF(A980="","",F980+H980-I980)</f>
        <v/>
      </c>
      <c r="K980">
        <f>IF(A980="","",IFERROR(IF(B980="",NA(),MATCH(B980,Products!$B$5:$B$204,0)),IFERROR(MATCH(A980,Products!$A$5:$A$204,0),"")))</f>
        <v/>
      </c>
      <c r="L980">
        <f>IF(A980="","",IF(K980="","⚠ not in Products",INDEX(Products!$A$5:$A$204,K980)))</f>
        <v/>
      </c>
      <c r="M980" s="11">
        <f>IF(A980="","",J980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980+IFERROR(INDEX(Settings!$D$5:$D$9,MATCH("Shopify",Settings!$A$5:$A$9,0)),0)*D980)</f>
        <v/>
      </c>
      <c r="N980" s="11">
        <f>IF(A980="","",IF(K980="",0,D980*INDEX(Products!$I$5:$I$204,K980)))</f>
        <v/>
      </c>
      <c r="O980" s="11">
        <f>IF(A980="","",IF(K980="",0,J980*INDEX(Products!$H$5:$H$204,K980)))</f>
        <v/>
      </c>
      <c r="P980" s="11">
        <f>IF(A980="","",J980-M980-N980-O980)</f>
        <v/>
      </c>
    </row>
    <row r="981">
      <c r="A981">
        <f>IFERROR(INDEX('Shopify Import'!$A:$CZ,981,Settings!$E$20)&amp;"","")</f>
        <v/>
      </c>
      <c r="B981">
        <f>IFERROR(INDEX('Shopify Import'!$A:$CZ,981,Settings!$E$21)&amp;"","")</f>
        <v/>
      </c>
      <c r="C981">
        <f>IFERROR(INDEX('Shopify Import'!$A:$CZ,981,Settings!$E$22)&amp;"","")</f>
        <v/>
      </c>
      <c r="D981">
        <f>IF(A981="","",IFERROR(VALUE(SUBSTITUTE(SUBSTITUTE(INDEX('Shopify Import'!$A:$CZ,981,Settings!$E$23)&amp;"","$",""),",","")),0))</f>
        <v/>
      </c>
      <c r="E981" s="11">
        <f>IF(A981="","",IFERROR(VALUE(SUBSTITUTE(SUBSTITUTE(INDEX('Shopify Import'!$A:$CZ,981,Settings!$E$24)&amp;"","$",""),",","")),0))</f>
        <v/>
      </c>
      <c r="F981" s="11">
        <f>IF(A981="","",D981*E981)</f>
        <v/>
      </c>
      <c r="G981">
        <f>IF(A981="","",IF(C981="",1,COUNTIF($C$2:$C$1501,C981)))</f>
        <v/>
      </c>
      <c r="H981" s="11">
        <f>IF(A981="","",IFERROR(VALUE(SUBSTITUTE(SUBSTITUTE(INDEX('Shopify Import'!$A:$CZ,981,Settings!$E$25)&amp;"","$",""),",","")),0)/IF(Settings!$D$27="Yes",G981,1))</f>
        <v/>
      </c>
      <c r="I981" s="11">
        <f>IF(A981="","",IFERROR(VALUE(SUBSTITUTE(SUBSTITUTE(INDEX('Shopify Import'!$A:$CZ,981,Settings!$E$26)&amp;"","$",""),",","")),0)/IF(Settings!$D$27="Yes",G981,1))</f>
        <v/>
      </c>
      <c r="J981" s="11">
        <f>IF(A981="","",F981+H981-I981)</f>
        <v/>
      </c>
      <c r="K981">
        <f>IF(A981="","",IFERROR(IF(B981="",NA(),MATCH(B981,Products!$B$5:$B$204,0)),IFERROR(MATCH(A981,Products!$A$5:$A$204,0),"")))</f>
        <v/>
      </c>
      <c r="L981">
        <f>IF(A981="","",IF(K981="","⚠ not in Products",INDEX(Products!$A$5:$A$204,K981)))</f>
        <v/>
      </c>
      <c r="M981" s="11">
        <f>IF(A981="","",J981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981+IFERROR(INDEX(Settings!$D$5:$D$9,MATCH("Shopify",Settings!$A$5:$A$9,0)),0)*D981)</f>
        <v/>
      </c>
      <c r="N981" s="11">
        <f>IF(A981="","",IF(K981="",0,D981*INDEX(Products!$I$5:$I$204,K981)))</f>
        <v/>
      </c>
      <c r="O981" s="11">
        <f>IF(A981="","",IF(K981="",0,J981*INDEX(Products!$H$5:$H$204,K981)))</f>
        <v/>
      </c>
      <c r="P981" s="11">
        <f>IF(A981="","",J981-M981-N981-O981)</f>
        <v/>
      </c>
    </row>
    <row r="982">
      <c r="A982">
        <f>IFERROR(INDEX('Shopify Import'!$A:$CZ,982,Settings!$E$20)&amp;"","")</f>
        <v/>
      </c>
      <c r="B982">
        <f>IFERROR(INDEX('Shopify Import'!$A:$CZ,982,Settings!$E$21)&amp;"","")</f>
        <v/>
      </c>
      <c r="C982">
        <f>IFERROR(INDEX('Shopify Import'!$A:$CZ,982,Settings!$E$22)&amp;"","")</f>
        <v/>
      </c>
      <c r="D982">
        <f>IF(A982="","",IFERROR(VALUE(SUBSTITUTE(SUBSTITUTE(INDEX('Shopify Import'!$A:$CZ,982,Settings!$E$23)&amp;"","$",""),",","")),0))</f>
        <v/>
      </c>
      <c r="E982" s="11">
        <f>IF(A982="","",IFERROR(VALUE(SUBSTITUTE(SUBSTITUTE(INDEX('Shopify Import'!$A:$CZ,982,Settings!$E$24)&amp;"","$",""),",","")),0))</f>
        <v/>
      </c>
      <c r="F982" s="11">
        <f>IF(A982="","",D982*E982)</f>
        <v/>
      </c>
      <c r="G982">
        <f>IF(A982="","",IF(C982="",1,COUNTIF($C$2:$C$1501,C982)))</f>
        <v/>
      </c>
      <c r="H982" s="11">
        <f>IF(A982="","",IFERROR(VALUE(SUBSTITUTE(SUBSTITUTE(INDEX('Shopify Import'!$A:$CZ,982,Settings!$E$25)&amp;"","$",""),",","")),0)/IF(Settings!$D$27="Yes",G982,1))</f>
        <v/>
      </c>
      <c r="I982" s="11">
        <f>IF(A982="","",IFERROR(VALUE(SUBSTITUTE(SUBSTITUTE(INDEX('Shopify Import'!$A:$CZ,982,Settings!$E$26)&amp;"","$",""),",","")),0)/IF(Settings!$D$27="Yes",G982,1))</f>
        <v/>
      </c>
      <c r="J982" s="11">
        <f>IF(A982="","",F982+H982-I982)</f>
        <v/>
      </c>
      <c r="K982">
        <f>IF(A982="","",IFERROR(IF(B982="",NA(),MATCH(B982,Products!$B$5:$B$204,0)),IFERROR(MATCH(A982,Products!$A$5:$A$204,0),"")))</f>
        <v/>
      </c>
      <c r="L982">
        <f>IF(A982="","",IF(K982="","⚠ not in Products",INDEX(Products!$A$5:$A$204,K982)))</f>
        <v/>
      </c>
      <c r="M982" s="11">
        <f>IF(A982="","",J982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982+IFERROR(INDEX(Settings!$D$5:$D$9,MATCH("Shopify",Settings!$A$5:$A$9,0)),0)*D982)</f>
        <v/>
      </c>
      <c r="N982" s="11">
        <f>IF(A982="","",IF(K982="",0,D982*INDEX(Products!$I$5:$I$204,K982)))</f>
        <v/>
      </c>
      <c r="O982" s="11">
        <f>IF(A982="","",IF(K982="",0,J982*INDEX(Products!$H$5:$H$204,K982)))</f>
        <v/>
      </c>
      <c r="P982" s="11">
        <f>IF(A982="","",J982-M982-N982-O982)</f>
        <v/>
      </c>
    </row>
    <row r="983">
      <c r="A983">
        <f>IFERROR(INDEX('Shopify Import'!$A:$CZ,983,Settings!$E$20)&amp;"","")</f>
        <v/>
      </c>
      <c r="B983">
        <f>IFERROR(INDEX('Shopify Import'!$A:$CZ,983,Settings!$E$21)&amp;"","")</f>
        <v/>
      </c>
      <c r="C983">
        <f>IFERROR(INDEX('Shopify Import'!$A:$CZ,983,Settings!$E$22)&amp;"","")</f>
        <v/>
      </c>
      <c r="D983">
        <f>IF(A983="","",IFERROR(VALUE(SUBSTITUTE(SUBSTITUTE(INDEX('Shopify Import'!$A:$CZ,983,Settings!$E$23)&amp;"","$",""),",","")),0))</f>
        <v/>
      </c>
      <c r="E983" s="11">
        <f>IF(A983="","",IFERROR(VALUE(SUBSTITUTE(SUBSTITUTE(INDEX('Shopify Import'!$A:$CZ,983,Settings!$E$24)&amp;"","$",""),",","")),0))</f>
        <v/>
      </c>
      <c r="F983" s="11">
        <f>IF(A983="","",D983*E983)</f>
        <v/>
      </c>
      <c r="G983">
        <f>IF(A983="","",IF(C983="",1,COUNTIF($C$2:$C$1501,C983)))</f>
        <v/>
      </c>
      <c r="H983" s="11">
        <f>IF(A983="","",IFERROR(VALUE(SUBSTITUTE(SUBSTITUTE(INDEX('Shopify Import'!$A:$CZ,983,Settings!$E$25)&amp;"","$",""),",","")),0)/IF(Settings!$D$27="Yes",G983,1))</f>
        <v/>
      </c>
      <c r="I983" s="11">
        <f>IF(A983="","",IFERROR(VALUE(SUBSTITUTE(SUBSTITUTE(INDEX('Shopify Import'!$A:$CZ,983,Settings!$E$26)&amp;"","$",""),",","")),0)/IF(Settings!$D$27="Yes",G983,1))</f>
        <v/>
      </c>
      <c r="J983" s="11">
        <f>IF(A983="","",F983+H983-I983)</f>
        <v/>
      </c>
      <c r="K983">
        <f>IF(A983="","",IFERROR(IF(B983="",NA(),MATCH(B983,Products!$B$5:$B$204,0)),IFERROR(MATCH(A983,Products!$A$5:$A$204,0),"")))</f>
        <v/>
      </c>
      <c r="L983">
        <f>IF(A983="","",IF(K983="","⚠ not in Products",INDEX(Products!$A$5:$A$204,K983)))</f>
        <v/>
      </c>
      <c r="M983" s="11">
        <f>IF(A983="","",J983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983+IFERROR(INDEX(Settings!$D$5:$D$9,MATCH("Shopify",Settings!$A$5:$A$9,0)),0)*D983)</f>
        <v/>
      </c>
      <c r="N983" s="11">
        <f>IF(A983="","",IF(K983="",0,D983*INDEX(Products!$I$5:$I$204,K983)))</f>
        <v/>
      </c>
      <c r="O983" s="11">
        <f>IF(A983="","",IF(K983="",0,J983*INDEX(Products!$H$5:$H$204,K983)))</f>
        <v/>
      </c>
      <c r="P983" s="11">
        <f>IF(A983="","",J983-M983-N983-O983)</f>
        <v/>
      </c>
    </row>
    <row r="984">
      <c r="A984">
        <f>IFERROR(INDEX('Shopify Import'!$A:$CZ,984,Settings!$E$20)&amp;"","")</f>
        <v/>
      </c>
      <c r="B984">
        <f>IFERROR(INDEX('Shopify Import'!$A:$CZ,984,Settings!$E$21)&amp;"","")</f>
        <v/>
      </c>
      <c r="C984">
        <f>IFERROR(INDEX('Shopify Import'!$A:$CZ,984,Settings!$E$22)&amp;"","")</f>
        <v/>
      </c>
      <c r="D984">
        <f>IF(A984="","",IFERROR(VALUE(SUBSTITUTE(SUBSTITUTE(INDEX('Shopify Import'!$A:$CZ,984,Settings!$E$23)&amp;"","$",""),",","")),0))</f>
        <v/>
      </c>
      <c r="E984" s="11">
        <f>IF(A984="","",IFERROR(VALUE(SUBSTITUTE(SUBSTITUTE(INDEX('Shopify Import'!$A:$CZ,984,Settings!$E$24)&amp;"","$",""),",","")),0))</f>
        <v/>
      </c>
      <c r="F984" s="11">
        <f>IF(A984="","",D984*E984)</f>
        <v/>
      </c>
      <c r="G984">
        <f>IF(A984="","",IF(C984="",1,COUNTIF($C$2:$C$1501,C984)))</f>
        <v/>
      </c>
      <c r="H984" s="11">
        <f>IF(A984="","",IFERROR(VALUE(SUBSTITUTE(SUBSTITUTE(INDEX('Shopify Import'!$A:$CZ,984,Settings!$E$25)&amp;"","$",""),",","")),0)/IF(Settings!$D$27="Yes",G984,1))</f>
        <v/>
      </c>
      <c r="I984" s="11">
        <f>IF(A984="","",IFERROR(VALUE(SUBSTITUTE(SUBSTITUTE(INDEX('Shopify Import'!$A:$CZ,984,Settings!$E$26)&amp;"","$",""),",","")),0)/IF(Settings!$D$27="Yes",G984,1))</f>
        <v/>
      </c>
      <c r="J984" s="11">
        <f>IF(A984="","",F984+H984-I984)</f>
        <v/>
      </c>
      <c r="K984">
        <f>IF(A984="","",IFERROR(IF(B984="",NA(),MATCH(B984,Products!$B$5:$B$204,0)),IFERROR(MATCH(A984,Products!$A$5:$A$204,0),"")))</f>
        <v/>
      </c>
      <c r="L984">
        <f>IF(A984="","",IF(K984="","⚠ not in Products",INDEX(Products!$A$5:$A$204,K984)))</f>
        <v/>
      </c>
      <c r="M984" s="11">
        <f>IF(A984="","",J984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984+IFERROR(INDEX(Settings!$D$5:$D$9,MATCH("Shopify",Settings!$A$5:$A$9,0)),0)*D984)</f>
        <v/>
      </c>
      <c r="N984" s="11">
        <f>IF(A984="","",IF(K984="",0,D984*INDEX(Products!$I$5:$I$204,K984)))</f>
        <v/>
      </c>
      <c r="O984" s="11">
        <f>IF(A984="","",IF(K984="",0,J984*INDEX(Products!$H$5:$H$204,K984)))</f>
        <v/>
      </c>
      <c r="P984" s="11">
        <f>IF(A984="","",J984-M984-N984-O984)</f>
        <v/>
      </c>
    </row>
    <row r="985">
      <c r="A985">
        <f>IFERROR(INDEX('Shopify Import'!$A:$CZ,985,Settings!$E$20)&amp;"","")</f>
        <v/>
      </c>
      <c r="B985">
        <f>IFERROR(INDEX('Shopify Import'!$A:$CZ,985,Settings!$E$21)&amp;"","")</f>
        <v/>
      </c>
      <c r="C985">
        <f>IFERROR(INDEX('Shopify Import'!$A:$CZ,985,Settings!$E$22)&amp;"","")</f>
        <v/>
      </c>
      <c r="D985">
        <f>IF(A985="","",IFERROR(VALUE(SUBSTITUTE(SUBSTITUTE(INDEX('Shopify Import'!$A:$CZ,985,Settings!$E$23)&amp;"","$",""),",","")),0))</f>
        <v/>
      </c>
      <c r="E985" s="11">
        <f>IF(A985="","",IFERROR(VALUE(SUBSTITUTE(SUBSTITUTE(INDEX('Shopify Import'!$A:$CZ,985,Settings!$E$24)&amp;"","$",""),",","")),0))</f>
        <v/>
      </c>
      <c r="F985" s="11">
        <f>IF(A985="","",D985*E985)</f>
        <v/>
      </c>
      <c r="G985">
        <f>IF(A985="","",IF(C985="",1,COUNTIF($C$2:$C$1501,C985)))</f>
        <v/>
      </c>
      <c r="H985" s="11">
        <f>IF(A985="","",IFERROR(VALUE(SUBSTITUTE(SUBSTITUTE(INDEX('Shopify Import'!$A:$CZ,985,Settings!$E$25)&amp;"","$",""),",","")),0)/IF(Settings!$D$27="Yes",G985,1))</f>
        <v/>
      </c>
      <c r="I985" s="11">
        <f>IF(A985="","",IFERROR(VALUE(SUBSTITUTE(SUBSTITUTE(INDEX('Shopify Import'!$A:$CZ,985,Settings!$E$26)&amp;"","$",""),",","")),0)/IF(Settings!$D$27="Yes",G985,1))</f>
        <v/>
      </c>
      <c r="J985" s="11">
        <f>IF(A985="","",F985+H985-I985)</f>
        <v/>
      </c>
      <c r="K985">
        <f>IF(A985="","",IFERROR(IF(B985="",NA(),MATCH(B985,Products!$B$5:$B$204,0)),IFERROR(MATCH(A985,Products!$A$5:$A$204,0),"")))</f>
        <v/>
      </c>
      <c r="L985">
        <f>IF(A985="","",IF(K985="","⚠ not in Products",INDEX(Products!$A$5:$A$204,K985)))</f>
        <v/>
      </c>
      <c r="M985" s="11">
        <f>IF(A985="","",J985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985+IFERROR(INDEX(Settings!$D$5:$D$9,MATCH("Shopify",Settings!$A$5:$A$9,0)),0)*D985)</f>
        <v/>
      </c>
      <c r="N985" s="11">
        <f>IF(A985="","",IF(K985="",0,D985*INDEX(Products!$I$5:$I$204,K985)))</f>
        <v/>
      </c>
      <c r="O985" s="11">
        <f>IF(A985="","",IF(K985="",0,J985*INDEX(Products!$H$5:$H$204,K985)))</f>
        <v/>
      </c>
      <c r="P985" s="11">
        <f>IF(A985="","",J985-M985-N985-O985)</f>
        <v/>
      </c>
    </row>
    <row r="986">
      <c r="A986">
        <f>IFERROR(INDEX('Shopify Import'!$A:$CZ,986,Settings!$E$20)&amp;"","")</f>
        <v/>
      </c>
      <c r="B986">
        <f>IFERROR(INDEX('Shopify Import'!$A:$CZ,986,Settings!$E$21)&amp;"","")</f>
        <v/>
      </c>
      <c r="C986">
        <f>IFERROR(INDEX('Shopify Import'!$A:$CZ,986,Settings!$E$22)&amp;"","")</f>
        <v/>
      </c>
      <c r="D986">
        <f>IF(A986="","",IFERROR(VALUE(SUBSTITUTE(SUBSTITUTE(INDEX('Shopify Import'!$A:$CZ,986,Settings!$E$23)&amp;"","$",""),",","")),0))</f>
        <v/>
      </c>
      <c r="E986" s="11">
        <f>IF(A986="","",IFERROR(VALUE(SUBSTITUTE(SUBSTITUTE(INDEX('Shopify Import'!$A:$CZ,986,Settings!$E$24)&amp;"","$",""),",","")),0))</f>
        <v/>
      </c>
      <c r="F986" s="11">
        <f>IF(A986="","",D986*E986)</f>
        <v/>
      </c>
      <c r="G986">
        <f>IF(A986="","",IF(C986="",1,COUNTIF($C$2:$C$1501,C986)))</f>
        <v/>
      </c>
      <c r="H986" s="11">
        <f>IF(A986="","",IFERROR(VALUE(SUBSTITUTE(SUBSTITUTE(INDEX('Shopify Import'!$A:$CZ,986,Settings!$E$25)&amp;"","$",""),",","")),0)/IF(Settings!$D$27="Yes",G986,1))</f>
        <v/>
      </c>
      <c r="I986" s="11">
        <f>IF(A986="","",IFERROR(VALUE(SUBSTITUTE(SUBSTITUTE(INDEX('Shopify Import'!$A:$CZ,986,Settings!$E$26)&amp;"","$",""),",","")),0)/IF(Settings!$D$27="Yes",G986,1))</f>
        <v/>
      </c>
      <c r="J986" s="11">
        <f>IF(A986="","",F986+H986-I986)</f>
        <v/>
      </c>
      <c r="K986">
        <f>IF(A986="","",IFERROR(IF(B986="",NA(),MATCH(B986,Products!$B$5:$B$204,0)),IFERROR(MATCH(A986,Products!$A$5:$A$204,0),"")))</f>
        <v/>
      </c>
      <c r="L986">
        <f>IF(A986="","",IF(K986="","⚠ not in Products",INDEX(Products!$A$5:$A$204,K986)))</f>
        <v/>
      </c>
      <c r="M986" s="11">
        <f>IF(A986="","",J986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986+IFERROR(INDEX(Settings!$D$5:$D$9,MATCH("Shopify",Settings!$A$5:$A$9,0)),0)*D986)</f>
        <v/>
      </c>
      <c r="N986" s="11">
        <f>IF(A986="","",IF(K986="",0,D986*INDEX(Products!$I$5:$I$204,K986)))</f>
        <v/>
      </c>
      <c r="O986" s="11">
        <f>IF(A986="","",IF(K986="",0,J986*INDEX(Products!$H$5:$H$204,K986)))</f>
        <v/>
      </c>
      <c r="P986" s="11">
        <f>IF(A986="","",J986-M986-N986-O986)</f>
        <v/>
      </c>
    </row>
    <row r="987">
      <c r="A987">
        <f>IFERROR(INDEX('Shopify Import'!$A:$CZ,987,Settings!$E$20)&amp;"","")</f>
        <v/>
      </c>
      <c r="B987">
        <f>IFERROR(INDEX('Shopify Import'!$A:$CZ,987,Settings!$E$21)&amp;"","")</f>
        <v/>
      </c>
      <c r="C987">
        <f>IFERROR(INDEX('Shopify Import'!$A:$CZ,987,Settings!$E$22)&amp;"","")</f>
        <v/>
      </c>
      <c r="D987">
        <f>IF(A987="","",IFERROR(VALUE(SUBSTITUTE(SUBSTITUTE(INDEX('Shopify Import'!$A:$CZ,987,Settings!$E$23)&amp;"","$",""),",","")),0))</f>
        <v/>
      </c>
      <c r="E987" s="11">
        <f>IF(A987="","",IFERROR(VALUE(SUBSTITUTE(SUBSTITUTE(INDEX('Shopify Import'!$A:$CZ,987,Settings!$E$24)&amp;"","$",""),",","")),0))</f>
        <v/>
      </c>
      <c r="F987" s="11">
        <f>IF(A987="","",D987*E987)</f>
        <v/>
      </c>
      <c r="G987">
        <f>IF(A987="","",IF(C987="",1,COUNTIF($C$2:$C$1501,C987)))</f>
        <v/>
      </c>
      <c r="H987" s="11">
        <f>IF(A987="","",IFERROR(VALUE(SUBSTITUTE(SUBSTITUTE(INDEX('Shopify Import'!$A:$CZ,987,Settings!$E$25)&amp;"","$",""),",","")),0)/IF(Settings!$D$27="Yes",G987,1))</f>
        <v/>
      </c>
      <c r="I987" s="11">
        <f>IF(A987="","",IFERROR(VALUE(SUBSTITUTE(SUBSTITUTE(INDEX('Shopify Import'!$A:$CZ,987,Settings!$E$26)&amp;"","$",""),",","")),0)/IF(Settings!$D$27="Yes",G987,1))</f>
        <v/>
      </c>
      <c r="J987" s="11">
        <f>IF(A987="","",F987+H987-I987)</f>
        <v/>
      </c>
      <c r="K987">
        <f>IF(A987="","",IFERROR(IF(B987="",NA(),MATCH(B987,Products!$B$5:$B$204,0)),IFERROR(MATCH(A987,Products!$A$5:$A$204,0),"")))</f>
        <v/>
      </c>
      <c r="L987">
        <f>IF(A987="","",IF(K987="","⚠ not in Products",INDEX(Products!$A$5:$A$204,K987)))</f>
        <v/>
      </c>
      <c r="M987" s="11">
        <f>IF(A987="","",J987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987+IFERROR(INDEX(Settings!$D$5:$D$9,MATCH("Shopify",Settings!$A$5:$A$9,0)),0)*D987)</f>
        <v/>
      </c>
      <c r="N987" s="11">
        <f>IF(A987="","",IF(K987="",0,D987*INDEX(Products!$I$5:$I$204,K987)))</f>
        <v/>
      </c>
      <c r="O987" s="11">
        <f>IF(A987="","",IF(K987="",0,J987*INDEX(Products!$H$5:$H$204,K987)))</f>
        <v/>
      </c>
      <c r="P987" s="11">
        <f>IF(A987="","",J987-M987-N987-O987)</f>
        <v/>
      </c>
    </row>
    <row r="988">
      <c r="A988">
        <f>IFERROR(INDEX('Shopify Import'!$A:$CZ,988,Settings!$E$20)&amp;"","")</f>
        <v/>
      </c>
      <c r="B988">
        <f>IFERROR(INDEX('Shopify Import'!$A:$CZ,988,Settings!$E$21)&amp;"","")</f>
        <v/>
      </c>
      <c r="C988">
        <f>IFERROR(INDEX('Shopify Import'!$A:$CZ,988,Settings!$E$22)&amp;"","")</f>
        <v/>
      </c>
      <c r="D988">
        <f>IF(A988="","",IFERROR(VALUE(SUBSTITUTE(SUBSTITUTE(INDEX('Shopify Import'!$A:$CZ,988,Settings!$E$23)&amp;"","$",""),",","")),0))</f>
        <v/>
      </c>
      <c r="E988" s="11">
        <f>IF(A988="","",IFERROR(VALUE(SUBSTITUTE(SUBSTITUTE(INDEX('Shopify Import'!$A:$CZ,988,Settings!$E$24)&amp;"","$",""),",","")),0))</f>
        <v/>
      </c>
      <c r="F988" s="11">
        <f>IF(A988="","",D988*E988)</f>
        <v/>
      </c>
      <c r="G988">
        <f>IF(A988="","",IF(C988="",1,COUNTIF($C$2:$C$1501,C988)))</f>
        <v/>
      </c>
      <c r="H988" s="11">
        <f>IF(A988="","",IFERROR(VALUE(SUBSTITUTE(SUBSTITUTE(INDEX('Shopify Import'!$A:$CZ,988,Settings!$E$25)&amp;"","$",""),",","")),0)/IF(Settings!$D$27="Yes",G988,1))</f>
        <v/>
      </c>
      <c r="I988" s="11">
        <f>IF(A988="","",IFERROR(VALUE(SUBSTITUTE(SUBSTITUTE(INDEX('Shopify Import'!$A:$CZ,988,Settings!$E$26)&amp;"","$",""),",","")),0)/IF(Settings!$D$27="Yes",G988,1))</f>
        <v/>
      </c>
      <c r="J988" s="11">
        <f>IF(A988="","",F988+H988-I988)</f>
        <v/>
      </c>
      <c r="K988">
        <f>IF(A988="","",IFERROR(IF(B988="",NA(),MATCH(B988,Products!$B$5:$B$204,0)),IFERROR(MATCH(A988,Products!$A$5:$A$204,0),"")))</f>
        <v/>
      </c>
      <c r="L988">
        <f>IF(A988="","",IF(K988="","⚠ not in Products",INDEX(Products!$A$5:$A$204,K988)))</f>
        <v/>
      </c>
      <c r="M988" s="11">
        <f>IF(A988="","",J988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988+IFERROR(INDEX(Settings!$D$5:$D$9,MATCH("Shopify",Settings!$A$5:$A$9,0)),0)*D988)</f>
        <v/>
      </c>
      <c r="N988" s="11">
        <f>IF(A988="","",IF(K988="",0,D988*INDEX(Products!$I$5:$I$204,K988)))</f>
        <v/>
      </c>
      <c r="O988" s="11">
        <f>IF(A988="","",IF(K988="",0,J988*INDEX(Products!$H$5:$H$204,K988)))</f>
        <v/>
      </c>
      <c r="P988" s="11">
        <f>IF(A988="","",J988-M988-N988-O988)</f>
        <v/>
      </c>
    </row>
    <row r="989">
      <c r="A989">
        <f>IFERROR(INDEX('Shopify Import'!$A:$CZ,989,Settings!$E$20)&amp;"","")</f>
        <v/>
      </c>
      <c r="B989">
        <f>IFERROR(INDEX('Shopify Import'!$A:$CZ,989,Settings!$E$21)&amp;"","")</f>
        <v/>
      </c>
      <c r="C989">
        <f>IFERROR(INDEX('Shopify Import'!$A:$CZ,989,Settings!$E$22)&amp;"","")</f>
        <v/>
      </c>
      <c r="D989">
        <f>IF(A989="","",IFERROR(VALUE(SUBSTITUTE(SUBSTITUTE(INDEX('Shopify Import'!$A:$CZ,989,Settings!$E$23)&amp;"","$",""),",","")),0))</f>
        <v/>
      </c>
      <c r="E989" s="11">
        <f>IF(A989="","",IFERROR(VALUE(SUBSTITUTE(SUBSTITUTE(INDEX('Shopify Import'!$A:$CZ,989,Settings!$E$24)&amp;"","$",""),",","")),0))</f>
        <v/>
      </c>
      <c r="F989" s="11">
        <f>IF(A989="","",D989*E989)</f>
        <v/>
      </c>
      <c r="G989">
        <f>IF(A989="","",IF(C989="",1,COUNTIF($C$2:$C$1501,C989)))</f>
        <v/>
      </c>
      <c r="H989" s="11">
        <f>IF(A989="","",IFERROR(VALUE(SUBSTITUTE(SUBSTITUTE(INDEX('Shopify Import'!$A:$CZ,989,Settings!$E$25)&amp;"","$",""),",","")),0)/IF(Settings!$D$27="Yes",G989,1))</f>
        <v/>
      </c>
      <c r="I989" s="11">
        <f>IF(A989="","",IFERROR(VALUE(SUBSTITUTE(SUBSTITUTE(INDEX('Shopify Import'!$A:$CZ,989,Settings!$E$26)&amp;"","$",""),",","")),0)/IF(Settings!$D$27="Yes",G989,1))</f>
        <v/>
      </c>
      <c r="J989" s="11">
        <f>IF(A989="","",F989+H989-I989)</f>
        <v/>
      </c>
      <c r="K989">
        <f>IF(A989="","",IFERROR(IF(B989="",NA(),MATCH(B989,Products!$B$5:$B$204,0)),IFERROR(MATCH(A989,Products!$A$5:$A$204,0),"")))</f>
        <v/>
      </c>
      <c r="L989">
        <f>IF(A989="","",IF(K989="","⚠ not in Products",INDEX(Products!$A$5:$A$204,K989)))</f>
        <v/>
      </c>
      <c r="M989" s="11">
        <f>IF(A989="","",J989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989+IFERROR(INDEX(Settings!$D$5:$D$9,MATCH("Shopify",Settings!$A$5:$A$9,0)),0)*D989)</f>
        <v/>
      </c>
      <c r="N989" s="11">
        <f>IF(A989="","",IF(K989="",0,D989*INDEX(Products!$I$5:$I$204,K989)))</f>
        <v/>
      </c>
      <c r="O989" s="11">
        <f>IF(A989="","",IF(K989="",0,J989*INDEX(Products!$H$5:$H$204,K989)))</f>
        <v/>
      </c>
      <c r="P989" s="11">
        <f>IF(A989="","",J989-M989-N989-O989)</f>
        <v/>
      </c>
    </row>
    <row r="990">
      <c r="A990">
        <f>IFERROR(INDEX('Shopify Import'!$A:$CZ,990,Settings!$E$20)&amp;"","")</f>
        <v/>
      </c>
      <c r="B990">
        <f>IFERROR(INDEX('Shopify Import'!$A:$CZ,990,Settings!$E$21)&amp;"","")</f>
        <v/>
      </c>
      <c r="C990">
        <f>IFERROR(INDEX('Shopify Import'!$A:$CZ,990,Settings!$E$22)&amp;"","")</f>
        <v/>
      </c>
      <c r="D990">
        <f>IF(A990="","",IFERROR(VALUE(SUBSTITUTE(SUBSTITUTE(INDEX('Shopify Import'!$A:$CZ,990,Settings!$E$23)&amp;"","$",""),",","")),0))</f>
        <v/>
      </c>
      <c r="E990" s="11">
        <f>IF(A990="","",IFERROR(VALUE(SUBSTITUTE(SUBSTITUTE(INDEX('Shopify Import'!$A:$CZ,990,Settings!$E$24)&amp;"","$",""),",","")),0))</f>
        <v/>
      </c>
      <c r="F990" s="11">
        <f>IF(A990="","",D990*E990)</f>
        <v/>
      </c>
      <c r="G990">
        <f>IF(A990="","",IF(C990="",1,COUNTIF($C$2:$C$1501,C990)))</f>
        <v/>
      </c>
      <c r="H990" s="11">
        <f>IF(A990="","",IFERROR(VALUE(SUBSTITUTE(SUBSTITUTE(INDEX('Shopify Import'!$A:$CZ,990,Settings!$E$25)&amp;"","$",""),",","")),0)/IF(Settings!$D$27="Yes",G990,1))</f>
        <v/>
      </c>
      <c r="I990" s="11">
        <f>IF(A990="","",IFERROR(VALUE(SUBSTITUTE(SUBSTITUTE(INDEX('Shopify Import'!$A:$CZ,990,Settings!$E$26)&amp;"","$",""),",","")),0)/IF(Settings!$D$27="Yes",G990,1))</f>
        <v/>
      </c>
      <c r="J990" s="11">
        <f>IF(A990="","",F990+H990-I990)</f>
        <v/>
      </c>
      <c r="K990">
        <f>IF(A990="","",IFERROR(IF(B990="",NA(),MATCH(B990,Products!$B$5:$B$204,0)),IFERROR(MATCH(A990,Products!$A$5:$A$204,0),"")))</f>
        <v/>
      </c>
      <c r="L990">
        <f>IF(A990="","",IF(K990="","⚠ not in Products",INDEX(Products!$A$5:$A$204,K990)))</f>
        <v/>
      </c>
      <c r="M990" s="11">
        <f>IF(A990="","",J990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990+IFERROR(INDEX(Settings!$D$5:$D$9,MATCH("Shopify",Settings!$A$5:$A$9,0)),0)*D990)</f>
        <v/>
      </c>
      <c r="N990" s="11">
        <f>IF(A990="","",IF(K990="",0,D990*INDEX(Products!$I$5:$I$204,K990)))</f>
        <v/>
      </c>
      <c r="O990" s="11">
        <f>IF(A990="","",IF(K990="",0,J990*INDEX(Products!$H$5:$H$204,K990)))</f>
        <v/>
      </c>
      <c r="P990" s="11">
        <f>IF(A990="","",J990-M990-N990-O990)</f>
        <v/>
      </c>
    </row>
    <row r="991">
      <c r="A991">
        <f>IFERROR(INDEX('Shopify Import'!$A:$CZ,991,Settings!$E$20)&amp;"","")</f>
        <v/>
      </c>
      <c r="B991">
        <f>IFERROR(INDEX('Shopify Import'!$A:$CZ,991,Settings!$E$21)&amp;"","")</f>
        <v/>
      </c>
      <c r="C991">
        <f>IFERROR(INDEX('Shopify Import'!$A:$CZ,991,Settings!$E$22)&amp;"","")</f>
        <v/>
      </c>
      <c r="D991">
        <f>IF(A991="","",IFERROR(VALUE(SUBSTITUTE(SUBSTITUTE(INDEX('Shopify Import'!$A:$CZ,991,Settings!$E$23)&amp;"","$",""),",","")),0))</f>
        <v/>
      </c>
      <c r="E991" s="11">
        <f>IF(A991="","",IFERROR(VALUE(SUBSTITUTE(SUBSTITUTE(INDEX('Shopify Import'!$A:$CZ,991,Settings!$E$24)&amp;"","$",""),",","")),0))</f>
        <v/>
      </c>
      <c r="F991" s="11">
        <f>IF(A991="","",D991*E991)</f>
        <v/>
      </c>
      <c r="G991">
        <f>IF(A991="","",IF(C991="",1,COUNTIF($C$2:$C$1501,C991)))</f>
        <v/>
      </c>
      <c r="H991" s="11">
        <f>IF(A991="","",IFERROR(VALUE(SUBSTITUTE(SUBSTITUTE(INDEX('Shopify Import'!$A:$CZ,991,Settings!$E$25)&amp;"","$",""),",","")),0)/IF(Settings!$D$27="Yes",G991,1))</f>
        <v/>
      </c>
      <c r="I991" s="11">
        <f>IF(A991="","",IFERROR(VALUE(SUBSTITUTE(SUBSTITUTE(INDEX('Shopify Import'!$A:$CZ,991,Settings!$E$26)&amp;"","$",""),",","")),0)/IF(Settings!$D$27="Yes",G991,1))</f>
        <v/>
      </c>
      <c r="J991" s="11">
        <f>IF(A991="","",F991+H991-I991)</f>
        <v/>
      </c>
      <c r="K991">
        <f>IF(A991="","",IFERROR(IF(B991="",NA(),MATCH(B991,Products!$B$5:$B$204,0)),IFERROR(MATCH(A991,Products!$A$5:$A$204,0),"")))</f>
        <v/>
      </c>
      <c r="L991">
        <f>IF(A991="","",IF(K991="","⚠ not in Products",INDEX(Products!$A$5:$A$204,K991)))</f>
        <v/>
      </c>
      <c r="M991" s="11">
        <f>IF(A991="","",J991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991+IFERROR(INDEX(Settings!$D$5:$D$9,MATCH("Shopify",Settings!$A$5:$A$9,0)),0)*D991)</f>
        <v/>
      </c>
      <c r="N991" s="11">
        <f>IF(A991="","",IF(K991="",0,D991*INDEX(Products!$I$5:$I$204,K991)))</f>
        <v/>
      </c>
      <c r="O991" s="11">
        <f>IF(A991="","",IF(K991="",0,J991*INDEX(Products!$H$5:$H$204,K991)))</f>
        <v/>
      </c>
      <c r="P991" s="11">
        <f>IF(A991="","",J991-M991-N991-O991)</f>
        <v/>
      </c>
    </row>
    <row r="992">
      <c r="A992">
        <f>IFERROR(INDEX('Shopify Import'!$A:$CZ,992,Settings!$E$20)&amp;"","")</f>
        <v/>
      </c>
      <c r="B992">
        <f>IFERROR(INDEX('Shopify Import'!$A:$CZ,992,Settings!$E$21)&amp;"","")</f>
        <v/>
      </c>
      <c r="C992">
        <f>IFERROR(INDEX('Shopify Import'!$A:$CZ,992,Settings!$E$22)&amp;"","")</f>
        <v/>
      </c>
      <c r="D992">
        <f>IF(A992="","",IFERROR(VALUE(SUBSTITUTE(SUBSTITUTE(INDEX('Shopify Import'!$A:$CZ,992,Settings!$E$23)&amp;"","$",""),",","")),0))</f>
        <v/>
      </c>
      <c r="E992" s="11">
        <f>IF(A992="","",IFERROR(VALUE(SUBSTITUTE(SUBSTITUTE(INDEX('Shopify Import'!$A:$CZ,992,Settings!$E$24)&amp;"","$",""),",","")),0))</f>
        <v/>
      </c>
      <c r="F992" s="11">
        <f>IF(A992="","",D992*E992)</f>
        <v/>
      </c>
      <c r="G992">
        <f>IF(A992="","",IF(C992="",1,COUNTIF($C$2:$C$1501,C992)))</f>
        <v/>
      </c>
      <c r="H992" s="11">
        <f>IF(A992="","",IFERROR(VALUE(SUBSTITUTE(SUBSTITUTE(INDEX('Shopify Import'!$A:$CZ,992,Settings!$E$25)&amp;"","$",""),",","")),0)/IF(Settings!$D$27="Yes",G992,1))</f>
        <v/>
      </c>
      <c r="I992" s="11">
        <f>IF(A992="","",IFERROR(VALUE(SUBSTITUTE(SUBSTITUTE(INDEX('Shopify Import'!$A:$CZ,992,Settings!$E$26)&amp;"","$",""),",","")),0)/IF(Settings!$D$27="Yes",G992,1))</f>
        <v/>
      </c>
      <c r="J992" s="11">
        <f>IF(A992="","",F992+H992-I992)</f>
        <v/>
      </c>
      <c r="K992">
        <f>IF(A992="","",IFERROR(IF(B992="",NA(),MATCH(B992,Products!$B$5:$B$204,0)),IFERROR(MATCH(A992,Products!$A$5:$A$204,0),"")))</f>
        <v/>
      </c>
      <c r="L992">
        <f>IF(A992="","",IF(K992="","⚠ not in Products",INDEX(Products!$A$5:$A$204,K992)))</f>
        <v/>
      </c>
      <c r="M992" s="11">
        <f>IF(A992="","",J992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992+IFERROR(INDEX(Settings!$D$5:$D$9,MATCH("Shopify",Settings!$A$5:$A$9,0)),0)*D992)</f>
        <v/>
      </c>
      <c r="N992" s="11">
        <f>IF(A992="","",IF(K992="",0,D992*INDEX(Products!$I$5:$I$204,K992)))</f>
        <v/>
      </c>
      <c r="O992" s="11">
        <f>IF(A992="","",IF(K992="",0,J992*INDEX(Products!$H$5:$H$204,K992)))</f>
        <v/>
      </c>
      <c r="P992" s="11">
        <f>IF(A992="","",J992-M992-N992-O992)</f>
        <v/>
      </c>
    </row>
    <row r="993">
      <c r="A993">
        <f>IFERROR(INDEX('Shopify Import'!$A:$CZ,993,Settings!$E$20)&amp;"","")</f>
        <v/>
      </c>
      <c r="B993">
        <f>IFERROR(INDEX('Shopify Import'!$A:$CZ,993,Settings!$E$21)&amp;"","")</f>
        <v/>
      </c>
      <c r="C993">
        <f>IFERROR(INDEX('Shopify Import'!$A:$CZ,993,Settings!$E$22)&amp;"","")</f>
        <v/>
      </c>
      <c r="D993">
        <f>IF(A993="","",IFERROR(VALUE(SUBSTITUTE(SUBSTITUTE(INDEX('Shopify Import'!$A:$CZ,993,Settings!$E$23)&amp;"","$",""),",","")),0))</f>
        <v/>
      </c>
      <c r="E993" s="11">
        <f>IF(A993="","",IFERROR(VALUE(SUBSTITUTE(SUBSTITUTE(INDEX('Shopify Import'!$A:$CZ,993,Settings!$E$24)&amp;"","$",""),",","")),0))</f>
        <v/>
      </c>
      <c r="F993" s="11">
        <f>IF(A993="","",D993*E993)</f>
        <v/>
      </c>
      <c r="G993">
        <f>IF(A993="","",IF(C993="",1,COUNTIF($C$2:$C$1501,C993)))</f>
        <v/>
      </c>
      <c r="H993" s="11">
        <f>IF(A993="","",IFERROR(VALUE(SUBSTITUTE(SUBSTITUTE(INDEX('Shopify Import'!$A:$CZ,993,Settings!$E$25)&amp;"","$",""),",","")),0)/IF(Settings!$D$27="Yes",G993,1))</f>
        <v/>
      </c>
      <c r="I993" s="11">
        <f>IF(A993="","",IFERROR(VALUE(SUBSTITUTE(SUBSTITUTE(INDEX('Shopify Import'!$A:$CZ,993,Settings!$E$26)&amp;"","$",""),",","")),0)/IF(Settings!$D$27="Yes",G993,1))</f>
        <v/>
      </c>
      <c r="J993" s="11">
        <f>IF(A993="","",F993+H993-I993)</f>
        <v/>
      </c>
      <c r="K993">
        <f>IF(A993="","",IFERROR(IF(B993="",NA(),MATCH(B993,Products!$B$5:$B$204,0)),IFERROR(MATCH(A993,Products!$A$5:$A$204,0),"")))</f>
        <v/>
      </c>
      <c r="L993">
        <f>IF(A993="","",IF(K993="","⚠ not in Products",INDEX(Products!$A$5:$A$204,K993)))</f>
        <v/>
      </c>
      <c r="M993" s="11">
        <f>IF(A993="","",J993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993+IFERROR(INDEX(Settings!$D$5:$D$9,MATCH("Shopify",Settings!$A$5:$A$9,0)),0)*D993)</f>
        <v/>
      </c>
      <c r="N993" s="11">
        <f>IF(A993="","",IF(K993="",0,D993*INDEX(Products!$I$5:$I$204,K993)))</f>
        <v/>
      </c>
      <c r="O993" s="11">
        <f>IF(A993="","",IF(K993="",0,J993*INDEX(Products!$H$5:$H$204,K993)))</f>
        <v/>
      </c>
      <c r="P993" s="11">
        <f>IF(A993="","",J993-M993-N993-O993)</f>
        <v/>
      </c>
    </row>
    <row r="994">
      <c r="A994">
        <f>IFERROR(INDEX('Shopify Import'!$A:$CZ,994,Settings!$E$20)&amp;"","")</f>
        <v/>
      </c>
      <c r="B994">
        <f>IFERROR(INDEX('Shopify Import'!$A:$CZ,994,Settings!$E$21)&amp;"","")</f>
        <v/>
      </c>
      <c r="C994">
        <f>IFERROR(INDEX('Shopify Import'!$A:$CZ,994,Settings!$E$22)&amp;"","")</f>
        <v/>
      </c>
      <c r="D994">
        <f>IF(A994="","",IFERROR(VALUE(SUBSTITUTE(SUBSTITUTE(INDEX('Shopify Import'!$A:$CZ,994,Settings!$E$23)&amp;"","$",""),",","")),0))</f>
        <v/>
      </c>
      <c r="E994" s="11">
        <f>IF(A994="","",IFERROR(VALUE(SUBSTITUTE(SUBSTITUTE(INDEX('Shopify Import'!$A:$CZ,994,Settings!$E$24)&amp;"","$",""),",","")),0))</f>
        <v/>
      </c>
      <c r="F994" s="11">
        <f>IF(A994="","",D994*E994)</f>
        <v/>
      </c>
      <c r="G994">
        <f>IF(A994="","",IF(C994="",1,COUNTIF($C$2:$C$1501,C994)))</f>
        <v/>
      </c>
      <c r="H994" s="11">
        <f>IF(A994="","",IFERROR(VALUE(SUBSTITUTE(SUBSTITUTE(INDEX('Shopify Import'!$A:$CZ,994,Settings!$E$25)&amp;"","$",""),",","")),0)/IF(Settings!$D$27="Yes",G994,1))</f>
        <v/>
      </c>
      <c r="I994" s="11">
        <f>IF(A994="","",IFERROR(VALUE(SUBSTITUTE(SUBSTITUTE(INDEX('Shopify Import'!$A:$CZ,994,Settings!$E$26)&amp;"","$",""),",","")),0)/IF(Settings!$D$27="Yes",G994,1))</f>
        <v/>
      </c>
      <c r="J994" s="11">
        <f>IF(A994="","",F994+H994-I994)</f>
        <v/>
      </c>
      <c r="K994">
        <f>IF(A994="","",IFERROR(IF(B994="",NA(),MATCH(B994,Products!$B$5:$B$204,0)),IFERROR(MATCH(A994,Products!$A$5:$A$204,0),"")))</f>
        <v/>
      </c>
      <c r="L994">
        <f>IF(A994="","",IF(K994="","⚠ not in Products",INDEX(Products!$A$5:$A$204,K994)))</f>
        <v/>
      </c>
      <c r="M994" s="11">
        <f>IF(A994="","",J994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994+IFERROR(INDEX(Settings!$D$5:$D$9,MATCH("Shopify",Settings!$A$5:$A$9,0)),0)*D994)</f>
        <v/>
      </c>
      <c r="N994" s="11">
        <f>IF(A994="","",IF(K994="",0,D994*INDEX(Products!$I$5:$I$204,K994)))</f>
        <v/>
      </c>
      <c r="O994" s="11">
        <f>IF(A994="","",IF(K994="",0,J994*INDEX(Products!$H$5:$H$204,K994)))</f>
        <v/>
      </c>
      <c r="P994" s="11">
        <f>IF(A994="","",J994-M994-N994-O994)</f>
        <v/>
      </c>
    </row>
    <row r="995">
      <c r="A995">
        <f>IFERROR(INDEX('Shopify Import'!$A:$CZ,995,Settings!$E$20)&amp;"","")</f>
        <v/>
      </c>
      <c r="B995">
        <f>IFERROR(INDEX('Shopify Import'!$A:$CZ,995,Settings!$E$21)&amp;"","")</f>
        <v/>
      </c>
      <c r="C995">
        <f>IFERROR(INDEX('Shopify Import'!$A:$CZ,995,Settings!$E$22)&amp;"","")</f>
        <v/>
      </c>
      <c r="D995">
        <f>IF(A995="","",IFERROR(VALUE(SUBSTITUTE(SUBSTITUTE(INDEX('Shopify Import'!$A:$CZ,995,Settings!$E$23)&amp;"","$",""),",","")),0))</f>
        <v/>
      </c>
      <c r="E995" s="11">
        <f>IF(A995="","",IFERROR(VALUE(SUBSTITUTE(SUBSTITUTE(INDEX('Shopify Import'!$A:$CZ,995,Settings!$E$24)&amp;"","$",""),",","")),0))</f>
        <v/>
      </c>
      <c r="F995" s="11">
        <f>IF(A995="","",D995*E995)</f>
        <v/>
      </c>
      <c r="G995">
        <f>IF(A995="","",IF(C995="",1,COUNTIF($C$2:$C$1501,C995)))</f>
        <v/>
      </c>
      <c r="H995" s="11">
        <f>IF(A995="","",IFERROR(VALUE(SUBSTITUTE(SUBSTITUTE(INDEX('Shopify Import'!$A:$CZ,995,Settings!$E$25)&amp;"","$",""),",","")),0)/IF(Settings!$D$27="Yes",G995,1))</f>
        <v/>
      </c>
      <c r="I995" s="11">
        <f>IF(A995="","",IFERROR(VALUE(SUBSTITUTE(SUBSTITUTE(INDEX('Shopify Import'!$A:$CZ,995,Settings!$E$26)&amp;"","$",""),",","")),0)/IF(Settings!$D$27="Yes",G995,1))</f>
        <v/>
      </c>
      <c r="J995" s="11">
        <f>IF(A995="","",F995+H995-I995)</f>
        <v/>
      </c>
      <c r="K995">
        <f>IF(A995="","",IFERROR(IF(B995="",NA(),MATCH(B995,Products!$B$5:$B$204,0)),IFERROR(MATCH(A995,Products!$A$5:$A$204,0),"")))</f>
        <v/>
      </c>
      <c r="L995">
        <f>IF(A995="","",IF(K995="","⚠ not in Products",INDEX(Products!$A$5:$A$204,K995)))</f>
        <v/>
      </c>
      <c r="M995" s="11">
        <f>IF(A995="","",J995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995+IFERROR(INDEX(Settings!$D$5:$D$9,MATCH("Shopify",Settings!$A$5:$A$9,0)),0)*D995)</f>
        <v/>
      </c>
      <c r="N995" s="11">
        <f>IF(A995="","",IF(K995="",0,D995*INDEX(Products!$I$5:$I$204,K995)))</f>
        <v/>
      </c>
      <c r="O995" s="11">
        <f>IF(A995="","",IF(K995="",0,J995*INDEX(Products!$H$5:$H$204,K995)))</f>
        <v/>
      </c>
      <c r="P995" s="11">
        <f>IF(A995="","",J995-M995-N995-O995)</f>
        <v/>
      </c>
    </row>
    <row r="996">
      <c r="A996">
        <f>IFERROR(INDEX('Shopify Import'!$A:$CZ,996,Settings!$E$20)&amp;"","")</f>
        <v/>
      </c>
      <c r="B996">
        <f>IFERROR(INDEX('Shopify Import'!$A:$CZ,996,Settings!$E$21)&amp;"","")</f>
        <v/>
      </c>
      <c r="C996">
        <f>IFERROR(INDEX('Shopify Import'!$A:$CZ,996,Settings!$E$22)&amp;"","")</f>
        <v/>
      </c>
      <c r="D996">
        <f>IF(A996="","",IFERROR(VALUE(SUBSTITUTE(SUBSTITUTE(INDEX('Shopify Import'!$A:$CZ,996,Settings!$E$23)&amp;"","$",""),",","")),0))</f>
        <v/>
      </c>
      <c r="E996" s="11">
        <f>IF(A996="","",IFERROR(VALUE(SUBSTITUTE(SUBSTITUTE(INDEX('Shopify Import'!$A:$CZ,996,Settings!$E$24)&amp;"","$",""),",","")),0))</f>
        <v/>
      </c>
      <c r="F996" s="11">
        <f>IF(A996="","",D996*E996)</f>
        <v/>
      </c>
      <c r="G996">
        <f>IF(A996="","",IF(C996="",1,COUNTIF($C$2:$C$1501,C996)))</f>
        <v/>
      </c>
      <c r="H996" s="11">
        <f>IF(A996="","",IFERROR(VALUE(SUBSTITUTE(SUBSTITUTE(INDEX('Shopify Import'!$A:$CZ,996,Settings!$E$25)&amp;"","$",""),",","")),0)/IF(Settings!$D$27="Yes",G996,1))</f>
        <v/>
      </c>
      <c r="I996" s="11">
        <f>IF(A996="","",IFERROR(VALUE(SUBSTITUTE(SUBSTITUTE(INDEX('Shopify Import'!$A:$CZ,996,Settings!$E$26)&amp;"","$",""),",","")),0)/IF(Settings!$D$27="Yes",G996,1))</f>
        <v/>
      </c>
      <c r="J996" s="11">
        <f>IF(A996="","",F996+H996-I996)</f>
        <v/>
      </c>
      <c r="K996">
        <f>IF(A996="","",IFERROR(IF(B996="",NA(),MATCH(B996,Products!$B$5:$B$204,0)),IFERROR(MATCH(A996,Products!$A$5:$A$204,0),"")))</f>
        <v/>
      </c>
      <c r="L996">
        <f>IF(A996="","",IF(K996="","⚠ not in Products",INDEX(Products!$A$5:$A$204,K996)))</f>
        <v/>
      </c>
      <c r="M996" s="11">
        <f>IF(A996="","",J996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996+IFERROR(INDEX(Settings!$D$5:$D$9,MATCH("Shopify",Settings!$A$5:$A$9,0)),0)*D996)</f>
        <v/>
      </c>
      <c r="N996" s="11">
        <f>IF(A996="","",IF(K996="",0,D996*INDEX(Products!$I$5:$I$204,K996)))</f>
        <v/>
      </c>
      <c r="O996" s="11">
        <f>IF(A996="","",IF(K996="",0,J996*INDEX(Products!$H$5:$H$204,K996)))</f>
        <v/>
      </c>
      <c r="P996" s="11">
        <f>IF(A996="","",J996-M996-N996-O996)</f>
        <v/>
      </c>
    </row>
    <row r="997">
      <c r="A997">
        <f>IFERROR(INDEX('Shopify Import'!$A:$CZ,997,Settings!$E$20)&amp;"","")</f>
        <v/>
      </c>
      <c r="B997">
        <f>IFERROR(INDEX('Shopify Import'!$A:$CZ,997,Settings!$E$21)&amp;"","")</f>
        <v/>
      </c>
      <c r="C997">
        <f>IFERROR(INDEX('Shopify Import'!$A:$CZ,997,Settings!$E$22)&amp;"","")</f>
        <v/>
      </c>
      <c r="D997">
        <f>IF(A997="","",IFERROR(VALUE(SUBSTITUTE(SUBSTITUTE(INDEX('Shopify Import'!$A:$CZ,997,Settings!$E$23)&amp;"","$",""),",","")),0))</f>
        <v/>
      </c>
      <c r="E997" s="11">
        <f>IF(A997="","",IFERROR(VALUE(SUBSTITUTE(SUBSTITUTE(INDEX('Shopify Import'!$A:$CZ,997,Settings!$E$24)&amp;"","$",""),",","")),0))</f>
        <v/>
      </c>
      <c r="F997" s="11">
        <f>IF(A997="","",D997*E997)</f>
        <v/>
      </c>
      <c r="G997">
        <f>IF(A997="","",IF(C997="",1,COUNTIF($C$2:$C$1501,C997)))</f>
        <v/>
      </c>
      <c r="H997" s="11">
        <f>IF(A997="","",IFERROR(VALUE(SUBSTITUTE(SUBSTITUTE(INDEX('Shopify Import'!$A:$CZ,997,Settings!$E$25)&amp;"","$",""),",","")),0)/IF(Settings!$D$27="Yes",G997,1))</f>
        <v/>
      </c>
      <c r="I997" s="11">
        <f>IF(A997="","",IFERROR(VALUE(SUBSTITUTE(SUBSTITUTE(INDEX('Shopify Import'!$A:$CZ,997,Settings!$E$26)&amp;"","$",""),",","")),0)/IF(Settings!$D$27="Yes",G997,1))</f>
        <v/>
      </c>
      <c r="J997" s="11">
        <f>IF(A997="","",F997+H997-I997)</f>
        <v/>
      </c>
      <c r="K997">
        <f>IF(A997="","",IFERROR(IF(B997="",NA(),MATCH(B997,Products!$B$5:$B$204,0)),IFERROR(MATCH(A997,Products!$A$5:$A$204,0),"")))</f>
        <v/>
      </c>
      <c r="L997">
        <f>IF(A997="","",IF(K997="","⚠ not in Products",INDEX(Products!$A$5:$A$204,K997)))</f>
        <v/>
      </c>
      <c r="M997" s="11">
        <f>IF(A997="","",J997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997+IFERROR(INDEX(Settings!$D$5:$D$9,MATCH("Shopify",Settings!$A$5:$A$9,0)),0)*D997)</f>
        <v/>
      </c>
      <c r="N997" s="11">
        <f>IF(A997="","",IF(K997="",0,D997*INDEX(Products!$I$5:$I$204,K997)))</f>
        <v/>
      </c>
      <c r="O997" s="11">
        <f>IF(A997="","",IF(K997="",0,J997*INDEX(Products!$H$5:$H$204,K997)))</f>
        <v/>
      </c>
      <c r="P997" s="11">
        <f>IF(A997="","",J997-M997-N997-O997)</f>
        <v/>
      </c>
    </row>
    <row r="998">
      <c r="A998">
        <f>IFERROR(INDEX('Shopify Import'!$A:$CZ,998,Settings!$E$20)&amp;"","")</f>
        <v/>
      </c>
      <c r="B998">
        <f>IFERROR(INDEX('Shopify Import'!$A:$CZ,998,Settings!$E$21)&amp;"","")</f>
        <v/>
      </c>
      <c r="C998">
        <f>IFERROR(INDEX('Shopify Import'!$A:$CZ,998,Settings!$E$22)&amp;"","")</f>
        <v/>
      </c>
      <c r="D998">
        <f>IF(A998="","",IFERROR(VALUE(SUBSTITUTE(SUBSTITUTE(INDEX('Shopify Import'!$A:$CZ,998,Settings!$E$23)&amp;"","$",""),",","")),0))</f>
        <v/>
      </c>
      <c r="E998" s="11">
        <f>IF(A998="","",IFERROR(VALUE(SUBSTITUTE(SUBSTITUTE(INDEX('Shopify Import'!$A:$CZ,998,Settings!$E$24)&amp;"","$",""),",","")),0))</f>
        <v/>
      </c>
      <c r="F998" s="11">
        <f>IF(A998="","",D998*E998)</f>
        <v/>
      </c>
      <c r="G998">
        <f>IF(A998="","",IF(C998="",1,COUNTIF($C$2:$C$1501,C998)))</f>
        <v/>
      </c>
      <c r="H998" s="11">
        <f>IF(A998="","",IFERROR(VALUE(SUBSTITUTE(SUBSTITUTE(INDEX('Shopify Import'!$A:$CZ,998,Settings!$E$25)&amp;"","$",""),",","")),0)/IF(Settings!$D$27="Yes",G998,1))</f>
        <v/>
      </c>
      <c r="I998" s="11">
        <f>IF(A998="","",IFERROR(VALUE(SUBSTITUTE(SUBSTITUTE(INDEX('Shopify Import'!$A:$CZ,998,Settings!$E$26)&amp;"","$",""),",","")),0)/IF(Settings!$D$27="Yes",G998,1))</f>
        <v/>
      </c>
      <c r="J998" s="11">
        <f>IF(A998="","",F998+H998-I998)</f>
        <v/>
      </c>
      <c r="K998">
        <f>IF(A998="","",IFERROR(IF(B998="",NA(),MATCH(B998,Products!$B$5:$B$204,0)),IFERROR(MATCH(A998,Products!$A$5:$A$204,0),"")))</f>
        <v/>
      </c>
      <c r="L998">
        <f>IF(A998="","",IF(K998="","⚠ not in Products",INDEX(Products!$A$5:$A$204,K998)))</f>
        <v/>
      </c>
      <c r="M998" s="11">
        <f>IF(A998="","",J998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998+IFERROR(INDEX(Settings!$D$5:$D$9,MATCH("Shopify",Settings!$A$5:$A$9,0)),0)*D998)</f>
        <v/>
      </c>
      <c r="N998" s="11">
        <f>IF(A998="","",IF(K998="",0,D998*INDEX(Products!$I$5:$I$204,K998)))</f>
        <v/>
      </c>
      <c r="O998" s="11">
        <f>IF(A998="","",IF(K998="",0,J998*INDEX(Products!$H$5:$H$204,K998)))</f>
        <v/>
      </c>
      <c r="P998" s="11">
        <f>IF(A998="","",J998-M998-N998-O998)</f>
        <v/>
      </c>
    </row>
    <row r="999">
      <c r="A999">
        <f>IFERROR(INDEX('Shopify Import'!$A:$CZ,999,Settings!$E$20)&amp;"","")</f>
        <v/>
      </c>
      <c r="B999">
        <f>IFERROR(INDEX('Shopify Import'!$A:$CZ,999,Settings!$E$21)&amp;"","")</f>
        <v/>
      </c>
      <c r="C999">
        <f>IFERROR(INDEX('Shopify Import'!$A:$CZ,999,Settings!$E$22)&amp;"","")</f>
        <v/>
      </c>
      <c r="D999">
        <f>IF(A999="","",IFERROR(VALUE(SUBSTITUTE(SUBSTITUTE(INDEX('Shopify Import'!$A:$CZ,999,Settings!$E$23)&amp;"","$",""),",","")),0))</f>
        <v/>
      </c>
      <c r="E999" s="11">
        <f>IF(A999="","",IFERROR(VALUE(SUBSTITUTE(SUBSTITUTE(INDEX('Shopify Import'!$A:$CZ,999,Settings!$E$24)&amp;"","$",""),",","")),0))</f>
        <v/>
      </c>
      <c r="F999" s="11">
        <f>IF(A999="","",D999*E999)</f>
        <v/>
      </c>
      <c r="G999">
        <f>IF(A999="","",IF(C999="",1,COUNTIF($C$2:$C$1501,C999)))</f>
        <v/>
      </c>
      <c r="H999" s="11">
        <f>IF(A999="","",IFERROR(VALUE(SUBSTITUTE(SUBSTITUTE(INDEX('Shopify Import'!$A:$CZ,999,Settings!$E$25)&amp;"","$",""),",","")),0)/IF(Settings!$D$27="Yes",G999,1))</f>
        <v/>
      </c>
      <c r="I999" s="11">
        <f>IF(A999="","",IFERROR(VALUE(SUBSTITUTE(SUBSTITUTE(INDEX('Shopify Import'!$A:$CZ,999,Settings!$E$26)&amp;"","$",""),",","")),0)/IF(Settings!$D$27="Yes",G999,1))</f>
        <v/>
      </c>
      <c r="J999" s="11">
        <f>IF(A999="","",F999+H999-I999)</f>
        <v/>
      </c>
      <c r="K999">
        <f>IF(A999="","",IFERROR(IF(B999="",NA(),MATCH(B999,Products!$B$5:$B$204,0)),IFERROR(MATCH(A999,Products!$A$5:$A$204,0),"")))</f>
        <v/>
      </c>
      <c r="L999">
        <f>IF(A999="","",IF(K999="","⚠ not in Products",INDEX(Products!$A$5:$A$204,K999)))</f>
        <v/>
      </c>
      <c r="M999" s="11">
        <f>IF(A999="","",J999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999+IFERROR(INDEX(Settings!$D$5:$D$9,MATCH("Shopify",Settings!$A$5:$A$9,0)),0)*D999)</f>
        <v/>
      </c>
      <c r="N999" s="11">
        <f>IF(A999="","",IF(K999="",0,D999*INDEX(Products!$I$5:$I$204,K999)))</f>
        <v/>
      </c>
      <c r="O999" s="11">
        <f>IF(A999="","",IF(K999="",0,J999*INDEX(Products!$H$5:$H$204,K999)))</f>
        <v/>
      </c>
      <c r="P999" s="11">
        <f>IF(A999="","",J999-M999-N999-O999)</f>
        <v/>
      </c>
    </row>
    <row r="1000">
      <c r="A1000">
        <f>IFERROR(INDEX('Shopify Import'!$A:$CZ,1000,Settings!$E$20)&amp;"","")</f>
        <v/>
      </c>
      <c r="B1000">
        <f>IFERROR(INDEX('Shopify Import'!$A:$CZ,1000,Settings!$E$21)&amp;"","")</f>
        <v/>
      </c>
      <c r="C1000">
        <f>IFERROR(INDEX('Shopify Import'!$A:$CZ,1000,Settings!$E$22)&amp;"","")</f>
        <v/>
      </c>
      <c r="D1000">
        <f>IF(A1000="","",IFERROR(VALUE(SUBSTITUTE(SUBSTITUTE(INDEX('Shopify Import'!$A:$CZ,1000,Settings!$E$23)&amp;"","$",""),",","")),0))</f>
        <v/>
      </c>
      <c r="E1000" s="11">
        <f>IF(A1000="","",IFERROR(VALUE(SUBSTITUTE(SUBSTITUTE(INDEX('Shopify Import'!$A:$CZ,1000,Settings!$E$24)&amp;"","$",""),",","")),0))</f>
        <v/>
      </c>
      <c r="F1000" s="11">
        <f>IF(A1000="","",D1000*E1000)</f>
        <v/>
      </c>
      <c r="G1000">
        <f>IF(A1000="","",IF(C1000="",1,COUNTIF($C$2:$C$1501,C1000)))</f>
        <v/>
      </c>
      <c r="H1000" s="11">
        <f>IF(A1000="","",IFERROR(VALUE(SUBSTITUTE(SUBSTITUTE(INDEX('Shopify Import'!$A:$CZ,1000,Settings!$E$25)&amp;"","$",""),",","")),0)/IF(Settings!$D$27="Yes",G1000,1))</f>
        <v/>
      </c>
      <c r="I1000" s="11">
        <f>IF(A1000="","",IFERROR(VALUE(SUBSTITUTE(SUBSTITUTE(INDEX('Shopify Import'!$A:$CZ,1000,Settings!$E$26)&amp;"","$",""),",","")),0)/IF(Settings!$D$27="Yes",G1000,1))</f>
        <v/>
      </c>
      <c r="J1000" s="11">
        <f>IF(A1000="","",F1000+H1000-I1000)</f>
        <v/>
      </c>
      <c r="K1000">
        <f>IF(A1000="","",IFERROR(IF(B1000="",NA(),MATCH(B1000,Products!$B$5:$B$204,0)),IFERROR(MATCH(A1000,Products!$A$5:$A$204,0),"")))</f>
        <v/>
      </c>
      <c r="L1000">
        <f>IF(A1000="","",IF(K1000="","⚠ not in Products",INDEX(Products!$A$5:$A$204,K1000)))</f>
        <v/>
      </c>
      <c r="M1000" s="11">
        <f>IF(A1000="","",J1000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1000+IFERROR(INDEX(Settings!$D$5:$D$9,MATCH("Shopify",Settings!$A$5:$A$9,0)),0)*D1000)</f>
        <v/>
      </c>
      <c r="N1000" s="11">
        <f>IF(A1000="","",IF(K1000="",0,D1000*INDEX(Products!$I$5:$I$204,K1000)))</f>
        <v/>
      </c>
      <c r="O1000" s="11">
        <f>IF(A1000="","",IF(K1000="",0,J1000*INDEX(Products!$H$5:$H$204,K1000)))</f>
        <v/>
      </c>
      <c r="P1000" s="11">
        <f>IF(A1000="","",J1000-M1000-N1000-O1000)</f>
        <v/>
      </c>
    </row>
    <row r="1001">
      <c r="A1001">
        <f>IFERROR(INDEX('Shopify Import'!$A:$CZ,1001,Settings!$E$20)&amp;"","")</f>
        <v/>
      </c>
      <c r="B1001">
        <f>IFERROR(INDEX('Shopify Import'!$A:$CZ,1001,Settings!$E$21)&amp;"","")</f>
        <v/>
      </c>
      <c r="C1001">
        <f>IFERROR(INDEX('Shopify Import'!$A:$CZ,1001,Settings!$E$22)&amp;"","")</f>
        <v/>
      </c>
      <c r="D1001">
        <f>IF(A1001="","",IFERROR(VALUE(SUBSTITUTE(SUBSTITUTE(INDEX('Shopify Import'!$A:$CZ,1001,Settings!$E$23)&amp;"","$",""),",","")),0))</f>
        <v/>
      </c>
      <c r="E1001" s="11">
        <f>IF(A1001="","",IFERROR(VALUE(SUBSTITUTE(SUBSTITUTE(INDEX('Shopify Import'!$A:$CZ,1001,Settings!$E$24)&amp;"","$",""),",","")),0))</f>
        <v/>
      </c>
      <c r="F1001" s="11">
        <f>IF(A1001="","",D1001*E1001)</f>
        <v/>
      </c>
      <c r="G1001">
        <f>IF(A1001="","",IF(C1001="",1,COUNTIF($C$2:$C$1501,C1001)))</f>
        <v/>
      </c>
      <c r="H1001" s="11">
        <f>IF(A1001="","",IFERROR(VALUE(SUBSTITUTE(SUBSTITUTE(INDEX('Shopify Import'!$A:$CZ,1001,Settings!$E$25)&amp;"","$",""),",","")),0)/IF(Settings!$D$27="Yes",G1001,1))</f>
        <v/>
      </c>
      <c r="I1001" s="11">
        <f>IF(A1001="","",IFERROR(VALUE(SUBSTITUTE(SUBSTITUTE(INDEX('Shopify Import'!$A:$CZ,1001,Settings!$E$26)&amp;"","$",""),",","")),0)/IF(Settings!$D$27="Yes",G1001,1))</f>
        <v/>
      </c>
      <c r="J1001" s="11">
        <f>IF(A1001="","",F1001+H1001-I1001)</f>
        <v/>
      </c>
      <c r="K1001">
        <f>IF(A1001="","",IFERROR(IF(B1001="",NA(),MATCH(B1001,Products!$B$5:$B$204,0)),IFERROR(MATCH(A1001,Products!$A$5:$A$204,0),"")))</f>
        <v/>
      </c>
      <c r="L1001">
        <f>IF(A1001="","",IF(K1001="","⚠ not in Products",INDEX(Products!$A$5:$A$204,K1001)))</f>
        <v/>
      </c>
      <c r="M1001" s="11">
        <f>IF(A1001="","",J1001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1001+IFERROR(INDEX(Settings!$D$5:$D$9,MATCH("Shopify",Settings!$A$5:$A$9,0)),0)*D1001)</f>
        <v/>
      </c>
      <c r="N1001" s="11">
        <f>IF(A1001="","",IF(K1001="",0,D1001*INDEX(Products!$I$5:$I$204,K1001)))</f>
        <v/>
      </c>
      <c r="O1001" s="11">
        <f>IF(A1001="","",IF(K1001="",0,J1001*INDEX(Products!$H$5:$H$204,K1001)))</f>
        <v/>
      </c>
      <c r="P1001" s="11">
        <f>IF(A1001="","",J1001-M1001-N1001-O1001)</f>
        <v/>
      </c>
    </row>
    <row r="1002">
      <c r="A1002">
        <f>IFERROR(INDEX('Shopify Import'!$A:$CZ,1002,Settings!$E$20)&amp;"","")</f>
        <v/>
      </c>
      <c r="B1002">
        <f>IFERROR(INDEX('Shopify Import'!$A:$CZ,1002,Settings!$E$21)&amp;"","")</f>
        <v/>
      </c>
      <c r="C1002">
        <f>IFERROR(INDEX('Shopify Import'!$A:$CZ,1002,Settings!$E$22)&amp;"","")</f>
        <v/>
      </c>
      <c r="D1002">
        <f>IF(A1002="","",IFERROR(VALUE(SUBSTITUTE(SUBSTITUTE(INDEX('Shopify Import'!$A:$CZ,1002,Settings!$E$23)&amp;"","$",""),",","")),0))</f>
        <v/>
      </c>
      <c r="E1002" s="11">
        <f>IF(A1002="","",IFERROR(VALUE(SUBSTITUTE(SUBSTITUTE(INDEX('Shopify Import'!$A:$CZ,1002,Settings!$E$24)&amp;"","$",""),",","")),0))</f>
        <v/>
      </c>
      <c r="F1002" s="11">
        <f>IF(A1002="","",D1002*E1002)</f>
        <v/>
      </c>
      <c r="G1002">
        <f>IF(A1002="","",IF(C1002="",1,COUNTIF($C$2:$C$1501,C1002)))</f>
        <v/>
      </c>
      <c r="H1002" s="11">
        <f>IF(A1002="","",IFERROR(VALUE(SUBSTITUTE(SUBSTITUTE(INDEX('Shopify Import'!$A:$CZ,1002,Settings!$E$25)&amp;"","$",""),",","")),0)/IF(Settings!$D$27="Yes",G1002,1))</f>
        <v/>
      </c>
      <c r="I1002" s="11">
        <f>IF(A1002="","",IFERROR(VALUE(SUBSTITUTE(SUBSTITUTE(INDEX('Shopify Import'!$A:$CZ,1002,Settings!$E$26)&amp;"","$",""),",","")),0)/IF(Settings!$D$27="Yes",G1002,1))</f>
        <v/>
      </c>
      <c r="J1002" s="11">
        <f>IF(A1002="","",F1002+H1002-I1002)</f>
        <v/>
      </c>
      <c r="K1002">
        <f>IF(A1002="","",IFERROR(IF(B1002="",NA(),MATCH(B1002,Products!$B$5:$B$204,0)),IFERROR(MATCH(A1002,Products!$A$5:$A$204,0),"")))</f>
        <v/>
      </c>
      <c r="L1002">
        <f>IF(A1002="","",IF(K1002="","⚠ not in Products",INDEX(Products!$A$5:$A$204,K1002)))</f>
        <v/>
      </c>
      <c r="M1002" s="11">
        <f>IF(A1002="","",J1002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1002+IFERROR(INDEX(Settings!$D$5:$D$9,MATCH("Shopify",Settings!$A$5:$A$9,0)),0)*D1002)</f>
        <v/>
      </c>
      <c r="N1002" s="11">
        <f>IF(A1002="","",IF(K1002="",0,D1002*INDEX(Products!$I$5:$I$204,K1002)))</f>
        <v/>
      </c>
      <c r="O1002" s="11">
        <f>IF(A1002="","",IF(K1002="",0,J1002*INDEX(Products!$H$5:$H$204,K1002)))</f>
        <v/>
      </c>
      <c r="P1002" s="11">
        <f>IF(A1002="","",J1002-M1002-N1002-O1002)</f>
        <v/>
      </c>
    </row>
    <row r="1003">
      <c r="A1003">
        <f>IFERROR(INDEX('Shopify Import'!$A:$CZ,1003,Settings!$E$20)&amp;"","")</f>
        <v/>
      </c>
      <c r="B1003">
        <f>IFERROR(INDEX('Shopify Import'!$A:$CZ,1003,Settings!$E$21)&amp;"","")</f>
        <v/>
      </c>
      <c r="C1003">
        <f>IFERROR(INDEX('Shopify Import'!$A:$CZ,1003,Settings!$E$22)&amp;"","")</f>
        <v/>
      </c>
      <c r="D1003">
        <f>IF(A1003="","",IFERROR(VALUE(SUBSTITUTE(SUBSTITUTE(INDEX('Shopify Import'!$A:$CZ,1003,Settings!$E$23)&amp;"","$",""),",","")),0))</f>
        <v/>
      </c>
      <c r="E1003" s="11">
        <f>IF(A1003="","",IFERROR(VALUE(SUBSTITUTE(SUBSTITUTE(INDEX('Shopify Import'!$A:$CZ,1003,Settings!$E$24)&amp;"","$",""),",","")),0))</f>
        <v/>
      </c>
      <c r="F1003" s="11">
        <f>IF(A1003="","",D1003*E1003)</f>
        <v/>
      </c>
      <c r="G1003">
        <f>IF(A1003="","",IF(C1003="",1,COUNTIF($C$2:$C$1501,C1003)))</f>
        <v/>
      </c>
      <c r="H1003" s="11">
        <f>IF(A1003="","",IFERROR(VALUE(SUBSTITUTE(SUBSTITUTE(INDEX('Shopify Import'!$A:$CZ,1003,Settings!$E$25)&amp;"","$",""),",","")),0)/IF(Settings!$D$27="Yes",G1003,1))</f>
        <v/>
      </c>
      <c r="I1003" s="11">
        <f>IF(A1003="","",IFERROR(VALUE(SUBSTITUTE(SUBSTITUTE(INDEX('Shopify Import'!$A:$CZ,1003,Settings!$E$26)&amp;"","$",""),",","")),0)/IF(Settings!$D$27="Yes",G1003,1))</f>
        <v/>
      </c>
      <c r="J1003" s="11">
        <f>IF(A1003="","",F1003+H1003-I1003)</f>
        <v/>
      </c>
      <c r="K1003">
        <f>IF(A1003="","",IFERROR(IF(B1003="",NA(),MATCH(B1003,Products!$B$5:$B$204,0)),IFERROR(MATCH(A1003,Products!$A$5:$A$204,0),"")))</f>
        <v/>
      </c>
      <c r="L1003">
        <f>IF(A1003="","",IF(K1003="","⚠ not in Products",INDEX(Products!$A$5:$A$204,K1003)))</f>
        <v/>
      </c>
      <c r="M1003" s="11">
        <f>IF(A1003="","",J1003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1003+IFERROR(INDEX(Settings!$D$5:$D$9,MATCH("Shopify",Settings!$A$5:$A$9,0)),0)*D1003)</f>
        <v/>
      </c>
      <c r="N1003" s="11">
        <f>IF(A1003="","",IF(K1003="",0,D1003*INDEX(Products!$I$5:$I$204,K1003)))</f>
        <v/>
      </c>
      <c r="O1003" s="11">
        <f>IF(A1003="","",IF(K1003="",0,J1003*INDEX(Products!$H$5:$H$204,K1003)))</f>
        <v/>
      </c>
      <c r="P1003" s="11">
        <f>IF(A1003="","",J1003-M1003-N1003-O1003)</f>
        <v/>
      </c>
    </row>
    <row r="1004">
      <c r="A1004">
        <f>IFERROR(INDEX('Shopify Import'!$A:$CZ,1004,Settings!$E$20)&amp;"","")</f>
        <v/>
      </c>
      <c r="B1004">
        <f>IFERROR(INDEX('Shopify Import'!$A:$CZ,1004,Settings!$E$21)&amp;"","")</f>
        <v/>
      </c>
      <c r="C1004">
        <f>IFERROR(INDEX('Shopify Import'!$A:$CZ,1004,Settings!$E$22)&amp;"","")</f>
        <v/>
      </c>
      <c r="D1004">
        <f>IF(A1004="","",IFERROR(VALUE(SUBSTITUTE(SUBSTITUTE(INDEX('Shopify Import'!$A:$CZ,1004,Settings!$E$23)&amp;"","$",""),",","")),0))</f>
        <v/>
      </c>
      <c r="E1004" s="11">
        <f>IF(A1004="","",IFERROR(VALUE(SUBSTITUTE(SUBSTITUTE(INDEX('Shopify Import'!$A:$CZ,1004,Settings!$E$24)&amp;"","$",""),",","")),0))</f>
        <v/>
      </c>
      <c r="F1004" s="11">
        <f>IF(A1004="","",D1004*E1004)</f>
        <v/>
      </c>
      <c r="G1004">
        <f>IF(A1004="","",IF(C1004="",1,COUNTIF($C$2:$C$1501,C1004)))</f>
        <v/>
      </c>
      <c r="H1004" s="11">
        <f>IF(A1004="","",IFERROR(VALUE(SUBSTITUTE(SUBSTITUTE(INDEX('Shopify Import'!$A:$CZ,1004,Settings!$E$25)&amp;"","$",""),",","")),0)/IF(Settings!$D$27="Yes",G1004,1))</f>
        <v/>
      </c>
      <c r="I1004" s="11">
        <f>IF(A1004="","",IFERROR(VALUE(SUBSTITUTE(SUBSTITUTE(INDEX('Shopify Import'!$A:$CZ,1004,Settings!$E$26)&amp;"","$",""),",","")),0)/IF(Settings!$D$27="Yes",G1004,1))</f>
        <v/>
      </c>
      <c r="J1004" s="11">
        <f>IF(A1004="","",F1004+H1004-I1004)</f>
        <v/>
      </c>
      <c r="K1004">
        <f>IF(A1004="","",IFERROR(IF(B1004="",NA(),MATCH(B1004,Products!$B$5:$B$204,0)),IFERROR(MATCH(A1004,Products!$A$5:$A$204,0),"")))</f>
        <v/>
      </c>
      <c r="L1004">
        <f>IF(A1004="","",IF(K1004="","⚠ not in Products",INDEX(Products!$A$5:$A$204,K1004)))</f>
        <v/>
      </c>
      <c r="M1004" s="11">
        <f>IF(A1004="","",J1004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1004+IFERROR(INDEX(Settings!$D$5:$D$9,MATCH("Shopify",Settings!$A$5:$A$9,0)),0)*D1004)</f>
        <v/>
      </c>
      <c r="N1004" s="11">
        <f>IF(A1004="","",IF(K1004="",0,D1004*INDEX(Products!$I$5:$I$204,K1004)))</f>
        <v/>
      </c>
      <c r="O1004" s="11">
        <f>IF(A1004="","",IF(K1004="",0,J1004*INDEX(Products!$H$5:$H$204,K1004)))</f>
        <v/>
      </c>
      <c r="P1004" s="11">
        <f>IF(A1004="","",J1004-M1004-N1004-O1004)</f>
        <v/>
      </c>
    </row>
    <row r="1005">
      <c r="A1005">
        <f>IFERROR(INDEX('Shopify Import'!$A:$CZ,1005,Settings!$E$20)&amp;"","")</f>
        <v/>
      </c>
      <c r="B1005">
        <f>IFERROR(INDEX('Shopify Import'!$A:$CZ,1005,Settings!$E$21)&amp;"","")</f>
        <v/>
      </c>
      <c r="C1005">
        <f>IFERROR(INDEX('Shopify Import'!$A:$CZ,1005,Settings!$E$22)&amp;"","")</f>
        <v/>
      </c>
      <c r="D1005">
        <f>IF(A1005="","",IFERROR(VALUE(SUBSTITUTE(SUBSTITUTE(INDEX('Shopify Import'!$A:$CZ,1005,Settings!$E$23)&amp;"","$",""),",","")),0))</f>
        <v/>
      </c>
      <c r="E1005" s="11">
        <f>IF(A1005="","",IFERROR(VALUE(SUBSTITUTE(SUBSTITUTE(INDEX('Shopify Import'!$A:$CZ,1005,Settings!$E$24)&amp;"","$",""),",","")),0))</f>
        <v/>
      </c>
      <c r="F1005" s="11">
        <f>IF(A1005="","",D1005*E1005)</f>
        <v/>
      </c>
      <c r="G1005">
        <f>IF(A1005="","",IF(C1005="",1,COUNTIF($C$2:$C$1501,C1005)))</f>
        <v/>
      </c>
      <c r="H1005" s="11">
        <f>IF(A1005="","",IFERROR(VALUE(SUBSTITUTE(SUBSTITUTE(INDEX('Shopify Import'!$A:$CZ,1005,Settings!$E$25)&amp;"","$",""),",","")),0)/IF(Settings!$D$27="Yes",G1005,1))</f>
        <v/>
      </c>
      <c r="I1005" s="11">
        <f>IF(A1005="","",IFERROR(VALUE(SUBSTITUTE(SUBSTITUTE(INDEX('Shopify Import'!$A:$CZ,1005,Settings!$E$26)&amp;"","$",""),",","")),0)/IF(Settings!$D$27="Yes",G1005,1))</f>
        <v/>
      </c>
      <c r="J1005" s="11">
        <f>IF(A1005="","",F1005+H1005-I1005)</f>
        <v/>
      </c>
      <c r="K1005">
        <f>IF(A1005="","",IFERROR(IF(B1005="",NA(),MATCH(B1005,Products!$B$5:$B$204,0)),IFERROR(MATCH(A1005,Products!$A$5:$A$204,0),"")))</f>
        <v/>
      </c>
      <c r="L1005">
        <f>IF(A1005="","",IF(K1005="","⚠ not in Products",INDEX(Products!$A$5:$A$204,K1005)))</f>
        <v/>
      </c>
      <c r="M1005" s="11">
        <f>IF(A1005="","",J1005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1005+IFERROR(INDEX(Settings!$D$5:$D$9,MATCH("Shopify",Settings!$A$5:$A$9,0)),0)*D1005)</f>
        <v/>
      </c>
      <c r="N1005" s="11">
        <f>IF(A1005="","",IF(K1005="",0,D1005*INDEX(Products!$I$5:$I$204,K1005)))</f>
        <v/>
      </c>
      <c r="O1005" s="11">
        <f>IF(A1005="","",IF(K1005="",0,J1005*INDEX(Products!$H$5:$H$204,K1005)))</f>
        <v/>
      </c>
      <c r="P1005" s="11">
        <f>IF(A1005="","",J1005-M1005-N1005-O1005)</f>
        <v/>
      </c>
    </row>
    <row r="1006">
      <c r="A1006">
        <f>IFERROR(INDEX('Shopify Import'!$A:$CZ,1006,Settings!$E$20)&amp;"","")</f>
        <v/>
      </c>
      <c r="B1006">
        <f>IFERROR(INDEX('Shopify Import'!$A:$CZ,1006,Settings!$E$21)&amp;"","")</f>
        <v/>
      </c>
      <c r="C1006">
        <f>IFERROR(INDEX('Shopify Import'!$A:$CZ,1006,Settings!$E$22)&amp;"","")</f>
        <v/>
      </c>
      <c r="D1006">
        <f>IF(A1006="","",IFERROR(VALUE(SUBSTITUTE(SUBSTITUTE(INDEX('Shopify Import'!$A:$CZ,1006,Settings!$E$23)&amp;"","$",""),",","")),0))</f>
        <v/>
      </c>
      <c r="E1006" s="11">
        <f>IF(A1006="","",IFERROR(VALUE(SUBSTITUTE(SUBSTITUTE(INDEX('Shopify Import'!$A:$CZ,1006,Settings!$E$24)&amp;"","$",""),",","")),0))</f>
        <v/>
      </c>
      <c r="F1006" s="11">
        <f>IF(A1006="","",D1006*E1006)</f>
        <v/>
      </c>
      <c r="G1006">
        <f>IF(A1006="","",IF(C1006="",1,COUNTIF($C$2:$C$1501,C1006)))</f>
        <v/>
      </c>
      <c r="H1006" s="11">
        <f>IF(A1006="","",IFERROR(VALUE(SUBSTITUTE(SUBSTITUTE(INDEX('Shopify Import'!$A:$CZ,1006,Settings!$E$25)&amp;"","$",""),",","")),0)/IF(Settings!$D$27="Yes",G1006,1))</f>
        <v/>
      </c>
      <c r="I1006" s="11">
        <f>IF(A1006="","",IFERROR(VALUE(SUBSTITUTE(SUBSTITUTE(INDEX('Shopify Import'!$A:$CZ,1006,Settings!$E$26)&amp;"","$",""),",","")),0)/IF(Settings!$D$27="Yes",G1006,1))</f>
        <v/>
      </c>
      <c r="J1006" s="11">
        <f>IF(A1006="","",F1006+H1006-I1006)</f>
        <v/>
      </c>
      <c r="K1006">
        <f>IF(A1006="","",IFERROR(IF(B1006="",NA(),MATCH(B1006,Products!$B$5:$B$204,0)),IFERROR(MATCH(A1006,Products!$A$5:$A$204,0),"")))</f>
        <v/>
      </c>
      <c r="L1006">
        <f>IF(A1006="","",IF(K1006="","⚠ not in Products",INDEX(Products!$A$5:$A$204,K1006)))</f>
        <v/>
      </c>
      <c r="M1006" s="11">
        <f>IF(A1006="","",J1006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1006+IFERROR(INDEX(Settings!$D$5:$D$9,MATCH("Shopify",Settings!$A$5:$A$9,0)),0)*D1006)</f>
        <v/>
      </c>
      <c r="N1006" s="11">
        <f>IF(A1006="","",IF(K1006="",0,D1006*INDEX(Products!$I$5:$I$204,K1006)))</f>
        <v/>
      </c>
      <c r="O1006" s="11">
        <f>IF(A1006="","",IF(K1006="",0,J1006*INDEX(Products!$H$5:$H$204,K1006)))</f>
        <v/>
      </c>
      <c r="P1006" s="11">
        <f>IF(A1006="","",J1006-M1006-N1006-O1006)</f>
        <v/>
      </c>
    </row>
    <row r="1007">
      <c r="A1007">
        <f>IFERROR(INDEX('Shopify Import'!$A:$CZ,1007,Settings!$E$20)&amp;"","")</f>
        <v/>
      </c>
      <c r="B1007">
        <f>IFERROR(INDEX('Shopify Import'!$A:$CZ,1007,Settings!$E$21)&amp;"","")</f>
        <v/>
      </c>
      <c r="C1007">
        <f>IFERROR(INDEX('Shopify Import'!$A:$CZ,1007,Settings!$E$22)&amp;"","")</f>
        <v/>
      </c>
      <c r="D1007">
        <f>IF(A1007="","",IFERROR(VALUE(SUBSTITUTE(SUBSTITUTE(INDEX('Shopify Import'!$A:$CZ,1007,Settings!$E$23)&amp;"","$",""),",","")),0))</f>
        <v/>
      </c>
      <c r="E1007" s="11">
        <f>IF(A1007="","",IFERROR(VALUE(SUBSTITUTE(SUBSTITUTE(INDEX('Shopify Import'!$A:$CZ,1007,Settings!$E$24)&amp;"","$",""),",","")),0))</f>
        <v/>
      </c>
      <c r="F1007" s="11">
        <f>IF(A1007="","",D1007*E1007)</f>
        <v/>
      </c>
      <c r="G1007">
        <f>IF(A1007="","",IF(C1007="",1,COUNTIF($C$2:$C$1501,C1007)))</f>
        <v/>
      </c>
      <c r="H1007" s="11">
        <f>IF(A1007="","",IFERROR(VALUE(SUBSTITUTE(SUBSTITUTE(INDEX('Shopify Import'!$A:$CZ,1007,Settings!$E$25)&amp;"","$",""),",","")),0)/IF(Settings!$D$27="Yes",G1007,1))</f>
        <v/>
      </c>
      <c r="I1007" s="11">
        <f>IF(A1007="","",IFERROR(VALUE(SUBSTITUTE(SUBSTITUTE(INDEX('Shopify Import'!$A:$CZ,1007,Settings!$E$26)&amp;"","$",""),",","")),0)/IF(Settings!$D$27="Yes",G1007,1))</f>
        <v/>
      </c>
      <c r="J1007" s="11">
        <f>IF(A1007="","",F1007+H1007-I1007)</f>
        <v/>
      </c>
      <c r="K1007">
        <f>IF(A1007="","",IFERROR(IF(B1007="",NA(),MATCH(B1007,Products!$B$5:$B$204,0)),IFERROR(MATCH(A1007,Products!$A$5:$A$204,0),"")))</f>
        <v/>
      </c>
      <c r="L1007">
        <f>IF(A1007="","",IF(K1007="","⚠ not in Products",INDEX(Products!$A$5:$A$204,K1007)))</f>
        <v/>
      </c>
      <c r="M1007" s="11">
        <f>IF(A1007="","",J1007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1007+IFERROR(INDEX(Settings!$D$5:$D$9,MATCH("Shopify",Settings!$A$5:$A$9,0)),0)*D1007)</f>
        <v/>
      </c>
      <c r="N1007" s="11">
        <f>IF(A1007="","",IF(K1007="",0,D1007*INDEX(Products!$I$5:$I$204,K1007)))</f>
        <v/>
      </c>
      <c r="O1007" s="11">
        <f>IF(A1007="","",IF(K1007="",0,J1007*INDEX(Products!$H$5:$H$204,K1007)))</f>
        <v/>
      </c>
      <c r="P1007" s="11">
        <f>IF(A1007="","",J1007-M1007-N1007-O1007)</f>
        <v/>
      </c>
    </row>
    <row r="1008">
      <c r="A1008">
        <f>IFERROR(INDEX('Shopify Import'!$A:$CZ,1008,Settings!$E$20)&amp;"","")</f>
        <v/>
      </c>
      <c r="B1008">
        <f>IFERROR(INDEX('Shopify Import'!$A:$CZ,1008,Settings!$E$21)&amp;"","")</f>
        <v/>
      </c>
      <c r="C1008">
        <f>IFERROR(INDEX('Shopify Import'!$A:$CZ,1008,Settings!$E$22)&amp;"","")</f>
        <v/>
      </c>
      <c r="D1008">
        <f>IF(A1008="","",IFERROR(VALUE(SUBSTITUTE(SUBSTITUTE(INDEX('Shopify Import'!$A:$CZ,1008,Settings!$E$23)&amp;"","$",""),",","")),0))</f>
        <v/>
      </c>
      <c r="E1008" s="11">
        <f>IF(A1008="","",IFERROR(VALUE(SUBSTITUTE(SUBSTITUTE(INDEX('Shopify Import'!$A:$CZ,1008,Settings!$E$24)&amp;"","$",""),",","")),0))</f>
        <v/>
      </c>
      <c r="F1008" s="11">
        <f>IF(A1008="","",D1008*E1008)</f>
        <v/>
      </c>
      <c r="G1008">
        <f>IF(A1008="","",IF(C1008="",1,COUNTIF($C$2:$C$1501,C1008)))</f>
        <v/>
      </c>
      <c r="H1008" s="11">
        <f>IF(A1008="","",IFERROR(VALUE(SUBSTITUTE(SUBSTITUTE(INDEX('Shopify Import'!$A:$CZ,1008,Settings!$E$25)&amp;"","$",""),",","")),0)/IF(Settings!$D$27="Yes",G1008,1))</f>
        <v/>
      </c>
      <c r="I1008" s="11">
        <f>IF(A1008="","",IFERROR(VALUE(SUBSTITUTE(SUBSTITUTE(INDEX('Shopify Import'!$A:$CZ,1008,Settings!$E$26)&amp;"","$",""),",","")),0)/IF(Settings!$D$27="Yes",G1008,1))</f>
        <v/>
      </c>
      <c r="J1008" s="11">
        <f>IF(A1008="","",F1008+H1008-I1008)</f>
        <v/>
      </c>
      <c r="K1008">
        <f>IF(A1008="","",IFERROR(IF(B1008="",NA(),MATCH(B1008,Products!$B$5:$B$204,0)),IFERROR(MATCH(A1008,Products!$A$5:$A$204,0),"")))</f>
        <v/>
      </c>
      <c r="L1008">
        <f>IF(A1008="","",IF(K1008="","⚠ not in Products",INDEX(Products!$A$5:$A$204,K1008)))</f>
        <v/>
      </c>
      <c r="M1008" s="11">
        <f>IF(A1008="","",J1008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1008+IFERROR(INDEX(Settings!$D$5:$D$9,MATCH("Shopify",Settings!$A$5:$A$9,0)),0)*D1008)</f>
        <v/>
      </c>
      <c r="N1008" s="11">
        <f>IF(A1008="","",IF(K1008="",0,D1008*INDEX(Products!$I$5:$I$204,K1008)))</f>
        <v/>
      </c>
      <c r="O1008" s="11">
        <f>IF(A1008="","",IF(K1008="",0,J1008*INDEX(Products!$H$5:$H$204,K1008)))</f>
        <v/>
      </c>
      <c r="P1008" s="11">
        <f>IF(A1008="","",J1008-M1008-N1008-O1008)</f>
        <v/>
      </c>
    </row>
    <row r="1009">
      <c r="A1009">
        <f>IFERROR(INDEX('Shopify Import'!$A:$CZ,1009,Settings!$E$20)&amp;"","")</f>
        <v/>
      </c>
      <c r="B1009">
        <f>IFERROR(INDEX('Shopify Import'!$A:$CZ,1009,Settings!$E$21)&amp;"","")</f>
        <v/>
      </c>
      <c r="C1009">
        <f>IFERROR(INDEX('Shopify Import'!$A:$CZ,1009,Settings!$E$22)&amp;"","")</f>
        <v/>
      </c>
      <c r="D1009">
        <f>IF(A1009="","",IFERROR(VALUE(SUBSTITUTE(SUBSTITUTE(INDEX('Shopify Import'!$A:$CZ,1009,Settings!$E$23)&amp;"","$",""),",","")),0))</f>
        <v/>
      </c>
      <c r="E1009" s="11">
        <f>IF(A1009="","",IFERROR(VALUE(SUBSTITUTE(SUBSTITUTE(INDEX('Shopify Import'!$A:$CZ,1009,Settings!$E$24)&amp;"","$",""),",","")),0))</f>
        <v/>
      </c>
      <c r="F1009" s="11">
        <f>IF(A1009="","",D1009*E1009)</f>
        <v/>
      </c>
      <c r="G1009">
        <f>IF(A1009="","",IF(C1009="",1,COUNTIF($C$2:$C$1501,C1009)))</f>
        <v/>
      </c>
      <c r="H1009" s="11">
        <f>IF(A1009="","",IFERROR(VALUE(SUBSTITUTE(SUBSTITUTE(INDEX('Shopify Import'!$A:$CZ,1009,Settings!$E$25)&amp;"","$",""),",","")),0)/IF(Settings!$D$27="Yes",G1009,1))</f>
        <v/>
      </c>
      <c r="I1009" s="11">
        <f>IF(A1009="","",IFERROR(VALUE(SUBSTITUTE(SUBSTITUTE(INDEX('Shopify Import'!$A:$CZ,1009,Settings!$E$26)&amp;"","$",""),",","")),0)/IF(Settings!$D$27="Yes",G1009,1))</f>
        <v/>
      </c>
      <c r="J1009" s="11">
        <f>IF(A1009="","",F1009+H1009-I1009)</f>
        <v/>
      </c>
      <c r="K1009">
        <f>IF(A1009="","",IFERROR(IF(B1009="",NA(),MATCH(B1009,Products!$B$5:$B$204,0)),IFERROR(MATCH(A1009,Products!$A$5:$A$204,0),"")))</f>
        <v/>
      </c>
      <c r="L1009">
        <f>IF(A1009="","",IF(K1009="","⚠ not in Products",INDEX(Products!$A$5:$A$204,K1009)))</f>
        <v/>
      </c>
      <c r="M1009" s="11">
        <f>IF(A1009="","",J1009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1009+IFERROR(INDEX(Settings!$D$5:$D$9,MATCH("Shopify",Settings!$A$5:$A$9,0)),0)*D1009)</f>
        <v/>
      </c>
      <c r="N1009" s="11">
        <f>IF(A1009="","",IF(K1009="",0,D1009*INDEX(Products!$I$5:$I$204,K1009)))</f>
        <v/>
      </c>
      <c r="O1009" s="11">
        <f>IF(A1009="","",IF(K1009="",0,J1009*INDEX(Products!$H$5:$H$204,K1009)))</f>
        <v/>
      </c>
      <c r="P1009" s="11">
        <f>IF(A1009="","",J1009-M1009-N1009-O1009)</f>
        <v/>
      </c>
    </row>
    <row r="1010">
      <c r="A1010">
        <f>IFERROR(INDEX('Shopify Import'!$A:$CZ,1010,Settings!$E$20)&amp;"","")</f>
        <v/>
      </c>
      <c r="B1010">
        <f>IFERROR(INDEX('Shopify Import'!$A:$CZ,1010,Settings!$E$21)&amp;"","")</f>
        <v/>
      </c>
      <c r="C1010">
        <f>IFERROR(INDEX('Shopify Import'!$A:$CZ,1010,Settings!$E$22)&amp;"","")</f>
        <v/>
      </c>
      <c r="D1010">
        <f>IF(A1010="","",IFERROR(VALUE(SUBSTITUTE(SUBSTITUTE(INDEX('Shopify Import'!$A:$CZ,1010,Settings!$E$23)&amp;"","$",""),",","")),0))</f>
        <v/>
      </c>
      <c r="E1010" s="11">
        <f>IF(A1010="","",IFERROR(VALUE(SUBSTITUTE(SUBSTITUTE(INDEX('Shopify Import'!$A:$CZ,1010,Settings!$E$24)&amp;"","$",""),",","")),0))</f>
        <v/>
      </c>
      <c r="F1010" s="11">
        <f>IF(A1010="","",D1010*E1010)</f>
        <v/>
      </c>
      <c r="G1010">
        <f>IF(A1010="","",IF(C1010="",1,COUNTIF($C$2:$C$1501,C1010)))</f>
        <v/>
      </c>
      <c r="H1010" s="11">
        <f>IF(A1010="","",IFERROR(VALUE(SUBSTITUTE(SUBSTITUTE(INDEX('Shopify Import'!$A:$CZ,1010,Settings!$E$25)&amp;"","$",""),",","")),0)/IF(Settings!$D$27="Yes",G1010,1))</f>
        <v/>
      </c>
      <c r="I1010" s="11">
        <f>IF(A1010="","",IFERROR(VALUE(SUBSTITUTE(SUBSTITUTE(INDEX('Shopify Import'!$A:$CZ,1010,Settings!$E$26)&amp;"","$",""),",","")),0)/IF(Settings!$D$27="Yes",G1010,1))</f>
        <v/>
      </c>
      <c r="J1010" s="11">
        <f>IF(A1010="","",F1010+H1010-I1010)</f>
        <v/>
      </c>
      <c r="K1010">
        <f>IF(A1010="","",IFERROR(IF(B1010="",NA(),MATCH(B1010,Products!$B$5:$B$204,0)),IFERROR(MATCH(A1010,Products!$A$5:$A$204,0),"")))</f>
        <v/>
      </c>
      <c r="L1010">
        <f>IF(A1010="","",IF(K1010="","⚠ not in Products",INDEX(Products!$A$5:$A$204,K1010)))</f>
        <v/>
      </c>
      <c r="M1010" s="11">
        <f>IF(A1010="","",J1010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1010+IFERROR(INDEX(Settings!$D$5:$D$9,MATCH("Shopify",Settings!$A$5:$A$9,0)),0)*D1010)</f>
        <v/>
      </c>
      <c r="N1010" s="11">
        <f>IF(A1010="","",IF(K1010="",0,D1010*INDEX(Products!$I$5:$I$204,K1010)))</f>
        <v/>
      </c>
      <c r="O1010" s="11">
        <f>IF(A1010="","",IF(K1010="",0,J1010*INDEX(Products!$H$5:$H$204,K1010)))</f>
        <v/>
      </c>
      <c r="P1010" s="11">
        <f>IF(A1010="","",J1010-M1010-N1010-O1010)</f>
        <v/>
      </c>
    </row>
    <row r="1011">
      <c r="A1011">
        <f>IFERROR(INDEX('Shopify Import'!$A:$CZ,1011,Settings!$E$20)&amp;"","")</f>
        <v/>
      </c>
      <c r="B1011">
        <f>IFERROR(INDEX('Shopify Import'!$A:$CZ,1011,Settings!$E$21)&amp;"","")</f>
        <v/>
      </c>
      <c r="C1011">
        <f>IFERROR(INDEX('Shopify Import'!$A:$CZ,1011,Settings!$E$22)&amp;"","")</f>
        <v/>
      </c>
      <c r="D1011">
        <f>IF(A1011="","",IFERROR(VALUE(SUBSTITUTE(SUBSTITUTE(INDEX('Shopify Import'!$A:$CZ,1011,Settings!$E$23)&amp;"","$",""),",","")),0))</f>
        <v/>
      </c>
      <c r="E1011" s="11">
        <f>IF(A1011="","",IFERROR(VALUE(SUBSTITUTE(SUBSTITUTE(INDEX('Shopify Import'!$A:$CZ,1011,Settings!$E$24)&amp;"","$",""),",","")),0))</f>
        <v/>
      </c>
      <c r="F1011" s="11">
        <f>IF(A1011="","",D1011*E1011)</f>
        <v/>
      </c>
      <c r="G1011">
        <f>IF(A1011="","",IF(C1011="",1,COUNTIF($C$2:$C$1501,C1011)))</f>
        <v/>
      </c>
      <c r="H1011" s="11">
        <f>IF(A1011="","",IFERROR(VALUE(SUBSTITUTE(SUBSTITUTE(INDEX('Shopify Import'!$A:$CZ,1011,Settings!$E$25)&amp;"","$",""),",","")),0)/IF(Settings!$D$27="Yes",G1011,1))</f>
        <v/>
      </c>
      <c r="I1011" s="11">
        <f>IF(A1011="","",IFERROR(VALUE(SUBSTITUTE(SUBSTITUTE(INDEX('Shopify Import'!$A:$CZ,1011,Settings!$E$26)&amp;"","$",""),",","")),0)/IF(Settings!$D$27="Yes",G1011,1))</f>
        <v/>
      </c>
      <c r="J1011" s="11">
        <f>IF(A1011="","",F1011+H1011-I1011)</f>
        <v/>
      </c>
      <c r="K1011">
        <f>IF(A1011="","",IFERROR(IF(B1011="",NA(),MATCH(B1011,Products!$B$5:$B$204,0)),IFERROR(MATCH(A1011,Products!$A$5:$A$204,0),"")))</f>
        <v/>
      </c>
      <c r="L1011">
        <f>IF(A1011="","",IF(K1011="","⚠ not in Products",INDEX(Products!$A$5:$A$204,K1011)))</f>
        <v/>
      </c>
      <c r="M1011" s="11">
        <f>IF(A1011="","",J1011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1011+IFERROR(INDEX(Settings!$D$5:$D$9,MATCH("Shopify",Settings!$A$5:$A$9,0)),0)*D1011)</f>
        <v/>
      </c>
      <c r="N1011" s="11">
        <f>IF(A1011="","",IF(K1011="",0,D1011*INDEX(Products!$I$5:$I$204,K1011)))</f>
        <v/>
      </c>
      <c r="O1011" s="11">
        <f>IF(A1011="","",IF(K1011="",0,J1011*INDEX(Products!$H$5:$H$204,K1011)))</f>
        <v/>
      </c>
      <c r="P1011" s="11">
        <f>IF(A1011="","",J1011-M1011-N1011-O1011)</f>
        <v/>
      </c>
    </row>
    <row r="1012">
      <c r="A1012">
        <f>IFERROR(INDEX('Shopify Import'!$A:$CZ,1012,Settings!$E$20)&amp;"","")</f>
        <v/>
      </c>
      <c r="B1012">
        <f>IFERROR(INDEX('Shopify Import'!$A:$CZ,1012,Settings!$E$21)&amp;"","")</f>
        <v/>
      </c>
      <c r="C1012">
        <f>IFERROR(INDEX('Shopify Import'!$A:$CZ,1012,Settings!$E$22)&amp;"","")</f>
        <v/>
      </c>
      <c r="D1012">
        <f>IF(A1012="","",IFERROR(VALUE(SUBSTITUTE(SUBSTITUTE(INDEX('Shopify Import'!$A:$CZ,1012,Settings!$E$23)&amp;"","$",""),",","")),0))</f>
        <v/>
      </c>
      <c r="E1012" s="11">
        <f>IF(A1012="","",IFERROR(VALUE(SUBSTITUTE(SUBSTITUTE(INDEX('Shopify Import'!$A:$CZ,1012,Settings!$E$24)&amp;"","$",""),",","")),0))</f>
        <v/>
      </c>
      <c r="F1012" s="11">
        <f>IF(A1012="","",D1012*E1012)</f>
        <v/>
      </c>
      <c r="G1012">
        <f>IF(A1012="","",IF(C1012="",1,COUNTIF($C$2:$C$1501,C1012)))</f>
        <v/>
      </c>
      <c r="H1012" s="11">
        <f>IF(A1012="","",IFERROR(VALUE(SUBSTITUTE(SUBSTITUTE(INDEX('Shopify Import'!$A:$CZ,1012,Settings!$E$25)&amp;"","$",""),",","")),0)/IF(Settings!$D$27="Yes",G1012,1))</f>
        <v/>
      </c>
      <c r="I1012" s="11">
        <f>IF(A1012="","",IFERROR(VALUE(SUBSTITUTE(SUBSTITUTE(INDEX('Shopify Import'!$A:$CZ,1012,Settings!$E$26)&amp;"","$",""),",","")),0)/IF(Settings!$D$27="Yes",G1012,1))</f>
        <v/>
      </c>
      <c r="J1012" s="11">
        <f>IF(A1012="","",F1012+H1012-I1012)</f>
        <v/>
      </c>
      <c r="K1012">
        <f>IF(A1012="","",IFERROR(IF(B1012="",NA(),MATCH(B1012,Products!$B$5:$B$204,0)),IFERROR(MATCH(A1012,Products!$A$5:$A$204,0),"")))</f>
        <v/>
      </c>
      <c r="L1012">
        <f>IF(A1012="","",IF(K1012="","⚠ not in Products",INDEX(Products!$A$5:$A$204,K1012)))</f>
        <v/>
      </c>
      <c r="M1012" s="11">
        <f>IF(A1012="","",J1012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1012+IFERROR(INDEX(Settings!$D$5:$D$9,MATCH("Shopify",Settings!$A$5:$A$9,0)),0)*D1012)</f>
        <v/>
      </c>
      <c r="N1012" s="11">
        <f>IF(A1012="","",IF(K1012="",0,D1012*INDEX(Products!$I$5:$I$204,K1012)))</f>
        <v/>
      </c>
      <c r="O1012" s="11">
        <f>IF(A1012="","",IF(K1012="",0,J1012*INDEX(Products!$H$5:$H$204,K1012)))</f>
        <v/>
      </c>
      <c r="P1012" s="11">
        <f>IF(A1012="","",J1012-M1012-N1012-O1012)</f>
        <v/>
      </c>
    </row>
    <row r="1013">
      <c r="A1013">
        <f>IFERROR(INDEX('Shopify Import'!$A:$CZ,1013,Settings!$E$20)&amp;"","")</f>
        <v/>
      </c>
      <c r="B1013">
        <f>IFERROR(INDEX('Shopify Import'!$A:$CZ,1013,Settings!$E$21)&amp;"","")</f>
        <v/>
      </c>
      <c r="C1013">
        <f>IFERROR(INDEX('Shopify Import'!$A:$CZ,1013,Settings!$E$22)&amp;"","")</f>
        <v/>
      </c>
      <c r="D1013">
        <f>IF(A1013="","",IFERROR(VALUE(SUBSTITUTE(SUBSTITUTE(INDEX('Shopify Import'!$A:$CZ,1013,Settings!$E$23)&amp;"","$",""),",","")),0))</f>
        <v/>
      </c>
      <c r="E1013" s="11">
        <f>IF(A1013="","",IFERROR(VALUE(SUBSTITUTE(SUBSTITUTE(INDEX('Shopify Import'!$A:$CZ,1013,Settings!$E$24)&amp;"","$",""),",","")),0))</f>
        <v/>
      </c>
      <c r="F1013" s="11">
        <f>IF(A1013="","",D1013*E1013)</f>
        <v/>
      </c>
      <c r="G1013">
        <f>IF(A1013="","",IF(C1013="",1,COUNTIF($C$2:$C$1501,C1013)))</f>
        <v/>
      </c>
      <c r="H1013" s="11">
        <f>IF(A1013="","",IFERROR(VALUE(SUBSTITUTE(SUBSTITUTE(INDEX('Shopify Import'!$A:$CZ,1013,Settings!$E$25)&amp;"","$",""),",","")),0)/IF(Settings!$D$27="Yes",G1013,1))</f>
        <v/>
      </c>
      <c r="I1013" s="11">
        <f>IF(A1013="","",IFERROR(VALUE(SUBSTITUTE(SUBSTITUTE(INDEX('Shopify Import'!$A:$CZ,1013,Settings!$E$26)&amp;"","$",""),",","")),0)/IF(Settings!$D$27="Yes",G1013,1))</f>
        <v/>
      </c>
      <c r="J1013" s="11">
        <f>IF(A1013="","",F1013+H1013-I1013)</f>
        <v/>
      </c>
      <c r="K1013">
        <f>IF(A1013="","",IFERROR(IF(B1013="",NA(),MATCH(B1013,Products!$B$5:$B$204,0)),IFERROR(MATCH(A1013,Products!$A$5:$A$204,0),"")))</f>
        <v/>
      </c>
      <c r="L1013">
        <f>IF(A1013="","",IF(K1013="","⚠ not in Products",INDEX(Products!$A$5:$A$204,K1013)))</f>
        <v/>
      </c>
      <c r="M1013" s="11">
        <f>IF(A1013="","",J1013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1013+IFERROR(INDEX(Settings!$D$5:$D$9,MATCH("Shopify",Settings!$A$5:$A$9,0)),0)*D1013)</f>
        <v/>
      </c>
      <c r="N1013" s="11">
        <f>IF(A1013="","",IF(K1013="",0,D1013*INDEX(Products!$I$5:$I$204,K1013)))</f>
        <v/>
      </c>
      <c r="O1013" s="11">
        <f>IF(A1013="","",IF(K1013="",0,J1013*INDEX(Products!$H$5:$H$204,K1013)))</f>
        <v/>
      </c>
      <c r="P1013" s="11">
        <f>IF(A1013="","",J1013-M1013-N1013-O1013)</f>
        <v/>
      </c>
    </row>
    <row r="1014">
      <c r="A1014">
        <f>IFERROR(INDEX('Shopify Import'!$A:$CZ,1014,Settings!$E$20)&amp;"","")</f>
        <v/>
      </c>
      <c r="B1014">
        <f>IFERROR(INDEX('Shopify Import'!$A:$CZ,1014,Settings!$E$21)&amp;"","")</f>
        <v/>
      </c>
      <c r="C1014">
        <f>IFERROR(INDEX('Shopify Import'!$A:$CZ,1014,Settings!$E$22)&amp;"","")</f>
        <v/>
      </c>
      <c r="D1014">
        <f>IF(A1014="","",IFERROR(VALUE(SUBSTITUTE(SUBSTITUTE(INDEX('Shopify Import'!$A:$CZ,1014,Settings!$E$23)&amp;"","$",""),",","")),0))</f>
        <v/>
      </c>
      <c r="E1014" s="11">
        <f>IF(A1014="","",IFERROR(VALUE(SUBSTITUTE(SUBSTITUTE(INDEX('Shopify Import'!$A:$CZ,1014,Settings!$E$24)&amp;"","$",""),",","")),0))</f>
        <v/>
      </c>
      <c r="F1014" s="11">
        <f>IF(A1014="","",D1014*E1014)</f>
        <v/>
      </c>
      <c r="G1014">
        <f>IF(A1014="","",IF(C1014="",1,COUNTIF($C$2:$C$1501,C1014)))</f>
        <v/>
      </c>
      <c r="H1014" s="11">
        <f>IF(A1014="","",IFERROR(VALUE(SUBSTITUTE(SUBSTITUTE(INDEX('Shopify Import'!$A:$CZ,1014,Settings!$E$25)&amp;"","$",""),",","")),0)/IF(Settings!$D$27="Yes",G1014,1))</f>
        <v/>
      </c>
      <c r="I1014" s="11">
        <f>IF(A1014="","",IFERROR(VALUE(SUBSTITUTE(SUBSTITUTE(INDEX('Shopify Import'!$A:$CZ,1014,Settings!$E$26)&amp;"","$",""),",","")),0)/IF(Settings!$D$27="Yes",G1014,1))</f>
        <v/>
      </c>
      <c r="J1014" s="11">
        <f>IF(A1014="","",F1014+H1014-I1014)</f>
        <v/>
      </c>
      <c r="K1014">
        <f>IF(A1014="","",IFERROR(IF(B1014="",NA(),MATCH(B1014,Products!$B$5:$B$204,0)),IFERROR(MATCH(A1014,Products!$A$5:$A$204,0),"")))</f>
        <v/>
      </c>
      <c r="L1014">
        <f>IF(A1014="","",IF(K1014="","⚠ not in Products",INDEX(Products!$A$5:$A$204,K1014)))</f>
        <v/>
      </c>
      <c r="M1014" s="11">
        <f>IF(A1014="","",J1014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1014+IFERROR(INDEX(Settings!$D$5:$D$9,MATCH("Shopify",Settings!$A$5:$A$9,0)),0)*D1014)</f>
        <v/>
      </c>
      <c r="N1014" s="11">
        <f>IF(A1014="","",IF(K1014="",0,D1014*INDEX(Products!$I$5:$I$204,K1014)))</f>
        <v/>
      </c>
      <c r="O1014" s="11">
        <f>IF(A1014="","",IF(K1014="",0,J1014*INDEX(Products!$H$5:$H$204,K1014)))</f>
        <v/>
      </c>
      <c r="P1014" s="11">
        <f>IF(A1014="","",J1014-M1014-N1014-O1014)</f>
        <v/>
      </c>
    </row>
    <row r="1015">
      <c r="A1015">
        <f>IFERROR(INDEX('Shopify Import'!$A:$CZ,1015,Settings!$E$20)&amp;"","")</f>
        <v/>
      </c>
      <c r="B1015">
        <f>IFERROR(INDEX('Shopify Import'!$A:$CZ,1015,Settings!$E$21)&amp;"","")</f>
        <v/>
      </c>
      <c r="C1015">
        <f>IFERROR(INDEX('Shopify Import'!$A:$CZ,1015,Settings!$E$22)&amp;"","")</f>
        <v/>
      </c>
      <c r="D1015">
        <f>IF(A1015="","",IFERROR(VALUE(SUBSTITUTE(SUBSTITUTE(INDEX('Shopify Import'!$A:$CZ,1015,Settings!$E$23)&amp;"","$",""),",","")),0))</f>
        <v/>
      </c>
      <c r="E1015" s="11">
        <f>IF(A1015="","",IFERROR(VALUE(SUBSTITUTE(SUBSTITUTE(INDEX('Shopify Import'!$A:$CZ,1015,Settings!$E$24)&amp;"","$",""),",","")),0))</f>
        <v/>
      </c>
      <c r="F1015" s="11">
        <f>IF(A1015="","",D1015*E1015)</f>
        <v/>
      </c>
      <c r="G1015">
        <f>IF(A1015="","",IF(C1015="",1,COUNTIF($C$2:$C$1501,C1015)))</f>
        <v/>
      </c>
      <c r="H1015" s="11">
        <f>IF(A1015="","",IFERROR(VALUE(SUBSTITUTE(SUBSTITUTE(INDEX('Shopify Import'!$A:$CZ,1015,Settings!$E$25)&amp;"","$",""),",","")),0)/IF(Settings!$D$27="Yes",G1015,1))</f>
        <v/>
      </c>
      <c r="I1015" s="11">
        <f>IF(A1015="","",IFERROR(VALUE(SUBSTITUTE(SUBSTITUTE(INDEX('Shopify Import'!$A:$CZ,1015,Settings!$E$26)&amp;"","$",""),",","")),0)/IF(Settings!$D$27="Yes",G1015,1))</f>
        <v/>
      </c>
      <c r="J1015" s="11">
        <f>IF(A1015="","",F1015+H1015-I1015)</f>
        <v/>
      </c>
      <c r="K1015">
        <f>IF(A1015="","",IFERROR(IF(B1015="",NA(),MATCH(B1015,Products!$B$5:$B$204,0)),IFERROR(MATCH(A1015,Products!$A$5:$A$204,0),"")))</f>
        <v/>
      </c>
      <c r="L1015">
        <f>IF(A1015="","",IF(K1015="","⚠ not in Products",INDEX(Products!$A$5:$A$204,K1015)))</f>
        <v/>
      </c>
      <c r="M1015" s="11">
        <f>IF(A1015="","",J1015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1015+IFERROR(INDEX(Settings!$D$5:$D$9,MATCH("Shopify",Settings!$A$5:$A$9,0)),0)*D1015)</f>
        <v/>
      </c>
      <c r="N1015" s="11">
        <f>IF(A1015="","",IF(K1015="",0,D1015*INDEX(Products!$I$5:$I$204,K1015)))</f>
        <v/>
      </c>
      <c r="O1015" s="11">
        <f>IF(A1015="","",IF(K1015="",0,J1015*INDEX(Products!$H$5:$H$204,K1015)))</f>
        <v/>
      </c>
      <c r="P1015" s="11">
        <f>IF(A1015="","",J1015-M1015-N1015-O1015)</f>
        <v/>
      </c>
    </row>
    <row r="1016">
      <c r="A1016">
        <f>IFERROR(INDEX('Shopify Import'!$A:$CZ,1016,Settings!$E$20)&amp;"","")</f>
        <v/>
      </c>
      <c r="B1016">
        <f>IFERROR(INDEX('Shopify Import'!$A:$CZ,1016,Settings!$E$21)&amp;"","")</f>
        <v/>
      </c>
      <c r="C1016">
        <f>IFERROR(INDEX('Shopify Import'!$A:$CZ,1016,Settings!$E$22)&amp;"","")</f>
        <v/>
      </c>
      <c r="D1016">
        <f>IF(A1016="","",IFERROR(VALUE(SUBSTITUTE(SUBSTITUTE(INDEX('Shopify Import'!$A:$CZ,1016,Settings!$E$23)&amp;"","$",""),",","")),0))</f>
        <v/>
      </c>
      <c r="E1016" s="11">
        <f>IF(A1016="","",IFERROR(VALUE(SUBSTITUTE(SUBSTITUTE(INDEX('Shopify Import'!$A:$CZ,1016,Settings!$E$24)&amp;"","$",""),",","")),0))</f>
        <v/>
      </c>
      <c r="F1016" s="11">
        <f>IF(A1016="","",D1016*E1016)</f>
        <v/>
      </c>
      <c r="G1016">
        <f>IF(A1016="","",IF(C1016="",1,COUNTIF($C$2:$C$1501,C1016)))</f>
        <v/>
      </c>
      <c r="H1016" s="11">
        <f>IF(A1016="","",IFERROR(VALUE(SUBSTITUTE(SUBSTITUTE(INDEX('Shopify Import'!$A:$CZ,1016,Settings!$E$25)&amp;"","$",""),",","")),0)/IF(Settings!$D$27="Yes",G1016,1))</f>
        <v/>
      </c>
      <c r="I1016" s="11">
        <f>IF(A1016="","",IFERROR(VALUE(SUBSTITUTE(SUBSTITUTE(INDEX('Shopify Import'!$A:$CZ,1016,Settings!$E$26)&amp;"","$",""),",","")),0)/IF(Settings!$D$27="Yes",G1016,1))</f>
        <v/>
      </c>
      <c r="J1016" s="11">
        <f>IF(A1016="","",F1016+H1016-I1016)</f>
        <v/>
      </c>
      <c r="K1016">
        <f>IF(A1016="","",IFERROR(IF(B1016="",NA(),MATCH(B1016,Products!$B$5:$B$204,0)),IFERROR(MATCH(A1016,Products!$A$5:$A$204,0),"")))</f>
        <v/>
      </c>
      <c r="L1016">
        <f>IF(A1016="","",IF(K1016="","⚠ not in Products",INDEX(Products!$A$5:$A$204,K1016)))</f>
        <v/>
      </c>
      <c r="M1016" s="11">
        <f>IF(A1016="","",J1016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1016+IFERROR(INDEX(Settings!$D$5:$D$9,MATCH("Shopify",Settings!$A$5:$A$9,0)),0)*D1016)</f>
        <v/>
      </c>
      <c r="N1016" s="11">
        <f>IF(A1016="","",IF(K1016="",0,D1016*INDEX(Products!$I$5:$I$204,K1016)))</f>
        <v/>
      </c>
      <c r="O1016" s="11">
        <f>IF(A1016="","",IF(K1016="",0,J1016*INDEX(Products!$H$5:$H$204,K1016)))</f>
        <v/>
      </c>
      <c r="P1016" s="11">
        <f>IF(A1016="","",J1016-M1016-N1016-O1016)</f>
        <v/>
      </c>
    </row>
    <row r="1017">
      <c r="A1017">
        <f>IFERROR(INDEX('Shopify Import'!$A:$CZ,1017,Settings!$E$20)&amp;"","")</f>
        <v/>
      </c>
      <c r="B1017">
        <f>IFERROR(INDEX('Shopify Import'!$A:$CZ,1017,Settings!$E$21)&amp;"","")</f>
        <v/>
      </c>
      <c r="C1017">
        <f>IFERROR(INDEX('Shopify Import'!$A:$CZ,1017,Settings!$E$22)&amp;"","")</f>
        <v/>
      </c>
      <c r="D1017">
        <f>IF(A1017="","",IFERROR(VALUE(SUBSTITUTE(SUBSTITUTE(INDEX('Shopify Import'!$A:$CZ,1017,Settings!$E$23)&amp;"","$",""),",","")),0))</f>
        <v/>
      </c>
      <c r="E1017" s="11">
        <f>IF(A1017="","",IFERROR(VALUE(SUBSTITUTE(SUBSTITUTE(INDEX('Shopify Import'!$A:$CZ,1017,Settings!$E$24)&amp;"","$",""),",","")),0))</f>
        <v/>
      </c>
      <c r="F1017" s="11">
        <f>IF(A1017="","",D1017*E1017)</f>
        <v/>
      </c>
      <c r="G1017">
        <f>IF(A1017="","",IF(C1017="",1,COUNTIF($C$2:$C$1501,C1017)))</f>
        <v/>
      </c>
      <c r="H1017" s="11">
        <f>IF(A1017="","",IFERROR(VALUE(SUBSTITUTE(SUBSTITUTE(INDEX('Shopify Import'!$A:$CZ,1017,Settings!$E$25)&amp;"","$",""),",","")),0)/IF(Settings!$D$27="Yes",G1017,1))</f>
        <v/>
      </c>
      <c r="I1017" s="11">
        <f>IF(A1017="","",IFERROR(VALUE(SUBSTITUTE(SUBSTITUTE(INDEX('Shopify Import'!$A:$CZ,1017,Settings!$E$26)&amp;"","$",""),",","")),0)/IF(Settings!$D$27="Yes",G1017,1))</f>
        <v/>
      </c>
      <c r="J1017" s="11">
        <f>IF(A1017="","",F1017+H1017-I1017)</f>
        <v/>
      </c>
      <c r="K1017">
        <f>IF(A1017="","",IFERROR(IF(B1017="",NA(),MATCH(B1017,Products!$B$5:$B$204,0)),IFERROR(MATCH(A1017,Products!$A$5:$A$204,0),"")))</f>
        <v/>
      </c>
      <c r="L1017">
        <f>IF(A1017="","",IF(K1017="","⚠ not in Products",INDEX(Products!$A$5:$A$204,K1017)))</f>
        <v/>
      </c>
      <c r="M1017" s="11">
        <f>IF(A1017="","",J1017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1017+IFERROR(INDEX(Settings!$D$5:$D$9,MATCH("Shopify",Settings!$A$5:$A$9,0)),0)*D1017)</f>
        <v/>
      </c>
      <c r="N1017" s="11">
        <f>IF(A1017="","",IF(K1017="",0,D1017*INDEX(Products!$I$5:$I$204,K1017)))</f>
        <v/>
      </c>
      <c r="O1017" s="11">
        <f>IF(A1017="","",IF(K1017="",0,J1017*INDEX(Products!$H$5:$H$204,K1017)))</f>
        <v/>
      </c>
      <c r="P1017" s="11">
        <f>IF(A1017="","",J1017-M1017-N1017-O1017)</f>
        <v/>
      </c>
    </row>
    <row r="1018">
      <c r="A1018">
        <f>IFERROR(INDEX('Shopify Import'!$A:$CZ,1018,Settings!$E$20)&amp;"","")</f>
        <v/>
      </c>
      <c r="B1018">
        <f>IFERROR(INDEX('Shopify Import'!$A:$CZ,1018,Settings!$E$21)&amp;"","")</f>
        <v/>
      </c>
      <c r="C1018">
        <f>IFERROR(INDEX('Shopify Import'!$A:$CZ,1018,Settings!$E$22)&amp;"","")</f>
        <v/>
      </c>
      <c r="D1018">
        <f>IF(A1018="","",IFERROR(VALUE(SUBSTITUTE(SUBSTITUTE(INDEX('Shopify Import'!$A:$CZ,1018,Settings!$E$23)&amp;"","$",""),",","")),0))</f>
        <v/>
      </c>
      <c r="E1018" s="11">
        <f>IF(A1018="","",IFERROR(VALUE(SUBSTITUTE(SUBSTITUTE(INDEX('Shopify Import'!$A:$CZ,1018,Settings!$E$24)&amp;"","$",""),",","")),0))</f>
        <v/>
      </c>
      <c r="F1018" s="11">
        <f>IF(A1018="","",D1018*E1018)</f>
        <v/>
      </c>
      <c r="G1018">
        <f>IF(A1018="","",IF(C1018="",1,COUNTIF($C$2:$C$1501,C1018)))</f>
        <v/>
      </c>
      <c r="H1018" s="11">
        <f>IF(A1018="","",IFERROR(VALUE(SUBSTITUTE(SUBSTITUTE(INDEX('Shopify Import'!$A:$CZ,1018,Settings!$E$25)&amp;"","$",""),",","")),0)/IF(Settings!$D$27="Yes",G1018,1))</f>
        <v/>
      </c>
      <c r="I1018" s="11">
        <f>IF(A1018="","",IFERROR(VALUE(SUBSTITUTE(SUBSTITUTE(INDEX('Shopify Import'!$A:$CZ,1018,Settings!$E$26)&amp;"","$",""),",","")),0)/IF(Settings!$D$27="Yes",G1018,1))</f>
        <v/>
      </c>
      <c r="J1018" s="11">
        <f>IF(A1018="","",F1018+H1018-I1018)</f>
        <v/>
      </c>
      <c r="K1018">
        <f>IF(A1018="","",IFERROR(IF(B1018="",NA(),MATCH(B1018,Products!$B$5:$B$204,0)),IFERROR(MATCH(A1018,Products!$A$5:$A$204,0),"")))</f>
        <v/>
      </c>
      <c r="L1018">
        <f>IF(A1018="","",IF(K1018="","⚠ not in Products",INDEX(Products!$A$5:$A$204,K1018)))</f>
        <v/>
      </c>
      <c r="M1018" s="11">
        <f>IF(A1018="","",J1018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1018+IFERROR(INDEX(Settings!$D$5:$D$9,MATCH("Shopify",Settings!$A$5:$A$9,0)),0)*D1018)</f>
        <v/>
      </c>
      <c r="N1018" s="11">
        <f>IF(A1018="","",IF(K1018="",0,D1018*INDEX(Products!$I$5:$I$204,K1018)))</f>
        <v/>
      </c>
      <c r="O1018" s="11">
        <f>IF(A1018="","",IF(K1018="",0,J1018*INDEX(Products!$H$5:$H$204,K1018)))</f>
        <v/>
      </c>
      <c r="P1018" s="11">
        <f>IF(A1018="","",J1018-M1018-N1018-O1018)</f>
        <v/>
      </c>
    </row>
    <row r="1019">
      <c r="A1019">
        <f>IFERROR(INDEX('Shopify Import'!$A:$CZ,1019,Settings!$E$20)&amp;"","")</f>
        <v/>
      </c>
      <c r="B1019">
        <f>IFERROR(INDEX('Shopify Import'!$A:$CZ,1019,Settings!$E$21)&amp;"","")</f>
        <v/>
      </c>
      <c r="C1019">
        <f>IFERROR(INDEX('Shopify Import'!$A:$CZ,1019,Settings!$E$22)&amp;"","")</f>
        <v/>
      </c>
      <c r="D1019">
        <f>IF(A1019="","",IFERROR(VALUE(SUBSTITUTE(SUBSTITUTE(INDEX('Shopify Import'!$A:$CZ,1019,Settings!$E$23)&amp;"","$",""),",","")),0))</f>
        <v/>
      </c>
      <c r="E1019" s="11">
        <f>IF(A1019="","",IFERROR(VALUE(SUBSTITUTE(SUBSTITUTE(INDEX('Shopify Import'!$A:$CZ,1019,Settings!$E$24)&amp;"","$",""),",","")),0))</f>
        <v/>
      </c>
      <c r="F1019" s="11">
        <f>IF(A1019="","",D1019*E1019)</f>
        <v/>
      </c>
      <c r="G1019">
        <f>IF(A1019="","",IF(C1019="",1,COUNTIF($C$2:$C$1501,C1019)))</f>
        <v/>
      </c>
      <c r="H1019" s="11">
        <f>IF(A1019="","",IFERROR(VALUE(SUBSTITUTE(SUBSTITUTE(INDEX('Shopify Import'!$A:$CZ,1019,Settings!$E$25)&amp;"","$",""),",","")),0)/IF(Settings!$D$27="Yes",G1019,1))</f>
        <v/>
      </c>
      <c r="I1019" s="11">
        <f>IF(A1019="","",IFERROR(VALUE(SUBSTITUTE(SUBSTITUTE(INDEX('Shopify Import'!$A:$CZ,1019,Settings!$E$26)&amp;"","$",""),",","")),0)/IF(Settings!$D$27="Yes",G1019,1))</f>
        <v/>
      </c>
      <c r="J1019" s="11">
        <f>IF(A1019="","",F1019+H1019-I1019)</f>
        <v/>
      </c>
      <c r="K1019">
        <f>IF(A1019="","",IFERROR(IF(B1019="",NA(),MATCH(B1019,Products!$B$5:$B$204,0)),IFERROR(MATCH(A1019,Products!$A$5:$A$204,0),"")))</f>
        <v/>
      </c>
      <c r="L1019">
        <f>IF(A1019="","",IF(K1019="","⚠ not in Products",INDEX(Products!$A$5:$A$204,K1019)))</f>
        <v/>
      </c>
      <c r="M1019" s="11">
        <f>IF(A1019="","",J1019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1019+IFERROR(INDEX(Settings!$D$5:$D$9,MATCH("Shopify",Settings!$A$5:$A$9,0)),0)*D1019)</f>
        <v/>
      </c>
      <c r="N1019" s="11">
        <f>IF(A1019="","",IF(K1019="",0,D1019*INDEX(Products!$I$5:$I$204,K1019)))</f>
        <v/>
      </c>
      <c r="O1019" s="11">
        <f>IF(A1019="","",IF(K1019="",0,J1019*INDEX(Products!$H$5:$H$204,K1019)))</f>
        <v/>
      </c>
      <c r="P1019" s="11">
        <f>IF(A1019="","",J1019-M1019-N1019-O1019)</f>
        <v/>
      </c>
    </row>
    <row r="1020">
      <c r="A1020">
        <f>IFERROR(INDEX('Shopify Import'!$A:$CZ,1020,Settings!$E$20)&amp;"","")</f>
        <v/>
      </c>
      <c r="B1020">
        <f>IFERROR(INDEX('Shopify Import'!$A:$CZ,1020,Settings!$E$21)&amp;"","")</f>
        <v/>
      </c>
      <c r="C1020">
        <f>IFERROR(INDEX('Shopify Import'!$A:$CZ,1020,Settings!$E$22)&amp;"","")</f>
        <v/>
      </c>
      <c r="D1020">
        <f>IF(A1020="","",IFERROR(VALUE(SUBSTITUTE(SUBSTITUTE(INDEX('Shopify Import'!$A:$CZ,1020,Settings!$E$23)&amp;"","$",""),",","")),0))</f>
        <v/>
      </c>
      <c r="E1020" s="11">
        <f>IF(A1020="","",IFERROR(VALUE(SUBSTITUTE(SUBSTITUTE(INDEX('Shopify Import'!$A:$CZ,1020,Settings!$E$24)&amp;"","$",""),",","")),0))</f>
        <v/>
      </c>
      <c r="F1020" s="11">
        <f>IF(A1020="","",D1020*E1020)</f>
        <v/>
      </c>
      <c r="G1020">
        <f>IF(A1020="","",IF(C1020="",1,COUNTIF($C$2:$C$1501,C1020)))</f>
        <v/>
      </c>
      <c r="H1020" s="11">
        <f>IF(A1020="","",IFERROR(VALUE(SUBSTITUTE(SUBSTITUTE(INDEX('Shopify Import'!$A:$CZ,1020,Settings!$E$25)&amp;"","$",""),",","")),0)/IF(Settings!$D$27="Yes",G1020,1))</f>
        <v/>
      </c>
      <c r="I1020" s="11">
        <f>IF(A1020="","",IFERROR(VALUE(SUBSTITUTE(SUBSTITUTE(INDEX('Shopify Import'!$A:$CZ,1020,Settings!$E$26)&amp;"","$",""),",","")),0)/IF(Settings!$D$27="Yes",G1020,1))</f>
        <v/>
      </c>
      <c r="J1020" s="11">
        <f>IF(A1020="","",F1020+H1020-I1020)</f>
        <v/>
      </c>
      <c r="K1020">
        <f>IF(A1020="","",IFERROR(IF(B1020="",NA(),MATCH(B1020,Products!$B$5:$B$204,0)),IFERROR(MATCH(A1020,Products!$A$5:$A$204,0),"")))</f>
        <v/>
      </c>
      <c r="L1020">
        <f>IF(A1020="","",IF(K1020="","⚠ not in Products",INDEX(Products!$A$5:$A$204,K1020)))</f>
        <v/>
      </c>
      <c r="M1020" s="11">
        <f>IF(A1020="","",J1020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1020+IFERROR(INDEX(Settings!$D$5:$D$9,MATCH("Shopify",Settings!$A$5:$A$9,0)),0)*D1020)</f>
        <v/>
      </c>
      <c r="N1020" s="11">
        <f>IF(A1020="","",IF(K1020="",0,D1020*INDEX(Products!$I$5:$I$204,K1020)))</f>
        <v/>
      </c>
      <c r="O1020" s="11">
        <f>IF(A1020="","",IF(K1020="",0,J1020*INDEX(Products!$H$5:$H$204,K1020)))</f>
        <v/>
      </c>
      <c r="P1020" s="11">
        <f>IF(A1020="","",J1020-M1020-N1020-O1020)</f>
        <v/>
      </c>
    </row>
    <row r="1021">
      <c r="A1021">
        <f>IFERROR(INDEX('Shopify Import'!$A:$CZ,1021,Settings!$E$20)&amp;"","")</f>
        <v/>
      </c>
      <c r="B1021">
        <f>IFERROR(INDEX('Shopify Import'!$A:$CZ,1021,Settings!$E$21)&amp;"","")</f>
        <v/>
      </c>
      <c r="C1021">
        <f>IFERROR(INDEX('Shopify Import'!$A:$CZ,1021,Settings!$E$22)&amp;"","")</f>
        <v/>
      </c>
      <c r="D1021">
        <f>IF(A1021="","",IFERROR(VALUE(SUBSTITUTE(SUBSTITUTE(INDEX('Shopify Import'!$A:$CZ,1021,Settings!$E$23)&amp;"","$",""),",","")),0))</f>
        <v/>
      </c>
      <c r="E1021" s="11">
        <f>IF(A1021="","",IFERROR(VALUE(SUBSTITUTE(SUBSTITUTE(INDEX('Shopify Import'!$A:$CZ,1021,Settings!$E$24)&amp;"","$",""),",","")),0))</f>
        <v/>
      </c>
      <c r="F1021" s="11">
        <f>IF(A1021="","",D1021*E1021)</f>
        <v/>
      </c>
      <c r="G1021">
        <f>IF(A1021="","",IF(C1021="",1,COUNTIF($C$2:$C$1501,C1021)))</f>
        <v/>
      </c>
      <c r="H1021" s="11">
        <f>IF(A1021="","",IFERROR(VALUE(SUBSTITUTE(SUBSTITUTE(INDEX('Shopify Import'!$A:$CZ,1021,Settings!$E$25)&amp;"","$",""),",","")),0)/IF(Settings!$D$27="Yes",G1021,1))</f>
        <v/>
      </c>
      <c r="I1021" s="11">
        <f>IF(A1021="","",IFERROR(VALUE(SUBSTITUTE(SUBSTITUTE(INDEX('Shopify Import'!$A:$CZ,1021,Settings!$E$26)&amp;"","$",""),",","")),0)/IF(Settings!$D$27="Yes",G1021,1))</f>
        <v/>
      </c>
      <c r="J1021" s="11">
        <f>IF(A1021="","",F1021+H1021-I1021)</f>
        <v/>
      </c>
      <c r="K1021">
        <f>IF(A1021="","",IFERROR(IF(B1021="",NA(),MATCH(B1021,Products!$B$5:$B$204,0)),IFERROR(MATCH(A1021,Products!$A$5:$A$204,0),"")))</f>
        <v/>
      </c>
      <c r="L1021">
        <f>IF(A1021="","",IF(K1021="","⚠ not in Products",INDEX(Products!$A$5:$A$204,K1021)))</f>
        <v/>
      </c>
      <c r="M1021" s="11">
        <f>IF(A1021="","",J1021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1021+IFERROR(INDEX(Settings!$D$5:$D$9,MATCH("Shopify",Settings!$A$5:$A$9,0)),0)*D1021)</f>
        <v/>
      </c>
      <c r="N1021" s="11">
        <f>IF(A1021="","",IF(K1021="",0,D1021*INDEX(Products!$I$5:$I$204,K1021)))</f>
        <v/>
      </c>
      <c r="O1021" s="11">
        <f>IF(A1021="","",IF(K1021="",0,J1021*INDEX(Products!$H$5:$H$204,K1021)))</f>
        <v/>
      </c>
      <c r="P1021" s="11">
        <f>IF(A1021="","",J1021-M1021-N1021-O1021)</f>
        <v/>
      </c>
    </row>
    <row r="1022">
      <c r="A1022">
        <f>IFERROR(INDEX('Shopify Import'!$A:$CZ,1022,Settings!$E$20)&amp;"","")</f>
        <v/>
      </c>
      <c r="B1022">
        <f>IFERROR(INDEX('Shopify Import'!$A:$CZ,1022,Settings!$E$21)&amp;"","")</f>
        <v/>
      </c>
      <c r="C1022">
        <f>IFERROR(INDEX('Shopify Import'!$A:$CZ,1022,Settings!$E$22)&amp;"","")</f>
        <v/>
      </c>
      <c r="D1022">
        <f>IF(A1022="","",IFERROR(VALUE(SUBSTITUTE(SUBSTITUTE(INDEX('Shopify Import'!$A:$CZ,1022,Settings!$E$23)&amp;"","$",""),",","")),0))</f>
        <v/>
      </c>
      <c r="E1022" s="11">
        <f>IF(A1022="","",IFERROR(VALUE(SUBSTITUTE(SUBSTITUTE(INDEX('Shopify Import'!$A:$CZ,1022,Settings!$E$24)&amp;"","$",""),",","")),0))</f>
        <v/>
      </c>
      <c r="F1022" s="11">
        <f>IF(A1022="","",D1022*E1022)</f>
        <v/>
      </c>
      <c r="G1022">
        <f>IF(A1022="","",IF(C1022="",1,COUNTIF($C$2:$C$1501,C1022)))</f>
        <v/>
      </c>
      <c r="H1022" s="11">
        <f>IF(A1022="","",IFERROR(VALUE(SUBSTITUTE(SUBSTITUTE(INDEX('Shopify Import'!$A:$CZ,1022,Settings!$E$25)&amp;"","$",""),",","")),0)/IF(Settings!$D$27="Yes",G1022,1))</f>
        <v/>
      </c>
      <c r="I1022" s="11">
        <f>IF(A1022="","",IFERROR(VALUE(SUBSTITUTE(SUBSTITUTE(INDEX('Shopify Import'!$A:$CZ,1022,Settings!$E$26)&amp;"","$",""),",","")),0)/IF(Settings!$D$27="Yes",G1022,1))</f>
        <v/>
      </c>
      <c r="J1022" s="11">
        <f>IF(A1022="","",F1022+H1022-I1022)</f>
        <v/>
      </c>
      <c r="K1022">
        <f>IF(A1022="","",IFERROR(IF(B1022="",NA(),MATCH(B1022,Products!$B$5:$B$204,0)),IFERROR(MATCH(A1022,Products!$A$5:$A$204,0),"")))</f>
        <v/>
      </c>
      <c r="L1022">
        <f>IF(A1022="","",IF(K1022="","⚠ not in Products",INDEX(Products!$A$5:$A$204,K1022)))</f>
        <v/>
      </c>
      <c r="M1022" s="11">
        <f>IF(A1022="","",J1022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1022+IFERROR(INDEX(Settings!$D$5:$D$9,MATCH("Shopify",Settings!$A$5:$A$9,0)),0)*D1022)</f>
        <v/>
      </c>
      <c r="N1022" s="11">
        <f>IF(A1022="","",IF(K1022="",0,D1022*INDEX(Products!$I$5:$I$204,K1022)))</f>
        <v/>
      </c>
      <c r="O1022" s="11">
        <f>IF(A1022="","",IF(K1022="",0,J1022*INDEX(Products!$H$5:$H$204,K1022)))</f>
        <v/>
      </c>
      <c r="P1022" s="11">
        <f>IF(A1022="","",J1022-M1022-N1022-O1022)</f>
        <v/>
      </c>
    </row>
    <row r="1023">
      <c r="A1023">
        <f>IFERROR(INDEX('Shopify Import'!$A:$CZ,1023,Settings!$E$20)&amp;"","")</f>
        <v/>
      </c>
      <c r="B1023">
        <f>IFERROR(INDEX('Shopify Import'!$A:$CZ,1023,Settings!$E$21)&amp;"","")</f>
        <v/>
      </c>
      <c r="C1023">
        <f>IFERROR(INDEX('Shopify Import'!$A:$CZ,1023,Settings!$E$22)&amp;"","")</f>
        <v/>
      </c>
      <c r="D1023">
        <f>IF(A1023="","",IFERROR(VALUE(SUBSTITUTE(SUBSTITUTE(INDEX('Shopify Import'!$A:$CZ,1023,Settings!$E$23)&amp;"","$",""),",","")),0))</f>
        <v/>
      </c>
      <c r="E1023" s="11">
        <f>IF(A1023="","",IFERROR(VALUE(SUBSTITUTE(SUBSTITUTE(INDEX('Shopify Import'!$A:$CZ,1023,Settings!$E$24)&amp;"","$",""),",","")),0))</f>
        <v/>
      </c>
      <c r="F1023" s="11">
        <f>IF(A1023="","",D1023*E1023)</f>
        <v/>
      </c>
      <c r="G1023">
        <f>IF(A1023="","",IF(C1023="",1,COUNTIF($C$2:$C$1501,C1023)))</f>
        <v/>
      </c>
      <c r="H1023" s="11">
        <f>IF(A1023="","",IFERROR(VALUE(SUBSTITUTE(SUBSTITUTE(INDEX('Shopify Import'!$A:$CZ,1023,Settings!$E$25)&amp;"","$",""),",","")),0)/IF(Settings!$D$27="Yes",G1023,1))</f>
        <v/>
      </c>
      <c r="I1023" s="11">
        <f>IF(A1023="","",IFERROR(VALUE(SUBSTITUTE(SUBSTITUTE(INDEX('Shopify Import'!$A:$CZ,1023,Settings!$E$26)&amp;"","$",""),",","")),0)/IF(Settings!$D$27="Yes",G1023,1))</f>
        <v/>
      </c>
      <c r="J1023" s="11">
        <f>IF(A1023="","",F1023+H1023-I1023)</f>
        <v/>
      </c>
      <c r="K1023">
        <f>IF(A1023="","",IFERROR(IF(B1023="",NA(),MATCH(B1023,Products!$B$5:$B$204,0)),IFERROR(MATCH(A1023,Products!$A$5:$A$204,0),"")))</f>
        <v/>
      </c>
      <c r="L1023">
        <f>IF(A1023="","",IF(K1023="","⚠ not in Products",INDEX(Products!$A$5:$A$204,K1023)))</f>
        <v/>
      </c>
      <c r="M1023" s="11">
        <f>IF(A1023="","",J1023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1023+IFERROR(INDEX(Settings!$D$5:$D$9,MATCH("Shopify",Settings!$A$5:$A$9,0)),0)*D1023)</f>
        <v/>
      </c>
      <c r="N1023" s="11">
        <f>IF(A1023="","",IF(K1023="",0,D1023*INDEX(Products!$I$5:$I$204,K1023)))</f>
        <v/>
      </c>
      <c r="O1023" s="11">
        <f>IF(A1023="","",IF(K1023="",0,J1023*INDEX(Products!$H$5:$H$204,K1023)))</f>
        <v/>
      </c>
      <c r="P1023" s="11">
        <f>IF(A1023="","",J1023-M1023-N1023-O1023)</f>
        <v/>
      </c>
    </row>
    <row r="1024">
      <c r="A1024">
        <f>IFERROR(INDEX('Shopify Import'!$A:$CZ,1024,Settings!$E$20)&amp;"","")</f>
        <v/>
      </c>
      <c r="B1024">
        <f>IFERROR(INDEX('Shopify Import'!$A:$CZ,1024,Settings!$E$21)&amp;"","")</f>
        <v/>
      </c>
      <c r="C1024">
        <f>IFERROR(INDEX('Shopify Import'!$A:$CZ,1024,Settings!$E$22)&amp;"","")</f>
        <v/>
      </c>
      <c r="D1024">
        <f>IF(A1024="","",IFERROR(VALUE(SUBSTITUTE(SUBSTITUTE(INDEX('Shopify Import'!$A:$CZ,1024,Settings!$E$23)&amp;"","$",""),",","")),0))</f>
        <v/>
      </c>
      <c r="E1024" s="11">
        <f>IF(A1024="","",IFERROR(VALUE(SUBSTITUTE(SUBSTITUTE(INDEX('Shopify Import'!$A:$CZ,1024,Settings!$E$24)&amp;"","$",""),",","")),0))</f>
        <v/>
      </c>
      <c r="F1024" s="11">
        <f>IF(A1024="","",D1024*E1024)</f>
        <v/>
      </c>
      <c r="G1024">
        <f>IF(A1024="","",IF(C1024="",1,COUNTIF($C$2:$C$1501,C1024)))</f>
        <v/>
      </c>
      <c r="H1024" s="11">
        <f>IF(A1024="","",IFERROR(VALUE(SUBSTITUTE(SUBSTITUTE(INDEX('Shopify Import'!$A:$CZ,1024,Settings!$E$25)&amp;"","$",""),",","")),0)/IF(Settings!$D$27="Yes",G1024,1))</f>
        <v/>
      </c>
      <c r="I1024" s="11">
        <f>IF(A1024="","",IFERROR(VALUE(SUBSTITUTE(SUBSTITUTE(INDEX('Shopify Import'!$A:$CZ,1024,Settings!$E$26)&amp;"","$",""),",","")),0)/IF(Settings!$D$27="Yes",G1024,1))</f>
        <v/>
      </c>
      <c r="J1024" s="11">
        <f>IF(A1024="","",F1024+H1024-I1024)</f>
        <v/>
      </c>
      <c r="K1024">
        <f>IF(A1024="","",IFERROR(IF(B1024="",NA(),MATCH(B1024,Products!$B$5:$B$204,0)),IFERROR(MATCH(A1024,Products!$A$5:$A$204,0),"")))</f>
        <v/>
      </c>
      <c r="L1024">
        <f>IF(A1024="","",IF(K1024="","⚠ not in Products",INDEX(Products!$A$5:$A$204,K1024)))</f>
        <v/>
      </c>
      <c r="M1024" s="11">
        <f>IF(A1024="","",J1024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1024+IFERROR(INDEX(Settings!$D$5:$D$9,MATCH("Shopify",Settings!$A$5:$A$9,0)),0)*D1024)</f>
        <v/>
      </c>
      <c r="N1024" s="11">
        <f>IF(A1024="","",IF(K1024="",0,D1024*INDEX(Products!$I$5:$I$204,K1024)))</f>
        <v/>
      </c>
      <c r="O1024" s="11">
        <f>IF(A1024="","",IF(K1024="",0,J1024*INDEX(Products!$H$5:$H$204,K1024)))</f>
        <v/>
      </c>
      <c r="P1024" s="11">
        <f>IF(A1024="","",J1024-M1024-N1024-O1024)</f>
        <v/>
      </c>
    </row>
    <row r="1025">
      <c r="A1025">
        <f>IFERROR(INDEX('Shopify Import'!$A:$CZ,1025,Settings!$E$20)&amp;"","")</f>
        <v/>
      </c>
      <c r="B1025">
        <f>IFERROR(INDEX('Shopify Import'!$A:$CZ,1025,Settings!$E$21)&amp;"","")</f>
        <v/>
      </c>
      <c r="C1025">
        <f>IFERROR(INDEX('Shopify Import'!$A:$CZ,1025,Settings!$E$22)&amp;"","")</f>
        <v/>
      </c>
      <c r="D1025">
        <f>IF(A1025="","",IFERROR(VALUE(SUBSTITUTE(SUBSTITUTE(INDEX('Shopify Import'!$A:$CZ,1025,Settings!$E$23)&amp;"","$",""),",","")),0))</f>
        <v/>
      </c>
      <c r="E1025" s="11">
        <f>IF(A1025="","",IFERROR(VALUE(SUBSTITUTE(SUBSTITUTE(INDEX('Shopify Import'!$A:$CZ,1025,Settings!$E$24)&amp;"","$",""),",","")),0))</f>
        <v/>
      </c>
      <c r="F1025" s="11">
        <f>IF(A1025="","",D1025*E1025)</f>
        <v/>
      </c>
      <c r="G1025">
        <f>IF(A1025="","",IF(C1025="",1,COUNTIF($C$2:$C$1501,C1025)))</f>
        <v/>
      </c>
      <c r="H1025" s="11">
        <f>IF(A1025="","",IFERROR(VALUE(SUBSTITUTE(SUBSTITUTE(INDEX('Shopify Import'!$A:$CZ,1025,Settings!$E$25)&amp;"","$",""),",","")),0)/IF(Settings!$D$27="Yes",G1025,1))</f>
        <v/>
      </c>
      <c r="I1025" s="11">
        <f>IF(A1025="","",IFERROR(VALUE(SUBSTITUTE(SUBSTITUTE(INDEX('Shopify Import'!$A:$CZ,1025,Settings!$E$26)&amp;"","$",""),",","")),0)/IF(Settings!$D$27="Yes",G1025,1))</f>
        <v/>
      </c>
      <c r="J1025" s="11">
        <f>IF(A1025="","",F1025+H1025-I1025)</f>
        <v/>
      </c>
      <c r="K1025">
        <f>IF(A1025="","",IFERROR(IF(B1025="",NA(),MATCH(B1025,Products!$B$5:$B$204,0)),IFERROR(MATCH(A1025,Products!$A$5:$A$204,0),"")))</f>
        <v/>
      </c>
      <c r="L1025">
        <f>IF(A1025="","",IF(K1025="","⚠ not in Products",INDEX(Products!$A$5:$A$204,K1025)))</f>
        <v/>
      </c>
      <c r="M1025" s="11">
        <f>IF(A1025="","",J1025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1025+IFERROR(INDEX(Settings!$D$5:$D$9,MATCH("Shopify",Settings!$A$5:$A$9,0)),0)*D1025)</f>
        <v/>
      </c>
      <c r="N1025" s="11">
        <f>IF(A1025="","",IF(K1025="",0,D1025*INDEX(Products!$I$5:$I$204,K1025)))</f>
        <v/>
      </c>
      <c r="O1025" s="11">
        <f>IF(A1025="","",IF(K1025="",0,J1025*INDEX(Products!$H$5:$H$204,K1025)))</f>
        <v/>
      </c>
      <c r="P1025" s="11">
        <f>IF(A1025="","",J1025-M1025-N1025-O1025)</f>
        <v/>
      </c>
    </row>
    <row r="1026">
      <c r="A1026">
        <f>IFERROR(INDEX('Shopify Import'!$A:$CZ,1026,Settings!$E$20)&amp;"","")</f>
        <v/>
      </c>
      <c r="B1026">
        <f>IFERROR(INDEX('Shopify Import'!$A:$CZ,1026,Settings!$E$21)&amp;"","")</f>
        <v/>
      </c>
      <c r="C1026">
        <f>IFERROR(INDEX('Shopify Import'!$A:$CZ,1026,Settings!$E$22)&amp;"","")</f>
        <v/>
      </c>
      <c r="D1026">
        <f>IF(A1026="","",IFERROR(VALUE(SUBSTITUTE(SUBSTITUTE(INDEX('Shopify Import'!$A:$CZ,1026,Settings!$E$23)&amp;"","$",""),",","")),0))</f>
        <v/>
      </c>
      <c r="E1026" s="11">
        <f>IF(A1026="","",IFERROR(VALUE(SUBSTITUTE(SUBSTITUTE(INDEX('Shopify Import'!$A:$CZ,1026,Settings!$E$24)&amp;"","$",""),",","")),0))</f>
        <v/>
      </c>
      <c r="F1026" s="11">
        <f>IF(A1026="","",D1026*E1026)</f>
        <v/>
      </c>
      <c r="G1026">
        <f>IF(A1026="","",IF(C1026="",1,COUNTIF($C$2:$C$1501,C1026)))</f>
        <v/>
      </c>
      <c r="H1026" s="11">
        <f>IF(A1026="","",IFERROR(VALUE(SUBSTITUTE(SUBSTITUTE(INDEX('Shopify Import'!$A:$CZ,1026,Settings!$E$25)&amp;"","$",""),",","")),0)/IF(Settings!$D$27="Yes",G1026,1))</f>
        <v/>
      </c>
      <c r="I1026" s="11">
        <f>IF(A1026="","",IFERROR(VALUE(SUBSTITUTE(SUBSTITUTE(INDEX('Shopify Import'!$A:$CZ,1026,Settings!$E$26)&amp;"","$",""),",","")),0)/IF(Settings!$D$27="Yes",G1026,1))</f>
        <v/>
      </c>
      <c r="J1026" s="11">
        <f>IF(A1026="","",F1026+H1026-I1026)</f>
        <v/>
      </c>
      <c r="K1026">
        <f>IF(A1026="","",IFERROR(IF(B1026="",NA(),MATCH(B1026,Products!$B$5:$B$204,0)),IFERROR(MATCH(A1026,Products!$A$5:$A$204,0),"")))</f>
        <v/>
      </c>
      <c r="L1026">
        <f>IF(A1026="","",IF(K1026="","⚠ not in Products",INDEX(Products!$A$5:$A$204,K1026)))</f>
        <v/>
      </c>
      <c r="M1026" s="11">
        <f>IF(A1026="","",J1026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1026+IFERROR(INDEX(Settings!$D$5:$D$9,MATCH("Shopify",Settings!$A$5:$A$9,0)),0)*D1026)</f>
        <v/>
      </c>
      <c r="N1026" s="11">
        <f>IF(A1026="","",IF(K1026="",0,D1026*INDEX(Products!$I$5:$I$204,K1026)))</f>
        <v/>
      </c>
      <c r="O1026" s="11">
        <f>IF(A1026="","",IF(K1026="",0,J1026*INDEX(Products!$H$5:$H$204,K1026)))</f>
        <v/>
      </c>
      <c r="P1026" s="11">
        <f>IF(A1026="","",J1026-M1026-N1026-O1026)</f>
        <v/>
      </c>
    </row>
    <row r="1027">
      <c r="A1027">
        <f>IFERROR(INDEX('Shopify Import'!$A:$CZ,1027,Settings!$E$20)&amp;"","")</f>
        <v/>
      </c>
      <c r="B1027">
        <f>IFERROR(INDEX('Shopify Import'!$A:$CZ,1027,Settings!$E$21)&amp;"","")</f>
        <v/>
      </c>
      <c r="C1027">
        <f>IFERROR(INDEX('Shopify Import'!$A:$CZ,1027,Settings!$E$22)&amp;"","")</f>
        <v/>
      </c>
      <c r="D1027">
        <f>IF(A1027="","",IFERROR(VALUE(SUBSTITUTE(SUBSTITUTE(INDEX('Shopify Import'!$A:$CZ,1027,Settings!$E$23)&amp;"","$",""),",","")),0))</f>
        <v/>
      </c>
      <c r="E1027" s="11">
        <f>IF(A1027="","",IFERROR(VALUE(SUBSTITUTE(SUBSTITUTE(INDEX('Shopify Import'!$A:$CZ,1027,Settings!$E$24)&amp;"","$",""),",","")),0))</f>
        <v/>
      </c>
      <c r="F1027" s="11">
        <f>IF(A1027="","",D1027*E1027)</f>
        <v/>
      </c>
      <c r="G1027">
        <f>IF(A1027="","",IF(C1027="",1,COUNTIF($C$2:$C$1501,C1027)))</f>
        <v/>
      </c>
      <c r="H1027" s="11">
        <f>IF(A1027="","",IFERROR(VALUE(SUBSTITUTE(SUBSTITUTE(INDEX('Shopify Import'!$A:$CZ,1027,Settings!$E$25)&amp;"","$",""),",","")),0)/IF(Settings!$D$27="Yes",G1027,1))</f>
        <v/>
      </c>
      <c r="I1027" s="11">
        <f>IF(A1027="","",IFERROR(VALUE(SUBSTITUTE(SUBSTITUTE(INDEX('Shopify Import'!$A:$CZ,1027,Settings!$E$26)&amp;"","$",""),",","")),0)/IF(Settings!$D$27="Yes",G1027,1))</f>
        <v/>
      </c>
      <c r="J1027" s="11">
        <f>IF(A1027="","",F1027+H1027-I1027)</f>
        <v/>
      </c>
      <c r="K1027">
        <f>IF(A1027="","",IFERROR(IF(B1027="",NA(),MATCH(B1027,Products!$B$5:$B$204,0)),IFERROR(MATCH(A1027,Products!$A$5:$A$204,0),"")))</f>
        <v/>
      </c>
      <c r="L1027">
        <f>IF(A1027="","",IF(K1027="","⚠ not in Products",INDEX(Products!$A$5:$A$204,K1027)))</f>
        <v/>
      </c>
      <c r="M1027" s="11">
        <f>IF(A1027="","",J1027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1027+IFERROR(INDEX(Settings!$D$5:$D$9,MATCH("Shopify",Settings!$A$5:$A$9,0)),0)*D1027)</f>
        <v/>
      </c>
      <c r="N1027" s="11">
        <f>IF(A1027="","",IF(K1027="",0,D1027*INDEX(Products!$I$5:$I$204,K1027)))</f>
        <v/>
      </c>
      <c r="O1027" s="11">
        <f>IF(A1027="","",IF(K1027="",0,J1027*INDEX(Products!$H$5:$H$204,K1027)))</f>
        <v/>
      </c>
      <c r="P1027" s="11">
        <f>IF(A1027="","",J1027-M1027-N1027-O1027)</f>
        <v/>
      </c>
    </row>
    <row r="1028">
      <c r="A1028">
        <f>IFERROR(INDEX('Shopify Import'!$A:$CZ,1028,Settings!$E$20)&amp;"","")</f>
        <v/>
      </c>
      <c r="B1028">
        <f>IFERROR(INDEX('Shopify Import'!$A:$CZ,1028,Settings!$E$21)&amp;"","")</f>
        <v/>
      </c>
      <c r="C1028">
        <f>IFERROR(INDEX('Shopify Import'!$A:$CZ,1028,Settings!$E$22)&amp;"","")</f>
        <v/>
      </c>
      <c r="D1028">
        <f>IF(A1028="","",IFERROR(VALUE(SUBSTITUTE(SUBSTITUTE(INDEX('Shopify Import'!$A:$CZ,1028,Settings!$E$23)&amp;"","$",""),",","")),0))</f>
        <v/>
      </c>
      <c r="E1028" s="11">
        <f>IF(A1028="","",IFERROR(VALUE(SUBSTITUTE(SUBSTITUTE(INDEX('Shopify Import'!$A:$CZ,1028,Settings!$E$24)&amp;"","$",""),",","")),0))</f>
        <v/>
      </c>
      <c r="F1028" s="11">
        <f>IF(A1028="","",D1028*E1028)</f>
        <v/>
      </c>
      <c r="G1028">
        <f>IF(A1028="","",IF(C1028="",1,COUNTIF($C$2:$C$1501,C1028)))</f>
        <v/>
      </c>
      <c r="H1028" s="11">
        <f>IF(A1028="","",IFERROR(VALUE(SUBSTITUTE(SUBSTITUTE(INDEX('Shopify Import'!$A:$CZ,1028,Settings!$E$25)&amp;"","$",""),",","")),0)/IF(Settings!$D$27="Yes",G1028,1))</f>
        <v/>
      </c>
      <c r="I1028" s="11">
        <f>IF(A1028="","",IFERROR(VALUE(SUBSTITUTE(SUBSTITUTE(INDEX('Shopify Import'!$A:$CZ,1028,Settings!$E$26)&amp;"","$",""),",","")),0)/IF(Settings!$D$27="Yes",G1028,1))</f>
        <v/>
      </c>
      <c r="J1028" s="11">
        <f>IF(A1028="","",F1028+H1028-I1028)</f>
        <v/>
      </c>
      <c r="K1028">
        <f>IF(A1028="","",IFERROR(IF(B1028="",NA(),MATCH(B1028,Products!$B$5:$B$204,0)),IFERROR(MATCH(A1028,Products!$A$5:$A$204,0),"")))</f>
        <v/>
      </c>
      <c r="L1028">
        <f>IF(A1028="","",IF(K1028="","⚠ not in Products",INDEX(Products!$A$5:$A$204,K1028)))</f>
        <v/>
      </c>
      <c r="M1028" s="11">
        <f>IF(A1028="","",J1028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1028+IFERROR(INDEX(Settings!$D$5:$D$9,MATCH("Shopify",Settings!$A$5:$A$9,0)),0)*D1028)</f>
        <v/>
      </c>
      <c r="N1028" s="11">
        <f>IF(A1028="","",IF(K1028="",0,D1028*INDEX(Products!$I$5:$I$204,K1028)))</f>
        <v/>
      </c>
      <c r="O1028" s="11">
        <f>IF(A1028="","",IF(K1028="",0,J1028*INDEX(Products!$H$5:$H$204,K1028)))</f>
        <v/>
      </c>
      <c r="P1028" s="11">
        <f>IF(A1028="","",J1028-M1028-N1028-O1028)</f>
        <v/>
      </c>
    </row>
    <row r="1029">
      <c r="A1029">
        <f>IFERROR(INDEX('Shopify Import'!$A:$CZ,1029,Settings!$E$20)&amp;"","")</f>
        <v/>
      </c>
      <c r="B1029">
        <f>IFERROR(INDEX('Shopify Import'!$A:$CZ,1029,Settings!$E$21)&amp;"","")</f>
        <v/>
      </c>
      <c r="C1029">
        <f>IFERROR(INDEX('Shopify Import'!$A:$CZ,1029,Settings!$E$22)&amp;"","")</f>
        <v/>
      </c>
      <c r="D1029">
        <f>IF(A1029="","",IFERROR(VALUE(SUBSTITUTE(SUBSTITUTE(INDEX('Shopify Import'!$A:$CZ,1029,Settings!$E$23)&amp;"","$",""),",","")),0))</f>
        <v/>
      </c>
      <c r="E1029" s="11">
        <f>IF(A1029="","",IFERROR(VALUE(SUBSTITUTE(SUBSTITUTE(INDEX('Shopify Import'!$A:$CZ,1029,Settings!$E$24)&amp;"","$",""),",","")),0))</f>
        <v/>
      </c>
      <c r="F1029" s="11">
        <f>IF(A1029="","",D1029*E1029)</f>
        <v/>
      </c>
      <c r="G1029">
        <f>IF(A1029="","",IF(C1029="",1,COUNTIF($C$2:$C$1501,C1029)))</f>
        <v/>
      </c>
      <c r="H1029" s="11">
        <f>IF(A1029="","",IFERROR(VALUE(SUBSTITUTE(SUBSTITUTE(INDEX('Shopify Import'!$A:$CZ,1029,Settings!$E$25)&amp;"","$",""),",","")),0)/IF(Settings!$D$27="Yes",G1029,1))</f>
        <v/>
      </c>
      <c r="I1029" s="11">
        <f>IF(A1029="","",IFERROR(VALUE(SUBSTITUTE(SUBSTITUTE(INDEX('Shopify Import'!$A:$CZ,1029,Settings!$E$26)&amp;"","$",""),",","")),0)/IF(Settings!$D$27="Yes",G1029,1))</f>
        <v/>
      </c>
      <c r="J1029" s="11">
        <f>IF(A1029="","",F1029+H1029-I1029)</f>
        <v/>
      </c>
      <c r="K1029">
        <f>IF(A1029="","",IFERROR(IF(B1029="",NA(),MATCH(B1029,Products!$B$5:$B$204,0)),IFERROR(MATCH(A1029,Products!$A$5:$A$204,0),"")))</f>
        <v/>
      </c>
      <c r="L1029">
        <f>IF(A1029="","",IF(K1029="","⚠ not in Products",INDEX(Products!$A$5:$A$204,K1029)))</f>
        <v/>
      </c>
      <c r="M1029" s="11">
        <f>IF(A1029="","",J1029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1029+IFERROR(INDEX(Settings!$D$5:$D$9,MATCH("Shopify",Settings!$A$5:$A$9,0)),0)*D1029)</f>
        <v/>
      </c>
      <c r="N1029" s="11">
        <f>IF(A1029="","",IF(K1029="",0,D1029*INDEX(Products!$I$5:$I$204,K1029)))</f>
        <v/>
      </c>
      <c r="O1029" s="11">
        <f>IF(A1029="","",IF(K1029="",0,J1029*INDEX(Products!$H$5:$H$204,K1029)))</f>
        <v/>
      </c>
      <c r="P1029" s="11">
        <f>IF(A1029="","",J1029-M1029-N1029-O1029)</f>
        <v/>
      </c>
    </row>
    <row r="1030">
      <c r="A1030">
        <f>IFERROR(INDEX('Shopify Import'!$A:$CZ,1030,Settings!$E$20)&amp;"","")</f>
        <v/>
      </c>
      <c r="B1030">
        <f>IFERROR(INDEX('Shopify Import'!$A:$CZ,1030,Settings!$E$21)&amp;"","")</f>
        <v/>
      </c>
      <c r="C1030">
        <f>IFERROR(INDEX('Shopify Import'!$A:$CZ,1030,Settings!$E$22)&amp;"","")</f>
        <v/>
      </c>
      <c r="D1030">
        <f>IF(A1030="","",IFERROR(VALUE(SUBSTITUTE(SUBSTITUTE(INDEX('Shopify Import'!$A:$CZ,1030,Settings!$E$23)&amp;"","$",""),",","")),0))</f>
        <v/>
      </c>
      <c r="E1030" s="11">
        <f>IF(A1030="","",IFERROR(VALUE(SUBSTITUTE(SUBSTITUTE(INDEX('Shopify Import'!$A:$CZ,1030,Settings!$E$24)&amp;"","$",""),",","")),0))</f>
        <v/>
      </c>
      <c r="F1030" s="11">
        <f>IF(A1030="","",D1030*E1030)</f>
        <v/>
      </c>
      <c r="G1030">
        <f>IF(A1030="","",IF(C1030="",1,COUNTIF($C$2:$C$1501,C1030)))</f>
        <v/>
      </c>
      <c r="H1030" s="11">
        <f>IF(A1030="","",IFERROR(VALUE(SUBSTITUTE(SUBSTITUTE(INDEX('Shopify Import'!$A:$CZ,1030,Settings!$E$25)&amp;"","$",""),",","")),0)/IF(Settings!$D$27="Yes",G1030,1))</f>
        <v/>
      </c>
      <c r="I1030" s="11">
        <f>IF(A1030="","",IFERROR(VALUE(SUBSTITUTE(SUBSTITUTE(INDEX('Shopify Import'!$A:$CZ,1030,Settings!$E$26)&amp;"","$",""),",","")),0)/IF(Settings!$D$27="Yes",G1030,1))</f>
        <v/>
      </c>
      <c r="J1030" s="11">
        <f>IF(A1030="","",F1030+H1030-I1030)</f>
        <v/>
      </c>
      <c r="K1030">
        <f>IF(A1030="","",IFERROR(IF(B1030="",NA(),MATCH(B1030,Products!$B$5:$B$204,0)),IFERROR(MATCH(A1030,Products!$A$5:$A$204,0),"")))</f>
        <v/>
      </c>
      <c r="L1030">
        <f>IF(A1030="","",IF(K1030="","⚠ not in Products",INDEX(Products!$A$5:$A$204,K1030)))</f>
        <v/>
      </c>
      <c r="M1030" s="11">
        <f>IF(A1030="","",J1030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1030+IFERROR(INDEX(Settings!$D$5:$D$9,MATCH("Shopify",Settings!$A$5:$A$9,0)),0)*D1030)</f>
        <v/>
      </c>
      <c r="N1030" s="11">
        <f>IF(A1030="","",IF(K1030="",0,D1030*INDEX(Products!$I$5:$I$204,K1030)))</f>
        <v/>
      </c>
      <c r="O1030" s="11">
        <f>IF(A1030="","",IF(K1030="",0,J1030*INDEX(Products!$H$5:$H$204,K1030)))</f>
        <v/>
      </c>
      <c r="P1030" s="11">
        <f>IF(A1030="","",J1030-M1030-N1030-O1030)</f>
        <v/>
      </c>
    </row>
    <row r="1031">
      <c r="A1031">
        <f>IFERROR(INDEX('Shopify Import'!$A:$CZ,1031,Settings!$E$20)&amp;"","")</f>
        <v/>
      </c>
      <c r="B1031">
        <f>IFERROR(INDEX('Shopify Import'!$A:$CZ,1031,Settings!$E$21)&amp;"","")</f>
        <v/>
      </c>
      <c r="C1031">
        <f>IFERROR(INDEX('Shopify Import'!$A:$CZ,1031,Settings!$E$22)&amp;"","")</f>
        <v/>
      </c>
      <c r="D1031">
        <f>IF(A1031="","",IFERROR(VALUE(SUBSTITUTE(SUBSTITUTE(INDEX('Shopify Import'!$A:$CZ,1031,Settings!$E$23)&amp;"","$",""),",","")),0))</f>
        <v/>
      </c>
      <c r="E1031" s="11">
        <f>IF(A1031="","",IFERROR(VALUE(SUBSTITUTE(SUBSTITUTE(INDEX('Shopify Import'!$A:$CZ,1031,Settings!$E$24)&amp;"","$",""),",","")),0))</f>
        <v/>
      </c>
      <c r="F1031" s="11">
        <f>IF(A1031="","",D1031*E1031)</f>
        <v/>
      </c>
      <c r="G1031">
        <f>IF(A1031="","",IF(C1031="",1,COUNTIF($C$2:$C$1501,C1031)))</f>
        <v/>
      </c>
      <c r="H1031" s="11">
        <f>IF(A1031="","",IFERROR(VALUE(SUBSTITUTE(SUBSTITUTE(INDEX('Shopify Import'!$A:$CZ,1031,Settings!$E$25)&amp;"","$",""),",","")),0)/IF(Settings!$D$27="Yes",G1031,1))</f>
        <v/>
      </c>
      <c r="I1031" s="11">
        <f>IF(A1031="","",IFERROR(VALUE(SUBSTITUTE(SUBSTITUTE(INDEX('Shopify Import'!$A:$CZ,1031,Settings!$E$26)&amp;"","$",""),",","")),0)/IF(Settings!$D$27="Yes",G1031,1))</f>
        <v/>
      </c>
      <c r="J1031" s="11">
        <f>IF(A1031="","",F1031+H1031-I1031)</f>
        <v/>
      </c>
      <c r="K1031">
        <f>IF(A1031="","",IFERROR(IF(B1031="",NA(),MATCH(B1031,Products!$B$5:$B$204,0)),IFERROR(MATCH(A1031,Products!$A$5:$A$204,0),"")))</f>
        <v/>
      </c>
      <c r="L1031">
        <f>IF(A1031="","",IF(K1031="","⚠ not in Products",INDEX(Products!$A$5:$A$204,K1031)))</f>
        <v/>
      </c>
      <c r="M1031" s="11">
        <f>IF(A1031="","",J1031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1031+IFERROR(INDEX(Settings!$D$5:$D$9,MATCH("Shopify",Settings!$A$5:$A$9,0)),0)*D1031)</f>
        <v/>
      </c>
      <c r="N1031" s="11">
        <f>IF(A1031="","",IF(K1031="",0,D1031*INDEX(Products!$I$5:$I$204,K1031)))</f>
        <v/>
      </c>
      <c r="O1031" s="11">
        <f>IF(A1031="","",IF(K1031="",0,J1031*INDEX(Products!$H$5:$H$204,K1031)))</f>
        <v/>
      </c>
      <c r="P1031" s="11">
        <f>IF(A1031="","",J1031-M1031-N1031-O1031)</f>
        <v/>
      </c>
    </row>
    <row r="1032">
      <c r="A1032">
        <f>IFERROR(INDEX('Shopify Import'!$A:$CZ,1032,Settings!$E$20)&amp;"","")</f>
        <v/>
      </c>
      <c r="B1032">
        <f>IFERROR(INDEX('Shopify Import'!$A:$CZ,1032,Settings!$E$21)&amp;"","")</f>
        <v/>
      </c>
      <c r="C1032">
        <f>IFERROR(INDEX('Shopify Import'!$A:$CZ,1032,Settings!$E$22)&amp;"","")</f>
        <v/>
      </c>
      <c r="D1032">
        <f>IF(A1032="","",IFERROR(VALUE(SUBSTITUTE(SUBSTITUTE(INDEX('Shopify Import'!$A:$CZ,1032,Settings!$E$23)&amp;"","$",""),",","")),0))</f>
        <v/>
      </c>
      <c r="E1032" s="11">
        <f>IF(A1032="","",IFERROR(VALUE(SUBSTITUTE(SUBSTITUTE(INDEX('Shopify Import'!$A:$CZ,1032,Settings!$E$24)&amp;"","$",""),",","")),0))</f>
        <v/>
      </c>
      <c r="F1032" s="11">
        <f>IF(A1032="","",D1032*E1032)</f>
        <v/>
      </c>
      <c r="G1032">
        <f>IF(A1032="","",IF(C1032="",1,COUNTIF($C$2:$C$1501,C1032)))</f>
        <v/>
      </c>
      <c r="H1032" s="11">
        <f>IF(A1032="","",IFERROR(VALUE(SUBSTITUTE(SUBSTITUTE(INDEX('Shopify Import'!$A:$CZ,1032,Settings!$E$25)&amp;"","$",""),",","")),0)/IF(Settings!$D$27="Yes",G1032,1))</f>
        <v/>
      </c>
      <c r="I1032" s="11">
        <f>IF(A1032="","",IFERROR(VALUE(SUBSTITUTE(SUBSTITUTE(INDEX('Shopify Import'!$A:$CZ,1032,Settings!$E$26)&amp;"","$",""),",","")),0)/IF(Settings!$D$27="Yes",G1032,1))</f>
        <v/>
      </c>
      <c r="J1032" s="11">
        <f>IF(A1032="","",F1032+H1032-I1032)</f>
        <v/>
      </c>
      <c r="K1032">
        <f>IF(A1032="","",IFERROR(IF(B1032="",NA(),MATCH(B1032,Products!$B$5:$B$204,0)),IFERROR(MATCH(A1032,Products!$A$5:$A$204,0),"")))</f>
        <v/>
      </c>
      <c r="L1032">
        <f>IF(A1032="","",IF(K1032="","⚠ not in Products",INDEX(Products!$A$5:$A$204,K1032)))</f>
        <v/>
      </c>
      <c r="M1032" s="11">
        <f>IF(A1032="","",J1032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1032+IFERROR(INDEX(Settings!$D$5:$D$9,MATCH("Shopify",Settings!$A$5:$A$9,0)),0)*D1032)</f>
        <v/>
      </c>
      <c r="N1032" s="11">
        <f>IF(A1032="","",IF(K1032="",0,D1032*INDEX(Products!$I$5:$I$204,K1032)))</f>
        <v/>
      </c>
      <c r="O1032" s="11">
        <f>IF(A1032="","",IF(K1032="",0,J1032*INDEX(Products!$H$5:$H$204,K1032)))</f>
        <v/>
      </c>
      <c r="P1032" s="11">
        <f>IF(A1032="","",J1032-M1032-N1032-O1032)</f>
        <v/>
      </c>
    </row>
    <row r="1033">
      <c r="A1033">
        <f>IFERROR(INDEX('Shopify Import'!$A:$CZ,1033,Settings!$E$20)&amp;"","")</f>
        <v/>
      </c>
      <c r="B1033">
        <f>IFERROR(INDEX('Shopify Import'!$A:$CZ,1033,Settings!$E$21)&amp;"","")</f>
        <v/>
      </c>
      <c r="C1033">
        <f>IFERROR(INDEX('Shopify Import'!$A:$CZ,1033,Settings!$E$22)&amp;"","")</f>
        <v/>
      </c>
      <c r="D1033">
        <f>IF(A1033="","",IFERROR(VALUE(SUBSTITUTE(SUBSTITUTE(INDEX('Shopify Import'!$A:$CZ,1033,Settings!$E$23)&amp;"","$",""),",","")),0))</f>
        <v/>
      </c>
      <c r="E1033" s="11">
        <f>IF(A1033="","",IFERROR(VALUE(SUBSTITUTE(SUBSTITUTE(INDEX('Shopify Import'!$A:$CZ,1033,Settings!$E$24)&amp;"","$",""),",","")),0))</f>
        <v/>
      </c>
      <c r="F1033" s="11">
        <f>IF(A1033="","",D1033*E1033)</f>
        <v/>
      </c>
      <c r="G1033">
        <f>IF(A1033="","",IF(C1033="",1,COUNTIF($C$2:$C$1501,C1033)))</f>
        <v/>
      </c>
      <c r="H1033" s="11">
        <f>IF(A1033="","",IFERROR(VALUE(SUBSTITUTE(SUBSTITUTE(INDEX('Shopify Import'!$A:$CZ,1033,Settings!$E$25)&amp;"","$",""),",","")),0)/IF(Settings!$D$27="Yes",G1033,1))</f>
        <v/>
      </c>
      <c r="I1033" s="11">
        <f>IF(A1033="","",IFERROR(VALUE(SUBSTITUTE(SUBSTITUTE(INDEX('Shopify Import'!$A:$CZ,1033,Settings!$E$26)&amp;"","$",""),",","")),0)/IF(Settings!$D$27="Yes",G1033,1))</f>
        <v/>
      </c>
      <c r="J1033" s="11">
        <f>IF(A1033="","",F1033+H1033-I1033)</f>
        <v/>
      </c>
      <c r="K1033">
        <f>IF(A1033="","",IFERROR(IF(B1033="",NA(),MATCH(B1033,Products!$B$5:$B$204,0)),IFERROR(MATCH(A1033,Products!$A$5:$A$204,0),"")))</f>
        <v/>
      </c>
      <c r="L1033">
        <f>IF(A1033="","",IF(K1033="","⚠ not in Products",INDEX(Products!$A$5:$A$204,K1033)))</f>
        <v/>
      </c>
      <c r="M1033" s="11">
        <f>IF(A1033="","",J1033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1033+IFERROR(INDEX(Settings!$D$5:$D$9,MATCH("Shopify",Settings!$A$5:$A$9,0)),0)*D1033)</f>
        <v/>
      </c>
      <c r="N1033" s="11">
        <f>IF(A1033="","",IF(K1033="",0,D1033*INDEX(Products!$I$5:$I$204,K1033)))</f>
        <v/>
      </c>
      <c r="O1033" s="11">
        <f>IF(A1033="","",IF(K1033="",0,J1033*INDEX(Products!$H$5:$H$204,K1033)))</f>
        <v/>
      </c>
      <c r="P1033" s="11">
        <f>IF(A1033="","",J1033-M1033-N1033-O1033)</f>
        <v/>
      </c>
    </row>
    <row r="1034">
      <c r="A1034">
        <f>IFERROR(INDEX('Shopify Import'!$A:$CZ,1034,Settings!$E$20)&amp;"","")</f>
        <v/>
      </c>
      <c r="B1034">
        <f>IFERROR(INDEX('Shopify Import'!$A:$CZ,1034,Settings!$E$21)&amp;"","")</f>
        <v/>
      </c>
      <c r="C1034">
        <f>IFERROR(INDEX('Shopify Import'!$A:$CZ,1034,Settings!$E$22)&amp;"","")</f>
        <v/>
      </c>
      <c r="D1034">
        <f>IF(A1034="","",IFERROR(VALUE(SUBSTITUTE(SUBSTITUTE(INDEX('Shopify Import'!$A:$CZ,1034,Settings!$E$23)&amp;"","$",""),",","")),0))</f>
        <v/>
      </c>
      <c r="E1034" s="11">
        <f>IF(A1034="","",IFERROR(VALUE(SUBSTITUTE(SUBSTITUTE(INDEX('Shopify Import'!$A:$CZ,1034,Settings!$E$24)&amp;"","$",""),",","")),0))</f>
        <v/>
      </c>
      <c r="F1034" s="11">
        <f>IF(A1034="","",D1034*E1034)</f>
        <v/>
      </c>
      <c r="G1034">
        <f>IF(A1034="","",IF(C1034="",1,COUNTIF($C$2:$C$1501,C1034)))</f>
        <v/>
      </c>
      <c r="H1034" s="11">
        <f>IF(A1034="","",IFERROR(VALUE(SUBSTITUTE(SUBSTITUTE(INDEX('Shopify Import'!$A:$CZ,1034,Settings!$E$25)&amp;"","$",""),",","")),0)/IF(Settings!$D$27="Yes",G1034,1))</f>
        <v/>
      </c>
      <c r="I1034" s="11">
        <f>IF(A1034="","",IFERROR(VALUE(SUBSTITUTE(SUBSTITUTE(INDEX('Shopify Import'!$A:$CZ,1034,Settings!$E$26)&amp;"","$",""),",","")),0)/IF(Settings!$D$27="Yes",G1034,1))</f>
        <v/>
      </c>
      <c r="J1034" s="11">
        <f>IF(A1034="","",F1034+H1034-I1034)</f>
        <v/>
      </c>
      <c r="K1034">
        <f>IF(A1034="","",IFERROR(IF(B1034="",NA(),MATCH(B1034,Products!$B$5:$B$204,0)),IFERROR(MATCH(A1034,Products!$A$5:$A$204,0),"")))</f>
        <v/>
      </c>
      <c r="L1034">
        <f>IF(A1034="","",IF(K1034="","⚠ not in Products",INDEX(Products!$A$5:$A$204,K1034)))</f>
        <v/>
      </c>
      <c r="M1034" s="11">
        <f>IF(A1034="","",J1034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1034+IFERROR(INDEX(Settings!$D$5:$D$9,MATCH("Shopify",Settings!$A$5:$A$9,0)),0)*D1034)</f>
        <v/>
      </c>
      <c r="N1034" s="11">
        <f>IF(A1034="","",IF(K1034="",0,D1034*INDEX(Products!$I$5:$I$204,K1034)))</f>
        <v/>
      </c>
      <c r="O1034" s="11">
        <f>IF(A1034="","",IF(K1034="",0,J1034*INDEX(Products!$H$5:$H$204,K1034)))</f>
        <v/>
      </c>
      <c r="P1034" s="11">
        <f>IF(A1034="","",J1034-M1034-N1034-O1034)</f>
        <v/>
      </c>
    </row>
    <row r="1035">
      <c r="A1035">
        <f>IFERROR(INDEX('Shopify Import'!$A:$CZ,1035,Settings!$E$20)&amp;"","")</f>
        <v/>
      </c>
      <c r="B1035">
        <f>IFERROR(INDEX('Shopify Import'!$A:$CZ,1035,Settings!$E$21)&amp;"","")</f>
        <v/>
      </c>
      <c r="C1035">
        <f>IFERROR(INDEX('Shopify Import'!$A:$CZ,1035,Settings!$E$22)&amp;"","")</f>
        <v/>
      </c>
      <c r="D1035">
        <f>IF(A1035="","",IFERROR(VALUE(SUBSTITUTE(SUBSTITUTE(INDEX('Shopify Import'!$A:$CZ,1035,Settings!$E$23)&amp;"","$",""),",","")),0))</f>
        <v/>
      </c>
      <c r="E1035" s="11">
        <f>IF(A1035="","",IFERROR(VALUE(SUBSTITUTE(SUBSTITUTE(INDEX('Shopify Import'!$A:$CZ,1035,Settings!$E$24)&amp;"","$",""),",","")),0))</f>
        <v/>
      </c>
      <c r="F1035" s="11">
        <f>IF(A1035="","",D1035*E1035)</f>
        <v/>
      </c>
      <c r="G1035">
        <f>IF(A1035="","",IF(C1035="",1,COUNTIF($C$2:$C$1501,C1035)))</f>
        <v/>
      </c>
      <c r="H1035" s="11">
        <f>IF(A1035="","",IFERROR(VALUE(SUBSTITUTE(SUBSTITUTE(INDEX('Shopify Import'!$A:$CZ,1035,Settings!$E$25)&amp;"","$",""),",","")),0)/IF(Settings!$D$27="Yes",G1035,1))</f>
        <v/>
      </c>
      <c r="I1035" s="11">
        <f>IF(A1035="","",IFERROR(VALUE(SUBSTITUTE(SUBSTITUTE(INDEX('Shopify Import'!$A:$CZ,1035,Settings!$E$26)&amp;"","$",""),",","")),0)/IF(Settings!$D$27="Yes",G1035,1))</f>
        <v/>
      </c>
      <c r="J1035" s="11">
        <f>IF(A1035="","",F1035+H1035-I1035)</f>
        <v/>
      </c>
      <c r="K1035">
        <f>IF(A1035="","",IFERROR(IF(B1035="",NA(),MATCH(B1035,Products!$B$5:$B$204,0)),IFERROR(MATCH(A1035,Products!$A$5:$A$204,0),"")))</f>
        <v/>
      </c>
      <c r="L1035">
        <f>IF(A1035="","",IF(K1035="","⚠ not in Products",INDEX(Products!$A$5:$A$204,K1035)))</f>
        <v/>
      </c>
      <c r="M1035" s="11">
        <f>IF(A1035="","",J1035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1035+IFERROR(INDEX(Settings!$D$5:$D$9,MATCH("Shopify",Settings!$A$5:$A$9,0)),0)*D1035)</f>
        <v/>
      </c>
      <c r="N1035" s="11">
        <f>IF(A1035="","",IF(K1035="",0,D1035*INDEX(Products!$I$5:$I$204,K1035)))</f>
        <v/>
      </c>
      <c r="O1035" s="11">
        <f>IF(A1035="","",IF(K1035="",0,J1035*INDEX(Products!$H$5:$H$204,K1035)))</f>
        <v/>
      </c>
      <c r="P1035" s="11">
        <f>IF(A1035="","",J1035-M1035-N1035-O1035)</f>
        <v/>
      </c>
    </row>
    <row r="1036">
      <c r="A1036">
        <f>IFERROR(INDEX('Shopify Import'!$A:$CZ,1036,Settings!$E$20)&amp;"","")</f>
        <v/>
      </c>
      <c r="B1036">
        <f>IFERROR(INDEX('Shopify Import'!$A:$CZ,1036,Settings!$E$21)&amp;"","")</f>
        <v/>
      </c>
      <c r="C1036">
        <f>IFERROR(INDEX('Shopify Import'!$A:$CZ,1036,Settings!$E$22)&amp;"","")</f>
        <v/>
      </c>
      <c r="D1036">
        <f>IF(A1036="","",IFERROR(VALUE(SUBSTITUTE(SUBSTITUTE(INDEX('Shopify Import'!$A:$CZ,1036,Settings!$E$23)&amp;"","$",""),",","")),0))</f>
        <v/>
      </c>
      <c r="E1036" s="11">
        <f>IF(A1036="","",IFERROR(VALUE(SUBSTITUTE(SUBSTITUTE(INDEX('Shopify Import'!$A:$CZ,1036,Settings!$E$24)&amp;"","$",""),",","")),0))</f>
        <v/>
      </c>
      <c r="F1036" s="11">
        <f>IF(A1036="","",D1036*E1036)</f>
        <v/>
      </c>
      <c r="G1036">
        <f>IF(A1036="","",IF(C1036="",1,COUNTIF($C$2:$C$1501,C1036)))</f>
        <v/>
      </c>
      <c r="H1036" s="11">
        <f>IF(A1036="","",IFERROR(VALUE(SUBSTITUTE(SUBSTITUTE(INDEX('Shopify Import'!$A:$CZ,1036,Settings!$E$25)&amp;"","$",""),",","")),0)/IF(Settings!$D$27="Yes",G1036,1))</f>
        <v/>
      </c>
      <c r="I1036" s="11">
        <f>IF(A1036="","",IFERROR(VALUE(SUBSTITUTE(SUBSTITUTE(INDEX('Shopify Import'!$A:$CZ,1036,Settings!$E$26)&amp;"","$",""),",","")),0)/IF(Settings!$D$27="Yes",G1036,1))</f>
        <v/>
      </c>
      <c r="J1036" s="11">
        <f>IF(A1036="","",F1036+H1036-I1036)</f>
        <v/>
      </c>
      <c r="K1036">
        <f>IF(A1036="","",IFERROR(IF(B1036="",NA(),MATCH(B1036,Products!$B$5:$B$204,0)),IFERROR(MATCH(A1036,Products!$A$5:$A$204,0),"")))</f>
        <v/>
      </c>
      <c r="L1036">
        <f>IF(A1036="","",IF(K1036="","⚠ not in Products",INDEX(Products!$A$5:$A$204,K1036)))</f>
        <v/>
      </c>
      <c r="M1036" s="11">
        <f>IF(A1036="","",J1036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1036+IFERROR(INDEX(Settings!$D$5:$D$9,MATCH("Shopify",Settings!$A$5:$A$9,0)),0)*D1036)</f>
        <v/>
      </c>
      <c r="N1036" s="11">
        <f>IF(A1036="","",IF(K1036="",0,D1036*INDEX(Products!$I$5:$I$204,K1036)))</f>
        <v/>
      </c>
      <c r="O1036" s="11">
        <f>IF(A1036="","",IF(K1036="",0,J1036*INDEX(Products!$H$5:$H$204,K1036)))</f>
        <v/>
      </c>
      <c r="P1036" s="11">
        <f>IF(A1036="","",J1036-M1036-N1036-O1036)</f>
        <v/>
      </c>
    </row>
    <row r="1037">
      <c r="A1037">
        <f>IFERROR(INDEX('Shopify Import'!$A:$CZ,1037,Settings!$E$20)&amp;"","")</f>
        <v/>
      </c>
      <c r="B1037">
        <f>IFERROR(INDEX('Shopify Import'!$A:$CZ,1037,Settings!$E$21)&amp;"","")</f>
        <v/>
      </c>
      <c r="C1037">
        <f>IFERROR(INDEX('Shopify Import'!$A:$CZ,1037,Settings!$E$22)&amp;"","")</f>
        <v/>
      </c>
      <c r="D1037">
        <f>IF(A1037="","",IFERROR(VALUE(SUBSTITUTE(SUBSTITUTE(INDEX('Shopify Import'!$A:$CZ,1037,Settings!$E$23)&amp;"","$",""),",","")),0))</f>
        <v/>
      </c>
      <c r="E1037" s="11">
        <f>IF(A1037="","",IFERROR(VALUE(SUBSTITUTE(SUBSTITUTE(INDEX('Shopify Import'!$A:$CZ,1037,Settings!$E$24)&amp;"","$",""),",","")),0))</f>
        <v/>
      </c>
      <c r="F1037" s="11">
        <f>IF(A1037="","",D1037*E1037)</f>
        <v/>
      </c>
      <c r="G1037">
        <f>IF(A1037="","",IF(C1037="",1,COUNTIF($C$2:$C$1501,C1037)))</f>
        <v/>
      </c>
      <c r="H1037" s="11">
        <f>IF(A1037="","",IFERROR(VALUE(SUBSTITUTE(SUBSTITUTE(INDEX('Shopify Import'!$A:$CZ,1037,Settings!$E$25)&amp;"","$",""),",","")),0)/IF(Settings!$D$27="Yes",G1037,1))</f>
        <v/>
      </c>
      <c r="I1037" s="11">
        <f>IF(A1037="","",IFERROR(VALUE(SUBSTITUTE(SUBSTITUTE(INDEX('Shopify Import'!$A:$CZ,1037,Settings!$E$26)&amp;"","$",""),",","")),0)/IF(Settings!$D$27="Yes",G1037,1))</f>
        <v/>
      </c>
      <c r="J1037" s="11">
        <f>IF(A1037="","",F1037+H1037-I1037)</f>
        <v/>
      </c>
      <c r="K1037">
        <f>IF(A1037="","",IFERROR(IF(B1037="",NA(),MATCH(B1037,Products!$B$5:$B$204,0)),IFERROR(MATCH(A1037,Products!$A$5:$A$204,0),"")))</f>
        <v/>
      </c>
      <c r="L1037">
        <f>IF(A1037="","",IF(K1037="","⚠ not in Products",INDEX(Products!$A$5:$A$204,K1037)))</f>
        <v/>
      </c>
      <c r="M1037" s="11">
        <f>IF(A1037="","",J1037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1037+IFERROR(INDEX(Settings!$D$5:$D$9,MATCH("Shopify",Settings!$A$5:$A$9,0)),0)*D1037)</f>
        <v/>
      </c>
      <c r="N1037" s="11">
        <f>IF(A1037="","",IF(K1037="",0,D1037*INDEX(Products!$I$5:$I$204,K1037)))</f>
        <v/>
      </c>
      <c r="O1037" s="11">
        <f>IF(A1037="","",IF(K1037="",0,J1037*INDEX(Products!$H$5:$H$204,K1037)))</f>
        <v/>
      </c>
      <c r="P1037" s="11">
        <f>IF(A1037="","",J1037-M1037-N1037-O1037)</f>
        <v/>
      </c>
    </row>
    <row r="1038">
      <c r="A1038">
        <f>IFERROR(INDEX('Shopify Import'!$A:$CZ,1038,Settings!$E$20)&amp;"","")</f>
        <v/>
      </c>
      <c r="B1038">
        <f>IFERROR(INDEX('Shopify Import'!$A:$CZ,1038,Settings!$E$21)&amp;"","")</f>
        <v/>
      </c>
      <c r="C1038">
        <f>IFERROR(INDEX('Shopify Import'!$A:$CZ,1038,Settings!$E$22)&amp;"","")</f>
        <v/>
      </c>
      <c r="D1038">
        <f>IF(A1038="","",IFERROR(VALUE(SUBSTITUTE(SUBSTITUTE(INDEX('Shopify Import'!$A:$CZ,1038,Settings!$E$23)&amp;"","$",""),",","")),0))</f>
        <v/>
      </c>
      <c r="E1038" s="11">
        <f>IF(A1038="","",IFERROR(VALUE(SUBSTITUTE(SUBSTITUTE(INDEX('Shopify Import'!$A:$CZ,1038,Settings!$E$24)&amp;"","$",""),",","")),0))</f>
        <v/>
      </c>
      <c r="F1038" s="11">
        <f>IF(A1038="","",D1038*E1038)</f>
        <v/>
      </c>
      <c r="G1038">
        <f>IF(A1038="","",IF(C1038="",1,COUNTIF($C$2:$C$1501,C1038)))</f>
        <v/>
      </c>
      <c r="H1038" s="11">
        <f>IF(A1038="","",IFERROR(VALUE(SUBSTITUTE(SUBSTITUTE(INDEX('Shopify Import'!$A:$CZ,1038,Settings!$E$25)&amp;"","$",""),",","")),0)/IF(Settings!$D$27="Yes",G1038,1))</f>
        <v/>
      </c>
      <c r="I1038" s="11">
        <f>IF(A1038="","",IFERROR(VALUE(SUBSTITUTE(SUBSTITUTE(INDEX('Shopify Import'!$A:$CZ,1038,Settings!$E$26)&amp;"","$",""),",","")),0)/IF(Settings!$D$27="Yes",G1038,1))</f>
        <v/>
      </c>
      <c r="J1038" s="11">
        <f>IF(A1038="","",F1038+H1038-I1038)</f>
        <v/>
      </c>
      <c r="K1038">
        <f>IF(A1038="","",IFERROR(IF(B1038="",NA(),MATCH(B1038,Products!$B$5:$B$204,0)),IFERROR(MATCH(A1038,Products!$A$5:$A$204,0),"")))</f>
        <v/>
      </c>
      <c r="L1038">
        <f>IF(A1038="","",IF(K1038="","⚠ not in Products",INDEX(Products!$A$5:$A$204,K1038)))</f>
        <v/>
      </c>
      <c r="M1038" s="11">
        <f>IF(A1038="","",J1038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1038+IFERROR(INDEX(Settings!$D$5:$D$9,MATCH("Shopify",Settings!$A$5:$A$9,0)),0)*D1038)</f>
        <v/>
      </c>
      <c r="N1038" s="11">
        <f>IF(A1038="","",IF(K1038="",0,D1038*INDEX(Products!$I$5:$I$204,K1038)))</f>
        <v/>
      </c>
      <c r="O1038" s="11">
        <f>IF(A1038="","",IF(K1038="",0,J1038*INDEX(Products!$H$5:$H$204,K1038)))</f>
        <v/>
      </c>
      <c r="P1038" s="11">
        <f>IF(A1038="","",J1038-M1038-N1038-O1038)</f>
        <v/>
      </c>
    </row>
    <row r="1039">
      <c r="A1039">
        <f>IFERROR(INDEX('Shopify Import'!$A:$CZ,1039,Settings!$E$20)&amp;"","")</f>
        <v/>
      </c>
      <c r="B1039">
        <f>IFERROR(INDEX('Shopify Import'!$A:$CZ,1039,Settings!$E$21)&amp;"","")</f>
        <v/>
      </c>
      <c r="C1039">
        <f>IFERROR(INDEX('Shopify Import'!$A:$CZ,1039,Settings!$E$22)&amp;"","")</f>
        <v/>
      </c>
      <c r="D1039">
        <f>IF(A1039="","",IFERROR(VALUE(SUBSTITUTE(SUBSTITUTE(INDEX('Shopify Import'!$A:$CZ,1039,Settings!$E$23)&amp;"","$",""),",","")),0))</f>
        <v/>
      </c>
      <c r="E1039" s="11">
        <f>IF(A1039="","",IFERROR(VALUE(SUBSTITUTE(SUBSTITUTE(INDEX('Shopify Import'!$A:$CZ,1039,Settings!$E$24)&amp;"","$",""),",","")),0))</f>
        <v/>
      </c>
      <c r="F1039" s="11">
        <f>IF(A1039="","",D1039*E1039)</f>
        <v/>
      </c>
      <c r="G1039">
        <f>IF(A1039="","",IF(C1039="",1,COUNTIF($C$2:$C$1501,C1039)))</f>
        <v/>
      </c>
      <c r="H1039" s="11">
        <f>IF(A1039="","",IFERROR(VALUE(SUBSTITUTE(SUBSTITUTE(INDEX('Shopify Import'!$A:$CZ,1039,Settings!$E$25)&amp;"","$",""),",","")),0)/IF(Settings!$D$27="Yes",G1039,1))</f>
        <v/>
      </c>
      <c r="I1039" s="11">
        <f>IF(A1039="","",IFERROR(VALUE(SUBSTITUTE(SUBSTITUTE(INDEX('Shopify Import'!$A:$CZ,1039,Settings!$E$26)&amp;"","$",""),",","")),0)/IF(Settings!$D$27="Yes",G1039,1))</f>
        <v/>
      </c>
      <c r="J1039" s="11">
        <f>IF(A1039="","",F1039+H1039-I1039)</f>
        <v/>
      </c>
      <c r="K1039">
        <f>IF(A1039="","",IFERROR(IF(B1039="",NA(),MATCH(B1039,Products!$B$5:$B$204,0)),IFERROR(MATCH(A1039,Products!$A$5:$A$204,0),"")))</f>
        <v/>
      </c>
      <c r="L1039">
        <f>IF(A1039="","",IF(K1039="","⚠ not in Products",INDEX(Products!$A$5:$A$204,K1039)))</f>
        <v/>
      </c>
      <c r="M1039" s="11">
        <f>IF(A1039="","",J1039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1039+IFERROR(INDEX(Settings!$D$5:$D$9,MATCH("Shopify",Settings!$A$5:$A$9,0)),0)*D1039)</f>
        <v/>
      </c>
      <c r="N1039" s="11">
        <f>IF(A1039="","",IF(K1039="",0,D1039*INDEX(Products!$I$5:$I$204,K1039)))</f>
        <v/>
      </c>
      <c r="O1039" s="11">
        <f>IF(A1039="","",IF(K1039="",0,J1039*INDEX(Products!$H$5:$H$204,K1039)))</f>
        <v/>
      </c>
      <c r="P1039" s="11">
        <f>IF(A1039="","",J1039-M1039-N1039-O1039)</f>
        <v/>
      </c>
    </row>
    <row r="1040">
      <c r="A1040">
        <f>IFERROR(INDEX('Shopify Import'!$A:$CZ,1040,Settings!$E$20)&amp;"","")</f>
        <v/>
      </c>
      <c r="B1040">
        <f>IFERROR(INDEX('Shopify Import'!$A:$CZ,1040,Settings!$E$21)&amp;"","")</f>
        <v/>
      </c>
      <c r="C1040">
        <f>IFERROR(INDEX('Shopify Import'!$A:$CZ,1040,Settings!$E$22)&amp;"","")</f>
        <v/>
      </c>
      <c r="D1040">
        <f>IF(A1040="","",IFERROR(VALUE(SUBSTITUTE(SUBSTITUTE(INDEX('Shopify Import'!$A:$CZ,1040,Settings!$E$23)&amp;"","$",""),",","")),0))</f>
        <v/>
      </c>
      <c r="E1040" s="11">
        <f>IF(A1040="","",IFERROR(VALUE(SUBSTITUTE(SUBSTITUTE(INDEX('Shopify Import'!$A:$CZ,1040,Settings!$E$24)&amp;"","$",""),",","")),0))</f>
        <v/>
      </c>
      <c r="F1040" s="11">
        <f>IF(A1040="","",D1040*E1040)</f>
        <v/>
      </c>
      <c r="G1040">
        <f>IF(A1040="","",IF(C1040="",1,COUNTIF($C$2:$C$1501,C1040)))</f>
        <v/>
      </c>
      <c r="H1040" s="11">
        <f>IF(A1040="","",IFERROR(VALUE(SUBSTITUTE(SUBSTITUTE(INDEX('Shopify Import'!$A:$CZ,1040,Settings!$E$25)&amp;"","$",""),",","")),0)/IF(Settings!$D$27="Yes",G1040,1))</f>
        <v/>
      </c>
      <c r="I1040" s="11">
        <f>IF(A1040="","",IFERROR(VALUE(SUBSTITUTE(SUBSTITUTE(INDEX('Shopify Import'!$A:$CZ,1040,Settings!$E$26)&amp;"","$",""),",","")),0)/IF(Settings!$D$27="Yes",G1040,1))</f>
        <v/>
      </c>
      <c r="J1040" s="11">
        <f>IF(A1040="","",F1040+H1040-I1040)</f>
        <v/>
      </c>
      <c r="K1040">
        <f>IF(A1040="","",IFERROR(IF(B1040="",NA(),MATCH(B1040,Products!$B$5:$B$204,0)),IFERROR(MATCH(A1040,Products!$A$5:$A$204,0),"")))</f>
        <v/>
      </c>
      <c r="L1040">
        <f>IF(A1040="","",IF(K1040="","⚠ not in Products",INDEX(Products!$A$5:$A$204,K1040)))</f>
        <v/>
      </c>
      <c r="M1040" s="11">
        <f>IF(A1040="","",J1040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1040+IFERROR(INDEX(Settings!$D$5:$D$9,MATCH("Shopify",Settings!$A$5:$A$9,0)),0)*D1040)</f>
        <v/>
      </c>
      <c r="N1040" s="11">
        <f>IF(A1040="","",IF(K1040="",0,D1040*INDEX(Products!$I$5:$I$204,K1040)))</f>
        <v/>
      </c>
      <c r="O1040" s="11">
        <f>IF(A1040="","",IF(K1040="",0,J1040*INDEX(Products!$H$5:$H$204,K1040)))</f>
        <v/>
      </c>
      <c r="P1040" s="11">
        <f>IF(A1040="","",J1040-M1040-N1040-O1040)</f>
        <v/>
      </c>
    </row>
    <row r="1041">
      <c r="A1041">
        <f>IFERROR(INDEX('Shopify Import'!$A:$CZ,1041,Settings!$E$20)&amp;"","")</f>
        <v/>
      </c>
      <c r="B1041">
        <f>IFERROR(INDEX('Shopify Import'!$A:$CZ,1041,Settings!$E$21)&amp;"","")</f>
        <v/>
      </c>
      <c r="C1041">
        <f>IFERROR(INDEX('Shopify Import'!$A:$CZ,1041,Settings!$E$22)&amp;"","")</f>
        <v/>
      </c>
      <c r="D1041">
        <f>IF(A1041="","",IFERROR(VALUE(SUBSTITUTE(SUBSTITUTE(INDEX('Shopify Import'!$A:$CZ,1041,Settings!$E$23)&amp;"","$",""),",","")),0))</f>
        <v/>
      </c>
      <c r="E1041" s="11">
        <f>IF(A1041="","",IFERROR(VALUE(SUBSTITUTE(SUBSTITUTE(INDEX('Shopify Import'!$A:$CZ,1041,Settings!$E$24)&amp;"","$",""),",","")),0))</f>
        <v/>
      </c>
      <c r="F1041" s="11">
        <f>IF(A1041="","",D1041*E1041)</f>
        <v/>
      </c>
      <c r="G1041">
        <f>IF(A1041="","",IF(C1041="",1,COUNTIF($C$2:$C$1501,C1041)))</f>
        <v/>
      </c>
      <c r="H1041" s="11">
        <f>IF(A1041="","",IFERROR(VALUE(SUBSTITUTE(SUBSTITUTE(INDEX('Shopify Import'!$A:$CZ,1041,Settings!$E$25)&amp;"","$",""),",","")),0)/IF(Settings!$D$27="Yes",G1041,1))</f>
        <v/>
      </c>
      <c r="I1041" s="11">
        <f>IF(A1041="","",IFERROR(VALUE(SUBSTITUTE(SUBSTITUTE(INDEX('Shopify Import'!$A:$CZ,1041,Settings!$E$26)&amp;"","$",""),",","")),0)/IF(Settings!$D$27="Yes",G1041,1))</f>
        <v/>
      </c>
      <c r="J1041" s="11">
        <f>IF(A1041="","",F1041+H1041-I1041)</f>
        <v/>
      </c>
      <c r="K1041">
        <f>IF(A1041="","",IFERROR(IF(B1041="",NA(),MATCH(B1041,Products!$B$5:$B$204,0)),IFERROR(MATCH(A1041,Products!$A$5:$A$204,0),"")))</f>
        <v/>
      </c>
      <c r="L1041">
        <f>IF(A1041="","",IF(K1041="","⚠ not in Products",INDEX(Products!$A$5:$A$204,K1041)))</f>
        <v/>
      </c>
      <c r="M1041" s="11">
        <f>IF(A1041="","",J1041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1041+IFERROR(INDEX(Settings!$D$5:$D$9,MATCH("Shopify",Settings!$A$5:$A$9,0)),0)*D1041)</f>
        <v/>
      </c>
      <c r="N1041" s="11">
        <f>IF(A1041="","",IF(K1041="",0,D1041*INDEX(Products!$I$5:$I$204,K1041)))</f>
        <v/>
      </c>
      <c r="O1041" s="11">
        <f>IF(A1041="","",IF(K1041="",0,J1041*INDEX(Products!$H$5:$H$204,K1041)))</f>
        <v/>
      </c>
      <c r="P1041" s="11">
        <f>IF(A1041="","",J1041-M1041-N1041-O1041)</f>
        <v/>
      </c>
    </row>
    <row r="1042">
      <c r="A1042">
        <f>IFERROR(INDEX('Shopify Import'!$A:$CZ,1042,Settings!$E$20)&amp;"","")</f>
        <v/>
      </c>
      <c r="B1042">
        <f>IFERROR(INDEX('Shopify Import'!$A:$CZ,1042,Settings!$E$21)&amp;"","")</f>
        <v/>
      </c>
      <c r="C1042">
        <f>IFERROR(INDEX('Shopify Import'!$A:$CZ,1042,Settings!$E$22)&amp;"","")</f>
        <v/>
      </c>
      <c r="D1042">
        <f>IF(A1042="","",IFERROR(VALUE(SUBSTITUTE(SUBSTITUTE(INDEX('Shopify Import'!$A:$CZ,1042,Settings!$E$23)&amp;"","$",""),",","")),0))</f>
        <v/>
      </c>
      <c r="E1042" s="11">
        <f>IF(A1042="","",IFERROR(VALUE(SUBSTITUTE(SUBSTITUTE(INDEX('Shopify Import'!$A:$CZ,1042,Settings!$E$24)&amp;"","$",""),",","")),0))</f>
        <v/>
      </c>
      <c r="F1042" s="11">
        <f>IF(A1042="","",D1042*E1042)</f>
        <v/>
      </c>
      <c r="G1042">
        <f>IF(A1042="","",IF(C1042="",1,COUNTIF($C$2:$C$1501,C1042)))</f>
        <v/>
      </c>
      <c r="H1042" s="11">
        <f>IF(A1042="","",IFERROR(VALUE(SUBSTITUTE(SUBSTITUTE(INDEX('Shopify Import'!$A:$CZ,1042,Settings!$E$25)&amp;"","$",""),",","")),0)/IF(Settings!$D$27="Yes",G1042,1))</f>
        <v/>
      </c>
      <c r="I1042" s="11">
        <f>IF(A1042="","",IFERROR(VALUE(SUBSTITUTE(SUBSTITUTE(INDEX('Shopify Import'!$A:$CZ,1042,Settings!$E$26)&amp;"","$",""),",","")),0)/IF(Settings!$D$27="Yes",G1042,1))</f>
        <v/>
      </c>
      <c r="J1042" s="11">
        <f>IF(A1042="","",F1042+H1042-I1042)</f>
        <v/>
      </c>
      <c r="K1042">
        <f>IF(A1042="","",IFERROR(IF(B1042="",NA(),MATCH(B1042,Products!$B$5:$B$204,0)),IFERROR(MATCH(A1042,Products!$A$5:$A$204,0),"")))</f>
        <v/>
      </c>
      <c r="L1042">
        <f>IF(A1042="","",IF(K1042="","⚠ not in Products",INDEX(Products!$A$5:$A$204,K1042)))</f>
        <v/>
      </c>
      <c r="M1042" s="11">
        <f>IF(A1042="","",J1042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1042+IFERROR(INDEX(Settings!$D$5:$D$9,MATCH("Shopify",Settings!$A$5:$A$9,0)),0)*D1042)</f>
        <v/>
      </c>
      <c r="N1042" s="11">
        <f>IF(A1042="","",IF(K1042="",0,D1042*INDEX(Products!$I$5:$I$204,K1042)))</f>
        <v/>
      </c>
      <c r="O1042" s="11">
        <f>IF(A1042="","",IF(K1042="",0,J1042*INDEX(Products!$H$5:$H$204,K1042)))</f>
        <v/>
      </c>
      <c r="P1042" s="11">
        <f>IF(A1042="","",J1042-M1042-N1042-O1042)</f>
        <v/>
      </c>
    </row>
    <row r="1043">
      <c r="A1043">
        <f>IFERROR(INDEX('Shopify Import'!$A:$CZ,1043,Settings!$E$20)&amp;"","")</f>
        <v/>
      </c>
      <c r="B1043">
        <f>IFERROR(INDEX('Shopify Import'!$A:$CZ,1043,Settings!$E$21)&amp;"","")</f>
        <v/>
      </c>
      <c r="C1043">
        <f>IFERROR(INDEX('Shopify Import'!$A:$CZ,1043,Settings!$E$22)&amp;"","")</f>
        <v/>
      </c>
      <c r="D1043">
        <f>IF(A1043="","",IFERROR(VALUE(SUBSTITUTE(SUBSTITUTE(INDEX('Shopify Import'!$A:$CZ,1043,Settings!$E$23)&amp;"","$",""),",","")),0))</f>
        <v/>
      </c>
      <c r="E1043" s="11">
        <f>IF(A1043="","",IFERROR(VALUE(SUBSTITUTE(SUBSTITUTE(INDEX('Shopify Import'!$A:$CZ,1043,Settings!$E$24)&amp;"","$",""),",","")),0))</f>
        <v/>
      </c>
      <c r="F1043" s="11">
        <f>IF(A1043="","",D1043*E1043)</f>
        <v/>
      </c>
      <c r="G1043">
        <f>IF(A1043="","",IF(C1043="",1,COUNTIF($C$2:$C$1501,C1043)))</f>
        <v/>
      </c>
      <c r="H1043" s="11">
        <f>IF(A1043="","",IFERROR(VALUE(SUBSTITUTE(SUBSTITUTE(INDEX('Shopify Import'!$A:$CZ,1043,Settings!$E$25)&amp;"","$",""),",","")),0)/IF(Settings!$D$27="Yes",G1043,1))</f>
        <v/>
      </c>
      <c r="I1043" s="11">
        <f>IF(A1043="","",IFERROR(VALUE(SUBSTITUTE(SUBSTITUTE(INDEX('Shopify Import'!$A:$CZ,1043,Settings!$E$26)&amp;"","$",""),",","")),0)/IF(Settings!$D$27="Yes",G1043,1))</f>
        <v/>
      </c>
      <c r="J1043" s="11">
        <f>IF(A1043="","",F1043+H1043-I1043)</f>
        <v/>
      </c>
      <c r="K1043">
        <f>IF(A1043="","",IFERROR(IF(B1043="",NA(),MATCH(B1043,Products!$B$5:$B$204,0)),IFERROR(MATCH(A1043,Products!$A$5:$A$204,0),"")))</f>
        <v/>
      </c>
      <c r="L1043">
        <f>IF(A1043="","",IF(K1043="","⚠ not in Products",INDEX(Products!$A$5:$A$204,K1043)))</f>
        <v/>
      </c>
      <c r="M1043" s="11">
        <f>IF(A1043="","",J1043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1043+IFERROR(INDEX(Settings!$D$5:$D$9,MATCH("Shopify",Settings!$A$5:$A$9,0)),0)*D1043)</f>
        <v/>
      </c>
      <c r="N1043" s="11">
        <f>IF(A1043="","",IF(K1043="",0,D1043*INDEX(Products!$I$5:$I$204,K1043)))</f>
        <v/>
      </c>
      <c r="O1043" s="11">
        <f>IF(A1043="","",IF(K1043="",0,J1043*INDEX(Products!$H$5:$H$204,K1043)))</f>
        <v/>
      </c>
      <c r="P1043" s="11">
        <f>IF(A1043="","",J1043-M1043-N1043-O1043)</f>
        <v/>
      </c>
    </row>
    <row r="1044">
      <c r="A1044">
        <f>IFERROR(INDEX('Shopify Import'!$A:$CZ,1044,Settings!$E$20)&amp;"","")</f>
        <v/>
      </c>
      <c r="B1044">
        <f>IFERROR(INDEX('Shopify Import'!$A:$CZ,1044,Settings!$E$21)&amp;"","")</f>
        <v/>
      </c>
      <c r="C1044">
        <f>IFERROR(INDEX('Shopify Import'!$A:$CZ,1044,Settings!$E$22)&amp;"","")</f>
        <v/>
      </c>
      <c r="D1044">
        <f>IF(A1044="","",IFERROR(VALUE(SUBSTITUTE(SUBSTITUTE(INDEX('Shopify Import'!$A:$CZ,1044,Settings!$E$23)&amp;"","$",""),",","")),0))</f>
        <v/>
      </c>
      <c r="E1044" s="11">
        <f>IF(A1044="","",IFERROR(VALUE(SUBSTITUTE(SUBSTITUTE(INDEX('Shopify Import'!$A:$CZ,1044,Settings!$E$24)&amp;"","$",""),",","")),0))</f>
        <v/>
      </c>
      <c r="F1044" s="11">
        <f>IF(A1044="","",D1044*E1044)</f>
        <v/>
      </c>
      <c r="G1044">
        <f>IF(A1044="","",IF(C1044="",1,COUNTIF($C$2:$C$1501,C1044)))</f>
        <v/>
      </c>
      <c r="H1044" s="11">
        <f>IF(A1044="","",IFERROR(VALUE(SUBSTITUTE(SUBSTITUTE(INDEX('Shopify Import'!$A:$CZ,1044,Settings!$E$25)&amp;"","$",""),",","")),0)/IF(Settings!$D$27="Yes",G1044,1))</f>
        <v/>
      </c>
      <c r="I1044" s="11">
        <f>IF(A1044="","",IFERROR(VALUE(SUBSTITUTE(SUBSTITUTE(INDEX('Shopify Import'!$A:$CZ,1044,Settings!$E$26)&amp;"","$",""),",","")),0)/IF(Settings!$D$27="Yes",G1044,1))</f>
        <v/>
      </c>
      <c r="J1044" s="11">
        <f>IF(A1044="","",F1044+H1044-I1044)</f>
        <v/>
      </c>
      <c r="K1044">
        <f>IF(A1044="","",IFERROR(IF(B1044="",NA(),MATCH(B1044,Products!$B$5:$B$204,0)),IFERROR(MATCH(A1044,Products!$A$5:$A$204,0),"")))</f>
        <v/>
      </c>
      <c r="L1044">
        <f>IF(A1044="","",IF(K1044="","⚠ not in Products",INDEX(Products!$A$5:$A$204,K1044)))</f>
        <v/>
      </c>
      <c r="M1044" s="11">
        <f>IF(A1044="","",J1044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1044+IFERROR(INDEX(Settings!$D$5:$D$9,MATCH("Shopify",Settings!$A$5:$A$9,0)),0)*D1044)</f>
        <v/>
      </c>
      <c r="N1044" s="11">
        <f>IF(A1044="","",IF(K1044="",0,D1044*INDEX(Products!$I$5:$I$204,K1044)))</f>
        <v/>
      </c>
      <c r="O1044" s="11">
        <f>IF(A1044="","",IF(K1044="",0,J1044*INDEX(Products!$H$5:$H$204,K1044)))</f>
        <v/>
      </c>
      <c r="P1044" s="11">
        <f>IF(A1044="","",J1044-M1044-N1044-O1044)</f>
        <v/>
      </c>
    </row>
    <row r="1045">
      <c r="A1045">
        <f>IFERROR(INDEX('Shopify Import'!$A:$CZ,1045,Settings!$E$20)&amp;"","")</f>
        <v/>
      </c>
      <c r="B1045">
        <f>IFERROR(INDEX('Shopify Import'!$A:$CZ,1045,Settings!$E$21)&amp;"","")</f>
        <v/>
      </c>
      <c r="C1045">
        <f>IFERROR(INDEX('Shopify Import'!$A:$CZ,1045,Settings!$E$22)&amp;"","")</f>
        <v/>
      </c>
      <c r="D1045">
        <f>IF(A1045="","",IFERROR(VALUE(SUBSTITUTE(SUBSTITUTE(INDEX('Shopify Import'!$A:$CZ,1045,Settings!$E$23)&amp;"","$",""),",","")),0))</f>
        <v/>
      </c>
      <c r="E1045" s="11">
        <f>IF(A1045="","",IFERROR(VALUE(SUBSTITUTE(SUBSTITUTE(INDEX('Shopify Import'!$A:$CZ,1045,Settings!$E$24)&amp;"","$",""),",","")),0))</f>
        <v/>
      </c>
      <c r="F1045" s="11">
        <f>IF(A1045="","",D1045*E1045)</f>
        <v/>
      </c>
      <c r="G1045">
        <f>IF(A1045="","",IF(C1045="",1,COUNTIF($C$2:$C$1501,C1045)))</f>
        <v/>
      </c>
      <c r="H1045" s="11">
        <f>IF(A1045="","",IFERROR(VALUE(SUBSTITUTE(SUBSTITUTE(INDEX('Shopify Import'!$A:$CZ,1045,Settings!$E$25)&amp;"","$",""),",","")),0)/IF(Settings!$D$27="Yes",G1045,1))</f>
        <v/>
      </c>
      <c r="I1045" s="11">
        <f>IF(A1045="","",IFERROR(VALUE(SUBSTITUTE(SUBSTITUTE(INDEX('Shopify Import'!$A:$CZ,1045,Settings!$E$26)&amp;"","$",""),",","")),0)/IF(Settings!$D$27="Yes",G1045,1))</f>
        <v/>
      </c>
      <c r="J1045" s="11">
        <f>IF(A1045="","",F1045+H1045-I1045)</f>
        <v/>
      </c>
      <c r="K1045">
        <f>IF(A1045="","",IFERROR(IF(B1045="",NA(),MATCH(B1045,Products!$B$5:$B$204,0)),IFERROR(MATCH(A1045,Products!$A$5:$A$204,0),"")))</f>
        <v/>
      </c>
      <c r="L1045">
        <f>IF(A1045="","",IF(K1045="","⚠ not in Products",INDEX(Products!$A$5:$A$204,K1045)))</f>
        <v/>
      </c>
      <c r="M1045" s="11">
        <f>IF(A1045="","",J1045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1045+IFERROR(INDEX(Settings!$D$5:$D$9,MATCH("Shopify",Settings!$A$5:$A$9,0)),0)*D1045)</f>
        <v/>
      </c>
      <c r="N1045" s="11">
        <f>IF(A1045="","",IF(K1045="",0,D1045*INDEX(Products!$I$5:$I$204,K1045)))</f>
        <v/>
      </c>
      <c r="O1045" s="11">
        <f>IF(A1045="","",IF(K1045="",0,J1045*INDEX(Products!$H$5:$H$204,K1045)))</f>
        <v/>
      </c>
      <c r="P1045" s="11">
        <f>IF(A1045="","",J1045-M1045-N1045-O1045)</f>
        <v/>
      </c>
    </row>
    <row r="1046">
      <c r="A1046">
        <f>IFERROR(INDEX('Shopify Import'!$A:$CZ,1046,Settings!$E$20)&amp;"","")</f>
        <v/>
      </c>
      <c r="B1046">
        <f>IFERROR(INDEX('Shopify Import'!$A:$CZ,1046,Settings!$E$21)&amp;"","")</f>
        <v/>
      </c>
      <c r="C1046">
        <f>IFERROR(INDEX('Shopify Import'!$A:$CZ,1046,Settings!$E$22)&amp;"","")</f>
        <v/>
      </c>
      <c r="D1046">
        <f>IF(A1046="","",IFERROR(VALUE(SUBSTITUTE(SUBSTITUTE(INDEX('Shopify Import'!$A:$CZ,1046,Settings!$E$23)&amp;"","$",""),",","")),0))</f>
        <v/>
      </c>
      <c r="E1046" s="11">
        <f>IF(A1046="","",IFERROR(VALUE(SUBSTITUTE(SUBSTITUTE(INDEX('Shopify Import'!$A:$CZ,1046,Settings!$E$24)&amp;"","$",""),",","")),0))</f>
        <v/>
      </c>
      <c r="F1046" s="11">
        <f>IF(A1046="","",D1046*E1046)</f>
        <v/>
      </c>
      <c r="G1046">
        <f>IF(A1046="","",IF(C1046="",1,COUNTIF($C$2:$C$1501,C1046)))</f>
        <v/>
      </c>
      <c r="H1046" s="11">
        <f>IF(A1046="","",IFERROR(VALUE(SUBSTITUTE(SUBSTITUTE(INDEX('Shopify Import'!$A:$CZ,1046,Settings!$E$25)&amp;"","$",""),",","")),0)/IF(Settings!$D$27="Yes",G1046,1))</f>
        <v/>
      </c>
      <c r="I1046" s="11">
        <f>IF(A1046="","",IFERROR(VALUE(SUBSTITUTE(SUBSTITUTE(INDEX('Shopify Import'!$A:$CZ,1046,Settings!$E$26)&amp;"","$",""),",","")),0)/IF(Settings!$D$27="Yes",G1046,1))</f>
        <v/>
      </c>
      <c r="J1046" s="11">
        <f>IF(A1046="","",F1046+H1046-I1046)</f>
        <v/>
      </c>
      <c r="K1046">
        <f>IF(A1046="","",IFERROR(IF(B1046="",NA(),MATCH(B1046,Products!$B$5:$B$204,0)),IFERROR(MATCH(A1046,Products!$A$5:$A$204,0),"")))</f>
        <v/>
      </c>
      <c r="L1046">
        <f>IF(A1046="","",IF(K1046="","⚠ not in Products",INDEX(Products!$A$5:$A$204,K1046)))</f>
        <v/>
      </c>
      <c r="M1046" s="11">
        <f>IF(A1046="","",J1046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1046+IFERROR(INDEX(Settings!$D$5:$D$9,MATCH("Shopify",Settings!$A$5:$A$9,0)),0)*D1046)</f>
        <v/>
      </c>
      <c r="N1046" s="11">
        <f>IF(A1046="","",IF(K1046="",0,D1046*INDEX(Products!$I$5:$I$204,K1046)))</f>
        <v/>
      </c>
      <c r="O1046" s="11">
        <f>IF(A1046="","",IF(K1046="",0,J1046*INDEX(Products!$H$5:$H$204,K1046)))</f>
        <v/>
      </c>
      <c r="P1046" s="11">
        <f>IF(A1046="","",J1046-M1046-N1046-O1046)</f>
        <v/>
      </c>
    </row>
    <row r="1047">
      <c r="A1047">
        <f>IFERROR(INDEX('Shopify Import'!$A:$CZ,1047,Settings!$E$20)&amp;"","")</f>
        <v/>
      </c>
      <c r="B1047">
        <f>IFERROR(INDEX('Shopify Import'!$A:$CZ,1047,Settings!$E$21)&amp;"","")</f>
        <v/>
      </c>
      <c r="C1047">
        <f>IFERROR(INDEX('Shopify Import'!$A:$CZ,1047,Settings!$E$22)&amp;"","")</f>
        <v/>
      </c>
      <c r="D1047">
        <f>IF(A1047="","",IFERROR(VALUE(SUBSTITUTE(SUBSTITUTE(INDEX('Shopify Import'!$A:$CZ,1047,Settings!$E$23)&amp;"","$",""),",","")),0))</f>
        <v/>
      </c>
      <c r="E1047" s="11">
        <f>IF(A1047="","",IFERROR(VALUE(SUBSTITUTE(SUBSTITUTE(INDEX('Shopify Import'!$A:$CZ,1047,Settings!$E$24)&amp;"","$",""),",","")),0))</f>
        <v/>
      </c>
      <c r="F1047" s="11">
        <f>IF(A1047="","",D1047*E1047)</f>
        <v/>
      </c>
      <c r="G1047">
        <f>IF(A1047="","",IF(C1047="",1,COUNTIF($C$2:$C$1501,C1047)))</f>
        <v/>
      </c>
      <c r="H1047" s="11">
        <f>IF(A1047="","",IFERROR(VALUE(SUBSTITUTE(SUBSTITUTE(INDEX('Shopify Import'!$A:$CZ,1047,Settings!$E$25)&amp;"","$",""),",","")),0)/IF(Settings!$D$27="Yes",G1047,1))</f>
        <v/>
      </c>
      <c r="I1047" s="11">
        <f>IF(A1047="","",IFERROR(VALUE(SUBSTITUTE(SUBSTITUTE(INDEX('Shopify Import'!$A:$CZ,1047,Settings!$E$26)&amp;"","$",""),",","")),0)/IF(Settings!$D$27="Yes",G1047,1))</f>
        <v/>
      </c>
      <c r="J1047" s="11">
        <f>IF(A1047="","",F1047+H1047-I1047)</f>
        <v/>
      </c>
      <c r="K1047">
        <f>IF(A1047="","",IFERROR(IF(B1047="",NA(),MATCH(B1047,Products!$B$5:$B$204,0)),IFERROR(MATCH(A1047,Products!$A$5:$A$204,0),"")))</f>
        <v/>
      </c>
      <c r="L1047">
        <f>IF(A1047="","",IF(K1047="","⚠ not in Products",INDEX(Products!$A$5:$A$204,K1047)))</f>
        <v/>
      </c>
      <c r="M1047" s="11">
        <f>IF(A1047="","",J1047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1047+IFERROR(INDEX(Settings!$D$5:$D$9,MATCH("Shopify",Settings!$A$5:$A$9,0)),0)*D1047)</f>
        <v/>
      </c>
      <c r="N1047" s="11">
        <f>IF(A1047="","",IF(K1047="",0,D1047*INDEX(Products!$I$5:$I$204,K1047)))</f>
        <v/>
      </c>
      <c r="O1047" s="11">
        <f>IF(A1047="","",IF(K1047="",0,J1047*INDEX(Products!$H$5:$H$204,K1047)))</f>
        <v/>
      </c>
      <c r="P1047" s="11">
        <f>IF(A1047="","",J1047-M1047-N1047-O1047)</f>
        <v/>
      </c>
    </row>
    <row r="1048">
      <c r="A1048">
        <f>IFERROR(INDEX('Shopify Import'!$A:$CZ,1048,Settings!$E$20)&amp;"","")</f>
        <v/>
      </c>
      <c r="B1048">
        <f>IFERROR(INDEX('Shopify Import'!$A:$CZ,1048,Settings!$E$21)&amp;"","")</f>
        <v/>
      </c>
      <c r="C1048">
        <f>IFERROR(INDEX('Shopify Import'!$A:$CZ,1048,Settings!$E$22)&amp;"","")</f>
        <v/>
      </c>
      <c r="D1048">
        <f>IF(A1048="","",IFERROR(VALUE(SUBSTITUTE(SUBSTITUTE(INDEX('Shopify Import'!$A:$CZ,1048,Settings!$E$23)&amp;"","$",""),",","")),0))</f>
        <v/>
      </c>
      <c r="E1048" s="11">
        <f>IF(A1048="","",IFERROR(VALUE(SUBSTITUTE(SUBSTITUTE(INDEX('Shopify Import'!$A:$CZ,1048,Settings!$E$24)&amp;"","$",""),",","")),0))</f>
        <v/>
      </c>
      <c r="F1048" s="11">
        <f>IF(A1048="","",D1048*E1048)</f>
        <v/>
      </c>
      <c r="G1048">
        <f>IF(A1048="","",IF(C1048="",1,COUNTIF($C$2:$C$1501,C1048)))</f>
        <v/>
      </c>
      <c r="H1048" s="11">
        <f>IF(A1048="","",IFERROR(VALUE(SUBSTITUTE(SUBSTITUTE(INDEX('Shopify Import'!$A:$CZ,1048,Settings!$E$25)&amp;"","$",""),",","")),0)/IF(Settings!$D$27="Yes",G1048,1))</f>
        <v/>
      </c>
      <c r="I1048" s="11">
        <f>IF(A1048="","",IFERROR(VALUE(SUBSTITUTE(SUBSTITUTE(INDEX('Shopify Import'!$A:$CZ,1048,Settings!$E$26)&amp;"","$",""),",","")),0)/IF(Settings!$D$27="Yes",G1048,1))</f>
        <v/>
      </c>
      <c r="J1048" s="11">
        <f>IF(A1048="","",F1048+H1048-I1048)</f>
        <v/>
      </c>
      <c r="K1048">
        <f>IF(A1048="","",IFERROR(IF(B1048="",NA(),MATCH(B1048,Products!$B$5:$B$204,0)),IFERROR(MATCH(A1048,Products!$A$5:$A$204,0),"")))</f>
        <v/>
      </c>
      <c r="L1048">
        <f>IF(A1048="","",IF(K1048="","⚠ not in Products",INDEX(Products!$A$5:$A$204,K1048)))</f>
        <v/>
      </c>
      <c r="M1048" s="11">
        <f>IF(A1048="","",J1048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1048+IFERROR(INDEX(Settings!$D$5:$D$9,MATCH("Shopify",Settings!$A$5:$A$9,0)),0)*D1048)</f>
        <v/>
      </c>
      <c r="N1048" s="11">
        <f>IF(A1048="","",IF(K1048="",0,D1048*INDEX(Products!$I$5:$I$204,K1048)))</f>
        <v/>
      </c>
      <c r="O1048" s="11">
        <f>IF(A1048="","",IF(K1048="",0,J1048*INDEX(Products!$H$5:$H$204,K1048)))</f>
        <v/>
      </c>
      <c r="P1048" s="11">
        <f>IF(A1048="","",J1048-M1048-N1048-O1048)</f>
        <v/>
      </c>
    </row>
    <row r="1049">
      <c r="A1049">
        <f>IFERROR(INDEX('Shopify Import'!$A:$CZ,1049,Settings!$E$20)&amp;"","")</f>
        <v/>
      </c>
      <c r="B1049">
        <f>IFERROR(INDEX('Shopify Import'!$A:$CZ,1049,Settings!$E$21)&amp;"","")</f>
        <v/>
      </c>
      <c r="C1049">
        <f>IFERROR(INDEX('Shopify Import'!$A:$CZ,1049,Settings!$E$22)&amp;"","")</f>
        <v/>
      </c>
      <c r="D1049">
        <f>IF(A1049="","",IFERROR(VALUE(SUBSTITUTE(SUBSTITUTE(INDEX('Shopify Import'!$A:$CZ,1049,Settings!$E$23)&amp;"","$",""),",","")),0))</f>
        <v/>
      </c>
      <c r="E1049" s="11">
        <f>IF(A1049="","",IFERROR(VALUE(SUBSTITUTE(SUBSTITUTE(INDEX('Shopify Import'!$A:$CZ,1049,Settings!$E$24)&amp;"","$",""),",","")),0))</f>
        <v/>
      </c>
      <c r="F1049" s="11">
        <f>IF(A1049="","",D1049*E1049)</f>
        <v/>
      </c>
      <c r="G1049">
        <f>IF(A1049="","",IF(C1049="",1,COUNTIF($C$2:$C$1501,C1049)))</f>
        <v/>
      </c>
      <c r="H1049" s="11">
        <f>IF(A1049="","",IFERROR(VALUE(SUBSTITUTE(SUBSTITUTE(INDEX('Shopify Import'!$A:$CZ,1049,Settings!$E$25)&amp;"","$",""),",","")),0)/IF(Settings!$D$27="Yes",G1049,1))</f>
        <v/>
      </c>
      <c r="I1049" s="11">
        <f>IF(A1049="","",IFERROR(VALUE(SUBSTITUTE(SUBSTITUTE(INDEX('Shopify Import'!$A:$CZ,1049,Settings!$E$26)&amp;"","$",""),",","")),0)/IF(Settings!$D$27="Yes",G1049,1))</f>
        <v/>
      </c>
      <c r="J1049" s="11">
        <f>IF(A1049="","",F1049+H1049-I1049)</f>
        <v/>
      </c>
      <c r="K1049">
        <f>IF(A1049="","",IFERROR(IF(B1049="",NA(),MATCH(B1049,Products!$B$5:$B$204,0)),IFERROR(MATCH(A1049,Products!$A$5:$A$204,0),"")))</f>
        <v/>
      </c>
      <c r="L1049">
        <f>IF(A1049="","",IF(K1049="","⚠ not in Products",INDEX(Products!$A$5:$A$204,K1049)))</f>
        <v/>
      </c>
      <c r="M1049" s="11">
        <f>IF(A1049="","",J1049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1049+IFERROR(INDEX(Settings!$D$5:$D$9,MATCH("Shopify",Settings!$A$5:$A$9,0)),0)*D1049)</f>
        <v/>
      </c>
      <c r="N1049" s="11">
        <f>IF(A1049="","",IF(K1049="",0,D1049*INDEX(Products!$I$5:$I$204,K1049)))</f>
        <v/>
      </c>
      <c r="O1049" s="11">
        <f>IF(A1049="","",IF(K1049="",0,J1049*INDEX(Products!$H$5:$H$204,K1049)))</f>
        <v/>
      </c>
      <c r="P1049" s="11">
        <f>IF(A1049="","",J1049-M1049-N1049-O1049)</f>
        <v/>
      </c>
    </row>
    <row r="1050">
      <c r="A1050">
        <f>IFERROR(INDEX('Shopify Import'!$A:$CZ,1050,Settings!$E$20)&amp;"","")</f>
        <v/>
      </c>
      <c r="B1050">
        <f>IFERROR(INDEX('Shopify Import'!$A:$CZ,1050,Settings!$E$21)&amp;"","")</f>
        <v/>
      </c>
      <c r="C1050">
        <f>IFERROR(INDEX('Shopify Import'!$A:$CZ,1050,Settings!$E$22)&amp;"","")</f>
        <v/>
      </c>
      <c r="D1050">
        <f>IF(A1050="","",IFERROR(VALUE(SUBSTITUTE(SUBSTITUTE(INDEX('Shopify Import'!$A:$CZ,1050,Settings!$E$23)&amp;"","$",""),",","")),0))</f>
        <v/>
      </c>
      <c r="E1050" s="11">
        <f>IF(A1050="","",IFERROR(VALUE(SUBSTITUTE(SUBSTITUTE(INDEX('Shopify Import'!$A:$CZ,1050,Settings!$E$24)&amp;"","$",""),",","")),0))</f>
        <v/>
      </c>
      <c r="F1050" s="11">
        <f>IF(A1050="","",D1050*E1050)</f>
        <v/>
      </c>
      <c r="G1050">
        <f>IF(A1050="","",IF(C1050="",1,COUNTIF($C$2:$C$1501,C1050)))</f>
        <v/>
      </c>
      <c r="H1050" s="11">
        <f>IF(A1050="","",IFERROR(VALUE(SUBSTITUTE(SUBSTITUTE(INDEX('Shopify Import'!$A:$CZ,1050,Settings!$E$25)&amp;"","$",""),",","")),0)/IF(Settings!$D$27="Yes",G1050,1))</f>
        <v/>
      </c>
      <c r="I1050" s="11">
        <f>IF(A1050="","",IFERROR(VALUE(SUBSTITUTE(SUBSTITUTE(INDEX('Shopify Import'!$A:$CZ,1050,Settings!$E$26)&amp;"","$",""),",","")),0)/IF(Settings!$D$27="Yes",G1050,1))</f>
        <v/>
      </c>
      <c r="J1050" s="11">
        <f>IF(A1050="","",F1050+H1050-I1050)</f>
        <v/>
      </c>
      <c r="K1050">
        <f>IF(A1050="","",IFERROR(IF(B1050="",NA(),MATCH(B1050,Products!$B$5:$B$204,0)),IFERROR(MATCH(A1050,Products!$A$5:$A$204,0),"")))</f>
        <v/>
      </c>
      <c r="L1050">
        <f>IF(A1050="","",IF(K1050="","⚠ not in Products",INDEX(Products!$A$5:$A$204,K1050)))</f>
        <v/>
      </c>
      <c r="M1050" s="11">
        <f>IF(A1050="","",J1050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1050+IFERROR(INDEX(Settings!$D$5:$D$9,MATCH("Shopify",Settings!$A$5:$A$9,0)),0)*D1050)</f>
        <v/>
      </c>
      <c r="N1050" s="11">
        <f>IF(A1050="","",IF(K1050="",0,D1050*INDEX(Products!$I$5:$I$204,K1050)))</f>
        <v/>
      </c>
      <c r="O1050" s="11">
        <f>IF(A1050="","",IF(K1050="",0,J1050*INDEX(Products!$H$5:$H$204,K1050)))</f>
        <v/>
      </c>
      <c r="P1050" s="11">
        <f>IF(A1050="","",J1050-M1050-N1050-O1050)</f>
        <v/>
      </c>
    </row>
    <row r="1051">
      <c r="A1051">
        <f>IFERROR(INDEX('Shopify Import'!$A:$CZ,1051,Settings!$E$20)&amp;"","")</f>
        <v/>
      </c>
      <c r="B1051">
        <f>IFERROR(INDEX('Shopify Import'!$A:$CZ,1051,Settings!$E$21)&amp;"","")</f>
        <v/>
      </c>
      <c r="C1051">
        <f>IFERROR(INDEX('Shopify Import'!$A:$CZ,1051,Settings!$E$22)&amp;"","")</f>
        <v/>
      </c>
      <c r="D1051">
        <f>IF(A1051="","",IFERROR(VALUE(SUBSTITUTE(SUBSTITUTE(INDEX('Shopify Import'!$A:$CZ,1051,Settings!$E$23)&amp;"","$",""),",","")),0))</f>
        <v/>
      </c>
      <c r="E1051" s="11">
        <f>IF(A1051="","",IFERROR(VALUE(SUBSTITUTE(SUBSTITUTE(INDEX('Shopify Import'!$A:$CZ,1051,Settings!$E$24)&amp;"","$",""),",","")),0))</f>
        <v/>
      </c>
      <c r="F1051" s="11">
        <f>IF(A1051="","",D1051*E1051)</f>
        <v/>
      </c>
      <c r="G1051">
        <f>IF(A1051="","",IF(C1051="",1,COUNTIF($C$2:$C$1501,C1051)))</f>
        <v/>
      </c>
      <c r="H1051" s="11">
        <f>IF(A1051="","",IFERROR(VALUE(SUBSTITUTE(SUBSTITUTE(INDEX('Shopify Import'!$A:$CZ,1051,Settings!$E$25)&amp;"","$",""),",","")),0)/IF(Settings!$D$27="Yes",G1051,1))</f>
        <v/>
      </c>
      <c r="I1051" s="11">
        <f>IF(A1051="","",IFERROR(VALUE(SUBSTITUTE(SUBSTITUTE(INDEX('Shopify Import'!$A:$CZ,1051,Settings!$E$26)&amp;"","$",""),",","")),0)/IF(Settings!$D$27="Yes",G1051,1))</f>
        <v/>
      </c>
      <c r="J1051" s="11">
        <f>IF(A1051="","",F1051+H1051-I1051)</f>
        <v/>
      </c>
      <c r="K1051">
        <f>IF(A1051="","",IFERROR(IF(B1051="",NA(),MATCH(B1051,Products!$B$5:$B$204,0)),IFERROR(MATCH(A1051,Products!$A$5:$A$204,0),"")))</f>
        <v/>
      </c>
      <c r="L1051">
        <f>IF(A1051="","",IF(K1051="","⚠ not in Products",INDEX(Products!$A$5:$A$204,K1051)))</f>
        <v/>
      </c>
      <c r="M1051" s="11">
        <f>IF(A1051="","",J1051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1051+IFERROR(INDEX(Settings!$D$5:$D$9,MATCH("Shopify",Settings!$A$5:$A$9,0)),0)*D1051)</f>
        <v/>
      </c>
      <c r="N1051" s="11">
        <f>IF(A1051="","",IF(K1051="",0,D1051*INDEX(Products!$I$5:$I$204,K1051)))</f>
        <v/>
      </c>
      <c r="O1051" s="11">
        <f>IF(A1051="","",IF(K1051="",0,J1051*INDEX(Products!$H$5:$H$204,K1051)))</f>
        <v/>
      </c>
      <c r="P1051" s="11">
        <f>IF(A1051="","",J1051-M1051-N1051-O1051)</f>
        <v/>
      </c>
    </row>
    <row r="1052">
      <c r="A1052">
        <f>IFERROR(INDEX('Shopify Import'!$A:$CZ,1052,Settings!$E$20)&amp;"","")</f>
        <v/>
      </c>
      <c r="B1052">
        <f>IFERROR(INDEX('Shopify Import'!$A:$CZ,1052,Settings!$E$21)&amp;"","")</f>
        <v/>
      </c>
      <c r="C1052">
        <f>IFERROR(INDEX('Shopify Import'!$A:$CZ,1052,Settings!$E$22)&amp;"","")</f>
        <v/>
      </c>
      <c r="D1052">
        <f>IF(A1052="","",IFERROR(VALUE(SUBSTITUTE(SUBSTITUTE(INDEX('Shopify Import'!$A:$CZ,1052,Settings!$E$23)&amp;"","$",""),",","")),0))</f>
        <v/>
      </c>
      <c r="E1052" s="11">
        <f>IF(A1052="","",IFERROR(VALUE(SUBSTITUTE(SUBSTITUTE(INDEX('Shopify Import'!$A:$CZ,1052,Settings!$E$24)&amp;"","$",""),",","")),0))</f>
        <v/>
      </c>
      <c r="F1052" s="11">
        <f>IF(A1052="","",D1052*E1052)</f>
        <v/>
      </c>
      <c r="G1052">
        <f>IF(A1052="","",IF(C1052="",1,COUNTIF($C$2:$C$1501,C1052)))</f>
        <v/>
      </c>
      <c r="H1052" s="11">
        <f>IF(A1052="","",IFERROR(VALUE(SUBSTITUTE(SUBSTITUTE(INDEX('Shopify Import'!$A:$CZ,1052,Settings!$E$25)&amp;"","$",""),",","")),0)/IF(Settings!$D$27="Yes",G1052,1))</f>
        <v/>
      </c>
      <c r="I1052" s="11">
        <f>IF(A1052="","",IFERROR(VALUE(SUBSTITUTE(SUBSTITUTE(INDEX('Shopify Import'!$A:$CZ,1052,Settings!$E$26)&amp;"","$",""),",","")),0)/IF(Settings!$D$27="Yes",G1052,1))</f>
        <v/>
      </c>
      <c r="J1052" s="11">
        <f>IF(A1052="","",F1052+H1052-I1052)</f>
        <v/>
      </c>
      <c r="K1052">
        <f>IF(A1052="","",IFERROR(IF(B1052="",NA(),MATCH(B1052,Products!$B$5:$B$204,0)),IFERROR(MATCH(A1052,Products!$A$5:$A$204,0),"")))</f>
        <v/>
      </c>
      <c r="L1052">
        <f>IF(A1052="","",IF(K1052="","⚠ not in Products",INDEX(Products!$A$5:$A$204,K1052)))</f>
        <v/>
      </c>
      <c r="M1052" s="11">
        <f>IF(A1052="","",J1052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1052+IFERROR(INDEX(Settings!$D$5:$D$9,MATCH("Shopify",Settings!$A$5:$A$9,0)),0)*D1052)</f>
        <v/>
      </c>
      <c r="N1052" s="11">
        <f>IF(A1052="","",IF(K1052="",0,D1052*INDEX(Products!$I$5:$I$204,K1052)))</f>
        <v/>
      </c>
      <c r="O1052" s="11">
        <f>IF(A1052="","",IF(K1052="",0,J1052*INDEX(Products!$H$5:$H$204,K1052)))</f>
        <v/>
      </c>
      <c r="P1052" s="11">
        <f>IF(A1052="","",J1052-M1052-N1052-O1052)</f>
        <v/>
      </c>
    </row>
    <row r="1053">
      <c r="A1053">
        <f>IFERROR(INDEX('Shopify Import'!$A:$CZ,1053,Settings!$E$20)&amp;"","")</f>
        <v/>
      </c>
      <c r="B1053">
        <f>IFERROR(INDEX('Shopify Import'!$A:$CZ,1053,Settings!$E$21)&amp;"","")</f>
        <v/>
      </c>
      <c r="C1053">
        <f>IFERROR(INDEX('Shopify Import'!$A:$CZ,1053,Settings!$E$22)&amp;"","")</f>
        <v/>
      </c>
      <c r="D1053">
        <f>IF(A1053="","",IFERROR(VALUE(SUBSTITUTE(SUBSTITUTE(INDEX('Shopify Import'!$A:$CZ,1053,Settings!$E$23)&amp;"","$",""),",","")),0))</f>
        <v/>
      </c>
      <c r="E1053" s="11">
        <f>IF(A1053="","",IFERROR(VALUE(SUBSTITUTE(SUBSTITUTE(INDEX('Shopify Import'!$A:$CZ,1053,Settings!$E$24)&amp;"","$",""),",","")),0))</f>
        <v/>
      </c>
      <c r="F1053" s="11">
        <f>IF(A1053="","",D1053*E1053)</f>
        <v/>
      </c>
      <c r="G1053">
        <f>IF(A1053="","",IF(C1053="",1,COUNTIF($C$2:$C$1501,C1053)))</f>
        <v/>
      </c>
      <c r="H1053" s="11">
        <f>IF(A1053="","",IFERROR(VALUE(SUBSTITUTE(SUBSTITUTE(INDEX('Shopify Import'!$A:$CZ,1053,Settings!$E$25)&amp;"","$",""),",","")),0)/IF(Settings!$D$27="Yes",G1053,1))</f>
        <v/>
      </c>
      <c r="I1053" s="11">
        <f>IF(A1053="","",IFERROR(VALUE(SUBSTITUTE(SUBSTITUTE(INDEX('Shopify Import'!$A:$CZ,1053,Settings!$E$26)&amp;"","$",""),",","")),0)/IF(Settings!$D$27="Yes",G1053,1))</f>
        <v/>
      </c>
      <c r="J1053" s="11">
        <f>IF(A1053="","",F1053+H1053-I1053)</f>
        <v/>
      </c>
      <c r="K1053">
        <f>IF(A1053="","",IFERROR(IF(B1053="",NA(),MATCH(B1053,Products!$B$5:$B$204,0)),IFERROR(MATCH(A1053,Products!$A$5:$A$204,0),"")))</f>
        <v/>
      </c>
      <c r="L1053">
        <f>IF(A1053="","",IF(K1053="","⚠ not in Products",INDEX(Products!$A$5:$A$204,K1053)))</f>
        <v/>
      </c>
      <c r="M1053" s="11">
        <f>IF(A1053="","",J1053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1053+IFERROR(INDEX(Settings!$D$5:$D$9,MATCH("Shopify",Settings!$A$5:$A$9,0)),0)*D1053)</f>
        <v/>
      </c>
      <c r="N1053" s="11">
        <f>IF(A1053="","",IF(K1053="",0,D1053*INDEX(Products!$I$5:$I$204,K1053)))</f>
        <v/>
      </c>
      <c r="O1053" s="11">
        <f>IF(A1053="","",IF(K1053="",0,J1053*INDEX(Products!$H$5:$H$204,K1053)))</f>
        <v/>
      </c>
      <c r="P1053" s="11">
        <f>IF(A1053="","",J1053-M1053-N1053-O1053)</f>
        <v/>
      </c>
    </row>
    <row r="1054">
      <c r="A1054">
        <f>IFERROR(INDEX('Shopify Import'!$A:$CZ,1054,Settings!$E$20)&amp;"","")</f>
        <v/>
      </c>
      <c r="B1054">
        <f>IFERROR(INDEX('Shopify Import'!$A:$CZ,1054,Settings!$E$21)&amp;"","")</f>
        <v/>
      </c>
      <c r="C1054">
        <f>IFERROR(INDEX('Shopify Import'!$A:$CZ,1054,Settings!$E$22)&amp;"","")</f>
        <v/>
      </c>
      <c r="D1054">
        <f>IF(A1054="","",IFERROR(VALUE(SUBSTITUTE(SUBSTITUTE(INDEX('Shopify Import'!$A:$CZ,1054,Settings!$E$23)&amp;"","$",""),",","")),0))</f>
        <v/>
      </c>
      <c r="E1054" s="11">
        <f>IF(A1054="","",IFERROR(VALUE(SUBSTITUTE(SUBSTITUTE(INDEX('Shopify Import'!$A:$CZ,1054,Settings!$E$24)&amp;"","$",""),",","")),0))</f>
        <v/>
      </c>
      <c r="F1054" s="11">
        <f>IF(A1054="","",D1054*E1054)</f>
        <v/>
      </c>
      <c r="G1054">
        <f>IF(A1054="","",IF(C1054="",1,COUNTIF($C$2:$C$1501,C1054)))</f>
        <v/>
      </c>
      <c r="H1054" s="11">
        <f>IF(A1054="","",IFERROR(VALUE(SUBSTITUTE(SUBSTITUTE(INDEX('Shopify Import'!$A:$CZ,1054,Settings!$E$25)&amp;"","$",""),",","")),0)/IF(Settings!$D$27="Yes",G1054,1))</f>
        <v/>
      </c>
      <c r="I1054" s="11">
        <f>IF(A1054="","",IFERROR(VALUE(SUBSTITUTE(SUBSTITUTE(INDEX('Shopify Import'!$A:$CZ,1054,Settings!$E$26)&amp;"","$",""),",","")),0)/IF(Settings!$D$27="Yes",G1054,1))</f>
        <v/>
      </c>
      <c r="J1054" s="11">
        <f>IF(A1054="","",F1054+H1054-I1054)</f>
        <v/>
      </c>
      <c r="K1054">
        <f>IF(A1054="","",IFERROR(IF(B1054="",NA(),MATCH(B1054,Products!$B$5:$B$204,0)),IFERROR(MATCH(A1054,Products!$A$5:$A$204,0),"")))</f>
        <v/>
      </c>
      <c r="L1054">
        <f>IF(A1054="","",IF(K1054="","⚠ not in Products",INDEX(Products!$A$5:$A$204,K1054)))</f>
        <v/>
      </c>
      <c r="M1054" s="11">
        <f>IF(A1054="","",J1054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1054+IFERROR(INDEX(Settings!$D$5:$D$9,MATCH("Shopify",Settings!$A$5:$A$9,0)),0)*D1054)</f>
        <v/>
      </c>
      <c r="N1054" s="11">
        <f>IF(A1054="","",IF(K1054="",0,D1054*INDEX(Products!$I$5:$I$204,K1054)))</f>
        <v/>
      </c>
      <c r="O1054" s="11">
        <f>IF(A1054="","",IF(K1054="",0,J1054*INDEX(Products!$H$5:$H$204,K1054)))</f>
        <v/>
      </c>
      <c r="P1054" s="11">
        <f>IF(A1054="","",J1054-M1054-N1054-O1054)</f>
        <v/>
      </c>
    </row>
    <row r="1055">
      <c r="A1055">
        <f>IFERROR(INDEX('Shopify Import'!$A:$CZ,1055,Settings!$E$20)&amp;"","")</f>
        <v/>
      </c>
      <c r="B1055">
        <f>IFERROR(INDEX('Shopify Import'!$A:$CZ,1055,Settings!$E$21)&amp;"","")</f>
        <v/>
      </c>
      <c r="C1055">
        <f>IFERROR(INDEX('Shopify Import'!$A:$CZ,1055,Settings!$E$22)&amp;"","")</f>
        <v/>
      </c>
      <c r="D1055">
        <f>IF(A1055="","",IFERROR(VALUE(SUBSTITUTE(SUBSTITUTE(INDEX('Shopify Import'!$A:$CZ,1055,Settings!$E$23)&amp;"","$",""),",","")),0))</f>
        <v/>
      </c>
      <c r="E1055" s="11">
        <f>IF(A1055="","",IFERROR(VALUE(SUBSTITUTE(SUBSTITUTE(INDEX('Shopify Import'!$A:$CZ,1055,Settings!$E$24)&amp;"","$",""),",","")),0))</f>
        <v/>
      </c>
      <c r="F1055" s="11">
        <f>IF(A1055="","",D1055*E1055)</f>
        <v/>
      </c>
      <c r="G1055">
        <f>IF(A1055="","",IF(C1055="",1,COUNTIF($C$2:$C$1501,C1055)))</f>
        <v/>
      </c>
      <c r="H1055" s="11">
        <f>IF(A1055="","",IFERROR(VALUE(SUBSTITUTE(SUBSTITUTE(INDEX('Shopify Import'!$A:$CZ,1055,Settings!$E$25)&amp;"","$",""),",","")),0)/IF(Settings!$D$27="Yes",G1055,1))</f>
        <v/>
      </c>
      <c r="I1055" s="11">
        <f>IF(A1055="","",IFERROR(VALUE(SUBSTITUTE(SUBSTITUTE(INDEX('Shopify Import'!$A:$CZ,1055,Settings!$E$26)&amp;"","$",""),",","")),0)/IF(Settings!$D$27="Yes",G1055,1))</f>
        <v/>
      </c>
      <c r="J1055" s="11">
        <f>IF(A1055="","",F1055+H1055-I1055)</f>
        <v/>
      </c>
      <c r="K1055">
        <f>IF(A1055="","",IFERROR(IF(B1055="",NA(),MATCH(B1055,Products!$B$5:$B$204,0)),IFERROR(MATCH(A1055,Products!$A$5:$A$204,0),"")))</f>
        <v/>
      </c>
      <c r="L1055">
        <f>IF(A1055="","",IF(K1055="","⚠ not in Products",INDEX(Products!$A$5:$A$204,K1055)))</f>
        <v/>
      </c>
      <c r="M1055" s="11">
        <f>IF(A1055="","",J1055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1055+IFERROR(INDEX(Settings!$D$5:$D$9,MATCH("Shopify",Settings!$A$5:$A$9,0)),0)*D1055)</f>
        <v/>
      </c>
      <c r="N1055" s="11">
        <f>IF(A1055="","",IF(K1055="",0,D1055*INDEX(Products!$I$5:$I$204,K1055)))</f>
        <v/>
      </c>
      <c r="O1055" s="11">
        <f>IF(A1055="","",IF(K1055="",0,J1055*INDEX(Products!$H$5:$H$204,K1055)))</f>
        <v/>
      </c>
      <c r="P1055" s="11">
        <f>IF(A1055="","",J1055-M1055-N1055-O1055)</f>
        <v/>
      </c>
    </row>
    <row r="1056">
      <c r="A1056">
        <f>IFERROR(INDEX('Shopify Import'!$A:$CZ,1056,Settings!$E$20)&amp;"","")</f>
        <v/>
      </c>
      <c r="B1056">
        <f>IFERROR(INDEX('Shopify Import'!$A:$CZ,1056,Settings!$E$21)&amp;"","")</f>
        <v/>
      </c>
      <c r="C1056">
        <f>IFERROR(INDEX('Shopify Import'!$A:$CZ,1056,Settings!$E$22)&amp;"","")</f>
        <v/>
      </c>
      <c r="D1056">
        <f>IF(A1056="","",IFERROR(VALUE(SUBSTITUTE(SUBSTITUTE(INDEX('Shopify Import'!$A:$CZ,1056,Settings!$E$23)&amp;"","$",""),",","")),0))</f>
        <v/>
      </c>
      <c r="E1056" s="11">
        <f>IF(A1056="","",IFERROR(VALUE(SUBSTITUTE(SUBSTITUTE(INDEX('Shopify Import'!$A:$CZ,1056,Settings!$E$24)&amp;"","$",""),",","")),0))</f>
        <v/>
      </c>
      <c r="F1056" s="11">
        <f>IF(A1056="","",D1056*E1056)</f>
        <v/>
      </c>
      <c r="G1056">
        <f>IF(A1056="","",IF(C1056="",1,COUNTIF($C$2:$C$1501,C1056)))</f>
        <v/>
      </c>
      <c r="H1056" s="11">
        <f>IF(A1056="","",IFERROR(VALUE(SUBSTITUTE(SUBSTITUTE(INDEX('Shopify Import'!$A:$CZ,1056,Settings!$E$25)&amp;"","$",""),",","")),0)/IF(Settings!$D$27="Yes",G1056,1))</f>
        <v/>
      </c>
      <c r="I1056" s="11">
        <f>IF(A1056="","",IFERROR(VALUE(SUBSTITUTE(SUBSTITUTE(INDEX('Shopify Import'!$A:$CZ,1056,Settings!$E$26)&amp;"","$",""),",","")),0)/IF(Settings!$D$27="Yes",G1056,1))</f>
        <v/>
      </c>
      <c r="J1056" s="11">
        <f>IF(A1056="","",F1056+H1056-I1056)</f>
        <v/>
      </c>
      <c r="K1056">
        <f>IF(A1056="","",IFERROR(IF(B1056="",NA(),MATCH(B1056,Products!$B$5:$B$204,0)),IFERROR(MATCH(A1056,Products!$A$5:$A$204,0),"")))</f>
        <v/>
      </c>
      <c r="L1056">
        <f>IF(A1056="","",IF(K1056="","⚠ not in Products",INDEX(Products!$A$5:$A$204,K1056)))</f>
        <v/>
      </c>
      <c r="M1056" s="11">
        <f>IF(A1056="","",J1056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1056+IFERROR(INDEX(Settings!$D$5:$D$9,MATCH("Shopify",Settings!$A$5:$A$9,0)),0)*D1056)</f>
        <v/>
      </c>
      <c r="N1056" s="11">
        <f>IF(A1056="","",IF(K1056="",0,D1056*INDEX(Products!$I$5:$I$204,K1056)))</f>
        <v/>
      </c>
      <c r="O1056" s="11">
        <f>IF(A1056="","",IF(K1056="",0,J1056*INDEX(Products!$H$5:$H$204,K1056)))</f>
        <v/>
      </c>
      <c r="P1056" s="11">
        <f>IF(A1056="","",J1056-M1056-N1056-O1056)</f>
        <v/>
      </c>
    </row>
    <row r="1057">
      <c r="A1057">
        <f>IFERROR(INDEX('Shopify Import'!$A:$CZ,1057,Settings!$E$20)&amp;"","")</f>
        <v/>
      </c>
      <c r="B1057">
        <f>IFERROR(INDEX('Shopify Import'!$A:$CZ,1057,Settings!$E$21)&amp;"","")</f>
        <v/>
      </c>
      <c r="C1057">
        <f>IFERROR(INDEX('Shopify Import'!$A:$CZ,1057,Settings!$E$22)&amp;"","")</f>
        <v/>
      </c>
      <c r="D1057">
        <f>IF(A1057="","",IFERROR(VALUE(SUBSTITUTE(SUBSTITUTE(INDEX('Shopify Import'!$A:$CZ,1057,Settings!$E$23)&amp;"","$",""),",","")),0))</f>
        <v/>
      </c>
      <c r="E1057" s="11">
        <f>IF(A1057="","",IFERROR(VALUE(SUBSTITUTE(SUBSTITUTE(INDEX('Shopify Import'!$A:$CZ,1057,Settings!$E$24)&amp;"","$",""),",","")),0))</f>
        <v/>
      </c>
      <c r="F1057" s="11">
        <f>IF(A1057="","",D1057*E1057)</f>
        <v/>
      </c>
      <c r="G1057">
        <f>IF(A1057="","",IF(C1057="",1,COUNTIF($C$2:$C$1501,C1057)))</f>
        <v/>
      </c>
      <c r="H1057" s="11">
        <f>IF(A1057="","",IFERROR(VALUE(SUBSTITUTE(SUBSTITUTE(INDEX('Shopify Import'!$A:$CZ,1057,Settings!$E$25)&amp;"","$",""),",","")),0)/IF(Settings!$D$27="Yes",G1057,1))</f>
        <v/>
      </c>
      <c r="I1057" s="11">
        <f>IF(A1057="","",IFERROR(VALUE(SUBSTITUTE(SUBSTITUTE(INDEX('Shopify Import'!$A:$CZ,1057,Settings!$E$26)&amp;"","$",""),",","")),0)/IF(Settings!$D$27="Yes",G1057,1))</f>
        <v/>
      </c>
      <c r="J1057" s="11">
        <f>IF(A1057="","",F1057+H1057-I1057)</f>
        <v/>
      </c>
      <c r="K1057">
        <f>IF(A1057="","",IFERROR(IF(B1057="",NA(),MATCH(B1057,Products!$B$5:$B$204,0)),IFERROR(MATCH(A1057,Products!$A$5:$A$204,0),"")))</f>
        <v/>
      </c>
      <c r="L1057">
        <f>IF(A1057="","",IF(K1057="","⚠ not in Products",INDEX(Products!$A$5:$A$204,K1057)))</f>
        <v/>
      </c>
      <c r="M1057" s="11">
        <f>IF(A1057="","",J1057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1057+IFERROR(INDEX(Settings!$D$5:$D$9,MATCH("Shopify",Settings!$A$5:$A$9,0)),0)*D1057)</f>
        <v/>
      </c>
      <c r="N1057" s="11">
        <f>IF(A1057="","",IF(K1057="",0,D1057*INDEX(Products!$I$5:$I$204,K1057)))</f>
        <v/>
      </c>
      <c r="O1057" s="11">
        <f>IF(A1057="","",IF(K1057="",0,J1057*INDEX(Products!$H$5:$H$204,K1057)))</f>
        <v/>
      </c>
      <c r="P1057" s="11">
        <f>IF(A1057="","",J1057-M1057-N1057-O1057)</f>
        <v/>
      </c>
    </row>
    <row r="1058">
      <c r="A1058">
        <f>IFERROR(INDEX('Shopify Import'!$A:$CZ,1058,Settings!$E$20)&amp;"","")</f>
        <v/>
      </c>
      <c r="B1058">
        <f>IFERROR(INDEX('Shopify Import'!$A:$CZ,1058,Settings!$E$21)&amp;"","")</f>
        <v/>
      </c>
      <c r="C1058">
        <f>IFERROR(INDEX('Shopify Import'!$A:$CZ,1058,Settings!$E$22)&amp;"","")</f>
        <v/>
      </c>
      <c r="D1058">
        <f>IF(A1058="","",IFERROR(VALUE(SUBSTITUTE(SUBSTITUTE(INDEX('Shopify Import'!$A:$CZ,1058,Settings!$E$23)&amp;"","$",""),",","")),0))</f>
        <v/>
      </c>
      <c r="E1058" s="11">
        <f>IF(A1058="","",IFERROR(VALUE(SUBSTITUTE(SUBSTITUTE(INDEX('Shopify Import'!$A:$CZ,1058,Settings!$E$24)&amp;"","$",""),",","")),0))</f>
        <v/>
      </c>
      <c r="F1058" s="11">
        <f>IF(A1058="","",D1058*E1058)</f>
        <v/>
      </c>
      <c r="G1058">
        <f>IF(A1058="","",IF(C1058="",1,COUNTIF($C$2:$C$1501,C1058)))</f>
        <v/>
      </c>
      <c r="H1058" s="11">
        <f>IF(A1058="","",IFERROR(VALUE(SUBSTITUTE(SUBSTITUTE(INDEX('Shopify Import'!$A:$CZ,1058,Settings!$E$25)&amp;"","$",""),",","")),0)/IF(Settings!$D$27="Yes",G1058,1))</f>
        <v/>
      </c>
      <c r="I1058" s="11">
        <f>IF(A1058="","",IFERROR(VALUE(SUBSTITUTE(SUBSTITUTE(INDEX('Shopify Import'!$A:$CZ,1058,Settings!$E$26)&amp;"","$",""),",","")),0)/IF(Settings!$D$27="Yes",G1058,1))</f>
        <v/>
      </c>
      <c r="J1058" s="11">
        <f>IF(A1058="","",F1058+H1058-I1058)</f>
        <v/>
      </c>
      <c r="K1058">
        <f>IF(A1058="","",IFERROR(IF(B1058="",NA(),MATCH(B1058,Products!$B$5:$B$204,0)),IFERROR(MATCH(A1058,Products!$A$5:$A$204,0),"")))</f>
        <v/>
      </c>
      <c r="L1058">
        <f>IF(A1058="","",IF(K1058="","⚠ not in Products",INDEX(Products!$A$5:$A$204,K1058)))</f>
        <v/>
      </c>
      <c r="M1058" s="11">
        <f>IF(A1058="","",J1058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1058+IFERROR(INDEX(Settings!$D$5:$D$9,MATCH("Shopify",Settings!$A$5:$A$9,0)),0)*D1058)</f>
        <v/>
      </c>
      <c r="N1058" s="11">
        <f>IF(A1058="","",IF(K1058="",0,D1058*INDEX(Products!$I$5:$I$204,K1058)))</f>
        <v/>
      </c>
      <c r="O1058" s="11">
        <f>IF(A1058="","",IF(K1058="",0,J1058*INDEX(Products!$H$5:$H$204,K1058)))</f>
        <v/>
      </c>
      <c r="P1058" s="11">
        <f>IF(A1058="","",J1058-M1058-N1058-O1058)</f>
        <v/>
      </c>
    </row>
    <row r="1059">
      <c r="A1059">
        <f>IFERROR(INDEX('Shopify Import'!$A:$CZ,1059,Settings!$E$20)&amp;"","")</f>
        <v/>
      </c>
      <c r="B1059">
        <f>IFERROR(INDEX('Shopify Import'!$A:$CZ,1059,Settings!$E$21)&amp;"","")</f>
        <v/>
      </c>
      <c r="C1059">
        <f>IFERROR(INDEX('Shopify Import'!$A:$CZ,1059,Settings!$E$22)&amp;"","")</f>
        <v/>
      </c>
      <c r="D1059">
        <f>IF(A1059="","",IFERROR(VALUE(SUBSTITUTE(SUBSTITUTE(INDEX('Shopify Import'!$A:$CZ,1059,Settings!$E$23)&amp;"","$",""),",","")),0))</f>
        <v/>
      </c>
      <c r="E1059" s="11">
        <f>IF(A1059="","",IFERROR(VALUE(SUBSTITUTE(SUBSTITUTE(INDEX('Shopify Import'!$A:$CZ,1059,Settings!$E$24)&amp;"","$",""),",","")),0))</f>
        <v/>
      </c>
      <c r="F1059" s="11">
        <f>IF(A1059="","",D1059*E1059)</f>
        <v/>
      </c>
      <c r="G1059">
        <f>IF(A1059="","",IF(C1059="",1,COUNTIF($C$2:$C$1501,C1059)))</f>
        <v/>
      </c>
      <c r="H1059" s="11">
        <f>IF(A1059="","",IFERROR(VALUE(SUBSTITUTE(SUBSTITUTE(INDEX('Shopify Import'!$A:$CZ,1059,Settings!$E$25)&amp;"","$",""),",","")),0)/IF(Settings!$D$27="Yes",G1059,1))</f>
        <v/>
      </c>
      <c r="I1059" s="11">
        <f>IF(A1059="","",IFERROR(VALUE(SUBSTITUTE(SUBSTITUTE(INDEX('Shopify Import'!$A:$CZ,1059,Settings!$E$26)&amp;"","$",""),",","")),0)/IF(Settings!$D$27="Yes",G1059,1))</f>
        <v/>
      </c>
      <c r="J1059" s="11">
        <f>IF(A1059="","",F1059+H1059-I1059)</f>
        <v/>
      </c>
      <c r="K1059">
        <f>IF(A1059="","",IFERROR(IF(B1059="",NA(),MATCH(B1059,Products!$B$5:$B$204,0)),IFERROR(MATCH(A1059,Products!$A$5:$A$204,0),"")))</f>
        <v/>
      </c>
      <c r="L1059">
        <f>IF(A1059="","",IF(K1059="","⚠ not in Products",INDEX(Products!$A$5:$A$204,K1059)))</f>
        <v/>
      </c>
      <c r="M1059" s="11">
        <f>IF(A1059="","",J1059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1059+IFERROR(INDEX(Settings!$D$5:$D$9,MATCH("Shopify",Settings!$A$5:$A$9,0)),0)*D1059)</f>
        <v/>
      </c>
      <c r="N1059" s="11">
        <f>IF(A1059="","",IF(K1059="",0,D1059*INDEX(Products!$I$5:$I$204,K1059)))</f>
        <v/>
      </c>
      <c r="O1059" s="11">
        <f>IF(A1059="","",IF(K1059="",0,J1059*INDEX(Products!$H$5:$H$204,K1059)))</f>
        <v/>
      </c>
      <c r="P1059" s="11">
        <f>IF(A1059="","",J1059-M1059-N1059-O1059)</f>
        <v/>
      </c>
    </row>
    <row r="1060">
      <c r="A1060">
        <f>IFERROR(INDEX('Shopify Import'!$A:$CZ,1060,Settings!$E$20)&amp;"","")</f>
        <v/>
      </c>
      <c r="B1060">
        <f>IFERROR(INDEX('Shopify Import'!$A:$CZ,1060,Settings!$E$21)&amp;"","")</f>
        <v/>
      </c>
      <c r="C1060">
        <f>IFERROR(INDEX('Shopify Import'!$A:$CZ,1060,Settings!$E$22)&amp;"","")</f>
        <v/>
      </c>
      <c r="D1060">
        <f>IF(A1060="","",IFERROR(VALUE(SUBSTITUTE(SUBSTITUTE(INDEX('Shopify Import'!$A:$CZ,1060,Settings!$E$23)&amp;"","$",""),",","")),0))</f>
        <v/>
      </c>
      <c r="E1060" s="11">
        <f>IF(A1060="","",IFERROR(VALUE(SUBSTITUTE(SUBSTITUTE(INDEX('Shopify Import'!$A:$CZ,1060,Settings!$E$24)&amp;"","$",""),",","")),0))</f>
        <v/>
      </c>
      <c r="F1060" s="11">
        <f>IF(A1060="","",D1060*E1060)</f>
        <v/>
      </c>
      <c r="G1060">
        <f>IF(A1060="","",IF(C1060="",1,COUNTIF($C$2:$C$1501,C1060)))</f>
        <v/>
      </c>
      <c r="H1060" s="11">
        <f>IF(A1060="","",IFERROR(VALUE(SUBSTITUTE(SUBSTITUTE(INDEX('Shopify Import'!$A:$CZ,1060,Settings!$E$25)&amp;"","$",""),",","")),0)/IF(Settings!$D$27="Yes",G1060,1))</f>
        <v/>
      </c>
      <c r="I1060" s="11">
        <f>IF(A1060="","",IFERROR(VALUE(SUBSTITUTE(SUBSTITUTE(INDEX('Shopify Import'!$A:$CZ,1060,Settings!$E$26)&amp;"","$",""),",","")),0)/IF(Settings!$D$27="Yes",G1060,1))</f>
        <v/>
      </c>
      <c r="J1060" s="11">
        <f>IF(A1060="","",F1060+H1060-I1060)</f>
        <v/>
      </c>
      <c r="K1060">
        <f>IF(A1060="","",IFERROR(IF(B1060="",NA(),MATCH(B1060,Products!$B$5:$B$204,0)),IFERROR(MATCH(A1060,Products!$A$5:$A$204,0),"")))</f>
        <v/>
      </c>
      <c r="L1060">
        <f>IF(A1060="","",IF(K1060="","⚠ not in Products",INDEX(Products!$A$5:$A$204,K1060)))</f>
        <v/>
      </c>
      <c r="M1060" s="11">
        <f>IF(A1060="","",J1060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1060+IFERROR(INDEX(Settings!$D$5:$D$9,MATCH("Shopify",Settings!$A$5:$A$9,0)),0)*D1060)</f>
        <v/>
      </c>
      <c r="N1060" s="11">
        <f>IF(A1060="","",IF(K1060="",0,D1060*INDEX(Products!$I$5:$I$204,K1060)))</f>
        <v/>
      </c>
      <c r="O1060" s="11">
        <f>IF(A1060="","",IF(K1060="",0,J1060*INDEX(Products!$H$5:$H$204,K1060)))</f>
        <v/>
      </c>
      <c r="P1060" s="11">
        <f>IF(A1060="","",J1060-M1060-N1060-O1060)</f>
        <v/>
      </c>
    </row>
    <row r="1061">
      <c r="A1061">
        <f>IFERROR(INDEX('Shopify Import'!$A:$CZ,1061,Settings!$E$20)&amp;"","")</f>
        <v/>
      </c>
      <c r="B1061">
        <f>IFERROR(INDEX('Shopify Import'!$A:$CZ,1061,Settings!$E$21)&amp;"","")</f>
        <v/>
      </c>
      <c r="C1061">
        <f>IFERROR(INDEX('Shopify Import'!$A:$CZ,1061,Settings!$E$22)&amp;"","")</f>
        <v/>
      </c>
      <c r="D1061">
        <f>IF(A1061="","",IFERROR(VALUE(SUBSTITUTE(SUBSTITUTE(INDEX('Shopify Import'!$A:$CZ,1061,Settings!$E$23)&amp;"","$",""),",","")),0))</f>
        <v/>
      </c>
      <c r="E1061" s="11">
        <f>IF(A1061="","",IFERROR(VALUE(SUBSTITUTE(SUBSTITUTE(INDEX('Shopify Import'!$A:$CZ,1061,Settings!$E$24)&amp;"","$",""),",","")),0))</f>
        <v/>
      </c>
      <c r="F1061" s="11">
        <f>IF(A1061="","",D1061*E1061)</f>
        <v/>
      </c>
      <c r="G1061">
        <f>IF(A1061="","",IF(C1061="",1,COUNTIF($C$2:$C$1501,C1061)))</f>
        <v/>
      </c>
      <c r="H1061" s="11">
        <f>IF(A1061="","",IFERROR(VALUE(SUBSTITUTE(SUBSTITUTE(INDEX('Shopify Import'!$A:$CZ,1061,Settings!$E$25)&amp;"","$",""),",","")),0)/IF(Settings!$D$27="Yes",G1061,1))</f>
        <v/>
      </c>
      <c r="I1061" s="11">
        <f>IF(A1061="","",IFERROR(VALUE(SUBSTITUTE(SUBSTITUTE(INDEX('Shopify Import'!$A:$CZ,1061,Settings!$E$26)&amp;"","$",""),",","")),0)/IF(Settings!$D$27="Yes",G1061,1))</f>
        <v/>
      </c>
      <c r="J1061" s="11">
        <f>IF(A1061="","",F1061+H1061-I1061)</f>
        <v/>
      </c>
      <c r="K1061">
        <f>IF(A1061="","",IFERROR(IF(B1061="",NA(),MATCH(B1061,Products!$B$5:$B$204,0)),IFERROR(MATCH(A1061,Products!$A$5:$A$204,0),"")))</f>
        <v/>
      </c>
      <c r="L1061">
        <f>IF(A1061="","",IF(K1061="","⚠ not in Products",INDEX(Products!$A$5:$A$204,K1061)))</f>
        <v/>
      </c>
      <c r="M1061" s="11">
        <f>IF(A1061="","",J1061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1061+IFERROR(INDEX(Settings!$D$5:$D$9,MATCH("Shopify",Settings!$A$5:$A$9,0)),0)*D1061)</f>
        <v/>
      </c>
      <c r="N1061" s="11">
        <f>IF(A1061="","",IF(K1061="",0,D1061*INDEX(Products!$I$5:$I$204,K1061)))</f>
        <v/>
      </c>
      <c r="O1061" s="11">
        <f>IF(A1061="","",IF(K1061="",0,J1061*INDEX(Products!$H$5:$H$204,K1061)))</f>
        <v/>
      </c>
      <c r="P1061" s="11">
        <f>IF(A1061="","",J1061-M1061-N1061-O1061)</f>
        <v/>
      </c>
    </row>
    <row r="1062">
      <c r="A1062">
        <f>IFERROR(INDEX('Shopify Import'!$A:$CZ,1062,Settings!$E$20)&amp;"","")</f>
        <v/>
      </c>
      <c r="B1062">
        <f>IFERROR(INDEX('Shopify Import'!$A:$CZ,1062,Settings!$E$21)&amp;"","")</f>
        <v/>
      </c>
      <c r="C1062">
        <f>IFERROR(INDEX('Shopify Import'!$A:$CZ,1062,Settings!$E$22)&amp;"","")</f>
        <v/>
      </c>
      <c r="D1062">
        <f>IF(A1062="","",IFERROR(VALUE(SUBSTITUTE(SUBSTITUTE(INDEX('Shopify Import'!$A:$CZ,1062,Settings!$E$23)&amp;"","$",""),",","")),0))</f>
        <v/>
      </c>
      <c r="E1062" s="11">
        <f>IF(A1062="","",IFERROR(VALUE(SUBSTITUTE(SUBSTITUTE(INDEX('Shopify Import'!$A:$CZ,1062,Settings!$E$24)&amp;"","$",""),",","")),0))</f>
        <v/>
      </c>
      <c r="F1062" s="11">
        <f>IF(A1062="","",D1062*E1062)</f>
        <v/>
      </c>
      <c r="G1062">
        <f>IF(A1062="","",IF(C1062="",1,COUNTIF($C$2:$C$1501,C1062)))</f>
        <v/>
      </c>
      <c r="H1062" s="11">
        <f>IF(A1062="","",IFERROR(VALUE(SUBSTITUTE(SUBSTITUTE(INDEX('Shopify Import'!$A:$CZ,1062,Settings!$E$25)&amp;"","$",""),",","")),0)/IF(Settings!$D$27="Yes",G1062,1))</f>
        <v/>
      </c>
      <c r="I1062" s="11">
        <f>IF(A1062="","",IFERROR(VALUE(SUBSTITUTE(SUBSTITUTE(INDEX('Shopify Import'!$A:$CZ,1062,Settings!$E$26)&amp;"","$",""),",","")),0)/IF(Settings!$D$27="Yes",G1062,1))</f>
        <v/>
      </c>
      <c r="J1062" s="11">
        <f>IF(A1062="","",F1062+H1062-I1062)</f>
        <v/>
      </c>
      <c r="K1062">
        <f>IF(A1062="","",IFERROR(IF(B1062="",NA(),MATCH(B1062,Products!$B$5:$B$204,0)),IFERROR(MATCH(A1062,Products!$A$5:$A$204,0),"")))</f>
        <v/>
      </c>
      <c r="L1062">
        <f>IF(A1062="","",IF(K1062="","⚠ not in Products",INDEX(Products!$A$5:$A$204,K1062)))</f>
        <v/>
      </c>
      <c r="M1062" s="11">
        <f>IF(A1062="","",J1062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1062+IFERROR(INDEX(Settings!$D$5:$D$9,MATCH("Shopify",Settings!$A$5:$A$9,0)),0)*D1062)</f>
        <v/>
      </c>
      <c r="N1062" s="11">
        <f>IF(A1062="","",IF(K1062="",0,D1062*INDEX(Products!$I$5:$I$204,K1062)))</f>
        <v/>
      </c>
      <c r="O1062" s="11">
        <f>IF(A1062="","",IF(K1062="",0,J1062*INDEX(Products!$H$5:$H$204,K1062)))</f>
        <v/>
      </c>
      <c r="P1062" s="11">
        <f>IF(A1062="","",J1062-M1062-N1062-O1062)</f>
        <v/>
      </c>
    </row>
    <row r="1063">
      <c r="A1063">
        <f>IFERROR(INDEX('Shopify Import'!$A:$CZ,1063,Settings!$E$20)&amp;"","")</f>
        <v/>
      </c>
      <c r="B1063">
        <f>IFERROR(INDEX('Shopify Import'!$A:$CZ,1063,Settings!$E$21)&amp;"","")</f>
        <v/>
      </c>
      <c r="C1063">
        <f>IFERROR(INDEX('Shopify Import'!$A:$CZ,1063,Settings!$E$22)&amp;"","")</f>
        <v/>
      </c>
      <c r="D1063">
        <f>IF(A1063="","",IFERROR(VALUE(SUBSTITUTE(SUBSTITUTE(INDEX('Shopify Import'!$A:$CZ,1063,Settings!$E$23)&amp;"","$",""),",","")),0))</f>
        <v/>
      </c>
      <c r="E1063" s="11">
        <f>IF(A1063="","",IFERROR(VALUE(SUBSTITUTE(SUBSTITUTE(INDEX('Shopify Import'!$A:$CZ,1063,Settings!$E$24)&amp;"","$",""),",","")),0))</f>
        <v/>
      </c>
      <c r="F1063" s="11">
        <f>IF(A1063="","",D1063*E1063)</f>
        <v/>
      </c>
      <c r="G1063">
        <f>IF(A1063="","",IF(C1063="",1,COUNTIF($C$2:$C$1501,C1063)))</f>
        <v/>
      </c>
      <c r="H1063" s="11">
        <f>IF(A1063="","",IFERROR(VALUE(SUBSTITUTE(SUBSTITUTE(INDEX('Shopify Import'!$A:$CZ,1063,Settings!$E$25)&amp;"","$",""),",","")),0)/IF(Settings!$D$27="Yes",G1063,1))</f>
        <v/>
      </c>
      <c r="I1063" s="11">
        <f>IF(A1063="","",IFERROR(VALUE(SUBSTITUTE(SUBSTITUTE(INDEX('Shopify Import'!$A:$CZ,1063,Settings!$E$26)&amp;"","$",""),",","")),0)/IF(Settings!$D$27="Yes",G1063,1))</f>
        <v/>
      </c>
      <c r="J1063" s="11">
        <f>IF(A1063="","",F1063+H1063-I1063)</f>
        <v/>
      </c>
      <c r="K1063">
        <f>IF(A1063="","",IFERROR(IF(B1063="",NA(),MATCH(B1063,Products!$B$5:$B$204,0)),IFERROR(MATCH(A1063,Products!$A$5:$A$204,0),"")))</f>
        <v/>
      </c>
      <c r="L1063">
        <f>IF(A1063="","",IF(K1063="","⚠ not in Products",INDEX(Products!$A$5:$A$204,K1063)))</f>
        <v/>
      </c>
      <c r="M1063" s="11">
        <f>IF(A1063="","",J1063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1063+IFERROR(INDEX(Settings!$D$5:$D$9,MATCH("Shopify",Settings!$A$5:$A$9,0)),0)*D1063)</f>
        <v/>
      </c>
      <c r="N1063" s="11">
        <f>IF(A1063="","",IF(K1063="",0,D1063*INDEX(Products!$I$5:$I$204,K1063)))</f>
        <v/>
      </c>
      <c r="O1063" s="11">
        <f>IF(A1063="","",IF(K1063="",0,J1063*INDEX(Products!$H$5:$H$204,K1063)))</f>
        <v/>
      </c>
      <c r="P1063" s="11">
        <f>IF(A1063="","",J1063-M1063-N1063-O1063)</f>
        <v/>
      </c>
    </row>
    <row r="1064">
      <c r="A1064">
        <f>IFERROR(INDEX('Shopify Import'!$A:$CZ,1064,Settings!$E$20)&amp;"","")</f>
        <v/>
      </c>
      <c r="B1064">
        <f>IFERROR(INDEX('Shopify Import'!$A:$CZ,1064,Settings!$E$21)&amp;"","")</f>
        <v/>
      </c>
      <c r="C1064">
        <f>IFERROR(INDEX('Shopify Import'!$A:$CZ,1064,Settings!$E$22)&amp;"","")</f>
        <v/>
      </c>
      <c r="D1064">
        <f>IF(A1064="","",IFERROR(VALUE(SUBSTITUTE(SUBSTITUTE(INDEX('Shopify Import'!$A:$CZ,1064,Settings!$E$23)&amp;"","$",""),",","")),0))</f>
        <v/>
      </c>
      <c r="E1064" s="11">
        <f>IF(A1064="","",IFERROR(VALUE(SUBSTITUTE(SUBSTITUTE(INDEX('Shopify Import'!$A:$CZ,1064,Settings!$E$24)&amp;"","$",""),",","")),0))</f>
        <v/>
      </c>
      <c r="F1064" s="11">
        <f>IF(A1064="","",D1064*E1064)</f>
        <v/>
      </c>
      <c r="G1064">
        <f>IF(A1064="","",IF(C1064="",1,COUNTIF($C$2:$C$1501,C1064)))</f>
        <v/>
      </c>
      <c r="H1064" s="11">
        <f>IF(A1064="","",IFERROR(VALUE(SUBSTITUTE(SUBSTITUTE(INDEX('Shopify Import'!$A:$CZ,1064,Settings!$E$25)&amp;"","$",""),",","")),0)/IF(Settings!$D$27="Yes",G1064,1))</f>
        <v/>
      </c>
      <c r="I1064" s="11">
        <f>IF(A1064="","",IFERROR(VALUE(SUBSTITUTE(SUBSTITUTE(INDEX('Shopify Import'!$A:$CZ,1064,Settings!$E$26)&amp;"","$",""),",","")),0)/IF(Settings!$D$27="Yes",G1064,1))</f>
        <v/>
      </c>
      <c r="J1064" s="11">
        <f>IF(A1064="","",F1064+H1064-I1064)</f>
        <v/>
      </c>
      <c r="K1064">
        <f>IF(A1064="","",IFERROR(IF(B1064="",NA(),MATCH(B1064,Products!$B$5:$B$204,0)),IFERROR(MATCH(A1064,Products!$A$5:$A$204,0),"")))</f>
        <v/>
      </c>
      <c r="L1064">
        <f>IF(A1064="","",IF(K1064="","⚠ not in Products",INDEX(Products!$A$5:$A$204,K1064)))</f>
        <v/>
      </c>
      <c r="M1064" s="11">
        <f>IF(A1064="","",J1064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1064+IFERROR(INDEX(Settings!$D$5:$D$9,MATCH("Shopify",Settings!$A$5:$A$9,0)),0)*D1064)</f>
        <v/>
      </c>
      <c r="N1064" s="11">
        <f>IF(A1064="","",IF(K1064="",0,D1064*INDEX(Products!$I$5:$I$204,K1064)))</f>
        <v/>
      </c>
      <c r="O1064" s="11">
        <f>IF(A1064="","",IF(K1064="",0,J1064*INDEX(Products!$H$5:$H$204,K1064)))</f>
        <v/>
      </c>
      <c r="P1064" s="11">
        <f>IF(A1064="","",J1064-M1064-N1064-O1064)</f>
        <v/>
      </c>
    </row>
    <row r="1065">
      <c r="A1065">
        <f>IFERROR(INDEX('Shopify Import'!$A:$CZ,1065,Settings!$E$20)&amp;"","")</f>
        <v/>
      </c>
      <c r="B1065">
        <f>IFERROR(INDEX('Shopify Import'!$A:$CZ,1065,Settings!$E$21)&amp;"","")</f>
        <v/>
      </c>
      <c r="C1065">
        <f>IFERROR(INDEX('Shopify Import'!$A:$CZ,1065,Settings!$E$22)&amp;"","")</f>
        <v/>
      </c>
      <c r="D1065">
        <f>IF(A1065="","",IFERROR(VALUE(SUBSTITUTE(SUBSTITUTE(INDEX('Shopify Import'!$A:$CZ,1065,Settings!$E$23)&amp;"","$",""),",","")),0))</f>
        <v/>
      </c>
      <c r="E1065" s="11">
        <f>IF(A1065="","",IFERROR(VALUE(SUBSTITUTE(SUBSTITUTE(INDEX('Shopify Import'!$A:$CZ,1065,Settings!$E$24)&amp;"","$",""),",","")),0))</f>
        <v/>
      </c>
      <c r="F1065" s="11">
        <f>IF(A1065="","",D1065*E1065)</f>
        <v/>
      </c>
      <c r="G1065">
        <f>IF(A1065="","",IF(C1065="",1,COUNTIF($C$2:$C$1501,C1065)))</f>
        <v/>
      </c>
      <c r="H1065" s="11">
        <f>IF(A1065="","",IFERROR(VALUE(SUBSTITUTE(SUBSTITUTE(INDEX('Shopify Import'!$A:$CZ,1065,Settings!$E$25)&amp;"","$",""),",","")),0)/IF(Settings!$D$27="Yes",G1065,1))</f>
        <v/>
      </c>
      <c r="I1065" s="11">
        <f>IF(A1065="","",IFERROR(VALUE(SUBSTITUTE(SUBSTITUTE(INDEX('Shopify Import'!$A:$CZ,1065,Settings!$E$26)&amp;"","$",""),",","")),0)/IF(Settings!$D$27="Yes",G1065,1))</f>
        <v/>
      </c>
      <c r="J1065" s="11">
        <f>IF(A1065="","",F1065+H1065-I1065)</f>
        <v/>
      </c>
      <c r="K1065">
        <f>IF(A1065="","",IFERROR(IF(B1065="",NA(),MATCH(B1065,Products!$B$5:$B$204,0)),IFERROR(MATCH(A1065,Products!$A$5:$A$204,0),"")))</f>
        <v/>
      </c>
      <c r="L1065">
        <f>IF(A1065="","",IF(K1065="","⚠ not in Products",INDEX(Products!$A$5:$A$204,K1065)))</f>
        <v/>
      </c>
      <c r="M1065" s="11">
        <f>IF(A1065="","",J1065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1065+IFERROR(INDEX(Settings!$D$5:$D$9,MATCH("Shopify",Settings!$A$5:$A$9,0)),0)*D1065)</f>
        <v/>
      </c>
      <c r="N1065" s="11">
        <f>IF(A1065="","",IF(K1065="",0,D1065*INDEX(Products!$I$5:$I$204,K1065)))</f>
        <v/>
      </c>
      <c r="O1065" s="11">
        <f>IF(A1065="","",IF(K1065="",0,J1065*INDEX(Products!$H$5:$H$204,K1065)))</f>
        <v/>
      </c>
      <c r="P1065" s="11">
        <f>IF(A1065="","",J1065-M1065-N1065-O1065)</f>
        <v/>
      </c>
    </row>
    <row r="1066">
      <c r="A1066">
        <f>IFERROR(INDEX('Shopify Import'!$A:$CZ,1066,Settings!$E$20)&amp;"","")</f>
        <v/>
      </c>
      <c r="B1066">
        <f>IFERROR(INDEX('Shopify Import'!$A:$CZ,1066,Settings!$E$21)&amp;"","")</f>
        <v/>
      </c>
      <c r="C1066">
        <f>IFERROR(INDEX('Shopify Import'!$A:$CZ,1066,Settings!$E$22)&amp;"","")</f>
        <v/>
      </c>
      <c r="D1066">
        <f>IF(A1066="","",IFERROR(VALUE(SUBSTITUTE(SUBSTITUTE(INDEX('Shopify Import'!$A:$CZ,1066,Settings!$E$23)&amp;"","$",""),",","")),0))</f>
        <v/>
      </c>
      <c r="E1066" s="11">
        <f>IF(A1066="","",IFERROR(VALUE(SUBSTITUTE(SUBSTITUTE(INDEX('Shopify Import'!$A:$CZ,1066,Settings!$E$24)&amp;"","$",""),",","")),0))</f>
        <v/>
      </c>
      <c r="F1066" s="11">
        <f>IF(A1066="","",D1066*E1066)</f>
        <v/>
      </c>
      <c r="G1066">
        <f>IF(A1066="","",IF(C1066="",1,COUNTIF($C$2:$C$1501,C1066)))</f>
        <v/>
      </c>
      <c r="H1066" s="11">
        <f>IF(A1066="","",IFERROR(VALUE(SUBSTITUTE(SUBSTITUTE(INDEX('Shopify Import'!$A:$CZ,1066,Settings!$E$25)&amp;"","$",""),",","")),0)/IF(Settings!$D$27="Yes",G1066,1))</f>
        <v/>
      </c>
      <c r="I1066" s="11">
        <f>IF(A1066="","",IFERROR(VALUE(SUBSTITUTE(SUBSTITUTE(INDEX('Shopify Import'!$A:$CZ,1066,Settings!$E$26)&amp;"","$",""),",","")),0)/IF(Settings!$D$27="Yes",G1066,1))</f>
        <v/>
      </c>
      <c r="J1066" s="11">
        <f>IF(A1066="","",F1066+H1066-I1066)</f>
        <v/>
      </c>
      <c r="K1066">
        <f>IF(A1066="","",IFERROR(IF(B1066="",NA(),MATCH(B1066,Products!$B$5:$B$204,0)),IFERROR(MATCH(A1066,Products!$A$5:$A$204,0),"")))</f>
        <v/>
      </c>
      <c r="L1066">
        <f>IF(A1066="","",IF(K1066="","⚠ not in Products",INDEX(Products!$A$5:$A$204,K1066)))</f>
        <v/>
      </c>
      <c r="M1066" s="11">
        <f>IF(A1066="","",J1066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1066+IFERROR(INDEX(Settings!$D$5:$D$9,MATCH("Shopify",Settings!$A$5:$A$9,0)),0)*D1066)</f>
        <v/>
      </c>
      <c r="N1066" s="11">
        <f>IF(A1066="","",IF(K1066="",0,D1066*INDEX(Products!$I$5:$I$204,K1066)))</f>
        <v/>
      </c>
      <c r="O1066" s="11">
        <f>IF(A1066="","",IF(K1066="",0,J1066*INDEX(Products!$H$5:$H$204,K1066)))</f>
        <v/>
      </c>
      <c r="P1066" s="11">
        <f>IF(A1066="","",J1066-M1066-N1066-O1066)</f>
        <v/>
      </c>
    </row>
    <row r="1067">
      <c r="A1067">
        <f>IFERROR(INDEX('Shopify Import'!$A:$CZ,1067,Settings!$E$20)&amp;"","")</f>
        <v/>
      </c>
      <c r="B1067">
        <f>IFERROR(INDEX('Shopify Import'!$A:$CZ,1067,Settings!$E$21)&amp;"","")</f>
        <v/>
      </c>
      <c r="C1067">
        <f>IFERROR(INDEX('Shopify Import'!$A:$CZ,1067,Settings!$E$22)&amp;"","")</f>
        <v/>
      </c>
      <c r="D1067">
        <f>IF(A1067="","",IFERROR(VALUE(SUBSTITUTE(SUBSTITUTE(INDEX('Shopify Import'!$A:$CZ,1067,Settings!$E$23)&amp;"","$",""),",","")),0))</f>
        <v/>
      </c>
      <c r="E1067" s="11">
        <f>IF(A1067="","",IFERROR(VALUE(SUBSTITUTE(SUBSTITUTE(INDEX('Shopify Import'!$A:$CZ,1067,Settings!$E$24)&amp;"","$",""),",","")),0))</f>
        <v/>
      </c>
      <c r="F1067" s="11">
        <f>IF(A1067="","",D1067*E1067)</f>
        <v/>
      </c>
      <c r="G1067">
        <f>IF(A1067="","",IF(C1067="",1,COUNTIF($C$2:$C$1501,C1067)))</f>
        <v/>
      </c>
      <c r="H1067" s="11">
        <f>IF(A1067="","",IFERROR(VALUE(SUBSTITUTE(SUBSTITUTE(INDEX('Shopify Import'!$A:$CZ,1067,Settings!$E$25)&amp;"","$",""),",","")),0)/IF(Settings!$D$27="Yes",G1067,1))</f>
        <v/>
      </c>
      <c r="I1067" s="11">
        <f>IF(A1067="","",IFERROR(VALUE(SUBSTITUTE(SUBSTITUTE(INDEX('Shopify Import'!$A:$CZ,1067,Settings!$E$26)&amp;"","$",""),",","")),0)/IF(Settings!$D$27="Yes",G1067,1))</f>
        <v/>
      </c>
      <c r="J1067" s="11">
        <f>IF(A1067="","",F1067+H1067-I1067)</f>
        <v/>
      </c>
      <c r="K1067">
        <f>IF(A1067="","",IFERROR(IF(B1067="",NA(),MATCH(B1067,Products!$B$5:$B$204,0)),IFERROR(MATCH(A1067,Products!$A$5:$A$204,0),"")))</f>
        <v/>
      </c>
      <c r="L1067">
        <f>IF(A1067="","",IF(K1067="","⚠ not in Products",INDEX(Products!$A$5:$A$204,K1067)))</f>
        <v/>
      </c>
      <c r="M1067" s="11">
        <f>IF(A1067="","",J1067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1067+IFERROR(INDEX(Settings!$D$5:$D$9,MATCH("Shopify",Settings!$A$5:$A$9,0)),0)*D1067)</f>
        <v/>
      </c>
      <c r="N1067" s="11">
        <f>IF(A1067="","",IF(K1067="",0,D1067*INDEX(Products!$I$5:$I$204,K1067)))</f>
        <v/>
      </c>
      <c r="O1067" s="11">
        <f>IF(A1067="","",IF(K1067="",0,J1067*INDEX(Products!$H$5:$H$204,K1067)))</f>
        <v/>
      </c>
      <c r="P1067" s="11">
        <f>IF(A1067="","",J1067-M1067-N1067-O1067)</f>
        <v/>
      </c>
    </row>
    <row r="1068">
      <c r="A1068">
        <f>IFERROR(INDEX('Shopify Import'!$A:$CZ,1068,Settings!$E$20)&amp;"","")</f>
        <v/>
      </c>
      <c r="B1068">
        <f>IFERROR(INDEX('Shopify Import'!$A:$CZ,1068,Settings!$E$21)&amp;"","")</f>
        <v/>
      </c>
      <c r="C1068">
        <f>IFERROR(INDEX('Shopify Import'!$A:$CZ,1068,Settings!$E$22)&amp;"","")</f>
        <v/>
      </c>
      <c r="D1068">
        <f>IF(A1068="","",IFERROR(VALUE(SUBSTITUTE(SUBSTITUTE(INDEX('Shopify Import'!$A:$CZ,1068,Settings!$E$23)&amp;"","$",""),",","")),0))</f>
        <v/>
      </c>
      <c r="E1068" s="11">
        <f>IF(A1068="","",IFERROR(VALUE(SUBSTITUTE(SUBSTITUTE(INDEX('Shopify Import'!$A:$CZ,1068,Settings!$E$24)&amp;"","$",""),",","")),0))</f>
        <v/>
      </c>
      <c r="F1068" s="11">
        <f>IF(A1068="","",D1068*E1068)</f>
        <v/>
      </c>
      <c r="G1068">
        <f>IF(A1068="","",IF(C1068="",1,COUNTIF($C$2:$C$1501,C1068)))</f>
        <v/>
      </c>
      <c r="H1068" s="11">
        <f>IF(A1068="","",IFERROR(VALUE(SUBSTITUTE(SUBSTITUTE(INDEX('Shopify Import'!$A:$CZ,1068,Settings!$E$25)&amp;"","$",""),",","")),0)/IF(Settings!$D$27="Yes",G1068,1))</f>
        <v/>
      </c>
      <c r="I1068" s="11">
        <f>IF(A1068="","",IFERROR(VALUE(SUBSTITUTE(SUBSTITUTE(INDEX('Shopify Import'!$A:$CZ,1068,Settings!$E$26)&amp;"","$",""),",","")),0)/IF(Settings!$D$27="Yes",G1068,1))</f>
        <v/>
      </c>
      <c r="J1068" s="11">
        <f>IF(A1068="","",F1068+H1068-I1068)</f>
        <v/>
      </c>
      <c r="K1068">
        <f>IF(A1068="","",IFERROR(IF(B1068="",NA(),MATCH(B1068,Products!$B$5:$B$204,0)),IFERROR(MATCH(A1068,Products!$A$5:$A$204,0),"")))</f>
        <v/>
      </c>
      <c r="L1068">
        <f>IF(A1068="","",IF(K1068="","⚠ not in Products",INDEX(Products!$A$5:$A$204,K1068)))</f>
        <v/>
      </c>
      <c r="M1068" s="11">
        <f>IF(A1068="","",J1068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1068+IFERROR(INDEX(Settings!$D$5:$D$9,MATCH("Shopify",Settings!$A$5:$A$9,0)),0)*D1068)</f>
        <v/>
      </c>
      <c r="N1068" s="11">
        <f>IF(A1068="","",IF(K1068="",0,D1068*INDEX(Products!$I$5:$I$204,K1068)))</f>
        <v/>
      </c>
      <c r="O1068" s="11">
        <f>IF(A1068="","",IF(K1068="",0,J1068*INDEX(Products!$H$5:$H$204,K1068)))</f>
        <v/>
      </c>
      <c r="P1068" s="11">
        <f>IF(A1068="","",J1068-M1068-N1068-O1068)</f>
        <v/>
      </c>
    </row>
    <row r="1069">
      <c r="A1069">
        <f>IFERROR(INDEX('Shopify Import'!$A:$CZ,1069,Settings!$E$20)&amp;"","")</f>
        <v/>
      </c>
      <c r="B1069">
        <f>IFERROR(INDEX('Shopify Import'!$A:$CZ,1069,Settings!$E$21)&amp;"","")</f>
        <v/>
      </c>
      <c r="C1069">
        <f>IFERROR(INDEX('Shopify Import'!$A:$CZ,1069,Settings!$E$22)&amp;"","")</f>
        <v/>
      </c>
      <c r="D1069">
        <f>IF(A1069="","",IFERROR(VALUE(SUBSTITUTE(SUBSTITUTE(INDEX('Shopify Import'!$A:$CZ,1069,Settings!$E$23)&amp;"","$",""),",","")),0))</f>
        <v/>
      </c>
      <c r="E1069" s="11">
        <f>IF(A1069="","",IFERROR(VALUE(SUBSTITUTE(SUBSTITUTE(INDEX('Shopify Import'!$A:$CZ,1069,Settings!$E$24)&amp;"","$",""),",","")),0))</f>
        <v/>
      </c>
      <c r="F1069" s="11">
        <f>IF(A1069="","",D1069*E1069)</f>
        <v/>
      </c>
      <c r="G1069">
        <f>IF(A1069="","",IF(C1069="",1,COUNTIF($C$2:$C$1501,C1069)))</f>
        <v/>
      </c>
      <c r="H1069" s="11">
        <f>IF(A1069="","",IFERROR(VALUE(SUBSTITUTE(SUBSTITUTE(INDEX('Shopify Import'!$A:$CZ,1069,Settings!$E$25)&amp;"","$",""),",","")),0)/IF(Settings!$D$27="Yes",G1069,1))</f>
        <v/>
      </c>
      <c r="I1069" s="11">
        <f>IF(A1069="","",IFERROR(VALUE(SUBSTITUTE(SUBSTITUTE(INDEX('Shopify Import'!$A:$CZ,1069,Settings!$E$26)&amp;"","$",""),",","")),0)/IF(Settings!$D$27="Yes",G1069,1))</f>
        <v/>
      </c>
      <c r="J1069" s="11">
        <f>IF(A1069="","",F1069+H1069-I1069)</f>
        <v/>
      </c>
      <c r="K1069">
        <f>IF(A1069="","",IFERROR(IF(B1069="",NA(),MATCH(B1069,Products!$B$5:$B$204,0)),IFERROR(MATCH(A1069,Products!$A$5:$A$204,0),"")))</f>
        <v/>
      </c>
      <c r="L1069">
        <f>IF(A1069="","",IF(K1069="","⚠ not in Products",INDEX(Products!$A$5:$A$204,K1069)))</f>
        <v/>
      </c>
      <c r="M1069" s="11">
        <f>IF(A1069="","",J1069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1069+IFERROR(INDEX(Settings!$D$5:$D$9,MATCH("Shopify",Settings!$A$5:$A$9,0)),0)*D1069)</f>
        <v/>
      </c>
      <c r="N1069" s="11">
        <f>IF(A1069="","",IF(K1069="",0,D1069*INDEX(Products!$I$5:$I$204,K1069)))</f>
        <v/>
      </c>
      <c r="O1069" s="11">
        <f>IF(A1069="","",IF(K1069="",0,J1069*INDEX(Products!$H$5:$H$204,K1069)))</f>
        <v/>
      </c>
      <c r="P1069" s="11">
        <f>IF(A1069="","",J1069-M1069-N1069-O1069)</f>
        <v/>
      </c>
    </row>
    <row r="1070">
      <c r="A1070">
        <f>IFERROR(INDEX('Shopify Import'!$A:$CZ,1070,Settings!$E$20)&amp;"","")</f>
        <v/>
      </c>
      <c r="B1070">
        <f>IFERROR(INDEX('Shopify Import'!$A:$CZ,1070,Settings!$E$21)&amp;"","")</f>
        <v/>
      </c>
      <c r="C1070">
        <f>IFERROR(INDEX('Shopify Import'!$A:$CZ,1070,Settings!$E$22)&amp;"","")</f>
        <v/>
      </c>
      <c r="D1070">
        <f>IF(A1070="","",IFERROR(VALUE(SUBSTITUTE(SUBSTITUTE(INDEX('Shopify Import'!$A:$CZ,1070,Settings!$E$23)&amp;"","$",""),",","")),0))</f>
        <v/>
      </c>
      <c r="E1070" s="11">
        <f>IF(A1070="","",IFERROR(VALUE(SUBSTITUTE(SUBSTITUTE(INDEX('Shopify Import'!$A:$CZ,1070,Settings!$E$24)&amp;"","$",""),",","")),0))</f>
        <v/>
      </c>
      <c r="F1070" s="11">
        <f>IF(A1070="","",D1070*E1070)</f>
        <v/>
      </c>
      <c r="G1070">
        <f>IF(A1070="","",IF(C1070="",1,COUNTIF($C$2:$C$1501,C1070)))</f>
        <v/>
      </c>
      <c r="H1070" s="11">
        <f>IF(A1070="","",IFERROR(VALUE(SUBSTITUTE(SUBSTITUTE(INDEX('Shopify Import'!$A:$CZ,1070,Settings!$E$25)&amp;"","$",""),",","")),0)/IF(Settings!$D$27="Yes",G1070,1))</f>
        <v/>
      </c>
      <c r="I1070" s="11">
        <f>IF(A1070="","",IFERROR(VALUE(SUBSTITUTE(SUBSTITUTE(INDEX('Shopify Import'!$A:$CZ,1070,Settings!$E$26)&amp;"","$",""),",","")),0)/IF(Settings!$D$27="Yes",G1070,1))</f>
        <v/>
      </c>
      <c r="J1070" s="11">
        <f>IF(A1070="","",F1070+H1070-I1070)</f>
        <v/>
      </c>
      <c r="K1070">
        <f>IF(A1070="","",IFERROR(IF(B1070="",NA(),MATCH(B1070,Products!$B$5:$B$204,0)),IFERROR(MATCH(A1070,Products!$A$5:$A$204,0),"")))</f>
        <v/>
      </c>
      <c r="L1070">
        <f>IF(A1070="","",IF(K1070="","⚠ not in Products",INDEX(Products!$A$5:$A$204,K1070)))</f>
        <v/>
      </c>
      <c r="M1070" s="11">
        <f>IF(A1070="","",J1070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1070+IFERROR(INDEX(Settings!$D$5:$D$9,MATCH("Shopify",Settings!$A$5:$A$9,0)),0)*D1070)</f>
        <v/>
      </c>
      <c r="N1070" s="11">
        <f>IF(A1070="","",IF(K1070="",0,D1070*INDEX(Products!$I$5:$I$204,K1070)))</f>
        <v/>
      </c>
      <c r="O1070" s="11">
        <f>IF(A1070="","",IF(K1070="",0,J1070*INDEX(Products!$H$5:$H$204,K1070)))</f>
        <v/>
      </c>
      <c r="P1070" s="11">
        <f>IF(A1070="","",J1070-M1070-N1070-O1070)</f>
        <v/>
      </c>
    </row>
    <row r="1071">
      <c r="A1071">
        <f>IFERROR(INDEX('Shopify Import'!$A:$CZ,1071,Settings!$E$20)&amp;"","")</f>
        <v/>
      </c>
      <c r="B1071">
        <f>IFERROR(INDEX('Shopify Import'!$A:$CZ,1071,Settings!$E$21)&amp;"","")</f>
        <v/>
      </c>
      <c r="C1071">
        <f>IFERROR(INDEX('Shopify Import'!$A:$CZ,1071,Settings!$E$22)&amp;"","")</f>
        <v/>
      </c>
      <c r="D1071">
        <f>IF(A1071="","",IFERROR(VALUE(SUBSTITUTE(SUBSTITUTE(INDEX('Shopify Import'!$A:$CZ,1071,Settings!$E$23)&amp;"","$",""),",","")),0))</f>
        <v/>
      </c>
      <c r="E1071" s="11">
        <f>IF(A1071="","",IFERROR(VALUE(SUBSTITUTE(SUBSTITUTE(INDEX('Shopify Import'!$A:$CZ,1071,Settings!$E$24)&amp;"","$",""),",","")),0))</f>
        <v/>
      </c>
      <c r="F1071" s="11">
        <f>IF(A1071="","",D1071*E1071)</f>
        <v/>
      </c>
      <c r="G1071">
        <f>IF(A1071="","",IF(C1071="",1,COUNTIF($C$2:$C$1501,C1071)))</f>
        <v/>
      </c>
      <c r="H1071" s="11">
        <f>IF(A1071="","",IFERROR(VALUE(SUBSTITUTE(SUBSTITUTE(INDEX('Shopify Import'!$A:$CZ,1071,Settings!$E$25)&amp;"","$",""),",","")),0)/IF(Settings!$D$27="Yes",G1071,1))</f>
        <v/>
      </c>
      <c r="I1071" s="11">
        <f>IF(A1071="","",IFERROR(VALUE(SUBSTITUTE(SUBSTITUTE(INDEX('Shopify Import'!$A:$CZ,1071,Settings!$E$26)&amp;"","$",""),",","")),0)/IF(Settings!$D$27="Yes",G1071,1))</f>
        <v/>
      </c>
      <c r="J1071" s="11">
        <f>IF(A1071="","",F1071+H1071-I1071)</f>
        <v/>
      </c>
      <c r="K1071">
        <f>IF(A1071="","",IFERROR(IF(B1071="",NA(),MATCH(B1071,Products!$B$5:$B$204,0)),IFERROR(MATCH(A1071,Products!$A$5:$A$204,0),"")))</f>
        <v/>
      </c>
      <c r="L1071">
        <f>IF(A1071="","",IF(K1071="","⚠ not in Products",INDEX(Products!$A$5:$A$204,K1071)))</f>
        <v/>
      </c>
      <c r="M1071" s="11">
        <f>IF(A1071="","",J1071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1071+IFERROR(INDEX(Settings!$D$5:$D$9,MATCH("Shopify",Settings!$A$5:$A$9,0)),0)*D1071)</f>
        <v/>
      </c>
      <c r="N1071" s="11">
        <f>IF(A1071="","",IF(K1071="",0,D1071*INDEX(Products!$I$5:$I$204,K1071)))</f>
        <v/>
      </c>
      <c r="O1071" s="11">
        <f>IF(A1071="","",IF(K1071="",0,J1071*INDEX(Products!$H$5:$H$204,K1071)))</f>
        <v/>
      </c>
      <c r="P1071" s="11">
        <f>IF(A1071="","",J1071-M1071-N1071-O1071)</f>
        <v/>
      </c>
    </row>
    <row r="1072">
      <c r="A1072">
        <f>IFERROR(INDEX('Shopify Import'!$A:$CZ,1072,Settings!$E$20)&amp;"","")</f>
        <v/>
      </c>
      <c r="B1072">
        <f>IFERROR(INDEX('Shopify Import'!$A:$CZ,1072,Settings!$E$21)&amp;"","")</f>
        <v/>
      </c>
      <c r="C1072">
        <f>IFERROR(INDEX('Shopify Import'!$A:$CZ,1072,Settings!$E$22)&amp;"","")</f>
        <v/>
      </c>
      <c r="D1072">
        <f>IF(A1072="","",IFERROR(VALUE(SUBSTITUTE(SUBSTITUTE(INDEX('Shopify Import'!$A:$CZ,1072,Settings!$E$23)&amp;"","$",""),",","")),0))</f>
        <v/>
      </c>
      <c r="E1072" s="11">
        <f>IF(A1072="","",IFERROR(VALUE(SUBSTITUTE(SUBSTITUTE(INDEX('Shopify Import'!$A:$CZ,1072,Settings!$E$24)&amp;"","$",""),",","")),0))</f>
        <v/>
      </c>
      <c r="F1072" s="11">
        <f>IF(A1072="","",D1072*E1072)</f>
        <v/>
      </c>
      <c r="G1072">
        <f>IF(A1072="","",IF(C1072="",1,COUNTIF($C$2:$C$1501,C1072)))</f>
        <v/>
      </c>
      <c r="H1072" s="11">
        <f>IF(A1072="","",IFERROR(VALUE(SUBSTITUTE(SUBSTITUTE(INDEX('Shopify Import'!$A:$CZ,1072,Settings!$E$25)&amp;"","$",""),",","")),0)/IF(Settings!$D$27="Yes",G1072,1))</f>
        <v/>
      </c>
      <c r="I1072" s="11">
        <f>IF(A1072="","",IFERROR(VALUE(SUBSTITUTE(SUBSTITUTE(INDEX('Shopify Import'!$A:$CZ,1072,Settings!$E$26)&amp;"","$",""),",","")),0)/IF(Settings!$D$27="Yes",G1072,1))</f>
        <v/>
      </c>
      <c r="J1072" s="11">
        <f>IF(A1072="","",F1072+H1072-I1072)</f>
        <v/>
      </c>
      <c r="K1072">
        <f>IF(A1072="","",IFERROR(IF(B1072="",NA(),MATCH(B1072,Products!$B$5:$B$204,0)),IFERROR(MATCH(A1072,Products!$A$5:$A$204,0),"")))</f>
        <v/>
      </c>
      <c r="L1072">
        <f>IF(A1072="","",IF(K1072="","⚠ not in Products",INDEX(Products!$A$5:$A$204,K1072)))</f>
        <v/>
      </c>
      <c r="M1072" s="11">
        <f>IF(A1072="","",J1072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1072+IFERROR(INDEX(Settings!$D$5:$D$9,MATCH("Shopify",Settings!$A$5:$A$9,0)),0)*D1072)</f>
        <v/>
      </c>
      <c r="N1072" s="11">
        <f>IF(A1072="","",IF(K1072="",0,D1072*INDEX(Products!$I$5:$I$204,K1072)))</f>
        <v/>
      </c>
      <c r="O1072" s="11">
        <f>IF(A1072="","",IF(K1072="",0,J1072*INDEX(Products!$H$5:$H$204,K1072)))</f>
        <v/>
      </c>
      <c r="P1072" s="11">
        <f>IF(A1072="","",J1072-M1072-N1072-O1072)</f>
        <v/>
      </c>
    </row>
    <row r="1073">
      <c r="A1073">
        <f>IFERROR(INDEX('Shopify Import'!$A:$CZ,1073,Settings!$E$20)&amp;"","")</f>
        <v/>
      </c>
      <c r="B1073">
        <f>IFERROR(INDEX('Shopify Import'!$A:$CZ,1073,Settings!$E$21)&amp;"","")</f>
        <v/>
      </c>
      <c r="C1073">
        <f>IFERROR(INDEX('Shopify Import'!$A:$CZ,1073,Settings!$E$22)&amp;"","")</f>
        <v/>
      </c>
      <c r="D1073">
        <f>IF(A1073="","",IFERROR(VALUE(SUBSTITUTE(SUBSTITUTE(INDEX('Shopify Import'!$A:$CZ,1073,Settings!$E$23)&amp;"","$",""),",","")),0))</f>
        <v/>
      </c>
      <c r="E1073" s="11">
        <f>IF(A1073="","",IFERROR(VALUE(SUBSTITUTE(SUBSTITUTE(INDEX('Shopify Import'!$A:$CZ,1073,Settings!$E$24)&amp;"","$",""),",","")),0))</f>
        <v/>
      </c>
      <c r="F1073" s="11">
        <f>IF(A1073="","",D1073*E1073)</f>
        <v/>
      </c>
      <c r="G1073">
        <f>IF(A1073="","",IF(C1073="",1,COUNTIF($C$2:$C$1501,C1073)))</f>
        <v/>
      </c>
      <c r="H1073" s="11">
        <f>IF(A1073="","",IFERROR(VALUE(SUBSTITUTE(SUBSTITUTE(INDEX('Shopify Import'!$A:$CZ,1073,Settings!$E$25)&amp;"","$",""),",","")),0)/IF(Settings!$D$27="Yes",G1073,1))</f>
        <v/>
      </c>
      <c r="I1073" s="11">
        <f>IF(A1073="","",IFERROR(VALUE(SUBSTITUTE(SUBSTITUTE(INDEX('Shopify Import'!$A:$CZ,1073,Settings!$E$26)&amp;"","$",""),",","")),0)/IF(Settings!$D$27="Yes",G1073,1))</f>
        <v/>
      </c>
      <c r="J1073" s="11">
        <f>IF(A1073="","",F1073+H1073-I1073)</f>
        <v/>
      </c>
      <c r="K1073">
        <f>IF(A1073="","",IFERROR(IF(B1073="",NA(),MATCH(B1073,Products!$B$5:$B$204,0)),IFERROR(MATCH(A1073,Products!$A$5:$A$204,0),"")))</f>
        <v/>
      </c>
      <c r="L1073">
        <f>IF(A1073="","",IF(K1073="","⚠ not in Products",INDEX(Products!$A$5:$A$204,K1073)))</f>
        <v/>
      </c>
      <c r="M1073" s="11">
        <f>IF(A1073="","",J1073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1073+IFERROR(INDEX(Settings!$D$5:$D$9,MATCH("Shopify",Settings!$A$5:$A$9,0)),0)*D1073)</f>
        <v/>
      </c>
      <c r="N1073" s="11">
        <f>IF(A1073="","",IF(K1073="",0,D1073*INDEX(Products!$I$5:$I$204,K1073)))</f>
        <v/>
      </c>
      <c r="O1073" s="11">
        <f>IF(A1073="","",IF(K1073="",0,J1073*INDEX(Products!$H$5:$H$204,K1073)))</f>
        <v/>
      </c>
      <c r="P1073" s="11">
        <f>IF(A1073="","",J1073-M1073-N1073-O1073)</f>
        <v/>
      </c>
    </row>
    <row r="1074">
      <c r="A1074">
        <f>IFERROR(INDEX('Shopify Import'!$A:$CZ,1074,Settings!$E$20)&amp;"","")</f>
        <v/>
      </c>
      <c r="B1074">
        <f>IFERROR(INDEX('Shopify Import'!$A:$CZ,1074,Settings!$E$21)&amp;"","")</f>
        <v/>
      </c>
      <c r="C1074">
        <f>IFERROR(INDEX('Shopify Import'!$A:$CZ,1074,Settings!$E$22)&amp;"","")</f>
        <v/>
      </c>
      <c r="D1074">
        <f>IF(A1074="","",IFERROR(VALUE(SUBSTITUTE(SUBSTITUTE(INDEX('Shopify Import'!$A:$CZ,1074,Settings!$E$23)&amp;"","$",""),",","")),0))</f>
        <v/>
      </c>
      <c r="E1074" s="11">
        <f>IF(A1074="","",IFERROR(VALUE(SUBSTITUTE(SUBSTITUTE(INDEX('Shopify Import'!$A:$CZ,1074,Settings!$E$24)&amp;"","$",""),",","")),0))</f>
        <v/>
      </c>
      <c r="F1074" s="11">
        <f>IF(A1074="","",D1074*E1074)</f>
        <v/>
      </c>
      <c r="G1074">
        <f>IF(A1074="","",IF(C1074="",1,COUNTIF($C$2:$C$1501,C1074)))</f>
        <v/>
      </c>
      <c r="H1074" s="11">
        <f>IF(A1074="","",IFERROR(VALUE(SUBSTITUTE(SUBSTITUTE(INDEX('Shopify Import'!$A:$CZ,1074,Settings!$E$25)&amp;"","$",""),",","")),0)/IF(Settings!$D$27="Yes",G1074,1))</f>
        <v/>
      </c>
      <c r="I1074" s="11">
        <f>IF(A1074="","",IFERROR(VALUE(SUBSTITUTE(SUBSTITUTE(INDEX('Shopify Import'!$A:$CZ,1074,Settings!$E$26)&amp;"","$",""),",","")),0)/IF(Settings!$D$27="Yes",G1074,1))</f>
        <v/>
      </c>
      <c r="J1074" s="11">
        <f>IF(A1074="","",F1074+H1074-I1074)</f>
        <v/>
      </c>
      <c r="K1074">
        <f>IF(A1074="","",IFERROR(IF(B1074="",NA(),MATCH(B1074,Products!$B$5:$B$204,0)),IFERROR(MATCH(A1074,Products!$A$5:$A$204,0),"")))</f>
        <v/>
      </c>
      <c r="L1074">
        <f>IF(A1074="","",IF(K1074="","⚠ not in Products",INDEX(Products!$A$5:$A$204,K1074)))</f>
        <v/>
      </c>
      <c r="M1074" s="11">
        <f>IF(A1074="","",J1074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1074+IFERROR(INDEX(Settings!$D$5:$D$9,MATCH("Shopify",Settings!$A$5:$A$9,0)),0)*D1074)</f>
        <v/>
      </c>
      <c r="N1074" s="11">
        <f>IF(A1074="","",IF(K1074="",0,D1074*INDEX(Products!$I$5:$I$204,K1074)))</f>
        <v/>
      </c>
      <c r="O1074" s="11">
        <f>IF(A1074="","",IF(K1074="",0,J1074*INDEX(Products!$H$5:$H$204,K1074)))</f>
        <v/>
      </c>
      <c r="P1074" s="11">
        <f>IF(A1074="","",J1074-M1074-N1074-O1074)</f>
        <v/>
      </c>
    </row>
    <row r="1075">
      <c r="A1075">
        <f>IFERROR(INDEX('Shopify Import'!$A:$CZ,1075,Settings!$E$20)&amp;"","")</f>
        <v/>
      </c>
      <c r="B1075">
        <f>IFERROR(INDEX('Shopify Import'!$A:$CZ,1075,Settings!$E$21)&amp;"","")</f>
        <v/>
      </c>
      <c r="C1075">
        <f>IFERROR(INDEX('Shopify Import'!$A:$CZ,1075,Settings!$E$22)&amp;"","")</f>
        <v/>
      </c>
      <c r="D1075">
        <f>IF(A1075="","",IFERROR(VALUE(SUBSTITUTE(SUBSTITUTE(INDEX('Shopify Import'!$A:$CZ,1075,Settings!$E$23)&amp;"","$",""),",","")),0))</f>
        <v/>
      </c>
      <c r="E1075" s="11">
        <f>IF(A1075="","",IFERROR(VALUE(SUBSTITUTE(SUBSTITUTE(INDEX('Shopify Import'!$A:$CZ,1075,Settings!$E$24)&amp;"","$",""),",","")),0))</f>
        <v/>
      </c>
      <c r="F1075" s="11">
        <f>IF(A1075="","",D1075*E1075)</f>
        <v/>
      </c>
      <c r="G1075">
        <f>IF(A1075="","",IF(C1075="",1,COUNTIF($C$2:$C$1501,C1075)))</f>
        <v/>
      </c>
      <c r="H1075" s="11">
        <f>IF(A1075="","",IFERROR(VALUE(SUBSTITUTE(SUBSTITUTE(INDEX('Shopify Import'!$A:$CZ,1075,Settings!$E$25)&amp;"","$",""),",","")),0)/IF(Settings!$D$27="Yes",G1075,1))</f>
        <v/>
      </c>
      <c r="I1075" s="11">
        <f>IF(A1075="","",IFERROR(VALUE(SUBSTITUTE(SUBSTITUTE(INDEX('Shopify Import'!$A:$CZ,1075,Settings!$E$26)&amp;"","$",""),",","")),0)/IF(Settings!$D$27="Yes",G1075,1))</f>
        <v/>
      </c>
      <c r="J1075" s="11">
        <f>IF(A1075="","",F1075+H1075-I1075)</f>
        <v/>
      </c>
      <c r="K1075">
        <f>IF(A1075="","",IFERROR(IF(B1075="",NA(),MATCH(B1075,Products!$B$5:$B$204,0)),IFERROR(MATCH(A1075,Products!$A$5:$A$204,0),"")))</f>
        <v/>
      </c>
      <c r="L1075">
        <f>IF(A1075="","",IF(K1075="","⚠ not in Products",INDEX(Products!$A$5:$A$204,K1075)))</f>
        <v/>
      </c>
      <c r="M1075" s="11">
        <f>IF(A1075="","",J1075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1075+IFERROR(INDEX(Settings!$D$5:$D$9,MATCH("Shopify",Settings!$A$5:$A$9,0)),0)*D1075)</f>
        <v/>
      </c>
      <c r="N1075" s="11">
        <f>IF(A1075="","",IF(K1075="",0,D1075*INDEX(Products!$I$5:$I$204,K1075)))</f>
        <v/>
      </c>
      <c r="O1075" s="11">
        <f>IF(A1075="","",IF(K1075="",0,J1075*INDEX(Products!$H$5:$H$204,K1075)))</f>
        <v/>
      </c>
      <c r="P1075" s="11">
        <f>IF(A1075="","",J1075-M1075-N1075-O1075)</f>
        <v/>
      </c>
    </row>
    <row r="1076">
      <c r="A1076">
        <f>IFERROR(INDEX('Shopify Import'!$A:$CZ,1076,Settings!$E$20)&amp;"","")</f>
        <v/>
      </c>
      <c r="B1076">
        <f>IFERROR(INDEX('Shopify Import'!$A:$CZ,1076,Settings!$E$21)&amp;"","")</f>
        <v/>
      </c>
      <c r="C1076">
        <f>IFERROR(INDEX('Shopify Import'!$A:$CZ,1076,Settings!$E$22)&amp;"","")</f>
        <v/>
      </c>
      <c r="D1076">
        <f>IF(A1076="","",IFERROR(VALUE(SUBSTITUTE(SUBSTITUTE(INDEX('Shopify Import'!$A:$CZ,1076,Settings!$E$23)&amp;"","$",""),",","")),0))</f>
        <v/>
      </c>
      <c r="E1076" s="11">
        <f>IF(A1076="","",IFERROR(VALUE(SUBSTITUTE(SUBSTITUTE(INDEX('Shopify Import'!$A:$CZ,1076,Settings!$E$24)&amp;"","$",""),",","")),0))</f>
        <v/>
      </c>
      <c r="F1076" s="11">
        <f>IF(A1076="","",D1076*E1076)</f>
        <v/>
      </c>
      <c r="G1076">
        <f>IF(A1076="","",IF(C1076="",1,COUNTIF($C$2:$C$1501,C1076)))</f>
        <v/>
      </c>
      <c r="H1076" s="11">
        <f>IF(A1076="","",IFERROR(VALUE(SUBSTITUTE(SUBSTITUTE(INDEX('Shopify Import'!$A:$CZ,1076,Settings!$E$25)&amp;"","$",""),",","")),0)/IF(Settings!$D$27="Yes",G1076,1))</f>
        <v/>
      </c>
      <c r="I1076" s="11">
        <f>IF(A1076="","",IFERROR(VALUE(SUBSTITUTE(SUBSTITUTE(INDEX('Shopify Import'!$A:$CZ,1076,Settings!$E$26)&amp;"","$",""),",","")),0)/IF(Settings!$D$27="Yes",G1076,1))</f>
        <v/>
      </c>
      <c r="J1076" s="11">
        <f>IF(A1076="","",F1076+H1076-I1076)</f>
        <v/>
      </c>
      <c r="K1076">
        <f>IF(A1076="","",IFERROR(IF(B1076="",NA(),MATCH(B1076,Products!$B$5:$B$204,0)),IFERROR(MATCH(A1076,Products!$A$5:$A$204,0),"")))</f>
        <v/>
      </c>
      <c r="L1076">
        <f>IF(A1076="","",IF(K1076="","⚠ not in Products",INDEX(Products!$A$5:$A$204,K1076)))</f>
        <v/>
      </c>
      <c r="M1076" s="11">
        <f>IF(A1076="","",J1076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1076+IFERROR(INDEX(Settings!$D$5:$D$9,MATCH("Shopify",Settings!$A$5:$A$9,0)),0)*D1076)</f>
        <v/>
      </c>
      <c r="N1076" s="11">
        <f>IF(A1076="","",IF(K1076="",0,D1076*INDEX(Products!$I$5:$I$204,K1076)))</f>
        <v/>
      </c>
      <c r="O1076" s="11">
        <f>IF(A1076="","",IF(K1076="",0,J1076*INDEX(Products!$H$5:$H$204,K1076)))</f>
        <v/>
      </c>
      <c r="P1076" s="11">
        <f>IF(A1076="","",J1076-M1076-N1076-O1076)</f>
        <v/>
      </c>
    </row>
    <row r="1077">
      <c r="A1077">
        <f>IFERROR(INDEX('Shopify Import'!$A:$CZ,1077,Settings!$E$20)&amp;"","")</f>
        <v/>
      </c>
      <c r="B1077">
        <f>IFERROR(INDEX('Shopify Import'!$A:$CZ,1077,Settings!$E$21)&amp;"","")</f>
        <v/>
      </c>
      <c r="C1077">
        <f>IFERROR(INDEX('Shopify Import'!$A:$CZ,1077,Settings!$E$22)&amp;"","")</f>
        <v/>
      </c>
      <c r="D1077">
        <f>IF(A1077="","",IFERROR(VALUE(SUBSTITUTE(SUBSTITUTE(INDEX('Shopify Import'!$A:$CZ,1077,Settings!$E$23)&amp;"","$",""),",","")),0))</f>
        <v/>
      </c>
      <c r="E1077" s="11">
        <f>IF(A1077="","",IFERROR(VALUE(SUBSTITUTE(SUBSTITUTE(INDEX('Shopify Import'!$A:$CZ,1077,Settings!$E$24)&amp;"","$",""),",","")),0))</f>
        <v/>
      </c>
      <c r="F1077" s="11">
        <f>IF(A1077="","",D1077*E1077)</f>
        <v/>
      </c>
      <c r="G1077">
        <f>IF(A1077="","",IF(C1077="",1,COUNTIF($C$2:$C$1501,C1077)))</f>
        <v/>
      </c>
      <c r="H1077" s="11">
        <f>IF(A1077="","",IFERROR(VALUE(SUBSTITUTE(SUBSTITUTE(INDEX('Shopify Import'!$A:$CZ,1077,Settings!$E$25)&amp;"","$",""),",","")),0)/IF(Settings!$D$27="Yes",G1077,1))</f>
        <v/>
      </c>
      <c r="I1077" s="11">
        <f>IF(A1077="","",IFERROR(VALUE(SUBSTITUTE(SUBSTITUTE(INDEX('Shopify Import'!$A:$CZ,1077,Settings!$E$26)&amp;"","$",""),",","")),0)/IF(Settings!$D$27="Yes",G1077,1))</f>
        <v/>
      </c>
      <c r="J1077" s="11">
        <f>IF(A1077="","",F1077+H1077-I1077)</f>
        <v/>
      </c>
      <c r="K1077">
        <f>IF(A1077="","",IFERROR(IF(B1077="",NA(),MATCH(B1077,Products!$B$5:$B$204,0)),IFERROR(MATCH(A1077,Products!$A$5:$A$204,0),"")))</f>
        <v/>
      </c>
      <c r="L1077">
        <f>IF(A1077="","",IF(K1077="","⚠ not in Products",INDEX(Products!$A$5:$A$204,K1077)))</f>
        <v/>
      </c>
      <c r="M1077" s="11">
        <f>IF(A1077="","",J1077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1077+IFERROR(INDEX(Settings!$D$5:$D$9,MATCH("Shopify",Settings!$A$5:$A$9,0)),0)*D1077)</f>
        <v/>
      </c>
      <c r="N1077" s="11">
        <f>IF(A1077="","",IF(K1077="",0,D1077*INDEX(Products!$I$5:$I$204,K1077)))</f>
        <v/>
      </c>
      <c r="O1077" s="11">
        <f>IF(A1077="","",IF(K1077="",0,J1077*INDEX(Products!$H$5:$H$204,K1077)))</f>
        <v/>
      </c>
      <c r="P1077" s="11">
        <f>IF(A1077="","",J1077-M1077-N1077-O1077)</f>
        <v/>
      </c>
    </row>
    <row r="1078">
      <c r="A1078">
        <f>IFERROR(INDEX('Shopify Import'!$A:$CZ,1078,Settings!$E$20)&amp;"","")</f>
        <v/>
      </c>
      <c r="B1078">
        <f>IFERROR(INDEX('Shopify Import'!$A:$CZ,1078,Settings!$E$21)&amp;"","")</f>
        <v/>
      </c>
      <c r="C1078">
        <f>IFERROR(INDEX('Shopify Import'!$A:$CZ,1078,Settings!$E$22)&amp;"","")</f>
        <v/>
      </c>
      <c r="D1078">
        <f>IF(A1078="","",IFERROR(VALUE(SUBSTITUTE(SUBSTITUTE(INDEX('Shopify Import'!$A:$CZ,1078,Settings!$E$23)&amp;"","$",""),",","")),0))</f>
        <v/>
      </c>
      <c r="E1078" s="11">
        <f>IF(A1078="","",IFERROR(VALUE(SUBSTITUTE(SUBSTITUTE(INDEX('Shopify Import'!$A:$CZ,1078,Settings!$E$24)&amp;"","$",""),",","")),0))</f>
        <v/>
      </c>
      <c r="F1078" s="11">
        <f>IF(A1078="","",D1078*E1078)</f>
        <v/>
      </c>
      <c r="G1078">
        <f>IF(A1078="","",IF(C1078="",1,COUNTIF($C$2:$C$1501,C1078)))</f>
        <v/>
      </c>
      <c r="H1078" s="11">
        <f>IF(A1078="","",IFERROR(VALUE(SUBSTITUTE(SUBSTITUTE(INDEX('Shopify Import'!$A:$CZ,1078,Settings!$E$25)&amp;"","$",""),",","")),0)/IF(Settings!$D$27="Yes",G1078,1))</f>
        <v/>
      </c>
      <c r="I1078" s="11">
        <f>IF(A1078="","",IFERROR(VALUE(SUBSTITUTE(SUBSTITUTE(INDEX('Shopify Import'!$A:$CZ,1078,Settings!$E$26)&amp;"","$",""),",","")),0)/IF(Settings!$D$27="Yes",G1078,1))</f>
        <v/>
      </c>
      <c r="J1078" s="11">
        <f>IF(A1078="","",F1078+H1078-I1078)</f>
        <v/>
      </c>
      <c r="K1078">
        <f>IF(A1078="","",IFERROR(IF(B1078="",NA(),MATCH(B1078,Products!$B$5:$B$204,0)),IFERROR(MATCH(A1078,Products!$A$5:$A$204,0),"")))</f>
        <v/>
      </c>
      <c r="L1078">
        <f>IF(A1078="","",IF(K1078="","⚠ not in Products",INDEX(Products!$A$5:$A$204,K1078)))</f>
        <v/>
      </c>
      <c r="M1078" s="11">
        <f>IF(A1078="","",J1078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1078+IFERROR(INDEX(Settings!$D$5:$D$9,MATCH("Shopify",Settings!$A$5:$A$9,0)),0)*D1078)</f>
        <v/>
      </c>
      <c r="N1078" s="11">
        <f>IF(A1078="","",IF(K1078="",0,D1078*INDEX(Products!$I$5:$I$204,K1078)))</f>
        <v/>
      </c>
      <c r="O1078" s="11">
        <f>IF(A1078="","",IF(K1078="",0,J1078*INDEX(Products!$H$5:$H$204,K1078)))</f>
        <v/>
      </c>
      <c r="P1078" s="11">
        <f>IF(A1078="","",J1078-M1078-N1078-O1078)</f>
        <v/>
      </c>
    </row>
    <row r="1079">
      <c r="A1079">
        <f>IFERROR(INDEX('Shopify Import'!$A:$CZ,1079,Settings!$E$20)&amp;"","")</f>
        <v/>
      </c>
      <c r="B1079">
        <f>IFERROR(INDEX('Shopify Import'!$A:$CZ,1079,Settings!$E$21)&amp;"","")</f>
        <v/>
      </c>
      <c r="C1079">
        <f>IFERROR(INDEX('Shopify Import'!$A:$CZ,1079,Settings!$E$22)&amp;"","")</f>
        <v/>
      </c>
      <c r="D1079">
        <f>IF(A1079="","",IFERROR(VALUE(SUBSTITUTE(SUBSTITUTE(INDEX('Shopify Import'!$A:$CZ,1079,Settings!$E$23)&amp;"","$",""),",","")),0))</f>
        <v/>
      </c>
      <c r="E1079" s="11">
        <f>IF(A1079="","",IFERROR(VALUE(SUBSTITUTE(SUBSTITUTE(INDEX('Shopify Import'!$A:$CZ,1079,Settings!$E$24)&amp;"","$",""),",","")),0))</f>
        <v/>
      </c>
      <c r="F1079" s="11">
        <f>IF(A1079="","",D1079*E1079)</f>
        <v/>
      </c>
      <c r="G1079">
        <f>IF(A1079="","",IF(C1079="",1,COUNTIF($C$2:$C$1501,C1079)))</f>
        <v/>
      </c>
      <c r="H1079" s="11">
        <f>IF(A1079="","",IFERROR(VALUE(SUBSTITUTE(SUBSTITUTE(INDEX('Shopify Import'!$A:$CZ,1079,Settings!$E$25)&amp;"","$",""),",","")),0)/IF(Settings!$D$27="Yes",G1079,1))</f>
        <v/>
      </c>
      <c r="I1079" s="11">
        <f>IF(A1079="","",IFERROR(VALUE(SUBSTITUTE(SUBSTITUTE(INDEX('Shopify Import'!$A:$CZ,1079,Settings!$E$26)&amp;"","$",""),",","")),0)/IF(Settings!$D$27="Yes",G1079,1))</f>
        <v/>
      </c>
      <c r="J1079" s="11">
        <f>IF(A1079="","",F1079+H1079-I1079)</f>
        <v/>
      </c>
      <c r="K1079">
        <f>IF(A1079="","",IFERROR(IF(B1079="",NA(),MATCH(B1079,Products!$B$5:$B$204,0)),IFERROR(MATCH(A1079,Products!$A$5:$A$204,0),"")))</f>
        <v/>
      </c>
      <c r="L1079">
        <f>IF(A1079="","",IF(K1079="","⚠ not in Products",INDEX(Products!$A$5:$A$204,K1079)))</f>
        <v/>
      </c>
      <c r="M1079" s="11">
        <f>IF(A1079="","",J1079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1079+IFERROR(INDEX(Settings!$D$5:$D$9,MATCH("Shopify",Settings!$A$5:$A$9,0)),0)*D1079)</f>
        <v/>
      </c>
      <c r="N1079" s="11">
        <f>IF(A1079="","",IF(K1079="",0,D1079*INDEX(Products!$I$5:$I$204,K1079)))</f>
        <v/>
      </c>
      <c r="O1079" s="11">
        <f>IF(A1079="","",IF(K1079="",0,J1079*INDEX(Products!$H$5:$H$204,K1079)))</f>
        <v/>
      </c>
      <c r="P1079" s="11">
        <f>IF(A1079="","",J1079-M1079-N1079-O1079)</f>
        <v/>
      </c>
    </row>
    <row r="1080">
      <c r="A1080">
        <f>IFERROR(INDEX('Shopify Import'!$A:$CZ,1080,Settings!$E$20)&amp;"","")</f>
        <v/>
      </c>
      <c r="B1080">
        <f>IFERROR(INDEX('Shopify Import'!$A:$CZ,1080,Settings!$E$21)&amp;"","")</f>
        <v/>
      </c>
      <c r="C1080">
        <f>IFERROR(INDEX('Shopify Import'!$A:$CZ,1080,Settings!$E$22)&amp;"","")</f>
        <v/>
      </c>
      <c r="D1080">
        <f>IF(A1080="","",IFERROR(VALUE(SUBSTITUTE(SUBSTITUTE(INDEX('Shopify Import'!$A:$CZ,1080,Settings!$E$23)&amp;"","$",""),",","")),0))</f>
        <v/>
      </c>
      <c r="E1080" s="11">
        <f>IF(A1080="","",IFERROR(VALUE(SUBSTITUTE(SUBSTITUTE(INDEX('Shopify Import'!$A:$CZ,1080,Settings!$E$24)&amp;"","$",""),",","")),0))</f>
        <v/>
      </c>
      <c r="F1080" s="11">
        <f>IF(A1080="","",D1080*E1080)</f>
        <v/>
      </c>
      <c r="G1080">
        <f>IF(A1080="","",IF(C1080="",1,COUNTIF($C$2:$C$1501,C1080)))</f>
        <v/>
      </c>
      <c r="H1080" s="11">
        <f>IF(A1080="","",IFERROR(VALUE(SUBSTITUTE(SUBSTITUTE(INDEX('Shopify Import'!$A:$CZ,1080,Settings!$E$25)&amp;"","$",""),",","")),0)/IF(Settings!$D$27="Yes",G1080,1))</f>
        <v/>
      </c>
      <c r="I1080" s="11">
        <f>IF(A1080="","",IFERROR(VALUE(SUBSTITUTE(SUBSTITUTE(INDEX('Shopify Import'!$A:$CZ,1080,Settings!$E$26)&amp;"","$",""),",","")),0)/IF(Settings!$D$27="Yes",G1080,1))</f>
        <v/>
      </c>
      <c r="J1080" s="11">
        <f>IF(A1080="","",F1080+H1080-I1080)</f>
        <v/>
      </c>
      <c r="K1080">
        <f>IF(A1080="","",IFERROR(IF(B1080="",NA(),MATCH(B1080,Products!$B$5:$B$204,0)),IFERROR(MATCH(A1080,Products!$A$5:$A$204,0),"")))</f>
        <v/>
      </c>
      <c r="L1080">
        <f>IF(A1080="","",IF(K1080="","⚠ not in Products",INDEX(Products!$A$5:$A$204,K1080)))</f>
        <v/>
      </c>
      <c r="M1080" s="11">
        <f>IF(A1080="","",J1080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1080+IFERROR(INDEX(Settings!$D$5:$D$9,MATCH("Shopify",Settings!$A$5:$A$9,0)),0)*D1080)</f>
        <v/>
      </c>
      <c r="N1080" s="11">
        <f>IF(A1080="","",IF(K1080="",0,D1080*INDEX(Products!$I$5:$I$204,K1080)))</f>
        <v/>
      </c>
      <c r="O1080" s="11">
        <f>IF(A1080="","",IF(K1080="",0,J1080*INDEX(Products!$H$5:$H$204,K1080)))</f>
        <v/>
      </c>
      <c r="P1080" s="11">
        <f>IF(A1080="","",J1080-M1080-N1080-O1080)</f>
        <v/>
      </c>
    </row>
    <row r="1081">
      <c r="A1081">
        <f>IFERROR(INDEX('Shopify Import'!$A:$CZ,1081,Settings!$E$20)&amp;"","")</f>
        <v/>
      </c>
      <c r="B1081">
        <f>IFERROR(INDEX('Shopify Import'!$A:$CZ,1081,Settings!$E$21)&amp;"","")</f>
        <v/>
      </c>
      <c r="C1081">
        <f>IFERROR(INDEX('Shopify Import'!$A:$CZ,1081,Settings!$E$22)&amp;"","")</f>
        <v/>
      </c>
      <c r="D1081">
        <f>IF(A1081="","",IFERROR(VALUE(SUBSTITUTE(SUBSTITUTE(INDEX('Shopify Import'!$A:$CZ,1081,Settings!$E$23)&amp;"","$",""),",","")),0))</f>
        <v/>
      </c>
      <c r="E1081" s="11">
        <f>IF(A1081="","",IFERROR(VALUE(SUBSTITUTE(SUBSTITUTE(INDEX('Shopify Import'!$A:$CZ,1081,Settings!$E$24)&amp;"","$",""),",","")),0))</f>
        <v/>
      </c>
      <c r="F1081" s="11">
        <f>IF(A1081="","",D1081*E1081)</f>
        <v/>
      </c>
      <c r="G1081">
        <f>IF(A1081="","",IF(C1081="",1,COUNTIF($C$2:$C$1501,C1081)))</f>
        <v/>
      </c>
      <c r="H1081" s="11">
        <f>IF(A1081="","",IFERROR(VALUE(SUBSTITUTE(SUBSTITUTE(INDEX('Shopify Import'!$A:$CZ,1081,Settings!$E$25)&amp;"","$",""),",","")),0)/IF(Settings!$D$27="Yes",G1081,1))</f>
        <v/>
      </c>
      <c r="I1081" s="11">
        <f>IF(A1081="","",IFERROR(VALUE(SUBSTITUTE(SUBSTITUTE(INDEX('Shopify Import'!$A:$CZ,1081,Settings!$E$26)&amp;"","$",""),",","")),0)/IF(Settings!$D$27="Yes",G1081,1))</f>
        <v/>
      </c>
      <c r="J1081" s="11">
        <f>IF(A1081="","",F1081+H1081-I1081)</f>
        <v/>
      </c>
      <c r="K1081">
        <f>IF(A1081="","",IFERROR(IF(B1081="",NA(),MATCH(B1081,Products!$B$5:$B$204,0)),IFERROR(MATCH(A1081,Products!$A$5:$A$204,0),"")))</f>
        <v/>
      </c>
      <c r="L1081">
        <f>IF(A1081="","",IF(K1081="","⚠ not in Products",INDEX(Products!$A$5:$A$204,K1081)))</f>
        <v/>
      </c>
      <c r="M1081" s="11">
        <f>IF(A1081="","",J1081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1081+IFERROR(INDEX(Settings!$D$5:$D$9,MATCH("Shopify",Settings!$A$5:$A$9,0)),0)*D1081)</f>
        <v/>
      </c>
      <c r="N1081" s="11">
        <f>IF(A1081="","",IF(K1081="",0,D1081*INDEX(Products!$I$5:$I$204,K1081)))</f>
        <v/>
      </c>
      <c r="O1081" s="11">
        <f>IF(A1081="","",IF(K1081="",0,J1081*INDEX(Products!$H$5:$H$204,K1081)))</f>
        <v/>
      </c>
      <c r="P1081" s="11">
        <f>IF(A1081="","",J1081-M1081-N1081-O1081)</f>
        <v/>
      </c>
    </row>
    <row r="1082">
      <c r="A1082">
        <f>IFERROR(INDEX('Shopify Import'!$A:$CZ,1082,Settings!$E$20)&amp;"","")</f>
        <v/>
      </c>
      <c r="B1082">
        <f>IFERROR(INDEX('Shopify Import'!$A:$CZ,1082,Settings!$E$21)&amp;"","")</f>
        <v/>
      </c>
      <c r="C1082">
        <f>IFERROR(INDEX('Shopify Import'!$A:$CZ,1082,Settings!$E$22)&amp;"","")</f>
        <v/>
      </c>
      <c r="D1082">
        <f>IF(A1082="","",IFERROR(VALUE(SUBSTITUTE(SUBSTITUTE(INDEX('Shopify Import'!$A:$CZ,1082,Settings!$E$23)&amp;"","$",""),",","")),0))</f>
        <v/>
      </c>
      <c r="E1082" s="11">
        <f>IF(A1082="","",IFERROR(VALUE(SUBSTITUTE(SUBSTITUTE(INDEX('Shopify Import'!$A:$CZ,1082,Settings!$E$24)&amp;"","$",""),",","")),0))</f>
        <v/>
      </c>
      <c r="F1082" s="11">
        <f>IF(A1082="","",D1082*E1082)</f>
        <v/>
      </c>
      <c r="G1082">
        <f>IF(A1082="","",IF(C1082="",1,COUNTIF($C$2:$C$1501,C1082)))</f>
        <v/>
      </c>
      <c r="H1082" s="11">
        <f>IF(A1082="","",IFERROR(VALUE(SUBSTITUTE(SUBSTITUTE(INDEX('Shopify Import'!$A:$CZ,1082,Settings!$E$25)&amp;"","$",""),",","")),0)/IF(Settings!$D$27="Yes",G1082,1))</f>
        <v/>
      </c>
      <c r="I1082" s="11">
        <f>IF(A1082="","",IFERROR(VALUE(SUBSTITUTE(SUBSTITUTE(INDEX('Shopify Import'!$A:$CZ,1082,Settings!$E$26)&amp;"","$",""),",","")),0)/IF(Settings!$D$27="Yes",G1082,1))</f>
        <v/>
      </c>
      <c r="J1082" s="11">
        <f>IF(A1082="","",F1082+H1082-I1082)</f>
        <v/>
      </c>
      <c r="K1082">
        <f>IF(A1082="","",IFERROR(IF(B1082="",NA(),MATCH(B1082,Products!$B$5:$B$204,0)),IFERROR(MATCH(A1082,Products!$A$5:$A$204,0),"")))</f>
        <v/>
      </c>
      <c r="L1082">
        <f>IF(A1082="","",IF(K1082="","⚠ not in Products",INDEX(Products!$A$5:$A$204,K1082)))</f>
        <v/>
      </c>
      <c r="M1082" s="11">
        <f>IF(A1082="","",J1082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1082+IFERROR(INDEX(Settings!$D$5:$D$9,MATCH("Shopify",Settings!$A$5:$A$9,0)),0)*D1082)</f>
        <v/>
      </c>
      <c r="N1082" s="11">
        <f>IF(A1082="","",IF(K1082="",0,D1082*INDEX(Products!$I$5:$I$204,K1082)))</f>
        <v/>
      </c>
      <c r="O1082" s="11">
        <f>IF(A1082="","",IF(K1082="",0,J1082*INDEX(Products!$H$5:$H$204,K1082)))</f>
        <v/>
      </c>
      <c r="P1082" s="11">
        <f>IF(A1082="","",J1082-M1082-N1082-O1082)</f>
        <v/>
      </c>
    </row>
    <row r="1083">
      <c r="A1083">
        <f>IFERROR(INDEX('Shopify Import'!$A:$CZ,1083,Settings!$E$20)&amp;"","")</f>
        <v/>
      </c>
      <c r="B1083">
        <f>IFERROR(INDEX('Shopify Import'!$A:$CZ,1083,Settings!$E$21)&amp;"","")</f>
        <v/>
      </c>
      <c r="C1083">
        <f>IFERROR(INDEX('Shopify Import'!$A:$CZ,1083,Settings!$E$22)&amp;"","")</f>
        <v/>
      </c>
      <c r="D1083">
        <f>IF(A1083="","",IFERROR(VALUE(SUBSTITUTE(SUBSTITUTE(INDEX('Shopify Import'!$A:$CZ,1083,Settings!$E$23)&amp;"","$",""),",","")),0))</f>
        <v/>
      </c>
      <c r="E1083" s="11">
        <f>IF(A1083="","",IFERROR(VALUE(SUBSTITUTE(SUBSTITUTE(INDEX('Shopify Import'!$A:$CZ,1083,Settings!$E$24)&amp;"","$",""),",","")),0))</f>
        <v/>
      </c>
      <c r="F1083" s="11">
        <f>IF(A1083="","",D1083*E1083)</f>
        <v/>
      </c>
      <c r="G1083">
        <f>IF(A1083="","",IF(C1083="",1,COUNTIF($C$2:$C$1501,C1083)))</f>
        <v/>
      </c>
      <c r="H1083" s="11">
        <f>IF(A1083="","",IFERROR(VALUE(SUBSTITUTE(SUBSTITUTE(INDEX('Shopify Import'!$A:$CZ,1083,Settings!$E$25)&amp;"","$",""),",","")),0)/IF(Settings!$D$27="Yes",G1083,1))</f>
        <v/>
      </c>
      <c r="I1083" s="11">
        <f>IF(A1083="","",IFERROR(VALUE(SUBSTITUTE(SUBSTITUTE(INDEX('Shopify Import'!$A:$CZ,1083,Settings!$E$26)&amp;"","$",""),",","")),0)/IF(Settings!$D$27="Yes",G1083,1))</f>
        <v/>
      </c>
      <c r="J1083" s="11">
        <f>IF(A1083="","",F1083+H1083-I1083)</f>
        <v/>
      </c>
      <c r="K1083">
        <f>IF(A1083="","",IFERROR(IF(B1083="",NA(),MATCH(B1083,Products!$B$5:$B$204,0)),IFERROR(MATCH(A1083,Products!$A$5:$A$204,0),"")))</f>
        <v/>
      </c>
      <c r="L1083">
        <f>IF(A1083="","",IF(K1083="","⚠ not in Products",INDEX(Products!$A$5:$A$204,K1083)))</f>
        <v/>
      </c>
      <c r="M1083" s="11">
        <f>IF(A1083="","",J1083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1083+IFERROR(INDEX(Settings!$D$5:$D$9,MATCH("Shopify",Settings!$A$5:$A$9,0)),0)*D1083)</f>
        <v/>
      </c>
      <c r="N1083" s="11">
        <f>IF(A1083="","",IF(K1083="",0,D1083*INDEX(Products!$I$5:$I$204,K1083)))</f>
        <v/>
      </c>
      <c r="O1083" s="11">
        <f>IF(A1083="","",IF(K1083="",0,J1083*INDEX(Products!$H$5:$H$204,K1083)))</f>
        <v/>
      </c>
      <c r="P1083" s="11">
        <f>IF(A1083="","",J1083-M1083-N1083-O1083)</f>
        <v/>
      </c>
    </row>
    <row r="1084">
      <c r="A1084">
        <f>IFERROR(INDEX('Shopify Import'!$A:$CZ,1084,Settings!$E$20)&amp;"","")</f>
        <v/>
      </c>
      <c r="B1084">
        <f>IFERROR(INDEX('Shopify Import'!$A:$CZ,1084,Settings!$E$21)&amp;"","")</f>
        <v/>
      </c>
      <c r="C1084">
        <f>IFERROR(INDEX('Shopify Import'!$A:$CZ,1084,Settings!$E$22)&amp;"","")</f>
        <v/>
      </c>
      <c r="D1084">
        <f>IF(A1084="","",IFERROR(VALUE(SUBSTITUTE(SUBSTITUTE(INDEX('Shopify Import'!$A:$CZ,1084,Settings!$E$23)&amp;"","$",""),",","")),0))</f>
        <v/>
      </c>
      <c r="E1084" s="11">
        <f>IF(A1084="","",IFERROR(VALUE(SUBSTITUTE(SUBSTITUTE(INDEX('Shopify Import'!$A:$CZ,1084,Settings!$E$24)&amp;"","$",""),",","")),0))</f>
        <v/>
      </c>
      <c r="F1084" s="11">
        <f>IF(A1084="","",D1084*E1084)</f>
        <v/>
      </c>
      <c r="G1084">
        <f>IF(A1084="","",IF(C1084="",1,COUNTIF($C$2:$C$1501,C1084)))</f>
        <v/>
      </c>
      <c r="H1084" s="11">
        <f>IF(A1084="","",IFERROR(VALUE(SUBSTITUTE(SUBSTITUTE(INDEX('Shopify Import'!$A:$CZ,1084,Settings!$E$25)&amp;"","$",""),",","")),0)/IF(Settings!$D$27="Yes",G1084,1))</f>
        <v/>
      </c>
      <c r="I1084" s="11">
        <f>IF(A1084="","",IFERROR(VALUE(SUBSTITUTE(SUBSTITUTE(INDEX('Shopify Import'!$A:$CZ,1084,Settings!$E$26)&amp;"","$",""),",","")),0)/IF(Settings!$D$27="Yes",G1084,1))</f>
        <v/>
      </c>
      <c r="J1084" s="11">
        <f>IF(A1084="","",F1084+H1084-I1084)</f>
        <v/>
      </c>
      <c r="K1084">
        <f>IF(A1084="","",IFERROR(IF(B1084="",NA(),MATCH(B1084,Products!$B$5:$B$204,0)),IFERROR(MATCH(A1084,Products!$A$5:$A$204,0),"")))</f>
        <v/>
      </c>
      <c r="L1084">
        <f>IF(A1084="","",IF(K1084="","⚠ not in Products",INDEX(Products!$A$5:$A$204,K1084)))</f>
        <v/>
      </c>
      <c r="M1084" s="11">
        <f>IF(A1084="","",J1084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1084+IFERROR(INDEX(Settings!$D$5:$D$9,MATCH("Shopify",Settings!$A$5:$A$9,0)),0)*D1084)</f>
        <v/>
      </c>
      <c r="N1084" s="11">
        <f>IF(A1084="","",IF(K1084="",0,D1084*INDEX(Products!$I$5:$I$204,K1084)))</f>
        <v/>
      </c>
      <c r="O1084" s="11">
        <f>IF(A1084="","",IF(K1084="",0,J1084*INDEX(Products!$H$5:$H$204,K1084)))</f>
        <v/>
      </c>
      <c r="P1084" s="11">
        <f>IF(A1084="","",J1084-M1084-N1084-O1084)</f>
        <v/>
      </c>
    </row>
    <row r="1085">
      <c r="A1085">
        <f>IFERROR(INDEX('Shopify Import'!$A:$CZ,1085,Settings!$E$20)&amp;"","")</f>
        <v/>
      </c>
      <c r="B1085">
        <f>IFERROR(INDEX('Shopify Import'!$A:$CZ,1085,Settings!$E$21)&amp;"","")</f>
        <v/>
      </c>
      <c r="C1085">
        <f>IFERROR(INDEX('Shopify Import'!$A:$CZ,1085,Settings!$E$22)&amp;"","")</f>
        <v/>
      </c>
      <c r="D1085">
        <f>IF(A1085="","",IFERROR(VALUE(SUBSTITUTE(SUBSTITUTE(INDEX('Shopify Import'!$A:$CZ,1085,Settings!$E$23)&amp;"","$",""),",","")),0))</f>
        <v/>
      </c>
      <c r="E1085" s="11">
        <f>IF(A1085="","",IFERROR(VALUE(SUBSTITUTE(SUBSTITUTE(INDEX('Shopify Import'!$A:$CZ,1085,Settings!$E$24)&amp;"","$",""),",","")),0))</f>
        <v/>
      </c>
      <c r="F1085" s="11">
        <f>IF(A1085="","",D1085*E1085)</f>
        <v/>
      </c>
      <c r="G1085">
        <f>IF(A1085="","",IF(C1085="",1,COUNTIF($C$2:$C$1501,C1085)))</f>
        <v/>
      </c>
      <c r="H1085" s="11">
        <f>IF(A1085="","",IFERROR(VALUE(SUBSTITUTE(SUBSTITUTE(INDEX('Shopify Import'!$A:$CZ,1085,Settings!$E$25)&amp;"","$",""),",","")),0)/IF(Settings!$D$27="Yes",G1085,1))</f>
        <v/>
      </c>
      <c r="I1085" s="11">
        <f>IF(A1085="","",IFERROR(VALUE(SUBSTITUTE(SUBSTITUTE(INDEX('Shopify Import'!$A:$CZ,1085,Settings!$E$26)&amp;"","$",""),",","")),0)/IF(Settings!$D$27="Yes",G1085,1))</f>
        <v/>
      </c>
      <c r="J1085" s="11">
        <f>IF(A1085="","",F1085+H1085-I1085)</f>
        <v/>
      </c>
      <c r="K1085">
        <f>IF(A1085="","",IFERROR(IF(B1085="",NA(),MATCH(B1085,Products!$B$5:$B$204,0)),IFERROR(MATCH(A1085,Products!$A$5:$A$204,0),"")))</f>
        <v/>
      </c>
      <c r="L1085">
        <f>IF(A1085="","",IF(K1085="","⚠ not in Products",INDEX(Products!$A$5:$A$204,K1085)))</f>
        <v/>
      </c>
      <c r="M1085" s="11">
        <f>IF(A1085="","",J1085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1085+IFERROR(INDEX(Settings!$D$5:$D$9,MATCH("Shopify",Settings!$A$5:$A$9,0)),0)*D1085)</f>
        <v/>
      </c>
      <c r="N1085" s="11">
        <f>IF(A1085="","",IF(K1085="",0,D1085*INDEX(Products!$I$5:$I$204,K1085)))</f>
        <v/>
      </c>
      <c r="O1085" s="11">
        <f>IF(A1085="","",IF(K1085="",0,J1085*INDEX(Products!$H$5:$H$204,K1085)))</f>
        <v/>
      </c>
      <c r="P1085" s="11">
        <f>IF(A1085="","",J1085-M1085-N1085-O1085)</f>
        <v/>
      </c>
    </row>
    <row r="1086">
      <c r="A1086">
        <f>IFERROR(INDEX('Shopify Import'!$A:$CZ,1086,Settings!$E$20)&amp;"","")</f>
        <v/>
      </c>
      <c r="B1086">
        <f>IFERROR(INDEX('Shopify Import'!$A:$CZ,1086,Settings!$E$21)&amp;"","")</f>
        <v/>
      </c>
      <c r="C1086">
        <f>IFERROR(INDEX('Shopify Import'!$A:$CZ,1086,Settings!$E$22)&amp;"","")</f>
        <v/>
      </c>
      <c r="D1086">
        <f>IF(A1086="","",IFERROR(VALUE(SUBSTITUTE(SUBSTITUTE(INDEX('Shopify Import'!$A:$CZ,1086,Settings!$E$23)&amp;"","$",""),",","")),0))</f>
        <v/>
      </c>
      <c r="E1086" s="11">
        <f>IF(A1086="","",IFERROR(VALUE(SUBSTITUTE(SUBSTITUTE(INDEX('Shopify Import'!$A:$CZ,1086,Settings!$E$24)&amp;"","$",""),",","")),0))</f>
        <v/>
      </c>
      <c r="F1086" s="11">
        <f>IF(A1086="","",D1086*E1086)</f>
        <v/>
      </c>
      <c r="G1086">
        <f>IF(A1086="","",IF(C1086="",1,COUNTIF($C$2:$C$1501,C1086)))</f>
        <v/>
      </c>
      <c r="H1086" s="11">
        <f>IF(A1086="","",IFERROR(VALUE(SUBSTITUTE(SUBSTITUTE(INDEX('Shopify Import'!$A:$CZ,1086,Settings!$E$25)&amp;"","$",""),",","")),0)/IF(Settings!$D$27="Yes",G1086,1))</f>
        <v/>
      </c>
      <c r="I1086" s="11">
        <f>IF(A1086="","",IFERROR(VALUE(SUBSTITUTE(SUBSTITUTE(INDEX('Shopify Import'!$A:$CZ,1086,Settings!$E$26)&amp;"","$",""),",","")),0)/IF(Settings!$D$27="Yes",G1086,1))</f>
        <v/>
      </c>
      <c r="J1086" s="11">
        <f>IF(A1086="","",F1086+H1086-I1086)</f>
        <v/>
      </c>
      <c r="K1086">
        <f>IF(A1086="","",IFERROR(IF(B1086="",NA(),MATCH(B1086,Products!$B$5:$B$204,0)),IFERROR(MATCH(A1086,Products!$A$5:$A$204,0),"")))</f>
        <v/>
      </c>
      <c r="L1086">
        <f>IF(A1086="","",IF(K1086="","⚠ not in Products",INDEX(Products!$A$5:$A$204,K1086)))</f>
        <v/>
      </c>
      <c r="M1086" s="11">
        <f>IF(A1086="","",J1086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1086+IFERROR(INDEX(Settings!$D$5:$D$9,MATCH("Shopify",Settings!$A$5:$A$9,0)),0)*D1086)</f>
        <v/>
      </c>
      <c r="N1086" s="11">
        <f>IF(A1086="","",IF(K1086="",0,D1086*INDEX(Products!$I$5:$I$204,K1086)))</f>
        <v/>
      </c>
      <c r="O1086" s="11">
        <f>IF(A1086="","",IF(K1086="",0,J1086*INDEX(Products!$H$5:$H$204,K1086)))</f>
        <v/>
      </c>
      <c r="P1086" s="11">
        <f>IF(A1086="","",J1086-M1086-N1086-O1086)</f>
        <v/>
      </c>
    </row>
    <row r="1087">
      <c r="A1087">
        <f>IFERROR(INDEX('Shopify Import'!$A:$CZ,1087,Settings!$E$20)&amp;"","")</f>
        <v/>
      </c>
      <c r="B1087">
        <f>IFERROR(INDEX('Shopify Import'!$A:$CZ,1087,Settings!$E$21)&amp;"","")</f>
        <v/>
      </c>
      <c r="C1087">
        <f>IFERROR(INDEX('Shopify Import'!$A:$CZ,1087,Settings!$E$22)&amp;"","")</f>
        <v/>
      </c>
      <c r="D1087">
        <f>IF(A1087="","",IFERROR(VALUE(SUBSTITUTE(SUBSTITUTE(INDEX('Shopify Import'!$A:$CZ,1087,Settings!$E$23)&amp;"","$",""),",","")),0))</f>
        <v/>
      </c>
      <c r="E1087" s="11">
        <f>IF(A1087="","",IFERROR(VALUE(SUBSTITUTE(SUBSTITUTE(INDEX('Shopify Import'!$A:$CZ,1087,Settings!$E$24)&amp;"","$",""),",","")),0))</f>
        <v/>
      </c>
      <c r="F1087" s="11">
        <f>IF(A1087="","",D1087*E1087)</f>
        <v/>
      </c>
      <c r="G1087">
        <f>IF(A1087="","",IF(C1087="",1,COUNTIF($C$2:$C$1501,C1087)))</f>
        <v/>
      </c>
      <c r="H1087" s="11">
        <f>IF(A1087="","",IFERROR(VALUE(SUBSTITUTE(SUBSTITUTE(INDEX('Shopify Import'!$A:$CZ,1087,Settings!$E$25)&amp;"","$",""),",","")),0)/IF(Settings!$D$27="Yes",G1087,1))</f>
        <v/>
      </c>
      <c r="I1087" s="11">
        <f>IF(A1087="","",IFERROR(VALUE(SUBSTITUTE(SUBSTITUTE(INDEX('Shopify Import'!$A:$CZ,1087,Settings!$E$26)&amp;"","$",""),",","")),0)/IF(Settings!$D$27="Yes",G1087,1))</f>
        <v/>
      </c>
      <c r="J1087" s="11">
        <f>IF(A1087="","",F1087+H1087-I1087)</f>
        <v/>
      </c>
      <c r="K1087">
        <f>IF(A1087="","",IFERROR(IF(B1087="",NA(),MATCH(B1087,Products!$B$5:$B$204,0)),IFERROR(MATCH(A1087,Products!$A$5:$A$204,0),"")))</f>
        <v/>
      </c>
      <c r="L1087">
        <f>IF(A1087="","",IF(K1087="","⚠ not in Products",INDEX(Products!$A$5:$A$204,K1087)))</f>
        <v/>
      </c>
      <c r="M1087" s="11">
        <f>IF(A1087="","",J1087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1087+IFERROR(INDEX(Settings!$D$5:$D$9,MATCH("Shopify",Settings!$A$5:$A$9,0)),0)*D1087)</f>
        <v/>
      </c>
      <c r="N1087" s="11">
        <f>IF(A1087="","",IF(K1087="",0,D1087*INDEX(Products!$I$5:$I$204,K1087)))</f>
        <v/>
      </c>
      <c r="O1087" s="11">
        <f>IF(A1087="","",IF(K1087="",0,J1087*INDEX(Products!$H$5:$H$204,K1087)))</f>
        <v/>
      </c>
      <c r="P1087" s="11">
        <f>IF(A1087="","",J1087-M1087-N1087-O1087)</f>
        <v/>
      </c>
    </row>
    <row r="1088">
      <c r="A1088">
        <f>IFERROR(INDEX('Shopify Import'!$A:$CZ,1088,Settings!$E$20)&amp;"","")</f>
        <v/>
      </c>
      <c r="B1088">
        <f>IFERROR(INDEX('Shopify Import'!$A:$CZ,1088,Settings!$E$21)&amp;"","")</f>
        <v/>
      </c>
      <c r="C1088">
        <f>IFERROR(INDEX('Shopify Import'!$A:$CZ,1088,Settings!$E$22)&amp;"","")</f>
        <v/>
      </c>
      <c r="D1088">
        <f>IF(A1088="","",IFERROR(VALUE(SUBSTITUTE(SUBSTITUTE(INDEX('Shopify Import'!$A:$CZ,1088,Settings!$E$23)&amp;"","$",""),",","")),0))</f>
        <v/>
      </c>
      <c r="E1088" s="11">
        <f>IF(A1088="","",IFERROR(VALUE(SUBSTITUTE(SUBSTITUTE(INDEX('Shopify Import'!$A:$CZ,1088,Settings!$E$24)&amp;"","$",""),",","")),0))</f>
        <v/>
      </c>
      <c r="F1088" s="11">
        <f>IF(A1088="","",D1088*E1088)</f>
        <v/>
      </c>
      <c r="G1088">
        <f>IF(A1088="","",IF(C1088="",1,COUNTIF($C$2:$C$1501,C1088)))</f>
        <v/>
      </c>
      <c r="H1088" s="11">
        <f>IF(A1088="","",IFERROR(VALUE(SUBSTITUTE(SUBSTITUTE(INDEX('Shopify Import'!$A:$CZ,1088,Settings!$E$25)&amp;"","$",""),",","")),0)/IF(Settings!$D$27="Yes",G1088,1))</f>
        <v/>
      </c>
      <c r="I1088" s="11">
        <f>IF(A1088="","",IFERROR(VALUE(SUBSTITUTE(SUBSTITUTE(INDEX('Shopify Import'!$A:$CZ,1088,Settings!$E$26)&amp;"","$",""),",","")),0)/IF(Settings!$D$27="Yes",G1088,1))</f>
        <v/>
      </c>
      <c r="J1088" s="11">
        <f>IF(A1088="","",F1088+H1088-I1088)</f>
        <v/>
      </c>
      <c r="K1088">
        <f>IF(A1088="","",IFERROR(IF(B1088="",NA(),MATCH(B1088,Products!$B$5:$B$204,0)),IFERROR(MATCH(A1088,Products!$A$5:$A$204,0),"")))</f>
        <v/>
      </c>
      <c r="L1088">
        <f>IF(A1088="","",IF(K1088="","⚠ not in Products",INDEX(Products!$A$5:$A$204,K1088)))</f>
        <v/>
      </c>
      <c r="M1088" s="11">
        <f>IF(A1088="","",J1088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1088+IFERROR(INDEX(Settings!$D$5:$D$9,MATCH("Shopify",Settings!$A$5:$A$9,0)),0)*D1088)</f>
        <v/>
      </c>
      <c r="N1088" s="11">
        <f>IF(A1088="","",IF(K1088="",0,D1088*INDEX(Products!$I$5:$I$204,K1088)))</f>
        <v/>
      </c>
      <c r="O1088" s="11">
        <f>IF(A1088="","",IF(K1088="",0,J1088*INDEX(Products!$H$5:$H$204,K1088)))</f>
        <v/>
      </c>
      <c r="P1088" s="11">
        <f>IF(A1088="","",J1088-M1088-N1088-O1088)</f>
        <v/>
      </c>
    </row>
    <row r="1089">
      <c r="A1089">
        <f>IFERROR(INDEX('Shopify Import'!$A:$CZ,1089,Settings!$E$20)&amp;"","")</f>
        <v/>
      </c>
      <c r="B1089">
        <f>IFERROR(INDEX('Shopify Import'!$A:$CZ,1089,Settings!$E$21)&amp;"","")</f>
        <v/>
      </c>
      <c r="C1089">
        <f>IFERROR(INDEX('Shopify Import'!$A:$CZ,1089,Settings!$E$22)&amp;"","")</f>
        <v/>
      </c>
      <c r="D1089">
        <f>IF(A1089="","",IFERROR(VALUE(SUBSTITUTE(SUBSTITUTE(INDEX('Shopify Import'!$A:$CZ,1089,Settings!$E$23)&amp;"","$",""),",","")),0))</f>
        <v/>
      </c>
      <c r="E1089" s="11">
        <f>IF(A1089="","",IFERROR(VALUE(SUBSTITUTE(SUBSTITUTE(INDEX('Shopify Import'!$A:$CZ,1089,Settings!$E$24)&amp;"","$",""),",","")),0))</f>
        <v/>
      </c>
      <c r="F1089" s="11">
        <f>IF(A1089="","",D1089*E1089)</f>
        <v/>
      </c>
      <c r="G1089">
        <f>IF(A1089="","",IF(C1089="",1,COUNTIF($C$2:$C$1501,C1089)))</f>
        <v/>
      </c>
      <c r="H1089" s="11">
        <f>IF(A1089="","",IFERROR(VALUE(SUBSTITUTE(SUBSTITUTE(INDEX('Shopify Import'!$A:$CZ,1089,Settings!$E$25)&amp;"","$",""),",","")),0)/IF(Settings!$D$27="Yes",G1089,1))</f>
        <v/>
      </c>
      <c r="I1089" s="11">
        <f>IF(A1089="","",IFERROR(VALUE(SUBSTITUTE(SUBSTITUTE(INDEX('Shopify Import'!$A:$CZ,1089,Settings!$E$26)&amp;"","$",""),",","")),0)/IF(Settings!$D$27="Yes",G1089,1))</f>
        <v/>
      </c>
      <c r="J1089" s="11">
        <f>IF(A1089="","",F1089+H1089-I1089)</f>
        <v/>
      </c>
      <c r="K1089">
        <f>IF(A1089="","",IFERROR(IF(B1089="",NA(),MATCH(B1089,Products!$B$5:$B$204,0)),IFERROR(MATCH(A1089,Products!$A$5:$A$204,0),"")))</f>
        <v/>
      </c>
      <c r="L1089">
        <f>IF(A1089="","",IF(K1089="","⚠ not in Products",INDEX(Products!$A$5:$A$204,K1089)))</f>
        <v/>
      </c>
      <c r="M1089" s="11">
        <f>IF(A1089="","",J1089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1089+IFERROR(INDEX(Settings!$D$5:$D$9,MATCH("Shopify",Settings!$A$5:$A$9,0)),0)*D1089)</f>
        <v/>
      </c>
      <c r="N1089" s="11">
        <f>IF(A1089="","",IF(K1089="",0,D1089*INDEX(Products!$I$5:$I$204,K1089)))</f>
        <v/>
      </c>
      <c r="O1089" s="11">
        <f>IF(A1089="","",IF(K1089="",0,J1089*INDEX(Products!$H$5:$H$204,K1089)))</f>
        <v/>
      </c>
      <c r="P1089" s="11">
        <f>IF(A1089="","",J1089-M1089-N1089-O1089)</f>
        <v/>
      </c>
    </row>
    <row r="1090">
      <c r="A1090">
        <f>IFERROR(INDEX('Shopify Import'!$A:$CZ,1090,Settings!$E$20)&amp;"","")</f>
        <v/>
      </c>
      <c r="B1090">
        <f>IFERROR(INDEX('Shopify Import'!$A:$CZ,1090,Settings!$E$21)&amp;"","")</f>
        <v/>
      </c>
      <c r="C1090">
        <f>IFERROR(INDEX('Shopify Import'!$A:$CZ,1090,Settings!$E$22)&amp;"","")</f>
        <v/>
      </c>
      <c r="D1090">
        <f>IF(A1090="","",IFERROR(VALUE(SUBSTITUTE(SUBSTITUTE(INDEX('Shopify Import'!$A:$CZ,1090,Settings!$E$23)&amp;"","$",""),",","")),0))</f>
        <v/>
      </c>
      <c r="E1090" s="11">
        <f>IF(A1090="","",IFERROR(VALUE(SUBSTITUTE(SUBSTITUTE(INDEX('Shopify Import'!$A:$CZ,1090,Settings!$E$24)&amp;"","$",""),",","")),0))</f>
        <v/>
      </c>
      <c r="F1090" s="11">
        <f>IF(A1090="","",D1090*E1090)</f>
        <v/>
      </c>
      <c r="G1090">
        <f>IF(A1090="","",IF(C1090="",1,COUNTIF($C$2:$C$1501,C1090)))</f>
        <v/>
      </c>
      <c r="H1090" s="11">
        <f>IF(A1090="","",IFERROR(VALUE(SUBSTITUTE(SUBSTITUTE(INDEX('Shopify Import'!$A:$CZ,1090,Settings!$E$25)&amp;"","$",""),",","")),0)/IF(Settings!$D$27="Yes",G1090,1))</f>
        <v/>
      </c>
      <c r="I1090" s="11">
        <f>IF(A1090="","",IFERROR(VALUE(SUBSTITUTE(SUBSTITUTE(INDEX('Shopify Import'!$A:$CZ,1090,Settings!$E$26)&amp;"","$",""),",","")),0)/IF(Settings!$D$27="Yes",G1090,1))</f>
        <v/>
      </c>
      <c r="J1090" s="11">
        <f>IF(A1090="","",F1090+H1090-I1090)</f>
        <v/>
      </c>
      <c r="K1090">
        <f>IF(A1090="","",IFERROR(IF(B1090="",NA(),MATCH(B1090,Products!$B$5:$B$204,0)),IFERROR(MATCH(A1090,Products!$A$5:$A$204,0),"")))</f>
        <v/>
      </c>
      <c r="L1090">
        <f>IF(A1090="","",IF(K1090="","⚠ not in Products",INDEX(Products!$A$5:$A$204,K1090)))</f>
        <v/>
      </c>
      <c r="M1090" s="11">
        <f>IF(A1090="","",J1090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1090+IFERROR(INDEX(Settings!$D$5:$D$9,MATCH("Shopify",Settings!$A$5:$A$9,0)),0)*D1090)</f>
        <v/>
      </c>
      <c r="N1090" s="11">
        <f>IF(A1090="","",IF(K1090="",0,D1090*INDEX(Products!$I$5:$I$204,K1090)))</f>
        <v/>
      </c>
      <c r="O1090" s="11">
        <f>IF(A1090="","",IF(K1090="",0,J1090*INDEX(Products!$H$5:$H$204,K1090)))</f>
        <v/>
      </c>
      <c r="P1090" s="11">
        <f>IF(A1090="","",J1090-M1090-N1090-O1090)</f>
        <v/>
      </c>
    </row>
    <row r="1091">
      <c r="A1091">
        <f>IFERROR(INDEX('Shopify Import'!$A:$CZ,1091,Settings!$E$20)&amp;"","")</f>
        <v/>
      </c>
      <c r="B1091">
        <f>IFERROR(INDEX('Shopify Import'!$A:$CZ,1091,Settings!$E$21)&amp;"","")</f>
        <v/>
      </c>
      <c r="C1091">
        <f>IFERROR(INDEX('Shopify Import'!$A:$CZ,1091,Settings!$E$22)&amp;"","")</f>
        <v/>
      </c>
      <c r="D1091">
        <f>IF(A1091="","",IFERROR(VALUE(SUBSTITUTE(SUBSTITUTE(INDEX('Shopify Import'!$A:$CZ,1091,Settings!$E$23)&amp;"","$",""),",","")),0))</f>
        <v/>
      </c>
      <c r="E1091" s="11">
        <f>IF(A1091="","",IFERROR(VALUE(SUBSTITUTE(SUBSTITUTE(INDEX('Shopify Import'!$A:$CZ,1091,Settings!$E$24)&amp;"","$",""),",","")),0))</f>
        <v/>
      </c>
      <c r="F1091" s="11">
        <f>IF(A1091="","",D1091*E1091)</f>
        <v/>
      </c>
      <c r="G1091">
        <f>IF(A1091="","",IF(C1091="",1,COUNTIF($C$2:$C$1501,C1091)))</f>
        <v/>
      </c>
      <c r="H1091" s="11">
        <f>IF(A1091="","",IFERROR(VALUE(SUBSTITUTE(SUBSTITUTE(INDEX('Shopify Import'!$A:$CZ,1091,Settings!$E$25)&amp;"","$",""),",","")),0)/IF(Settings!$D$27="Yes",G1091,1))</f>
        <v/>
      </c>
      <c r="I1091" s="11">
        <f>IF(A1091="","",IFERROR(VALUE(SUBSTITUTE(SUBSTITUTE(INDEX('Shopify Import'!$A:$CZ,1091,Settings!$E$26)&amp;"","$",""),",","")),0)/IF(Settings!$D$27="Yes",G1091,1))</f>
        <v/>
      </c>
      <c r="J1091" s="11">
        <f>IF(A1091="","",F1091+H1091-I1091)</f>
        <v/>
      </c>
      <c r="K1091">
        <f>IF(A1091="","",IFERROR(IF(B1091="",NA(),MATCH(B1091,Products!$B$5:$B$204,0)),IFERROR(MATCH(A1091,Products!$A$5:$A$204,0),"")))</f>
        <v/>
      </c>
      <c r="L1091">
        <f>IF(A1091="","",IF(K1091="","⚠ not in Products",INDEX(Products!$A$5:$A$204,K1091)))</f>
        <v/>
      </c>
      <c r="M1091" s="11">
        <f>IF(A1091="","",J1091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1091+IFERROR(INDEX(Settings!$D$5:$D$9,MATCH("Shopify",Settings!$A$5:$A$9,0)),0)*D1091)</f>
        <v/>
      </c>
      <c r="N1091" s="11">
        <f>IF(A1091="","",IF(K1091="",0,D1091*INDEX(Products!$I$5:$I$204,K1091)))</f>
        <v/>
      </c>
      <c r="O1091" s="11">
        <f>IF(A1091="","",IF(K1091="",0,J1091*INDEX(Products!$H$5:$H$204,K1091)))</f>
        <v/>
      </c>
      <c r="P1091" s="11">
        <f>IF(A1091="","",J1091-M1091-N1091-O1091)</f>
        <v/>
      </c>
    </row>
    <row r="1092">
      <c r="A1092">
        <f>IFERROR(INDEX('Shopify Import'!$A:$CZ,1092,Settings!$E$20)&amp;"","")</f>
        <v/>
      </c>
      <c r="B1092">
        <f>IFERROR(INDEX('Shopify Import'!$A:$CZ,1092,Settings!$E$21)&amp;"","")</f>
        <v/>
      </c>
      <c r="C1092">
        <f>IFERROR(INDEX('Shopify Import'!$A:$CZ,1092,Settings!$E$22)&amp;"","")</f>
        <v/>
      </c>
      <c r="D1092">
        <f>IF(A1092="","",IFERROR(VALUE(SUBSTITUTE(SUBSTITUTE(INDEX('Shopify Import'!$A:$CZ,1092,Settings!$E$23)&amp;"","$",""),",","")),0))</f>
        <v/>
      </c>
      <c r="E1092" s="11">
        <f>IF(A1092="","",IFERROR(VALUE(SUBSTITUTE(SUBSTITUTE(INDEX('Shopify Import'!$A:$CZ,1092,Settings!$E$24)&amp;"","$",""),",","")),0))</f>
        <v/>
      </c>
      <c r="F1092" s="11">
        <f>IF(A1092="","",D1092*E1092)</f>
        <v/>
      </c>
      <c r="G1092">
        <f>IF(A1092="","",IF(C1092="",1,COUNTIF($C$2:$C$1501,C1092)))</f>
        <v/>
      </c>
      <c r="H1092" s="11">
        <f>IF(A1092="","",IFERROR(VALUE(SUBSTITUTE(SUBSTITUTE(INDEX('Shopify Import'!$A:$CZ,1092,Settings!$E$25)&amp;"","$",""),",","")),0)/IF(Settings!$D$27="Yes",G1092,1))</f>
        <v/>
      </c>
      <c r="I1092" s="11">
        <f>IF(A1092="","",IFERROR(VALUE(SUBSTITUTE(SUBSTITUTE(INDEX('Shopify Import'!$A:$CZ,1092,Settings!$E$26)&amp;"","$",""),",","")),0)/IF(Settings!$D$27="Yes",G1092,1))</f>
        <v/>
      </c>
      <c r="J1092" s="11">
        <f>IF(A1092="","",F1092+H1092-I1092)</f>
        <v/>
      </c>
      <c r="K1092">
        <f>IF(A1092="","",IFERROR(IF(B1092="",NA(),MATCH(B1092,Products!$B$5:$B$204,0)),IFERROR(MATCH(A1092,Products!$A$5:$A$204,0),"")))</f>
        <v/>
      </c>
      <c r="L1092">
        <f>IF(A1092="","",IF(K1092="","⚠ not in Products",INDEX(Products!$A$5:$A$204,K1092)))</f>
        <v/>
      </c>
      <c r="M1092" s="11">
        <f>IF(A1092="","",J1092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1092+IFERROR(INDEX(Settings!$D$5:$D$9,MATCH("Shopify",Settings!$A$5:$A$9,0)),0)*D1092)</f>
        <v/>
      </c>
      <c r="N1092" s="11">
        <f>IF(A1092="","",IF(K1092="",0,D1092*INDEX(Products!$I$5:$I$204,K1092)))</f>
        <v/>
      </c>
      <c r="O1092" s="11">
        <f>IF(A1092="","",IF(K1092="",0,J1092*INDEX(Products!$H$5:$H$204,K1092)))</f>
        <v/>
      </c>
      <c r="P1092" s="11">
        <f>IF(A1092="","",J1092-M1092-N1092-O1092)</f>
        <v/>
      </c>
    </row>
    <row r="1093">
      <c r="A1093">
        <f>IFERROR(INDEX('Shopify Import'!$A:$CZ,1093,Settings!$E$20)&amp;"","")</f>
        <v/>
      </c>
      <c r="B1093">
        <f>IFERROR(INDEX('Shopify Import'!$A:$CZ,1093,Settings!$E$21)&amp;"","")</f>
        <v/>
      </c>
      <c r="C1093">
        <f>IFERROR(INDEX('Shopify Import'!$A:$CZ,1093,Settings!$E$22)&amp;"","")</f>
        <v/>
      </c>
      <c r="D1093">
        <f>IF(A1093="","",IFERROR(VALUE(SUBSTITUTE(SUBSTITUTE(INDEX('Shopify Import'!$A:$CZ,1093,Settings!$E$23)&amp;"","$",""),",","")),0))</f>
        <v/>
      </c>
      <c r="E1093" s="11">
        <f>IF(A1093="","",IFERROR(VALUE(SUBSTITUTE(SUBSTITUTE(INDEX('Shopify Import'!$A:$CZ,1093,Settings!$E$24)&amp;"","$",""),",","")),0))</f>
        <v/>
      </c>
      <c r="F1093" s="11">
        <f>IF(A1093="","",D1093*E1093)</f>
        <v/>
      </c>
      <c r="G1093">
        <f>IF(A1093="","",IF(C1093="",1,COUNTIF($C$2:$C$1501,C1093)))</f>
        <v/>
      </c>
      <c r="H1093" s="11">
        <f>IF(A1093="","",IFERROR(VALUE(SUBSTITUTE(SUBSTITUTE(INDEX('Shopify Import'!$A:$CZ,1093,Settings!$E$25)&amp;"","$",""),",","")),0)/IF(Settings!$D$27="Yes",G1093,1))</f>
        <v/>
      </c>
      <c r="I1093" s="11">
        <f>IF(A1093="","",IFERROR(VALUE(SUBSTITUTE(SUBSTITUTE(INDEX('Shopify Import'!$A:$CZ,1093,Settings!$E$26)&amp;"","$",""),",","")),0)/IF(Settings!$D$27="Yes",G1093,1))</f>
        <v/>
      </c>
      <c r="J1093" s="11">
        <f>IF(A1093="","",F1093+H1093-I1093)</f>
        <v/>
      </c>
      <c r="K1093">
        <f>IF(A1093="","",IFERROR(IF(B1093="",NA(),MATCH(B1093,Products!$B$5:$B$204,0)),IFERROR(MATCH(A1093,Products!$A$5:$A$204,0),"")))</f>
        <v/>
      </c>
      <c r="L1093">
        <f>IF(A1093="","",IF(K1093="","⚠ not in Products",INDEX(Products!$A$5:$A$204,K1093)))</f>
        <v/>
      </c>
      <c r="M1093" s="11">
        <f>IF(A1093="","",J1093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1093+IFERROR(INDEX(Settings!$D$5:$D$9,MATCH("Shopify",Settings!$A$5:$A$9,0)),0)*D1093)</f>
        <v/>
      </c>
      <c r="N1093" s="11">
        <f>IF(A1093="","",IF(K1093="",0,D1093*INDEX(Products!$I$5:$I$204,K1093)))</f>
        <v/>
      </c>
      <c r="O1093" s="11">
        <f>IF(A1093="","",IF(K1093="",0,J1093*INDEX(Products!$H$5:$H$204,K1093)))</f>
        <v/>
      </c>
      <c r="P1093" s="11">
        <f>IF(A1093="","",J1093-M1093-N1093-O1093)</f>
        <v/>
      </c>
    </row>
    <row r="1094">
      <c r="A1094">
        <f>IFERROR(INDEX('Shopify Import'!$A:$CZ,1094,Settings!$E$20)&amp;"","")</f>
        <v/>
      </c>
      <c r="B1094">
        <f>IFERROR(INDEX('Shopify Import'!$A:$CZ,1094,Settings!$E$21)&amp;"","")</f>
        <v/>
      </c>
      <c r="C1094">
        <f>IFERROR(INDEX('Shopify Import'!$A:$CZ,1094,Settings!$E$22)&amp;"","")</f>
        <v/>
      </c>
      <c r="D1094">
        <f>IF(A1094="","",IFERROR(VALUE(SUBSTITUTE(SUBSTITUTE(INDEX('Shopify Import'!$A:$CZ,1094,Settings!$E$23)&amp;"","$",""),",","")),0))</f>
        <v/>
      </c>
      <c r="E1094" s="11">
        <f>IF(A1094="","",IFERROR(VALUE(SUBSTITUTE(SUBSTITUTE(INDEX('Shopify Import'!$A:$CZ,1094,Settings!$E$24)&amp;"","$",""),",","")),0))</f>
        <v/>
      </c>
      <c r="F1094" s="11">
        <f>IF(A1094="","",D1094*E1094)</f>
        <v/>
      </c>
      <c r="G1094">
        <f>IF(A1094="","",IF(C1094="",1,COUNTIF($C$2:$C$1501,C1094)))</f>
        <v/>
      </c>
      <c r="H1094" s="11">
        <f>IF(A1094="","",IFERROR(VALUE(SUBSTITUTE(SUBSTITUTE(INDEX('Shopify Import'!$A:$CZ,1094,Settings!$E$25)&amp;"","$",""),",","")),0)/IF(Settings!$D$27="Yes",G1094,1))</f>
        <v/>
      </c>
      <c r="I1094" s="11">
        <f>IF(A1094="","",IFERROR(VALUE(SUBSTITUTE(SUBSTITUTE(INDEX('Shopify Import'!$A:$CZ,1094,Settings!$E$26)&amp;"","$",""),",","")),0)/IF(Settings!$D$27="Yes",G1094,1))</f>
        <v/>
      </c>
      <c r="J1094" s="11">
        <f>IF(A1094="","",F1094+H1094-I1094)</f>
        <v/>
      </c>
      <c r="K1094">
        <f>IF(A1094="","",IFERROR(IF(B1094="",NA(),MATCH(B1094,Products!$B$5:$B$204,0)),IFERROR(MATCH(A1094,Products!$A$5:$A$204,0),"")))</f>
        <v/>
      </c>
      <c r="L1094">
        <f>IF(A1094="","",IF(K1094="","⚠ not in Products",INDEX(Products!$A$5:$A$204,K1094)))</f>
        <v/>
      </c>
      <c r="M1094" s="11">
        <f>IF(A1094="","",J1094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1094+IFERROR(INDEX(Settings!$D$5:$D$9,MATCH("Shopify",Settings!$A$5:$A$9,0)),0)*D1094)</f>
        <v/>
      </c>
      <c r="N1094" s="11">
        <f>IF(A1094="","",IF(K1094="",0,D1094*INDEX(Products!$I$5:$I$204,K1094)))</f>
        <v/>
      </c>
      <c r="O1094" s="11">
        <f>IF(A1094="","",IF(K1094="",0,J1094*INDEX(Products!$H$5:$H$204,K1094)))</f>
        <v/>
      </c>
      <c r="P1094" s="11">
        <f>IF(A1094="","",J1094-M1094-N1094-O1094)</f>
        <v/>
      </c>
    </row>
    <row r="1095">
      <c r="A1095">
        <f>IFERROR(INDEX('Shopify Import'!$A:$CZ,1095,Settings!$E$20)&amp;"","")</f>
        <v/>
      </c>
      <c r="B1095">
        <f>IFERROR(INDEX('Shopify Import'!$A:$CZ,1095,Settings!$E$21)&amp;"","")</f>
        <v/>
      </c>
      <c r="C1095">
        <f>IFERROR(INDEX('Shopify Import'!$A:$CZ,1095,Settings!$E$22)&amp;"","")</f>
        <v/>
      </c>
      <c r="D1095">
        <f>IF(A1095="","",IFERROR(VALUE(SUBSTITUTE(SUBSTITUTE(INDEX('Shopify Import'!$A:$CZ,1095,Settings!$E$23)&amp;"","$",""),",","")),0))</f>
        <v/>
      </c>
      <c r="E1095" s="11">
        <f>IF(A1095="","",IFERROR(VALUE(SUBSTITUTE(SUBSTITUTE(INDEX('Shopify Import'!$A:$CZ,1095,Settings!$E$24)&amp;"","$",""),",","")),0))</f>
        <v/>
      </c>
      <c r="F1095" s="11">
        <f>IF(A1095="","",D1095*E1095)</f>
        <v/>
      </c>
      <c r="G1095">
        <f>IF(A1095="","",IF(C1095="",1,COUNTIF($C$2:$C$1501,C1095)))</f>
        <v/>
      </c>
      <c r="H1095" s="11">
        <f>IF(A1095="","",IFERROR(VALUE(SUBSTITUTE(SUBSTITUTE(INDEX('Shopify Import'!$A:$CZ,1095,Settings!$E$25)&amp;"","$",""),",","")),0)/IF(Settings!$D$27="Yes",G1095,1))</f>
        <v/>
      </c>
      <c r="I1095" s="11">
        <f>IF(A1095="","",IFERROR(VALUE(SUBSTITUTE(SUBSTITUTE(INDEX('Shopify Import'!$A:$CZ,1095,Settings!$E$26)&amp;"","$",""),",","")),0)/IF(Settings!$D$27="Yes",G1095,1))</f>
        <v/>
      </c>
      <c r="J1095" s="11">
        <f>IF(A1095="","",F1095+H1095-I1095)</f>
        <v/>
      </c>
      <c r="K1095">
        <f>IF(A1095="","",IFERROR(IF(B1095="",NA(),MATCH(B1095,Products!$B$5:$B$204,0)),IFERROR(MATCH(A1095,Products!$A$5:$A$204,0),"")))</f>
        <v/>
      </c>
      <c r="L1095">
        <f>IF(A1095="","",IF(K1095="","⚠ not in Products",INDEX(Products!$A$5:$A$204,K1095)))</f>
        <v/>
      </c>
      <c r="M1095" s="11">
        <f>IF(A1095="","",J1095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1095+IFERROR(INDEX(Settings!$D$5:$D$9,MATCH("Shopify",Settings!$A$5:$A$9,0)),0)*D1095)</f>
        <v/>
      </c>
      <c r="N1095" s="11">
        <f>IF(A1095="","",IF(K1095="",0,D1095*INDEX(Products!$I$5:$I$204,K1095)))</f>
        <v/>
      </c>
      <c r="O1095" s="11">
        <f>IF(A1095="","",IF(K1095="",0,J1095*INDEX(Products!$H$5:$H$204,K1095)))</f>
        <v/>
      </c>
      <c r="P1095" s="11">
        <f>IF(A1095="","",J1095-M1095-N1095-O1095)</f>
        <v/>
      </c>
    </row>
    <row r="1096">
      <c r="A1096">
        <f>IFERROR(INDEX('Shopify Import'!$A:$CZ,1096,Settings!$E$20)&amp;"","")</f>
        <v/>
      </c>
      <c r="B1096">
        <f>IFERROR(INDEX('Shopify Import'!$A:$CZ,1096,Settings!$E$21)&amp;"","")</f>
        <v/>
      </c>
      <c r="C1096">
        <f>IFERROR(INDEX('Shopify Import'!$A:$CZ,1096,Settings!$E$22)&amp;"","")</f>
        <v/>
      </c>
      <c r="D1096">
        <f>IF(A1096="","",IFERROR(VALUE(SUBSTITUTE(SUBSTITUTE(INDEX('Shopify Import'!$A:$CZ,1096,Settings!$E$23)&amp;"","$",""),",","")),0))</f>
        <v/>
      </c>
      <c r="E1096" s="11">
        <f>IF(A1096="","",IFERROR(VALUE(SUBSTITUTE(SUBSTITUTE(INDEX('Shopify Import'!$A:$CZ,1096,Settings!$E$24)&amp;"","$",""),",","")),0))</f>
        <v/>
      </c>
      <c r="F1096" s="11">
        <f>IF(A1096="","",D1096*E1096)</f>
        <v/>
      </c>
      <c r="G1096">
        <f>IF(A1096="","",IF(C1096="",1,COUNTIF($C$2:$C$1501,C1096)))</f>
        <v/>
      </c>
      <c r="H1096" s="11">
        <f>IF(A1096="","",IFERROR(VALUE(SUBSTITUTE(SUBSTITUTE(INDEX('Shopify Import'!$A:$CZ,1096,Settings!$E$25)&amp;"","$",""),",","")),0)/IF(Settings!$D$27="Yes",G1096,1))</f>
        <v/>
      </c>
      <c r="I1096" s="11">
        <f>IF(A1096="","",IFERROR(VALUE(SUBSTITUTE(SUBSTITUTE(INDEX('Shopify Import'!$A:$CZ,1096,Settings!$E$26)&amp;"","$",""),",","")),0)/IF(Settings!$D$27="Yes",G1096,1))</f>
        <v/>
      </c>
      <c r="J1096" s="11">
        <f>IF(A1096="","",F1096+H1096-I1096)</f>
        <v/>
      </c>
      <c r="K1096">
        <f>IF(A1096="","",IFERROR(IF(B1096="",NA(),MATCH(B1096,Products!$B$5:$B$204,0)),IFERROR(MATCH(A1096,Products!$A$5:$A$204,0),"")))</f>
        <v/>
      </c>
      <c r="L1096">
        <f>IF(A1096="","",IF(K1096="","⚠ not in Products",INDEX(Products!$A$5:$A$204,K1096)))</f>
        <v/>
      </c>
      <c r="M1096" s="11">
        <f>IF(A1096="","",J1096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1096+IFERROR(INDEX(Settings!$D$5:$D$9,MATCH("Shopify",Settings!$A$5:$A$9,0)),0)*D1096)</f>
        <v/>
      </c>
      <c r="N1096" s="11">
        <f>IF(A1096="","",IF(K1096="",0,D1096*INDEX(Products!$I$5:$I$204,K1096)))</f>
        <v/>
      </c>
      <c r="O1096" s="11">
        <f>IF(A1096="","",IF(K1096="",0,J1096*INDEX(Products!$H$5:$H$204,K1096)))</f>
        <v/>
      </c>
      <c r="P1096" s="11">
        <f>IF(A1096="","",J1096-M1096-N1096-O1096)</f>
        <v/>
      </c>
    </row>
    <row r="1097">
      <c r="A1097">
        <f>IFERROR(INDEX('Shopify Import'!$A:$CZ,1097,Settings!$E$20)&amp;"","")</f>
        <v/>
      </c>
      <c r="B1097">
        <f>IFERROR(INDEX('Shopify Import'!$A:$CZ,1097,Settings!$E$21)&amp;"","")</f>
        <v/>
      </c>
      <c r="C1097">
        <f>IFERROR(INDEX('Shopify Import'!$A:$CZ,1097,Settings!$E$22)&amp;"","")</f>
        <v/>
      </c>
      <c r="D1097">
        <f>IF(A1097="","",IFERROR(VALUE(SUBSTITUTE(SUBSTITUTE(INDEX('Shopify Import'!$A:$CZ,1097,Settings!$E$23)&amp;"","$",""),",","")),0))</f>
        <v/>
      </c>
      <c r="E1097" s="11">
        <f>IF(A1097="","",IFERROR(VALUE(SUBSTITUTE(SUBSTITUTE(INDEX('Shopify Import'!$A:$CZ,1097,Settings!$E$24)&amp;"","$",""),",","")),0))</f>
        <v/>
      </c>
      <c r="F1097" s="11">
        <f>IF(A1097="","",D1097*E1097)</f>
        <v/>
      </c>
      <c r="G1097">
        <f>IF(A1097="","",IF(C1097="",1,COUNTIF($C$2:$C$1501,C1097)))</f>
        <v/>
      </c>
      <c r="H1097" s="11">
        <f>IF(A1097="","",IFERROR(VALUE(SUBSTITUTE(SUBSTITUTE(INDEX('Shopify Import'!$A:$CZ,1097,Settings!$E$25)&amp;"","$",""),",","")),0)/IF(Settings!$D$27="Yes",G1097,1))</f>
        <v/>
      </c>
      <c r="I1097" s="11">
        <f>IF(A1097="","",IFERROR(VALUE(SUBSTITUTE(SUBSTITUTE(INDEX('Shopify Import'!$A:$CZ,1097,Settings!$E$26)&amp;"","$",""),",","")),0)/IF(Settings!$D$27="Yes",G1097,1))</f>
        <v/>
      </c>
      <c r="J1097" s="11">
        <f>IF(A1097="","",F1097+H1097-I1097)</f>
        <v/>
      </c>
      <c r="K1097">
        <f>IF(A1097="","",IFERROR(IF(B1097="",NA(),MATCH(B1097,Products!$B$5:$B$204,0)),IFERROR(MATCH(A1097,Products!$A$5:$A$204,0),"")))</f>
        <v/>
      </c>
      <c r="L1097">
        <f>IF(A1097="","",IF(K1097="","⚠ not in Products",INDEX(Products!$A$5:$A$204,K1097)))</f>
        <v/>
      </c>
      <c r="M1097" s="11">
        <f>IF(A1097="","",J1097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1097+IFERROR(INDEX(Settings!$D$5:$D$9,MATCH("Shopify",Settings!$A$5:$A$9,0)),0)*D1097)</f>
        <v/>
      </c>
      <c r="N1097" s="11">
        <f>IF(A1097="","",IF(K1097="",0,D1097*INDEX(Products!$I$5:$I$204,K1097)))</f>
        <v/>
      </c>
      <c r="O1097" s="11">
        <f>IF(A1097="","",IF(K1097="",0,J1097*INDEX(Products!$H$5:$H$204,K1097)))</f>
        <v/>
      </c>
      <c r="P1097" s="11">
        <f>IF(A1097="","",J1097-M1097-N1097-O1097)</f>
        <v/>
      </c>
    </row>
    <row r="1098">
      <c r="A1098">
        <f>IFERROR(INDEX('Shopify Import'!$A:$CZ,1098,Settings!$E$20)&amp;"","")</f>
        <v/>
      </c>
      <c r="B1098">
        <f>IFERROR(INDEX('Shopify Import'!$A:$CZ,1098,Settings!$E$21)&amp;"","")</f>
        <v/>
      </c>
      <c r="C1098">
        <f>IFERROR(INDEX('Shopify Import'!$A:$CZ,1098,Settings!$E$22)&amp;"","")</f>
        <v/>
      </c>
      <c r="D1098">
        <f>IF(A1098="","",IFERROR(VALUE(SUBSTITUTE(SUBSTITUTE(INDEX('Shopify Import'!$A:$CZ,1098,Settings!$E$23)&amp;"","$",""),",","")),0))</f>
        <v/>
      </c>
      <c r="E1098" s="11">
        <f>IF(A1098="","",IFERROR(VALUE(SUBSTITUTE(SUBSTITUTE(INDEX('Shopify Import'!$A:$CZ,1098,Settings!$E$24)&amp;"","$",""),",","")),0))</f>
        <v/>
      </c>
      <c r="F1098" s="11">
        <f>IF(A1098="","",D1098*E1098)</f>
        <v/>
      </c>
      <c r="G1098">
        <f>IF(A1098="","",IF(C1098="",1,COUNTIF($C$2:$C$1501,C1098)))</f>
        <v/>
      </c>
      <c r="H1098" s="11">
        <f>IF(A1098="","",IFERROR(VALUE(SUBSTITUTE(SUBSTITUTE(INDEX('Shopify Import'!$A:$CZ,1098,Settings!$E$25)&amp;"","$",""),",","")),0)/IF(Settings!$D$27="Yes",G1098,1))</f>
        <v/>
      </c>
      <c r="I1098" s="11">
        <f>IF(A1098="","",IFERROR(VALUE(SUBSTITUTE(SUBSTITUTE(INDEX('Shopify Import'!$A:$CZ,1098,Settings!$E$26)&amp;"","$",""),",","")),0)/IF(Settings!$D$27="Yes",G1098,1))</f>
        <v/>
      </c>
      <c r="J1098" s="11">
        <f>IF(A1098="","",F1098+H1098-I1098)</f>
        <v/>
      </c>
      <c r="K1098">
        <f>IF(A1098="","",IFERROR(IF(B1098="",NA(),MATCH(B1098,Products!$B$5:$B$204,0)),IFERROR(MATCH(A1098,Products!$A$5:$A$204,0),"")))</f>
        <v/>
      </c>
      <c r="L1098">
        <f>IF(A1098="","",IF(K1098="","⚠ not in Products",INDEX(Products!$A$5:$A$204,K1098)))</f>
        <v/>
      </c>
      <c r="M1098" s="11">
        <f>IF(A1098="","",J1098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1098+IFERROR(INDEX(Settings!$D$5:$D$9,MATCH("Shopify",Settings!$A$5:$A$9,0)),0)*D1098)</f>
        <v/>
      </c>
      <c r="N1098" s="11">
        <f>IF(A1098="","",IF(K1098="",0,D1098*INDEX(Products!$I$5:$I$204,K1098)))</f>
        <v/>
      </c>
      <c r="O1098" s="11">
        <f>IF(A1098="","",IF(K1098="",0,J1098*INDEX(Products!$H$5:$H$204,K1098)))</f>
        <v/>
      </c>
      <c r="P1098" s="11">
        <f>IF(A1098="","",J1098-M1098-N1098-O1098)</f>
        <v/>
      </c>
    </row>
    <row r="1099">
      <c r="A1099">
        <f>IFERROR(INDEX('Shopify Import'!$A:$CZ,1099,Settings!$E$20)&amp;"","")</f>
        <v/>
      </c>
      <c r="B1099">
        <f>IFERROR(INDEX('Shopify Import'!$A:$CZ,1099,Settings!$E$21)&amp;"","")</f>
        <v/>
      </c>
      <c r="C1099">
        <f>IFERROR(INDEX('Shopify Import'!$A:$CZ,1099,Settings!$E$22)&amp;"","")</f>
        <v/>
      </c>
      <c r="D1099">
        <f>IF(A1099="","",IFERROR(VALUE(SUBSTITUTE(SUBSTITUTE(INDEX('Shopify Import'!$A:$CZ,1099,Settings!$E$23)&amp;"","$",""),",","")),0))</f>
        <v/>
      </c>
      <c r="E1099" s="11">
        <f>IF(A1099="","",IFERROR(VALUE(SUBSTITUTE(SUBSTITUTE(INDEX('Shopify Import'!$A:$CZ,1099,Settings!$E$24)&amp;"","$",""),",","")),0))</f>
        <v/>
      </c>
      <c r="F1099" s="11">
        <f>IF(A1099="","",D1099*E1099)</f>
        <v/>
      </c>
      <c r="G1099">
        <f>IF(A1099="","",IF(C1099="",1,COUNTIF($C$2:$C$1501,C1099)))</f>
        <v/>
      </c>
      <c r="H1099" s="11">
        <f>IF(A1099="","",IFERROR(VALUE(SUBSTITUTE(SUBSTITUTE(INDEX('Shopify Import'!$A:$CZ,1099,Settings!$E$25)&amp;"","$",""),",","")),0)/IF(Settings!$D$27="Yes",G1099,1))</f>
        <v/>
      </c>
      <c r="I1099" s="11">
        <f>IF(A1099="","",IFERROR(VALUE(SUBSTITUTE(SUBSTITUTE(INDEX('Shopify Import'!$A:$CZ,1099,Settings!$E$26)&amp;"","$",""),",","")),0)/IF(Settings!$D$27="Yes",G1099,1))</f>
        <v/>
      </c>
      <c r="J1099" s="11">
        <f>IF(A1099="","",F1099+H1099-I1099)</f>
        <v/>
      </c>
      <c r="K1099">
        <f>IF(A1099="","",IFERROR(IF(B1099="",NA(),MATCH(B1099,Products!$B$5:$B$204,0)),IFERROR(MATCH(A1099,Products!$A$5:$A$204,0),"")))</f>
        <v/>
      </c>
      <c r="L1099">
        <f>IF(A1099="","",IF(K1099="","⚠ not in Products",INDEX(Products!$A$5:$A$204,K1099)))</f>
        <v/>
      </c>
      <c r="M1099" s="11">
        <f>IF(A1099="","",J1099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1099+IFERROR(INDEX(Settings!$D$5:$D$9,MATCH("Shopify",Settings!$A$5:$A$9,0)),0)*D1099)</f>
        <v/>
      </c>
      <c r="N1099" s="11">
        <f>IF(A1099="","",IF(K1099="",0,D1099*INDEX(Products!$I$5:$I$204,K1099)))</f>
        <v/>
      </c>
      <c r="O1099" s="11">
        <f>IF(A1099="","",IF(K1099="",0,J1099*INDEX(Products!$H$5:$H$204,K1099)))</f>
        <v/>
      </c>
      <c r="P1099" s="11">
        <f>IF(A1099="","",J1099-M1099-N1099-O1099)</f>
        <v/>
      </c>
    </row>
    <row r="1100">
      <c r="A1100">
        <f>IFERROR(INDEX('Shopify Import'!$A:$CZ,1100,Settings!$E$20)&amp;"","")</f>
        <v/>
      </c>
      <c r="B1100">
        <f>IFERROR(INDEX('Shopify Import'!$A:$CZ,1100,Settings!$E$21)&amp;"","")</f>
        <v/>
      </c>
      <c r="C1100">
        <f>IFERROR(INDEX('Shopify Import'!$A:$CZ,1100,Settings!$E$22)&amp;"","")</f>
        <v/>
      </c>
      <c r="D1100">
        <f>IF(A1100="","",IFERROR(VALUE(SUBSTITUTE(SUBSTITUTE(INDEX('Shopify Import'!$A:$CZ,1100,Settings!$E$23)&amp;"","$",""),",","")),0))</f>
        <v/>
      </c>
      <c r="E1100" s="11">
        <f>IF(A1100="","",IFERROR(VALUE(SUBSTITUTE(SUBSTITUTE(INDEX('Shopify Import'!$A:$CZ,1100,Settings!$E$24)&amp;"","$",""),",","")),0))</f>
        <v/>
      </c>
      <c r="F1100" s="11">
        <f>IF(A1100="","",D1100*E1100)</f>
        <v/>
      </c>
      <c r="G1100">
        <f>IF(A1100="","",IF(C1100="",1,COUNTIF($C$2:$C$1501,C1100)))</f>
        <v/>
      </c>
      <c r="H1100" s="11">
        <f>IF(A1100="","",IFERROR(VALUE(SUBSTITUTE(SUBSTITUTE(INDEX('Shopify Import'!$A:$CZ,1100,Settings!$E$25)&amp;"","$",""),",","")),0)/IF(Settings!$D$27="Yes",G1100,1))</f>
        <v/>
      </c>
      <c r="I1100" s="11">
        <f>IF(A1100="","",IFERROR(VALUE(SUBSTITUTE(SUBSTITUTE(INDEX('Shopify Import'!$A:$CZ,1100,Settings!$E$26)&amp;"","$",""),",","")),0)/IF(Settings!$D$27="Yes",G1100,1))</f>
        <v/>
      </c>
      <c r="J1100" s="11">
        <f>IF(A1100="","",F1100+H1100-I1100)</f>
        <v/>
      </c>
      <c r="K1100">
        <f>IF(A1100="","",IFERROR(IF(B1100="",NA(),MATCH(B1100,Products!$B$5:$B$204,0)),IFERROR(MATCH(A1100,Products!$A$5:$A$204,0),"")))</f>
        <v/>
      </c>
      <c r="L1100">
        <f>IF(A1100="","",IF(K1100="","⚠ not in Products",INDEX(Products!$A$5:$A$204,K1100)))</f>
        <v/>
      </c>
      <c r="M1100" s="11">
        <f>IF(A1100="","",J1100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1100+IFERROR(INDEX(Settings!$D$5:$D$9,MATCH("Shopify",Settings!$A$5:$A$9,0)),0)*D1100)</f>
        <v/>
      </c>
      <c r="N1100" s="11">
        <f>IF(A1100="","",IF(K1100="",0,D1100*INDEX(Products!$I$5:$I$204,K1100)))</f>
        <v/>
      </c>
      <c r="O1100" s="11">
        <f>IF(A1100="","",IF(K1100="",0,J1100*INDEX(Products!$H$5:$H$204,K1100)))</f>
        <v/>
      </c>
      <c r="P1100" s="11">
        <f>IF(A1100="","",J1100-M1100-N1100-O1100)</f>
        <v/>
      </c>
    </row>
    <row r="1101">
      <c r="A1101">
        <f>IFERROR(INDEX('Shopify Import'!$A:$CZ,1101,Settings!$E$20)&amp;"","")</f>
        <v/>
      </c>
      <c r="B1101">
        <f>IFERROR(INDEX('Shopify Import'!$A:$CZ,1101,Settings!$E$21)&amp;"","")</f>
        <v/>
      </c>
      <c r="C1101">
        <f>IFERROR(INDEX('Shopify Import'!$A:$CZ,1101,Settings!$E$22)&amp;"","")</f>
        <v/>
      </c>
      <c r="D1101">
        <f>IF(A1101="","",IFERROR(VALUE(SUBSTITUTE(SUBSTITUTE(INDEX('Shopify Import'!$A:$CZ,1101,Settings!$E$23)&amp;"","$",""),",","")),0))</f>
        <v/>
      </c>
      <c r="E1101" s="11">
        <f>IF(A1101="","",IFERROR(VALUE(SUBSTITUTE(SUBSTITUTE(INDEX('Shopify Import'!$A:$CZ,1101,Settings!$E$24)&amp;"","$",""),",","")),0))</f>
        <v/>
      </c>
      <c r="F1101" s="11">
        <f>IF(A1101="","",D1101*E1101)</f>
        <v/>
      </c>
      <c r="G1101">
        <f>IF(A1101="","",IF(C1101="",1,COUNTIF($C$2:$C$1501,C1101)))</f>
        <v/>
      </c>
      <c r="H1101" s="11">
        <f>IF(A1101="","",IFERROR(VALUE(SUBSTITUTE(SUBSTITUTE(INDEX('Shopify Import'!$A:$CZ,1101,Settings!$E$25)&amp;"","$",""),",","")),0)/IF(Settings!$D$27="Yes",G1101,1))</f>
        <v/>
      </c>
      <c r="I1101" s="11">
        <f>IF(A1101="","",IFERROR(VALUE(SUBSTITUTE(SUBSTITUTE(INDEX('Shopify Import'!$A:$CZ,1101,Settings!$E$26)&amp;"","$",""),",","")),0)/IF(Settings!$D$27="Yes",G1101,1))</f>
        <v/>
      </c>
      <c r="J1101" s="11">
        <f>IF(A1101="","",F1101+H1101-I1101)</f>
        <v/>
      </c>
      <c r="K1101">
        <f>IF(A1101="","",IFERROR(IF(B1101="",NA(),MATCH(B1101,Products!$B$5:$B$204,0)),IFERROR(MATCH(A1101,Products!$A$5:$A$204,0),"")))</f>
        <v/>
      </c>
      <c r="L1101">
        <f>IF(A1101="","",IF(K1101="","⚠ not in Products",INDEX(Products!$A$5:$A$204,K1101)))</f>
        <v/>
      </c>
      <c r="M1101" s="11">
        <f>IF(A1101="","",J1101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1101+IFERROR(INDEX(Settings!$D$5:$D$9,MATCH("Shopify",Settings!$A$5:$A$9,0)),0)*D1101)</f>
        <v/>
      </c>
      <c r="N1101" s="11">
        <f>IF(A1101="","",IF(K1101="",0,D1101*INDEX(Products!$I$5:$I$204,K1101)))</f>
        <v/>
      </c>
      <c r="O1101" s="11">
        <f>IF(A1101="","",IF(K1101="",0,J1101*INDEX(Products!$H$5:$H$204,K1101)))</f>
        <v/>
      </c>
      <c r="P1101" s="11">
        <f>IF(A1101="","",J1101-M1101-N1101-O1101)</f>
        <v/>
      </c>
    </row>
    <row r="1102">
      <c r="A1102">
        <f>IFERROR(INDEX('Shopify Import'!$A:$CZ,1102,Settings!$E$20)&amp;"","")</f>
        <v/>
      </c>
      <c r="B1102">
        <f>IFERROR(INDEX('Shopify Import'!$A:$CZ,1102,Settings!$E$21)&amp;"","")</f>
        <v/>
      </c>
      <c r="C1102">
        <f>IFERROR(INDEX('Shopify Import'!$A:$CZ,1102,Settings!$E$22)&amp;"","")</f>
        <v/>
      </c>
      <c r="D1102">
        <f>IF(A1102="","",IFERROR(VALUE(SUBSTITUTE(SUBSTITUTE(INDEX('Shopify Import'!$A:$CZ,1102,Settings!$E$23)&amp;"","$",""),",","")),0))</f>
        <v/>
      </c>
      <c r="E1102" s="11">
        <f>IF(A1102="","",IFERROR(VALUE(SUBSTITUTE(SUBSTITUTE(INDEX('Shopify Import'!$A:$CZ,1102,Settings!$E$24)&amp;"","$",""),",","")),0))</f>
        <v/>
      </c>
      <c r="F1102" s="11">
        <f>IF(A1102="","",D1102*E1102)</f>
        <v/>
      </c>
      <c r="G1102">
        <f>IF(A1102="","",IF(C1102="",1,COUNTIF($C$2:$C$1501,C1102)))</f>
        <v/>
      </c>
      <c r="H1102" s="11">
        <f>IF(A1102="","",IFERROR(VALUE(SUBSTITUTE(SUBSTITUTE(INDEX('Shopify Import'!$A:$CZ,1102,Settings!$E$25)&amp;"","$",""),",","")),0)/IF(Settings!$D$27="Yes",G1102,1))</f>
        <v/>
      </c>
      <c r="I1102" s="11">
        <f>IF(A1102="","",IFERROR(VALUE(SUBSTITUTE(SUBSTITUTE(INDEX('Shopify Import'!$A:$CZ,1102,Settings!$E$26)&amp;"","$",""),",","")),0)/IF(Settings!$D$27="Yes",G1102,1))</f>
        <v/>
      </c>
      <c r="J1102" s="11">
        <f>IF(A1102="","",F1102+H1102-I1102)</f>
        <v/>
      </c>
      <c r="K1102">
        <f>IF(A1102="","",IFERROR(IF(B1102="",NA(),MATCH(B1102,Products!$B$5:$B$204,0)),IFERROR(MATCH(A1102,Products!$A$5:$A$204,0),"")))</f>
        <v/>
      </c>
      <c r="L1102">
        <f>IF(A1102="","",IF(K1102="","⚠ not in Products",INDEX(Products!$A$5:$A$204,K1102)))</f>
        <v/>
      </c>
      <c r="M1102" s="11">
        <f>IF(A1102="","",J1102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1102+IFERROR(INDEX(Settings!$D$5:$D$9,MATCH("Shopify",Settings!$A$5:$A$9,0)),0)*D1102)</f>
        <v/>
      </c>
      <c r="N1102" s="11">
        <f>IF(A1102="","",IF(K1102="",0,D1102*INDEX(Products!$I$5:$I$204,K1102)))</f>
        <v/>
      </c>
      <c r="O1102" s="11">
        <f>IF(A1102="","",IF(K1102="",0,J1102*INDEX(Products!$H$5:$H$204,K1102)))</f>
        <v/>
      </c>
      <c r="P1102" s="11">
        <f>IF(A1102="","",J1102-M1102-N1102-O1102)</f>
        <v/>
      </c>
    </row>
    <row r="1103">
      <c r="A1103">
        <f>IFERROR(INDEX('Shopify Import'!$A:$CZ,1103,Settings!$E$20)&amp;"","")</f>
        <v/>
      </c>
      <c r="B1103">
        <f>IFERROR(INDEX('Shopify Import'!$A:$CZ,1103,Settings!$E$21)&amp;"","")</f>
        <v/>
      </c>
      <c r="C1103">
        <f>IFERROR(INDEX('Shopify Import'!$A:$CZ,1103,Settings!$E$22)&amp;"","")</f>
        <v/>
      </c>
      <c r="D1103">
        <f>IF(A1103="","",IFERROR(VALUE(SUBSTITUTE(SUBSTITUTE(INDEX('Shopify Import'!$A:$CZ,1103,Settings!$E$23)&amp;"","$",""),",","")),0))</f>
        <v/>
      </c>
      <c r="E1103" s="11">
        <f>IF(A1103="","",IFERROR(VALUE(SUBSTITUTE(SUBSTITUTE(INDEX('Shopify Import'!$A:$CZ,1103,Settings!$E$24)&amp;"","$",""),",","")),0))</f>
        <v/>
      </c>
      <c r="F1103" s="11">
        <f>IF(A1103="","",D1103*E1103)</f>
        <v/>
      </c>
      <c r="G1103">
        <f>IF(A1103="","",IF(C1103="",1,COUNTIF($C$2:$C$1501,C1103)))</f>
        <v/>
      </c>
      <c r="H1103" s="11">
        <f>IF(A1103="","",IFERROR(VALUE(SUBSTITUTE(SUBSTITUTE(INDEX('Shopify Import'!$A:$CZ,1103,Settings!$E$25)&amp;"","$",""),",","")),0)/IF(Settings!$D$27="Yes",G1103,1))</f>
        <v/>
      </c>
      <c r="I1103" s="11">
        <f>IF(A1103="","",IFERROR(VALUE(SUBSTITUTE(SUBSTITUTE(INDEX('Shopify Import'!$A:$CZ,1103,Settings!$E$26)&amp;"","$",""),",","")),0)/IF(Settings!$D$27="Yes",G1103,1))</f>
        <v/>
      </c>
      <c r="J1103" s="11">
        <f>IF(A1103="","",F1103+H1103-I1103)</f>
        <v/>
      </c>
      <c r="K1103">
        <f>IF(A1103="","",IFERROR(IF(B1103="",NA(),MATCH(B1103,Products!$B$5:$B$204,0)),IFERROR(MATCH(A1103,Products!$A$5:$A$204,0),"")))</f>
        <v/>
      </c>
      <c r="L1103">
        <f>IF(A1103="","",IF(K1103="","⚠ not in Products",INDEX(Products!$A$5:$A$204,K1103)))</f>
        <v/>
      </c>
      <c r="M1103" s="11">
        <f>IF(A1103="","",J1103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1103+IFERROR(INDEX(Settings!$D$5:$D$9,MATCH("Shopify",Settings!$A$5:$A$9,0)),0)*D1103)</f>
        <v/>
      </c>
      <c r="N1103" s="11">
        <f>IF(A1103="","",IF(K1103="",0,D1103*INDEX(Products!$I$5:$I$204,K1103)))</f>
        <v/>
      </c>
      <c r="O1103" s="11">
        <f>IF(A1103="","",IF(K1103="",0,J1103*INDEX(Products!$H$5:$H$204,K1103)))</f>
        <v/>
      </c>
      <c r="P1103" s="11">
        <f>IF(A1103="","",J1103-M1103-N1103-O1103)</f>
        <v/>
      </c>
    </row>
    <row r="1104">
      <c r="A1104">
        <f>IFERROR(INDEX('Shopify Import'!$A:$CZ,1104,Settings!$E$20)&amp;"","")</f>
        <v/>
      </c>
      <c r="B1104">
        <f>IFERROR(INDEX('Shopify Import'!$A:$CZ,1104,Settings!$E$21)&amp;"","")</f>
        <v/>
      </c>
      <c r="C1104">
        <f>IFERROR(INDEX('Shopify Import'!$A:$CZ,1104,Settings!$E$22)&amp;"","")</f>
        <v/>
      </c>
      <c r="D1104">
        <f>IF(A1104="","",IFERROR(VALUE(SUBSTITUTE(SUBSTITUTE(INDEX('Shopify Import'!$A:$CZ,1104,Settings!$E$23)&amp;"","$",""),",","")),0))</f>
        <v/>
      </c>
      <c r="E1104" s="11">
        <f>IF(A1104="","",IFERROR(VALUE(SUBSTITUTE(SUBSTITUTE(INDEX('Shopify Import'!$A:$CZ,1104,Settings!$E$24)&amp;"","$",""),",","")),0))</f>
        <v/>
      </c>
      <c r="F1104" s="11">
        <f>IF(A1104="","",D1104*E1104)</f>
        <v/>
      </c>
      <c r="G1104">
        <f>IF(A1104="","",IF(C1104="",1,COUNTIF($C$2:$C$1501,C1104)))</f>
        <v/>
      </c>
      <c r="H1104" s="11">
        <f>IF(A1104="","",IFERROR(VALUE(SUBSTITUTE(SUBSTITUTE(INDEX('Shopify Import'!$A:$CZ,1104,Settings!$E$25)&amp;"","$",""),",","")),0)/IF(Settings!$D$27="Yes",G1104,1))</f>
        <v/>
      </c>
      <c r="I1104" s="11">
        <f>IF(A1104="","",IFERROR(VALUE(SUBSTITUTE(SUBSTITUTE(INDEX('Shopify Import'!$A:$CZ,1104,Settings!$E$26)&amp;"","$",""),",","")),0)/IF(Settings!$D$27="Yes",G1104,1))</f>
        <v/>
      </c>
      <c r="J1104" s="11">
        <f>IF(A1104="","",F1104+H1104-I1104)</f>
        <v/>
      </c>
      <c r="K1104">
        <f>IF(A1104="","",IFERROR(IF(B1104="",NA(),MATCH(B1104,Products!$B$5:$B$204,0)),IFERROR(MATCH(A1104,Products!$A$5:$A$204,0),"")))</f>
        <v/>
      </c>
      <c r="L1104">
        <f>IF(A1104="","",IF(K1104="","⚠ not in Products",INDEX(Products!$A$5:$A$204,K1104)))</f>
        <v/>
      </c>
      <c r="M1104" s="11">
        <f>IF(A1104="","",J1104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1104+IFERROR(INDEX(Settings!$D$5:$D$9,MATCH("Shopify",Settings!$A$5:$A$9,0)),0)*D1104)</f>
        <v/>
      </c>
      <c r="N1104" s="11">
        <f>IF(A1104="","",IF(K1104="",0,D1104*INDEX(Products!$I$5:$I$204,K1104)))</f>
        <v/>
      </c>
      <c r="O1104" s="11">
        <f>IF(A1104="","",IF(K1104="",0,J1104*INDEX(Products!$H$5:$H$204,K1104)))</f>
        <v/>
      </c>
      <c r="P1104" s="11">
        <f>IF(A1104="","",J1104-M1104-N1104-O1104)</f>
        <v/>
      </c>
    </row>
    <row r="1105">
      <c r="A1105">
        <f>IFERROR(INDEX('Shopify Import'!$A:$CZ,1105,Settings!$E$20)&amp;"","")</f>
        <v/>
      </c>
      <c r="B1105">
        <f>IFERROR(INDEX('Shopify Import'!$A:$CZ,1105,Settings!$E$21)&amp;"","")</f>
        <v/>
      </c>
      <c r="C1105">
        <f>IFERROR(INDEX('Shopify Import'!$A:$CZ,1105,Settings!$E$22)&amp;"","")</f>
        <v/>
      </c>
      <c r="D1105">
        <f>IF(A1105="","",IFERROR(VALUE(SUBSTITUTE(SUBSTITUTE(INDEX('Shopify Import'!$A:$CZ,1105,Settings!$E$23)&amp;"","$",""),",","")),0))</f>
        <v/>
      </c>
      <c r="E1105" s="11">
        <f>IF(A1105="","",IFERROR(VALUE(SUBSTITUTE(SUBSTITUTE(INDEX('Shopify Import'!$A:$CZ,1105,Settings!$E$24)&amp;"","$",""),",","")),0))</f>
        <v/>
      </c>
      <c r="F1105" s="11">
        <f>IF(A1105="","",D1105*E1105)</f>
        <v/>
      </c>
      <c r="G1105">
        <f>IF(A1105="","",IF(C1105="",1,COUNTIF($C$2:$C$1501,C1105)))</f>
        <v/>
      </c>
      <c r="H1105" s="11">
        <f>IF(A1105="","",IFERROR(VALUE(SUBSTITUTE(SUBSTITUTE(INDEX('Shopify Import'!$A:$CZ,1105,Settings!$E$25)&amp;"","$",""),",","")),0)/IF(Settings!$D$27="Yes",G1105,1))</f>
        <v/>
      </c>
      <c r="I1105" s="11">
        <f>IF(A1105="","",IFERROR(VALUE(SUBSTITUTE(SUBSTITUTE(INDEX('Shopify Import'!$A:$CZ,1105,Settings!$E$26)&amp;"","$",""),",","")),0)/IF(Settings!$D$27="Yes",G1105,1))</f>
        <v/>
      </c>
      <c r="J1105" s="11">
        <f>IF(A1105="","",F1105+H1105-I1105)</f>
        <v/>
      </c>
      <c r="K1105">
        <f>IF(A1105="","",IFERROR(IF(B1105="",NA(),MATCH(B1105,Products!$B$5:$B$204,0)),IFERROR(MATCH(A1105,Products!$A$5:$A$204,0),"")))</f>
        <v/>
      </c>
      <c r="L1105">
        <f>IF(A1105="","",IF(K1105="","⚠ not in Products",INDEX(Products!$A$5:$A$204,K1105)))</f>
        <v/>
      </c>
      <c r="M1105" s="11">
        <f>IF(A1105="","",J1105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1105+IFERROR(INDEX(Settings!$D$5:$D$9,MATCH("Shopify",Settings!$A$5:$A$9,0)),0)*D1105)</f>
        <v/>
      </c>
      <c r="N1105" s="11">
        <f>IF(A1105="","",IF(K1105="",0,D1105*INDEX(Products!$I$5:$I$204,K1105)))</f>
        <v/>
      </c>
      <c r="O1105" s="11">
        <f>IF(A1105="","",IF(K1105="",0,J1105*INDEX(Products!$H$5:$H$204,K1105)))</f>
        <v/>
      </c>
      <c r="P1105" s="11">
        <f>IF(A1105="","",J1105-M1105-N1105-O1105)</f>
        <v/>
      </c>
    </row>
    <row r="1106">
      <c r="A1106">
        <f>IFERROR(INDEX('Shopify Import'!$A:$CZ,1106,Settings!$E$20)&amp;"","")</f>
        <v/>
      </c>
      <c r="B1106">
        <f>IFERROR(INDEX('Shopify Import'!$A:$CZ,1106,Settings!$E$21)&amp;"","")</f>
        <v/>
      </c>
      <c r="C1106">
        <f>IFERROR(INDEX('Shopify Import'!$A:$CZ,1106,Settings!$E$22)&amp;"","")</f>
        <v/>
      </c>
      <c r="D1106">
        <f>IF(A1106="","",IFERROR(VALUE(SUBSTITUTE(SUBSTITUTE(INDEX('Shopify Import'!$A:$CZ,1106,Settings!$E$23)&amp;"","$",""),",","")),0))</f>
        <v/>
      </c>
      <c r="E1106" s="11">
        <f>IF(A1106="","",IFERROR(VALUE(SUBSTITUTE(SUBSTITUTE(INDEX('Shopify Import'!$A:$CZ,1106,Settings!$E$24)&amp;"","$",""),",","")),0))</f>
        <v/>
      </c>
      <c r="F1106" s="11">
        <f>IF(A1106="","",D1106*E1106)</f>
        <v/>
      </c>
      <c r="G1106">
        <f>IF(A1106="","",IF(C1106="",1,COUNTIF($C$2:$C$1501,C1106)))</f>
        <v/>
      </c>
      <c r="H1106" s="11">
        <f>IF(A1106="","",IFERROR(VALUE(SUBSTITUTE(SUBSTITUTE(INDEX('Shopify Import'!$A:$CZ,1106,Settings!$E$25)&amp;"","$",""),",","")),0)/IF(Settings!$D$27="Yes",G1106,1))</f>
        <v/>
      </c>
      <c r="I1106" s="11">
        <f>IF(A1106="","",IFERROR(VALUE(SUBSTITUTE(SUBSTITUTE(INDEX('Shopify Import'!$A:$CZ,1106,Settings!$E$26)&amp;"","$",""),",","")),0)/IF(Settings!$D$27="Yes",G1106,1))</f>
        <v/>
      </c>
      <c r="J1106" s="11">
        <f>IF(A1106="","",F1106+H1106-I1106)</f>
        <v/>
      </c>
      <c r="K1106">
        <f>IF(A1106="","",IFERROR(IF(B1106="",NA(),MATCH(B1106,Products!$B$5:$B$204,0)),IFERROR(MATCH(A1106,Products!$A$5:$A$204,0),"")))</f>
        <v/>
      </c>
      <c r="L1106">
        <f>IF(A1106="","",IF(K1106="","⚠ not in Products",INDEX(Products!$A$5:$A$204,K1106)))</f>
        <v/>
      </c>
      <c r="M1106" s="11">
        <f>IF(A1106="","",J1106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1106+IFERROR(INDEX(Settings!$D$5:$D$9,MATCH("Shopify",Settings!$A$5:$A$9,0)),0)*D1106)</f>
        <v/>
      </c>
      <c r="N1106" s="11">
        <f>IF(A1106="","",IF(K1106="",0,D1106*INDEX(Products!$I$5:$I$204,K1106)))</f>
        <v/>
      </c>
      <c r="O1106" s="11">
        <f>IF(A1106="","",IF(K1106="",0,J1106*INDEX(Products!$H$5:$H$204,K1106)))</f>
        <v/>
      </c>
      <c r="P1106" s="11">
        <f>IF(A1106="","",J1106-M1106-N1106-O1106)</f>
        <v/>
      </c>
    </row>
    <row r="1107">
      <c r="A1107">
        <f>IFERROR(INDEX('Shopify Import'!$A:$CZ,1107,Settings!$E$20)&amp;"","")</f>
        <v/>
      </c>
      <c r="B1107">
        <f>IFERROR(INDEX('Shopify Import'!$A:$CZ,1107,Settings!$E$21)&amp;"","")</f>
        <v/>
      </c>
      <c r="C1107">
        <f>IFERROR(INDEX('Shopify Import'!$A:$CZ,1107,Settings!$E$22)&amp;"","")</f>
        <v/>
      </c>
      <c r="D1107">
        <f>IF(A1107="","",IFERROR(VALUE(SUBSTITUTE(SUBSTITUTE(INDEX('Shopify Import'!$A:$CZ,1107,Settings!$E$23)&amp;"","$",""),",","")),0))</f>
        <v/>
      </c>
      <c r="E1107" s="11">
        <f>IF(A1107="","",IFERROR(VALUE(SUBSTITUTE(SUBSTITUTE(INDEX('Shopify Import'!$A:$CZ,1107,Settings!$E$24)&amp;"","$",""),",","")),0))</f>
        <v/>
      </c>
      <c r="F1107" s="11">
        <f>IF(A1107="","",D1107*E1107)</f>
        <v/>
      </c>
      <c r="G1107">
        <f>IF(A1107="","",IF(C1107="",1,COUNTIF($C$2:$C$1501,C1107)))</f>
        <v/>
      </c>
      <c r="H1107" s="11">
        <f>IF(A1107="","",IFERROR(VALUE(SUBSTITUTE(SUBSTITUTE(INDEX('Shopify Import'!$A:$CZ,1107,Settings!$E$25)&amp;"","$",""),",","")),0)/IF(Settings!$D$27="Yes",G1107,1))</f>
        <v/>
      </c>
      <c r="I1107" s="11">
        <f>IF(A1107="","",IFERROR(VALUE(SUBSTITUTE(SUBSTITUTE(INDEX('Shopify Import'!$A:$CZ,1107,Settings!$E$26)&amp;"","$",""),",","")),0)/IF(Settings!$D$27="Yes",G1107,1))</f>
        <v/>
      </c>
      <c r="J1107" s="11">
        <f>IF(A1107="","",F1107+H1107-I1107)</f>
        <v/>
      </c>
      <c r="K1107">
        <f>IF(A1107="","",IFERROR(IF(B1107="",NA(),MATCH(B1107,Products!$B$5:$B$204,0)),IFERROR(MATCH(A1107,Products!$A$5:$A$204,0),"")))</f>
        <v/>
      </c>
      <c r="L1107">
        <f>IF(A1107="","",IF(K1107="","⚠ not in Products",INDEX(Products!$A$5:$A$204,K1107)))</f>
        <v/>
      </c>
      <c r="M1107" s="11">
        <f>IF(A1107="","",J1107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1107+IFERROR(INDEX(Settings!$D$5:$D$9,MATCH("Shopify",Settings!$A$5:$A$9,0)),0)*D1107)</f>
        <v/>
      </c>
      <c r="N1107" s="11">
        <f>IF(A1107="","",IF(K1107="",0,D1107*INDEX(Products!$I$5:$I$204,K1107)))</f>
        <v/>
      </c>
      <c r="O1107" s="11">
        <f>IF(A1107="","",IF(K1107="",0,J1107*INDEX(Products!$H$5:$H$204,K1107)))</f>
        <v/>
      </c>
      <c r="P1107" s="11">
        <f>IF(A1107="","",J1107-M1107-N1107-O1107)</f>
        <v/>
      </c>
    </row>
    <row r="1108">
      <c r="A1108">
        <f>IFERROR(INDEX('Shopify Import'!$A:$CZ,1108,Settings!$E$20)&amp;"","")</f>
        <v/>
      </c>
      <c r="B1108">
        <f>IFERROR(INDEX('Shopify Import'!$A:$CZ,1108,Settings!$E$21)&amp;"","")</f>
        <v/>
      </c>
      <c r="C1108">
        <f>IFERROR(INDEX('Shopify Import'!$A:$CZ,1108,Settings!$E$22)&amp;"","")</f>
        <v/>
      </c>
      <c r="D1108">
        <f>IF(A1108="","",IFERROR(VALUE(SUBSTITUTE(SUBSTITUTE(INDEX('Shopify Import'!$A:$CZ,1108,Settings!$E$23)&amp;"","$",""),",","")),0))</f>
        <v/>
      </c>
      <c r="E1108" s="11">
        <f>IF(A1108="","",IFERROR(VALUE(SUBSTITUTE(SUBSTITUTE(INDEX('Shopify Import'!$A:$CZ,1108,Settings!$E$24)&amp;"","$",""),",","")),0))</f>
        <v/>
      </c>
      <c r="F1108" s="11">
        <f>IF(A1108="","",D1108*E1108)</f>
        <v/>
      </c>
      <c r="G1108">
        <f>IF(A1108="","",IF(C1108="",1,COUNTIF($C$2:$C$1501,C1108)))</f>
        <v/>
      </c>
      <c r="H1108" s="11">
        <f>IF(A1108="","",IFERROR(VALUE(SUBSTITUTE(SUBSTITUTE(INDEX('Shopify Import'!$A:$CZ,1108,Settings!$E$25)&amp;"","$",""),",","")),0)/IF(Settings!$D$27="Yes",G1108,1))</f>
        <v/>
      </c>
      <c r="I1108" s="11">
        <f>IF(A1108="","",IFERROR(VALUE(SUBSTITUTE(SUBSTITUTE(INDEX('Shopify Import'!$A:$CZ,1108,Settings!$E$26)&amp;"","$",""),",","")),0)/IF(Settings!$D$27="Yes",G1108,1))</f>
        <v/>
      </c>
      <c r="J1108" s="11">
        <f>IF(A1108="","",F1108+H1108-I1108)</f>
        <v/>
      </c>
      <c r="K1108">
        <f>IF(A1108="","",IFERROR(IF(B1108="",NA(),MATCH(B1108,Products!$B$5:$B$204,0)),IFERROR(MATCH(A1108,Products!$A$5:$A$204,0),"")))</f>
        <v/>
      </c>
      <c r="L1108">
        <f>IF(A1108="","",IF(K1108="","⚠ not in Products",INDEX(Products!$A$5:$A$204,K1108)))</f>
        <v/>
      </c>
      <c r="M1108" s="11">
        <f>IF(A1108="","",J1108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1108+IFERROR(INDEX(Settings!$D$5:$D$9,MATCH("Shopify",Settings!$A$5:$A$9,0)),0)*D1108)</f>
        <v/>
      </c>
      <c r="N1108" s="11">
        <f>IF(A1108="","",IF(K1108="",0,D1108*INDEX(Products!$I$5:$I$204,K1108)))</f>
        <v/>
      </c>
      <c r="O1108" s="11">
        <f>IF(A1108="","",IF(K1108="",0,J1108*INDEX(Products!$H$5:$H$204,K1108)))</f>
        <v/>
      </c>
      <c r="P1108" s="11">
        <f>IF(A1108="","",J1108-M1108-N1108-O1108)</f>
        <v/>
      </c>
    </row>
    <row r="1109">
      <c r="A1109">
        <f>IFERROR(INDEX('Shopify Import'!$A:$CZ,1109,Settings!$E$20)&amp;"","")</f>
        <v/>
      </c>
      <c r="B1109">
        <f>IFERROR(INDEX('Shopify Import'!$A:$CZ,1109,Settings!$E$21)&amp;"","")</f>
        <v/>
      </c>
      <c r="C1109">
        <f>IFERROR(INDEX('Shopify Import'!$A:$CZ,1109,Settings!$E$22)&amp;"","")</f>
        <v/>
      </c>
      <c r="D1109">
        <f>IF(A1109="","",IFERROR(VALUE(SUBSTITUTE(SUBSTITUTE(INDEX('Shopify Import'!$A:$CZ,1109,Settings!$E$23)&amp;"","$",""),",","")),0))</f>
        <v/>
      </c>
      <c r="E1109" s="11">
        <f>IF(A1109="","",IFERROR(VALUE(SUBSTITUTE(SUBSTITUTE(INDEX('Shopify Import'!$A:$CZ,1109,Settings!$E$24)&amp;"","$",""),",","")),0))</f>
        <v/>
      </c>
      <c r="F1109" s="11">
        <f>IF(A1109="","",D1109*E1109)</f>
        <v/>
      </c>
      <c r="G1109">
        <f>IF(A1109="","",IF(C1109="",1,COUNTIF($C$2:$C$1501,C1109)))</f>
        <v/>
      </c>
      <c r="H1109" s="11">
        <f>IF(A1109="","",IFERROR(VALUE(SUBSTITUTE(SUBSTITUTE(INDEX('Shopify Import'!$A:$CZ,1109,Settings!$E$25)&amp;"","$",""),",","")),0)/IF(Settings!$D$27="Yes",G1109,1))</f>
        <v/>
      </c>
      <c r="I1109" s="11">
        <f>IF(A1109="","",IFERROR(VALUE(SUBSTITUTE(SUBSTITUTE(INDEX('Shopify Import'!$A:$CZ,1109,Settings!$E$26)&amp;"","$",""),",","")),0)/IF(Settings!$D$27="Yes",G1109,1))</f>
        <v/>
      </c>
      <c r="J1109" s="11">
        <f>IF(A1109="","",F1109+H1109-I1109)</f>
        <v/>
      </c>
      <c r="K1109">
        <f>IF(A1109="","",IFERROR(IF(B1109="",NA(),MATCH(B1109,Products!$B$5:$B$204,0)),IFERROR(MATCH(A1109,Products!$A$5:$A$204,0),"")))</f>
        <v/>
      </c>
      <c r="L1109">
        <f>IF(A1109="","",IF(K1109="","⚠ not in Products",INDEX(Products!$A$5:$A$204,K1109)))</f>
        <v/>
      </c>
      <c r="M1109" s="11">
        <f>IF(A1109="","",J1109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1109+IFERROR(INDEX(Settings!$D$5:$D$9,MATCH("Shopify",Settings!$A$5:$A$9,0)),0)*D1109)</f>
        <v/>
      </c>
      <c r="N1109" s="11">
        <f>IF(A1109="","",IF(K1109="",0,D1109*INDEX(Products!$I$5:$I$204,K1109)))</f>
        <v/>
      </c>
      <c r="O1109" s="11">
        <f>IF(A1109="","",IF(K1109="",0,J1109*INDEX(Products!$H$5:$H$204,K1109)))</f>
        <v/>
      </c>
      <c r="P1109" s="11">
        <f>IF(A1109="","",J1109-M1109-N1109-O1109)</f>
        <v/>
      </c>
    </row>
    <row r="1110">
      <c r="A1110">
        <f>IFERROR(INDEX('Shopify Import'!$A:$CZ,1110,Settings!$E$20)&amp;"","")</f>
        <v/>
      </c>
      <c r="B1110">
        <f>IFERROR(INDEX('Shopify Import'!$A:$CZ,1110,Settings!$E$21)&amp;"","")</f>
        <v/>
      </c>
      <c r="C1110">
        <f>IFERROR(INDEX('Shopify Import'!$A:$CZ,1110,Settings!$E$22)&amp;"","")</f>
        <v/>
      </c>
      <c r="D1110">
        <f>IF(A1110="","",IFERROR(VALUE(SUBSTITUTE(SUBSTITUTE(INDEX('Shopify Import'!$A:$CZ,1110,Settings!$E$23)&amp;"","$",""),",","")),0))</f>
        <v/>
      </c>
      <c r="E1110" s="11">
        <f>IF(A1110="","",IFERROR(VALUE(SUBSTITUTE(SUBSTITUTE(INDEX('Shopify Import'!$A:$CZ,1110,Settings!$E$24)&amp;"","$",""),",","")),0))</f>
        <v/>
      </c>
      <c r="F1110" s="11">
        <f>IF(A1110="","",D1110*E1110)</f>
        <v/>
      </c>
      <c r="G1110">
        <f>IF(A1110="","",IF(C1110="",1,COUNTIF($C$2:$C$1501,C1110)))</f>
        <v/>
      </c>
      <c r="H1110" s="11">
        <f>IF(A1110="","",IFERROR(VALUE(SUBSTITUTE(SUBSTITUTE(INDEX('Shopify Import'!$A:$CZ,1110,Settings!$E$25)&amp;"","$",""),",","")),0)/IF(Settings!$D$27="Yes",G1110,1))</f>
        <v/>
      </c>
      <c r="I1110" s="11">
        <f>IF(A1110="","",IFERROR(VALUE(SUBSTITUTE(SUBSTITUTE(INDEX('Shopify Import'!$A:$CZ,1110,Settings!$E$26)&amp;"","$",""),",","")),0)/IF(Settings!$D$27="Yes",G1110,1))</f>
        <v/>
      </c>
      <c r="J1110" s="11">
        <f>IF(A1110="","",F1110+H1110-I1110)</f>
        <v/>
      </c>
      <c r="K1110">
        <f>IF(A1110="","",IFERROR(IF(B1110="",NA(),MATCH(B1110,Products!$B$5:$B$204,0)),IFERROR(MATCH(A1110,Products!$A$5:$A$204,0),"")))</f>
        <v/>
      </c>
      <c r="L1110">
        <f>IF(A1110="","",IF(K1110="","⚠ not in Products",INDEX(Products!$A$5:$A$204,K1110)))</f>
        <v/>
      </c>
      <c r="M1110" s="11">
        <f>IF(A1110="","",J1110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1110+IFERROR(INDEX(Settings!$D$5:$D$9,MATCH("Shopify",Settings!$A$5:$A$9,0)),0)*D1110)</f>
        <v/>
      </c>
      <c r="N1110" s="11">
        <f>IF(A1110="","",IF(K1110="",0,D1110*INDEX(Products!$I$5:$I$204,K1110)))</f>
        <v/>
      </c>
      <c r="O1110" s="11">
        <f>IF(A1110="","",IF(K1110="",0,J1110*INDEX(Products!$H$5:$H$204,K1110)))</f>
        <v/>
      </c>
      <c r="P1110" s="11">
        <f>IF(A1110="","",J1110-M1110-N1110-O1110)</f>
        <v/>
      </c>
    </row>
    <row r="1111">
      <c r="A1111">
        <f>IFERROR(INDEX('Shopify Import'!$A:$CZ,1111,Settings!$E$20)&amp;"","")</f>
        <v/>
      </c>
      <c r="B1111">
        <f>IFERROR(INDEX('Shopify Import'!$A:$CZ,1111,Settings!$E$21)&amp;"","")</f>
        <v/>
      </c>
      <c r="C1111">
        <f>IFERROR(INDEX('Shopify Import'!$A:$CZ,1111,Settings!$E$22)&amp;"","")</f>
        <v/>
      </c>
      <c r="D1111">
        <f>IF(A1111="","",IFERROR(VALUE(SUBSTITUTE(SUBSTITUTE(INDEX('Shopify Import'!$A:$CZ,1111,Settings!$E$23)&amp;"","$",""),",","")),0))</f>
        <v/>
      </c>
      <c r="E1111" s="11">
        <f>IF(A1111="","",IFERROR(VALUE(SUBSTITUTE(SUBSTITUTE(INDEX('Shopify Import'!$A:$CZ,1111,Settings!$E$24)&amp;"","$",""),",","")),0))</f>
        <v/>
      </c>
      <c r="F1111" s="11">
        <f>IF(A1111="","",D1111*E1111)</f>
        <v/>
      </c>
      <c r="G1111">
        <f>IF(A1111="","",IF(C1111="",1,COUNTIF($C$2:$C$1501,C1111)))</f>
        <v/>
      </c>
      <c r="H1111" s="11">
        <f>IF(A1111="","",IFERROR(VALUE(SUBSTITUTE(SUBSTITUTE(INDEX('Shopify Import'!$A:$CZ,1111,Settings!$E$25)&amp;"","$",""),",","")),0)/IF(Settings!$D$27="Yes",G1111,1))</f>
        <v/>
      </c>
      <c r="I1111" s="11">
        <f>IF(A1111="","",IFERROR(VALUE(SUBSTITUTE(SUBSTITUTE(INDEX('Shopify Import'!$A:$CZ,1111,Settings!$E$26)&amp;"","$",""),",","")),0)/IF(Settings!$D$27="Yes",G1111,1))</f>
        <v/>
      </c>
      <c r="J1111" s="11">
        <f>IF(A1111="","",F1111+H1111-I1111)</f>
        <v/>
      </c>
      <c r="K1111">
        <f>IF(A1111="","",IFERROR(IF(B1111="",NA(),MATCH(B1111,Products!$B$5:$B$204,0)),IFERROR(MATCH(A1111,Products!$A$5:$A$204,0),"")))</f>
        <v/>
      </c>
      <c r="L1111">
        <f>IF(A1111="","",IF(K1111="","⚠ not in Products",INDEX(Products!$A$5:$A$204,K1111)))</f>
        <v/>
      </c>
      <c r="M1111" s="11">
        <f>IF(A1111="","",J1111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1111+IFERROR(INDEX(Settings!$D$5:$D$9,MATCH("Shopify",Settings!$A$5:$A$9,0)),0)*D1111)</f>
        <v/>
      </c>
      <c r="N1111" s="11">
        <f>IF(A1111="","",IF(K1111="",0,D1111*INDEX(Products!$I$5:$I$204,K1111)))</f>
        <v/>
      </c>
      <c r="O1111" s="11">
        <f>IF(A1111="","",IF(K1111="",0,J1111*INDEX(Products!$H$5:$H$204,K1111)))</f>
        <v/>
      </c>
      <c r="P1111" s="11">
        <f>IF(A1111="","",J1111-M1111-N1111-O1111)</f>
        <v/>
      </c>
    </row>
    <row r="1112">
      <c r="A1112">
        <f>IFERROR(INDEX('Shopify Import'!$A:$CZ,1112,Settings!$E$20)&amp;"","")</f>
        <v/>
      </c>
      <c r="B1112">
        <f>IFERROR(INDEX('Shopify Import'!$A:$CZ,1112,Settings!$E$21)&amp;"","")</f>
        <v/>
      </c>
      <c r="C1112">
        <f>IFERROR(INDEX('Shopify Import'!$A:$CZ,1112,Settings!$E$22)&amp;"","")</f>
        <v/>
      </c>
      <c r="D1112">
        <f>IF(A1112="","",IFERROR(VALUE(SUBSTITUTE(SUBSTITUTE(INDEX('Shopify Import'!$A:$CZ,1112,Settings!$E$23)&amp;"","$",""),",","")),0))</f>
        <v/>
      </c>
      <c r="E1112" s="11">
        <f>IF(A1112="","",IFERROR(VALUE(SUBSTITUTE(SUBSTITUTE(INDEX('Shopify Import'!$A:$CZ,1112,Settings!$E$24)&amp;"","$",""),",","")),0))</f>
        <v/>
      </c>
      <c r="F1112" s="11">
        <f>IF(A1112="","",D1112*E1112)</f>
        <v/>
      </c>
      <c r="G1112">
        <f>IF(A1112="","",IF(C1112="",1,COUNTIF($C$2:$C$1501,C1112)))</f>
        <v/>
      </c>
      <c r="H1112" s="11">
        <f>IF(A1112="","",IFERROR(VALUE(SUBSTITUTE(SUBSTITUTE(INDEX('Shopify Import'!$A:$CZ,1112,Settings!$E$25)&amp;"","$",""),",","")),0)/IF(Settings!$D$27="Yes",G1112,1))</f>
        <v/>
      </c>
      <c r="I1112" s="11">
        <f>IF(A1112="","",IFERROR(VALUE(SUBSTITUTE(SUBSTITUTE(INDEX('Shopify Import'!$A:$CZ,1112,Settings!$E$26)&amp;"","$",""),",","")),0)/IF(Settings!$D$27="Yes",G1112,1))</f>
        <v/>
      </c>
      <c r="J1112" s="11">
        <f>IF(A1112="","",F1112+H1112-I1112)</f>
        <v/>
      </c>
      <c r="K1112">
        <f>IF(A1112="","",IFERROR(IF(B1112="",NA(),MATCH(B1112,Products!$B$5:$B$204,0)),IFERROR(MATCH(A1112,Products!$A$5:$A$204,0),"")))</f>
        <v/>
      </c>
      <c r="L1112">
        <f>IF(A1112="","",IF(K1112="","⚠ not in Products",INDEX(Products!$A$5:$A$204,K1112)))</f>
        <v/>
      </c>
      <c r="M1112" s="11">
        <f>IF(A1112="","",J1112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1112+IFERROR(INDEX(Settings!$D$5:$D$9,MATCH("Shopify",Settings!$A$5:$A$9,0)),0)*D1112)</f>
        <v/>
      </c>
      <c r="N1112" s="11">
        <f>IF(A1112="","",IF(K1112="",0,D1112*INDEX(Products!$I$5:$I$204,K1112)))</f>
        <v/>
      </c>
      <c r="O1112" s="11">
        <f>IF(A1112="","",IF(K1112="",0,J1112*INDEX(Products!$H$5:$H$204,K1112)))</f>
        <v/>
      </c>
      <c r="P1112" s="11">
        <f>IF(A1112="","",J1112-M1112-N1112-O1112)</f>
        <v/>
      </c>
    </row>
    <row r="1113">
      <c r="A1113">
        <f>IFERROR(INDEX('Shopify Import'!$A:$CZ,1113,Settings!$E$20)&amp;"","")</f>
        <v/>
      </c>
      <c r="B1113">
        <f>IFERROR(INDEX('Shopify Import'!$A:$CZ,1113,Settings!$E$21)&amp;"","")</f>
        <v/>
      </c>
      <c r="C1113">
        <f>IFERROR(INDEX('Shopify Import'!$A:$CZ,1113,Settings!$E$22)&amp;"","")</f>
        <v/>
      </c>
      <c r="D1113">
        <f>IF(A1113="","",IFERROR(VALUE(SUBSTITUTE(SUBSTITUTE(INDEX('Shopify Import'!$A:$CZ,1113,Settings!$E$23)&amp;"","$",""),",","")),0))</f>
        <v/>
      </c>
      <c r="E1113" s="11">
        <f>IF(A1113="","",IFERROR(VALUE(SUBSTITUTE(SUBSTITUTE(INDEX('Shopify Import'!$A:$CZ,1113,Settings!$E$24)&amp;"","$",""),",","")),0))</f>
        <v/>
      </c>
      <c r="F1113" s="11">
        <f>IF(A1113="","",D1113*E1113)</f>
        <v/>
      </c>
      <c r="G1113">
        <f>IF(A1113="","",IF(C1113="",1,COUNTIF($C$2:$C$1501,C1113)))</f>
        <v/>
      </c>
      <c r="H1113" s="11">
        <f>IF(A1113="","",IFERROR(VALUE(SUBSTITUTE(SUBSTITUTE(INDEX('Shopify Import'!$A:$CZ,1113,Settings!$E$25)&amp;"","$",""),",","")),0)/IF(Settings!$D$27="Yes",G1113,1))</f>
        <v/>
      </c>
      <c r="I1113" s="11">
        <f>IF(A1113="","",IFERROR(VALUE(SUBSTITUTE(SUBSTITUTE(INDEX('Shopify Import'!$A:$CZ,1113,Settings!$E$26)&amp;"","$",""),",","")),0)/IF(Settings!$D$27="Yes",G1113,1))</f>
        <v/>
      </c>
      <c r="J1113" s="11">
        <f>IF(A1113="","",F1113+H1113-I1113)</f>
        <v/>
      </c>
      <c r="K1113">
        <f>IF(A1113="","",IFERROR(IF(B1113="",NA(),MATCH(B1113,Products!$B$5:$B$204,0)),IFERROR(MATCH(A1113,Products!$A$5:$A$204,0),"")))</f>
        <v/>
      </c>
      <c r="L1113">
        <f>IF(A1113="","",IF(K1113="","⚠ not in Products",INDEX(Products!$A$5:$A$204,K1113)))</f>
        <v/>
      </c>
      <c r="M1113" s="11">
        <f>IF(A1113="","",J1113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1113+IFERROR(INDEX(Settings!$D$5:$D$9,MATCH("Shopify",Settings!$A$5:$A$9,0)),0)*D1113)</f>
        <v/>
      </c>
      <c r="N1113" s="11">
        <f>IF(A1113="","",IF(K1113="",0,D1113*INDEX(Products!$I$5:$I$204,K1113)))</f>
        <v/>
      </c>
      <c r="O1113" s="11">
        <f>IF(A1113="","",IF(K1113="",0,J1113*INDEX(Products!$H$5:$H$204,K1113)))</f>
        <v/>
      </c>
      <c r="P1113" s="11">
        <f>IF(A1113="","",J1113-M1113-N1113-O1113)</f>
        <v/>
      </c>
    </row>
    <row r="1114">
      <c r="A1114">
        <f>IFERROR(INDEX('Shopify Import'!$A:$CZ,1114,Settings!$E$20)&amp;"","")</f>
        <v/>
      </c>
      <c r="B1114">
        <f>IFERROR(INDEX('Shopify Import'!$A:$CZ,1114,Settings!$E$21)&amp;"","")</f>
        <v/>
      </c>
      <c r="C1114">
        <f>IFERROR(INDEX('Shopify Import'!$A:$CZ,1114,Settings!$E$22)&amp;"","")</f>
        <v/>
      </c>
      <c r="D1114">
        <f>IF(A1114="","",IFERROR(VALUE(SUBSTITUTE(SUBSTITUTE(INDEX('Shopify Import'!$A:$CZ,1114,Settings!$E$23)&amp;"","$",""),",","")),0))</f>
        <v/>
      </c>
      <c r="E1114" s="11">
        <f>IF(A1114="","",IFERROR(VALUE(SUBSTITUTE(SUBSTITUTE(INDEX('Shopify Import'!$A:$CZ,1114,Settings!$E$24)&amp;"","$",""),",","")),0))</f>
        <v/>
      </c>
      <c r="F1114" s="11">
        <f>IF(A1114="","",D1114*E1114)</f>
        <v/>
      </c>
      <c r="G1114">
        <f>IF(A1114="","",IF(C1114="",1,COUNTIF($C$2:$C$1501,C1114)))</f>
        <v/>
      </c>
      <c r="H1114" s="11">
        <f>IF(A1114="","",IFERROR(VALUE(SUBSTITUTE(SUBSTITUTE(INDEX('Shopify Import'!$A:$CZ,1114,Settings!$E$25)&amp;"","$",""),",","")),0)/IF(Settings!$D$27="Yes",G1114,1))</f>
        <v/>
      </c>
      <c r="I1114" s="11">
        <f>IF(A1114="","",IFERROR(VALUE(SUBSTITUTE(SUBSTITUTE(INDEX('Shopify Import'!$A:$CZ,1114,Settings!$E$26)&amp;"","$",""),",","")),0)/IF(Settings!$D$27="Yes",G1114,1))</f>
        <v/>
      </c>
      <c r="J1114" s="11">
        <f>IF(A1114="","",F1114+H1114-I1114)</f>
        <v/>
      </c>
      <c r="K1114">
        <f>IF(A1114="","",IFERROR(IF(B1114="",NA(),MATCH(B1114,Products!$B$5:$B$204,0)),IFERROR(MATCH(A1114,Products!$A$5:$A$204,0),"")))</f>
        <v/>
      </c>
      <c r="L1114">
        <f>IF(A1114="","",IF(K1114="","⚠ not in Products",INDEX(Products!$A$5:$A$204,K1114)))</f>
        <v/>
      </c>
      <c r="M1114" s="11">
        <f>IF(A1114="","",J1114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1114+IFERROR(INDEX(Settings!$D$5:$D$9,MATCH("Shopify",Settings!$A$5:$A$9,0)),0)*D1114)</f>
        <v/>
      </c>
      <c r="N1114" s="11">
        <f>IF(A1114="","",IF(K1114="",0,D1114*INDEX(Products!$I$5:$I$204,K1114)))</f>
        <v/>
      </c>
      <c r="O1114" s="11">
        <f>IF(A1114="","",IF(K1114="",0,J1114*INDEX(Products!$H$5:$H$204,K1114)))</f>
        <v/>
      </c>
      <c r="P1114" s="11">
        <f>IF(A1114="","",J1114-M1114-N1114-O1114)</f>
        <v/>
      </c>
    </row>
    <row r="1115">
      <c r="A1115">
        <f>IFERROR(INDEX('Shopify Import'!$A:$CZ,1115,Settings!$E$20)&amp;"","")</f>
        <v/>
      </c>
      <c r="B1115">
        <f>IFERROR(INDEX('Shopify Import'!$A:$CZ,1115,Settings!$E$21)&amp;"","")</f>
        <v/>
      </c>
      <c r="C1115">
        <f>IFERROR(INDEX('Shopify Import'!$A:$CZ,1115,Settings!$E$22)&amp;"","")</f>
        <v/>
      </c>
      <c r="D1115">
        <f>IF(A1115="","",IFERROR(VALUE(SUBSTITUTE(SUBSTITUTE(INDEX('Shopify Import'!$A:$CZ,1115,Settings!$E$23)&amp;"","$",""),",","")),0))</f>
        <v/>
      </c>
      <c r="E1115" s="11">
        <f>IF(A1115="","",IFERROR(VALUE(SUBSTITUTE(SUBSTITUTE(INDEX('Shopify Import'!$A:$CZ,1115,Settings!$E$24)&amp;"","$",""),",","")),0))</f>
        <v/>
      </c>
      <c r="F1115" s="11">
        <f>IF(A1115="","",D1115*E1115)</f>
        <v/>
      </c>
      <c r="G1115">
        <f>IF(A1115="","",IF(C1115="",1,COUNTIF($C$2:$C$1501,C1115)))</f>
        <v/>
      </c>
      <c r="H1115" s="11">
        <f>IF(A1115="","",IFERROR(VALUE(SUBSTITUTE(SUBSTITUTE(INDEX('Shopify Import'!$A:$CZ,1115,Settings!$E$25)&amp;"","$",""),",","")),0)/IF(Settings!$D$27="Yes",G1115,1))</f>
        <v/>
      </c>
      <c r="I1115" s="11">
        <f>IF(A1115="","",IFERROR(VALUE(SUBSTITUTE(SUBSTITUTE(INDEX('Shopify Import'!$A:$CZ,1115,Settings!$E$26)&amp;"","$",""),",","")),0)/IF(Settings!$D$27="Yes",G1115,1))</f>
        <v/>
      </c>
      <c r="J1115" s="11">
        <f>IF(A1115="","",F1115+H1115-I1115)</f>
        <v/>
      </c>
      <c r="K1115">
        <f>IF(A1115="","",IFERROR(IF(B1115="",NA(),MATCH(B1115,Products!$B$5:$B$204,0)),IFERROR(MATCH(A1115,Products!$A$5:$A$204,0),"")))</f>
        <v/>
      </c>
      <c r="L1115">
        <f>IF(A1115="","",IF(K1115="","⚠ not in Products",INDEX(Products!$A$5:$A$204,K1115)))</f>
        <v/>
      </c>
      <c r="M1115" s="11">
        <f>IF(A1115="","",J1115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1115+IFERROR(INDEX(Settings!$D$5:$D$9,MATCH("Shopify",Settings!$A$5:$A$9,0)),0)*D1115)</f>
        <v/>
      </c>
      <c r="N1115" s="11">
        <f>IF(A1115="","",IF(K1115="",0,D1115*INDEX(Products!$I$5:$I$204,K1115)))</f>
        <v/>
      </c>
      <c r="O1115" s="11">
        <f>IF(A1115="","",IF(K1115="",0,J1115*INDEX(Products!$H$5:$H$204,K1115)))</f>
        <v/>
      </c>
      <c r="P1115" s="11">
        <f>IF(A1115="","",J1115-M1115-N1115-O1115)</f>
        <v/>
      </c>
    </row>
    <row r="1116">
      <c r="A1116">
        <f>IFERROR(INDEX('Shopify Import'!$A:$CZ,1116,Settings!$E$20)&amp;"","")</f>
        <v/>
      </c>
      <c r="B1116">
        <f>IFERROR(INDEX('Shopify Import'!$A:$CZ,1116,Settings!$E$21)&amp;"","")</f>
        <v/>
      </c>
      <c r="C1116">
        <f>IFERROR(INDEX('Shopify Import'!$A:$CZ,1116,Settings!$E$22)&amp;"","")</f>
        <v/>
      </c>
      <c r="D1116">
        <f>IF(A1116="","",IFERROR(VALUE(SUBSTITUTE(SUBSTITUTE(INDEX('Shopify Import'!$A:$CZ,1116,Settings!$E$23)&amp;"","$",""),",","")),0))</f>
        <v/>
      </c>
      <c r="E1116" s="11">
        <f>IF(A1116="","",IFERROR(VALUE(SUBSTITUTE(SUBSTITUTE(INDEX('Shopify Import'!$A:$CZ,1116,Settings!$E$24)&amp;"","$",""),",","")),0))</f>
        <v/>
      </c>
      <c r="F1116" s="11">
        <f>IF(A1116="","",D1116*E1116)</f>
        <v/>
      </c>
      <c r="G1116">
        <f>IF(A1116="","",IF(C1116="",1,COUNTIF($C$2:$C$1501,C1116)))</f>
        <v/>
      </c>
      <c r="H1116" s="11">
        <f>IF(A1116="","",IFERROR(VALUE(SUBSTITUTE(SUBSTITUTE(INDEX('Shopify Import'!$A:$CZ,1116,Settings!$E$25)&amp;"","$",""),",","")),0)/IF(Settings!$D$27="Yes",G1116,1))</f>
        <v/>
      </c>
      <c r="I1116" s="11">
        <f>IF(A1116="","",IFERROR(VALUE(SUBSTITUTE(SUBSTITUTE(INDEX('Shopify Import'!$A:$CZ,1116,Settings!$E$26)&amp;"","$",""),",","")),0)/IF(Settings!$D$27="Yes",G1116,1))</f>
        <v/>
      </c>
      <c r="J1116" s="11">
        <f>IF(A1116="","",F1116+H1116-I1116)</f>
        <v/>
      </c>
      <c r="K1116">
        <f>IF(A1116="","",IFERROR(IF(B1116="",NA(),MATCH(B1116,Products!$B$5:$B$204,0)),IFERROR(MATCH(A1116,Products!$A$5:$A$204,0),"")))</f>
        <v/>
      </c>
      <c r="L1116">
        <f>IF(A1116="","",IF(K1116="","⚠ not in Products",INDEX(Products!$A$5:$A$204,K1116)))</f>
        <v/>
      </c>
      <c r="M1116" s="11">
        <f>IF(A1116="","",J1116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1116+IFERROR(INDEX(Settings!$D$5:$D$9,MATCH("Shopify",Settings!$A$5:$A$9,0)),0)*D1116)</f>
        <v/>
      </c>
      <c r="N1116" s="11">
        <f>IF(A1116="","",IF(K1116="",0,D1116*INDEX(Products!$I$5:$I$204,K1116)))</f>
        <v/>
      </c>
      <c r="O1116" s="11">
        <f>IF(A1116="","",IF(K1116="",0,J1116*INDEX(Products!$H$5:$H$204,K1116)))</f>
        <v/>
      </c>
      <c r="P1116" s="11">
        <f>IF(A1116="","",J1116-M1116-N1116-O1116)</f>
        <v/>
      </c>
    </row>
    <row r="1117">
      <c r="A1117">
        <f>IFERROR(INDEX('Shopify Import'!$A:$CZ,1117,Settings!$E$20)&amp;"","")</f>
        <v/>
      </c>
      <c r="B1117">
        <f>IFERROR(INDEX('Shopify Import'!$A:$CZ,1117,Settings!$E$21)&amp;"","")</f>
        <v/>
      </c>
      <c r="C1117">
        <f>IFERROR(INDEX('Shopify Import'!$A:$CZ,1117,Settings!$E$22)&amp;"","")</f>
        <v/>
      </c>
      <c r="D1117">
        <f>IF(A1117="","",IFERROR(VALUE(SUBSTITUTE(SUBSTITUTE(INDEX('Shopify Import'!$A:$CZ,1117,Settings!$E$23)&amp;"","$",""),",","")),0))</f>
        <v/>
      </c>
      <c r="E1117" s="11">
        <f>IF(A1117="","",IFERROR(VALUE(SUBSTITUTE(SUBSTITUTE(INDEX('Shopify Import'!$A:$CZ,1117,Settings!$E$24)&amp;"","$",""),",","")),0))</f>
        <v/>
      </c>
      <c r="F1117" s="11">
        <f>IF(A1117="","",D1117*E1117)</f>
        <v/>
      </c>
      <c r="G1117">
        <f>IF(A1117="","",IF(C1117="",1,COUNTIF($C$2:$C$1501,C1117)))</f>
        <v/>
      </c>
      <c r="H1117" s="11">
        <f>IF(A1117="","",IFERROR(VALUE(SUBSTITUTE(SUBSTITUTE(INDEX('Shopify Import'!$A:$CZ,1117,Settings!$E$25)&amp;"","$",""),",","")),0)/IF(Settings!$D$27="Yes",G1117,1))</f>
        <v/>
      </c>
      <c r="I1117" s="11">
        <f>IF(A1117="","",IFERROR(VALUE(SUBSTITUTE(SUBSTITUTE(INDEX('Shopify Import'!$A:$CZ,1117,Settings!$E$26)&amp;"","$",""),",","")),0)/IF(Settings!$D$27="Yes",G1117,1))</f>
        <v/>
      </c>
      <c r="J1117" s="11">
        <f>IF(A1117="","",F1117+H1117-I1117)</f>
        <v/>
      </c>
      <c r="K1117">
        <f>IF(A1117="","",IFERROR(IF(B1117="",NA(),MATCH(B1117,Products!$B$5:$B$204,0)),IFERROR(MATCH(A1117,Products!$A$5:$A$204,0),"")))</f>
        <v/>
      </c>
      <c r="L1117">
        <f>IF(A1117="","",IF(K1117="","⚠ not in Products",INDEX(Products!$A$5:$A$204,K1117)))</f>
        <v/>
      </c>
      <c r="M1117" s="11">
        <f>IF(A1117="","",J1117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1117+IFERROR(INDEX(Settings!$D$5:$D$9,MATCH("Shopify",Settings!$A$5:$A$9,0)),0)*D1117)</f>
        <v/>
      </c>
      <c r="N1117" s="11">
        <f>IF(A1117="","",IF(K1117="",0,D1117*INDEX(Products!$I$5:$I$204,K1117)))</f>
        <v/>
      </c>
      <c r="O1117" s="11">
        <f>IF(A1117="","",IF(K1117="",0,J1117*INDEX(Products!$H$5:$H$204,K1117)))</f>
        <v/>
      </c>
      <c r="P1117" s="11">
        <f>IF(A1117="","",J1117-M1117-N1117-O1117)</f>
        <v/>
      </c>
    </row>
    <row r="1118">
      <c r="A1118">
        <f>IFERROR(INDEX('Shopify Import'!$A:$CZ,1118,Settings!$E$20)&amp;"","")</f>
        <v/>
      </c>
      <c r="B1118">
        <f>IFERROR(INDEX('Shopify Import'!$A:$CZ,1118,Settings!$E$21)&amp;"","")</f>
        <v/>
      </c>
      <c r="C1118">
        <f>IFERROR(INDEX('Shopify Import'!$A:$CZ,1118,Settings!$E$22)&amp;"","")</f>
        <v/>
      </c>
      <c r="D1118">
        <f>IF(A1118="","",IFERROR(VALUE(SUBSTITUTE(SUBSTITUTE(INDEX('Shopify Import'!$A:$CZ,1118,Settings!$E$23)&amp;"","$",""),",","")),0))</f>
        <v/>
      </c>
      <c r="E1118" s="11">
        <f>IF(A1118="","",IFERROR(VALUE(SUBSTITUTE(SUBSTITUTE(INDEX('Shopify Import'!$A:$CZ,1118,Settings!$E$24)&amp;"","$",""),",","")),0))</f>
        <v/>
      </c>
      <c r="F1118" s="11">
        <f>IF(A1118="","",D1118*E1118)</f>
        <v/>
      </c>
      <c r="G1118">
        <f>IF(A1118="","",IF(C1118="",1,COUNTIF($C$2:$C$1501,C1118)))</f>
        <v/>
      </c>
      <c r="H1118" s="11">
        <f>IF(A1118="","",IFERROR(VALUE(SUBSTITUTE(SUBSTITUTE(INDEX('Shopify Import'!$A:$CZ,1118,Settings!$E$25)&amp;"","$",""),",","")),0)/IF(Settings!$D$27="Yes",G1118,1))</f>
        <v/>
      </c>
      <c r="I1118" s="11">
        <f>IF(A1118="","",IFERROR(VALUE(SUBSTITUTE(SUBSTITUTE(INDEX('Shopify Import'!$A:$CZ,1118,Settings!$E$26)&amp;"","$",""),",","")),0)/IF(Settings!$D$27="Yes",G1118,1))</f>
        <v/>
      </c>
      <c r="J1118" s="11">
        <f>IF(A1118="","",F1118+H1118-I1118)</f>
        <v/>
      </c>
      <c r="K1118">
        <f>IF(A1118="","",IFERROR(IF(B1118="",NA(),MATCH(B1118,Products!$B$5:$B$204,0)),IFERROR(MATCH(A1118,Products!$A$5:$A$204,0),"")))</f>
        <v/>
      </c>
      <c r="L1118">
        <f>IF(A1118="","",IF(K1118="","⚠ not in Products",INDEX(Products!$A$5:$A$204,K1118)))</f>
        <v/>
      </c>
      <c r="M1118" s="11">
        <f>IF(A1118="","",J1118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1118+IFERROR(INDEX(Settings!$D$5:$D$9,MATCH("Shopify",Settings!$A$5:$A$9,0)),0)*D1118)</f>
        <v/>
      </c>
      <c r="N1118" s="11">
        <f>IF(A1118="","",IF(K1118="",0,D1118*INDEX(Products!$I$5:$I$204,K1118)))</f>
        <v/>
      </c>
      <c r="O1118" s="11">
        <f>IF(A1118="","",IF(K1118="",0,J1118*INDEX(Products!$H$5:$H$204,K1118)))</f>
        <v/>
      </c>
      <c r="P1118" s="11">
        <f>IF(A1118="","",J1118-M1118-N1118-O1118)</f>
        <v/>
      </c>
    </row>
    <row r="1119">
      <c r="A1119">
        <f>IFERROR(INDEX('Shopify Import'!$A:$CZ,1119,Settings!$E$20)&amp;"","")</f>
        <v/>
      </c>
      <c r="B1119">
        <f>IFERROR(INDEX('Shopify Import'!$A:$CZ,1119,Settings!$E$21)&amp;"","")</f>
        <v/>
      </c>
      <c r="C1119">
        <f>IFERROR(INDEX('Shopify Import'!$A:$CZ,1119,Settings!$E$22)&amp;"","")</f>
        <v/>
      </c>
      <c r="D1119">
        <f>IF(A1119="","",IFERROR(VALUE(SUBSTITUTE(SUBSTITUTE(INDEX('Shopify Import'!$A:$CZ,1119,Settings!$E$23)&amp;"","$",""),",","")),0))</f>
        <v/>
      </c>
      <c r="E1119" s="11">
        <f>IF(A1119="","",IFERROR(VALUE(SUBSTITUTE(SUBSTITUTE(INDEX('Shopify Import'!$A:$CZ,1119,Settings!$E$24)&amp;"","$",""),",","")),0))</f>
        <v/>
      </c>
      <c r="F1119" s="11">
        <f>IF(A1119="","",D1119*E1119)</f>
        <v/>
      </c>
      <c r="G1119">
        <f>IF(A1119="","",IF(C1119="",1,COUNTIF($C$2:$C$1501,C1119)))</f>
        <v/>
      </c>
      <c r="H1119" s="11">
        <f>IF(A1119="","",IFERROR(VALUE(SUBSTITUTE(SUBSTITUTE(INDEX('Shopify Import'!$A:$CZ,1119,Settings!$E$25)&amp;"","$",""),",","")),0)/IF(Settings!$D$27="Yes",G1119,1))</f>
        <v/>
      </c>
      <c r="I1119" s="11">
        <f>IF(A1119="","",IFERROR(VALUE(SUBSTITUTE(SUBSTITUTE(INDEX('Shopify Import'!$A:$CZ,1119,Settings!$E$26)&amp;"","$",""),",","")),0)/IF(Settings!$D$27="Yes",G1119,1))</f>
        <v/>
      </c>
      <c r="J1119" s="11">
        <f>IF(A1119="","",F1119+H1119-I1119)</f>
        <v/>
      </c>
      <c r="K1119">
        <f>IF(A1119="","",IFERROR(IF(B1119="",NA(),MATCH(B1119,Products!$B$5:$B$204,0)),IFERROR(MATCH(A1119,Products!$A$5:$A$204,0),"")))</f>
        <v/>
      </c>
      <c r="L1119">
        <f>IF(A1119="","",IF(K1119="","⚠ not in Products",INDEX(Products!$A$5:$A$204,K1119)))</f>
        <v/>
      </c>
      <c r="M1119" s="11">
        <f>IF(A1119="","",J1119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1119+IFERROR(INDEX(Settings!$D$5:$D$9,MATCH("Shopify",Settings!$A$5:$A$9,0)),0)*D1119)</f>
        <v/>
      </c>
      <c r="N1119" s="11">
        <f>IF(A1119="","",IF(K1119="",0,D1119*INDEX(Products!$I$5:$I$204,K1119)))</f>
        <v/>
      </c>
      <c r="O1119" s="11">
        <f>IF(A1119="","",IF(K1119="",0,J1119*INDEX(Products!$H$5:$H$204,K1119)))</f>
        <v/>
      </c>
      <c r="P1119" s="11">
        <f>IF(A1119="","",J1119-M1119-N1119-O1119)</f>
        <v/>
      </c>
    </row>
    <row r="1120">
      <c r="A1120">
        <f>IFERROR(INDEX('Shopify Import'!$A:$CZ,1120,Settings!$E$20)&amp;"","")</f>
        <v/>
      </c>
      <c r="B1120">
        <f>IFERROR(INDEX('Shopify Import'!$A:$CZ,1120,Settings!$E$21)&amp;"","")</f>
        <v/>
      </c>
      <c r="C1120">
        <f>IFERROR(INDEX('Shopify Import'!$A:$CZ,1120,Settings!$E$22)&amp;"","")</f>
        <v/>
      </c>
      <c r="D1120">
        <f>IF(A1120="","",IFERROR(VALUE(SUBSTITUTE(SUBSTITUTE(INDEX('Shopify Import'!$A:$CZ,1120,Settings!$E$23)&amp;"","$",""),",","")),0))</f>
        <v/>
      </c>
      <c r="E1120" s="11">
        <f>IF(A1120="","",IFERROR(VALUE(SUBSTITUTE(SUBSTITUTE(INDEX('Shopify Import'!$A:$CZ,1120,Settings!$E$24)&amp;"","$",""),",","")),0))</f>
        <v/>
      </c>
      <c r="F1120" s="11">
        <f>IF(A1120="","",D1120*E1120)</f>
        <v/>
      </c>
      <c r="G1120">
        <f>IF(A1120="","",IF(C1120="",1,COUNTIF($C$2:$C$1501,C1120)))</f>
        <v/>
      </c>
      <c r="H1120" s="11">
        <f>IF(A1120="","",IFERROR(VALUE(SUBSTITUTE(SUBSTITUTE(INDEX('Shopify Import'!$A:$CZ,1120,Settings!$E$25)&amp;"","$",""),",","")),0)/IF(Settings!$D$27="Yes",G1120,1))</f>
        <v/>
      </c>
      <c r="I1120" s="11">
        <f>IF(A1120="","",IFERROR(VALUE(SUBSTITUTE(SUBSTITUTE(INDEX('Shopify Import'!$A:$CZ,1120,Settings!$E$26)&amp;"","$",""),",","")),0)/IF(Settings!$D$27="Yes",G1120,1))</f>
        <v/>
      </c>
      <c r="J1120" s="11">
        <f>IF(A1120="","",F1120+H1120-I1120)</f>
        <v/>
      </c>
      <c r="K1120">
        <f>IF(A1120="","",IFERROR(IF(B1120="",NA(),MATCH(B1120,Products!$B$5:$B$204,0)),IFERROR(MATCH(A1120,Products!$A$5:$A$204,0),"")))</f>
        <v/>
      </c>
      <c r="L1120">
        <f>IF(A1120="","",IF(K1120="","⚠ not in Products",INDEX(Products!$A$5:$A$204,K1120)))</f>
        <v/>
      </c>
      <c r="M1120" s="11">
        <f>IF(A1120="","",J1120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1120+IFERROR(INDEX(Settings!$D$5:$D$9,MATCH("Shopify",Settings!$A$5:$A$9,0)),0)*D1120)</f>
        <v/>
      </c>
      <c r="N1120" s="11">
        <f>IF(A1120="","",IF(K1120="",0,D1120*INDEX(Products!$I$5:$I$204,K1120)))</f>
        <v/>
      </c>
      <c r="O1120" s="11">
        <f>IF(A1120="","",IF(K1120="",0,J1120*INDEX(Products!$H$5:$H$204,K1120)))</f>
        <v/>
      </c>
      <c r="P1120" s="11">
        <f>IF(A1120="","",J1120-M1120-N1120-O1120)</f>
        <v/>
      </c>
    </row>
    <row r="1121">
      <c r="A1121">
        <f>IFERROR(INDEX('Shopify Import'!$A:$CZ,1121,Settings!$E$20)&amp;"","")</f>
        <v/>
      </c>
      <c r="B1121">
        <f>IFERROR(INDEX('Shopify Import'!$A:$CZ,1121,Settings!$E$21)&amp;"","")</f>
        <v/>
      </c>
      <c r="C1121">
        <f>IFERROR(INDEX('Shopify Import'!$A:$CZ,1121,Settings!$E$22)&amp;"","")</f>
        <v/>
      </c>
      <c r="D1121">
        <f>IF(A1121="","",IFERROR(VALUE(SUBSTITUTE(SUBSTITUTE(INDEX('Shopify Import'!$A:$CZ,1121,Settings!$E$23)&amp;"","$",""),",","")),0))</f>
        <v/>
      </c>
      <c r="E1121" s="11">
        <f>IF(A1121="","",IFERROR(VALUE(SUBSTITUTE(SUBSTITUTE(INDEX('Shopify Import'!$A:$CZ,1121,Settings!$E$24)&amp;"","$",""),",","")),0))</f>
        <v/>
      </c>
      <c r="F1121" s="11">
        <f>IF(A1121="","",D1121*E1121)</f>
        <v/>
      </c>
      <c r="G1121">
        <f>IF(A1121="","",IF(C1121="",1,COUNTIF($C$2:$C$1501,C1121)))</f>
        <v/>
      </c>
      <c r="H1121" s="11">
        <f>IF(A1121="","",IFERROR(VALUE(SUBSTITUTE(SUBSTITUTE(INDEX('Shopify Import'!$A:$CZ,1121,Settings!$E$25)&amp;"","$",""),",","")),0)/IF(Settings!$D$27="Yes",G1121,1))</f>
        <v/>
      </c>
      <c r="I1121" s="11">
        <f>IF(A1121="","",IFERROR(VALUE(SUBSTITUTE(SUBSTITUTE(INDEX('Shopify Import'!$A:$CZ,1121,Settings!$E$26)&amp;"","$",""),",","")),0)/IF(Settings!$D$27="Yes",G1121,1))</f>
        <v/>
      </c>
      <c r="J1121" s="11">
        <f>IF(A1121="","",F1121+H1121-I1121)</f>
        <v/>
      </c>
      <c r="K1121">
        <f>IF(A1121="","",IFERROR(IF(B1121="",NA(),MATCH(B1121,Products!$B$5:$B$204,0)),IFERROR(MATCH(A1121,Products!$A$5:$A$204,0),"")))</f>
        <v/>
      </c>
      <c r="L1121">
        <f>IF(A1121="","",IF(K1121="","⚠ not in Products",INDEX(Products!$A$5:$A$204,K1121)))</f>
        <v/>
      </c>
      <c r="M1121" s="11">
        <f>IF(A1121="","",J1121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1121+IFERROR(INDEX(Settings!$D$5:$D$9,MATCH("Shopify",Settings!$A$5:$A$9,0)),0)*D1121)</f>
        <v/>
      </c>
      <c r="N1121" s="11">
        <f>IF(A1121="","",IF(K1121="",0,D1121*INDEX(Products!$I$5:$I$204,K1121)))</f>
        <v/>
      </c>
      <c r="O1121" s="11">
        <f>IF(A1121="","",IF(K1121="",0,J1121*INDEX(Products!$H$5:$H$204,K1121)))</f>
        <v/>
      </c>
      <c r="P1121" s="11">
        <f>IF(A1121="","",J1121-M1121-N1121-O1121)</f>
        <v/>
      </c>
    </row>
    <row r="1122">
      <c r="A1122">
        <f>IFERROR(INDEX('Shopify Import'!$A:$CZ,1122,Settings!$E$20)&amp;"","")</f>
        <v/>
      </c>
      <c r="B1122">
        <f>IFERROR(INDEX('Shopify Import'!$A:$CZ,1122,Settings!$E$21)&amp;"","")</f>
        <v/>
      </c>
      <c r="C1122">
        <f>IFERROR(INDEX('Shopify Import'!$A:$CZ,1122,Settings!$E$22)&amp;"","")</f>
        <v/>
      </c>
      <c r="D1122">
        <f>IF(A1122="","",IFERROR(VALUE(SUBSTITUTE(SUBSTITUTE(INDEX('Shopify Import'!$A:$CZ,1122,Settings!$E$23)&amp;"","$",""),",","")),0))</f>
        <v/>
      </c>
      <c r="E1122" s="11">
        <f>IF(A1122="","",IFERROR(VALUE(SUBSTITUTE(SUBSTITUTE(INDEX('Shopify Import'!$A:$CZ,1122,Settings!$E$24)&amp;"","$",""),",","")),0))</f>
        <v/>
      </c>
      <c r="F1122" s="11">
        <f>IF(A1122="","",D1122*E1122)</f>
        <v/>
      </c>
      <c r="G1122">
        <f>IF(A1122="","",IF(C1122="",1,COUNTIF($C$2:$C$1501,C1122)))</f>
        <v/>
      </c>
      <c r="H1122" s="11">
        <f>IF(A1122="","",IFERROR(VALUE(SUBSTITUTE(SUBSTITUTE(INDEX('Shopify Import'!$A:$CZ,1122,Settings!$E$25)&amp;"","$",""),",","")),0)/IF(Settings!$D$27="Yes",G1122,1))</f>
        <v/>
      </c>
      <c r="I1122" s="11">
        <f>IF(A1122="","",IFERROR(VALUE(SUBSTITUTE(SUBSTITUTE(INDEX('Shopify Import'!$A:$CZ,1122,Settings!$E$26)&amp;"","$",""),",","")),0)/IF(Settings!$D$27="Yes",G1122,1))</f>
        <v/>
      </c>
      <c r="J1122" s="11">
        <f>IF(A1122="","",F1122+H1122-I1122)</f>
        <v/>
      </c>
      <c r="K1122">
        <f>IF(A1122="","",IFERROR(IF(B1122="",NA(),MATCH(B1122,Products!$B$5:$B$204,0)),IFERROR(MATCH(A1122,Products!$A$5:$A$204,0),"")))</f>
        <v/>
      </c>
      <c r="L1122">
        <f>IF(A1122="","",IF(K1122="","⚠ not in Products",INDEX(Products!$A$5:$A$204,K1122)))</f>
        <v/>
      </c>
      <c r="M1122" s="11">
        <f>IF(A1122="","",J1122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1122+IFERROR(INDEX(Settings!$D$5:$D$9,MATCH("Shopify",Settings!$A$5:$A$9,0)),0)*D1122)</f>
        <v/>
      </c>
      <c r="N1122" s="11">
        <f>IF(A1122="","",IF(K1122="",0,D1122*INDEX(Products!$I$5:$I$204,K1122)))</f>
        <v/>
      </c>
      <c r="O1122" s="11">
        <f>IF(A1122="","",IF(K1122="",0,J1122*INDEX(Products!$H$5:$H$204,K1122)))</f>
        <v/>
      </c>
      <c r="P1122" s="11">
        <f>IF(A1122="","",J1122-M1122-N1122-O1122)</f>
        <v/>
      </c>
    </row>
    <row r="1123">
      <c r="A1123">
        <f>IFERROR(INDEX('Shopify Import'!$A:$CZ,1123,Settings!$E$20)&amp;"","")</f>
        <v/>
      </c>
      <c r="B1123">
        <f>IFERROR(INDEX('Shopify Import'!$A:$CZ,1123,Settings!$E$21)&amp;"","")</f>
        <v/>
      </c>
      <c r="C1123">
        <f>IFERROR(INDEX('Shopify Import'!$A:$CZ,1123,Settings!$E$22)&amp;"","")</f>
        <v/>
      </c>
      <c r="D1123">
        <f>IF(A1123="","",IFERROR(VALUE(SUBSTITUTE(SUBSTITUTE(INDEX('Shopify Import'!$A:$CZ,1123,Settings!$E$23)&amp;"","$",""),",","")),0))</f>
        <v/>
      </c>
      <c r="E1123" s="11">
        <f>IF(A1123="","",IFERROR(VALUE(SUBSTITUTE(SUBSTITUTE(INDEX('Shopify Import'!$A:$CZ,1123,Settings!$E$24)&amp;"","$",""),",","")),0))</f>
        <v/>
      </c>
      <c r="F1123" s="11">
        <f>IF(A1123="","",D1123*E1123)</f>
        <v/>
      </c>
      <c r="G1123">
        <f>IF(A1123="","",IF(C1123="",1,COUNTIF($C$2:$C$1501,C1123)))</f>
        <v/>
      </c>
      <c r="H1123" s="11">
        <f>IF(A1123="","",IFERROR(VALUE(SUBSTITUTE(SUBSTITUTE(INDEX('Shopify Import'!$A:$CZ,1123,Settings!$E$25)&amp;"","$",""),",","")),0)/IF(Settings!$D$27="Yes",G1123,1))</f>
        <v/>
      </c>
      <c r="I1123" s="11">
        <f>IF(A1123="","",IFERROR(VALUE(SUBSTITUTE(SUBSTITUTE(INDEX('Shopify Import'!$A:$CZ,1123,Settings!$E$26)&amp;"","$",""),",","")),0)/IF(Settings!$D$27="Yes",G1123,1))</f>
        <v/>
      </c>
      <c r="J1123" s="11">
        <f>IF(A1123="","",F1123+H1123-I1123)</f>
        <v/>
      </c>
      <c r="K1123">
        <f>IF(A1123="","",IFERROR(IF(B1123="",NA(),MATCH(B1123,Products!$B$5:$B$204,0)),IFERROR(MATCH(A1123,Products!$A$5:$A$204,0),"")))</f>
        <v/>
      </c>
      <c r="L1123">
        <f>IF(A1123="","",IF(K1123="","⚠ not in Products",INDEX(Products!$A$5:$A$204,K1123)))</f>
        <v/>
      </c>
      <c r="M1123" s="11">
        <f>IF(A1123="","",J1123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1123+IFERROR(INDEX(Settings!$D$5:$D$9,MATCH("Shopify",Settings!$A$5:$A$9,0)),0)*D1123)</f>
        <v/>
      </c>
      <c r="N1123" s="11">
        <f>IF(A1123="","",IF(K1123="",0,D1123*INDEX(Products!$I$5:$I$204,K1123)))</f>
        <v/>
      </c>
      <c r="O1123" s="11">
        <f>IF(A1123="","",IF(K1123="",0,J1123*INDEX(Products!$H$5:$H$204,K1123)))</f>
        <v/>
      </c>
      <c r="P1123" s="11">
        <f>IF(A1123="","",J1123-M1123-N1123-O1123)</f>
        <v/>
      </c>
    </row>
    <row r="1124">
      <c r="A1124">
        <f>IFERROR(INDEX('Shopify Import'!$A:$CZ,1124,Settings!$E$20)&amp;"","")</f>
        <v/>
      </c>
      <c r="B1124">
        <f>IFERROR(INDEX('Shopify Import'!$A:$CZ,1124,Settings!$E$21)&amp;"","")</f>
        <v/>
      </c>
      <c r="C1124">
        <f>IFERROR(INDEX('Shopify Import'!$A:$CZ,1124,Settings!$E$22)&amp;"","")</f>
        <v/>
      </c>
      <c r="D1124">
        <f>IF(A1124="","",IFERROR(VALUE(SUBSTITUTE(SUBSTITUTE(INDEX('Shopify Import'!$A:$CZ,1124,Settings!$E$23)&amp;"","$",""),",","")),0))</f>
        <v/>
      </c>
      <c r="E1124" s="11">
        <f>IF(A1124="","",IFERROR(VALUE(SUBSTITUTE(SUBSTITUTE(INDEX('Shopify Import'!$A:$CZ,1124,Settings!$E$24)&amp;"","$",""),",","")),0))</f>
        <v/>
      </c>
      <c r="F1124" s="11">
        <f>IF(A1124="","",D1124*E1124)</f>
        <v/>
      </c>
      <c r="G1124">
        <f>IF(A1124="","",IF(C1124="",1,COUNTIF($C$2:$C$1501,C1124)))</f>
        <v/>
      </c>
      <c r="H1124" s="11">
        <f>IF(A1124="","",IFERROR(VALUE(SUBSTITUTE(SUBSTITUTE(INDEX('Shopify Import'!$A:$CZ,1124,Settings!$E$25)&amp;"","$",""),",","")),0)/IF(Settings!$D$27="Yes",G1124,1))</f>
        <v/>
      </c>
      <c r="I1124" s="11">
        <f>IF(A1124="","",IFERROR(VALUE(SUBSTITUTE(SUBSTITUTE(INDEX('Shopify Import'!$A:$CZ,1124,Settings!$E$26)&amp;"","$",""),",","")),0)/IF(Settings!$D$27="Yes",G1124,1))</f>
        <v/>
      </c>
      <c r="J1124" s="11">
        <f>IF(A1124="","",F1124+H1124-I1124)</f>
        <v/>
      </c>
      <c r="K1124">
        <f>IF(A1124="","",IFERROR(IF(B1124="",NA(),MATCH(B1124,Products!$B$5:$B$204,0)),IFERROR(MATCH(A1124,Products!$A$5:$A$204,0),"")))</f>
        <v/>
      </c>
      <c r="L1124">
        <f>IF(A1124="","",IF(K1124="","⚠ not in Products",INDEX(Products!$A$5:$A$204,K1124)))</f>
        <v/>
      </c>
      <c r="M1124" s="11">
        <f>IF(A1124="","",J1124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1124+IFERROR(INDEX(Settings!$D$5:$D$9,MATCH("Shopify",Settings!$A$5:$A$9,0)),0)*D1124)</f>
        <v/>
      </c>
      <c r="N1124" s="11">
        <f>IF(A1124="","",IF(K1124="",0,D1124*INDEX(Products!$I$5:$I$204,K1124)))</f>
        <v/>
      </c>
      <c r="O1124" s="11">
        <f>IF(A1124="","",IF(K1124="",0,J1124*INDEX(Products!$H$5:$H$204,K1124)))</f>
        <v/>
      </c>
      <c r="P1124" s="11">
        <f>IF(A1124="","",J1124-M1124-N1124-O1124)</f>
        <v/>
      </c>
    </row>
    <row r="1125">
      <c r="A1125">
        <f>IFERROR(INDEX('Shopify Import'!$A:$CZ,1125,Settings!$E$20)&amp;"","")</f>
        <v/>
      </c>
      <c r="B1125">
        <f>IFERROR(INDEX('Shopify Import'!$A:$CZ,1125,Settings!$E$21)&amp;"","")</f>
        <v/>
      </c>
      <c r="C1125">
        <f>IFERROR(INDEX('Shopify Import'!$A:$CZ,1125,Settings!$E$22)&amp;"","")</f>
        <v/>
      </c>
      <c r="D1125">
        <f>IF(A1125="","",IFERROR(VALUE(SUBSTITUTE(SUBSTITUTE(INDEX('Shopify Import'!$A:$CZ,1125,Settings!$E$23)&amp;"","$",""),",","")),0))</f>
        <v/>
      </c>
      <c r="E1125" s="11">
        <f>IF(A1125="","",IFERROR(VALUE(SUBSTITUTE(SUBSTITUTE(INDEX('Shopify Import'!$A:$CZ,1125,Settings!$E$24)&amp;"","$",""),",","")),0))</f>
        <v/>
      </c>
      <c r="F1125" s="11">
        <f>IF(A1125="","",D1125*E1125)</f>
        <v/>
      </c>
      <c r="G1125">
        <f>IF(A1125="","",IF(C1125="",1,COUNTIF($C$2:$C$1501,C1125)))</f>
        <v/>
      </c>
      <c r="H1125" s="11">
        <f>IF(A1125="","",IFERROR(VALUE(SUBSTITUTE(SUBSTITUTE(INDEX('Shopify Import'!$A:$CZ,1125,Settings!$E$25)&amp;"","$",""),",","")),0)/IF(Settings!$D$27="Yes",G1125,1))</f>
        <v/>
      </c>
      <c r="I1125" s="11">
        <f>IF(A1125="","",IFERROR(VALUE(SUBSTITUTE(SUBSTITUTE(INDEX('Shopify Import'!$A:$CZ,1125,Settings!$E$26)&amp;"","$",""),",","")),0)/IF(Settings!$D$27="Yes",G1125,1))</f>
        <v/>
      </c>
      <c r="J1125" s="11">
        <f>IF(A1125="","",F1125+H1125-I1125)</f>
        <v/>
      </c>
      <c r="K1125">
        <f>IF(A1125="","",IFERROR(IF(B1125="",NA(),MATCH(B1125,Products!$B$5:$B$204,0)),IFERROR(MATCH(A1125,Products!$A$5:$A$204,0),"")))</f>
        <v/>
      </c>
      <c r="L1125">
        <f>IF(A1125="","",IF(K1125="","⚠ not in Products",INDEX(Products!$A$5:$A$204,K1125)))</f>
        <v/>
      </c>
      <c r="M1125" s="11">
        <f>IF(A1125="","",J1125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1125+IFERROR(INDEX(Settings!$D$5:$D$9,MATCH("Shopify",Settings!$A$5:$A$9,0)),0)*D1125)</f>
        <v/>
      </c>
      <c r="N1125" s="11">
        <f>IF(A1125="","",IF(K1125="",0,D1125*INDEX(Products!$I$5:$I$204,K1125)))</f>
        <v/>
      </c>
      <c r="O1125" s="11">
        <f>IF(A1125="","",IF(K1125="",0,J1125*INDEX(Products!$H$5:$H$204,K1125)))</f>
        <v/>
      </c>
      <c r="P1125" s="11">
        <f>IF(A1125="","",J1125-M1125-N1125-O1125)</f>
        <v/>
      </c>
    </row>
    <row r="1126">
      <c r="A1126">
        <f>IFERROR(INDEX('Shopify Import'!$A:$CZ,1126,Settings!$E$20)&amp;"","")</f>
        <v/>
      </c>
      <c r="B1126">
        <f>IFERROR(INDEX('Shopify Import'!$A:$CZ,1126,Settings!$E$21)&amp;"","")</f>
        <v/>
      </c>
      <c r="C1126">
        <f>IFERROR(INDEX('Shopify Import'!$A:$CZ,1126,Settings!$E$22)&amp;"","")</f>
        <v/>
      </c>
      <c r="D1126">
        <f>IF(A1126="","",IFERROR(VALUE(SUBSTITUTE(SUBSTITUTE(INDEX('Shopify Import'!$A:$CZ,1126,Settings!$E$23)&amp;"","$",""),",","")),0))</f>
        <v/>
      </c>
      <c r="E1126" s="11">
        <f>IF(A1126="","",IFERROR(VALUE(SUBSTITUTE(SUBSTITUTE(INDEX('Shopify Import'!$A:$CZ,1126,Settings!$E$24)&amp;"","$",""),",","")),0))</f>
        <v/>
      </c>
      <c r="F1126" s="11">
        <f>IF(A1126="","",D1126*E1126)</f>
        <v/>
      </c>
      <c r="G1126">
        <f>IF(A1126="","",IF(C1126="",1,COUNTIF($C$2:$C$1501,C1126)))</f>
        <v/>
      </c>
      <c r="H1126" s="11">
        <f>IF(A1126="","",IFERROR(VALUE(SUBSTITUTE(SUBSTITUTE(INDEX('Shopify Import'!$A:$CZ,1126,Settings!$E$25)&amp;"","$",""),",","")),0)/IF(Settings!$D$27="Yes",G1126,1))</f>
        <v/>
      </c>
      <c r="I1126" s="11">
        <f>IF(A1126="","",IFERROR(VALUE(SUBSTITUTE(SUBSTITUTE(INDEX('Shopify Import'!$A:$CZ,1126,Settings!$E$26)&amp;"","$",""),",","")),0)/IF(Settings!$D$27="Yes",G1126,1))</f>
        <v/>
      </c>
      <c r="J1126" s="11">
        <f>IF(A1126="","",F1126+H1126-I1126)</f>
        <v/>
      </c>
      <c r="K1126">
        <f>IF(A1126="","",IFERROR(IF(B1126="",NA(),MATCH(B1126,Products!$B$5:$B$204,0)),IFERROR(MATCH(A1126,Products!$A$5:$A$204,0),"")))</f>
        <v/>
      </c>
      <c r="L1126">
        <f>IF(A1126="","",IF(K1126="","⚠ not in Products",INDEX(Products!$A$5:$A$204,K1126)))</f>
        <v/>
      </c>
      <c r="M1126" s="11">
        <f>IF(A1126="","",J1126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1126+IFERROR(INDEX(Settings!$D$5:$D$9,MATCH("Shopify",Settings!$A$5:$A$9,0)),0)*D1126)</f>
        <v/>
      </c>
      <c r="N1126" s="11">
        <f>IF(A1126="","",IF(K1126="",0,D1126*INDEX(Products!$I$5:$I$204,K1126)))</f>
        <v/>
      </c>
      <c r="O1126" s="11">
        <f>IF(A1126="","",IF(K1126="",0,J1126*INDEX(Products!$H$5:$H$204,K1126)))</f>
        <v/>
      </c>
      <c r="P1126" s="11">
        <f>IF(A1126="","",J1126-M1126-N1126-O1126)</f>
        <v/>
      </c>
    </row>
    <row r="1127">
      <c r="A1127">
        <f>IFERROR(INDEX('Shopify Import'!$A:$CZ,1127,Settings!$E$20)&amp;"","")</f>
        <v/>
      </c>
      <c r="B1127">
        <f>IFERROR(INDEX('Shopify Import'!$A:$CZ,1127,Settings!$E$21)&amp;"","")</f>
        <v/>
      </c>
      <c r="C1127">
        <f>IFERROR(INDEX('Shopify Import'!$A:$CZ,1127,Settings!$E$22)&amp;"","")</f>
        <v/>
      </c>
      <c r="D1127">
        <f>IF(A1127="","",IFERROR(VALUE(SUBSTITUTE(SUBSTITUTE(INDEX('Shopify Import'!$A:$CZ,1127,Settings!$E$23)&amp;"","$",""),",","")),0))</f>
        <v/>
      </c>
      <c r="E1127" s="11">
        <f>IF(A1127="","",IFERROR(VALUE(SUBSTITUTE(SUBSTITUTE(INDEX('Shopify Import'!$A:$CZ,1127,Settings!$E$24)&amp;"","$",""),",","")),0))</f>
        <v/>
      </c>
      <c r="F1127" s="11">
        <f>IF(A1127="","",D1127*E1127)</f>
        <v/>
      </c>
      <c r="G1127">
        <f>IF(A1127="","",IF(C1127="",1,COUNTIF($C$2:$C$1501,C1127)))</f>
        <v/>
      </c>
      <c r="H1127" s="11">
        <f>IF(A1127="","",IFERROR(VALUE(SUBSTITUTE(SUBSTITUTE(INDEX('Shopify Import'!$A:$CZ,1127,Settings!$E$25)&amp;"","$",""),",","")),0)/IF(Settings!$D$27="Yes",G1127,1))</f>
        <v/>
      </c>
      <c r="I1127" s="11">
        <f>IF(A1127="","",IFERROR(VALUE(SUBSTITUTE(SUBSTITUTE(INDEX('Shopify Import'!$A:$CZ,1127,Settings!$E$26)&amp;"","$",""),",","")),0)/IF(Settings!$D$27="Yes",G1127,1))</f>
        <v/>
      </c>
      <c r="J1127" s="11">
        <f>IF(A1127="","",F1127+H1127-I1127)</f>
        <v/>
      </c>
      <c r="K1127">
        <f>IF(A1127="","",IFERROR(IF(B1127="",NA(),MATCH(B1127,Products!$B$5:$B$204,0)),IFERROR(MATCH(A1127,Products!$A$5:$A$204,0),"")))</f>
        <v/>
      </c>
      <c r="L1127">
        <f>IF(A1127="","",IF(K1127="","⚠ not in Products",INDEX(Products!$A$5:$A$204,K1127)))</f>
        <v/>
      </c>
      <c r="M1127" s="11">
        <f>IF(A1127="","",J1127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1127+IFERROR(INDEX(Settings!$D$5:$D$9,MATCH("Shopify",Settings!$A$5:$A$9,0)),0)*D1127)</f>
        <v/>
      </c>
      <c r="N1127" s="11">
        <f>IF(A1127="","",IF(K1127="",0,D1127*INDEX(Products!$I$5:$I$204,K1127)))</f>
        <v/>
      </c>
      <c r="O1127" s="11">
        <f>IF(A1127="","",IF(K1127="",0,J1127*INDEX(Products!$H$5:$H$204,K1127)))</f>
        <v/>
      </c>
      <c r="P1127" s="11">
        <f>IF(A1127="","",J1127-M1127-N1127-O1127)</f>
        <v/>
      </c>
    </row>
    <row r="1128">
      <c r="A1128">
        <f>IFERROR(INDEX('Shopify Import'!$A:$CZ,1128,Settings!$E$20)&amp;"","")</f>
        <v/>
      </c>
      <c r="B1128">
        <f>IFERROR(INDEX('Shopify Import'!$A:$CZ,1128,Settings!$E$21)&amp;"","")</f>
        <v/>
      </c>
      <c r="C1128">
        <f>IFERROR(INDEX('Shopify Import'!$A:$CZ,1128,Settings!$E$22)&amp;"","")</f>
        <v/>
      </c>
      <c r="D1128">
        <f>IF(A1128="","",IFERROR(VALUE(SUBSTITUTE(SUBSTITUTE(INDEX('Shopify Import'!$A:$CZ,1128,Settings!$E$23)&amp;"","$",""),",","")),0))</f>
        <v/>
      </c>
      <c r="E1128" s="11">
        <f>IF(A1128="","",IFERROR(VALUE(SUBSTITUTE(SUBSTITUTE(INDEX('Shopify Import'!$A:$CZ,1128,Settings!$E$24)&amp;"","$",""),",","")),0))</f>
        <v/>
      </c>
      <c r="F1128" s="11">
        <f>IF(A1128="","",D1128*E1128)</f>
        <v/>
      </c>
      <c r="G1128">
        <f>IF(A1128="","",IF(C1128="",1,COUNTIF($C$2:$C$1501,C1128)))</f>
        <v/>
      </c>
      <c r="H1128" s="11">
        <f>IF(A1128="","",IFERROR(VALUE(SUBSTITUTE(SUBSTITUTE(INDEX('Shopify Import'!$A:$CZ,1128,Settings!$E$25)&amp;"","$",""),",","")),0)/IF(Settings!$D$27="Yes",G1128,1))</f>
        <v/>
      </c>
      <c r="I1128" s="11">
        <f>IF(A1128="","",IFERROR(VALUE(SUBSTITUTE(SUBSTITUTE(INDEX('Shopify Import'!$A:$CZ,1128,Settings!$E$26)&amp;"","$",""),",","")),0)/IF(Settings!$D$27="Yes",G1128,1))</f>
        <v/>
      </c>
      <c r="J1128" s="11">
        <f>IF(A1128="","",F1128+H1128-I1128)</f>
        <v/>
      </c>
      <c r="K1128">
        <f>IF(A1128="","",IFERROR(IF(B1128="",NA(),MATCH(B1128,Products!$B$5:$B$204,0)),IFERROR(MATCH(A1128,Products!$A$5:$A$204,0),"")))</f>
        <v/>
      </c>
      <c r="L1128">
        <f>IF(A1128="","",IF(K1128="","⚠ not in Products",INDEX(Products!$A$5:$A$204,K1128)))</f>
        <v/>
      </c>
      <c r="M1128" s="11">
        <f>IF(A1128="","",J1128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1128+IFERROR(INDEX(Settings!$D$5:$D$9,MATCH("Shopify",Settings!$A$5:$A$9,0)),0)*D1128)</f>
        <v/>
      </c>
      <c r="N1128" s="11">
        <f>IF(A1128="","",IF(K1128="",0,D1128*INDEX(Products!$I$5:$I$204,K1128)))</f>
        <v/>
      </c>
      <c r="O1128" s="11">
        <f>IF(A1128="","",IF(K1128="",0,J1128*INDEX(Products!$H$5:$H$204,K1128)))</f>
        <v/>
      </c>
      <c r="P1128" s="11">
        <f>IF(A1128="","",J1128-M1128-N1128-O1128)</f>
        <v/>
      </c>
    </row>
    <row r="1129">
      <c r="A1129">
        <f>IFERROR(INDEX('Shopify Import'!$A:$CZ,1129,Settings!$E$20)&amp;"","")</f>
        <v/>
      </c>
      <c r="B1129">
        <f>IFERROR(INDEX('Shopify Import'!$A:$CZ,1129,Settings!$E$21)&amp;"","")</f>
        <v/>
      </c>
      <c r="C1129">
        <f>IFERROR(INDEX('Shopify Import'!$A:$CZ,1129,Settings!$E$22)&amp;"","")</f>
        <v/>
      </c>
      <c r="D1129">
        <f>IF(A1129="","",IFERROR(VALUE(SUBSTITUTE(SUBSTITUTE(INDEX('Shopify Import'!$A:$CZ,1129,Settings!$E$23)&amp;"","$",""),",","")),0))</f>
        <v/>
      </c>
      <c r="E1129" s="11">
        <f>IF(A1129="","",IFERROR(VALUE(SUBSTITUTE(SUBSTITUTE(INDEX('Shopify Import'!$A:$CZ,1129,Settings!$E$24)&amp;"","$",""),",","")),0))</f>
        <v/>
      </c>
      <c r="F1129" s="11">
        <f>IF(A1129="","",D1129*E1129)</f>
        <v/>
      </c>
      <c r="G1129">
        <f>IF(A1129="","",IF(C1129="",1,COUNTIF($C$2:$C$1501,C1129)))</f>
        <v/>
      </c>
      <c r="H1129" s="11">
        <f>IF(A1129="","",IFERROR(VALUE(SUBSTITUTE(SUBSTITUTE(INDEX('Shopify Import'!$A:$CZ,1129,Settings!$E$25)&amp;"","$",""),",","")),0)/IF(Settings!$D$27="Yes",G1129,1))</f>
        <v/>
      </c>
      <c r="I1129" s="11">
        <f>IF(A1129="","",IFERROR(VALUE(SUBSTITUTE(SUBSTITUTE(INDEX('Shopify Import'!$A:$CZ,1129,Settings!$E$26)&amp;"","$",""),",","")),0)/IF(Settings!$D$27="Yes",G1129,1))</f>
        <v/>
      </c>
      <c r="J1129" s="11">
        <f>IF(A1129="","",F1129+H1129-I1129)</f>
        <v/>
      </c>
      <c r="K1129">
        <f>IF(A1129="","",IFERROR(IF(B1129="",NA(),MATCH(B1129,Products!$B$5:$B$204,0)),IFERROR(MATCH(A1129,Products!$A$5:$A$204,0),"")))</f>
        <v/>
      </c>
      <c r="L1129">
        <f>IF(A1129="","",IF(K1129="","⚠ not in Products",INDEX(Products!$A$5:$A$204,K1129)))</f>
        <v/>
      </c>
      <c r="M1129" s="11">
        <f>IF(A1129="","",J1129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1129+IFERROR(INDEX(Settings!$D$5:$D$9,MATCH("Shopify",Settings!$A$5:$A$9,0)),0)*D1129)</f>
        <v/>
      </c>
      <c r="N1129" s="11">
        <f>IF(A1129="","",IF(K1129="",0,D1129*INDEX(Products!$I$5:$I$204,K1129)))</f>
        <v/>
      </c>
      <c r="O1129" s="11">
        <f>IF(A1129="","",IF(K1129="",0,J1129*INDEX(Products!$H$5:$H$204,K1129)))</f>
        <v/>
      </c>
      <c r="P1129" s="11">
        <f>IF(A1129="","",J1129-M1129-N1129-O1129)</f>
        <v/>
      </c>
    </row>
    <row r="1130">
      <c r="A1130">
        <f>IFERROR(INDEX('Shopify Import'!$A:$CZ,1130,Settings!$E$20)&amp;"","")</f>
        <v/>
      </c>
      <c r="B1130">
        <f>IFERROR(INDEX('Shopify Import'!$A:$CZ,1130,Settings!$E$21)&amp;"","")</f>
        <v/>
      </c>
      <c r="C1130">
        <f>IFERROR(INDEX('Shopify Import'!$A:$CZ,1130,Settings!$E$22)&amp;"","")</f>
        <v/>
      </c>
      <c r="D1130">
        <f>IF(A1130="","",IFERROR(VALUE(SUBSTITUTE(SUBSTITUTE(INDEX('Shopify Import'!$A:$CZ,1130,Settings!$E$23)&amp;"","$",""),",","")),0))</f>
        <v/>
      </c>
      <c r="E1130" s="11">
        <f>IF(A1130="","",IFERROR(VALUE(SUBSTITUTE(SUBSTITUTE(INDEX('Shopify Import'!$A:$CZ,1130,Settings!$E$24)&amp;"","$",""),",","")),0))</f>
        <v/>
      </c>
      <c r="F1130" s="11">
        <f>IF(A1130="","",D1130*E1130)</f>
        <v/>
      </c>
      <c r="G1130">
        <f>IF(A1130="","",IF(C1130="",1,COUNTIF($C$2:$C$1501,C1130)))</f>
        <v/>
      </c>
      <c r="H1130" s="11">
        <f>IF(A1130="","",IFERROR(VALUE(SUBSTITUTE(SUBSTITUTE(INDEX('Shopify Import'!$A:$CZ,1130,Settings!$E$25)&amp;"","$",""),",","")),0)/IF(Settings!$D$27="Yes",G1130,1))</f>
        <v/>
      </c>
      <c r="I1130" s="11">
        <f>IF(A1130="","",IFERROR(VALUE(SUBSTITUTE(SUBSTITUTE(INDEX('Shopify Import'!$A:$CZ,1130,Settings!$E$26)&amp;"","$",""),",","")),0)/IF(Settings!$D$27="Yes",G1130,1))</f>
        <v/>
      </c>
      <c r="J1130" s="11">
        <f>IF(A1130="","",F1130+H1130-I1130)</f>
        <v/>
      </c>
      <c r="K1130">
        <f>IF(A1130="","",IFERROR(IF(B1130="",NA(),MATCH(B1130,Products!$B$5:$B$204,0)),IFERROR(MATCH(A1130,Products!$A$5:$A$204,0),"")))</f>
        <v/>
      </c>
      <c r="L1130">
        <f>IF(A1130="","",IF(K1130="","⚠ not in Products",INDEX(Products!$A$5:$A$204,K1130)))</f>
        <v/>
      </c>
      <c r="M1130" s="11">
        <f>IF(A1130="","",J1130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1130+IFERROR(INDEX(Settings!$D$5:$D$9,MATCH("Shopify",Settings!$A$5:$A$9,0)),0)*D1130)</f>
        <v/>
      </c>
      <c r="N1130" s="11">
        <f>IF(A1130="","",IF(K1130="",0,D1130*INDEX(Products!$I$5:$I$204,K1130)))</f>
        <v/>
      </c>
      <c r="O1130" s="11">
        <f>IF(A1130="","",IF(K1130="",0,J1130*INDEX(Products!$H$5:$H$204,K1130)))</f>
        <v/>
      </c>
      <c r="P1130" s="11">
        <f>IF(A1130="","",J1130-M1130-N1130-O1130)</f>
        <v/>
      </c>
    </row>
    <row r="1131">
      <c r="A1131">
        <f>IFERROR(INDEX('Shopify Import'!$A:$CZ,1131,Settings!$E$20)&amp;"","")</f>
        <v/>
      </c>
      <c r="B1131">
        <f>IFERROR(INDEX('Shopify Import'!$A:$CZ,1131,Settings!$E$21)&amp;"","")</f>
        <v/>
      </c>
      <c r="C1131">
        <f>IFERROR(INDEX('Shopify Import'!$A:$CZ,1131,Settings!$E$22)&amp;"","")</f>
        <v/>
      </c>
      <c r="D1131">
        <f>IF(A1131="","",IFERROR(VALUE(SUBSTITUTE(SUBSTITUTE(INDEX('Shopify Import'!$A:$CZ,1131,Settings!$E$23)&amp;"","$",""),",","")),0))</f>
        <v/>
      </c>
      <c r="E1131" s="11">
        <f>IF(A1131="","",IFERROR(VALUE(SUBSTITUTE(SUBSTITUTE(INDEX('Shopify Import'!$A:$CZ,1131,Settings!$E$24)&amp;"","$",""),",","")),0))</f>
        <v/>
      </c>
      <c r="F1131" s="11">
        <f>IF(A1131="","",D1131*E1131)</f>
        <v/>
      </c>
      <c r="G1131">
        <f>IF(A1131="","",IF(C1131="",1,COUNTIF($C$2:$C$1501,C1131)))</f>
        <v/>
      </c>
      <c r="H1131" s="11">
        <f>IF(A1131="","",IFERROR(VALUE(SUBSTITUTE(SUBSTITUTE(INDEX('Shopify Import'!$A:$CZ,1131,Settings!$E$25)&amp;"","$",""),",","")),0)/IF(Settings!$D$27="Yes",G1131,1))</f>
        <v/>
      </c>
      <c r="I1131" s="11">
        <f>IF(A1131="","",IFERROR(VALUE(SUBSTITUTE(SUBSTITUTE(INDEX('Shopify Import'!$A:$CZ,1131,Settings!$E$26)&amp;"","$",""),",","")),0)/IF(Settings!$D$27="Yes",G1131,1))</f>
        <v/>
      </c>
      <c r="J1131" s="11">
        <f>IF(A1131="","",F1131+H1131-I1131)</f>
        <v/>
      </c>
      <c r="K1131">
        <f>IF(A1131="","",IFERROR(IF(B1131="",NA(),MATCH(B1131,Products!$B$5:$B$204,0)),IFERROR(MATCH(A1131,Products!$A$5:$A$204,0),"")))</f>
        <v/>
      </c>
      <c r="L1131">
        <f>IF(A1131="","",IF(K1131="","⚠ not in Products",INDEX(Products!$A$5:$A$204,K1131)))</f>
        <v/>
      </c>
      <c r="M1131" s="11">
        <f>IF(A1131="","",J1131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1131+IFERROR(INDEX(Settings!$D$5:$D$9,MATCH("Shopify",Settings!$A$5:$A$9,0)),0)*D1131)</f>
        <v/>
      </c>
      <c r="N1131" s="11">
        <f>IF(A1131="","",IF(K1131="",0,D1131*INDEX(Products!$I$5:$I$204,K1131)))</f>
        <v/>
      </c>
      <c r="O1131" s="11">
        <f>IF(A1131="","",IF(K1131="",0,J1131*INDEX(Products!$H$5:$H$204,K1131)))</f>
        <v/>
      </c>
      <c r="P1131" s="11">
        <f>IF(A1131="","",J1131-M1131-N1131-O1131)</f>
        <v/>
      </c>
    </row>
    <row r="1132">
      <c r="A1132">
        <f>IFERROR(INDEX('Shopify Import'!$A:$CZ,1132,Settings!$E$20)&amp;"","")</f>
        <v/>
      </c>
      <c r="B1132">
        <f>IFERROR(INDEX('Shopify Import'!$A:$CZ,1132,Settings!$E$21)&amp;"","")</f>
        <v/>
      </c>
      <c r="C1132">
        <f>IFERROR(INDEX('Shopify Import'!$A:$CZ,1132,Settings!$E$22)&amp;"","")</f>
        <v/>
      </c>
      <c r="D1132">
        <f>IF(A1132="","",IFERROR(VALUE(SUBSTITUTE(SUBSTITUTE(INDEX('Shopify Import'!$A:$CZ,1132,Settings!$E$23)&amp;"","$",""),",","")),0))</f>
        <v/>
      </c>
      <c r="E1132" s="11">
        <f>IF(A1132="","",IFERROR(VALUE(SUBSTITUTE(SUBSTITUTE(INDEX('Shopify Import'!$A:$CZ,1132,Settings!$E$24)&amp;"","$",""),",","")),0))</f>
        <v/>
      </c>
      <c r="F1132" s="11">
        <f>IF(A1132="","",D1132*E1132)</f>
        <v/>
      </c>
      <c r="G1132">
        <f>IF(A1132="","",IF(C1132="",1,COUNTIF($C$2:$C$1501,C1132)))</f>
        <v/>
      </c>
      <c r="H1132" s="11">
        <f>IF(A1132="","",IFERROR(VALUE(SUBSTITUTE(SUBSTITUTE(INDEX('Shopify Import'!$A:$CZ,1132,Settings!$E$25)&amp;"","$",""),",","")),0)/IF(Settings!$D$27="Yes",G1132,1))</f>
        <v/>
      </c>
      <c r="I1132" s="11">
        <f>IF(A1132="","",IFERROR(VALUE(SUBSTITUTE(SUBSTITUTE(INDEX('Shopify Import'!$A:$CZ,1132,Settings!$E$26)&amp;"","$",""),",","")),0)/IF(Settings!$D$27="Yes",G1132,1))</f>
        <v/>
      </c>
      <c r="J1132" s="11">
        <f>IF(A1132="","",F1132+H1132-I1132)</f>
        <v/>
      </c>
      <c r="K1132">
        <f>IF(A1132="","",IFERROR(IF(B1132="",NA(),MATCH(B1132,Products!$B$5:$B$204,0)),IFERROR(MATCH(A1132,Products!$A$5:$A$204,0),"")))</f>
        <v/>
      </c>
      <c r="L1132">
        <f>IF(A1132="","",IF(K1132="","⚠ not in Products",INDEX(Products!$A$5:$A$204,K1132)))</f>
        <v/>
      </c>
      <c r="M1132" s="11">
        <f>IF(A1132="","",J1132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1132+IFERROR(INDEX(Settings!$D$5:$D$9,MATCH("Shopify",Settings!$A$5:$A$9,0)),0)*D1132)</f>
        <v/>
      </c>
      <c r="N1132" s="11">
        <f>IF(A1132="","",IF(K1132="",0,D1132*INDEX(Products!$I$5:$I$204,K1132)))</f>
        <v/>
      </c>
      <c r="O1132" s="11">
        <f>IF(A1132="","",IF(K1132="",0,J1132*INDEX(Products!$H$5:$H$204,K1132)))</f>
        <v/>
      </c>
      <c r="P1132" s="11">
        <f>IF(A1132="","",J1132-M1132-N1132-O1132)</f>
        <v/>
      </c>
    </row>
    <row r="1133">
      <c r="A1133">
        <f>IFERROR(INDEX('Shopify Import'!$A:$CZ,1133,Settings!$E$20)&amp;"","")</f>
        <v/>
      </c>
      <c r="B1133">
        <f>IFERROR(INDEX('Shopify Import'!$A:$CZ,1133,Settings!$E$21)&amp;"","")</f>
        <v/>
      </c>
      <c r="C1133">
        <f>IFERROR(INDEX('Shopify Import'!$A:$CZ,1133,Settings!$E$22)&amp;"","")</f>
        <v/>
      </c>
      <c r="D1133">
        <f>IF(A1133="","",IFERROR(VALUE(SUBSTITUTE(SUBSTITUTE(INDEX('Shopify Import'!$A:$CZ,1133,Settings!$E$23)&amp;"","$",""),",","")),0))</f>
        <v/>
      </c>
      <c r="E1133" s="11">
        <f>IF(A1133="","",IFERROR(VALUE(SUBSTITUTE(SUBSTITUTE(INDEX('Shopify Import'!$A:$CZ,1133,Settings!$E$24)&amp;"","$",""),",","")),0))</f>
        <v/>
      </c>
      <c r="F1133" s="11">
        <f>IF(A1133="","",D1133*E1133)</f>
        <v/>
      </c>
      <c r="G1133">
        <f>IF(A1133="","",IF(C1133="",1,COUNTIF($C$2:$C$1501,C1133)))</f>
        <v/>
      </c>
      <c r="H1133" s="11">
        <f>IF(A1133="","",IFERROR(VALUE(SUBSTITUTE(SUBSTITUTE(INDEX('Shopify Import'!$A:$CZ,1133,Settings!$E$25)&amp;"","$",""),",","")),0)/IF(Settings!$D$27="Yes",G1133,1))</f>
        <v/>
      </c>
      <c r="I1133" s="11">
        <f>IF(A1133="","",IFERROR(VALUE(SUBSTITUTE(SUBSTITUTE(INDEX('Shopify Import'!$A:$CZ,1133,Settings!$E$26)&amp;"","$",""),",","")),0)/IF(Settings!$D$27="Yes",G1133,1))</f>
        <v/>
      </c>
      <c r="J1133" s="11">
        <f>IF(A1133="","",F1133+H1133-I1133)</f>
        <v/>
      </c>
      <c r="K1133">
        <f>IF(A1133="","",IFERROR(IF(B1133="",NA(),MATCH(B1133,Products!$B$5:$B$204,0)),IFERROR(MATCH(A1133,Products!$A$5:$A$204,0),"")))</f>
        <v/>
      </c>
      <c r="L1133">
        <f>IF(A1133="","",IF(K1133="","⚠ not in Products",INDEX(Products!$A$5:$A$204,K1133)))</f>
        <v/>
      </c>
      <c r="M1133" s="11">
        <f>IF(A1133="","",J1133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1133+IFERROR(INDEX(Settings!$D$5:$D$9,MATCH("Shopify",Settings!$A$5:$A$9,0)),0)*D1133)</f>
        <v/>
      </c>
      <c r="N1133" s="11">
        <f>IF(A1133="","",IF(K1133="",0,D1133*INDEX(Products!$I$5:$I$204,K1133)))</f>
        <v/>
      </c>
      <c r="O1133" s="11">
        <f>IF(A1133="","",IF(K1133="",0,J1133*INDEX(Products!$H$5:$H$204,K1133)))</f>
        <v/>
      </c>
      <c r="P1133" s="11">
        <f>IF(A1133="","",J1133-M1133-N1133-O1133)</f>
        <v/>
      </c>
    </row>
    <row r="1134">
      <c r="A1134">
        <f>IFERROR(INDEX('Shopify Import'!$A:$CZ,1134,Settings!$E$20)&amp;"","")</f>
        <v/>
      </c>
      <c r="B1134">
        <f>IFERROR(INDEX('Shopify Import'!$A:$CZ,1134,Settings!$E$21)&amp;"","")</f>
        <v/>
      </c>
      <c r="C1134">
        <f>IFERROR(INDEX('Shopify Import'!$A:$CZ,1134,Settings!$E$22)&amp;"","")</f>
        <v/>
      </c>
      <c r="D1134">
        <f>IF(A1134="","",IFERROR(VALUE(SUBSTITUTE(SUBSTITUTE(INDEX('Shopify Import'!$A:$CZ,1134,Settings!$E$23)&amp;"","$",""),",","")),0))</f>
        <v/>
      </c>
      <c r="E1134" s="11">
        <f>IF(A1134="","",IFERROR(VALUE(SUBSTITUTE(SUBSTITUTE(INDEX('Shopify Import'!$A:$CZ,1134,Settings!$E$24)&amp;"","$",""),",","")),0))</f>
        <v/>
      </c>
      <c r="F1134" s="11">
        <f>IF(A1134="","",D1134*E1134)</f>
        <v/>
      </c>
      <c r="G1134">
        <f>IF(A1134="","",IF(C1134="",1,COUNTIF($C$2:$C$1501,C1134)))</f>
        <v/>
      </c>
      <c r="H1134" s="11">
        <f>IF(A1134="","",IFERROR(VALUE(SUBSTITUTE(SUBSTITUTE(INDEX('Shopify Import'!$A:$CZ,1134,Settings!$E$25)&amp;"","$",""),",","")),0)/IF(Settings!$D$27="Yes",G1134,1))</f>
        <v/>
      </c>
      <c r="I1134" s="11">
        <f>IF(A1134="","",IFERROR(VALUE(SUBSTITUTE(SUBSTITUTE(INDEX('Shopify Import'!$A:$CZ,1134,Settings!$E$26)&amp;"","$",""),",","")),0)/IF(Settings!$D$27="Yes",G1134,1))</f>
        <v/>
      </c>
      <c r="J1134" s="11">
        <f>IF(A1134="","",F1134+H1134-I1134)</f>
        <v/>
      </c>
      <c r="K1134">
        <f>IF(A1134="","",IFERROR(IF(B1134="",NA(),MATCH(B1134,Products!$B$5:$B$204,0)),IFERROR(MATCH(A1134,Products!$A$5:$A$204,0),"")))</f>
        <v/>
      </c>
      <c r="L1134">
        <f>IF(A1134="","",IF(K1134="","⚠ not in Products",INDEX(Products!$A$5:$A$204,K1134)))</f>
        <v/>
      </c>
      <c r="M1134" s="11">
        <f>IF(A1134="","",J1134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1134+IFERROR(INDEX(Settings!$D$5:$D$9,MATCH("Shopify",Settings!$A$5:$A$9,0)),0)*D1134)</f>
        <v/>
      </c>
      <c r="N1134" s="11">
        <f>IF(A1134="","",IF(K1134="",0,D1134*INDEX(Products!$I$5:$I$204,K1134)))</f>
        <v/>
      </c>
      <c r="O1134" s="11">
        <f>IF(A1134="","",IF(K1134="",0,J1134*INDEX(Products!$H$5:$H$204,K1134)))</f>
        <v/>
      </c>
      <c r="P1134" s="11">
        <f>IF(A1134="","",J1134-M1134-N1134-O1134)</f>
        <v/>
      </c>
    </row>
    <row r="1135">
      <c r="A1135">
        <f>IFERROR(INDEX('Shopify Import'!$A:$CZ,1135,Settings!$E$20)&amp;"","")</f>
        <v/>
      </c>
      <c r="B1135">
        <f>IFERROR(INDEX('Shopify Import'!$A:$CZ,1135,Settings!$E$21)&amp;"","")</f>
        <v/>
      </c>
      <c r="C1135">
        <f>IFERROR(INDEX('Shopify Import'!$A:$CZ,1135,Settings!$E$22)&amp;"","")</f>
        <v/>
      </c>
      <c r="D1135">
        <f>IF(A1135="","",IFERROR(VALUE(SUBSTITUTE(SUBSTITUTE(INDEX('Shopify Import'!$A:$CZ,1135,Settings!$E$23)&amp;"","$",""),",","")),0))</f>
        <v/>
      </c>
      <c r="E1135" s="11">
        <f>IF(A1135="","",IFERROR(VALUE(SUBSTITUTE(SUBSTITUTE(INDEX('Shopify Import'!$A:$CZ,1135,Settings!$E$24)&amp;"","$",""),",","")),0))</f>
        <v/>
      </c>
      <c r="F1135" s="11">
        <f>IF(A1135="","",D1135*E1135)</f>
        <v/>
      </c>
      <c r="G1135">
        <f>IF(A1135="","",IF(C1135="",1,COUNTIF($C$2:$C$1501,C1135)))</f>
        <v/>
      </c>
      <c r="H1135" s="11">
        <f>IF(A1135="","",IFERROR(VALUE(SUBSTITUTE(SUBSTITUTE(INDEX('Shopify Import'!$A:$CZ,1135,Settings!$E$25)&amp;"","$",""),",","")),0)/IF(Settings!$D$27="Yes",G1135,1))</f>
        <v/>
      </c>
      <c r="I1135" s="11">
        <f>IF(A1135="","",IFERROR(VALUE(SUBSTITUTE(SUBSTITUTE(INDEX('Shopify Import'!$A:$CZ,1135,Settings!$E$26)&amp;"","$",""),",","")),0)/IF(Settings!$D$27="Yes",G1135,1))</f>
        <v/>
      </c>
      <c r="J1135" s="11">
        <f>IF(A1135="","",F1135+H1135-I1135)</f>
        <v/>
      </c>
      <c r="K1135">
        <f>IF(A1135="","",IFERROR(IF(B1135="",NA(),MATCH(B1135,Products!$B$5:$B$204,0)),IFERROR(MATCH(A1135,Products!$A$5:$A$204,0),"")))</f>
        <v/>
      </c>
      <c r="L1135">
        <f>IF(A1135="","",IF(K1135="","⚠ not in Products",INDEX(Products!$A$5:$A$204,K1135)))</f>
        <v/>
      </c>
      <c r="M1135" s="11">
        <f>IF(A1135="","",J1135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1135+IFERROR(INDEX(Settings!$D$5:$D$9,MATCH("Shopify",Settings!$A$5:$A$9,0)),0)*D1135)</f>
        <v/>
      </c>
      <c r="N1135" s="11">
        <f>IF(A1135="","",IF(K1135="",0,D1135*INDEX(Products!$I$5:$I$204,K1135)))</f>
        <v/>
      </c>
      <c r="O1135" s="11">
        <f>IF(A1135="","",IF(K1135="",0,J1135*INDEX(Products!$H$5:$H$204,K1135)))</f>
        <v/>
      </c>
      <c r="P1135" s="11">
        <f>IF(A1135="","",J1135-M1135-N1135-O1135)</f>
        <v/>
      </c>
    </row>
    <row r="1136">
      <c r="A1136">
        <f>IFERROR(INDEX('Shopify Import'!$A:$CZ,1136,Settings!$E$20)&amp;"","")</f>
        <v/>
      </c>
      <c r="B1136">
        <f>IFERROR(INDEX('Shopify Import'!$A:$CZ,1136,Settings!$E$21)&amp;"","")</f>
        <v/>
      </c>
      <c r="C1136">
        <f>IFERROR(INDEX('Shopify Import'!$A:$CZ,1136,Settings!$E$22)&amp;"","")</f>
        <v/>
      </c>
      <c r="D1136">
        <f>IF(A1136="","",IFERROR(VALUE(SUBSTITUTE(SUBSTITUTE(INDEX('Shopify Import'!$A:$CZ,1136,Settings!$E$23)&amp;"","$",""),",","")),0))</f>
        <v/>
      </c>
      <c r="E1136" s="11">
        <f>IF(A1136="","",IFERROR(VALUE(SUBSTITUTE(SUBSTITUTE(INDEX('Shopify Import'!$A:$CZ,1136,Settings!$E$24)&amp;"","$",""),",","")),0))</f>
        <v/>
      </c>
      <c r="F1136" s="11">
        <f>IF(A1136="","",D1136*E1136)</f>
        <v/>
      </c>
      <c r="G1136">
        <f>IF(A1136="","",IF(C1136="",1,COUNTIF($C$2:$C$1501,C1136)))</f>
        <v/>
      </c>
      <c r="H1136" s="11">
        <f>IF(A1136="","",IFERROR(VALUE(SUBSTITUTE(SUBSTITUTE(INDEX('Shopify Import'!$A:$CZ,1136,Settings!$E$25)&amp;"","$",""),",","")),0)/IF(Settings!$D$27="Yes",G1136,1))</f>
        <v/>
      </c>
      <c r="I1136" s="11">
        <f>IF(A1136="","",IFERROR(VALUE(SUBSTITUTE(SUBSTITUTE(INDEX('Shopify Import'!$A:$CZ,1136,Settings!$E$26)&amp;"","$",""),",","")),0)/IF(Settings!$D$27="Yes",G1136,1))</f>
        <v/>
      </c>
      <c r="J1136" s="11">
        <f>IF(A1136="","",F1136+H1136-I1136)</f>
        <v/>
      </c>
      <c r="K1136">
        <f>IF(A1136="","",IFERROR(IF(B1136="",NA(),MATCH(B1136,Products!$B$5:$B$204,0)),IFERROR(MATCH(A1136,Products!$A$5:$A$204,0),"")))</f>
        <v/>
      </c>
      <c r="L1136">
        <f>IF(A1136="","",IF(K1136="","⚠ not in Products",INDEX(Products!$A$5:$A$204,K1136)))</f>
        <v/>
      </c>
      <c r="M1136" s="11">
        <f>IF(A1136="","",J1136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1136+IFERROR(INDEX(Settings!$D$5:$D$9,MATCH("Shopify",Settings!$A$5:$A$9,0)),0)*D1136)</f>
        <v/>
      </c>
      <c r="N1136" s="11">
        <f>IF(A1136="","",IF(K1136="",0,D1136*INDEX(Products!$I$5:$I$204,K1136)))</f>
        <v/>
      </c>
      <c r="O1136" s="11">
        <f>IF(A1136="","",IF(K1136="",0,J1136*INDEX(Products!$H$5:$H$204,K1136)))</f>
        <v/>
      </c>
      <c r="P1136" s="11">
        <f>IF(A1136="","",J1136-M1136-N1136-O1136)</f>
        <v/>
      </c>
    </row>
    <row r="1137">
      <c r="A1137">
        <f>IFERROR(INDEX('Shopify Import'!$A:$CZ,1137,Settings!$E$20)&amp;"","")</f>
        <v/>
      </c>
      <c r="B1137">
        <f>IFERROR(INDEX('Shopify Import'!$A:$CZ,1137,Settings!$E$21)&amp;"","")</f>
        <v/>
      </c>
      <c r="C1137">
        <f>IFERROR(INDEX('Shopify Import'!$A:$CZ,1137,Settings!$E$22)&amp;"","")</f>
        <v/>
      </c>
      <c r="D1137">
        <f>IF(A1137="","",IFERROR(VALUE(SUBSTITUTE(SUBSTITUTE(INDEX('Shopify Import'!$A:$CZ,1137,Settings!$E$23)&amp;"","$",""),",","")),0))</f>
        <v/>
      </c>
      <c r="E1137" s="11">
        <f>IF(A1137="","",IFERROR(VALUE(SUBSTITUTE(SUBSTITUTE(INDEX('Shopify Import'!$A:$CZ,1137,Settings!$E$24)&amp;"","$",""),",","")),0))</f>
        <v/>
      </c>
      <c r="F1137" s="11">
        <f>IF(A1137="","",D1137*E1137)</f>
        <v/>
      </c>
      <c r="G1137">
        <f>IF(A1137="","",IF(C1137="",1,COUNTIF($C$2:$C$1501,C1137)))</f>
        <v/>
      </c>
      <c r="H1137" s="11">
        <f>IF(A1137="","",IFERROR(VALUE(SUBSTITUTE(SUBSTITUTE(INDEX('Shopify Import'!$A:$CZ,1137,Settings!$E$25)&amp;"","$",""),",","")),0)/IF(Settings!$D$27="Yes",G1137,1))</f>
        <v/>
      </c>
      <c r="I1137" s="11">
        <f>IF(A1137="","",IFERROR(VALUE(SUBSTITUTE(SUBSTITUTE(INDEX('Shopify Import'!$A:$CZ,1137,Settings!$E$26)&amp;"","$",""),",","")),0)/IF(Settings!$D$27="Yes",G1137,1))</f>
        <v/>
      </c>
      <c r="J1137" s="11">
        <f>IF(A1137="","",F1137+H1137-I1137)</f>
        <v/>
      </c>
      <c r="K1137">
        <f>IF(A1137="","",IFERROR(IF(B1137="",NA(),MATCH(B1137,Products!$B$5:$B$204,0)),IFERROR(MATCH(A1137,Products!$A$5:$A$204,0),"")))</f>
        <v/>
      </c>
      <c r="L1137">
        <f>IF(A1137="","",IF(K1137="","⚠ not in Products",INDEX(Products!$A$5:$A$204,K1137)))</f>
        <v/>
      </c>
      <c r="M1137" s="11">
        <f>IF(A1137="","",J1137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1137+IFERROR(INDEX(Settings!$D$5:$D$9,MATCH("Shopify",Settings!$A$5:$A$9,0)),0)*D1137)</f>
        <v/>
      </c>
      <c r="N1137" s="11">
        <f>IF(A1137="","",IF(K1137="",0,D1137*INDEX(Products!$I$5:$I$204,K1137)))</f>
        <v/>
      </c>
      <c r="O1137" s="11">
        <f>IF(A1137="","",IF(K1137="",0,J1137*INDEX(Products!$H$5:$H$204,K1137)))</f>
        <v/>
      </c>
      <c r="P1137" s="11">
        <f>IF(A1137="","",J1137-M1137-N1137-O1137)</f>
        <v/>
      </c>
    </row>
    <row r="1138">
      <c r="A1138">
        <f>IFERROR(INDEX('Shopify Import'!$A:$CZ,1138,Settings!$E$20)&amp;"","")</f>
        <v/>
      </c>
      <c r="B1138">
        <f>IFERROR(INDEX('Shopify Import'!$A:$CZ,1138,Settings!$E$21)&amp;"","")</f>
        <v/>
      </c>
      <c r="C1138">
        <f>IFERROR(INDEX('Shopify Import'!$A:$CZ,1138,Settings!$E$22)&amp;"","")</f>
        <v/>
      </c>
      <c r="D1138">
        <f>IF(A1138="","",IFERROR(VALUE(SUBSTITUTE(SUBSTITUTE(INDEX('Shopify Import'!$A:$CZ,1138,Settings!$E$23)&amp;"","$",""),",","")),0))</f>
        <v/>
      </c>
      <c r="E1138" s="11">
        <f>IF(A1138="","",IFERROR(VALUE(SUBSTITUTE(SUBSTITUTE(INDEX('Shopify Import'!$A:$CZ,1138,Settings!$E$24)&amp;"","$",""),",","")),0))</f>
        <v/>
      </c>
      <c r="F1138" s="11">
        <f>IF(A1138="","",D1138*E1138)</f>
        <v/>
      </c>
      <c r="G1138">
        <f>IF(A1138="","",IF(C1138="",1,COUNTIF($C$2:$C$1501,C1138)))</f>
        <v/>
      </c>
      <c r="H1138" s="11">
        <f>IF(A1138="","",IFERROR(VALUE(SUBSTITUTE(SUBSTITUTE(INDEX('Shopify Import'!$A:$CZ,1138,Settings!$E$25)&amp;"","$",""),",","")),0)/IF(Settings!$D$27="Yes",G1138,1))</f>
        <v/>
      </c>
      <c r="I1138" s="11">
        <f>IF(A1138="","",IFERROR(VALUE(SUBSTITUTE(SUBSTITUTE(INDEX('Shopify Import'!$A:$CZ,1138,Settings!$E$26)&amp;"","$",""),",","")),0)/IF(Settings!$D$27="Yes",G1138,1))</f>
        <v/>
      </c>
      <c r="J1138" s="11">
        <f>IF(A1138="","",F1138+H1138-I1138)</f>
        <v/>
      </c>
      <c r="K1138">
        <f>IF(A1138="","",IFERROR(IF(B1138="",NA(),MATCH(B1138,Products!$B$5:$B$204,0)),IFERROR(MATCH(A1138,Products!$A$5:$A$204,0),"")))</f>
        <v/>
      </c>
      <c r="L1138">
        <f>IF(A1138="","",IF(K1138="","⚠ not in Products",INDEX(Products!$A$5:$A$204,K1138)))</f>
        <v/>
      </c>
      <c r="M1138" s="11">
        <f>IF(A1138="","",J1138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1138+IFERROR(INDEX(Settings!$D$5:$D$9,MATCH("Shopify",Settings!$A$5:$A$9,0)),0)*D1138)</f>
        <v/>
      </c>
      <c r="N1138" s="11">
        <f>IF(A1138="","",IF(K1138="",0,D1138*INDEX(Products!$I$5:$I$204,K1138)))</f>
        <v/>
      </c>
      <c r="O1138" s="11">
        <f>IF(A1138="","",IF(K1138="",0,J1138*INDEX(Products!$H$5:$H$204,K1138)))</f>
        <v/>
      </c>
      <c r="P1138" s="11">
        <f>IF(A1138="","",J1138-M1138-N1138-O1138)</f>
        <v/>
      </c>
    </row>
    <row r="1139">
      <c r="A1139">
        <f>IFERROR(INDEX('Shopify Import'!$A:$CZ,1139,Settings!$E$20)&amp;"","")</f>
        <v/>
      </c>
      <c r="B1139">
        <f>IFERROR(INDEX('Shopify Import'!$A:$CZ,1139,Settings!$E$21)&amp;"","")</f>
        <v/>
      </c>
      <c r="C1139">
        <f>IFERROR(INDEX('Shopify Import'!$A:$CZ,1139,Settings!$E$22)&amp;"","")</f>
        <v/>
      </c>
      <c r="D1139">
        <f>IF(A1139="","",IFERROR(VALUE(SUBSTITUTE(SUBSTITUTE(INDEX('Shopify Import'!$A:$CZ,1139,Settings!$E$23)&amp;"","$",""),",","")),0))</f>
        <v/>
      </c>
      <c r="E1139" s="11">
        <f>IF(A1139="","",IFERROR(VALUE(SUBSTITUTE(SUBSTITUTE(INDEX('Shopify Import'!$A:$CZ,1139,Settings!$E$24)&amp;"","$",""),",","")),0))</f>
        <v/>
      </c>
      <c r="F1139" s="11">
        <f>IF(A1139="","",D1139*E1139)</f>
        <v/>
      </c>
      <c r="G1139">
        <f>IF(A1139="","",IF(C1139="",1,COUNTIF($C$2:$C$1501,C1139)))</f>
        <v/>
      </c>
      <c r="H1139" s="11">
        <f>IF(A1139="","",IFERROR(VALUE(SUBSTITUTE(SUBSTITUTE(INDEX('Shopify Import'!$A:$CZ,1139,Settings!$E$25)&amp;"","$",""),",","")),0)/IF(Settings!$D$27="Yes",G1139,1))</f>
        <v/>
      </c>
      <c r="I1139" s="11">
        <f>IF(A1139="","",IFERROR(VALUE(SUBSTITUTE(SUBSTITUTE(INDEX('Shopify Import'!$A:$CZ,1139,Settings!$E$26)&amp;"","$",""),",","")),0)/IF(Settings!$D$27="Yes",G1139,1))</f>
        <v/>
      </c>
      <c r="J1139" s="11">
        <f>IF(A1139="","",F1139+H1139-I1139)</f>
        <v/>
      </c>
      <c r="K1139">
        <f>IF(A1139="","",IFERROR(IF(B1139="",NA(),MATCH(B1139,Products!$B$5:$B$204,0)),IFERROR(MATCH(A1139,Products!$A$5:$A$204,0),"")))</f>
        <v/>
      </c>
      <c r="L1139">
        <f>IF(A1139="","",IF(K1139="","⚠ not in Products",INDEX(Products!$A$5:$A$204,K1139)))</f>
        <v/>
      </c>
      <c r="M1139" s="11">
        <f>IF(A1139="","",J1139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1139+IFERROR(INDEX(Settings!$D$5:$D$9,MATCH("Shopify",Settings!$A$5:$A$9,0)),0)*D1139)</f>
        <v/>
      </c>
      <c r="N1139" s="11">
        <f>IF(A1139="","",IF(K1139="",0,D1139*INDEX(Products!$I$5:$I$204,K1139)))</f>
        <v/>
      </c>
      <c r="O1139" s="11">
        <f>IF(A1139="","",IF(K1139="",0,J1139*INDEX(Products!$H$5:$H$204,K1139)))</f>
        <v/>
      </c>
      <c r="P1139" s="11">
        <f>IF(A1139="","",J1139-M1139-N1139-O1139)</f>
        <v/>
      </c>
    </row>
    <row r="1140">
      <c r="A1140">
        <f>IFERROR(INDEX('Shopify Import'!$A:$CZ,1140,Settings!$E$20)&amp;"","")</f>
        <v/>
      </c>
      <c r="B1140">
        <f>IFERROR(INDEX('Shopify Import'!$A:$CZ,1140,Settings!$E$21)&amp;"","")</f>
        <v/>
      </c>
      <c r="C1140">
        <f>IFERROR(INDEX('Shopify Import'!$A:$CZ,1140,Settings!$E$22)&amp;"","")</f>
        <v/>
      </c>
      <c r="D1140">
        <f>IF(A1140="","",IFERROR(VALUE(SUBSTITUTE(SUBSTITUTE(INDEX('Shopify Import'!$A:$CZ,1140,Settings!$E$23)&amp;"","$",""),",","")),0))</f>
        <v/>
      </c>
      <c r="E1140" s="11">
        <f>IF(A1140="","",IFERROR(VALUE(SUBSTITUTE(SUBSTITUTE(INDEX('Shopify Import'!$A:$CZ,1140,Settings!$E$24)&amp;"","$",""),",","")),0))</f>
        <v/>
      </c>
      <c r="F1140" s="11">
        <f>IF(A1140="","",D1140*E1140)</f>
        <v/>
      </c>
      <c r="G1140">
        <f>IF(A1140="","",IF(C1140="",1,COUNTIF($C$2:$C$1501,C1140)))</f>
        <v/>
      </c>
      <c r="H1140" s="11">
        <f>IF(A1140="","",IFERROR(VALUE(SUBSTITUTE(SUBSTITUTE(INDEX('Shopify Import'!$A:$CZ,1140,Settings!$E$25)&amp;"","$",""),",","")),0)/IF(Settings!$D$27="Yes",G1140,1))</f>
        <v/>
      </c>
      <c r="I1140" s="11">
        <f>IF(A1140="","",IFERROR(VALUE(SUBSTITUTE(SUBSTITUTE(INDEX('Shopify Import'!$A:$CZ,1140,Settings!$E$26)&amp;"","$",""),",","")),0)/IF(Settings!$D$27="Yes",G1140,1))</f>
        <v/>
      </c>
      <c r="J1140" s="11">
        <f>IF(A1140="","",F1140+H1140-I1140)</f>
        <v/>
      </c>
      <c r="K1140">
        <f>IF(A1140="","",IFERROR(IF(B1140="",NA(),MATCH(B1140,Products!$B$5:$B$204,0)),IFERROR(MATCH(A1140,Products!$A$5:$A$204,0),"")))</f>
        <v/>
      </c>
      <c r="L1140">
        <f>IF(A1140="","",IF(K1140="","⚠ not in Products",INDEX(Products!$A$5:$A$204,K1140)))</f>
        <v/>
      </c>
      <c r="M1140" s="11">
        <f>IF(A1140="","",J1140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1140+IFERROR(INDEX(Settings!$D$5:$D$9,MATCH("Shopify",Settings!$A$5:$A$9,0)),0)*D1140)</f>
        <v/>
      </c>
      <c r="N1140" s="11">
        <f>IF(A1140="","",IF(K1140="",0,D1140*INDEX(Products!$I$5:$I$204,K1140)))</f>
        <v/>
      </c>
      <c r="O1140" s="11">
        <f>IF(A1140="","",IF(K1140="",0,J1140*INDEX(Products!$H$5:$H$204,K1140)))</f>
        <v/>
      </c>
      <c r="P1140" s="11">
        <f>IF(A1140="","",J1140-M1140-N1140-O1140)</f>
        <v/>
      </c>
    </row>
    <row r="1141">
      <c r="A1141">
        <f>IFERROR(INDEX('Shopify Import'!$A:$CZ,1141,Settings!$E$20)&amp;"","")</f>
        <v/>
      </c>
      <c r="B1141">
        <f>IFERROR(INDEX('Shopify Import'!$A:$CZ,1141,Settings!$E$21)&amp;"","")</f>
        <v/>
      </c>
      <c r="C1141">
        <f>IFERROR(INDEX('Shopify Import'!$A:$CZ,1141,Settings!$E$22)&amp;"","")</f>
        <v/>
      </c>
      <c r="D1141">
        <f>IF(A1141="","",IFERROR(VALUE(SUBSTITUTE(SUBSTITUTE(INDEX('Shopify Import'!$A:$CZ,1141,Settings!$E$23)&amp;"","$",""),",","")),0))</f>
        <v/>
      </c>
      <c r="E1141" s="11">
        <f>IF(A1141="","",IFERROR(VALUE(SUBSTITUTE(SUBSTITUTE(INDEX('Shopify Import'!$A:$CZ,1141,Settings!$E$24)&amp;"","$",""),",","")),0))</f>
        <v/>
      </c>
      <c r="F1141" s="11">
        <f>IF(A1141="","",D1141*E1141)</f>
        <v/>
      </c>
      <c r="G1141">
        <f>IF(A1141="","",IF(C1141="",1,COUNTIF($C$2:$C$1501,C1141)))</f>
        <v/>
      </c>
      <c r="H1141" s="11">
        <f>IF(A1141="","",IFERROR(VALUE(SUBSTITUTE(SUBSTITUTE(INDEX('Shopify Import'!$A:$CZ,1141,Settings!$E$25)&amp;"","$",""),",","")),0)/IF(Settings!$D$27="Yes",G1141,1))</f>
        <v/>
      </c>
      <c r="I1141" s="11">
        <f>IF(A1141="","",IFERROR(VALUE(SUBSTITUTE(SUBSTITUTE(INDEX('Shopify Import'!$A:$CZ,1141,Settings!$E$26)&amp;"","$",""),",","")),0)/IF(Settings!$D$27="Yes",G1141,1))</f>
        <v/>
      </c>
      <c r="J1141" s="11">
        <f>IF(A1141="","",F1141+H1141-I1141)</f>
        <v/>
      </c>
      <c r="K1141">
        <f>IF(A1141="","",IFERROR(IF(B1141="",NA(),MATCH(B1141,Products!$B$5:$B$204,0)),IFERROR(MATCH(A1141,Products!$A$5:$A$204,0),"")))</f>
        <v/>
      </c>
      <c r="L1141">
        <f>IF(A1141="","",IF(K1141="","⚠ not in Products",INDEX(Products!$A$5:$A$204,K1141)))</f>
        <v/>
      </c>
      <c r="M1141" s="11">
        <f>IF(A1141="","",J1141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1141+IFERROR(INDEX(Settings!$D$5:$D$9,MATCH("Shopify",Settings!$A$5:$A$9,0)),0)*D1141)</f>
        <v/>
      </c>
      <c r="N1141" s="11">
        <f>IF(A1141="","",IF(K1141="",0,D1141*INDEX(Products!$I$5:$I$204,K1141)))</f>
        <v/>
      </c>
      <c r="O1141" s="11">
        <f>IF(A1141="","",IF(K1141="",0,J1141*INDEX(Products!$H$5:$H$204,K1141)))</f>
        <v/>
      </c>
      <c r="P1141" s="11">
        <f>IF(A1141="","",J1141-M1141-N1141-O1141)</f>
        <v/>
      </c>
    </row>
    <row r="1142">
      <c r="A1142">
        <f>IFERROR(INDEX('Shopify Import'!$A:$CZ,1142,Settings!$E$20)&amp;"","")</f>
        <v/>
      </c>
      <c r="B1142">
        <f>IFERROR(INDEX('Shopify Import'!$A:$CZ,1142,Settings!$E$21)&amp;"","")</f>
        <v/>
      </c>
      <c r="C1142">
        <f>IFERROR(INDEX('Shopify Import'!$A:$CZ,1142,Settings!$E$22)&amp;"","")</f>
        <v/>
      </c>
      <c r="D1142">
        <f>IF(A1142="","",IFERROR(VALUE(SUBSTITUTE(SUBSTITUTE(INDEX('Shopify Import'!$A:$CZ,1142,Settings!$E$23)&amp;"","$",""),",","")),0))</f>
        <v/>
      </c>
      <c r="E1142" s="11">
        <f>IF(A1142="","",IFERROR(VALUE(SUBSTITUTE(SUBSTITUTE(INDEX('Shopify Import'!$A:$CZ,1142,Settings!$E$24)&amp;"","$",""),",","")),0))</f>
        <v/>
      </c>
      <c r="F1142" s="11">
        <f>IF(A1142="","",D1142*E1142)</f>
        <v/>
      </c>
      <c r="G1142">
        <f>IF(A1142="","",IF(C1142="",1,COUNTIF($C$2:$C$1501,C1142)))</f>
        <v/>
      </c>
      <c r="H1142" s="11">
        <f>IF(A1142="","",IFERROR(VALUE(SUBSTITUTE(SUBSTITUTE(INDEX('Shopify Import'!$A:$CZ,1142,Settings!$E$25)&amp;"","$",""),",","")),0)/IF(Settings!$D$27="Yes",G1142,1))</f>
        <v/>
      </c>
      <c r="I1142" s="11">
        <f>IF(A1142="","",IFERROR(VALUE(SUBSTITUTE(SUBSTITUTE(INDEX('Shopify Import'!$A:$CZ,1142,Settings!$E$26)&amp;"","$",""),",","")),0)/IF(Settings!$D$27="Yes",G1142,1))</f>
        <v/>
      </c>
      <c r="J1142" s="11">
        <f>IF(A1142="","",F1142+H1142-I1142)</f>
        <v/>
      </c>
      <c r="K1142">
        <f>IF(A1142="","",IFERROR(IF(B1142="",NA(),MATCH(B1142,Products!$B$5:$B$204,0)),IFERROR(MATCH(A1142,Products!$A$5:$A$204,0),"")))</f>
        <v/>
      </c>
      <c r="L1142">
        <f>IF(A1142="","",IF(K1142="","⚠ not in Products",INDEX(Products!$A$5:$A$204,K1142)))</f>
        <v/>
      </c>
      <c r="M1142" s="11">
        <f>IF(A1142="","",J1142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1142+IFERROR(INDEX(Settings!$D$5:$D$9,MATCH("Shopify",Settings!$A$5:$A$9,0)),0)*D1142)</f>
        <v/>
      </c>
      <c r="N1142" s="11">
        <f>IF(A1142="","",IF(K1142="",0,D1142*INDEX(Products!$I$5:$I$204,K1142)))</f>
        <v/>
      </c>
      <c r="O1142" s="11">
        <f>IF(A1142="","",IF(K1142="",0,J1142*INDEX(Products!$H$5:$H$204,K1142)))</f>
        <v/>
      </c>
      <c r="P1142" s="11">
        <f>IF(A1142="","",J1142-M1142-N1142-O1142)</f>
        <v/>
      </c>
    </row>
    <row r="1143">
      <c r="A1143">
        <f>IFERROR(INDEX('Shopify Import'!$A:$CZ,1143,Settings!$E$20)&amp;"","")</f>
        <v/>
      </c>
      <c r="B1143">
        <f>IFERROR(INDEX('Shopify Import'!$A:$CZ,1143,Settings!$E$21)&amp;"","")</f>
        <v/>
      </c>
      <c r="C1143">
        <f>IFERROR(INDEX('Shopify Import'!$A:$CZ,1143,Settings!$E$22)&amp;"","")</f>
        <v/>
      </c>
      <c r="D1143">
        <f>IF(A1143="","",IFERROR(VALUE(SUBSTITUTE(SUBSTITUTE(INDEX('Shopify Import'!$A:$CZ,1143,Settings!$E$23)&amp;"","$",""),",","")),0))</f>
        <v/>
      </c>
      <c r="E1143" s="11">
        <f>IF(A1143="","",IFERROR(VALUE(SUBSTITUTE(SUBSTITUTE(INDEX('Shopify Import'!$A:$CZ,1143,Settings!$E$24)&amp;"","$",""),",","")),0))</f>
        <v/>
      </c>
      <c r="F1143" s="11">
        <f>IF(A1143="","",D1143*E1143)</f>
        <v/>
      </c>
      <c r="G1143">
        <f>IF(A1143="","",IF(C1143="",1,COUNTIF($C$2:$C$1501,C1143)))</f>
        <v/>
      </c>
      <c r="H1143" s="11">
        <f>IF(A1143="","",IFERROR(VALUE(SUBSTITUTE(SUBSTITUTE(INDEX('Shopify Import'!$A:$CZ,1143,Settings!$E$25)&amp;"","$",""),",","")),0)/IF(Settings!$D$27="Yes",G1143,1))</f>
        <v/>
      </c>
      <c r="I1143" s="11">
        <f>IF(A1143="","",IFERROR(VALUE(SUBSTITUTE(SUBSTITUTE(INDEX('Shopify Import'!$A:$CZ,1143,Settings!$E$26)&amp;"","$",""),",","")),0)/IF(Settings!$D$27="Yes",G1143,1))</f>
        <v/>
      </c>
      <c r="J1143" s="11">
        <f>IF(A1143="","",F1143+H1143-I1143)</f>
        <v/>
      </c>
      <c r="K1143">
        <f>IF(A1143="","",IFERROR(IF(B1143="",NA(),MATCH(B1143,Products!$B$5:$B$204,0)),IFERROR(MATCH(A1143,Products!$A$5:$A$204,0),"")))</f>
        <v/>
      </c>
      <c r="L1143">
        <f>IF(A1143="","",IF(K1143="","⚠ not in Products",INDEX(Products!$A$5:$A$204,K1143)))</f>
        <v/>
      </c>
      <c r="M1143" s="11">
        <f>IF(A1143="","",J1143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1143+IFERROR(INDEX(Settings!$D$5:$D$9,MATCH("Shopify",Settings!$A$5:$A$9,0)),0)*D1143)</f>
        <v/>
      </c>
      <c r="N1143" s="11">
        <f>IF(A1143="","",IF(K1143="",0,D1143*INDEX(Products!$I$5:$I$204,K1143)))</f>
        <v/>
      </c>
      <c r="O1143" s="11">
        <f>IF(A1143="","",IF(K1143="",0,J1143*INDEX(Products!$H$5:$H$204,K1143)))</f>
        <v/>
      </c>
      <c r="P1143" s="11">
        <f>IF(A1143="","",J1143-M1143-N1143-O1143)</f>
        <v/>
      </c>
    </row>
    <row r="1144">
      <c r="A1144">
        <f>IFERROR(INDEX('Shopify Import'!$A:$CZ,1144,Settings!$E$20)&amp;"","")</f>
        <v/>
      </c>
      <c r="B1144">
        <f>IFERROR(INDEX('Shopify Import'!$A:$CZ,1144,Settings!$E$21)&amp;"","")</f>
        <v/>
      </c>
      <c r="C1144">
        <f>IFERROR(INDEX('Shopify Import'!$A:$CZ,1144,Settings!$E$22)&amp;"","")</f>
        <v/>
      </c>
      <c r="D1144">
        <f>IF(A1144="","",IFERROR(VALUE(SUBSTITUTE(SUBSTITUTE(INDEX('Shopify Import'!$A:$CZ,1144,Settings!$E$23)&amp;"","$",""),",","")),0))</f>
        <v/>
      </c>
      <c r="E1144" s="11">
        <f>IF(A1144="","",IFERROR(VALUE(SUBSTITUTE(SUBSTITUTE(INDEX('Shopify Import'!$A:$CZ,1144,Settings!$E$24)&amp;"","$",""),",","")),0))</f>
        <v/>
      </c>
      <c r="F1144" s="11">
        <f>IF(A1144="","",D1144*E1144)</f>
        <v/>
      </c>
      <c r="G1144">
        <f>IF(A1144="","",IF(C1144="",1,COUNTIF($C$2:$C$1501,C1144)))</f>
        <v/>
      </c>
      <c r="H1144" s="11">
        <f>IF(A1144="","",IFERROR(VALUE(SUBSTITUTE(SUBSTITUTE(INDEX('Shopify Import'!$A:$CZ,1144,Settings!$E$25)&amp;"","$",""),",","")),0)/IF(Settings!$D$27="Yes",G1144,1))</f>
        <v/>
      </c>
      <c r="I1144" s="11">
        <f>IF(A1144="","",IFERROR(VALUE(SUBSTITUTE(SUBSTITUTE(INDEX('Shopify Import'!$A:$CZ,1144,Settings!$E$26)&amp;"","$",""),",","")),0)/IF(Settings!$D$27="Yes",G1144,1))</f>
        <v/>
      </c>
      <c r="J1144" s="11">
        <f>IF(A1144="","",F1144+H1144-I1144)</f>
        <v/>
      </c>
      <c r="K1144">
        <f>IF(A1144="","",IFERROR(IF(B1144="",NA(),MATCH(B1144,Products!$B$5:$B$204,0)),IFERROR(MATCH(A1144,Products!$A$5:$A$204,0),"")))</f>
        <v/>
      </c>
      <c r="L1144">
        <f>IF(A1144="","",IF(K1144="","⚠ not in Products",INDEX(Products!$A$5:$A$204,K1144)))</f>
        <v/>
      </c>
      <c r="M1144" s="11">
        <f>IF(A1144="","",J1144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1144+IFERROR(INDEX(Settings!$D$5:$D$9,MATCH("Shopify",Settings!$A$5:$A$9,0)),0)*D1144)</f>
        <v/>
      </c>
      <c r="N1144" s="11">
        <f>IF(A1144="","",IF(K1144="",0,D1144*INDEX(Products!$I$5:$I$204,K1144)))</f>
        <v/>
      </c>
      <c r="O1144" s="11">
        <f>IF(A1144="","",IF(K1144="",0,J1144*INDEX(Products!$H$5:$H$204,K1144)))</f>
        <v/>
      </c>
      <c r="P1144" s="11">
        <f>IF(A1144="","",J1144-M1144-N1144-O1144)</f>
        <v/>
      </c>
    </row>
    <row r="1145">
      <c r="A1145">
        <f>IFERROR(INDEX('Shopify Import'!$A:$CZ,1145,Settings!$E$20)&amp;"","")</f>
        <v/>
      </c>
      <c r="B1145">
        <f>IFERROR(INDEX('Shopify Import'!$A:$CZ,1145,Settings!$E$21)&amp;"","")</f>
        <v/>
      </c>
      <c r="C1145">
        <f>IFERROR(INDEX('Shopify Import'!$A:$CZ,1145,Settings!$E$22)&amp;"","")</f>
        <v/>
      </c>
      <c r="D1145">
        <f>IF(A1145="","",IFERROR(VALUE(SUBSTITUTE(SUBSTITUTE(INDEX('Shopify Import'!$A:$CZ,1145,Settings!$E$23)&amp;"","$",""),",","")),0))</f>
        <v/>
      </c>
      <c r="E1145" s="11">
        <f>IF(A1145="","",IFERROR(VALUE(SUBSTITUTE(SUBSTITUTE(INDEX('Shopify Import'!$A:$CZ,1145,Settings!$E$24)&amp;"","$",""),",","")),0))</f>
        <v/>
      </c>
      <c r="F1145" s="11">
        <f>IF(A1145="","",D1145*E1145)</f>
        <v/>
      </c>
      <c r="G1145">
        <f>IF(A1145="","",IF(C1145="",1,COUNTIF($C$2:$C$1501,C1145)))</f>
        <v/>
      </c>
      <c r="H1145" s="11">
        <f>IF(A1145="","",IFERROR(VALUE(SUBSTITUTE(SUBSTITUTE(INDEX('Shopify Import'!$A:$CZ,1145,Settings!$E$25)&amp;"","$",""),",","")),0)/IF(Settings!$D$27="Yes",G1145,1))</f>
        <v/>
      </c>
      <c r="I1145" s="11">
        <f>IF(A1145="","",IFERROR(VALUE(SUBSTITUTE(SUBSTITUTE(INDEX('Shopify Import'!$A:$CZ,1145,Settings!$E$26)&amp;"","$",""),",","")),0)/IF(Settings!$D$27="Yes",G1145,1))</f>
        <v/>
      </c>
      <c r="J1145" s="11">
        <f>IF(A1145="","",F1145+H1145-I1145)</f>
        <v/>
      </c>
      <c r="K1145">
        <f>IF(A1145="","",IFERROR(IF(B1145="",NA(),MATCH(B1145,Products!$B$5:$B$204,0)),IFERROR(MATCH(A1145,Products!$A$5:$A$204,0),"")))</f>
        <v/>
      </c>
      <c r="L1145">
        <f>IF(A1145="","",IF(K1145="","⚠ not in Products",INDEX(Products!$A$5:$A$204,K1145)))</f>
        <v/>
      </c>
      <c r="M1145" s="11">
        <f>IF(A1145="","",J1145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1145+IFERROR(INDEX(Settings!$D$5:$D$9,MATCH("Shopify",Settings!$A$5:$A$9,0)),0)*D1145)</f>
        <v/>
      </c>
      <c r="N1145" s="11">
        <f>IF(A1145="","",IF(K1145="",0,D1145*INDEX(Products!$I$5:$I$204,K1145)))</f>
        <v/>
      </c>
      <c r="O1145" s="11">
        <f>IF(A1145="","",IF(K1145="",0,J1145*INDEX(Products!$H$5:$H$204,K1145)))</f>
        <v/>
      </c>
      <c r="P1145" s="11">
        <f>IF(A1145="","",J1145-M1145-N1145-O1145)</f>
        <v/>
      </c>
    </row>
    <row r="1146">
      <c r="A1146">
        <f>IFERROR(INDEX('Shopify Import'!$A:$CZ,1146,Settings!$E$20)&amp;"","")</f>
        <v/>
      </c>
      <c r="B1146">
        <f>IFERROR(INDEX('Shopify Import'!$A:$CZ,1146,Settings!$E$21)&amp;"","")</f>
        <v/>
      </c>
      <c r="C1146">
        <f>IFERROR(INDEX('Shopify Import'!$A:$CZ,1146,Settings!$E$22)&amp;"","")</f>
        <v/>
      </c>
      <c r="D1146">
        <f>IF(A1146="","",IFERROR(VALUE(SUBSTITUTE(SUBSTITUTE(INDEX('Shopify Import'!$A:$CZ,1146,Settings!$E$23)&amp;"","$",""),",","")),0))</f>
        <v/>
      </c>
      <c r="E1146" s="11">
        <f>IF(A1146="","",IFERROR(VALUE(SUBSTITUTE(SUBSTITUTE(INDEX('Shopify Import'!$A:$CZ,1146,Settings!$E$24)&amp;"","$",""),",","")),0))</f>
        <v/>
      </c>
      <c r="F1146" s="11">
        <f>IF(A1146="","",D1146*E1146)</f>
        <v/>
      </c>
      <c r="G1146">
        <f>IF(A1146="","",IF(C1146="",1,COUNTIF($C$2:$C$1501,C1146)))</f>
        <v/>
      </c>
      <c r="H1146" s="11">
        <f>IF(A1146="","",IFERROR(VALUE(SUBSTITUTE(SUBSTITUTE(INDEX('Shopify Import'!$A:$CZ,1146,Settings!$E$25)&amp;"","$",""),",","")),0)/IF(Settings!$D$27="Yes",G1146,1))</f>
        <v/>
      </c>
      <c r="I1146" s="11">
        <f>IF(A1146="","",IFERROR(VALUE(SUBSTITUTE(SUBSTITUTE(INDEX('Shopify Import'!$A:$CZ,1146,Settings!$E$26)&amp;"","$",""),",","")),0)/IF(Settings!$D$27="Yes",G1146,1))</f>
        <v/>
      </c>
      <c r="J1146" s="11">
        <f>IF(A1146="","",F1146+H1146-I1146)</f>
        <v/>
      </c>
      <c r="K1146">
        <f>IF(A1146="","",IFERROR(IF(B1146="",NA(),MATCH(B1146,Products!$B$5:$B$204,0)),IFERROR(MATCH(A1146,Products!$A$5:$A$204,0),"")))</f>
        <v/>
      </c>
      <c r="L1146">
        <f>IF(A1146="","",IF(K1146="","⚠ not in Products",INDEX(Products!$A$5:$A$204,K1146)))</f>
        <v/>
      </c>
      <c r="M1146" s="11">
        <f>IF(A1146="","",J1146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1146+IFERROR(INDEX(Settings!$D$5:$D$9,MATCH("Shopify",Settings!$A$5:$A$9,0)),0)*D1146)</f>
        <v/>
      </c>
      <c r="N1146" s="11">
        <f>IF(A1146="","",IF(K1146="",0,D1146*INDEX(Products!$I$5:$I$204,K1146)))</f>
        <v/>
      </c>
      <c r="O1146" s="11">
        <f>IF(A1146="","",IF(K1146="",0,J1146*INDEX(Products!$H$5:$H$204,K1146)))</f>
        <v/>
      </c>
      <c r="P1146" s="11">
        <f>IF(A1146="","",J1146-M1146-N1146-O1146)</f>
        <v/>
      </c>
    </row>
    <row r="1147">
      <c r="A1147">
        <f>IFERROR(INDEX('Shopify Import'!$A:$CZ,1147,Settings!$E$20)&amp;"","")</f>
        <v/>
      </c>
      <c r="B1147">
        <f>IFERROR(INDEX('Shopify Import'!$A:$CZ,1147,Settings!$E$21)&amp;"","")</f>
        <v/>
      </c>
      <c r="C1147">
        <f>IFERROR(INDEX('Shopify Import'!$A:$CZ,1147,Settings!$E$22)&amp;"","")</f>
        <v/>
      </c>
      <c r="D1147">
        <f>IF(A1147="","",IFERROR(VALUE(SUBSTITUTE(SUBSTITUTE(INDEX('Shopify Import'!$A:$CZ,1147,Settings!$E$23)&amp;"","$",""),",","")),0))</f>
        <v/>
      </c>
      <c r="E1147" s="11">
        <f>IF(A1147="","",IFERROR(VALUE(SUBSTITUTE(SUBSTITUTE(INDEX('Shopify Import'!$A:$CZ,1147,Settings!$E$24)&amp;"","$",""),",","")),0))</f>
        <v/>
      </c>
      <c r="F1147" s="11">
        <f>IF(A1147="","",D1147*E1147)</f>
        <v/>
      </c>
      <c r="G1147">
        <f>IF(A1147="","",IF(C1147="",1,COUNTIF($C$2:$C$1501,C1147)))</f>
        <v/>
      </c>
      <c r="H1147" s="11">
        <f>IF(A1147="","",IFERROR(VALUE(SUBSTITUTE(SUBSTITUTE(INDEX('Shopify Import'!$A:$CZ,1147,Settings!$E$25)&amp;"","$",""),",","")),0)/IF(Settings!$D$27="Yes",G1147,1))</f>
        <v/>
      </c>
      <c r="I1147" s="11">
        <f>IF(A1147="","",IFERROR(VALUE(SUBSTITUTE(SUBSTITUTE(INDEX('Shopify Import'!$A:$CZ,1147,Settings!$E$26)&amp;"","$",""),",","")),0)/IF(Settings!$D$27="Yes",G1147,1))</f>
        <v/>
      </c>
      <c r="J1147" s="11">
        <f>IF(A1147="","",F1147+H1147-I1147)</f>
        <v/>
      </c>
      <c r="K1147">
        <f>IF(A1147="","",IFERROR(IF(B1147="",NA(),MATCH(B1147,Products!$B$5:$B$204,0)),IFERROR(MATCH(A1147,Products!$A$5:$A$204,0),"")))</f>
        <v/>
      </c>
      <c r="L1147">
        <f>IF(A1147="","",IF(K1147="","⚠ not in Products",INDEX(Products!$A$5:$A$204,K1147)))</f>
        <v/>
      </c>
      <c r="M1147" s="11">
        <f>IF(A1147="","",J1147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1147+IFERROR(INDEX(Settings!$D$5:$D$9,MATCH("Shopify",Settings!$A$5:$A$9,0)),0)*D1147)</f>
        <v/>
      </c>
      <c r="N1147" s="11">
        <f>IF(A1147="","",IF(K1147="",0,D1147*INDEX(Products!$I$5:$I$204,K1147)))</f>
        <v/>
      </c>
      <c r="O1147" s="11">
        <f>IF(A1147="","",IF(K1147="",0,J1147*INDEX(Products!$H$5:$H$204,K1147)))</f>
        <v/>
      </c>
      <c r="P1147" s="11">
        <f>IF(A1147="","",J1147-M1147-N1147-O1147)</f>
        <v/>
      </c>
    </row>
    <row r="1148">
      <c r="A1148">
        <f>IFERROR(INDEX('Shopify Import'!$A:$CZ,1148,Settings!$E$20)&amp;"","")</f>
        <v/>
      </c>
      <c r="B1148">
        <f>IFERROR(INDEX('Shopify Import'!$A:$CZ,1148,Settings!$E$21)&amp;"","")</f>
        <v/>
      </c>
      <c r="C1148">
        <f>IFERROR(INDEX('Shopify Import'!$A:$CZ,1148,Settings!$E$22)&amp;"","")</f>
        <v/>
      </c>
      <c r="D1148">
        <f>IF(A1148="","",IFERROR(VALUE(SUBSTITUTE(SUBSTITUTE(INDEX('Shopify Import'!$A:$CZ,1148,Settings!$E$23)&amp;"","$",""),",","")),0))</f>
        <v/>
      </c>
      <c r="E1148" s="11">
        <f>IF(A1148="","",IFERROR(VALUE(SUBSTITUTE(SUBSTITUTE(INDEX('Shopify Import'!$A:$CZ,1148,Settings!$E$24)&amp;"","$",""),",","")),0))</f>
        <v/>
      </c>
      <c r="F1148" s="11">
        <f>IF(A1148="","",D1148*E1148)</f>
        <v/>
      </c>
      <c r="G1148">
        <f>IF(A1148="","",IF(C1148="",1,COUNTIF($C$2:$C$1501,C1148)))</f>
        <v/>
      </c>
      <c r="H1148" s="11">
        <f>IF(A1148="","",IFERROR(VALUE(SUBSTITUTE(SUBSTITUTE(INDEX('Shopify Import'!$A:$CZ,1148,Settings!$E$25)&amp;"","$",""),",","")),0)/IF(Settings!$D$27="Yes",G1148,1))</f>
        <v/>
      </c>
      <c r="I1148" s="11">
        <f>IF(A1148="","",IFERROR(VALUE(SUBSTITUTE(SUBSTITUTE(INDEX('Shopify Import'!$A:$CZ,1148,Settings!$E$26)&amp;"","$",""),",","")),0)/IF(Settings!$D$27="Yes",G1148,1))</f>
        <v/>
      </c>
      <c r="J1148" s="11">
        <f>IF(A1148="","",F1148+H1148-I1148)</f>
        <v/>
      </c>
      <c r="K1148">
        <f>IF(A1148="","",IFERROR(IF(B1148="",NA(),MATCH(B1148,Products!$B$5:$B$204,0)),IFERROR(MATCH(A1148,Products!$A$5:$A$204,0),"")))</f>
        <v/>
      </c>
      <c r="L1148">
        <f>IF(A1148="","",IF(K1148="","⚠ not in Products",INDEX(Products!$A$5:$A$204,K1148)))</f>
        <v/>
      </c>
      <c r="M1148" s="11">
        <f>IF(A1148="","",J1148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1148+IFERROR(INDEX(Settings!$D$5:$D$9,MATCH("Shopify",Settings!$A$5:$A$9,0)),0)*D1148)</f>
        <v/>
      </c>
      <c r="N1148" s="11">
        <f>IF(A1148="","",IF(K1148="",0,D1148*INDEX(Products!$I$5:$I$204,K1148)))</f>
        <v/>
      </c>
      <c r="O1148" s="11">
        <f>IF(A1148="","",IF(K1148="",0,J1148*INDEX(Products!$H$5:$H$204,K1148)))</f>
        <v/>
      </c>
      <c r="P1148" s="11">
        <f>IF(A1148="","",J1148-M1148-N1148-O1148)</f>
        <v/>
      </c>
    </row>
    <row r="1149">
      <c r="A1149">
        <f>IFERROR(INDEX('Shopify Import'!$A:$CZ,1149,Settings!$E$20)&amp;"","")</f>
        <v/>
      </c>
      <c r="B1149">
        <f>IFERROR(INDEX('Shopify Import'!$A:$CZ,1149,Settings!$E$21)&amp;"","")</f>
        <v/>
      </c>
      <c r="C1149">
        <f>IFERROR(INDEX('Shopify Import'!$A:$CZ,1149,Settings!$E$22)&amp;"","")</f>
        <v/>
      </c>
      <c r="D1149">
        <f>IF(A1149="","",IFERROR(VALUE(SUBSTITUTE(SUBSTITUTE(INDEX('Shopify Import'!$A:$CZ,1149,Settings!$E$23)&amp;"","$",""),",","")),0))</f>
        <v/>
      </c>
      <c r="E1149" s="11">
        <f>IF(A1149="","",IFERROR(VALUE(SUBSTITUTE(SUBSTITUTE(INDEX('Shopify Import'!$A:$CZ,1149,Settings!$E$24)&amp;"","$",""),",","")),0))</f>
        <v/>
      </c>
      <c r="F1149" s="11">
        <f>IF(A1149="","",D1149*E1149)</f>
        <v/>
      </c>
      <c r="G1149">
        <f>IF(A1149="","",IF(C1149="",1,COUNTIF($C$2:$C$1501,C1149)))</f>
        <v/>
      </c>
      <c r="H1149" s="11">
        <f>IF(A1149="","",IFERROR(VALUE(SUBSTITUTE(SUBSTITUTE(INDEX('Shopify Import'!$A:$CZ,1149,Settings!$E$25)&amp;"","$",""),",","")),0)/IF(Settings!$D$27="Yes",G1149,1))</f>
        <v/>
      </c>
      <c r="I1149" s="11">
        <f>IF(A1149="","",IFERROR(VALUE(SUBSTITUTE(SUBSTITUTE(INDEX('Shopify Import'!$A:$CZ,1149,Settings!$E$26)&amp;"","$",""),",","")),0)/IF(Settings!$D$27="Yes",G1149,1))</f>
        <v/>
      </c>
      <c r="J1149" s="11">
        <f>IF(A1149="","",F1149+H1149-I1149)</f>
        <v/>
      </c>
      <c r="K1149">
        <f>IF(A1149="","",IFERROR(IF(B1149="",NA(),MATCH(B1149,Products!$B$5:$B$204,0)),IFERROR(MATCH(A1149,Products!$A$5:$A$204,0),"")))</f>
        <v/>
      </c>
      <c r="L1149">
        <f>IF(A1149="","",IF(K1149="","⚠ not in Products",INDEX(Products!$A$5:$A$204,K1149)))</f>
        <v/>
      </c>
      <c r="M1149" s="11">
        <f>IF(A1149="","",J1149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1149+IFERROR(INDEX(Settings!$D$5:$D$9,MATCH("Shopify",Settings!$A$5:$A$9,0)),0)*D1149)</f>
        <v/>
      </c>
      <c r="N1149" s="11">
        <f>IF(A1149="","",IF(K1149="",0,D1149*INDEX(Products!$I$5:$I$204,K1149)))</f>
        <v/>
      </c>
      <c r="O1149" s="11">
        <f>IF(A1149="","",IF(K1149="",0,J1149*INDEX(Products!$H$5:$H$204,K1149)))</f>
        <v/>
      </c>
      <c r="P1149" s="11">
        <f>IF(A1149="","",J1149-M1149-N1149-O1149)</f>
        <v/>
      </c>
    </row>
    <row r="1150">
      <c r="A1150">
        <f>IFERROR(INDEX('Shopify Import'!$A:$CZ,1150,Settings!$E$20)&amp;"","")</f>
        <v/>
      </c>
      <c r="B1150">
        <f>IFERROR(INDEX('Shopify Import'!$A:$CZ,1150,Settings!$E$21)&amp;"","")</f>
        <v/>
      </c>
      <c r="C1150">
        <f>IFERROR(INDEX('Shopify Import'!$A:$CZ,1150,Settings!$E$22)&amp;"","")</f>
        <v/>
      </c>
      <c r="D1150">
        <f>IF(A1150="","",IFERROR(VALUE(SUBSTITUTE(SUBSTITUTE(INDEX('Shopify Import'!$A:$CZ,1150,Settings!$E$23)&amp;"","$",""),",","")),0))</f>
        <v/>
      </c>
      <c r="E1150" s="11">
        <f>IF(A1150="","",IFERROR(VALUE(SUBSTITUTE(SUBSTITUTE(INDEX('Shopify Import'!$A:$CZ,1150,Settings!$E$24)&amp;"","$",""),",","")),0))</f>
        <v/>
      </c>
      <c r="F1150" s="11">
        <f>IF(A1150="","",D1150*E1150)</f>
        <v/>
      </c>
      <c r="G1150">
        <f>IF(A1150="","",IF(C1150="",1,COUNTIF($C$2:$C$1501,C1150)))</f>
        <v/>
      </c>
      <c r="H1150" s="11">
        <f>IF(A1150="","",IFERROR(VALUE(SUBSTITUTE(SUBSTITUTE(INDEX('Shopify Import'!$A:$CZ,1150,Settings!$E$25)&amp;"","$",""),",","")),0)/IF(Settings!$D$27="Yes",G1150,1))</f>
        <v/>
      </c>
      <c r="I1150" s="11">
        <f>IF(A1150="","",IFERROR(VALUE(SUBSTITUTE(SUBSTITUTE(INDEX('Shopify Import'!$A:$CZ,1150,Settings!$E$26)&amp;"","$",""),",","")),0)/IF(Settings!$D$27="Yes",G1150,1))</f>
        <v/>
      </c>
      <c r="J1150" s="11">
        <f>IF(A1150="","",F1150+H1150-I1150)</f>
        <v/>
      </c>
      <c r="K1150">
        <f>IF(A1150="","",IFERROR(IF(B1150="",NA(),MATCH(B1150,Products!$B$5:$B$204,0)),IFERROR(MATCH(A1150,Products!$A$5:$A$204,0),"")))</f>
        <v/>
      </c>
      <c r="L1150">
        <f>IF(A1150="","",IF(K1150="","⚠ not in Products",INDEX(Products!$A$5:$A$204,K1150)))</f>
        <v/>
      </c>
      <c r="M1150" s="11">
        <f>IF(A1150="","",J1150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1150+IFERROR(INDEX(Settings!$D$5:$D$9,MATCH("Shopify",Settings!$A$5:$A$9,0)),0)*D1150)</f>
        <v/>
      </c>
      <c r="N1150" s="11">
        <f>IF(A1150="","",IF(K1150="",0,D1150*INDEX(Products!$I$5:$I$204,K1150)))</f>
        <v/>
      </c>
      <c r="O1150" s="11">
        <f>IF(A1150="","",IF(K1150="",0,J1150*INDEX(Products!$H$5:$H$204,K1150)))</f>
        <v/>
      </c>
      <c r="P1150" s="11">
        <f>IF(A1150="","",J1150-M1150-N1150-O1150)</f>
        <v/>
      </c>
    </row>
    <row r="1151">
      <c r="A1151">
        <f>IFERROR(INDEX('Shopify Import'!$A:$CZ,1151,Settings!$E$20)&amp;"","")</f>
        <v/>
      </c>
      <c r="B1151">
        <f>IFERROR(INDEX('Shopify Import'!$A:$CZ,1151,Settings!$E$21)&amp;"","")</f>
        <v/>
      </c>
      <c r="C1151">
        <f>IFERROR(INDEX('Shopify Import'!$A:$CZ,1151,Settings!$E$22)&amp;"","")</f>
        <v/>
      </c>
      <c r="D1151">
        <f>IF(A1151="","",IFERROR(VALUE(SUBSTITUTE(SUBSTITUTE(INDEX('Shopify Import'!$A:$CZ,1151,Settings!$E$23)&amp;"","$",""),",","")),0))</f>
        <v/>
      </c>
      <c r="E1151" s="11">
        <f>IF(A1151="","",IFERROR(VALUE(SUBSTITUTE(SUBSTITUTE(INDEX('Shopify Import'!$A:$CZ,1151,Settings!$E$24)&amp;"","$",""),",","")),0))</f>
        <v/>
      </c>
      <c r="F1151" s="11">
        <f>IF(A1151="","",D1151*E1151)</f>
        <v/>
      </c>
      <c r="G1151">
        <f>IF(A1151="","",IF(C1151="",1,COUNTIF($C$2:$C$1501,C1151)))</f>
        <v/>
      </c>
      <c r="H1151" s="11">
        <f>IF(A1151="","",IFERROR(VALUE(SUBSTITUTE(SUBSTITUTE(INDEX('Shopify Import'!$A:$CZ,1151,Settings!$E$25)&amp;"","$",""),",","")),0)/IF(Settings!$D$27="Yes",G1151,1))</f>
        <v/>
      </c>
      <c r="I1151" s="11">
        <f>IF(A1151="","",IFERROR(VALUE(SUBSTITUTE(SUBSTITUTE(INDEX('Shopify Import'!$A:$CZ,1151,Settings!$E$26)&amp;"","$",""),",","")),0)/IF(Settings!$D$27="Yes",G1151,1))</f>
        <v/>
      </c>
      <c r="J1151" s="11">
        <f>IF(A1151="","",F1151+H1151-I1151)</f>
        <v/>
      </c>
      <c r="K1151">
        <f>IF(A1151="","",IFERROR(IF(B1151="",NA(),MATCH(B1151,Products!$B$5:$B$204,0)),IFERROR(MATCH(A1151,Products!$A$5:$A$204,0),"")))</f>
        <v/>
      </c>
      <c r="L1151">
        <f>IF(A1151="","",IF(K1151="","⚠ not in Products",INDEX(Products!$A$5:$A$204,K1151)))</f>
        <v/>
      </c>
      <c r="M1151" s="11">
        <f>IF(A1151="","",J1151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1151+IFERROR(INDEX(Settings!$D$5:$D$9,MATCH("Shopify",Settings!$A$5:$A$9,0)),0)*D1151)</f>
        <v/>
      </c>
      <c r="N1151" s="11">
        <f>IF(A1151="","",IF(K1151="",0,D1151*INDEX(Products!$I$5:$I$204,K1151)))</f>
        <v/>
      </c>
      <c r="O1151" s="11">
        <f>IF(A1151="","",IF(K1151="",0,J1151*INDEX(Products!$H$5:$H$204,K1151)))</f>
        <v/>
      </c>
      <c r="P1151" s="11">
        <f>IF(A1151="","",J1151-M1151-N1151-O1151)</f>
        <v/>
      </c>
    </row>
    <row r="1152">
      <c r="A1152">
        <f>IFERROR(INDEX('Shopify Import'!$A:$CZ,1152,Settings!$E$20)&amp;"","")</f>
        <v/>
      </c>
      <c r="B1152">
        <f>IFERROR(INDEX('Shopify Import'!$A:$CZ,1152,Settings!$E$21)&amp;"","")</f>
        <v/>
      </c>
      <c r="C1152">
        <f>IFERROR(INDEX('Shopify Import'!$A:$CZ,1152,Settings!$E$22)&amp;"","")</f>
        <v/>
      </c>
      <c r="D1152">
        <f>IF(A1152="","",IFERROR(VALUE(SUBSTITUTE(SUBSTITUTE(INDEX('Shopify Import'!$A:$CZ,1152,Settings!$E$23)&amp;"","$",""),",","")),0))</f>
        <v/>
      </c>
      <c r="E1152" s="11">
        <f>IF(A1152="","",IFERROR(VALUE(SUBSTITUTE(SUBSTITUTE(INDEX('Shopify Import'!$A:$CZ,1152,Settings!$E$24)&amp;"","$",""),",","")),0))</f>
        <v/>
      </c>
      <c r="F1152" s="11">
        <f>IF(A1152="","",D1152*E1152)</f>
        <v/>
      </c>
      <c r="G1152">
        <f>IF(A1152="","",IF(C1152="",1,COUNTIF($C$2:$C$1501,C1152)))</f>
        <v/>
      </c>
      <c r="H1152" s="11">
        <f>IF(A1152="","",IFERROR(VALUE(SUBSTITUTE(SUBSTITUTE(INDEX('Shopify Import'!$A:$CZ,1152,Settings!$E$25)&amp;"","$",""),",","")),0)/IF(Settings!$D$27="Yes",G1152,1))</f>
        <v/>
      </c>
      <c r="I1152" s="11">
        <f>IF(A1152="","",IFERROR(VALUE(SUBSTITUTE(SUBSTITUTE(INDEX('Shopify Import'!$A:$CZ,1152,Settings!$E$26)&amp;"","$",""),",","")),0)/IF(Settings!$D$27="Yes",G1152,1))</f>
        <v/>
      </c>
      <c r="J1152" s="11">
        <f>IF(A1152="","",F1152+H1152-I1152)</f>
        <v/>
      </c>
      <c r="K1152">
        <f>IF(A1152="","",IFERROR(IF(B1152="",NA(),MATCH(B1152,Products!$B$5:$B$204,0)),IFERROR(MATCH(A1152,Products!$A$5:$A$204,0),"")))</f>
        <v/>
      </c>
      <c r="L1152">
        <f>IF(A1152="","",IF(K1152="","⚠ not in Products",INDEX(Products!$A$5:$A$204,K1152)))</f>
        <v/>
      </c>
      <c r="M1152" s="11">
        <f>IF(A1152="","",J1152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1152+IFERROR(INDEX(Settings!$D$5:$D$9,MATCH("Shopify",Settings!$A$5:$A$9,0)),0)*D1152)</f>
        <v/>
      </c>
      <c r="N1152" s="11">
        <f>IF(A1152="","",IF(K1152="",0,D1152*INDEX(Products!$I$5:$I$204,K1152)))</f>
        <v/>
      </c>
      <c r="O1152" s="11">
        <f>IF(A1152="","",IF(K1152="",0,J1152*INDEX(Products!$H$5:$H$204,K1152)))</f>
        <v/>
      </c>
      <c r="P1152" s="11">
        <f>IF(A1152="","",J1152-M1152-N1152-O1152)</f>
        <v/>
      </c>
    </row>
    <row r="1153">
      <c r="A1153">
        <f>IFERROR(INDEX('Shopify Import'!$A:$CZ,1153,Settings!$E$20)&amp;"","")</f>
        <v/>
      </c>
      <c r="B1153">
        <f>IFERROR(INDEX('Shopify Import'!$A:$CZ,1153,Settings!$E$21)&amp;"","")</f>
        <v/>
      </c>
      <c r="C1153">
        <f>IFERROR(INDEX('Shopify Import'!$A:$CZ,1153,Settings!$E$22)&amp;"","")</f>
        <v/>
      </c>
      <c r="D1153">
        <f>IF(A1153="","",IFERROR(VALUE(SUBSTITUTE(SUBSTITUTE(INDEX('Shopify Import'!$A:$CZ,1153,Settings!$E$23)&amp;"","$",""),",","")),0))</f>
        <v/>
      </c>
      <c r="E1153" s="11">
        <f>IF(A1153="","",IFERROR(VALUE(SUBSTITUTE(SUBSTITUTE(INDEX('Shopify Import'!$A:$CZ,1153,Settings!$E$24)&amp;"","$",""),",","")),0))</f>
        <v/>
      </c>
      <c r="F1153" s="11">
        <f>IF(A1153="","",D1153*E1153)</f>
        <v/>
      </c>
      <c r="G1153">
        <f>IF(A1153="","",IF(C1153="",1,COUNTIF($C$2:$C$1501,C1153)))</f>
        <v/>
      </c>
      <c r="H1153" s="11">
        <f>IF(A1153="","",IFERROR(VALUE(SUBSTITUTE(SUBSTITUTE(INDEX('Shopify Import'!$A:$CZ,1153,Settings!$E$25)&amp;"","$",""),",","")),0)/IF(Settings!$D$27="Yes",G1153,1))</f>
        <v/>
      </c>
      <c r="I1153" s="11">
        <f>IF(A1153="","",IFERROR(VALUE(SUBSTITUTE(SUBSTITUTE(INDEX('Shopify Import'!$A:$CZ,1153,Settings!$E$26)&amp;"","$",""),",","")),0)/IF(Settings!$D$27="Yes",G1153,1))</f>
        <v/>
      </c>
      <c r="J1153" s="11">
        <f>IF(A1153="","",F1153+H1153-I1153)</f>
        <v/>
      </c>
      <c r="K1153">
        <f>IF(A1153="","",IFERROR(IF(B1153="",NA(),MATCH(B1153,Products!$B$5:$B$204,0)),IFERROR(MATCH(A1153,Products!$A$5:$A$204,0),"")))</f>
        <v/>
      </c>
      <c r="L1153">
        <f>IF(A1153="","",IF(K1153="","⚠ not in Products",INDEX(Products!$A$5:$A$204,K1153)))</f>
        <v/>
      </c>
      <c r="M1153" s="11">
        <f>IF(A1153="","",J1153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1153+IFERROR(INDEX(Settings!$D$5:$D$9,MATCH("Shopify",Settings!$A$5:$A$9,0)),0)*D1153)</f>
        <v/>
      </c>
      <c r="N1153" s="11">
        <f>IF(A1153="","",IF(K1153="",0,D1153*INDEX(Products!$I$5:$I$204,K1153)))</f>
        <v/>
      </c>
      <c r="O1153" s="11">
        <f>IF(A1153="","",IF(K1153="",0,J1153*INDEX(Products!$H$5:$H$204,K1153)))</f>
        <v/>
      </c>
      <c r="P1153" s="11">
        <f>IF(A1153="","",J1153-M1153-N1153-O1153)</f>
        <v/>
      </c>
    </row>
    <row r="1154">
      <c r="A1154">
        <f>IFERROR(INDEX('Shopify Import'!$A:$CZ,1154,Settings!$E$20)&amp;"","")</f>
        <v/>
      </c>
      <c r="B1154">
        <f>IFERROR(INDEX('Shopify Import'!$A:$CZ,1154,Settings!$E$21)&amp;"","")</f>
        <v/>
      </c>
      <c r="C1154">
        <f>IFERROR(INDEX('Shopify Import'!$A:$CZ,1154,Settings!$E$22)&amp;"","")</f>
        <v/>
      </c>
      <c r="D1154">
        <f>IF(A1154="","",IFERROR(VALUE(SUBSTITUTE(SUBSTITUTE(INDEX('Shopify Import'!$A:$CZ,1154,Settings!$E$23)&amp;"","$",""),",","")),0))</f>
        <v/>
      </c>
      <c r="E1154" s="11">
        <f>IF(A1154="","",IFERROR(VALUE(SUBSTITUTE(SUBSTITUTE(INDEX('Shopify Import'!$A:$CZ,1154,Settings!$E$24)&amp;"","$",""),",","")),0))</f>
        <v/>
      </c>
      <c r="F1154" s="11">
        <f>IF(A1154="","",D1154*E1154)</f>
        <v/>
      </c>
      <c r="G1154">
        <f>IF(A1154="","",IF(C1154="",1,COUNTIF($C$2:$C$1501,C1154)))</f>
        <v/>
      </c>
      <c r="H1154" s="11">
        <f>IF(A1154="","",IFERROR(VALUE(SUBSTITUTE(SUBSTITUTE(INDEX('Shopify Import'!$A:$CZ,1154,Settings!$E$25)&amp;"","$",""),",","")),0)/IF(Settings!$D$27="Yes",G1154,1))</f>
        <v/>
      </c>
      <c r="I1154" s="11">
        <f>IF(A1154="","",IFERROR(VALUE(SUBSTITUTE(SUBSTITUTE(INDEX('Shopify Import'!$A:$CZ,1154,Settings!$E$26)&amp;"","$",""),",","")),0)/IF(Settings!$D$27="Yes",G1154,1))</f>
        <v/>
      </c>
      <c r="J1154" s="11">
        <f>IF(A1154="","",F1154+H1154-I1154)</f>
        <v/>
      </c>
      <c r="K1154">
        <f>IF(A1154="","",IFERROR(IF(B1154="",NA(),MATCH(B1154,Products!$B$5:$B$204,0)),IFERROR(MATCH(A1154,Products!$A$5:$A$204,0),"")))</f>
        <v/>
      </c>
      <c r="L1154">
        <f>IF(A1154="","",IF(K1154="","⚠ not in Products",INDEX(Products!$A$5:$A$204,K1154)))</f>
        <v/>
      </c>
      <c r="M1154" s="11">
        <f>IF(A1154="","",J1154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1154+IFERROR(INDEX(Settings!$D$5:$D$9,MATCH("Shopify",Settings!$A$5:$A$9,0)),0)*D1154)</f>
        <v/>
      </c>
      <c r="N1154" s="11">
        <f>IF(A1154="","",IF(K1154="",0,D1154*INDEX(Products!$I$5:$I$204,K1154)))</f>
        <v/>
      </c>
      <c r="O1154" s="11">
        <f>IF(A1154="","",IF(K1154="",0,J1154*INDEX(Products!$H$5:$H$204,K1154)))</f>
        <v/>
      </c>
      <c r="P1154" s="11">
        <f>IF(A1154="","",J1154-M1154-N1154-O1154)</f>
        <v/>
      </c>
    </row>
    <row r="1155">
      <c r="A1155">
        <f>IFERROR(INDEX('Shopify Import'!$A:$CZ,1155,Settings!$E$20)&amp;"","")</f>
        <v/>
      </c>
      <c r="B1155">
        <f>IFERROR(INDEX('Shopify Import'!$A:$CZ,1155,Settings!$E$21)&amp;"","")</f>
        <v/>
      </c>
      <c r="C1155">
        <f>IFERROR(INDEX('Shopify Import'!$A:$CZ,1155,Settings!$E$22)&amp;"","")</f>
        <v/>
      </c>
      <c r="D1155">
        <f>IF(A1155="","",IFERROR(VALUE(SUBSTITUTE(SUBSTITUTE(INDEX('Shopify Import'!$A:$CZ,1155,Settings!$E$23)&amp;"","$",""),",","")),0))</f>
        <v/>
      </c>
      <c r="E1155" s="11">
        <f>IF(A1155="","",IFERROR(VALUE(SUBSTITUTE(SUBSTITUTE(INDEX('Shopify Import'!$A:$CZ,1155,Settings!$E$24)&amp;"","$",""),",","")),0))</f>
        <v/>
      </c>
      <c r="F1155" s="11">
        <f>IF(A1155="","",D1155*E1155)</f>
        <v/>
      </c>
      <c r="G1155">
        <f>IF(A1155="","",IF(C1155="",1,COUNTIF($C$2:$C$1501,C1155)))</f>
        <v/>
      </c>
      <c r="H1155" s="11">
        <f>IF(A1155="","",IFERROR(VALUE(SUBSTITUTE(SUBSTITUTE(INDEX('Shopify Import'!$A:$CZ,1155,Settings!$E$25)&amp;"","$",""),",","")),0)/IF(Settings!$D$27="Yes",G1155,1))</f>
        <v/>
      </c>
      <c r="I1155" s="11">
        <f>IF(A1155="","",IFERROR(VALUE(SUBSTITUTE(SUBSTITUTE(INDEX('Shopify Import'!$A:$CZ,1155,Settings!$E$26)&amp;"","$",""),",","")),0)/IF(Settings!$D$27="Yes",G1155,1))</f>
        <v/>
      </c>
      <c r="J1155" s="11">
        <f>IF(A1155="","",F1155+H1155-I1155)</f>
        <v/>
      </c>
      <c r="K1155">
        <f>IF(A1155="","",IFERROR(IF(B1155="",NA(),MATCH(B1155,Products!$B$5:$B$204,0)),IFERROR(MATCH(A1155,Products!$A$5:$A$204,0),"")))</f>
        <v/>
      </c>
      <c r="L1155">
        <f>IF(A1155="","",IF(K1155="","⚠ not in Products",INDEX(Products!$A$5:$A$204,K1155)))</f>
        <v/>
      </c>
      <c r="M1155" s="11">
        <f>IF(A1155="","",J1155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1155+IFERROR(INDEX(Settings!$D$5:$D$9,MATCH("Shopify",Settings!$A$5:$A$9,0)),0)*D1155)</f>
        <v/>
      </c>
      <c r="N1155" s="11">
        <f>IF(A1155="","",IF(K1155="",0,D1155*INDEX(Products!$I$5:$I$204,K1155)))</f>
        <v/>
      </c>
      <c r="O1155" s="11">
        <f>IF(A1155="","",IF(K1155="",0,J1155*INDEX(Products!$H$5:$H$204,K1155)))</f>
        <v/>
      </c>
      <c r="P1155" s="11">
        <f>IF(A1155="","",J1155-M1155-N1155-O1155)</f>
        <v/>
      </c>
    </row>
    <row r="1156">
      <c r="A1156">
        <f>IFERROR(INDEX('Shopify Import'!$A:$CZ,1156,Settings!$E$20)&amp;"","")</f>
        <v/>
      </c>
      <c r="B1156">
        <f>IFERROR(INDEX('Shopify Import'!$A:$CZ,1156,Settings!$E$21)&amp;"","")</f>
        <v/>
      </c>
      <c r="C1156">
        <f>IFERROR(INDEX('Shopify Import'!$A:$CZ,1156,Settings!$E$22)&amp;"","")</f>
        <v/>
      </c>
      <c r="D1156">
        <f>IF(A1156="","",IFERROR(VALUE(SUBSTITUTE(SUBSTITUTE(INDEX('Shopify Import'!$A:$CZ,1156,Settings!$E$23)&amp;"","$",""),",","")),0))</f>
        <v/>
      </c>
      <c r="E1156" s="11">
        <f>IF(A1156="","",IFERROR(VALUE(SUBSTITUTE(SUBSTITUTE(INDEX('Shopify Import'!$A:$CZ,1156,Settings!$E$24)&amp;"","$",""),",","")),0))</f>
        <v/>
      </c>
      <c r="F1156" s="11">
        <f>IF(A1156="","",D1156*E1156)</f>
        <v/>
      </c>
      <c r="G1156">
        <f>IF(A1156="","",IF(C1156="",1,COUNTIF($C$2:$C$1501,C1156)))</f>
        <v/>
      </c>
      <c r="H1156" s="11">
        <f>IF(A1156="","",IFERROR(VALUE(SUBSTITUTE(SUBSTITUTE(INDEX('Shopify Import'!$A:$CZ,1156,Settings!$E$25)&amp;"","$",""),",","")),0)/IF(Settings!$D$27="Yes",G1156,1))</f>
        <v/>
      </c>
      <c r="I1156" s="11">
        <f>IF(A1156="","",IFERROR(VALUE(SUBSTITUTE(SUBSTITUTE(INDEX('Shopify Import'!$A:$CZ,1156,Settings!$E$26)&amp;"","$",""),",","")),0)/IF(Settings!$D$27="Yes",G1156,1))</f>
        <v/>
      </c>
      <c r="J1156" s="11">
        <f>IF(A1156="","",F1156+H1156-I1156)</f>
        <v/>
      </c>
      <c r="K1156">
        <f>IF(A1156="","",IFERROR(IF(B1156="",NA(),MATCH(B1156,Products!$B$5:$B$204,0)),IFERROR(MATCH(A1156,Products!$A$5:$A$204,0),"")))</f>
        <v/>
      </c>
      <c r="L1156">
        <f>IF(A1156="","",IF(K1156="","⚠ not in Products",INDEX(Products!$A$5:$A$204,K1156)))</f>
        <v/>
      </c>
      <c r="M1156" s="11">
        <f>IF(A1156="","",J1156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1156+IFERROR(INDEX(Settings!$D$5:$D$9,MATCH("Shopify",Settings!$A$5:$A$9,0)),0)*D1156)</f>
        <v/>
      </c>
      <c r="N1156" s="11">
        <f>IF(A1156="","",IF(K1156="",0,D1156*INDEX(Products!$I$5:$I$204,K1156)))</f>
        <v/>
      </c>
      <c r="O1156" s="11">
        <f>IF(A1156="","",IF(K1156="",0,J1156*INDEX(Products!$H$5:$H$204,K1156)))</f>
        <v/>
      </c>
      <c r="P1156" s="11">
        <f>IF(A1156="","",J1156-M1156-N1156-O1156)</f>
        <v/>
      </c>
    </row>
    <row r="1157">
      <c r="A1157">
        <f>IFERROR(INDEX('Shopify Import'!$A:$CZ,1157,Settings!$E$20)&amp;"","")</f>
        <v/>
      </c>
      <c r="B1157">
        <f>IFERROR(INDEX('Shopify Import'!$A:$CZ,1157,Settings!$E$21)&amp;"","")</f>
        <v/>
      </c>
      <c r="C1157">
        <f>IFERROR(INDEX('Shopify Import'!$A:$CZ,1157,Settings!$E$22)&amp;"","")</f>
        <v/>
      </c>
      <c r="D1157">
        <f>IF(A1157="","",IFERROR(VALUE(SUBSTITUTE(SUBSTITUTE(INDEX('Shopify Import'!$A:$CZ,1157,Settings!$E$23)&amp;"","$",""),",","")),0))</f>
        <v/>
      </c>
      <c r="E1157" s="11">
        <f>IF(A1157="","",IFERROR(VALUE(SUBSTITUTE(SUBSTITUTE(INDEX('Shopify Import'!$A:$CZ,1157,Settings!$E$24)&amp;"","$",""),",","")),0))</f>
        <v/>
      </c>
      <c r="F1157" s="11">
        <f>IF(A1157="","",D1157*E1157)</f>
        <v/>
      </c>
      <c r="G1157">
        <f>IF(A1157="","",IF(C1157="",1,COUNTIF($C$2:$C$1501,C1157)))</f>
        <v/>
      </c>
      <c r="H1157" s="11">
        <f>IF(A1157="","",IFERROR(VALUE(SUBSTITUTE(SUBSTITUTE(INDEX('Shopify Import'!$A:$CZ,1157,Settings!$E$25)&amp;"","$",""),",","")),0)/IF(Settings!$D$27="Yes",G1157,1))</f>
        <v/>
      </c>
      <c r="I1157" s="11">
        <f>IF(A1157="","",IFERROR(VALUE(SUBSTITUTE(SUBSTITUTE(INDEX('Shopify Import'!$A:$CZ,1157,Settings!$E$26)&amp;"","$",""),",","")),0)/IF(Settings!$D$27="Yes",G1157,1))</f>
        <v/>
      </c>
      <c r="J1157" s="11">
        <f>IF(A1157="","",F1157+H1157-I1157)</f>
        <v/>
      </c>
      <c r="K1157">
        <f>IF(A1157="","",IFERROR(IF(B1157="",NA(),MATCH(B1157,Products!$B$5:$B$204,0)),IFERROR(MATCH(A1157,Products!$A$5:$A$204,0),"")))</f>
        <v/>
      </c>
      <c r="L1157">
        <f>IF(A1157="","",IF(K1157="","⚠ not in Products",INDEX(Products!$A$5:$A$204,K1157)))</f>
        <v/>
      </c>
      <c r="M1157" s="11">
        <f>IF(A1157="","",J1157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1157+IFERROR(INDEX(Settings!$D$5:$D$9,MATCH("Shopify",Settings!$A$5:$A$9,0)),0)*D1157)</f>
        <v/>
      </c>
      <c r="N1157" s="11">
        <f>IF(A1157="","",IF(K1157="",0,D1157*INDEX(Products!$I$5:$I$204,K1157)))</f>
        <v/>
      </c>
      <c r="O1157" s="11">
        <f>IF(A1157="","",IF(K1157="",0,J1157*INDEX(Products!$H$5:$H$204,K1157)))</f>
        <v/>
      </c>
      <c r="P1157" s="11">
        <f>IF(A1157="","",J1157-M1157-N1157-O1157)</f>
        <v/>
      </c>
    </row>
    <row r="1158">
      <c r="A1158">
        <f>IFERROR(INDEX('Shopify Import'!$A:$CZ,1158,Settings!$E$20)&amp;"","")</f>
        <v/>
      </c>
      <c r="B1158">
        <f>IFERROR(INDEX('Shopify Import'!$A:$CZ,1158,Settings!$E$21)&amp;"","")</f>
        <v/>
      </c>
      <c r="C1158">
        <f>IFERROR(INDEX('Shopify Import'!$A:$CZ,1158,Settings!$E$22)&amp;"","")</f>
        <v/>
      </c>
      <c r="D1158">
        <f>IF(A1158="","",IFERROR(VALUE(SUBSTITUTE(SUBSTITUTE(INDEX('Shopify Import'!$A:$CZ,1158,Settings!$E$23)&amp;"","$",""),",","")),0))</f>
        <v/>
      </c>
      <c r="E1158" s="11">
        <f>IF(A1158="","",IFERROR(VALUE(SUBSTITUTE(SUBSTITUTE(INDEX('Shopify Import'!$A:$CZ,1158,Settings!$E$24)&amp;"","$",""),",","")),0))</f>
        <v/>
      </c>
      <c r="F1158" s="11">
        <f>IF(A1158="","",D1158*E1158)</f>
        <v/>
      </c>
      <c r="G1158">
        <f>IF(A1158="","",IF(C1158="",1,COUNTIF($C$2:$C$1501,C1158)))</f>
        <v/>
      </c>
      <c r="H1158" s="11">
        <f>IF(A1158="","",IFERROR(VALUE(SUBSTITUTE(SUBSTITUTE(INDEX('Shopify Import'!$A:$CZ,1158,Settings!$E$25)&amp;"","$",""),",","")),0)/IF(Settings!$D$27="Yes",G1158,1))</f>
        <v/>
      </c>
      <c r="I1158" s="11">
        <f>IF(A1158="","",IFERROR(VALUE(SUBSTITUTE(SUBSTITUTE(INDEX('Shopify Import'!$A:$CZ,1158,Settings!$E$26)&amp;"","$",""),",","")),0)/IF(Settings!$D$27="Yes",G1158,1))</f>
        <v/>
      </c>
      <c r="J1158" s="11">
        <f>IF(A1158="","",F1158+H1158-I1158)</f>
        <v/>
      </c>
      <c r="K1158">
        <f>IF(A1158="","",IFERROR(IF(B1158="",NA(),MATCH(B1158,Products!$B$5:$B$204,0)),IFERROR(MATCH(A1158,Products!$A$5:$A$204,0),"")))</f>
        <v/>
      </c>
      <c r="L1158">
        <f>IF(A1158="","",IF(K1158="","⚠ not in Products",INDEX(Products!$A$5:$A$204,K1158)))</f>
        <v/>
      </c>
      <c r="M1158" s="11">
        <f>IF(A1158="","",J1158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1158+IFERROR(INDEX(Settings!$D$5:$D$9,MATCH("Shopify",Settings!$A$5:$A$9,0)),0)*D1158)</f>
        <v/>
      </c>
      <c r="N1158" s="11">
        <f>IF(A1158="","",IF(K1158="",0,D1158*INDEX(Products!$I$5:$I$204,K1158)))</f>
        <v/>
      </c>
      <c r="O1158" s="11">
        <f>IF(A1158="","",IF(K1158="",0,J1158*INDEX(Products!$H$5:$H$204,K1158)))</f>
        <v/>
      </c>
      <c r="P1158" s="11">
        <f>IF(A1158="","",J1158-M1158-N1158-O1158)</f>
        <v/>
      </c>
    </row>
    <row r="1159">
      <c r="A1159">
        <f>IFERROR(INDEX('Shopify Import'!$A:$CZ,1159,Settings!$E$20)&amp;"","")</f>
        <v/>
      </c>
      <c r="B1159">
        <f>IFERROR(INDEX('Shopify Import'!$A:$CZ,1159,Settings!$E$21)&amp;"","")</f>
        <v/>
      </c>
      <c r="C1159">
        <f>IFERROR(INDEX('Shopify Import'!$A:$CZ,1159,Settings!$E$22)&amp;"","")</f>
        <v/>
      </c>
      <c r="D1159">
        <f>IF(A1159="","",IFERROR(VALUE(SUBSTITUTE(SUBSTITUTE(INDEX('Shopify Import'!$A:$CZ,1159,Settings!$E$23)&amp;"","$",""),",","")),0))</f>
        <v/>
      </c>
      <c r="E1159" s="11">
        <f>IF(A1159="","",IFERROR(VALUE(SUBSTITUTE(SUBSTITUTE(INDEX('Shopify Import'!$A:$CZ,1159,Settings!$E$24)&amp;"","$",""),",","")),0))</f>
        <v/>
      </c>
      <c r="F1159" s="11">
        <f>IF(A1159="","",D1159*E1159)</f>
        <v/>
      </c>
      <c r="G1159">
        <f>IF(A1159="","",IF(C1159="",1,COUNTIF($C$2:$C$1501,C1159)))</f>
        <v/>
      </c>
      <c r="H1159" s="11">
        <f>IF(A1159="","",IFERROR(VALUE(SUBSTITUTE(SUBSTITUTE(INDEX('Shopify Import'!$A:$CZ,1159,Settings!$E$25)&amp;"","$",""),",","")),0)/IF(Settings!$D$27="Yes",G1159,1))</f>
        <v/>
      </c>
      <c r="I1159" s="11">
        <f>IF(A1159="","",IFERROR(VALUE(SUBSTITUTE(SUBSTITUTE(INDEX('Shopify Import'!$A:$CZ,1159,Settings!$E$26)&amp;"","$",""),",","")),0)/IF(Settings!$D$27="Yes",G1159,1))</f>
        <v/>
      </c>
      <c r="J1159" s="11">
        <f>IF(A1159="","",F1159+H1159-I1159)</f>
        <v/>
      </c>
      <c r="K1159">
        <f>IF(A1159="","",IFERROR(IF(B1159="",NA(),MATCH(B1159,Products!$B$5:$B$204,0)),IFERROR(MATCH(A1159,Products!$A$5:$A$204,0),"")))</f>
        <v/>
      </c>
      <c r="L1159">
        <f>IF(A1159="","",IF(K1159="","⚠ not in Products",INDEX(Products!$A$5:$A$204,K1159)))</f>
        <v/>
      </c>
      <c r="M1159" s="11">
        <f>IF(A1159="","",J1159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1159+IFERROR(INDEX(Settings!$D$5:$D$9,MATCH("Shopify",Settings!$A$5:$A$9,0)),0)*D1159)</f>
        <v/>
      </c>
      <c r="N1159" s="11">
        <f>IF(A1159="","",IF(K1159="",0,D1159*INDEX(Products!$I$5:$I$204,K1159)))</f>
        <v/>
      </c>
      <c r="O1159" s="11">
        <f>IF(A1159="","",IF(K1159="",0,J1159*INDEX(Products!$H$5:$H$204,K1159)))</f>
        <v/>
      </c>
      <c r="P1159" s="11">
        <f>IF(A1159="","",J1159-M1159-N1159-O1159)</f>
        <v/>
      </c>
    </row>
    <row r="1160">
      <c r="A1160">
        <f>IFERROR(INDEX('Shopify Import'!$A:$CZ,1160,Settings!$E$20)&amp;"","")</f>
        <v/>
      </c>
      <c r="B1160">
        <f>IFERROR(INDEX('Shopify Import'!$A:$CZ,1160,Settings!$E$21)&amp;"","")</f>
        <v/>
      </c>
      <c r="C1160">
        <f>IFERROR(INDEX('Shopify Import'!$A:$CZ,1160,Settings!$E$22)&amp;"","")</f>
        <v/>
      </c>
      <c r="D1160">
        <f>IF(A1160="","",IFERROR(VALUE(SUBSTITUTE(SUBSTITUTE(INDEX('Shopify Import'!$A:$CZ,1160,Settings!$E$23)&amp;"","$",""),",","")),0))</f>
        <v/>
      </c>
      <c r="E1160" s="11">
        <f>IF(A1160="","",IFERROR(VALUE(SUBSTITUTE(SUBSTITUTE(INDEX('Shopify Import'!$A:$CZ,1160,Settings!$E$24)&amp;"","$",""),",","")),0))</f>
        <v/>
      </c>
      <c r="F1160" s="11">
        <f>IF(A1160="","",D1160*E1160)</f>
        <v/>
      </c>
      <c r="G1160">
        <f>IF(A1160="","",IF(C1160="",1,COUNTIF($C$2:$C$1501,C1160)))</f>
        <v/>
      </c>
      <c r="H1160" s="11">
        <f>IF(A1160="","",IFERROR(VALUE(SUBSTITUTE(SUBSTITUTE(INDEX('Shopify Import'!$A:$CZ,1160,Settings!$E$25)&amp;"","$",""),",","")),0)/IF(Settings!$D$27="Yes",G1160,1))</f>
        <v/>
      </c>
      <c r="I1160" s="11">
        <f>IF(A1160="","",IFERROR(VALUE(SUBSTITUTE(SUBSTITUTE(INDEX('Shopify Import'!$A:$CZ,1160,Settings!$E$26)&amp;"","$",""),",","")),0)/IF(Settings!$D$27="Yes",G1160,1))</f>
        <v/>
      </c>
      <c r="J1160" s="11">
        <f>IF(A1160="","",F1160+H1160-I1160)</f>
        <v/>
      </c>
      <c r="K1160">
        <f>IF(A1160="","",IFERROR(IF(B1160="",NA(),MATCH(B1160,Products!$B$5:$B$204,0)),IFERROR(MATCH(A1160,Products!$A$5:$A$204,0),"")))</f>
        <v/>
      </c>
      <c r="L1160">
        <f>IF(A1160="","",IF(K1160="","⚠ not in Products",INDEX(Products!$A$5:$A$204,K1160)))</f>
        <v/>
      </c>
      <c r="M1160" s="11">
        <f>IF(A1160="","",J1160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1160+IFERROR(INDEX(Settings!$D$5:$D$9,MATCH("Shopify",Settings!$A$5:$A$9,0)),0)*D1160)</f>
        <v/>
      </c>
      <c r="N1160" s="11">
        <f>IF(A1160="","",IF(K1160="",0,D1160*INDEX(Products!$I$5:$I$204,K1160)))</f>
        <v/>
      </c>
      <c r="O1160" s="11">
        <f>IF(A1160="","",IF(K1160="",0,J1160*INDEX(Products!$H$5:$H$204,K1160)))</f>
        <v/>
      </c>
      <c r="P1160" s="11">
        <f>IF(A1160="","",J1160-M1160-N1160-O1160)</f>
        <v/>
      </c>
    </row>
    <row r="1161">
      <c r="A1161">
        <f>IFERROR(INDEX('Shopify Import'!$A:$CZ,1161,Settings!$E$20)&amp;"","")</f>
        <v/>
      </c>
      <c r="B1161">
        <f>IFERROR(INDEX('Shopify Import'!$A:$CZ,1161,Settings!$E$21)&amp;"","")</f>
        <v/>
      </c>
      <c r="C1161">
        <f>IFERROR(INDEX('Shopify Import'!$A:$CZ,1161,Settings!$E$22)&amp;"","")</f>
        <v/>
      </c>
      <c r="D1161">
        <f>IF(A1161="","",IFERROR(VALUE(SUBSTITUTE(SUBSTITUTE(INDEX('Shopify Import'!$A:$CZ,1161,Settings!$E$23)&amp;"","$",""),",","")),0))</f>
        <v/>
      </c>
      <c r="E1161" s="11">
        <f>IF(A1161="","",IFERROR(VALUE(SUBSTITUTE(SUBSTITUTE(INDEX('Shopify Import'!$A:$CZ,1161,Settings!$E$24)&amp;"","$",""),",","")),0))</f>
        <v/>
      </c>
      <c r="F1161" s="11">
        <f>IF(A1161="","",D1161*E1161)</f>
        <v/>
      </c>
      <c r="G1161">
        <f>IF(A1161="","",IF(C1161="",1,COUNTIF($C$2:$C$1501,C1161)))</f>
        <v/>
      </c>
      <c r="H1161" s="11">
        <f>IF(A1161="","",IFERROR(VALUE(SUBSTITUTE(SUBSTITUTE(INDEX('Shopify Import'!$A:$CZ,1161,Settings!$E$25)&amp;"","$",""),",","")),0)/IF(Settings!$D$27="Yes",G1161,1))</f>
        <v/>
      </c>
      <c r="I1161" s="11">
        <f>IF(A1161="","",IFERROR(VALUE(SUBSTITUTE(SUBSTITUTE(INDEX('Shopify Import'!$A:$CZ,1161,Settings!$E$26)&amp;"","$",""),",","")),0)/IF(Settings!$D$27="Yes",G1161,1))</f>
        <v/>
      </c>
      <c r="J1161" s="11">
        <f>IF(A1161="","",F1161+H1161-I1161)</f>
        <v/>
      </c>
      <c r="K1161">
        <f>IF(A1161="","",IFERROR(IF(B1161="",NA(),MATCH(B1161,Products!$B$5:$B$204,0)),IFERROR(MATCH(A1161,Products!$A$5:$A$204,0),"")))</f>
        <v/>
      </c>
      <c r="L1161">
        <f>IF(A1161="","",IF(K1161="","⚠ not in Products",INDEX(Products!$A$5:$A$204,K1161)))</f>
        <v/>
      </c>
      <c r="M1161" s="11">
        <f>IF(A1161="","",J1161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1161+IFERROR(INDEX(Settings!$D$5:$D$9,MATCH("Shopify",Settings!$A$5:$A$9,0)),0)*D1161)</f>
        <v/>
      </c>
      <c r="N1161" s="11">
        <f>IF(A1161="","",IF(K1161="",0,D1161*INDEX(Products!$I$5:$I$204,K1161)))</f>
        <v/>
      </c>
      <c r="O1161" s="11">
        <f>IF(A1161="","",IF(K1161="",0,J1161*INDEX(Products!$H$5:$H$204,K1161)))</f>
        <v/>
      </c>
      <c r="P1161" s="11">
        <f>IF(A1161="","",J1161-M1161-N1161-O1161)</f>
        <v/>
      </c>
    </row>
    <row r="1162">
      <c r="A1162">
        <f>IFERROR(INDEX('Shopify Import'!$A:$CZ,1162,Settings!$E$20)&amp;"","")</f>
        <v/>
      </c>
      <c r="B1162">
        <f>IFERROR(INDEX('Shopify Import'!$A:$CZ,1162,Settings!$E$21)&amp;"","")</f>
        <v/>
      </c>
      <c r="C1162">
        <f>IFERROR(INDEX('Shopify Import'!$A:$CZ,1162,Settings!$E$22)&amp;"","")</f>
        <v/>
      </c>
      <c r="D1162">
        <f>IF(A1162="","",IFERROR(VALUE(SUBSTITUTE(SUBSTITUTE(INDEX('Shopify Import'!$A:$CZ,1162,Settings!$E$23)&amp;"","$",""),",","")),0))</f>
        <v/>
      </c>
      <c r="E1162" s="11">
        <f>IF(A1162="","",IFERROR(VALUE(SUBSTITUTE(SUBSTITUTE(INDEX('Shopify Import'!$A:$CZ,1162,Settings!$E$24)&amp;"","$",""),",","")),0))</f>
        <v/>
      </c>
      <c r="F1162" s="11">
        <f>IF(A1162="","",D1162*E1162)</f>
        <v/>
      </c>
      <c r="G1162">
        <f>IF(A1162="","",IF(C1162="",1,COUNTIF($C$2:$C$1501,C1162)))</f>
        <v/>
      </c>
      <c r="H1162" s="11">
        <f>IF(A1162="","",IFERROR(VALUE(SUBSTITUTE(SUBSTITUTE(INDEX('Shopify Import'!$A:$CZ,1162,Settings!$E$25)&amp;"","$",""),",","")),0)/IF(Settings!$D$27="Yes",G1162,1))</f>
        <v/>
      </c>
      <c r="I1162" s="11">
        <f>IF(A1162="","",IFERROR(VALUE(SUBSTITUTE(SUBSTITUTE(INDEX('Shopify Import'!$A:$CZ,1162,Settings!$E$26)&amp;"","$",""),",","")),0)/IF(Settings!$D$27="Yes",G1162,1))</f>
        <v/>
      </c>
      <c r="J1162" s="11">
        <f>IF(A1162="","",F1162+H1162-I1162)</f>
        <v/>
      </c>
      <c r="K1162">
        <f>IF(A1162="","",IFERROR(IF(B1162="",NA(),MATCH(B1162,Products!$B$5:$B$204,0)),IFERROR(MATCH(A1162,Products!$A$5:$A$204,0),"")))</f>
        <v/>
      </c>
      <c r="L1162">
        <f>IF(A1162="","",IF(K1162="","⚠ not in Products",INDEX(Products!$A$5:$A$204,K1162)))</f>
        <v/>
      </c>
      <c r="M1162" s="11">
        <f>IF(A1162="","",J1162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1162+IFERROR(INDEX(Settings!$D$5:$D$9,MATCH("Shopify",Settings!$A$5:$A$9,0)),0)*D1162)</f>
        <v/>
      </c>
      <c r="N1162" s="11">
        <f>IF(A1162="","",IF(K1162="",0,D1162*INDEX(Products!$I$5:$I$204,K1162)))</f>
        <v/>
      </c>
      <c r="O1162" s="11">
        <f>IF(A1162="","",IF(K1162="",0,J1162*INDEX(Products!$H$5:$H$204,K1162)))</f>
        <v/>
      </c>
      <c r="P1162" s="11">
        <f>IF(A1162="","",J1162-M1162-N1162-O1162)</f>
        <v/>
      </c>
    </row>
    <row r="1163">
      <c r="A1163">
        <f>IFERROR(INDEX('Shopify Import'!$A:$CZ,1163,Settings!$E$20)&amp;"","")</f>
        <v/>
      </c>
      <c r="B1163">
        <f>IFERROR(INDEX('Shopify Import'!$A:$CZ,1163,Settings!$E$21)&amp;"","")</f>
        <v/>
      </c>
      <c r="C1163">
        <f>IFERROR(INDEX('Shopify Import'!$A:$CZ,1163,Settings!$E$22)&amp;"","")</f>
        <v/>
      </c>
      <c r="D1163">
        <f>IF(A1163="","",IFERROR(VALUE(SUBSTITUTE(SUBSTITUTE(INDEX('Shopify Import'!$A:$CZ,1163,Settings!$E$23)&amp;"","$",""),",","")),0))</f>
        <v/>
      </c>
      <c r="E1163" s="11">
        <f>IF(A1163="","",IFERROR(VALUE(SUBSTITUTE(SUBSTITUTE(INDEX('Shopify Import'!$A:$CZ,1163,Settings!$E$24)&amp;"","$",""),",","")),0))</f>
        <v/>
      </c>
      <c r="F1163" s="11">
        <f>IF(A1163="","",D1163*E1163)</f>
        <v/>
      </c>
      <c r="G1163">
        <f>IF(A1163="","",IF(C1163="",1,COUNTIF($C$2:$C$1501,C1163)))</f>
        <v/>
      </c>
      <c r="H1163" s="11">
        <f>IF(A1163="","",IFERROR(VALUE(SUBSTITUTE(SUBSTITUTE(INDEX('Shopify Import'!$A:$CZ,1163,Settings!$E$25)&amp;"","$",""),",","")),0)/IF(Settings!$D$27="Yes",G1163,1))</f>
        <v/>
      </c>
      <c r="I1163" s="11">
        <f>IF(A1163="","",IFERROR(VALUE(SUBSTITUTE(SUBSTITUTE(INDEX('Shopify Import'!$A:$CZ,1163,Settings!$E$26)&amp;"","$",""),",","")),0)/IF(Settings!$D$27="Yes",G1163,1))</f>
        <v/>
      </c>
      <c r="J1163" s="11">
        <f>IF(A1163="","",F1163+H1163-I1163)</f>
        <v/>
      </c>
      <c r="K1163">
        <f>IF(A1163="","",IFERROR(IF(B1163="",NA(),MATCH(B1163,Products!$B$5:$B$204,0)),IFERROR(MATCH(A1163,Products!$A$5:$A$204,0),"")))</f>
        <v/>
      </c>
      <c r="L1163">
        <f>IF(A1163="","",IF(K1163="","⚠ not in Products",INDEX(Products!$A$5:$A$204,K1163)))</f>
        <v/>
      </c>
      <c r="M1163" s="11">
        <f>IF(A1163="","",J1163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1163+IFERROR(INDEX(Settings!$D$5:$D$9,MATCH("Shopify",Settings!$A$5:$A$9,0)),0)*D1163)</f>
        <v/>
      </c>
      <c r="N1163" s="11">
        <f>IF(A1163="","",IF(K1163="",0,D1163*INDEX(Products!$I$5:$I$204,K1163)))</f>
        <v/>
      </c>
      <c r="O1163" s="11">
        <f>IF(A1163="","",IF(K1163="",0,J1163*INDEX(Products!$H$5:$H$204,K1163)))</f>
        <v/>
      </c>
      <c r="P1163" s="11">
        <f>IF(A1163="","",J1163-M1163-N1163-O1163)</f>
        <v/>
      </c>
    </row>
    <row r="1164">
      <c r="A1164">
        <f>IFERROR(INDEX('Shopify Import'!$A:$CZ,1164,Settings!$E$20)&amp;"","")</f>
        <v/>
      </c>
      <c r="B1164">
        <f>IFERROR(INDEX('Shopify Import'!$A:$CZ,1164,Settings!$E$21)&amp;"","")</f>
        <v/>
      </c>
      <c r="C1164">
        <f>IFERROR(INDEX('Shopify Import'!$A:$CZ,1164,Settings!$E$22)&amp;"","")</f>
        <v/>
      </c>
      <c r="D1164">
        <f>IF(A1164="","",IFERROR(VALUE(SUBSTITUTE(SUBSTITUTE(INDEX('Shopify Import'!$A:$CZ,1164,Settings!$E$23)&amp;"","$",""),",","")),0))</f>
        <v/>
      </c>
      <c r="E1164" s="11">
        <f>IF(A1164="","",IFERROR(VALUE(SUBSTITUTE(SUBSTITUTE(INDEX('Shopify Import'!$A:$CZ,1164,Settings!$E$24)&amp;"","$",""),",","")),0))</f>
        <v/>
      </c>
      <c r="F1164" s="11">
        <f>IF(A1164="","",D1164*E1164)</f>
        <v/>
      </c>
      <c r="G1164">
        <f>IF(A1164="","",IF(C1164="",1,COUNTIF($C$2:$C$1501,C1164)))</f>
        <v/>
      </c>
      <c r="H1164" s="11">
        <f>IF(A1164="","",IFERROR(VALUE(SUBSTITUTE(SUBSTITUTE(INDEX('Shopify Import'!$A:$CZ,1164,Settings!$E$25)&amp;"","$",""),",","")),0)/IF(Settings!$D$27="Yes",G1164,1))</f>
        <v/>
      </c>
      <c r="I1164" s="11">
        <f>IF(A1164="","",IFERROR(VALUE(SUBSTITUTE(SUBSTITUTE(INDEX('Shopify Import'!$A:$CZ,1164,Settings!$E$26)&amp;"","$",""),",","")),0)/IF(Settings!$D$27="Yes",G1164,1))</f>
        <v/>
      </c>
      <c r="J1164" s="11">
        <f>IF(A1164="","",F1164+H1164-I1164)</f>
        <v/>
      </c>
      <c r="K1164">
        <f>IF(A1164="","",IFERROR(IF(B1164="",NA(),MATCH(B1164,Products!$B$5:$B$204,0)),IFERROR(MATCH(A1164,Products!$A$5:$A$204,0),"")))</f>
        <v/>
      </c>
      <c r="L1164">
        <f>IF(A1164="","",IF(K1164="","⚠ not in Products",INDEX(Products!$A$5:$A$204,K1164)))</f>
        <v/>
      </c>
      <c r="M1164" s="11">
        <f>IF(A1164="","",J1164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1164+IFERROR(INDEX(Settings!$D$5:$D$9,MATCH("Shopify",Settings!$A$5:$A$9,0)),0)*D1164)</f>
        <v/>
      </c>
      <c r="N1164" s="11">
        <f>IF(A1164="","",IF(K1164="",0,D1164*INDEX(Products!$I$5:$I$204,K1164)))</f>
        <v/>
      </c>
      <c r="O1164" s="11">
        <f>IF(A1164="","",IF(K1164="",0,J1164*INDEX(Products!$H$5:$H$204,K1164)))</f>
        <v/>
      </c>
      <c r="P1164" s="11">
        <f>IF(A1164="","",J1164-M1164-N1164-O1164)</f>
        <v/>
      </c>
    </row>
    <row r="1165">
      <c r="A1165">
        <f>IFERROR(INDEX('Shopify Import'!$A:$CZ,1165,Settings!$E$20)&amp;"","")</f>
        <v/>
      </c>
      <c r="B1165">
        <f>IFERROR(INDEX('Shopify Import'!$A:$CZ,1165,Settings!$E$21)&amp;"","")</f>
        <v/>
      </c>
      <c r="C1165">
        <f>IFERROR(INDEX('Shopify Import'!$A:$CZ,1165,Settings!$E$22)&amp;"","")</f>
        <v/>
      </c>
      <c r="D1165">
        <f>IF(A1165="","",IFERROR(VALUE(SUBSTITUTE(SUBSTITUTE(INDEX('Shopify Import'!$A:$CZ,1165,Settings!$E$23)&amp;"","$",""),",","")),0))</f>
        <v/>
      </c>
      <c r="E1165" s="11">
        <f>IF(A1165="","",IFERROR(VALUE(SUBSTITUTE(SUBSTITUTE(INDEX('Shopify Import'!$A:$CZ,1165,Settings!$E$24)&amp;"","$",""),",","")),0))</f>
        <v/>
      </c>
      <c r="F1165" s="11">
        <f>IF(A1165="","",D1165*E1165)</f>
        <v/>
      </c>
      <c r="G1165">
        <f>IF(A1165="","",IF(C1165="",1,COUNTIF($C$2:$C$1501,C1165)))</f>
        <v/>
      </c>
      <c r="H1165" s="11">
        <f>IF(A1165="","",IFERROR(VALUE(SUBSTITUTE(SUBSTITUTE(INDEX('Shopify Import'!$A:$CZ,1165,Settings!$E$25)&amp;"","$",""),",","")),0)/IF(Settings!$D$27="Yes",G1165,1))</f>
        <v/>
      </c>
      <c r="I1165" s="11">
        <f>IF(A1165="","",IFERROR(VALUE(SUBSTITUTE(SUBSTITUTE(INDEX('Shopify Import'!$A:$CZ,1165,Settings!$E$26)&amp;"","$",""),",","")),0)/IF(Settings!$D$27="Yes",G1165,1))</f>
        <v/>
      </c>
      <c r="J1165" s="11">
        <f>IF(A1165="","",F1165+H1165-I1165)</f>
        <v/>
      </c>
      <c r="K1165">
        <f>IF(A1165="","",IFERROR(IF(B1165="",NA(),MATCH(B1165,Products!$B$5:$B$204,0)),IFERROR(MATCH(A1165,Products!$A$5:$A$204,0),"")))</f>
        <v/>
      </c>
      <c r="L1165">
        <f>IF(A1165="","",IF(K1165="","⚠ not in Products",INDEX(Products!$A$5:$A$204,K1165)))</f>
        <v/>
      </c>
      <c r="M1165" s="11">
        <f>IF(A1165="","",J1165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1165+IFERROR(INDEX(Settings!$D$5:$D$9,MATCH("Shopify",Settings!$A$5:$A$9,0)),0)*D1165)</f>
        <v/>
      </c>
      <c r="N1165" s="11">
        <f>IF(A1165="","",IF(K1165="",0,D1165*INDEX(Products!$I$5:$I$204,K1165)))</f>
        <v/>
      </c>
      <c r="O1165" s="11">
        <f>IF(A1165="","",IF(K1165="",0,J1165*INDEX(Products!$H$5:$H$204,K1165)))</f>
        <v/>
      </c>
      <c r="P1165" s="11">
        <f>IF(A1165="","",J1165-M1165-N1165-O1165)</f>
        <v/>
      </c>
    </row>
    <row r="1166">
      <c r="A1166">
        <f>IFERROR(INDEX('Shopify Import'!$A:$CZ,1166,Settings!$E$20)&amp;"","")</f>
        <v/>
      </c>
      <c r="B1166">
        <f>IFERROR(INDEX('Shopify Import'!$A:$CZ,1166,Settings!$E$21)&amp;"","")</f>
        <v/>
      </c>
      <c r="C1166">
        <f>IFERROR(INDEX('Shopify Import'!$A:$CZ,1166,Settings!$E$22)&amp;"","")</f>
        <v/>
      </c>
      <c r="D1166">
        <f>IF(A1166="","",IFERROR(VALUE(SUBSTITUTE(SUBSTITUTE(INDEX('Shopify Import'!$A:$CZ,1166,Settings!$E$23)&amp;"","$",""),",","")),0))</f>
        <v/>
      </c>
      <c r="E1166" s="11">
        <f>IF(A1166="","",IFERROR(VALUE(SUBSTITUTE(SUBSTITUTE(INDEX('Shopify Import'!$A:$CZ,1166,Settings!$E$24)&amp;"","$",""),",","")),0))</f>
        <v/>
      </c>
      <c r="F1166" s="11">
        <f>IF(A1166="","",D1166*E1166)</f>
        <v/>
      </c>
      <c r="G1166">
        <f>IF(A1166="","",IF(C1166="",1,COUNTIF($C$2:$C$1501,C1166)))</f>
        <v/>
      </c>
      <c r="H1166" s="11">
        <f>IF(A1166="","",IFERROR(VALUE(SUBSTITUTE(SUBSTITUTE(INDEX('Shopify Import'!$A:$CZ,1166,Settings!$E$25)&amp;"","$",""),",","")),0)/IF(Settings!$D$27="Yes",G1166,1))</f>
        <v/>
      </c>
      <c r="I1166" s="11">
        <f>IF(A1166="","",IFERROR(VALUE(SUBSTITUTE(SUBSTITUTE(INDEX('Shopify Import'!$A:$CZ,1166,Settings!$E$26)&amp;"","$",""),",","")),0)/IF(Settings!$D$27="Yes",G1166,1))</f>
        <v/>
      </c>
      <c r="J1166" s="11">
        <f>IF(A1166="","",F1166+H1166-I1166)</f>
        <v/>
      </c>
      <c r="K1166">
        <f>IF(A1166="","",IFERROR(IF(B1166="",NA(),MATCH(B1166,Products!$B$5:$B$204,0)),IFERROR(MATCH(A1166,Products!$A$5:$A$204,0),"")))</f>
        <v/>
      </c>
      <c r="L1166">
        <f>IF(A1166="","",IF(K1166="","⚠ not in Products",INDEX(Products!$A$5:$A$204,K1166)))</f>
        <v/>
      </c>
      <c r="M1166" s="11">
        <f>IF(A1166="","",J1166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1166+IFERROR(INDEX(Settings!$D$5:$D$9,MATCH("Shopify",Settings!$A$5:$A$9,0)),0)*D1166)</f>
        <v/>
      </c>
      <c r="N1166" s="11">
        <f>IF(A1166="","",IF(K1166="",0,D1166*INDEX(Products!$I$5:$I$204,K1166)))</f>
        <v/>
      </c>
      <c r="O1166" s="11">
        <f>IF(A1166="","",IF(K1166="",0,J1166*INDEX(Products!$H$5:$H$204,K1166)))</f>
        <v/>
      </c>
      <c r="P1166" s="11">
        <f>IF(A1166="","",J1166-M1166-N1166-O1166)</f>
        <v/>
      </c>
    </row>
    <row r="1167">
      <c r="A1167">
        <f>IFERROR(INDEX('Shopify Import'!$A:$CZ,1167,Settings!$E$20)&amp;"","")</f>
        <v/>
      </c>
      <c r="B1167">
        <f>IFERROR(INDEX('Shopify Import'!$A:$CZ,1167,Settings!$E$21)&amp;"","")</f>
        <v/>
      </c>
      <c r="C1167">
        <f>IFERROR(INDEX('Shopify Import'!$A:$CZ,1167,Settings!$E$22)&amp;"","")</f>
        <v/>
      </c>
      <c r="D1167">
        <f>IF(A1167="","",IFERROR(VALUE(SUBSTITUTE(SUBSTITUTE(INDEX('Shopify Import'!$A:$CZ,1167,Settings!$E$23)&amp;"","$",""),",","")),0))</f>
        <v/>
      </c>
      <c r="E1167" s="11">
        <f>IF(A1167="","",IFERROR(VALUE(SUBSTITUTE(SUBSTITUTE(INDEX('Shopify Import'!$A:$CZ,1167,Settings!$E$24)&amp;"","$",""),",","")),0))</f>
        <v/>
      </c>
      <c r="F1167" s="11">
        <f>IF(A1167="","",D1167*E1167)</f>
        <v/>
      </c>
      <c r="G1167">
        <f>IF(A1167="","",IF(C1167="",1,COUNTIF($C$2:$C$1501,C1167)))</f>
        <v/>
      </c>
      <c r="H1167" s="11">
        <f>IF(A1167="","",IFERROR(VALUE(SUBSTITUTE(SUBSTITUTE(INDEX('Shopify Import'!$A:$CZ,1167,Settings!$E$25)&amp;"","$",""),",","")),0)/IF(Settings!$D$27="Yes",G1167,1))</f>
        <v/>
      </c>
      <c r="I1167" s="11">
        <f>IF(A1167="","",IFERROR(VALUE(SUBSTITUTE(SUBSTITUTE(INDEX('Shopify Import'!$A:$CZ,1167,Settings!$E$26)&amp;"","$",""),",","")),0)/IF(Settings!$D$27="Yes",G1167,1))</f>
        <v/>
      </c>
      <c r="J1167" s="11">
        <f>IF(A1167="","",F1167+H1167-I1167)</f>
        <v/>
      </c>
      <c r="K1167">
        <f>IF(A1167="","",IFERROR(IF(B1167="",NA(),MATCH(B1167,Products!$B$5:$B$204,0)),IFERROR(MATCH(A1167,Products!$A$5:$A$204,0),"")))</f>
        <v/>
      </c>
      <c r="L1167">
        <f>IF(A1167="","",IF(K1167="","⚠ not in Products",INDEX(Products!$A$5:$A$204,K1167)))</f>
        <v/>
      </c>
      <c r="M1167" s="11">
        <f>IF(A1167="","",J1167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1167+IFERROR(INDEX(Settings!$D$5:$D$9,MATCH("Shopify",Settings!$A$5:$A$9,0)),0)*D1167)</f>
        <v/>
      </c>
      <c r="N1167" s="11">
        <f>IF(A1167="","",IF(K1167="",0,D1167*INDEX(Products!$I$5:$I$204,K1167)))</f>
        <v/>
      </c>
      <c r="O1167" s="11">
        <f>IF(A1167="","",IF(K1167="",0,J1167*INDEX(Products!$H$5:$H$204,K1167)))</f>
        <v/>
      </c>
      <c r="P1167" s="11">
        <f>IF(A1167="","",J1167-M1167-N1167-O1167)</f>
        <v/>
      </c>
    </row>
    <row r="1168">
      <c r="A1168">
        <f>IFERROR(INDEX('Shopify Import'!$A:$CZ,1168,Settings!$E$20)&amp;"","")</f>
        <v/>
      </c>
      <c r="B1168">
        <f>IFERROR(INDEX('Shopify Import'!$A:$CZ,1168,Settings!$E$21)&amp;"","")</f>
        <v/>
      </c>
      <c r="C1168">
        <f>IFERROR(INDEX('Shopify Import'!$A:$CZ,1168,Settings!$E$22)&amp;"","")</f>
        <v/>
      </c>
      <c r="D1168">
        <f>IF(A1168="","",IFERROR(VALUE(SUBSTITUTE(SUBSTITUTE(INDEX('Shopify Import'!$A:$CZ,1168,Settings!$E$23)&amp;"","$",""),",","")),0))</f>
        <v/>
      </c>
      <c r="E1168" s="11">
        <f>IF(A1168="","",IFERROR(VALUE(SUBSTITUTE(SUBSTITUTE(INDEX('Shopify Import'!$A:$CZ,1168,Settings!$E$24)&amp;"","$",""),",","")),0))</f>
        <v/>
      </c>
      <c r="F1168" s="11">
        <f>IF(A1168="","",D1168*E1168)</f>
        <v/>
      </c>
      <c r="G1168">
        <f>IF(A1168="","",IF(C1168="",1,COUNTIF($C$2:$C$1501,C1168)))</f>
        <v/>
      </c>
      <c r="H1168" s="11">
        <f>IF(A1168="","",IFERROR(VALUE(SUBSTITUTE(SUBSTITUTE(INDEX('Shopify Import'!$A:$CZ,1168,Settings!$E$25)&amp;"","$",""),",","")),0)/IF(Settings!$D$27="Yes",G1168,1))</f>
        <v/>
      </c>
      <c r="I1168" s="11">
        <f>IF(A1168="","",IFERROR(VALUE(SUBSTITUTE(SUBSTITUTE(INDEX('Shopify Import'!$A:$CZ,1168,Settings!$E$26)&amp;"","$",""),",","")),0)/IF(Settings!$D$27="Yes",G1168,1))</f>
        <v/>
      </c>
      <c r="J1168" s="11">
        <f>IF(A1168="","",F1168+H1168-I1168)</f>
        <v/>
      </c>
      <c r="K1168">
        <f>IF(A1168="","",IFERROR(IF(B1168="",NA(),MATCH(B1168,Products!$B$5:$B$204,0)),IFERROR(MATCH(A1168,Products!$A$5:$A$204,0),"")))</f>
        <v/>
      </c>
      <c r="L1168">
        <f>IF(A1168="","",IF(K1168="","⚠ not in Products",INDEX(Products!$A$5:$A$204,K1168)))</f>
        <v/>
      </c>
      <c r="M1168" s="11">
        <f>IF(A1168="","",J1168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1168+IFERROR(INDEX(Settings!$D$5:$D$9,MATCH("Shopify",Settings!$A$5:$A$9,0)),0)*D1168)</f>
        <v/>
      </c>
      <c r="N1168" s="11">
        <f>IF(A1168="","",IF(K1168="",0,D1168*INDEX(Products!$I$5:$I$204,K1168)))</f>
        <v/>
      </c>
      <c r="O1168" s="11">
        <f>IF(A1168="","",IF(K1168="",0,J1168*INDEX(Products!$H$5:$H$204,K1168)))</f>
        <v/>
      </c>
      <c r="P1168" s="11">
        <f>IF(A1168="","",J1168-M1168-N1168-O1168)</f>
        <v/>
      </c>
    </row>
    <row r="1169">
      <c r="A1169">
        <f>IFERROR(INDEX('Shopify Import'!$A:$CZ,1169,Settings!$E$20)&amp;"","")</f>
        <v/>
      </c>
      <c r="B1169">
        <f>IFERROR(INDEX('Shopify Import'!$A:$CZ,1169,Settings!$E$21)&amp;"","")</f>
        <v/>
      </c>
      <c r="C1169">
        <f>IFERROR(INDEX('Shopify Import'!$A:$CZ,1169,Settings!$E$22)&amp;"","")</f>
        <v/>
      </c>
      <c r="D1169">
        <f>IF(A1169="","",IFERROR(VALUE(SUBSTITUTE(SUBSTITUTE(INDEX('Shopify Import'!$A:$CZ,1169,Settings!$E$23)&amp;"","$",""),",","")),0))</f>
        <v/>
      </c>
      <c r="E1169" s="11">
        <f>IF(A1169="","",IFERROR(VALUE(SUBSTITUTE(SUBSTITUTE(INDEX('Shopify Import'!$A:$CZ,1169,Settings!$E$24)&amp;"","$",""),",","")),0))</f>
        <v/>
      </c>
      <c r="F1169" s="11">
        <f>IF(A1169="","",D1169*E1169)</f>
        <v/>
      </c>
      <c r="G1169">
        <f>IF(A1169="","",IF(C1169="",1,COUNTIF($C$2:$C$1501,C1169)))</f>
        <v/>
      </c>
      <c r="H1169" s="11">
        <f>IF(A1169="","",IFERROR(VALUE(SUBSTITUTE(SUBSTITUTE(INDEX('Shopify Import'!$A:$CZ,1169,Settings!$E$25)&amp;"","$",""),",","")),0)/IF(Settings!$D$27="Yes",G1169,1))</f>
        <v/>
      </c>
      <c r="I1169" s="11">
        <f>IF(A1169="","",IFERROR(VALUE(SUBSTITUTE(SUBSTITUTE(INDEX('Shopify Import'!$A:$CZ,1169,Settings!$E$26)&amp;"","$",""),",","")),0)/IF(Settings!$D$27="Yes",G1169,1))</f>
        <v/>
      </c>
      <c r="J1169" s="11">
        <f>IF(A1169="","",F1169+H1169-I1169)</f>
        <v/>
      </c>
      <c r="K1169">
        <f>IF(A1169="","",IFERROR(IF(B1169="",NA(),MATCH(B1169,Products!$B$5:$B$204,0)),IFERROR(MATCH(A1169,Products!$A$5:$A$204,0),"")))</f>
        <v/>
      </c>
      <c r="L1169">
        <f>IF(A1169="","",IF(K1169="","⚠ not in Products",INDEX(Products!$A$5:$A$204,K1169)))</f>
        <v/>
      </c>
      <c r="M1169" s="11">
        <f>IF(A1169="","",J1169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1169+IFERROR(INDEX(Settings!$D$5:$D$9,MATCH("Shopify",Settings!$A$5:$A$9,0)),0)*D1169)</f>
        <v/>
      </c>
      <c r="N1169" s="11">
        <f>IF(A1169="","",IF(K1169="",0,D1169*INDEX(Products!$I$5:$I$204,K1169)))</f>
        <v/>
      </c>
      <c r="O1169" s="11">
        <f>IF(A1169="","",IF(K1169="",0,J1169*INDEX(Products!$H$5:$H$204,K1169)))</f>
        <v/>
      </c>
      <c r="P1169" s="11">
        <f>IF(A1169="","",J1169-M1169-N1169-O1169)</f>
        <v/>
      </c>
    </row>
    <row r="1170">
      <c r="A1170">
        <f>IFERROR(INDEX('Shopify Import'!$A:$CZ,1170,Settings!$E$20)&amp;"","")</f>
        <v/>
      </c>
      <c r="B1170">
        <f>IFERROR(INDEX('Shopify Import'!$A:$CZ,1170,Settings!$E$21)&amp;"","")</f>
        <v/>
      </c>
      <c r="C1170">
        <f>IFERROR(INDEX('Shopify Import'!$A:$CZ,1170,Settings!$E$22)&amp;"","")</f>
        <v/>
      </c>
      <c r="D1170">
        <f>IF(A1170="","",IFERROR(VALUE(SUBSTITUTE(SUBSTITUTE(INDEX('Shopify Import'!$A:$CZ,1170,Settings!$E$23)&amp;"","$",""),",","")),0))</f>
        <v/>
      </c>
      <c r="E1170" s="11">
        <f>IF(A1170="","",IFERROR(VALUE(SUBSTITUTE(SUBSTITUTE(INDEX('Shopify Import'!$A:$CZ,1170,Settings!$E$24)&amp;"","$",""),",","")),0))</f>
        <v/>
      </c>
      <c r="F1170" s="11">
        <f>IF(A1170="","",D1170*E1170)</f>
        <v/>
      </c>
      <c r="G1170">
        <f>IF(A1170="","",IF(C1170="",1,COUNTIF($C$2:$C$1501,C1170)))</f>
        <v/>
      </c>
      <c r="H1170" s="11">
        <f>IF(A1170="","",IFERROR(VALUE(SUBSTITUTE(SUBSTITUTE(INDEX('Shopify Import'!$A:$CZ,1170,Settings!$E$25)&amp;"","$",""),",","")),0)/IF(Settings!$D$27="Yes",G1170,1))</f>
        <v/>
      </c>
      <c r="I1170" s="11">
        <f>IF(A1170="","",IFERROR(VALUE(SUBSTITUTE(SUBSTITUTE(INDEX('Shopify Import'!$A:$CZ,1170,Settings!$E$26)&amp;"","$",""),",","")),0)/IF(Settings!$D$27="Yes",G1170,1))</f>
        <v/>
      </c>
      <c r="J1170" s="11">
        <f>IF(A1170="","",F1170+H1170-I1170)</f>
        <v/>
      </c>
      <c r="K1170">
        <f>IF(A1170="","",IFERROR(IF(B1170="",NA(),MATCH(B1170,Products!$B$5:$B$204,0)),IFERROR(MATCH(A1170,Products!$A$5:$A$204,0),"")))</f>
        <v/>
      </c>
      <c r="L1170">
        <f>IF(A1170="","",IF(K1170="","⚠ not in Products",INDEX(Products!$A$5:$A$204,K1170)))</f>
        <v/>
      </c>
      <c r="M1170" s="11">
        <f>IF(A1170="","",J1170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1170+IFERROR(INDEX(Settings!$D$5:$D$9,MATCH("Shopify",Settings!$A$5:$A$9,0)),0)*D1170)</f>
        <v/>
      </c>
      <c r="N1170" s="11">
        <f>IF(A1170="","",IF(K1170="",0,D1170*INDEX(Products!$I$5:$I$204,K1170)))</f>
        <v/>
      </c>
      <c r="O1170" s="11">
        <f>IF(A1170="","",IF(K1170="",0,J1170*INDEX(Products!$H$5:$H$204,K1170)))</f>
        <v/>
      </c>
      <c r="P1170" s="11">
        <f>IF(A1170="","",J1170-M1170-N1170-O1170)</f>
        <v/>
      </c>
    </row>
    <row r="1171">
      <c r="A1171">
        <f>IFERROR(INDEX('Shopify Import'!$A:$CZ,1171,Settings!$E$20)&amp;"","")</f>
        <v/>
      </c>
      <c r="B1171">
        <f>IFERROR(INDEX('Shopify Import'!$A:$CZ,1171,Settings!$E$21)&amp;"","")</f>
        <v/>
      </c>
      <c r="C1171">
        <f>IFERROR(INDEX('Shopify Import'!$A:$CZ,1171,Settings!$E$22)&amp;"","")</f>
        <v/>
      </c>
      <c r="D1171">
        <f>IF(A1171="","",IFERROR(VALUE(SUBSTITUTE(SUBSTITUTE(INDEX('Shopify Import'!$A:$CZ,1171,Settings!$E$23)&amp;"","$",""),",","")),0))</f>
        <v/>
      </c>
      <c r="E1171" s="11">
        <f>IF(A1171="","",IFERROR(VALUE(SUBSTITUTE(SUBSTITUTE(INDEX('Shopify Import'!$A:$CZ,1171,Settings!$E$24)&amp;"","$",""),",","")),0))</f>
        <v/>
      </c>
      <c r="F1171" s="11">
        <f>IF(A1171="","",D1171*E1171)</f>
        <v/>
      </c>
      <c r="G1171">
        <f>IF(A1171="","",IF(C1171="",1,COUNTIF($C$2:$C$1501,C1171)))</f>
        <v/>
      </c>
      <c r="H1171" s="11">
        <f>IF(A1171="","",IFERROR(VALUE(SUBSTITUTE(SUBSTITUTE(INDEX('Shopify Import'!$A:$CZ,1171,Settings!$E$25)&amp;"","$",""),",","")),0)/IF(Settings!$D$27="Yes",G1171,1))</f>
        <v/>
      </c>
      <c r="I1171" s="11">
        <f>IF(A1171="","",IFERROR(VALUE(SUBSTITUTE(SUBSTITUTE(INDEX('Shopify Import'!$A:$CZ,1171,Settings!$E$26)&amp;"","$",""),",","")),0)/IF(Settings!$D$27="Yes",G1171,1))</f>
        <v/>
      </c>
      <c r="J1171" s="11">
        <f>IF(A1171="","",F1171+H1171-I1171)</f>
        <v/>
      </c>
      <c r="K1171">
        <f>IF(A1171="","",IFERROR(IF(B1171="",NA(),MATCH(B1171,Products!$B$5:$B$204,0)),IFERROR(MATCH(A1171,Products!$A$5:$A$204,0),"")))</f>
        <v/>
      </c>
      <c r="L1171">
        <f>IF(A1171="","",IF(K1171="","⚠ not in Products",INDEX(Products!$A$5:$A$204,K1171)))</f>
        <v/>
      </c>
      <c r="M1171" s="11">
        <f>IF(A1171="","",J1171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1171+IFERROR(INDEX(Settings!$D$5:$D$9,MATCH("Shopify",Settings!$A$5:$A$9,0)),0)*D1171)</f>
        <v/>
      </c>
      <c r="N1171" s="11">
        <f>IF(A1171="","",IF(K1171="",0,D1171*INDEX(Products!$I$5:$I$204,K1171)))</f>
        <v/>
      </c>
      <c r="O1171" s="11">
        <f>IF(A1171="","",IF(K1171="",0,J1171*INDEX(Products!$H$5:$H$204,K1171)))</f>
        <v/>
      </c>
      <c r="P1171" s="11">
        <f>IF(A1171="","",J1171-M1171-N1171-O1171)</f>
        <v/>
      </c>
    </row>
    <row r="1172">
      <c r="A1172">
        <f>IFERROR(INDEX('Shopify Import'!$A:$CZ,1172,Settings!$E$20)&amp;"","")</f>
        <v/>
      </c>
      <c r="B1172">
        <f>IFERROR(INDEX('Shopify Import'!$A:$CZ,1172,Settings!$E$21)&amp;"","")</f>
        <v/>
      </c>
      <c r="C1172">
        <f>IFERROR(INDEX('Shopify Import'!$A:$CZ,1172,Settings!$E$22)&amp;"","")</f>
        <v/>
      </c>
      <c r="D1172">
        <f>IF(A1172="","",IFERROR(VALUE(SUBSTITUTE(SUBSTITUTE(INDEX('Shopify Import'!$A:$CZ,1172,Settings!$E$23)&amp;"","$",""),",","")),0))</f>
        <v/>
      </c>
      <c r="E1172" s="11">
        <f>IF(A1172="","",IFERROR(VALUE(SUBSTITUTE(SUBSTITUTE(INDEX('Shopify Import'!$A:$CZ,1172,Settings!$E$24)&amp;"","$",""),",","")),0))</f>
        <v/>
      </c>
      <c r="F1172" s="11">
        <f>IF(A1172="","",D1172*E1172)</f>
        <v/>
      </c>
      <c r="G1172">
        <f>IF(A1172="","",IF(C1172="",1,COUNTIF($C$2:$C$1501,C1172)))</f>
        <v/>
      </c>
      <c r="H1172" s="11">
        <f>IF(A1172="","",IFERROR(VALUE(SUBSTITUTE(SUBSTITUTE(INDEX('Shopify Import'!$A:$CZ,1172,Settings!$E$25)&amp;"","$",""),",","")),0)/IF(Settings!$D$27="Yes",G1172,1))</f>
        <v/>
      </c>
      <c r="I1172" s="11">
        <f>IF(A1172="","",IFERROR(VALUE(SUBSTITUTE(SUBSTITUTE(INDEX('Shopify Import'!$A:$CZ,1172,Settings!$E$26)&amp;"","$",""),",","")),0)/IF(Settings!$D$27="Yes",G1172,1))</f>
        <v/>
      </c>
      <c r="J1172" s="11">
        <f>IF(A1172="","",F1172+H1172-I1172)</f>
        <v/>
      </c>
      <c r="K1172">
        <f>IF(A1172="","",IFERROR(IF(B1172="",NA(),MATCH(B1172,Products!$B$5:$B$204,0)),IFERROR(MATCH(A1172,Products!$A$5:$A$204,0),"")))</f>
        <v/>
      </c>
      <c r="L1172">
        <f>IF(A1172="","",IF(K1172="","⚠ not in Products",INDEX(Products!$A$5:$A$204,K1172)))</f>
        <v/>
      </c>
      <c r="M1172" s="11">
        <f>IF(A1172="","",J1172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1172+IFERROR(INDEX(Settings!$D$5:$D$9,MATCH("Shopify",Settings!$A$5:$A$9,0)),0)*D1172)</f>
        <v/>
      </c>
      <c r="N1172" s="11">
        <f>IF(A1172="","",IF(K1172="",0,D1172*INDEX(Products!$I$5:$I$204,K1172)))</f>
        <v/>
      </c>
      <c r="O1172" s="11">
        <f>IF(A1172="","",IF(K1172="",0,J1172*INDEX(Products!$H$5:$H$204,K1172)))</f>
        <v/>
      </c>
      <c r="P1172" s="11">
        <f>IF(A1172="","",J1172-M1172-N1172-O1172)</f>
        <v/>
      </c>
    </row>
    <row r="1173">
      <c r="A1173">
        <f>IFERROR(INDEX('Shopify Import'!$A:$CZ,1173,Settings!$E$20)&amp;"","")</f>
        <v/>
      </c>
      <c r="B1173">
        <f>IFERROR(INDEX('Shopify Import'!$A:$CZ,1173,Settings!$E$21)&amp;"","")</f>
        <v/>
      </c>
      <c r="C1173">
        <f>IFERROR(INDEX('Shopify Import'!$A:$CZ,1173,Settings!$E$22)&amp;"","")</f>
        <v/>
      </c>
      <c r="D1173">
        <f>IF(A1173="","",IFERROR(VALUE(SUBSTITUTE(SUBSTITUTE(INDEX('Shopify Import'!$A:$CZ,1173,Settings!$E$23)&amp;"","$",""),",","")),0))</f>
        <v/>
      </c>
      <c r="E1173" s="11">
        <f>IF(A1173="","",IFERROR(VALUE(SUBSTITUTE(SUBSTITUTE(INDEX('Shopify Import'!$A:$CZ,1173,Settings!$E$24)&amp;"","$",""),",","")),0))</f>
        <v/>
      </c>
      <c r="F1173" s="11">
        <f>IF(A1173="","",D1173*E1173)</f>
        <v/>
      </c>
      <c r="G1173">
        <f>IF(A1173="","",IF(C1173="",1,COUNTIF($C$2:$C$1501,C1173)))</f>
        <v/>
      </c>
      <c r="H1173" s="11">
        <f>IF(A1173="","",IFERROR(VALUE(SUBSTITUTE(SUBSTITUTE(INDEX('Shopify Import'!$A:$CZ,1173,Settings!$E$25)&amp;"","$",""),",","")),0)/IF(Settings!$D$27="Yes",G1173,1))</f>
        <v/>
      </c>
      <c r="I1173" s="11">
        <f>IF(A1173="","",IFERROR(VALUE(SUBSTITUTE(SUBSTITUTE(INDEX('Shopify Import'!$A:$CZ,1173,Settings!$E$26)&amp;"","$",""),",","")),0)/IF(Settings!$D$27="Yes",G1173,1))</f>
        <v/>
      </c>
      <c r="J1173" s="11">
        <f>IF(A1173="","",F1173+H1173-I1173)</f>
        <v/>
      </c>
      <c r="K1173">
        <f>IF(A1173="","",IFERROR(IF(B1173="",NA(),MATCH(B1173,Products!$B$5:$B$204,0)),IFERROR(MATCH(A1173,Products!$A$5:$A$204,0),"")))</f>
        <v/>
      </c>
      <c r="L1173">
        <f>IF(A1173="","",IF(K1173="","⚠ not in Products",INDEX(Products!$A$5:$A$204,K1173)))</f>
        <v/>
      </c>
      <c r="M1173" s="11">
        <f>IF(A1173="","",J1173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1173+IFERROR(INDEX(Settings!$D$5:$D$9,MATCH("Shopify",Settings!$A$5:$A$9,0)),0)*D1173)</f>
        <v/>
      </c>
      <c r="N1173" s="11">
        <f>IF(A1173="","",IF(K1173="",0,D1173*INDEX(Products!$I$5:$I$204,K1173)))</f>
        <v/>
      </c>
      <c r="O1173" s="11">
        <f>IF(A1173="","",IF(K1173="",0,J1173*INDEX(Products!$H$5:$H$204,K1173)))</f>
        <v/>
      </c>
      <c r="P1173" s="11">
        <f>IF(A1173="","",J1173-M1173-N1173-O1173)</f>
        <v/>
      </c>
    </row>
    <row r="1174">
      <c r="A1174">
        <f>IFERROR(INDEX('Shopify Import'!$A:$CZ,1174,Settings!$E$20)&amp;"","")</f>
        <v/>
      </c>
      <c r="B1174">
        <f>IFERROR(INDEX('Shopify Import'!$A:$CZ,1174,Settings!$E$21)&amp;"","")</f>
        <v/>
      </c>
      <c r="C1174">
        <f>IFERROR(INDEX('Shopify Import'!$A:$CZ,1174,Settings!$E$22)&amp;"","")</f>
        <v/>
      </c>
      <c r="D1174">
        <f>IF(A1174="","",IFERROR(VALUE(SUBSTITUTE(SUBSTITUTE(INDEX('Shopify Import'!$A:$CZ,1174,Settings!$E$23)&amp;"","$",""),",","")),0))</f>
        <v/>
      </c>
      <c r="E1174" s="11">
        <f>IF(A1174="","",IFERROR(VALUE(SUBSTITUTE(SUBSTITUTE(INDEX('Shopify Import'!$A:$CZ,1174,Settings!$E$24)&amp;"","$",""),",","")),0))</f>
        <v/>
      </c>
      <c r="F1174" s="11">
        <f>IF(A1174="","",D1174*E1174)</f>
        <v/>
      </c>
      <c r="G1174">
        <f>IF(A1174="","",IF(C1174="",1,COUNTIF($C$2:$C$1501,C1174)))</f>
        <v/>
      </c>
      <c r="H1174" s="11">
        <f>IF(A1174="","",IFERROR(VALUE(SUBSTITUTE(SUBSTITUTE(INDEX('Shopify Import'!$A:$CZ,1174,Settings!$E$25)&amp;"","$",""),",","")),0)/IF(Settings!$D$27="Yes",G1174,1))</f>
        <v/>
      </c>
      <c r="I1174" s="11">
        <f>IF(A1174="","",IFERROR(VALUE(SUBSTITUTE(SUBSTITUTE(INDEX('Shopify Import'!$A:$CZ,1174,Settings!$E$26)&amp;"","$",""),",","")),0)/IF(Settings!$D$27="Yes",G1174,1))</f>
        <v/>
      </c>
      <c r="J1174" s="11">
        <f>IF(A1174="","",F1174+H1174-I1174)</f>
        <v/>
      </c>
      <c r="K1174">
        <f>IF(A1174="","",IFERROR(IF(B1174="",NA(),MATCH(B1174,Products!$B$5:$B$204,0)),IFERROR(MATCH(A1174,Products!$A$5:$A$204,0),"")))</f>
        <v/>
      </c>
      <c r="L1174">
        <f>IF(A1174="","",IF(K1174="","⚠ not in Products",INDEX(Products!$A$5:$A$204,K1174)))</f>
        <v/>
      </c>
      <c r="M1174" s="11">
        <f>IF(A1174="","",J1174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1174+IFERROR(INDEX(Settings!$D$5:$D$9,MATCH("Shopify",Settings!$A$5:$A$9,0)),0)*D1174)</f>
        <v/>
      </c>
      <c r="N1174" s="11">
        <f>IF(A1174="","",IF(K1174="",0,D1174*INDEX(Products!$I$5:$I$204,K1174)))</f>
        <v/>
      </c>
      <c r="O1174" s="11">
        <f>IF(A1174="","",IF(K1174="",0,J1174*INDEX(Products!$H$5:$H$204,K1174)))</f>
        <v/>
      </c>
      <c r="P1174" s="11">
        <f>IF(A1174="","",J1174-M1174-N1174-O1174)</f>
        <v/>
      </c>
    </row>
    <row r="1175">
      <c r="A1175">
        <f>IFERROR(INDEX('Shopify Import'!$A:$CZ,1175,Settings!$E$20)&amp;"","")</f>
        <v/>
      </c>
      <c r="B1175">
        <f>IFERROR(INDEX('Shopify Import'!$A:$CZ,1175,Settings!$E$21)&amp;"","")</f>
        <v/>
      </c>
      <c r="C1175">
        <f>IFERROR(INDEX('Shopify Import'!$A:$CZ,1175,Settings!$E$22)&amp;"","")</f>
        <v/>
      </c>
      <c r="D1175">
        <f>IF(A1175="","",IFERROR(VALUE(SUBSTITUTE(SUBSTITUTE(INDEX('Shopify Import'!$A:$CZ,1175,Settings!$E$23)&amp;"","$",""),",","")),0))</f>
        <v/>
      </c>
      <c r="E1175" s="11">
        <f>IF(A1175="","",IFERROR(VALUE(SUBSTITUTE(SUBSTITUTE(INDEX('Shopify Import'!$A:$CZ,1175,Settings!$E$24)&amp;"","$",""),",","")),0))</f>
        <v/>
      </c>
      <c r="F1175" s="11">
        <f>IF(A1175="","",D1175*E1175)</f>
        <v/>
      </c>
      <c r="G1175">
        <f>IF(A1175="","",IF(C1175="",1,COUNTIF($C$2:$C$1501,C1175)))</f>
        <v/>
      </c>
      <c r="H1175" s="11">
        <f>IF(A1175="","",IFERROR(VALUE(SUBSTITUTE(SUBSTITUTE(INDEX('Shopify Import'!$A:$CZ,1175,Settings!$E$25)&amp;"","$",""),",","")),0)/IF(Settings!$D$27="Yes",G1175,1))</f>
        <v/>
      </c>
      <c r="I1175" s="11">
        <f>IF(A1175="","",IFERROR(VALUE(SUBSTITUTE(SUBSTITUTE(INDEX('Shopify Import'!$A:$CZ,1175,Settings!$E$26)&amp;"","$",""),",","")),0)/IF(Settings!$D$27="Yes",G1175,1))</f>
        <v/>
      </c>
      <c r="J1175" s="11">
        <f>IF(A1175="","",F1175+H1175-I1175)</f>
        <v/>
      </c>
      <c r="K1175">
        <f>IF(A1175="","",IFERROR(IF(B1175="",NA(),MATCH(B1175,Products!$B$5:$B$204,0)),IFERROR(MATCH(A1175,Products!$A$5:$A$204,0),"")))</f>
        <v/>
      </c>
      <c r="L1175">
        <f>IF(A1175="","",IF(K1175="","⚠ not in Products",INDEX(Products!$A$5:$A$204,K1175)))</f>
        <v/>
      </c>
      <c r="M1175" s="11">
        <f>IF(A1175="","",J1175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1175+IFERROR(INDEX(Settings!$D$5:$D$9,MATCH("Shopify",Settings!$A$5:$A$9,0)),0)*D1175)</f>
        <v/>
      </c>
      <c r="N1175" s="11">
        <f>IF(A1175="","",IF(K1175="",0,D1175*INDEX(Products!$I$5:$I$204,K1175)))</f>
        <v/>
      </c>
      <c r="O1175" s="11">
        <f>IF(A1175="","",IF(K1175="",0,J1175*INDEX(Products!$H$5:$H$204,K1175)))</f>
        <v/>
      </c>
      <c r="P1175" s="11">
        <f>IF(A1175="","",J1175-M1175-N1175-O1175)</f>
        <v/>
      </c>
    </row>
    <row r="1176">
      <c r="A1176">
        <f>IFERROR(INDEX('Shopify Import'!$A:$CZ,1176,Settings!$E$20)&amp;"","")</f>
        <v/>
      </c>
      <c r="B1176">
        <f>IFERROR(INDEX('Shopify Import'!$A:$CZ,1176,Settings!$E$21)&amp;"","")</f>
        <v/>
      </c>
      <c r="C1176">
        <f>IFERROR(INDEX('Shopify Import'!$A:$CZ,1176,Settings!$E$22)&amp;"","")</f>
        <v/>
      </c>
      <c r="D1176">
        <f>IF(A1176="","",IFERROR(VALUE(SUBSTITUTE(SUBSTITUTE(INDEX('Shopify Import'!$A:$CZ,1176,Settings!$E$23)&amp;"","$",""),",","")),0))</f>
        <v/>
      </c>
      <c r="E1176" s="11">
        <f>IF(A1176="","",IFERROR(VALUE(SUBSTITUTE(SUBSTITUTE(INDEX('Shopify Import'!$A:$CZ,1176,Settings!$E$24)&amp;"","$",""),",","")),0))</f>
        <v/>
      </c>
      <c r="F1176" s="11">
        <f>IF(A1176="","",D1176*E1176)</f>
        <v/>
      </c>
      <c r="G1176">
        <f>IF(A1176="","",IF(C1176="",1,COUNTIF($C$2:$C$1501,C1176)))</f>
        <v/>
      </c>
      <c r="H1176" s="11">
        <f>IF(A1176="","",IFERROR(VALUE(SUBSTITUTE(SUBSTITUTE(INDEX('Shopify Import'!$A:$CZ,1176,Settings!$E$25)&amp;"","$",""),",","")),0)/IF(Settings!$D$27="Yes",G1176,1))</f>
        <v/>
      </c>
      <c r="I1176" s="11">
        <f>IF(A1176="","",IFERROR(VALUE(SUBSTITUTE(SUBSTITUTE(INDEX('Shopify Import'!$A:$CZ,1176,Settings!$E$26)&amp;"","$",""),",","")),0)/IF(Settings!$D$27="Yes",G1176,1))</f>
        <v/>
      </c>
      <c r="J1176" s="11">
        <f>IF(A1176="","",F1176+H1176-I1176)</f>
        <v/>
      </c>
      <c r="K1176">
        <f>IF(A1176="","",IFERROR(IF(B1176="",NA(),MATCH(B1176,Products!$B$5:$B$204,0)),IFERROR(MATCH(A1176,Products!$A$5:$A$204,0),"")))</f>
        <v/>
      </c>
      <c r="L1176">
        <f>IF(A1176="","",IF(K1176="","⚠ not in Products",INDEX(Products!$A$5:$A$204,K1176)))</f>
        <v/>
      </c>
      <c r="M1176" s="11">
        <f>IF(A1176="","",J1176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1176+IFERROR(INDEX(Settings!$D$5:$D$9,MATCH("Shopify",Settings!$A$5:$A$9,0)),0)*D1176)</f>
        <v/>
      </c>
      <c r="N1176" s="11">
        <f>IF(A1176="","",IF(K1176="",0,D1176*INDEX(Products!$I$5:$I$204,K1176)))</f>
        <v/>
      </c>
      <c r="O1176" s="11">
        <f>IF(A1176="","",IF(K1176="",0,J1176*INDEX(Products!$H$5:$H$204,K1176)))</f>
        <v/>
      </c>
      <c r="P1176" s="11">
        <f>IF(A1176="","",J1176-M1176-N1176-O1176)</f>
        <v/>
      </c>
    </row>
    <row r="1177">
      <c r="A1177">
        <f>IFERROR(INDEX('Shopify Import'!$A:$CZ,1177,Settings!$E$20)&amp;"","")</f>
        <v/>
      </c>
      <c r="B1177">
        <f>IFERROR(INDEX('Shopify Import'!$A:$CZ,1177,Settings!$E$21)&amp;"","")</f>
        <v/>
      </c>
      <c r="C1177">
        <f>IFERROR(INDEX('Shopify Import'!$A:$CZ,1177,Settings!$E$22)&amp;"","")</f>
        <v/>
      </c>
      <c r="D1177">
        <f>IF(A1177="","",IFERROR(VALUE(SUBSTITUTE(SUBSTITUTE(INDEX('Shopify Import'!$A:$CZ,1177,Settings!$E$23)&amp;"","$",""),",","")),0))</f>
        <v/>
      </c>
      <c r="E1177" s="11">
        <f>IF(A1177="","",IFERROR(VALUE(SUBSTITUTE(SUBSTITUTE(INDEX('Shopify Import'!$A:$CZ,1177,Settings!$E$24)&amp;"","$",""),",","")),0))</f>
        <v/>
      </c>
      <c r="F1177" s="11">
        <f>IF(A1177="","",D1177*E1177)</f>
        <v/>
      </c>
      <c r="G1177">
        <f>IF(A1177="","",IF(C1177="",1,COUNTIF($C$2:$C$1501,C1177)))</f>
        <v/>
      </c>
      <c r="H1177" s="11">
        <f>IF(A1177="","",IFERROR(VALUE(SUBSTITUTE(SUBSTITUTE(INDEX('Shopify Import'!$A:$CZ,1177,Settings!$E$25)&amp;"","$",""),",","")),0)/IF(Settings!$D$27="Yes",G1177,1))</f>
        <v/>
      </c>
      <c r="I1177" s="11">
        <f>IF(A1177="","",IFERROR(VALUE(SUBSTITUTE(SUBSTITUTE(INDEX('Shopify Import'!$A:$CZ,1177,Settings!$E$26)&amp;"","$",""),",","")),0)/IF(Settings!$D$27="Yes",G1177,1))</f>
        <v/>
      </c>
      <c r="J1177" s="11">
        <f>IF(A1177="","",F1177+H1177-I1177)</f>
        <v/>
      </c>
      <c r="K1177">
        <f>IF(A1177="","",IFERROR(IF(B1177="",NA(),MATCH(B1177,Products!$B$5:$B$204,0)),IFERROR(MATCH(A1177,Products!$A$5:$A$204,0),"")))</f>
        <v/>
      </c>
      <c r="L1177">
        <f>IF(A1177="","",IF(K1177="","⚠ not in Products",INDEX(Products!$A$5:$A$204,K1177)))</f>
        <v/>
      </c>
      <c r="M1177" s="11">
        <f>IF(A1177="","",J1177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1177+IFERROR(INDEX(Settings!$D$5:$D$9,MATCH("Shopify",Settings!$A$5:$A$9,0)),0)*D1177)</f>
        <v/>
      </c>
      <c r="N1177" s="11">
        <f>IF(A1177="","",IF(K1177="",0,D1177*INDEX(Products!$I$5:$I$204,K1177)))</f>
        <v/>
      </c>
      <c r="O1177" s="11">
        <f>IF(A1177="","",IF(K1177="",0,J1177*INDEX(Products!$H$5:$H$204,K1177)))</f>
        <v/>
      </c>
      <c r="P1177" s="11">
        <f>IF(A1177="","",J1177-M1177-N1177-O1177)</f>
        <v/>
      </c>
    </row>
    <row r="1178">
      <c r="A1178">
        <f>IFERROR(INDEX('Shopify Import'!$A:$CZ,1178,Settings!$E$20)&amp;"","")</f>
        <v/>
      </c>
      <c r="B1178">
        <f>IFERROR(INDEX('Shopify Import'!$A:$CZ,1178,Settings!$E$21)&amp;"","")</f>
        <v/>
      </c>
      <c r="C1178">
        <f>IFERROR(INDEX('Shopify Import'!$A:$CZ,1178,Settings!$E$22)&amp;"","")</f>
        <v/>
      </c>
      <c r="D1178">
        <f>IF(A1178="","",IFERROR(VALUE(SUBSTITUTE(SUBSTITUTE(INDEX('Shopify Import'!$A:$CZ,1178,Settings!$E$23)&amp;"","$",""),",","")),0))</f>
        <v/>
      </c>
      <c r="E1178" s="11">
        <f>IF(A1178="","",IFERROR(VALUE(SUBSTITUTE(SUBSTITUTE(INDEX('Shopify Import'!$A:$CZ,1178,Settings!$E$24)&amp;"","$",""),",","")),0))</f>
        <v/>
      </c>
      <c r="F1178" s="11">
        <f>IF(A1178="","",D1178*E1178)</f>
        <v/>
      </c>
      <c r="G1178">
        <f>IF(A1178="","",IF(C1178="",1,COUNTIF($C$2:$C$1501,C1178)))</f>
        <v/>
      </c>
      <c r="H1178" s="11">
        <f>IF(A1178="","",IFERROR(VALUE(SUBSTITUTE(SUBSTITUTE(INDEX('Shopify Import'!$A:$CZ,1178,Settings!$E$25)&amp;"","$",""),",","")),0)/IF(Settings!$D$27="Yes",G1178,1))</f>
        <v/>
      </c>
      <c r="I1178" s="11">
        <f>IF(A1178="","",IFERROR(VALUE(SUBSTITUTE(SUBSTITUTE(INDEX('Shopify Import'!$A:$CZ,1178,Settings!$E$26)&amp;"","$",""),",","")),0)/IF(Settings!$D$27="Yes",G1178,1))</f>
        <v/>
      </c>
      <c r="J1178" s="11">
        <f>IF(A1178="","",F1178+H1178-I1178)</f>
        <v/>
      </c>
      <c r="K1178">
        <f>IF(A1178="","",IFERROR(IF(B1178="",NA(),MATCH(B1178,Products!$B$5:$B$204,0)),IFERROR(MATCH(A1178,Products!$A$5:$A$204,0),"")))</f>
        <v/>
      </c>
      <c r="L1178">
        <f>IF(A1178="","",IF(K1178="","⚠ not in Products",INDEX(Products!$A$5:$A$204,K1178)))</f>
        <v/>
      </c>
      <c r="M1178" s="11">
        <f>IF(A1178="","",J1178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1178+IFERROR(INDEX(Settings!$D$5:$D$9,MATCH("Shopify",Settings!$A$5:$A$9,0)),0)*D1178)</f>
        <v/>
      </c>
      <c r="N1178" s="11">
        <f>IF(A1178="","",IF(K1178="",0,D1178*INDEX(Products!$I$5:$I$204,K1178)))</f>
        <v/>
      </c>
      <c r="O1178" s="11">
        <f>IF(A1178="","",IF(K1178="",0,J1178*INDEX(Products!$H$5:$H$204,K1178)))</f>
        <v/>
      </c>
      <c r="P1178" s="11">
        <f>IF(A1178="","",J1178-M1178-N1178-O1178)</f>
        <v/>
      </c>
    </row>
    <row r="1179">
      <c r="A1179">
        <f>IFERROR(INDEX('Shopify Import'!$A:$CZ,1179,Settings!$E$20)&amp;"","")</f>
        <v/>
      </c>
      <c r="B1179">
        <f>IFERROR(INDEX('Shopify Import'!$A:$CZ,1179,Settings!$E$21)&amp;"","")</f>
        <v/>
      </c>
      <c r="C1179">
        <f>IFERROR(INDEX('Shopify Import'!$A:$CZ,1179,Settings!$E$22)&amp;"","")</f>
        <v/>
      </c>
      <c r="D1179">
        <f>IF(A1179="","",IFERROR(VALUE(SUBSTITUTE(SUBSTITUTE(INDEX('Shopify Import'!$A:$CZ,1179,Settings!$E$23)&amp;"","$",""),",","")),0))</f>
        <v/>
      </c>
      <c r="E1179" s="11">
        <f>IF(A1179="","",IFERROR(VALUE(SUBSTITUTE(SUBSTITUTE(INDEX('Shopify Import'!$A:$CZ,1179,Settings!$E$24)&amp;"","$",""),",","")),0))</f>
        <v/>
      </c>
      <c r="F1179" s="11">
        <f>IF(A1179="","",D1179*E1179)</f>
        <v/>
      </c>
      <c r="G1179">
        <f>IF(A1179="","",IF(C1179="",1,COUNTIF($C$2:$C$1501,C1179)))</f>
        <v/>
      </c>
      <c r="H1179" s="11">
        <f>IF(A1179="","",IFERROR(VALUE(SUBSTITUTE(SUBSTITUTE(INDEX('Shopify Import'!$A:$CZ,1179,Settings!$E$25)&amp;"","$",""),",","")),0)/IF(Settings!$D$27="Yes",G1179,1))</f>
        <v/>
      </c>
      <c r="I1179" s="11">
        <f>IF(A1179="","",IFERROR(VALUE(SUBSTITUTE(SUBSTITUTE(INDEX('Shopify Import'!$A:$CZ,1179,Settings!$E$26)&amp;"","$",""),",","")),0)/IF(Settings!$D$27="Yes",G1179,1))</f>
        <v/>
      </c>
      <c r="J1179" s="11">
        <f>IF(A1179="","",F1179+H1179-I1179)</f>
        <v/>
      </c>
      <c r="K1179">
        <f>IF(A1179="","",IFERROR(IF(B1179="",NA(),MATCH(B1179,Products!$B$5:$B$204,0)),IFERROR(MATCH(A1179,Products!$A$5:$A$204,0),"")))</f>
        <v/>
      </c>
      <c r="L1179">
        <f>IF(A1179="","",IF(K1179="","⚠ not in Products",INDEX(Products!$A$5:$A$204,K1179)))</f>
        <v/>
      </c>
      <c r="M1179" s="11">
        <f>IF(A1179="","",J1179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1179+IFERROR(INDEX(Settings!$D$5:$D$9,MATCH("Shopify",Settings!$A$5:$A$9,0)),0)*D1179)</f>
        <v/>
      </c>
      <c r="N1179" s="11">
        <f>IF(A1179="","",IF(K1179="",0,D1179*INDEX(Products!$I$5:$I$204,K1179)))</f>
        <v/>
      </c>
      <c r="O1179" s="11">
        <f>IF(A1179="","",IF(K1179="",0,J1179*INDEX(Products!$H$5:$H$204,K1179)))</f>
        <v/>
      </c>
      <c r="P1179" s="11">
        <f>IF(A1179="","",J1179-M1179-N1179-O1179)</f>
        <v/>
      </c>
    </row>
    <row r="1180">
      <c r="A1180">
        <f>IFERROR(INDEX('Shopify Import'!$A:$CZ,1180,Settings!$E$20)&amp;"","")</f>
        <v/>
      </c>
      <c r="B1180">
        <f>IFERROR(INDEX('Shopify Import'!$A:$CZ,1180,Settings!$E$21)&amp;"","")</f>
        <v/>
      </c>
      <c r="C1180">
        <f>IFERROR(INDEX('Shopify Import'!$A:$CZ,1180,Settings!$E$22)&amp;"","")</f>
        <v/>
      </c>
      <c r="D1180">
        <f>IF(A1180="","",IFERROR(VALUE(SUBSTITUTE(SUBSTITUTE(INDEX('Shopify Import'!$A:$CZ,1180,Settings!$E$23)&amp;"","$",""),",","")),0))</f>
        <v/>
      </c>
      <c r="E1180" s="11">
        <f>IF(A1180="","",IFERROR(VALUE(SUBSTITUTE(SUBSTITUTE(INDEX('Shopify Import'!$A:$CZ,1180,Settings!$E$24)&amp;"","$",""),",","")),0))</f>
        <v/>
      </c>
      <c r="F1180" s="11">
        <f>IF(A1180="","",D1180*E1180)</f>
        <v/>
      </c>
      <c r="G1180">
        <f>IF(A1180="","",IF(C1180="",1,COUNTIF($C$2:$C$1501,C1180)))</f>
        <v/>
      </c>
      <c r="H1180" s="11">
        <f>IF(A1180="","",IFERROR(VALUE(SUBSTITUTE(SUBSTITUTE(INDEX('Shopify Import'!$A:$CZ,1180,Settings!$E$25)&amp;"","$",""),",","")),0)/IF(Settings!$D$27="Yes",G1180,1))</f>
        <v/>
      </c>
      <c r="I1180" s="11">
        <f>IF(A1180="","",IFERROR(VALUE(SUBSTITUTE(SUBSTITUTE(INDEX('Shopify Import'!$A:$CZ,1180,Settings!$E$26)&amp;"","$",""),",","")),0)/IF(Settings!$D$27="Yes",G1180,1))</f>
        <v/>
      </c>
      <c r="J1180" s="11">
        <f>IF(A1180="","",F1180+H1180-I1180)</f>
        <v/>
      </c>
      <c r="K1180">
        <f>IF(A1180="","",IFERROR(IF(B1180="",NA(),MATCH(B1180,Products!$B$5:$B$204,0)),IFERROR(MATCH(A1180,Products!$A$5:$A$204,0),"")))</f>
        <v/>
      </c>
      <c r="L1180">
        <f>IF(A1180="","",IF(K1180="","⚠ not in Products",INDEX(Products!$A$5:$A$204,K1180)))</f>
        <v/>
      </c>
      <c r="M1180" s="11">
        <f>IF(A1180="","",J1180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1180+IFERROR(INDEX(Settings!$D$5:$D$9,MATCH("Shopify",Settings!$A$5:$A$9,0)),0)*D1180)</f>
        <v/>
      </c>
      <c r="N1180" s="11">
        <f>IF(A1180="","",IF(K1180="",0,D1180*INDEX(Products!$I$5:$I$204,K1180)))</f>
        <v/>
      </c>
      <c r="O1180" s="11">
        <f>IF(A1180="","",IF(K1180="",0,J1180*INDEX(Products!$H$5:$H$204,K1180)))</f>
        <v/>
      </c>
      <c r="P1180" s="11">
        <f>IF(A1180="","",J1180-M1180-N1180-O1180)</f>
        <v/>
      </c>
    </row>
    <row r="1181">
      <c r="A1181">
        <f>IFERROR(INDEX('Shopify Import'!$A:$CZ,1181,Settings!$E$20)&amp;"","")</f>
        <v/>
      </c>
      <c r="B1181">
        <f>IFERROR(INDEX('Shopify Import'!$A:$CZ,1181,Settings!$E$21)&amp;"","")</f>
        <v/>
      </c>
      <c r="C1181">
        <f>IFERROR(INDEX('Shopify Import'!$A:$CZ,1181,Settings!$E$22)&amp;"","")</f>
        <v/>
      </c>
      <c r="D1181">
        <f>IF(A1181="","",IFERROR(VALUE(SUBSTITUTE(SUBSTITUTE(INDEX('Shopify Import'!$A:$CZ,1181,Settings!$E$23)&amp;"","$",""),",","")),0))</f>
        <v/>
      </c>
      <c r="E1181" s="11">
        <f>IF(A1181="","",IFERROR(VALUE(SUBSTITUTE(SUBSTITUTE(INDEX('Shopify Import'!$A:$CZ,1181,Settings!$E$24)&amp;"","$",""),",","")),0))</f>
        <v/>
      </c>
      <c r="F1181" s="11">
        <f>IF(A1181="","",D1181*E1181)</f>
        <v/>
      </c>
      <c r="G1181">
        <f>IF(A1181="","",IF(C1181="",1,COUNTIF($C$2:$C$1501,C1181)))</f>
        <v/>
      </c>
      <c r="H1181" s="11">
        <f>IF(A1181="","",IFERROR(VALUE(SUBSTITUTE(SUBSTITUTE(INDEX('Shopify Import'!$A:$CZ,1181,Settings!$E$25)&amp;"","$",""),",","")),0)/IF(Settings!$D$27="Yes",G1181,1))</f>
        <v/>
      </c>
      <c r="I1181" s="11">
        <f>IF(A1181="","",IFERROR(VALUE(SUBSTITUTE(SUBSTITUTE(INDEX('Shopify Import'!$A:$CZ,1181,Settings!$E$26)&amp;"","$",""),",","")),0)/IF(Settings!$D$27="Yes",G1181,1))</f>
        <v/>
      </c>
      <c r="J1181" s="11">
        <f>IF(A1181="","",F1181+H1181-I1181)</f>
        <v/>
      </c>
      <c r="K1181">
        <f>IF(A1181="","",IFERROR(IF(B1181="",NA(),MATCH(B1181,Products!$B$5:$B$204,0)),IFERROR(MATCH(A1181,Products!$A$5:$A$204,0),"")))</f>
        <v/>
      </c>
      <c r="L1181">
        <f>IF(A1181="","",IF(K1181="","⚠ not in Products",INDEX(Products!$A$5:$A$204,K1181)))</f>
        <v/>
      </c>
      <c r="M1181" s="11">
        <f>IF(A1181="","",J1181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1181+IFERROR(INDEX(Settings!$D$5:$D$9,MATCH("Shopify",Settings!$A$5:$A$9,0)),0)*D1181)</f>
        <v/>
      </c>
      <c r="N1181" s="11">
        <f>IF(A1181="","",IF(K1181="",0,D1181*INDEX(Products!$I$5:$I$204,K1181)))</f>
        <v/>
      </c>
      <c r="O1181" s="11">
        <f>IF(A1181="","",IF(K1181="",0,J1181*INDEX(Products!$H$5:$H$204,K1181)))</f>
        <v/>
      </c>
      <c r="P1181" s="11">
        <f>IF(A1181="","",J1181-M1181-N1181-O1181)</f>
        <v/>
      </c>
    </row>
    <row r="1182">
      <c r="A1182">
        <f>IFERROR(INDEX('Shopify Import'!$A:$CZ,1182,Settings!$E$20)&amp;"","")</f>
        <v/>
      </c>
      <c r="B1182">
        <f>IFERROR(INDEX('Shopify Import'!$A:$CZ,1182,Settings!$E$21)&amp;"","")</f>
        <v/>
      </c>
      <c r="C1182">
        <f>IFERROR(INDEX('Shopify Import'!$A:$CZ,1182,Settings!$E$22)&amp;"","")</f>
        <v/>
      </c>
      <c r="D1182">
        <f>IF(A1182="","",IFERROR(VALUE(SUBSTITUTE(SUBSTITUTE(INDEX('Shopify Import'!$A:$CZ,1182,Settings!$E$23)&amp;"","$",""),",","")),0))</f>
        <v/>
      </c>
      <c r="E1182" s="11">
        <f>IF(A1182="","",IFERROR(VALUE(SUBSTITUTE(SUBSTITUTE(INDEX('Shopify Import'!$A:$CZ,1182,Settings!$E$24)&amp;"","$",""),",","")),0))</f>
        <v/>
      </c>
      <c r="F1182" s="11">
        <f>IF(A1182="","",D1182*E1182)</f>
        <v/>
      </c>
      <c r="G1182">
        <f>IF(A1182="","",IF(C1182="",1,COUNTIF($C$2:$C$1501,C1182)))</f>
        <v/>
      </c>
      <c r="H1182" s="11">
        <f>IF(A1182="","",IFERROR(VALUE(SUBSTITUTE(SUBSTITUTE(INDEX('Shopify Import'!$A:$CZ,1182,Settings!$E$25)&amp;"","$",""),",","")),0)/IF(Settings!$D$27="Yes",G1182,1))</f>
        <v/>
      </c>
      <c r="I1182" s="11">
        <f>IF(A1182="","",IFERROR(VALUE(SUBSTITUTE(SUBSTITUTE(INDEX('Shopify Import'!$A:$CZ,1182,Settings!$E$26)&amp;"","$",""),",","")),0)/IF(Settings!$D$27="Yes",G1182,1))</f>
        <v/>
      </c>
      <c r="J1182" s="11">
        <f>IF(A1182="","",F1182+H1182-I1182)</f>
        <v/>
      </c>
      <c r="K1182">
        <f>IF(A1182="","",IFERROR(IF(B1182="",NA(),MATCH(B1182,Products!$B$5:$B$204,0)),IFERROR(MATCH(A1182,Products!$A$5:$A$204,0),"")))</f>
        <v/>
      </c>
      <c r="L1182">
        <f>IF(A1182="","",IF(K1182="","⚠ not in Products",INDEX(Products!$A$5:$A$204,K1182)))</f>
        <v/>
      </c>
      <c r="M1182" s="11">
        <f>IF(A1182="","",J1182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1182+IFERROR(INDEX(Settings!$D$5:$D$9,MATCH("Shopify",Settings!$A$5:$A$9,0)),0)*D1182)</f>
        <v/>
      </c>
      <c r="N1182" s="11">
        <f>IF(A1182="","",IF(K1182="",0,D1182*INDEX(Products!$I$5:$I$204,K1182)))</f>
        <v/>
      </c>
      <c r="O1182" s="11">
        <f>IF(A1182="","",IF(K1182="",0,J1182*INDEX(Products!$H$5:$H$204,K1182)))</f>
        <v/>
      </c>
      <c r="P1182" s="11">
        <f>IF(A1182="","",J1182-M1182-N1182-O1182)</f>
        <v/>
      </c>
    </row>
    <row r="1183">
      <c r="A1183">
        <f>IFERROR(INDEX('Shopify Import'!$A:$CZ,1183,Settings!$E$20)&amp;"","")</f>
        <v/>
      </c>
      <c r="B1183">
        <f>IFERROR(INDEX('Shopify Import'!$A:$CZ,1183,Settings!$E$21)&amp;"","")</f>
        <v/>
      </c>
      <c r="C1183">
        <f>IFERROR(INDEX('Shopify Import'!$A:$CZ,1183,Settings!$E$22)&amp;"","")</f>
        <v/>
      </c>
      <c r="D1183">
        <f>IF(A1183="","",IFERROR(VALUE(SUBSTITUTE(SUBSTITUTE(INDEX('Shopify Import'!$A:$CZ,1183,Settings!$E$23)&amp;"","$",""),",","")),0))</f>
        <v/>
      </c>
      <c r="E1183" s="11">
        <f>IF(A1183="","",IFERROR(VALUE(SUBSTITUTE(SUBSTITUTE(INDEX('Shopify Import'!$A:$CZ,1183,Settings!$E$24)&amp;"","$",""),",","")),0))</f>
        <v/>
      </c>
      <c r="F1183" s="11">
        <f>IF(A1183="","",D1183*E1183)</f>
        <v/>
      </c>
      <c r="G1183">
        <f>IF(A1183="","",IF(C1183="",1,COUNTIF($C$2:$C$1501,C1183)))</f>
        <v/>
      </c>
      <c r="H1183" s="11">
        <f>IF(A1183="","",IFERROR(VALUE(SUBSTITUTE(SUBSTITUTE(INDEX('Shopify Import'!$A:$CZ,1183,Settings!$E$25)&amp;"","$",""),",","")),0)/IF(Settings!$D$27="Yes",G1183,1))</f>
        <v/>
      </c>
      <c r="I1183" s="11">
        <f>IF(A1183="","",IFERROR(VALUE(SUBSTITUTE(SUBSTITUTE(INDEX('Shopify Import'!$A:$CZ,1183,Settings!$E$26)&amp;"","$",""),",","")),0)/IF(Settings!$D$27="Yes",G1183,1))</f>
        <v/>
      </c>
      <c r="J1183" s="11">
        <f>IF(A1183="","",F1183+H1183-I1183)</f>
        <v/>
      </c>
      <c r="K1183">
        <f>IF(A1183="","",IFERROR(IF(B1183="",NA(),MATCH(B1183,Products!$B$5:$B$204,0)),IFERROR(MATCH(A1183,Products!$A$5:$A$204,0),"")))</f>
        <v/>
      </c>
      <c r="L1183">
        <f>IF(A1183="","",IF(K1183="","⚠ not in Products",INDEX(Products!$A$5:$A$204,K1183)))</f>
        <v/>
      </c>
      <c r="M1183" s="11">
        <f>IF(A1183="","",J1183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1183+IFERROR(INDEX(Settings!$D$5:$D$9,MATCH("Shopify",Settings!$A$5:$A$9,0)),0)*D1183)</f>
        <v/>
      </c>
      <c r="N1183" s="11">
        <f>IF(A1183="","",IF(K1183="",0,D1183*INDEX(Products!$I$5:$I$204,K1183)))</f>
        <v/>
      </c>
      <c r="O1183" s="11">
        <f>IF(A1183="","",IF(K1183="",0,J1183*INDEX(Products!$H$5:$H$204,K1183)))</f>
        <v/>
      </c>
      <c r="P1183" s="11">
        <f>IF(A1183="","",J1183-M1183-N1183-O1183)</f>
        <v/>
      </c>
    </row>
    <row r="1184">
      <c r="A1184">
        <f>IFERROR(INDEX('Shopify Import'!$A:$CZ,1184,Settings!$E$20)&amp;"","")</f>
        <v/>
      </c>
      <c r="B1184">
        <f>IFERROR(INDEX('Shopify Import'!$A:$CZ,1184,Settings!$E$21)&amp;"","")</f>
        <v/>
      </c>
      <c r="C1184">
        <f>IFERROR(INDEX('Shopify Import'!$A:$CZ,1184,Settings!$E$22)&amp;"","")</f>
        <v/>
      </c>
      <c r="D1184">
        <f>IF(A1184="","",IFERROR(VALUE(SUBSTITUTE(SUBSTITUTE(INDEX('Shopify Import'!$A:$CZ,1184,Settings!$E$23)&amp;"","$",""),",","")),0))</f>
        <v/>
      </c>
      <c r="E1184" s="11">
        <f>IF(A1184="","",IFERROR(VALUE(SUBSTITUTE(SUBSTITUTE(INDEX('Shopify Import'!$A:$CZ,1184,Settings!$E$24)&amp;"","$",""),",","")),0))</f>
        <v/>
      </c>
      <c r="F1184" s="11">
        <f>IF(A1184="","",D1184*E1184)</f>
        <v/>
      </c>
      <c r="G1184">
        <f>IF(A1184="","",IF(C1184="",1,COUNTIF($C$2:$C$1501,C1184)))</f>
        <v/>
      </c>
      <c r="H1184" s="11">
        <f>IF(A1184="","",IFERROR(VALUE(SUBSTITUTE(SUBSTITUTE(INDEX('Shopify Import'!$A:$CZ,1184,Settings!$E$25)&amp;"","$",""),",","")),0)/IF(Settings!$D$27="Yes",G1184,1))</f>
        <v/>
      </c>
      <c r="I1184" s="11">
        <f>IF(A1184="","",IFERROR(VALUE(SUBSTITUTE(SUBSTITUTE(INDEX('Shopify Import'!$A:$CZ,1184,Settings!$E$26)&amp;"","$",""),",","")),0)/IF(Settings!$D$27="Yes",G1184,1))</f>
        <v/>
      </c>
      <c r="J1184" s="11">
        <f>IF(A1184="","",F1184+H1184-I1184)</f>
        <v/>
      </c>
      <c r="K1184">
        <f>IF(A1184="","",IFERROR(IF(B1184="",NA(),MATCH(B1184,Products!$B$5:$B$204,0)),IFERROR(MATCH(A1184,Products!$A$5:$A$204,0),"")))</f>
        <v/>
      </c>
      <c r="L1184">
        <f>IF(A1184="","",IF(K1184="","⚠ not in Products",INDEX(Products!$A$5:$A$204,K1184)))</f>
        <v/>
      </c>
      <c r="M1184" s="11">
        <f>IF(A1184="","",J1184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1184+IFERROR(INDEX(Settings!$D$5:$D$9,MATCH("Shopify",Settings!$A$5:$A$9,0)),0)*D1184)</f>
        <v/>
      </c>
      <c r="N1184" s="11">
        <f>IF(A1184="","",IF(K1184="",0,D1184*INDEX(Products!$I$5:$I$204,K1184)))</f>
        <v/>
      </c>
      <c r="O1184" s="11">
        <f>IF(A1184="","",IF(K1184="",0,J1184*INDEX(Products!$H$5:$H$204,K1184)))</f>
        <v/>
      </c>
      <c r="P1184" s="11">
        <f>IF(A1184="","",J1184-M1184-N1184-O1184)</f>
        <v/>
      </c>
    </row>
    <row r="1185">
      <c r="A1185">
        <f>IFERROR(INDEX('Shopify Import'!$A:$CZ,1185,Settings!$E$20)&amp;"","")</f>
        <v/>
      </c>
      <c r="B1185">
        <f>IFERROR(INDEX('Shopify Import'!$A:$CZ,1185,Settings!$E$21)&amp;"","")</f>
        <v/>
      </c>
      <c r="C1185">
        <f>IFERROR(INDEX('Shopify Import'!$A:$CZ,1185,Settings!$E$22)&amp;"","")</f>
        <v/>
      </c>
      <c r="D1185">
        <f>IF(A1185="","",IFERROR(VALUE(SUBSTITUTE(SUBSTITUTE(INDEX('Shopify Import'!$A:$CZ,1185,Settings!$E$23)&amp;"","$",""),",","")),0))</f>
        <v/>
      </c>
      <c r="E1185" s="11">
        <f>IF(A1185="","",IFERROR(VALUE(SUBSTITUTE(SUBSTITUTE(INDEX('Shopify Import'!$A:$CZ,1185,Settings!$E$24)&amp;"","$",""),",","")),0))</f>
        <v/>
      </c>
      <c r="F1185" s="11">
        <f>IF(A1185="","",D1185*E1185)</f>
        <v/>
      </c>
      <c r="G1185">
        <f>IF(A1185="","",IF(C1185="",1,COUNTIF($C$2:$C$1501,C1185)))</f>
        <v/>
      </c>
      <c r="H1185" s="11">
        <f>IF(A1185="","",IFERROR(VALUE(SUBSTITUTE(SUBSTITUTE(INDEX('Shopify Import'!$A:$CZ,1185,Settings!$E$25)&amp;"","$",""),",","")),0)/IF(Settings!$D$27="Yes",G1185,1))</f>
        <v/>
      </c>
      <c r="I1185" s="11">
        <f>IF(A1185="","",IFERROR(VALUE(SUBSTITUTE(SUBSTITUTE(INDEX('Shopify Import'!$A:$CZ,1185,Settings!$E$26)&amp;"","$",""),",","")),0)/IF(Settings!$D$27="Yes",G1185,1))</f>
        <v/>
      </c>
      <c r="J1185" s="11">
        <f>IF(A1185="","",F1185+H1185-I1185)</f>
        <v/>
      </c>
      <c r="K1185">
        <f>IF(A1185="","",IFERROR(IF(B1185="",NA(),MATCH(B1185,Products!$B$5:$B$204,0)),IFERROR(MATCH(A1185,Products!$A$5:$A$204,0),"")))</f>
        <v/>
      </c>
      <c r="L1185">
        <f>IF(A1185="","",IF(K1185="","⚠ not in Products",INDEX(Products!$A$5:$A$204,K1185)))</f>
        <v/>
      </c>
      <c r="M1185" s="11">
        <f>IF(A1185="","",J1185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1185+IFERROR(INDEX(Settings!$D$5:$D$9,MATCH("Shopify",Settings!$A$5:$A$9,0)),0)*D1185)</f>
        <v/>
      </c>
      <c r="N1185" s="11">
        <f>IF(A1185="","",IF(K1185="",0,D1185*INDEX(Products!$I$5:$I$204,K1185)))</f>
        <v/>
      </c>
      <c r="O1185" s="11">
        <f>IF(A1185="","",IF(K1185="",0,J1185*INDEX(Products!$H$5:$H$204,K1185)))</f>
        <v/>
      </c>
      <c r="P1185" s="11">
        <f>IF(A1185="","",J1185-M1185-N1185-O1185)</f>
        <v/>
      </c>
    </row>
    <row r="1186">
      <c r="A1186">
        <f>IFERROR(INDEX('Shopify Import'!$A:$CZ,1186,Settings!$E$20)&amp;"","")</f>
        <v/>
      </c>
      <c r="B1186">
        <f>IFERROR(INDEX('Shopify Import'!$A:$CZ,1186,Settings!$E$21)&amp;"","")</f>
        <v/>
      </c>
      <c r="C1186">
        <f>IFERROR(INDEX('Shopify Import'!$A:$CZ,1186,Settings!$E$22)&amp;"","")</f>
        <v/>
      </c>
      <c r="D1186">
        <f>IF(A1186="","",IFERROR(VALUE(SUBSTITUTE(SUBSTITUTE(INDEX('Shopify Import'!$A:$CZ,1186,Settings!$E$23)&amp;"","$",""),",","")),0))</f>
        <v/>
      </c>
      <c r="E1186" s="11">
        <f>IF(A1186="","",IFERROR(VALUE(SUBSTITUTE(SUBSTITUTE(INDEX('Shopify Import'!$A:$CZ,1186,Settings!$E$24)&amp;"","$",""),",","")),0))</f>
        <v/>
      </c>
      <c r="F1186" s="11">
        <f>IF(A1186="","",D1186*E1186)</f>
        <v/>
      </c>
      <c r="G1186">
        <f>IF(A1186="","",IF(C1186="",1,COUNTIF($C$2:$C$1501,C1186)))</f>
        <v/>
      </c>
      <c r="H1186" s="11">
        <f>IF(A1186="","",IFERROR(VALUE(SUBSTITUTE(SUBSTITUTE(INDEX('Shopify Import'!$A:$CZ,1186,Settings!$E$25)&amp;"","$",""),",","")),0)/IF(Settings!$D$27="Yes",G1186,1))</f>
        <v/>
      </c>
      <c r="I1186" s="11">
        <f>IF(A1186="","",IFERROR(VALUE(SUBSTITUTE(SUBSTITUTE(INDEX('Shopify Import'!$A:$CZ,1186,Settings!$E$26)&amp;"","$",""),",","")),0)/IF(Settings!$D$27="Yes",G1186,1))</f>
        <v/>
      </c>
      <c r="J1186" s="11">
        <f>IF(A1186="","",F1186+H1186-I1186)</f>
        <v/>
      </c>
      <c r="K1186">
        <f>IF(A1186="","",IFERROR(IF(B1186="",NA(),MATCH(B1186,Products!$B$5:$B$204,0)),IFERROR(MATCH(A1186,Products!$A$5:$A$204,0),"")))</f>
        <v/>
      </c>
      <c r="L1186">
        <f>IF(A1186="","",IF(K1186="","⚠ not in Products",INDEX(Products!$A$5:$A$204,K1186)))</f>
        <v/>
      </c>
      <c r="M1186" s="11">
        <f>IF(A1186="","",J1186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1186+IFERROR(INDEX(Settings!$D$5:$D$9,MATCH("Shopify",Settings!$A$5:$A$9,0)),0)*D1186)</f>
        <v/>
      </c>
      <c r="N1186" s="11">
        <f>IF(A1186="","",IF(K1186="",0,D1186*INDEX(Products!$I$5:$I$204,K1186)))</f>
        <v/>
      </c>
      <c r="O1186" s="11">
        <f>IF(A1186="","",IF(K1186="",0,J1186*INDEX(Products!$H$5:$H$204,K1186)))</f>
        <v/>
      </c>
      <c r="P1186" s="11">
        <f>IF(A1186="","",J1186-M1186-N1186-O1186)</f>
        <v/>
      </c>
    </row>
    <row r="1187">
      <c r="A1187">
        <f>IFERROR(INDEX('Shopify Import'!$A:$CZ,1187,Settings!$E$20)&amp;"","")</f>
        <v/>
      </c>
      <c r="B1187">
        <f>IFERROR(INDEX('Shopify Import'!$A:$CZ,1187,Settings!$E$21)&amp;"","")</f>
        <v/>
      </c>
      <c r="C1187">
        <f>IFERROR(INDEX('Shopify Import'!$A:$CZ,1187,Settings!$E$22)&amp;"","")</f>
        <v/>
      </c>
      <c r="D1187">
        <f>IF(A1187="","",IFERROR(VALUE(SUBSTITUTE(SUBSTITUTE(INDEX('Shopify Import'!$A:$CZ,1187,Settings!$E$23)&amp;"","$",""),",","")),0))</f>
        <v/>
      </c>
      <c r="E1187" s="11">
        <f>IF(A1187="","",IFERROR(VALUE(SUBSTITUTE(SUBSTITUTE(INDEX('Shopify Import'!$A:$CZ,1187,Settings!$E$24)&amp;"","$",""),",","")),0))</f>
        <v/>
      </c>
      <c r="F1187" s="11">
        <f>IF(A1187="","",D1187*E1187)</f>
        <v/>
      </c>
      <c r="G1187">
        <f>IF(A1187="","",IF(C1187="",1,COUNTIF($C$2:$C$1501,C1187)))</f>
        <v/>
      </c>
      <c r="H1187" s="11">
        <f>IF(A1187="","",IFERROR(VALUE(SUBSTITUTE(SUBSTITUTE(INDEX('Shopify Import'!$A:$CZ,1187,Settings!$E$25)&amp;"","$",""),",","")),0)/IF(Settings!$D$27="Yes",G1187,1))</f>
        <v/>
      </c>
      <c r="I1187" s="11">
        <f>IF(A1187="","",IFERROR(VALUE(SUBSTITUTE(SUBSTITUTE(INDEX('Shopify Import'!$A:$CZ,1187,Settings!$E$26)&amp;"","$",""),",","")),0)/IF(Settings!$D$27="Yes",G1187,1))</f>
        <v/>
      </c>
      <c r="J1187" s="11">
        <f>IF(A1187="","",F1187+H1187-I1187)</f>
        <v/>
      </c>
      <c r="K1187">
        <f>IF(A1187="","",IFERROR(IF(B1187="",NA(),MATCH(B1187,Products!$B$5:$B$204,0)),IFERROR(MATCH(A1187,Products!$A$5:$A$204,0),"")))</f>
        <v/>
      </c>
      <c r="L1187">
        <f>IF(A1187="","",IF(K1187="","⚠ not in Products",INDEX(Products!$A$5:$A$204,K1187)))</f>
        <v/>
      </c>
      <c r="M1187" s="11">
        <f>IF(A1187="","",J1187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1187+IFERROR(INDEX(Settings!$D$5:$D$9,MATCH("Shopify",Settings!$A$5:$A$9,0)),0)*D1187)</f>
        <v/>
      </c>
      <c r="N1187" s="11">
        <f>IF(A1187="","",IF(K1187="",0,D1187*INDEX(Products!$I$5:$I$204,K1187)))</f>
        <v/>
      </c>
      <c r="O1187" s="11">
        <f>IF(A1187="","",IF(K1187="",0,J1187*INDEX(Products!$H$5:$H$204,K1187)))</f>
        <v/>
      </c>
      <c r="P1187" s="11">
        <f>IF(A1187="","",J1187-M1187-N1187-O1187)</f>
        <v/>
      </c>
    </row>
    <row r="1188">
      <c r="A1188">
        <f>IFERROR(INDEX('Shopify Import'!$A:$CZ,1188,Settings!$E$20)&amp;"","")</f>
        <v/>
      </c>
      <c r="B1188">
        <f>IFERROR(INDEX('Shopify Import'!$A:$CZ,1188,Settings!$E$21)&amp;"","")</f>
        <v/>
      </c>
      <c r="C1188">
        <f>IFERROR(INDEX('Shopify Import'!$A:$CZ,1188,Settings!$E$22)&amp;"","")</f>
        <v/>
      </c>
      <c r="D1188">
        <f>IF(A1188="","",IFERROR(VALUE(SUBSTITUTE(SUBSTITUTE(INDEX('Shopify Import'!$A:$CZ,1188,Settings!$E$23)&amp;"","$",""),",","")),0))</f>
        <v/>
      </c>
      <c r="E1188" s="11">
        <f>IF(A1188="","",IFERROR(VALUE(SUBSTITUTE(SUBSTITUTE(INDEX('Shopify Import'!$A:$CZ,1188,Settings!$E$24)&amp;"","$",""),",","")),0))</f>
        <v/>
      </c>
      <c r="F1188" s="11">
        <f>IF(A1188="","",D1188*E1188)</f>
        <v/>
      </c>
      <c r="G1188">
        <f>IF(A1188="","",IF(C1188="",1,COUNTIF($C$2:$C$1501,C1188)))</f>
        <v/>
      </c>
      <c r="H1188" s="11">
        <f>IF(A1188="","",IFERROR(VALUE(SUBSTITUTE(SUBSTITUTE(INDEX('Shopify Import'!$A:$CZ,1188,Settings!$E$25)&amp;"","$",""),",","")),0)/IF(Settings!$D$27="Yes",G1188,1))</f>
        <v/>
      </c>
      <c r="I1188" s="11">
        <f>IF(A1188="","",IFERROR(VALUE(SUBSTITUTE(SUBSTITUTE(INDEX('Shopify Import'!$A:$CZ,1188,Settings!$E$26)&amp;"","$",""),",","")),0)/IF(Settings!$D$27="Yes",G1188,1))</f>
        <v/>
      </c>
      <c r="J1188" s="11">
        <f>IF(A1188="","",F1188+H1188-I1188)</f>
        <v/>
      </c>
      <c r="K1188">
        <f>IF(A1188="","",IFERROR(IF(B1188="",NA(),MATCH(B1188,Products!$B$5:$B$204,0)),IFERROR(MATCH(A1188,Products!$A$5:$A$204,0),"")))</f>
        <v/>
      </c>
      <c r="L1188">
        <f>IF(A1188="","",IF(K1188="","⚠ not in Products",INDEX(Products!$A$5:$A$204,K1188)))</f>
        <v/>
      </c>
      <c r="M1188" s="11">
        <f>IF(A1188="","",J1188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1188+IFERROR(INDEX(Settings!$D$5:$D$9,MATCH("Shopify",Settings!$A$5:$A$9,0)),0)*D1188)</f>
        <v/>
      </c>
      <c r="N1188" s="11">
        <f>IF(A1188="","",IF(K1188="",0,D1188*INDEX(Products!$I$5:$I$204,K1188)))</f>
        <v/>
      </c>
      <c r="O1188" s="11">
        <f>IF(A1188="","",IF(K1188="",0,J1188*INDEX(Products!$H$5:$H$204,K1188)))</f>
        <v/>
      </c>
      <c r="P1188" s="11">
        <f>IF(A1188="","",J1188-M1188-N1188-O1188)</f>
        <v/>
      </c>
    </row>
    <row r="1189">
      <c r="A1189">
        <f>IFERROR(INDEX('Shopify Import'!$A:$CZ,1189,Settings!$E$20)&amp;"","")</f>
        <v/>
      </c>
      <c r="B1189">
        <f>IFERROR(INDEX('Shopify Import'!$A:$CZ,1189,Settings!$E$21)&amp;"","")</f>
        <v/>
      </c>
      <c r="C1189">
        <f>IFERROR(INDEX('Shopify Import'!$A:$CZ,1189,Settings!$E$22)&amp;"","")</f>
        <v/>
      </c>
      <c r="D1189">
        <f>IF(A1189="","",IFERROR(VALUE(SUBSTITUTE(SUBSTITUTE(INDEX('Shopify Import'!$A:$CZ,1189,Settings!$E$23)&amp;"","$",""),",","")),0))</f>
        <v/>
      </c>
      <c r="E1189" s="11">
        <f>IF(A1189="","",IFERROR(VALUE(SUBSTITUTE(SUBSTITUTE(INDEX('Shopify Import'!$A:$CZ,1189,Settings!$E$24)&amp;"","$",""),",","")),0))</f>
        <v/>
      </c>
      <c r="F1189" s="11">
        <f>IF(A1189="","",D1189*E1189)</f>
        <v/>
      </c>
      <c r="G1189">
        <f>IF(A1189="","",IF(C1189="",1,COUNTIF($C$2:$C$1501,C1189)))</f>
        <v/>
      </c>
      <c r="H1189" s="11">
        <f>IF(A1189="","",IFERROR(VALUE(SUBSTITUTE(SUBSTITUTE(INDEX('Shopify Import'!$A:$CZ,1189,Settings!$E$25)&amp;"","$",""),",","")),0)/IF(Settings!$D$27="Yes",G1189,1))</f>
        <v/>
      </c>
      <c r="I1189" s="11">
        <f>IF(A1189="","",IFERROR(VALUE(SUBSTITUTE(SUBSTITUTE(INDEX('Shopify Import'!$A:$CZ,1189,Settings!$E$26)&amp;"","$",""),",","")),0)/IF(Settings!$D$27="Yes",G1189,1))</f>
        <v/>
      </c>
      <c r="J1189" s="11">
        <f>IF(A1189="","",F1189+H1189-I1189)</f>
        <v/>
      </c>
      <c r="K1189">
        <f>IF(A1189="","",IFERROR(IF(B1189="",NA(),MATCH(B1189,Products!$B$5:$B$204,0)),IFERROR(MATCH(A1189,Products!$A$5:$A$204,0),"")))</f>
        <v/>
      </c>
      <c r="L1189">
        <f>IF(A1189="","",IF(K1189="","⚠ not in Products",INDEX(Products!$A$5:$A$204,K1189)))</f>
        <v/>
      </c>
      <c r="M1189" s="11">
        <f>IF(A1189="","",J1189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1189+IFERROR(INDEX(Settings!$D$5:$D$9,MATCH("Shopify",Settings!$A$5:$A$9,0)),0)*D1189)</f>
        <v/>
      </c>
      <c r="N1189" s="11">
        <f>IF(A1189="","",IF(K1189="",0,D1189*INDEX(Products!$I$5:$I$204,K1189)))</f>
        <v/>
      </c>
      <c r="O1189" s="11">
        <f>IF(A1189="","",IF(K1189="",0,J1189*INDEX(Products!$H$5:$H$204,K1189)))</f>
        <v/>
      </c>
      <c r="P1189" s="11">
        <f>IF(A1189="","",J1189-M1189-N1189-O1189)</f>
        <v/>
      </c>
    </row>
    <row r="1190">
      <c r="A1190">
        <f>IFERROR(INDEX('Shopify Import'!$A:$CZ,1190,Settings!$E$20)&amp;"","")</f>
        <v/>
      </c>
      <c r="B1190">
        <f>IFERROR(INDEX('Shopify Import'!$A:$CZ,1190,Settings!$E$21)&amp;"","")</f>
        <v/>
      </c>
      <c r="C1190">
        <f>IFERROR(INDEX('Shopify Import'!$A:$CZ,1190,Settings!$E$22)&amp;"","")</f>
        <v/>
      </c>
      <c r="D1190">
        <f>IF(A1190="","",IFERROR(VALUE(SUBSTITUTE(SUBSTITUTE(INDEX('Shopify Import'!$A:$CZ,1190,Settings!$E$23)&amp;"","$",""),",","")),0))</f>
        <v/>
      </c>
      <c r="E1190" s="11">
        <f>IF(A1190="","",IFERROR(VALUE(SUBSTITUTE(SUBSTITUTE(INDEX('Shopify Import'!$A:$CZ,1190,Settings!$E$24)&amp;"","$",""),",","")),0))</f>
        <v/>
      </c>
      <c r="F1190" s="11">
        <f>IF(A1190="","",D1190*E1190)</f>
        <v/>
      </c>
      <c r="G1190">
        <f>IF(A1190="","",IF(C1190="",1,COUNTIF($C$2:$C$1501,C1190)))</f>
        <v/>
      </c>
      <c r="H1190" s="11">
        <f>IF(A1190="","",IFERROR(VALUE(SUBSTITUTE(SUBSTITUTE(INDEX('Shopify Import'!$A:$CZ,1190,Settings!$E$25)&amp;"","$",""),",","")),0)/IF(Settings!$D$27="Yes",G1190,1))</f>
        <v/>
      </c>
      <c r="I1190" s="11">
        <f>IF(A1190="","",IFERROR(VALUE(SUBSTITUTE(SUBSTITUTE(INDEX('Shopify Import'!$A:$CZ,1190,Settings!$E$26)&amp;"","$",""),",","")),0)/IF(Settings!$D$27="Yes",G1190,1))</f>
        <v/>
      </c>
      <c r="J1190" s="11">
        <f>IF(A1190="","",F1190+H1190-I1190)</f>
        <v/>
      </c>
      <c r="K1190">
        <f>IF(A1190="","",IFERROR(IF(B1190="",NA(),MATCH(B1190,Products!$B$5:$B$204,0)),IFERROR(MATCH(A1190,Products!$A$5:$A$204,0),"")))</f>
        <v/>
      </c>
      <c r="L1190">
        <f>IF(A1190="","",IF(K1190="","⚠ not in Products",INDEX(Products!$A$5:$A$204,K1190)))</f>
        <v/>
      </c>
      <c r="M1190" s="11">
        <f>IF(A1190="","",J1190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1190+IFERROR(INDEX(Settings!$D$5:$D$9,MATCH("Shopify",Settings!$A$5:$A$9,0)),0)*D1190)</f>
        <v/>
      </c>
      <c r="N1190" s="11">
        <f>IF(A1190="","",IF(K1190="",0,D1190*INDEX(Products!$I$5:$I$204,K1190)))</f>
        <v/>
      </c>
      <c r="O1190" s="11">
        <f>IF(A1190="","",IF(K1190="",0,J1190*INDEX(Products!$H$5:$H$204,K1190)))</f>
        <v/>
      </c>
      <c r="P1190" s="11">
        <f>IF(A1190="","",J1190-M1190-N1190-O1190)</f>
        <v/>
      </c>
    </row>
    <row r="1191">
      <c r="A1191">
        <f>IFERROR(INDEX('Shopify Import'!$A:$CZ,1191,Settings!$E$20)&amp;"","")</f>
        <v/>
      </c>
      <c r="B1191">
        <f>IFERROR(INDEX('Shopify Import'!$A:$CZ,1191,Settings!$E$21)&amp;"","")</f>
        <v/>
      </c>
      <c r="C1191">
        <f>IFERROR(INDEX('Shopify Import'!$A:$CZ,1191,Settings!$E$22)&amp;"","")</f>
        <v/>
      </c>
      <c r="D1191">
        <f>IF(A1191="","",IFERROR(VALUE(SUBSTITUTE(SUBSTITUTE(INDEX('Shopify Import'!$A:$CZ,1191,Settings!$E$23)&amp;"","$",""),",","")),0))</f>
        <v/>
      </c>
      <c r="E1191" s="11">
        <f>IF(A1191="","",IFERROR(VALUE(SUBSTITUTE(SUBSTITUTE(INDEX('Shopify Import'!$A:$CZ,1191,Settings!$E$24)&amp;"","$",""),",","")),0))</f>
        <v/>
      </c>
      <c r="F1191" s="11">
        <f>IF(A1191="","",D1191*E1191)</f>
        <v/>
      </c>
      <c r="G1191">
        <f>IF(A1191="","",IF(C1191="",1,COUNTIF($C$2:$C$1501,C1191)))</f>
        <v/>
      </c>
      <c r="H1191" s="11">
        <f>IF(A1191="","",IFERROR(VALUE(SUBSTITUTE(SUBSTITUTE(INDEX('Shopify Import'!$A:$CZ,1191,Settings!$E$25)&amp;"","$",""),",","")),0)/IF(Settings!$D$27="Yes",G1191,1))</f>
        <v/>
      </c>
      <c r="I1191" s="11">
        <f>IF(A1191="","",IFERROR(VALUE(SUBSTITUTE(SUBSTITUTE(INDEX('Shopify Import'!$A:$CZ,1191,Settings!$E$26)&amp;"","$",""),",","")),0)/IF(Settings!$D$27="Yes",G1191,1))</f>
        <v/>
      </c>
      <c r="J1191" s="11">
        <f>IF(A1191="","",F1191+H1191-I1191)</f>
        <v/>
      </c>
      <c r="K1191">
        <f>IF(A1191="","",IFERROR(IF(B1191="",NA(),MATCH(B1191,Products!$B$5:$B$204,0)),IFERROR(MATCH(A1191,Products!$A$5:$A$204,0),"")))</f>
        <v/>
      </c>
      <c r="L1191">
        <f>IF(A1191="","",IF(K1191="","⚠ not in Products",INDEX(Products!$A$5:$A$204,K1191)))</f>
        <v/>
      </c>
      <c r="M1191" s="11">
        <f>IF(A1191="","",J1191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1191+IFERROR(INDEX(Settings!$D$5:$D$9,MATCH("Shopify",Settings!$A$5:$A$9,0)),0)*D1191)</f>
        <v/>
      </c>
      <c r="N1191" s="11">
        <f>IF(A1191="","",IF(K1191="",0,D1191*INDEX(Products!$I$5:$I$204,K1191)))</f>
        <v/>
      </c>
      <c r="O1191" s="11">
        <f>IF(A1191="","",IF(K1191="",0,J1191*INDEX(Products!$H$5:$H$204,K1191)))</f>
        <v/>
      </c>
      <c r="P1191" s="11">
        <f>IF(A1191="","",J1191-M1191-N1191-O1191)</f>
        <v/>
      </c>
    </row>
    <row r="1192">
      <c r="A1192">
        <f>IFERROR(INDEX('Shopify Import'!$A:$CZ,1192,Settings!$E$20)&amp;"","")</f>
        <v/>
      </c>
      <c r="B1192">
        <f>IFERROR(INDEX('Shopify Import'!$A:$CZ,1192,Settings!$E$21)&amp;"","")</f>
        <v/>
      </c>
      <c r="C1192">
        <f>IFERROR(INDEX('Shopify Import'!$A:$CZ,1192,Settings!$E$22)&amp;"","")</f>
        <v/>
      </c>
      <c r="D1192">
        <f>IF(A1192="","",IFERROR(VALUE(SUBSTITUTE(SUBSTITUTE(INDEX('Shopify Import'!$A:$CZ,1192,Settings!$E$23)&amp;"","$",""),",","")),0))</f>
        <v/>
      </c>
      <c r="E1192" s="11">
        <f>IF(A1192="","",IFERROR(VALUE(SUBSTITUTE(SUBSTITUTE(INDEX('Shopify Import'!$A:$CZ,1192,Settings!$E$24)&amp;"","$",""),",","")),0))</f>
        <v/>
      </c>
      <c r="F1192" s="11">
        <f>IF(A1192="","",D1192*E1192)</f>
        <v/>
      </c>
      <c r="G1192">
        <f>IF(A1192="","",IF(C1192="",1,COUNTIF($C$2:$C$1501,C1192)))</f>
        <v/>
      </c>
      <c r="H1192" s="11">
        <f>IF(A1192="","",IFERROR(VALUE(SUBSTITUTE(SUBSTITUTE(INDEX('Shopify Import'!$A:$CZ,1192,Settings!$E$25)&amp;"","$",""),",","")),0)/IF(Settings!$D$27="Yes",G1192,1))</f>
        <v/>
      </c>
      <c r="I1192" s="11">
        <f>IF(A1192="","",IFERROR(VALUE(SUBSTITUTE(SUBSTITUTE(INDEX('Shopify Import'!$A:$CZ,1192,Settings!$E$26)&amp;"","$",""),",","")),0)/IF(Settings!$D$27="Yes",G1192,1))</f>
        <v/>
      </c>
      <c r="J1192" s="11">
        <f>IF(A1192="","",F1192+H1192-I1192)</f>
        <v/>
      </c>
      <c r="K1192">
        <f>IF(A1192="","",IFERROR(IF(B1192="",NA(),MATCH(B1192,Products!$B$5:$B$204,0)),IFERROR(MATCH(A1192,Products!$A$5:$A$204,0),"")))</f>
        <v/>
      </c>
      <c r="L1192">
        <f>IF(A1192="","",IF(K1192="","⚠ not in Products",INDEX(Products!$A$5:$A$204,K1192)))</f>
        <v/>
      </c>
      <c r="M1192" s="11">
        <f>IF(A1192="","",J1192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1192+IFERROR(INDEX(Settings!$D$5:$D$9,MATCH("Shopify",Settings!$A$5:$A$9,0)),0)*D1192)</f>
        <v/>
      </c>
      <c r="N1192" s="11">
        <f>IF(A1192="","",IF(K1192="",0,D1192*INDEX(Products!$I$5:$I$204,K1192)))</f>
        <v/>
      </c>
      <c r="O1192" s="11">
        <f>IF(A1192="","",IF(K1192="",0,J1192*INDEX(Products!$H$5:$H$204,K1192)))</f>
        <v/>
      </c>
      <c r="P1192" s="11">
        <f>IF(A1192="","",J1192-M1192-N1192-O1192)</f>
        <v/>
      </c>
    </row>
    <row r="1193">
      <c r="A1193">
        <f>IFERROR(INDEX('Shopify Import'!$A:$CZ,1193,Settings!$E$20)&amp;"","")</f>
        <v/>
      </c>
      <c r="B1193">
        <f>IFERROR(INDEX('Shopify Import'!$A:$CZ,1193,Settings!$E$21)&amp;"","")</f>
        <v/>
      </c>
      <c r="C1193">
        <f>IFERROR(INDEX('Shopify Import'!$A:$CZ,1193,Settings!$E$22)&amp;"","")</f>
        <v/>
      </c>
      <c r="D1193">
        <f>IF(A1193="","",IFERROR(VALUE(SUBSTITUTE(SUBSTITUTE(INDEX('Shopify Import'!$A:$CZ,1193,Settings!$E$23)&amp;"","$",""),",","")),0))</f>
        <v/>
      </c>
      <c r="E1193" s="11">
        <f>IF(A1193="","",IFERROR(VALUE(SUBSTITUTE(SUBSTITUTE(INDEX('Shopify Import'!$A:$CZ,1193,Settings!$E$24)&amp;"","$",""),",","")),0))</f>
        <v/>
      </c>
      <c r="F1193" s="11">
        <f>IF(A1193="","",D1193*E1193)</f>
        <v/>
      </c>
      <c r="G1193">
        <f>IF(A1193="","",IF(C1193="",1,COUNTIF($C$2:$C$1501,C1193)))</f>
        <v/>
      </c>
      <c r="H1193" s="11">
        <f>IF(A1193="","",IFERROR(VALUE(SUBSTITUTE(SUBSTITUTE(INDEX('Shopify Import'!$A:$CZ,1193,Settings!$E$25)&amp;"","$",""),",","")),0)/IF(Settings!$D$27="Yes",G1193,1))</f>
        <v/>
      </c>
      <c r="I1193" s="11">
        <f>IF(A1193="","",IFERROR(VALUE(SUBSTITUTE(SUBSTITUTE(INDEX('Shopify Import'!$A:$CZ,1193,Settings!$E$26)&amp;"","$",""),",","")),0)/IF(Settings!$D$27="Yes",G1193,1))</f>
        <v/>
      </c>
      <c r="J1193" s="11">
        <f>IF(A1193="","",F1193+H1193-I1193)</f>
        <v/>
      </c>
      <c r="K1193">
        <f>IF(A1193="","",IFERROR(IF(B1193="",NA(),MATCH(B1193,Products!$B$5:$B$204,0)),IFERROR(MATCH(A1193,Products!$A$5:$A$204,0),"")))</f>
        <v/>
      </c>
      <c r="L1193">
        <f>IF(A1193="","",IF(K1193="","⚠ not in Products",INDEX(Products!$A$5:$A$204,K1193)))</f>
        <v/>
      </c>
      <c r="M1193" s="11">
        <f>IF(A1193="","",J1193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1193+IFERROR(INDEX(Settings!$D$5:$D$9,MATCH("Shopify",Settings!$A$5:$A$9,0)),0)*D1193)</f>
        <v/>
      </c>
      <c r="N1193" s="11">
        <f>IF(A1193="","",IF(K1193="",0,D1193*INDEX(Products!$I$5:$I$204,K1193)))</f>
        <v/>
      </c>
      <c r="O1193" s="11">
        <f>IF(A1193="","",IF(K1193="",0,J1193*INDEX(Products!$H$5:$H$204,K1193)))</f>
        <v/>
      </c>
      <c r="P1193" s="11">
        <f>IF(A1193="","",J1193-M1193-N1193-O1193)</f>
        <v/>
      </c>
    </row>
    <row r="1194">
      <c r="A1194">
        <f>IFERROR(INDEX('Shopify Import'!$A:$CZ,1194,Settings!$E$20)&amp;"","")</f>
        <v/>
      </c>
      <c r="B1194">
        <f>IFERROR(INDEX('Shopify Import'!$A:$CZ,1194,Settings!$E$21)&amp;"","")</f>
        <v/>
      </c>
      <c r="C1194">
        <f>IFERROR(INDEX('Shopify Import'!$A:$CZ,1194,Settings!$E$22)&amp;"","")</f>
        <v/>
      </c>
      <c r="D1194">
        <f>IF(A1194="","",IFERROR(VALUE(SUBSTITUTE(SUBSTITUTE(INDEX('Shopify Import'!$A:$CZ,1194,Settings!$E$23)&amp;"","$",""),",","")),0))</f>
        <v/>
      </c>
      <c r="E1194" s="11">
        <f>IF(A1194="","",IFERROR(VALUE(SUBSTITUTE(SUBSTITUTE(INDEX('Shopify Import'!$A:$CZ,1194,Settings!$E$24)&amp;"","$",""),",","")),0))</f>
        <v/>
      </c>
      <c r="F1194" s="11">
        <f>IF(A1194="","",D1194*E1194)</f>
        <v/>
      </c>
      <c r="G1194">
        <f>IF(A1194="","",IF(C1194="",1,COUNTIF($C$2:$C$1501,C1194)))</f>
        <v/>
      </c>
      <c r="H1194" s="11">
        <f>IF(A1194="","",IFERROR(VALUE(SUBSTITUTE(SUBSTITUTE(INDEX('Shopify Import'!$A:$CZ,1194,Settings!$E$25)&amp;"","$",""),",","")),0)/IF(Settings!$D$27="Yes",G1194,1))</f>
        <v/>
      </c>
      <c r="I1194" s="11">
        <f>IF(A1194="","",IFERROR(VALUE(SUBSTITUTE(SUBSTITUTE(INDEX('Shopify Import'!$A:$CZ,1194,Settings!$E$26)&amp;"","$",""),",","")),0)/IF(Settings!$D$27="Yes",G1194,1))</f>
        <v/>
      </c>
      <c r="J1194" s="11">
        <f>IF(A1194="","",F1194+H1194-I1194)</f>
        <v/>
      </c>
      <c r="K1194">
        <f>IF(A1194="","",IFERROR(IF(B1194="",NA(),MATCH(B1194,Products!$B$5:$B$204,0)),IFERROR(MATCH(A1194,Products!$A$5:$A$204,0),"")))</f>
        <v/>
      </c>
      <c r="L1194">
        <f>IF(A1194="","",IF(K1194="","⚠ not in Products",INDEX(Products!$A$5:$A$204,K1194)))</f>
        <v/>
      </c>
      <c r="M1194" s="11">
        <f>IF(A1194="","",J1194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1194+IFERROR(INDEX(Settings!$D$5:$D$9,MATCH("Shopify",Settings!$A$5:$A$9,0)),0)*D1194)</f>
        <v/>
      </c>
      <c r="N1194" s="11">
        <f>IF(A1194="","",IF(K1194="",0,D1194*INDEX(Products!$I$5:$I$204,K1194)))</f>
        <v/>
      </c>
      <c r="O1194" s="11">
        <f>IF(A1194="","",IF(K1194="",0,J1194*INDEX(Products!$H$5:$H$204,K1194)))</f>
        <v/>
      </c>
      <c r="P1194" s="11">
        <f>IF(A1194="","",J1194-M1194-N1194-O1194)</f>
        <v/>
      </c>
    </row>
    <row r="1195">
      <c r="A1195">
        <f>IFERROR(INDEX('Shopify Import'!$A:$CZ,1195,Settings!$E$20)&amp;"","")</f>
        <v/>
      </c>
      <c r="B1195">
        <f>IFERROR(INDEX('Shopify Import'!$A:$CZ,1195,Settings!$E$21)&amp;"","")</f>
        <v/>
      </c>
      <c r="C1195">
        <f>IFERROR(INDEX('Shopify Import'!$A:$CZ,1195,Settings!$E$22)&amp;"","")</f>
        <v/>
      </c>
      <c r="D1195">
        <f>IF(A1195="","",IFERROR(VALUE(SUBSTITUTE(SUBSTITUTE(INDEX('Shopify Import'!$A:$CZ,1195,Settings!$E$23)&amp;"","$",""),",","")),0))</f>
        <v/>
      </c>
      <c r="E1195" s="11">
        <f>IF(A1195="","",IFERROR(VALUE(SUBSTITUTE(SUBSTITUTE(INDEX('Shopify Import'!$A:$CZ,1195,Settings!$E$24)&amp;"","$",""),",","")),0))</f>
        <v/>
      </c>
      <c r="F1195" s="11">
        <f>IF(A1195="","",D1195*E1195)</f>
        <v/>
      </c>
      <c r="G1195">
        <f>IF(A1195="","",IF(C1195="",1,COUNTIF($C$2:$C$1501,C1195)))</f>
        <v/>
      </c>
      <c r="H1195" s="11">
        <f>IF(A1195="","",IFERROR(VALUE(SUBSTITUTE(SUBSTITUTE(INDEX('Shopify Import'!$A:$CZ,1195,Settings!$E$25)&amp;"","$",""),",","")),0)/IF(Settings!$D$27="Yes",G1195,1))</f>
        <v/>
      </c>
      <c r="I1195" s="11">
        <f>IF(A1195="","",IFERROR(VALUE(SUBSTITUTE(SUBSTITUTE(INDEX('Shopify Import'!$A:$CZ,1195,Settings!$E$26)&amp;"","$",""),",","")),0)/IF(Settings!$D$27="Yes",G1195,1))</f>
        <v/>
      </c>
      <c r="J1195" s="11">
        <f>IF(A1195="","",F1195+H1195-I1195)</f>
        <v/>
      </c>
      <c r="K1195">
        <f>IF(A1195="","",IFERROR(IF(B1195="",NA(),MATCH(B1195,Products!$B$5:$B$204,0)),IFERROR(MATCH(A1195,Products!$A$5:$A$204,0),"")))</f>
        <v/>
      </c>
      <c r="L1195">
        <f>IF(A1195="","",IF(K1195="","⚠ not in Products",INDEX(Products!$A$5:$A$204,K1195)))</f>
        <v/>
      </c>
      <c r="M1195" s="11">
        <f>IF(A1195="","",J1195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1195+IFERROR(INDEX(Settings!$D$5:$D$9,MATCH("Shopify",Settings!$A$5:$A$9,0)),0)*D1195)</f>
        <v/>
      </c>
      <c r="N1195" s="11">
        <f>IF(A1195="","",IF(K1195="",0,D1195*INDEX(Products!$I$5:$I$204,K1195)))</f>
        <v/>
      </c>
      <c r="O1195" s="11">
        <f>IF(A1195="","",IF(K1195="",0,J1195*INDEX(Products!$H$5:$H$204,K1195)))</f>
        <v/>
      </c>
      <c r="P1195" s="11">
        <f>IF(A1195="","",J1195-M1195-N1195-O1195)</f>
        <v/>
      </c>
    </row>
    <row r="1196">
      <c r="A1196">
        <f>IFERROR(INDEX('Shopify Import'!$A:$CZ,1196,Settings!$E$20)&amp;"","")</f>
        <v/>
      </c>
      <c r="B1196">
        <f>IFERROR(INDEX('Shopify Import'!$A:$CZ,1196,Settings!$E$21)&amp;"","")</f>
        <v/>
      </c>
      <c r="C1196">
        <f>IFERROR(INDEX('Shopify Import'!$A:$CZ,1196,Settings!$E$22)&amp;"","")</f>
        <v/>
      </c>
      <c r="D1196">
        <f>IF(A1196="","",IFERROR(VALUE(SUBSTITUTE(SUBSTITUTE(INDEX('Shopify Import'!$A:$CZ,1196,Settings!$E$23)&amp;"","$",""),",","")),0))</f>
        <v/>
      </c>
      <c r="E1196" s="11">
        <f>IF(A1196="","",IFERROR(VALUE(SUBSTITUTE(SUBSTITUTE(INDEX('Shopify Import'!$A:$CZ,1196,Settings!$E$24)&amp;"","$",""),",","")),0))</f>
        <v/>
      </c>
      <c r="F1196" s="11">
        <f>IF(A1196="","",D1196*E1196)</f>
        <v/>
      </c>
      <c r="G1196">
        <f>IF(A1196="","",IF(C1196="",1,COUNTIF($C$2:$C$1501,C1196)))</f>
        <v/>
      </c>
      <c r="H1196" s="11">
        <f>IF(A1196="","",IFERROR(VALUE(SUBSTITUTE(SUBSTITUTE(INDEX('Shopify Import'!$A:$CZ,1196,Settings!$E$25)&amp;"","$",""),",","")),0)/IF(Settings!$D$27="Yes",G1196,1))</f>
        <v/>
      </c>
      <c r="I1196" s="11">
        <f>IF(A1196="","",IFERROR(VALUE(SUBSTITUTE(SUBSTITUTE(INDEX('Shopify Import'!$A:$CZ,1196,Settings!$E$26)&amp;"","$",""),",","")),0)/IF(Settings!$D$27="Yes",G1196,1))</f>
        <v/>
      </c>
      <c r="J1196" s="11">
        <f>IF(A1196="","",F1196+H1196-I1196)</f>
        <v/>
      </c>
      <c r="K1196">
        <f>IF(A1196="","",IFERROR(IF(B1196="",NA(),MATCH(B1196,Products!$B$5:$B$204,0)),IFERROR(MATCH(A1196,Products!$A$5:$A$204,0),"")))</f>
        <v/>
      </c>
      <c r="L1196">
        <f>IF(A1196="","",IF(K1196="","⚠ not in Products",INDEX(Products!$A$5:$A$204,K1196)))</f>
        <v/>
      </c>
      <c r="M1196" s="11">
        <f>IF(A1196="","",J1196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1196+IFERROR(INDEX(Settings!$D$5:$D$9,MATCH("Shopify",Settings!$A$5:$A$9,0)),0)*D1196)</f>
        <v/>
      </c>
      <c r="N1196" s="11">
        <f>IF(A1196="","",IF(K1196="",0,D1196*INDEX(Products!$I$5:$I$204,K1196)))</f>
        <v/>
      </c>
      <c r="O1196" s="11">
        <f>IF(A1196="","",IF(K1196="",0,J1196*INDEX(Products!$H$5:$H$204,K1196)))</f>
        <v/>
      </c>
      <c r="P1196" s="11">
        <f>IF(A1196="","",J1196-M1196-N1196-O1196)</f>
        <v/>
      </c>
    </row>
    <row r="1197">
      <c r="A1197">
        <f>IFERROR(INDEX('Shopify Import'!$A:$CZ,1197,Settings!$E$20)&amp;"","")</f>
        <v/>
      </c>
      <c r="B1197">
        <f>IFERROR(INDEX('Shopify Import'!$A:$CZ,1197,Settings!$E$21)&amp;"","")</f>
        <v/>
      </c>
      <c r="C1197">
        <f>IFERROR(INDEX('Shopify Import'!$A:$CZ,1197,Settings!$E$22)&amp;"","")</f>
        <v/>
      </c>
      <c r="D1197">
        <f>IF(A1197="","",IFERROR(VALUE(SUBSTITUTE(SUBSTITUTE(INDEX('Shopify Import'!$A:$CZ,1197,Settings!$E$23)&amp;"","$",""),",","")),0))</f>
        <v/>
      </c>
      <c r="E1197" s="11">
        <f>IF(A1197="","",IFERROR(VALUE(SUBSTITUTE(SUBSTITUTE(INDEX('Shopify Import'!$A:$CZ,1197,Settings!$E$24)&amp;"","$",""),",","")),0))</f>
        <v/>
      </c>
      <c r="F1197" s="11">
        <f>IF(A1197="","",D1197*E1197)</f>
        <v/>
      </c>
      <c r="G1197">
        <f>IF(A1197="","",IF(C1197="",1,COUNTIF($C$2:$C$1501,C1197)))</f>
        <v/>
      </c>
      <c r="H1197" s="11">
        <f>IF(A1197="","",IFERROR(VALUE(SUBSTITUTE(SUBSTITUTE(INDEX('Shopify Import'!$A:$CZ,1197,Settings!$E$25)&amp;"","$",""),",","")),0)/IF(Settings!$D$27="Yes",G1197,1))</f>
        <v/>
      </c>
      <c r="I1197" s="11">
        <f>IF(A1197="","",IFERROR(VALUE(SUBSTITUTE(SUBSTITUTE(INDEX('Shopify Import'!$A:$CZ,1197,Settings!$E$26)&amp;"","$",""),",","")),0)/IF(Settings!$D$27="Yes",G1197,1))</f>
        <v/>
      </c>
      <c r="J1197" s="11">
        <f>IF(A1197="","",F1197+H1197-I1197)</f>
        <v/>
      </c>
      <c r="K1197">
        <f>IF(A1197="","",IFERROR(IF(B1197="",NA(),MATCH(B1197,Products!$B$5:$B$204,0)),IFERROR(MATCH(A1197,Products!$A$5:$A$204,0),"")))</f>
        <v/>
      </c>
      <c r="L1197">
        <f>IF(A1197="","",IF(K1197="","⚠ not in Products",INDEX(Products!$A$5:$A$204,K1197)))</f>
        <v/>
      </c>
      <c r="M1197" s="11">
        <f>IF(A1197="","",J1197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1197+IFERROR(INDEX(Settings!$D$5:$D$9,MATCH("Shopify",Settings!$A$5:$A$9,0)),0)*D1197)</f>
        <v/>
      </c>
      <c r="N1197" s="11">
        <f>IF(A1197="","",IF(K1197="",0,D1197*INDEX(Products!$I$5:$I$204,K1197)))</f>
        <v/>
      </c>
      <c r="O1197" s="11">
        <f>IF(A1197="","",IF(K1197="",0,J1197*INDEX(Products!$H$5:$H$204,K1197)))</f>
        <v/>
      </c>
      <c r="P1197" s="11">
        <f>IF(A1197="","",J1197-M1197-N1197-O1197)</f>
        <v/>
      </c>
    </row>
    <row r="1198">
      <c r="A1198">
        <f>IFERROR(INDEX('Shopify Import'!$A:$CZ,1198,Settings!$E$20)&amp;"","")</f>
        <v/>
      </c>
      <c r="B1198">
        <f>IFERROR(INDEX('Shopify Import'!$A:$CZ,1198,Settings!$E$21)&amp;"","")</f>
        <v/>
      </c>
      <c r="C1198">
        <f>IFERROR(INDEX('Shopify Import'!$A:$CZ,1198,Settings!$E$22)&amp;"","")</f>
        <v/>
      </c>
      <c r="D1198">
        <f>IF(A1198="","",IFERROR(VALUE(SUBSTITUTE(SUBSTITUTE(INDEX('Shopify Import'!$A:$CZ,1198,Settings!$E$23)&amp;"","$",""),",","")),0))</f>
        <v/>
      </c>
      <c r="E1198" s="11">
        <f>IF(A1198="","",IFERROR(VALUE(SUBSTITUTE(SUBSTITUTE(INDEX('Shopify Import'!$A:$CZ,1198,Settings!$E$24)&amp;"","$",""),",","")),0))</f>
        <v/>
      </c>
      <c r="F1198" s="11">
        <f>IF(A1198="","",D1198*E1198)</f>
        <v/>
      </c>
      <c r="G1198">
        <f>IF(A1198="","",IF(C1198="",1,COUNTIF($C$2:$C$1501,C1198)))</f>
        <v/>
      </c>
      <c r="H1198" s="11">
        <f>IF(A1198="","",IFERROR(VALUE(SUBSTITUTE(SUBSTITUTE(INDEX('Shopify Import'!$A:$CZ,1198,Settings!$E$25)&amp;"","$",""),",","")),0)/IF(Settings!$D$27="Yes",G1198,1))</f>
        <v/>
      </c>
      <c r="I1198" s="11">
        <f>IF(A1198="","",IFERROR(VALUE(SUBSTITUTE(SUBSTITUTE(INDEX('Shopify Import'!$A:$CZ,1198,Settings!$E$26)&amp;"","$",""),",","")),0)/IF(Settings!$D$27="Yes",G1198,1))</f>
        <v/>
      </c>
      <c r="J1198" s="11">
        <f>IF(A1198="","",F1198+H1198-I1198)</f>
        <v/>
      </c>
      <c r="K1198">
        <f>IF(A1198="","",IFERROR(IF(B1198="",NA(),MATCH(B1198,Products!$B$5:$B$204,0)),IFERROR(MATCH(A1198,Products!$A$5:$A$204,0),"")))</f>
        <v/>
      </c>
      <c r="L1198">
        <f>IF(A1198="","",IF(K1198="","⚠ not in Products",INDEX(Products!$A$5:$A$204,K1198)))</f>
        <v/>
      </c>
      <c r="M1198" s="11">
        <f>IF(A1198="","",J1198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1198+IFERROR(INDEX(Settings!$D$5:$D$9,MATCH("Shopify",Settings!$A$5:$A$9,0)),0)*D1198)</f>
        <v/>
      </c>
      <c r="N1198" s="11">
        <f>IF(A1198="","",IF(K1198="",0,D1198*INDEX(Products!$I$5:$I$204,K1198)))</f>
        <v/>
      </c>
      <c r="O1198" s="11">
        <f>IF(A1198="","",IF(K1198="",0,J1198*INDEX(Products!$H$5:$H$204,K1198)))</f>
        <v/>
      </c>
      <c r="P1198" s="11">
        <f>IF(A1198="","",J1198-M1198-N1198-O1198)</f>
        <v/>
      </c>
    </row>
    <row r="1199">
      <c r="A1199">
        <f>IFERROR(INDEX('Shopify Import'!$A:$CZ,1199,Settings!$E$20)&amp;"","")</f>
        <v/>
      </c>
      <c r="B1199">
        <f>IFERROR(INDEX('Shopify Import'!$A:$CZ,1199,Settings!$E$21)&amp;"","")</f>
        <v/>
      </c>
      <c r="C1199">
        <f>IFERROR(INDEX('Shopify Import'!$A:$CZ,1199,Settings!$E$22)&amp;"","")</f>
        <v/>
      </c>
      <c r="D1199">
        <f>IF(A1199="","",IFERROR(VALUE(SUBSTITUTE(SUBSTITUTE(INDEX('Shopify Import'!$A:$CZ,1199,Settings!$E$23)&amp;"","$",""),",","")),0))</f>
        <v/>
      </c>
      <c r="E1199" s="11">
        <f>IF(A1199="","",IFERROR(VALUE(SUBSTITUTE(SUBSTITUTE(INDEX('Shopify Import'!$A:$CZ,1199,Settings!$E$24)&amp;"","$",""),",","")),0))</f>
        <v/>
      </c>
      <c r="F1199" s="11">
        <f>IF(A1199="","",D1199*E1199)</f>
        <v/>
      </c>
      <c r="G1199">
        <f>IF(A1199="","",IF(C1199="",1,COUNTIF($C$2:$C$1501,C1199)))</f>
        <v/>
      </c>
      <c r="H1199" s="11">
        <f>IF(A1199="","",IFERROR(VALUE(SUBSTITUTE(SUBSTITUTE(INDEX('Shopify Import'!$A:$CZ,1199,Settings!$E$25)&amp;"","$",""),",","")),0)/IF(Settings!$D$27="Yes",G1199,1))</f>
        <v/>
      </c>
      <c r="I1199" s="11">
        <f>IF(A1199="","",IFERROR(VALUE(SUBSTITUTE(SUBSTITUTE(INDEX('Shopify Import'!$A:$CZ,1199,Settings!$E$26)&amp;"","$",""),",","")),0)/IF(Settings!$D$27="Yes",G1199,1))</f>
        <v/>
      </c>
      <c r="J1199" s="11">
        <f>IF(A1199="","",F1199+H1199-I1199)</f>
        <v/>
      </c>
      <c r="K1199">
        <f>IF(A1199="","",IFERROR(IF(B1199="",NA(),MATCH(B1199,Products!$B$5:$B$204,0)),IFERROR(MATCH(A1199,Products!$A$5:$A$204,0),"")))</f>
        <v/>
      </c>
      <c r="L1199">
        <f>IF(A1199="","",IF(K1199="","⚠ not in Products",INDEX(Products!$A$5:$A$204,K1199)))</f>
        <v/>
      </c>
      <c r="M1199" s="11">
        <f>IF(A1199="","",J1199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1199+IFERROR(INDEX(Settings!$D$5:$D$9,MATCH("Shopify",Settings!$A$5:$A$9,0)),0)*D1199)</f>
        <v/>
      </c>
      <c r="N1199" s="11">
        <f>IF(A1199="","",IF(K1199="",0,D1199*INDEX(Products!$I$5:$I$204,K1199)))</f>
        <v/>
      </c>
      <c r="O1199" s="11">
        <f>IF(A1199="","",IF(K1199="",0,J1199*INDEX(Products!$H$5:$H$204,K1199)))</f>
        <v/>
      </c>
      <c r="P1199" s="11">
        <f>IF(A1199="","",J1199-M1199-N1199-O1199)</f>
        <v/>
      </c>
    </row>
    <row r="1200">
      <c r="A1200">
        <f>IFERROR(INDEX('Shopify Import'!$A:$CZ,1200,Settings!$E$20)&amp;"","")</f>
        <v/>
      </c>
      <c r="B1200">
        <f>IFERROR(INDEX('Shopify Import'!$A:$CZ,1200,Settings!$E$21)&amp;"","")</f>
        <v/>
      </c>
      <c r="C1200">
        <f>IFERROR(INDEX('Shopify Import'!$A:$CZ,1200,Settings!$E$22)&amp;"","")</f>
        <v/>
      </c>
      <c r="D1200">
        <f>IF(A1200="","",IFERROR(VALUE(SUBSTITUTE(SUBSTITUTE(INDEX('Shopify Import'!$A:$CZ,1200,Settings!$E$23)&amp;"","$",""),",","")),0))</f>
        <v/>
      </c>
      <c r="E1200" s="11">
        <f>IF(A1200="","",IFERROR(VALUE(SUBSTITUTE(SUBSTITUTE(INDEX('Shopify Import'!$A:$CZ,1200,Settings!$E$24)&amp;"","$",""),",","")),0))</f>
        <v/>
      </c>
      <c r="F1200" s="11">
        <f>IF(A1200="","",D1200*E1200)</f>
        <v/>
      </c>
      <c r="G1200">
        <f>IF(A1200="","",IF(C1200="",1,COUNTIF($C$2:$C$1501,C1200)))</f>
        <v/>
      </c>
      <c r="H1200" s="11">
        <f>IF(A1200="","",IFERROR(VALUE(SUBSTITUTE(SUBSTITUTE(INDEX('Shopify Import'!$A:$CZ,1200,Settings!$E$25)&amp;"","$",""),",","")),0)/IF(Settings!$D$27="Yes",G1200,1))</f>
        <v/>
      </c>
      <c r="I1200" s="11">
        <f>IF(A1200="","",IFERROR(VALUE(SUBSTITUTE(SUBSTITUTE(INDEX('Shopify Import'!$A:$CZ,1200,Settings!$E$26)&amp;"","$",""),",","")),0)/IF(Settings!$D$27="Yes",G1200,1))</f>
        <v/>
      </c>
      <c r="J1200" s="11">
        <f>IF(A1200="","",F1200+H1200-I1200)</f>
        <v/>
      </c>
      <c r="K1200">
        <f>IF(A1200="","",IFERROR(IF(B1200="",NA(),MATCH(B1200,Products!$B$5:$B$204,0)),IFERROR(MATCH(A1200,Products!$A$5:$A$204,0),"")))</f>
        <v/>
      </c>
      <c r="L1200">
        <f>IF(A1200="","",IF(K1200="","⚠ not in Products",INDEX(Products!$A$5:$A$204,K1200)))</f>
        <v/>
      </c>
      <c r="M1200" s="11">
        <f>IF(A1200="","",J1200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1200+IFERROR(INDEX(Settings!$D$5:$D$9,MATCH("Shopify",Settings!$A$5:$A$9,0)),0)*D1200)</f>
        <v/>
      </c>
      <c r="N1200" s="11">
        <f>IF(A1200="","",IF(K1200="",0,D1200*INDEX(Products!$I$5:$I$204,K1200)))</f>
        <v/>
      </c>
      <c r="O1200" s="11">
        <f>IF(A1200="","",IF(K1200="",0,J1200*INDEX(Products!$H$5:$H$204,K1200)))</f>
        <v/>
      </c>
      <c r="P1200" s="11">
        <f>IF(A1200="","",J1200-M1200-N1200-O1200)</f>
        <v/>
      </c>
    </row>
    <row r="1201">
      <c r="A1201">
        <f>IFERROR(INDEX('Shopify Import'!$A:$CZ,1201,Settings!$E$20)&amp;"","")</f>
        <v/>
      </c>
      <c r="B1201">
        <f>IFERROR(INDEX('Shopify Import'!$A:$CZ,1201,Settings!$E$21)&amp;"","")</f>
        <v/>
      </c>
      <c r="C1201">
        <f>IFERROR(INDEX('Shopify Import'!$A:$CZ,1201,Settings!$E$22)&amp;"","")</f>
        <v/>
      </c>
      <c r="D1201">
        <f>IF(A1201="","",IFERROR(VALUE(SUBSTITUTE(SUBSTITUTE(INDEX('Shopify Import'!$A:$CZ,1201,Settings!$E$23)&amp;"","$",""),",","")),0))</f>
        <v/>
      </c>
      <c r="E1201" s="11">
        <f>IF(A1201="","",IFERROR(VALUE(SUBSTITUTE(SUBSTITUTE(INDEX('Shopify Import'!$A:$CZ,1201,Settings!$E$24)&amp;"","$",""),",","")),0))</f>
        <v/>
      </c>
      <c r="F1201" s="11">
        <f>IF(A1201="","",D1201*E1201)</f>
        <v/>
      </c>
      <c r="G1201">
        <f>IF(A1201="","",IF(C1201="",1,COUNTIF($C$2:$C$1501,C1201)))</f>
        <v/>
      </c>
      <c r="H1201" s="11">
        <f>IF(A1201="","",IFERROR(VALUE(SUBSTITUTE(SUBSTITUTE(INDEX('Shopify Import'!$A:$CZ,1201,Settings!$E$25)&amp;"","$",""),",","")),0)/IF(Settings!$D$27="Yes",G1201,1))</f>
        <v/>
      </c>
      <c r="I1201" s="11">
        <f>IF(A1201="","",IFERROR(VALUE(SUBSTITUTE(SUBSTITUTE(INDEX('Shopify Import'!$A:$CZ,1201,Settings!$E$26)&amp;"","$",""),",","")),0)/IF(Settings!$D$27="Yes",G1201,1))</f>
        <v/>
      </c>
      <c r="J1201" s="11">
        <f>IF(A1201="","",F1201+H1201-I1201)</f>
        <v/>
      </c>
      <c r="K1201">
        <f>IF(A1201="","",IFERROR(IF(B1201="",NA(),MATCH(B1201,Products!$B$5:$B$204,0)),IFERROR(MATCH(A1201,Products!$A$5:$A$204,0),"")))</f>
        <v/>
      </c>
      <c r="L1201">
        <f>IF(A1201="","",IF(K1201="","⚠ not in Products",INDEX(Products!$A$5:$A$204,K1201)))</f>
        <v/>
      </c>
      <c r="M1201" s="11">
        <f>IF(A1201="","",J1201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1201+IFERROR(INDEX(Settings!$D$5:$D$9,MATCH("Shopify",Settings!$A$5:$A$9,0)),0)*D1201)</f>
        <v/>
      </c>
      <c r="N1201" s="11">
        <f>IF(A1201="","",IF(K1201="",0,D1201*INDEX(Products!$I$5:$I$204,K1201)))</f>
        <v/>
      </c>
      <c r="O1201" s="11">
        <f>IF(A1201="","",IF(K1201="",0,J1201*INDEX(Products!$H$5:$H$204,K1201)))</f>
        <v/>
      </c>
      <c r="P1201" s="11">
        <f>IF(A1201="","",J1201-M1201-N1201-O1201)</f>
        <v/>
      </c>
    </row>
    <row r="1202">
      <c r="A1202">
        <f>IFERROR(INDEX('Shopify Import'!$A:$CZ,1202,Settings!$E$20)&amp;"","")</f>
        <v/>
      </c>
      <c r="B1202">
        <f>IFERROR(INDEX('Shopify Import'!$A:$CZ,1202,Settings!$E$21)&amp;"","")</f>
        <v/>
      </c>
      <c r="C1202">
        <f>IFERROR(INDEX('Shopify Import'!$A:$CZ,1202,Settings!$E$22)&amp;"","")</f>
        <v/>
      </c>
      <c r="D1202">
        <f>IF(A1202="","",IFERROR(VALUE(SUBSTITUTE(SUBSTITUTE(INDEX('Shopify Import'!$A:$CZ,1202,Settings!$E$23)&amp;"","$",""),",","")),0))</f>
        <v/>
      </c>
      <c r="E1202" s="11">
        <f>IF(A1202="","",IFERROR(VALUE(SUBSTITUTE(SUBSTITUTE(INDEX('Shopify Import'!$A:$CZ,1202,Settings!$E$24)&amp;"","$",""),",","")),0))</f>
        <v/>
      </c>
      <c r="F1202" s="11">
        <f>IF(A1202="","",D1202*E1202)</f>
        <v/>
      </c>
      <c r="G1202">
        <f>IF(A1202="","",IF(C1202="",1,COUNTIF($C$2:$C$1501,C1202)))</f>
        <v/>
      </c>
      <c r="H1202" s="11">
        <f>IF(A1202="","",IFERROR(VALUE(SUBSTITUTE(SUBSTITUTE(INDEX('Shopify Import'!$A:$CZ,1202,Settings!$E$25)&amp;"","$",""),",","")),0)/IF(Settings!$D$27="Yes",G1202,1))</f>
        <v/>
      </c>
      <c r="I1202" s="11">
        <f>IF(A1202="","",IFERROR(VALUE(SUBSTITUTE(SUBSTITUTE(INDEX('Shopify Import'!$A:$CZ,1202,Settings!$E$26)&amp;"","$",""),",","")),0)/IF(Settings!$D$27="Yes",G1202,1))</f>
        <v/>
      </c>
      <c r="J1202" s="11">
        <f>IF(A1202="","",F1202+H1202-I1202)</f>
        <v/>
      </c>
      <c r="K1202">
        <f>IF(A1202="","",IFERROR(IF(B1202="",NA(),MATCH(B1202,Products!$B$5:$B$204,0)),IFERROR(MATCH(A1202,Products!$A$5:$A$204,0),"")))</f>
        <v/>
      </c>
      <c r="L1202">
        <f>IF(A1202="","",IF(K1202="","⚠ not in Products",INDEX(Products!$A$5:$A$204,K1202)))</f>
        <v/>
      </c>
      <c r="M1202" s="11">
        <f>IF(A1202="","",J1202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1202+IFERROR(INDEX(Settings!$D$5:$D$9,MATCH("Shopify",Settings!$A$5:$A$9,0)),0)*D1202)</f>
        <v/>
      </c>
      <c r="N1202" s="11">
        <f>IF(A1202="","",IF(K1202="",0,D1202*INDEX(Products!$I$5:$I$204,K1202)))</f>
        <v/>
      </c>
      <c r="O1202" s="11">
        <f>IF(A1202="","",IF(K1202="",0,J1202*INDEX(Products!$H$5:$H$204,K1202)))</f>
        <v/>
      </c>
      <c r="P1202" s="11">
        <f>IF(A1202="","",J1202-M1202-N1202-O1202)</f>
        <v/>
      </c>
    </row>
    <row r="1203">
      <c r="A1203">
        <f>IFERROR(INDEX('Shopify Import'!$A:$CZ,1203,Settings!$E$20)&amp;"","")</f>
        <v/>
      </c>
      <c r="B1203">
        <f>IFERROR(INDEX('Shopify Import'!$A:$CZ,1203,Settings!$E$21)&amp;"","")</f>
        <v/>
      </c>
      <c r="C1203">
        <f>IFERROR(INDEX('Shopify Import'!$A:$CZ,1203,Settings!$E$22)&amp;"","")</f>
        <v/>
      </c>
      <c r="D1203">
        <f>IF(A1203="","",IFERROR(VALUE(SUBSTITUTE(SUBSTITUTE(INDEX('Shopify Import'!$A:$CZ,1203,Settings!$E$23)&amp;"","$",""),",","")),0))</f>
        <v/>
      </c>
      <c r="E1203" s="11">
        <f>IF(A1203="","",IFERROR(VALUE(SUBSTITUTE(SUBSTITUTE(INDEX('Shopify Import'!$A:$CZ,1203,Settings!$E$24)&amp;"","$",""),",","")),0))</f>
        <v/>
      </c>
      <c r="F1203" s="11">
        <f>IF(A1203="","",D1203*E1203)</f>
        <v/>
      </c>
      <c r="G1203">
        <f>IF(A1203="","",IF(C1203="",1,COUNTIF($C$2:$C$1501,C1203)))</f>
        <v/>
      </c>
      <c r="H1203" s="11">
        <f>IF(A1203="","",IFERROR(VALUE(SUBSTITUTE(SUBSTITUTE(INDEX('Shopify Import'!$A:$CZ,1203,Settings!$E$25)&amp;"","$",""),",","")),0)/IF(Settings!$D$27="Yes",G1203,1))</f>
        <v/>
      </c>
      <c r="I1203" s="11">
        <f>IF(A1203="","",IFERROR(VALUE(SUBSTITUTE(SUBSTITUTE(INDEX('Shopify Import'!$A:$CZ,1203,Settings!$E$26)&amp;"","$",""),",","")),0)/IF(Settings!$D$27="Yes",G1203,1))</f>
        <v/>
      </c>
      <c r="J1203" s="11">
        <f>IF(A1203="","",F1203+H1203-I1203)</f>
        <v/>
      </c>
      <c r="K1203">
        <f>IF(A1203="","",IFERROR(IF(B1203="",NA(),MATCH(B1203,Products!$B$5:$B$204,0)),IFERROR(MATCH(A1203,Products!$A$5:$A$204,0),"")))</f>
        <v/>
      </c>
      <c r="L1203">
        <f>IF(A1203="","",IF(K1203="","⚠ not in Products",INDEX(Products!$A$5:$A$204,K1203)))</f>
        <v/>
      </c>
      <c r="M1203" s="11">
        <f>IF(A1203="","",J1203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1203+IFERROR(INDEX(Settings!$D$5:$D$9,MATCH("Shopify",Settings!$A$5:$A$9,0)),0)*D1203)</f>
        <v/>
      </c>
      <c r="N1203" s="11">
        <f>IF(A1203="","",IF(K1203="",0,D1203*INDEX(Products!$I$5:$I$204,K1203)))</f>
        <v/>
      </c>
      <c r="O1203" s="11">
        <f>IF(A1203="","",IF(K1203="",0,J1203*INDEX(Products!$H$5:$H$204,K1203)))</f>
        <v/>
      </c>
      <c r="P1203" s="11">
        <f>IF(A1203="","",J1203-M1203-N1203-O1203)</f>
        <v/>
      </c>
    </row>
    <row r="1204">
      <c r="A1204">
        <f>IFERROR(INDEX('Shopify Import'!$A:$CZ,1204,Settings!$E$20)&amp;"","")</f>
        <v/>
      </c>
      <c r="B1204">
        <f>IFERROR(INDEX('Shopify Import'!$A:$CZ,1204,Settings!$E$21)&amp;"","")</f>
        <v/>
      </c>
      <c r="C1204">
        <f>IFERROR(INDEX('Shopify Import'!$A:$CZ,1204,Settings!$E$22)&amp;"","")</f>
        <v/>
      </c>
      <c r="D1204">
        <f>IF(A1204="","",IFERROR(VALUE(SUBSTITUTE(SUBSTITUTE(INDEX('Shopify Import'!$A:$CZ,1204,Settings!$E$23)&amp;"","$",""),",","")),0))</f>
        <v/>
      </c>
      <c r="E1204" s="11">
        <f>IF(A1204="","",IFERROR(VALUE(SUBSTITUTE(SUBSTITUTE(INDEX('Shopify Import'!$A:$CZ,1204,Settings!$E$24)&amp;"","$",""),",","")),0))</f>
        <v/>
      </c>
      <c r="F1204" s="11">
        <f>IF(A1204="","",D1204*E1204)</f>
        <v/>
      </c>
      <c r="G1204">
        <f>IF(A1204="","",IF(C1204="",1,COUNTIF($C$2:$C$1501,C1204)))</f>
        <v/>
      </c>
      <c r="H1204" s="11">
        <f>IF(A1204="","",IFERROR(VALUE(SUBSTITUTE(SUBSTITUTE(INDEX('Shopify Import'!$A:$CZ,1204,Settings!$E$25)&amp;"","$",""),",","")),0)/IF(Settings!$D$27="Yes",G1204,1))</f>
        <v/>
      </c>
      <c r="I1204" s="11">
        <f>IF(A1204="","",IFERROR(VALUE(SUBSTITUTE(SUBSTITUTE(INDEX('Shopify Import'!$A:$CZ,1204,Settings!$E$26)&amp;"","$",""),",","")),0)/IF(Settings!$D$27="Yes",G1204,1))</f>
        <v/>
      </c>
      <c r="J1204" s="11">
        <f>IF(A1204="","",F1204+H1204-I1204)</f>
        <v/>
      </c>
      <c r="K1204">
        <f>IF(A1204="","",IFERROR(IF(B1204="",NA(),MATCH(B1204,Products!$B$5:$B$204,0)),IFERROR(MATCH(A1204,Products!$A$5:$A$204,0),"")))</f>
        <v/>
      </c>
      <c r="L1204">
        <f>IF(A1204="","",IF(K1204="","⚠ not in Products",INDEX(Products!$A$5:$A$204,K1204)))</f>
        <v/>
      </c>
      <c r="M1204" s="11">
        <f>IF(A1204="","",J1204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1204+IFERROR(INDEX(Settings!$D$5:$D$9,MATCH("Shopify",Settings!$A$5:$A$9,0)),0)*D1204)</f>
        <v/>
      </c>
      <c r="N1204" s="11">
        <f>IF(A1204="","",IF(K1204="",0,D1204*INDEX(Products!$I$5:$I$204,K1204)))</f>
        <v/>
      </c>
      <c r="O1204" s="11">
        <f>IF(A1204="","",IF(K1204="",0,J1204*INDEX(Products!$H$5:$H$204,K1204)))</f>
        <v/>
      </c>
      <c r="P1204" s="11">
        <f>IF(A1204="","",J1204-M1204-N1204-O1204)</f>
        <v/>
      </c>
    </row>
    <row r="1205">
      <c r="A1205">
        <f>IFERROR(INDEX('Shopify Import'!$A:$CZ,1205,Settings!$E$20)&amp;"","")</f>
        <v/>
      </c>
      <c r="B1205">
        <f>IFERROR(INDEX('Shopify Import'!$A:$CZ,1205,Settings!$E$21)&amp;"","")</f>
        <v/>
      </c>
      <c r="C1205">
        <f>IFERROR(INDEX('Shopify Import'!$A:$CZ,1205,Settings!$E$22)&amp;"","")</f>
        <v/>
      </c>
      <c r="D1205">
        <f>IF(A1205="","",IFERROR(VALUE(SUBSTITUTE(SUBSTITUTE(INDEX('Shopify Import'!$A:$CZ,1205,Settings!$E$23)&amp;"","$",""),",","")),0))</f>
        <v/>
      </c>
      <c r="E1205" s="11">
        <f>IF(A1205="","",IFERROR(VALUE(SUBSTITUTE(SUBSTITUTE(INDEX('Shopify Import'!$A:$CZ,1205,Settings!$E$24)&amp;"","$",""),",","")),0))</f>
        <v/>
      </c>
      <c r="F1205" s="11">
        <f>IF(A1205="","",D1205*E1205)</f>
        <v/>
      </c>
      <c r="G1205">
        <f>IF(A1205="","",IF(C1205="",1,COUNTIF($C$2:$C$1501,C1205)))</f>
        <v/>
      </c>
      <c r="H1205" s="11">
        <f>IF(A1205="","",IFERROR(VALUE(SUBSTITUTE(SUBSTITUTE(INDEX('Shopify Import'!$A:$CZ,1205,Settings!$E$25)&amp;"","$",""),",","")),0)/IF(Settings!$D$27="Yes",G1205,1))</f>
        <v/>
      </c>
      <c r="I1205" s="11">
        <f>IF(A1205="","",IFERROR(VALUE(SUBSTITUTE(SUBSTITUTE(INDEX('Shopify Import'!$A:$CZ,1205,Settings!$E$26)&amp;"","$",""),",","")),0)/IF(Settings!$D$27="Yes",G1205,1))</f>
        <v/>
      </c>
      <c r="J1205" s="11">
        <f>IF(A1205="","",F1205+H1205-I1205)</f>
        <v/>
      </c>
      <c r="K1205">
        <f>IF(A1205="","",IFERROR(IF(B1205="",NA(),MATCH(B1205,Products!$B$5:$B$204,0)),IFERROR(MATCH(A1205,Products!$A$5:$A$204,0),"")))</f>
        <v/>
      </c>
      <c r="L1205">
        <f>IF(A1205="","",IF(K1205="","⚠ not in Products",INDEX(Products!$A$5:$A$204,K1205)))</f>
        <v/>
      </c>
      <c r="M1205" s="11">
        <f>IF(A1205="","",J1205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1205+IFERROR(INDEX(Settings!$D$5:$D$9,MATCH("Shopify",Settings!$A$5:$A$9,0)),0)*D1205)</f>
        <v/>
      </c>
      <c r="N1205" s="11">
        <f>IF(A1205="","",IF(K1205="",0,D1205*INDEX(Products!$I$5:$I$204,K1205)))</f>
        <v/>
      </c>
      <c r="O1205" s="11">
        <f>IF(A1205="","",IF(K1205="",0,J1205*INDEX(Products!$H$5:$H$204,K1205)))</f>
        <v/>
      </c>
      <c r="P1205" s="11">
        <f>IF(A1205="","",J1205-M1205-N1205-O1205)</f>
        <v/>
      </c>
    </row>
    <row r="1206">
      <c r="A1206">
        <f>IFERROR(INDEX('Shopify Import'!$A:$CZ,1206,Settings!$E$20)&amp;"","")</f>
        <v/>
      </c>
      <c r="B1206">
        <f>IFERROR(INDEX('Shopify Import'!$A:$CZ,1206,Settings!$E$21)&amp;"","")</f>
        <v/>
      </c>
      <c r="C1206">
        <f>IFERROR(INDEX('Shopify Import'!$A:$CZ,1206,Settings!$E$22)&amp;"","")</f>
        <v/>
      </c>
      <c r="D1206">
        <f>IF(A1206="","",IFERROR(VALUE(SUBSTITUTE(SUBSTITUTE(INDEX('Shopify Import'!$A:$CZ,1206,Settings!$E$23)&amp;"","$",""),",","")),0))</f>
        <v/>
      </c>
      <c r="E1206" s="11">
        <f>IF(A1206="","",IFERROR(VALUE(SUBSTITUTE(SUBSTITUTE(INDEX('Shopify Import'!$A:$CZ,1206,Settings!$E$24)&amp;"","$",""),",","")),0))</f>
        <v/>
      </c>
      <c r="F1206" s="11">
        <f>IF(A1206="","",D1206*E1206)</f>
        <v/>
      </c>
      <c r="G1206">
        <f>IF(A1206="","",IF(C1206="",1,COUNTIF($C$2:$C$1501,C1206)))</f>
        <v/>
      </c>
      <c r="H1206" s="11">
        <f>IF(A1206="","",IFERROR(VALUE(SUBSTITUTE(SUBSTITUTE(INDEX('Shopify Import'!$A:$CZ,1206,Settings!$E$25)&amp;"","$",""),",","")),0)/IF(Settings!$D$27="Yes",G1206,1))</f>
        <v/>
      </c>
      <c r="I1206" s="11">
        <f>IF(A1206="","",IFERROR(VALUE(SUBSTITUTE(SUBSTITUTE(INDEX('Shopify Import'!$A:$CZ,1206,Settings!$E$26)&amp;"","$",""),",","")),0)/IF(Settings!$D$27="Yes",G1206,1))</f>
        <v/>
      </c>
      <c r="J1206" s="11">
        <f>IF(A1206="","",F1206+H1206-I1206)</f>
        <v/>
      </c>
      <c r="K1206">
        <f>IF(A1206="","",IFERROR(IF(B1206="",NA(),MATCH(B1206,Products!$B$5:$B$204,0)),IFERROR(MATCH(A1206,Products!$A$5:$A$204,0),"")))</f>
        <v/>
      </c>
      <c r="L1206">
        <f>IF(A1206="","",IF(K1206="","⚠ not in Products",INDEX(Products!$A$5:$A$204,K1206)))</f>
        <v/>
      </c>
      <c r="M1206" s="11">
        <f>IF(A1206="","",J1206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1206+IFERROR(INDEX(Settings!$D$5:$D$9,MATCH("Shopify",Settings!$A$5:$A$9,0)),0)*D1206)</f>
        <v/>
      </c>
      <c r="N1206" s="11">
        <f>IF(A1206="","",IF(K1206="",0,D1206*INDEX(Products!$I$5:$I$204,K1206)))</f>
        <v/>
      </c>
      <c r="O1206" s="11">
        <f>IF(A1206="","",IF(K1206="",0,J1206*INDEX(Products!$H$5:$H$204,K1206)))</f>
        <v/>
      </c>
      <c r="P1206" s="11">
        <f>IF(A1206="","",J1206-M1206-N1206-O1206)</f>
        <v/>
      </c>
    </row>
    <row r="1207">
      <c r="A1207">
        <f>IFERROR(INDEX('Shopify Import'!$A:$CZ,1207,Settings!$E$20)&amp;"","")</f>
        <v/>
      </c>
      <c r="B1207">
        <f>IFERROR(INDEX('Shopify Import'!$A:$CZ,1207,Settings!$E$21)&amp;"","")</f>
        <v/>
      </c>
      <c r="C1207">
        <f>IFERROR(INDEX('Shopify Import'!$A:$CZ,1207,Settings!$E$22)&amp;"","")</f>
        <v/>
      </c>
      <c r="D1207">
        <f>IF(A1207="","",IFERROR(VALUE(SUBSTITUTE(SUBSTITUTE(INDEX('Shopify Import'!$A:$CZ,1207,Settings!$E$23)&amp;"","$",""),",","")),0))</f>
        <v/>
      </c>
      <c r="E1207" s="11">
        <f>IF(A1207="","",IFERROR(VALUE(SUBSTITUTE(SUBSTITUTE(INDEX('Shopify Import'!$A:$CZ,1207,Settings!$E$24)&amp;"","$",""),",","")),0))</f>
        <v/>
      </c>
      <c r="F1207" s="11">
        <f>IF(A1207="","",D1207*E1207)</f>
        <v/>
      </c>
      <c r="G1207">
        <f>IF(A1207="","",IF(C1207="",1,COUNTIF($C$2:$C$1501,C1207)))</f>
        <v/>
      </c>
      <c r="H1207" s="11">
        <f>IF(A1207="","",IFERROR(VALUE(SUBSTITUTE(SUBSTITUTE(INDEX('Shopify Import'!$A:$CZ,1207,Settings!$E$25)&amp;"","$",""),",","")),0)/IF(Settings!$D$27="Yes",G1207,1))</f>
        <v/>
      </c>
      <c r="I1207" s="11">
        <f>IF(A1207="","",IFERROR(VALUE(SUBSTITUTE(SUBSTITUTE(INDEX('Shopify Import'!$A:$CZ,1207,Settings!$E$26)&amp;"","$",""),",","")),0)/IF(Settings!$D$27="Yes",G1207,1))</f>
        <v/>
      </c>
      <c r="J1207" s="11">
        <f>IF(A1207="","",F1207+H1207-I1207)</f>
        <v/>
      </c>
      <c r="K1207">
        <f>IF(A1207="","",IFERROR(IF(B1207="",NA(),MATCH(B1207,Products!$B$5:$B$204,0)),IFERROR(MATCH(A1207,Products!$A$5:$A$204,0),"")))</f>
        <v/>
      </c>
      <c r="L1207">
        <f>IF(A1207="","",IF(K1207="","⚠ not in Products",INDEX(Products!$A$5:$A$204,K1207)))</f>
        <v/>
      </c>
      <c r="M1207" s="11">
        <f>IF(A1207="","",J1207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1207+IFERROR(INDEX(Settings!$D$5:$D$9,MATCH("Shopify",Settings!$A$5:$A$9,0)),0)*D1207)</f>
        <v/>
      </c>
      <c r="N1207" s="11">
        <f>IF(A1207="","",IF(K1207="",0,D1207*INDEX(Products!$I$5:$I$204,K1207)))</f>
        <v/>
      </c>
      <c r="O1207" s="11">
        <f>IF(A1207="","",IF(K1207="",0,J1207*INDEX(Products!$H$5:$H$204,K1207)))</f>
        <v/>
      </c>
      <c r="P1207" s="11">
        <f>IF(A1207="","",J1207-M1207-N1207-O1207)</f>
        <v/>
      </c>
    </row>
    <row r="1208">
      <c r="A1208">
        <f>IFERROR(INDEX('Shopify Import'!$A:$CZ,1208,Settings!$E$20)&amp;"","")</f>
        <v/>
      </c>
      <c r="B1208">
        <f>IFERROR(INDEX('Shopify Import'!$A:$CZ,1208,Settings!$E$21)&amp;"","")</f>
        <v/>
      </c>
      <c r="C1208">
        <f>IFERROR(INDEX('Shopify Import'!$A:$CZ,1208,Settings!$E$22)&amp;"","")</f>
        <v/>
      </c>
      <c r="D1208">
        <f>IF(A1208="","",IFERROR(VALUE(SUBSTITUTE(SUBSTITUTE(INDEX('Shopify Import'!$A:$CZ,1208,Settings!$E$23)&amp;"","$",""),",","")),0))</f>
        <v/>
      </c>
      <c r="E1208" s="11">
        <f>IF(A1208="","",IFERROR(VALUE(SUBSTITUTE(SUBSTITUTE(INDEX('Shopify Import'!$A:$CZ,1208,Settings!$E$24)&amp;"","$",""),",","")),0))</f>
        <v/>
      </c>
      <c r="F1208" s="11">
        <f>IF(A1208="","",D1208*E1208)</f>
        <v/>
      </c>
      <c r="G1208">
        <f>IF(A1208="","",IF(C1208="",1,COUNTIF($C$2:$C$1501,C1208)))</f>
        <v/>
      </c>
      <c r="H1208" s="11">
        <f>IF(A1208="","",IFERROR(VALUE(SUBSTITUTE(SUBSTITUTE(INDEX('Shopify Import'!$A:$CZ,1208,Settings!$E$25)&amp;"","$",""),",","")),0)/IF(Settings!$D$27="Yes",G1208,1))</f>
        <v/>
      </c>
      <c r="I1208" s="11">
        <f>IF(A1208="","",IFERROR(VALUE(SUBSTITUTE(SUBSTITUTE(INDEX('Shopify Import'!$A:$CZ,1208,Settings!$E$26)&amp;"","$",""),",","")),0)/IF(Settings!$D$27="Yes",G1208,1))</f>
        <v/>
      </c>
      <c r="J1208" s="11">
        <f>IF(A1208="","",F1208+H1208-I1208)</f>
        <v/>
      </c>
      <c r="K1208">
        <f>IF(A1208="","",IFERROR(IF(B1208="",NA(),MATCH(B1208,Products!$B$5:$B$204,0)),IFERROR(MATCH(A1208,Products!$A$5:$A$204,0),"")))</f>
        <v/>
      </c>
      <c r="L1208">
        <f>IF(A1208="","",IF(K1208="","⚠ not in Products",INDEX(Products!$A$5:$A$204,K1208)))</f>
        <v/>
      </c>
      <c r="M1208" s="11">
        <f>IF(A1208="","",J1208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1208+IFERROR(INDEX(Settings!$D$5:$D$9,MATCH("Shopify",Settings!$A$5:$A$9,0)),0)*D1208)</f>
        <v/>
      </c>
      <c r="N1208" s="11">
        <f>IF(A1208="","",IF(K1208="",0,D1208*INDEX(Products!$I$5:$I$204,K1208)))</f>
        <v/>
      </c>
      <c r="O1208" s="11">
        <f>IF(A1208="","",IF(K1208="",0,J1208*INDEX(Products!$H$5:$H$204,K1208)))</f>
        <v/>
      </c>
      <c r="P1208" s="11">
        <f>IF(A1208="","",J1208-M1208-N1208-O1208)</f>
        <v/>
      </c>
    </row>
    <row r="1209">
      <c r="A1209">
        <f>IFERROR(INDEX('Shopify Import'!$A:$CZ,1209,Settings!$E$20)&amp;"","")</f>
        <v/>
      </c>
      <c r="B1209">
        <f>IFERROR(INDEX('Shopify Import'!$A:$CZ,1209,Settings!$E$21)&amp;"","")</f>
        <v/>
      </c>
      <c r="C1209">
        <f>IFERROR(INDEX('Shopify Import'!$A:$CZ,1209,Settings!$E$22)&amp;"","")</f>
        <v/>
      </c>
      <c r="D1209">
        <f>IF(A1209="","",IFERROR(VALUE(SUBSTITUTE(SUBSTITUTE(INDEX('Shopify Import'!$A:$CZ,1209,Settings!$E$23)&amp;"","$",""),",","")),0))</f>
        <v/>
      </c>
      <c r="E1209" s="11">
        <f>IF(A1209="","",IFERROR(VALUE(SUBSTITUTE(SUBSTITUTE(INDEX('Shopify Import'!$A:$CZ,1209,Settings!$E$24)&amp;"","$",""),",","")),0))</f>
        <v/>
      </c>
      <c r="F1209" s="11">
        <f>IF(A1209="","",D1209*E1209)</f>
        <v/>
      </c>
      <c r="G1209">
        <f>IF(A1209="","",IF(C1209="",1,COUNTIF($C$2:$C$1501,C1209)))</f>
        <v/>
      </c>
      <c r="H1209" s="11">
        <f>IF(A1209="","",IFERROR(VALUE(SUBSTITUTE(SUBSTITUTE(INDEX('Shopify Import'!$A:$CZ,1209,Settings!$E$25)&amp;"","$",""),",","")),0)/IF(Settings!$D$27="Yes",G1209,1))</f>
        <v/>
      </c>
      <c r="I1209" s="11">
        <f>IF(A1209="","",IFERROR(VALUE(SUBSTITUTE(SUBSTITUTE(INDEX('Shopify Import'!$A:$CZ,1209,Settings!$E$26)&amp;"","$",""),",","")),0)/IF(Settings!$D$27="Yes",G1209,1))</f>
        <v/>
      </c>
      <c r="J1209" s="11">
        <f>IF(A1209="","",F1209+H1209-I1209)</f>
        <v/>
      </c>
      <c r="K1209">
        <f>IF(A1209="","",IFERROR(IF(B1209="",NA(),MATCH(B1209,Products!$B$5:$B$204,0)),IFERROR(MATCH(A1209,Products!$A$5:$A$204,0),"")))</f>
        <v/>
      </c>
      <c r="L1209">
        <f>IF(A1209="","",IF(K1209="","⚠ not in Products",INDEX(Products!$A$5:$A$204,K1209)))</f>
        <v/>
      </c>
      <c r="M1209" s="11">
        <f>IF(A1209="","",J1209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1209+IFERROR(INDEX(Settings!$D$5:$D$9,MATCH("Shopify",Settings!$A$5:$A$9,0)),0)*D1209)</f>
        <v/>
      </c>
      <c r="N1209" s="11">
        <f>IF(A1209="","",IF(K1209="",0,D1209*INDEX(Products!$I$5:$I$204,K1209)))</f>
        <v/>
      </c>
      <c r="O1209" s="11">
        <f>IF(A1209="","",IF(K1209="",0,J1209*INDEX(Products!$H$5:$H$204,K1209)))</f>
        <v/>
      </c>
      <c r="P1209" s="11">
        <f>IF(A1209="","",J1209-M1209-N1209-O1209)</f>
        <v/>
      </c>
    </row>
    <row r="1210">
      <c r="A1210">
        <f>IFERROR(INDEX('Shopify Import'!$A:$CZ,1210,Settings!$E$20)&amp;"","")</f>
        <v/>
      </c>
      <c r="B1210">
        <f>IFERROR(INDEX('Shopify Import'!$A:$CZ,1210,Settings!$E$21)&amp;"","")</f>
        <v/>
      </c>
      <c r="C1210">
        <f>IFERROR(INDEX('Shopify Import'!$A:$CZ,1210,Settings!$E$22)&amp;"","")</f>
        <v/>
      </c>
      <c r="D1210">
        <f>IF(A1210="","",IFERROR(VALUE(SUBSTITUTE(SUBSTITUTE(INDEX('Shopify Import'!$A:$CZ,1210,Settings!$E$23)&amp;"","$",""),",","")),0))</f>
        <v/>
      </c>
      <c r="E1210" s="11">
        <f>IF(A1210="","",IFERROR(VALUE(SUBSTITUTE(SUBSTITUTE(INDEX('Shopify Import'!$A:$CZ,1210,Settings!$E$24)&amp;"","$",""),",","")),0))</f>
        <v/>
      </c>
      <c r="F1210" s="11">
        <f>IF(A1210="","",D1210*E1210)</f>
        <v/>
      </c>
      <c r="G1210">
        <f>IF(A1210="","",IF(C1210="",1,COUNTIF($C$2:$C$1501,C1210)))</f>
        <v/>
      </c>
      <c r="H1210" s="11">
        <f>IF(A1210="","",IFERROR(VALUE(SUBSTITUTE(SUBSTITUTE(INDEX('Shopify Import'!$A:$CZ,1210,Settings!$E$25)&amp;"","$",""),",","")),0)/IF(Settings!$D$27="Yes",G1210,1))</f>
        <v/>
      </c>
      <c r="I1210" s="11">
        <f>IF(A1210="","",IFERROR(VALUE(SUBSTITUTE(SUBSTITUTE(INDEX('Shopify Import'!$A:$CZ,1210,Settings!$E$26)&amp;"","$",""),",","")),0)/IF(Settings!$D$27="Yes",G1210,1))</f>
        <v/>
      </c>
      <c r="J1210" s="11">
        <f>IF(A1210="","",F1210+H1210-I1210)</f>
        <v/>
      </c>
      <c r="K1210">
        <f>IF(A1210="","",IFERROR(IF(B1210="",NA(),MATCH(B1210,Products!$B$5:$B$204,0)),IFERROR(MATCH(A1210,Products!$A$5:$A$204,0),"")))</f>
        <v/>
      </c>
      <c r="L1210">
        <f>IF(A1210="","",IF(K1210="","⚠ not in Products",INDEX(Products!$A$5:$A$204,K1210)))</f>
        <v/>
      </c>
      <c r="M1210" s="11">
        <f>IF(A1210="","",J1210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1210+IFERROR(INDEX(Settings!$D$5:$D$9,MATCH("Shopify",Settings!$A$5:$A$9,0)),0)*D1210)</f>
        <v/>
      </c>
      <c r="N1210" s="11">
        <f>IF(A1210="","",IF(K1210="",0,D1210*INDEX(Products!$I$5:$I$204,K1210)))</f>
        <v/>
      </c>
      <c r="O1210" s="11">
        <f>IF(A1210="","",IF(K1210="",0,J1210*INDEX(Products!$H$5:$H$204,K1210)))</f>
        <v/>
      </c>
      <c r="P1210" s="11">
        <f>IF(A1210="","",J1210-M1210-N1210-O1210)</f>
        <v/>
      </c>
    </row>
    <row r="1211">
      <c r="A1211">
        <f>IFERROR(INDEX('Shopify Import'!$A:$CZ,1211,Settings!$E$20)&amp;"","")</f>
        <v/>
      </c>
      <c r="B1211">
        <f>IFERROR(INDEX('Shopify Import'!$A:$CZ,1211,Settings!$E$21)&amp;"","")</f>
        <v/>
      </c>
      <c r="C1211">
        <f>IFERROR(INDEX('Shopify Import'!$A:$CZ,1211,Settings!$E$22)&amp;"","")</f>
        <v/>
      </c>
      <c r="D1211">
        <f>IF(A1211="","",IFERROR(VALUE(SUBSTITUTE(SUBSTITUTE(INDEX('Shopify Import'!$A:$CZ,1211,Settings!$E$23)&amp;"","$",""),",","")),0))</f>
        <v/>
      </c>
      <c r="E1211" s="11">
        <f>IF(A1211="","",IFERROR(VALUE(SUBSTITUTE(SUBSTITUTE(INDEX('Shopify Import'!$A:$CZ,1211,Settings!$E$24)&amp;"","$",""),",","")),0))</f>
        <v/>
      </c>
      <c r="F1211" s="11">
        <f>IF(A1211="","",D1211*E1211)</f>
        <v/>
      </c>
      <c r="G1211">
        <f>IF(A1211="","",IF(C1211="",1,COUNTIF($C$2:$C$1501,C1211)))</f>
        <v/>
      </c>
      <c r="H1211" s="11">
        <f>IF(A1211="","",IFERROR(VALUE(SUBSTITUTE(SUBSTITUTE(INDEX('Shopify Import'!$A:$CZ,1211,Settings!$E$25)&amp;"","$",""),",","")),0)/IF(Settings!$D$27="Yes",G1211,1))</f>
        <v/>
      </c>
      <c r="I1211" s="11">
        <f>IF(A1211="","",IFERROR(VALUE(SUBSTITUTE(SUBSTITUTE(INDEX('Shopify Import'!$A:$CZ,1211,Settings!$E$26)&amp;"","$",""),",","")),0)/IF(Settings!$D$27="Yes",G1211,1))</f>
        <v/>
      </c>
      <c r="J1211" s="11">
        <f>IF(A1211="","",F1211+H1211-I1211)</f>
        <v/>
      </c>
      <c r="K1211">
        <f>IF(A1211="","",IFERROR(IF(B1211="",NA(),MATCH(B1211,Products!$B$5:$B$204,0)),IFERROR(MATCH(A1211,Products!$A$5:$A$204,0),"")))</f>
        <v/>
      </c>
      <c r="L1211">
        <f>IF(A1211="","",IF(K1211="","⚠ not in Products",INDEX(Products!$A$5:$A$204,K1211)))</f>
        <v/>
      </c>
      <c r="M1211" s="11">
        <f>IF(A1211="","",J1211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1211+IFERROR(INDEX(Settings!$D$5:$D$9,MATCH("Shopify",Settings!$A$5:$A$9,0)),0)*D1211)</f>
        <v/>
      </c>
      <c r="N1211" s="11">
        <f>IF(A1211="","",IF(K1211="",0,D1211*INDEX(Products!$I$5:$I$204,K1211)))</f>
        <v/>
      </c>
      <c r="O1211" s="11">
        <f>IF(A1211="","",IF(K1211="",0,J1211*INDEX(Products!$H$5:$H$204,K1211)))</f>
        <v/>
      </c>
      <c r="P1211" s="11">
        <f>IF(A1211="","",J1211-M1211-N1211-O1211)</f>
        <v/>
      </c>
    </row>
    <row r="1212">
      <c r="A1212">
        <f>IFERROR(INDEX('Shopify Import'!$A:$CZ,1212,Settings!$E$20)&amp;"","")</f>
        <v/>
      </c>
      <c r="B1212">
        <f>IFERROR(INDEX('Shopify Import'!$A:$CZ,1212,Settings!$E$21)&amp;"","")</f>
        <v/>
      </c>
      <c r="C1212">
        <f>IFERROR(INDEX('Shopify Import'!$A:$CZ,1212,Settings!$E$22)&amp;"","")</f>
        <v/>
      </c>
      <c r="D1212">
        <f>IF(A1212="","",IFERROR(VALUE(SUBSTITUTE(SUBSTITUTE(INDEX('Shopify Import'!$A:$CZ,1212,Settings!$E$23)&amp;"","$",""),",","")),0))</f>
        <v/>
      </c>
      <c r="E1212" s="11">
        <f>IF(A1212="","",IFERROR(VALUE(SUBSTITUTE(SUBSTITUTE(INDEX('Shopify Import'!$A:$CZ,1212,Settings!$E$24)&amp;"","$",""),",","")),0))</f>
        <v/>
      </c>
      <c r="F1212" s="11">
        <f>IF(A1212="","",D1212*E1212)</f>
        <v/>
      </c>
      <c r="G1212">
        <f>IF(A1212="","",IF(C1212="",1,COUNTIF($C$2:$C$1501,C1212)))</f>
        <v/>
      </c>
      <c r="H1212" s="11">
        <f>IF(A1212="","",IFERROR(VALUE(SUBSTITUTE(SUBSTITUTE(INDEX('Shopify Import'!$A:$CZ,1212,Settings!$E$25)&amp;"","$",""),",","")),0)/IF(Settings!$D$27="Yes",G1212,1))</f>
        <v/>
      </c>
      <c r="I1212" s="11">
        <f>IF(A1212="","",IFERROR(VALUE(SUBSTITUTE(SUBSTITUTE(INDEX('Shopify Import'!$A:$CZ,1212,Settings!$E$26)&amp;"","$",""),",","")),0)/IF(Settings!$D$27="Yes",G1212,1))</f>
        <v/>
      </c>
      <c r="J1212" s="11">
        <f>IF(A1212="","",F1212+H1212-I1212)</f>
        <v/>
      </c>
      <c r="K1212">
        <f>IF(A1212="","",IFERROR(IF(B1212="",NA(),MATCH(B1212,Products!$B$5:$B$204,0)),IFERROR(MATCH(A1212,Products!$A$5:$A$204,0),"")))</f>
        <v/>
      </c>
      <c r="L1212">
        <f>IF(A1212="","",IF(K1212="","⚠ not in Products",INDEX(Products!$A$5:$A$204,K1212)))</f>
        <v/>
      </c>
      <c r="M1212" s="11">
        <f>IF(A1212="","",J1212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1212+IFERROR(INDEX(Settings!$D$5:$D$9,MATCH("Shopify",Settings!$A$5:$A$9,0)),0)*D1212)</f>
        <v/>
      </c>
      <c r="N1212" s="11">
        <f>IF(A1212="","",IF(K1212="",0,D1212*INDEX(Products!$I$5:$I$204,K1212)))</f>
        <v/>
      </c>
      <c r="O1212" s="11">
        <f>IF(A1212="","",IF(K1212="",0,J1212*INDEX(Products!$H$5:$H$204,K1212)))</f>
        <v/>
      </c>
      <c r="P1212" s="11">
        <f>IF(A1212="","",J1212-M1212-N1212-O1212)</f>
        <v/>
      </c>
    </row>
    <row r="1213">
      <c r="A1213">
        <f>IFERROR(INDEX('Shopify Import'!$A:$CZ,1213,Settings!$E$20)&amp;"","")</f>
        <v/>
      </c>
      <c r="B1213">
        <f>IFERROR(INDEX('Shopify Import'!$A:$CZ,1213,Settings!$E$21)&amp;"","")</f>
        <v/>
      </c>
      <c r="C1213">
        <f>IFERROR(INDEX('Shopify Import'!$A:$CZ,1213,Settings!$E$22)&amp;"","")</f>
        <v/>
      </c>
      <c r="D1213">
        <f>IF(A1213="","",IFERROR(VALUE(SUBSTITUTE(SUBSTITUTE(INDEX('Shopify Import'!$A:$CZ,1213,Settings!$E$23)&amp;"","$",""),",","")),0))</f>
        <v/>
      </c>
      <c r="E1213" s="11">
        <f>IF(A1213="","",IFERROR(VALUE(SUBSTITUTE(SUBSTITUTE(INDEX('Shopify Import'!$A:$CZ,1213,Settings!$E$24)&amp;"","$",""),",","")),0))</f>
        <v/>
      </c>
      <c r="F1213" s="11">
        <f>IF(A1213="","",D1213*E1213)</f>
        <v/>
      </c>
      <c r="G1213">
        <f>IF(A1213="","",IF(C1213="",1,COUNTIF($C$2:$C$1501,C1213)))</f>
        <v/>
      </c>
      <c r="H1213" s="11">
        <f>IF(A1213="","",IFERROR(VALUE(SUBSTITUTE(SUBSTITUTE(INDEX('Shopify Import'!$A:$CZ,1213,Settings!$E$25)&amp;"","$",""),",","")),0)/IF(Settings!$D$27="Yes",G1213,1))</f>
        <v/>
      </c>
      <c r="I1213" s="11">
        <f>IF(A1213="","",IFERROR(VALUE(SUBSTITUTE(SUBSTITUTE(INDEX('Shopify Import'!$A:$CZ,1213,Settings!$E$26)&amp;"","$",""),",","")),0)/IF(Settings!$D$27="Yes",G1213,1))</f>
        <v/>
      </c>
      <c r="J1213" s="11">
        <f>IF(A1213="","",F1213+H1213-I1213)</f>
        <v/>
      </c>
      <c r="K1213">
        <f>IF(A1213="","",IFERROR(IF(B1213="",NA(),MATCH(B1213,Products!$B$5:$B$204,0)),IFERROR(MATCH(A1213,Products!$A$5:$A$204,0),"")))</f>
        <v/>
      </c>
      <c r="L1213">
        <f>IF(A1213="","",IF(K1213="","⚠ not in Products",INDEX(Products!$A$5:$A$204,K1213)))</f>
        <v/>
      </c>
      <c r="M1213" s="11">
        <f>IF(A1213="","",J1213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1213+IFERROR(INDEX(Settings!$D$5:$D$9,MATCH("Shopify",Settings!$A$5:$A$9,0)),0)*D1213)</f>
        <v/>
      </c>
      <c r="N1213" s="11">
        <f>IF(A1213="","",IF(K1213="",0,D1213*INDEX(Products!$I$5:$I$204,K1213)))</f>
        <v/>
      </c>
      <c r="O1213" s="11">
        <f>IF(A1213="","",IF(K1213="",0,J1213*INDEX(Products!$H$5:$H$204,K1213)))</f>
        <v/>
      </c>
      <c r="P1213" s="11">
        <f>IF(A1213="","",J1213-M1213-N1213-O1213)</f>
        <v/>
      </c>
    </row>
    <row r="1214">
      <c r="A1214">
        <f>IFERROR(INDEX('Shopify Import'!$A:$CZ,1214,Settings!$E$20)&amp;"","")</f>
        <v/>
      </c>
      <c r="B1214">
        <f>IFERROR(INDEX('Shopify Import'!$A:$CZ,1214,Settings!$E$21)&amp;"","")</f>
        <v/>
      </c>
      <c r="C1214">
        <f>IFERROR(INDEX('Shopify Import'!$A:$CZ,1214,Settings!$E$22)&amp;"","")</f>
        <v/>
      </c>
      <c r="D1214">
        <f>IF(A1214="","",IFERROR(VALUE(SUBSTITUTE(SUBSTITUTE(INDEX('Shopify Import'!$A:$CZ,1214,Settings!$E$23)&amp;"","$",""),",","")),0))</f>
        <v/>
      </c>
      <c r="E1214" s="11">
        <f>IF(A1214="","",IFERROR(VALUE(SUBSTITUTE(SUBSTITUTE(INDEX('Shopify Import'!$A:$CZ,1214,Settings!$E$24)&amp;"","$",""),",","")),0))</f>
        <v/>
      </c>
      <c r="F1214" s="11">
        <f>IF(A1214="","",D1214*E1214)</f>
        <v/>
      </c>
      <c r="G1214">
        <f>IF(A1214="","",IF(C1214="",1,COUNTIF($C$2:$C$1501,C1214)))</f>
        <v/>
      </c>
      <c r="H1214" s="11">
        <f>IF(A1214="","",IFERROR(VALUE(SUBSTITUTE(SUBSTITUTE(INDEX('Shopify Import'!$A:$CZ,1214,Settings!$E$25)&amp;"","$",""),",","")),0)/IF(Settings!$D$27="Yes",G1214,1))</f>
        <v/>
      </c>
      <c r="I1214" s="11">
        <f>IF(A1214="","",IFERROR(VALUE(SUBSTITUTE(SUBSTITUTE(INDEX('Shopify Import'!$A:$CZ,1214,Settings!$E$26)&amp;"","$",""),",","")),0)/IF(Settings!$D$27="Yes",G1214,1))</f>
        <v/>
      </c>
      <c r="J1214" s="11">
        <f>IF(A1214="","",F1214+H1214-I1214)</f>
        <v/>
      </c>
      <c r="K1214">
        <f>IF(A1214="","",IFERROR(IF(B1214="",NA(),MATCH(B1214,Products!$B$5:$B$204,0)),IFERROR(MATCH(A1214,Products!$A$5:$A$204,0),"")))</f>
        <v/>
      </c>
      <c r="L1214">
        <f>IF(A1214="","",IF(K1214="","⚠ not in Products",INDEX(Products!$A$5:$A$204,K1214)))</f>
        <v/>
      </c>
      <c r="M1214" s="11">
        <f>IF(A1214="","",J1214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1214+IFERROR(INDEX(Settings!$D$5:$D$9,MATCH("Shopify",Settings!$A$5:$A$9,0)),0)*D1214)</f>
        <v/>
      </c>
      <c r="N1214" s="11">
        <f>IF(A1214="","",IF(K1214="",0,D1214*INDEX(Products!$I$5:$I$204,K1214)))</f>
        <v/>
      </c>
      <c r="O1214" s="11">
        <f>IF(A1214="","",IF(K1214="",0,J1214*INDEX(Products!$H$5:$H$204,K1214)))</f>
        <v/>
      </c>
      <c r="P1214" s="11">
        <f>IF(A1214="","",J1214-M1214-N1214-O1214)</f>
        <v/>
      </c>
    </row>
    <row r="1215">
      <c r="A1215">
        <f>IFERROR(INDEX('Shopify Import'!$A:$CZ,1215,Settings!$E$20)&amp;"","")</f>
        <v/>
      </c>
      <c r="B1215">
        <f>IFERROR(INDEX('Shopify Import'!$A:$CZ,1215,Settings!$E$21)&amp;"","")</f>
        <v/>
      </c>
      <c r="C1215">
        <f>IFERROR(INDEX('Shopify Import'!$A:$CZ,1215,Settings!$E$22)&amp;"","")</f>
        <v/>
      </c>
      <c r="D1215">
        <f>IF(A1215="","",IFERROR(VALUE(SUBSTITUTE(SUBSTITUTE(INDEX('Shopify Import'!$A:$CZ,1215,Settings!$E$23)&amp;"","$",""),",","")),0))</f>
        <v/>
      </c>
      <c r="E1215" s="11">
        <f>IF(A1215="","",IFERROR(VALUE(SUBSTITUTE(SUBSTITUTE(INDEX('Shopify Import'!$A:$CZ,1215,Settings!$E$24)&amp;"","$",""),",","")),0))</f>
        <v/>
      </c>
      <c r="F1215" s="11">
        <f>IF(A1215="","",D1215*E1215)</f>
        <v/>
      </c>
      <c r="G1215">
        <f>IF(A1215="","",IF(C1215="",1,COUNTIF($C$2:$C$1501,C1215)))</f>
        <v/>
      </c>
      <c r="H1215" s="11">
        <f>IF(A1215="","",IFERROR(VALUE(SUBSTITUTE(SUBSTITUTE(INDEX('Shopify Import'!$A:$CZ,1215,Settings!$E$25)&amp;"","$",""),",","")),0)/IF(Settings!$D$27="Yes",G1215,1))</f>
        <v/>
      </c>
      <c r="I1215" s="11">
        <f>IF(A1215="","",IFERROR(VALUE(SUBSTITUTE(SUBSTITUTE(INDEX('Shopify Import'!$A:$CZ,1215,Settings!$E$26)&amp;"","$",""),",","")),0)/IF(Settings!$D$27="Yes",G1215,1))</f>
        <v/>
      </c>
      <c r="J1215" s="11">
        <f>IF(A1215="","",F1215+H1215-I1215)</f>
        <v/>
      </c>
      <c r="K1215">
        <f>IF(A1215="","",IFERROR(IF(B1215="",NA(),MATCH(B1215,Products!$B$5:$B$204,0)),IFERROR(MATCH(A1215,Products!$A$5:$A$204,0),"")))</f>
        <v/>
      </c>
      <c r="L1215">
        <f>IF(A1215="","",IF(K1215="","⚠ not in Products",INDEX(Products!$A$5:$A$204,K1215)))</f>
        <v/>
      </c>
      <c r="M1215" s="11">
        <f>IF(A1215="","",J1215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1215+IFERROR(INDEX(Settings!$D$5:$D$9,MATCH("Shopify",Settings!$A$5:$A$9,0)),0)*D1215)</f>
        <v/>
      </c>
      <c r="N1215" s="11">
        <f>IF(A1215="","",IF(K1215="",0,D1215*INDEX(Products!$I$5:$I$204,K1215)))</f>
        <v/>
      </c>
      <c r="O1215" s="11">
        <f>IF(A1215="","",IF(K1215="",0,J1215*INDEX(Products!$H$5:$H$204,K1215)))</f>
        <v/>
      </c>
      <c r="P1215" s="11">
        <f>IF(A1215="","",J1215-M1215-N1215-O1215)</f>
        <v/>
      </c>
    </row>
    <row r="1216">
      <c r="A1216">
        <f>IFERROR(INDEX('Shopify Import'!$A:$CZ,1216,Settings!$E$20)&amp;"","")</f>
        <v/>
      </c>
      <c r="B1216">
        <f>IFERROR(INDEX('Shopify Import'!$A:$CZ,1216,Settings!$E$21)&amp;"","")</f>
        <v/>
      </c>
      <c r="C1216">
        <f>IFERROR(INDEX('Shopify Import'!$A:$CZ,1216,Settings!$E$22)&amp;"","")</f>
        <v/>
      </c>
      <c r="D1216">
        <f>IF(A1216="","",IFERROR(VALUE(SUBSTITUTE(SUBSTITUTE(INDEX('Shopify Import'!$A:$CZ,1216,Settings!$E$23)&amp;"","$",""),",","")),0))</f>
        <v/>
      </c>
      <c r="E1216" s="11">
        <f>IF(A1216="","",IFERROR(VALUE(SUBSTITUTE(SUBSTITUTE(INDEX('Shopify Import'!$A:$CZ,1216,Settings!$E$24)&amp;"","$",""),",","")),0))</f>
        <v/>
      </c>
      <c r="F1216" s="11">
        <f>IF(A1216="","",D1216*E1216)</f>
        <v/>
      </c>
      <c r="G1216">
        <f>IF(A1216="","",IF(C1216="",1,COUNTIF($C$2:$C$1501,C1216)))</f>
        <v/>
      </c>
      <c r="H1216" s="11">
        <f>IF(A1216="","",IFERROR(VALUE(SUBSTITUTE(SUBSTITUTE(INDEX('Shopify Import'!$A:$CZ,1216,Settings!$E$25)&amp;"","$",""),",","")),0)/IF(Settings!$D$27="Yes",G1216,1))</f>
        <v/>
      </c>
      <c r="I1216" s="11">
        <f>IF(A1216="","",IFERROR(VALUE(SUBSTITUTE(SUBSTITUTE(INDEX('Shopify Import'!$A:$CZ,1216,Settings!$E$26)&amp;"","$",""),",","")),0)/IF(Settings!$D$27="Yes",G1216,1))</f>
        <v/>
      </c>
      <c r="J1216" s="11">
        <f>IF(A1216="","",F1216+H1216-I1216)</f>
        <v/>
      </c>
      <c r="K1216">
        <f>IF(A1216="","",IFERROR(IF(B1216="",NA(),MATCH(B1216,Products!$B$5:$B$204,0)),IFERROR(MATCH(A1216,Products!$A$5:$A$204,0),"")))</f>
        <v/>
      </c>
      <c r="L1216">
        <f>IF(A1216="","",IF(K1216="","⚠ not in Products",INDEX(Products!$A$5:$A$204,K1216)))</f>
        <v/>
      </c>
      <c r="M1216" s="11">
        <f>IF(A1216="","",J1216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1216+IFERROR(INDEX(Settings!$D$5:$D$9,MATCH("Shopify",Settings!$A$5:$A$9,0)),0)*D1216)</f>
        <v/>
      </c>
      <c r="N1216" s="11">
        <f>IF(A1216="","",IF(K1216="",0,D1216*INDEX(Products!$I$5:$I$204,K1216)))</f>
        <v/>
      </c>
      <c r="O1216" s="11">
        <f>IF(A1216="","",IF(K1216="",0,J1216*INDEX(Products!$H$5:$H$204,K1216)))</f>
        <v/>
      </c>
      <c r="P1216" s="11">
        <f>IF(A1216="","",J1216-M1216-N1216-O1216)</f>
        <v/>
      </c>
    </row>
    <row r="1217">
      <c r="A1217">
        <f>IFERROR(INDEX('Shopify Import'!$A:$CZ,1217,Settings!$E$20)&amp;"","")</f>
        <v/>
      </c>
      <c r="B1217">
        <f>IFERROR(INDEX('Shopify Import'!$A:$CZ,1217,Settings!$E$21)&amp;"","")</f>
        <v/>
      </c>
      <c r="C1217">
        <f>IFERROR(INDEX('Shopify Import'!$A:$CZ,1217,Settings!$E$22)&amp;"","")</f>
        <v/>
      </c>
      <c r="D1217">
        <f>IF(A1217="","",IFERROR(VALUE(SUBSTITUTE(SUBSTITUTE(INDEX('Shopify Import'!$A:$CZ,1217,Settings!$E$23)&amp;"","$",""),",","")),0))</f>
        <v/>
      </c>
      <c r="E1217" s="11">
        <f>IF(A1217="","",IFERROR(VALUE(SUBSTITUTE(SUBSTITUTE(INDEX('Shopify Import'!$A:$CZ,1217,Settings!$E$24)&amp;"","$",""),",","")),0))</f>
        <v/>
      </c>
      <c r="F1217" s="11">
        <f>IF(A1217="","",D1217*E1217)</f>
        <v/>
      </c>
      <c r="G1217">
        <f>IF(A1217="","",IF(C1217="",1,COUNTIF($C$2:$C$1501,C1217)))</f>
        <v/>
      </c>
      <c r="H1217" s="11">
        <f>IF(A1217="","",IFERROR(VALUE(SUBSTITUTE(SUBSTITUTE(INDEX('Shopify Import'!$A:$CZ,1217,Settings!$E$25)&amp;"","$",""),",","")),0)/IF(Settings!$D$27="Yes",G1217,1))</f>
        <v/>
      </c>
      <c r="I1217" s="11">
        <f>IF(A1217="","",IFERROR(VALUE(SUBSTITUTE(SUBSTITUTE(INDEX('Shopify Import'!$A:$CZ,1217,Settings!$E$26)&amp;"","$",""),",","")),0)/IF(Settings!$D$27="Yes",G1217,1))</f>
        <v/>
      </c>
      <c r="J1217" s="11">
        <f>IF(A1217="","",F1217+H1217-I1217)</f>
        <v/>
      </c>
      <c r="K1217">
        <f>IF(A1217="","",IFERROR(IF(B1217="",NA(),MATCH(B1217,Products!$B$5:$B$204,0)),IFERROR(MATCH(A1217,Products!$A$5:$A$204,0),"")))</f>
        <v/>
      </c>
      <c r="L1217">
        <f>IF(A1217="","",IF(K1217="","⚠ not in Products",INDEX(Products!$A$5:$A$204,K1217)))</f>
        <v/>
      </c>
      <c r="M1217" s="11">
        <f>IF(A1217="","",J1217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1217+IFERROR(INDEX(Settings!$D$5:$D$9,MATCH("Shopify",Settings!$A$5:$A$9,0)),0)*D1217)</f>
        <v/>
      </c>
      <c r="N1217" s="11">
        <f>IF(A1217="","",IF(K1217="",0,D1217*INDEX(Products!$I$5:$I$204,K1217)))</f>
        <v/>
      </c>
      <c r="O1217" s="11">
        <f>IF(A1217="","",IF(K1217="",0,J1217*INDEX(Products!$H$5:$H$204,K1217)))</f>
        <v/>
      </c>
      <c r="P1217" s="11">
        <f>IF(A1217="","",J1217-M1217-N1217-O1217)</f>
        <v/>
      </c>
    </row>
    <row r="1218">
      <c r="A1218">
        <f>IFERROR(INDEX('Shopify Import'!$A:$CZ,1218,Settings!$E$20)&amp;"","")</f>
        <v/>
      </c>
      <c r="B1218">
        <f>IFERROR(INDEX('Shopify Import'!$A:$CZ,1218,Settings!$E$21)&amp;"","")</f>
        <v/>
      </c>
      <c r="C1218">
        <f>IFERROR(INDEX('Shopify Import'!$A:$CZ,1218,Settings!$E$22)&amp;"","")</f>
        <v/>
      </c>
      <c r="D1218">
        <f>IF(A1218="","",IFERROR(VALUE(SUBSTITUTE(SUBSTITUTE(INDEX('Shopify Import'!$A:$CZ,1218,Settings!$E$23)&amp;"","$",""),",","")),0))</f>
        <v/>
      </c>
      <c r="E1218" s="11">
        <f>IF(A1218="","",IFERROR(VALUE(SUBSTITUTE(SUBSTITUTE(INDEX('Shopify Import'!$A:$CZ,1218,Settings!$E$24)&amp;"","$",""),",","")),0))</f>
        <v/>
      </c>
      <c r="F1218" s="11">
        <f>IF(A1218="","",D1218*E1218)</f>
        <v/>
      </c>
      <c r="G1218">
        <f>IF(A1218="","",IF(C1218="",1,COUNTIF($C$2:$C$1501,C1218)))</f>
        <v/>
      </c>
      <c r="H1218" s="11">
        <f>IF(A1218="","",IFERROR(VALUE(SUBSTITUTE(SUBSTITUTE(INDEX('Shopify Import'!$A:$CZ,1218,Settings!$E$25)&amp;"","$",""),",","")),0)/IF(Settings!$D$27="Yes",G1218,1))</f>
        <v/>
      </c>
      <c r="I1218" s="11">
        <f>IF(A1218="","",IFERROR(VALUE(SUBSTITUTE(SUBSTITUTE(INDEX('Shopify Import'!$A:$CZ,1218,Settings!$E$26)&amp;"","$",""),",","")),0)/IF(Settings!$D$27="Yes",G1218,1))</f>
        <v/>
      </c>
      <c r="J1218" s="11">
        <f>IF(A1218="","",F1218+H1218-I1218)</f>
        <v/>
      </c>
      <c r="K1218">
        <f>IF(A1218="","",IFERROR(IF(B1218="",NA(),MATCH(B1218,Products!$B$5:$B$204,0)),IFERROR(MATCH(A1218,Products!$A$5:$A$204,0),"")))</f>
        <v/>
      </c>
      <c r="L1218">
        <f>IF(A1218="","",IF(K1218="","⚠ not in Products",INDEX(Products!$A$5:$A$204,K1218)))</f>
        <v/>
      </c>
      <c r="M1218" s="11">
        <f>IF(A1218="","",J1218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1218+IFERROR(INDEX(Settings!$D$5:$D$9,MATCH("Shopify",Settings!$A$5:$A$9,0)),0)*D1218)</f>
        <v/>
      </c>
      <c r="N1218" s="11">
        <f>IF(A1218="","",IF(K1218="",0,D1218*INDEX(Products!$I$5:$I$204,K1218)))</f>
        <v/>
      </c>
      <c r="O1218" s="11">
        <f>IF(A1218="","",IF(K1218="",0,J1218*INDEX(Products!$H$5:$H$204,K1218)))</f>
        <v/>
      </c>
      <c r="P1218" s="11">
        <f>IF(A1218="","",J1218-M1218-N1218-O1218)</f>
        <v/>
      </c>
    </row>
    <row r="1219">
      <c r="A1219">
        <f>IFERROR(INDEX('Shopify Import'!$A:$CZ,1219,Settings!$E$20)&amp;"","")</f>
        <v/>
      </c>
      <c r="B1219">
        <f>IFERROR(INDEX('Shopify Import'!$A:$CZ,1219,Settings!$E$21)&amp;"","")</f>
        <v/>
      </c>
      <c r="C1219">
        <f>IFERROR(INDEX('Shopify Import'!$A:$CZ,1219,Settings!$E$22)&amp;"","")</f>
        <v/>
      </c>
      <c r="D1219">
        <f>IF(A1219="","",IFERROR(VALUE(SUBSTITUTE(SUBSTITUTE(INDEX('Shopify Import'!$A:$CZ,1219,Settings!$E$23)&amp;"","$",""),",","")),0))</f>
        <v/>
      </c>
      <c r="E1219" s="11">
        <f>IF(A1219="","",IFERROR(VALUE(SUBSTITUTE(SUBSTITUTE(INDEX('Shopify Import'!$A:$CZ,1219,Settings!$E$24)&amp;"","$",""),",","")),0))</f>
        <v/>
      </c>
      <c r="F1219" s="11">
        <f>IF(A1219="","",D1219*E1219)</f>
        <v/>
      </c>
      <c r="G1219">
        <f>IF(A1219="","",IF(C1219="",1,COUNTIF($C$2:$C$1501,C1219)))</f>
        <v/>
      </c>
      <c r="H1219" s="11">
        <f>IF(A1219="","",IFERROR(VALUE(SUBSTITUTE(SUBSTITUTE(INDEX('Shopify Import'!$A:$CZ,1219,Settings!$E$25)&amp;"","$",""),",","")),0)/IF(Settings!$D$27="Yes",G1219,1))</f>
        <v/>
      </c>
      <c r="I1219" s="11">
        <f>IF(A1219="","",IFERROR(VALUE(SUBSTITUTE(SUBSTITUTE(INDEX('Shopify Import'!$A:$CZ,1219,Settings!$E$26)&amp;"","$",""),",","")),0)/IF(Settings!$D$27="Yes",G1219,1))</f>
        <v/>
      </c>
      <c r="J1219" s="11">
        <f>IF(A1219="","",F1219+H1219-I1219)</f>
        <v/>
      </c>
      <c r="K1219">
        <f>IF(A1219="","",IFERROR(IF(B1219="",NA(),MATCH(B1219,Products!$B$5:$B$204,0)),IFERROR(MATCH(A1219,Products!$A$5:$A$204,0),"")))</f>
        <v/>
      </c>
      <c r="L1219">
        <f>IF(A1219="","",IF(K1219="","⚠ not in Products",INDEX(Products!$A$5:$A$204,K1219)))</f>
        <v/>
      </c>
      <c r="M1219" s="11">
        <f>IF(A1219="","",J1219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1219+IFERROR(INDEX(Settings!$D$5:$D$9,MATCH("Shopify",Settings!$A$5:$A$9,0)),0)*D1219)</f>
        <v/>
      </c>
      <c r="N1219" s="11">
        <f>IF(A1219="","",IF(K1219="",0,D1219*INDEX(Products!$I$5:$I$204,K1219)))</f>
        <v/>
      </c>
      <c r="O1219" s="11">
        <f>IF(A1219="","",IF(K1219="",0,J1219*INDEX(Products!$H$5:$H$204,K1219)))</f>
        <v/>
      </c>
      <c r="P1219" s="11">
        <f>IF(A1219="","",J1219-M1219-N1219-O1219)</f>
        <v/>
      </c>
    </row>
    <row r="1220">
      <c r="A1220">
        <f>IFERROR(INDEX('Shopify Import'!$A:$CZ,1220,Settings!$E$20)&amp;"","")</f>
        <v/>
      </c>
      <c r="B1220">
        <f>IFERROR(INDEX('Shopify Import'!$A:$CZ,1220,Settings!$E$21)&amp;"","")</f>
        <v/>
      </c>
      <c r="C1220">
        <f>IFERROR(INDEX('Shopify Import'!$A:$CZ,1220,Settings!$E$22)&amp;"","")</f>
        <v/>
      </c>
      <c r="D1220">
        <f>IF(A1220="","",IFERROR(VALUE(SUBSTITUTE(SUBSTITUTE(INDEX('Shopify Import'!$A:$CZ,1220,Settings!$E$23)&amp;"","$",""),",","")),0))</f>
        <v/>
      </c>
      <c r="E1220" s="11">
        <f>IF(A1220="","",IFERROR(VALUE(SUBSTITUTE(SUBSTITUTE(INDEX('Shopify Import'!$A:$CZ,1220,Settings!$E$24)&amp;"","$",""),",","")),0))</f>
        <v/>
      </c>
      <c r="F1220" s="11">
        <f>IF(A1220="","",D1220*E1220)</f>
        <v/>
      </c>
      <c r="G1220">
        <f>IF(A1220="","",IF(C1220="",1,COUNTIF($C$2:$C$1501,C1220)))</f>
        <v/>
      </c>
      <c r="H1220" s="11">
        <f>IF(A1220="","",IFERROR(VALUE(SUBSTITUTE(SUBSTITUTE(INDEX('Shopify Import'!$A:$CZ,1220,Settings!$E$25)&amp;"","$",""),",","")),0)/IF(Settings!$D$27="Yes",G1220,1))</f>
        <v/>
      </c>
      <c r="I1220" s="11">
        <f>IF(A1220="","",IFERROR(VALUE(SUBSTITUTE(SUBSTITUTE(INDEX('Shopify Import'!$A:$CZ,1220,Settings!$E$26)&amp;"","$",""),",","")),0)/IF(Settings!$D$27="Yes",G1220,1))</f>
        <v/>
      </c>
      <c r="J1220" s="11">
        <f>IF(A1220="","",F1220+H1220-I1220)</f>
        <v/>
      </c>
      <c r="K1220">
        <f>IF(A1220="","",IFERROR(IF(B1220="",NA(),MATCH(B1220,Products!$B$5:$B$204,0)),IFERROR(MATCH(A1220,Products!$A$5:$A$204,0),"")))</f>
        <v/>
      </c>
      <c r="L1220">
        <f>IF(A1220="","",IF(K1220="","⚠ not in Products",INDEX(Products!$A$5:$A$204,K1220)))</f>
        <v/>
      </c>
      <c r="M1220" s="11">
        <f>IF(A1220="","",J1220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1220+IFERROR(INDEX(Settings!$D$5:$D$9,MATCH("Shopify",Settings!$A$5:$A$9,0)),0)*D1220)</f>
        <v/>
      </c>
      <c r="N1220" s="11">
        <f>IF(A1220="","",IF(K1220="",0,D1220*INDEX(Products!$I$5:$I$204,K1220)))</f>
        <v/>
      </c>
      <c r="O1220" s="11">
        <f>IF(A1220="","",IF(K1220="",0,J1220*INDEX(Products!$H$5:$H$204,K1220)))</f>
        <v/>
      </c>
      <c r="P1220" s="11">
        <f>IF(A1220="","",J1220-M1220-N1220-O1220)</f>
        <v/>
      </c>
    </row>
    <row r="1221">
      <c r="A1221">
        <f>IFERROR(INDEX('Shopify Import'!$A:$CZ,1221,Settings!$E$20)&amp;"","")</f>
        <v/>
      </c>
      <c r="B1221">
        <f>IFERROR(INDEX('Shopify Import'!$A:$CZ,1221,Settings!$E$21)&amp;"","")</f>
        <v/>
      </c>
      <c r="C1221">
        <f>IFERROR(INDEX('Shopify Import'!$A:$CZ,1221,Settings!$E$22)&amp;"","")</f>
        <v/>
      </c>
      <c r="D1221">
        <f>IF(A1221="","",IFERROR(VALUE(SUBSTITUTE(SUBSTITUTE(INDEX('Shopify Import'!$A:$CZ,1221,Settings!$E$23)&amp;"","$",""),",","")),0))</f>
        <v/>
      </c>
      <c r="E1221" s="11">
        <f>IF(A1221="","",IFERROR(VALUE(SUBSTITUTE(SUBSTITUTE(INDEX('Shopify Import'!$A:$CZ,1221,Settings!$E$24)&amp;"","$",""),",","")),0))</f>
        <v/>
      </c>
      <c r="F1221" s="11">
        <f>IF(A1221="","",D1221*E1221)</f>
        <v/>
      </c>
      <c r="G1221">
        <f>IF(A1221="","",IF(C1221="",1,COUNTIF($C$2:$C$1501,C1221)))</f>
        <v/>
      </c>
      <c r="H1221" s="11">
        <f>IF(A1221="","",IFERROR(VALUE(SUBSTITUTE(SUBSTITUTE(INDEX('Shopify Import'!$A:$CZ,1221,Settings!$E$25)&amp;"","$",""),",","")),0)/IF(Settings!$D$27="Yes",G1221,1))</f>
        <v/>
      </c>
      <c r="I1221" s="11">
        <f>IF(A1221="","",IFERROR(VALUE(SUBSTITUTE(SUBSTITUTE(INDEX('Shopify Import'!$A:$CZ,1221,Settings!$E$26)&amp;"","$",""),",","")),0)/IF(Settings!$D$27="Yes",G1221,1))</f>
        <v/>
      </c>
      <c r="J1221" s="11">
        <f>IF(A1221="","",F1221+H1221-I1221)</f>
        <v/>
      </c>
      <c r="K1221">
        <f>IF(A1221="","",IFERROR(IF(B1221="",NA(),MATCH(B1221,Products!$B$5:$B$204,0)),IFERROR(MATCH(A1221,Products!$A$5:$A$204,0),"")))</f>
        <v/>
      </c>
      <c r="L1221">
        <f>IF(A1221="","",IF(K1221="","⚠ not in Products",INDEX(Products!$A$5:$A$204,K1221)))</f>
        <v/>
      </c>
      <c r="M1221" s="11">
        <f>IF(A1221="","",J1221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1221+IFERROR(INDEX(Settings!$D$5:$D$9,MATCH("Shopify",Settings!$A$5:$A$9,0)),0)*D1221)</f>
        <v/>
      </c>
      <c r="N1221" s="11">
        <f>IF(A1221="","",IF(K1221="",0,D1221*INDEX(Products!$I$5:$I$204,K1221)))</f>
        <v/>
      </c>
      <c r="O1221" s="11">
        <f>IF(A1221="","",IF(K1221="",0,J1221*INDEX(Products!$H$5:$H$204,K1221)))</f>
        <v/>
      </c>
      <c r="P1221" s="11">
        <f>IF(A1221="","",J1221-M1221-N1221-O1221)</f>
        <v/>
      </c>
    </row>
    <row r="1222">
      <c r="A1222">
        <f>IFERROR(INDEX('Shopify Import'!$A:$CZ,1222,Settings!$E$20)&amp;"","")</f>
        <v/>
      </c>
      <c r="B1222">
        <f>IFERROR(INDEX('Shopify Import'!$A:$CZ,1222,Settings!$E$21)&amp;"","")</f>
        <v/>
      </c>
      <c r="C1222">
        <f>IFERROR(INDEX('Shopify Import'!$A:$CZ,1222,Settings!$E$22)&amp;"","")</f>
        <v/>
      </c>
      <c r="D1222">
        <f>IF(A1222="","",IFERROR(VALUE(SUBSTITUTE(SUBSTITUTE(INDEX('Shopify Import'!$A:$CZ,1222,Settings!$E$23)&amp;"","$",""),",","")),0))</f>
        <v/>
      </c>
      <c r="E1222" s="11">
        <f>IF(A1222="","",IFERROR(VALUE(SUBSTITUTE(SUBSTITUTE(INDEX('Shopify Import'!$A:$CZ,1222,Settings!$E$24)&amp;"","$",""),",","")),0))</f>
        <v/>
      </c>
      <c r="F1222" s="11">
        <f>IF(A1222="","",D1222*E1222)</f>
        <v/>
      </c>
      <c r="G1222">
        <f>IF(A1222="","",IF(C1222="",1,COUNTIF($C$2:$C$1501,C1222)))</f>
        <v/>
      </c>
      <c r="H1222" s="11">
        <f>IF(A1222="","",IFERROR(VALUE(SUBSTITUTE(SUBSTITUTE(INDEX('Shopify Import'!$A:$CZ,1222,Settings!$E$25)&amp;"","$",""),",","")),0)/IF(Settings!$D$27="Yes",G1222,1))</f>
        <v/>
      </c>
      <c r="I1222" s="11">
        <f>IF(A1222="","",IFERROR(VALUE(SUBSTITUTE(SUBSTITUTE(INDEX('Shopify Import'!$A:$CZ,1222,Settings!$E$26)&amp;"","$",""),",","")),0)/IF(Settings!$D$27="Yes",G1222,1))</f>
        <v/>
      </c>
      <c r="J1222" s="11">
        <f>IF(A1222="","",F1222+H1222-I1222)</f>
        <v/>
      </c>
      <c r="K1222">
        <f>IF(A1222="","",IFERROR(IF(B1222="",NA(),MATCH(B1222,Products!$B$5:$B$204,0)),IFERROR(MATCH(A1222,Products!$A$5:$A$204,0),"")))</f>
        <v/>
      </c>
      <c r="L1222">
        <f>IF(A1222="","",IF(K1222="","⚠ not in Products",INDEX(Products!$A$5:$A$204,K1222)))</f>
        <v/>
      </c>
      <c r="M1222" s="11">
        <f>IF(A1222="","",J1222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1222+IFERROR(INDEX(Settings!$D$5:$D$9,MATCH("Shopify",Settings!$A$5:$A$9,0)),0)*D1222)</f>
        <v/>
      </c>
      <c r="N1222" s="11">
        <f>IF(A1222="","",IF(K1222="",0,D1222*INDEX(Products!$I$5:$I$204,K1222)))</f>
        <v/>
      </c>
      <c r="O1222" s="11">
        <f>IF(A1222="","",IF(K1222="",0,J1222*INDEX(Products!$H$5:$H$204,K1222)))</f>
        <v/>
      </c>
      <c r="P1222" s="11">
        <f>IF(A1222="","",J1222-M1222-N1222-O1222)</f>
        <v/>
      </c>
    </row>
    <row r="1223">
      <c r="A1223">
        <f>IFERROR(INDEX('Shopify Import'!$A:$CZ,1223,Settings!$E$20)&amp;"","")</f>
        <v/>
      </c>
      <c r="B1223">
        <f>IFERROR(INDEX('Shopify Import'!$A:$CZ,1223,Settings!$E$21)&amp;"","")</f>
        <v/>
      </c>
      <c r="C1223">
        <f>IFERROR(INDEX('Shopify Import'!$A:$CZ,1223,Settings!$E$22)&amp;"","")</f>
        <v/>
      </c>
      <c r="D1223">
        <f>IF(A1223="","",IFERROR(VALUE(SUBSTITUTE(SUBSTITUTE(INDEX('Shopify Import'!$A:$CZ,1223,Settings!$E$23)&amp;"","$",""),",","")),0))</f>
        <v/>
      </c>
      <c r="E1223" s="11">
        <f>IF(A1223="","",IFERROR(VALUE(SUBSTITUTE(SUBSTITUTE(INDEX('Shopify Import'!$A:$CZ,1223,Settings!$E$24)&amp;"","$",""),",","")),0))</f>
        <v/>
      </c>
      <c r="F1223" s="11">
        <f>IF(A1223="","",D1223*E1223)</f>
        <v/>
      </c>
      <c r="G1223">
        <f>IF(A1223="","",IF(C1223="",1,COUNTIF($C$2:$C$1501,C1223)))</f>
        <v/>
      </c>
      <c r="H1223" s="11">
        <f>IF(A1223="","",IFERROR(VALUE(SUBSTITUTE(SUBSTITUTE(INDEX('Shopify Import'!$A:$CZ,1223,Settings!$E$25)&amp;"","$",""),",","")),0)/IF(Settings!$D$27="Yes",G1223,1))</f>
        <v/>
      </c>
      <c r="I1223" s="11">
        <f>IF(A1223="","",IFERROR(VALUE(SUBSTITUTE(SUBSTITUTE(INDEX('Shopify Import'!$A:$CZ,1223,Settings!$E$26)&amp;"","$",""),",","")),0)/IF(Settings!$D$27="Yes",G1223,1))</f>
        <v/>
      </c>
      <c r="J1223" s="11">
        <f>IF(A1223="","",F1223+H1223-I1223)</f>
        <v/>
      </c>
      <c r="K1223">
        <f>IF(A1223="","",IFERROR(IF(B1223="",NA(),MATCH(B1223,Products!$B$5:$B$204,0)),IFERROR(MATCH(A1223,Products!$A$5:$A$204,0),"")))</f>
        <v/>
      </c>
      <c r="L1223">
        <f>IF(A1223="","",IF(K1223="","⚠ not in Products",INDEX(Products!$A$5:$A$204,K1223)))</f>
        <v/>
      </c>
      <c r="M1223" s="11">
        <f>IF(A1223="","",J1223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1223+IFERROR(INDEX(Settings!$D$5:$D$9,MATCH("Shopify",Settings!$A$5:$A$9,0)),0)*D1223)</f>
        <v/>
      </c>
      <c r="N1223" s="11">
        <f>IF(A1223="","",IF(K1223="",0,D1223*INDEX(Products!$I$5:$I$204,K1223)))</f>
        <v/>
      </c>
      <c r="O1223" s="11">
        <f>IF(A1223="","",IF(K1223="",0,J1223*INDEX(Products!$H$5:$H$204,K1223)))</f>
        <v/>
      </c>
      <c r="P1223" s="11">
        <f>IF(A1223="","",J1223-M1223-N1223-O1223)</f>
        <v/>
      </c>
    </row>
    <row r="1224">
      <c r="A1224">
        <f>IFERROR(INDEX('Shopify Import'!$A:$CZ,1224,Settings!$E$20)&amp;"","")</f>
        <v/>
      </c>
      <c r="B1224">
        <f>IFERROR(INDEX('Shopify Import'!$A:$CZ,1224,Settings!$E$21)&amp;"","")</f>
        <v/>
      </c>
      <c r="C1224">
        <f>IFERROR(INDEX('Shopify Import'!$A:$CZ,1224,Settings!$E$22)&amp;"","")</f>
        <v/>
      </c>
      <c r="D1224">
        <f>IF(A1224="","",IFERROR(VALUE(SUBSTITUTE(SUBSTITUTE(INDEX('Shopify Import'!$A:$CZ,1224,Settings!$E$23)&amp;"","$",""),",","")),0))</f>
        <v/>
      </c>
      <c r="E1224" s="11">
        <f>IF(A1224="","",IFERROR(VALUE(SUBSTITUTE(SUBSTITUTE(INDEX('Shopify Import'!$A:$CZ,1224,Settings!$E$24)&amp;"","$",""),",","")),0))</f>
        <v/>
      </c>
      <c r="F1224" s="11">
        <f>IF(A1224="","",D1224*E1224)</f>
        <v/>
      </c>
      <c r="G1224">
        <f>IF(A1224="","",IF(C1224="",1,COUNTIF($C$2:$C$1501,C1224)))</f>
        <v/>
      </c>
      <c r="H1224" s="11">
        <f>IF(A1224="","",IFERROR(VALUE(SUBSTITUTE(SUBSTITUTE(INDEX('Shopify Import'!$A:$CZ,1224,Settings!$E$25)&amp;"","$",""),",","")),0)/IF(Settings!$D$27="Yes",G1224,1))</f>
        <v/>
      </c>
      <c r="I1224" s="11">
        <f>IF(A1224="","",IFERROR(VALUE(SUBSTITUTE(SUBSTITUTE(INDEX('Shopify Import'!$A:$CZ,1224,Settings!$E$26)&amp;"","$",""),",","")),0)/IF(Settings!$D$27="Yes",G1224,1))</f>
        <v/>
      </c>
      <c r="J1224" s="11">
        <f>IF(A1224="","",F1224+H1224-I1224)</f>
        <v/>
      </c>
      <c r="K1224">
        <f>IF(A1224="","",IFERROR(IF(B1224="",NA(),MATCH(B1224,Products!$B$5:$B$204,0)),IFERROR(MATCH(A1224,Products!$A$5:$A$204,0),"")))</f>
        <v/>
      </c>
      <c r="L1224">
        <f>IF(A1224="","",IF(K1224="","⚠ not in Products",INDEX(Products!$A$5:$A$204,K1224)))</f>
        <v/>
      </c>
      <c r="M1224" s="11">
        <f>IF(A1224="","",J1224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1224+IFERROR(INDEX(Settings!$D$5:$D$9,MATCH("Shopify",Settings!$A$5:$A$9,0)),0)*D1224)</f>
        <v/>
      </c>
      <c r="N1224" s="11">
        <f>IF(A1224="","",IF(K1224="",0,D1224*INDEX(Products!$I$5:$I$204,K1224)))</f>
        <v/>
      </c>
      <c r="O1224" s="11">
        <f>IF(A1224="","",IF(K1224="",0,J1224*INDEX(Products!$H$5:$H$204,K1224)))</f>
        <v/>
      </c>
      <c r="P1224" s="11">
        <f>IF(A1224="","",J1224-M1224-N1224-O1224)</f>
        <v/>
      </c>
    </row>
    <row r="1225">
      <c r="A1225">
        <f>IFERROR(INDEX('Shopify Import'!$A:$CZ,1225,Settings!$E$20)&amp;"","")</f>
        <v/>
      </c>
      <c r="B1225">
        <f>IFERROR(INDEX('Shopify Import'!$A:$CZ,1225,Settings!$E$21)&amp;"","")</f>
        <v/>
      </c>
      <c r="C1225">
        <f>IFERROR(INDEX('Shopify Import'!$A:$CZ,1225,Settings!$E$22)&amp;"","")</f>
        <v/>
      </c>
      <c r="D1225">
        <f>IF(A1225="","",IFERROR(VALUE(SUBSTITUTE(SUBSTITUTE(INDEX('Shopify Import'!$A:$CZ,1225,Settings!$E$23)&amp;"","$",""),",","")),0))</f>
        <v/>
      </c>
      <c r="E1225" s="11">
        <f>IF(A1225="","",IFERROR(VALUE(SUBSTITUTE(SUBSTITUTE(INDEX('Shopify Import'!$A:$CZ,1225,Settings!$E$24)&amp;"","$",""),",","")),0))</f>
        <v/>
      </c>
      <c r="F1225" s="11">
        <f>IF(A1225="","",D1225*E1225)</f>
        <v/>
      </c>
      <c r="G1225">
        <f>IF(A1225="","",IF(C1225="",1,COUNTIF($C$2:$C$1501,C1225)))</f>
        <v/>
      </c>
      <c r="H1225" s="11">
        <f>IF(A1225="","",IFERROR(VALUE(SUBSTITUTE(SUBSTITUTE(INDEX('Shopify Import'!$A:$CZ,1225,Settings!$E$25)&amp;"","$",""),",","")),0)/IF(Settings!$D$27="Yes",G1225,1))</f>
        <v/>
      </c>
      <c r="I1225" s="11">
        <f>IF(A1225="","",IFERROR(VALUE(SUBSTITUTE(SUBSTITUTE(INDEX('Shopify Import'!$A:$CZ,1225,Settings!$E$26)&amp;"","$",""),",","")),0)/IF(Settings!$D$27="Yes",G1225,1))</f>
        <v/>
      </c>
      <c r="J1225" s="11">
        <f>IF(A1225="","",F1225+H1225-I1225)</f>
        <v/>
      </c>
      <c r="K1225">
        <f>IF(A1225="","",IFERROR(IF(B1225="",NA(),MATCH(B1225,Products!$B$5:$B$204,0)),IFERROR(MATCH(A1225,Products!$A$5:$A$204,0),"")))</f>
        <v/>
      </c>
      <c r="L1225">
        <f>IF(A1225="","",IF(K1225="","⚠ not in Products",INDEX(Products!$A$5:$A$204,K1225)))</f>
        <v/>
      </c>
      <c r="M1225" s="11">
        <f>IF(A1225="","",J1225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1225+IFERROR(INDEX(Settings!$D$5:$D$9,MATCH("Shopify",Settings!$A$5:$A$9,0)),0)*D1225)</f>
        <v/>
      </c>
      <c r="N1225" s="11">
        <f>IF(A1225="","",IF(K1225="",0,D1225*INDEX(Products!$I$5:$I$204,K1225)))</f>
        <v/>
      </c>
      <c r="O1225" s="11">
        <f>IF(A1225="","",IF(K1225="",0,J1225*INDEX(Products!$H$5:$H$204,K1225)))</f>
        <v/>
      </c>
      <c r="P1225" s="11">
        <f>IF(A1225="","",J1225-M1225-N1225-O1225)</f>
        <v/>
      </c>
    </row>
    <row r="1226">
      <c r="A1226">
        <f>IFERROR(INDEX('Shopify Import'!$A:$CZ,1226,Settings!$E$20)&amp;"","")</f>
        <v/>
      </c>
      <c r="B1226">
        <f>IFERROR(INDEX('Shopify Import'!$A:$CZ,1226,Settings!$E$21)&amp;"","")</f>
        <v/>
      </c>
      <c r="C1226">
        <f>IFERROR(INDEX('Shopify Import'!$A:$CZ,1226,Settings!$E$22)&amp;"","")</f>
        <v/>
      </c>
      <c r="D1226">
        <f>IF(A1226="","",IFERROR(VALUE(SUBSTITUTE(SUBSTITUTE(INDEX('Shopify Import'!$A:$CZ,1226,Settings!$E$23)&amp;"","$",""),",","")),0))</f>
        <v/>
      </c>
      <c r="E1226" s="11">
        <f>IF(A1226="","",IFERROR(VALUE(SUBSTITUTE(SUBSTITUTE(INDEX('Shopify Import'!$A:$CZ,1226,Settings!$E$24)&amp;"","$",""),",","")),0))</f>
        <v/>
      </c>
      <c r="F1226" s="11">
        <f>IF(A1226="","",D1226*E1226)</f>
        <v/>
      </c>
      <c r="G1226">
        <f>IF(A1226="","",IF(C1226="",1,COUNTIF($C$2:$C$1501,C1226)))</f>
        <v/>
      </c>
      <c r="H1226" s="11">
        <f>IF(A1226="","",IFERROR(VALUE(SUBSTITUTE(SUBSTITUTE(INDEX('Shopify Import'!$A:$CZ,1226,Settings!$E$25)&amp;"","$",""),",","")),0)/IF(Settings!$D$27="Yes",G1226,1))</f>
        <v/>
      </c>
      <c r="I1226" s="11">
        <f>IF(A1226="","",IFERROR(VALUE(SUBSTITUTE(SUBSTITUTE(INDEX('Shopify Import'!$A:$CZ,1226,Settings!$E$26)&amp;"","$",""),",","")),0)/IF(Settings!$D$27="Yes",G1226,1))</f>
        <v/>
      </c>
      <c r="J1226" s="11">
        <f>IF(A1226="","",F1226+H1226-I1226)</f>
        <v/>
      </c>
      <c r="K1226">
        <f>IF(A1226="","",IFERROR(IF(B1226="",NA(),MATCH(B1226,Products!$B$5:$B$204,0)),IFERROR(MATCH(A1226,Products!$A$5:$A$204,0),"")))</f>
        <v/>
      </c>
      <c r="L1226">
        <f>IF(A1226="","",IF(K1226="","⚠ not in Products",INDEX(Products!$A$5:$A$204,K1226)))</f>
        <v/>
      </c>
      <c r="M1226" s="11">
        <f>IF(A1226="","",J1226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1226+IFERROR(INDEX(Settings!$D$5:$D$9,MATCH("Shopify",Settings!$A$5:$A$9,0)),0)*D1226)</f>
        <v/>
      </c>
      <c r="N1226" s="11">
        <f>IF(A1226="","",IF(K1226="",0,D1226*INDEX(Products!$I$5:$I$204,K1226)))</f>
        <v/>
      </c>
      <c r="O1226" s="11">
        <f>IF(A1226="","",IF(K1226="",0,J1226*INDEX(Products!$H$5:$H$204,K1226)))</f>
        <v/>
      </c>
      <c r="P1226" s="11">
        <f>IF(A1226="","",J1226-M1226-N1226-O1226)</f>
        <v/>
      </c>
    </row>
    <row r="1227">
      <c r="A1227">
        <f>IFERROR(INDEX('Shopify Import'!$A:$CZ,1227,Settings!$E$20)&amp;"","")</f>
        <v/>
      </c>
      <c r="B1227">
        <f>IFERROR(INDEX('Shopify Import'!$A:$CZ,1227,Settings!$E$21)&amp;"","")</f>
        <v/>
      </c>
      <c r="C1227">
        <f>IFERROR(INDEX('Shopify Import'!$A:$CZ,1227,Settings!$E$22)&amp;"","")</f>
        <v/>
      </c>
      <c r="D1227">
        <f>IF(A1227="","",IFERROR(VALUE(SUBSTITUTE(SUBSTITUTE(INDEX('Shopify Import'!$A:$CZ,1227,Settings!$E$23)&amp;"","$",""),",","")),0))</f>
        <v/>
      </c>
      <c r="E1227" s="11">
        <f>IF(A1227="","",IFERROR(VALUE(SUBSTITUTE(SUBSTITUTE(INDEX('Shopify Import'!$A:$CZ,1227,Settings!$E$24)&amp;"","$",""),",","")),0))</f>
        <v/>
      </c>
      <c r="F1227" s="11">
        <f>IF(A1227="","",D1227*E1227)</f>
        <v/>
      </c>
      <c r="G1227">
        <f>IF(A1227="","",IF(C1227="",1,COUNTIF($C$2:$C$1501,C1227)))</f>
        <v/>
      </c>
      <c r="H1227" s="11">
        <f>IF(A1227="","",IFERROR(VALUE(SUBSTITUTE(SUBSTITUTE(INDEX('Shopify Import'!$A:$CZ,1227,Settings!$E$25)&amp;"","$",""),",","")),0)/IF(Settings!$D$27="Yes",G1227,1))</f>
        <v/>
      </c>
      <c r="I1227" s="11">
        <f>IF(A1227="","",IFERROR(VALUE(SUBSTITUTE(SUBSTITUTE(INDEX('Shopify Import'!$A:$CZ,1227,Settings!$E$26)&amp;"","$",""),",","")),0)/IF(Settings!$D$27="Yes",G1227,1))</f>
        <v/>
      </c>
      <c r="J1227" s="11">
        <f>IF(A1227="","",F1227+H1227-I1227)</f>
        <v/>
      </c>
      <c r="K1227">
        <f>IF(A1227="","",IFERROR(IF(B1227="",NA(),MATCH(B1227,Products!$B$5:$B$204,0)),IFERROR(MATCH(A1227,Products!$A$5:$A$204,0),"")))</f>
        <v/>
      </c>
      <c r="L1227">
        <f>IF(A1227="","",IF(K1227="","⚠ not in Products",INDEX(Products!$A$5:$A$204,K1227)))</f>
        <v/>
      </c>
      <c r="M1227" s="11">
        <f>IF(A1227="","",J1227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1227+IFERROR(INDEX(Settings!$D$5:$D$9,MATCH("Shopify",Settings!$A$5:$A$9,0)),0)*D1227)</f>
        <v/>
      </c>
      <c r="N1227" s="11">
        <f>IF(A1227="","",IF(K1227="",0,D1227*INDEX(Products!$I$5:$I$204,K1227)))</f>
        <v/>
      </c>
      <c r="O1227" s="11">
        <f>IF(A1227="","",IF(K1227="",0,J1227*INDEX(Products!$H$5:$H$204,K1227)))</f>
        <v/>
      </c>
      <c r="P1227" s="11">
        <f>IF(A1227="","",J1227-M1227-N1227-O1227)</f>
        <v/>
      </c>
    </row>
    <row r="1228">
      <c r="A1228">
        <f>IFERROR(INDEX('Shopify Import'!$A:$CZ,1228,Settings!$E$20)&amp;"","")</f>
        <v/>
      </c>
      <c r="B1228">
        <f>IFERROR(INDEX('Shopify Import'!$A:$CZ,1228,Settings!$E$21)&amp;"","")</f>
        <v/>
      </c>
      <c r="C1228">
        <f>IFERROR(INDEX('Shopify Import'!$A:$CZ,1228,Settings!$E$22)&amp;"","")</f>
        <v/>
      </c>
      <c r="D1228">
        <f>IF(A1228="","",IFERROR(VALUE(SUBSTITUTE(SUBSTITUTE(INDEX('Shopify Import'!$A:$CZ,1228,Settings!$E$23)&amp;"","$",""),",","")),0))</f>
        <v/>
      </c>
      <c r="E1228" s="11">
        <f>IF(A1228="","",IFERROR(VALUE(SUBSTITUTE(SUBSTITUTE(INDEX('Shopify Import'!$A:$CZ,1228,Settings!$E$24)&amp;"","$",""),",","")),0))</f>
        <v/>
      </c>
      <c r="F1228" s="11">
        <f>IF(A1228="","",D1228*E1228)</f>
        <v/>
      </c>
      <c r="G1228">
        <f>IF(A1228="","",IF(C1228="",1,COUNTIF($C$2:$C$1501,C1228)))</f>
        <v/>
      </c>
      <c r="H1228" s="11">
        <f>IF(A1228="","",IFERROR(VALUE(SUBSTITUTE(SUBSTITUTE(INDEX('Shopify Import'!$A:$CZ,1228,Settings!$E$25)&amp;"","$",""),",","")),0)/IF(Settings!$D$27="Yes",G1228,1))</f>
        <v/>
      </c>
      <c r="I1228" s="11">
        <f>IF(A1228="","",IFERROR(VALUE(SUBSTITUTE(SUBSTITUTE(INDEX('Shopify Import'!$A:$CZ,1228,Settings!$E$26)&amp;"","$",""),",","")),0)/IF(Settings!$D$27="Yes",G1228,1))</f>
        <v/>
      </c>
      <c r="J1228" s="11">
        <f>IF(A1228="","",F1228+H1228-I1228)</f>
        <v/>
      </c>
      <c r="K1228">
        <f>IF(A1228="","",IFERROR(IF(B1228="",NA(),MATCH(B1228,Products!$B$5:$B$204,0)),IFERROR(MATCH(A1228,Products!$A$5:$A$204,0),"")))</f>
        <v/>
      </c>
      <c r="L1228">
        <f>IF(A1228="","",IF(K1228="","⚠ not in Products",INDEX(Products!$A$5:$A$204,K1228)))</f>
        <v/>
      </c>
      <c r="M1228" s="11">
        <f>IF(A1228="","",J1228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1228+IFERROR(INDEX(Settings!$D$5:$D$9,MATCH("Shopify",Settings!$A$5:$A$9,0)),0)*D1228)</f>
        <v/>
      </c>
      <c r="N1228" s="11">
        <f>IF(A1228="","",IF(K1228="",0,D1228*INDEX(Products!$I$5:$I$204,K1228)))</f>
        <v/>
      </c>
      <c r="O1228" s="11">
        <f>IF(A1228="","",IF(K1228="",0,J1228*INDEX(Products!$H$5:$H$204,K1228)))</f>
        <v/>
      </c>
      <c r="P1228" s="11">
        <f>IF(A1228="","",J1228-M1228-N1228-O1228)</f>
        <v/>
      </c>
    </row>
    <row r="1229">
      <c r="A1229">
        <f>IFERROR(INDEX('Shopify Import'!$A:$CZ,1229,Settings!$E$20)&amp;"","")</f>
        <v/>
      </c>
      <c r="B1229">
        <f>IFERROR(INDEX('Shopify Import'!$A:$CZ,1229,Settings!$E$21)&amp;"","")</f>
        <v/>
      </c>
      <c r="C1229">
        <f>IFERROR(INDEX('Shopify Import'!$A:$CZ,1229,Settings!$E$22)&amp;"","")</f>
        <v/>
      </c>
      <c r="D1229">
        <f>IF(A1229="","",IFERROR(VALUE(SUBSTITUTE(SUBSTITUTE(INDEX('Shopify Import'!$A:$CZ,1229,Settings!$E$23)&amp;"","$",""),",","")),0))</f>
        <v/>
      </c>
      <c r="E1229" s="11">
        <f>IF(A1229="","",IFERROR(VALUE(SUBSTITUTE(SUBSTITUTE(INDEX('Shopify Import'!$A:$CZ,1229,Settings!$E$24)&amp;"","$",""),",","")),0))</f>
        <v/>
      </c>
      <c r="F1229" s="11">
        <f>IF(A1229="","",D1229*E1229)</f>
        <v/>
      </c>
      <c r="G1229">
        <f>IF(A1229="","",IF(C1229="",1,COUNTIF($C$2:$C$1501,C1229)))</f>
        <v/>
      </c>
      <c r="H1229" s="11">
        <f>IF(A1229="","",IFERROR(VALUE(SUBSTITUTE(SUBSTITUTE(INDEX('Shopify Import'!$A:$CZ,1229,Settings!$E$25)&amp;"","$",""),",","")),0)/IF(Settings!$D$27="Yes",G1229,1))</f>
        <v/>
      </c>
      <c r="I1229" s="11">
        <f>IF(A1229="","",IFERROR(VALUE(SUBSTITUTE(SUBSTITUTE(INDEX('Shopify Import'!$A:$CZ,1229,Settings!$E$26)&amp;"","$",""),",","")),0)/IF(Settings!$D$27="Yes",G1229,1))</f>
        <v/>
      </c>
      <c r="J1229" s="11">
        <f>IF(A1229="","",F1229+H1229-I1229)</f>
        <v/>
      </c>
      <c r="K1229">
        <f>IF(A1229="","",IFERROR(IF(B1229="",NA(),MATCH(B1229,Products!$B$5:$B$204,0)),IFERROR(MATCH(A1229,Products!$A$5:$A$204,0),"")))</f>
        <v/>
      </c>
      <c r="L1229">
        <f>IF(A1229="","",IF(K1229="","⚠ not in Products",INDEX(Products!$A$5:$A$204,K1229)))</f>
        <v/>
      </c>
      <c r="M1229" s="11">
        <f>IF(A1229="","",J1229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1229+IFERROR(INDEX(Settings!$D$5:$D$9,MATCH("Shopify",Settings!$A$5:$A$9,0)),0)*D1229)</f>
        <v/>
      </c>
      <c r="N1229" s="11">
        <f>IF(A1229="","",IF(K1229="",0,D1229*INDEX(Products!$I$5:$I$204,K1229)))</f>
        <v/>
      </c>
      <c r="O1229" s="11">
        <f>IF(A1229="","",IF(K1229="",0,J1229*INDEX(Products!$H$5:$H$204,K1229)))</f>
        <v/>
      </c>
      <c r="P1229" s="11">
        <f>IF(A1229="","",J1229-M1229-N1229-O1229)</f>
        <v/>
      </c>
    </row>
    <row r="1230">
      <c r="A1230">
        <f>IFERROR(INDEX('Shopify Import'!$A:$CZ,1230,Settings!$E$20)&amp;"","")</f>
        <v/>
      </c>
      <c r="B1230">
        <f>IFERROR(INDEX('Shopify Import'!$A:$CZ,1230,Settings!$E$21)&amp;"","")</f>
        <v/>
      </c>
      <c r="C1230">
        <f>IFERROR(INDEX('Shopify Import'!$A:$CZ,1230,Settings!$E$22)&amp;"","")</f>
        <v/>
      </c>
      <c r="D1230">
        <f>IF(A1230="","",IFERROR(VALUE(SUBSTITUTE(SUBSTITUTE(INDEX('Shopify Import'!$A:$CZ,1230,Settings!$E$23)&amp;"","$",""),",","")),0))</f>
        <v/>
      </c>
      <c r="E1230" s="11">
        <f>IF(A1230="","",IFERROR(VALUE(SUBSTITUTE(SUBSTITUTE(INDEX('Shopify Import'!$A:$CZ,1230,Settings!$E$24)&amp;"","$",""),",","")),0))</f>
        <v/>
      </c>
      <c r="F1230" s="11">
        <f>IF(A1230="","",D1230*E1230)</f>
        <v/>
      </c>
      <c r="G1230">
        <f>IF(A1230="","",IF(C1230="",1,COUNTIF($C$2:$C$1501,C1230)))</f>
        <v/>
      </c>
      <c r="H1230" s="11">
        <f>IF(A1230="","",IFERROR(VALUE(SUBSTITUTE(SUBSTITUTE(INDEX('Shopify Import'!$A:$CZ,1230,Settings!$E$25)&amp;"","$",""),",","")),0)/IF(Settings!$D$27="Yes",G1230,1))</f>
        <v/>
      </c>
      <c r="I1230" s="11">
        <f>IF(A1230="","",IFERROR(VALUE(SUBSTITUTE(SUBSTITUTE(INDEX('Shopify Import'!$A:$CZ,1230,Settings!$E$26)&amp;"","$",""),",","")),0)/IF(Settings!$D$27="Yes",G1230,1))</f>
        <v/>
      </c>
      <c r="J1230" s="11">
        <f>IF(A1230="","",F1230+H1230-I1230)</f>
        <v/>
      </c>
      <c r="K1230">
        <f>IF(A1230="","",IFERROR(IF(B1230="",NA(),MATCH(B1230,Products!$B$5:$B$204,0)),IFERROR(MATCH(A1230,Products!$A$5:$A$204,0),"")))</f>
        <v/>
      </c>
      <c r="L1230">
        <f>IF(A1230="","",IF(K1230="","⚠ not in Products",INDEX(Products!$A$5:$A$204,K1230)))</f>
        <v/>
      </c>
      <c r="M1230" s="11">
        <f>IF(A1230="","",J1230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1230+IFERROR(INDEX(Settings!$D$5:$D$9,MATCH("Shopify",Settings!$A$5:$A$9,0)),0)*D1230)</f>
        <v/>
      </c>
      <c r="N1230" s="11">
        <f>IF(A1230="","",IF(K1230="",0,D1230*INDEX(Products!$I$5:$I$204,K1230)))</f>
        <v/>
      </c>
      <c r="O1230" s="11">
        <f>IF(A1230="","",IF(K1230="",0,J1230*INDEX(Products!$H$5:$H$204,K1230)))</f>
        <v/>
      </c>
      <c r="P1230" s="11">
        <f>IF(A1230="","",J1230-M1230-N1230-O1230)</f>
        <v/>
      </c>
    </row>
    <row r="1231">
      <c r="A1231">
        <f>IFERROR(INDEX('Shopify Import'!$A:$CZ,1231,Settings!$E$20)&amp;"","")</f>
        <v/>
      </c>
      <c r="B1231">
        <f>IFERROR(INDEX('Shopify Import'!$A:$CZ,1231,Settings!$E$21)&amp;"","")</f>
        <v/>
      </c>
      <c r="C1231">
        <f>IFERROR(INDEX('Shopify Import'!$A:$CZ,1231,Settings!$E$22)&amp;"","")</f>
        <v/>
      </c>
      <c r="D1231">
        <f>IF(A1231="","",IFERROR(VALUE(SUBSTITUTE(SUBSTITUTE(INDEX('Shopify Import'!$A:$CZ,1231,Settings!$E$23)&amp;"","$",""),",","")),0))</f>
        <v/>
      </c>
      <c r="E1231" s="11">
        <f>IF(A1231="","",IFERROR(VALUE(SUBSTITUTE(SUBSTITUTE(INDEX('Shopify Import'!$A:$CZ,1231,Settings!$E$24)&amp;"","$",""),",","")),0))</f>
        <v/>
      </c>
      <c r="F1231" s="11">
        <f>IF(A1231="","",D1231*E1231)</f>
        <v/>
      </c>
      <c r="G1231">
        <f>IF(A1231="","",IF(C1231="",1,COUNTIF($C$2:$C$1501,C1231)))</f>
        <v/>
      </c>
      <c r="H1231" s="11">
        <f>IF(A1231="","",IFERROR(VALUE(SUBSTITUTE(SUBSTITUTE(INDEX('Shopify Import'!$A:$CZ,1231,Settings!$E$25)&amp;"","$",""),",","")),0)/IF(Settings!$D$27="Yes",G1231,1))</f>
        <v/>
      </c>
      <c r="I1231" s="11">
        <f>IF(A1231="","",IFERROR(VALUE(SUBSTITUTE(SUBSTITUTE(INDEX('Shopify Import'!$A:$CZ,1231,Settings!$E$26)&amp;"","$",""),",","")),0)/IF(Settings!$D$27="Yes",G1231,1))</f>
        <v/>
      </c>
      <c r="J1231" s="11">
        <f>IF(A1231="","",F1231+H1231-I1231)</f>
        <v/>
      </c>
      <c r="K1231">
        <f>IF(A1231="","",IFERROR(IF(B1231="",NA(),MATCH(B1231,Products!$B$5:$B$204,0)),IFERROR(MATCH(A1231,Products!$A$5:$A$204,0),"")))</f>
        <v/>
      </c>
      <c r="L1231">
        <f>IF(A1231="","",IF(K1231="","⚠ not in Products",INDEX(Products!$A$5:$A$204,K1231)))</f>
        <v/>
      </c>
      <c r="M1231" s="11">
        <f>IF(A1231="","",J1231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1231+IFERROR(INDEX(Settings!$D$5:$D$9,MATCH("Shopify",Settings!$A$5:$A$9,0)),0)*D1231)</f>
        <v/>
      </c>
      <c r="N1231" s="11">
        <f>IF(A1231="","",IF(K1231="",0,D1231*INDEX(Products!$I$5:$I$204,K1231)))</f>
        <v/>
      </c>
      <c r="O1231" s="11">
        <f>IF(A1231="","",IF(K1231="",0,J1231*INDEX(Products!$H$5:$H$204,K1231)))</f>
        <v/>
      </c>
      <c r="P1231" s="11">
        <f>IF(A1231="","",J1231-M1231-N1231-O1231)</f>
        <v/>
      </c>
    </row>
    <row r="1232">
      <c r="A1232">
        <f>IFERROR(INDEX('Shopify Import'!$A:$CZ,1232,Settings!$E$20)&amp;"","")</f>
        <v/>
      </c>
      <c r="B1232">
        <f>IFERROR(INDEX('Shopify Import'!$A:$CZ,1232,Settings!$E$21)&amp;"","")</f>
        <v/>
      </c>
      <c r="C1232">
        <f>IFERROR(INDEX('Shopify Import'!$A:$CZ,1232,Settings!$E$22)&amp;"","")</f>
        <v/>
      </c>
      <c r="D1232">
        <f>IF(A1232="","",IFERROR(VALUE(SUBSTITUTE(SUBSTITUTE(INDEX('Shopify Import'!$A:$CZ,1232,Settings!$E$23)&amp;"","$",""),",","")),0))</f>
        <v/>
      </c>
      <c r="E1232" s="11">
        <f>IF(A1232="","",IFERROR(VALUE(SUBSTITUTE(SUBSTITUTE(INDEX('Shopify Import'!$A:$CZ,1232,Settings!$E$24)&amp;"","$",""),",","")),0))</f>
        <v/>
      </c>
      <c r="F1232" s="11">
        <f>IF(A1232="","",D1232*E1232)</f>
        <v/>
      </c>
      <c r="G1232">
        <f>IF(A1232="","",IF(C1232="",1,COUNTIF($C$2:$C$1501,C1232)))</f>
        <v/>
      </c>
      <c r="H1232" s="11">
        <f>IF(A1232="","",IFERROR(VALUE(SUBSTITUTE(SUBSTITUTE(INDEX('Shopify Import'!$A:$CZ,1232,Settings!$E$25)&amp;"","$",""),",","")),0)/IF(Settings!$D$27="Yes",G1232,1))</f>
        <v/>
      </c>
      <c r="I1232" s="11">
        <f>IF(A1232="","",IFERROR(VALUE(SUBSTITUTE(SUBSTITUTE(INDEX('Shopify Import'!$A:$CZ,1232,Settings!$E$26)&amp;"","$",""),",","")),0)/IF(Settings!$D$27="Yes",G1232,1))</f>
        <v/>
      </c>
      <c r="J1232" s="11">
        <f>IF(A1232="","",F1232+H1232-I1232)</f>
        <v/>
      </c>
      <c r="K1232">
        <f>IF(A1232="","",IFERROR(IF(B1232="",NA(),MATCH(B1232,Products!$B$5:$B$204,0)),IFERROR(MATCH(A1232,Products!$A$5:$A$204,0),"")))</f>
        <v/>
      </c>
      <c r="L1232">
        <f>IF(A1232="","",IF(K1232="","⚠ not in Products",INDEX(Products!$A$5:$A$204,K1232)))</f>
        <v/>
      </c>
      <c r="M1232" s="11">
        <f>IF(A1232="","",J1232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1232+IFERROR(INDEX(Settings!$D$5:$D$9,MATCH("Shopify",Settings!$A$5:$A$9,0)),0)*D1232)</f>
        <v/>
      </c>
      <c r="N1232" s="11">
        <f>IF(A1232="","",IF(K1232="",0,D1232*INDEX(Products!$I$5:$I$204,K1232)))</f>
        <v/>
      </c>
      <c r="O1232" s="11">
        <f>IF(A1232="","",IF(K1232="",0,J1232*INDEX(Products!$H$5:$H$204,K1232)))</f>
        <v/>
      </c>
      <c r="P1232" s="11">
        <f>IF(A1232="","",J1232-M1232-N1232-O1232)</f>
        <v/>
      </c>
    </row>
    <row r="1233">
      <c r="A1233">
        <f>IFERROR(INDEX('Shopify Import'!$A:$CZ,1233,Settings!$E$20)&amp;"","")</f>
        <v/>
      </c>
      <c r="B1233">
        <f>IFERROR(INDEX('Shopify Import'!$A:$CZ,1233,Settings!$E$21)&amp;"","")</f>
        <v/>
      </c>
      <c r="C1233">
        <f>IFERROR(INDEX('Shopify Import'!$A:$CZ,1233,Settings!$E$22)&amp;"","")</f>
        <v/>
      </c>
      <c r="D1233">
        <f>IF(A1233="","",IFERROR(VALUE(SUBSTITUTE(SUBSTITUTE(INDEX('Shopify Import'!$A:$CZ,1233,Settings!$E$23)&amp;"","$",""),",","")),0))</f>
        <v/>
      </c>
      <c r="E1233" s="11">
        <f>IF(A1233="","",IFERROR(VALUE(SUBSTITUTE(SUBSTITUTE(INDEX('Shopify Import'!$A:$CZ,1233,Settings!$E$24)&amp;"","$",""),",","")),0))</f>
        <v/>
      </c>
      <c r="F1233" s="11">
        <f>IF(A1233="","",D1233*E1233)</f>
        <v/>
      </c>
      <c r="G1233">
        <f>IF(A1233="","",IF(C1233="",1,COUNTIF($C$2:$C$1501,C1233)))</f>
        <v/>
      </c>
      <c r="H1233" s="11">
        <f>IF(A1233="","",IFERROR(VALUE(SUBSTITUTE(SUBSTITUTE(INDEX('Shopify Import'!$A:$CZ,1233,Settings!$E$25)&amp;"","$",""),",","")),0)/IF(Settings!$D$27="Yes",G1233,1))</f>
        <v/>
      </c>
      <c r="I1233" s="11">
        <f>IF(A1233="","",IFERROR(VALUE(SUBSTITUTE(SUBSTITUTE(INDEX('Shopify Import'!$A:$CZ,1233,Settings!$E$26)&amp;"","$",""),",","")),0)/IF(Settings!$D$27="Yes",G1233,1))</f>
        <v/>
      </c>
      <c r="J1233" s="11">
        <f>IF(A1233="","",F1233+H1233-I1233)</f>
        <v/>
      </c>
      <c r="K1233">
        <f>IF(A1233="","",IFERROR(IF(B1233="",NA(),MATCH(B1233,Products!$B$5:$B$204,0)),IFERROR(MATCH(A1233,Products!$A$5:$A$204,0),"")))</f>
        <v/>
      </c>
      <c r="L1233">
        <f>IF(A1233="","",IF(K1233="","⚠ not in Products",INDEX(Products!$A$5:$A$204,K1233)))</f>
        <v/>
      </c>
      <c r="M1233" s="11">
        <f>IF(A1233="","",J1233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1233+IFERROR(INDEX(Settings!$D$5:$D$9,MATCH("Shopify",Settings!$A$5:$A$9,0)),0)*D1233)</f>
        <v/>
      </c>
      <c r="N1233" s="11">
        <f>IF(A1233="","",IF(K1233="",0,D1233*INDEX(Products!$I$5:$I$204,K1233)))</f>
        <v/>
      </c>
      <c r="O1233" s="11">
        <f>IF(A1233="","",IF(K1233="",0,J1233*INDEX(Products!$H$5:$H$204,K1233)))</f>
        <v/>
      </c>
      <c r="P1233" s="11">
        <f>IF(A1233="","",J1233-M1233-N1233-O1233)</f>
        <v/>
      </c>
    </row>
    <row r="1234">
      <c r="A1234">
        <f>IFERROR(INDEX('Shopify Import'!$A:$CZ,1234,Settings!$E$20)&amp;"","")</f>
        <v/>
      </c>
      <c r="B1234">
        <f>IFERROR(INDEX('Shopify Import'!$A:$CZ,1234,Settings!$E$21)&amp;"","")</f>
        <v/>
      </c>
      <c r="C1234">
        <f>IFERROR(INDEX('Shopify Import'!$A:$CZ,1234,Settings!$E$22)&amp;"","")</f>
        <v/>
      </c>
      <c r="D1234">
        <f>IF(A1234="","",IFERROR(VALUE(SUBSTITUTE(SUBSTITUTE(INDEX('Shopify Import'!$A:$CZ,1234,Settings!$E$23)&amp;"","$",""),",","")),0))</f>
        <v/>
      </c>
      <c r="E1234" s="11">
        <f>IF(A1234="","",IFERROR(VALUE(SUBSTITUTE(SUBSTITUTE(INDEX('Shopify Import'!$A:$CZ,1234,Settings!$E$24)&amp;"","$",""),",","")),0))</f>
        <v/>
      </c>
      <c r="F1234" s="11">
        <f>IF(A1234="","",D1234*E1234)</f>
        <v/>
      </c>
      <c r="G1234">
        <f>IF(A1234="","",IF(C1234="",1,COUNTIF($C$2:$C$1501,C1234)))</f>
        <v/>
      </c>
      <c r="H1234" s="11">
        <f>IF(A1234="","",IFERROR(VALUE(SUBSTITUTE(SUBSTITUTE(INDEX('Shopify Import'!$A:$CZ,1234,Settings!$E$25)&amp;"","$",""),",","")),0)/IF(Settings!$D$27="Yes",G1234,1))</f>
        <v/>
      </c>
      <c r="I1234" s="11">
        <f>IF(A1234="","",IFERROR(VALUE(SUBSTITUTE(SUBSTITUTE(INDEX('Shopify Import'!$A:$CZ,1234,Settings!$E$26)&amp;"","$",""),",","")),0)/IF(Settings!$D$27="Yes",G1234,1))</f>
        <v/>
      </c>
      <c r="J1234" s="11">
        <f>IF(A1234="","",F1234+H1234-I1234)</f>
        <v/>
      </c>
      <c r="K1234">
        <f>IF(A1234="","",IFERROR(IF(B1234="",NA(),MATCH(B1234,Products!$B$5:$B$204,0)),IFERROR(MATCH(A1234,Products!$A$5:$A$204,0),"")))</f>
        <v/>
      </c>
      <c r="L1234">
        <f>IF(A1234="","",IF(K1234="","⚠ not in Products",INDEX(Products!$A$5:$A$204,K1234)))</f>
        <v/>
      </c>
      <c r="M1234" s="11">
        <f>IF(A1234="","",J1234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1234+IFERROR(INDEX(Settings!$D$5:$D$9,MATCH("Shopify",Settings!$A$5:$A$9,0)),0)*D1234)</f>
        <v/>
      </c>
      <c r="N1234" s="11">
        <f>IF(A1234="","",IF(K1234="",0,D1234*INDEX(Products!$I$5:$I$204,K1234)))</f>
        <v/>
      </c>
      <c r="O1234" s="11">
        <f>IF(A1234="","",IF(K1234="",0,J1234*INDEX(Products!$H$5:$H$204,K1234)))</f>
        <v/>
      </c>
      <c r="P1234" s="11">
        <f>IF(A1234="","",J1234-M1234-N1234-O1234)</f>
        <v/>
      </c>
    </row>
    <row r="1235">
      <c r="A1235">
        <f>IFERROR(INDEX('Shopify Import'!$A:$CZ,1235,Settings!$E$20)&amp;"","")</f>
        <v/>
      </c>
      <c r="B1235">
        <f>IFERROR(INDEX('Shopify Import'!$A:$CZ,1235,Settings!$E$21)&amp;"","")</f>
        <v/>
      </c>
      <c r="C1235">
        <f>IFERROR(INDEX('Shopify Import'!$A:$CZ,1235,Settings!$E$22)&amp;"","")</f>
        <v/>
      </c>
      <c r="D1235">
        <f>IF(A1235="","",IFERROR(VALUE(SUBSTITUTE(SUBSTITUTE(INDEX('Shopify Import'!$A:$CZ,1235,Settings!$E$23)&amp;"","$",""),",","")),0))</f>
        <v/>
      </c>
      <c r="E1235" s="11">
        <f>IF(A1235="","",IFERROR(VALUE(SUBSTITUTE(SUBSTITUTE(INDEX('Shopify Import'!$A:$CZ,1235,Settings!$E$24)&amp;"","$",""),",","")),0))</f>
        <v/>
      </c>
      <c r="F1235" s="11">
        <f>IF(A1235="","",D1235*E1235)</f>
        <v/>
      </c>
      <c r="G1235">
        <f>IF(A1235="","",IF(C1235="",1,COUNTIF($C$2:$C$1501,C1235)))</f>
        <v/>
      </c>
      <c r="H1235" s="11">
        <f>IF(A1235="","",IFERROR(VALUE(SUBSTITUTE(SUBSTITUTE(INDEX('Shopify Import'!$A:$CZ,1235,Settings!$E$25)&amp;"","$",""),",","")),0)/IF(Settings!$D$27="Yes",G1235,1))</f>
        <v/>
      </c>
      <c r="I1235" s="11">
        <f>IF(A1235="","",IFERROR(VALUE(SUBSTITUTE(SUBSTITUTE(INDEX('Shopify Import'!$A:$CZ,1235,Settings!$E$26)&amp;"","$",""),",","")),0)/IF(Settings!$D$27="Yes",G1235,1))</f>
        <v/>
      </c>
      <c r="J1235" s="11">
        <f>IF(A1235="","",F1235+H1235-I1235)</f>
        <v/>
      </c>
      <c r="K1235">
        <f>IF(A1235="","",IFERROR(IF(B1235="",NA(),MATCH(B1235,Products!$B$5:$B$204,0)),IFERROR(MATCH(A1235,Products!$A$5:$A$204,0),"")))</f>
        <v/>
      </c>
      <c r="L1235">
        <f>IF(A1235="","",IF(K1235="","⚠ not in Products",INDEX(Products!$A$5:$A$204,K1235)))</f>
        <v/>
      </c>
      <c r="M1235" s="11">
        <f>IF(A1235="","",J1235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1235+IFERROR(INDEX(Settings!$D$5:$D$9,MATCH("Shopify",Settings!$A$5:$A$9,0)),0)*D1235)</f>
        <v/>
      </c>
      <c r="N1235" s="11">
        <f>IF(A1235="","",IF(K1235="",0,D1235*INDEX(Products!$I$5:$I$204,K1235)))</f>
        <v/>
      </c>
      <c r="O1235" s="11">
        <f>IF(A1235="","",IF(K1235="",0,J1235*INDEX(Products!$H$5:$H$204,K1235)))</f>
        <v/>
      </c>
      <c r="P1235" s="11">
        <f>IF(A1235="","",J1235-M1235-N1235-O1235)</f>
        <v/>
      </c>
    </row>
    <row r="1236">
      <c r="A1236">
        <f>IFERROR(INDEX('Shopify Import'!$A:$CZ,1236,Settings!$E$20)&amp;"","")</f>
        <v/>
      </c>
      <c r="B1236">
        <f>IFERROR(INDEX('Shopify Import'!$A:$CZ,1236,Settings!$E$21)&amp;"","")</f>
        <v/>
      </c>
      <c r="C1236">
        <f>IFERROR(INDEX('Shopify Import'!$A:$CZ,1236,Settings!$E$22)&amp;"","")</f>
        <v/>
      </c>
      <c r="D1236">
        <f>IF(A1236="","",IFERROR(VALUE(SUBSTITUTE(SUBSTITUTE(INDEX('Shopify Import'!$A:$CZ,1236,Settings!$E$23)&amp;"","$",""),",","")),0))</f>
        <v/>
      </c>
      <c r="E1236" s="11">
        <f>IF(A1236="","",IFERROR(VALUE(SUBSTITUTE(SUBSTITUTE(INDEX('Shopify Import'!$A:$CZ,1236,Settings!$E$24)&amp;"","$",""),",","")),0))</f>
        <v/>
      </c>
      <c r="F1236" s="11">
        <f>IF(A1236="","",D1236*E1236)</f>
        <v/>
      </c>
      <c r="G1236">
        <f>IF(A1236="","",IF(C1236="",1,COUNTIF($C$2:$C$1501,C1236)))</f>
        <v/>
      </c>
      <c r="H1236" s="11">
        <f>IF(A1236="","",IFERROR(VALUE(SUBSTITUTE(SUBSTITUTE(INDEX('Shopify Import'!$A:$CZ,1236,Settings!$E$25)&amp;"","$",""),",","")),0)/IF(Settings!$D$27="Yes",G1236,1))</f>
        <v/>
      </c>
      <c r="I1236" s="11">
        <f>IF(A1236="","",IFERROR(VALUE(SUBSTITUTE(SUBSTITUTE(INDEX('Shopify Import'!$A:$CZ,1236,Settings!$E$26)&amp;"","$",""),",","")),0)/IF(Settings!$D$27="Yes",G1236,1))</f>
        <v/>
      </c>
      <c r="J1236" s="11">
        <f>IF(A1236="","",F1236+H1236-I1236)</f>
        <v/>
      </c>
      <c r="K1236">
        <f>IF(A1236="","",IFERROR(IF(B1236="",NA(),MATCH(B1236,Products!$B$5:$B$204,0)),IFERROR(MATCH(A1236,Products!$A$5:$A$204,0),"")))</f>
        <v/>
      </c>
      <c r="L1236">
        <f>IF(A1236="","",IF(K1236="","⚠ not in Products",INDEX(Products!$A$5:$A$204,K1236)))</f>
        <v/>
      </c>
      <c r="M1236" s="11">
        <f>IF(A1236="","",J1236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1236+IFERROR(INDEX(Settings!$D$5:$D$9,MATCH("Shopify",Settings!$A$5:$A$9,0)),0)*D1236)</f>
        <v/>
      </c>
      <c r="N1236" s="11">
        <f>IF(A1236="","",IF(K1236="",0,D1236*INDEX(Products!$I$5:$I$204,K1236)))</f>
        <v/>
      </c>
      <c r="O1236" s="11">
        <f>IF(A1236="","",IF(K1236="",0,J1236*INDEX(Products!$H$5:$H$204,K1236)))</f>
        <v/>
      </c>
      <c r="P1236" s="11">
        <f>IF(A1236="","",J1236-M1236-N1236-O1236)</f>
        <v/>
      </c>
    </row>
    <row r="1237">
      <c r="A1237">
        <f>IFERROR(INDEX('Shopify Import'!$A:$CZ,1237,Settings!$E$20)&amp;"","")</f>
        <v/>
      </c>
      <c r="B1237">
        <f>IFERROR(INDEX('Shopify Import'!$A:$CZ,1237,Settings!$E$21)&amp;"","")</f>
        <v/>
      </c>
      <c r="C1237">
        <f>IFERROR(INDEX('Shopify Import'!$A:$CZ,1237,Settings!$E$22)&amp;"","")</f>
        <v/>
      </c>
      <c r="D1237">
        <f>IF(A1237="","",IFERROR(VALUE(SUBSTITUTE(SUBSTITUTE(INDEX('Shopify Import'!$A:$CZ,1237,Settings!$E$23)&amp;"","$",""),",","")),0))</f>
        <v/>
      </c>
      <c r="E1237" s="11">
        <f>IF(A1237="","",IFERROR(VALUE(SUBSTITUTE(SUBSTITUTE(INDEX('Shopify Import'!$A:$CZ,1237,Settings!$E$24)&amp;"","$",""),",","")),0))</f>
        <v/>
      </c>
      <c r="F1237" s="11">
        <f>IF(A1237="","",D1237*E1237)</f>
        <v/>
      </c>
      <c r="G1237">
        <f>IF(A1237="","",IF(C1237="",1,COUNTIF($C$2:$C$1501,C1237)))</f>
        <v/>
      </c>
      <c r="H1237" s="11">
        <f>IF(A1237="","",IFERROR(VALUE(SUBSTITUTE(SUBSTITUTE(INDEX('Shopify Import'!$A:$CZ,1237,Settings!$E$25)&amp;"","$",""),",","")),0)/IF(Settings!$D$27="Yes",G1237,1))</f>
        <v/>
      </c>
      <c r="I1237" s="11">
        <f>IF(A1237="","",IFERROR(VALUE(SUBSTITUTE(SUBSTITUTE(INDEX('Shopify Import'!$A:$CZ,1237,Settings!$E$26)&amp;"","$",""),",","")),0)/IF(Settings!$D$27="Yes",G1237,1))</f>
        <v/>
      </c>
      <c r="J1237" s="11">
        <f>IF(A1237="","",F1237+H1237-I1237)</f>
        <v/>
      </c>
      <c r="K1237">
        <f>IF(A1237="","",IFERROR(IF(B1237="",NA(),MATCH(B1237,Products!$B$5:$B$204,0)),IFERROR(MATCH(A1237,Products!$A$5:$A$204,0),"")))</f>
        <v/>
      </c>
      <c r="L1237">
        <f>IF(A1237="","",IF(K1237="","⚠ not in Products",INDEX(Products!$A$5:$A$204,K1237)))</f>
        <v/>
      </c>
      <c r="M1237" s="11">
        <f>IF(A1237="","",J1237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1237+IFERROR(INDEX(Settings!$D$5:$D$9,MATCH("Shopify",Settings!$A$5:$A$9,0)),0)*D1237)</f>
        <v/>
      </c>
      <c r="N1237" s="11">
        <f>IF(A1237="","",IF(K1237="",0,D1237*INDEX(Products!$I$5:$I$204,K1237)))</f>
        <v/>
      </c>
      <c r="O1237" s="11">
        <f>IF(A1237="","",IF(K1237="",0,J1237*INDEX(Products!$H$5:$H$204,K1237)))</f>
        <v/>
      </c>
      <c r="P1237" s="11">
        <f>IF(A1237="","",J1237-M1237-N1237-O1237)</f>
        <v/>
      </c>
    </row>
    <row r="1238">
      <c r="A1238">
        <f>IFERROR(INDEX('Shopify Import'!$A:$CZ,1238,Settings!$E$20)&amp;"","")</f>
        <v/>
      </c>
      <c r="B1238">
        <f>IFERROR(INDEX('Shopify Import'!$A:$CZ,1238,Settings!$E$21)&amp;"","")</f>
        <v/>
      </c>
      <c r="C1238">
        <f>IFERROR(INDEX('Shopify Import'!$A:$CZ,1238,Settings!$E$22)&amp;"","")</f>
        <v/>
      </c>
      <c r="D1238">
        <f>IF(A1238="","",IFERROR(VALUE(SUBSTITUTE(SUBSTITUTE(INDEX('Shopify Import'!$A:$CZ,1238,Settings!$E$23)&amp;"","$",""),",","")),0))</f>
        <v/>
      </c>
      <c r="E1238" s="11">
        <f>IF(A1238="","",IFERROR(VALUE(SUBSTITUTE(SUBSTITUTE(INDEX('Shopify Import'!$A:$CZ,1238,Settings!$E$24)&amp;"","$",""),",","")),0))</f>
        <v/>
      </c>
      <c r="F1238" s="11">
        <f>IF(A1238="","",D1238*E1238)</f>
        <v/>
      </c>
      <c r="G1238">
        <f>IF(A1238="","",IF(C1238="",1,COUNTIF($C$2:$C$1501,C1238)))</f>
        <v/>
      </c>
      <c r="H1238" s="11">
        <f>IF(A1238="","",IFERROR(VALUE(SUBSTITUTE(SUBSTITUTE(INDEX('Shopify Import'!$A:$CZ,1238,Settings!$E$25)&amp;"","$",""),",","")),0)/IF(Settings!$D$27="Yes",G1238,1))</f>
        <v/>
      </c>
      <c r="I1238" s="11">
        <f>IF(A1238="","",IFERROR(VALUE(SUBSTITUTE(SUBSTITUTE(INDEX('Shopify Import'!$A:$CZ,1238,Settings!$E$26)&amp;"","$",""),",","")),0)/IF(Settings!$D$27="Yes",G1238,1))</f>
        <v/>
      </c>
      <c r="J1238" s="11">
        <f>IF(A1238="","",F1238+H1238-I1238)</f>
        <v/>
      </c>
      <c r="K1238">
        <f>IF(A1238="","",IFERROR(IF(B1238="",NA(),MATCH(B1238,Products!$B$5:$B$204,0)),IFERROR(MATCH(A1238,Products!$A$5:$A$204,0),"")))</f>
        <v/>
      </c>
      <c r="L1238">
        <f>IF(A1238="","",IF(K1238="","⚠ not in Products",INDEX(Products!$A$5:$A$204,K1238)))</f>
        <v/>
      </c>
      <c r="M1238" s="11">
        <f>IF(A1238="","",J1238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1238+IFERROR(INDEX(Settings!$D$5:$D$9,MATCH("Shopify",Settings!$A$5:$A$9,0)),0)*D1238)</f>
        <v/>
      </c>
      <c r="N1238" s="11">
        <f>IF(A1238="","",IF(K1238="",0,D1238*INDEX(Products!$I$5:$I$204,K1238)))</f>
        <v/>
      </c>
      <c r="O1238" s="11">
        <f>IF(A1238="","",IF(K1238="",0,J1238*INDEX(Products!$H$5:$H$204,K1238)))</f>
        <v/>
      </c>
      <c r="P1238" s="11">
        <f>IF(A1238="","",J1238-M1238-N1238-O1238)</f>
        <v/>
      </c>
    </row>
    <row r="1239">
      <c r="A1239">
        <f>IFERROR(INDEX('Shopify Import'!$A:$CZ,1239,Settings!$E$20)&amp;"","")</f>
        <v/>
      </c>
      <c r="B1239">
        <f>IFERROR(INDEX('Shopify Import'!$A:$CZ,1239,Settings!$E$21)&amp;"","")</f>
        <v/>
      </c>
      <c r="C1239">
        <f>IFERROR(INDEX('Shopify Import'!$A:$CZ,1239,Settings!$E$22)&amp;"","")</f>
        <v/>
      </c>
      <c r="D1239">
        <f>IF(A1239="","",IFERROR(VALUE(SUBSTITUTE(SUBSTITUTE(INDEX('Shopify Import'!$A:$CZ,1239,Settings!$E$23)&amp;"","$",""),",","")),0))</f>
        <v/>
      </c>
      <c r="E1239" s="11">
        <f>IF(A1239="","",IFERROR(VALUE(SUBSTITUTE(SUBSTITUTE(INDEX('Shopify Import'!$A:$CZ,1239,Settings!$E$24)&amp;"","$",""),",","")),0))</f>
        <v/>
      </c>
      <c r="F1239" s="11">
        <f>IF(A1239="","",D1239*E1239)</f>
        <v/>
      </c>
      <c r="G1239">
        <f>IF(A1239="","",IF(C1239="",1,COUNTIF($C$2:$C$1501,C1239)))</f>
        <v/>
      </c>
      <c r="H1239" s="11">
        <f>IF(A1239="","",IFERROR(VALUE(SUBSTITUTE(SUBSTITUTE(INDEX('Shopify Import'!$A:$CZ,1239,Settings!$E$25)&amp;"","$",""),",","")),0)/IF(Settings!$D$27="Yes",G1239,1))</f>
        <v/>
      </c>
      <c r="I1239" s="11">
        <f>IF(A1239="","",IFERROR(VALUE(SUBSTITUTE(SUBSTITUTE(INDEX('Shopify Import'!$A:$CZ,1239,Settings!$E$26)&amp;"","$",""),",","")),0)/IF(Settings!$D$27="Yes",G1239,1))</f>
        <v/>
      </c>
      <c r="J1239" s="11">
        <f>IF(A1239="","",F1239+H1239-I1239)</f>
        <v/>
      </c>
      <c r="K1239">
        <f>IF(A1239="","",IFERROR(IF(B1239="",NA(),MATCH(B1239,Products!$B$5:$B$204,0)),IFERROR(MATCH(A1239,Products!$A$5:$A$204,0),"")))</f>
        <v/>
      </c>
      <c r="L1239">
        <f>IF(A1239="","",IF(K1239="","⚠ not in Products",INDEX(Products!$A$5:$A$204,K1239)))</f>
        <v/>
      </c>
      <c r="M1239" s="11">
        <f>IF(A1239="","",J1239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1239+IFERROR(INDEX(Settings!$D$5:$D$9,MATCH("Shopify",Settings!$A$5:$A$9,0)),0)*D1239)</f>
        <v/>
      </c>
      <c r="N1239" s="11">
        <f>IF(A1239="","",IF(K1239="",0,D1239*INDEX(Products!$I$5:$I$204,K1239)))</f>
        <v/>
      </c>
      <c r="O1239" s="11">
        <f>IF(A1239="","",IF(K1239="",0,J1239*INDEX(Products!$H$5:$H$204,K1239)))</f>
        <v/>
      </c>
      <c r="P1239" s="11">
        <f>IF(A1239="","",J1239-M1239-N1239-O1239)</f>
        <v/>
      </c>
    </row>
    <row r="1240">
      <c r="A1240">
        <f>IFERROR(INDEX('Shopify Import'!$A:$CZ,1240,Settings!$E$20)&amp;"","")</f>
        <v/>
      </c>
      <c r="B1240">
        <f>IFERROR(INDEX('Shopify Import'!$A:$CZ,1240,Settings!$E$21)&amp;"","")</f>
        <v/>
      </c>
      <c r="C1240">
        <f>IFERROR(INDEX('Shopify Import'!$A:$CZ,1240,Settings!$E$22)&amp;"","")</f>
        <v/>
      </c>
      <c r="D1240">
        <f>IF(A1240="","",IFERROR(VALUE(SUBSTITUTE(SUBSTITUTE(INDEX('Shopify Import'!$A:$CZ,1240,Settings!$E$23)&amp;"","$",""),",","")),0))</f>
        <v/>
      </c>
      <c r="E1240" s="11">
        <f>IF(A1240="","",IFERROR(VALUE(SUBSTITUTE(SUBSTITUTE(INDEX('Shopify Import'!$A:$CZ,1240,Settings!$E$24)&amp;"","$",""),",","")),0))</f>
        <v/>
      </c>
      <c r="F1240" s="11">
        <f>IF(A1240="","",D1240*E1240)</f>
        <v/>
      </c>
      <c r="G1240">
        <f>IF(A1240="","",IF(C1240="",1,COUNTIF($C$2:$C$1501,C1240)))</f>
        <v/>
      </c>
      <c r="H1240" s="11">
        <f>IF(A1240="","",IFERROR(VALUE(SUBSTITUTE(SUBSTITUTE(INDEX('Shopify Import'!$A:$CZ,1240,Settings!$E$25)&amp;"","$",""),",","")),0)/IF(Settings!$D$27="Yes",G1240,1))</f>
        <v/>
      </c>
      <c r="I1240" s="11">
        <f>IF(A1240="","",IFERROR(VALUE(SUBSTITUTE(SUBSTITUTE(INDEX('Shopify Import'!$A:$CZ,1240,Settings!$E$26)&amp;"","$",""),",","")),0)/IF(Settings!$D$27="Yes",G1240,1))</f>
        <v/>
      </c>
      <c r="J1240" s="11">
        <f>IF(A1240="","",F1240+H1240-I1240)</f>
        <v/>
      </c>
      <c r="K1240">
        <f>IF(A1240="","",IFERROR(IF(B1240="",NA(),MATCH(B1240,Products!$B$5:$B$204,0)),IFERROR(MATCH(A1240,Products!$A$5:$A$204,0),"")))</f>
        <v/>
      </c>
      <c r="L1240">
        <f>IF(A1240="","",IF(K1240="","⚠ not in Products",INDEX(Products!$A$5:$A$204,K1240)))</f>
        <v/>
      </c>
      <c r="M1240" s="11">
        <f>IF(A1240="","",J1240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1240+IFERROR(INDEX(Settings!$D$5:$D$9,MATCH("Shopify",Settings!$A$5:$A$9,0)),0)*D1240)</f>
        <v/>
      </c>
      <c r="N1240" s="11">
        <f>IF(A1240="","",IF(K1240="",0,D1240*INDEX(Products!$I$5:$I$204,K1240)))</f>
        <v/>
      </c>
      <c r="O1240" s="11">
        <f>IF(A1240="","",IF(K1240="",0,J1240*INDEX(Products!$H$5:$H$204,K1240)))</f>
        <v/>
      </c>
      <c r="P1240" s="11">
        <f>IF(A1240="","",J1240-M1240-N1240-O1240)</f>
        <v/>
      </c>
    </row>
    <row r="1241">
      <c r="A1241">
        <f>IFERROR(INDEX('Shopify Import'!$A:$CZ,1241,Settings!$E$20)&amp;"","")</f>
        <v/>
      </c>
      <c r="B1241">
        <f>IFERROR(INDEX('Shopify Import'!$A:$CZ,1241,Settings!$E$21)&amp;"","")</f>
        <v/>
      </c>
      <c r="C1241">
        <f>IFERROR(INDEX('Shopify Import'!$A:$CZ,1241,Settings!$E$22)&amp;"","")</f>
        <v/>
      </c>
      <c r="D1241">
        <f>IF(A1241="","",IFERROR(VALUE(SUBSTITUTE(SUBSTITUTE(INDEX('Shopify Import'!$A:$CZ,1241,Settings!$E$23)&amp;"","$",""),",","")),0))</f>
        <v/>
      </c>
      <c r="E1241" s="11">
        <f>IF(A1241="","",IFERROR(VALUE(SUBSTITUTE(SUBSTITUTE(INDEX('Shopify Import'!$A:$CZ,1241,Settings!$E$24)&amp;"","$",""),",","")),0))</f>
        <v/>
      </c>
      <c r="F1241" s="11">
        <f>IF(A1241="","",D1241*E1241)</f>
        <v/>
      </c>
      <c r="G1241">
        <f>IF(A1241="","",IF(C1241="",1,COUNTIF($C$2:$C$1501,C1241)))</f>
        <v/>
      </c>
      <c r="H1241" s="11">
        <f>IF(A1241="","",IFERROR(VALUE(SUBSTITUTE(SUBSTITUTE(INDEX('Shopify Import'!$A:$CZ,1241,Settings!$E$25)&amp;"","$",""),",","")),0)/IF(Settings!$D$27="Yes",G1241,1))</f>
        <v/>
      </c>
      <c r="I1241" s="11">
        <f>IF(A1241="","",IFERROR(VALUE(SUBSTITUTE(SUBSTITUTE(INDEX('Shopify Import'!$A:$CZ,1241,Settings!$E$26)&amp;"","$",""),",","")),0)/IF(Settings!$D$27="Yes",G1241,1))</f>
        <v/>
      </c>
      <c r="J1241" s="11">
        <f>IF(A1241="","",F1241+H1241-I1241)</f>
        <v/>
      </c>
      <c r="K1241">
        <f>IF(A1241="","",IFERROR(IF(B1241="",NA(),MATCH(B1241,Products!$B$5:$B$204,0)),IFERROR(MATCH(A1241,Products!$A$5:$A$204,0),"")))</f>
        <v/>
      </c>
      <c r="L1241">
        <f>IF(A1241="","",IF(K1241="","⚠ not in Products",INDEX(Products!$A$5:$A$204,K1241)))</f>
        <v/>
      </c>
      <c r="M1241" s="11">
        <f>IF(A1241="","",J1241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1241+IFERROR(INDEX(Settings!$D$5:$D$9,MATCH("Shopify",Settings!$A$5:$A$9,0)),0)*D1241)</f>
        <v/>
      </c>
      <c r="N1241" s="11">
        <f>IF(A1241="","",IF(K1241="",0,D1241*INDEX(Products!$I$5:$I$204,K1241)))</f>
        <v/>
      </c>
      <c r="O1241" s="11">
        <f>IF(A1241="","",IF(K1241="",0,J1241*INDEX(Products!$H$5:$H$204,K1241)))</f>
        <v/>
      </c>
      <c r="P1241" s="11">
        <f>IF(A1241="","",J1241-M1241-N1241-O1241)</f>
        <v/>
      </c>
    </row>
    <row r="1242">
      <c r="A1242">
        <f>IFERROR(INDEX('Shopify Import'!$A:$CZ,1242,Settings!$E$20)&amp;"","")</f>
        <v/>
      </c>
      <c r="B1242">
        <f>IFERROR(INDEX('Shopify Import'!$A:$CZ,1242,Settings!$E$21)&amp;"","")</f>
        <v/>
      </c>
      <c r="C1242">
        <f>IFERROR(INDEX('Shopify Import'!$A:$CZ,1242,Settings!$E$22)&amp;"","")</f>
        <v/>
      </c>
      <c r="D1242">
        <f>IF(A1242="","",IFERROR(VALUE(SUBSTITUTE(SUBSTITUTE(INDEX('Shopify Import'!$A:$CZ,1242,Settings!$E$23)&amp;"","$",""),",","")),0))</f>
        <v/>
      </c>
      <c r="E1242" s="11">
        <f>IF(A1242="","",IFERROR(VALUE(SUBSTITUTE(SUBSTITUTE(INDEX('Shopify Import'!$A:$CZ,1242,Settings!$E$24)&amp;"","$",""),",","")),0))</f>
        <v/>
      </c>
      <c r="F1242" s="11">
        <f>IF(A1242="","",D1242*E1242)</f>
        <v/>
      </c>
      <c r="G1242">
        <f>IF(A1242="","",IF(C1242="",1,COUNTIF($C$2:$C$1501,C1242)))</f>
        <v/>
      </c>
      <c r="H1242" s="11">
        <f>IF(A1242="","",IFERROR(VALUE(SUBSTITUTE(SUBSTITUTE(INDEX('Shopify Import'!$A:$CZ,1242,Settings!$E$25)&amp;"","$",""),",","")),0)/IF(Settings!$D$27="Yes",G1242,1))</f>
        <v/>
      </c>
      <c r="I1242" s="11">
        <f>IF(A1242="","",IFERROR(VALUE(SUBSTITUTE(SUBSTITUTE(INDEX('Shopify Import'!$A:$CZ,1242,Settings!$E$26)&amp;"","$",""),",","")),0)/IF(Settings!$D$27="Yes",G1242,1))</f>
        <v/>
      </c>
      <c r="J1242" s="11">
        <f>IF(A1242="","",F1242+H1242-I1242)</f>
        <v/>
      </c>
      <c r="K1242">
        <f>IF(A1242="","",IFERROR(IF(B1242="",NA(),MATCH(B1242,Products!$B$5:$B$204,0)),IFERROR(MATCH(A1242,Products!$A$5:$A$204,0),"")))</f>
        <v/>
      </c>
      <c r="L1242">
        <f>IF(A1242="","",IF(K1242="","⚠ not in Products",INDEX(Products!$A$5:$A$204,K1242)))</f>
        <v/>
      </c>
      <c r="M1242" s="11">
        <f>IF(A1242="","",J1242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1242+IFERROR(INDEX(Settings!$D$5:$D$9,MATCH("Shopify",Settings!$A$5:$A$9,0)),0)*D1242)</f>
        <v/>
      </c>
      <c r="N1242" s="11">
        <f>IF(A1242="","",IF(K1242="",0,D1242*INDEX(Products!$I$5:$I$204,K1242)))</f>
        <v/>
      </c>
      <c r="O1242" s="11">
        <f>IF(A1242="","",IF(K1242="",0,J1242*INDEX(Products!$H$5:$H$204,K1242)))</f>
        <v/>
      </c>
      <c r="P1242" s="11">
        <f>IF(A1242="","",J1242-M1242-N1242-O1242)</f>
        <v/>
      </c>
    </row>
    <row r="1243">
      <c r="A1243">
        <f>IFERROR(INDEX('Shopify Import'!$A:$CZ,1243,Settings!$E$20)&amp;"","")</f>
        <v/>
      </c>
      <c r="B1243">
        <f>IFERROR(INDEX('Shopify Import'!$A:$CZ,1243,Settings!$E$21)&amp;"","")</f>
        <v/>
      </c>
      <c r="C1243">
        <f>IFERROR(INDEX('Shopify Import'!$A:$CZ,1243,Settings!$E$22)&amp;"","")</f>
        <v/>
      </c>
      <c r="D1243">
        <f>IF(A1243="","",IFERROR(VALUE(SUBSTITUTE(SUBSTITUTE(INDEX('Shopify Import'!$A:$CZ,1243,Settings!$E$23)&amp;"","$",""),",","")),0))</f>
        <v/>
      </c>
      <c r="E1243" s="11">
        <f>IF(A1243="","",IFERROR(VALUE(SUBSTITUTE(SUBSTITUTE(INDEX('Shopify Import'!$A:$CZ,1243,Settings!$E$24)&amp;"","$",""),",","")),0))</f>
        <v/>
      </c>
      <c r="F1243" s="11">
        <f>IF(A1243="","",D1243*E1243)</f>
        <v/>
      </c>
      <c r="G1243">
        <f>IF(A1243="","",IF(C1243="",1,COUNTIF($C$2:$C$1501,C1243)))</f>
        <v/>
      </c>
      <c r="H1243" s="11">
        <f>IF(A1243="","",IFERROR(VALUE(SUBSTITUTE(SUBSTITUTE(INDEX('Shopify Import'!$A:$CZ,1243,Settings!$E$25)&amp;"","$",""),",","")),0)/IF(Settings!$D$27="Yes",G1243,1))</f>
        <v/>
      </c>
      <c r="I1243" s="11">
        <f>IF(A1243="","",IFERROR(VALUE(SUBSTITUTE(SUBSTITUTE(INDEX('Shopify Import'!$A:$CZ,1243,Settings!$E$26)&amp;"","$",""),",","")),0)/IF(Settings!$D$27="Yes",G1243,1))</f>
        <v/>
      </c>
      <c r="J1243" s="11">
        <f>IF(A1243="","",F1243+H1243-I1243)</f>
        <v/>
      </c>
      <c r="K1243">
        <f>IF(A1243="","",IFERROR(IF(B1243="",NA(),MATCH(B1243,Products!$B$5:$B$204,0)),IFERROR(MATCH(A1243,Products!$A$5:$A$204,0),"")))</f>
        <v/>
      </c>
      <c r="L1243">
        <f>IF(A1243="","",IF(K1243="","⚠ not in Products",INDEX(Products!$A$5:$A$204,K1243)))</f>
        <v/>
      </c>
      <c r="M1243" s="11">
        <f>IF(A1243="","",J1243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1243+IFERROR(INDEX(Settings!$D$5:$D$9,MATCH("Shopify",Settings!$A$5:$A$9,0)),0)*D1243)</f>
        <v/>
      </c>
      <c r="N1243" s="11">
        <f>IF(A1243="","",IF(K1243="",0,D1243*INDEX(Products!$I$5:$I$204,K1243)))</f>
        <v/>
      </c>
      <c r="O1243" s="11">
        <f>IF(A1243="","",IF(K1243="",0,J1243*INDEX(Products!$H$5:$H$204,K1243)))</f>
        <v/>
      </c>
      <c r="P1243" s="11">
        <f>IF(A1243="","",J1243-M1243-N1243-O1243)</f>
        <v/>
      </c>
    </row>
    <row r="1244">
      <c r="A1244">
        <f>IFERROR(INDEX('Shopify Import'!$A:$CZ,1244,Settings!$E$20)&amp;"","")</f>
        <v/>
      </c>
      <c r="B1244">
        <f>IFERROR(INDEX('Shopify Import'!$A:$CZ,1244,Settings!$E$21)&amp;"","")</f>
        <v/>
      </c>
      <c r="C1244">
        <f>IFERROR(INDEX('Shopify Import'!$A:$CZ,1244,Settings!$E$22)&amp;"","")</f>
        <v/>
      </c>
      <c r="D1244">
        <f>IF(A1244="","",IFERROR(VALUE(SUBSTITUTE(SUBSTITUTE(INDEX('Shopify Import'!$A:$CZ,1244,Settings!$E$23)&amp;"","$",""),",","")),0))</f>
        <v/>
      </c>
      <c r="E1244" s="11">
        <f>IF(A1244="","",IFERROR(VALUE(SUBSTITUTE(SUBSTITUTE(INDEX('Shopify Import'!$A:$CZ,1244,Settings!$E$24)&amp;"","$",""),",","")),0))</f>
        <v/>
      </c>
      <c r="F1244" s="11">
        <f>IF(A1244="","",D1244*E1244)</f>
        <v/>
      </c>
      <c r="G1244">
        <f>IF(A1244="","",IF(C1244="",1,COUNTIF($C$2:$C$1501,C1244)))</f>
        <v/>
      </c>
      <c r="H1244" s="11">
        <f>IF(A1244="","",IFERROR(VALUE(SUBSTITUTE(SUBSTITUTE(INDEX('Shopify Import'!$A:$CZ,1244,Settings!$E$25)&amp;"","$",""),",","")),0)/IF(Settings!$D$27="Yes",G1244,1))</f>
        <v/>
      </c>
      <c r="I1244" s="11">
        <f>IF(A1244="","",IFERROR(VALUE(SUBSTITUTE(SUBSTITUTE(INDEX('Shopify Import'!$A:$CZ,1244,Settings!$E$26)&amp;"","$",""),",","")),0)/IF(Settings!$D$27="Yes",G1244,1))</f>
        <v/>
      </c>
      <c r="J1244" s="11">
        <f>IF(A1244="","",F1244+H1244-I1244)</f>
        <v/>
      </c>
      <c r="K1244">
        <f>IF(A1244="","",IFERROR(IF(B1244="",NA(),MATCH(B1244,Products!$B$5:$B$204,0)),IFERROR(MATCH(A1244,Products!$A$5:$A$204,0),"")))</f>
        <v/>
      </c>
      <c r="L1244">
        <f>IF(A1244="","",IF(K1244="","⚠ not in Products",INDEX(Products!$A$5:$A$204,K1244)))</f>
        <v/>
      </c>
      <c r="M1244" s="11">
        <f>IF(A1244="","",J1244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1244+IFERROR(INDEX(Settings!$D$5:$D$9,MATCH("Shopify",Settings!$A$5:$A$9,0)),0)*D1244)</f>
        <v/>
      </c>
      <c r="N1244" s="11">
        <f>IF(A1244="","",IF(K1244="",0,D1244*INDEX(Products!$I$5:$I$204,K1244)))</f>
        <v/>
      </c>
      <c r="O1244" s="11">
        <f>IF(A1244="","",IF(K1244="",0,J1244*INDEX(Products!$H$5:$H$204,K1244)))</f>
        <v/>
      </c>
      <c r="P1244" s="11">
        <f>IF(A1244="","",J1244-M1244-N1244-O1244)</f>
        <v/>
      </c>
    </row>
    <row r="1245">
      <c r="A1245">
        <f>IFERROR(INDEX('Shopify Import'!$A:$CZ,1245,Settings!$E$20)&amp;"","")</f>
        <v/>
      </c>
      <c r="B1245">
        <f>IFERROR(INDEX('Shopify Import'!$A:$CZ,1245,Settings!$E$21)&amp;"","")</f>
        <v/>
      </c>
      <c r="C1245">
        <f>IFERROR(INDEX('Shopify Import'!$A:$CZ,1245,Settings!$E$22)&amp;"","")</f>
        <v/>
      </c>
      <c r="D1245">
        <f>IF(A1245="","",IFERROR(VALUE(SUBSTITUTE(SUBSTITUTE(INDEX('Shopify Import'!$A:$CZ,1245,Settings!$E$23)&amp;"","$",""),",","")),0))</f>
        <v/>
      </c>
      <c r="E1245" s="11">
        <f>IF(A1245="","",IFERROR(VALUE(SUBSTITUTE(SUBSTITUTE(INDEX('Shopify Import'!$A:$CZ,1245,Settings!$E$24)&amp;"","$",""),",","")),0))</f>
        <v/>
      </c>
      <c r="F1245" s="11">
        <f>IF(A1245="","",D1245*E1245)</f>
        <v/>
      </c>
      <c r="G1245">
        <f>IF(A1245="","",IF(C1245="",1,COUNTIF($C$2:$C$1501,C1245)))</f>
        <v/>
      </c>
      <c r="H1245" s="11">
        <f>IF(A1245="","",IFERROR(VALUE(SUBSTITUTE(SUBSTITUTE(INDEX('Shopify Import'!$A:$CZ,1245,Settings!$E$25)&amp;"","$",""),",","")),0)/IF(Settings!$D$27="Yes",G1245,1))</f>
        <v/>
      </c>
      <c r="I1245" s="11">
        <f>IF(A1245="","",IFERROR(VALUE(SUBSTITUTE(SUBSTITUTE(INDEX('Shopify Import'!$A:$CZ,1245,Settings!$E$26)&amp;"","$",""),",","")),0)/IF(Settings!$D$27="Yes",G1245,1))</f>
        <v/>
      </c>
      <c r="J1245" s="11">
        <f>IF(A1245="","",F1245+H1245-I1245)</f>
        <v/>
      </c>
      <c r="K1245">
        <f>IF(A1245="","",IFERROR(IF(B1245="",NA(),MATCH(B1245,Products!$B$5:$B$204,0)),IFERROR(MATCH(A1245,Products!$A$5:$A$204,0),"")))</f>
        <v/>
      </c>
      <c r="L1245">
        <f>IF(A1245="","",IF(K1245="","⚠ not in Products",INDEX(Products!$A$5:$A$204,K1245)))</f>
        <v/>
      </c>
      <c r="M1245" s="11">
        <f>IF(A1245="","",J1245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1245+IFERROR(INDEX(Settings!$D$5:$D$9,MATCH("Shopify",Settings!$A$5:$A$9,0)),0)*D1245)</f>
        <v/>
      </c>
      <c r="N1245" s="11">
        <f>IF(A1245="","",IF(K1245="",0,D1245*INDEX(Products!$I$5:$I$204,K1245)))</f>
        <v/>
      </c>
      <c r="O1245" s="11">
        <f>IF(A1245="","",IF(K1245="",0,J1245*INDEX(Products!$H$5:$H$204,K1245)))</f>
        <v/>
      </c>
      <c r="P1245" s="11">
        <f>IF(A1245="","",J1245-M1245-N1245-O1245)</f>
        <v/>
      </c>
    </row>
    <row r="1246">
      <c r="A1246">
        <f>IFERROR(INDEX('Shopify Import'!$A:$CZ,1246,Settings!$E$20)&amp;"","")</f>
        <v/>
      </c>
      <c r="B1246">
        <f>IFERROR(INDEX('Shopify Import'!$A:$CZ,1246,Settings!$E$21)&amp;"","")</f>
        <v/>
      </c>
      <c r="C1246">
        <f>IFERROR(INDEX('Shopify Import'!$A:$CZ,1246,Settings!$E$22)&amp;"","")</f>
        <v/>
      </c>
      <c r="D1246">
        <f>IF(A1246="","",IFERROR(VALUE(SUBSTITUTE(SUBSTITUTE(INDEX('Shopify Import'!$A:$CZ,1246,Settings!$E$23)&amp;"","$",""),",","")),0))</f>
        <v/>
      </c>
      <c r="E1246" s="11">
        <f>IF(A1246="","",IFERROR(VALUE(SUBSTITUTE(SUBSTITUTE(INDEX('Shopify Import'!$A:$CZ,1246,Settings!$E$24)&amp;"","$",""),",","")),0))</f>
        <v/>
      </c>
      <c r="F1246" s="11">
        <f>IF(A1246="","",D1246*E1246)</f>
        <v/>
      </c>
      <c r="G1246">
        <f>IF(A1246="","",IF(C1246="",1,COUNTIF($C$2:$C$1501,C1246)))</f>
        <v/>
      </c>
      <c r="H1246" s="11">
        <f>IF(A1246="","",IFERROR(VALUE(SUBSTITUTE(SUBSTITUTE(INDEX('Shopify Import'!$A:$CZ,1246,Settings!$E$25)&amp;"","$",""),",","")),0)/IF(Settings!$D$27="Yes",G1246,1))</f>
        <v/>
      </c>
      <c r="I1246" s="11">
        <f>IF(A1246="","",IFERROR(VALUE(SUBSTITUTE(SUBSTITUTE(INDEX('Shopify Import'!$A:$CZ,1246,Settings!$E$26)&amp;"","$",""),",","")),0)/IF(Settings!$D$27="Yes",G1246,1))</f>
        <v/>
      </c>
      <c r="J1246" s="11">
        <f>IF(A1246="","",F1246+H1246-I1246)</f>
        <v/>
      </c>
      <c r="K1246">
        <f>IF(A1246="","",IFERROR(IF(B1246="",NA(),MATCH(B1246,Products!$B$5:$B$204,0)),IFERROR(MATCH(A1246,Products!$A$5:$A$204,0),"")))</f>
        <v/>
      </c>
      <c r="L1246">
        <f>IF(A1246="","",IF(K1246="","⚠ not in Products",INDEX(Products!$A$5:$A$204,K1246)))</f>
        <v/>
      </c>
      <c r="M1246" s="11">
        <f>IF(A1246="","",J1246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1246+IFERROR(INDEX(Settings!$D$5:$D$9,MATCH("Shopify",Settings!$A$5:$A$9,0)),0)*D1246)</f>
        <v/>
      </c>
      <c r="N1246" s="11">
        <f>IF(A1246="","",IF(K1246="",0,D1246*INDEX(Products!$I$5:$I$204,K1246)))</f>
        <v/>
      </c>
      <c r="O1246" s="11">
        <f>IF(A1246="","",IF(K1246="",0,J1246*INDEX(Products!$H$5:$H$204,K1246)))</f>
        <v/>
      </c>
      <c r="P1246" s="11">
        <f>IF(A1246="","",J1246-M1246-N1246-O1246)</f>
        <v/>
      </c>
    </row>
    <row r="1247">
      <c r="A1247">
        <f>IFERROR(INDEX('Shopify Import'!$A:$CZ,1247,Settings!$E$20)&amp;"","")</f>
        <v/>
      </c>
      <c r="B1247">
        <f>IFERROR(INDEX('Shopify Import'!$A:$CZ,1247,Settings!$E$21)&amp;"","")</f>
        <v/>
      </c>
      <c r="C1247">
        <f>IFERROR(INDEX('Shopify Import'!$A:$CZ,1247,Settings!$E$22)&amp;"","")</f>
        <v/>
      </c>
      <c r="D1247">
        <f>IF(A1247="","",IFERROR(VALUE(SUBSTITUTE(SUBSTITUTE(INDEX('Shopify Import'!$A:$CZ,1247,Settings!$E$23)&amp;"","$",""),",","")),0))</f>
        <v/>
      </c>
      <c r="E1247" s="11">
        <f>IF(A1247="","",IFERROR(VALUE(SUBSTITUTE(SUBSTITUTE(INDEX('Shopify Import'!$A:$CZ,1247,Settings!$E$24)&amp;"","$",""),",","")),0))</f>
        <v/>
      </c>
      <c r="F1247" s="11">
        <f>IF(A1247="","",D1247*E1247)</f>
        <v/>
      </c>
      <c r="G1247">
        <f>IF(A1247="","",IF(C1247="",1,COUNTIF($C$2:$C$1501,C1247)))</f>
        <v/>
      </c>
      <c r="H1247" s="11">
        <f>IF(A1247="","",IFERROR(VALUE(SUBSTITUTE(SUBSTITUTE(INDEX('Shopify Import'!$A:$CZ,1247,Settings!$E$25)&amp;"","$",""),",","")),0)/IF(Settings!$D$27="Yes",G1247,1))</f>
        <v/>
      </c>
      <c r="I1247" s="11">
        <f>IF(A1247="","",IFERROR(VALUE(SUBSTITUTE(SUBSTITUTE(INDEX('Shopify Import'!$A:$CZ,1247,Settings!$E$26)&amp;"","$",""),",","")),0)/IF(Settings!$D$27="Yes",G1247,1))</f>
        <v/>
      </c>
      <c r="J1247" s="11">
        <f>IF(A1247="","",F1247+H1247-I1247)</f>
        <v/>
      </c>
      <c r="K1247">
        <f>IF(A1247="","",IFERROR(IF(B1247="",NA(),MATCH(B1247,Products!$B$5:$B$204,0)),IFERROR(MATCH(A1247,Products!$A$5:$A$204,0),"")))</f>
        <v/>
      </c>
      <c r="L1247">
        <f>IF(A1247="","",IF(K1247="","⚠ not in Products",INDEX(Products!$A$5:$A$204,K1247)))</f>
        <v/>
      </c>
      <c r="M1247" s="11">
        <f>IF(A1247="","",J1247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1247+IFERROR(INDEX(Settings!$D$5:$D$9,MATCH("Shopify",Settings!$A$5:$A$9,0)),0)*D1247)</f>
        <v/>
      </c>
      <c r="N1247" s="11">
        <f>IF(A1247="","",IF(K1247="",0,D1247*INDEX(Products!$I$5:$I$204,K1247)))</f>
        <v/>
      </c>
      <c r="O1247" s="11">
        <f>IF(A1247="","",IF(K1247="",0,J1247*INDEX(Products!$H$5:$H$204,K1247)))</f>
        <v/>
      </c>
      <c r="P1247" s="11">
        <f>IF(A1247="","",J1247-M1247-N1247-O1247)</f>
        <v/>
      </c>
    </row>
    <row r="1248">
      <c r="A1248">
        <f>IFERROR(INDEX('Shopify Import'!$A:$CZ,1248,Settings!$E$20)&amp;"","")</f>
        <v/>
      </c>
      <c r="B1248">
        <f>IFERROR(INDEX('Shopify Import'!$A:$CZ,1248,Settings!$E$21)&amp;"","")</f>
        <v/>
      </c>
      <c r="C1248">
        <f>IFERROR(INDEX('Shopify Import'!$A:$CZ,1248,Settings!$E$22)&amp;"","")</f>
        <v/>
      </c>
      <c r="D1248">
        <f>IF(A1248="","",IFERROR(VALUE(SUBSTITUTE(SUBSTITUTE(INDEX('Shopify Import'!$A:$CZ,1248,Settings!$E$23)&amp;"","$",""),",","")),0))</f>
        <v/>
      </c>
      <c r="E1248" s="11">
        <f>IF(A1248="","",IFERROR(VALUE(SUBSTITUTE(SUBSTITUTE(INDEX('Shopify Import'!$A:$CZ,1248,Settings!$E$24)&amp;"","$",""),",","")),0))</f>
        <v/>
      </c>
      <c r="F1248" s="11">
        <f>IF(A1248="","",D1248*E1248)</f>
        <v/>
      </c>
      <c r="G1248">
        <f>IF(A1248="","",IF(C1248="",1,COUNTIF($C$2:$C$1501,C1248)))</f>
        <v/>
      </c>
      <c r="H1248" s="11">
        <f>IF(A1248="","",IFERROR(VALUE(SUBSTITUTE(SUBSTITUTE(INDEX('Shopify Import'!$A:$CZ,1248,Settings!$E$25)&amp;"","$",""),",","")),0)/IF(Settings!$D$27="Yes",G1248,1))</f>
        <v/>
      </c>
      <c r="I1248" s="11">
        <f>IF(A1248="","",IFERROR(VALUE(SUBSTITUTE(SUBSTITUTE(INDEX('Shopify Import'!$A:$CZ,1248,Settings!$E$26)&amp;"","$",""),",","")),0)/IF(Settings!$D$27="Yes",G1248,1))</f>
        <v/>
      </c>
      <c r="J1248" s="11">
        <f>IF(A1248="","",F1248+H1248-I1248)</f>
        <v/>
      </c>
      <c r="K1248">
        <f>IF(A1248="","",IFERROR(IF(B1248="",NA(),MATCH(B1248,Products!$B$5:$B$204,0)),IFERROR(MATCH(A1248,Products!$A$5:$A$204,0),"")))</f>
        <v/>
      </c>
      <c r="L1248">
        <f>IF(A1248="","",IF(K1248="","⚠ not in Products",INDEX(Products!$A$5:$A$204,K1248)))</f>
        <v/>
      </c>
      <c r="M1248" s="11">
        <f>IF(A1248="","",J1248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1248+IFERROR(INDEX(Settings!$D$5:$D$9,MATCH("Shopify",Settings!$A$5:$A$9,0)),0)*D1248)</f>
        <v/>
      </c>
      <c r="N1248" s="11">
        <f>IF(A1248="","",IF(K1248="",0,D1248*INDEX(Products!$I$5:$I$204,K1248)))</f>
        <v/>
      </c>
      <c r="O1248" s="11">
        <f>IF(A1248="","",IF(K1248="",0,J1248*INDEX(Products!$H$5:$H$204,K1248)))</f>
        <v/>
      </c>
      <c r="P1248" s="11">
        <f>IF(A1248="","",J1248-M1248-N1248-O1248)</f>
        <v/>
      </c>
    </row>
    <row r="1249">
      <c r="A1249">
        <f>IFERROR(INDEX('Shopify Import'!$A:$CZ,1249,Settings!$E$20)&amp;"","")</f>
        <v/>
      </c>
      <c r="B1249">
        <f>IFERROR(INDEX('Shopify Import'!$A:$CZ,1249,Settings!$E$21)&amp;"","")</f>
        <v/>
      </c>
      <c r="C1249">
        <f>IFERROR(INDEX('Shopify Import'!$A:$CZ,1249,Settings!$E$22)&amp;"","")</f>
        <v/>
      </c>
      <c r="D1249">
        <f>IF(A1249="","",IFERROR(VALUE(SUBSTITUTE(SUBSTITUTE(INDEX('Shopify Import'!$A:$CZ,1249,Settings!$E$23)&amp;"","$",""),",","")),0))</f>
        <v/>
      </c>
      <c r="E1249" s="11">
        <f>IF(A1249="","",IFERROR(VALUE(SUBSTITUTE(SUBSTITUTE(INDEX('Shopify Import'!$A:$CZ,1249,Settings!$E$24)&amp;"","$",""),",","")),0))</f>
        <v/>
      </c>
      <c r="F1249" s="11">
        <f>IF(A1249="","",D1249*E1249)</f>
        <v/>
      </c>
      <c r="G1249">
        <f>IF(A1249="","",IF(C1249="",1,COUNTIF($C$2:$C$1501,C1249)))</f>
        <v/>
      </c>
      <c r="H1249" s="11">
        <f>IF(A1249="","",IFERROR(VALUE(SUBSTITUTE(SUBSTITUTE(INDEX('Shopify Import'!$A:$CZ,1249,Settings!$E$25)&amp;"","$",""),",","")),0)/IF(Settings!$D$27="Yes",G1249,1))</f>
        <v/>
      </c>
      <c r="I1249" s="11">
        <f>IF(A1249="","",IFERROR(VALUE(SUBSTITUTE(SUBSTITUTE(INDEX('Shopify Import'!$A:$CZ,1249,Settings!$E$26)&amp;"","$",""),",","")),0)/IF(Settings!$D$27="Yes",G1249,1))</f>
        <v/>
      </c>
      <c r="J1249" s="11">
        <f>IF(A1249="","",F1249+H1249-I1249)</f>
        <v/>
      </c>
      <c r="K1249">
        <f>IF(A1249="","",IFERROR(IF(B1249="",NA(),MATCH(B1249,Products!$B$5:$B$204,0)),IFERROR(MATCH(A1249,Products!$A$5:$A$204,0),"")))</f>
        <v/>
      </c>
      <c r="L1249">
        <f>IF(A1249="","",IF(K1249="","⚠ not in Products",INDEX(Products!$A$5:$A$204,K1249)))</f>
        <v/>
      </c>
      <c r="M1249" s="11">
        <f>IF(A1249="","",J1249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1249+IFERROR(INDEX(Settings!$D$5:$D$9,MATCH("Shopify",Settings!$A$5:$A$9,0)),0)*D1249)</f>
        <v/>
      </c>
      <c r="N1249" s="11">
        <f>IF(A1249="","",IF(K1249="",0,D1249*INDEX(Products!$I$5:$I$204,K1249)))</f>
        <v/>
      </c>
      <c r="O1249" s="11">
        <f>IF(A1249="","",IF(K1249="",0,J1249*INDEX(Products!$H$5:$H$204,K1249)))</f>
        <v/>
      </c>
      <c r="P1249" s="11">
        <f>IF(A1249="","",J1249-M1249-N1249-O1249)</f>
        <v/>
      </c>
    </row>
    <row r="1250">
      <c r="A1250">
        <f>IFERROR(INDEX('Shopify Import'!$A:$CZ,1250,Settings!$E$20)&amp;"","")</f>
        <v/>
      </c>
      <c r="B1250">
        <f>IFERROR(INDEX('Shopify Import'!$A:$CZ,1250,Settings!$E$21)&amp;"","")</f>
        <v/>
      </c>
      <c r="C1250">
        <f>IFERROR(INDEX('Shopify Import'!$A:$CZ,1250,Settings!$E$22)&amp;"","")</f>
        <v/>
      </c>
      <c r="D1250">
        <f>IF(A1250="","",IFERROR(VALUE(SUBSTITUTE(SUBSTITUTE(INDEX('Shopify Import'!$A:$CZ,1250,Settings!$E$23)&amp;"","$",""),",","")),0))</f>
        <v/>
      </c>
      <c r="E1250" s="11">
        <f>IF(A1250="","",IFERROR(VALUE(SUBSTITUTE(SUBSTITUTE(INDEX('Shopify Import'!$A:$CZ,1250,Settings!$E$24)&amp;"","$",""),",","")),0))</f>
        <v/>
      </c>
      <c r="F1250" s="11">
        <f>IF(A1250="","",D1250*E1250)</f>
        <v/>
      </c>
      <c r="G1250">
        <f>IF(A1250="","",IF(C1250="",1,COUNTIF($C$2:$C$1501,C1250)))</f>
        <v/>
      </c>
      <c r="H1250" s="11">
        <f>IF(A1250="","",IFERROR(VALUE(SUBSTITUTE(SUBSTITUTE(INDEX('Shopify Import'!$A:$CZ,1250,Settings!$E$25)&amp;"","$",""),",","")),0)/IF(Settings!$D$27="Yes",G1250,1))</f>
        <v/>
      </c>
      <c r="I1250" s="11">
        <f>IF(A1250="","",IFERROR(VALUE(SUBSTITUTE(SUBSTITUTE(INDEX('Shopify Import'!$A:$CZ,1250,Settings!$E$26)&amp;"","$",""),",","")),0)/IF(Settings!$D$27="Yes",G1250,1))</f>
        <v/>
      </c>
      <c r="J1250" s="11">
        <f>IF(A1250="","",F1250+H1250-I1250)</f>
        <v/>
      </c>
      <c r="K1250">
        <f>IF(A1250="","",IFERROR(IF(B1250="",NA(),MATCH(B1250,Products!$B$5:$B$204,0)),IFERROR(MATCH(A1250,Products!$A$5:$A$204,0),"")))</f>
        <v/>
      </c>
      <c r="L1250">
        <f>IF(A1250="","",IF(K1250="","⚠ not in Products",INDEX(Products!$A$5:$A$204,K1250)))</f>
        <v/>
      </c>
      <c r="M1250" s="11">
        <f>IF(A1250="","",J1250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1250+IFERROR(INDEX(Settings!$D$5:$D$9,MATCH("Shopify",Settings!$A$5:$A$9,0)),0)*D1250)</f>
        <v/>
      </c>
      <c r="N1250" s="11">
        <f>IF(A1250="","",IF(K1250="",0,D1250*INDEX(Products!$I$5:$I$204,K1250)))</f>
        <v/>
      </c>
      <c r="O1250" s="11">
        <f>IF(A1250="","",IF(K1250="",0,J1250*INDEX(Products!$H$5:$H$204,K1250)))</f>
        <v/>
      </c>
      <c r="P1250" s="11">
        <f>IF(A1250="","",J1250-M1250-N1250-O1250)</f>
        <v/>
      </c>
    </row>
    <row r="1251">
      <c r="A1251">
        <f>IFERROR(INDEX('Shopify Import'!$A:$CZ,1251,Settings!$E$20)&amp;"","")</f>
        <v/>
      </c>
      <c r="B1251">
        <f>IFERROR(INDEX('Shopify Import'!$A:$CZ,1251,Settings!$E$21)&amp;"","")</f>
        <v/>
      </c>
      <c r="C1251">
        <f>IFERROR(INDEX('Shopify Import'!$A:$CZ,1251,Settings!$E$22)&amp;"","")</f>
        <v/>
      </c>
      <c r="D1251">
        <f>IF(A1251="","",IFERROR(VALUE(SUBSTITUTE(SUBSTITUTE(INDEX('Shopify Import'!$A:$CZ,1251,Settings!$E$23)&amp;"","$",""),",","")),0))</f>
        <v/>
      </c>
      <c r="E1251" s="11">
        <f>IF(A1251="","",IFERROR(VALUE(SUBSTITUTE(SUBSTITUTE(INDEX('Shopify Import'!$A:$CZ,1251,Settings!$E$24)&amp;"","$",""),",","")),0))</f>
        <v/>
      </c>
      <c r="F1251" s="11">
        <f>IF(A1251="","",D1251*E1251)</f>
        <v/>
      </c>
      <c r="G1251">
        <f>IF(A1251="","",IF(C1251="",1,COUNTIF($C$2:$C$1501,C1251)))</f>
        <v/>
      </c>
      <c r="H1251" s="11">
        <f>IF(A1251="","",IFERROR(VALUE(SUBSTITUTE(SUBSTITUTE(INDEX('Shopify Import'!$A:$CZ,1251,Settings!$E$25)&amp;"","$",""),",","")),0)/IF(Settings!$D$27="Yes",G1251,1))</f>
        <v/>
      </c>
      <c r="I1251" s="11">
        <f>IF(A1251="","",IFERROR(VALUE(SUBSTITUTE(SUBSTITUTE(INDEX('Shopify Import'!$A:$CZ,1251,Settings!$E$26)&amp;"","$",""),",","")),0)/IF(Settings!$D$27="Yes",G1251,1))</f>
        <v/>
      </c>
      <c r="J1251" s="11">
        <f>IF(A1251="","",F1251+H1251-I1251)</f>
        <v/>
      </c>
      <c r="K1251">
        <f>IF(A1251="","",IFERROR(IF(B1251="",NA(),MATCH(B1251,Products!$B$5:$B$204,0)),IFERROR(MATCH(A1251,Products!$A$5:$A$204,0),"")))</f>
        <v/>
      </c>
      <c r="L1251">
        <f>IF(A1251="","",IF(K1251="","⚠ not in Products",INDEX(Products!$A$5:$A$204,K1251)))</f>
        <v/>
      </c>
      <c r="M1251" s="11">
        <f>IF(A1251="","",J1251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1251+IFERROR(INDEX(Settings!$D$5:$D$9,MATCH("Shopify",Settings!$A$5:$A$9,0)),0)*D1251)</f>
        <v/>
      </c>
      <c r="N1251" s="11">
        <f>IF(A1251="","",IF(K1251="",0,D1251*INDEX(Products!$I$5:$I$204,K1251)))</f>
        <v/>
      </c>
      <c r="O1251" s="11">
        <f>IF(A1251="","",IF(K1251="",0,J1251*INDEX(Products!$H$5:$H$204,K1251)))</f>
        <v/>
      </c>
      <c r="P1251" s="11">
        <f>IF(A1251="","",J1251-M1251-N1251-O1251)</f>
        <v/>
      </c>
    </row>
    <row r="1252">
      <c r="A1252">
        <f>IFERROR(INDEX('Shopify Import'!$A:$CZ,1252,Settings!$E$20)&amp;"","")</f>
        <v/>
      </c>
      <c r="B1252">
        <f>IFERROR(INDEX('Shopify Import'!$A:$CZ,1252,Settings!$E$21)&amp;"","")</f>
        <v/>
      </c>
      <c r="C1252">
        <f>IFERROR(INDEX('Shopify Import'!$A:$CZ,1252,Settings!$E$22)&amp;"","")</f>
        <v/>
      </c>
      <c r="D1252">
        <f>IF(A1252="","",IFERROR(VALUE(SUBSTITUTE(SUBSTITUTE(INDEX('Shopify Import'!$A:$CZ,1252,Settings!$E$23)&amp;"","$",""),",","")),0))</f>
        <v/>
      </c>
      <c r="E1252" s="11">
        <f>IF(A1252="","",IFERROR(VALUE(SUBSTITUTE(SUBSTITUTE(INDEX('Shopify Import'!$A:$CZ,1252,Settings!$E$24)&amp;"","$",""),",","")),0))</f>
        <v/>
      </c>
      <c r="F1252" s="11">
        <f>IF(A1252="","",D1252*E1252)</f>
        <v/>
      </c>
      <c r="G1252">
        <f>IF(A1252="","",IF(C1252="",1,COUNTIF($C$2:$C$1501,C1252)))</f>
        <v/>
      </c>
      <c r="H1252" s="11">
        <f>IF(A1252="","",IFERROR(VALUE(SUBSTITUTE(SUBSTITUTE(INDEX('Shopify Import'!$A:$CZ,1252,Settings!$E$25)&amp;"","$",""),",","")),0)/IF(Settings!$D$27="Yes",G1252,1))</f>
        <v/>
      </c>
      <c r="I1252" s="11">
        <f>IF(A1252="","",IFERROR(VALUE(SUBSTITUTE(SUBSTITUTE(INDEX('Shopify Import'!$A:$CZ,1252,Settings!$E$26)&amp;"","$",""),",","")),0)/IF(Settings!$D$27="Yes",G1252,1))</f>
        <v/>
      </c>
      <c r="J1252" s="11">
        <f>IF(A1252="","",F1252+H1252-I1252)</f>
        <v/>
      </c>
      <c r="K1252">
        <f>IF(A1252="","",IFERROR(IF(B1252="",NA(),MATCH(B1252,Products!$B$5:$B$204,0)),IFERROR(MATCH(A1252,Products!$A$5:$A$204,0),"")))</f>
        <v/>
      </c>
      <c r="L1252">
        <f>IF(A1252="","",IF(K1252="","⚠ not in Products",INDEX(Products!$A$5:$A$204,K1252)))</f>
        <v/>
      </c>
      <c r="M1252" s="11">
        <f>IF(A1252="","",J1252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1252+IFERROR(INDEX(Settings!$D$5:$D$9,MATCH("Shopify",Settings!$A$5:$A$9,0)),0)*D1252)</f>
        <v/>
      </c>
      <c r="N1252" s="11">
        <f>IF(A1252="","",IF(K1252="",0,D1252*INDEX(Products!$I$5:$I$204,K1252)))</f>
        <v/>
      </c>
      <c r="O1252" s="11">
        <f>IF(A1252="","",IF(K1252="",0,J1252*INDEX(Products!$H$5:$H$204,K1252)))</f>
        <v/>
      </c>
      <c r="P1252" s="11">
        <f>IF(A1252="","",J1252-M1252-N1252-O1252)</f>
        <v/>
      </c>
    </row>
    <row r="1253">
      <c r="A1253">
        <f>IFERROR(INDEX('Shopify Import'!$A:$CZ,1253,Settings!$E$20)&amp;"","")</f>
        <v/>
      </c>
      <c r="B1253">
        <f>IFERROR(INDEX('Shopify Import'!$A:$CZ,1253,Settings!$E$21)&amp;"","")</f>
        <v/>
      </c>
      <c r="C1253">
        <f>IFERROR(INDEX('Shopify Import'!$A:$CZ,1253,Settings!$E$22)&amp;"","")</f>
        <v/>
      </c>
      <c r="D1253">
        <f>IF(A1253="","",IFERROR(VALUE(SUBSTITUTE(SUBSTITUTE(INDEX('Shopify Import'!$A:$CZ,1253,Settings!$E$23)&amp;"","$",""),",","")),0))</f>
        <v/>
      </c>
      <c r="E1253" s="11">
        <f>IF(A1253="","",IFERROR(VALUE(SUBSTITUTE(SUBSTITUTE(INDEX('Shopify Import'!$A:$CZ,1253,Settings!$E$24)&amp;"","$",""),",","")),0))</f>
        <v/>
      </c>
      <c r="F1253" s="11">
        <f>IF(A1253="","",D1253*E1253)</f>
        <v/>
      </c>
      <c r="G1253">
        <f>IF(A1253="","",IF(C1253="",1,COUNTIF($C$2:$C$1501,C1253)))</f>
        <v/>
      </c>
      <c r="H1253" s="11">
        <f>IF(A1253="","",IFERROR(VALUE(SUBSTITUTE(SUBSTITUTE(INDEX('Shopify Import'!$A:$CZ,1253,Settings!$E$25)&amp;"","$",""),",","")),0)/IF(Settings!$D$27="Yes",G1253,1))</f>
        <v/>
      </c>
      <c r="I1253" s="11">
        <f>IF(A1253="","",IFERROR(VALUE(SUBSTITUTE(SUBSTITUTE(INDEX('Shopify Import'!$A:$CZ,1253,Settings!$E$26)&amp;"","$",""),",","")),0)/IF(Settings!$D$27="Yes",G1253,1))</f>
        <v/>
      </c>
      <c r="J1253" s="11">
        <f>IF(A1253="","",F1253+H1253-I1253)</f>
        <v/>
      </c>
      <c r="K1253">
        <f>IF(A1253="","",IFERROR(IF(B1253="",NA(),MATCH(B1253,Products!$B$5:$B$204,0)),IFERROR(MATCH(A1253,Products!$A$5:$A$204,0),"")))</f>
        <v/>
      </c>
      <c r="L1253">
        <f>IF(A1253="","",IF(K1253="","⚠ not in Products",INDEX(Products!$A$5:$A$204,K1253)))</f>
        <v/>
      </c>
      <c r="M1253" s="11">
        <f>IF(A1253="","",J1253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1253+IFERROR(INDEX(Settings!$D$5:$D$9,MATCH("Shopify",Settings!$A$5:$A$9,0)),0)*D1253)</f>
        <v/>
      </c>
      <c r="N1253" s="11">
        <f>IF(A1253="","",IF(K1253="",0,D1253*INDEX(Products!$I$5:$I$204,K1253)))</f>
        <v/>
      </c>
      <c r="O1253" s="11">
        <f>IF(A1253="","",IF(K1253="",0,J1253*INDEX(Products!$H$5:$H$204,K1253)))</f>
        <v/>
      </c>
      <c r="P1253" s="11">
        <f>IF(A1253="","",J1253-M1253-N1253-O1253)</f>
        <v/>
      </c>
    </row>
    <row r="1254">
      <c r="A1254">
        <f>IFERROR(INDEX('Shopify Import'!$A:$CZ,1254,Settings!$E$20)&amp;"","")</f>
        <v/>
      </c>
      <c r="B1254">
        <f>IFERROR(INDEX('Shopify Import'!$A:$CZ,1254,Settings!$E$21)&amp;"","")</f>
        <v/>
      </c>
      <c r="C1254">
        <f>IFERROR(INDEX('Shopify Import'!$A:$CZ,1254,Settings!$E$22)&amp;"","")</f>
        <v/>
      </c>
      <c r="D1254">
        <f>IF(A1254="","",IFERROR(VALUE(SUBSTITUTE(SUBSTITUTE(INDEX('Shopify Import'!$A:$CZ,1254,Settings!$E$23)&amp;"","$",""),",","")),0))</f>
        <v/>
      </c>
      <c r="E1254" s="11">
        <f>IF(A1254="","",IFERROR(VALUE(SUBSTITUTE(SUBSTITUTE(INDEX('Shopify Import'!$A:$CZ,1254,Settings!$E$24)&amp;"","$",""),",","")),0))</f>
        <v/>
      </c>
      <c r="F1254" s="11">
        <f>IF(A1254="","",D1254*E1254)</f>
        <v/>
      </c>
      <c r="G1254">
        <f>IF(A1254="","",IF(C1254="",1,COUNTIF($C$2:$C$1501,C1254)))</f>
        <v/>
      </c>
      <c r="H1254" s="11">
        <f>IF(A1254="","",IFERROR(VALUE(SUBSTITUTE(SUBSTITUTE(INDEX('Shopify Import'!$A:$CZ,1254,Settings!$E$25)&amp;"","$",""),",","")),0)/IF(Settings!$D$27="Yes",G1254,1))</f>
        <v/>
      </c>
      <c r="I1254" s="11">
        <f>IF(A1254="","",IFERROR(VALUE(SUBSTITUTE(SUBSTITUTE(INDEX('Shopify Import'!$A:$CZ,1254,Settings!$E$26)&amp;"","$",""),",","")),0)/IF(Settings!$D$27="Yes",G1254,1))</f>
        <v/>
      </c>
      <c r="J1254" s="11">
        <f>IF(A1254="","",F1254+H1254-I1254)</f>
        <v/>
      </c>
      <c r="K1254">
        <f>IF(A1254="","",IFERROR(IF(B1254="",NA(),MATCH(B1254,Products!$B$5:$B$204,0)),IFERROR(MATCH(A1254,Products!$A$5:$A$204,0),"")))</f>
        <v/>
      </c>
      <c r="L1254">
        <f>IF(A1254="","",IF(K1254="","⚠ not in Products",INDEX(Products!$A$5:$A$204,K1254)))</f>
        <v/>
      </c>
      <c r="M1254" s="11">
        <f>IF(A1254="","",J1254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1254+IFERROR(INDEX(Settings!$D$5:$D$9,MATCH("Shopify",Settings!$A$5:$A$9,0)),0)*D1254)</f>
        <v/>
      </c>
      <c r="N1254" s="11">
        <f>IF(A1254="","",IF(K1254="",0,D1254*INDEX(Products!$I$5:$I$204,K1254)))</f>
        <v/>
      </c>
      <c r="O1254" s="11">
        <f>IF(A1254="","",IF(K1254="",0,J1254*INDEX(Products!$H$5:$H$204,K1254)))</f>
        <v/>
      </c>
      <c r="P1254" s="11">
        <f>IF(A1254="","",J1254-M1254-N1254-O1254)</f>
        <v/>
      </c>
    </row>
    <row r="1255">
      <c r="A1255">
        <f>IFERROR(INDEX('Shopify Import'!$A:$CZ,1255,Settings!$E$20)&amp;"","")</f>
        <v/>
      </c>
      <c r="B1255">
        <f>IFERROR(INDEX('Shopify Import'!$A:$CZ,1255,Settings!$E$21)&amp;"","")</f>
        <v/>
      </c>
      <c r="C1255">
        <f>IFERROR(INDEX('Shopify Import'!$A:$CZ,1255,Settings!$E$22)&amp;"","")</f>
        <v/>
      </c>
      <c r="D1255">
        <f>IF(A1255="","",IFERROR(VALUE(SUBSTITUTE(SUBSTITUTE(INDEX('Shopify Import'!$A:$CZ,1255,Settings!$E$23)&amp;"","$",""),",","")),0))</f>
        <v/>
      </c>
      <c r="E1255" s="11">
        <f>IF(A1255="","",IFERROR(VALUE(SUBSTITUTE(SUBSTITUTE(INDEX('Shopify Import'!$A:$CZ,1255,Settings!$E$24)&amp;"","$",""),",","")),0))</f>
        <v/>
      </c>
      <c r="F1255" s="11">
        <f>IF(A1255="","",D1255*E1255)</f>
        <v/>
      </c>
      <c r="G1255">
        <f>IF(A1255="","",IF(C1255="",1,COUNTIF($C$2:$C$1501,C1255)))</f>
        <v/>
      </c>
      <c r="H1255" s="11">
        <f>IF(A1255="","",IFERROR(VALUE(SUBSTITUTE(SUBSTITUTE(INDEX('Shopify Import'!$A:$CZ,1255,Settings!$E$25)&amp;"","$",""),",","")),0)/IF(Settings!$D$27="Yes",G1255,1))</f>
        <v/>
      </c>
      <c r="I1255" s="11">
        <f>IF(A1255="","",IFERROR(VALUE(SUBSTITUTE(SUBSTITUTE(INDEX('Shopify Import'!$A:$CZ,1255,Settings!$E$26)&amp;"","$",""),",","")),0)/IF(Settings!$D$27="Yes",G1255,1))</f>
        <v/>
      </c>
      <c r="J1255" s="11">
        <f>IF(A1255="","",F1255+H1255-I1255)</f>
        <v/>
      </c>
      <c r="K1255">
        <f>IF(A1255="","",IFERROR(IF(B1255="",NA(),MATCH(B1255,Products!$B$5:$B$204,0)),IFERROR(MATCH(A1255,Products!$A$5:$A$204,0),"")))</f>
        <v/>
      </c>
      <c r="L1255">
        <f>IF(A1255="","",IF(K1255="","⚠ not in Products",INDEX(Products!$A$5:$A$204,K1255)))</f>
        <v/>
      </c>
      <c r="M1255" s="11">
        <f>IF(A1255="","",J1255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1255+IFERROR(INDEX(Settings!$D$5:$D$9,MATCH("Shopify",Settings!$A$5:$A$9,0)),0)*D1255)</f>
        <v/>
      </c>
      <c r="N1255" s="11">
        <f>IF(A1255="","",IF(K1255="",0,D1255*INDEX(Products!$I$5:$I$204,K1255)))</f>
        <v/>
      </c>
      <c r="O1255" s="11">
        <f>IF(A1255="","",IF(K1255="",0,J1255*INDEX(Products!$H$5:$H$204,K1255)))</f>
        <v/>
      </c>
      <c r="P1255" s="11">
        <f>IF(A1255="","",J1255-M1255-N1255-O1255)</f>
        <v/>
      </c>
    </row>
    <row r="1256">
      <c r="A1256">
        <f>IFERROR(INDEX('Shopify Import'!$A:$CZ,1256,Settings!$E$20)&amp;"","")</f>
        <v/>
      </c>
      <c r="B1256">
        <f>IFERROR(INDEX('Shopify Import'!$A:$CZ,1256,Settings!$E$21)&amp;"","")</f>
        <v/>
      </c>
      <c r="C1256">
        <f>IFERROR(INDEX('Shopify Import'!$A:$CZ,1256,Settings!$E$22)&amp;"","")</f>
        <v/>
      </c>
      <c r="D1256">
        <f>IF(A1256="","",IFERROR(VALUE(SUBSTITUTE(SUBSTITUTE(INDEX('Shopify Import'!$A:$CZ,1256,Settings!$E$23)&amp;"","$",""),",","")),0))</f>
        <v/>
      </c>
      <c r="E1256" s="11">
        <f>IF(A1256="","",IFERROR(VALUE(SUBSTITUTE(SUBSTITUTE(INDEX('Shopify Import'!$A:$CZ,1256,Settings!$E$24)&amp;"","$",""),",","")),0))</f>
        <v/>
      </c>
      <c r="F1256" s="11">
        <f>IF(A1256="","",D1256*E1256)</f>
        <v/>
      </c>
      <c r="G1256">
        <f>IF(A1256="","",IF(C1256="",1,COUNTIF($C$2:$C$1501,C1256)))</f>
        <v/>
      </c>
      <c r="H1256" s="11">
        <f>IF(A1256="","",IFERROR(VALUE(SUBSTITUTE(SUBSTITUTE(INDEX('Shopify Import'!$A:$CZ,1256,Settings!$E$25)&amp;"","$",""),",","")),0)/IF(Settings!$D$27="Yes",G1256,1))</f>
        <v/>
      </c>
      <c r="I1256" s="11">
        <f>IF(A1256="","",IFERROR(VALUE(SUBSTITUTE(SUBSTITUTE(INDEX('Shopify Import'!$A:$CZ,1256,Settings!$E$26)&amp;"","$",""),",","")),0)/IF(Settings!$D$27="Yes",G1256,1))</f>
        <v/>
      </c>
      <c r="J1256" s="11">
        <f>IF(A1256="","",F1256+H1256-I1256)</f>
        <v/>
      </c>
      <c r="K1256">
        <f>IF(A1256="","",IFERROR(IF(B1256="",NA(),MATCH(B1256,Products!$B$5:$B$204,0)),IFERROR(MATCH(A1256,Products!$A$5:$A$204,0),"")))</f>
        <v/>
      </c>
      <c r="L1256">
        <f>IF(A1256="","",IF(K1256="","⚠ not in Products",INDEX(Products!$A$5:$A$204,K1256)))</f>
        <v/>
      </c>
      <c r="M1256" s="11">
        <f>IF(A1256="","",J1256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1256+IFERROR(INDEX(Settings!$D$5:$D$9,MATCH("Shopify",Settings!$A$5:$A$9,0)),0)*D1256)</f>
        <v/>
      </c>
      <c r="N1256" s="11">
        <f>IF(A1256="","",IF(K1256="",0,D1256*INDEX(Products!$I$5:$I$204,K1256)))</f>
        <v/>
      </c>
      <c r="O1256" s="11">
        <f>IF(A1256="","",IF(K1256="",0,J1256*INDEX(Products!$H$5:$H$204,K1256)))</f>
        <v/>
      </c>
      <c r="P1256" s="11">
        <f>IF(A1256="","",J1256-M1256-N1256-O1256)</f>
        <v/>
      </c>
    </row>
    <row r="1257">
      <c r="A1257">
        <f>IFERROR(INDEX('Shopify Import'!$A:$CZ,1257,Settings!$E$20)&amp;"","")</f>
        <v/>
      </c>
      <c r="B1257">
        <f>IFERROR(INDEX('Shopify Import'!$A:$CZ,1257,Settings!$E$21)&amp;"","")</f>
        <v/>
      </c>
      <c r="C1257">
        <f>IFERROR(INDEX('Shopify Import'!$A:$CZ,1257,Settings!$E$22)&amp;"","")</f>
        <v/>
      </c>
      <c r="D1257">
        <f>IF(A1257="","",IFERROR(VALUE(SUBSTITUTE(SUBSTITUTE(INDEX('Shopify Import'!$A:$CZ,1257,Settings!$E$23)&amp;"","$",""),",","")),0))</f>
        <v/>
      </c>
      <c r="E1257" s="11">
        <f>IF(A1257="","",IFERROR(VALUE(SUBSTITUTE(SUBSTITUTE(INDEX('Shopify Import'!$A:$CZ,1257,Settings!$E$24)&amp;"","$",""),",","")),0))</f>
        <v/>
      </c>
      <c r="F1257" s="11">
        <f>IF(A1257="","",D1257*E1257)</f>
        <v/>
      </c>
      <c r="G1257">
        <f>IF(A1257="","",IF(C1257="",1,COUNTIF($C$2:$C$1501,C1257)))</f>
        <v/>
      </c>
      <c r="H1257" s="11">
        <f>IF(A1257="","",IFERROR(VALUE(SUBSTITUTE(SUBSTITUTE(INDEX('Shopify Import'!$A:$CZ,1257,Settings!$E$25)&amp;"","$",""),",","")),0)/IF(Settings!$D$27="Yes",G1257,1))</f>
        <v/>
      </c>
      <c r="I1257" s="11">
        <f>IF(A1257="","",IFERROR(VALUE(SUBSTITUTE(SUBSTITUTE(INDEX('Shopify Import'!$A:$CZ,1257,Settings!$E$26)&amp;"","$",""),",","")),0)/IF(Settings!$D$27="Yes",G1257,1))</f>
        <v/>
      </c>
      <c r="J1257" s="11">
        <f>IF(A1257="","",F1257+H1257-I1257)</f>
        <v/>
      </c>
      <c r="K1257">
        <f>IF(A1257="","",IFERROR(IF(B1257="",NA(),MATCH(B1257,Products!$B$5:$B$204,0)),IFERROR(MATCH(A1257,Products!$A$5:$A$204,0),"")))</f>
        <v/>
      </c>
      <c r="L1257">
        <f>IF(A1257="","",IF(K1257="","⚠ not in Products",INDEX(Products!$A$5:$A$204,K1257)))</f>
        <v/>
      </c>
      <c r="M1257" s="11">
        <f>IF(A1257="","",J1257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1257+IFERROR(INDEX(Settings!$D$5:$D$9,MATCH("Shopify",Settings!$A$5:$A$9,0)),0)*D1257)</f>
        <v/>
      </c>
      <c r="N1257" s="11">
        <f>IF(A1257="","",IF(K1257="",0,D1257*INDEX(Products!$I$5:$I$204,K1257)))</f>
        <v/>
      </c>
      <c r="O1257" s="11">
        <f>IF(A1257="","",IF(K1257="",0,J1257*INDEX(Products!$H$5:$H$204,K1257)))</f>
        <v/>
      </c>
      <c r="P1257" s="11">
        <f>IF(A1257="","",J1257-M1257-N1257-O1257)</f>
        <v/>
      </c>
    </row>
    <row r="1258">
      <c r="A1258">
        <f>IFERROR(INDEX('Shopify Import'!$A:$CZ,1258,Settings!$E$20)&amp;"","")</f>
        <v/>
      </c>
      <c r="B1258">
        <f>IFERROR(INDEX('Shopify Import'!$A:$CZ,1258,Settings!$E$21)&amp;"","")</f>
        <v/>
      </c>
      <c r="C1258">
        <f>IFERROR(INDEX('Shopify Import'!$A:$CZ,1258,Settings!$E$22)&amp;"","")</f>
        <v/>
      </c>
      <c r="D1258">
        <f>IF(A1258="","",IFERROR(VALUE(SUBSTITUTE(SUBSTITUTE(INDEX('Shopify Import'!$A:$CZ,1258,Settings!$E$23)&amp;"","$",""),",","")),0))</f>
        <v/>
      </c>
      <c r="E1258" s="11">
        <f>IF(A1258="","",IFERROR(VALUE(SUBSTITUTE(SUBSTITUTE(INDEX('Shopify Import'!$A:$CZ,1258,Settings!$E$24)&amp;"","$",""),",","")),0))</f>
        <v/>
      </c>
      <c r="F1258" s="11">
        <f>IF(A1258="","",D1258*E1258)</f>
        <v/>
      </c>
      <c r="G1258">
        <f>IF(A1258="","",IF(C1258="",1,COUNTIF($C$2:$C$1501,C1258)))</f>
        <v/>
      </c>
      <c r="H1258" s="11">
        <f>IF(A1258="","",IFERROR(VALUE(SUBSTITUTE(SUBSTITUTE(INDEX('Shopify Import'!$A:$CZ,1258,Settings!$E$25)&amp;"","$",""),",","")),0)/IF(Settings!$D$27="Yes",G1258,1))</f>
        <v/>
      </c>
      <c r="I1258" s="11">
        <f>IF(A1258="","",IFERROR(VALUE(SUBSTITUTE(SUBSTITUTE(INDEX('Shopify Import'!$A:$CZ,1258,Settings!$E$26)&amp;"","$",""),",","")),0)/IF(Settings!$D$27="Yes",G1258,1))</f>
        <v/>
      </c>
      <c r="J1258" s="11">
        <f>IF(A1258="","",F1258+H1258-I1258)</f>
        <v/>
      </c>
      <c r="K1258">
        <f>IF(A1258="","",IFERROR(IF(B1258="",NA(),MATCH(B1258,Products!$B$5:$B$204,0)),IFERROR(MATCH(A1258,Products!$A$5:$A$204,0),"")))</f>
        <v/>
      </c>
      <c r="L1258">
        <f>IF(A1258="","",IF(K1258="","⚠ not in Products",INDEX(Products!$A$5:$A$204,K1258)))</f>
        <v/>
      </c>
      <c r="M1258" s="11">
        <f>IF(A1258="","",J1258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1258+IFERROR(INDEX(Settings!$D$5:$D$9,MATCH("Shopify",Settings!$A$5:$A$9,0)),0)*D1258)</f>
        <v/>
      </c>
      <c r="N1258" s="11">
        <f>IF(A1258="","",IF(K1258="",0,D1258*INDEX(Products!$I$5:$I$204,K1258)))</f>
        <v/>
      </c>
      <c r="O1258" s="11">
        <f>IF(A1258="","",IF(K1258="",0,J1258*INDEX(Products!$H$5:$H$204,K1258)))</f>
        <v/>
      </c>
      <c r="P1258" s="11">
        <f>IF(A1258="","",J1258-M1258-N1258-O1258)</f>
        <v/>
      </c>
    </row>
    <row r="1259">
      <c r="A1259">
        <f>IFERROR(INDEX('Shopify Import'!$A:$CZ,1259,Settings!$E$20)&amp;"","")</f>
        <v/>
      </c>
      <c r="B1259">
        <f>IFERROR(INDEX('Shopify Import'!$A:$CZ,1259,Settings!$E$21)&amp;"","")</f>
        <v/>
      </c>
      <c r="C1259">
        <f>IFERROR(INDEX('Shopify Import'!$A:$CZ,1259,Settings!$E$22)&amp;"","")</f>
        <v/>
      </c>
      <c r="D1259">
        <f>IF(A1259="","",IFERROR(VALUE(SUBSTITUTE(SUBSTITUTE(INDEX('Shopify Import'!$A:$CZ,1259,Settings!$E$23)&amp;"","$",""),",","")),0))</f>
        <v/>
      </c>
      <c r="E1259" s="11">
        <f>IF(A1259="","",IFERROR(VALUE(SUBSTITUTE(SUBSTITUTE(INDEX('Shopify Import'!$A:$CZ,1259,Settings!$E$24)&amp;"","$",""),",","")),0))</f>
        <v/>
      </c>
      <c r="F1259" s="11">
        <f>IF(A1259="","",D1259*E1259)</f>
        <v/>
      </c>
      <c r="G1259">
        <f>IF(A1259="","",IF(C1259="",1,COUNTIF($C$2:$C$1501,C1259)))</f>
        <v/>
      </c>
      <c r="H1259" s="11">
        <f>IF(A1259="","",IFERROR(VALUE(SUBSTITUTE(SUBSTITUTE(INDEX('Shopify Import'!$A:$CZ,1259,Settings!$E$25)&amp;"","$",""),",","")),0)/IF(Settings!$D$27="Yes",G1259,1))</f>
        <v/>
      </c>
      <c r="I1259" s="11">
        <f>IF(A1259="","",IFERROR(VALUE(SUBSTITUTE(SUBSTITUTE(INDEX('Shopify Import'!$A:$CZ,1259,Settings!$E$26)&amp;"","$",""),",","")),0)/IF(Settings!$D$27="Yes",G1259,1))</f>
        <v/>
      </c>
      <c r="J1259" s="11">
        <f>IF(A1259="","",F1259+H1259-I1259)</f>
        <v/>
      </c>
      <c r="K1259">
        <f>IF(A1259="","",IFERROR(IF(B1259="",NA(),MATCH(B1259,Products!$B$5:$B$204,0)),IFERROR(MATCH(A1259,Products!$A$5:$A$204,0),"")))</f>
        <v/>
      </c>
      <c r="L1259">
        <f>IF(A1259="","",IF(K1259="","⚠ not in Products",INDEX(Products!$A$5:$A$204,K1259)))</f>
        <v/>
      </c>
      <c r="M1259" s="11">
        <f>IF(A1259="","",J1259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1259+IFERROR(INDEX(Settings!$D$5:$D$9,MATCH("Shopify",Settings!$A$5:$A$9,0)),0)*D1259)</f>
        <v/>
      </c>
      <c r="N1259" s="11">
        <f>IF(A1259="","",IF(K1259="",0,D1259*INDEX(Products!$I$5:$I$204,K1259)))</f>
        <v/>
      </c>
      <c r="O1259" s="11">
        <f>IF(A1259="","",IF(K1259="",0,J1259*INDEX(Products!$H$5:$H$204,K1259)))</f>
        <v/>
      </c>
      <c r="P1259" s="11">
        <f>IF(A1259="","",J1259-M1259-N1259-O1259)</f>
        <v/>
      </c>
    </row>
    <row r="1260">
      <c r="A1260">
        <f>IFERROR(INDEX('Shopify Import'!$A:$CZ,1260,Settings!$E$20)&amp;"","")</f>
        <v/>
      </c>
      <c r="B1260">
        <f>IFERROR(INDEX('Shopify Import'!$A:$CZ,1260,Settings!$E$21)&amp;"","")</f>
        <v/>
      </c>
      <c r="C1260">
        <f>IFERROR(INDEX('Shopify Import'!$A:$CZ,1260,Settings!$E$22)&amp;"","")</f>
        <v/>
      </c>
      <c r="D1260">
        <f>IF(A1260="","",IFERROR(VALUE(SUBSTITUTE(SUBSTITUTE(INDEX('Shopify Import'!$A:$CZ,1260,Settings!$E$23)&amp;"","$",""),",","")),0))</f>
        <v/>
      </c>
      <c r="E1260" s="11">
        <f>IF(A1260="","",IFERROR(VALUE(SUBSTITUTE(SUBSTITUTE(INDEX('Shopify Import'!$A:$CZ,1260,Settings!$E$24)&amp;"","$",""),",","")),0))</f>
        <v/>
      </c>
      <c r="F1260" s="11">
        <f>IF(A1260="","",D1260*E1260)</f>
        <v/>
      </c>
      <c r="G1260">
        <f>IF(A1260="","",IF(C1260="",1,COUNTIF($C$2:$C$1501,C1260)))</f>
        <v/>
      </c>
      <c r="H1260" s="11">
        <f>IF(A1260="","",IFERROR(VALUE(SUBSTITUTE(SUBSTITUTE(INDEX('Shopify Import'!$A:$CZ,1260,Settings!$E$25)&amp;"","$",""),",","")),0)/IF(Settings!$D$27="Yes",G1260,1))</f>
        <v/>
      </c>
      <c r="I1260" s="11">
        <f>IF(A1260="","",IFERROR(VALUE(SUBSTITUTE(SUBSTITUTE(INDEX('Shopify Import'!$A:$CZ,1260,Settings!$E$26)&amp;"","$",""),",","")),0)/IF(Settings!$D$27="Yes",G1260,1))</f>
        <v/>
      </c>
      <c r="J1260" s="11">
        <f>IF(A1260="","",F1260+H1260-I1260)</f>
        <v/>
      </c>
      <c r="K1260">
        <f>IF(A1260="","",IFERROR(IF(B1260="",NA(),MATCH(B1260,Products!$B$5:$B$204,0)),IFERROR(MATCH(A1260,Products!$A$5:$A$204,0),"")))</f>
        <v/>
      </c>
      <c r="L1260">
        <f>IF(A1260="","",IF(K1260="","⚠ not in Products",INDEX(Products!$A$5:$A$204,K1260)))</f>
        <v/>
      </c>
      <c r="M1260" s="11">
        <f>IF(A1260="","",J1260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1260+IFERROR(INDEX(Settings!$D$5:$D$9,MATCH("Shopify",Settings!$A$5:$A$9,0)),0)*D1260)</f>
        <v/>
      </c>
      <c r="N1260" s="11">
        <f>IF(A1260="","",IF(K1260="",0,D1260*INDEX(Products!$I$5:$I$204,K1260)))</f>
        <v/>
      </c>
      <c r="O1260" s="11">
        <f>IF(A1260="","",IF(K1260="",0,J1260*INDEX(Products!$H$5:$H$204,K1260)))</f>
        <v/>
      </c>
      <c r="P1260" s="11">
        <f>IF(A1260="","",J1260-M1260-N1260-O1260)</f>
        <v/>
      </c>
    </row>
    <row r="1261">
      <c r="A1261">
        <f>IFERROR(INDEX('Shopify Import'!$A:$CZ,1261,Settings!$E$20)&amp;"","")</f>
        <v/>
      </c>
      <c r="B1261">
        <f>IFERROR(INDEX('Shopify Import'!$A:$CZ,1261,Settings!$E$21)&amp;"","")</f>
        <v/>
      </c>
      <c r="C1261">
        <f>IFERROR(INDEX('Shopify Import'!$A:$CZ,1261,Settings!$E$22)&amp;"","")</f>
        <v/>
      </c>
      <c r="D1261">
        <f>IF(A1261="","",IFERROR(VALUE(SUBSTITUTE(SUBSTITUTE(INDEX('Shopify Import'!$A:$CZ,1261,Settings!$E$23)&amp;"","$",""),",","")),0))</f>
        <v/>
      </c>
      <c r="E1261" s="11">
        <f>IF(A1261="","",IFERROR(VALUE(SUBSTITUTE(SUBSTITUTE(INDEX('Shopify Import'!$A:$CZ,1261,Settings!$E$24)&amp;"","$",""),",","")),0))</f>
        <v/>
      </c>
      <c r="F1261" s="11">
        <f>IF(A1261="","",D1261*E1261)</f>
        <v/>
      </c>
      <c r="G1261">
        <f>IF(A1261="","",IF(C1261="",1,COUNTIF($C$2:$C$1501,C1261)))</f>
        <v/>
      </c>
      <c r="H1261" s="11">
        <f>IF(A1261="","",IFERROR(VALUE(SUBSTITUTE(SUBSTITUTE(INDEX('Shopify Import'!$A:$CZ,1261,Settings!$E$25)&amp;"","$",""),",","")),0)/IF(Settings!$D$27="Yes",G1261,1))</f>
        <v/>
      </c>
      <c r="I1261" s="11">
        <f>IF(A1261="","",IFERROR(VALUE(SUBSTITUTE(SUBSTITUTE(INDEX('Shopify Import'!$A:$CZ,1261,Settings!$E$26)&amp;"","$",""),",","")),0)/IF(Settings!$D$27="Yes",G1261,1))</f>
        <v/>
      </c>
      <c r="J1261" s="11">
        <f>IF(A1261="","",F1261+H1261-I1261)</f>
        <v/>
      </c>
      <c r="K1261">
        <f>IF(A1261="","",IFERROR(IF(B1261="",NA(),MATCH(B1261,Products!$B$5:$B$204,0)),IFERROR(MATCH(A1261,Products!$A$5:$A$204,0),"")))</f>
        <v/>
      </c>
      <c r="L1261">
        <f>IF(A1261="","",IF(K1261="","⚠ not in Products",INDEX(Products!$A$5:$A$204,K1261)))</f>
        <v/>
      </c>
      <c r="M1261" s="11">
        <f>IF(A1261="","",J1261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1261+IFERROR(INDEX(Settings!$D$5:$D$9,MATCH("Shopify",Settings!$A$5:$A$9,0)),0)*D1261)</f>
        <v/>
      </c>
      <c r="N1261" s="11">
        <f>IF(A1261="","",IF(K1261="",0,D1261*INDEX(Products!$I$5:$I$204,K1261)))</f>
        <v/>
      </c>
      <c r="O1261" s="11">
        <f>IF(A1261="","",IF(K1261="",0,J1261*INDEX(Products!$H$5:$H$204,K1261)))</f>
        <v/>
      </c>
      <c r="P1261" s="11">
        <f>IF(A1261="","",J1261-M1261-N1261-O1261)</f>
        <v/>
      </c>
    </row>
    <row r="1262">
      <c r="A1262">
        <f>IFERROR(INDEX('Shopify Import'!$A:$CZ,1262,Settings!$E$20)&amp;"","")</f>
        <v/>
      </c>
      <c r="B1262">
        <f>IFERROR(INDEX('Shopify Import'!$A:$CZ,1262,Settings!$E$21)&amp;"","")</f>
        <v/>
      </c>
      <c r="C1262">
        <f>IFERROR(INDEX('Shopify Import'!$A:$CZ,1262,Settings!$E$22)&amp;"","")</f>
        <v/>
      </c>
      <c r="D1262">
        <f>IF(A1262="","",IFERROR(VALUE(SUBSTITUTE(SUBSTITUTE(INDEX('Shopify Import'!$A:$CZ,1262,Settings!$E$23)&amp;"","$",""),",","")),0))</f>
        <v/>
      </c>
      <c r="E1262" s="11">
        <f>IF(A1262="","",IFERROR(VALUE(SUBSTITUTE(SUBSTITUTE(INDEX('Shopify Import'!$A:$CZ,1262,Settings!$E$24)&amp;"","$",""),",","")),0))</f>
        <v/>
      </c>
      <c r="F1262" s="11">
        <f>IF(A1262="","",D1262*E1262)</f>
        <v/>
      </c>
      <c r="G1262">
        <f>IF(A1262="","",IF(C1262="",1,COUNTIF($C$2:$C$1501,C1262)))</f>
        <v/>
      </c>
      <c r="H1262" s="11">
        <f>IF(A1262="","",IFERROR(VALUE(SUBSTITUTE(SUBSTITUTE(INDEX('Shopify Import'!$A:$CZ,1262,Settings!$E$25)&amp;"","$",""),",","")),0)/IF(Settings!$D$27="Yes",G1262,1))</f>
        <v/>
      </c>
      <c r="I1262" s="11">
        <f>IF(A1262="","",IFERROR(VALUE(SUBSTITUTE(SUBSTITUTE(INDEX('Shopify Import'!$A:$CZ,1262,Settings!$E$26)&amp;"","$",""),",","")),0)/IF(Settings!$D$27="Yes",G1262,1))</f>
        <v/>
      </c>
      <c r="J1262" s="11">
        <f>IF(A1262="","",F1262+H1262-I1262)</f>
        <v/>
      </c>
      <c r="K1262">
        <f>IF(A1262="","",IFERROR(IF(B1262="",NA(),MATCH(B1262,Products!$B$5:$B$204,0)),IFERROR(MATCH(A1262,Products!$A$5:$A$204,0),"")))</f>
        <v/>
      </c>
      <c r="L1262">
        <f>IF(A1262="","",IF(K1262="","⚠ not in Products",INDEX(Products!$A$5:$A$204,K1262)))</f>
        <v/>
      </c>
      <c r="M1262" s="11">
        <f>IF(A1262="","",J1262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1262+IFERROR(INDEX(Settings!$D$5:$D$9,MATCH("Shopify",Settings!$A$5:$A$9,0)),0)*D1262)</f>
        <v/>
      </c>
      <c r="N1262" s="11">
        <f>IF(A1262="","",IF(K1262="",0,D1262*INDEX(Products!$I$5:$I$204,K1262)))</f>
        <v/>
      </c>
      <c r="O1262" s="11">
        <f>IF(A1262="","",IF(K1262="",0,J1262*INDEX(Products!$H$5:$H$204,K1262)))</f>
        <v/>
      </c>
      <c r="P1262" s="11">
        <f>IF(A1262="","",J1262-M1262-N1262-O1262)</f>
        <v/>
      </c>
    </row>
    <row r="1263">
      <c r="A1263">
        <f>IFERROR(INDEX('Shopify Import'!$A:$CZ,1263,Settings!$E$20)&amp;"","")</f>
        <v/>
      </c>
      <c r="B1263">
        <f>IFERROR(INDEX('Shopify Import'!$A:$CZ,1263,Settings!$E$21)&amp;"","")</f>
        <v/>
      </c>
      <c r="C1263">
        <f>IFERROR(INDEX('Shopify Import'!$A:$CZ,1263,Settings!$E$22)&amp;"","")</f>
        <v/>
      </c>
      <c r="D1263">
        <f>IF(A1263="","",IFERROR(VALUE(SUBSTITUTE(SUBSTITUTE(INDEX('Shopify Import'!$A:$CZ,1263,Settings!$E$23)&amp;"","$",""),",","")),0))</f>
        <v/>
      </c>
      <c r="E1263" s="11">
        <f>IF(A1263="","",IFERROR(VALUE(SUBSTITUTE(SUBSTITUTE(INDEX('Shopify Import'!$A:$CZ,1263,Settings!$E$24)&amp;"","$",""),",","")),0))</f>
        <v/>
      </c>
      <c r="F1263" s="11">
        <f>IF(A1263="","",D1263*E1263)</f>
        <v/>
      </c>
      <c r="G1263">
        <f>IF(A1263="","",IF(C1263="",1,COUNTIF($C$2:$C$1501,C1263)))</f>
        <v/>
      </c>
      <c r="H1263" s="11">
        <f>IF(A1263="","",IFERROR(VALUE(SUBSTITUTE(SUBSTITUTE(INDEX('Shopify Import'!$A:$CZ,1263,Settings!$E$25)&amp;"","$",""),",","")),0)/IF(Settings!$D$27="Yes",G1263,1))</f>
        <v/>
      </c>
      <c r="I1263" s="11">
        <f>IF(A1263="","",IFERROR(VALUE(SUBSTITUTE(SUBSTITUTE(INDEX('Shopify Import'!$A:$CZ,1263,Settings!$E$26)&amp;"","$",""),",","")),0)/IF(Settings!$D$27="Yes",G1263,1))</f>
        <v/>
      </c>
      <c r="J1263" s="11">
        <f>IF(A1263="","",F1263+H1263-I1263)</f>
        <v/>
      </c>
      <c r="K1263">
        <f>IF(A1263="","",IFERROR(IF(B1263="",NA(),MATCH(B1263,Products!$B$5:$B$204,0)),IFERROR(MATCH(A1263,Products!$A$5:$A$204,0),"")))</f>
        <v/>
      </c>
      <c r="L1263">
        <f>IF(A1263="","",IF(K1263="","⚠ not in Products",INDEX(Products!$A$5:$A$204,K1263)))</f>
        <v/>
      </c>
      <c r="M1263" s="11">
        <f>IF(A1263="","",J1263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1263+IFERROR(INDEX(Settings!$D$5:$D$9,MATCH("Shopify",Settings!$A$5:$A$9,0)),0)*D1263)</f>
        <v/>
      </c>
      <c r="N1263" s="11">
        <f>IF(A1263="","",IF(K1263="",0,D1263*INDEX(Products!$I$5:$I$204,K1263)))</f>
        <v/>
      </c>
      <c r="O1263" s="11">
        <f>IF(A1263="","",IF(K1263="",0,J1263*INDEX(Products!$H$5:$H$204,K1263)))</f>
        <v/>
      </c>
      <c r="P1263" s="11">
        <f>IF(A1263="","",J1263-M1263-N1263-O1263)</f>
        <v/>
      </c>
    </row>
    <row r="1264">
      <c r="A1264">
        <f>IFERROR(INDEX('Shopify Import'!$A:$CZ,1264,Settings!$E$20)&amp;"","")</f>
        <v/>
      </c>
      <c r="B1264">
        <f>IFERROR(INDEX('Shopify Import'!$A:$CZ,1264,Settings!$E$21)&amp;"","")</f>
        <v/>
      </c>
      <c r="C1264">
        <f>IFERROR(INDEX('Shopify Import'!$A:$CZ,1264,Settings!$E$22)&amp;"","")</f>
        <v/>
      </c>
      <c r="D1264">
        <f>IF(A1264="","",IFERROR(VALUE(SUBSTITUTE(SUBSTITUTE(INDEX('Shopify Import'!$A:$CZ,1264,Settings!$E$23)&amp;"","$",""),",","")),0))</f>
        <v/>
      </c>
      <c r="E1264" s="11">
        <f>IF(A1264="","",IFERROR(VALUE(SUBSTITUTE(SUBSTITUTE(INDEX('Shopify Import'!$A:$CZ,1264,Settings!$E$24)&amp;"","$",""),",","")),0))</f>
        <v/>
      </c>
      <c r="F1264" s="11">
        <f>IF(A1264="","",D1264*E1264)</f>
        <v/>
      </c>
      <c r="G1264">
        <f>IF(A1264="","",IF(C1264="",1,COUNTIF($C$2:$C$1501,C1264)))</f>
        <v/>
      </c>
      <c r="H1264" s="11">
        <f>IF(A1264="","",IFERROR(VALUE(SUBSTITUTE(SUBSTITUTE(INDEX('Shopify Import'!$A:$CZ,1264,Settings!$E$25)&amp;"","$",""),",","")),0)/IF(Settings!$D$27="Yes",G1264,1))</f>
        <v/>
      </c>
      <c r="I1264" s="11">
        <f>IF(A1264="","",IFERROR(VALUE(SUBSTITUTE(SUBSTITUTE(INDEX('Shopify Import'!$A:$CZ,1264,Settings!$E$26)&amp;"","$",""),",","")),0)/IF(Settings!$D$27="Yes",G1264,1))</f>
        <v/>
      </c>
      <c r="J1264" s="11">
        <f>IF(A1264="","",F1264+H1264-I1264)</f>
        <v/>
      </c>
      <c r="K1264">
        <f>IF(A1264="","",IFERROR(IF(B1264="",NA(),MATCH(B1264,Products!$B$5:$B$204,0)),IFERROR(MATCH(A1264,Products!$A$5:$A$204,0),"")))</f>
        <v/>
      </c>
      <c r="L1264">
        <f>IF(A1264="","",IF(K1264="","⚠ not in Products",INDEX(Products!$A$5:$A$204,K1264)))</f>
        <v/>
      </c>
      <c r="M1264" s="11">
        <f>IF(A1264="","",J1264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1264+IFERROR(INDEX(Settings!$D$5:$D$9,MATCH("Shopify",Settings!$A$5:$A$9,0)),0)*D1264)</f>
        <v/>
      </c>
      <c r="N1264" s="11">
        <f>IF(A1264="","",IF(K1264="",0,D1264*INDEX(Products!$I$5:$I$204,K1264)))</f>
        <v/>
      </c>
      <c r="O1264" s="11">
        <f>IF(A1264="","",IF(K1264="",0,J1264*INDEX(Products!$H$5:$H$204,K1264)))</f>
        <v/>
      </c>
      <c r="P1264" s="11">
        <f>IF(A1264="","",J1264-M1264-N1264-O1264)</f>
        <v/>
      </c>
    </row>
    <row r="1265">
      <c r="A1265">
        <f>IFERROR(INDEX('Shopify Import'!$A:$CZ,1265,Settings!$E$20)&amp;"","")</f>
        <v/>
      </c>
      <c r="B1265">
        <f>IFERROR(INDEX('Shopify Import'!$A:$CZ,1265,Settings!$E$21)&amp;"","")</f>
        <v/>
      </c>
      <c r="C1265">
        <f>IFERROR(INDEX('Shopify Import'!$A:$CZ,1265,Settings!$E$22)&amp;"","")</f>
        <v/>
      </c>
      <c r="D1265">
        <f>IF(A1265="","",IFERROR(VALUE(SUBSTITUTE(SUBSTITUTE(INDEX('Shopify Import'!$A:$CZ,1265,Settings!$E$23)&amp;"","$",""),",","")),0))</f>
        <v/>
      </c>
      <c r="E1265" s="11">
        <f>IF(A1265="","",IFERROR(VALUE(SUBSTITUTE(SUBSTITUTE(INDEX('Shopify Import'!$A:$CZ,1265,Settings!$E$24)&amp;"","$",""),",","")),0))</f>
        <v/>
      </c>
      <c r="F1265" s="11">
        <f>IF(A1265="","",D1265*E1265)</f>
        <v/>
      </c>
      <c r="G1265">
        <f>IF(A1265="","",IF(C1265="",1,COUNTIF($C$2:$C$1501,C1265)))</f>
        <v/>
      </c>
      <c r="H1265" s="11">
        <f>IF(A1265="","",IFERROR(VALUE(SUBSTITUTE(SUBSTITUTE(INDEX('Shopify Import'!$A:$CZ,1265,Settings!$E$25)&amp;"","$",""),",","")),0)/IF(Settings!$D$27="Yes",G1265,1))</f>
        <v/>
      </c>
      <c r="I1265" s="11">
        <f>IF(A1265="","",IFERROR(VALUE(SUBSTITUTE(SUBSTITUTE(INDEX('Shopify Import'!$A:$CZ,1265,Settings!$E$26)&amp;"","$",""),",","")),0)/IF(Settings!$D$27="Yes",G1265,1))</f>
        <v/>
      </c>
      <c r="J1265" s="11">
        <f>IF(A1265="","",F1265+H1265-I1265)</f>
        <v/>
      </c>
      <c r="K1265">
        <f>IF(A1265="","",IFERROR(IF(B1265="",NA(),MATCH(B1265,Products!$B$5:$B$204,0)),IFERROR(MATCH(A1265,Products!$A$5:$A$204,0),"")))</f>
        <v/>
      </c>
      <c r="L1265">
        <f>IF(A1265="","",IF(K1265="","⚠ not in Products",INDEX(Products!$A$5:$A$204,K1265)))</f>
        <v/>
      </c>
      <c r="M1265" s="11">
        <f>IF(A1265="","",J1265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1265+IFERROR(INDEX(Settings!$D$5:$D$9,MATCH("Shopify",Settings!$A$5:$A$9,0)),0)*D1265)</f>
        <v/>
      </c>
      <c r="N1265" s="11">
        <f>IF(A1265="","",IF(K1265="",0,D1265*INDEX(Products!$I$5:$I$204,K1265)))</f>
        <v/>
      </c>
      <c r="O1265" s="11">
        <f>IF(A1265="","",IF(K1265="",0,J1265*INDEX(Products!$H$5:$H$204,K1265)))</f>
        <v/>
      </c>
      <c r="P1265" s="11">
        <f>IF(A1265="","",J1265-M1265-N1265-O1265)</f>
        <v/>
      </c>
    </row>
    <row r="1266">
      <c r="A1266">
        <f>IFERROR(INDEX('Shopify Import'!$A:$CZ,1266,Settings!$E$20)&amp;"","")</f>
        <v/>
      </c>
      <c r="B1266">
        <f>IFERROR(INDEX('Shopify Import'!$A:$CZ,1266,Settings!$E$21)&amp;"","")</f>
        <v/>
      </c>
      <c r="C1266">
        <f>IFERROR(INDEX('Shopify Import'!$A:$CZ,1266,Settings!$E$22)&amp;"","")</f>
        <v/>
      </c>
      <c r="D1266">
        <f>IF(A1266="","",IFERROR(VALUE(SUBSTITUTE(SUBSTITUTE(INDEX('Shopify Import'!$A:$CZ,1266,Settings!$E$23)&amp;"","$",""),",","")),0))</f>
        <v/>
      </c>
      <c r="E1266" s="11">
        <f>IF(A1266="","",IFERROR(VALUE(SUBSTITUTE(SUBSTITUTE(INDEX('Shopify Import'!$A:$CZ,1266,Settings!$E$24)&amp;"","$",""),",","")),0))</f>
        <v/>
      </c>
      <c r="F1266" s="11">
        <f>IF(A1266="","",D1266*E1266)</f>
        <v/>
      </c>
      <c r="G1266">
        <f>IF(A1266="","",IF(C1266="",1,COUNTIF($C$2:$C$1501,C1266)))</f>
        <v/>
      </c>
      <c r="H1266" s="11">
        <f>IF(A1266="","",IFERROR(VALUE(SUBSTITUTE(SUBSTITUTE(INDEX('Shopify Import'!$A:$CZ,1266,Settings!$E$25)&amp;"","$",""),",","")),0)/IF(Settings!$D$27="Yes",G1266,1))</f>
        <v/>
      </c>
      <c r="I1266" s="11">
        <f>IF(A1266="","",IFERROR(VALUE(SUBSTITUTE(SUBSTITUTE(INDEX('Shopify Import'!$A:$CZ,1266,Settings!$E$26)&amp;"","$",""),",","")),0)/IF(Settings!$D$27="Yes",G1266,1))</f>
        <v/>
      </c>
      <c r="J1266" s="11">
        <f>IF(A1266="","",F1266+H1266-I1266)</f>
        <v/>
      </c>
      <c r="K1266">
        <f>IF(A1266="","",IFERROR(IF(B1266="",NA(),MATCH(B1266,Products!$B$5:$B$204,0)),IFERROR(MATCH(A1266,Products!$A$5:$A$204,0),"")))</f>
        <v/>
      </c>
      <c r="L1266">
        <f>IF(A1266="","",IF(K1266="","⚠ not in Products",INDEX(Products!$A$5:$A$204,K1266)))</f>
        <v/>
      </c>
      <c r="M1266" s="11">
        <f>IF(A1266="","",J1266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1266+IFERROR(INDEX(Settings!$D$5:$D$9,MATCH("Shopify",Settings!$A$5:$A$9,0)),0)*D1266)</f>
        <v/>
      </c>
      <c r="N1266" s="11">
        <f>IF(A1266="","",IF(K1266="",0,D1266*INDEX(Products!$I$5:$I$204,K1266)))</f>
        <v/>
      </c>
      <c r="O1266" s="11">
        <f>IF(A1266="","",IF(K1266="",0,J1266*INDEX(Products!$H$5:$H$204,K1266)))</f>
        <v/>
      </c>
      <c r="P1266" s="11">
        <f>IF(A1266="","",J1266-M1266-N1266-O1266)</f>
        <v/>
      </c>
    </row>
    <row r="1267">
      <c r="A1267">
        <f>IFERROR(INDEX('Shopify Import'!$A:$CZ,1267,Settings!$E$20)&amp;"","")</f>
        <v/>
      </c>
      <c r="B1267">
        <f>IFERROR(INDEX('Shopify Import'!$A:$CZ,1267,Settings!$E$21)&amp;"","")</f>
        <v/>
      </c>
      <c r="C1267">
        <f>IFERROR(INDEX('Shopify Import'!$A:$CZ,1267,Settings!$E$22)&amp;"","")</f>
        <v/>
      </c>
      <c r="D1267">
        <f>IF(A1267="","",IFERROR(VALUE(SUBSTITUTE(SUBSTITUTE(INDEX('Shopify Import'!$A:$CZ,1267,Settings!$E$23)&amp;"","$",""),",","")),0))</f>
        <v/>
      </c>
      <c r="E1267" s="11">
        <f>IF(A1267="","",IFERROR(VALUE(SUBSTITUTE(SUBSTITUTE(INDEX('Shopify Import'!$A:$CZ,1267,Settings!$E$24)&amp;"","$",""),",","")),0))</f>
        <v/>
      </c>
      <c r="F1267" s="11">
        <f>IF(A1267="","",D1267*E1267)</f>
        <v/>
      </c>
      <c r="G1267">
        <f>IF(A1267="","",IF(C1267="",1,COUNTIF($C$2:$C$1501,C1267)))</f>
        <v/>
      </c>
      <c r="H1267" s="11">
        <f>IF(A1267="","",IFERROR(VALUE(SUBSTITUTE(SUBSTITUTE(INDEX('Shopify Import'!$A:$CZ,1267,Settings!$E$25)&amp;"","$",""),",","")),0)/IF(Settings!$D$27="Yes",G1267,1))</f>
        <v/>
      </c>
      <c r="I1267" s="11">
        <f>IF(A1267="","",IFERROR(VALUE(SUBSTITUTE(SUBSTITUTE(INDEX('Shopify Import'!$A:$CZ,1267,Settings!$E$26)&amp;"","$",""),",","")),0)/IF(Settings!$D$27="Yes",G1267,1))</f>
        <v/>
      </c>
      <c r="J1267" s="11">
        <f>IF(A1267="","",F1267+H1267-I1267)</f>
        <v/>
      </c>
      <c r="K1267">
        <f>IF(A1267="","",IFERROR(IF(B1267="",NA(),MATCH(B1267,Products!$B$5:$B$204,0)),IFERROR(MATCH(A1267,Products!$A$5:$A$204,0),"")))</f>
        <v/>
      </c>
      <c r="L1267">
        <f>IF(A1267="","",IF(K1267="","⚠ not in Products",INDEX(Products!$A$5:$A$204,K1267)))</f>
        <v/>
      </c>
      <c r="M1267" s="11">
        <f>IF(A1267="","",J1267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1267+IFERROR(INDEX(Settings!$D$5:$D$9,MATCH("Shopify",Settings!$A$5:$A$9,0)),0)*D1267)</f>
        <v/>
      </c>
      <c r="N1267" s="11">
        <f>IF(A1267="","",IF(K1267="",0,D1267*INDEX(Products!$I$5:$I$204,K1267)))</f>
        <v/>
      </c>
      <c r="O1267" s="11">
        <f>IF(A1267="","",IF(K1267="",0,J1267*INDEX(Products!$H$5:$H$204,K1267)))</f>
        <v/>
      </c>
      <c r="P1267" s="11">
        <f>IF(A1267="","",J1267-M1267-N1267-O1267)</f>
        <v/>
      </c>
    </row>
    <row r="1268">
      <c r="A1268">
        <f>IFERROR(INDEX('Shopify Import'!$A:$CZ,1268,Settings!$E$20)&amp;"","")</f>
        <v/>
      </c>
      <c r="B1268">
        <f>IFERROR(INDEX('Shopify Import'!$A:$CZ,1268,Settings!$E$21)&amp;"","")</f>
        <v/>
      </c>
      <c r="C1268">
        <f>IFERROR(INDEX('Shopify Import'!$A:$CZ,1268,Settings!$E$22)&amp;"","")</f>
        <v/>
      </c>
      <c r="D1268">
        <f>IF(A1268="","",IFERROR(VALUE(SUBSTITUTE(SUBSTITUTE(INDEX('Shopify Import'!$A:$CZ,1268,Settings!$E$23)&amp;"","$",""),",","")),0))</f>
        <v/>
      </c>
      <c r="E1268" s="11">
        <f>IF(A1268="","",IFERROR(VALUE(SUBSTITUTE(SUBSTITUTE(INDEX('Shopify Import'!$A:$CZ,1268,Settings!$E$24)&amp;"","$",""),",","")),0))</f>
        <v/>
      </c>
      <c r="F1268" s="11">
        <f>IF(A1268="","",D1268*E1268)</f>
        <v/>
      </c>
      <c r="G1268">
        <f>IF(A1268="","",IF(C1268="",1,COUNTIF($C$2:$C$1501,C1268)))</f>
        <v/>
      </c>
      <c r="H1268" s="11">
        <f>IF(A1268="","",IFERROR(VALUE(SUBSTITUTE(SUBSTITUTE(INDEX('Shopify Import'!$A:$CZ,1268,Settings!$E$25)&amp;"","$",""),",","")),0)/IF(Settings!$D$27="Yes",G1268,1))</f>
        <v/>
      </c>
      <c r="I1268" s="11">
        <f>IF(A1268="","",IFERROR(VALUE(SUBSTITUTE(SUBSTITUTE(INDEX('Shopify Import'!$A:$CZ,1268,Settings!$E$26)&amp;"","$",""),",","")),0)/IF(Settings!$D$27="Yes",G1268,1))</f>
        <v/>
      </c>
      <c r="J1268" s="11">
        <f>IF(A1268="","",F1268+H1268-I1268)</f>
        <v/>
      </c>
      <c r="K1268">
        <f>IF(A1268="","",IFERROR(IF(B1268="",NA(),MATCH(B1268,Products!$B$5:$B$204,0)),IFERROR(MATCH(A1268,Products!$A$5:$A$204,0),"")))</f>
        <v/>
      </c>
      <c r="L1268">
        <f>IF(A1268="","",IF(K1268="","⚠ not in Products",INDEX(Products!$A$5:$A$204,K1268)))</f>
        <v/>
      </c>
      <c r="M1268" s="11">
        <f>IF(A1268="","",J1268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1268+IFERROR(INDEX(Settings!$D$5:$D$9,MATCH("Shopify",Settings!$A$5:$A$9,0)),0)*D1268)</f>
        <v/>
      </c>
      <c r="N1268" s="11">
        <f>IF(A1268="","",IF(K1268="",0,D1268*INDEX(Products!$I$5:$I$204,K1268)))</f>
        <v/>
      </c>
      <c r="O1268" s="11">
        <f>IF(A1268="","",IF(K1268="",0,J1268*INDEX(Products!$H$5:$H$204,K1268)))</f>
        <v/>
      </c>
      <c r="P1268" s="11">
        <f>IF(A1268="","",J1268-M1268-N1268-O1268)</f>
        <v/>
      </c>
    </row>
    <row r="1269">
      <c r="A1269">
        <f>IFERROR(INDEX('Shopify Import'!$A:$CZ,1269,Settings!$E$20)&amp;"","")</f>
        <v/>
      </c>
      <c r="B1269">
        <f>IFERROR(INDEX('Shopify Import'!$A:$CZ,1269,Settings!$E$21)&amp;"","")</f>
        <v/>
      </c>
      <c r="C1269">
        <f>IFERROR(INDEX('Shopify Import'!$A:$CZ,1269,Settings!$E$22)&amp;"","")</f>
        <v/>
      </c>
      <c r="D1269">
        <f>IF(A1269="","",IFERROR(VALUE(SUBSTITUTE(SUBSTITUTE(INDEX('Shopify Import'!$A:$CZ,1269,Settings!$E$23)&amp;"","$",""),",","")),0))</f>
        <v/>
      </c>
      <c r="E1269" s="11">
        <f>IF(A1269="","",IFERROR(VALUE(SUBSTITUTE(SUBSTITUTE(INDEX('Shopify Import'!$A:$CZ,1269,Settings!$E$24)&amp;"","$",""),",","")),0))</f>
        <v/>
      </c>
      <c r="F1269" s="11">
        <f>IF(A1269="","",D1269*E1269)</f>
        <v/>
      </c>
      <c r="G1269">
        <f>IF(A1269="","",IF(C1269="",1,COUNTIF($C$2:$C$1501,C1269)))</f>
        <v/>
      </c>
      <c r="H1269" s="11">
        <f>IF(A1269="","",IFERROR(VALUE(SUBSTITUTE(SUBSTITUTE(INDEX('Shopify Import'!$A:$CZ,1269,Settings!$E$25)&amp;"","$",""),",","")),0)/IF(Settings!$D$27="Yes",G1269,1))</f>
        <v/>
      </c>
      <c r="I1269" s="11">
        <f>IF(A1269="","",IFERROR(VALUE(SUBSTITUTE(SUBSTITUTE(INDEX('Shopify Import'!$A:$CZ,1269,Settings!$E$26)&amp;"","$",""),",","")),0)/IF(Settings!$D$27="Yes",G1269,1))</f>
        <v/>
      </c>
      <c r="J1269" s="11">
        <f>IF(A1269="","",F1269+H1269-I1269)</f>
        <v/>
      </c>
      <c r="K1269">
        <f>IF(A1269="","",IFERROR(IF(B1269="",NA(),MATCH(B1269,Products!$B$5:$B$204,0)),IFERROR(MATCH(A1269,Products!$A$5:$A$204,0),"")))</f>
        <v/>
      </c>
      <c r="L1269">
        <f>IF(A1269="","",IF(K1269="","⚠ not in Products",INDEX(Products!$A$5:$A$204,K1269)))</f>
        <v/>
      </c>
      <c r="M1269" s="11">
        <f>IF(A1269="","",J1269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1269+IFERROR(INDEX(Settings!$D$5:$D$9,MATCH("Shopify",Settings!$A$5:$A$9,0)),0)*D1269)</f>
        <v/>
      </c>
      <c r="N1269" s="11">
        <f>IF(A1269="","",IF(K1269="",0,D1269*INDEX(Products!$I$5:$I$204,K1269)))</f>
        <v/>
      </c>
      <c r="O1269" s="11">
        <f>IF(A1269="","",IF(K1269="",0,J1269*INDEX(Products!$H$5:$H$204,K1269)))</f>
        <v/>
      </c>
      <c r="P1269" s="11">
        <f>IF(A1269="","",J1269-M1269-N1269-O1269)</f>
        <v/>
      </c>
    </row>
    <row r="1270">
      <c r="A1270">
        <f>IFERROR(INDEX('Shopify Import'!$A:$CZ,1270,Settings!$E$20)&amp;"","")</f>
        <v/>
      </c>
      <c r="B1270">
        <f>IFERROR(INDEX('Shopify Import'!$A:$CZ,1270,Settings!$E$21)&amp;"","")</f>
        <v/>
      </c>
      <c r="C1270">
        <f>IFERROR(INDEX('Shopify Import'!$A:$CZ,1270,Settings!$E$22)&amp;"","")</f>
        <v/>
      </c>
      <c r="D1270">
        <f>IF(A1270="","",IFERROR(VALUE(SUBSTITUTE(SUBSTITUTE(INDEX('Shopify Import'!$A:$CZ,1270,Settings!$E$23)&amp;"","$",""),",","")),0))</f>
        <v/>
      </c>
      <c r="E1270" s="11">
        <f>IF(A1270="","",IFERROR(VALUE(SUBSTITUTE(SUBSTITUTE(INDEX('Shopify Import'!$A:$CZ,1270,Settings!$E$24)&amp;"","$",""),",","")),0))</f>
        <v/>
      </c>
      <c r="F1270" s="11">
        <f>IF(A1270="","",D1270*E1270)</f>
        <v/>
      </c>
      <c r="G1270">
        <f>IF(A1270="","",IF(C1270="",1,COUNTIF($C$2:$C$1501,C1270)))</f>
        <v/>
      </c>
      <c r="H1270" s="11">
        <f>IF(A1270="","",IFERROR(VALUE(SUBSTITUTE(SUBSTITUTE(INDEX('Shopify Import'!$A:$CZ,1270,Settings!$E$25)&amp;"","$",""),",","")),0)/IF(Settings!$D$27="Yes",G1270,1))</f>
        <v/>
      </c>
      <c r="I1270" s="11">
        <f>IF(A1270="","",IFERROR(VALUE(SUBSTITUTE(SUBSTITUTE(INDEX('Shopify Import'!$A:$CZ,1270,Settings!$E$26)&amp;"","$",""),",","")),0)/IF(Settings!$D$27="Yes",G1270,1))</f>
        <v/>
      </c>
      <c r="J1270" s="11">
        <f>IF(A1270="","",F1270+H1270-I1270)</f>
        <v/>
      </c>
      <c r="K1270">
        <f>IF(A1270="","",IFERROR(IF(B1270="",NA(),MATCH(B1270,Products!$B$5:$B$204,0)),IFERROR(MATCH(A1270,Products!$A$5:$A$204,0),"")))</f>
        <v/>
      </c>
      <c r="L1270">
        <f>IF(A1270="","",IF(K1270="","⚠ not in Products",INDEX(Products!$A$5:$A$204,K1270)))</f>
        <v/>
      </c>
      <c r="M1270" s="11">
        <f>IF(A1270="","",J1270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1270+IFERROR(INDEX(Settings!$D$5:$D$9,MATCH("Shopify",Settings!$A$5:$A$9,0)),0)*D1270)</f>
        <v/>
      </c>
      <c r="N1270" s="11">
        <f>IF(A1270="","",IF(K1270="",0,D1270*INDEX(Products!$I$5:$I$204,K1270)))</f>
        <v/>
      </c>
      <c r="O1270" s="11">
        <f>IF(A1270="","",IF(K1270="",0,J1270*INDEX(Products!$H$5:$H$204,K1270)))</f>
        <v/>
      </c>
      <c r="P1270" s="11">
        <f>IF(A1270="","",J1270-M1270-N1270-O1270)</f>
        <v/>
      </c>
    </row>
    <row r="1271">
      <c r="A1271">
        <f>IFERROR(INDEX('Shopify Import'!$A:$CZ,1271,Settings!$E$20)&amp;"","")</f>
        <v/>
      </c>
      <c r="B1271">
        <f>IFERROR(INDEX('Shopify Import'!$A:$CZ,1271,Settings!$E$21)&amp;"","")</f>
        <v/>
      </c>
      <c r="C1271">
        <f>IFERROR(INDEX('Shopify Import'!$A:$CZ,1271,Settings!$E$22)&amp;"","")</f>
        <v/>
      </c>
      <c r="D1271">
        <f>IF(A1271="","",IFERROR(VALUE(SUBSTITUTE(SUBSTITUTE(INDEX('Shopify Import'!$A:$CZ,1271,Settings!$E$23)&amp;"","$",""),",","")),0))</f>
        <v/>
      </c>
      <c r="E1271" s="11">
        <f>IF(A1271="","",IFERROR(VALUE(SUBSTITUTE(SUBSTITUTE(INDEX('Shopify Import'!$A:$CZ,1271,Settings!$E$24)&amp;"","$",""),",","")),0))</f>
        <v/>
      </c>
      <c r="F1271" s="11">
        <f>IF(A1271="","",D1271*E1271)</f>
        <v/>
      </c>
      <c r="G1271">
        <f>IF(A1271="","",IF(C1271="",1,COUNTIF($C$2:$C$1501,C1271)))</f>
        <v/>
      </c>
      <c r="H1271" s="11">
        <f>IF(A1271="","",IFERROR(VALUE(SUBSTITUTE(SUBSTITUTE(INDEX('Shopify Import'!$A:$CZ,1271,Settings!$E$25)&amp;"","$",""),",","")),0)/IF(Settings!$D$27="Yes",G1271,1))</f>
        <v/>
      </c>
      <c r="I1271" s="11">
        <f>IF(A1271="","",IFERROR(VALUE(SUBSTITUTE(SUBSTITUTE(INDEX('Shopify Import'!$A:$CZ,1271,Settings!$E$26)&amp;"","$",""),",","")),0)/IF(Settings!$D$27="Yes",G1271,1))</f>
        <v/>
      </c>
      <c r="J1271" s="11">
        <f>IF(A1271="","",F1271+H1271-I1271)</f>
        <v/>
      </c>
      <c r="K1271">
        <f>IF(A1271="","",IFERROR(IF(B1271="",NA(),MATCH(B1271,Products!$B$5:$B$204,0)),IFERROR(MATCH(A1271,Products!$A$5:$A$204,0),"")))</f>
        <v/>
      </c>
      <c r="L1271">
        <f>IF(A1271="","",IF(K1271="","⚠ not in Products",INDEX(Products!$A$5:$A$204,K1271)))</f>
        <v/>
      </c>
      <c r="M1271" s="11">
        <f>IF(A1271="","",J1271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1271+IFERROR(INDEX(Settings!$D$5:$D$9,MATCH("Shopify",Settings!$A$5:$A$9,0)),0)*D1271)</f>
        <v/>
      </c>
      <c r="N1271" s="11">
        <f>IF(A1271="","",IF(K1271="",0,D1271*INDEX(Products!$I$5:$I$204,K1271)))</f>
        <v/>
      </c>
      <c r="O1271" s="11">
        <f>IF(A1271="","",IF(K1271="",0,J1271*INDEX(Products!$H$5:$H$204,K1271)))</f>
        <v/>
      </c>
      <c r="P1271" s="11">
        <f>IF(A1271="","",J1271-M1271-N1271-O1271)</f>
        <v/>
      </c>
    </row>
    <row r="1272">
      <c r="A1272">
        <f>IFERROR(INDEX('Shopify Import'!$A:$CZ,1272,Settings!$E$20)&amp;"","")</f>
        <v/>
      </c>
      <c r="B1272">
        <f>IFERROR(INDEX('Shopify Import'!$A:$CZ,1272,Settings!$E$21)&amp;"","")</f>
        <v/>
      </c>
      <c r="C1272">
        <f>IFERROR(INDEX('Shopify Import'!$A:$CZ,1272,Settings!$E$22)&amp;"","")</f>
        <v/>
      </c>
      <c r="D1272">
        <f>IF(A1272="","",IFERROR(VALUE(SUBSTITUTE(SUBSTITUTE(INDEX('Shopify Import'!$A:$CZ,1272,Settings!$E$23)&amp;"","$",""),",","")),0))</f>
        <v/>
      </c>
      <c r="E1272" s="11">
        <f>IF(A1272="","",IFERROR(VALUE(SUBSTITUTE(SUBSTITUTE(INDEX('Shopify Import'!$A:$CZ,1272,Settings!$E$24)&amp;"","$",""),",","")),0))</f>
        <v/>
      </c>
      <c r="F1272" s="11">
        <f>IF(A1272="","",D1272*E1272)</f>
        <v/>
      </c>
      <c r="G1272">
        <f>IF(A1272="","",IF(C1272="",1,COUNTIF($C$2:$C$1501,C1272)))</f>
        <v/>
      </c>
      <c r="H1272" s="11">
        <f>IF(A1272="","",IFERROR(VALUE(SUBSTITUTE(SUBSTITUTE(INDEX('Shopify Import'!$A:$CZ,1272,Settings!$E$25)&amp;"","$",""),",","")),0)/IF(Settings!$D$27="Yes",G1272,1))</f>
        <v/>
      </c>
      <c r="I1272" s="11">
        <f>IF(A1272="","",IFERROR(VALUE(SUBSTITUTE(SUBSTITUTE(INDEX('Shopify Import'!$A:$CZ,1272,Settings!$E$26)&amp;"","$",""),",","")),0)/IF(Settings!$D$27="Yes",G1272,1))</f>
        <v/>
      </c>
      <c r="J1272" s="11">
        <f>IF(A1272="","",F1272+H1272-I1272)</f>
        <v/>
      </c>
      <c r="K1272">
        <f>IF(A1272="","",IFERROR(IF(B1272="",NA(),MATCH(B1272,Products!$B$5:$B$204,0)),IFERROR(MATCH(A1272,Products!$A$5:$A$204,0),"")))</f>
        <v/>
      </c>
      <c r="L1272">
        <f>IF(A1272="","",IF(K1272="","⚠ not in Products",INDEX(Products!$A$5:$A$204,K1272)))</f>
        <v/>
      </c>
      <c r="M1272" s="11">
        <f>IF(A1272="","",J1272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1272+IFERROR(INDEX(Settings!$D$5:$D$9,MATCH("Shopify",Settings!$A$5:$A$9,0)),0)*D1272)</f>
        <v/>
      </c>
      <c r="N1272" s="11">
        <f>IF(A1272="","",IF(K1272="",0,D1272*INDEX(Products!$I$5:$I$204,K1272)))</f>
        <v/>
      </c>
      <c r="O1272" s="11">
        <f>IF(A1272="","",IF(K1272="",0,J1272*INDEX(Products!$H$5:$H$204,K1272)))</f>
        <v/>
      </c>
      <c r="P1272" s="11">
        <f>IF(A1272="","",J1272-M1272-N1272-O1272)</f>
        <v/>
      </c>
    </row>
    <row r="1273">
      <c r="A1273">
        <f>IFERROR(INDEX('Shopify Import'!$A:$CZ,1273,Settings!$E$20)&amp;"","")</f>
        <v/>
      </c>
      <c r="B1273">
        <f>IFERROR(INDEX('Shopify Import'!$A:$CZ,1273,Settings!$E$21)&amp;"","")</f>
        <v/>
      </c>
      <c r="C1273">
        <f>IFERROR(INDEX('Shopify Import'!$A:$CZ,1273,Settings!$E$22)&amp;"","")</f>
        <v/>
      </c>
      <c r="D1273">
        <f>IF(A1273="","",IFERROR(VALUE(SUBSTITUTE(SUBSTITUTE(INDEX('Shopify Import'!$A:$CZ,1273,Settings!$E$23)&amp;"","$",""),",","")),0))</f>
        <v/>
      </c>
      <c r="E1273" s="11">
        <f>IF(A1273="","",IFERROR(VALUE(SUBSTITUTE(SUBSTITUTE(INDEX('Shopify Import'!$A:$CZ,1273,Settings!$E$24)&amp;"","$",""),",","")),0))</f>
        <v/>
      </c>
      <c r="F1273" s="11">
        <f>IF(A1273="","",D1273*E1273)</f>
        <v/>
      </c>
      <c r="G1273">
        <f>IF(A1273="","",IF(C1273="",1,COUNTIF($C$2:$C$1501,C1273)))</f>
        <v/>
      </c>
      <c r="H1273" s="11">
        <f>IF(A1273="","",IFERROR(VALUE(SUBSTITUTE(SUBSTITUTE(INDEX('Shopify Import'!$A:$CZ,1273,Settings!$E$25)&amp;"","$",""),",","")),0)/IF(Settings!$D$27="Yes",G1273,1))</f>
        <v/>
      </c>
      <c r="I1273" s="11">
        <f>IF(A1273="","",IFERROR(VALUE(SUBSTITUTE(SUBSTITUTE(INDEX('Shopify Import'!$A:$CZ,1273,Settings!$E$26)&amp;"","$",""),",","")),0)/IF(Settings!$D$27="Yes",G1273,1))</f>
        <v/>
      </c>
      <c r="J1273" s="11">
        <f>IF(A1273="","",F1273+H1273-I1273)</f>
        <v/>
      </c>
      <c r="K1273">
        <f>IF(A1273="","",IFERROR(IF(B1273="",NA(),MATCH(B1273,Products!$B$5:$B$204,0)),IFERROR(MATCH(A1273,Products!$A$5:$A$204,0),"")))</f>
        <v/>
      </c>
      <c r="L1273">
        <f>IF(A1273="","",IF(K1273="","⚠ not in Products",INDEX(Products!$A$5:$A$204,K1273)))</f>
        <v/>
      </c>
      <c r="M1273" s="11">
        <f>IF(A1273="","",J1273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1273+IFERROR(INDEX(Settings!$D$5:$D$9,MATCH("Shopify",Settings!$A$5:$A$9,0)),0)*D1273)</f>
        <v/>
      </c>
      <c r="N1273" s="11">
        <f>IF(A1273="","",IF(K1273="",0,D1273*INDEX(Products!$I$5:$I$204,K1273)))</f>
        <v/>
      </c>
      <c r="O1273" s="11">
        <f>IF(A1273="","",IF(K1273="",0,J1273*INDEX(Products!$H$5:$H$204,K1273)))</f>
        <v/>
      </c>
      <c r="P1273" s="11">
        <f>IF(A1273="","",J1273-M1273-N1273-O1273)</f>
        <v/>
      </c>
    </row>
    <row r="1274">
      <c r="A1274">
        <f>IFERROR(INDEX('Shopify Import'!$A:$CZ,1274,Settings!$E$20)&amp;"","")</f>
        <v/>
      </c>
      <c r="B1274">
        <f>IFERROR(INDEX('Shopify Import'!$A:$CZ,1274,Settings!$E$21)&amp;"","")</f>
        <v/>
      </c>
      <c r="C1274">
        <f>IFERROR(INDEX('Shopify Import'!$A:$CZ,1274,Settings!$E$22)&amp;"","")</f>
        <v/>
      </c>
      <c r="D1274">
        <f>IF(A1274="","",IFERROR(VALUE(SUBSTITUTE(SUBSTITUTE(INDEX('Shopify Import'!$A:$CZ,1274,Settings!$E$23)&amp;"","$",""),",","")),0))</f>
        <v/>
      </c>
      <c r="E1274" s="11">
        <f>IF(A1274="","",IFERROR(VALUE(SUBSTITUTE(SUBSTITUTE(INDEX('Shopify Import'!$A:$CZ,1274,Settings!$E$24)&amp;"","$",""),",","")),0))</f>
        <v/>
      </c>
      <c r="F1274" s="11">
        <f>IF(A1274="","",D1274*E1274)</f>
        <v/>
      </c>
      <c r="G1274">
        <f>IF(A1274="","",IF(C1274="",1,COUNTIF($C$2:$C$1501,C1274)))</f>
        <v/>
      </c>
      <c r="H1274" s="11">
        <f>IF(A1274="","",IFERROR(VALUE(SUBSTITUTE(SUBSTITUTE(INDEX('Shopify Import'!$A:$CZ,1274,Settings!$E$25)&amp;"","$",""),",","")),0)/IF(Settings!$D$27="Yes",G1274,1))</f>
        <v/>
      </c>
      <c r="I1274" s="11">
        <f>IF(A1274="","",IFERROR(VALUE(SUBSTITUTE(SUBSTITUTE(INDEX('Shopify Import'!$A:$CZ,1274,Settings!$E$26)&amp;"","$",""),",","")),0)/IF(Settings!$D$27="Yes",G1274,1))</f>
        <v/>
      </c>
      <c r="J1274" s="11">
        <f>IF(A1274="","",F1274+H1274-I1274)</f>
        <v/>
      </c>
      <c r="K1274">
        <f>IF(A1274="","",IFERROR(IF(B1274="",NA(),MATCH(B1274,Products!$B$5:$B$204,0)),IFERROR(MATCH(A1274,Products!$A$5:$A$204,0),"")))</f>
        <v/>
      </c>
      <c r="L1274">
        <f>IF(A1274="","",IF(K1274="","⚠ not in Products",INDEX(Products!$A$5:$A$204,K1274)))</f>
        <v/>
      </c>
      <c r="M1274" s="11">
        <f>IF(A1274="","",J1274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1274+IFERROR(INDEX(Settings!$D$5:$D$9,MATCH("Shopify",Settings!$A$5:$A$9,0)),0)*D1274)</f>
        <v/>
      </c>
      <c r="N1274" s="11">
        <f>IF(A1274="","",IF(K1274="",0,D1274*INDEX(Products!$I$5:$I$204,K1274)))</f>
        <v/>
      </c>
      <c r="O1274" s="11">
        <f>IF(A1274="","",IF(K1274="",0,J1274*INDEX(Products!$H$5:$H$204,K1274)))</f>
        <v/>
      </c>
      <c r="P1274" s="11">
        <f>IF(A1274="","",J1274-M1274-N1274-O1274)</f>
        <v/>
      </c>
    </row>
    <row r="1275">
      <c r="A1275">
        <f>IFERROR(INDEX('Shopify Import'!$A:$CZ,1275,Settings!$E$20)&amp;"","")</f>
        <v/>
      </c>
      <c r="B1275">
        <f>IFERROR(INDEX('Shopify Import'!$A:$CZ,1275,Settings!$E$21)&amp;"","")</f>
        <v/>
      </c>
      <c r="C1275">
        <f>IFERROR(INDEX('Shopify Import'!$A:$CZ,1275,Settings!$E$22)&amp;"","")</f>
        <v/>
      </c>
      <c r="D1275">
        <f>IF(A1275="","",IFERROR(VALUE(SUBSTITUTE(SUBSTITUTE(INDEX('Shopify Import'!$A:$CZ,1275,Settings!$E$23)&amp;"","$",""),",","")),0))</f>
        <v/>
      </c>
      <c r="E1275" s="11">
        <f>IF(A1275="","",IFERROR(VALUE(SUBSTITUTE(SUBSTITUTE(INDEX('Shopify Import'!$A:$CZ,1275,Settings!$E$24)&amp;"","$",""),",","")),0))</f>
        <v/>
      </c>
      <c r="F1275" s="11">
        <f>IF(A1275="","",D1275*E1275)</f>
        <v/>
      </c>
      <c r="G1275">
        <f>IF(A1275="","",IF(C1275="",1,COUNTIF($C$2:$C$1501,C1275)))</f>
        <v/>
      </c>
      <c r="H1275" s="11">
        <f>IF(A1275="","",IFERROR(VALUE(SUBSTITUTE(SUBSTITUTE(INDEX('Shopify Import'!$A:$CZ,1275,Settings!$E$25)&amp;"","$",""),",","")),0)/IF(Settings!$D$27="Yes",G1275,1))</f>
        <v/>
      </c>
      <c r="I1275" s="11">
        <f>IF(A1275="","",IFERROR(VALUE(SUBSTITUTE(SUBSTITUTE(INDEX('Shopify Import'!$A:$CZ,1275,Settings!$E$26)&amp;"","$",""),",","")),0)/IF(Settings!$D$27="Yes",G1275,1))</f>
        <v/>
      </c>
      <c r="J1275" s="11">
        <f>IF(A1275="","",F1275+H1275-I1275)</f>
        <v/>
      </c>
      <c r="K1275">
        <f>IF(A1275="","",IFERROR(IF(B1275="",NA(),MATCH(B1275,Products!$B$5:$B$204,0)),IFERROR(MATCH(A1275,Products!$A$5:$A$204,0),"")))</f>
        <v/>
      </c>
      <c r="L1275">
        <f>IF(A1275="","",IF(K1275="","⚠ not in Products",INDEX(Products!$A$5:$A$204,K1275)))</f>
        <v/>
      </c>
      <c r="M1275" s="11">
        <f>IF(A1275="","",J1275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1275+IFERROR(INDEX(Settings!$D$5:$D$9,MATCH("Shopify",Settings!$A$5:$A$9,0)),0)*D1275)</f>
        <v/>
      </c>
      <c r="N1275" s="11">
        <f>IF(A1275="","",IF(K1275="",0,D1275*INDEX(Products!$I$5:$I$204,K1275)))</f>
        <v/>
      </c>
      <c r="O1275" s="11">
        <f>IF(A1275="","",IF(K1275="",0,J1275*INDEX(Products!$H$5:$H$204,K1275)))</f>
        <v/>
      </c>
      <c r="P1275" s="11">
        <f>IF(A1275="","",J1275-M1275-N1275-O1275)</f>
        <v/>
      </c>
    </row>
    <row r="1276">
      <c r="A1276">
        <f>IFERROR(INDEX('Shopify Import'!$A:$CZ,1276,Settings!$E$20)&amp;"","")</f>
        <v/>
      </c>
      <c r="B1276">
        <f>IFERROR(INDEX('Shopify Import'!$A:$CZ,1276,Settings!$E$21)&amp;"","")</f>
        <v/>
      </c>
      <c r="C1276">
        <f>IFERROR(INDEX('Shopify Import'!$A:$CZ,1276,Settings!$E$22)&amp;"","")</f>
        <v/>
      </c>
      <c r="D1276">
        <f>IF(A1276="","",IFERROR(VALUE(SUBSTITUTE(SUBSTITUTE(INDEX('Shopify Import'!$A:$CZ,1276,Settings!$E$23)&amp;"","$",""),",","")),0))</f>
        <v/>
      </c>
      <c r="E1276" s="11">
        <f>IF(A1276="","",IFERROR(VALUE(SUBSTITUTE(SUBSTITUTE(INDEX('Shopify Import'!$A:$CZ,1276,Settings!$E$24)&amp;"","$",""),",","")),0))</f>
        <v/>
      </c>
      <c r="F1276" s="11">
        <f>IF(A1276="","",D1276*E1276)</f>
        <v/>
      </c>
      <c r="G1276">
        <f>IF(A1276="","",IF(C1276="",1,COUNTIF($C$2:$C$1501,C1276)))</f>
        <v/>
      </c>
      <c r="H1276" s="11">
        <f>IF(A1276="","",IFERROR(VALUE(SUBSTITUTE(SUBSTITUTE(INDEX('Shopify Import'!$A:$CZ,1276,Settings!$E$25)&amp;"","$",""),",","")),0)/IF(Settings!$D$27="Yes",G1276,1))</f>
        <v/>
      </c>
      <c r="I1276" s="11">
        <f>IF(A1276="","",IFERROR(VALUE(SUBSTITUTE(SUBSTITUTE(INDEX('Shopify Import'!$A:$CZ,1276,Settings!$E$26)&amp;"","$",""),",","")),0)/IF(Settings!$D$27="Yes",G1276,1))</f>
        <v/>
      </c>
      <c r="J1276" s="11">
        <f>IF(A1276="","",F1276+H1276-I1276)</f>
        <v/>
      </c>
      <c r="K1276">
        <f>IF(A1276="","",IFERROR(IF(B1276="",NA(),MATCH(B1276,Products!$B$5:$B$204,0)),IFERROR(MATCH(A1276,Products!$A$5:$A$204,0),"")))</f>
        <v/>
      </c>
      <c r="L1276">
        <f>IF(A1276="","",IF(K1276="","⚠ not in Products",INDEX(Products!$A$5:$A$204,K1276)))</f>
        <v/>
      </c>
      <c r="M1276" s="11">
        <f>IF(A1276="","",J1276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1276+IFERROR(INDEX(Settings!$D$5:$D$9,MATCH("Shopify",Settings!$A$5:$A$9,0)),0)*D1276)</f>
        <v/>
      </c>
      <c r="N1276" s="11">
        <f>IF(A1276="","",IF(K1276="",0,D1276*INDEX(Products!$I$5:$I$204,K1276)))</f>
        <v/>
      </c>
      <c r="O1276" s="11">
        <f>IF(A1276="","",IF(K1276="",0,J1276*INDEX(Products!$H$5:$H$204,K1276)))</f>
        <v/>
      </c>
      <c r="P1276" s="11">
        <f>IF(A1276="","",J1276-M1276-N1276-O1276)</f>
        <v/>
      </c>
    </row>
    <row r="1277">
      <c r="A1277">
        <f>IFERROR(INDEX('Shopify Import'!$A:$CZ,1277,Settings!$E$20)&amp;"","")</f>
        <v/>
      </c>
      <c r="B1277">
        <f>IFERROR(INDEX('Shopify Import'!$A:$CZ,1277,Settings!$E$21)&amp;"","")</f>
        <v/>
      </c>
      <c r="C1277">
        <f>IFERROR(INDEX('Shopify Import'!$A:$CZ,1277,Settings!$E$22)&amp;"","")</f>
        <v/>
      </c>
      <c r="D1277">
        <f>IF(A1277="","",IFERROR(VALUE(SUBSTITUTE(SUBSTITUTE(INDEX('Shopify Import'!$A:$CZ,1277,Settings!$E$23)&amp;"","$",""),",","")),0))</f>
        <v/>
      </c>
      <c r="E1277" s="11">
        <f>IF(A1277="","",IFERROR(VALUE(SUBSTITUTE(SUBSTITUTE(INDEX('Shopify Import'!$A:$CZ,1277,Settings!$E$24)&amp;"","$",""),",","")),0))</f>
        <v/>
      </c>
      <c r="F1277" s="11">
        <f>IF(A1277="","",D1277*E1277)</f>
        <v/>
      </c>
      <c r="G1277">
        <f>IF(A1277="","",IF(C1277="",1,COUNTIF($C$2:$C$1501,C1277)))</f>
        <v/>
      </c>
      <c r="H1277" s="11">
        <f>IF(A1277="","",IFERROR(VALUE(SUBSTITUTE(SUBSTITUTE(INDEX('Shopify Import'!$A:$CZ,1277,Settings!$E$25)&amp;"","$",""),",","")),0)/IF(Settings!$D$27="Yes",G1277,1))</f>
        <v/>
      </c>
      <c r="I1277" s="11">
        <f>IF(A1277="","",IFERROR(VALUE(SUBSTITUTE(SUBSTITUTE(INDEX('Shopify Import'!$A:$CZ,1277,Settings!$E$26)&amp;"","$",""),",","")),0)/IF(Settings!$D$27="Yes",G1277,1))</f>
        <v/>
      </c>
      <c r="J1277" s="11">
        <f>IF(A1277="","",F1277+H1277-I1277)</f>
        <v/>
      </c>
      <c r="K1277">
        <f>IF(A1277="","",IFERROR(IF(B1277="",NA(),MATCH(B1277,Products!$B$5:$B$204,0)),IFERROR(MATCH(A1277,Products!$A$5:$A$204,0),"")))</f>
        <v/>
      </c>
      <c r="L1277">
        <f>IF(A1277="","",IF(K1277="","⚠ not in Products",INDEX(Products!$A$5:$A$204,K1277)))</f>
        <v/>
      </c>
      <c r="M1277" s="11">
        <f>IF(A1277="","",J1277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1277+IFERROR(INDEX(Settings!$D$5:$D$9,MATCH("Shopify",Settings!$A$5:$A$9,0)),0)*D1277)</f>
        <v/>
      </c>
      <c r="N1277" s="11">
        <f>IF(A1277="","",IF(K1277="",0,D1277*INDEX(Products!$I$5:$I$204,K1277)))</f>
        <v/>
      </c>
      <c r="O1277" s="11">
        <f>IF(A1277="","",IF(K1277="",0,J1277*INDEX(Products!$H$5:$H$204,K1277)))</f>
        <v/>
      </c>
      <c r="P1277" s="11">
        <f>IF(A1277="","",J1277-M1277-N1277-O1277)</f>
        <v/>
      </c>
    </row>
    <row r="1278">
      <c r="A1278">
        <f>IFERROR(INDEX('Shopify Import'!$A:$CZ,1278,Settings!$E$20)&amp;"","")</f>
        <v/>
      </c>
      <c r="B1278">
        <f>IFERROR(INDEX('Shopify Import'!$A:$CZ,1278,Settings!$E$21)&amp;"","")</f>
        <v/>
      </c>
      <c r="C1278">
        <f>IFERROR(INDEX('Shopify Import'!$A:$CZ,1278,Settings!$E$22)&amp;"","")</f>
        <v/>
      </c>
      <c r="D1278">
        <f>IF(A1278="","",IFERROR(VALUE(SUBSTITUTE(SUBSTITUTE(INDEX('Shopify Import'!$A:$CZ,1278,Settings!$E$23)&amp;"","$",""),",","")),0))</f>
        <v/>
      </c>
      <c r="E1278" s="11">
        <f>IF(A1278="","",IFERROR(VALUE(SUBSTITUTE(SUBSTITUTE(INDEX('Shopify Import'!$A:$CZ,1278,Settings!$E$24)&amp;"","$",""),",","")),0))</f>
        <v/>
      </c>
      <c r="F1278" s="11">
        <f>IF(A1278="","",D1278*E1278)</f>
        <v/>
      </c>
      <c r="G1278">
        <f>IF(A1278="","",IF(C1278="",1,COUNTIF($C$2:$C$1501,C1278)))</f>
        <v/>
      </c>
      <c r="H1278" s="11">
        <f>IF(A1278="","",IFERROR(VALUE(SUBSTITUTE(SUBSTITUTE(INDEX('Shopify Import'!$A:$CZ,1278,Settings!$E$25)&amp;"","$",""),",","")),0)/IF(Settings!$D$27="Yes",G1278,1))</f>
        <v/>
      </c>
      <c r="I1278" s="11">
        <f>IF(A1278="","",IFERROR(VALUE(SUBSTITUTE(SUBSTITUTE(INDEX('Shopify Import'!$A:$CZ,1278,Settings!$E$26)&amp;"","$",""),",","")),0)/IF(Settings!$D$27="Yes",G1278,1))</f>
        <v/>
      </c>
      <c r="J1278" s="11">
        <f>IF(A1278="","",F1278+H1278-I1278)</f>
        <v/>
      </c>
      <c r="K1278">
        <f>IF(A1278="","",IFERROR(IF(B1278="",NA(),MATCH(B1278,Products!$B$5:$B$204,0)),IFERROR(MATCH(A1278,Products!$A$5:$A$204,0),"")))</f>
        <v/>
      </c>
      <c r="L1278">
        <f>IF(A1278="","",IF(K1278="","⚠ not in Products",INDEX(Products!$A$5:$A$204,K1278)))</f>
        <v/>
      </c>
      <c r="M1278" s="11">
        <f>IF(A1278="","",J1278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1278+IFERROR(INDEX(Settings!$D$5:$D$9,MATCH("Shopify",Settings!$A$5:$A$9,0)),0)*D1278)</f>
        <v/>
      </c>
      <c r="N1278" s="11">
        <f>IF(A1278="","",IF(K1278="",0,D1278*INDEX(Products!$I$5:$I$204,K1278)))</f>
        <v/>
      </c>
      <c r="O1278" s="11">
        <f>IF(A1278="","",IF(K1278="",0,J1278*INDEX(Products!$H$5:$H$204,K1278)))</f>
        <v/>
      </c>
      <c r="P1278" s="11">
        <f>IF(A1278="","",J1278-M1278-N1278-O1278)</f>
        <v/>
      </c>
    </row>
    <row r="1279">
      <c r="A1279">
        <f>IFERROR(INDEX('Shopify Import'!$A:$CZ,1279,Settings!$E$20)&amp;"","")</f>
        <v/>
      </c>
      <c r="B1279">
        <f>IFERROR(INDEX('Shopify Import'!$A:$CZ,1279,Settings!$E$21)&amp;"","")</f>
        <v/>
      </c>
      <c r="C1279">
        <f>IFERROR(INDEX('Shopify Import'!$A:$CZ,1279,Settings!$E$22)&amp;"","")</f>
        <v/>
      </c>
      <c r="D1279">
        <f>IF(A1279="","",IFERROR(VALUE(SUBSTITUTE(SUBSTITUTE(INDEX('Shopify Import'!$A:$CZ,1279,Settings!$E$23)&amp;"","$",""),",","")),0))</f>
        <v/>
      </c>
      <c r="E1279" s="11">
        <f>IF(A1279="","",IFERROR(VALUE(SUBSTITUTE(SUBSTITUTE(INDEX('Shopify Import'!$A:$CZ,1279,Settings!$E$24)&amp;"","$",""),",","")),0))</f>
        <v/>
      </c>
      <c r="F1279" s="11">
        <f>IF(A1279="","",D1279*E1279)</f>
        <v/>
      </c>
      <c r="G1279">
        <f>IF(A1279="","",IF(C1279="",1,COUNTIF($C$2:$C$1501,C1279)))</f>
        <v/>
      </c>
      <c r="H1279" s="11">
        <f>IF(A1279="","",IFERROR(VALUE(SUBSTITUTE(SUBSTITUTE(INDEX('Shopify Import'!$A:$CZ,1279,Settings!$E$25)&amp;"","$",""),",","")),0)/IF(Settings!$D$27="Yes",G1279,1))</f>
        <v/>
      </c>
      <c r="I1279" s="11">
        <f>IF(A1279="","",IFERROR(VALUE(SUBSTITUTE(SUBSTITUTE(INDEX('Shopify Import'!$A:$CZ,1279,Settings!$E$26)&amp;"","$",""),",","")),0)/IF(Settings!$D$27="Yes",G1279,1))</f>
        <v/>
      </c>
      <c r="J1279" s="11">
        <f>IF(A1279="","",F1279+H1279-I1279)</f>
        <v/>
      </c>
      <c r="K1279">
        <f>IF(A1279="","",IFERROR(IF(B1279="",NA(),MATCH(B1279,Products!$B$5:$B$204,0)),IFERROR(MATCH(A1279,Products!$A$5:$A$204,0),"")))</f>
        <v/>
      </c>
      <c r="L1279">
        <f>IF(A1279="","",IF(K1279="","⚠ not in Products",INDEX(Products!$A$5:$A$204,K1279)))</f>
        <v/>
      </c>
      <c r="M1279" s="11">
        <f>IF(A1279="","",J1279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1279+IFERROR(INDEX(Settings!$D$5:$D$9,MATCH("Shopify",Settings!$A$5:$A$9,0)),0)*D1279)</f>
        <v/>
      </c>
      <c r="N1279" s="11">
        <f>IF(A1279="","",IF(K1279="",0,D1279*INDEX(Products!$I$5:$I$204,K1279)))</f>
        <v/>
      </c>
      <c r="O1279" s="11">
        <f>IF(A1279="","",IF(K1279="",0,J1279*INDEX(Products!$H$5:$H$204,K1279)))</f>
        <v/>
      </c>
      <c r="P1279" s="11">
        <f>IF(A1279="","",J1279-M1279-N1279-O1279)</f>
        <v/>
      </c>
    </row>
    <row r="1280">
      <c r="A1280">
        <f>IFERROR(INDEX('Shopify Import'!$A:$CZ,1280,Settings!$E$20)&amp;"","")</f>
        <v/>
      </c>
      <c r="B1280">
        <f>IFERROR(INDEX('Shopify Import'!$A:$CZ,1280,Settings!$E$21)&amp;"","")</f>
        <v/>
      </c>
      <c r="C1280">
        <f>IFERROR(INDEX('Shopify Import'!$A:$CZ,1280,Settings!$E$22)&amp;"","")</f>
        <v/>
      </c>
      <c r="D1280">
        <f>IF(A1280="","",IFERROR(VALUE(SUBSTITUTE(SUBSTITUTE(INDEX('Shopify Import'!$A:$CZ,1280,Settings!$E$23)&amp;"","$",""),",","")),0))</f>
        <v/>
      </c>
      <c r="E1280" s="11">
        <f>IF(A1280="","",IFERROR(VALUE(SUBSTITUTE(SUBSTITUTE(INDEX('Shopify Import'!$A:$CZ,1280,Settings!$E$24)&amp;"","$",""),",","")),0))</f>
        <v/>
      </c>
      <c r="F1280" s="11">
        <f>IF(A1280="","",D1280*E1280)</f>
        <v/>
      </c>
      <c r="G1280">
        <f>IF(A1280="","",IF(C1280="",1,COUNTIF($C$2:$C$1501,C1280)))</f>
        <v/>
      </c>
      <c r="H1280" s="11">
        <f>IF(A1280="","",IFERROR(VALUE(SUBSTITUTE(SUBSTITUTE(INDEX('Shopify Import'!$A:$CZ,1280,Settings!$E$25)&amp;"","$",""),",","")),0)/IF(Settings!$D$27="Yes",G1280,1))</f>
        <v/>
      </c>
      <c r="I1280" s="11">
        <f>IF(A1280="","",IFERROR(VALUE(SUBSTITUTE(SUBSTITUTE(INDEX('Shopify Import'!$A:$CZ,1280,Settings!$E$26)&amp;"","$",""),",","")),0)/IF(Settings!$D$27="Yes",G1280,1))</f>
        <v/>
      </c>
      <c r="J1280" s="11">
        <f>IF(A1280="","",F1280+H1280-I1280)</f>
        <v/>
      </c>
      <c r="K1280">
        <f>IF(A1280="","",IFERROR(IF(B1280="",NA(),MATCH(B1280,Products!$B$5:$B$204,0)),IFERROR(MATCH(A1280,Products!$A$5:$A$204,0),"")))</f>
        <v/>
      </c>
      <c r="L1280">
        <f>IF(A1280="","",IF(K1280="","⚠ not in Products",INDEX(Products!$A$5:$A$204,K1280)))</f>
        <v/>
      </c>
      <c r="M1280" s="11">
        <f>IF(A1280="","",J1280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1280+IFERROR(INDEX(Settings!$D$5:$D$9,MATCH("Shopify",Settings!$A$5:$A$9,0)),0)*D1280)</f>
        <v/>
      </c>
      <c r="N1280" s="11">
        <f>IF(A1280="","",IF(K1280="",0,D1280*INDEX(Products!$I$5:$I$204,K1280)))</f>
        <v/>
      </c>
      <c r="O1280" s="11">
        <f>IF(A1280="","",IF(K1280="",0,J1280*INDEX(Products!$H$5:$H$204,K1280)))</f>
        <v/>
      </c>
      <c r="P1280" s="11">
        <f>IF(A1280="","",J1280-M1280-N1280-O1280)</f>
        <v/>
      </c>
    </row>
    <row r="1281">
      <c r="A1281">
        <f>IFERROR(INDEX('Shopify Import'!$A:$CZ,1281,Settings!$E$20)&amp;"","")</f>
        <v/>
      </c>
      <c r="B1281">
        <f>IFERROR(INDEX('Shopify Import'!$A:$CZ,1281,Settings!$E$21)&amp;"","")</f>
        <v/>
      </c>
      <c r="C1281">
        <f>IFERROR(INDEX('Shopify Import'!$A:$CZ,1281,Settings!$E$22)&amp;"","")</f>
        <v/>
      </c>
      <c r="D1281">
        <f>IF(A1281="","",IFERROR(VALUE(SUBSTITUTE(SUBSTITUTE(INDEX('Shopify Import'!$A:$CZ,1281,Settings!$E$23)&amp;"","$",""),",","")),0))</f>
        <v/>
      </c>
      <c r="E1281" s="11">
        <f>IF(A1281="","",IFERROR(VALUE(SUBSTITUTE(SUBSTITUTE(INDEX('Shopify Import'!$A:$CZ,1281,Settings!$E$24)&amp;"","$",""),",","")),0))</f>
        <v/>
      </c>
      <c r="F1281" s="11">
        <f>IF(A1281="","",D1281*E1281)</f>
        <v/>
      </c>
      <c r="G1281">
        <f>IF(A1281="","",IF(C1281="",1,COUNTIF($C$2:$C$1501,C1281)))</f>
        <v/>
      </c>
      <c r="H1281" s="11">
        <f>IF(A1281="","",IFERROR(VALUE(SUBSTITUTE(SUBSTITUTE(INDEX('Shopify Import'!$A:$CZ,1281,Settings!$E$25)&amp;"","$",""),",","")),0)/IF(Settings!$D$27="Yes",G1281,1))</f>
        <v/>
      </c>
      <c r="I1281" s="11">
        <f>IF(A1281="","",IFERROR(VALUE(SUBSTITUTE(SUBSTITUTE(INDEX('Shopify Import'!$A:$CZ,1281,Settings!$E$26)&amp;"","$",""),",","")),0)/IF(Settings!$D$27="Yes",G1281,1))</f>
        <v/>
      </c>
      <c r="J1281" s="11">
        <f>IF(A1281="","",F1281+H1281-I1281)</f>
        <v/>
      </c>
      <c r="K1281">
        <f>IF(A1281="","",IFERROR(IF(B1281="",NA(),MATCH(B1281,Products!$B$5:$B$204,0)),IFERROR(MATCH(A1281,Products!$A$5:$A$204,0),"")))</f>
        <v/>
      </c>
      <c r="L1281">
        <f>IF(A1281="","",IF(K1281="","⚠ not in Products",INDEX(Products!$A$5:$A$204,K1281)))</f>
        <v/>
      </c>
      <c r="M1281" s="11">
        <f>IF(A1281="","",J1281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1281+IFERROR(INDEX(Settings!$D$5:$D$9,MATCH("Shopify",Settings!$A$5:$A$9,0)),0)*D1281)</f>
        <v/>
      </c>
      <c r="N1281" s="11">
        <f>IF(A1281="","",IF(K1281="",0,D1281*INDEX(Products!$I$5:$I$204,K1281)))</f>
        <v/>
      </c>
      <c r="O1281" s="11">
        <f>IF(A1281="","",IF(K1281="",0,J1281*INDEX(Products!$H$5:$H$204,K1281)))</f>
        <v/>
      </c>
      <c r="P1281" s="11">
        <f>IF(A1281="","",J1281-M1281-N1281-O1281)</f>
        <v/>
      </c>
    </row>
    <row r="1282">
      <c r="A1282">
        <f>IFERROR(INDEX('Shopify Import'!$A:$CZ,1282,Settings!$E$20)&amp;"","")</f>
        <v/>
      </c>
      <c r="B1282">
        <f>IFERROR(INDEX('Shopify Import'!$A:$CZ,1282,Settings!$E$21)&amp;"","")</f>
        <v/>
      </c>
      <c r="C1282">
        <f>IFERROR(INDEX('Shopify Import'!$A:$CZ,1282,Settings!$E$22)&amp;"","")</f>
        <v/>
      </c>
      <c r="D1282">
        <f>IF(A1282="","",IFERROR(VALUE(SUBSTITUTE(SUBSTITUTE(INDEX('Shopify Import'!$A:$CZ,1282,Settings!$E$23)&amp;"","$",""),",","")),0))</f>
        <v/>
      </c>
      <c r="E1282" s="11">
        <f>IF(A1282="","",IFERROR(VALUE(SUBSTITUTE(SUBSTITUTE(INDEX('Shopify Import'!$A:$CZ,1282,Settings!$E$24)&amp;"","$",""),",","")),0))</f>
        <v/>
      </c>
      <c r="F1282" s="11">
        <f>IF(A1282="","",D1282*E1282)</f>
        <v/>
      </c>
      <c r="G1282">
        <f>IF(A1282="","",IF(C1282="",1,COUNTIF($C$2:$C$1501,C1282)))</f>
        <v/>
      </c>
      <c r="H1282" s="11">
        <f>IF(A1282="","",IFERROR(VALUE(SUBSTITUTE(SUBSTITUTE(INDEX('Shopify Import'!$A:$CZ,1282,Settings!$E$25)&amp;"","$",""),",","")),0)/IF(Settings!$D$27="Yes",G1282,1))</f>
        <v/>
      </c>
      <c r="I1282" s="11">
        <f>IF(A1282="","",IFERROR(VALUE(SUBSTITUTE(SUBSTITUTE(INDEX('Shopify Import'!$A:$CZ,1282,Settings!$E$26)&amp;"","$",""),",","")),0)/IF(Settings!$D$27="Yes",G1282,1))</f>
        <v/>
      </c>
      <c r="J1282" s="11">
        <f>IF(A1282="","",F1282+H1282-I1282)</f>
        <v/>
      </c>
      <c r="K1282">
        <f>IF(A1282="","",IFERROR(IF(B1282="",NA(),MATCH(B1282,Products!$B$5:$B$204,0)),IFERROR(MATCH(A1282,Products!$A$5:$A$204,0),"")))</f>
        <v/>
      </c>
      <c r="L1282">
        <f>IF(A1282="","",IF(K1282="","⚠ not in Products",INDEX(Products!$A$5:$A$204,K1282)))</f>
        <v/>
      </c>
      <c r="M1282" s="11">
        <f>IF(A1282="","",J1282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1282+IFERROR(INDEX(Settings!$D$5:$D$9,MATCH("Shopify",Settings!$A$5:$A$9,0)),0)*D1282)</f>
        <v/>
      </c>
      <c r="N1282" s="11">
        <f>IF(A1282="","",IF(K1282="",0,D1282*INDEX(Products!$I$5:$I$204,K1282)))</f>
        <v/>
      </c>
      <c r="O1282" s="11">
        <f>IF(A1282="","",IF(K1282="",0,J1282*INDEX(Products!$H$5:$H$204,K1282)))</f>
        <v/>
      </c>
      <c r="P1282" s="11">
        <f>IF(A1282="","",J1282-M1282-N1282-O1282)</f>
        <v/>
      </c>
    </row>
    <row r="1283">
      <c r="A1283">
        <f>IFERROR(INDEX('Shopify Import'!$A:$CZ,1283,Settings!$E$20)&amp;"","")</f>
        <v/>
      </c>
      <c r="B1283">
        <f>IFERROR(INDEX('Shopify Import'!$A:$CZ,1283,Settings!$E$21)&amp;"","")</f>
        <v/>
      </c>
      <c r="C1283">
        <f>IFERROR(INDEX('Shopify Import'!$A:$CZ,1283,Settings!$E$22)&amp;"","")</f>
        <v/>
      </c>
      <c r="D1283">
        <f>IF(A1283="","",IFERROR(VALUE(SUBSTITUTE(SUBSTITUTE(INDEX('Shopify Import'!$A:$CZ,1283,Settings!$E$23)&amp;"","$",""),",","")),0))</f>
        <v/>
      </c>
      <c r="E1283" s="11">
        <f>IF(A1283="","",IFERROR(VALUE(SUBSTITUTE(SUBSTITUTE(INDEX('Shopify Import'!$A:$CZ,1283,Settings!$E$24)&amp;"","$",""),",","")),0))</f>
        <v/>
      </c>
      <c r="F1283" s="11">
        <f>IF(A1283="","",D1283*E1283)</f>
        <v/>
      </c>
      <c r="G1283">
        <f>IF(A1283="","",IF(C1283="",1,COUNTIF($C$2:$C$1501,C1283)))</f>
        <v/>
      </c>
      <c r="H1283" s="11">
        <f>IF(A1283="","",IFERROR(VALUE(SUBSTITUTE(SUBSTITUTE(INDEX('Shopify Import'!$A:$CZ,1283,Settings!$E$25)&amp;"","$",""),",","")),0)/IF(Settings!$D$27="Yes",G1283,1))</f>
        <v/>
      </c>
      <c r="I1283" s="11">
        <f>IF(A1283="","",IFERROR(VALUE(SUBSTITUTE(SUBSTITUTE(INDEX('Shopify Import'!$A:$CZ,1283,Settings!$E$26)&amp;"","$",""),",","")),0)/IF(Settings!$D$27="Yes",G1283,1))</f>
        <v/>
      </c>
      <c r="J1283" s="11">
        <f>IF(A1283="","",F1283+H1283-I1283)</f>
        <v/>
      </c>
      <c r="K1283">
        <f>IF(A1283="","",IFERROR(IF(B1283="",NA(),MATCH(B1283,Products!$B$5:$B$204,0)),IFERROR(MATCH(A1283,Products!$A$5:$A$204,0),"")))</f>
        <v/>
      </c>
      <c r="L1283">
        <f>IF(A1283="","",IF(K1283="","⚠ not in Products",INDEX(Products!$A$5:$A$204,K1283)))</f>
        <v/>
      </c>
      <c r="M1283" s="11">
        <f>IF(A1283="","",J1283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1283+IFERROR(INDEX(Settings!$D$5:$D$9,MATCH("Shopify",Settings!$A$5:$A$9,0)),0)*D1283)</f>
        <v/>
      </c>
      <c r="N1283" s="11">
        <f>IF(A1283="","",IF(K1283="",0,D1283*INDEX(Products!$I$5:$I$204,K1283)))</f>
        <v/>
      </c>
      <c r="O1283" s="11">
        <f>IF(A1283="","",IF(K1283="",0,J1283*INDEX(Products!$H$5:$H$204,K1283)))</f>
        <v/>
      </c>
      <c r="P1283" s="11">
        <f>IF(A1283="","",J1283-M1283-N1283-O1283)</f>
        <v/>
      </c>
    </row>
    <row r="1284">
      <c r="A1284">
        <f>IFERROR(INDEX('Shopify Import'!$A:$CZ,1284,Settings!$E$20)&amp;"","")</f>
        <v/>
      </c>
      <c r="B1284">
        <f>IFERROR(INDEX('Shopify Import'!$A:$CZ,1284,Settings!$E$21)&amp;"","")</f>
        <v/>
      </c>
      <c r="C1284">
        <f>IFERROR(INDEX('Shopify Import'!$A:$CZ,1284,Settings!$E$22)&amp;"","")</f>
        <v/>
      </c>
      <c r="D1284">
        <f>IF(A1284="","",IFERROR(VALUE(SUBSTITUTE(SUBSTITUTE(INDEX('Shopify Import'!$A:$CZ,1284,Settings!$E$23)&amp;"","$",""),",","")),0))</f>
        <v/>
      </c>
      <c r="E1284" s="11">
        <f>IF(A1284="","",IFERROR(VALUE(SUBSTITUTE(SUBSTITUTE(INDEX('Shopify Import'!$A:$CZ,1284,Settings!$E$24)&amp;"","$",""),",","")),0))</f>
        <v/>
      </c>
      <c r="F1284" s="11">
        <f>IF(A1284="","",D1284*E1284)</f>
        <v/>
      </c>
      <c r="G1284">
        <f>IF(A1284="","",IF(C1284="",1,COUNTIF($C$2:$C$1501,C1284)))</f>
        <v/>
      </c>
      <c r="H1284" s="11">
        <f>IF(A1284="","",IFERROR(VALUE(SUBSTITUTE(SUBSTITUTE(INDEX('Shopify Import'!$A:$CZ,1284,Settings!$E$25)&amp;"","$",""),",","")),0)/IF(Settings!$D$27="Yes",G1284,1))</f>
        <v/>
      </c>
      <c r="I1284" s="11">
        <f>IF(A1284="","",IFERROR(VALUE(SUBSTITUTE(SUBSTITUTE(INDEX('Shopify Import'!$A:$CZ,1284,Settings!$E$26)&amp;"","$",""),",","")),0)/IF(Settings!$D$27="Yes",G1284,1))</f>
        <v/>
      </c>
      <c r="J1284" s="11">
        <f>IF(A1284="","",F1284+H1284-I1284)</f>
        <v/>
      </c>
      <c r="K1284">
        <f>IF(A1284="","",IFERROR(IF(B1284="",NA(),MATCH(B1284,Products!$B$5:$B$204,0)),IFERROR(MATCH(A1284,Products!$A$5:$A$204,0),"")))</f>
        <v/>
      </c>
      <c r="L1284">
        <f>IF(A1284="","",IF(K1284="","⚠ not in Products",INDEX(Products!$A$5:$A$204,K1284)))</f>
        <v/>
      </c>
      <c r="M1284" s="11">
        <f>IF(A1284="","",J1284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1284+IFERROR(INDEX(Settings!$D$5:$D$9,MATCH("Shopify",Settings!$A$5:$A$9,0)),0)*D1284)</f>
        <v/>
      </c>
      <c r="N1284" s="11">
        <f>IF(A1284="","",IF(K1284="",0,D1284*INDEX(Products!$I$5:$I$204,K1284)))</f>
        <v/>
      </c>
      <c r="O1284" s="11">
        <f>IF(A1284="","",IF(K1284="",0,J1284*INDEX(Products!$H$5:$H$204,K1284)))</f>
        <v/>
      </c>
      <c r="P1284" s="11">
        <f>IF(A1284="","",J1284-M1284-N1284-O1284)</f>
        <v/>
      </c>
    </row>
    <row r="1285">
      <c r="A1285">
        <f>IFERROR(INDEX('Shopify Import'!$A:$CZ,1285,Settings!$E$20)&amp;"","")</f>
        <v/>
      </c>
      <c r="B1285">
        <f>IFERROR(INDEX('Shopify Import'!$A:$CZ,1285,Settings!$E$21)&amp;"","")</f>
        <v/>
      </c>
      <c r="C1285">
        <f>IFERROR(INDEX('Shopify Import'!$A:$CZ,1285,Settings!$E$22)&amp;"","")</f>
        <v/>
      </c>
      <c r="D1285">
        <f>IF(A1285="","",IFERROR(VALUE(SUBSTITUTE(SUBSTITUTE(INDEX('Shopify Import'!$A:$CZ,1285,Settings!$E$23)&amp;"","$",""),",","")),0))</f>
        <v/>
      </c>
      <c r="E1285" s="11">
        <f>IF(A1285="","",IFERROR(VALUE(SUBSTITUTE(SUBSTITUTE(INDEX('Shopify Import'!$A:$CZ,1285,Settings!$E$24)&amp;"","$",""),",","")),0))</f>
        <v/>
      </c>
      <c r="F1285" s="11">
        <f>IF(A1285="","",D1285*E1285)</f>
        <v/>
      </c>
      <c r="G1285">
        <f>IF(A1285="","",IF(C1285="",1,COUNTIF($C$2:$C$1501,C1285)))</f>
        <v/>
      </c>
      <c r="H1285" s="11">
        <f>IF(A1285="","",IFERROR(VALUE(SUBSTITUTE(SUBSTITUTE(INDEX('Shopify Import'!$A:$CZ,1285,Settings!$E$25)&amp;"","$",""),",","")),0)/IF(Settings!$D$27="Yes",G1285,1))</f>
        <v/>
      </c>
      <c r="I1285" s="11">
        <f>IF(A1285="","",IFERROR(VALUE(SUBSTITUTE(SUBSTITUTE(INDEX('Shopify Import'!$A:$CZ,1285,Settings!$E$26)&amp;"","$",""),",","")),0)/IF(Settings!$D$27="Yes",G1285,1))</f>
        <v/>
      </c>
      <c r="J1285" s="11">
        <f>IF(A1285="","",F1285+H1285-I1285)</f>
        <v/>
      </c>
      <c r="K1285">
        <f>IF(A1285="","",IFERROR(IF(B1285="",NA(),MATCH(B1285,Products!$B$5:$B$204,0)),IFERROR(MATCH(A1285,Products!$A$5:$A$204,0),"")))</f>
        <v/>
      </c>
      <c r="L1285">
        <f>IF(A1285="","",IF(K1285="","⚠ not in Products",INDEX(Products!$A$5:$A$204,K1285)))</f>
        <v/>
      </c>
      <c r="M1285" s="11">
        <f>IF(A1285="","",J1285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1285+IFERROR(INDEX(Settings!$D$5:$D$9,MATCH("Shopify",Settings!$A$5:$A$9,0)),0)*D1285)</f>
        <v/>
      </c>
      <c r="N1285" s="11">
        <f>IF(A1285="","",IF(K1285="",0,D1285*INDEX(Products!$I$5:$I$204,K1285)))</f>
        <v/>
      </c>
      <c r="O1285" s="11">
        <f>IF(A1285="","",IF(K1285="",0,J1285*INDEX(Products!$H$5:$H$204,K1285)))</f>
        <v/>
      </c>
      <c r="P1285" s="11">
        <f>IF(A1285="","",J1285-M1285-N1285-O1285)</f>
        <v/>
      </c>
    </row>
    <row r="1286">
      <c r="A1286">
        <f>IFERROR(INDEX('Shopify Import'!$A:$CZ,1286,Settings!$E$20)&amp;"","")</f>
        <v/>
      </c>
      <c r="B1286">
        <f>IFERROR(INDEX('Shopify Import'!$A:$CZ,1286,Settings!$E$21)&amp;"","")</f>
        <v/>
      </c>
      <c r="C1286">
        <f>IFERROR(INDEX('Shopify Import'!$A:$CZ,1286,Settings!$E$22)&amp;"","")</f>
        <v/>
      </c>
      <c r="D1286">
        <f>IF(A1286="","",IFERROR(VALUE(SUBSTITUTE(SUBSTITUTE(INDEX('Shopify Import'!$A:$CZ,1286,Settings!$E$23)&amp;"","$",""),",","")),0))</f>
        <v/>
      </c>
      <c r="E1286" s="11">
        <f>IF(A1286="","",IFERROR(VALUE(SUBSTITUTE(SUBSTITUTE(INDEX('Shopify Import'!$A:$CZ,1286,Settings!$E$24)&amp;"","$",""),",","")),0))</f>
        <v/>
      </c>
      <c r="F1286" s="11">
        <f>IF(A1286="","",D1286*E1286)</f>
        <v/>
      </c>
      <c r="G1286">
        <f>IF(A1286="","",IF(C1286="",1,COUNTIF($C$2:$C$1501,C1286)))</f>
        <v/>
      </c>
      <c r="H1286" s="11">
        <f>IF(A1286="","",IFERROR(VALUE(SUBSTITUTE(SUBSTITUTE(INDEX('Shopify Import'!$A:$CZ,1286,Settings!$E$25)&amp;"","$",""),",","")),0)/IF(Settings!$D$27="Yes",G1286,1))</f>
        <v/>
      </c>
      <c r="I1286" s="11">
        <f>IF(A1286="","",IFERROR(VALUE(SUBSTITUTE(SUBSTITUTE(INDEX('Shopify Import'!$A:$CZ,1286,Settings!$E$26)&amp;"","$",""),",","")),0)/IF(Settings!$D$27="Yes",G1286,1))</f>
        <v/>
      </c>
      <c r="J1286" s="11">
        <f>IF(A1286="","",F1286+H1286-I1286)</f>
        <v/>
      </c>
      <c r="K1286">
        <f>IF(A1286="","",IFERROR(IF(B1286="",NA(),MATCH(B1286,Products!$B$5:$B$204,0)),IFERROR(MATCH(A1286,Products!$A$5:$A$204,0),"")))</f>
        <v/>
      </c>
      <c r="L1286">
        <f>IF(A1286="","",IF(K1286="","⚠ not in Products",INDEX(Products!$A$5:$A$204,K1286)))</f>
        <v/>
      </c>
      <c r="M1286" s="11">
        <f>IF(A1286="","",J1286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1286+IFERROR(INDEX(Settings!$D$5:$D$9,MATCH("Shopify",Settings!$A$5:$A$9,0)),0)*D1286)</f>
        <v/>
      </c>
      <c r="N1286" s="11">
        <f>IF(A1286="","",IF(K1286="",0,D1286*INDEX(Products!$I$5:$I$204,K1286)))</f>
        <v/>
      </c>
      <c r="O1286" s="11">
        <f>IF(A1286="","",IF(K1286="",0,J1286*INDEX(Products!$H$5:$H$204,K1286)))</f>
        <v/>
      </c>
      <c r="P1286" s="11">
        <f>IF(A1286="","",J1286-M1286-N1286-O1286)</f>
        <v/>
      </c>
    </row>
    <row r="1287">
      <c r="A1287">
        <f>IFERROR(INDEX('Shopify Import'!$A:$CZ,1287,Settings!$E$20)&amp;"","")</f>
        <v/>
      </c>
      <c r="B1287">
        <f>IFERROR(INDEX('Shopify Import'!$A:$CZ,1287,Settings!$E$21)&amp;"","")</f>
        <v/>
      </c>
      <c r="C1287">
        <f>IFERROR(INDEX('Shopify Import'!$A:$CZ,1287,Settings!$E$22)&amp;"","")</f>
        <v/>
      </c>
      <c r="D1287">
        <f>IF(A1287="","",IFERROR(VALUE(SUBSTITUTE(SUBSTITUTE(INDEX('Shopify Import'!$A:$CZ,1287,Settings!$E$23)&amp;"","$",""),",","")),0))</f>
        <v/>
      </c>
      <c r="E1287" s="11">
        <f>IF(A1287="","",IFERROR(VALUE(SUBSTITUTE(SUBSTITUTE(INDEX('Shopify Import'!$A:$CZ,1287,Settings!$E$24)&amp;"","$",""),",","")),0))</f>
        <v/>
      </c>
      <c r="F1287" s="11">
        <f>IF(A1287="","",D1287*E1287)</f>
        <v/>
      </c>
      <c r="G1287">
        <f>IF(A1287="","",IF(C1287="",1,COUNTIF($C$2:$C$1501,C1287)))</f>
        <v/>
      </c>
      <c r="H1287" s="11">
        <f>IF(A1287="","",IFERROR(VALUE(SUBSTITUTE(SUBSTITUTE(INDEX('Shopify Import'!$A:$CZ,1287,Settings!$E$25)&amp;"","$",""),",","")),0)/IF(Settings!$D$27="Yes",G1287,1))</f>
        <v/>
      </c>
      <c r="I1287" s="11">
        <f>IF(A1287="","",IFERROR(VALUE(SUBSTITUTE(SUBSTITUTE(INDEX('Shopify Import'!$A:$CZ,1287,Settings!$E$26)&amp;"","$",""),",","")),0)/IF(Settings!$D$27="Yes",G1287,1))</f>
        <v/>
      </c>
      <c r="J1287" s="11">
        <f>IF(A1287="","",F1287+H1287-I1287)</f>
        <v/>
      </c>
      <c r="K1287">
        <f>IF(A1287="","",IFERROR(IF(B1287="",NA(),MATCH(B1287,Products!$B$5:$B$204,0)),IFERROR(MATCH(A1287,Products!$A$5:$A$204,0),"")))</f>
        <v/>
      </c>
      <c r="L1287">
        <f>IF(A1287="","",IF(K1287="","⚠ not in Products",INDEX(Products!$A$5:$A$204,K1287)))</f>
        <v/>
      </c>
      <c r="M1287" s="11">
        <f>IF(A1287="","",J1287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1287+IFERROR(INDEX(Settings!$D$5:$D$9,MATCH("Shopify",Settings!$A$5:$A$9,0)),0)*D1287)</f>
        <v/>
      </c>
      <c r="N1287" s="11">
        <f>IF(A1287="","",IF(K1287="",0,D1287*INDEX(Products!$I$5:$I$204,K1287)))</f>
        <v/>
      </c>
      <c r="O1287" s="11">
        <f>IF(A1287="","",IF(K1287="",0,J1287*INDEX(Products!$H$5:$H$204,K1287)))</f>
        <v/>
      </c>
      <c r="P1287" s="11">
        <f>IF(A1287="","",J1287-M1287-N1287-O1287)</f>
        <v/>
      </c>
    </row>
    <row r="1288">
      <c r="A1288">
        <f>IFERROR(INDEX('Shopify Import'!$A:$CZ,1288,Settings!$E$20)&amp;"","")</f>
        <v/>
      </c>
      <c r="B1288">
        <f>IFERROR(INDEX('Shopify Import'!$A:$CZ,1288,Settings!$E$21)&amp;"","")</f>
        <v/>
      </c>
      <c r="C1288">
        <f>IFERROR(INDEX('Shopify Import'!$A:$CZ,1288,Settings!$E$22)&amp;"","")</f>
        <v/>
      </c>
      <c r="D1288">
        <f>IF(A1288="","",IFERROR(VALUE(SUBSTITUTE(SUBSTITUTE(INDEX('Shopify Import'!$A:$CZ,1288,Settings!$E$23)&amp;"","$",""),",","")),0))</f>
        <v/>
      </c>
      <c r="E1288" s="11">
        <f>IF(A1288="","",IFERROR(VALUE(SUBSTITUTE(SUBSTITUTE(INDEX('Shopify Import'!$A:$CZ,1288,Settings!$E$24)&amp;"","$",""),",","")),0))</f>
        <v/>
      </c>
      <c r="F1288" s="11">
        <f>IF(A1288="","",D1288*E1288)</f>
        <v/>
      </c>
      <c r="G1288">
        <f>IF(A1288="","",IF(C1288="",1,COUNTIF($C$2:$C$1501,C1288)))</f>
        <v/>
      </c>
      <c r="H1288" s="11">
        <f>IF(A1288="","",IFERROR(VALUE(SUBSTITUTE(SUBSTITUTE(INDEX('Shopify Import'!$A:$CZ,1288,Settings!$E$25)&amp;"","$",""),",","")),0)/IF(Settings!$D$27="Yes",G1288,1))</f>
        <v/>
      </c>
      <c r="I1288" s="11">
        <f>IF(A1288="","",IFERROR(VALUE(SUBSTITUTE(SUBSTITUTE(INDEX('Shopify Import'!$A:$CZ,1288,Settings!$E$26)&amp;"","$",""),",","")),0)/IF(Settings!$D$27="Yes",G1288,1))</f>
        <v/>
      </c>
      <c r="J1288" s="11">
        <f>IF(A1288="","",F1288+H1288-I1288)</f>
        <v/>
      </c>
      <c r="K1288">
        <f>IF(A1288="","",IFERROR(IF(B1288="",NA(),MATCH(B1288,Products!$B$5:$B$204,0)),IFERROR(MATCH(A1288,Products!$A$5:$A$204,0),"")))</f>
        <v/>
      </c>
      <c r="L1288">
        <f>IF(A1288="","",IF(K1288="","⚠ not in Products",INDEX(Products!$A$5:$A$204,K1288)))</f>
        <v/>
      </c>
      <c r="M1288" s="11">
        <f>IF(A1288="","",J1288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1288+IFERROR(INDEX(Settings!$D$5:$D$9,MATCH("Shopify",Settings!$A$5:$A$9,0)),0)*D1288)</f>
        <v/>
      </c>
      <c r="N1288" s="11">
        <f>IF(A1288="","",IF(K1288="",0,D1288*INDEX(Products!$I$5:$I$204,K1288)))</f>
        <v/>
      </c>
      <c r="O1288" s="11">
        <f>IF(A1288="","",IF(K1288="",0,J1288*INDEX(Products!$H$5:$H$204,K1288)))</f>
        <v/>
      </c>
      <c r="P1288" s="11">
        <f>IF(A1288="","",J1288-M1288-N1288-O1288)</f>
        <v/>
      </c>
    </row>
    <row r="1289">
      <c r="A1289">
        <f>IFERROR(INDEX('Shopify Import'!$A:$CZ,1289,Settings!$E$20)&amp;"","")</f>
        <v/>
      </c>
      <c r="B1289">
        <f>IFERROR(INDEX('Shopify Import'!$A:$CZ,1289,Settings!$E$21)&amp;"","")</f>
        <v/>
      </c>
      <c r="C1289">
        <f>IFERROR(INDEX('Shopify Import'!$A:$CZ,1289,Settings!$E$22)&amp;"","")</f>
        <v/>
      </c>
      <c r="D1289">
        <f>IF(A1289="","",IFERROR(VALUE(SUBSTITUTE(SUBSTITUTE(INDEX('Shopify Import'!$A:$CZ,1289,Settings!$E$23)&amp;"","$",""),",","")),0))</f>
        <v/>
      </c>
      <c r="E1289" s="11">
        <f>IF(A1289="","",IFERROR(VALUE(SUBSTITUTE(SUBSTITUTE(INDEX('Shopify Import'!$A:$CZ,1289,Settings!$E$24)&amp;"","$",""),",","")),0))</f>
        <v/>
      </c>
      <c r="F1289" s="11">
        <f>IF(A1289="","",D1289*E1289)</f>
        <v/>
      </c>
      <c r="G1289">
        <f>IF(A1289="","",IF(C1289="",1,COUNTIF($C$2:$C$1501,C1289)))</f>
        <v/>
      </c>
      <c r="H1289" s="11">
        <f>IF(A1289="","",IFERROR(VALUE(SUBSTITUTE(SUBSTITUTE(INDEX('Shopify Import'!$A:$CZ,1289,Settings!$E$25)&amp;"","$",""),",","")),0)/IF(Settings!$D$27="Yes",G1289,1))</f>
        <v/>
      </c>
      <c r="I1289" s="11">
        <f>IF(A1289="","",IFERROR(VALUE(SUBSTITUTE(SUBSTITUTE(INDEX('Shopify Import'!$A:$CZ,1289,Settings!$E$26)&amp;"","$",""),",","")),0)/IF(Settings!$D$27="Yes",G1289,1))</f>
        <v/>
      </c>
      <c r="J1289" s="11">
        <f>IF(A1289="","",F1289+H1289-I1289)</f>
        <v/>
      </c>
      <c r="K1289">
        <f>IF(A1289="","",IFERROR(IF(B1289="",NA(),MATCH(B1289,Products!$B$5:$B$204,0)),IFERROR(MATCH(A1289,Products!$A$5:$A$204,0),"")))</f>
        <v/>
      </c>
      <c r="L1289">
        <f>IF(A1289="","",IF(K1289="","⚠ not in Products",INDEX(Products!$A$5:$A$204,K1289)))</f>
        <v/>
      </c>
      <c r="M1289" s="11">
        <f>IF(A1289="","",J1289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1289+IFERROR(INDEX(Settings!$D$5:$D$9,MATCH("Shopify",Settings!$A$5:$A$9,0)),0)*D1289)</f>
        <v/>
      </c>
      <c r="N1289" s="11">
        <f>IF(A1289="","",IF(K1289="",0,D1289*INDEX(Products!$I$5:$I$204,K1289)))</f>
        <v/>
      </c>
      <c r="O1289" s="11">
        <f>IF(A1289="","",IF(K1289="",0,J1289*INDEX(Products!$H$5:$H$204,K1289)))</f>
        <v/>
      </c>
      <c r="P1289" s="11">
        <f>IF(A1289="","",J1289-M1289-N1289-O1289)</f>
        <v/>
      </c>
    </row>
    <row r="1290">
      <c r="A1290">
        <f>IFERROR(INDEX('Shopify Import'!$A:$CZ,1290,Settings!$E$20)&amp;"","")</f>
        <v/>
      </c>
      <c r="B1290">
        <f>IFERROR(INDEX('Shopify Import'!$A:$CZ,1290,Settings!$E$21)&amp;"","")</f>
        <v/>
      </c>
      <c r="C1290">
        <f>IFERROR(INDEX('Shopify Import'!$A:$CZ,1290,Settings!$E$22)&amp;"","")</f>
        <v/>
      </c>
      <c r="D1290">
        <f>IF(A1290="","",IFERROR(VALUE(SUBSTITUTE(SUBSTITUTE(INDEX('Shopify Import'!$A:$CZ,1290,Settings!$E$23)&amp;"","$",""),",","")),0))</f>
        <v/>
      </c>
      <c r="E1290" s="11">
        <f>IF(A1290="","",IFERROR(VALUE(SUBSTITUTE(SUBSTITUTE(INDEX('Shopify Import'!$A:$CZ,1290,Settings!$E$24)&amp;"","$",""),",","")),0))</f>
        <v/>
      </c>
      <c r="F1290" s="11">
        <f>IF(A1290="","",D1290*E1290)</f>
        <v/>
      </c>
      <c r="G1290">
        <f>IF(A1290="","",IF(C1290="",1,COUNTIF($C$2:$C$1501,C1290)))</f>
        <v/>
      </c>
      <c r="H1290" s="11">
        <f>IF(A1290="","",IFERROR(VALUE(SUBSTITUTE(SUBSTITUTE(INDEX('Shopify Import'!$A:$CZ,1290,Settings!$E$25)&amp;"","$",""),",","")),0)/IF(Settings!$D$27="Yes",G1290,1))</f>
        <v/>
      </c>
      <c r="I1290" s="11">
        <f>IF(A1290="","",IFERROR(VALUE(SUBSTITUTE(SUBSTITUTE(INDEX('Shopify Import'!$A:$CZ,1290,Settings!$E$26)&amp;"","$",""),",","")),0)/IF(Settings!$D$27="Yes",G1290,1))</f>
        <v/>
      </c>
      <c r="J1290" s="11">
        <f>IF(A1290="","",F1290+H1290-I1290)</f>
        <v/>
      </c>
      <c r="K1290">
        <f>IF(A1290="","",IFERROR(IF(B1290="",NA(),MATCH(B1290,Products!$B$5:$B$204,0)),IFERROR(MATCH(A1290,Products!$A$5:$A$204,0),"")))</f>
        <v/>
      </c>
      <c r="L1290">
        <f>IF(A1290="","",IF(K1290="","⚠ not in Products",INDEX(Products!$A$5:$A$204,K1290)))</f>
        <v/>
      </c>
      <c r="M1290" s="11">
        <f>IF(A1290="","",J1290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1290+IFERROR(INDEX(Settings!$D$5:$D$9,MATCH("Shopify",Settings!$A$5:$A$9,0)),0)*D1290)</f>
        <v/>
      </c>
      <c r="N1290" s="11">
        <f>IF(A1290="","",IF(K1290="",0,D1290*INDEX(Products!$I$5:$I$204,K1290)))</f>
        <v/>
      </c>
      <c r="O1290" s="11">
        <f>IF(A1290="","",IF(K1290="",0,J1290*INDEX(Products!$H$5:$H$204,K1290)))</f>
        <v/>
      </c>
      <c r="P1290" s="11">
        <f>IF(A1290="","",J1290-M1290-N1290-O1290)</f>
        <v/>
      </c>
    </row>
    <row r="1291">
      <c r="A1291">
        <f>IFERROR(INDEX('Shopify Import'!$A:$CZ,1291,Settings!$E$20)&amp;"","")</f>
        <v/>
      </c>
      <c r="B1291">
        <f>IFERROR(INDEX('Shopify Import'!$A:$CZ,1291,Settings!$E$21)&amp;"","")</f>
        <v/>
      </c>
      <c r="C1291">
        <f>IFERROR(INDEX('Shopify Import'!$A:$CZ,1291,Settings!$E$22)&amp;"","")</f>
        <v/>
      </c>
      <c r="D1291">
        <f>IF(A1291="","",IFERROR(VALUE(SUBSTITUTE(SUBSTITUTE(INDEX('Shopify Import'!$A:$CZ,1291,Settings!$E$23)&amp;"","$",""),",","")),0))</f>
        <v/>
      </c>
      <c r="E1291" s="11">
        <f>IF(A1291="","",IFERROR(VALUE(SUBSTITUTE(SUBSTITUTE(INDEX('Shopify Import'!$A:$CZ,1291,Settings!$E$24)&amp;"","$",""),",","")),0))</f>
        <v/>
      </c>
      <c r="F1291" s="11">
        <f>IF(A1291="","",D1291*E1291)</f>
        <v/>
      </c>
      <c r="G1291">
        <f>IF(A1291="","",IF(C1291="",1,COUNTIF($C$2:$C$1501,C1291)))</f>
        <v/>
      </c>
      <c r="H1291" s="11">
        <f>IF(A1291="","",IFERROR(VALUE(SUBSTITUTE(SUBSTITUTE(INDEX('Shopify Import'!$A:$CZ,1291,Settings!$E$25)&amp;"","$",""),",","")),0)/IF(Settings!$D$27="Yes",G1291,1))</f>
        <v/>
      </c>
      <c r="I1291" s="11">
        <f>IF(A1291="","",IFERROR(VALUE(SUBSTITUTE(SUBSTITUTE(INDEX('Shopify Import'!$A:$CZ,1291,Settings!$E$26)&amp;"","$",""),",","")),0)/IF(Settings!$D$27="Yes",G1291,1))</f>
        <v/>
      </c>
      <c r="J1291" s="11">
        <f>IF(A1291="","",F1291+H1291-I1291)</f>
        <v/>
      </c>
      <c r="K1291">
        <f>IF(A1291="","",IFERROR(IF(B1291="",NA(),MATCH(B1291,Products!$B$5:$B$204,0)),IFERROR(MATCH(A1291,Products!$A$5:$A$204,0),"")))</f>
        <v/>
      </c>
      <c r="L1291">
        <f>IF(A1291="","",IF(K1291="","⚠ not in Products",INDEX(Products!$A$5:$A$204,K1291)))</f>
        <v/>
      </c>
      <c r="M1291" s="11">
        <f>IF(A1291="","",J1291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1291+IFERROR(INDEX(Settings!$D$5:$D$9,MATCH("Shopify",Settings!$A$5:$A$9,0)),0)*D1291)</f>
        <v/>
      </c>
      <c r="N1291" s="11">
        <f>IF(A1291="","",IF(K1291="",0,D1291*INDEX(Products!$I$5:$I$204,K1291)))</f>
        <v/>
      </c>
      <c r="O1291" s="11">
        <f>IF(A1291="","",IF(K1291="",0,J1291*INDEX(Products!$H$5:$H$204,K1291)))</f>
        <v/>
      </c>
      <c r="P1291" s="11">
        <f>IF(A1291="","",J1291-M1291-N1291-O1291)</f>
        <v/>
      </c>
    </row>
    <row r="1292">
      <c r="A1292">
        <f>IFERROR(INDEX('Shopify Import'!$A:$CZ,1292,Settings!$E$20)&amp;"","")</f>
        <v/>
      </c>
      <c r="B1292">
        <f>IFERROR(INDEX('Shopify Import'!$A:$CZ,1292,Settings!$E$21)&amp;"","")</f>
        <v/>
      </c>
      <c r="C1292">
        <f>IFERROR(INDEX('Shopify Import'!$A:$CZ,1292,Settings!$E$22)&amp;"","")</f>
        <v/>
      </c>
      <c r="D1292">
        <f>IF(A1292="","",IFERROR(VALUE(SUBSTITUTE(SUBSTITUTE(INDEX('Shopify Import'!$A:$CZ,1292,Settings!$E$23)&amp;"","$",""),",","")),0))</f>
        <v/>
      </c>
      <c r="E1292" s="11">
        <f>IF(A1292="","",IFERROR(VALUE(SUBSTITUTE(SUBSTITUTE(INDEX('Shopify Import'!$A:$CZ,1292,Settings!$E$24)&amp;"","$",""),",","")),0))</f>
        <v/>
      </c>
      <c r="F1292" s="11">
        <f>IF(A1292="","",D1292*E1292)</f>
        <v/>
      </c>
      <c r="G1292">
        <f>IF(A1292="","",IF(C1292="",1,COUNTIF($C$2:$C$1501,C1292)))</f>
        <v/>
      </c>
      <c r="H1292" s="11">
        <f>IF(A1292="","",IFERROR(VALUE(SUBSTITUTE(SUBSTITUTE(INDEX('Shopify Import'!$A:$CZ,1292,Settings!$E$25)&amp;"","$",""),",","")),0)/IF(Settings!$D$27="Yes",G1292,1))</f>
        <v/>
      </c>
      <c r="I1292" s="11">
        <f>IF(A1292="","",IFERROR(VALUE(SUBSTITUTE(SUBSTITUTE(INDEX('Shopify Import'!$A:$CZ,1292,Settings!$E$26)&amp;"","$",""),",","")),0)/IF(Settings!$D$27="Yes",G1292,1))</f>
        <v/>
      </c>
      <c r="J1292" s="11">
        <f>IF(A1292="","",F1292+H1292-I1292)</f>
        <v/>
      </c>
      <c r="K1292">
        <f>IF(A1292="","",IFERROR(IF(B1292="",NA(),MATCH(B1292,Products!$B$5:$B$204,0)),IFERROR(MATCH(A1292,Products!$A$5:$A$204,0),"")))</f>
        <v/>
      </c>
      <c r="L1292">
        <f>IF(A1292="","",IF(K1292="","⚠ not in Products",INDEX(Products!$A$5:$A$204,K1292)))</f>
        <v/>
      </c>
      <c r="M1292" s="11">
        <f>IF(A1292="","",J1292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1292+IFERROR(INDEX(Settings!$D$5:$D$9,MATCH("Shopify",Settings!$A$5:$A$9,0)),0)*D1292)</f>
        <v/>
      </c>
      <c r="N1292" s="11">
        <f>IF(A1292="","",IF(K1292="",0,D1292*INDEX(Products!$I$5:$I$204,K1292)))</f>
        <v/>
      </c>
      <c r="O1292" s="11">
        <f>IF(A1292="","",IF(K1292="",0,J1292*INDEX(Products!$H$5:$H$204,K1292)))</f>
        <v/>
      </c>
      <c r="P1292" s="11">
        <f>IF(A1292="","",J1292-M1292-N1292-O1292)</f>
        <v/>
      </c>
    </row>
    <row r="1293">
      <c r="A1293">
        <f>IFERROR(INDEX('Shopify Import'!$A:$CZ,1293,Settings!$E$20)&amp;"","")</f>
        <v/>
      </c>
      <c r="B1293">
        <f>IFERROR(INDEX('Shopify Import'!$A:$CZ,1293,Settings!$E$21)&amp;"","")</f>
        <v/>
      </c>
      <c r="C1293">
        <f>IFERROR(INDEX('Shopify Import'!$A:$CZ,1293,Settings!$E$22)&amp;"","")</f>
        <v/>
      </c>
      <c r="D1293">
        <f>IF(A1293="","",IFERROR(VALUE(SUBSTITUTE(SUBSTITUTE(INDEX('Shopify Import'!$A:$CZ,1293,Settings!$E$23)&amp;"","$",""),",","")),0))</f>
        <v/>
      </c>
      <c r="E1293" s="11">
        <f>IF(A1293="","",IFERROR(VALUE(SUBSTITUTE(SUBSTITUTE(INDEX('Shopify Import'!$A:$CZ,1293,Settings!$E$24)&amp;"","$",""),",","")),0))</f>
        <v/>
      </c>
      <c r="F1293" s="11">
        <f>IF(A1293="","",D1293*E1293)</f>
        <v/>
      </c>
      <c r="G1293">
        <f>IF(A1293="","",IF(C1293="",1,COUNTIF($C$2:$C$1501,C1293)))</f>
        <v/>
      </c>
      <c r="H1293" s="11">
        <f>IF(A1293="","",IFERROR(VALUE(SUBSTITUTE(SUBSTITUTE(INDEX('Shopify Import'!$A:$CZ,1293,Settings!$E$25)&amp;"","$",""),",","")),0)/IF(Settings!$D$27="Yes",G1293,1))</f>
        <v/>
      </c>
      <c r="I1293" s="11">
        <f>IF(A1293="","",IFERROR(VALUE(SUBSTITUTE(SUBSTITUTE(INDEX('Shopify Import'!$A:$CZ,1293,Settings!$E$26)&amp;"","$",""),",","")),0)/IF(Settings!$D$27="Yes",G1293,1))</f>
        <v/>
      </c>
      <c r="J1293" s="11">
        <f>IF(A1293="","",F1293+H1293-I1293)</f>
        <v/>
      </c>
      <c r="K1293">
        <f>IF(A1293="","",IFERROR(IF(B1293="",NA(),MATCH(B1293,Products!$B$5:$B$204,0)),IFERROR(MATCH(A1293,Products!$A$5:$A$204,0),"")))</f>
        <v/>
      </c>
      <c r="L1293">
        <f>IF(A1293="","",IF(K1293="","⚠ not in Products",INDEX(Products!$A$5:$A$204,K1293)))</f>
        <v/>
      </c>
      <c r="M1293" s="11">
        <f>IF(A1293="","",J1293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1293+IFERROR(INDEX(Settings!$D$5:$D$9,MATCH("Shopify",Settings!$A$5:$A$9,0)),0)*D1293)</f>
        <v/>
      </c>
      <c r="N1293" s="11">
        <f>IF(A1293="","",IF(K1293="",0,D1293*INDEX(Products!$I$5:$I$204,K1293)))</f>
        <v/>
      </c>
      <c r="O1293" s="11">
        <f>IF(A1293="","",IF(K1293="",0,J1293*INDEX(Products!$H$5:$H$204,K1293)))</f>
        <v/>
      </c>
      <c r="P1293" s="11">
        <f>IF(A1293="","",J1293-M1293-N1293-O1293)</f>
        <v/>
      </c>
    </row>
    <row r="1294">
      <c r="A1294">
        <f>IFERROR(INDEX('Shopify Import'!$A:$CZ,1294,Settings!$E$20)&amp;"","")</f>
        <v/>
      </c>
      <c r="B1294">
        <f>IFERROR(INDEX('Shopify Import'!$A:$CZ,1294,Settings!$E$21)&amp;"","")</f>
        <v/>
      </c>
      <c r="C1294">
        <f>IFERROR(INDEX('Shopify Import'!$A:$CZ,1294,Settings!$E$22)&amp;"","")</f>
        <v/>
      </c>
      <c r="D1294">
        <f>IF(A1294="","",IFERROR(VALUE(SUBSTITUTE(SUBSTITUTE(INDEX('Shopify Import'!$A:$CZ,1294,Settings!$E$23)&amp;"","$",""),",","")),0))</f>
        <v/>
      </c>
      <c r="E1294" s="11">
        <f>IF(A1294="","",IFERROR(VALUE(SUBSTITUTE(SUBSTITUTE(INDEX('Shopify Import'!$A:$CZ,1294,Settings!$E$24)&amp;"","$",""),",","")),0))</f>
        <v/>
      </c>
      <c r="F1294" s="11">
        <f>IF(A1294="","",D1294*E1294)</f>
        <v/>
      </c>
      <c r="G1294">
        <f>IF(A1294="","",IF(C1294="",1,COUNTIF($C$2:$C$1501,C1294)))</f>
        <v/>
      </c>
      <c r="H1294" s="11">
        <f>IF(A1294="","",IFERROR(VALUE(SUBSTITUTE(SUBSTITUTE(INDEX('Shopify Import'!$A:$CZ,1294,Settings!$E$25)&amp;"","$",""),",","")),0)/IF(Settings!$D$27="Yes",G1294,1))</f>
        <v/>
      </c>
      <c r="I1294" s="11">
        <f>IF(A1294="","",IFERROR(VALUE(SUBSTITUTE(SUBSTITUTE(INDEX('Shopify Import'!$A:$CZ,1294,Settings!$E$26)&amp;"","$",""),",","")),0)/IF(Settings!$D$27="Yes",G1294,1))</f>
        <v/>
      </c>
      <c r="J1294" s="11">
        <f>IF(A1294="","",F1294+H1294-I1294)</f>
        <v/>
      </c>
      <c r="K1294">
        <f>IF(A1294="","",IFERROR(IF(B1294="",NA(),MATCH(B1294,Products!$B$5:$B$204,0)),IFERROR(MATCH(A1294,Products!$A$5:$A$204,0),"")))</f>
        <v/>
      </c>
      <c r="L1294">
        <f>IF(A1294="","",IF(K1294="","⚠ not in Products",INDEX(Products!$A$5:$A$204,K1294)))</f>
        <v/>
      </c>
      <c r="M1294" s="11">
        <f>IF(A1294="","",J1294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1294+IFERROR(INDEX(Settings!$D$5:$D$9,MATCH("Shopify",Settings!$A$5:$A$9,0)),0)*D1294)</f>
        <v/>
      </c>
      <c r="N1294" s="11">
        <f>IF(A1294="","",IF(K1294="",0,D1294*INDEX(Products!$I$5:$I$204,K1294)))</f>
        <v/>
      </c>
      <c r="O1294" s="11">
        <f>IF(A1294="","",IF(K1294="",0,J1294*INDEX(Products!$H$5:$H$204,K1294)))</f>
        <v/>
      </c>
      <c r="P1294" s="11">
        <f>IF(A1294="","",J1294-M1294-N1294-O1294)</f>
        <v/>
      </c>
    </row>
    <row r="1295">
      <c r="A1295">
        <f>IFERROR(INDEX('Shopify Import'!$A:$CZ,1295,Settings!$E$20)&amp;"","")</f>
        <v/>
      </c>
      <c r="B1295">
        <f>IFERROR(INDEX('Shopify Import'!$A:$CZ,1295,Settings!$E$21)&amp;"","")</f>
        <v/>
      </c>
      <c r="C1295">
        <f>IFERROR(INDEX('Shopify Import'!$A:$CZ,1295,Settings!$E$22)&amp;"","")</f>
        <v/>
      </c>
      <c r="D1295">
        <f>IF(A1295="","",IFERROR(VALUE(SUBSTITUTE(SUBSTITUTE(INDEX('Shopify Import'!$A:$CZ,1295,Settings!$E$23)&amp;"","$",""),",","")),0))</f>
        <v/>
      </c>
      <c r="E1295" s="11">
        <f>IF(A1295="","",IFERROR(VALUE(SUBSTITUTE(SUBSTITUTE(INDEX('Shopify Import'!$A:$CZ,1295,Settings!$E$24)&amp;"","$",""),",","")),0))</f>
        <v/>
      </c>
      <c r="F1295" s="11">
        <f>IF(A1295="","",D1295*E1295)</f>
        <v/>
      </c>
      <c r="G1295">
        <f>IF(A1295="","",IF(C1295="",1,COUNTIF($C$2:$C$1501,C1295)))</f>
        <v/>
      </c>
      <c r="H1295" s="11">
        <f>IF(A1295="","",IFERROR(VALUE(SUBSTITUTE(SUBSTITUTE(INDEX('Shopify Import'!$A:$CZ,1295,Settings!$E$25)&amp;"","$",""),",","")),0)/IF(Settings!$D$27="Yes",G1295,1))</f>
        <v/>
      </c>
      <c r="I1295" s="11">
        <f>IF(A1295="","",IFERROR(VALUE(SUBSTITUTE(SUBSTITUTE(INDEX('Shopify Import'!$A:$CZ,1295,Settings!$E$26)&amp;"","$",""),",","")),0)/IF(Settings!$D$27="Yes",G1295,1))</f>
        <v/>
      </c>
      <c r="J1295" s="11">
        <f>IF(A1295="","",F1295+H1295-I1295)</f>
        <v/>
      </c>
      <c r="K1295">
        <f>IF(A1295="","",IFERROR(IF(B1295="",NA(),MATCH(B1295,Products!$B$5:$B$204,0)),IFERROR(MATCH(A1295,Products!$A$5:$A$204,0),"")))</f>
        <v/>
      </c>
      <c r="L1295">
        <f>IF(A1295="","",IF(K1295="","⚠ not in Products",INDEX(Products!$A$5:$A$204,K1295)))</f>
        <v/>
      </c>
      <c r="M1295" s="11">
        <f>IF(A1295="","",J1295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1295+IFERROR(INDEX(Settings!$D$5:$D$9,MATCH("Shopify",Settings!$A$5:$A$9,0)),0)*D1295)</f>
        <v/>
      </c>
      <c r="N1295" s="11">
        <f>IF(A1295="","",IF(K1295="",0,D1295*INDEX(Products!$I$5:$I$204,K1295)))</f>
        <v/>
      </c>
      <c r="O1295" s="11">
        <f>IF(A1295="","",IF(K1295="",0,J1295*INDEX(Products!$H$5:$H$204,K1295)))</f>
        <v/>
      </c>
      <c r="P1295" s="11">
        <f>IF(A1295="","",J1295-M1295-N1295-O1295)</f>
        <v/>
      </c>
    </row>
    <row r="1296">
      <c r="A1296">
        <f>IFERROR(INDEX('Shopify Import'!$A:$CZ,1296,Settings!$E$20)&amp;"","")</f>
        <v/>
      </c>
      <c r="B1296">
        <f>IFERROR(INDEX('Shopify Import'!$A:$CZ,1296,Settings!$E$21)&amp;"","")</f>
        <v/>
      </c>
      <c r="C1296">
        <f>IFERROR(INDEX('Shopify Import'!$A:$CZ,1296,Settings!$E$22)&amp;"","")</f>
        <v/>
      </c>
      <c r="D1296">
        <f>IF(A1296="","",IFERROR(VALUE(SUBSTITUTE(SUBSTITUTE(INDEX('Shopify Import'!$A:$CZ,1296,Settings!$E$23)&amp;"","$",""),",","")),0))</f>
        <v/>
      </c>
      <c r="E1296" s="11">
        <f>IF(A1296="","",IFERROR(VALUE(SUBSTITUTE(SUBSTITUTE(INDEX('Shopify Import'!$A:$CZ,1296,Settings!$E$24)&amp;"","$",""),",","")),0))</f>
        <v/>
      </c>
      <c r="F1296" s="11">
        <f>IF(A1296="","",D1296*E1296)</f>
        <v/>
      </c>
      <c r="G1296">
        <f>IF(A1296="","",IF(C1296="",1,COUNTIF($C$2:$C$1501,C1296)))</f>
        <v/>
      </c>
      <c r="H1296" s="11">
        <f>IF(A1296="","",IFERROR(VALUE(SUBSTITUTE(SUBSTITUTE(INDEX('Shopify Import'!$A:$CZ,1296,Settings!$E$25)&amp;"","$",""),",","")),0)/IF(Settings!$D$27="Yes",G1296,1))</f>
        <v/>
      </c>
      <c r="I1296" s="11">
        <f>IF(A1296="","",IFERROR(VALUE(SUBSTITUTE(SUBSTITUTE(INDEX('Shopify Import'!$A:$CZ,1296,Settings!$E$26)&amp;"","$",""),",","")),0)/IF(Settings!$D$27="Yes",G1296,1))</f>
        <v/>
      </c>
      <c r="J1296" s="11">
        <f>IF(A1296="","",F1296+H1296-I1296)</f>
        <v/>
      </c>
      <c r="K1296">
        <f>IF(A1296="","",IFERROR(IF(B1296="",NA(),MATCH(B1296,Products!$B$5:$B$204,0)),IFERROR(MATCH(A1296,Products!$A$5:$A$204,0),"")))</f>
        <v/>
      </c>
      <c r="L1296">
        <f>IF(A1296="","",IF(K1296="","⚠ not in Products",INDEX(Products!$A$5:$A$204,K1296)))</f>
        <v/>
      </c>
      <c r="M1296" s="11">
        <f>IF(A1296="","",J1296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1296+IFERROR(INDEX(Settings!$D$5:$D$9,MATCH("Shopify",Settings!$A$5:$A$9,0)),0)*D1296)</f>
        <v/>
      </c>
      <c r="N1296" s="11">
        <f>IF(A1296="","",IF(K1296="",0,D1296*INDEX(Products!$I$5:$I$204,K1296)))</f>
        <v/>
      </c>
      <c r="O1296" s="11">
        <f>IF(A1296="","",IF(K1296="",0,J1296*INDEX(Products!$H$5:$H$204,K1296)))</f>
        <v/>
      </c>
      <c r="P1296" s="11">
        <f>IF(A1296="","",J1296-M1296-N1296-O1296)</f>
        <v/>
      </c>
    </row>
    <row r="1297">
      <c r="A1297">
        <f>IFERROR(INDEX('Shopify Import'!$A:$CZ,1297,Settings!$E$20)&amp;"","")</f>
        <v/>
      </c>
      <c r="B1297">
        <f>IFERROR(INDEX('Shopify Import'!$A:$CZ,1297,Settings!$E$21)&amp;"","")</f>
        <v/>
      </c>
      <c r="C1297">
        <f>IFERROR(INDEX('Shopify Import'!$A:$CZ,1297,Settings!$E$22)&amp;"","")</f>
        <v/>
      </c>
      <c r="D1297">
        <f>IF(A1297="","",IFERROR(VALUE(SUBSTITUTE(SUBSTITUTE(INDEX('Shopify Import'!$A:$CZ,1297,Settings!$E$23)&amp;"","$",""),",","")),0))</f>
        <v/>
      </c>
      <c r="E1297" s="11">
        <f>IF(A1297="","",IFERROR(VALUE(SUBSTITUTE(SUBSTITUTE(INDEX('Shopify Import'!$A:$CZ,1297,Settings!$E$24)&amp;"","$",""),",","")),0))</f>
        <v/>
      </c>
      <c r="F1297" s="11">
        <f>IF(A1297="","",D1297*E1297)</f>
        <v/>
      </c>
      <c r="G1297">
        <f>IF(A1297="","",IF(C1297="",1,COUNTIF($C$2:$C$1501,C1297)))</f>
        <v/>
      </c>
      <c r="H1297" s="11">
        <f>IF(A1297="","",IFERROR(VALUE(SUBSTITUTE(SUBSTITUTE(INDEX('Shopify Import'!$A:$CZ,1297,Settings!$E$25)&amp;"","$",""),",","")),0)/IF(Settings!$D$27="Yes",G1297,1))</f>
        <v/>
      </c>
      <c r="I1297" s="11">
        <f>IF(A1297="","",IFERROR(VALUE(SUBSTITUTE(SUBSTITUTE(INDEX('Shopify Import'!$A:$CZ,1297,Settings!$E$26)&amp;"","$",""),",","")),0)/IF(Settings!$D$27="Yes",G1297,1))</f>
        <v/>
      </c>
      <c r="J1297" s="11">
        <f>IF(A1297="","",F1297+H1297-I1297)</f>
        <v/>
      </c>
      <c r="K1297">
        <f>IF(A1297="","",IFERROR(IF(B1297="",NA(),MATCH(B1297,Products!$B$5:$B$204,0)),IFERROR(MATCH(A1297,Products!$A$5:$A$204,0),"")))</f>
        <v/>
      </c>
      <c r="L1297">
        <f>IF(A1297="","",IF(K1297="","⚠ not in Products",INDEX(Products!$A$5:$A$204,K1297)))</f>
        <v/>
      </c>
      <c r="M1297" s="11">
        <f>IF(A1297="","",J1297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1297+IFERROR(INDEX(Settings!$D$5:$D$9,MATCH("Shopify",Settings!$A$5:$A$9,0)),0)*D1297)</f>
        <v/>
      </c>
      <c r="N1297" s="11">
        <f>IF(A1297="","",IF(K1297="",0,D1297*INDEX(Products!$I$5:$I$204,K1297)))</f>
        <v/>
      </c>
      <c r="O1297" s="11">
        <f>IF(A1297="","",IF(K1297="",0,J1297*INDEX(Products!$H$5:$H$204,K1297)))</f>
        <v/>
      </c>
      <c r="P1297" s="11">
        <f>IF(A1297="","",J1297-M1297-N1297-O1297)</f>
        <v/>
      </c>
    </row>
    <row r="1298">
      <c r="A1298">
        <f>IFERROR(INDEX('Shopify Import'!$A:$CZ,1298,Settings!$E$20)&amp;"","")</f>
        <v/>
      </c>
      <c r="B1298">
        <f>IFERROR(INDEX('Shopify Import'!$A:$CZ,1298,Settings!$E$21)&amp;"","")</f>
        <v/>
      </c>
      <c r="C1298">
        <f>IFERROR(INDEX('Shopify Import'!$A:$CZ,1298,Settings!$E$22)&amp;"","")</f>
        <v/>
      </c>
      <c r="D1298">
        <f>IF(A1298="","",IFERROR(VALUE(SUBSTITUTE(SUBSTITUTE(INDEX('Shopify Import'!$A:$CZ,1298,Settings!$E$23)&amp;"","$",""),",","")),0))</f>
        <v/>
      </c>
      <c r="E1298" s="11">
        <f>IF(A1298="","",IFERROR(VALUE(SUBSTITUTE(SUBSTITUTE(INDEX('Shopify Import'!$A:$CZ,1298,Settings!$E$24)&amp;"","$",""),",","")),0))</f>
        <v/>
      </c>
      <c r="F1298" s="11">
        <f>IF(A1298="","",D1298*E1298)</f>
        <v/>
      </c>
      <c r="G1298">
        <f>IF(A1298="","",IF(C1298="",1,COUNTIF($C$2:$C$1501,C1298)))</f>
        <v/>
      </c>
      <c r="H1298" s="11">
        <f>IF(A1298="","",IFERROR(VALUE(SUBSTITUTE(SUBSTITUTE(INDEX('Shopify Import'!$A:$CZ,1298,Settings!$E$25)&amp;"","$",""),",","")),0)/IF(Settings!$D$27="Yes",G1298,1))</f>
        <v/>
      </c>
      <c r="I1298" s="11">
        <f>IF(A1298="","",IFERROR(VALUE(SUBSTITUTE(SUBSTITUTE(INDEX('Shopify Import'!$A:$CZ,1298,Settings!$E$26)&amp;"","$",""),",","")),0)/IF(Settings!$D$27="Yes",G1298,1))</f>
        <v/>
      </c>
      <c r="J1298" s="11">
        <f>IF(A1298="","",F1298+H1298-I1298)</f>
        <v/>
      </c>
      <c r="K1298">
        <f>IF(A1298="","",IFERROR(IF(B1298="",NA(),MATCH(B1298,Products!$B$5:$B$204,0)),IFERROR(MATCH(A1298,Products!$A$5:$A$204,0),"")))</f>
        <v/>
      </c>
      <c r="L1298">
        <f>IF(A1298="","",IF(K1298="","⚠ not in Products",INDEX(Products!$A$5:$A$204,K1298)))</f>
        <v/>
      </c>
      <c r="M1298" s="11">
        <f>IF(A1298="","",J1298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1298+IFERROR(INDEX(Settings!$D$5:$D$9,MATCH("Shopify",Settings!$A$5:$A$9,0)),0)*D1298)</f>
        <v/>
      </c>
      <c r="N1298" s="11">
        <f>IF(A1298="","",IF(K1298="",0,D1298*INDEX(Products!$I$5:$I$204,K1298)))</f>
        <v/>
      </c>
      <c r="O1298" s="11">
        <f>IF(A1298="","",IF(K1298="",0,J1298*INDEX(Products!$H$5:$H$204,K1298)))</f>
        <v/>
      </c>
      <c r="P1298" s="11">
        <f>IF(A1298="","",J1298-M1298-N1298-O1298)</f>
        <v/>
      </c>
    </row>
    <row r="1299">
      <c r="A1299">
        <f>IFERROR(INDEX('Shopify Import'!$A:$CZ,1299,Settings!$E$20)&amp;"","")</f>
        <v/>
      </c>
      <c r="B1299">
        <f>IFERROR(INDEX('Shopify Import'!$A:$CZ,1299,Settings!$E$21)&amp;"","")</f>
        <v/>
      </c>
      <c r="C1299">
        <f>IFERROR(INDEX('Shopify Import'!$A:$CZ,1299,Settings!$E$22)&amp;"","")</f>
        <v/>
      </c>
      <c r="D1299">
        <f>IF(A1299="","",IFERROR(VALUE(SUBSTITUTE(SUBSTITUTE(INDEX('Shopify Import'!$A:$CZ,1299,Settings!$E$23)&amp;"","$",""),",","")),0))</f>
        <v/>
      </c>
      <c r="E1299" s="11">
        <f>IF(A1299="","",IFERROR(VALUE(SUBSTITUTE(SUBSTITUTE(INDEX('Shopify Import'!$A:$CZ,1299,Settings!$E$24)&amp;"","$",""),",","")),0))</f>
        <v/>
      </c>
      <c r="F1299" s="11">
        <f>IF(A1299="","",D1299*E1299)</f>
        <v/>
      </c>
      <c r="G1299">
        <f>IF(A1299="","",IF(C1299="",1,COUNTIF($C$2:$C$1501,C1299)))</f>
        <v/>
      </c>
      <c r="H1299" s="11">
        <f>IF(A1299="","",IFERROR(VALUE(SUBSTITUTE(SUBSTITUTE(INDEX('Shopify Import'!$A:$CZ,1299,Settings!$E$25)&amp;"","$",""),",","")),0)/IF(Settings!$D$27="Yes",G1299,1))</f>
        <v/>
      </c>
      <c r="I1299" s="11">
        <f>IF(A1299="","",IFERROR(VALUE(SUBSTITUTE(SUBSTITUTE(INDEX('Shopify Import'!$A:$CZ,1299,Settings!$E$26)&amp;"","$",""),",","")),0)/IF(Settings!$D$27="Yes",G1299,1))</f>
        <v/>
      </c>
      <c r="J1299" s="11">
        <f>IF(A1299="","",F1299+H1299-I1299)</f>
        <v/>
      </c>
      <c r="K1299">
        <f>IF(A1299="","",IFERROR(IF(B1299="",NA(),MATCH(B1299,Products!$B$5:$B$204,0)),IFERROR(MATCH(A1299,Products!$A$5:$A$204,0),"")))</f>
        <v/>
      </c>
      <c r="L1299">
        <f>IF(A1299="","",IF(K1299="","⚠ not in Products",INDEX(Products!$A$5:$A$204,K1299)))</f>
        <v/>
      </c>
      <c r="M1299" s="11">
        <f>IF(A1299="","",J1299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1299+IFERROR(INDEX(Settings!$D$5:$D$9,MATCH("Shopify",Settings!$A$5:$A$9,0)),0)*D1299)</f>
        <v/>
      </c>
      <c r="N1299" s="11">
        <f>IF(A1299="","",IF(K1299="",0,D1299*INDEX(Products!$I$5:$I$204,K1299)))</f>
        <v/>
      </c>
      <c r="O1299" s="11">
        <f>IF(A1299="","",IF(K1299="",0,J1299*INDEX(Products!$H$5:$H$204,K1299)))</f>
        <v/>
      </c>
      <c r="P1299" s="11">
        <f>IF(A1299="","",J1299-M1299-N1299-O1299)</f>
        <v/>
      </c>
    </row>
    <row r="1300">
      <c r="A1300">
        <f>IFERROR(INDEX('Shopify Import'!$A:$CZ,1300,Settings!$E$20)&amp;"","")</f>
        <v/>
      </c>
      <c r="B1300">
        <f>IFERROR(INDEX('Shopify Import'!$A:$CZ,1300,Settings!$E$21)&amp;"","")</f>
        <v/>
      </c>
      <c r="C1300">
        <f>IFERROR(INDEX('Shopify Import'!$A:$CZ,1300,Settings!$E$22)&amp;"","")</f>
        <v/>
      </c>
      <c r="D1300">
        <f>IF(A1300="","",IFERROR(VALUE(SUBSTITUTE(SUBSTITUTE(INDEX('Shopify Import'!$A:$CZ,1300,Settings!$E$23)&amp;"","$",""),",","")),0))</f>
        <v/>
      </c>
      <c r="E1300" s="11">
        <f>IF(A1300="","",IFERROR(VALUE(SUBSTITUTE(SUBSTITUTE(INDEX('Shopify Import'!$A:$CZ,1300,Settings!$E$24)&amp;"","$",""),",","")),0))</f>
        <v/>
      </c>
      <c r="F1300" s="11">
        <f>IF(A1300="","",D1300*E1300)</f>
        <v/>
      </c>
      <c r="G1300">
        <f>IF(A1300="","",IF(C1300="",1,COUNTIF($C$2:$C$1501,C1300)))</f>
        <v/>
      </c>
      <c r="H1300" s="11">
        <f>IF(A1300="","",IFERROR(VALUE(SUBSTITUTE(SUBSTITUTE(INDEX('Shopify Import'!$A:$CZ,1300,Settings!$E$25)&amp;"","$",""),",","")),0)/IF(Settings!$D$27="Yes",G1300,1))</f>
        <v/>
      </c>
      <c r="I1300" s="11">
        <f>IF(A1300="","",IFERROR(VALUE(SUBSTITUTE(SUBSTITUTE(INDEX('Shopify Import'!$A:$CZ,1300,Settings!$E$26)&amp;"","$",""),",","")),0)/IF(Settings!$D$27="Yes",G1300,1))</f>
        <v/>
      </c>
      <c r="J1300" s="11">
        <f>IF(A1300="","",F1300+H1300-I1300)</f>
        <v/>
      </c>
      <c r="K1300">
        <f>IF(A1300="","",IFERROR(IF(B1300="",NA(),MATCH(B1300,Products!$B$5:$B$204,0)),IFERROR(MATCH(A1300,Products!$A$5:$A$204,0),"")))</f>
        <v/>
      </c>
      <c r="L1300">
        <f>IF(A1300="","",IF(K1300="","⚠ not in Products",INDEX(Products!$A$5:$A$204,K1300)))</f>
        <v/>
      </c>
      <c r="M1300" s="11">
        <f>IF(A1300="","",J1300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1300+IFERROR(INDEX(Settings!$D$5:$D$9,MATCH("Shopify",Settings!$A$5:$A$9,0)),0)*D1300)</f>
        <v/>
      </c>
      <c r="N1300" s="11">
        <f>IF(A1300="","",IF(K1300="",0,D1300*INDEX(Products!$I$5:$I$204,K1300)))</f>
        <v/>
      </c>
      <c r="O1300" s="11">
        <f>IF(A1300="","",IF(K1300="",0,J1300*INDEX(Products!$H$5:$H$204,K1300)))</f>
        <v/>
      </c>
      <c r="P1300" s="11">
        <f>IF(A1300="","",J1300-M1300-N1300-O1300)</f>
        <v/>
      </c>
    </row>
    <row r="1301">
      <c r="A1301">
        <f>IFERROR(INDEX('Shopify Import'!$A:$CZ,1301,Settings!$E$20)&amp;"","")</f>
        <v/>
      </c>
      <c r="B1301">
        <f>IFERROR(INDEX('Shopify Import'!$A:$CZ,1301,Settings!$E$21)&amp;"","")</f>
        <v/>
      </c>
      <c r="C1301">
        <f>IFERROR(INDEX('Shopify Import'!$A:$CZ,1301,Settings!$E$22)&amp;"","")</f>
        <v/>
      </c>
      <c r="D1301">
        <f>IF(A1301="","",IFERROR(VALUE(SUBSTITUTE(SUBSTITUTE(INDEX('Shopify Import'!$A:$CZ,1301,Settings!$E$23)&amp;"","$",""),",","")),0))</f>
        <v/>
      </c>
      <c r="E1301" s="11">
        <f>IF(A1301="","",IFERROR(VALUE(SUBSTITUTE(SUBSTITUTE(INDEX('Shopify Import'!$A:$CZ,1301,Settings!$E$24)&amp;"","$",""),",","")),0))</f>
        <v/>
      </c>
      <c r="F1301" s="11">
        <f>IF(A1301="","",D1301*E1301)</f>
        <v/>
      </c>
      <c r="G1301">
        <f>IF(A1301="","",IF(C1301="",1,COUNTIF($C$2:$C$1501,C1301)))</f>
        <v/>
      </c>
      <c r="H1301" s="11">
        <f>IF(A1301="","",IFERROR(VALUE(SUBSTITUTE(SUBSTITUTE(INDEX('Shopify Import'!$A:$CZ,1301,Settings!$E$25)&amp;"","$",""),",","")),0)/IF(Settings!$D$27="Yes",G1301,1))</f>
        <v/>
      </c>
      <c r="I1301" s="11">
        <f>IF(A1301="","",IFERROR(VALUE(SUBSTITUTE(SUBSTITUTE(INDEX('Shopify Import'!$A:$CZ,1301,Settings!$E$26)&amp;"","$",""),",","")),0)/IF(Settings!$D$27="Yes",G1301,1))</f>
        <v/>
      </c>
      <c r="J1301" s="11">
        <f>IF(A1301="","",F1301+H1301-I1301)</f>
        <v/>
      </c>
      <c r="K1301">
        <f>IF(A1301="","",IFERROR(IF(B1301="",NA(),MATCH(B1301,Products!$B$5:$B$204,0)),IFERROR(MATCH(A1301,Products!$A$5:$A$204,0),"")))</f>
        <v/>
      </c>
      <c r="L1301">
        <f>IF(A1301="","",IF(K1301="","⚠ not in Products",INDEX(Products!$A$5:$A$204,K1301)))</f>
        <v/>
      </c>
      <c r="M1301" s="11">
        <f>IF(A1301="","",J1301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1301+IFERROR(INDEX(Settings!$D$5:$D$9,MATCH("Shopify",Settings!$A$5:$A$9,0)),0)*D1301)</f>
        <v/>
      </c>
      <c r="N1301" s="11">
        <f>IF(A1301="","",IF(K1301="",0,D1301*INDEX(Products!$I$5:$I$204,K1301)))</f>
        <v/>
      </c>
      <c r="O1301" s="11">
        <f>IF(A1301="","",IF(K1301="",0,J1301*INDEX(Products!$H$5:$H$204,K1301)))</f>
        <v/>
      </c>
      <c r="P1301" s="11">
        <f>IF(A1301="","",J1301-M1301-N1301-O1301)</f>
        <v/>
      </c>
    </row>
    <row r="1302">
      <c r="A1302">
        <f>IFERROR(INDEX('Shopify Import'!$A:$CZ,1302,Settings!$E$20)&amp;"","")</f>
        <v/>
      </c>
      <c r="B1302">
        <f>IFERROR(INDEX('Shopify Import'!$A:$CZ,1302,Settings!$E$21)&amp;"","")</f>
        <v/>
      </c>
      <c r="C1302">
        <f>IFERROR(INDEX('Shopify Import'!$A:$CZ,1302,Settings!$E$22)&amp;"","")</f>
        <v/>
      </c>
      <c r="D1302">
        <f>IF(A1302="","",IFERROR(VALUE(SUBSTITUTE(SUBSTITUTE(INDEX('Shopify Import'!$A:$CZ,1302,Settings!$E$23)&amp;"","$",""),",","")),0))</f>
        <v/>
      </c>
      <c r="E1302" s="11">
        <f>IF(A1302="","",IFERROR(VALUE(SUBSTITUTE(SUBSTITUTE(INDEX('Shopify Import'!$A:$CZ,1302,Settings!$E$24)&amp;"","$",""),",","")),0))</f>
        <v/>
      </c>
      <c r="F1302" s="11">
        <f>IF(A1302="","",D1302*E1302)</f>
        <v/>
      </c>
      <c r="G1302">
        <f>IF(A1302="","",IF(C1302="",1,COUNTIF($C$2:$C$1501,C1302)))</f>
        <v/>
      </c>
      <c r="H1302" s="11">
        <f>IF(A1302="","",IFERROR(VALUE(SUBSTITUTE(SUBSTITUTE(INDEX('Shopify Import'!$A:$CZ,1302,Settings!$E$25)&amp;"","$",""),",","")),0)/IF(Settings!$D$27="Yes",G1302,1))</f>
        <v/>
      </c>
      <c r="I1302" s="11">
        <f>IF(A1302="","",IFERROR(VALUE(SUBSTITUTE(SUBSTITUTE(INDEX('Shopify Import'!$A:$CZ,1302,Settings!$E$26)&amp;"","$",""),",","")),0)/IF(Settings!$D$27="Yes",G1302,1))</f>
        <v/>
      </c>
      <c r="J1302" s="11">
        <f>IF(A1302="","",F1302+H1302-I1302)</f>
        <v/>
      </c>
      <c r="K1302">
        <f>IF(A1302="","",IFERROR(IF(B1302="",NA(),MATCH(B1302,Products!$B$5:$B$204,0)),IFERROR(MATCH(A1302,Products!$A$5:$A$204,0),"")))</f>
        <v/>
      </c>
      <c r="L1302">
        <f>IF(A1302="","",IF(K1302="","⚠ not in Products",INDEX(Products!$A$5:$A$204,K1302)))</f>
        <v/>
      </c>
      <c r="M1302" s="11">
        <f>IF(A1302="","",J1302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1302+IFERROR(INDEX(Settings!$D$5:$D$9,MATCH("Shopify",Settings!$A$5:$A$9,0)),0)*D1302)</f>
        <v/>
      </c>
      <c r="N1302" s="11">
        <f>IF(A1302="","",IF(K1302="",0,D1302*INDEX(Products!$I$5:$I$204,K1302)))</f>
        <v/>
      </c>
      <c r="O1302" s="11">
        <f>IF(A1302="","",IF(K1302="",0,J1302*INDEX(Products!$H$5:$H$204,K1302)))</f>
        <v/>
      </c>
      <c r="P1302" s="11">
        <f>IF(A1302="","",J1302-M1302-N1302-O1302)</f>
        <v/>
      </c>
    </row>
    <row r="1303">
      <c r="A1303">
        <f>IFERROR(INDEX('Shopify Import'!$A:$CZ,1303,Settings!$E$20)&amp;"","")</f>
        <v/>
      </c>
      <c r="B1303">
        <f>IFERROR(INDEX('Shopify Import'!$A:$CZ,1303,Settings!$E$21)&amp;"","")</f>
        <v/>
      </c>
      <c r="C1303">
        <f>IFERROR(INDEX('Shopify Import'!$A:$CZ,1303,Settings!$E$22)&amp;"","")</f>
        <v/>
      </c>
      <c r="D1303">
        <f>IF(A1303="","",IFERROR(VALUE(SUBSTITUTE(SUBSTITUTE(INDEX('Shopify Import'!$A:$CZ,1303,Settings!$E$23)&amp;"","$",""),",","")),0))</f>
        <v/>
      </c>
      <c r="E1303" s="11">
        <f>IF(A1303="","",IFERROR(VALUE(SUBSTITUTE(SUBSTITUTE(INDEX('Shopify Import'!$A:$CZ,1303,Settings!$E$24)&amp;"","$",""),",","")),0))</f>
        <v/>
      </c>
      <c r="F1303" s="11">
        <f>IF(A1303="","",D1303*E1303)</f>
        <v/>
      </c>
      <c r="G1303">
        <f>IF(A1303="","",IF(C1303="",1,COUNTIF($C$2:$C$1501,C1303)))</f>
        <v/>
      </c>
      <c r="H1303" s="11">
        <f>IF(A1303="","",IFERROR(VALUE(SUBSTITUTE(SUBSTITUTE(INDEX('Shopify Import'!$A:$CZ,1303,Settings!$E$25)&amp;"","$",""),",","")),0)/IF(Settings!$D$27="Yes",G1303,1))</f>
        <v/>
      </c>
      <c r="I1303" s="11">
        <f>IF(A1303="","",IFERROR(VALUE(SUBSTITUTE(SUBSTITUTE(INDEX('Shopify Import'!$A:$CZ,1303,Settings!$E$26)&amp;"","$",""),",","")),0)/IF(Settings!$D$27="Yes",G1303,1))</f>
        <v/>
      </c>
      <c r="J1303" s="11">
        <f>IF(A1303="","",F1303+H1303-I1303)</f>
        <v/>
      </c>
      <c r="K1303">
        <f>IF(A1303="","",IFERROR(IF(B1303="",NA(),MATCH(B1303,Products!$B$5:$B$204,0)),IFERROR(MATCH(A1303,Products!$A$5:$A$204,0),"")))</f>
        <v/>
      </c>
      <c r="L1303">
        <f>IF(A1303="","",IF(K1303="","⚠ not in Products",INDEX(Products!$A$5:$A$204,K1303)))</f>
        <v/>
      </c>
      <c r="M1303" s="11">
        <f>IF(A1303="","",J1303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1303+IFERROR(INDEX(Settings!$D$5:$D$9,MATCH("Shopify",Settings!$A$5:$A$9,0)),0)*D1303)</f>
        <v/>
      </c>
      <c r="N1303" s="11">
        <f>IF(A1303="","",IF(K1303="",0,D1303*INDEX(Products!$I$5:$I$204,K1303)))</f>
        <v/>
      </c>
      <c r="O1303" s="11">
        <f>IF(A1303="","",IF(K1303="",0,J1303*INDEX(Products!$H$5:$H$204,K1303)))</f>
        <v/>
      </c>
      <c r="P1303" s="11">
        <f>IF(A1303="","",J1303-M1303-N1303-O1303)</f>
        <v/>
      </c>
    </row>
    <row r="1304">
      <c r="A1304">
        <f>IFERROR(INDEX('Shopify Import'!$A:$CZ,1304,Settings!$E$20)&amp;"","")</f>
        <v/>
      </c>
      <c r="B1304">
        <f>IFERROR(INDEX('Shopify Import'!$A:$CZ,1304,Settings!$E$21)&amp;"","")</f>
        <v/>
      </c>
      <c r="C1304">
        <f>IFERROR(INDEX('Shopify Import'!$A:$CZ,1304,Settings!$E$22)&amp;"","")</f>
        <v/>
      </c>
      <c r="D1304">
        <f>IF(A1304="","",IFERROR(VALUE(SUBSTITUTE(SUBSTITUTE(INDEX('Shopify Import'!$A:$CZ,1304,Settings!$E$23)&amp;"","$",""),",","")),0))</f>
        <v/>
      </c>
      <c r="E1304" s="11">
        <f>IF(A1304="","",IFERROR(VALUE(SUBSTITUTE(SUBSTITUTE(INDEX('Shopify Import'!$A:$CZ,1304,Settings!$E$24)&amp;"","$",""),",","")),0))</f>
        <v/>
      </c>
      <c r="F1304" s="11">
        <f>IF(A1304="","",D1304*E1304)</f>
        <v/>
      </c>
      <c r="G1304">
        <f>IF(A1304="","",IF(C1304="",1,COUNTIF($C$2:$C$1501,C1304)))</f>
        <v/>
      </c>
      <c r="H1304" s="11">
        <f>IF(A1304="","",IFERROR(VALUE(SUBSTITUTE(SUBSTITUTE(INDEX('Shopify Import'!$A:$CZ,1304,Settings!$E$25)&amp;"","$",""),",","")),0)/IF(Settings!$D$27="Yes",G1304,1))</f>
        <v/>
      </c>
      <c r="I1304" s="11">
        <f>IF(A1304="","",IFERROR(VALUE(SUBSTITUTE(SUBSTITUTE(INDEX('Shopify Import'!$A:$CZ,1304,Settings!$E$26)&amp;"","$",""),",","")),0)/IF(Settings!$D$27="Yes",G1304,1))</f>
        <v/>
      </c>
      <c r="J1304" s="11">
        <f>IF(A1304="","",F1304+H1304-I1304)</f>
        <v/>
      </c>
      <c r="K1304">
        <f>IF(A1304="","",IFERROR(IF(B1304="",NA(),MATCH(B1304,Products!$B$5:$B$204,0)),IFERROR(MATCH(A1304,Products!$A$5:$A$204,0),"")))</f>
        <v/>
      </c>
      <c r="L1304">
        <f>IF(A1304="","",IF(K1304="","⚠ not in Products",INDEX(Products!$A$5:$A$204,K1304)))</f>
        <v/>
      </c>
      <c r="M1304" s="11">
        <f>IF(A1304="","",J1304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1304+IFERROR(INDEX(Settings!$D$5:$D$9,MATCH("Shopify",Settings!$A$5:$A$9,0)),0)*D1304)</f>
        <v/>
      </c>
      <c r="N1304" s="11">
        <f>IF(A1304="","",IF(K1304="",0,D1304*INDEX(Products!$I$5:$I$204,K1304)))</f>
        <v/>
      </c>
      <c r="O1304" s="11">
        <f>IF(A1304="","",IF(K1304="",0,J1304*INDEX(Products!$H$5:$H$204,K1304)))</f>
        <v/>
      </c>
      <c r="P1304" s="11">
        <f>IF(A1304="","",J1304-M1304-N1304-O1304)</f>
        <v/>
      </c>
    </row>
    <row r="1305">
      <c r="A1305">
        <f>IFERROR(INDEX('Shopify Import'!$A:$CZ,1305,Settings!$E$20)&amp;"","")</f>
        <v/>
      </c>
      <c r="B1305">
        <f>IFERROR(INDEX('Shopify Import'!$A:$CZ,1305,Settings!$E$21)&amp;"","")</f>
        <v/>
      </c>
      <c r="C1305">
        <f>IFERROR(INDEX('Shopify Import'!$A:$CZ,1305,Settings!$E$22)&amp;"","")</f>
        <v/>
      </c>
      <c r="D1305">
        <f>IF(A1305="","",IFERROR(VALUE(SUBSTITUTE(SUBSTITUTE(INDEX('Shopify Import'!$A:$CZ,1305,Settings!$E$23)&amp;"","$",""),",","")),0))</f>
        <v/>
      </c>
      <c r="E1305" s="11">
        <f>IF(A1305="","",IFERROR(VALUE(SUBSTITUTE(SUBSTITUTE(INDEX('Shopify Import'!$A:$CZ,1305,Settings!$E$24)&amp;"","$",""),",","")),0))</f>
        <v/>
      </c>
      <c r="F1305" s="11">
        <f>IF(A1305="","",D1305*E1305)</f>
        <v/>
      </c>
      <c r="G1305">
        <f>IF(A1305="","",IF(C1305="",1,COUNTIF($C$2:$C$1501,C1305)))</f>
        <v/>
      </c>
      <c r="H1305" s="11">
        <f>IF(A1305="","",IFERROR(VALUE(SUBSTITUTE(SUBSTITUTE(INDEX('Shopify Import'!$A:$CZ,1305,Settings!$E$25)&amp;"","$",""),",","")),0)/IF(Settings!$D$27="Yes",G1305,1))</f>
        <v/>
      </c>
      <c r="I1305" s="11">
        <f>IF(A1305="","",IFERROR(VALUE(SUBSTITUTE(SUBSTITUTE(INDEX('Shopify Import'!$A:$CZ,1305,Settings!$E$26)&amp;"","$",""),",","")),0)/IF(Settings!$D$27="Yes",G1305,1))</f>
        <v/>
      </c>
      <c r="J1305" s="11">
        <f>IF(A1305="","",F1305+H1305-I1305)</f>
        <v/>
      </c>
      <c r="K1305">
        <f>IF(A1305="","",IFERROR(IF(B1305="",NA(),MATCH(B1305,Products!$B$5:$B$204,0)),IFERROR(MATCH(A1305,Products!$A$5:$A$204,0),"")))</f>
        <v/>
      </c>
      <c r="L1305">
        <f>IF(A1305="","",IF(K1305="","⚠ not in Products",INDEX(Products!$A$5:$A$204,K1305)))</f>
        <v/>
      </c>
      <c r="M1305" s="11">
        <f>IF(A1305="","",J1305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1305+IFERROR(INDEX(Settings!$D$5:$D$9,MATCH("Shopify",Settings!$A$5:$A$9,0)),0)*D1305)</f>
        <v/>
      </c>
      <c r="N1305" s="11">
        <f>IF(A1305="","",IF(K1305="",0,D1305*INDEX(Products!$I$5:$I$204,K1305)))</f>
        <v/>
      </c>
      <c r="O1305" s="11">
        <f>IF(A1305="","",IF(K1305="",0,J1305*INDEX(Products!$H$5:$H$204,K1305)))</f>
        <v/>
      </c>
      <c r="P1305" s="11">
        <f>IF(A1305="","",J1305-M1305-N1305-O1305)</f>
        <v/>
      </c>
    </row>
    <row r="1306">
      <c r="A1306">
        <f>IFERROR(INDEX('Shopify Import'!$A:$CZ,1306,Settings!$E$20)&amp;"","")</f>
        <v/>
      </c>
      <c r="B1306">
        <f>IFERROR(INDEX('Shopify Import'!$A:$CZ,1306,Settings!$E$21)&amp;"","")</f>
        <v/>
      </c>
      <c r="C1306">
        <f>IFERROR(INDEX('Shopify Import'!$A:$CZ,1306,Settings!$E$22)&amp;"","")</f>
        <v/>
      </c>
      <c r="D1306">
        <f>IF(A1306="","",IFERROR(VALUE(SUBSTITUTE(SUBSTITUTE(INDEX('Shopify Import'!$A:$CZ,1306,Settings!$E$23)&amp;"","$",""),",","")),0))</f>
        <v/>
      </c>
      <c r="E1306" s="11">
        <f>IF(A1306="","",IFERROR(VALUE(SUBSTITUTE(SUBSTITUTE(INDEX('Shopify Import'!$A:$CZ,1306,Settings!$E$24)&amp;"","$",""),",","")),0))</f>
        <v/>
      </c>
      <c r="F1306" s="11">
        <f>IF(A1306="","",D1306*E1306)</f>
        <v/>
      </c>
      <c r="G1306">
        <f>IF(A1306="","",IF(C1306="",1,COUNTIF($C$2:$C$1501,C1306)))</f>
        <v/>
      </c>
      <c r="H1306" s="11">
        <f>IF(A1306="","",IFERROR(VALUE(SUBSTITUTE(SUBSTITUTE(INDEX('Shopify Import'!$A:$CZ,1306,Settings!$E$25)&amp;"","$",""),",","")),0)/IF(Settings!$D$27="Yes",G1306,1))</f>
        <v/>
      </c>
      <c r="I1306" s="11">
        <f>IF(A1306="","",IFERROR(VALUE(SUBSTITUTE(SUBSTITUTE(INDEX('Shopify Import'!$A:$CZ,1306,Settings!$E$26)&amp;"","$",""),",","")),0)/IF(Settings!$D$27="Yes",G1306,1))</f>
        <v/>
      </c>
      <c r="J1306" s="11">
        <f>IF(A1306="","",F1306+H1306-I1306)</f>
        <v/>
      </c>
      <c r="K1306">
        <f>IF(A1306="","",IFERROR(IF(B1306="",NA(),MATCH(B1306,Products!$B$5:$B$204,0)),IFERROR(MATCH(A1306,Products!$A$5:$A$204,0),"")))</f>
        <v/>
      </c>
      <c r="L1306">
        <f>IF(A1306="","",IF(K1306="","⚠ not in Products",INDEX(Products!$A$5:$A$204,K1306)))</f>
        <v/>
      </c>
      <c r="M1306" s="11">
        <f>IF(A1306="","",J1306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1306+IFERROR(INDEX(Settings!$D$5:$D$9,MATCH("Shopify",Settings!$A$5:$A$9,0)),0)*D1306)</f>
        <v/>
      </c>
      <c r="N1306" s="11">
        <f>IF(A1306="","",IF(K1306="",0,D1306*INDEX(Products!$I$5:$I$204,K1306)))</f>
        <v/>
      </c>
      <c r="O1306" s="11">
        <f>IF(A1306="","",IF(K1306="",0,J1306*INDEX(Products!$H$5:$H$204,K1306)))</f>
        <v/>
      </c>
      <c r="P1306" s="11">
        <f>IF(A1306="","",J1306-M1306-N1306-O1306)</f>
        <v/>
      </c>
    </row>
    <row r="1307">
      <c r="A1307">
        <f>IFERROR(INDEX('Shopify Import'!$A:$CZ,1307,Settings!$E$20)&amp;"","")</f>
        <v/>
      </c>
      <c r="B1307">
        <f>IFERROR(INDEX('Shopify Import'!$A:$CZ,1307,Settings!$E$21)&amp;"","")</f>
        <v/>
      </c>
      <c r="C1307">
        <f>IFERROR(INDEX('Shopify Import'!$A:$CZ,1307,Settings!$E$22)&amp;"","")</f>
        <v/>
      </c>
      <c r="D1307">
        <f>IF(A1307="","",IFERROR(VALUE(SUBSTITUTE(SUBSTITUTE(INDEX('Shopify Import'!$A:$CZ,1307,Settings!$E$23)&amp;"","$",""),",","")),0))</f>
        <v/>
      </c>
      <c r="E1307" s="11">
        <f>IF(A1307="","",IFERROR(VALUE(SUBSTITUTE(SUBSTITUTE(INDEX('Shopify Import'!$A:$CZ,1307,Settings!$E$24)&amp;"","$",""),",","")),0))</f>
        <v/>
      </c>
      <c r="F1307" s="11">
        <f>IF(A1307="","",D1307*E1307)</f>
        <v/>
      </c>
      <c r="G1307">
        <f>IF(A1307="","",IF(C1307="",1,COUNTIF($C$2:$C$1501,C1307)))</f>
        <v/>
      </c>
      <c r="H1307" s="11">
        <f>IF(A1307="","",IFERROR(VALUE(SUBSTITUTE(SUBSTITUTE(INDEX('Shopify Import'!$A:$CZ,1307,Settings!$E$25)&amp;"","$",""),",","")),0)/IF(Settings!$D$27="Yes",G1307,1))</f>
        <v/>
      </c>
      <c r="I1307" s="11">
        <f>IF(A1307="","",IFERROR(VALUE(SUBSTITUTE(SUBSTITUTE(INDEX('Shopify Import'!$A:$CZ,1307,Settings!$E$26)&amp;"","$",""),",","")),0)/IF(Settings!$D$27="Yes",G1307,1))</f>
        <v/>
      </c>
      <c r="J1307" s="11">
        <f>IF(A1307="","",F1307+H1307-I1307)</f>
        <v/>
      </c>
      <c r="K1307">
        <f>IF(A1307="","",IFERROR(IF(B1307="",NA(),MATCH(B1307,Products!$B$5:$B$204,0)),IFERROR(MATCH(A1307,Products!$A$5:$A$204,0),"")))</f>
        <v/>
      </c>
      <c r="L1307">
        <f>IF(A1307="","",IF(K1307="","⚠ not in Products",INDEX(Products!$A$5:$A$204,K1307)))</f>
        <v/>
      </c>
      <c r="M1307" s="11">
        <f>IF(A1307="","",J1307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1307+IFERROR(INDEX(Settings!$D$5:$D$9,MATCH("Shopify",Settings!$A$5:$A$9,0)),0)*D1307)</f>
        <v/>
      </c>
      <c r="N1307" s="11">
        <f>IF(A1307="","",IF(K1307="",0,D1307*INDEX(Products!$I$5:$I$204,K1307)))</f>
        <v/>
      </c>
      <c r="O1307" s="11">
        <f>IF(A1307="","",IF(K1307="",0,J1307*INDEX(Products!$H$5:$H$204,K1307)))</f>
        <v/>
      </c>
      <c r="P1307" s="11">
        <f>IF(A1307="","",J1307-M1307-N1307-O1307)</f>
        <v/>
      </c>
    </row>
    <row r="1308">
      <c r="A1308">
        <f>IFERROR(INDEX('Shopify Import'!$A:$CZ,1308,Settings!$E$20)&amp;"","")</f>
        <v/>
      </c>
      <c r="B1308">
        <f>IFERROR(INDEX('Shopify Import'!$A:$CZ,1308,Settings!$E$21)&amp;"","")</f>
        <v/>
      </c>
      <c r="C1308">
        <f>IFERROR(INDEX('Shopify Import'!$A:$CZ,1308,Settings!$E$22)&amp;"","")</f>
        <v/>
      </c>
      <c r="D1308">
        <f>IF(A1308="","",IFERROR(VALUE(SUBSTITUTE(SUBSTITUTE(INDEX('Shopify Import'!$A:$CZ,1308,Settings!$E$23)&amp;"","$",""),",","")),0))</f>
        <v/>
      </c>
      <c r="E1308" s="11">
        <f>IF(A1308="","",IFERROR(VALUE(SUBSTITUTE(SUBSTITUTE(INDEX('Shopify Import'!$A:$CZ,1308,Settings!$E$24)&amp;"","$",""),",","")),0))</f>
        <v/>
      </c>
      <c r="F1308" s="11">
        <f>IF(A1308="","",D1308*E1308)</f>
        <v/>
      </c>
      <c r="G1308">
        <f>IF(A1308="","",IF(C1308="",1,COUNTIF($C$2:$C$1501,C1308)))</f>
        <v/>
      </c>
      <c r="H1308" s="11">
        <f>IF(A1308="","",IFERROR(VALUE(SUBSTITUTE(SUBSTITUTE(INDEX('Shopify Import'!$A:$CZ,1308,Settings!$E$25)&amp;"","$",""),",","")),0)/IF(Settings!$D$27="Yes",G1308,1))</f>
        <v/>
      </c>
      <c r="I1308" s="11">
        <f>IF(A1308="","",IFERROR(VALUE(SUBSTITUTE(SUBSTITUTE(INDEX('Shopify Import'!$A:$CZ,1308,Settings!$E$26)&amp;"","$",""),",","")),0)/IF(Settings!$D$27="Yes",G1308,1))</f>
        <v/>
      </c>
      <c r="J1308" s="11">
        <f>IF(A1308="","",F1308+H1308-I1308)</f>
        <v/>
      </c>
      <c r="K1308">
        <f>IF(A1308="","",IFERROR(IF(B1308="",NA(),MATCH(B1308,Products!$B$5:$B$204,0)),IFERROR(MATCH(A1308,Products!$A$5:$A$204,0),"")))</f>
        <v/>
      </c>
      <c r="L1308">
        <f>IF(A1308="","",IF(K1308="","⚠ not in Products",INDEX(Products!$A$5:$A$204,K1308)))</f>
        <v/>
      </c>
      <c r="M1308" s="11">
        <f>IF(A1308="","",J1308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1308+IFERROR(INDEX(Settings!$D$5:$D$9,MATCH("Shopify",Settings!$A$5:$A$9,0)),0)*D1308)</f>
        <v/>
      </c>
      <c r="N1308" s="11">
        <f>IF(A1308="","",IF(K1308="",0,D1308*INDEX(Products!$I$5:$I$204,K1308)))</f>
        <v/>
      </c>
      <c r="O1308" s="11">
        <f>IF(A1308="","",IF(K1308="",0,J1308*INDEX(Products!$H$5:$H$204,K1308)))</f>
        <v/>
      </c>
      <c r="P1308" s="11">
        <f>IF(A1308="","",J1308-M1308-N1308-O1308)</f>
        <v/>
      </c>
    </row>
    <row r="1309">
      <c r="A1309">
        <f>IFERROR(INDEX('Shopify Import'!$A:$CZ,1309,Settings!$E$20)&amp;"","")</f>
        <v/>
      </c>
      <c r="B1309">
        <f>IFERROR(INDEX('Shopify Import'!$A:$CZ,1309,Settings!$E$21)&amp;"","")</f>
        <v/>
      </c>
      <c r="C1309">
        <f>IFERROR(INDEX('Shopify Import'!$A:$CZ,1309,Settings!$E$22)&amp;"","")</f>
        <v/>
      </c>
      <c r="D1309">
        <f>IF(A1309="","",IFERROR(VALUE(SUBSTITUTE(SUBSTITUTE(INDEX('Shopify Import'!$A:$CZ,1309,Settings!$E$23)&amp;"","$",""),",","")),0))</f>
        <v/>
      </c>
      <c r="E1309" s="11">
        <f>IF(A1309="","",IFERROR(VALUE(SUBSTITUTE(SUBSTITUTE(INDEX('Shopify Import'!$A:$CZ,1309,Settings!$E$24)&amp;"","$",""),",","")),0))</f>
        <v/>
      </c>
      <c r="F1309" s="11">
        <f>IF(A1309="","",D1309*E1309)</f>
        <v/>
      </c>
      <c r="G1309">
        <f>IF(A1309="","",IF(C1309="",1,COUNTIF($C$2:$C$1501,C1309)))</f>
        <v/>
      </c>
      <c r="H1309" s="11">
        <f>IF(A1309="","",IFERROR(VALUE(SUBSTITUTE(SUBSTITUTE(INDEX('Shopify Import'!$A:$CZ,1309,Settings!$E$25)&amp;"","$",""),",","")),0)/IF(Settings!$D$27="Yes",G1309,1))</f>
        <v/>
      </c>
      <c r="I1309" s="11">
        <f>IF(A1309="","",IFERROR(VALUE(SUBSTITUTE(SUBSTITUTE(INDEX('Shopify Import'!$A:$CZ,1309,Settings!$E$26)&amp;"","$",""),",","")),0)/IF(Settings!$D$27="Yes",G1309,1))</f>
        <v/>
      </c>
      <c r="J1309" s="11">
        <f>IF(A1309="","",F1309+H1309-I1309)</f>
        <v/>
      </c>
      <c r="K1309">
        <f>IF(A1309="","",IFERROR(IF(B1309="",NA(),MATCH(B1309,Products!$B$5:$B$204,0)),IFERROR(MATCH(A1309,Products!$A$5:$A$204,0),"")))</f>
        <v/>
      </c>
      <c r="L1309">
        <f>IF(A1309="","",IF(K1309="","⚠ not in Products",INDEX(Products!$A$5:$A$204,K1309)))</f>
        <v/>
      </c>
      <c r="M1309" s="11">
        <f>IF(A1309="","",J1309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1309+IFERROR(INDEX(Settings!$D$5:$D$9,MATCH("Shopify",Settings!$A$5:$A$9,0)),0)*D1309)</f>
        <v/>
      </c>
      <c r="N1309" s="11">
        <f>IF(A1309="","",IF(K1309="",0,D1309*INDEX(Products!$I$5:$I$204,K1309)))</f>
        <v/>
      </c>
      <c r="O1309" s="11">
        <f>IF(A1309="","",IF(K1309="",0,J1309*INDEX(Products!$H$5:$H$204,K1309)))</f>
        <v/>
      </c>
      <c r="P1309" s="11">
        <f>IF(A1309="","",J1309-M1309-N1309-O1309)</f>
        <v/>
      </c>
    </row>
    <row r="1310">
      <c r="A1310">
        <f>IFERROR(INDEX('Shopify Import'!$A:$CZ,1310,Settings!$E$20)&amp;"","")</f>
        <v/>
      </c>
      <c r="B1310">
        <f>IFERROR(INDEX('Shopify Import'!$A:$CZ,1310,Settings!$E$21)&amp;"","")</f>
        <v/>
      </c>
      <c r="C1310">
        <f>IFERROR(INDEX('Shopify Import'!$A:$CZ,1310,Settings!$E$22)&amp;"","")</f>
        <v/>
      </c>
      <c r="D1310">
        <f>IF(A1310="","",IFERROR(VALUE(SUBSTITUTE(SUBSTITUTE(INDEX('Shopify Import'!$A:$CZ,1310,Settings!$E$23)&amp;"","$",""),",","")),0))</f>
        <v/>
      </c>
      <c r="E1310" s="11">
        <f>IF(A1310="","",IFERROR(VALUE(SUBSTITUTE(SUBSTITUTE(INDEX('Shopify Import'!$A:$CZ,1310,Settings!$E$24)&amp;"","$",""),",","")),0))</f>
        <v/>
      </c>
      <c r="F1310" s="11">
        <f>IF(A1310="","",D1310*E1310)</f>
        <v/>
      </c>
      <c r="G1310">
        <f>IF(A1310="","",IF(C1310="",1,COUNTIF($C$2:$C$1501,C1310)))</f>
        <v/>
      </c>
      <c r="H1310" s="11">
        <f>IF(A1310="","",IFERROR(VALUE(SUBSTITUTE(SUBSTITUTE(INDEX('Shopify Import'!$A:$CZ,1310,Settings!$E$25)&amp;"","$",""),",","")),0)/IF(Settings!$D$27="Yes",G1310,1))</f>
        <v/>
      </c>
      <c r="I1310" s="11">
        <f>IF(A1310="","",IFERROR(VALUE(SUBSTITUTE(SUBSTITUTE(INDEX('Shopify Import'!$A:$CZ,1310,Settings!$E$26)&amp;"","$",""),",","")),0)/IF(Settings!$D$27="Yes",G1310,1))</f>
        <v/>
      </c>
      <c r="J1310" s="11">
        <f>IF(A1310="","",F1310+H1310-I1310)</f>
        <v/>
      </c>
      <c r="K1310">
        <f>IF(A1310="","",IFERROR(IF(B1310="",NA(),MATCH(B1310,Products!$B$5:$B$204,0)),IFERROR(MATCH(A1310,Products!$A$5:$A$204,0),"")))</f>
        <v/>
      </c>
      <c r="L1310">
        <f>IF(A1310="","",IF(K1310="","⚠ not in Products",INDEX(Products!$A$5:$A$204,K1310)))</f>
        <v/>
      </c>
      <c r="M1310" s="11">
        <f>IF(A1310="","",J1310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1310+IFERROR(INDEX(Settings!$D$5:$D$9,MATCH("Shopify",Settings!$A$5:$A$9,0)),0)*D1310)</f>
        <v/>
      </c>
      <c r="N1310" s="11">
        <f>IF(A1310="","",IF(K1310="",0,D1310*INDEX(Products!$I$5:$I$204,K1310)))</f>
        <v/>
      </c>
      <c r="O1310" s="11">
        <f>IF(A1310="","",IF(K1310="",0,J1310*INDEX(Products!$H$5:$H$204,K1310)))</f>
        <v/>
      </c>
      <c r="P1310" s="11">
        <f>IF(A1310="","",J1310-M1310-N1310-O1310)</f>
        <v/>
      </c>
    </row>
    <row r="1311">
      <c r="A1311">
        <f>IFERROR(INDEX('Shopify Import'!$A:$CZ,1311,Settings!$E$20)&amp;"","")</f>
        <v/>
      </c>
      <c r="B1311">
        <f>IFERROR(INDEX('Shopify Import'!$A:$CZ,1311,Settings!$E$21)&amp;"","")</f>
        <v/>
      </c>
      <c r="C1311">
        <f>IFERROR(INDEX('Shopify Import'!$A:$CZ,1311,Settings!$E$22)&amp;"","")</f>
        <v/>
      </c>
      <c r="D1311">
        <f>IF(A1311="","",IFERROR(VALUE(SUBSTITUTE(SUBSTITUTE(INDEX('Shopify Import'!$A:$CZ,1311,Settings!$E$23)&amp;"","$",""),",","")),0))</f>
        <v/>
      </c>
      <c r="E1311" s="11">
        <f>IF(A1311="","",IFERROR(VALUE(SUBSTITUTE(SUBSTITUTE(INDEX('Shopify Import'!$A:$CZ,1311,Settings!$E$24)&amp;"","$",""),",","")),0))</f>
        <v/>
      </c>
      <c r="F1311" s="11">
        <f>IF(A1311="","",D1311*E1311)</f>
        <v/>
      </c>
      <c r="G1311">
        <f>IF(A1311="","",IF(C1311="",1,COUNTIF($C$2:$C$1501,C1311)))</f>
        <v/>
      </c>
      <c r="H1311" s="11">
        <f>IF(A1311="","",IFERROR(VALUE(SUBSTITUTE(SUBSTITUTE(INDEX('Shopify Import'!$A:$CZ,1311,Settings!$E$25)&amp;"","$",""),",","")),0)/IF(Settings!$D$27="Yes",G1311,1))</f>
        <v/>
      </c>
      <c r="I1311" s="11">
        <f>IF(A1311="","",IFERROR(VALUE(SUBSTITUTE(SUBSTITUTE(INDEX('Shopify Import'!$A:$CZ,1311,Settings!$E$26)&amp;"","$",""),",","")),0)/IF(Settings!$D$27="Yes",G1311,1))</f>
        <v/>
      </c>
      <c r="J1311" s="11">
        <f>IF(A1311="","",F1311+H1311-I1311)</f>
        <v/>
      </c>
      <c r="K1311">
        <f>IF(A1311="","",IFERROR(IF(B1311="",NA(),MATCH(B1311,Products!$B$5:$B$204,0)),IFERROR(MATCH(A1311,Products!$A$5:$A$204,0),"")))</f>
        <v/>
      </c>
      <c r="L1311">
        <f>IF(A1311="","",IF(K1311="","⚠ not in Products",INDEX(Products!$A$5:$A$204,K1311)))</f>
        <v/>
      </c>
      <c r="M1311" s="11">
        <f>IF(A1311="","",J1311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1311+IFERROR(INDEX(Settings!$D$5:$D$9,MATCH("Shopify",Settings!$A$5:$A$9,0)),0)*D1311)</f>
        <v/>
      </c>
      <c r="N1311" s="11">
        <f>IF(A1311="","",IF(K1311="",0,D1311*INDEX(Products!$I$5:$I$204,K1311)))</f>
        <v/>
      </c>
      <c r="O1311" s="11">
        <f>IF(A1311="","",IF(K1311="",0,J1311*INDEX(Products!$H$5:$H$204,K1311)))</f>
        <v/>
      </c>
      <c r="P1311" s="11">
        <f>IF(A1311="","",J1311-M1311-N1311-O1311)</f>
        <v/>
      </c>
    </row>
    <row r="1312">
      <c r="A1312">
        <f>IFERROR(INDEX('Shopify Import'!$A:$CZ,1312,Settings!$E$20)&amp;"","")</f>
        <v/>
      </c>
      <c r="B1312">
        <f>IFERROR(INDEX('Shopify Import'!$A:$CZ,1312,Settings!$E$21)&amp;"","")</f>
        <v/>
      </c>
      <c r="C1312">
        <f>IFERROR(INDEX('Shopify Import'!$A:$CZ,1312,Settings!$E$22)&amp;"","")</f>
        <v/>
      </c>
      <c r="D1312">
        <f>IF(A1312="","",IFERROR(VALUE(SUBSTITUTE(SUBSTITUTE(INDEX('Shopify Import'!$A:$CZ,1312,Settings!$E$23)&amp;"","$",""),",","")),0))</f>
        <v/>
      </c>
      <c r="E1312" s="11">
        <f>IF(A1312="","",IFERROR(VALUE(SUBSTITUTE(SUBSTITUTE(INDEX('Shopify Import'!$A:$CZ,1312,Settings!$E$24)&amp;"","$",""),",","")),0))</f>
        <v/>
      </c>
      <c r="F1312" s="11">
        <f>IF(A1312="","",D1312*E1312)</f>
        <v/>
      </c>
      <c r="G1312">
        <f>IF(A1312="","",IF(C1312="",1,COUNTIF($C$2:$C$1501,C1312)))</f>
        <v/>
      </c>
      <c r="H1312" s="11">
        <f>IF(A1312="","",IFERROR(VALUE(SUBSTITUTE(SUBSTITUTE(INDEX('Shopify Import'!$A:$CZ,1312,Settings!$E$25)&amp;"","$",""),",","")),0)/IF(Settings!$D$27="Yes",G1312,1))</f>
        <v/>
      </c>
      <c r="I1312" s="11">
        <f>IF(A1312="","",IFERROR(VALUE(SUBSTITUTE(SUBSTITUTE(INDEX('Shopify Import'!$A:$CZ,1312,Settings!$E$26)&amp;"","$",""),",","")),0)/IF(Settings!$D$27="Yes",G1312,1))</f>
        <v/>
      </c>
      <c r="J1312" s="11">
        <f>IF(A1312="","",F1312+H1312-I1312)</f>
        <v/>
      </c>
      <c r="K1312">
        <f>IF(A1312="","",IFERROR(IF(B1312="",NA(),MATCH(B1312,Products!$B$5:$B$204,0)),IFERROR(MATCH(A1312,Products!$A$5:$A$204,0),"")))</f>
        <v/>
      </c>
      <c r="L1312">
        <f>IF(A1312="","",IF(K1312="","⚠ not in Products",INDEX(Products!$A$5:$A$204,K1312)))</f>
        <v/>
      </c>
      <c r="M1312" s="11">
        <f>IF(A1312="","",J1312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1312+IFERROR(INDEX(Settings!$D$5:$D$9,MATCH("Shopify",Settings!$A$5:$A$9,0)),0)*D1312)</f>
        <v/>
      </c>
      <c r="N1312" s="11">
        <f>IF(A1312="","",IF(K1312="",0,D1312*INDEX(Products!$I$5:$I$204,K1312)))</f>
        <v/>
      </c>
      <c r="O1312" s="11">
        <f>IF(A1312="","",IF(K1312="",0,J1312*INDEX(Products!$H$5:$H$204,K1312)))</f>
        <v/>
      </c>
      <c r="P1312" s="11">
        <f>IF(A1312="","",J1312-M1312-N1312-O1312)</f>
        <v/>
      </c>
    </row>
    <row r="1313">
      <c r="A1313">
        <f>IFERROR(INDEX('Shopify Import'!$A:$CZ,1313,Settings!$E$20)&amp;"","")</f>
        <v/>
      </c>
      <c r="B1313">
        <f>IFERROR(INDEX('Shopify Import'!$A:$CZ,1313,Settings!$E$21)&amp;"","")</f>
        <v/>
      </c>
      <c r="C1313">
        <f>IFERROR(INDEX('Shopify Import'!$A:$CZ,1313,Settings!$E$22)&amp;"","")</f>
        <v/>
      </c>
      <c r="D1313">
        <f>IF(A1313="","",IFERROR(VALUE(SUBSTITUTE(SUBSTITUTE(INDEX('Shopify Import'!$A:$CZ,1313,Settings!$E$23)&amp;"","$",""),",","")),0))</f>
        <v/>
      </c>
      <c r="E1313" s="11">
        <f>IF(A1313="","",IFERROR(VALUE(SUBSTITUTE(SUBSTITUTE(INDEX('Shopify Import'!$A:$CZ,1313,Settings!$E$24)&amp;"","$",""),",","")),0))</f>
        <v/>
      </c>
      <c r="F1313" s="11">
        <f>IF(A1313="","",D1313*E1313)</f>
        <v/>
      </c>
      <c r="G1313">
        <f>IF(A1313="","",IF(C1313="",1,COUNTIF($C$2:$C$1501,C1313)))</f>
        <v/>
      </c>
      <c r="H1313" s="11">
        <f>IF(A1313="","",IFERROR(VALUE(SUBSTITUTE(SUBSTITUTE(INDEX('Shopify Import'!$A:$CZ,1313,Settings!$E$25)&amp;"","$",""),",","")),0)/IF(Settings!$D$27="Yes",G1313,1))</f>
        <v/>
      </c>
      <c r="I1313" s="11">
        <f>IF(A1313="","",IFERROR(VALUE(SUBSTITUTE(SUBSTITUTE(INDEX('Shopify Import'!$A:$CZ,1313,Settings!$E$26)&amp;"","$",""),",","")),0)/IF(Settings!$D$27="Yes",G1313,1))</f>
        <v/>
      </c>
      <c r="J1313" s="11">
        <f>IF(A1313="","",F1313+H1313-I1313)</f>
        <v/>
      </c>
      <c r="K1313">
        <f>IF(A1313="","",IFERROR(IF(B1313="",NA(),MATCH(B1313,Products!$B$5:$B$204,0)),IFERROR(MATCH(A1313,Products!$A$5:$A$204,0),"")))</f>
        <v/>
      </c>
      <c r="L1313">
        <f>IF(A1313="","",IF(K1313="","⚠ not in Products",INDEX(Products!$A$5:$A$204,K1313)))</f>
        <v/>
      </c>
      <c r="M1313" s="11">
        <f>IF(A1313="","",J1313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1313+IFERROR(INDEX(Settings!$D$5:$D$9,MATCH("Shopify",Settings!$A$5:$A$9,0)),0)*D1313)</f>
        <v/>
      </c>
      <c r="N1313" s="11">
        <f>IF(A1313="","",IF(K1313="",0,D1313*INDEX(Products!$I$5:$I$204,K1313)))</f>
        <v/>
      </c>
      <c r="O1313" s="11">
        <f>IF(A1313="","",IF(K1313="",0,J1313*INDEX(Products!$H$5:$H$204,K1313)))</f>
        <v/>
      </c>
      <c r="P1313" s="11">
        <f>IF(A1313="","",J1313-M1313-N1313-O1313)</f>
        <v/>
      </c>
    </row>
    <row r="1314">
      <c r="A1314">
        <f>IFERROR(INDEX('Shopify Import'!$A:$CZ,1314,Settings!$E$20)&amp;"","")</f>
        <v/>
      </c>
      <c r="B1314">
        <f>IFERROR(INDEX('Shopify Import'!$A:$CZ,1314,Settings!$E$21)&amp;"","")</f>
        <v/>
      </c>
      <c r="C1314">
        <f>IFERROR(INDEX('Shopify Import'!$A:$CZ,1314,Settings!$E$22)&amp;"","")</f>
        <v/>
      </c>
      <c r="D1314">
        <f>IF(A1314="","",IFERROR(VALUE(SUBSTITUTE(SUBSTITUTE(INDEX('Shopify Import'!$A:$CZ,1314,Settings!$E$23)&amp;"","$",""),",","")),0))</f>
        <v/>
      </c>
      <c r="E1314" s="11">
        <f>IF(A1314="","",IFERROR(VALUE(SUBSTITUTE(SUBSTITUTE(INDEX('Shopify Import'!$A:$CZ,1314,Settings!$E$24)&amp;"","$",""),",","")),0))</f>
        <v/>
      </c>
      <c r="F1314" s="11">
        <f>IF(A1314="","",D1314*E1314)</f>
        <v/>
      </c>
      <c r="G1314">
        <f>IF(A1314="","",IF(C1314="",1,COUNTIF($C$2:$C$1501,C1314)))</f>
        <v/>
      </c>
      <c r="H1314" s="11">
        <f>IF(A1314="","",IFERROR(VALUE(SUBSTITUTE(SUBSTITUTE(INDEX('Shopify Import'!$A:$CZ,1314,Settings!$E$25)&amp;"","$",""),",","")),0)/IF(Settings!$D$27="Yes",G1314,1))</f>
        <v/>
      </c>
      <c r="I1314" s="11">
        <f>IF(A1314="","",IFERROR(VALUE(SUBSTITUTE(SUBSTITUTE(INDEX('Shopify Import'!$A:$CZ,1314,Settings!$E$26)&amp;"","$",""),",","")),0)/IF(Settings!$D$27="Yes",G1314,1))</f>
        <v/>
      </c>
      <c r="J1314" s="11">
        <f>IF(A1314="","",F1314+H1314-I1314)</f>
        <v/>
      </c>
      <c r="K1314">
        <f>IF(A1314="","",IFERROR(IF(B1314="",NA(),MATCH(B1314,Products!$B$5:$B$204,0)),IFERROR(MATCH(A1314,Products!$A$5:$A$204,0),"")))</f>
        <v/>
      </c>
      <c r="L1314">
        <f>IF(A1314="","",IF(K1314="","⚠ not in Products",INDEX(Products!$A$5:$A$204,K1314)))</f>
        <v/>
      </c>
      <c r="M1314" s="11">
        <f>IF(A1314="","",J1314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1314+IFERROR(INDEX(Settings!$D$5:$D$9,MATCH("Shopify",Settings!$A$5:$A$9,0)),0)*D1314)</f>
        <v/>
      </c>
      <c r="N1314" s="11">
        <f>IF(A1314="","",IF(K1314="",0,D1314*INDEX(Products!$I$5:$I$204,K1314)))</f>
        <v/>
      </c>
      <c r="O1314" s="11">
        <f>IF(A1314="","",IF(K1314="",0,J1314*INDEX(Products!$H$5:$H$204,K1314)))</f>
        <v/>
      </c>
      <c r="P1314" s="11">
        <f>IF(A1314="","",J1314-M1314-N1314-O1314)</f>
        <v/>
      </c>
    </row>
    <row r="1315">
      <c r="A1315">
        <f>IFERROR(INDEX('Shopify Import'!$A:$CZ,1315,Settings!$E$20)&amp;"","")</f>
        <v/>
      </c>
      <c r="B1315">
        <f>IFERROR(INDEX('Shopify Import'!$A:$CZ,1315,Settings!$E$21)&amp;"","")</f>
        <v/>
      </c>
      <c r="C1315">
        <f>IFERROR(INDEX('Shopify Import'!$A:$CZ,1315,Settings!$E$22)&amp;"","")</f>
        <v/>
      </c>
      <c r="D1315">
        <f>IF(A1315="","",IFERROR(VALUE(SUBSTITUTE(SUBSTITUTE(INDEX('Shopify Import'!$A:$CZ,1315,Settings!$E$23)&amp;"","$",""),",","")),0))</f>
        <v/>
      </c>
      <c r="E1315" s="11">
        <f>IF(A1315="","",IFERROR(VALUE(SUBSTITUTE(SUBSTITUTE(INDEX('Shopify Import'!$A:$CZ,1315,Settings!$E$24)&amp;"","$",""),",","")),0))</f>
        <v/>
      </c>
      <c r="F1315" s="11">
        <f>IF(A1315="","",D1315*E1315)</f>
        <v/>
      </c>
      <c r="G1315">
        <f>IF(A1315="","",IF(C1315="",1,COUNTIF($C$2:$C$1501,C1315)))</f>
        <v/>
      </c>
      <c r="H1315" s="11">
        <f>IF(A1315="","",IFERROR(VALUE(SUBSTITUTE(SUBSTITUTE(INDEX('Shopify Import'!$A:$CZ,1315,Settings!$E$25)&amp;"","$",""),",","")),0)/IF(Settings!$D$27="Yes",G1315,1))</f>
        <v/>
      </c>
      <c r="I1315" s="11">
        <f>IF(A1315="","",IFERROR(VALUE(SUBSTITUTE(SUBSTITUTE(INDEX('Shopify Import'!$A:$CZ,1315,Settings!$E$26)&amp;"","$",""),",","")),0)/IF(Settings!$D$27="Yes",G1315,1))</f>
        <v/>
      </c>
      <c r="J1315" s="11">
        <f>IF(A1315="","",F1315+H1315-I1315)</f>
        <v/>
      </c>
      <c r="K1315">
        <f>IF(A1315="","",IFERROR(IF(B1315="",NA(),MATCH(B1315,Products!$B$5:$B$204,0)),IFERROR(MATCH(A1315,Products!$A$5:$A$204,0),"")))</f>
        <v/>
      </c>
      <c r="L1315">
        <f>IF(A1315="","",IF(K1315="","⚠ not in Products",INDEX(Products!$A$5:$A$204,K1315)))</f>
        <v/>
      </c>
      <c r="M1315" s="11">
        <f>IF(A1315="","",J1315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1315+IFERROR(INDEX(Settings!$D$5:$D$9,MATCH("Shopify",Settings!$A$5:$A$9,0)),0)*D1315)</f>
        <v/>
      </c>
      <c r="N1315" s="11">
        <f>IF(A1315="","",IF(K1315="",0,D1315*INDEX(Products!$I$5:$I$204,K1315)))</f>
        <v/>
      </c>
      <c r="O1315" s="11">
        <f>IF(A1315="","",IF(K1315="",0,J1315*INDEX(Products!$H$5:$H$204,K1315)))</f>
        <v/>
      </c>
      <c r="P1315" s="11">
        <f>IF(A1315="","",J1315-M1315-N1315-O1315)</f>
        <v/>
      </c>
    </row>
    <row r="1316">
      <c r="A1316">
        <f>IFERROR(INDEX('Shopify Import'!$A:$CZ,1316,Settings!$E$20)&amp;"","")</f>
        <v/>
      </c>
      <c r="B1316">
        <f>IFERROR(INDEX('Shopify Import'!$A:$CZ,1316,Settings!$E$21)&amp;"","")</f>
        <v/>
      </c>
      <c r="C1316">
        <f>IFERROR(INDEX('Shopify Import'!$A:$CZ,1316,Settings!$E$22)&amp;"","")</f>
        <v/>
      </c>
      <c r="D1316">
        <f>IF(A1316="","",IFERROR(VALUE(SUBSTITUTE(SUBSTITUTE(INDEX('Shopify Import'!$A:$CZ,1316,Settings!$E$23)&amp;"","$",""),",","")),0))</f>
        <v/>
      </c>
      <c r="E1316" s="11">
        <f>IF(A1316="","",IFERROR(VALUE(SUBSTITUTE(SUBSTITUTE(INDEX('Shopify Import'!$A:$CZ,1316,Settings!$E$24)&amp;"","$",""),",","")),0))</f>
        <v/>
      </c>
      <c r="F1316" s="11">
        <f>IF(A1316="","",D1316*E1316)</f>
        <v/>
      </c>
      <c r="G1316">
        <f>IF(A1316="","",IF(C1316="",1,COUNTIF($C$2:$C$1501,C1316)))</f>
        <v/>
      </c>
      <c r="H1316" s="11">
        <f>IF(A1316="","",IFERROR(VALUE(SUBSTITUTE(SUBSTITUTE(INDEX('Shopify Import'!$A:$CZ,1316,Settings!$E$25)&amp;"","$",""),",","")),0)/IF(Settings!$D$27="Yes",G1316,1))</f>
        <v/>
      </c>
      <c r="I1316" s="11">
        <f>IF(A1316="","",IFERROR(VALUE(SUBSTITUTE(SUBSTITUTE(INDEX('Shopify Import'!$A:$CZ,1316,Settings!$E$26)&amp;"","$",""),",","")),0)/IF(Settings!$D$27="Yes",G1316,1))</f>
        <v/>
      </c>
      <c r="J1316" s="11">
        <f>IF(A1316="","",F1316+H1316-I1316)</f>
        <v/>
      </c>
      <c r="K1316">
        <f>IF(A1316="","",IFERROR(IF(B1316="",NA(),MATCH(B1316,Products!$B$5:$B$204,0)),IFERROR(MATCH(A1316,Products!$A$5:$A$204,0),"")))</f>
        <v/>
      </c>
      <c r="L1316">
        <f>IF(A1316="","",IF(K1316="","⚠ not in Products",INDEX(Products!$A$5:$A$204,K1316)))</f>
        <v/>
      </c>
      <c r="M1316" s="11">
        <f>IF(A1316="","",J1316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1316+IFERROR(INDEX(Settings!$D$5:$D$9,MATCH("Shopify",Settings!$A$5:$A$9,0)),0)*D1316)</f>
        <v/>
      </c>
      <c r="N1316" s="11">
        <f>IF(A1316="","",IF(K1316="",0,D1316*INDEX(Products!$I$5:$I$204,K1316)))</f>
        <v/>
      </c>
      <c r="O1316" s="11">
        <f>IF(A1316="","",IF(K1316="",0,J1316*INDEX(Products!$H$5:$H$204,K1316)))</f>
        <v/>
      </c>
      <c r="P1316" s="11">
        <f>IF(A1316="","",J1316-M1316-N1316-O1316)</f>
        <v/>
      </c>
    </row>
    <row r="1317">
      <c r="A1317">
        <f>IFERROR(INDEX('Shopify Import'!$A:$CZ,1317,Settings!$E$20)&amp;"","")</f>
        <v/>
      </c>
      <c r="B1317">
        <f>IFERROR(INDEX('Shopify Import'!$A:$CZ,1317,Settings!$E$21)&amp;"","")</f>
        <v/>
      </c>
      <c r="C1317">
        <f>IFERROR(INDEX('Shopify Import'!$A:$CZ,1317,Settings!$E$22)&amp;"","")</f>
        <v/>
      </c>
      <c r="D1317">
        <f>IF(A1317="","",IFERROR(VALUE(SUBSTITUTE(SUBSTITUTE(INDEX('Shopify Import'!$A:$CZ,1317,Settings!$E$23)&amp;"","$",""),",","")),0))</f>
        <v/>
      </c>
      <c r="E1317" s="11">
        <f>IF(A1317="","",IFERROR(VALUE(SUBSTITUTE(SUBSTITUTE(INDEX('Shopify Import'!$A:$CZ,1317,Settings!$E$24)&amp;"","$",""),",","")),0))</f>
        <v/>
      </c>
      <c r="F1317" s="11">
        <f>IF(A1317="","",D1317*E1317)</f>
        <v/>
      </c>
      <c r="G1317">
        <f>IF(A1317="","",IF(C1317="",1,COUNTIF($C$2:$C$1501,C1317)))</f>
        <v/>
      </c>
      <c r="H1317" s="11">
        <f>IF(A1317="","",IFERROR(VALUE(SUBSTITUTE(SUBSTITUTE(INDEX('Shopify Import'!$A:$CZ,1317,Settings!$E$25)&amp;"","$",""),",","")),0)/IF(Settings!$D$27="Yes",G1317,1))</f>
        <v/>
      </c>
      <c r="I1317" s="11">
        <f>IF(A1317="","",IFERROR(VALUE(SUBSTITUTE(SUBSTITUTE(INDEX('Shopify Import'!$A:$CZ,1317,Settings!$E$26)&amp;"","$",""),",","")),0)/IF(Settings!$D$27="Yes",G1317,1))</f>
        <v/>
      </c>
      <c r="J1317" s="11">
        <f>IF(A1317="","",F1317+H1317-I1317)</f>
        <v/>
      </c>
      <c r="K1317">
        <f>IF(A1317="","",IFERROR(IF(B1317="",NA(),MATCH(B1317,Products!$B$5:$B$204,0)),IFERROR(MATCH(A1317,Products!$A$5:$A$204,0),"")))</f>
        <v/>
      </c>
      <c r="L1317">
        <f>IF(A1317="","",IF(K1317="","⚠ not in Products",INDEX(Products!$A$5:$A$204,K1317)))</f>
        <v/>
      </c>
      <c r="M1317" s="11">
        <f>IF(A1317="","",J1317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1317+IFERROR(INDEX(Settings!$D$5:$D$9,MATCH("Shopify",Settings!$A$5:$A$9,0)),0)*D1317)</f>
        <v/>
      </c>
      <c r="N1317" s="11">
        <f>IF(A1317="","",IF(K1317="",0,D1317*INDEX(Products!$I$5:$I$204,K1317)))</f>
        <v/>
      </c>
      <c r="O1317" s="11">
        <f>IF(A1317="","",IF(K1317="",0,J1317*INDEX(Products!$H$5:$H$204,K1317)))</f>
        <v/>
      </c>
      <c r="P1317" s="11">
        <f>IF(A1317="","",J1317-M1317-N1317-O1317)</f>
        <v/>
      </c>
    </row>
    <row r="1318">
      <c r="A1318">
        <f>IFERROR(INDEX('Shopify Import'!$A:$CZ,1318,Settings!$E$20)&amp;"","")</f>
        <v/>
      </c>
      <c r="B1318">
        <f>IFERROR(INDEX('Shopify Import'!$A:$CZ,1318,Settings!$E$21)&amp;"","")</f>
        <v/>
      </c>
      <c r="C1318">
        <f>IFERROR(INDEX('Shopify Import'!$A:$CZ,1318,Settings!$E$22)&amp;"","")</f>
        <v/>
      </c>
      <c r="D1318">
        <f>IF(A1318="","",IFERROR(VALUE(SUBSTITUTE(SUBSTITUTE(INDEX('Shopify Import'!$A:$CZ,1318,Settings!$E$23)&amp;"","$",""),",","")),0))</f>
        <v/>
      </c>
      <c r="E1318" s="11">
        <f>IF(A1318="","",IFERROR(VALUE(SUBSTITUTE(SUBSTITUTE(INDEX('Shopify Import'!$A:$CZ,1318,Settings!$E$24)&amp;"","$",""),",","")),0))</f>
        <v/>
      </c>
      <c r="F1318" s="11">
        <f>IF(A1318="","",D1318*E1318)</f>
        <v/>
      </c>
      <c r="G1318">
        <f>IF(A1318="","",IF(C1318="",1,COUNTIF($C$2:$C$1501,C1318)))</f>
        <v/>
      </c>
      <c r="H1318" s="11">
        <f>IF(A1318="","",IFERROR(VALUE(SUBSTITUTE(SUBSTITUTE(INDEX('Shopify Import'!$A:$CZ,1318,Settings!$E$25)&amp;"","$",""),",","")),0)/IF(Settings!$D$27="Yes",G1318,1))</f>
        <v/>
      </c>
      <c r="I1318" s="11">
        <f>IF(A1318="","",IFERROR(VALUE(SUBSTITUTE(SUBSTITUTE(INDEX('Shopify Import'!$A:$CZ,1318,Settings!$E$26)&amp;"","$",""),",","")),0)/IF(Settings!$D$27="Yes",G1318,1))</f>
        <v/>
      </c>
      <c r="J1318" s="11">
        <f>IF(A1318="","",F1318+H1318-I1318)</f>
        <v/>
      </c>
      <c r="K1318">
        <f>IF(A1318="","",IFERROR(IF(B1318="",NA(),MATCH(B1318,Products!$B$5:$B$204,0)),IFERROR(MATCH(A1318,Products!$A$5:$A$204,0),"")))</f>
        <v/>
      </c>
      <c r="L1318">
        <f>IF(A1318="","",IF(K1318="","⚠ not in Products",INDEX(Products!$A$5:$A$204,K1318)))</f>
        <v/>
      </c>
      <c r="M1318" s="11">
        <f>IF(A1318="","",J1318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1318+IFERROR(INDEX(Settings!$D$5:$D$9,MATCH("Shopify",Settings!$A$5:$A$9,0)),0)*D1318)</f>
        <v/>
      </c>
      <c r="N1318" s="11">
        <f>IF(A1318="","",IF(K1318="",0,D1318*INDEX(Products!$I$5:$I$204,K1318)))</f>
        <v/>
      </c>
      <c r="O1318" s="11">
        <f>IF(A1318="","",IF(K1318="",0,J1318*INDEX(Products!$H$5:$H$204,K1318)))</f>
        <v/>
      </c>
      <c r="P1318" s="11">
        <f>IF(A1318="","",J1318-M1318-N1318-O1318)</f>
        <v/>
      </c>
    </row>
    <row r="1319">
      <c r="A1319">
        <f>IFERROR(INDEX('Shopify Import'!$A:$CZ,1319,Settings!$E$20)&amp;"","")</f>
        <v/>
      </c>
      <c r="B1319">
        <f>IFERROR(INDEX('Shopify Import'!$A:$CZ,1319,Settings!$E$21)&amp;"","")</f>
        <v/>
      </c>
      <c r="C1319">
        <f>IFERROR(INDEX('Shopify Import'!$A:$CZ,1319,Settings!$E$22)&amp;"","")</f>
        <v/>
      </c>
      <c r="D1319">
        <f>IF(A1319="","",IFERROR(VALUE(SUBSTITUTE(SUBSTITUTE(INDEX('Shopify Import'!$A:$CZ,1319,Settings!$E$23)&amp;"","$",""),",","")),0))</f>
        <v/>
      </c>
      <c r="E1319" s="11">
        <f>IF(A1319="","",IFERROR(VALUE(SUBSTITUTE(SUBSTITUTE(INDEX('Shopify Import'!$A:$CZ,1319,Settings!$E$24)&amp;"","$",""),",","")),0))</f>
        <v/>
      </c>
      <c r="F1319" s="11">
        <f>IF(A1319="","",D1319*E1319)</f>
        <v/>
      </c>
      <c r="G1319">
        <f>IF(A1319="","",IF(C1319="",1,COUNTIF($C$2:$C$1501,C1319)))</f>
        <v/>
      </c>
      <c r="H1319" s="11">
        <f>IF(A1319="","",IFERROR(VALUE(SUBSTITUTE(SUBSTITUTE(INDEX('Shopify Import'!$A:$CZ,1319,Settings!$E$25)&amp;"","$",""),",","")),0)/IF(Settings!$D$27="Yes",G1319,1))</f>
        <v/>
      </c>
      <c r="I1319" s="11">
        <f>IF(A1319="","",IFERROR(VALUE(SUBSTITUTE(SUBSTITUTE(INDEX('Shopify Import'!$A:$CZ,1319,Settings!$E$26)&amp;"","$",""),",","")),0)/IF(Settings!$D$27="Yes",G1319,1))</f>
        <v/>
      </c>
      <c r="J1319" s="11">
        <f>IF(A1319="","",F1319+H1319-I1319)</f>
        <v/>
      </c>
      <c r="K1319">
        <f>IF(A1319="","",IFERROR(IF(B1319="",NA(),MATCH(B1319,Products!$B$5:$B$204,0)),IFERROR(MATCH(A1319,Products!$A$5:$A$204,0),"")))</f>
        <v/>
      </c>
      <c r="L1319">
        <f>IF(A1319="","",IF(K1319="","⚠ not in Products",INDEX(Products!$A$5:$A$204,K1319)))</f>
        <v/>
      </c>
      <c r="M1319" s="11">
        <f>IF(A1319="","",J1319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1319+IFERROR(INDEX(Settings!$D$5:$D$9,MATCH("Shopify",Settings!$A$5:$A$9,0)),0)*D1319)</f>
        <v/>
      </c>
      <c r="N1319" s="11">
        <f>IF(A1319="","",IF(K1319="",0,D1319*INDEX(Products!$I$5:$I$204,K1319)))</f>
        <v/>
      </c>
      <c r="O1319" s="11">
        <f>IF(A1319="","",IF(K1319="",0,J1319*INDEX(Products!$H$5:$H$204,K1319)))</f>
        <v/>
      </c>
      <c r="P1319" s="11">
        <f>IF(A1319="","",J1319-M1319-N1319-O1319)</f>
        <v/>
      </c>
    </row>
    <row r="1320">
      <c r="A1320">
        <f>IFERROR(INDEX('Shopify Import'!$A:$CZ,1320,Settings!$E$20)&amp;"","")</f>
        <v/>
      </c>
      <c r="B1320">
        <f>IFERROR(INDEX('Shopify Import'!$A:$CZ,1320,Settings!$E$21)&amp;"","")</f>
        <v/>
      </c>
      <c r="C1320">
        <f>IFERROR(INDEX('Shopify Import'!$A:$CZ,1320,Settings!$E$22)&amp;"","")</f>
        <v/>
      </c>
      <c r="D1320">
        <f>IF(A1320="","",IFERROR(VALUE(SUBSTITUTE(SUBSTITUTE(INDEX('Shopify Import'!$A:$CZ,1320,Settings!$E$23)&amp;"","$",""),",","")),0))</f>
        <v/>
      </c>
      <c r="E1320" s="11">
        <f>IF(A1320="","",IFERROR(VALUE(SUBSTITUTE(SUBSTITUTE(INDEX('Shopify Import'!$A:$CZ,1320,Settings!$E$24)&amp;"","$",""),",","")),0))</f>
        <v/>
      </c>
      <c r="F1320" s="11">
        <f>IF(A1320="","",D1320*E1320)</f>
        <v/>
      </c>
      <c r="G1320">
        <f>IF(A1320="","",IF(C1320="",1,COUNTIF($C$2:$C$1501,C1320)))</f>
        <v/>
      </c>
      <c r="H1320" s="11">
        <f>IF(A1320="","",IFERROR(VALUE(SUBSTITUTE(SUBSTITUTE(INDEX('Shopify Import'!$A:$CZ,1320,Settings!$E$25)&amp;"","$",""),",","")),0)/IF(Settings!$D$27="Yes",G1320,1))</f>
        <v/>
      </c>
      <c r="I1320" s="11">
        <f>IF(A1320="","",IFERROR(VALUE(SUBSTITUTE(SUBSTITUTE(INDEX('Shopify Import'!$A:$CZ,1320,Settings!$E$26)&amp;"","$",""),",","")),0)/IF(Settings!$D$27="Yes",G1320,1))</f>
        <v/>
      </c>
      <c r="J1320" s="11">
        <f>IF(A1320="","",F1320+H1320-I1320)</f>
        <v/>
      </c>
      <c r="K1320">
        <f>IF(A1320="","",IFERROR(IF(B1320="",NA(),MATCH(B1320,Products!$B$5:$B$204,0)),IFERROR(MATCH(A1320,Products!$A$5:$A$204,0),"")))</f>
        <v/>
      </c>
      <c r="L1320">
        <f>IF(A1320="","",IF(K1320="","⚠ not in Products",INDEX(Products!$A$5:$A$204,K1320)))</f>
        <v/>
      </c>
      <c r="M1320" s="11">
        <f>IF(A1320="","",J1320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1320+IFERROR(INDEX(Settings!$D$5:$D$9,MATCH("Shopify",Settings!$A$5:$A$9,0)),0)*D1320)</f>
        <v/>
      </c>
      <c r="N1320" s="11">
        <f>IF(A1320="","",IF(K1320="",0,D1320*INDEX(Products!$I$5:$I$204,K1320)))</f>
        <v/>
      </c>
      <c r="O1320" s="11">
        <f>IF(A1320="","",IF(K1320="",0,J1320*INDEX(Products!$H$5:$H$204,K1320)))</f>
        <v/>
      </c>
      <c r="P1320" s="11">
        <f>IF(A1320="","",J1320-M1320-N1320-O1320)</f>
        <v/>
      </c>
    </row>
    <row r="1321">
      <c r="A1321">
        <f>IFERROR(INDEX('Shopify Import'!$A:$CZ,1321,Settings!$E$20)&amp;"","")</f>
        <v/>
      </c>
      <c r="B1321">
        <f>IFERROR(INDEX('Shopify Import'!$A:$CZ,1321,Settings!$E$21)&amp;"","")</f>
        <v/>
      </c>
      <c r="C1321">
        <f>IFERROR(INDEX('Shopify Import'!$A:$CZ,1321,Settings!$E$22)&amp;"","")</f>
        <v/>
      </c>
      <c r="D1321">
        <f>IF(A1321="","",IFERROR(VALUE(SUBSTITUTE(SUBSTITUTE(INDEX('Shopify Import'!$A:$CZ,1321,Settings!$E$23)&amp;"","$",""),",","")),0))</f>
        <v/>
      </c>
      <c r="E1321" s="11">
        <f>IF(A1321="","",IFERROR(VALUE(SUBSTITUTE(SUBSTITUTE(INDEX('Shopify Import'!$A:$CZ,1321,Settings!$E$24)&amp;"","$",""),",","")),0))</f>
        <v/>
      </c>
      <c r="F1321" s="11">
        <f>IF(A1321="","",D1321*E1321)</f>
        <v/>
      </c>
      <c r="G1321">
        <f>IF(A1321="","",IF(C1321="",1,COUNTIF($C$2:$C$1501,C1321)))</f>
        <v/>
      </c>
      <c r="H1321" s="11">
        <f>IF(A1321="","",IFERROR(VALUE(SUBSTITUTE(SUBSTITUTE(INDEX('Shopify Import'!$A:$CZ,1321,Settings!$E$25)&amp;"","$",""),",","")),0)/IF(Settings!$D$27="Yes",G1321,1))</f>
        <v/>
      </c>
      <c r="I1321" s="11">
        <f>IF(A1321="","",IFERROR(VALUE(SUBSTITUTE(SUBSTITUTE(INDEX('Shopify Import'!$A:$CZ,1321,Settings!$E$26)&amp;"","$",""),",","")),0)/IF(Settings!$D$27="Yes",G1321,1))</f>
        <v/>
      </c>
      <c r="J1321" s="11">
        <f>IF(A1321="","",F1321+H1321-I1321)</f>
        <v/>
      </c>
      <c r="K1321">
        <f>IF(A1321="","",IFERROR(IF(B1321="",NA(),MATCH(B1321,Products!$B$5:$B$204,0)),IFERROR(MATCH(A1321,Products!$A$5:$A$204,0),"")))</f>
        <v/>
      </c>
      <c r="L1321">
        <f>IF(A1321="","",IF(K1321="","⚠ not in Products",INDEX(Products!$A$5:$A$204,K1321)))</f>
        <v/>
      </c>
      <c r="M1321" s="11">
        <f>IF(A1321="","",J1321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1321+IFERROR(INDEX(Settings!$D$5:$D$9,MATCH("Shopify",Settings!$A$5:$A$9,0)),0)*D1321)</f>
        <v/>
      </c>
      <c r="N1321" s="11">
        <f>IF(A1321="","",IF(K1321="",0,D1321*INDEX(Products!$I$5:$I$204,K1321)))</f>
        <v/>
      </c>
      <c r="O1321" s="11">
        <f>IF(A1321="","",IF(K1321="",0,J1321*INDEX(Products!$H$5:$H$204,K1321)))</f>
        <v/>
      </c>
      <c r="P1321" s="11">
        <f>IF(A1321="","",J1321-M1321-N1321-O1321)</f>
        <v/>
      </c>
    </row>
    <row r="1322">
      <c r="A1322">
        <f>IFERROR(INDEX('Shopify Import'!$A:$CZ,1322,Settings!$E$20)&amp;"","")</f>
        <v/>
      </c>
      <c r="B1322">
        <f>IFERROR(INDEX('Shopify Import'!$A:$CZ,1322,Settings!$E$21)&amp;"","")</f>
        <v/>
      </c>
      <c r="C1322">
        <f>IFERROR(INDEX('Shopify Import'!$A:$CZ,1322,Settings!$E$22)&amp;"","")</f>
        <v/>
      </c>
      <c r="D1322">
        <f>IF(A1322="","",IFERROR(VALUE(SUBSTITUTE(SUBSTITUTE(INDEX('Shopify Import'!$A:$CZ,1322,Settings!$E$23)&amp;"","$",""),",","")),0))</f>
        <v/>
      </c>
      <c r="E1322" s="11">
        <f>IF(A1322="","",IFERROR(VALUE(SUBSTITUTE(SUBSTITUTE(INDEX('Shopify Import'!$A:$CZ,1322,Settings!$E$24)&amp;"","$",""),",","")),0))</f>
        <v/>
      </c>
      <c r="F1322" s="11">
        <f>IF(A1322="","",D1322*E1322)</f>
        <v/>
      </c>
      <c r="G1322">
        <f>IF(A1322="","",IF(C1322="",1,COUNTIF($C$2:$C$1501,C1322)))</f>
        <v/>
      </c>
      <c r="H1322" s="11">
        <f>IF(A1322="","",IFERROR(VALUE(SUBSTITUTE(SUBSTITUTE(INDEX('Shopify Import'!$A:$CZ,1322,Settings!$E$25)&amp;"","$",""),",","")),0)/IF(Settings!$D$27="Yes",G1322,1))</f>
        <v/>
      </c>
      <c r="I1322" s="11">
        <f>IF(A1322="","",IFERROR(VALUE(SUBSTITUTE(SUBSTITUTE(INDEX('Shopify Import'!$A:$CZ,1322,Settings!$E$26)&amp;"","$",""),",","")),0)/IF(Settings!$D$27="Yes",G1322,1))</f>
        <v/>
      </c>
      <c r="J1322" s="11">
        <f>IF(A1322="","",F1322+H1322-I1322)</f>
        <v/>
      </c>
      <c r="K1322">
        <f>IF(A1322="","",IFERROR(IF(B1322="",NA(),MATCH(B1322,Products!$B$5:$B$204,0)),IFERROR(MATCH(A1322,Products!$A$5:$A$204,0),"")))</f>
        <v/>
      </c>
      <c r="L1322">
        <f>IF(A1322="","",IF(K1322="","⚠ not in Products",INDEX(Products!$A$5:$A$204,K1322)))</f>
        <v/>
      </c>
      <c r="M1322" s="11">
        <f>IF(A1322="","",J1322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1322+IFERROR(INDEX(Settings!$D$5:$D$9,MATCH("Shopify",Settings!$A$5:$A$9,0)),0)*D1322)</f>
        <v/>
      </c>
      <c r="N1322" s="11">
        <f>IF(A1322="","",IF(K1322="",0,D1322*INDEX(Products!$I$5:$I$204,K1322)))</f>
        <v/>
      </c>
      <c r="O1322" s="11">
        <f>IF(A1322="","",IF(K1322="",0,J1322*INDEX(Products!$H$5:$H$204,K1322)))</f>
        <v/>
      </c>
      <c r="P1322" s="11">
        <f>IF(A1322="","",J1322-M1322-N1322-O1322)</f>
        <v/>
      </c>
    </row>
    <row r="1323">
      <c r="A1323">
        <f>IFERROR(INDEX('Shopify Import'!$A:$CZ,1323,Settings!$E$20)&amp;"","")</f>
        <v/>
      </c>
      <c r="B1323">
        <f>IFERROR(INDEX('Shopify Import'!$A:$CZ,1323,Settings!$E$21)&amp;"","")</f>
        <v/>
      </c>
      <c r="C1323">
        <f>IFERROR(INDEX('Shopify Import'!$A:$CZ,1323,Settings!$E$22)&amp;"","")</f>
        <v/>
      </c>
      <c r="D1323">
        <f>IF(A1323="","",IFERROR(VALUE(SUBSTITUTE(SUBSTITUTE(INDEX('Shopify Import'!$A:$CZ,1323,Settings!$E$23)&amp;"","$",""),",","")),0))</f>
        <v/>
      </c>
      <c r="E1323" s="11">
        <f>IF(A1323="","",IFERROR(VALUE(SUBSTITUTE(SUBSTITUTE(INDEX('Shopify Import'!$A:$CZ,1323,Settings!$E$24)&amp;"","$",""),",","")),0))</f>
        <v/>
      </c>
      <c r="F1323" s="11">
        <f>IF(A1323="","",D1323*E1323)</f>
        <v/>
      </c>
      <c r="G1323">
        <f>IF(A1323="","",IF(C1323="",1,COUNTIF($C$2:$C$1501,C1323)))</f>
        <v/>
      </c>
      <c r="H1323" s="11">
        <f>IF(A1323="","",IFERROR(VALUE(SUBSTITUTE(SUBSTITUTE(INDEX('Shopify Import'!$A:$CZ,1323,Settings!$E$25)&amp;"","$",""),",","")),0)/IF(Settings!$D$27="Yes",G1323,1))</f>
        <v/>
      </c>
      <c r="I1323" s="11">
        <f>IF(A1323="","",IFERROR(VALUE(SUBSTITUTE(SUBSTITUTE(INDEX('Shopify Import'!$A:$CZ,1323,Settings!$E$26)&amp;"","$",""),",","")),0)/IF(Settings!$D$27="Yes",G1323,1))</f>
        <v/>
      </c>
      <c r="J1323" s="11">
        <f>IF(A1323="","",F1323+H1323-I1323)</f>
        <v/>
      </c>
      <c r="K1323">
        <f>IF(A1323="","",IFERROR(IF(B1323="",NA(),MATCH(B1323,Products!$B$5:$B$204,0)),IFERROR(MATCH(A1323,Products!$A$5:$A$204,0),"")))</f>
        <v/>
      </c>
      <c r="L1323">
        <f>IF(A1323="","",IF(K1323="","⚠ not in Products",INDEX(Products!$A$5:$A$204,K1323)))</f>
        <v/>
      </c>
      <c r="M1323" s="11">
        <f>IF(A1323="","",J1323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1323+IFERROR(INDEX(Settings!$D$5:$D$9,MATCH("Shopify",Settings!$A$5:$A$9,0)),0)*D1323)</f>
        <v/>
      </c>
      <c r="N1323" s="11">
        <f>IF(A1323="","",IF(K1323="",0,D1323*INDEX(Products!$I$5:$I$204,K1323)))</f>
        <v/>
      </c>
      <c r="O1323" s="11">
        <f>IF(A1323="","",IF(K1323="",0,J1323*INDEX(Products!$H$5:$H$204,K1323)))</f>
        <v/>
      </c>
      <c r="P1323" s="11">
        <f>IF(A1323="","",J1323-M1323-N1323-O1323)</f>
        <v/>
      </c>
    </row>
    <row r="1324">
      <c r="A1324">
        <f>IFERROR(INDEX('Shopify Import'!$A:$CZ,1324,Settings!$E$20)&amp;"","")</f>
        <v/>
      </c>
      <c r="B1324">
        <f>IFERROR(INDEX('Shopify Import'!$A:$CZ,1324,Settings!$E$21)&amp;"","")</f>
        <v/>
      </c>
      <c r="C1324">
        <f>IFERROR(INDEX('Shopify Import'!$A:$CZ,1324,Settings!$E$22)&amp;"","")</f>
        <v/>
      </c>
      <c r="D1324">
        <f>IF(A1324="","",IFERROR(VALUE(SUBSTITUTE(SUBSTITUTE(INDEX('Shopify Import'!$A:$CZ,1324,Settings!$E$23)&amp;"","$",""),",","")),0))</f>
        <v/>
      </c>
      <c r="E1324" s="11">
        <f>IF(A1324="","",IFERROR(VALUE(SUBSTITUTE(SUBSTITUTE(INDEX('Shopify Import'!$A:$CZ,1324,Settings!$E$24)&amp;"","$",""),",","")),0))</f>
        <v/>
      </c>
      <c r="F1324" s="11">
        <f>IF(A1324="","",D1324*E1324)</f>
        <v/>
      </c>
      <c r="G1324">
        <f>IF(A1324="","",IF(C1324="",1,COUNTIF($C$2:$C$1501,C1324)))</f>
        <v/>
      </c>
      <c r="H1324" s="11">
        <f>IF(A1324="","",IFERROR(VALUE(SUBSTITUTE(SUBSTITUTE(INDEX('Shopify Import'!$A:$CZ,1324,Settings!$E$25)&amp;"","$",""),",","")),0)/IF(Settings!$D$27="Yes",G1324,1))</f>
        <v/>
      </c>
      <c r="I1324" s="11">
        <f>IF(A1324="","",IFERROR(VALUE(SUBSTITUTE(SUBSTITUTE(INDEX('Shopify Import'!$A:$CZ,1324,Settings!$E$26)&amp;"","$",""),",","")),0)/IF(Settings!$D$27="Yes",G1324,1))</f>
        <v/>
      </c>
      <c r="J1324" s="11">
        <f>IF(A1324="","",F1324+H1324-I1324)</f>
        <v/>
      </c>
      <c r="K1324">
        <f>IF(A1324="","",IFERROR(IF(B1324="",NA(),MATCH(B1324,Products!$B$5:$B$204,0)),IFERROR(MATCH(A1324,Products!$A$5:$A$204,0),"")))</f>
        <v/>
      </c>
      <c r="L1324">
        <f>IF(A1324="","",IF(K1324="","⚠ not in Products",INDEX(Products!$A$5:$A$204,K1324)))</f>
        <v/>
      </c>
      <c r="M1324" s="11">
        <f>IF(A1324="","",J1324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1324+IFERROR(INDEX(Settings!$D$5:$D$9,MATCH("Shopify",Settings!$A$5:$A$9,0)),0)*D1324)</f>
        <v/>
      </c>
      <c r="N1324" s="11">
        <f>IF(A1324="","",IF(K1324="",0,D1324*INDEX(Products!$I$5:$I$204,K1324)))</f>
        <v/>
      </c>
      <c r="O1324" s="11">
        <f>IF(A1324="","",IF(K1324="",0,J1324*INDEX(Products!$H$5:$H$204,K1324)))</f>
        <v/>
      </c>
      <c r="P1324" s="11">
        <f>IF(A1324="","",J1324-M1324-N1324-O1324)</f>
        <v/>
      </c>
    </row>
    <row r="1325">
      <c r="A1325">
        <f>IFERROR(INDEX('Shopify Import'!$A:$CZ,1325,Settings!$E$20)&amp;"","")</f>
        <v/>
      </c>
      <c r="B1325">
        <f>IFERROR(INDEX('Shopify Import'!$A:$CZ,1325,Settings!$E$21)&amp;"","")</f>
        <v/>
      </c>
      <c r="C1325">
        <f>IFERROR(INDEX('Shopify Import'!$A:$CZ,1325,Settings!$E$22)&amp;"","")</f>
        <v/>
      </c>
      <c r="D1325">
        <f>IF(A1325="","",IFERROR(VALUE(SUBSTITUTE(SUBSTITUTE(INDEX('Shopify Import'!$A:$CZ,1325,Settings!$E$23)&amp;"","$",""),",","")),0))</f>
        <v/>
      </c>
      <c r="E1325" s="11">
        <f>IF(A1325="","",IFERROR(VALUE(SUBSTITUTE(SUBSTITUTE(INDEX('Shopify Import'!$A:$CZ,1325,Settings!$E$24)&amp;"","$",""),",","")),0))</f>
        <v/>
      </c>
      <c r="F1325" s="11">
        <f>IF(A1325="","",D1325*E1325)</f>
        <v/>
      </c>
      <c r="G1325">
        <f>IF(A1325="","",IF(C1325="",1,COUNTIF($C$2:$C$1501,C1325)))</f>
        <v/>
      </c>
      <c r="H1325" s="11">
        <f>IF(A1325="","",IFERROR(VALUE(SUBSTITUTE(SUBSTITUTE(INDEX('Shopify Import'!$A:$CZ,1325,Settings!$E$25)&amp;"","$",""),",","")),0)/IF(Settings!$D$27="Yes",G1325,1))</f>
        <v/>
      </c>
      <c r="I1325" s="11">
        <f>IF(A1325="","",IFERROR(VALUE(SUBSTITUTE(SUBSTITUTE(INDEX('Shopify Import'!$A:$CZ,1325,Settings!$E$26)&amp;"","$",""),",","")),0)/IF(Settings!$D$27="Yes",G1325,1))</f>
        <v/>
      </c>
      <c r="J1325" s="11">
        <f>IF(A1325="","",F1325+H1325-I1325)</f>
        <v/>
      </c>
      <c r="K1325">
        <f>IF(A1325="","",IFERROR(IF(B1325="",NA(),MATCH(B1325,Products!$B$5:$B$204,0)),IFERROR(MATCH(A1325,Products!$A$5:$A$204,0),"")))</f>
        <v/>
      </c>
      <c r="L1325">
        <f>IF(A1325="","",IF(K1325="","⚠ not in Products",INDEX(Products!$A$5:$A$204,K1325)))</f>
        <v/>
      </c>
      <c r="M1325" s="11">
        <f>IF(A1325="","",J1325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1325+IFERROR(INDEX(Settings!$D$5:$D$9,MATCH("Shopify",Settings!$A$5:$A$9,0)),0)*D1325)</f>
        <v/>
      </c>
      <c r="N1325" s="11">
        <f>IF(A1325="","",IF(K1325="",0,D1325*INDEX(Products!$I$5:$I$204,K1325)))</f>
        <v/>
      </c>
      <c r="O1325" s="11">
        <f>IF(A1325="","",IF(K1325="",0,J1325*INDEX(Products!$H$5:$H$204,K1325)))</f>
        <v/>
      </c>
      <c r="P1325" s="11">
        <f>IF(A1325="","",J1325-M1325-N1325-O1325)</f>
        <v/>
      </c>
    </row>
    <row r="1326">
      <c r="A1326">
        <f>IFERROR(INDEX('Shopify Import'!$A:$CZ,1326,Settings!$E$20)&amp;"","")</f>
        <v/>
      </c>
      <c r="B1326">
        <f>IFERROR(INDEX('Shopify Import'!$A:$CZ,1326,Settings!$E$21)&amp;"","")</f>
        <v/>
      </c>
      <c r="C1326">
        <f>IFERROR(INDEX('Shopify Import'!$A:$CZ,1326,Settings!$E$22)&amp;"","")</f>
        <v/>
      </c>
      <c r="D1326">
        <f>IF(A1326="","",IFERROR(VALUE(SUBSTITUTE(SUBSTITUTE(INDEX('Shopify Import'!$A:$CZ,1326,Settings!$E$23)&amp;"","$",""),",","")),0))</f>
        <v/>
      </c>
      <c r="E1326" s="11">
        <f>IF(A1326="","",IFERROR(VALUE(SUBSTITUTE(SUBSTITUTE(INDEX('Shopify Import'!$A:$CZ,1326,Settings!$E$24)&amp;"","$",""),",","")),0))</f>
        <v/>
      </c>
      <c r="F1326" s="11">
        <f>IF(A1326="","",D1326*E1326)</f>
        <v/>
      </c>
      <c r="G1326">
        <f>IF(A1326="","",IF(C1326="",1,COUNTIF($C$2:$C$1501,C1326)))</f>
        <v/>
      </c>
      <c r="H1326" s="11">
        <f>IF(A1326="","",IFERROR(VALUE(SUBSTITUTE(SUBSTITUTE(INDEX('Shopify Import'!$A:$CZ,1326,Settings!$E$25)&amp;"","$",""),",","")),0)/IF(Settings!$D$27="Yes",G1326,1))</f>
        <v/>
      </c>
      <c r="I1326" s="11">
        <f>IF(A1326="","",IFERROR(VALUE(SUBSTITUTE(SUBSTITUTE(INDEX('Shopify Import'!$A:$CZ,1326,Settings!$E$26)&amp;"","$",""),",","")),0)/IF(Settings!$D$27="Yes",G1326,1))</f>
        <v/>
      </c>
      <c r="J1326" s="11">
        <f>IF(A1326="","",F1326+H1326-I1326)</f>
        <v/>
      </c>
      <c r="K1326">
        <f>IF(A1326="","",IFERROR(IF(B1326="",NA(),MATCH(B1326,Products!$B$5:$B$204,0)),IFERROR(MATCH(A1326,Products!$A$5:$A$204,0),"")))</f>
        <v/>
      </c>
      <c r="L1326">
        <f>IF(A1326="","",IF(K1326="","⚠ not in Products",INDEX(Products!$A$5:$A$204,K1326)))</f>
        <v/>
      </c>
      <c r="M1326" s="11">
        <f>IF(A1326="","",J1326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1326+IFERROR(INDEX(Settings!$D$5:$D$9,MATCH("Shopify",Settings!$A$5:$A$9,0)),0)*D1326)</f>
        <v/>
      </c>
      <c r="N1326" s="11">
        <f>IF(A1326="","",IF(K1326="",0,D1326*INDEX(Products!$I$5:$I$204,K1326)))</f>
        <v/>
      </c>
      <c r="O1326" s="11">
        <f>IF(A1326="","",IF(K1326="",0,J1326*INDEX(Products!$H$5:$H$204,K1326)))</f>
        <v/>
      </c>
      <c r="P1326" s="11">
        <f>IF(A1326="","",J1326-M1326-N1326-O1326)</f>
        <v/>
      </c>
    </row>
    <row r="1327">
      <c r="A1327">
        <f>IFERROR(INDEX('Shopify Import'!$A:$CZ,1327,Settings!$E$20)&amp;"","")</f>
        <v/>
      </c>
      <c r="B1327">
        <f>IFERROR(INDEX('Shopify Import'!$A:$CZ,1327,Settings!$E$21)&amp;"","")</f>
        <v/>
      </c>
      <c r="C1327">
        <f>IFERROR(INDEX('Shopify Import'!$A:$CZ,1327,Settings!$E$22)&amp;"","")</f>
        <v/>
      </c>
      <c r="D1327">
        <f>IF(A1327="","",IFERROR(VALUE(SUBSTITUTE(SUBSTITUTE(INDEX('Shopify Import'!$A:$CZ,1327,Settings!$E$23)&amp;"","$",""),",","")),0))</f>
        <v/>
      </c>
      <c r="E1327" s="11">
        <f>IF(A1327="","",IFERROR(VALUE(SUBSTITUTE(SUBSTITUTE(INDEX('Shopify Import'!$A:$CZ,1327,Settings!$E$24)&amp;"","$",""),",","")),0))</f>
        <v/>
      </c>
      <c r="F1327" s="11">
        <f>IF(A1327="","",D1327*E1327)</f>
        <v/>
      </c>
      <c r="G1327">
        <f>IF(A1327="","",IF(C1327="",1,COUNTIF($C$2:$C$1501,C1327)))</f>
        <v/>
      </c>
      <c r="H1327" s="11">
        <f>IF(A1327="","",IFERROR(VALUE(SUBSTITUTE(SUBSTITUTE(INDEX('Shopify Import'!$A:$CZ,1327,Settings!$E$25)&amp;"","$",""),",","")),0)/IF(Settings!$D$27="Yes",G1327,1))</f>
        <v/>
      </c>
      <c r="I1327" s="11">
        <f>IF(A1327="","",IFERROR(VALUE(SUBSTITUTE(SUBSTITUTE(INDEX('Shopify Import'!$A:$CZ,1327,Settings!$E$26)&amp;"","$",""),",","")),0)/IF(Settings!$D$27="Yes",G1327,1))</f>
        <v/>
      </c>
      <c r="J1327" s="11">
        <f>IF(A1327="","",F1327+H1327-I1327)</f>
        <v/>
      </c>
      <c r="K1327">
        <f>IF(A1327="","",IFERROR(IF(B1327="",NA(),MATCH(B1327,Products!$B$5:$B$204,0)),IFERROR(MATCH(A1327,Products!$A$5:$A$204,0),"")))</f>
        <v/>
      </c>
      <c r="L1327">
        <f>IF(A1327="","",IF(K1327="","⚠ not in Products",INDEX(Products!$A$5:$A$204,K1327)))</f>
        <v/>
      </c>
      <c r="M1327" s="11">
        <f>IF(A1327="","",J1327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1327+IFERROR(INDEX(Settings!$D$5:$D$9,MATCH("Shopify",Settings!$A$5:$A$9,0)),0)*D1327)</f>
        <v/>
      </c>
      <c r="N1327" s="11">
        <f>IF(A1327="","",IF(K1327="",0,D1327*INDEX(Products!$I$5:$I$204,K1327)))</f>
        <v/>
      </c>
      <c r="O1327" s="11">
        <f>IF(A1327="","",IF(K1327="",0,J1327*INDEX(Products!$H$5:$H$204,K1327)))</f>
        <v/>
      </c>
      <c r="P1327" s="11">
        <f>IF(A1327="","",J1327-M1327-N1327-O1327)</f>
        <v/>
      </c>
    </row>
    <row r="1328">
      <c r="A1328">
        <f>IFERROR(INDEX('Shopify Import'!$A:$CZ,1328,Settings!$E$20)&amp;"","")</f>
        <v/>
      </c>
      <c r="B1328">
        <f>IFERROR(INDEX('Shopify Import'!$A:$CZ,1328,Settings!$E$21)&amp;"","")</f>
        <v/>
      </c>
      <c r="C1328">
        <f>IFERROR(INDEX('Shopify Import'!$A:$CZ,1328,Settings!$E$22)&amp;"","")</f>
        <v/>
      </c>
      <c r="D1328">
        <f>IF(A1328="","",IFERROR(VALUE(SUBSTITUTE(SUBSTITUTE(INDEX('Shopify Import'!$A:$CZ,1328,Settings!$E$23)&amp;"","$",""),",","")),0))</f>
        <v/>
      </c>
      <c r="E1328" s="11">
        <f>IF(A1328="","",IFERROR(VALUE(SUBSTITUTE(SUBSTITUTE(INDEX('Shopify Import'!$A:$CZ,1328,Settings!$E$24)&amp;"","$",""),",","")),0))</f>
        <v/>
      </c>
      <c r="F1328" s="11">
        <f>IF(A1328="","",D1328*E1328)</f>
        <v/>
      </c>
      <c r="G1328">
        <f>IF(A1328="","",IF(C1328="",1,COUNTIF($C$2:$C$1501,C1328)))</f>
        <v/>
      </c>
      <c r="H1328" s="11">
        <f>IF(A1328="","",IFERROR(VALUE(SUBSTITUTE(SUBSTITUTE(INDEX('Shopify Import'!$A:$CZ,1328,Settings!$E$25)&amp;"","$",""),",","")),0)/IF(Settings!$D$27="Yes",G1328,1))</f>
        <v/>
      </c>
      <c r="I1328" s="11">
        <f>IF(A1328="","",IFERROR(VALUE(SUBSTITUTE(SUBSTITUTE(INDEX('Shopify Import'!$A:$CZ,1328,Settings!$E$26)&amp;"","$",""),",","")),0)/IF(Settings!$D$27="Yes",G1328,1))</f>
        <v/>
      </c>
      <c r="J1328" s="11">
        <f>IF(A1328="","",F1328+H1328-I1328)</f>
        <v/>
      </c>
      <c r="K1328">
        <f>IF(A1328="","",IFERROR(IF(B1328="",NA(),MATCH(B1328,Products!$B$5:$B$204,0)),IFERROR(MATCH(A1328,Products!$A$5:$A$204,0),"")))</f>
        <v/>
      </c>
      <c r="L1328">
        <f>IF(A1328="","",IF(K1328="","⚠ not in Products",INDEX(Products!$A$5:$A$204,K1328)))</f>
        <v/>
      </c>
      <c r="M1328" s="11">
        <f>IF(A1328="","",J1328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1328+IFERROR(INDEX(Settings!$D$5:$D$9,MATCH("Shopify",Settings!$A$5:$A$9,0)),0)*D1328)</f>
        <v/>
      </c>
      <c r="N1328" s="11">
        <f>IF(A1328="","",IF(K1328="",0,D1328*INDEX(Products!$I$5:$I$204,K1328)))</f>
        <v/>
      </c>
      <c r="O1328" s="11">
        <f>IF(A1328="","",IF(K1328="",0,J1328*INDEX(Products!$H$5:$H$204,K1328)))</f>
        <v/>
      </c>
      <c r="P1328" s="11">
        <f>IF(A1328="","",J1328-M1328-N1328-O1328)</f>
        <v/>
      </c>
    </row>
    <row r="1329">
      <c r="A1329">
        <f>IFERROR(INDEX('Shopify Import'!$A:$CZ,1329,Settings!$E$20)&amp;"","")</f>
        <v/>
      </c>
      <c r="B1329">
        <f>IFERROR(INDEX('Shopify Import'!$A:$CZ,1329,Settings!$E$21)&amp;"","")</f>
        <v/>
      </c>
      <c r="C1329">
        <f>IFERROR(INDEX('Shopify Import'!$A:$CZ,1329,Settings!$E$22)&amp;"","")</f>
        <v/>
      </c>
      <c r="D1329">
        <f>IF(A1329="","",IFERROR(VALUE(SUBSTITUTE(SUBSTITUTE(INDEX('Shopify Import'!$A:$CZ,1329,Settings!$E$23)&amp;"","$",""),",","")),0))</f>
        <v/>
      </c>
      <c r="E1329" s="11">
        <f>IF(A1329="","",IFERROR(VALUE(SUBSTITUTE(SUBSTITUTE(INDEX('Shopify Import'!$A:$CZ,1329,Settings!$E$24)&amp;"","$",""),",","")),0))</f>
        <v/>
      </c>
      <c r="F1329" s="11">
        <f>IF(A1329="","",D1329*E1329)</f>
        <v/>
      </c>
      <c r="G1329">
        <f>IF(A1329="","",IF(C1329="",1,COUNTIF($C$2:$C$1501,C1329)))</f>
        <v/>
      </c>
      <c r="H1329" s="11">
        <f>IF(A1329="","",IFERROR(VALUE(SUBSTITUTE(SUBSTITUTE(INDEX('Shopify Import'!$A:$CZ,1329,Settings!$E$25)&amp;"","$",""),",","")),0)/IF(Settings!$D$27="Yes",G1329,1))</f>
        <v/>
      </c>
      <c r="I1329" s="11">
        <f>IF(A1329="","",IFERROR(VALUE(SUBSTITUTE(SUBSTITUTE(INDEX('Shopify Import'!$A:$CZ,1329,Settings!$E$26)&amp;"","$",""),",","")),0)/IF(Settings!$D$27="Yes",G1329,1))</f>
        <v/>
      </c>
      <c r="J1329" s="11">
        <f>IF(A1329="","",F1329+H1329-I1329)</f>
        <v/>
      </c>
      <c r="K1329">
        <f>IF(A1329="","",IFERROR(IF(B1329="",NA(),MATCH(B1329,Products!$B$5:$B$204,0)),IFERROR(MATCH(A1329,Products!$A$5:$A$204,0),"")))</f>
        <v/>
      </c>
      <c r="L1329">
        <f>IF(A1329="","",IF(K1329="","⚠ not in Products",INDEX(Products!$A$5:$A$204,K1329)))</f>
        <v/>
      </c>
      <c r="M1329" s="11">
        <f>IF(A1329="","",J1329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1329+IFERROR(INDEX(Settings!$D$5:$D$9,MATCH("Shopify",Settings!$A$5:$A$9,0)),0)*D1329)</f>
        <v/>
      </c>
      <c r="N1329" s="11">
        <f>IF(A1329="","",IF(K1329="",0,D1329*INDEX(Products!$I$5:$I$204,K1329)))</f>
        <v/>
      </c>
      <c r="O1329" s="11">
        <f>IF(A1329="","",IF(K1329="",0,J1329*INDEX(Products!$H$5:$H$204,K1329)))</f>
        <v/>
      </c>
      <c r="P1329" s="11">
        <f>IF(A1329="","",J1329-M1329-N1329-O1329)</f>
        <v/>
      </c>
    </row>
    <row r="1330">
      <c r="A1330">
        <f>IFERROR(INDEX('Shopify Import'!$A:$CZ,1330,Settings!$E$20)&amp;"","")</f>
        <v/>
      </c>
      <c r="B1330">
        <f>IFERROR(INDEX('Shopify Import'!$A:$CZ,1330,Settings!$E$21)&amp;"","")</f>
        <v/>
      </c>
      <c r="C1330">
        <f>IFERROR(INDEX('Shopify Import'!$A:$CZ,1330,Settings!$E$22)&amp;"","")</f>
        <v/>
      </c>
      <c r="D1330">
        <f>IF(A1330="","",IFERROR(VALUE(SUBSTITUTE(SUBSTITUTE(INDEX('Shopify Import'!$A:$CZ,1330,Settings!$E$23)&amp;"","$",""),",","")),0))</f>
        <v/>
      </c>
      <c r="E1330" s="11">
        <f>IF(A1330="","",IFERROR(VALUE(SUBSTITUTE(SUBSTITUTE(INDEX('Shopify Import'!$A:$CZ,1330,Settings!$E$24)&amp;"","$",""),",","")),0))</f>
        <v/>
      </c>
      <c r="F1330" s="11">
        <f>IF(A1330="","",D1330*E1330)</f>
        <v/>
      </c>
      <c r="G1330">
        <f>IF(A1330="","",IF(C1330="",1,COUNTIF($C$2:$C$1501,C1330)))</f>
        <v/>
      </c>
      <c r="H1330" s="11">
        <f>IF(A1330="","",IFERROR(VALUE(SUBSTITUTE(SUBSTITUTE(INDEX('Shopify Import'!$A:$CZ,1330,Settings!$E$25)&amp;"","$",""),",","")),0)/IF(Settings!$D$27="Yes",G1330,1))</f>
        <v/>
      </c>
      <c r="I1330" s="11">
        <f>IF(A1330="","",IFERROR(VALUE(SUBSTITUTE(SUBSTITUTE(INDEX('Shopify Import'!$A:$CZ,1330,Settings!$E$26)&amp;"","$",""),",","")),0)/IF(Settings!$D$27="Yes",G1330,1))</f>
        <v/>
      </c>
      <c r="J1330" s="11">
        <f>IF(A1330="","",F1330+H1330-I1330)</f>
        <v/>
      </c>
      <c r="K1330">
        <f>IF(A1330="","",IFERROR(IF(B1330="",NA(),MATCH(B1330,Products!$B$5:$B$204,0)),IFERROR(MATCH(A1330,Products!$A$5:$A$204,0),"")))</f>
        <v/>
      </c>
      <c r="L1330">
        <f>IF(A1330="","",IF(K1330="","⚠ not in Products",INDEX(Products!$A$5:$A$204,K1330)))</f>
        <v/>
      </c>
      <c r="M1330" s="11">
        <f>IF(A1330="","",J1330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1330+IFERROR(INDEX(Settings!$D$5:$D$9,MATCH("Shopify",Settings!$A$5:$A$9,0)),0)*D1330)</f>
        <v/>
      </c>
      <c r="N1330" s="11">
        <f>IF(A1330="","",IF(K1330="",0,D1330*INDEX(Products!$I$5:$I$204,K1330)))</f>
        <v/>
      </c>
      <c r="O1330" s="11">
        <f>IF(A1330="","",IF(K1330="",0,J1330*INDEX(Products!$H$5:$H$204,K1330)))</f>
        <v/>
      </c>
      <c r="P1330" s="11">
        <f>IF(A1330="","",J1330-M1330-N1330-O1330)</f>
        <v/>
      </c>
    </row>
    <row r="1331">
      <c r="A1331">
        <f>IFERROR(INDEX('Shopify Import'!$A:$CZ,1331,Settings!$E$20)&amp;"","")</f>
        <v/>
      </c>
      <c r="B1331">
        <f>IFERROR(INDEX('Shopify Import'!$A:$CZ,1331,Settings!$E$21)&amp;"","")</f>
        <v/>
      </c>
      <c r="C1331">
        <f>IFERROR(INDEX('Shopify Import'!$A:$CZ,1331,Settings!$E$22)&amp;"","")</f>
        <v/>
      </c>
      <c r="D1331">
        <f>IF(A1331="","",IFERROR(VALUE(SUBSTITUTE(SUBSTITUTE(INDEX('Shopify Import'!$A:$CZ,1331,Settings!$E$23)&amp;"","$",""),",","")),0))</f>
        <v/>
      </c>
      <c r="E1331" s="11">
        <f>IF(A1331="","",IFERROR(VALUE(SUBSTITUTE(SUBSTITUTE(INDEX('Shopify Import'!$A:$CZ,1331,Settings!$E$24)&amp;"","$",""),",","")),0))</f>
        <v/>
      </c>
      <c r="F1331" s="11">
        <f>IF(A1331="","",D1331*E1331)</f>
        <v/>
      </c>
      <c r="G1331">
        <f>IF(A1331="","",IF(C1331="",1,COUNTIF($C$2:$C$1501,C1331)))</f>
        <v/>
      </c>
      <c r="H1331" s="11">
        <f>IF(A1331="","",IFERROR(VALUE(SUBSTITUTE(SUBSTITUTE(INDEX('Shopify Import'!$A:$CZ,1331,Settings!$E$25)&amp;"","$",""),",","")),0)/IF(Settings!$D$27="Yes",G1331,1))</f>
        <v/>
      </c>
      <c r="I1331" s="11">
        <f>IF(A1331="","",IFERROR(VALUE(SUBSTITUTE(SUBSTITUTE(INDEX('Shopify Import'!$A:$CZ,1331,Settings!$E$26)&amp;"","$",""),",","")),0)/IF(Settings!$D$27="Yes",G1331,1))</f>
        <v/>
      </c>
      <c r="J1331" s="11">
        <f>IF(A1331="","",F1331+H1331-I1331)</f>
        <v/>
      </c>
      <c r="K1331">
        <f>IF(A1331="","",IFERROR(IF(B1331="",NA(),MATCH(B1331,Products!$B$5:$B$204,0)),IFERROR(MATCH(A1331,Products!$A$5:$A$204,0),"")))</f>
        <v/>
      </c>
      <c r="L1331">
        <f>IF(A1331="","",IF(K1331="","⚠ not in Products",INDEX(Products!$A$5:$A$204,K1331)))</f>
        <v/>
      </c>
      <c r="M1331" s="11">
        <f>IF(A1331="","",J1331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1331+IFERROR(INDEX(Settings!$D$5:$D$9,MATCH("Shopify",Settings!$A$5:$A$9,0)),0)*D1331)</f>
        <v/>
      </c>
      <c r="N1331" s="11">
        <f>IF(A1331="","",IF(K1331="",0,D1331*INDEX(Products!$I$5:$I$204,K1331)))</f>
        <v/>
      </c>
      <c r="O1331" s="11">
        <f>IF(A1331="","",IF(K1331="",0,J1331*INDEX(Products!$H$5:$H$204,K1331)))</f>
        <v/>
      </c>
      <c r="P1331" s="11">
        <f>IF(A1331="","",J1331-M1331-N1331-O1331)</f>
        <v/>
      </c>
    </row>
    <row r="1332">
      <c r="A1332">
        <f>IFERROR(INDEX('Shopify Import'!$A:$CZ,1332,Settings!$E$20)&amp;"","")</f>
        <v/>
      </c>
      <c r="B1332">
        <f>IFERROR(INDEX('Shopify Import'!$A:$CZ,1332,Settings!$E$21)&amp;"","")</f>
        <v/>
      </c>
      <c r="C1332">
        <f>IFERROR(INDEX('Shopify Import'!$A:$CZ,1332,Settings!$E$22)&amp;"","")</f>
        <v/>
      </c>
      <c r="D1332">
        <f>IF(A1332="","",IFERROR(VALUE(SUBSTITUTE(SUBSTITUTE(INDEX('Shopify Import'!$A:$CZ,1332,Settings!$E$23)&amp;"","$",""),",","")),0))</f>
        <v/>
      </c>
      <c r="E1332" s="11">
        <f>IF(A1332="","",IFERROR(VALUE(SUBSTITUTE(SUBSTITUTE(INDEX('Shopify Import'!$A:$CZ,1332,Settings!$E$24)&amp;"","$",""),",","")),0))</f>
        <v/>
      </c>
      <c r="F1332" s="11">
        <f>IF(A1332="","",D1332*E1332)</f>
        <v/>
      </c>
      <c r="G1332">
        <f>IF(A1332="","",IF(C1332="",1,COUNTIF($C$2:$C$1501,C1332)))</f>
        <v/>
      </c>
      <c r="H1332" s="11">
        <f>IF(A1332="","",IFERROR(VALUE(SUBSTITUTE(SUBSTITUTE(INDEX('Shopify Import'!$A:$CZ,1332,Settings!$E$25)&amp;"","$",""),",","")),0)/IF(Settings!$D$27="Yes",G1332,1))</f>
        <v/>
      </c>
      <c r="I1332" s="11">
        <f>IF(A1332="","",IFERROR(VALUE(SUBSTITUTE(SUBSTITUTE(INDEX('Shopify Import'!$A:$CZ,1332,Settings!$E$26)&amp;"","$",""),",","")),0)/IF(Settings!$D$27="Yes",G1332,1))</f>
        <v/>
      </c>
      <c r="J1332" s="11">
        <f>IF(A1332="","",F1332+H1332-I1332)</f>
        <v/>
      </c>
      <c r="K1332">
        <f>IF(A1332="","",IFERROR(IF(B1332="",NA(),MATCH(B1332,Products!$B$5:$B$204,0)),IFERROR(MATCH(A1332,Products!$A$5:$A$204,0),"")))</f>
        <v/>
      </c>
      <c r="L1332">
        <f>IF(A1332="","",IF(K1332="","⚠ not in Products",INDEX(Products!$A$5:$A$204,K1332)))</f>
        <v/>
      </c>
      <c r="M1332" s="11">
        <f>IF(A1332="","",J1332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1332+IFERROR(INDEX(Settings!$D$5:$D$9,MATCH("Shopify",Settings!$A$5:$A$9,0)),0)*D1332)</f>
        <v/>
      </c>
      <c r="N1332" s="11">
        <f>IF(A1332="","",IF(K1332="",0,D1332*INDEX(Products!$I$5:$I$204,K1332)))</f>
        <v/>
      </c>
      <c r="O1332" s="11">
        <f>IF(A1332="","",IF(K1332="",0,J1332*INDEX(Products!$H$5:$H$204,K1332)))</f>
        <v/>
      </c>
      <c r="P1332" s="11">
        <f>IF(A1332="","",J1332-M1332-N1332-O1332)</f>
        <v/>
      </c>
    </row>
    <row r="1333">
      <c r="A1333">
        <f>IFERROR(INDEX('Shopify Import'!$A:$CZ,1333,Settings!$E$20)&amp;"","")</f>
        <v/>
      </c>
      <c r="B1333">
        <f>IFERROR(INDEX('Shopify Import'!$A:$CZ,1333,Settings!$E$21)&amp;"","")</f>
        <v/>
      </c>
      <c r="C1333">
        <f>IFERROR(INDEX('Shopify Import'!$A:$CZ,1333,Settings!$E$22)&amp;"","")</f>
        <v/>
      </c>
      <c r="D1333">
        <f>IF(A1333="","",IFERROR(VALUE(SUBSTITUTE(SUBSTITUTE(INDEX('Shopify Import'!$A:$CZ,1333,Settings!$E$23)&amp;"","$",""),",","")),0))</f>
        <v/>
      </c>
      <c r="E1333" s="11">
        <f>IF(A1333="","",IFERROR(VALUE(SUBSTITUTE(SUBSTITUTE(INDEX('Shopify Import'!$A:$CZ,1333,Settings!$E$24)&amp;"","$",""),",","")),0))</f>
        <v/>
      </c>
      <c r="F1333" s="11">
        <f>IF(A1333="","",D1333*E1333)</f>
        <v/>
      </c>
      <c r="G1333">
        <f>IF(A1333="","",IF(C1333="",1,COUNTIF($C$2:$C$1501,C1333)))</f>
        <v/>
      </c>
      <c r="H1333" s="11">
        <f>IF(A1333="","",IFERROR(VALUE(SUBSTITUTE(SUBSTITUTE(INDEX('Shopify Import'!$A:$CZ,1333,Settings!$E$25)&amp;"","$",""),",","")),0)/IF(Settings!$D$27="Yes",G1333,1))</f>
        <v/>
      </c>
      <c r="I1333" s="11">
        <f>IF(A1333="","",IFERROR(VALUE(SUBSTITUTE(SUBSTITUTE(INDEX('Shopify Import'!$A:$CZ,1333,Settings!$E$26)&amp;"","$",""),",","")),0)/IF(Settings!$D$27="Yes",G1333,1))</f>
        <v/>
      </c>
      <c r="J1333" s="11">
        <f>IF(A1333="","",F1333+H1333-I1333)</f>
        <v/>
      </c>
      <c r="K1333">
        <f>IF(A1333="","",IFERROR(IF(B1333="",NA(),MATCH(B1333,Products!$B$5:$B$204,0)),IFERROR(MATCH(A1333,Products!$A$5:$A$204,0),"")))</f>
        <v/>
      </c>
      <c r="L1333">
        <f>IF(A1333="","",IF(K1333="","⚠ not in Products",INDEX(Products!$A$5:$A$204,K1333)))</f>
        <v/>
      </c>
      <c r="M1333" s="11">
        <f>IF(A1333="","",J1333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1333+IFERROR(INDEX(Settings!$D$5:$D$9,MATCH("Shopify",Settings!$A$5:$A$9,0)),0)*D1333)</f>
        <v/>
      </c>
      <c r="N1333" s="11">
        <f>IF(A1333="","",IF(K1333="",0,D1333*INDEX(Products!$I$5:$I$204,K1333)))</f>
        <v/>
      </c>
      <c r="O1333" s="11">
        <f>IF(A1333="","",IF(K1333="",0,J1333*INDEX(Products!$H$5:$H$204,K1333)))</f>
        <v/>
      </c>
      <c r="P1333" s="11">
        <f>IF(A1333="","",J1333-M1333-N1333-O1333)</f>
        <v/>
      </c>
    </row>
    <row r="1334">
      <c r="A1334">
        <f>IFERROR(INDEX('Shopify Import'!$A:$CZ,1334,Settings!$E$20)&amp;"","")</f>
        <v/>
      </c>
      <c r="B1334">
        <f>IFERROR(INDEX('Shopify Import'!$A:$CZ,1334,Settings!$E$21)&amp;"","")</f>
        <v/>
      </c>
      <c r="C1334">
        <f>IFERROR(INDEX('Shopify Import'!$A:$CZ,1334,Settings!$E$22)&amp;"","")</f>
        <v/>
      </c>
      <c r="D1334">
        <f>IF(A1334="","",IFERROR(VALUE(SUBSTITUTE(SUBSTITUTE(INDEX('Shopify Import'!$A:$CZ,1334,Settings!$E$23)&amp;"","$",""),",","")),0))</f>
        <v/>
      </c>
      <c r="E1334" s="11">
        <f>IF(A1334="","",IFERROR(VALUE(SUBSTITUTE(SUBSTITUTE(INDEX('Shopify Import'!$A:$CZ,1334,Settings!$E$24)&amp;"","$",""),",","")),0))</f>
        <v/>
      </c>
      <c r="F1334" s="11">
        <f>IF(A1334="","",D1334*E1334)</f>
        <v/>
      </c>
      <c r="G1334">
        <f>IF(A1334="","",IF(C1334="",1,COUNTIF($C$2:$C$1501,C1334)))</f>
        <v/>
      </c>
      <c r="H1334" s="11">
        <f>IF(A1334="","",IFERROR(VALUE(SUBSTITUTE(SUBSTITUTE(INDEX('Shopify Import'!$A:$CZ,1334,Settings!$E$25)&amp;"","$",""),",","")),0)/IF(Settings!$D$27="Yes",G1334,1))</f>
        <v/>
      </c>
      <c r="I1334" s="11">
        <f>IF(A1334="","",IFERROR(VALUE(SUBSTITUTE(SUBSTITUTE(INDEX('Shopify Import'!$A:$CZ,1334,Settings!$E$26)&amp;"","$",""),",","")),0)/IF(Settings!$D$27="Yes",G1334,1))</f>
        <v/>
      </c>
      <c r="J1334" s="11">
        <f>IF(A1334="","",F1334+H1334-I1334)</f>
        <v/>
      </c>
      <c r="K1334">
        <f>IF(A1334="","",IFERROR(IF(B1334="",NA(),MATCH(B1334,Products!$B$5:$B$204,0)),IFERROR(MATCH(A1334,Products!$A$5:$A$204,0),"")))</f>
        <v/>
      </c>
      <c r="L1334">
        <f>IF(A1334="","",IF(K1334="","⚠ not in Products",INDEX(Products!$A$5:$A$204,K1334)))</f>
        <v/>
      </c>
      <c r="M1334" s="11">
        <f>IF(A1334="","",J1334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1334+IFERROR(INDEX(Settings!$D$5:$D$9,MATCH("Shopify",Settings!$A$5:$A$9,0)),0)*D1334)</f>
        <v/>
      </c>
      <c r="N1334" s="11">
        <f>IF(A1334="","",IF(K1334="",0,D1334*INDEX(Products!$I$5:$I$204,K1334)))</f>
        <v/>
      </c>
      <c r="O1334" s="11">
        <f>IF(A1334="","",IF(K1334="",0,J1334*INDEX(Products!$H$5:$H$204,K1334)))</f>
        <v/>
      </c>
      <c r="P1334" s="11">
        <f>IF(A1334="","",J1334-M1334-N1334-O1334)</f>
        <v/>
      </c>
    </row>
    <row r="1335">
      <c r="A1335">
        <f>IFERROR(INDEX('Shopify Import'!$A:$CZ,1335,Settings!$E$20)&amp;"","")</f>
        <v/>
      </c>
      <c r="B1335">
        <f>IFERROR(INDEX('Shopify Import'!$A:$CZ,1335,Settings!$E$21)&amp;"","")</f>
        <v/>
      </c>
      <c r="C1335">
        <f>IFERROR(INDEX('Shopify Import'!$A:$CZ,1335,Settings!$E$22)&amp;"","")</f>
        <v/>
      </c>
      <c r="D1335">
        <f>IF(A1335="","",IFERROR(VALUE(SUBSTITUTE(SUBSTITUTE(INDEX('Shopify Import'!$A:$CZ,1335,Settings!$E$23)&amp;"","$",""),",","")),0))</f>
        <v/>
      </c>
      <c r="E1335" s="11">
        <f>IF(A1335="","",IFERROR(VALUE(SUBSTITUTE(SUBSTITUTE(INDEX('Shopify Import'!$A:$CZ,1335,Settings!$E$24)&amp;"","$",""),",","")),0))</f>
        <v/>
      </c>
      <c r="F1335" s="11">
        <f>IF(A1335="","",D1335*E1335)</f>
        <v/>
      </c>
      <c r="G1335">
        <f>IF(A1335="","",IF(C1335="",1,COUNTIF($C$2:$C$1501,C1335)))</f>
        <v/>
      </c>
      <c r="H1335" s="11">
        <f>IF(A1335="","",IFERROR(VALUE(SUBSTITUTE(SUBSTITUTE(INDEX('Shopify Import'!$A:$CZ,1335,Settings!$E$25)&amp;"","$",""),",","")),0)/IF(Settings!$D$27="Yes",G1335,1))</f>
        <v/>
      </c>
      <c r="I1335" s="11">
        <f>IF(A1335="","",IFERROR(VALUE(SUBSTITUTE(SUBSTITUTE(INDEX('Shopify Import'!$A:$CZ,1335,Settings!$E$26)&amp;"","$",""),",","")),0)/IF(Settings!$D$27="Yes",G1335,1))</f>
        <v/>
      </c>
      <c r="J1335" s="11">
        <f>IF(A1335="","",F1335+H1335-I1335)</f>
        <v/>
      </c>
      <c r="K1335">
        <f>IF(A1335="","",IFERROR(IF(B1335="",NA(),MATCH(B1335,Products!$B$5:$B$204,0)),IFERROR(MATCH(A1335,Products!$A$5:$A$204,0),"")))</f>
        <v/>
      </c>
      <c r="L1335">
        <f>IF(A1335="","",IF(K1335="","⚠ not in Products",INDEX(Products!$A$5:$A$204,K1335)))</f>
        <v/>
      </c>
      <c r="M1335" s="11">
        <f>IF(A1335="","",J1335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1335+IFERROR(INDEX(Settings!$D$5:$D$9,MATCH("Shopify",Settings!$A$5:$A$9,0)),0)*D1335)</f>
        <v/>
      </c>
      <c r="N1335" s="11">
        <f>IF(A1335="","",IF(K1335="",0,D1335*INDEX(Products!$I$5:$I$204,K1335)))</f>
        <v/>
      </c>
      <c r="O1335" s="11">
        <f>IF(A1335="","",IF(K1335="",0,J1335*INDEX(Products!$H$5:$H$204,K1335)))</f>
        <v/>
      </c>
      <c r="P1335" s="11">
        <f>IF(A1335="","",J1335-M1335-N1335-O1335)</f>
        <v/>
      </c>
    </row>
    <row r="1336">
      <c r="A1336">
        <f>IFERROR(INDEX('Shopify Import'!$A:$CZ,1336,Settings!$E$20)&amp;"","")</f>
        <v/>
      </c>
      <c r="B1336">
        <f>IFERROR(INDEX('Shopify Import'!$A:$CZ,1336,Settings!$E$21)&amp;"","")</f>
        <v/>
      </c>
      <c r="C1336">
        <f>IFERROR(INDEX('Shopify Import'!$A:$CZ,1336,Settings!$E$22)&amp;"","")</f>
        <v/>
      </c>
      <c r="D1336">
        <f>IF(A1336="","",IFERROR(VALUE(SUBSTITUTE(SUBSTITUTE(INDEX('Shopify Import'!$A:$CZ,1336,Settings!$E$23)&amp;"","$",""),",","")),0))</f>
        <v/>
      </c>
      <c r="E1336" s="11">
        <f>IF(A1336="","",IFERROR(VALUE(SUBSTITUTE(SUBSTITUTE(INDEX('Shopify Import'!$A:$CZ,1336,Settings!$E$24)&amp;"","$",""),",","")),0))</f>
        <v/>
      </c>
      <c r="F1336" s="11">
        <f>IF(A1336="","",D1336*E1336)</f>
        <v/>
      </c>
      <c r="G1336">
        <f>IF(A1336="","",IF(C1336="",1,COUNTIF($C$2:$C$1501,C1336)))</f>
        <v/>
      </c>
      <c r="H1336" s="11">
        <f>IF(A1336="","",IFERROR(VALUE(SUBSTITUTE(SUBSTITUTE(INDEX('Shopify Import'!$A:$CZ,1336,Settings!$E$25)&amp;"","$",""),",","")),0)/IF(Settings!$D$27="Yes",G1336,1))</f>
        <v/>
      </c>
      <c r="I1336" s="11">
        <f>IF(A1336="","",IFERROR(VALUE(SUBSTITUTE(SUBSTITUTE(INDEX('Shopify Import'!$A:$CZ,1336,Settings!$E$26)&amp;"","$",""),",","")),0)/IF(Settings!$D$27="Yes",G1336,1))</f>
        <v/>
      </c>
      <c r="J1336" s="11">
        <f>IF(A1336="","",F1336+H1336-I1336)</f>
        <v/>
      </c>
      <c r="K1336">
        <f>IF(A1336="","",IFERROR(IF(B1336="",NA(),MATCH(B1336,Products!$B$5:$B$204,0)),IFERROR(MATCH(A1336,Products!$A$5:$A$204,0),"")))</f>
        <v/>
      </c>
      <c r="L1336">
        <f>IF(A1336="","",IF(K1336="","⚠ not in Products",INDEX(Products!$A$5:$A$204,K1336)))</f>
        <v/>
      </c>
      <c r="M1336" s="11">
        <f>IF(A1336="","",J1336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1336+IFERROR(INDEX(Settings!$D$5:$D$9,MATCH("Shopify",Settings!$A$5:$A$9,0)),0)*D1336)</f>
        <v/>
      </c>
      <c r="N1336" s="11">
        <f>IF(A1336="","",IF(K1336="",0,D1336*INDEX(Products!$I$5:$I$204,K1336)))</f>
        <v/>
      </c>
      <c r="O1336" s="11">
        <f>IF(A1336="","",IF(K1336="",0,J1336*INDEX(Products!$H$5:$H$204,K1336)))</f>
        <v/>
      </c>
      <c r="P1336" s="11">
        <f>IF(A1336="","",J1336-M1336-N1336-O1336)</f>
        <v/>
      </c>
    </row>
    <row r="1337">
      <c r="A1337">
        <f>IFERROR(INDEX('Shopify Import'!$A:$CZ,1337,Settings!$E$20)&amp;"","")</f>
        <v/>
      </c>
      <c r="B1337">
        <f>IFERROR(INDEX('Shopify Import'!$A:$CZ,1337,Settings!$E$21)&amp;"","")</f>
        <v/>
      </c>
      <c r="C1337">
        <f>IFERROR(INDEX('Shopify Import'!$A:$CZ,1337,Settings!$E$22)&amp;"","")</f>
        <v/>
      </c>
      <c r="D1337">
        <f>IF(A1337="","",IFERROR(VALUE(SUBSTITUTE(SUBSTITUTE(INDEX('Shopify Import'!$A:$CZ,1337,Settings!$E$23)&amp;"","$",""),",","")),0))</f>
        <v/>
      </c>
      <c r="E1337" s="11">
        <f>IF(A1337="","",IFERROR(VALUE(SUBSTITUTE(SUBSTITUTE(INDEX('Shopify Import'!$A:$CZ,1337,Settings!$E$24)&amp;"","$",""),",","")),0))</f>
        <v/>
      </c>
      <c r="F1337" s="11">
        <f>IF(A1337="","",D1337*E1337)</f>
        <v/>
      </c>
      <c r="G1337">
        <f>IF(A1337="","",IF(C1337="",1,COUNTIF($C$2:$C$1501,C1337)))</f>
        <v/>
      </c>
      <c r="H1337" s="11">
        <f>IF(A1337="","",IFERROR(VALUE(SUBSTITUTE(SUBSTITUTE(INDEX('Shopify Import'!$A:$CZ,1337,Settings!$E$25)&amp;"","$",""),",","")),0)/IF(Settings!$D$27="Yes",G1337,1))</f>
        <v/>
      </c>
      <c r="I1337" s="11">
        <f>IF(A1337="","",IFERROR(VALUE(SUBSTITUTE(SUBSTITUTE(INDEX('Shopify Import'!$A:$CZ,1337,Settings!$E$26)&amp;"","$",""),",","")),0)/IF(Settings!$D$27="Yes",G1337,1))</f>
        <v/>
      </c>
      <c r="J1337" s="11">
        <f>IF(A1337="","",F1337+H1337-I1337)</f>
        <v/>
      </c>
      <c r="K1337">
        <f>IF(A1337="","",IFERROR(IF(B1337="",NA(),MATCH(B1337,Products!$B$5:$B$204,0)),IFERROR(MATCH(A1337,Products!$A$5:$A$204,0),"")))</f>
        <v/>
      </c>
      <c r="L1337">
        <f>IF(A1337="","",IF(K1337="","⚠ not in Products",INDEX(Products!$A$5:$A$204,K1337)))</f>
        <v/>
      </c>
      <c r="M1337" s="11">
        <f>IF(A1337="","",J1337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1337+IFERROR(INDEX(Settings!$D$5:$D$9,MATCH("Shopify",Settings!$A$5:$A$9,0)),0)*D1337)</f>
        <v/>
      </c>
      <c r="N1337" s="11">
        <f>IF(A1337="","",IF(K1337="",0,D1337*INDEX(Products!$I$5:$I$204,K1337)))</f>
        <v/>
      </c>
      <c r="O1337" s="11">
        <f>IF(A1337="","",IF(K1337="",0,J1337*INDEX(Products!$H$5:$H$204,K1337)))</f>
        <v/>
      </c>
      <c r="P1337" s="11">
        <f>IF(A1337="","",J1337-M1337-N1337-O1337)</f>
        <v/>
      </c>
    </row>
    <row r="1338">
      <c r="A1338">
        <f>IFERROR(INDEX('Shopify Import'!$A:$CZ,1338,Settings!$E$20)&amp;"","")</f>
        <v/>
      </c>
      <c r="B1338">
        <f>IFERROR(INDEX('Shopify Import'!$A:$CZ,1338,Settings!$E$21)&amp;"","")</f>
        <v/>
      </c>
      <c r="C1338">
        <f>IFERROR(INDEX('Shopify Import'!$A:$CZ,1338,Settings!$E$22)&amp;"","")</f>
        <v/>
      </c>
      <c r="D1338">
        <f>IF(A1338="","",IFERROR(VALUE(SUBSTITUTE(SUBSTITUTE(INDEX('Shopify Import'!$A:$CZ,1338,Settings!$E$23)&amp;"","$",""),",","")),0))</f>
        <v/>
      </c>
      <c r="E1338" s="11">
        <f>IF(A1338="","",IFERROR(VALUE(SUBSTITUTE(SUBSTITUTE(INDEX('Shopify Import'!$A:$CZ,1338,Settings!$E$24)&amp;"","$",""),",","")),0))</f>
        <v/>
      </c>
      <c r="F1338" s="11">
        <f>IF(A1338="","",D1338*E1338)</f>
        <v/>
      </c>
      <c r="G1338">
        <f>IF(A1338="","",IF(C1338="",1,COUNTIF($C$2:$C$1501,C1338)))</f>
        <v/>
      </c>
      <c r="H1338" s="11">
        <f>IF(A1338="","",IFERROR(VALUE(SUBSTITUTE(SUBSTITUTE(INDEX('Shopify Import'!$A:$CZ,1338,Settings!$E$25)&amp;"","$",""),",","")),0)/IF(Settings!$D$27="Yes",G1338,1))</f>
        <v/>
      </c>
      <c r="I1338" s="11">
        <f>IF(A1338="","",IFERROR(VALUE(SUBSTITUTE(SUBSTITUTE(INDEX('Shopify Import'!$A:$CZ,1338,Settings!$E$26)&amp;"","$",""),",","")),0)/IF(Settings!$D$27="Yes",G1338,1))</f>
        <v/>
      </c>
      <c r="J1338" s="11">
        <f>IF(A1338="","",F1338+H1338-I1338)</f>
        <v/>
      </c>
      <c r="K1338">
        <f>IF(A1338="","",IFERROR(IF(B1338="",NA(),MATCH(B1338,Products!$B$5:$B$204,0)),IFERROR(MATCH(A1338,Products!$A$5:$A$204,0),"")))</f>
        <v/>
      </c>
      <c r="L1338">
        <f>IF(A1338="","",IF(K1338="","⚠ not in Products",INDEX(Products!$A$5:$A$204,K1338)))</f>
        <v/>
      </c>
      <c r="M1338" s="11">
        <f>IF(A1338="","",J1338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1338+IFERROR(INDEX(Settings!$D$5:$D$9,MATCH("Shopify",Settings!$A$5:$A$9,0)),0)*D1338)</f>
        <v/>
      </c>
      <c r="N1338" s="11">
        <f>IF(A1338="","",IF(K1338="",0,D1338*INDEX(Products!$I$5:$I$204,K1338)))</f>
        <v/>
      </c>
      <c r="O1338" s="11">
        <f>IF(A1338="","",IF(K1338="",0,J1338*INDEX(Products!$H$5:$H$204,K1338)))</f>
        <v/>
      </c>
      <c r="P1338" s="11">
        <f>IF(A1338="","",J1338-M1338-N1338-O1338)</f>
        <v/>
      </c>
    </row>
    <row r="1339">
      <c r="A1339">
        <f>IFERROR(INDEX('Shopify Import'!$A:$CZ,1339,Settings!$E$20)&amp;"","")</f>
        <v/>
      </c>
      <c r="B1339">
        <f>IFERROR(INDEX('Shopify Import'!$A:$CZ,1339,Settings!$E$21)&amp;"","")</f>
        <v/>
      </c>
      <c r="C1339">
        <f>IFERROR(INDEX('Shopify Import'!$A:$CZ,1339,Settings!$E$22)&amp;"","")</f>
        <v/>
      </c>
      <c r="D1339">
        <f>IF(A1339="","",IFERROR(VALUE(SUBSTITUTE(SUBSTITUTE(INDEX('Shopify Import'!$A:$CZ,1339,Settings!$E$23)&amp;"","$",""),",","")),0))</f>
        <v/>
      </c>
      <c r="E1339" s="11">
        <f>IF(A1339="","",IFERROR(VALUE(SUBSTITUTE(SUBSTITUTE(INDEX('Shopify Import'!$A:$CZ,1339,Settings!$E$24)&amp;"","$",""),",","")),0))</f>
        <v/>
      </c>
      <c r="F1339" s="11">
        <f>IF(A1339="","",D1339*E1339)</f>
        <v/>
      </c>
      <c r="G1339">
        <f>IF(A1339="","",IF(C1339="",1,COUNTIF($C$2:$C$1501,C1339)))</f>
        <v/>
      </c>
      <c r="H1339" s="11">
        <f>IF(A1339="","",IFERROR(VALUE(SUBSTITUTE(SUBSTITUTE(INDEX('Shopify Import'!$A:$CZ,1339,Settings!$E$25)&amp;"","$",""),",","")),0)/IF(Settings!$D$27="Yes",G1339,1))</f>
        <v/>
      </c>
      <c r="I1339" s="11">
        <f>IF(A1339="","",IFERROR(VALUE(SUBSTITUTE(SUBSTITUTE(INDEX('Shopify Import'!$A:$CZ,1339,Settings!$E$26)&amp;"","$",""),",","")),0)/IF(Settings!$D$27="Yes",G1339,1))</f>
        <v/>
      </c>
      <c r="J1339" s="11">
        <f>IF(A1339="","",F1339+H1339-I1339)</f>
        <v/>
      </c>
      <c r="K1339">
        <f>IF(A1339="","",IFERROR(IF(B1339="",NA(),MATCH(B1339,Products!$B$5:$B$204,0)),IFERROR(MATCH(A1339,Products!$A$5:$A$204,0),"")))</f>
        <v/>
      </c>
      <c r="L1339">
        <f>IF(A1339="","",IF(K1339="","⚠ not in Products",INDEX(Products!$A$5:$A$204,K1339)))</f>
        <v/>
      </c>
      <c r="M1339" s="11">
        <f>IF(A1339="","",J1339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1339+IFERROR(INDEX(Settings!$D$5:$D$9,MATCH("Shopify",Settings!$A$5:$A$9,0)),0)*D1339)</f>
        <v/>
      </c>
      <c r="N1339" s="11">
        <f>IF(A1339="","",IF(K1339="",0,D1339*INDEX(Products!$I$5:$I$204,K1339)))</f>
        <v/>
      </c>
      <c r="O1339" s="11">
        <f>IF(A1339="","",IF(K1339="",0,J1339*INDEX(Products!$H$5:$H$204,K1339)))</f>
        <v/>
      </c>
      <c r="P1339" s="11">
        <f>IF(A1339="","",J1339-M1339-N1339-O1339)</f>
        <v/>
      </c>
    </row>
    <row r="1340">
      <c r="A1340">
        <f>IFERROR(INDEX('Shopify Import'!$A:$CZ,1340,Settings!$E$20)&amp;"","")</f>
        <v/>
      </c>
      <c r="B1340">
        <f>IFERROR(INDEX('Shopify Import'!$A:$CZ,1340,Settings!$E$21)&amp;"","")</f>
        <v/>
      </c>
      <c r="C1340">
        <f>IFERROR(INDEX('Shopify Import'!$A:$CZ,1340,Settings!$E$22)&amp;"","")</f>
        <v/>
      </c>
      <c r="D1340">
        <f>IF(A1340="","",IFERROR(VALUE(SUBSTITUTE(SUBSTITUTE(INDEX('Shopify Import'!$A:$CZ,1340,Settings!$E$23)&amp;"","$",""),",","")),0))</f>
        <v/>
      </c>
      <c r="E1340" s="11">
        <f>IF(A1340="","",IFERROR(VALUE(SUBSTITUTE(SUBSTITUTE(INDEX('Shopify Import'!$A:$CZ,1340,Settings!$E$24)&amp;"","$",""),",","")),0))</f>
        <v/>
      </c>
      <c r="F1340" s="11">
        <f>IF(A1340="","",D1340*E1340)</f>
        <v/>
      </c>
      <c r="G1340">
        <f>IF(A1340="","",IF(C1340="",1,COUNTIF($C$2:$C$1501,C1340)))</f>
        <v/>
      </c>
      <c r="H1340" s="11">
        <f>IF(A1340="","",IFERROR(VALUE(SUBSTITUTE(SUBSTITUTE(INDEX('Shopify Import'!$A:$CZ,1340,Settings!$E$25)&amp;"","$",""),",","")),0)/IF(Settings!$D$27="Yes",G1340,1))</f>
        <v/>
      </c>
      <c r="I1340" s="11">
        <f>IF(A1340="","",IFERROR(VALUE(SUBSTITUTE(SUBSTITUTE(INDEX('Shopify Import'!$A:$CZ,1340,Settings!$E$26)&amp;"","$",""),",","")),0)/IF(Settings!$D$27="Yes",G1340,1))</f>
        <v/>
      </c>
      <c r="J1340" s="11">
        <f>IF(A1340="","",F1340+H1340-I1340)</f>
        <v/>
      </c>
      <c r="K1340">
        <f>IF(A1340="","",IFERROR(IF(B1340="",NA(),MATCH(B1340,Products!$B$5:$B$204,0)),IFERROR(MATCH(A1340,Products!$A$5:$A$204,0),"")))</f>
        <v/>
      </c>
      <c r="L1340">
        <f>IF(A1340="","",IF(K1340="","⚠ not in Products",INDEX(Products!$A$5:$A$204,K1340)))</f>
        <v/>
      </c>
      <c r="M1340" s="11">
        <f>IF(A1340="","",J1340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1340+IFERROR(INDEX(Settings!$D$5:$D$9,MATCH("Shopify",Settings!$A$5:$A$9,0)),0)*D1340)</f>
        <v/>
      </c>
      <c r="N1340" s="11">
        <f>IF(A1340="","",IF(K1340="",0,D1340*INDEX(Products!$I$5:$I$204,K1340)))</f>
        <v/>
      </c>
      <c r="O1340" s="11">
        <f>IF(A1340="","",IF(K1340="",0,J1340*INDEX(Products!$H$5:$H$204,K1340)))</f>
        <v/>
      </c>
      <c r="P1340" s="11">
        <f>IF(A1340="","",J1340-M1340-N1340-O1340)</f>
        <v/>
      </c>
    </row>
    <row r="1341">
      <c r="A1341">
        <f>IFERROR(INDEX('Shopify Import'!$A:$CZ,1341,Settings!$E$20)&amp;"","")</f>
        <v/>
      </c>
      <c r="B1341">
        <f>IFERROR(INDEX('Shopify Import'!$A:$CZ,1341,Settings!$E$21)&amp;"","")</f>
        <v/>
      </c>
      <c r="C1341">
        <f>IFERROR(INDEX('Shopify Import'!$A:$CZ,1341,Settings!$E$22)&amp;"","")</f>
        <v/>
      </c>
      <c r="D1341">
        <f>IF(A1341="","",IFERROR(VALUE(SUBSTITUTE(SUBSTITUTE(INDEX('Shopify Import'!$A:$CZ,1341,Settings!$E$23)&amp;"","$",""),",","")),0))</f>
        <v/>
      </c>
      <c r="E1341" s="11">
        <f>IF(A1341="","",IFERROR(VALUE(SUBSTITUTE(SUBSTITUTE(INDEX('Shopify Import'!$A:$CZ,1341,Settings!$E$24)&amp;"","$",""),",","")),0))</f>
        <v/>
      </c>
      <c r="F1341" s="11">
        <f>IF(A1341="","",D1341*E1341)</f>
        <v/>
      </c>
      <c r="G1341">
        <f>IF(A1341="","",IF(C1341="",1,COUNTIF($C$2:$C$1501,C1341)))</f>
        <v/>
      </c>
      <c r="H1341" s="11">
        <f>IF(A1341="","",IFERROR(VALUE(SUBSTITUTE(SUBSTITUTE(INDEX('Shopify Import'!$A:$CZ,1341,Settings!$E$25)&amp;"","$",""),",","")),0)/IF(Settings!$D$27="Yes",G1341,1))</f>
        <v/>
      </c>
      <c r="I1341" s="11">
        <f>IF(A1341="","",IFERROR(VALUE(SUBSTITUTE(SUBSTITUTE(INDEX('Shopify Import'!$A:$CZ,1341,Settings!$E$26)&amp;"","$",""),",","")),0)/IF(Settings!$D$27="Yes",G1341,1))</f>
        <v/>
      </c>
      <c r="J1341" s="11">
        <f>IF(A1341="","",F1341+H1341-I1341)</f>
        <v/>
      </c>
      <c r="K1341">
        <f>IF(A1341="","",IFERROR(IF(B1341="",NA(),MATCH(B1341,Products!$B$5:$B$204,0)),IFERROR(MATCH(A1341,Products!$A$5:$A$204,0),"")))</f>
        <v/>
      </c>
      <c r="L1341">
        <f>IF(A1341="","",IF(K1341="","⚠ not in Products",INDEX(Products!$A$5:$A$204,K1341)))</f>
        <v/>
      </c>
      <c r="M1341" s="11">
        <f>IF(A1341="","",J1341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1341+IFERROR(INDEX(Settings!$D$5:$D$9,MATCH("Shopify",Settings!$A$5:$A$9,0)),0)*D1341)</f>
        <v/>
      </c>
      <c r="N1341" s="11">
        <f>IF(A1341="","",IF(K1341="",0,D1341*INDEX(Products!$I$5:$I$204,K1341)))</f>
        <v/>
      </c>
      <c r="O1341" s="11">
        <f>IF(A1341="","",IF(K1341="",0,J1341*INDEX(Products!$H$5:$H$204,K1341)))</f>
        <v/>
      </c>
      <c r="P1341" s="11">
        <f>IF(A1341="","",J1341-M1341-N1341-O1341)</f>
        <v/>
      </c>
    </row>
    <row r="1342">
      <c r="A1342">
        <f>IFERROR(INDEX('Shopify Import'!$A:$CZ,1342,Settings!$E$20)&amp;"","")</f>
        <v/>
      </c>
      <c r="B1342">
        <f>IFERROR(INDEX('Shopify Import'!$A:$CZ,1342,Settings!$E$21)&amp;"","")</f>
        <v/>
      </c>
      <c r="C1342">
        <f>IFERROR(INDEX('Shopify Import'!$A:$CZ,1342,Settings!$E$22)&amp;"","")</f>
        <v/>
      </c>
      <c r="D1342">
        <f>IF(A1342="","",IFERROR(VALUE(SUBSTITUTE(SUBSTITUTE(INDEX('Shopify Import'!$A:$CZ,1342,Settings!$E$23)&amp;"","$",""),",","")),0))</f>
        <v/>
      </c>
      <c r="E1342" s="11">
        <f>IF(A1342="","",IFERROR(VALUE(SUBSTITUTE(SUBSTITUTE(INDEX('Shopify Import'!$A:$CZ,1342,Settings!$E$24)&amp;"","$",""),",","")),0))</f>
        <v/>
      </c>
      <c r="F1342" s="11">
        <f>IF(A1342="","",D1342*E1342)</f>
        <v/>
      </c>
      <c r="G1342">
        <f>IF(A1342="","",IF(C1342="",1,COUNTIF($C$2:$C$1501,C1342)))</f>
        <v/>
      </c>
      <c r="H1342" s="11">
        <f>IF(A1342="","",IFERROR(VALUE(SUBSTITUTE(SUBSTITUTE(INDEX('Shopify Import'!$A:$CZ,1342,Settings!$E$25)&amp;"","$",""),",","")),0)/IF(Settings!$D$27="Yes",G1342,1))</f>
        <v/>
      </c>
      <c r="I1342" s="11">
        <f>IF(A1342="","",IFERROR(VALUE(SUBSTITUTE(SUBSTITUTE(INDEX('Shopify Import'!$A:$CZ,1342,Settings!$E$26)&amp;"","$",""),",","")),0)/IF(Settings!$D$27="Yes",G1342,1))</f>
        <v/>
      </c>
      <c r="J1342" s="11">
        <f>IF(A1342="","",F1342+H1342-I1342)</f>
        <v/>
      </c>
      <c r="K1342">
        <f>IF(A1342="","",IFERROR(IF(B1342="",NA(),MATCH(B1342,Products!$B$5:$B$204,0)),IFERROR(MATCH(A1342,Products!$A$5:$A$204,0),"")))</f>
        <v/>
      </c>
      <c r="L1342">
        <f>IF(A1342="","",IF(K1342="","⚠ not in Products",INDEX(Products!$A$5:$A$204,K1342)))</f>
        <v/>
      </c>
      <c r="M1342" s="11">
        <f>IF(A1342="","",J1342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1342+IFERROR(INDEX(Settings!$D$5:$D$9,MATCH("Shopify",Settings!$A$5:$A$9,0)),0)*D1342)</f>
        <v/>
      </c>
      <c r="N1342" s="11">
        <f>IF(A1342="","",IF(K1342="",0,D1342*INDEX(Products!$I$5:$I$204,K1342)))</f>
        <v/>
      </c>
      <c r="O1342" s="11">
        <f>IF(A1342="","",IF(K1342="",0,J1342*INDEX(Products!$H$5:$H$204,K1342)))</f>
        <v/>
      </c>
      <c r="P1342" s="11">
        <f>IF(A1342="","",J1342-M1342-N1342-O1342)</f>
        <v/>
      </c>
    </row>
    <row r="1343">
      <c r="A1343">
        <f>IFERROR(INDEX('Shopify Import'!$A:$CZ,1343,Settings!$E$20)&amp;"","")</f>
        <v/>
      </c>
      <c r="B1343">
        <f>IFERROR(INDEX('Shopify Import'!$A:$CZ,1343,Settings!$E$21)&amp;"","")</f>
        <v/>
      </c>
      <c r="C1343">
        <f>IFERROR(INDEX('Shopify Import'!$A:$CZ,1343,Settings!$E$22)&amp;"","")</f>
        <v/>
      </c>
      <c r="D1343">
        <f>IF(A1343="","",IFERROR(VALUE(SUBSTITUTE(SUBSTITUTE(INDEX('Shopify Import'!$A:$CZ,1343,Settings!$E$23)&amp;"","$",""),",","")),0))</f>
        <v/>
      </c>
      <c r="E1343" s="11">
        <f>IF(A1343="","",IFERROR(VALUE(SUBSTITUTE(SUBSTITUTE(INDEX('Shopify Import'!$A:$CZ,1343,Settings!$E$24)&amp;"","$",""),",","")),0))</f>
        <v/>
      </c>
      <c r="F1343" s="11">
        <f>IF(A1343="","",D1343*E1343)</f>
        <v/>
      </c>
      <c r="G1343">
        <f>IF(A1343="","",IF(C1343="",1,COUNTIF($C$2:$C$1501,C1343)))</f>
        <v/>
      </c>
      <c r="H1343" s="11">
        <f>IF(A1343="","",IFERROR(VALUE(SUBSTITUTE(SUBSTITUTE(INDEX('Shopify Import'!$A:$CZ,1343,Settings!$E$25)&amp;"","$",""),",","")),0)/IF(Settings!$D$27="Yes",G1343,1))</f>
        <v/>
      </c>
      <c r="I1343" s="11">
        <f>IF(A1343="","",IFERROR(VALUE(SUBSTITUTE(SUBSTITUTE(INDEX('Shopify Import'!$A:$CZ,1343,Settings!$E$26)&amp;"","$",""),",","")),0)/IF(Settings!$D$27="Yes",G1343,1))</f>
        <v/>
      </c>
      <c r="J1343" s="11">
        <f>IF(A1343="","",F1343+H1343-I1343)</f>
        <v/>
      </c>
      <c r="K1343">
        <f>IF(A1343="","",IFERROR(IF(B1343="",NA(),MATCH(B1343,Products!$B$5:$B$204,0)),IFERROR(MATCH(A1343,Products!$A$5:$A$204,0),"")))</f>
        <v/>
      </c>
      <c r="L1343">
        <f>IF(A1343="","",IF(K1343="","⚠ not in Products",INDEX(Products!$A$5:$A$204,K1343)))</f>
        <v/>
      </c>
      <c r="M1343" s="11">
        <f>IF(A1343="","",J1343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1343+IFERROR(INDEX(Settings!$D$5:$D$9,MATCH("Shopify",Settings!$A$5:$A$9,0)),0)*D1343)</f>
        <v/>
      </c>
      <c r="N1343" s="11">
        <f>IF(A1343="","",IF(K1343="",0,D1343*INDEX(Products!$I$5:$I$204,K1343)))</f>
        <v/>
      </c>
      <c r="O1343" s="11">
        <f>IF(A1343="","",IF(K1343="",0,J1343*INDEX(Products!$H$5:$H$204,K1343)))</f>
        <v/>
      </c>
      <c r="P1343" s="11">
        <f>IF(A1343="","",J1343-M1343-N1343-O1343)</f>
        <v/>
      </c>
    </row>
    <row r="1344">
      <c r="A1344">
        <f>IFERROR(INDEX('Shopify Import'!$A:$CZ,1344,Settings!$E$20)&amp;"","")</f>
        <v/>
      </c>
      <c r="B1344">
        <f>IFERROR(INDEX('Shopify Import'!$A:$CZ,1344,Settings!$E$21)&amp;"","")</f>
        <v/>
      </c>
      <c r="C1344">
        <f>IFERROR(INDEX('Shopify Import'!$A:$CZ,1344,Settings!$E$22)&amp;"","")</f>
        <v/>
      </c>
      <c r="D1344">
        <f>IF(A1344="","",IFERROR(VALUE(SUBSTITUTE(SUBSTITUTE(INDEX('Shopify Import'!$A:$CZ,1344,Settings!$E$23)&amp;"","$",""),",","")),0))</f>
        <v/>
      </c>
      <c r="E1344" s="11">
        <f>IF(A1344="","",IFERROR(VALUE(SUBSTITUTE(SUBSTITUTE(INDEX('Shopify Import'!$A:$CZ,1344,Settings!$E$24)&amp;"","$",""),",","")),0))</f>
        <v/>
      </c>
      <c r="F1344" s="11">
        <f>IF(A1344="","",D1344*E1344)</f>
        <v/>
      </c>
      <c r="G1344">
        <f>IF(A1344="","",IF(C1344="",1,COUNTIF($C$2:$C$1501,C1344)))</f>
        <v/>
      </c>
      <c r="H1344" s="11">
        <f>IF(A1344="","",IFERROR(VALUE(SUBSTITUTE(SUBSTITUTE(INDEX('Shopify Import'!$A:$CZ,1344,Settings!$E$25)&amp;"","$",""),",","")),0)/IF(Settings!$D$27="Yes",G1344,1))</f>
        <v/>
      </c>
      <c r="I1344" s="11">
        <f>IF(A1344="","",IFERROR(VALUE(SUBSTITUTE(SUBSTITUTE(INDEX('Shopify Import'!$A:$CZ,1344,Settings!$E$26)&amp;"","$",""),",","")),0)/IF(Settings!$D$27="Yes",G1344,1))</f>
        <v/>
      </c>
      <c r="J1344" s="11">
        <f>IF(A1344="","",F1344+H1344-I1344)</f>
        <v/>
      </c>
      <c r="K1344">
        <f>IF(A1344="","",IFERROR(IF(B1344="",NA(),MATCH(B1344,Products!$B$5:$B$204,0)),IFERROR(MATCH(A1344,Products!$A$5:$A$204,0),"")))</f>
        <v/>
      </c>
      <c r="L1344">
        <f>IF(A1344="","",IF(K1344="","⚠ not in Products",INDEX(Products!$A$5:$A$204,K1344)))</f>
        <v/>
      </c>
      <c r="M1344" s="11">
        <f>IF(A1344="","",J1344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1344+IFERROR(INDEX(Settings!$D$5:$D$9,MATCH("Shopify",Settings!$A$5:$A$9,0)),0)*D1344)</f>
        <v/>
      </c>
      <c r="N1344" s="11">
        <f>IF(A1344="","",IF(K1344="",0,D1344*INDEX(Products!$I$5:$I$204,K1344)))</f>
        <v/>
      </c>
      <c r="O1344" s="11">
        <f>IF(A1344="","",IF(K1344="",0,J1344*INDEX(Products!$H$5:$H$204,K1344)))</f>
        <v/>
      </c>
      <c r="P1344" s="11">
        <f>IF(A1344="","",J1344-M1344-N1344-O1344)</f>
        <v/>
      </c>
    </row>
    <row r="1345">
      <c r="A1345">
        <f>IFERROR(INDEX('Shopify Import'!$A:$CZ,1345,Settings!$E$20)&amp;"","")</f>
        <v/>
      </c>
      <c r="B1345">
        <f>IFERROR(INDEX('Shopify Import'!$A:$CZ,1345,Settings!$E$21)&amp;"","")</f>
        <v/>
      </c>
      <c r="C1345">
        <f>IFERROR(INDEX('Shopify Import'!$A:$CZ,1345,Settings!$E$22)&amp;"","")</f>
        <v/>
      </c>
      <c r="D1345">
        <f>IF(A1345="","",IFERROR(VALUE(SUBSTITUTE(SUBSTITUTE(INDEX('Shopify Import'!$A:$CZ,1345,Settings!$E$23)&amp;"","$",""),",","")),0))</f>
        <v/>
      </c>
      <c r="E1345" s="11">
        <f>IF(A1345="","",IFERROR(VALUE(SUBSTITUTE(SUBSTITUTE(INDEX('Shopify Import'!$A:$CZ,1345,Settings!$E$24)&amp;"","$",""),",","")),0))</f>
        <v/>
      </c>
      <c r="F1345" s="11">
        <f>IF(A1345="","",D1345*E1345)</f>
        <v/>
      </c>
      <c r="G1345">
        <f>IF(A1345="","",IF(C1345="",1,COUNTIF($C$2:$C$1501,C1345)))</f>
        <v/>
      </c>
      <c r="H1345" s="11">
        <f>IF(A1345="","",IFERROR(VALUE(SUBSTITUTE(SUBSTITUTE(INDEX('Shopify Import'!$A:$CZ,1345,Settings!$E$25)&amp;"","$",""),",","")),0)/IF(Settings!$D$27="Yes",G1345,1))</f>
        <v/>
      </c>
      <c r="I1345" s="11">
        <f>IF(A1345="","",IFERROR(VALUE(SUBSTITUTE(SUBSTITUTE(INDEX('Shopify Import'!$A:$CZ,1345,Settings!$E$26)&amp;"","$",""),",","")),0)/IF(Settings!$D$27="Yes",G1345,1))</f>
        <v/>
      </c>
      <c r="J1345" s="11">
        <f>IF(A1345="","",F1345+H1345-I1345)</f>
        <v/>
      </c>
      <c r="K1345">
        <f>IF(A1345="","",IFERROR(IF(B1345="",NA(),MATCH(B1345,Products!$B$5:$B$204,0)),IFERROR(MATCH(A1345,Products!$A$5:$A$204,0),"")))</f>
        <v/>
      </c>
      <c r="L1345">
        <f>IF(A1345="","",IF(K1345="","⚠ not in Products",INDEX(Products!$A$5:$A$204,K1345)))</f>
        <v/>
      </c>
      <c r="M1345" s="11">
        <f>IF(A1345="","",J1345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1345+IFERROR(INDEX(Settings!$D$5:$D$9,MATCH("Shopify",Settings!$A$5:$A$9,0)),0)*D1345)</f>
        <v/>
      </c>
      <c r="N1345" s="11">
        <f>IF(A1345="","",IF(K1345="",0,D1345*INDEX(Products!$I$5:$I$204,K1345)))</f>
        <v/>
      </c>
      <c r="O1345" s="11">
        <f>IF(A1345="","",IF(K1345="",0,J1345*INDEX(Products!$H$5:$H$204,K1345)))</f>
        <v/>
      </c>
      <c r="P1345" s="11">
        <f>IF(A1345="","",J1345-M1345-N1345-O1345)</f>
        <v/>
      </c>
    </row>
    <row r="1346">
      <c r="A1346">
        <f>IFERROR(INDEX('Shopify Import'!$A:$CZ,1346,Settings!$E$20)&amp;"","")</f>
        <v/>
      </c>
      <c r="B1346">
        <f>IFERROR(INDEX('Shopify Import'!$A:$CZ,1346,Settings!$E$21)&amp;"","")</f>
        <v/>
      </c>
      <c r="C1346">
        <f>IFERROR(INDEX('Shopify Import'!$A:$CZ,1346,Settings!$E$22)&amp;"","")</f>
        <v/>
      </c>
      <c r="D1346">
        <f>IF(A1346="","",IFERROR(VALUE(SUBSTITUTE(SUBSTITUTE(INDEX('Shopify Import'!$A:$CZ,1346,Settings!$E$23)&amp;"","$",""),",","")),0))</f>
        <v/>
      </c>
      <c r="E1346" s="11">
        <f>IF(A1346="","",IFERROR(VALUE(SUBSTITUTE(SUBSTITUTE(INDEX('Shopify Import'!$A:$CZ,1346,Settings!$E$24)&amp;"","$",""),",","")),0))</f>
        <v/>
      </c>
      <c r="F1346" s="11">
        <f>IF(A1346="","",D1346*E1346)</f>
        <v/>
      </c>
      <c r="G1346">
        <f>IF(A1346="","",IF(C1346="",1,COUNTIF($C$2:$C$1501,C1346)))</f>
        <v/>
      </c>
      <c r="H1346" s="11">
        <f>IF(A1346="","",IFERROR(VALUE(SUBSTITUTE(SUBSTITUTE(INDEX('Shopify Import'!$A:$CZ,1346,Settings!$E$25)&amp;"","$",""),",","")),0)/IF(Settings!$D$27="Yes",G1346,1))</f>
        <v/>
      </c>
      <c r="I1346" s="11">
        <f>IF(A1346="","",IFERROR(VALUE(SUBSTITUTE(SUBSTITUTE(INDEX('Shopify Import'!$A:$CZ,1346,Settings!$E$26)&amp;"","$",""),",","")),0)/IF(Settings!$D$27="Yes",G1346,1))</f>
        <v/>
      </c>
      <c r="J1346" s="11">
        <f>IF(A1346="","",F1346+H1346-I1346)</f>
        <v/>
      </c>
      <c r="K1346">
        <f>IF(A1346="","",IFERROR(IF(B1346="",NA(),MATCH(B1346,Products!$B$5:$B$204,0)),IFERROR(MATCH(A1346,Products!$A$5:$A$204,0),"")))</f>
        <v/>
      </c>
      <c r="L1346">
        <f>IF(A1346="","",IF(K1346="","⚠ not in Products",INDEX(Products!$A$5:$A$204,K1346)))</f>
        <v/>
      </c>
      <c r="M1346" s="11">
        <f>IF(A1346="","",J1346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1346+IFERROR(INDEX(Settings!$D$5:$D$9,MATCH("Shopify",Settings!$A$5:$A$9,0)),0)*D1346)</f>
        <v/>
      </c>
      <c r="N1346" s="11">
        <f>IF(A1346="","",IF(K1346="",0,D1346*INDEX(Products!$I$5:$I$204,K1346)))</f>
        <v/>
      </c>
      <c r="O1346" s="11">
        <f>IF(A1346="","",IF(K1346="",0,J1346*INDEX(Products!$H$5:$H$204,K1346)))</f>
        <v/>
      </c>
      <c r="P1346" s="11">
        <f>IF(A1346="","",J1346-M1346-N1346-O1346)</f>
        <v/>
      </c>
    </row>
    <row r="1347">
      <c r="A1347">
        <f>IFERROR(INDEX('Shopify Import'!$A:$CZ,1347,Settings!$E$20)&amp;"","")</f>
        <v/>
      </c>
      <c r="B1347">
        <f>IFERROR(INDEX('Shopify Import'!$A:$CZ,1347,Settings!$E$21)&amp;"","")</f>
        <v/>
      </c>
      <c r="C1347">
        <f>IFERROR(INDEX('Shopify Import'!$A:$CZ,1347,Settings!$E$22)&amp;"","")</f>
        <v/>
      </c>
      <c r="D1347">
        <f>IF(A1347="","",IFERROR(VALUE(SUBSTITUTE(SUBSTITUTE(INDEX('Shopify Import'!$A:$CZ,1347,Settings!$E$23)&amp;"","$",""),",","")),0))</f>
        <v/>
      </c>
      <c r="E1347" s="11">
        <f>IF(A1347="","",IFERROR(VALUE(SUBSTITUTE(SUBSTITUTE(INDEX('Shopify Import'!$A:$CZ,1347,Settings!$E$24)&amp;"","$",""),",","")),0))</f>
        <v/>
      </c>
      <c r="F1347" s="11">
        <f>IF(A1347="","",D1347*E1347)</f>
        <v/>
      </c>
      <c r="G1347">
        <f>IF(A1347="","",IF(C1347="",1,COUNTIF($C$2:$C$1501,C1347)))</f>
        <v/>
      </c>
      <c r="H1347" s="11">
        <f>IF(A1347="","",IFERROR(VALUE(SUBSTITUTE(SUBSTITUTE(INDEX('Shopify Import'!$A:$CZ,1347,Settings!$E$25)&amp;"","$",""),",","")),0)/IF(Settings!$D$27="Yes",G1347,1))</f>
        <v/>
      </c>
      <c r="I1347" s="11">
        <f>IF(A1347="","",IFERROR(VALUE(SUBSTITUTE(SUBSTITUTE(INDEX('Shopify Import'!$A:$CZ,1347,Settings!$E$26)&amp;"","$",""),",","")),0)/IF(Settings!$D$27="Yes",G1347,1))</f>
        <v/>
      </c>
      <c r="J1347" s="11">
        <f>IF(A1347="","",F1347+H1347-I1347)</f>
        <v/>
      </c>
      <c r="K1347">
        <f>IF(A1347="","",IFERROR(IF(B1347="",NA(),MATCH(B1347,Products!$B$5:$B$204,0)),IFERROR(MATCH(A1347,Products!$A$5:$A$204,0),"")))</f>
        <v/>
      </c>
      <c r="L1347">
        <f>IF(A1347="","",IF(K1347="","⚠ not in Products",INDEX(Products!$A$5:$A$204,K1347)))</f>
        <v/>
      </c>
      <c r="M1347" s="11">
        <f>IF(A1347="","",J1347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1347+IFERROR(INDEX(Settings!$D$5:$D$9,MATCH("Shopify",Settings!$A$5:$A$9,0)),0)*D1347)</f>
        <v/>
      </c>
      <c r="N1347" s="11">
        <f>IF(A1347="","",IF(K1347="",0,D1347*INDEX(Products!$I$5:$I$204,K1347)))</f>
        <v/>
      </c>
      <c r="O1347" s="11">
        <f>IF(A1347="","",IF(K1347="",0,J1347*INDEX(Products!$H$5:$H$204,K1347)))</f>
        <v/>
      </c>
      <c r="P1347" s="11">
        <f>IF(A1347="","",J1347-M1347-N1347-O1347)</f>
        <v/>
      </c>
    </row>
    <row r="1348">
      <c r="A1348">
        <f>IFERROR(INDEX('Shopify Import'!$A:$CZ,1348,Settings!$E$20)&amp;"","")</f>
        <v/>
      </c>
      <c r="B1348">
        <f>IFERROR(INDEX('Shopify Import'!$A:$CZ,1348,Settings!$E$21)&amp;"","")</f>
        <v/>
      </c>
      <c r="C1348">
        <f>IFERROR(INDEX('Shopify Import'!$A:$CZ,1348,Settings!$E$22)&amp;"","")</f>
        <v/>
      </c>
      <c r="D1348">
        <f>IF(A1348="","",IFERROR(VALUE(SUBSTITUTE(SUBSTITUTE(INDEX('Shopify Import'!$A:$CZ,1348,Settings!$E$23)&amp;"","$",""),",","")),0))</f>
        <v/>
      </c>
      <c r="E1348" s="11">
        <f>IF(A1348="","",IFERROR(VALUE(SUBSTITUTE(SUBSTITUTE(INDEX('Shopify Import'!$A:$CZ,1348,Settings!$E$24)&amp;"","$",""),",","")),0))</f>
        <v/>
      </c>
      <c r="F1348" s="11">
        <f>IF(A1348="","",D1348*E1348)</f>
        <v/>
      </c>
      <c r="G1348">
        <f>IF(A1348="","",IF(C1348="",1,COUNTIF($C$2:$C$1501,C1348)))</f>
        <v/>
      </c>
      <c r="H1348" s="11">
        <f>IF(A1348="","",IFERROR(VALUE(SUBSTITUTE(SUBSTITUTE(INDEX('Shopify Import'!$A:$CZ,1348,Settings!$E$25)&amp;"","$",""),",","")),0)/IF(Settings!$D$27="Yes",G1348,1))</f>
        <v/>
      </c>
      <c r="I1348" s="11">
        <f>IF(A1348="","",IFERROR(VALUE(SUBSTITUTE(SUBSTITUTE(INDEX('Shopify Import'!$A:$CZ,1348,Settings!$E$26)&amp;"","$",""),",","")),0)/IF(Settings!$D$27="Yes",G1348,1))</f>
        <v/>
      </c>
      <c r="J1348" s="11">
        <f>IF(A1348="","",F1348+H1348-I1348)</f>
        <v/>
      </c>
      <c r="K1348">
        <f>IF(A1348="","",IFERROR(IF(B1348="",NA(),MATCH(B1348,Products!$B$5:$B$204,0)),IFERROR(MATCH(A1348,Products!$A$5:$A$204,0),"")))</f>
        <v/>
      </c>
      <c r="L1348">
        <f>IF(A1348="","",IF(K1348="","⚠ not in Products",INDEX(Products!$A$5:$A$204,K1348)))</f>
        <v/>
      </c>
      <c r="M1348" s="11">
        <f>IF(A1348="","",J1348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1348+IFERROR(INDEX(Settings!$D$5:$D$9,MATCH("Shopify",Settings!$A$5:$A$9,0)),0)*D1348)</f>
        <v/>
      </c>
      <c r="N1348" s="11">
        <f>IF(A1348="","",IF(K1348="",0,D1348*INDEX(Products!$I$5:$I$204,K1348)))</f>
        <v/>
      </c>
      <c r="O1348" s="11">
        <f>IF(A1348="","",IF(K1348="",0,J1348*INDEX(Products!$H$5:$H$204,K1348)))</f>
        <v/>
      </c>
      <c r="P1348" s="11">
        <f>IF(A1348="","",J1348-M1348-N1348-O1348)</f>
        <v/>
      </c>
    </row>
    <row r="1349">
      <c r="A1349">
        <f>IFERROR(INDEX('Shopify Import'!$A:$CZ,1349,Settings!$E$20)&amp;"","")</f>
        <v/>
      </c>
      <c r="B1349">
        <f>IFERROR(INDEX('Shopify Import'!$A:$CZ,1349,Settings!$E$21)&amp;"","")</f>
        <v/>
      </c>
      <c r="C1349">
        <f>IFERROR(INDEX('Shopify Import'!$A:$CZ,1349,Settings!$E$22)&amp;"","")</f>
        <v/>
      </c>
      <c r="D1349">
        <f>IF(A1349="","",IFERROR(VALUE(SUBSTITUTE(SUBSTITUTE(INDEX('Shopify Import'!$A:$CZ,1349,Settings!$E$23)&amp;"","$",""),",","")),0))</f>
        <v/>
      </c>
      <c r="E1349" s="11">
        <f>IF(A1349="","",IFERROR(VALUE(SUBSTITUTE(SUBSTITUTE(INDEX('Shopify Import'!$A:$CZ,1349,Settings!$E$24)&amp;"","$",""),",","")),0))</f>
        <v/>
      </c>
      <c r="F1349" s="11">
        <f>IF(A1349="","",D1349*E1349)</f>
        <v/>
      </c>
      <c r="G1349">
        <f>IF(A1349="","",IF(C1349="",1,COUNTIF($C$2:$C$1501,C1349)))</f>
        <v/>
      </c>
      <c r="H1349" s="11">
        <f>IF(A1349="","",IFERROR(VALUE(SUBSTITUTE(SUBSTITUTE(INDEX('Shopify Import'!$A:$CZ,1349,Settings!$E$25)&amp;"","$",""),",","")),0)/IF(Settings!$D$27="Yes",G1349,1))</f>
        <v/>
      </c>
      <c r="I1349" s="11">
        <f>IF(A1349="","",IFERROR(VALUE(SUBSTITUTE(SUBSTITUTE(INDEX('Shopify Import'!$A:$CZ,1349,Settings!$E$26)&amp;"","$",""),",","")),0)/IF(Settings!$D$27="Yes",G1349,1))</f>
        <v/>
      </c>
      <c r="J1349" s="11">
        <f>IF(A1349="","",F1349+H1349-I1349)</f>
        <v/>
      </c>
      <c r="K1349">
        <f>IF(A1349="","",IFERROR(IF(B1349="",NA(),MATCH(B1349,Products!$B$5:$B$204,0)),IFERROR(MATCH(A1349,Products!$A$5:$A$204,0),"")))</f>
        <v/>
      </c>
      <c r="L1349">
        <f>IF(A1349="","",IF(K1349="","⚠ not in Products",INDEX(Products!$A$5:$A$204,K1349)))</f>
        <v/>
      </c>
      <c r="M1349" s="11">
        <f>IF(A1349="","",J1349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1349+IFERROR(INDEX(Settings!$D$5:$D$9,MATCH("Shopify",Settings!$A$5:$A$9,0)),0)*D1349)</f>
        <v/>
      </c>
      <c r="N1349" s="11">
        <f>IF(A1349="","",IF(K1349="",0,D1349*INDEX(Products!$I$5:$I$204,K1349)))</f>
        <v/>
      </c>
      <c r="O1349" s="11">
        <f>IF(A1349="","",IF(K1349="",0,J1349*INDEX(Products!$H$5:$H$204,K1349)))</f>
        <v/>
      </c>
      <c r="P1349" s="11">
        <f>IF(A1349="","",J1349-M1349-N1349-O1349)</f>
        <v/>
      </c>
    </row>
    <row r="1350">
      <c r="A1350">
        <f>IFERROR(INDEX('Shopify Import'!$A:$CZ,1350,Settings!$E$20)&amp;"","")</f>
        <v/>
      </c>
      <c r="B1350">
        <f>IFERROR(INDEX('Shopify Import'!$A:$CZ,1350,Settings!$E$21)&amp;"","")</f>
        <v/>
      </c>
      <c r="C1350">
        <f>IFERROR(INDEX('Shopify Import'!$A:$CZ,1350,Settings!$E$22)&amp;"","")</f>
        <v/>
      </c>
      <c r="D1350">
        <f>IF(A1350="","",IFERROR(VALUE(SUBSTITUTE(SUBSTITUTE(INDEX('Shopify Import'!$A:$CZ,1350,Settings!$E$23)&amp;"","$",""),",","")),0))</f>
        <v/>
      </c>
      <c r="E1350" s="11">
        <f>IF(A1350="","",IFERROR(VALUE(SUBSTITUTE(SUBSTITUTE(INDEX('Shopify Import'!$A:$CZ,1350,Settings!$E$24)&amp;"","$",""),",","")),0))</f>
        <v/>
      </c>
      <c r="F1350" s="11">
        <f>IF(A1350="","",D1350*E1350)</f>
        <v/>
      </c>
      <c r="G1350">
        <f>IF(A1350="","",IF(C1350="",1,COUNTIF($C$2:$C$1501,C1350)))</f>
        <v/>
      </c>
      <c r="H1350" s="11">
        <f>IF(A1350="","",IFERROR(VALUE(SUBSTITUTE(SUBSTITUTE(INDEX('Shopify Import'!$A:$CZ,1350,Settings!$E$25)&amp;"","$",""),",","")),0)/IF(Settings!$D$27="Yes",G1350,1))</f>
        <v/>
      </c>
      <c r="I1350" s="11">
        <f>IF(A1350="","",IFERROR(VALUE(SUBSTITUTE(SUBSTITUTE(INDEX('Shopify Import'!$A:$CZ,1350,Settings!$E$26)&amp;"","$",""),",","")),0)/IF(Settings!$D$27="Yes",G1350,1))</f>
        <v/>
      </c>
      <c r="J1350" s="11">
        <f>IF(A1350="","",F1350+H1350-I1350)</f>
        <v/>
      </c>
      <c r="K1350">
        <f>IF(A1350="","",IFERROR(IF(B1350="",NA(),MATCH(B1350,Products!$B$5:$B$204,0)),IFERROR(MATCH(A1350,Products!$A$5:$A$204,0),"")))</f>
        <v/>
      </c>
      <c r="L1350">
        <f>IF(A1350="","",IF(K1350="","⚠ not in Products",INDEX(Products!$A$5:$A$204,K1350)))</f>
        <v/>
      </c>
      <c r="M1350" s="11">
        <f>IF(A1350="","",J1350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1350+IFERROR(INDEX(Settings!$D$5:$D$9,MATCH("Shopify",Settings!$A$5:$A$9,0)),0)*D1350)</f>
        <v/>
      </c>
      <c r="N1350" s="11">
        <f>IF(A1350="","",IF(K1350="",0,D1350*INDEX(Products!$I$5:$I$204,K1350)))</f>
        <v/>
      </c>
      <c r="O1350" s="11">
        <f>IF(A1350="","",IF(K1350="",0,J1350*INDEX(Products!$H$5:$H$204,K1350)))</f>
        <v/>
      </c>
      <c r="P1350" s="11">
        <f>IF(A1350="","",J1350-M1350-N1350-O1350)</f>
        <v/>
      </c>
    </row>
    <row r="1351">
      <c r="A1351">
        <f>IFERROR(INDEX('Shopify Import'!$A:$CZ,1351,Settings!$E$20)&amp;"","")</f>
        <v/>
      </c>
      <c r="B1351">
        <f>IFERROR(INDEX('Shopify Import'!$A:$CZ,1351,Settings!$E$21)&amp;"","")</f>
        <v/>
      </c>
      <c r="C1351">
        <f>IFERROR(INDEX('Shopify Import'!$A:$CZ,1351,Settings!$E$22)&amp;"","")</f>
        <v/>
      </c>
      <c r="D1351">
        <f>IF(A1351="","",IFERROR(VALUE(SUBSTITUTE(SUBSTITUTE(INDEX('Shopify Import'!$A:$CZ,1351,Settings!$E$23)&amp;"","$",""),",","")),0))</f>
        <v/>
      </c>
      <c r="E1351" s="11">
        <f>IF(A1351="","",IFERROR(VALUE(SUBSTITUTE(SUBSTITUTE(INDEX('Shopify Import'!$A:$CZ,1351,Settings!$E$24)&amp;"","$",""),",","")),0))</f>
        <v/>
      </c>
      <c r="F1351" s="11">
        <f>IF(A1351="","",D1351*E1351)</f>
        <v/>
      </c>
      <c r="G1351">
        <f>IF(A1351="","",IF(C1351="",1,COUNTIF($C$2:$C$1501,C1351)))</f>
        <v/>
      </c>
      <c r="H1351" s="11">
        <f>IF(A1351="","",IFERROR(VALUE(SUBSTITUTE(SUBSTITUTE(INDEX('Shopify Import'!$A:$CZ,1351,Settings!$E$25)&amp;"","$",""),",","")),0)/IF(Settings!$D$27="Yes",G1351,1))</f>
        <v/>
      </c>
      <c r="I1351" s="11">
        <f>IF(A1351="","",IFERROR(VALUE(SUBSTITUTE(SUBSTITUTE(INDEX('Shopify Import'!$A:$CZ,1351,Settings!$E$26)&amp;"","$",""),",","")),0)/IF(Settings!$D$27="Yes",G1351,1))</f>
        <v/>
      </c>
      <c r="J1351" s="11">
        <f>IF(A1351="","",F1351+H1351-I1351)</f>
        <v/>
      </c>
      <c r="K1351">
        <f>IF(A1351="","",IFERROR(IF(B1351="",NA(),MATCH(B1351,Products!$B$5:$B$204,0)),IFERROR(MATCH(A1351,Products!$A$5:$A$204,0),"")))</f>
        <v/>
      </c>
      <c r="L1351">
        <f>IF(A1351="","",IF(K1351="","⚠ not in Products",INDEX(Products!$A$5:$A$204,K1351)))</f>
        <v/>
      </c>
      <c r="M1351" s="11">
        <f>IF(A1351="","",J1351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1351+IFERROR(INDEX(Settings!$D$5:$D$9,MATCH("Shopify",Settings!$A$5:$A$9,0)),0)*D1351)</f>
        <v/>
      </c>
      <c r="N1351" s="11">
        <f>IF(A1351="","",IF(K1351="",0,D1351*INDEX(Products!$I$5:$I$204,K1351)))</f>
        <v/>
      </c>
      <c r="O1351" s="11">
        <f>IF(A1351="","",IF(K1351="",0,J1351*INDEX(Products!$H$5:$H$204,K1351)))</f>
        <v/>
      </c>
      <c r="P1351" s="11">
        <f>IF(A1351="","",J1351-M1351-N1351-O1351)</f>
        <v/>
      </c>
    </row>
    <row r="1352">
      <c r="A1352">
        <f>IFERROR(INDEX('Shopify Import'!$A:$CZ,1352,Settings!$E$20)&amp;"","")</f>
        <v/>
      </c>
      <c r="B1352">
        <f>IFERROR(INDEX('Shopify Import'!$A:$CZ,1352,Settings!$E$21)&amp;"","")</f>
        <v/>
      </c>
      <c r="C1352">
        <f>IFERROR(INDEX('Shopify Import'!$A:$CZ,1352,Settings!$E$22)&amp;"","")</f>
        <v/>
      </c>
      <c r="D1352">
        <f>IF(A1352="","",IFERROR(VALUE(SUBSTITUTE(SUBSTITUTE(INDEX('Shopify Import'!$A:$CZ,1352,Settings!$E$23)&amp;"","$",""),",","")),0))</f>
        <v/>
      </c>
      <c r="E1352" s="11">
        <f>IF(A1352="","",IFERROR(VALUE(SUBSTITUTE(SUBSTITUTE(INDEX('Shopify Import'!$A:$CZ,1352,Settings!$E$24)&amp;"","$",""),",","")),0))</f>
        <v/>
      </c>
      <c r="F1352" s="11">
        <f>IF(A1352="","",D1352*E1352)</f>
        <v/>
      </c>
      <c r="G1352">
        <f>IF(A1352="","",IF(C1352="",1,COUNTIF($C$2:$C$1501,C1352)))</f>
        <v/>
      </c>
      <c r="H1352" s="11">
        <f>IF(A1352="","",IFERROR(VALUE(SUBSTITUTE(SUBSTITUTE(INDEX('Shopify Import'!$A:$CZ,1352,Settings!$E$25)&amp;"","$",""),",","")),0)/IF(Settings!$D$27="Yes",G1352,1))</f>
        <v/>
      </c>
      <c r="I1352" s="11">
        <f>IF(A1352="","",IFERROR(VALUE(SUBSTITUTE(SUBSTITUTE(INDEX('Shopify Import'!$A:$CZ,1352,Settings!$E$26)&amp;"","$",""),",","")),0)/IF(Settings!$D$27="Yes",G1352,1))</f>
        <v/>
      </c>
      <c r="J1352" s="11">
        <f>IF(A1352="","",F1352+H1352-I1352)</f>
        <v/>
      </c>
      <c r="K1352">
        <f>IF(A1352="","",IFERROR(IF(B1352="",NA(),MATCH(B1352,Products!$B$5:$B$204,0)),IFERROR(MATCH(A1352,Products!$A$5:$A$204,0),"")))</f>
        <v/>
      </c>
      <c r="L1352">
        <f>IF(A1352="","",IF(K1352="","⚠ not in Products",INDEX(Products!$A$5:$A$204,K1352)))</f>
        <v/>
      </c>
      <c r="M1352" s="11">
        <f>IF(A1352="","",J1352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1352+IFERROR(INDEX(Settings!$D$5:$D$9,MATCH("Shopify",Settings!$A$5:$A$9,0)),0)*D1352)</f>
        <v/>
      </c>
      <c r="N1352" s="11">
        <f>IF(A1352="","",IF(K1352="",0,D1352*INDEX(Products!$I$5:$I$204,K1352)))</f>
        <v/>
      </c>
      <c r="O1352" s="11">
        <f>IF(A1352="","",IF(K1352="",0,J1352*INDEX(Products!$H$5:$H$204,K1352)))</f>
        <v/>
      </c>
      <c r="P1352" s="11">
        <f>IF(A1352="","",J1352-M1352-N1352-O1352)</f>
        <v/>
      </c>
    </row>
    <row r="1353">
      <c r="A1353">
        <f>IFERROR(INDEX('Shopify Import'!$A:$CZ,1353,Settings!$E$20)&amp;"","")</f>
        <v/>
      </c>
      <c r="B1353">
        <f>IFERROR(INDEX('Shopify Import'!$A:$CZ,1353,Settings!$E$21)&amp;"","")</f>
        <v/>
      </c>
      <c r="C1353">
        <f>IFERROR(INDEX('Shopify Import'!$A:$CZ,1353,Settings!$E$22)&amp;"","")</f>
        <v/>
      </c>
      <c r="D1353">
        <f>IF(A1353="","",IFERROR(VALUE(SUBSTITUTE(SUBSTITUTE(INDEX('Shopify Import'!$A:$CZ,1353,Settings!$E$23)&amp;"","$",""),",","")),0))</f>
        <v/>
      </c>
      <c r="E1353" s="11">
        <f>IF(A1353="","",IFERROR(VALUE(SUBSTITUTE(SUBSTITUTE(INDEX('Shopify Import'!$A:$CZ,1353,Settings!$E$24)&amp;"","$",""),",","")),0))</f>
        <v/>
      </c>
      <c r="F1353" s="11">
        <f>IF(A1353="","",D1353*E1353)</f>
        <v/>
      </c>
      <c r="G1353">
        <f>IF(A1353="","",IF(C1353="",1,COUNTIF($C$2:$C$1501,C1353)))</f>
        <v/>
      </c>
      <c r="H1353" s="11">
        <f>IF(A1353="","",IFERROR(VALUE(SUBSTITUTE(SUBSTITUTE(INDEX('Shopify Import'!$A:$CZ,1353,Settings!$E$25)&amp;"","$",""),",","")),0)/IF(Settings!$D$27="Yes",G1353,1))</f>
        <v/>
      </c>
      <c r="I1353" s="11">
        <f>IF(A1353="","",IFERROR(VALUE(SUBSTITUTE(SUBSTITUTE(INDEX('Shopify Import'!$A:$CZ,1353,Settings!$E$26)&amp;"","$",""),",","")),0)/IF(Settings!$D$27="Yes",G1353,1))</f>
        <v/>
      </c>
      <c r="J1353" s="11">
        <f>IF(A1353="","",F1353+H1353-I1353)</f>
        <v/>
      </c>
      <c r="K1353">
        <f>IF(A1353="","",IFERROR(IF(B1353="",NA(),MATCH(B1353,Products!$B$5:$B$204,0)),IFERROR(MATCH(A1353,Products!$A$5:$A$204,0),"")))</f>
        <v/>
      </c>
      <c r="L1353">
        <f>IF(A1353="","",IF(K1353="","⚠ not in Products",INDEX(Products!$A$5:$A$204,K1353)))</f>
        <v/>
      </c>
      <c r="M1353" s="11">
        <f>IF(A1353="","",J1353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1353+IFERROR(INDEX(Settings!$D$5:$D$9,MATCH("Shopify",Settings!$A$5:$A$9,0)),0)*D1353)</f>
        <v/>
      </c>
      <c r="N1353" s="11">
        <f>IF(A1353="","",IF(K1353="",0,D1353*INDEX(Products!$I$5:$I$204,K1353)))</f>
        <v/>
      </c>
      <c r="O1353" s="11">
        <f>IF(A1353="","",IF(K1353="",0,J1353*INDEX(Products!$H$5:$H$204,K1353)))</f>
        <v/>
      </c>
      <c r="P1353" s="11">
        <f>IF(A1353="","",J1353-M1353-N1353-O1353)</f>
        <v/>
      </c>
    </row>
    <row r="1354">
      <c r="A1354">
        <f>IFERROR(INDEX('Shopify Import'!$A:$CZ,1354,Settings!$E$20)&amp;"","")</f>
        <v/>
      </c>
      <c r="B1354">
        <f>IFERROR(INDEX('Shopify Import'!$A:$CZ,1354,Settings!$E$21)&amp;"","")</f>
        <v/>
      </c>
      <c r="C1354">
        <f>IFERROR(INDEX('Shopify Import'!$A:$CZ,1354,Settings!$E$22)&amp;"","")</f>
        <v/>
      </c>
      <c r="D1354">
        <f>IF(A1354="","",IFERROR(VALUE(SUBSTITUTE(SUBSTITUTE(INDEX('Shopify Import'!$A:$CZ,1354,Settings!$E$23)&amp;"","$",""),",","")),0))</f>
        <v/>
      </c>
      <c r="E1354" s="11">
        <f>IF(A1354="","",IFERROR(VALUE(SUBSTITUTE(SUBSTITUTE(INDEX('Shopify Import'!$A:$CZ,1354,Settings!$E$24)&amp;"","$",""),",","")),0))</f>
        <v/>
      </c>
      <c r="F1354" s="11">
        <f>IF(A1354="","",D1354*E1354)</f>
        <v/>
      </c>
      <c r="G1354">
        <f>IF(A1354="","",IF(C1354="",1,COUNTIF($C$2:$C$1501,C1354)))</f>
        <v/>
      </c>
      <c r="H1354" s="11">
        <f>IF(A1354="","",IFERROR(VALUE(SUBSTITUTE(SUBSTITUTE(INDEX('Shopify Import'!$A:$CZ,1354,Settings!$E$25)&amp;"","$",""),",","")),0)/IF(Settings!$D$27="Yes",G1354,1))</f>
        <v/>
      </c>
      <c r="I1354" s="11">
        <f>IF(A1354="","",IFERROR(VALUE(SUBSTITUTE(SUBSTITUTE(INDEX('Shopify Import'!$A:$CZ,1354,Settings!$E$26)&amp;"","$",""),",","")),0)/IF(Settings!$D$27="Yes",G1354,1))</f>
        <v/>
      </c>
      <c r="J1354" s="11">
        <f>IF(A1354="","",F1354+H1354-I1354)</f>
        <v/>
      </c>
      <c r="K1354">
        <f>IF(A1354="","",IFERROR(IF(B1354="",NA(),MATCH(B1354,Products!$B$5:$B$204,0)),IFERROR(MATCH(A1354,Products!$A$5:$A$204,0),"")))</f>
        <v/>
      </c>
      <c r="L1354">
        <f>IF(A1354="","",IF(K1354="","⚠ not in Products",INDEX(Products!$A$5:$A$204,K1354)))</f>
        <v/>
      </c>
      <c r="M1354" s="11">
        <f>IF(A1354="","",J1354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1354+IFERROR(INDEX(Settings!$D$5:$D$9,MATCH("Shopify",Settings!$A$5:$A$9,0)),0)*D1354)</f>
        <v/>
      </c>
      <c r="N1354" s="11">
        <f>IF(A1354="","",IF(K1354="",0,D1354*INDEX(Products!$I$5:$I$204,K1354)))</f>
        <v/>
      </c>
      <c r="O1354" s="11">
        <f>IF(A1354="","",IF(K1354="",0,J1354*INDEX(Products!$H$5:$H$204,K1354)))</f>
        <v/>
      </c>
      <c r="P1354" s="11">
        <f>IF(A1354="","",J1354-M1354-N1354-O1354)</f>
        <v/>
      </c>
    </row>
    <row r="1355">
      <c r="A1355">
        <f>IFERROR(INDEX('Shopify Import'!$A:$CZ,1355,Settings!$E$20)&amp;"","")</f>
        <v/>
      </c>
      <c r="B1355">
        <f>IFERROR(INDEX('Shopify Import'!$A:$CZ,1355,Settings!$E$21)&amp;"","")</f>
        <v/>
      </c>
      <c r="C1355">
        <f>IFERROR(INDEX('Shopify Import'!$A:$CZ,1355,Settings!$E$22)&amp;"","")</f>
        <v/>
      </c>
      <c r="D1355">
        <f>IF(A1355="","",IFERROR(VALUE(SUBSTITUTE(SUBSTITUTE(INDEX('Shopify Import'!$A:$CZ,1355,Settings!$E$23)&amp;"","$",""),",","")),0))</f>
        <v/>
      </c>
      <c r="E1355" s="11">
        <f>IF(A1355="","",IFERROR(VALUE(SUBSTITUTE(SUBSTITUTE(INDEX('Shopify Import'!$A:$CZ,1355,Settings!$E$24)&amp;"","$",""),",","")),0))</f>
        <v/>
      </c>
      <c r="F1355" s="11">
        <f>IF(A1355="","",D1355*E1355)</f>
        <v/>
      </c>
      <c r="G1355">
        <f>IF(A1355="","",IF(C1355="",1,COUNTIF($C$2:$C$1501,C1355)))</f>
        <v/>
      </c>
      <c r="H1355" s="11">
        <f>IF(A1355="","",IFERROR(VALUE(SUBSTITUTE(SUBSTITUTE(INDEX('Shopify Import'!$A:$CZ,1355,Settings!$E$25)&amp;"","$",""),",","")),0)/IF(Settings!$D$27="Yes",G1355,1))</f>
        <v/>
      </c>
      <c r="I1355" s="11">
        <f>IF(A1355="","",IFERROR(VALUE(SUBSTITUTE(SUBSTITUTE(INDEX('Shopify Import'!$A:$CZ,1355,Settings!$E$26)&amp;"","$",""),",","")),0)/IF(Settings!$D$27="Yes",G1355,1))</f>
        <v/>
      </c>
      <c r="J1355" s="11">
        <f>IF(A1355="","",F1355+H1355-I1355)</f>
        <v/>
      </c>
      <c r="K1355">
        <f>IF(A1355="","",IFERROR(IF(B1355="",NA(),MATCH(B1355,Products!$B$5:$B$204,0)),IFERROR(MATCH(A1355,Products!$A$5:$A$204,0),"")))</f>
        <v/>
      </c>
      <c r="L1355">
        <f>IF(A1355="","",IF(K1355="","⚠ not in Products",INDEX(Products!$A$5:$A$204,K1355)))</f>
        <v/>
      </c>
      <c r="M1355" s="11">
        <f>IF(A1355="","",J1355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1355+IFERROR(INDEX(Settings!$D$5:$D$9,MATCH("Shopify",Settings!$A$5:$A$9,0)),0)*D1355)</f>
        <v/>
      </c>
      <c r="N1355" s="11">
        <f>IF(A1355="","",IF(K1355="",0,D1355*INDEX(Products!$I$5:$I$204,K1355)))</f>
        <v/>
      </c>
      <c r="O1355" s="11">
        <f>IF(A1355="","",IF(K1355="",0,J1355*INDEX(Products!$H$5:$H$204,K1355)))</f>
        <v/>
      </c>
      <c r="P1355" s="11">
        <f>IF(A1355="","",J1355-M1355-N1355-O1355)</f>
        <v/>
      </c>
    </row>
    <row r="1356">
      <c r="A1356">
        <f>IFERROR(INDEX('Shopify Import'!$A:$CZ,1356,Settings!$E$20)&amp;"","")</f>
        <v/>
      </c>
      <c r="B1356">
        <f>IFERROR(INDEX('Shopify Import'!$A:$CZ,1356,Settings!$E$21)&amp;"","")</f>
        <v/>
      </c>
      <c r="C1356">
        <f>IFERROR(INDEX('Shopify Import'!$A:$CZ,1356,Settings!$E$22)&amp;"","")</f>
        <v/>
      </c>
      <c r="D1356">
        <f>IF(A1356="","",IFERROR(VALUE(SUBSTITUTE(SUBSTITUTE(INDEX('Shopify Import'!$A:$CZ,1356,Settings!$E$23)&amp;"","$",""),",","")),0))</f>
        <v/>
      </c>
      <c r="E1356" s="11">
        <f>IF(A1356="","",IFERROR(VALUE(SUBSTITUTE(SUBSTITUTE(INDEX('Shopify Import'!$A:$CZ,1356,Settings!$E$24)&amp;"","$",""),",","")),0))</f>
        <v/>
      </c>
      <c r="F1356" s="11">
        <f>IF(A1356="","",D1356*E1356)</f>
        <v/>
      </c>
      <c r="G1356">
        <f>IF(A1356="","",IF(C1356="",1,COUNTIF($C$2:$C$1501,C1356)))</f>
        <v/>
      </c>
      <c r="H1356" s="11">
        <f>IF(A1356="","",IFERROR(VALUE(SUBSTITUTE(SUBSTITUTE(INDEX('Shopify Import'!$A:$CZ,1356,Settings!$E$25)&amp;"","$",""),",","")),0)/IF(Settings!$D$27="Yes",G1356,1))</f>
        <v/>
      </c>
      <c r="I1356" s="11">
        <f>IF(A1356="","",IFERROR(VALUE(SUBSTITUTE(SUBSTITUTE(INDEX('Shopify Import'!$A:$CZ,1356,Settings!$E$26)&amp;"","$",""),",","")),0)/IF(Settings!$D$27="Yes",G1356,1))</f>
        <v/>
      </c>
      <c r="J1356" s="11">
        <f>IF(A1356="","",F1356+H1356-I1356)</f>
        <v/>
      </c>
      <c r="K1356">
        <f>IF(A1356="","",IFERROR(IF(B1356="",NA(),MATCH(B1356,Products!$B$5:$B$204,0)),IFERROR(MATCH(A1356,Products!$A$5:$A$204,0),"")))</f>
        <v/>
      </c>
      <c r="L1356">
        <f>IF(A1356="","",IF(K1356="","⚠ not in Products",INDEX(Products!$A$5:$A$204,K1356)))</f>
        <v/>
      </c>
      <c r="M1356" s="11">
        <f>IF(A1356="","",J1356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1356+IFERROR(INDEX(Settings!$D$5:$D$9,MATCH("Shopify",Settings!$A$5:$A$9,0)),0)*D1356)</f>
        <v/>
      </c>
      <c r="N1356" s="11">
        <f>IF(A1356="","",IF(K1356="",0,D1356*INDEX(Products!$I$5:$I$204,K1356)))</f>
        <v/>
      </c>
      <c r="O1356" s="11">
        <f>IF(A1356="","",IF(K1356="",0,J1356*INDEX(Products!$H$5:$H$204,K1356)))</f>
        <v/>
      </c>
      <c r="P1356" s="11">
        <f>IF(A1356="","",J1356-M1356-N1356-O1356)</f>
        <v/>
      </c>
    </row>
    <row r="1357">
      <c r="A1357">
        <f>IFERROR(INDEX('Shopify Import'!$A:$CZ,1357,Settings!$E$20)&amp;"","")</f>
        <v/>
      </c>
      <c r="B1357">
        <f>IFERROR(INDEX('Shopify Import'!$A:$CZ,1357,Settings!$E$21)&amp;"","")</f>
        <v/>
      </c>
      <c r="C1357">
        <f>IFERROR(INDEX('Shopify Import'!$A:$CZ,1357,Settings!$E$22)&amp;"","")</f>
        <v/>
      </c>
      <c r="D1357">
        <f>IF(A1357="","",IFERROR(VALUE(SUBSTITUTE(SUBSTITUTE(INDEX('Shopify Import'!$A:$CZ,1357,Settings!$E$23)&amp;"","$",""),",","")),0))</f>
        <v/>
      </c>
      <c r="E1357" s="11">
        <f>IF(A1357="","",IFERROR(VALUE(SUBSTITUTE(SUBSTITUTE(INDEX('Shopify Import'!$A:$CZ,1357,Settings!$E$24)&amp;"","$",""),",","")),0))</f>
        <v/>
      </c>
      <c r="F1357" s="11">
        <f>IF(A1357="","",D1357*E1357)</f>
        <v/>
      </c>
      <c r="G1357">
        <f>IF(A1357="","",IF(C1357="",1,COUNTIF($C$2:$C$1501,C1357)))</f>
        <v/>
      </c>
      <c r="H1357" s="11">
        <f>IF(A1357="","",IFERROR(VALUE(SUBSTITUTE(SUBSTITUTE(INDEX('Shopify Import'!$A:$CZ,1357,Settings!$E$25)&amp;"","$",""),",","")),0)/IF(Settings!$D$27="Yes",G1357,1))</f>
        <v/>
      </c>
      <c r="I1357" s="11">
        <f>IF(A1357="","",IFERROR(VALUE(SUBSTITUTE(SUBSTITUTE(INDEX('Shopify Import'!$A:$CZ,1357,Settings!$E$26)&amp;"","$",""),",","")),0)/IF(Settings!$D$27="Yes",G1357,1))</f>
        <v/>
      </c>
      <c r="J1357" s="11">
        <f>IF(A1357="","",F1357+H1357-I1357)</f>
        <v/>
      </c>
      <c r="K1357">
        <f>IF(A1357="","",IFERROR(IF(B1357="",NA(),MATCH(B1357,Products!$B$5:$B$204,0)),IFERROR(MATCH(A1357,Products!$A$5:$A$204,0),"")))</f>
        <v/>
      </c>
      <c r="L1357">
        <f>IF(A1357="","",IF(K1357="","⚠ not in Products",INDEX(Products!$A$5:$A$204,K1357)))</f>
        <v/>
      </c>
      <c r="M1357" s="11">
        <f>IF(A1357="","",J1357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1357+IFERROR(INDEX(Settings!$D$5:$D$9,MATCH("Shopify",Settings!$A$5:$A$9,0)),0)*D1357)</f>
        <v/>
      </c>
      <c r="N1357" s="11">
        <f>IF(A1357="","",IF(K1357="",0,D1357*INDEX(Products!$I$5:$I$204,K1357)))</f>
        <v/>
      </c>
      <c r="O1357" s="11">
        <f>IF(A1357="","",IF(K1357="",0,J1357*INDEX(Products!$H$5:$H$204,K1357)))</f>
        <v/>
      </c>
      <c r="P1357" s="11">
        <f>IF(A1357="","",J1357-M1357-N1357-O1357)</f>
        <v/>
      </c>
    </row>
    <row r="1358">
      <c r="A1358">
        <f>IFERROR(INDEX('Shopify Import'!$A:$CZ,1358,Settings!$E$20)&amp;"","")</f>
        <v/>
      </c>
      <c r="B1358">
        <f>IFERROR(INDEX('Shopify Import'!$A:$CZ,1358,Settings!$E$21)&amp;"","")</f>
        <v/>
      </c>
      <c r="C1358">
        <f>IFERROR(INDEX('Shopify Import'!$A:$CZ,1358,Settings!$E$22)&amp;"","")</f>
        <v/>
      </c>
      <c r="D1358">
        <f>IF(A1358="","",IFERROR(VALUE(SUBSTITUTE(SUBSTITUTE(INDEX('Shopify Import'!$A:$CZ,1358,Settings!$E$23)&amp;"","$",""),",","")),0))</f>
        <v/>
      </c>
      <c r="E1358" s="11">
        <f>IF(A1358="","",IFERROR(VALUE(SUBSTITUTE(SUBSTITUTE(INDEX('Shopify Import'!$A:$CZ,1358,Settings!$E$24)&amp;"","$",""),",","")),0))</f>
        <v/>
      </c>
      <c r="F1358" s="11">
        <f>IF(A1358="","",D1358*E1358)</f>
        <v/>
      </c>
      <c r="G1358">
        <f>IF(A1358="","",IF(C1358="",1,COUNTIF($C$2:$C$1501,C1358)))</f>
        <v/>
      </c>
      <c r="H1358" s="11">
        <f>IF(A1358="","",IFERROR(VALUE(SUBSTITUTE(SUBSTITUTE(INDEX('Shopify Import'!$A:$CZ,1358,Settings!$E$25)&amp;"","$",""),",","")),0)/IF(Settings!$D$27="Yes",G1358,1))</f>
        <v/>
      </c>
      <c r="I1358" s="11">
        <f>IF(A1358="","",IFERROR(VALUE(SUBSTITUTE(SUBSTITUTE(INDEX('Shopify Import'!$A:$CZ,1358,Settings!$E$26)&amp;"","$",""),",","")),0)/IF(Settings!$D$27="Yes",G1358,1))</f>
        <v/>
      </c>
      <c r="J1358" s="11">
        <f>IF(A1358="","",F1358+H1358-I1358)</f>
        <v/>
      </c>
      <c r="K1358">
        <f>IF(A1358="","",IFERROR(IF(B1358="",NA(),MATCH(B1358,Products!$B$5:$B$204,0)),IFERROR(MATCH(A1358,Products!$A$5:$A$204,0),"")))</f>
        <v/>
      </c>
      <c r="L1358">
        <f>IF(A1358="","",IF(K1358="","⚠ not in Products",INDEX(Products!$A$5:$A$204,K1358)))</f>
        <v/>
      </c>
      <c r="M1358" s="11">
        <f>IF(A1358="","",J1358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1358+IFERROR(INDEX(Settings!$D$5:$D$9,MATCH("Shopify",Settings!$A$5:$A$9,0)),0)*D1358)</f>
        <v/>
      </c>
      <c r="N1358" s="11">
        <f>IF(A1358="","",IF(K1358="",0,D1358*INDEX(Products!$I$5:$I$204,K1358)))</f>
        <v/>
      </c>
      <c r="O1358" s="11">
        <f>IF(A1358="","",IF(K1358="",0,J1358*INDEX(Products!$H$5:$H$204,K1358)))</f>
        <v/>
      </c>
      <c r="P1358" s="11">
        <f>IF(A1358="","",J1358-M1358-N1358-O1358)</f>
        <v/>
      </c>
    </row>
    <row r="1359">
      <c r="A1359">
        <f>IFERROR(INDEX('Shopify Import'!$A:$CZ,1359,Settings!$E$20)&amp;"","")</f>
        <v/>
      </c>
      <c r="B1359">
        <f>IFERROR(INDEX('Shopify Import'!$A:$CZ,1359,Settings!$E$21)&amp;"","")</f>
        <v/>
      </c>
      <c r="C1359">
        <f>IFERROR(INDEX('Shopify Import'!$A:$CZ,1359,Settings!$E$22)&amp;"","")</f>
        <v/>
      </c>
      <c r="D1359">
        <f>IF(A1359="","",IFERROR(VALUE(SUBSTITUTE(SUBSTITUTE(INDEX('Shopify Import'!$A:$CZ,1359,Settings!$E$23)&amp;"","$",""),",","")),0))</f>
        <v/>
      </c>
      <c r="E1359" s="11">
        <f>IF(A1359="","",IFERROR(VALUE(SUBSTITUTE(SUBSTITUTE(INDEX('Shopify Import'!$A:$CZ,1359,Settings!$E$24)&amp;"","$",""),",","")),0))</f>
        <v/>
      </c>
      <c r="F1359" s="11">
        <f>IF(A1359="","",D1359*E1359)</f>
        <v/>
      </c>
      <c r="G1359">
        <f>IF(A1359="","",IF(C1359="",1,COUNTIF($C$2:$C$1501,C1359)))</f>
        <v/>
      </c>
      <c r="H1359" s="11">
        <f>IF(A1359="","",IFERROR(VALUE(SUBSTITUTE(SUBSTITUTE(INDEX('Shopify Import'!$A:$CZ,1359,Settings!$E$25)&amp;"","$",""),",","")),0)/IF(Settings!$D$27="Yes",G1359,1))</f>
        <v/>
      </c>
      <c r="I1359" s="11">
        <f>IF(A1359="","",IFERROR(VALUE(SUBSTITUTE(SUBSTITUTE(INDEX('Shopify Import'!$A:$CZ,1359,Settings!$E$26)&amp;"","$",""),",","")),0)/IF(Settings!$D$27="Yes",G1359,1))</f>
        <v/>
      </c>
      <c r="J1359" s="11">
        <f>IF(A1359="","",F1359+H1359-I1359)</f>
        <v/>
      </c>
      <c r="K1359">
        <f>IF(A1359="","",IFERROR(IF(B1359="",NA(),MATCH(B1359,Products!$B$5:$B$204,0)),IFERROR(MATCH(A1359,Products!$A$5:$A$204,0),"")))</f>
        <v/>
      </c>
      <c r="L1359">
        <f>IF(A1359="","",IF(K1359="","⚠ not in Products",INDEX(Products!$A$5:$A$204,K1359)))</f>
        <v/>
      </c>
      <c r="M1359" s="11">
        <f>IF(A1359="","",J1359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1359+IFERROR(INDEX(Settings!$D$5:$D$9,MATCH("Shopify",Settings!$A$5:$A$9,0)),0)*D1359)</f>
        <v/>
      </c>
      <c r="N1359" s="11">
        <f>IF(A1359="","",IF(K1359="",0,D1359*INDEX(Products!$I$5:$I$204,K1359)))</f>
        <v/>
      </c>
      <c r="O1359" s="11">
        <f>IF(A1359="","",IF(K1359="",0,J1359*INDEX(Products!$H$5:$H$204,K1359)))</f>
        <v/>
      </c>
      <c r="P1359" s="11">
        <f>IF(A1359="","",J1359-M1359-N1359-O1359)</f>
        <v/>
      </c>
    </row>
    <row r="1360">
      <c r="A1360">
        <f>IFERROR(INDEX('Shopify Import'!$A:$CZ,1360,Settings!$E$20)&amp;"","")</f>
        <v/>
      </c>
      <c r="B1360">
        <f>IFERROR(INDEX('Shopify Import'!$A:$CZ,1360,Settings!$E$21)&amp;"","")</f>
        <v/>
      </c>
      <c r="C1360">
        <f>IFERROR(INDEX('Shopify Import'!$A:$CZ,1360,Settings!$E$22)&amp;"","")</f>
        <v/>
      </c>
      <c r="D1360">
        <f>IF(A1360="","",IFERROR(VALUE(SUBSTITUTE(SUBSTITUTE(INDEX('Shopify Import'!$A:$CZ,1360,Settings!$E$23)&amp;"","$",""),",","")),0))</f>
        <v/>
      </c>
      <c r="E1360" s="11">
        <f>IF(A1360="","",IFERROR(VALUE(SUBSTITUTE(SUBSTITUTE(INDEX('Shopify Import'!$A:$CZ,1360,Settings!$E$24)&amp;"","$",""),",","")),0))</f>
        <v/>
      </c>
      <c r="F1360" s="11">
        <f>IF(A1360="","",D1360*E1360)</f>
        <v/>
      </c>
      <c r="G1360">
        <f>IF(A1360="","",IF(C1360="",1,COUNTIF($C$2:$C$1501,C1360)))</f>
        <v/>
      </c>
      <c r="H1360" s="11">
        <f>IF(A1360="","",IFERROR(VALUE(SUBSTITUTE(SUBSTITUTE(INDEX('Shopify Import'!$A:$CZ,1360,Settings!$E$25)&amp;"","$",""),",","")),0)/IF(Settings!$D$27="Yes",G1360,1))</f>
        <v/>
      </c>
      <c r="I1360" s="11">
        <f>IF(A1360="","",IFERROR(VALUE(SUBSTITUTE(SUBSTITUTE(INDEX('Shopify Import'!$A:$CZ,1360,Settings!$E$26)&amp;"","$",""),",","")),0)/IF(Settings!$D$27="Yes",G1360,1))</f>
        <v/>
      </c>
      <c r="J1360" s="11">
        <f>IF(A1360="","",F1360+H1360-I1360)</f>
        <v/>
      </c>
      <c r="K1360">
        <f>IF(A1360="","",IFERROR(IF(B1360="",NA(),MATCH(B1360,Products!$B$5:$B$204,0)),IFERROR(MATCH(A1360,Products!$A$5:$A$204,0),"")))</f>
        <v/>
      </c>
      <c r="L1360">
        <f>IF(A1360="","",IF(K1360="","⚠ not in Products",INDEX(Products!$A$5:$A$204,K1360)))</f>
        <v/>
      </c>
      <c r="M1360" s="11">
        <f>IF(A1360="","",J1360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1360+IFERROR(INDEX(Settings!$D$5:$D$9,MATCH("Shopify",Settings!$A$5:$A$9,0)),0)*D1360)</f>
        <v/>
      </c>
      <c r="N1360" s="11">
        <f>IF(A1360="","",IF(K1360="",0,D1360*INDEX(Products!$I$5:$I$204,K1360)))</f>
        <v/>
      </c>
      <c r="O1360" s="11">
        <f>IF(A1360="","",IF(K1360="",0,J1360*INDEX(Products!$H$5:$H$204,K1360)))</f>
        <v/>
      </c>
      <c r="P1360" s="11">
        <f>IF(A1360="","",J1360-M1360-N1360-O1360)</f>
        <v/>
      </c>
    </row>
    <row r="1361">
      <c r="A1361">
        <f>IFERROR(INDEX('Shopify Import'!$A:$CZ,1361,Settings!$E$20)&amp;"","")</f>
        <v/>
      </c>
      <c r="B1361">
        <f>IFERROR(INDEX('Shopify Import'!$A:$CZ,1361,Settings!$E$21)&amp;"","")</f>
        <v/>
      </c>
      <c r="C1361">
        <f>IFERROR(INDEX('Shopify Import'!$A:$CZ,1361,Settings!$E$22)&amp;"","")</f>
        <v/>
      </c>
      <c r="D1361">
        <f>IF(A1361="","",IFERROR(VALUE(SUBSTITUTE(SUBSTITUTE(INDEX('Shopify Import'!$A:$CZ,1361,Settings!$E$23)&amp;"","$",""),",","")),0))</f>
        <v/>
      </c>
      <c r="E1361" s="11">
        <f>IF(A1361="","",IFERROR(VALUE(SUBSTITUTE(SUBSTITUTE(INDEX('Shopify Import'!$A:$CZ,1361,Settings!$E$24)&amp;"","$",""),",","")),0))</f>
        <v/>
      </c>
      <c r="F1361" s="11">
        <f>IF(A1361="","",D1361*E1361)</f>
        <v/>
      </c>
      <c r="G1361">
        <f>IF(A1361="","",IF(C1361="",1,COUNTIF($C$2:$C$1501,C1361)))</f>
        <v/>
      </c>
      <c r="H1361" s="11">
        <f>IF(A1361="","",IFERROR(VALUE(SUBSTITUTE(SUBSTITUTE(INDEX('Shopify Import'!$A:$CZ,1361,Settings!$E$25)&amp;"","$",""),",","")),0)/IF(Settings!$D$27="Yes",G1361,1))</f>
        <v/>
      </c>
      <c r="I1361" s="11">
        <f>IF(A1361="","",IFERROR(VALUE(SUBSTITUTE(SUBSTITUTE(INDEX('Shopify Import'!$A:$CZ,1361,Settings!$E$26)&amp;"","$",""),",","")),0)/IF(Settings!$D$27="Yes",G1361,1))</f>
        <v/>
      </c>
      <c r="J1361" s="11">
        <f>IF(A1361="","",F1361+H1361-I1361)</f>
        <v/>
      </c>
      <c r="K1361">
        <f>IF(A1361="","",IFERROR(IF(B1361="",NA(),MATCH(B1361,Products!$B$5:$B$204,0)),IFERROR(MATCH(A1361,Products!$A$5:$A$204,0),"")))</f>
        <v/>
      </c>
      <c r="L1361">
        <f>IF(A1361="","",IF(K1361="","⚠ not in Products",INDEX(Products!$A$5:$A$204,K1361)))</f>
        <v/>
      </c>
      <c r="M1361" s="11">
        <f>IF(A1361="","",J1361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1361+IFERROR(INDEX(Settings!$D$5:$D$9,MATCH("Shopify",Settings!$A$5:$A$9,0)),0)*D1361)</f>
        <v/>
      </c>
      <c r="N1361" s="11">
        <f>IF(A1361="","",IF(K1361="",0,D1361*INDEX(Products!$I$5:$I$204,K1361)))</f>
        <v/>
      </c>
      <c r="O1361" s="11">
        <f>IF(A1361="","",IF(K1361="",0,J1361*INDEX(Products!$H$5:$H$204,K1361)))</f>
        <v/>
      </c>
      <c r="P1361" s="11">
        <f>IF(A1361="","",J1361-M1361-N1361-O1361)</f>
        <v/>
      </c>
    </row>
    <row r="1362">
      <c r="A1362">
        <f>IFERROR(INDEX('Shopify Import'!$A:$CZ,1362,Settings!$E$20)&amp;"","")</f>
        <v/>
      </c>
      <c r="B1362">
        <f>IFERROR(INDEX('Shopify Import'!$A:$CZ,1362,Settings!$E$21)&amp;"","")</f>
        <v/>
      </c>
      <c r="C1362">
        <f>IFERROR(INDEX('Shopify Import'!$A:$CZ,1362,Settings!$E$22)&amp;"","")</f>
        <v/>
      </c>
      <c r="D1362">
        <f>IF(A1362="","",IFERROR(VALUE(SUBSTITUTE(SUBSTITUTE(INDEX('Shopify Import'!$A:$CZ,1362,Settings!$E$23)&amp;"","$",""),",","")),0))</f>
        <v/>
      </c>
      <c r="E1362" s="11">
        <f>IF(A1362="","",IFERROR(VALUE(SUBSTITUTE(SUBSTITUTE(INDEX('Shopify Import'!$A:$CZ,1362,Settings!$E$24)&amp;"","$",""),",","")),0))</f>
        <v/>
      </c>
      <c r="F1362" s="11">
        <f>IF(A1362="","",D1362*E1362)</f>
        <v/>
      </c>
      <c r="G1362">
        <f>IF(A1362="","",IF(C1362="",1,COUNTIF($C$2:$C$1501,C1362)))</f>
        <v/>
      </c>
      <c r="H1362" s="11">
        <f>IF(A1362="","",IFERROR(VALUE(SUBSTITUTE(SUBSTITUTE(INDEX('Shopify Import'!$A:$CZ,1362,Settings!$E$25)&amp;"","$",""),",","")),0)/IF(Settings!$D$27="Yes",G1362,1))</f>
        <v/>
      </c>
      <c r="I1362" s="11">
        <f>IF(A1362="","",IFERROR(VALUE(SUBSTITUTE(SUBSTITUTE(INDEX('Shopify Import'!$A:$CZ,1362,Settings!$E$26)&amp;"","$",""),",","")),0)/IF(Settings!$D$27="Yes",G1362,1))</f>
        <v/>
      </c>
      <c r="J1362" s="11">
        <f>IF(A1362="","",F1362+H1362-I1362)</f>
        <v/>
      </c>
      <c r="K1362">
        <f>IF(A1362="","",IFERROR(IF(B1362="",NA(),MATCH(B1362,Products!$B$5:$B$204,0)),IFERROR(MATCH(A1362,Products!$A$5:$A$204,0),"")))</f>
        <v/>
      </c>
      <c r="L1362">
        <f>IF(A1362="","",IF(K1362="","⚠ not in Products",INDEX(Products!$A$5:$A$204,K1362)))</f>
        <v/>
      </c>
      <c r="M1362" s="11">
        <f>IF(A1362="","",J1362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1362+IFERROR(INDEX(Settings!$D$5:$D$9,MATCH("Shopify",Settings!$A$5:$A$9,0)),0)*D1362)</f>
        <v/>
      </c>
      <c r="N1362" s="11">
        <f>IF(A1362="","",IF(K1362="",0,D1362*INDEX(Products!$I$5:$I$204,K1362)))</f>
        <v/>
      </c>
      <c r="O1362" s="11">
        <f>IF(A1362="","",IF(K1362="",0,J1362*INDEX(Products!$H$5:$H$204,K1362)))</f>
        <v/>
      </c>
      <c r="P1362" s="11">
        <f>IF(A1362="","",J1362-M1362-N1362-O1362)</f>
        <v/>
      </c>
    </row>
    <row r="1363">
      <c r="A1363">
        <f>IFERROR(INDEX('Shopify Import'!$A:$CZ,1363,Settings!$E$20)&amp;"","")</f>
        <v/>
      </c>
      <c r="B1363">
        <f>IFERROR(INDEX('Shopify Import'!$A:$CZ,1363,Settings!$E$21)&amp;"","")</f>
        <v/>
      </c>
      <c r="C1363">
        <f>IFERROR(INDEX('Shopify Import'!$A:$CZ,1363,Settings!$E$22)&amp;"","")</f>
        <v/>
      </c>
      <c r="D1363">
        <f>IF(A1363="","",IFERROR(VALUE(SUBSTITUTE(SUBSTITUTE(INDEX('Shopify Import'!$A:$CZ,1363,Settings!$E$23)&amp;"","$",""),",","")),0))</f>
        <v/>
      </c>
      <c r="E1363" s="11">
        <f>IF(A1363="","",IFERROR(VALUE(SUBSTITUTE(SUBSTITUTE(INDEX('Shopify Import'!$A:$CZ,1363,Settings!$E$24)&amp;"","$",""),",","")),0))</f>
        <v/>
      </c>
      <c r="F1363" s="11">
        <f>IF(A1363="","",D1363*E1363)</f>
        <v/>
      </c>
      <c r="G1363">
        <f>IF(A1363="","",IF(C1363="",1,COUNTIF($C$2:$C$1501,C1363)))</f>
        <v/>
      </c>
      <c r="H1363" s="11">
        <f>IF(A1363="","",IFERROR(VALUE(SUBSTITUTE(SUBSTITUTE(INDEX('Shopify Import'!$A:$CZ,1363,Settings!$E$25)&amp;"","$",""),",","")),0)/IF(Settings!$D$27="Yes",G1363,1))</f>
        <v/>
      </c>
      <c r="I1363" s="11">
        <f>IF(A1363="","",IFERROR(VALUE(SUBSTITUTE(SUBSTITUTE(INDEX('Shopify Import'!$A:$CZ,1363,Settings!$E$26)&amp;"","$",""),",","")),0)/IF(Settings!$D$27="Yes",G1363,1))</f>
        <v/>
      </c>
      <c r="J1363" s="11">
        <f>IF(A1363="","",F1363+H1363-I1363)</f>
        <v/>
      </c>
      <c r="K1363">
        <f>IF(A1363="","",IFERROR(IF(B1363="",NA(),MATCH(B1363,Products!$B$5:$B$204,0)),IFERROR(MATCH(A1363,Products!$A$5:$A$204,0),"")))</f>
        <v/>
      </c>
      <c r="L1363">
        <f>IF(A1363="","",IF(K1363="","⚠ not in Products",INDEX(Products!$A$5:$A$204,K1363)))</f>
        <v/>
      </c>
      <c r="M1363" s="11">
        <f>IF(A1363="","",J1363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1363+IFERROR(INDEX(Settings!$D$5:$D$9,MATCH("Shopify",Settings!$A$5:$A$9,0)),0)*D1363)</f>
        <v/>
      </c>
      <c r="N1363" s="11">
        <f>IF(A1363="","",IF(K1363="",0,D1363*INDEX(Products!$I$5:$I$204,K1363)))</f>
        <v/>
      </c>
      <c r="O1363" s="11">
        <f>IF(A1363="","",IF(K1363="",0,J1363*INDEX(Products!$H$5:$H$204,K1363)))</f>
        <v/>
      </c>
      <c r="P1363" s="11">
        <f>IF(A1363="","",J1363-M1363-N1363-O1363)</f>
        <v/>
      </c>
    </row>
    <row r="1364">
      <c r="A1364">
        <f>IFERROR(INDEX('Shopify Import'!$A:$CZ,1364,Settings!$E$20)&amp;"","")</f>
        <v/>
      </c>
      <c r="B1364">
        <f>IFERROR(INDEX('Shopify Import'!$A:$CZ,1364,Settings!$E$21)&amp;"","")</f>
        <v/>
      </c>
      <c r="C1364">
        <f>IFERROR(INDEX('Shopify Import'!$A:$CZ,1364,Settings!$E$22)&amp;"","")</f>
        <v/>
      </c>
      <c r="D1364">
        <f>IF(A1364="","",IFERROR(VALUE(SUBSTITUTE(SUBSTITUTE(INDEX('Shopify Import'!$A:$CZ,1364,Settings!$E$23)&amp;"","$",""),",","")),0))</f>
        <v/>
      </c>
      <c r="E1364" s="11">
        <f>IF(A1364="","",IFERROR(VALUE(SUBSTITUTE(SUBSTITUTE(INDEX('Shopify Import'!$A:$CZ,1364,Settings!$E$24)&amp;"","$",""),",","")),0))</f>
        <v/>
      </c>
      <c r="F1364" s="11">
        <f>IF(A1364="","",D1364*E1364)</f>
        <v/>
      </c>
      <c r="G1364">
        <f>IF(A1364="","",IF(C1364="",1,COUNTIF($C$2:$C$1501,C1364)))</f>
        <v/>
      </c>
      <c r="H1364" s="11">
        <f>IF(A1364="","",IFERROR(VALUE(SUBSTITUTE(SUBSTITUTE(INDEX('Shopify Import'!$A:$CZ,1364,Settings!$E$25)&amp;"","$",""),",","")),0)/IF(Settings!$D$27="Yes",G1364,1))</f>
        <v/>
      </c>
      <c r="I1364" s="11">
        <f>IF(A1364="","",IFERROR(VALUE(SUBSTITUTE(SUBSTITUTE(INDEX('Shopify Import'!$A:$CZ,1364,Settings!$E$26)&amp;"","$",""),",","")),0)/IF(Settings!$D$27="Yes",G1364,1))</f>
        <v/>
      </c>
      <c r="J1364" s="11">
        <f>IF(A1364="","",F1364+H1364-I1364)</f>
        <v/>
      </c>
      <c r="K1364">
        <f>IF(A1364="","",IFERROR(IF(B1364="",NA(),MATCH(B1364,Products!$B$5:$B$204,0)),IFERROR(MATCH(A1364,Products!$A$5:$A$204,0),"")))</f>
        <v/>
      </c>
      <c r="L1364">
        <f>IF(A1364="","",IF(K1364="","⚠ not in Products",INDEX(Products!$A$5:$A$204,K1364)))</f>
        <v/>
      </c>
      <c r="M1364" s="11">
        <f>IF(A1364="","",J1364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1364+IFERROR(INDEX(Settings!$D$5:$D$9,MATCH("Shopify",Settings!$A$5:$A$9,0)),0)*D1364)</f>
        <v/>
      </c>
      <c r="N1364" s="11">
        <f>IF(A1364="","",IF(K1364="",0,D1364*INDEX(Products!$I$5:$I$204,K1364)))</f>
        <v/>
      </c>
      <c r="O1364" s="11">
        <f>IF(A1364="","",IF(K1364="",0,J1364*INDEX(Products!$H$5:$H$204,K1364)))</f>
        <v/>
      </c>
      <c r="P1364" s="11">
        <f>IF(A1364="","",J1364-M1364-N1364-O1364)</f>
        <v/>
      </c>
    </row>
    <row r="1365">
      <c r="A1365">
        <f>IFERROR(INDEX('Shopify Import'!$A:$CZ,1365,Settings!$E$20)&amp;"","")</f>
        <v/>
      </c>
      <c r="B1365">
        <f>IFERROR(INDEX('Shopify Import'!$A:$CZ,1365,Settings!$E$21)&amp;"","")</f>
        <v/>
      </c>
      <c r="C1365">
        <f>IFERROR(INDEX('Shopify Import'!$A:$CZ,1365,Settings!$E$22)&amp;"","")</f>
        <v/>
      </c>
      <c r="D1365">
        <f>IF(A1365="","",IFERROR(VALUE(SUBSTITUTE(SUBSTITUTE(INDEX('Shopify Import'!$A:$CZ,1365,Settings!$E$23)&amp;"","$",""),",","")),0))</f>
        <v/>
      </c>
      <c r="E1365" s="11">
        <f>IF(A1365="","",IFERROR(VALUE(SUBSTITUTE(SUBSTITUTE(INDEX('Shopify Import'!$A:$CZ,1365,Settings!$E$24)&amp;"","$",""),",","")),0))</f>
        <v/>
      </c>
      <c r="F1365" s="11">
        <f>IF(A1365="","",D1365*E1365)</f>
        <v/>
      </c>
      <c r="G1365">
        <f>IF(A1365="","",IF(C1365="",1,COUNTIF($C$2:$C$1501,C1365)))</f>
        <v/>
      </c>
      <c r="H1365" s="11">
        <f>IF(A1365="","",IFERROR(VALUE(SUBSTITUTE(SUBSTITUTE(INDEX('Shopify Import'!$A:$CZ,1365,Settings!$E$25)&amp;"","$",""),",","")),0)/IF(Settings!$D$27="Yes",G1365,1))</f>
        <v/>
      </c>
      <c r="I1365" s="11">
        <f>IF(A1365="","",IFERROR(VALUE(SUBSTITUTE(SUBSTITUTE(INDEX('Shopify Import'!$A:$CZ,1365,Settings!$E$26)&amp;"","$",""),",","")),0)/IF(Settings!$D$27="Yes",G1365,1))</f>
        <v/>
      </c>
      <c r="J1365" s="11">
        <f>IF(A1365="","",F1365+H1365-I1365)</f>
        <v/>
      </c>
      <c r="K1365">
        <f>IF(A1365="","",IFERROR(IF(B1365="",NA(),MATCH(B1365,Products!$B$5:$B$204,0)),IFERROR(MATCH(A1365,Products!$A$5:$A$204,0),"")))</f>
        <v/>
      </c>
      <c r="L1365">
        <f>IF(A1365="","",IF(K1365="","⚠ not in Products",INDEX(Products!$A$5:$A$204,K1365)))</f>
        <v/>
      </c>
      <c r="M1365" s="11">
        <f>IF(A1365="","",J1365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1365+IFERROR(INDEX(Settings!$D$5:$D$9,MATCH("Shopify",Settings!$A$5:$A$9,0)),0)*D1365)</f>
        <v/>
      </c>
      <c r="N1365" s="11">
        <f>IF(A1365="","",IF(K1365="",0,D1365*INDEX(Products!$I$5:$I$204,K1365)))</f>
        <v/>
      </c>
      <c r="O1365" s="11">
        <f>IF(A1365="","",IF(K1365="",0,J1365*INDEX(Products!$H$5:$H$204,K1365)))</f>
        <v/>
      </c>
      <c r="P1365" s="11">
        <f>IF(A1365="","",J1365-M1365-N1365-O1365)</f>
        <v/>
      </c>
    </row>
    <row r="1366">
      <c r="A1366">
        <f>IFERROR(INDEX('Shopify Import'!$A:$CZ,1366,Settings!$E$20)&amp;"","")</f>
        <v/>
      </c>
      <c r="B1366">
        <f>IFERROR(INDEX('Shopify Import'!$A:$CZ,1366,Settings!$E$21)&amp;"","")</f>
        <v/>
      </c>
      <c r="C1366">
        <f>IFERROR(INDEX('Shopify Import'!$A:$CZ,1366,Settings!$E$22)&amp;"","")</f>
        <v/>
      </c>
      <c r="D1366">
        <f>IF(A1366="","",IFERROR(VALUE(SUBSTITUTE(SUBSTITUTE(INDEX('Shopify Import'!$A:$CZ,1366,Settings!$E$23)&amp;"","$",""),",","")),0))</f>
        <v/>
      </c>
      <c r="E1366" s="11">
        <f>IF(A1366="","",IFERROR(VALUE(SUBSTITUTE(SUBSTITUTE(INDEX('Shopify Import'!$A:$CZ,1366,Settings!$E$24)&amp;"","$",""),",","")),0))</f>
        <v/>
      </c>
      <c r="F1366" s="11">
        <f>IF(A1366="","",D1366*E1366)</f>
        <v/>
      </c>
      <c r="G1366">
        <f>IF(A1366="","",IF(C1366="",1,COUNTIF($C$2:$C$1501,C1366)))</f>
        <v/>
      </c>
      <c r="H1366" s="11">
        <f>IF(A1366="","",IFERROR(VALUE(SUBSTITUTE(SUBSTITUTE(INDEX('Shopify Import'!$A:$CZ,1366,Settings!$E$25)&amp;"","$",""),",","")),0)/IF(Settings!$D$27="Yes",G1366,1))</f>
        <v/>
      </c>
      <c r="I1366" s="11">
        <f>IF(A1366="","",IFERROR(VALUE(SUBSTITUTE(SUBSTITUTE(INDEX('Shopify Import'!$A:$CZ,1366,Settings!$E$26)&amp;"","$",""),",","")),0)/IF(Settings!$D$27="Yes",G1366,1))</f>
        <v/>
      </c>
      <c r="J1366" s="11">
        <f>IF(A1366="","",F1366+H1366-I1366)</f>
        <v/>
      </c>
      <c r="K1366">
        <f>IF(A1366="","",IFERROR(IF(B1366="",NA(),MATCH(B1366,Products!$B$5:$B$204,0)),IFERROR(MATCH(A1366,Products!$A$5:$A$204,0),"")))</f>
        <v/>
      </c>
      <c r="L1366">
        <f>IF(A1366="","",IF(K1366="","⚠ not in Products",INDEX(Products!$A$5:$A$204,K1366)))</f>
        <v/>
      </c>
      <c r="M1366" s="11">
        <f>IF(A1366="","",J1366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1366+IFERROR(INDEX(Settings!$D$5:$D$9,MATCH("Shopify",Settings!$A$5:$A$9,0)),0)*D1366)</f>
        <v/>
      </c>
      <c r="N1366" s="11">
        <f>IF(A1366="","",IF(K1366="",0,D1366*INDEX(Products!$I$5:$I$204,K1366)))</f>
        <v/>
      </c>
      <c r="O1366" s="11">
        <f>IF(A1366="","",IF(K1366="",0,J1366*INDEX(Products!$H$5:$H$204,K1366)))</f>
        <v/>
      </c>
      <c r="P1366" s="11">
        <f>IF(A1366="","",J1366-M1366-N1366-O1366)</f>
        <v/>
      </c>
    </row>
    <row r="1367">
      <c r="A1367">
        <f>IFERROR(INDEX('Shopify Import'!$A:$CZ,1367,Settings!$E$20)&amp;"","")</f>
        <v/>
      </c>
      <c r="B1367">
        <f>IFERROR(INDEX('Shopify Import'!$A:$CZ,1367,Settings!$E$21)&amp;"","")</f>
        <v/>
      </c>
      <c r="C1367">
        <f>IFERROR(INDEX('Shopify Import'!$A:$CZ,1367,Settings!$E$22)&amp;"","")</f>
        <v/>
      </c>
      <c r="D1367">
        <f>IF(A1367="","",IFERROR(VALUE(SUBSTITUTE(SUBSTITUTE(INDEX('Shopify Import'!$A:$CZ,1367,Settings!$E$23)&amp;"","$",""),",","")),0))</f>
        <v/>
      </c>
      <c r="E1367" s="11">
        <f>IF(A1367="","",IFERROR(VALUE(SUBSTITUTE(SUBSTITUTE(INDEX('Shopify Import'!$A:$CZ,1367,Settings!$E$24)&amp;"","$",""),",","")),0))</f>
        <v/>
      </c>
      <c r="F1367" s="11">
        <f>IF(A1367="","",D1367*E1367)</f>
        <v/>
      </c>
      <c r="G1367">
        <f>IF(A1367="","",IF(C1367="",1,COUNTIF($C$2:$C$1501,C1367)))</f>
        <v/>
      </c>
      <c r="H1367" s="11">
        <f>IF(A1367="","",IFERROR(VALUE(SUBSTITUTE(SUBSTITUTE(INDEX('Shopify Import'!$A:$CZ,1367,Settings!$E$25)&amp;"","$",""),",","")),0)/IF(Settings!$D$27="Yes",G1367,1))</f>
        <v/>
      </c>
      <c r="I1367" s="11">
        <f>IF(A1367="","",IFERROR(VALUE(SUBSTITUTE(SUBSTITUTE(INDEX('Shopify Import'!$A:$CZ,1367,Settings!$E$26)&amp;"","$",""),",","")),0)/IF(Settings!$D$27="Yes",G1367,1))</f>
        <v/>
      </c>
      <c r="J1367" s="11">
        <f>IF(A1367="","",F1367+H1367-I1367)</f>
        <v/>
      </c>
      <c r="K1367">
        <f>IF(A1367="","",IFERROR(IF(B1367="",NA(),MATCH(B1367,Products!$B$5:$B$204,0)),IFERROR(MATCH(A1367,Products!$A$5:$A$204,0),"")))</f>
        <v/>
      </c>
      <c r="L1367">
        <f>IF(A1367="","",IF(K1367="","⚠ not in Products",INDEX(Products!$A$5:$A$204,K1367)))</f>
        <v/>
      </c>
      <c r="M1367" s="11">
        <f>IF(A1367="","",J1367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1367+IFERROR(INDEX(Settings!$D$5:$D$9,MATCH("Shopify",Settings!$A$5:$A$9,0)),0)*D1367)</f>
        <v/>
      </c>
      <c r="N1367" s="11">
        <f>IF(A1367="","",IF(K1367="",0,D1367*INDEX(Products!$I$5:$I$204,K1367)))</f>
        <v/>
      </c>
      <c r="O1367" s="11">
        <f>IF(A1367="","",IF(K1367="",0,J1367*INDEX(Products!$H$5:$H$204,K1367)))</f>
        <v/>
      </c>
      <c r="P1367" s="11">
        <f>IF(A1367="","",J1367-M1367-N1367-O1367)</f>
        <v/>
      </c>
    </row>
    <row r="1368">
      <c r="A1368">
        <f>IFERROR(INDEX('Shopify Import'!$A:$CZ,1368,Settings!$E$20)&amp;"","")</f>
        <v/>
      </c>
      <c r="B1368">
        <f>IFERROR(INDEX('Shopify Import'!$A:$CZ,1368,Settings!$E$21)&amp;"","")</f>
        <v/>
      </c>
      <c r="C1368">
        <f>IFERROR(INDEX('Shopify Import'!$A:$CZ,1368,Settings!$E$22)&amp;"","")</f>
        <v/>
      </c>
      <c r="D1368">
        <f>IF(A1368="","",IFERROR(VALUE(SUBSTITUTE(SUBSTITUTE(INDEX('Shopify Import'!$A:$CZ,1368,Settings!$E$23)&amp;"","$",""),",","")),0))</f>
        <v/>
      </c>
      <c r="E1368" s="11">
        <f>IF(A1368="","",IFERROR(VALUE(SUBSTITUTE(SUBSTITUTE(INDEX('Shopify Import'!$A:$CZ,1368,Settings!$E$24)&amp;"","$",""),",","")),0))</f>
        <v/>
      </c>
      <c r="F1368" s="11">
        <f>IF(A1368="","",D1368*E1368)</f>
        <v/>
      </c>
      <c r="G1368">
        <f>IF(A1368="","",IF(C1368="",1,COUNTIF($C$2:$C$1501,C1368)))</f>
        <v/>
      </c>
      <c r="H1368" s="11">
        <f>IF(A1368="","",IFERROR(VALUE(SUBSTITUTE(SUBSTITUTE(INDEX('Shopify Import'!$A:$CZ,1368,Settings!$E$25)&amp;"","$",""),",","")),0)/IF(Settings!$D$27="Yes",G1368,1))</f>
        <v/>
      </c>
      <c r="I1368" s="11">
        <f>IF(A1368="","",IFERROR(VALUE(SUBSTITUTE(SUBSTITUTE(INDEX('Shopify Import'!$A:$CZ,1368,Settings!$E$26)&amp;"","$",""),",","")),0)/IF(Settings!$D$27="Yes",G1368,1))</f>
        <v/>
      </c>
      <c r="J1368" s="11">
        <f>IF(A1368="","",F1368+H1368-I1368)</f>
        <v/>
      </c>
      <c r="K1368">
        <f>IF(A1368="","",IFERROR(IF(B1368="",NA(),MATCH(B1368,Products!$B$5:$B$204,0)),IFERROR(MATCH(A1368,Products!$A$5:$A$204,0),"")))</f>
        <v/>
      </c>
      <c r="L1368">
        <f>IF(A1368="","",IF(K1368="","⚠ not in Products",INDEX(Products!$A$5:$A$204,K1368)))</f>
        <v/>
      </c>
      <c r="M1368" s="11">
        <f>IF(A1368="","",J1368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1368+IFERROR(INDEX(Settings!$D$5:$D$9,MATCH("Shopify",Settings!$A$5:$A$9,0)),0)*D1368)</f>
        <v/>
      </c>
      <c r="N1368" s="11">
        <f>IF(A1368="","",IF(K1368="",0,D1368*INDEX(Products!$I$5:$I$204,K1368)))</f>
        <v/>
      </c>
      <c r="O1368" s="11">
        <f>IF(A1368="","",IF(K1368="",0,J1368*INDEX(Products!$H$5:$H$204,K1368)))</f>
        <v/>
      </c>
      <c r="P1368" s="11">
        <f>IF(A1368="","",J1368-M1368-N1368-O1368)</f>
        <v/>
      </c>
    </row>
    <row r="1369">
      <c r="A1369">
        <f>IFERROR(INDEX('Shopify Import'!$A:$CZ,1369,Settings!$E$20)&amp;"","")</f>
        <v/>
      </c>
      <c r="B1369">
        <f>IFERROR(INDEX('Shopify Import'!$A:$CZ,1369,Settings!$E$21)&amp;"","")</f>
        <v/>
      </c>
      <c r="C1369">
        <f>IFERROR(INDEX('Shopify Import'!$A:$CZ,1369,Settings!$E$22)&amp;"","")</f>
        <v/>
      </c>
      <c r="D1369">
        <f>IF(A1369="","",IFERROR(VALUE(SUBSTITUTE(SUBSTITUTE(INDEX('Shopify Import'!$A:$CZ,1369,Settings!$E$23)&amp;"","$",""),",","")),0))</f>
        <v/>
      </c>
      <c r="E1369" s="11">
        <f>IF(A1369="","",IFERROR(VALUE(SUBSTITUTE(SUBSTITUTE(INDEX('Shopify Import'!$A:$CZ,1369,Settings!$E$24)&amp;"","$",""),",","")),0))</f>
        <v/>
      </c>
      <c r="F1369" s="11">
        <f>IF(A1369="","",D1369*E1369)</f>
        <v/>
      </c>
      <c r="G1369">
        <f>IF(A1369="","",IF(C1369="",1,COUNTIF($C$2:$C$1501,C1369)))</f>
        <v/>
      </c>
      <c r="H1369" s="11">
        <f>IF(A1369="","",IFERROR(VALUE(SUBSTITUTE(SUBSTITUTE(INDEX('Shopify Import'!$A:$CZ,1369,Settings!$E$25)&amp;"","$",""),",","")),0)/IF(Settings!$D$27="Yes",G1369,1))</f>
        <v/>
      </c>
      <c r="I1369" s="11">
        <f>IF(A1369="","",IFERROR(VALUE(SUBSTITUTE(SUBSTITUTE(INDEX('Shopify Import'!$A:$CZ,1369,Settings!$E$26)&amp;"","$",""),",","")),0)/IF(Settings!$D$27="Yes",G1369,1))</f>
        <v/>
      </c>
      <c r="J1369" s="11">
        <f>IF(A1369="","",F1369+H1369-I1369)</f>
        <v/>
      </c>
      <c r="K1369">
        <f>IF(A1369="","",IFERROR(IF(B1369="",NA(),MATCH(B1369,Products!$B$5:$B$204,0)),IFERROR(MATCH(A1369,Products!$A$5:$A$204,0),"")))</f>
        <v/>
      </c>
      <c r="L1369">
        <f>IF(A1369="","",IF(K1369="","⚠ not in Products",INDEX(Products!$A$5:$A$204,K1369)))</f>
        <v/>
      </c>
      <c r="M1369" s="11">
        <f>IF(A1369="","",J1369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1369+IFERROR(INDEX(Settings!$D$5:$D$9,MATCH("Shopify",Settings!$A$5:$A$9,0)),0)*D1369)</f>
        <v/>
      </c>
      <c r="N1369" s="11">
        <f>IF(A1369="","",IF(K1369="",0,D1369*INDEX(Products!$I$5:$I$204,K1369)))</f>
        <v/>
      </c>
      <c r="O1369" s="11">
        <f>IF(A1369="","",IF(K1369="",0,J1369*INDEX(Products!$H$5:$H$204,K1369)))</f>
        <v/>
      </c>
      <c r="P1369" s="11">
        <f>IF(A1369="","",J1369-M1369-N1369-O1369)</f>
        <v/>
      </c>
    </row>
    <row r="1370">
      <c r="A1370">
        <f>IFERROR(INDEX('Shopify Import'!$A:$CZ,1370,Settings!$E$20)&amp;"","")</f>
        <v/>
      </c>
      <c r="B1370">
        <f>IFERROR(INDEX('Shopify Import'!$A:$CZ,1370,Settings!$E$21)&amp;"","")</f>
        <v/>
      </c>
      <c r="C1370">
        <f>IFERROR(INDEX('Shopify Import'!$A:$CZ,1370,Settings!$E$22)&amp;"","")</f>
        <v/>
      </c>
      <c r="D1370">
        <f>IF(A1370="","",IFERROR(VALUE(SUBSTITUTE(SUBSTITUTE(INDEX('Shopify Import'!$A:$CZ,1370,Settings!$E$23)&amp;"","$",""),",","")),0))</f>
        <v/>
      </c>
      <c r="E1370" s="11">
        <f>IF(A1370="","",IFERROR(VALUE(SUBSTITUTE(SUBSTITUTE(INDEX('Shopify Import'!$A:$CZ,1370,Settings!$E$24)&amp;"","$",""),",","")),0))</f>
        <v/>
      </c>
      <c r="F1370" s="11">
        <f>IF(A1370="","",D1370*E1370)</f>
        <v/>
      </c>
      <c r="G1370">
        <f>IF(A1370="","",IF(C1370="",1,COUNTIF($C$2:$C$1501,C1370)))</f>
        <v/>
      </c>
      <c r="H1370" s="11">
        <f>IF(A1370="","",IFERROR(VALUE(SUBSTITUTE(SUBSTITUTE(INDEX('Shopify Import'!$A:$CZ,1370,Settings!$E$25)&amp;"","$",""),",","")),0)/IF(Settings!$D$27="Yes",G1370,1))</f>
        <v/>
      </c>
      <c r="I1370" s="11">
        <f>IF(A1370="","",IFERROR(VALUE(SUBSTITUTE(SUBSTITUTE(INDEX('Shopify Import'!$A:$CZ,1370,Settings!$E$26)&amp;"","$",""),",","")),0)/IF(Settings!$D$27="Yes",G1370,1))</f>
        <v/>
      </c>
      <c r="J1370" s="11">
        <f>IF(A1370="","",F1370+H1370-I1370)</f>
        <v/>
      </c>
      <c r="K1370">
        <f>IF(A1370="","",IFERROR(IF(B1370="",NA(),MATCH(B1370,Products!$B$5:$B$204,0)),IFERROR(MATCH(A1370,Products!$A$5:$A$204,0),"")))</f>
        <v/>
      </c>
      <c r="L1370">
        <f>IF(A1370="","",IF(K1370="","⚠ not in Products",INDEX(Products!$A$5:$A$204,K1370)))</f>
        <v/>
      </c>
      <c r="M1370" s="11">
        <f>IF(A1370="","",J1370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1370+IFERROR(INDEX(Settings!$D$5:$D$9,MATCH("Shopify",Settings!$A$5:$A$9,0)),0)*D1370)</f>
        <v/>
      </c>
      <c r="N1370" s="11">
        <f>IF(A1370="","",IF(K1370="",0,D1370*INDEX(Products!$I$5:$I$204,K1370)))</f>
        <v/>
      </c>
      <c r="O1370" s="11">
        <f>IF(A1370="","",IF(K1370="",0,J1370*INDEX(Products!$H$5:$H$204,K1370)))</f>
        <v/>
      </c>
      <c r="P1370" s="11">
        <f>IF(A1370="","",J1370-M1370-N1370-O1370)</f>
        <v/>
      </c>
    </row>
    <row r="1371">
      <c r="A1371">
        <f>IFERROR(INDEX('Shopify Import'!$A:$CZ,1371,Settings!$E$20)&amp;"","")</f>
        <v/>
      </c>
      <c r="B1371">
        <f>IFERROR(INDEX('Shopify Import'!$A:$CZ,1371,Settings!$E$21)&amp;"","")</f>
        <v/>
      </c>
      <c r="C1371">
        <f>IFERROR(INDEX('Shopify Import'!$A:$CZ,1371,Settings!$E$22)&amp;"","")</f>
        <v/>
      </c>
      <c r="D1371">
        <f>IF(A1371="","",IFERROR(VALUE(SUBSTITUTE(SUBSTITUTE(INDEX('Shopify Import'!$A:$CZ,1371,Settings!$E$23)&amp;"","$",""),",","")),0))</f>
        <v/>
      </c>
      <c r="E1371" s="11">
        <f>IF(A1371="","",IFERROR(VALUE(SUBSTITUTE(SUBSTITUTE(INDEX('Shopify Import'!$A:$CZ,1371,Settings!$E$24)&amp;"","$",""),",","")),0))</f>
        <v/>
      </c>
      <c r="F1371" s="11">
        <f>IF(A1371="","",D1371*E1371)</f>
        <v/>
      </c>
      <c r="G1371">
        <f>IF(A1371="","",IF(C1371="",1,COUNTIF($C$2:$C$1501,C1371)))</f>
        <v/>
      </c>
      <c r="H1371" s="11">
        <f>IF(A1371="","",IFERROR(VALUE(SUBSTITUTE(SUBSTITUTE(INDEX('Shopify Import'!$A:$CZ,1371,Settings!$E$25)&amp;"","$",""),",","")),0)/IF(Settings!$D$27="Yes",G1371,1))</f>
        <v/>
      </c>
      <c r="I1371" s="11">
        <f>IF(A1371="","",IFERROR(VALUE(SUBSTITUTE(SUBSTITUTE(INDEX('Shopify Import'!$A:$CZ,1371,Settings!$E$26)&amp;"","$",""),",","")),0)/IF(Settings!$D$27="Yes",G1371,1))</f>
        <v/>
      </c>
      <c r="J1371" s="11">
        <f>IF(A1371="","",F1371+H1371-I1371)</f>
        <v/>
      </c>
      <c r="K1371">
        <f>IF(A1371="","",IFERROR(IF(B1371="",NA(),MATCH(B1371,Products!$B$5:$B$204,0)),IFERROR(MATCH(A1371,Products!$A$5:$A$204,0),"")))</f>
        <v/>
      </c>
      <c r="L1371">
        <f>IF(A1371="","",IF(K1371="","⚠ not in Products",INDEX(Products!$A$5:$A$204,K1371)))</f>
        <v/>
      </c>
      <c r="M1371" s="11">
        <f>IF(A1371="","",J1371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1371+IFERROR(INDEX(Settings!$D$5:$D$9,MATCH("Shopify",Settings!$A$5:$A$9,0)),0)*D1371)</f>
        <v/>
      </c>
      <c r="N1371" s="11">
        <f>IF(A1371="","",IF(K1371="",0,D1371*INDEX(Products!$I$5:$I$204,K1371)))</f>
        <v/>
      </c>
      <c r="O1371" s="11">
        <f>IF(A1371="","",IF(K1371="",0,J1371*INDEX(Products!$H$5:$H$204,K1371)))</f>
        <v/>
      </c>
      <c r="P1371" s="11">
        <f>IF(A1371="","",J1371-M1371-N1371-O1371)</f>
        <v/>
      </c>
    </row>
    <row r="1372">
      <c r="A1372">
        <f>IFERROR(INDEX('Shopify Import'!$A:$CZ,1372,Settings!$E$20)&amp;"","")</f>
        <v/>
      </c>
      <c r="B1372">
        <f>IFERROR(INDEX('Shopify Import'!$A:$CZ,1372,Settings!$E$21)&amp;"","")</f>
        <v/>
      </c>
      <c r="C1372">
        <f>IFERROR(INDEX('Shopify Import'!$A:$CZ,1372,Settings!$E$22)&amp;"","")</f>
        <v/>
      </c>
      <c r="D1372">
        <f>IF(A1372="","",IFERROR(VALUE(SUBSTITUTE(SUBSTITUTE(INDEX('Shopify Import'!$A:$CZ,1372,Settings!$E$23)&amp;"","$",""),",","")),0))</f>
        <v/>
      </c>
      <c r="E1372" s="11">
        <f>IF(A1372="","",IFERROR(VALUE(SUBSTITUTE(SUBSTITUTE(INDEX('Shopify Import'!$A:$CZ,1372,Settings!$E$24)&amp;"","$",""),",","")),0))</f>
        <v/>
      </c>
      <c r="F1372" s="11">
        <f>IF(A1372="","",D1372*E1372)</f>
        <v/>
      </c>
      <c r="G1372">
        <f>IF(A1372="","",IF(C1372="",1,COUNTIF($C$2:$C$1501,C1372)))</f>
        <v/>
      </c>
      <c r="H1372" s="11">
        <f>IF(A1372="","",IFERROR(VALUE(SUBSTITUTE(SUBSTITUTE(INDEX('Shopify Import'!$A:$CZ,1372,Settings!$E$25)&amp;"","$",""),",","")),0)/IF(Settings!$D$27="Yes",G1372,1))</f>
        <v/>
      </c>
      <c r="I1372" s="11">
        <f>IF(A1372="","",IFERROR(VALUE(SUBSTITUTE(SUBSTITUTE(INDEX('Shopify Import'!$A:$CZ,1372,Settings!$E$26)&amp;"","$",""),",","")),0)/IF(Settings!$D$27="Yes",G1372,1))</f>
        <v/>
      </c>
      <c r="J1372" s="11">
        <f>IF(A1372="","",F1372+H1372-I1372)</f>
        <v/>
      </c>
      <c r="K1372">
        <f>IF(A1372="","",IFERROR(IF(B1372="",NA(),MATCH(B1372,Products!$B$5:$B$204,0)),IFERROR(MATCH(A1372,Products!$A$5:$A$204,0),"")))</f>
        <v/>
      </c>
      <c r="L1372">
        <f>IF(A1372="","",IF(K1372="","⚠ not in Products",INDEX(Products!$A$5:$A$204,K1372)))</f>
        <v/>
      </c>
      <c r="M1372" s="11">
        <f>IF(A1372="","",J1372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1372+IFERROR(INDEX(Settings!$D$5:$D$9,MATCH("Shopify",Settings!$A$5:$A$9,0)),0)*D1372)</f>
        <v/>
      </c>
      <c r="N1372" s="11">
        <f>IF(A1372="","",IF(K1372="",0,D1372*INDEX(Products!$I$5:$I$204,K1372)))</f>
        <v/>
      </c>
      <c r="O1372" s="11">
        <f>IF(A1372="","",IF(K1372="",0,J1372*INDEX(Products!$H$5:$H$204,K1372)))</f>
        <v/>
      </c>
      <c r="P1372" s="11">
        <f>IF(A1372="","",J1372-M1372-N1372-O1372)</f>
        <v/>
      </c>
    </row>
    <row r="1373">
      <c r="A1373">
        <f>IFERROR(INDEX('Shopify Import'!$A:$CZ,1373,Settings!$E$20)&amp;"","")</f>
        <v/>
      </c>
      <c r="B1373">
        <f>IFERROR(INDEX('Shopify Import'!$A:$CZ,1373,Settings!$E$21)&amp;"","")</f>
        <v/>
      </c>
      <c r="C1373">
        <f>IFERROR(INDEX('Shopify Import'!$A:$CZ,1373,Settings!$E$22)&amp;"","")</f>
        <v/>
      </c>
      <c r="D1373">
        <f>IF(A1373="","",IFERROR(VALUE(SUBSTITUTE(SUBSTITUTE(INDEX('Shopify Import'!$A:$CZ,1373,Settings!$E$23)&amp;"","$",""),",","")),0))</f>
        <v/>
      </c>
      <c r="E1373" s="11">
        <f>IF(A1373="","",IFERROR(VALUE(SUBSTITUTE(SUBSTITUTE(INDEX('Shopify Import'!$A:$CZ,1373,Settings!$E$24)&amp;"","$",""),",","")),0))</f>
        <v/>
      </c>
      <c r="F1373" s="11">
        <f>IF(A1373="","",D1373*E1373)</f>
        <v/>
      </c>
      <c r="G1373">
        <f>IF(A1373="","",IF(C1373="",1,COUNTIF($C$2:$C$1501,C1373)))</f>
        <v/>
      </c>
      <c r="H1373" s="11">
        <f>IF(A1373="","",IFERROR(VALUE(SUBSTITUTE(SUBSTITUTE(INDEX('Shopify Import'!$A:$CZ,1373,Settings!$E$25)&amp;"","$",""),",","")),0)/IF(Settings!$D$27="Yes",G1373,1))</f>
        <v/>
      </c>
      <c r="I1373" s="11">
        <f>IF(A1373="","",IFERROR(VALUE(SUBSTITUTE(SUBSTITUTE(INDEX('Shopify Import'!$A:$CZ,1373,Settings!$E$26)&amp;"","$",""),",","")),0)/IF(Settings!$D$27="Yes",G1373,1))</f>
        <v/>
      </c>
      <c r="J1373" s="11">
        <f>IF(A1373="","",F1373+H1373-I1373)</f>
        <v/>
      </c>
      <c r="K1373">
        <f>IF(A1373="","",IFERROR(IF(B1373="",NA(),MATCH(B1373,Products!$B$5:$B$204,0)),IFERROR(MATCH(A1373,Products!$A$5:$A$204,0),"")))</f>
        <v/>
      </c>
      <c r="L1373">
        <f>IF(A1373="","",IF(K1373="","⚠ not in Products",INDEX(Products!$A$5:$A$204,K1373)))</f>
        <v/>
      </c>
      <c r="M1373" s="11">
        <f>IF(A1373="","",J1373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1373+IFERROR(INDEX(Settings!$D$5:$D$9,MATCH("Shopify",Settings!$A$5:$A$9,0)),0)*D1373)</f>
        <v/>
      </c>
      <c r="N1373" s="11">
        <f>IF(A1373="","",IF(K1373="",0,D1373*INDEX(Products!$I$5:$I$204,K1373)))</f>
        <v/>
      </c>
      <c r="O1373" s="11">
        <f>IF(A1373="","",IF(K1373="",0,J1373*INDEX(Products!$H$5:$H$204,K1373)))</f>
        <v/>
      </c>
      <c r="P1373" s="11">
        <f>IF(A1373="","",J1373-M1373-N1373-O1373)</f>
        <v/>
      </c>
    </row>
    <row r="1374">
      <c r="A1374">
        <f>IFERROR(INDEX('Shopify Import'!$A:$CZ,1374,Settings!$E$20)&amp;"","")</f>
        <v/>
      </c>
      <c r="B1374">
        <f>IFERROR(INDEX('Shopify Import'!$A:$CZ,1374,Settings!$E$21)&amp;"","")</f>
        <v/>
      </c>
      <c r="C1374">
        <f>IFERROR(INDEX('Shopify Import'!$A:$CZ,1374,Settings!$E$22)&amp;"","")</f>
        <v/>
      </c>
      <c r="D1374">
        <f>IF(A1374="","",IFERROR(VALUE(SUBSTITUTE(SUBSTITUTE(INDEX('Shopify Import'!$A:$CZ,1374,Settings!$E$23)&amp;"","$",""),",","")),0))</f>
        <v/>
      </c>
      <c r="E1374" s="11">
        <f>IF(A1374="","",IFERROR(VALUE(SUBSTITUTE(SUBSTITUTE(INDEX('Shopify Import'!$A:$CZ,1374,Settings!$E$24)&amp;"","$",""),",","")),0))</f>
        <v/>
      </c>
      <c r="F1374" s="11">
        <f>IF(A1374="","",D1374*E1374)</f>
        <v/>
      </c>
      <c r="G1374">
        <f>IF(A1374="","",IF(C1374="",1,COUNTIF($C$2:$C$1501,C1374)))</f>
        <v/>
      </c>
      <c r="H1374" s="11">
        <f>IF(A1374="","",IFERROR(VALUE(SUBSTITUTE(SUBSTITUTE(INDEX('Shopify Import'!$A:$CZ,1374,Settings!$E$25)&amp;"","$",""),",","")),0)/IF(Settings!$D$27="Yes",G1374,1))</f>
        <v/>
      </c>
      <c r="I1374" s="11">
        <f>IF(A1374="","",IFERROR(VALUE(SUBSTITUTE(SUBSTITUTE(INDEX('Shopify Import'!$A:$CZ,1374,Settings!$E$26)&amp;"","$",""),",","")),0)/IF(Settings!$D$27="Yes",G1374,1))</f>
        <v/>
      </c>
      <c r="J1374" s="11">
        <f>IF(A1374="","",F1374+H1374-I1374)</f>
        <v/>
      </c>
      <c r="K1374">
        <f>IF(A1374="","",IFERROR(IF(B1374="",NA(),MATCH(B1374,Products!$B$5:$B$204,0)),IFERROR(MATCH(A1374,Products!$A$5:$A$204,0),"")))</f>
        <v/>
      </c>
      <c r="L1374">
        <f>IF(A1374="","",IF(K1374="","⚠ not in Products",INDEX(Products!$A$5:$A$204,K1374)))</f>
        <v/>
      </c>
      <c r="M1374" s="11">
        <f>IF(A1374="","",J1374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1374+IFERROR(INDEX(Settings!$D$5:$D$9,MATCH("Shopify",Settings!$A$5:$A$9,0)),0)*D1374)</f>
        <v/>
      </c>
      <c r="N1374" s="11">
        <f>IF(A1374="","",IF(K1374="",0,D1374*INDEX(Products!$I$5:$I$204,K1374)))</f>
        <v/>
      </c>
      <c r="O1374" s="11">
        <f>IF(A1374="","",IF(K1374="",0,J1374*INDEX(Products!$H$5:$H$204,K1374)))</f>
        <v/>
      </c>
      <c r="P1374" s="11">
        <f>IF(A1374="","",J1374-M1374-N1374-O1374)</f>
        <v/>
      </c>
    </row>
    <row r="1375">
      <c r="A1375">
        <f>IFERROR(INDEX('Shopify Import'!$A:$CZ,1375,Settings!$E$20)&amp;"","")</f>
        <v/>
      </c>
      <c r="B1375">
        <f>IFERROR(INDEX('Shopify Import'!$A:$CZ,1375,Settings!$E$21)&amp;"","")</f>
        <v/>
      </c>
      <c r="C1375">
        <f>IFERROR(INDEX('Shopify Import'!$A:$CZ,1375,Settings!$E$22)&amp;"","")</f>
        <v/>
      </c>
      <c r="D1375">
        <f>IF(A1375="","",IFERROR(VALUE(SUBSTITUTE(SUBSTITUTE(INDEX('Shopify Import'!$A:$CZ,1375,Settings!$E$23)&amp;"","$",""),",","")),0))</f>
        <v/>
      </c>
      <c r="E1375" s="11">
        <f>IF(A1375="","",IFERROR(VALUE(SUBSTITUTE(SUBSTITUTE(INDEX('Shopify Import'!$A:$CZ,1375,Settings!$E$24)&amp;"","$",""),",","")),0))</f>
        <v/>
      </c>
      <c r="F1375" s="11">
        <f>IF(A1375="","",D1375*E1375)</f>
        <v/>
      </c>
      <c r="G1375">
        <f>IF(A1375="","",IF(C1375="",1,COUNTIF($C$2:$C$1501,C1375)))</f>
        <v/>
      </c>
      <c r="H1375" s="11">
        <f>IF(A1375="","",IFERROR(VALUE(SUBSTITUTE(SUBSTITUTE(INDEX('Shopify Import'!$A:$CZ,1375,Settings!$E$25)&amp;"","$",""),",","")),0)/IF(Settings!$D$27="Yes",G1375,1))</f>
        <v/>
      </c>
      <c r="I1375" s="11">
        <f>IF(A1375="","",IFERROR(VALUE(SUBSTITUTE(SUBSTITUTE(INDEX('Shopify Import'!$A:$CZ,1375,Settings!$E$26)&amp;"","$",""),",","")),0)/IF(Settings!$D$27="Yes",G1375,1))</f>
        <v/>
      </c>
      <c r="J1375" s="11">
        <f>IF(A1375="","",F1375+H1375-I1375)</f>
        <v/>
      </c>
      <c r="K1375">
        <f>IF(A1375="","",IFERROR(IF(B1375="",NA(),MATCH(B1375,Products!$B$5:$B$204,0)),IFERROR(MATCH(A1375,Products!$A$5:$A$204,0),"")))</f>
        <v/>
      </c>
      <c r="L1375">
        <f>IF(A1375="","",IF(K1375="","⚠ not in Products",INDEX(Products!$A$5:$A$204,K1375)))</f>
        <v/>
      </c>
      <c r="M1375" s="11">
        <f>IF(A1375="","",J1375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1375+IFERROR(INDEX(Settings!$D$5:$D$9,MATCH("Shopify",Settings!$A$5:$A$9,0)),0)*D1375)</f>
        <v/>
      </c>
      <c r="N1375" s="11">
        <f>IF(A1375="","",IF(K1375="",0,D1375*INDEX(Products!$I$5:$I$204,K1375)))</f>
        <v/>
      </c>
      <c r="O1375" s="11">
        <f>IF(A1375="","",IF(K1375="",0,J1375*INDEX(Products!$H$5:$H$204,K1375)))</f>
        <v/>
      </c>
      <c r="P1375" s="11">
        <f>IF(A1375="","",J1375-M1375-N1375-O1375)</f>
        <v/>
      </c>
    </row>
    <row r="1376">
      <c r="A1376">
        <f>IFERROR(INDEX('Shopify Import'!$A:$CZ,1376,Settings!$E$20)&amp;"","")</f>
        <v/>
      </c>
      <c r="B1376">
        <f>IFERROR(INDEX('Shopify Import'!$A:$CZ,1376,Settings!$E$21)&amp;"","")</f>
        <v/>
      </c>
      <c r="C1376">
        <f>IFERROR(INDEX('Shopify Import'!$A:$CZ,1376,Settings!$E$22)&amp;"","")</f>
        <v/>
      </c>
      <c r="D1376">
        <f>IF(A1376="","",IFERROR(VALUE(SUBSTITUTE(SUBSTITUTE(INDEX('Shopify Import'!$A:$CZ,1376,Settings!$E$23)&amp;"","$",""),",","")),0))</f>
        <v/>
      </c>
      <c r="E1376" s="11">
        <f>IF(A1376="","",IFERROR(VALUE(SUBSTITUTE(SUBSTITUTE(INDEX('Shopify Import'!$A:$CZ,1376,Settings!$E$24)&amp;"","$",""),",","")),0))</f>
        <v/>
      </c>
      <c r="F1376" s="11">
        <f>IF(A1376="","",D1376*E1376)</f>
        <v/>
      </c>
      <c r="G1376">
        <f>IF(A1376="","",IF(C1376="",1,COUNTIF($C$2:$C$1501,C1376)))</f>
        <v/>
      </c>
      <c r="H1376" s="11">
        <f>IF(A1376="","",IFERROR(VALUE(SUBSTITUTE(SUBSTITUTE(INDEX('Shopify Import'!$A:$CZ,1376,Settings!$E$25)&amp;"","$",""),",","")),0)/IF(Settings!$D$27="Yes",G1376,1))</f>
        <v/>
      </c>
      <c r="I1376" s="11">
        <f>IF(A1376="","",IFERROR(VALUE(SUBSTITUTE(SUBSTITUTE(INDEX('Shopify Import'!$A:$CZ,1376,Settings!$E$26)&amp;"","$",""),",","")),0)/IF(Settings!$D$27="Yes",G1376,1))</f>
        <v/>
      </c>
      <c r="J1376" s="11">
        <f>IF(A1376="","",F1376+H1376-I1376)</f>
        <v/>
      </c>
      <c r="K1376">
        <f>IF(A1376="","",IFERROR(IF(B1376="",NA(),MATCH(B1376,Products!$B$5:$B$204,0)),IFERROR(MATCH(A1376,Products!$A$5:$A$204,0),"")))</f>
        <v/>
      </c>
      <c r="L1376">
        <f>IF(A1376="","",IF(K1376="","⚠ not in Products",INDEX(Products!$A$5:$A$204,K1376)))</f>
        <v/>
      </c>
      <c r="M1376" s="11">
        <f>IF(A1376="","",J1376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1376+IFERROR(INDEX(Settings!$D$5:$D$9,MATCH("Shopify",Settings!$A$5:$A$9,0)),0)*D1376)</f>
        <v/>
      </c>
      <c r="N1376" s="11">
        <f>IF(A1376="","",IF(K1376="",0,D1376*INDEX(Products!$I$5:$I$204,K1376)))</f>
        <v/>
      </c>
      <c r="O1376" s="11">
        <f>IF(A1376="","",IF(K1376="",0,J1376*INDEX(Products!$H$5:$H$204,K1376)))</f>
        <v/>
      </c>
      <c r="P1376" s="11">
        <f>IF(A1376="","",J1376-M1376-N1376-O1376)</f>
        <v/>
      </c>
    </row>
    <row r="1377">
      <c r="A1377">
        <f>IFERROR(INDEX('Shopify Import'!$A:$CZ,1377,Settings!$E$20)&amp;"","")</f>
        <v/>
      </c>
      <c r="B1377">
        <f>IFERROR(INDEX('Shopify Import'!$A:$CZ,1377,Settings!$E$21)&amp;"","")</f>
        <v/>
      </c>
      <c r="C1377">
        <f>IFERROR(INDEX('Shopify Import'!$A:$CZ,1377,Settings!$E$22)&amp;"","")</f>
        <v/>
      </c>
      <c r="D1377">
        <f>IF(A1377="","",IFERROR(VALUE(SUBSTITUTE(SUBSTITUTE(INDEX('Shopify Import'!$A:$CZ,1377,Settings!$E$23)&amp;"","$",""),",","")),0))</f>
        <v/>
      </c>
      <c r="E1377" s="11">
        <f>IF(A1377="","",IFERROR(VALUE(SUBSTITUTE(SUBSTITUTE(INDEX('Shopify Import'!$A:$CZ,1377,Settings!$E$24)&amp;"","$",""),",","")),0))</f>
        <v/>
      </c>
      <c r="F1377" s="11">
        <f>IF(A1377="","",D1377*E1377)</f>
        <v/>
      </c>
      <c r="G1377">
        <f>IF(A1377="","",IF(C1377="",1,COUNTIF($C$2:$C$1501,C1377)))</f>
        <v/>
      </c>
      <c r="H1377" s="11">
        <f>IF(A1377="","",IFERROR(VALUE(SUBSTITUTE(SUBSTITUTE(INDEX('Shopify Import'!$A:$CZ,1377,Settings!$E$25)&amp;"","$",""),",","")),0)/IF(Settings!$D$27="Yes",G1377,1))</f>
        <v/>
      </c>
      <c r="I1377" s="11">
        <f>IF(A1377="","",IFERROR(VALUE(SUBSTITUTE(SUBSTITUTE(INDEX('Shopify Import'!$A:$CZ,1377,Settings!$E$26)&amp;"","$",""),",","")),0)/IF(Settings!$D$27="Yes",G1377,1))</f>
        <v/>
      </c>
      <c r="J1377" s="11">
        <f>IF(A1377="","",F1377+H1377-I1377)</f>
        <v/>
      </c>
      <c r="K1377">
        <f>IF(A1377="","",IFERROR(IF(B1377="",NA(),MATCH(B1377,Products!$B$5:$B$204,0)),IFERROR(MATCH(A1377,Products!$A$5:$A$204,0),"")))</f>
        <v/>
      </c>
      <c r="L1377">
        <f>IF(A1377="","",IF(K1377="","⚠ not in Products",INDEX(Products!$A$5:$A$204,K1377)))</f>
        <v/>
      </c>
      <c r="M1377" s="11">
        <f>IF(A1377="","",J1377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1377+IFERROR(INDEX(Settings!$D$5:$D$9,MATCH("Shopify",Settings!$A$5:$A$9,0)),0)*D1377)</f>
        <v/>
      </c>
      <c r="N1377" s="11">
        <f>IF(A1377="","",IF(K1377="",0,D1377*INDEX(Products!$I$5:$I$204,K1377)))</f>
        <v/>
      </c>
      <c r="O1377" s="11">
        <f>IF(A1377="","",IF(K1377="",0,J1377*INDEX(Products!$H$5:$H$204,K1377)))</f>
        <v/>
      </c>
      <c r="P1377" s="11">
        <f>IF(A1377="","",J1377-M1377-N1377-O1377)</f>
        <v/>
      </c>
    </row>
    <row r="1378">
      <c r="A1378">
        <f>IFERROR(INDEX('Shopify Import'!$A:$CZ,1378,Settings!$E$20)&amp;"","")</f>
        <v/>
      </c>
      <c r="B1378">
        <f>IFERROR(INDEX('Shopify Import'!$A:$CZ,1378,Settings!$E$21)&amp;"","")</f>
        <v/>
      </c>
      <c r="C1378">
        <f>IFERROR(INDEX('Shopify Import'!$A:$CZ,1378,Settings!$E$22)&amp;"","")</f>
        <v/>
      </c>
      <c r="D1378">
        <f>IF(A1378="","",IFERROR(VALUE(SUBSTITUTE(SUBSTITUTE(INDEX('Shopify Import'!$A:$CZ,1378,Settings!$E$23)&amp;"","$",""),",","")),0))</f>
        <v/>
      </c>
      <c r="E1378" s="11">
        <f>IF(A1378="","",IFERROR(VALUE(SUBSTITUTE(SUBSTITUTE(INDEX('Shopify Import'!$A:$CZ,1378,Settings!$E$24)&amp;"","$",""),",","")),0))</f>
        <v/>
      </c>
      <c r="F1378" s="11">
        <f>IF(A1378="","",D1378*E1378)</f>
        <v/>
      </c>
      <c r="G1378">
        <f>IF(A1378="","",IF(C1378="",1,COUNTIF($C$2:$C$1501,C1378)))</f>
        <v/>
      </c>
      <c r="H1378" s="11">
        <f>IF(A1378="","",IFERROR(VALUE(SUBSTITUTE(SUBSTITUTE(INDEX('Shopify Import'!$A:$CZ,1378,Settings!$E$25)&amp;"","$",""),",","")),0)/IF(Settings!$D$27="Yes",G1378,1))</f>
        <v/>
      </c>
      <c r="I1378" s="11">
        <f>IF(A1378="","",IFERROR(VALUE(SUBSTITUTE(SUBSTITUTE(INDEX('Shopify Import'!$A:$CZ,1378,Settings!$E$26)&amp;"","$",""),",","")),0)/IF(Settings!$D$27="Yes",G1378,1))</f>
        <v/>
      </c>
      <c r="J1378" s="11">
        <f>IF(A1378="","",F1378+H1378-I1378)</f>
        <v/>
      </c>
      <c r="K1378">
        <f>IF(A1378="","",IFERROR(IF(B1378="",NA(),MATCH(B1378,Products!$B$5:$B$204,0)),IFERROR(MATCH(A1378,Products!$A$5:$A$204,0),"")))</f>
        <v/>
      </c>
      <c r="L1378">
        <f>IF(A1378="","",IF(K1378="","⚠ not in Products",INDEX(Products!$A$5:$A$204,K1378)))</f>
        <v/>
      </c>
      <c r="M1378" s="11">
        <f>IF(A1378="","",J1378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1378+IFERROR(INDEX(Settings!$D$5:$D$9,MATCH("Shopify",Settings!$A$5:$A$9,0)),0)*D1378)</f>
        <v/>
      </c>
      <c r="N1378" s="11">
        <f>IF(A1378="","",IF(K1378="",0,D1378*INDEX(Products!$I$5:$I$204,K1378)))</f>
        <v/>
      </c>
      <c r="O1378" s="11">
        <f>IF(A1378="","",IF(K1378="",0,J1378*INDEX(Products!$H$5:$H$204,K1378)))</f>
        <v/>
      </c>
      <c r="P1378" s="11">
        <f>IF(A1378="","",J1378-M1378-N1378-O1378)</f>
        <v/>
      </c>
    </row>
    <row r="1379">
      <c r="A1379">
        <f>IFERROR(INDEX('Shopify Import'!$A:$CZ,1379,Settings!$E$20)&amp;"","")</f>
        <v/>
      </c>
      <c r="B1379">
        <f>IFERROR(INDEX('Shopify Import'!$A:$CZ,1379,Settings!$E$21)&amp;"","")</f>
        <v/>
      </c>
      <c r="C1379">
        <f>IFERROR(INDEX('Shopify Import'!$A:$CZ,1379,Settings!$E$22)&amp;"","")</f>
        <v/>
      </c>
      <c r="D1379">
        <f>IF(A1379="","",IFERROR(VALUE(SUBSTITUTE(SUBSTITUTE(INDEX('Shopify Import'!$A:$CZ,1379,Settings!$E$23)&amp;"","$",""),",","")),0))</f>
        <v/>
      </c>
      <c r="E1379" s="11">
        <f>IF(A1379="","",IFERROR(VALUE(SUBSTITUTE(SUBSTITUTE(INDEX('Shopify Import'!$A:$CZ,1379,Settings!$E$24)&amp;"","$",""),",","")),0))</f>
        <v/>
      </c>
      <c r="F1379" s="11">
        <f>IF(A1379="","",D1379*E1379)</f>
        <v/>
      </c>
      <c r="G1379">
        <f>IF(A1379="","",IF(C1379="",1,COUNTIF($C$2:$C$1501,C1379)))</f>
        <v/>
      </c>
      <c r="H1379" s="11">
        <f>IF(A1379="","",IFERROR(VALUE(SUBSTITUTE(SUBSTITUTE(INDEX('Shopify Import'!$A:$CZ,1379,Settings!$E$25)&amp;"","$",""),",","")),0)/IF(Settings!$D$27="Yes",G1379,1))</f>
        <v/>
      </c>
      <c r="I1379" s="11">
        <f>IF(A1379="","",IFERROR(VALUE(SUBSTITUTE(SUBSTITUTE(INDEX('Shopify Import'!$A:$CZ,1379,Settings!$E$26)&amp;"","$",""),",","")),0)/IF(Settings!$D$27="Yes",G1379,1))</f>
        <v/>
      </c>
      <c r="J1379" s="11">
        <f>IF(A1379="","",F1379+H1379-I1379)</f>
        <v/>
      </c>
      <c r="K1379">
        <f>IF(A1379="","",IFERROR(IF(B1379="",NA(),MATCH(B1379,Products!$B$5:$B$204,0)),IFERROR(MATCH(A1379,Products!$A$5:$A$204,0),"")))</f>
        <v/>
      </c>
      <c r="L1379">
        <f>IF(A1379="","",IF(K1379="","⚠ not in Products",INDEX(Products!$A$5:$A$204,K1379)))</f>
        <v/>
      </c>
      <c r="M1379" s="11">
        <f>IF(A1379="","",J1379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1379+IFERROR(INDEX(Settings!$D$5:$D$9,MATCH("Shopify",Settings!$A$5:$A$9,0)),0)*D1379)</f>
        <v/>
      </c>
      <c r="N1379" s="11">
        <f>IF(A1379="","",IF(K1379="",0,D1379*INDEX(Products!$I$5:$I$204,K1379)))</f>
        <v/>
      </c>
      <c r="O1379" s="11">
        <f>IF(A1379="","",IF(K1379="",0,J1379*INDEX(Products!$H$5:$H$204,K1379)))</f>
        <v/>
      </c>
      <c r="P1379" s="11">
        <f>IF(A1379="","",J1379-M1379-N1379-O1379)</f>
        <v/>
      </c>
    </row>
    <row r="1380">
      <c r="A1380">
        <f>IFERROR(INDEX('Shopify Import'!$A:$CZ,1380,Settings!$E$20)&amp;"","")</f>
        <v/>
      </c>
      <c r="B1380">
        <f>IFERROR(INDEX('Shopify Import'!$A:$CZ,1380,Settings!$E$21)&amp;"","")</f>
        <v/>
      </c>
      <c r="C1380">
        <f>IFERROR(INDEX('Shopify Import'!$A:$CZ,1380,Settings!$E$22)&amp;"","")</f>
        <v/>
      </c>
      <c r="D1380">
        <f>IF(A1380="","",IFERROR(VALUE(SUBSTITUTE(SUBSTITUTE(INDEX('Shopify Import'!$A:$CZ,1380,Settings!$E$23)&amp;"","$",""),",","")),0))</f>
        <v/>
      </c>
      <c r="E1380" s="11">
        <f>IF(A1380="","",IFERROR(VALUE(SUBSTITUTE(SUBSTITUTE(INDEX('Shopify Import'!$A:$CZ,1380,Settings!$E$24)&amp;"","$",""),",","")),0))</f>
        <v/>
      </c>
      <c r="F1380" s="11">
        <f>IF(A1380="","",D1380*E1380)</f>
        <v/>
      </c>
      <c r="G1380">
        <f>IF(A1380="","",IF(C1380="",1,COUNTIF($C$2:$C$1501,C1380)))</f>
        <v/>
      </c>
      <c r="H1380" s="11">
        <f>IF(A1380="","",IFERROR(VALUE(SUBSTITUTE(SUBSTITUTE(INDEX('Shopify Import'!$A:$CZ,1380,Settings!$E$25)&amp;"","$",""),",","")),0)/IF(Settings!$D$27="Yes",G1380,1))</f>
        <v/>
      </c>
      <c r="I1380" s="11">
        <f>IF(A1380="","",IFERROR(VALUE(SUBSTITUTE(SUBSTITUTE(INDEX('Shopify Import'!$A:$CZ,1380,Settings!$E$26)&amp;"","$",""),",","")),0)/IF(Settings!$D$27="Yes",G1380,1))</f>
        <v/>
      </c>
      <c r="J1380" s="11">
        <f>IF(A1380="","",F1380+H1380-I1380)</f>
        <v/>
      </c>
      <c r="K1380">
        <f>IF(A1380="","",IFERROR(IF(B1380="",NA(),MATCH(B1380,Products!$B$5:$B$204,0)),IFERROR(MATCH(A1380,Products!$A$5:$A$204,0),"")))</f>
        <v/>
      </c>
      <c r="L1380">
        <f>IF(A1380="","",IF(K1380="","⚠ not in Products",INDEX(Products!$A$5:$A$204,K1380)))</f>
        <v/>
      </c>
      <c r="M1380" s="11">
        <f>IF(A1380="","",J1380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1380+IFERROR(INDEX(Settings!$D$5:$D$9,MATCH("Shopify",Settings!$A$5:$A$9,0)),0)*D1380)</f>
        <v/>
      </c>
      <c r="N1380" s="11">
        <f>IF(A1380="","",IF(K1380="",0,D1380*INDEX(Products!$I$5:$I$204,K1380)))</f>
        <v/>
      </c>
      <c r="O1380" s="11">
        <f>IF(A1380="","",IF(K1380="",0,J1380*INDEX(Products!$H$5:$H$204,K1380)))</f>
        <v/>
      </c>
      <c r="P1380" s="11">
        <f>IF(A1380="","",J1380-M1380-N1380-O1380)</f>
        <v/>
      </c>
    </row>
    <row r="1381">
      <c r="A1381">
        <f>IFERROR(INDEX('Shopify Import'!$A:$CZ,1381,Settings!$E$20)&amp;"","")</f>
        <v/>
      </c>
      <c r="B1381">
        <f>IFERROR(INDEX('Shopify Import'!$A:$CZ,1381,Settings!$E$21)&amp;"","")</f>
        <v/>
      </c>
      <c r="C1381">
        <f>IFERROR(INDEX('Shopify Import'!$A:$CZ,1381,Settings!$E$22)&amp;"","")</f>
        <v/>
      </c>
      <c r="D1381">
        <f>IF(A1381="","",IFERROR(VALUE(SUBSTITUTE(SUBSTITUTE(INDEX('Shopify Import'!$A:$CZ,1381,Settings!$E$23)&amp;"","$",""),",","")),0))</f>
        <v/>
      </c>
      <c r="E1381" s="11">
        <f>IF(A1381="","",IFERROR(VALUE(SUBSTITUTE(SUBSTITUTE(INDEX('Shopify Import'!$A:$CZ,1381,Settings!$E$24)&amp;"","$",""),",","")),0))</f>
        <v/>
      </c>
      <c r="F1381" s="11">
        <f>IF(A1381="","",D1381*E1381)</f>
        <v/>
      </c>
      <c r="G1381">
        <f>IF(A1381="","",IF(C1381="",1,COUNTIF($C$2:$C$1501,C1381)))</f>
        <v/>
      </c>
      <c r="H1381" s="11">
        <f>IF(A1381="","",IFERROR(VALUE(SUBSTITUTE(SUBSTITUTE(INDEX('Shopify Import'!$A:$CZ,1381,Settings!$E$25)&amp;"","$",""),",","")),0)/IF(Settings!$D$27="Yes",G1381,1))</f>
        <v/>
      </c>
      <c r="I1381" s="11">
        <f>IF(A1381="","",IFERROR(VALUE(SUBSTITUTE(SUBSTITUTE(INDEX('Shopify Import'!$A:$CZ,1381,Settings!$E$26)&amp;"","$",""),",","")),0)/IF(Settings!$D$27="Yes",G1381,1))</f>
        <v/>
      </c>
      <c r="J1381" s="11">
        <f>IF(A1381="","",F1381+H1381-I1381)</f>
        <v/>
      </c>
      <c r="K1381">
        <f>IF(A1381="","",IFERROR(IF(B1381="",NA(),MATCH(B1381,Products!$B$5:$B$204,0)),IFERROR(MATCH(A1381,Products!$A$5:$A$204,0),"")))</f>
        <v/>
      </c>
      <c r="L1381">
        <f>IF(A1381="","",IF(K1381="","⚠ not in Products",INDEX(Products!$A$5:$A$204,K1381)))</f>
        <v/>
      </c>
      <c r="M1381" s="11">
        <f>IF(A1381="","",J1381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1381+IFERROR(INDEX(Settings!$D$5:$D$9,MATCH("Shopify",Settings!$A$5:$A$9,0)),0)*D1381)</f>
        <v/>
      </c>
      <c r="N1381" s="11">
        <f>IF(A1381="","",IF(K1381="",0,D1381*INDEX(Products!$I$5:$I$204,K1381)))</f>
        <v/>
      </c>
      <c r="O1381" s="11">
        <f>IF(A1381="","",IF(K1381="",0,J1381*INDEX(Products!$H$5:$H$204,K1381)))</f>
        <v/>
      </c>
      <c r="P1381" s="11">
        <f>IF(A1381="","",J1381-M1381-N1381-O1381)</f>
        <v/>
      </c>
    </row>
    <row r="1382">
      <c r="A1382">
        <f>IFERROR(INDEX('Shopify Import'!$A:$CZ,1382,Settings!$E$20)&amp;"","")</f>
        <v/>
      </c>
      <c r="B1382">
        <f>IFERROR(INDEX('Shopify Import'!$A:$CZ,1382,Settings!$E$21)&amp;"","")</f>
        <v/>
      </c>
      <c r="C1382">
        <f>IFERROR(INDEX('Shopify Import'!$A:$CZ,1382,Settings!$E$22)&amp;"","")</f>
        <v/>
      </c>
      <c r="D1382">
        <f>IF(A1382="","",IFERROR(VALUE(SUBSTITUTE(SUBSTITUTE(INDEX('Shopify Import'!$A:$CZ,1382,Settings!$E$23)&amp;"","$",""),",","")),0))</f>
        <v/>
      </c>
      <c r="E1382" s="11">
        <f>IF(A1382="","",IFERROR(VALUE(SUBSTITUTE(SUBSTITUTE(INDEX('Shopify Import'!$A:$CZ,1382,Settings!$E$24)&amp;"","$",""),",","")),0))</f>
        <v/>
      </c>
      <c r="F1382" s="11">
        <f>IF(A1382="","",D1382*E1382)</f>
        <v/>
      </c>
      <c r="G1382">
        <f>IF(A1382="","",IF(C1382="",1,COUNTIF($C$2:$C$1501,C1382)))</f>
        <v/>
      </c>
      <c r="H1382" s="11">
        <f>IF(A1382="","",IFERROR(VALUE(SUBSTITUTE(SUBSTITUTE(INDEX('Shopify Import'!$A:$CZ,1382,Settings!$E$25)&amp;"","$",""),",","")),0)/IF(Settings!$D$27="Yes",G1382,1))</f>
        <v/>
      </c>
      <c r="I1382" s="11">
        <f>IF(A1382="","",IFERROR(VALUE(SUBSTITUTE(SUBSTITUTE(INDEX('Shopify Import'!$A:$CZ,1382,Settings!$E$26)&amp;"","$",""),",","")),0)/IF(Settings!$D$27="Yes",G1382,1))</f>
        <v/>
      </c>
      <c r="J1382" s="11">
        <f>IF(A1382="","",F1382+H1382-I1382)</f>
        <v/>
      </c>
      <c r="K1382">
        <f>IF(A1382="","",IFERROR(IF(B1382="",NA(),MATCH(B1382,Products!$B$5:$B$204,0)),IFERROR(MATCH(A1382,Products!$A$5:$A$204,0),"")))</f>
        <v/>
      </c>
      <c r="L1382">
        <f>IF(A1382="","",IF(K1382="","⚠ not in Products",INDEX(Products!$A$5:$A$204,K1382)))</f>
        <v/>
      </c>
      <c r="M1382" s="11">
        <f>IF(A1382="","",J1382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1382+IFERROR(INDEX(Settings!$D$5:$D$9,MATCH("Shopify",Settings!$A$5:$A$9,0)),0)*D1382)</f>
        <v/>
      </c>
      <c r="N1382" s="11">
        <f>IF(A1382="","",IF(K1382="",0,D1382*INDEX(Products!$I$5:$I$204,K1382)))</f>
        <v/>
      </c>
      <c r="O1382" s="11">
        <f>IF(A1382="","",IF(K1382="",0,J1382*INDEX(Products!$H$5:$H$204,K1382)))</f>
        <v/>
      </c>
      <c r="P1382" s="11">
        <f>IF(A1382="","",J1382-M1382-N1382-O1382)</f>
        <v/>
      </c>
    </row>
    <row r="1383">
      <c r="A1383">
        <f>IFERROR(INDEX('Shopify Import'!$A:$CZ,1383,Settings!$E$20)&amp;"","")</f>
        <v/>
      </c>
      <c r="B1383">
        <f>IFERROR(INDEX('Shopify Import'!$A:$CZ,1383,Settings!$E$21)&amp;"","")</f>
        <v/>
      </c>
      <c r="C1383">
        <f>IFERROR(INDEX('Shopify Import'!$A:$CZ,1383,Settings!$E$22)&amp;"","")</f>
        <v/>
      </c>
      <c r="D1383">
        <f>IF(A1383="","",IFERROR(VALUE(SUBSTITUTE(SUBSTITUTE(INDEX('Shopify Import'!$A:$CZ,1383,Settings!$E$23)&amp;"","$",""),",","")),0))</f>
        <v/>
      </c>
      <c r="E1383" s="11">
        <f>IF(A1383="","",IFERROR(VALUE(SUBSTITUTE(SUBSTITUTE(INDEX('Shopify Import'!$A:$CZ,1383,Settings!$E$24)&amp;"","$",""),",","")),0))</f>
        <v/>
      </c>
      <c r="F1383" s="11">
        <f>IF(A1383="","",D1383*E1383)</f>
        <v/>
      </c>
      <c r="G1383">
        <f>IF(A1383="","",IF(C1383="",1,COUNTIF($C$2:$C$1501,C1383)))</f>
        <v/>
      </c>
      <c r="H1383" s="11">
        <f>IF(A1383="","",IFERROR(VALUE(SUBSTITUTE(SUBSTITUTE(INDEX('Shopify Import'!$A:$CZ,1383,Settings!$E$25)&amp;"","$",""),",","")),0)/IF(Settings!$D$27="Yes",G1383,1))</f>
        <v/>
      </c>
      <c r="I1383" s="11">
        <f>IF(A1383="","",IFERROR(VALUE(SUBSTITUTE(SUBSTITUTE(INDEX('Shopify Import'!$A:$CZ,1383,Settings!$E$26)&amp;"","$",""),",","")),0)/IF(Settings!$D$27="Yes",G1383,1))</f>
        <v/>
      </c>
      <c r="J1383" s="11">
        <f>IF(A1383="","",F1383+H1383-I1383)</f>
        <v/>
      </c>
      <c r="K1383">
        <f>IF(A1383="","",IFERROR(IF(B1383="",NA(),MATCH(B1383,Products!$B$5:$B$204,0)),IFERROR(MATCH(A1383,Products!$A$5:$A$204,0),"")))</f>
        <v/>
      </c>
      <c r="L1383">
        <f>IF(A1383="","",IF(K1383="","⚠ not in Products",INDEX(Products!$A$5:$A$204,K1383)))</f>
        <v/>
      </c>
      <c r="M1383" s="11">
        <f>IF(A1383="","",J1383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1383+IFERROR(INDEX(Settings!$D$5:$D$9,MATCH("Shopify",Settings!$A$5:$A$9,0)),0)*D1383)</f>
        <v/>
      </c>
      <c r="N1383" s="11">
        <f>IF(A1383="","",IF(K1383="",0,D1383*INDEX(Products!$I$5:$I$204,K1383)))</f>
        <v/>
      </c>
      <c r="O1383" s="11">
        <f>IF(A1383="","",IF(K1383="",0,J1383*INDEX(Products!$H$5:$H$204,K1383)))</f>
        <v/>
      </c>
      <c r="P1383" s="11">
        <f>IF(A1383="","",J1383-M1383-N1383-O1383)</f>
        <v/>
      </c>
    </row>
    <row r="1384">
      <c r="A1384">
        <f>IFERROR(INDEX('Shopify Import'!$A:$CZ,1384,Settings!$E$20)&amp;"","")</f>
        <v/>
      </c>
      <c r="B1384">
        <f>IFERROR(INDEX('Shopify Import'!$A:$CZ,1384,Settings!$E$21)&amp;"","")</f>
        <v/>
      </c>
      <c r="C1384">
        <f>IFERROR(INDEX('Shopify Import'!$A:$CZ,1384,Settings!$E$22)&amp;"","")</f>
        <v/>
      </c>
      <c r="D1384">
        <f>IF(A1384="","",IFERROR(VALUE(SUBSTITUTE(SUBSTITUTE(INDEX('Shopify Import'!$A:$CZ,1384,Settings!$E$23)&amp;"","$",""),",","")),0))</f>
        <v/>
      </c>
      <c r="E1384" s="11">
        <f>IF(A1384="","",IFERROR(VALUE(SUBSTITUTE(SUBSTITUTE(INDEX('Shopify Import'!$A:$CZ,1384,Settings!$E$24)&amp;"","$",""),",","")),0))</f>
        <v/>
      </c>
      <c r="F1384" s="11">
        <f>IF(A1384="","",D1384*E1384)</f>
        <v/>
      </c>
      <c r="G1384">
        <f>IF(A1384="","",IF(C1384="",1,COUNTIF($C$2:$C$1501,C1384)))</f>
        <v/>
      </c>
      <c r="H1384" s="11">
        <f>IF(A1384="","",IFERROR(VALUE(SUBSTITUTE(SUBSTITUTE(INDEX('Shopify Import'!$A:$CZ,1384,Settings!$E$25)&amp;"","$",""),",","")),0)/IF(Settings!$D$27="Yes",G1384,1))</f>
        <v/>
      </c>
      <c r="I1384" s="11">
        <f>IF(A1384="","",IFERROR(VALUE(SUBSTITUTE(SUBSTITUTE(INDEX('Shopify Import'!$A:$CZ,1384,Settings!$E$26)&amp;"","$",""),",","")),0)/IF(Settings!$D$27="Yes",G1384,1))</f>
        <v/>
      </c>
      <c r="J1384" s="11">
        <f>IF(A1384="","",F1384+H1384-I1384)</f>
        <v/>
      </c>
      <c r="K1384">
        <f>IF(A1384="","",IFERROR(IF(B1384="",NA(),MATCH(B1384,Products!$B$5:$B$204,0)),IFERROR(MATCH(A1384,Products!$A$5:$A$204,0),"")))</f>
        <v/>
      </c>
      <c r="L1384">
        <f>IF(A1384="","",IF(K1384="","⚠ not in Products",INDEX(Products!$A$5:$A$204,K1384)))</f>
        <v/>
      </c>
      <c r="M1384" s="11">
        <f>IF(A1384="","",J1384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1384+IFERROR(INDEX(Settings!$D$5:$D$9,MATCH("Shopify",Settings!$A$5:$A$9,0)),0)*D1384)</f>
        <v/>
      </c>
      <c r="N1384" s="11">
        <f>IF(A1384="","",IF(K1384="",0,D1384*INDEX(Products!$I$5:$I$204,K1384)))</f>
        <v/>
      </c>
      <c r="O1384" s="11">
        <f>IF(A1384="","",IF(K1384="",0,J1384*INDEX(Products!$H$5:$H$204,K1384)))</f>
        <v/>
      </c>
      <c r="P1384" s="11">
        <f>IF(A1384="","",J1384-M1384-N1384-O1384)</f>
        <v/>
      </c>
    </row>
    <row r="1385">
      <c r="A1385">
        <f>IFERROR(INDEX('Shopify Import'!$A:$CZ,1385,Settings!$E$20)&amp;"","")</f>
        <v/>
      </c>
      <c r="B1385">
        <f>IFERROR(INDEX('Shopify Import'!$A:$CZ,1385,Settings!$E$21)&amp;"","")</f>
        <v/>
      </c>
      <c r="C1385">
        <f>IFERROR(INDEX('Shopify Import'!$A:$CZ,1385,Settings!$E$22)&amp;"","")</f>
        <v/>
      </c>
      <c r="D1385">
        <f>IF(A1385="","",IFERROR(VALUE(SUBSTITUTE(SUBSTITUTE(INDEX('Shopify Import'!$A:$CZ,1385,Settings!$E$23)&amp;"","$",""),",","")),0))</f>
        <v/>
      </c>
      <c r="E1385" s="11">
        <f>IF(A1385="","",IFERROR(VALUE(SUBSTITUTE(SUBSTITUTE(INDEX('Shopify Import'!$A:$CZ,1385,Settings!$E$24)&amp;"","$",""),",","")),0))</f>
        <v/>
      </c>
      <c r="F1385" s="11">
        <f>IF(A1385="","",D1385*E1385)</f>
        <v/>
      </c>
      <c r="G1385">
        <f>IF(A1385="","",IF(C1385="",1,COUNTIF($C$2:$C$1501,C1385)))</f>
        <v/>
      </c>
      <c r="H1385" s="11">
        <f>IF(A1385="","",IFERROR(VALUE(SUBSTITUTE(SUBSTITUTE(INDEX('Shopify Import'!$A:$CZ,1385,Settings!$E$25)&amp;"","$",""),",","")),0)/IF(Settings!$D$27="Yes",G1385,1))</f>
        <v/>
      </c>
      <c r="I1385" s="11">
        <f>IF(A1385="","",IFERROR(VALUE(SUBSTITUTE(SUBSTITUTE(INDEX('Shopify Import'!$A:$CZ,1385,Settings!$E$26)&amp;"","$",""),",","")),0)/IF(Settings!$D$27="Yes",G1385,1))</f>
        <v/>
      </c>
      <c r="J1385" s="11">
        <f>IF(A1385="","",F1385+H1385-I1385)</f>
        <v/>
      </c>
      <c r="K1385">
        <f>IF(A1385="","",IFERROR(IF(B1385="",NA(),MATCH(B1385,Products!$B$5:$B$204,0)),IFERROR(MATCH(A1385,Products!$A$5:$A$204,0),"")))</f>
        <v/>
      </c>
      <c r="L1385">
        <f>IF(A1385="","",IF(K1385="","⚠ not in Products",INDEX(Products!$A$5:$A$204,K1385)))</f>
        <v/>
      </c>
      <c r="M1385" s="11">
        <f>IF(A1385="","",J1385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1385+IFERROR(INDEX(Settings!$D$5:$D$9,MATCH("Shopify",Settings!$A$5:$A$9,0)),0)*D1385)</f>
        <v/>
      </c>
      <c r="N1385" s="11">
        <f>IF(A1385="","",IF(K1385="",0,D1385*INDEX(Products!$I$5:$I$204,K1385)))</f>
        <v/>
      </c>
      <c r="O1385" s="11">
        <f>IF(A1385="","",IF(K1385="",0,J1385*INDEX(Products!$H$5:$H$204,K1385)))</f>
        <v/>
      </c>
      <c r="P1385" s="11">
        <f>IF(A1385="","",J1385-M1385-N1385-O1385)</f>
        <v/>
      </c>
    </row>
    <row r="1386">
      <c r="A1386">
        <f>IFERROR(INDEX('Shopify Import'!$A:$CZ,1386,Settings!$E$20)&amp;"","")</f>
        <v/>
      </c>
      <c r="B1386">
        <f>IFERROR(INDEX('Shopify Import'!$A:$CZ,1386,Settings!$E$21)&amp;"","")</f>
        <v/>
      </c>
      <c r="C1386">
        <f>IFERROR(INDEX('Shopify Import'!$A:$CZ,1386,Settings!$E$22)&amp;"","")</f>
        <v/>
      </c>
      <c r="D1386">
        <f>IF(A1386="","",IFERROR(VALUE(SUBSTITUTE(SUBSTITUTE(INDEX('Shopify Import'!$A:$CZ,1386,Settings!$E$23)&amp;"","$",""),",","")),0))</f>
        <v/>
      </c>
      <c r="E1386" s="11">
        <f>IF(A1386="","",IFERROR(VALUE(SUBSTITUTE(SUBSTITUTE(INDEX('Shopify Import'!$A:$CZ,1386,Settings!$E$24)&amp;"","$",""),",","")),0))</f>
        <v/>
      </c>
      <c r="F1386" s="11">
        <f>IF(A1386="","",D1386*E1386)</f>
        <v/>
      </c>
      <c r="G1386">
        <f>IF(A1386="","",IF(C1386="",1,COUNTIF($C$2:$C$1501,C1386)))</f>
        <v/>
      </c>
      <c r="H1386" s="11">
        <f>IF(A1386="","",IFERROR(VALUE(SUBSTITUTE(SUBSTITUTE(INDEX('Shopify Import'!$A:$CZ,1386,Settings!$E$25)&amp;"","$",""),",","")),0)/IF(Settings!$D$27="Yes",G1386,1))</f>
        <v/>
      </c>
      <c r="I1386" s="11">
        <f>IF(A1386="","",IFERROR(VALUE(SUBSTITUTE(SUBSTITUTE(INDEX('Shopify Import'!$A:$CZ,1386,Settings!$E$26)&amp;"","$",""),",","")),0)/IF(Settings!$D$27="Yes",G1386,1))</f>
        <v/>
      </c>
      <c r="J1386" s="11">
        <f>IF(A1386="","",F1386+H1386-I1386)</f>
        <v/>
      </c>
      <c r="K1386">
        <f>IF(A1386="","",IFERROR(IF(B1386="",NA(),MATCH(B1386,Products!$B$5:$B$204,0)),IFERROR(MATCH(A1386,Products!$A$5:$A$204,0),"")))</f>
        <v/>
      </c>
      <c r="L1386">
        <f>IF(A1386="","",IF(K1386="","⚠ not in Products",INDEX(Products!$A$5:$A$204,K1386)))</f>
        <v/>
      </c>
      <c r="M1386" s="11">
        <f>IF(A1386="","",J1386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1386+IFERROR(INDEX(Settings!$D$5:$D$9,MATCH("Shopify",Settings!$A$5:$A$9,0)),0)*D1386)</f>
        <v/>
      </c>
      <c r="N1386" s="11">
        <f>IF(A1386="","",IF(K1386="",0,D1386*INDEX(Products!$I$5:$I$204,K1386)))</f>
        <v/>
      </c>
      <c r="O1386" s="11">
        <f>IF(A1386="","",IF(K1386="",0,J1386*INDEX(Products!$H$5:$H$204,K1386)))</f>
        <v/>
      </c>
      <c r="P1386" s="11">
        <f>IF(A1386="","",J1386-M1386-N1386-O1386)</f>
        <v/>
      </c>
    </row>
    <row r="1387">
      <c r="A1387">
        <f>IFERROR(INDEX('Shopify Import'!$A:$CZ,1387,Settings!$E$20)&amp;"","")</f>
        <v/>
      </c>
      <c r="B1387">
        <f>IFERROR(INDEX('Shopify Import'!$A:$CZ,1387,Settings!$E$21)&amp;"","")</f>
        <v/>
      </c>
      <c r="C1387">
        <f>IFERROR(INDEX('Shopify Import'!$A:$CZ,1387,Settings!$E$22)&amp;"","")</f>
        <v/>
      </c>
      <c r="D1387">
        <f>IF(A1387="","",IFERROR(VALUE(SUBSTITUTE(SUBSTITUTE(INDEX('Shopify Import'!$A:$CZ,1387,Settings!$E$23)&amp;"","$",""),",","")),0))</f>
        <v/>
      </c>
      <c r="E1387" s="11">
        <f>IF(A1387="","",IFERROR(VALUE(SUBSTITUTE(SUBSTITUTE(INDEX('Shopify Import'!$A:$CZ,1387,Settings!$E$24)&amp;"","$",""),",","")),0))</f>
        <v/>
      </c>
      <c r="F1387" s="11">
        <f>IF(A1387="","",D1387*E1387)</f>
        <v/>
      </c>
      <c r="G1387">
        <f>IF(A1387="","",IF(C1387="",1,COUNTIF($C$2:$C$1501,C1387)))</f>
        <v/>
      </c>
      <c r="H1387" s="11">
        <f>IF(A1387="","",IFERROR(VALUE(SUBSTITUTE(SUBSTITUTE(INDEX('Shopify Import'!$A:$CZ,1387,Settings!$E$25)&amp;"","$",""),",","")),0)/IF(Settings!$D$27="Yes",G1387,1))</f>
        <v/>
      </c>
      <c r="I1387" s="11">
        <f>IF(A1387="","",IFERROR(VALUE(SUBSTITUTE(SUBSTITUTE(INDEX('Shopify Import'!$A:$CZ,1387,Settings!$E$26)&amp;"","$",""),",","")),0)/IF(Settings!$D$27="Yes",G1387,1))</f>
        <v/>
      </c>
      <c r="J1387" s="11">
        <f>IF(A1387="","",F1387+H1387-I1387)</f>
        <v/>
      </c>
      <c r="K1387">
        <f>IF(A1387="","",IFERROR(IF(B1387="",NA(),MATCH(B1387,Products!$B$5:$B$204,0)),IFERROR(MATCH(A1387,Products!$A$5:$A$204,0),"")))</f>
        <v/>
      </c>
      <c r="L1387">
        <f>IF(A1387="","",IF(K1387="","⚠ not in Products",INDEX(Products!$A$5:$A$204,K1387)))</f>
        <v/>
      </c>
      <c r="M1387" s="11">
        <f>IF(A1387="","",J1387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1387+IFERROR(INDEX(Settings!$D$5:$D$9,MATCH("Shopify",Settings!$A$5:$A$9,0)),0)*D1387)</f>
        <v/>
      </c>
      <c r="N1387" s="11">
        <f>IF(A1387="","",IF(K1387="",0,D1387*INDEX(Products!$I$5:$I$204,K1387)))</f>
        <v/>
      </c>
      <c r="O1387" s="11">
        <f>IF(A1387="","",IF(K1387="",0,J1387*INDEX(Products!$H$5:$H$204,K1387)))</f>
        <v/>
      </c>
      <c r="P1387" s="11">
        <f>IF(A1387="","",J1387-M1387-N1387-O1387)</f>
        <v/>
      </c>
    </row>
    <row r="1388">
      <c r="A1388">
        <f>IFERROR(INDEX('Shopify Import'!$A:$CZ,1388,Settings!$E$20)&amp;"","")</f>
        <v/>
      </c>
      <c r="B1388">
        <f>IFERROR(INDEX('Shopify Import'!$A:$CZ,1388,Settings!$E$21)&amp;"","")</f>
        <v/>
      </c>
      <c r="C1388">
        <f>IFERROR(INDEX('Shopify Import'!$A:$CZ,1388,Settings!$E$22)&amp;"","")</f>
        <v/>
      </c>
      <c r="D1388">
        <f>IF(A1388="","",IFERROR(VALUE(SUBSTITUTE(SUBSTITUTE(INDEX('Shopify Import'!$A:$CZ,1388,Settings!$E$23)&amp;"","$",""),",","")),0))</f>
        <v/>
      </c>
      <c r="E1388" s="11">
        <f>IF(A1388="","",IFERROR(VALUE(SUBSTITUTE(SUBSTITUTE(INDEX('Shopify Import'!$A:$CZ,1388,Settings!$E$24)&amp;"","$",""),",","")),0))</f>
        <v/>
      </c>
      <c r="F1388" s="11">
        <f>IF(A1388="","",D1388*E1388)</f>
        <v/>
      </c>
      <c r="G1388">
        <f>IF(A1388="","",IF(C1388="",1,COUNTIF($C$2:$C$1501,C1388)))</f>
        <v/>
      </c>
      <c r="H1388" s="11">
        <f>IF(A1388="","",IFERROR(VALUE(SUBSTITUTE(SUBSTITUTE(INDEX('Shopify Import'!$A:$CZ,1388,Settings!$E$25)&amp;"","$",""),",","")),0)/IF(Settings!$D$27="Yes",G1388,1))</f>
        <v/>
      </c>
      <c r="I1388" s="11">
        <f>IF(A1388="","",IFERROR(VALUE(SUBSTITUTE(SUBSTITUTE(INDEX('Shopify Import'!$A:$CZ,1388,Settings!$E$26)&amp;"","$",""),",","")),0)/IF(Settings!$D$27="Yes",G1388,1))</f>
        <v/>
      </c>
      <c r="J1388" s="11">
        <f>IF(A1388="","",F1388+H1388-I1388)</f>
        <v/>
      </c>
      <c r="K1388">
        <f>IF(A1388="","",IFERROR(IF(B1388="",NA(),MATCH(B1388,Products!$B$5:$B$204,0)),IFERROR(MATCH(A1388,Products!$A$5:$A$204,0),"")))</f>
        <v/>
      </c>
      <c r="L1388">
        <f>IF(A1388="","",IF(K1388="","⚠ not in Products",INDEX(Products!$A$5:$A$204,K1388)))</f>
        <v/>
      </c>
      <c r="M1388" s="11">
        <f>IF(A1388="","",J1388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1388+IFERROR(INDEX(Settings!$D$5:$D$9,MATCH("Shopify",Settings!$A$5:$A$9,0)),0)*D1388)</f>
        <v/>
      </c>
      <c r="N1388" s="11">
        <f>IF(A1388="","",IF(K1388="",0,D1388*INDEX(Products!$I$5:$I$204,K1388)))</f>
        <v/>
      </c>
      <c r="O1388" s="11">
        <f>IF(A1388="","",IF(K1388="",0,J1388*INDEX(Products!$H$5:$H$204,K1388)))</f>
        <v/>
      </c>
      <c r="P1388" s="11">
        <f>IF(A1388="","",J1388-M1388-N1388-O1388)</f>
        <v/>
      </c>
    </row>
    <row r="1389">
      <c r="A1389">
        <f>IFERROR(INDEX('Shopify Import'!$A:$CZ,1389,Settings!$E$20)&amp;"","")</f>
        <v/>
      </c>
      <c r="B1389">
        <f>IFERROR(INDEX('Shopify Import'!$A:$CZ,1389,Settings!$E$21)&amp;"","")</f>
        <v/>
      </c>
      <c r="C1389">
        <f>IFERROR(INDEX('Shopify Import'!$A:$CZ,1389,Settings!$E$22)&amp;"","")</f>
        <v/>
      </c>
      <c r="D1389">
        <f>IF(A1389="","",IFERROR(VALUE(SUBSTITUTE(SUBSTITUTE(INDEX('Shopify Import'!$A:$CZ,1389,Settings!$E$23)&amp;"","$",""),",","")),0))</f>
        <v/>
      </c>
      <c r="E1389" s="11">
        <f>IF(A1389="","",IFERROR(VALUE(SUBSTITUTE(SUBSTITUTE(INDEX('Shopify Import'!$A:$CZ,1389,Settings!$E$24)&amp;"","$",""),",","")),0))</f>
        <v/>
      </c>
      <c r="F1389" s="11">
        <f>IF(A1389="","",D1389*E1389)</f>
        <v/>
      </c>
      <c r="G1389">
        <f>IF(A1389="","",IF(C1389="",1,COUNTIF($C$2:$C$1501,C1389)))</f>
        <v/>
      </c>
      <c r="H1389" s="11">
        <f>IF(A1389="","",IFERROR(VALUE(SUBSTITUTE(SUBSTITUTE(INDEX('Shopify Import'!$A:$CZ,1389,Settings!$E$25)&amp;"","$",""),",","")),0)/IF(Settings!$D$27="Yes",G1389,1))</f>
        <v/>
      </c>
      <c r="I1389" s="11">
        <f>IF(A1389="","",IFERROR(VALUE(SUBSTITUTE(SUBSTITUTE(INDEX('Shopify Import'!$A:$CZ,1389,Settings!$E$26)&amp;"","$",""),",","")),0)/IF(Settings!$D$27="Yes",G1389,1))</f>
        <v/>
      </c>
      <c r="J1389" s="11">
        <f>IF(A1389="","",F1389+H1389-I1389)</f>
        <v/>
      </c>
      <c r="K1389">
        <f>IF(A1389="","",IFERROR(IF(B1389="",NA(),MATCH(B1389,Products!$B$5:$B$204,0)),IFERROR(MATCH(A1389,Products!$A$5:$A$204,0),"")))</f>
        <v/>
      </c>
      <c r="L1389">
        <f>IF(A1389="","",IF(K1389="","⚠ not in Products",INDEX(Products!$A$5:$A$204,K1389)))</f>
        <v/>
      </c>
      <c r="M1389" s="11">
        <f>IF(A1389="","",J1389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1389+IFERROR(INDEX(Settings!$D$5:$D$9,MATCH("Shopify",Settings!$A$5:$A$9,0)),0)*D1389)</f>
        <v/>
      </c>
      <c r="N1389" s="11">
        <f>IF(A1389="","",IF(K1389="",0,D1389*INDEX(Products!$I$5:$I$204,K1389)))</f>
        <v/>
      </c>
      <c r="O1389" s="11">
        <f>IF(A1389="","",IF(K1389="",0,J1389*INDEX(Products!$H$5:$H$204,K1389)))</f>
        <v/>
      </c>
      <c r="P1389" s="11">
        <f>IF(A1389="","",J1389-M1389-N1389-O1389)</f>
        <v/>
      </c>
    </row>
    <row r="1390">
      <c r="A1390">
        <f>IFERROR(INDEX('Shopify Import'!$A:$CZ,1390,Settings!$E$20)&amp;"","")</f>
        <v/>
      </c>
      <c r="B1390">
        <f>IFERROR(INDEX('Shopify Import'!$A:$CZ,1390,Settings!$E$21)&amp;"","")</f>
        <v/>
      </c>
      <c r="C1390">
        <f>IFERROR(INDEX('Shopify Import'!$A:$CZ,1390,Settings!$E$22)&amp;"","")</f>
        <v/>
      </c>
      <c r="D1390">
        <f>IF(A1390="","",IFERROR(VALUE(SUBSTITUTE(SUBSTITUTE(INDEX('Shopify Import'!$A:$CZ,1390,Settings!$E$23)&amp;"","$",""),",","")),0))</f>
        <v/>
      </c>
      <c r="E1390" s="11">
        <f>IF(A1390="","",IFERROR(VALUE(SUBSTITUTE(SUBSTITUTE(INDEX('Shopify Import'!$A:$CZ,1390,Settings!$E$24)&amp;"","$",""),",","")),0))</f>
        <v/>
      </c>
      <c r="F1390" s="11">
        <f>IF(A1390="","",D1390*E1390)</f>
        <v/>
      </c>
      <c r="G1390">
        <f>IF(A1390="","",IF(C1390="",1,COUNTIF($C$2:$C$1501,C1390)))</f>
        <v/>
      </c>
      <c r="H1390" s="11">
        <f>IF(A1390="","",IFERROR(VALUE(SUBSTITUTE(SUBSTITUTE(INDEX('Shopify Import'!$A:$CZ,1390,Settings!$E$25)&amp;"","$",""),",","")),0)/IF(Settings!$D$27="Yes",G1390,1))</f>
        <v/>
      </c>
      <c r="I1390" s="11">
        <f>IF(A1390="","",IFERROR(VALUE(SUBSTITUTE(SUBSTITUTE(INDEX('Shopify Import'!$A:$CZ,1390,Settings!$E$26)&amp;"","$",""),",","")),0)/IF(Settings!$D$27="Yes",G1390,1))</f>
        <v/>
      </c>
      <c r="J1390" s="11">
        <f>IF(A1390="","",F1390+H1390-I1390)</f>
        <v/>
      </c>
      <c r="K1390">
        <f>IF(A1390="","",IFERROR(IF(B1390="",NA(),MATCH(B1390,Products!$B$5:$B$204,0)),IFERROR(MATCH(A1390,Products!$A$5:$A$204,0),"")))</f>
        <v/>
      </c>
      <c r="L1390">
        <f>IF(A1390="","",IF(K1390="","⚠ not in Products",INDEX(Products!$A$5:$A$204,K1390)))</f>
        <v/>
      </c>
      <c r="M1390" s="11">
        <f>IF(A1390="","",J1390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1390+IFERROR(INDEX(Settings!$D$5:$D$9,MATCH("Shopify",Settings!$A$5:$A$9,0)),0)*D1390)</f>
        <v/>
      </c>
      <c r="N1390" s="11">
        <f>IF(A1390="","",IF(K1390="",0,D1390*INDEX(Products!$I$5:$I$204,K1390)))</f>
        <v/>
      </c>
      <c r="O1390" s="11">
        <f>IF(A1390="","",IF(K1390="",0,J1390*INDEX(Products!$H$5:$H$204,K1390)))</f>
        <v/>
      </c>
      <c r="P1390" s="11">
        <f>IF(A1390="","",J1390-M1390-N1390-O1390)</f>
        <v/>
      </c>
    </row>
    <row r="1391">
      <c r="A1391">
        <f>IFERROR(INDEX('Shopify Import'!$A:$CZ,1391,Settings!$E$20)&amp;"","")</f>
        <v/>
      </c>
      <c r="B1391">
        <f>IFERROR(INDEX('Shopify Import'!$A:$CZ,1391,Settings!$E$21)&amp;"","")</f>
        <v/>
      </c>
      <c r="C1391">
        <f>IFERROR(INDEX('Shopify Import'!$A:$CZ,1391,Settings!$E$22)&amp;"","")</f>
        <v/>
      </c>
      <c r="D1391">
        <f>IF(A1391="","",IFERROR(VALUE(SUBSTITUTE(SUBSTITUTE(INDEX('Shopify Import'!$A:$CZ,1391,Settings!$E$23)&amp;"","$",""),",","")),0))</f>
        <v/>
      </c>
      <c r="E1391" s="11">
        <f>IF(A1391="","",IFERROR(VALUE(SUBSTITUTE(SUBSTITUTE(INDEX('Shopify Import'!$A:$CZ,1391,Settings!$E$24)&amp;"","$",""),",","")),0))</f>
        <v/>
      </c>
      <c r="F1391" s="11">
        <f>IF(A1391="","",D1391*E1391)</f>
        <v/>
      </c>
      <c r="G1391">
        <f>IF(A1391="","",IF(C1391="",1,COUNTIF($C$2:$C$1501,C1391)))</f>
        <v/>
      </c>
      <c r="H1391" s="11">
        <f>IF(A1391="","",IFERROR(VALUE(SUBSTITUTE(SUBSTITUTE(INDEX('Shopify Import'!$A:$CZ,1391,Settings!$E$25)&amp;"","$",""),",","")),0)/IF(Settings!$D$27="Yes",G1391,1))</f>
        <v/>
      </c>
      <c r="I1391" s="11">
        <f>IF(A1391="","",IFERROR(VALUE(SUBSTITUTE(SUBSTITUTE(INDEX('Shopify Import'!$A:$CZ,1391,Settings!$E$26)&amp;"","$",""),",","")),0)/IF(Settings!$D$27="Yes",G1391,1))</f>
        <v/>
      </c>
      <c r="J1391" s="11">
        <f>IF(A1391="","",F1391+H1391-I1391)</f>
        <v/>
      </c>
      <c r="K1391">
        <f>IF(A1391="","",IFERROR(IF(B1391="",NA(),MATCH(B1391,Products!$B$5:$B$204,0)),IFERROR(MATCH(A1391,Products!$A$5:$A$204,0),"")))</f>
        <v/>
      </c>
      <c r="L1391">
        <f>IF(A1391="","",IF(K1391="","⚠ not in Products",INDEX(Products!$A$5:$A$204,K1391)))</f>
        <v/>
      </c>
      <c r="M1391" s="11">
        <f>IF(A1391="","",J1391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1391+IFERROR(INDEX(Settings!$D$5:$D$9,MATCH("Shopify",Settings!$A$5:$A$9,0)),0)*D1391)</f>
        <v/>
      </c>
      <c r="N1391" s="11">
        <f>IF(A1391="","",IF(K1391="",0,D1391*INDEX(Products!$I$5:$I$204,K1391)))</f>
        <v/>
      </c>
      <c r="O1391" s="11">
        <f>IF(A1391="","",IF(K1391="",0,J1391*INDEX(Products!$H$5:$H$204,K1391)))</f>
        <v/>
      </c>
      <c r="P1391" s="11">
        <f>IF(A1391="","",J1391-M1391-N1391-O1391)</f>
        <v/>
      </c>
    </row>
    <row r="1392">
      <c r="A1392">
        <f>IFERROR(INDEX('Shopify Import'!$A:$CZ,1392,Settings!$E$20)&amp;"","")</f>
        <v/>
      </c>
      <c r="B1392">
        <f>IFERROR(INDEX('Shopify Import'!$A:$CZ,1392,Settings!$E$21)&amp;"","")</f>
        <v/>
      </c>
      <c r="C1392">
        <f>IFERROR(INDEX('Shopify Import'!$A:$CZ,1392,Settings!$E$22)&amp;"","")</f>
        <v/>
      </c>
      <c r="D1392">
        <f>IF(A1392="","",IFERROR(VALUE(SUBSTITUTE(SUBSTITUTE(INDEX('Shopify Import'!$A:$CZ,1392,Settings!$E$23)&amp;"","$",""),",","")),0))</f>
        <v/>
      </c>
      <c r="E1392" s="11">
        <f>IF(A1392="","",IFERROR(VALUE(SUBSTITUTE(SUBSTITUTE(INDEX('Shopify Import'!$A:$CZ,1392,Settings!$E$24)&amp;"","$",""),",","")),0))</f>
        <v/>
      </c>
      <c r="F1392" s="11">
        <f>IF(A1392="","",D1392*E1392)</f>
        <v/>
      </c>
      <c r="G1392">
        <f>IF(A1392="","",IF(C1392="",1,COUNTIF($C$2:$C$1501,C1392)))</f>
        <v/>
      </c>
      <c r="H1392" s="11">
        <f>IF(A1392="","",IFERROR(VALUE(SUBSTITUTE(SUBSTITUTE(INDEX('Shopify Import'!$A:$CZ,1392,Settings!$E$25)&amp;"","$",""),",","")),0)/IF(Settings!$D$27="Yes",G1392,1))</f>
        <v/>
      </c>
      <c r="I1392" s="11">
        <f>IF(A1392="","",IFERROR(VALUE(SUBSTITUTE(SUBSTITUTE(INDEX('Shopify Import'!$A:$CZ,1392,Settings!$E$26)&amp;"","$",""),",","")),0)/IF(Settings!$D$27="Yes",G1392,1))</f>
        <v/>
      </c>
      <c r="J1392" s="11">
        <f>IF(A1392="","",F1392+H1392-I1392)</f>
        <v/>
      </c>
      <c r="K1392">
        <f>IF(A1392="","",IFERROR(IF(B1392="",NA(),MATCH(B1392,Products!$B$5:$B$204,0)),IFERROR(MATCH(A1392,Products!$A$5:$A$204,0),"")))</f>
        <v/>
      </c>
      <c r="L1392">
        <f>IF(A1392="","",IF(K1392="","⚠ not in Products",INDEX(Products!$A$5:$A$204,K1392)))</f>
        <v/>
      </c>
      <c r="M1392" s="11">
        <f>IF(A1392="","",J1392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1392+IFERROR(INDEX(Settings!$D$5:$D$9,MATCH("Shopify",Settings!$A$5:$A$9,0)),0)*D1392)</f>
        <v/>
      </c>
      <c r="N1392" s="11">
        <f>IF(A1392="","",IF(K1392="",0,D1392*INDEX(Products!$I$5:$I$204,K1392)))</f>
        <v/>
      </c>
      <c r="O1392" s="11">
        <f>IF(A1392="","",IF(K1392="",0,J1392*INDEX(Products!$H$5:$H$204,K1392)))</f>
        <v/>
      </c>
      <c r="P1392" s="11">
        <f>IF(A1392="","",J1392-M1392-N1392-O1392)</f>
        <v/>
      </c>
    </row>
    <row r="1393">
      <c r="A1393">
        <f>IFERROR(INDEX('Shopify Import'!$A:$CZ,1393,Settings!$E$20)&amp;"","")</f>
        <v/>
      </c>
      <c r="B1393">
        <f>IFERROR(INDEX('Shopify Import'!$A:$CZ,1393,Settings!$E$21)&amp;"","")</f>
        <v/>
      </c>
      <c r="C1393">
        <f>IFERROR(INDEX('Shopify Import'!$A:$CZ,1393,Settings!$E$22)&amp;"","")</f>
        <v/>
      </c>
      <c r="D1393">
        <f>IF(A1393="","",IFERROR(VALUE(SUBSTITUTE(SUBSTITUTE(INDEX('Shopify Import'!$A:$CZ,1393,Settings!$E$23)&amp;"","$",""),",","")),0))</f>
        <v/>
      </c>
      <c r="E1393" s="11">
        <f>IF(A1393="","",IFERROR(VALUE(SUBSTITUTE(SUBSTITUTE(INDEX('Shopify Import'!$A:$CZ,1393,Settings!$E$24)&amp;"","$",""),",","")),0))</f>
        <v/>
      </c>
      <c r="F1393" s="11">
        <f>IF(A1393="","",D1393*E1393)</f>
        <v/>
      </c>
      <c r="G1393">
        <f>IF(A1393="","",IF(C1393="",1,COUNTIF($C$2:$C$1501,C1393)))</f>
        <v/>
      </c>
      <c r="H1393" s="11">
        <f>IF(A1393="","",IFERROR(VALUE(SUBSTITUTE(SUBSTITUTE(INDEX('Shopify Import'!$A:$CZ,1393,Settings!$E$25)&amp;"","$",""),",","")),0)/IF(Settings!$D$27="Yes",G1393,1))</f>
        <v/>
      </c>
      <c r="I1393" s="11">
        <f>IF(A1393="","",IFERROR(VALUE(SUBSTITUTE(SUBSTITUTE(INDEX('Shopify Import'!$A:$CZ,1393,Settings!$E$26)&amp;"","$",""),",","")),0)/IF(Settings!$D$27="Yes",G1393,1))</f>
        <v/>
      </c>
      <c r="J1393" s="11">
        <f>IF(A1393="","",F1393+H1393-I1393)</f>
        <v/>
      </c>
      <c r="K1393">
        <f>IF(A1393="","",IFERROR(IF(B1393="",NA(),MATCH(B1393,Products!$B$5:$B$204,0)),IFERROR(MATCH(A1393,Products!$A$5:$A$204,0),"")))</f>
        <v/>
      </c>
      <c r="L1393">
        <f>IF(A1393="","",IF(K1393="","⚠ not in Products",INDEX(Products!$A$5:$A$204,K1393)))</f>
        <v/>
      </c>
      <c r="M1393" s="11">
        <f>IF(A1393="","",J1393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1393+IFERROR(INDEX(Settings!$D$5:$D$9,MATCH("Shopify",Settings!$A$5:$A$9,0)),0)*D1393)</f>
        <v/>
      </c>
      <c r="N1393" s="11">
        <f>IF(A1393="","",IF(K1393="",0,D1393*INDEX(Products!$I$5:$I$204,K1393)))</f>
        <v/>
      </c>
      <c r="O1393" s="11">
        <f>IF(A1393="","",IF(K1393="",0,J1393*INDEX(Products!$H$5:$H$204,K1393)))</f>
        <v/>
      </c>
      <c r="P1393" s="11">
        <f>IF(A1393="","",J1393-M1393-N1393-O1393)</f>
        <v/>
      </c>
    </row>
    <row r="1394">
      <c r="A1394">
        <f>IFERROR(INDEX('Shopify Import'!$A:$CZ,1394,Settings!$E$20)&amp;"","")</f>
        <v/>
      </c>
      <c r="B1394">
        <f>IFERROR(INDEX('Shopify Import'!$A:$CZ,1394,Settings!$E$21)&amp;"","")</f>
        <v/>
      </c>
      <c r="C1394">
        <f>IFERROR(INDEX('Shopify Import'!$A:$CZ,1394,Settings!$E$22)&amp;"","")</f>
        <v/>
      </c>
      <c r="D1394">
        <f>IF(A1394="","",IFERROR(VALUE(SUBSTITUTE(SUBSTITUTE(INDEX('Shopify Import'!$A:$CZ,1394,Settings!$E$23)&amp;"","$",""),",","")),0))</f>
        <v/>
      </c>
      <c r="E1394" s="11">
        <f>IF(A1394="","",IFERROR(VALUE(SUBSTITUTE(SUBSTITUTE(INDEX('Shopify Import'!$A:$CZ,1394,Settings!$E$24)&amp;"","$",""),",","")),0))</f>
        <v/>
      </c>
      <c r="F1394" s="11">
        <f>IF(A1394="","",D1394*E1394)</f>
        <v/>
      </c>
      <c r="G1394">
        <f>IF(A1394="","",IF(C1394="",1,COUNTIF($C$2:$C$1501,C1394)))</f>
        <v/>
      </c>
      <c r="H1394" s="11">
        <f>IF(A1394="","",IFERROR(VALUE(SUBSTITUTE(SUBSTITUTE(INDEX('Shopify Import'!$A:$CZ,1394,Settings!$E$25)&amp;"","$",""),",","")),0)/IF(Settings!$D$27="Yes",G1394,1))</f>
        <v/>
      </c>
      <c r="I1394" s="11">
        <f>IF(A1394="","",IFERROR(VALUE(SUBSTITUTE(SUBSTITUTE(INDEX('Shopify Import'!$A:$CZ,1394,Settings!$E$26)&amp;"","$",""),",","")),0)/IF(Settings!$D$27="Yes",G1394,1))</f>
        <v/>
      </c>
      <c r="J1394" s="11">
        <f>IF(A1394="","",F1394+H1394-I1394)</f>
        <v/>
      </c>
      <c r="K1394">
        <f>IF(A1394="","",IFERROR(IF(B1394="",NA(),MATCH(B1394,Products!$B$5:$B$204,0)),IFERROR(MATCH(A1394,Products!$A$5:$A$204,0),"")))</f>
        <v/>
      </c>
      <c r="L1394">
        <f>IF(A1394="","",IF(K1394="","⚠ not in Products",INDEX(Products!$A$5:$A$204,K1394)))</f>
        <v/>
      </c>
      <c r="M1394" s="11">
        <f>IF(A1394="","",J1394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1394+IFERROR(INDEX(Settings!$D$5:$D$9,MATCH("Shopify",Settings!$A$5:$A$9,0)),0)*D1394)</f>
        <v/>
      </c>
      <c r="N1394" s="11">
        <f>IF(A1394="","",IF(K1394="",0,D1394*INDEX(Products!$I$5:$I$204,K1394)))</f>
        <v/>
      </c>
      <c r="O1394" s="11">
        <f>IF(A1394="","",IF(K1394="",0,J1394*INDEX(Products!$H$5:$H$204,K1394)))</f>
        <v/>
      </c>
      <c r="P1394" s="11">
        <f>IF(A1394="","",J1394-M1394-N1394-O1394)</f>
        <v/>
      </c>
    </row>
    <row r="1395">
      <c r="A1395">
        <f>IFERROR(INDEX('Shopify Import'!$A:$CZ,1395,Settings!$E$20)&amp;"","")</f>
        <v/>
      </c>
      <c r="B1395">
        <f>IFERROR(INDEX('Shopify Import'!$A:$CZ,1395,Settings!$E$21)&amp;"","")</f>
        <v/>
      </c>
      <c r="C1395">
        <f>IFERROR(INDEX('Shopify Import'!$A:$CZ,1395,Settings!$E$22)&amp;"","")</f>
        <v/>
      </c>
      <c r="D1395">
        <f>IF(A1395="","",IFERROR(VALUE(SUBSTITUTE(SUBSTITUTE(INDEX('Shopify Import'!$A:$CZ,1395,Settings!$E$23)&amp;"","$",""),",","")),0))</f>
        <v/>
      </c>
      <c r="E1395" s="11">
        <f>IF(A1395="","",IFERROR(VALUE(SUBSTITUTE(SUBSTITUTE(INDEX('Shopify Import'!$A:$CZ,1395,Settings!$E$24)&amp;"","$",""),",","")),0))</f>
        <v/>
      </c>
      <c r="F1395" s="11">
        <f>IF(A1395="","",D1395*E1395)</f>
        <v/>
      </c>
      <c r="G1395">
        <f>IF(A1395="","",IF(C1395="",1,COUNTIF($C$2:$C$1501,C1395)))</f>
        <v/>
      </c>
      <c r="H1395" s="11">
        <f>IF(A1395="","",IFERROR(VALUE(SUBSTITUTE(SUBSTITUTE(INDEX('Shopify Import'!$A:$CZ,1395,Settings!$E$25)&amp;"","$",""),",","")),0)/IF(Settings!$D$27="Yes",G1395,1))</f>
        <v/>
      </c>
      <c r="I1395" s="11">
        <f>IF(A1395="","",IFERROR(VALUE(SUBSTITUTE(SUBSTITUTE(INDEX('Shopify Import'!$A:$CZ,1395,Settings!$E$26)&amp;"","$",""),",","")),0)/IF(Settings!$D$27="Yes",G1395,1))</f>
        <v/>
      </c>
      <c r="J1395" s="11">
        <f>IF(A1395="","",F1395+H1395-I1395)</f>
        <v/>
      </c>
      <c r="K1395">
        <f>IF(A1395="","",IFERROR(IF(B1395="",NA(),MATCH(B1395,Products!$B$5:$B$204,0)),IFERROR(MATCH(A1395,Products!$A$5:$A$204,0),"")))</f>
        <v/>
      </c>
      <c r="L1395">
        <f>IF(A1395="","",IF(K1395="","⚠ not in Products",INDEX(Products!$A$5:$A$204,K1395)))</f>
        <v/>
      </c>
      <c r="M1395" s="11">
        <f>IF(A1395="","",J1395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1395+IFERROR(INDEX(Settings!$D$5:$D$9,MATCH("Shopify",Settings!$A$5:$A$9,0)),0)*D1395)</f>
        <v/>
      </c>
      <c r="N1395" s="11">
        <f>IF(A1395="","",IF(K1395="",0,D1395*INDEX(Products!$I$5:$I$204,K1395)))</f>
        <v/>
      </c>
      <c r="O1395" s="11">
        <f>IF(A1395="","",IF(K1395="",0,J1395*INDEX(Products!$H$5:$H$204,K1395)))</f>
        <v/>
      </c>
      <c r="P1395" s="11">
        <f>IF(A1395="","",J1395-M1395-N1395-O1395)</f>
        <v/>
      </c>
    </row>
    <row r="1396">
      <c r="A1396">
        <f>IFERROR(INDEX('Shopify Import'!$A:$CZ,1396,Settings!$E$20)&amp;"","")</f>
        <v/>
      </c>
      <c r="B1396">
        <f>IFERROR(INDEX('Shopify Import'!$A:$CZ,1396,Settings!$E$21)&amp;"","")</f>
        <v/>
      </c>
      <c r="C1396">
        <f>IFERROR(INDEX('Shopify Import'!$A:$CZ,1396,Settings!$E$22)&amp;"","")</f>
        <v/>
      </c>
      <c r="D1396">
        <f>IF(A1396="","",IFERROR(VALUE(SUBSTITUTE(SUBSTITUTE(INDEX('Shopify Import'!$A:$CZ,1396,Settings!$E$23)&amp;"","$",""),",","")),0))</f>
        <v/>
      </c>
      <c r="E1396" s="11">
        <f>IF(A1396="","",IFERROR(VALUE(SUBSTITUTE(SUBSTITUTE(INDEX('Shopify Import'!$A:$CZ,1396,Settings!$E$24)&amp;"","$",""),",","")),0))</f>
        <v/>
      </c>
      <c r="F1396" s="11">
        <f>IF(A1396="","",D1396*E1396)</f>
        <v/>
      </c>
      <c r="G1396">
        <f>IF(A1396="","",IF(C1396="",1,COUNTIF($C$2:$C$1501,C1396)))</f>
        <v/>
      </c>
      <c r="H1396" s="11">
        <f>IF(A1396="","",IFERROR(VALUE(SUBSTITUTE(SUBSTITUTE(INDEX('Shopify Import'!$A:$CZ,1396,Settings!$E$25)&amp;"","$",""),",","")),0)/IF(Settings!$D$27="Yes",G1396,1))</f>
        <v/>
      </c>
      <c r="I1396" s="11">
        <f>IF(A1396="","",IFERROR(VALUE(SUBSTITUTE(SUBSTITUTE(INDEX('Shopify Import'!$A:$CZ,1396,Settings!$E$26)&amp;"","$",""),",","")),0)/IF(Settings!$D$27="Yes",G1396,1))</f>
        <v/>
      </c>
      <c r="J1396" s="11">
        <f>IF(A1396="","",F1396+H1396-I1396)</f>
        <v/>
      </c>
      <c r="K1396">
        <f>IF(A1396="","",IFERROR(IF(B1396="",NA(),MATCH(B1396,Products!$B$5:$B$204,0)),IFERROR(MATCH(A1396,Products!$A$5:$A$204,0),"")))</f>
        <v/>
      </c>
      <c r="L1396">
        <f>IF(A1396="","",IF(K1396="","⚠ not in Products",INDEX(Products!$A$5:$A$204,K1396)))</f>
        <v/>
      </c>
      <c r="M1396" s="11">
        <f>IF(A1396="","",J1396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1396+IFERROR(INDEX(Settings!$D$5:$D$9,MATCH("Shopify",Settings!$A$5:$A$9,0)),0)*D1396)</f>
        <v/>
      </c>
      <c r="N1396" s="11">
        <f>IF(A1396="","",IF(K1396="",0,D1396*INDEX(Products!$I$5:$I$204,K1396)))</f>
        <v/>
      </c>
      <c r="O1396" s="11">
        <f>IF(A1396="","",IF(K1396="",0,J1396*INDEX(Products!$H$5:$H$204,K1396)))</f>
        <v/>
      </c>
      <c r="P1396" s="11">
        <f>IF(A1396="","",J1396-M1396-N1396-O1396)</f>
        <v/>
      </c>
    </row>
    <row r="1397">
      <c r="A1397">
        <f>IFERROR(INDEX('Shopify Import'!$A:$CZ,1397,Settings!$E$20)&amp;"","")</f>
        <v/>
      </c>
      <c r="B1397">
        <f>IFERROR(INDEX('Shopify Import'!$A:$CZ,1397,Settings!$E$21)&amp;"","")</f>
        <v/>
      </c>
      <c r="C1397">
        <f>IFERROR(INDEX('Shopify Import'!$A:$CZ,1397,Settings!$E$22)&amp;"","")</f>
        <v/>
      </c>
      <c r="D1397">
        <f>IF(A1397="","",IFERROR(VALUE(SUBSTITUTE(SUBSTITUTE(INDEX('Shopify Import'!$A:$CZ,1397,Settings!$E$23)&amp;"","$",""),",","")),0))</f>
        <v/>
      </c>
      <c r="E1397" s="11">
        <f>IF(A1397="","",IFERROR(VALUE(SUBSTITUTE(SUBSTITUTE(INDEX('Shopify Import'!$A:$CZ,1397,Settings!$E$24)&amp;"","$",""),",","")),0))</f>
        <v/>
      </c>
      <c r="F1397" s="11">
        <f>IF(A1397="","",D1397*E1397)</f>
        <v/>
      </c>
      <c r="G1397">
        <f>IF(A1397="","",IF(C1397="",1,COUNTIF($C$2:$C$1501,C1397)))</f>
        <v/>
      </c>
      <c r="H1397" s="11">
        <f>IF(A1397="","",IFERROR(VALUE(SUBSTITUTE(SUBSTITUTE(INDEX('Shopify Import'!$A:$CZ,1397,Settings!$E$25)&amp;"","$",""),",","")),0)/IF(Settings!$D$27="Yes",G1397,1))</f>
        <v/>
      </c>
      <c r="I1397" s="11">
        <f>IF(A1397="","",IFERROR(VALUE(SUBSTITUTE(SUBSTITUTE(INDEX('Shopify Import'!$A:$CZ,1397,Settings!$E$26)&amp;"","$",""),",","")),0)/IF(Settings!$D$27="Yes",G1397,1))</f>
        <v/>
      </c>
      <c r="J1397" s="11">
        <f>IF(A1397="","",F1397+H1397-I1397)</f>
        <v/>
      </c>
      <c r="K1397">
        <f>IF(A1397="","",IFERROR(IF(B1397="",NA(),MATCH(B1397,Products!$B$5:$B$204,0)),IFERROR(MATCH(A1397,Products!$A$5:$A$204,0),"")))</f>
        <v/>
      </c>
      <c r="L1397">
        <f>IF(A1397="","",IF(K1397="","⚠ not in Products",INDEX(Products!$A$5:$A$204,K1397)))</f>
        <v/>
      </c>
      <c r="M1397" s="11">
        <f>IF(A1397="","",J1397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1397+IFERROR(INDEX(Settings!$D$5:$D$9,MATCH("Shopify",Settings!$A$5:$A$9,0)),0)*D1397)</f>
        <v/>
      </c>
      <c r="N1397" s="11">
        <f>IF(A1397="","",IF(K1397="",0,D1397*INDEX(Products!$I$5:$I$204,K1397)))</f>
        <v/>
      </c>
      <c r="O1397" s="11">
        <f>IF(A1397="","",IF(K1397="",0,J1397*INDEX(Products!$H$5:$H$204,K1397)))</f>
        <v/>
      </c>
      <c r="P1397" s="11">
        <f>IF(A1397="","",J1397-M1397-N1397-O1397)</f>
        <v/>
      </c>
    </row>
    <row r="1398">
      <c r="A1398">
        <f>IFERROR(INDEX('Shopify Import'!$A:$CZ,1398,Settings!$E$20)&amp;"","")</f>
        <v/>
      </c>
      <c r="B1398">
        <f>IFERROR(INDEX('Shopify Import'!$A:$CZ,1398,Settings!$E$21)&amp;"","")</f>
        <v/>
      </c>
      <c r="C1398">
        <f>IFERROR(INDEX('Shopify Import'!$A:$CZ,1398,Settings!$E$22)&amp;"","")</f>
        <v/>
      </c>
      <c r="D1398">
        <f>IF(A1398="","",IFERROR(VALUE(SUBSTITUTE(SUBSTITUTE(INDEX('Shopify Import'!$A:$CZ,1398,Settings!$E$23)&amp;"","$",""),",","")),0))</f>
        <v/>
      </c>
      <c r="E1398" s="11">
        <f>IF(A1398="","",IFERROR(VALUE(SUBSTITUTE(SUBSTITUTE(INDEX('Shopify Import'!$A:$CZ,1398,Settings!$E$24)&amp;"","$",""),",","")),0))</f>
        <v/>
      </c>
      <c r="F1398" s="11">
        <f>IF(A1398="","",D1398*E1398)</f>
        <v/>
      </c>
      <c r="G1398">
        <f>IF(A1398="","",IF(C1398="",1,COUNTIF($C$2:$C$1501,C1398)))</f>
        <v/>
      </c>
      <c r="H1398" s="11">
        <f>IF(A1398="","",IFERROR(VALUE(SUBSTITUTE(SUBSTITUTE(INDEX('Shopify Import'!$A:$CZ,1398,Settings!$E$25)&amp;"","$",""),",","")),0)/IF(Settings!$D$27="Yes",G1398,1))</f>
        <v/>
      </c>
      <c r="I1398" s="11">
        <f>IF(A1398="","",IFERROR(VALUE(SUBSTITUTE(SUBSTITUTE(INDEX('Shopify Import'!$A:$CZ,1398,Settings!$E$26)&amp;"","$",""),",","")),0)/IF(Settings!$D$27="Yes",G1398,1))</f>
        <v/>
      </c>
      <c r="J1398" s="11">
        <f>IF(A1398="","",F1398+H1398-I1398)</f>
        <v/>
      </c>
      <c r="K1398">
        <f>IF(A1398="","",IFERROR(IF(B1398="",NA(),MATCH(B1398,Products!$B$5:$B$204,0)),IFERROR(MATCH(A1398,Products!$A$5:$A$204,0),"")))</f>
        <v/>
      </c>
      <c r="L1398">
        <f>IF(A1398="","",IF(K1398="","⚠ not in Products",INDEX(Products!$A$5:$A$204,K1398)))</f>
        <v/>
      </c>
      <c r="M1398" s="11">
        <f>IF(A1398="","",J1398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1398+IFERROR(INDEX(Settings!$D$5:$D$9,MATCH("Shopify",Settings!$A$5:$A$9,0)),0)*D1398)</f>
        <v/>
      </c>
      <c r="N1398" s="11">
        <f>IF(A1398="","",IF(K1398="",0,D1398*INDEX(Products!$I$5:$I$204,K1398)))</f>
        <v/>
      </c>
      <c r="O1398" s="11">
        <f>IF(A1398="","",IF(K1398="",0,J1398*INDEX(Products!$H$5:$H$204,K1398)))</f>
        <v/>
      </c>
      <c r="P1398" s="11">
        <f>IF(A1398="","",J1398-M1398-N1398-O1398)</f>
        <v/>
      </c>
    </row>
    <row r="1399">
      <c r="A1399">
        <f>IFERROR(INDEX('Shopify Import'!$A:$CZ,1399,Settings!$E$20)&amp;"","")</f>
        <v/>
      </c>
      <c r="B1399">
        <f>IFERROR(INDEX('Shopify Import'!$A:$CZ,1399,Settings!$E$21)&amp;"","")</f>
        <v/>
      </c>
      <c r="C1399">
        <f>IFERROR(INDEX('Shopify Import'!$A:$CZ,1399,Settings!$E$22)&amp;"","")</f>
        <v/>
      </c>
      <c r="D1399">
        <f>IF(A1399="","",IFERROR(VALUE(SUBSTITUTE(SUBSTITUTE(INDEX('Shopify Import'!$A:$CZ,1399,Settings!$E$23)&amp;"","$",""),",","")),0))</f>
        <v/>
      </c>
      <c r="E1399" s="11">
        <f>IF(A1399="","",IFERROR(VALUE(SUBSTITUTE(SUBSTITUTE(INDEX('Shopify Import'!$A:$CZ,1399,Settings!$E$24)&amp;"","$",""),",","")),0))</f>
        <v/>
      </c>
      <c r="F1399" s="11">
        <f>IF(A1399="","",D1399*E1399)</f>
        <v/>
      </c>
      <c r="G1399">
        <f>IF(A1399="","",IF(C1399="",1,COUNTIF($C$2:$C$1501,C1399)))</f>
        <v/>
      </c>
      <c r="H1399" s="11">
        <f>IF(A1399="","",IFERROR(VALUE(SUBSTITUTE(SUBSTITUTE(INDEX('Shopify Import'!$A:$CZ,1399,Settings!$E$25)&amp;"","$",""),",","")),0)/IF(Settings!$D$27="Yes",G1399,1))</f>
        <v/>
      </c>
      <c r="I1399" s="11">
        <f>IF(A1399="","",IFERROR(VALUE(SUBSTITUTE(SUBSTITUTE(INDEX('Shopify Import'!$A:$CZ,1399,Settings!$E$26)&amp;"","$",""),",","")),0)/IF(Settings!$D$27="Yes",G1399,1))</f>
        <v/>
      </c>
      <c r="J1399" s="11">
        <f>IF(A1399="","",F1399+H1399-I1399)</f>
        <v/>
      </c>
      <c r="K1399">
        <f>IF(A1399="","",IFERROR(IF(B1399="",NA(),MATCH(B1399,Products!$B$5:$B$204,0)),IFERROR(MATCH(A1399,Products!$A$5:$A$204,0),"")))</f>
        <v/>
      </c>
      <c r="L1399">
        <f>IF(A1399="","",IF(K1399="","⚠ not in Products",INDEX(Products!$A$5:$A$204,K1399)))</f>
        <v/>
      </c>
      <c r="M1399" s="11">
        <f>IF(A1399="","",J1399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1399+IFERROR(INDEX(Settings!$D$5:$D$9,MATCH("Shopify",Settings!$A$5:$A$9,0)),0)*D1399)</f>
        <v/>
      </c>
      <c r="N1399" s="11">
        <f>IF(A1399="","",IF(K1399="",0,D1399*INDEX(Products!$I$5:$I$204,K1399)))</f>
        <v/>
      </c>
      <c r="O1399" s="11">
        <f>IF(A1399="","",IF(K1399="",0,J1399*INDEX(Products!$H$5:$H$204,K1399)))</f>
        <v/>
      </c>
      <c r="P1399" s="11">
        <f>IF(A1399="","",J1399-M1399-N1399-O1399)</f>
        <v/>
      </c>
    </row>
    <row r="1400">
      <c r="A1400">
        <f>IFERROR(INDEX('Shopify Import'!$A:$CZ,1400,Settings!$E$20)&amp;"","")</f>
        <v/>
      </c>
      <c r="B1400">
        <f>IFERROR(INDEX('Shopify Import'!$A:$CZ,1400,Settings!$E$21)&amp;"","")</f>
        <v/>
      </c>
      <c r="C1400">
        <f>IFERROR(INDEX('Shopify Import'!$A:$CZ,1400,Settings!$E$22)&amp;"","")</f>
        <v/>
      </c>
      <c r="D1400">
        <f>IF(A1400="","",IFERROR(VALUE(SUBSTITUTE(SUBSTITUTE(INDEX('Shopify Import'!$A:$CZ,1400,Settings!$E$23)&amp;"","$",""),",","")),0))</f>
        <v/>
      </c>
      <c r="E1400" s="11">
        <f>IF(A1400="","",IFERROR(VALUE(SUBSTITUTE(SUBSTITUTE(INDEX('Shopify Import'!$A:$CZ,1400,Settings!$E$24)&amp;"","$",""),",","")),0))</f>
        <v/>
      </c>
      <c r="F1400" s="11">
        <f>IF(A1400="","",D1400*E1400)</f>
        <v/>
      </c>
      <c r="G1400">
        <f>IF(A1400="","",IF(C1400="",1,COUNTIF($C$2:$C$1501,C1400)))</f>
        <v/>
      </c>
      <c r="H1400" s="11">
        <f>IF(A1400="","",IFERROR(VALUE(SUBSTITUTE(SUBSTITUTE(INDEX('Shopify Import'!$A:$CZ,1400,Settings!$E$25)&amp;"","$",""),",","")),0)/IF(Settings!$D$27="Yes",G1400,1))</f>
        <v/>
      </c>
      <c r="I1400" s="11">
        <f>IF(A1400="","",IFERROR(VALUE(SUBSTITUTE(SUBSTITUTE(INDEX('Shopify Import'!$A:$CZ,1400,Settings!$E$26)&amp;"","$",""),",","")),0)/IF(Settings!$D$27="Yes",G1400,1))</f>
        <v/>
      </c>
      <c r="J1400" s="11">
        <f>IF(A1400="","",F1400+H1400-I1400)</f>
        <v/>
      </c>
      <c r="K1400">
        <f>IF(A1400="","",IFERROR(IF(B1400="",NA(),MATCH(B1400,Products!$B$5:$B$204,0)),IFERROR(MATCH(A1400,Products!$A$5:$A$204,0),"")))</f>
        <v/>
      </c>
      <c r="L1400">
        <f>IF(A1400="","",IF(K1400="","⚠ not in Products",INDEX(Products!$A$5:$A$204,K1400)))</f>
        <v/>
      </c>
      <c r="M1400" s="11">
        <f>IF(A1400="","",J1400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1400+IFERROR(INDEX(Settings!$D$5:$D$9,MATCH("Shopify",Settings!$A$5:$A$9,0)),0)*D1400)</f>
        <v/>
      </c>
      <c r="N1400" s="11">
        <f>IF(A1400="","",IF(K1400="",0,D1400*INDEX(Products!$I$5:$I$204,K1400)))</f>
        <v/>
      </c>
      <c r="O1400" s="11">
        <f>IF(A1400="","",IF(K1400="",0,J1400*INDEX(Products!$H$5:$H$204,K1400)))</f>
        <v/>
      </c>
      <c r="P1400" s="11">
        <f>IF(A1400="","",J1400-M1400-N1400-O1400)</f>
        <v/>
      </c>
    </row>
    <row r="1401">
      <c r="A1401">
        <f>IFERROR(INDEX('Shopify Import'!$A:$CZ,1401,Settings!$E$20)&amp;"","")</f>
        <v/>
      </c>
      <c r="B1401">
        <f>IFERROR(INDEX('Shopify Import'!$A:$CZ,1401,Settings!$E$21)&amp;"","")</f>
        <v/>
      </c>
      <c r="C1401">
        <f>IFERROR(INDEX('Shopify Import'!$A:$CZ,1401,Settings!$E$22)&amp;"","")</f>
        <v/>
      </c>
      <c r="D1401">
        <f>IF(A1401="","",IFERROR(VALUE(SUBSTITUTE(SUBSTITUTE(INDEX('Shopify Import'!$A:$CZ,1401,Settings!$E$23)&amp;"","$",""),",","")),0))</f>
        <v/>
      </c>
      <c r="E1401" s="11">
        <f>IF(A1401="","",IFERROR(VALUE(SUBSTITUTE(SUBSTITUTE(INDEX('Shopify Import'!$A:$CZ,1401,Settings!$E$24)&amp;"","$",""),",","")),0))</f>
        <v/>
      </c>
      <c r="F1401" s="11">
        <f>IF(A1401="","",D1401*E1401)</f>
        <v/>
      </c>
      <c r="G1401">
        <f>IF(A1401="","",IF(C1401="",1,COUNTIF($C$2:$C$1501,C1401)))</f>
        <v/>
      </c>
      <c r="H1401" s="11">
        <f>IF(A1401="","",IFERROR(VALUE(SUBSTITUTE(SUBSTITUTE(INDEX('Shopify Import'!$A:$CZ,1401,Settings!$E$25)&amp;"","$",""),",","")),0)/IF(Settings!$D$27="Yes",G1401,1))</f>
        <v/>
      </c>
      <c r="I1401" s="11">
        <f>IF(A1401="","",IFERROR(VALUE(SUBSTITUTE(SUBSTITUTE(INDEX('Shopify Import'!$A:$CZ,1401,Settings!$E$26)&amp;"","$",""),",","")),0)/IF(Settings!$D$27="Yes",G1401,1))</f>
        <v/>
      </c>
      <c r="J1401" s="11">
        <f>IF(A1401="","",F1401+H1401-I1401)</f>
        <v/>
      </c>
      <c r="K1401">
        <f>IF(A1401="","",IFERROR(IF(B1401="",NA(),MATCH(B1401,Products!$B$5:$B$204,0)),IFERROR(MATCH(A1401,Products!$A$5:$A$204,0),"")))</f>
        <v/>
      </c>
      <c r="L1401">
        <f>IF(A1401="","",IF(K1401="","⚠ not in Products",INDEX(Products!$A$5:$A$204,K1401)))</f>
        <v/>
      </c>
      <c r="M1401" s="11">
        <f>IF(A1401="","",J1401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1401+IFERROR(INDEX(Settings!$D$5:$D$9,MATCH("Shopify",Settings!$A$5:$A$9,0)),0)*D1401)</f>
        <v/>
      </c>
      <c r="N1401" s="11">
        <f>IF(A1401="","",IF(K1401="",0,D1401*INDEX(Products!$I$5:$I$204,K1401)))</f>
        <v/>
      </c>
      <c r="O1401" s="11">
        <f>IF(A1401="","",IF(K1401="",0,J1401*INDEX(Products!$H$5:$H$204,K1401)))</f>
        <v/>
      </c>
      <c r="P1401" s="11">
        <f>IF(A1401="","",J1401-M1401-N1401-O1401)</f>
        <v/>
      </c>
    </row>
    <row r="1402">
      <c r="A1402">
        <f>IFERROR(INDEX('Shopify Import'!$A:$CZ,1402,Settings!$E$20)&amp;"","")</f>
        <v/>
      </c>
      <c r="B1402">
        <f>IFERROR(INDEX('Shopify Import'!$A:$CZ,1402,Settings!$E$21)&amp;"","")</f>
        <v/>
      </c>
      <c r="C1402">
        <f>IFERROR(INDEX('Shopify Import'!$A:$CZ,1402,Settings!$E$22)&amp;"","")</f>
        <v/>
      </c>
      <c r="D1402">
        <f>IF(A1402="","",IFERROR(VALUE(SUBSTITUTE(SUBSTITUTE(INDEX('Shopify Import'!$A:$CZ,1402,Settings!$E$23)&amp;"","$",""),",","")),0))</f>
        <v/>
      </c>
      <c r="E1402" s="11">
        <f>IF(A1402="","",IFERROR(VALUE(SUBSTITUTE(SUBSTITUTE(INDEX('Shopify Import'!$A:$CZ,1402,Settings!$E$24)&amp;"","$",""),",","")),0))</f>
        <v/>
      </c>
      <c r="F1402" s="11">
        <f>IF(A1402="","",D1402*E1402)</f>
        <v/>
      </c>
      <c r="G1402">
        <f>IF(A1402="","",IF(C1402="",1,COUNTIF($C$2:$C$1501,C1402)))</f>
        <v/>
      </c>
      <c r="H1402" s="11">
        <f>IF(A1402="","",IFERROR(VALUE(SUBSTITUTE(SUBSTITUTE(INDEX('Shopify Import'!$A:$CZ,1402,Settings!$E$25)&amp;"","$",""),",","")),0)/IF(Settings!$D$27="Yes",G1402,1))</f>
        <v/>
      </c>
      <c r="I1402" s="11">
        <f>IF(A1402="","",IFERROR(VALUE(SUBSTITUTE(SUBSTITUTE(INDEX('Shopify Import'!$A:$CZ,1402,Settings!$E$26)&amp;"","$",""),",","")),0)/IF(Settings!$D$27="Yes",G1402,1))</f>
        <v/>
      </c>
      <c r="J1402" s="11">
        <f>IF(A1402="","",F1402+H1402-I1402)</f>
        <v/>
      </c>
      <c r="K1402">
        <f>IF(A1402="","",IFERROR(IF(B1402="",NA(),MATCH(B1402,Products!$B$5:$B$204,0)),IFERROR(MATCH(A1402,Products!$A$5:$A$204,0),"")))</f>
        <v/>
      </c>
      <c r="L1402">
        <f>IF(A1402="","",IF(K1402="","⚠ not in Products",INDEX(Products!$A$5:$A$204,K1402)))</f>
        <v/>
      </c>
      <c r="M1402" s="11">
        <f>IF(A1402="","",J1402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1402+IFERROR(INDEX(Settings!$D$5:$D$9,MATCH("Shopify",Settings!$A$5:$A$9,0)),0)*D1402)</f>
        <v/>
      </c>
      <c r="N1402" s="11">
        <f>IF(A1402="","",IF(K1402="",0,D1402*INDEX(Products!$I$5:$I$204,K1402)))</f>
        <v/>
      </c>
      <c r="O1402" s="11">
        <f>IF(A1402="","",IF(K1402="",0,J1402*INDEX(Products!$H$5:$H$204,K1402)))</f>
        <v/>
      </c>
      <c r="P1402" s="11">
        <f>IF(A1402="","",J1402-M1402-N1402-O1402)</f>
        <v/>
      </c>
    </row>
    <row r="1403">
      <c r="A1403">
        <f>IFERROR(INDEX('Shopify Import'!$A:$CZ,1403,Settings!$E$20)&amp;"","")</f>
        <v/>
      </c>
      <c r="B1403">
        <f>IFERROR(INDEX('Shopify Import'!$A:$CZ,1403,Settings!$E$21)&amp;"","")</f>
        <v/>
      </c>
      <c r="C1403">
        <f>IFERROR(INDEX('Shopify Import'!$A:$CZ,1403,Settings!$E$22)&amp;"","")</f>
        <v/>
      </c>
      <c r="D1403">
        <f>IF(A1403="","",IFERROR(VALUE(SUBSTITUTE(SUBSTITUTE(INDEX('Shopify Import'!$A:$CZ,1403,Settings!$E$23)&amp;"","$",""),",","")),0))</f>
        <v/>
      </c>
      <c r="E1403" s="11">
        <f>IF(A1403="","",IFERROR(VALUE(SUBSTITUTE(SUBSTITUTE(INDEX('Shopify Import'!$A:$CZ,1403,Settings!$E$24)&amp;"","$",""),",","")),0))</f>
        <v/>
      </c>
      <c r="F1403" s="11">
        <f>IF(A1403="","",D1403*E1403)</f>
        <v/>
      </c>
      <c r="G1403">
        <f>IF(A1403="","",IF(C1403="",1,COUNTIF($C$2:$C$1501,C1403)))</f>
        <v/>
      </c>
      <c r="H1403" s="11">
        <f>IF(A1403="","",IFERROR(VALUE(SUBSTITUTE(SUBSTITUTE(INDEX('Shopify Import'!$A:$CZ,1403,Settings!$E$25)&amp;"","$",""),",","")),0)/IF(Settings!$D$27="Yes",G1403,1))</f>
        <v/>
      </c>
      <c r="I1403" s="11">
        <f>IF(A1403="","",IFERROR(VALUE(SUBSTITUTE(SUBSTITUTE(INDEX('Shopify Import'!$A:$CZ,1403,Settings!$E$26)&amp;"","$",""),",","")),0)/IF(Settings!$D$27="Yes",G1403,1))</f>
        <v/>
      </c>
      <c r="J1403" s="11">
        <f>IF(A1403="","",F1403+H1403-I1403)</f>
        <v/>
      </c>
      <c r="K1403">
        <f>IF(A1403="","",IFERROR(IF(B1403="",NA(),MATCH(B1403,Products!$B$5:$B$204,0)),IFERROR(MATCH(A1403,Products!$A$5:$A$204,0),"")))</f>
        <v/>
      </c>
      <c r="L1403">
        <f>IF(A1403="","",IF(K1403="","⚠ not in Products",INDEX(Products!$A$5:$A$204,K1403)))</f>
        <v/>
      </c>
      <c r="M1403" s="11">
        <f>IF(A1403="","",J1403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1403+IFERROR(INDEX(Settings!$D$5:$D$9,MATCH("Shopify",Settings!$A$5:$A$9,0)),0)*D1403)</f>
        <v/>
      </c>
      <c r="N1403" s="11">
        <f>IF(A1403="","",IF(K1403="",0,D1403*INDEX(Products!$I$5:$I$204,K1403)))</f>
        <v/>
      </c>
      <c r="O1403" s="11">
        <f>IF(A1403="","",IF(K1403="",0,J1403*INDEX(Products!$H$5:$H$204,K1403)))</f>
        <v/>
      </c>
      <c r="P1403" s="11">
        <f>IF(A1403="","",J1403-M1403-N1403-O1403)</f>
        <v/>
      </c>
    </row>
    <row r="1404">
      <c r="A1404">
        <f>IFERROR(INDEX('Shopify Import'!$A:$CZ,1404,Settings!$E$20)&amp;"","")</f>
        <v/>
      </c>
      <c r="B1404">
        <f>IFERROR(INDEX('Shopify Import'!$A:$CZ,1404,Settings!$E$21)&amp;"","")</f>
        <v/>
      </c>
      <c r="C1404">
        <f>IFERROR(INDEX('Shopify Import'!$A:$CZ,1404,Settings!$E$22)&amp;"","")</f>
        <v/>
      </c>
      <c r="D1404">
        <f>IF(A1404="","",IFERROR(VALUE(SUBSTITUTE(SUBSTITUTE(INDEX('Shopify Import'!$A:$CZ,1404,Settings!$E$23)&amp;"","$",""),",","")),0))</f>
        <v/>
      </c>
      <c r="E1404" s="11">
        <f>IF(A1404="","",IFERROR(VALUE(SUBSTITUTE(SUBSTITUTE(INDEX('Shopify Import'!$A:$CZ,1404,Settings!$E$24)&amp;"","$",""),",","")),0))</f>
        <v/>
      </c>
      <c r="F1404" s="11">
        <f>IF(A1404="","",D1404*E1404)</f>
        <v/>
      </c>
      <c r="G1404">
        <f>IF(A1404="","",IF(C1404="",1,COUNTIF($C$2:$C$1501,C1404)))</f>
        <v/>
      </c>
      <c r="H1404" s="11">
        <f>IF(A1404="","",IFERROR(VALUE(SUBSTITUTE(SUBSTITUTE(INDEX('Shopify Import'!$A:$CZ,1404,Settings!$E$25)&amp;"","$",""),",","")),0)/IF(Settings!$D$27="Yes",G1404,1))</f>
        <v/>
      </c>
      <c r="I1404" s="11">
        <f>IF(A1404="","",IFERROR(VALUE(SUBSTITUTE(SUBSTITUTE(INDEX('Shopify Import'!$A:$CZ,1404,Settings!$E$26)&amp;"","$",""),",","")),0)/IF(Settings!$D$27="Yes",G1404,1))</f>
        <v/>
      </c>
      <c r="J1404" s="11">
        <f>IF(A1404="","",F1404+H1404-I1404)</f>
        <v/>
      </c>
      <c r="K1404">
        <f>IF(A1404="","",IFERROR(IF(B1404="",NA(),MATCH(B1404,Products!$B$5:$B$204,0)),IFERROR(MATCH(A1404,Products!$A$5:$A$204,0),"")))</f>
        <v/>
      </c>
      <c r="L1404">
        <f>IF(A1404="","",IF(K1404="","⚠ not in Products",INDEX(Products!$A$5:$A$204,K1404)))</f>
        <v/>
      </c>
      <c r="M1404" s="11">
        <f>IF(A1404="","",J1404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1404+IFERROR(INDEX(Settings!$D$5:$D$9,MATCH("Shopify",Settings!$A$5:$A$9,0)),0)*D1404)</f>
        <v/>
      </c>
      <c r="N1404" s="11">
        <f>IF(A1404="","",IF(K1404="",0,D1404*INDEX(Products!$I$5:$I$204,K1404)))</f>
        <v/>
      </c>
      <c r="O1404" s="11">
        <f>IF(A1404="","",IF(K1404="",0,J1404*INDEX(Products!$H$5:$H$204,K1404)))</f>
        <v/>
      </c>
      <c r="P1404" s="11">
        <f>IF(A1404="","",J1404-M1404-N1404-O1404)</f>
        <v/>
      </c>
    </row>
    <row r="1405">
      <c r="A1405">
        <f>IFERROR(INDEX('Shopify Import'!$A:$CZ,1405,Settings!$E$20)&amp;"","")</f>
        <v/>
      </c>
      <c r="B1405">
        <f>IFERROR(INDEX('Shopify Import'!$A:$CZ,1405,Settings!$E$21)&amp;"","")</f>
        <v/>
      </c>
      <c r="C1405">
        <f>IFERROR(INDEX('Shopify Import'!$A:$CZ,1405,Settings!$E$22)&amp;"","")</f>
        <v/>
      </c>
      <c r="D1405">
        <f>IF(A1405="","",IFERROR(VALUE(SUBSTITUTE(SUBSTITUTE(INDEX('Shopify Import'!$A:$CZ,1405,Settings!$E$23)&amp;"","$",""),",","")),0))</f>
        <v/>
      </c>
      <c r="E1405" s="11">
        <f>IF(A1405="","",IFERROR(VALUE(SUBSTITUTE(SUBSTITUTE(INDEX('Shopify Import'!$A:$CZ,1405,Settings!$E$24)&amp;"","$",""),",","")),0))</f>
        <v/>
      </c>
      <c r="F1405" s="11">
        <f>IF(A1405="","",D1405*E1405)</f>
        <v/>
      </c>
      <c r="G1405">
        <f>IF(A1405="","",IF(C1405="",1,COUNTIF($C$2:$C$1501,C1405)))</f>
        <v/>
      </c>
      <c r="H1405" s="11">
        <f>IF(A1405="","",IFERROR(VALUE(SUBSTITUTE(SUBSTITUTE(INDEX('Shopify Import'!$A:$CZ,1405,Settings!$E$25)&amp;"","$",""),",","")),0)/IF(Settings!$D$27="Yes",G1405,1))</f>
        <v/>
      </c>
      <c r="I1405" s="11">
        <f>IF(A1405="","",IFERROR(VALUE(SUBSTITUTE(SUBSTITUTE(INDEX('Shopify Import'!$A:$CZ,1405,Settings!$E$26)&amp;"","$",""),",","")),0)/IF(Settings!$D$27="Yes",G1405,1))</f>
        <v/>
      </c>
      <c r="J1405" s="11">
        <f>IF(A1405="","",F1405+H1405-I1405)</f>
        <v/>
      </c>
      <c r="K1405">
        <f>IF(A1405="","",IFERROR(IF(B1405="",NA(),MATCH(B1405,Products!$B$5:$B$204,0)),IFERROR(MATCH(A1405,Products!$A$5:$A$204,0),"")))</f>
        <v/>
      </c>
      <c r="L1405">
        <f>IF(A1405="","",IF(K1405="","⚠ not in Products",INDEX(Products!$A$5:$A$204,K1405)))</f>
        <v/>
      </c>
      <c r="M1405" s="11">
        <f>IF(A1405="","",J1405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1405+IFERROR(INDEX(Settings!$D$5:$D$9,MATCH("Shopify",Settings!$A$5:$A$9,0)),0)*D1405)</f>
        <v/>
      </c>
      <c r="N1405" s="11">
        <f>IF(A1405="","",IF(K1405="",0,D1405*INDEX(Products!$I$5:$I$204,K1405)))</f>
        <v/>
      </c>
      <c r="O1405" s="11">
        <f>IF(A1405="","",IF(K1405="",0,J1405*INDEX(Products!$H$5:$H$204,K1405)))</f>
        <v/>
      </c>
      <c r="P1405" s="11">
        <f>IF(A1405="","",J1405-M1405-N1405-O1405)</f>
        <v/>
      </c>
    </row>
    <row r="1406">
      <c r="A1406">
        <f>IFERROR(INDEX('Shopify Import'!$A:$CZ,1406,Settings!$E$20)&amp;"","")</f>
        <v/>
      </c>
      <c r="B1406">
        <f>IFERROR(INDEX('Shopify Import'!$A:$CZ,1406,Settings!$E$21)&amp;"","")</f>
        <v/>
      </c>
      <c r="C1406">
        <f>IFERROR(INDEX('Shopify Import'!$A:$CZ,1406,Settings!$E$22)&amp;"","")</f>
        <v/>
      </c>
      <c r="D1406">
        <f>IF(A1406="","",IFERROR(VALUE(SUBSTITUTE(SUBSTITUTE(INDEX('Shopify Import'!$A:$CZ,1406,Settings!$E$23)&amp;"","$",""),",","")),0))</f>
        <v/>
      </c>
      <c r="E1406" s="11">
        <f>IF(A1406="","",IFERROR(VALUE(SUBSTITUTE(SUBSTITUTE(INDEX('Shopify Import'!$A:$CZ,1406,Settings!$E$24)&amp;"","$",""),",","")),0))</f>
        <v/>
      </c>
      <c r="F1406" s="11">
        <f>IF(A1406="","",D1406*E1406)</f>
        <v/>
      </c>
      <c r="G1406">
        <f>IF(A1406="","",IF(C1406="",1,COUNTIF($C$2:$C$1501,C1406)))</f>
        <v/>
      </c>
      <c r="H1406" s="11">
        <f>IF(A1406="","",IFERROR(VALUE(SUBSTITUTE(SUBSTITUTE(INDEX('Shopify Import'!$A:$CZ,1406,Settings!$E$25)&amp;"","$",""),",","")),0)/IF(Settings!$D$27="Yes",G1406,1))</f>
        <v/>
      </c>
      <c r="I1406" s="11">
        <f>IF(A1406="","",IFERROR(VALUE(SUBSTITUTE(SUBSTITUTE(INDEX('Shopify Import'!$A:$CZ,1406,Settings!$E$26)&amp;"","$",""),",","")),0)/IF(Settings!$D$27="Yes",G1406,1))</f>
        <v/>
      </c>
      <c r="J1406" s="11">
        <f>IF(A1406="","",F1406+H1406-I1406)</f>
        <v/>
      </c>
      <c r="K1406">
        <f>IF(A1406="","",IFERROR(IF(B1406="",NA(),MATCH(B1406,Products!$B$5:$B$204,0)),IFERROR(MATCH(A1406,Products!$A$5:$A$204,0),"")))</f>
        <v/>
      </c>
      <c r="L1406">
        <f>IF(A1406="","",IF(K1406="","⚠ not in Products",INDEX(Products!$A$5:$A$204,K1406)))</f>
        <v/>
      </c>
      <c r="M1406" s="11">
        <f>IF(A1406="","",J1406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1406+IFERROR(INDEX(Settings!$D$5:$D$9,MATCH("Shopify",Settings!$A$5:$A$9,0)),0)*D1406)</f>
        <v/>
      </c>
      <c r="N1406" s="11">
        <f>IF(A1406="","",IF(K1406="",0,D1406*INDEX(Products!$I$5:$I$204,K1406)))</f>
        <v/>
      </c>
      <c r="O1406" s="11">
        <f>IF(A1406="","",IF(K1406="",0,J1406*INDEX(Products!$H$5:$H$204,K1406)))</f>
        <v/>
      </c>
      <c r="P1406" s="11">
        <f>IF(A1406="","",J1406-M1406-N1406-O1406)</f>
        <v/>
      </c>
    </row>
    <row r="1407">
      <c r="A1407">
        <f>IFERROR(INDEX('Shopify Import'!$A:$CZ,1407,Settings!$E$20)&amp;"","")</f>
        <v/>
      </c>
      <c r="B1407">
        <f>IFERROR(INDEX('Shopify Import'!$A:$CZ,1407,Settings!$E$21)&amp;"","")</f>
        <v/>
      </c>
      <c r="C1407">
        <f>IFERROR(INDEX('Shopify Import'!$A:$CZ,1407,Settings!$E$22)&amp;"","")</f>
        <v/>
      </c>
      <c r="D1407">
        <f>IF(A1407="","",IFERROR(VALUE(SUBSTITUTE(SUBSTITUTE(INDEX('Shopify Import'!$A:$CZ,1407,Settings!$E$23)&amp;"","$",""),",","")),0))</f>
        <v/>
      </c>
      <c r="E1407" s="11">
        <f>IF(A1407="","",IFERROR(VALUE(SUBSTITUTE(SUBSTITUTE(INDEX('Shopify Import'!$A:$CZ,1407,Settings!$E$24)&amp;"","$",""),",","")),0))</f>
        <v/>
      </c>
      <c r="F1407" s="11">
        <f>IF(A1407="","",D1407*E1407)</f>
        <v/>
      </c>
      <c r="G1407">
        <f>IF(A1407="","",IF(C1407="",1,COUNTIF($C$2:$C$1501,C1407)))</f>
        <v/>
      </c>
      <c r="H1407" s="11">
        <f>IF(A1407="","",IFERROR(VALUE(SUBSTITUTE(SUBSTITUTE(INDEX('Shopify Import'!$A:$CZ,1407,Settings!$E$25)&amp;"","$",""),",","")),0)/IF(Settings!$D$27="Yes",G1407,1))</f>
        <v/>
      </c>
      <c r="I1407" s="11">
        <f>IF(A1407="","",IFERROR(VALUE(SUBSTITUTE(SUBSTITUTE(INDEX('Shopify Import'!$A:$CZ,1407,Settings!$E$26)&amp;"","$",""),",","")),0)/IF(Settings!$D$27="Yes",G1407,1))</f>
        <v/>
      </c>
      <c r="J1407" s="11">
        <f>IF(A1407="","",F1407+H1407-I1407)</f>
        <v/>
      </c>
      <c r="K1407">
        <f>IF(A1407="","",IFERROR(IF(B1407="",NA(),MATCH(B1407,Products!$B$5:$B$204,0)),IFERROR(MATCH(A1407,Products!$A$5:$A$204,0),"")))</f>
        <v/>
      </c>
      <c r="L1407">
        <f>IF(A1407="","",IF(K1407="","⚠ not in Products",INDEX(Products!$A$5:$A$204,K1407)))</f>
        <v/>
      </c>
      <c r="M1407" s="11">
        <f>IF(A1407="","",J1407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1407+IFERROR(INDEX(Settings!$D$5:$D$9,MATCH("Shopify",Settings!$A$5:$A$9,0)),0)*D1407)</f>
        <v/>
      </c>
      <c r="N1407" s="11">
        <f>IF(A1407="","",IF(K1407="",0,D1407*INDEX(Products!$I$5:$I$204,K1407)))</f>
        <v/>
      </c>
      <c r="O1407" s="11">
        <f>IF(A1407="","",IF(K1407="",0,J1407*INDEX(Products!$H$5:$H$204,K1407)))</f>
        <v/>
      </c>
      <c r="P1407" s="11">
        <f>IF(A1407="","",J1407-M1407-N1407-O1407)</f>
        <v/>
      </c>
    </row>
    <row r="1408">
      <c r="A1408">
        <f>IFERROR(INDEX('Shopify Import'!$A:$CZ,1408,Settings!$E$20)&amp;"","")</f>
        <v/>
      </c>
      <c r="B1408">
        <f>IFERROR(INDEX('Shopify Import'!$A:$CZ,1408,Settings!$E$21)&amp;"","")</f>
        <v/>
      </c>
      <c r="C1408">
        <f>IFERROR(INDEX('Shopify Import'!$A:$CZ,1408,Settings!$E$22)&amp;"","")</f>
        <v/>
      </c>
      <c r="D1408">
        <f>IF(A1408="","",IFERROR(VALUE(SUBSTITUTE(SUBSTITUTE(INDEX('Shopify Import'!$A:$CZ,1408,Settings!$E$23)&amp;"","$",""),",","")),0))</f>
        <v/>
      </c>
      <c r="E1408" s="11">
        <f>IF(A1408="","",IFERROR(VALUE(SUBSTITUTE(SUBSTITUTE(INDEX('Shopify Import'!$A:$CZ,1408,Settings!$E$24)&amp;"","$",""),",","")),0))</f>
        <v/>
      </c>
      <c r="F1408" s="11">
        <f>IF(A1408="","",D1408*E1408)</f>
        <v/>
      </c>
      <c r="G1408">
        <f>IF(A1408="","",IF(C1408="",1,COUNTIF($C$2:$C$1501,C1408)))</f>
        <v/>
      </c>
      <c r="H1408" s="11">
        <f>IF(A1408="","",IFERROR(VALUE(SUBSTITUTE(SUBSTITUTE(INDEX('Shopify Import'!$A:$CZ,1408,Settings!$E$25)&amp;"","$",""),",","")),0)/IF(Settings!$D$27="Yes",G1408,1))</f>
        <v/>
      </c>
      <c r="I1408" s="11">
        <f>IF(A1408="","",IFERROR(VALUE(SUBSTITUTE(SUBSTITUTE(INDEX('Shopify Import'!$A:$CZ,1408,Settings!$E$26)&amp;"","$",""),",","")),0)/IF(Settings!$D$27="Yes",G1408,1))</f>
        <v/>
      </c>
      <c r="J1408" s="11">
        <f>IF(A1408="","",F1408+H1408-I1408)</f>
        <v/>
      </c>
      <c r="K1408">
        <f>IF(A1408="","",IFERROR(IF(B1408="",NA(),MATCH(B1408,Products!$B$5:$B$204,0)),IFERROR(MATCH(A1408,Products!$A$5:$A$204,0),"")))</f>
        <v/>
      </c>
      <c r="L1408">
        <f>IF(A1408="","",IF(K1408="","⚠ not in Products",INDEX(Products!$A$5:$A$204,K1408)))</f>
        <v/>
      </c>
      <c r="M1408" s="11">
        <f>IF(A1408="","",J1408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1408+IFERROR(INDEX(Settings!$D$5:$D$9,MATCH("Shopify",Settings!$A$5:$A$9,0)),0)*D1408)</f>
        <v/>
      </c>
      <c r="N1408" s="11">
        <f>IF(A1408="","",IF(K1408="",0,D1408*INDEX(Products!$I$5:$I$204,K1408)))</f>
        <v/>
      </c>
      <c r="O1408" s="11">
        <f>IF(A1408="","",IF(K1408="",0,J1408*INDEX(Products!$H$5:$H$204,K1408)))</f>
        <v/>
      </c>
      <c r="P1408" s="11">
        <f>IF(A1408="","",J1408-M1408-N1408-O1408)</f>
        <v/>
      </c>
    </row>
    <row r="1409">
      <c r="A1409">
        <f>IFERROR(INDEX('Shopify Import'!$A:$CZ,1409,Settings!$E$20)&amp;"","")</f>
        <v/>
      </c>
      <c r="B1409">
        <f>IFERROR(INDEX('Shopify Import'!$A:$CZ,1409,Settings!$E$21)&amp;"","")</f>
        <v/>
      </c>
      <c r="C1409">
        <f>IFERROR(INDEX('Shopify Import'!$A:$CZ,1409,Settings!$E$22)&amp;"","")</f>
        <v/>
      </c>
      <c r="D1409">
        <f>IF(A1409="","",IFERROR(VALUE(SUBSTITUTE(SUBSTITUTE(INDEX('Shopify Import'!$A:$CZ,1409,Settings!$E$23)&amp;"","$",""),",","")),0))</f>
        <v/>
      </c>
      <c r="E1409" s="11">
        <f>IF(A1409="","",IFERROR(VALUE(SUBSTITUTE(SUBSTITUTE(INDEX('Shopify Import'!$A:$CZ,1409,Settings!$E$24)&amp;"","$",""),",","")),0))</f>
        <v/>
      </c>
      <c r="F1409" s="11">
        <f>IF(A1409="","",D1409*E1409)</f>
        <v/>
      </c>
      <c r="G1409">
        <f>IF(A1409="","",IF(C1409="",1,COUNTIF($C$2:$C$1501,C1409)))</f>
        <v/>
      </c>
      <c r="H1409" s="11">
        <f>IF(A1409="","",IFERROR(VALUE(SUBSTITUTE(SUBSTITUTE(INDEX('Shopify Import'!$A:$CZ,1409,Settings!$E$25)&amp;"","$",""),",","")),0)/IF(Settings!$D$27="Yes",G1409,1))</f>
        <v/>
      </c>
      <c r="I1409" s="11">
        <f>IF(A1409="","",IFERROR(VALUE(SUBSTITUTE(SUBSTITUTE(INDEX('Shopify Import'!$A:$CZ,1409,Settings!$E$26)&amp;"","$",""),",","")),0)/IF(Settings!$D$27="Yes",G1409,1))</f>
        <v/>
      </c>
      <c r="J1409" s="11">
        <f>IF(A1409="","",F1409+H1409-I1409)</f>
        <v/>
      </c>
      <c r="K1409">
        <f>IF(A1409="","",IFERROR(IF(B1409="",NA(),MATCH(B1409,Products!$B$5:$B$204,0)),IFERROR(MATCH(A1409,Products!$A$5:$A$204,0),"")))</f>
        <v/>
      </c>
      <c r="L1409">
        <f>IF(A1409="","",IF(K1409="","⚠ not in Products",INDEX(Products!$A$5:$A$204,K1409)))</f>
        <v/>
      </c>
      <c r="M1409" s="11">
        <f>IF(A1409="","",J1409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1409+IFERROR(INDEX(Settings!$D$5:$D$9,MATCH("Shopify",Settings!$A$5:$A$9,0)),0)*D1409)</f>
        <v/>
      </c>
      <c r="N1409" s="11">
        <f>IF(A1409="","",IF(K1409="",0,D1409*INDEX(Products!$I$5:$I$204,K1409)))</f>
        <v/>
      </c>
      <c r="O1409" s="11">
        <f>IF(A1409="","",IF(K1409="",0,J1409*INDEX(Products!$H$5:$H$204,K1409)))</f>
        <v/>
      </c>
      <c r="P1409" s="11">
        <f>IF(A1409="","",J1409-M1409-N1409-O1409)</f>
        <v/>
      </c>
    </row>
    <row r="1410">
      <c r="A1410">
        <f>IFERROR(INDEX('Shopify Import'!$A:$CZ,1410,Settings!$E$20)&amp;"","")</f>
        <v/>
      </c>
      <c r="B1410">
        <f>IFERROR(INDEX('Shopify Import'!$A:$CZ,1410,Settings!$E$21)&amp;"","")</f>
        <v/>
      </c>
      <c r="C1410">
        <f>IFERROR(INDEX('Shopify Import'!$A:$CZ,1410,Settings!$E$22)&amp;"","")</f>
        <v/>
      </c>
      <c r="D1410">
        <f>IF(A1410="","",IFERROR(VALUE(SUBSTITUTE(SUBSTITUTE(INDEX('Shopify Import'!$A:$CZ,1410,Settings!$E$23)&amp;"","$",""),",","")),0))</f>
        <v/>
      </c>
      <c r="E1410" s="11">
        <f>IF(A1410="","",IFERROR(VALUE(SUBSTITUTE(SUBSTITUTE(INDEX('Shopify Import'!$A:$CZ,1410,Settings!$E$24)&amp;"","$",""),",","")),0))</f>
        <v/>
      </c>
      <c r="F1410" s="11">
        <f>IF(A1410="","",D1410*E1410)</f>
        <v/>
      </c>
      <c r="G1410">
        <f>IF(A1410="","",IF(C1410="",1,COUNTIF($C$2:$C$1501,C1410)))</f>
        <v/>
      </c>
      <c r="H1410" s="11">
        <f>IF(A1410="","",IFERROR(VALUE(SUBSTITUTE(SUBSTITUTE(INDEX('Shopify Import'!$A:$CZ,1410,Settings!$E$25)&amp;"","$",""),",","")),0)/IF(Settings!$D$27="Yes",G1410,1))</f>
        <v/>
      </c>
      <c r="I1410" s="11">
        <f>IF(A1410="","",IFERROR(VALUE(SUBSTITUTE(SUBSTITUTE(INDEX('Shopify Import'!$A:$CZ,1410,Settings!$E$26)&amp;"","$",""),",","")),0)/IF(Settings!$D$27="Yes",G1410,1))</f>
        <v/>
      </c>
      <c r="J1410" s="11">
        <f>IF(A1410="","",F1410+H1410-I1410)</f>
        <v/>
      </c>
      <c r="K1410">
        <f>IF(A1410="","",IFERROR(IF(B1410="",NA(),MATCH(B1410,Products!$B$5:$B$204,0)),IFERROR(MATCH(A1410,Products!$A$5:$A$204,0),"")))</f>
        <v/>
      </c>
      <c r="L1410">
        <f>IF(A1410="","",IF(K1410="","⚠ not in Products",INDEX(Products!$A$5:$A$204,K1410)))</f>
        <v/>
      </c>
      <c r="M1410" s="11">
        <f>IF(A1410="","",J1410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1410+IFERROR(INDEX(Settings!$D$5:$D$9,MATCH("Shopify",Settings!$A$5:$A$9,0)),0)*D1410)</f>
        <v/>
      </c>
      <c r="N1410" s="11">
        <f>IF(A1410="","",IF(K1410="",0,D1410*INDEX(Products!$I$5:$I$204,K1410)))</f>
        <v/>
      </c>
      <c r="O1410" s="11">
        <f>IF(A1410="","",IF(K1410="",0,J1410*INDEX(Products!$H$5:$H$204,K1410)))</f>
        <v/>
      </c>
      <c r="P1410" s="11">
        <f>IF(A1410="","",J1410-M1410-N1410-O1410)</f>
        <v/>
      </c>
    </row>
    <row r="1411">
      <c r="A1411">
        <f>IFERROR(INDEX('Shopify Import'!$A:$CZ,1411,Settings!$E$20)&amp;"","")</f>
        <v/>
      </c>
      <c r="B1411">
        <f>IFERROR(INDEX('Shopify Import'!$A:$CZ,1411,Settings!$E$21)&amp;"","")</f>
        <v/>
      </c>
      <c r="C1411">
        <f>IFERROR(INDEX('Shopify Import'!$A:$CZ,1411,Settings!$E$22)&amp;"","")</f>
        <v/>
      </c>
      <c r="D1411">
        <f>IF(A1411="","",IFERROR(VALUE(SUBSTITUTE(SUBSTITUTE(INDEX('Shopify Import'!$A:$CZ,1411,Settings!$E$23)&amp;"","$",""),",","")),0))</f>
        <v/>
      </c>
      <c r="E1411" s="11">
        <f>IF(A1411="","",IFERROR(VALUE(SUBSTITUTE(SUBSTITUTE(INDEX('Shopify Import'!$A:$CZ,1411,Settings!$E$24)&amp;"","$",""),",","")),0))</f>
        <v/>
      </c>
      <c r="F1411" s="11">
        <f>IF(A1411="","",D1411*E1411)</f>
        <v/>
      </c>
      <c r="G1411">
        <f>IF(A1411="","",IF(C1411="",1,COUNTIF($C$2:$C$1501,C1411)))</f>
        <v/>
      </c>
      <c r="H1411" s="11">
        <f>IF(A1411="","",IFERROR(VALUE(SUBSTITUTE(SUBSTITUTE(INDEX('Shopify Import'!$A:$CZ,1411,Settings!$E$25)&amp;"","$",""),",","")),0)/IF(Settings!$D$27="Yes",G1411,1))</f>
        <v/>
      </c>
      <c r="I1411" s="11">
        <f>IF(A1411="","",IFERROR(VALUE(SUBSTITUTE(SUBSTITUTE(INDEX('Shopify Import'!$A:$CZ,1411,Settings!$E$26)&amp;"","$",""),",","")),0)/IF(Settings!$D$27="Yes",G1411,1))</f>
        <v/>
      </c>
      <c r="J1411" s="11">
        <f>IF(A1411="","",F1411+H1411-I1411)</f>
        <v/>
      </c>
      <c r="K1411">
        <f>IF(A1411="","",IFERROR(IF(B1411="",NA(),MATCH(B1411,Products!$B$5:$B$204,0)),IFERROR(MATCH(A1411,Products!$A$5:$A$204,0),"")))</f>
        <v/>
      </c>
      <c r="L1411">
        <f>IF(A1411="","",IF(K1411="","⚠ not in Products",INDEX(Products!$A$5:$A$204,K1411)))</f>
        <v/>
      </c>
      <c r="M1411" s="11">
        <f>IF(A1411="","",J1411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1411+IFERROR(INDEX(Settings!$D$5:$D$9,MATCH("Shopify",Settings!$A$5:$A$9,0)),0)*D1411)</f>
        <v/>
      </c>
      <c r="N1411" s="11">
        <f>IF(A1411="","",IF(K1411="",0,D1411*INDEX(Products!$I$5:$I$204,K1411)))</f>
        <v/>
      </c>
      <c r="O1411" s="11">
        <f>IF(A1411="","",IF(K1411="",0,J1411*INDEX(Products!$H$5:$H$204,K1411)))</f>
        <v/>
      </c>
      <c r="P1411" s="11">
        <f>IF(A1411="","",J1411-M1411-N1411-O1411)</f>
        <v/>
      </c>
    </row>
    <row r="1412">
      <c r="A1412">
        <f>IFERROR(INDEX('Shopify Import'!$A:$CZ,1412,Settings!$E$20)&amp;"","")</f>
        <v/>
      </c>
      <c r="B1412">
        <f>IFERROR(INDEX('Shopify Import'!$A:$CZ,1412,Settings!$E$21)&amp;"","")</f>
        <v/>
      </c>
      <c r="C1412">
        <f>IFERROR(INDEX('Shopify Import'!$A:$CZ,1412,Settings!$E$22)&amp;"","")</f>
        <v/>
      </c>
      <c r="D1412">
        <f>IF(A1412="","",IFERROR(VALUE(SUBSTITUTE(SUBSTITUTE(INDEX('Shopify Import'!$A:$CZ,1412,Settings!$E$23)&amp;"","$",""),",","")),0))</f>
        <v/>
      </c>
      <c r="E1412" s="11">
        <f>IF(A1412="","",IFERROR(VALUE(SUBSTITUTE(SUBSTITUTE(INDEX('Shopify Import'!$A:$CZ,1412,Settings!$E$24)&amp;"","$",""),",","")),0))</f>
        <v/>
      </c>
      <c r="F1412" s="11">
        <f>IF(A1412="","",D1412*E1412)</f>
        <v/>
      </c>
      <c r="G1412">
        <f>IF(A1412="","",IF(C1412="",1,COUNTIF($C$2:$C$1501,C1412)))</f>
        <v/>
      </c>
      <c r="H1412" s="11">
        <f>IF(A1412="","",IFERROR(VALUE(SUBSTITUTE(SUBSTITUTE(INDEX('Shopify Import'!$A:$CZ,1412,Settings!$E$25)&amp;"","$",""),",","")),0)/IF(Settings!$D$27="Yes",G1412,1))</f>
        <v/>
      </c>
      <c r="I1412" s="11">
        <f>IF(A1412="","",IFERROR(VALUE(SUBSTITUTE(SUBSTITUTE(INDEX('Shopify Import'!$A:$CZ,1412,Settings!$E$26)&amp;"","$",""),",","")),0)/IF(Settings!$D$27="Yes",G1412,1))</f>
        <v/>
      </c>
      <c r="J1412" s="11">
        <f>IF(A1412="","",F1412+H1412-I1412)</f>
        <v/>
      </c>
      <c r="K1412">
        <f>IF(A1412="","",IFERROR(IF(B1412="",NA(),MATCH(B1412,Products!$B$5:$B$204,0)),IFERROR(MATCH(A1412,Products!$A$5:$A$204,0),"")))</f>
        <v/>
      </c>
      <c r="L1412">
        <f>IF(A1412="","",IF(K1412="","⚠ not in Products",INDEX(Products!$A$5:$A$204,K1412)))</f>
        <v/>
      </c>
      <c r="M1412" s="11">
        <f>IF(A1412="","",J1412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1412+IFERROR(INDEX(Settings!$D$5:$D$9,MATCH("Shopify",Settings!$A$5:$A$9,0)),0)*D1412)</f>
        <v/>
      </c>
      <c r="N1412" s="11">
        <f>IF(A1412="","",IF(K1412="",0,D1412*INDEX(Products!$I$5:$I$204,K1412)))</f>
        <v/>
      </c>
      <c r="O1412" s="11">
        <f>IF(A1412="","",IF(K1412="",0,J1412*INDEX(Products!$H$5:$H$204,K1412)))</f>
        <v/>
      </c>
      <c r="P1412" s="11">
        <f>IF(A1412="","",J1412-M1412-N1412-O1412)</f>
        <v/>
      </c>
    </row>
    <row r="1413">
      <c r="A1413">
        <f>IFERROR(INDEX('Shopify Import'!$A:$CZ,1413,Settings!$E$20)&amp;"","")</f>
        <v/>
      </c>
      <c r="B1413">
        <f>IFERROR(INDEX('Shopify Import'!$A:$CZ,1413,Settings!$E$21)&amp;"","")</f>
        <v/>
      </c>
      <c r="C1413">
        <f>IFERROR(INDEX('Shopify Import'!$A:$CZ,1413,Settings!$E$22)&amp;"","")</f>
        <v/>
      </c>
      <c r="D1413">
        <f>IF(A1413="","",IFERROR(VALUE(SUBSTITUTE(SUBSTITUTE(INDEX('Shopify Import'!$A:$CZ,1413,Settings!$E$23)&amp;"","$",""),",","")),0))</f>
        <v/>
      </c>
      <c r="E1413" s="11">
        <f>IF(A1413="","",IFERROR(VALUE(SUBSTITUTE(SUBSTITUTE(INDEX('Shopify Import'!$A:$CZ,1413,Settings!$E$24)&amp;"","$",""),",","")),0))</f>
        <v/>
      </c>
      <c r="F1413" s="11">
        <f>IF(A1413="","",D1413*E1413)</f>
        <v/>
      </c>
      <c r="G1413">
        <f>IF(A1413="","",IF(C1413="",1,COUNTIF($C$2:$C$1501,C1413)))</f>
        <v/>
      </c>
      <c r="H1413" s="11">
        <f>IF(A1413="","",IFERROR(VALUE(SUBSTITUTE(SUBSTITUTE(INDEX('Shopify Import'!$A:$CZ,1413,Settings!$E$25)&amp;"","$",""),",","")),0)/IF(Settings!$D$27="Yes",G1413,1))</f>
        <v/>
      </c>
      <c r="I1413" s="11">
        <f>IF(A1413="","",IFERROR(VALUE(SUBSTITUTE(SUBSTITUTE(INDEX('Shopify Import'!$A:$CZ,1413,Settings!$E$26)&amp;"","$",""),",","")),0)/IF(Settings!$D$27="Yes",G1413,1))</f>
        <v/>
      </c>
      <c r="J1413" s="11">
        <f>IF(A1413="","",F1413+H1413-I1413)</f>
        <v/>
      </c>
      <c r="K1413">
        <f>IF(A1413="","",IFERROR(IF(B1413="",NA(),MATCH(B1413,Products!$B$5:$B$204,0)),IFERROR(MATCH(A1413,Products!$A$5:$A$204,0),"")))</f>
        <v/>
      </c>
      <c r="L1413">
        <f>IF(A1413="","",IF(K1413="","⚠ not in Products",INDEX(Products!$A$5:$A$204,K1413)))</f>
        <v/>
      </c>
      <c r="M1413" s="11">
        <f>IF(A1413="","",J1413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1413+IFERROR(INDEX(Settings!$D$5:$D$9,MATCH("Shopify",Settings!$A$5:$A$9,0)),0)*D1413)</f>
        <v/>
      </c>
      <c r="N1413" s="11">
        <f>IF(A1413="","",IF(K1413="",0,D1413*INDEX(Products!$I$5:$I$204,K1413)))</f>
        <v/>
      </c>
      <c r="O1413" s="11">
        <f>IF(A1413="","",IF(K1413="",0,J1413*INDEX(Products!$H$5:$H$204,K1413)))</f>
        <v/>
      </c>
      <c r="P1413" s="11">
        <f>IF(A1413="","",J1413-M1413-N1413-O1413)</f>
        <v/>
      </c>
    </row>
    <row r="1414">
      <c r="A1414">
        <f>IFERROR(INDEX('Shopify Import'!$A:$CZ,1414,Settings!$E$20)&amp;"","")</f>
        <v/>
      </c>
      <c r="B1414">
        <f>IFERROR(INDEX('Shopify Import'!$A:$CZ,1414,Settings!$E$21)&amp;"","")</f>
        <v/>
      </c>
      <c r="C1414">
        <f>IFERROR(INDEX('Shopify Import'!$A:$CZ,1414,Settings!$E$22)&amp;"","")</f>
        <v/>
      </c>
      <c r="D1414">
        <f>IF(A1414="","",IFERROR(VALUE(SUBSTITUTE(SUBSTITUTE(INDEX('Shopify Import'!$A:$CZ,1414,Settings!$E$23)&amp;"","$",""),",","")),0))</f>
        <v/>
      </c>
      <c r="E1414" s="11">
        <f>IF(A1414="","",IFERROR(VALUE(SUBSTITUTE(SUBSTITUTE(INDEX('Shopify Import'!$A:$CZ,1414,Settings!$E$24)&amp;"","$",""),",","")),0))</f>
        <v/>
      </c>
      <c r="F1414" s="11">
        <f>IF(A1414="","",D1414*E1414)</f>
        <v/>
      </c>
      <c r="G1414">
        <f>IF(A1414="","",IF(C1414="",1,COUNTIF($C$2:$C$1501,C1414)))</f>
        <v/>
      </c>
      <c r="H1414" s="11">
        <f>IF(A1414="","",IFERROR(VALUE(SUBSTITUTE(SUBSTITUTE(INDEX('Shopify Import'!$A:$CZ,1414,Settings!$E$25)&amp;"","$",""),",","")),0)/IF(Settings!$D$27="Yes",G1414,1))</f>
        <v/>
      </c>
      <c r="I1414" s="11">
        <f>IF(A1414="","",IFERROR(VALUE(SUBSTITUTE(SUBSTITUTE(INDEX('Shopify Import'!$A:$CZ,1414,Settings!$E$26)&amp;"","$",""),",","")),0)/IF(Settings!$D$27="Yes",G1414,1))</f>
        <v/>
      </c>
      <c r="J1414" s="11">
        <f>IF(A1414="","",F1414+H1414-I1414)</f>
        <v/>
      </c>
      <c r="K1414">
        <f>IF(A1414="","",IFERROR(IF(B1414="",NA(),MATCH(B1414,Products!$B$5:$B$204,0)),IFERROR(MATCH(A1414,Products!$A$5:$A$204,0),"")))</f>
        <v/>
      </c>
      <c r="L1414">
        <f>IF(A1414="","",IF(K1414="","⚠ not in Products",INDEX(Products!$A$5:$A$204,K1414)))</f>
        <v/>
      </c>
      <c r="M1414" s="11">
        <f>IF(A1414="","",J1414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1414+IFERROR(INDEX(Settings!$D$5:$D$9,MATCH("Shopify",Settings!$A$5:$A$9,0)),0)*D1414)</f>
        <v/>
      </c>
      <c r="N1414" s="11">
        <f>IF(A1414="","",IF(K1414="",0,D1414*INDEX(Products!$I$5:$I$204,K1414)))</f>
        <v/>
      </c>
      <c r="O1414" s="11">
        <f>IF(A1414="","",IF(K1414="",0,J1414*INDEX(Products!$H$5:$H$204,K1414)))</f>
        <v/>
      </c>
      <c r="P1414" s="11">
        <f>IF(A1414="","",J1414-M1414-N1414-O1414)</f>
        <v/>
      </c>
    </row>
    <row r="1415">
      <c r="A1415">
        <f>IFERROR(INDEX('Shopify Import'!$A:$CZ,1415,Settings!$E$20)&amp;"","")</f>
        <v/>
      </c>
      <c r="B1415">
        <f>IFERROR(INDEX('Shopify Import'!$A:$CZ,1415,Settings!$E$21)&amp;"","")</f>
        <v/>
      </c>
      <c r="C1415">
        <f>IFERROR(INDEX('Shopify Import'!$A:$CZ,1415,Settings!$E$22)&amp;"","")</f>
        <v/>
      </c>
      <c r="D1415">
        <f>IF(A1415="","",IFERROR(VALUE(SUBSTITUTE(SUBSTITUTE(INDEX('Shopify Import'!$A:$CZ,1415,Settings!$E$23)&amp;"","$",""),",","")),0))</f>
        <v/>
      </c>
      <c r="E1415" s="11">
        <f>IF(A1415="","",IFERROR(VALUE(SUBSTITUTE(SUBSTITUTE(INDEX('Shopify Import'!$A:$CZ,1415,Settings!$E$24)&amp;"","$",""),",","")),0))</f>
        <v/>
      </c>
      <c r="F1415" s="11">
        <f>IF(A1415="","",D1415*E1415)</f>
        <v/>
      </c>
      <c r="G1415">
        <f>IF(A1415="","",IF(C1415="",1,COUNTIF($C$2:$C$1501,C1415)))</f>
        <v/>
      </c>
      <c r="H1415" s="11">
        <f>IF(A1415="","",IFERROR(VALUE(SUBSTITUTE(SUBSTITUTE(INDEX('Shopify Import'!$A:$CZ,1415,Settings!$E$25)&amp;"","$",""),",","")),0)/IF(Settings!$D$27="Yes",G1415,1))</f>
        <v/>
      </c>
      <c r="I1415" s="11">
        <f>IF(A1415="","",IFERROR(VALUE(SUBSTITUTE(SUBSTITUTE(INDEX('Shopify Import'!$A:$CZ,1415,Settings!$E$26)&amp;"","$",""),",","")),0)/IF(Settings!$D$27="Yes",G1415,1))</f>
        <v/>
      </c>
      <c r="J1415" s="11">
        <f>IF(A1415="","",F1415+H1415-I1415)</f>
        <v/>
      </c>
      <c r="K1415">
        <f>IF(A1415="","",IFERROR(IF(B1415="",NA(),MATCH(B1415,Products!$B$5:$B$204,0)),IFERROR(MATCH(A1415,Products!$A$5:$A$204,0),"")))</f>
        <v/>
      </c>
      <c r="L1415">
        <f>IF(A1415="","",IF(K1415="","⚠ not in Products",INDEX(Products!$A$5:$A$204,K1415)))</f>
        <v/>
      </c>
      <c r="M1415" s="11">
        <f>IF(A1415="","",J1415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1415+IFERROR(INDEX(Settings!$D$5:$D$9,MATCH("Shopify",Settings!$A$5:$A$9,0)),0)*D1415)</f>
        <v/>
      </c>
      <c r="N1415" s="11">
        <f>IF(A1415="","",IF(K1415="",0,D1415*INDEX(Products!$I$5:$I$204,K1415)))</f>
        <v/>
      </c>
      <c r="O1415" s="11">
        <f>IF(A1415="","",IF(K1415="",0,J1415*INDEX(Products!$H$5:$H$204,K1415)))</f>
        <v/>
      </c>
      <c r="P1415" s="11">
        <f>IF(A1415="","",J1415-M1415-N1415-O1415)</f>
        <v/>
      </c>
    </row>
    <row r="1416">
      <c r="A1416">
        <f>IFERROR(INDEX('Shopify Import'!$A:$CZ,1416,Settings!$E$20)&amp;"","")</f>
        <v/>
      </c>
      <c r="B1416">
        <f>IFERROR(INDEX('Shopify Import'!$A:$CZ,1416,Settings!$E$21)&amp;"","")</f>
        <v/>
      </c>
      <c r="C1416">
        <f>IFERROR(INDEX('Shopify Import'!$A:$CZ,1416,Settings!$E$22)&amp;"","")</f>
        <v/>
      </c>
      <c r="D1416">
        <f>IF(A1416="","",IFERROR(VALUE(SUBSTITUTE(SUBSTITUTE(INDEX('Shopify Import'!$A:$CZ,1416,Settings!$E$23)&amp;"","$",""),",","")),0))</f>
        <v/>
      </c>
      <c r="E1416" s="11">
        <f>IF(A1416="","",IFERROR(VALUE(SUBSTITUTE(SUBSTITUTE(INDEX('Shopify Import'!$A:$CZ,1416,Settings!$E$24)&amp;"","$",""),",","")),0))</f>
        <v/>
      </c>
      <c r="F1416" s="11">
        <f>IF(A1416="","",D1416*E1416)</f>
        <v/>
      </c>
      <c r="G1416">
        <f>IF(A1416="","",IF(C1416="",1,COUNTIF($C$2:$C$1501,C1416)))</f>
        <v/>
      </c>
      <c r="H1416" s="11">
        <f>IF(A1416="","",IFERROR(VALUE(SUBSTITUTE(SUBSTITUTE(INDEX('Shopify Import'!$A:$CZ,1416,Settings!$E$25)&amp;"","$",""),",","")),0)/IF(Settings!$D$27="Yes",G1416,1))</f>
        <v/>
      </c>
      <c r="I1416" s="11">
        <f>IF(A1416="","",IFERROR(VALUE(SUBSTITUTE(SUBSTITUTE(INDEX('Shopify Import'!$A:$CZ,1416,Settings!$E$26)&amp;"","$",""),",","")),0)/IF(Settings!$D$27="Yes",G1416,1))</f>
        <v/>
      </c>
      <c r="J1416" s="11">
        <f>IF(A1416="","",F1416+H1416-I1416)</f>
        <v/>
      </c>
      <c r="K1416">
        <f>IF(A1416="","",IFERROR(IF(B1416="",NA(),MATCH(B1416,Products!$B$5:$B$204,0)),IFERROR(MATCH(A1416,Products!$A$5:$A$204,0),"")))</f>
        <v/>
      </c>
      <c r="L1416">
        <f>IF(A1416="","",IF(K1416="","⚠ not in Products",INDEX(Products!$A$5:$A$204,K1416)))</f>
        <v/>
      </c>
      <c r="M1416" s="11">
        <f>IF(A1416="","",J1416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1416+IFERROR(INDEX(Settings!$D$5:$D$9,MATCH("Shopify",Settings!$A$5:$A$9,0)),0)*D1416)</f>
        <v/>
      </c>
      <c r="N1416" s="11">
        <f>IF(A1416="","",IF(K1416="",0,D1416*INDEX(Products!$I$5:$I$204,K1416)))</f>
        <v/>
      </c>
      <c r="O1416" s="11">
        <f>IF(A1416="","",IF(K1416="",0,J1416*INDEX(Products!$H$5:$H$204,K1416)))</f>
        <v/>
      </c>
      <c r="P1416" s="11">
        <f>IF(A1416="","",J1416-M1416-N1416-O1416)</f>
        <v/>
      </c>
    </row>
    <row r="1417">
      <c r="A1417">
        <f>IFERROR(INDEX('Shopify Import'!$A:$CZ,1417,Settings!$E$20)&amp;"","")</f>
        <v/>
      </c>
      <c r="B1417">
        <f>IFERROR(INDEX('Shopify Import'!$A:$CZ,1417,Settings!$E$21)&amp;"","")</f>
        <v/>
      </c>
      <c r="C1417">
        <f>IFERROR(INDEX('Shopify Import'!$A:$CZ,1417,Settings!$E$22)&amp;"","")</f>
        <v/>
      </c>
      <c r="D1417">
        <f>IF(A1417="","",IFERROR(VALUE(SUBSTITUTE(SUBSTITUTE(INDEX('Shopify Import'!$A:$CZ,1417,Settings!$E$23)&amp;"","$",""),",","")),0))</f>
        <v/>
      </c>
      <c r="E1417" s="11">
        <f>IF(A1417="","",IFERROR(VALUE(SUBSTITUTE(SUBSTITUTE(INDEX('Shopify Import'!$A:$CZ,1417,Settings!$E$24)&amp;"","$",""),",","")),0))</f>
        <v/>
      </c>
      <c r="F1417" s="11">
        <f>IF(A1417="","",D1417*E1417)</f>
        <v/>
      </c>
      <c r="G1417">
        <f>IF(A1417="","",IF(C1417="",1,COUNTIF($C$2:$C$1501,C1417)))</f>
        <v/>
      </c>
      <c r="H1417" s="11">
        <f>IF(A1417="","",IFERROR(VALUE(SUBSTITUTE(SUBSTITUTE(INDEX('Shopify Import'!$A:$CZ,1417,Settings!$E$25)&amp;"","$",""),",","")),0)/IF(Settings!$D$27="Yes",G1417,1))</f>
        <v/>
      </c>
      <c r="I1417" s="11">
        <f>IF(A1417="","",IFERROR(VALUE(SUBSTITUTE(SUBSTITUTE(INDEX('Shopify Import'!$A:$CZ,1417,Settings!$E$26)&amp;"","$",""),",","")),0)/IF(Settings!$D$27="Yes",G1417,1))</f>
        <v/>
      </c>
      <c r="J1417" s="11">
        <f>IF(A1417="","",F1417+H1417-I1417)</f>
        <v/>
      </c>
      <c r="K1417">
        <f>IF(A1417="","",IFERROR(IF(B1417="",NA(),MATCH(B1417,Products!$B$5:$B$204,0)),IFERROR(MATCH(A1417,Products!$A$5:$A$204,0),"")))</f>
        <v/>
      </c>
      <c r="L1417">
        <f>IF(A1417="","",IF(K1417="","⚠ not in Products",INDEX(Products!$A$5:$A$204,K1417)))</f>
        <v/>
      </c>
      <c r="M1417" s="11">
        <f>IF(A1417="","",J1417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1417+IFERROR(INDEX(Settings!$D$5:$D$9,MATCH("Shopify",Settings!$A$5:$A$9,0)),0)*D1417)</f>
        <v/>
      </c>
      <c r="N1417" s="11">
        <f>IF(A1417="","",IF(K1417="",0,D1417*INDEX(Products!$I$5:$I$204,K1417)))</f>
        <v/>
      </c>
      <c r="O1417" s="11">
        <f>IF(A1417="","",IF(K1417="",0,J1417*INDEX(Products!$H$5:$H$204,K1417)))</f>
        <v/>
      </c>
      <c r="P1417" s="11">
        <f>IF(A1417="","",J1417-M1417-N1417-O1417)</f>
        <v/>
      </c>
    </row>
    <row r="1418">
      <c r="A1418">
        <f>IFERROR(INDEX('Shopify Import'!$A:$CZ,1418,Settings!$E$20)&amp;"","")</f>
        <v/>
      </c>
      <c r="B1418">
        <f>IFERROR(INDEX('Shopify Import'!$A:$CZ,1418,Settings!$E$21)&amp;"","")</f>
        <v/>
      </c>
      <c r="C1418">
        <f>IFERROR(INDEX('Shopify Import'!$A:$CZ,1418,Settings!$E$22)&amp;"","")</f>
        <v/>
      </c>
      <c r="D1418">
        <f>IF(A1418="","",IFERROR(VALUE(SUBSTITUTE(SUBSTITUTE(INDEX('Shopify Import'!$A:$CZ,1418,Settings!$E$23)&amp;"","$",""),",","")),0))</f>
        <v/>
      </c>
      <c r="E1418" s="11">
        <f>IF(A1418="","",IFERROR(VALUE(SUBSTITUTE(SUBSTITUTE(INDEX('Shopify Import'!$A:$CZ,1418,Settings!$E$24)&amp;"","$",""),",","")),0))</f>
        <v/>
      </c>
      <c r="F1418" s="11">
        <f>IF(A1418="","",D1418*E1418)</f>
        <v/>
      </c>
      <c r="G1418">
        <f>IF(A1418="","",IF(C1418="",1,COUNTIF($C$2:$C$1501,C1418)))</f>
        <v/>
      </c>
      <c r="H1418" s="11">
        <f>IF(A1418="","",IFERROR(VALUE(SUBSTITUTE(SUBSTITUTE(INDEX('Shopify Import'!$A:$CZ,1418,Settings!$E$25)&amp;"","$",""),",","")),0)/IF(Settings!$D$27="Yes",G1418,1))</f>
        <v/>
      </c>
      <c r="I1418" s="11">
        <f>IF(A1418="","",IFERROR(VALUE(SUBSTITUTE(SUBSTITUTE(INDEX('Shopify Import'!$A:$CZ,1418,Settings!$E$26)&amp;"","$",""),",","")),0)/IF(Settings!$D$27="Yes",G1418,1))</f>
        <v/>
      </c>
      <c r="J1418" s="11">
        <f>IF(A1418="","",F1418+H1418-I1418)</f>
        <v/>
      </c>
      <c r="K1418">
        <f>IF(A1418="","",IFERROR(IF(B1418="",NA(),MATCH(B1418,Products!$B$5:$B$204,0)),IFERROR(MATCH(A1418,Products!$A$5:$A$204,0),"")))</f>
        <v/>
      </c>
      <c r="L1418">
        <f>IF(A1418="","",IF(K1418="","⚠ not in Products",INDEX(Products!$A$5:$A$204,K1418)))</f>
        <v/>
      </c>
      <c r="M1418" s="11">
        <f>IF(A1418="","",J1418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1418+IFERROR(INDEX(Settings!$D$5:$D$9,MATCH("Shopify",Settings!$A$5:$A$9,0)),0)*D1418)</f>
        <v/>
      </c>
      <c r="N1418" s="11">
        <f>IF(A1418="","",IF(K1418="",0,D1418*INDEX(Products!$I$5:$I$204,K1418)))</f>
        <v/>
      </c>
      <c r="O1418" s="11">
        <f>IF(A1418="","",IF(K1418="",0,J1418*INDEX(Products!$H$5:$H$204,K1418)))</f>
        <v/>
      </c>
      <c r="P1418" s="11">
        <f>IF(A1418="","",J1418-M1418-N1418-O1418)</f>
        <v/>
      </c>
    </row>
    <row r="1419">
      <c r="A1419">
        <f>IFERROR(INDEX('Shopify Import'!$A:$CZ,1419,Settings!$E$20)&amp;"","")</f>
        <v/>
      </c>
      <c r="B1419">
        <f>IFERROR(INDEX('Shopify Import'!$A:$CZ,1419,Settings!$E$21)&amp;"","")</f>
        <v/>
      </c>
      <c r="C1419">
        <f>IFERROR(INDEX('Shopify Import'!$A:$CZ,1419,Settings!$E$22)&amp;"","")</f>
        <v/>
      </c>
      <c r="D1419">
        <f>IF(A1419="","",IFERROR(VALUE(SUBSTITUTE(SUBSTITUTE(INDEX('Shopify Import'!$A:$CZ,1419,Settings!$E$23)&amp;"","$",""),",","")),0))</f>
        <v/>
      </c>
      <c r="E1419" s="11">
        <f>IF(A1419="","",IFERROR(VALUE(SUBSTITUTE(SUBSTITUTE(INDEX('Shopify Import'!$A:$CZ,1419,Settings!$E$24)&amp;"","$",""),",","")),0))</f>
        <v/>
      </c>
      <c r="F1419" s="11">
        <f>IF(A1419="","",D1419*E1419)</f>
        <v/>
      </c>
      <c r="G1419">
        <f>IF(A1419="","",IF(C1419="",1,COUNTIF($C$2:$C$1501,C1419)))</f>
        <v/>
      </c>
      <c r="H1419" s="11">
        <f>IF(A1419="","",IFERROR(VALUE(SUBSTITUTE(SUBSTITUTE(INDEX('Shopify Import'!$A:$CZ,1419,Settings!$E$25)&amp;"","$",""),",","")),0)/IF(Settings!$D$27="Yes",G1419,1))</f>
        <v/>
      </c>
      <c r="I1419" s="11">
        <f>IF(A1419="","",IFERROR(VALUE(SUBSTITUTE(SUBSTITUTE(INDEX('Shopify Import'!$A:$CZ,1419,Settings!$E$26)&amp;"","$",""),",","")),0)/IF(Settings!$D$27="Yes",G1419,1))</f>
        <v/>
      </c>
      <c r="J1419" s="11">
        <f>IF(A1419="","",F1419+H1419-I1419)</f>
        <v/>
      </c>
      <c r="K1419">
        <f>IF(A1419="","",IFERROR(IF(B1419="",NA(),MATCH(B1419,Products!$B$5:$B$204,0)),IFERROR(MATCH(A1419,Products!$A$5:$A$204,0),"")))</f>
        <v/>
      </c>
      <c r="L1419">
        <f>IF(A1419="","",IF(K1419="","⚠ not in Products",INDEX(Products!$A$5:$A$204,K1419)))</f>
        <v/>
      </c>
      <c r="M1419" s="11">
        <f>IF(A1419="","",J1419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1419+IFERROR(INDEX(Settings!$D$5:$D$9,MATCH("Shopify",Settings!$A$5:$A$9,0)),0)*D1419)</f>
        <v/>
      </c>
      <c r="N1419" s="11">
        <f>IF(A1419="","",IF(K1419="",0,D1419*INDEX(Products!$I$5:$I$204,K1419)))</f>
        <v/>
      </c>
      <c r="O1419" s="11">
        <f>IF(A1419="","",IF(K1419="",0,J1419*INDEX(Products!$H$5:$H$204,K1419)))</f>
        <v/>
      </c>
      <c r="P1419" s="11">
        <f>IF(A1419="","",J1419-M1419-N1419-O1419)</f>
        <v/>
      </c>
    </row>
    <row r="1420">
      <c r="A1420">
        <f>IFERROR(INDEX('Shopify Import'!$A:$CZ,1420,Settings!$E$20)&amp;"","")</f>
        <v/>
      </c>
      <c r="B1420">
        <f>IFERROR(INDEX('Shopify Import'!$A:$CZ,1420,Settings!$E$21)&amp;"","")</f>
        <v/>
      </c>
      <c r="C1420">
        <f>IFERROR(INDEX('Shopify Import'!$A:$CZ,1420,Settings!$E$22)&amp;"","")</f>
        <v/>
      </c>
      <c r="D1420">
        <f>IF(A1420="","",IFERROR(VALUE(SUBSTITUTE(SUBSTITUTE(INDEX('Shopify Import'!$A:$CZ,1420,Settings!$E$23)&amp;"","$",""),",","")),0))</f>
        <v/>
      </c>
      <c r="E1420" s="11">
        <f>IF(A1420="","",IFERROR(VALUE(SUBSTITUTE(SUBSTITUTE(INDEX('Shopify Import'!$A:$CZ,1420,Settings!$E$24)&amp;"","$",""),",","")),0))</f>
        <v/>
      </c>
      <c r="F1420" s="11">
        <f>IF(A1420="","",D1420*E1420)</f>
        <v/>
      </c>
      <c r="G1420">
        <f>IF(A1420="","",IF(C1420="",1,COUNTIF($C$2:$C$1501,C1420)))</f>
        <v/>
      </c>
      <c r="H1420" s="11">
        <f>IF(A1420="","",IFERROR(VALUE(SUBSTITUTE(SUBSTITUTE(INDEX('Shopify Import'!$A:$CZ,1420,Settings!$E$25)&amp;"","$",""),",","")),0)/IF(Settings!$D$27="Yes",G1420,1))</f>
        <v/>
      </c>
      <c r="I1420" s="11">
        <f>IF(A1420="","",IFERROR(VALUE(SUBSTITUTE(SUBSTITUTE(INDEX('Shopify Import'!$A:$CZ,1420,Settings!$E$26)&amp;"","$",""),",","")),0)/IF(Settings!$D$27="Yes",G1420,1))</f>
        <v/>
      </c>
      <c r="J1420" s="11">
        <f>IF(A1420="","",F1420+H1420-I1420)</f>
        <v/>
      </c>
      <c r="K1420">
        <f>IF(A1420="","",IFERROR(IF(B1420="",NA(),MATCH(B1420,Products!$B$5:$B$204,0)),IFERROR(MATCH(A1420,Products!$A$5:$A$204,0),"")))</f>
        <v/>
      </c>
      <c r="L1420">
        <f>IF(A1420="","",IF(K1420="","⚠ not in Products",INDEX(Products!$A$5:$A$204,K1420)))</f>
        <v/>
      </c>
      <c r="M1420" s="11">
        <f>IF(A1420="","",J1420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1420+IFERROR(INDEX(Settings!$D$5:$D$9,MATCH("Shopify",Settings!$A$5:$A$9,0)),0)*D1420)</f>
        <v/>
      </c>
      <c r="N1420" s="11">
        <f>IF(A1420="","",IF(K1420="",0,D1420*INDEX(Products!$I$5:$I$204,K1420)))</f>
        <v/>
      </c>
      <c r="O1420" s="11">
        <f>IF(A1420="","",IF(K1420="",0,J1420*INDEX(Products!$H$5:$H$204,K1420)))</f>
        <v/>
      </c>
      <c r="P1420" s="11">
        <f>IF(A1420="","",J1420-M1420-N1420-O1420)</f>
        <v/>
      </c>
    </row>
    <row r="1421">
      <c r="A1421">
        <f>IFERROR(INDEX('Shopify Import'!$A:$CZ,1421,Settings!$E$20)&amp;"","")</f>
        <v/>
      </c>
      <c r="B1421">
        <f>IFERROR(INDEX('Shopify Import'!$A:$CZ,1421,Settings!$E$21)&amp;"","")</f>
        <v/>
      </c>
      <c r="C1421">
        <f>IFERROR(INDEX('Shopify Import'!$A:$CZ,1421,Settings!$E$22)&amp;"","")</f>
        <v/>
      </c>
      <c r="D1421">
        <f>IF(A1421="","",IFERROR(VALUE(SUBSTITUTE(SUBSTITUTE(INDEX('Shopify Import'!$A:$CZ,1421,Settings!$E$23)&amp;"","$",""),",","")),0))</f>
        <v/>
      </c>
      <c r="E1421" s="11">
        <f>IF(A1421="","",IFERROR(VALUE(SUBSTITUTE(SUBSTITUTE(INDEX('Shopify Import'!$A:$CZ,1421,Settings!$E$24)&amp;"","$",""),",","")),0))</f>
        <v/>
      </c>
      <c r="F1421" s="11">
        <f>IF(A1421="","",D1421*E1421)</f>
        <v/>
      </c>
      <c r="G1421">
        <f>IF(A1421="","",IF(C1421="",1,COUNTIF($C$2:$C$1501,C1421)))</f>
        <v/>
      </c>
      <c r="H1421" s="11">
        <f>IF(A1421="","",IFERROR(VALUE(SUBSTITUTE(SUBSTITUTE(INDEX('Shopify Import'!$A:$CZ,1421,Settings!$E$25)&amp;"","$",""),",","")),0)/IF(Settings!$D$27="Yes",G1421,1))</f>
        <v/>
      </c>
      <c r="I1421" s="11">
        <f>IF(A1421="","",IFERROR(VALUE(SUBSTITUTE(SUBSTITUTE(INDEX('Shopify Import'!$A:$CZ,1421,Settings!$E$26)&amp;"","$",""),",","")),0)/IF(Settings!$D$27="Yes",G1421,1))</f>
        <v/>
      </c>
      <c r="J1421" s="11">
        <f>IF(A1421="","",F1421+H1421-I1421)</f>
        <v/>
      </c>
      <c r="K1421">
        <f>IF(A1421="","",IFERROR(IF(B1421="",NA(),MATCH(B1421,Products!$B$5:$B$204,0)),IFERROR(MATCH(A1421,Products!$A$5:$A$204,0),"")))</f>
        <v/>
      </c>
      <c r="L1421">
        <f>IF(A1421="","",IF(K1421="","⚠ not in Products",INDEX(Products!$A$5:$A$204,K1421)))</f>
        <v/>
      </c>
      <c r="M1421" s="11">
        <f>IF(A1421="","",J1421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1421+IFERROR(INDEX(Settings!$D$5:$D$9,MATCH("Shopify",Settings!$A$5:$A$9,0)),0)*D1421)</f>
        <v/>
      </c>
      <c r="N1421" s="11">
        <f>IF(A1421="","",IF(K1421="",0,D1421*INDEX(Products!$I$5:$I$204,K1421)))</f>
        <v/>
      </c>
      <c r="O1421" s="11">
        <f>IF(A1421="","",IF(K1421="",0,J1421*INDEX(Products!$H$5:$H$204,K1421)))</f>
        <v/>
      </c>
      <c r="P1421" s="11">
        <f>IF(A1421="","",J1421-M1421-N1421-O1421)</f>
        <v/>
      </c>
    </row>
    <row r="1422">
      <c r="A1422">
        <f>IFERROR(INDEX('Shopify Import'!$A:$CZ,1422,Settings!$E$20)&amp;"","")</f>
        <v/>
      </c>
      <c r="B1422">
        <f>IFERROR(INDEX('Shopify Import'!$A:$CZ,1422,Settings!$E$21)&amp;"","")</f>
        <v/>
      </c>
      <c r="C1422">
        <f>IFERROR(INDEX('Shopify Import'!$A:$CZ,1422,Settings!$E$22)&amp;"","")</f>
        <v/>
      </c>
      <c r="D1422">
        <f>IF(A1422="","",IFERROR(VALUE(SUBSTITUTE(SUBSTITUTE(INDEX('Shopify Import'!$A:$CZ,1422,Settings!$E$23)&amp;"","$",""),",","")),0))</f>
        <v/>
      </c>
      <c r="E1422" s="11">
        <f>IF(A1422="","",IFERROR(VALUE(SUBSTITUTE(SUBSTITUTE(INDEX('Shopify Import'!$A:$CZ,1422,Settings!$E$24)&amp;"","$",""),",","")),0))</f>
        <v/>
      </c>
      <c r="F1422" s="11">
        <f>IF(A1422="","",D1422*E1422)</f>
        <v/>
      </c>
      <c r="G1422">
        <f>IF(A1422="","",IF(C1422="",1,COUNTIF($C$2:$C$1501,C1422)))</f>
        <v/>
      </c>
      <c r="H1422" s="11">
        <f>IF(A1422="","",IFERROR(VALUE(SUBSTITUTE(SUBSTITUTE(INDEX('Shopify Import'!$A:$CZ,1422,Settings!$E$25)&amp;"","$",""),",","")),0)/IF(Settings!$D$27="Yes",G1422,1))</f>
        <v/>
      </c>
      <c r="I1422" s="11">
        <f>IF(A1422="","",IFERROR(VALUE(SUBSTITUTE(SUBSTITUTE(INDEX('Shopify Import'!$A:$CZ,1422,Settings!$E$26)&amp;"","$",""),",","")),0)/IF(Settings!$D$27="Yes",G1422,1))</f>
        <v/>
      </c>
      <c r="J1422" s="11">
        <f>IF(A1422="","",F1422+H1422-I1422)</f>
        <v/>
      </c>
      <c r="K1422">
        <f>IF(A1422="","",IFERROR(IF(B1422="",NA(),MATCH(B1422,Products!$B$5:$B$204,0)),IFERROR(MATCH(A1422,Products!$A$5:$A$204,0),"")))</f>
        <v/>
      </c>
      <c r="L1422">
        <f>IF(A1422="","",IF(K1422="","⚠ not in Products",INDEX(Products!$A$5:$A$204,K1422)))</f>
        <v/>
      </c>
      <c r="M1422" s="11">
        <f>IF(A1422="","",J1422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1422+IFERROR(INDEX(Settings!$D$5:$D$9,MATCH("Shopify",Settings!$A$5:$A$9,0)),0)*D1422)</f>
        <v/>
      </c>
      <c r="N1422" s="11">
        <f>IF(A1422="","",IF(K1422="",0,D1422*INDEX(Products!$I$5:$I$204,K1422)))</f>
        <v/>
      </c>
      <c r="O1422" s="11">
        <f>IF(A1422="","",IF(K1422="",0,J1422*INDEX(Products!$H$5:$H$204,K1422)))</f>
        <v/>
      </c>
      <c r="P1422" s="11">
        <f>IF(A1422="","",J1422-M1422-N1422-O1422)</f>
        <v/>
      </c>
    </row>
    <row r="1423">
      <c r="A1423">
        <f>IFERROR(INDEX('Shopify Import'!$A:$CZ,1423,Settings!$E$20)&amp;"","")</f>
        <v/>
      </c>
      <c r="B1423">
        <f>IFERROR(INDEX('Shopify Import'!$A:$CZ,1423,Settings!$E$21)&amp;"","")</f>
        <v/>
      </c>
      <c r="C1423">
        <f>IFERROR(INDEX('Shopify Import'!$A:$CZ,1423,Settings!$E$22)&amp;"","")</f>
        <v/>
      </c>
      <c r="D1423">
        <f>IF(A1423="","",IFERROR(VALUE(SUBSTITUTE(SUBSTITUTE(INDEX('Shopify Import'!$A:$CZ,1423,Settings!$E$23)&amp;"","$",""),",","")),0))</f>
        <v/>
      </c>
      <c r="E1423" s="11">
        <f>IF(A1423="","",IFERROR(VALUE(SUBSTITUTE(SUBSTITUTE(INDEX('Shopify Import'!$A:$CZ,1423,Settings!$E$24)&amp;"","$",""),",","")),0))</f>
        <v/>
      </c>
      <c r="F1423" s="11">
        <f>IF(A1423="","",D1423*E1423)</f>
        <v/>
      </c>
      <c r="G1423">
        <f>IF(A1423="","",IF(C1423="",1,COUNTIF($C$2:$C$1501,C1423)))</f>
        <v/>
      </c>
      <c r="H1423" s="11">
        <f>IF(A1423="","",IFERROR(VALUE(SUBSTITUTE(SUBSTITUTE(INDEX('Shopify Import'!$A:$CZ,1423,Settings!$E$25)&amp;"","$",""),",","")),0)/IF(Settings!$D$27="Yes",G1423,1))</f>
        <v/>
      </c>
      <c r="I1423" s="11">
        <f>IF(A1423="","",IFERROR(VALUE(SUBSTITUTE(SUBSTITUTE(INDEX('Shopify Import'!$A:$CZ,1423,Settings!$E$26)&amp;"","$",""),",","")),0)/IF(Settings!$D$27="Yes",G1423,1))</f>
        <v/>
      </c>
      <c r="J1423" s="11">
        <f>IF(A1423="","",F1423+H1423-I1423)</f>
        <v/>
      </c>
      <c r="K1423">
        <f>IF(A1423="","",IFERROR(IF(B1423="",NA(),MATCH(B1423,Products!$B$5:$B$204,0)),IFERROR(MATCH(A1423,Products!$A$5:$A$204,0),"")))</f>
        <v/>
      </c>
      <c r="L1423">
        <f>IF(A1423="","",IF(K1423="","⚠ not in Products",INDEX(Products!$A$5:$A$204,K1423)))</f>
        <v/>
      </c>
      <c r="M1423" s="11">
        <f>IF(A1423="","",J1423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1423+IFERROR(INDEX(Settings!$D$5:$D$9,MATCH("Shopify",Settings!$A$5:$A$9,0)),0)*D1423)</f>
        <v/>
      </c>
      <c r="N1423" s="11">
        <f>IF(A1423="","",IF(K1423="",0,D1423*INDEX(Products!$I$5:$I$204,K1423)))</f>
        <v/>
      </c>
      <c r="O1423" s="11">
        <f>IF(A1423="","",IF(K1423="",0,J1423*INDEX(Products!$H$5:$H$204,K1423)))</f>
        <v/>
      </c>
      <c r="P1423" s="11">
        <f>IF(A1423="","",J1423-M1423-N1423-O1423)</f>
        <v/>
      </c>
    </row>
    <row r="1424">
      <c r="A1424">
        <f>IFERROR(INDEX('Shopify Import'!$A:$CZ,1424,Settings!$E$20)&amp;"","")</f>
        <v/>
      </c>
      <c r="B1424">
        <f>IFERROR(INDEX('Shopify Import'!$A:$CZ,1424,Settings!$E$21)&amp;"","")</f>
        <v/>
      </c>
      <c r="C1424">
        <f>IFERROR(INDEX('Shopify Import'!$A:$CZ,1424,Settings!$E$22)&amp;"","")</f>
        <v/>
      </c>
      <c r="D1424">
        <f>IF(A1424="","",IFERROR(VALUE(SUBSTITUTE(SUBSTITUTE(INDEX('Shopify Import'!$A:$CZ,1424,Settings!$E$23)&amp;"","$",""),",","")),0))</f>
        <v/>
      </c>
      <c r="E1424" s="11">
        <f>IF(A1424="","",IFERROR(VALUE(SUBSTITUTE(SUBSTITUTE(INDEX('Shopify Import'!$A:$CZ,1424,Settings!$E$24)&amp;"","$",""),",","")),0))</f>
        <v/>
      </c>
      <c r="F1424" s="11">
        <f>IF(A1424="","",D1424*E1424)</f>
        <v/>
      </c>
      <c r="G1424">
        <f>IF(A1424="","",IF(C1424="",1,COUNTIF($C$2:$C$1501,C1424)))</f>
        <v/>
      </c>
      <c r="H1424" s="11">
        <f>IF(A1424="","",IFERROR(VALUE(SUBSTITUTE(SUBSTITUTE(INDEX('Shopify Import'!$A:$CZ,1424,Settings!$E$25)&amp;"","$",""),",","")),0)/IF(Settings!$D$27="Yes",G1424,1))</f>
        <v/>
      </c>
      <c r="I1424" s="11">
        <f>IF(A1424="","",IFERROR(VALUE(SUBSTITUTE(SUBSTITUTE(INDEX('Shopify Import'!$A:$CZ,1424,Settings!$E$26)&amp;"","$",""),",","")),0)/IF(Settings!$D$27="Yes",G1424,1))</f>
        <v/>
      </c>
      <c r="J1424" s="11">
        <f>IF(A1424="","",F1424+H1424-I1424)</f>
        <v/>
      </c>
      <c r="K1424">
        <f>IF(A1424="","",IFERROR(IF(B1424="",NA(),MATCH(B1424,Products!$B$5:$B$204,0)),IFERROR(MATCH(A1424,Products!$A$5:$A$204,0),"")))</f>
        <v/>
      </c>
      <c r="L1424">
        <f>IF(A1424="","",IF(K1424="","⚠ not in Products",INDEX(Products!$A$5:$A$204,K1424)))</f>
        <v/>
      </c>
      <c r="M1424" s="11">
        <f>IF(A1424="","",J1424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1424+IFERROR(INDEX(Settings!$D$5:$D$9,MATCH("Shopify",Settings!$A$5:$A$9,0)),0)*D1424)</f>
        <v/>
      </c>
      <c r="N1424" s="11">
        <f>IF(A1424="","",IF(K1424="",0,D1424*INDEX(Products!$I$5:$I$204,K1424)))</f>
        <v/>
      </c>
      <c r="O1424" s="11">
        <f>IF(A1424="","",IF(K1424="",0,J1424*INDEX(Products!$H$5:$H$204,K1424)))</f>
        <v/>
      </c>
      <c r="P1424" s="11">
        <f>IF(A1424="","",J1424-M1424-N1424-O1424)</f>
        <v/>
      </c>
    </row>
    <row r="1425">
      <c r="A1425">
        <f>IFERROR(INDEX('Shopify Import'!$A:$CZ,1425,Settings!$E$20)&amp;"","")</f>
        <v/>
      </c>
      <c r="B1425">
        <f>IFERROR(INDEX('Shopify Import'!$A:$CZ,1425,Settings!$E$21)&amp;"","")</f>
        <v/>
      </c>
      <c r="C1425">
        <f>IFERROR(INDEX('Shopify Import'!$A:$CZ,1425,Settings!$E$22)&amp;"","")</f>
        <v/>
      </c>
      <c r="D1425">
        <f>IF(A1425="","",IFERROR(VALUE(SUBSTITUTE(SUBSTITUTE(INDEX('Shopify Import'!$A:$CZ,1425,Settings!$E$23)&amp;"","$",""),",","")),0))</f>
        <v/>
      </c>
      <c r="E1425" s="11">
        <f>IF(A1425="","",IFERROR(VALUE(SUBSTITUTE(SUBSTITUTE(INDEX('Shopify Import'!$A:$CZ,1425,Settings!$E$24)&amp;"","$",""),",","")),0))</f>
        <v/>
      </c>
      <c r="F1425" s="11">
        <f>IF(A1425="","",D1425*E1425)</f>
        <v/>
      </c>
      <c r="G1425">
        <f>IF(A1425="","",IF(C1425="",1,COUNTIF($C$2:$C$1501,C1425)))</f>
        <v/>
      </c>
      <c r="H1425" s="11">
        <f>IF(A1425="","",IFERROR(VALUE(SUBSTITUTE(SUBSTITUTE(INDEX('Shopify Import'!$A:$CZ,1425,Settings!$E$25)&amp;"","$",""),",","")),0)/IF(Settings!$D$27="Yes",G1425,1))</f>
        <v/>
      </c>
      <c r="I1425" s="11">
        <f>IF(A1425="","",IFERROR(VALUE(SUBSTITUTE(SUBSTITUTE(INDEX('Shopify Import'!$A:$CZ,1425,Settings!$E$26)&amp;"","$",""),",","")),0)/IF(Settings!$D$27="Yes",G1425,1))</f>
        <v/>
      </c>
      <c r="J1425" s="11">
        <f>IF(A1425="","",F1425+H1425-I1425)</f>
        <v/>
      </c>
      <c r="K1425">
        <f>IF(A1425="","",IFERROR(IF(B1425="",NA(),MATCH(B1425,Products!$B$5:$B$204,0)),IFERROR(MATCH(A1425,Products!$A$5:$A$204,0),"")))</f>
        <v/>
      </c>
      <c r="L1425">
        <f>IF(A1425="","",IF(K1425="","⚠ not in Products",INDEX(Products!$A$5:$A$204,K1425)))</f>
        <v/>
      </c>
      <c r="M1425" s="11">
        <f>IF(A1425="","",J1425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1425+IFERROR(INDEX(Settings!$D$5:$D$9,MATCH("Shopify",Settings!$A$5:$A$9,0)),0)*D1425)</f>
        <v/>
      </c>
      <c r="N1425" s="11">
        <f>IF(A1425="","",IF(K1425="",0,D1425*INDEX(Products!$I$5:$I$204,K1425)))</f>
        <v/>
      </c>
      <c r="O1425" s="11">
        <f>IF(A1425="","",IF(K1425="",0,J1425*INDEX(Products!$H$5:$H$204,K1425)))</f>
        <v/>
      </c>
      <c r="P1425" s="11">
        <f>IF(A1425="","",J1425-M1425-N1425-O1425)</f>
        <v/>
      </c>
    </row>
    <row r="1426">
      <c r="A1426">
        <f>IFERROR(INDEX('Shopify Import'!$A:$CZ,1426,Settings!$E$20)&amp;"","")</f>
        <v/>
      </c>
      <c r="B1426">
        <f>IFERROR(INDEX('Shopify Import'!$A:$CZ,1426,Settings!$E$21)&amp;"","")</f>
        <v/>
      </c>
      <c r="C1426">
        <f>IFERROR(INDEX('Shopify Import'!$A:$CZ,1426,Settings!$E$22)&amp;"","")</f>
        <v/>
      </c>
      <c r="D1426">
        <f>IF(A1426="","",IFERROR(VALUE(SUBSTITUTE(SUBSTITUTE(INDEX('Shopify Import'!$A:$CZ,1426,Settings!$E$23)&amp;"","$",""),",","")),0))</f>
        <v/>
      </c>
      <c r="E1426" s="11">
        <f>IF(A1426="","",IFERROR(VALUE(SUBSTITUTE(SUBSTITUTE(INDEX('Shopify Import'!$A:$CZ,1426,Settings!$E$24)&amp;"","$",""),",","")),0))</f>
        <v/>
      </c>
      <c r="F1426" s="11">
        <f>IF(A1426="","",D1426*E1426)</f>
        <v/>
      </c>
      <c r="G1426">
        <f>IF(A1426="","",IF(C1426="",1,COUNTIF($C$2:$C$1501,C1426)))</f>
        <v/>
      </c>
      <c r="H1426" s="11">
        <f>IF(A1426="","",IFERROR(VALUE(SUBSTITUTE(SUBSTITUTE(INDEX('Shopify Import'!$A:$CZ,1426,Settings!$E$25)&amp;"","$",""),",","")),0)/IF(Settings!$D$27="Yes",G1426,1))</f>
        <v/>
      </c>
      <c r="I1426" s="11">
        <f>IF(A1426="","",IFERROR(VALUE(SUBSTITUTE(SUBSTITUTE(INDEX('Shopify Import'!$A:$CZ,1426,Settings!$E$26)&amp;"","$",""),",","")),0)/IF(Settings!$D$27="Yes",G1426,1))</f>
        <v/>
      </c>
      <c r="J1426" s="11">
        <f>IF(A1426="","",F1426+H1426-I1426)</f>
        <v/>
      </c>
      <c r="K1426">
        <f>IF(A1426="","",IFERROR(IF(B1426="",NA(),MATCH(B1426,Products!$B$5:$B$204,0)),IFERROR(MATCH(A1426,Products!$A$5:$A$204,0),"")))</f>
        <v/>
      </c>
      <c r="L1426">
        <f>IF(A1426="","",IF(K1426="","⚠ not in Products",INDEX(Products!$A$5:$A$204,K1426)))</f>
        <v/>
      </c>
      <c r="M1426" s="11">
        <f>IF(A1426="","",J1426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1426+IFERROR(INDEX(Settings!$D$5:$D$9,MATCH("Shopify",Settings!$A$5:$A$9,0)),0)*D1426)</f>
        <v/>
      </c>
      <c r="N1426" s="11">
        <f>IF(A1426="","",IF(K1426="",0,D1426*INDEX(Products!$I$5:$I$204,K1426)))</f>
        <v/>
      </c>
      <c r="O1426" s="11">
        <f>IF(A1426="","",IF(K1426="",0,J1426*INDEX(Products!$H$5:$H$204,K1426)))</f>
        <v/>
      </c>
      <c r="P1426" s="11">
        <f>IF(A1426="","",J1426-M1426-N1426-O1426)</f>
        <v/>
      </c>
    </row>
    <row r="1427">
      <c r="A1427">
        <f>IFERROR(INDEX('Shopify Import'!$A:$CZ,1427,Settings!$E$20)&amp;"","")</f>
        <v/>
      </c>
      <c r="B1427">
        <f>IFERROR(INDEX('Shopify Import'!$A:$CZ,1427,Settings!$E$21)&amp;"","")</f>
        <v/>
      </c>
      <c r="C1427">
        <f>IFERROR(INDEX('Shopify Import'!$A:$CZ,1427,Settings!$E$22)&amp;"","")</f>
        <v/>
      </c>
      <c r="D1427">
        <f>IF(A1427="","",IFERROR(VALUE(SUBSTITUTE(SUBSTITUTE(INDEX('Shopify Import'!$A:$CZ,1427,Settings!$E$23)&amp;"","$",""),",","")),0))</f>
        <v/>
      </c>
      <c r="E1427" s="11">
        <f>IF(A1427="","",IFERROR(VALUE(SUBSTITUTE(SUBSTITUTE(INDEX('Shopify Import'!$A:$CZ,1427,Settings!$E$24)&amp;"","$",""),",","")),0))</f>
        <v/>
      </c>
      <c r="F1427" s="11">
        <f>IF(A1427="","",D1427*E1427)</f>
        <v/>
      </c>
      <c r="G1427">
        <f>IF(A1427="","",IF(C1427="",1,COUNTIF($C$2:$C$1501,C1427)))</f>
        <v/>
      </c>
      <c r="H1427" s="11">
        <f>IF(A1427="","",IFERROR(VALUE(SUBSTITUTE(SUBSTITUTE(INDEX('Shopify Import'!$A:$CZ,1427,Settings!$E$25)&amp;"","$",""),",","")),0)/IF(Settings!$D$27="Yes",G1427,1))</f>
        <v/>
      </c>
      <c r="I1427" s="11">
        <f>IF(A1427="","",IFERROR(VALUE(SUBSTITUTE(SUBSTITUTE(INDEX('Shopify Import'!$A:$CZ,1427,Settings!$E$26)&amp;"","$",""),",","")),0)/IF(Settings!$D$27="Yes",G1427,1))</f>
        <v/>
      </c>
      <c r="J1427" s="11">
        <f>IF(A1427="","",F1427+H1427-I1427)</f>
        <v/>
      </c>
      <c r="K1427">
        <f>IF(A1427="","",IFERROR(IF(B1427="",NA(),MATCH(B1427,Products!$B$5:$B$204,0)),IFERROR(MATCH(A1427,Products!$A$5:$A$204,0),"")))</f>
        <v/>
      </c>
      <c r="L1427">
        <f>IF(A1427="","",IF(K1427="","⚠ not in Products",INDEX(Products!$A$5:$A$204,K1427)))</f>
        <v/>
      </c>
      <c r="M1427" s="11">
        <f>IF(A1427="","",J1427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1427+IFERROR(INDEX(Settings!$D$5:$D$9,MATCH("Shopify",Settings!$A$5:$A$9,0)),0)*D1427)</f>
        <v/>
      </c>
      <c r="N1427" s="11">
        <f>IF(A1427="","",IF(K1427="",0,D1427*INDEX(Products!$I$5:$I$204,K1427)))</f>
        <v/>
      </c>
      <c r="O1427" s="11">
        <f>IF(A1427="","",IF(K1427="",0,J1427*INDEX(Products!$H$5:$H$204,K1427)))</f>
        <v/>
      </c>
      <c r="P1427" s="11">
        <f>IF(A1427="","",J1427-M1427-N1427-O1427)</f>
        <v/>
      </c>
    </row>
    <row r="1428">
      <c r="A1428">
        <f>IFERROR(INDEX('Shopify Import'!$A:$CZ,1428,Settings!$E$20)&amp;"","")</f>
        <v/>
      </c>
      <c r="B1428">
        <f>IFERROR(INDEX('Shopify Import'!$A:$CZ,1428,Settings!$E$21)&amp;"","")</f>
        <v/>
      </c>
      <c r="C1428">
        <f>IFERROR(INDEX('Shopify Import'!$A:$CZ,1428,Settings!$E$22)&amp;"","")</f>
        <v/>
      </c>
      <c r="D1428">
        <f>IF(A1428="","",IFERROR(VALUE(SUBSTITUTE(SUBSTITUTE(INDEX('Shopify Import'!$A:$CZ,1428,Settings!$E$23)&amp;"","$",""),",","")),0))</f>
        <v/>
      </c>
      <c r="E1428" s="11">
        <f>IF(A1428="","",IFERROR(VALUE(SUBSTITUTE(SUBSTITUTE(INDEX('Shopify Import'!$A:$CZ,1428,Settings!$E$24)&amp;"","$",""),",","")),0))</f>
        <v/>
      </c>
      <c r="F1428" s="11">
        <f>IF(A1428="","",D1428*E1428)</f>
        <v/>
      </c>
      <c r="G1428">
        <f>IF(A1428="","",IF(C1428="",1,COUNTIF($C$2:$C$1501,C1428)))</f>
        <v/>
      </c>
      <c r="H1428" s="11">
        <f>IF(A1428="","",IFERROR(VALUE(SUBSTITUTE(SUBSTITUTE(INDEX('Shopify Import'!$A:$CZ,1428,Settings!$E$25)&amp;"","$",""),",","")),0)/IF(Settings!$D$27="Yes",G1428,1))</f>
        <v/>
      </c>
      <c r="I1428" s="11">
        <f>IF(A1428="","",IFERROR(VALUE(SUBSTITUTE(SUBSTITUTE(INDEX('Shopify Import'!$A:$CZ,1428,Settings!$E$26)&amp;"","$",""),",","")),0)/IF(Settings!$D$27="Yes",G1428,1))</f>
        <v/>
      </c>
      <c r="J1428" s="11">
        <f>IF(A1428="","",F1428+H1428-I1428)</f>
        <v/>
      </c>
      <c r="K1428">
        <f>IF(A1428="","",IFERROR(IF(B1428="",NA(),MATCH(B1428,Products!$B$5:$B$204,0)),IFERROR(MATCH(A1428,Products!$A$5:$A$204,0),"")))</f>
        <v/>
      </c>
      <c r="L1428">
        <f>IF(A1428="","",IF(K1428="","⚠ not in Products",INDEX(Products!$A$5:$A$204,K1428)))</f>
        <v/>
      </c>
      <c r="M1428" s="11">
        <f>IF(A1428="","",J1428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1428+IFERROR(INDEX(Settings!$D$5:$D$9,MATCH("Shopify",Settings!$A$5:$A$9,0)),0)*D1428)</f>
        <v/>
      </c>
      <c r="N1428" s="11">
        <f>IF(A1428="","",IF(K1428="",0,D1428*INDEX(Products!$I$5:$I$204,K1428)))</f>
        <v/>
      </c>
      <c r="O1428" s="11">
        <f>IF(A1428="","",IF(K1428="",0,J1428*INDEX(Products!$H$5:$H$204,K1428)))</f>
        <v/>
      </c>
      <c r="P1428" s="11">
        <f>IF(A1428="","",J1428-M1428-N1428-O1428)</f>
        <v/>
      </c>
    </row>
    <row r="1429">
      <c r="A1429">
        <f>IFERROR(INDEX('Shopify Import'!$A:$CZ,1429,Settings!$E$20)&amp;"","")</f>
        <v/>
      </c>
      <c r="B1429">
        <f>IFERROR(INDEX('Shopify Import'!$A:$CZ,1429,Settings!$E$21)&amp;"","")</f>
        <v/>
      </c>
      <c r="C1429">
        <f>IFERROR(INDEX('Shopify Import'!$A:$CZ,1429,Settings!$E$22)&amp;"","")</f>
        <v/>
      </c>
      <c r="D1429">
        <f>IF(A1429="","",IFERROR(VALUE(SUBSTITUTE(SUBSTITUTE(INDEX('Shopify Import'!$A:$CZ,1429,Settings!$E$23)&amp;"","$",""),",","")),0))</f>
        <v/>
      </c>
      <c r="E1429" s="11">
        <f>IF(A1429="","",IFERROR(VALUE(SUBSTITUTE(SUBSTITUTE(INDEX('Shopify Import'!$A:$CZ,1429,Settings!$E$24)&amp;"","$",""),",","")),0))</f>
        <v/>
      </c>
      <c r="F1429" s="11">
        <f>IF(A1429="","",D1429*E1429)</f>
        <v/>
      </c>
      <c r="G1429">
        <f>IF(A1429="","",IF(C1429="",1,COUNTIF($C$2:$C$1501,C1429)))</f>
        <v/>
      </c>
      <c r="H1429" s="11">
        <f>IF(A1429="","",IFERROR(VALUE(SUBSTITUTE(SUBSTITUTE(INDEX('Shopify Import'!$A:$CZ,1429,Settings!$E$25)&amp;"","$",""),",","")),0)/IF(Settings!$D$27="Yes",G1429,1))</f>
        <v/>
      </c>
      <c r="I1429" s="11">
        <f>IF(A1429="","",IFERROR(VALUE(SUBSTITUTE(SUBSTITUTE(INDEX('Shopify Import'!$A:$CZ,1429,Settings!$E$26)&amp;"","$",""),",","")),0)/IF(Settings!$D$27="Yes",G1429,1))</f>
        <v/>
      </c>
      <c r="J1429" s="11">
        <f>IF(A1429="","",F1429+H1429-I1429)</f>
        <v/>
      </c>
      <c r="K1429">
        <f>IF(A1429="","",IFERROR(IF(B1429="",NA(),MATCH(B1429,Products!$B$5:$B$204,0)),IFERROR(MATCH(A1429,Products!$A$5:$A$204,0),"")))</f>
        <v/>
      </c>
      <c r="L1429">
        <f>IF(A1429="","",IF(K1429="","⚠ not in Products",INDEX(Products!$A$5:$A$204,K1429)))</f>
        <v/>
      </c>
      <c r="M1429" s="11">
        <f>IF(A1429="","",J1429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1429+IFERROR(INDEX(Settings!$D$5:$D$9,MATCH("Shopify",Settings!$A$5:$A$9,0)),0)*D1429)</f>
        <v/>
      </c>
      <c r="N1429" s="11">
        <f>IF(A1429="","",IF(K1429="",0,D1429*INDEX(Products!$I$5:$I$204,K1429)))</f>
        <v/>
      </c>
      <c r="O1429" s="11">
        <f>IF(A1429="","",IF(K1429="",0,J1429*INDEX(Products!$H$5:$H$204,K1429)))</f>
        <v/>
      </c>
      <c r="P1429" s="11">
        <f>IF(A1429="","",J1429-M1429-N1429-O1429)</f>
        <v/>
      </c>
    </row>
    <row r="1430">
      <c r="A1430">
        <f>IFERROR(INDEX('Shopify Import'!$A:$CZ,1430,Settings!$E$20)&amp;"","")</f>
        <v/>
      </c>
      <c r="B1430">
        <f>IFERROR(INDEX('Shopify Import'!$A:$CZ,1430,Settings!$E$21)&amp;"","")</f>
        <v/>
      </c>
      <c r="C1430">
        <f>IFERROR(INDEX('Shopify Import'!$A:$CZ,1430,Settings!$E$22)&amp;"","")</f>
        <v/>
      </c>
      <c r="D1430">
        <f>IF(A1430="","",IFERROR(VALUE(SUBSTITUTE(SUBSTITUTE(INDEX('Shopify Import'!$A:$CZ,1430,Settings!$E$23)&amp;"","$",""),",","")),0))</f>
        <v/>
      </c>
      <c r="E1430" s="11">
        <f>IF(A1430="","",IFERROR(VALUE(SUBSTITUTE(SUBSTITUTE(INDEX('Shopify Import'!$A:$CZ,1430,Settings!$E$24)&amp;"","$",""),",","")),0))</f>
        <v/>
      </c>
      <c r="F1430" s="11">
        <f>IF(A1430="","",D1430*E1430)</f>
        <v/>
      </c>
      <c r="G1430">
        <f>IF(A1430="","",IF(C1430="",1,COUNTIF($C$2:$C$1501,C1430)))</f>
        <v/>
      </c>
      <c r="H1430" s="11">
        <f>IF(A1430="","",IFERROR(VALUE(SUBSTITUTE(SUBSTITUTE(INDEX('Shopify Import'!$A:$CZ,1430,Settings!$E$25)&amp;"","$",""),",","")),0)/IF(Settings!$D$27="Yes",G1430,1))</f>
        <v/>
      </c>
      <c r="I1430" s="11">
        <f>IF(A1430="","",IFERROR(VALUE(SUBSTITUTE(SUBSTITUTE(INDEX('Shopify Import'!$A:$CZ,1430,Settings!$E$26)&amp;"","$",""),",","")),0)/IF(Settings!$D$27="Yes",G1430,1))</f>
        <v/>
      </c>
      <c r="J1430" s="11">
        <f>IF(A1430="","",F1430+H1430-I1430)</f>
        <v/>
      </c>
      <c r="K1430">
        <f>IF(A1430="","",IFERROR(IF(B1430="",NA(),MATCH(B1430,Products!$B$5:$B$204,0)),IFERROR(MATCH(A1430,Products!$A$5:$A$204,0),"")))</f>
        <v/>
      </c>
      <c r="L1430">
        <f>IF(A1430="","",IF(K1430="","⚠ not in Products",INDEX(Products!$A$5:$A$204,K1430)))</f>
        <v/>
      </c>
      <c r="M1430" s="11">
        <f>IF(A1430="","",J1430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1430+IFERROR(INDEX(Settings!$D$5:$D$9,MATCH("Shopify",Settings!$A$5:$A$9,0)),0)*D1430)</f>
        <v/>
      </c>
      <c r="N1430" s="11">
        <f>IF(A1430="","",IF(K1430="",0,D1430*INDEX(Products!$I$5:$I$204,K1430)))</f>
        <v/>
      </c>
      <c r="O1430" s="11">
        <f>IF(A1430="","",IF(K1430="",0,J1430*INDEX(Products!$H$5:$H$204,K1430)))</f>
        <v/>
      </c>
      <c r="P1430" s="11">
        <f>IF(A1430="","",J1430-M1430-N1430-O1430)</f>
        <v/>
      </c>
    </row>
    <row r="1431">
      <c r="A1431">
        <f>IFERROR(INDEX('Shopify Import'!$A:$CZ,1431,Settings!$E$20)&amp;"","")</f>
        <v/>
      </c>
      <c r="B1431">
        <f>IFERROR(INDEX('Shopify Import'!$A:$CZ,1431,Settings!$E$21)&amp;"","")</f>
        <v/>
      </c>
      <c r="C1431">
        <f>IFERROR(INDEX('Shopify Import'!$A:$CZ,1431,Settings!$E$22)&amp;"","")</f>
        <v/>
      </c>
      <c r="D1431">
        <f>IF(A1431="","",IFERROR(VALUE(SUBSTITUTE(SUBSTITUTE(INDEX('Shopify Import'!$A:$CZ,1431,Settings!$E$23)&amp;"","$",""),",","")),0))</f>
        <v/>
      </c>
      <c r="E1431" s="11">
        <f>IF(A1431="","",IFERROR(VALUE(SUBSTITUTE(SUBSTITUTE(INDEX('Shopify Import'!$A:$CZ,1431,Settings!$E$24)&amp;"","$",""),",","")),0))</f>
        <v/>
      </c>
      <c r="F1431" s="11">
        <f>IF(A1431="","",D1431*E1431)</f>
        <v/>
      </c>
      <c r="G1431">
        <f>IF(A1431="","",IF(C1431="",1,COUNTIF($C$2:$C$1501,C1431)))</f>
        <v/>
      </c>
      <c r="H1431" s="11">
        <f>IF(A1431="","",IFERROR(VALUE(SUBSTITUTE(SUBSTITUTE(INDEX('Shopify Import'!$A:$CZ,1431,Settings!$E$25)&amp;"","$",""),",","")),0)/IF(Settings!$D$27="Yes",G1431,1))</f>
        <v/>
      </c>
      <c r="I1431" s="11">
        <f>IF(A1431="","",IFERROR(VALUE(SUBSTITUTE(SUBSTITUTE(INDEX('Shopify Import'!$A:$CZ,1431,Settings!$E$26)&amp;"","$",""),",","")),0)/IF(Settings!$D$27="Yes",G1431,1))</f>
        <v/>
      </c>
      <c r="J1431" s="11">
        <f>IF(A1431="","",F1431+H1431-I1431)</f>
        <v/>
      </c>
      <c r="K1431">
        <f>IF(A1431="","",IFERROR(IF(B1431="",NA(),MATCH(B1431,Products!$B$5:$B$204,0)),IFERROR(MATCH(A1431,Products!$A$5:$A$204,0),"")))</f>
        <v/>
      </c>
      <c r="L1431">
        <f>IF(A1431="","",IF(K1431="","⚠ not in Products",INDEX(Products!$A$5:$A$204,K1431)))</f>
        <v/>
      </c>
      <c r="M1431" s="11">
        <f>IF(A1431="","",J1431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1431+IFERROR(INDEX(Settings!$D$5:$D$9,MATCH("Shopify",Settings!$A$5:$A$9,0)),0)*D1431)</f>
        <v/>
      </c>
      <c r="N1431" s="11">
        <f>IF(A1431="","",IF(K1431="",0,D1431*INDEX(Products!$I$5:$I$204,K1431)))</f>
        <v/>
      </c>
      <c r="O1431" s="11">
        <f>IF(A1431="","",IF(K1431="",0,J1431*INDEX(Products!$H$5:$H$204,K1431)))</f>
        <v/>
      </c>
      <c r="P1431" s="11">
        <f>IF(A1431="","",J1431-M1431-N1431-O1431)</f>
        <v/>
      </c>
    </row>
    <row r="1432">
      <c r="A1432">
        <f>IFERROR(INDEX('Shopify Import'!$A:$CZ,1432,Settings!$E$20)&amp;"","")</f>
        <v/>
      </c>
      <c r="B1432">
        <f>IFERROR(INDEX('Shopify Import'!$A:$CZ,1432,Settings!$E$21)&amp;"","")</f>
        <v/>
      </c>
      <c r="C1432">
        <f>IFERROR(INDEX('Shopify Import'!$A:$CZ,1432,Settings!$E$22)&amp;"","")</f>
        <v/>
      </c>
      <c r="D1432">
        <f>IF(A1432="","",IFERROR(VALUE(SUBSTITUTE(SUBSTITUTE(INDEX('Shopify Import'!$A:$CZ,1432,Settings!$E$23)&amp;"","$",""),",","")),0))</f>
        <v/>
      </c>
      <c r="E1432" s="11">
        <f>IF(A1432="","",IFERROR(VALUE(SUBSTITUTE(SUBSTITUTE(INDEX('Shopify Import'!$A:$CZ,1432,Settings!$E$24)&amp;"","$",""),",","")),0))</f>
        <v/>
      </c>
      <c r="F1432" s="11">
        <f>IF(A1432="","",D1432*E1432)</f>
        <v/>
      </c>
      <c r="G1432">
        <f>IF(A1432="","",IF(C1432="",1,COUNTIF($C$2:$C$1501,C1432)))</f>
        <v/>
      </c>
      <c r="H1432" s="11">
        <f>IF(A1432="","",IFERROR(VALUE(SUBSTITUTE(SUBSTITUTE(INDEX('Shopify Import'!$A:$CZ,1432,Settings!$E$25)&amp;"","$",""),",","")),0)/IF(Settings!$D$27="Yes",G1432,1))</f>
        <v/>
      </c>
      <c r="I1432" s="11">
        <f>IF(A1432="","",IFERROR(VALUE(SUBSTITUTE(SUBSTITUTE(INDEX('Shopify Import'!$A:$CZ,1432,Settings!$E$26)&amp;"","$",""),",","")),0)/IF(Settings!$D$27="Yes",G1432,1))</f>
        <v/>
      </c>
      <c r="J1432" s="11">
        <f>IF(A1432="","",F1432+H1432-I1432)</f>
        <v/>
      </c>
      <c r="K1432">
        <f>IF(A1432="","",IFERROR(IF(B1432="",NA(),MATCH(B1432,Products!$B$5:$B$204,0)),IFERROR(MATCH(A1432,Products!$A$5:$A$204,0),"")))</f>
        <v/>
      </c>
      <c r="L1432">
        <f>IF(A1432="","",IF(K1432="","⚠ not in Products",INDEX(Products!$A$5:$A$204,K1432)))</f>
        <v/>
      </c>
      <c r="M1432" s="11">
        <f>IF(A1432="","",J1432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1432+IFERROR(INDEX(Settings!$D$5:$D$9,MATCH("Shopify",Settings!$A$5:$A$9,0)),0)*D1432)</f>
        <v/>
      </c>
      <c r="N1432" s="11">
        <f>IF(A1432="","",IF(K1432="",0,D1432*INDEX(Products!$I$5:$I$204,K1432)))</f>
        <v/>
      </c>
      <c r="O1432" s="11">
        <f>IF(A1432="","",IF(K1432="",0,J1432*INDEX(Products!$H$5:$H$204,K1432)))</f>
        <v/>
      </c>
      <c r="P1432" s="11">
        <f>IF(A1432="","",J1432-M1432-N1432-O1432)</f>
        <v/>
      </c>
    </row>
    <row r="1433">
      <c r="A1433">
        <f>IFERROR(INDEX('Shopify Import'!$A:$CZ,1433,Settings!$E$20)&amp;"","")</f>
        <v/>
      </c>
      <c r="B1433">
        <f>IFERROR(INDEX('Shopify Import'!$A:$CZ,1433,Settings!$E$21)&amp;"","")</f>
        <v/>
      </c>
      <c r="C1433">
        <f>IFERROR(INDEX('Shopify Import'!$A:$CZ,1433,Settings!$E$22)&amp;"","")</f>
        <v/>
      </c>
      <c r="D1433">
        <f>IF(A1433="","",IFERROR(VALUE(SUBSTITUTE(SUBSTITUTE(INDEX('Shopify Import'!$A:$CZ,1433,Settings!$E$23)&amp;"","$",""),",","")),0))</f>
        <v/>
      </c>
      <c r="E1433" s="11">
        <f>IF(A1433="","",IFERROR(VALUE(SUBSTITUTE(SUBSTITUTE(INDEX('Shopify Import'!$A:$CZ,1433,Settings!$E$24)&amp;"","$",""),",","")),0))</f>
        <v/>
      </c>
      <c r="F1433" s="11">
        <f>IF(A1433="","",D1433*E1433)</f>
        <v/>
      </c>
      <c r="G1433">
        <f>IF(A1433="","",IF(C1433="",1,COUNTIF($C$2:$C$1501,C1433)))</f>
        <v/>
      </c>
      <c r="H1433" s="11">
        <f>IF(A1433="","",IFERROR(VALUE(SUBSTITUTE(SUBSTITUTE(INDEX('Shopify Import'!$A:$CZ,1433,Settings!$E$25)&amp;"","$",""),",","")),0)/IF(Settings!$D$27="Yes",G1433,1))</f>
        <v/>
      </c>
      <c r="I1433" s="11">
        <f>IF(A1433="","",IFERROR(VALUE(SUBSTITUTE(SUBSTITUTE(INDEX('Shopify Import'!$A:$CZ,1433,Settings!$E$26)&amp;"","$",""),",","")),0)/IF(Settings!$D$27="Yes",G1433,1))</f>
        <v/>
      </c>
      <c r="J1433" s="11">
        <f>IF(A1433="","",F1433+H1433-I1433)</f>
        <v/>
      </c>
      <c r="K1433">
        <f>IF(A1433="","",IFERROR(IF(B1433="",NA(),MATCH(B1433,Products!$B$5:$B$204,0)),IFERROR(MATCH(A1433,Products!$A$5:$A$204,0),"")))</f>
        <v/>
      </c>
      <c r="L1433">
        <f>IF(A1433="","",IF(K1433="","⚠ not in Products",INDEX(Products!$A$5:$A$204,K1433)))</f>
        <v/>
      </c>
      <c r="M1433" s="11">
        <f>IF(A1433="","",J1433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1433+IFERROR(INDEX(Settings!$D$5:$D$9,MATCH("Shopify",Settings!$A$5:$A$9,0)),0)*D1433)</f>
        <v/>
      </c>
      <c r="N1433" s="11">
        <f>IF(A1433="","",IF(K1433="",0,D1433*INDEX(Products!$I$5:$I$204,K1433)))</f>
        <v/>
      </c>
      <c r="O1433" s="11">
        <f>IF(A1433="","",IF(K1433="",0,J1433*INDEX(Products!$H$5:$H$204,K1433)))</f>
        <v/>
      </c>
      <c r="P1433" s="11">
        <f>IF(A1433="","",J1433-M1433-N1433-O1433)</f>
        <v/>
      </c>
    </row>
    <row r="1434">
      <c r="A1434">
        <f>IFERROR(INDEX('Shopify Import'!$A:$CZ,1434,Settings!$E$20)&amp;"","")</f>
        <v/>
      </c>
      <c r="B1434">
        <f>IFERROR(INDEX('Shopify Import'!$A:$CZ,1434,Settings!$E$21)&amp;"","")</f>
        <v/>
      </c>
      <c r="C1434">
        <f>IFERROR(INDEX('Shopify Import'!$A:$CZ,1434,Settings!$E$22)&amp;"","")</f>
        <v/>
      </c>
      <c r="D1434">
        <f>IF(A1434="","",IFERROR(VALUE(SUBSTITUTE(SUBSTITUTE(INDEX('Shopify Import'!$A:$CZ,1434,Settings!$E$23)&amp;"","$",""),",","")),0))</f>
        <v/>
      </c>
      <c r="E1434" s="11">
        <f>IF(A1434="","",IFERROR(VALUE(SUBSTITUTE(SUBSTITUTE(INDEX('Shopify Import'!$A:$CZ,1434,Settings!$E$24)&amp;"","$",""),",","")),0))</f>
        <v/>
      </c>
      <c r="F1434" s="11">
        <f>IF(A1434="","",D1434*E1434)</f>
        <v/>
      </c>
      <c r="G1434">
        <f>IF(A1434="","",IF(C1434="",1,COUNTIF($C$2:$C$1501,C1434)))</f>
        <v/>
      </c>
      <c r="H1434" s="11">
        <f>IF(A1434="","",IFERROR(VALUE(SUBSTITUTE(SUBSTITUTE(INDEX('Shopify Import'!$A:$CZ,1434,Settings!$E$25)&amp;"","$",""),",","")),0)/IF(Settings!$D$27="Yes",G1434,1))</f>
        <v/>
      </c>
      <c r="I1434" s="11">
        <f>IF(A1434="","",IFERROR(VALUE(SUBSTITUTE(SUBSTITUTE(INDEX('Shopify Import'!$A:$CZ,1434,Settings!$E$26)&amp;"","$",""),",","")),0)/IF(Settings!$D$27="Yes",G1434,1))</f>
        <v/>
      </c>
      <c r="J1434" s="11">
        <f>IF(A1434="","",F1434+H1434-I1434)</f>
        <v/>
      </c>
      <c r="K1434">
        <f>IF(A1434="","",IFERROR(IF(B1434="",NA(),MATCH(B1434,Products!$B$5:$B$204,0)),IFERROR(MATCH(A1434,Products!$A$5:$A$204,0),"")))</f>
        <v/>
      </c>
      <c r="L1434">
        <f>IF(A1434="","",IF(K1434="","⚠ not in Products",INDEX(Products!$A$5:$A$204,K1434)))</f>
        <v/>
      </c>
      <c r="M1434" s="11">
        <f>IF(A1434="","",J1434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1434+IFERROR(INDEX(Settings!$D$5:$D$9,MATCH("Shopify",Settings!$A$5:$A$9,0)),0)*D1434)</f>
        <v/>
      </c>
      <c r="N1434" s="11">
        <f>IF(A1434="","",IF(K1434="",0,D1434*INDEX(Products!$I$5:$I$204,K1434)))</f>
        <v/>
      </c>
      <c r="O1434" s="11">
        <f>IF(A1434="","",IF(K1434="",0,J1434*INDEX(Products!$H$5:$H$204,K1434)))</f>
        <v/>
      </c>
      <c r="P1434" s="11">
        <f>IF(A1434="","",J1434-M1434-N1434-O1434)</f>
        <v/>
      </c>
    </row>
    <row r="1435">
      <c r="A1435">
        <f>IFERROR(INDEX('Shopify Import'!$A:$CZ,1435,Settings!$E$20)&amp;"","")</f>
        <v/>
      </c>
      <c r="B1435">
        <f>IFERROR(INDEX('Shopify Import'!$A:$CZ,1435,Settings!$E$21)&amp;"","")</f>
        <v/>
      </c>
      <c r="C1435">
        <f>IFERROR(INDEX('Shopify Import'!$A:$CZ,1435,Settings!$E$22)&amp;"","")</f>
        <v/>
      </c>
      <c r="D1435">
        <f>IF(A1435="","",IFERROR(VALUE(SUBSTITUTE(SUBSTITUTE(INDEX('Shopify Import'!$A:$CZ,1435,Settings!$E$23)&amp;"","$",""),",","")),0))</f>
        <v/>
      </c>
      <c r="E1435" s="11">
        <f>IF(A1435="","",IFERROR(VALUE(SUBSTITUTE(SUBSTITUTE(INDEX('Shopify Import'!$A:$CZ,1435,Settings!$E$24)&amp;"","$",""),",","")),0))</f>
        <v/>
      </c>
      <c r="F1435" s="11">
        <f>IF(A1435="","",D1435*E1435)</f>
        <v/>
      </c>
      <c r="G1435">
        <f>IF(A1435="","",IF(C1435="",1,COUNTIF($C$2:$C$1501,C1435)))</f>
        <v/>
      </c>
      <c r="H1435" s="11">
        <f>IF(A1435="","",IFERROR(VALUE(SUBSTITUTE(SUBSTITUTE(INDEX('Shopify Import'!$A:$CZ,1435,Settings!$E$25)&amp;"","$",""),",","")),0)/IF(Settings!$D$27="Yes",G1435,1))</f>
        <v/>
      </c>
      <c r="I1435" s="11">
        <f>IF(A1435="","",IFERROR(VALUE(SUBSTITUTE(SUBSTITUTE(INDEX('Shopify Import'!$A:$CZ,1435,Settings!$E$26)&amp;"","$",""),",","")),0)/IF(Settings!$D$27="Yes",G1435,1))</f>
        <v/>
      </c>
      <c r="J1435" s="11">
        <f>IF(A1435="","",F1435+H1435-I1435)</f>
        <v/>
      </c>
      <c r="K1435">
        <f>IF(A1435="","",IFERROR(IF(B1435="",NA(),MATCH(B1435,Products!$B$5:$B$204,0)),IFERROR(MATCH(A1435,Products!$A$5:$A$204,0),"")))</f>
        <v/>
      </c>
      <c r="L1435">
        <f>IF(A1435="","",IF(K1435="","⚠ not in Products",INDEX(Products!$A$5:$A$204,K1435)))</f>
        <v/>
      </c>
      <c r="M1435" s="11">
        <f>IF(A1435="","",J1435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1435+IFERROR(INDEX(Settings!$D$5:$D$9,MATCH("Shopify",Settings!$A$5:$A$9,0)),0)*D1435)</f>
        <v/>
      </c>
      <c r="N1435" s="11">
        <f>IF(A1435="","",IF(K1435="",0,D1435*INDEX(Products!$I$5:$I$204,K1435)))</f>
        <v/>
      </c>
      <c r="O1435" s="11">
        <f>IF(A1435="","",IF(K1435="",0,J1435*INDEX(Products!$H$5:$H$204,K1435)))</f>
        <v/>
      </c>
      <c r="P1435" s="11">
        <f>IF(A1435="","",J1435-M1435-N1435-O1435)</f>
        <v/>
      </c>
    </row>
    <row r="1436">
      <c r="A1436">
        <f>IFERROR(INDEX('Shopify Import'!$A:$CZ,1436,Settings!$E$20)&amp;"","")</f>
        <v/>
      </c>
      <c r="B1436">
        <f>IFERROR(INDEX('Shopify Import'!$A:$CZ,1436,Settings!$E$21)&amp;"","")</f>
        <v/>
      </c>
      <c r="C1436">
        <f>IFERROR(INDEX('Shopify Import'!$A:$CZ,1436,Settings!$E$22)&amp;"","")</f>
        <v/>
      </c>
      <c r="D1436">
        <f>IF(A1436="","",IFERROR(VALUE(SUBSTITUTE(SUBSTITUTE(INDEX('Shopify Import'!$A:$CZ,1436,Settings!$E$23)&amp;"","$",""),",","")),0))</f>
        <v/>
      </c>
      <c r="E1436" s="11">
        <f>IF(A1436="","",IFERROR(VALUE(SUBSTITUTE(SUBSTITUTE(INDEX('Shopify Import'!$A:$CZ,1436,Settings!$E$24)&amp;"","$",""),",","")),0))</f>
        <v/>
      </c>
      <c r="F1436" s="11">
        <f>IF(A1436="","",D1436*E1436)</f>
        <v/>
      </c>
      <c r="G1436">
        <f>IF(A1436="","",IF(C1436="",1,COUNTIF($C$2:$C$1501,C1436)))</f>
        <v/>
      </c>
      <c r="H1436" s="11">
        <f>IF(A1436="","",IFERROR(VALUE(SUBSTITUTE(SUBSTITUTE(INDEX('Shopify Import'!$A:$CZ,1436,Settings!$E$25)&amp;"","$",""),",","")),0)/IF(Settings!$D$27="Yes",G1436,1))</f>
        <v/>
      </c>
      <c r="I1436" s="11">
        <f>IF(A1436="","",IFERROR(VALUE(SUBSTITUTE(SUBSTITUTE(INDEX('Shopify Import'!$A:$CZ,1436,Settings!$E$26)&amp;"","$",""),",","")),0)/IF(Settings!$D$27="Yes",G1436,1))</f>
        <v/>
      </c>
      <c r="J1436" s="11">
        <f>IF(A1436="","",F1436+H1436-I1436)</f>
        <v/>
      </c>
      <c r="K1436">
        <f>IF(A1436="","",IFERROR(IF(B1436="",NA(),MATCH(B1436,Products!$B$5:$B$204,0)),IFERROR(MATCH(A1436,Products!$A$5:$A$204,0),"")))</f>
        <v/>
      </c>
      <c r="L1436">
        <f>IF(A1436="","",IF(K1436="","⚠ not in Products",INDEX(Products!$A$5:$A$204,K1436)))</f>
        <v/>
      </c>
      <c r="M1436" s="11">
        <f>IF(A1436="","",J1436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1436+IFERROR(INDEX(Settings!$D$5:$D$9,MATCH("Shopify",Settings!$A$5:$A$9,0)),0)*D1436)</f>
        <v/>
      </c>
      <c r="N1436" s="11">
        <f>IF(A1436="","",IF(K1436="",0,D1436*INDEX(Products!$I$5:$I$204,K1436)))</f>
        <v/>
      </c>
      <c r="O1436" s="11">
        <f>IF(A1436="","",IF(K1436="",0,J1436*INDEX(Products!$H$5:$H$204,K1436)))</f>
        <v/>
      </c>
      <c r="P1436" s="11">
        <f>IF(A1436="","",J1436-M1436-N1436-O1436)</f>
        <v/>
      </c>
    </row>
    <row r="1437">
      <c r="A1437">
        <f>IFERROR(INDEX('Shopify Import'!$A:$CZ,1437,Settings!$E$20)&amp;"","")</f>
        <v/>
      </c>
      <c r="B1437">
        <f>IFERROR(INDEX('Shopify Import'!$A:$CZ,1437,Settings!$E$21)&amp;"","")</f>
        <v/>
      </c>
      <c r="C1437">
        <f>IFERROR(INDEX('Shopify Import'!$A:$CZ,1437,Settings!$E$22)&amp;"","")</f>
        <v/>
      </c>
      <c r="D1437">
        <f>IF(A1437="","",IFERROR(VALUE(SUBSTITUTE(SUBSTITUTE(INDEX('Shopify Import'!$A:$CZ,1437,Settings!$E$23)&amp;"","$",""),",","")),0))</f>
        <v/>
      </c>
      <c r="E1437" s="11">
        <f>IF(A1437="","",IFERROR(VALUE(SUBSTITUTE(SUBSTITUTE(INDEX('Shopify Import'!$A:$CZ,1437,Settings!$E$24)&amp;"","$",""),",","")),0))</f>
        <v/>
      </c>
      <c r="F1437" s="11">
        <f>IF(A1437="","",D1437*E1437)</f>
        <v/>
      </c>
      <c r="G1437">
        <f>IF(A1437="","",IF(C1437="",1,COUNTIF($C$2:$C$1501,C1437)))</f>
        <v/>
      </c>
      <c r="H1437" s="11">
        <f>IF(A1437="","",IFERROR(VALUE(SUBSTITUTE(SUBSTITUTE(INDEX('Shopify Import'!$A:$CZ,1437,Settings!$E$25)&amp;"","$",""),",","")),0)/IF(Settings!$D$27="Yes",G1437,1))</f>
        <v/>
      </c>
      <c r="I1437" s="11">
        <f>IF(A1437="","",IFERROR(VALUE(SUBSTITUTE(SUBSTITUTE(INDEX('Shopify Import'!$A:$CZ,1437,Settings!$E$26)&amp;"","$",""),",","")),0)/IF(Settings!$D$27="Yes",G1437,1))</f>
        <v/>
      </c>
      <c r="J1437" s="11">
        <f>IF(A1437="","",F1437+H1437-I1437)</f>
        <v/>
      </c>
      <c r="K1437">
        <f>IF(A1437="","",IFERROR(IF(B1437="",NA(),MATCH(B1437,Products!$B$5:$B$204,0)),IFERROR(MATCH(A1437,Products!$A$5:$A$204,0),"")))</f>
        <v/>
      </c>
      <c r="L1437">
        <f>IF(A1437="","",IF(K1437="","⚠ not in Products",INDEX(Products!$A$5:$A$204,K1437)))</f>
        <v/>
      </c>
      <c r="M1437" s="11">
        <f>IF(A1437="","",J1437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1437+IFERROR(INDEX(Settings!$D$5:$D$9,MATCH("Shopify",Settings!$A$5:$A$9,0)),0)*D1437)</f>
        <v/>
      </c>
      <c r="N1437" s="11">
        <f>IF(A1437="","",IF(K1437="",0,D1437*INDEX(Products!$I$5:$I$204,K1437)))</f>
        <v/>
      </c>
      <c r="O1437" s="11">
        <f>IF(A1437="","",IF(K1437="",0,J1437*INDEX(Products!$H$5:$H$204,K1437)))</f>
        <v/>
      </c>
      <c r="P1437" s="11">
        <f>IF(A1437="","",J1437-M1437-N1437-O1437)</f>
        <v/>
      </c>
    </row>
    <row r="1438">
      <c r="A1438">
        <f>IFERROR(INDEX('Shopify Import'!$A:$CZ,1438,Settings!$E$20)&amp;"","")</f>
        <v/>
      </c>
      <c r="B1438">
        <f>IFERROR(INDEX('Shopify Import'!$A:$CZ,1438,Settings!$E$21)&amp;"","")</f>
        <v/>
      </c>
      <c r="C1438">
        <f>IFERROR(INDEX('Shopify Import'!$A:$CZ,1438,Settings!$E$22)&amp;"","")</f>
        <v/>
      </c>
      <c r="D1438">
        <f>IF(A1438="","",IFERROR(VALUE(SUBSTITUTE(SUBSTITUTE(INDEX('Shopify Import'!$A:$CZ,1438,Settings!$E$23)&amp;"","$",""),",","")),0))</f>
        <v/>
      </c>
      <c r="E1438" s="11">
        <f>IF(A1438="","",IFERROR(VALUE(SUBSTITUTE(SUBSTITUTE(INDEX('Shopify Import'!$A:$CZ,1438,Settings!$E$24)&amp;"","$",""),",","")),0))</f>
        <v/>
      </c>
      <c r="F1438" s="11">
        <f>IF(A1438="","",D1438*E1438)</f>
        <v/>
      </c>
      <c r="G1438">
        <f>IF(A1438="","",IF(C1438="",1,COUNTIF($C$2:$C$1501,C1438)))</f>
        <v/>
      </c>
      <c r="H1438" s="11">
        <f>IF(A1438="","",IFERROR(VALUE(SUBSTITUTE(SUBSTITUTE(INDEX('Shopify Import'!$A:$CZ,1438,Settings!$E$25)&amp;"","$",""),",","")),0)/IF(Settings!$D$27="Yes",G1438,1))</f>
        <v/>
      </c>
      <c r="I1438" s="11">
        <f>IF(A1438="","",IFERROR(VALUE(SUBSTITUTE(SUBSTITUTE(INDEX('Shopify Import'!$A:$CZ,1438,Settings!$E$26)&amp;"","$",""),",","")),0)/IF(Settings!$D$27="Yes",G1438,1))</f>
        <v/>
      </c>
      <c r="J1438" s="11">
        <f>IF(A1438="","",F1438+H1438-I1438)</f>
        <v/>
      </c>
      <c r="K1438">
        <f>IF(A1438="","",IFERROR(IF(B1438="",NA(),MATCH(B1438,Products!$B$5:$B$204,0)),IFERROR(MATCH(A1438,Products!$A$5:$A$204,0),"")))</f>
        <v/>
      </c>
      <c r="L1438">
        <f>IF(A1438="","",IF(K1438="","⚠ not in Products",INDEX(Products!$A$5:$A$204,K1438)))</f>
        <v/>
      </c>
      <c r="M1438" s="11">
        <f>IF(A1438="","",J1438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1438+IFERROR(INDEX(Settings!$D$5:$D$9,MATCH("Shopify",Settings!$A$5:$A$9,0)),0)*D1438)</f>
        <v/>
      </c>
      <c r="N1438" s="11">
        <f>IF(A1438="","",IF(K1438="",0,D1438*INDEX(Products!$I$5:$I$204,K1438)))</f>
        <v/>
      </c>
      <c r="O1438" s="11">
        <f>IF(A1438="","",IF(K1438="",0,J1438*INDEX(Products!$H$5:$H$204,K1438)))</f>
        <v/>
      </c>
      <c r="P1438" s="11">
        <f>IF(A1438="","",J1438-M1438-N1438-O1438)</f>
        <v/>
      </c>
    </row>
    <row r="1439">
      <c r="A1439">
        <f>IFERROR(INDEX('Shopify Import'!$A:$CZ,1439,Settings!$E$20)&amp;"","")</f>
        <v/>
      </c>
      <c r="B1439">
        <f>IFERROR(INDEX('Shopify Import'!$A:$CZ,1439,Settings!$E$21)&amp;"","")</f>
        <v/>
      </c>
      <c r="C1439">
        <f>IFERROR(INDEX('Shopify Import'!$A:$CZ,1439,Settings!$E$22)&amp;"","")</f>
        <v/>
      </c>
      <c r="D1439">
        <f>IF(A1439="","",IFERROR(VALUE(SUBSTITUTE(SUBSTITUTE(INDEX('Shopify Import'!$A:$CZ,1439,Settings!$E$23)&amp;"","$",""),",","")),0))</f>
        <v/>
      </c>
      <c r="E1439" s="11">
        <f>IF(A1439="","",IFERROR(VALUE(SUBSTITUTE(SUBSTITUTE(INDEX('Shopify Import'!$A:$CZ,1439,Settings!$E$24)&amp;"","$",""),",","")),0))</f>
        <v/>
      </c>
      <c r="F1439" s="11">
        <f>IF(A1439="","",D1439*E1439)</f>
        <v/>
      </c>
      <c r="G1439">
        <f>IF(A1439="","",IF(C1439="",1,COUNTIF($C$2:$C$1501,C1439)))</f>
        <v/>
      </c>
      <c r="H1439" s="11">
        <f>IF(A1439="","",IFERROR(VALUE(SUBSTITUTE(SUBSTITUTE(INDEX('Shopify Import'!$A:$CZ,1439,Settings!$E$25)&amp;"","$",""),",","")),0)/IF(Settings!$D$27="Yes",G1439,1))</f>
        <v/>
      </c>
      <c r="I1439" s="11">
        <f>IF(A1439="","",IFERROR(VALUE(SUBSTITUTE(SUBSTITUTE(INDEX('Shopify Import'!$A:$CZ,1439,Settings!$E$26)&amp;"","$",""),",","")),0)/IF(Settings!$D$27="Yes",G1439,1))</f>
        <v/>
      </c>
      <c r="J1439" s="11">
        <f>IF(A1439="","",F1439+H1439-I1439)</f>
        <v/>
      </c>
      <c r="K1439">
        <f>IF(A1439="","",IFERROR(IF(B1439="",NA(),MATCH(B1439,Products!$B$5:$B$204,0)),IFERROR(MATCH(A1439,Products!$A$5:$A$204,0),"")))</f>
        <v/>
      </c>
      <c r="L1439">
        <f>IF(A1439="","",IF(K1439="","⚠ not in Products",INDEX(Products!$A$5:$A$204,K1439)))</f>
        <v/>
      </c>
      <c r="M1439" s="11">
        <f>IF(A1439="","",J1439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1439+IFERROR(INDEX(Settings!$D$5:$D$9,MATCH("Shopify",Settings!$A$5:$A$9,0)),0)*D1439)</f>
        <v/>
      </c>
      <c r="N1439" s="11">
        <f>IF(A1439="","",IF(K1439="",0,D1439*INDEX(Products!$I$5:$I$204,K1439)))</f>
        <v/>
      </c>
      <c r="O1439" s="11">
        <f>IF(A1439="","",IF(K1439="",0,J1439*INDEX(Products!$H$5:$H$204,K1439)))</f>
        <v/>
      </c>
      <c r="P1439" s="11">
        <f>IF(A1439="","",J1439-M1439-N1439-O1439)</f>
        <v/>
      </c>
    </row>
    <row r="1440">
      <c r="A1440">
        <f>IFERROR(INDEX('Shopify Import'!$A:$CZ,1440,Settings!$E$20)&amp;"","")</f>
        <v/>
      </c>
      <c r="B1440">
        <f>IFERROR(INDEX('Shopify Import'!$A:$CZ,1440,Settings!$E$21)&amp;"","")</f>
        <v/>
      </c>
      <c r="C1440">
        <f>IFERROR(INDEX('Shopify Import'!$A:$CZ,1440,Settings!$E$22)&amp;"","")</f>
        <v/>
      </c>
      <c r="D1440">
        <f>IF(A1440="","",IFERROR(VALUE(SUBSTITUTE(SUBSTITUTE(INDEX('Shopify Import'!$A:$CZ,1440,Settings!$E$23)&amp;"","$",""),",","")),0))</f>
        <v/>
      </c>
      <c r="E1440" s="11">
        <f>IF(A1440="","",IFERROR(VALUE(SUBSTITUTE(SUBSTITUTE(INDEX('Shopify Import'!$A:$CZ,1440,Settings!$E$24)&amp;"","$",""),",","")),0))</f>
        <v/>
      </c>
      <c r="F1440" s="11">
        <f>IF(A1440="","",D1440*E1440)</f>
        <v/>
      </c>
      <c r="G1440">
        <f>IF(A1440="","",IF(C1440="",1,COUNTIF($C$2:$C$1501,C1440)))</f>
        <v/>
      </c>
      <c r="H1440" s="11">
        <f>IF(A1440="","",IFERROR(VALUE(SUBSTITUTE(SUBSTITUTE(INDEX('Shopify Import'!$A:$CZ,1440,Settings!$E$25)&amp;"","$",""),",","")),0)/IF(Settings!$D$27="Yes",G1440,1))</f>
        <v/>
      </c>
      <c r="I1440" s="11">
        <f>IF(A1440="","",IFERROR(VALUE(SUBSTITUTE(SUBSTITUTE(INDEX('Shopify Import'!$A:$CZ,1440,Settings!$E$26)&amp;"","$",""),",","")),0)/IF(Settings!$D$27="Yes",G1440,1))</f>
        <v/>
      </c>
      <c r="J1440" s="11">
        <f>IF(A1440="","",F1440+H1440-I1440)</f>
        <v/>
      </c>
      <c r="K1440">
        <f>IF(A1440="","",IFERROR(IF(B1440="",NA(),MATCH(B1440,Products!$B$5:$B$204,0)),IFERROR(MATCH(A1440,Products!$A$5:$A$204,0),"")))</f>
        <v/>
      </c>
      <c r="L1440">
        <f>IF(A1440="","",IF(K1440="","⚠ not in Products",INDEX(Products!$A$5:$A$204,K1440)))</f>
        <v/>
      </c>
      <c r="M1440" s="11">
        <f>IF(A1440="","",J1440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1440+IFERROR(INDEX(Settings!$D$5:$D$9,MATCH("Shopify",Settings!$A$5:$A$9,0)),0)*D1440)</f>
        <v/>
      </c>
      <c r="N1440" s="11">
        <f>IF(A1440="","",IF(K1440="",0,D1440*INDEX(Products!$I$5:$I$204,K1440)))</f>
        <v/>
      </c>
      <c r="O1440" s="11">
        <f>IF(A1440="","",IF(K1440="",0,J1440*INDEX(Products!$H$5:$H$204,K1440)))</f>
        <v/>
      </c>
      <c r="P1440" s="11">
        <f>IF(A1440="","",J1440-M1440-N1440-O1440)</f>
        <v/>
      </c>
    </row>
    <row r="1441">
      <c r="A1441">
        <f>IFERROR(INDEX('Shopify Import'!$A:$CZ,1441,Settings!$E$20)&amp;"","")</f>
        <v/>
      </c>
      <c r="B1441">
        <f>IFERROR(INDEX('Shopify Import'!$A:$CZ,1441,Settings!$E$21)&amp;"","")</f>
        <v/>
      </c>
      <c r="C1441">
        <f>IFERROR(INDEX('Shopify Import'!$A:$CZ,1441,Settings!$E$22)&amp;"","")</f>
        <v/>
      </c>
      <c r="D1441">
        <f>IF(A1441="","",IFERROR(VALUE(SUBSTITUTE(SUBSTITUTE(INDEX('Shopify Import'!$A:$CZ,1441,Settings!$E$23)&amp;"","$",""),",","")),0))</f>
        <v/>
      </c>
      <c r="E1441" s="11">
        <f>IF(A1441="","",IFERROR(VALUE(SUBSTITUTE(SUBSTITUTE(INDEX('Shopify Import'!$A:$CZ,1441,Settings!$E$24)&amp;"","$",""),",","")),0))</f>
        <v/>
      </c>
      <c r="F1441" s="11">
        <f>IF(A1441="","",D1441*E1441)</f>
        <v/>
      </c>
      <c r="G1441">
        <f>IF(A1441="","",IF(C1441="",1,COUNTIF($C$2:$C$1501,C1441)))</f>
        <v/>
      </c>
      <c r="H1441" s="11">
        <f>IF(A1441="","",IFERROR(VALUE(SUBSTITUTE(SUBSTITUTE(INDEX('Shopify Import'!$A:$CZ,1441,Settings!$E$25)&amp;"","$",""),",","")),0)/IF(Settings!$D$27="Yes",G1441,1))</f>
        <v/>
      </c>
      <c r="I1441" s="11">
        <f>IF(A1441="","",IFERROR(VALUE(SUBSTITUTE(SUBSTITUTE(INDEX('Shopify Import'!$A:$CZ,1441,Settings!$E$26)&amp;"","$",""),",","")),0)/IF(Settings!$D$27="Yes",G1441,1))</f>
        <v/>
      </c>
      <c r="J1441" s="11">
        <f>IF(A1441="","",F1441+H1441-I1441)</f>
        <v/>
      </c>
      <c r="K1441">
        <f>IF(A1441="","",IFERROR(IF(B1441="",NA(),MATCH(B1441,Products!$B$5:$B$204,0)),IFERROR(MATCH(A1441,Products!$A$5:$A$204,0),"")))</f>
        <v/>
      </c>
      <c r="L1441">
        <f>IF(A1441="","",IF(K1441="","⚠ not in Products",INDEX(Products!$A$5:$A$204,K1441)))</f>
        <v/>
      </c>
      <c r="M1441" s="11">
        <f>IF(A1441="","",J1441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1441+IFERROR(INDEX(Settings!$D$5:$D$9,MATCH("Shopify",Settings!$A$5:$A$9,0)),0)*D1441)</f>
        <v/>
      </c>
      <c r="N1441" s="11">
        <f>IF(A1441="","",IF(K1441="",0,D1441*INDEX(Products!$I$5:$I$204,K1441)))</f>
        <v/>
      </c>
      <c r="O1441" s="11">
        <f>IF(A1441="","",IF(K1441="",0,J1441*INDEX(Products!$H$5:$H$204,K1441)))</f>
        <v/>
      </c>
      <c r="P1441" s="11">
        <f>IF(A1441="","",J1441-M1441-N1441-O1441)</f>
        <v/>
      </c>
    </row>
    <row r="1442">
      <c r="A1442">
        <f>IFERROR(INDEX('Shopify Import'!$A:$CZ,1442,Settings!$E$20)&amp;"","")</f>
        <v/>
      </c>
      <c r="B1442">
        <f>IFERROR(INDEX('Shopify Import'!$A:$CZ,1442,Settings!$E$21)&amp;"","")</f>
        <v/>
      </c>
      <c r="C1442">
        <f>IFERROR(INDEX('Shopify Import'!$A:$CZ,1442,Settings!$E$22)&amp;"","")</f>
        <v/>
      </c>
      <c r="D1442">
        <f>IF(A1442="","",IFERROR(VALUE(SUBSTITUTE(SUBSTITUTE(INDEX('Shopify Import'!$A:$CZ,1442,Settings!$E$23)&amp;"","$",""),",","")),0))</f>
        <v/>
      </c>
      <c r="E1442" s="11">
        <f>IF(A1442="","",IFERROR(VALUE(SUBSTITUTE(SUBSTITUTE(INDEX('Shopify Import'!$A:$CZ,1442,Settings!$E$24)&amp;"","$",""),",","")),0))</f>
        <v/>
      </c>
      <c r="F1442" s="11">
        <f>IF(A1442="","",D1442*E1442)</f>
        <v/>
      </c>
      <c r="G1442">
        <f>IF(A1442="","",IF(C1442="",1,COUNTIF($C$2:$C$1501,C1442)))</f>
        <v/>
      </c>
      <c r="H1442" s="11">
        <f>IF(A1442="","",IFERROR(VALUE(SUBSTITUTE(SUBSTITUTE(INDEX('Shopify Import'!$A:$CZ,1442,Settings!$E$25)&amp;"","$",""),",","")),0)/IF(Settings!$D$27="Yes",G1442,1))</f>
        <v/>
      </c>
      <c r="I1442" s="11">
        <f>IF(A1442="","",IFERROR(VALUE(SUBSTITUTE(SUBSTITUTE(INDEX('Shopify Import'!$A:$CZ,1442,Settings!$E$26)&amp;"","$",""),",","")),0)/IF(Settings!$D$27="Yes",G1442,1))</f>
        <v/>
      </c>
      <c r="J1442" s="11">
        <f>IF(A1442="","",F1442+H1442-I1442)</f>
        <v/>
      </c>
      <c r="K1442">
        <f>IF(A1442="","",IFERROR(IF(B1442="",NA(),MATCH(B1442,Products!$B$5:$B$204,0)),IFERROR(MATCH(A1442,Products!$A$5:$A$204,0),"")))</f>
        <v/>
      </c>
      <c r="L1442">
        <f>IF(A1442="","",IF(K1442="","⚠ not in Products",INDEX(Products!$A$5:$A$204,K1442)))</f>
        <v/>
      </c>
      <c r="M1442" s="11">
        <f>IF(A1442="","",J1442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1442+IFERROR(INDEX(Settings!$D$5:$D$9,MATCH("Shopify",Settings!$A$5:$A$9,0)),0)*D1442)</f>
        <v/>
      </c>
      <c r="N1442" s="11">
        <f>IF(A1442="","",IF(K1442="",0,D1442*INDEX(Products!$I$5:$I$204,K1442)))</f>
        <v/>
      </c>
      <c r="O1442" s="11">
        <f>IF(A1442="","",IF(K1442="",0,J1442*INDEX(Products!$H$5:$H$204,K1442)))</f>
        <v/>
      </c>
      <c r="P1442" s="11">
        <f>IF(A1442="","",J1442-M1442-N1442-O1442)</f>
        <v/>
      </c>
    </row>
    <row r="1443">
      <c r="A1443">
        <f>IFERROR(INDEX('Shopify Import'!$A:$CZ,1443,Settings!$E$20)&amp;"","")</f>
        <v/>
      </c>
      <c r="B1443">
        <f>IFERROR(INDEX('Shopify Import'!$A:$CZ,1443,Settings!$E$21)&amp;"","")</f>
        <v/>
      </c>
      <c r="C1443">
        <f>IFERROR(INDEX('Shopify Import'!$A:$CZ,1443,Settings!$E$22)&amp;"","")</f>
        <v/>
      </c>
      <c r="D1443">
        <f>IF(A1443="","",IFERROR(VALUE(SUBSTITUTE(SUBSTITUTE(INDEX('Shopify Import'!$A:$CZ,1443,Settings!$E$23)&amp;"","$",""),",","")),0))</f>
        <v/>
      </c>
      <c r="E1443" s="11">
        <f>IF(A1443="","",IFERROR(VALUE(SUBSTITUTE(SUBSTITUTE(INDEX('Shopify Import'!$A:$CZ,1443,Settings!$E$24)&amp;"","$",""),",","")),0))</f>
        <v/>
      </c>
      <c r="F1443" s="11">
        <f>IF(A1443="","",D1443*E1443)</f>
        <v/>
      </c>
      <c r="G1443">
        <f>IF(A1443="","",IF(C1443="",1,COUNTIF($C$2:$C$1501,C1443)))</f>
        <v/>
      </c>
      <c r="H1443" s="11">
        <f>IF(A1443="","",IFERROR(VALUE(SUBSTITUTE(SUBSTITUTE(INDEX('Shopify Import'!$A:$CZ,1443,Settings!$E$25)&amp;"","$",""),",","")),0)/IF(Settings!$D$27="Yes",G1443,1))</f>
        <v/>
      </c>
      <c r="I1443" s="11">
        <f>IF(A1443="","",IFERROR(VALUE(SUBSTITUTE(SUBSTITUTE(INDEX('Shopify Import'!$A:$CZ,1443,Settings!$E$26)&amp;"","$",""),",","")),0)/IF(Settings!$D$27="Yes",G1443,1))</f>
        <v/>
      </c>
      <c r="J1443" s="11">
        <f>IF(A1443="","",F1443+H1443-I1443)</f>
        <v/>
      </c>
      <c r="K1443">
        <f>IF(A1443="","",IFERROR(IF(B1443="",NA(),MATCH(B1443,Products!$B$5:$B$204,0)),IFERROR(MATCH(A1443,Products!$A$5:$A$204,0),"")))</f>
        <v/>
      </c>
      <c r="L1443">
        <f>IF(A1443="","",IF(K1443="","⚠ not in Products",INDEX(Products!$A$5:$A$204,K1443)))</f>
        <v/>
      </c>
      <c r="M1443" s="11">
        <f>IF(A1443="","",J1443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1443+IFERROR(INDEX(Settings!$D$5:$D$9,MATCH("Shopify",Settings!$A$5:$A$9,0)),0)*D1443)</f>
        <v/>
      </c>
      <c r="N1443" s="11">
        <f>IF(A1443="","",IF(K1443="",0,D1443*INDEX(Products!$I$5:$I$204,K1443)))</f>
        <v/>
      </c>
      <c r="O1443" s="11">
        <f>IF(A1443="","",IF(K1443="",0,J1443*INDEX(Products!$H$5:$H$204,K1443)))</f>
        <v/>
      </c>
      <c r="P1443" s="11">
        <f>IF(A1443="","",J1443-M1443-N1443-O1443)</f>
        <v/>
      </c>
    </row>
    <row r="1444">
      <c r="A1444">
        <f>IFERROR(INDEX('Shopify Import'!$A:$CZ,1444,Settings!$E$20)&amp;"","")</f>
        <v/>
      </c>
      <c r="B1444">
        <f>IFERROR(INDEX('Shopify Import'!$A:$CZ,1444,Settings!$E$21)&amp;"","")</f>
        <v/>
      </c>
      <c r="C1444">
        <f>IFERROR(INDEX('Shopify Import'!$A:$CZ,1444,Settings!$E$22)&amp;"","")</f>
        <v/>
      </c>
      <c r="D1444">
        <f>IF(A1444="","",IFERROR(VALUE(SUBSTITUTE(SUBSTITUTE(INDEX('Shopify Import'!$A:$CZ,1444,Settings!$E$23)&amp;"","$",""),",","")),0))</f>
        <v/>
      </c>
      <c r="E1444" s="11">
        <f>IF(A1444="","",IFERROR(VALUE(SUBSTITUTE(SUBSTITUTE(INDEX('Shopify Import'!$A:$CZ,1444,Settings!$E$24)&amp;"","$",""),",","")),0))</f>
        <v/>
      </c>
      <c r="F1444" s="11">
        <f>IF(A1444="","",D1444*E1444)</f>
        <v/>
      </c>
      <c r="G1444">
        <f>IF(A1444="","",IF(C1444="",1,COUNTIF($C$2:$C$1501,C1444)))</f>
        <v/>
      </c>
      <c r="H1444" s="11">
        <f>IF(A1444="","",IFERROR(VALUE(SUBSTITUTE(SUBSTITUTE(INDEX('Shopify Import'!$A:$CZ,1444,Settings!$E$25)&amp;"","$",""),",","")),0)/IF(Settings!$D$27="Yes",G1444,1))</f>
        <v/>
      </c>
      <c r="I1444" s="11">
        <f>IF(A1444="","",IFERROR(VALUE(SUBSTITUTE(SUBSTITUTE(INDEX('Shopify Import'!$A:$CZ,1444,Settings!$E$26)&amp;"","$",""),",","")),0)/IF(Settings!$D$27="Yes",G1444,1))</f>
        <v/>
      </c>
      <c r="J1444" s="11">
        <f>IF(A1444="","",F1444+H1444-I1444)</f>
        <v/>
      </c>
      <c r="K1444">
        <f>IF(A1444="","",IFERROR(IF(B1444="",NA(),MATCH(B1444,Products!$B$5:$B$204,0)),IFERROR(MATCH(A1444,Products!$A$5:$A$204,0),"")))</f>
        <v/>
      </c>
      <c r="L1444">
        <f>IF(A1444="","",IF(K1444="","⚠ not in Products",INDEX(Products!$A$5:$A$204,K1444)))</f>
        <v/>
      </c>
      <c r="M1444" s="11">
        <f>IF(A1444="","",J1444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1444+IFERROR(INDEX(Settings!$D$5:$D$9,MATCH("Shopify",Settings!$A$5:$A$9,0)),0)*D1444)</f>
        <v/>
      </c>
      <c r="N1444" s="11">
        <f>IF(A1444="","",IF(K1444="",0,D1444*INDEX(Products!$I$5:$I$204,K1444)))</f>
        <v/>
      </c>
      <c r="O1444" s="11">
        <f>IF(A1444="","",IF(K1444="",0,J1444*INDEX(Products!$H$5:$H$204,K1444)))</f>
        <v/>
      </c>
      <c r="P1444" s="11">
        <f>IF(A1444="","",J1444-M1444-N1444-O1444)</f>
        <v/>
      </c>
    </row>
    <row r="1445">
      <c r="A1445">
        <f>IFERROR(INDEX('Shopify Import'!$A:$CZ,1445,Settings!$E$20)&amp;"","")</f>
        <v/>
      </c>
      <c r="B1445">
        <f>IFERROR(INDEX('Shopify Import'!$A:$CZ,1445,Settings!$E$21)&amp;"","")</f>
        <v/>
      </c>
      <c r="C1445">
        <f>IFERROR(INDEX('Shopify Import'!$A:$CZ,1445,Settings!$E$22)&amp;"","")</f>
        <v/>
      </c>
      <c r="D1445">
        <f>IF(A1445="","",IFERROR(VALUE(SUBSTITUTE(SUBSTITUTE(INDEX('Shopify Import'!$A:$CZ,1445,Settings!$E$23)&amp;"","$",""),",","")),0))</f>
        <v/>
      </c>
      <c r="E1445" s="11">
        <f>IF(A1445="","",IFERROR(VALUE(SUBSTITUTE(SUBSTITUTE(INDEX('Shopify Import'!$A:$CZ,1445,Settings!$E$24)&amp;"","$",""),",","")),0))</f>
        <v/>
      </c>
      <c r="F1445" s="11">
        <f>IF(A1445="","",D1445*E1445)</f>
        <v/>
      </c>
      <c r="G1445">
        <f>IF(A1445="","",IF(C1445="",1,COUNTIF($C$2:$C$1501,C1445)))</f>
        <v/>
      </c>
      <c r="H1445" s="11">
        <f>IF(A1445="","",IFERROR(VALUE(SUBSTITUTE(SUBSTITUTE(INDEX('Shopify Import'!$A:$CZ,1445,Settings!$E$25)&amp;"","$",""),",","")),0)/IF(Settings!$D$27="Yes",G1445,1))</f>
        <v/>
      </c>
      <c r="I1445" s="11">
        <f>IF(A1445="","",IFERROR(VALUE(SUBSTITUTE(SUBSTITUTE(INDEX('Shopify Import'!$A:$CZ,1445,Settings!$E$26)&amp;"","$",""),",","")),0)/IF(Settings!$D$27="Yes",G1445,1))</f>
        <v/>
      </c>
      <c r="J1445" s="11">
        <f>IF(A1445="","",F1445+H1445-I1445)</f>
        <v/>
      </c>
      <c r="K1445">
        <f>IF(A1445="","",IFERROR(IF(B1445="",NA(),MATCH(B1445,Products!$B$5:$B$204,0)),IFERROR(MATCH(A1445,Products!$A$5:$A$204,0),"")))</f>
        <v/>
      </c>
      <c r="L1445">
        <f>IF(A1445="","",IF(K1445="","⚠ not in Products",INDEX(Products!$A$5:$A$204,K1445)))</f>
        <v/>
      </c>
      <c r="M1445" s="11">
        <f>IF(A1445="","",J1445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1445+IFERROR(INDEX(Settings!$D$5:$D$9,MATCH("Shopify",Settings!$A$5:$A$9,0)),0)*D1445)</f>
        <v/>
      </c>
      <c r="N1445" s="11">
        <f>IF(A1445="","",IF(K1445="",0,D1445*INDEX(Products!$I$5:$I$204,K1445)))</f>
        <v/>
      </c>
      <c r="O1445" s="11">
        <f>IF(A1445="","",IF(K1445="",0,J1445*INDEX(Products!$H$5:$H$204,K1445)))</f>
        <v/>
      </c>
      <c r="P1445" s="11">
        <f>IF(A1445="","",J1445-M1445-N1445-O1445)</f>
        <v/>
      </c>
    </row>
    <row r="1446">
      <c r="A1446">
        <f>IFERROR(INDEX('Shopify Import'!$A:$CZ,1446,Settings!$E$20)&amp;"","")</f>
        <v/>
      </c>
      <c r="B1446">
        <f>IFERROR(INDEX('Shopify Import'!$A:$CZ,1446,Settings!$E$21)&amp;"","")</f>
        <v/>
      </c>
      <c r="C1446">
        <f>IFERROR(INDEX('Shopify Import'!$A:$CZ,1446,Settings!$E$22)&amp;"","")</f>
        <v/>
      </c>
      <c r="D1446">
        <f>IF(A1446="","",IFERROR(VALUE(SUBSTITUTE(SUBSTITUTE(INDEX('Shopify Import'!$A:$CZ,1446,Settings!$E$23)&amp;"","$",""),",","")),0))</f>
        <v/>
      </c>
      <c r="E1446" s="11">
        <f>IF(A1446="","",IFERROR(VALUE(SUBSTITUTE(SUBSTITUTE(INDEX('Shopify Import'!$A:$CZ,1446,Settings!$E$24)&amp;"","$",""),",","")),0))</f>
        <v/>
      </c>
      <c r="F1446" s="11">
        <f>IF(A1446="","",D1446*E1446)</f>
        <v/>
      </c>
      <c r="G1446">
        <f>IF(A1446="","",IF(C1446="",1,COUNTIF($C$2:$C$1501,C1446)))</f>
        <v/>
      </c>
      <c r="H1446" s="11">
        <f>IF(A1446="","",IFERROR(VALUE(SUBSTITUTE(SUBSTITUTE(INDEX('Shopify Import'!$A:$CZ,1446,Settings!$E$25)&amp;"","$",""),",","")),0)/IF(Settings!$D$27="Yes",G1446,1))</f>
        <v/>
      </c>
      <c r="I1446" s="11">
        <f>IF(A1446="","",IFERROR(VALUE(SUBSTITUTE(SUBSTITUTE(INDEX('Shopify Import'!$A:$CZ,1446,Settings!$E$26)&amp;"","$",""),",","")),0)/IF(Settings!$D$27="Yes",G1446,1))</f>
        <v/>
      </c>
      <c r="J1446" s="11">
        <f>IF(A1446="","",F1446+H1446-I1446)</f>
        <v/>
      </c>
      <c r="K1446">
        <f>IF(A1446="","",IFERROR(IF(B1446="",NA(),MATCH(B1446,Products!$B$5:$B$204,0)),IFERROR(MATCH(A1446,Products!$A$5:$A$204,0),"")))</f>
        <v/>
      </c>
      <c r="L1446">
        <f>IF(A1446="","",IF(K1446="","⚠ not in Products",INDEX(Products!$A$5:$A$204,K1446)))</f>
        <v/>
      </c>
      <c r="M1446" s="11">
        <f>IF(A1446="","",J1446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1446+IFERROR(INDEX(Settings!$D$5:$D$9,MATCH("Shopify",Settings!$A$5:$A$9,0)),0)*D1446)</f>
        <v/>
      </c>
      <c r="N1446" s="11">
        <f>IF(A1446="","",IF(K1446="",0,D1446*INDEX(Products!$I$5:$I$204,K1446)))</f>
        <v/>
      </c>
      <c r="O1446" s="11">
        <f>IF(A1446="","",IF(K1446="",0,J1446*INDEX(Products!$H$5:$H$204,K1446)))</f>
        <v/>
      </c>
      <c r="P1446" s="11">
        <f>IF(A1446="","",J1446-M1446-N1446-O1446)</f>
        <v/>
      </c>
    </row>
    <row r="1447">
      <c r="A1447">
        <f>IFERROR(INDEX('Shopify Import'!$A:$CZ,1447,Settings!$E$20)&amp;"","")</f>
        <v/>
      </c>
      <c r="B1447">
        <f>IFERROR(INDEX('Shopify Import'!$A:$CZ,1447,Settings!$E$21)&amp;"","")</f>
        <v/>
      </c>
      <c r="C1447">
        <f>IFERROR(INDEX('Shopify Import'!$A:$CZ,1447,Settings!$E$22)&amp;"","")</f>
        <v/>
      </c>
      <c r="D1447">
        <f>IF(A1447="","",IFERROR(VALUE(SUBSTITUTE(SUBSTITUTE(INDEX('Shopify Import'!$A:$CZ,1447,Settings!$E$23)&amp;"","$",""),",","")),0))</f>
        <v/>
      </c>
      <c r="E1447" s="11">
        <f>IF(A1447="","",IFERROR(VALUE(SUBSTITUTE(SUBSTITUTE(INDEX('Shopify Import'!$A:$CZ,1447,Settings!$E$24)&amp;"","$",""),",","")),0))</f>
        <v/>
      </c>
      <c r="F1447" s="11">
        <f>IF(A1447="","",D1447*E1447)</f>
        <v/>
      </c>
      <c r="G1447">
        <f>IF(A1447="","",IF(C1447="",1,COUNTIF($C$2:$C$1501,C1447)))</f>
        <v/>
      </c>
      <c r="H1447" s="11">
        <f>IF(A1447="","",IFERROR(VALUE(SUBSTITUTE(SUBSTITUTE(INDEX('Shopify Import'!$A:$CZ,1447,Settings!$E$25)&amp;"","$",""),",","")),0)/IF(Settings!$D$27="Yes",G1447,1))</f>
        <v/>
      </c>
      <c r="I1447" s="11">
        <f>IF(A1447="","",IFERROR(VALUE(SUBSTITUTE(SUBSTITUTE(INDEX('Shopify Import'!$A:$CZ,1447,Settings!$E$26)&amp;"","$",""),",","")),0)/IF(Settings!$D$27="Yes",G1447,1))</f>
        <v/>
      </c>
      <c r="J1447" s="11">
        <f>IF(A1447="","",F1447+H1447-I1447)</f>
        <v/>
      </c>
      <c r="K1447">
        <f>IF(A1447="","",IFERROR(IF(B1447="",NA(),MATCH(B1447,Products!$B$5:$B$204,0)),IFERROR(MATCH(A1447,Products!$A$5:$A$204,0),"")))</f>
        <v/>
      </c>
      <c r="L1447">
        <f>IF(A1447="","",IF(K1447="","⚠ not in Products",INDEX(Products!$A$5:$A$204,K1447)))</f>
        <v/>
      </c>
      <c r="M1447" s="11">
        <f>IF(A1447="","",J1447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1447+IFERROR(INDEX(Settings!$D$5:$D$9,MATCH("Shopify",Settings!$A$5:$A$9,0)),0)*D1447)</f>
        <v/>
      </c>
      <c r="N1447" s="11">
        <f>IF(A1447="","",IF(K1447="",0,D1447*INDEX(Products!$I$5:$I$204,K1447)))</f>
        <v/>
      </c>
      <c r="O1447" s="11">
        <f>IF(A1447="","",IF(K1447="",0,J1447*INDEX(Products!$H$5:$H$204,K1447)))</f>
        <v/>
      </c>
      <c r="P1447" s="11">
        <f>IF(A1447="","",J1447-M1447-N1447-O1447)</f>
        <v/>
      </c>
    </row>
    <row r="1448">
      <c r="A1448">
        <f>IFERROR(INDEX('Shopify Import'!$A:$CZ,1448,Settings!$E$20)&amp;"","")</f>
        <v/>
      </c>
      <c r="B1448">
        <f>IFERROR(INDEX('Shopify Import'!$A:$CZ,1448,Settings!$E$21)&amp;"","")</f>
        <v/>
      </c>
      <c r="C1448">
        <f>IFERROR(INDEX('Shopify Import'!$A:$CZ,1448,Settings!$E$22)&amp;"","")</f>
        <v/>
      </c>
      <c r="D1448">
        <f>IF(A1448="","",IFERROR(VALUE(SUBSTITUTE(SUBSTITUTE(INDEX('Shopify Import'!$A:$CZ,1448,Settings!$E$23)&amp;"","$",""),",","")),0))</f>
        <v/>
      </c>
      <c r="E1448" s="11">
        <f>IF(A1448="","",IFERROR(VALUE(SUBSTITUTE(SUBSTITUTE(INDEX('Shopify Import'!$A:$CZ,1448,Settings!$E$24)&amp;"","$",""),",","")),0))</f>
        <v/>
      </c>
      <c r="F1448" s="11">
        <f>IF(A1448="","",D1448*E1448)</f>
        <v/>
      </c>
      <c r="G1448">
        <f>IF(A1448="","",IF(C1448="",1,COUNTIF($C$2:$C$1501,C1448)))</f>
        <v/>
      </c>
      <c r="H1448" s="11">
        <f>IF(A1448="","",IFERROR(VALUE(SUBSTITUTE(SUBSTITUTE(INDEX('Shopify Import'!$A:$CZ,1448,Settings!$E$25)&amp;"","$",""),",","")),0)/IF(Settings!$D$27="Yes",G1448,1))</f>
        <v/>
      </c>
      <c r="I1448" s="11">
        <f>IF(A1448="","",IFERROR(VALUE(SUBSTITUTE(SUBSTITUTE(INDEX('Shopify Import'!$A:$CZ,1448,Settings!$E$26)&amp;"","$",""),",","")),0)/IF(Settings!$D$27="Yes",G1448,1))</f>
        <v/>
      </c>
      <c r="J1448" s="11">
        <f>IF(A1448="","",F1448+H1448-I1448)</f>
        <v/>
      </c>
      <c r="K1448">
        <f>IF(A1448="","",IFERROR(IF(B1448="",NA(),MATCH(B1448,Products!$B$5:$B$204,0)),IFERROR(MATCH(A1448,Products!$A$5:$A$204,0),"")))</f>
        <v/>
      </c>
      <c r="L1448">
        <f>IF(A1448="","",IF(K1448="","⚠ not in Products",INDEX(Products!$A$5:$A$204,K1448)))</f>
        <v/>
      </c>
      <c r="M1448" s="11">
        <f>IF(A1448="","",J1448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1448+IFERROR(INDEX(Settings!$D$5:$D$9,MATCH("Shopify",Settings!$A$5:$A$9,0)),0)*D1448)</f>
        <v/>
      </c>
      <c r="N1448" s="11">
        <f>IF(A1448="","",IF(K1448="",0,D1448*INDEX(Products!$I$5:$I$204,K1448)))</f>
        <v/>
      </c>
      <c r="O1448" s="11">
        <f>IF(A1448="","",IF(K1448="",0,J1448*INDEX(Products!$H$5:$H$204,K1448)))</f>
        <v/>
      </c>
      <c r="P1448" s="11">
        <f>IF(A1448="","",J1448-M1448-N1448-O1448)</f>
        <v/>
      </c>
    </row>
    <row r="1449">
      <c r="A1449">
        <f>IFERROR(INDEX('Shopify Import'!$A:$CZ,1449,Settings!$E$20)&amp;"","")</f>
        <v/>
      </c>
      <c r="B1449">
        <f>IFERROR(INDEX('Shopify Import'!$A:$CZ,1449,Settings!$E$21)&amp;"","")</f>
        <v/>
      </c>
      <c r="C1449">
        <f>IFERROR(INDEX('Shopify Import'!$A:$CZ,1449,Settings!$E$22)&amp;"","")</f>
        <v/>
      </c>
      <c r="D1449">
        <f>IF(A1449="","",IFERROR(VALUE(SUBSTITUTE(SUBSTITUTE(INDEX('Shopify Import'!$A:$CZ,1449,Settings!$E$23)&amp;"","$",""),",","")),0))</f>
        <v/>
      </c>
      <c r="E1449" s="11">
        <f>IF(A1449="","",IFERROR(VALUE(SUBSTITUTE(SUBSTITUTE(INDEX('Shopify Import'!$A:$CZ,1449,Settings!$E$24)&amp;"","$",""),",","")),0))</f>
        <v/>
      </c>
      <c r="F1449" s="11">
        <f>IF(A1449="","",D1449*E1449)</f>
        <v/>
      </c>
      <c r="G1449">
        <f>IF(A1449="","",IF(C1449="",1,COUNTIF($C$2:$C$1501,C1449)))</f>
        <v/>
      </c>
      <c r="H1449" s="11">
        <f>IF(A1449="","",IFERROR(VALUE(SUBSTITUTE(SUBSTITUTE(INDEX('Shopify Import'!$A:$CZ,1449,Settings!$E$25)&amp;"","$",""),",","")),0)/IF(Settings!$D$27="Yes",G1449,1))</f>
        <v/>
      </c>
      <c r="I1449" s="11">
        <f>IF(A1449="","",IFERROR(VALUE(SUBSTITUTE(SUBSTITUTE(INDEX('Shopify Import'!$A:$CZ,1449,Settings!$E$26)&amp;"","$",""),",","")),0)/IF(Settings!$D$27="Yes",G1449,1))</f>
        <v/>
      </c>
      <c r="J1449" s="11">
        <f>IF(A1449="","",F1449+H1449-I1449)</f>
        <v/>
      </c>
      <c r="K1449">
        <f>IF(A1449="","",IFERROR(IF(B1449="",NA(),MATCH(B1449,Products!$B$5:$B$204,0)),IFERROR(MATCH(A1449,Products!$A$5:$A$204,0),"")))</f>
        <v/>
      </c>
      <c r="L1449">
        <f>IF(A1449="","",IF(K1449="","⚠ not in Products",INDEX(Products!$A$5:$A$204,K1449)))</f>
        <v/>
      </c>
      <c r="M1449" s="11">
        <f>IF(A1449="","",J1449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1449+IFERROR(INDEX(Settings!$D$5:$D$9,MATCH("Shopify",Settings!$A$5:$A$9,0)),0)*D1449)</f>
        <v/>
      </c>
      <c r="N1449" s="11">
        <f>IF(A1449="","",IF(K1449="",0,D1449*INDEX(Products!$I$5:$I$204,K1449)))</f>
        <v/>
      </c>
      <c r="O1449" s="11">
        <f>IF(A1449="","",IF(K1449="",0,J1449*INDEX(Products!$H$5:$H$204,K1449)))</f>
        <v/>
      </c>
      <c r="P1449" s="11">
        <f>IF(A1449="","",J1449-M1449-N1449-O1449)</f>
        <v/>
      </c>
    </row>
    <row r="1450">
      <c r="A1450">
        <f>IFERROR(INDEX('Shopify Import'!$A:$CZ,1450,Settings!$E$20)&amp;"","")</f>
        <v/>
      </c>
      <c r="B1450">
        <f>IFERROR(INDEX('Shopify Import'!$A:$CZ,1450,Settings!$E$21)&amp;"","")</f>
        <v/>
      </c>
      <c r="C1450">
        <f>IFERROR(INDEX('Shopify Import'!$A:$CZ,1450,Settings!$E$22)&amp;"","")</f>
        <v/>
      </c>
      <c r="D1450">
        <f>IF(A1450="","",IFERROR(VALUE(SUBSTITUTE(SUBSTITUTE(INDEX('Shopify Import'!$A:$CZ,1450,Settings!$E$23)&amp;"","$",""),",","")),0))</f>
        <v/>
      </c>
      <c r="E1450" s="11">
        <f>IF(A1450="","",IFERROR(VALUE(SUBSTITUTE(SUBSTITUTE(INDEX('Shopify Import'!$A:$CZ,1450,Settings!$E$24)&amp;"","$",""),",","")),0))</f>
        <v/>
      </c>
      <c r="F1450" s="11">
        <f>IF(A1450="","",D1450*E1450)</f>
        <v/>
      </c>
      <c r="G1450">
        <f>IF(A1450="","",IF(C1450="",1,COUNTIF($C$2:$C$1501,C1450)))</f>
        <v/>
      </c>
      <c r="H1450" s="11">
        <f>IF(A1450="","",IFERROR(VALUE(SUBSTITUTE(SUBSTITUTE(INDEX('Shopify Import'!$A:$CZ,1450,Settings!$E$25)&amp;"","$",""),",","")),0)/IF(Settings!$D$27="Yes",G1450,1))</f>
        <v/>
      </c>
      <c r="I1450" s="11">
        <f>IF(A1450="","",IFERROR(VALUE(SUBSTITUTE(SUBSTITUTE(INDEX('Shopify Import'!$A:$CZ,1450,Settings!$E$26)&amp;"","$",""),",","")),0)/IF(Settings!$D$27="Yes",G1450,1))</f>
        <v/>
      </c>
      <c r="J1450" s="11">
        <f>IF(A1450="","",F1450+H1450-I1450)</f>
        <v/>
      </c>
      <c r="K1450">
        <f>IF(A1450="","",IFERROR(IF(B1450="",NA(),MATCH(B1450,Products!$B$5:$B$204,0)),IFERROR(MATCH(A1450,Products!$A$5:$A$204,0),"")))</f>
        <v/>
      </c>
      <c r="L1450">
        <f>IF(A1450="","",IF(K1450="","⚠ not in Products",INDEX(Products!$A$5:$A$204,K1450)))</f>
        <v/>
      </c>
      <c r="M1450" s="11">
        <f>IF(A1450="","",J1450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1450+IFERROR(INDEX(Settings!$D$5:$D$9,MATCH("Shopify",Settings!$A$5:$A$9,0)),0)*D1450)</f>
        <v/>
      </c>
      <c r="N1450" s="11">
        <f>IF(A1450="","",IF(K1450="",0,D1450*INDEX(Products!$I$5:$I$204,K1450)))</f>
        <v/>
      </c>
      <c r="O1450" s="11">
        <f>IF(A1450="","",IF(K1450="",0,J1450*INDEX(Products!$H$5:$H$204,K1450)))</f>
        <v/>
      </c>
      <c r="P1450" s="11">
        <f>IF(A1450="","",J1450-M1450-N1450-O1450)</f>
        <v/>
      </c>
    </row>
    <row r="1451">
      <c r="A1451">
        <f>IFERROR(INDEX('Shopify Import'!$A:$CZ,1451,Settings!$E$20)&amp;"","")</f>
        <v/>
      </c>
      <c r="B1451">
        <f>IFERROR(INDEX('Shopify Import'!$A:$CZ,1451,Settings!$E$21)&amp;"","")</f>
        <v/>
      </c>
      <c r="C1451">
        <f>IFERROR(INDEX('Shopify Import'!$A:$CZ,1451,Settings!$E$22)&amp;"","")</f>
        <v/>
      </c>
      <c r="D1451">
        <f>IF(A1451="","",IFERROR(VALUE(SUBSTITUTE(SUBSTITUTE(INDEX('Shopify Import'!$A:$CZ,1451,Settings!$E$23)&amp;"","$",""),",","")),0))</f>
        <v/>
      </c>
      <c r="E1451" s="11">
        <f>IF(A1451="","",IFERROR(VALUE(SUBSTITUTE(SUBSTITUTE(INDEX('Shopify Import'!$A:$CZ,1451,Settings!$E$24)&amp;"","$",""),",","")),0))</f>
        <v/>
      </c>
      <c r="F1451" s="11">
        <f>IF(A1451="","",D1451*E1451)</f>
        <v/>
      </c>
      <c r="G1451">
        <f>IF(A1451="","",IF(C1451="",1,COUNTIF($C$2:$C$1501,C1451)))</f>
        <v/>
      </c>
      <c r="H1451" s="11">
        <f>IF(A1451="","",IFERROR(VALUE(SUBSTITUTE(SUBSTITUTE(INDEX('Shopify Import'!$A:$CZ,1451,Settings!$E$25)&amp;"","$",""),",","")),0)/IF(Settings!$D$27="Yes",G1451,1))</f>
        <v/>
      </c>
      <c r="I1451" s="11">
        <f>IF(A1451="","",IFERROR(VALUE(SUBSTITUTE(SUBSTITUTE(INDEX('Shopify Import'!$A:$CZ,1451,Settings!$E$26)&amp;"","$",""),",","")),0)/IF(Settings!$D$27="Yes",G1451,1))</f>
        <v/>
      </c>
      <c r="J1451" s="11">
        <f>IF(A1451="","",F1451+H1451-I1451)</f>
        <v/>
      </c>
      <c r="K1451">
        <f>IF(A1451="","",IFERROR(IF(B1451="",NA(),MATCH(B1451,Products!$B$5:$B$204,0)),IFERROR(MATCH(A1451,Products!$A$5:$A$204,0),"")))</f>
        <v/>
      </c>
      <c r="L1451">
        <f>IF(A1451="","",IF(K1451="","⚠ not in Products",INDEX(Products!$A$5:$A$204,K1451)))</f>
        <v/>
      </c>
      <c r="M1451" s="11">
        <f>IF(A1451="","",J1451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1451+IFERROR(INDEX(Settings!$D$5:$D$9,MATCH("Shopify",Settings!$A$5:$A$9,0)),0)*D1451)</f>
        <v/>
      </c>
      <c r="N1451" s="11">
        <f>IF(A1451="","",IF(K1451="",0,D1451*INDEX(Products!$I$5:$I$204,K1451)))</f>
        <v/>
      </c>
      <c r="O1451" s="11">
        <f>IF(A1451="","",IF(K1451="",0,J1451*INDEX(Products!$H$5:$H$204,K1451)))</f>
        <v/>
      </c>
      <c r="P1451" s="11">
        <f>IF(A1451="","",J1451-M1451-N1451-O1451)</f>
        <v/>
      </c>
    </row>
    <row r="1452">
      <c r="A1452">
        <f>IFERROR(INDEX('Shopify Import'!$A:$CZ,1452,Settings!$E$20)&amp;"","")</f>
        <v/>
      </c>
      <c r="B1452">
        <f>IFERROR(INDEX('Shopify Import'!$A:$CZ,1452,Settings!$E$21)&amp;"","")</f>
        <v/>
      </c>
      <c r="C1452">
        <f>IFERROR(INDEX('Shopify Import'!$A:$CZ,1452,Settings!$E$22)&amp;"","")</f>
        <v/>
      </c>
      <c r="D1452">
        <f>IF(A1452="","",IFERROR(VALUE(SUBSTITUTE(SUBSTITUTE(INDEX('Shopify Import'!$A:$CZ,1452,Settings!$E$23)&amp;"","$",""),",","")),0))</f>
        <v/>
      </c>
      <c r="E1452" s="11">
        <f>IF(A1452="","",IFERROR(VALUE(SUBSTITUTE(SUBSTITUTE(INDEX('Shopify Import'!$A:$CZ,1452,Settings!$E$24)&amp;"","$",""),",","")),0))</f>
        <v/>
      </c>
      <c r="F1452" s="11">
        <f>IF(A1452="","",D1452*E1452)</f>
        <v/>
      </c>
      <c r="G1452">
        <f>IF(A1452="","",IF(C1452="",1,COUNTIF($C$2:$C$1501,C1452)))</f>
        <v/>
      </c>
      <c r="H1452" s="11">
        <f>IF(A1452="","",IFERROR(VALUE(SUBSTITUTE(SUBSTITUTE(INDEX('Shopify Import'!$A:$CZ,1452,Settings!$E$25)&amp;"","$",""),",","")),0)/IF(Settings!$D$27="Yes",G1452,1))</f>
        <v/>
      </c>
      <c r="I1452" s="11">
        <f>IF(A1452="","",IFERROR(VALUE(SUBSTITUTE(SUBSTITUTE(INDEX('Shopify Import'!$A:$CZ,1452,Settings!$E$26)&amp;"","$",""),",","")),0)/IF(Settings!$D$27="Yes",G1452,1))</f>
        <v/>
      </c>
      <c r="J1452" s="11">
        <f>IF(A1452="","",F1452+H1452-I1452)</f>
        <v/>
      </c>
      <c r="K1452">
        <f>IF(A1452="","",IFERROR(IF(B1452="",NA(),MATCH(B1452,Products!$B$5:$B$204,0)),IFERROR(MATCH(A1452,Products!$A$5:$A$204,0),"")))</f>
        <v/>
      </c>
      <c r="L1452">
        <f>IF(A1452="","",IF(K1452="","⚠ not in Products",INDEX(Products!$A$5:$A$204,K1452)))</f>
        <v/>
      </c>
      <c r="M1452" s="11">
        <f>IF(A1452="","",J1452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1452+IFERROR(INDEX(Settings!$D$5:$D$9,MATCH("Shopify",Settings!$A$5:$A$9,0)),0)*D1452)</f>
        <v/>
      </c>
      <c r="N1452" s="11">
        <f>IF(A1452="","",IF(K1452="",0,D1452*INDEX(Products!$I$5:$I$204,K1452)))</f>
        <v/>
      </c>
      <c r="O1452" s="11">
        <f>IF(A1452="","",IF(K1452="",0,J1452*INDEX(Products!$H$5:$H$204,K1452)))</f>
        <v/>
      </c>
      <c r="P1452" s="11">
        <f>IF(A1452="","",J1452-M1452-N1452-O1452)</f>
        <v/>
      </c>
    </row>
    <row r="1453">
      <c r="A1453">
        <f>IFERROR(INDEX('Shopify Import'!$A:$CZ,1453,Settings!$E$20)&amp;"","")</f>
        <v/>
      </c>
      <c r="B1453">
        <f>IFERROR(INDEX('Shopify Import'!$A:$CZ,1453,Settings!$E$21)&amp;"","")</f>
        <v/>
      </c>
      <c r="C1453">
        <f>IFERROR(INDEX('Shopify Import'!$A:$CZ,1453,Settings!$E$22)&amp;"","")</f>
        <v/>
      </c>
      <c r="D1453">
        <f>IF(A1453="","",IFERROR(VALUE(SUBSTITUTE(SUBSTITUTE(INDEX('Shopify Import'!$A:$CZ,1453,Settings!$E$23)&amp;"","$",""),",","")),0))</f>
        <v/>
      </c>
      <c r="E1453" s="11">
        <f>IF(A1453="","",IFERROR(VALUE(SUBSTITUTE(SUBSTITUTE(INDEX('Shopify Import'!$A:$CZ,1453,Settings!$E$24)&amp;"","$",""),",","")),0))</f>
        <v/>
      </c>
      <c r="F1453" s="11">
        <f>IF(A1453="","",D1453*E1453)</f>
        <v/>
      </c>
      <c r="G1453">
        <f>IF(A1453="","",IF(C1453="",1,COUNTIF($C$2:$C$1501,C1453)))</f>
        <v/>
      </c>
      <c r="H1453" s="11">
        <f>IF(A1453="","",IFERROR(VALUE(SUBSTITUTE(SUBSTITUTE(INDEX('Shopify Import'!$A:$CZ,1453,Settings!$E$25)&amp;"","$",""),",","")),0)/IF(Settings!$D$27="Yes",G1453,1))</f>
        <v/>
      </c>
      <c r="I1453" s="11">
        <f>IF(A1453="","",IFERROR(VALUE(SUBSTITUTE(SUBSTITUTE(INDEX('Shopify Import'!$A:$CZ,1453,Settings!$E$26)&amp;"","$",""),",","")),0)/IF(Settings!$D$27="Yes",G1453,1))</f>
        <v/>
      </c>
      <c r="J1453" s="11">
        <f>IF(A1453="","",F1453+H1453-I1453)</f>
        <v/>
      </c>
      <c r="K1453">
        <f>IF(A1453="","",IFERROR(IF(B1453="",NA(),MATCH(B1453,Products!$B$5:$B$204,0)),IFERROR(MATCH(A1453,Products!$A$5:$A$204,0),"")))</f>
        <v/>
      </c>
      <c r="L1453">
        <f>IF(A1453="","",IF(K1453="","⚠ not in Products",INDEX(Products!$A$5:$A$204,K1453)))</f>
        <v/>
      </c>
      <c r="M1453" s="11">
        <f>IF(A1453="","",J1453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1453+IFERROR(INDEX(Settings!$D$5:$D$9,MATCH("Shopify",Settings!$A$5:$A$9,0)),0)*D1453)</f>
        <v/>
      </c>
      <c r="N1453" s="11">
        <f>IF(A1453="","",IF(K1453="",0,D1453*INDEX(Products!$I$5:$I$204,K1453)))</f>
        <v/>
      </c>
      <c r="O1453" s="11">
        <f>IF(A1453="","",IF(K1453="",0,J1453*INDEX(Products!$H$5:$H$204,K1453)))</f>
        <v/>
      </c>
      <c r="P1453" s="11">
        <f>IF(A1453="","",J1453-M1453-N1453-O1453)</f>
        <v/>
      </c>
    </row>
    <row r="1454">
      <c r="A1454">
        <f>IFERROR(INDEX('Shopify Import'!$A:$CZ,1454,Settings!$E$20)&amp;"","")</f>
        <v/>
      </c>
      <c r="B1454">
        <f>IFERROR(INDEX('Shopify Import'!$A:$CZ,1454,Settings!$E$21)&amp;"","")</f>
        <v/>
      </c>
      <c r="C1454">
        <f>IFERROR(INDEX('Shopify Import'!$A:$CZ,1454,Settings!$E$22)&amp;"","")</f>
        <v/>
      </c>
      <c r="D1454">
        <f>IF(A1454="","",IFERROR(VALUE(SUBSTITUTE(SUBSTITUTE(INDEX('Shopify Import'!$A:$CZ,1454,Settings!$E$23)&amp;"","$",""),",","")),0))</f>
        <v/>
      </c>
      <c r="E1454" s="11">
        <f>IF(A1454="","",IFERROR(VALUE(SUBSTITUTE(SUBSTITUTE(INDEX('Shopify Import'!$A:$CZ,1454,Settings!$E$24)&amp;"","$",""),",","")),0))</f>
        <v/>
      </c>
      <c r="F1454" s="11">
        <f>IF(A1454="","",D1454*E1454)</f>
        <v/>
      </c>
      <c r="G1454">
        <f>IF(A1454="","",IF(C1454="",1,COUNTIF($C$2:$C$1501,C1454)))</f>
        <v/>
      </c>
      <c r="H1454" s="11">
        <f>IF(A1454="","",IFERROR(VALUE(SUBSTITUTE(SUBSTITUTE(INDEX('Shopify Import'!$A:$CZ,1454,Settings!$E$25)&amp;"","$",""),",","")),0)/IF(Settings!$D$27="Yes",G1454,1))</f>
        <v/>
      </c>
      <c r="I1454" s="11">
        <f>IF(A1454="","",IFERROR(VALUE(SUBSTITUTE(SUBSTITUTE(INDEX('Shopify Import'!$A:$CZ,1454,Settings!$E$26)&amp;"","$",""),",","")),0)/IF(Settings!$D$27="Yes",G1454,1))</f>
        <v/>
      </c>
      <c r="J1454" s="11">
        <f>IF(A1454="","",F1454+H1454-I1454)</f>
        <v/>
      </c>
      <c r="K1454">
        <f>IF(A1454="","",IFERROR(IF(B1454="",NA(),MATCH(B1454,Products!$B$5:$B$204,0)),IFERROR(MATCH(A1454,Products!$A$5:$A$204,0),"")))</f>
        <v/>
      </c>
      <c r="L1454">
        <f>IF(A1454="","",IF(K1454="","⚠ not in Products",INDEX(Products!$A$5:$A$204,K1454)))</f>
        <v/>
      </c>
      <c r="M1454" s="11">
        <f>IF(A1454="","",J1454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1454+IFERROR(INDEX(Settings!$D$5:$D$9,MATCH("Shopify",Settings!$A$5:$A$9,0)),0)*D1454)</f>
        <v/>
      </c>
      <c r="N1454" s="11">
        <f>IF(A1454="","",IF(K1454="",0,D1454*INDEX(Products!$I$5:$I$204,K1454)))</f>
        <v/>
      </c>
      <c r="O1454" s="11">
        <f>IF(A1454="","",IF(K1454="",0,J1454*INDEX(Products!$H$5:$H$204,K1454)))</f>
        <v/>
      </c>
      <c r="P1454" s="11">
        <f>IF(A1454="","",J1454-M1454-N1454-O1454)</f>
        <v/>
      </c>
    </row>
    <row r="1455">
      <c r="A1455">
        <f>IFERROR(INDEX('Shopify Import'!$A:$CZ,1455,Settings!$E$20)&amp;"","")</f>
        <v/>
      </c>
      <c r="B1455">
        <f>IFERROR(INDEX('Shopify Import'!$A:$CZ,1455,Settings!$E$21)&amp;"","")</f>
        <v/>
      </c>
      <c r="C1455">
        <f>IFERROR(INDEX('Shopify Import'!$A:$CZ,1455,Settings!$E$22)&amp;"","")</f>
        <v/>
      </c>
      <c r="D1455">
        <f>IF(A1455="","",IFERROR(VALUE(SUBSTITUTE(SUBSTITUTE(INDEX('Shopify Import'!$A:$CZ,1455,Settings!$E$23)&amp;"","$",""),",","")),0))</f>
        <v/>
      </c>
      <c r="E1455" s="11">
        <f>IF(A1455="","",IFERROR(VALUE(SUBSTITUTE(SUBSTITUTE(INDEX('Shopify Import'!$A:$CZ,1455,Settings!$E$24)&amp;"","$",""),",","")),0))</f>
        <v/>
      </c>
      <c r="F1455" s="11">
        <f>IF(A1455="","",D1455*E1455)</f>
        <v/>
      </c>
      <c r="G1455">
        <f>IF(A1455="","",IF(C1455="",1,COUNTIF($C$2:$C$1501,C1455)))</f>
        <v/>
      </c>
      <c r="H1455" s="11">
        <f>IF(A1455="","",IFERROR(VALUE(SUBSTITUTE(SUBSTITUTE(INDEX('Shopify Import'!$A:$CZ,1455,Settings!$E$25)&amp;"","$",""),",","")),0)/IF(Settings!$D$27="Yes",G1455,1))</f>
        <v/>
      </c>
      <c r="I1455" s="11">
        <f>IF(A1455="","",IFERROR(VALUE(SUBSTITUTE(SUBSTITUTE(INDEX('Shopify Import'!$A:$CZ,1455,Settings!$E$26)&amp;"","$",""),",","")),0)/IF(Settings!$D$27="Yes",G1455,1))</f>
        <v/>
      </c>
      <c r="J1455" s="11">
        <f>IF(A1455="","",F1455+H1455-I1455)</f>
        <v/>
      </c>
      <c r="K1455">
        <f>IF(A1455="","",IFERROR(IF(B1455="",NA(),MATCH(B1455,Products!$B$5:$B$204,0)),IFERROR(MATCH(A1455,Products!$A$5:$A$204,0),"")))</f>
        <v/>
      </c>
      <c r="L1455">
        <f>IF(A1455="","",IF(K1455="","⚠ not in Products",INDEX(Products!$A$5:$A$204,K1455)))</f>
        <v/>
      </c>
      <c r="M1455" s="11">
        <f>IF(A1455="","",J1455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1455+IFERROR(INDEX(Settings!$D$5:$D$9,MATCH("Shopify",Settings!$A$5:$A$9,0)),0)*D1455)</f>
        <v/>
      </c>
      <c r="N1455" s="11">
        <f>IF(A1455="","",IF(K1455="",0,D1455*INDEX(Products!$I$5:$I$204,K1455)))</f>
        <v/>
      </c>
      <c r="O1455" s="11">
        <f>IF(A1455="","",IF(K1455="",0,J1455*INDEX(Products!$H$5:$H$204,K1455)))</f>
        <v/>
      </c>
      <c r="P1455" s="11">
        <f>IF(A1455="","",J1455-M1455-N1455-O1455)</f>
        <v/>
      </c>
    </row>
    <row r="1456">
      <c r="A1456">
        <f>IFERROR(INDEX('Shopify Import'!$A:$CZ,1456,Settings!$E$20)&amp;"","")</f>
        <v/>
      </c>
      <c r="B1456">
        <f>IFERROR(INDEX('Shopify Import'!$A:$CZ,1456,Settings!$E$21)&amp;"","")</f>
        <v/>
      </c>
      <c r="C1456">
        <f>IFERROR(INDEX('Shopify Import'!$A:$CZ,1456,Settings!$E$22)&amp;"","")</f>
        <v/>
      </c>
      <c r="D1456">
        <f>IF(A1456="","",IFERROR(VALUE(SUBSTITUTE(SUBSTITUTE(INDEX('Shopify Import'!$A:$CZ,1456,Settings!$E$23)&amp;"","$",""),",","")),0))</f>
        <v/>
      </c>
      <c r="E1456" s="11">
        <f>IF(A1456="","",IFERROR(VALUE(SUBSTITUTE(SUBSTITUTE(INDEX('Shopify Import'!$A:$CZ,1456,Settings!$E$24)&amp;"","$",""),",","")),0))</f>
        <v/>
      </c>
      <c r="F1456" s="11">
        <f>IF(A1456="","",D1456*E1456)</f>
        <v/>
      </c>
      <c r="G1456">
        <f>IF(A1456="","",IF(C1456="",1,COUNTIF($C$2:$C$1501,C1456)))</f>
        <v/>
      </c>
      <c r="H1456" s="11">
        <f>IF(A1456="","",IFERROR(VALUE(SUBSTITUTE(SUBSTITUTE(INDEX('Shopify Import'!$A:$CZ,1456,Settings!$E$25)&amp;"","$",""),",","")),0)/IF(Settings!$D$27="Yes",G1456,1))</f>
        <v/>
      </c>
      <c r="I1456" s="11">
        <f>IF(A1456="","",IFERROR(VALUE(SUBSTITUTE(SUBSTITUTE(INDEX('Shopify Import'!$A:$CZ,1456,Settings!$E$26)&amp;"","$",""),",","")),0)/IF(Settings!$D$27="Yes",G1456,1))</f>
        <v/>
      </c>
      <c r="J1456" s="11">
        <f>IF(A1456="","",F1456+H1456-I1456)</f>
        <v/>
      </c>
      <c r="K1456">
        <f>IF(A1456="","",IFERROR(IF(B1456="",NA(),MATCH(B1456,Products!$B$5:$B$204,0)),IFERROR(MATCH(A1456,Products!$A$5:$A$204,0),"")))</f>
        <v/>
      </c>
      <c r="L1456">
        <f>IF(A1456="","",IF(K1456="","⚠ not in Products",INDEX(Products!$A$5:$A$204,K1456)))</f>
        <v/>
      </c>
      <c r="M1456" s="11">
        <f>IF(A1456="","",J1456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1456+IFERROR(INDEX(Settings!$D$5:$D$9,MATCH("Shopify",Settings!$A$5:$A$9,0)),0)*D1456)</f>
        <v/>
      </c>
      <c r="N1456" s="11">
        <f>IF(A1456="","",IF(K1456="",0,D1456*INDEX(Products!$I$5:$I$204,K1456)))</f>
        <v/>
      </c>
      <c r="O1456" s="11">
        <f>IF(A1456="","",IF(K1456="",0,J1456*INDEX(Products!$H$5:$H$204,K1456)))</f>
        <v/>
      </c>
      <c r="P1456" s="11">
        <f>IF(A1456="","",J1456-M1456-N1456-O1456)</f>
        <v/>
      </c>
    </row>
    <row r="1457">
      <c r="A1457">
        <f>IFERROR(INDEX('Shopify Import'!$A:$CZ,1457,Settings!$E$20)&amp;"","")</f>
        <v/>
      </c>
      <c r="B1457">
        <f>IFERROR(INDEX('Shopify Import'!$A:$CZ,1457,Settings!$E$21)&amp;"","")</f>
        <v/>
      </c>
      <c r="C1457">
        <f>IFERROR(INDEX('Shopify Import'!$A:$CZ,1457,Settings!$E$22)&amp;"","")</f>
        <v/>
      </c>
      <c r="D1457">
        <f>IF(A1457="","",IFERROR(VALUE(SUBSTITUTE(SUBSTITUTE(INDEX('Shopify Import'!$A:$CZ,1457,Settings!$E$23)&amp;"","$",""),",","")),0))</f>
        <v/>
      </c>
      <c r="E1457" s="11">
        <f>IF(A1457="","",IFERROR(VALUE(SUBSTITUTE(SUBSTITUTE(INDEX('Shopify Import'!$A:$CZ,1457,Settings!$E$24)&amp;"","$",""),",","")),0))</f>
        <v/>
      </c>
      <c r="F1457" s="11">
        <f>IF(A1457="","",D1457*E1457)</f>
        <v/>
      </c>
      <c r="G1457">
        <f>IF(A1457="","",IF(C1457="",1,COUNTIF($C$2:$C$1501,C1457)))</f>
        <v/>
      </c>
      <c r="H1457" s="11">
        <f>IF(A1457="","",IFERROR(VALUE(SUBSTITUTE(SUBSTITUTE(INDEX('Shopify Import'!$A:$CZ,1457,Settings!$E$25)&amp;"","$",""),",","")),0)/IF(Settings!$D$27="Yes",G1457,1))</f>
        <v/>
      </c>
      <c r="I1457" s="11">
        <f>IF(A1457="","",IFERROR(VALUE(SUBSTITUTE(SUBSTITUTE(INDEX('Shopify Import'!$A:$CZ,1457,Settings!$E$26)&amp;"","$",""),",","")),0)/IF(Settings!$D$27="Yes",G1457,1))</f>
        <v/>
      </c>
      <c r="J1457" s="11">
        <f>IF(A1457="","",F1457+H1457-I1457)</f>
        <v/>
      </c>
      <c r="K1457">
        <f>IF(A1457="","",IFERROR(IF(B1457="",NA(),MATCH(B1457,Products!$B$5:$B$204,0)),IFERROR(MATCH(A1457,Products!$A$5:$A$204,0),"")))</f>
        <v/>
      </c>
      <c r="L1457">
        <f>IF(A1457="","",IF(K1457="","⚠ not in Products",INDEX(Products!$A$5:$A$204,K1457)))</f>
        <v/>
      </c>
      <c r="M1457" s="11">
        <f>IF(A1457="","",J1457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1457+IFERROR(INDEX(Settings!$D$5:$D$9,MATCH("Shopify",Settings!$A$5:$A$9,0)),0)*D1457)</f>
        <v/>
      </c>
      <c r="N1457" s="11">
        <f>IF(A1457="","",IF(K1457="",0,D1457*INDEX(Products!$I$5:$I$204,K1457)))</f>
        <v/>
      </c>
      <c r="O1457" s="11">
        <f>IF(A1457="","",IF(K1457="",0,J1457*INDEX(Products!$H$5:$H$204,K1457)))</f>
        <v/>
      </c>
      <c r="P1457" s="11">
        <f>IF(A1457="","",J1457-M1457-N1457-O1457)</f>
        <v/>
      </c>
    </row>
    <row r="1458">
      <c r="A1458">
        <f>IFERROR(INDEX('Shopify Import'!$A:$CZ,1458,Settings!$E$20)&amp;"","")</f>
        <v/>
      </c>
      <c r="B1458">
        <f>IFERROR(INDEX('Shopify Import'!$A:$CZ,1458,Settings!$E$21)&amp;"","")</f>
        <v/>
      </c>
      <c r="C1458">
        <f>IFERROR(INDEX('Shopify Import'!$A:$CZ,1458,Settings!$E$22)&amp;"","")</f>
        <v/>
      </c>
      <c r="D1458">
        <f>IF(A1458="","",IFERROR(VALUE(SUBSTITUTE(SUBSTITUTE(INDEX('Shopify Import'!$A:$CZ,1458,Settings!$E$23)&amp;"","$",""),",","")),0))</f>
        <v/>
      </c>
      <c r="E1458" s="11">
        <f>IF(A1458="","",IFERROR(VALUE(SUBSTITUTE(SUBSTITUTE(INDEX('Shopify Import'!$A:$CZ,1458,Settings!$E$24)&amp;"","$",""),",","")),0))</f>
        <v/>
      </c>
      <c r="F1458" s="11">
        <f>IF(A1458="","",D1458*E1458)</f>
        <v/>
      </c>
      <c r="G1458">
        <f>IF(A1458="","",IF(C1458="",1,COUNTIF($C$2:$C$1501,C1458)))</f>
        <v/>
      </c>
      <c r="H1458" s="11">
        <f>IF(A1458="","",IFERROR(VALUE(SUBSTITUTE(SUBSTITUTE(INDEX('Shopify Import'!$A:$CZ,1458,Settings!$E$25)&amp;"","$",""),",","")),0)/IF(Settings!$D$27="Yes",G1458,1))</f>
        <v/>
      </c>
      <c r="I1458" s="11">
        <f>IF(A1458="","",IFERROR(VALUE(SUBSTITUTE(SUBSTITUTE(INDEX('Shopify Import'!$A:$CZ,1458,Settings!$E$26)&amp;"","$",""),",","")),0)/IF(Settings!$D$27="Yes",G1458,1))</f>
        <v/>
      </c>
      <c r="J1458" s="11">
        <f>IF(A1458="","",F1458+H1458-I1458)</f>
        <v/>
      </c>
      <c r="K1458">
        <f>IF(A1458="","",IFERROR(IF(B1458="",NA(),MATCH(B1458,Products!$B$5:$B$204,0)),IFERROR(MATCH(A1458,Products!$A$5:$A$204,0),"")))</f>
        <v/>
      </c>
      <c r="L1458">
        <f>IF(A1458="","",IF(K1458="","⚠ not in Products",INDEX(Products!$A$5:$A$204,K1458)))</f>
        <v/>
      </c>
      <c r="M1458" s="11">
        <f>IF(A1458="","",J1458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1458+IFERROR(INDEX(Settings!$D$5:$D$9,MATCH("Shopify",Settings!$A$5:$A$9,0)),0)*D1458)</f>
        <v/>
      </c>
      <c r="N1458" s="11">
        <f>IF(A1458="","",IF(K1458="",0,D1458*INDEX(Products!$I$5:$I$204,K1458)))</f>
        <v/>
      </c>
      <c r="O1458" s="11">
        <f>IF(A1458="","",IF(K1458="",0,J1458*INDEX(Products!$H$5:$H$204,K1458)))</f>
        <v/>
      </c>
      <c r="P1458" s="11">
        <f>IF(A1458="","",J1458-M1458-N1458-O1458)</f>
        <v/>
      </c>
    </row>
    <row r="1459">
      <c r="A1459">
        <f>IFERROR(INDEX('Shopify Import'!$A:$CZ,1459,Settings!$E$20)&amp;"","")</f>
        <v/>
      </c>
      <c r="B1459">
        <f>IFERROR(INDEX('Shopify Import'!$A:$CZ,1459,Settings!$E$21)&amp;"","")</f>
        <v/>
      </c>
      <c r="C1459">
        <f>IFERROR(INDEX('Shopify Import'!$A:$CZ,1459,Settings!$E$22)&amp;"","")</f>
        <v/>
      </c>
      <c r="D1459">
        <f>IF(A1459="","",IFERROR(VALUE(SUBSTITUTE(SUBSTITUTE(INDEX('Shopify Import'!$A:$CZ,1459,Settings!$E$23)&amp;"","$",""),",","")),0))</f>
        <v/>
      </c>
      <c r="E1459" s="11">
        <f>IF(A1459="","",IFERROR(VALUE(SUBSTITUTE(SUBSTITUTE(INDEX('Shopify Import'!$A:$CZ,1459,Settings!$E$24)&amp;"","$",""),",","")),0))</f>
        <v/>
      </c>
      <c r="F1459" s="11">
        <f>IF(A1459="","",D1459*E1459)</f>
        <v/>
      </c>
      <c r="G1459">
        <f>IF(A1459="","",IF(C1459="",1,COUNTIF($C$2:$C$1501,C1459)))</f>
        <v/>
      </c>
      <c r="H1459" s="11">
        <f>IF(A1459="","",IFERROR(VALUE(SUBSTITUTE(SUBSTITUTE(INDEX('Shopify Import'!$A:$CZ,1459,Settings!$E$25)&amp;"","$",""),",","")),0)/IF(Settings!$D$27="Yes",G1459,1))</f>
        <v/>
      </c>
      <c r="I1459" s="11">
        <f>IF(A1459="","",IFERROR(VALUE(SUBSTITUTE(SUBSTITUTE(INDEX('Shopify Import'!$A:$CZ,1459,Settings!$E$26)&amp;"","$",""),",","")),0)/IF(Settings!$D$27="Yes",G1459,1))</f>
        <v/>
      </c>
      <c r="J1459" s="11">
        <f>IF(A1459="","",F1459+H1459-I1459)</f>
        <v/>
      </c>
      <c r="K1459">
        <f>IF(A1459="","",IFERROR(IF(B1459="",NA(),MATCH(B1459,Products!$B$5:$B$204,0)),IFERROR(MATCH(A1459,Products!$A$5:$A$204,0),"")))</f>
        <v/>
      </c>
      <c r="L1459">
        <f>IF(A1459="","",IF(K1459="","⚠ not in Products",INDEX(Products!$A$5:$A$204,K1459)))</f>
        <v/>
      </c>
      <c r="M1459" s="11">
        <f>IF(A1459="","",J1459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1459+IFERROR(INDEX(Settings!$D$5:$D$9,MATCH("Shopify",Settings!$A$5:$A$9,0)),0)*D1459)</f>
        <v/>
      </c>
      <c r="N1459" s="11">
        <f>IF(A1459="","",IF(K1459="",0,D1459*INDEX(Products!$I$5:$I$204,K1459)))</f>
        <v/>
      </c>
      <c r="O1459" s="11">
        <f>IF(A1459="","",IF(K1459="",0,J1459*INDEX(Products!$H$5:$H$204,K1459)))</f>
        <v/>
      </c>
      <c r="P1459" s="11">
        <f>IF(A1459="","",J1459-M1459-N1459-O1459)</f>
        <v/>
      </c>
    </row>
    <row r="1460">
      <c r="A1460">
        <f>IFERROR(INDEX('Shopify Import'!$A:$CZ,1460,Settings!$E$20)&amp;"","")</f>
        <v/>
      </c>
      <c r="B1460">
        <f>IFERROR(INDEX('Shopify Import'!$A:$CZ,1460,Settings!$E$21)&amp;"","")</f>
        <v/>
      </c>
      <c r="C1460">
        <f>IFERROR(INDEX('Shopify Import'!$A:$CZ,1460,Settings!$E$22)&amp;"","")</f>
        <v/>
      </c>
      <c r="D1460">
        <f>IF(A1460="","",IFERROR(VALUE(SUBSTITUTE(SUBSTITUTE(INDEX('Shopify Import'!$A:$CZ,1460,Settings!$E$23)&amp;"","$",""),",","")),0))</f>
        <v/>
      </c>
      <c r="E1460" s="11">
        <f>IF(A1460="","",IFERROR(VALUE(SUBSTITUTE(SUBSTITUTE(INDEX('Shopify Import'!$A:$CZ,1460,Settings!$E$24)&amp;"","$",""),",","")),0))</f>
        <v/>
      </c>
      <c r="F1460" s="11">
        <f>IF(A1460="","",D1460*E1460)</f>
        <v/>
      </c>
      <c r="G1460">
        <f>IF(A1460="","",IF(C1460="",1,COUNTIF($C$2:$C$1501,C1460)))</f>
        <v/>
      </c>
      <c r="H1460" s="11">
        <f>IF(A1460="","",IFERROR(VALUE(SUBSTITUTE(SUBSTITUTE(INDEX('Shopify Import'!$A:$CZ,1460,Settings!$E$25)&amp;"","$",""),",","")),0)/IF(Settings!$D$27="Yes",G1460,1))</f>
        <v/>
      </c>
      <c r="I1460" s="11">
        <f>IF(A1460="","",IFERROR(VALUE(SUBSTITUTE(SUBSTITUTE(INDEX('Shopify Import'!$A:$CZ,1460,Settings!$E$26)&amp;"","$",""),",","")),0)/IF(Settings!$D$27="Yes",G1460,1))</f>
        <v/>
      </c>
      <c r="J1460" s="11">
        <f>IF(A1460="","",F1460+H1460-I1460)</f>
        <v/>
      </c>
      <c r="K1460">
        <f>IF(A1460="","",IFERROR(IF(B1460="",NA(),MATCH(B1460,Products!$B$5:$B$204,0)),IFERROR(MATCH(A1460,Products!$A$5:$A$204,0),"")))</f>
        <v/>
      </c>
      <c r="L1460">
        <f>IF(A1460="","",IF(K1460="","⚠ not in Products",INDEX(Products!$A$5:$A$204,K1460)))</f>
        <v/>
      </c>
      <c r="M1460" s="11">
        <f>IF(A1460="","",J1460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1460+IFERROR(INDEX(Settings!$D$5:$D$9,MATCH("Shopify",Settings!$A$5:$A$9,0)),0)*D1460)</f>
        <v/>
      </c>
      <c r="N1460" s="11">
        <f>IF(A1460="","",IF(K1460="",0,D1460*INDEX(Products!$I$5:$I$204,K1460)))</f>
        <v/>
      </c>
      <c r="O1460" s="11">
        <f>IF(A1460="","",IF(K1460="",0,J1460*INDEX(Products!$H$5:$H$204,K1460)))</f>
        <v/>
      </c>
      <c r="P1460" s="11">
        <f>IF(A1460="","",J1460-M1460-N1460-O1460)</f>
        <v/>
      </c>
    </row>
    <row r="1461">
      <c r="A1461">
        <f>IFERROR(INDEX('Shopify Import'!$A:$CZ,1461,Settings!$E$20)&amp;"","")</f>
        <v/>
      </c>
      <c r="B1461">
        <f>IFERROR(INDEX('Shopify Import'!$A:$CZ,1461,Settings!$E$21)&amp;"","")</f>
        <v/>
      </c>
      <c r="C1461">
        <f>IFERROR(INDEX('Shopify Import'!$A:$CZ,1461,Settings!$E$22)&amp;"","")</f>
        <v/>
      </c>
      <c r="D1461">
        <f>IF(A1461="","",IFERROR(VALUE(SUBSTITUTE(SUBSTITUTE(INDEX('Shopify Import'!$A:$CZ,1461,Settings!$E$23)&amp;"","$",""),",","")),0))</f>
        <v/>
      </c>
      <c r="E1461" s="11">
        <f>IF(A1461="","",IFERROR(VALUE(SUBSTITUTE(SUBSTITUTE(INDEX('Shopify Import'!$A:$CZ,1461,Settings!$E$24)&amp;"","$",""),",","")),0))</f>
        <v/>
      </c>
      <c r="F1461" s="11">
        <f>IF(A1461="","",D1461*E1461)</f>
        <v/>
      </c>
      <c r="G1461">
        <f>IF(A1461="","",IF(C1461="",1,COUNTIF($C$2:$C$1501,C1461)))</f>
        <v/>
      </c>
      <c r="H1461" s="11">
        <f>IF(A1461="","",IFERROR(VALUE(SUBSTITUTE(SUBSTITUTE(INDEX('Shopify Import'!$A:$CZ,1461,Settings!$E$25)&amp;"","$",""),",","")),0)/IF(Settings!$D$27="Yes",G1461,1))</f>
        <v/>
      </c>
      <c r="I1461" s="11">
        <f>IF(A1461="","",IFERROR(VALUE(SUBSTITUTE(SUBSTITUTE(INDEX('Shopify Import'!$A:$CZ,1461,Settings!$E$26)&amp;"","$",""),",","")),0)/IF(Settings!$D$27="Yes",G1461,1))</f>
        <v/>
      </c>
      <c r="J1461" s="11">
        <f>IF(A1461="","",F1461+H1461-I1461)</f>
        <v/>
      </c>
      <c r="K1461">
        <f>IF(A1461="","",IFERROR(IF(B1461="",NA(),MATCH(B1461,Products!$B$5:$B$204,0)),IFERROR(MATCH(A1461,Products!$A$5:$A$204,0),"")))</f>
        <v/>
      </c>
      <c r="L1461">
        <f>IF(A1461="","",IF(K1461="","⚠ not in Products",INDEX(Products!$A$5:$A$204,K1461)))</f>
        <v/>
      </c>
      <c r="M1461" s="11">
        <f>IF(A1461="","",J1461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1461+IFERROR(INDEX(Settings!$D$5:$D$9,MATCH("Shopify",Settings!$A$5:$A$9,0)),0)*D1461)</f>
        <v/>
      </c>
      <c r="N1461" s="11">
        <f>IF(A1461="","",IF(K1461="",0,D1461*INDEX(Products!$I$5:$I$204,K1461)))</f>
        <v/>
      </c>
      <c r="O1461" s="11">
        <f>IF(A1461="","",IF(K1461="",0,J1461*INDEX(Products!$H$5:$H$204,K1461)))</f>
        <v/>
      </c>
      <c r="P1461" s="11">
        <f>IF(A1461="","",J1461-M1461-N1461-O1461)</f>
        <v/>
      </c>
    </row>
    <row r="1462">
      <c r="A1462">
        <f>IFERROR(INDEX('Shopify Import'!$A:$CZ,1462,Settings!$E$20)&amp;"","")</f>
        <v/>
      </c>
      <c r="B1462">
        <f>IFERROR(INDEX('Shopify Import'!$A:$CZ,1462,Settings!$E$21)&amp;"","")</f>
        <v/>
      </c>
      <c r="C1462">
        <f>IFERROR(INDEX('Shopify Import'!$A:$CZ,1462,Settings!$E$22)&amp;"","")</f>
        <v/>
      </c>
      <c r="D1462">
        <f>IF(A1462="","",IFERROR(VALUE(SUBSTITUTE(SUBSTITUTE(INDEX('Shopify Import'!$A:$CZ,1462,Settings!$E$23)&amp;"","$",""),",","")),0))</f>
        <v/>
      </c>
      <c r="E1462" s="11">
        <f>IF(A1462="","",IFERROR(VALUE(SUBSTITUTE(SUBSTITUTE(INDEX('Shopify Import'!$A:$CZ,1462,Settings!$E$24)&amp;"","$",""),",","")),0))</f>
        <v/>
      </c>
      <c r="F1462" s="11">
        <f>IF(A1462="","",D1462*E1462)</f>
        <v/>
      </c>
      <c r="G1462">
        <f>IF(A1462="","",IF(C1462="",1,COUNTIF($C$2:$C$1501,C1462)))</f>
        <v/>
      </c>
      <c r="H1462" s="11">
        <f>IF(A1462="","",IFERROR(VALUE(SUBSTITUTE(SUBSTITUTE(INDEX('Shopify Import'!$A:$CZ,1462,Settings!$E$25)&amp;"","$",""),",","")),0)/IF(Settings!$D$27="Yes",G1462,1))</f>
        <v/>
      </c>
      <c r="I1462" s="11">
        <f>IF(A1462="","",IFERROR(VALUE(SUBSTITUTE(SUBSTITUTE(INDEX('Shopify Import'!$A:$CZ,1462,Settings!$E$26)&amp;"","$",""),",","")),0)/IF(Settings!$D$27="Yes",G1462,1))</f>
        <v/>
      </c>
      <c r="J1462" s="11">
        <f>IF(A1462="","",F1462+H1462-I1462)</f>
        <v/>
      </c>
      <c r="K1462">
        <f>IF(A1462="","",IFERROR(IF(B1462="",NA(),MATCH(B1462,Products!$B$5:$B$204,0)),IFERROR(MATCH(A1462,Products!$A$5:$A$204,0),"")))</f>
        <v/>
      </c>
      <c r="L1462">
        <f>IF(A1462="","",IF(K1462="","⚠ not in Products",INDEX(Products!$A$5:$A$204,K1462)))</f>
        <v/>
      </c>
      <c r="M1462" s="11">
        <f>IF(A1462="","",J1462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1462+IFERROR(INDEX(Settings!$D$5:$D$9,MATCH("Shopify",Settings!$A$5:$A$9,0)),0)*D1462)</f>
        <v/>
      </c>
      <c r="N1462" s="11">
        <f>IF(A1462="","",IF(K1462="",0,D1462*INDEX(Products!$I$5:$I$204,K1462)))</f>
        <v/>
      </c>
      <c r="O1462" s="11">
        <f>IF(A1462="","",IF(K1462="",0,J1462*INDEX(Products!$H$5:$H$204,K1462)))</f>
        <v/>
      </c>
      <c r="P1462" s="11">
        <f>IF(A1462="","",J1462-M1462-N1462-O1462)</f>
        <v/>
      </c>
    </row>
    <row r="1463">
      <c r="A1463">
        <f>IFERROR(INDEX('Shopify Import'!$A:$CZ,1463,Settings!$E$20)&amp;"","")</f>
        <v/>
      </c>
      <c r="B1463">
        <f>IFERROR(INDEX('Shopify Import'!$A:$CZ,1463,Settings!$E$21)&amp;"","")</f>
        <v/>
      </c>
      <c r="C1463">
        <f>IFERROR(INDEX('Shopify Import'!$A:$CZ,1463,Settings!$E$22)&amp;"","")</f>
        <v/>
      </c>
      <c r="D1463">
        <f>IF(A1463="","",IFERROR(VALUE(SUBSTITUTE(SUBSTITUTE(INDEX('Shopify Import'!$A:$CZ,1463,Settings!$E$23)&amp;"","$",""),",","")),0))</f>
        <v/>
      </c>
      <c r="E1463" s="11">
        <f>IF(A1463="","",IFERROR(VALUE(SUBSTITUTE(SUBSTITUTE(INDEX('Shopify Import'!$A:$CZ,1463,Settings!$E$24)&amp;"","$",""),",","")),0))</f>
        <v/>
      </c>
      <c r="F1463" s="11">
        <f>IF(A1463="","",D1463*E1463)</f>
        <v/>
      </c>
      <c r="G1463">
        <f>IF(A1463="","",IF(C1463="",1,COUNTIF($C$2:$C$1501,C1463)))</f>
        <v/>
      </c>
      <c r="H1463" s="11">
        <f>IF(A1463="","",IFERROR(VALUE(SUBSTITUTE(SUBSTITUTE(INDEX('Shopify Import'!$A:$CZ,1463,Settings!$E$25)&amp;"","$",""),",","")),0)/IF(Settings!$D$27="Yes",G1463,1))</f>
        <v/>
      </c>
      <c r="I1463" s="11">
        <f>IF(A1463="","",IFERROR(VALUE(SUBSTITUTE(SUBSTITUTE(INDEX('Shopify Import'!$A:$CZ,1463,Settings!$E$26)&amp;"","$",""),",","")),0)/IF(Settings!$D$27="Yes",G1463,1))</f>
        <v/>
      </c>
      <c r="J1463" s="11">
        <f>IF(A1463="","",F1463+H1463-I1463)</f>
        <v/>
      </c>
      <c r="K1463">
        <f>IF(A1463="","",IFERROR(IF(B1463="",NA(),MATCH(B1463,Products!$B$5:$B$204,0)),IFERROR(MATCH(A1463,Products!$A$5:$A$204,0),"")))</f>
        <v/>
      </c>
      <c r="L1463">
        <f>IF(A1463="","",IF(K1463="","⚠ not in Products",INDEX(Products!$A$5:$A$204,K1463)))</f>
        <v/>
      </c>
      <c r="M1463" s="11">
        <f>IF(A1463="","",J1463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1463+IFERROR(INDEX(Settings!$D$5:$D$9,MATCH("Shopify",Settings!$A$5:$A$9,0)),0)*D1463)</f>
        <v/>
      </c>
      <c r="N1463" s="11">
        <f>IF(A1463="","",IF(K1463="",0,D1463*INDEX(Products!$I$5:$I$204,K1463)))</f>
        <v/>
      </c>
      <c r="O1463" s="11">
        <f>IF(A1463="","",IF(K1463="",0,J1463*INDEX(Products!$H$5:$H$204,K1463)))</f>
        <v/>
      </c>
      <c r="P1463" s="11">
        <f>IF(A1463="","",J1463-M1463-N1463-O1463)</f>
        <v/>
      </c>
    </row>
    <row r="1464">
      <c r="A1464">
        <f>IFERROR(INDEX('Shopify Import'!$A:$CZ,1464,Settings!$E$20)&amp;"","")</f>
        <v/>
      </c>
      <c r="B1464">
        <f>IFERROR(INDEX('Shopify Import'!$A:$CZ,1464,Settings!$E$21)&amp;"","")</f>
        <v/>
      </c>
      <c r="C1464">
        <f>IFERROR(INDEX('Shopify Import'!$A:$CZ,1464,Settings!$E$22)&amp;"","")</f>
        <v/>
      </c>
      <c r="D1464">
        <f>IF(A1464="","",IFERROR(VALUE(SUBSTITUTE(SUBSTITUTE(INDEX('Shopify Import'!$A:$CZ,1464,Settings!$E$23)&amp;"","$",""),",","")),0))</f>
        <v/>
      </c>
      <c r="E1464" s="11">
        <f>IF(A1464="","",IFERROR(VALUE(SUBSTITUTE(SUBSTITUTE(INDEX('Shopify Import'!$A:$CZ,1464,Settings!$E$24)&amp;"","$",""),",","")),0))</f>
        <v/>
      </c>
      <c r="F1464" s="11">
        <f>IF(A1464="","",D1464*E1464)</f>
        <v/>
      </c>
      <c r="G1464">
        <f>IF(A1464="","",IF(C1464="",1,COUNTIF($C$2:$C$1501,C1464)))</f>
        <v/>
      </c>
      <c r="H1464" s="11">
        <f>IF(A1464="","",IFERROR(VALUE(SUBSTITUTE(SUBSTITUTE(INDEX('Shopify Import'!$A:$CZ,1464,Settings!$E$25)&amp;"","$",""),",","")),0)/IF(Settings!$D$27="Yes",G1464,1))</f>
        <v/>
      </c>
      <c r="I1464" s="11">
        <f>IF(A1464="","",IFERROR(VALUE(SUBSTITUTE(SUBSTITUTE(INDEX('Shopify Import'!$A:$CZ,1464,Settings!$E$26)&amp;"","$",""),",","")),0)/IF(Settings!$D$27="Yes",G1464,1))</f>
        <v/>
      </c>
      <c r="J1464" s="11">
        <f>IF(A1464="","",F1464+H1464-I1464)</f>
        <v/>
      </c>
      <c r="K1464">
        <f>IF(A1464="","",IFERROR(IF(B1464="",NA(),MATCH(B1464,Products!$B$5:$B$204,0)),IFERROR(MATCH(A1464,Products!$A$5:$A$204,0),"")))</f>
        <v/>
      </c>
      <c r="L1464">
        <f>IF(A1464="","",IF(K1464="","⚠ not in Products",INDEX(Products!$A$5:$A$204,K1464)))</f>
        <v/>
      </c>
      <c r="M1464" s="11">
        <f>IF(A1464="","",J1464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1464+IFERROR(INDEX(Settings!$D$5:$D$9,MATCH("Shopify",Settings!$A$5:$A$9,0)),0)*D1464)</f>
        <v/>
      </c>
      <c r="N1464" s="11">
        <f>IF(A1464="","",IF(K1464="",0,D1464*INDEX(Products!$I$5:$I$204,K1464)))</f>
        <v/>
      </c>
      <c r="O1464" s="11">
        <f>IF(A1464="","",IF(K1464="",0,J1464*INDEX(Products!$H$5:$H$204,K1464)))</f>
        <v/>
      </c>
      <c r="P1464" s="11">
        <f>IF(A1464="","",J1464-M1464-N1464-O1464)</f>
        <v/>
      </c>
    </row>
    <row r="1465">
      <c r="A1465">
        <f>IFERROR(INDEX('Shopify Import'!$A:$CZ,1465,Settings!$E$20)&amp;"","")</f>
        <v/>
      </c>
      <c r="B1465">
        <f>IFERROR(INDEX('Shopify Import'!$A:$CZ,1465,Settings!$E$21)&amp;"","")</f>
        <v/>
      </c>
      <c r="C1465">
        <f>IFERROR(INDEX('Shopify Import'!$A:$CZ,1465,Settings!$E$22)&amp;"","")</f>
        <v/>
      </c>
      <c r="D1465">
        <f>IF(A1465="","",IFERROR(VALUE(SUBSTITUTE(SUBSTITUTE(INDEX('Shopify Import'!$A:$CZ,1465,Settings!$E$23)&amp;"","$",""),",","")),0))</f>
        <v/>
      </c>
      <c r="E1465" s="11">
        <f>IF(A1465="","",IFERROR(VALUE(SUBSTITUTE(SUBSTITUTE(INDEX('Shopify Import'!$A:$CZ,1465,Settings!$E$24)&amp;"","$",""),",","")),0))</f>
        <v/>
      </c>
      <c r="F1465" s="11">
        <f>IF(A1465="","",D1465*E1465)</f>
        <v/>
      </c>
      <c r="G1465">
        <f>IF(A1465="","",IF(C1465="",1,COUNTIF($C$2:$C$1501,C1465)))</f>
        <v/>
      </c>
      <c r="H1465" s="11">
        <f>IF(A1465="","",IFERROR(VALUE(SUBSTITUTE(SUBSTITUTE(INDEX('Shopify Import'!$A:$CZ,1465,Settings!$E$25)&amp;"","$",""),",","")),0)/IF(Settings!$D$27="Yes",G1465,1))</f>
        <v/>
      </c>
      <c r="I1465" s="11">
        <f>IF(A1465="","",IFERROR(VALUE(SUBSTITUTE(SUBSTITUTE(INDEX('Shopify Import'!$A:$CZ,1465,Settings!$E$26)&amp;"","$",""),",","")),0)/IF(Settings!$D$27="Yes",G1465,1))</f>
        <v/>
      </c>
      <c r="J1465" s="11">
        <f>IF(A1465="","",F1465+H1465-I1465)</f>
        <v/>
      </c>
      <c r="K1465">
        <f>IF(A1465="","",IFERROR(IF(B1465="",NA(),MATCH(B1465,Products!$B$5:$B$204,0)),IFERROR(MATCH(A1465,Products!$A$5:$A$204,0),"")))</f>
        <v/>
      </c>
      <c r="L1465">
        <f>IF(A1465="","",IF(K1465="","⚠ not in Products",INDEX(Products!$A$5:$A$204,K1465)))</f>
        <v/>
      </c>
      <c r="M1465" s="11">
        <f>IF(A1465="","",J1465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1465+IFERROR(INDEX(Settings!$D$5:$D$9,MATCH("Shopify",Settings!$A$5:$A$9,0)),0)*D1465)</f>
        <v/>
      </c>
      <c r="N1465" s="11">
        <f>IF(A1465="","",IF(K1465="",0,D1465*INDEX(Products!$I$5:$I$204,K1465)))</f>
        <v/>
      </c>
      <c r="O1465" s="11">
        <f>IF(A1465="","",IF(K1465="",0,J1465*INDEX(Products!$H$5:$H$204,K1465)))</f>
        <v/>
      </c>
      <c r="P1465" s="11">
        <f>IF(A1465="","",J1465-M1465-N1465-O1465)</f>
        <v/>
      </c>
    </row>
    <row r="1466">
      <c r="A1466">
        <f>IFERROR(INDEX('Shopify Import'!$A:$CZ,1466,Settings!$E$20)&amp;"","")</f>
        <v/>
      </c>
      <c r="B1466">
        <f>IFERROR(INDEX('Shopify Import'!$A:$CZ,1466,Settings!$E$21)&amp;"","")</f>
        <v/>
      </c>
      <c r="C1466">
        <f>IFERROR(INDEX('Shopify Import'!$A:$CZ,1466,Settings!$E$22)&amp;"","")</f>
        <v/>
      </c>
      <c r="D1466">
        <f>IF(A1466="","",IFERROR(VALUE(SUBSTITUTE(SUBSTITUTE(INDEX('Shopify Import'!$A:$CZ,1466,Settings!$E$23)&amp;"","$",""),",","")),0))</f>
        <v/>
      </c>
      <c r="E1466" s="11">
        <f>IF(A1466="","",IFERROR(VALUE(SUBSTITUTE(SUBSTITUTE(INDEX('Shopify Import'!$A:$CZ,1466,Settings!$E$24)&amp;"","$",""),",","")),0))</f>
        <v/>
      </c>
      <c r="F1466" s="11">
        <f>IF(A1466="","",D1466*E1466)</f>
        <v/>
      </c>
      <c r="G1466">
        <f>IF(A1466="","",IF(C1466="",1,COUNTIF($C$2:$C$1501,C1466)))</f>
        <v/>
      </c>
      <c r="H1466" s="11">
        <f>IF(A1466="","",IFERROR(VALUE(SUBSTITUTE(SUBSTITUTE(INDEX('Shopify Import'!$A:$CZ,1466,Settings!$E$25)&amp;"","$",""),",","")),0)/IF(Settings!$D$27="Yes",G1466,1))</f>
        <v/>
      </c>
      <c r="I1466" s="11">
        <f>IF(A1466="","",IFERROR(VALUE(SUBSTITUTE(SUBSTITUTE(INDEX('Shopify Import'!$A:$CZ,1466,Settings!$E$26)&amp;"","$",""),",","")),0)/IF(Settings!$D$27="Yes",G1466,1))</f>
        <v/>
      </c>
      <c r="J1466" s="11">
        <f>IF(A1466="","",F1466+H1466-I1466)</f>
        <v/>
      </c>
      <c r="K1466">
        <f>IF(A1466="","",IFERROR(IF(B1466="",NA(),MATCH(B1466,Products!$B$5:$B$204,0)),IFERROR(MATCH(A1466,Products!$A$5:$A$204,0),"")))</f>
        <v/>
      </c>
      <c r="L1466">
        <f>IF(A1466="","",IF(K1466="","⚠ not in Products",INDEX(Products!$A$5:$A$204,K1466)))</f>
        <v/>
      </c>
      <c r="M1466" s="11">
        <f>IF(A1466="","",J1466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1466+IFERROR(INDEX(Settings!$D$5:$D$9,MATCH("Shopify",Settings!$A$5:$A$9,0)),0)*D1466)</f>
        <v/>
      </c>
      <c r="N1466" s="11">
        <f>IF(A1466="","",IF(K1466="",0,D1466*INDEX(Products!$I$5:$I$204,K1466)))</f>
        <v/>
      </c>
      <c r="O1466" s="11">
        <f>IF(A1466="","",IF(K1466="",0,J1466*INDEX(Products!$H$5:$H$204,K1466)))</f>
        <v/>
      </c>
      <c r="P1466" s="11">
        <f>IF(A1466="","",J1466-M1466-N1466-O1466)</f>
        <v/>
      </c>
    </row>
    <row r="1467">
      <c r="A1467">
        <f>IFERROR(INDEX('Shopify Import'!$A:$CZ,1467,Settings!$E$20)&amp;"","")</f>
        <v/>
      </c>
      <c r="B1467">
        <f>IFERROR(INDEX('Shopify Import'!$A:$CZ,1467,Settings!$E$21)&amp;"","")</f>
        <v/>
      </c>
      <c r="C1467">
        <f>IFERROR(INDEX('Shopify Import'!$A:$CZ,1467,Settings!$E$22)&amp;"","")</f>
        <v/>
      </c>
      <c r="D1467">
        <f>IF(A1467="","",IFERROR(VALUE(SUBSTITUTE(SUBSTITUTE(INDEX('Shopify Import'!$A:$CZ,1467,Settings!$E$23)&amp;"","$",""),",","")),0))</f>
        <v/>
      </c>
      <c r="E1467" s="11">
        <f>IF(A1467="","",IFERROR(VALUE(SUBSTITUTE(SUBSTITUTE(INDEX('Shopify Import'!$A:$CZ,1467,Settings!$E$24)&amp;"","$",""),",","")),0))</f>
        <v/>
      </c>
      <c r="F1467" s="11">
        <f>IF(A1467="","",D1467*E1467)</f>
        <v/>
      </c>
      <c r="G1467">
        <f>IF(A1467="","",IF(C1467="",1,COUNTIF($C$2:$C$1501,C1467)))</f>
        <v/>
      </c>
      <c r="H1467" s="11">
        <f>IF(A1467="","",IFERROR(VALUE(SUBSTITUTE(SUBSTITUTE(INDEX('Shopify Import'!$A:$CZ,1467,Settings!$E$25)&amp;"","$",""),",","")),0)/IF(Settings!$D$27="Yes",G1467,1))</f>
        <v/>
      </c>
      <c r="I1467" s="11">
        <f>IF(A1467="","",IFERROR(VALUE(SUBSTITUTE(SUBSTITUTE(INDEX('Shopify Import'!$A:$CZ,1467,Settings!$E$26)&amp;"","$",""),",","")),0)/IF(Settings!$D$27="Yes",G1467,1))</f>
        <v/>
      </c>
      <c r="J1467" s="11">
        <f>IF(A1467="","",F1467+H1467-I1467)</f>
        <v/>
      </c>
      <c r="K1467">
        <f>IF(A1467="","",IFERROR(IF(B1467="",NA(),MATCH(B1467,Products!$B$5:$B$204,0)),IFERROR(MATCH(A1467,Products!$A$5:$A$204,0),"")))</f>
        <v/>
      </c>
      <c r="L1467">
        <f>IF(A1467="","",IF(K1467="","⚠ not in Products",INDEX(Products!$A$5:$A$204,K1467)))</f>
        <v/>
      </c>
      <c r="M1467" s="11">
        <f>IF(A1467="","",J1467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1467+IFERROR(INDEX(Settings!$D$5:$D$9,MATCH("Shopify",Settings!$A$5:$A$9,0)),0)*D1467)</f>
        <v/>
      </c>
      <c r="N1467" s="11">
        <f>IF(A1467="","",IF(K1467="",0,D1467*INDEX(Products!$I$5:$I$204,K1467)))</f>
        <v/>
      </c>
      <c r="O1467" s="11">
        <f>IF(A1467="","",IF(K1467="",0,J1467*INDEX(Products!$H$5:$H$204,K1467)))</f>
        <v/>
      </c>
      <c r="P1467" s="11">
        <f>IF(A1467="","",J1467-M1467-N1467-O1467)</f>
        <v/>
      </c>
    </row>
    <row r="1468">
      <c r="A1468">
        <f>IFERROR(INDEX('Shopify Import'!$A:$CZ,1468,Settings!$E$20)&amp;"","")</f>
        <v/>
      </c>
      <c r="B1468">
        <f>IFERROR(INDEX('Shopify Import'!$A:$CZ,1468,Settings!$E$21)&amp;"","")</f>
        <v/>
      </c>
      <c r="C1468">
        <f>IFERROR(INDEX('Shopify Import'!$A:$CZ,1468,Settings!$E$22)&amp;"","")</f>
        <v/>
      </c>
      <c r="D1468">
        <f>IF(A1468="","",IFERROR(VALUE(SUBSTITUTE(SUBSTITUTE(INDEX('Shopify Import'!$A:$CZ,1468,Settings!$E$23)&amp;"","$",""),",","")),0))</f>
        <v/>
      </c>
      <c r="E1468" s="11">
        <f>IF(A1468="","",IFERROR(VALUE(SUBSTITUTE(SUBSTITUTE(INDEX('Shopify Import'!$A:$CZ,1468,Settings!$E$24)&amp;"","$",""),",","")),0))</f>
        <v/>
      </c>
      <c r="F1468" s="11">
        <f>IF(A1468="","",D1468*E1468)</f>
        <v/>
      </c>
      <c r="G1468">
        <f>IF(A1468="","",IF(C1468="",1,COUNTIF($C$2:$C$1501,C1468)))</f>
        <v/>
      </c>
      <c r="H1468" s="11">
        <f>IF(A1468="","",IFERROR(VALUE(SUBSTITUTE(SUBSTITUTE(INDEX('Shopify Import'!$A:$CZ,1468,Settings!$E$25)&amp;"","$",""),",","")),0)/IF(Settings!$D$27="Yes",G1468,1))</f>
        <v/>
      </c>
      <c r="I1468" s="11">
        <f>IF(A1468="","",IFERROR(VALUE(SUBSTITUTE(SUBSTITUTE(INDEX('Shopify Import'!$A:$CZ,1468,Settings!$E$26)&amp;"","$",""),",","")),0)/IF(Settings!$D$27="Yes",G1468,1))</f>
        <v/>
      </c>
      <c r="J1468" s="11">
        <f>IF(A1468="","",F1468+H1468-I1468)</f>
        <v/>
      </c>
      <c r="K1468">
        <f>IF(A1468="","",IFERROR(IF(B1468="",NA(),MATCH(B1468,Products!$B$5:$B$204,0)),IFERROR(MATCH(A1468,Products!$A$5:$A$204,0),"")))</f>
        <v/>
      </c>
      <c r="L1468">
        <f>IF(A1468="","",IF(K1468="","⚠ not in Products",INDEX(Products!$A$5:$A$204,K1468)))</f>
        <v/>
      </c>
      <c r="M1468" s="11">
        <f>IF(A1468="","",J1468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1468+IFERROR(INDEX(Settings!$D$5:$D$9,MATCH("Shopify",Settings!$A$5:$A$9,0)),0)*D1468)</f>
        <v/>
      </c>
      <c r="N1468" s="11">
        <f>IF(A1468="","",IF(K1468="",0,D1468*INDEX(Products!$I$5:$I$204,K1468)))</f>
        <v/>
      </c>
      <c r="O1468" s="11">
        <f>IF(A1468="","",IF(K1468="",0,J1468*INDEX(Products!$H$5:$H$204,K1468)))</f>
        <v/>
      </c>
      <c r="P1468" s="11">
        <f>IF(A1468="","",J1468-M1468-N1468-O1468)</f>
        <v/>
      </c>
    </row>
    <row r="1469">
      <c r="A1469">
        <f>IFERROR(INDEX('Shopify Import'!$A:$CZ,1469,Settings!$E$20)&amp;"","")</f>
        <v/>
      </c>
      <c r="B1469">
        <f>IFERROR(INDEX('Shopify Import'!$A:$CZ,1469,Settings!$E$21)&amp;"","")</f>
        <v/>
      </c>
      <c r="C1469">
        <f>IFERROR(INDEX('Shopify Import'!$A:$CZ,1469,Settings!$E$22)&amp;"","")</f>
        <v/>
      </c>
      <c r="D1469">
        <f>IF(A1469="","",IFERROR(VALUE(SUBSTITUTE(SUBSTITUTE(INDEX('Shopify Import'!$A:$CZ,1469,Settings!$E$23)&amp;"","$",""),",","")),0))</f>
        <v/>
      </c>
      <c r="E1469" s="11">
        <f>IF(A1469="","",IFERROR(VALUE(SUBSTITUTE(SUBSTITUTE(INDEX('Shopify Import'!$A:$CZ,1469,Settings!$E$24)&amp;"","$",""),",","")),0))</f>
        <v/>
      </c>
      <c r="F1469" s="11">
        <f>IF(A1469="","",D1469*E1469)</f>
        <v/>
      </c>
      <c r="G1469">
        <f>IF(A1469="","",IF(C1469="",1,COUNTIF($C$2:$C$1501,C1469)))</f>
        <v/>
      </c>
      <c r="H1469" s="11">
        <f>IF(A1469="","",IFERROR(VALUE(SUBSTITUTE(SUBSTITUTE(INDEX('Shopify Import'!$A:$CZ,1469,Settings!$E$25)&amp;"","$",""),",","")),0)/IF(Settings!$D$27="Yes",G1469,1))</f>
        <v/>
      </c>
      <c r="I1469" s="11">
        <f>IF(A1469="","",IFERROR(VALUE(SUBSTITUTE(SUBSTITUTE(INDEX('Shopify Import'!$A:$CZ,1469,Settings!$E$26)&amp;"","$",""),",","")),0)/IF(Settings!$D$27="Yes",G1469,1))</f>
        <v/>
      </c>
      <c r="J1469" s="11">
        <f>IF(A1469="","",F1469+H1469-I1469)</f>
        <v/>
      </c>
      <c r="K1469">
        <f>IF(A1469="","",IFERROR(IF(B1469="",NA(),MATCH(B1469,Products!$B$5:$B$204,0)),IFERROR(MATCH(A1469,Products!$A$5:$A$204,0),"")))</f>
        <v/>
      </c>
      <c r="L1469">
        <f>IF(A1469="","",IF(K1469="","⚠ not in Products",INDEX(Products!$A$5:$A$204,K1469)))</f>
        <v/>
      </c>
      <c r="M1469" s="11">
        <f>IF(A1469="","",J1469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1469+IFERROR(INDEX(Settings!$D$5:$D$9,MATCH("Shopify",Settings!$A$5:$A$9,0)),0)*D1469)</f>
        <v/>
      </c>
      <c r="N1469" s="11">
        <f>IF(A1469="","",IF(K1469="",0,D1469*INDEX(Products!$I$5:$I$204,K1469)))</f>
        <v/>
      </c>
      <c r="O1469" s="11">
        <f>IF(A1469="","",IF(K1469="",0,J1469*INDEX(Products!$H$5:$H$204,K1469)))</f>
        <v/>
      </c>
      <c r="P1469" s="11">
        <f>IF(A1469="","",J1469-M1469-N1469-O1469)</f>
        <v/>
      </c>
    </row>
    <row r="1470">
      <c r="A1470">
        <f>IFERROR(INDEX('Shopify Import'!$A:$CZ,1470,Settings!$E$20)&amp;"","")</f>
        <v/>
      </c>
      <c r="B1470">
        <f>IFERROR(INDEX('Shopify Import'!$A:$CZ,1470,Settings!$E$21)&amp;"","")</f>
        <v/>
      </c>
      <c r="C1470">
        <f>IFERROR(INDEX('Shopify Import'!$A:$CZ,1470,Settings!$E$22)&amp;"","")</f>
        <v/>
      </c>
      <c r="D1470">
        <f>IF(A1470="","",IFERROR(VALUE(SUBSTITUTE(SUBSTITUTE(INDEX('Shopify Import'!$A:$CZ,1470,Settings!$E$23)&amp;"","$",""),",","")),0))</f>
        <v/>
      </c>
      <c r="E1470" s="11">
        <f>IF(A1470="","",IFERROR(VALUE(SUBSTITUTE(SUBSTITUTE(INDEX('Shopify Import'!$A:$CZ,1470,Settings!$E$24)&amp;"","$",""),",","")),0))</f>
        <v/>
      </c>
      <c r="F1470" s="11">
        <f>IF(A1470="","",D1470*E1470)</f>
        <v/>
      </c>
      <c r="G1470">
        <f>IF(A1470="","",IF(C1470="",1,COUNTIF($C$2:$C$1501,C1470)))</f>
        <v/>
      </c>
      <c r="H1470" s="11">
        <f>IF(A1470="","",IFERROR(VALUE(SUBSTITUTE(SUBSTITUTE(INDEX('Shopify Import'!$A:$CZ,1470,Settings!$E$25)&amp;"","$",""),",","")),0)/IF(Settings!$D$27="Yes",G1470,1))</f>
        <v/>
      </c>
      <c r="I1470" s="11">
        <f>IF(A1470="","",IFERROR(VALUE(SUBSTITUTE(SUBSTITUTE(INDEX('Shopify Import'!$A:$CZ,1470,Settings!$E$26)&amp;"","$",""),",","")),0)/IF(Settings!$D$27="Yes",G1470,1))</f>
        <v/>
      </c>
      <c r="J1470" s="11">
        <f>IF(A1470="","",F1470+H1470-I1470)</f>
        <v/>
      </c>
      <c r="K1470">
        <f>IF(A1470="","",IFERROR(IF(B1470="",NA(),MATCH(B1470,Products!$B$5:$B$204,0)),IFERROR(MATCH(A1470,Products!$A$5:$A$204,0),"")))</f>
        <v/>
      </c>
      <c r="L1470">
        <f>IF(A1470="","",IF(K1470="","⚠ not in Products",INDEX(Products!$A$5:$A$204,K1470)))</f>
        <v/>
      </c>
      <c r="M1470" s="11">
        <f>IF(A1470="","",J1470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1470+IFERROR(INDEX(Settings!$D$5:$D$9,MATCH("Shopify",Settings!$A$5:$A$9,0)),0)*D1470)</f>
        <v/>
      </c>
      <c r="N1470" s="11">
        <f>IF(A1470="","",IF(K1470="",0,D1470*INDEX(Products!$I$5:$I$204,K1470)))</f>
        <v/>
      </c>
      <c r="O1470" s="11">
        <f>IF(A1470="","",IF(K1470="",0,J1470*INDEX(Products!$H$5:$H$204,K1470)))</f>
        <v/>
      </c>
      <c r="P1470" s="11">
        <f>IF(A1470="","",J1470-M1470-N1470-O1470)</f>
        <v/>
      </c>
    </row>
    <row r="1471">
      <c r="A1471">
        <f>IFERROR(INDEX('Shopify Import'!$A:$CZ,1471,Settings!$E$20)&amp;"","")</f>
        <v/>
      </c>
      <c r="B1471">
        <f>IFERROR(INDEX('Shopify Import'!$A:$CZ,1471,Settings!$E$21)&amp;"","")</f>
        <v/>
      </c>
      <c r="C1471">
        <f>IFERROR(INDEX('Shopify Import'!$A:$CZ,1471,Settings!$E$22)&amp;"","")</f>
        <v/>
      </c>
      <c r="D1471">
        <f>IF(A1471="","",IFERROR(VALUE(SUBSTITUTE(SUBSTITUTE(INDEX('Shopify Import'!$A:$CZ,1471,Settings!$E$23)&amp;"","$",""),",","")),0))</f>
        <v/>
      </c>
      <c r="E1471" s="11">
        <f>IF(A1471="","",IFERROR(VALUE(SUBSTITUTE(SUBSTITUTE(INDEX('Shopify Import'!$A:$CZ,1471,Settings!$E$24)&amp;"","$",""),",","")),0))</f>
        <v/>
      </c>
      <c r="F1471" s="11">
        <f>IF(A1471="","",D1471*E1471)</f>
        <v/>
      </c>
      <c r="G1471">
        <f>IF(A1471="","",IF(C1471="",1,COUNTIF($C$2:$C$1501,C1471)))</f>
        <v/>
      </c>
      <c r="H1471" s="11">
        <f>IF(A1471="","",IFERROR(VALUE(SUBSTITUTE(SUBSTITUTE(INDEX('Shopify Import'!$A:$CZ,1471,Settings!$E$25)&amp;"","$",""),",","")),0)/IF(Settings!$D$27="Yes",G1471,1))</f>
        <v/>
      </c>
      <c r="I1471" s="11">
        <f>IF(A1471="","",IFERROR(VALUE(SUBSTITUTE(SUBSTITUTE(INDEX('Shopify Import'!$A:$CZ,1471,Settings!$E$26)&amp;"","$",""),",","")),0)/IF(Settings!$D$27="Yes",G1471,1))</f>
        <v/>
      </c>
      <c r="J1471" s="11">
        <f>IF(A1471="","",F1471+H1471-I1471)</f>
        <v/>
      </c>
      <c r="K1471">
        <f>IF(A1471="","",IFERROR(IF(B1471="",NA(),MATCH(B1471,Products!$B$5:$B$204,0)),IFERROR(MATCH(A1471,Products!$A$5:$A$204,0),"")))</f>
        <v/>
      </c>
      <c r="L1471">
        <f>IF(A1471="","",IF(K1471="","⚠ not in Products",INDEX(Products!$A$5:$A$204,K1471)))</f>
        <v/>
      </c>
      <c r="M1471" s="11">
        <f>IF(A1471="","",J1471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1471+IFERROR(INDEX(Settings!$D$5:$D$9,MATCH("Shopify",Settings!$A$5:$A$9,0)),0)*D1471)</f>
        <v/>
      </c>
      <c r="N1471" s="11">
        <f>IF(A1471="","",IF(K1471="",0,D1471*INDEX(Products!$I$5:$I$204,K1471)))</f>
        <v/>
      </c>
      <c r="O1471" s="11">
        <f>IF(A1471="","",IF(K1471="",0,J1471*INDEX(Products!$H$5:$H$204,K1471)))</f>
        <v/>
      </c>
      <c r="P1471" s="11">
        <f>IF(A1471="","",J1471-M1471-N1471-O1471)</f>
        <v/>
      </c>
    </row>
    <row r="1472">
      <c r="A1472">
        <f>IFERROR(INDEX('Shopify Import'!$A:$CZ,1472,Settings!$E$20)&amp;"","")</f>
        <v/>
      </c>
      <c r="B1472">
        <f>IFERROR(INDEX('Shopify Import'!$A:$CZ,1472,Settings!$E$21)&amp;"","")</f>
        <v/>
      </c>
      <c r="C1472">
        <f>IFERROR(INDEX('Shopify Import'!$A:$CZ,1472,Settings!$E$22)&amp;"","")</f>
        <v/>
      </c>
      <c r="D1472">
        <f>IF(A1472="","",IFERROR(VALUE(SUBSTITUTE(SUBSTITUTE(INDEX('Shopify Import'!$A:$CZ,1472,Settings!$E$23)&amp;"","$",""),",","")),0))</f>
        <v/>
      </c>
      <c r="E1472" s="11">
        <f>IF(A1472="","",IFERROR(VALUE(SUBSTITUTE(SUBSTITUTE(INDEX('Shopify Import'!$A:$CZ,1472,Settings!$E$24)&amp;"","$",""),",","")),0))</f>
        <v/>
      </c>
      <c r="F1472" s="11">
        <f>IF(A1472="","",D1472*E1472)</f>
        <v/>
      </c>
      <c r="G1472">
        <f>IF(A1472="","",IF(C1472="",1,COUNTIF($C$2:$C$1501,C1472)))</f>
        <v/>
      </c>
      <c r="H1472" s="11">
        <f>IF(A1472="","",IFERROR(VALUE(SUBSTITUTE(SUBSTITUTE(INDEX('Shopify Import'!$A:$CZ,1472,Settings!$E$25)&amp;"","$",""),",","")),0)/IF(Settings!$D$27="Yes",G1472,1))</f>
        <v/>
      </c>
      <c r="I1472" s="11">
        <f>IF(A1472="","",IFERROR(VALUE(SUBSTITUTE(SUBSTITUTE(INDEX('Shopify Import'!$A:$CZ,1472,Settings!$E$26)&amp;"","$",""),",","")),0)/IF(Settings!$D$27="Yes",G1472,1))</f>
        <v/>
      </c>
      <c r="J1472" s="11">
        <f>IF(A1472="","",F1472+H1472-I1472)</f>
        <v/>
      </c>
      <c r="K1472">
        <f>IF(A1472="","",IFERROR(IF(B1472="",NA(),MATCH(B1472,Products!$B$5:$B$204,0)),IFERROR(MATCH(A1472,Products!$A$5:$A$204,0),"")))</f>
        <v/>
      </c>
      <c r="L1472">
        <f>IF(A1472="","",IF(K1472="","⚠ not in Products",INDEX(Products!$A$5:$A$204,K1472)))</f>
        <v/>
      </c>
      <c r="M1472" s="11">
        <f>IF(A1472="","",J1472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1472+IFERROR(INDEX(Settings!$D$5:$D$9,MATCH("Shopify",Settings!$A$5:$A$9,0)),0)*D1472)</f>
        <v/>
      </c>
      <c r="N1472" s="11">
        <f>IF(A1472="","",IF(K1472="",0,D1472*INDEX(Products!$I$5:$I$204,K1472)))</f>
        <v/>
      </c>
      <c r="O1472" s="11">
        <f>IF(A1472="","",IF(K1472="",0,J1472*INDEX(Products!$H$5:$H$204,K1472)))</f>
        <v/>
      </c>
      <c r="P1472" s="11">
        <f>IF(A1472="","",J1472-M1472-N1472-O1472)</f>
        <v/>
      </c>
    </row>
    <row r="1473">
      <c r="A1473">
        <f>IFERROR(INDEX('Shopify Import'!$A:$CZ,1473,Settings!$E$20)&amp;"","")</f>
        <v/>
      </c>
      <c r="B1473">
        <f>IFERROR(INDEX('Shopify Import'!$A:$CZ,1473,Settings!$E$21)&amp;"","")</f>
        <v/>
      </c>
      <c r="C1473">
        <f>IFERROR(INDEX('Shopify Import'!$A:$CZ,1473,Settings!$E$22)&amp;"","")</f>
        <v/>
      </c>
      <c r="D1473">
        <f>IF(A1473="","",IFERROR(VALUE(SUBSTITUTE(SUBSTITUTE(INDEX('Shopify Import'!$A:$CZ,1473,Settings!$E$23)&amp;"","$",""),",","")),0))</f>
        <v/>
      </c>
      <c r="E1473" s="11">
        <f>IF(A1473="","",IFERROR(VALUE(SUBSTITUTE(SUBSTITUTE(INDEX('Shopify Import'!$A:$CZ,1473,Settings!$E$24)&amp;"","$",""),",","")),0))</f>
        <v/>
      </c>
      <c r="F1473" s="11">
        <f>IF(A1473="","",D1473*E1473)</f>
        <v/>
      </c>
      <c r="G1473">
        <f>IF(A1473="","",IF(C1473="",1,COUNTIF($C$2:$C$1501,C1473)))</f>
        <v/>
      </c>
      <c r="H1473" s="11">
        <f>IF(A1473="","",IFERROR(VALUE(SUBSTITUTE(SUBSTITUTE(INDEX('Shopify Import'!$A:$CZ,1473,Settings!$E$25)&amp;"","$",""),",","")),0)/IF(Settings!$D$27="Yes",G1473,1))</f>
        <v/>
      </c>
      <c r="I1473" s="11">
        <f>IF(A1473="","",IFERROR(VALUE(SUBSTITUTE(SUBSTITUTE(INDEX('Shopify Import'!$A:$CZ,1473,Settings!$E$26)&amp;"","$",""),",","")),0)/IF(Settings!$D$27="Yes",G1473,1))</f>
        <v/>
      </c>
      <c r="J1473" s="11">
        <f>IF(A1473="","",F1473+H1473-I1473)</f>
        <v/>
      </c>
      <c r="K1473">
        <f>IF(A1473="","",IFERROR(IF(B1473="",NA(),MATCH(B1473,Products!$B$5:$B$204,0)),IFERROR(MATCH(A1473,Products!$A$5:$A$204,0),"")))</f>
        <v/>
      </c>
      <c r="L1473">
        <f>IF(A1473="","",IF(K1473="","⚠ not in Products",INDEX(Products!$A$5:$A$204,K1473)))</f>
        <v/>
      </c>
      <c r="M1473" s="11">
        <f>IF(A1473="","",J1473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1473+IFERROR(INDEX(Settings!$D$5:$D$9,MATCH("Shopify",Settings!$A$5:$A$9,0)),0)*D1473)</f>
        <v/>
      </c>
      <c r="N1473" s="11">
        <f>IF(A1473="","",IF(K1473="",0,D1473*INDEX(Products!$I$5:$I$204,K1473)))</f>
        <v/>
      </c>
      <c r="O1473" s="11">
        <f>IF(A1473="","",IF(K1473="",0,J1473*INDEX(Products!$H$5:$H$204,K1473)))</f>
        <v/>
      </c>
      <c r="P1473" s="11">
        <f>IF(A1473="","",J1473-M1473-N1473-O1473)</f>
        <v/>
      </c>
    </row>
    <row r="1474">
      <c r="A1474">
        <f>IFERROR(INDEX('Shopify Import'!$A:$CZ,1474,Settings!$E$20)&amp;"","")</f>
        <v/>
      </c>
      <c r="B1474">
        <f>IFERROR(INDEX('Shopify Import'!$A:$CZ,1474,Settings!$E$21)&amp;"","")</f>
        <v/>
      </c>
      <c r="C1474">
        <f>IFERROR(INDEX('Shopify Import'!$A:$CZ,1474,Settings!$E$22)&amp;"","")</f>
        <v/>
      </c>
      <c r="D1474">
        <f>IF(A1474="","",IFERROR(VALUE(SUBSTITUTE(SUBSTITUTE(INDEX('Shopify Import'!$A:$CZ,1474,Settings!$E$23)&amp;"","$",""),",","")),0))</f>
        <v/>
      </c>
      <c r="E1474" s="11">
        <f>IF(A1474="","",IFERROR(VALUE(SUBSTITUTE(SUBSTITUTE(INDEX('Shopify Import'!$A:$CZ,1474,Settings!$E$24)&amp;"","$",""),",","")),0))</f>
        <v/>
      </c>
      <c r="F1474" s="11">
        <f>IF(A1474="","",D1474*E1474)</f>
        <v/>
      </c>
      <c r="G1474">
        <f>IF(A1474="","",IF(C1474="",1,COUNTIF($C$2:$C$1501,C1474)))</f>
        <v/>
      </c>
      <c r="H1474" s="11">
        <f>IF(A1474="","",IFERROR(VALUE(SUBSTITUTE(SUBSTITUTE(INDEX('Shopify Import'!$A:$CZ,1474,Settings!$E$25)&amp;"","$",""),",","")),0)/IF(Settings!$D$27="Yes",G1474,1))</f>
        <v/>
      </c>
      <c r="I1474" s="11">
        <f>IF(A1474="","",IFERROR(VALUE(SUBSTITUTE(SUBSTITUTE(INDEX('Shopify Import'!$A:$CZ,1474,Settings!$E$26)&amp;"","$",""),",","")),0)/IF(Settings!$D$27="Yes",G1474,1))</f>
        <v/>
      </c>
      <c r="J1474" s="11">
        <f>IF(A1474="","",F1474+H1474-I1474)</f>
        <v/>
      </c>
      <c r="K1474">
        <f>IF(A1474="","",IFERROR(IF(B1474="",NA(),MATCH(B1474,Products!$B$5:$B$204,0)),IFERROR(MATCH(A1474,Products!$A$5:$A$204,0),"")))</f>
        <v/>
      </c>
      <c r="L1474">
        <f>IF(A1474="","",IF(K1474="","⚠ not in Products",INDEX(Products!$A$5:$A$204,K1474)))</f>
        <v/>
      </c>
      <c r="M1474" s="11">
        <f>IF(A1474="","",J1474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1474+IFERROR(INDEX(Settings!$D$5:$D$9,MATCH("Shopify",Settings!$A$5:$A$9,0)),0)*D1474)</f>
        <v/>
      </c>
      <c r="N1474" s="11">
        <f>IF(A1474="","",IF(K1474="",0,D1474*INDEX(Products!$I$5:$I$204,K1474)))</f>
        <v/>
      </c>
      <c r="O1474" s="11">
        <f>IF(A1474="","",IF(K1474="",0,J1474*INDEX(Products!$H$5:$H$204,K1474)))</f>
        <v/>
      </c>
      <c r="P1474" s="11">
        <f>IF(A1474="","",J1474-M1474-N1474-O1474)</f>
        <v/>
      </c>
    </row>
    <row r="1475">
      <c r="A1475">
        <f>IFERROR(INDEX('Shopify Import'!$A:$CZ,1475,Settings!$E$20)&amp;"","")</f>
        <v/>
      </c>
      <c r="B1475">
        <f>IFERROR(INDEX('Shopify Import'!$A:$CZ,1475,Settings!$E$21)&amp;"","")</f>
        <v/>
      </c>
      <c r="C1475">
        <f>IFERROR(INDEX('Shopify Import'!$A:$CZ,1475,Settings!$E$22)&amp;"","")</f>
        <v/>
      </c>
      <c r="D1475">
        <f>IF(A1475="","",IFERROR(VALUE(SUBSTITUTE(SUBSTITUTE(INDEX('Shopify Import'!$A:$CZ,1475,Settings!$E$23)&amp;"","$",""),",","")),0))</f>
        <v/>
      </c>
      <c r="E1475" s="11">
        <f>IF(A1475="","",IFERROR(VALUE(SUBSTITUTE(SUBSTITUTE(INDEX('Shopify Import'!$A:$CZ,1475,Settings!$E$24)&amp;"","$",""),",","")),0))</f>
        <v/>
      </c>
      <c r="F1475" s="11">
        <f>IF(A1475="","",D1475*E1475)</f>
        <v/>
      </c>
      <c r="G1475">
        <f>IF(A1475="","",IF(C1475="",1,COUNTIF($C$2:$C$1501,C1475)))</f>
        <v/>
      </c>
      <c r="H1475" s="11">
        <f>IF(A1475="","",IFERROR(VALUE(SUBSTITUTE(SUBSTITUTE(INDEX('Shopify Import'!$A:$CZ,1475,Settings!$E$25)&amp;"","$",""),",","")),0)/IF(Settings!$D$27="Yes",G1475,1))</f>
        <v/>
      </c>
      <c r="I1475" s="11">
        <f>IF(A1475="","",IFERROR(VALUE(SUBSTITUTE(SUBSTITUTE(INDEX('Shopify Import'!$A:$CZ,1475,Settings!$E$26)&amp;"","$",""),",","")),0)/IF(Settings!$D$27="Yes",G1475,1))</f>
        <v/>
      </c>
      <c r="J1475" s="11">
        <f>IF(A1475="","",F1475+H1475-I1475)</f>
        <v/>
      </c>
      <c r="K1475">
        <f>IF(A1475="","",IFERROR(IF(B1475="",NA(),MATCH(B1475,Products!$B$5:$B$204,0)),IFERROR(MATCH(A1475,Products!$A$5:$A$204,0),"")))</f>
        <v/>
      </c>
      <c r="L1475">
        <f>IF(A1475="","",IF(K1475="","⚠ not in Products",INDEX(Products!$A$5:$A$204,K1475)))</f>
        <v/>
      </c>
      <c r="M1475" s="11">
        <f>IF(A1475="","",J1475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1475+IFERROR(INDEX(Settings!$D$5:$D$9,MATCH("Shopify",Settings!$A$5:$A$9,0)),0)*D1475)</f>
        <v/>
      </c>
      <c r="N1475" s="11">
        <f>IF(A1475="","",IF(K1475="",0,D1475*INDEX(Products!$I$5:$I$204,K1475)))</f>
        <v/>
      </c>
      <c r="O1475" s="11">
        <f>IF(A1475="","",IF(K1475="",0,J1475*INDEX(Products!$H$5:$H$204,K1475)))</f>
        <v/>
      </c>
      <c r="P1475" s="11">
        <f>IF(A1475="","",J1475-M1475-N1475-O1475)</f>
        <v/>
      </c>
    </row>
    <row r="1476">
      <c r="A1476">
        <f>IFERROR(INDEX('Shopify Import'!$A:$CZ,1476,Settings!$E$20)&amp;"","")</f>
        <v/>
      </c>
      <c r="B1476">
        <f>IFERROR(INDEX('Shopify Import'!$A:$CZ,1476,Settings!$E$21)&amp;"","")</f>
        <v/>
      </c>
      <c r="C1476">
        <f>IFERROR(INDEX('Shopify Import'!$A:$CZ,1476,Settings!$E$22)&amp;"","")</f>
        <v/>
      </c>
      <c r="D1476">
        <f>IF(A1476="","",IFERROR(VALUE(SUBSTITUTE(SUBSTITUTE(INDEX('Shopify Import'!$A:$CZ,1476,Settings!$E$23)&amp;"","$",""),",","")),0))</f>
        <v/>
      </c>
      <c r="E1476" s="11">
        <f>IF(A1476="","",IFERROR(VALUE(SUBSTITUTE(SUBSTITUTE(INDEX('Shopify Import'!$A:$CZ,1476,Settings!$E$24)&amp;"","$",""),",","")),0))</f>
        <v/>
      </c>
      <c r="F1476" s="11">
        <f>IF(A1476="","",D1476*E1476)</f>
        <v/>
      </c>
      <c r="G1476">
        <f>IF(A1476="","",IF(C1476="",1,COUNTIF($C$2:$C$1501,C1476)))</f>
        <v/>
      </c>
      <c r="H1476" s="11">
        <f>IF(A1476="","",IFERROR(VALUE(SUBSTITUTE(SUBSTITUTE(INDEX('Shopify Import'!$A:$CZ,1476,Settings!$E$25)&amp;"","$",""),",","")),0)/IF(Settings!$D$27="Yes",G1476,1))</f>
        <v/>
      </c>
      <c r="I1476" s="11">
        <f>IF(A1476="","",IFERROR(VALUE(SUBSTITUTE(SUBSTITUTE(INDEX('Shopify Import'!$A:$CZ,1476,Settings!$E$26)&amp;"","$",""),",","")),0)/IF(Settings!$D$27="Yes",G1476,1))</f>
        <v/>
      </c>
      <c r="J1476" s="11">
        <f>IF(A1476="","",F1476+H1476-I1476)</f>
        <v/>
      </c>
      <c r="K1476">
        <f>IF(A1476="","",IFERROR(IF(B1476="",NA(),MATCH(B1476,Products!$B$5:$B$204,0)),IFERROR(MATCH(A1476,Products!$A$5:$A$204,0),"")))</f>
        <v/>
      </c>
      <c r="L1476">
        <f>IF(A1476="","",IF(K1476="","⚠ not in Products",INDEX(Products!$A$5:$A$204,K1476)))</f>
        <v/>
      </c>
      <c r="M1476" s="11">
        <f>IF(A1476="","",J1476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1476+IFERROR(INDEX(Settings!$D$5:$D$9,MATCH("Shopify",Settings!$A$5:$A$9,0)),0)*D1476)</f>
        <v/>
      </c>
      <c r="N1476" s="11">
        <f>IF(A1476="","",IF(K1476="",0,D1476*INDEX(Products!$I$5:$I$204,K1476)))</f>
        <v/>
      </c>
      <c r="O1476" s="11">
        <f>IF(A1476="","",IF(K1476="",0,J1476*INDEX(Products!$H$5:$H$204,K1476)))</f>
        <v/>
      </c>
      <c r="P1476" s="11">
        <f>IF(A1476="","",J1476-M1476-N1476-O1476)</f>
        <v/>
      </c>
    </row>
    <row r="1477">
      <c r="A1477">
        <f>IFERROR(INDEX('Shopify Import'!$A:$CZ,1477,Settings!$E$20)&amp;"","")</f>
        <v/>
      </c>
      <c r="B1477">
        <f>IFERROR(INDEX('Shopify Import'!$A:$CZ,1477,Settings!$E$21)&amp;"","")</f>
        <v/>
      </c>
      <c r="C1477">
        <f>IFERROR(INDEX('Shopify Import'!$A:$CZ,1477,Settings!$E$22)&amp;"","")</f>
        <v/>
      </c>
      <c r="D1477">
        <f>IF(A1477="","",IFERROR(VALUE(SUBSTITUTE(SUBSTITUTE(INDEX('Shopify Import'!$A:$CZ,1477,Settings!$E$23)&amp;"","$",""),",","")),0))</f>
        <v/>
      </c>
      <c r="E1477" s="11">
        <f>IF(A1477="","",IFERROR(VALUE(SUBSTITUTE(SUBSTITUTE(INDEX('Shopify Import'!$A:$CZ,1477,Settings!$E$24)&amp;"","$",""),",","")),0))</f>
        <v/>
      </c>
      <c r="F1477" s="11">
        <f>IF(A1477="","",D1477*E1477)</f>
        <v/>
      </c>
      <c r="G1477">
        <f>IF(A1477="","",IF(C1477="",1,COUNTIF($C$2:$C$1501,C1477)))</f>
        <v/>
      </c>
      <c r="H1477" s="11">
        <f>IF(A1477="","",IFERROR(VALUE(SUBSTITUTE(SUBSTITUTE(INDEX('Shopify Import'!$A:$CZ,1477,Settings!$E$25)&amp;"","$",""),",","")),0)/IF(Settings!$D$27="Yes",G1477,1))</f>
        <v/>
      </c>
      <c r="I1477" s="11">
        <f>IF(A1477="","",IFERROR(VALUE(SUBSTITUTE(SUBSTITUTE(INDEX('Shopify Import'!$A:$CZ,1477,Settings!$E$26)&amp;"","$",""),",","")),0)/IF(Settings!$D$27="Yes",G1477,1))</f>
        <v/>
      </c>
      <c r="J1477" s="11">
        <f>IF(A1477="","",F1477+H1477-I1477)</f>
        <v/>
      </c>
      <c r="K1477">
        <f>IF(A1477="","",IFERROR(IF(B1477="",NA(),MATCH(B1477,Products!$B$5:$B$204,0)),IFERROR(MATCH(A1477,Products!$A$5:$A$204,0),"")))</f>
        <v/>
      </c>
      <c r="L1477">
        <f>IF(A1477="","",IF(K1477="","⚠ not in Products",INDEX(Products!$A$5:$A$204,K1477)))</f>
        <v/>
      </c>
      <c r="M1477" s="11">
        <f>IF(A1477="","",J1477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1477+IFERROR(INDEX(Settings!$D$5:$D$9,MATCH("Shopify",Settings!$A$5:$A$9,0)),0)*D1477)</f>
        <v/>
      </c>
      <c r="N1477" s="11">
        <f>IF(A1477="","",IF(K1477="",0,D1477*INDEX(Products!$I$5:$I$204,K1477)))</f>
        <v/>
      </c>
      <c r="O1477" s="11">
        <f>IF(A1477="","",IF(K1477="",0,J1477*INDEX(Products!$H$5:$H$204,K1477)))</f>
        <v/>
      </c>
      <c r="P1477" s="11">
        <f>IF(A1477="","",J1477-M1477-N1477-O1477)</f>
        <v/>
      </c>
    </row>
    <row r="1478">
      <c r="A1478">
        <f>IFERROR(INDEX('Shopify Import'!$A:$CZ,1478,Settings!$E$20)&amp;"","")</f>
        <v/>
      </c>
      <c r="B1478">
        <f>IFERROR(INDEX('Shopify Import'!$A:$CZ,1478,Settings!$E$21)&amp;"","")</f>
        <v/>
      </c>
      <c r="C1478">
        <f>IFERROR(INDEX('Shopify Import'!$A:$CZ,1478,Settings!$E$22)&amp;"","")</f>
        <v/>
      </c>
      <c r="D1478">
        <f>IF(A1478="","",IFERROR(VALUE(SUBSTITUTE(SUBSTITUTE(INDEX('Shopify Import'!$A:$CZ,1478,Settings!$E$23)&amp;"","$",""),",","")),0))</f>
        <v/>
      </c>
      <c r="E1478" s="11">
        <f>IF(A1478="","",IFERROR(VALUE(SUBSTITUTE(SUBSTITUTE(INDEX('Shopify Import'!$A:$CZ,1478,Settings!$E$24)&amp;"","$",""),",","")),0))</f>
        <v/>
      </c>
      <c r="F1478" s="11">
        <f>IF(A1478="","",D1478*E1478)</f>
        <v/>
      </c>
      <c r="G1478">
        <f>IF(A1478="","",IF(C1478="",1,COUNTIF($C$2:$C$1501,C1478)))</f>
        <v/>
      </c>
      <c r="H1478" s="11">
        <f>IF(A1478="","",IFERROR(VALUE(SUBSTITUTE(SUBSTITUTE(INDEX('Shopify Import'!$A:$CZ,1478,Settings!$E$25)&amp;"","$",""),",","")),0)/IF(Settings!$D$27="Yes",G1478,1))</f>
        <v/>
      </c>
      <c r="I1478" s="11">
        <f>IF(A1478="","",IFERROR(VALUE(SUBSTITUTE(SUBSTITUTE(INDEX('Shopify Import'!$A:$CZ,1478,Settings!$E$26)&amp;"","$",""),",","")),0)/IF(Settings!$D$27="Yes",G1478,1))</f>
        <v/>
      </c>
      <c r="J1478" s="11">
        <f>IF(A1478="","",F1478+H1478-I1478)</f>
        <v/>
      </c>
      <c r="K1478">
        <f>IF(A1478="","",IFERROR(IF(B1478="",NA(),MATCH(B1478,Products!$B$5:$B$204,0)),IFERROR(MATCH(A1478,Products!$A$5:$A$204,0),"")))</f>
        <v/>
      </c>
      <c r="L1478">
        <f>IF(A1478="","",IF(K1478="","⚠ not in Products",INDEX(Products!$A$5:$A$204,K1478)))</f>
        <v/>
      </c>
      <c r="M1478" s="11">
        <f>IF(A1478="","",J1478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1478+IFERROR(INDEX(Settings!$D$5:$D$9,MATCH("Shopify",Settings!$A$5:$A$9,0)),0)*D1478)</f>
        <v/>
      </c>
      <c r="N1478" s="11">
        <f>IF(A1478="","",IF(K1478="",0,D1478*INDEX(Products!$I$5:$I$204,K1478)))</f>
        <v/>
      </c>
      <c r="O1478" s="11">
        <f>IF(A1478="","",IF(K1478="",0,J1478*INDEX(Products!$H$5:$H$204,K1478)))</f>
        <v/>
      </c>
      <c r="P1478" s="11">
        <f>IF(A1478="","",J1478-M1478-N1478-O1478)</f>
        <v/>
      </c>
    </row>
    <row r="1479">
      <c r="A1479">
        <f>IFERROR(INDEX('Shopify Import'!$A:$CZ,1479,Settings!$E$20)&amp;"","")</f>
        <v/>
      </c>
      <c r="B1479">
        <f>IFERROR(INDEX('Shopify Import'!$A:$CZ,1479,Settings!$E$21)&amp;"","")</f>
        <v/>
      </c>
      <c r="C1479">
        <f>IFERROR(INDEX('Shopify Import'!$A:$CZ,1479,Settings!$E$22)&amp;"","")</f>
        <v/>
      </c>
      <c r="D1479">
        <f>IF(A1479="","",IFERROR(VALUE(SUBSTITUTE(SUBSTITUTE(INDEX('Shopify Import'!$A:$CZ,1479,Settings!$E$23)&amp;"","$",""),",","")),0))</f>
        <v/>
      </c>
      <c r="E1479" s="11">
        <f>IF(A1479="","",IFERROR(VALUE(SUBSTITUTE(SUBSTITUTE(INDEX('Shopify Import'!$A:$CZ,1479,Settings!$E$24)&amp;"","$",""),",","")),0))</f>
        <v/>
      </c>
      <c r="F1479" s="11">
        <f>IF(A1479="","",D1479*E1479)</f>
        <v/>
      </c>
      <c r="G1479">
        <f>IF(A1479="","",IF(C1479="",1,COUNTIF($C$2:$C$1501,C1479)))</f>
        <v/>
      </c>
      <c r="H1479" s="11">
        <f>IF(A1479="","",IFERROR(VALUE(SUBSTITUTE(SUBSTITUTE(INDEX('Shopify Import'!$A:$CZ,1479,Settings!$E$25)&amp;"","$",""),",","")),0)/IF(Settings!$D$27="Yes",G1479,1))</f>
        <v/>
      </c>
      <c r="I1479" s="11">
        <f>IF(A1479="","",IFERROR(VALUE(SUBSTITUTE(SUBSTITUTE(INDEX('Shopify Import'!$A:$CZ,1479,Settings!$E$26)&amp;"","$",""),",","")),0)/IF(Settings!$D$27="Yes",G1479,1))</f>
        <v/>
      </c>
      <c r="J1479" s="11">
        <f>IF(A1479="","",F1479+H1479-I1479)</f>
        <v/>
      </c>
      <c r="K1479">
        <f>IF(A1479="","",IFERROR(IF(B1479="",NA(),MATCH(B1479,Products!$B$5:$B$204,0)),IFERROR(MATCH(A1479,Products!$A$5:$A$204,0),"")))</f>
        <v/>
      </c>
      <c r="L1479">
        <f>IF(A1479="","",IF(K1479="","⚠ not in Products",INDEX(Products!$A$5:$A$204,K1479)))</f>
        <v/>
      </c>
      <c r="M1479" s="11">
        <f>IF(A1479="","",J1479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1479+IFERROR(INDEX(Settings!$D$5:$D$9,MATCH("Shopify",Settings!$A$5:$A$9,0)),0)*D1479)</f>
        <v/>
      </c>
      <c r="N1479" s="11">
        <f>IF(A1479="","",IF(K1479="",0,D1479*INDEX(Products!$I$5:$I$204,K1479)))</f>
        <v/>
      </c>
      <c r="O1479" s="11">
        <f>IF(A1479="","",IF(K1479="",0,J1479*INDEX(Products!$H$5:$H$204,K1479)))</f>
        <v/>
      </c>
      <c r="P1479" s="11">
        <f>IF(A1479="","",J1479-M1479-N1479-O1479)</f>
        <v/>
      </c>
    </row>
    <row r="1480">
      <c r="A1480">
        <f>IFERROR(INDEX('Shopify Import'!$A:$CZ,1480,Settings!$E$20)&amp;"","")</f>
        <v/>
      </c>
      <c r="B1480">
        <f>IFERROR(INDEX('Shopify Import'!$A:$CZ,1480,Settings!$E$21)&amp;"","")</f>
        <v/>
      </c>
      <c r="C1480">
        <f>IFERROR(INDEX('Shopify Import'!$A:$CZ,1480,Settings!$E$22)&amp;"","")</f>
        <v/>
      </c>
      <c r="D1480">
        <f>IF(A1480="","",IFERROR(VALUE(SUBSTITUTE(SUBSTITUTE(INDEX('Shopify Import'!$A:$CZ,1480,Settings!$E$23)&amp;"","$",""),",","")),0))</f>
        <v/>
      </c>
      <c r="E1480" s="11">
        <f>IF(A1480="","",IFERROR(VALUE(SUBSTITUTE(SUBSTITUTE(INDEX('Shopify Import'!$A:$CZ,1480,Settings!$E$24)&amp;"","$",""),",","")),0))</f>
        <v/>
      </c>
      <c r="F1480" s="11">
        <f>IF(A1480="","",D1480*E1480)</f>
        <v/>
      </c>
      <c r="G1480">
        <f>IF(A1480="","",IF(C1480="",1,COUNTIF($C$2:$C$1501,C1480)))</f>
        <v/>
      </c>
      <c r="H1480" s="11">
        <f>IF(A1480="","",IFERROR(VALUE(SUBSTITUTE(SUBSTITUTE(INDEX('Shopify Import'!$A:$CZ,1480,Settings!$E$25)&amp;"","$",""),",","")),0)/IF(Settings!$D$27="Yes",G1480,1))</f>
        <v/>
      </c>
      <c r="I1480" s="11">
        <f>IF(A1480="","",IFERROR(VALUE(SUBSTITUTE(SUBSTITUTE(INDEX('Shopify Import'!$A:$CZ,1480,Settings!$E$26)&amp;"","$",""),",","")),0)/IF(Settings!$D$27="Yes",G1480,1))</f>
        <v/>
      </c>
      <c r="J1480" s="11">
        <f>IF(A1480="","",F1480+H1480-I1480)</f>
        <v/>
      </c>
      <c r="K1480">
        <f>IF(A1480="","",IFERROR(IF(B1480="",NA(),MATCH(B1480,Products!$B$5:$B$204,0)),IFERROR(MATCH(A1480,Products!$A$5:$A$204,0),"")))</f>
        <v/>
      </c>
      <c r="L1480">
        <f>IF(A1480="","",IF(K1480="","⚠ not in Products",INDEX(Products!$A$5:$A$204,K1480)))</f>
        <v/>
      </c>
      <c r="M1480" s="11">
        <f>IF(A1480="","",J1480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1480+IFERROR(INDEX(Settings!$D$5:$D$9,MATCH("Shopify",Settings!$A$5:$A$9,0)),0)*D1480)</f>
        <v/>
      </c>
      <c r="N1480" s="11">
        <f>IF(A1480="","",IF(K1480="",0,D1480*INDEX(Products!$I$5:$I$204,K1480)))</f>
        <v/>
      </c>
      <c r="O1480" s="11">
        <f>IF(A1480="","",IF(K1480="",0,J1480*INDEX(Products!$H$5:$H$204,K1480)))</f>
        <v/>
      </c>
      <c r="P1480" s="11">
        <f>IF(A1480="","",J1480-M1480-N1480-O1480)</f>
        <v/>
      </c>
    </row>
    <row r="1481">
      <c r="A1481">
        <f>IFERROR(INDEX('Shopify Import'!$A:$CZ,1481,Settings!$E$20)&amp;"","")</f>
        <v/>
      </c>
      <c r="B1481">
        <f>IFERROR(INDEX('Shopify Import'!$A:$CZ,1481,Settings!$E$21)&amp;"","")</f>
        <v/>
      </c>
      <c r="C1481">
        <f>IFERROR(INDEX('Shopify Import'!$A:$CZ,1481,Settings!$E$22)&amp;"","")</f>
        <v/>
      </c>
      <c r="D1481">
        <f>IF(A1481="","",IFERROR(VALUE(SUBSTITUTE(SUBSTITUTE(INDEX('Shopify Import'!$A:$CZ,1481,Settings!$E$23)&amp;"","$",""),",","")),0))</f>
        <v/>
      </c>
      <c r="E1481" s="11">
        <f>IF(A1481="","",IFERROR(VALUE(SUBSTITUTE(SUBSTITUTE(INDEX('Shopify Import'!$A:$CZ,1481,Settings!$E$24)&amp;"","$",""),",","")),0))</f>
        <v/>
      </c>
      <c r="F1481" s="11">
        <f>IF(A1481="","",D1481*E1481)</f>
        <v/>
      </c>
      <c r="G1481">
        <f>IF(A1481="","",IF(C1481="",1,COUNTIF($C$2:$C$1501,C1481)))</f>
        <v/>
      </c>
      <c r="H1481" s="11">
        <f>IF(A1481="","",IFERROR(VALUE(SUBSTITUTE(SUBSTITUTE(INDEX('Shopify Import'!$A:$CZ,1481,Settings!$E$25)&amp;"","$",""),",","")),0)/IF(Settings!$D$27="Yes",G1481,1))</f>
        <v/>
      </c>
      <c r="I1481" s="11">
        <f>IF(A1481="","",IFERROR(VALUE(SUBSTITUTE(SUBSTITUTE(INDEX('Shopify Import'!$A:$CZ,1481,Settings!$E$26)&amp;"","$",""),",","")),0)/IF(Settings!$D$27="Yes",G1481,1))</f>
        <v/>
      </c>
      <c r="J1481" s="11">
        <f>IF(A1481="","",F1481+H1481-I1481)</f>
        <v/>
      </c>
      <c r="K1481">
        <f>IF(A1481="","",IFERROR(IF(B1481="",NA(),MATCH(B1481,Products!$B$5:$B$204,0)),IFERROR(MATCH(A1481,Products!$A$5:$A$204,0),"")))</f>
        <v/>
      </c>
      <c r="L1481">
        <f>IF(A1481="","",IF(K1481="","⚠ not in Products",INDEX(Products!$A$5:$A$204,K1481)))</f>
        <v/>
      </c>
      <c r="M1481" s="11">
        <f>IF(A1481="","",J1481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1481+IFERROR(INDEX(Settings!$D$5:$D$9,MATCH("Shopify",Settings!$A$5:$A$9,0)),0)*D1481)</f>
        <v/>
      </c>
      <c r="N1481" s="11">
        <f>IF(A1481="","",IF(K1481="",0,D1481*INDEX(Products!$I$5:$I$204,K1481)))</f>
        <v/>
      </c>
      <c r="O1481" s="11">
        <f>IF(A1481="","",IF(K1481="",0,J1481*INDEX(Products!$H$5:$H$204,K1481)))</f>
        <v/>
      </c>
      <c r="P1481" s="11">
        <f>IF(A1481="","",J1481-M1481-N1481-O1481)</f>
        <v/>
      </c>
    </row>
    <row r="1482">
      <c r="A1482">
        <f>IFERROR(INDEX('Shopify Import'!$A:$CZ,1482,Settings!$E$20)&amp;"","")</f>
        <v/>
      </c>
      <c r="B1482">
        <f>IFERROR(INDEX('Shopify Import'!$A:$CZ,1482,Settings!$E$21)&amp;"","")</f>
        <v/>
      </c>
      <c r="C1482">
        <f>IFERROR(INDEX('Shopify Import'!$A:$CZ,1482,Settings!$E$22)&amp;"","")</f>
        <v/>
      </c>
      <c r="D1482">
        <f>IF(A1482="","",IFERROR(VALUE(SUBSTITUTE(SUBSTITUTE(INDEX('Shopify Import'!$A:$CZ,1482,Settings!$E$23)&amp;"","$",""),",","")),0))</f>
        <v/>
      </c>
      <c r="E1482" s="11">
        <f>IF(A1482="","",IFERROR(VALUE(SUBSTITUTE(SUBSTITUTE(INDEX('Shopify Import'!$A:$CZ,1482,Settings!$E$24)&amp;"","$",""),",","")),0))</f>
        <v/>
      </c>
      <c r="F1482" s="11">
        <f>IF(A1482="","",D1482*E1482)</f>
        <v/>
      </c>
      <c r="G1482">
        <f>IF(A1482="","",IF(C1482="",1,COUNTIF($C$2:$C$1501,C1482)))</f>
        <v/>
      </c>
      <c r="H1482" s="11">
        <f>IF(A1482="","",IFERROR(VALUE(SUBSTITUTE(SUBSTITUTE(INDEX('Shopify Import'!$A:$CZ,1482,Settings!$E$25)&amp;"","$",""),",","")),0)/IF(Settings!$D$27="Yes",G1482,1))</f>
        <v/>
      </c>
      <c r="I1482" s="11">
        <f>IF(A1482="","",IFERROR(VALUE(SUBSTITUTE(SUBSTITUTE(INDEX('Shopify Import'!$A:$CZ,1482,Settings!$E$26)&amp;"","$",""),",","")),0)/IF(Settings!$D$27="Yes",G1482,1))</f>
        <v/>
      </c>
      <c r="J1482" s="11">
        <f>IF(A1482="","",F1482+H1482-I1482)</f>
        <v/>
      </c>
      <c r="K1482">
        <f>IF(A1482="","",IFERROR(IF(B1482="",NA(),MATCH(B1482,Products!$B$5:$B$204,0)),IFERROR(MATCH(A1482,Products!$A$5:$A$204,0),"")))</f>
        <v/>
      </c>
      <c r="L1482">
        <f>IF(A1482="","",IF(K1482="","⚠ not in Products",INDEX(Products!$A$5:$A$204,K1482)))</f>
        <v/>
      </c>
      <c r="M1482" s="11">
        <f>IF(A1482="","",J1482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1482+IFERROR(INDEX(Settings!$D$5:$D$9,MATCH("Shopify",Settings!$A$5:$A$9,0)),0)*D1482)</f>
        <v/>
      </c>
      <c r="N1482" s="11">
        <f>IF(A1482="","",IF(K1482="",0,D1482*INDEX(Products!$I$5:$I$204,K1482)))</f>
        <v/>
      </c>
      <c r="O1482" s="11">
        <f>IF(A1482="","",IF(K1482="",0,J1482*INDEX(Products!$H$5:$H$204,K1482)))</f>
        <v/>
      </c>
      <c r="P1482" s="11">
        <f>IF(A1482="","",J1482-M1482-N1482-O1482)</f>
        <v/>
      </c>
    </row>
    <row r="1483">
      <c r="A1483">
        <f>IFERROR(INDEX('Shopify Import'!$A:$CZ,1483,Settings!$E$20)&amp;"","")</f>
        <v/>
      </c>
      <c r="B1483">
        <f>IFERROR(INDEX('Shopify Import'!$A:$CZ,1483,Settings!$E$21)&amp;"","")</f>
        <v/>
      </c>
      <c r="C1483">
        <f>IFERROR(INDEX('Shopify Import'!$A:$CZ,1483,Settings!$E$22)&amp;"","")</f>
        <v/>
      </c>
      <c r="D1483">
        <f>IF(A1483="","",IFERROR(VALUE(SUBSTITUTE(SUBSTITUTE(INDEX('Shopify Import'!$A:$CZ,1483,Settings!$E$23)&amp;"","$",""),",","")),0))</f>
        <v/>
      </c>
      <c r="E1483" s="11">
        <f>IF(A1483="","",IFERROR(VALUE(SUBSTITUTE(SUBSTITUTE(INDEX('Shopify Import'!$A:$CZ,1483,Settings!$E$24)&amp;"","$",""),",","")),0))</f>
        <v/>
      </c>
      <c r="F1483" s="11">
        <f>IF(A1483="","",D1483*E1483)</f>
        <v/>
      </c>
      <c r="G1483">
        <f>IF(A1483="","",IF(C1483="",1,COUNTIF($C$2:$C$1501,C1483)))</f>
        <v/>
      </c>
      <c r="H1483" s="11">
        <f>IF(A1483="","",IFERROR(VALUE(SUBSTITUTE(SUBSTITUTE(INDEX('Shopify Import'!$A:$CZ,1483,Settings!$E$25)&amp;"","$",""),",","")),0)/IF(Settings!$D$27="Yes",G1483,1))</f>
        <v/>
      </c>
      <c r="I1483" s="11">
        <f>IF(A1483="","",IFERROR(VALUE(SUBSTITUTE(SUBSTITUTE(INDEX('Shopify Import'!$A:$CZ,1483,Settings!$E$26)&amp;"","$",""),",","")),0)/IF(Settings!$D$27="Yes",G1483,1))</f>
        <v/>
      </c>
      <c r="J1483" s="11">
        <f>IF(A1483="","",F1483+H1483-I1483)</f>
        <v/>
      </c>
      <c r="K1483">
        <f>IF(A1483="","",IFERROR(IF(B1483="",NA(),MATCH(B1483,Products!$B$5:$B$204,0)),IFERROR(MATCH(A1483,Products!$A$5:$A$204,0),"")))</f>
        <v/>
      </c>
      <c r="L1483">
        <f>IF(A1483="","",IF(K1483="","⚠ not in Products",INDEX(Products!$A$5:$A$204,K1483)))</f>
        <v/>
      </c>
      <c r="M1483" s="11">
        <f>IF(A1483="","",J1483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1483+IFERROR(INDEX(Settings!$D$5:$D$9,MATCH("Shopify",Settings!$A$5:$A$9,0)),0)*D1483)</f>
        <v/>
      </c>
      <c r="N1483" s="11">
        <f>IF(A1483="","",IF(K1483="",0,D1483*INDEX(Products!$I$5:$I$204,K1483)))</f>
        <v/>
      </c>
      <c r="O1483" s="11">
        <f>IF(A1483="","",IF(K1483="",0,J1483*INDEX(Products!$H$5:$H$204,K1483)))</f>
        <v/>
      </c>
      <c r="P1483" s="11">
        <f>IF(A1483="","",J1483-M1483-N1483-O1483)</f>
        <v/>
      </c>
    </row>
    <row r="1484">
      <c r="A1484">
        <f>IFERROR(INDEX('Shopify Import'!$A:$CZ,1484,Settings!$E$20)&amp;"","")</f>
        <v/>
      </c>
      <c r="B1484">
        <f>IFERROR(INDEX('Shopify Import'!$A:$CZ,1484,Settings!$E$21)&amp;"","")</f>
        <v/>
      </c>
      <c r="C1484">
        <f>IFERROR(INDEX('Shopify Import'!$A:$CZ,1484,Settings!$E$22)&amp;"","")</f>
        <v/>
      </c>
      <c r="D1484">
        <f>IF(A1484="","",IFERROR(VALUE(SUBSTITUTE(SUBSTITUTE(INDEX('Shopify Import'!$A:$CZ,1484,Settings!$E$23)&amp;"","$",""),",","")),0))</f>
        <v/>
      </c>
      <c r="E1484" s="11">
        <f>IF(A1484="","",IFERROR(VALUE(SUBSTITUTE(SUBSTITUTE(INDEX('Shopify Import'!$A:$CZ,1484,Settings!$E$24)&amp;"","$",""),",","")),0))</f>
        <v/>
      </c>
      <c r="F1484" s="11">
        <f>IF(A1484="","",D1484*E1484)</f>
        <v/>
      </c>
      <c r="G1484">
        <f>IF(A1484="","",IF(C1484="",1,COUNTIF($C$2:$C$1501,C1484)))</f>
        <v/>
      </c>
      <c r="H1484" s="11">
        <f>IF(A1484="","",IFERROR(VALUE(SUBSTITUTE(SUBSTITUTE(INDEX('Shopify Import'!$A:$CZ,1484,Settings!$E$25)&amp;"","$",""),",","")),0)/IF(Settings!$D$27="Yes",G1484,1))</f>
        <v/>
      </c>
      <c r="I1484" s="11">
        <f>IF(A1484="","",IFERROR(VALUE(SUBSTITUTE(SUBSTITUTE(INDEX('Shopify Import'!$A:$CZ,1484,Settings!$E$26)&amp;"","$",""),",","")),0)/IF(Settings!$D$27="Yes",G1484,1))</f>
        <v/>
      </c>
      <c r="J1484" s="11">
        <f>IF(A1484="","",F1484+H1484-I1484)</f>
        <v/>
      </c>
      <c r="K1484">
        <f>IF(A1484="","",IFERROR(IF(B1484="",NA(),MATCH(B1484,Products!$B$5:$B$204,0)),IFERROR(MATCH(A1484,Products!$A$5:$A$204,0),"")))</f>
        <v/>
      </c>
      <c r="L1484">
        <f>IF(A1484="","",IF(K1484="","⚠ not in Products",INDEX(Products!$A$5:$A$204,K1484)))</f>
        <v/>
      </c>
      <c r="M1484" s="11">
        <f>IF(A1484="","",J1484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1484+IFERROR(INDEX(Settings!$D$5:$D$9,MATCH("Shopify",Settings!$A$5:$A$9,0)),0)*D1484)</f>
        <v/>
      </c>
      <c r="N1484" s="11">
        <f>IF(A1484="","",IF(K1484="",0,D1484*INDEX(Products!$I$5:$I$204,K1484)))</f>
        <v/>
      </c>
      <c r="O1484" s="11">
        <f>IF(A1484="","",IF(K1484="",0,J1484*INDEX(Products!$H$5:$H$204,K1484)))</f>
        <v/>
      </c>
      <c r="P1484" s="11">
        <f>IF(A1484="","",J1484-M1484-N1484-O1484)</f>
        <v/>
      </c>
    </row>
    <row r="1485">
      <c r="A1485">
        <f>IFERROR(INDEX('Shopify Import'!$A:$CZ,1485,Settings!$E$20)&amp;"","")</f>
        <v/>
      </c>
      <c r="B1485">
        <f>IFERROR(INDEX('Shopify Import'!$A:$CZ,1485,Settings!$E$21)&amp;"","")</f>
        <v/>
      </c>
      <c r="C1485">
        <f>IFERROR(INDEX('Shopify Import'!$A:$CZ,1485,Settings!$E$22)&amp;"","")</f>
        <v/>
      </c>
      <c r="D1485">
        <f>IF(A1485="","",IFERROR(VALUE(SUBSTITUTE(SUBSTITUTE(INDEX('Shopify Import'!$A:$CZ,1485,Settings!$E$23)&amp;"","$",""),",","")),0))</f>
        <v/>
      </c>
      <c r="E1485" s="11">
        <f>IF(A1485="","",IFERROR(VALUE(SUBSTITUTE(SUBSTITUTE(INDEX('Shopify Import'!$A:$CZ,1485,Settings!$E$24)&amp;"","$",""),",","")),0))</f>
        <v/>
      </c>
      <c r="F1485" s="11">
        <f>IF(A1485="","",D1485*E1485)</f>
        <v/>
      </c>
      <c r="G1485">
        <f>IF(A1485="","",IF(C1485="",1,COUNTIF($C$2:$C$1501,C1485)))</f>
        <v/>
      </c>
      <c r="H1485" s="11">
        <f>IF(A1485="","",IFERROR(VALUE(SUBSTITUTE(SUBSTITUTE(INDEX('Shopify Import'!$A:$CZ,1485,Settings!$E$25)&amp;"","$",""),",","")),0)/IF(Settings!$D$27="Yes",G1485,1))</f>
        <v/>
      </c>
      <c r="I1485" s="11">
        <f>IF(A1485="","",IFERROR(VALUE(SUBSTITUTE(SUBSTITUTE(INDEX('Shopify Import'!$A:$CZ,1485,Settings!$E$26)&amp;"","$",""),",","")),0)/IF(Settings!$D$27="Yes",G1485,1))</f>
        <v/>
      </c>
      <c r="J1485" s="11">
        <f>IF(A1485="","",F1485+H1485-I1485)</f>
        <v/>
      </c>
      <c r="K1485">
        <f>IF(A1485="","",IFERROR(IF(B1485="",NA(),MATCH(B1485,Products!$B$5:$B$204,0)),IFERROR(MATCH(A1485,Products!$A$5:$A$204,0),"")))</f>
        <v/>
      </c>
      <c r="L1485">
        <f>IF(A1485="","",IF(K1485="","⚠ not in Products",INDEX(Products!$A$5:$A$204,K1485)))</f>
        <v/>
      </c>
      <c r="M1485" s="11">
        <f>IF(A1485="","",J1485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1485+IFERROR(INDEX(Settings!$D$5:$D$9,MATCH("Shopify",Settings!$A$5:$A$9,0)),0)*D1485)</f>
        <v/>
      </c>
      <c r="N1485" s="11">
        <f>IF(A1485="","",IF(K1485="",0,D1485*INDEX(Products!$I$5:$I$204,K1485)))</f>
        <v/>
      </c>
      <c r="O1485" s="11">
        <f>IF(A1485="","",IF(K1485="",0,J1485*INDEX(Products!$H$5:$H$204,K1485)))</f>
        <v/>
      </c>
      <c r="P1485" s="11">
        <f>IF(A1485="","",J1485-M1485-N1485-O1485)</f>
        <v/>
      </c>
    </row>
    <row r="1486">
      <c r="A1486">
        <f>IFERROR(INDEX('Shopify Import'!$A:$CZ,1486,Settings!$E$20)&amp;"","")</f>
        <v/>
      </c>
      <c r="B1486">
        <f>IFERROR(INDEX('Shopify Import'!$A:$CZ,1486,Settings!$E$21)&amp;"","")</f>
        <v/>
      </c>
      <c r="C1486">
        <f>IFERROR(INDEX('Shopify Import'!$A:$CZ,1486,Settings!$E$22)&amp;"","")</f>
        <v/>
      </c>
      <c r="D1486">
        <f>IF(A1486="","",IFERROR(VALUE(SUBSTITUTE(SUBSTITUTE(INDEX('Shopify Import'!$A:$CZ,1486,Settings!$E$23)&amp;"","$",""),",","")),0))</f>
        <v/>
      </c>
      <c r="E1486" s="11">
        <f>IF(A1486="","",IFERROR(VALUE(SUBSTITUTE(SUBSTITUTE(INDEX('Shopify Import'!$A:$CZ,1486,Settings!$E$24)&amp;"","$",""),",","")),0))</f>
        <v/>
      </c>
      <c r="F1486" s="11">
        <f>IF(A1486="","",D1486*E1486)</f>
        <v/>
      </c>
      <c r="G1486">
        <f>IF(A1486="","",IF(C1486="",1,COUNTIF($C$2:$C$1501,C1486)))</f>
        <v/>
      </c>
      <c r="H1486" s="11">
        <f>IF(A1486="","",IFERROR(VALUE(SUBSTITUTE(SUBSTITUTE(INDEX('Shopify Import'!$A:$CZ,1486,Settings!$E$25)&amp;"","$",""),",","")),0)/IF(Settings!$D$27="Yes",G1486,1))</f>
        <v/>
      </c>
      <c r="I1486" s="11">
        <f>IF(A1486="","",IFERROR(VALUE(SUBSTITUTE(SUBSTITUTE(INDEX('Shopify Import'!$A:$CZ,1486,Settings!$E$26)&amp;"","$",""),",","")),0)/IF(Settings!$D$27="Yes",G1486,1))</f>
        <v/>
      </c>
      <c r="J1486" s="11">
        <f>IF(A1486="","",F1486+H1486-I1486)</f>
        <v/>
      </c>
      <c r="K1486">
        <f>IF(A1486="","",IFERROR(IF(B1486="",NA(),MATCH(B1486,Products!$B$5:$B$204,0)),IFERROR(MATCH(A1486,Products!$A$5:$A$204,0),"")))</f>
        <v/>
      </c>
      <c r="L1486">
        <f>IF(A1486="","",IF(K1486="","⚠ not in Products",INDEX(Products!$A$5:$A$204,K1486)))</f>
        <v/>
      </c>
      <c r="M1486" s="11">
        <f>IF(A1486="","",J1486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1486+IFERROR(INDEX(Settings!$D$5:$D$9,MATCH("Shopify",Settings!$A$5:$A$9,0)),0)*D1486)</f>
        <v/>
      </c>
      <c r="N1486" s="11">
        <f>IF(A1486="","",IF(K1486="",0,D1486*INDEX(Products!$I$5:$I$204,K1486)))</f>
        <v/>
      </c>
      <c r="O1486" s="11">
        <f>IF(A1486="","",IF(K1486="",0,J1486*INDEX(Products!$H$5:$H$204,K1486)))</f>
        <v/>
      </c>
      <c r="P1486" s="11">
        <f>IF(A1486="","",J1486-M1486-N1486-O1486)</f>
        <v/>
      </c>
    </row>
    <row r="1487">
      <c r="A1487">
        <f>IFERROR(INDEX('Shopify Import'!$A:$CZ,1487,Settings!$E$20)&amp;"","")</f>
        <v/>
      </c>
      <c r="B1487">
        <f>IFERROR(INDEX('Shopify Import'!$A:$CZ,1487,Settings!$E$21)&amp;"","")</f>
        <v/>
      </c>
      <c r="C1487">
        <f>IFERROR(INDEX('Shopify Import'!$A:$CZ,1487,Settings!$E$22)&amp;"","")</f>
        <v/>
      </c>
      <c r="D1487">
        <f>IF(A1487="","",IFERROR(VALUE(SUBSTITUTE(SUBSTITUTE(INDEX('Shopify Import'!$A:$CZ,1487,Settings!$E$23)&amp;"","$",""),",","")),0))</f>
        <v/>
      </c>
      <c r="E1487" s="11">
        <f>IF(A1487="","",IFERROR(VALUE(SUBSTITUTE(SUBSTITUTE(INDEX('Shopify Import'!$A:$CZ,1487,Settings!$E$24)&amp;"","$",""),",","")),0))</f>
        <v/>
      </c>
      <c r="F1487" s="11">
        <f>IF(A1487="","",D1487*E1487)</f>
        <v/>
      </c>
      <c r="G1487">
        <f>IF(A1487="","",IF(C1487="",1,COUNTIF($C$2:$C$1501,C1487)))</f>
        <v/>
      </c>
      <c r="H1487" s="11">
        <f>IF(A1487="","",IFERROR(VALUE(SUBSTITUTE(SUBSTITUTE(INDEX('Shopify Import'!$A:$CZ,1487,Settings!$E$25)&amp;"","$",""),",","")),0)/IF(Settings!$D$27="Yes",G1487,1))</f>
        <v/>
      </c>
      <c r="I1487" s="11">
        <f>IF(A1487="","",IFERROR(VALUE(SUBSTITUTE(SUBSTITUTE(INDEX('Shopify Import'!$A:$CZ,1487,Settings!$E$26)&amp;"","$",""),",","")),0)/IF(Settings!$D$27="Yes",G1487,1))</f>
        <v/>
      </c>
      <c r="J1487" s="11">
        <f>IF(A1487="","",F1487+H1487-I1487)</f>
        <v/>
      </c>
      <c r="K1487">
        <f>IF(A1487="","",IFERROR(IF(B1487="",NA(),MATCH(B1487,Products!$B$5:$B$204,0)),IFERROR(MATCH(A1487,Products!$A$5:$A$204,0),"")))</f>
        <v/>
      </c>
      <c r="L1487">
        <f>IF(A1487="","",IF(K1487="","⚠ not in Products",INDEX(Products!$A$5:$A$204,K1487)))</f>
        <v/>
      </c>
      <c r="M1487" s="11">
        <f>IF(A1487="","",J1487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1487+IFERROR(INDEX(Settings!$D$5:$D$9,MATCH("Shopify",Settings!$A$5:$A$9,0)),0)*D1487)</f>
        <v/>
      </c>
      <c r="N1487" s="11">
        <f>IF(A1487="","",IF(K1487="",0,D1487*INDEX(Products!$I$5:$I$204,K1487)))</f>
        <v/>
      </c>
      <c r="O1487" s="11">
        <f>IF(A1487="","",IF(K1487="",0,J1487*INDEX(Products!$H$5:$H$204,K1487)))</f>
        <v/>
      </c>
      <c r="P1487" s="11">
        <f>IF(A1487="","",J1487-M1487-N1487-O1487)</f>
        <v/>
      </c>
    </row>
    <row r="1488">
      <c r="A1488">
        <f>IFERROR(INDEX('Shopify Import'!$A:$CZ,1488,Settings!$E$20)&amp;"","")</f>
        <v/>
      </c>
      <c r="B1488">
        <f>IFERROR(INDEX('Shopify Import'!$A:$CZ,1488,Settings!$E$21)&amp;"","")</f>
        <v/>
      </c>
      <c r="C1488">
        <f>IFERROR(INDEX('Shopify Import'!$A:$CZ,1488,Settings!$E$22)&amp;"","")</f>
        <v/>
      </c>
      <c r="D1488">
        <f>IF(A1488="","",IFERROR(VALUE(SUBSTITUTE(SUBSTITUTE(INDEX('Shopify Import'!$A:$CZ,1488,Settings!$E$23)&amp;"","$",""),",","")),0))</f>
        <v/>
      </c>
      <c r="E1488" s="11">
        <f>IF(A1488="","",IFERROR(VALUE(SUBSTITUTE(SUBSTITUTE(INDEX('Shopify Import'!$A:$CZ,1488,Settings!$E$24)&amp;"","$",""),",","")),0))</f>
        <v/>
      </c>
      <c r="F1488" s="11">
        <f>IF(A1488="","",D1488*E1488)</f>
        <v/>
      </c>
      <c r="G1488">
        <f>IF(A1488="","",IF(C1488="",1,COUNTIF($C$2:$C$1501,C1488)))</f>
        <v/>
      </c>
      <c r="H1488" s="11">
        <f>IF(A1488="","",IFERROR(VALUE(SUBSTITUTE(SUBSTITUTE(INDEX('Shopify Import'!$A:$CZ,1488,Settings!$E$25)&amp;"","$",""),",","")),0)/IF(Settings!$D$27="Yes",G1488,1))</f>
        <v/>
      </c>
      <c r="I1488" s="11">
        <f>IF(A1488="","",IFERROR(VALUE(SUBSTITUTE(SUBSTITUTE(INDEX('Shopify Import'!$A:$CZ,1488,Settings!$E$26)&amp;"","$",""),",","")),0)/IF(Settings!$D$27="Yes",G1488,1))</f>
        <v/>
      </c>
      <c r="J1488" s="11">
        <f>IF(A1488="","",F1488+H1488-I1488)</f>
        <v/>
      </c>
      <c r="K1488">
        <f>IF(A1488="","",IFERROR(IF(B1488="",NA(),MATCH(B1488,Products!$B$5:$B$204,0)),IFERROR(MATCH(A1488,Products!$A$5:$A$204,0),"")))</f>
        <v/>
      </c>
      <c r="L1488">
        <f>IF(A1488="","",IF(K1488="","⚠ not in Products",INDEX(Products!$A$5:$A$204,K1488)))</f>
        <v/>
      </c>
      <c r="M1488" s="11">
        <f>IF(A1488="","",J1488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1488+IFERROR(INDEX(Settings!$D$5:$D$9,MATCH("Shopify",Settings!$A$5:$A$9,0)),0)*D1488)</f>
        <v/>
      </c>
      <c r="N1488" s="11">
        <f>IF(A1488="","",IF(K1488="",0,D1488*INDEX(Products!$I$5:$I$204,K1488)))</f>
        <v/>
      </c>
      <c r="O1488" s="11">
        <f>IF(A1488="","",IF(K1488="",0,J1488*INDEX(Products!$H$5:$H$204,K1488)))</f>
        <v/>
      </c>
      <c r="P1488" s="11">
        <f>IF(A1488="","",J1488-M1488-N1488-O1488)</f>
        <v/>
      </c>
    </row>
    <row r="1489">
      <c r="A1489">
        <f>IFERROR(INDEX('Shopify Import'!$A:$CZ,1489,Settings!$E$20)&amp;"","")</f>
        <v/>
      </c>
      <c r="B1489">
        <f>IFERROR(INDEX('Shopify Import'!$A:$CZ,1489,Settings!$E$21)&amp;"","")</f>
        <v/>
      </c>
      <c r="C1489">
        <f>IFERROR(INDEX('Shopify Import'!$A:$CZ,1489,Settings!$E$22)&amp;"","")</f>
        <v/>
      </c>
      <c r="D1489">
        <f>IF(A1489="","",IFERROR(VALUE(SUBSTITUTE(SUBSTITUTE(INDEX('Shopify Import'!$A:$CZ,1489,Settings!$E$23)&amp;"","$",""),",","")),0))</f>
        <v/>
      </c>
      <c r="E1489" s="11">
        <f>IF(A1489="","",IFERROR(VALUE(SUBSTITUTE(SUBSTITUTE(INDEX('Shopify Import'!$A:$CZ,1489,Settings!$E$24)&amp;"","$",""),",","")),0))</f>
        <v/>
      </c>
      <c r="F1489" s="11">
        <f>IF(A1489="","",D1489*E1489)</f>
        <v/>
      </c>
      <c r="G1489">
        <f>IF(A1489="","",IF(C1489="",1,COUNTIF($C$2:$C$1501,C1489)))</f>
        <v/>
      </c>
      <c r="H1489" s="11">
        <f>IF(A1489="","",IFERROR(VALUE(SUBSTITUTE(SUBSTITUTE(INDEX('Shopify Import'!$A:$CZ,1489,Settings!$E$25)&amp;"","$",""),",","")),0)/IF(Settings!$D$27="Yes",G1489,1))</f>
        <v/>
      </c>
      <c r="I1489" s="11">
        <f>IF(A1489="","",IFERROR(VALUE(SUBSTITUTE(SUBSTITUTE(INDEX('Shopify Import'!$A:$CZ,1489,Settings!$E$26)&amp;"","$",""),",","")),0)/IF(Settings!$D$27="Yes",G1489,1))</f>
        <v/>
      </c>
      <c r="J1489" s="11">
        <f>IF(A1489="","",F1489+H1489-I1489)</f>
        <v/>
      </c>
      <c r="K1489">
        <f>IF(A1489="","",IFERROR(IF(B1489="",NA(),MATCH(B1489,Products!$B$5:$B$204,0)),IFERROR(MATCH(A1489,Products!$A$5:$A$204,0),"")))</f>
        <v/>
      </c>
      <c r="L1489">
        <f>IF(A1489="","",IF(K1489="","⚠ not in Products",INDEX(Products!$A$5:$A$204,K1489)))</f>
        <v/>
      </c>
      <c r="M1489" s="11">
        <f>IF(A1489="","",J1489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1489+IFERROR(INDEX(Settings!$D$5:$D$9,MATCH("Shopify",Settings!$A$5:$A$9,0)),0)*D1489)</f>
        <v/>
      </c>
      <c r="N1489" s="11">
        <f>IF(A1489="","",IF(K1489="",0,D1489*INDEX(Products!$I$5:$I$204,K1489)))</f>
        <v/>
      </c>
      <c r="O1489" s="11">
        <f>IF(A1489="","",IF(K1489="",0,J1489*INDEX(Products!$H$5:$H$204,K1489)))</f>
        <v/>
      </c>
      <c r="P1489" s="11">
        <f>IF(A1489="","",J1489-M1489-N1489-O1489)</f>
        <v/>
      </c>
    </row>
    <row r="1490">
      <c r="A1490">
        <f>IFERROR(INDEX('Shopify Import'!$A:$CZ,1490,Settings!$E$20)&amp;"","")</f>
        <v/>
      </c>
      <c r="B1490">
        <f>IFERROR(INDEX('Shopify Import'!$A:$CZ,1490,Settings!$E$21)&amp;"","")</f>
        <v/>
      </c>
      <c r="C1490">
        <f>IFERROR(INDEX('Shopify Import'!$A:$CZ,1490,Settings!$E$22)&amp;"","")</f>
        <v/>
      </c>
      <c r="D1490">
        <f>IF(A1490="","",IFERROR(VALUE(SUBSTITUTE(SUBSTITUTE(INDEX('Shopify Import'!$A:$CZ,1490,Settings!$E$23)&amp;"","$",""),",","")),0))</f>
        <v/>
      </c>
      <c r="E1490" s="11">
        <f>IF(A1490="","",IFERROR(VALUE(SUBSTITUTE(SUBSTITUTE(INDEX('Shopify Import'!$A:$CZ,1490,Settings!$E$24)&amp;"","$",""),",","")),0))</f>
        <v/>
      </c>
      <c r="F1490" s="11">
        <f>IF(A1490="","",D1490*E1490)</f>
        <v/>
      </c>
      <c r="G1490">
        <f>IF(A1490="","",IF(C1490="",1,COUNTIF($C$2:$C$1501,C1490)))</f>
        <v/>
      </c>
      <c r="H1490" s="11">
        <f>IF(A1490="","",IFERROR(VALUE(SUBSTITUTE(SUBSTITUTE(INDEX('Shopify Import'!$A:$CZ,1490,Settings!$E$25)&amp;"","$",""),",","")),0)/IF(Settings!$D$27="Yes",G1490,1))</f>
        <v/>
      </c>
      <c r="I1490" s="11">
        <f>IF(A1490="","",IFERROR(VALUE(SUBSTITUTE(SUBSTITUTE(INDEX('Shopify Import'!$A:$CZ,1490,Settings!$E$26)&amp;"","$",""),",","")),0)/IF(Settings!$D$27="Yes",G1490,1))</f>
        <v/>
      </c>
      <c r="J1490" s="11">
        <f>IF(A1490="","",F1490+H1490-I1490)</f>
        <v/>
      </c>
      <c r="K1490">
        <f>IF(A1490="","",IFERROR(IF(B1490="",NA(),MATCH(B1490,Products!$B$5:$B$204,0)),IFERROR(MATCH(A1490,Products!$A$5:$A$204,0),"")))</f>
        <v/>
      </c>
      <c r="L1490">
        <f>IF(A1490="","",IF(K1490="","⚠ not in Products",INDEX(Products!$A$5:$A$204,K1490)))</f>
        <v/>
      </c>
      <c r="M1490" s="11">
        <f>IF(A1490="","",J1490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1490+IFERROR(INDEX(Settings!$D$5:$D$9,MATCH("Shopify",Settings!$A$5:$A$9,0)),0)*D1490)</f>
        <v/>
      </c>
      <c r="N1490" s="11">
        <f>IF(A1490="","",IF(K1490="",0,D1490*INDEX(Products!$I$5:$I$204,K1490)))</f>
        <v/>
      </c>
      <c r="O1490" s="11">
        <f>IF(A1490="","",IF(K1490="",0,J1490*INDEX(Products!$H$5:$H$204,K1490)))</f>
        <v/>
      </c>
      <c r="P1490" s="11">
        <f>IF(A1490="","",J1490-M1490-N1490-O1490)</f>
        <v/>
      </c>
    </row>
    <row r="1491">
      <c r="A1491">
        <f>IFERROR(INDEX('Shopify Import'!$A:$CZ,1491,Settings!$E$20)&amp;"","")</f>
        <v/>
      </c>
      <c r="B1491">
        <f>IFERROR(INDEX('Shopify Import'!$A:$CZ,1491,Settings!$E$21)&amp;"","")</f>
        <v/>
      </c>
      <c r="C1491">
        <f>IFERROR(INDEX('Shopify Import'!$A:$CZ,1491,Settings!$E$22)&amp;"","")</f>
        <v/>
      </c>
      <c r="D1491">
        <f>IF(A1491="","",IFERROR(VALUE(SUBSTITUTE(SUBSTITUTE(INDEX('Shopify Import'!$A:$CZ,1491,Settings!$E$23)&amp;"","$",""),",","")),0))</f>
        <v/>
      </c>
      <c r="E1491" s="11">
        <f>IF(A1491="","",IFERROR(VALUE(SUBSTITUTE(SUBSTITUTE(INDEX('Shopify Import'!$A:$CZ,1491,Settings!$E$24)&amp;"","$",""),",","")),0))</f>
        <v/>
      </c>
      <c r="F1491" s="11">
        <f>IF(A1491="","",D1491*E1491)</f>
        <v/>
      </c>
      <c r="G1491">
        <f>IF(A1491="","",IF(C1491="",1,COUNTIF($C$2:$C$1501,C1491)))</f>
        <v/>
      </c>
      <c r="H1491" s="11">
        <f>IF(A1491="","",IFERROR(VALUE(SUBSTITUTE(SUBSTITUTE(INDEX('Shopify Import'!$A:$CZ,1491,Settings!$E$25)&amp;"","$",""),",","")),0)/IF(Settings!$D$27="Yes",G1491,1))</f>
        <v/>
      </c>
      <c r="I1491" s="11">
        <f>IF(A1491="","",IFERROR(VALUE(SUBSTITUTE(SUBSTITUTE(INDEX('Shopify Import'!$A:$CZ,1491,Settings!$E$26)&amp;"","$",""),",","")),0)/IF(Settings!$D$27="Yes",G1491,1))</f>
        <v/>
      </c>
      <c r="J1491" s="11">
        <f>IF(A1491="","",F1491+H1491-I1491)</f>
        <v/>
      </c>
      <c r="K1491">
        <f>IF(A1491="","",IFERROR(IF(B1491="",NA(),MATCH(B1491,Products!$B$5:$B$204,0)),IFERROR(MATCH(A1491,Products!$A$5:$A$204,0),"")))</f>
        <v/>
      </c>
      <c r="L1491">
        <f>IF(A1491="","",IF(K1491="","⚠ not in Products",INDEX(Products!$A$5:$A$204,K1491)))</f>
        <v/>
      </c>
      <c r="M1491" s="11">
        <f>IF(A1491="","",J1491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1491+IFERROR(INDEX(Settings!$D$5:$D$9,MATCH("Shopify",Settings!$A$5:$A$9,0)),0)*D1491)</f>
        <v/>
      </c>
      <c r="N1491" s="11">
        <f>IF(A1491="","",IF(K1491="",0,D1491*INDEX(Products!$I$5:$I$204,K1491)))</f>
        <v/>
      </c>
      <c r="O1491" s="11">
        <f>IF(A1491="","",IF(K1491="",0,J1491*INDEX(Products!$H$5:$H$204,K1491)))</f>
        <v/>
      </c>
      <c r="P1491" s="11">
        <f>IF(A1491="","",J1491-M1491-N1491-O1491)</f>
        <v/>
      </c>
    </row>
    <row r="1492">
      <c r="A1492">
        <f>IFERROR(INDEX('Shopify Import'!$A:$CZ,1492,Settings!$E$20)&amp;"","")</f>
        <v/>
      </c>
      <c r="B1492">
        <f>IFERROR(INDEX('Shopify Import'!$A:$CZ,1492,Settings!$E$21)&amp;"","")</f>
        <v/>
      </c>
      <c r="C1492">
        <f>IFERROR(INDEX('Shopify Import'!$A:$CZ,1492,Settings!$E$22)&amp;"","")</f>
        <v/>
      </c>
      <c r="D1492">
        <f>IF(A1492="","",IFERROR(VALUE(SUBSTITUTE(SUBSTITUTE(INDEX('Shopify Import'!$A:$CZ,1492,Settings!$E$23)&amp;"","$",""),",","")),0))</f>
        <v/>
      </c>
      <c r="E1492" s="11">
        <f>IF(A1492="","",IFERROR(VALUE(SUBSTITUTE(SUBSTITUTE(INDEX('Shopify Import'!$A:$CZ,1492,Settings!$E$24)&amp;"","$",""),",","")),0))</f>
        <v/>
      </c>
      <c r="F1492" s="11">
        <f>IF(A1492="","",D1492*E1492)</f>
        <v/>
      </c>
      <c r="G1492">
        <f>IF(A1492="","",IF(C1492="",1,COUNTIF($C$2:$C$1501,C1492)))</f>
        <v/>
      </c>
      <c r="H1492" s="11">
        <f>IF(A1492="","",IFERROR(VALUE(SUBSTITUTE(SUBSTITUTE(INDEX('Shopify Import'!$A:$CZ,1492,Settings!$E$25)&amp;"","$",""),",","")),0)/IF(Settings!$D$27="Yes",G1492,1))</f>
        <v/>
      </c>
      <c r="I1492" s="11">
        <f>IF(A1492="","",IFERROR(VALUE(SUBSTITUTE(SUBSTITUTE(INDEX('Shopify Import'!$A:$CZ,1492,Settings!$E$26)&amp;"","$",""),",","")),0)/IF(Settings!$D$27="Yes",G1492,1))</f>
        <v/>
      </c>
      <c r="J1492" s="11">
        <f>IF(A1492="","",F1492+H1492-I1492)</f>
        <v/>
      </c>
      <c r="K1492">
        <f>IF(A1492="","",IFERROR(IF(B1492="",NA(),MATCH(B1492,Products!$B$5:$B$204,0)),IFERROR(MATCH(A1492,Products!$A$5:$A$204,0),"")))</f>
        <v/>
      </c>
      <c r="L1492">
        <f>IF(A1492="","",IF(K1492="","⚠ not in Products",INDEX(Products!$A$5:$A$204,K1492)))</f>
        <v/>
      </c>
      <c r="M1492" s="11">
        <f>IF(A1492="","",J1492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1492+IFERROR(INDEX(Settings!$D$5:$D$9,MATCH("Shopify",Settings!$A$5:$A$9,0)),0)*D1492)</f>
        <v/>
      </c>
      <c r="N1492" s="11">
        <f>IF(A1492="","",IF(K1492="",0,D1492*INDEX(Products!$I$5:$I$204,K1492)))</f>
        <v/>
      </c>
      <c r="O1492" s="11">
        <f>IF(A1492="","",IF(K1492="",0,J1492*INDEX(Products!$H$5:$H$204,K1492)))</f>
        <v/>
      </c>
      <c r="P1492" s="11">
        <f>IF(A1492="","",J1492-M1492-N1492-O1492)</f>
        <v/>
      </c>
    </row>
    <row r="1493">
      <c r="A1493">
        <f>IFERROR(INDEX('Shopify Import'!$A:$CZ,1493,Settings!$E$20)&amp;"","")</f>
        <v/>
      </c>
      <c r="B1493">
        <f>IFERROR(INDEX('Shopify Import'!$A:$CZ,1493,Settings!$E$21)&amp;"","")</f>
        <v/>
      </c>
      <c r="C1493">
        <f>IFERROR(INDEX('Shopify Import'!$A:$CZ,1493,Settings!$E$22)&amp;"","")</f>
        <v/>
      </c>
      <c r="D1493">
        <f>IF(A1493="","",IFERROR(VALUE(SUBSTITUTE(SUBSTITUTE(INDEX('Shopify Import'!$A:$CZ,1493,Settings!$E$23)&amp;"","$",""),",","")),0))</f>
        <v/>
      </c>
      <c r="E1493" s="11">
        <f>IF(A1493="","",IFERROR(VALUE(SUBSTITUTE(SUBSTITUTE(INDEX('Shopify Import'!$A:$CZ,1493,Settings!$E$24)&amp;"","$",""),",","")),0))</f>
        <v/>
      </c>
      <c r="F1493" s="11">
        <f>IF(A1493="","",D1493*E1493)</f>
        <v/>
      </c>
      <c r="G1493">
        <f>IF(A1493="","",IF(C1493="",1,COUNTIF($C$2:$C$1501,C1493)))</f>
        <v/>
      </c>
      <c r="H1493" s="11">
        <f>IF(A1493="","",IFERROR(VALUE(SUBSTITUTE(SUBSTITUTE(INDEX('Shopify Import'!$A:$CZ,1493,Settings!$E$25)&amp;"","$",""),",","")),0)/IF(Settings!$D$27="Yes",G1493,1))</f>
        <v/>
      </c>
      <c r="I1493" s="11">
        <f>IF(A1493="","",IFERROR(VALUE(SUBSTITUTE(SUBSTITUTE(INDEX('Shopify Import'!$A:$CZ,1493,Settings!$E$26)&amp;"","$",""),",","")),0)/IF(Settings!$D$27="Yes",G1493,1))</f>
        <v/>
      </c>
      <c r="J1493" s="11">
        <f>IF(A1493="","",F1493+H1493-I1493)</f>
        <v/>
      </c>
      <c r="K1493">
        <f>IF(A1493="","",IFERROR(IF(B1493="",NA(),MATCH(B1493,Products!$B$5:$B$204,0)),IFERROR(MATCH(A1493,Products!$A$5:$A$204,0),"")))</f>
        <v/>
      </c>
      <c r="L1493">
        <f>IF(A1493="","",IF(K1493="","⚠ not in Products",INDEX(Products!$A$5:$A$204,K1493)))</f>
        <v/>
      </c>
      <c r="M1493" s="11">
        <f>IF(A1493="","",J1493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1493+IFERROR(INDEX(Settings!$D$5:$D$9,MATCH("Shopify",Settings!$A$5:$A$9,0)),0)*D1493)</f>
        <v/>
      </c>
      <c r="N1493" s="11">
        <f>IF(A1493="","",IF(K1493="",0,D1493*INDEX(Products!$I$5:$I$204,K1493)))</f>
        <v/>
      </c>
      <c r="O1493" s="11">
        <f>IF(A1493="","",IF(K1493="",0,J1493*INDEX(Products!$H$5:$H$204,K1493)))</f>
        <v/>
      </c>
      <c r="P1493" s="11">
        <f>IF(A1493="","",J1493-M1493-N1493-O1493)</f>
        <v/>
      </c>
    </row>
    <row r="1494">
      <c r="A1494">
        <f>IFERROR(INDEX('Shopify Import'!$A:$CZ,1494,Settings!$E$20)&amp;"","")</f>
        <v/>
      </c>
      <c r="B1494">
        <f>IFERROR(INDEX('Shopify Import'!$A:$CZ,1494,Settings!$E$21)&amp;"","")</f>
        <v/>
      </c>
      <c r="C1494">
        <f>IFERROR(INDEX('Shopify Import'!$A:$CZ,1494,Settings!$E$22)&amp;"","")</f>
        <v/>
      </c>
      <c r="D1494">
        <f>IF(A1494="","",IFERROR(VALUE(SUBSTITUTE(SUBSTITUTE(INDEX('Shopify Import'!$A:$CZ,1494,Settings!$E$23)&amp;"","$",""),",","")),0))</f>
        <v/>
      </c>
      <c r="E1494" s="11">
        <f>IF(A1494="","",IFERROR(VALUE(SUBSTITUTE(SUBSTITUTE(INDEX('Shopify Import'!$A:$CZ,1494,Settings!$E$24)&amp;"","$",""),",","")),0))</f>
        <v/>
      </c>
      <c r="F1494" s="11">
        <f>IF(A1494="","",D1494*E1494)</f>
        <v/>
      </c>
      <c r="G1494">
        <f>IF(A1494="","",IF(C1494="",1,COUNTIF($C$2:$C$1501,C1494)))</f>
        <v/>
      </c>
      <c r="H1494" s="11">
        <f>IF(A1494="","",IFERROR(VALUE(SUBSTITUTE(SUBSTITUTE(INDEX('Shopify Import'!$A:$CZ,1494,Settings!$E$25)&amp;"","$",""),",","")),0)/IF(Settings!$D$27="Yes",G1494,1))</f>
        <v/>
      </c>
      <c r="I1494" s="11">
        <f>IF(A1494="","",IFERROR(VALUE(SUBSTITUTE(SUBSTITUTE(INDEX('Shopify Import'!$A:$CZ,1494,Settings!$E$26)&amp;"","$",""),",","")),0)/IF(Settings!$D$27="Yes",G1494,1))</f>
        <v/>
      </c>
      <c r="J1494" s="11">
        <f>IF(A1494="","",F1494+H1494-I1494)</f>
        <v/>
      </c>
      <c r="K1494">
        <f>IF(A1494="","",IFERROR(IF(B1494="",NA(),MATCH(B1494,Products!$B$5:$B$204,0)),IFERROR(MATCH(A1494,Products!$A$5:$A$204,0),"")))</f>
        <v/>
      </c>
      <c r="L1494">
        <f>IF(A1494="","",IF(K1494="","⚠ not in Products",INDEX(Products!$A$5:$A$204,K1494)))</f>
        <v/>
      </c>
      <c r="M1494" s="11">
        <f>IF(A1494="","",J1494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1494+IFERROR(INDEX(Settings!$D$5:$D$9,MATCH("Shopify",Settings!$A$5:$A$9,0)),0)*D1494)</f>
        <v/>
      </c>
      <c r="N1494" s="11">
        <f>IF(A1494="","",IF(K1494="",0,D1494*INDEX(Products!$I$5:$I$204,K1494)))</f>
        <v/>
      </c>
      <c r="O1494" s="11">
        <f>IF(A1494="","",IF(K1494="",0,J1494*INDEX(Products!$H$5:$H$204,K1494)))</f>
        <v/>
      </c>
      <c r="P1494" s="11">
        <f>IF(A1494="","",J1494-M1494-N1494-O1494)</f>
        <v/>
      </c>
    </row>
    <row r="1495">
      <c r="A1495">
        <f>IFERROR(INDEX('Shopify Import'!$A:$CZ,1495,Settings!$E$20)&amp;"","")</f>
        <v/>
      </c>
      <c r="B1495">
        <f>IFERROR(INDEX('Shopify Import'!$A:$CZ,1495,Settings!$E$21)&amp;"","")</f>
        <v/>
      </c>
      <c r="C1495">
        <f>IFERROR(INDEX('Shopify Import'!$A:$CZ,1495,Settings!$E$22)&amp;"","")</f>
        <v/>
      </c>
      <c r="D1495">
        <f>IF(A1495="","",IFERROR(VALUE(SUBSTITUTE(SUBSTITUTE(INDEX('Shopify Import'!$A:$CZ,1495,Settings!$E$23)&amp;"","$",""),",","")),0))</f>
        <v/>
      </c>
      <c r="E1495" s="11">
        <f>IF(A1495="","",IFERROR(VALUE(SUBSTITUTE(SUBSTITUTE(INDEX('Shopify Import'!$A:$CZ,1495,Settings!$E$24)&amp;"","$",""),",","")),0))</f>
        <v/>
      </c>
      <c r="F1495" s="11">
        <f>IF(A1495="","",D1495*E1495)</f>
        <v/>
      </c>
      <c r="G1495">
        <f>IF(A1495="","",IF(C1495="",1,COUNTIF($C$2:$C$1501,C1495)))</f>
        <v/>
      </c>
      <c r="H1495" s="11">
        <f>IF(A1495="","",IFERROR(VALUE(SUBSTITUTE(SUBSTITUTE(INDEX('Shopify Import'!$A:$CZ,1495,Settings!$E$25)&amp;"","$",""),",","")),0)/IF(Settings!$D$27="Yes",G1495,1))</f>
        <v/>
      </c>
      <c r="I1495" s="11">
        <f>IF(A1495="","",IFERROR(VALUE(SUBSTITUTE(SUBSTITUTE(INDEX('Shopify Import'!$A:$CZ,1495,Settings!$E$26)&amp;"","$",""),",","")),0)/IF(Settings!$D$27="Yes",G1495,1))</f>
        <v/>
      </c>
      <c r="J1495" s="11">
        <f>IF(A1495="","",F1495+H1495-I1495)</f>
        <v/>
      </c>
      <c r="K1495">
        <f>IF(A1495="","",IFERROR(IF(B1495="",NA(),MATCH(B1495,Products!$B$5:$B$204,0)),IFERROR(MATCH(A1495,Products!$A$5:$A$204,0),"")))</f>
        <v/>
      </c>
      <c r="L1495">
        <f>IF(A1495="","",IF(K1495="","⚠ not in Products",INDEX(Products!$A$5:$A$204,K1495)))</f>
        <v/>
      </c>
      <c r="M1495" s="11">
        <f>IF(A1495="","",J1495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1495+IFERROR(INDEX(Settings!$D$5:$D$9,MATCH("Shopify",Settings!$A$5:$A$9,0)),0)*D1495)</f>
        <v/>
      </c>
      <c r="N1495" s="11">
        <f>IF(A1495="","",IF(K1495="",0,D1495*INDEX(Products!$I$5:$I$204,K1495)))</f>
        <v/>
      </c>
      <c r="O1495" s="11">
        <f>IF(A1495="","",IF(K1495="",0,J1495*INDEX(Products!$H$5:$H$204,K1495)))</f>
        <v/>
      </c>
      <c r="P1495" s="11">
        <f>IF(A1495="","",J1495-M1495-N1495-O1495)</f>
        <v/>
      </c>
    </row>
    <row r="1496">
      <c r="A1496">
        <f>IFERROR(INDEX('Shopify Import'!$A:$CZ,1496,Settings!$E$20)&amp;"","")</f>
        <v/>
      </c>
      <c r="B1496">
        <f>IFERROR(INDEX('Shopify Import'!$A:$CZ,1496,Settings!$E$21)&amp;"","")</f>
        <v/>
      </c>
      <c r="C1496">
        <f>IFERROR(INDEX('Shopify Import'!$A:$CZ,1496,Settings!$E$22)&amp;"","")</f>
        <v/>
      </c>
      <c r="D1496">
        <f>IF(A1496="","",IFERROR(VALUE(SUBSTITUTE(SUBSTITUTE(INDEX('Shopify Import'!$A:$CZ,1496,Settings!$E$23)&amp;"","$",""),",","")),0))</f>
        <v/>
      </c>
      <c r="E1496" s="11">
        <f>IF(A1496="","",IFERROR(VALUE(SUBSTITUTE(SUBSTITUTE(INDEX('Shopify Import'!$A:$CZ,1496,Settings!$E$24)&amp;"","$",""),",","")),0))</f>
        <v/>
      </c>
      <c r="F1496" s="11">
        <f>IF(A1496="","",D1496*E1496)</f>
        <v/>
      </c>
      <c r="G1496">
        <f>IF(A1496="","",IF(C1496="",1,COUNTIF($C$2:$C$1501,C1496)))</f>
        <v/>
      </c>
      <c r="H1496" s="11">
        <f>IF(A1496="","",IFERROR(VALUE(SUBSTITUTE(SUBSTITUTE(INDEX('Shopify Import'!$A:$CZ,1496,Settings!$E$25)&amp;"","$",""),",","")),0)/IF(Settings!$D$27="Yes",G1496,1))</f>
        <v/>
      </c>
      <c r="I1496" s="11">
        <f>IF(A1496="","",IFERROR(VALUE(SUBSTITUTE(SUBSTITUTE(INDEX('Shopify Import'!$A:$CZ,1496,Settings!$E$26)&amp;"","$",""),",","")),0)/IF(Settings!$D$27="Yes",G1496,1))</f>
        <v/>
      </c>
      <c r="J1496" s="11">
        <f>IF(A1496="","",F1496+H1496-I1496)</f>
        <v/>
      </c>
      <c r="K1496">
        <f>IF(A1496="","",IFERROR(IF(B1496="",NA(),MATCH(B1496,Products!$B$5:$B$204,0)),IFERROR(MATCH(A1496,Products!$A$5:$A$204,0),"")))</f>
        <v/>
      </c>
      <c r="L1496">
        <f>IF(A1496="","",IF(K1496="","⚠ not in Products",INDEX(Products!$A$5:$A$204,K1496)))</f>
        <v/>
      </c>
      <c r="M1496" s="11">
        <f>IF(A1496="","",J1496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1496+IFERROR(INDEX(Settings!$D$5:$D$9,MATCH("Shopify",Settings!$A$5:$A$9,0)),0)*D1496)</f>
        <v/>
      </c>
      <c r="N1496" s="11">
        <f>IF(A1496="","",IF(K1496="",0,D1496*INDEX(Products!$I$5:$I$204,K1496)))</f>
        <v/>
      </c>
      <c r="O1496" s="11">
        <f>IF(A1496="","",IF(K1496="",0,J1496*INDEX(Products!$H$5:$H$204,K1496)))</f>
        <v/>
      </c>
      <c r="P1496" s="11">
        <f>IF(A1496="","",J1496-M1496-N1496-O1496)</f>
        <v/>
      </c>
    </row>
    <row r="1497">
      <c r="A1497">
        <f>IFERROR(INDEX('Shopify Import'!$A:$CZ,1497,Settings!$E$20)&amp;"","")</f>
        <v/>
      </c>
      <c r="B1497">
        <f>IFERROR(INDEX('Shopify Import'!$A:$CZ,1497,Settings!$E$21)&amp;"","")</f>
        <v/>
      </c>
      <c r="C1497">
        <f>IFERROR(INDEX('Shopify Import'!$A:$CZ,1497,Settings!$E$22)&amp;"","")</f>
        <v/>
      </c>
      <c r="D1497">
        <f>IF(A1497="","",IFERROR(VALUE(SUBSTITUTE(SUBSTITUTE(INDEX('Shopify Import'!$A:$CZ,1497,Settings!$E$23)&amp;"","$",""),",","")),0))</f>
        <v/>
      </c>
      <c r="E1497" s="11">
        <f>IF(A1497="","",IFERROR(VALUE(SUBSTITUTE(SUBSTITUTE(INDEX('Shopify Import'!$A:$CZ,1497,Settings!$E$24)&amp;"","$",""),",","")),0))</f>
        <v/>
      </c>
      <c r="F1497" s="11">
        <f>IF(A1497="","",D1497*E1497)</f>
        <v/>
      </c>
      <c r="G1497">
        <f>IF(A1497="","",IF(C1497="",1,COUNTIF($C$2:$C$1501,C1497)))</f>
        <v/>
      </c>
      <c r="H1497" s="11">
        <f>IF(A1497="","",IFERROR(VALUE(SUBSTITUTE(SUBSTITUTE(INDEX('Shopify Import'!$A:$CZ,1497,Settings!$E$25)&amp;"","$",""),",","")),0)/IF(Settings!$D$27="Yes",G1497,1))</f>
        <v/>
      </c>
      <c r="I1497" s="11">
        <f>IF(A1497="","",IFERROR(VALUE(SUBSTITUTE(SUBSTITUTE(INDEX('Shopify Import'!$A:$CZ,1497,Settings!$E$26)&amp;"","$",""),",","")),0)/IF(Settings!$D$27="Yes",G1497,1))</f>
        <v/>
      </c>
      <c r="J1497" s="11">
        <f>IF(A1497="","",F1497+H1497-I1497)</f>
        <v/>
      </c>
      <c r="K1497">
        <f>IF(A1497="","",IFERROR(IF(B1497="",NA(),MATCH(B1497,Products!$B$5:$B$204,0)),IFERROR(MATCH(A1497,Products!$A$5:$A$204,0),"")))</f>
        <v/>
      </c>
      <c r="L1497">
        <f>IF(A1497="","",IF(K1497="","⚠ not in Products",INDEX(Products!$A$5:$A$204,K1497)))</f>
        <v/>
      </c>
      <c r="M1497" s="11">
        <f>IF(A1497="","",J1497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1497+IFERROR(INDEX(Settings!$D$5:$D$9,MATCH("Shopify",Settings!$A$5:$A$9,0)),0)*D1497)</f>
        <v/>
      </c>
      <c r="N1497" s="11">
        <f>IF(A1497="","",IF(K1497="",0,D1497*INDEX(Products!$I$5:$I$204,K1497)))</f>
        <v/>
      </c>
      <c r="O1497" s="11">
        <f>IF(A1497="","",IF(K1497="",0,J1497*INDEX(Products!$H$5:$H$204,K1497)))</f>
        <v/>
      </c>
      <c r="P1497" s="11">
        <f>IF(A1497="","",J1497-M1497-N1497-O1497)</f>
        <v/>
      </c>
    </row>
    <row r="1498">
      <c r="A1498">
        <f>IFERROR(INDEX('Shopify Import'!$A:$CZ,1498,Settings!$E$20)&amp;"","")</f>
        <v/>
      </c>
      <c r="B1498">
        <f>IFERROR(INDEX('Shopify Import'!$A:$CZ,1498,Settings!$E$21)&amp;"","")</f>
        <v/>
      </c>
      <c r="C1498">
        <f>IFERROR(INDEX('Shopify Import'!$A:$CZ,1498,Settings!$E$22)&amp;"","")</f>
        <v/>
      </c>
      <c r="D1498">
        <f>IF(A1498="","",IFERROR(VALUE(SUBSTITUTE(SUBSTITUTE(INDEX('Shopify Import'!$A:$CZ,1498,Settings!$E$23)&amp;"","$",""),",","")),0))</f>
        <v/>
      </c>
      <c r="E1498" s="11">
        <f>IF(A1498="","",IFERROR(VALUE(SUBSTITUTE(SUBSTITUTE(INDEX('Shopify Import'!$A:$CZ,1498,Settings!$E$24)&amp;"","$",""),",","")),0))</f>
        <v/>
      </c>
      <c r="F1498" s="11">
        <f>IF(A1498="","",D1498*E1498)</f>
        <v/>
      </c>
      <c r="G1498">
        <f>IF(A1498="","",IF(C1498="",1,COUNTIF($C$2:$C$1501,C1498)))</f>
        <v/>
      </c>
      <c r="H1498" s="11">
        <f>IF(A1498="","",IFERROR(VALUE(SUBSTITUTE(SUBSTITUTE(INDEX('Shopify Import'!$A:$CZ,1498,Settings!$E$25)&amp;"","$",""),",","")),0)/IF(Settings!$D$27="Yes",G1498,1))</f>
        <v/>
      </c>
      <c r="I1498" s="11">
        <f>IF(A1498="","",IFERROR(VALUE(SUBSTITUTE(SUBSTITUTE(INDEX('Shopify Import'!$A:$CZ,1498,Settings!$E$26)&amp;"","$",""),",","")),0)/IF(Settings!$D$27="Yes",G1498,1))</f>
        <v/>
      </c>
      <c r="J1498" s="11">
        <f>IF(A1498="","",F1498+H1498-I1498)</f>
        <v/>
      </c>
      <c r="K1498">
        <f>IF(A1498="","",IFERROR(IF(B1498="",NA(),MATCH(B1498,Products!$B$5:$B$204,0)),IFERROR(MATCH(A1498,Products!$A$5:$A$204,0),"")))</f>
        <v/>
      </c>
      <c r="L1498">
        <f>IF(A1498="","",IF(K1498="","⚠ not in Products",INDEX(Products!$A$5:$A$204,K1498)))</f>
        <v/>
      </c>
      <c r="M1498" s="11">
        <f>IF(A1498="","",J1498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1498+IFERROR(INDEX(Settings!$D$5:$D$9,MATCH("Shopify",Settings!$A$5:$A$9,0)),0)*D1498)</f>
        <v/>
      </c>
      <c r="N1498" s="11">
        <f>IF(A1498="","",IF(K1498="",0,D1498*INDEX(Products!$I$5:$I$204,K1498)))</f>
        <v/>
      </c>
      <c r="O1498" s="11">
        <f>IF(A1498="","",IF(K1498="",0,J1498*INDEX(Products!$H$5:$H$204,K1498)))</f>
        <v/>
      </c>
      <c r="P1498" s="11">
        <f>IF(A1498="","",J1498-M1498-N1498-O1498)</f>
        <v/>
      </c>
    </row>
    <row r="1499">
      <c r="A1499">
        <f>IFERROR(INDEX('Shopify Import'!$A:$CZ,1499,Settings!$E$20)&amp;"","")</f>
        <v/>
      </c>
      <c r="B1499">
        <f>IFERROR(INDEX('Shopify Import'!$A:$CZ,1499,Settings!$E$21)&amp;"","")</f>
        <v/>
      </c>
      <c r="C1499">
        <f>IFERROR(INDEX('Shopify Import'!$A:$CZ,1499,Settings!$E$22)&amp;"","")</f>
        <v/>
      </c>
      <c r="D1499">
        <f>IF(A1499="","",IFERROR(VALUE(SUBSTITUTE(SUBSTITUTE(INDEX('Shopify Import'!$A:$CZ,1499,Settings!$E$23)&amp;"","$",""),",","")),0))</f>
        <v/>
      </c>
      <c r="E1499" s="11">
        <f>IF(A1499="","",IFERROR(VALUE(SUBSTITUTE(SUBSTITUTE(INDEX('Shopify Import'!$A:$CZ,1499,Settings!$E$24)&amp;"","$",""),",","")),0))</f>
        <v/>
      </c>
      <c r="F1499" s="11">
        <f>IF(A1499="","",D1499*E1499)</f>
        <v/>
      </c>
      <c r="G1499">
        <f>IF(A1499="","",IF(C1499="",1,COUNTIF($C$2:$C$1501,C1499)))</f>
        <v/>
      </c>
      <c r="H1499" s="11">
        <f>IF(A1499="","",IFERROR(VALUE(SUBSTITUTE(SUBSTITUTE(INDEX('Shopify Import'!$A:$CZ,1499,Settings!$E$25)&amp;"","$",""),",","")),0)/IF(Settings!$D$27="Yes",G1499,1))</f>
        <v/>
      </c>
      <c r="I1499" s="11">
        <f>IF(A1499="","",IFERROR(VALUE(SUBSTITUTE(SUBSTITUTE(INDEX('Shopify Import'!$A:$CZ,1499,Settings!$E$26)&amp;"","$",""),",","")),0)/IF(Settings!$D$27="Yes",G1499,1))</f>
        <v/>
      </c>
      <c r="J1499" s="11">
        <f>IF(A1499="","",F1499+H1499-I1499)</f>
        <v/>
      </c>
      <c r="K1499">
        <f>IF(A1499="","",IFERROR(IF(B1499="",NA(),MATCH(B1499,Products!$B$5:$B$204,0)),IFERROR(MATCH(A1499,Products!$A$5:$A$204,0),"")))</f>
        <v/>
      </c>
      <c r="L1499">
        <f>IF(A1499="","",IF(K1499="","⚠ not in Products",INDEX(Products!$A$5:$A$204,K1499)))</f>
        <v/>
      </c>
      <c r="M1499" s="11">
        <f>IF(A1499="","",J1499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1499+IFERROR(INDEX(Settings!$D$5:$D$9,MATCH("Shopify",Settings!$A$5:$A$9,0)),0)*D1499)</f>
        <v/>
      </c>
      <c r="N1499" s="11">
        <f>IF(A1499="","",IF(K1499="",0,D1499*INDEX(Products!$I$5:$I$204,K1499)))</f>
        <v/>
      </c>
      <c r="O1499" s="11">
        <f>IF(A1499="","",IF(K1499="",0,J1499*INDEX(Products!$H$5:$H$204,K1499)))</f>
        <v/>
      </c>
      <c r="P1499" s="11">
        <f>IF(A1499="","",J1499-M1499-N1499-O1499)</f>
        <v/>
      </c>
    </row>
    <row r="1500">
      <c r="A1500">
        <f>IFERROR(INDEX('Shopify Import'!$A:$CZ,1500,Settings!$E$20)&amp;"","")</f>
        <v/>
      </c>
      <c r="B1500">
        <f>IFERROR(INDEX('Shopify Import'!$A:$CZ,1500,Settings!$E$21)&amp;"","")</f>
        <v/>
      </c>
      <c r="C1500">
        <f>IFERROR(INDEX('Shopify Import'!$A:$CZ,1500,Settings!$E$22)&amp;"","")</f>
        <v/>
      </c>
      <c r="D1500">
        <f>IF(A1500="","",IFERROR(VALUE(SUBSTITUTE(SUBSTITUTE(INDEX('Shopify Import'!$A:$CZ,1500,Settings!$E$23)&amp;"","$",""),",","")),0))</f>
        <v/>
      </c>
      <c r="E1500" s="11">
        <f>IF(A1500="","",IFERROR(VALUE(SUBSTITUTE(SUBSTITUTE(INDEX('Shopify Import'!$A:$CZ,1500,Settings!$E$24)&amp;"","$",""),",","")),0))</f>
        <v/>
      </c>
      <c r="F1500" s="11">
        <f>IF(A1500="","",D1500*E1500)</f>
        <v/>
      </c>
      <c r="G1500">
        <f>IF(A1500="","",IF(C1500="",1,COUNTIF($C$2:$C$1501,C1500)))</f>
        <v/>
      </c>
      <c r="H1500" s="11">
        <f>IF(A1500="","",IFERROR(VALUE(SUBSTITUTE(SUBSTITUTE(INDEX('Shopify Import'!$A:$CZ,1500,Settings!$E$25)&amp;"","$",""),",","")),0)/IF(Settings!$D$27="Yes",G1500,1))</f>
        <v/>
      </c>
      <c r="I1500" s="11">
        <f>IF(A1500="","",IFERROR(VALUE(SUBSTITUTE(SUBSTITUTE(INDEX('Shopify Import'!$A:$CZ,1500,Settings!$E$26)&amp;"","$",""),",","")),0)/IF(Settings!$D$27="Yes",G1500,1))</f>
        <v/>
      </c>
      <c r="J1500" s="11">
        <f>IF(A1500="","",F1500+H1500-I1500)</f>
        <v/>
      </c>
      <c r="K1500">
        <f>IF(A1500="","",IFERROR(IF(B1500="",NA(),MATCH(B1500,Products!$B$5:$B$204,0)),IFERROR(MATCH(A1500,Products!$A$5:$A$204,0),"")))</f>
        <v/>
      </c>
      <c r="L1500">
        <f>IF(A1500="","",IF(K1500="","⚠ not in Products",INDEX(Products!$A$5:$A$204,K1500)))</f>
        <v/>
      </c>
      <c r="M1500" s="11">
        <f>IF(A1500="","",J1500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1500+IFERROR(INDEX(Settings!$D$5:$D$9,MATCH("Shopify",Settings!$A$5:$A$9,0)),0)*D1500)</f>
        <v/>
      </c>
      <c r="N1500" s="11">
        <f>IF(A1500="","",IF(K1500="",0,D1500*INDEX(Products!$I$5:$I$204,K1500)))</f>
        <v/>
      </c>
      <c r="O1500" s="11">
        <f>IF(A1500="","",IF(K1500="",0,J1500*INDEX(Products!$H$5:$H$204,K1500)))</f>
        <v/>
      </c>
      <c r="P1500" s="11">
        <f>IF(A1500="","",J1500-M1500-N1500-O1500)</f>
        <v/>
      </c>
    </row>
    <row r="1501">
      <c r="A1501">
        <f>IFERROR(INDEX('Shopify Import'!$A:$CZ,1501,Settings!$E$20)&amp;"","")</f>
        <v/>
      </c>
      <c r="B1501">
        <f>IFERROR(INDEX('Shopify Import'!$A:$CZ,1501,Settings!$E$21)&amp;"","")</f>
        <v/>
      </c>
      <c r="C1501">
        <f>IFERROR(INDEX('Shopify Import'!$A:$CZ,1501,Settings!$E$22)&amp;"","")</f>
        <v/>
      </c>
      <c r="D1501">
        <f>IF(A1501="","",IFERROR(VALUE(SUBSTITUTE(SUBSTITUTE(INDEX('Shopify Import'!$A:$CZ,1501,Settings!$E$23)&amp;"","$",""),",","")),0))</f>
        <v/>
      </c>
      <c r="E1501" s="11">
        <f>IF(A1501="","",IFERROR(VALUE(SUBSTITUTE(SUBSTITUTE(INDEX('Shopify Import'!$A:$CZ,1501,Settings!$E$24)&amp;"","$",""),",","")),0))</f>
        <v/>
      </c>
      <c r="F1501" s="11">
        <f>IF(A1501="","",D1501*E1501)</f>
        <v/>
      </c>
      <c r="G1501">
        <f>IF(A1501="","",IF(C1501="",1,COUNTIF($C$2:$C$1501,C1501)))</f>
        <v/>
      </c>
      <c r="H1501" s="11">
        <f>IF(A1501="","",IFERROR(VALUE(SUBSTITUTE(SUBSTITUTE(INDEX('Shopify Import'!$A:$CZ,1501,Settings!$E$25)&amp;"","$",""),",","")),0)/IF(Settings!$D$27="Yes",G1501,1))</f>
        <v/>
      </c>
      <c r="I1501" s="11">
        <f>IF(A1501="","",IFERROR(VALUE(SUBSTITUTE(SUBSTITUTE(INDEX('Shopify Import'!$A:$CZ,1501,Settings!$E$26)&amp;"","$",""),",","")),0)/IF(Settings!$D$27="Yes",G1501,1))</f>
        <v/>
      </c>
      <c r="J1501" s="11">
        <f>IF(A1501="","",F1501+H1501-I1501)</f>
        <v/>
      </c>
      <c r="K1501">
        <f>IF(A1501="","",IFERROR(IF(B1501="",NA(),MATCH(B1501,Products!$B$5:$B$204,0)),IFERROR(MATCH(A1501,Products!$A$5:$A$204,0),"")))</f>
        <v/>
      </c>
      <c r="L1501">
        <f>IF(A1501="","",IF(K1501="","⚠ not in Products",INDEX(Products!$A$5:$A$204,K1501)))</f>
        <v/>
      </c>
      <c r="M1501" s="11">
        <f>IF(A1501="","",J1501*(IFERROR(INDEX(Settings!$B$5:$B$9,MATCH("Shopify",Settings!$A$5:$A$9,0)),0)+IFERROR(INDEX(Settings!$E$5:$E$9,MATCH("Shopify",Settings!$A$5:$A$9,0)),0)+IFERROR(INDEX(Settings!$G$5:$G$9,MATCH("Shopify",Settings!$A$5:$A$9,0)),0))+(IFERROR(INDEX(Settings!$C$5:$C$9,MATCH("Shopify",Settings!$A$5:$A$9,0)),0)+IFERROR(INDEX(Settings!$F$5:$F$9,MATCH("Shopify",Settings!$A$5:$A$9,0)),0))/G1501+IFERROR(INDEX(Settings!$D$5:$D$9,MATCH("Shopify",Settings!$A$5:$A$9,0)),0)*D1501)</f>
        <v/>
      </c>
      <c r="N1501" s="11">
        <f>IF(A1501="","",IF(K1501="",0,D1501*INDEX(Products!$I$5:$I$204,K1501)))</f>
        <v/>
      </c>
      <c r="O1501" s="11">
        <f>IF(A1501="","",IF(K1501="",0,J1501*INDEX(Products!$H$5:$H$204,K1501)))</f>
        <v/>
      </c>
      <c r="P1501" s="11">
        <f>IF(A1501="","",J1501-M1501-N1501-O1501)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2026-10-07T16:00:42Z</dcterms:created>
  <dcterms:modified xmlns:dcterms="http://purl.org/dc/terms/" xmlns:xsi="http://www.w3.org/2001/XMLSchema-instance" xsi:type="dcterms:W3CDTF">2026-10-07T16:00:42Z</dcterms:modified>
</cp:coreProperties>
</file>